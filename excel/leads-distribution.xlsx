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דבקת לידים" sheetId="1" state="visible" r:id="rId3"/>
    <sheet name="תוצאה" sheetId="2" state="visible" r:id="rId4"/>
    <sheet name="הגדרות" sheetId="3" state="visible" r:id="rId5"/>
    <sheet name="עזר" sheetId="4" state="hidden" r:id="rId6"/>
  </sheets>
  <definedNames>
    <definedName function="false" hidden="true" localSheetId="1" name="_xlnm._FilterDatabase" vbProcedure="false">תוצאה!$A$1:$C$5001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<sst xmlns="http://schemas.openxmlformats.org/spreadsheetml/2006/main" count="65" uniqueCount="62">
  <si>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מספר זיהוי</t>
  </si>
  <si>
    <t xml:space="preserve">טלפון נייד</t>
  </si>
  <si>
    <t xml:space="preserve">הגרלה</t>
  </si>
  <si>
    <t xml:space="preserve">הוראות שימוש</t>
  </si>
  <si>
    <t xml:space="preserve">מספר הגרלה (לשינוי הערבוב)</t>
  </si>
  <si>
    <t xml:space="preserve">1.  מחקו את הרשימה הקודמת: סמנו את עמודות A:B (מהשורה 2 ומטה) ולחצו Delete.</t>
  </si>
  <si>
    <t xml:space="preserve">2.  העתיקו את הלידים (שתי עמודות בלבד: מספר זיהוי, טלפון נייד – ללא שורת כותרות).</t>
  </si>
  <si>
    <t xml:space="preserve">בדיקות ובקרה</t>
  </si>
  <si>
    <t xml:space="preserve">3.  לחצו על תא A2 והדביקו. מומלץ: לחצן ימני ← "הדבק ערכים" (או Ctrl+Shift+V) כדי לשמור על העיצוב.</t>
  </si>
  <si>
    <t xml:space="preserve">לידים שזוהו</t>
  </si>
  <si>
    <t xml:space="preserve">4.  זהו! עברו לגיליון "תוצאה" – כל הלידים מעורבבים ומחולקים לנציגים, מקובצים לפי נציג.</t>
  </si>
  <si>
    <t xml:space="preserve">לידים שחולקו בגיליון התוצאה</t>
  </si>
  <si>
    <t xml:space="preserve">5.  ודאו שבתא F11 מופיע "✔ החלוקה תקינה" ושההפרש בין הנציגים (F10) הוא 0 או 1.</t>
  </si>
  <si>
    <t xml:space="preserve">שורות עם שדה אחד חסר</t>
  </si>
  <si>
    <t xml:space="preserve">מספרי זיהוי שמופיעים יותר מפעם אחת</t>
  </si>
  <si>
    <t xml:space="preserve">קיבוע התוצאה:  הערבוב אינו משתמש ב-RAND ולכן אינו משתנה בפתיחת הקובץ או בחישוב מחדש.</t>
  </si>
  <si>
    <t xml:space="preserve">שורות מעבר לקיבולת (5,000)</t>
  </si>
  <si>
    <t xml:space="preserve">   הוא נקבע לפי רשימת הלידים + "מספר ההגרלה" (F2). אותה רשימה ואותו מספר = אותה חלוקה תמיד.</t>
  </si>
  <si>
    <t xml:space="preserve">הפרש בין הנציג הגדול לקטן</t>
  </si>
  <si>
    <t xml:space="preserve">   לערבוב חדש – שנו את מספר ההגרלה (למשל 2, 3...). כדאי להשתמש במספר אחר בכל חודש.</t>
  </si>
  <si>
    <t xml:space="preserve">מצב</t>
  </si>
  <si>
    <t xml:space="preserve">   לשמירת עותק סופי: שמרו את הקובץ בשם חדש (למשל "חלוקה – ספטמבר"), או העתיקו את גיליון</t>
  </si>
  <si>
    <t xml:space="preserve">   התוצאה והדביקו כ"ערכים" בקובץ נפרד לשליחה לנציגים.</t>
  </si>
  <si>
    <t xml:space="preserve">נציג</t>
  </si>
  <si>
    <t xml:space="preserve">מספר לידים</t>
  </si>
  <si>
    <t xml:space="preserve">אפסים מובילים:  עמודות ההדבקה מעוצבות כטקסט. אם בכל זאת הודבק מספר שאיבד את האפס,</t>
  </si>
  <si>
    <t xml:space="preserve">   הקובץ משלים אותו אוטומטית (ת"ז ל-9 ספרות, נייד ל-10 ספרות) – ניתן לשנות בגיליון "הגדרות".</t>
  </si>
  <si>
    <t xml:space="preserve">קיבולת: עד 5,000 לידים. שמות הנציגים ניתנים לעריכה בגיליון "הגדרות" (עד 20 נציגים).</t>
  </si>
  <si>
    <t xml:space="preserve">תאים בצהוב = מקום להקלדה/הדבקה. אין צורך למיין, לגרור נוסחאות או להפעיל מאקרו.</t>
  </si>
  <si>
    <t xml:space="preserve">סה"כ</t>
  </si>
  <si>
    <t xml:space="preserve">שם נציג</t>
  </si>
  <si>
    <t xml:space="preserve">שמות נציגים</t>
  </si>
  <si>
    <t xml:space="preserve">פרמטר</t>
  </si>
  <si>
    <t xml:space="preserve">ערך</t>
  </si>
  <si>
    <t xml:space="preserve">בן</t>
  </si>
  <si>
    <t xml:space="preserve">השלמת אפסים מובילים למספר זיהוי מספרי – אורך בספרות (0 = ללא השלמה)</t>
  </si>
  <si>
    <t xml:space="preserve">אור</t>
  </si>
  <si>
    <t xml:space="preserve">השלמת אפסים מובילים לטלפון מספרי – אורך בספרות (0 = ללא השלמה)</t>
  </si>
  <si>
    <t xml:space="preserve">רותם</t>
  </si>
  <si>
    <t xml:space="preserve">בר</t>
  </si>
  <si>
    <t xml:space="preserve">מספר לידים שזוהו (מחושב)</t>
  </si>
  <si>
    <t xml:space="preserve">אוריה</t>
  </si>
  <si>
    <t xml:space="preserve">מספר נציגים (מחושב)</t>
  </si>
  <si>
    <t xml:space="preserve">אודל</t>
  </si>
  <si>
    <t xml:space="preserve">לידים בסיסיים לכל נציג (מחושב)</t>
  </si>
  <si>
    <t xml:space="preserve">סדי</t>
  </si>
  <si>
    <t xml:space="preserve">נציגים שמקבלים ליד נוסף (מחושב)</t>
  </si>
  <si>
    <t xml:space="preserve">מרים</t>
  </si>
  <si>
    <t xml:space="preserve">היסט סבב נציגים (מחושב)</t>
  </si>
  <si>
    <t xml:space="preserve">הערות: שמות הנציגים נכתבים בעמודה A ברצף, ללא שורות ריקות באמצע (עד 20 נציגים). השלמת אפסים חלה רק על ערכים שהודבקו כמספר (ואיבדו את האפס המוביל) – למשל 12345678 יוצג כ-012345678, ו-501234567 יוצג כ-0501234567. ערכים שהודבקו כטקסט נשמרים בדיוק כפי שהם. תאים בצהוב = ניתנים לעריכה; תאים באפור = מחושבים.</t>
  </si>
  <si>
    <t xml:space="preserve">מספר זיהוי מנורמל</t>
  </si>
  <si>
    <t xml:space="preserve">טלפון מנורמל</t>
  </si>
  <si>
    <t xml:space="preserve">שורה תקינה</t>
  </si>
  <si>
    <t xml:space="preserve">גיבוב 1</t>
  </si>
  <si>
    <t xml:space="preserve">ציון ערבוב</t>
  </si>
  <si>
    <t xml:space="preserve">מיקום בערבוב</t>
  </si>
  <si>
    <t xml:space="preserve">זיהוי כפול</t>
  </si>
  <si>
    <t xml:space="preserve">שורת תוצאה</t>
  </si>
  <si>
    <t xml:space="preserve">סבב נציג</t>
  </si>
  <si>
    <t xml:space="preserve">מקום בתוך הנציג</t>
  </si>
  <si>
    <t xml:space="preserve">מיקום בערבוב לשורה</t>
  </si>
  <si>
    <t xml:space="preserve">שורת מקור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</si>
</sst>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F7F9FC"/>
        <bgColor rgb="FFFFFFFF"/>
      </patternFill>
    </fill>
    <fill>
      <patternFill patternType="solid">
        <fgColor rgb="FFF2F2F2"/>
        <bgColor rgb="FFF7F9FC"/>
      </patternFill>
    </fill>
    <fill>
      <patternFill patternType="solid">
        <fgColor rgb="FFFFFFFF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b val="1"/>
        <color rgb="FFC00000"/>
      </font>
      <fill>
        <patternFill>
          <bgColor rgb="FFFFC7CE"/>
        </patternFill>
      </fill>
    </dxf>
    <dxf>
      <font>
        <b val="1"/>
        <color rgb="FFC00000"/>
      </font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2EFDA"/>
        </patternFill>
      </fill>
    </dxf>
    <dxf>
      <border diagonalUp="false" diagonalDown="false">
        <left/>
        <right/>
        <top style="medium">
          <color rgb="FF1F4E78"/>
        </top>
        <bottom/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7F9F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3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3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3"/>
    <col collapsed="false" customWidth="true" hidden="false" outlineLevel="0" max="8" min="8" style="0" width="80"/>
  </cols>
  <sheetData>
    <row r="1" customFormat="false" ht="15" hidden="false" customHeight="false" outlineLevel="0" collapsed="false">
      <c r="A1" s="1" t="s">
        <v>0</v>
      </c>
      <c r="B1" s="1" t="s">
        <v>1</v>
      </c>
      <c r="E1" s="1" t="s">
        <v>2</v>
      </c>
      <c r="F1" s="2"/>
      <c r="H1" s="1" t="s">
        <v>3</v>
      </c>
    </row>
    <row r="2" customFormat="false" ht="17.35" hidden="false" customHeight="false" outlineLevel="0" collapsed="false">
      <c r="A2" s="3"/>
      <c r="B2" s="3"/>
      <c r="E2" s="4" t="s">
        <v>4</v>
      </c>
      <c r="F2" s="5" t="n">
        <v>1</v>
      </c>
      <c r="H2" s="6" t="s">
        <v>5</v>
      </c>
    </row>
    <row r="3" customFormat="false" ht="15" hidden="false" customHeight="false" outlineLevel="0" collapsed="false">
      <c r="A3" s="3"/>
      <c r="B3" s="3"/>
      <c r="H3" s="6" t="s">
        <v>6</v>
      </c>
    </row>
    <row r="4" customFormat="false" ht="15" hidden="false" customHeight="false" outlineLevel="0" collapsed="false">
      <c r="A4" s="3"/>
      <c r="B4" s="3"/>
      <c r="E4" s="1" t="s">
        <v>7</v>
      </c>
      <c r="F4" s="2"/>
      <c r="H4" s="6" t="s">
        <v>8</v>
      </c>
    </row>
    <row r="5" customFormat="false" ht="15" hidden="false" customHeight="false" outlineLevel="0" collapsed="false">
      <c r="A5" s="3"/>
      <c r="B5" s="3"/>
      <c r="E5" s="7" t="s">
        <v>9</v>
      </c>
      <c r="F5" s="8" t="n">
        <f aca="false">הגדרות!$E$5</f>
        <v>0</v>
      </c>
      <c r="H5" s="6" t="s">
        <v>10</v>
      </c>
    </row>
    <row r="6" customFormat="false" ht="15" hidden="false" customHeight="false" outlineLevel="0" collapsed="false">
      <c r="A6" s="3"/>
      <c r="B6" s="3"/>
      <c r="E6" s="7" t="s">
        <v>11</v>
      </c>
      <c r="F6" s="8" t="n">
        <f aca="false">COUNTIF(תוצאה!$C$2:$C$5001,"?*")</f>
        <v>0</v>
      </c>
      <c r="H6" s="6" t="s">
        <v>12</v>
      </c>
    </row>
    <row r="7" customFormat="false" ht="15" hidden="false" customHeight="false" outlineLevel="0" collapsed="false">
      <c r="A7" s="3"/>
      <c r="B7" s="3"/>
      <c r="E7" s="7" t="s">
        <v>13</v>
      </c>
      <c r="F7" s="8" t="n">
        <f aca="false">SUMPRODUCT(--((($A$2:$A$5001&lt;&gt;"")+($B$2:$B$5001&lt;&gt;""))=1))</f>
        <v>0</v>
      </c>
      <c r="H7" s="9"/>
    </row>
    <row r="8" customFormat="false" ht="15" hidden="false" customHeight="false" outlineLevel="0" collapsed="false">
      <c r="A8" s="3"/>
      <c r="B8" s="3"/>
      <c r="E8" s="7" t="s">
        <v>14</v>
      </c>
      <c r="F8" s="8" t="n">
        <f aca="false">SUM(עזר!$G$2:$G$5001)</f>
        <v>0</v>
      </c>
      <c r="H8" s="10" t="s">
        <v>15</v>
      </c>
    </row>
    <row r="9" customFormat="false" ht="15" hidden="false" customHeight="false" outlineLevel="0" collapsed="false">
      <c r="A9" s="3"/>
      <c r="B9" s="3"/>
      <c r="E9" s="7" t="s">
        <v>16</v>
      </c>
      <c r="F9" s="8" t="n">
        <f aca="false">COUNTA($A$5002:$B$1048576)</f>
        <v>0</v>
      </c>
      <c r="H9" s="6" t="s">
        <v>17</v>
      </c>
    </row>
    <row r="10" customFormat="false" ht="15" hidden="false" customHeight="false" outlineLevel="0" collapsed="false">
      <c r="A10" s="3"/>
      <c r="B10" s="3"/>
      <c r="E10" s="7" t="s">
        <v>18</v>
      </c>
      <c r="F10" s="8" t="n">
        <f aca="false">IF(COUNT(F15:F34)=0,0,MAX(F15:F34)-MIN(F15:F34))</f>
        <v>0</v>
      </c>
      <c r="H10" s="6" t="s">
        <v>19</v>
      </c>
    </row>
    <row r="11" customFormat="false" ht="15" hidden="false" customHeight="false" outlineLevel="0" collapsed="false">
      <c r="A11" s="3"/>
      <c r="B11" s="3"/>
      <c r="E11" s="7" t="s">
        <v>20</v>
      </c>
      <c r="F11" s="11" t="str">
        <f aca="false">IF(F5=0,"ממתין להדבקת לידים",IF(F9&gt;0,"⚠ יותר מ-5,000 לידים – לא כולם חולקו",IF(OR(F6&lt;&gt;F5,F10&gt;1),"⚠ שגיאה בחלוקה – בדקו את ההגדרות",IF(F8&gt;0,"✔ חולק – שימו לב: יש מספרי זיהוי כפולים","✔ החלוקה תקינה"))))</f>
        <v>ממתין להדבקת לידים</v>
      </c>
      <c r="H11" s="6" t="s">
        <v>21</v>
      </c>
    </row>
    <row r="12" customFormat="false" ht="15" hidden="false" customHeight="false" outlineLevel="0" collapsed="false">
      <c r="A12" s="3"/>
      <c r="B12" s="3"/>
      <c r="H12" s="6" t="s">
        <v>22</v>
      </c>
    </row>
    <row r="13" customFormat="false" ht="15" hidden="false" customHeight="false" outlineLevel="0" collapsed="false">
      <c r="A13" s="3"/>
      <c r="B13" s="3"/>
      <c r="H13" s="9"/>
    </row>
    <row r="14" customFormat="false" ht="15" hidden="false" customHeight="false" outlineLevel="0" collapsed="false">
      <c r="A14" s="3"/>
      <c r="B14" s="3"/>
      <c r="E14" s="1" t="s">
        <v>23</v>
      </c>
      <c r="F14" s="1" t="s">
        <v>24</v>
      </c>
      <c r="H14" s="10" t="s">
        <v>25</v>
      </c>
    </row>
    <row r="15" customFormat="false" ht="15" hidden="false" customHeight="false" outlineLevel="0" collapsed="false">
      <c r="A15" s="3"/>
      <c r="B15" s="3"/>
      <c r="E15" s="12" t="str">
        <f aca="false">IF(הגדרות!A2="","",הגדרות!A2)</f>
        <v>בן</v>
      </c>
      <c r="F15" s="12" t="n">
        <f aca="false">IF(E15="","",COUNTIF(תוצאה!$C$2:$C$5001,E15))</f>
        <v>0</v>
      </c>
      <c r="H15" s="6" t="s">
        <v>26</v>
      </c>
    </row>
    <row r="16" customFormat="false" ht="15" hidden="false" customHeight="false" outlineLevel="0" collapsed="false">
      <c r="A16" s="3"/>
      <c r="B16" s="3"/>
      <c r="E16" s="12" t="str">
        <f aca="false">IF(הגדרות!A3="","",הגדרות!A3)</f>
        <v>אור</v>
      </c>
      <c r="F16" s="12" t="n">
        <f aca="false">IF(E16="","",COUNTIF(תוצאה!$C$2:$C$5001,E16))</f>
        <v>0</v>
      </c>
      <c r="H16" s="9"/>
    </row>
    <row r="17" customFormat="false" ht="15" hidden="false" customHeight="false" outlineLevel="0" collapsed="false">
      <c r="A17" s="3"/>
      <c r="B17" s="3"/>
      <c r="E17" s="12" t="str">
        <f aca="false">IF(הגדרות!A4="","",הגדרות!A4)</f>
        <v>רותם</v>
      </c>
      <c r="F17" s="12" t="n">
        <f aca="false">IF(E17="","",COUNTIF(תוצאה!$C$2:$C$5001,E17))</f>
        <v>0</v>
      </c>
      <c r="H17" s="10" t="s">
        <v>27</v>
      </c>
    </row>
    <row r="18" customFormat="false" ht="15" hidden="false" customHeight="false" outlineLevel="0" collapsed="false">
      <c r="A18" s="3"/>
      <c r="B18" s="3"/>
      <c r="E18" s="12" t="str">
        <f aca="false">IF(הגדרות!A5="","",הגדרות!A5)</f>
        <v>בר</v>
      </c>
      <c r="F18" s="12" t="n">
        <f aca="false">IF(E18="","",COUNTIF(תוצאה!$C$2:$C$5001,E18))</f>
        <v>0</v>
      </c>
      <c r="H18" s="6" t="s">
        <v>28</v>
      </c>
    </row>
    <row r="19" customFormat="false" ht="15" hidden="false" customHeight="false" outlineLevel="0" collapsed="false">
      <c r="A19" s="3"/>
      <c r="B19" s="3"/>
      <c r="E19" s="12" t="str">
        <f aca="false">IF(הגדרות!A6="","",הגדרות!A6)</f>
        <v>אוריה</v>
      </c>
      <c r="F19" s="12" t="n">
        <f aca="false">IF(E19="","",COUNTIF(תוצאה!$C$2:$C$5001,E19))</f>
        <v>0</v>
      </c>
    </row>
    <row r="20" customFormat="false" ht="15" hidden="false" customHeight="false" outlineLevel="0" collapsed="false">
      <c r="A20" s="3"/>
      <c r="B20" s="3"/>
      <c r="E20" s="12" t="str">
        <f aca="false">IF(הגדרות!A7="","",הגדרות!A7)</f>
        <v>אודל</v>
      </c>
      <c r="F20" s="12" t="n">
        <f aca="false">IF(E20="","",COUNTIF(תוצאה!$C$2:$C$5001,E20))</f>
        <v>0</v>
      </c>
    </row>
    <row r="21" customFormat="false" ht="15" hidden="false" customHeight="false" outlineLevel="0" collapsed="false">
      <c r="A21" s="3"/>
      <c r="B21" s="3"/>
      <c r="E21" s="12" t="str">
        <f aca="false">IF(הגדרות!A8="","",הגדרות!A8)</f>
        <v>סדי</v>
      </c>
      <c r="F21" s="12" t="n">
        <f aca="false">IF(E21="","",COUNTIF(תוצאה!$C$2:$C$5001,E21))</f>
        <v>0</v>
      </c>
    </row>
    <row r="22" customFormat="false" ht="15" hidden="false" customHeight="false" outlineLevel="0" collapsed="false">
      <c r="A22" s="3"/>
      <c r="B22" s="3"/>
      <c r="E22" s="12" t="str">
        <f aca="false">IF(הגדרות!A9="","",הגדרות!A9)</f>
        <v>מרים</v>
      </c>
      <c r="F22" s="12" t="n">
        <f aca="false">IF(E22="","",COUNTIF(תוצאה!$C$2:$C$5001,E22))</f>
        <v>0</v>
      </c>
    </row>
    <row r="23" customFormat="false" ht="15" hidden="false" customHeight="false" outlineLevel="0" collapsed="false">
      <c r="A23" s="3"/>
      <c r="B23" s="3"/>
      <c r="E23" s="12" t="str">
        <f aca="false">IF(הגדרות!A10="","",הגדרות!A10)</f>
        <v/>
      </c>
      <c r="F23" s="12" t="str">
        <f aca="false">IF(E23="","",COUNTIF(תוצאה!$C$2:$C$5001,E23))</f>
        <v/>
      </c>
    </row>
    <row r="24" customFormat="false" ht="15" hidden="false" customHeight="false" outlineLevel="0" collapsed="false">
      <c r="A24" s="3"/>
      <c r="B24" s="3"/>
      <c r="E24" s="12" t="str">
        <f aca="false">IF(הגדרות!A11="","",הגדרות!A11)</f>
        <v/>
      </c>
      <c r="F24" s="12" t="str">
        <f aca="false">IF(E24="","",COUNTIF(תוצאה!$C$2:$C$5001,E24))</f>
        <v/>
      </c>
    </row>
    <row r="25" customFormat="false" ht="15" hidden="false" customHeight="false" outlineLevel="0" collapsed="false">
      <c r="A25" s="3"/>
      <c r="B25" s="3"/>
      <c r="E25" s="12" t="str">
        <f aca="false">IF(הגדרות!A12="","",הגדרות!A12)</f>
        <v/>
      </c>
      <c r="F25" s="12" t="str">
        <f aca="false">IF(E25="","",COUNTIF(תוצאה!$C$2:$C$5001,E25))</f>
        <v/>
      </c>
    </row>
    <row r="26" customFormat="false" ht="15" hidden="false" customHeight="false" outlineLevel="0" collapsed="false">
      <c r="A26" s="3"/>
      <c r="B26" s="3"/>
      <c r="E26" s="12" t="str">
        <f aca="false">IF(הגדרות!A13="","",הגדרות!A13)</f>
        <v/>
      </c>
      <c r="F26" s="12" t="str">
        <f aca="false">IF(E26="","",COUNTIF(תוצאה!$C$2:$C$5001,E26))</f>
        <v/>
      </c>
    </row>
    <row r="27" customFormat="false" ht="15" hidden="false" customHeight="false" outlineLevel="0" collapsed="false">
      <c r="A27" s="3"/>
      <c r="B27" s="3"/>
      <c r="E27" s="12" t="str">
        <f aca="false">IF(הגדרות!A14="","",הגדרות!A14)</f>
        <v/>
      </c>
      <c r="F27" s="12" t="str">
        <f aca="false">IF(E27="","",COUNTIF(תוצאה!$C$2:$C$5001,E27))</f>
        <v/>
      </c>
    </row>
    <row r="28" customFormat="false" ht="15" hidden="false" customHeight="false" outlineLevel="0" collapsed="false">
      <c r="A28" s="3"/>
      <c r="B28" s="3"/>
      <c r="E28" s="12" t="str">
        <f aca="false">IF(הגדרות!A15="","",הגדרות!A15)</f>
        <v/>
      </c>
      <c r="F28" s="12" t="str">
        <f aca="false">IF(E28="","",COUNTIF(תוצאה!$C$2:$C$5001,E28))</f>
        <v/>
      </c>
    </row>
    <row r="29" customFormat="false" ht="15" hidden="false" customHeight="false" outlineLevel="0" collapsed="false">
      <c r="A29" s="3"/>
      <c r="B29" s="3"/>
      <c r="E29" s="12" t="str">
        <f aca="false">IF(הגדרות!A16="","",הגדרות!A16)</f>
        <v/>
      </c>
      <c r="F29" s="12" t="str">
        <f aca="false">IF(E29="","",COUNTIF(תוצאה!$C$2:$C$5001,E29))</f>
        <v/>
      </c>
    </row>
    <row r="30" customFormat="false" ht="15" hidden="false" customHeight="false" outlineLevel="0" collapsed="false">
      <c r="A30" s="3"/>
      <c r="B30" s="3"/>
      <c r="E30" s="12" t="str">
        <f aca="false">IF(הגדרות!A17="","",הגדרות!A17)</f>
        <v/>
      </c>
      <c r="F30" s="12" t="str">
        <f aca="false">IF(E30="","",COUNTIF(תוצאה!$C$2:$C$5001,E30))</f>
        <v/>
      </c>
    </row>
    <row r="31" customFormat="false" ht="15" hidden="false" customHeight="false" outlineLevel="0" collapsed="false">
      <c r="A31" s="3"/>
      <c r="B31" s="3"/>
      <c r="E31" s="12" t="str">
        <f aca="false">IF(הגדרות!A18="","",הגדרות!A18)</f>
        <v/>
      </c>
      <c r="F31" s="12" t="str">
        <f aca="false">IF(E31="","",COUNTIF(תוצאה!$C$2:$C$5001,E31))</f>
        <v/>
      </c>
    </row>
    <row r="32" customFormat="false" ht="15" hidden="false" customHeight="false" outlineLevel="0" collapsed="false">
      <c r="A32" s="3"/>
      <c r="B32" s="3"/>
      <c r="E32" s="12" t="str">
        <f aca="false">IF(הגדרות!A19="","",הגדרות!A19)</f>
        <v/>
      </c>
      <c r="F32" s="12" t="str">
        <f aca="false">IF(E32="","",COUNTIF(תוצאה!$C$2:$C$5001,E32))</f>
        <v/>
      </c>
    </row>
    <row r="33" customFormat="false" ht="15" hidden="false" customHeight="false" outlineLevel="0" collapsed="false">
      <c r="A33" s="3"/>
      <c r="B33" s="3"/>
      <c r="E33" s="12" t="str">
        <f aca="false">IF(הגדרות!A20="","",הגדרות!A20)</f>
        <v/>
      </c>
      <c r="F33" s="12" t="str">
        <f aca="false">IF(E33="","",COUNTIF(תוצאה!$C$2:$C$5001,E33))</f>
        <v/>
      </c>
    </row>
    <row r="34" customFormat="false" ht="15" hidden="false" customHeight="false" outlineLevel="0" collapsed="false">
      <c r="A34" s="3"/>
      <c r="B34" s="3"/>
      <c r="E34" s="12" t="str">
        <f aca="false">IF(הגדרות!A21="","",הגדרות!A21)</f>
        <v/>
      </c>
      <c r="F34" s="12" t="str">
        <f aca="false">IF(E34="","",COUNTIF(תוצאה!$C$2:$C$5001,E34))</f>
        <v/>
      </c>
    </row>
    <row r="35" customFormat="false" ht="15" hidden="false" customHeight="false" outlineLevel="0" collapsed="false">
      <c r="A35" s="3"/>
      <c r="B35" s="3"/>
      <c r="E35" s="4" t="s">
        <v>29</v>
      </c>
      <c r="F35" s="8" t="n">
        <f aca="false">SUM(F15:F34)</f>
        <v>0</v>
      </c>
    </row>
    <row r="36" customFormat="false" ht="15" hidden="false" customHeight="false" outlineLevel="0" collapsed="false">
      <c r="A36" s="3"/>
      <c r="B36" s="3"/>
    </row>
    <row r="37" customFormat="false" ht="15" hidden="false" customHeight="false" outlineLevel="0" collapsed="false">
      <c r="A37" s="3"/>
      <c r="B37" s="3"/>
    </row>
    <row r="38" customFormat="false" ht="15" hidden="false" customHeight="false" outlineLevel="0" collapsed="false">
      <c r="A38" s="3"/>
      <c r="B38" s="3"/>
    </row>
    <row r="39" customFormat="false" ht="15" hidden="false" customHeight="false" outlineLevel="0" collapsed="false">
      <c r="A39" s="3"/>
      <c r="B39" s="3"/>
    </row>
    <row r="40" customFormat="false" ht="15" hidden="false" customHeight="false" outlineLevel="0" collapsed="false">
      <c r="A40" s="3"/>
      <c r="B40" s="3"/>
    </row>
    <row r="41" customFormat="false" ht="15" hidden="false" customHeight="false" outlineLevel="0" collapsed="false">
      <c r="A41" s="3"/>
      <c r="B41" s="3"/>
    </row>
    <row r="42" customFormat="false" ht="15" hidden="false" customHeight="false" outlineLevel="0" collapsed="false">
      <c r="A42" s="3"/>
      <c r="B42" s="3"/>
    </row>
    <row r="43" customFormat="false" ht="15" hidden="false" customHeight="false" outlineLevel="0" collapsed="false">
      <c r="A43" s="3"/>
      <c r="B43" s="3"/>
    </row>
    <row r="44" customFormat="false" ht="15" hidden="false" customHeight="false" outlineLevel="0" collapsed="false">
      <c r="A44" s="3"/>
      <c r="B44" s="3"/>
    </row>
    <row r="45" customFormat="false" ht="15" hidden="false" customHeight="false" outlineLevel="0" collapsed="false">
      <c r="A45" s="3"/>
      <c r="B45" s="3"/>
    </row>
    <row r="46" customFormat="false" ht="15" hidden="false" customHeight="false" outlineLevel="0" collapsed="false">
      <c r="A46" s="3"/>
      <c r="B46" s="3"/>
    </row>
    <row r="47" customFormat="false" ht="15" hidden="false" customHeight="false" outlineLevel="0" collapsed="false">
      <c r="A47" s="3"/>
      <c r="B47" s="3"/>
    </row>
    <row r="48" customFormat="false" ht="15" hidden="false" customHeight="false" outlineLevel="0" collapsed="false">
      <c r="A48" s="3"/>
      <c r="B48" s="3"/>
    </row>
    <row r="49" customFormat="false" ht="15" hidden="false" customHeight="false" outlineLevel="0" collapsed="false">
      <c r="A49" s="3"/>
      <c r="B49" s="3"/>
    </row>
    <row r="50" customFormat="false" ht="15" hidden="false" customHeight="false" outlineLevel="0" collapsed="false">
      <c r="A50" s="3"/>
      <c r="B50" s="3"/>
    </row>
    <row r="51" customFormat="false" ht="15" hidden="false" customHeight="false" outlineLevel="0" collapsed="false">
      <c r="A51" s="3"/>
      <c r="B51" s="3"/>
    </row>
    <row r="52" customFormat="false" ht="15" hidden="false" customHeight="false" outlineLevel="0" collapsed="false">
      <c r="A52" s="3"/>
      <c r="B52" s="3"/>
    </row>
    <row r="53" customFormat="false" ht="15" hidden="false" customHeight="false" outlineLevel="0" collapsed="false">
      <c r="A53" s="3"/>
      <c r="B53" s="3"/>
    </row>
    <row r="54" customFormat="false" ht="15" hidden="false" customHeight="false" outlineLevel="0" collapsed="false">
      <c r="A54" s="3"/>
      <c r="B54" s="3"/>
    </row>
    <row r="55" customFormat="false" ht="15" hidden="false" customHeight="false" outlineLevel="0" collapsed="false">
      <c r="A55" s="3"/>
      <c r="B55" s="3"/>
    </row>
    <row r="56" customFormat="false" ht="15" hidden="false" customHeight="false" outlineLevel="0" collapsed="false">
      <c r="A56" s="3"/>
      <c r="B56" s="3"/>
    </row>
    <row r="57" customFormat="false" ht="15" hidden="false" customHeight="false" outlineLevel="0" collapsed="false">
      <c r="A57" s="3"/>
      <c r="B57" s="3"/>
    </row>
    <row r="58" customFormat="false" ht="15" hidden="false" customHeight="false" outlineLevel="0" collapsed="false">
      <c r="A58" s="3"/>
      <c r="B58" s="3"/>
    </row>
    <row r="59" customFormat="false" ht="15" hidden="false" customHeight="false" outlineLevel="0" collapsed="false">
      <c r="A59" s="3"/>
      <c r="B59" s="3"/>
    </row>
    <row r="60" customFormat="false" ht="15" hidden="false" customHeight="false" outlineLevel="0" collapsed="false">
      <c r="A60" s="3"/>
      <c r="B60" s="3"/>
    </row>
    <row r="61" customFormat="false" ht="15" hidden="false" customHeight="false" outlineLevel="0" collapsed="false">
      <c r="A61" s="3"/>
      <c r="B61" s="3"/>
    </row>
    <row r="62" customFormat="false" ht="15" hidden="false" customHeight="false" outlineLevel="0" collapsed="false">
      <c r="A62" s="3"/>
      <c r="B62" s="3"/>
    </row>
    <row r="63" customFormat="false" ht="15" hidden="false" customHeight="false" outlineLevel="0" collapsed="false">
      <c r="A63" s="3"/>
      <c r="B63" s="3"/>
    </row>
    <row r="64" customFormat="false" ht="15" hidden="false" customHeight="false" outlineLevel="0" collapsed="false">
      <c r="A64" s="3"/>
      <c r="B64" s="3"/>
    </row>
    <row r="65" customFormat="false" ht="15" hidden="false" customHeight="false" outlineLevel="0" collapsed="false">
      <c r="A65" s="3"/>
      <c r="B65" s="3"/>
    </row>
    <row r="66" customFormat="false" ht="15" hidden="false" customHeight="false" outlineLevel="0" collapsed="false">
      <c r="A66" s="3"/>
      <c r="B66" s="3"/>
    </row>
    <row r="67" customFormat="false" ht="15" hidden="false" customHeight="false" outlineLevel="0" collapsed="false">
      <c r="A67" s="3"/>
      <c r="B67" s="3"/>
    </row>
    <row r="68" customFormat="false" ht="15" hidden="false" customHeight="false" outlineLevel="0" collapsed="false">
      <c r="A68" s="3"/>
      <c r="B68" s="3"/>
    </row>
    <row r="69" customFormat="false" ht="15" hidden="false" customHeight="false" outlineLevel="0" collapsed="false">
      <c r="A69" s="3"/>
      <c r="B69" s="3"/>
    </row>
    <row r="70" customFormat="false" ht="15" hidden="false" customHeight="false" outlineLevel="0" collapsed="false">
      <c r="A70" s="3"/>
      <c r="B70" s="3"/>
    </row>
    <row r="71" customFormat="false" ht="15" hidden="false" customHeight="false" outlineLevel="0" collapsed="false">
      <c r="A71" s="3"/>
      <c r="B71" s="3"/>
    </row>
    <row r="72" customFormat="false" ht="15" hidden="false" customHeight="false" outlineLevel="0" collapsed="false">
      <c r="A72" s="3"/>
      <c r="B72" s="3"/>
    </row>
    <row r="73" customFormat="false" ht="15" hidden="false" customHeight="false" outlineLevel="0" collapsed="false">
      <c r="A73" s="3"/>
      <c r="B73" s="3"/>
    </row>
    <row r="74" customFormat="false" ht="15" hidden="false" customHeight="false" outlineLevel="0" collapsed="false">
      <c r="A74" s="3"/>
      <c r="B74" s="3"/>
    </row>
    <row r="75" customFormat="false" ht="15" hidden="false" customHeight="false" outlineLevel="0" collapsed="false">
      <c r="A75" s="3"/>
      <c r="B75" s="3"/>
    </row>
    <row r="76" customFormat="false" ht="15" hidden="false" customHeight="false" outlineLevel="0" collapsed="false">
      <c r="A76" s="3"/>
      <c r="B76" s="3"/>
    </row>
    <row r="77" customFormat="false" ht="15" hidden="false" customHeight="false" outlineLevel="0" collapsed="false">
      <c r="A77" s="3"/>
      <c r="B77" s="3"/>
    </row>
    <row r="78" customFormat="false" ht="15" hidden="false" customHeight="false" outlineLevel="0" collapsed="false">
      <c r="A78" s="3"/>
      <c r="B78" s="3"/>
    </row>
    <row r="79" customFormat="false" ht="15" hidden="false" customHeight="false" outlineLevel="0" collapsed="false">
      <c r="A79" s="3"/>
      <c r="B79" s="3"/>
    </row>
    <row r="80" customFormat="false" ht="15" hidden="false" customHeight="false" outlineLevel="0" collapsed="false">
      <c r="A80" s="3"/>
      <c r="B80" s="3"/>
    </row>
    <row r="81" customFormat="false" ht="15" hidden="false" customHeight="false" outlineLevel="0" collapsed="false">
      <c r="A81" s="3"/>
      <c r="B81" s="3"/>
    </row>
    <row r="82" customFormat="false" ht="15" hidden="false" customHeight="false" outlineLevel="0" collapsed="false">
      <c r="A82" s="3"/>
      <c r="B82" s="3"/>
    </row>
    <row r="83" customFormat="false" ht="15" hidden="false" customHeight="false" outlineLevel="0" collapsed="false">
      <c r="A83" s="3"/>
      <c r="B83" s="3"/>
    </row>
    <row r="84" customFormat="false" ht="15" hidden="false" customHeight="false" outlineLevel="0" collapsed="false">
      <c r="A84" s="3"/>
      <c r="B84" s="3"/>
    </row>
    <row r="85" customFormat="false" ht="15" hidden="false" customHeight="false" outlineLevel="0" collapsed="false">
      <c r="A85" s="3"/>
      <c r="B85" s="3"/>
    </row>
    <row r="86" customFormat="false" ht="15" hidden="false" customHeight="false" outlineLevel="0" collapsed="false">
      <c r="A86" s="3"/>
      <c r="B86" s="3"/>
    </row>
    <row r="87" customFormat="false" ht="15" hidden="false" customHeight="false" outlineLevel="0" collapsed="false">
      <c r="A87" s="3"/>
      <c r="B87" s="3"/>
    </row>
    <row r="88" customFormat="false" ht="15" hidden="false" customHeight="false" outlineLevel="0" collapsed="false">
      <c r="A88" s="3"/>
      <c r="B88" s="3"/>
    </row>
    <row r="89" customFormat="false" ht="15" hidden="false" customHeight="false" outlineLevel="0" collapsed="false">
      <c r="A89" s="3"/>
      <c r="B89" s="3"/>
    </row>
    <row r="90" customFormat="false" ht="15" hidden="false" customHeight="false" outlineLevel="0" collapsed="false">
      <c r="A90" s="3"/>
      <c r="B90" s="3"/>
    </row>
    <row r="91" customFormat="false" ht="15" hidden="false" customHeight="false" outlineLevel="0" collapsed="false">
      <c r="A91" s="3"/>
      <c r="B91" s="3"/>
    </row>
    <row r="92" customFormat="false" ht="15" hidden="false" customHeight="false" outlineLevel="0" collapsed="false">
      <c r="A92" s="3"/>
      <c r="B92" s="3"/>
    </row>
    <row r="93" customFormat="false" ht="15" hidden="false" customHeight="false" outlineLevel="0" collapsed="false">
      <c r="A93" s="3"/>
      <c r="B93" s="3"/>
    </row>
    <row r="94" customFormat="false" ht="15" hidden="false" customHeight="false" outlineLevel="0" collapsed="false">
      <c r="A94" s="3"/>
      <c r="B94" s="3"/>
    </row>
    <row r="95" customFormat="false" ht="15" hidden="false" customHeight="false" outlineLevel="0" collapsed="false">
      <c r="A95" s="3"/>
      <c r="B95" s="3"/>
    </row>
    <row r="96" customFormat="false" ht="15" hidden="false" customHeight="false" outlineLevel="0" collapsed="false">
      <c r="A96" s="3"/>
      <c r="B96" s="3"/>
    </row>
    <row r="97" customFormat="false" ht="15" hidden="false" customHeight="false" outlineLevel="0" collapsed="false">
      <c r="A97" s="3"/>
      <c r="B97" s="3"/>
    </row>
    <row r="98" customFormat="false" ht="15" hidden="false" customHeight="false" outlineLevel="0" collapsed="false">
      <c r="A98" s="3"/>
      <c r="B98" s="3"/>
    </row>
    <row r="99" customFormat="false" ht="15" hidden="false" customHeight="false" outlineLevel="0" collapsed="false">
      <c r="A99" s="3"/>
      <c r="B99" s="3"/>
    </row>
    <row r="100" customFormat="false" ht="15" hidden="false" customHeight="false" outlineLevel="0" collapsed="false">
      <c r="A100" s="3"/>
      <c r="B100" s="3"/>
    </row>
    <row r="101" customFormat="false" ht="15" hidden="false" customHeight="false" outlineLevel="0" collapsed="false">
      <c r="A101" s="3"/>
      <c r="B101" s="3"/>
    </row>
    <row r="102" customFormat="false" ht="15" hidden="false" customHeight="false" outlineLevel="0" collapsed="false">
      <c r="A102" s="3"/>
      <c r="B102" s="3"/>
    </row>
    <row r="103" customFormat="false" ht="15" hidden="false" customHeight="false" outlineLevel="0" collapsed="false">
      <c r="A103" s="3"/>
      <c r="B103" s="3"/>
    </row>
    <row r="104" customFormat="false" ht="15" hidden="false" customHeight="false" outlineLevel="0" collapsed="false">
      <c r="A104" s="3"/>
      <c r="B104" s="3"/>
    </row>
    <row r="105" customFormat="false" ht="15" hidden="false" customHeight="false" outlineLevel="0" collapsed="false">
      <c r="A105" s="3"/>
      <c r="B105" s="3"/>
    </row>
    <row r="106" customFormat="false" ht="15" hidden="false" customHeight="false" outlineLevel="0" collapsed="false">
      <c r="A106" s="3"/>
      <c r="B106" s="3"/>
    </row>
    <row r="107" customFormat="false" ht="15" hidden="false" customHeight="false" outlineLevel="0" collapsed="false">
      <c r="A107" s="3"/>
      <c r="B107" s="3"/>
    </row>
    <row r="108" customFormat="false" ht="15" hidden="false" customHeight="false" outlineLevel="0" collapsed="false">
      <c r="A108" s="3"/>
      <c r="B108" s="3"/>
    </row>
    <row r="109" customFormat="false" ht="15" hidden="false" customHeight="false" outlineLevel="0" collapsed="false">
      <c r="A109" s="3"/>
      <c r="B109" s="3"/>
    </row>
    <row r="110" customFormat="false" ht="15" hidden="false" customHeight="false" outlineLevel="0" collapsed="false">
      <c r="A110" s="3"/>
      <c r="B110" s="3"/>
    </row>
    <row r="111" customFormat="false" ht="15" hidden="false" customHeight="false" outlineLevel="0" collapsed="false">
      <c r="A111" s="3"/>
      <c r="B111" s="3"/>
    </row>
    <row r="112" customFormat="false" ht="15" hidden="false" customHeight="false" outlineLevel="0" collapsed="false">
      <c r="A112" s="3"/>
      <c r="B112" s="3"/>
    </row>
    <row r="113" customFormat="false" ht="15" hidden="false" customHeight="false" outlineLevel="0" collapsed="false">
      <c r="A113" s="3"/>
      <c r="B113" s="3"/>
    </row>
    <row r="114" customFormat="false" ht="15" hidden="false" customHeight="false" outlineLevel="0" collapsed="false">
      <c r="A114" s="3"/>
      <c r="B114" s="3"/>
    </row>
    <row r="115" customFormat="false" ht="15" hidden="false" customHeight="false" outlineLevel="0" collapsed="false">
      <c r="A115" s="3"/>
      <c r="B115" s="3"/>
    </row>
    <row r="116" customFormat="false" ht="15" hidden="false" customHeight="false" outlineLevel="0" collapsed="false">
      <c r="A116" s="3"/>
      <c r="B116" s="3"/>
    </row>
    <row r="117" customFormat="false" ht="15" hidden="false" customHeight="false" outlineLevel="0" collapsed="false">
      <c r="A117" s="3"/>
      <c r="B117" s="3"/>
    </row>
    <row r="118" customFormat="false" ht="15" hidden="false" customHeight="false" outlineLevel="0" collapsed="false">
      <c r="A118" s="3"/>
      <c r="B118" s="3"/>
    </row>
    <row r="119" customFormat="false" ht="15" hidden="false" customHeight="false" outlineLevel="0" collapsed="false">
      <c r="A119" s="3"/>
      <c r="B119" s="3"/>
    </row>
    <row r="120" customFormat="false" ht="15" hidden="false" customHeight="false" outlineLevel="0" collapsed="false">
      <c r="A120" s="3"/>
      <c r="B120" s="3"/>
    </row>
    <row r="121" customFormat="false" ht="15" hidden="false" customHeight="false" outlineLevel="0" collapsed="false">
      <c r="A121" s="3"/>
      <c r="B121" s="3"/>
    </row>
    <row r="122" customFormat="false" ht="15" hidden="false" customHeight="false" outlineLevel="0" collapsed="false">
      <c r="A122" s="3"/>
      <c r="B122" s="3"/>
    </row>
    <row r="123" customFormat="false" ht="15" hidden="false" customHeight="false" outlineLevel="0" collapsed="false">
      <c r="A123" s="3"/>
      <c r="B123" s="3"/>
    </row>
    <row r="124" customFormat="false" ht="15" hidden="false" customHeight="false" outlineLevel="0" collapsed="false">
      <c r="A124" s="3"/>
      <c r="B124" s="3"/>
    </row>
    <row r="125" customFormat="false" ht="15" hidden="false" customHeight="false" outlineLevel="0" collapsed="false">
      <c r="A125" s="3"/>
      <c r="B125" s="3"/>
    </row>
    <row r="126" customFormat="false" ht="15" hidden="false" customHeight="false" outlineLevel="0" collapsed="false">
      <c r="A126" s="3"/>
      <c r="B126" s="3"/>
    </row>
    <row r="127" customFormat="false" ht="15" hidden="false" customHeight="false" outlineLevel="0" collapsed="false">
      <c r="A127" s="3"/>
      <c r="B127" s="3"/>
    </row>
    <row r="128" customFormat="false" ht="15" hidden="false" customHeight="false" outlineLevel="0" collapsed="false">
      <c r="A128" s="3"/>
      <c r="B128" s="3"/>
    </row>
    <row r="129" customFormat="false" ht="15" hidden="false" customHeight="false" outlineLevel="0" collapsed="false">
      <c r="A129" s="3"/>
      <c r="B129" s="3"/>
    </row>
    <row r="130" customFormat="false" ht="15" hidden="false" customHeight="false" outlineLevel="0" collapsed="false">
      <c r="A130" s="3"/>
      <c r="B130" s="3"/>
    </row>
    <row r="131" customFormat="false" ht="15" hidden="false" customHeight="false" outlineLevel="0" collapsed="false">
      <c r="A131" s="3"/>
      <c r="B131" s="3"/>
    </row>
    <row r="132" customFormat="false" ht="15" hidden="false" customHeight="false" outlineLevel="0" collapsed="false">
      <c r="A132" s="3"/>
      <c r="B132" s="3"/>
    </row>
    <row r="133" customFormat="false" ht="15" hidden="false" customHeight="false" outlineLevel="0" collapsed="false">
      <c r="A133" s="3"/>
      <c r="B133" s="3"/>
    </row>
    <row r="134" customFormat="false" ht="15" hidden="false" customHeight="false" outlineLevel="0" collapsed="false">
      <c r="A134" s="3"/>
      <c r="B134" s="3"/>
    </row>
    <row r="135" customFormat="false" ht="15" hidden="false" customHeight="false" outlineLevel="0" collapsed="false">
      <c r="A135" s="3"/>
      <c r="B135" s="3"/>
    </row>
    <row r="136" customFormat="false" ht="15" hidden="false" customHeight="false" outlineLevel="0" collapsed="false">
      <c r="A136" s="3"/>
      <c r="B136" s="3"/>
    </row>
    <row r="137" customFormat="false" ht="15" hidden="false" customHeight="false" outlineLevel="0" collapsed="false">
      <c r="A137" s="3"/>
      <c r="B137" s="3"/>
    </row>
    <row r="138" customFormat="false" ht="15" hidden="false" customHeight="false" outlineLevel="0" collapsed="false">
      <c r="A138" s="3"/>
      <c r="B138" s="3"/>
    </row>
    <row r="139" customFormat="false" ht="15" hidden="false" customHeight="false" outlineLevel="0" collapsed="false">
      <c r="A139" s="3"/>
      <c r="B139" s="3"/>
    </row>
    <row r="140" customFormat="false" ht="15" hidden="false" customHeight="false" outlineLevel="0" collapsed="false">
      <c r="A140" s="3"/>
      <c r="B140" s="3"/>
    </row>
    <row r="141" customFormat="false" ht="15" hidden="false" customHeight="false" outlineLevel="0" collapsed="false">
      <c r="A141" s="3"/>
      <c r="B141" s="3"/>
    </row>
    <row r="142" customFormat="false" ht="15" hidden="false" customHeight="false" outlineLevel="0" collapsed="false">
      <c r="A142" s="3"/>
      <c r="B142" s="3"/>
    </row>
    <row r="143" customFormat="false" ht="15" hidden="false" customHeight="false" outlineLevel="0" collapsed="false">
      <c r="A143" s="3"/>
      <c r="B143" s="3"/>
    </row>
    <row r="144" customFormat="false" ht="15" hidden="false" customHeight="false" outlineLevel="0" collapsed="false">
      <c r="A144" s="3"/>
      <c r="B144" s="3"/>
    </row>
    <row r="145" customFormat="false" ht="15" hidden="false" customHeight="false" outlineLevel="0" collapsed="false">
      <c r="A145" s="3"/>
      <c r="B145" s="3"/>
    </row>
    <row r="146" customFormat="false" ht="15" hidden="false" customHeight="false" outlineLevel="0" collapsed="false">
      <c r="A146" s="3"/>
      <c r="B146" s="3"/>
    </row>
    <row r="147" customFormat="false" ht="15" hidden="false" customHeight="false" outlineLevel="0" collapsed="false">
      <c r="A147" s="3"/>
      <c r="B147" s="3"/>
    </row>
    <row r="148" customFormat="false" ht="15" hidden="false" customHeight="false" outlineLevel="0" collapsed="false">
      <c r="A148" s="3"/>
      <c r="B148" s="3"/>
    </row>
    <row r="149" customFormat="false" ht="15" hidden="false" customHeight="false" outlineLevel="0" collapsed="false">
      <c r="A149" s="3"/>
      <c r="B149" s="3"/>
    </row>
    <row r="150" customFormat="false" ht="15" hidden="false" customHeight="false" outlineLevel="0" collapsed="false">
      <c r="A150" s="3"/>
      <c r="B150" s="3"/>
    </row>
    <row r="151" customFormat="false" ht="15" hidden="false" customHeight="false" outlineLevel="0" collapsed="false">
      <c r="A151" s="3"/>
      <c r="B151" s="3"/>
    </row>
    <row r="152" customFormat="false" ht="15" hidden="false" customHeight="false" outlineLevel="0" collapsed="false">
      <c r="A152" s="3"/>
      <c r="B152" s="3"/>
    </row>
    <row r="153" customFormat="false" ht="15" hidden="false" customHeight="false" outlineLevel="0" collapsed="false">
      <c r="A153" s="3"/>
      <c r="B153" s="3"/>
    </row>
    <row r="154" customFormat="false" ht="15" hidden="false" customHeight="false" outlineLevel="0" collapsed="false">
      <c r="A154" s="3"/>
      <c r="B154" s="3"/>
    </row>
    <row r="155" customFormat="false" ht="15" hidden="false" customHeight="false" outlineLevel="0" collapsed="false">
      <c r="A155" s="3"/>
      <c r="B155" s="3"/>
    </row>
    <row r="156" customFormat="false" ht="15" hidden="false" customHeight="false" outlineLevel="0" collapsed="false">
      <c r="A156" s="3"/>
      <c r="B156" s="3"/>
    </row>
    <row r="157" customFormat="false" ht="15" hidden="false" customHeight="false" outlineLevel="0" collapsed="false">
      <c r="A157" s="3"/>
      <c r="B157" s="3"/>
    </row>
    <row r="158" customFormat="false" ht="15" hidden="false" customHeight="false" outlineLevel="0" collapsed="false">
      <c r="A158" s="3"/>
      <c r="B158" s="3"/>
    </row>
    <row r="159" customFormat="false" ht="15" hidden="false" customHeight="false" outlineLevel="0" collapsed="false">
      <c r="A159" s="3"/>
      <c r="B159" s="3"/>
    </row>
    <row r="160" customFormat="false" ht="15" hidden="false" customHeight="false" outlineLevel="0" collapsed="false">
      <c r="A160" s="3"/>
      <c r="B160" s="3"/>
    </row>
    <row r="161" customFormat="false" ht="15" hidden="false" customHeight="false" outlineLevel="0" collapsed="false">
      <c r="A161" s="3"/>
      <c r="B161" s="3"/>
    </row>
    <row r="162" customFormat="false" ht="15" hidden="false" customHeight="false" outlineLevel="0" collapsed="false">
      <c r="A162" s="3"/>
      <c r="B162" s="3"/>
    </row>
    <row r="163" customFormat="false" ht="15" hidden="false" customHeight="false" outlineLevel="0" collapsed="false">
      <c r="A163" s="3"/>
      <c r="B163" s="3"/>
    </row>
    <row r="164" customFormat="false" ht="15" hidden="false" customHeight="false" outlineLevel="0" collapsed="false">
      <c r="A164" s="3"/>
      <c r="B164" s="3"/>
    </row>
    <row r="165" customFormat="false" ht="15" hidden="false" customHeight="false" outlineLevel="0" collapsed="false">
      <c r="A165" s="3"/>
      <c r="B165" s="3"/>
    </row>
    <row r="166" customFormat="false" ht="15" hidden="false" customHeight="false" outlineLevel="0" collapsed="false">
      <c r="A166" s="3"/>
      <c r="B166" s="3"/>
    </row>
    <row r="167" customFormat="false" ht="15" hidden="false" customHeight="false" outlineLevel="0" collapsed="false">
      <c r="A167" s="3"/>
      <c r="B167" s="3"/>
    </row>
    <row r="168" customFormat="false" ht="15" hidden="false" customHeight="false" outlineLevel="0" collapsed="false">
      <c r="A168" s="3"/>
      <c r="B168" s="3"/>
    </row>
    <row r="169" customFormat="false" ht="15" hidden="false" customHeight="false" outlineLevel="0" collapsed="false">
      <c r="A169" s="3"/>
      <c r="B169" s="3"/>
    </row>
    <row r="170" customFormat="false" ht="15" hidden="false" customHeight="false" outlineLevel="0" collapsed="false">
      <c r="A170" s="3"/>
      <c r="B170" s="3"/>
    </row>
    <row r="171" customFormat="false" ht="15" hidden="false" customHeight="false" outlineLevel="0" collapsed="false">
      <c r="A171" s="3"/>
      <c r="B171" s="3"/>
    </row>
    <row r="172" customFormat="false" ht="15" hidden="false" customHeight="false" outlineLevel="0" collapsed="false">
      <c r="A172" s="3"/>
      <c r="B172" s="3"/>
    </row>
    <row r="173" customFormat="false" ht="15" hidden="false" customHeight="false" outlineLevel="0" collapsed="false">
      <c r="A173" s="3"/>
      <c r="B173" s="3"/>
    </row>
    <row r="174" customFormat="false" ht="15" hidden="false" customHeight="false" outlineLevel="0" collapsed="false">
      <c r="A174" s="3"/>
      <c r="B174" s="3"/>
    </row>
    <row r="175" customFormat="false" ht="15" hidden="false" customHeight="false" outlineLevel="0" collapsed="false">
      <c r="A175" s="3"/>
      <c r="B175" s="3"/>
    </row>
    <row r="176" customFormat="false" ht="15" hidden="false" customHeight="false" outlineLevel="0" collapsed="false">
      <c r="A176" s="3"/>
      <c r="B176" s="3"/>
    </row>
    <row r="177" customFormat="false" ht="15" hidden="false" customHeight="false" outlineLevel="0" collapsed="false">
      <c r="A177" s="3"/>
      <c r="B177" s="3"/>
    </row>
    <row r="178" customFormat="false" ht="15" hidden="false" customHeight="false" outlineLevel="0" collapsed="false">
      <c r="A178" s="3"/>
      <c r="B178" s="3"/>
    </row>
    <row r="179" customFormat="false" ht="15" hidden="false" customHeight="false" outlineLevel="0" collapsed="false">
      <c r="A179" s="3"/>
      <c r="B179" s="3"/>
    </row>
    <row r="180" customFormat="false" ht="15" hidden="false" customHeight="false" outlineLevel="0" collapsed="false">
      <c r="A180" s="3"/>
      <c r="B180" s="3"/>
    </row>
    <row r="181" customFormat="false" ht="15" hidden="false" customHeight="false" outlineLevel="0" collapsed="false">
      <c r="A181" s="3"/>
      <c r="B181" s="3"/>
    </row>
    <row r="182" customFormat="false" ht="15" hidden="false" customHeight="false" outlineLevel="0" collapsed="false">
      <c r="A182" s="3"/>
      <c r="B182" s="3"/>
    </row>
    <row r="183" customFormat="false" ht="15" hidden="false" customHeight="false" outlineLevel="0" collapsed="false">
      <c r="A183" s="3"/>
      <c r="B183" s="3"/>
    </row>
    <row r="184" customFormat="false" ht="15" hidden="false" customHeight="false" outlineLevel="0" collapsed="false">
      <c r="A184" s="3"/>
      <c r="B184" s="3"/>
    </row>
    <row r="185" customFormat="false" ht="15" hidden="false" customHeight="false" outlineLevel="0" collapsed="false">
      <c r="A185" s="3"/>
      <c r="B185" s="3"/>
    </row>
    <row r="186" customFormat="false" ht="15" hidden="false" customHeight="false" outlineLevel="0" collapsed="false">
      <c r="A186" s="3"/>
      <c r="B186" s="3"/>
    </row>
    <row r="187" customFormat="false" ht="15" hidden="false" customHeight="false" outlineLevel="0" collapsed="false">
      <c r="A187" s="3"/>
      <c r="B187" s="3"/>
    </row>
    <row r="188" customFormat="false" ht="15" hidden="false" customHeight="false" outlineLevel="0" collapsed="false">
      <c r="A188" s="3"/>
      <c r="B188" s="3"/>
    </row>
    <row r="189" customFormat="false" ht="15" hidden="false" customHeight="false" outlineLevel="0" collapsed="false">
      <c r="A189" s="3"/>
      <c r="B189" s="3"/>
    </row>
    <row r="190" customFormat="false" ht="15" hidden="false" customHeight="false" outlineLevel="0" collapsed="false">
      <c r="A190" s="3"/>
      <c r="B190" s="3"/>
    </row>
    <row r="191" customFormat="false" ht="15" hidden="false" customHeight="false" outlineLevel="0" collapsed="false">
      <c r="A191" s="3"/>
      <c r="B191" s="3"/>
    </row>
    <row r="192" customFormat="false" ht="15" hidden="false" customHeight="false" outlineLevel="0" collapsed="false">
      <c r="A192" s="3"/>
      <c r="B192" s="3"/>
    </row>
    <row r="193" customFormat="false" ht="15" hidden="false" customHeight="false" outlineLevel="0" collapsed="false">
      <c r="A193" s="3"/>
      <c r="B193" s="3"/>
    </row>
    <row r="194" customFormat="false" ht="15" hidden="false" customHeight="false" outlineLevel="0" collapsed="false">
      <c r="A194" s="3"/>
      <c r="B194" s="3"/>
    </row>
    <row r="195" customFormat="false" ht="15" hidden="false" customHeight="false" outlineLevel="0" collapsed="false">
      <c r="A195" s="3"/>
      <c r="B195" s="3"/>
    </row>
    <row r="196" customFormat="false" ht="15" hidden="false" customHeight="false" outlineLevel="0" collapsed="false">
      <c r="A196" s="3"/>
      <c r="B196" s="3"/>
    </row>
    <row r="197" customFormat="false" ht="15" hidden="false" customHeight="false" outlineLevel="0" collapsed="false">
      <c r="A197" s="3"/>
      <c r="B197" s="3"/>
    </row>
    <row r="198" customFormat="false" ht="15" hidden="false" customHeight="false" outlineLevel="0" collapsed="false">
      <c r="A198" s="3"/>
      <c r="B198" s="3"/>
    </row>
    <row r="199" customFormat="false" ht="15" hidden="false" customHeight="false" outlineLevel="0" collapsed="false">
      <c r="A199" s="3"/>
      <c r="B199" s="3"/>
    </row>
    <row r="200" customFormat="false" ht="15" hidden="false" customHeight="false" outlineLevel="0" collapsed="false">
      <c r="A200" s="3"/>
      <c r="B200" s="3"/>
    </row>
    <row r="201" customFormat="false" ht="15" hidden="false" customHeight="false" outlineLevel="0" collapsed="false">
      <c r="A201" s="3"/>
      <c r="B201" s="3"/>
    </row>
    <row r="202" customFormat="false" ht="15" hidden="false" customHeight="false" outlineLevel="0" collapsed="false">
      <c r="A202" s="3"/>
      <c r="B202" s="3"/>
    </row>
    <row r="203" customFormat="false" ht="15" hidden="false" customHeight="false" outlineLevel="0" collapsed="false">
      <c r="A203" s="3"/>
      <c r="B203" s="3"/>
    </row>
    <row r="204" customFormat="false" ht="15" hidden="false" customHeight="false" outlineLevel="0" collapsed="false">
      <c r="A204" s="3"/>
      <c r="B204" s="3"/>
    </row>
    <row r="205" customFormat="false" ht="15" hidden="false" customHeight="false" outlineLevel="0" collapsed="false">
      <c r="A205" s="3"/>
      <c r="B205" s="3"/>
    </row>
    <row r="206" customFormat="false" ht="15" hidden="false" customHeight="false" outlineLevel="0" collapsed="false">
      <c r="A206" s="3"/>
      <c r="B206" s="3"/>
    </row>
    <row r="207" customFormat="false" ht="15" hidden="false" customHeight="false" outlineLevel="0" collapsed="false">
      <c r="A207" s="3"/>
      <c r="B207" s="3"/>
    </row>
    <row r="208" customFormat="false" ht="15" hidden="false" customHeight="false" outlineLevel="0" collapsed="false">
      <c r="A208" s="3"/>
      <c r="B208" s="3"/>
    </row>
    <row r="209" customFormat="false" ht="15" hidden="false" customHeight="false" outlineLevel="0" collapsed="false">
      <c r="A209" s="3"/>
      <c r="B209" s="3"/>
    </row>
    <row r="210" customFormat="false" ht="15" hidden="false" customHeight="false" outlineLevel="0" collapsed="false">
      <c r="A210" s="3"/>
      <c r="B210" s="3"/>
    </row>
    <row r="211" customFormat="false" ht="15" hidden="false" customHeight="false" outlineLevel="0" collapsed="false">
      <c r="A211" s="3"/>
      <c r="B211" s="3"/>
    </row>
    <row r="212" customFormat="false" ht="15" hidden="false" customHeight="false" outlineLevel="0" collapsed="false">
      <c r="A212" s="3"/>
      <c r="B212" s="3"/>
    </row>
    <row r="213" customFormat="false" ht="15" hidden="false" customHeight="false" outlineLevel="0" collapsed="false">
      <c r="A213" s="3"/>
      <c r="B213" s="3"/>
    </row>
    <row r="214" customFormat="false" ht="15" hidden="false" customHeight="false" outlineLevel="0" collapsed="false">
      <c r="A214" s="3"/>
      <c r="B214" s="3"/>
    </row>
    <row r="215" customFormat="false" ht="15" hidden="false" customHeight="false" outlineLevel="0" collapsed="false">
      <c r="A215" s="3"/>
      <c r="B215" s="3"/>
    </row>
    <row r="216" customFormat="false" ht="15" hidden="false" customHeight="false" outlineLevel="0" collapsed="false">
      <c r="A216" s="3"/>
      <c r="B216" s="3"/>
    </row>
    <row r="217" customFormat="false" ht="15" hidden="false" customHeight="false" outlineLevel="0" collapsed="false">
      <c r="A217" s="3"/>
      <c r="B217" s="3"/>
    </row>
    <row r="218" customFormat="false" ht="15" hidden="false" customHeight="false" outlineLevel="0" collapsed="false">
      <c r="A218" s="3"/>
      <c r="B218" s="3"/>
    </row>
    <row r="219" customFormat="false" ht="15" hidden="false" customHeight="false" outlineLevel="0" collapsed="false">
      <c r="A219" s="3"/>
      <c r="B219" s="3"/>
    </row>
    <row r="220" customFormat="false" ht="15" hidden="false" customHeight="false" outlineLevel="0" collapsed="false">
      <c r="A220" s="3"/>
      <c r="B220" s="3"/>
    </row>
    <row r="221" customFormat="false" ht="15" hidden="false" customHeight="false" outlineLevel="0" collapsed="false">
      <c r="A221" s="3"/>
      <c r="B221" s="3"/>
    </row>
    <row r="222" customFormat="false" ht="15" hidden="false" customHeight="false" outlineLevel="0" collapsed="false">
      <c r="A222" s="3"/>
      <c r="B222" s="3"/>
    </row>
    <row r="223" customFormat="false" ht="15" hidden="false" customHeight="false" outlineLevel="0" collapsed="false">
      <c r="A223" s="3"/>
      <c r="B223" s="3"/>
    </row>
    <row r="224" customFormat="false" ht="15" hidden="false" customHeight="false" outlineLevel="0" collapsed="false">
      <c r="A224" s="3"/>
      <c r="B224" s="3"/>
    </row>
    <row r="225" customFormat="false" ht="15" hidden="false" customHeight="false" outlineLevel="0" collapsed="false">
      <c r="A225" s="3"/>
      <c r="B225" s="3"/>
    </row>
    <row r="226" customFormat="false" ht="15" hidden="false" customHeight="false" outlineLevel="0" collapsed="false">
      <c r="A226" s="3"/>
      <c r="B226" s="3"/>
    </row>
    <row r="227" customFormat="false" ht="15" hidden="false" customHeight="false" outlineLevel="0" collapsed="false">
      <c r="A227" s="3"/>
      <c r="B227" s="3"/>
    </row>
    <row r="228" customFormat="false" ht="15" hidden="false" customHeight="false" outlineLevel="0" collapsed="false">
      <c r="A228" s="3"/>
      <c r="B228" s="3"/>
    </row>
    <row r="229" customFormat="false" ht="15" hidden="false" customHeight="false" outlineLevel="0" collapsed="false">
      <c r="A229" s="3"/>
      <c r="B229" s="3"/>
    </row>
    <row r="230" customFormat="false" ht="15" hidden="false" customHeight="false" outlineLevel="0" collapsed="false">
      <c r="A230" s="3"/>
      <c r="B230" s="3"/>
    </row>
    <row r="231" customFormat="false" ht="15" hidden="false" customHeight="false" outlineLevel="0" collapsed="false">
      <c r="A231" s="3"/>
      <c r="B231" s="3"/>
    </row>
    <row r="232" customFormat="false" ht="15" hidden="false" customHeight="false" outlineLevel="0" collapsed="false">
      <c r="A232" s="3"/>
      <c r="B232" s="3"/>
    </row>
    <row r="233" customFormat="false" ht="15" hidden="false" customHeight="false" outlineLevel="0" collapsed="false">
      <c r="A233" s="3"/>
      <c r="B233" s="3"/>
    </row>
    <row r="234" customFormat="false" ht="15" hidden="false" customHeight="false" outlineLevel="0" collapsed="false">
      <c r="A234" s="3"/>
      <c r="B234" s="3"/>
    </row>
    <row r="235" customFormat="false" ht="15" hidden="false" customHeight="false" outlineLevel="0" collapsed="false">
      <c r="A235" s="3"/>
      <c r="B235" s="3"/>
    </row>
    <row r="236" customFormat="false" ht="15" hidden="false" customHeight="false" outlineLevel="0" collapsed="false">
      <c r="A236" s="3"/>
      <c r="B236" s="3"/>
    </row>
    <row r="237" customFormat="false" ht="15" hidden="false" customHeight="false" outlineLevel="0" collapsed="false">
      <c r="A237" s="3"/>
      <c r="B237" s="3"/>
    </row>
    <row r="238" customFormat="false" ht="15" hidden="false" customHeight="false" outlineLevel="0" collapsed="false">
      <c r="A238" s="3"/>
      <c r="B238" s="3"/>
    </row>
    <row r="239" customFormat="false" ht="15" hidden="false" customHeight="false" outlineLevel="0" collapsed="false">
      <c r="A239" s="3"/>
      <c r="B239" s="3"/>
    </row>
    <row r="240" customFormat="false" ht="15" hidden="false" customHeight="false" outlineLevel="0" collapsed="false">
      <c r="A240" s="3"/>
      <c r="B240" s="3"/>
    </row>
    <row r="241" customFormat="false" ht="15" hidden="false" customHeight="false" outlineLevel="0" collapsed="false">
      <c r="A241" s="3"/>
      <c r="B241" s="3"/>
    </row>
    <row r="242" customFormat="false" ht="15" hidden="false" customHeight="false" outlineLevel="0" collapsed="false">
      <c r="A242" s="3"/>
      <c r="B242" s="3"/>
    </row>
    <row r="243" customFormat="false" ht="15" hidden="false" customHeight="false" outlineLevel="0" collapsed="false">
      <c r="A243" s="3"/>
      <c r="B243" s="3"/>
    </row>
    <row r="244" customFormat="false" ht="15" hidden="false" customHeight="false" outlineLevel="0" collapsed="false">
      <c r="A244" s="3"/>
      <c r="B244" s="3"/>
    </row>
    <row r="245" customFormat="false" ht="15" hidden="false" customHeight="false" outlineLevel="0" collapsed="false">
      <c r="A245" s="3"/>
      <c r="B245" s="3"/>
    </row>
    <row r="246" customFormat="false" ht="15" hidden="false" customHeight="false" outlineLevel="0" collapsed="false">
      <c r="A246" s="3"/>
      <c r="B246" s="3"/>
    </row>
    <row r="247" customFormat="false" ht="15" hidden="false" customHeight="false" outlineLevel="0" collapsed="false">
      <c r="A247" s="3"/>
      <c r="B247" s="3"/>
    </row>
    <row r="248" customFormat="false" ht="15" hidden="false" customHeight="false" outlineLevel="0" collapsed="false">
      <c r="A248" s="3"/>
      <c r="B248" s="3"/>
    </row>
    <row r="249" customFormat="false" ht="15" hidden="false" customHeight="false" outlineLevel="0" collapsed="false">
      <c r="A249" s="3"/>
      <c r="B249" s="3"/>
    </row>
    <row r="250" customFormat="false" ht="15" hidden="false" customHeight="false" outlineLevel="0" collapsed="false">
      <c r="A250" s="3"/>
      <c r="B250" s="3"/>
    </row>
    <row r="251" customFormat="false" ht="15" hidden="false" customHeight="false" outlineLevel="0" collapsed="false">
      <c r="A251" s="3"/>
      <c r="B251" s="3"/>
    </row>
    <row r="252" customFormat="false" ht="15" hidden="false" customHeight="false" outlineLevel="0" collapsed="false">
      <c r="A252" s="3"/>
      <c r="B252" s="3"/>
    </row>
    <row r="253" customFormat="false" ht="15" hidden="false" customHeight="false" outlineLevel="0" collapsed="false">
      <c r="A253" s="3"/>
      <c r="B253" s="3"/>
    </row>
    <row r="254" customFormat="false" ht="15" hidden="false" customHeight="false" outlineLevel="0" collapsed="false">
      <c r="A254" s="3"/>
      <c r="B254" s="3"/>
    </row>
    <row r="255" customFormat="false" ht="15" hidden="false" customHeight="false" outlineLevel="0" collapsed="false">
      <c r="A255" s="3"/>
      <c r="B255" s="3"/>
    </row>
    <row r="256" customFormat="false" ht="15" hidden="false" customHeight="false" outlineLevel="0" collapsed="false">
      <c r="A256" s="3"/>
      <c r="B256" s="3"/>
    </row>
    <row r="257" customFormat="false" ht="15" hidden="false" customHeight="false" outlineLevel="0" collapsed="false">
      <c r="A257" s="3"/>
      <c r="B257" s="3"/>
    </row>
    <row r="258" customFormat="false" ht="15" hidden="false" customHeight="false" outlineLevel="0" collapsed="false">
      <c r="A258" s="3"/>
      <c r="B258" s="3"/>
    </row>
    <row r="259" customFormat="false" ht="15" hidden="false" customHeight="false" outlineLevel="0" collapsed="false">
      <c r="A259" s="3"/>
      <c r="B259" s="3"/>
    </row>
    <row r="260" customFormat="false" ht="15" hidden="false" customHeight="false" outlineLevel="0" collapsed="false">
      <c r="A260" s="3"/>
      <c r="B260" s="3"/>
    </row>
    <row r="261" customFormat="false" ht="15" hidden="false" customHeight="false" outlineLevel="0" collapsed="false">
      <c r="A261" s="3"/>
      <c r="B261" s="3"/>
    </row>
    <row r="262" customFormat="false" ht="15" hidden="false" customHeight="false" outlineLevel="0" collapsed="false">
      <c r="A262" s="3"/>
      <c r="B262" s="3"/>
    </row>
    <row r="263" customFormat="false" ht="15" hidden="false" customHeight="false" outlineLevel="0" collapsed="false">
      <c r="A263" s="3"/>
      <c r="B263" s="3"/>
    </row>
    <row r="264" customFormat="false" ht="15" hidden="false" customHeight="false" outlineLevel="0" collapsed="false">
      <c r="A264" s="3"/>
      <c r="B264" s="3"/>
    </row>
    <row r="265" customFormat="false" ht="15" hidden="false" customHeight="false" outlineLevel="0" collapsed="false">
      <c r="A265" s="3"/>
      <c r="B265" s="3"/>
    </row>
    <row r="266" customFormat="false" ht="15" hidden="false" customHeight="false" outlineLevel="0" collapsed="false">
      <c r="A266" s="3"/>
      <c r="B266" s="3"/>
    </row>
    <row r="267" customFormat="false" ht="15" hidden="false" customHeight="false" outlineLevel="0" collapsed="false">
      <c r="A267" s="3"/>
      <c r="B267" s="3"/>
    </row>
    <row r="268" customFormat="false" ht="15" hidden="false" customHeight="false" outlineLevel="0" collapsed="false">
      <c r="A268" s="3"/>
      <c r="B268" s="3"/>
    </row>
    <row r="269" customFormat="false" ht="15" hidden="false" customHeight="false" outlineLevel="0" collapsed="false">
      <c r="A269" s="3"/>
      <c r="B269" s="3"/>
    </row>
    <row r="270" customFormat="false" ht="15" hidden="false" customHeight="false" outlineLevel="0" collapsed="false">
      <c r="A270" s="3"/>
      <c r="B270" s="3"/>
    </row>
    <row r="271" customFormat="false" ht="15" hidden="false" customHeight="false" outlineLevel="0" collapsed="false">
      <c r="A271" s="3"/>
      <c r="B271" s="3"/>
    </row>
    <row r="272" customFormat="false" ht="15" hidden="false" customHeight="false" outlineLevel="0" collapsed="false">
      <c r="A272" s="3"/>
      <c r="B272" s="3"/>
    </row>
    <row r="273" customFormat="false" ht="15" hidden="false" customHeight="false" outlineLevel="0" collapsed="false">
      <c r="A273" s="3"/>
      <c r="B273" s="3"/>
    </row>
    <row r="274" customFormat="false" ht="15" hidden="false" customHeight="false" outlineLevel="0" collapsed="false">
      <c r="A274" s="3"/>
      <c r="B274" s="3"/>
    </row>
    <row r="275" customFormat="false" ht="15" hidden="false" customHeight="false" outlineLevel="0" collapsed="false">
      <c r="A275" s="3"/>
      <c r="B275" s="3"/>
    </row>
    <row r="276" customFormat="false" ht="15" hidden="false" customHeight="false" outlineLevel="0" collapsed="false">
      <c r="A276" s="3"/>
      <c r="B276" s="3"/>
    </row>
    <row r="277" customFormat="false" ht="15" hidden="false" customHeight="false" outlineLevel="0" collapsed="false">
      <c r="A277" s="3"/>
      <c r="B277" s="3"/>
    </row>
    <row r="278" customFormat="false" ht="15" hidden="false" customHeight="false" outlineLevel="0" collapsed="false">
      <c r="A278" s="3"/>
      <c r="B278" s="3"/>
    </row>
    <row r="279" customFormat="false" ht="15" hidden="false" customHeight="false" outlineLevel="0" collapsed="false">
      <c r="A279" s="3"/>
      <c r="B279" s="3"/>
    </row>
    <row r="280" customFormat="false" ht="15" hidden="false" customHeight="false" outlineLevel="0" collapsed="false">
      <c r="A280" s="3"/>
      <c r="B280" s="3"/>
    </row>
    <row r="281" customFormat="false" ht="15" hidden="false" customHeight="false" outlineLevel="0" collapsed="false">
      <c r="A281" s="3"/>
      <c r="B281" s="3"/>
    </row>
    <row r="282" customFormat="false" ht="15" hidden="false" customHeight="false" outlineLevel="0" collapsed="false">
      <c r="A282" s="3"/>
      <c r="B282" s="3"/>
    </row>
    <row r="283" customFormat="false" ht="15" hidden="false" customHeight="false" outlineLevel="0" collapsed="false">
      <c r="A283" s="3"/>
      <c r="B283" s="3"/>
    </row>
    <row r="284" customFormat="false" ht="15" hidden="false" customHeight="false" outlineLevel="0" collapsed="false">
      <c r="A284" s="3"/>
      <c r="B284" s="3"/>
    </row>
    <row r="285" customFormat="false" ht="15" hidden="false" customHeight="false" outlineLevel="0" collapsed="false">
      <c r="A285" s="3"/>
      <c r="B285" s="3"/>
    </row>
    <row r="286" customFormat="false" ht="15" hidden="false" customHeight="false" outlineLevel="0" collapsed="false">
      <c r="A286" s="3"/>
      <c r="B286" s="3"/>
    </row>
    <row r="287" customFormat="false" ht="15" hidden="false" customHeight="false" outlineLevel="0" collapsed="false">
      <c r="A287" s="3"/>
      <c r="B287" s="3"/>
    </row>
    <row r="288" customFormat="false" ht="15" hidden="false" customHeight="false" outlineLevel="0" collapsed="false">
      <c r="A288" s="3"/>
      <c r="B288" s="3"/>
    </row>
    <row r="289" customFormat="false" ht="15" hidden="false" customHeight="false" outlineLevel="0" collapsed="false">
      <c r="A289" s="3"/>
      <c r="B289" s="3"/>
    </row>
    <row r="290" customFormat="false" ht="15" hidden="false" customHeight="false" outlineLevel="0" collapsed="false">
      <c r="A290" s="3"/>
      <c r="B290" s="3"/>
    </row>
    <row r="291" customFormat="false" ht="15" hidden="false" customHeight="false" outlineLevel="0" collapsed="false">
      <c r="A291" s="3"/>
      <c r="B291" s="3"/>
    </row>
    <row r="292" customFormat="false" ht="15" hidden="false" customHeight="false" outlineLevel="0" collapsed="false">
      <c r="A292" s="3"/>
      <c r="B292" s="3"/>
    </row>
    <row r="293" customFormat="false" ht="15" hidden="false" customHeight="false" outlineLevel="0" collapsed="false">
      <c r="A293" s="3"/>
      <c r="B293" s="3"/>
    </row>
    <row r="294" customFormat="false" ht="15" hidden="false" customHeight="false" outlineLevel="0" collapsed="false">
      <c r="A294" s="3"/>
      <c r="B294" s="3"/>
    </row>
    <row r="295" customFormat="false" ht="15" hidden="false" customHeight="false" outlineLevel="0" collapsed="false">
      <c r="A295" s="3"/>
      <c r="B295" s="3"/>
    </row>
    <row r="296" customFormat="false" ht="15" hidden="false" customHeight="false" outlineLevel="0" collapsed="false">
      <c r="A296" s="3"/>
      <c r="B296" s="3"/>
    </row>
    <row r="297" customFormat="false" ht="15" hidden="false" customHeight="false" outlineLevel="0" collapsed="false">
      <c r="A297" s="3"/>
      <c r="B297" s="3"/>
    </row>
    <row r="298" customFormat="false" ht="15" hidden="false" customHeight="false" outlineLevel="0" collapsed="false">
      <c r="A298" s="3"/>
      <c r="B298" s="3"/>
    </row>
    <row r="299" customFormat="false" ht="15" hidden="false" customHeight="false" outlineLevel="0" collapsed="false">
      <c r="A299" s="3"/>
      <c r="B299" s="3"/>
    </row>
    <row r="300" customFormat="false" ht="15" hidden="false" customHeight="false" outlineLevel="0" collapsed="false">
      <c r="A300" s="3"/>
      <c r="B300" s="3"/>
    </row>
    <row r="301" customFormat="false" ht="15" hidden="false" customHeight="false" outlineLevel="0" collapsed="false">
      <c r="A301" s="3"/>
      <c r="B301" s="3"/>
    </row>
    <row r="302" customFormat="false" ht="15" hidden="false" customHeight="false" outlineLevel="0" collapsed="false">
      <c r="A302" s="3"/>
      <c r="B302" s="3"/>
    </row>
    <row r="303" customFormat="false" ht="15" hidden="false" customHeight="false" outlineLevel="0" collapsed="false">
      <c r="A303" s="3"/>
      <c r="B303" s="3"/>
    </row>
    <row r="304" customFormat="false" ht="15" hidden="false" customHeight="false" outlineLevel="0" collapsed="false">
      <c r="A304" s="3"/>
      <c r="B304" s="3"/>
    </row>
    <row r="305" customFormat="false" ht="15" hidden="false" customHeight="false" outlineLevel="0" collapsed="false">
      <c r="A305" s="3"/>
      <c r="B305" s="3"/>
    </row>
    <row r="306" customFormat="false" ht="15" hidden="false" customHeight="false" outlineLevel="0" collapsed="false">
      <c r="A306" s="3"/>
      <c r="B306" s="3"/>
    </row>
    <row r="307" customFormat="false" ht="15" hidden="false" customHeight="false" outlineLevel="0" collapsed="false">
      <c r="A307" s="3"/>
      <c r="B307" s="3"/>
    </row>
    <row r="308" customFormat="false" ht="15" hidden="false" customHeight="false" outlineLevel="0" collapsed="false">
      <c r="A308" s="3"/>
      <c r="B308" s="3"/>
    </row>
    <row r="309" customFormat="false" ht="15" hidden="false" customHeight="false" outlineLevel="0" collapsed="false">
      <c r="A309" s="3"/>
      <c r="B309" s="3"/>
    </row>
    <row r="310" customFormat="false" ht="15" hidden="false" customHeight="false" outlineLevel="0" collapsed="false">
      <c r="A310" s="3"/>
      <c r="B310" s="3"/>
    </row>
    <row r="311" customFormat="false" ht="15" hidden="false" customHeight="false" outlineLevel="0" collapsed="false">
      <c r="A311" s="3"/>
      <c r="B311" s="3"/>
    </row>
    <row r="312" customFormat="false" ht="15" hidden="false" customHeight="false" outlineLevel="0" collapsed="false">
      <c r="A312" s="3"/>
      <c r="B312" s="3"/>
    </row>
    <row r="313" customFormat="false" ht="15" hidden="false" customHeight="false" outlineLevel="0" collapsed="false">
      <c r="A313" s="3"/>
      <c r="B313" s="3"/>
    </row>
    <row r="314" customFormat="false" ht="15" hidden="false" customHeight="false" outlineLevel="0" collapsed="false">
      <c r="A314" s="3"/>
      <c r="B314" s="3"/>
    </row>
    <row r="315" customFormat="false" ht="15" hidden="false" customHeight="false" outlineLevel="0" collapsed="false">
      <c r="A315" s="3"/>
      <c r="B315" s="3"/>
    </row>
    <row r="316" customFormat="false" ht="15" hidden="false" customHeight="false" outlineLevel="0" collapsed="false">
      <c r="A316" s="3"/>
      <c r="B316" s="3"/>
    </row>
    <row r="317" customFormat="false" ht="15" hidden="false" customHeight="false" outlineLevel="0" collapsed="false">
      <c r="A317" s="3"/>
      <c r="B317" s="3"/>
    </row>
    <row r="318" customFormat="false" ht="15" hidden="false" customHeight="false" outlineLevel="0" collapsed="false">
      <c r="A318" s="3"/>
      <c r="B318" s="3"/>
    </row>
    <row r="319" customFormat="false" ht="15" hidden="false" customHeight="false" outlineLevel="0" collapsed="false">
      <c r="A319" s="3"/>
      <c r="B319" s="3"/>
    </row>
    <row r="320" customFormat="false" ht="15" hidden="false" customHeight="false" outlineLevel="0" collapsed="false">
      <c r="A320" s="3"/>
      <c r="B320" s="3"/>
    </row>
    <row r="321" customFormat="false" ht="15" hidden="false" customHeight="false" outlineLevel="0" collapsed="false">
      <c r="A321" s="3"/>
      <c r="B321" s="3"/>
    </row>
    <row r="322" customFormat="false" ht="15" hidden="false" customHeight="false" outlineLevel="0" collapsed="false">
      <c r="A322" s="3"/>
      <c r="B322" s="3"/>
    </row>
    <row r="323" customFormat="false" ht="15" hidden="false" customHeight="false" outlineLevel="0" collapsed="false">
      <c r="A323" s="3"/>
      <c r="B323" s="3"/>
    </row>
    <row r="324" customFormat="false" ht="15" hidden="false" customHeight="false" outlineLevel="0" collapsed="false">
      <c r="A324" s="3"/>
      <c r="B324" s="3"/>
    </row>
    <row r="325" customFormat="false" ht="15" hidden="false" customHeight="false" outlineLevel="0" collapsed="false">
      <c r="A325" s="3"/>
      <c r="B325" s="3"/>
    </row>
    <row r="326" customFormat="false" ht="15" hidden="false" customHeight="false" outlineLevel="0" collapsed="false">
      <c r="A326" s="3"/>
      <c r="B326" s="3"/>
    </row>
    <row r="327" customFormat="false" ht="15" hidden="false" customHeight="false" outlineLevel="0" collapsed="false">
      <c r="A327" s="3"/>
      <c r="B327" s="3"/>
    </row>
    <row r="328" customFormat="false" ht="15" hidden="false" customHeight="false" outlineLevel="0" collapsed="false">
      <c r="A328" s="3"/>
      <c r="B328" s="3"/>
    </row>
    <row r="329" customFormat="false" ht="15" hidden="false" customHeight="false" outlineLevel="0" collapsed="false">
      <c r="A329" s="3"/>
      <c r="B329" s="3"/>
    </row>
    <row r="330" customFormat="false" ht="15" hidden="false" customHeight="false" outlineLevel="0" collapsed="false">
      <c r="A330" s="3"/>
      <c r="B330" s="3"/>
    </row>
    <row r="331" customFormat="false" ht="15" hidden="false" customHeight="false" outlineLevel="0" collapsed="false">
      <c r="A331" s="3"/>
      <c r="B331" s="3"/>
    </row>
    <row r="332" customFormat="false" ht="15" hidden="false" customHeight="false" outlineLevel="0" collapsed="false">
      <c r="A332" s="3"/>
      <c r="B332" s="3"/>
    </row>
    <row r="333" customFormat="false" ht="15" hidden="false" customHeight="false" outlineLevel="0" collapsed="false">
      <c r="A333" s="3"/>
      <c r="B333" s="3"/>
    </row>
    <row r="334" customFormat="false" ht="15" hidden="false" customHeight="false" outlineLevel="0" collapsed="false">
      <c r="A334" s="3"/>
      <c r="B334" s="3"/>
    </row>
    <row r="335" customFormat="false" ht="15" hidden="false" customHeight="false" outlineLevel="0" collapsed="false">
      <c r="A335" s="3"/>
      <c r="B335" s="3"/>
    </row>
    <row r="336" customFormat="false" ht="15" hidden="false" customHeight="false" outlineLevel="0" collapsed="false">
      <c r="A336" s="3"/>
      <c r="B336" s="3"/>
    </row>
    <row r="337" customFormat="false" ht="15" hidden="false" customHeight="false" outlineLevel="0" collapsed="false">
      <c r="A337" s="3"/>
      <c r="B337" s="3"/>
    </row>
    <row r="338" customFormat="false" ht="15" hidden="false" customHeight="false" outlineLevel="0" collapsed="false">
      <c r="A338" s="3"/>
      <c r="B338" s="3"/>
    </row>
    <row r="339" customFormat="false" ht="15" hidden="false" customHeight="false" outlineLevel="0" collapsed="false">
      <c r="A339" s="3"/>
      <c r="B339" s="3"/>
    </row>
    <row r="340" customFormat="false" ht="15" hidden="false" customHeight="false" outlineLevel="0" collapsed="false">
      <c r="A340" s="3"/>
      <c r="B340" s="3"/>
    </row>
    <row r="341" customFormat="false" ht="15" hidden="false" customHeight="false" outlineLevel="0" collapsed="false">
      <c r="A341" s="3"/>
      <c r="B341" s="3"/>
    </row>
    <row r="342" customFormat="false" ht="15" hidden="false" customHeight="false" outlineLevel="0" collapsed="false">
      <c r="A342" s="3"/>
      <c r="B342" s="3"/>
    </row>
    <row r="343" customFormat="false" ht="15" hidden="false" customHeight="false" outlineLevel="0" collapsed="false">
      <c r="A343" s="3"/>
      <c r="B343" s="3"/>
    </row>
    <row r="344" customFormat="false" ht="15" hidden="false" customHeight="false" outlineLevel="0" collapsed="false">
      <c r="A344" s="3"/>
      <c r="B344" s="3"/>
    </row>
    <row r="345" customFormat="false" ht="15" hidden="false" customHeight="false" outlineLevel="0" collapsed="false">
      <c r="A345" s="3"/>
      <c r="B345" s="3"/>
    </row>
    <row r="346" customFormat="false" ht="15" hidden="false" customHeight="false" outlineLevel="0" collapsed="false">
      <c r="A346" s="3"/>
      <c r="B346" s="3"/>
    </row>
    <row r="347" customFormat="false" ht="15" hidden="false" customHeight="false" outlineLevel="0" collapsed="false">
      <c r="A347" s="3"/>
      <c r="B347" s="3"/>
    </row>
    <row r="348" customFormat="false" ht="15" hidden="false" customHeight="false" outlineLevel="0" collapsed="false">
      <c r="A348" s="3"/>
      <c r="B348" s="3"/>
    </row>
    <row r="349" customFormat="false" ht="15" hidden="false" customHeight="false" outlineLevel="0" collapsed="false">
      <c r="A349" s="3"/>
      <c r="B349" s="3"/>
    </row>
    <row r="350" customFormat="false" ht="15" hidden="false" customHeight="false" outlineLevel="0" collapsed="false">
      <c r="A350" s="3"/>
      <c r="B350" s="3"/>
    </row>
    <row r="351" customFormat="false" ht="15" hidden="false" customHeight="false" outlineLevel="0" collapsed="false">
      <c r="A351" s="3"/>
      <c r="B351" s="3"/>
    </row>
    <row r="352" customFormat="false" ht="15" hidden="false" customHeight="false" outlineLevel="0" collapsed="false">
      <c r="A352" s="3"/>
      <c r="B352" s="3"/>
    </row>
    <row r="353" customFormat="false" ht="15" hidden="false" customHeight="false" outlineLevel="0" collapsed="false">
      <c r="A353" s="3"/>
      <c r="B353" s="3"/>
    </row>
    <row r="354" customFormat="false" ht="15" hidden="false" customHeight="false" outlineLevel="0" collapsed="false">
      <c r="A354" s="3"/>
      <c r="B354" s="3"/>
    </row>
    <row r="355" customFormat="false" ht="15" hidden="false" customHeight="false" outlineLevel="0" collapsed="false">
      <c r="A355" s="3"/>
      <c r="B355" s="3"/>
    </row>
    <row r="356" customFormat="false" ht="15" hidden="false" customHeight="false" outlineLevel="0" collapsed="false">
      <c r="A356" s="3"/>
      <c r="B356" s="3"/>
    </row>
    <row r="357" customFormat="false" ht="15" hidden="false" customHeight="false" outlineLevel="0" collapsed="false">
      <c r="A357" s="3"/>
      <c r="B357" s="3"/>
    </row>
    <row r="358" customFormat="false" ht="15" hidden="false" customHeight="false" outlineLevel="0" collapsed="false">
      <c r="A358" s="3"/>
      <c r="B358" s="3"/>
    </row>
    <row r="359" customFormat="false" ht="15" hidden="false" customHeight="false" outlineLevel="0" collapsed="false">
      <c r="A359" s="3"/>
      <c r="B359" s="3"/>
    </row>
    <row r="360" customFormat="false" ht="15" hidden="false" customHeight="false" outlineLevel="0" collapsed="false">
      <c r="A360" s="3"/>
      <c r="B360" s="3"/>
    </row>
    <row r="361" customFormat="false" ht="15" hidden="false" customHeight="false" outlineLevel="0" collapsed="false">
      <c r="A361" s="3"/>
      <c r="B361" s="3"/>
    </row>
    <row r="362" customFormat="false" ht="15" hidden="false" customHeight="false" outlineLevel="0" collapsed="false">
      <c r="A362" s="3"/>
      <c r="B362" s="3"/>
    </row>
    <row r="363" customFormat="false" ht="15" hidden="false" customHeight="false" outlineLevel="0" collapsed="false">
      <c r="A363" s="3"/>
      <c r="B363" s="3"/>
    </row>
    <row r="364" customFormat="false" ht="15" hidden="false" customHeight="false" outlineLevel="0" collapsed="false">
      <c r="A364" s="3"/>
      <c r="B364" s="3"/>
    </row>
    <row r="365" customFormat="false" ht="15" hidden="false" customHeight="false" outlineLevel="0" collapsed="false">
      <c r="A365" s="3"/>
      <c r="B365" s="3"/>
    </row>
    <row r="366" customFormat="false" ht="15" hidden="false" customHeight="false" outlineLevel="0" collapsed="false">
      <c r="A366" s="3"/>
      <c r="B366" s="3"/>
    </row>
    <row r="367" customFormat="false" ht="15" hidden="false" customHeight="false" outlineLevel="0" collapsed="false">
      <c r="A367" s="3"/>
      <c r="B367" s="3"/>
    </row>
    <row r="368" customFormat="false" ht="15" hidden="false" customHeight="false" outlineLevel="0" collapsed="false">
      <c r="A368" s="3"/>
      <c r="B368" s="3"/>
    </row>
    <row r="369" customFormat="false" ht="15" hidden="false" customHeight="false" outlineLevel="0" collapsed="false">
      <c r="A369" s="3"/>
      <c r="B369" s="3"/>
    </row>
    <row r="370" customFormat="false" ht="15" hidden="false" customHeight="false" outlineLevel="0" collapsed="false">
      <c r="A370" s="3"/>
      <c r="B370" s="3"/>
    </row>
    <row r="371" customFormat="false" ht="15" hidden="false" customHeight="false" outlineLevel="0" collapsed="false">
      <c r="A371" s="3"/>
      <c r="B371" s="3"/>
    </row>
    <row r="372" customFormat="false" ht="15" hidden="false" customHeight="false" outlineLevel="0" collapsed="false">
      <c r="A372" s="3"/>
      <c r="B372" s="3"/>
    </row>
    <row r="373" customFormat="false" ht="15" hidden="false" customHeight="false" outlineLevel="0" collapsed="false">
      <c r="A373" s="3"/>
      <c r="B373" s="3"/>
    </row>
    <row r="374" customFormat="false" ht="15" hidden="false" customHeight="false" outlineLevel="0" collapsed="false">
      <c r="A374" s="3"/>
      <c r="B374" s="3"/>
    </row>
    <row r="375" customFormat="false" ht="15" hidden="false" customHeight="false" outlineLevel="0" collapsed="false">
      <c r="A375" s="3"/>
      <c r="B375" s="3"/>
    </row>
    <row r="376" customFormat="false" ht="15" hidden="false" customHeight="false" outlineLevel="0" collapsed="false">
      <c r="A376" s="3"/>
      <c r="B376" s="3"/>
    </row>
    <row r="377" customFormat="false" ht="15" hidden="false" customHeight="false" outlineLevel="0" collapsed="false">
      <c r="A377" s="3"/>
      <c r="B377" s="3"/>
    </row>
    <row r="378" customFormat="false" ht="15" hidden="false" customHeight="false" outlineLevel="0" collapsed="false">
      <c r="A378" s="3"/>
      <c r="B378" s="3"/>
    </row>
    <row r="379" customFormat="false" ht="15" hidden="false" customHeight="false" outlineLevel="0" collapsed="false">
      <c r="A379" s="3"/>
      <c r="B379" s="3"/>
    </row>
    <row r="380" customFormat="false" ht="15" hidden="false" customHeight="false" outlineLevel="0" collapsed="false">
      <c r="A380" s="3"/>
      <c r="B380" s="3"/>
    </row>
    <row r="381" customFormat="false" ht="15" hidden="false" customHeight="false" outlineLevel="0" collapsed="false">
      <c r="A381" s="3"/>
      <c r="B381" s="3"/>
    </row>
    <row r="382" customFormat="false" ht="15" hidden="false" customHeight="false" outlineLevel="0" collapsed="false">
      <c r="A382" s="3"/>
      <c r="B382" s="3"/>
    </row>
    <row r="383" customFormat="false" ht="15" hidden="false" customHeight="false" outlineLevel="0" collapsed="false">
      <c r="A383" s="3"/>
      <c r="B383" s="3"/>
    </row>
    <row r="384" customFormat="false" ht="15" hidden="false" customHeight="false" outlineLevel="0" collapsed="false">
      <c r="A384" s="3"/>
      <c r="B384" s="3"/>
    </row>
    <row r="385" customFormat="false" ht="15" hidden="false" customHeight="false" outlineLevel="0" collapsed="false">
      <c r="A385" s="3"/>
      <c r="B385" s="3"/>
    </row>
    <row r="386" customFormat="false" ht="15" hidden="false" customHeight="false" outlineLevel="0" collapsed="false">
      <c r="A386" s="3"/>
      <c r="B386" s="3"/>
    </row>
    <row r="387" customFormat="false" ht="15" hidden="false" customHeight="false" outlineLevel="0" collapsed="false">
      <c r="A387" s="3"/>
      <c r="B387" s="3"/>
    </row>
    <row r="388" customFormat="false" ht="15" hidden="false" customHeight="false" outlineLevel="0" collapsed="false">
      <c r="A388" s="3"/>
      <c r="B388" s="3"/>
    </row>
    <row r="389" customFormat="false" ht="15" hidden="false" customHeight="false" outlineLevel="0" collapsed="false">
      <c r="A389" s="3"/>
      <c r="B389" s="3"/>
    </row>
    <row r="390" customFormat="false" ht="15" hidden="false" customHeight="false" outlineLevel="0" collapsed="false">
      <c r="A390" s="3"/>
      <c r="B390" s="3"/>
    </row>
    <row r="391" customFormat="false" ht="15" hidden="false" customHeight="false" outlineLevel="0" collapsed="false">
      <c r="A391" s="3"/>
      <c r="B391" s="3"/>
    </row>
    <row r="392" customFormat="false" ht="15" hidden="false" customHeight="false" outlineLevel="0" collapsed="false">
      <c r="A392" s="3"/>
      <c r="B392" s="3"/>
    </row>
    <row r="393" customFormat="false" ht="15" hidden="false" customHeight="false" outlineLevel="0" collapsed="false">
      <c r="A393" s="3"/>
      <c r="B393" s="3"/>
    </row>
    <row r="394" customFormat="false" ht="15" hidden="false" customHeight="false" outlineLevel="0" collapsed="false">
      <c r="A394" s="3"/>
      <c r="B394" s="3"/>
    </row>
    <row r="395" customFormat="false" ht="15" hidden="false" customHeight="false" outlineLevel="0" collapsed="false">
      <c r="A395" s="3"/>
      <c r="B395" s="3"/>
    </row>
    <row r="396" customFormat="false" ht="15" hidden="false" customHeight="false" outlineLevel="0" collapsed="false">
      <c r="A396" s="3"/>
      <c r="B396" s="3"/>
    </row>
    <row r="397" customFormat="false" ht="15" hidden="false" customHeight="false" outlineLevel="0" collapsed="false">
      <c r="A397" s="3"/>
      <c r="B397" s="3"/>
    </row>
    <row r="398" customFormat="false" ht="15" hidden="false" customHeight="false" outlineLevel="0" collapsed="false">
      <c r="A398" s="3"/>
      <c r="B398" s="3"/>
    </row>
    <row r="399" customFormat="false" ht="15" hidden="false" customHeight="false" outlineLevel="0" collapsed="false">
      <c r="A399" s="3"/>
      <c r="B399" s="3"/>
    </row>
    <row r="400" customFormat="false" ht="15" hidden="false" customHeight="false" outlineLevel="0" collapsed="false">
      <c r="A400" s="3"/>
      <c r="B400" s="3"/>
    </row>
    <row r="401" customFormat="false" ht="15" hidden="false" customHeight="false" outlineLevel="0" collapsed="false">
      <c r="A401" s="3"/>
      <c r="B401" s="3"/>
    </row>
    <row r="402" customFormat="false" ht="15" hidden="false" customHeight="false" outlineLevel="0" collapsed="false">
      <c r="A402" s="3"/>
      <c r="B402" s="3"/>
    </row>
    <row r="403" customFormat="false" ht="15" hidden="false" customHeight="false" outlineLevel="0" collapsed="false">
      <c r="A403" s="3"/>
      <c r="B403" s="3"/>
    </row>
    <row r="404" customFormat="false" ht="15" hidden="false" customHeight="false" outlineLevel="0" collapsed="false">
      <c r="A404" s="3"/>
      <c r="B404" s="3"/>
    </row>
    <row r="405" customFormat="false" ht="15" hidden="false" customHeight="false" outlineLevel="0" collapsed="false">
      <c r="A405" s="3"/>
      <c r="B405" s="3"/>
    </row>
    <row r="406" customFormat="false" ht="15" hidden="false" customHeight="false" outlineLevel="0" collapsed="false">
      <c r="A406" s="3"/>
      <c r="B406" s="3"/>
    </row>
    <row r="407" customFormat="false" ht="15" hidden="false" customHeight="false" outlineLevel="0" collapsed="false">
      <c r="A407" s="3"/>
      <c r="B407" s="3"/>
    </row>
    <row r="408" customFormat="false" ht="15" hidden="false" customHeight="false" outlineLevel="0" collapsed="false">
      <c r="A408" s="3"/>
      <c r="B408" s="3"/>
    </row>
    <row r="409" customFormat="false" ht="15" hidden="false" customHeight="false" outlineLevel="0" collapsed="false">
      <c r="A409" s="3"/>
      <c r="B409" s="3"/>
    </row>
    <row r="410" customFormat="false" ht="15" hidden="false" customHeight="false" outlineLevel="0" collapsed="false">
      <c r="A410" s="3"/>
      <c r="B410" s="3"/>
    </row>
    <row r="411" customFormat="false" ht="15" hidden="false" customHeight="false" outlineLevel="0" collapsed="false">
      <c r="A411" s="3"/>
      <c r="B411" s="3"/>
    </row>
    <row r="412" customFormat="false" ht="15" hidden="false" customHeight="false" outlineLevel="0" collapsed="false">
      <c r="A412" s="3"/>
      <c r="B412" s="3"/>
    </row>
    <row r="413" customFormat="false" ht="15" hidden="false" customHeight="false" outlineLevel="0" collapsed="false">
      <c r="A413" s="3"/>
      <c r="B413" s="3"/>
    </row>
    <row r="414" customFormat="false" ht="15" hidden="false" customHeight="false" outlineLevel="0" collapsed="false">
      <c r="A414" s="3"/>
      <c r="B414" s="3"/>
    </row>
    <row r="415" customFormat="false" ht="15" hidden="false" customHeight="false" outlineLevel="0" collapsed="false">
      <c r="A415" s="3"/>
      <c r="B415" s="3"/>
    </row>
    <row r="416" customFormat="false" ht="15" hidden="false" customHeight="false" outlineLevel="0" collapsed="false">
      <c r="A416" s="3"/>
      <c r="B416" s="3"/>
    </row>
    <row r="417" customFormat="false" ht="15" hidden="false" customHeight="false" outlineLevel="0" collapsed="false">
      <c r="A417" s="3"/>
      <c r="B417" s="3"/>
    </row>
    <row r="418" customFormat="false" ht="15" hidden="false" customHeight="false" outlineLevel="0" collapsed="false">
      <c r="A418" s="3"/>
      <c r="B418" s="3"/>
    </row>
    <row r="419" customFormat="false" ht="15" hidden="false" customHeight="false" outlineLevel="0" collapsed="false">
      <c r="A419" s="3"/>
      <c r="B419" s="3"/>
    </row>
    <row r="420" customFormat="false" ht="15" hidden="false" customHeight="false" outlineLevel="0" collapsed="false">
      <c r="A420" s="3"/>
      <c r="B420" s="3"/>
    </row>
    <row r="421" customFormat="false" ht="15" hidden="false" customHeight="false" outlineLevel="0" collapsed="false">
      <c r="A421" s="3"/>
      <c r="B421" s="3"/>
    </row>
    <row r="422" customFormat="false" ht="15" hidden="false" customHeight="false" outlineLevel="0" collapsed="false">
      <c r="A422" s="3"/>
      <c r="B422" s="3"/>
    </row>
    <row r="423" customFormat="false" ht="15" hidden="false" customHeight="false" outlineLevel="0" collapsed="false">
      <c r="A423" s="3"/>
      <c r="B423" s="3"/>
    </row>
    <row r="424" customFormat="false" ht="15" hidden="false" customHeight="false" outlineLevel="0" collapsed="false">
      <c r="A424" s="3"/>
      <c r="B424" s="3"/>
    </row>
    <row r="425" customFormat="false" ht="15" hidden="false" customHeight="false" outlineLevel="0" collapsed="false">
      <c r="A425" s="3"/>
      <c r="B425" s="3"/>
    </row>
    <row r="426" customFormat="false" ht="15" hidden="false" customHeight="false" outlineLevel="0" collapsed="false">
      <c r="A426" s="3"/>
      <c r="B426" s="3"/>
    </row>
    <row r="427" customFormat="false" ht="15" hidden="false" customHeight="false" outlineLevel="0" collapsed="false">
      <c r="A427" s="3"/>
      <c r="B427" s="3"/>
    </row>
    <row r="428" customFormat="false" ht="15" hidden="false" customHeight="false" outlineLevel="0" collapsed="false">
      <c r="A428" s="3"/>
      <c r="B428" s="3"/>
    </row>
    <row r="429" customFormat="false" ht="15" hidden="false" customHeight="false" outlineLevel="0" collapsed="false">
      <c r="A429" s="3"/>
      <c r="B429" s="3"/>
    </row>
    <row r="430" customFormat="false" ht="15" hidden="false" customHeight="false" outlineLevel="0" collapsed="false">
      <c r="A430" s="3"/>
      <c r="B430" s="3"/>
    </row>
    <row r="431" customFormat="false" ht="15" hidden="false" customHeight="false" outlineLevel="0" collapsed="false">
      <c r="A431" s="3"/>
      <c r="B431" s="3"/>
    </row>
    <row r="432" customFormat="false" ht="15" hidden="false" customHeight="false" outlineLevel="0" collapsed="false">
      <c r="A432" s="3"/>
      <c r="B432" s="3"/>
    </row>
    <row r="433" customFormat="false" ht="15" hidden="false" customHeight="false" outlineLevel="0" collapsed="false">
      <c r="A433" s="3"/>
      <c r="B433" s="3"/>
    </row>
    <row r="434" customFormat="false" ht="15" hidden="false" customHeight="false" outlineLevel="0" collapsed="false">
      <c r="A434" s="3"/>
      <c r="B434" s="3"/>
    </row>
    <row r="435" customFormat="false" ht="15" hidden="false" customHeight="false" outlineLevel="0" collapsed="false">
      <c r="A435" s="3"/>
      <c r="B435" s="3"/>
    </row>
    <row r="436" customFormat="false" ht="15" hidden="false" customHeight="false" outlineLevel="0" collapsed="false">
      <c r="A436" s="3"/>
      <c r="B436" s="3"/>
    </row>
    <row r="437" customFormat="false" ht="15" hidden="false" customHeight="false" outlineLevel="0" collapsed="false">
      <c r="A437" s="3"/>
      <c r="B437" s="3"/>
    </row>
    <row r="438" customFormat="false" ht="15" hidden="false" customHeight="false" outlineLevel="0" collapsed="false">
      <c r="A438" s="3"/>
      <c r="B438" s="3"/>
    </row>
    <row r="439" customFormat="false" ht="15" hidden="false" customHeight="false" outlineLevel="0" collapsed="false">
      <c r="A439" s="3"/>
      <c r="B439" s="3"/>
    </row>
    <row r="440" customFormat="false" ht="15" hidden="false" customHeight="false" outlineLevel="0" collapsed="false">
      <c r="A440" s="3"/>
      <c r="B440" s="3"/>
    </row>
    <row r="441" customFormat="false" ht="15" hidden="false" customHeight="false" outlineLevel="0" collapsed="false">
      <c r="A441" s="3"/>
      <c r="B441" s="3"/>
    </row>
    <row r="442" customFormat="false" ht="15" hidden="false" customHeight="false" outlineLevel="0" collapsed="false">
      <c r="A442" s="3"/>
      <c r="B442" s="3"/>
    </row>
    <row r="443" customFormat="false" ht="15" hidden="false" customHeight="false" outlineLevel="0" collapsed="false">
      <c r="A443" s="3"/>
      <c r="B443" s="3"/>
    </row>
    <row r="444" customFormat="false" ht="15" hidden="false" customHeight="false" outlineLevel="0" collapsed="false">
      <c r="A444" s="3"/>
      <c r="B444" s="3"/>
    </row>
    <row r="445" customFormat="false" ht="15" hidden="false" customHeight="false" outlineLevel="0" collapsed="false">
      <c r="A445" s="3"/>
      <c r="B445" s="3"/>
    </row>
    <row r="446" customFormat="false" ht="15" hidden="false" customHeight="false" outlineLevel="0" collapsed="false">
      <c r="A446" s="3"/>
      <c r="B446" s="3"/>
    </row>
    <row r="447" customFormat="false" ht="15" hidden="false" customHeight="false" outlineLevel="0" collapsed="false">
      <c r="A447" s="3"/>
      <c r="B447" s="3"/>
    </row>
    <row r="448" customFormat="false" ht="15" hidden="false" customHeight="false" outlineLevel="0" collapsed="false">
      <c r="A448" s="3"/>
      <c r="B448" s="3"/>
    </row>
    <row r="449" customFormat="false" ht="15" hidden="false" customHeight="false" outlineLevel="0" collapsed="false">
      <c r="A449" s="3"/>
      <c r="B449" s="3"/>
    </row>
    <row r="450" customFormat="false" ht="15" hidden="false" customHeight="false" outlineLevel="0" collapsed="false">
      <c r="A450" s="3"/>
      <c r="B450" s="3"/>
    </row>
    <row r="451" customFormat="false" ht="15" hidden="false" customHeight="false" outlineLevel="0" collapsed="false">
      <c r="A451" s="3"/>
      <c r="B451" s="3"/>
    </row>
    <row r="452" customFormat="false" ht="15" hidden="false" customHeight="false" outlineLevel="0" collapsed="false">
      <c r="A452" s="3"/>
      <c r="B452" s="3"/>
    </row>
    <row r="453" customFormat="false" ht="15" hidden="false" customHeight="false" outlineLevel="0" collapsed="false">
      <c r="A453" s="3"/>
      <c r="B453" s="3"/>
    </row>
    <row r="454" customFormat="false" ht="15" hidden="false" customHeight="false" outlineLevel="0" collapsed="false">
      <c r="A454" s="3"/>
      <c r="B454" s="3"/>
    </row>
    <row r="455" customFormat="false" ht="15" hidden="false" customHeight="false" outlineLevel="0" collapsed="false">
      <c r="A455" s="3"/>
      <c r="B455" s="3"/>
    </row>
    <row r="456" customFormat="false" ht="15" hidden="false" customHeight="false" outlineLevel="0" collapsed="false">
      <c r="A456" s="3"/>
      <c r="B456" s="3"/>
    </row>
    <row r="457" customFormat="false" ht="15" hidden="false" customHeight="false" outlineLevel="0" collapsed="false">
      <c r="A457" s="3"/>
      <c r="B457" s="3"/>
    </row>
    <row r="458" customFormat="false" ht="15" hidden="false" customHeight="false" outlineLevel="0" collapsed="false">
      <c r="A458" s="3"/>
      <c r="B458" s="3"/>
    </row>
    <row r="459" customFormat="false" ht="15" hidden="false" customHeight="false" outlineLevel="0" collapsed="false">
      <c r="A459" s="3"/>
      <c r="B459" s="3"/>
    </row>
    <row r="460" customFormat="false" ht="15" hidden="false" customHeight="false" outlineLevel="0" collapsed="false">
      <c r="A460" s="3"/>
      <c r="B460" s="3"/>
    </row>
    <row r="461" customFormat="false" ht="15" hidden="false" customHeight="false" outlineLevel="0" collapsed="false">
      <c r="A461" s="3"/>
      <c r="B461" s="3"/>
    </row>
    <row r="462" customFormat="false" ht="15" hidden="false" customHeight="false" outlineLevel="0" collapsed="false">
      <c r="A462" s="3"/>
      <c r="B462" s="3"/>
    </row>
    <row r="463" customFormat="false" ht="15" hidden="false" customHeight="false" outlineLevel="0" collapsed="false">
      <c r="A463" s="3"/>
      <c r="B463" s="3"/>
    </row>
    <row r="464" customFormat="false" ht="15" hidden="false" customHeight="false" outlineLevel="0" collapsed="false">
      <c r="A464" s="3"/>
      <c r="B464" s="3"/>
    </row>
    <row r="465" customFormat="false" ht="15" hidden="false" customHeight="false" outlineLevel="0" collapsed="false">
      <c r="A465" s="3"/>
      <c r="B465" s="3"/>
    </row>
    <row r="466" customFormat="false" ht="15" hidden="false" customHeight="false" outlineLevel="0" collapsed="false">
      <c r="A466" s="3"/>
      <c r="B466" s="3"/>
    </row>
    <row r="467" customFormat="false" ht="15" hidden="false" customHeight="false" outlineLevel="0" collapsed="false">
      <c r="A467" s="3"/>
      <c r="B467" s="3"/>
    </row>
    <row r="468" customFormat="false" ht="15" hidden="false" customHeight="false" outlineLevel="0" collapsed="false">
      <c r="A468" s="3"/>
      <c r="B468" s="3"/>
    </row>
    <row r="469" customFormat="false" ht="15" hidden="false" customHeight="false" outlineLevel="0" collapsed="false">
      <c r="A469" s="3"/>
      <c r="B469" s="3"/>
    </row>
    <row r="470" customFormat="false" ht="15" hidden="false" customHeight="false" outlineLevel="0" collapsed="false">
      <c r="A470" s="3"/>
      <c r="B470" s="3"/>
    </row>
    <row r="471" customFormat="false" ht="15" hidden="false" customHeight="false" outlineLevel="0" collapsed="false">
      <c r="A471" s="3"/>
      <c r="B471" s="3"/>
    </row>
    <row r="472" customFormat="false" ht="15" hidden="false" customHeight="false" outlineLevel="0" collapsed="false">
      <c r="A472" s="3"/>
      <c r="B472" s="3"/>
    </row>
    <row r="473" customFormat="false" ht="15" hidden="false" customHeight="false" outlineLevel="0" collapsed="false">
      <c r="A473" s="3"/>
      <c r="B473" s="3"/>
    </row>
    <row r="474" customFormat="false" ht="15" hidden="false" customHeight="false" outlineLevel="0" collapsed="false">
      <c r="A474" s="3"/>
      <c r="B474" s="3"/>
    </row>
    <row r="475" customFormat="false" ht="15" hidden="false" customHeight="false" outlineLevel="0" collapsed="false">
      <c r="A475" s="3"/>
      <c r="B475" s="3"/>
    </row>
    <row r="476" customFormat="false" ht="15" hidden="false" customHeight="false" outlineLevel="0" collapsed="false">
      <c r="A476" s="3"/>
      <c r="B476" s="3"/>
    </row>
    <row r="477" customFormat="false" ht="15" hidden="false" customHeight="false" outlineLevel="0" collapsed="false">
      <c r="A477" s="3"/>
      <c r="B477" s="3"/>
    </row>
    <row r="478" customFormat="false" ht="15" hidden="false" customHeight="false" outlineLevel="0" collapsed="false">
      <c r="A478" s="3"/>
      <c r="B478" s="3"/>
    </row>
    <row r="479" customFormat="false" ht="15" hidden="false" customHeight="false" outlineLevel="0" collapsed="false">
      <c r="A479" s="3"/>
      <c r="B479" s="3"/>
    </row>
    <row r="480" customFormat="false" ht="15" hidden="false" customHeight="false" outlineLevel="0" collapsed="false">
      <c r="A480" s="3"/>
      <c r="B480" s="3"/>
    </row>
    <row r="481" customFormat="false" ht="15" hidden="false" customHeight="false" outlineLevel="0" collapsed="false">
      <c r="A481" s="3"/>
      <c r="B481" s="3"/>
    </row>
    <row r="482" customFormat="false" ht="15" hidden="false" customHeight="false" outlineLevel="0" collapsed="false">
      <c r="A482" s="3"/>
      <c r="B482" s="3"/>
    </row>
    <row r="483" customFormat="false" ht="15" hidden="false" customHeight="false" outlineLevel="0" collapsed="false">
      <c r="A483" s="3"/>
      <c r="B483" s="3"/>
    </row>
    <row r="484" customFormat="false" ht="15" hidden="false" customHeight="false" outlineLevel="0" collapsed="false">
      <c r="A484" s="3"/>
      <c r="B484" s="3"/>
    </row>
    <row r="485" customFormat="false" ht="15" hidden="false" customHeight="false" outlineLevel="0" collapsed="false">
      <c r="A485" s="3"/>
      <c r="B485" s="3"/>
    </row>
    <row r="486" customFormat="false" ht="15" hidden="false" customHeight="false" outlineLevel="0" collapsed="false">
      <c r="A486" s="3"/>
      <c r="B486" s="3"/>
    </row>
    <row r="487" customFormat="false" ht="15" hidden="false" customHeight="false" outlineLevel="0" collapsed="false">
      <c r="A487" s="3"/>
      <c r="B487" s="3"/>
    </row>
    <row r="488" customFormat="false" ht="15" hidden="false" customHeight="false" outlineLevel="0" collapsed="false">
      <c r="A488" s="3"/>
      <c r="B488" s="3"/>
    </row>
    <row r="489" customFormat="false" ht="15" hidden="false" customHeight="false" outlineLevel="0" collapsed="false">
      <c r="A489" s="3"/>
      <c r="B489" s="3"/>
    </row>
    <row r="490" customFormat="false" ht="15" hidden="false" customHeight="false" outlineLevel="0" collapsed="false">
      <c r="A490" s="3"/>
      <c r="B490" s="3"/>
    </row>
    <row r="491" customFormat="false" ht="15" hidden="false" customHeight="false" outlineLevel="0" collapsed="false">
      <c r="A491" s="3"/>
      <c r="B491" s="3"/>
    </row>
    <row r="492" customFormat="false" ht="15" hidden="false" customHeight="false" outlineLevel="0" collapsed="false">
      <c r="A492" s="3"/>
      <c r="B492" s="3"/>
    </row>
    <row r="493" customFormat="false" ht="15" hidden="false" customHeight="false" outlineLevel="0" collapsed="false">
      <c r="A493" s="3"/>
      <c r="B493" s="3"/>
    </row>
    <row r="494" customFormat="false" ht="15" hidden="false" customHeight="false" outlineLevel="0" collapsed="false">
      <c r="A494" s="3"/>
      <c r="B494" s="3"/>
    </row>
    <row r="495" customFormat="false" ht="15" hidden="false" customHeight="false" outlineLevel="0" collapsed="false">
      <c r="A495" s="3"/>
      <c r="B495" s="3"/>
    </row>
    <row r="496" customFormat="false" ht="15" hidden="false" customHeight="false" outlineLevel="0" collapsed="false">
      <c r="A496" s="3"/>
      <c r="B496" s="3"/>
    </row>
    <row r="497" customFormat="false" ht="15" hidden="false" customHeight="false" outlineLevel="0" collapsed="false">
      <c r="A497" s="3"/>
      <c r="B497" s="3"/>
    </row>
    <row r="498" customFormat="false" ht="15" hidden="false" customHeight="false" outlineLevel="0" collapsed="false">
      <c r="A498" s="3"/>
      <c r="B498" s="3"/>
    </row>
    <row r="499" customFormat="false" ht="15" hidden="false" customHeight="false" outlineLevel="0" collapsed="false">
      <c r="A499" s="3"/>
      <c r="B499" s="3"/>
    </row>
    <row r="500" customFormat="false" ht="15" hidden="false" customHeight="false" outlineLevel="0" collapsed="false">
      <c r="A500" s="3"/>
      <c r="B500" s="3"/>
    </row>
    <row r="501" customFormat="false" ht="15" hidden="false" customHeight="false" outlineLevel="0" collapsed="false">
      <c r="A501" s="3"/>
      <c r="B501" s="3"/>
    </row>
    <row r="502" customFormat="false" ht="15" hidden="false" customHeight="false" outlineLevel="0" collapsed="false">
      <c r="A502" s="3"/>
      <c r="B502" s="3"/>
    </row>
    <row r="503" customFormat="false" ht="15" hidden="false" customHeight="false" outlineLevel="0" collapsed="false">
      <c r="A503" s="3"/>
      <c r="B503" s="3"/>
    </row>
    <row r="504" customFormat="false" ht="15" hidden="false" customHeight="false" outlineLevel="0" collapsed="false">
      <c r="A504" s="3"/>
      <c r="B504" s="3"/>
    </row>
    <row r="505" customFormat="false" ht="15" hidden="false" customHeight="false" outlineLevel="0" collapsed="false">
      <c r="A505" s="3"/>
      <c r="B505" s="3"/>
    </row>
    <row r="506" customFormat="false" ht="15" hidden="false" customHeight="false" outlineLevel="0" collapsed="false">
      <c r="A506" s="3"/>
      <c r="B506" s="3"/>
    </row>
    <row r="507" customFormat="false" ht="15" hidden="false" customHeight="false" outlineLevel="0" collapsed="false">
      <c r="A507" s="3"/>
      <c r="B507" s="3"/>
    </row>
    <row r="508" customFormat="false" ht="15" hidden="false" customHeight="false" outlineLevel="0" collapsed="false">
      <c r="A508" s="3"/>
      <c r="B508" s="3"/>
    </row>
    <row r="509" customFormat="false" ht="15" hidden="false" customHeight="false" outlineLevel="0" collapsed="false">
      <c r="A509" s="3"/>
      <c r="B509" s="3"/>
    </row>
    <row r="510" customFormat="false" ht="15" hidden="false" customHeight="false" outlineLevel="0" collapsed="false">
      <c r="A510" s="3"/>
      <c r="B510" s="3"/>
    </row>
    <row r="511" customFormat="false" ht="15" hidden="false" customHeight="false" outlineLevel="0" collapsed="false">
      <c r="A511" s="3"/>
      <c r="B511" s="3"/>
    </row>
    <row r="512" customFormat="false" ht="15" hidden="false" customHeight="false" outlineLevel="0" collapsed="false">
      <c r="A512" s="3"/>
      <c r="B512" s="3"/>
    </row>
    <row r="513" customFormat="false" ht="15" hidden="false" customHeight="false" outlineLevel="0" collapsed="false">
      <c r="A513" s="3"/>
      <c r="B513" s="3"/>
    </row>
    <row r="514" customFormat="false" ht="15" hidden="false" customHeight="false" outlineLevel="0" collapsed="false">
      <c r="A514" s="3"/>
      <c r="B514" s="3"/>
    </row>
    <row r="515" customFormat="false" ht="15" hidden="false" customHeight="false" outlineLevel="0" collapsed="false">
      <c r="A515" s="3"/>
      <c r="B515" s="3"/>
    </row>
    <row r="516" customFormat="false" ht="15" hidden="false" customHeight="false" outlineLevel="0" collapsed="false">
      <c r="A516" s="3"/>
      <c r="B516" s="3"/>
    </row>
    <row r="517" customFormat="false" ht="15" hidden="false" customHeight="false" outlineLevel="0" collapsed="false">
      <c r="A517" s="3"/>
      <c r="B517" s="3"/>
    </row>
    <row r="518" customFormat="false" ht="15" hidden="false" customHeight="false" outlineLevel="0" collapsed="false">
      <c r="A518" s="3"/>
      <c r="B518" s="3"/>
    </row>
    <row r="519" customFormat="false" ht="15" hidden="false" customHeight="false" outlineLevel="0" collapsed="false">
      <c r="A519" s="3"/>
      <c r="B519" s="3"/>
    </row>
    <row r="520" customFormat="false" ht="15" hidden="false" customHeight="false" outlineLevel="0" collapsed="false">
      <c r="A520" s="3"/>
      <c r="B520" s="3"/>
    </row>
    <row r="521" customFormat="false" ht="15" hidden="false" customHeight="false" outlineLevel="0" collapsed="false">
      <c r="A521" s="3"/>
      <c r="B521" s="3"/>
    </row>
    <row r="522" customFormat="false" ht="15" hidden="false" customHeight="false" outlineLevel="0" collapsed="false">
      <c r="A522" s="3"/>
      <c r="B522" s="3"/>
    </row>
    <row r="523" customFormat="false" ht="15" hidden="false" customHeight="false" outlineLevel="0" collapsed="false">
      <c r="A523" s="3"/>
      <c r="B523" s="3"/>
    </row>
    <row r="524" customFormat="false" ht="15" hidden="false" customHeight="false" outlineLevel="0" collapsed="false">
      <c r="A524" s="3"/>
      <c r="B524" s="3"/>
    </row>
    <row r="525" customFormat="false" ht="15" hidden="false" customHeight="false" outlineLevel="0" collapsed="false">
      <c r="A525" s="3"/>
      <c r="B525" s="3"/>
    </row>
    <row r="526" customFormat="false" ht="15" hidden="false" customHeight="false" outlineLevel="0" collapsed="false">
      <c r="A526" s="3"/>
      <c r="B526" s="3"/>
    </row>
    <row r="527" customFormat="false" ht="15" hidden="false" customHeight="false" outlineLevel="0" collapsed="false">
      <c r="A527" s="3"/>
      <c r="B527" s="3"/>
    </row>
    <row r="528" customFormat="false" ht="15" hidden="false" customHeight="false" outlineLevel="0" collapsed="false">
      <c r="A528" s="3"/>
      <c r="B528" s="3"/>
    </row>
    <row r="529" customFormat="false" ht="15" hidden="false" customHeight="false" outlineLevel="0" collapsed="false">
      <c r="A529" s="3"/>
      <c r="B529" s="3"/>
    </row>
    <row r="530" customFormat="false" ht="15" hidden="false" customHeight="false" outlineLevel="0" collapsed="false">
      <c r="A530" s="3"/>
      <c r="B530" s="3"/>
    </row>
    <row r="531" customFormat="false" ht="15" hidden="false" customHeight="false" outlineLevel="0" collapsed="false">
      <c r="A531" s="3"/>
      <c r="B531" s="3"/>
    </row>
    <row r="532" customFormat="false" ht="15" hidden="false" customHeight="false" outlineLevel="0" collapsed="false">
      <c r="A532" s="3"/>
      <c r="B532" s="3"/>
    </row>
    <row r="533" customFormat="false" ht="15" hidden="false" customHeight="false" outlineLevel="0" collapsed="false">
      <c r="A533" s="3"/>
      <c r="B533" s="3"/>
    </row>
    <row r="534" customFormat="false" ht="15" hidden="false" customHeight="false" outlineLevel="0" collapsed="false">
      <c r="A534" s="3"/>
      <c r="B534" s="3"/>
    </row>
    <row r="535" customFormat="false" ht="15" hidden="false" customHeight="false" outlineLevel="0" collapsed="false">
      <c r="A535" s="3"/>
      <c r="B535" s="3"/>
    </row>
    <row r="536" customFormat="false" ht="15" hidden="false" customHeight="false" outlineLevel="0" collapsed="false">
      <c r="A536" s="3"/>
      <c r="B536" s="3"/>
    </row>
    <row r="537" customFormat="false" ht="15" hidden="false" customHeight="false" outlineLevel="0" collapsed="false">
      <c r="A537" s="3"/>
      <c r="B537" s="3"/>
    </row>
    <row r="538" customFormat="false" ht="15" hidden="false" customHeight="false" outlineLevel="0" collapsed="false">
      <c r="A538" s="3"/>
      <c r="B538" s="3"/>
    </row>
    <row r="539" customFormat="false" ht="15" hidden="false" customHeight="false" outlineLevel="0" collapsed="false">
      <c r="A539" s="3"/>
      <c r="B539" s="3"/>
    </row>
    <row r="540" customFormat="false" ht="15" hidden="false" customHeight="false" outlineLevel="0" collapsed="false">
      <c r="A540" s="3"/>
      <c r="B540" s="3"/>
    </row>
    <row r="541" customFormat="false" ht="15" hidden="false" customHeight="false" outlineLevel="0" collapsed="false">
      <c r="A541" s="3"/>
      <c r="B541" s="3"/>
    </row>
    <row r="542" customFormat="false" ht="15" hidden="false" customHeight="false" outlineLevel="0" collapsed="false">
      <c r="A542" s="3"/>
      <c r="B542" s="3"/>
    </row>
    <row r="543" customFormat="false" ht="15" hidden="false" customHeight="false" outlineLevel="0" collapsed="false">
      <c r="A543" s="3"/>
      <c r="B543" s="3"/>
    </row>
    <row r="544" customFormat="false" ht="15" hidden="false" customHeight="false" outlineLevel="0" collapsed="false">
      <c r="A544" s="3"/>
      <c r="B544" s="3"/>
    </row>
    <row r="545" customFormat="false" ht="15" hidden="false" customHeight="false" outlineLevel="0" collapsed="false">
      <c r="A545" s="3"/>
      <c r="B545" s="3"/>
    </row>
    <row r="546" customFormat="false" ht="15" hidden="false" customHeight="false" outlineLevel="0" collapsed="false">
      <c r="A546" s="3"/>
      <c r="B546" s="3"/>
    </row>
    <row r="547" customFormat="false" ht="15" hidden="false" customHeight="false" outlineLevel="0" collapsed="false">
      <c r="A547" s="3"/>
      <c r="B547" s="3"/>
    </row>
    <row r="548" customFormat="false" ht="15" hidden="false" customHeight="false" outlineLevel="0" collapsed="false">
      <c r="A548" s="3"/>
      <c r="B548" s="3"/>
    </row>
    <row r="549" customFormat="false" ht="15" hidden="false" customHeight="false" outlineLevel="0" collapsed="false">
      <c r="A549" s="3"/>
      <c r="B549" s="3"/>
    </row>
    <row r="550" customFormat="false" ht="15" hidden="false" customHeight="false" outlineLevel="0" collapsed="false">
      <c r="A550" s="3"/>
      <c r="B550" s="3"/>
    </row>
    <row r="551" customFormat="false" ht="15" hidden="false" customHeight="false" outlineLevel="0" collapsed="false">
      <c r="A551" s="3"/>
      <c r="B551" s="3"/>
    </row>
    <row r="552" customFormat="false" ht="15" hidden="false" customHeight="false" outlineLevel="0" collapsed="false">
      <c r="A552" s="3"/>
      <c r="B552" s="3"/>
    </row>
    <row r="553" customFormat="false" ht="15" hidden="false" customHeight="false" outlineLevel="0" collapsed="false">
      <c r="A553" s="3"/>
      <c r="B553" s="3"/>
    </row>
    <row r="554" customFormat="false" ht="15" hidden="false" customHeight="false" outlineLevel="0" collapsed="false">
      <c r="A554" s="3"/>
      <c r="B554" s="3"/>
    </row>
    <row r="555" customFormat="false" ht="15" hidden="false" customHeight="false" outlineLevel="0" collapsed="false">
      <c r="A555" s="3"/>
      <c r="B555" s="3"/>
    </row>
    <row r="556" customFormat="false" ht="15" hidden="false" customHeight="false" outlineLevel="0" collapsed="false">
      <c r="A556" s="3"/>
      <c r="B556" s="3"/>
    </row>
    <row r="557" customFormat="false" ht="15" hidden="false" customHeight="false" outlineLevel="0" collapsed="false">
      <c r="A557" s="3"/>
      <c r="B557" s="3"/>
    </row>
    <row r="558" customFormat="false" ht="15" hidden="false" customHeight="false" outlineLevel="0" collapsed="false">
      <c r="A558" s="3"/>
      <c r="B558" s="3"/>
    </row>
    <row r="559" customFormat="false" ht="15" hidden="false" customHeight="false" outlineLevel="0" collapsed="false">
      <c r="A559" s="3"/>
      <c r="B559" s="3"/>
    </row>
    <row r="560" customFormat="false" ht="15" hidden="false" customHeight="false" outlineLevel="0" collapsed="false">
      <c r="A560" s="3"/>
      <c r="B560" s="3"/>
    </row>
    <row r="561" customFormat="false" ht="15" hidden="false" customHeight="false" outlineLevel="0" collapsed="false">
      <c r="A561" s="3"/>
      <c r="B561" s="3"/>
    </row>
    <row r="562" customFormat="false" ht="15" hidden="false" customHeight="false" outlineLevel="0" collapsed="false">
      <c r="A562" s="3"/>
      <c r="B562" s="3"/>
    </row>
    <row r="563" customFormat="false" ht="15" hidden="false" customHeight="false" outlineLevel="0" collapsed="false">
      <c r="A563" s="3"/>
      <c r="B563" s="3"/>
    </row>
    <row r="564" customFormat="false" ht="15" hidden="false" customHeight="false" outlineLevel="0" collapsed="false">
      <c r="A564" s="3"/>
      <c r="B564" s="3"/>
    </row>
    <row r="565" customFormat="false" ht="15" hidden="false" customHeight="false" outlineLevel="0" collapsed="false">
      <c r="A565" s="3"/>
      <c r="B565" s="3"/>
    </row>
    <row r="566" customFormat="false" ht="15" hidden="false" customHeight="false" outlineLevel="0" collapsed="false">
      <c r="A566" s="3"/>
      <c r="B566" s="3"/>
    </row>
    <row r="567" customFormat="false" ht="15" hidden="false" customHeight="false" outlineLevel="0" collapsed="false">
      <c r="A567" s="3"/>
      <c r="B567" s="3"/>
    </row>
    <row r="568" customFormat="false" ht="15" hidden="false" customHeight="false" outlineLevel="0" collapsed="false">
      <c r="A568" s="3"/>
      <c r="B568" s="3"/>
    </row>
    <row r="569" customFormat="false" ht="15" hidden="false" customHeight="false" outlineLevel="0" collapsed="false">
      <c r="A569" s="3"/>
      <c r="B569" s="3"/>
    </row>
    <row r="570" customFormat="false" ht="15" hidden="false" customHeight="false" outlineLevel="0" collapsed="false">
      <c r="A570" s="3"/>
      <c r="B570" s="3"/>
    </row>
    <row r="571" customFormat="false" ht="15" hidden="false" customHeight="false" outlineLevel="0" collapsed="false">
      <c r="A571" s="3"/>
      <c r="B571" s="3"/>
    </row>
    <row r="572" customFormat="false" ht="15" hidden="false" customHeight="false" outlineLevel="0" collapsed="false">
      <c r="A572" s="3"/>
      <c r="B572" s="3"/>
    </row>
    <row r="573" customFormat="false" ht="15" hidden="false" customHeight="false" outlineLevel="0" collapsed="false">
      <c r="A573" s="3"/>
      <c r="B573" s="3"/>
    </row>
    <row r="574" customFormat="false" ht="15" hidden="false" customHeight="false" outlineLevel="0" collapsed="false">
      <c r="A574" s="3"/>
      <c r="B574" s="3"/>
    </row>
    <row r="575" customFormat="false" ht="15" hidden="false" customHeight="false" outlineLevel="0" collapsed="false">
      <c r="A575" s="3"/>
      <c r="B575" s="3"/>
    </row>
    <row r="576" customFormat="false" ht="15" hidden="false" customHeight="false" outlineLevel="0" collapsed="false">
      <c r="A576" s="3"/>
      <c r="B576" s="3"/>
    </row>
    <row r="577" customFormat="false" ht="15" hidden="false" customHeight="false" outlineLevel="0" collapsed="false">
      <c r="A577" s="3"/>
      <c r="B577" s="3"/>
    </row>
    <row r="578" customFormat="false" ht="15" hidden="false" customHeight="false" outlineLevel="0" collapsed="false">
      <c r="A578" s="3"/>
      <c r="B578" s="3"/>
    </row>
    <row r="579" customFormat="false" ht="15" hidden="false" customHeight="false" outlineLevel="0" collapsed="false">
      <c r="A579" s="3"/>
      <c r="B579" s="3"/>
    </row>
    <row r="580" customFormat="false" ht="15" hidden="false" customHeight="false" outlineLevel="0" collapsed="false">
      <c r="A580" s="3"/>
      <c r="B580" s="3"/>
    </row>
    <row r="581" customFormat="false" ht="15" hidden="false" customHeight="false" outlineLevel="0" collapsed="false">
      <c r="A581" s="3"/>
      <c r="B581" s="3"/>
    </row>
    <row r="582" customFormat="false" ht="15" hidden="false" customHeight="false" outlineLevel="0" collapsed="false">
      <c r="A582" s="3"/>
      <c r="B582" s="3"/>
    </row>
    <row r="583" customFormat="false" ht="15" hidden="false" customHeight="false" outlineLevel="0" collapsed="false">
      <c r="A583" s="3"/>
      <c r="B583" s="3"/>
    </row>
    <row r="584" customFormat="false" ht="15" hidden="false" customHeight="false" outlineLevel="0" collapsed="false">
      <c r="A584" s="3"/>
      <c r="B584" s="3"/>
    </row>
    <row r="585" customFormat="false" ht="15" hidden="false" customHeight="false" outlineLevel="0" collapsed="false">
      <c r="A585" s="3"/>
      <c r="B585" s="3"/>
    </row>
    <row r="586" customFormat="false" ht="15" hidden="false" customHeight="false" outlineLevel="0" collapsed="false">
      <c r="A586" s="3"/>
      <c r="B586" s="3"/>
    </row>
    <row r="587" customFormat="false" ht="15" hidden="false" customHeight="false" outlineLevel="0" collapsed="false">
      <c r="A587" s="3"/>
      <c r="B587" s="3"/>
    </row>
    <row r="588" customFormat="false" ht="15" hidden="false" customHeight="false" outlineLevel="0" collapsed="false">
      <c r="A588" s="3"/>
      <c r="B588" s="3"/>
    </row>
    <row r="589" customFormat="false" ht="15" hidden="false" customHeight="false" outlineLevel="0" collapsed="false">
      <c r="A589" s="3"/>
      <c r="B589" s="3"/>
    </row>
    <row r="590" customFormat="false" ht="15" hidden="false" customHeight="false" outlineLevel="0" collapsed="false">
      <c r="A590" s="3"/>
      <c r="B590" s="3"/>
    </row>
    <row r="591" customFormat="false" ht="15" hidden="false" customHeight="false" outlineLevel="0" collapsed="false">
      <c r="A591" s="3"/>
      <c r="B591" s="3"/>
    </row>
    <row r="592" customFormat="false" ht="15" hidden="false" customHeight="false" outlineLevel="0" collapsed="false">
      <c r="A592" s="3"/>
      <c r="B592" s="3"/>
    </row>
    <row r="593" customFormat="false" ht="15" hidden="false" customHeight="false" outlineLevel="0" collapsed="false">
      <c r="A593" s="3"/>
      <c r="B593" s="3"/>
    </row>
    <row r="594" customFormat="false" ht="15" hidden="false" customHeight="false" outlineLevel="0" collapsed="false">
      <c r="A594" s="3"/>
      <c r="B594" s="3"/>
    </row>
    <row r="595" customFormat="false" ht="15" hidden="false" customHeight="false" outlineLevel="0" collapsed="false">
      <c r="A595" s="3"/>
      <c r="B595" s="3"/>
    </row>
    <row r="596" customFormat="false" ht="15" hidden="false" customHeight="false" outlineLevel="0" collapsed="false">
      <c r="A596" s="3"/>
      <c r="B596" s="3"/>
    </row>
    <row r="597" customFormat="false" ht="15" hidden="false" customHeight="false" outlineLevel="0" collapsed="false">
      <c r="A597" s="3"/>
      <c r="B597" s="3"/>
    </row>
    <row r="598" customFormat="false" ht="15" hidden="false" customHeight="false" outlineLevel="0" collapsed="false">
      <c r="A598" s="3"/>
      <c r="B598" s="3"/>
    </row>
    <row r="599" customFormat="false" ht="15" hidden="false" customHeight="false" outlineLevel="0" collapsed="false">
      <c r="A599" s="3"/>
      <c r="B599" s="3"/>
    </row>
    <row r="600" customFormat="false" ht="15" hidden="false" customHeight="false" outlineLevel="0" collapsed="false">
      <c r="A600" s="3"/>
      <c r="B600" s="3"/>
    </row>
    <row r="601" customFormat="false" ht="15" hidden="false" customHeight="false" outlineLevel="0" collapsed="false">
      <c r="A601" s="3"/>
      <c r="B601" s="3"/>
    </row>
    <row r="602" customFormat="false" ht="15" hidden="false" customHeight="false" outlineLevel="0" collapsed="false">
      <c r="A602" s="3"/>
      <c r="B602" s="3"/>
    </row>
    <row r="603" customFormat="false" ht="15" hidden="false" customHeight="false" outlineLevel="0" collapsed="false">
      <c r="A603" s="3"/>
      <c r="B603" s="3"/>
    </row>
    <row r="604" customFormat="false" ht="15" hidden="false" customHeight="false" outlineLevel="0" collapsed="false">
      <c r="A604" s="3"/>
      <c r="B604" s="3"/>
    </row>
    <row r="605" customFormat="false" ht="15" hidden="false" customHeight="false" outlineLevel="0" collapsed="false">
      <c r="A605" s="3"/>
      <c r="B605" s="3"/>
    </row>
    <row r="606" customFormat="false" ht="15" hidden="false" customHeight="false" outlineLevel="0" collapsed="false">
      <c r="A606" s="3"/>
      <c r="B606" s="3"/>
    </row>
    <row r="607" customFormat="false" ht="15" hidden="false" customHeight="false" outlineLevel="0" collapsed="false">
      <c r="A607" s="3"/>
      <c r="B607" s="3"/>
    </row>
    <row r="608" customFormat="false" ht="15" hidden="false" customHeight="false" outlineLevel="0" collapsed="false">
      <c r="A608" s="3"/>
      <c r="B608" s="3"/>
    </row>
    <row r="609" customFormat="false" ht="15" hidden="false" customHeight="false" outlineLevel="0" collapsed="false">
      <c r="A609" s="3"/>
      <c r="B609" s="3"/>
    </row>
    <row r="610" customFormat="false" ht="15" hidden="false" customHeight="false" outlineLevel="0" collapsed="false">
      <c r="A610" s="3"/>
      <c r="B610" s="3"/>
    </row>
    <row r="611" customFormat="false" ht="15" hidden="false" customHeight="false" outlineLevel="0" collapsed="false">
      <c r="A611" s="3"/>
      <c r="B611" s="3"/>
    </row>
    <row r="612" customFormat="false" ht="15" hidden="false" customHeight="false" outlineLevel="0" collapsed="false">
      <c r="A612" s="3"/>
      <c r="B612" s="3"/>
    </row>
    <row r="613" customFormat="false" ht="15" hidden="false" customHeight="false" outlineLevel="0" collapsed="false">
      <c r="A613" s="3"/>
      <c r="B613" s="3"/>
    </row>
    <row r="614" customFormat="false" ht="15" hidden="false" customHeight="false" outlineLevel="0" collapsed="false">
      <c r="A614" s="3"/>
      <c r="B614" s="3"/>
    </row>
    <row r="615" customFormat="false" ht="15" hidden="false" customHeight="false" outlineLevel="0" collapsed="false">
      <c r="A615" s="3"/>
      <c r="B615" s="3"/>
    </row>
    <row r="616" customFormat="false" ht="15" hidden="false" customHeight="false" outlineLevel="0" collapsed="false">
      <c r="A616" s="3"/>
      <c r="B616" s="3"/>
    </row>
    <row r="617" customFormat="false" ht="15" hidden="false" customHeight="false" outlineLevel="0" collapsed="false">
      <c r="A617" s="3"/>
      <c r="B617" s="3"/>
    </row>
    <row r="618" customFormat="false" ht="15" hidden="false" customHeight="false" outlineLevel="0" collapsed="false">
      <c r="A618" s="3"/>
      <c r="B618" s="3"/>
    </row>
    <row r="619" customFormat="false" ht="15" hidden="false" customHeight="false" outlineLevel="0" collapsed="false">
      <c r="A619" s="3"/>
      <c r="B619" s="3"/>
    </row>
    <row r="620" customFormat="false" ht="15" hidden="false" customHeight="false" outlineLevel="0" collapsed="false">
      <c r="A620" s="3"/>
      <c r="B620" s="3"/>
    </row>
    <row r="621" customFormat="false" ht="15" hidden="false" customHeight="false" outlineLevel="0" collapsed="false">
      <c r="A621" s="3"/>
      <c r="B621" s="3"/>
    </row>
    <row r="622" customFormat="false" ht="15" hidden="false" customHeight="false" outlineLevel="0" collapsed="false">
      <c r="A622" s="3"/>
      <c r="B622" s="3"/>
    </row>
    <row r="623" customFormat="false" ht="15" hidden="false" customHeight="false" outlineLevel="0" collapsed="false">
      <c r="A623" s="3"/>
      <c r="B623" s="3"/>
    </row>
    <row r="624" customFormat="false" ht="15" hidden="false" customHeight="false" outlineLevel="0" collapsed="false">
      <c r="A624" s="3"/>
      <c r="B624" s="3"/>
    </row>
    <row r="625" customFormat="false" ht="15" hidden="false" customHeight="false" outlineLevel="0" collapsed="false">
      <c r="A625" s="3"/>
      <c r="B625" s="3"/>
    </row>
    <row r="626" customFormat="false" ht="15" hidden="false" customHeight="false" outlineLevel="0" collapsed="false">
      <c r="A626" s="3"/>
      <c r="B626" s="3"/>
    </row>
    <row r="627" customFormat="false" ht="15" hidden="false" customHeight="false" outlineLevel="0" collapsed="false">
      <c r="A627" s="3"/>
      <c r="B627" s="3"/>
    </row>
    <row r="628" customFormat="false" ht="15" hidden="false" customHeight="false" outlineLevel="0" collapsed="false">
      <c r="A628" s="3"/>
      <c r="B628" s="3"/>
    </row>
    <row r="629" customFormat="false" ht="15" hidden="false" customHeight="false" outlineLevel="0" collapsed="false">
      <c r="A629" s="3"/>
      <c r="B629" s="3"/>
    </row>
    <row r="630" customFormat="false" ht="15" hidden="false" customHeight="false" outlineLevel="0" collapsed="false">
      <c r="A630" s="3"/>
      <c r="B630" s="3"/>
    </row>
    <row r="631" customFormat="false" ht="15" hidden="false" customHeight="false" outlineLevel="0" collapsed="false">
      <c r="A631" s="3"/>
      <c r="B631" s="3"/>
    </row>
    <row r="632" customFormat="false" ht="15" hidden="false" customHeight="false" outlineLevel="0" collapsed="false">
      <c r="A632" s="3"/>
      <c r="B632" s="3"/>
    </row>
    <row r="633" customFormat="false" ht="15" hidden="false" customHeight="false" outlineLevel="0" collapsed="false">
      <c r="A633" s="3"/>
      <c r="B633" s="3"/>
    </row>
    <row r="634" customFormat="false" ht="15" hidden="false" customHeight="false" outlineLevel="0" collapsed="false">
      <c r="A634" s="3"/>
      <c r="B634" s="3"/>
    </row>
    <row r="635" customFormat="false" ht="15" hidden="false" customHeight="false" outlineLevel="0" collapsed="false">
      <c r="A635" s="3"/>
      <c r="B635" s="3"/>
    </row>
    <row r="636" customFormat="false" ht="15" hidden="false" customHeight="false" outlineLevel="0" collapsed="false">
      <c r="A636" s="3"/>
      <c r="B636" s="3"/>
    </row>
    <row r="637" customFormat="false" ht="15" hidden="false" customHeight="false" outlineLevel="0" collapsed="false">
      <c r="A637" s="3"/>
      <c r="B637" s="3"/>
    </row>
    <row r="638" customFormat="false" ht="15" hidden="false" customHeight="false" outlineLevel="0" collapsed="false">
      <c r="A638" s="3"/>
      <c r="B638" s="3"/>
    </row>
    <row r="639" customFormat="false" ht="15" hidden="false" customHeight="false" outlineLevel="0" collapsed="false">
      <c r="A639" s="3"/>
      <c r="B639" s="3"/>
    </row>
    <row r="640" customFormat="false" ht="15" hidden="false" customHeight="false" outlineLevel="0" collapsed="false">
      <c r="A640" s="3"/>
      <c r="B640" s="3"/>
    </row>
    <row r="641" customFormat="false" ht="15" hidden="false" customHeight="false" outlineLevel="0" collapsed="false">
      <c r="A641" s="3"/>
      <c r="B641" s="3"/>
    </row>
    <row r="642" customFormat="false" ht="15" hidden="false" customHeight="false" outlineLevel="0" collapsed="false">
      <c r="A642" s="3"/>
      <c r="B642" s="3"/>
    </row>
    <row r="643" customFormat="false" ht="15" hidden="false" customHeight="false" outlineLevel="0" collapsed="false">
      <c r="A643" s="3"/>
      <c r="B643" s="3"/>
    </row>
    <row r="644" customFormat="false" ht="15" hidden="false" customHeight="false" outlineLevel="0" collapsed="false">
      <c r="A644" s="3"/>
      <c r="B644" s="3"/>
    </row>
    <row r="645" customFormat="false" ht="15" hidden="false" customHeight="false" outlineLevel="0" collapsed="false">
      <c r="A645" s="3"/>
      <c r="B645" s="3"/>
    </row>
    <row r="646" customFormat="false" ht="15" hidden="false" customHeight="false" outlineLevel="0" collapsed="false">
      <c r="A646" s="3"/>
      <c r="B646" s="3"/>
    </row>
    <row r="647" customFormat="false" ht="15" hidden="false" customHeight="false" outlineLevel="0" collapsed="false">
      <c r="A647" s="3"/>
      <c r="B647" s="3"/>
    </row>
    <row r="648" customFormat="false" ht="15" hidden="false" customHeight="false" outlineLevel="0" collapsed="false">
      <c r="A648" s="3"/>
      <c r="B648" s="3"/>
    </row>
    <row r="649" customFormat="false" ht="15" hidden="false" customHeight="false" outlineLevel="0" collapsed="false">
      <c r="A649" s="3"/>
      <c r="B649" s="3"/>
    </row>
    <row r="650" customFormat="false" ht="15" hidden="false" customHeight="false" outlineLevel="0" collapsed="false">
      <c r="A650" s="3"/>
      <c r="B650" s="3"/>
    </row>
    <row r="651" customFormat="false" ht="15" hidden="false" customHeight="false" outlineLevel="0" collapsed="false">
      <c r="A651" s="3"/>
      <c r="B651" s="3"/>
    </row>
    <row r="652" customFormat="false" ht="15" hidden="false" customHeight="false" outlineLevel="0" collapsed="false">
      <c r="A652" s="3"/>
      <c r="B652" s="3"/>
    </row>
    <row r="653" customFormat="false" ht="15" hidden="false" customHeight="false" outlineLevel="0" collapsed="false">
      <c r="A653" s="3"/>
      <c r="B653" s="3"/>
    </row>
    <row r="654" customFormat="false" ht="15" hidden="false" customHeight="false" outlineLevel="0" collapsed="false">
      <c r="A654" s="3"/>
      <c r="B654" s="3"/>
    </row>
    <row r="655" customFormat="false" ht="15" hidden="false" customHeight="false" outlineLevel="0" collapsed="false">
      <c r="A655" s="3"/>
      <c r="B655" s="3"/>
    </row>
    <row r="656" customFormat="false" ht="15" hidden="false" customHeight="false" outlineLevel="0" collapsed="false">
      <c r="A656" s="3"/>
      <c r="B656" s="3"/>
    </row>
    <row r="657" customFormat="false" ht="15" hidden="false" customHeight="false" outlineLevel="0" collapsed="false">
      <c r="A657" s="3"/>
      <c r="B657" s="3"/>
    </row>
    <row r="658" customFormat="false" ht="15" hidden="false" customHeight="false" outlineLevel="0" collapsed="false">
      <c r="A658" s="3"/>
      <c r="B658" s="3"/>
    </row>
    <row r="659" customFormat="false" ht="15" hidden="false" customHeight="false" outlineLevel="0" collapsed="false">
      <c r="A659" s="3"/>
      <c r="B659" s="3"/>
    </row>
    <row r="660" customFormat="false" ht="15" hidden="false" customHeight="false" outlineLevel="0" collapsed="false">
      <c r="A660" s="3"/>
      <c r="B660" s="3"/>
    </row>
    <row r="661" customFormat="false" ht="15" hidden="false" customHeight="false" outlineLevel="0" collapsed="false">
      <c r="A661" s="3"/>
      <c r="B661" s="3"/>
    </row>
    <row r="662" customFormat="false" ht="15" hidden="false" customHeight="false" outlineLevel="0" collapsed="false">
      <c r="A662" s="3"/>
      <c r="B662" s="3"/>
    </row>
    <row r="663" customFormat="false" ht="15" hidden="false" customHeight="false" outlineLevel="0" collapsed="false">
      <c r="A663" s="3"/>
      <c r="B663" s="3"/>
    </row>
    <row r="664" customFormat="false" ht="15" hidden="false" customHeight="false" outlineLevel="0" collapsed="false">
      <c r="A664" s="3"/>
      <c r="B664" s="3"/>
    </row>
    <row r="665" customFormat="false" ht="15" hidden="false" customHeight="false" outlineLevel="0" collapsed="false">
      <c r="A665" s="3"/>
      <c r="B665" s="3"/>
    </row>
    <row r="666" customFormat="false" ht="15" hidden="false" customHeight="false" outlineLevel="0" collapsed="false">
      <c r="A666" s="3"/>
      <c r="B666" s="3"/>
    </row>
    <row r="667" customFormat="false" ht="15" hidden="false" customHeight="false" outlineLevel="0" collapsed="false">
      <c r="A667" s="3"/>
      <c r="B667" s="3"/>
    </row>
    <row r="668" customFormat="false" ht="15" hidden="false" customHeight="false" outlineLevel="0" collapsed="false">
      <c r="A668" s="3"/>
      <c r="B668" s="3"/>
    </row>
    <row r="669" customFormat="false" ht="15" hidden="false" customHeight="false" outlineLevel="0" collapsed="false">
      <c r="A669" s="3"/>
      <c r="B669" s="3"/>
    </row>
    <row r="670" customFormat="false" ht="15" hidden="false" customHeight="false" outlineLevel="0" collapsed="false">
      <c r="A670" s="3"/>
      <c r="B670" s="3"/>
    </row>
    <row r="671" customFormat="false" ht="15" hidden="false" customHeight="false" outlineLevel="0" collapsed="false">
      <c r="A671" s="3"/>
      <c r="B671" s="3"/>
    </row>
    <row r="672" customFormat="false" ht="15" hidden="false" customHeight="false" outlineLevel="0" collapsed="false">
      <c r="A672" s="3"/>
      <c r="B672" s="3"/>
    </row>
    <row r="673" customFormat="false" ht="15" hidden="false" customHeight="false" outlineLevel="0" collapsed="false">
      <c r="A673" s="3"/>
      <c r="B673" s="3"/>
    </row>
    <row r="674" customFormat="false" ht="15" hidden="false" customHeight="false" outlineLevel="0" collapsed="false">
      <c r="A674" s="3"/>
      <c r="B674" s="3"/>
    </row>
    <row r="675" customFormat="false" ht="15" hidden="false" customHeight="false" outlineLevel="0" collapsed="false">
      <c r="A675" s="3"/>
      <c r="B675" s="3"/>
    </row>
    <row r="676" customFormat="false" ht="15" hidden="false" customHeight="false" outlineLevel="0" collapsed="false">
      <c r="A676" s="3"/>
      <c r="B676" s="3"/>
    </row>
    <row r="677" customFormat="false" ht="15" hidden="false" customHeight="false" outlineLevel="0" collapsed="false">
      <c r="A677" s="3"/>
      <c r="B677" s="3"/>
    </row>
    <row r="678" customFormat="false" ht="15" hidden="false" customHeight="false" outlineLevel="0" collapsed="false">
      <c r="A678" s="3"/>
      <c r="B678" s="3"/>
    </row>
    <row r="679" customFormat="false" ht="15" hidden="false" customHeight="false" outlineLevel="0" collapsed="false">
      <c r="A679" s="3"/>
      <c r="B679" s="3"/>
    </row>
    <row r="680" customFormat="false" ht="15" hidden="false" customHeight="false" outlineLevel="0" collapsed="false">
      <c r="A680" s="3"/>
      <c r="B680" s="3"/>
    </row>
    <row r="681" customFormat="false" ht="15" hidden="false" customHeight="false" outlineLevel="0" collapsed="false">
      <c r="A681" s="3"/>
      <c r="B681" s="3"/>
    </row>
    <row r="682" customFormat="false" ht="15" hidden="false" customHeight="false" outlineLevel="0" collapsed="false">
      <c r="A682" s="3"/>
      <c r="B682" s="3"/>
    </row>
    <row r="683" customFormat="false" ht="15" hidden="false" customHeight="false" outlineLevel="0" collapsed="false">
      <c r="A683" s="3"/>
      <c r="B683" s="3"/>
    </row>
    <row r="684" customFormat="false" ht="15" hidden="false" customHeight="false" outlineLevel="0" collapsed="false">
      <c r="A684" s="3"/>
      <c r="B684" s="3"/>
    </row>
    <row r="685" customFormat="false" ht="15" hidden="false" customHeight="false" outlineLevel="0" collapsed="false">
      <c r="A685" s="3"/>
      <c r="B685" s="3"/>
    </row>
    <row r="686" customFormat="false" ht="15" hidden="false" customHeight="false" outlineLevel="0" collapsed="false">
      <c r="A686" s="3"/>
      <c r="B686" s="3"/>
    </row>
    <row r="687" customFormat="false" ht="15" hidden="false" customHeight="false" outlineLevel="0" collapsed="false">
      <c r="A687" s="3"/>
      <c r="B687" s="3"/>
    </row>
    <row r="688" customFormat="false" ht="15" hidden="false" customHeight="false" outlineLevel="0" collapsed="false">
      <c r="A688" s="3"/>
      <c r="B688" s="3"/>
    </row>
    <row r="689" customFormat="false" ht="15" hidden="false" customHeight="false" outlineLevel="0" collapsed="false">
      <c r="A689" s="3"/>
      <c r="B689" s="3"/>
    </row>
    <row r="690" customFormat="false" ht="15" hidden="false" customHeight="false" outlineLevel="0" collapsed="false">
      <c r="A690" s="3"/>
      <c r="B690" s="3"/>
    </row>
    <row r="691" customFormat="false" ht="15" hidden="false" customHeight="false" outlineLevel="0" collapsed="false">
      <c r="A691" s="3"/>
      <c r="B691" s="3"/>
    </row>
    <row r="692" customFormat="false" ht="15" hidden="false" customHeight="false" outlineLevel="0" collapsed="false">
      <c r="A692" s="3"/>
      <c r="B692" s="3"/>
    </row>
    <row r="693" customFormat="false" ht="15" hidden="false" customHeight="false" outlineLevel="0" collapsed="false">
      <c r="A693" s="3"/>
      <c r="B693" s="3"/>
    </row>
    <row r="694" customFormat="false" ht="15" hidden="false" customHeight="false" outlineLevel="0" collapsed="false">
      <c r="A694" s="3"/>
      <c r="B694" s="3"/>
    </row>
    <row r="695" customFormat="false" ht="15" hidden="false" customHeight="false" outlineLevel="0" collapsed="false">
      <c r="A695" s="3"/>
      <c r="B695" s="3"/>
    </row>
    <row r="696" customFormat="false" ht="15" hidden="false" customHeight="false" outlineLevel="0" collapsed="false">
      <c r="A696" s="3"/>
      <c r="B696" s="3"/>
    </row>
    <row r="697" customFormat="false" ht="15" hidden="false" customHeight="false" outlineLevel="0" collapsed="false">
      <c r="A697" s="3"/>
      <c r="B697" s="3"/>
    </row>
    <row r="698" customFormat="false" ht="15" hidden="false" customHeight="false" outlineLevel="0" collapsed="false">
      <c r="A698" s="3"/>
      <c r="B698" s="3"/>
    </row>
    <row r="699" customFormat="false" ht="15" hidden="false" customHeight="false" outlineLevel="0" collapsed="false">
      <c r="A699" s="3"/>
      <c r="B699" s="3"/>
    </row>
    <row r="700" customFormat="false" ht="15" hidden="false" customHeight="false" outlineLevel="0" collapsed="false">
      <c r="A700" s="3"/>
      <c r="B700" s="3"/>
    </row>
    <row r="701" customFormat="false" ht="15" hidden="false" customHeight="false" outlineLevel="0" collapsed="false">
      <c r="A701" s="3"/>
      <c r="B701" s="3"/>
    </row>
    <row r="702" customFormat="false" ht="15" hidden="false" customHeight="false" outlineLevel="0" collapsed="false">
      <c r="A702" s="3"/>
      <c r="B702" s="3"/>
    </row>
    <row r="703" customFormat="false" ht="15" hidden="false" customHeight="false" outlineLevel="0" collapsed="false">
      <c r="A703" s="3"/>
      <c r="B703" s="3"/>
    </row>
    <row r="704" customFormat="false" ht="15" hidden="false" customHeight="false" outlineLevel="0" collapsed="false">
      <c r="A704" s="3"/>
      <c r="B704" s="3"/>
    </row>
    <row r="705" customFormat="false" ht="15" hidden="false" customHeight="false" outlineLevel="0" collapsed="false">
      <c r="A705" s="3"/>
      <c r="B705" s="3"/>
    </row>
    <row r="706" customFormat="false" ht="15" hidden="false" customHeight="false" outlineLevel="0" collapsed="false">
      <c r="A706" s="3"/>
      <c r="B706" s="3"/>
    </row>
    <row r="707" customFormat="false" ht="15" hidden="false" customHeight="false" outlineLevel="0" collapsed="false">
      <c r="A707" s="3"/>
      <c r="B707" s="3"/>
    </row>
    <row r="708" customFormat="false" ht="15" hidden="false" customHeight="false" outlineLevel="0" collapsed="false">
      <c r="A708" s="3"/>
      <c r="B708" s="3"/>
    </row>
    <row r="709" customFormat="false" ht="15" hidden="false" customHeight="false" outlineLevel="0" collapsed="false">
      <c r="A709" s="3"/>
      <c r="B709" s="3"/>
    </row>
    <row r="710" customFormat="false" ht="15" hidden="false" customHeight="false" outlineLevel="0" collapsed="false">
      <c r="A710" s="3"/>
      <c r="B710" s="3"/>
    </row>
    <row r="711" customFormat="false" ht="15" hidden="false" customHeight="false" outlineLevel="0" collapsed="false">
      <c r="A711" s="3"/>
      <c r="B711" s="3"/>
    </row>
    <row r="712" customFormat="false" ht="15" hidden="false" customHeight="false" outlineLevel="0" collapsed="false">
      <c r="A712" s="3"/>
      <c r="B712" s="3"/>
    </row>
    <row r="713" customFormat="false" ht="15" hidden="false" customHeight="false" outlineLevel="0" collapsed="false">
      <c r="A713" s="3"/>
      <c r="B713" s="3"/>
    </row>
    <row r="714" customFormat="false" ht="15" hidden="false" customHeight="false" outlineLevel="0" collapsed="false">
      <c r="A714" s="3"/>
      <c r="B714" s="3"/>
    </row>
    <row r="715" customFormat="false" ht="15" hidden="false" customHeight="false" outlineLevel="0" collapsed="false">
      <c r="A715" s="3"/>
      <c r="B715" s="3"/>
    </row>
    <row r="716" customFormat="false" ht="15" hidden="false" customHeight="false" outlineLevel="0" collapsed="false">
      <c r="A716" s="3"/>
      <c r="B716" s="3"/>
    </row>
    <row r="717" customFormat="false" ht="15" hidden="false" customHeight="false" outlineLevel="0" collapsed="false">
      <c r="A717" s="3"/>
      <c r="B717" s="3"/>
    </row>
    <row r="718" customFormat="false" ht="15" hidden="false" customHeight="false" outlineLevel="0" collapsed="false">
      <c r="A718" s="3"/>
      <c r="B718" s="3"/>
    </row>
    <row r="719" customFormat="false" ht="15" hidden="false" customHeight="false" outlineLevel="0" collapsed="false">
      <c r="A719" s="3"/>
      <c r="B719" s="3"/>
    </row>
    <row r="720" customFormat="false" ht="15" hidden="false" customHeight="false" outlineLevel="0" collapsed="false">
      <c r="A720" s="3"/>
      <c r="B720" s="3"/>
    </row>
    <row r="721" customFormat="false" ht="15" hidden="false" customHeight="false" outlineLevel="0" collapsed="false">
      <c r="A721" s="3"/>
      <c r="B721" s="3"/>
    </row>
    <row r="722" customFormat="false" ht="15" hidden="false" customHeight="false" outlineLevel="0" collapsed="false">
      <c r="A722" s="3"/>
      <c r="B722" s="3"/>
    </row>
    <row r="723" customFormat="false" ht="15" hidden="false" customHeight="false" outlineLevel="0" collapsed="false">
      <c r="A723" s="3"/>
      <c r="B723" s="3"/>
    </row>
    <row r="724" customFormat="false" ht="15" hidden="false" customHeight="false" outlineLevel="0" collapsed="false">
      <c r="A724" s="3"/>
      <c r="B724" s="3"/>
    </row>
    <row r="725" customFormat="false" ht="15" hidden="false" customHeight="false" outlineLevel="0" collapsed="false">
      <c r="A725" s="3"/>
      <c r="B725" s="3"/>
    </row>
    <row r="726" customFormat="false" ht="15" hidden="false" customHeight="false" outlineLevel="0" collapsed="false">
      <c r="A726" s="3"/>
      <c r="B726" s="3"/>
    </row>
    <row r="727" customFormat="false" ht="15" hidden="false" customHeight="false" outlineLevel="0" collapsed="false">
      <c r="A727" s="3"/>
      <c r="B727" s="3"/>
    </row>
    <row r="728" customFormat="false" ht="15" hidden="false" customHeight="false" outlineLevel="0" collapsed="false">
      <c r="A728" s="3"/>
      <c r="B728" s="3"/>
    </row>
    <row r="729" customFormat="false" ht="15" hidden="false" customHeight="false" outlineLevel="0" collapsed="false">
      <c r="A729" s="3"/>
      <c r="B729" s="3"/>
    </row>
    <row r="730" customFormat="false" ht="15" hidden="false" customHeight="false" outlineLevel="0" collapsed="false">
      <c r="A730" s="3"/>
      <c r="B730" s="3"/>
    </row>
    <row r="731" customFormat="false" ht="15" hidden="false" customHeight="false" outlineLevel="0" collapsed="false">
      <c r="A731" s="3"/>
      <c r="B731" s="3"/>
    </row>
    <row r="732" customFormat="false" ht="15" hidden="false" customHeight="false" outlineLevel="0" collapsed="false">
      <c r="A732" s="3"/>
      <c r="B732" s="3"/>
    </row>
    <row r="733" customFormat="false" ht="15" hidden="false" customHeight="false" outlineLevel="0" collapsed="false">
      <c r="A733" s="3"/>
      <c r="B733" s="3"/>
    </row>
    <row r="734" customFormat="false" ht="15" hidden="false" customHeight="false" outlineLevel="0" collapsed="false">
      <c r="A734" s="3"/>
      <c r="B734" s="3"/>
    </row>
    <row r="735" customFormat="false" ht="15" hidden="false" customHeight="false" outlineLevel="0" collapsed="false">
      <c r="A735" s="3"/>
      <c r="B735" s="3"/>
    </row>
    <row r="736" customFormat="false" ht="15" hidden="false" customHeight="false" outlineLevel="0" collapsed="false">
      <c r="A736" s="3"/>
      <c r="B736" s="3"/>
    </row>
    <row r="737" customFormat="false" ht="15" hidden="false" customHeight="false" outlineLevel="0" collapsed="false">
      <c r="A737" s="3"/>
      <c r="B737" s="3"/>
    </row>
    <row r="738" customFormat="false" ht="15" hidden="false" customHeight="false" outlineLevel="0" collapsed="false">
      <c r="A738" s="3"/>
      <c r="B738" s="3"/>
    </row>
    <row r="739" customFormat="false" ht="15" hidden="false" customHeight="false" outlineLevel="0" collapsed="false">
      <c r="A739" s="3"/>
      <c r="B739" s="3"/>
    </row>
    <row r="740" customFormat="false" ht="15" hidden="false" customHeight="false" outlineLevel="0" collapsed="false">
      <c r="A740" s="3"/>
      <c r="B740" s="3"/>
    </row>
    <row r="741" customFormat="false" ht="15" hidden="false" customHeight="false" outlineLevel="0" collapsed="false">
      <c r="A741" s="3"/>
      <c r="B741" s="3"/>
    </row>
    <row r="742" customFormat="false" ht="15" hidden="false" customHeight="false" outlineLevel="0" collapsed="false">
      <c r="A742" s="3"/>
      <c r="B742" s="3"/>
    </row>
    <row r="743" customFormat="false" ht="15" hidden="false" customHeight="false" outlineLevel="0" collapsed="false">
      <c r="A743" s="3"/>
      <c r="B743" s="3"/>
    </row>
    <row r="744" customFormat="false" ht="15" hidden="false" customHeight="false" outlineLevel="0" collapsed="false">
      <c r="A744" s="3"/>
      <c r="B744" s="3"/>
    </row>
    <row r="745" customFormat="false" ht="15" hidden="false" customHeight="false" outlineLevel="0" collapsed="false">
      <c r="A745" s="3"/>
      <c r="B745" s="3"/>
    </row>
    <row r="746" customFormat="false" ht="15" hidden="false" customHeight="false" outlineLevel="0" collapsed="false">
      <c r="A746" s="3"/>
      <c r="B746" s="3"/>
    </row>
    <row r="747" customFormat="false" ht="15" hidden="false" customHeight="false" outlineLevel="0" collapsed="false">
      <c r="A747" s="3"/>
      <c r="B747" s="3"/>
    </row>
    <row r="748" customFormat="false" ht="15" hidden="false" customHeight="false" outlineLevel="0" collapsed="false">
      <c r="A748" s="3"/>
      <c r="B748" s="3"/>
    </row>
    <row r="749" customFormat="false" ht="15" hidden="false" customHeight="false" outlineLevel="0" collapsed="false">
      <c r="A749" s="3"/>
      <c r="B749" s="3"/>
    </row>
    <row r="750" customFormat="false" ht="15" hidden="false" customHeight="false" outlineLevel="0" collapsed="false">
      <c r="A750" s="3"/>
      <c r="B750" s="3"/>
    </row>
    <row r="751" customFormat="false" ht="15" hidden="false" customHeight="false" outlineLevel="0" collapsed="false">
      <c r="A751" s="3"/>
      <c r="B751" s="3"/>
    </row>
    <row r="752" customFormat="false" ht="15" hidden="false" customHeight="false" outlineLevel="0" collapsed="false">
      <c r="A752" s="3"/>
      <c r="B752" s="3"/>
    </row>
    <row r="753" customFormat="false" ht="15" hidden="false" customHeight="false" outlineLevel="0" collapsed="false">
      <c r="A753" s="3"/>
      <c r="B753" s="3"/>
    </row>
    <row r="754" customFormat="false" ht="15" hidden="false" customHeight="false" outlineLevel="0" collapsed="false">
      <c r="A754" s="3"/>
      <c r="B754" s="3"/>
    </row>
    <row r="755" customFormat="false" ht="15" hidden="false" customHeight="false" outlineLevel="0" collapsed="false">
      <c r="A755" s="3"/>
      <c r="B755" s="3"/>
    </row>
    <row r="756" customFormat="false" ht="15" hidden="false" customHeight="false" outlineLevel="0" collapsed="false">
      <c r="A756" s="3"/>
      <c r="B756" s="3"/>
    </row>
    <row r="757" customFormat="false" ht="15" hidden="false" customHeight="false" outlineLevel="0" collapsed="false">
      <c r="A757" s="3"/>
      <c r="B757" s="3"/>
    </row>
    <row r="758" customFormat="false" ht="15" hidden="false" customHeight="false" outlineLevel="0" collapsed="false">
      <c r="A758" s="3"/>
      <c r="B758" s="3"/>
    </row>
    <row r="759" customFormat="false" ht="15" hidden="false" customHeight="false" outlineLevel="0" collapsed="false">
      <c r="A759" s="3"/>
      <c r="B759" s="3"/>
    </row>
    <row r="760" customFormat="false" ht="15" hidden="false" customHeight="false" outlineLevel="0" collapsed="false">
      <c r="A760" s="3"/>
      <c r="B760" s="3"/>
    </row>
    <row r="761" customFormat="false" ht="15" hidden="false" customHeight="false" outlineLevel="0" collapsed="false">
      <c r="A761" s="3"/>
      <c r="B761" s="3"/>
    </row>
    <row r="762" customFormat="false" ht="15" hidden="false" customHeight="false" outlineLevel="0" collapsed="false">
      <c r="A762" s="3"/>
      <c r="B762" s="3"/>
    </row>
    <row r="763" customFormat="false" ht="15" hidden="false" customHeight="false" outlineLevel="0" collapsed="false">
      <c r="A763" s="3"/>
      <c r="B763" s="3"/>
    </row>
    <row r="764" customFormat="false" ht="15" hidden="false" customHeight="false" outlineLevel="0" collapsed="false">
      <c r="A764" s="3"/>
      <c r="B764" s="3"/>
    </row>
    <row r="765" customFormat="false" ht="15" hidden="false" customHeight="false" outlineLevel="0" collapsed="false">
      <c r="A765" s="3"/>
      <c r="B765" s="3"/>
    </row>
    <row r="766" customFormat="false" ht="15" hidden="false" customHeight="false" outlineLevel="0" collapsed="false">
      <c r="A766" s="3"/>
      <c r="B766" s="3"/>
    </row>
    <row r="767" customFormat="false" ht="15" hidden="false" customHeight="false" outlineLevel="0" collapsed="false">
      <c r="A767" s="3"/>
      <c r="B767" s="3"/>
    </row>
    <row r="768" customFormat="false" ht="15" hidden="false" customHeight="false" outlineLevel="0" collapsed="false">
      <c r="A768" s="3"/>
      <c r="B768" s="3"/>
    </row>
    <row r="769" customFormat="false" ht="15" hidden="false" customHeight="false" outlineLevel="0" collapsed="false">
      <c r="A769" s="3"/>
      <c r="B769" s="3"/>
    </row>
    <row r="770" customFormat="false" ht="15" hidden="false" customHeight="false" outlineLevel="0" collapsed="false">
      <c r="A770" s="3"/>
      <c r="B770" s="3"/>
    </row>
    <row r="771" customFormat="false" ht="15" hidden="false" customHeight="false" outlineLevel="0" collapsed="false">
      <c r="A771" s="3"/>
      <c r="B771" s="3"/>
    </row>
    <row r="772" customFormat="false" ht="15" hidden="false" customHeight="false" outlineLevel="0" collapsed="false">
      <c r="A772" s="3"/>
      <c r="B772" s="3"/>
    </row>
    <row r="773" customFormat="false" ht="15" hidden="false" customHeight="false" outlineLevel="0" collapsed="false">
      <c r="A773" s="3"/>
      <c r="B773" s="3"/>
    </row>
    <row r="774" customFormat="false" ht="15" hidden="false" customHeight="false" outlineLevel="0" collapsed="false">
      <c r="A774" s="3"/>
      <c r="B774" s="3"/>
    </row>
    <row r="775" customFormat="false" ht="15" hidden="false" customHeight="false" outlineLevel="0" collapsed="false">
      <c r="A775" s="3"/>
      <c r="B775" s="3"/>
    </row>
    <row r="776" customFormat="false" ht="15" hidden="false" customHeight="false" outlineLevel="0" collapsed="false">
      <c r="A776" s="3"/>
      <c r="B776" s="3"/>
    </row>
    <row r="777" customFormat="false" ht="15" hidden="false" customHeight="false" outlineLevel="0" collapsed="false">
      <c r="A777" s="3"/>
      <c r="B777" s="3"/>
    </row>
    <row r="778" customFormat="false" ht="15" hidden="false" customHeight="false" outlineLevel="0" collapsed="false">
      <c r="A778" s="3"/>
      <c r="B778" s="3"/>
    </row>
    <row r="779" customFormat="false" ht="15" hidden="false" customHeight="false" outlineLevel="0" collapsed="false">
      <c r="A779" s="3"/>
      <c r="B779" s="3"/>
    </row>
    <row r="780" customFormat="false" ht="15" hidden="false" customHeight="false" outlineLevel="0" collapsed="false">
      <c r="A780" s="3"/>
      <c r="B780" s="3"/>
    </row>
    <row r="781" customFormat="false" ht="15" hidden="false" customHeight="false" outlineLevel="0" collapsed="false">
      <c r="A781" s="3"/>
      <c r="B781" s="3"/>
    </row>
    <row r="782" customFormat="false" ht="15" hidden="false" customHeight="false" outlineLevel="0" collapsed="false">
      <c r="A782" s="3"/>
      <c r="B782" s="3"/>
    </row>
    <row r="783" customFormat="false" ht="15" hidden="false" customHeight="false" outlineLevel="0" collapsed="false">
      <c r="A783" s="3"/>
      <c r="B783" s="3"/>
    </row>
    <row r="784" customFormat="false" ht="15" hidden="false" customHeight="false" outlineLevel="0" collapsed="false">
      <c r="A784" s="3"/>
      <c r="B784" s="3"/>
    </row>
    <row r="785" customFormat="false" ht="15" hidden="false" customHeight="false" outlineLevel="0" collapsed="false">
      <c r="A785" s="3"/>
      <c r="B785" s="3"/>
    </row>
    <row r="786" customFormat="false" ht="15" hidden="false" customHeight="false" outlineLevel="0" collapsed="false">
      <c r="A786" s="3"/>
      <c r="B786" s="3"/>
    </row>
    <row r="787" customFormat="false" ht="15" hidden="false" customHeight="false" outlineLevel="0" collapsed="false">
      <c r="A787" s="3"/>
      <c r="B787" s="3"/>
    </row>
    <row r="788" customFormat="false" ht="15" hidden="false" customHeight="false" outlineLevel="0" collapsed="false">
      <c r="A788" s="3"/>
      <c r="B788" s="3"/>
    </row>
    <row r="789" customFormat="false" ht="15" hidden="false" customHeight="false" outlineLevel="0" collapsed="false">
      <c r="A789" s="3"/>
      <c r="B789" s="3"/>
    </row>
    <row r="790" customFormat="false" ht="15" hidden="false" customHeight="false" outlineLevel="0" collapsed="false">
      <c r="A790" s="3"/>
      <c r="B790" s="3"/>
    </row>
    <row r="791" customFormat="false" ht="15" hidden="false" customHeight="false" outlineLevel="0" collapsed="false">
      <c r="A791" s="3"/>
      <c r="B791" s="3"/>
    </row>
    <row r="792" customFormat="false" ht="15" hidden="false" customHeight="false" outlineLevel="0" collapsed="false">
      <c r="A792" s="3"/>
      <c r="B792" s="3"/>
    </row>
    <row r="793" customFormat="false" ht="15" hidden="false" customHeight="false" outlineLevel="0" collapsed="false">
      <c r="A793" s="3"/>
      <c r="B793" s="3"/>
    </row>
    <row r="794" customFormat="false" ht="15" hidden="false" customHeight="false" outlineLevel="0" collapsed="false">
      <c r="A794" s="3"/>
      <c r="B794" s="3"/>
    </row>
    <row r="795" customFormat="false" ht="15" hidden="false" customHeight="false" outlineLevel="0" collapsed="false">
      <c r="A795" s="3"/>
      <c r="B795" s="3"/>
    </row>
    <row r="796" customFormat="false" ht="15" hidden="false" customHeight="false" outlineLevel="0" collapsed="false">
      <c r="A796" s="3"/>
      <c r="B796" s="3"/>
    </row>
    <row r="797" customFormat="false" ht="15" hidden="false" customHeight="false" outlineLevel="0" collapsed="false">
      <c r="A797" s="3"/>
      <c r="B797" s="3"/>
    </row>
    <row r="798" customFormat="false" ht="15" hidden="false" customHeight="false" outlineLevel="0" collapsed="false">
      <c r="A798" s="3"/>
      <c r="B798" s="3"/>
    </row>
    <row r="799" customFormat="false" ht="15" hidden="false" customHeight="false" outlineLevel="0" collapsed="false">
      <c r="A799" s="3"/>
      <c r="B799" s="3"/>
    </row>
    <row r="800" customFormat="false" ht="15" hidden="false" customHeight="false" outlineLevel="0" collapsed="false">
      <c r="A800" s="3"/>
      <c r="B800" s="3"/>
    </row>
    <row r="801" customFormat="false" ht="15" hidden="false" customHeight="false" outlineLevel="0" collapsed="false">
      <c r="A801" s="3"/>
      <c r="B801" s="3"/>
    </row>
    <row r="802" customFormat="false" ht="15" hidden="false" customHeight="false" outlineLevel="0" collapsed="false">
      <c r="A802" s="3"/>
      <c r="B802" s="3"/>
    </row>
    <row r="803" customFormat="false" ht="15" hidden="false" customHeight="false" outlineLevel="0" collapsed="false">
      <c r="A803" s="3"/>
      <c r="B803" s="3"/>
    </row>
    <row r="804" customFormat="false" ht="15" hidden="false" customHeight="false" outlineLevel="0" collapsed="false">
      <c r="A804" s="3"/>
      <c r="B804" s="3"/>
    </row>
    <row r="805" customFormat="false" ht="15" hidden="false" customHeight="false" outlineLevel="0" collapsed="false">
      <c r="A805" s="3"/>
      <c r="B805" s="3"/>
    </row>
    <row r="806" customFormat="false" ht="15" hidden="false" customHeight="false" outlineLevel="0" collapsed="false">
      <c r="A806" s="3"/>
      <c r="B806" s="3"/>
    </row>
    <row r="807" customFormat="false" ht="15" hidden="false" customHeight="false" outlineLevel="0" collapsed="false">
      <c r="A807" s="3"/>
      <c r="B807" s="3"/>
    </row>
    <row r="808" customFormat="false" ht="15" hidden="false" customHeight="false" outlineLevel="0" collapsed="false">
      <c r="A808" s="3"/>
      <c r="B808" s="3"/>
    </row>
    <row r="809" customFormat="false" ht="15" hidden="false" customHeight="false" outlineLevel="0" collapsed="false">
      <c r="A809" s="3"/>
      <c r="B809" s="3"/>
    </row>
    <row r="810" customFormat="false" ht="15" hidden="false" customHeight="false" outlineLevel="0" collapsed="false">
      <c r="A810" s="3"/>
      <c r="B810" s="3"/>
    </row>
    <row r="811" customFormat="false" ht="15" hidden="false" customHeight="false" outlineLevel="0" collapsed="false">
      <c r="A811" s="3"/>
      <c r="B811" s="3"/>
    </row>
    <row r="812" customFormat="false" ht="15" hidden="false" customHeight="false" outlineLevel="0" collapsed="false">
      <c r="A812" s="3"/>
      <c r="B812" s="3"/>
    </row>
    <row r="813" customFormat="false" ht="15" hidden="false" customHeight="false" outlineLevel="0" collapsed="false">
      <c r="A813" s="3"/>
      <c r="B813" s="3"/>
    </row>
    <row r="814" customFormat="false" ht="15" hidden="false" customHeight="false" outlineLevel="0" collapsed="false">
      <c r="A814" s="3"/>
      <c r="B814" s="3"/>
    </row>
    <row r="815" customFormat="false" ht="15" hidden="false" customHeight="false" outlineLevel="0" collapsed="false">
      <c r="A815" s="3"/>
      <c r="B815" s="3"/>
    </row>
    <row r="816" customFormat="false" ht="15" hidden="false" customHeight="false" outlineLevel="0" collapsed="false">
      <c r="A816" s="3"/>
      <c r="B816" s="3"/>
    </row>
    <row r="817" customFormat="false" ht="15" hidden="false" customHeight="false" outlineLevel="0" collapsed="false">
      <c r="A817" s="3"/>
      <c r="B817" s="3"/>
    </row>
    <row r="818" customFormat="false" ht="15" hidden="false" customHeight="false" outlineLevel="0" collapsed="false">
      <c r="A818" s="3"/>
      <c r="B818" s="3"/>
    </row>
    <row r="819" customFormat="false" ht="15" hidden="false" customHeight="false" outlineLevel="0" collapsed="false">
      <c r="A819" s="3"/>
      <c r="B819" s="3"/>
    </row>
    <row r="820" customFormat="false" ht="15" hidden="false" customHeight="false" outlineLevel="0" collapsed="false">
      <c r="A820" s="3"/>
      <c r="B820" s="3"/>
    </row>
    <row r="821" customFormat="false" ht="15" hidden="false" customHeight="false" outlineLevel="0" collapsed="false">
      <c r="A821" s="3"/>
      <c r="B821" s="3"/>
    </row>
    <row r="822" customFormat="false" ht="15" hidden="false" customHeight="false" outlineLevel="0" collapsed="false">
      <c r="A822" s="3"/>
      <c r="B822" s="3"/>
    </row>
    <row r="823" customFormat="false" ht="15" hidden="false" customHeight="false" outlineLevel="0" collapsed="false">
      <c r="A823" s="3"/>
      <c r="B823" s="3"/>
    </row>
    <row r="824" customFormat="false" ht="15" hidden="false" customHeight="false" outlineLevel="0" collapsed="false">
      <c r="A824" s="3"/>
      <c r="B824" s="3"/>
    </row>
    <row r="825" customFormat="false" ht="15" hidden="false" customHeight="false" outlineLevel="0" collapsed="false">
      <c r="A825" s="3"/>
      <c r="B825" s="3"/>
    </row>
    <row r="826" customFormat="false" ht="15" hidden="false" customHeight="false" outlineLevel="0" collapsed="false">
      <c r="A826" s="3"/>
      <c r="B826" s="3"/>
    </row>
    <row r="827" customFormat="false" ht="15" hidden="false" customHeight="false" outlineLevel="0" collapsed="false">
      <c r="A827" s="3"/>
      <c r="B827" s="3"/>
    </row>
    <row r="828" customFormat="false" ht="15" hidden="false" customHeight="false" outlineLevel="0" collapsed="false">
      <c r="A828" s="3"/>
      <c r="B828" s="3"/>
    </row>
    <row r="829" customFormat="false" ht="15" hidden="false" customHeight="false" outlineLevel="0" collapsed="false">
      <c r="A829" s="3"/>
      <c r="B829" s="3"/>
    </row>
    <row r="830" customFormat="false" ht="15" hidden="false" customHeight="false" outlineLevel="0" collapsed="false">
      <c r="A830" s="3"/>
      <c r="B830" s="3"/>
    </row>
    <row r="831" customFormat="false" ht="15" hidden="false" customHeight="false" outlineLevel="0" collapsed="false">
      <c r="A831" s="3"/>
      <c r="B831" s="3"/>
    </row>
    <row r="832" customFormat="false" ht="15" hidden="false" customHeight="false" outlineLevel="0" collapsed="false">
      <c r="A832" s="3"/>
      <c r="B832" s="3"/>
    </row>
    <row r="833" customFormat="false" ht="15" hidden="false" customHeight="false" outlineLevel="0" collapsed="false">
      <c r="A833" s="3"/>
      <c r="B833" s="3"/>
    </row>
    <row r="834" customFormat="false" ht="15" hidden="false" customHeight="false" outlineLevel="0" collapsed="false">
      <c r="A834" s="3"/>
      <c r="B834" s="3"/>
    </row>
    <row r="835" customFormat="false" ht="15" hidden="false" customHeight="false" outlineLevel="0" collapsed="false">
      <c r="A835" s="3"/>
      <c r="B835" s="3"/>
    </row>
    <row r="836" customFormat="false" ht="15" hidden="false" customHeight="false" outlineLevel="0" collapsed="false">
      <c r="A836" s="3"/>
      <c r="B836" s="3"/>
    </row>
    <row r="837" customFormat="false" ht="15" hidden="false" customHeight="false" outlineLevel="0" collapsed="false">
      <c r="A837" s="3"/>
      <c r="B837" s="3"/>
    </row>
    <row r="838" customFormat="false" ht="15" hidden="false" customHeight="false" outlineLevel="0" collapsed="false">
      <c r="A838" s="3"/>
      <c r="B838" s="3"/>
    </row>
    <row r="839" customFormat="false" ht="15" hidden="false" customHeight="false" outlineLevel="0" collapsed="false">
      <c r="A839" s="3"/>
      <c r="B839" s="3"/>
    </row>
    <row r="840" customFormat="false" ht="15" hidden="false" customHeight="false" outlineLevel="0" collapsed="false">
      <c r="A840" s="3"/>
      <c r="B840" s="3"/>
    </row>
    <row r="841" customFormat="false" ht="15" hidden="false" customHeight="false" outlineLevel="0" collapsed="false">
      <c r="A841" s="3"/>
      <c r="B841" s="3"/>
    </row>
    <row r="842" customFormat="false" ht="15" hidden="false" customHeight="false" outlineLevel="0" collapsed="false">
      <c r="A842" s="3"/>
      <c r="B842" s="3"/>
    </row>
    <row r="843" customFormat="false" ht="15" hidden="false" customHeight="false" outlineLevel="0" collapsed="false">
      <c r="A843" s="3"/>
      <c r="B843" s="3"/>
    </row>
    <row r="844" customFormat="false" ht="15" hidden="false" customHeight="false" outlineLevel="0" collapsed="false">
      <c r="A844" s="3"/>
      <c r="B844" s="3"/>
    </row>
    <row r="845" customFormat="false" ht="15" hidden="false" customHeight="false" outlineLevel="0" collapsed="false">
      <c r="A845" s="3"/>
      <c r="B845" s="3"/>
    </row>
    <row r="846" customFormat="false" ht="15" hidden="false" customHeight="false" outlineLevel="0" collapsed="false">
      <c r="A846" s="3"/>
      <c r="B846" s="3"/>
    </row>
    <row r="847" customFormat="false" ht="15" hidden="false" customHeight="false" outlineLevel="0" collapsed="false">
      <c r="A847" s="3"/>
      <c r="B847" s="3"/>
    </row>
    <row r="848" customFormat="false" ht="15" hidden="false" customHeight="false" outlineLevel="0" collapsed="false">
      <c r="A848" s="3"/>
      <c r="B848" s="3"/>
    </row>
    <row r="849" customFormat="false" ht="15" hidden="false" customHeight="false" outlineLevel="0" collapsed="false">
      <c r="A849" s="3"/>
      <c r="B849" s="3"/>
    </row>
    <row r="850" customFormat="false" ht="15" hidden="false" customHeight="false" outlineLevel="0" collapsed="false">
      <c r="A850" s="3"/>
      <c r="B850" s="3"/>
    </row>
    <row r="851" customFormat="false" ht="15" hidden="false" customHeight="false" outlineLevel="0" collapsed="false">
      <c r="A851" s="3"/>
      <c r="B851" s="3"/>
    </row>
    <row r="852" customFormat="false" ht="15" hidden="false" customHeight="false" outlineLevel="0" collapsed="false">
      <c r="A852" s="3"/>
      <c r="B852" s="3"/>
    </row>
    <row r="853" customFormat="false" ht="15" hidden="false" customHeight="false" outlineLevel="0" collapsed="false">
      <c r="A853" s="3"/>
      <c r="B853" s="3"/>
    </row>
    <row r="854" customFormat="false" ht="15" hidden="false" customHeight="false" outlineLevel="0" collapsed="false">
      <c r="A854" s="3"/>
      <c r="B854" s="3"/>
    </row>
    <row r="855" customFormat="false" ht="15" hidden="false" customHeight="false" outlineLevel="0" collapsed="false">
      <c r="A855" s="3"/>
      <c r="B855" s="3"/>
    </row>
    <row r="856" customFormat="false" ht="15" hidden="false" customHeight="false" outlineLevel="0" collapsed="false">
      <c r="A856" s="3"/>
      <c r="B856" s="3"/>
    </row>
    <row r="857" customFormat="false" ht="15" hidden="false" customHeight="false" outlineLevel="0" collapsed="false">
      <c r="A857" s="3"/>
      <c r="B857" s="3"/>
    </row>
    <row r="858" customFormat="false" ht="15" hidden="false" customHeight="false" outlineLevel="0" collapsed="false">
      <c r="A858" s="3"/>
      <c r="B858" s="3"/>
    </row>
    <row r="859" customFormat="false" ht="15" hidden="false" customHeight="false" outlineLevel="0" collapsed="false">
      <c r="A859" s="3"/>
      <c r="B859" s="3"/>
    </row>
    <row r="860" customFormat="false" ht="15" hidden="false" customHeight="false" outlineLevel="0" collapsed="false">
      <c r="A860" s="3"/>
      <c r="B860" s="3"/>
    </row>
    <row r="861" customFormat="false" ht="15" hidden="false" customHeight="false" outlineLevel="0" collapsed="false">
      <c r="A861" s="3"/>
      <c r="B861" s="3"/>
    </row>
    <row r="862" customFormat="false" ht="15" hidden="false" customHeight="false" outlineLevel="0" collapsed="false">
      <c r="A862" s="3"/>
      <c r="B862" s="3"/>
    </row>
    <row r="863" customFormat="false" ht="15" hidden="false" customHeight="false" outlineLevel="0" collapsed="false">
      <c r="A863" s="3"/>
      <c r="B863" s="3"/>
    </row>
    <row r="864" customFormat="false" ht="15" hidden="false" customHeight="false" outlineLevel="0" collapsed="false">
      <c r="A864" s="3"/>
      <c r="B864" s="3"/>
    </row>
    <row r="865" customFormat="false" ht="15" hidden="false" customHeight="false" outlineLevel="0" collapsed="false">
      <c r="A865" s="3"/>
      <c r="B865" s="3"/>
    </row>
    <row r="866" customFormat="false" ht="15" hidden="false" customHeight="false" outlineLevel="0" collapsed="false">
      <c r="A866" s="3"/>
      <c r="B866" s="3"/>
    </row>
    <row r="867" customFormat="false" ht="15" hidden="false" customHeight="false" outlineLevel="0" collapsed="false">
      <c r="A867" s="3"/>
      <c r="B867" s="3"/>
    </row>
    <row r="868" customFormat="false" ht="15" hidden="false" customHeight="false" outlineLevel="0" collapsed="false">
      <c r="A868" s="3"/>
      <c r="B868" s="3"/>
    </row>
    <row r="869" customFormat="false" ht="15" hidden="false" customHeight="false" outlineLevel="0" collapsed="false">
      <c r="A869" s="3"/>
      <c r="B869" s="3"/>
    </row>
    <row r="870" customFormat="false" ht="15" hidden="false" customHeight="false" outlineLevel="0" collapsed="false">
      <c r="A870" s="3"/>
      <c r="B870" s="3"/>
    </row>
    <row r="871" customFormat="false" ht="15" hidden="false" customHeight="false" outlineLevel="0" collapsed="false">
      <c r="A871" s="3"/>
      <c r="B871" s="3"/>
    </row>
    <row r="872" customFormat="false" ht="15" hidden="false" customHeight="false" outlineLevel="0" collapsed="false">
      <c r="A872" s="3"/>
      <c r="B872" s="3"/>
    </row>
    <row r="873" customFormat="false" ht="15" hidden="false" customHeight="false" outlineLevel="0" collapsed="false">
      <c r="A873" s="3"/>
      <c r="B873" s="3"/>
    </row>
    <row r="874" customFormat="false" ht="15" hidden="false" customHeight="false" outlineLevel="0" collapsed="false">
      <c r="A874" s="3"/>
      <c r="B874" s="3"/>
    </row>
    <row r="875" customFormat="false" ht="15" hidden="false" customHeight="false" outlineLevel="0" collapsed="false">
      <c r="A875" s="3"/>
      <c r="B875" s="3"/>
    </row>
    <row r="876" customFormat="false" ht="15" hidden="false" customHeight="false" outlineLevel="0" collapsed="false">
      <c r="A876" s="3"/>
      <c r="B876" s="3"/>
    </row>
    <row r="877" customFormat="false" ht="15" hidden="false" customHeight="false" outlineLevel="0" collapsed="false">
      <c r="A877" s="3"/>
      <c r="B877" s="3"/>
    </row>
    <row r="878" customFormat="false" ht="15" hidden="false" customHeight="false" outlineLevel="0" collapsed="false">
      <c r="A878" s="3"/>
      <c r="B878" s="3"/>
    </row>
    <row r="879" customFormat="false" ht="15" hidden="false" customHeight="false" outlineLevel="0" collapsed="false">
      <c r="A879" s="3"/>
      <c r="B879" s="3"/>
    </row>
    <row r="880" customFormat="false" ht="15" hidden="false" customHeight="false" outlineLevel="0" collapsed="false">
      <c r="A880" s="3"/>
      <c r="B880" s="3"/>
    </row>
    <row r="881" customFormat="false" ht="15" hidden="false" customHeight="false" outlineLevel="0" collapsed="false">
      <c r="A881" s="3"/>
      <c r="B881" s="3"/>
    </row>
    <row r="882" customFormat="false" ht="15" hidden="false" customHeight="false" outlineLevel="0" collapsed="false">
      <c r="A882" s="3"/>
      <c r="B882" s="3"/>
    </row>
    <row r="883" customFormat="false" ht="15" hidden="false" customHeight="false" outlineLevel="0" collapsed="false">
      <c r="A883" s="3"/>
      <c r="B883" s="3"/>
    </row>
    <row r="884" customFormat="false" ht="15" hidden="false" customHeight="false" outlineLevel="0" collapsed="false">
      <c r="A884" s="3"/>
      <c r="B884" s="3"/>
    </row>
    <row r="885" customFormat="false" ht="15" hidden="false" customHeight="false" outlineLevel="0" collapsed="false">
      <c r="A885" s="3"/>
      <c r="B885" s="3"/>
    </row>
    <row r="886" customFormat="false" ht="15" hidden="false" customHeight="false" outlineLevel="0" collapsed="false">
      <c r="A886" s="3"/>
      <c r="B886" s="3"/>
    </row>
    <row r="887" customFormat="false" ht="15" hidden="false" customHeight="false" outlineLevel="0" collapsed="false">
      <c r="A887" s="3"/>
      <c r="B887" s="3"/>
    </row>
    <row r="888" customFormat="false" ht="15" hidden="false" customHeight="false" outlineLevel="0" collapsed="false">
      <c r="A888" s="3"/>
      <c r="B888" s="3"/>
    </row>
    <row r="889" customFormat="false" ht="15" hidden="false" customHeight="false" outlineLevel="0" collapsed="false">
      <c r="A889" s="3"/>
      <c r="B889" s="3"/>
    </row>
    <row r="890" customFormat="false" ht="15" hidden="false" customHeight="false" outlineLevel="0" collapsed="false">
      <c r="A890" s="3"/>
      <c r="B890" s="3"/>
    </row>
    <row r="891" customFormat="false" ht="15" hidden="false" customHeight="false" outlineLevel="0" collapsed="false">
      <c r="A891" s="3"/>
      <c r="B891" s="3"/>
    </row>
    <row r="892" customFormat="false" ht="15" hidden="false" customHeight="false" outlineLevel="0" collapsed="false">
      <c r="A892" s="3"/>
      <c r="B892" s="3"/>
    </row>
    <row r="893" customFormat="false" ht="15" hidden="false" customHeight="false" outlineLevel="0" collapsed="false">
      <c r="A893" s="3"/>
      <c r="B893" s="3"/>
    </row>
    <row r="894" customFormat="false" ht="15" hidden="false" customHeight="false" outlineLevel="0" collapsed="false">
      <c r="A894" s="3"/>
      <c r="B894" s="3"/>
    </row>
    <row r="895" customFormat="false" ht="15" hidden="false" customHeight="false" outlineLevel="0" collapsed="false">
      <c r="A895" s="3"/>
      <c r="B895" s="3"/>
    </row>
    <row r="896" customFormat="false" ht="15" hidden="false" customHeight="false" outlineLevel="0" collapsed="false">
      <c r="A896" s="3"/>
      <c r="B896" s="3"/>
    </row>
    <row r="897" customFormat="false" ht="15" hidden="false" customHeight="false" outlineLevel="0" collapsed="false">
      <c r="A897" s="3"/>
      <c r="B897" s="3"/>
    </row>
    <row r="898" customFormat="false" ht="15" hidden="false" customHeight="false" outlineLevel="0" collapsed="false">
      <c r="A898" s="3"/>
      <c r="B898" s="3"/>
    </row>
    <row r="899" customFormat="false" ht="15" hidden="false" customHeight="false" outlineLevel="0" collapsed="false">
      <c r="A899" s="3"/>
      <c r="B899" s="3"/>
    </row>
    <row r="900" customFormat="false" ht="15" hidden="false" customHeight="false" outlineLevel="0" collapsed="false">
      <c r="A900" s="3"/>
      <c r="B900" s="3"/>
    </row>
    <row r="901" customFormat="false" ht="15" hidden="false" customHeight="false" outlineLevel="0" collapsed="false">
      <c r="A901" s="3"/>
      <c r="B901" s="3"/>
    </row>
    <row r="902" customFormat="false" ht="15" hidden="false" customHeight="false" outlineLevel="0" collapsed="false">
      <c r="A902" s="3"/>
      <c r="B902" s="3"/>
    </row>
    <row r="903" customFormat="false" ht="15" hidden="false" customHeight="false" outlineLevel="0" collapsed="false">
      <c r="A903" s="3"/>
      <c r="B903" s="3"/>
    </row>
    <row r="904" customFormat="false" ht="15" hidden="false" customHeight="false" outlineLevel="0" collapsed="false">
      <c r="A904" s="3"/>
      <c r="B904" s="3"/>
    </row>
    <row r="905" customFormat="false" ht="15" hidden="false" customHeight="false" outlineLevel="0" collapsed="false">
      <c r="A905" s="3"/>
      <c r="B905" s="3"/>
    </row>
    <row r="906" customFormat="false" ht="15" hidden="false" customHeight="false" outlineLevel="0" collapsed="false">
      <c r="A906" s="3"/>
      <c r="B906" s="3"/>
    </row>
    <row r="907" customFormat="false" ht="15" hidden="false" customHeight="false" outlineLevel="0" collapsed="false">
      <c r="A907" s="3"/>
      <c r="B907" s="3"/>
    </row>
    <row r="908" customFormat="false" ht="15" hidden="false" customHeight="false" outlineLevel="0" collapsed="false">
      <c r="A908" s="3"/>
      <c r="B908" s="3"/>
    </row>
    <row r="909" customFormat="false" ht="15" hidden="false" customHeight="false" outlineLevel="0" collapsed="false">
      <c r="A909" s="3"/>
      <c r="B909" s="3"/>
    </row>
    <row r="910" customFormat="false" ht="15" hidden="false" customHeight="false" outlineLevel="0" collapsed="false">
      <c r="A910" s="3"/>
      <c r="B910" s="3"/>
    </row>
    <row r="911" customFormat="false" ht="15" hidden="false" customHeight="false" outlineLevel="0" collapsed="false">
      <c r="A911" s="3"/>
      <c r="B911" s="3"/>
    </row>
    <row r="912" customFormat="false" ht="15" hidden="false" customHeight="false" outlineLevel="0" collapsed="false">
      <c r="A912" s="3"/>
      <c r="B912" s="3"/>
    </row>
    <row r="913" customFormat="false" ht="15" hidden="false" customHeight="false" outlineLevel="0" collapsed="false">
      <c r="A913" s="3"/>
      <c r="B913" s="3"/>
    </row>
    <row r="914" customFormat="false" ht="15" hidden="false" customHeight="false" outlineLevel="0" collapsed="false">
      <c r="A914" s="3"/>
      <c r="B914" s="3"/>
    </row>
    <row r="915" customFormat="false" ht="15" hidden="false" customHeight="false" outlineLevel="0" collapsed="false">
      <c r="A915" s="3"/>
      <c r="B915" s="3"/>
    </row>
    <row r="916" customFormat="false" ht="15" hidden="false" customHeight="false" outlineLevel="0" collapsed="false">
      <c r="A916" s="3"/>
      <c r="B916" s="3"/>
    </row>
    <row r="917" customFormat="false" ht="15" hidden="false" customHeight="false" outlineLevel="0" collapsed="false">
      <c r="A917" s="3"/>
      <c r="B917" s="3"/>
    </row>
    <row r="918" customFormat="false" ht="15" hidden="false" customHeight="false" outlineLevel="0" collapsed="false">
      <c r="A918" s="3"/>
      <c r="B918" s="3"/>
    </row>
    <row r="919" customFormat="false" ht="15" hidden="false" customHeight="false" outlineLevel="0" collapsed="false">
      <c r="A919" s="3"/>
      <c r="B919" s="3"/>
    </row>
    <row r="920" customFormat="false" ht="15" hidden="false" customHeight="false" outlineLevel="0" collapsed="false">
      <c r="A920" s="3"/>
      <c r="B920" s="3"/>
    </row>
    <row r="921" customFormat="false" ht="15" hidden="false" customHeight="false" outlineLevel="0" collapsed="false">
      <c r="A921" s="3"/>
      <c r="B921" s="3"/>
    </row>
    <row r="922" customFormat="false" ht="15" hidden="false" customHeight="false" outlineLevel="0" collapsed="false">
      <c r="A922" s="3"/>
      <c r="B922" s="3"/>
    </row>
    <row r="923" customFormat="false" ht="15" hidden="false" customHeight="false" outlineLevel="0" collapsed="false">
      <c r="A923" s="3"/>
      <c r="B923" s="3"/>
    </row>
    <row r="924" customFormat="false" ht="15" hidden="false" customHeight="false" outlineLevel="0" collapsed="false">
      <c r="A924" s="3"/>
      <c r="B924" s="3"/>
    </row>
    <row r="925" customFormat="false" ht="15" hidden="false" customHeight="false" outlineLevel="0" collapsed="false">
      <c r="A925" s="3"/>
      <c r="B925" s="3"/>
    </row>
    <row r="926" customFormat="false" ht="15" hidden="false" customHeight="false" outlineLevel="0" collapsed="false">
      <c r="A926" s="3"/>
      <c r="B926" s="3"/>
    </row>
    <row r="927" customFormat="false" ht="15" hidden="false" customHeight="false" outlineLevel="0" collapsed="false">
      <c r="A927" s="3"/>
      <c r="B927" s="3"/>
    </row>
    <row r="928" customFormat="false" ht="15" hidden="false" customHeight="false" outlineLevel="0" collapsed="false">
      <c r="A928" s="3"/>
      <c r="B928" s="3"/>
    </row>
    <row r="929" customFormat="false" ht="15" hidden="false" customHeight="false" outlineLevel="0" collapsed="false">
      <c r="A929" s="3"/>
      <c r="B929" s="3"/>
    </row>
    <row r="930" customFormat="false" ht="15" hidden="false" customHeight="false" outlineLevel="0" collapsed="false">
      <c r="A930" s="3"/>
      <c r="B930" s="3"/>
    </row>
    <row r="931" customFormat="false" ht="15" hidden="false" customHeight="false" outlineLevel="0" collapsed="false">
      <c r="A931" s="3"/>
      <c r="B931" s="3"/>
    </row>
    <row r="932" customFormat="false" ht="15" hidden="false" customHeight="false" outlineLevel="0" collapsed="false">
      <c r="A932" s="3"/>
      <c r="B932" s="3"/>
    </row>
    <row r="933" customFormat="false" ht="15" hidden="false" customHeight="false" outlineLevel="0" collapsed="false">
      <c r="A933" s="3"/>
      <c r="B933" s="3"/>
    </row>
    <row r="934" customFormat="false" ht="15" hidden="false" customHeight="false" outlineLevel="0" collapsed="false">
      <c r="A934" s="3"/>
      <c r="B934" s="3"/>
    </row>
    <row r="935" customFormat="false" ht="15" hidden="false" customHeight="false" outlineLevel="0" collapsed="false">
      <c r="A935" s="3"/>
      <c r="B935" s="3"/>
    </row>
    <row r="936" customFormat="false" ht="15" hidden="false" customHeight="false" outlineLevel="0" collapsed="false">
      <c r="A936" s="3"/>
      <c r="B936" s="3"/>
    </row>
    <row r="937" customFormat="false" ht="15" hidden="false" customHeight="false" outlineLevel="0" collapsed="false">
      <c r="A937" s="3"/>
      <c r="B937" s="3"/>
    </row>
    <row r="938" customFormat="false" ht="15" hidden="false" customHeight="false" outlineLevel="0" collapsed="false">
      <c r="A938" s="3"/>
      <c r="B938" s="3"/>
    </row>
    <row r="939" customFormat="false" ht="15" hidden="false" customHeight="false" outlineLevel="0" collapsed="false">
      <c r="A939" s="3"/>
      <c r="B939" s="3"/>
    </row>
    <row r="940" customFormat="false" ht="15" hidden="false" customHeight="false" outlineLevel="0" collapsed="false">
      <c r="A940" s="3"/>
      <c r="B940" s="3"/>
    </row>
    <row r="941" customFormat="false" ht="15" hidden="false" customHeight="false" outlineLevel="0" collapsed="false">
      <c r="A941" s="3"/>
      <c r="B941" s="3"/>
    </row>
    <row r="942" customFormat="false" ht="15" hidden="false" customHeight="false" outlineLevel="0" collapsed="false">
      <c r="A942" s="3"/>
      <c r="B942" s="3"/>
    </row>
    <row r="943" customFormat="false" ht="15" hidden="false" customHeight="false" outlineLevel="0" collapsed="false">
      <c r="A943" s="3"/>
      <c r="B943" s="3"/>
    </row>
    <row r="944" customFormat="false" ht="15" hidden="false" customHeight="false" outlineLevel="0" collapsed="false">
      <c r="A944" s="3"/>
      <c r="B944" s="3"/>
    </row>
    <row r="945" customFormat="false" ht="15" hidden="false" customHeight="false" outlineLevel="0" collapsed="false">
      <c r="A945" s="3"/>
      <c r="B945" s="3"/>
    </row>
    <row r="946" customFormat="false" ht="15" hidden="false" customHeight="false" outlineLevel="0" collapsed="false">
      <c r="A946" s="3"/>
      <c r="B946" s="3"/>
    </row>
    <row r="947" customFormat="false" ht="15" hidden="false" customHeight="false" outlineLevel="0" collapsed="false">
      <c r="A947" s="3"/>
      <c r="B947" s="3"/>
    </row>
    <row r="948" customFormat="false" ht="15" hidden="false" customHeight="false" outlineLevel="0" collapsed="false">
      <c r="A948" s="3"/>
      <c r="B948" s="3"/>
    </row>
    <row r="949" customFormat="false" ht="15" hidden="false" customHeight="false" outlineLevel="0" collapsed="false">
      <c r="A949" s="3"/>
      <c r="B949" s="3"/>
    </row>
    <row r="950" customFormat="false" ht="15" hidden="false" customHeight="false" outlineLevel="0" collapsed="false">
      <c r="A950" s="3"/>
      <c r="B950" s="3"/>
    </row>
    <row r="951" customFormat="false" ht="15" hidden="false" customHeight="false" outlineLevel="0" collapsed="false">
      <c r="A951" s="3"/>
      <c r="B951" s="3"/>
    </row>
    <row r="952" customFormat="false" ht="15" hidden="false" customHeight="false" outlineLevel="0" collapsed="false">
      <c r="A952" s="3"/>
      <c r="B952" s="3"/>
    </row>
    <row r="953" customFormat="false" ht="15" hidden="false" customHeight="false" outlineLevel="0" collapsed="false">
      <c r="A953" s="3"/>
      <c r="B953" s="3"/>
    </row>
    <row r="954" customFormat="false" ht="15" hidden="false" customHeight="false" outlineLevel="0" collapsed="false">
      <c r="A954" s="3"/>
      <c r="B954" s="3"/>
    </row>
    <row r="955" customFormat="false" ht="15" hidden="false" customHeight="false" outlineLevel="0" collapsed="false">
      <c r="A955" s="3"/>
      <c r="B955" s="3"/>
    </row>
    <row r="956" customFormat="false" ht="15" hidden="false" customHeight="false" outlineLevel="0" collapsed="false">
      <c r="A956" s="3"/>
      <c r="B956" s="3"/>
    </row>
    <row r="957" customFormat="false" ht="15" hidden="false" customHeight="false" outlineLevel="0" collapsed="false">
      <c r="A957" s="3"/>
      <c r="B957" s="3"/>
    </row>
    <row r="958" customFormat="false" ht="15" hidden="false" customHeight="false" outlineLevel="0" collapsed="false">
      <c r="A958" s="3"/>
      <c r="B958" s="3"/>
    </row>
    <row r="959" customFormat="false" ht="15" hidden="false" customHeight="false" outlineLevel="0" collapsed="false">
      <c r="A959" s="3"/>
      <c r="B959" s="3"/>
    </row>
    <row r="960" customFormat="false" ht="15" hidden="false" customHeight="false" outlineLevel="0" collapsed="false">
      <c r="A960" s="3"/>
      <c r="B960" s="3"/>
    </row>
    <row r="961" customFormat="false" ht="15" hidden="false" customHeight="false" outlineLevel="0" collapsed="false">
      <c r="A961" s="3"/>
      <c r="B961" s="3"/>
    </row>
    <row r="962" customFormat="false" ht="15" hidden="false" customHeight="false" outlineLevel="0" collapsed="false">
      <c r="A962" s="3"/>
      <c r="B962" s="3"/>
    </row>
    <row r="963" customFormat="false" ht="15" hidden="false" customHeight="false" outlineLevel="0" collapsed="false">
      <c r="A963" s="3"/>
      <c r="B963" s="3"/>
    </row>
    <row r="964" customFormat="false" ht="15" hidden="false" customHeight="false" outlineLevel="0" collapsed="false">
      <c r="A964" s="3"/>
      <c r="B964" s="3"/>
    </row>
    <row r="965" customFormat="false" ht="15" hidden="false" customHeight="false" outlineLevel="0" collapsed="false">
      <c r="A965" s="3"/>
      <c r="B965" s="3"/>
    </row>
    <row r="966" customFormat="false" ht="15" hidden="false" customHeight="false" outlineLevel="0" collapsed="false">
      <c r="A966" s="3"/>
      <c r="B966" s="3"/>
    </row>
    <row r="967" customFormat="false" ht="15" hidden="false" customHeight="false" outlineLevel="0" collapsed="false">
      <c r="A967" s="3"/>
      <c r="B967" s="3"/>
    </row>
    <row r="968" customFormat="false" ht="15" hidden="false" customHeight="false" outlineLevel="0" collapsed="false">
      <c r="A968" s="3"/>
      <c r="B968" s="3"/>
    </row>
    <row r="969" customFormat="false" ht="15" hidden="false" customHeight="false" outlineLevel="0" collapsed="false">
      <c r="A969" s="3"/>
      <c r="B969" s="3"/>
    </row>
    <row r="970" customFormat="false" ht="15" hidden="false" customHeight="false" outlineLevel="0" collapsed="false">
      <c r="A970" s="3"/>
      <c r="B970" s="3"/>
    </row>
    <row r="971" customFormat="false" ht="15" hidden="false" customHeight="false" outlineLevel="0" collapsed="false">
      <c r="A971" s="3"/>
      <c r="B971" s="3"/>
    </row>
    <row r="972" customFormat="false" ht="15" hidden="false" customHeight="false" outlineLevel="0" collapsed="false">
      <c r="A972" s="3"/>
      <c r="B972" s="3"/>
    </row>
    <row r="973" customFormat="false" ht="15" hidden="false" customHeight="false" outlineLevel="0" collapsed="false">
      <c r="A973" s="3"/>
      <c r="B973" s="3"/>
    </row>
    <row r="974" customFormat="false" ht="15" hidden="false" customHeight="false" outlineLevel="0" collapsed="false">
      <c r="A974" s="3"/>
      <c r="B974" s="3"/>
    </row>
    <row r="975" customFormat="false" ht="15" hidden="false" customHeight="false" outlineLevel="0" collapsed="false">
      <c r="A975" s="3"/>
      <c r="B975" s="3"/>
    </row>
    <row r="976" customFormat="false" ht="15" hidden="false" customHeight="false" outlineLevel="0" collapsed="false">
      <c r="A976" s="3"/>
      <c r="B976" s="3"/>
    </row>
    <row r="977" customFormat="false" ht="15" hidden="false" customHeight="false" outlineLevel="0" collapsed="false">
      <c r="A977" s="3"/>
      <c r="B977" s="3"/>
    </row>
    <row r="978" customFormat="false" ht="15" hidden="false" customHeight="false" outlineLevel="0" collapsed="false">
      <c r="A978" s="3"/>
      <c r="B978" s="3"/>
    </row>
    <row r="979" customFormat="false" ht="15" hidden="false" customHeight="false" outlineLevel="0" collapsed="false">
      <c r="A979" s="3"/>
      <c r="B979" s="3"/>
    </row>
    <row r="980" customFormat="false" ht="15" hidden="false" customHeight="false" outlineLevel="0" collapsed="false">
      <c r="A980" s="3"/>
      <c r="B980" s="3"/>
    </row>
    <row r="981" customFormat="false" ht="15" hidden="false" customHeight="false" outlineLevel="0" collapsed="false">
      <c r="A981" s="3"/>
      <c r="B981" s="3"/>
    </row>
    <row r="982" customFormat="false" ht="15" hidden="false" customHeight="false" outlineLevel="0" collapsed="false">
      <c r="A982" s="3"/>
      <c r="B982" s="3"/>
    </row>
    <row r="983" customFormat="false" ht="15" hidden="false" customHeight="false" outlineLevel="0" collapsed="false">
      <c r="A983" s="3"/>
      <c r="B983" s="3"/>
    </row>
    <row r="984" customFormat="false" ht="15" hidden="false" customHeight="false" outlineLevel="0" collapsed="false">
      <c r="A984" s="3"/>
      <c r="B984" s="3"/>
    </row>
    <row r="985" customFormat="false" ht="15" hidden="false" customHeight="false" outlineLevel="0" collapsed="false">
      <c r="A985" s="3"/>
      <c r="B985" s="3"/>
    </row>
    <row r="986" customFormat="false" ht="15" hidden="false" customHeight="false" outlineLevel="0" collapsed="false">
      <c r="A986" s="3"/>
      <c r="B986" s="3"/>
    </row>
    <row r="987" customFormat="false" ht="15" hidden="false" customHeight="false" outlineLevel="0" collapsed="false">
      <c r="A987" s="3"/>
      <c r="B987" s="3"/>
    </row>
    <row r="988" customFormat="false" ht="15" hidden="false" customHeight="false" outlineLevel="0" collapsed="false">
      <c r="A988" s="3"/>
      <c r="B988" s="3"/>
    </row>
    <row r="989" customFormat="false" ht="15" hidden="false" customHeight="false" outlineLevel="0" collapsed="false">
      <c r="A989" s="3"/>
      <c r="B989" s="3"/>
    </row>
    <row r="990" customFormat="false" ht="15" hidden="false" customHeight="false" outlineLevel="0" collapsed="false">
      <c r="A990" s="3"/>
      <c r="B990" s="3"/>
    </row>
    <row r="991" customFormat="false" ht="15" hidden="false" customHeight="false" outlineLevel="0" collapsed="false">
      <c r="A991" s="3"/>
      <c r="B991" s="3"/>
    </row>
    <row r="992" customFormat="false" ht="15" hidden="false" customHeight="false" outlineLevel="0" collapsed="false">
      <c r="A992" s="3"/>
      <c r="B992" s="3"/>
    </row>
    <row r="993" customFormat="false" ht="15" hidden="false" customHeight="false" outlineLevel="0" collapsed="false">
      <c r="A993" s="3"/>
      <c r="B993" s="3"/>
    </row>
    <row r="994" customFormat="false" ht="15" hidden="false" customHeight="false" outlineLevel="0" collapsed="false">
      <c r="A994" s="3"/>
      <c r="B994" s="3"/>
    </row>
    <row r="995" customFormat="false" ht="15" hidden="false" customHeight="false" outlineLevel="0" collapsed="false">
      <c r="A995" s="3"/>
      <c r="B995" s="3"/>
    </row>
    <row r="996" customFormat="false" ht="15" hidden="false" customHeight="false" outlineLevel="0" collapsed="false">
      <c r="A996" s="3"/>
      <c r="B996" s="3"/>
    </row>
    <row r="997" customFormat="false" ht="15" hidden="false" customHeight="false" outlineLevel="0" collapsed="false">
      <c r="A997" s="3"/>
      <c r="B997" s="3"/>
    </row>
    <row r="998" customFormat="false" ht="15" hidden="false" customHeight="false" outlineLevel="0" collapsed="false">
      <c r="A998" s="3"/>
      <c r="B998" s="3"/>
    </row>
    <row r="999" customFormat="false" ht="15" hidden="false" customHeight="false" outlineLevel="0" collapsed="false">
      <c r="A999" s="3"/>
      <c r="B999" s="3"/>
    </row>
    <row r="1000" customFormat="false" ht="15" hidden="false" customHeight="false" outlineLevel="0" collapsed="false">
      <c r="A1000" s="3"/>
      <c r="B1000" s="3"/>
    </row>
    <row r="1001" customFormat="false" ht="15" hidden="false" customHeight="false" outlineLevel="0" collapsed="false">
      <c r="A1001" s="3"/>
      <c r="B1001" s="3"/>
    </row>
    <row r="1002" customFormat="false" ht="15" hidden="false" customHeight="false" outlineLevel="0" collapsed="false">
      <c r="A1002" s="3"/>
      <c r="B1002" s="3"/>
    </row>
    <row r="1003" customFormat="false" ht="15" hidden="false" customHeight="false" outlineLevel="0" collapsed="false">
      <c r="A1003" s="3"/>
      <c r="B1003" s="3"/>
    </row>
    <row r="1004" customFormat="false" ht="15" hidden="false" customHeight="false" outlineLevel="0" collapsed="false">
      <c r="A1004" s="3"/>
      <c r="B1004" s="3"/>
    </row>
    <row r="1005" customFormat="false" ht="15" hidden="false" customHeight="false" outlineLevel="0" collapsed="false">
      <c r="A1005" s="3"/>
      <c r="B1005" s="3"/>
    </row>
    <row r="1006" customFormat="false" ht="15" hidden="false" customHeight="false" outlineLevel="0" collapsed="false">
      <c r="A1006" s="3"/>
      <c r="B1006" s="3"/>
    </row>
    <row r="1007" customFormat="false" ht="15" hidden="false" customHeight="false" outlineLevel="0" collapsed="false">
      <c r="A1007" s="3"/>
      <c r="B1007" s="3"/>
    </row>
    <row r="1008" customFormat="false" ht="15" hidden="false" customHeight="false" outlineLevel="0" collapsed="false">
      <c r="A1008" s="3"/>
      <c r="B1008" s="3"/>
    </row>
    <row r="1009" customFormat="false" ht="15" hidden="false" customHeight="false" outlineLevel="0" collapsed="false">
      <c r="A1009" s="3"/>
      <c r="B1009" s="3"/>
    </row>
    <row r="1010" customFormat="false" ht="15" hidden="false" customHeight="false" outlineLevel="0" collapsed="false">
      <c r="A1010" s="3"/>
      <c r="B1010" s="3"/>
    </row>
    <row r="1011" customFormat="false" ht="15" hidden="false" customHeight="false" outlineLevel="0" collapsed="false">
      <c r="A1011" s="3"/>
      <c r="B1011" s="3"/>
    </row>
    <row r="1012" customFormat="false" ht="15" hidden="false" customHeight="false" outlineLevel="0" collapsed="false">
      <c r="A1012" s="3"/>
      <c r="B1012" s="3"/>
    </row>
    <row r="1013" customFormat="false" ht="15" hidden="false" customHeight="false" outlineLevel="0" collapsed="false">
      <c r="A1013" s="3"/>
      <c r="B1013" s="3"/>
    </row>
    <row r="1014" customFormat="false" ht="15" hidden="false" customHeight="false" outlineLevel="0" collapsed="false">
      <c r="A1014" s="3"/>
      <c r="B1014" s="3"/>
    </row>
    <row r="1015" customFormat="false" ht="15" hidden="false" customHeight="false" outlineLevel="0" collapsed="false">
      <c r="A1015" s="3"/>
      <c r="B1015" s="3"/>
    </row>
    <row r="1016" customFormat="false" ht="15" hidden="false" customHeight="false" outlineLevel="0" collapsed="false">
      <c r="A1016" s="3"/>
      <c r="B1016" s="3"/>
    </row>
    <row r="1017" customFormat="false" ht="15" hidden="false" customHeight="false" outlineLevel="0" collapsed="false">
      <c r="A1017" s="3"/>
      <c r="B1017" s="3"/>
    </row>
    <row r="1018" customFormat="false" ht="15" hidden="false" customHeight="false" outlineLevel="0" collapsed="false">
      <c r="A1018" s="3"/>
      <c r="B1018" s="3"/>
    </row>
    <row r="1019" customFormat="false" ht="15" hidden="false" customHeight="false" outlineLevel="0" collapsed="false">
      <c r="A1019" s="3"/>
      <c r="B1019" s="3"/>
    </row>
    <row r="1020" customFormat="false" ht="15" hidden="false" customHeight="false" outlineLevel="0" collapsed="false">
      <c r="A1020" s="3"/>
      <c r="B1020" s="3"/>
    </row>
    <row r="1021" customFormat="false" ht="15" hidden="false" customHeight="false" outlineLevel="0" collapsed="false">
      <c r="A1021" s="3"/>
      <c r="B1021" s="3"/>
    </row>
    <row r="1022" customFormat="false" ht="15" hidden="false" customHeight="false" outlineLevel="0" collapsed="false">
      <c r="A1022" s="3"/>
      <c r="B1022" s="3"/>
    </row>
    <row r="1023" customFormat="false" ht="15" hidden="false" customHeight="false" outlineLevel="0" collapsed="false">
      <c r="A1023" s="3"/>
      <c r="B1023" s="3"/>
    </row>
    <row r="1024" customFormat="false" ht="15" hidden="false" customHeight="false" outlineLevel="0" collapsed="false">
      <c r="A1024" s="3"/>
      <c r="B1024" s="3"/>
    </row>
    <row r="1025" customFormat="false" ht="15" hidden="false" customHeight="false" outlineLevel="0" collapsed="false">
      <c r="A1025" s="3"/>
      <c r="B1025" s="3"/>
    </row>
    <row r="1026" customFormat="false" ht="15" hidden="false" customHeight="false" outlineLevel="0" collapsed="false">
      <c r="A1026" s="3"/>
      <c r="B1026" s="3"/>
    </row>
    <row r="1027" customFormat="false" ht="15" hidden="false" customHeight="false" outlineLevel="0" collapsed="false">
      <c r="A1027" s="3"/>
      <c r="B1027" s="3"/>
    </row>
    <row r="1028" customFormat="false" ht="15" hidden="false" customHeight="false" outlineLevel="0" collapsed="false">
      <c r="A1028" s="3"/>
      <c r="B1028" s="3"/>
    </row>
    <row r="1029" customFormat="false" ht="15" hidden="false" customHeight="false" outlineLevel="0" collapsed="false">
      <c r="A1029" s="3"/>
      <c r="B1029" s="3"/>
    </row>
    <row r="1030" customFormat="false" ht="15" hidden="false" customHeight="false" outlineLevel="0" collapsed="false">
      <c r="A1030" s="3"/>
      <c r="B1030" s="3"/>
    </row>
    <row r="1031" customFormat="false" ht="15" hidden="false" customHeight="false" outlineLevel="0" collapsed="false">
      <c r="A1031" s="3"/>
      <c r="B1031" s="3"/>
    </row>
    <row r="1032" customFormat="false" ht="15" hidden="false" customHeight="false" outlineLevel="0" collapsed="false">
      <c r="A1032" s="3"/>
      <c r="B1032" s="3"/>
    </row>
    <row r="1033" customFormat="false" ht="15" hidden="false" customHeight="false" outlineLevel="0" collapsed="false">
      <c r="A1033" s="3"/>
      <c r="B1033" s="3"/>
    </row>
    <row r="1034" customFormat="false" ht="15" hidden="false" customHeight="false" outlineLevel="0" collapsed="false">
      <c r="A1034" s="3"/>
      <c r="B1034" s="3"/>
    </row>
    <row r="1035" customFormat="false" ht="15" hidden="false" customHeight="false" outlineLevel="0" collapsed="false">
      <c r="A1035" s="3"/>
      <c r="B1035" s="3"/>
    </row>
  </sheetData>
  <conditionalFormatting sqref="F11">
    <cfRule type="expression" priority="2" aboveAverage="0" equalAverage="0" bottom="0" percent="0" rank="0" text="" dxfId="0">
      <formula>LEFT($F$11,1)="⚠"</formula>
    </cfRule>
  </conditionalFormatting>
  <conditionalFormatting sqref="F7:F9">
    <cfRule type="expression" priority="3" aboveAverage="0" equalAverage="0" bottom="0" percent="0" rank="0" text="" dxfId="1">
      <formula>F7&gt;0</formula>
    </cfRule>
  </conditionalFormatting>
  <conditionalFormatting sqref="F10">
    <cfRule type="expression" priority="4" aboveAverage="0" equalAverage="0" bottom="0" percent="0" rank="0" text="" dxfId="1">
      <formula>F10&gt;1</formula>
    </cfRule>
  </conditionalFormatting>
  <dataValidations count="1">
    <dataValidation allowBlank="false" error="יש להזין מספר שלם בין 1 ל-999999" errorStyle="stop" errorTitle="ערך לא תקין" operator="between" showDropDown="false" showErrorMessage="true" showInputMessage="false" sqref="F2" type="whole">
      <formula1>1</formula1>
      <formula2>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30</v>
      </c>
    </row>
    <row r="2" customFormat="false" ht="15" hidden="false" customHeight="false" outlineLevel="0" collapsed="false">
      <c r="A2" s="13" t="str">
        <f aca="false">IF(עזר!L2="","",INDEX(עזר!$A$2:$A$5001,עזר!L2))</f>
        <v/>
      </c>
      <c r="B2" s="13" t="str">
        <f aca="false">IF(עזר!L2="","",INDEX(עזר!$B$2:$B$5001,עזר!L2))</f>
        <v/>
      </c>
      <c r="C2" s="13" t="str">
        <f aca="false">עזר!M2</f>
        <v/>
      </c>
    </row>
    <row r="3" customFormat="false" ht="15" hidden="false" customHeight="false" outlineLevel="0" collapsed="false">
      <c r="A3" s="13" t="str">
        <f aca="false">IF(עזר!L3="","",INDEX(עזר!$A$2:$A$5001,עזר!L3))</f>
        <v/>
      </c>
      <c r="B3" s="13" t="str">
        <f aca="false">IF(עזר!L3="","",INDEX(עזר!$B$2:$B$5001,עזר!L3))</f>
        <v/>
      </c>
      <c r="C3" s="13" t="str">
        <f aca="false">עזר!M3</f>
        <v/>
      </c>
    </row>
    <row r="4" customFormat="false" ht="15" hidden="false" customHeight="false" outlineLevel="0" collapsed="false">
      <c r="A4" s="13" t="str">
        <f aca="false">IF(עזר!L4="","",INDEX(עזר!$A$2:$A$5001,עזר!L4))</f>
        <v/>
      </c>
      <c r="B4" s="13" t="str">
        <f aca="false">IF(עזר!L4="","",INDEX(עזר!$B$2:$B$5001,עזר!L4))</f>
        <v/>
      </c>
      <c r="C4" s="13" t="str">
        <f aca="false">עזר!M4</f>
        <v/>
      </c>
    </row>
    <row r="5" customFormat="false" ht="15" hidden="false" customHeight="false" outlineLevel="0" collapsed="false">
      <c r="A5" s="13" t="str">
        <f aca="false">IF(עזר!L5="","",INDEX(עזר!$A$2:$A$5001,עזר!L5))</f>
        <v/>
      </c>
      <c r="B5" s="13" t="str">
        <f aca="false">IF(עזר!L5="","",INDEX(עזר!$B$2:$B$5001,עזר!L5))</f>
        <v/>
      </c>
      <c r="C5" s="13" t="str">
        <f aca="false">עזר!M5</f>
        <v/>
      </c>
    </row>
    <row r="6" customFormat="false" ht="15" hidden="false" customHeight="false" outlineLevel="0" collapsed="false">
      <c r="A6" s="13" t="str">
        <f aca="false">IF(עזר!L6="","",INDEX(עזר!$A$2:$A$5001,עזר!L6))</f>
        <v/>
      </c>
      <c r="B6" s="13" t="str">
        <f aca="false">IF(עזר!L6="","",INDEX(עזר!$B$2:$B$5001,עזר!L6))</f>
        <v/>
      </c>
      <c r="C6" s="13" t="str">
        <f aca="false">עזר!M6</f>
        <v/>
      </c>
    </row>
    <row r="7" customFormat="false" ht="15" hidden="false" customHeight="false" outlineLevel="0" collapsed="false">
      <c r="A7" s="13" t="str">
        <f aca="false">IF(עזר!L7="","",INDEX(עזר!$A$2:$A$5001,עזר!L7))</f>
        <v/>
      </c>
      <c r="B7" s="13" t="str">
        <f aca="false">IF(עזר!L7="","",INDEX(עזר!$B$2:$B$5001,עזר!L7))</f>
        <v/>
      </c>
      <c r="C7" s="13" t="str">
        <f aca="false">עזר!M7</f>
        <v/>
      </c>
    </row>
    <row r="8" customFormat="false" ht="15" hidden="false" customHeight="false" outlineLevel="0" collapsed="false">
      <c r="A8" s="13" t="str">
        <f aca="false">IF(עזר!L8="","",INDEX(עזר!$A$2:$A$5001,עזר!L8))</f>
        <v/>
      </c>
      <c r="B8" s="13" t="str">
        <f aca="false">IF(עזר!L8="","",INDEX(עזר!$B$2:$B$5001,עזר!L8))</f>
        <v/>
      </c>
      <c r="C8" s="13" t="str">
        <f aca="false">עזר!M8</f>
        <v/>
      </c>
    </row>
    <row r="9" customFormat="false" ht="15" hidden="false" customHeight="false" outlineLevel="0" collapsed="false">
      <c r="A9" s="13" t="str">
        <f aca="false">IF(עזר!L9="","",INDEX(עזר!$A$2:$A$5001,עזר!L9))</f>
        <v/>
      </c>
      <c r="B9" s="13" t="str">
        <f aca="false">IF(עזר!L9="","",INDEX(עזר!$B$2:$B$5001,עזר!L9))</f>
        <v/>
      </c>
      <c r="C9" s="13" t="str">
        <f aca="false">עזר!M9</f>
        <v/>
      </c>
    </row>
    <row r="10" customFormat="false" ht="15" hidden="false" customHeight="false" outlineLevel="0" collapsed="false">
      <c r="A10" s="13" t="str">
        <f aca="false">IF(עזר!L10="","",INDEX(עזר!$A$2:$A$5001,עזר!L10))</f>
        <v/>
      </c>
      <c r="B10" s="13" t="str">
        <f aca="false">IF(עזר!L10="","",INDEX(עזר!$B$2:$B$5001,עזר!L10))</f>
        <v/>
      </c>
      <c r="C10" s="13" t="str">
        <f aca="false">עזר!M10</f>
        <v/>
      </c>
    </row>
    <row r="11" customFormat="false" ht="15" hidden="false" customHeight="false" outlineLevel="0" collapsed="false">
      <c r="A11" s="13" t="str">
        <f aca="false">IF(עזר!L11="","",INDEX(עזר!$A$2:$A$5001,עזר!L11))</f>
        <v/>
      </c>
      <c r="B11" s="13" t="str">
        <f aca="false">IF(עזר!L11="","",INDEX(עזר!$B$2:$B$5001,עזר!L11))</f>
        <v/>
      </c>
      <c r="C11" s="13" t="str">
        <f aca="false">עזר!M11</f>
        <v/>
      </c>
    </row>
    <row r="12" customFormat="false" ht="15" hidden="false" customHeight="false" outlineLevel="0" collapsed="false">
      <c r="A12" s="13" t="str">
        <f aca="false">IF(עזר!L12="","",INDEX(עזר!$A$2:$A$5001,עזר!L12))</f>
        <v/>
      </c>
      <c r="B12" s="13" t="str">
        <f aca="false">IF(עזר!L12="","",INDEX(עזר!$B$2:$B$5001,עזר!L12))</f>
        <v/>
      </c>
      <c r="C12" s="13" t="str">
        <f aca="false">עזר!M12</f>
        <v/>
      </c>
    </row>
    <row r="13" customFormat="false" ht="15" hidden="false" customHeight="false" outlineLevel="0" collapsed="false">
      <c r="A13" s="13" t="str">
        <f aca="false">IF(עזר!L13="","",INDEX(עזר!$A$2:$A$5001,עזר!L13))</f>
        <v/>
      </c>
      <c r="B13" s="13" t="str">
        <f aca="false">IF(עזר!L13="","",INDEX(עזר!$B$2:$B$5001,עזר!L13))</f>
        <v/>
      </c>
      <c r="C13" s="13" t="str">
        <f aca="false">עזר!M13</f>
        <v/>
      </c>
    </row>
    <row r="14" customFormat="false" ht="15" hidden="false" customHeight="false" outlineLevel="0" collapsed="false">
      <c r="A14" s="13" t="str">
        <f aca="false">IF(עזר!L14="","",INDEX(עזר!$A$2:$A$5001,עזר!L14))</f>
        <v/>
      </c>
      <c r="B14" s="13" t="str">
        <f aca="false">IF(עזר!L14="","",INDEX(עזר!$B$2:$B$5001,עזר!L14))</f>
        <v/>
      </c>
      <c r="C14" s="13" t="str">
        <f aca="false">עזר!M14</f>
        <v/>
      </c>
    </row>
    <row r="15" customFormat="false" ht="15" hidden="false" customHeight="false" outlineLevel="0" collapsed="false">
      <c r="A15" s="13" t="str">
        <f aca="false">IF(עזר!L15="","",INDEX(עזר!$A$2:$A$5001,עזר!L15))</f>
        <v/>
      </c>
      <c r="B15" s="13" t="str">
        <f aca="false">IF(עזר!L15="","",INDEX(עזר!$B$2:$B$5001,עזר!L15))</f>
        <v/>
      </c>
      <c r="C15" s="13" t="str">
        <f aca="false">עזר!M15</f>
        <v/>
      </c>
    </row>
    <row r="16" customFormat="false" ht="15" hidden="false" customHeight="false" outlineLevel="0" collapsed="false">
      <c r="A16" s="13" t="str">
        <f aca="false">IF(עזר!L16="","",INDEX(עזר!$A$2:$A$5001,עזר!L16))</f>
        <v/>
      </c>
      <c r="B16" s="13" t="str">
        <f aca="false">IF(עזר!L16="","",INDEX(עזר!$B$2:$B$5001,עזר!L16))</f>
        <v/>
      </c>
      <c r="C16" s="13" t="str">
        <f aca="false">עזר!M16</f>
        <v/>
      </c>
    </row>
    <row r="17" customFormat="false" ht="15" hidden="false" customHeight="false" outlineLevel="0" collapsed="false">
      <c r="A17" s="13" t="str">
        <f aca="false">IF(עזר!L17="","",INDEX(עזר!$A$2:$A$5001,עזר!L17))</f>
        <v/>
      </c>
      <c r="B17" s="13" t="str">
        <f aca="false">IF(עזר!L17="","",INDEX(עזר!$B$2:$B$5001,עזר!L17))</f>
        <v/>
      </c>
      <c r="C17" s="13" t="str">
        <f aca="false">עזר!M17</f>
        <v/>
      </c>
    </row>
    <row r="18" customFormat="false" ht="15" hidden="false" customHeight="false" outlineLevel="0" collapsed="false">
      <c r="A18" s="13" t="str">
        <f aca="false">IF(עזר!L18="","",INDEX(עזר!$A$2:$A$5001,עזר!L18))</f>
        <v/>
      </c>
      <c r="B18" s="13" t="str">
        <f aca="false">IF(עזר!L18="","",INDEX(עזר!$B$2:$B$5001,עזר!L18))</f>
        <v/>
      </c>
      <c r="C18" s="13" t="str">
        <f aca="false">עזר!M18</f>
        <v/>
      </c>
    </row>
    <row r="19" customFormat="false" ht="15" hidden="false" customHeight="false" outlineLevel="0" collapsed="false">
      <c r="A19" s="13" t="str">
        <f aca="false">IF(עזר!L19="","",INDEX(עזר!$A$2:$A$5001,עזר!L19))</f>
        <v/>
      </c>
      <c r="B19" s="13" t="str">
        <f aca="false">IF(עזר!L19="","",INDEX(עזר!$B$2:$B$5001,עזר!L19))</f>
        <v/>
      </c>
      <c r="C19" s="13" t="str">
        <f aca="false">עזר!M19</f>
        <v/>
      </c>
    </row>
    <row r="20" customFormat="false" ht="15" hidden="false" customHeight="false" outlineLevel="0" collapsed="false">
      <c r="A20" s="13" t="str">
        <f aca="false">IF(עזר!L20="","",INDEX(עזר!$A$2:$A$5001,עזר!L20))</f>
        <v/>
      </c>
      <c r="B20" s="13" t="str">
        <f aca="false">IF(עזר!L20="","",INDEX(עזר!$B$2:$B$5001,עזר!L20))</f>
        <v/>
      </c>
      <c r="C20" s="13" t="str">
        <f aca="false">עזר!M20</f>
        <v/>
      </c>
    </row>
    <row r="21" customFormat="false" ht="15" hidden="false" customHeight="false" outlineLevel="0" collapsed="false">
      <c r="A21" s="13" t="str">
        <f aca="false">IF(עזר!L21="","",INDEX(עזר!$A$2:$A$5001,עזר!L21))</f>
        <v/>
      </c>
      <c r="B21" s="13" t="str">
        <f aca="false">IF(עזר!L21="","",INDEX(עזר!$B$2:$B$5001,עזר!L21))</f>
        <v/>
      </c>
      <c r="C21" s="13" t="str">
        <f aca="false">עזר!M21</f>
        <v/>
      </c>
    </row>
    <row r="22" customFormat="false" ht="15" hidden="false" customHeight="false" outlineLevel="0" collapsed="false">
      <c r="A22" s="13" t="str">
        <f aca="false">IF(עזר!L22="","",INDEX(עזר!$A$2:$A$5001,עזר!L22))</f>
        <v/>
      </c>
      <c r="B22" s="13" t="str">
        <f aca="false">IF(עזר!L22="","",INDEX(עזר!$B$2:$B$5001,עזר!L22))</f>
        <v/>
      </c>
      <c r="C22" s="13" t="str">
        <f aca="false">עזר!M22</f>
        <v/>
      </c>
    </row>
    <row r="23" customFormat="false" ht="15" hidden="false" customHeight="false" outlineLevel="0" collapsed="false">
      <c r="A23" s="13" t="str">
        <f aca="false">IF(עזר!L23="","",INDEX(עזר!$A$2:$A$5001,עזר!L23))</f>
        <v/>
      </c>
      <c r="B23" s="13" t="str">
        <f aca="false">IF(עזר!L23="","",INDEX(עזר!$B$2:$B$5001,עזר!L23))</f>
        <v/>
      </c>
      <c r="C23" s="13" t="str">
        <f aca="false">עזר!M23</f>
        <v/>
      </c>
    </row>
    <row r="24" customFormat="false" ht="15" hidden="false" customHeight="false" outlineLevel="0" collapsed="false">
      <c r="A24" s="13" t="str">
        <f aca="false">IF(עזר!L24="","",INDEX(עזר!$A$2:$A$5001,עזר!L24))</f>
        <v/>
      </c>
      <c r="B24" s="13" t="str">
        <f aca="false">IF(עזר!L24="","",INDEX(עזר!$B$2:$B$5001,עזר!L24))</f>
        <v/>
      </c>
      <c r="C24" s="13" t="str">
        <f aca="false">עזר!M24</f>
        <v/>
      </c>
    </row>
    <row r="25" customFormat="false" ht="15" hidden="false" customHeight="false" outlineLevel="0" collapsed="false">
      <c r="A25" s="13" t="str">
        <f aca="false">IF(עזר!L25="","",INDEX(עזר!$A$2:$A$5001,עזר!L25))</f>
        <v/>
      </c>
      <c r="B25" s="13" t="str">
        <f aca="false">IF(עזר!L25="","",INDEX(עזר!$B$2:$B$5001,עזר!L25))</f>
        <v/>
      </c>
      <c r="C25" s="13" t="str">
        <f aca="false">עזר!M25</f>
        <v/>
      </c>
    </row>
    <row r="26" customFormat="false" ht="15" hidden="false" customHeight="false" outlineLevel="0" collapsed="false">
      <c r="A26" s="13" t="str">
        <f aca="false">IF(עזר!L26="","",INDEX(עזר!$A$2:$A$5001,עזר!L26))</f>
        <v/>
      </c>
      <c r="B26" s="13" t="str">
        <f aca="false">IF(עזר!L26="","",INDEX(עזר!$B$2:$B$5001,עזר!L26))</f>
        <v/>
      </c>
      <c r="C26" s="13" t="str">
        <f aca="false">עזר!M26</f>
        <v/>
      </c>
    </row>
    <row r="27" customFormat="false" ht="15" hidden="false" customHeight="false" outlineLevel="0" collapsed="false">
      <c r="A27" s="13" t="str">
        <f aca="false">IF(עזר!L27="","",INDEX(עזר!$A$2:$A$5001,עזר!L27))</f>
        <v/>
      </c>
      <c r="B27" s="13" t="str">
        <f aca="false">IF(עזר!L27="","",INDEX(עזר!$B$2:$B$5001,עזר!L27))</f>
        <v/>
      </c>
      <c r="C27" s="13" t="str">
        <f aca="false">עזר!M27</f>
        <v/>
      </c>
    </row>
    <row r="28" customFormat="false" ht="15" hidden="false" customHeight="false" outlineLevel="0" collapsed="false">
      <c r="A28" s="13" t="str">
        <f aca="false">IF(עזר!L28="","",INDEX(עזר!$A$2:$A$5001,עזר!L28))</f>
        <v/>
      </c>
      <c r="B28" s="13" t="str">
        <f aca="false">IF(עזר!L28="","",INDEX(עזר!$B$2:$B$5001,עזר!L28))</f>
        <v/>
      </c>
      <c r="C28" s="13" t="str">
        <f aca="false">עזר!M28</f>
        <v/>
      </c>
    </row>
    <row r="29" customFormat="false" ht="15" hidden="false" customHeight="false" outlineLevel="0" collapsed="false">
      <c r="A29" s="13" t="str">
        <f aca="false">IF(עזר!L29="","",INDEX(עזר!$A$2:$A$5001,עזר!L29))</f>
        <v/>
      </c>
      <c r="B29" s="13" t="str">
        <f aca="false">IF(עזר!L29="","",INDEX(עזר!$B$2:$B$5001,עזר!L29))</f>
        <v/>
      </c>
      <c r="C29" s="13" t="str">
        <f aca="false">עזר!M29</f>
        <v/>
      </c>
    </row>
    <row r="30" customFormat="false" ht="15" hidden="false" customHeight="false" outlineLevel="0" collapsed="false">
      <c r="A30" s="13" t="str">
        <f aca="false">IF(עזר!L30="","",INDEX(עזר!$A$2:$A$5001,עזר!L30))</f>
        <v/>
      </c>
      <c r="B30" s="13" t="str">
        <f aca="false">IF(עזר!L30="","",INDEX(עזר!$B$2:$B$5001,עזר!L30))</f>
        <v/>
      </c>
      <c r="C30" s="13" t="str">
        <f aca="false">עזר!M30</f>
        <v/>
      </c>
    </row>
    <row r="31" customFormat="false" ht="15" hidden="false" customHeight="false" outlineLevel="0" collapsed="false">
      <c r="A31" s="13" t="str">
        <f aca="false">IF(עזר!L31="","",INDEX(עזר!$A$2:$A$5001,עזר!L31))</f>
        <v/>
      </c>
      <c r="B31" s="13" t="str">
        <f aca="false">IF(עזר!L31="","",INDEX(עזר!$B$2:$B$5001,עזר!L31))</f>
        <v/>
      </c>
      <c r="C31" s="13" t="str">
        <f aca="false">עזר!M31</f>
        <v/>
      </c>
    </row>
    <row r="32" customFormat="false" ht="15" hidden="false" customHeight="false" outlineLevel="0" collapsed="false">
      <c r="A32" s="13" t="str">
        <f aca="false">IF(עזר!L32="","",INDEX(עזר!$A$2:$A$5001,עזר!L32))</f>
        <v/>
      </c>
      <c r="B32" s="13" t="str">
        <f aca="false">IF(עזר!L32="","",INDEX(עזר!$B$2:$B$5001,עזר!L32))</f>
        <v/>
      </c>
      <c r="C32" s="13" t="str">
        <f aca="false">עזר!M32</f>
        <v/>
      </c>
    </row>
    <row r="33" customFormat="false" ht="15" hidden="false" customHeight="false" outlineLevel="0" collapsed="false">
      <c r="A33" s="13" t="str">
        <f aca="false">IF(עזר!L33="","",INDEX(עזר!$A$2:$A$5001,עזר!L33))</f>
        <v/>
      </c>
      <c r="B33" s="13" t="str">
        <f aca="false">IF(עזר!L33="","",INDEX(עזר!$B$2:$B$5001,עזר!L33))</f>
        <v/>
      </c>
      <c r="C33" s="13" t="str">
        <f aca="false">עזר!M33</f>
        <v/>
      </c>
    </row>
    <row r="34" customFormat="false" ht="15" hidden="false" customHeight="false" outlineLevel="0" collapsed="false">
      <c r="A34" s="13" t="str">
        <f aca="false">IF(עזר!L34="","",INDEX(עזר!$A$2:$A$5001,עזר!L34))</f>
        <v/>
      </c>
      <c r="B34" s="13" t="str">
        <f aca="false">IF(עזר!L34="","",INDEX(עזר!$B$2:$B$5001,עזר!L34))</f>
        <v/>
      </c>
      <c r="C34" s="13" t="str">
        <f aca="false">עזר!M34</f>
        <v/>
      </c>
    </row>
    <row r="35" customFormat="false" ht="15" hidden="false" customHeight="false" outlineLevel="0" collapsed="false">
      <c r="A35" s="13" t="str">
        <f aca="false">IF(עזר!L35="","",INDEX(עזר!$A$2:$A$5001,עזר!L35))</f>
        <v/>
      </c>
      <c r="B35" s="13" t="str">
        <f aca="false">IF(עזר!L35="","",INDEX(עזר!$B$2:$B$5001,עזר!L35))</f>
        <v/>
      </c>
      <c r="C35" s="13" t="str">
        <f aca="false">עזר!M35</f>
        <v/>
      </c>
    </row>
    <row r="36" customFormat="false" ht="15" hidden="false" customHeight="false" outlineLevel="0" collapsed="false">
      <c r="A36" s="13" t="str">
        <f aca="false">IF(עזר!L36="","",INDEX(עזר!$A$2:$A$5001,עזר!L36))</f>
        <v/>
      </c>
      <c r="B36" s="13" t="str">
        <f aca="false">IF(עזר!L36="","",INDEX(עזר!$B$2:$B$5001,עזר!L36))</f>
        <v/>
      </c>
      <c r="C36" s="13" t="str">
        <f aca="false">עזר!M36</f>
        <v/>
      </c>
    </row>
    <row r="37" customFormat="false" ht="15" hidden="false" customHeight="false" outlineLevel="0" collapsed="false">
      <c r="A37" s="13" t="str">
        <f aca="false">IF(עזר!L37="","",INDEX(עזר!$A$2:$A$5001,עזר!L37))</f>
        <v/>
      </c>
      <c r="B37" s="13" t="str">
        <f aca="false">IF(עזר!L37="","",INDEX(עזר!$B$2:$B$5001,עזר!L37))</f>
        <v/>
      </c>
      <c r="C37" s="13" t="str">
        <f aca="false">עזר!M37</f>
        <v/>
      </c>
    </row>
    <row r="38" customFormat="false" ht="15" hidden="false" customHeight="false" outlineLevel="0" collapsed="false">
      <c r="A38" s="13" t="str">
        <f aca="false">IF(עזר!L38="","",INDEX(עזר!$A$2:$A$5001,עזר!L38))</f>
        <v/>
      </c>
      <c r="B38" s="13" t="str">
        <f aca="false">IF(עזר!L38="","",INDEX(עזר!$B$2:$B$5001,עזר!L38))</f>
        <v/>
      </c>
      <c r="C38" s="13" t="str">
        <f aca="false">עזר!M38</f>
        <v/>
      </c>
    </row>
    <row r="39" customFormat="false" ht="15" hidden="false" customHeight="false" outlineLevel="0" collapsed="false">
      <c r="A39" s="13" t="str">
        <f aca="false">IF(עזר!L39="","",INDEX(עזר!$A$2:$A$5001,עזר!L39))</f>
        <v/>
      </c>
      <c r="B39" s="13" t="str">
        <f aca="false">IF(עזר!L39="","",INDEX(עזר!$B$2:$B$5001,עזר!L39))</f>
        <v/>
      </c>
      <c r="C39" s="13" t="str">
        <f aca="false">עזר!M39</f>
        <v/>
      </c>
    </row>
    <row r="40" customFormat="false" ht="15" hidden="false" customHeight="false" outlineLevel="0" collapsed="false">
      <c r="A40" s="13" t="str">
        <f aca="false">IF(עזר!L40="","",INDEX(עזר!$A$2:$A$5001,עזר!L40))</f>
        <v/>
      </c>
      <c r="B40" s="13" t="str">
        <f aca="false">IF(עזר!L40="","",INDEX(עזר!$B$2:$B$5001,עזר!L40))</f>
        <v/>
      </c>
      <c r="C40" s="13" t="str">
        <f aca="false">עזר!M40</f>
        <v/>
      </c>
    </row>
    <row r="41" customFormat="false" ht="15" hidden="false" customHeight="false" outlineLevel="0" collapsed="false">
      <c r="A41" s="13" t="str">
        <f aca="false">IF(עזר!L41="","",INDEX(עזר!$A$2:$A$5001,עזר!L41))</f>
        <v/>
      </c>
      <c r="B41" s="13" t="str">
        <f aca="false">IF(עזר!L41="","",INDEX(עזר!$B$2:$B$5001,עזר!L41))</f>
        <v/>
      </c>
      <c r="C41" s="13" t="str">
        <f aca="false">עזר!M41</f>
        <v/>
      </c>
    </row>
    <row r="42" customFormat="false" ht="15" hidden="false" customHeight="false" outlineLevel="0" collapsed="false">
      <c r="A42" s="13" t="str">
        <f aca="false">IF(עזר!L42="","",INDEX(עזר!$A$2:$A$5001,עזר!L42))</f>
        <v/>
      </c>
      <c r="B42" s="13" t="str">
        <f aca="false">IF(עזר!L42="","",INDEX(עזר!$B$2:$B$5001,עזר!L42))</f>
        <v/>
      </c>
      <c r="C42" s="13" t="str">
        <f aca="false">עזר!M42</f>
        <v/>
      </c>
    </row>
    <row r="43" customFormat="false" ht="15" hidden="false" customHeight="false" outlineLevel="0" collapsed="false">
      <c r="A43" s="13" t="str">
        <f aca="false">IF(עזר!L43="","",INDEX(עזר!$A$2:$A$5001,עזר!L43))</f>
        <v/>
      </c>
      <c r="B43" s="13" t="str">
        <f aca="false">IF(עזר!L43="","",INDEX(עזר!$B$2:$B$5001,עזר!L43))</f>
        <v/>
      </c>
      <c r="C43" s="13" t="str">
        <f aca="false">עזר!M43</f>
        <v/>
      </c>
    </row>
    <row r="44" customFormat="false" ht="15" hidden="false" customHeight="false" outlineLevel="0" collapsed="false">
      <c r="A44" s="13" t="str">
        <f aca="false">IF(עזר!L44="","",INDEX(עזר!$A$2:$A$5001,עזר!L44))</f>
        <v/>
      </c>
      <c r="B44" s="13" t="str">
        <f aca="false">IF(עזר!L44="","",INDEX(עזר!$B$2:$B$5001,עזר!L44))</f>
        <v/>
      </c>
      <c r="C44" s="13" t="str">
        <f aca="false">עזר!M44</f>
        <v/>
      </c>
    </row>
    <row r="45" customFormat="false" ht="15" hidden="false" customHeight="false" outlineLevel="0" collapsed="false">
      <c r="A45" s="13" t="str">
        <f aca="false">IF(עזר!L45="","",INDEX(עזר!$A$2:$A$5001,עזר!L45))</f>
        <v/>
      </c>
      <c r="B45" s="13" t="str">
        <f aca="false">IF(עזר!L45="","",INDEX(עזר!$B$2:$B$5001,עזר!L45))</f>
        <v/>
      </c>
      <c r="C45" s="13" t="str">
        <f aca="false">עזר!M45</f>
        <v/>
      </c>
    </row>
    <row r="46" customFormat="false" ht="15" hidden="false" customHeight="false" outlineLevel="0" collapsed="false">
      <c r="A46" s="13" t="str">
        <f aca="false">IF(עזר!L46="","",INDEX(עזר!$A$2:$A$5001,עזר!L46))</f>
        <v/>
      </c>
      <c r="B46" s="13" t="str">
        <f aca="false">IF(עזר!L46="","",INDEX(עזר!$B$2:$B$5001,עזר!L46))</f>
        <v/>
      </c>
      <c r="C46" s="13" t="str">
        <f aca="false">עזר!M46</f>
        <v/>
      </c>
    </row>
    <row r="47" customFormat="false" ht="15" hidden="false" customHeight="false" outlineLevel="0" collapsed="false">
      <c r="A47" s="13" t="str">
        <f aca="false">IF(עזר!L47="","",INDEX(עזר!$A$2:$A$5001,עזר!L47))</f>
        <v/>
      </c>
      <c r="B47" s="13" t="str">
        <f aca="false">IF(עזר!L47="","",INDEX(עזר!$B$2:$B$5001,עזר!L47))</f>
        <v/>
      </c>
      <c r="C47" s="13" t="str">
        <f aca="false">עזר!M47</f>
        <v/>
      </c>
    </row>
    <row r="48" customFormat="false" ht="15" hidden="false" customHeight="false" outlineLevel="0" collapsed="false">
      <c r="A48" s="13" t="str">
        <f aca="false">IF(עזר!L48="","",INDEX(עזר!$A$2:$A$5001,עזר!L48))</f>
        <v/>
      </c>
      <c r="B48" s="13" t="str">
        <f aca="false">IF(עזר!L48="","",INDEX(עזר!$B$2:$B$5001,עזר!L48))</f>
        <v/>
      </c>
      <c r="C48" s="13" t="str">
        <f aca="false">עזר!M48</f>
        <v/>
      </c>
    </row>
    <row r="49" customFormat="false" ht="15" hidden="false" customHeight="false" outlineLevel="0" collapsed="false">
      <c r="A49" s="13" t="str">
        <f aca="false">IF(עזר!L49="","",INDEX(עזר!$A$2:$A$5001,עזר!L49))</f>
        <v/>
      </c>
      <c r="B49" s="13" t="str">
        <f aca="false">IF(עזר!L49="","",INDEX(עזר!$B$2:$B$5001,עזר!L49))</f>
        <v/>
      </c>
      <c r="C49" s="13" t="str">
        <f aca="false">עזר!M49</f>
        <v/>
      </c>
    </row>
    <row r="50" customFormat="false" ht="15" hidden="false" customHeight="false" outlineLevel="0" collapsed="false">
      <c r="A50" s="13" t="str">
        <f aca="false">IF(עזר!L50="","",INDEX(עזר!$A$2:$A$5001,עזר!L50))</f>
        <v/>
      </c>
      <c r="B50" s="13" t="str">
        <f aca="false">IF(עזר!L50="","",INDEX(עזר!$B$2:$B$5001,עזר!L50))</f>
        <v/>
      </c>
      <c r="C50" s="13" t="str">
        <f aca="false">עזר!M50</f>
        <v/>
      </c>
    </row>
    <row r="51" customFormat="false" ht="15" hidden="false" customHeight="false" outlineLevel="0" collapsed="false">
      <c r="A51" s="13" t="str">
        <f aca="false">IF(עזר!L51="","",INDEX(עזר!$A$2:$A$5001,עזר!L51))</f>
        <v/>
      </c>
      <c r="B51" s="13" t="str">
        <f aca="false">IF(עזר!L51="","",INDEX(עזר!$B$2:$B$5001,עזר!L51))</f>
        <v/>
      </c>
      <c r="C51" s="13" t="str">
        <f aca="false">עזר!M51</f>
        <v/>
      </c>
    </row>
    <row r="52" customFormat="false" ht="15" hidden="false" customHeight="false" outlineLevel="0" collapsed="false">
      <c r="A52" s="13" t="str">
        <f aca="false">IF(עזר!L52="","",INDEX(עזר!$A$2:$A$5001,עזר!L52))</f>
        <v/>
      </c>
      <c r="B52" s="13" t="str">
        <f aca="false">IF(עזר!L52="","",INDEX(עזר!$B$2:$B$5001,עזר!L52))</f>
        <v/>
      </c>
      <c r="C52" s="13" t="str">
        <f aca="false">עזר!M52</f>
        <v/>
      </c>
    </row>
    <row r="53" customFormat="false" ht="15" hidden="false" customHeight="false" outlineLevel="0" collapsed="false">
      <c r="A53" s="13" t="str">
        <f aca="false">IF(עזר!L53="","",INDEX(עזר!$A$2:$A$5001,עזר!L53))</f>
        <v/>
      </c>
      <c r="B53" s="13" t="str">
        <f aca="false">IF(עזר!L53="","",INDEX(עזר!$B$2:$B$5001,עזר!L53))</f>
        <v/>
      </c>
      <c r="C53" s="13" t="str">
        <f aca="false">עזר!M53</f>
        <v/>
      </c>
    </row>
    <row r="54" customFormat="false" ht="15" hidden="false" customHeight="false" outlineLevel="0" collapsed="false">
      <c r="A54" s="13" t="str">
        <f aca="false">IF(עזר!L54="","",INDEX(עזר!$A$2:$A$5001,עזר!L54))</f>
        <v/>
      </c>
      <c r="B54" s="13" t="str">
        <f aca="false">IF(עזר!L54="","",INDEX(עזר!$B$2:$B$5001,עזר!L54))</f>
        <v/>
      </c>
      <c r="C54" s="13" t="str">
        <f aca="false">עזר!M54</f>
        <v/>
      </c>
    </row>
    <row r="55" customFormat="false" ht="15" hidden="false" customHeight="false" outlineLevel="0" collapsed="false">
      <c r="A55" s="13" t="str">
        <f aca="false">IF(עזר!L55="","",INDEX(עזר!$A$2:$A$5001,עזר!L55))</f>
        <v/>
      </c>
      <c r="B55" s="13" t="str">
        <f aca="false">IF(עזר!L55="","",INDEX(עזר!$B$2:$B$5001,עזר!L55))</f>
        <v/>
      </c>
      <c r="C55" s="13" t="str">
        <f aca="false">עזר!M55</f>
        <v/>
      </c>
    </row>
    <row r="56" customFormat="false" ht="15" hidden="false" customHeight="false" outlineLevel="0" collapsed="false">
      <c r="A56" s="13" t="str">
        <f aca="false">IF(עזר!L56="","",INDEX(עזר!$A$2:$A$5001,עזר!L56))</f>
        <v/>
      </c>
      <c r="B56" s="13" t="str">
        <f aca="false">IF(עזר!L56="","",INDEX(עזר!$B$2:$B$5001,עזר!L56))</f>
        <v/>
      </c>
      <c r="C56" s="13" t="str">
        <f aca="false">עזר!M56</f>
        <v/>
      </c>
    </row>
    <row r="57" customFormat="false" ht="15" hidden="false" customHeight="false" outlineLevel="0" collapsed="false">
      <c r="A57" s="13" t="str">
        <f aca="false">IF(עזר!L57="","",INDEX(עזר!$A$2:$A$5001,עזר!L57))</f>
        <v/>
      </c>
      <c r="B57" s="13" t="str">
        <f aca="false">IF(עזר!L57="","",INDEX(עזר!$B$2:$B$5001,עזר!L57))</f>
        <v/>
      </c>
      <c r="C57" s="13" t="str">
        <f aca="false">עזר!M57</f>
        <v/>
      </c>
    </row>
    <row r="58" customFormat="false" ht="15" hidden="false" customHeight="false" outlineLevel="0" collapsed="false">
      <c r="A58" s="13" t="str">
        <f aca="false">IF(עזר!L58="","",INDEX(עזר!$A$2:$A$5001,עזר!L58))</f>
        <v/>
      </c>
      <c r="B58" s="13" t="str">
        <f aca="false">IF(עזר!L58="","",INDEX(עזר!$B$2:$B$5001,עזר!L58))</f>
        <v/>
      </c>
      <c r="C58" s="13" t="str">
        <f aca="false">עזר!M58</f>
        <v/>
      </c>
    </row>
    <row r="59" customFormat="false" ht="15" hidden="false" customHeight="false" outlineLevel="0" collapsed="false">
      <c r="A59" s="13" t="str">
        <f aca="false">IF(עזר!L59="","",INDEX(עזר!$A$2:$A$5001,עזר!L59))</f>
        <v/>
      </c>
      <c r="B59" s="13" t="str">
        <f aca="false">IF(עזר!L59="","",INDEX(עזר!$B$2:$B$5001,עזר!L59))</f>
        <v/>
      </c>
      <c r="C59" s="13" t="str">
        <f aca="false">עזר!M59</f>
        <v/>
      </c>
    </row>
    <row r="60" customFormat="false" ht="15" hidden="false" customHeight="false" outlineLevel="0" collapsed="false">
      <c r="A60" s="13" t="str">
        <f aca="false">IF(עזר!L60="","",INDEX(עזר!$A$2:$A$5001,עזר!L60))</f>
        <v/>
      </c>
      <c r="B60" s="13" t="str">
        <f aca="false">IF(עזר!L60="","",INDEX(עזר!$B$2:$B$5001,עזר!L60))</f>
        <v/>
      </c>
      <c r="C60" s="13" t="str">
        <f aca="false">עזר!M60</f>
        <v/>
      </c>
    </row>
    <row r="61" customFormat="false" ht="15" hidden="false" customHeight="false" outlineLevel="0" collapsed="false">
      <c r="A61" s="13" t="str">
        <f aca="false">IF(עזר!L61="","",INDEX(עזר!$A$2:$A$5001,עזר!L61))</f>
        <v/>
      </c>
      <c r="B61" s="13" t="str">
        <f aca="false">IF(עזר!L61="","",INDEX(עזר!$B$2:$B$5001,עזר!L61))</f>
        <v/>
      </c>
      <c r="C61" s="13" t="str">
        <f aca="false">עזר!M61</f>
        <v/>
      </c>
    </row>
    <row r="62" customFormat="false" ht="15" hidden="false" customHeight="false" outlineLevel="0" collapsed="false">
      <c r="A62" s="13" t="str">
        <f aca="false">IF(עזר!L62="","",INDEX(עזר!$A$2:$A$5001,עזר!L62))</f>
        <v/>
      </c>
      <c r="B62" s="13" t="str">
        <f aca="false">IF(עזר!L62="","",INDEX(עזר!$B$2:$B$5001,עזר!L62))</f>
        <v/>
      </c>
      <c r="C62" s="13" t="str">
        <f aca="false">עזר!M62</f>
        <v/>
      </c>
    </row>
    <row r="63" customFormat="false" ht="15" hidden="false" customHeight="false" outlineLevel="0" collapsed="false">
      <c r="A63" s="13" t="str">
        <f aca="false">IF(עזר!L63="","",INDEX(עזר!$A$2:$A$5001,עזר!L63))</f>
        <v/>
      </c>
      <c r="B63" s="13" t="str">
        <f aca="false">IF(עזר!L63="","",INDEX(עזר!$B$2:$B$5001,עזר!L63))</f>
        <v/>
      </c>
      <c r="C63" s="13" t="str">
        <f aca="false">עזר!M63</f>
        <v/>
      </c>
    </row>
    <row r="64" customFormat="false" ht="15" hidden="false" customHeight="false" outlineLevel="0" collapsed="false">
      <c r="A64" s="13" t="str">
        <f aca="false">IF(עזר!L64="","",INDEX(עזר!$A$2:$A$5001,עזר!L64))</f>
        <v/>
      </c>
      <c r="B64" s="13" t="str">
        <f aca="false">IF(עזר!L64="","",INDEX(עזר!$B$2:$B$5001,עזר!L64))</f>
        <v/>
      </c>
      <c r="C64" s="13" t="str">
        <f aca="false">עזר!M64</f>
        <v/>
      </c>
    </row>
    <row r="65" customFormat="false" ht="15" hidden="false" customHeight="false" outlineLevel="0" collapsed="false">
      <c r="A65" s="13" t="str">
        <f aca="false">IF(עזר!L65="","",INDEX(עזר!$A$2:$A$5001,עזר!L65))</f>
        <v/>
      </c>
      <c r="B65" s="13" t="str">
        <f aca="false">IF(עזר!L65="","",INDEX(עזר!$B$2:$B$5001,עזר!L65))</f>
        <v/>
      </c>
      <c r="C65" s="13" t="str">
        <f aca="false">עזר!M65</f>
        <v/>
      </c>
    </row>
    <row r="66" customFormat="false" ht="15" hidden="false" customHeight="false" outlineLevel="0" collapsed="false">
      <c r="A66" s="13" t="str">
        <f aca="false">IF(עזר!L66="","",INDEX(עזר!$A$2:$A$5001,עזר!L66))</f>
        <v/>
      </c>
      <c r="B66" s="13" t="str">
        <f aca="false">IF(עזר!L66="","",INDEX(עזר!$B$2:$B$5001,עזר!L66))</f>
        <v/>
      </c>
      <c r="C66" s="13" t="str">
        <f aca="false">עזר!M66</f>
        <v/>
      </c>
    </row>
    <row r="67" customFormat="false" ht="15" hidden="false" customHeight="false" outlineLevel="0" collapsed="false">
      <c r="A67" s="13" t="str">
        <f aca="false">IF(עזר!L67="","",INDEX(עזר!$A$2:$A$5001,עזר!L67))</f>
        <v/>
      </c>
      <c r="B67" s="13" t="str">
        <f aca="false">IF(עזר!L67="","",INDEX(עזר!$B$2:$B$5001,עזר!L67))</f>
        <v/>
      </c>
      <c r="C67" s="13" t="str">
        <f aca="false">עזר!M67</f>
        <v/>
      </c>
    </row>
    <row r="68" customFormat="false" ht="15" hidden="false" customHeight="false" outlineLevel="0" collapsed="false">
      <c r="A68" s="13" t="str">
        <f aca="false">IF(עזר!L68="","",INDEX(עזר!$A$2:$A$5001,עזר!L68))</f>
        <v/>
      </c>
      <c r="B68" s="13" t="str">
        <f aca="false">IF(עזר!L68="","",INDEX(עזר!$B$2:$B$5001,עזר!L68))</f>
        <v/>
      </c>
      <c r="C68" s="13" t="str">
        <f aca="false">עזר!M68</f>
        <v/>
      </c>
    </row>
    <row r="69" customFormat="false" ht="15" hidden="false" customHeight="false" outlineLevel="0" collapsed="false">
      <c r="A69" s="13" t="str">
        <f aca="false">IF(עזר!L69="","",INDEX(עזר!$A$2:$A$5001,עזר!L69))</f>
        <v/>
      </c>
      <c r="B69" s="13" t="str">
        <f aca="false">IF(עזר!L69="","",INDEX(עזר!$B$2:$B$5001,עזר!L69))</f>
        <v/>
      </c>
      <c r="C69" s="13" t="str">
        <f aca="false">עזר!M69</f>
        <v/>
      </c>
    </row>
    <row r="70" customFormat="false" ht="15" hidden="false" customHeight="false" outlineLevel="0" collapsed="false">
      <c r="A70" s="13" t="str">
        <f aca="false">IF(עזר!L70="","",INDEX(עזר!$A$2:$A$5001,עזר!L70))</f>
        <v/>
      </c>
      <c r="B70" s="13" t="str">
        <f aca="false">IF(עזר!L70="","",INDEX(עזר!$B$2:$B$5001,עזר!L70))</f>
        <v/>
      </c>
      <c r="C70" s="13" t="str">
        <f aca="false">עזר!M70</f>
        <v/>
      </c>
    </row>
    <row r="71" customFormat="false" ht="15" hidden="false" customHeight="false" outlineLevel="0" collapsed="false">
      <c r="A71" s="13" t="str">
        <f aca="false">IF(עזר!L71="","",INDEX(עזר!$A$2:$A$5001,עזר!L71))</f>
        <v/>
      </c>
      <c r="B71" s="13" t="str">
        <f aca="false">IF(עזר!L71="","",INDEX(עזר!$B$2:$B$5001,עזר!L71))</f>
        <v/>
      </c>
      <c r="C71" s="13" t="str">
        <f aca="false">עזר!M71</f>
        <v/>
      </c>
    </row>
    <row r="72" customFormat="false" ht="15" hidden="false" customHeight="false" outlineLevel="0" collapsed="false">
      <c r="A72" s="13" t="str">
        <f aca="false">IF(עזר!L72="","",INDEX(עזר!$A$2:$A$5001,עזר!L72))</f>
        <v/>
      </c>
      <c r="B72" s="13" t="str">
        <f aca="false">IF(עזר!L72="","",INDEX(עזר!$B$2:$B$5001,עזר!L72))</f>
        <v/>
      </c>
      <c r="C72" s="13" t="str">
        <f aca="false">עזר!M72</f>
        <v/>
      </c>
    </row>
    <row r="73" customFormat="false" ht="15" hidden="false" customHeight="false" outlineLevel="0" collapsed="false">
      <c r="A73" s="13" t="str">
        <f aca="false">IF(עזר!L73="","",INDEX(עזר!$A$2:$A$5001,עזר!L73))</f>
        <v/>
      </c>
      <c r="B73" s="13" t="str">
        <f aca="false">IF(עזר!L73="","",INDEX(עזר!$B$2:$B$5001,עזר!L73))</f>
        <v/>
      </c>
      <c r="C73" s="13" t="str">
        <f aca="false">עזר!M73</f>
        <v/>
      </c>
    </row>
    <row r="74" customFormat="false" ht="15" hidden="false" customHeight="false" outlineLevel="0" collapsed="false">
      <c r="A74" s="13" t="str">
        <f aca="false">IF(עזר!L74="","",INDEX(עזר!$A$2:$A$5001,עזר!L74))</f>
        <v/>
      </c>
      <c r="B74" s="13" t="str">
        <f aca="false">IF(עזר!L74="","",INDEX(עזר!$B$2:$B$5001,עזר!L74))</f>
        <v/>
      </c>
      <c r="C74" s="13" t="str">
        <f aca="false">עזר!M74</f>
        <v/>
      </c>
    </row>
    <row r="75" customFormat="false" ht="15" hidden="false" customHeight="false" outlineLevel="0" collapsed="false">
      <c r="A75" s="13" t="str">
        <f aca="false">IF(עזר!L75="","",INDEX(עזר!$A$2:$A$5001,עזר!L75))</f>
        <v/>
      </c>
      <c r="B75" s="13" t="str">
        <f aca="false">IF(עזר!L75="","",INDEX(עזר!$B$2:$B$5001,עזר!L75))</f>
        <v/>
      </c>
      <c r="C75" s="13" t="str">
        <f aca="false">עזר!M75</f>
        <v/>
      </c>
    </row>
    <row r="76" customFormat="false" ht="15" hidden="false" customHeight="false" outlineLevel="0" collapsed="false">
      <c r="A76" s="13" t="str">
        <f aca="false">IF(עזר!L76="","",INDEX(עזר!$A$2:$A$5001,עזר!L76))</f>
        <v/>
      </c>
      <c r="B76" s="13" t="str">
        <f aca="false">IF(עזר!L76="","",INDEX(עזר!$B$2:$B$5001,עזר!L76))</f>
        <v/>
      </c>
      <c r="C76" s="13" t="str">
        <f aca="false">עזר!M76</f>
        <v/>
      </c>
    </row>
    <row r="77" customFormat="false" ht="15" hidden="false" customHeight="false" outlineLevel="0" collapsed="false">
      <c r="A77" s="13" t="str">
        <f aca="false">IF(עזר!L77="","",INDEX(עזר!$A$2:$A$5001,עזר!L77))</f>
        <v/>
      </c>
      <c r="B77" s="13" t="str">
        <f aca="false">IF(עזר!L77="","",INDEX(עזר!$B$2:$B$5001,עזר!L77))</f>
        <v/>
      </c>
      <c r="C77" s="13" t="str">
        <f aca="false">עזר!M77</f>
        <v/>
      </c>
    </row>
    <row r="78" customFormat="false" ht="15" hidden="false" customHeight="false" outlineLevel="0" collapsed="false">
      <c r="A78" s="13" t="str">
        <f aca="false">IF(עזר!L78="","",INDEX(עזר!$A$2:$A$5001,עזר!L78))</f>
        <v/>
      </c>
      <c r="B78" s="13" t="str">
        <f aca="false">IF(עזר!L78="","",INDEX(עזר!$B$2:$B$5001,עזר!L78))</f>
        <v/>
      </c>
      <c r="C78" s="13" t="str">
        <f aca="false">עזר!M78</f>
        <v/>
      </c>
    </row>
    <row r="79" customFormat="false" ht="15" hidden="false" customHeight="false" outlineLevel="0" collapsed="false">
      <c r="A79" s="13" t="str">
        <f aca="false">IF(עזר!L79="","",INDEX(עזר!$A$2:$A$5001,עזר!L79))</f>
        <v/>
      </c>
      <c r="B79" s="13" t="str">
        <f aca="false">IF(עזר!L79="","",INDEX(עזר!$B$2:$B$5001,עזר!L79))</f>
        <v/>
      </c>
      <c r="C79" s="13" t="str">
        <f aca="false">עזר!M79</f>
        <v/>
      </c>
    </row>
    <row r="80" customFormat="false" ht="15" hidden="false" customHeight="false" outlineLevel="0" collapsed="false">
      <c r="A80" s="13" t="str">
        <f aca="false">IF(עזר!L80="","",INDEX(עזר!$A$2:$A$5001,עזר!L80))</f>
        <v/>
      </c>
      <c r="B80" s="13" t="str">
        <f aca="false">IF(עזר!L80="","",INDEX(עזר!$B$2:$B$5001,עזר!L80))</f>
        <v/>
      </c>
      <c r="C80" s="13" t="str">
        <f aca="false">עזר!M80</f>
        <v/>
      </c>
    </row>
    <row r="81" customFormat="false" ht="15" hidden="false" customHeight="false" outlineLevel="0" collapsed="false">
      <c r="A81" s="13" t="str">
        <f aca="false">IF(עזר!L81="","",INDEX(עזר!$A$2:$A$5001,עזר!L81))</f>
        <v/>
      </c>
      <c r="B81" s="13" t="str">
        <f aca="false">IF(עזר!L81="","",INDEX(עזר!$B$2:$B$5001,עזר!L81))</f>
        <v/>
      </c>
      <c r="C81" s="13" t="str">
        <f aca="false">עזר!M81</f>
        <v/>
      </c>
    </row>
    <row r="82" customFormat="false" ht="15" hidden="false" customHeight="false" outlineLevel="0" collapsed="false">
      <c r="A82" s="13" t="str">
        <f aca="false">IF(עזר!L82="","",INDEX(עזר!$A$2:$A$5001,עזר!L82))</f>
        <v/>
      </c>
      <c r="B82" s="13" t="str">
        <f aca="false">IF(עזר!L82="","",INDEX(עזר!$B$2:$B$5001,עזר!L82))</f>
        <v/>
      </c>
      <c r="C82" s="13" t="str">
        <f aca="false">עזר!M82</f>
        <v/>
      </c>
    </row>
    <row r="83" customFormat="false" ht="15" hidden="false" customHeight="false" outlineLevel="0" collapsed="false">
      <c r="A83" s="13" t="str">
        <f aca="false">IF(עזר!L83="","",INDEX(עזר!$A$2:$A$5001,עזר!L83))</f>
        <v/>
      </c>
      <c r="B83" s="13" t="str">
        <f aca="false">IF(עזר!L83="","",INDEX(עזר!$B$2:$B$5001,עזר!L83))</f>
        <v/>
      </c>
      <c r="C83" s="13" t="str">
        <f aca="false">עזר!M83</f>
        <v/>
      </c>
    </row>
    <row r="84" customFormat="false" ht="15" hidden="false" customHeight="false" outlineLevel="0" collapsed="false">
      <c r="A84" s="13" t="str">
        <f aca="false">IF(עזר!L84="","",INDEX(עזר!$A$2:$A$5001,עזר!L84))</f>
        <v/>
      </c>
      <c r="B84" s="13" t="str">
        <f aca="false">IF(עזר!L84="","",INDEX(עזר!$B$2:$B$5001,עזר!L84))</f>
        <v/>
      </c>
      <c r="C84" s="13" t="str">
        <f aca="false">עזר!M84</f>
        <v/>
      </c>
    </row>
    <row r="85" customFormat="false" ht="15" hidden="false" customHeight="false" outlineLevel="0" collapsed="false">
      <c r="A85" s="13" t="str">
        <f aca="false">IF(עזר!L85="","",INDEX(עזר!$A$2:$A$5001,עזר!L85))</f>
        <v/>
      </c>
      <c r="B85" s="13" t="str">
        <f aca="false">IF(עזר!L85="","",INDEX(עזר!$B$2:$B$5001,עזר!L85))</f>
        <v/>
      </c>
      <c r="C85" s="13" t="str">
        <f aca="false">עזר!M85</f>
        <v/>
      </c>
    </row>
    <row r="86" customFormat="false" ht="15" hidden="false" customHeight="false" outlineLevel="0" collapsed="false">
      <c r="A86" s="13" t="str">
        <f aca="false">IF(עזר!L86="","",INDEX(עזר!$A$2:$A$5001,עזר!L86))</f>
        <v/>
      </c>
      <c r="B86" s="13" t="str">
        <f aca="false">IF(עזר!L86="","",INDEX(עזר!$B$2:$B$5001,עזר!L86))</f>
        <v/>
      </c>
      <c r="C86" s="13" t="str">
        <f aca="false">עזר!M86</f>
        <v/>
      </c>
    </row>
    <row r="87" customFormat="false" ht="15" hidden="false" customHeight="false" outlineLevel="0" collapsed="false">
      <c r="A87" s="13" t="str">
        <f aca="false">IF(עזר!L87="","",INDEX(עזר!$A$2:$A$5001,עזר!L87))</f>
        <v/>
      </c>
      <c r="B87" s="13" t="str">
        <f aca="false">IF(עזר!L87="","",INDEX(עזר!$B$2:$B$5001,עזר!L87))</f>
        <v/>
      </c>
      <c r="C87" s="13" t="str">
        <f aca="false">עזר!M87</f>
        <v/>
      </c>
    </row>
    <row r="88" customFormat="false" ht="15" hidden="false" customHeight="false" outlineLevel="0" collapsed="false">
      <c r="A88" s="13" t="str">
        <f aca="false">IF(עזר!L88="","",INDEX(עזר!$A$2:$A$5001,עזר!L88))</f>
        <v/>
      </c>
      <c r="B88" s="13" t="str">
        <f aca="false">IF(עזר!L88="","",INDEX(עזר!$B$2:$B$5001,עזר!L88))</f>
        <v/>
      </c>
      <c r="C88" s="13" t="str">
        <f aca="false">עזר!M88</f>
        <v/>
      </c>
    </row>
    <row r="89" customFormat="false" ht="15" hidden="false" customHeight="false" outlineLevel="0" collapsed="false">
      <c r="A89" s="13" t="str">
        <f aca="false">IF(עזר!L89="","",INDEX(עזר!$A$2:$A$5001,עזר!L89))</f>
        <v/>
      </c>
      <c r="B89" s="13" t="str">
        <f aca="false">IF(עזר!L89="","",INDEX(עזר!$B$2:$B$5001,עזר!L89))</f>
        <v/>
      </c>
      <c r="C89" s="13" t="str">
        <f aca="false">עזר!M89</f>
        <v/>
      </c>
    </row>
    <row r="90" customFormat="false" ht="15" hidden="false" customHeight="false" outlineLevel="0" collapsed="false">
      <c r="A90" s="13" t="str">
        <f aca="false">IF(עזר!L90="","",INDEX(עזר!$A$2:$A$5001,עזר!L90))</f>
        <v/>
      </c>
      <c r="B90" s="13" t="str">
        <f aca="false">IF(עזר!L90="","",INDEX(עזר!$B$2:$B$5001,עזר!L90))</f>
        <v/>
      </c>
      <c r="C90" s="13" t="str">
        <f aca="false">עזר!M90</f>
        <v/>
      </c>
    </row>
    <row r="91" customFormat="false" ht="15" hidden="false" customHeight="false" outlineLevel="0" collapsed="false">
      <c r="A91" s="13" t="str">
        <f aca="false">IF(עזר!L91="","",INDEX(עזר!$A$2:$A$5001,עזר!L91))</f>
        <v/>
      </c>
      <c r="B91" s="13" t="str">
        <f aca="false">IF(עזר!L91="","",INDEX(עזר!$B$2:$B$5001,עזר!L91))</f>
        <v/>
      </c>
      <c r="C91" s="13" t="str">
        <f aca="false">עזר!M91</f>
        <v/>
      </c>
    </row>
    <row r="92" customFormat="false" ht="15" hidden="false" customHeight="false" outlineLevel="0" collapsed="false">
      <c r="A92" s="13" t="str">
        <f aca="false">IF(עזר!L92="","",INDEX(עזר!$A$2:$A$5001,עזר!L92))</f>
        <v/>
      </c>
      <c r="B92" s="13" t="str">
        <f aca="false">IF(עזר!L92="","",INDEX(עזר!$B$2:$B$5001,עזר!L92))</f>
        <v/>
      </c>
      <c r="C92" s="13" t="str">
        <f aca="false">עזר!M92</f>
        <v/>
      </c>
    </row>
    <row r="93" customFormat="false" ht="15" hidden="false" customHeight="false" outlineLevel="0" collapsed="false">
      <c r="A93" s="13" t="str">
        <f aca="false">IF(עזר!L93="","",INDEX(עזר!$A$2:$A$5001,עזר!L93))</f>
        <v/>
      </c>
      <c r="B93" s="13" t="str">
        <f aca="false">IF(עזר!L93="","",INDEX(עזר!$B$2:$B$5001,עזר!L93))</f>
        <v/>
      </c>
      <c r="C93" s="13" t="str">
        <f aca="false">עזר!M93</f>
        <v/>
      </c>
    </row>
    <row r="94" customFormat="false" ht="15" hidden="false" customHeight="false" outlineLevel="0" collapsed="false">
      <c r="A94" s="13" t="str">
        <f aca="false">IF(עזר!L94="","",INDEX(עזר!$A$2:$A$5001,עזר!L94))</f>
        <v/>
      </c>
      <c r="B94" s="13" t="str">
        <f aca="false">IF(עזר!L94="","",INDEX(עזר!$B$2:$B$5001,עזר!L94))</f>
        <v/>
      </c>
      <c r="C94" s="13" t="str">
        <f aca="false">עזר!M94</f>
        <v/>
      </c>
    </row>
    <row r="95" customFormat="false" ht="15" hidden="false" customHeight="false" outlineLevel="0" collapsed="false">
      <c r="A95" s="13" t="str">
        <f aca="false">IF(עזר!L95="","",INDEX(עזר!$A$2:$A$5001,עזר!L95))</f>
        <v/>
      </c>
      <c r="B95" s="13" t="str">
        <f aca="false">IF(עזר!L95="","",INDEX(עזר!$B$2:$B$5001,עזר!L95))</f>
        <v/>
      </c>
      <c r="C95" s="13" t="str">
        <f aca="false">עזר!M95</f>
        <v/>
      </c>
    </row>
    <row r="96" customFormat="false" ht="15" hidden="false" customHeight="false" outlineLevel="0" collapsed="false">
      <c r="A96" s="13" t="str">
        <f aca="false">IF(עזר!L96="","",INDEX(עזר!$A$2:$A$5001,עזר!L96))</f>
        <v/>
      </c>
      <c r="B96" s="13" t="str">
        <f aca="false">IF(עזר!L96="","",INDEX(עזר!$B$2:$B$5001,עזר!L96))</f>
        <v/>
      </c>
      <c r="C96" s="13" t="str">
        <f aca="false">עזר!M96</f>
        <v/>
      </c>
    </row>
    <row r="97" customFormat="false" ht="15" hidden="false" customHeight="false" outlineLevel="0" collapsed="false">
      <c r="A97" s="13" t="str">
        <f aca="false">IF(עזר!L97="","",INDEX(עזר!$A$2:$A$5001,עזר!L97))</f>
        <v/>
      </c>
      <c r="B97" s="13" t="str">
        <f aca="false">IF(עזר!L97="","",INDEX(עזר!$B$2:$B$5001,עזר!L97))</f>
        <v/>
      </c>
      <c r="C97" s="13" t="str">
        <f aca="false">עזר!M97</f>
        <v/>
      </c>
    </row>
    <row r="98" customFormat="false" ht="15" hidden="false" customHeight="false" outlineLevel="0" collapsed="false">
      <c r="A98" s="13" t="str">
        <f aca="false">IF(עזר!L98="","",INDEX(עזר!$A$2:$A$5001,עזר!L98))</f>
        <v/>
      </c>
      <c r="B98" s="13" t="str">
        <f aca="false">IF(עזר!L98="","",INDEX(עזר!$B$2:$B$5001,עזר!L98))</f>
        <v/>
      </c>
      <c r="C98" s="13" t="str">
        <f aca="false">עזר!M98</f>
        <v/>
      </c>
    </row>
    <row r="99" customFormat="false" ht="15" hidden="false" customHeight="false" outlineLevel="0" collapsed="false">
      <c r="A99" s="13" t="str">
        <f aca="false">IF(עזר!L99="","",INDEX(עזר!$A$2:$A$5001,עזר!L99))</f>
        <v/>
      </c>
      <c r="B99" s="13" t="str">
        <f aca="false">IF(עזר!L99="","",INDEX(עזר!$B$2:$B$5001,עזר!L99))</f>
        <v/>
      </c>
      <c r="C99" s="13" t="str">
        <f aca="false">עזר!M99</f>
        <v/>
      </c>
    </row>
    <row r="100" customFormat="false" ht="15" hidden="false" customHeight="false" outlineLevel="0" collapsed="false">
      <c r="A100" s="13" t="str">
        <f aca="false">IF(עזר!L100="","",INDEX(עזר!$A$2:$A$5001,עזר!L100))</f>
        <v/>
      </c>
      <c r="B100" s="13" t="str">
        <f aca="false">IF(עזר!L100="","",INDEX(עזר!$B$2:$B$5001,עזר!L100))</f>
        <v/>
      </c>
      <c r="C100" s="13" t="str">
        <f aca="false">עזר!M100</f>
        <v/>
      </c>
    </row>
    <row r="101" customFormat="false" ht="15" hidden="false" customHeight="false" outlineLevel="0" collapsed="false">
      <c r="A101" s="13" t="str">
        <f aca="false">IF(עזר!L101="","",INDEX(עזר!$A$2:$A$5001,עזר!L101))</f>
        <v/>
      </c>
      <c r="B101" s="13" t="str">
        <f aca="false">IF(עזר!L101="","",INDEX(עזר!$B$2:$B$5001,עזר!L101))</f>
        <v/>
      </c>
      <c r="C101" s="13" t="str">
        <f aca="false">עזר!M101</f>
        <v/>
      </c>
    </row>
    <row r="102" customFormat="false" ht="15" hidden="false" customHeight="false" outlineLevel="0" collapsed="false">
      <c r="A102" s="13" t="str">
        <f aca="false">IF(עזר!L102="","",INDEX(עזר!$A$2:$A$5001,עזר!L102))</f>
        <v/>
      </c>
      <c r="B102" s="13" t="str">
        <f aca="false">IF(עזר!L102="","",INDEX(עזר!$B$2:$B$5001,עזר!L102))</f>
        <v/>
      </c>
      <c r="C102" s="13" t="str">
        <f aca="false">עזר!M102</f>
        <v/>
      </c>
    </row>
    <row r="103" customFormat="false" ht="15" hidden="false" customHeight="false" outlineLevel="0" collapsed="false">
      <c r="A103" s="13" t="str">
        <f aca="false">IF(עזר!L103="","",INDEX(עזר!$A$2:$A$5001,עזר!L103))</f>
        <v/>
      </c>
      <c r="B103" s="13" t="str">
        <f aca="false">IF(עזר!L103="","",INDEX(עזר!$B$2:$B$5001,עזר!L103))</f>
        <v/>
      </c>
      <c r="C103" s="13" t="str">
        <f aca="false">עזר!M103</f>
        <v/>
      </c>
    </row>
    <row r="104" customFormat="false" ht="15" hidden="false" customHeight="false" outlineLevel="0" collapsed="false">
      <c r="A104" s="13" t="str">
        <f aca="false">IF(עזר!L104="","",INDEX(עזר!$A$2:$A$5001,עזר!L104))</f>
        <v/>
      </c>
      <c r="B104" s="13" t="str">
        <f aca="false">IF(עזר!L104="","",INDEX(עזר!$B$2:$B$5001,עזר!L104))</f>
        <v/>
      </c>
      <c r="C104" s="13" t="str">
        <f aca="false">עזר!M104</f>
        <v/>
      </c>
    </row>
    <row r="105" customFormat="false" ht="15" hidden="false" customHeight="false" outlineLevel="0" collapsed="false">
      <c r="A105" s="13" t="str">
        <f aca="false">IF(עזר!L105="","",INDEX(עזר!$A$2:$A$5001,עזר!L105))</f>
        <v/>
      </c>
      <c r="B105" s="13" t="str">
        <f aca="false">IF(עזר!L105="","",INDEX(עזר!$B$2:$B$5001,עזר!L105))</f>
        <v/>
      </c>
      <c r="C105" s="13" t="str">
        <f aca="false">עזר!M105</f>
        <v/>
      </c>
    </row>
    <row r="106" customFormat="false" ht="15" hidden="false" customHeight="false" outlineLevel="0" collapsed="false">
      <c r="A106" s="13" t="str">
        <f aca="false">IF(עזר!L106="","",INDEX(עזר!$A$2:$A$5001,עזר!L106))</f>
        <v/>
      </c>
      <c r="B106" s="13" t="str">
        <f aca="false">IF(עזר!L106="","",INDEX(עזר!$B$2:$B$5001,עזר!L106))</f>
        <v/>
      </c>
      <c r="C106" s="13" t="str">
        <f aca="false">עזר!M106</f>
        <v/>
      </c>
    </row>
    <row r="107" customFormat="false" ht="15" hidden="false" customHeight="false" outlineLevel="0" collapsed="false">
      <c r="A107" s="13" t="str">
        <f aca="false">IF(עזר!L107="","",INDEX(עזר!$A$2:$A$5001,עזר!L107))</f>
        <v/>
      </c>
      <c r="B107" s="13" t="str">
        <f aca="false">IF(עזר!L107="","",INDEX(עזר!$B$2:$B$5001,עזר!L107))</f>
        <v/>
      </c>
      <c r="C107" s="13" t="str">
        <f aca="false">עזר!M107</f>
        <v/>
      </c>
    </row>
    <row r="108" customFormat="false" ht="15" hidden="false" customHeight="false" outlineLevel="0" collapsed="false">
      <c r="A108" s="13" t="str">
        <f aca="false">IF(עזר!L108="","",INDEX(עזר!$A$2:$A$5001,עזר!L108))</f>
        <v/>
      </c>
      <c r="B108" s="13" t="str">
        <f aca="false">IF(עזר!L108="","",INDEX(עזר!$B$2:$B$5001,עזר!L108))</f>
        <v/>
      </c>
      <c r="C108" s="13" t="str">
        <f aca="false">עזר!M108</f>
        <v/>
      </c>
    </row>
    <row r="109" customFormat="false" ht="15" hidden="false" customHeight="false" outlineLevel="0" collapsed="false">
      <c r="A109" s="13" t="str">
        <f aca="false">IF(עזר!L109="","",INDEX(עזר!$A$2:$A$5001,עזר!L109))</f>
        <v/>
      </c>
      <c r="B109" s="13" t="str">
        <f aca="false">IF(עזר!L109="","",INDEX(עזר!$B$2:$B$5001,עזר!L109))</f>
        <v/>
      </c>
      <c r="C109" s="13" t="str">
        <f aca="false">עזר!M109</f>
        <v/>
      </c>
    </row>
    <row r="110" customFormat="false" ht="15" hidden="false" customHeight="false" outlineLevel="0" collapsed="false">
      <c r="A110" s="13" t="str">
        <f aca="false">IF(עזר!L110="","",INDEX(עזר!$A$2:$A$5001,עזר!L110))</f>
        <v/>
      </c>
      <c r="B110" s="13" t="str">
        <f aca="false">IF(עזר!L110="","",INDEX(עזר!$B$2:$B$5001,עזר!L110))</f>
        <v/>
      </c>
      <c r="C110" s="13" t="str">
        <f aca="false">עזר!M110</f>
        <v/>
      </c>
    </row>
    <row r="111" customFormat="false" ht="15" hidden="false" customHeight="false" outlineLevel="0" collapsed="false">
      <c r="A111" s="13" t="str">
        <f aca="false">IF(עזר!L111="","",INDEX(עזר!$A$2:$A$5001,עזר!L111))</f>
        <v/>
      </c>
      <c r="B111" s="13" t="str">
        <f aca="false">IF(עזר!L111="","",INDEX(עזר!$B$2:$B$5001,עזר!L111))</f>
        <v/>
      </c>
      <c r="C111" s="13" t="str">
        <f aca="false">עזר!M111</f>
        <v/>
      </c>
    </row>
    <row r="112" customFormat="false" ht="15" hidden="false" customHeight="false" outlineLevel="0" collapsed="false">
      <c r="A112" s="13" t="str">
        <f aca="false">IF(עזר!L112="","",INDEX(עזר!$A$2:$A$5001,עזר!L112))</f>
        <v/>
      </c>
      <c r="B112" s="13" t="str">
        <f aca="false">IF(עזר!L112="","",INDEX(עזר!$B$2:$B$5001,עזר!L112))</f>
        <v/>
      </c>
      <c r="C112" s="13" t="str">
        <f aca="false">עזר!M112</f>
        <v/>
      </c>
    </row>
    <row r="113" customFormat="false" ht="15" hidden="false" customHeight="false" outlineLevel="0" collapsed="false">
      <c r="A113" s="13" t="str">
        <f aca="false">IF(עזר!L113="","",INDEX(עזר!$A$2:$A$5001,עזר!L113))</f>
        <v/>
      </c>
      <c r="B113" s="13" t="str">
        <f aca="false">IF(עזר!L113="","",INDEX(עזר!$B$2:$B$5001,עזר!L113))</f>
        <v/>
      </c>
      <c r="C113" s="13" t="str">
        <f aca="false">עזר!M113</f>
        <v/>
      </c>
    </row>
    <row r="114" customFormat="false" ht="15" hidden="false" customHeight="false" outlineLevel="0" collapsed="false">
      <c r="A114" s="13" t="str">
        <f aca="false">IF(עזר!L114="","",INDEX(עזר!$A$2:$A$5001,עזר!L114))</f>
        <v/>
      </c>
      <c r="B114" s="13" t="str">
        <f aca="false">IF(עזר!L114="","",INDEX(עזר!$B$2:$B$5001,עזר!L114))</f>
        <v/>
      </c>
      <c r="C114" s="13" t="str">
        <f aca="false">עזר!M114</f>
        <v/>
      </c>
    </row>
    <row r="115" customFormat="false" ht="15" hidden="false" customHeight="false" outlineLevel="0" collapsed="false">
      <c r="A115" s="13" t="str">
        <f aca="false">IF(עזר!L115="","",INDEX(עזר!$A$2:$A$5001,עזר!L115))</f>
        <v/>
      </c>
      <c r="B115" s="13" t="str">
        <f aca="false">IF(עזר!L115="","",INDEX(עזר!$B$2:$B$5001,עזר!L115))</f>
        <v/>
      </c>
      <c r="C115" s="13" t="str">
        <f aca="false">עזר!M115</f>
        <v/>
      </c>
    </row>
    <row r="116" customFormat="false" ht="15" hidden="false" customHeight="false" outlineLevel="0" collapsed="false">
      <c r="A116" s="13" t="str">
        <f aca="false">IF(עזר!L116="","",INDEX(עזר!$A$2:$A$5001,עזר!L116))</f>
        <v/>
      </c>
      <c r="B116" s="13" t="str">
        <f aca="false">IF(עזר!L116="","",INDEX(עזר!$B$2:$B$5001,עזר!L116))</f>
        <v/>
      </c>
      <c r="C116" s="13" t="str">
        <f aca="false">עזר!M116</f>
        <v/>
      </c>
    </row>
    <row r="117" customFormat="false" ht="15" hidden="false" customHeight="false" outlineLevel="0" collapsed="false">
      <c r="A117" s="13" t="str">
        <f aca="false">IF(עזר!L117="","",INDEX(עזר!$A$2:$A$5001,עזר!L117))</f>
        <v/>
      </c>
      <c r="B117" s="13" t="str">
        <f aca="false">IF(עזר!L117="","",INDEX(עזר!$B$2:$B$5001,עזר!L117))</f>
        <v/>
      </c>
      <c r="C117" s="13" t="str">
        <f aca="false">עזר!M117</f>
        <v/>
      </c>
    </row>
    <row r="118" customFormat="false" ht="15" hidden="false" customHeight="false" outlineLevel="0" collapsed="false">
      <c r="A118" s="13" t="str">
        <f aca="false">IF(עזר!L118="","",INDEX(עזר!$A$2:$A$5001,עזר!L118))</f>
        <v/>
      </c>
      <c r="B118" s="13" t="str">
        <f aca="false">IF(עזר!L118="","",INDEX(עזר!$B$2:$B$5001,עזר!L118))</f>
        <v/>
      </c>
      <c r="C118" s="13" t="str">
        <f aca="false">עזר!M118</f>
        <v/>
      </c>
    </row>
    <row r="119" customFormat="false" ht="15" hidden="false" customHeight="false" outlineLevel="0" collapsed="false">
      <c r="A119" s="13" t="str">
        <f aca="false">IF(עזר!L119="","",INDEX(עזר!$A$2:$A$5001,עזר!L119))</f>
        <v/>
      </c>
      <c r="B119" s="13" t="str">
        <f aca="false">IF(עזר!L119="","",INDEX(עזר!$B$2:$B$5001,עזר!L119))</f>
        <v/>
      </c>
      <c r="C119" s="13" t="str">
        <f aca="false">עזר!M119</f>
        <v/>
      </c>
    </row>
    <row r="120" customFormat="false" ht="15" hidden="false" customHeight="false" outlineLevel="0" collapsed="false">
      <c r="A120" s="13" t="str">
        <f aca="false">IF(עזר!L120="","",INDEX(עזר!$A$2:$A$5001,עזר!L120))</f>
        <v/>
      </c>
      <c r="B120" s="13" t="str">
        <f aca="false">IF(עזר!L120="","",INDEX(עזר!$B$2:$B$5001,עזר!L120))</f>
        <v/>
      </c>
      <c r="C120" s="13" t="str">
        <f aca="false">עזר!M120</f>
        <v/>
      </c>
    </row>
    <row r="121" customFormat="false" ht="15" hidden="false" customHeight="false" outlineLevel="0" collapsed="false">
      <c r="A121" s="13" t="str">
        <f aca="false">IF(עזר!L121="","",INDEX(עזר!$A$2:$A$5001,עזר!L121))</f>
        <v/>
      </c>
      <c r="B121" s="13" t="str">
        <f aca="false">IF(עזר!L121="","",INDEX(עזר!$B$2:$B$5001,עזר!L121))</f>
        <v/>
      </c>
      <c r="C121" s="13" t="str">
        <f aca="false">עזר!M121</f>
        <v/>
      </c>
    </row>
    <row r="122" customFormat="false" ht="15" hidden="false" customHeight="false" outlineLevel="0" collapsed="false">
      <c r="A122" s="13" t="str">
        <f aca="false">IF(עזר!L122="","",INDEX(עזר!$A$2:$A$5001,עזר!L122))</f>
        <v/>
      </c>
      <c r="B122" s="13" t="str">
        <f aca="false">IF(עזר!L122="","",INDEX(עזר!$B$2:$B$5001,עזר!L122))</f>
        <v/>
      </c>
      <c r="C122" s="13" t="str">
        <f aca="false">עזר!M122</f>
        <v/>
      </c>
    </row>
    <row r="123" customFormat="false" ht="15" hidden="false" customHeight="false" outlineLevel="0" collapsed="false">
      <c r="A123" s="13" t="str">
        <f aca="false">IF(עזר!L123="","",INDEX(עזר!$A$2:$A$5001,עזר!L123))</f>
        <v/>
      </c>
      <c r="B123" s="13" t="str">
        <f aca="false">IF(עזר!L123="","",INDEX(עזר!$B$2:$B$5001,עזר!L123))</f>
        <v/>
      </c>
      <c r="C123" s="13" t="str">
        <f aca="false">עזר!M123</f>
        <v/>
      </c>
    </row>
    <row r="124" customFormat="false" ht="15" hidden="false" customHeight="false" outlineLevel="0" collapsed="false">
      <c r="A124" s="13" t="str">
        <f aca="false">IF(עזר!L124="","",INDEX(עזר!$A$2:$A$5001,עזר!L124))</f>
        <v/>
      </c>
      <c r="B124" s="13" t="str">
        <f aca="false">IF(עזר!L124="","",INDEX(עזר!$B$2:$B$5001,עזר!L124))</f>
        <v/>
      </c>
      <c r="C124" s="13" t="str">
        <f aca="false">עזר!M124</f>
        <v/>
      </c>
    </row>
    <row r="125" customFormat="false" ht="15" hidden="false" customHeight="false" outlineLevel="0" collapsed="false">
      <c r="A125" s="13" t="str">
        <f aca="false">IF(עזר!L125="","",INDEX(עזר!$A$2:$A$5001,עזר!L125))</f>
        <v/>
      </c>
      <c r="B125" s="13" t="str">
        <f aca="false">IF(עזר!L125="","",INDEX(עזר!$B$2:$B$5001,עזר!L125))</f>
        <v/>
      </c>
      <c r="C125" s="13" t="str">
        <f aca="false">עזר!M125</f>
        <v/>
      </c>
    </row>
    <row r="126" customFormat="false" ht="15" hidden="false" customHeight="false" outlineLevel="0" collapsed="false">
      <c r="A126" s="13" t="str">
        <f aca="false">IF(עזר!L126="","",INDEX(עזר!$A$2:$A$5001,עזר!L126))</f>
        <v/>
      </c>
      <c r="B126" s="13" t="str">
        <f aca="false">IF(עזר!L126="","",INDEX(עזר!$B$2:$B$5001,עזר!L126))</f>
        <v/>
      </c>
      <c r="C126" s="13" t="str">
        <f aca="false">עזר!M126</f>
        <v/>
      </c>
    </row>
    <row r="127" customFormat="false" ht="15" hidden="false" customHeight="false" outlineLevel="0" collapsed="false">
      <c r="A127" s="13" t="str">
        <f aca="false">IF(עזר!L127="","",INDEX(עזר!$A$2:$A$5001,עזר!L127))</f>
        <v/>
      </c>
      <c r="B127" s="13" t="str">
        <f aca="false">IF(עזר!L127="","",INDEX(עזר!$B$2:$B$5001,עזר!L127))</f>
        <v/>
      </c>
      <c r="C127" s="13" t="str">
        <f aca="false">עזר!M127</f>
        <v/>
      </c>
    </row>
    <row r="128" customFormat="false" ht="15" hidden="false" customHeight="false" outlineLevel="0" collapsed="false">
      <c r="A128" s="13" t="str">
        <f aca="false">IF(עזר!L128="","",INDEX(עזר!$A$2:$A$5001,עזר!L128))</f>
        <v/>
      </c>
      <c r="B128" s="13" t="str">
        <f aca="false">IF(עזר!L128="","",INDEX(עזר!$B$2:$B$5001,עזר!L128))</f>
        <v/>
      </c>
      <c r="C128" s="13" t="str">
        <f aca="false">עזר!M128</f>
        <v/>
      </c>
    </row>
    <row r="129" customFormat="false" ht="15" hidden="false" customHeight="false" outlineLevel="0" collapsed="false">
      <c r="A129" s="13" t="str">
        <f aca="false">IF(עזר!L129="","",INDEX(עזר!$A$2:$A$5001,עזר!L129))</f>
        <v/>
      </c>
      <c r="B129" s="13" t="str">
        <f aca="false">IF(עזר!L129="","",INDEX(עזר!$B$2:$B$5001,עזר!L129))</f>
        <v/>
      </c>
      <c r="C129" s="13" t="str">
        <f aca="false">עזר!M129</f>
        <v/>
      </c>
    </row>
    <row r="130" customFormat="false" ht="15" hidden="false" customHeight="false" outlineLevel="0" collapsed="false">
      <c r="A130" s="13" t="str">
        <f aca="false">IF(עזר!L130="","",INDEX(עזר!$A$2:$A$5001,עזר!L130))</f>
        <v/>
      </c>
      <c r="B130" s="13" t="str">
        <f aca="false">IF(עזר!L130="","",INDEX(עזר!$B$2:$B$5001,עזר!L130))</f>
        <v/>
      </c>
      <c r="C130" s="13" t="str">
        <f aca="false">עזר!M130</f>
        <v/>
      </c>
    </row>
    <row r="131" customFormat="false" ht="15" hidden="false" customHeight="false" outlineLevel="0" collapsed="false">
      <c r="A131" s="13" t="str">
        <f aca="false">IF(עזר!L131="","",INDEX(עזר!$A$2:$A$5001,עזר!L131))</f>
        <v/>
      </c>
      <c r="B131" s="13" t="str">
        <f aca="false">IF(עזר!L131="","",INDEX(עזר!$B$2:$B$5001,עזר!L131))</f>
        <v/>
      </c>
      <c r="C131" s="13" t="str">
        <f aca="false">עזר!M131</f>
        <v/>
      </c>
    </row>
    <row r="132" customFormat="false" ht="15" hidden="false" customHeight="false" outlineLevel="0" collapsed="false">
      <c r="A132" s="13" t="str">
        <f aca="false">IF(עזר!L132="","",INDEX(עזר!$A$2:$A$5001,עזר!L132))</f>
        <v/>
      </c>
      <c r="B132" s="13" t="str">
        <f aca="false">IF(עזר!L132="","",INDEX(עזר!$B$2:$B$5001,עזר!L132))</f>
        <v/>
      </c>
      <c r="C132" s="13" t="str">
        <f aca="false">עזר!M132</f>
        <v/>
      </c>
    </row>
    <row r="133" customFormat="false" ht="15" hidden="false" customHeight="false" outlineLevel="0" collapsed="false">
      <c r="A133" s="13" t="str">
        <f aca="false">IF(עזר!L133="","",INDEX(עזר!$A$2:$A$5001,עזר!L133))</f>
        <v/>
      </c>
      <c r="B133" s="13" t="str">
        <f aca="false">IF(עזר!L133="","",INDEX(עזר!$B$2:$B$5001,עזר!L133))</f>
        <v/>
      </c>
      <c r="C133" s="13" t="str">
        <f aca="false">עזר!M133</f>
        <v/>
      </c>
    </row>
    <row r="134" customFormat="false" ht="15" hidden="false" customHeight="false" outlineLevel="0" collapsed="false">
      <c r="A134" s="13" t="str">
        <f aca="false">IF(עזר!L134="","",INDEX(עזר!$A$2:$A$5001,עזר!L134))</f>
        <v/>
      </c>
      <c r="B134" s="13" t="str">
        <f aca="false">IF(עזר!L134="","",INDEX(עזר!$B$2:$B$5001,עזר!L134))</f>
        <v/>
      </c>
      <c r="C134" s="13" t="str">
        <f aca="false">עזר!M134</f>
        <v/>
      </c>
    </row>
    <row r="135" customFormat="false" ht="15" hidden="false" customHeight="false" outlineLevel="0" collapsed="false">
      <c r="A135" s="13" t="str">
        <f aca="false">IF(עזר!L135="","",INDEX(עזר!$A$2:$A$5001,עזר!L135))</f>
        <v/>
      </c>
      <c r="B135" s="13" t="str">
        <f aca="false">IF(עזר!L135="","",INDEX(עזר!$B$2:$B$5001,עזר!L135))</f>
        <v/>
      </c>
      <c r="C135" s="13" t="str">
        <f aca="false">עזר!M135</f>
        <v/>
      </c>
    </row>
    <row r="136" customFormat="false" ht="15" hidden="false" customHeight="false" outlineLevel="0" collapsed="false">
      <c r="A136" s="13" t="str">
        <f aca="false">IF(עזר!L136="","",INDEX(עזר!$A$2:$A$5001,עזר!L136))</f>
        <v/>
      </c>
      <c r="B136" s="13" t="str">
        <f aca="false">IF(עזר!L136="","",INDEX(עזר!$B$2:$B$5001,עזר!L136))</f>
        <v/>
      </c>
      <c r="C136" s="13" t="str">
        <f aca="false">עזר!M136</f>
        <v/>
      </c>
    </row>
    <row r="137" customFormat="false" ht="15" hidden="false" customHeight="false" outlineLevel="0" collapsed="false">
      <c r="A137" s="13" t="str">
        <f aca="false">IF(עזר!L137="","",INDEX(עזר!$A$2:$A$5001,עזר!L137))</f>
        <v/>
      </c>
      <c r="B137" s="13" t="str">
        <f aca="false">IF(עזר!L137="","",INDEX(עזר!$B$2:$B$5001,עזר!L137))</f>
        <v/>
      </c>
      <c r="C137" s="13" t="str">
        <f aca="false">עזר!M137</f>
        <v/>
      </c>
    </row>
    <row r="138" customFormat="false" ht="15" hidden="false" customHeight="false" outlineLevel="0" collapsed="false">
      <c r="A138" s="13" t="str">
        <f aca="false">IF(עזר!L138="","",INDEX(עזר!$A$2:$A$5001,עזר!L138))</f>
        <v/>
      </c>
      <c r="B138" s="13" t="str">
        <f aca="false">IF(עזר!L138="","",INDEX(עזר!$B$2:$B$5001,עזר!L138))</f>
        <v/>
      </c>
      <c r="C138" s="13" t="str">
        <f aca="false">עזר!M138</f>
        <v/>
      </c>
    </row>
    <row r="139" customFormat="false" ht="15" hidden="false" customHeight="false" outlineLevel="0" collapsed="false">
      <c r="A139" s="13" t="str">
        <f aca="false">IF(עזר!L139="","",INDEX(עזר!$A$2:$A$5001,עזר!L139))</f>
        <v/>
      </c>
      <c r="B139" s="13" t="str">
        <f aca="false">IF(עזר!L139="","",INDEX(עזר!$B$2:$B$5001,עזר!L139))</f>
        <v/>
      </c>
      <c r="C139" s="13" t="str">
        <f aca="false">עזר!M139</f>
        <v/>
      </c>
    </row>
    <row r="140" customFormat="false" ht="15" hidden="false" customHeight="false" outlineLevel="0" collapsed="false">
      <c r="A140" s="13" t="str">
        <f aca="false">IF(עזר!L140="","",INDEX(עזר!$A$2:$A$5001,עזר!L140))</f>
        <v/>
      </c>
      <c r="B140" s="13" t="str">
        <f aca="false">IF(עזר!L140="","",INDEX(עזר!$B$2:$B$5001,עזר!L140))</f>
        <v/>
      </c>
      <c r="C140" s="13" t="str">
        <f aca="false">עזר!M140</f>
        <v/>
      </c>
    </row>
    <row r="141" customFormat="false" ht="15" hidden="false" customHeight="false" outlineLevel="0" collapsed="false">
      <c r="A141" s="13" t="str">
        <f aca="false">IF(עזר!L141="","",INDEX(עזר!$A$2:$A$5001,עזר!L141))</f>
        <v/>
      </c>
      <c r="B141" s="13" t="str">
        <f aca="false">IF(עזר!L141="","",INDEX(עזר!$B$2:$B$5001,עזר!L141))</f>
        <v/>
      </c>
      <c r="C141" s="13" t="str">
        <f aca="false">עזר!M141</f>
        <v/>
      </c>
    </row>
    <row r="142" customFormat="false" ht="15" hidden="false" customHeight="false" outlineLevel="0" collapsed="false">
      <c r="A142" s="13" t="str">
        <f aca="false">IF(עזר!L142="","",INDEX(עזר!$A$2:$A$5001,עזר!L142))</f>
        <v/>
      </c>
      <c r="B142" s="13" t="str">
        <f aca="false">IF(עזר!L142="","",INDEX(עזר!$B$2:$B$5001,עזר!L142))</f>
        <v/>
      </c>
      <c r="C142" s="13" t="str">
        <f aca="false">עזר!M142</f>
        <v/>
      </c>
    </row>
    <row r="143" customFormat="false" ht="15" hidden="false" customHeight="false" outlineLevel="0" collapsed="false">
      <c r="A143" s="13" t="str">
        <f aca="false">IF(עזר!L143="","",INDEX(עזר!$A$2:$A$5001,עזר!L143))</f>
        <v/>
      </c>
      <c r="B143" s="13" t="str">
        <f aca="false">IF(עזר!L143="","",INDEX(עזר!$B$2:$B$5001,עזר!L143))</f>
        <v/>
      </c>
      <c r="C143" s="13" t="str">
        <f aca="false">עזר!M143</f>
        <v/>
      </c>
    </row>
    <row r="144" customFormat="false" ht="15" hidden="false" customHeight="false" outlineLevel="0" collapsed="false">
      <c r="A144" s="13" t="str">
        <f aca="false">IF(עזר!L144="","",INDEX(עזר!$A$2:$A$5001,עזר!L144))</f>
        <v/>
      </c>
      <c r="B144" s="13" t="str">
        <f aca="false">IF(עזר!L144="","",INDEX(עזר!$B$2:$B$5001,עזר!L144))</f>
        <v/>
      </c>
      <c r="C144" s="13" t="str">
        <f aca="false">עזר!M144</f>
        <v/>
      </c>
    </row>
    <row r="145" customFormat="false" ht="15" hidden="false" customHeight="false" outlineLevel="0" collapsed="false">
      <c r="A145" s="13" t="str">
        <f aca="false">IF(עזר!L145="","",INDEX(עזר!$A$2:$A$5001,עזר!L145))</f>
        <v/>
      </c>
      <c r="B145" s="13" t="str">
        <f aca="false">IF(עזר!L145="","",INDEX(עזר!$B$2:$B$5001,עזר!L145))</f>
        <v/>
      </c>
      <c r="C145" s="13" t="str">
        <f aca="false">עזר!M145</f>
        <v/>
      </c>
    </row>
    <row r="146" customFormat="false" ht="15" hidden="false" customHeight="false" outlineLevel="0" collapsed="false">
      <c r="A146" s="13" t="str">
        <f aca="false">IF(עזר!L146="","",INDEX(עזר!$A$2:$A$5001,עזר!L146))</f>
        <v/>
      </c>
      <c r="B146" s="13" t="str">
        <f aca="false">IF(עזר!L146="","",INDEX(עזר!$B$2:$B$5001,עזר!L146))</f>
        <v/>
      </c>
      <c r="C146" s="13" t="str">
        <f aca="false">עזר!M146</f>
        <v/>
      </c>
    </row>
    <row r="147" customFormat="false" ht="15" hidden="false" customHeight="false" outlineLevel="0" collapsed="false">
      <c r="A147" s="13" t="str">
        <f aca="false">IF(עזר!L147="","",INDEX(עזר!$A$2:$A$5001,עזר!L147))</f>
        <v/>
      </c>
      <c r="B147" s="13" t="str">
        <f aca="false">IF(עזר!L147="","",INDEX(עזר!$B$2:$B$5001,עזר!L147))</f>
        <v/>
      </c>
      <c r="C147" s="13" t="str">
        <f aca="false">עזר!M147</f>
        <v/>
      </c>
    </row>
    <row r="148" customFormat="false" ht="15" hidden="false" customHeight="false" outlineLevel="0" collapsed="false">
      <c r="A148" s="13" t="str">
        <f aca="false">IF(עזר!L148="","",INDEX(עזר!$A$2:$A$5001,עזר!L148))</f>
        <v/>
      </c>
      <c r="B148" s="13" t="str">
        <f aca="false">IF(עזר!L148="","",INDEX(עזר!$B$2:$B$5001,עזר!L148))</f>
        <v/>
      </c>
      <c r="C148" s="13" t="str">
        <f aca="false">עזר!M148</f>
        <v/>
      </c>
    </row>
    <row r="149" customFormat="false" ht="15" hidden="false" customHeight="false" outlineLevel="0" collapsed="false">
      <c r="A149" s="13" t="str">
        <f aca="false">IF(עזר!L149="","",INDEX(עזר!$A$2:$A$5001,עזר!L149))</f>
        <v/>
      </c>
      <c r="B149" s="13" t="str">
        <f aca="false">IF(עזר!L149="","",INDEX(עזר!$B$2:$B$5001,עזר!L149))</f>
        <v/>
      </c>
      <c r="C149" s="13" t="str">
        <f aca="false">עזר!M149</f>
        <v/>
      </c>
    </row>
    <row r="150" customFormat="false" ht="15" hidden="false" customHeight="false" outlineLevel="0" collapsed="false">
      <c r="A150" s="13" t="str">
        <f aca="false">IF(עזר!L150="","",INDEX(עזר!$A$2:$A$5001,עזר!L150))</f>
        <v/>
      </c>
      <c r="B150" s="13" t="str">
        <f aca="false">IF(עזר!L150="","",INDEX(עזר!$B$2:$B$5001,עזר!L150))</f>
        <v/>
      </c>
      <c r="C150" s="13" t="str">
        <f aca="false">עזר!M150</f>
        <v/>
      </c>
    </row>
    <row r="151" customFormat="false" ht="15" hidden="false" customHeight="false" outlineLevel="0" collapsed="false">
      <c r="A151" s="13" t="str">
        <f aca="false">IF(עזר!L151="","",INDEX(עזר!$A$2:$A$5001,עזר!L151))</f>
        <v/>
      </c>
      <c r="B151" s="13" t="str">
        <f aca="false">IF(עזר!L151="","",INDEX(עזר!$B$2:$B$5001,עזר!L151))</f>
        <v/>
      </c>
      <c r="C151" s="13" t="str">
        <f aca="false">עזר!M151</f>
        <v/>
      </c>
    </row>
    <row r="152" customFormat="false" ht="15" hidden="false" customHeight="false" outlineLevel="0" collapsed="false">
      <c r="A152" s="13" t="str">
        <f aca="false">IF(עזר!L152="","",INDEX(עזר!$A$2:$A$5001,עזר!L152))</f>
        <v/>
      </c>
      <c r="B152" s="13" t="str">
        <f aca="false">IF(עזר!L152="","",INDEX(עזר!$B$2:$B$5001,עזר!L152))</f>
        <v/>
      </c>
      <c r="C152" s="13" t="str">
        <f aca="false">עזר!M152</f>
        <v/>
      </c>
    </row>
    <row r="153" customFormat="false" ht="15" hidden="false" customHeight="false" outlineLevel="0" collapsed="false">
      <c r="A153" s="13" t="str">
        <f aca="false">IF(עזר!L153="","",INDEX(עזר!$A$2:$A$5001,עזר!L153))</f>
        <v/>
      </c>
      <c r="B153" s="13" t="str">
        <f aca="false">IF(עזר!L153="","",INDEX(עזר!$B$2:$B$5001,עזר!L153))</f>
        <v/>
      </c>
      <c r="C153" s="13" t="str">
        <f aca="false">עזר!M153</f>
        <v/>
      </c>
    </row>
    <row r="154" customFormat="false" ht="15" hidden="false" customHeight="false" outlineLevel="0" collapsed="false">
      <c r="A154" s="13" t="str">
        <f aca="false">IF(עזר!L154="","",INDEX(עזר!$A$2:$A$5001,עזר!L154))</f>
        <v/>
      </c>
      <c r="B154" s="13" t="str">
        <f aca="false">IF(עזר!L154="","",INDEX(עזר!$B$2:$B$5001,עזר!L154))</f>
        <v/>
      </c>
      <c r="C154" s="13" t="str">
        <f aca="false">עזר!M154</f>
        <v/>
      </c>
    </row>
    <row r="155" customFormat="false" ht="15" hidden="false" customHeight="false" outlineLevel="0" collapsed="false">
      <c r="A155" s="13" t="str">
        <f aca="false">IF(עזר!L155="","",INDEX(עזר!$A$2:$A$5001,עזר!L155))</f>
        <v/>
      </c>
      <c r="B155" s="13" t="str">
        <f aca="false">IF(עזר!L155="","",INDEX(עזר!$B$2:$B$5001,עזר!L155))</f>
        <v/>
      </c>
      <c r="C155" s="13" t="str">
        <f aca="false">עזר!M155</f>
        <v/>
      </c>
    </row>
    <row r="156" customFormat="false" ht="15" hidden="false" customHeight="false" outlineLevel="0" collapsed="false">
      <c r="A156" s="13" t="str">
        <f aca="false">IF(עזר!L156="","",INDEX(עזר!$A$2:$A$5001,עזר!L156))</f>
        <v/>
      </c>
      <c r="B156" s="13" t="str">
        <f aca="false">IF(עזר!L156="","",INDEX(עזר!$B$2:$B$5001,עזר!L156))</f>
        <v/>
      </c>
      <c r="C156" s="13" t="str">
        <f aca="false">עזר!M156</f>
        <v/>
      </c>
    </row>
    <row r="157" customFormat="false" ht="15" hidden="false" customHeight="false" outlineLevel="0" collapsed="false">
      <c r="A157" s="13" t="str">
        <f aca="false">IF(עזר!L157="","",INDEX(עזר!$A$2:$A$5001,עזר!L157))</f>
        <v/>
      </c>
      <c r="B157" s="13" t="str">
        <f aca="false">IF(עזר!L157="","",INDEX(עזר!$B$2:$B$5001,עזר!L157))</f>
        <v/>
      </c>
      <c r="C157" s="13" t="str">
        <f aca="false">עזר!M157</f>
        <v/>
      </c>
    </row>
    <row r="158" customFormat="false" ht="15" hidden="false" customHeight="false" outlineLevel="0" collapsed="false">
      <c r="A158" s="13" t="str">
        <f aca="false">IF(עזר!L158="","",INDEX(עזר!$A$2:$A$5001,עזר!L158))</f>
        <v/>
      </c>
      <c r="B158" s="13" t="str">
        <f aca="false">IF(עזר!L158="","",INDEX(עזר!$B$2:$B$5001,עזר!L158))</f>
        <v/>
      </c>
      <c r="C158" s="13" t="str">
        <f aca="false">עזר!M158</f>
        <v/>
      </c>
    </row>
    <row r="159" customFormat="false" ht="15" hidden="false" customHeight="false" outlineLevel="0" collapsed="false">
      <c r="A159" s="13" t="str">
        <f aca="false">IF(עזר!L159="","",INDEX(עזר!$A$2:$A$5001,עזר!L159))</f>
        <v/>
      </c>
      <c r="B159" s="13" t="str">
        <f aca="false">IF(עזר!L159="","",INDEX(עזר!$B$2:$B$5001,עזר!L159))</f>
        <v/>
      </c>
      <c r="C159" s="13" t="str">
        <f aca="false">עזר!M159</f>
        <v/>
      </c>
    </row>
    <row r="160" customFormat="false" ht="15" hidden="false" customHeight="false" outlineLevel="0" collapsed="false">
      <c r="A160" s="13" t="str">
        <f aca="false">IF(עזר!L160="","",INDEX(עזר!$A$2:$A$5001,עזר!L160))</f>
        <v/>
      </c>
      <c r="B160" s="13" t="str">
        <f aca="false">IF(עזר!L160="","",INDEX(עזר!$B$2:$B$5001,עזר!L160))</f>
        <v/>
      </c>
      <c r="C160" s="13" t="str">
        <f aca="false">עזר!M160</f>
        <v/>
      </c>
    </row>
    <row r="161" customFormat="false" ht="15" hidden="false" customHeight="false" outlineLevel="0" collapsed="false">
      <c r="A161" s="13" t="str">
        <f aca="false">IF(עזר!L161="","",INDEX(עזר!$A$2:$A$5001,עזר!L161))</f>
        <v/>
      </c>
      <c r="B161" s="13" t="str">
        <f aca="false">IF(עזר!L161="","",INDEX(עזר!$B$2:$B$5001,עזר!L161))</f>
        <v/>
      </c>
      <c r="C161" s="13" t="str">
        <f aca="false">עזר!M161</f>
        <v/>
      </c>
    </row>
    <row r="162" customFormat="false" ht="15" hidden="false" customHeight="false" outlineLevel="0" collapsed="false">
      <c r="A162" s="13" t="str">
        <f aca="false">IF(עזר!L162="","",INDEX(עזר!$A$2:$A$5001,עזר!L162))</f>
        <v/>
      </c>
      <c r="B162" s="13" t="str">
        <f aca="false">IF(עזר!L162="","",INDEX(עזר!$B$2:$B$5001,עזר!L162))</f>
        <v/>
      </c>
      <c r="C162" s="13" t="str">
        <f aca="false">עזר!M162</f>
        <v/>
      </c>
    </row>
    <row r="163" customFormat="false" ht="15" hidden="false" customHeight="false" outlineLevel="0" collapsed="false">
      <c r="A163" s="13" t="str">
        <f aca="false">IF(עזר!L163="","",INDEX(עזר!$A$2:$A$5001,עזר!L163))</f>
        <v/>
      </c>
      <c r="B163" s="13" t="str">
        <f aca="false">IF(עזר!L163="","",INDEX(עזר!$B$2:$B$5001,עזר!L163))</f>
        <v/>
      </c>
      <c r="C163" s="13" t="str">
        <f aca="false">עזר!M163</f>
        <v/>
      </c>
    </row>
    <row r="164" customFormat="false" ht="15" hidden="false" customHeight="false" outlineLevel="0" collapsed="false">
      <c r="A164" s="13" t="str">
        <f aca="false">IF(עזר!L164="","",INDEX(עזר!$A$2:$A$5001,עזר!L164))</f>
        <v/>
      </c>
      <c r="B164" s="13" t="str">
        <f aca="false">IF(עזר!L164="","",INDEX(עזר!$B$2:$B$5001,עזר!L164))</f>
        <v/>
      </c>
      <c r="C164" s="13" t="str">
        <f aca="false">עזר!M164</f>
        <v/>
      </c>
    </row>
    <row r="165" customFormat="false" ht="15" hidden="false" customHeight="false" outlineLevel="0" collapsed="false">
      <c r="A165" s="13" t="str">
        <f aca="false">IF(עזר!L165="","",INDEX(עזר!$A$2:$A$5001,עזר!L165))</f>
        <v/>
      </c>
      <c r="B165" s="13" t="str">
        <f aca="false">IF(עזר!L165="","",INDEX(עזר!$B$2:$B$5001,עזר!L165))</f>
        <v/>
      </c>
      <c r="C165" s="13" t="str">
        <f aca="false">עזר!M165</f>
        <v/>
      </c>
    </row>
    <row r="166" customFormat="false" ht="15" hidden="false" customHeight="false" outlineLevel="0" collapsed="false">
      <c r="A166" s="13" t="str">
        <f aca="false">IF(עזר!L166="","",INDEX(עזר!$A$2:$A$5001,עזר!L166))</f>
        <v/>
      </c>
      <c r="B166" s="13" t="str">
        <f aca="false">IF(עזר!L166="","",INDEX(עזר!$B$2:$B$5001,עזר!L166))</f>
        <v/>
      </c>
      <c r="C166" s="13" t="str">
        <f aca="false">עזר!M166</f>
        <v/>
      </c>
    </row>
    <row r="167" customFormat="false" ht="15" hidden="false" customHeight="false" outlineLevel="0" collapsed="false">
      <c r="A167" s="13" t="str">
        <f aca="false">IF(עזר!L167="","",INDEX(עזר!$A$2:$A$5001,עזר!L167))</f>
        <v/>
      </c>
      <c r="B167" s="13" t="str">
        <f aca="false">IF(עזר!L167="","",INDEX(עזר!$B$2:$B$5001,עזר!L167))</f>
        <v/>
      </c>
      <c r="C167" s="13" t="str">
        <f aca="false">עזר!M167</f>
        <v/>
      </c>
    </row>
    <row r="168" customFormat="false" ht="15" hidden="false" customHeight="false" outlineLevel="0" collapsed="false">
      <c r="A168" s="13" t="str">
        <f aca="false">IF(עזר!L168="","",INDEX(עזר!$A$2:$A$5001,עזר!L168))</f>
        <v/>
      </c>
      <c r="B168" s="13" t="str">
        <f aca="false">IF(עזר!L168="","",INDEX(עזר!$B$2:$B$5001,עזר!L168))</f>
        <v/>
      </c>
      <c r="C168" s="13" t="str">
        <f aca="false">עזר!M168</f>
        <v/>
      </c>
    </row>
    <row r="169" customFormat="false" ht="15" hidden="false" customHeight="false" outlineLevel="0" collapsed="false">
      <c r="A169" s="13" t="str">
        <f aca="false">IF(עזר!L169="","",INDEX(עזר!$A$2:$A$5001,עזר!L169))</f>
        <v/>
      </c>
      <c r="B169" s="13" t="str">
        <f aca="false">IF(עזר!L169="","",INDEX(עזר!$B$2:$B$5001,עזר!L169))</f>
        <v/>
      </c>
      <c r="C169" s="13" t="str">
        <f aca="false">עזר!M169</f>
        <v/>
      </c>
    </row>
    <row r="170" customFormat="false" ht="15" hidden="false" customHeight="false" outlineLevel="0" collapsed="false">
      <c r="A170" s="13" t="str">
        <f aca="false">IF(עזר!L170="","",INDEX(עזר!$A$2:$A$5001,עזר!L170))</f>
        <v/>
      </c>
      <c r="B170" s="13" t="str">
        <f aca="false">IF(עזר!L170="","",INDEX(עזר!$B$2:$B$5001,עזר!L170))</f>
        <v/>
      </c>
      <c r="C170" s="13" t="str">
        <f aca="false">עזר!M170</f>
        <v/>
      </c>
    </row>
    <row r="171" customFormat="false" ht="15" hidden="false" customHeight="false" outlineLevel="0" collapsed="false">
      <c r="A171" s="13" t="str">
        <f aca="false">IF(עזר!L171="","",INDEX(עזר!$A$2:$A$5001,עזר!L171))</f>
        <v/>
      </c>
      <c r="B171" s="13" t="str">
        <f aca="false">IF(עזר!L171="","",INDEX(עזר!$B$2:$B$5001,עזר!L171))</f>
        <v/>
      </c>
      <c r="C171" s="13" t="str">
        <f aca="false">עזר!M171</f>
        <v/>
      </c>
    </row>
    <row r="172" customFormat="false" ht="15" hidden="false" customHeight="false" outlineLevel="0" collapsed="false">
      <c r="A172" s="13" t="str">
        <f aca="false">IF(עזר!L172="","",INDEX(עזר!$A$2:$A$5001,עזר!L172))</f>
        <v/>
      </c>
      <c r="B172" s="13" t="str">
        <f aca="false">IF(עזר!L172="","",INDEX(עזר!$B$2:$B$5001,עזר!L172))</f>
        <v/>
      </c>
      <c r="C172" s="13" t="str">
        <f aca="false">עזר!M172</f>
        <v/>
      </c>
    </row>
    <row r="173" customFormat="false" ht="15" hidden="false" customHeight="false" outlineLevel="0" collapsed="false">
      <c r="A173" s="13" t="str">
        <f aca="false">IF(עזר!L173="","",INDEX(עזר!$A$2:$A$5001,עזר!L173))</f>
        <v/>
      </c>
      <c r="B173" s="13" t="str">
        <f aca="false">IF(עזר!L173="","",INDEX(עזר!$B$2:$B$5001,עזר!L173))</f>
        <v/>
      </c>
      <c r="C173" s="13" t="str">
        <f aca="false">עזר!M173</f>
        <v/>
      </c>
    </row>
    <row r="174" customFormat="false" ht="15" hidden="false" customHeight="false" outlineLevel="0" collapsed="false">
      <c r="A174" s="13" t="str">
        <f aca="false">IF(עזר!L174="","",INDEX(עזר!$A$2:$A$5001,עזר!L174))</f>
        <v/>
      </c>
      <c r="B174" s="13" t="str">
        <f aca="false">IF(עזר!L174="","",INDEX(עזר!$B$2:$B$5001,עזר!L174))</f>
        <v/>
      </c>
      <c r="C174" s="13" t="str">
        <f aca="false">עזר!M174</f>
        <v/>
      </c>
    </row>
    <row r="175" customFormat="false" ht="15" hidden="false" customHeight="false" outlineLevel="0" collapsed="false">
      <c r="A175" s="13" t="str">
        <f aca="false">IF(עזר!L175="","",INDEX(עזר!$A$2:$A$5001,עזר!L175))</f>
        <v/>
      </c>
      <c r="B175" s="13" t="str">
        <f aca="false">IF(עזר!L175="","",INDEX(עזר!$B$2:$B$5001,עזר!L175))</f>
        <v/>
      </c>
      <c r="C175" s="13" t="str">
        <f aca="false">עזר!M175</f>
        <v/>
      </c>
    </row>
    <row r="176" customFormat="false" ht="15" hidden="false" customHeight="false" outlineLevel="0" collapsed="false">
      <c r="A176" s="13" t="str">
        <f aca="false">IF(עזר!L176="","",INDEX(עזר!$A$2:$A$5001,עזר!L176))</f>
        <v/>
      </c>
      <c r="B176" s="13" t="str">
        <f aca="false">IF(עזר!L176="","",INDEX(עזר!$B$2:$B$5001,עזר!L176))</f>
        <v/>
      </c>
      <c r="C176" s="13" t="str">
        <f aca="false">עזר!M176</f>
        <v/>
      </c>
    </row>
    <row r="177" customFormat="false" ht="15" hidden="false" customHeight="false" outlineLevel="0" collapsed="false">
      <c r="A177" s="13" t="str">
        <f aca="false">IF(עזר!L177="","",INDEX(עזר!$A$2:$A$5001,עזר!L177))</f>
        <v/>
      </c>
      <c r="B177" s="13" t="str">
        <f aca="false">IF(עזר!L177="","",INDEX(עזר!$B$2:$B$5001,עזר!L177))</f>
        <v/>
      </c>
      <c r="C177" s="13" t="str">
        <f aca="false">עזר!M177</f>
        <v/>
      </c>
    </row>
    <row r="178" customFormat="false" ht="15" hidden="false" customHeight="false" outlineLevel="0" collapsed="false">
      <c r="A178" s="13" t="str">
        <f aca="false">IF(עזר!L178="","",INDEX(עזר!$A$2:$A$5001,עזר!L178))</f>
        <v/>
      </c>
      <c r="B178" s="13" t="str">
        <f aca="false">IF(עזר!L178="","",INDEX(עזר!$B$2:$B$5001,עזר!L178))</f>
        <v/>
      </c>
      <c r="C178" s="13" t="str">
        <f aca="false">עזר!M178</f>
        <v/>
      </c>
    </row>
    <row r="179" customFormat="false" ht="15" hidden="false" customHeight="false" outlineLevel="0" collapsed="false">
      <c r="A179" s="13" t="str">
        <f aca="false">IF(עזר!L179="","",INDEX(עזר!$A$2:$A$5001,עזר!L179))</f>
        <v/>
      </c>
      <c r="B179" s="13" t="str">
        <f aca="false">IF(עזר!L179="","",INDEX(עזר!$B$2:$B$5001,עזר!L179))</f>
        <v/>
      </c>
      <c r="C179" s="13" t="str">
        <f aca="false">עזר!M179</f>
        <v/>
      </c>
    </row>
    <row r="180" customFormat="false" ht="15" hidden="false" customHeight="false" outlineLevel="0" collapsed="false">
      <c r="A180" s="13" t="str">
        <f aca="false">IF(עזר!L180="","",INDEX(עזר!$A$2:$A$5001,עזר!L180))</f>
        <v/>
      </c>
      <c r="B180" s="13" t="str">
        <f aca="false">IF(עזר!L180="","",INDEX(עזר!$B$2:$B$5001,עזר!L180))</f>
        <v/>
      </c>
      <c r="C180" s="13" t="str">
        <f aca="false">עזר!M180</f>
        <v/>
      </c>
    </row>
    <row r="181" customFormat="false" ht="15" hidden="false" customHeight="false" outlineLevel="0" collapsed="false">
      <c r="A181" s="13" t="str">
        <f aca="false">IF(עזר!L181="","",INDEX(עזר!$A$2:$A$5001,עזר!L181))</f>
        <v/>
      </c>
      <c r="B181" s="13" t="str">
        <f aca="false">IF(עזר!L181="","",INDEX(עזר!$B$2:$B$5001,עזר!L181))</f>
        <v/>
      </c>
      <c r="C181" s="13" t="str">
        <f aca="false">עזר!M181</f>
        <v/>
      </c>
    </row>
    <row r="182" customFormat="false" ht="15" hidden="false" customHeight="false" outlineLevel="0" collapsed="false">
      <c r="A182" s="13" t="str">
        <f aca="false">IF(עזר!L182="","",INDEX(עזר!$A$2:$A$5001,עזר!L182))</f>
        <v/>
      </c>
      <c r="B182" s="13" t="str">
        <f aca="false">IF(עזר!L182="","",INDEX(עזר!$B$2:$B$5001,עזר!L182))</f>
        <v/>
      </c>
      <c r="C182" s="13" t="str">
        <f aca="false">עזר!M182</f>
        <v/>
      </c>
    </row>
    <row r="183" customFormat="false" ht="15" hidden="false" customHeight="false" outlineLevel="0" collapsed="false">
      <c r="A183" s="13" t="str">
        <f aca="false">IF(עזר!L183="","",INDEX(עזר!$A$2:$A$5001,עזר!L183))</f>
        <v/>
      </c>
      <c r="B183" s="13" t="str">
        <f aca="false">IF(עזר!L183="","",INDEX(עזר!$B$2:$B$5001,עזר!L183))</f>
        <v/>
      </c>
      <c r="C183" s="13" t="str">
        <f aca="false">עזר!M183</f>
        <v/>
      </c>
    </row>
    <row r="184" customFormat="false" ht="15" hidden="false" customHeight="false" outlineLevel="0" collapsed="false">
      <c r="A184" s="13" t="str">
        <f aca="false">IF(עזר!L184="","",INDEX(עזר!$A$2:$A$5001,עזר!L184))</f>
        <v/>
      </c>
      <c r="B184" s="13" t="str">
        <f aca="false">IF(עזר!L184="","",INDEX(עזר!$B$2:$B$5001,עזר!L184))</f>
        <v/>
      </c>
      <c r="C184" s="13" t="str">
        <f aca="false">עזר!M184</f>
        <v/>
      </c>
    </row>
    <row r="185" customFormat="false" ht="15" hidden="false" customHeight="false" outlineLevel="0" collapsed="false">
      <c r="A185" s="13" t="str">
        <f aca="false">IF(עזר!L185="","",INDEX(עזר!$A$2:$A$5001,עזר!L185))</f>
        <v/>
      </c>
      <c r="B185" s="13" t="str">
        <f aca="false">IF(עזר!L185="","",INDEX(עזר!$B$2:$B$5001,עזר!L185))</f>
        <v/>
      </c>
      <c r="C185" s="13" t="str">
        <f aca="false">עזר!M185</f>
        <v/>
      </c>
    </row>
    <row r="186" customFormat="false" ht="15" hidden="false" customHeight="false" outlineLevel="0" collapsed="false">
      <c r="A186" s="13" t="str">
        <f aca="false">IF(עזר!L186="","",INDEX(עזר!$A$2:$A$5001,עזר!L186))</f>
        <v/>
      </c>
      <c r="B186" s="13" t="str">
        <f aca="false">IF(עזר!L186="","",INDEX(עזר!$B$2:$B$5001,עזר!L186))</f>
        <v/>
      </c>
      <c r="C186" s="13" t="str">
        <f aca="false">עזר!M186</f>
        <v/>
      </c>
    </row>
    <row r="187" customFormat="false" ht="15" hidden="false" customHeight="false" outlineLevel="0" collapsed="false">
      <c r="A187" s="13" t="str">
        <f aca="false">IF(עזר!L187="","",INDEX(עזר!$A$2:$A$5001,עזר!L187))</f>
        <v/>
      </c>
      <c r="B187" s="13" t="str">
        <f aca="false">IF(עזר!L187="","",INDEX(עזר!$B$2:$B$5001,עזר!L187))</f>
        <v/>
      </c>
      <c r="C187" s="13" t="str">
        <f aca="false">עזר!M187</f>
        <v/>
      </c>
    </row>
    <row r="188" customFormat="false" ht="15" hidden="false" customHeight="false" outlineLevel="0" collapsed="false">
      <c r="A188" s="13" t="str">
        <f aca="false">IF(עזר!L188="","",INDEX(עזר!$A$2:$A$5001,עזר!L188))</f>
        <v/>
      </c>
      <c r="B188" s="13" t="str">
        <f aca="false">IF(עזר!L188="","",INDEX(עזר!$B$2:$B$5001,עזר!L188))</f>
        <v/>
      </c>
      <c r="C188" s="13" t="str">
        <f aca="false">עזר!M188</f>
        <v/>
      </c>
    </row>
    <row r="189" customFormat="false" ht="15" hidden="false" customHeight="false" outlineLevel="0" collapsed="false">
      <c r="A189" s="13" t="str">
        <f aca="false">IF(עזר!L189="","",INDEX(עזר!$A$2:$A$5001,עזר!L189))</f>
        <v/>
      </c>
      <c r="B189" s="13" t="str">
        <f aca="false">IF(עזר!L189="","",INDEX(עזר!$B$2:$B$5001,עזר!L189))</f>
        <v/>
      </c>
      <c r="C189" s="13" t="str">
        <f aca="false">עזר!M189</f>
        <v/>
      </c>
    </row>
    <row r="190" customFormat="false" ht="15" hidden="false" customHeight="false" outlineLevel="0" collapsed="false">
      <c r="A190" s="13" t="str">
        <f aca="false">IF(עזר!L190="","",INDEX(עזר!$A$2:$A$5001,עזר!L190))</f>
        <v/>
      </c>
      <c r="B190" s="13" t="str">
        <f aca="false">IF(עזר!L190="","",INDEX(עזר!$B$2:$B$5001,עזר!L190))</f>
        <v/>
      </c>
      <c r="C190" s="13" t="str">
        <f aca="false">עזר!M190</f>
        <v/>
      </c>
    </row>
    <row r="191" customFormat="false" ht="15" hidden="false" customHeight="false" outlineLevel="0" collapsed="false">
      <c r="A191" s="13" t="str">
        <f aca="false">IF(עזר!L191="","",INDEX(עזר!$A$2:$A$5001,עזר!L191))</f>
        <v/>
      </c>
      <c r="B191" s="13" t="str">
        <f aca="false">IF(עזר!L191="","",INDEX(עזר!$B$2:$B$5001,עזר!L191))</f>
        <v/>
      </c>
      <c r="C191" s="13" t="str">
        <f aca="false">עזר!M191</f>
        <v/>
      </c>
    </row>
    <row r="192" customFormat="false" ht="15" hidden="false" customHeight="false" outlineLevel="0" collapsed="false">
      <c r="A192" s="13" t="str">
        <f aca="false">IF(עזר!L192="","",INDEX(עזר!$A$2:$A$5001,עזר!L192))</f>
        <v/>
      </c>
      <c r="B192" s="13" t="str">
        <f aca="false">IF(עזר!L192="","",INDEX(עזר!$B$2:$B$5001,עזר!L192))</f>
        <v/>
      </c>
      <c r="C192" s="13" t="str">
        <f aca="false">עזר!M192</f>
        <v/>
      </c>
    </row>
    <row r="193" customFormat="false" ht="15" hidden="false" customHeight="false" outlineLevel="0" collapsed="false">
      <c r="A193" s="13" t="str">
        <f aca="false">IF(עזר!L193="","",INDEX(עזר!$A$2:$A$5001,עזר!L193))</f>
        <v/>
      </c>
      <c r="B193" s="13" t="str">
        <f aca="false">IF(עזר!L193="","",INDEX(עזר!$B$2:$B$5001,עזר!L193))</f>
        <v/>
      </c>
      <c r="C193" s="13" t="str">
        <f aca="false">עזר!M193</f>
        <v/>
      </c>
    </row>
    <row r="194" customFormat="false" ht="15" hidden="false" customHeight="false" outlineLevel="0" collapsed="false">
      <c r="A194" s="13" t="str">
        <f aca="false">IF(עזר!L194="","",INDEX(עזר!$A$2:$A$5001,עזר!L194))</f>
        <v/>
      </c>
      <c r="B194" s="13" t="str">
        <f aca="false">IF(עזר!L194="","",INDEX(עזר!$B$2:$B$5001,עזר!L194))</f>
        <v/>
      </c>
      <c r="C194" s="13" t="str">
        <f aca="false">עזר!M194</f>
        <v/>
      </c>
    </row>
    <row r="195" customFormat="false" ht="15" hidden="false" customHeight="false" outlineLevel="0" collapsed="false">
      <c r="A195" s="13" t="str">
        <f aca="false">IF(עזר!L195="","",INDEX(עזר!$A$2:$A$5001,עזר!L195))</f>
        <v/>
      </c>
      <c r="B195" s="13" t="str">
        <f aca="false">IF(עזר!L195="","",INDEX(עזר!$B$2:$B$5001,עזר!L195))</f>
        <v/>
      </c>
      <c r="C195" s="13" t="str">
        <f aca="false">עזר!M195</f>
        <v/>
      </c>
    </row>
    <row r="196" customFormat="false" ht="15" hidden="false" customHeight="false" outlineLevel="0" collapsed="false">
      <c r="A196" s="13" t="str">
        <f aca="false">IF(עזר!L196="","",INDEX(עזר!$A$2:$A$5001,עזר!L196))</f>
        <v/>
      </c>
      <c r="B196" s="13" t="str">
        <f aca="false">IF(עזר!L196="","",INDEX(עזר!$B$2:$B$5001,עזר!L196))</f>
        <v/>
      </c>
      <c r="C196" s="13" t="str">
        <f aca="false">עזר!M196</f>
        <v/>
      </c>
    </row>
    <row r="197" customFormat="false" ht="15" hidden="false" customHeight="false" outlineLevel="0" collapsed="false">
      <c r="A197" s="13" t="str">
        <f aca="false">IF(עזר!L197="","",INDEX(עזר!$A$2:$A$5001,עזר!L197))</f>
        <v/>
      </c>
      <c r="B197" s="13" t="str">
        <f aca="false">IF(עזר!L197="","",INDEX(עזר!$B$2:$B$5001,עזר!L197))</f>
        <v/>
      </c>
      <c r="C197" s="13" t="str">
        <f aca="false">עזר!M197</f>
        <v/>
      </c>
    </row>
    <row r="198" customFormat="false" ht="15" hidden="false" customHeight="false" outlineLevel="0" collapsed="false">
      <c r="A198" s="13" t="str">
        <f aca="false">IF(עזר!L198="","",INDEX(עזר!$A$2:$A$5001,עזר!L198))</f>
        <v/>
      </c>
      <c r="B198" s="13" t="str">
        <f aca="false">IF(עזר!L198="","",INDEX(עזר!$B$2:$B$5001,עזר!L198))</f>
        <v/>
      </c>
      <c r="C198" s="13" t="str">
        <f aca="false">עזר!M198</f>
        <v/>
      </c>
    </row>
    <row r="199" customFormat="false" ht="15" hidden="false" customHeight="false" outlineLevel="0" collapsed="false">
      <c r="A199" s="13" t="str">
        <f aca="false">IF(עזר!L199="","",INDEX(עזר!$A$2:$A$5001,עזר!L199))</f>
        <v/>
      </c>
      <c r="B199" s="13" t="str">
        <f aca="false">IF(עזר!L199="","",INDEX(עזר!$B$2:$B$5001,עזר!L199))</f>
        <v/>
      </c>
      <c r="C199" s="13" t="str">
        <f aca="false">עזר!M199</f>
        <v/>
      </c>
    </row>
    <row r="200" customFormat="false" ht="15" hidden="false" customHeight="false" outlineLevel="0" collapsed="false">
      <c r="A200" s="13" t="str">
        <f aca="false">IF(עזר!L200="","",INDEX(עזר!$A$2:$A$5001,עזר!L200))</f>
        <v/>
      </c>
      <c r="B200" s="13" t="str">
        <f aca="false">IF(עזר!L200="","",INDEX(עזר!$B$2:$B$5001,עזר!L200))</f>
        <v/>
      </c>
      <c r="C200" s="13" t="str">
        <f aca="false">עזר!M200</f>
        <v/>
      </c>
    </row>
    <row r="201" customFormat="false" ht="15" hidden="false" customHeight="false" outlineLevel="0" collapsed="false">
      <c r="A201" s="13" t="str">
        <f aca="false">IF(עזר!L201="","",INDEX(עזר!$A$2:$A$5001,עזר!L201))</f>
        <v/>
      </c>
      <c r="B201" s="13" t="str">
        <f aca="false">IF(עזר!L201="","",INDEX(עזר!$B$2:$B$5001,עזר!L201))</f>
        <v/>
      </c>
      <c r="C201" s="13" t="str">
        <f aca="false">עזר!M201</f>
        <v/>
      </c>
    </row>
    <row r="202" customFormat="false" ht="15" hidden="false" customHeight="false" outlineLevel="0" collapsed="false">
      <c r="A202" s="13" t="str">
        <f aca="false">IF(עזר!L202="","",INDEX(עזר!$A$2:$A$5001,עזר!L202))</f>
        <v/>
      </c>
      <c r="B202" s="13" t="str">
        <f aca="false">IF(עזר!L202="","",INDEX(עזר!$B$2:$B$5001,עזר!L202))</f>
        <v/>
      </c>
      <c r="C202" s="13" t="str">
        <f aca="false">עזר!M202</f>
        <v/>
      </c>
    </row>
    <row r="203" customFormat="false" ht="15" hidden="false" customHeight="false" outlineLevel="0" collapsed="false">
      <c r="A203" s="13" t="str">
        <f aca="false">IF(עזר!L203="","",INDEX(עזר!$A$2:$A$5001,עזר!L203))</f>
        <v/>
      </c>
      <c r="B203" s="13" t="str">
        <f aca="false">IF(עזר!L203="","",INDEX(עזר!$B$2:$B$5001,עזר!L203))</f>
        <v/>
      </c>
      <c r="C203" s="13" t="str">
        <f aca="false">עזר!M203</f>
        <v/>
      </c>
    </row>
    <row r="204" customFormat="false" ht="15" hidden="false" customHeight="false" outlineLevel="0" collapsed="false">
      <c r="A204" s="13" t="str">
        <f aca="false">IF(עזר!L204="","",INDEX(עזר!$A$2:$A$5001,עזר!L204))</f>
        <v/>
      </c>
      <c r="B204" s="13" t="str">
        <f aca="false">IF(עזר!L204="","",INDEX(עזר!$B$2:$B$5001,עזר!L204))</f>
        <v/>
      </c>
      <c r="C204" s="13" t="str">
        <f aca="false">עזר!M204</f>
        <v/>
      </c>
    </row>
    <row r="205" customFormat="false" ht="15" hidden="false" customHeight="false" outlineLevel="0" collapsed="false">
      <c r="A205" s="13" t="str">
        <f aca="false">IF(עזר!L205="","",INDEX(עזר!$A$2:$A$5001,עזר!L205))</f>
        <v/>
      </c>
      <c r="B205" s="13" t="str">
        <f aca="false">IF(עזר!L205="","",INDEX(עזר!$B$2:$B$5001,עזר!L205))</f>
        <v/>
      </c>
      <c r="C205" s="13" t="str">
        <f aca="false">עזר!M205</f>
        <v/>
      </c>
    </row>
    <row r="206" customFormat="false" ht="15" hidden="false" customHeight="false" outlineLevel="0" collapsed="false">
      <c r="A206" s="13" t="str">
        <f aca="false">IF(עזר!L206="","",INDEX(עזר!$A$2:$A$5001,עזר!L206))</f>
        <v/>
      </c>
      <c r="B206" s="13" t="str">
        <f aca="false">IF(עזר!L206="","",INDEX(עזר!$B$2:$B$5001,עזר!L206))</f>
        <v/>
      </c>
      <c r="C206" s="13" t="str">
        <f aca="false">עזר!M206</f>
        <v/>
      </c>
    </row>
    <row r="207" customFormat="false" ht="15" hidden="false" customHeight="false" outlineLevel="0" collapsed="false">
      <c r="A207" s="13" t="str">
        <f aca="false">IF(עזר!L207="","",INDEX(עזר!$A$2:$A$5001,עזר!L207))</f>
        <v/>
      </c>
      <c r="B207" s="13" t="str">
        <f aca="false">IF(עזר!L207="","",INDEX(עזר!$B$2:$B$5001,עזר!L207))</f>
        <v/>
      </c>
      <c r="C207" s="13" t="str">
        <f aca="false">עזר!M207</f>
        <v/>
      </c>
    </row>
    <row r="208" customFormat="false" ht="15" hidden="false" customHeight="false" outlineLevel="0" collapsed="false">
      <c r="A208" s="13" t="str">
        <f aca="false">IF(עזר!L208="","",INDEX(עזר!$A$2:$A$5001,עזר!L208))</f>
        <v/>
      </c>
      <c r="B208" s="13" t="str">
        <f aca="false">IF(עזר!L208="","",INDEX(עזר!$B$2:$B$5001,עזר!L208))</f>
        <v/>
      </c>
      <c r="C208" s="13" t="str">
        <f aca="false">עזר!M208</f>
        <v/>
      </c>
    </row>
    <row r="209" customFormat="false" ht="15" hidden="false" customHeight="false" outlineLevel="0" collapsed="false">
      <c r="A209" s="13" t="str">
        <f aca="false">IF(עזר!L209="","",INDEX(עזר!$A$2:$A$5001,עזר!L209))</f>
        <v/>
      </c>
      <c r="B209" s="13" t="str">
        <f aca="false">IF(עזר!L209="","",INDEX(עזר!$B$2:$B$5001,עזר!L209))</f>
        <v/>
      </c>
      <c r="C209" s="13" t="str">
        <f aca="false">עזר!M209</f>
        <v/>
      </c>
    </row>
    <row r="210" customFormat="false" ht="15" hidden="false" customHeight="false" outlineLevel="0" collapsed="false">
      <c r="A210" s="13" t="str">
        <f aca="false">IF(עזר!L210="","",INDEX(עזר!$A$2:$A$5001,עזר!L210))</f>
        <v/>
      </c>
      <c r="B210" s="13" t="str">
        <f aca="false">IF(עזר!L210="","",INDEX(עזר!$B$2:$B$5001,עזר!L210))</f>
        <v/>
      </c>
      <c r="C210" s="13" t="str">
        <f aca="false">עזר!M210</f>
        <v/>
      </c>
    </row>
    <row r="211" customFormat="false" ht="15" hidden="false" customHeight="false" outlineLevel="0" collapsed="false">
      <c r="A211" s="13" t="str">
        <f aca="false">IF(עזר!L211="","",INDEX(עזר!$A$2:$A$5001,עזר!L211))</f>
        <v/>
      </c>
      <c r="B211" s="13" t="str">
        <f aca="false">IF(עזר!L211="","",INDEX(עזר!$B$2:$B$5001,עזר!L211))</f>
        <v/>
      </c>
      <c r="C211" s="13" t="str">
        <f aca="false">עזר!M211</f>
        <v/>
      </c>
    </row>
    <row r="212" customFormat="false" ht="15" hidden="false" customHeight="false" outlineLevel="0" collapsed="false">
      <c r="A212" s="13" t="str">
        <f aca="false">IF(עזר!L212="","",INDEX(עזר!$A$2:$A$5001,עזר!L212))</f>
        <v/>
      </c>
      <c r="B212" s="13" t="str">
        <f aca="false">IF(עזר!L212="","",INDEX(עזר!$B$2:$B$5001,עזר!L212))</f>
        <v/>
      </c>
      <c r="C212" s="13" t="str">
        <f aca="false">עזר!M212</f>
        <v/>
      </c>
    </row>
    <row r="213" customFormat="false" ht="15" hidden="false" customHeight="false" outlineLevel="0" collapsed="false">
      <c r="A213" s="13" t="str">
        <f aca="false">IF(עזר!L213="","",INDEX(עזר!$A$2:$A$5001,עזר!L213))</f>
        <v/>
      </c>
      <c r="B213" s="13" t="str">
        <f aca="false">IF(עזר!L213="","",INDEX(עזר!$B$2:$B$5001,עזר!L213))</f>
        <v/>
      </c>
      <c r="C213" s="13" t="str">
        <f aca="false">עזר!M213</f>
        <v/>
      </c>
    </row>
    <row r="214" customFormat="false" ht="15" hidden="false" customHeight="false" outlineLevel="0" collapsed="false">
      <c r="A214" s="13" t="str">
        <f aca="false">IF(עזר!L214="","",INDEX(עזר!$A$2:$A$5001,עזר!L214))</f>
        <v/>
      </c>
      <c r="B214" s="13" t="str">
        <f aca="false">IF(עזר!L214="","",INDEX(עזר!$B$2:$B$5001,עזר!L214))</f>
        <v/>
      </c>
      <c r="C214" s="13" t="str">
        <f aca="false">עזר!M214</f>
        <v/>
      </c>
    </row>
    <row r="215" customFormat="false" ht="15" hidden="false" customHeight="false" outlineLevel="0" collapsed="false">
      <c r="A215" s="13" t="str">
        <f aca="false">IF(עזר!L215="","",INDEX(עזר!$A$2:$A$5001,עזר!L215))</f>
        <v/>
      </c>
      <c r="B215" s="13" t="str">
        <f aca="false">IF(עזר!L215="","",INDEX(עזר!$B$2:$B$5001,עזר!L215))</f>
        <v/>
      </c>
      <c r="C215" s="13" t="str">
        <f aca="false">עזר!M215</f>
        <v/>
      </c>
    </row>
    <row r="216" customFormat="false" ht="15" hidden="false" customHeight="false" outlineLevel="0" collapsed="false">
      <c r="A216" s="13" t="str">
        <f aca="false">IF(עזר!L216="","",INDEX(עזר!$A$2:$A$5001,עזר!L216))</f>
        <v/>
      </c>
      <c r="B216" s="13" t="str">
        <f aca="false">IF(עזר!L216="","",INDEX(עזר!$B$2:$B$5001,עזר!L216))</f>
        <v/>
      </c>
      <c r="C216" s="13" t="str">
        <f aca="false">עזר!M216</f>
        <v/>
      </c>
    </row>
    <row r="217" customFormat="false" ht="15" hidden="false" customHeight="false" outlineLevel="0" collapsed="false">
      <c r="A217" s="13" t="str">
        <f aca="false">IF(עזר!L217="","",INDEX(עזר!$A$2:$A$5001,עזר!L217))</f>
        <v/>
      </c>
      <c r="B217" s="13" t="str">
        <f aca="false">IF(עזר!L217="","",INDEX(עזר!$B$2:$B$5001,עזר!L217))</f>
        <v/>
      </c>
      <c r="C217" s="13" t="str">
        <f aca="false">עזר!M217</f>
        <v/>
      </c>
    </row>
    <row r="218" customFormat="false" ht="15" hidden="false" customHeight="false" outlineLevel="0" collapsed="false">
      <c r="A218" s="13" t="str">
        <f aca="false">IF(עזר!L218="","",INDEX(עזר!$A$2:$A$5001,עזר!L218))</f>
        <v/>
      </c>
      <c r="B218" s="13" t="str">
        <f aca="false">IF(עזר!L218="","",INDEX(עזר!$B$2:$B$5001,עזר!L218))</f>
        <v/>
      </c>
      <c r="C218" s="13" t="str">
        <f aca="false">עזר!M218</f>
        <v/>
      </c>
    </row>
    <row r="219" customFormat="false" ht="15" hidden="false" customHeight="false" outlineLevel="0" collapsed="false">
      <c r="A219" s="13" t="str">
        <f aca="false">IF(עזר!L219="","",INDEX(עזר!$A$2:$A$5001,עזר!L219))</f>
        <v/>
      </c>
      <c r="B219" s="13" t="str">
        <f aca="false">IF(עזר!L219="","",INDEX(עזר!$B$2:$B$5001,עזר!L219))</f>
        <v/>
      </c>
      <c r="C219" s="13" t="str">
        <f aca="false">עזר!M219</f>
        <v/>
      </c>
    </row>
    <row r="220" customFormat="false" ht="15" hidden="false" customHeight="false" outlineLevel="0" collapsed="false">
      <c r="A220" s="13" t="str">
        <f aca="false">IF(עזר!L220="","",INDEX(עזר!$A$2:$A$5001,עזר!L220))</f>
        <v/>
      </c>
      <c r="B220" s="13" t="str">
        <f aca="false">IF(עזר!L220="","",INDEX(עזר!$B$2:$B$5001,עזר!L220))</f>
        <v/>
      </c>
      <c r="C220" s="13" t="str">
        <f aca="false">עזר!M220</f>
        <v/>
      </c>
    </row>
    <row r="221" customFormat="false" ht="15" hidden="false" customHeight="false" outlineLevel="0" collapsed="false">
      <c r="A221" s="13" t="str">
        <f aca="false">IF(עזר!L221="","",INDEX(עזר!$A$2:$A$5001,עזר!L221))</f>
        <v/>
      </c>
      <c r="B221" s="13" t="str">
        <f aca="false">IF(עזר!L221="","",INDEX(עזר!$B$2:$B$5001,עזר!L221))</f>
        <v/>
      </c>
      <c r="C221" s="13" t="str">
        <f aca="false">עזר!M221</f>
        <v/>
      </c>
    </row>
    <row r="222" customFormat="false" ht="15" hidden="false" customHeight="false" outlineLevel="0" collapsed="false">
      <c r="A222" s="13" t="str">
        <f aca="false">IF(עזר!L222="","",INDEX(עזר!$A$2:$A$5001,עזר!L222))</f>
        <v/>
      </c>
      <c r="B222" s="13" t="str">
        <f aca="false">IF(עזר!L222="","",INDEX(עזר!$B$2:$B$5001,עזר!L222))</f>
        <v/>
      </c>
      <c r="C222" s="13" t="str">
        <f aca="false">עזר!M222</f>
        <v/>
      </c>
    </row>
    <row r="223" customFormat="false" ht="15" hidden="false" customHeight="false" outlineLevel="0" collapsed="false">
      <c r="A223" s="13" t="str">
        <f aca="false">IF(עזר!L223="","",INDEX(עזר!$A$2:$A$5001,עזר!L223))</f>
        <v/>
      </c>
      <c r="B223" s="13" t="str">
        <f aca="false">IF(עזר!L223="","",INDEX(עזר!$B$2:$B$5001,עזר!L223))</f>
        <v/>
      </c>
      <c r="C223" s="13" t="str">
        <f aca="false">עזר!M223</f>
        <v/>
      </c>
    </row>
    <row r="224" customFormat="false" ht="15" hidden="false" customHeight="false" outlineLevel="0" collapsed="false">
      <c r="A224" s="13" t="str">
        <f aca="false">IF(עזר!L224="","",INDEX(עזר!$A$2:$A$5001,עזר!L224))</f>
        <v/>
      </c>
      <c r="B224" s="13" t="str">
        <f aca="false">IF(עזר!L224="","",INDEX(עזר!$B$2:$B$5001,עזר!L224))</f>
        <v/>
      </c>
      <c r="C224" s="13" t="str">
        <f aca="false">עזר!M224</f>
        <v/>
      </c>
    </row>
    <row r="225" customFormat="false" ht="15" hidden="false" customHeight="false" outlineLevel="0" collapsed="false">
      <c r="A225" s="13" t="str">
        <f aca="false">IF(עזר!L225="","",INDEX(עזר!$A$2:$A$5001,עזר!L225))</f>
        <v/>
      </c>
      <c r="B225" s="13" t="str">
        <f aca="false">IF(עזר!L225="","",INDEX(עזר!$B$2:$B$5001,עזר!L225))</f>
        <v/>
      </c>
      <c r="C225" s="13" t="str">
        <f aca="false">עזר!M225</f>
        <v/>
      </c>
    </row>
    <row r="226" customFormat="false" ht="15" hidden="false" customHeight="false" outlineLevel="0" collapsed="false">
      <c r="A226" s="13" t="str">
        <f aca="false">IF(עזר!L226="","",INDEX(עזר!$A$2:$A$5001,עזר!L226))</f>
        <v/>
      </c>
      <c r="B226" s="13" t="str">
        <f aca="false">IF(עזר!L226="","",INDEX(עזר!$B$2:$B$5001,עזר!L226))</f>
        <v/>
      </c>
      <c r="C226" s="13" t="str">
        <f aca="false">עזר!M226</f>
        <v/>
      </c>
    </row>
    <row r="227" customFormat="false" ht="15" hidden="false" customHeight="false" outlineLevel="0" collapsed="false">
      <c r="A227" s="13" t="str">
        <f aca="false">IF(עזר!L227="","",INDEX(עזר!$A$2:$A$5001,עזר!L227))</f>
        <v/>
      </c>
      <c r="B227" s="13" t="str">
        <f aca="false">IF(עזר!L227="","",INDEX(עזר!$B$2:$B$5001,עזר!L227))</f>
        <v/>
      </c>
      <c r="C227" s="13" t="str">
        <f aca="false">עזר!M227</f>
        <v/>
      </c>
    </row>
    <row r="228" customFormat="false" ht="15" hidden="false" customHeight="false" outlineLevel="0" collapsed="false">
      <c r="A228" s="13" t="str">
        <f aca="false">IF(עזר!L228="","",INDEX(עזר!$A$2:$A$5001,עזר!L228))</f>
        <v/>
      </c>
      <c r="B228" s="13" t="str">
        <f aca="false">IF(עזר!L228="","",INDEX(עזר!$B$2:$B$5001,עזר!L228))</f>
        <v/>
      </c>
      <c r="C228" s="13" t="str">
        <f aca="false">עזר!M228</f>
        <v/>
      </c>
    </row>
    <row r="229" customFormat="false" ht="15" hidden="false" customHeight="false" outlineLevel="0" collapsed="false">
      <c r="A229" s="13" t="str">
        <f aca="false">IF(עזר!L229="","",INDEX(עזר!$A$2:$A$5001,עזר!L229))</f>
        <v/>
      </c>
      <c r="B229" s="13" t="str">
        <f aca="false">IF(עזר!L229="","",INDEX(עזר!$B$2:$B$5001,עזר!L229))</f>
        <v/>
      </c>
      <c r="C229" s="13" t="str">
        <f aca="false">עזר!M229</f>
        <v/>
      </c>
    </row>
    <row r="230" customFormat="false" ht="15" hidden="false" customHeight="false" outlineLevel="0" collapsed="false">
      <c r="A230" s="13" t="str">
        <f aca="false">IF(עזר!L230="","",INDEX(עזר!$A$2:$A$5001,עזר!L230))</f>
        <v/>
      </c>
      <c r="B230" s="13" t="str">
        <f aca="false">IF(עזר!L230="","",INDEX(עזר!$B$2:$B$5001,עזר!L230))</f>
        <v/>
      </c>
      <c r="C230" s="13" t="str">
        <f aca="false">עזר!M230</f>
        <v/>
      </c>
    </row>
    <row r="231" customFormat="false" ht="15" hidden="false" customHeight="false" outlineLevel="0" collapsed="false">
      <c r="A231" s="13" t="str">
        <f aca="false">IF(עזר!L231="","",INDEX(עזר!$A$2:$A$5001,עזר!L231))</f>
        <v/>
      </c>
      <c r="B231" s="13" t="str">
        <f aca="false">IF(עזר!L231="","",INDEX(עזר!$B$2:$B$5001,עזר!L231))</f>
        <v/>
      </c>
      <c r="C231" s="13" t="str">
        <f aca="false">עזר!M231</f>
        <v/>
      </c>
    </row>
    <row r="232" customFormat="false" ht="15" hidden="false" customHeight="false" outlineLevel="0" collapsed="false">
      <c r="A232" s="13" t="str">
        <f aca="false">IF(עזר!L232="","",INDEX(עזר!$A$2:$A$5001,עזר!L232))</f>
        <v/>
      </c>
      <c r="B232" s="13" t="str">
        <f aca="false">IF(עזר!L232="","",INDEX(עזר!$B$2:$B$5001,עזר!L232))</f>
        <v/>
      </c>
      <c r="C232" s="13" t="str">
        <f aca="false">עזר!M232</f>
        <v/>
      </c>
    </row>
    <row r="233" customFormat="false" ht="15" hidden="false" customHeight="false" outlineLevel="0" collapsed="false">
      <c r="A233" s="13" t="str">
        <f aca="false">IF(עזר!L233="","",INDEX(עזר!$A$2:$A$5001,עזר!L233))</f>
        <v/>
      </c>
      <c r="B233" s="13" t="str">
        <f aca="false">IF(עזר!L233="","",INDEX(עזר!$B$2:$B$5001,עזר!L233))</f>
        <v/>
      </c>
      <c r="C233" s="13" t="str">
        <f aca="false">עזר!M233</f>
        <v/>
      </c>
    </row>
    <row r="234" customFormat="false" ht="15" hidden="false" customHeight="false" outlineLevel="0" collapsed="false">
      <c r="A234" s="13" t="str">
        <f aca="false">IF(עזר!L234="","",INDEX(עזר!$A$2:$A$5001,עזר!L234))</f>
        <v/>
      </c>
      <c r="B234" s="13" t="str">
        <f aca="false">IF(עזר!L234="","",INDEX(עזר!$B$2:$B$5001,עזר!L234))</f>
        <v/>
      </c>
      <c r="C234" s="13" t="str">
        <f aca="false">עזר!M234</f>
        <v/>
      </c>
    </row>
    <row r="235" customFormat="false" ht="15" hidden="false" customHeight="false" outlineLevel="0" collapsed="false">
      <c r="A235" s="13" t="str">
        <f aca="false">IF(עזר!L235="","",INDEX(עזר!$A$2:$A$5001,עזר!L235))</f>
        <v/>
      </c>
      <c r="B235" s="13" t="str">
        <f aca="false">IF(עזר!L235="","",INDEX(עזר!$B$2:$B$5001,עזר!L235))</f>
        <v/>
      </c>
      <c r="C235" s="13" t="str">
        <f aca="false">עזר!M235</f>
        <v/>
      </c>
    </row>
    <row r="236" customFormat="false" ht="15" hidden="false" customHeight="false" outlineLevel="0" collapsed="false">
      <c r="A236" s="13" t="str">
        <f aca="false">IF(עזר!L236="","",INDEX(עזר!$A$2:$A$5001,עזר!L236))</f>
        <v/>
      </c>
      <c r="B236" s="13" t="str">
        <f aca="false">IF(עזר!L236="","",INDEX(עזר!$B$2:$B$5001,עזר!L236))</f>
        <v/>
      </c>
      <c r="C236" s="13" t="str">
        <f aca="false">עזר!M236</f>
        <v/>
      </c>
    </row>
    <row r="237" customFormat="false" ht="15" hidden="false" customHeight="false" outlineLevel="0" collapsed="false">
      <c r="A237" s="13" t="str">
        <f aca="false">IF(עזר!L237="","",INDEX(עזר!$A$2:$A$5001,עזר!L237))</f>
        <v/>
      </c>
      <c r="B237" s="13" t="str">
        <f aca="false">IF(עזר!L237="","",INDEX(עזר!$B$2:$B$5001,עזר!L237))</f>
        <v/>
      </c>
      <c r="C237" s="13" t="str">
        <f aca="false">עזר!M237</f>
        <v/>
      </c>
    </row>
    <row r="238" customFormat="false" ht="15" hidden="false" customHeight="false" outlineLevel="0" collapsed="false">
      <c r="A238" s="13" t="str">
        <f aca="false">IF(עזר!L238="","",INDEX(עזר!$A$2:$A$5001,עזר!L238))</f>
        <v/>
      </c>
      <c r="B238" s="13" t="str">
        <f aca="false">IF(עזר!L238="","",INDEX(עזר!$B$2:$B$5001,עזר!L238))</f>
        <v/>
      </c>
      <c r="C238" s="13" t="str">
        <f aca="false">עזר!M238</f>
        <v/>
      </c>
    </row>
    <row r="239" customFormat="false" ht="15" hidden="false" customHeight="false" outlineLevel="0" collapsed="false">
      <c r="A239" s="13" t="str">
        <f aca="false">IF(עזר!L239="","",INDEX(עזר!$A$2:$A$5001,עזר!L239))</f>
        <v/>
      </c>
      <c r="B239" s="13" t="str">
        <f aca="false">IF(עזר!L239="","",INDEX(עזר!$B$2:$B$5001,עזר!L239))</f>
        <v/>
      </c>
      <c r="C239" s="13" t="str">
        <f aca="false">עזר!M239</f>
        <v/>
      </c>
    </row>
    <row r="240" customFormat="false" ht="15" hidden="false" customHeight="false" outlineLevel="0" collapsed="false">
      <c r="A240" s="13" t="str">
        <f aca="false">IF(עזר!L240="","",INDEX(עזר!$A$2:$A$5001,עזר!L240))</f>
        <v/>
      </c>
      <c r="B240" s="13" t="str">
        <f aca="false">IF(עזר!L240="","",INDEX(עזר!$B$2:$B$5001,עזר!L240))</f>
        <v/>
      </c>
      <c r="C240" s="13" t="str">
        <f aca="false">עזר!M240</f>
        <v/>
      </c>
    </row>
    <row r="241" customFormat="false" ht="15" hidden="false" customHeight="false" outlineLevel="0" collapsed="false">
      <c r="A241" s="13" t="str">
        <f aca="false">IF(עזר!L241="","",INDEX(עזר!$A$2:$A$5001,עזר!L241))</f>
        <v/>
      </c>
      <c r="B241" s="13" t="str">
        <f aca="false">IF(עזר!L241="","",INDEX(עזר!$B$2:$B$5001,עזר!L241))</f>
        <v/>
      </c>
      <c r="C241" s="13" t="str">
        <f aca="false">עזר!M241</f>
        <v/>
      </c>
    </row>
    <row r="242" customFormat="false" ht="15" hidden="false" customHeight="false" outlineLevel="0" collapsed="false">
      <c r="A242" s="13" t="str">
        <f aca="false">IF(עזר!L242="","",INDEX(עזר!$A$2:$A$5001,עזר!L242))</f>
        <v/>
      </c>
      <c r="B242" s="13" t="str">
        <f aca="false">IF(עזר!L242="","",INDEX(עזר!$B$2:$B$5001,עזר!L242))</f>
        <v/>
      </c>
      <c r="C242" s="13" t="str">
        <f aca="false">עזר!M242</f>
        <v/>
      </c>
    </row>
    <row r="243" customFormat="false" ht="15" hidden="false" customHeight="false" outlineLevel="0" collapsed="false">
      <c r="A243" s="13" t="str">
        <f aca="false">IF(עזר!L243="","",INDEX(עזר!$A$2:$A$5001,עזר!L243))</f>
        <v/>
      </c>
      <c r="B243" s="13" t="str">
        <f aca="false">IF(עזר!L243="","",INDEX(עזר!$B$2:$B$5001,עזר!L243))</f>
        <v/>
      </c>
      <c r="C243" s="13" t="str">
        <f aca="false">עזר!M243</f>
        <v/>
      </c>
    </row>
    <row r="244" customFormat="false" ht="15" hidden="false" customHeight="false" outlineLevel="0" collapsed="false">
      <c r="A244" s="13" t="str">
        <f aca="false">IF(עזר!L244="","",INDEX(עזר!$A$2:$A$5001,עזר!L244))</f>
        <v/>
      </c>
      <c r="B244" s="13" t="str">
        <f aca="false">IF(עזר!L244="","",INDEX(עזר!$B$2:$B$5001,עזר!L244))</f>
        <v/>
      </c>
      <c r="C244" s="13" t="str">
        <f aca="false">עזר!M244</f>
        <v/>
      </c>
    </row>
    <row r="245" customFormat="false" ht="15" hidden="false" customHeight="false" outlineLevel="0" collapsed="false">
      <c r="A245" s="13" t="str">
        <f aca="false">IF(עזר!L245="","",INDEX(עזר!$A$2:$A$5001,עזר!L245))</f>
        <v/>
      </c>
      <c r="B245" s="13" t="str">
        <f aca="false">IF(עזר!L245="","",INDEX(עזר!$B$2:$B$5001,עזר!L245))</f>
        <v/>
      </c>
      <c r="C245" s="13" t="str">
        <f aca="false">עזר!M245</f>
        <v/>
      </c>
    </row>
    <row r="246" customFormat="false" ht="15" hidden="false" customHeight="false" outlineLevel="0" collapsed="false">
      <c r="A246" s="13" t="str">
        <f aca="false">IF(עזר!L246="","",INDEX(עזר!$A$2:$A$5001,עזר!L246))</f>
        <v/>
      </c>
      <c r="B246" s="13" t="str">
        <f aca="false">IF(עזר!L246="","",INDEX(עזר!$B$2:$B$5001,עזר!L246))</f>
        <v/>
      </c>
      <c r="C246" s="13" t="str">
        <f aca="false">עזר!M246</f>
        <v/>
      </c>
    </row>
    <row r="247" customFormat="false" ht="15" hidden="false" customHeight="false" outlineLevel="0" collapsed="false">
      <c r="A247" s="13" t="str">
        <f aca="false">IF(עזר!L247="","",INDEX(עזר!$A$2:$A$5001,עזר!L247))</f>
        <v/>
      </c>
      <c r="B247" s="13" t="str">
        <f aca="false">IF(עזר!L247="","",INDEX(עזר!$B$2:$B$5001,עזר!L247))</f>
        <v/>
      </c>
      <c r="C247" s="13" t="str">
        <f aca="false">עזר!M247</f>
        <v/>
      </c>
    </row>
    <row r="248" customFormat="false" ht="15" hidden="false" customHeight="false" outlineLevel="0" collapsed="false">
      <c r="A248" s="13" t="str">
        <f aca="false">IF(עזר!L248="","",INDEX(עזר!$A$2:$A$5001,עזר!L248))</f>
        <v/>
      </c>
      <c r="B248" s="13" t="str">
        <f aca="false">IF(עזר!L248="","",INDEX(עזר!$B$2:$B$5001,עזר!L248))</f>
        <v/>
      </c>
      <c r="C248" s="13" t="str">
        <f aca="false">עזר!M248</f>
        <v/>
      </c>
    </row>
    <row r="249" customFormat="false" ht="15" hidden="false" customHeight="false" outlineLevel="0" collapsed="false">
      <c r="A249" s="13" t="str">
        <f aca="false">IF(עזר!L249="","",INDEX(עזר!$A$2:$A$5001,עזר!L249))</f>
        <v/>
      </c>
      <c r="B249" s="13" t="str">
        <f aca="false">IF(עזר!L249="","",INDEX(עזר!$B$2:$B$5001,עזר!L249))</f>
        <v/>
      </c>
      <c r="C249" s="13" t="str">
        <f aca="false">עזר!M249</f>
        <v/>
      </c>
    </row>
    <row r="250" customFormat="false" ht="15" hidden="false" customHeight="false" outlineLevel="0" collapsed="false">
      <c r="A250" s="13" t="str">
        <f aca="false">IF(עזר!L250="","",INDEX(עזר!$A$2:$A$5001,עזר!L250))</f>
        <v/>
      </c>
      <c r="B250" s="13" t="str">
        <f aca="false">IF(עזר!L250="","",INDEX(עזר!$B$2:$B$5001,עזר!L250))</f>
        <v/>
      </c>
      <c r="C250" s="13" t="str">
        <f aca="false">עזר!M250</f>
        <v/>
      </c>
    </row>
    <row r="251" customFormat="false" ht="15" hidden="false" customHeight="false" outlineLevel="0" collapsed="false">
      <c r="A251" s="13" t="str">
        <f aca="false">IF(עזר!L251="","",INDEX(עזר!$A$2:$A$5001,עזר!L251))</f>
        <v/>
      </c>
      <c r="B251" s="13" t="str">
        <f aca="false">IF(עזר!L251="","",INDEX(עזר!$B$2:$B$5001,עזר!L251))</f>
        <v/>
      </c>
      <c r="C251" s="13" t="str">
        <f aca="false">עזר!M251</f>
        <v/>
      </c>
    </row>
    <row r="252" customFormat="false" ht="15" hidden="false" customHeight="false" outlineLevel="0" collapsed="false">
      <c r="A252" s="13" t="str">
        <f aca="false">IF(עזר!L252="","",INDEX(עזר!$A$2:$A$5001,עזר!L252))</f>
        <v/>
      </c>
      <c r="B252" s="13" t="str">
        <f aca="false">IF(עזר!L252="","",INDEX(עזר!$B$2:$B$5001,עזר!L252))</f>
        <v/>
      </c>
      <c r="C252" s="13" t="str">
        <f aca="false">עזר!M252</f>
        <v/>
      </c>
    </row>
    <row r="253" customFormat="false" ht="15" hidden="false" customHeight="false" outlineLevel="0" collapsed="false">
      <c r="A253" s="13" t="str">
        <f aca="false">IF(עזר!L253="","",INDEX(עזר!$A$2:$A$5001,עזר!L253))</f>
        <v/>
      </c>
      <c r="B253" s="13" t="str">
        <f aca="false">IF(עזר!L253="","",INDEX(עזר!$B$2:$B$5001,עזר!L253))</f>
        <v/>
      </c>
      <c r="C253" s="13" t="str">
        <f aca="false">עזר!M253</f>
        <v/>
      </c>
    </row>
    <row r="254" customFormat="false" ht="15" hidden="false" customHeight="false" outlineLevel="0" collapsed="false">
      <c r="A254" s="13" t="str">
        <f aca="false">IF(עזר!L254="","",INDEX(עזר!$A$2:$A$5001,עזר!L254))</f>
        <v/>
      </c>
      <c r="B254" s="13" t="str">
        <f aca="false">IF(עזר!L254="","",INDEX(עזר!$B$2:$B$5001,עזר!L254))</f>
        <v/>
      </c>
      <c r="C254" s="13" t="str">
        <f aca="false">עזר!M254</f>
        <v/>
      </c>
    </row>
    <row r="255" customFormat="false" ht="15" hidden="false" customHeight="false" outlineLevel="0" collapsed="false">
      <c r="A255" s="13" t="str">
        <f aca="false">IF(עזר!L255="","",INDEX(עזר!$A$2:$A$5001,עזר!L255))</f>
        <v/>
      </c>
      <c r="B255" s="13" t="str">
        <f aca="false">IF(עזר!L255="","",INDEX(עזר!$B$2:$B$5001,עזר!L255))</f>
        <v/>
      </c>
      <c r="C255" s="13" t="str">
        <f aca="false">עזר!M255</f>
        <v/>
      </c>
    </row>
    <row r="256" customFormat="false" ht="15" hidden="false" customHeight="false" outlineLevel="0" collapsed="false">
      <c r="A256" s="13" t="str">
        <f aca="false">IF(עזר!L256="","",INDEX(עזר!$A$2:$A$5001,עזר!L256))</f>
        <v/>
      </c>
      <c r="B256" s="13" t="str">
        <f aca="false">IF(עזר!L256="","",INDEX(עזר!$B$2:$B$5001,עזר!L256))</f>
        <v/>
      </c>
      <c r="C256" s="13" t="str">
        <f aca="false">עזר!M256</f>
        <v/>
      </c>
    </row>
    <row r="257" customFormat="false" ht="15" hidden="false" customHeight="false" outlineLevel="0" collapsed="false">
      <c r="A257" s="13" t="str">
        <f aca="false">IF(עזר!L257="","",INDEX(עזר!$A$2:$A$5001,עזר!L257))</f>
        <v/>
      </c>
      <c r="B257" s="13" t="str">
        <f aca="false">IF(עזר!L257="","",INDEX(עזר!$B$2:$B$5001,עזר!L257))</f>
        <v/>
      </c>
      <c r="C257" s="13" t="str">
        <f aca="false">עזר!M257</f>
        <v/>
      </c>
    </row>
    <row r="258" customFormat="false" ht="15" hidden="false" customHeight="false" outlineLevel="0" collapsed="false">
      <c r="A258" s="13" t="str">
        <f aca="false">IF(עזר!L258="","",INDEX(עזר!$A$2:$A$5001,עזר!L258))</f>
        <v/>
      </c>
      <c r="B258" s="13" t="str">
        <f aca="false">IF(עזר!L258="","",INDEX(עזר!$B$2:$B$5001,עזר!L258))</f>
        <v/>
      </c>
      <c r="C258" s="13" t="str">
        <f aca="false">עזר!M258</f>
        <v/>
      </c>
    </row>
    <row r="259" customFormat="false" ht="15" hidden="false" customHeight="false" outlineLevel="0" collapsed="false">
      <c r="A259" s="13" t="str">
        <f aca="false">IF(עזר!L259="","",INDEX(עזר!$A$2:$A$5001,עזר!L259))</f>
        <v/>
      </c>
      <c r="B259" s="13" t="str">
        <f aca="false">IF(עזר!L259="","",INDEX(עזר!$B$2:$B$5001,עזר!L259))</f>
        <v/>
      </c>
      <c r="C259" s="13" t="str">
        <f aca="false">עזר!M259</f>
        <v/>
      </c>
    </row>
    <row r="260" customFormat="false" ht="15" hidden="false" customHeight="false" outlineLevel="0" collapsed="false">
      <c r="A260" s="13" t="str">
        <f aca="false">IF(עזר!L260="","",INDEX(עזר!$A$2:$A$5001,עזר!L260))</f>
        <v/>
      </c>
      <c r="B260" s="13" t="str">
        <f aca="false">IF(עזר!L260="","",INDEX(עזר!$B$2:$B$5001,עזר!L260))</f>
        <v/>
      </c>
      <c r="C260" s="13" t="str">
        <f aca="false">עזר!M260</f>
        <v/>
      </c>
    </row>
    <row r="261" customFormat="false" ht="15" hidden="false" customHeight="false" outlineLevel="0" collapsed="false">
      <c r="A261" s="13" t="str">
        <f aca="false">IF(עזר!L261="","",INDEX(עזר!$A$2:$A$5001,עזר!L261))</f>
        <v/>
      </c>
      <c r="B261" s="13" t="str">
        <f aca="false">IF(עזר!L261="","",INDEX(עזר!$B$2:$B$5001,עזר!L261))</f>
        <v/>
      </c>
      <c r="C261" s="13" t="str">
        <f aca="false">עזר!M261</f>
        <v/>
      </c>
    </row>
    <row r="262" customFormat="false" ht="15" hidden="false" customHeight="false" outlineLevel="0" collapsed="false">
      <c r="A262" s="13" t="str">
        <f aca="false">IF(עזר!L262="","",INDEX(עזר!$A$2:$A$5001,עזר!L262))</f>
        <v/>
      </c>
      <c r="B262" s="13" t="str">
        <f aca="false">IF(עזר!L262="","",INDEX(עזר!$B$2:$B$5001,עזר!L262))</f>
        <v/>
      </c>
      <c r="C262" s="13" t="str">
        <f aca="false">עזר!M262</f>
        <v/>
      </c>
    </row>
    <row r="263" customFormat="false" ht="15" hidden="false" customHeight="false" outlineLevel="0" collapsed="false">
      <c r="A263" s="13" t="str">
        <f aca="false">IF(עזר!L263="","",INDEX(עזר!$A$2:$A$5001,עזר!L263))</f>
        <v/>
      </c>
      <c r="B263" s="13" t="str">
        <f aca="false">IF(עזר!L263="","",INDEX(עזר!$B$2:$B$5001,עזר!L263))</f>
        <v/>
      </c>
      <c r="C263" s="13" t="str">
        <f aca="false">עזר!M263</f>
        <v/>
      </c>
    </row>
    <row r="264" customFormat="false" ht="15" hidden="false" customHeight="false" outlineLevel="0" collapsed="false">
      <c r="A264" s="13" t="str">
        <f aca="false">IF(עזר!L264="","",INDEX(עזר!$A$2:$A$5001,עזר!L264))</f>
        <v/>
      </c>
      <c r="B264" s="13" t="str">
        <f aca="false">IF(עזר!L264="","",INDEX(עזר!$B$2:$B$5001,עזר!L264))</f>
        <v/>
      </c>
      <c r="C264" s="13" t="str">
        <f aca="false">עזר!M264</f>
        <v/>
      </c>
    </row>
    <row r="265" customFormat="false" ht="15" hidden="false" customHeight="false" outlineLevel="0" collapsed="false">
      <c r="A265" s="13" t="str">
        <f aca="false">IF(עזר!L265="","",INDEX(עזר!$A$2:$A$5001,עזר!L265))</f>
        <v/>
      </c>
      <c r="B265" s="13" t="str">
        <f aca="false">IF(עזר!L265="","",INDEX(עזר!$B$2:$B$5001,עזר!L265))</f>
        <v/>
      </c>
      <c r="C265" s="13" t="str">
        <f aca="false">עזר!M265</f>
        <v/>
      </c>
    </row>
    <row r="266" customFormat="false" ht="15" hidden="false" customHeight="false" outlineLevel="0" collapsed="false">
      <c r="A266" s="13" t="str">
        <f aca="false">IF(עזר!L266="","",INDEX(עזר!$A$2:$A$5001,עזר!L266))</f>
        <v/>
      </c>
      <c r="B266" s="13" t="str">
        <f aca="false">IF(עזר!L266="","",INDEX(עזר!$B$2:$B$5001,עזר!L266))</f>
        <v/>
      </c>
      <c r="C266" s="13" t="str">
        <f aca="false">עזר!M266</f>
        <v/>
      </c>
    </row>
    <row r="267" customFormat="false" ht="15" hidden="false" customHeight="false" outlineLevel="0" collapsed="false">
      <c r="A267" s="13" t="str">
        <f aca="false">IF(עזר!L267="","",INDEX(עזר!$A$2:$A$5001,עזר!L267))</f>
        <v/>
      </c>
      <c r="B267" s="13" t="str">
        <f aca="false">IF(עזר!L267="","",INDEX(עזר!$B$2:$B$5001,עזר!L267))</f>
        <v/>
      </c>
      <c r="C267" s="13" t="str">
        <f aca="false">עזר!M267</f>
        <v/>
      </c>
    </row>
    <row r="268" customFormat="false" ht="15" hidden="false" customHeight="false" outlineLevel="0" collapsed="false">
      <c r="A268" s="13" t="str">
        <f aca="false">IF(עזר!L268="","",INDEX(עזר!$A$2:$A$5001,עזר!L268))</f>
        <v/>
      </c>
      <c r="B268" s="13" t="str">
        <f aca="false">IF(עזר!L268="","",INDEX(עזר!$B$2:$B$5001,עזר!L268))</f>
        <v/>
      </c>
      <c r="C268" s="13" t="str">
        <f aca="false">עזר!M268</f>
        <v/>
      </c>
    </row>
    <row r="269" customFormat="false" ht="15" hidden="false" customHeight="false" outlineLevel="0" collapsed="false">
      <c r="A269" s="13" t="str">
        <f aca="false">IF(עזר!L269="","",INDEX(עזר!$A$2:$A$5001,עזר!L269))</f>
        <v/>
      </c>
      <c r="B269" s="13" t="str">
        <f aca="false">IF(עזר!L269="","",INDEX(עזר!$B$2:$B$5001,עזר!L269))</f>
        <v/>
      </c>
      <c r="C269" s="13" t="str">
        <f aca="false">עזר!M269</f>
        <v/>
      </c>
    </row>
    <row r="270" customFormat="false" ht="15" hidden="false" customHeight="false" outlineLevel="0" collapsed="false">
      <c r="A270" s="13" t="str">
        <f aca="false">IF(עזר!L270="","",INDEX(עזר!$A$2:$A$5001,עזר!L270))</f>
        <v/>
      </c>
      <c r="B270" s="13" t="str">
        <f aca="false">IF(עזר!L270="","",INDEX(עזר!$B$2:$B$5001,עזר!L270))</f>
        <v/>
      </c>
      <c r="C270" s="13" t="str">
        <f aca="false">עזר!M270</f>
        <v/>
      </c>
    </row>
    <row r="271" customFormat="false" ht="15" hidden="false" customHeight="false" outlineLevel="0" collapsed="false">
      <c r="A271" s="13" t="str">
        <f aca="false">IF(עזר!L271="","",INDEX(עזר!$A$2:$A$5001,עזר!L271))</f>
        <v/>
      </c>
      <c r="B271" s="13" t="str">
        <f aca="false">IF(עזר!L271="","",INDEX(עזר!$B$2:$B$5001,עזר!L271))</f>
        <v/>
      </c>
      <c r="C271" s="13" t="str">
        <f aca="false">עזר!M271</f>
        <v/>
      </c>
    </row>
    <row r="272" customFormat="false" ht="15" hidden="false" customHeight="false" outlineLevel="0" collapsed="false">
      <c r="A272" s="13" t="str">
        <f aca="false">IF(עזר!L272="","",INDEX(עזר!$A$2:$A$5001,עזר!L272))</f>
        <v/>
      </c>
      <c r="B272" s="13" t="str">
        <f aca="false">IF(עזר!L272="","",INDEX(עזר!$B$2:$B$5001,עזר!L272))</f>
        <v/>
      </c>
      <c r="C272" s="13" t="str">
        <f aca="false">עזר!M272</f>
        <v/>
      </c>
    </row>
    <row r="273" customFormat="false" ht="15" hidden="false" customHeight="false" outlineLevel="0" collapsed="false">
      <c r="A273" s="13" t="str">
        <f aca="false">IF(עזר!L273="","",INDEX(עזר!$A$2:$A$5001,עזר!L273))</f>
        <v/>
      </c>
      <c r="B273" s="13" t="str">
        <f aca="false">IF(עזר!L273="","",INDEX(עזר!$B$2:$B$5001,עזר!L273))</f>
        <v/>
      </c>
      <c r="C273" s="13" t="str">
        <f aca="false">עזר!M273</f>
        <v/>
      </c>
    </row>
    <row r="274" customFormat="false" ht="15" hidden="false" customHeight="false" outlineLevel="0" collapsed="false">
      <c r="A274" s="13" t="str">
        <f aca="false">IF(עזר!L274="","",INDEX(עזר!$A$2:$A$5001,עזר!L274))</f>
        <v/>
      </c>
      <c r="B274" s="13" t="str">
        <f aca="false">IF(עזר!L274="","",INDEX(עזר!$B$2:$B$5001,עזר!L274))</f>
        <v/>
      </c>
      <c r="C274" s="13" t="str">
        <f aca="false">עזר!M274</f>
        <v/>
      </c>
    </row>
    <row r="275" customFormat="false" ht="15" hidden="false" customHeight="false" outlineLevel="0" collapsed="false">
      <c r="A275" s="13" t="str">
        <f aca="false">IF(עזר!L275="","",INDEX(עזר!$A$2:$A$5001,עזר!L275))</f>
        <v/>
      </c>
      <c r="B275" s="13" t="str">
        <f aca="false">IF(עזר!L275="","",INDEX(עזר!$B$2:$B$5001,עזר!L275))</f>
        <v/>
      </c>
      <c r="C275" s="13" t="str">
        <f aca="false">עזר!M275</f>
        <v/>
      </c>
    </row>
    <row r="276" customFormat="false" ht="15" hidden="false" customHeight="false" outlineLevel="0" collapsed="false">
      <c r="A276" s="13" t="str">
        <f aca="false">IF(עזר!L276="","",INDEX(עזר!$A$2:$A$5001,עזר!L276))</f>
        <v/>
      </c>
      <c r="B276" s="13" t="str">
        <f aca="false">IF(עזר!L276="","",INDEX(עזר!$B$2:$B$5001,עזר!L276))</f>
        <v/>
      </c>
      <c r="C276" s="13" t="str">
        <f aca="false">עזר!M276</f>
        <v/>
      </c>
    </row>
    <row r="277" customFormat="false" ht="15" hidden="false" customHeight="false" outlineLevel="0" collapsed="false">
      <c r="A277" s="13" t="str">
        <f aca="false">IF(עזר!L277="","",INDEX(עזר!$A$2:$A$5001,עזר!L277))</f>
        <v/>
      </c>
      <c r="B277" s="13" t="str">
        <f aca="false">IF(עזר!L277="","",INDEX(עזר!$B$2:$B$5001,עזר!L277))</f>
        <v/>
      </c>
      <c r="C277" s="13" t="str">
        <f aca="false">עזר!M277</f>
        <v/>
      </c>
    </row>
    <row r="278" customFormat="false" ht="15" hidden="false" customHeight="false" outlineLevel="0" collapsed="false">
      <c r="A278" s="13" t="str">
        <f aca="false">IF(עזר!L278="","",INDEX(עזר!$A$2:$A$5001,עזר!L278))</f>
        <v/>
      </c>
      <c r="B278" s="13" t="str">
        <f aca="false">IF(עזר!L278="","",INDEX(עזר!$B$2:$B$5001,עזר!L278))</f>
        <v/>
      </c>
      <c r="C278" s="13" t="str">
        <f aca="false">עזר!M278</f>
        <v/>
      </c>
    </row>
    <row r="279" customFormat="false" ht="15" hidden="false" customHeight="false" outlineLevel="0" collapsed="false">
      <c r="A279" s="13" t="str">
        <f aca="false">IF(עזר!L279="","",INDEX(עזר!$A$2:$A$5001,עזר!L279))</f>
        <v/>
      </c>
      <c r="B279" s="13" t="str">
        <f aca="false">IF(עזר!L279="","",INDEX(עזר!$B$2:$B$5001,עזר!L279))</f>
        <v/>
      </c>
      <c r="C279" s="13" t="str">
        <f aca="false">עזר!M279</f>
        <v/>
      </c>
    </row>
    <row r="280" customFormat="false" ht="15" hidden="false" customHeight="false" outlineLevel="0" collapsed="false">
      <c r="A280" s="13" t="str">
        <f aca="false">IF(עזר!L280="","",INDEX(עזר!$A$2:$A$5001,עזר!L280))</f>
        <v/>
      </c>
      <c r="B280" s="13" t="str">
        <f aca="false">IF(עזר!L280="","",INDEX(עזר!$B$2:$B$5001,עזר!L280))</f>
        <v/>
      </c>
      <c r="C280" s="13" t="str">
        <f aca="false">עזר!M280</f>
        <v/>
      </c>
    </row>
    <row r="281" customFormat="false" ht="15" hidden="false" customHeight="false" outlineLevel="0" collapsed="false">
      <c r="A281" s="13" t="str">
        <f aca="false">IF(עזר!L281="","",INDEX(עזר!$A$2:$A$5001,עזר!L281))</f>
        <v/>
      </c>
      <c r="B281" s="13" t="str">
        <f aca="false">IF(עזר!L281="","",INDEX(עזר!$B$2:$B$5001,עזר!L281))</f>
        <v/>
      </c>
      <c r="C281" s="13" t="str">
        <f aca="false">עזר!M281</f>
        <v/>
      </c>
    </row>
    <row r="282" customFormat="false" ht="15" hidden="false" customHeight="false" outlineLevel="0" collapsed="false">
      <c r="A282" s="13" t="str">
        <f aca="false">IF(עזר!L282="","",INDEX(עזר!$A$2:$A$5001,עזר!L282))</f>
        <v/>
      </c>
      <c r="B282" s="13" t="str">
        <f aca="false">IF(עזר!L282="","",INDEX(עזר!$B$2:$B$5001,עזר!L282))</f>
        <v/>
      </c>
      <c r="C282" s="13" t="str">
        <f aca="false">עזר!M282</f>
        <v/>
      </c>
    </row>
    <row r="283" customFormat="false" ht="15" hidden="false" customHeight="false" outlineLevel="0" collapsed="false">
      <c r="A283" s="13" t="str">
        <f aca="false">IF(עזר!L283="","",INDEX(עזר!$A$2:$A$5001,עזר!L283))</f>
        <v/>
      </c>
      <c r="B283" s="13" t="str">
        <f aca="false">IF(עזר!L283="","",INDEX(עזר!$B$2:$B$5001,עזר!L283))</f>
        <v/>
      </c>
      <c r="C283" s="13" t="str">
        <f aca="false">עזר!M283</f>
        <v/>
      </c>
    </row>
    <row r="284" customFormat="false" ht="15" hidden="false" customHeight="false" outlineLevel="0" collapsed="false">
      <c r="A284" s="13" t="str">
        <f aca="false">IF(עזר!L284="","",INDEX(עזר!$A$2:$A$5001,עזר!L284))</f>
        <v/>
      </c>
      <c r="B284" s="13" t="str">
        <f aca="false">IF(עזר!L284="","",INDEX(עזר!$B$2:$B$5001,עזר!L284))</f>
        <v/>
      </c>
      <c r="C284" s="13" t="str">
        <f aca="false">עזר!M284</f>
        <v/>
      </c>
    </row>
    <row r="285" customFormat="false" ht="15" hidden="false" customHeight="false" outlineLevel="0" collapsed="false">
      <c r="A285" s="13" t="str">
        <f aca="false">IF(עזר!L285="","",INDEX(עזר!$A$2:$A$5001,עזר!L285))</f>
        <v/>
      </c>
      <c r="B285" s="13" t="str">
        <f aca="false">IF(עזר!L285="","",INDEX(עזר!$B$2:$B$5001,עזר!L285))</f>
        <v/>
      </c>
      <c r="C285" s="13" t="str">
        <f aca="false">עזר!M285</f>
        <v/>
      </c>
    </row>
    <row r="286" customFormat="false" ht="15" hidden="false" customHeight="false" outlineLevel="0" collapsed="false">
      <c r="A286" s="13" t="str">
        <f aca="false">IF(עזר!L286="","",INDEX(עזר!$A$2:$A$5001,עזר!L286))</f>
        <v/>
      </c>
      <c r="B286" s="13" t="str">
        <f aca="false">IF(עזר!L286="","",INDEX(עזר!$B$2:$B$5001,עזר!L286))</f>
        <v/>
      </c>
      <c r="C286" s="13" t="str">
        <f aca="false">עזר!M286</f>
        <v/>
      </c>
    </row>
    <row r="287" customFormat="false" ht="15" hidden="false" customHeight="false" outlineLevel="0" collapsed="false">
      <c r="A287" s="13" t="str">
        <f aca="false">IF(עזר!L287="","",INDEX(עזר!$A$2:$A$5001,עזר!L287))</f>
        <v/>
      </c>
      <c r="B287" s="13" t="str">
        <f aca="false">IF(עזר!L287="","",INDEX(עזר!$B$2:$B$5001,עזר!L287))</f>
        <v/>
      </c>
      <c r="C287" s="13" t="str">
        <f aca="false">עזר!M287</f>
        <v/>
      </c>
    </row>
    <row r="288" customFormat="false" ht="15" hidden="false" customHeight="false" outlineLevel="0" collapsed="false">
      <c r="A288" s="13" t="str">
        <f aca="false">IF(עזר!L288="","",INDEX(עזר!$A$2:$A$5001,עזר!L288))</f>
        <v/>
      </c>
      <c r="B288" s="13" t="str">
        <f aca="false">IF(עזר!L288="","",INDEX(עזר!$B$2:$B$5001,עזר!L288))</f>
        <v/>
      </c>
      <c r="C288" s="13" t="str">
        <f aca="false">עזר!M288</f>
        <v/>
      </c>
    </row>
    <row r="289" customFormat="false" ht="15" hidden="false" customHeight="false" outlineLevel="0" collapsed="false">
      <c r="A289" s="13" t="str">
        <f aca="false">IF(עזר!L289="","",INDEX(עזר!$A$2:$A$5001,עזר!L289))</f>
        <v/>
      </c>
      <c r="B289" s="13" t="str">
        <f aca="false">IF(עזר!L289="","",INDEX(עזר!$B$2:$B$5001,עזר!L289))</f>
        <v/>
      </c>
      <c r="C289" s="13" t="str">
        <f aca="false">עזר!M289</f>
        <v/>
      </c>
    </row>
    <row r="290" customFormat="false" ht="15" hidden="false" customHeight="false" outlineLevel="0" collapsed="false">
      <c r="A290" s="13" t="str">
        <f aca="false">IF(עזר!L290="","",INDEX(עזר!$A$2:$A$5001,עזר!L290))</f>
        <v/>
      </c>
      <c r="B290" s="13" t="str">
        <f aca="false">IF(עזר!L290="","",INDEX(עזר!$B$2:$B$5001,עזר!L290))</f>
        <v/>
      </c>
      <c r="C290" s="13" t="str">
        <f aca="false">עזר!M290</f>
        <v/>
      </c>
    </row>
    <row r="291" customFormat="false" ht="15" hidden="false" customHeight="false" outlineLevel="0" collapsed="false">
      <c r="A291" s="13" t="str">
        <f aca="false">IF(עזר!L291="","",INDEX(עזר!$A$2:$A$5001,עזר!L291))</f>
        <v/>
      </c>
      <c r="B291" s="13" t="str">
        <f aca="false">IF(עזר!L291="","",INDEX(עזר!$B$2:$B$5001,עזר!L291))</f>
        <v/>
      </c>
      <c r="C291" s="13" t="str">
        <f aca="false">עזר!M291</f>
        <v/>
      </c>
    </row>
    <row r="292" customFormat="false" ht="15" hidden="false" customHeight="false" outlineLevel="0" collapsed="false">
      <c r="A292" s="13" t="str">
        <f aca="false">IF(עזר!L292="","",INDEX(עזר!$A$2:$A$5001,עזר!L292))</f>
        <v/>
      </c>
      <c r="B292" s="13" t="str">
        <f aca="false">IF(עזר!L292="","",INDEX(עזר!$B$2:$B$5001,עזר!L292))</f>
        <v/>
      </c>
      <c r="C292" s="13" t="str">
        <f aca="false">עזר!M292</f>
        <v/>
      </c>
    </row>
    <row r="293" customFormat="false" ht="15" hidden="false" customHeight="false" outlineLevel="0" collapsed="false">
      <c r="A293" s="13" t="str">
        <f aca="false">IF(עזר!L293="","",INDEX(עזר!$A$2:$A$5001,עזר!L293))</f>
        <v/>
      </c>
      <c r="B293" s="13" t="str">
        <f aca="false">IF(עזר!L293="","",INDEX(עזר!$B$2:$B$5001,עזר!L293))</f>
        <v/>
      </c>
      <c r="C293" s="13" t="str">
        <f aca="false">עזר!M293</f>
        <v/>
      </c>
    </row>
    <row r="294" customFormat="false" ht="15" hidden="false" customHeight="false" outlineLevel="0" collapsed="false">
      <c r="A294" s="13" t="str">
        <f aca="false">IF(עזר!L294="","",INDEX(עזר!$A$2:$A$5001,עזר!L294))</f>
        <v/>
      </c>
      <c r="B294" s="13" t="str">
        <f aca="false">IF(עזר!L294="","",INDEX(עזר!$B$2:$B$5001,עזר!L294))</f>
        <v/>
      </c>
      <c r="C294" s="13" t="str">
        <f aca="false">עזר!M294</f>
        <v/>
      </c>
    </row>
    <row r="295" customFormat="false" ht="15" hidden="false" customHeight="false" outlineLevel="0" collapsed="false">
      <c r="A295" s="13" t="str">
        <f aca="false">IF(עזר!L295="","",INDEX(עזר!$A$2:$A$5001,עזר!L295))</f>
        <v/>
      </c>
      <c r="B295" s="13" t="str">
        <f aca="false">IF(עזר!L295="","",INDEX(עזר!$B$2:$B$5001,עזר!L295))</f>
        <v/>
      </c>
      <c r="C295" s="13" t="str">
        <f aca="false">עזר!M295</f>
        <v/>
      </c>
    </row>
    <row r="296" customFormat="false" ht="15" hidden="false" customHeight="false" outlineLevel="0" collapsed="false">
      <c r="A296" s="13" t="str">
        <f aca="false">IF(עזר!L296="","",INDEX(עזר!$A$2:$A$5001,עזר!L296))</f>
        <v/>
      </c>
      <c r="B296" s="13" t="str">
        <f aca="false">IF(עזר!L296="","",INDEX(עזר!$B$2:$B$5001,עזר!L296))</f>
        <v/>
      </c>
      <c r="C296" s="13" t="str">
        <f aca="false">עזר!M296</f>
        <v/>
      </c>
    </row>
    <row r="297" customFormat="false" ht="15" hidden="false" customHeight="false" outlineLevel="0" collapsed="false">
      <c r="A297" s="13" t="str">
        <f aca="false">IF(עזר!L297="","",INDEX(עזר!$A$2:$A$5001,עזר!L297))</f>
        <v/>
      </c>
      <c r="B297" s="13" t="str">
        <f aca="false">IF(עזר!L297="","",INDEX(עזר!$B$2:$B$5001,עזר!L297))</f>
        <v/>
      </c>
      <c r="C297" s="13" t="str">
        <f aca="false">עזר!M297</f>
        <v/>
      </c>
    </row>
    <row r="298" customFormat="false" ht="15" hidden="false" customHeight="false" outlineLevel="0" collapsed="false">
      <c r="A298" s="13" t="str">
        <f aca="false">IF(עזר!L298="","",INDEX(עזר!$A$2:$A$5001,עזר!L298))</f>
        <v/>
      </c>
      <c r="B298" s="13" t="str">
        <f aca="false">IF(עזר!L298="","",INDEX(עזר!$B$2:$B$5001,עזר!L298))</f>
        <v/>
      </c>
      <c r="C298" s="13" t="str">
        <f aca="false">עזר!M298</f>
        <v/>
      </c>
    </row>
    <row r="299" customFormat="false" ht="15" hidden="false" customHeight="false" outlineLevel="0" collapsed="false">
      <c r="A299" s="13" t="str">
        <f aca="false">IF(עזר!L299="","",INDEX(עזר!$A$2:$A$5001,עזר!L299))</f>
        <v/>
      </c>
      <c r="B299" s="13" t="str">
        <f aca="false">IF(עזר!L299="","",INDEX(עזר!$B$2:$B$5001,עזר!L299))</f>
        <v/>
      </c>
      <c r="C299" s="13" t="str">
        <f aca="false">עזר!M299</f>
        <v/>
      </c>
    </row>
    <row r="300" customFormat="false" ht="15" hidden="false" customHeight="false" outlineLevel="0" collapsed="false">
      <c r="A300" s="13" t="str">
        <f aca="false">IF(עזר!L300="","",INDEX(עזר!$A$2:$A$5001,עזר!L300))</f>
        <v/>
      </c>
      <c r="B300" s="13" t="str">
        <f aca="false">IF(עזר!L300="","",INDEX(עזר!$B$2:$B$5001,עזר!L300))</f>
        <v/>
      </c>
      <c r="C300" s="13" t="str">
        <f aca="false">עזר!M300</f>
        <v/>
      </c>
    </row>
    <row r="301" customFormat="false" ht="15" hidden="false" customHeight="false" outlineLevel="0" collapsed="false">
      <c r="A301" s="13" t="str">
        <f aca="false">IF(עזר!L301="","",INDEX(עזר!$A$2:$A$5001,עזר!L301))</f>
        <v/>
      </c>
      <c r="B301" s="13" t="str">
        <f aca="false">IF(עזר!L301="","",INDEX(עזר!$B$2:$B$5001,עזר!L301))</f>
        <v/>
      </c>
      <c r="C301" s="13" t="str">
        <f aca="false">עזר!M301</f>
        <v/>
      </c>
    </row>
    <row r="302" customFormat="false" ht="15" hidden="false" customHeight="false" outlineLevel="0" collapsed="false">
      <c r="A302" s="13" t="str">
        <f aca="false">IF(עזר!L302="","",INDEX(עזר!$A$2:$A$5001,עזר!L302))</f>
        <v/>
      </c>
      <c r="B302" s="13" t="str">
        <f aca="false">IF(עזר!L302="","",INDEX(עזר!$B$2:$B$5001,עזר!L302))</f>
        <v/>
      </c>
      <c r="C302" s="13" t="str">
        <f aca="false">עזר!M302</f>
        <v/>
      </c>
    </row>
    <row r="303" customFormat="false" ht="15" hidden="false" customHeight="false" outlineLevel="0" collapsed="false">
      <c r="A303" s="13" t="str">
        <f aca="false">IF(עזר!L303="","",INDEX(עזר!$A$2:$A$5001,עזר!L303))</f>
        <v/>
      </c>
      <c r="B303" s="13" t="str">
        <f aca="false">IF(עזר!L303="","",INDEX(עזר!$B$2:$B$5001,עזר!L303))</f>
        <v/>
      </c>
      <c r="C303" s="13" t="str">
        <f aca="false">עזר!M303</f>
        <v/>
      </c>
    </row>
    <row r="304" customFormat="false" ht="15" hidden="false" customHeight="false" outlineLevel="0" collapsed="false">
      <c r="A304" s="13" t="str">
        <f aca="false">IF(עזר!L304="","",INDEX(עזר!$A$2:$A$5001,עזר!L304))</f>
        <v/>
      </c>
      <c r="B304" s="13" t="str">
        <f aca="false">IF(עזר!L304="","",INDEX(עזר!$B$2:$B$5001,עזר!L304))</f>
        <v/>
      </c>
      <c r="C304" s="13" t="str">
        <f aca="false">עזר!M304</f>
        <v/>
      </c>
    </row>
    <row r="305" customFormat="false" ht="15" hidden="false" customHeight="false" outlineLevel="0" collapsed="false">
      <c r="A305" s="13" t="str">
        <f aca="false">IF(עזר!L305="","",INDEX(עזר!$A$2:$A$5001,עזר!L305))</f>
        <v/>
      </c>
      <c r="B305" s="13" t="str">
        <f aca="false">IF(עזר!L305="","",INDEX(עזר!$B$2:$B$5001,עזר!L305))</f>
        <v/>
      </c>
      <c r="C305" s="13" t="str">
        <f aca="false">עזר!M305</f>
        <v/>
      </c>
    </row>
    <row r="306" customFormat="false" ht="15" hidden="false" customHeight="false" outlineLevel="0" collapsed="false">
      <c r="A306" s="13" t="str">
        <f aca="false">IF(עזר!L306="","",INDEX(עזר!$A$2:$A$5001,עזר!L306))</f>
        <v/>
      </c>
      <c r="B306" s="13" t="str">
        <f aca="false">IF(עזר!L306="","",INDEX(עזר!$B$2:$B$5001,עזר!L306))</f>
        <v/>
      </c>
      <c r="C306" s="13" t="str">
        <f aca="false">עזר!M306</f>
        <v/>
      </c>
    </row>
    <row r="307" customFormat="false" ht="15" hidden="false" customHeight="false" outlineLevel="0" collapsed="false">
      <c r="A307" s="13" t="str">
        <f aca="false">IF(עזר!L307="","",INDEX(עזר!$A$2:$A$5001,עזר!L307))</f>
        <v/>
      </c>
      <c r="B307" s="13" t="str">
        <f aca="false">IF(עזר!L307="","",INDEX(עזר!$B$2:$B$5001,עזר!L307))</f>
        <v/>
      </c>
      <c r="C307" s="13" t="str">
        <f aca="false">עזר!M307</f>
        <v/>
      </c>
    </row>
    <row r="308" customFormat="false" ht="15" hidden="false" customHeight="false" outlineLevel="0" collapsed="false">
      <c r="A308" s="13" t="str">
        <f aca="false">IF(עזר!L308="","",INDEX(עזר!$A$2:$A$5001,עזר!L308))</f>
        <v/>
      </c>
      <c r="B308" s="13" t="str">
        <f aca="false">IF(עזר!L308="","",INDEX(עזר!$B$2:$B$5001,עזר!L308))</f>
        <v/>
      </c>
      <c r="C308" s="13" t="str">
        <f aca="false">עזר!M308</f>
        <v/>
      </c>
    </row>
    <row r="309" customFormat="false" ht="15" hidden="false" customHeight="false" outlineLevel="0" collapsed="false">
      <c r="A309" s="13" t="str">
        <f aca="false">IF(עזר!L309="","",INDEX(עזר!$A$2:$A$5001,עזר!L309))</f>
        <v/>
      </c>
      <c r="B309" s="13" t="str">
        <f aca="false">IF(עזר!L309="","",INDEX(עזר!$B$2:$B$5001,עזר!L309))</f>
        <v/>
      </c>
      <c r="C309" s="13" t="str">
        <f aca="false">עזר!M309</f>
        <v/>
      </c>
    </row>
    <row r="310" customFormat="false" ht="15" hidden="false" customHeight="false" outlineLevel="0" collapsed="false">
      <c r="A310" s="13" t="str">
        <f aca="false">IF(עזר!L310="","",INDEX(עזר!$A$2:$A$5001,עזר!L310))</f>
        <v/>
      </c>
      <c r="B310" s="13" t="str">
        <f aca="false">IF(עזר!L310="","",INDEX(עזר!$B$2:$B$5001,עזר!L310))</f>
        <v/>
      </c>
      <c r="C310" s="13" t="str">
        <f aca="false">עזר!M310</f>
        <v/>
      </c>
    </row>
    <row r="311" customFormat="false" ht="15" hidden="false" customHeight="false" outlineLevel="0" collapsed="false">
      <c r="A311" s="13" t="str">
        <f aca="false">IF(עזר!L311="","",INDEX(עזר!$A$2:$A$5001,עזר!L311))</f>
        <v/>
      </c>
      <c r="B311" s="13" t="str">
        <f aca="false">IF(עזר!L311="","",INDEX(עזר!$B$2:$B$5001,עזר!L311))</f>
        <v/>
      </c>
      <c r="C311" s="13" t="str">
        <f aca="false">עזר!M311</f>
        <v/>
      </c>
    </row>
    <row r="312" customFormat="false" ht="15" hidden="false" customHeight="false" outlineLevel="0" collapsed="false">
      <c r="A312" s="13" t="str">
        <f aca="false">IF(עזר!L312="","",INDEX(עזר!$A$2:$A$5001,עזר!L312))</f>
        <v/>
      </c>
      <c r="B312" s="13" t="str">
        <f aca="false">IF(עזר!L312="","",INDEX(עזר!$B$2:$B$5001,עזר!L312))</f>
        <v/>
      </c>
      <c r="C312" s="13" t="str">
        <f aca="false">עזר!M312</f>
        <v/>
      </c>
    </row>
    <row r="313" customFormat="false" ht="15" hidden="false" customHeight="false" outlineLevel="0" collapsed="false">
      <c r="A313" s="13" t="str">
        <f aca="false">IF(עזר!L313="","",INDEX(עזר!$A$2:$A$5001,עזר!L313))</f>
        <v/>
      </c>
      <c r="B313" s="13" t="str">
        <f aca="false">IF(עזר!L313="","",INDEX(עזר!$B$2:$B$5001,עזר!L313))</f>
        <v/>
      </c>
      <c r="C313" s="13" t="str">
        <f aca="false">עזר!M313</f>
        <v/>
      </c>
    </row>
    <row r="314" customFormat="false" ht="15" hidden="false" customHeight="false" outlineLevel="0" collapsed="false">
      <c r="A314" s="13" t="str">
        <f aca="false">IF(עזר!L314="","",INDEX(עזר!$A$2:$A$5001,עזר!L314))</f>
        <v/>
      </c>
      <c r="B314" s="13" t="str">
        <f aca="false">IF(עזר!L314="","",INDEX(עזר!$B$2:$B$5001,עזר!L314))</f>
        <v/>
      </c>
      <c r="C314" s="13" t="str">
        <f aca="false">עזר!M314</f>
        <v/>
      </c>
    </row>
    <row r="315" customFormat="false" ht="15" hidden="false" customHeight="false" outlineLevel="0" collapsed="false">
      <c r="A315" s="13" t="str">
        <f aca="false">IF(עזר!L315="","",INDEX(עזר!$A$2:$A$5001,עזר!L315))</f>
        <v/>
      </c>
      <c r="B315" s="13" t="str">
        <f aca="false">IF(עזר!L315="","",INDEX(עזר!$B$2:$B$5001,עזר!L315))</f>
        <v/>
      </c>
      <c r="C315" s="13" t="str">
        <f aca="false">עזר!M315</f>
        <v/>
      </c>
    </row>
    <row r="316" customFormat="false" ht="15" hidden="false" customHeight="false" outlineLevel="0" collapsed="false">
      <c r="A316" s="13" t="str">
        <f aca="false">IF(עזר!L316="","",INDEX(עזר!$A$2:$A$5001,עזר!L316))</f>
        <v/>
      </c>
      <c r="B316" s="13" t="str">
        <f aca="false">IF(עזר!L316="","",INDEX(עזר!$B$2:$B$5001,עזר!L316))</f>
        <v/>
      </c>
      <c r="C316" s="13" t="str">
        <f aca="false">עזר!M316</f>
        <v/>
      </c>
    </row>
    <row r="317" customFormat="false" ht="15" hidden="false" customHeight="false" outlineLevel="0" collapsed="false">
      <c r="A317" s="13" t="str">
        <f aca="false">IF(עזר!L317="","",INDEX(עזר!$A$2:$A$5001,עזר!L317))</f>
        <v/>
      </c>
      <c r="B317" s="13" t="str">
        <f aca="false">IF(עזר!L317="","",INDEX(עזר!$B$2:$B$5001,עזר!L317))</f>
        <v/>
      </c>
      <c r="C317" s="13" t="str">
        <f aca="false">עזר!M317</f>
        <v/>
      </c>
    </row>
    <row r="318" customFormat="false" ht="15" hidden="false" customHeight="false" outlineLevel="0" collapsed="false">
      <c r="A318" s="13" t="str">
        <f aca="false">IF(עזר!L318="","",INDEX(עזר!$A$2:$A$5001,עזר!L318))</f>
        <v/>
      </c>
      <c r="B318" s="13" t="str">
        <f aca="false">IF(עזר!L318="","",INDEX(עזר!$B$2:$B$5001,עזר!L318))</f>
        <v/>
      </c>
      <c r="C318" s="13" t="str">
        <f aca="false">עזר!M318</f>
        <v/>
      </c>
    </row>
    <row r="319" customFormat="false" ht="15" hidden="false" customHeight="false" outlineLevel="0" collapsed="false">
      <c r="A319" s="13" t="str">
        <f aca="false">IF(עזר!L319="","",INDEX(עזר!$A$2:$A$5001,עזר!L319))</f>
        <v/>
      </c>
      <c r="B319" s="13" t="str">
        <f aca="false">IF(עזר!L319="","",INDEX(עזר!$B$2:$B$5001,עזר!L319))</f>
        <v/>
      </c>
      <c r="C319" s="13" t="str">
        <f aca="false">עזר!M319</f>
        <v/>
      </c>
    </row>
    <row r="320" customFormat="false" ht="15" hidden="false" customHeight="false" outlineLevel="0" collapsed="false">
      <c r="A320" s="13" t="str">
        <f aca="false">IF(עזר!L320="","",INDEX(עזר!$A$2:$A$5001,עזר!L320))</f>
        <v/>
      </c>
      <c r="B320" s="13" t="str">
        <f aca="false">IF(עזר!L320="","",INDEX(עזר!$B$2:$B$5001,עזר!L320))</f>
        <v/>
      </c>
      <c r="C320" s="13" t="str">
        <f aca="false">עזר!M320</f>
        <v/>
      </c>
    </row>
    <row r="321" customFormat="false" ht="15" hidden="false" customHeight="false" outlineLevel="0" collapsed="false">
      <c r="A321" s="13" t="str">
        <f aca="false">IF(עזר!L321="","",INDEX(עזר!$A$2:$A$5001,עזר!L321))</f>
        <v/>
      </c>
      <c r="B321" s="13" t="str">
        <f aca="false">IF(עזר!L321="","",INDEX(עזר!$B$2:$B$5001,עזר!L321))</f>
        <v/>
      </c>
      <c r="C321" s="13" t="str">
        <f aca="false">עזר!M321</f>
        <v/>
      </c>
    </row>
    <row r="322" customFormat="false" ht="15" hidden="false" customHeight="false" outlineLevel="0" collapsed="false">
      <c r="A322" s="13" t="str">
        <f aca="false">IF(עזר!L322="","",INDEX(עזר!$A$2:$A$5001,עזר!L322))</f>
        <v/>
      </c>
      <c r="B322" s="13" t="str">
        <f aca="false">IF(עזר!L322="","",INDEX(עזר!$B$2:$B$5001,עזר!L322))</f>
        <v/>
      </c>
      <c r="C322" s="13" t="str">
        <f aca="false">עזר!M322</f>
        <v/>
      </c>
    </row>
    <row r="323" customFormat="false" ht="15" hidden="false" customHeight="false" outlineLevel="0" collapsed="false">
      <c r="A323" s="13" t="str">
        <f aca="false">IF(עזר!L323="","",INDEX(עזר!$A$2:$A$5001,עזר!L323))</f>
        <v/>
      </c>
      <c r="B323" s="13" t="str">
        <f aca="false">IF(עזר!L323="","",INDEX(עזר!$B$2:$B$5001,עזר!L323))</f>
        <v/>
      </c>
      <c r="C323" s="13" t="str">
        <f aca="false">עזר!M323</f>
        <v/>
      </c>
    </row>
    <row r="324" customFormat="false" ht="15" hidden="false" customHeight="false" outlineLevel="0" collapsed="false">
      <c r="A324" s="13" t="str">
        <f aca="false">IF(עזר!L324="","",INDEX(עזר!$A$2:$A$5001,עזר!L324))</f>
        <v/>
      </c>
      <c r="B324" s="13" t="str">
        <f aca="false">IF(עזר!L324="","",INDEX(עזר!$B$2:$B$5001,עזר!L324))</f>
        <v/>
      </c>
      <c r="C324" s="13" t="str">
        <f aca="false">עזר!M324</f>
        <v/>
      </c>
    </row>
    <row r="325" customFormat="false" ht="15" hidden="false" customHeight="false" outlineLevel="0" collapsed="false">
      <c r="A325" s="13" t="str">
        <f aca="false">IF(עזר!L325="","",INDEX(עזר!$A$2:$A$5001,עזר!L325))</f>
        <v/>
      </c>
      <c r="B325" s="13" t="str">
        <f aca="false">IF(עזר!L325="","",INDEX(עזר!$B$2:$B$5001,עזר!L325))</f>
        <v/>
      </c>
      <c r="C325" s="13" t="str">
        <f aca="false">עזר!M325</f>
        <v/>
      </c>
    </row>
    <row r="326" customFormat="false" ht="15" hidden="false" customHeight="false" outlineLevel="0" collapsed="false">
      <c r="A326" s="13" t="str">
        <f aca="false">IF(עזר!L326="","",INDEX(עזר!$A$2:$A$5001,עזר!L326))</f>
        <v/>
      </c>
      <c r="B326" s="13" t="str">
        <f aca="false">IF(עזר!L326="","",INDEX(עזר!$B$2:$B$5001,עזר!L326))</f>
        <v/>
      </c>
      <c r="C326" s="13" t="str">
        <f aca="false">עזר!M326</f>
        <v/>
      </c>
    </row>
    <row r="327" customFormat="false" ht="15" hidden="false" customHeight="false" outlineLevel="0" collapsed="false">
      <c r="A327" s="13" t="str">
        <f aca="false">IF(עזר!L327="","",INDEX(עזר!$A$2:$A$5001,עזר!L327))</f>
        <v/>
      </c>
      <c r="B327" s="13" t="str">
        <f aca="false">IF(עזר!L327="","",INDEX(עזר!$B$2:$B$5001,עזר!L327))</f>
        <v/>
      </c>
      <c r="C327" s="13" t="str">
        <f aca="false">עזר!M327</f>
        <v/>
      </c>
    </row>
    <row r="328" customFormat="false" ht="15" hidden="false" customHeight="false" outlineLevel="0" collapsed="false">
      <c r="A328" s="13" t="str">
        <f aca="false">IF(עזר!L328="","",INDEX(עזר!$A$2:$A$5001,עזר!L328))</f>
        <v/>
      </c>
      <c r="B328" s="13" t="str">
        <f aca="false">IF(עזר!L328="","",INDEX(עזר!$B$2:$B$5001,עזר!L328))</f>
        <v/>
      </c>
      <c r="C328" s="13" t="str">
        <f aca="false">עזר!M328</f>
        <v/>
      </c>
    </row>
    <row r="329" customFormat="false" ht="15" hidden="false" customHeight="false" outlineLevel="0" collapsed="false">
      <c r="A329" s="13" t="str">
        <f aca="false">IF(עזר!L329="","",INDEX(עזר!$A$2:$A$5001,עזר!L329))</f>
        <v/>
      </c>
      <c r="B329" s="13" t="str">
        <f aca="false">IF(עזר!L329="","",INDEX(עזר!$B$2:$B$5001,עזר!L329))</f>
        <v/>
      </c>
      <c r="C329" s="13" t="str">
        <f aca="false">עזר!M329</f>
        <v/>
      </c>
    </row>
    <row r="330" customFormat="false" ht="15" hidden="false" customHeight="false" outlineLevel="0" collapsed="false">
      <c r="A330" s="13" t="str">
        <f aca="false">IF(עזר!L330="","",INDEX(עזר!$A$2:$A$5001,עזר!L330))</f>
        <v/>
      </c>
      <c r="B330" s="13" t="str">
        <f aca="false">IF(עזר!L330="","",INDEX(עזר!$B$2:$B$5001,עזר!L330))</f>
        <v/>
      </c>
      <c r="C330" s="13" t="str">
        <f aca="false">עזר!M330</f>
        <v/>
      </c>
    </row>
    <row r="331" customFormat="false" ht="15" hidden="false" customHeight="false" outlineLevel="0" collapsed="false">
      <c r="A331" s="13" t="str">
        <f aca="false">IF(עזר!L331="","",INDEX(עזר!$A$2:$A$5001,עזר!L331))</f>
        <v/>
      </c>
      <c r="B331" s="13" t="str">
        <f aca="false">IF(עזר!L331="","",INDEX(עזר!$B$2:$B$5001,עזר!L331))</f>
        <v/>
      </c>
      <c r="C331" s="13" t="str">
        <f aca="false">עזר!M331</f>
        <v/>
      </c>
    </row>
    <row r="332" customFormat="false" ht="15" hidden="false" customHeight="false" outlineLevel="0" collapsed="false">
      <c r="A332" s="13" t="str">
        <f aca="false">IF(עזר!L332="","",INDEX(עזר!$A$2:$A$5001,עזר!L332))</f>
        <v/>
      </c>
      <c r="B332" s="13" t="str">
        <f aca="false">IF(עזר!L332="","",INDEX(עזר!$B$2:$B$5001,עזר!L332))</f>
        <v/>
      </c>
      <c r="C332" s="13" t="str">
        <f aca="false">עזר!M332</f>
        <v/>
      </c>
    </row>
    <row r="333" customFormat="false" ht="15" hidden="false" customHeight="false" outlineLevel="0" collapsed="false">
      <c r="A333" s="13" t="str">
        <f aca="false">IF(עזר!L333="","",INDEX(עזר!$A$2:$A$5001,עזר!L333))</f>
        <v/>
      </c>
      <c r="B333" s="13" t="str">
        <f aca="false">IF(עזר!L333="","",INDEX(עזר!$B$2:$B$5001,עזר!L333))</f>
        <v/>
      </c>
      <c r="C333" s="13" t="str">
        <f aca="false">עזר!M333</f>
        <v/>
      </c>
    </row>
    <row r="334" customFormat="false" ht="15" hidden="false" customHeight="false" outlineLevel="0" collapsed="false">
      <c r="A334" s="13" t="str">
        <f aca="false">IF(עזר!L334="","",INDEX(עזר!$A$2:$A$5001,עזר!L334))</f>
        <v/>
      </c>
      <c r="B334" s="13" t="str">
        <f aca="false">IF(עזר!L334="","",INDEX(עזר!$B$2:$B$5001,עזר!L334))</f>
        <v/>
      </c>
      <c r="C334" s="13" t="str">
        <f aca="false">עזר!M334</f>
        <v/>
      </c>
    </row>
    <row r="335" customFormat="false" ht="15" hidden="false" customHeight="false" outlineLevel="0" collapsed="false">
      <c r="A335" s="13" t="str">
        <f aca="false">IF(עזר!L335="","",INDEX(עזר!$A$2:$A$5001,עזר!L335))</f>
        <v/>
      </c>
      <c r="B335" s="13" t="str">
        <f aca="false">IF(עזר!L335="","",INDEX(עזר!$B$2:$B$5001,עזר!L335))</f>
        <v/>
      </c>
      <c r="C335" s="13" t="str">
        <f aca="false">עזר!M335</f>
        <v/>
      </c>
    </row>
    <row r="336" customFormat="false" ht="15" hidden="false" customHeight="false" outlineLevel="0" collapsed="false">
      <c r="A336" s="13" t="str">
        <f aca="false">IF(עזר!L336="","",INDEX(עזר!$A$2:$A$5001,עזר!L336))</f>
        <v/>
      </c>
      <c r="B336" s="13" t="str">
        <f aca="false">IF(עזר!L336="","",INDEX(עזר!$B$2:$B$5001,עזר!L336))</f>
        <v/>
      </c>
      <c r="C336" s="13" t="str">
        <f aca="false">עזר!M336</f>
        <v/>
      </c>
    </row>
    <row r="337" customFormat="false" ht="15" hidden="false" customHeight="false" outlineLevel="0" collapsed="false">
      <c r="A337" s="13" t="str">
        <f aca="false">IF(עזר!L337="","",INDEX(עזר!$A$2:$A$5001,עזר!L337))</f>
        <v/>
      </c>
      <c r="B337" s="13" t="str">
        <f aca="false">IF(עזר!L337="","",INDEX(עזר!$B$2:$B$5001,עזר!L337))</f>
        <v/>
      </c>
      <c r="C337" s="13" t="str">
        <f aca="false">עזר!M337</f>
        <v/>
      </c>
    </row>
    <row r="338" customFormat="false" ht="15" hidden="false" customHeight="false" outlineLevel="0" collapsed="false">
      <c r="A338" s="13" t="str">
        <f aca="false">IF(עזר!L338="","",INDEX(עזר!$A$2:$A$5001,עזר!L338))</f>
        <v/>
      </c>
      <c r="B338" s="13" t="str">
        <f aca="false">IF(עזר!L338="","",INDEX(עזר!$B$2:$B$5001,עזר!L338))</f>
        <v/>
      </c>
      <c r="C338" s="13" t="str">
        <f aca="false">עזר!M338</f>
        <v/>
      </c>
    </row>
    <row r="339" customFormat="false" ht="15" hidden="false" customHeight="false" outlineLevel="0" collapsed="false">
      <c r="A339" s="13" t="str">
        <f aca="false">IF(עזר!L339="","",INDEX(עזר!$A$2:$A$5001,עזר!L339))</f>
        <v/>
      </c>
      <c r="B339" s="13" t="str">
        <f aca="false">IF(עזר!L339="","",INDEX(עזר!$B$2:$B$5001,עזר!L339))</f>
        <v/>
      </c>
      <c r="C339" s="13" t="str">
        <f aca="false">עזר!M339</f>
        <v/>
      </c>
    </row>
    <row r="340" customFormat="false" ht="15" hidden="false" customHeight="false" outlineLevel="0" collapsed="false">
      <c r="A340" s="13" t="str">
        <f aca="false">IF(עזר!L340="","",INDEX(עזר!$A$2:$A$5001,עזר!L340))</f>
        <v/>
      </c>
      <c r="B340" s="13" t="str">
        <f aca="false">IF(עזר!L340="","",INDEX(עזר!$B$2:$B$5001,עזר!L340))</f>
        <v/>
      </c>
      <c r="C340" s="13" t="str">
        <f aca="false">עזר!M340</f>
        <v/>
      </c>
    </row>
    <row r="341" customFormat="false" ht="15" hidden="false" customHeight="false" outlineLevel="0" collapsed="false">
      <c r="A341" s="13" t="str">
        <f aca="false">IF(עזר!L341="","",INDEX(עזר!$A$2:$A$5001,עזר!L341))</f>
        <v/>
      </c>
      <c r="B341" s="13" t="str">
        <f aca="false">IF(עזר!L341="","",INDEX(עזר!$B$2:$B$5001,עזר!L341))</f>
        <v/>
      </c>
      <c r="C341" s="13" t="str">
        <f aca="false">עזר!M341</f>
        <v/>
      </c>
    </row>
    <row r="342" customFormat="false" ht="15" hidden="false" customHeight="false" outlineLevel="0" collapsed="false">
      <c r="A342" s="13" t="str">
        <f aca="false">IF(עזר!L342="","",INDEX(עזר!$A$2:$A$5001,עזר!L342))</f>
        <v/>
      </c>
      <c r="B342" s="13" t="str">
        <f aca="false">IF(עזר!L342="","",INDEX(עזר!$B$2:$B$5001,עזר!L342))</f>
        <v/>
      </c>
      <c r="C342" s="13" t="str">
        <f aca="false">עזר!M342</f>
        <v/>
      </c>
    </row>
    <row r="343" customFormat="false" ht="15" hidden="false" customHeight="false" outlineLevel="0" collapsed="false">
      <c r="A343" s="13" t="str">
        <f aca="false">IF(עזר!L343="","",INDEX(עזר!$A$2:$A$5001,עזר!L343))</f>
        <v/>
      </c>
      <c r="B343" s="13" t="str">
        <f aca="false">IF(עזר!L343="","",INDEX(עזר!$B$2:$B$5001,עזר!L343))</f>
        <v/>
      </c>
      <c r="C343" s="13" t="str">
        <f aca="false">עזר!M343</f>
        <v/>
      </c>
    </row>
    <row r="344" customFormat="false" ht="15" hidden="false" customHeight="false" outlineLevel="0" collapsed="false">
      <c r="A344" s="13" t="str">
        <f aca="false">IF(עזר!L344="","",INDEX(עזר!$A$2:$A$5001,עזר!L344))</f>
        <v/>
      </c>
      <c r="B344" s="13" t="str">
        <f aca="false">IF(עזר!L344="","",INDEX(עזר!$B$2:$B$5001,עזר!L344))</f>
        <v/>
      </c>
      <c r="C344" s="13" t="str">
        <f aca="false">עזר!M344</f>
        <v/>
      </c>
    </row>
    <row r="345" customFormat="false" ht="15" hidden="false" customHeight="false" outlineLevel="0" collapsed="false">
      <c r="A345" s="13" t="str">
        <f aca="false">IF(עזר!L345="","",INDEX(עזר!$A$2:$A$5001,עזר!L345))</f>
        <v/>
      </c>
      <c r="B345" s="13" t="str">
        <f aca="false">IF(עזר!L345="","",INDEX(עזר!$B$2:$B$5001,עזר!L345))</f>
        <v/>
      </c>
      <c r="C345" s="13" t="str">
        <f aca="false">עזר!M345</f>
        <v/>
      </c>
    </row>
    <row r="346" customFormat="false" ht="15" hidden="false" customHeight="false" outlineLevel="0" collapsed="false">
      <c r="A346" s="13" t="str">
        <f aca="false">IF(עזר!L346="","",INDEX(עזר!$A$2:$A$5001,עזר!L346))</f>
        <v/>
      </c>
      <c r="B346" s="13" t="str">
        <f aca="false">IF(עזר!L346="","",INDEX(עזר!$B$2:$B$5001,עזר!L346))</f>
        <v/>
      </c>
      <c r="C346" s="13" t="str">
        <f aca="false">עזר!M346</f>
        <v/>
      </c>
    </row>
    <row r="347" customFormat="false" ht="15" hidden="false" customHeight="false" outlineLevel="0" collapsed="false">
      <c r="A347" s="13" t="str">
        <f aca="false">IF(עזר!L347="","",INDEX(עזר!$A$2:$A$5001,עזר!L347))</f>
        <v/>
      </c>
      <c r="B347" s="13" t="str">
        <f aca="false">IF(עזר!L347="","",INDEX(עזר!$B$2:$B$5001,עזר!L347))</f>
        <v/>
      </c>
      <c r="C347" s="13" t="str">
        <f aca="false">עזר!M347</f>
        <v/>
      </c>
    </row>
    <row r="348" customFormat="false" ht="15" hidden="false" customHeight="false" outlineLevel="0" collapsed="false">
      <c r="A348" s="13" t="str">
        <f aca="false">IF(עזר!L348="","",INDEX(עזר!$A$2:$A$5001,עזר!L348))</f>
        <v/>
      </c>
      <c r="B348" s="13" t="str">
        <f aca="false">IF(עזר!L348="","",INDEX(עזר!$B$2:$B$5001,עזר!L348))</f>
        <v/>
      </c>
      <c r="C348" s="13" t="str">
        <f aca="false">עזר!M348</f>
        <v/>
      </c>
    </row>
    <row r="349" customFormat="false" ht="15" hidden="false" customHeight="false" outlineLevel="0" collapsed="false">
      <c r="A349" s="13" t="str">
        <f aca="false">IF(עזר!L349="","",INDEX(עזר!$A$2:$A$5001,עזר!L349))</f>
        <v/>
      </c>
      <c r="B349" s="13" t="str">
        <f aca="false">IF(עזר!L349="","",INDEX(עזר!$B$2:$B$5001,עזר!L349))</f>
        <v/>
      </c>
      <c r="C349" s="13" t="str">
        <f aca="false">עזר!M349</f>
        <v/>
      </c>
    </row>
    <row r="350" customFormat="false" ht="15" hidden="false" customHeight="false" outlineLevel="0" collapsed="false">
      <c r="A350" s="13" t="str">
        <f aca="false">IF(עזר!L350="","",INDEX(עזר!$A$2:$A$5001,עזר!L350))</f>
        <v/>
      </c>
      <c r="B350" s="13" t="str">
        <f aca="false">IF(עזר!L350="","",INDEX(עזר!$B$2:$B$5001,עזר!L350))</f>
        <v/>
      </c>
      <c r="C350" s="13" t="str">
        <f aca="false">עזר!M350</f>
        <v/>
      </c>
    </row>
    <row r="351" customFormat="false" ht="15" hidden="false" customHeight="false" outlineLevel="0" collapsed="false">
      <c r="A351" s="13" t="str">
        <f aca="false">IF(עזר!L351="","",INDEX(עזר!$A$2:$A$5001,עזר!L351))</f>
        <v/>
      </c>
      <c r="B351" s="13" t="str">
        <f aca="false">IF(עזר!L351="","",INDEX(עזר!$B$2:$B$5001,עזר!L351))</f>
        <v/>
      </c>
      <c r="C351" s="13" t="str">
        <f aca="false">עזר!M351</f>
        <v/>
      </c>
    </row>
    <row r="352" customFormat="false" ht="15" hidden="false" customHeight="false" outlineLevel="0" collapsed="false">
      <c r="A352" s="13" t="str">
        <f aca="false">IF(עזר!L352="","",INDEX(עזר!$A$2:$A$5001,עזר!L352))</f>
        <v/>
      </c>
      <c r="B352" s="13" t="str">
        <f aca="false">IF(עזר!L352="","",INDEX(עזר!$B$2:$B$5001,עזר!L352))</f>
        <v/>
      </c>
      <c r="C352" s="13" t="str">
        <f aca="false">עזר!M352</f>
        <v/>
      </c>
    </row>
    <row r="353" customFormat="false" ht="15" hidden="false" customHeight="false" outlineLevel="0" collapsed="false">
      <c r="A353" s="13" t="str">
        <f aca="false">IF(עזר!L353="","",INDEX(עזר!$A$2:$A$5001,עזר!L353))</f>
        <v/>
      </c>
      <c r="B353" s="13" t="str">
        <f aca="false">IF(עזר!L353="","",INDEX(עזר!$B$2:$B$5001,עזר!L353))</f>
        <v/>
      </c>
      <c r="C353" s="13" t="str">
        <f aca="false">עזר!M353</f>
        <v/>
      </c>
    </row>
    <row r="354" customFormat="false" ht="15" hidden="false" customHeight="false" outlineLevel="0" collapsed="false">
      <c r="A354" s="13" t="str">
        <f aca="false">IF(עזר!L354="","",INDEX(עזר!$A$2:$A$5001,עזר!L354))</f>
        <v/>
      </c>
      <c r="B354" s="13" t="str">
        <f aca="false">IF(עזר!L354="","",INDEX(עזר!$B$2:$B$5001,עזר!L354))</f>
        <v/>
      </c>
      <c r="C354" s="13" t="str">
        <f aca="false">עזר!M354</f>
        <v/>
      </c>
    </row>
    <row r="355" customFormat="false" ht="15" hidden="false" customHeight="false" outlineLevel="0" collapsed="false">
      <c r="A355" s="13" t="str">
        <f aca="false">IF(עזר!L355="","",INDEX(עזר!$A$2:$A$5001,עזר!L355))</f>
        <v/>
      </c>
      <c r="B355" s="13" t="str">
        <f aca="false">IF(עזר!L355="","",INDEX(עזר!$B$2:$B$5001,עזר!L355))</f>
        <v/>
      </c>
      <c r="C355" s="13" t="str">
        <f aca="false">עזר!M355</f>
        <v/>
      </c>
    </row>
    <row r="356" customFormat="false" ht="15" hidden="false" customHeight="false" outlineLevel="0" collapsed="false">
      <c r="A356" s="13" t="str">
        <f aca="false">IF(עזר!L356="","",INDEX(עזר!$A$2:$A$5001,עזר!L356))</f>
        <v/>
      </c>
      <c r="B356" s="13" t="str">
        <f aca="false">IF(עזר!L356="","",INDEX(עזר!$B$2:$B$5001,עזר!L356))</f>
        <v/>
      </c>
      <c r="C356" s="13" t="str">
        <f aca="false">עזר!M356</f>
        <v/>
      </c>
    </row>
    <row r="357" customFormat="false" ht="15" hidden="false" customHeight="false" outlineLevel="0" collapsed="false">
      <c r="A357" s="13" t="str">
        <f aca="false">IF(עזר!L357="","",INDEX(עזר!$A$2:$A$5001,עזר!L357))</f>
        <v/>
      </c>
      <c r="B357" s="13" t="str">
        <f aca="false">IF(עזר!L357="","",INDEX(עזר!$B$2:$B$5001,עזר!L357))</f>
        <v/>
      </c>
      <c r="C357" s="13" t="str">
        <f aca="false">עזר!M357</f>
        <v/>
      </c>
    </row>
    <row r="358" customFormat="false" ht="15" hidden="false" customHeight="false" outlineLevel="0" collapsed="false">
      <c r="A358" s="13" t="str">
        <f aca="false">IF(עזר!L358="","",INDEX(עזר!$A$2:$A$5001,עזר!L358))</f>
        <v/>
      </c>
      <c r="B358" s="13" t="str">
        <f aca="false">IF(עזר!L358="","",INDEX(עזר!$B$2:$B$5001,עזר!L358))</f>
        <v/>
      </c>
      <c r="C358" s="13" t="str">
        <f aca="false">עזר!M358</f>
        <v/>
      </c>
    </row>
    <row r="359" customFormat="false" ht="15" hidden="false" customHeight="false" outlineLevel="0" collapsed="false">
      <c r="A359" s="13" t="str">
        <f aca="false">IF(עזר!L359="","",INDEX(עזר!$A$2:$A$5001,עזר!L359))</f>
        <v/>
      </c>
      <c r="B359" s="13" t="str">
        <f aca="false">IF(עזר!L359="","",INDEX(עזר!$B$2:$B$5001,עזר!L359))</f>
        <v/>
      </c>
      <c r="C359" s="13" t="str">
        <f aca="false">עזר!M359</f>
        <v/>
      </c>
    </row>
    <row r="360" customFormat="false" ht="15" hidden="false" customHeight="false" outlineLevel="0" collapsed="false">
      <c r="A360" s="13" t="str">
        <f aca="false">IF(עזר!L360="","",INDEX(עזר!$A$2:$A$5001,עזר!L360))</f>
        <v/>
      </c>
      <c r="B360" s="13" t="str">
        <f aca="false">IF(עזר!L360="","",INDEX(עזר!$B$2:$B$5001,עזר!L360))</f>
        <v/>
      </c>
      <c r="C360" s="13" t="str">
        <f aca="false">עזר!M360</f>
        <v/>
      </c>
    </row>
    <row r="361" customFormat="false" ht="15" hidden="false" customHeight="false" outlineLevel="0" collapsed="false">
      <c r="A361" s="13" t="str">
        <f aca="false">IF(עזר!L361="","",INDEX(עזר!$A$2:$A$5001,עזר!L361))</f>
        <v/>
      </c>
      <c r="B361" s="13" t="str">
        <f aca="false">IF(עזר!L361="","",INDEX(עזר!$B$2:$B$5001,עזר!L361))</f>
        <v/>
      </c>
      <c r="C361" s="13" t="str">
        <f aca="false">עזר!M361</f>
        <v/>
      </c>
    </row>
    <row r="362" customFormat="false" ht="15" hidden="false" customHeight="false" outlineLevel="0" collapsed="false">
      <c r="A362" s="13" t="str">
        <f aca="false">IF(עזר!L362="","",INDEX(עזר!$A$2:$A$5001,עזר!L362))</f>
        <v/>
      </c>
      <c r="B362" s="13" t="str">
        <f aca="false">IF(עזר!L362="","",INDEX(עזר!$B$2:$B$5001,עזר!L362))</f>
        <v/>
      </c>
      <c r="C362" s="13" t="str">
        <f aca="false">עזר!M362</f>
        <v/>
      </c>
    </row>
    <row r="363" customFormat="false" ht="15" hidden="false" customHeight="false" outlineLevel="0" collapsed="false">
      <c r="A363" s="13" t="str">
        <f aca="false">IF(עזר!L363="","",INDEX(עזר!$A$2:$A$5001,עזר!L363))</f>
        <v/>
      </c>
      <c r="B363" s="13" t="str">
        <f aca="false">IF(עזר!L363="","",INDEX(עזר!$B$2:$B$5001,עזר!L363))</f>
        <v/>
      </c>
      <c r="C363" s="13" t="str">
        <f aca="false">עזר!M363</f>
        <v/>
      </c>
    </row>
    <row r="364" customFormat="false" ht="15" hidden="false" customHeight="false" outlineLevel="0" collapsed="false">
      <c r="A364" s="13" t="str">
        <f aca="false">IF(עזר!L364="","",INDEX(עזר!$A$2:$A$5001,עזר!L364))</f>
        <v/>
      </c>
      <c r="B364" s="13" t="str">
        <f aca="false">IF(עזר!L364="","",INDEX(עזר!$B$2:$B$5001,עזר!L364))</f>
        <v/>
      </c>
      <c r="C364" s="13" t="str">
        <f aca="false">עזר!M364</f>
        <v/>
      </c>
    </row>
    <row r="365" customFormat="false" ht="15" hidden="false" customHeight="false" outlineLevel="0" collapsed="false">
      <c r="A365" s="13" t="str">
        <f aca="false">IF(עזר!L365="","",INDEX(עזר!$A$2:$A$5001,עזר!L365))</f>
        <v/>
      </c>
      <c r="B365" s="13" t="str">
        <f aca="false">IF(עזר!L365="","",INDEX(עזר!$B$2:$B$5001,עזר!L365))</f>
        <v/>
      </c>
      <c r="C365" s="13" t="str">
        <f aca="false">עזר!M365</f>
        <v/>
      </c>
    </row>
    <row r="366" customFormat="false" ht="15" hidden="false" customHeight="false" outlineLevel="0" collapsed="false">
      <c r="A366" s="13" t="str">
        <f aca="false">IF(עזר!L366="","",INDEX(עזר!$A$2:$A$5001,עזר!L366))</f>
        <v/>
      </c>
      <c r="B366" s="13" t="str">
        <f aca="false">IF(עזר!L366="","",INDEX(עזר!$B$2:$B$5001,עזר!L366))</f>
        <v/>
      </c>
      <c r="C366" s="13" t="str">
        <f aca="false">עזר!M366</f>
        <v/>
      </c>
    </row>
    <row r="367" customFormat="false" ht="15" hidden="false" customHeight="false" outlineLevel="0" collapsed="false">
      <c r="A367" s="13" t="str">
        <f aca="false">IF(עזר!L367="","",INDEX(עזר!$A$2:$A$5001,עזר!L367))</f>
        <v/>
      </c>
      <c r="B367" s="13" t="str">
        <f aca="false">IF(עזר!L367="","",INDEX(עזר!$B$2:$B$5001,עזר!L367))</f>
        <v/>
      </c>
      <c r="C367" s="13" t="str">
        <f aca="false">עזר!M367</f>
        <v/>
      </c>
    </row>
    <row r="368" customFormat="false" ht="15" hidden="false" customHeight="false" outlineLevel="0" collapsed="false">
      <c r="A368" s="13" t="str">
        <f aca="false">IF(עזר!L368="","",INDEX(עזר!$A$2:$A$5001,עזר!L368))</f>
        <v/>
      </c>
      <c r="B368" s="13" t="str">
        <f aca="false">IF(עזר!L368="","",INDEX(עזר!$B$2:$B$5001,עזר!L368))</f>
        <v/>
      </c>
      <c r="C368" s="13" t="str">
        <f aca="false">עזר!M368</f>
        <v/>
      </c>
    </row>
    <row r="369" customFormat="false" ht="15" hidden="false" customHeight="false" outlineLevel="0" collapsed="false">
      <c r="A369" s="13" t="str">
        <f aca="false">IF(עזר!L369="","",INDEX(עזר!$A$2:$A$5001,עזר!L369))</f>
        <v/>
      </c>
      <c r="B369" s="13" t="str">
        <f aca="false">IF(עזר!L369="","",INDEX(עזר!$B$2:$B$5001,עזר!L369))</f>
        <v/>
      </c>
      <c r="C369" s="13" t="str">
        <f aca="false">עזר!M369</f>
        <v/>
      </c>
    </row>
    <row r="370" customFormat="false" ht="15" hidden="false" customHeight="false" outlineLevel="0" collapsed="false">
      <c r="A370" s="13" t="str">
        <f aca="false">IF(עזר!L370="","",INDEX(עזר!$A$2:$A$5001,עזר!L370))</f>
        <v/>
      </c>
      <c r="B370" s="13" t="str">
        <f aca="false">IF(עזר!L370="","",INDEX(עזר!$B$2:$B$5001,עזר!L370))</f>
        <v/>
      </c>
      <c r="C370" s="13" t="str">
        <f aca="false">עזר!M370</f>
        <v/>
      </c>
    </row>
    <row r="371" customFormat="false" ht="15" hidden="false" customHeight="false" outlineLevel="0" collapsed="false">
      <c r="A371" s="13" t="str">
        <f aca="false">IF(עזר!L371="","",INDEX(עזר!$A$2:$A$5001,עזר!L371))</f>
        <v/>
      </c>
      <c r="B371" s="13" t="str">
        <f aca="false">IF(עזר!L371="","",INDEX(עזר!$B$2:$B$5001,עזר!L371))</f>
        <v/>
      </c>
      <c r="C371" s="13" t="str">
        <f aca="false">עזר!M371</f>
        <v/>
      </c>
    </row>
    <row r="372" customFormat="false" ht="15" hidden="false" customHeight="false" outlineLevel="0" collapsed="false">
      <c r="A372" s="13" t="str">
        <f aca="false">IF(עזר!L372="","",INDEX(עזר!$A$2:$A$5001,עזר!L372))</f>
        <v/>
      </c>
      <c r="B372" s="13" t="str">
        <f aca="false">IF(עזר!L372="","",INDEX(עזר!$B$2:$B$5001,עזר!L372))</f>
        <v/>
      </c>
      <c r="C372" s="13" t="str">
        <f aca="false">עזר!M372</f>
        <v/>
      </c>
    </row>
    <row r="373" customFormat="false" ht="15" hidden="false" customHeight="false" outlineLevel="0" collapsed="false">
      <c r="A373" s="13" t="str">
        <f aca="false">IF(עזר!L373="","",INDEX(עזר!$A$2:$A$5001,עזר!L373))</f>
        <v/>
      </c>
      <c r="B373" s="13" t="str">
        <f aca="false">IF(עזר!L373="","",INDEX(עזר!$B$2:$B$5001,עזר!L373))</f>
        <v/>
      </c>
      <c r="C373" s="13" t="str">
        <f aca="false">עזר!M373</f>
        <v/>
      </c>
    </row>
    <row r="374" customFormat="false" ht="15" hidden="false" customHeight="false" outlineLevel="0" collapsed="false">
      <c r="A374" s="13" t="str">
        <f aca="false">IF(עזר!L374="","",INDEX(עזר!$A$2:$A$5001,עזר!L374))</f>
        <v/>
      </c>
      <c r="B374" s="13" t="str">
        <f aca="false">IF(עזר!L374="","",INDEX(עזר!$B$2:$B$5001,עזר!L374))</f>
        <v/>
      </c>
      <c r="C374" s="13" t="str">
        <f aca="false">עזר!M374</f>
        <v/>
      </c>
    </row>
    <row r="375" customFormat="false" ht="15" hidden="false" customHeight="false" outlineLevel="0" collapsed="false">
      <c r="A375" s="13" t="str">
        <f aca="false">IF(עזר!L375="","",INDEX(עזר!$A$2:$A$5001,עזר!L375))</f>
        <v/>
      </c>
      <c r="B375" s="13" t="str">
        <f aca="false">IF(עזר!L375="","",INDEX(עזר!$B$2:$B$5001,עזר!L375))</f>
        <v/>
      </c>
      <c r="C375" s="13" t="str">
        <f aca="false">עזר!M375</f>
        <v/>
      </c>
    </row>
    <row r="376" customFormat="false" ht="15" hidden="false" customHeight="false" outlineLevel="0" collapsed="false">
      <c r="A376" s="13" t="str">
        <f aca="false">IF(עזר!L376="","",INDEX(עזר!$A$2:$A$5001,עזר!L376))</f>
        <v/>
      </c>
      <c r="B376" s="13" t="str">
        <f aca="false">IF(עזר!L376="","",INDEX(עזר!$B$2:$B$5001,עזר!L376))</f>
        <v/>
      </c>
      <c r="C376" s="13" t="str">
        <f aca="false">עזר!M376</f>
        <v/>
      </c>
    </row>
    <row r="377" customFormat="false" ht="15" hidden="false" customHeight="false" outlineLevel="0" collapsed="false">
      <c r="A377" s="13" t="str">
        <f aca="false">IF(עזר!L377="","",INDEX(עזר!$A$2:$A$5001,עזר!L377))</f>
        <v/>
      </c>
      <c r="B377" s="13" t="str">
        <f aca="false">IF(עזר!L377="","",INDEX(עזר!$B$2:$B$5001,עזר!L377))</f>
        <v/>
      </c>
      <c r="C377" s="13" t="str">
        <f aca="false">עזר!M377</f>
        <v/>
      </c>
    </row>
    <row r="378" customFormat="false" ht="15" hidden="false" customHeight="false" outlineLevel="0" collapsed="false">
      <c r="A378" s="13" t="str">
        <f aca="false">IF(עזר!L378="","",INDEX(עזר!$A$2:$A$5001,עזר!L378))</f>
        <v/>
      </c>
      <c r="B378" s="13" t="str">
        <f aca="false">IF(עזר!L378="","",INDEX(עזר!$B$2:$B$5001,עזר!L378))</f>
        <v/>
      </c>
      <c r="C378" s="13" t="str">
        <f aca="false">עזר!M378</f>
        <v/>
      </c>
    </row>
    <row r="379" customFormat="false" ht="15" hidden="false" customHeight="false" outlineLevel="0" collapsed="false">
      <c r="A379" s="13" t="str">
        <f aca="false">IF(עזר!L379="","",INDEX(עזר!$A$2:$A$5001,עזר!L379))</f>
        <v/>
      </c>
      <c r="B379" s="13" t="str">
        <f aca="false">IF(עזר!L379="","",INDEX(עזר!$B$2:$B$5001,עזר!L379))</f>
        <v/>
      </c>
      <c r="C379" s="13" t="str">
        <f aca="false">עזר!M379</f>
        <v/>
      </c>
    </row>
    <row r="380" customFormat="false" ht="15" hidden="false" customHeight="false" outlineLevel="0" collapsed="false">
      <c r="A380" s="13" t="str">
        <f aca="false">IF(עזר!L380="","",INDEX(עזר!$A$2:$A$5001,עזר!L380))</f>
        <v/>
      </c>
      <c r="B380" s="13" t="str">
        <f aca="false">IF(עזר!L380="","",INDEX(עזר!$B$2:$B$5001,עזר!L380))</f>
        <v/>
      </c>
      <c r="C380" s="13" t="str">
        <f aca="false">עזר!M380</f>
        <v/>
      </c>
    </row>
    <row r="381" customFormat="false" ht="15" hidden="false" customHeight="false" outlineLevel="0" collapsed="false">
      <c r="A381" s="13" t="str">
        <f aca="false">IF(עזר!L381="","",INDEX(עזר!$A$2:$A$5001,עזר!L381))</f>
        <v/>
      </c>
      <c r="B381" s="13" t="str">
        <f aca="false">IF(עזר!L381="","",INDEX(עזר!$B$2:$B$5001,עזר!L381))</f>
        <v/>
      </c>
      <c r="C381" s="13" t="str">
        <f aca="false">עזר!M381</f>
        <v/>
      </c>
    </row>
    <row r="382" customFormat="false" ht="15" hidden="false" customHeight="false" outlineLevel="0" collapsed="false">
      <c r="A382" s="13" t="str">
        <f aca="false">IF(עזר!L382="","",INDEX(עזר!$A$2:$A$5001,עזר!L382))</f>
        <v/>
      </c>
      <c r="B382" s="13" t="str">
        <f aca="false">IF(עזר!L382="","",INDEX(עזר!$B$2:$B$5001,עזר!L382))</f>
        <v/>
      </c>
      <c r="C382" s="13" t="str">
        <f aca="false">עזר!M382</f>
        <v/>
      </c>
    </row>
    <row r="383" customFormat="false" ht="15" hidden="false" customHeight="false" outlineLevel="0" collapsed="false">
      <c r="A383" s="13" t="str">
        <f aca="false">IF(עזר!L383="","",INDEX(עזר!$A$2:$A$5001,עזר!L383))</f>
        <v/>
      </c>
      <c r="B383" s="13" t="str">
        <f aca="false">IF(עזר!L383="","",INDEX(עזר!$B$2:$B$5001,עזר!L383))</f>
        <v/>
      </c>
      <c r="C383" s="13" t="str">
        <f aca="false">עזר!M383</f>
        <v/>
      </c>
    </row>
    <row r="384" customFormat="false" ht="15" hidden="false" customHeight="false" outlineLevel="0" collapsed="false">
      <c r="A384" s="13" t="str">
        <f aca="false">IF(עזר!L384="","",INDEX(עזר!$A$2:$A$5001,עזר!L384))</f>
        <v/>
      </c>
      <c r="B384" s="13" t="str">
        <f aca="false">IF(עזר!L384="","",INDEX(עזר!$B$2:$B$5001,עזר!L384))</f>
        <v/>
      </c>
      <c r="C384" s="13" t="str">
        <f aca="false">עזר!M384</f>
        <v/>
      </c>
    </row>
    <row r="385" customFormat="false" ht="15" hidden="false" customHeight="false" outlineLevel="0" collapsed="false">
      <c r="A385" s="13" t="str">
        <f aca="false">IF(עזר!L385="","",INDEX(עזר!$A$2:$A$5001,עזר!L385))</f>
        <v/>
      </c>
      <c r="B385" s="13" t="str">
        <f aca="false">IF(עזר!L385="","",INDEX(עזר!$B$2:$B$5001,עזר!L385))</f>
        <v/>
      </c>
      <c r="C385" s="13" t="str">
        <f aca="false">עזר!M385</f>
        <v/>
      </c>
    </row>
    <row r="386" customFormat="false" ht="15" hidden="false" customHeight="false" outlineLevel="0" collapsed="false">
      <c r="A386" s="13" t="str">
        <f aca="false">IF(עזר!L386="","",INDEX(עזר!$A$2:$A$5001,עזר!L386))</f>
        <v/>
      </c>
      <c r="B386" s="13" t="str">
        <f aca="false">IF(עזר!L386="","",INDEX(עזר!$B$2:$B$5001,עזר!L386))</f>
        <v/>
      </c>
      <c r="C386" s="13" t="str">
        <f aca="false">עזר!M386</f>
        <v/>
      </c>
    </row>
    <row r="387" customFormat="false" ht="15" hidden="false" customHeight="false" outlineLevel="0" collapsed="false">
      <c r="A387" s="13" t="str">
        <f aca="false">IF(עזר!L387="","",INDEX(עזר!$A$2:$A$5001,עזר!L387))</f>
        <v/>
      </c>
      <c r="B387" s="13" t="str">
        <f aca="false">IF(עזר!L387="","",INDEX(עזר!$B$2:$B$5001,עזר!L387))</f>
        <v/>
      </c>
      <c r="C387" s="13" t="str">
        <f aca="false">עזר!M387</f>
        <v/>
      </c>
    </row>
    <row r="388" customFormat="false" ht="15" hidden="false" customHeight="false" outlineLevel="0" collapsed="false">
      <c r="A388" s="13" t="str">
        <f aca="false">IF(עזר!L388="","",INDEX(עזר!$A$2:$A$5001,עזר!L388))</f>
        <v/>
      </c>
      <c r="B388" s="13" t="str">
        <f aca="false">IF(עזר!L388="","",INDEX(עזר!$B$2:$B$5001,עזר!L388))</f>
        <v/>
      </c>
      <c r="C388" s="13" t="str">
        <f aca="false">עזר!M388</f>
        <v/>
      </c>
    </row>
    <row r="389" customFormat="false" ht="15" hidden="false" customHeight="false" outlineLevel="0" collapsed="false">
      <c r="A389" s="13" t="str">
        <f aca="false">IF(עזר!L389="","",INDEX(עזר!$A$2:$A$5001,עזר!L389))</f>
        <v/>
      </c>
      <c r="B389" s="13" t="str">
        <f aca="false">IF(עזר!L389="","",INDEX(עזר!$B$2:$B$5001,עזר!L389))</f>
        <v/>
      </c>
      <c r="C389" s="13" t="str">
        <f aca="false">עזר!M389</f>
        <v/>
      </c>
    </row>
    <row r="390" customFormat="false" ht="15" hidden="false" customHeight="false" outlineLevel="0" collapsed="false">
      <c r="A390" s="13" t="str">
        <f aca="false">IF(עזר!L390="","",INDEX(עזר!$A$2:$A$5001,עזר!L390))</f>
        <v/>
      </c>
      <c r="B390" s="13" t="str">
        <f aca="false">IF(עזר!L390="","",INDEX(עזר!$B$2:$B$5001,עזר!L390))</f>
        <v/>
      </c>
      <c r="C390" s="13" t="str">
        <f aca="false">עזר!M390</f>
        <v/>
      </c>
    </row>
    <row r="391" customFormat="false" ht="15" hidden="false" customHeight="false" outlineLevel="0" collapsed="false">
      <c r="A391" s="13" t="str">
        <f aca="false">IF(עזר!L391="","",INDEX(עזר!$A$2:$A$5001,עזר!L391))</f>
        <v/>
      </c>
      <c r="B391" s="13" t="str">
        <f aca="false">IF(עזר!L391="","",INDEX(עזר!$B$2:$B$5001,עזר!L391))</f>
        <v/>
      </c>
      <c r="C391" s="13" t="str">
        <f aca="false">עזר!M391</f>
        <v/>
      </c>
    </row>
    <row r="392" customFormat="false" ht="15" hidden="false" customHeight="false" outlineLevel="0" collapsed="false">
      <c r="A392" s="13" t="str">
        <f aca="false">IF(עזר!L392="","",INDEX(עזר!$A$2:$A$5001,עזר!L392))</f>
        <v/>
      </c>
      <c r="B392" s="13" t="str">
        <f aca="false">IF(עזר!L392="","",INDEX(עזר!$B$2:$B$5001,עזר!L392))</f>
        <v/>
      </c>
      <c r="C392" s="13" t="str">
        <f aca="false">עזר!M392</f>
        <v/>
      </c>
    </row>
    <row r="393" customFormat="false" ht="15" hidden="false" customHeight="false" outlineLevel="0" collapsed="false">
      <c r="A393" s="13" t="str">
        <f aca="false">IF(עזר!L393="","",INDEX(עזר!$A$2:$A$5001,עזר!L393))</f>
        <v/>
      </c>
      <c r="B393" s="13" t="str">
        <f aca="false">IF(עזר!L393="","",INDEX(עזר!$B$2:$B$5001,עזר!L393))</f>
        <v/>
      </c>
      <c r="C393" s="13" t="str">
        <f aca="false">עזר!M393</f>
        <v/>
      </c>
    </row>
    <row r="394" customFormat="false" ht="15" hidden="false" customHeight="false" outlineLevel="0" collapsed="false">
      <c r="A394" s="13" t="str">
        <f aca="false">IF(עזר!L394="","",INDEX(עזר!$A$2:$A$5001,עזר!L394))</f>
        <v/>
      </c>
      <c r="B394" s="13" t="str">
        <f aca="false">IF(עזר!L394="","",INDEX(עזר!$B$2:$B$5001,עזר!L394))</f>
        <v/>
      </c>
      <c r="C394" s="13" t="str">
        <f aca="false">עזר!M394</f>
        <v/>
      </c>
    </row>
    <row r="395" customFormat="false" ht="15" hidden="false" customHeight="false" outlineLevel="0" collapsed="false">
      <c r="A395" s="13" t="str">
        <f aca="false">IF(עזר!L395="","",INDEX(עזר!$A$2:$A$5001,עזר!L395))</f>
        <v/>
      </c>
      <c r="B395" s="13" t="str">
        <f aca="false">IF(עזר!L395="","",INDEX(עזר!$B$2:$B$5001,עזר!L395))</f>
        <v/>
      </c>
      <c r="C395" s="13" t="str">
        <f aca="false">עזר!M395</f>
        <v/>
      </c>
    </row>
    <row r="396" customFormat="false" ht="15" hidden="false" customHeight="false" outlineLevel="0" collapsed="false">
      <c r="A396" s="13" t="str">
        <f aca="false">IF(עזר!L396="","",INDEX(עזר!$A$2:$A$5001,עזר!L396))</f>
        <v/>
      </c>
      <c r="B396" s="13" t="str">
        <f aca="false">IF(עזר!L396="","",INDEX(עזר!$B$2:$B$5001,עזר!L396))</f>
        <v/>
      </c>
      <c r="C396" s="13" t="str">
        <f aca="false">עזר!M396</f>
        <v/>
      </c>
    </row>
    <row r="397" customFormat="false" ht="15" hidden="false" customHeight="false" outlineLevel="0" collapsed="false">
      <c r="A397" s="13" t="str">
        <f aca="false">IF(עזר!L397="","",INDEX(עזר!$A$2:$A$5001,עזר!L397))</f>
        <v/>
      </c>
      <c r="B397" s="13" t="str">
        <f aca="false">IF(עזר!L397="","",INDEX(עזר!$B$2:$B$5001,עזר!L397))</f>
        <v/>
      </c>
      <c r="C397" s="13" t="str">
        <f aca="false">עזר!M397</f>
        <v/>
      </c>
    </row>
    <row r="398" customFormat="false" ht="15" hidden="false" customHeight="false" outlineLevel="0" collapsed="false">
      <c r="A398" s="13" t="str">
        <f aca="false">IF(עזר!L398="","",INDEX(עזר!$A$2:$A$5001,עזר!L398))</f>
        <v/>
      </c>
      <c r="B398" s="13" t="str">
        <f aca="false">IF(עזר!L398="","",INDEX(עזר!$B$2:$B$5001,עזר!L398))</f>
        <v/>
      </c>
      <c r="C398" s="13" t="str">
        <f aca="false">עזר!M398</f>
        <v/>
      </c>
    </row>
    <row r="399" customFormat="false" ht="15" hidden="false" customHeight="false" outlineLevel="0" collapsed="false">
      <c r="A399" s="13" t="str">
        <f aca="false">IF(עזר!L399="","",INDEX(עזר!$A$2:$A$5001,עזר!L399))</f>
        <v/>
      </c>
      <c r="B399" s="13" t="str">
        <f aca="false">IF(עזר!L399="","",INDEX(עזר!$B$2:$B$5001,עזר!L399))</f>
        <v/>
      </c>
      <c r="C399" s="13" t="str">
        <f aca="false">עזר!M399</f>
        <v/>
      </c>
    </row>
    <row r="400" customFormat="false" ht="15" hidden="false" customHeight="false" outlineLevel="0" collapsed="false">
      <c r="A400" s="13" t="str">
        <f aca="false">IF(עזר!L400="","",INDEX(עזר!$A$2:$A$5001,עזר!L400))</f>
        <v/>
      </c>
      <c r="B400" s="13" t="str">
        <f aca="false">IF(עזר!L400="","",INDEX(עזר!$B$2:$B$5001,עזר!L400))</f>
        <v/>
      </c>
      <c r="C400" s="13" t="str">
        <f aca="false">עזר!M400</f>
        <v/>
      </c>
    </row>
    <row r="401" customFormat="false" ht="15" hidden="false" customHeight="false" outlineLevel="0" collapsed="false">
      <c r="A401" s="13" t="str">
        <f aca="false">IF(עזר!L401="","",INDEX(עזר!$A$2:$A$5001,עזר!L401))</f>
        <v/>
      </c>
      <c r="B401" s="13" t="str">
        <f aca="false">IF(עזר!L401="","",INDEX(עזר!$B$2:$B$5001,עזר!L401))</f>
        <v/>
      </c>
      <c r="C401" s="13" t="str">
        <f aca="false">עזר!M401</f>
        <v/>
      </c>
    </row>
    <row r="402" customFormat="false" ht="15" hidden="false" customHeight="false" outlineLevel="0" collapsed="false">
      <c r="A402" s="13" t="str">
        <f aca="false">IF(עזר!L402="","",INDEX(עזר!$A$2:$A$5001,עזר!L402))</f>
        <v/>
      </c>
      <c r="B402" s="13" t="str">
        <f aca="false">IF(עזר!L402="","",INDEX(עזר!$B$2:$B$5001,עזר!L402))</f>
        <v/>
      </c>
      <c r="C402" s="13" t="str">
        <f aca="false">עזר!M402</f>
        <v/>
      </c>
    </row>
    <row r="403" customFormat="false" ht="15" hidden="false" customHeight="false" outlineLevel="0" collapsed="false">
      <c r="A403" s="13" t="str">
        <f aca="false">IF(עזר!L403="","",INDEX(עזר!$A$2:$A$5001,עזר!L403))</f>
        <v/>
      </c>
      <c r="B403" s="13" t="str">
        <f aca="false">IF(עזר!L403="","",INDEX(עזר!$B$2:$B$5001,עזר!L403))</f>
        <v/>
      </c>
      <c r="C403" s="13" t="str">
        <f aca="false">עזר!M403</f>
        <v/>
      </c>
    </row>
    <row r="404" customFormat="false" ht="15" hidden="false" customHeight="false" outlineLevel="0" collapsed="false">
      <c r="A404" s="13" t="str">
        <f aca="false">IF(עזר!L404="","",INDEX(עזר!$A$2:$A$5001,עזר!L404))</f>
        <v/>
      </c>
      <c r="B404" s="13" t="str">
        <f aca="false">IF(עזר!L404="","",INDEX(עזר!$B$2:$B$5001,עזר!L404))</f>
        <v/>
      </c>
      <c r="C404" s="13" t="str">
        <f aca="false">עזר!M404</f>
        <v/>
      </c>
    </row>
    <row r="405" customFormat="false" ht="15" hidden="false" customHeight="false" outlineLevel="0" collapsed="false">
      <c r="A405" s="13" t="str">
        <f aca="false">IF(עזר!L405="","",INDEX(עזר!$A$2:$A$5001,עזר!L405))</f>
        <v/>
      </c>
      <c r="B405" s="13" t="str">
        <f aca="false">IF(עזר!L405="","",INDEX(עזר!$B$2:$B$5001,עזר!L405))</f>
        <v/>
      </c>
      <c r="C405" s="13" t="str">
        <f aca="false">עזר!M405</f>
        <v/>
      </c>
    </row>
    <row r="406" customFormat="false" ht="15" hidden="false" customHeight="false" outlineLevel="0" collapsed="false">
      <c r="A406" s="13" t="str">
        <f aca="false">IF(עזר!L406="","",INDEX(עזר!$A$2:$A$5001,עזר!L406))</f>
        <v/>
      </c>
      <c r="B406" s="13" t="str">
        <f aca="false">IF(עזר!L406="","",INDEX(עזר!$B$2:$B$5001,עזר!L406))</f>
        <v/>
      </c>
      <c r="C406" s="13" t="str">
        <f aca="false">עזר!M406</f>
        <v/>
      </c>
    </row>
    <row r="407" customFormat="false" ht="15" hidden="false" customHeight="false" outlineLevel="0" collapsed="false">
      <c r="A407" s="13" t="str">
        <f aca="false">IF(עזר!L407="","",INDEX(עזר!$A$2:$A$5001,עזר!L407))</f>
        <v/>
      </c>
      <c r="B407" s="13" t="str">
        <f aca="false">IF(עזר!L407="","",INDEX(עזר!$B$2:$B$5001,עזר!L407))</f>
        <v/>
      </c>
      <c r="C407" s="13" t="str">
        <f aca="false">עזר!M407</f>
        <v/>
      </c>
    </row>
    <row r="408" customFormat="false" ht="15" hidden="false" customHeight="false" outlineLevel="0" collapsed="false">
      <c r="A408" s="13" t="str">
        <f aca="false">IF(עזר!L408="","",INDEX(עזר!$A$2:$A$5001,עזר!L408))</f>
        <v/>
      </c>
      <c r="B408" s="13" t="str">
        <f aca="false">IF(עזר!L408="","",INDEX(עזר!$B$2:$B$5001,עזר!L408))</f>
        <v/>
      </c>
      <c r="C408" s="13" t="str">
        <f aca="false">עזר!M408</f>
        <v/>
      </c>
    </row>
    <row r="409" customFormat="false" ht="15" hidden="false" customHeight="false" outlineLevel="0" collapsed="false">
      <c r="A409" s="13" t="str">
        <f aca="false">IF(עזר!L409="","",INDEX(עזר!$A$2:$A$5001,עזר!L409))</f>
        <v/>
      </c>
      <c r="B409" s="13" t="str">
        <f aca="false">IF(עזר!L409="","",INDEX(עזר!$B$2:$B$5001,עזר!L409))</f>
        <v/>
      </c>
      <c r="C409" s="13" t="str">
        <f aca="false">עזר!M409</f>
        <v/>
      </c>
    </row>
    <row r="410" customFormat="false" ht="15" hidden="false" customHeight="false" outlineLevel="0" collapsed="false">
      <c r="A410" s="13" t="str">
        <f aca="false">IF(עזר!L410="","",INDEX(עזר!$A$2:$A$5001,עזר!L410))</f>
        <v/>
      </c>
      <c r="B410" s="13" t="str">
        <f aca="false">IF(עזר!L410="","",INDEX(עזר!$B$2:$B$5001,עזר!L410))</f>
        <v/>
      </c>
      <c r="C410" s="13" t="str">
        <f aca="false">עזר!M410</f>
        <v/>
      </c>
    </row>
    <row r="411" customFormat="false" ht="15" hidden="false" customHeight="false" outlineLevel="0" collapsed="false">
      <c r="A411" s="13" t="str">
        <f aca="false">IF(עזר!L411="","",INDEX(עזר!$A$2:$A$5001,עזר!L411))</f>
        <v/>
      </c>
      <c r="B411" s="13" t="str">
        <f aca="false">IF(עזר!L411="","",INDEX(עזר!$B$2:$B$5001,עזר!L411))</f>
        <v/>
      </c>
      <c r="C411" s="13" t="str">
        <f aca="false">עזר!M411</f>
        <v/>
      </c>
    </row>
    <row r="412" customFormat="false" ht="15" hidden="false" customHeight="false" outlineLevel="0" collapsed="false">
      <c r="A412" s="13" t="str">
        <f aca="false">IF(עזר!L412="","",INDEX(עזר!$A$2:$A$5001,עזר!L412))</f>
        <v/>
      </c>
      <c r="B412" s="13" t="str">
        <f aca="false">IF(עזר!L412="","",INDEX(עזר!$B$2:$B$5001,עזר!L412))</f>
        <v/>
      </c>
      <c r="C412" s="13" t="str">
        <f aca="false">עזר!M412</f>
        <v/>
      </c>
    </row>
    <row r="413" customFormat="false" ht="15" hidden="false" customHeight="false" outlineLevel="0" collapsed="false">
      <c r="A413" s="13" t="str">
        <f aca="false">IF(עזר!L413="","",INDEX(עזר!$A$2:$A$5001,עזר!L413))</f>
        <v/>
      </c>
      <c r="B413" s="13" t="str">
        <f aca="false">IF(עזר!L413="","",INDEX(עזר!$B$2:$B$5001,עזר!L413))</f>
        <v/>
      </c>
      <c r="C413" s="13" t="str">
        <f aca="false">עזר!M413</f>
        <v/>
      </c>
    </row>
    <row r="414" customFormat="false" ht="15" hidden="false" customHeight="false" outlineLevel="0" collapsed="false">
      <c r="A414" s="13" t="str">
        <f aca="false">IF(עזר!L414="","",INDEX(עזר!$A$2:$A$5001,עזר!L414))</f>
        <v/>
      </c>
      <c r="B414" s="13" t="str">
        <f aca="false">IF(עזר!L414="","",INDEX(עזר!$B$2:$B$5001,עזר!L414))</f>
        <v/>
      </c>
      <c r="C414" s="13" t="str">
        <f aca="false">עזר!M414</f>
        <v/>
      </c>
    </row>
    <row r="415" customFormat="false" ht="15" hidden="false" customHeight="false" outlineLevel="0" collapsed="false">
      <c r="A415" s="13" t="str">
        <f aca="false">IF(עזר!L415="","",INDEX(עזר!$A$2:$A$5001,עזר!L415))</f>
        <v/>
      </c>
      <c r="B415" s="13" t="str">
        <f aca="false">IF(עזר!L415="","",INDEX(עזר!$B$2:$B$5001,עזר!L415))</f>
        <v/>
      </c>
      <c r="C415" s="13" t="str">
        <f aca="false">עזר!M415</f>
        <v/>
      </c>
    </row>
    <row r="416" customFormat="false" ht="15" hidden="false" customHeight="false" outlineLevel="0" collapsed="false">
      <c r="A416" s="13" t="str">
        <f aca="false">IF(עזר!L416="","",INDEX(עזר!$A$2:$A$5001,עזר!L416))</f>
        <v/>
      </c>
      <c r="B416" s="13" t="str">
        <f aca="false">IF(עזר!L416="","",INDEX(עזר!$B$2:$B$5001,עזר!L416))</f>
        <v/>
      </c>
      <c r="C416" s="13" t="str">
        <f aca="false">עזר!M416</f>
        <v/>
      </c>
    </row>
    <row r="417" customFormat="false" ht="15" hidden="false" customHeight="false" outlineLevel="0" collapsed="false">
      <c r="A417" s="13" t="str">
        <f aca="false">IF(עזר!L417="","",INDEX(עזר!$A$2:$A$5001,עזר!L417))</f>
        <v/>
      </c>
      <c r="B417" s="13" t="str">
        <f aca="false">IF(עזר!L417="","",INDEX(עזר!$B$2:$B$5001,עזר!L417))</f>
        <v/>
      </c>
      <c r="C417" s="13" t="str">
        <f aca="false">עזר!M417</f>
        <v/>
      </c>
    </row>
    <row r="418" customFormat="false" ht="15" hidden="false" customHeight="false" outlineLevel="0" collapsed="false">
      <c r="A418" s="13" t="str">
        <f aca="false">IF(עזר!L418="","",INDEX(עזר!$A$2:$A$5001,עזר!L418))</f>
        <v/>
      </c>
      <c r="B418" s="13" t="str">
        <f aca="false">IF(עזר!L418="","",INDEX(עזר!$B$2:$B$5001,עזר!L418))</f>
        <v/>
      </c>
      <c r="C418" s="13" t="str">
        <f aca="false">עזר!M418</f>
        <v/>
      </c>
    </row>
    <row r="419" customFormat="false" ht="15" hidden="false" customHeight="false" outlineLevel="0" collapsed="false">
      <c r="A419" s="13" t="str">
        <f aca="false">IF(עזר!L419="","",INDEX(עזר!$A$2:$A$5001,עזר!L419))</f>
        <v/>
      </c>
      <c r="B419" s="13" t="str">
        <f aca="false">IF(עזר!L419="","",INDEX(עזר!$B$2:$B$5001,עזר!L419))</f>
        <v/>
      </c>
      <c r="C419" s="13" t="str">
        <f aca="false">עזר!M419</f>
        <v/>
      </c>
    </row>
    <row r="420" customFormat="false" ht="15" hidden="false" customHeight="false" outlineLevel="0" collapsed="false">
      <c r="A420" s="13" t="str">
        <f aca="false">IF(עזר!L420="","",INDEX(עזר!$A$2:$A$5001,עזר!L420))</f>
        <v/>
      </c>
      <c r="B420" s="13" t="str">
        <f aca="false">IF(עזר!L420="","",INDEX(עזר!$B$2:$B$5001,עזר!L420))</f>
        <v/>
      </c>
      <c r="C420" s="13" t="str">
        <f aca="false">עזר!M420</f>
        <v/>
      </c>
    </row>
    <row r="421" customFormat="false" ht="15" hidden="false" customHeight="false" outlineLevel="0" collapsed="false">
      <c r="A421" s="13" t="str">
        <f aca="false">IF(עזר!L421="","",INDEX(עזר!$A$2:$A$5001,עזר!L421))</f>
        <v/>
      </c>
      <c r="B421" s="13" t="str">
        <f aca="false">IF(עזר!L421="","",INDEX(עזר!$B$2:$B$5001,עזר!L421))</f>
        <v/>
      </c>
      <c r="C421" s="13" t="str">
        <f aca="false">עזר!M421</f>
        <v/>
      </c>
    </row>
    <row r="422" customFormat="false" ht="15" hidden="false" customHeight="false" outlineLevel="0" collapsed="false">
      <c r="A422" s="13" t="str">
        <f aca="false">IF(עזר!L422="","",INDEX(עזר!$A$2:$A$5001,עזר!L422))</f>
        <v/>
      </c>
      <c r="B422" s="13" t="str">
        <f aca="false">IF(עזר!L422="","",INDEX(עזר!$B$2:$B$5001,עזר!L422))</f>
        <v/>
      </c>
      <c r="C422" s="13" t="str">
        <f aca="false">עזר!M422</f>
        <v/>
      </c>
    </row>
    <row r="423" customFormat="false" ht="15" hidden="false" customHeight="false" outlineLevel="0" collapsed="false">
      <c r="A423" s="13" t="str">
        <f aca="false">IF(עזר!L423="","",INDEX(עזר!$A$2:$A$5001,עזר!L423))</f>
        <v/>
      </c>
      <c r="B423" s="13" t="str">
        <f aca="false">IF(עזר!L423="","",INDEX(עזר!$B$2:$B$5001,עזר!L423))</f>
        <v/>
      </c>
      <c r="C423" s="13" t="str">
        <f aca="false">עזר!M423</f>
        <v/>
      </c>
    </row>
    <row r="424" customFormat="false" ht="15" hidden="false" customHeight="false" outlineLevel="0" collapsed="false">
      <c r="A424" s="13" t="str">
        <f aca="false">IF(עזר!L424="","",INDEX(עזר!$A$2:$A$5001,עזר!L424))</f>
        <v/>
      </c>
      <c r="B424" s="13" t="str">
        <f aca="false">IF(עזר!L424="","",INDEX(עזר!$B$2:$B$5001,עזר!L424))</f>
        <v/>
      </c>
      <c r="C424" s="13" t="str">
        <f aca="false">עזר!M424</f>
        <v/>
      </c>
    </row>
    <row r="425" customFormat="false" ht="15" hidden="false" customHeight="false" outlineLevel="0" collapsed="false">
      <c r="A425" s="13" t="str">
        <f aca="false">IF(עזר!L425="","",INDEX(עזר!$A$2:$A$5001,עזר!L425))</f>
        <v/>
      </c>
      <c r="B425" s="13" t="str">
        <f aca="false">IF(עזר!L425="","",INDEX(עזר!$B$2:$B$5001,עזר!L425))</f>
        <v/>
      </c>
      <c r="C425" s="13" t="str">
        <f aca="false">עזר!M425</f>
        <v/>
      </c>
    </row>
    <row r="426" customFormat="false" ht="15" hidden="false" customHeight="false" outlineLevel="0" collapsed="false">
      <c r="A426" s="13" t="str">
        <f aca="false">IF(עזר!L426="","",INDEX(עזר!$A$2:$A$5001,עזר!L426))</f>
        <v/>
      </c>
      <c r="B426" s="13" t="str">
        <f aca="false">IF(עזר!L426="","",INDEX(עזר!$B$2:$B$5001,עזר!L426))</f>
        <v/>
      </c>
      <c r="C426" s="13" t="str">
        <f aca="false">עזר!M426</f>
        <v/>
      </c>
    </row>
    <row r="427" customFormat="false" ht="15" hidden="false" customHeight="false" outlineLevel="0" collapsed="false">
      <c r="A427" s="13" t="str">
        <f aca="false">IF(עזר!L427="","",INDEX(עזר!$A$2:$A$5001,עזר!L427))</f>
        <v/>
      </c>
      <c r="B427" s="13" t="str">
        <f aca="false">IF(עזר!L427="","",INDEX(עזר!$B$2:$B$5001,עזר!L427))</f>
        <v/>
      </c>
      <c r="C427" s="13" t="str">
        <f aca="false">עזר!M427</f>
        <v/>
      </c>
    </row>
    <row r="428" customFormat="false" ht="15" hidden="false" customHeight="false" outlineLevel="0" collapsed="false">
      <c r="A428" s="13" t="str">
        <f aca="false">IF(עזר!L428="","",INDEX(עזר!$A$2:$A$5001,עזר!L428))</f>
        <v/>
      </c>
      <c r="B428" s="13" t="str">
        <f aca="false">IF(עזר!L428="","",INDEX(עזר!$B$2:$B$5001,עזר!L428))</f>
        <v/>
      </c>
      <c r="C428" s="13" t="str">
        <f aca="false">עזר!M428</f>
        <v/>
      </c>
    </row>
    <row r="429" customFormat="false" ht="15" hidden="false" customHeight="false" outlineLevel="0" collapsed="false">
      <c r="A429" s="13" t="str">
        <f aca="false">IF(עזר!L429="","",INDEX(עזר!$A$2:$A$5001,עזר!L429))</f>
        <v/>
      </c>
      <c r="B429" s="13" t="str">
        <f aca="false">IF(עזר!L429="","",INDEX(עזר!$B$2:$B$5001,עזר!L429))</f>
        <v/>
      </c>
      <c r="C429" s="13" t="str">
        <f aca="false">עזר!M429</f>
        <v/>
      </c>
    </row>
    <row r="430" customFormat="false" ht="15" hidden="false" customHeight="false" outlineLevel="0" collapsed="false">
      <c r="A430" s="13" t="str">
        <f aca="false">IF(עזר!L430="","",INDEX(עזר!$A$2:$A$5001,עזר!L430))</f>
        <v/>
      </c>
      <c r="B430" s="13" t="str">
        <f aca="false">IF(עזר!L430="","",INDEX(עזר!$B$2:$B$5001,עזר!L430))</f>
        <v/>
      </c>
      <c r="C430" s="13" t="str">
        <f aca="false">עזר!M430</f>
        <v/>
      </c>
    </row>
    <row r="431" customFormat="false" ht="15" hidden="false" customHeight="false" outlineLevel="0" collapsed="false">
      <c r="A431" s="13" t="str">
        <f aca="false">IF(עזר!L431="","",INDEX(עזר!$A$2:$A$5001,עזר!L431))</f>
        <v/>
      </c>
      <c r="B431" s="13" t="str">
        <f aca="false">IF(עזר!L431="","",INDEX(עזר!$B$2:$B$5001,עזר!L431))</f>
        <v/>
      </c>
      <c r="C431" s="13" t="str">
        <f aca="false">עזר!M431</f>
        <v/>
      </c>
    </row>
    <row r="432" customFormat="false" ht="15" hidden="false" customHeight="false" outlineLevel="0" collapsed="false">
      <c r="A432" s="13" t="str">
        <f aca="false">IF(עזר!L432="","",INDEX(עזר!$A$2:$A$5001,עזר!L432))</f>
        <v/>
      </c>
      <c r="B432" s="13" t="str">
        <f aca="false">IF(עזר!L432="","",INDEX(עזר!$B$2:$B$5001,עזר!L432))</f>
        <v/>
      </c>
      <c r="C432" s="13" t="str">
        <f aca="false">עזר!M432</f>
        <v/>
      </c>
    </row>
    <row r="433" customFormat="false" ht="15" hidden="false" customHeight="false" outlineLevel="0" collapsed="false">
      <c r="A433" s="13" t="str">
        <f aca="false">IF(עזר!L433="","",INDEX(עזר!$A$2:$A$5001,עזר!L433))</f>
        <v/>
      </c>
      <c r="B433" s="13" t="str">
        <f aca="false">IF(עזר!L433="","",INDEX(עזר!$B$2:$B$5001,עזר!L433))</f>
        <v/>
      </c>
      <c r="C433" s="13" t="str">
        <f aca="false">עזר!M433</f>
        <v/>
      </c>
    </row>
    <row r="434" customFormat="false" ht="15" hidden="false" customHeight="false" outlineLevel="0" collapsed="false">
      <c r="A434" s="13" t="str">
        <f aca="false">IF(עזר!L434="","",INDEX(עזר!$A$2:$A$5001,עזר!L434))</f>
        <v/>
      </c>
      <c r="B434" s="13" t="str">
        <f aca="false">IF(עזר!L434="","",INDEX(עזר!$B$2:$B$5001,עזר!L434))</f>
        <v/>
      </c>
      <c r="C434" s="13" t="str">
        <f aca="false">עזר!M434</f>
        <v/>
      </c>
    </row>
    <row r="435" customFormat="false" ht="15" hidden="false" customHeight="false" outlineLevel="0" collapsed="false">
      <c r="A435" s="13" t="str">
        <f aca="false">IF(עזר!L435="","",INDEX(עזר!$A$2:$A$5001,עזר!L435))</f>
        <v/>
      </c>
      <c r="B435" s="13" t="str">
        <f aca="false">IF(עזר!L435="","",INDEX(עזר!$B$2:$B$5001,עזר!L435))</f>
        <v/>
      </c>
      <c r="C435" s="13" t="str">
        <f aca="false">עזר!M435</f>
        <v/>
      </c>
    </row>
    <row r="436" customFormat="false" ht="15" hidden="false" customHeight="false" outlineLevel="0" collapsed="false">
      <c r="A436" s="13" t="str">
        <f aca="false">IF(עזר!L436="","",INDEX(עזר!$A$2:$A$5001,עזר!L436))</f>
        <v/>
      </c>
      <c r="B436" s="13" t="str">
        <f aca="false">IF(עזר!L436="","",INDEX(עזר!$B$2:$B$5001,עזר!L436))</f>
        <v/>
      </c>
      <c r="C436" s="13" t="str">
        <f aca="false">עזר!M436</f>
        <v/>
      </c>
    </row>
    <row r="437" customFormat="false" ht="15" hidden="false" customHeight="false" outlineLevel="0" collapsed="false">
      <c r="A437" s="13" t="str">
        <f aca="false">IF(עזר!L437="","",INDEX(עזר!$A$2:$A$5001,עזר!L437))</f>
        <v/>
      </c>
      <c r="B437" s="13" t="str">
        <f aca="false">IF(עזר!L437="","",INDEX(עזר!$B$2:$B$5001,עזר!L437))</f>
        <v/>
      </c>
      <c r="C437" s="13" t="str">
        <f aca="false">עזר!M437</f>
        <v/>
      </c>
    </row>
    <row r="438" customFormat="false" ht="15" hidden="false" customHeight="false" outlineLevel="0" collapsed="false">
      <c r="A438" s="13" t="str">
        <f aca="false">IF(עזר!L438="","",INDEX(עזר!$A$2:$A$5001,עזר!L438))</f>
        <v/>
      </c>
      <c r="B438" s="13" t="str">
        <f aca="false">IF(עזר!L438="","",INDEX(עזר!$B$2:$B$5001,עזר!L438))</f>
        <v/>
      </c>
      <c r="C438" s="13" t="str">
        <f aca="false">עזר!M438</f>
        <v/>
      </c>
    </row>
    <row r="439" customFormat="false" ht="15" hidden="false" customHeight="false" outlineLevel="0" collapsed="false">
      <c r="A439" s="13" t="str">
        <f aca="false">IF(עזר!L439="","",INDEX(עזר!$A$2:$A$5001,עזר!L439))</f>
        <v/>
      </c>
      <c r="B439" s="13" t="str">
        <f aca="false">IF(עזר!L439="","",INDEX(עזר!$B$2:$B$5001,עזר!L439))</f>
        <v/>
      </c>
      <c r="C439" s="13" t="str">
        <f aca="false">עזר!M439</f>
        <v/>
      </c>
    </row>
    <row r="440" customFormat="false" ht="15" hidden="false" customHeight="false" outlineLevel="0" collapsed="false">
      <c r="A440" s="13" t="str">
        <f aca="false">IF(עזר!L440="","",INDEX(עזר!$A$2:$A$5001,עזר!L440))</f>
        <v/>
      </c>
      <c r="B440" s="13" t="str">
        <f aca="false">IF(עזר!L440="","",INDEX(עזר!$B$2:$B$5001,עזר!L440))</f>
        <v/>
      </c>
      <c r="C440" s="13" t="str">
        <f aca="false">עזר!M440</f>
        <v/>
      </c>
    </row>
    <row r="441" customFormat="false" ht="15" hidden="false" customHeight="false" outlineLevel="0" collapsed="false">
      <c r="A441" s="13" t="str">
        <f aca="false">IF(עזר!L441="","",INDEX(עזר!$A$2:$A$5001,עזר!L441))</f>
        <v/>
      </c>
      <c r="B441" s="13" t="str">
        <f aca="false">IF(עזר!L441="","",INDEX(עזר!$B$2:$B$5001,עזר!L441))</f>
        <v/>
      </c>
      <c r="C441" s="13" t="str">
        <f aca="false">עזר!M441</f>
        <v/>
      </c>
    </row>
    <row r="442" customFormat="false" ht="15" hidden="false" customHeight="false" outlineLevel="0" collapsed="false">
      <c r="A442" s="13" t="str">
        <f aca="false">IF(עזר!L442="","",INDEX(עזר!$A$2:$A$5001,עזר!L442))</f>
        <v/>
      </c>
      <c r="B442" s="13" t="str">
        <f aca="false">IF(עזר!L442="","",INDEX(עזר!$B$2:$B$5001,עזר!L442))</f>
        <v/>
      </c>
      <c r="C442" s="13" t="str">
        <f aca="false">עזר!M442</f>
        <v/>
      </c>
    </row>
    <row r="443" customFormat="false" ht="15" hidden="false" customHeight="false" outlineLevel="0" collapsed="false">
      <c r="A443" s="13" t="str">
        <f aca="false">IF(עזר!L443="","",INDEX(עזר!$A$2:$A$5001,עזר!L443))</f>
        <v/>
      </c>
      <c r="B443" s="13" t="str">
        <f aca="false">IF(עזר!L443="","",INDEX(עזר!$B$2:$B$5001,עזר!L443))</f>
        <v/>
      </c>
      <c r="C443" s="13" t="str">
        <f aca="false">עזר!M443</f>
        <v/>
      </c>
    </row>
    <row r="444" customFormat="false" ht="15" hidden="false" customHeight="false" outlineLevel="0" collapsed="false">
      <c r="A444" s="13" t="str">
        <f aca="false">IF(עזר!L444="","",INDEX(עזר!$A$2:$A$5001,עזר!L444))</f>
        <v/>
      </c>
      <c r="B444" s="13" t="str">
        <f aca="false">IF(עזר!L444="","",INDEX(עזר!$B$2:$B$5001,עזר!L444))</f>
        <v/>
      </c>
      <c r="C444" s="13" t="str">
        <f aca="false">עזר!M444</f>
        <v/>
      </c>
    </row>
    <row r="445" customFormat="false" ht="15" hidden="false" customHeight="false" outlineLevel="0" collapsed="false">
      <c r="A445" s="13" t="str">
        <f aca="false">IF(עזר!L445="","",INDEX(עזר!$A$2:$A$5001,עזר!L445))</f>
        <v/>
      </c>
      <c r="B445" s="13" t="str">
        <f aca="false">IF(עזר!L445="","",INDEX(עזר!$B$2:$B$5001,עזר!L445))</f>
        <v/>
      </c>
      <c r="C445" s="13" t="str">
        <f aca="false">עזר!M445</f>
        <v/>
      </c>
    </row>
    <row r="446" customFormat="false" ht="15" hidden="false" customHeight="false" outlineLevel="0" collapsed="false">
      <c r="A446" s="13" t="str">
        <f aca="false">IF(עזר!L446="","",INDEX(עזר!$A$2:$A$5001,עזר!L446))</f>
        <v/>
      </c>
      <c r="B446" s="13" t="str">
        <f aca="false">IF(עזר!L446="","",INDEX(עזר!$B$2:$B$5001,עזר!L446))</f>
        <v/>
      </c>
      <c r="C446" s="13" t="str">
        <f aca="false">עזר!M446</f>
        <v/>
      </c>
    </row>
    <row r="447" customFormat="false" ht="15" hidden="false" customHeight="false" outlineLevel="0" collapsed="false">
      <c r="A447" s="13" t="str">
        <f aca="false">IF(עזר!L447="","",INDEX(עזר!$A$2:$A$5001,עזר!L447))</f>
        <v/>
      </c>
      <c r="B447" s="13" t="str">
        <f aca="false">IF(עזר!L447="","",INDEX(עזר!$B$2:$B$5001,עזר!L447))</f>
        <v/>
      </c>
      <c r="C447" s="13" t="str">
        <f aca="false">עזר!M447</f>
        <v/>
      </c>
    </row>
    <row r="448" customFormat="false" ht="15" hidden="false" customHeight="false" outlineLevel="0" collapsed="false">
      <c r="A448" s="13" t="str">
        <f aca="false">IF(עזר!L448="","",INDEX(עזר!$A$2:$A$5001,עזר!L448))</f>
        <v/>
      </c>
      <c r="B448" s="13" t="str">
        <f aca="false">IF(עזר!L448="","",INDEX(עזר!$B$2:$B$5001,עזר!L448))</f>
        <v/>
      </c>
      <c r="C448" s="13" t="str">
        <f aca="false">עזר!M448</f>
        <v/>
      </c>
    </row>
    <row r="449" customFormat="false" ht="15" hidden="false" customHeight="false" outlineLevel="0" collapsed="false">
      <c r="A449" s="13" t="str">
        <f aca="false">IF(עזר!L449="","",INDEX(עזר!$A$2:$A$5001,עזר!L449))</f>
        <v/>
      </c>
      <c r="B449" s="13" t="str">
        <f aca="false">IF(עזר!L449="","",INDEX(עזר!$B$2:$B$5001,עזר!L449))</f>
        <v/>
      </c>
      <c r="C449" s="13" t="str">
        <f aca="false">עזר!M449</f>
        <v/>
      </c>
    </row>
    <row r="450" customFormat="false" ht="15" hidden="false" customHeight="false" outlineLevel="0" collapsed="false">
      <c r="A450" s="13" t="str">
        <f aca="false">IF(עזר!L450="","",INDEX(עזר!$A$2:$A$5001,עזר!L450))</f>
        <v/>
      </c>
      <c r="B450" s="13" t="str">
        <f aca="false">IF(עזר!L450="","",INDEX(עזר!$B$2:$B$5001,עזר!L450))</f>
        <v/>
      </c>
      <c r="C450" s="13" t="str">
        <f aca="false">עזר!M450</f>
        <v/>
      </c>
    </row>
    <row r="451" customFormat="false" ht="15" hidden="false" customHeight="false" outlineLevel="0" collapsed="false">
      <c r="A451" s="13" t="str">
        <f aca="false">IF(עזר!L451="","",INDEX(עזר!$A$2:$A$5001,עזר!L451))</f>
        <v/>
      </c>
      <c r="B451" s="13" t="str">
        <f aca="false">IF(עזר!L451="","",INDEX(עזר!$B$2:$B$5001,עזר!L451))</f>
        <v/>
      </c>
      <c r="C451" s="13" t="str">
        <f aca="false">עזר!M451</f>
        <v/>
      </c>
    </row>
    <row r="452" customFormat="false" ht="15" hidden="false" customHeight="false" outlineLevel="0" collapsed="false">
      <c r="A452" s="13" t="str">
        <f aca="false">IF(עזר!L452="","",INDEX(עזר!$A$2:$A$5001,עזר!L452))</f>
        <v/>
      </c>
      <c r="B452" s="13" t="str">
        <f aca="false">IF(עזר!L452="","",INDEX(עזר!$B$2:$B$5001,עזר!L452))</f>
        <v/>
      </c>
      <c r="C452" s="13" t="str">
        <f aca="false">עזר!M452</f>
        <v/>
      </c>
    </row>
    <row r="453" customFormat="false" ht="15" hidden="false" customHeight="false" outlineLevel="0" collapsed="false">
      <c r="A453" s="13" t="str">
        <f aca="false">IF(עזר!L453="","",INDEX(עזר!$A$2:$A$5001,עזר!L453))</f>
        <v/>
      </c>
      <c r="B453" s="13" t="str">
        <f aca="false">IF(עזר!L453="","",INDEX(עזר!$B$2:$B$5001,עזר!L453))</f>
        <v/>
      </c>
      <c r="C453" s="13" t="str">
        <f aca="false">עזר!M453</f>
        <v/>
      </c>
    </row>
    <row r="454" customFormat="false" ht="15" hidden="false" customHeight="false" outlineLevel="0" collapsed="false">
      <c r="A454" s="13" t="str">
        <f aca="false">IF(עזר!L454="","",INDEX(עזר!$A$2:$A$5001,עזר!L454))</f>
        <v/>
      </c>
      <c r="B454" s="13" t="str">
        <f aca="false">IF(עזר!L454="","",INDEX(עזר!$B$2:$B$5001,עזר!L454))</f>
        <v/>
      </c>
      <c r="C454" s="13" t="str">
        <f aca="false">עזר!M454</f>
        <v/>
      </c>
    </row>
    <row r="455" customFormat="false" ht="15" hidden="false" customHeight="false" outlineLevel="0" collapsed="false">
      <c r="A455" s="13" t="str">
        <f aca="false">IF(עזר!L455="","",INDEX(עזר!$A$2:$A$5001,עזר!L455))</f>
        <v/>
      </c>
      <c r="B455" s="13" t="str">
        <f aca="false">IF(עזר!L455="","",INDEX(עזר!$B$2:$B$5001,עזר!L455))</f>
        <v/>
      </c>
      <c r="C455" s="13" t="str">
        <f aca="false">עזר!M455</f>
        <v/>
      </c>
    </row>
    <row r="456" customFormat="false" ht="15" hidden="false" customHeight="false" outlineLevel="0" collapsed="false">
      <c r="A456" s="13" t="str">
        <f aca="false">IF(עזר!L456="","",INDEX(עזר!$A$2:$A$5001,עזר!L456))</f>
        <v/>
      </c>
      <c r="B456" s="13" t="str">
        <f aca="false">IF(עזר!L456="","",INDEX(עזר!$B$2:$B$5001,עזר!L456))</f>
        <v/>
      </c>
      <c r="C456" s="13" t="str">
        <f aca="false">עזר!M456</f>
        <v/>
      </c>
    </row>
    <row r="457" customFormat="false" ht="15" hidden="false" customHeight="false" outlineLevel="0" collapsed="false">
      <c r="A457" s="13" t="str">
        <f aca="false">IF(עזר!L457="","",INDEX(עזר!$A$2:$A$5001,עזר!L457))</f>
        <v/>
      </c>
      <c r="B457" s="13" t="str">
        <f aca="false">IF(עזר!L457="","",INDEX(עזר!$B$2:$B$5001,עזר!L457))</f>
        <v/>
      </c>
      <c r="C457" s="13" t="str">
        <f aca="false">עזר!M457</f>
        <v/>
      </c>
    </row>
    <row r="458" customFormat="false" ht="15" hidden="false" customHeight="false" outlineLevel="0" collapsed="false">
      <c r="A458" s="13" t="str">
        <f aca="false">IF(עזר!L458="","",INDEX(עזר!$A$2:$A$5001,עזר!L458))</f>
        <v/>
      </c>
      <c r="B458" s="13" t="str">
        <f aca="false">IF(עזר!L458="","",INDEX(עזר!$B$2:$B$5001,עזר!L458))</f>
        <v/>
      </c>
      <c r="C458" s="13" t="str">
        <f aca="false">עזר!M458</f>
        <v/>
      </c>
    </row>
    <row r="459" customFormat="false" ht="15" hidden="false" customHeight="false" outlineLevel="0" collapsed="false">
      <c r="A459" s="13" t="str">
        <f aca="false">IF(עזר!L459="","",INDEX(עזר!$A$2:$A$5001,עזר!L459))</f>
        <v/>
      </c>
      <c r="B459" s="13" t="str">
        <f aca="false">IF(עזר!L459="","",INDEX(עזר!$B$2:$B$5001,עזר!L459))</f>
        <v/>
      </c>
      <c r="C459" s="13" t="str">
        <f aca="false">עזר!M459</f>
        <v/>
      </c>
    </row>
    <row r="460" customFormat="false" ht="15" hidden="false" customHeight="false" outlineLevel="0" collapsed="false">
      <c r="A460" s="13" t="str">
        <f aca="false">IF(עזר!L460="","",INDEX(עזר!$A$2:$A$5001,עזר!L460))</f>
        <v/>
      </c>
      <c r="B460" s="13" t="str">
        <f aca="false">IF(עזר!L460="","",INDEX(עזר!$B$2:$B$5001,עזר!L460))</f>
        <v/>
      </c>
      <c r="C460" s="13" t="str">
        <f aca="false">עזר!M460</f>
        <v/>
      </c>
    </row>
    <row r="461" customFormat="false" ht="15" hidden="false" customHeight="false" outlineLevel="0" collapsed="false">
      <c r="A461" s="13" t="str">
        <f aca="false">IF(עזר!L461="","",INDEX(עזר!$A$2:$A$5001,עזר!L461))</f>
        <v/>
      </c>
      <c r="B461" s="13" t="str">
        <f aca="false">IF(עזר!L461="","",INDEX(עזר!$B$2:$B$5001,עזר!L461))</f>
        <v/>
      </c>
      <c r="C461" s="13" t="str">
        <f aca="false">עזר!M461</f>
        <v/>
      </c>
    </row>
    <row r="462" customFormat="false" ht="15" hidden="false" customHeight="false" outlineLevel="0" collapsed="false">
      <c r="A462" s="13" t="str">
        <f aca="false">IF(עזר!L462="","",INDEX(עזר!$A$2:$A$5001,עזר!L462))</f>
        <v/>
      </c>
      <c r="B462" s="13" t="str">
        <f aca="false">IF(עזר!L462="","",INDEX(עזר!$B$2:$B$5001,עזר!L462))</f>
        <v/>
      </c>
      <c r="C462" s="13" t="str">
        <f aca="false">עזר!M462</f>
        <v/>
      </c>
    </row>
    <row r="463" customFormat="false" ht="15" hidden="false" customHeight="false" outlineLevel="0" collapsed="false">
      <c r="A463" s="13" t="str">
        <f aca="false">IF(עזר!L463="","",INDEX(עזר!$A$2:$A$5001,עזר!L463))</f>
        <v/>
      </c>
      <c r="B463" s="13" t="str">
        <f aca="false">IF(עזר!L463="","",INDEX(עזר!$B$2:$B$5001,עזר!L463))</f>
        <v/>
      </c>
      <c r="C463" s="13" t="str">
        <f aca="false">עזר!M463</f>
        <v/>
      </c>
    </row>
    <row r="464" customFormat="false" ht="15" hidden="false" customHeight="false" outlineLevel="0" collapsed="false">
      <c r="A464" s="13" t="str">
        <f aca="false">IF(עזר!L464="","",INDEX(עזר!$A$2:$A$5001,עזר!L464))</f>
        <v/>
      </c>
      <c r="B464" s="13" t="str">
        <f aca="false">IF(עזר!L464="","",INDEX(עזר!$B$2:$B$5001,עזר!L464))</f>
        <v/>
      </c>
      <c r="C464" s="13" t="str">
        <f aca="false">עזר!M464</f>
        <v/>
      </c>
    </row>
    <row r="465" customFormat="false" ht="15" hidden="false" customHeight="false" outlineLevel="0" collapsed="false">
      <c r="A465" s="13" t="str">
        <f aca="false">IF(עזר!L465="","",INDEX(עזר!$A$2:$A$5001,עזר!L465))</f>
        <v/>
      </c>
      <c r="B465" s="13" t="str">
        <f aca="false">IF(עזר!L465="","",INDEX(עזר!$B$2:$B$5001,עזר!L465))</f>
        <v/>
      </c>
      <c r="C465" s="13" t="str">
        <f aca="false">עזר!M465</f>
        <v/>
      </c>
    </row>
    <row r="466" customFormat="false" ht="15" hidden="false" customHeight="false" outlineLevel="0" collapsed="false">
      <c r="A466" s="13" t="str">
        <f aca="false">IF(עזר!L466="","",INDEX(עזר!$A$2:$A$5001,עזר!L466))</f>
        <v/>
      </c>
      <c r="B466" s="13" t="str">
        <f aca="false">IF(עזר!L466="","",INDEX(עזר!$B$2:$B$5001,עזר!L466))</f>
        <v/>
      </c>
      <c r="C466" s="13" t="str">
        <f aca="false">עזר!M466</f>
        <v/>
      </c>
    </row>
    <row r="467" customFormat="false" ht="15" hidden="false" customHeight="false" outlineLevel="0" collapsed="false">
      <c r="A467" s="13" t="str">
        <f aca="false">IF(עזר!L467="","",INDEX(עזר!$A$2:$A$5001,עזר!L467))</f>
        <v/>
      </c>
      <c r="B467" s="13" t="str">
        <f aca="false">IF(עזר!L467="","",INDEX(עזר!$B$2:$B$5001,עזר!L467))</f>
        <v/>
      </c>
      <c r="C467" s="13" t="str">
        <f aca="false">עזר!M467</f>
        <v/>
      </c>
    </row>
    <row r="468" customFormat="false" ht="15" hidden="false" customHeight="false" outlineLevel="0" collapsed="false">
      <c r="A468" s="13" t="str">
        <f aca="false">IF(עזר!L468="","",INDEX(עזר!$A$2:$A$5001,עזר!L468))</f>
        <v/>
      </c>
      <c r="B468" s="13" t="str">
        <f aca="false">IF(עזר!L468="","",INDEX(עזר!$B$2:$B$5001,עזר!L468))</f>
        <v/>
      </c>
      <c r="C468" s="13" t="str">
        <f aca="false">עזר!M468</f>
        <v/>
      </c>
    </row>
    <row r="469" customFormat="false" ht="15" hidden="false" customHeight="false" outlineLevel="0" collapsed="false">
      <c r="A469" s="13" t="str">
        <f aca="false">IF(עזר!L469="","",INDEX(עזר!$A$2:$A$5001,עזר!L469))</f>
        <v/>
      </c>
      <c r="B469" s="13" t="str">
        <f aca="false">IF(עזר!L469="","",INDEX(עזר!$B$2:$B$5001,עזר!L469))</f>
        <v/>
      </c>
      <c r="C469" s="13" t="str">
        <f aca="false">עזר!M469</f>
        <v/>
      </c>
    </row>
    <row r="470" customFormat="false" ht="15" hidden="false" customHeight="false" outlineLevel="0" collapsed="false">
      <c r="A470" s="13" t="str">
        <f aca="false">IF(עזר!L470="","",INDEX(עזר!$A$2:$A$5001,עזר!L470))</f>
        <v/>
      </c>
      <c r="B470" s="13" t="str">
        <f aca="false">IF(עזר!L470="","",INDEX(עזר!$B$2:$B$5001,עזר!L470))</f>
        <v/>
      </c>
      <c r="C470" s="13" t="str">
        <f aca="false">עזר!M470</f>
        <v/>
      </c>
    </row>
    <row r="471" customFormat="false" ht="15" hidden="false" customHeight="false" outlineLevel="0" collapsed="false">
      <c r="A471" s="13" t="str">
        <f aca="false">IF(עזר!L471="","",INDEX(עזר!$A$2:$A$5001,עזר!L471))</f>
        <v/>
      </c>
      <c r="B471" s="13" t="str">
        <f aca="false">IF(עזר!L471="","",INDEX(עזר!$B$2:$B$5001,עזר!L471))</f>
        <v/>
      </c>
      <c r="C471" s="13" t="str">
        <f aca="false">עזר!M471</f>
        <v/>
      </c>
    </row>
    <row r="472" customFormat="false" ht="15" hidden="false" customHeight="false" outlineLevel="0" collapsed="false">
      <c r="A472" s="13" t="str">
        <f aca="false">IF(עזר!L472="","",INDEX(עזר!$A$2:$A$5001,עזר!L472))</f>
        <v/>
      </c>
      <c r="B472" s="13" t="str">
        <f aca="false">IF(עזר!L472="","",INDEX(עזר!$B$2:$B$5001,עזר!L472))</f>
        <v/>
      </c>
      <c r="C472" s="13" t="str">
        <f aca="false">עזר!M472</f>
        <v/>
      </c>
    </row>
    <row r="473" customFormat="false" ht="15" hidden="false" customHeight="false" outlineLevel="0" collapsed="false">
      <c r="A473" s="13" t="str">
        <f aca="false">IF(עזר!L473="","",INDEX(עזר!$A$2:$A$5001,עזר!L473))</f>
        <v/>
      </c>
      <c r="B473" s="13" t="str">
        <f aca="false">IF(עזר!L473="","",INDEX(עזר!$B$2:$B$5001,עזר!L473))</f>
        <v/>
      </c>
      <c r="C473" s="13" t="str">
        <f aca="false">עזר!M473</f>
        <v/>
      </c>
    </row>
    <row r="474" customFormat="false" ht="15" hidden="false" customHeight="false" outlineLevel="0" collapsed="false">
      <c r="A474" s="13" t="str">
        <f aca="false">IF(עזר!L474="","",INDEX(עזר!$A$2:$A$5001,עזר!L474))</f>
        <v/>
      </c>
      <c r="B474" s="13" t="str">
        <f aca="false">IF(עזר!L474="","",INDEX(עזר!$B$2:$B$5001,עזר!L474))</f>
        <v/>
      </c>
      <c r="C474" s="13" t="str">
        <f aca="false">עזר!M474</f>
        <v/>
      </c>
    </row>
    <row r="475" customFormat="false" ht="15" hidden="false" customHeight="false" outlineLevel="0" collapsed="false">
      <c r="A475" s="13" t="str">
        <f aca="false">IF(עזר!L475="","",INDEX(עזר!$A$2:$A$5001,עזר!L475))</f>
        <v/>
      </c>
      <c r="B475" s="13" t="str">
        <f aca="false">IF(עזר!L475="","",INDEX(עזר!$B$2:$B$5001,עזר!L475))</f>
        <v/>
      </c>
      <c r="C475" s="13" t="str">
        <f aca="false">עזר!M475</f>
        <v/>
      </c>
    </row>
    <row r="476" customFormat="false" ht="15" hidden="false" customHeight="false" outlineLevel="0" collapsed="false">
      <c r="A476" s="13" t="str">
        <f aca="false">IF(עזר!L476="","",INDEX(עזר!$A$2:$A$5001,עזר!L476))</f>
        <v/>
      </c>
      <c r="B476" s="13" t="str">
        <f aca="false">IF(עזר!L476="","",INDEX(עזר!$B$2:$B$5001,עזר!L476))</f>
        <v/>
      </c>
      <c r="C476" s="13" t="str">
        <f aca="false">עזר!M476</f>
        <v/>
      </c>
    </row>
    <row r="477" customFormat="false" ht="15" hidden="false" customHeight="false" outlineLevel="0" collapsed="false">
      <c r="A477" s="13" t="str">
        <f aca="false">IF(עזר!L477="","",INDEX(עזר!$A$2:$A$5001,עזר!L477))</f>
        <v/>
      </c>
      <c r="B477" s="13" t="str">
        <f aca="false">IF(עזר!L477="","",INDEX(עזר!$B$2:$B$5001,עזר!L477))</f>
        <v/>
      </c>
      <c r="C477" s="13" t="str">
        <f aca="false">עזר!M477</f>
        <v/>
      </c>
    </row>
    <row r="478" customFormat="false" ht="15" hidden="false" customHeight="false" outlineLevel="0" collapsed="false">
      <c r="A478" s="13" t="str">
        <f aca="false">IF(עזר!L478="","",INDEX(עזר!$A$2:$A$5001,עזר!L478))</f>
        <v/>
      </c>
      <c r="B478" s="13" t="str">
        <f aca="false">IF(עזר!L478="","",INDEX(עזר!$B$2:$B$5001,עזר!L478))</f>
        <v/>
      </c>
      <c r="C478" s="13" t="str">
        <f aca="false">עזר!M478</f>
        <v/>
      </c>
    </row>
    <row r="479" customFormat="false" ht="15" hidden="false" customHeight="false" outlineLevel="0" collapsed="false">
      <c r="A479" s="13" t="str">
        <f aca="false">IF(עזר!L479="","",INDEX(עזר!$A$2:$A$5001,עזר!L479))</f>
        <v/>
      </c>
      <c r="B479" s="13" t="str">
        <f aca="false">IF(עזר!L479="","",INDEX(עזר!$B$2:$B$5001,עזר!L479))</f>
        <v/>
      </c>
      <c r="C479" s="13" t="str">
        <f aca="false">עזר!M479</f>
        <v/>
      </c>
    </row>
    <row r="480" customFormat="false" ht="15" hidden="false" customHeight="false" outlineLevel="0" collapsed="false">
      <c r="A480" s="13" t="str">
        <f aca="false">IF(עזר!L480="","",INDEX(עזר!$A$2:$A$5001,עזר!L480))</f>
        <v/>
      </c>
      <c r="B480" s="13" t="str">
        <f aca="false">IF(עזר!L480="","",INDEX(עזר!$B$2:$B$5001,עזר!L480))</f>
        <v/>
      </c>
      <c r="C480" s="13" t="str">
        <f aca="false">עזר!M480</f>
        <v/>
      </c>
    </row>
    <row r="481" customFormat="false" ht="15" hidden="false" customHeight="false" outlineLevel="0" collapsed="false">
      <c r="A481" s="13" t="str">
        <f aca="false">IF(עזר!L481="","",INDEX(עזר!$A$2:$A$5001,עזר!L481))</f>
        <v/>
      </c>
      <c r="B481" s="13" t="str">
        <f aca="false">IF(עזר!L481="","",INDEX(עזר!$B$2:$B$5001,עזר!L481))</f>
        <v/>
      </c>
      <c r="C481" s="13" t="str">
        <f aca="false">עזר!M481</f>
        <v/>
      </c>
    </row>
    <row r="482" customFormat="false" ht="15" hidden="false" customHeight="false" outlineLevel="0" collapsed="false">
      <c r="A482" s="13" t="str">
        <f aca="false">IF(עזר!L482="","",INDEX(עזר!$A$2:$A$5001,עזר!L482))</f>
        <v/>
      </c>
      <c r="B482" s="13" t="str">
        <f aca="false">IF(עזר!L482="","",INDEX(עזר!$B$2:$B$5001,עזר!L482))</f>
        <v/>
      </c>
      <c r="C482" s="13" t="str">
        <f aca="false">עזר!M482</f>
        <v/>
      </c>
    </row>
    <row r="483" customFormat="false" ht="15" hidden="false" customHeight="false" outlineLevel="0" collapsed="false">
      <c r="A483" s="13" t="str">
        <f aca="false">IF(עזר!L483="","",INDEX(עזר!$A$2:$A$5001,עזר!L483))</f>
        <v/>
      </c>
      <c r="B483" s="13" t="str">
        <f aca="false">IF(עזר!L483="","",INDEX(עזר!$B$2:$B$5001,עזר!L483))</f>
        <v/>
      </c>
      <c r="C483" s="13" t="str">
        <f aca="false">עזר!M483</f>
        <v/>
      </c>
    </row>
    <row r="484" customFormat="false" ht="15" hidden="false" customHeight="false" outlineLevel="0" collapsed="false">
      <c r="A484" s="13" t="str">
        <f aca="false">IF(עזר!L484="","",INDEX(עזר!$A$2:$A$5001,עזר!L484))</f>
        <v/>
      </c>
      <c r="B484" s="13" t="str">
        <f aca="false">IF(עזר!L484="","",INDEX(עזר!$B$2:$B$5001,עזר!L484))</f>
        <v/>
      </c>
      <c r="C484" s="13" t="str">
        <f aca="false">עזר!M484</f>
        <v/>
      </c>
    </row>
    <row r="485" customFormat="false" ht="15" hidden="false" customHeight="false" outlineLevel="0" collapsed="false">
      <c r="A485" s="13" t="str">
        <f aca="false">IF(עזר!L485="","",INDEX(עזר!$A$2:$A$5001,עזר!L485))</f>
        <v/>
      </c>
      <c r="B485" s="13" t="str">
        <f aca="false">IF(עזר!L485="","",INDEX(עזר!$B$2:$B$5001,עזר!L485))</f>
        <v/>
      </c>
      <c r="C485" s="13" t="str">
        <f aca="false">עזר!M485</f>
        <v/>
      </c>
    </row>
    <row r="486" customFormat="false" ht="15" hidden="false" customHeight="false" outlineLevel="0" collapsed="false">
      <c r="A486" s="13" t="str">
        <f aca="false">IF(עזר!L486="","",INDEX(עזר!$A$2:$A$5001,עזר!L486))</f>
        <v/>
      </c>
      <c r="B486" s="13" t="str">
        <f aca="false">IF(עזר!L486="","",INDEX(עזר!$B$2:$B$5001,עזר!L486))</f>
        <v/>
      </c>
      <c r="C486" s="13" t="str">
        <f aca="false">עזר!M486</f>
        <v/>
      </c>
    </row>
    <row r="487" customFormat="false" ht="15" hidden="false" customHeight="false" outlineLevel="0" collapsed="false">
      <c r="A487" s="13" t="str">
        <f aca="false">IF(עזר!L487="","",INDEX(עזר!$A$2:$A$5001,עזר!L487))</f>
        <v/>
      </c>
      <c r="B487" s="13" t="str">
        <f aca="false">IF(עזר!L487="","",INDEX(עזר!$B$2:$B$5001,עזר!L487))</f>
        <v/>
      </c>
      <c r="C487" s="13" t="str">
        <f aca="false">עזר!M487</f>
        <v/>
      </c>
    </row>
    <row r="488" customFormat="false" ht="15" hidden="false" customHeight="false" outlineLevel="0" collapsed="false">
      <c r="A488" s="13" t="str">
        <f aca="false">IF(עזר!L488="","",INDEX(עזר!$A$2:$A$5001,עזר!L488))</f>
        <v/>
      </c>
      <c r="B488" s="13" t="str">
        <f aca="false">IF(עזר!L488="","",INDEX(עזר!$B$2:$B$5001,עזר!L488))</f>
        <v/>
      </c>
      <c r="C488" s="13" t="str">
        <f aca="false">עזר!M488</f>
        <v/>
      </c>
    </row>
    <row r="489" customFormat="false" ht="15" hidden="false" customHeight="false" outlineLevel="0" collapsed="false">
      <c r="A489" s="13" t="str">
        <f aca="false">IF(עזר!L489="","",INDEX(עזר!$A$2:$A$5001,עזר!L489))</f>
        <v/>
      </c>
      <c r="B489" s="13" t="str">
        <f aca="false">IF(עזר!L489="","",INDEX(עזר!$B$2:$B$5001,עזר!L489))</f>
        <v/>
      </c>
      <c r="C489" s="13" t="str">
        <f aca="false">עזר!M489</f>
        <v/>
      </c>
    </row>
    <row r="490" customFormat="false" ht="15" hidden="false" customHeight="false" outlineLevel="0" collapsed="false">
      <c r="A490" s="13" t="str">
        <f aca="false">IF(עזר!L490="","",INDEX(עזר!$A$2:$A$5001,עזר!L490))</f>
        <v/>
      </c>
      <c r="B490" s="13" t="str">
        <f aca="false">IF(עזר!L490="","",INDEX(עזר!$B$2:$B$5001,עזר!L490))</f>
        <v/>
      </c>
      <c r="C490" s="13" t="str">
        <f aca="false">עזר!M490</f>
        <v/>
      </c>
    </row>
    <row r="491" customFormat="false" ht="15" hidden="false" customHeight="false" outlineLevel="0" collapsed="false">
      <c r="A491" s="13" t="str">
        <f aca="false">IF(עזר!L491="","",INDEX(עזר!$A$2:$A$5001,עזר!L491))</f>
        <v/>
      </c>
      <c r="B491" s="13" t="str">
        <f aca="false">IF(עזר!L491="","",INDEX(עזר!$B$2:$B$5001,עזר!L491))</f>
        <v/>
      </c>
      <c r="C491" s="13" t="str">
        <f aca="false">עזר!M491</f>
        <v/>
      </c>
    </row>
    <row r="492" customFormat="false" ht="15" hidden="false" customHeight="false" outlineLevel="0" collapsed="false">
      <c r="A492" s="13" t="str">
        <f aca="false">IF(עזר!L492="","",INDEX(עזר!$A$2:$A$5001,עזר!L492))</f>
        <v/>
      </c>
      <c r="B492" s="13" t="str">
        <f aca="false">IF(עזר!L492="","",INDEX(עזר!$B$2:$B$5001,עזר!L492))</f>
        <v/>
      </c>
      <c r="C492" s="13" t="str">
        <f aca="false">עזר!M492</f>
        <v/>
      </c>
    </row>
    <row r="493" customFormat="false" ht="15" hidden="false" customHeight="false" outlineLevel="0" collapsed="false">
      <c r="A493" s="13" t="str">
        <f aca="false">IF(עזר!L493="","",INDEX(עזר!$A$2:$A$5001,עזר!L493))</f>
        <v/>
      </c>
      <c r="B493" s="13" t="str">
        <f aca="false">IF(עזר!L493="","",INDEX(עזר!$B$2:$B$5001,עזר!L493))</f>
        <v/>
      </c>
      <c r="C493" s="13" t="str">
        <f aca="false">עזר!M493</f>
        <v/>
      </c>
    </row>
    <row r="494" customFormat="false" ht="15" hidden="false" customHeight="false" outlineLevel="0" collapsed="false">
      <c r="A494" s="13" t="str">
        <f aca="false">IF(עזר!L494="","",INDEX(עזר!$A$2:$A$5001,עזר!L494))</f>
        <v/>
      </c>
      <c r="B494" s="13" t="str">
        <f aca="false">IF(עזר!L494="","",INDEX(עזר!$B$2:$B$5001,עזר!L494))</f>
        <v/>
      </c>
      <c r="C494" s="13" t="str">
        <f aca="false">עזר!M494</f>
        <v/>
      </c>
    </row>
    <row r="495" customFormat="false" ht="15" hidden="false" customHeight="false" outlineLevel="0" collapsed="false">
      <c r="A495" s="13" t="str">
        <f aca="false">IF(עזר!L495="","",INDEX(עזר!$A$2:$A$5001,עזר!L495))</f>
        <v/>
      </c>
      <c r="B495" s="13" t="str">
        <f aca="false">IF(עזר!L495="","",INDEX(עזר!$B$2:$B$5001,עזר!L495))</f>
        <v/>
      </c>
      <c r="C495" s="13" t="str">
        <f aca="false">עזר!M495</f>
        <v/>
      </c>
    </row>
    <row r="496" customFormat="false" ht="15" hidden="false" customHeight="false" outlineLevel="0" collapsed="false">
      <c r="A496" s="13" t="str">
        <f aca="false">IF(עזר!L496="","",INDEX(עזר!$A$2:$A$5001,עזר!L496))</f>
        <v/>
      </c>
      <c r="B496" s="13" t="str">
        <f aca="false">IF(עזר!L496="","",INDEX(עזר!$B$2:$B$5001,עזר!L496))</f>
        <v/>
      </c>
      <c r="C496" s="13" t="str">
        <f aca="false">עזר!M496</f>
        <v/>
      </c>
    </row>
    <row r="497" customFormat="false" ht="15" hidden="false" customHeight="false" outlineLevel="0" collapsed="false">
      <c r="A497" s="13" t="str">
        <f aca="false">IF(עזר!L497="","",INDEX(עזר!$A$2:$A$5001,עזר!L497))</f>
        <v/>
      </c>
      <c r="B497" s="13" t="str">
        <f aca="false">IF(עזר!L497="","",INDEX(עזר!$B$2:$B$5001,עזר!L497))</f>
        <v/>
      </c>
      <c r="C497" s="13" t="str">
        <f aca="false">עזר!M497</f>
        <v/>
      </c>
    </row>
    <row r="498" customFormat="false" ht="15" hidden="false" customHeight="false" outlineLevel="0" collapsed="false">
      <c r="A498" s="13" t="str">
        <f aca="false">IF(עזר!L498="","",INDEX(עזר!$A$2:$A$5001,עזר!L498))</f>
        <v/>
      </c>
      <c r="B498" s="13" t="str">
        <f aca="false">IF(עזר!L498="","",INDEX(עזר!$B$2:$B$5001,עזר!L498))</f>
        <v/>
      </c>
      <c r="C498" s="13" t="str">
        <f aca="false">עזר!M498</f>
        <v/>
      </c>
    </row>
    <row r="499" customFormat="false" ht="15" hidden="false" customHeight="false" outlineLevel="0" collapsed="false">
      <c r="A499" s="13" t="str">
        <f aca="false">IF(עזר!L499="","",INDEX(עזר!$A$2:$A$5001,עזר!L499))</f>
        <v/>
      </c>
      <c r="B499" s="13" t="str">
        <f aca="false">IF(עזר!L499="","",INDEX(עזר!$B$2:$B$5001,עזר!L499))</f>
        <v/>
      </c>
      <c r="C499" s="13" t="str">
        <f aca="false">עזר!M499</f>
        <v/>
      </c>
    </row>
    <row r="500" customFormat="false" ht="15" hidden="false" customHeight="false" outlineLevel="0" collapsed="false">
      <c r="A500" s="13" t="str">
        <f aca="false">IF(עזר!L500="","",INDEX(עזר!$A$2:$A$5001,עזר!L500))</f>
        <v/>
      </c>
      <c r="B500" s="13" t="str">
        <f aca="false">IF(עזר!L500="","",INDEX(עזר!$B$2:$B$5001,עזר!L500))</f>
        <v/>
      </c>
      <c r="C500" s="13" t="str">
        <f aca="false">עזר!M500</f>
        <v/>
      </c>
    </row>
    <row r="501" customFormat="false" ht="15" hidden="false" customHeight="false" outlineLevel="0" collapsed="false">
      <c r="A501" s="13" t="str">
        <f aca="false">IF(עזר!L501="","",INDEX(עזר!$A$2:$A$5001,עזר!L501))</f>
        <v/>
      </c>
      <c r="B501" s="13" t="str">
        <f aca="false">IF(עזר!L501="","",INDEX(עזר!$B$2:$B$5001,עזר!L501))</f>
        <v/>
      </c>
      <c r="C501" s="13" t="str">
        <f aca="false">עזר!M501</f>
        <v/>
      </c>
    </row>
    <row r="502" customFormat="false" ht="15" hidden="false" customHeight="false" outlineLevel="0" collapsed="false">
      <c r="A502" s="13" t="str">
        <f aca="false">IF(עזר!L502="","",INDEX(עזר!$A$2:$A$5001,עזר!L502))</f>
        <v/>
      </c>
      <c r="B502" s="13" t="str">
        <f aca="false">IF(עזר!L502="","",INDEX(עזר!$B$2:$B$5001,עזר!L502))</f>
        <v/>
      </c>
      <c r="C502" s="13" t="str">
        <f aca="false">עזר!M502</f>
        <v/>
      </c>
    </row>
    <row r="503" customFormat="false" ht="15" hidden="false" customHeight="false" outlineLevel="0" collapsed="false">
      <c r="A503" s="13" t="str">
        <f aca="false">IF(עזר!L503="","",INDEX(עזר!$A$2:$A$5001,עזר!L503))</f>
        <v/>
      </c>
      <c r="B503" s="13" t="str">
        <f aca="false">IF(עזר!L503="","",INDEX(עזר!$B$2:$B$5001,עזר!L503))</f>
        <v/>
      </c>
      <c r="C503" s="13" t="str">
        <f aca="false">עזר!M503</f>
        <v/>
      </c>
    </row>
    <row r="504" customFormat="false" ht="15" hidden="false" customHeight="false" outlineLevel="0" collapsed="false">
      <c r="A504" s="13" t="str">
        <f aca="false">IF(עזר!L504="","",INDEX(עזר!$A$2:$A$5001,עזר!L504))</f>
        <v/>
      </c>
      <c r="B504" s="13" t="str">
        <f aca="false">IF(עזר!L504="","",INDEX(עזר!$B$2:$B$5001,עזר!L504))</f>
        <v/>
      </c>
      <c r="C504" s="13" t="str">
        <f aca="false">עזר!M504</f>
        <v/>
      </c>
    </row>
    <row r="505" customFormat="false" ht="15" hidden="false" customHeight="false" outlineLevel="0" collapsed="false">
      <c r="A505" s="13" t="str">
        <f aca="false">IF(עזר!L505="","",INDEX(עזר!$A$2:$A$5001,עזר!L505))</f>
        <v/>
      </c>
      <c r="B505" s="13" t="str">
        <f aca="false">IF(עזר!L505="","",INDEX(עזר!$B$2:$B$5001,עזר!L505))</f>
        <v/>
      </c>
      <c r="C505" s="13" t="str">
        <f aca="false">עזר!M505</f>
        <v/>
      </c>
    </row>
    <row r="506" customFormat="false" ht="15" hidden="false" customHeight="false" outlineLevel="0" collapsed="false">
      <c r="A506" s="13" t="str">
        <f aca="false">IF(עזר!L506="","",INDEX(עזר!$A$2:$A$5001,עזר!L506))</f>
        <v/>
      </c>
      <c r="B506" s="13" t="str">
        <f aca="false">IF(עזר!L506="","",INDEX(עזר!$B$2:$B$5001,עזר!L506))</f>
        <v/>
      </c>
      <c r="C506" s="13" t="str">
        <f aca="false">עזר!M506</f>
        <v/>
      </c>
    </row>
    <row r="507" customFormat="false" ht="15" hidden="false" customHeight="false" outlineLevel="0" collapsed="false">
      <c r="A507" s="13" t="str">
        <f aca="false">IF(עזר!L507="","",INDEX(עזר!$A$2:$A$5001,עזר!L507))</f>
        <v/>
      </c>
      <c r="B507" s="13" t="str">
        <f aca="false">IF(עזר!L507="","",INDEX(עזר!$B$2:$B$5001,עזר!L507))</f>
        <v/>
      </c>
      <c r="C507" s="13" t="str">
        <f aca="false">עזר!M507</f>
        <v/>
      </c>
    </row>
    <row r="508" customFormat="false" ht="15" hidden="false" customHeight="false" outlineLevel="0" collapsed="false">
      <c r="A508" s="13" t="str">
        <f aca="false">IF(עזר!L508="","",INDEX(עזר!$A$2:$A$5001,עזר!L508))</f>
        <v/>
      </c>
      <c r="B508" s="13" t="str">
        <f aca="false">IF(עזר!L508="","",INDEX(עזר!$B$2:$B$5001,עזר!L508))</f>
        <v/>
      </c>
      <c r="C508" s="13" t="str">
        <f aca="false">עזר!M508</f>
        <v/>
      </c>
    </row>
    <row r="509" customFormat="false" ht="15" hidden="false" customHeight="false" outlineLevel="0" collapsed="false">
      <c r="A509" s="13" t="str">
        <f aca="false">IF(עזר!L509="","",INDEX(עזר!$A$2:$A$5001,עזר!L509))</f>
        <v/>
      </c>
      <c r="B509" s="13" t="str">
        <f aca="false">IF(עזר!L509="","",INDEX(עזר!$B$2:$B$5001,עזר!L509))</f>
        <v/>
      </c>
      <c r="C509" s="13" t="str">
        <f aca="false">עזר!M509</f>
        <v/>
      </c>
    </row>
    <row r="510" customFormat="false" ht="15" hidden="false" customHeight="false" outlineLevel="0" collapsed="false">
      <c r="A510" s="13" t="str">
        <f aca="false">IF(עזר!L510="","",INDEX(עזר!$A$2:$A$5001,עזר!L510))</f>
        <v/>
      </c>
      <c r="B510" s="13" t="str">
        <f aca="false">IF(עזר!L510="","",INDEX(עזר!$B$2:$B$5001,עזר!L510))</f>
        <v/>
      </c>
      <c r="C510" s="13" t="str">
        <f aca="false">עזר!M510</f>
        <v/>
      </c>
    </row>
    <row r="511" customFormat="false" ht="15" hidden="false" customHeight="false" outlineLevel="0" collapsed="false">
      <c r="A511" s="13" t="str">
        <f aca="false">IF(עזר!L511="","",INDEX(עזר!$A$2:$A$5001,עזר!L511))</f>
        <v/>
      </c>
      <c r="B511" s="13" t="str">
        <f aca="false">IF(עזר!L511="","",INDEX(עזר!$B$2:$B$5001,עזר!L511))</f>
        <v/>
      </c>
      <c r="C511" s="13" t="str">
        <f aca="false">עזר!M511</f>
        <v/>
      </c>
    </row>
    <row r="512" customFormat="false" ht="15" hidden="false" customHeight="false" outlineLevel="0" collapsed="false">
      <c r="A512" s="13" t="str">
        <f aca="false">IF(עזר!L512="","",INDEX(עזר!$A$2:$A$5001,עזר!L512))</f>
        <v/>
      </c>
      <c r="B512" s="13" t="str">
        <f aca="false">IF(עזר!L512="","",INDEX(עזר!$B$2:$B$5001,עזר!L512))</f>
        <v/>
      </c>
      <c r="C512" s="13" t="str">
        <f aca="false">עזר!M512</f>
        <v/>
      </c>
    </row>
    <row r="513" customFormat="false" ht="15" hidden="false" customHeight="false" outlineLevel="0" collapsed="false">
      <c r="A513" s="13" t="str">
        <f aca="false">IF(עזר!L513="","",INDEX(עזר!$A$2:$A$5001,עזר!L513))</f>
        <v/>
      </c>
      <c r="B513" s="13" t="str">
        <f aca="false">IF(עזר!L513="","",INDEX(עזר!$B$2:$B$5001,עזר!L513))</f>
        <v/>
      </c>
      <c r="C513" s="13" t="str">
        <f aca="false">עזר!M513</f>
        <v/>
      </c>
    </row>
    <row r="514" customFormat="false" ht="15" hidden="false" customHeight="false" outlineLevel="0" collapsed="false">
      <c r="A514" s="13" t="str">
        <f aca="false">IF(עזר!L514="","",INDEX(עזר!$A$2:$A$5001,עזר!L514))</f>
        <v/>
      </c>
      <c r="B514" s="13" t="str">
        <f aca="false">IF(עזר!L514="","",INDEX(עזר!$B$2:$B$5001,עזר!L514))</f>
        <v/>
      </c>
      <c r="C514" s="13" t="str">
        <f aca="false">עזר!M514</f>
        <v/>
      </c>
    </row>
    <row r="515" customFormat="false" ht="15" hidden="false" customHeight="false" outlineLevel="0" collapsed="false">
      <c r="A515" s="13" t="str">
        <f aca="false">IF(עזר!L515="","",INDEX(עזר!$A$2:$A$5001,עזר!L515))</f>
        <v/>
      </c>
      <c r="B515" s="13" t="str">
        <f aca="false">IF(עזר!L515="","",INDEX(עזר!$B$2:$B$5001,עזר!L515))</f>
        <v/>
      </c>
      <c r="C515" s="13" t="str">
        <f aca="false">עזר!M515</f>
        <v/>
      </c>
    </row>
    <row r="516" customFormat="false" ht="15" hidden="false" customHeight="false" outlineLevel="0" collapsed="false">
      <c r="A516" s="13" t="str">
        <f aca="false">IF(עזר!L516="","",INDEX(עזר!$A$2:$A$5001,עזר!L516))</f>
        <v/>
      </c>
      <c r="B516" s="13" t="str">
        <f aca="false">IF(עזר!L516="","",INDEX(עזר!$B$2:$B$5001,עזר!L516))</f>
        <v/>
      </c>
      <c r="C516" s="13" t="str">
        <f aca="false">עזר!M516</f>
        <v/>
      </c>
    </row>
    <row r="517" customFormat="false" ht="15" hidden="false" customHeight="false" outlineLevel="0" collapsed="false">
      <c r="A517" s="13" t="str">
        <f aca="false">IF(עזר!L517="","",INDEX(עזר!$A$2:$A$5001,עזר!L517))</f>
        <v/>
      </c>
      <c r="B517" s="13" t="str">
        <f aca="false">IF(עזר!L517="","",INDEX(עזר!$B$2:$B$5001,עזר!L517))</f>
        <v/>
      </c>
      <c r="C517" s="13" t="str">
        <f aca="false">עזר!M517</f>
        <v/>
      </c>
    </row>
    <row r="518" customFormat="false" ht="15" hidden="false" customHeight="false" outlineLevel="0" collapsed="false">
      <c r="A518" s="13" t="str">
        <f aca="false">IF(עזר!L518="","",INDEX(עזר!$A$2:$A$5001,עזר!L518))</f>
        <v/>
      </c>
      <c r="B518" s="13" t="str">
        <f aca="false">IF(עזר!L518="","",INDEX(עזר!$B$2:$B$5001,עזר!L518))</f>
        <v/>
      </c>
      <c r="C518" s="13" t="str">
        <f aca="false">עזר!M518</f>
        <v/>
      </c>
    </row>
    <row r="519" customFormat="false" ht="15" hidden="false" customHeight="false" outlineLevel="0" collapsed="false">
      <c r="A519" s="13" t="str">
        <f aca="false">IF(עזר!L519="","",INDEX(עזר!$A$2:$A$5001,עזר!L519))</f>
        <v/>
      </c>
      <c r="B519" s="13" t="str">
        <f aca="false">IF(עזר!L519="","",INDEX(עזר!$B$2:$B$5001,עזר!L519))</f>
        <v/>
      </c>
      <c r="C519" s="13" t="str">
        <f aca="false">עזר!M519</f>
        <v/>
      </c>
    </row>
    <row r="520" customFormat="false" ht="15" hidden="false" customHeight="false" outlineLevel="0" collapsed="false">
      <c r="A520" s="13" t="str">
        <f aca="false">IF(עזר!L520="","",INDEX(עזר!$A$2:$A$5001,עזר!L520))</f>
        <v/>
      </c>
      <c r="B520" s="13" t="str">
        <f aca="false">IF(עזר!L520="","",INDEX(עזר!$B$2:$B$5001,עזר!L520))</f>
        <v/>
      </c>
      <c r="C520" s="13" t="str">
        <f aca="false">עזר!M520</f>
        <v/>
      </c>
    </row>
    <row r="521" customFormat="false" ht="15" hidden="false" customHeight="false" outlineLevel="0" collapsed="false">
      <c r="A521" s="13" t="str">
        <f aca="false">IF(עזר!L521="","",INDEX(עזר!$A$2:$A$5001,עזר!L521))</f>
        <v/>
      </c>
      <c r="B521" s="13" t="str">
        <f aca="false">IF(עזר!L521="","",INDEX(עזר!$B$2:$B$5001,עזר!L521))</f>
        <v/>
      </c>
      <c r="C521" s="13" t="str">
        <f aca="false">עזר!M521</f>
        <v/>
      </c>
    </row>
    <row r="522" customFormat="false" ht="15" hidden="false" customHeight="false" outlineLevel="0" collapsed="false">
      <c r="A522" s="13" t="str">
        <f aca="false">IF(עזר!L522="","",INDEX(עזר!$A$2:$A$5001,עזר!L522))</f>
        <v/>
      </c>
      <c r="B522" s="13" t="str">
        <f aca="false">IF(עזר!L522="","",INDEX(עזר!$B$2:$B$5001,עזר!L522))</f>
        <v/>
      </c>
      <c r="C522" s="13" t="str">
        <f aca="false">עזר!M522</f>
        <v/>
      </c>
    </row>
    <row r="523" customFormat="false" ht="15" hidden="false" customHeight="false" outlineLevel="0" collapsed="false">
      <c r="A523" s="13" t="str">
        <f aca="false">IF(עזר!L523="","",INDEX(עזר!$A$2:$A$5001,עזר!L523))</f>
        <v/>
      </c>
      <c r="B523" s="13" t="str">
        <f aca="false">IF(עזר!L523="","",INDEX(עזר!$B$2:$B$5001,עזר!L523))</f>
        <v/>
      </c>
      <c r="C523" s="13" t="str">
        <f aca="false">עזר!M523</f>
        <v/>
      </c>
    </row>
    <row r="524" customFormat="false" ht="15" hidden="false" customHeight="false" outlineLevel="0" collapsed="false">
      <c r="A524" s="13" t="str">
        <f aca="false">IF(עזר!L524="","",INDEX(עזר!$A$2:$A$5001,עזר!L524))</f>
        <v/>
      </c>
      <c r="B524" s="13" t="str">
        <f aca="false">IF(עזר!L524="","",INDEX(עזר!$B$2:$B$5001,עזר!L524))</f>
        <v/>
      </c>
      <c r="C524" s="13" t="str">
        <f aca="false">עזר!M524</f>
        <v/>
      </c>
    </row>
    <row r="525" customFormat="false" ht="15" hidden="false" customHeight="false" outlineLevel="0" collapsed="false">
      <c r="A525" s="13" t="str">
        <f aca="false">IF(עזר!L525="","",INDEX(עזר!$A$2:$A$5001,עזר!L525))</f>
        <v/>
      </c>
      <c r="B525" s="13" t="str">
        <f aca="false">IF(עזר!L525="","",INDEX(עזר!$B$2:$B$5001,עזר!L525))</f>
        <v/>
      </c>
      <c r="C525" s="13" t="str">
        <f aca="false">עזר!M525</f>
        <v/>
      </c>
    </row>
    <row r="526" customFormat="false" ht="15" hidden="false" customHeight="false" outlineLevel="0" collapsed="false">
      <c r="A526" s="13" t="str">
        <f aca="false">IF(עזר!L526="","",INDEX(עזר!$A$2:$A$5001,עזר!L526))</f>
        <v/>
      </c>
      <c r="B526" s="13" t="str">
        <f aca="false">IF(עזר!L526="","",INDEX(עזר!$B$2:$B$5001,עזר!L526))</f>
        <v/>
      </c>
      <c r="C526" s="13" t="str">
        <f aca="false">עזר!M526</f>
        <v/>
      </c>
    </row>
    <row r="527" customFormat="false" ht="15" hidden="false" customHeight="false" outlineLevel="0" collapsed="false">
      <c r="A527" s="13" t="str">
        <f aca="false">IF(עזר!L527="","",INDEX(עזר!$A$2:$A$5001,עזר!L527))</f>
        <v/>
      </c>
      <c r="B527" s="13" t="str">
        <f aca="false">IF(עזר!L527="","",INDEX(עזר!$B$2:$B$5001,עזר!L527))</f>
        <v/>
      </c>
      <c r="C527" s="13" t="str">
        <f aca="false">עזר!M527</f>
        <v/>
      </c>
    </row>
    <row r="528" customFormat="false" ht="15" hidden="false" customHeight="false" outlineLevel="0" collapsed="false">
      <c r="A528" s="13" t="str">
        <f aca="false">IF(עזר!L528="","",INDEX(עזר!$A$2:$A$5001,עזר!L528))</f>
        <v/>
      </c>
      <c r="B528" s="13" t="str">
        <f aca="false">IF(עזר!L528="","",INDEX(עזר!$B$2:$B$5001,עזר!L528))</f>
        <v/>
      </c>
      <c r="C528" s="13" t="str">
        <f aca="false">עזר!M528</f>
        <v/>
      </c>
    </row>
    <row r="529" customFormat="false" ht="15" hidden="false" customHeight="false" outlineLevel="0" collapsed="false">
      <c r="A529" s="13" t="str">
        <f aca="false">IF(עזר!L529="","",INDEX(עזר!$A$2:$A$5001,עזר!L529))</f>
        <v/>
      </c>
      <c r="B529" s="13" t="str">
        <f aca="false">IF(עזר!L529="","",INDEX(עזר!$B$2:$B$5001,עזר!L529))</f>
        <v/>
      </c>
      <c r="C529" s="13" t="str">
        <f aca="false">עזר!M529</f>
        <v/>
      </c>
    </row>
    <row r="530" customFormat="false" ht="15" hidden="false" customHeight="false" outlineLevel="0" collapsed="false">
      <c r="A530" s="13" t="str">
        <f aca="false">IF(עזר!L530="","",INDEX(עזר!$A$2:$A$5001,עזר!L530))</f>
        <v/>
      </c>
      <c r="B530" s="13" t="str">
        <f aca="false">IF(עזר!L530="","",INDEX(עזר!$B$2:$B$5001,עזר!L530))</f>
        <v/>
      </c>
      <c r="C530" s="13" t="str">
        <f aca="false">עזר!M530</f>
        <v/>
      </c>
    </row>
    <row r="531" customFormat="false" ht="15" hidden="false" customHeight="false" outlineLevel="0" collapsed="false">
      <c r="A531" s="13" t="str">
        <f aca="false">IF(עזר!L531="","",INDEX(עזר!$A$2:$A$5001,עזר!L531))</f>
        <v/>
      </c>
      <c r="B531" s="13" t="str">
        <f aca="false">IF(עזר!L531="","",INDEX(עזר!$B$2:$B$5001,עזר!L531))</f>
        <v/>
      </c>
      <c r="C531" s="13" t="str">
        <f aca="false">עזר!M531</f>
        <v/>
      </c>
    </row>
    <row r="532" customFormat="false" ht="15" hidden="false" customHeight="false" outlineLevel="0" collapsed="false">
      <c r="A532" s="13" t="str">
        <f aca="false">IF(עזר!L532="","",INDEX(עזר!$A$2:$A$5001,עזר!L532))</f>
        <v/>
      </c>
      <c r="B532" s="13" t="str">
        <f aca="false">IF(עזר!L532="","",INDEX(עזר!$B$2:$B$5001,עזר!L532))</f>
        <v/>
      </c>
      <c r="C532" s="13" t="str">
        <f aca="false">עזר!M532</f>
        <v/>
      </c>
    </row>
    <row r="533" customFormat="false" ht="15" hidden="false" customHeight="false" outlineLevel="0" collapsed="false">
      <c r="A533" s="13" t="str">
        <f aca="false">IF(עזר!L533="","",INDEX(עזר!$A$2:$A$5001,עזר!L533))</f>
        <v/>
      </c>
      <c r="B533" s="13" t="str">
        <f aca="false">IF(עזר!L533="","",INDEX(עזר!$B$2:$B$5001,עזר!L533))</f>
        <v/>
      </c>
      <c r="C533" s="13" t="str">
        <f aca="false">עזר!M533</f>
        <v/>
      </c>
    </row>
    <row r="534" customFormat="false" ht="15" hidden="false" customHeight="false" outlineLevel="0" collapsed="false">
      <c r="A534" s="13" t="str">
        <f aca="false">IF(עזר!L534="","",INDEX(עזר!$A$2:$A$5001,עזר!L534))</f>
        <v/>
      </c>
      <c r="B534" s="13" t="str">
        <f aca="false">IF(עזר!L534="","",INDEX(עזר!$B$2:$B$5001,עזר!L534))</f>
        <v/>
      </c>
      <c r="C534" s="13" t="str">
        <f aca="false">עזר!M534</f>
        <v/>
      </c>
    </row>
    <row r="535" customFormat="false" ht="15" hidden="false" customHeight="false" outlineLevel="0" collapsed="false">
      <c r="A535" s="13" t="str">
        <f aca="false">IF(עזר!L535="","",INDEX(עזר!$A$2:$A$5001,עזר!L535))</f>
        <v/>
      </c>
      <c r="B535" s="13" t="str">
        <f aca="false">IF(עזר!L535="","",INDEX(עזר!$B$2:$B$5001,עזר!L535))</f>
        <v/>
      </c>
      <c r="C535" s="13" t="str">
        <f aca="false">עזר!M535</f>
        <v/>
      </c>
    </row>
    <row r="536" customFormat="false" ht="15" hidden="false" customHeight="false" outlineLevel="0" collapsed="false">
      <c r="A536" s="13" t="str">
        <f aca="false">IF(עזר!L536="","",INDEX(עזר!$A$2:$A$5001,עזר!L536))</f>
        <v/>
      </c>
      <c r="B536" s="13" t="str">
        <f aca="false">IF(עזר!L536="","",INDEX(עזר!$B$2:$B$5001,עזר!L536))</f>
        <v/>
      </c>
      <c r="C536" s="13" t="str">
        <f aca="false">עזר!M536</f>
        <v/>
      </c>
    </row>
    <row r="537" customFormat="false" ht="15" hidden="false" customHeight="false" outlineLevel="0" collapsed="false">
      <c r="A537" s="13" t="str">
        <f aca="false">IF(עזר!L537="","",INDEX(עזר!$A$2:$A$5001,עזר!L537))</f>
        <v/>
      </c>
      <c r="B537" s="13" t="str">
        <f aca="false">IF(עזר!L537="","",INDEX(עזר!$B$2:$B$5001,עזר!L537))</f>
        <v/>
      </c>
      <c r="C537" s="13" t="str">
        <f aca="false">עזר!M537</f>
        <v/>
      </c>
    </row>
    <row r="538" customFormat="false" ht="15" hidden="false" customHeight="false" outlineLevel="0" collapsed="false">
      <c r="A538" s="13" t="str">
        <f aca="false">IF(עזר!L538="","",INDEX(עזר!$A$2:$A$5001,עזר!L538))</f>
        <v/>
      </c>
      <c r="B538" s="13" t="str">
        <f aca="false">IF(עזר!L538="","",INDEX(עזר!$B$2:$B$5001,עזר!L538))</f>
        <v/>
      </c>
      <c r="C538" s="13" t="str">
        <f aca="false">עזר!M538</f>
        <v/>
      </c>
    </row>
    <row r="539" customFormat="false" ht="15" hidden="false" customHeight="false" outlineLevel="0" collapsed="false">
      <c r="A539" s="13" t="str">
        <f aca="false">IF(עזר!L539="","",INDEX(עזר!$A$2:$A$5001,עזר!L539))</f>
        <v/>
      </c>
      <c r="B539" s="13" t="str">
        <f aca="false">IF(עזר!L539="","",INDEX(עזר!$B$2:$B$5001,עזר!L539))</f>
        <v/>
      </c>
      <c r="C539" s="13" t="str">
        <f aca="false">עזר!M539</f>
        <v/>
      </c>
    </row>
    <row r="540" customFormat="false" ht="15" hidden="false" customHeight="false" outlineLevel="0" collapsed="false">
      <c r="A540" s="13" t="str">
        <f aca="false">IF(עזר!L540="","",INDEX(עזר!$A$2:$A$5001,עזר!L540))</f>
        <v/>
      </c>
      <c r="B540" s="13" t="str">
        <f aca="false">IF(עזר!L540="","",INDEX(עזר!$B$2:$B$5001,עזר!L540))</f>
        <v/>
      </c>
      <c r="C540" s="13" t="str">
        <f aca="false">עזר!M540</f>
        <v/>
      </c>
    </row>
    <row r="541" customFormat="false" ht="15" hidden="false" customHeight="false" outlineLevel="0" collapsed="false">
      <c r="A541" s="13" t="str">
        <f aca="false">IF(עזר!L541="","",INDEX(עזר!$A$2:$A$5001,עזר!L541))</f>
        <v/>
      </c>
      <c r="B541" s="13" t="str">
        <f aca="false">IF(עזר!L541="","",INDEX(עזר!$B$2:$B$5001,עזר!L541))</f>
        <v/>
      </c>
      <c r="C541" s="13" t="str">
        <f aca="false">עזר!M541</f>
        <v/>
      </c>
    </row>
    <row r="542" customFormat="false" ht="15" hidden="false" customHeight="false" outlineLevel="0" collapsed="false">
      <c r="A542" s="13" t="str">
        <f aca="false">IF(עזר!L542="","",INDEX(עזר!$A$2:$A$5001,עזר!L542))</f>
        <v/>
      </c>
      <c r="B542" s="13" t="str">
        <f aca="false">IF(עזר!L542="","",INDEX(עזר!$B$2:$B$5001,עזר!L542))</f>
        <v/>
      </c>
      <c r="C542" s="13" t="str">
        <f aca="false">עזר!M542</f>
        <v/>
      </c>
    </row>
    <row r="543" customFormat="false" ht="15" hidden="false" customHeight="false" outlineLevel="0" collapsed="false">
      <c r="A543" s="13" t="str">
        <f aca="false">IF(עזר!L543="","",INDEX(עזר!$A$2:$A$5001,עזר!L543))</f>
        <v/>
      </c>
      <c r="B543" s="13" t="str">
        <f aca="false">IF(עזר!L543="","",INDEX(עזר!$B$2:$B$5001,עזר!L543))</f>
        <v/>
      </c>
      <c r="C543" s="13" t="str">
        <f aca="false">עזר!M543</f>
        <v/>
      </c>
    </row>
    <row r="544" customFormat="false" ht="15" hidden="false" customHeight="false" outlineLevel="0" collapsed="false">
      <c r="A544" s="13" t="str">
        <f aca="false">IF(עזר!L544="","",INDEX(עזר!$A$2:$A$5001,עזר!L544))</f>
        <v/>
      </c>
      <c r="B544" s="13" t="str">
        <f aca="false">IF(עזר!L544="","",INDEX(עזר!$B$2:$B$5001,עזר!L544))</f>
        <v/>
      </c>
      <c r="C544" s="13" t="str">
        <f aca="false">עזר!M544</f>
        <v/>
      </c>
    </row>
    <row r="545" customFormat="false" ht="15" hidden="false" customHeight="false" outlineLevel="0" collapsed="false">
      <c r="A545" s="13" t="str">
        <f aca="false">IF(עזר!L545="","",INDEX(עזר!$A$2:$A$5001,עזר!L545))</f>
        <v/>
      </c>
      <c r="B545" s="13" t="str">
        <f aca="false">IF(עזר!L545="","",INDEX(עזר!$B$2:$B$5001,עזר!L545))</f>
        <v/>
      </c>
      <c r="C545" s="13" t="str">
        <f aca="false">עזר!M545</f>
        <v/>
      </c>
    </row>
    <row r="546" customFormat="false" ht="15" hidden="false" customHeight="false" outlineLevel="0" collapsed="false">
      <c r="A546" s="13" t="str">
        <f aca="false">IF(עזר!L546="","",INDEX(עזר!$A$2:$A$5001,עזר!L546))</f>
        <v/>
      </c>
      <c r="B546" s="13" t="str">
        <f aca="false">IF(עזר!L546="","",INDEX(עזר!$B$2:$B$5001,עזר!L546))</f>
        <v/>
      </c>
      <c r="C546" s="13" t="str">
        <f aca="false">עזר!M546</f>
        <v/>
      </c>
    </row>
    <row r="547" customFormat="false" ht="15" hidden="false" customHeight="false" outlineLevel="0" collapsed="false">
      <c r="A547" s="13" t="str">
        <f aca="false">IF(עזר!L547="","",INDEX(עזר!$A$2:$A$5001,עזר!L547))</f>
        <v/>
      </c>
      <c r="B547" s="13" t="str">
        <f aca="false">IF(עזר!L547="","",INDEX(עזר!$B$2:$B$5001,עזר!L547))</f>
        <v/>
      </c>
      <c r="C547" s="13" t="str">
        <f aca="false">עזר!M547</f>
        <v/>
      </c>
    </row>
    <row r="548" customFormat="false" ht="15" hidden="false" customHeight="false" outlineLevel="0" collapsed="false">
      <c r="A548" s="13" t="str">
        <f aca="false">IF(עזר!L548="","",INDEX(עזר!$A$2:$A$5001,עזר!L548))</f>
        <v/>
      </c>
      <c r="B548" s="13" t="str">
        <f aca="false">IF(עזר!L548="","",INDEX(עזר!$B$2:$B$5001,עזר!L548))</f>
        <v/>
      </c>
      <c r="C548" s="13" t="str">
        <f aca="false">עזר!M548</f>
        <v/>
      </c>
    </row>
    <row r="549" customFormat="false" ht="15" hidden="false" customHeight="false" outlineLevel="0" collapsed="false">
      <c r="A549" s="13" t="str">
        <f aca="false">IF(עזר!L549="","",INDEX(עזר!$A$2:$A$5001,עזר!L549))</f>
        <v/>
      </c>
      <c r="B549" s="13" t="str">
        <f aca="false">IF(עזר!L549="","",INDEX(עזר!$B$2:$B$5001,עזר!L549))</f>
        <v/>
      </c>
      <c r="C549" s="13" t="str">
        <f aca="false">עזר!M549</f>
        <v/>
      </c>
    </row>
    <row r="550" customFormat="false" ht="15" hidden="false" customHeight="false" outlineLevel="0" collapsed="false">
      <c r="A550" s="13" t="str">
        <f aca="false">IF(עזר!L550="","",INDEX(עזר!$A$2:$A$5001,עזר!L550))</f>
        <v/>
      </c>
      <c r="B550" s="13" t="str">
        <f aca="false">IF(עזר!L550="","",INDEX(עזר!$B$2:$B$5001,עזר!L550))</f>
        <v/>
      </c>
      <c r="C550" s="13" t="str">
        <f aca="false">עזר!M550</f>
        <v/>
      </c>
    </row>
    <row r="551" customFormat="false" ht="15" hidden="false" customHeight="false" outlineLevel="0" collapsed="false">
      <c r="A551" s="13" t="str">
        <f aca="false">IF(עזר!L551="","",INDEX(עזר!$A$2:$A$5001,עזר!L551))</f>
        <v/>
      </c>
      <c r="B551" s="13" t="str">
        <f aca="false">IF(עזר!L551="","",INDEX(עזר!$B$2:$B$5001,עזר!L551))</f>
        <v/>
      </c>
      <c r="C551" s="13" t="str">
        <f aca="false">עזר!M551</f>
        <v/>
      </c>
    </row>
    <row r="552" customFormat="false" ht="15" hidden="false" customHeight="false" outlineLevel="0" collapsed="false">
      <c r="A552" s="13" t="str">
        <f aca="false">IF(עזר!L552="","",INDEX(עזר!$A$2:$A$5001,עזר!L552))</f>
        <v/>
      </c>
      <c r="B552" s="13" t="str">
        <f aca="false">IF(עזר!L552="","",INDEX(עזר!$B$2:$B$5001,עזר!L552))</f>
        <v/>
      </c>
      <c r="C552" s="13" t="str">
        <f aca="false">עזר!M552</f>
        <v/>
      </c>
    </row>
    <row r="553" customFormat="false" ht="15" hidden="false" customHeight="false" outlineLevel="0" collapsed="false">
      <c r="A553" s="13" t="str">
        <f aca="false">IF(עזר!L553="","",INDEX(עזר!$A$2:$A$5001,עזר!L553))</f>
        <v/>
      </c>
      <c r="B553" s="13" t="str">
        <f aca="false">IF(עזר!L553="","",INDEX(עזר!$B$2:$B$5001,עזר!L553))</f>
        <v/>
      </c>
      <c r="C553" s="13" t="str">
        <f aca="false">עזר!M553</f>
        <v/>
      </c>
    </row>
    <row r="554" customFormat="false" ht="15" hidden="false" customHeight="false" outlineLevel="0" collapsed="false">
      <c r="A554" s="13" t="str">
        <f aca="false">IF(עזר!L554="","",INDEX(עזר!$A$2:$A$5001,עזר!L554))</f>
        <v/>
      </c>
      <c r="B554" s="13" t="str">
        <f aca="false">IF(עזר!L554="","",INDEX(עזר!$B$2:$B$5001,עזר!L554))</f>
        <v/>
      </c>
      <c r="C554" s="13" t="str">
        <f aca="false">עזר!M554</f>
        <v/>
      </c>
    </row>
    <row r="555" customFormat="false" ht="15" hidden="false" customHeight="false" outlineLevel="0" collapsed="false">
      <c r="A555" s="13" t="str">
        <f aca="false">IF(עזר!L555="","",INDEX(עזר!$A$2:$A$5001,עזר!L555))</f>
        <v/>
      </c>
      <c r="B555" s="13" t="str">
        <f aca="false">IF(עזר!L555="","",INDEX(עזר!$B$2:$B$5001,עזר!L555))</f>
        <v/>
      </c>
      <c r="C555" s="13" t="str">
        <f aca="false">עזר!M555</f>
        <v/>
      </c>
    </row>
    <row r="556" customFormat="false" ht="15" hidden="false" customHeight="false" outlineLevel="0" collapsed="false">
      <c r="A556" s="13" t="str">
        <f aca="false">IF(עזר!L556="","",INDEX(עזר!$A$2:$A$5001,עזר!L556))</f>
        <v/>
      </c>
      <c r="B556" s="13" t="str">
        <f aca="false">IF(עזר!L556="","",INDEX(עזר!$B$2:$B$5001,עזר!L556))</f>
        <v/>
      </c>
      <c r="C556" s="13" t="str">
        <f aca="false">עזר!M556</f>
        <v/>
      </c>
    </row>
    <row r="557" customFormat="false" ht="15" hidden="false" customHeight="false" outlineLevel="0" collapsed="false">
      <c r="A557" s="13" t="str">
        <f aca="false">IF(עזר!L557="","",INDEX(עזר!$A$2:$A$5001,עזר!L557))</f>
        <v/>
      </c>
      <c r="B557" s="13" t="str">
        <f aca="false">IF(עזר!L557="","",INDEX(עזר!$B$2:$B$5001,עזר!L557))</f>
        <v/>
      </c>
      <c r="C557" s="13" t="str">
        <f aca="false">עזר!M557</f>
        <v/>
      </c>
    </row>
    <row r="558" customFormat="false" ht="15" hidden="false" customHeight="false" outlineLevel="0" collapsed="false">
      <c r="A558" s="13" t="str">
        <f aca="false">IF(עזר!L558="","",INDEX(עזר!$A$2:$A$5001,עזר!L558))</f>
        <v/>
      </c>
      <c r="B558" s="13" t="str">
        <f aca="false">IF(עזר!L558="","",INDEX(עזר!$B$2:$B$5001,עזר!L558))</f>
        <v/>
      </c>
      <c r="C558" s="13" t="str">
        <f aca="false">עזר!M558</f>
        <v/>
      </c>
    </row>
    <row r="559" customFormat="false" ht="15" hidden="false" customHeight="false" outlineLevel="0" collapsed="false">
      <c r="A559" s="13" t="str">
        <f aca="false">IF(עזר!L559="","",INDEX(עזר!$A$2:$A$5001,עזר!L559))</f>
        <v/>
      </c>
      <c r="B559" s="13" t="str">
        <f aca="false">IF(עזר!L559="","",INDEX(עזר!$B$2:$B$5001,עזר!L559))</f>
        <v/>
      </c>
      <c r="C559" s="13" t="str">
        <f aca="false">עזר!M559</f>
        <v/>
      </c>
    </row>
    <row r="560" customFormat="false" ht="15" hidden="false" customHeight="false" outlineLevel="0" collapsed="false">
      <c r="A560" s="13" t="str">
        <f aca="false">IF(עזר!L560="","",INDEX(עזר!$A$2:$A$5001,עזר!L560))</f>
        <v/>
      </c>
      <c r="B560" s="13" t="str">
        <f aca="false">IF(עזר!L560="","",INDEX(עזר!$B$2:$B$5001,עזר!L560))</f>
        <v/>
      </c>
      <c r="C560" s="13" t="str">
        <f aca="false">עזר!M560</f>
        <v/>
      </c>
    </row>
    <row r="561" customFormat="false" ht="15" hidden="false" customHeight="false" outlineLevel="0" collapsed="false">
      <c r="A561" s="13" t="str">
        <f aca="false">IF(עזר!L561="","",INDEX(עזר!$A$2:$A$5001,עזר!L561))</f>
        <v/>
      </c>
      <c r="B561" s="13" t="str">
        <f aca="false">IF(עזר!L561="","",INDEX(עזר!$B$2:$B$5001,עזר!L561))</f>
        <v/>
      </c>
      <c r="C561" s="13" t="str">
        <f aca="false">עזר!M561</f>
        <v/>
      </c>
    </row>
    <row r="562" customFormat="false" ht="15" hidden="false" customHeight="false" outlineLevel="0" collapsed="false">
      <c r="A562" s="13" t="str">
        <f aca="false">IF(עזר!L562="","",INDEX(עזר!$A$2:$A$5001,עזר!L562))</f>
        <v/>
      </c>
      <c r="B562" s="13" t="str">
        <f aca="false">IF(עזר!L562="","",INDEX(עזר!$B$2:$B$5001,עזר!L562))</f>
        <v/>
      </c>
      <c r="C562" s="13" t="str">
        <f aca="false">עזר!M562</f>
        <v/>
      </c>
    </row>
    <row r="563" customFormat="false" ht="15" hidden="false" customHeight="false" outlineLevel="0" collapsed="false">
      <c r="A563" s="13" t="str">
        <f aca="false">IF(עזר!L563="","",INDEX(עזר!$A$2:$A$5001,עזר!L563))</f>
        <v/>
      </c>
      <c r="B563" s="13" t="str">
        <f aca="false">IF(עזר!L563="","",INDEX(עזר!$B$2:$B$5001,עזר!L563))</f>
        <v/>
      </c>
      <c r="C563" s="13" t="str">
        <f aca="false">עזר!M563</f>
        <v/>
      </c>
    </row>
    <row r="564" customFormat="false" ht="15" hidden="false" customHeight="false" outlineLevel="0" collapsed="false">
      <c r="A564" s="13" t="str">
        <f aca="false">IF(עזר!L564="","",INDEX(עזר!$A$2:$A$5001,עזר!L564))</f>
        <v/>
      </c>
      <c r="B564" s="13" t="str">
        <f aca="false">IF(עזר!L564="","",INDEX(עזר!$B$2:$B$5001,עזר!L564))</f>
        <v/>
      </c>
      <c r="C564" s="13" t="str">
        <f aca="false">עזר!M564</f>
        <v/>
      </c>
    </row>
    <row r="565" customFormat="false" ht="15" hidden="false" customHeight="false" outlineLevel="0" collapsed="false">
      <c r="A565" s="13" t="str">
        <f aca="false">IF(עזר!L565="","",INDEX(עזר!$A$2:$A$5001,עזר!L565))</f>
        <v/>
      </c>
      <c r="B565" s="13" t="str">
        <f aca="false">IF(עזר!L565="","",INDEX(עזר!$B$2:$B$5001,עזר!L565))</f>
        <v/>
      </c>
      <c r="C565" s="13" t="str">
        <f aca="false">עזר!M565</f>
        <v/>
      </c>
    </row>
    <row r="566" customFormat="false" ht="15" hidden="false" customHeight="false" outlineLevel="0" collapsed="false">
      <c r="A566" s="13" t="str">
        <f aca="false">IF(עזר!L566="","",INDEX(עזר!$A$2:$A$5001,עזר!L566))</f>
        <v/>
      </c>
      <c r="B566" s="13" t="str">
        <f aca="false">IF(עזר!L566="","",INDEX(עזר!$B$2:$B$5001,עזר!L566))</f>
        <v/>
      </c>
      <c r="C566" s="13" t="str">
        <f aca="false">עזר!M566</f>
        <v/>
      </c>
    </row>
    <row r="567" customFormat="false" ht="15" hidden="false" customHeight="false" outlineLevel="0" collapsed="false">
      <c r="A567" s="13" t="str">
        <f aca="false">IF(עזר!L567="","",INDEX(עזר!$A$2:$A$5001,עזר!L567))</f>
        <v/>
      </c>
      <c r="B567" s="13" t="str">
        <f aca="false">IF(עזר!L567="","",INDEX(עזר!$B$2:$B$5001,עזר!L567))</f>
        <v/>
      </c>
      <c r="C567" s="13" t="str">
        <f aca="false">עזר!M567</f>
        <v/>
      </c>
    </row>
    <row r="568" customFormat="false" ht="15" hidden="false" customHeight="false" outlineLevel="0" collapsed="false">
      <c r="A568" s="13" t="str">
        <f aca="false">IF(עזר!L568="","",INDEX(עזר!$A$2:$A$5001,עזר!L568))</f>
        <v/>
      </c>
      <c r="B568" s="13" t="str">
        <f aca="false">IF(עזר!L568="","",INDEX(עזר!$B$2:$B$5001,עזר!L568))</f>
        <v/>
      </c>
      <c r="C568" s="13" t="str">
        <f aca="false">עזר!M568</f>
        <v/>
      </c>
    </row>
    <row r="569" customFormat="false" ht="15" hidden="false" customHeight="false" outlineLevel="0" collapsed="false">
      <c r="A569" s="13" t="str">
        <f aca="false">IF(עזר!L569="","",INDEX(עזר!$A$2:$A$5001,עזר!L569))</f>
        <v/>
      </c>
      <c r="B569" s="13" t="str">
        <f aca="false">IF(עזר!L569="","",INDEX(עזר!$B$2:$B$5001,עזר!L569))</f>
        <v/>
      </c>
      <c r="C569" s="13" t="str">
        <f aca="false">עזר!M569</f>
        <v/>
      </c>
    </row>
    <row r="570" customFormat="false" ht="15" hidden="false" customHeight="false" outlineLevel="0" collapsed="false">
      <c r="A570" s="13" t="str">
        <f aca="false">IF(עזר!L570="","",INDEX(עזר!$A$2:$A$5001,עזר!L570))</f>
        <v/>
      </c>
      <c r="B570" s="13" t="str">
        <f aca="false">IF(עזר!L570="","",INDEX(עזר!$B$2:$B$5001,עזר!L570))</f>
        <v/>
      </c>
      <c r="C570" s="13" t="str">
        <f aca="false">עזר!M570</f>
        <v/>
      </c>
    </row>
    <row r="571" customFormat="false" ht="15" hidden="false" customHeight="false" outlineLevel="0" collapsed="false">
      <c r="A571" s="13" t="str">
        <f aca="false">IF(עזר!L571="","",INDEX(עזר!$A$2:$A$5001,עזר!L571))</f>
        <v/>
      </c>
      <c r="B571" s="13" t="str">
        <f aca="false">IF(עזר!L571="","",INDEX(עזר!$B$2:$B$5001,עזר!L571))</f>
        <v/>
      </c>
      <c r="C571" s="13" t="str">
        <f aca="false">עזר!M571</f>
        <v/>
      </c>
    </row>
    <row r="572" customFormat="false" ht="15" hidden="false" customHeight="false" outlineLevel="0" collapsed="false">
      <c r="A572" s="13" t="str">
        <f aca="false">IF(עזר!L572="","",INDEX(עזר!$A$2:$A$5001,עזר!L572))</f>
        <v/>
      </c>
      <c r="B572" s="13" t="str">
        <f aca="false">IF(עזר!L572="","",INDEX(עזר!$B$2:$B$5001,עזר!L572))</f>
        <v/>
      </c>
      <c r="C572" s="13" t="str">
        <f aca="false">עזר!M572</f>
        <v/>
      </c>
    </row>
    <row r="573" customFormat="false" ht="15" hidden="false" customHeight="false" outlineLevel="0" collapsed="false">
      <c r="A573" s="13" t="str">
        <f aca="false">IF(עזר!L573="","",INDEX(עזר!$A$2:$A$5001,עזר!L573))</f>
        <v/>
      </c>
      <c r="B573" s="13" t="str">
        <f aca="false">IF(עזר!L573="","",INDEX(עזר!$B$2:$B$5001,עזר!L573))</f>
        <v/>
      </c>
      <c r="C573" s="13" t="str">
        <f aca="false">עזר!M573</f>
        <v/>
      </c>
    </row>
    <row r="574" customFormat="false" ht="15" hidden="false" customHeight="false" outlineLevel="0" collapsed="false">
      <c r="A574" s="13" t="str">
        <f aca="false">IF(עזר!L574="","",INDEX(עזר!$A$2:$A$5001,עזר!L574))</f>
        <v/>
      </c>
      <c r="B574" s="13" t="str">
        <f aca="false">IF(עזר!L574="","",INDEX(עזר!$B$2:$B$5001,עזר!L574))</f>
        <v/>
      </c>
      <c r="C574" s="13" t="str">
        <f aca="false">עזר!M574</f>
        <v/>
      </c>
    </row>
    <row r="575" customFormat="false" ht="15" hidden="false" customHeight="false" outlineLevel="0" collapsed="false">
      <c r="A575" s="13" t="str">
        <f aca="false">IF(עזר!L575="","",INDEX(עזר!$A$2:$A$5001,עזר!L575))</f>
        <v/>
      </c>
      <c r="B575" s="13" t="str">
        <f aca="false">IF(עזר!L575="","",INDEX(עזר!$B$2:$B$5001,עזר!L575))</f>
        <v/>
      </c>
      <c r="C575" s="13" t="str">
        <f aca="false">עזר!M575</f>
        <v/>
      </c>
    </row>
    <row r="576" customFormat="false" ht="15" hidden="false" customHeight="false" outlineLevel="0" collapsed="false">
      <c r="A576" s="13" t="str">
        <f aca="false">IF(עזר!L576="","",INDEX(עזר!$A$2:$A$5001,עזר!L576))</f>
        <v/>
      </c>
      <c r="B576" s="13" t="str">
        <f aca="false">IF(עזר!L576="","",INDEX(עזר!$B$2:$B$5001,עזר!L576))</f>
        <v/>
      </c>
      <c r="C576" s="13" t="str">
        <f aca="false">עזר!M576</f>
        <v/>
      </c>
    </row>
    <row r="577" customFormat="false" ht="15" hidden="false" customHeight="false" outlineLevel="0" collapsed="false">
      <c r="A577" s="13" t="str">
        <f aca="false">IF(עזר!L577="","",INDEX(עזר!$A$2:$A$5001,עזר!L577))</f>
        <v/>
      </c>
      <c r="B577" s="13" t="str">
        <f aca="false">IF(עזר!L577="","",INDEX(עזר!$B$2:$B$5001,עזר!L577))</f>
        <v/>
      </c>
      <c r="C577" s="13" t="str">
        <f aca="false">עזר!M577</f>
        <v/>
      </c>
    </row>
    <row r="578" customFormat="false" ht="15" hidden="false" customHeight="false" outlineLevel="0" collapsed="false">
      <c r="A578" s="13" t="str">
        <f aca="false">IF(עזר!L578="","",INDEX(עזר!$A$2:$A$5001,עזר!L578))</f>
        <v/>
      </c>
      <c r="B578" s="13" t="str">
        <f aca="false">IF(עזר!L578="","",INDEX(עזר!$B$2:$B$5001,עזר!L578))</f>
        <v/>
      </c>
      <c r="C578" s="13" t="str">
        <f aca="false">עזר!M578</f>
        <v/>
      </c>
    </row>
    <row r="579" customFormat="false" ht="15" hidden="false" customHeight="false" outlineLevel="0" collapsed="false">
      <c r="A579" s="13" t="str">
        <f aca="false">IF(עזר!L579="","",INDEX(עזר!$A$2:$A$5001,עזר!L579))</f>
        <v/>
      </c>
      <c r="B579" s="13" t="str">
        <f aca="false">IF(עזר!L579="","",INDEX(עזר!$B$2:$B$5001,עזר!L579))</f>
        <v/>
      </c>
      <c r="C579" s="13" t="str">
        <f aca="false">עזר!M579</f>
        <v/>
      </c>
    </row>
    <row r="580" customFormat="false" ht="15" hidden="false" customHeight="false" outlineLevel="0" collapsed="false">
      <c r="A580" s="13" t="str">
        <f aca="false">IF(עזר!L580="","",INDEX(עזר!$A$2:$A$5001,עזר!L580))</f>
        <v/>
      </c>
      <c r="B580" s="13" t="str">
        <f aca="false">IF(עזר!L580="","",INDEX(עזר!$B$2:$B$5001,עזר!L580))</f>
        <v/>
      </c>
      <c r="C580" s="13" t="str">
        <f aca="false">עזר!M580</f>
        <v/>
      </c>
    </row>
    <row r="581" customFormat="false" ht="15" hidden="false" customHeight="false" outlineLevel="0" collapsed="false">
      <c r="A581" s="13" t="str">
        <f aca="false">IF(עזר!L581="","",INDEX(עזר!$A$2:$A$5001,עזר!L581))</f>
        <v/>
      </c>
      <c r="B581" s="13" t="str">
        <f aca="false">IF(עזר!L581="","",INDEX(עזר!$B$2:$B$5001,עזר!L581))</f>
        <v/>
      </c>
      <c r="C581" s="13" t="str">
        <f aca="false">עזר!M581</f>
        <v/>
      </c>
    </row>
    <row r="582" customFormat="false" ht="15" hidden="false" customHeight="false" outlineLevel="0" collapsed="false">
      <c r="A582" s="13" t="str">
        <f aca="false">IF(עזר!L582="","",INDEX(עזר!$A$2:$A$5001,עזר!L582))</f>
        <v/>
      </c>
      <c r="B582" s="13" t="str">
        <f aca="false">IF(עזר!L582="","",INDEX(עזר!$B$2:$B$5001,עזר!L582))</f>
        <v/>
      </c>
      <c r="C582" s="13" t="str">
        <f aca="false">עזר!M582</f>
        <v/>
      </c>
    </row>
    <row r="583" customFormat="false" ht="15" hidden="false" customHeight="false" outlineLevel="0" collapsed="false">
      <c r="A583" s="13" t="str">
        <f aca="false">IF(עזר!L583="","",INDEX(עזר!$A$2:$A$5001,עזר!L583))</f>
        <v/>
      </c>
      <c r="B583" s="13" t="str">
        <f aca="false">IF(עזר!L583="","",INDEX(עזר!$B$2:$B$5001,עזר!L583))</f>
        <v/>
      </c>
      <c r="C583" s="13" t="str">
        <f aca="false">עזר!M583</f>
        <v/>
      </c>
    </row>
    <row r="584" customFormat="false" ht="15" hidden="false" customHeight="false" outlineLevel="0" collapsed="false">
      <c r="A584" s="13" t="str">
        <f aca="false">IF(עזר!L584="","",INDEX(עזר!$A$2:$A$5001,עזר!L584))</f>
        <v/>
      </c>
      <c r="B584" s="13" t="str">
        <f aca="false">IF(עזר!L584="","",INDEX(עזר!$B$2:$B$5001,עזר!L584))</f>
        <v/>
      </c>
      <c r="C584" s="13" t="str">
        <f aca="false">עזר!M584</f>
        <v/>
      </c>
    </row>
    <row r="585" customFormat="false" ht="15" hidden="false" customHeight="false" outlineLevel="0" collapsed="false">
      <c r="A585" s="13" t="str">
        <f aca="false">IF(עזר!L585="","",INDEX(עזר!$A$2:$A$5001,עזר!L585))</f>
        <v/>
      </c>
      <c r="B585" s="13" t="str">
        <f aca="false">IF(עזר!L585="","",INDEX(עזר!$B$2:$B$5001,עזר!L585))</f>
        <v/>
      </c>
      <c r="C585" s="13" t="str">
        <f aca="false">עזר!M585</f>
        <v/>
      </c>
    </row>
    <row r="586" customFormat="false" ht="15" hidden="false" customHeight="false" outlineLevel="0" collapsed="false">
      <c r="A586" s="13" t="str">
        <f aca="false">IF(עזר!L586="","",INDEX(עזר!$A$2:$A$5001,עזר!L586))</f>
        <v/>
      </c>
      <c r="B586" s="13" t="str">
        <f aca="false">IF(עזר!L586="","",INDEX(עזר!$B$2:$B$5001,עזר!L586))</f>
        <v/>
      </c>
      <c r="C586" s="13" t="str">
        <f aca="false">עזר!M586</f>
        <v/>
      </c>
    </row>
    <row r="587" customFormat="false" ht="15" hidden="false" customHeight="false" outlineLevel="0" collapsed="false">
      <c r="A587" s="13" t="str">
        <f aca="false">IF(עזר!L587="","",INDEX(עזר!$A$2:$A$5001,עזר!L587))</f>
        <v/>
      </c>
      <c r="B587" s="13" t="str">
        <f aca="false">IF(עזר!L587="","",INDEX(עזר!$B$2:$B$5001,עזר!L587))</f>
        <v/>
      </c>
      <c r="C587" s="13" t="str">
        <f aca="false">עזר!M587</f>
        <v/>
      </c>
    </row>
    <row r="588" customFormat="false" ht="15" hidden="false" customHeight="false" outlineLevel="0" collapsed="false">
      <c r="A588" s="13" t="str">
        <f aca="false">IF(עזר!L588="","",INDEX(עזר!$A$2:$A$5001,עזר!L588))</f>
        <v/>
      </c>
      <c r="B588" s="13" t="str">
        <f aca="false">IF(עזר!L588="","",INDEX(עזר!$B$2:$B$5001,עזר!L588))</f>
        <v/>
      </c>
      <c r="C588" s="13" t="str">
        <f aca="false">עזר!M588</f>
        <v/>
      </c>
    </row>
    <row r="589" customFormat="false" ht="15" hidden="false" customHeight="false" outlineLevel="0" collapsed="false">
      <c r="A589" s="13" t="str">
        <f aca="false">IF(עזר!L589="","",INDEX(עזר!$A$2:$A$5001,עזר!L589))</f>
        <v/>
      </c>
      <c r="B589" s="13" t="str">
        <f aca="false">IF(עזר!L589="","",INDEX(עזר!$B$2:$B$5001,עזר!L589))</f>
        <v/>
      </c>
      <c r="C589" s="13" t="str">
        <f aca="false">עזר!M589</f>
        <v/>
      </c>
    </row>
    <row r="590" customFormat="false" ht="15" hidden="false" customHeight="false" outlineLevel="0" collapsed="false">
      <c r="A590" s="13" t="str">
        <f aca="false">IF(עזר!L590="","",INDEX(עזר!$A$2:$A$5001,עזר!L590))</f>
        <v/>
      </c>
      <c r="B590" s="13" t="str">
        <f aca="false">IF(עזר!L590="","",INDEX(עזר!$B$2:$B$5001,עזר!L590))</f>
        <v/>
      </c>
      <c r="C590" s="13" t="str">
        <f aca="false">עזר!M590</f>
        <v/>
      </c>
    </row>
    <row r="591" customFormat="false" ht="15" hidden="false" customHeight="false" outlineLevel="0" collapsed="false">
      <c r="A591" s="13" t="str">
        <f aca="false">IF(עזר!L591="","",INDEX(עזר!$A$2:$A$5001,עזר!L591))</f>
        <v/>
      </c>
      <c r="B591" s="13" t="str">
        <f aca="false">IF(עזר!L591="","",INDEX(עזר!$B$2:$B$5001,עזר!L591))</f>
        <v/>
      </c>
      <c r="C591" s="13" t="str">
        <f aca="false">עזר!M591</f>
        <v/>
      </c>
    </row>
    <row r="592" customFormat="false" ht="15" hidden="false" customHeight="false" outlineLevel="0" collapsed="false">
      <c r="A592" s="13" t="str">
        <f aca="false">IF(עזר!L592="","",INDEX(עזר!$A$2:$A$5001,עזר!L592))</f>
        <v/>
      </c>
      <c r="B592" s="13" t="str">
        <f aca="false">IF(עזר!L592="","",INDEX(עזר!$B$2:$B$5001,עזר!L592))</f>
        <v/>
      </c>
      <c r="C592" s="13" t="str">
        <f aca="false">עזר!M592</f>
        <v/>
      </c>
    </row>
    <row r="593" customFormat="false" ht="15" hidden="false" customHeight="false" outlineLevel="0" collapsed="false">
      <c r="A593" s="13" t="str">
        <f aca="false">IF(עזר!L593="","",INDEX(עזר!$A$2:$A$5001,עזר!L593))</f>
        <v/>
      </c>
      <c r="B593" s="13" t="str">
        <f aca="false">IF(עזר!L593="","",INDEX(עזר!$B$2:$B$5001,עזר!L593))</f>
        <v/>
      </c>
      <c r="C593" s="13" t="str">
        <f aca="false">עזר!M593</f>
        <v/>
      </c>
    </row>
    <row r="594" customFormat="false" ht="15" hidden="false" customHeight="false" outlineLevel="0" collapsed="false">
      <c r="A594" s="13" t="str">
        <f aca="false">IF(עזר!L594="","",INDEX(עזר!$A$2:$A$5001,עזר!L594))</f>
        <v/>
      </c>
      <c r="B594" s="13" t="str">
        <f aca="false">IF(עזר!L594="","",INDEX(עזר!$B$2:$B$5001,עזר!L594))</f>
        <v/>
      </c>
      <c r="C594" s="13" t="str">
        <f aca="false">עזר!M594</f>
        <v/>
      </c>
    </row>
    <row r="595" customFormat="false" ht="15" hidden="false" customHeight="false" outlineLevel="0" collapsed="false">
      <c r="A595" s="13" t="str">
        <f aca="false">IF(עזר!L595="","",INDEX(עזר!$A$2:$A$5001,עזר!L595))</f>
        <v/>
      </c>
      <c r="B595" s="13" t="str">
        <f aca="false">IF(עזר!L595="","",INDEX(עזר!$B$2:$B$5001,עזר!L595))</f>
        <v/>
      </c>
      <c r="C595" s="13" t="str">
        <f aca="false">עזר!M595</f>
        <v/>
      </c>
    </row>
    <row r="596" customFormat="false" ht="15" hidden="false" customHeight="false" outlineLevel="0" collapsed="false">
      <c r="A596" s="13" t="str">
        <f aca="false">IF(עזר!L596="","",INDEX(עזר!$A$2:$A$5001,עזר!L596))</f>
        <v/>
      </c>
      <c r="B596" s="13" t="str">
        <f aca="false">IF(עזר!L596="","",INDEX(עזר!$B$2:$B$5001,עזר!L596))</f>
        <v/>
      </c>
      <c r="C596" s="13" t="str">
        <f aca="false">עזר!M596</f>
        <v/>
      </c>
    </row>
    <row r="597" customFormat="false" ht="15" hidden="false" customHeight="false" outlineLevel="0" collapsed="false">
      <c r="A597" s="13" t="str">
        <f aca="false">IF(עזר!L597="","",INDEX(עזר!$A$2:$A$5001,עזר!L597))</f>
        <v/>
      </c>
      <c r="B597" s="13" t="str">
        <f aca="false">IF(עזר!L597="","",INDEX(עזר!$B$2:$B$5001,עזר!L597))</f>
        <v/>
      </c>
      <c r="C597" s="13" t="str">
        <f aca="false">עזר!M597</f>
        <v/>
      </c>
    </row>
    <row r="598" customFormat="false" ht="15" hidden="false" customHeight="false" outlineLevel="0" collapsed="false">
      <c r="A598" s="13" t="str">
        <f aca="false">IF(עזר!L598="","",INDEX(עזר!$A$2:$A$5001,עזר!L598))</f>
        <v/>
      </c>
      <c r="B598" s="13" t="str">
        <f aca="false">IF(עזר!L598="","",INDEX(עזר!$B$2:$B$5001,עזר!L598))</f>
        <v/>
      </c>
      <c r="C598" s="13" t="str">
        <f aca="false">עזר!M598</f>
        <v/>
      </c>
    </row>
    <row r="599" customFormat="false" ht="15" hidden="false" customHeight="false" outlineLevel="0" collapsed="false">
      <c r="A599" s="13" t="str">
        <f aca="false">IF(עזר!L599="","",INDEX(עזר!$A$2:$A$5001,עזר!L599))</f>
        <v/>
      </c>
      <c r="B599" s="13" t="str">
        <f aca="false">IF(עזר!L599="","",INDEX(עזר!$B$2:$B$5001,עזר!L599))</f>
        <v/>
      </c>
      <c r="C599" s="13" t="str">
        <f aca="false">עזר!M599</f>
        <v/>
      </c>
    </row>
    <row r="600" customFormat="false" ht="15" hidden="false" customHeight="false" outlineLevel="0" collapsed="false">
      <c r="A600" s="13" t="str">
        <f aca="false">IF(עזר!L600="","",INDEX(עזר!$A$2:$A$5001,עזר!L600))</f>
        <v/>
      </c>
      <c r="B600" s="13" t="str">
        <f aca="false">IF(עזר!L600="","",INDEX(עזר!$B$2:$B$5001,עזר!L600))</f>
        <v/>
      </c>
      <c r="C600" s="13" t="str">
        <f aca="false">עזר!M600</f>
        <v/>
      </c>
    </row>
    <row r="601" customFormat="false" ht="15" hidden="false" customHeight="false" outlineLevel="0" collapsed="false">
      <c r="A601" s="13" t="str">
        <f aca="false">IF(עזר!L601="","",INDEX(עזר!$A$2:$A$5001,עזר!L601))</f>
        <v/>
      </c>
      <c r="B601" s="13" t="str">
        <f aca="false">IF(עזר!L601="","",INDEX(עזר!$B$2:$B$5001,עזר!L601))</f>
        <v/>
      </c>
      <c r="C601" s="13" t="str">
        <f aca="false">עזר!M601</f>
        <v/>
      </c>
    </row>
    <row r="602" customFormat="false" ht="15" hidden="false" customHeight="false" outlineLevel="0" collapsed="false">
      <c r="A602" s="13" t="str">
        <f aca="false">IF(עזר!L602="","",INDEX(עזר!$A$2:$A$5001,עזר!L602))</f>
        <v/>
      </c>
      <c r="B602" s="13" t="str">
        <f aca="false">IF(עזר!L602="","",INDEX(עזר!$B$2:$B$5001,עזר!L602))</f>
        <v/>
      </c>
      <c r="C602" s="13" t="str">
        <f aca="false">עזר!M602</f>
        <v/>
      </c>
    </row>
    <row r="603" customFormat="false" ht="15" hidden="false" customHeight="false" outlineLevel="0" collapsed="false">
      <c r="A603" s="13" t="str">
        <f aca="false">IF(עזר!L603="","",INDEX(עזר!$A$2:$A$5001,עזר!L603))</f>
        <v/>
      </c>
      <c r="B603" s="13" t="str">
        <f aca="false">IF(עזר!L603="","",INDEX(עזר!$B$2:$B$5001,עזר!L603))</f>
        <v/>
      </c>
      <c r="C603" s="13" t="str">
        <f aca="false">עזר!M603</f>
        <v/>
      </c>
    </row>
    <row r="604" customFormat="false" ht="15" hidden="false" customHeight="false" outlineLevel="0" collapsed="false">
      <c r="A604" s="13" t="str">
        <f aca="false">IF(עזר!L604="","",INDEX(עזר!$A$2:$A$5001,עזר!L604))</f>
        <v/>
      </c>
      <c r="B604" s="13" t="str">
        <f aca="false">IF(עזר!L604="","",INDEX(עזר!$B$2:$B$5001,עזר!L604))</f>
        <v/>
      </c>
      <c r="C604" s="13" t="str">
        <f aca="false">עזר!M604</f>
        <v/>
      </c>
    </row>
    <row r="605" customFormat="false" ht="15" hidden="false" customHeight="false" outlineLevel="0" collapsed="false">
      <c r="A605" s="13" t="str">
        <f aca="false">IF(עזר!L605="","",INDEX(עזר!$A$2:$A$5001,עזר!L605))</f>
        <v/>
      </c>
      <c r="B605" s="13" t="str">
        <f aca="false">IF(עזר!L605="","",INDEX(עזר!$B$2:$B$5001,עזר!L605))</f>
        <v/>
      </c>
      <c r="C605" s="13" t="str">
        <f aca="false">עזר!M605</f>
        <v/>
      </c>
    </row>
    <row r="606" customFormat="false" ht="15" hidden="false" customHeight="false" outlineLevel="0" collapsed="false">
      <c r="A606" s="13" t="str">
        <f aca="false">IF(עזר!L606="","",INDEX(עזר!$A$2:$A$5001,עזר!L606))</f>
        <v/>
      </c>
      <c r="B606" s="13" t="str">
        <f aca="false">IF(עזר!L606="","",INDEX(עזר!$B$2:$B$5001,עזר!L606))</f>
        <v/>
      </c>
      <c r="C606" s="13" t="str">
        <f aca="false">עזר!M606</f>
        <v/>
      </c>
    </row>
    <row r="607" customFormat="false" ht="15" hidden="false" customHeight="false" outlineLevel="0" collapsed="false">
      <c r="A607" s="13" t="str">
        <f aca="false">IF(עזר!L607="","",INDEX(עזר!$A$2:$A$5001,עזר!L607))</f>
        <v/>
      </c>
      <c r="B607" s="13" t="str">
        <f aca="false">IF(עזר!L607="","",INDEX(עזר!$B$2:$B$5001,עזר!L607))</f>
        <v/>
      </c>
      <c r="C607" s="13" t="str">
        <f aca="false">עזר!M607</f>
        <v/>
      </c>
    </row>
    <row r="608" customFormat="false" ht="15" hidden="false" customHeight="false" outlineLevel="0" collapsed="false">
      <c r="A608" s="13" t="str">
        <f aca="false">IF(עזר!L608="","",INDEX(עזר!$A$2:$A$5001,עזר!L608))</f>
        <v/>
      </c>
      <c r="B608" s="13" t="str">
        <f aca="false">IF(עזר!L608="","",INDEX(עזר!$B$2:$B$5001,עזר!L608))</f>
        <v/>
      </c>
      <c r="C608" s="13" t="str">
        <f aca="false">עזר!M608</f>
        <v/>
      </c>
    </row>
    <row r="609" customFormat="false" ht="15" hidden="false" customHeight="false" outlineLevel="0" collapsed="false">
      <c r="A609" s="13" t="str">
        <f aca="false">IF(עזר!L609="","",INDEX(עזר!$A$2:$A$5001,עזר!L609))</f>
        <v/>
      </c>
      <c r="B609" s="13" t="str">
        <f aca="false">IF(עזר!L609="","",INDEX(עזר!$B$2:$B$5001,עזר!L609))</f>
        <v/>
      </c>
      <c r="C609" s="13" t="str">
        <f aca="false">עזר!M609</f>
        <v/>
      </c>
    </row>
    <row r="610" customFormat="false" ht="15" hidden="false" customHeight="false" outlineLevel="0" collapsed="false">
      <c r="A610" s="13" t="str">
        <f aca="false">IF(עזר!L610="","",INDEX(עזר!$A$2:$A$5001,עזר!L610))</f>
        <v/>
      </c>
      <c r="B610" s="13" t="str">
        <f aca="false">IF(עזר!L610="","",INDEX(עזר!$B$2:$B$5001,עזר!L610))</f>
        <v/>
      </c>
      <c r="C610" s="13" t="str">
        <f aca="false">עזר!M610</f>
        <v/>
      </c>
    </row>
    <row r="611" customFormat="false" ht="15" hidden="false" customHeight="false" outlineLevel="0" collapsed="false">
      <c r="A611" s="13" t="str">
        <f aca="false">IF(עזר!L611="","",INDEX(עזר!$A$2:$A$5001,עזר!L611))</f>
        <v/>
      </c>
      <c r="B611" s="13" t="str">
        <f aca="false">IF(עזר!L611="","",INDEX(עזר!$B$2:$B$5001,עזר!L611))</f>
        <v/>
      </c>
      <c r="C611" s="13" t="str">
        <f aca="false">עזר!M611</f>
        <v/>
      </c>
    </row>
    <row r="612" customFormat="false" ht="15" hidden="false" customHeight="false" outlineLevel="0" collapsed="false">
      <c r="A612" s="13" t="str">
        <f aca="false">IF(עזר!L612="","",INDEX(עזר!$A$2:$A$5001,עזר!L612))</f>
        <v/>
      </c>
      <c r="B612" s="13" t="str">
        <f aca="false">IF(עזר!L612="","",INDEX(עזר!$B$2:$B$5001,עזר!L612))</f>
        <v/>
      </c>
      <c r="C612" s="13" t="str">
        <f aca="false">עזר!M612</f>
        <v/>
      </c>
    </row>
    <row r="613" customFormat="false" ht="15" hidden="false" customHeight="false" outlineLevel="0" collapsed="false">
      <c r="A613" s="13" t="str">
        <f aca="false">IF(עזר!L613="","",INDEX(עזר!$A$2:$A$5001,עזר!L613))</f>
        <v/>
      </c>
      <c r="B613" s="13" t="str">
        <f aca="false">IF(עזר!L613="","",INDEX(עזר!$B$2:$B$5001,עזר!L613))</f>
        <v/>
      </c>
      <c r="C613" s="13" t="str">
        <f aca="false">עזר!M613</f>
        <v/>
      </c>
    </row>
    <row r="614" customFormat="false" ht="15" hidden="false" customHeight="false" outlineLevel="0" collapsed="false">
      <c r="A614" s="13" t="str">
        <f aca="false">IF(עזר!L614="","",INDEX(עזר!$A$2:$A$5001,עזר!L614))</f>
        <v/>
      </c>
      <c r="B614" s="13" t="str">
        <f aca="false">IF(עזר!L614="","",INDEX(עזר!$B$2:$B$5001,עזר!L614))</f>
        <v/>
      </c>
      <c r="C614" s="13" t="str">
        <f aca="false">עזר!M614</f>
        <v/>
      </c>
    </row>
    <row r="615" customFormat="false" ht="15" hidden="false" customHeight="false" outlineLevel="0" collapsed="false">
      <c r="A615" s="13" t="str">
        <f aca="false">IF(עזר!L615="","",INDEX(עזר!$A$2:$A$5001,עזר!L615))</f>
        <v/>
      </c>
      <c r="B615" s="13" t="str">
        <f aca="false">IF(עזר!L615="","",INDEX(עזר!$B$2:$B$5001,עזר!L615))</f>
        <v/>
      </c>
      <c r="C615" s="13" t="str">
        <f aca="false">עזר!M615</f>
        <v/>
      </c>
    </row>
    <row r="616" customFormat="false" ht="15" hidden="false" customHeight="false" outlineLevel="0" collapsed="false">
      <c r="A616" s="13" t="str">
        <f aca="false">IF(עזר!L616="","",INDEX(עזר!$A$2:$A$5001,עזר!L616))</f>
        <v/>
      </c>
      <c r="B616" s="13" t="str">
        <f aca="false">IF(עזר!L616="","",INDEX(עזר!$B$2:$B$5001,עזר!L616))</f>
        <v/>
      </c>
      <c r="C616" s="13" t="str">
        <f aca="false">עזר!M616</f>
        <v/>
      </c>
    </row>
    <row r="617" customFormat="false" ht="15" hidden="false" customHeight="false" outlineLevel="0" collapsed="false">
      <c r="A617" s="13" t="str">
        <f aca="false">IF(עזר!L617="","",INDEX(עזר!$A$2:$A$5001,עזר!L617))</f>
        <v/>
      </c>
      <c r="B617" s="13" t="str">
        <f aca="false">IF(עזר!L617="","",INDEX(עזר!$B$2:$B$5001,עזר!L617))</f>
        <v/>
      </c>
      <c r="C617" s="13" t="str">
        <f aca="false">עזר!M617</f>
        <v/>
      </c>
    </row>
    <row r="618" customFormat="false" ht="15" hidden="false" customHeight="false" outlineLevel="0" collapsed="false">
      <c r="A618" s="13" t="str">
        <f aca="false">IF(עזר!L618="","",INDEX(עזר!$A$2:$A$5001,עזר!L618))</f>
        <v/>
      </c>
      <c r="B618" s="13" t="str">
        <f aca="false">IF(עזר!L618="","",INDEX(עזר!$B$2:$B$5001,עזר!L618))</f>
        <v/>
      </c>
      <c r="C618" s="13" t="str">
        <f aca="false">עזר!M618</f>
        <v/>
      </c>
    </row>
    <row r="619" customFormat="false" ht="15" hidden="false" customHeight="false" outlineLevel="0" collapsed="false">
      <c r="A619" s="13" t="str">
        <f aca="false">IF(עזר!L619="","",INDEX(עזר!$A$2:$A$5001,עזר!L619))</f>
        <v/>
      </c>
      <c r="B619" s="13" t="str">
        <f aca="false">IF(עזר!L619="","",INDEX(עזר!$B$2:$B$5001,עזר!L619))</f>
        <v/>
      </c>
      <c r="C619" s="13" t="str">
        <f aca="false">עזר!M619</f>
        <v/>
      </c>
    </row>
    <row r="620" customFormat="false" ht="15" hidden="false" customHeight="false" outlineLevel="0" collapsed="false">
      <c r="A620" s="13" t="str">
        <f aca="false">IF(עזר!L620="","",INDEX(עזר!$A$2:$A$5001,עזר!L620))</f>
        <v/>
      </c>
      <c r="B620" s="13" t="str">
        <f aca="false">IF(עזר!L620="","",INDEX(עזר!$B$2:$B$5001,עזר!L620))</f>
        <v/>
      </c>
      <c r="C620" s="13" t="str">
        <f aca="false">עזר!M620</f>
        <v/>
      </c>
    </row>
    <row r="621" customFormat="false" ht="15" hidden="false" customHeight="false" outlineLevel="0" collapsed="false">
      <c r="A621" s="13" t="str">
        <f aca="false">IF(עזר!L621="","",INDEX(עזר!$A$2:$A$5001,עזר!L621))</f>
        <v/>
      </c>
      <c r="B621" s="13" t="str">
        <f aca="false">IF(עזר!L621="","",INDEX(עזר!$B$2:$B$5001,עזר!L621))</f>
        <v/>
      </c>
      <c r="C621" s="13" t="str">
        <f aca="false">עזר!M621</f>
        <v/>
      </c>
    </row>
    <row r="622" customFormat="false" ht="15" hidden="false" customHeight="false" outlineLevel="0" collapsed="false">
      <c r="A622" s="13" t="str">
        <f aca="false">IF(עזר!L622="","",INDEX(עזר!$A$2:$A$5001,עזר!L622))</f>
        <v/>
      </c>
      <c r="B622" s="13" t="str">
        <f aca="false">IF(עזר!L622="","",INDEX(עזר!$B$2:$B$5001,עזר!L622))</f>
        <v/>
      </c>
      <c r="C622" s="13" t="str">
        <f aca="false">עזר!M622</f>
        <v/>
      </c>
    </row>
    <row r="623" customFormat="false" ht="15" hidden="false" customHeight="false" outlineLevel="0" collapsed="false">
      <c r="A623" s="13" t="str">
        <f aca="false">IF(עזר!L623="","",INDEX(עזר!$A$2:$A$5001,עזר!L623))</f>
        <v/>
      </c>
      <c r="B623" s="13" t="str">
        <f aca="false">IF(עזר!L623="","",INDEX(עזר!$B$2:$B$5001,עזר!L623))</f>
        <v/>
      </c>
      <c r="C623" s="13" t="str">
        <f aca="false">עזר!M623</f>
        <v/>
      </c>
    </row>
    <row r="624" customFormat="false" ht="15" hidden="false" customHeight="false" outlineLevel="0" collapsed="false">
      <c r="A624" s="13" t="str">
        <f aca="false">IF(עזר!L624="","",INDEX(עזר!$A$2:$A$5001,עזר!L624))</f>
        <v/>
      </c>
      <c r="B624" s="13" t="str">
        <f aca="false">IF(עזר!L624="","",INDEX(עזר!$B$2:$B$5001,עזר!L624))</f>
        <v/>
      </c>
      <c r="C624" s="13" t="str">
        <f aca="false">עזר!M624</f>
        <v/>
      </c>
    </row>
    <row r="625" customFormat="false" ht="15" hidden="false" customHeight="false" outlineLevel="0" collapsed="false">
      <c r="A625" s="13" t="str">
        <f aca="false">IF(עזר!L625="","",INDEX(עזר!$A$2:$A$5001,עזר!L625))</f>
        <v/>
      </c>
      <c r="B625" s="13" t="str">
        <f aca="false">IF(עזר!L625="","",INDEX(עזר!$B$2:$B$5001,עזר!L625))</f>
        <v/>
      </c>
      <c r="C625" s="13" t="str">
        <f aca="false">עזר!M625</f>
        <v/>
      </c>
    </row>
    <row r="626" customFormat="false" ht="15" hidden="false" customHeight="false" outlineLevel="0" collapsed="false">
      <c r="A626" s="13" t="str">
        <f aca="false">IF(עזר!L626="","",INDEX(עזר!$A$2:$A$5001,עזר!L626))</f>
        <v/>
      </c>
      <c r="B626" s="13" t="str">
        <f aca="false">IF(עזר!L626="","",INDEX(עזר!$B$2:$B$5001,עזר!L626))</f>
        <v/>
      </c>
      <c r="C626" s="13" t="str">
        <f aca="false">עזר!M626</f>
        <v/>
      </c>
    </row>
    <row r="627" customFormat="false" ht="15" hidden="false" customHeight="false" outlineLevel="0" collapsed="false">
      <c r="A627" s="13" t="str">
        <f aca="false">IF(עזר!L627="","",INDEX(עזר!$A$2:$A$5001,עזר!L627))</f>
        <v/>
      </c>
      <c r="B627" s="13" t="str">
        <f aca="false">IF(עזר!L627="","",INDEX(עזר!$B$2:$B$5001,עזר!L627))</f>
        <v/>
      </c>
      <c r="C627" s="13" t="str">
        <f aca="false">עזר!M627</f>
        <v/>
      </c>
    </row>
    <row r="628" customFormat="false" ht="15" hidden="false" customHeight="false" outlineLevel="0" collapsed="false">
      <c r="A628" s="13" t="str">
        <f aca="false">IF(עזר!L628="","",INDEX(עזר!$A$2:$A$5001,עזר!L628))</f>
        <v/>
      </c>
      <c r="B628" s="13" t="str">
        <f aca="false">IF(עזר!L628="","",INDEX(עזר!$B$2:$B$5001,עזר!L628))</f>
        <v/>
      </c>
      <c r="C628" s="13" t="str">
        <f aca="false">עזר!M628</f>
        <v/>
      </c>
    </row>
    <row r="629" customFormat="false" ht="15" hidden="false" customHeight="false" outlineLevel="0" collapsed="false">
      <c r="A629" s="13" t="str">
        <f aca="false">IF(עזר!L629="","",INDEX(עזר!$A$2:$A$5001,עזר!L629))</f>
        <v/>
      </c>
      <c r="B629" s="13" t="str">
        <f aca="false">IF(עזר!L629="","",INDEX(עזר!$B$2:$B$5001,עזר!L629))</f>
        <v/>
      </c>
      <c r="C629" s="13" t="str">
        <f aca="false">עזר!M629</f>
        <v/>
      </c>
    </row>
    <row r="630" customFormat="false" ht="15" hidden="false" customHeight="false" outlineLevel="0" collapsed="false">
      <c r="A630" s="13" t="str">
        <f aca="false">IF(עזר!L630="","",INDEX(עזר!$A$2:$A$5001,עזר!L630))</f>
        <v/>
      </c>
      <c r="B630" s="13" t="str">
        <f aca="false">IF(עזר!L630="","",INDEX(עזר!$B$2:$B$5001,עזר!L630))</f>
        <v/>
      </c>
      <c r="C630" s="13" t="str">
        <f aca="false">עזר!M630</f>
        <v/>
      </c>
    </row>
    <row r="631" customFormat="false" ht="15" hidden="false" customHeight="false" outlineLevel="0" collapsed="false">
      <c r="A631" s="13" t="str">
        <f aca="false">IF(עזר!L631="","",INDEX(עזר!$A$2:$A$5001,עזר!L631))</f>
        <v/>
      </c>
      <c r="B631" s="13" t="str">
        <f aca="false">IF(עזר!L631="","",INDEX(עזר!$B$2:$B$5001,עזר!L631))</f>
        <v/>
      </c>
      <c r="C631" s="13" t="str">
        <f aca="false">עזר!M631</f>
        <v/>
      </c>
    </row>
    <row r="632" customFormat="false" ht="15" hidden="false" customHeight="false" outlineLevel="0" collapsed="false">
      <c r="A632" s="13" t="str">
        <f aca="false">IF(עזר!L632="","",INDEX(עזר!$A$2:$A$5001,עזר!L632))</f>
        <v/>
      </c>
      <c r="B632" s="13" t="str">
        <f aca="false">IF(עזר!L632="","",INDEX(עזר!$B$2:$B$5001,עזר!L632))</f>
        <v/>
      </c>
      <c r="C632" s="13" t="str">
        <f aca="false">עזר!M632</f>
        <v/>
      </c>
    </row>
    <row r="633" customFormat="false" ht="15" hidden="false" customHeight="false" outlineLevel="0" collapsed="false">
      <c r="A633" s="13" t="str">
        <f aca="false">IF(עזר!L633="","",INDEX(עזר!$A$2:$A$5001,עזר!L633))</f>
        <v/>
      </c>
      <c r="B633" s="13" t="str">
        <f aca="false">IF(עזר!L633="","",INDEX(עזר!$B$2:$B$5001,עזר!L633))</f>
        <v/>
      </c>
      <c r="C633" s="13" t="str">
        <f aca="false">עזר!M633</f>
        <v/>
      </c>
    </row>
    <row r="634" customFormat="false" ht="15" hidden="false" customHeight="false" outlineLevel="0" collapsed="false">
      <c r="A634" s="13" t="str">
        <f aca="false">IF(עזר!L634="","",INDEX(עזר!$A$2:$A$5001,עזר!L634))</f>
        <v/>
      </c>
      <c r="B634" s="13" t="str">
        <f aca="false">IF(עזר!L634="","",INDEX(עזר!$B$2:$B$5001,עזר!L634))</f>
        <v/>
      </c>
      <c r="C634" s="13" t="str">
        <f aca="false">עזר!M634</f>
        <v/>
      </c>
    </row>
    <row r="635" customFormat="false" ht="15" hidden="false" customHeight="false" outlineLevel="0" collapsed="false">
      <c r="A635" s="13" t="str">
        <f aca="false">IF(עזר!L635="","",INDEX(עזר!$A$2:$A$5001,עזר!L635))</f>
        <v/>
      </c>
      <c r="B635" s="13" t="str">
        <f aca="false">IF(עזר!L635="","",INDEX(עזר!$B$2:$B$5001,עזר!L635))</f>
        <v/>
      </c>
      <c r="C635" s="13" t="str">
        <f aca="false">עזר!M635</f>
        <v/>
      </c>
    </row>
    <row r="636" customFormat="false" ht="15" hidden="false" customHeight="false" outlineLevel="0" collapsed="false">
      <c r="A636" s="13" t="str">
        <f aca="false">IF(עזר!L636="","",INDEX(עזר!$A$2:$A$5001,עזר!L636))</f>
        <v/>
      </c>
      <c r="B636" s="13" t="str">
        <f aca="false">IF(עזר!L636="","",INDEX(עזר!$B$2:$B$5001,עזר!L636))</f>
        <v/>
      </c>
      <c r="C636" s="13" t="str">
        <f aca="false">עזר!M636</f>
        <v/>
      </c>
    </row>
    <row r="637" customFormat="false" ht="15" hidden="false" customHeight="false" outlineLevel="0" collapsed="false">
      <c r="A637" s="13" t="str">
        <f aca="false">IF(עזר!L637="","",INDEX(עזר!$A$2:$A$5001,עזר!L637))</f>
        <v/>
      </c>
      <c r="B637" s="13" t="str">
        <f aca="false">IF(עזר!L637="","",INDEX(עזר!$B$2:$B$5001,עזר!L637))</f>
        <v/>
      </c>
      <c r="C637" s="13" t="str">
        <f aca="false">עזר!M637</f>
        <v/>
      </c>
    </row>
    <row r="638" customFormat="false" ht="15" hidden="false" customHeight="false" outlineLevel="0" collapsed="false">
      <c r="A638" s="13" t="str">
        <f aca="false">IF(עזר!L638="","",INDEX(עזר!$A$2:$A$5001,עזר!L638))</f>
        <v/>
      </c>
      <c r="B638" s="13" t="str">
        <f aca="false">IF(עזר!L638="","",INDEX(עזר!$B$2:$B$5001,עזר!L638))</f>
        <v/>
      </c>
      <c r="C638" s="13" t="str">
        <f aca="false">עזר!M638</f>
        <v/>
      </c>
    </row>
    <row r="639" customFormat="false" ht="15" hidden="false" customHeight="false" outlineLevel="0" collapsed="false">
      <c r="A639" s="13" t="str">
        <f aca="false">IF(עזר!L639="","",INDEX(עזר!$A$2:$A$5001,עזר!L639))</f>
        <v/>
      </c>
      <c r="B639" s="13" t="str">
        <f aca="false">IF(עזר!L639="","",INDEX(עזר!$B$2:$B$5001,עזר!L639))</f>
        <v/>
      </c>
      <c r="C639" s="13" t="str">
        <f aca="false">עזר!M639</f>
        <v/>
      </c>
    </row>
    <row r="640" customFormat="false" ht="15" hidden="false" customHeight="false" outlineLevel="0" collapsed="false">
      <c r="A640" s="13" t="str">
        <f aca="false">IF(עזר!L640="","",INDEX(עזר!$A$2:$A$5001,עזר!L640))</f>
        <v/>
      </c>
      <c r="B640" s="13" t="str">
        <f aca="false">IF(עזר!L640="","",INDEX(עזר!$B$2:$B$5001,עזר!L640))</f>
        <v/>
      </c>
      <c r="C640" s="13" t="str">
        <f aca="false">עזר!M640</f>
        <v/>
      </c>
    </row>
    <row r="641" customFormat="false" ht="15" hidden="false" customHeight="false" outlineLevel="0" collapsed="false">
      <c r="A641" s="13" t="str">
        <f aca="false">IF(עזר!L641="","",INDEX(עזר!$A$2:$A$5001,עזר!L641))</f>
        <v/>
      </c>
      <c r="B641" s="13" t="str">
        <f aca="false">IF(עזר!L641="","",INDEX(עזר!$B$2:$B$5001,עזר!L641))</f>
        <v/>
      </c>
      <c r="C641" s="13" t="str">
        <f aca="false">עזר!M641</f>
        <v/>
      </c>
    </row>
    <row r="642" customFormat="false" ht="15" hidden="false" customHeight="false" outlineLevel="0" collapsed="false">
      <c r="A642" s="13" t="str">
        <f aca="false">IF(עזר!L642="","",INDEX(עזר!$A$2:$A$5001,עזר!L642))</f>
        <v/>
      </c>
      <c r="B642" s="13" t="str">
        <f aca="false">IF(עזר!L642="","",INDEX(עזר!$B$2:$B$5001,עזר!L642))</f>
        <v/>
      </c>
      <c r="C642" s="13" t="str">
        <f aca="false">עזר!M642</f>
        <v/>
      </c>
    </row>
    <row r="643" customFormat="false" ht="15" hidden="false" customHeight="false" outlineLevel="0" collapsed="false">
      <c r="A643" s="13" t="str">
        <f aca="false">IF(עזר!L643="","",INDEX(עזר!$A$2:$A$5001,עזר!L643))</f>
        <v/>
      </c>
      <c r="B643" s="13" t="str">
        <f aca="false">IF(עזר!L643="","",INDEX(עזר!$B$2:$B$5001,עזר!L643))</f>
        <v/>
      </c>
      <c r="C643" s="13" t="str">
        <f aca="false">עזר!M643</f>
        <v/>
      </c>
    </row>
    <row r="644" customFormat="false" ht="15" hidden="false" customHeight="false" outlineLevel="0" collapsed="false">
      <c r="A644" s="13" t="str">
        <f aca="false">IF(עזר!L644="","",INDEX(עזר!$A$2:$A$5001,עזר!L644))</f>
        <v/>
      </c>
      <c r="B644" s="13" t="str">
        <f aca="false">IF(עזר!L644="","",INDEX(עזר!$B$2:$B$5001,עזר!L644))</f>
        <v/>
      </c>
      <c r="C644" s="13" t="str">
        <f aca="false">עזר!M644</f>
        <v/>
      </c>
    </row>
    <row r="645" customFormat="false" ht="15" hidden="false" customHeight="false" outlineLevel="0" collapsed="false">
      <c r="A645" s="13" t="str">
        <f aca="false">IF(עזר!L645="","",INDEX(עזר!$A$2:$A$5001,עזר!L645))</f>
        <v/>
      </c>
      <c r="B645" s="13" t="str">
        <f aca="false">IF(עזר!L645="","",INDEX(עזר!$B$2:$B$5001,עזר!L645))</f>
        <v/>
      </c>
      <c r="C645" s="13" t="str">
        <f aca="false">עזר!M645</f>
        <v/>
      </c>
    </row>
    <row r="646" customFormat="false" ht="15" hidden="false" customHeight="false" outlineLevel="0" collapsed="false">
      <c r="A646" s="13" t="str">
        <f aca="false">IF(עזר!L646="","",INDEX(עזר!$A$2:$A$5001,עזר!L646))</f>
        <v/>
      </c>
      <c r="B646" s="13" t="str">
        <f aca="false">IF(עזר!L646="","",INDEX(עזר!$B$2:$B$5001,עזר!L646))</f>
        <v/>
      </c>
      <c r="C646" s="13" t="str">
        <f aca="false">עזר!M646</f>
        <v/>
      </c>
    </row>
    <row r="647" customFormat="false" ht="15" hidden="false" customHeight="false" outlineLevel="0" collapsed="false">
      <c r="A647" s="13" t="str">
        <f aca="false">IF(עזר!L647="","",INDEX(עזר!$A$2:$A$5001,עזר!L647))</f>
        <v/>
      </c>
      <c r="B647" s="13" t="str">
        <f aca="false">IF(עזר!L647="","",INDEX(עזר!$B$2:$B$5001,עזר!L647))</f>
        <v/>
      </c>
      <c r="C647" s="13" t="str">
        <f aca="false">עזר!M647</f>
        <v/>
      </c>
    </row>
    <row r="648" customFormat="false" ht="15" hidden="false" customHeight="false" outlineLevel="0" collapsed="false">
      <c r="A648" s="13" t="str">
        <f aca="false">IF(עזר!L648="","",INDEX(עזר!$A$2:$A$5001,עזר!L648))</f>
        <v/>
      </c>
      <c r="B648" s="13" t="str">
        <f aca="false">IF(עזר!L648="","",INDEX(עזר!$B$2:$B$5001,עזר!L648))</f>
        <v/>
      </c>
      <c r="C648" s="13" t="str">
        <f aca="false">עזר!M648</f>
        <v/>
      </c>
    </row>
    <row r="649" customFormat="false" ht="15" hidden="false" customHeight="false" outlineLevel="0" collapsed="false">
      <c r="A649" s="13" t="str">
        <f aca="false">IF(עזר!L649="","",INDEX(עזר!$A$2:$A$5001,עזר!L649))</f>
        <v/>
      </c>
      <c r="B649" s="13" t="str">
        <f aca="false">IF(עזר!L649="","",INDEX(עזר!$B$2:$B$5001,עזר!L649))</f>
        <v/>
      </c>
      <c r="C649" s="13" t="str">
        <f aca="false">עזר!M649</f>
        <v/>
      </c>
    </row>
    <row r="650" customFormat="false" ht="15" hidden="false" customHeight="false" outlineLevel="0" collapsed="false">
      <c r="A650" s="13" t="str">
        <f aca="false">IF(עזר!L650="","",INDEX(עזר!$A$2:$A$5001,עזר!L650))</f>
        <v/>
      </c>
      <c r="B650" s="13" t="str">
        <f aca="false">IF(עזר!L650="","",INDEX(עזר!$B$2:$B$5001,עזר!L650))</f>
        <v/>
      </c>
      <c r="C650" s="13" t="str">
        <f aca="false">עזר!M650</f>
        <v/>
      </c>
    </row>
    <row r="651" customFormat="false" ht="15" hidden="false" customHeight="false" outlineLevel="0" collapsed="false">
      <c r="A651" s="13" t="str">
        <f aca="false">IF(עזר!L651="","",INDEX(עזר!$A$2:$A$5001,עזר!L651))</f>
        <v/>
      </c>
      <c r="B651" s="13" t="str">
        <f aca="false">IF(עזר!L651="","",INDEX(עזר!$B$2:$B$5001,עזר!L651))</f>
        <v/>
      </c>
      <c r="C651" s="13" t="str">
        <f aca="false">עזר!M651</f>
        <v/>
      </c>
    </row>
    <row r="652" customFormat="false" ht="15" hidden="false" customHeight="false" outlineLevel="0" collapsed="false">
      <c r="A652" s="13" t="str">
        <f aca="false">IF(עזר!L652="","",INDEX(עזר!$A$2:$A$5001,עזר!L652))</f>
        <v/>
      </c>
      <c r="B652" s="13" t="str">
        <f aca="false">IF(עזר!L652="","",INDEX(עזר!$B$2:$B$5001,עזר!L652))</f>
        <v/>
      </c>
      <c r="C652" s="13" t="str">
        <f aca="false">עזר!M652</f>
        <v/>
      </c>
    </row>
    <row r="653" customFormat="false" ht="15" hidden="false" customHeight="false" outlineLevel="0" collapsed="false">
      <c r="A653" s="13" t="str">
        <f aca="false">IF(עזר!L653="","",INDEX(עזר!$A$2:$A$5001,עזר!L653))</f>
        <v/>
      </c>
      <c r="B653" s="13" t="str">
        <f aca="false">IF(עזר!L653="","",INDEX(עזר!$B$2:$B$5001,עזר!L653))</f>
        <v/>
      </c>
      <c r="C653" s="13" t="str">
        <f aca="false">עזר!M653</f>
        <v/>
      </c>
    </row>
    <row r="654" customFormat="false" ht="15" hidden="false" customHeight="false" outlineLevel="0" collapsed="false">
      <c r="A654" s="13" t="str">
        <f aca="false">IF(עזר!L654="","",INDEX(עזר!$A$2:$A$5001,עזר!L654))</f>
        <v/>
      </c>
      <c r="B654" s="13" t="str">
        <f aca="false">IF(עזר!L654="","",INDEX(עזר!$B$2:$B$5001,עזר!L654))</f>
        <v/>
      </c>
      <c r="C654" s="13" t="str">
        <f aca="false">עזר!M654</f>
        <v/>
      </c>
    </row>
    <row r="655" customFormat="false" ht="15" hidden="false" customHeight="false" outlineLevel="0" collapsed="false">
      <c r="A655" s="13" t="str">
        <f aca="false">IF(עזר!L655="","",INDEX(עזר!$A$2:$A$5001,עזר!L655))</f>
        <v/>
      </c>
      <c r="B655" s="13" t="str">
        <f aca="false">IF(עזר!L655="","",INDEX(עזר!$B$2:$B$5001,עזר!L655))</f>
        <v/>
      </c>
      <c r="C655" s="13" t="str">
        <f aca="false">עזר!M655</f>
        <v/>
      </c>
    </row>
    <row r="656" customFormat="false" ht="15" hidden="false" customHeight="false" outlineLevel="0" collapsed="false">
      <c r="A656" s="13" t="str">
        <f aca="false">IF(עזר!L656="","",INDEX(עזר!$A$2:$A$5001,עזר!L656))</f>
        <v/>
      </c>
      <c r="B656" s="13" t="str">
        <f aca="false">IF(עזר!L656="","",INDEX(עזר!$B$2:$B$5001,עזר!L656))</f>
        <v/>
      </c>
      <c r="C656" s="13" t="str">
        <f aca="false">עזר!M656</f>
        <v/>
      </c>
    </row>
    <row r="657" customFormat="false" ht="15" hidden="false" customHeight="false" outlineLevel="0" collapsed="false">
      <c r="A657" s="13" t="str">
        <f aca="false">IF(עזר!L657="","",INDEX(עזר!$A$2:$A$5001,עזר!L657))</f>
        <v/>
      </c>
      <c r="B657" s="13" t="str">
        <f aca="false">IF(עזר!L657="","",INDEX(עזר!$B$2:$B$5001,עזר!L657))</f>
        <v/>
      </c>
      <c r="C657" s="13" t="str">
        <f aca="false">עזר!M657</f>
        <v/>
      </c>
    </row>
    <row r="658" customFormat="false" ht="15" hidden="false" customHeight="false" outlineLevel="0" collapsed="false">
      <c r="A658" s="13" t="str">
        <f aca="false">IF(עזר!L658="","",INDEX(עזר!$A$2:$A$5001,עזר!L658))</f>
        <v/>
      </c>
      <c r="B658" s="13" t="str">
        <f aca="false">IF(עזר!L658="","",INDEX(עזר!$B$2:$B$5001,עזר!L658))</f>
        <v/>
      </c>
      <c r="C658" s="13" t="str">
        <f aca="false">עזר!M658</f>
        <v/>
      </c>
    </row>
    <row r="659" customFormat="false" ht="15" hidden="false" customHeight="false" outlineLevel="0" collapsed="false">
      <c r="A659" s="13" t="str">
        <f aca="false">IF(עזר!L659="","",INDEX(עזר!$A$2:$A$5001,עזר!L659))</f>
        <v/>
      </c>
      <c r="B659" s="13" t="str">
        <f aca="false">IF(עזר!L659="","",INDEX(עזר!$B$2:$B$5001,עזר!L659))</f>
        <v/>
      </c>
      <c r="C659" s="13" t="str">
        <f aca="false">עזר!M659</f>
        <v/>
      </c>
    </row>
    <row r="660" customFormat="false" ht="15" hidden="false" customHeight="false" outlineLevel="0" collapsed="false">
      <c r="A660" s="13" t="str">
        <f aca="false">IF(עזר!L660="","",INDEX(עזר!$A$2:$A$5001,עזר!L660))</f>
        <v/>
      </c>
      <c r="B660" s="13" t="str">
        <f aca="false">IF(עזר!L660="","",INDEX(עזר!$B$2:$B$5001,עזר!L660))</f>
        <v/>
      </c>
      <c r="C660" s="13" t="str">
        <f aca="false">עזר!M660</f>
        <v/>
      </c>
    </row>
    <row r="661" customFormat="false" ht="15" hidden="false" customHeight="false" outlineLevel="0" collapsed="false">
      <c r="A661" s="13" t="str">
        <f aca="false">IF(עזר!L661="","",INDEX(עזר!$A$2:$A$5001,עזר!L661))</f>
        <v/>
      </c>
      <c r="B661" s="13" t="str">
        <f aca="false">IF(עזר!L661="","",INDEX(עזר!$B$2:$B$5001,עזר!L661))</f>
        <v/>
      </c>
      <c r="C661" s="13" t="str">
        <f aca="false">עזר!M661</f>
        <v/>
      </c>
    </row>
    <row r="662" customFormat="false" ht="15" hidden="false" customHeight="false" outlineLevel="0" collapsed="false">
      <c r="A662" s="13" t="str">
        <f aca="false">IF(עזר!L662="","",INDEX(עזר!$A$2:$A$5001,עזר!L662))</f>
        <v/>
      </c>
      <c r="B662" s="13" t="str">
        <f aca="false">IF(עזר!L662="","",INDEX(עזר!$B$2:$B$5001,עזר!L662))</f>
        <v/>
      </c>
      <c r="C662" s="13" t="str">
        <f aca="false">עזר!M662</f>
        <v/>
      </c>
    </row>
    <row r="663" customFormat="false" ht="15" hidden="false" customHeight="false" outlineLevel="0" collapsed="false">
      <c r="A663" s="13" t="str">
        <f aca="false">IF(עזר!L663="","",INDEX(עזר!$A$2:$A$5001,עזר!L663))</f>
        <v/>
      </c>
      <c r="B663" s="13" t="str">
        <f aca="false">IF(עזר!L663="","",INDEX(עזר!$B$2:$B$5001,עזר!L663))</f>
        <v/>
      </c>
      <c r="C663" s="13" t="str">
        <f aca="false">עזר!M663</f>
        <v/>
      </c>
    </row>
    <row r="664" customFormat="false" ht="15" hidden="false" customHeight="false" outlineLevel="0" collapsed="false">
      <c r="A664" s="13" t="str">
        <f aca="false">IF(עזר!L664="","",INDEX(עזר!$A$2:$A$5001,עזר!L664))</f>
        <v/>
      </c>
      <c r="B664" s="13" t="str">
        <f aca="false">IF(עזר!L664="","",INDEX(עזר!$B$2:$B$5001,עזר!L664))</f>
        <v/>
      </c>
      <c r="C664" s="13" t="str">
        <f aca="false">עזר!M664</f>
        <v/>
      </c>
    </row>
    <row r="665" customFormat="false" ht="15" hidden="false" customHeight="false" outlineLevel="0" collapsed="false">
      <c r="A665" s="13" t="str">
        <f aca="false">IF(עזר!L665="","",INDEX(עזר!$A$2:$A$5001,עזר!L665))</f>
        <v/>
      </c>
      <c r="B665" s="13" t="str">
        <f aca="false">IF(עזר!L665="","",INDEX(עזר!$B$2:$B$5001,עזר!L665))</f>
        <v/>
      </c>
      <c r="C665" s="13" t="str">
        <f aca="false">עזר!M665</f>
        <v/>
      </c>
    </row>
    <row r="666" customFormat="false" ht="15" hidden="false" customHeight="false" outlineLevel="0" collapsed="false">
      <c r="A666" s="13" t="str">
        <f aca="false">IF(עזר!L666="","",INDEX(עזר!$A$2:$A$5001,עזר!L666))</f>
        <v/>
      </c>
      <c r="B666" s="13" t="str">
        <f aca="false">IF(עזר!L666="","",INDEX(עזר!$B$2:$B$5001,עזר!L666))</f>
        <v/>
      </c>
      <c r="C666" s="13" t="str">
        <f aca="false">עזר!M666</f>
        <v/>
      </c>
    </row>
    <row r="667" customFormat="false" ht="15" hidden="false" customHeight="false" outlineLevel="0" collapsed="false">
      <c r="A667" s="13" t="str">
        <f aca="false">IF(עזר!L667="","",INDEX(עזר!$A$2:$A$5001,עזר!L667))</f>
        <v/>
      </c>
      <c r="B667" s="13" t="str">
        <f aca="false">IF(עזר!L667="","",INDEX(עזר!$B$2:$B$5001,עזר!L667))</f>
        <v/>
      </c>
      <c r="C667" s="13" t="str">
        <f aca="false">עזר!M667</f>
        <v/>
      </c>
    </row>
    <row r="668" customFormat="false" ht="15" hidden="false" customHeight="false" outlineLevel="0" collapsed="false">
      <c r="A668" s="13" t="str">
        <f aca="false">IF(עזר!L668="","",INDEX(עזר!$A$2:$A$5001,עזר!L668))</f>
        <v/>
      </c>
      <c r="B668" s="13" t="str">
        <f aca="false">IF(עזר!L668="","",INDEX(עזר!$B$2:$B$5001,עזר!L668))</f>
        <v/>
      </c>
      <c r="C668" s="13" t="str">
        <f aca="false">עזר!M668</f>
        <v/>
      </c>
    </row>
    <row r="669" customFormat="false" ht="15" hidden="false" customHeight="false" outlineLevel="0" collapsed="false">
      <c r="A669" s="13" t="str">
        <f aca="false">IF(עזר!L669="","",INDEX(עזר!$A$2:$A$5001,עזר!L669))</f>
        <v/>
      </c>
      <c r="B669" s="13" t="str">
        <f aca="false">IF(עזר!L669="","",INDEX(עזר!$B$2:$B$5001,עזר!L669))</f>
        <v/>
      </c>
      <c r="C669" s="13" t="str">
        <f aca="false">עזר!M669</f>
        <v/>
      </c>
    </row>
    <row r="670" customFormat="false" ht="15" hidden="false" customHeight="false" outlineLevel="0" collapsed="false">
      <c r="A670" s="13" t="str">
        <f aca="false">IF(עזר!L670="","",INDEX(עזר!$A$2:$A$5001,עזר!L670))</f>
        <v/>
      </c>
      <c r="B670" s="13" t="str">
        <f aca="false">IF(עזר!L670="","",INDEX(עזר!$B$2:$B$5001,עזר!L670))</f>
        <v/>
      </c>
      <c r="C670" s="13" t="str">
        <f aca="false">עזר!M670</f>
        <v/>
      </c>
    </row>
    <row r="671" customFormat="false" ht="15" hidden="false" customHeight="false" outlineLevel="0" collapsed="false">
      <c r="A671" s="13" t="str">
        <f aca="false">IF(עזר!L671="","",INDEX(עזר!$A$2:$A$5001,עזר!L671))</f>
        <v/>
      </c>
      <c r="B671" s="13" t="str">
        <f aca="false">IF(עזר!L671="","",INDEX(עזר!$B$2:$B$5001,עזר!L671))</f>
        <v/>
      </c>
      <c r="C671" s="13" t="str">
        <f aca="false">עזר!M671</f>
        <v/>
      </c>
    </row>
    <row r="672" customFormat="false" ht="15" hidden="false" customHeight="false" outlineLevel="0" collapsed="false">
      <c r="A672" s="13" t="str">
        <f aca="false">IF(עזר!L672="","",INDEX(עזר!$A$2:$A$5001,עזר!L672))</f>
        <v/>
      </c>
      <c r="B672" s="13" t="str">
        <f aca="false">IF(עזר!L672="","",INDEX(עזר!$B$2:$B$5001,עזר!L672))</f>
        <v/>
      </c>
      <c r="C672" s="13" t="str">
        <f aca="false">עזר!M672</f>
        <v/>
      </c>
    </row>
    <row r="673" customFormat="false" ht="15" hidden="false" customHeight="false" outlineLevel="0" collapsed="false">
      <c r="A673" s="13" t="str">
        <f aca="false">IF(עזר!L673="","",INDEX(עזר!$A$2:$A$5001,עזר!L673))</f>
        <v/>
      </c>
      <c r="B673" s="13" t="str">
        <f aca="false">IF(עזר!L673="","",INDEX(עזר!$B$2:$B$5001,עזר!L673))</f>
        <v/>
      </c>
      <c r="C673" s="13" t="str">
        <f aca="false">עזר!M673</f>
        <v/>
      </c>
    </row>
    <row r="674" customFormat="false" ht="15" hidden="false" customHeight="false" outlineLevel="0" collapsed="false">
      <c r="A674" s="13" t="str">
        <f aca="false">IF(עזר!L674="","",INDEX(עזר!$A$2:$A$5001,עזר!L674))</f>
        <v/>
      </c>
      <c r="B674" s="13" t="str">
        <f aca="false">IF(עזר!L674="","",INDEX(עזר!$B$2:$B$5001,עזר!L674))</f>
        <v/>
      </c>
      <c r="C674" s="13" t="str">
        <f aca="false">עזר!M674</f>
        <v/>
      </c>
    </row>
    <row r="675" customFormat="false" ht="15" hidden="false" customHeight="false" outlineLevel="0" collapsed="false">
      <c r="A675" s="13" t="str">
        <f aca="false">IF(עזר!L675="","",INDEX(עזר!$A$2:$A$5001,עזר!L675))</f>
        <v/>
      </c>
      <c r="B675" s="13" t="str">
        <f aca="false">IF(עזר!L675="","",INDEX(עזר!$B$2:$B$5001,עזר!L675))</f>
        <v/>
      </c>
      <c r="C675" s="13" t="str">
        <f aca="false">עזר!M675</f>
        <v/>
      </c>
    </row>
    <row r="676" customFormat="false" ht="15" hidden="false" customHeight="false" outlineLevel="0" collapsed="false">
      <c r="A676" s="13" t="str">
        <f aca="false">IF(עזר!L676="","",INDEX(עזר!$A$2:$A$5001,עזר!L676))</f>
        <v/>
      </c>
      <c r="B676" s="13" t="str">
        <f aca="false">IF(עזר!L676="","",INDEX(עזר!$B$2:$B$5001,עזר!L676))</f>
        <v/>
      </c>
      <c r="C676" s="13" t="str">
        <f aca="false">עזר!M676</f>
        <v/>
      </c>
    </row>
    <row r="677" customFormat="false" ht="15" hidden="false" customHeight="false" outlineLevel="0" collapsed="false">
      <c r="A677" s="13" t="str">
        <f aca="false">IF(עזר!L677="","",INDEX(עזר!$A$2:$A$5001,עזר!L677))</f>
        <v/>
      </c>
      <c r="B677" s="13" t="str">
        <f aca="false">IF(עזר!L677="","",INDEX(עזר!$B$2:$B$5001,עזר!L677))</f>
        <v/>
      </c>
      <c r="C677" s="13" t="str">
        <f aca="false">עזר!M677</f>
        <v/>
      </c>
    </row>
    <row r="678" customFormat="false" ht="15" hidden="false" customHeight="false" outlineLevel="0" collapsed="false">
      <c r="A678" s="13" t="str">
        <f aca="false">IF(עזר!L678="","",INDEX(עזר!$A$2:$A$5001,עזר!L678))</f>
        <v/>
      </c>
      <c r="B678" s="13" t="str">
        <f aca="false">IF(עזר!L678="","",INDEX(עזר!$B$2:$B$5001,עזר!L678))</f>
        <v/>
      </c>
      <c r="C678" s="13" t="str">
        <f aca="false">עזר!M678</f>
        <v/>
      </c>
    </row>
    <row r="679" customFormat="false" ht="15" hidden="false" customHeight="false" outlineLevel="0" collapsed="false">
      <c r="A679" s="13" t="str">
        <f aca="false">IF(עזר!L679="","",INDEX(עזר!$A$2:$A$5001,עזר!L679))</f>
        <v/>
      </c>
      <c r="B679" s="13" t="str">
        <f aca="false">IF(עזר!L679="","",INDEX(עזר!$B$2:$B$5001,עזר!L679))</f>
        <v/>
      </c>
      <c r="C679" s="13" t="str">
        <f aca="false">עזר!M679</f>
        <v/>
      </c>
    </row>
    <row r="680" customFormat="false" ht="15" hidden="false" customHeight="false" outlineLevel="0" collapsed="false">
      <c r="A680" s="13" t="str">
        <f aca="false">IF(עזר!L680="","",INDEX(עזר!$A$2:$A$5001,עזר!L680))</f>
        <v/>
      </c>
      <c r="B680" s="13" t="str">
        <f aca="false">IF(עזר!L680="","",INDEX(עזר!$B$2:$B$5001,עזר!L680))</f>
        <v/>
      </c>
      <c r="C680" s="13" t="str">
        <f aca="false">עזר!M680</f>
        <v/>
      </c>
    </row>
    <row r="681" customFormat="false" ht="15" hidden="false" customHeight="false" outlineLevel="0" collapsed="false">
      <c r="A681" s="13" t="str">
        <f aca="false">IF(עזר!L681="","",INDEX(עזר!$A$2:$A$5001,עזר!L681))</f>
        <v/>
      </c>
      <c r="B681" s="13" t="str">
        <f aca="false">IF(עזר!L681="","",INDEX(עזר!$B$2:$B$5001,עזר!L681))</f>
        <v/>
      </c>
      <c r="C681" s="13" t="str">
        <f aca="false">עזר!M681</f>
        <v/>
      </c>
    </row>
    <row r="682" customFormat="false" ht="15" hidden="false" customHeight="false" outlineLevel="0" collapsed="false">
      <c r="A682" s="13" t="str">
        <f aca="false">IF(עזר!L682="","",INDEX(עזר!$A$2:$A$5001,עזר!L682))</f>
        <v/>
      </c>
      <c r="B682" s="13" t="str">
        <f aca="false">IF(עזר!L682="","",INDEX(עזר!$B$2:$B$5001,עזר!L682))</f>
        <v/>
      </c>
      <c r="C682" s="13" t="str">
        <f aca="false">עזר!M682</f>
        <v/>
      </c>
    </row>
    <row r="683" customFormat="false" ht="15" hidden="false" customHeight="false" outlineLevel="0" collapsed="false">
      <c r="A683" s="13" t="str">
        <f aca="false">IF(עזר!L683="","",INDEX(עזר!$A$2:$A$5001,עזר!L683))</f>
        <v/>
      </c>
      <c r="B683" s="13" t="str">
        <f aca="false">IF(עזר!L683="","",INDEX(עזר!$B$2:$B$5001,עזר!L683))</f>
        <v/>
      </c>
      <c r="C683" s="13" t="str">
        <f aca="false">עזר!M683</f>
        <v/>
      </c>
    </row>
    <row r="684" customFormat="false" ht="15" hidden="false" customHeight="false" outlineLevel="0" collapsed="false">
      <c r="A684" s="13" t="str">
        <f aca="false">IF(עזר!L684="","",INDEX(עזר!$A$2:$A$5001,עזר!L684))</f>
        <v/>
      </c>
      <c r="B684" s="13" t="str">
        <f aca="false">IF(עזר!L684="","",INDEX(עזר!$B$2:$B$5001,עזר!L684))</f>
        <v/>
      </c>
      <c r="C684" s="13" t="str">
        <f aca="false">עזר!M684</f>
        <v/>
      </c>
    </row>
    <row r="685" customFormat="false" ht="15" hidden="false" customHeight="false" outlineLevel="0" collapsed="false">
      <c r="A685" s="13" t="str">
        <f aca="false">IF(עזר!L685="","",INDEX(עזר!$A$2:$A$5001,עזר!L685))</f>
        <v/>
      </c>
      <c r="B685" s="13" t="str">
        <f aca="false">IF(עזר!L685="","",INDEX(עזר!$B$2:$B$5001,עזר!L685))</f>
        <v/>
      </c>
      <c r="C685" s="13" t="str">
        <f aca="false">עזר!M685</f>
        <v/>
      </c>
    </row>
    <row r="686" customFormat="false" ht="15" hidden="false" customHeight="false" outlineLevel="0" collapsed="false">
      <c r="A686" s="13" t="str">
        <f aca="false">IF(עזר!L686="","",INDEX(עזר!$A$2:$A$5001,עזר!L686))</f>
        <v/>
      </c>
      <c r="B686" s="13" t="str">
        <f aca="false">IF(עזר!L686="","",INDEX(עזר!$B$2:$B$5001,עזר!L686))</f>
        <v/>
      </c>
      <c r="C686" s="13" t="str">
        <f aca="false">עזר!M686</f>
        <v/>
      </c>
    </row>
    <row r="687" customFormat="false" ht="15" hidden="false" customHeight="false" outlineLevel="0" collapsed="false">
      <c r="A687" s="13" t="str">
        <f aca="false">IF(עזר!L687="","",INDEX(עזר!$A$2:$A$5001,עזר!L687))</f>
        <v/>
      </c>
      <c r="B687" s="13" t="str">
        <f aca="false">IF(עזר!L687="","",INDEX(עזר!$B$2:$B$5001,עזר!L687))</f>
        <v/>
      </c>
      <c r="C687" s="13" t="str">
        <f aca="false">עזר!M687</f>
        <v/>
      </c>
    </row>
    <row r="688" customFormat="false" ht="15" hidden="false" customHeight="false" outlineLevel="0" collapsed="false">
      <c r="A688" s="13" t="str">
        <f aca="false">IF(עזר!L688="","",INDEX(עזר!$A$2:$A$5001,עזר!L688))</f>
        <v/>
      </c>
      <c r="B688" s="13" t="str">
        <f aca="false">IF(עזר!L688="","",INDEX(עזר!$B$2:$B$5001,עזר!L688))</f>
        <v/>
      </c>
      <c r="C688" s="13" t="str">
        <f aca="false">עזר!M688</f>
        <v/>
      </c>
    </row>
    <row r="689" customFormat="false" ht="15" hidden="false" customHeight="false" outlineLevel="0" collapsed="false">
      <c r="A689" s="13" t="str">
        <f aca="false">IF(עזר!L689="","",INDEX(עזר!$A$2:$A$5001,עזר!L689))</f>
        <v/>
      </c>
      <c r="B689" s="13" t="str">
        <f aca="false">IF(עזר!L689="","",INDEX(עזר!$B$2:$B$5001,עזר!L689))</f>
        <v/>
      </c>
      <c r="C689" s="13" t="str">
        <f aca="false">עזר!M689</f>
        <v/>
      </c>
    </row>
    <row r="690" customFormat="false" ht="15" hidden="false" customHeight="false" outlineLevel="0" collapsed="false">
      <c r="A690" s="13" t="str">
        <f aca="false">IF(עזר!L690="","",INDEX(עזר!$A$2:$A$5001,עזר!L690))</f>
        <v/>
      </c>
      <c r="B690" s="13" t="str">
        <f aca="false">IF(עזר!L690="","",INDEX(עזר!$B$2:$B$5001,עזר!L690))</f>
        <v/>
      </c>
      <c r="C690" s="13" t="str">
        <f aca="false">עזר!M690</f>
        <v/>
      </c>
    </row>
    <row r="691" customFormat="false" ht="15" hidden="false" customHeight="false" outlineLevel="0" collapsed="false">
      <c r="A691" s="13" t="str">
        <f aca="false">IF(עזר!L691="","",INDEX(עזר!$A$2:$A$5001,עזר!L691))</f>
        <v/>
      </c>
      <c r="B691" s="13" t="str">
        <f aca="false">IF(עזר!L691="","",INDEX(עזר!$B$2:$B$5001,עזר!L691))</f>
        <v/>
      </c>
      <c r="C691" s="13" t="str">
        <f aca="false">עזר!M691</f>
        <v/>
      </c>
    </row>
    <row r="692" customFormat="false" ht="15" hidden="false" customHeight="false" outlineLevel="0" collapsed="false">
      <c r="A692" s="13" t="str">
        <f aca="false">IF(עזר!L692="","",INDEX(עזר!$A$2:$A$5001,עזר!L692))</f>
        <v/>
      </c>
      <c r="B692" s="13" t="str">
        <f aca="false">IF(עזר!L692="","",INDEX(עזר!$B$2:$B$5001,עזר!L692))</f>
        <v/>
      </c>
      <c r="C692" s="13" t="str">
        <f aca="false">עזר!M692</f>
        <v/>
      </c>
    </row>
    <row r="693" customFormat="false" ht="15" hidden="false" customHeight="false" outlineLevel="0" collapsed="false">
      <c r="A693" s="13" t="str">
        <f aca="false">IF(עזר!L693="","",INDEX(עזר!$A$2:$A$5001,עזר!L693))</f>
        <v/>
      </c>
      <c r="B693" s="13" t="str">
        <f aca="false">IF(עזר!L693="","",INDEX(עזר!$B$2:$B$5001,עזר!L693))</f>
        <v/>
      </c>
      <c r="C693" s="13" t="str">
        <f aca="false">עזר!M693</f>
        <v/>
      </c>
    </row>
    <row r="694" customFormat="false" ht="15" hidden="false" customHeight="false" outlineLevel="0" collapsed="false">
      <c r="A694" s="13" t="str">
        <f aca="false">IF(עזר!L694="","",INDEX(עזר!$A$2:$A$5001,עזר!L694))</f>
        <v/>
      </c>
      <c r="B694" s="13" t="str">
        <f aca="false">IF(עזר!L694="","",INDEX(עזר!$B$2:$B$5001,עזר!L694))</f>
        <v/>
      </c>
      <c r="C694" s="13" t="str">
        <f aca="false">עזר!M694</f>
        <v/>
      </c>
    </row>
    <row r="695" customFormat="false" ht="15" hidden="false" customHeight="false" outlineLevel="0" collapsed="false">
      <c r="A695" s="13" t="str">
        <f aca="false">IF(עזר!L695="","",INDEX(עזר!$A$2:$A$5001,עזר!L695))</f>
        <v/>
      </c>
      <c r="B695" s="13" t="str">
        <f aca="false">IF(עזר!L695="","",INDEX(עזר!$B$2:$B$5001,עזר!L695))</f>
        <v/>
      </c>
      <c r="C695" s="13" t="str">
        <f aca="false">עזר!M695</f>
        <v/>
      </c>
    </row>
    <row r="696" customFormat="false" ht="15" hidden="false" customHeight="false" outlineLevel="0" collapsed="false">
      <c r="A696" s="13" t="str">
        <f aca="false">IF(עזר!L696="","",INDEX(עזר!$A$2:$A$5001,עזר!L696))</f>
        <v/>
      </c>
      <c r="B696" s="13" t="str">
        <f aca="false">IF(עזר!L696="","",INDEX(עזר!$B$2:$B$5001,עזר!L696))</f>
        <v/>
      </c>
      <c r="C696" s="13" t="str">
        <f aca="false">עזר!M696</f>
        <v/>
      </c>
    </row>
    <row r="697" customFormat="false" ht="15" hidden="false" customHeight="false" outlineLevel="0" collapsed="false">
      <c r="A697" s="13" t="str">
        <f aca="false">IF(עזר!L697="","",INDEX(עזר!$A$2:$A$5001,עזר!L697))</f>
        <v/>
      </c>
      <c r="B697" s="13" t="str">
        <f aca="false">IF(עזר!L697="","",INDEX(עזר!$B$2:$B$5001,עזר!L697))</f>
        <v/>
      </c>
      <c r="C697" s="13" t="str">
        <f aca="false">עזר!M697</f>
        <v/>
      </c>
    </row>
    <row r="698" customFormat="false" ht="15" hidden="false" customHeight="false" outlineLevel="0" collapsed="false">
      <c r="A698" s="13" t="str">
        <f aca="false">IF(עזר!L698="","",INDEX(עזר!$A$2:$A$5001,עזר!L698))</f>
        <v/>
      </c>
      <c r="B698" s="13" t="str">
        <f aca="false">IF(עזר!L698="","",INDEX(עזר!$B$2:$B$5001,עזר!L698))</f>
        <v/>
      </c>
      <c r="C698" s="13" t="str">
        <f aca="false">עזר!M698</f>
        <v/>
      </c>
    </row>
    <row r="699" customFormat="false" ht="15" hidden="false" customHeight="false" outlineLevel="0" collapsed="false">
      <c r="A699" s="13" t="str">
        <f aca="false">IF(עזר!L699="","",INDEX(עזר!$A$2:$A$5001,עזר!L699))</f>
        <v/>
      </c>
      <c r="B699" s="13" t="str">
        <f aca="false">IF(עזר!L699="","",INDEX(עזר!$B$2:$B$5001,עזר!L699))</f>
        <v/>
      </c>
      <c r="C699" s="13" t="str">
        <f aca="false">עזר!M699</f>
        <v/>
      </c>
    </row>
    <row r="700" customFormat="false" ht="15" hidden="false" customHeight="false" outlineLevel="0" collapsed="false">
      <c r="A700" s="13" t="str">
        <f aca="false">IF(עזר!L700="","",INDEX(עזר!$A$2:$A$5001,עזר!L700))</f>
        <v/>
      </c>
      <c r="B700" s="13" t="str">
        <f aca="false">IF(עזר!L700="","",INDEX(עזר!$B$2:$B$5001,עזר!L700))</f>
        <v/>
      </c>
      <c r="C700" s="13" t="str">
        <f aca="false">עזר!M700</f>
        <v/>
      </c>
    </row>
    <row r="701" customFormat="false" ht="15" hidden="false" customHeight="false" outlineLevel="0" collapsed="false">
      <c r="A701" s="13" t="str">
        <f aca="false">IF(עזר!L701="","",INDEX(עזר!$A$2:$A$5001,עזר!L701))</f>
        <v/>
      </c>
      <c r="B701" s="13" t="str">
        <f aca="false">IF(עזר!L701="","",INDEX(עזר!$B$2:$B$5001,עזר!L701))</f>
        <v/>
      </c>
      <c r="C701" s="13" t="str">
        <f aca="false">עזר!M701</f>
        <v/>
      </c>
    </row>
    <row r="702" customFormat="false" ht="15" hidden="false" customHeight="false" outlineLevel="0" collapsed="false">
      <c r="A702" s="13" t="str">
        <f aca="false">IF(עזר!L702="","",INDEX(עזר!$A$2:$A$5001,עזר!L702))</f>
        <v/>
      </c>
      <c r="B702" s="13" t="str">
        <f aca="false">IF(עזר!L702="","",INDEX(עזר!$B$2:$B$5001,עזר!L702))</f>
        <v/>
      </c>
      <c r="C702" s="13" t="str">
        <f aca="false">עזר!M702</f>
        <v/>
      </c>
    </row>
    <row r="703" customFormat="false" ht="15" hidden="false" customHeight="false" outlineLevel="0" collapsed="false">
      <c r="A703" s="13" t="str">
        <f aca="false">IF(עזר!L703="","",INDEX(עזר!$A$2:$A$5001,עזר!L703))</f>
        <v/>
      </c>
      <c r="B703" s="13" t="str">
        <f aca="false">IF(עזר!L703="","",INDEX(עזר!$B$2:$B$5001,עזר!L703))</f>
        <v/>
      </c>
      <c r="C703" s="13" t="str">
        <f aca="false">עזר!M703</f>
        <v/>
      </c>
    </row>
    <row r="704" customFormat="false" ht="15" hidden="false" customHeight="false" outlineLevel="0" collapsed="false">
      <c r="A704" s="13" t="str">
        <f aca="false">IF(עזר!L704="","",INDEX(עזר!$A$2:$A$5001,עזר!L704))</f>
        <v/>
      </c>
      <c r="B704" s="13" t="str">
        <f aca="false">IF(עזר!L704="","",INDEX(עזר!$B$2:$B$5001,עזר!L704))</f>
        <v/>
      </c>
      <c r="C704" s="13" t="str">
        <f aca="false">עזר!M704</f>
        <v/>
      </c>
    </row>
    <row r="705" customFormat="false" ht="15" hidden="false" customHeight="false" outlineLevel="0" collapsed="false">
      <c r="A705" s="13" t="str">
        <f aca="false">IF(עזר!L705="","",INDEX(עזר!$A$2:$A$5001,עזר!L705))</f>
        <v/>
      </c>
      <c r="B705" s="13" t="str">
        <f aca="false">IF(עזר!L705="","",INDEX(עזר!$B$2:$B$5001,עזר!L705))</f>
        <v/>
      </c>
      <c r="C705" s="13" t="str">
        <f aca="false">עזר!M705</f>
        <v/>
      </c>
    </row>
    <row r="706" customFormat="false" ht="15" hidden="false" customHeight="false" outlineLevel="0" collapsed="false">
      <c r="A706" s="13" t="str">
        <f aca="false">IF(עזר!L706="","",INDEX(עזר!$A$2:$A$5001,עזר!L706))</f>
        <v/>
      </c>
      <c r="B706" s="13" t="str">
        <f aca="false">IF(עזר!L706="","",INDEX(עזר!$B$2:$B$5001,עזר!L706))</f>
        <v/>
      </c>
      <c r="C706" s="13" t="str">
        <f aca="false">עזר!M706</f>
        <v/>
      </c>
    </row>
    <row r="707" customFormat="false" ht="15" hidden="false" customHeight="false" outlineLevel="0" collapsed="false">
      <c r="A707" s="13" t="str">
        <f aca="false">IF(עזר!L707="","",INDEX(עזר!$A$2:$A$5001,עזר!L707))</f>
        <v/>
      </c>
      <c r="B707" s="13" t="str">
        <f aca="false">IF(עזר!L707="","",INDEX(עזר!$B$2:$B$5001,עזר!L707))</f>
        <v/>
      </c>
      <c r="C707" s="13" t="str">
        <f aca="false">עזר!M707</f>
        <v/>
      </c>
    </row>
    <row r="708" customFormat="false" ht="15" hidden="false" customHeight="false" outlineLevel="0" collapsed="false">
      <c r="A708" s="13" t="str">
        <f aca="false">IF(עזר!L708="","",INDEX(עזר!$A$2:$A$5001,עזר!L708))</f>
        <v/>
      </c>
      <c r="B708" s="13" t="str">
        <f aca="false">IF(עזר!L708="","",INDEX(עזר!$B$2:$B$5001,עזר!L708))</f>
        <v/>
      </c>
      <c r="C708" s="13" t="str">
        <f aca="false">עזר!M708</f>
        <v/>
      </c>
    </row>
    <row r="709" customFormat="false" ht="15" hidden="false" customHeight="false" outlineLevel="0" collapsed="false">
      <c r="A709" s="13" t="str">
        <f aca="false">IF(עזר!L709="","",INDEX(עזר!$A$2:$A$5001,עזר!L709))</f>
        <v/>
      </c>
      <c r="B709" s="13" t="str">
        <f aca="false">IF(עזר!L709="","",INDEX(עזר!$B$2:$B$5001,עזר!L709))</f>
        <v/>
      </c>
      <c r="C709" s="13" t="str">
        <f aca="false">עזר!M709</f>
        <v/>
      </c>
    </row>
    <row r="710" customFormat="false" ht="15" hidden="false" customHeight="false" outlineLevel="0" collapsed="false">
      <c r="A710" s="13" t="str">
        <f aca="false">IF(עזר!L710="","",INDEX(עזר!$A$2:$A$5001,עזר!L710))</f>
        <v/>
      </c>
      <c r="B710" s="13" t="str">
        <f aca="false">IF(עזר!L710="","",INDEX(עזר!$B$2:$B$5001,עזר!L710))</f>
        <v/>
      </c>
      <c r="C710" s="13" t="str">
        <f aca="false">עזר!M710</f>
        <v/>
      </c>
    </row>
    <row r="711" customFormat="false" ht="15" hidden="false" customHeight="false" outlineLevel="0" collapsed="false">
      <c r="A711" s="13" t="str">
        <f aca="false">IF(עזר!L711="","",INDEX(עזר!$A$2:$A$5001,עזר!L711))</f>
        <v/>
      </c>
      <c r="B711" s="13" t="str">
        <f aca="false">IF(עזר!L711="","",INDEX(עזר!$B$2:$B$5001,עזר!L711))</f>
        <v/>
      </c>
      <c r="C711" s="13" t="str">
        <f aca="false">עזר!M711</f>
        <v/>
      </c>
    </row>
    <row r="712" customFormat="false" ht="15" hidden="false" customHeight="false" outlineLevel="0" collapsed="false">
      <c r="A712" s="13" t="str">
        <f aca="false">IF(עזר!L712="","",INDEX(עזר!$A$2:$A$5001,עזר!L712))</f>
        <v/>
      </c>
      <c r="B712" s="13" t="str">
        <f aca="false">IF(עזר!L712="","",INDEX(עזר!$B$2:$B$5001,עזר!L712))</f>
        <v/>
      </c>
      <c r="C712" s="13" t="str">
        <f aca="false">עזר!M712</f>
        <v/>
      </c>
    </row>
    <row r="713" customFormat="false" ht="15" hidden="false" customHeight="false" outlineLevel="0" collapsed="false">
      <c r="A713" s="13" t="str">
        <f aca="false">IF(עזר!L713="","",INDEX(עזר!$A$2:$A$5001,עזר!L713))</f>
        <v/>
      </c>
      <c r="B713" s="13" t="str">
        <f aca="false">IF(עזר!L713="","",INDEX(עזר!$B$2:$B$5001,עזר!L713))</f>
        <v/>
      </c>
      <c r="C713" s="13" t="str">
        <f aca="false">עזר!M713</f>
        <v/>
      </c>
    </row>
    <row r="714" customFormat="false" ht="15" hidden="false" customHeight="false" outlineLevel="0" collapsed="false">
      <c r="A714" s="13" t="str">
        <f aca="false">IF(עזר!L714="","",INDEX(עזר!$A$2:$A$5001,עזר!L714))</f>
        <v/>
      </c>
      <c r="B714" s="13" t="str">
        <f aca="false">IF(עזר!L714="","",INDEX(עזר!$B$2:$B$5001,עזר!L714))</f>
        <v/>
      </c>
      <c r="C714" s="13" t="str">
        <f aca="false">עזר!M714</f>
        <v/>
      </c>
    </row>
    <row r="715" customFormat="false" ht="15" hidden="false" customHeight="false" outlineLevel="0" collapsed="false">
      <c r="A715" s="13" t="str">
        <f aca="false">IF(עזר!L715="","",INDEX(עזר!$A$2:$A$5001,עזר!L715))</f>
        <v/>
      </c>
      <c r="B715" s="13" t="str">
        <f aca="false">IF(עזר!L715="","",INDEX(עזר!$B$2:$B$5001,עזר!L715))</f>
        <v/>
      </c>
      <c r="C715" s="13" t="str">
        <f aca="false">עזר!M715</f>
        <v/>
      </c>
    </row>
    <row r="716" customFormat="false" ht="15" hidden="false" customHeight="false" outlineLevel="0" collapsed="false">
      <c r="A716" s="13" t="str">
        <f aca="false">IF(עזר!L716="","",INDEX(עזר!$A$2:$A$5001,עזר!L716))</f>
        <v/>
      </c>
      <c r="B716" s="13" t="str">
        <f aca="false">IF(עזר!L716="","",INDEX(עזר!$B$2:$B$5001,עזר!L716))</f>
        <v/>
      </c>
      <c r="C716" s="13" t="str">
        <f aca="false">עזר!M716</f>
        <v/>
      </c>
    </row>
    <row r="717" customFormat="false" ht="15" hidden="false" customHeight="false" outlineLevel="0" collapsed="false">
      <c r="A717" s="13" t="str">
        <f aca="false">IF(עזר!L717="","",INDEX(עזר!$A$2:$A$5001,עזר!L717))</f>
        <v/>
      </c>
      <c r="B717" s="13" t="str">
        <f aca="false">IF(עזר!L717="","",INDEX(עזר!$B$2:$B$5001,עזר!L717))</f>
        <v/>
      </c>
      <c r="C717" s="13" t="str">
        <f aca="false">עזר!M717</f>
        <v/>
      </c>
    </row>
    <row r="718" customFormat="false" ht="15" hidden="false" customHeight="false" outlineLevel="0" collapsed="false">
      <c r="A718" s="13" t="str">
        <f aca="false">IF(עזר!L718="","",INDEX(עזר!$A$2:$A$5001,עזר!L718))</f>
        <v/>
      </c>
      <c r="B718" s="13" t="str">
        <f aca="false">IF(עזר!L718="","",INDEX(עזר!$B$2:$B$5001,עזר!L718))</f>
        <v/>
      </c>
      <c r="C718" s="13" t="str">
        <f aca="false">עזר!M718</f>
        <v/>
      </c>
    </row>
    <row r="719" customFormat="false" ht="15" hidden="false" customHeight="false" outlineLevel="0" collapsed="false">
      <c r="A719" s="13" t="str">
        <f aca="false">IF(עזר!L719="","",INDEX(עזר!$A$2:$A$5001,עזר!L719))</f>
        <v/>
      </c>
      <c r="B719" s="13" t="str">
        <f aca="false">IF(עזר!L719="","",INDEX(עזר!$B$2:$B$5001,עזר!L719))</f>
        <v/>
      </c>
      <c r="C719" s="13" t="str">
        <f aca="false">עזר!M719</f>
        <v/>
      </c>
    </row>
    <row r="720" customFormat="false" ht="15" hidden="false" customHeight="false" outlineLevel="0" collapsed="false">
      <c r="A720" s="13" t="str">
        <f aca="false">IF(עזר!L720="","",INDEX(עזר!$A$2:$A$5001,עזר!L720))</f>
        <v/>
      </c>
      <c r="B720" s="13" t="str">
        <f aca="false">IF(עזר!L720="","",INDEX(עזר!$B$2:$B$5001,עזר!L720))</f>
        <v/>
      </c>
      <c r="C720" s="13" t="str">
        <f aca="false">עזר!M720</f>
        <v/>
      </c>
    </row>
    <row r="721" customFormat="false" ht="15" hidden="false" customHeight="false" outlineLevel="0" collapsed="false">
      <c r="A721" s="13" t="str">
        <f aca="false">IF(עזר!L721="","",INDEX(עזר!$A$2:$A$5001,עזר!L721))</f>
        <v/>
      </c>
      <c r="B721" s="13" t="str">
        <f aca="false">IF(עזר!L721="","",INDEX(עזר!$B$2:$B$5001,עזר!L721))</f>
        <v/>
      </c>
      <c r="C721" s="13" t="str">
        <f aca="false">עזר!M721</f>
        <v/>
      </c>
    </row>
    <row r="722" customFormat="false" ht="15" hidden="false" customHeight="false" outlineLevel="0" collapsed="false">
      <c r="A722" s="13" t="str">
        <f aca="false">IF(עזר!L722="","",INDEX(עזר!$A$2:$A$5001,עזר!L722))</f>
        <v/>
      </c>
      <c r="B722" s="13" t="str">
        <f aca="false">IF(עזר!L722="","",INDEX(עזר!$B$2:$B$5001,עזר!L722))</f>
        <v/>
      </c>
      <c r="C722" s="13" t="str">
        <f aca="false">עזר!M722</f>
        <v/>
      </c>
    </row>
    <row r="723" customFormat="false" ht="15" hidden="false" customHeight="false" outlineLevel="0" collapsed="false">
      <c r="A723" s="13" t="str">
        <f aca="false">IF(עזר!L723="","",INDEX(עזר!$A$2:$A$5001,עזר!L723))</f>
        <v/>
      </c>
      <c r="B723" s="13" t="str">
        <f aca="false">IF(עזר!L723="","",INDEX(עזר!$B$2:$B$5001,עזר!L723))</f>
        <v/>
      </c>
      <c r="C723" s="13" t="str">
        <f aca="false">עזר!M723</f>
        <v/>
      </c>
    </row>
    <row r="724" customFormat="false" ht="15" hidden="false" customHeight="false" outlineLevel="0" collapsed="false">
      <c r="A724" s="13" t="str">
        <f aca="false">IF(עזר!L724="","",INDEX(עזר!$A$2:$A$5001,עזר!L724))</f>
        <v/>
      </c>
      <c r="B724" s="13" t="str">
        <f aca="false">IF(עזר!L724="","",INDEX(עזר!$B$2:$B$5001,עזר!L724))</f>
        <v/>
      </c>
      <c r="C724" s="13" t="str">
        <f aca="false">עזר!M724</f>
        <v/>
      </c>
    </row>
    <row r="725" customFormat="false" ht="15" hidden="false" customHeight="false" outlineLevel="0" collapsed="false">
      <c r="A725" s="13" t="str">
        <f aca="false">IF(עזר!L725="","",INDEX(עזר!$A$2:$A$5001,עזר!L725))</f>
        <v/>
      </c>
      <c r="B725" s="13" t="str">
        <f aca="false">IF(עזר!L725="","",INDEX(עזר!$B$2:$B$5001,עזר!L725))</f>
        <v/>
      </c>
      <c r="C725" s="13" t="str">
        <f aca="false">עזר!M725</f>
        <v/>
      </c>
    </row>
    <row r="726" customFormat="false" ht="15" hidden="false" customHeight="false" outlineLevel="0" collapsed="false">
      <c r="A726" s="13" t="str">
        <f aca="false">IF(עזר!L726="","",INDEX(עזר!$A$2:$A$5001,עזר!L726))</f>
        <v/>
      </c>
      <c r="B726" s="13" t="str">
        <f aca="false">IF(עזר!L726="","",INDEX(עזר!$B$2:$B$5001,עזר!L726))</f>
        <v/>
      </c>
      <c r="C726" s="13" t="str">
        <f aca="false">עזר!M726</f>
        <v/>
      </c>
    </row>
    <row r="727" customFormat="false" ht="15" hidden="false" customHeight="false" outlineLevel="0" collapsed="false">
      <c r="A727" s="13" t="str">
        <f aca="false">IF(עזר!L727="","",INDEX(עזר!$A$2:$A$5001,עזר!L727))</f>
        <v/>
      </c>
      <c r="B727" s="13" t="str">
        <f aca="false">IF(עזר!L727="","",INDEX(עזר!$B$2:$B$5001,עזר!L727))</f>
        <v/>
      </c>
      <c r="C727" s="13" t="str">
        <f aca="false">עזר!M727</f>
        <v/>
      </c>
    </row>
    <row r="728" customFormat="false" ht="15" hidden="false" customHeight="false" outlineLevel="0" collapsed="false">
      <c r="A728" s="13" t="str">
        <f aca="false">IF(עזר!L728="","",INDEX(עזר!$A$2:$A$5001,עזר!L728))</f>
        <v/>
      </c>
      <c r="B728" s="13" t="str">
        <f aca="false">IF(עזר!L728="","",INDEX(עזר!$B$2:$B$5001,עזר!L728))</f>
        <v/>
      </c>
      <c r="C728" s="13" t="str">
        <f aca="false">עזר!M728</f>
        <v/>
      </c>
    </row>
    <row r="729" customFormat="false" ht="15" hidden="false" customHeight="false" outlineLevel="0" collapsed="false">
      <c r="A729" s="13" t="str">
        <f aca="false">IF(עזר!L729="","",INDEX(עזר!$A$2:$A$5001,עזר!L729))</f>
        <v/>
      </c>
      <c r="B729" s="13" t="str">
        <f aca="false">IF(עזר!L729="","",INDEX(עזר!$B$2:$B$5001,עזר!L729))</f>
        <v/>
      </c>
      <c r="C729" s="13" t="str">
        <f aca="false">עזר!M729</f>
        <v/>
      </c>
    </row>
    <row r="730" customFormat="false" ht="15" hidden="false" customHeight="false" outlineLevel="0" collapsed="false">
      <c r="A730" s="13" t="str">
        <f aca="false">IF(עזר!L730="","",INDEX(עזר!$A$2:$A$5001,עזר!L730))</f>
        <v/>
      </c>
      <c r="B730" s="13" t="str">
        <f aca="false">IF(עזר!L730="","",INDEX(עזר!$B$2:$B$5001,עזר!L730))</f>
        <v/>
      </c>
      <c r="C730" s="13" t="str">
        <f aca="false">עזר!M730</f>
        <v/>
      </c>
    </row>
    <row r="731" customFormat="false" ht="15" hidden="false" customHeight="false" outlineLevel="0" collapsed="false">
      <c r="A731" s="13" t="str">
        <f aca="false">IF(עזר!L731="","",INDEX(עזר!$A$2:$A$5001,עזר!L731))</f>
        <v/>
      </c>
      <c r="B731" s="13" t="str">
        <f aca="false">IF(עזר!L731="","",INDEX(עזר!$B$2:$B$5001,עזר!L731))</f>
        <v/>
      </c>
      <c r="C731" s="13" t="str">
        <f aca="false">עזר!M731</f>
        <v/>
      </c>
    </row>
    <row r="732" customFormat="false" ht="15" hidden="false" customHeight="false" outlineLevel="0" collapsed="false">
      <c r="A732" s="13" t="str">
        <f aca="false">IF(עזר!L732="","",INDEX(עזר!$A$2:$A$5001,עזר!L732))</f>
        <v/>
      </c>
      <c r="B732" s="13" t="str">
        <f aca="false">IF(עזר!L732="","",INDEX(עזר!$B$2:$B$5001,עזר!L732))</f>
        <v/>
      </c>
      <c r="C732" s="13" t="str">
        <f aca="false">עזר!M732</f>
        <v/>
      </c>
    </row>
    <row r="733" customFormat="false" ht="15" hidden="false" customHeight="false" outlineLevel="0" collapsed="false">
      <c r="A733" s="13" t="str">
        <f aca="false">IF(עזר!L733="","",INDEX(עזר!$A$2:$A$5001,עזר!L733))</f>
        <v/>
      </c>
      <c r="B733" s="13" t="str">
        <f aca="false">IF(עזר!L733="","",INDEX(עזר!$B$2:$B$5001,עזר!L733))</f>
        <v/>
      </c>
      <c r="C733" s="13" t="str">
        <f aca="false">עזר!M733</f>
        <v/>
      </c>
    </row>
    <row r="734" customFormat="false" ht="15" hidden="false" customHeight="false" outlineLevel="0" collapsed="false">
      <c r="A734" s="13" t="str">
        <f aca="false">IF(עזר!L734="","",INDEX(עזר!$A$2:$A$5001,עזר!L734))</f>
        <v/>
      </c>
      <c r="B734" s="13" t="str">
        <f aca="false">IF(עזר!L734="","",INDEX(עזר!$B$2:$B$5001,עזר!L734))</f>
        <v/>
      </c>
      <c r="C734" s="13" t="str">
        <f aca="false">עזר!M734</f>
        <v/>
      </c>
    </row>
    <row r="735" customFormat="false" ht="15" hidden="false" customHeight="false" outlineLevel="0" collapsed="false">
      <c r="A735" s="13" t="str">
        <f aca="false">IF(עזר!L735="","",INDEX(עזר!$A$2:$A$5001,עזר!L735))</f>
        <v/>
      </c>
      <c r="B735" s="13" t="str">
        <f aca="false">IF(עזר!L735="","",INDEX(עזר!$B$2:$B$5001,עזר!L735))</f>
        <v/>
      </c>
      <c r="C735" s="13" t="str">
        <f aca="false">עזר!M735</f>
        <v/>
      </c>
    </row>
    <row r="736" customFormat="false" ht="15" hidden="false" customHeight="false" outlineLevel="0" collapsed="false">
      <c r="A736" s="13" t="str">
        <f aca="false">IF(עזר!L736="","",INDEX(עזר!$A$2:$A$5001,עזר!L736))</f>
        <v/>
      </c>
      <c r="B736" s="13" t="str">
        <f aca="false">IF(עזר!L736="","",INDEX(עזר!$B$2:$B$5001,עזר!L736))</f>
        <v/>
      </c>
      <c r="C736" s="13" t="str">
        <f aca="false">עזר!M736</f>
        <v/>
      </c>
    </row>
    <row r="737" customFormat="false" ht="15" hidden="false" customHeight="false" outlineLevel="0" collapsed="false">
      <c r="A737" s="13" t="str">
        <f aca="false">IF(עזר!L737="","",INDEX(עזר!$A$2:$A$5001,עזר!L737))</f>
        <v/>
      </c>
      <c r="B737" s="13" t="str">
        <f aca="false">IF(עזר!L737="","",INDEX(עזר!$B$2:$B$5001,עזר!L737))</f>
        <v/>
      </c>
      <c r="C737" s="13" t="str">
        <f aca="false">עזר!M737</f>
        <v/>
      </c>
    </row>
    <row r="738" customFormat="false" ht="15" hidden="false" customHeight="false" outlineLevel="0" collapsed="false">
      <c r="A738" s="13" t="str">
        <f aca="false">IF(עזר!L738="","",INDEX(עזר!$A$2:$A$5001,עזר!L738))</f>
        <v/>
      </c>
      <c r="B738" s="13" t="str">
        <f aca="false">IF(עזר!L738="","",INDEX(עזר!$B$2:$B$5001,עזר!L738))</f>
        <v/>
      </c>
      <c r="C738" s="13" t="str">
        <f aca="false">עזר!M738</f>
        <v/>
      </c>
    </row>
    <row r="739" customFormat="false" ht="15" hidden="false" customHeight="false" outlineLevel="0" collapsed="false">
      <c r="A739" s="13" t="str">
        <f aca="false">IF(עזר!L739="","",INDEX(עזר!$A$2:$A$5001,עזר!L739))</f>
        <v/>
      </c>
      <c r="B739" s="13" t="str">
        <f aca="false">IF(עזר!L739="","",INDEX(עזר!$B$2:$B$5001,עזר!L739))</f>
        <v/>
      </c>
      <c r="C739" s="13" t="str">
        <f aca="false">עזר!M739</f>
        <v/>
      </c>
    </row>
    <row r="740" customFormat="false" ht="15" hidden="false" customHeight="false" outlineLevel="0" collapsed="false">
      <c r="A740" s="13" t="str">
        <f aca="false">IF(עזר!L740="","",INDEX(עזר!$A$2:$A$5001,עזר!L740))</f>
        <v/>
      </c>
      <c r="B740" s="13" t="str">
        <f aca="false">IF(עזר!L740="","",INDEX(עזר!$B$2:$B$5001,עזר!L740))</f>
        <v/>
      </c>
      <c r="C740" s="13" t="str">
        <f aca="false">עזר!M740</f>
        <v/>
      </c>
    </row>
    <row r="741" customFormat="false" ht="15" hidden="false" customHeight="false" outlineLevel="0" collapsed="false">
      <c r="A741" s="13" t="str">
        <f aca="false">IF(עזר!L741="","",INDEX(עזר!$A$2:$A$5001,עזר!L741))</f>
        <v/>
      </c>
      <c r="B741" s="13" t="str">
        <f aca="false">IF(עזר!L741="","",INDEX(עזר!$B$2:$B$5001,עזר!L741))</f>
        <v/>
      </c>
      <c r="C741" s="13" t="str">
        <f aca="false">עזר!M741</f>
        <v/>
      </c>
    </row>
    <row r="742" customFormat="false" ht="15" hidden="false" customHeight="false" outlineLevel="0" collapsed="false">
      <c r="A742" s="13" t="str">
        <f aca="false">IF(עזר!L742="","",INDEX(עזר!$A$2:$A$5001,עזר!L742))</f>
        <v/>
      </c>
      <c r="B742" s="13" t="str">
        <f aca="false">IF(עזר!L742="","",INDEX(עזר!$B$2:$B$5001,עזר!L742))</f>
        <v/>
      </c>
      <c r="C742" s="13" t="str">
        <f aca="false">עזר!M742</f>
        <v/>
      </c>
    </row>
    <row r="743" customFormat="false" ht="15" hidden="false" customHeight="false" outlineLevel="0" collapsed="false">
      <c r="A743" s="13" t="str">
        <f aca="false">IF(עזר!L743="","",INDEX(עזר!$A$2:$A$5001,עזר!L743))</f>
        <v/>
      </c>
      <c r="B743" s="13" t="str">
        <f aca="false">IF(עזר!L743="","",INDEX(עזר!$B$2:$B$5001,עזר!L743))</f>
        <v/>
      </c>
      <c r="C743" s="13" t="str">
        <f aca="false">עזר!M743</f>
        <v/>
      </c>
    </row>
    <row r="744" customFormat="false" ht="15" hidden="false" customHeight="false" outlineLevel="0" collapsed="false">
      <c r="A744" s="13" t="str">
        <f aca="false">IF(עזר!L744="","",INDEX(עזר!$A$2:$A$5001,עזר!L744))</f>
        <v/>
      </c>
      <c r="B744" s="13" t="str">
        <f aca="false">IF(עזר!L744="","",INDEX(עזר!$B$2:$B$5001,עזר!L744))</f>
        <v/>
      </c>
      <c r="C744" s="13" t="str">
        <f aca="false">עזר!M744</f>
        <v/>
      </c>
    </row>
    <row r="745" customFormat="false" ht="15" hidden="false" customHeight="false" outlineLevel="0" collapsed="false">
      <c r="A745" s="13" t="str">
        <f aca="false">IF(עזר!L745="","",INDEX(עזר!$A$2:$A$5001,עזר!L745))</f>
        <v/>
      </c>
      <c r="B745" s="13" t="str">
        <f aca="false">IF(עזר!L745="","",INDEX(עזר!$B$2:$B$5001,עזר!L745))</f>
        <v/>
      </c>
      <c r="C745" s="13" t="str">
        <f aca="false">עזר!M745</f>
        <v/>
      </c>
    </row>
    <row r="746" customFormat="false" ht="15" hidden="false" customHeight="false" outlineLevel="0" collapsed="false">
      <c r="A746" s="13" t="str">
        <f aca="false">IF(עזר!L746="","",INDEX(עזר!$A$2:$A$5001,עזר!L746))</f>
        <v/>
      </c>
      <c r="B746" s="13" t="str">
        <f aca="false">IF(עזר!L746="","",INDEX(עזר!$B$2:$B$5001,עזר!L746))</f>
        <v/>
      </c>
      <c r="C746" s="13" t="str">
        <f aca="false">עזר!M746</f>
        <v/>
      </c>
    </row>
    <row r="747" customFormat="false" ht="15" hidden="false" customHeight="false" outlineLevel="0" collapsed="false">
      <c r="A747" s="13" t="str">
        <f aca="false">IF(עזר!L747="","",INDEX(עזר!$A$2:$A$5001,עזר!L747))</f>
        <v/>
      </c>
      <c r="B747" s="13" t="str">
        <f aca="false">IF(עזר!L747="","",INDEX(עזר!$B$2:$B$5001,עזר!L747))</f>
        <v/>
      </c>
      <c r="C747" s="13" t="str">
        <f aca="false">עזר!M747</f>
        <v/>
      </c>
    </row>
    <row r="748" customFormat="false" ht="15" hidden="false" customHeight="false" outlineLevel="0" collapsed="false">
      <c r="A748" s="13" t="str">
        <f aca="false">IF(עזר!L748="","",INDEX(עזר!$A$2:$A$5001,עזר!L748))</f>
        <v/>
      </c>
      <c r="B748" s="13" t="str">
        <f aca="false">IF(עזר!L748="","",INDEX(עזר!$B$2:$B$5001,עזר!L748))</f>
        <v/>
      </c>
      <c r="C748" s="13" t="str">
        <f aca="false">עזר!M748</f>
        <v/>
      </c>
    </row>
    <row r="749" customFormat="false" ht="15" hidden="false" customHeight="false" outlineLevel="0" collapsed="false">
      <c r="A749" s="13" t="str">
        <f aca="false">IF(עזר!L749="","",INDEX(עזר!$A$2:$A$5001,עזר!L749))</f>
        <v/>
      </c>
      <c r="B749" s="13" t="str">
        <f aca="false">IF(עזר!L749="","",INDEX(עזר!$B$2:$B$5001,עזר!L749))</f>
        <v/>
      </c>
      <c r="C749" s="13" t="str">
        <f aca="false">עזר!M749</f>
        <v/>
      </c>
    </row>
    <row r="750" customFormat="false" ht="15" hidden="false" customHeight="false" outlineLevel="0" collapsed="false">
      <c r="A750" s="13" t="str">
        <f aca="false">IF(עזר!L750="","",INDEX(עזר!$A$2:$A$5001,עזר!L750))</f>
        <v/>
      </c>
      <c r="B750" s="13" t="str">
        <f aca="false">IF(עזר!L750="","",INDEX(עזר!$B$2:$B$5001,עזר!L750))</f>
        <v/>
      </c>
      <c r="C750" s="13" t="str">
        <f aca="false">עזר!M750</f>
        <v/>
      </c>
    </row>
    <row r="751" customFormat="false" ht="15" hidden="false" customHeight="false" outlineLevel="0" collapsed="false">
      <c r="A751" s="13" t="str">
        <f aca="false">IF(עזר!L751="","",INDEX(עזר!$A$2:$A$5001,עזר!L751))</f>
        <v/>
      </c>
      <c r="B751" s="13" t="str">
        <f aca="false">IF(עזר!L751="","",INDEX(עזר!$B$2:$B$5001,עזר!L751))</f>
        <v/>
      </c>
      <c r="C751" s="13" t="str">
        <f aca="false">עזר!M751</f>
        <v/>
      </c>
    </row>
    <row r="752" customFormat="false" ht="15" hidden="false" customHeight="false" outlineLevel="0" collapsed="false">
      <c r="A752" s="13" t="str">
        <f aca="false">IF(עזר!L752="","",INDEX(עזר!$A$2:$A$5001,עזר!L752))</f>
        <v/>
      </c>
      <c r="B752" s="13" t="str">
        <f aca="false">IF(עזר!L752="","",INDEX(עזר!$B$2:$B$5001,עזר!L752))</f>
        <v/>
      </c>
      <c r="C752" s="13" t="str">
        <f aca="false">עזר!M752</f>
        <v/>
      </c>
    </row>
    <row r="753" customFormat="false" ht="15" hidden="false" customHeight="false" outlineLevel="0" collapsed="false">
      <c r="A753" s="13" t="str">
        <f aca="false">IF(עזר!L753="","",INDEX(עזר!$A$2:$A$5001,עזר!L753))</f>
        <v/>
      </c>
      <c r="B753" s="13" t="str">
        <f aca="false">IF(עזר!L753="","",INDEX(עזר!$B$2:$B$5001,עזר!L753))</f>
        <v/>
      </c>
      <c r="C753" s="13" t="str">
        <f aca="false">עזר!M753</f>
        <v/>
      </c>
    </row>
    <row r="754" customFormat="false" ht="15" hidden="false" customHeight="false" outlineLevel="0" collapsed="false">
      <c r="A754" s="13" t="str">
        <f aca="false">IF(עזר!L754="","",INDEX(עזר!$A$2:$A$5001,עזר!L754))</f>
        <v/>
      </c>
      <c r="B754" s="13" t="str">
        <f aca="false">IF(עזר!L754="","",INDEX(עזר!$B$2:$B$5001,עזר!L754))</f>
        <v/>
      </c>
      <c r="C754" s="13" t="str">
        <f aca="false">עזר!M754</f>
        <v/>
      </c>
    </row>
    <row r="755" customFormat="false" ht="15" hidden="false" customHeight="false" outlineLevel="0" collapsed="false">
      <c r="A755" s="13" t="str">
        <f aca="false">IF(עזר!L755="","",INDEX(עזר!$A$2:$A$5001,עזר!L755))</f>
        <v/>
      </c>
      <c r="B755" s="13" t="str">
        <f aca="false">IF(עזר!L755="","",INDEX(עזר!$B$2:$B$5001,עזר!L755))</f>
        <v/>
      </c>
      <c r="C755" s="13" t="str">
        <f aca="false">עזר!M755</f>
        <v/>
      </c>
    </row>
    <row r="756" customFormat="false" ht="15" hidden="false" customHeight="false" outlineLevel="0" collapsed="false">
      <c r="A756" s="13" t="str">
        <f aca="false">IF(עזר!L756="","",INDEX(עזר!$A$2:$A$5001,עזר!L756))</f>
        <v/>
      </c>
      <c r="B756" s="13" t="str">
        <f aca="false">IF(עזר!L756="","",INDEX(עזר!$B$2:$B$5001,עזר!L756))</f>
        <v/>
      </c>
      <c r="C756" s="13" t="str">
        <f aca="false">עזר!M756</f>
        <v/>
      </c>
    </row>
    <row r="757" customFormat="false" ht="15" hidden="false" customHeight="false" outlineLevel="0" collapsed="false">
      <c r="A757" s="13" t="str">
        <f aca="false">IF(עזר!L757="","",INDEX(עזר!$A$2:$A$5001,עזר!L757))</f>
        <v/>
      </c>
      <c r="B757" s="13" t="str">
        <f aca="false">IF(עזר!L757="","",INDEX(עזר!$B$2:$B$5001,עזר!L757))</f>
        <v/>
      </c>
      <c r="C757" s="13" t="str">
        <f aca="false">עזר!M757</f>
        <v/>
      </c>
    </row>
    <row r="758" customFormat="false" ht="15" hidden="false" customHeight="false" outlineLevel="0" collapsed="false">
      <c r="A758" s="13" t="str">
        <f aca="false">IF(עזר!L758="","",INDEX(עזר!$A$2:$A$5001,עזר!L758))</f>
        <v/>
      </c>
      <c r="B758" s="13" t="str">
        <f aca="false">IF(עזר!L758="","",INDEX(עזר!$B$2:$B$5001,עזר!L758))</f>
        <v/>
      </c>
      <c r="C758" s="13" t="str">
        <f aca="false">עזר!M758</f>
        <v/>
      </c>
    </row>
    <row r="759" customFormat="false" ht="15" hidden="false" customHeight="false" outlineLevel="0" collapsed="false">
      <c r="A759" s="13" t="str">
        <f aca="false">IF(עזר!L759="","",INDEX(עזר!$A$2:$A$5001,עזר!L759))</f>
        <v/>
      </c>
      <c r="B759" s="13" t="str">
        <f aca="false">IF(עזר!L759="","",INDEX(עזר!$B$2:$B$5001,עזר!L759))</f>
        <v/>
      </c>
      <c r="C759" s="13" t="str">
        <f aca="false">עזר!M759</f>
        <v/>
      </c>
    </row>
    <row r="760" customFormat="false" ht="15" hidden="false" customHeight="false" outlineLevel="0" collapsed="false">
      <c r="A760" s="13" t="str">
        <f aca="false">IF(עזר!L760="","",INDEX(עזר!$A$2:$A$5001,עזר!L760))</f>
        <v/>
      </c>
      <c r="B760" s="13" t="str">
        <f aca="false">IF(עזר!L760="","",INDEX(עזר!$B$2:$B$5001,עזר!L760))</f>
        <v/>
      </c>
      <c r="C760" s="13" t="str">
        <f aca="false">עזר!M760</f>
        <v/>
      </c>
    </row>
    <row r="761" customFormat="false" ht="15" hidden="false" customHeight="false" outlineLevel="0" collapsed="false">
      <c r="A761" s="13" t="str">
        <f aca="false">IF(עזר!L761="","",INDEX(עזר!$A$2:$A$5001,עזר!L761))</f>
        <v/>
      </c>
      <c r="B761" s="13" t="str">
        <f aca="false">IF(עזר!L761="","",INDEX(עזר!$B$2:$B$5001,עזר!L761))</f>
        <v/>
      </c>
      <c r="C761" s="13" t="str">
        <f aca="false">עזר!M761</f>
        <v/>
      </c>
    </row>
    <row r="762" customFormat="false" ht="15" hidden="false" customHeight="false" outlineLevel="0" collapsed="false">
      <c r="A762" s="13" t="str">
        <f aca="false">IF(עזר!L762="","",INDEX(עזר!$A$2:$A$5001,עזר!L762))</f>
        <v/>
      </c>
      <c r="B762" s="13" t="str">
        <f aca="false">IF(עזר!L762="","",INDEX(עזר!$B$2:$B$5001,עזר!L762))</f>
        <v/>
      </c>
      <c r="C762" s="13" t="str">
        <f aca="false">עזר!M762</f>
        <v/>
      </c>
    </row>
    <row r="763" customFormat="false" ht="15" hidden="false" customHeight="false" outlineLevel="0" collapsed="false">
      <c r="A763" s="13" t="str">
        <f aca="false">IF(עזר!L763="","",INDEX(עזר!$A$2:$A$5001,עזר!L763))</f>
        <v/>
      </c>
      <c r="B763" s="13" t="str">
        <f aca="false">IF(עזר!L763="","",INDEX(עזר!$B$2:$B$5001,עזר!L763))</f>
        <v/>
      </c>
      <c r="C763" s="13" t="str">
        <f aca="false">עזר!M763</f>
        <v/>
      </c>
    </row>
    <row r="764" customFormat="false" ht="15" hidden="false" customHeight="false" outlineLevel="0" collapsed="false">
      <c r="A764" s="13" t="str">
        <f aca="false">IF(עזר!L764="","",INDEX(עזר!$A$2:$A$5001,עזר!L764))</f>
        <v/>
      </c>
      <c r="B764" s="13" t="str">
        <f aca="false">IF(עזר!L764="","",INDEX(עזר!$B$2:$B$5001,עזר!L764))</f>
        <v/>
      </c>
      <c r="C764" s="13" t="str">
        <f aca="false">עזר!M764</f>
        <v/>
      </c>
    </row>
    <row r="765" customFormat="false" ht="15" hidden="false" customHeight="false" outlineLevel="0" collapsed="false">
      <c r="A765" s="13" t="str">
        <f aca="false">IF(עזר!L765="","",INDEX(עזר!$A$2:$A$5001,עזר!L765))</f>
        <v/>
      </c>
      <c r="B765" s="13" t="str">
        <f aca="false">IF(עזר!L765="","",INDEX(עזר!$B$2:$B$5001,עזר!L765))</f>
        <v/>
      </c>
      <c r="C765" s="13" t="str">
        <f aca="false">עזר!M765</f>
        <v/>
      </c>
    </row>
    <row r="766" customFormat="false" ht="15" hidden="false" customHeight="false" outlineLevel="0" collapsed="false">
      <c r="A766" s="13" t="str">
        <f aca="false">IF(עזר!L766="","",INDEX(עזר!$A$2:$A$5001,עזר!L766))</f>
        <v/>
      </c>
      <c r="B766" s="13" t="str">
        <f aca="false">IF(עזר!L766="","",INDEX(עזר!$B$2:$B$5001,עזר!L766))</f>
        <v/>
      </c>
      <c r="C766" s="13" t="str">
        <f aca="false">עזר!M766</f>
        <v/>
      </c>
    </row>
    <row r="767" customFormat="false" ht="15" hidden="false" customHeight="false" outlineLevel="0" collapsed="false">
      <c r="A767" s="13" t="str">
        <f aca="false">IF(עזר!L767="","",INDEX(עזר!$A$2:$A$5001,עזר!L767))</f>
        <v/>
      </c>
      <c r="B767" s="13" t="str">
        <f aca="false">IF(עזר!L767="","",INDEX(עזר!$B$2:$B$5001,עזר!L767))</f>
        <v/>
      </c>
      <c r="C767" s="13" t="str">
        <f aca="false">עזר!M767</f>
        <v/>
      </c>
    </row>
    <row r="768" customFormat="false" ht="15" hidden="false" customHeight="false" outlineLevel="0" collapsed="false">
      <c r="A768" s="13" t="str">
        <f aca="false">IF(עזר!L768="","",INDEX(עזר!$A$2:$A$5001,עזר!L768))</f>
        <v/>
      </c>
      <c r="B768" s="13" t="str">
        <f aca="false">IF(עזר!L768="","",INDEX(עזר!$B$2:$B$5001,עזר!L768))</f>
        <v/>
      </c>
      <c r="C768" s="13" t="str">
        <f aca="false">עזר!M768</f>
        <v/>
      </c>
    </row>
    <row r="769" customFormat="false" ht="15" hidden="false" customHeight="false" outlineLevel="0" collapsed="false">
      <c r="A769" s="13" t="str">
        <f aca="false">IF(עזר!L769="","",INDEX(עזר!$A$2:$A$5001,עזר!L769))</f>
        <v/>
      </c>
      <c r="B769" s="13" t="str">
        <f aca="false">IF(עזר!L769="","",INDEX(עזר!$B$2:$B$5001,עזר!L769))</f>
        <v/>
      </c>
      <c r="C769" s="13" t="str">
        <f aca="false">עזר!M769</f>
        <v/>
      </c>
    </row>
    <row r="770" customFormat="false" ht="15" hidden="false" customHeight="false" outlineLevel="0" collapsed="false">
      <c r="A770" s="13" t="str">
        <f aca="false">IF(עזר!L770="","",INDEX(עזר!$A$2:$A$5001,עזר!L770))</f>
        <v/>
      </c>
      <c r="B770" s="13" t="str">
        <f aca="false">IF(עזר!L770="","",INDEX(עזר!$B$2:$B$5001,עזר!L770))</f>
        <v/>
      </c>
      <c r="C770" s="13" t="str">
        <f aca="false">עזר!M770</f>
        <v/>
      </c>
    </row>
    <row r="771" customFormat="false" ht="15" hidden="false" customHeight="false" outlineLevel="0" collapsed="false">
      <c r="A771" s="13" t="str">
        <f aca="false">IF(עזר!L771="","",INDEX(עזר!$A$2:$A$5001,עזר!L771))</f>
        <v/>
      </c>
      <c r="B771" s="13" t="str">
        <f aca="false">IF(עזר!L771="","",INDEX(עזר!$B$2:$B$5001,עזר!L771))</f>
        <v/>
      </c>
      <c r="C771" s="13" t="str">
        <f aca="false">עזר!M771</f>
        <v/>
      </c>
    </row>
    <row r="772" customFormat="false" ht="15" hidden="false" customHeight="false" outlineLevel="0" collapsed="false">
      <c r="A772" s="13" t="str">
        <f aca="false">IF(עזר!L772="","",INDEX(עזר!$A$2:$A$5001,עזר!L772))</f>
        <v/>
      </c>
      <c r="B772" s="13" t="str">
        <f aca="false">IF(עזר!L772="","",INDEX(עזר!$B$2:$B$5001,עזר!L772))</f>
        <v/>
      </c>
      <c r="C772" s="13" t="str">
        <f aca="false">עזר!M772</f>
        <v/>
      </c>
    </row>
    <row r="773" customFormat="false" ht="15" hidden="false" customHeight="false" outlineLevel="0" collapsed="false">
      <c r="A773" s="13" t="str">
        <f aca="false">IF(עזר!L773="","",INDEX(עזר!$A$2:$A$5001,עזר!L773))</f>
        <v/>
      </c>
      <c r="B773" s="13" t="str">
        <f aca="false">IF(עזר!L773="","",INDEX(עזר!$B$2:$B$5001,עזר!L773))</f>
        <v/>
      </c>
      <c r="C773" s="13" t="str">
        <f aca="false">עזר!M773</f>
        <v/>
      </c>
    </row>
    <row r="774" customFormat="false" ht="15" hidden="false" customHeight="false" outlineLevel="0" collapsed="false">
      <c r="A774" s="13" t="str">
        <f aca="false">IF(עזר!L774="","",INDEX(עזר!$A$2:$A$5001,עזר!L774))</f>
        <v/>
      </c>
      <c r="B774" s="13" t="str">
        <f aca="false">IF(עזר!L774="","",INDEX(עזר!$B$2:$B$5001,עזר!L774))</f>
        <v/>
      </c>
      <c r="C774" s="13" t="str">
        <f aca="false">עזר!M774</f>
        <v/>
      </c>
    </row>
    <row r="775" customFormat="false" ht="15" hidden="false" customHeight="false" outlineLevel="0" collapsed="false">
      <c r="A775" s="13" t="str">
        <f aca="false">IF(עזר!L775="","",INDEX(עזר!$A$2:$A$5001,עזר!L775))</f>
        <v/>
      </c>
      <c r="B775" s="13" t="str">
        <f aca="false">IF(עזר!L775="","",INDEX(עזר!$B$2:$B$5001,עזר!L775))</f>
        <v/>
      </c>
      <c r="C775" s="13" t="str">
        <f aca="false">עזר!M775</f>
        <v/>
      </c>
    </row>
    <row r="776" customFormat="false" ht="15" hidden="false" customHeight="false" outlineLevel="0" collapsed="false">
      <c r="A776" s="13" t="str">
        <f aca="false">IF(עזר!L776="","",INDEX(עזר!$A$2:$A$5001,עזר!L776))</f>
        <v/>
      </c>
      <c r="B776" s="13" t="str">
        <f aca="false">IF(עזר!L776="","",INDEX(עזר!$B$2:$B$5001,עזר!L776))</f>
        <v/>
      </c>
      <c r="C776" s="13" t="str">
        <f aca="false">עזר!M776</f>
        <v/>
      </c>
    </row>
    <row r="777" customFormat="false" ht="15" hidden="false" customHeight="false" outlineLevel="0" collapsed="false">
      <c r="A777" s="13" t="str">
        <f aca="false">IF(עזר!L777="","",INDEX(עזר!$A$2:$A$5001,עזר!L777))</f>
        <v/>
      </c>
      <c r="B777" s="13" t="str">
        <f aca="false">IF(עזר!L777="","",INDEX(עזר!$B$2:$B$5001,עזר!L777))</f>
        <v/>
      </c>
      <c r="C777" s="13" t="str">
        <f aca="false">עזר!M777</f>
        <v/>
      </c>
    </row>
    <row r="778" customFormat="false" ht="15" hidden="false" customHeight="false" outlineLevel="0" collapsed="false">
      <c r="A778" s="13" t="str">
        <f aca="false">IF(עזר!L778="","",INDEX(עזר!$A$2:$A$5001,עזר!L778))</f>
        <v/>
      </c>
      <c r="B778" s="13" t="str">
        <f aca="false">IF(עזר!L778="","",INDEX(עזר!$B$2:$B$5001,עזר!L778))</f>
        <v/>
      </c>
      <c r="C778" s="13" t="str">
        <f aca="false">עזר!M778</f>
        <v/>
      </c>
    </row>
    <row r="779" customFormat="false" ht="15" hidden="false" customHeight="false" outlineLevel="0" collapsed="false">
      <c r="A779" s="13" t="str">
        <f aca="false">IF(עזר!L779="","",INDEX(עזר!$A$2:$A$5001,עזר!L779))</f>
        <v/>
      </c>
      <c r="B779" s="13" t="str">
        <f aca="false">IF(עזר!L779="","",INDEX(עזר!$B$2:$B$5001,עזר!L779))</f>
        <v/>
      </c>
      <c r="C779" s="13" t="str">
        <f aca="false">עזר!M779</f>
        <v/>
      </c>
    </row>
    <row r="780" customFormat="false" ht="15" hidden="false" customHeight="false" outlineLevel="0" collapsed="false">
      <c r="A780" s="13" t="str">
        <f aca="false">IF(עזר!L780="","",INDEX(עזר!$A$2:$A$5001,עזר!L780))</f>
        <v/>
      </c>
      <c r="B780" s="13" t="str">
        <f aca="false">IF(עזר!L780="","",INDEX(עזר!$B$2:$B$5001,עזר!L780))</f>
        <v/>
      </c>
      <c r="C780" s="13" t="str">
        <f aca="false">עזר!M780</f>
        <v/>
      </c>
    </row>
    <row r="781" customFormat="false" ht="15" hidden="false" customHeight="false" outlineLevel="0" collapsed="false">
      <c r="A781" s="13" t="str">
        <f aca="false">IF(עזר!L781="","",INDEX(עזר!$A$2:$A$5001,עזר!L781))</f>
        <v/>
      </c>
      <c r="B781" s="13" t="str">
        <f aca="false">IF(עזר!L781="","",INDEX(עזר!$B$2:$B$5001,עזר!L781))</f>
        <v/>
      </c>
      <c r="C781" s="13" t="str">
        <f aca="false">עזר!M781</f>
        <v/>
      </c>
    </row>
    <row r="782" customFormat="false" ht="15" hidden="false" customHeight="false" outlineLevel="0" collapsed="false">
      <c r="A782" s="13" t="str">
        <f aca="false">IF(עזר!L782="","",INDEX(עזר!$A$2:$A$5001,עזר!L782))</f>
        <v/>
      </c>
      <c r="B782" s="13" t="str">
        <f aca="false">IF(עזר!L782="","",INDEX(עזר!$B$2:$B$5001,עזר!L782))</f>
        <v/>
      </c>
      <c r="C782" s="13" t="str">
        <f aca="false">עזר!M782</f>
        <v/>
      </c>
    </row>
    <row r="783" customFormat="false" ht="15" hidden="false" customHeight="false" outlineLevel="0" collapsed="false">
      <c r="A783" s="13" t="str">
        <f aca="false">IF(עזר!L783="","",INDEX(עזר!$A$2:$A$5001,עזר!L783))</f>
        <v/>
      </c>
      <c r="B783" s="13" t="str">
        <f aca="false">IF(עזר!L783="","",INDEX(עזר!$B$2:$B$5001,עזר!L783))</f>
        <v/>
      </c>
      <c r="C783" s="13" t="str">
        <f aca="false">עזר!M783</f>
        <v/>
      </c>
    </row>
    <row r="784" customFormat="false" ht="15" hidden="false" customHeight="false" outlineLevel="0" collapsed="false">
      <c r="A784" s="13" t="str">
        <f aca="false">IF(עזר!L784="","",INDEX(עזר!$A$2:$A$5001,עזר!L784))</f>
        <v/>
      </c>
      <c r="B784" s="13" t="str">
        <f aca="false">IF(עזר!L784="","",INDEX(עזר!$B$2:$B$5001,עזר!L784))</f>
        <v/>
      </c>
      <c r="C784" s="13" t="str">
        <f aca="false">עזר!M784</f>
        <v/>
      </c>
    </row>
    <row r="785" customFormat="false" ht="15" hidden="false" customHeight="false" outlineLevel="0" collapsed="false">
      <c r="A785" s="13" t="str">
        <f aca="false">IF(עזר!L785="","",INDEX(עזר!$A$2:$A$5001,עזר!L785))</f>
        <v/>
      </c>
      <c r="B785" s="13" t="str">
        <f aca="false">IF(עזר!L785="","",INDEX(עזר!$B$2:$B$5001,עזר!L785))</f>
        <v/>
      </c>
      <c r="C785" s="13" t="str">
        <f aca="false">עזר!M785</f>
        <v/>
      </c>
    </row>
    <row r="786" customFormat="false" ht="15" hidden="false" customHeight="false" outlineLevel="0" collapsed="false">
      <c r="A786" s="13" t="str">
        <f aca="false">IF(עזר!L786="","",INDEX(עזר!$A$2:$A$5001,עזר!L786))</f>
        <v/>
      </c>
      <c r="B786" s="13" t="str">
        <f aca="false">IF(עזר!L786="","",INDEX(עזר!$B$2:$B$5001,עזר!L786))</f>
        <v/>
      </c>
      <c r="C786" s="13" t="str">
        <f aca="false">עזר!M786</f>
        <v/>
      </c>
    </row>
    <row r="787" customFormat="false" ht="15" hidden="false" customHeight="false" outlineLevel="0" collapsed="false">
      <c r="A787" s="13" t="str">
        <f aca="false">IF(עזר!L787="","",INDEX(עזר!$A$2:$A$5001,עזר!L787))</f>
        <v/>
      </c>
      <c r="B787" s="13" t="str">
        <f aca="false">IF(עזר!L787="","",INDEX(עזר!$B$2:$B$5001,עזר!L787))</f>
        <v/>
      </c>
      <c r="C787" s="13" t="str">
        <f aca="false">עזר!M787</f>
        <v/>
      </c>
    </row>
    <row r="788" customFormat="false" ht="15" hidden="false" customHeight="false" outlineLevel="0" collapsed="false">
      <c r="A788" s="13" t="str">
        <f aca="false">IF(עזר!L788="","",INDEX(עזר!$A$2:$A$5001,עזר!L788))</f>
        <v/>
      </c>
      <c r="B788" s="13" t="str">
        <f aca="false">IF(עזר!L788="","",INDEX(עזר!$B$2:$B$5001,עזר!L788))</f>
        <v/>
      </c>
      <c r="C788" s="13" t="str">
        <f aca="false">עזר!M788</f>
        <v/>
      </c>
    </row>
    <row r="789" customFormat="false" ht="15" hidden="false" customHeight="false" outlineLevel="0" collapsed="false">
      <c r="A789" s="13" t="str">
        <f aca="false">IF(עזר!L789="","",INDEX(עזר!$A$2:$A$5001,עזר!L789))</f>
        <v/>
      </c>
      <c r="B789" s="13" t="str">
        <f aca="false">IF(עזר!L789="","",INDEX(עזר!$B$2:$B$5001,עזר!L789))</f>
        <v/>
      </c>
      <c r="C789" s="13" t="str">
        <f aca="false">עזר!M789</f>
        <v/>
      </c>
    </row>
    <row r="790" customFormat="false" ht="15" hidden="false" customHeight="false" outlineLevel="0" collapsed="false">
      <c r="A790" s="13" t="str">
        <f aca="false">IF(עזר!L790="","",INDEX(עזר!$A$2:$A$5001,עזר!L790))</f>
        <v/>
      </c>
      <c r="B790" s="13" t="str">
        <f aca="false">IF(עזר!L790="","",INDEX(עזר!$B$2:$B$5001,עזר!L790))</f>
        <v/>
      </c>
      <c r="C790" s="13" t="str">
        <f aca="false">עזר!M790</f>
        <v/>
      </c>
    </row>
    <row r="791" customFormat="false" ht="15" hidden="false" customHeight="false" outlineLevel="0" collapsed="false">
      <c r="A791" s="13" t="str">
        <f aca="false">IF(עזר!L791="","",INDEX(עזר!$A$2:$A$5001,עזר!L791))</f>
        <v/>
      </c>
      <c r="B791" s="13" t="str">
        <f aca="false">IF(עזר!L791="","",INDEX(עזר!$B$2:$B$5001,עזר!L791))</f>
        <v/>
      </c>
      <c r="C791" s="13" t="str">
        <f aca="false">עזר!M791</f>
        <v/>
      </c>
    </row>
    <row r="792" customFormat="false" ht="15" hidden="false" customHeight="false" outlineLevel="0" collapsed="false">
      <c r="A792" s="13" t="str">
        <f aca="false">IF(עזר!L792="","",INDEX(עזר!$A$2:$A$5001,עזר!L792))</f>
        <v/>
      </c>
      <c r="B792" s="13" t="str">
        <f aca="false">IF(עזר!L792="","",INDEX(עזר!$B$2:$B$5001,עזר!L792))</f>
        <v/>
      </c>
      <c r="C792" s="13" t="str">
        <f aca="false">עזר!M792</f>
        <v/>
      </c>
    </row>
    <row r="793" customFormat="false" ht="15" hidden="false" customHeight="false" outlineLevel="0" collapsed="false">
      <c r="A793" s="13" t="str">
        <f aca="false">IF(עזר!L793="","",INDEX(עזר!$A$2:$A$5001,עזר!L793))</f>
        <v/>
      </c>
      <c r="B793" s="13" t="str">
        <f aca="false">IF(עזר!L793="","",INDEX(עזר!$B$2:$B$5001,עזר!L793))</f>
        <v/>
      </c>
      <c r="C793" s="13" t="str">
        <f aca="false">עזר!M793</f>
        <v/>
      </c>
    </row>
    <row r="794" customFormat="false" ht="15" hidden="false" customHeight="false" outlineLevel="0" collapsed="false">
      <c r="A794" s="13" t="str">
        <f aca="false">IF(עזר!L794="","",INDEX(עזר!$A$2:$A$5001,עזר!L794))</f>
        <v/>
      </c>
      <c r="B794" s="13" t="str">
        <f aca="false">IF(עזר!L794="","",INDEX(עזר!$B$2:$B$5001,עזר!L794))</f>
        <v/>
      </c>
      <c r="C794" s="13" t="str">
        <f aca="false">עזר!M794</f>
        <v/>
      </c>
    </row>
    <row r="795" customFormat="false" ht="15" hidden="false" customHeight="false" outlineLevel="0" collapsed="false">
      <c r="A795" s="13" t="str">
        <f aca="false">IF(עזר!L795="","",INDEX(עזר!$A$2:$A$5001,עזר!L795))</f>
        <v/>
      </c>
      <c r="B795" s="13" t="str">
        <f aca="false">IF(עזר!L795="","",INDEX(עזר!$B$2:$B$5001,עזר!L795))</f>
        <v/>
      </c>
      <c r="C795" s="13" t="str">
        <f aca="false">עזר!M795</f>
        <v/>
      </c>
    </row>
    <row r="796" customFormat="false" ht="15" hidden="false" customHeight="false" outlineLevel="0" collapsed="false">
      <c r="A796" s="13" t="str">
        <f aca="false">IF(עזר!L796="","",INDEX(עזר!$A$2:$A$5001,עזר!L796))</f>
        <v/>
      </c>
      <c r="B796" s="13" t="str">
        <f aca="false">IF(עזר!L796="","",INDEX(עזר!$B$2:$B$5001,עזר!L796))</f>
        <v/>
      </c>
      <c r="C796" s="13" t="str">
        <f aca="false">עזר!M796</f>
        <v/>
      </c>
    </row>
    <row r="797" customFormat="false" ht="15" hidden="false" customHeight="false" outlineLevel="0" collapsed="false">
      <c r="A797" s="13" t="str">
        <f aca="false">IF(עזר!L797="","",INDEX(עזר!$A$2:$A$5001,עזר!L797))</f>
        <v/>
      </c>
      <c r="B797" s="13" t="str">
        <f aca="false">IF(עזר!L797="","",INDEX(עזר!$B$2:$B$5001,עזר!L797))</f>
        <v/>
      </c>
      <c r="C797" s="13" t="str">
        <f aca="false">עזר!M797</f>
        <v/>
      </c>
    </row>
    <row r="798" customFormat="false" ht="15" hidden="false" customHeight="false" outlineLevel="0" collapsed="false">
      <c r="A798" s="13" t="str">
        <f aca="false">IF(עזר!L798="","",INDEX(עזר!$A$2:$A$5001,עזר!L798))</f>
        <v/>
      </c>
      <c r="B798" s="13" t="str">
        <f aca="false">IF(עזר!L798="","",INDEX(עזר!$B$2:$B$5001,עזר!L798))</f>
        <v/>
      </c>
      <c r="C798" s="13" t="str">
        <f aca="false">עזר!M798</f>
        <v/>
      </c>
    </row>
    <row r="799" customFormat="false" ht="15" hidden="false" customHeight="false" outlineLevel="0" collapsed="false">
      <c r="A799" s="13" t="str">
        <f aca="false">IF(עזר!L799="","",INDEX(עזר!$A$2:$A$5001,עזר!L799))</f>
        <v/>
      </c>
      <c r="B799" s="13" t="str">
        <f aca="false">IF(עזר!L799="","",INDEX(עזר!$B$2:$B$5001,עזר!L799))</f>
        <v/>
      </c>
      <c r="C799" s="13" t="str">
        <f aca="false">עזר!M799</f>
        <v/>
      </c>
    </row>
    <row r="800" customFormat="false" ht="15" hidden="false" customHeight="false" outlineLevel="0" collapsed="false">
      <c r="A800" s="13" t="str">
        <f aca="false">IF(עזר!L800="","",INDEX(עזר!$A$2:$A$5001,עזר!L800))</f>
        <v/>
      </c>
      <c r="B800" s="13" t="str">
        <f aca="false">IF(עזר!L800="","",INDEX(עזר!$B$2:$B$5001,עזר!L800))</f>
        <v/>
      </c>
      <c r="C800" s="13" t="str">
        <f aca="false">עזר!M800</f>
        <v/>
      </c>
    </row>
    <row r="801" customFormat="false" ht="15" hidden="false" customHeight="false" outlineLevel="0" collapsed="false">
      <c r="A801" s="13" t="str">
        <f aca="false">IF(עזר!L801="","",INDEX(עזר!$A$2:$A$5001,עזר!L801))</f>
        <v/>
      </c>
      <c r="B801" s="13" t="str">
        <f aca="false">IF(עזר!L801="","",INDEX(עזר!$B$2:$B$5001,עזר!L801))</f>
        <v/>
      </c>
      <c r="C801" s="13" t="str">
        <f aca="false">עזר!M801</f>
        <v/>
      </c>
    </row>
    <row r="802" customFormat="false" ht="15" hidden="false" customHeight="false" outlineLevel="0" collapsed="false">
      <c r="A802" s="13" t="str">
        <f aca="false">IF(עזר!L802="","",INDEX(עזר!$A$2:$A$5001,עזר!L802))</f>
        <v/>
      </c>
      <c r="B802" s="13" t="str">
        <f aca="false">IF(עזר!L802="","",INDEX(עזר!$B$2:$B$5001,עזר!L802))</f>
        <v/>
      </c>
      <c r="C802" s="13" t="str">
        <f aca="false">עזר!M802</f>
        <v/>
      </c>
    </row>
    <row r="803" customFormat="false" ht="15" hidden="false" customHeight="false" outlineLevel="0" collapsed="false">
      <c r="A803" s="13" t="str">
        <f aca="false">IF(עזר!L803="","",INDEX(עזר!$A$2:$A$5001,עזר!L803))</f>
        <v/>
      </c>
      <c r="B803" s="13" t="str">
        <f aca="false">IF(עזר!L803="","",INDEX(עזר!$B$2:$B$5001,עזר!L803))</f>
        <v/>
      </c>
      <c r="C803" s="13" t="str">
        <f aca="false">עזר!M803</f>
        <v/>
      </c>
    </row>
    <row r="804" customFormat="false" ht="15" hidden="false" customHeight="false" outlineLevel="0" collapsed="false">
      <c r="A804" s="13" t="str">
        <f aca="false">IF(עזר!L804="","",INDEX(עזר!$A$2:$A$5001,עזר!L804))</f>
        <v/>
      </c>
      <c r="B804" s="13" t="str">
        <f aca="false">IF(עזר!L804="","",INDEX(עזר!$B$2:$B$5001,עזר!L804))</f>
        <v/>
      </c>
      <c r="C804" s="13" t="str">
        <f aca="false">עזר!M804</f>
        <v/>
      </c>
    </row>
    <row r="805" customFormat="false" ht="15" hidden="false" customHeight="false" outlineLevel="0" collapsed="false">
      <c r="A805" s="13" t="str">
        <f aca="false">IF(עזר!L805="","",INDEX(עזר!$A$2:$A$5001,עזר!L805))</f>
        <v/>
      </c>
      <c r="B805" s="13" t="str">
        <f aca="false">IF(עזר!L805="","",INDEX(עזר!$B$2:$B$5001,עזר!L805))</f>
        <v/>
      </c>
      <c r="C805" s="13" t="str">
        <f aca="false">עזר!M805</f>
        <v/>
      </c>
    </row>
    <row r="806" customFormat="false" ht="15" hidden="false" customHeight="false" outlineLevel="0" collapsed="false">
      <c r="A806" s="13" t="str">
        <f aca="false">IF(עזר!L806="","",INDEX(עזר!$A$2:$A$5001,עזר!L806))</f>
        <v/>
      </c>
      <c r="B806" s="13" t="str">
        <f aca="false">IF(עזר!L806="","",INDEX(עזר!$B$2:$B$5001,עזר!L806))</f>
        <v/>
      </c>
      <c r="C806" s="13" t="str">
        <f aca="false">עזר!M806</f>
        <v/>
      </c>
    </row>
    <row r="807" customFormat="false" ht="15" hidden="false" customHeight="false" outlineLevel="0" collapsed="false">
      <c r="A807" s="13" t="str">
        <f aca="false">IF(עזר!L807="","",INDEX(עזר!$A$2:$A$5001,עזר!L807))</f>
        <v/>
      </c>
      <c r="B807" s="13" t="str">
        <f aca="false">IF(עזר!L807="","",INDEX(עזר!$B$2:$B$5001,עזר!L807))</f>
        <v/>
      </c>
      <c r="C807" s="13" t="str">
        <f aca="false">עזר!M807</f>
        <v/>
      </c>
    </row>
    <row r="808" customFormat="false" ht="15" hidden="false" customHeight="false" outlineLevel="0" collapsed="false">
      <c r="A808" s="13" t="str">
        <f aca="false">IF(עזר!L808="","",INDEX(עזר!$A$2:$A$5001,עזר!L808))</f>
        <v/>
      </c>
      <c r="B808" s="13" t="str">
        <f aca="false">IF(עזר!L808="","",INDEX(עזר!$B$2:$B$5001,עזר!L808))</f>
        <v/>
      </c>
      <c r="C808" s="13" t="str">
        <f aca="false">עזר!M808</f>
        <v/>
      </c>
    </row>
    <row r="809" customFormat="false" ht="15" hidden="false" customHeight="false" outlineLevel="0" collapsed="false">
      <c r="A809" s="13" t="str">
        <f aca="false">IF(עזר!L809="","",INDEX(עזר!$A$2:$A$5001,עזר!L809))</f>
        <v/>
      </c>
      <c r="B809" s="13" t="str">
        <f aca="false">IF(עזר!L809="","",INDEX(עזר!$B$2:$B$5001,עזר!L809))</f>
        <v/>
      </c>
      <c r="C809" s="13" t="str">
        <f aca="false">עזר!M809</f>
        <v/>
      </c>
    </row>
    <row r="810" customFormat="false" ht="15" hidden="false" customHeight="false" outlineLevel="0" collapsed="false">
      <c r="A810" s="13" t="str">
        <f aca="false">IF(עזר!L810="","",INDEX(עזר!$A$2:$A$5001,עזר!L810))</f>
        <v/>
      </c>
      <c r="B810" s="13" t="str">
        <f aca="false">IF(עזר!L810="","",INDEX(עזר!$B$2:$B$5001,עזר!L810))</f>
        <v/>
      </c>
      <c r="C810" s="13" t="str">
        <f aca="false">עזר!M810</f>
        <v/>
      </c>
    </row>
    <row r="811" customFormat="false" ht="15" hidden="false" customHeight="false" outlineLevel="0" collapsed="false">
      <c r="A811" s="13" t="str">
        <f aca="false">IF(עזר!L811="","",INDEX(עזר!$A$2:$A$5001,עזר!L811))</f>
        <v/>
      </c>
      <c r="B811" s="13" t="str">
        <f aca="false">IF(עזר!L811="","",INDEX(עזר!$B$2:$B$5001,עזר!L811))</f>
        <v/>
      </c>
      <c r="C811" s="13" t="str">
        <f aca="false">עזר!M811</f>
        <v/>
      </c>
    </row>
    <row r="812" customFormat="false" ht="15" hidden="false" customHeight="false" outlineLevel="0" collapsed="false">
      <c r="A812" s="13" t="str">
        <f aca="false">IF(עזר!L812="","",INDEX(עזר!$A$2:$A$5001,עזר!L812))</f>
        <v/>
      </c>
      <c r="B812" s="13" t="str">
        <f aca="false">IF(עזר!L812="","",INDEX(עזר!$B$2:$B$5001,עזר!L812))</f>
        <v/>
      </c>
      <c r="C812" s="13" t="str">
        <f aca="false">עזר!M812</f>
        <v/>
      </c>
    </row>
    <row r="813" customFormat="false" ht="15" hidden="false" customHeight="false" outlineLevel="0" collapsed="false">
      <c r="A813" s="13" t="str">
        <f aca="false">IF(עזר!L813="","",INDEX(עזר!$A$2:$A$5001,עזר!L813))</f>
        <v/>
      </c>
      <c r="B813" s="13" t="str">
        <f aca="false">IF(עזר!L813="","",INDEX(עזר!$B$2:$B$5001,עזר!L813))</f>
        <v/>
      </c>
      <c r="C813" s="13" t="str">
        <f aca="false">עזר!M813</f>
        <v/>
      </c>
    </row>
    <row r="814" customFormat="false" ht="15" hidden="false" customHeight="false" outlineLevel="0" collapsed="false">
      <c r="A814" s="13" t="str">
        <f aca="false">IF(עזר!L814="","",INDEX(עזר!$A$2:$A$5001,עזר!L814))</f>
        <v/>
      </c>
      <c r="B814" s="13" t="str">
        <f aca="false">IF(עזר!L814="","",INDEX(עזר!$B$2:$B$5001,עזר!L814))</f>
        <v/>
      </c>
      <c r="C814" s="13" t="str">
        <f aca="false">עזר!M814</f>
        <v/>
      </c>
    </row>
    <row r="815" customFormat="false" ht="15" hidden="false" customHeight="false" outlineLevel="0" collapsed="false">
      <c r="A815" s="13" t="str">
        <f aca="false">IF(עזר!L815="","",INDEX(עזר!$A$2:$A$5001,עזר!L815))</f>
        <v/>
      </c>
      <c r="B815" s="13" t="str">
        <f aca="false">IF(עזר!L815="","",INDEX(עזר!$B$2:$B$5001,עזר!L815))</f>
        <v/>
      </c>
      <c r="C815" s="13" t="str">
        <f aca="false">עזר!M815</f>
        <v/>
      </c>
    </row>
    <row r="816" customFormat="false" ht="15" hidden="false" customHeight="false" outlineLevel="0" collapsed="false">
      <c r="A816" s="13" t="str">
        <f aca="false">IF(עזר!L816="","",INDEX(עזר!$A$2:$A$5001,עזר!L816))</f>
        <v/>
      </c>
      <c r="B816" s="13" t="str">
        <f aca="false">IF(עזר!L816="","",INDEX(עזר!$B$2:$B$5001,עזר!L816))</f>
        <v/>
      </c>
      <c r="C816" s="13" t="str">
        <f aca="false">עזר!M816</f>
        <v/>
      </c>
    </row>
    <row r="817" customFormat="false" ht="15" hidden="false" customHeight="false" outlineLevel="0" collapsed="false">
      <c r="A817" s="13" t="str">
        <f aca="false">IF(עזר!L817="","",INDEX(עזר!$A$2:$A$5001,עזר!L817))</f>
        <v/>
      </c>
      <c r="B817" s="13" t="str">
        <f aca="false">IF(עזר!L817="","",INDEX(עזר!$B$2:$B$5001,עזר!L817))</f>
        <v/>
      </c>
      <c r="C817" s="13" t="str">
        <f aca="false">עזר!M817</f>
        <v/>
      </c>
    </row>
    <row r="818" customFormat="false" ht="15" hidden="false" customHeight="false" outlineLevel="0" collapsed="false">
      <c r="A818" s="13" t="str">
        <f aca="false">IF(עזר!L818="","",INDEX(עזר!$A$2:$A$5001,עזר!L818))</f>
        <v/>
      </c>
      <c r="B818" s="13" t="str">
        <f aca="false">IF(עזר!L818="","",INDEX(עזר!$B$2:$B$5001,עזר!L818))</f>
        <v/>
      </c>
      <c r="C818" s="13" t="str">
        <f aca="false">עזר!M818</f>
        <v/>
      </c>
    </row>
    <row r="819" customFormat="false" ht="15" hidden="false" customHeight="false" outlineLevel="0" collapsed="false">
      <c r="A819" s="13" t="str">
        <f aca="false">IF(עזר!L819="","",INDEX(עזר!$A$2:$A$5001,עזר!L819))</f>
        <v/>
      </c>
      <c r="B819" s="13" t="str">
        <f aca="false">IF(עזר!L819="","",INDEX(עזר!$B$2:$B$5001,עזר!L819))</f>
        <v/>
      </c>
      <c r="C819" s="13" t="str">
        <f aca="false">עזר!M819</f>
        <v/>
      </c>
    </row>
    <row r="820" customFormat="false" ht="15" hidden="false" customHeight="false" outlineLevel="0" collapsed="false">
      <c r="A820" s="13" t="str">
        <f aca="false">IF(עזר!L820="","",INDEX(עזר!$A$2:$A$5001,עזר!L820))</f>
        <v/>
      </c>
      <c r="B820" s="13" t="str">
        <f aca="false">IF(עזר!L820="","",INDEX(עזר!$B$2:$B$5001,עזר!L820))</f>
        <v/>
      </c>
      <c r="C820" s="13" t="str">
        <f aca="false">עזר!M820</f>
        <v/>
      </c>
    </row>
    <row r="821" customFormat="false" ht="15" hidden="false" customHeight="false" outlineLevel="0" collapsed="false">
      <c r="A821" s="13" t="str">
        <f aca="false">IF(עזר!L821="","",INDEX(עזר!$A$2:$A$5001,עזר!L821))</f>
        <v/>
      </c>
      <c r="B821" s="13" t="str">
        <f aca="false">IF(עזר!L821="","",INDEX(עזר!$B$2:$B$5001,עזר!L821))</f>
        <v/>
      </c>
      <c r="C821" s="13" t="str">
        <f aca="false">עזר!M821</f>
        <v/>
      </c>
    </row>
    <row r="822" customFormat="false" ht="15" hidden="false" customHeight="false" outlineLevel="0" collapsed="false">
      <c r="A822" s="13" t="str">
        <f aca="false">IF(עזר!L822="","",INDEX(עזר!$A$2:$A$5001,עזר!L822))</f>
        <v/>
      </c>
      <c r="B822" s="13" t="str">
        <f aca="false">IF(עזר!L822="","",INDEX(עזר!$B$2:$B$5001,עזר!L822))</f>
        <v/>
      </c>
      <c r="C822" s="13" t="str">
        <f aca="false">עזר!M822</f>
        <v/>
      </c>
    </row>
    <row r="823" customFormat="false" ht="15" hidden="false" customHeight="false" outlineLevel="0" collapsed="false">
      <c r="A823" s="13" t="str">
        <f aca="false">IF(עזר!L823="","",INDEX(עזר!$A$2:$A$5001,עזר!L823))</f>
        <v/>
      </c>
      <c r="B823" s="13" t="str">
        <f aca="false">IF(עזר!L823="","",INDEX(עזר!$B$2:$B$5001,עזר!L823))</f>
        <v/>
      </c>
      <c r="C823" s="13" t="str">
        <f aca="false">עזר!M823</f>
        <v/>
      </c>
    </row>
    <row r="824" customFormat="false" ht="15" hidden="false" customHeight="false" outlineLevel="0" collapsed="false">
      <c r="A824" s="13" t="str">
        <f aca="false">IF(עזר!L824="","",INDEX(עזר!$A$2:$A$5001,עזר!L824))</f>
        <v/>
      </c>
      <c r="B824" s="13" t="str">
        <f aca="false">IF(עזר!L824="","",INDEX(עזר!$B$2:$B$5001,עזר!L824))</f>
        <v/>
      </c>
      <c r="C824" s="13" t="str">
        <f aca="false">עזר!M824</f>
        <v/>
      </c>
    </row>
    <row r="825" customFormat="false" ht="15" hidden="false" customHeight="false" outlineLevel="0" collapsed="false">
      <c r="A825" s="13" t="str">
        <f aca="false">IF(עזר!L825="","",INDEX(עזר!$A$2:$A$5001,עזר!L825))</f>
        <v/>
      </c>
      <c r="B825" s="13" t="str">
        <f aca="false">IF(עזר!L825="","",INDEX(עזר!$B$2:$B$5001,עזר!L825))</f>
        <v/>
      </c>
      <c r="C825" s="13" t="str">
        <f aca="false">עזר!M825</f>
        <v/>
      </c>
    </row>
    <row r="826" customFormat="false" ht="15" hidden="false" customHeight="false" outlineLevel="0" collapsed="false">
      <c r="A826" s="13" t="str">
        <f aca="false">IF(עזר!L826="","",INDEX(עזר!$A$2:$A$5001,עזר!L826))</f>
        <v/>
      </c>
      <c r="B826" s="13" t="str">
        <f aca="false">IF(עזר!L826="","",INDEX(עזר!$B$2:$B$5001,עזר!L826))</f>
        <v/>
      </c>
      <c r="C826" s="13" t="str">
        <f aca="false">עזר!M826</f>
        <v/>
      </c>
    </row>
    <row r="827" customFormat="false" ht="15" hidden="false" customHeight="false" outlineLevel="0" collapsed="false">
      <c r="A827" s="13" t="str">
        <f aca="false">IF(עזר!L827="","",INDEX(עזר!$A$2:$A$5001,עזר!L827))</f>
        <v/>
      </c>
      <c r="B827" s="13" t="str">
        <f aca="false">IF(עזר!L827="","",INDEX(עזר!$B$2:$B$5001,עזר!L827))</f>
        <v/>
      </c>
      <c r="C827" s="13" t="str">
        <f aca="false">עזר!M827</f>
        <v/>
      </c>
    </row>
    <row r="828" customFormat="false" ht="15" hidden="false" customHeight="false" outlineLevel="0" collapsed="false">
      <c r="A828" s="13" t="str">
        <f aca="false">IF(עזר!L828="","",INDEX(עזר!$A$2:$A$5001,עזר!L828))</f>
        <v/>
      </c>
      <c r="B828" s="13" t="str">
        <f aca="false">IF(עזר!L828="","",INDEX(עזר!$B$2:$B$5001,עזר!L828))</f>
        <v/>
      </c>
      <c r="C828" s="13" t="str">
        <f aca="false">עזר!M828</f>
        <v/>
      </c>
    </row>
    <row r="829" customFormat="false" ht="15" hidden="false" customHeight="false" outlineLevel="0" collapsed="false">
      <c r="A829" s="13" t="str">
        <f aca="false">IF(עזר!L829="","",INDEX(עזר!$A$2:$A$5001,עזר!L829))</f>
        <v/>
      </c>
      <c r="B829" s="13" t="str">
        <f aca="false">IF(עזר!L829="","",INDEX(עזר!$B$2:$B$5001,עזר!L829))</f>
        <v/>
      </c>
      <c r="C829" s="13" t="str">
        <f aca="false">עזר!M829</f>
        <v/>
      </c>
    </row>
    <row r="830" customFormat="false" ht="15" hidden="false" customHeight="false" outlineLevel="0" collapsed="false">
      <c r="A830" s="13" t="str">
        <f aca="false">IF(עזר!L830="","",INDEX(עזר!$A$2:$A$5001,עזר!L830))</f>
        <v/>
      </c>
      <c r="B830" s="13" t="str">
        <f aca="false">IF(עזר!L830="","",INDEX(עזר!$B$2:$B$5001,עזר!L830))</f>
        <v/>
      </c>
      <c r="C830" s="13" t="str">
        <f aca="false">עזר!M830</f>
        <v/>
      </c>
    </row>
    <row r="831" customFormat="false" ht="15" hidden="false" customHeight="false" outlineLevel="0" collapsed="false">
      <c r="A831" s="13" t="str">
        <f aca="false">IF(עזר!L831="","",INDEX(עזר!$A$2:$A$5001,עזר!L831))</f>
        <v/>
      </c>
      <c r="B831" s="13" t="str">
        <f aca="false">IF(עזר!L831="","",INDEX(עזר!$B$2:$B$5001,עזר!L831))</f>
        <v/>
      </c>
      <c r="C831" s="13" t="str">
        <f aca="false">עזר!M831</f>
        <v/>
      </c>
    </row>
    <row r="832" customFormat="false" ht="15" hidden="false" customHeight="false" outlineLevel="0" collapsed="false">
      <c r="A832" s="13" t="str">
        <f aca="false">IF(עזר!L832="","",INDEX(עזר!$A$2:$A$5001,עזר!L832))</f>
        <v/>
      </c>
      <c r="B832" s="13" t="str">
        <f aca="false">IF(עזר!L832="","",INDEX(עזר!$B$2:$B$5001,עזר!L832))</f>
        <v/>
      </c>
      <c r="C832" s="13" t="str">
        <f aca="false">עזר!M832</f>
        <v/>
      </c>
    </row>
    <row r="833" customFormat="false" ht="15" hidden="false" customHeight="false" outlineLevel="0" collapsed="false">
      <c r="A833" s="13" t="str">
        <f aca="false">IF(עזר!L833="","",INDEX(עזר!$A$2:$A$5001,עזר!L833))</f>
        <v/>
      </c>
      <c r="B833" s="13" t="str">
        <f aca="false">IF(עזר!L833="","",INDEX(עזר!$B$2:$B$5001,עזר!L833))</f>
        <v/>
      </c>
      <c r="C833" s="13" t="str">
        <f aca="false">עזר!M833</f>
        <v/>
      </c>
    </row>
    <row r="834" customFormat="false" ht="15" hidden="false" customHeight="false" outlineLevel="0" collapsed="false">
      <c r="A834" s="13" t="str">
        <f aca="false">IF(עזר!L834="","",INDEX(עזר!$A$2:$A$5001,עזר!L834))</f>
        <v/>
      </c>
      <c r="B834" s="13" t="str">
        <f aca="false">IF(עזר!L834="","",INDEX(עזר!$B$2:$B$5001,עזר!L834))</f>
        <v/>
      </c>
      <c r="C834" s="13" t="str">
        <f aca="false">עזר!M834</f>
        <v/>
      </c>
    </row>
    <row r="835" customFormat="false" ht="15" hidden="false" customHeight="false" outlineLevel="0" collapsed="false">
      <c r="A835" s="13" t="str">
        <f aca="false">IF(עזר!L835="","",INDEX(עזר!$A$2:$A$5001,עזר!L835))</f>
        <v/>
      </c>
      <c r="B835" s="13" t="str">
        <f aca="false">IF(עזר!L835="","",INDEX(עזר!$B$2:$B$5001,עזר!L835))</f>
        <v/>
      </c>
      <c r="C835" s="13" t="str">
        <f aca="false">עזר!M835</f>
        <v/>
      </c>
    </row>
    <row r="836" customFormat="false" ht="15" hidden="false" customHeight="false" outlineLevel="0" collapsed="false">
      <c r="A836" s="13" t="str">
        <f aca="false">IF(עזר!L836="","",INDEX(עזר!$A$2:$A$5001,עזר!L836))</f>
        <v/>
      </c>
      <c r="B836" s="13" t="str">
        <f aca="false">IF(עזר!L836="","",INDEX(עזר!$B$2:$B$5001,עזר!L836))</f>
        <v/>
      </c>
      <c r="C836" s="13" t="str">
        <f aca="false">עזר!M836</f>
        <v/>
      </c>
    </row>
    <row r="837" customFormat="false" ht="15" hidden="false" customHeight="false" outlineLevel="0" collapsed="false">
      <c r="A837" s="13" t="str">
        <f aca="false">IF(עזר!L837="","",INDEX(עזר!$A$2:$A$5001,עזר!L837))</f>
        <v/>
      </c>
      <c r="B837" s="13" t="str">
        <f aca="false">IF(עזר!L837="","",INDEX(עזר!$B$2:$B$5001,עזר!L837))</f>
        <v/>
      </c>
      <c r="C837" s="13" t="str">
        <f aca="false">עזר!M837</f>
        <v/>
      </c>
    </row>
    <row r="838" customFormat="false" ht="15" hidden="false" customHeight="false" outlineLevel="0" collapsed="false">
      <c r="A838" s="13" t="str">
        <f aca="false">IF(עזר!L838="","",INDEX(עזר!$A$2:$A$5001,עזר!L838))</f>
        <v/>
      </c>
      <c r="B838" s="13" t="str">
        <f aca="false">IF(עזר!L838="","",INDEX(עזר!$B$2:$B$5001,עזר!L838))</f>
        <v/>
      </c>
      <c r="C838" s="13" t="str">
        <f aca="false">עזר!M838</f>
        <v/>
      </c>
    </row>
    <row r="839" customFormat="false" ht="15" hidden="false" customHeight="false" outlineLevel="0" collapsed="false">
      <c r="A839" s="13" t="str">
        <f aca="false">IF(עזר!L839="","",INDEX(עזר!$A$2:$A$5001,עזר!L839))</f>
        <v/>
      </c>
      <c r="B839" s="13" t="str">
        <f aca="false">IF(עזר!L839="","",INDEX(עזר!$B$2:$B$5001,עזר!L839))</f>
        <v/>
      </c>
      <c r="C839" s="13" t="str">
        <f aca="false">עזר!M839</f>
        <v/>
      </c>
    </row>
    <row r="840" customFormat="false" ht="15" hidden="false" customHeight="false" outlineLevel="0" collapsed="false">
      <c r="A840" s="13" t="str">
        <f aca="false">IF(עזר!L840="","",INDEX(עזר!$A$2:$A$5001,עזר!L840))</f>
        <v/>
      </c>
      <c r="B840" s="13" t="str">
        <f aca="false">IF(עזר!L840="","",INDEX(עזר!$B$2:$B$5001,עזר!L840))</f>
        <v/>
      </c>
      <c r="C840" s="13" t="str">
        <f aca="false">עזר!M840</f>
        <v/>
      </c>
    </row>
    <row r="841" customFormat="false" ht="15" hidden="false" customHeight="false" outlineLevel="0" collapsed="false">
      <c r="A841" s="13" t="str">
        <f aca="false">IF(עזר!L841="","",INDEX(עזר!$A$2:$A$5001,עזר!L841))</f>
        <v/>
      </c>
      <c r="B841" s="13" t="str">
        <f aca="false">IF(עזר!L841="","",INDEX(עזר!$B$2:$B$5001,עזר!L841))</f>
        <v/>
      </c>
      <c r="C841" s="13" t="str">
        <f aca="false">עזר!M841</f>
        <v/>
      </c>
    </row>
    <row r="842" customFormat="false" ht="15" hidden="false" customHeight="false" outlineLevel="0" collapsed="false">
      <c r="A842" s="13" t="str">
        <f aca="false">IF(עזר!L842="","",INDEX(עזר!$A$2:$A$5001,עזר!L842))</f>
        <v/>
      </c>
      <c r="B842" s="13" t="str">
        <f aca="false">IF(עזר!L842="","",INDEX(עזר!$B$2:$B$5001,עזר!L842))</f>
        <v/>
      </c>
      <c r="C842" s="13" t="str">
        <f aca="false">עזר!M842</f>
        <v/>
      </c>
    </row>
    <row r="843" customFormat="false" ht="15" hidden="false" customHeight="false" outlineLevel="0" collapsed="false">
      <c r="A843" s="13" t="str">
        <f aca="false">IF(עזר!L843="","",INDEX(עזר!$A$2:$A$5001,עזר!L843))</f>
        <v/>
      </c>
      <c r="B843" s="13" t="str">
        <f aca="false">IF(עזר!L843="","",INDEX(עזר!$B$2:$B$5001,עזר!L843))</f>
        <v/>
      </c>
      <c r="C843" s="13" t="str">
        <f aca="false">עזר!M843</f>
        <v/>
      </c>
    </row>
    <row r="844" customFormat="false" ht="15" hidden="false" customHeight="false" outlineLevel="0" collapsed="false">
      <c r="A844" s="13" t="str">
        <f aca="false">IF(עזר!L844="","",INDEX(עזר!$A$2:$A$5001,עזר!L844))</f>
        <v/>
      </c>
      <c r="B844" s="13" t="str">
        <f aca="false">IF(עזר!L844="","",INDEX(עזר!$B$2:$B$5001,עזר!L844))</f>
        <v/>
      </c>
      <c r="C844" s="13" t="str">
        <f aca="false">עזר!M844</f>
        <v/>
      </c>
    </row>
    <row r="845" customFormat="false" ht="15" hidden="false" customHeight="false" outlineLevel="0" collapsed="false">
      <c r="A845" s="13" t="str">
        <f aca="false">IF(עזר!L845="","",INDEX(עזר!$A$2:$A$5001,עזר!L845))</f>
        <v/>
      </c>
      <c r="B845" s="13" t="str">
        <f aca="false">IF(עזר!L845="","",INDEX(עזר!$B$2:$B$5001,עזר!L845))</f>
        <v/>
      </c>
      <c r="C845" s="13" t="str">
        <f aca="false">עזר!M845</f>
        <v/>
      </c>
    </row>
    <row r="846" customFormat="false" ht="15" hidden="false" customHeight="false" outlineLevel="0" collapsed="false">
      <c r="A846" s="13" t="str">
        <f aca="false">IF(עזר!L846="","",INDEX(עזר!$A$2:$A$5001,עזר!L846))</f>
        <v/>
      </c>
      <c r="B846" s="13" t="str">
        <f aca="false">IF(עזר!L846="","",INDEX(עזר!$B$2:$B$5001,עזר!L846))</f>
        <v/>
      </c>
      <c r="C846" s="13" t="str">
        <f aca="false">עזר!M846</f>
        <v/>
      </c>
    </row>
    <row r="847" customFormat="false" ht="15" hidden="false" customHeight="false" outlineLevel="0" collapsed="false">
      <c r="A847" s="13" t="str">
        <f aca="false">IF(עזר!L847="","",INDEX(עזר!$A$2:$A$5001,עזר!L847))</f>
        <v/>
      </c>
      <c r="B847" s="13" t="str">
        <f aca="false">IF(עזר!L847="","",INDEX(עזר!$B$2:$B$5001,עזר!L847))</f>
        <v/>
      </c>
      <c r="C847" s="13" t="str">
        <f aca="false">עזר!M847</f>
        <v/>
      </c>
    </row>
    <row r="848" customFormat="false" ht="15" hidden="false" customHeight="false" outlineLevel="0" collapsed="false">
      <c r="A848" s="13" t="str">
        <f aca="false">IF(עזר!L848="","",INDEX(עזר!$A$2:$A$5001,עזר!L848))</f>
        <v/>
      </c>
      <c r="B848" s="13" t="str">
        <f aca="false">IF(עזר!L848="","",INDEX(עזר!$B$2:$B$5001,עזר!L848))</f>
        <v/>
      </c>
      <c r="C848" s="13" t="str">
        <f aca="false">עזר!M848</f>
        <v/>
      </c>
    </row>
    <row r="849" customFormat="false" ht="15" hidden="false" customHeight="false" outlineLevel="0" collapsed="false">
      <c r="A849" s="13" t="str">
        <f aca="false">IF(עזר!L849="","",INDEX(עזר!$A$2:$A$5001,עזר!L849))</f>
        <v/>
      </c>
      <c r="B849" s="13" t="str">
        <f aca="false">IF(עזר!L849="","",INDEX(עזר!$B$2:$B$5001,עזר!L849))</f>
        <v/>
      </c>
      <c r="C849" s="13" t="str">
        <f aca="false">עזר!M849</f>
        <v/>
      </c>
    </row>
    <row r="850" customFormat="false" ht="15" hidden="false" customHeight="false" outlineLevel="0" collapsed="false">
      <c r="A850" s="13" t="str">
        <f aca="false">IF(עזר!L850="","",INDEX(עזר!$A$2:$A$5001,עזר!L850))</f>
        <v/>
      </c>
      <c r="B850" s="13" t="str">
        <f aca="false">IF(עזר!L850="","",INDEX(עזר!$B$2:$B$5001,עזר!L850))</f>
        <v/>
      </c>
      <c r="C850" s="13" t="str">
        <f aca="false">עזר!M850</f>
        <v/>
      </c>
    </row>
    <row r="851" customFormat="false" ht="15" hidden="false" customHeight="false" outlineLevel="0" collapsed="false">
      <c r="A851" s="13" t="str">
        <f aca="false">IF(עזר!L851="","",INDEX(עזר!$A$2:$A$5001,עזר!L851))</f>
        <v/>
      </c>
      <c r="B851" s="13" t="str">
        <f aca="false">IF(עזר!L851="","",INDEX(עזר!$B$2:$B$5001,עזר!L851))</f>
        <v/>
      </c>
      <c r="C851" s="13" t="str">
        <f aca="false">עזר!M851</f>
        <v/>
      </c>
    </row>
    <row r="852" customFormat="false" ht="15" hidden="false" customHeight="false" outlineLevel="0" collapsed="false">
      <c r="A852" s="13" t="str">
        <f aca="false">IF(עזר!L852="","",INDEX(עזר!$A$2:$A$5001,עזר!L852))</f>
        <v/>
      </c>
      <c r="B852" s="13" t="str">
        <f aca="false">IF(עזר!L852="","",INDEX(עזר!$B$2:$B$5001,עזר!L852))</f>
        <v/>
      </c>
      <c r="C852" s="13" t="str">
        <f aca="false">עזר!M852</f>
        <v/>
      </c>
    </row>
    <row r="853" customFormat="false" ht="15" hidden="false" customHeight="false" outlineLevel="0" collapsed="false">
      <c r="A853" s="13" t="str">
        <f aca="false">IF(עזר!L853="","",INDEX(עזר!$A$2:$A$5001,עזר!L853))</f>
        <v/>
      </c>
      <c r="B853" s="13" t="str">
        <f aca="false">IF(עזר!L853="","",INDEX(עזר!$B$2:$B$5001,עזר!L853))</f>
        <v/>
      </c>
      <c r="C853" s="13" t="str">
        <f aca="false">עזר!M853</f>
        <v/>
      </c>
    </row>
    <row r="854" customFormat="false" ht="15" hidden="false" customHeight="false" outlineLevel="0" collapsed="false">
      <c r="A854" s="13" t="str">
        <f aca="false">IF(עזר!L854="","",INDEX(עזר!$A$2:$A$5001,עזר!L854))</f>
        <v/>
      </c>
      <c r="B854" s="13" t="str">
        <f aca="false">IF(עזר!L854="","",INDEX(עזר!$B$2:$B$5001,עזר!L854))</f>
        <v/>
      </c>
      <c r="C854" s="13" t="str">
        <f aca="false">עזר!M854</f>
        <v/>
      </c>
    </row>
    <row r="855" customFormat="false" ht="15" hidden="false" customHeight="false" outlineLevel="0" collapsed="false">
      <c r="A855" s="13" t="str">
        <f aca="false">IF(עזר!L855="","",INDEX(עזר!$A$2:$A$5001,עזר!L855))</f>
        <v/>
      </c>
      <c r="B855" s="13" t="str">
        <f aca="false">IF(עזר!L855="","",INDEX(עזר!$B$2:$B$5001,עזר!L855))</f>
        <v/>
      </c>
      <c r="C855" s="13" t="str">
        <f aca="false">עזר!M855</f>
        <v/>
      </c>
    </row>
    <row r="856" customFormat="false" ht="15" hidden="false" customHeight="false" outlineLevel="0" collapsed="false">
      <c r="A856" s="13" t="str">
        <f aca="false">IF(עזר!L856="","",INDEX(עזר!$A$2:$A$5001,עזר!L856))</f>
        <v/>
      </c>
      <c r="B856" s="13" t="str">
        <f aca="false">IF(עזר!L856="","",INDEX(עזר!$B$2:$B$5001,עזר!L856))</f>
        <v/>
      </c>
      <c r="C856" s="13" t="str">
        <f aca="false">עזר!M856</f>
        <v/>
      </c>
    </row>
    <row r="857" customFormat="false" ht="15" hidden="false" customHeight="false" outlineLevel="0" collapsed="false">
      <c r="A857" s="13" t="str">
        <f aca="false">IF(עזר!L857="","",INDEX(עזר!$A$2:$A$5001,עזר!L857))</f>
        <v/>
      </c>
      <c r="B857" s="13" t="str">
        <f aca="false">IF(עזר!L857="","",INDEX(עזר!$B$2:$B$5001,עזר!L857))</f>
        <v/>
      </c>
      <c r="C857" s="13" t="str">
        <f aca="false">עזר!M857</f>
        <v/>
      </c>
    </row>
    <row r="858" customFormat="false" ht="15" hidden="false" customHeight="false" outlineLevel="0" collapsed="false">
      <c r="A858" s="13" t="str">
        <f aca="false">IF(עזר!L858="","",INDEX(עזר!$A$2:$A$5001,עזר!L858))</f>
        <v/>
      </c>
      <c r="B858" s="13" t="str">
        <f aca="false">IF(עזר!L858="","",INDEX(עזר!$B$2:$B$5001,עזר!L858))</f>
        <v/>
      </c>
      <c r="C858" s="13" t="str">
        <f aca="false">עזר!M858</f>
        <v/>
      </c>
    </row>
    <row r="859" customFormat="false" ht="15" hidden="false" customHeight="false" outlineLevel="0" collapsed="false">
      <c r="A859" s="13" t="str">
        <f aca="false">IF(עזר!L859="","",INDEX(עזר!$A$2:$A$5001,עזר!L859))</f>
        <v/>
      </c>
      <c r="B859" s="13" t="str">
        <f aca="false">IF(עזר!L859="","",INDEX(עזר!$B$2:$B$5001,עזר!L859))</f>
        <v/>
      </c>
      <c r="C859" s="13" t="str">
        <f aca="false">עזר!M859</f>
        <v/>
      </c>
    </row>
    <row r="860" customFormat="false" ht="15" hidden="false" customHeight="false" outlineLevel="0" collapsed="false">
      <c r="A860" s="13" t="str">
        <f aca="false">IF(עזר!L860="","",INDEX(עזר!$A$2:$A$5001,עזר!L860))</f>
        <v/>
      </c>
      <c r="B860" s="13" t="str">
        <f aca="false">IF(עזר!L860="","",INDEX(עזר!$B$2:$B$5001,עזר!L860))</f>
        <v/>
      </c>
      <c r="C860" s="13" t="str">
        <f aca="false">עזר!M860</f>
        <v/>
      </c>
    </row>
    <row r="861" customFormat="false" ht="15" hidden="false" customHeight="false" outlineLevel="0" collapsed="false">
      <c r="A861" s="13" t="str">
        <f aca="false">IF(עזר!L861="","",INDEX(עזר!$A$2:$A$5001,עזר!L861))</f>
        <v/>
      </c>
      <c r="B861" s="13" t="str">
        <f aca="false">IF(עזר!L861="","",INDEX(עזר!$B$2:$B$5001,עזר!L861))</f>
        <v/>
      </c>
      <c r="C861" s="13" t="str">
        <f aca="false">עזר!M861</f>
        <v/>
      </c>
    </row>
    <row r="862" customFormat="false" ht="15" hidden="false" customHeight="false" outlineLevel="0" collapsed="false">
      <c r="A862" s="13" t="str">
        <f aca="false">IF(עזר!L862="","",INDEX(עזר!$A$2:$A$5001,עזר!L862))</f>
        <v/>
      </c>
      <c r="B862" s="13" t="str">
        <f aca="false">IF(עזר!L862="","",INDEX(עזר!$B$2:$B$5001,עזר!L862))</f>
        <v/>
      </c>
      <c r="C862" s="13" t="str">
        <f aca="false">עזר!M862</f>
        <v/>
      </c>
    </row>
    <row r="863" customFormat="false" ht="15" hidden="false" customHeight="false" outlineLevel="0" collapsed="false">
      <c r="A863" s="13" t="str">
        <f aca="false">IF(עזר!L863="","",INDEX(עזר!$A$2:$A$5001,עזר!L863))</f>
        <v/>
      </c>
      <c r="B863" s="13" t="str">
        <f aca="false">IF(עזר!L863="","",INDEX(עזר!$B$2:$B$5001,עזר!L863))</f>
        <v/>
      </c>
      <c r="C863" s="13" t="str">
        <f aca="false">עזר!M863</f>
        <v/>
      </c>
    </row>
    <row r="864" customFormat="false" ht="15" hidden="false" customHeight="false" outlineLevel="0" collapsed="false">
      <c r="A864" s="13" t="str">
        <f aca="false">IF(עזר!L864="","",INDEX(עזר!$A$2:$A$5001,עזר!L864))</f>
        <v/>
      </c>
      <c r="B864" s="13" t="str">
        <f aca="false">IF(עזר!L864="","",INDEX(עזר!$B$2:$B$5001,עזר!L864))</f>
        <v/>
      </c>
      <c r="C864" s="13" t="str">
        <f aca="false">עזר!M864</f>
        <v/>
      </c>
    </row>
    <row r="865" customFormat="false" ht="15" hidden="false" customHeight="false" outlineLevel="0" collapsed="false">
      <c r="A865" s="13" t="str">
        <f aca="false">IF(עזר!L865="","",INDEX(עזר!$A$2:$A$5001,עזר!L865))</f>
        <v/>
      </c>
      <c r="B865" s="13" t="str">
        <f aca="false">IF(עזר!L865="","",INDEX(עזר!$B$2:$B$5001,עזר!L865))</f>
        <v/>
      </c>
      <c r="C865" s="13" t="str">
        <f aca="false">עזר!M865</f>
        <v/>
      </c>
    </row>
    <row r="866" customFormat="false" ht="15" hidden="false" customHeight="false" outlineLevel="0" collapsed="false">
      <c r="A866" s="13" t="str">
        <f aca="false">IF(עזר!L866="","",INDEX(עזר!$A$2:$A$5001,עזר!L866))</f>
        <v/>
      </c>
      <c r="B866" s="13" t="str">
        <f aca="false">IF(עזר!L866="","",INDEX(עזר!$B$2:$B$5001,עזר!L866))</f>
        <v/>
      </c>
      <c r="C866" s="13" t="str">
        <f aca="false">עזר!M866</f>
        <v/>
      </c>
    </row>
    <row r="867" customFormat="false" ht="15" hidden="false" customHeight="false" outlineLevel="0" collapsed="false">
      <c r="A867" s="13" t="str">
        <f aca="false">IF(עזר!L867="","",INDEX(עזר!$A$2:$A$5001,עזר!L867))</f>
        <v/>
      </c>
      <c r="B867" s="13" t="str">
        <f aca="false">IF(עזר!L867="","",INDEX(עזר!$B$2:$B$5001,עזר!L867))</f>
        <v/>
      </c>
      <c r="C867" s="13" t="str">
        <f aca="false">עזר!M867</f>
        <v/>
      </c>
    </row>
    <row r="868" customFormat="false" ht="15" hidden="false" customHeight="false" outlineLevel="0" collapsed="false">
      <c r="A868" s="13" t="str">
        <f aca="false">IF(עזר!L868="","",INDEX(עזר!$A$2:$A$5001,עזר!L868))</f>
        <v/>
      </c>
      <c r="B868" s="13" t="str">
        <f aca="false">IF(עזר!L868="","",INDEX(עזר!$B$2:$B$5001,עזר!L868))</f>
        <v/>
      </c>
      <c r="C868" s="13" t="str">
        <f aca="false">עזר!M868</f>
        <v/>
      </c>
    </row>
    <row r="869" customFormat="false" ht="15" hidden="false" customHeight="false" outlineLevel="0" collapsed="false">
      <c r="A869" s="13" t="str">
        <f aca="false">IF(עזר!L869="","",INDEX(עזר!$A$2:$A$5001,עזר!L869))</f>
        <v/>
      </c>
      <c r="B869" s="13" t="str">
        <f aca="false">IF(עזר!L869="","",INDEX(עזר!$B$2:$B$5001,עזר!L869))</f>
        <v/>
      </c>
      <c r="C869" s="13" t="str">
        <f aca="false">עזר!M869</f>
        <v/>
      </c>
    </row>
    <row r="870" customFormat="false" ht="15" hidden="false" customHeight="false" outlineLevel="0" collapsed="false">
      <c r="A870" s="13" t="str">
        <f aca="false">IF(עזר!L870="","",INDEX(עזר!$A$2:$A$5001,עזר!L870))</f>
        <v/>
      </c>
      <c r="B870" s="13" t="str">
        <f aca="false">IF(עזר!L870="","",INDEX(עזר!$B$2:$B$5001,עזר!L870))</f>
        <v/>
      </c>
      <c r="C870" s="13" t="str">
        <f aca="false">עזר!M870</f>
        <v/>
      </c>
    </row>
    <row r="871" customFormat="false" ht="15" hidden="false" customHeight="false" outlineLevel="0" collapsed="false">
      <c r="A871" s="13" t="str">
        <f aca="false">IF(עזר!L871="","",INDEX(עזר!$A$2:$A$5001,עזר!L871))</f>
        <v/>
      </c>
      <c r="B871" s="13" t="str">
        <f aca="false">IF(עזר!L871="","",INDEX(עזר!$B$2:$B$5001,עזר!L871))</f>
        <v/>
      </c>
      <c r="C871" s="13" t="str">
        <f aca="false">עזר!M871</f>
        <v/>
      </c>
    </row>
    <row r="872" customFormat="false" ht="15" hidden="false" customHeight="false" outlineLevel="0" collapsed="false">
      <c r="A872" s="13" t="str">
        <f aca="false">IF(עזר!L872="","",INDEX(עזר!$A$2:$A$5001,עזר!L872))</f>
        <v/>
      </c>
      <c r="B872" s="13" t="str">
        <f aca="false">IF(עזר!L872="","",INDEX(עזר!$B$2:$B$5001,עזר!L872))</f>
        <v/>
      </c>
      <c r="C872" s="13" t="str">
        <f aca="false">עזר!M872</f>
        <v/>
      </c>
    </row>
    <row r="873" customFormat="false" ht="15" hidden="false" customHeight="false" outlineLevel="0" collapsed="false">
      <c r="A873" s="13" t="str">
        <f aca="false">IF(עזר!L873="","",INDEX(עזר!$A$2:$A$5001,עזר!L873))</f>
        <v/>
      </c>
      <c r="B873" s="13" t="str">
        <f aca="false">IF(עזר!L873="","",INDEX(עזר!$B$2:$B$5001,עזר!L873))</f>
        <v/>
      </c>
      <c r="C873" s="13" t="str">
        <f aca="false">עזר!M873</f>
        <v/>
      </c>
    </row>
    <row r="874" customFormat="false" ht="15" hidden="false" customHeight="false" outlineLevel="0" collapsed="false">
      <c r="A874" s="13" t="str">
        <f aca="false">IF(עזר!L874="","",INDEX(עזר!$A$2:$A$5001,עזר!L874))</f>
        <v/>
      </c>
      <c r="B874" s="13" t="str">
        <f aca="false">IF(עזר!L874="","",INDEX(עזר!$B$2:$B$5001,עזר!L874))</f>
        <v/>
      </c>
      <c r="C874" s="13" t="str">
        <f aca="false">עזר!M874</f>
        <v/>
      </c>
    </row>
    <row r="875" customFormat="false" ht="15" hidden="false" customHeight="false" outlineLevel="0" collapsed="false">
      <c r="A875" s="13" t="str">
        <f aca="false">IF(עזר!L875="","",INDEX(עזר!$A$2:$A$5001,עזר!L875))</f>
        <v/>
      </c>
      <c r="B875" s="13" t="str">
        <f aca="false">IF(עזר!L875="","",INDEX(עזר!$B$2:$B$5001,עזר!L875))</f>
        <v/>
      </c>
      <c r="C875" s="13" t="str">
        <f aca="false">עזר!M875</f>
        <v/>
      </c>
    </row>
    <row r="876" customFormat="false" ht="15" hidden="false" customHeight="false" outlineLevel="0" collapsed="false">
      <c r="A876" s="13" t="str">
        <f aca="false">IF(עזר!L876="","",INDEX(עזר!$A$2:$A$5001,עזר!L876))</f>
        <v/>
      </c>
      <c r="B876" s="13" t="str">
        <f aca="false">IF(עזר!L876="","",INDEX(עזר!$B$2:$B$5001,עזר!L876))</f>
        <v/>
      </c>
      <c r="C876" s="13" t="str">
        <f aca="false">עזר!M876</f>
        <v/>
      </c>
    </row>
    <row r="877" customFormat="false" ht="15" hidden="false" customHeight="false" outlineLevel="0" collapsed="false">
      <c r="A877" s="13" t="str">
        <f aca="false">IF(עזר!L877="","",INDEX(עזר!$A$2:$A$5001,עזר!L877))</f>
        <v/>
      </c>
      <c r="B877" s="13" t="str">
        <f aca="false">IF(עזר!L877="","",INDEX(עזר!$B$2:$B$5001,עזר!L877))</f>
        <v/>
      </c>
      <c r="C877" s="13" t="str">
        <f aca="false">עזר!M877</f>
        <v/>
      </c>
    </row>
    <row r="878" customFormat="false" ht="15" hidden="false" customHeight="false" outlineLevel="0" collapsed="false">
      <c r="A878" s="13" t="str">
        <f aca="false">IF(עזר!L878="","",INDEX(עזר!$A$2:$A$5001,עזר!L878))</f>
        <v/>
      </c>
      <c r="B878" s="13" t="str">
        <f aca="false">IF(עזר!L878="","",INDEX(עזר!$B$2:$B$5001,עזר!L878))</f>
        <v/>
      </c>
      <c r="C878" s="13" t="str">
        <f aca="false">עזר!M878</f>
        <v/>
      </c>
    </row>
    <row r="879" customFormat="false" ht="15" hidden="false" customHeight="false" outlineLevel="0" collapsed="false">
      <c r="A879" s="13" t="str">
        <f aca="false">IF(עזר!L879="","",INDEX(עזר!$A$2:$A$5001,עזר!L879))</f>
        <v/>
      </c>
      <c r="B879" s="13" t="str">
        <f aca="false">IF(עזר!L879="","",INDEX(עזר!$B$2:$B$5001,עזר!L879))</f>
        <v/>
      </c>
      <c r="C879" s="13" t="str">
        <f aca="false">עזר!M879</f>
        <v/>
      </c>
    </row>
    <row r="880" customFormat="false" ht="15" hidden="false" customHeight="false" outlineLevel="0" collapsed="false">
      <c r="A880" s="13" t="str">
        <f aca="false">IF(עזר!L880="","",INDEX(עזר!$A$2:$A$5001,עזר!L880))</f>
        <v/>
      </c>
      <c r="B880" s="13" t="str">
        <f aca="false">IF(עזר!L880="","",INDEX(עזר!$B$2:$B$5001,עזר!L880))</f>
        <v/>
      </c>
      <c r="C880" s="13" t="str">
        <f aca="false">עזר!M880</f>
        <v/>
      </c>
    </row>
    <row r="881" customFormat="false" ht="15" hidden="false" customHeight="false" outlineLevel="0" collapsed="false">
      <c r="A881" s="13" t="str">
        <f aca="false">IF(עזר!L881="","",INDEX(עזר!$A$2:$A$5001,עזר!L881))</f>
        <v/>
      </c>
      <c r="B881" s="13" t="str">
        <f aca="false">IF(עזר!L881="","",INDEX(עזר!$B$2:$B$5001,עזר!L881))</f>
        <v/>
      </c>
      <c r="C881" s="13" t="str">
        <f aca="false">עזר!M881</f>
        <v/>
      </c>
    </row>
    <row r="882" customFormat="false" ht="15" hidden="false" customHeight="false" outlineLevel="0" collapsed="false">
      <c r="A882" s="13" t="str">
        <f aca="false">IF(עזר!L882="","",INDEX(עזר!$A$2:$A$5001,עזר!L882))</f>
        <v/>
      </c>
      <c r="B882" s="13" t="str">
        <f aca="false">IF(עזר!L882="","",INDEX(עזר!$B$2:$B$5001,עזר!L882))</f>
        <v/>
      </c>
      <c r="C882" s="13" t="str">
        <f aca="false">עזר!M882</f>
        <v/>
      </c>
    </row>
    <row r="883" customFormat="false" ht="15" hidden="false" customHeight="false" outlineLevel="0" collapsed="false">
      <c r="A883" s="13" t="str">
        <f aca="false">IF(עזר!L883="","",INDEX(עזר!$A$2:$A$5001,עזר!L883))</f>
        <v/>
      </c>
      <c r="B883" s="13" t="str">
        <f aca="false">IF(עזר!L883="","",INDEX(עזר!$B$2:$B$5001,עזר!L883))</f>
        <v/>
      </c>
      <c r="C883" s="13" t="str">
        <f aca="false">עזר!M883</f>
        <v/>
      </c>
    </row>
    <row r="884" customFormat="false" ht="15" hidden="false" customHeight="false" outlineLevel="0" collapsed="false">
      <c r="A884" s="13" t="str">
        <f aca="false">IF(עזר!L884="","",INDEX(עזר!$A$2:$A$5001,עזר!L884))</f>
        <v/>
      </c>
      <c r="B884" s="13" t="str">
        <f aca="false">IF(עזר!L884="","",INDEX(עזר!$B$2:$B$5001,עזר!L884))</f>
        <v/>
      </c>
      <c r="C884" s="13" t="str">
        <f aca="false">עזר!M884</f>
        <v/>
      </c>
    </row>
    <row r="885" customFormat="false" ht="15" hidden="false" customHeight="false" outlineLevel="0" collapsed="false">
      <c r="A885" s="13" t="str">
        <f aca="false">IF(עזר!L885="","",INDEX(עזר!$A$2:$A$5001,עזר!L885))</f>
        <v/>
      </c>
      <c r="B885" s="13" t="str">
        <f aca="false">IF(עזר!L885="","",INDEX(עזר!$B$2:$B$5001,עזר!L885))</f>
        <v/>
      </c>
      <c r="C885" s="13" t="str">
        <f aca="false">עזר!M885</f>
        <v/>
      </c>
    </row>
    <row r="886" customFormat="false" ht="15" hidden="false" customHeight="false" outlineLevel="0" collapsed="false">
      <c r="A886" s="13" t="str">
        <f aca="false">IF(עזר!L886="","",INDEX(עזר!$A$2:$A$5001,עזר!L886))</f>
        <v/>
      </c>
      <c r="B886" s="13" t="str">
        <f aca="false">IF(עזר!L886="","",INDEX(עזר!$B$2:$B$5001,עזר!L886))</f>
        <v/>
      </c>
      <c r="C886" s="13" t="str">
        <f aca="false">עזר!M886</f>
        <v/>
      </c>
    </row>
    <row r="887" customFormat="false" ht="15" hidden="false" customHeight="false" outlineLevel="0" collapsed="false">
      <c r="A887" s="13" t="str">
        <f aca="false">IF(עזר!L887="","",INDEX(עזר!$A$2:$A$5001,עזר!L887))</f>
        <v/>
      </c>
      <c r="B887" s="13" t="str">
        <f aca="false">IF(עזר!L887="","",INDEX(עזר!$B$2:$B$5001,עזר!L887))</f>
        <v/>
      </c>
      <c r="C887" s="13" t="str">
        <f aca="false">עזר!M887</f>
        <v/>
      </c>
    </row>
    <row r="888" customFormat="false" ht="15" hidden="false" customHeight="false" outlineLevel="0" collapsed="false">
      <c r="A888" s="13" t="str">
        <f aca="false">IF(עזר!L888="","",INDEX(עזר!$A$2:$A$5001,עזר!L888))</f>
        <v/>
      </c>
      <c r="B888" s="13" t="str">
        <f aca="false">IF(עזר!L888="","",INDEX(עזר!$B$2:$B$5001,עזר!L888))</f>
        <v/>
      </c>
      <c r="C888" s="13" t="str">
        <f aca="false">עזר!M888</f>
        <v/>
      </c>
    </row>
    <row r="889" customFormat="false" ht="15" hidden="false" customHeight="false" outlineLevel="0" collapsed="false">
      <c r="A889" s="13" t="str">
        <f aca="false">IF(עזר!L889="","",INDEX(עזר!$A$2:$A$5001,עזר!L889))</f>
        <v/>
      </c>
      <c r="B889" s="13" t="str">
        <f aca="false">IF(עזר!L889="","",INDEX(עזר!$B$2:$B$5001,עזר!L889))</f>
        <v/>
      </c>
      <c r="C889" s="13" t="str">
        <f aca="false">עזר!M889</f>
        <v/>
      </c>
    </row>
    <row r="890" customFormat="false" ht="15" hidden="false" customHeight="false" outlineLevel="0" collapsed="false">
      <c r="A890" s="13" t="str">
        <f aca="false">IF(עזר!L890="","",INDEX(עזר!$A$2:$A$5001,עזר!L890))</f>
        <v/>
      </c>
      <c r="B890" s="13" t="str">
        <f aca="false">IF(עזר!L890="","",INDEX(עזר!$B$2:$B$5001,עזר!L890))</f>
        <v/>
      </c>
      <c r="C890" s="13" t="str">
        <f aca="false">עזר!M890</f>
        <v/>
      </c>
    </row>
    <row r="891" customFormat="false" ht="15" hidden="false" customHeight="false" outlineLevel="0" collapsed="false">
      <c r="A891" s="13" t="str">
        <f aca="false">IF(עזר!L891="","",INDEX(עזר!$A$2:$A$5001,עזר!L891))</f>
        <v/>
      </c>
      <c r="B891" s="13" t="str">
        <f aca="false">IF(עזר!L891="","",INDEX(עזר!$B$2:$B$5001,עזר!L891))</f>
        <v/>
      </c>
      <c r="C891" s="13" t="str">
        <f aca="false">עזר!M891</f>
        <v/>
      </c>
    </row>
    <row r="892" customFormat="false" ht="15" hidden="false" customHeight="false" outlineLevel="0" collapsed="false">
      <c r="A892" s="13" t="str">
        <f aca="false">IF(עזר!L892="","",INDEX(עזר!$A$2:$A$5001,עזר!L892))</f>
        <v/>
      </c>
      <c r="B892" s="13" t="str">
        <f aca="false">IF(עזר!L892="","",INDEX(עזר!$B$2:$B$5001,עזר!L892))</f>
        <v/>
      </c>
      <c r="C892" s="13" t="str">
        <f aca="false">עזר!M892</f>
        <v/>
      </c>
    </row>
    <row r="893" customFormat="false" ht="15" hidden="false" customHeight="false" outlineLevel="0" collapsed="false">
      <c r="A893" s="13" t="str">
        <f aca="false">IF(עזר!L893="","",INDEX(עזר!$A$2:$A$5001,עזר!L893))</f>
        <v/>
      </c>
      <c r="B893" s="13" t="str">
        <f aca="false">IF(עזר!L893="","",INDEX(עזר!$B$2:$B$5001,עזר!L893))</f>
        <v/>
      </c>
      <c r="C893" s="13" t="str">
        <f aca="false">עזר!M893</f>
        <v/>
      </c>
    </row>
    <row r="894" customFormat="false" ht="15" hidden="false" customHeight="false" outlineLevel="0" collapsed="false">
      <c r="A894" s="13" t="str">
        <f aca="false">IF(עזר!L894="","",INDEX(עזר!$A$2:$A$5001,עזר!L894))</f>
        <v/>
      </c>
      <c r="B894" s="13" t="str">
        <f aca="false">IF(עזר!L894="","",INDEX(עזר!$B$2:$B$5001,עזר!L894))</f>
        <v/>
      </c>
      <c r="C894" s="13" t="str">
        <f aca="false">עזר!M894</f>
        <v/>
      </c>
    </row>
    <row r="895" customFormat="false" ht="15" hidden="false" customHeight="false" outlineLevel="0" collapsed="false">
      <c r="A895" s="13" t="str">
        <f aca="false">IF(עזר!L895="","",INDEX(עזר!$A$2:$A$5001,עזר!L895))</f>
        <v/>
      </c>
      <c r="B895" s="13" t="str">
        <f aca="false">IF(עזר!L895="","",INDEX(עזר!$B$2:$B$5001,עזר!L895))</f>
        <v/>
      </c>
      <c r="C895" s="13" t="str">
        <f aca="false">עזר!M895</f>
        <v/>
      </c>
    </row>
    <row r="896" customFormat="false" ht="15" hidden="false" customHeight="false" outlineLevel="0" collapsed="false">
      <c r="A896" s="13" t="str">
        <f aca="false">IF(עזר!L896="","",INDEX(עזר!$A$2:$A$5001,עזר!L896))</f>
        <v/>
      </c>
      <c r="B896" s="13" t="str">
        <f aca="false">IF(עזר!L896="","",INDEX(עזר!$B$2:$B$5001,עזר!L896))</f>
        <v/>
      </c>
      <c r="C896" s="13" t="str">
        <f aca="false">עזר!M896</f>
        <v/>
      </c>
    </row>
    <row r="897" customFormat="false" ht="15" hidden="false" customHeight="false" outlineLevel="0" collapsed="false">
      <c r="A897" s="13" t="str">
        <f aca="false">IF(עזר!L897="","",INDEX(עזר!$A$2:$A$5001,עזר!L897))</f>
        <v/>
      </c>
      <c r="B897" s="13" t="str">
        <f aca="false">IF(עזר!L897="","",INDEX(עזר!$B$2:$B$5001,עזר!L897))</f>
        <v/>
      </c>
      <c r="C897" s="13" t="str">
        <f aca="false">עזר!M897</f>
        <v/>
      </c>
    </row>
    <row r="898" customFormat="false" ht="15" hidden="false" customHeight="false" outlineLevel="0" collapsed="false">
      <c r="A898" s="13" t="str">
        <f aca="false">IF(עזר!L898="","",INDEX(עזר!$A$2:$A$5001,עזר!L898))</f>
        <v/>
      </c>
      <c r="B898" s="13" t="str">
        <f aca="false">IF(עזר!L898="","",INDEX(עזר!$B$2:$B$5001,עזר!L898))</f>
        <v/>
      </c>
      <c r="C898" s="13" t="str">
        <f aca="false">עזר!M898</f>
        <v/>
      </c>
    </row>
    <row r="899" customFormat="false" ht="15" hidden="false" customHeight="false" outlineLevel="0" collapsed="false">
      <c r="A899" s="13" t="str">
        <f aca="false">IF(עזר!L899="","",INDEX(עזר!$A$2:$A$5001,עזר!L899))</f>
        <v/>
      </c>
      <c r="B899" s="13" t="str">
        <f aca="false">IF(עזר!L899="","",INDEX(עזר!$B$2:$B$5001,עזר!L899))</f>
        <v/>
      </c>
      <c r="C899" s="13" t="str">
        <f aca="false">עזר!M899</f>
        <v/>
      </c>
    </row>
    <row r="900" customFormat="false" ht="15" hidden="false" customHeight="false" outlineLevel="0" collapsed="false">
      <c r="A900" s="13" t="str">
        <f aca="false">IF(עזר!L900="","",INDEX(עזר!$A$2:$A$5001,עזר!L900))</f>
        <v/>
      </c>
      <c r="B900" s="13" t="str">
        <f aca="false">IF(עזר!L900="","",INDEX(עזר!$B$2:$B$5001,עזר!L900))</f>
        <v/>
      </c>
      <c r="C900" s="13" t="str">
        <f aca="false">עזר!M900</f>
        <v/>
      </c>
    </row>
    <row r="901" customFormat="false" ht="15" hidden="false" customHeight="false" outlineLevel="0" collapsed="false">
      <c r="A901" s="13" t="str">
        <f aca="false">IF(עזר!L901="","",INDEX(עזר!$A$2:$A$5001,עזר!L901))</f>
        <v/>
      </c>
      <c r="B901" s="13" t="str">
        <f aca="false">IF(עזר!L901="","",INDEX(עזר!$B$2:$B$5001,עזר!L901))</f>
        <v/>
      </c>
      <c r="C901" s="13" t="str">
        <f aca="false">עזר!M901</f>
        <v/>
      </c>
    </row>
    <row r="902" customFormat="false" ht="15" hidden="false" customHeight="false" outlineLevel="0" collapsed="false">
      <c r="A902" s="13" t="str">
        <f aca="false">IF(עזר!L902="","",INDEX(עזר!$A$2:$A$5001,עזר!L902))</f>
        <v/>
      </c>
      <c r="B902" s="13" t="str">
        <f aca="false">IF(עזר!L902="","",INDEX(עזר!$B$2:$B$5001,עזר!L902))</f>
        <v/>
      </c>
      <c r="C902" s="13" t="str">
        <f aca="false">עזר!M902</f>
        <v/>
      </c>
    </row>
    <row r="903" customFormat="false" ht="15" hidden="false" customHeight="false" outlineLevel="0" collapsed="false">
      <c r="A903" s="13" t="str">
        <f aca="false">IF(עזר!L903="","",INDEX(עזר!$A$2:$A$5001,עזר!L903))</f>
        <v/>
      </c>
      <c r="B903" s="13" t="str">
        <f aca="false">IF(עזר!L903="","",INDEX(עזר!$B$2:$B$5001,עזר!L903))</f>
        <v/>
      </c>
      <c r="C903" s="13" t="str">
        <f aca="false">עזר!M903</f>
        <v/>
      </c>
    </row>
    <row r="904" customFormat="false" ht="15" hidden="false" customHeight="false" outlineLevel="0" collapsed="false">
      <c r="A904" s="13" t="str">
        <f aca="false">IF(עזר!L904="","",INDEX(עזר!$A$2:$A$5001,עזר!L904))</f>
        <v/>
      </c>
      <c r="B904" s="13" t="str">
        <f aca="false">IF(עזר!L904="","",INDEX(עזר!$B$2:$B$5001,עזר!L904))</f>
        <v/>
      </c>
      <c r="C904" s="13" t="str">
        <f aca="false">עזר!M904</f>
        <v/>
      </c>
    </row>
    <row r="905" customFormat="false" ht="15" hidden="false" customHeight="false" outlineLevel="0" collapsed="false">
      <c r="A905" s="13" t="str">
        <f aca="false">IF(עזר!L905="","",INDEX(עזר!$A$2:$A$5001,עזר!L905))</f>
        <v/>
      </c>
      <c r="B905" s="13" t="str">
        <f aca="false">IF(עזר!L905="","",INDEX(עזר!$B$2:$B$5001,עזר!L905))</f>
        <v/>
      </c>
      <c r="C905" s="13" t="str">
        <f aca="false">עזר!M905</f>
        <v/>
      </c>
    </row>
    <row r="906" customFormat="false" ht="15" hidden="false" customHeight="false" outlineLevel="0" collapsed="false">
      <c r="A906" s="13" t="str">
        <f aca="false">IF(עזר!L906="","",INDEX(עזר!$A$2:$A$5001,עזר!L906))</f>
        <v/>
      </c>
      <c r="B906" s="13" t="str">
        <f aca="false">IF(עזר!L906="","",INDEX(עזר!$B$2:$B$5001,עזר!L906))</f>
        <v/>
      </c>
      <c r="C906" s="13" t="str">
        <f aca="false">עזר!M906</f>
        <v/>
      </c>
    </row>
    <row r="907" customFormat="false" ht="15" hidden="false" customHeight="false" outlineLevel="0" collapsed="false">
      <c r="A907" s="13" t="str">
        <f aca="false">IF(עזר!L907="","",INDEX(עזר!$A$2:$A$5001,עזר!L907))</f>
        <v/>
      </c>
      <c r="B907" s="13" t="str">
        <f aca="false">IF(עזר!L907="","",INDEX(עזר!$B$2:$B$5001,עזר!L907))</f>
        <v/>
      </c>
      <c r="C907" s="13" t="str">
        <f aca="false">עזר!M907</f>
        <v/>
      </c>
    </row>
    <row r="908" customFormat="false" ht="15" hidden="false" customHeight="false" outlineLevel="0" collapsed="false">
      <c r="A908" s="13" t="str">
        <f aca="false">IF(עזר!L908="","",INDEX(עזר!$A$2:$A$5001,עזר!L908))</f>
        <v/>
      </c>
      <c r="B908" s="13" t="str">
        <f aca="false">IF(עזר!L908="","",INDEX(עזר!$B$2:$B$5001,עזר!L908))</f>
        <v/>
      </c>
      <c r="C908" s="13" t="str">
        <f aca="false">עזר!M908</f>
        <v/>
      </c>
    </row>
    <row r="909" customFormat="false" ht="15" hidden="false" customHeight="false" outlineLevel="0" collapsed="false">
      <c r="A909" s="13" t="str">
        <f aca="false">IF(עזר!L909="","",INDEX(עזר!$A$2:$A$5001,עזר!L909))</f>
        <v/>
      </c>
      <c r="B909" s="13" t="str">
        <f aca="false">IF(עזר!L909="","",INDEX(עזר!$B$2:$B$5001,עזר!L909))</f>
        <v/>
      </c>
      <c r="C909" s="13" t="str">
        <f aca="false">עזר!M909</f>
        <v/>
      </c>
    </row>
    <row r="910" customFormat="false" ht="15" hidden="false" customHeight="false" outlineLevel="0" collapsed="false">
      <c r="A910" s="13" t="str">
        <f aca="false">IF(עזר!L910="","",INDEX(עזר!$A$2:$A$5001,עזר!L910))</f>
        <v/>
      </c>
      <c r="B910" s="13" t="str">
        <f aca="false">IF(עזר!L910="","",INDEX(עזר!$B$2:$B$5001,עזר!L910))</f>
        <v/>
      </c>
      <c r="C910" s="13" t="str">
        <f aca="false">עזר!M910</f>
        <v/>
      </c>
    </row>
    <row r="911" customFormat="false" ht="15" hidden="false" customHeight="false" outlineLevel="0" collapsed="false">
      <c r="A911" s="13" t="str">
        <f aca="false">IF(עזר!L911="","",INDEX(עזר!$A$2:$A$5001,עזר!L911))</f>
        <v/>
      </c>
      <c r="B911" s="13" t="str">
        <f aca="false">IF(עזר!L911="","",INDEX(עזר!$B$2:$B$5001,עזר!L911))</f>
        <v/>
      </c>
      <c r="C911" s="13" t="str">
        <f aca="false">עזר!M911</f>
        <v/>
      </c>
    </row>
    <row r="912" customFormat="false" ht="15" hidden="false" customHeight="false" outlineLevel="0" collapsed="false">
      <c r="A912" s="13" t="str">
        <f aca="false">IF(עזר!L912="","",INDEX(עזר!$A$2:$A$5001,עזר!L912))</f>
        <v/>
      </c>
      <c r="B912" s="13" t="str">
        <f aca="false">IF(עזר!L912="","",INDEX(עזר!$B$2:$B$5001,עזר!L912))</f>
        <v/>
      </c>
      <c r="C912" s="13" t="str">
        <f aca="false">עזר!M912</f>
        <v/>
      </c>
    </row>
    <row r="913" customFormat="false" ht="15" hidden="false" customHeight="false" outlineLevel="0" collapsed="false">
      <c r="A913" s="13" t="str">
        <f aca="false">IF(עזר!L913="","",INDEX(עזר!$A$2:$A$5001,עזר!L913))</f>
        <v/>
      </c>
      <c r="B913" s="13" t="str">
        <f aca="false">IF(עזר!L913="","",INDEX(עזר!$B$2:$B$5001,עזר!L913))</f>
        <v/>
      </c>
      <c r="C913" s="13" t="str">
        <f aca="false">עזר!M913</f>
        <v/>
      </c>
    </row>
    <row r="914" customFormat="false" ht="15" hidden="false" customHeight="false" outlineLevel="0" collapsed="false">
      <c r="A914" s="13" t="str">
        <f aca="false">IF(עזר!L914="","",INDEX(עזר!$A$2:$A$5001,עזר!L914))</f>
        <v/>
      </c>
      <c r="B914" s="13" t="str">
        <f aca="false">IF(עזר!L914="","",INDEX(עזר!$B$2:$B$5001,עזר!L914))</f>
        <v/>
      </c>
      <c r="C914" s="13" t="str">
        <f aca="false">עזר!M914</f>
        <v/>
      </c>
    </row>
    <row r="915" customFormat="false" ht="15" hidden="false" customHeight="false" outlineLevel="0" collapsed="false">
      <c r="A915" s="13" t="str">
        <f aca="false">IF(עזר!L915="","",INDEX(עזר!$A$2:$A$5001,עזר!L915))</f>
        <v/>
      </c>
      <c r="B915" s="13" t="str">
        <f aca="false">IF(עזר!L915="","",INDEX(עזר!$B$2:$B$5001,עזר!L915))</f>
        <v/>
      </c>
      <c r="C915" s="13" t="str">
        <f aca="false">עזר!M915</f>
        <v/>
      </c>
    </row>
    <row r="916" customFormat="false" ht="15" hidden="false" customHeight="false" outlineLevel="0" collapsed="false">
      <c r="A916" s="13" t="str">
        <f aca="false">IF(עזר!L916="","",INDEX(עזר!$A$2:$A$5001,עזר!L916))</f>
        <v/>
      </c>
      <c r="B916" s="13" t="str">
        <f aca="false">IF(עזר!L916="","",INDEX(עזר!$B$2:$B$5001,עזר!L916))</f>
        <v/>
      </c>
      <c r="C916" s="13" t="str">
        <f aca="false">עזר!M916</f>
        <v/>
      </c>
    </row>
    <row r="917" customFormat="false" ht="15" hidden="false" customHeight="false" outlineLevel="0" collapsed="false">
      <c r="A917" s="13" t="str">
        <f aca="false">IF(עזר!L917="","",INDEX(עזר!$A$2:$A$5001,עזר!L917))</f>
        <v/>
      </c>
      <c r="B917" s="13" t="str">
        <f aca="false">IF(עזר!L917="","",INDEX(עזר!$B$2:$B$5001,עזר!L917))</f>
        <v/>
      </c>
      <c r="C917" s="13" t="str">
        <f aca="false">עזר!M917</f>
        <v/>
      </c>
    </row>
    <row r="918" customFormat="false" ht="15" hidden="false" customHeight="false" outlineLevel="0" collapsed="false">
      <c r="A918" s="13" t="str">
        <f aca="false">IF(עזר!L918="","",INDEX(עזר!$A$2:$A$5001,עזר!L918))</f>
        <v/>
      </c>
      <c r="B918" s="13" t="str">
        <f aca="false">IF(עזר!L918="","",INDEX(עזר!$B$2:$B$5001,עזר!L918))</f>
        <v/>
      </c>
      <c r="C918" s="13" t="str">
        <f aca="false">עזר!M918</f>
        <v/>
      </c>
    </row>
    <row r="919" customFormat="false" ht="15" hidden="false" customHeight="false" outlineLevel="0" collapsed="false">
      <c r="A919" s="13" t="str">
        <f aca="false">IF(עזר!L919="","",INDEX(עזר!$A$2:$A$5001,עזר!L919))</f>
        <v/>
      </c>
      <c r="B919" s="13" t="str">
        <f aca="false">IF(עזר!L919="","",INDEX(עזר!$B$2:$B$5001,עזר!L919))</f>
        <v/>
      </c>
      <c r="C919" s="13" t="str">
        <f aca="false">עזר!M919</f>
        <v/>
      </c>
    </row>
    <row r="920" customFormat="false" ht="15" hidden="false" customHeight="false" outlineLevel="0" collapsed="false">
      <c r="A920" s="13" t="str">
        <f aca="false">IF(עזר!L920="","",INDEX(עזר!$A$2:$A$5001,עזר!L920))</f>
        <v/>
      </c>
      <c r="B920" s="13" t="str">
        <f aca="false">IF(עזר!L920="","",INDEX(עזר!$B$2:$B$5001,עזר!L920))</f>
        <v/>
      </c>
      <c r="C920" s="13" t="str">
        <f aca="false">עזר!M920</f>
        <v/>
      </c>
    </row>
    <row r="921" customFormat="false" ht="15" hidden="false" customHeight="false" outlineLevel="0" collapsed="false">
      <c r="A921" s="13" t="str">
        <f aca="false">IF(עזר!L921="","",INDEX(עזר!$A$2:$A$5001,עזר!L921))</f>
        <v/>
      </c>
      <c r="B921" s="13" t="str">
        <f aca="false">IF(עזר!L921="","",INDEX(עזר!$B$2:$B$5001,עזר!L921))</f>
        <v/>
      </c>
      <c r="C921" s="13" t="str">
        <f aca="false">עזר!M921</f>
        <v/>
      </c>
    </row>
    <row r="922" customFormat="false" ht="15" hidden="false" customHeight="false" outlineLevel="0" collapsed="false">
      <c r="A922" s="13" t="str">
        <f aca="false">IF(עזר!L922="","",INDEX(עזר!$A$2:$A$5001,עזר!L922))</f>
        <v/>
      </c>
      <c r="B922" s="13" t="str">
        <f aca="false">IF(עזר!L922="","",INDEX(עזר!$B$2:$B$5001,עזר!L922))</f>
        <v/>
      </c>
      <c r="C922" s="13" t="str">
        <f aca="false">עזר!M922</f>
        <v/>
      </c>
    </row>
    <row r="923" customFormat="false" ht="15" hidden="false" customHeight="false" outlineLevel="0" collapsed="false">
      <c r="A923" s="13" t="str">
        <f aca="false">IF(עזר!L923="","",INDEX(עזר!$A$2:$A$5001,עזר!L923))</f>
        <v/>
      </c>
      <c r="B923" s="13" t="str">
        <f aca="false">IF(עזר!L923="","",INDEX(עזר!$B$2:$B$5001,עזר!L923))</f>
        <v/>
      </c>
      <c r="C923" s="13" t="str">
        <f aca="false">עזר!M923</f>
        <v/>
      </c>
    </row>
    <row r="924" customFormat="false" ht="15" hidden="false" customHeight="false" outlineLevel="0" collapsed="false">
      <c r="A924" s="13" t="str">
        <f aca="false">IF(עזר!L924="","",INDEX(עזר!$A$2:$A$5001,עזר!L924))</f>
        <v/>
      </c>
      <c r="B924" s="13" t="str">
        <f aca="false">IF(עזר!L924="","",INDEX(עזר!$B$2:$B$5001,עזר!L924))</f>
        <v/>
      </c>
      <c r="C924" s="13" t="str">
        <f aca="false">עזר!M924</f>
        <v/>
      </c>
    </row>
    <row r="925" customFormat="false" ht="15" hidden="false" customHeight="false" outlineLevel="0" collapsed="false">
      <c r="A925" s="13" t="str">
        <f aca="false">IF(עזר!L925="","",INDEX(עזר!$A$2:$A$5001,עזר!L925))</f>
        <v/>
      </c>
      <c r="B925" s="13" t="str">
        <f aca="false">IF(עזר!L925="","",INDEX(עזר!$B$2:$B$5001,עזר!L925))</f>
        <v/>
      </c>
      <c r="C925" s="13" t="str">
        <f aca="false">עזר!M925</f>
        <v/>
      </c>
    </row>
    <row r="926" customFormat="false" ht="15" hidden="false" customHeight="false" outlineLevel="0" collapsed="false">
      <c r="A926" s="13" t="str">
        <f aca="false">IF(עזר!L926="","",INDEX(עזר!$A$2:$A$5001,עזר!L926))</f>
        <v/>
      </c>
      <c r="B926" s="13" t="str">
        <f aca="false">IF(עזר!L926="","",INDEX(עזר!$B$2:$B$5001,עזר!L926))</f>
        <v/>
      </c>
      <c r="C926" s="13" t="str">
        <f aca="false">עזר!M926</f>
        <v/>
      </c>
    </row>
    <row r="927" customFormat="false" ht="15" hidden="false" customHeight="false" outlineLevel="0" collapsed="false">
      <c r="A927" s="13" t="str">
        <f aca="false">IF(עזר!L927="","",INDEX(עזר!$A$2:$A$5001,עזר!L927))</f>
        <v/>
      </c>
      <c r="B927" s="13" t="str">
        <f aca="false">IF(עזר!L927="","",INDEX(עזר!$B$2:$B$5001,עזר!L927))</f>
        <v/>
      </c>
      <c r="C927" s="13" t="str">
        <f aca="false">עזר!M927</f>
        <v/>
      </c>
    </row>
    <row r="928" customFormat="false" ht="15" hidden="false" customHeight="false" outlineLevel="0" collapsed="false">
      <c r="A928" s="13" t="str">
        <f aca="false">IF(עזר!L928="","",INDEX(עזר!$A$2:$A$5001,עזר!L928))</f>
        <v/>
      </c>
      <c r="B928" s="13" t="str">
        <f aca="false">IF(עזר!L928="","",INDEX(עזר!$B$2:$B$5001,עזר!L928))</f>
        <v/>
      </c>
      <c r="C928" s="13" t="str">
        <f aca="false">עזר!M928</f>
        <v/>
      </c>
    </row>
    <row r="929" customFormat="false" ht="15" hidden="false" customHeight="false" outlineLevel="0" collapsed="false">
      <c r="A929" s="13" t="str">
        <f aca="false">IF(עזר!L929="","",INDEX(עזר!$A$2:$A$5001,עזר!L929))</f>
        <v/>
      </c>
      <c r="B929" s="13" t="str">
        <f aca="false">IF(עזר!L929="","",INDEX(עזר!$B$2:$B$5001,עזר!L929))</f>
        <v/>
      </c>
      <c r="C929" s="13" t="str">
        <f aca="false">עזר!M929</f>
        <v/>
      </c>
    </row>
    <row r="930" customFormat="false" ht="15" hidden="false" customHeight="false" outlineLevel="0" collapsed="false">
      <c r="A930" s="13" t="str">
        <f aca="false">IF(עזר!L930="","",INDEX(עזר!$A$2:$A$5001,עזר!L930))</f>
        <v/>
      </c>
      <c r="B930" s="13" t="str">
        <f aca="false">IF(עזר!L930="","",INDEX(עזר!$B$2:$B$5001,עזר!L930))</f>
        <v/>
      </c>
      <c r="C930" s="13" t="str">
        <f aca="false">עזר!M930</f>
        <v/>
      </c>
    </row>
    <row r="931" customFormat="false" ht="15" hidden="false" customHeight="false" outlineLevel="0" collapsed="false">
      <c r="A931" s="13" t="str">
        <f aca="false">IF(עזר!L931="","",INDEX(עזר!$A$2:$A$5001,עזר!L931))</f>
        <v/>
      </c>
      <c r="B931" s="13" t="str">
        <f aca="false">IF(עזר!L931="","",INDEX(עזר!$B$2:$B$5001,עזר!L931))</f>
        <v/>
      </c>
      <c r="C931" s="13" t="str">
        <f aca="false">עזר!M931</f>
        <v/>
      </c>
    </row>
    <row r="932" customFormat="false" ht="15" hidden="false" customHeight="false" outlineLevel="0" collapsed="false">
      <c r="A932" s="13" t="str">
        <f aca="false">IF(עזר!L932="","",INDEX(עזר!$A$2:$A$5001,עזר!L932))</f>
        <v/>
      </c>
      <c r="B932" s="13" t="str">
        <f aca="false">IF(עזר!L932="","",INDEX(עזר!$B$2:$B$5001,עזר!L932))</f>
        <v/>
      </c>
      <c r="C932" s="13" t="str">
        <f aca="false">עזר!M932</f>
        <v/>
      </c>
    </row>
    <row r="933" customFormat="false" ht="15" hidden="false" customHeight="false" outlineLevel="0" collapsed="false">
      <c r="A933" s="13" t="str">
        <f aca="false">IF(עזר!L933="","",INDEX(עזר!$A$2:$A$5001,עזר!L933))</f>
        <v/>
      </c>
      <c r="B933" s="13" t="str">
        <f aca="false">IF(עזר!L933="","",INDEX(עזר!$B$2:$B$5001,עזר!L933))</f>
        <v/>
      </c>
      <c r="C933" s="13" t="str">
        <f aca="false">עזר!M933</f>
        <v/>
      </c>
    </row>
    <row r="934" customFormat="false" ht="15" hidden="false" customHeight="false" outlineLevel="0" collapsed="false">
      <c r="A934" s="13" t="str">
        <f aca="false">IF(עזר!L934="","",INDEX(עזר!$A$2:$A$5001,עזר!L934))</f>
        <v/>
      </c>
      <c r="B934" s="13" t="str">
        <f aca="false">IF(עזר!L934="","",INDEX(עזר!$B$2:$B$5001,עזר!L934))</f>
        <v/>
      </c>
      <c r="C934" s="13" t="str">
        <f aca="false">עזר!M934</f>
        <v/>
      </c>
    </row>
    <row r="935" customFormat="false" ht="15" hidden="false" customHeight="false" outlineLevel="0" collapsed="false">
      <c r="A935" s="13" t="str">
        <f aca="false">IF(עזר!L935="","",INDEX(עזר!$A$2:$A$5001,עזר!L935))</f>
        <v/>
      </c>
      <c r="B935" s="13" t="str">
        <f aca="false">IF(עזר!L935="","",INDEX(עזר!$B$2:$B$5001,עזר!L935))</f>
        <v/>
      </c>
      <c r="C935" s="13" t="str">
        <f aca="false">עזר!M935</f>
        <v/>
      </c>
    </row>
    <row r="936" customFormat="false" ht="15" hidden="false" customHeight="false" outlineLevel="0" collapsed="false">
      <c r="A936" s="13" t="str">
        <f aca="false">IF(עזר!L936="","",INDEX(עזר!$A$2:$A$5001,עזר!L936))</f>
        <v/>
      </c>
      <c r="B936" s="13" t="str">
        <f aca="false">IF(עזר!L936="","",INDEX(עזר!$B$2:$B$5001,עזר!L936))</f>
        <v/>
      </c>
      <c r="C936" s="13" t="str">
        <f aca="false">עזר!M936</f>
        <v/>
      </c>
    </row>
    <row r="937" customFormat="false" ht="15" hidden="false" customHeight="false" outlineLevel="0" collapsed="false">
      <c r="A937" s="13" t="str">
        <f aca="false">IF(עזר!L937="","",INDEX(עזר!$A$2:$A$5001,עזר!L937))</f>
        <v/>
      </c>
      <c r="B937" s="13" t="str">
        <f aca="false">IF(עזר!L937="","",INDEX(עזר!$B$2:$B$5001,עזר!L937))</f>
        <v/>
      </c>
      <c r="C937" s="13" t="str">
        <f aca="false">עזר!M937</f>
        <v/>
      </c>
    </row>
    <row r="938" customFormat="false" ht="15" hidden="false" customHeight="false" outlineLevel="0" collapsed="false">
      <c r="A938" s="13" t="str">
        <f aca="false">IF(עזר!L938="","",INDEX(עזר!$A$2:$A$5001,עזר!L938))</f>
        <v/>
      </c>
      <c r="B938" s="13" t="str">
        <f aca="false">IF(עזר!L938="","",INDEX(עזר!$B$2:$B$5001,עזר!L938))</f>
        <v/>
      </c>
      <c r="C938" s="13" t="str">
        <f aca="false">עזר!M938</f>
        <v/>
      </c>
    </row>
    <row r="939" customFormat="false" ht="15" hidden="false" customHeight="false" outlineLevel="0" collapsed="false">
      <c r="A939" s="13" t="str">
        <f aca="false">IF(עזר!L939="","",INDEX(עזר!$A$2:$A$5001,עזר!L939))</f>
        <v/>
      </c>
      <c r="B939" s="13" t="str">
        <f aca="false">IF(עזר!L939="","",INDEX(עזר!$B$2:$B$5001,עזר!L939))</f>
        <v/>
      </c>
      <c r="C939" s="13" t="str">
        <f aca="false">עזר!M939</f>
        <v/>
      </c>
    </row>
    <row r="940" customFormat="false" ht="15" hidden="false" customHeight="false" outlineLevel="0" collapsed="false">
      <c r="A940" s="13" t="str">
        <f aca="false">IF(עזר!L940="","",INDEX(עזר!$A$2:$A$5001,עזר!L940))</f>
        <v/>
      </c>
      <c r="B940" s="13" t="str">
        <f aca="false">IF(עזר!L940="","",INDEX(עזר!$B$2:$B$5001,עזר!L940))</f>
        <v/>
      </c>
      <c r="C940" s="13" t="str">
        <f aca="false">עזר!M940</f>
        <v/>
      </c>
    </row>
    <row r="941" customFormat="false" ht="15" hidden="false" customHeight="false" outlineLevel="0" collapsed="false">
      <c r="A941" s="13" t="str">
        <f aca="false">IF(עזר!L941="","",INDEX(עזר!$A$2:$A$5001,עזר!L941))</f>
        <v/>
      </c>
      <c r="B941" s="13" t="str">
        <f aca="false">IF(עזר!L941="","",INDEX(עזר!$B$2:$B$5001,עזר!L941))</f>
        <v/>
      </c>
      <c r="C941" s="13" t="str">
        <f aca="false">עזר!M941</f>
        <v/>
      </c>
    </row>
    <row r="942" customFormat="false" ht="15" hidden="false" customHeight="false" outlineLevel="0" collapsed="false">
      <c r="A942" s="13" t="str">
        <f aca="false">IF(עזר!L942="","",INDEX(עזר!$A$2:$A$5001,עזר!L942))</f>
        <v/>
      </c>
      <c r="B942" s="13" t="str">
        <f aca="false">IF(עזר!L942="","",INDEX(עזר!$B$2:$B$5001,עזר!L942))</f>
        <v/>
      </c>
      <c r="C942" s="13" t="str">
        <f aca="false">עזר!M942</f>
        <v/>
      </c>
    </row>
    <row r="943" customFormat="false" ht="15" hidden="false" customHeight="false" outlineLevel="0" collapsed="false">
      <c r="A943" s="13" t="str">
        <f aca="false">IF(עזר!L943="","",INDEX(עזר!$A$2:$A$5001,עזר!L943))</f>
        <v/>
      </c>
      <c r="B943" s="13" t="str">
        <f aca="false">IF(עזר!L943="","",INDEX(עזר!$B$2:$B$5001,עזר!L943))</f>
        <v/>
      </c>
      <c r="C943" s="13" t="str">
        <f aca="false">עזר!M943</f>
        <v/>
      </c>
    </row>
    <row r="944" customFormat="false" ht="15" hidden="false" customHeight="false" outlineLevel="0" collapsed="false">
      <c r="A944" s="13" t="str">
        <f aca="false">IF(עזר!L944="","",INDEX(עזר!$A$2:$A$5001,עזר!L944))</f>
        <v/>
      </c>
      <c r="B944" s="13" t="str">
        <f aca="false">IF(עזר!L944="","",INDEX(עזר!$B$2:$B$5001,עזר!L944))</f>
        <v/>
      </c>
      <c r="C944" s="13" t="str">
        <f aca="false">עזר!M944</f>
        <v/>
      </c>
    </row>
    <row r="945" customFormat="false" ht="15" hidden="false" customHeight="false" outlineLevel="0" collapsed="false">
      <c r="A945" s="13" t="str">
        <f aca="false">IF(עזר!L945="","",INDEX(עזר!$A$2:$A$5001,עזר!L945))</f>
        <v/>
      </c>
      <c r="B945" s="13" t="str">
        <f aca="false">IF(עזר!L945="","",INDEX(עזר!$B$2:$B$5001,עזר!L945))</f>
        <v/>
      </c>
      <c r="C945" s="13" t="str">
        <f aca="false">עזר!M945</f>
        <v/>
      </c>
    </row>
    <row r="946" customFormat="false" ht="15" hidden="false" customHeight="false" outlineLevel="0" collapsed="false">
      <c r="A946" s="13" t="str">
        <f aca="false">IF(עזר!L946="","",INDEX(עזר!$A$2:$A$5001,עזר!L946))</f>
        <v/>
      </c>
      <c r="B946" s="13" t="str">
        <f aca="false">IF(עזר!L946="","",INDEX(עזר!$B$2:$B$5001,עזר!L946))</f>
        <v/>
      </c>
      <c r="C946" s="13" t="str">
        <f aca="false">עזר!M946</f>
        <v/>
      </c>
    </row>
    <row r="947" customFormat="false" ht="15" hidden="false" customHeight="false" outlineLevel="0" collapsed="false">
      <c r="A947" s="13" t="str">
        <f aca="false">IF(עזר!L947="","",INDEX(עזר!$A$2:$A$5001,עזר!L947))</f>
        <v/>
      </c>
      <c r="B947" s="13" t="str">
        <f aca="false">IF(עזר!L947="","",INDEX(עזר!$B$2:$B$5001,עזר!L947))</f>
        <v/>
      </c>
      <c r="C947" s="13" t="str">
        <f aca="false">עזר!M947</f>
        <v/>
      </c>
    </row>
    <row r="948" customFormat="false" ht="15" hidden="false" customHeight="false" outlineLevel="0" collapsed="false">
      <c r="A948" s="13" t="str">
        <f aca="false">IF(עזר!L948="","",INDEX(עזר!$A$2:$A$5001,עזר!L948))</f>
        <v/>
      </c>
      <c r="B948" s="13" t="str">
        <f aca="false">IF(עזר!L948="","",INDEX(עזר!$B$2:$B$5001,עזר!L948))</f>
        <v/>
      </c>
      <c r="C948" s="13" t="str">
        <f aca="false">עזר!M948</f>
        <v/>
      </c>
    </row>
    <row r="949" customFormat="false" ht="15" hidden="false" customHeight="false" outlineLevel="0" collapsed="false">
      <c r="A949" s="13" t="str">
        <f aca="false">IF(עזר!L949="","",INDEX(עזר!$A$2:$A$5001,עזר!L949))</f>
        <v/>
      </c>
      <c r="B949" s="13" t="str">
        <f aca="false">IF(עזר!L949="","",INDEX(עזר!$B$2:$B$5001,עזר!L949))</f>
        <v/>
      </c>
      <c r="C949" s="13" t="str">
        <f aca="false">עזר!M949</f>
        <v/>
      </c>
    </row>
    <row r="950" customFormat="false" ht="15" hidden="false" customHeight="false" outlineLevel="0" collapsed="false">
      <c r="A950" s="13" t="str">
        <f aca="false">IF(עזר!L950="","",INDEX(עזר!$A$2:$A$5001,עזר!L950))</f>
        <v/>
      </c>
      <c r="B950" s="13" t="str">
        <f aca="false">IF(עזר!L950="","",INDEX(עזר!$B$2:$B$5001,עזר!L950))</f>
        <v/>
      </c>
      <c r="C950" s="13" t="str">
        <f aca="false">עזר!M950</f>
        <v/>
      </c>
    </row>
    <row r="951" customFormat="false" ht="15" hidden="false" customHeight="false" outlineLevel="0" collapsed="false">
      <c r="A951" s="13" t="str">
        <f aca="false">IF(עזר!L951="","",INDEX(עזר!$A$2:$A$5001,עזר!L951))</f>
        <v/>
      </c>
      <c r="B951" s="13" t="str">
        <f aca="false">IF(עזר!L951="","",INDEX(עזר!$B$2:$B$5001,עזר!L951))</f>
        <v/>
      </c>
      <c r="C951" s="13" t="str">
        <f aca="false">עזר!M951</f>
        <v/>
      </c>
    </row>
    <row r="952" customFormat="false" ht="15" hidden="false" customHeight="false" outlineLevel="0" collapsed="false">
      <c r="A952" s="13" t="str">
        <f aca="false">IF(עזר!L952="","",INDEX(עזר!$A$2:$A$5001,עזר!L952))</f>
        <v/>
      </c>
      <c r="B952" s="13" t="str">
        <f aca="false">IF(עזר!L952="","",INDEX(עזר!$B$2:$B$5001,עזר!L952))</f>
        <v/>
      </c>
      <c r="C952" s="13" t="str">
        <f aca="false">עזר!M952</f>
        <v/>
      </c>
    </row>
    <row r="953" customFormat="false" ht="15" hidden="false" customHeight="false" outlineLevel="0" collapsed="false">
      <c r="A953" s="13" t="str">
        <f aca="false">IF(עזר!L953="","",INDEX(עזר!$A$2:$A$5001,עזר!L953))</f>
        <v/>
      </c>
      <c r="B953" s="13" t="str">
        <f aca="false">IF(עזר!L953="","",INDEX(עזר!$B$2:$B$5001,עזר!L953))</f>
        <v/>
      </c>
      <c r="C953" s="13" t="str">
        <f aca="false">עזר!M953</f>
        <v/>
      </c>
    </row>
    <row r="954" customFormat="false" ht="15" hidden="false" customHeight="false" outlineLevel="0" collapsed="false">
      <c r="A954" s="13" t="str">
        <f aca="false">IF(עזר!L954="","",INDEX(עזר!$A$2:$A$5001,עזר!L954))</f>
        <v/>
      </c>
      <c r="B954" s="13" t="str">
        <f aca="false">IF(עזר!L954="","",INDEX(עזר!$B$2:$B$5001,עזר!L954))</f>
        <v/>
      </c>
      <c r="C954" s="13" t="str">
        <f aca="false">עזר!M954</f>
        <v/>
      </c>
    </row>
    <row r="955" customFormat="false" ht="15" hidden="false" customHeight="false" outlineLevel="0" collapsed="false">
      <c r="A955" s="13" t="str">
        <f aca="false">IF(עזר!L955="","",INDEX(עזר!$A$2:$A$5001,עזר!L955))</f>
        <v/>
      </c>
      <c r="B955" s="13" t="str">
        <f aca="false">IF(עזר!L955="","",INDEX(עזר!$B$2:$B$5001,עזר!L955))</f>
        <v/>
      </c>
      <c r="C955" s="13" t="str">
        <f aca="false">עזר!M955</f>
        <v/>
      </c>
    </row>
    <row r="956" customFormat="false" ht="15" hidden="false" customHeight="false" outlineLevel="0" collapsed="false">
      <c r="A956" s="13" t="str">
        <f aca="false">IF(עזר!L956="","",INDEX(עזר!$A$2:$A$5001,עזר!L956))</f>
        <v/>
      </c>
      <c r="B956" s="13" t="str">
        <f aca="false">IF(עזר!L956="","",INDEX(עזר!$B$2:$B$5001,עזר!L956))</f>
        <v/>
      </c>
      <c r="C956" s="13" t="str">
        <f aca="false">עזר!M956</f>
        <v/>
      </c>
    </row>
    <row r="957" customFormat="false" ht="15" hidden="false" customHeight="false" outlineLevel="0" collapsed="false">
      <c r="A957" s="13" t="str">
        <f aca="false">IF(עזר!L957="","",INDEX(עזר!$A$2:$A$5001,עזר!L957))</f>
        <v/>
      </c>
      <c r="B957" s="13" t="str">
        <f aca="false">IF(עזר!L957="","",INDEX(עזר!$B$2:$B$5001,עזר!L957))</f>
        <v/>
      </c>
      <c r="C957" s="13" t="str">
        <f aca="false">עזר!M957</f>
        <v/>
      </c>
    </row>
    <row r="958" customFormat="false" ht="15" hidden="false" customHeight="false" outlineLevel="0" collapsed="false">
      <c r="A958" s="13" t="str">
        <f aca="false">IF(עזר!L958="","",INDEX(עזר!$A$2:$A$5001,עזר!L958))</f>
        <v/>
      </c>
      <c r="B958" s="13" t="str">
        <f aca="false">IF(עזר!L958="","",INDEX(עזר!$B$2:$B$5001,עזר!L958))</f>
        <v/>
      </c>
      <c r="C958" s="13" t="str">
        <f aca="false">עזר!M958</f>
        <v/>
      </c>
    </row>
    <row r="959" customFormat="false" ht="15" hidden="false" customHeight="false" outlineLevel="0" collapsed="false">
      <c r="A959" s="13" t="str">
        <f aca="false">IF(עזר!L959="","",INDEX(עזר!$A$2:$A$5001,עזר!L959))</f>
        <v/>
      </c>
      <c r="B959" s="13" t="str">
        <f aca="false">IF(עזר!L959="","",INDEX(עזר!$B$2:$B$5001,עזר!L959))</f>
        <v/>
      </c>
      <c r="C959" s="13" t="str">
        <f aca="false">עזר!M959</f>
        <v/>
      </c>
    </row>
    <row r="960" customFormat="false" ht="15" hidden="false" customHeight="false" outlineLevel="0" collapsed="false">
      <c r="A960" s="13" t="str">
        <f aca="false">IF(עזר!L960="","",INDEX(עזר!$A$2:$A$5001,עזר!L960))</f>
        <v/>
      </c>
      <c r="B960" s="13" t="str">
        <f aca="false">IF(עזר!L960="","",INDEX(עזר!$B$2:$B$5001,עזר!L960))</f>
        <v/>
      </c>
      <c r="C960" s="13" t="str">
        <f aca="false">עזר!M960</f>
        <v/>
      </c>
    </row>
    <row r="961" customFormat="false" ht="15" hidden="false" customHeight="false" outlineLevel="0" collapsed="false">
      <c r="A961" s="13" t="str">
        <f aca="false">IF(עזר!L961="","",INDEX(עזר!$A$2:$A$5001,עזר!L961))</f>
        <v/>
      </c>
      <c r="B961" s="13" t="str">
        <f aca="false">IF(עזר!L961="","",INDEX(עזר!$B$2:$B$5001,עזר!L961))</f>
        <v/>
      </c>
      <c r="C961" s="13" t="str">
        <f aca="false">עזר!M961</f>
        <v/>
      </c>
    </row>
    <row r="962" customFormat="false" ht="15" hidden="false" customHeight="false" outlineLevel="0" collapsed="false">
      <c r="A962" s="13" t="str">
        <f aca="false">IF(עזר!L962="","",INDEX(עזר!$A$2:$A$5001,עזר!L962))</f>
        <v/>
      </c>
      <c r="B962" s="13" t="str">
        <f aca="false">IF(עזר!L962="","",INDEX(עזר!$B$2:$B$5001,עזר!L962))</f>
        <v/>
      </c>
      <c r="C962" s="13" t="str">
        <f aca="false">עזר!M962</f>
        <v/>
      </c>
    </row>
    <row r="963" customFormat="false" ht="15" hidden="false" customHeight="false" outlineLevel="0" collapsed="false">
      <c r="A963" s="13" t="str">
        <f aca="false">IF(עזר!L963="","",INDEX(עזר!$A$2:$A$5001,עזר!L963))</f>
        <v/>
      </c>
      <c r="B963" s="13" t="str">
        <f aca="false">IF(עזר!L963="","",INDEX(עזר!$B$2:$B$5001,עזר!L963))</f>
        <v/>
      </c>
      <c r="C963" s="13" t="str">
        <f aca="false">עזר!M963</f>
        <v/>
      </c>
    </row>
    <row r="964" customFormat="false" ht="15" hidden="false" customHeight="false" outlineLevel="0" collapsed="false">
      <c r="A964" s="13" t="str">
        <f aca="false">IF(עזר!L964="","",INDEX(עזר!$A$2:$A$5001,עזר!L964))</f>
        <v/>
      </c>
      <c r="B964" s="13" t="str">
        <f aca="false">IF(עזר!L964="","",INDEX(עזר!$B$2:$B$5001,עזר!L964))</f>
        <v/>
      </c>
      <c r="C964" s="13" t="str">
        <f aca="false">עזר!M964</f>
        <v/>
      </c>
    </row>
    <row r="965" customFormat="false" ht="15" hidden="false" customHeight="false" outlineLevel="0" collapsed="false">
      <c r="A965" s="13" t="str">
        <f aca="false">IF(עזר!L965="","",INDEX(עזר!$A$2:$A$5001,עזר!L965))</f>
        <v/>
      </c>
      <c r="B965" s="13" t="str">
        <f aca="false">IF(עזר!L965="","",INDEX(עזר!$B$2:$B$5001,עזר!L965))</f>
        <v/>
      </c>
      <c r="C965" s="13" t="str">
        <f aca="false">עזר!M965</f>
        <v/>
      </c>
    </row>
    <row r="966" customFormat="false" ht="15" hidden="false" customHeight="false" outlineLevel="0" collapsed="false">
      <c r="A966" s="13" t="str">
        <f aca="false">IF(עזר!L966="","",INDEX(עזר!$A$2:$A$5001,עזר!L966))</f>
        <v/>
      </c>
      <c r="B966" s="13" t="str">
        <f aca="false">IF(עזר!L966="","",INDEX(עזר!$B$2:$B$5001,עזר!L966))</f>
        <v/>
      </c>
      <c r="C966" s="13" t="str">
        <f aca="false">עזר!M966</f>
        <v/>
      </c>
    </row>
    <row r="967" customFormat="false" ht="15" hidden="false" customHeight="false" outlineLevel="0" collapsed="false">
      <c r="A967" s="13" t="str">
        <f aca="false">IF(עזר!L967="","",INDEX(עזר!$A$2:$A$5001,עזר!L967))</f>
        <v/>
      </c>
      <c r="B967" s="13" t="str">
        <f aca="false">IF(עזר!L967="","",INDEX(עזר!$B$2:$B$5001,עזר!L967))</f>
        <v/>
      </c>
      <c r="C967" s="13" t="str">
        <f aca="false">עזר!M967</f>
        <v/>
      </c>
    </row>
    <row r="968" customFormat="false" ht="15" hidden="false" customHeight="false" outlineLevel="0" collapsed="false">
      <c r="A968" s="13" t="str">
        <f aca="false">IF(עזר!L968="","",INDEX(עזר!$A$2:$A$5001,עזר!L968))</f>
        <v/>
      </c>
      <c r="B968" s="13" t="str">
        <f aca="false">IF(עזר!L968="","",INDEX(עזר!$B$2:$B$5001,עזר!L968))</f>
        <v/>
      </c>
      <c r="C968" s="13" t="str">
        <f aca="false">עזר!M968</f>
        <v/>
      </c>
    </row>
    <row r="969" customFormat="false" ht="15" hidden="false" customHeight="false" outlineLevel="0" collapsed="false">
      <c r="A969" s="13" t="str">
        <f aca="false">IF(עזר!L969="","",INDEX(עזר!$A$2:$A$5001,עזר!L969))</f>
        <v/>
      </c>
      <c r="B969" s="13" t="str">
        <f aca="false">IF(עזר!L969="","",INDEX(עזר!$B$2:$B$5001,עזר!L969))</f>
        <v/>
      </c>
      <c r="C969" s="13" t="str">
        <f aca="false">עזר!M969</f>
        <v/>
      </c>
    </row>
    <row r="970" customFormat="false" ht="15" hidden="false" customHeight="false" outlineLevel="0" collapsed="false">
      <c r="A970" s="13" t="str">
        <f aca="false">IF(עזר!L970="","",INDEX(עזר!$A$2:$A$5001,עזר!L970))</f>
        <v/>
      </c>
      <c r="B970" s="13" t="str">
        <f aca="false">IF(עזר!L970="","",INDEX(עזר!$B$2:$B$5001,עזר!L970))</f>
        <v/>
      </c>
      <c r="C970" s="13" t="str">
        <f aca="false">עזר!M970</f>
        <v/>
      </c>
    </row>
    <row r="971" customFormat="false" ht="15" hidden="false" customHeight="false" outlineLevel="0" collapsed="false">
      <c r="A971" s="13" t="str">
        <f aca="false">IF(עזר!L971="","",INDEX(עזר!$A$2:$A$5001,עזר!L971))</f>
        <v/>
      </c>
      <c r="B971" s="13" t="str">
        <f aca="false">IF(עזר!L971="","",INDEX(עזר!$B$2:$B$5001,עזר!L971))</f>
        <v/>
      </c>
      <c r="C971" s="13" t="str">
        <f aca="false">עזר!M971</f>
        <v/>
      </c>
    </row>
    <row r="972" customFormat="false" ht="15" hidden="false" customHeight="false" outlineLevel="0" collapsed="false">
      <c r="A972" s="13" t="str">
        <f aca="false">IF(עזר!L972="","",INDEX(עזר!$A$2:$A$5001,עזר!L972))</f>
        <v/>
      </c>
      <c r="B972" s="13" t="str">
        <f aca="false">IF(עזר!L972="","",INDEX(עזר!$B$2:$B$5001,עזר!L972))</f>
        <v/>
      </c>
      <c r="C972" s="13" t="str">
        <f aca="false">עזר!M972</f>
        <v/>
      </c>
    </row>
    <row r="973" customFormat="false" ht="15" hidden="false" customHeight="false" outlineLevel="0" collapsed="false">
      <c r="A973" s="13" t="str">
        <f aca="false">IF(עזר!L973="","",INDEX(עזר!$A$2:$A$5001,עזר!L973))</f>
        <v/>
      </c>
      <c r="B973" s="13" t="str">
        <f aca="false">IF(עזר!L973="","",INDEX(עזר!$B$2:$B$5001,עזר!L973))</f>
        <v/>
      </c>
      <c r="C973" s="13" t="str">
        <f aca="false">עזר!M973</f>
        <v/>
      </c>
    </row>
    <row r="974" customFormat="false" ht="15" hidden="false" customHeight="false" outlineLevel="0" collapsed="false">
      <c r="A974" s="13" t="str">
        <f aca="false">IF(עזר!L974="","",INDEX(עזר!$A$2:$A$5001,עזר!L974))</f>
        <v/>
      </c>
      <c r="B974" s="13" t="str">
        <f aca="false">IF(עזר!L974="","",INDEX(עזר!$B$2:$B$5001,עזר!L974))</f>
        <v/>
      </c>
      <c r="C974" s="13" t="str">
        <f aca="false">עזר!M974</f>
        <v/>
      </c>
    </row>
    <row r="975" customFormat="false" ht="15" hidden="false" customHeight="false" outlineLevel="0" collapsed="false">
      <c r="A975" s="13" t="str">
        <f aca="false">IF(עזר!L975="","",INDEX(עזר!$A$2:$A$5001,עזר!L975))</f>
        <v/>
      </c>
      <c r="B975" s="13" t="str">
        <f aca="false">IF(עזר!L975="","",INDEX(עזר!$B$2:$B$5001,עזר!L975))</f>
        <v/>
      </c>
      <c r="C975" s="13" t="str">
        <f aca="false">עזר!M975</f>
        <v/>
      </c>
    </row>
    <row r="976" customFormat="false" ht="15" hidden="false" customHeight="false" outlineLevel="0" collapsed="false">
      <c r="A976" s="13" t="str">
        <f aca="false">IF(עזר!L976="","",INDEX(עזר!$A$2:$A$5001,עזר!L976))</f>
        <v/>
      </c>
      <c r="B976" s="13" t="str">
        <f aca="false">IF(עזר!L976="","",INDEX(עזר!$B$2:$B$5001,עזר!L976))</f>
        <v/>
      </c>
      <c r="C976" s="13" t="str">
        <f aca="false">עזר!M976</f>
        <v/>
      </c>
    </row>
    <row r="977" customFormat="false" ht="15" hidden="false" customHeight="false" outlineLevel="0" collapsed="false">
      <c r="A977" s="13" t="str">
        <f aca="false">IF(עזר!L977="","",INDEX(עזר!$A$2:$A$5001,עזר!L977))</f>
        <v/>
      </c>
      <c r="B977" s="13" t="str">
        <f aca="false">IF(עזר!L977="","",INDEX(עזר!$B$2:$B$5001,עזר!L977))</f>
        <v/>
      </c>
      <c r="C977" s="13" t="str">
        <f aca="false">עזר!M977</f>
        <v/>
      </c>
    </row>
    <row r="978" customFormat="false" ht="15" hidden="false" customHeight="false" outlineLevel="0" collapsed="false">
      <c r="A978" s="13" t="str">
        <f aca="false">IF(עזר!L978="","",INDEX(עזר!$A$2:$A$5001,עזר!L978))</f>
        <v/>
      </c>
      <c r="B978" s="13" t="str">
        <f aca="false">IF(עזר!L978="","",INDEX(עזר!$B$2:$B$5001,עזר!L978))</f>
        <v/>
      </c>
      <c r="C978" s="13" t="str">
        <f aca="false">עזר!M978</f>
        <v/>
      </c>
    </row>
    <row r="979" customFormat="false" ht="15" hidden="false" customHeight="false" outlineLevel="0" collapsed="false">
      <c r="A979" s="13" t="str">
        <f aca="false">IF(עזר!L979="","",INDEX(עזר!$A$2:$A$5001,עזר!L979))</f>
        <v/>
      </c>
      <c r="B979" s="13" t="str">
        <f aca="false">IF(עזר!L979="","",INDEX(עזר!$B$2:$B$5001,עזר!L979))</f>
        <v/>
      </c>
      <c r="C979" s="13" t="str">
        <f aca="false">עזר!M979</f>
        <v/>
      </c>
    </row>
    <row r="980" customFormat="false" ht="15" hidden="false" customHeight="false" outlineLevel="0" collapsed="false">
      <c r="A980" s="13" t="str">
        <f aca="false">IF(עזר!L980="","",INDEX(עזר!$A$2:$A$5001,עזר!L980))</f>
        <v/>
      </c>
      <c r="B980" s="13" t="str">
        <f aca="false">IF(עזר!L980="","",INDEX(עזר!$B$2:$B$5001,עזר!L980))</f>
        <v/>
      </c>
      <c r="C980" s="13" t="str">
        <f aca="false">עזר!M980</f>
        <v/>
      </c>
    </row>
    <row r="981" customFormat="false" ht="15" hidden="false" customHeight="false" outlineLevel="0" collapsed="false">
      <c r="A981" s="13" t="str">
        <f aca="false">IF(עזר!L981="","",INDEX(עזר!$A$2:$A$5001,עזר!L981))</f>
        <v/>
      </c>
      <c r="B981" s="13" t="str">
        <f aca="false">IF(עזר!L981="","",INDEX(עזר!$B$2:$B$5001,עזר!L981))</f>
        <v/>
      </c>
      <c r="C981" s="13" t="str">
        <f aca="false">עזר!M981</f>
        <v/>
      </c>
    </row>
    <row r="982" customFormat="false" ht="15" hidden="false" customHeight="false" outlineLevel="0" collapsed="false">
      <c r="A982" s="13" t="str">
        <f aca="false">IF(עזר!L982="","",INDEX(עזר!$A$2:$A$5001,עזר!L982))</f>
        <v/>
      </c>
      <c r="B982" s="13" t="str">
        <f aca="false">IF(עזר!L982="","",INDEX(עזר!$B$2:$B$5001,עזר!L982))</f>
        <v/>
      </c>
      <c r="C982" s="13" t="str">
        <f aca="false">עזר!M982</f>
        <v/>
      </c>
    </row>
    <row r="983" customFormat="false" ht="15" hidden="false" customHeight="false" outlineLevel="0" collapsed="false">
      <c r="A983" s="13" t="str">
        <f aca="false">IF(עזר!L983="","",INDEX(עזר!$A$2:$A$5001,עזר!L983))</f>
        <v/>
      </c>
      <c r="B983" s="13" t="str">
        <f aca="false">IF(עזר!L983="","",INDEX(עזר!$B$2:$B$5001,עזר!L983))</f>
        <v/>
      </c>
      <c r="C983" s="13" t="str">
        <f aca="false">עזר!M983</f>
        <v/>
      </c>
    </row>
    <row r="984" customFormat="false" ht="15" hidden="false" customHeight="false" outlineLevel="0" collapsed="false">
      <c r="A984" s="13" t="str">
        <f aca="false">IF(עזר!L984="","",INDEX(עזר!$A$2:$A$5001,עזר!L984))</f>
        <v/>
      </c>
      <c r="B984" s="13" t="str">
        <f aca="false">IF(עזר!L984="","",INDEX(עזר!$B$2:$B$5001,עזר!L984))</f>
        <v/>
      </c>
      <c r="C984" s="13" t="str">
        <f aca="false">עזר!M984</f>
        <v/>
      </c>
    </row>
    <row r="985" customFormat="false" ht="15" hidden="false" customHeight="false" outlineLevel="0" collapsed="false">
      <c r="A985" s="13" t="str">
        <f aca="false">IF(עזר!L985="","",INDEX(עזר!$A$2:$A$5001,עזר!L985))</f>
        <v/>
      </c>
      <c r="B985" s="13" t="str">
        <f aca="false">IF(עזר!L985="","",INDEX(עזר!$B$2:$B$5001,עזר!L985))</f>
        <v/>
      </c>
      <c r="C985" s="13" t="str">
        <f aca="false">עזר!M985</f>
        <v/>
      </c>
    </row>
    <row r="986" customFormat="false" ht="15" hidden="false" customHeight="false" outlineLevel="0" collapsed="false">
      <c r="A986" s="13" t="str">
        <f aca="false">IF(עזר!L986="","",INDEX(עזר!$A$2:$A$5001,עזר!L986))</f>
        <v/>
      </c>
      <c r="B986" s="13" t="str">
        <f aca="false">IF(עזר!L986="","",INDEX(עזר!$B$2:$B$5001,עזר!L986))</f>
        <v/>
      </c>
      <c r="C986" s="13" t="str">
        <f aca="false">עזר!M986</f>
        <v/>
      </c>
    </row>
    <row r="987" customFormat="false" ht="15" hidden="false" customHeight="false" outlineLevel="0" collapsed="false">
      <c r="A987" s="13" t="str">
        <f aca="false">IF(עזר!L987="","",INDEX(עזר!$A$2:$A$5001,עזר!L987))</f>
        <v/>
      </c>
      <c r="B987" s="13" t="str">
        <f aca="false">IF(עזר!L987="","",INDEX(עזר!$B$2:$B$5001,עזר!L987))</f>
        <v/>
      </c>
      <c r="C987" s="13" t="str">
        <f aca="false">עזר!M987</f>
        <v/>
      </c>
    </row>
    <row r="988" customFormat="false" ht="15" hidden="false" customHeight="false" outlineLevel="0" collapsed="false">
      <c r="A988" s="13" t="str">
        <f aca="false">IF(עזר!L988="","",INDEX(עזר!$A$2:$A$5001,עזר!L988))</f>
        <v/>
      </c>
      <c r="B988" s="13" t="str">
        <f aca="false">IF(עזר!L988="","",INDEX(עזר!$B$2:$B$5001,עזר!L988))</f>
        <v/>
      </c>
      <c r="C988" s="13" t="str">
        <f aca="false">עזר!M988</f>
        <v/>
      </c>
    </row>
    <row r="989" customFormat="false" ht="15" hidden="false" customHeight="false" outlineLevel="0" collapsed="false">
      <c r="A989" s="13" t="str">
        <f aca="false">IF(עזר!L989="","",INDEX(עזר!$A$2:$A$5001,עזר!L989))</f>
        <v/>
      </c>
      <c r="B989" s="13" t="str">
        <f aca="false">IF(עזר!L989="","",INDEX(עזר!$B$2:$B$5001,עזר!L989))</f>
        <v/>
      </c>
      <c r="C989" s="13" t="str">
        <f aca="false">עזר!M989</f>
        <v/>
      </c>
    </row>
    <row r="990" customFormat="false" ht="15" hidden="false" customHeight="false" outlineLevel="0" collapsed="false">
      <c r="A990" s="13" t="str">
        <f aca="false">IF(עזר!L990="","",INDEX(עזר!$A$2:$A$5001,עזר!L990))</f>
        <v/>
      </c>
      <c r="B990" s="13" t="str">
        <f aca="false">IF(עזר!L990="","",INDEX(עזר!$B$2:$B$5001,עזר!L990))</f>
        <v/>
      </c>
      <c r="C990" s="13" t="str">
        <f aca="false">עזר!M990</f>
        <v/>
      </c>
    </row>
    <row r="991" customFormat="false" ht="15" hidden="false" customHeight="false" outlineLevel="0" collapsed="false">
      <c r="A991" s="13" t="str">
        <f aca="false">IF(עזר!L991="","",INDEX(עזר!$A$2:$A$5001,עזר!L991))</f>
        <v/>
      </c>
      <c r="B991" s="13" t="str">
        <f aca="false">IF(עזר!L991="","",INDEX(עזר!$B$2:$B$5001,עזר!L991))</f>
        <v/>
      </c>
      <c r="C991" s="13" t="str">
        <f aca="false">עזר!M991</f>
        <v/>
      </c>
    </row>
    <row r="992" customFormat="false" ht="15" hidden="false" customHeight="false" outlineLevel="0" collapsed="false">
      <c r="A992" s="13" t="str">
        <f aca="false">IF(עזר!L992="","",INDEX(עזר!$A$2:$A$5001,עזר!L992))</f>
        <v/>
      </c>
      <c r="B992" s="13" t="str">
        <f aca="false">IF(עזר!L992="","",INDEX(עזר!$B$2:$B$5001,עזר!L992))</f>
        <v/>
      </c>
      <c r="C992" s="13" t="str">
        <f aca="false">עזר!M992</f>
        <v/>
      </c>
    </row>
    <row r="993" customFormat="false" ht="15" hidden="false" customHeight="false" outlineLevel="0" collapsed="false">
      <c r="A993" s="13" t="str">
        <f aca="false">IF(עזר!L993="","",INDEX(עזר!$A$2:$A$5001,עזר!L993))</f>
        <v/>
      </c>
      <c r="B993" s="13" t="str">
        <f aca="false">IF(עזר!L993="","",INDEX(עזר!$B$2:$B$5001,עזר!L993))</f>
        <v/>
      </c>
      <c r="C993" s="13" t="str">
        <f aca="false">עזר!M993</f>
        <v/>
      </c>
    </row>
    <row r="994" customFormat="false" ht="15" hidden="false" customHeight="false" outlineLevel="0" collapsed="false">
      <c r="A994" s="13" t="str">
        <f aca="false">IF(עזר!L994="","",INDEX(עזר!$A$2:$A$5001,עזר!L994))</f>
        <v/>
      </c>
      <c r="B994" s="13" t="str">
        <f aca="false">IF(עזר!L994="","",INDEX(עזר!$B$2:$B$5001,עזר!L994))</f>
        <v/>
      </c>
      <c r="C994" s="13" t="str">
        <f aca="false">עזר!M994</f>
        <v/>
      </c>
    </row>
    <row r="995" customFormat="false" ht="15" hidden="false" customHeight="false" outlineLevel="0" collapsed="false">
      <c r="A995" s="13" t="str">
        <f aca="false">IF(עזר!L995="","",INDEX(עזר!$A$2:$A$5001,עזר!L995))</f>
        <v/>
      </c>
      <c r="B995" s="13" t="str">
        <f aca="false">IF(עזר!L995="","",INDEX(עזר!$B$2:$B$5001,עזר!L995))</f>
        <v/>
      </c>
      <c r="C995" s="13" t="str">
        <f aca="false">עזר!M995</f>
        <v/>
      </c>
    </row>
    <row r="996" customFormat="false" ht="15" hidden="false" customHeight="false" outlineLevel="0" collapsed="false">
      <c r="A996" s="13" t="str">
        <f aca="false">IF(עזר!L996="","",INDEX(עזר!$A$2:$A$5001,עזר!L996))</f>
        <v/>
      </c>
      <c r="B996" s="13" t="str">
        <f aca="false">IF(עזר!L996="","",INDEX(עזר!$B$2:$B$5001,עזר!L996))</f>
        <v/>
      </c>
      <c r="C996" s="13" t="str">
        <f aca="false">עזר!M996</f>
        <v/>
      </c>
    </row>
    <row r="997" customFormat="false" ht="15" hidden="false" customHeight="false" outlineLevel="0" collapsed="false">
      <c r="A997" s="13" t="str">
        <f aca="false">IF(עזר!L997="","",INDEX(עזר!$A$2:$A$5001,עזר!L997))</f>
        <v/>
      </c>
      <c r="B997" s="13" t="str">
        <f aca="false">IF(עזר!L997="","",INDEX(עזר!$B$2:$B$5001,עזר!L997))</f>
        <v/>
      </c>
      <c r="C997" s="13" t="str">
        <f aca="false">עזר!M997</f>
        <v/>
      </c>
    </row>
    <row r="998" customFormat="false" ht="15" hidden="false" customHeight="false" outlineLevel="0" collapsed="false">
      <c r="A998" s="13" t="str">
        <f aca="false">IF(עזר!L998="","",INDEX(עזר!$A$2:$A$5001,עזר!L998))</f>
        <v/>
      </c>
      <c r="B998" s="13" t="str">
        <f aca="false">IF(עזר!L998="","",INDEX(עזר!$B$2:$B$5001,עזר!L998))</f>
        <v/>
      </c>
      <c r="C998" s="13" t="str">
        <f aca="false">עזר!M998</f>
        <v/>
      </c>
    </row>
    <row r="999" customFormat="false" ht="15" hidden="false" customHeight="false" outlineLevel="0" collapsed="false">
      <c r="A999" s="13" t="str">
        <f aca="false">IF(עזר!L999="","",INDEX(עזר!$A$2:$A$5001,עזר!L999))</f>
        <v/>
      </c>
      <c r="B999" s="13" t="str">
        <f aca="false">IF(עזר!L999="","",INDEX(עזר!$B$2:$B$5001,עזר!L999))</f>
        <v/>
      </c>
      <c r="C999" s="13" t="str">
        <f aca="false">עזר!M999</f>
        <v/>
      </c>
    </row>
    <row r="1000" customFormat="false" ht="15" hidden="false" customHeight="false" outlineLevel="0" collapsed="false">
      <c r="A1000" s="13" t="str">
        <f aca="false">IF(עזר!L1000="","",INDEX(עזר!$A$2:$A$5001,עזר!L1000))</f>
        <v/>
      </c>
      <c r="B1000" s="13" t="str">
        <f aca="false">IF(עזר!L1000="","",INDEX(עזר!$B$2:$B$5001,עזר!L1000))</f>
        <v/>
      </c>
      <c r="C1000" s="13" t="str">
        <f aca="false">עזר!M1000</f>
        <v/>
      </c>
    </row>
    <row r="1001" customFormat="false" ht="15" hidden="false" customHeight="false" outlineLevel="0" collapsed="false">
      <c r="A1001" s="13" t="str">
        <f aca="false">IF(עזר!L1001="","",INDEX(עזר!$A$2:$A$5001,עזר!L1001))</f>
        <v/>
      </c>
      <c r="B1001" s="13" t="str">
        <f aca="false">IF(עזר!L1001="","",INDEX(עזר!$B$2:$B$5001,עזר!L1001))</f>
        <v/>
      </c>
      <c r="C1001" s="13" t="str">
        <f aca="false">עזר!M1001</f>
        <v/>
      </c>
    </row>
    <row r="1002" customFormat="false" ht="15" hidden="false" customHeight="false" outlineLevel="0" collapsed="false">
      <c r="A1002" s="13" t="str">
        <f aca="false">IF(עזר!L1002="","",INDEX(עזר!$A$2:$A$5001,עזר!L1002))</f>
        <v/>
      </c>
      <c r="B1002" s="13" t="str">
        <f aca="false">IF(עזר!L1002="","",INDEX(עזר!$B$2:$B$5001,עזר!L1002))</f>
        <v/>
      </c>
      <c r="C1002" s="13" t="str">
        <f aca="false">עזר!M1002</f>
        <v/>
      </c>
    </row>
    <row r="1003" customFormat="false" ht="15" hidden="false" customHeight="false" outlineLevel="0" collapsed="false">
      <c r="A1003" s="13" t="str">
        <f aca="false">IF(עזר!L1003="","",INDEX(עזר!$A$2:$A$5001,עזר!L1003))</f>
        <v/>
      </c>
      <c r="B1003" s="13" t="str">
        <f aca="false">IF(עזר!L1003="","",INDEX(עזר!$B$2:$B$5001,עזר!L1003))</f>
        <v/>
      </c>
      <c r="C1003" s="13" t="str">
        <f aca="false">עזר!M1003</f>
        <v/>
      </c>
    </row>
    <row r="1004" customFormat="false" ht="15" hidden="false" customHeight="false" outlineLevel="0" collapsed="false">
      <c r="A1004" s="13" t="str">
        <f aca="false">IF(עזר!L1004="","",INDEX(עזר!$A$2:$A$5001,עזר!L1004))</f>
        <v/>
      </c>
      <c r="B1004" s="13" t="str">
        <f aca="false">IF(עזר!L1004="","",INDEX(עזר!$B$2:$B$5001,עזר!L1004))</f>
        <v/>
      </c>
      <c r="C1004" s="13" t="str">
        <f aca="false">עזר!M1004</f>
        <v/>
      </c>
    </row>
    <row r="1005" customFormat="false" ht="15" hidden="false" customHeight="false" outlineLevel="0" collapsed="false">
      <c r="A1005" s="13" t="str">
        <f aca="false">IF(עזר!L1005="","",INDEX(עזר!$A$2:$A$5001,עזר!L1005))</f>
        <v/>
      </c>
      <c r="B1005" s="13" t="str">
        <f aca="false">IF(עזר!L1005="","",INDEX(עזר!$B$2:$B$5001,עזר!L1005))</f>
        <v/>
      </c>
      <c r="C1005" s="13" t="str">
        <f aca="false">עזר!M1005</f>
        <v/>
      </c>
    </row>
    <row r="1006" customFormat="false" ht="15" hidden="false" customHeight="false" outlineLevel="0" collapsed="false">
      <c r="A1006" s="13" t="str">
        <f aca="false">IF(עזר!L1006="","",INDEX(עזר!$A$2:$A$5001,עזר!L1006))</f>
        <v/>
      </c>
      <c r="B1006" s="13" t="str">
        <f aca="false">IF(עזר!L1006="","",INDEX(עזר!$B$2:$B$5001,עזר!L1006))</f>
        <v/>
      </c>
      <c r="C1006" s="13" t="str">
        <f aca="false">עזר!M1006</f>
        <v/>
      </c>
    </row>
    <row r="1007" customFormat="false" ht="15" hidden="false" customHeight="false" outlineLevel="0" collapsed="false">
      <c r="A1007" s="13" t="str">
        <f aca="false">IF(עזר!L1007="","",INDEX(עזר!$A$2:$A$5001,עזר!L1007))</f>
        <v/>
      </c>
      <c r="B1007" s="13" t="str">
        <f aca="false">IF(עזר!L1007="","",INDEX(עזר!$B$2:$B$5001,עזר!L1007))</f>
        <v/>
      </c>
      <c r="C1007" s="13" t="str">
        <f aca="false">עזר!M1007</f>
        <v/>
      </c>
    </row>
    <row r="1008" customFormat="false" ht="15" hidden="false" customHeight="false" outlineLevel="0" collapsed="false">
      <c r="A1008" s="13" t="str">
        <f aca="false">IF(עזר!L1008="","",INDEX(עזר!$A$2:$A$5001,עזר!L1008))</f>
        <v/>
      </c>
      <c r="B1008" s="13" t="str">
        <f aca="false">IF(עזר!L1008="","",INDEX(עזר!$B$2:$B$5001,עזר!L1008))</f>
        <v/>
      </c>
      <c r="C1008" s="13" t="str">
        <f aca="false">עזר!M1008</f>
        <v/>
      </c>
    </row>
    <row r="1009" customFormat="false" ht="15" hidden="false" customHeight="false" outlineLevel="0" collapsed="false">
      <c r="A1009" s="13" t="str">
        <f aca="false">IF(עזר!L1009="","",INDEX(עזר!$A$2:$A$5001,עזר!L1009))</f>
        <v/>
      </c>
      <c r="B1009" s="13" t="str">
        <f aca="false">IF(עזר!L1009="","",INDEX(עזר!$B$2:$B$5001,עזר!L1009))</f>
        <v/>
      </c>
      <c r="C1009" s="13" t="str">
        <f aca="false">עזר!M1009</f>
        <v/>
      </c>
    </row>
    <row r="1010" customFormat="false" ht="15" hidden="false" customHeight="false" outlineLevel="0" collapsed="false">
      <c r="A1010" s="13" t="str">
        <f aca="false">IF(עזר!L1010="","",INDEX(עזר!$A$2:$A$5001,עזר!L1010))</f>
        <v/>
      </c>
      <c r="B1010" s="13" t="str">
        <f aca="false">IF(עזר!L1010="","",INDEX(עזר!$B$2:$B$5001,עזר!L1010))</f>
        <v/>
      </c>
      <c r="C1010" s="13" t="str">
        <f aca="false">עזר!M1010</f>
        <v/>
      </c>
    </row>
    <row r="1011" customFormat="false" ht="15" hidden="false" customHeight="false" outlineLevel="0" collapsed="false">
      <c r="A1011" s="13" t="str">
        <f aca="false">IF(עזר!L1011="","",INDEX(עזר!$A$2:$A$5001,עזר!L1011))</f>
        <v/>
      </c>
      <c r="B1011" s="13" t="str">
        <f aca="false">IF(עזר!L1011="","",INDEX(עזר!$B$2:$B$5001,עזר!L1011))</f>
        <v/>
      </c>
      <c r="C1011" s="13" t="str">
        <f aca="false">עזר!M1011</f>
        <v/>
      </c>
    </row>
    <row r="1012" customFormat="false" ht="15" hidden="false" customHeight="false" outlineLevel="0" collapsed="false">
      <c r="A1012" s="13" t="str">
        <f aca="false">IF(עזר!L1012="","",INDEX(עזר!$A$2:$A$5001,עזר!L1012))</f>
        <v/>
      </c>
      <c r="B1012" s="13" t="str">
        <f aca="false">IF(עזר!L1012="","",INDEX(עזר!$B$2:$B$5001,עזר!L1012))</f>
        <v/>
      </c>
      <c r="C1012" s="13" t="str">
        <f aca="false">עזר!M1012</f>
        <v/>
      </c>
    </row>
    <row r="1013" customFormat="false" ht="15" hidden="false" customHeight="false" outlineLevel="0" collapsed="false">
      <c r="A1013" s="13" t="str">
        <f aca="false">IF(עזר!L1013="","",INDEX(עזר!$A$2:$A$5001,עזר!L1013))</f>
        <v/>
      </c>
      <c r="B1013" s="13" t="str">
        <f aca="false">IF(עזר!L1013="","",INDEX(עזר!$B$2:$B$5001,עזר!L1013))</f>
        <v/>
      </c>
      <c r="C1013" s="13" t="str">
        <f aca="false">עזר!M1013</f>
        <v/>
      </c>
    </row>
    <row r="1014" customFormat="false" ht="15" hidden="false" customHeight="false" outlineLevel="0" collapsed="false">
      <c r="A1014" s="13" t="str">
        <f aca="false">IF(עזר!L1014="","",INDEX(עזר!$A$2:$A$5001,עזר!L1014))</f>
        <v/>
      </c>
      <c r="B1014" s="13" t="str">
        <f aca="false">IF(עזר!L1014="","",INDEX(עזר!$B$2:$B$5001,עזר!L1014))</f>
        <v/>
      </c>
      <c r="C1014" s="13" t="str">
        <f aca="false">עזר!M1014</f>
        <v/>
      </c>
    </row>
    <row r="1015" customFormat="false" ht="15" hidden="false" customHeight="false" outlineLevel="0" collapsed="false">
      <c r="A1015" s="13" t="str">
        <f aca="false">IF(עזר!L1015="","",INDEX(עזר!$A$2:$A$5001,עזר!L1015))</f>
        <v/>
      </c>
      <c r="B1015" s="13" t="str">
        <f aca="false">IF(עזר!L1015="","",INDEX(עזר!$B$2:$B$5001,עזר!L1015))</f>
        <v/>
      </c>
      <c r="C1015" s="13" t="str">
        <f aca="false">עזר!M1015</f>
        <v/>
      </c>
    </row>
    <row r="1016" customFormat="false" ht="15" hidden="false" customHeight="false" outlineLevel="0" collapsed="false">
      <c r="A1016" s="13" t="str">
        <f aca="false">IF(עזר!L1016="","",INDEX(עזר!$A$2:$A$5001,עזר!L1016))</f>
        <v/>
      </c>
      <c r="B1016" s="13" t="str">
        <f aca="false">IF(עזר!L1016="","",INDEX(עזר!$B$2:$B$5001,עזר!L1016))</f>
        <v/>
      </c>
      <c r="C1016" s="13" t="str">
        <f aca="false">עזר!M1016</f>
        <v/>
      </c>
    </row>
    <row r="1017" customFormat="false" ht="15" hidden="false" customHeight="false" outlineLevel="0" collapsed="false">
      <c r="A1017" s="13" t="str">
        <f aca="false">IF(עזר!L1017="","",INDEX(עזר!$A$2:$A$5001,עזר!L1017))</f>
        <v/>
      </c>
      <c r="B1017" s="13" t="str">
        <f aca="false">IF(עזר!L1017="","",INDEX(עזר!$B$2:$B$5001,עזר!L1017))</f>
        <v/>
      </c>
      <c r="C1017" s="13" t="str">
        <f aca="false">עזר!M1017</f>
        <v/>
      </c>
    </row>
    <row r="1018" customFormat="false" ht="15" hidden="false" customHeight="false" outlineLevel="0" collapsed="false">
      <c r="A1018" s="13" t="str">
        <f aca="false">IF(עזר!L1018="","",INDEX(עזר!$A$2:$A$5001,עזר!L1018))</f>
        <v/>
      </c>
      <c r="B1018" s="13" t="str">
        <f aca="false">IF(עזר!L1018="","",INDEX(עזר!$B$2:$B$5001,עזר!L1018))</f>
        <v/>
      </c>
      <c r="C1018" s="13" t="str">
        <f aca="false">עזר!M1018</f>
        <v/>
      </c>
    </row>
    <row r="1019" customFormat="false" ht="15" hidden="false" customHeight="false" outlineLevel="0" collapsed="false">
      <c r="A1019" s="13" t="str">
        <f aca="false">IF(עזר!L1019="","",INDEX(עזר!$A$2:$A$5001,עזר!L1019))</f>
        <v/>
      </c>
      <c r="B1019" s="13" t="str">
        <f aca="false">IF(עזר!L1019="","",INDEX(עזר!$B$2:$B$5001,עזר!L1019))</f>
        <v/>
      </c>
      <c r="C1019" s="13" t="str">
        <f aca="false">עזר!M1019</f>
        <v/>
      </c>
    </row>
    <row r="1020" customFormat="false" ht="15" hidden="false" customHeight="false" outlineLevel="0" collapsed="false">
      <c r="A1020" s="13" t="str">
        <f aca="false">IF(עזר!L1020="","",INDEX(עזר!$A$2:$A$5001,עזר!L1020))</f>
        <v/>
      </c>
      <c r="B1020" s="13" t="str">
        <f aca="false">IF(עזר!L1020="","",INDEX(עזר!$B$2:$B$5001,עזר!L1020))</f>
        <v/>
      </c>
      <c r="C1020" s="13" t="str">
        <f aca="false">עזר!M1020</f>
        <v/>
      </c>
    </row>
    <row r="1021" customFormat="false" ht="15" hidden="false" customHeight="false" outlineLevel="0" collapsed="false">
      <c r="A1021" s="13" t="str">
        <f aca="false">IF(עזר!L1021="","",INDEX(עזר!$A$2:$A$5001,עזר!L1021))</f>
        <v/>
      </c>
      <c r="B1021" s="13" t="str">
        <f aca="false">IF(עזר!L1021="","",INDEX(עזר!$B$2:$B$5001,עזר!L1021))</f>
        <v/>
      </c>
      <c r="C1021" s="13" t="str">
        <f aca="false">עזר!M1021</f>
        <v/>
      </c>
    </row>
    <row r="1022" customFormat="false" ht="15" hidden="false" customHeight="false" outlineLevel="0" collapsed="false">
      <c r="A1022" s="13" t="str">
        <f aca="false">IF(עזר!L1022="","",INDEX(עזר!$A$2:$A$5001,עזר!L1022))</f>
        <v/>
      </c>
      <c r="B1022" s="13" t="str">
        <f aca="false">IF(עזר!L1022="","",INDEX(עזר!$B$2:$B$5001,עזר!L1022))</f>
        <v/>
      </c>
      <c r="C1022" s="13" t="str">
        <f aca="false">עזר!M1022</f>
        <v/>
      </c>
    </row>
    <row r="1023" customFormat="false" ht="15" hidden="false" customHeight="false" outlineLevel="0" collapsed="false">
      <c r="A1023" s="13" t="str">
        <f aca="false">IF(עזר!L1023="","",INDEX(עזר!$A$2:$A$5001,עזר!L1023))</f>
        <v/>
      </c>
      <c r="B1023" s="13" t="str">
        <f aca="false">IF(עזר!L1023="","",INDEX(עזר!$B$2:$B$5001,עזר!L1023))</f>
        <v/>
      </c>
      <c r="C1023" s="13" t="str">
        <f aca="false">עזר!M1023</f>
        <v/>
      </c>
    </row>
    <row r="1024" customFormat="false" ht="15" hidden="false" customHeight="false" outlineLevel="0" collapsed="false">
      <c r="A1024" s="13" t="str">
        <f aca="false">IF(עזר!L1024="","",INDEX(עזר!$A$2:$A$5001,עזר!L1024))</f>
        <v/>
      </c>
      <c r="B1024" s="13" t="str">
        <f aca="false">IF(עזר!L1024="","",INDEX(עזר!$B$2:$B$5001,עזר!L1024))</f>
        <v/>
      </c>
      <c r="C1024" s="13" t="str">
        <f aca="false">עזר!M1024</f>
        <v/>
      </c>
    </row>
    <row r="1025" customFormat="false" ht="15" hidden="false" customHeight="false" outlineLevel="0" collapsed="false">
      <c r="A1025" s="13" t="str">
        <f aca="false">IF(עזר!L1025="","",INDEX(עזר!$A$2:$A$5001,עזר!L1025))</f>
        <v/>
      </c>
      <c r="B1025" s="13" t="str">
        <f aca="false">IF(עזר!L1025="","",INDEX(עזר!$B$2:$B$5001,עזר!L1025))</f>
        <v/>
      </c>
      <c r="C1025" s="13" t="str">
        <f aca="false">עזר!M1025</f>
        <v/>
      </c>
    </row>
    <row r="1026" customFormat="false" ht="15" hidden="false" customHeight="false" outlineLevel="0" collapsed="false">
      <c r="A1026" s="13" t="str">
        <f aca="false">IF(עזר!L1026="","",INDEX(עזר!$A$2:$A$5001,עזר!L1026))</f>
        <v/>
      </c>
      <c r="B1026" s="13" t="str">
        <f aca="false">IF(עזר!L1026="","",INDEX(עזר!$B$2:$B$5001,עזר!L1026))</f>
        <v/>
      </c>
      <c r="C1026" s="13" t="str">
        <f aca="false">עזר!M1026</f>
        <v/>
      </c>
    </row>
    <row r="1027" customFormat="false" ht="15" hidden="false" customHeight="false" outlineLevel="0" collapsed="false">
      <c r="A1027" s="13" t="str">
        <f aca="false">IF(עזר!L1027="","",INDEX(עזר!$A$2:$A$5001,עזר!L1027))</f>
        <v/>
      </c>
      <c r="B1027" s="13" t="str">
        <f aca="false">IF(עזר!L1027="","",INDEX(עזר!$B$2:$B$5001,עזר!L1027))</f>
        <v/>
      </c>
      <c r="C1027" s="13" t="str">
        <f aca="false">עזר!M1027</f>
        <v/>
      </c>
    </row>
    <row r="1028" customFormat="false" ht="15" hidden="false" customHeight="false" outlineLevel="0" collapsed="false">
      <c r="A1028" s="13" t="str">
        <f aca="false">IF(עזר!L1028="","",INDEX(עזר!$A$2:$A$5001,עזר!L1028))</f>
        <v/>
      </c>
      <c r="B1028" s="13" t="str">
        <f aca="false">IF(עזר!L1028="","",INDEX(עזר!$B$2:$B$5001,עזר!L1028))</f>
        <v/>
      </c>
      <c r="C1028" s="13" t="str">
        <f aca="false">עזר!M1028</f>
        <v/>
      </c>
    </row>
    <row r="1029" customFormat="false" ht="15" hidden="false" customHeight="false" outlineLevel="0" collapsed="false">
      <c r="A1029" s="13" t="str">
        <f aca="false">IF(עזר!L1029="","",INDEX(עזר!$A$2:$A$5001,עזר!L1029))</f>
        <v/>
      </c>
      <c r="B1029" s="13" t="str">
        <f aca="false">IF(עזר!L1029="","",INDEX(עזר!$B$2:$B$5001,עזר!L1029))</f>
        <v/>
      </c>
      <c r="C1029" s="13" t="str">
        <f aca="false">עזר!M1029</f>
        <v/>
      </c>
    </row>
    <row r="1030" customFormat="false" ht="15" hidden="false" customHeight="false" outlineLevel="0" collapsed="false">
      <c r="A1030" s="13" t="str">
        <f aca="false">IF(עזר!L1030="","",INDEX(עזר!$A$2:$A$5001,עזר!L1030))</f>
        <v/>
      </c>
      <c r="B1030" s="13" t="str">
        <f aca="false">IF(עזר!L1030="","",INDEX(עזר!$B$2:$B$5001,עזר!L1030))</f>
        <v/>
      </c>
      <c r="C1030" s="13" t="str">
        <f aca="false">עזר!M1030</f>
        <v/>
      </c>
    </row>
    <row r="1031" customFormat="false" ht="15" hidden="false" customHeight="false" outlineLevel="0" collapsed="false">
      <c r="A1031" s="13" t="str">
        <f aca="false">IF(עזר!L1031="","",INDEX(עזר!$A$2:$A$5001,עזר!L1031))</f>
        <v/>
      </c>
      <c r="B1031" s="13" t="str">
        <f aca="false">IF(עזר!L1031="","",INDEX(עזר!$B$2:$B$5001,עזר!L1031))</f>
        <v/>
      </c>
      <c r="C1031" s="13" t="str">
        <f aca="false">עזר!M1031</f>
        <v/>
      </c>
    </row>
    <row r="1032" customFormat="false" ht="15" hidden="false" customHeight="false" outlineLevel="0" collapsed="false">
      <c r="A1032" s="13" t="str">
        <f aca="false">IF(עזר!L1032="","",INDEX(עזר!$A$2:$A$5001,עזר!L1032))</f>
        <v/>
      </c>
      <c r="B1032" s="13" t="str">
        <f aca="false">IF(עזר!L1032="","",INDEX(עזר!$B$2:$B$5001,עזר!L1032))</f>
        <v/>
      </c>
      <c r="C1032" s="13" t="str">
        <f aca="false">עזר!M1032</f>
        <v/>
      </c>
    </row>
    <row r="1033" customFormat="false" ht="15" hidden="false" customHeight="false" outlineLevel="0" collapsed="false">
      <c r="A1033" s="13" t="str">
        <f aca="false">IF(עזר!L1033="","",INDEX(עזר!$A$2:$A$5001,עזר!L1033))</f>
        <v/>
      </c>
      <c r="B1033" s="13" t="str">
        <f aca="false">IF(עזר!L1033="","",INDEX(עזר!$B$2:$B$5001,עזר!L1033))</f>
        <v/>
      </c>
      <c r="C1033" s="13" t="str">
        <f aca="false">עזר!M1033</f>
        <v/>
      </c>
    </row>
    <row r="1034" customFormat="false" ht="15" hidden="false" customHeight="false" outlineLevel="0" collapsed="false">
      <c r="A1034" s="13" t="str">
        <f aca="false">IF(עזר!L1034="","",INDEX(עזר!$A$2:$A$5001,עזר!L1034))</f>
        <v/>
      </c>
      <c r="B1034" s="13" t="str">
        <f aca="false">IF(עזר!L1034="","",INDEX(עזר!$B$2:$B$5001,עזר!L1034))</f>
        <v/>
      </c>
      <c r="C1034" s="13" t="str">
        <f aca="false">עזר!M1034</f>
        <v/>
      </c>
    </row>
    <row r="1035" customFormat="false" ht="15" hidden="false" customHeight="false" outlineLevel="0" collapsed="false">
      <c r="A1035" s="13" t="str">
        <f aca="false">IF(עזר!L1035="","",INDEX(עזר!$A$2:$A$5001,עזר!L1035))</f>
        <v/>
      </c>
      <c r="B1035" s="13" t="str">
        <f aca="false">IF(עזר!L1035="","",INDEX(עזר!$B$2:$B$5001,עזר!L1035))</f>
        <v/>
      </c>
      <c r="C1035" s="13" t="str">
        <f aca="false">עזר!M1035</f>
        <v/>
      </c>
    </row>
    <row r="1036" customFormat="false" ht="15" hidden="false" customHeight="false" outlineLevel="0" collapsed="false">
      <c r="A1036" s="13" t="str">
        <f aca="false">IF(עזר!L1036="","",INDEX(עזר!$A$2:$A$5001,עזר!L1036))</f>
        <v/>
      </c>
      <c r="B1036" s="13" t="str">
        <f aca="false">IF(עזר!L1036="","",INDEX(עזר!$B$2:$B$5001,עזר!L1036))</f>
        <v/>
      </c>
      <c r="C1036" s="13" t="str">
        <f aca="false">עזר!M1036</f>
        <v/>
      </c>
    </row>
    <row r="1037" customFormat="false" ht="15" hidden="false" customHeight="false" outlineLevel="0" collapsed="false">
      <c r="A1037" s="13" t="str">
        <f aca="false">IF(עזר!L1037="","",INDEX(עזר!$A$2:$A$5001,עזר!L1037))</f>
        <v/>
      </c>
      <c r="B1037" s="13" t="str">
        <f aca="false">IF(עזר!L1037="","",INDEX(עזר!$B$2:$B$5001,עזר!L1037))</f>
        <v/>
      </c>
      <c r="C1037" s="13" t="str">
        <f aca="false">עזר!M1037</f>
        <v/>
      </c>
    </row>
    <row r="1038" customFormat="false" ht="15" hidden="false" customHeight="false" outlineLevel="0" collapsed="false">
      <c r="A1038" s="13" t="str">
        <f aca="false">IF(עזר!L1038="","",INDEX(עזר!$A$2:$A$5001,עזר!L1038))</f>
        <v/>
      </c>
      <c r="B1038" s="13" t="str">
        <f aca="false">IF(עזר!L1038="","",INDEX(עזר!$B$2:$B$5001,עזר!L1038))</f>
        <v/>
      </c>
      <c r="C1038" s="13" t="str">
        <f aca="false">עזר!M1038</f>
        <v/>
      </c>
    </row>
    <row r="1039" customFormat="false" ht="15" hidden="false" customHeight="false" outlineLevel="0" collapsed="false">
      <c r="A1039" s="13" t="str">
        <f aca="false">IF(עזר!L1039="","",INDEX(עזר!$A$2:$A$5001,עזר!L1039))</f>
        <v/>
      </c>
      <c r="B1039" s="13" t="str">
        <f aca="false">IF(עזר!L1039="","",INDEX(עזר!$B$2:$B$5001,עזר!L1039))</f>
        <v/>
      </c>
      <c r="C1039" s="13" t="str">
        <f aca="false">עזר!M1039</f>
        <v/>
      </c>
    </row>
    <row r="1040" customFormat="false" ht="15" hidden="false" customHeight="false" outlineLevel="0" collapsed="false">
      <c r="A1040" s="13" t="str">
        <f aca="false">IF(עזר!L1040="","",INDEX(עזר!$A$2:$A$5001,עזר!L1040))</f>
        <v/>
      </c>
      <c r="B1040" s="13" t="str">
        <f aca="false">IF(עזר!L1040="","",INDEX(עזר!$B$2:$B$5001,עזר!L1040))</f>
        <v/>
      </c>
      <c r="C1040" s="13" t="str">
        <f aca="false">עזר!M1040</f>
        <v/>
      </c>
    </row>
    <row r="1041" customFormat="false" ht="15" hidden="false" customHeight="false" outlineLevel="0" collapsed="false">
      <c r="A1041" s="13" t="str">
        <f aca="false">IF(עזר!L1041="","",INDEX(עזר!$A$2:$A$5001,עזר!L1041))</f>
        <v/>
      </c>
      <c r="B1041" s="13" t="str">
        <f aca="false">IF(עזר!L1041="","",INDEX(עזר!$B$2:$B$5001,עזר!L1041))</f>
        <v/>
      </c>
      <c r="C1041" s="13" t="str">
        <f aca="false">עזר!M1041</f>
        <v/>
      </c>
    </row>
    <row r="1042" customFormat="false" ht="15" hidden="false" customHeight="false" outlineLevel="0" collapsed="false">
      <c r="A1042" s="13" t="str">
        <f aca="false">IF(עזר!L1042="","",INDEX(עזר!$A$2:$A$5001,עזר!L1042))</f>
        <v/>
      </c>
      <c r="B1042" s="13" t="str">
        <f aca="false">IF(עזר!L1042="","",INDEX(עזר!$B$2:$B$5001,עזר!L1042))</f>
        <v/>
      </c>
      <c r="C1042" s="13" t="str">
        <f aca="false">עזר!M1042</f>
        <v/>
      </c>
    </row>
    <row r="1043" customFormat="false" ht="15" hidden="false" customHeight="false" outlineLevel="0" collapsed="false">
      <c r="A1043" s="13" t="str">
        <f aca="false">IF(עזר!L1043="","",INDEX(עזר!$A$2:$A$5001,עזר!L1043))</f>
        <v/>
      </c>
      <c r="B1043" s="13" t="str">
        <f aca="false">IF(עזר!L1043="","",INDEX(עזר!$B$2:$B$5001,עזר!L1043))</f>
        <v/>
      </c>
      <c r="C1043" s="13" t="str">
        <f aca="false">עזר!M1043</f>
        <v/>
      </c>
    </row>
    <row r="1044" customFormat="false" ht="15" hidden="false" customHeight="false" outlineLevel="0" collapsed="false">
      <c r="A1044" s="13" t="str">
        <f aca="false">IF(עזר!L1044="","",INDEX(עזר!$A$2:$A$5001,עזר!L1044))</f>
        <v/>
      </c>
      <c r="B1044" s="13" t="str">
        <f aca="false">IF(עזר!L1044="","",INDEX(עזר!$B$2:$B$5001,עזר!L1044))</f>
        <v/>
      </c>
      <c r="C1044" s="13" t="str">
        <f aca="false">עזר!M1044</f>
        <v/>
      </c>
    </row>
    <row r="1045" customFormat="false" ht="15" hidden="false" customHeight="false" outlineLevel="0" collapsed="false">
      <c r="A1045" s="13" t="str">
        <f aca="false">IF(עזר!L1045="","",INDEX(עזר!$A$2:$A$5001,עזר!L1045))</f>
        <v/>
      </c>
      <c r="B1045" s="13" t="str">
        <f aca="false">IF(עזר!L1045="","",INDEX(עזר!$B$2:$B$5001,עזר!L1045))</f>
        <v/>
      </c>
      <c r="C1045" s="13" t="str">
        <f aca="false">עזר!M1045</f>
        <v/>
      </c>
    </row>
    <row r="1046" customFormat="false" ht="15" hidden="false" customHeight="false" outlineLevel="0" collapsed="false">
      <c r="A1046" s="13" t="str">
        <f aca="false">IF(עזר!L1046="","",INDEX(עזר!$A$2:$A$5001,עזר!L1046))</f>
        <v/>
      </c>
      <c r="B1046" s="13" t="str">
        <f aca="false">IF(עזר!L1046="","",INDEX(עזר!$B$2:$B$5001,עזר!L1046))</f>
        <v/>
      </c>
      <c r="C1046" s="13" t="str">
        <f aca="false">עזר!M1046</f>
        <v/>
      </c>
    </row>
    <row r="1047" customFormat="false" ht="15" hidden="false" customHeight="false" outlineLevel="0" collapsed="false">
      <c r="A1047" s="13" t="str">
        <f aca="false">IF(עזר!L1047="","",INDEX(עזר!$A$2:$A$5001,עזר!L1047))</f>
        <v/>
      </c>
      <c r="B1047" s="13" t="str">
        <f aca="false">IF(עזר!L1047="","",INDEX(עזר!$B$2:$B$5001,עזר!L1047))</f>
        <v/>
      </c>
      <c r="C1047" s="13" t="str">
        <f aca="false">עזר!M1047</f>
        <v/>
      </c>
    </row>
    <row r="1048" customFormat="false" ht="15" hidden="false" customHeight="false" outlineLevel="0" collapsed="false">
      <c r="A1048" s="13" t="str">
        <f aca="false">IF(עזר!L1048="","",INDEX(עזר!$A$2:$A$5001,עזר!L1048))</f>
        <v/>
      </c>
      <c r="B1048" s="13" t="str">
        <f aca="false">IF(עזר!L1048="","",INDEX(עזר!$B$2:$B$5001,עזר!L1048))</f>
        <v/>
      </c>
      <c r="C1048" s="13" t="str">
        <f aca="false">עזר!M1048</f>
        <v/>
      </c>
    </row>
    <row r="1049" customFormat="false" ht="15" hidden="false" customHeight="false" outlineLevel="0" collapsed="false">
      <c r="A1049" s="13" t="str">
        <f aca="false">IF(עזר!L1049="","",INDEX(עזר!$A$2:$A$5001,עזר!L1049))</f>
        <v/>
      </c>
      <c r="B1049" s="13" t="str">
        <f aca="false">IF(עזר!L1049="","",INDEX(עזר!$B$2:$B$5001,עזר!L1049))</f>
        <v/>
      </c>
      <c r="C1049" s="13" t="str">
        <f aca="false">עזר!M1049</f>
        <v/>
      </c>
    </row>
    <row r="1050" customFormat="false" ht="15" hidden="false" customHeight="false" outlineLevel="0" collapsed="false">
      <c r="A1050" s="13" t="str">
        <f aca="false">IF(עזר!L1050="","",INDEX(עזר!$A$2:$A$5001,עזר!L1050))</f>
        <v/>
      </c>
      <c r="B1050" s="13" t="str">
        <f aca="false">IF(עזר!L1050="","",INDEX(עזר!$B$2:$B$5001,עזר!L1050))</f>
        <v/>
      </c>
      <c r="C1050" s="13" t="str">
        <f aca="false">עזר!M1050</f>
        <v/>
      </c>
    </row>
    <row r="1051" customFormat="false" ht="15" hidden="false" customHeight="false" outlineLevel="0" collapsed="false">
      <c r="A1051" s="13" t="str">
        <f aca="false">IF(עזר!L1051="","",INDEX(עזר!$A$2:$A$5001,עזר!L1051))</f>
        <v/>
      </c>
      <c r="B1051" s="13" t="str">
        <f aca="false">IF(עזר!L1051="","",INDEX(עזר!$B$2:$B$5001,עזר!L1051))</f>
        <v/>
      </c>
      <c r="C1051" s="13" t="str">
        <f aca="false">עזר!M1051</f>
        <v/>
      </c>
    </row>
    <row r="1052" customFormat="false" ht="15" hidden="false" customHeight="false" outlineLevel="0" collapsed="false">
      <c r="A1052" s="13" t="str">
        <f aca="false">IF(עזר!L1052="","",INDEX(עזר!$A$2:$A$5001,עזר!L1052))</f>
        <v/>
      </c>
      <c r="B1052" s="13" t="str">
        <f aca="false">IF(עזר!L1052="","",INDEX(עזר!$B$2:$B$5001,עזר!L1052))</f>
        <v/>
      </c>
      <c r="C1052" s="13" t="str">
        <f aca="false">עזר!M1052</f>
        <v/>
      </c>
    </row>
    <row r="1053" customFormat="false" ht="15" hidden="false" customHeight="false" outlineLevel="0" collapsed="false">
      <c r="A1053" s="13" t="str">
        <f aca="false">IF(עזר!L1053="","",INDEX(עזר!$A$2:$A$5001,עזר!L1053))</f>
        <v/>
      </c>
      <c r="B1053" s="13" t="str">
        <f aca="false">IF(עזר!L1053="","",INDEX(עזר!$B$2:$B$5001,עזר!L1053))</f>
        <v/>
      </c>
      <c r="C1053" s="13" t="str">
        <f aca="false">עזר!M1053</f>
        <v/>
      </c>
    </row>
    <row r="1054" customFormat="false" ht="15" hidden="false" customHeight="false" outlineLevel="0" collapsed="false">
      <c r="A1054" s="13" t="str">
        <f aca="false">IF(עזר!L1054="","",INDEX(עזר!$A$2:$A$5001,עזר!L1054))</f>
        <v/>
      </c>
      <c r="B1054" s="13" t="str">
        <f aca="false">IF(עזר!L1054="","",INDEX(עזר!$B$2:$B$5001,עזר!L1054))</f>
        <v/>
      </c>
      <c r="C1054" s="13" t="str">
        <f aca="false">עזר!M1054</f>
        <v/>
      </c>
    </row>
    <row r="1055" customFormat="false" ht="15" hidden="false" customHeight="false" outlineLevel="0" collapsed="false">
      <c r="A1055" s="13" t="str">
        <f aca="false">IF(עזר!L1055="","",INDEX(עזר!$A$2:$A$5001,עזר!L1055))</f>
        <v/>
      </c>
      <c r="B1055" s="13" t="str">
        <f aca="false">IF(עזר!L1055="","",INDEX(עזר!$B$2:$B$5001,עזר!L1055))</f>
        <v/>
      </c>
      <c r="C1055" s="13" t="str">
        <f aca="false">עזר!M1055</f>
        <v/>
      </c>
    </row>
    <row r="1056" customFormat="false" ht="15" hidden="false" customHeight="false" outlineLevel="0" collapsed="false">
      <c r="A1056" s="13" t="str">
        <f aca="false">IF(עזר!L1056="","",INDEX(עזר!$A$2:$A$5001,עזר!L1056))</f>
        <v/>
      </c>
      <c r="B1056" s="13" t="str">
        <f aca="false">IF(עזר!L1056="","",INDEX(עזר!$B$2:$B$5001,עזר!L1056))</f>
        <v/>
      </c>
      <c r="C1056" s="13" t="str">
        <f aca="false">עזר!M1056</f>
        <v/>
      </c>
    </row>
    <row r="1057" customFormat="false" ht="15" hidden="false" customHeight="false" outlineLevel="0" collapsed="false">
      <c r="A1057" s="13" t="str">
        <f aca="false">IF(עזר!L1057="","",INDEX(עזר!$A$2:$A$5001,עזר!L1057))</f>
        <v/>
      </c>
      <c r="B1057" s="13" t="str">
        <f aca="false">IF(עזר!L1057="","",INDEX(עזר!$B$2:$B$5001,עזר!L1057))</f>
        <v/>
      </c>
      <c r="C1057" s="13" t="str">
        <f aca="false">עזר!M1057</f>
        <v/>
      </c>
    </row>
    <row r="1058" customFormat="false" ht="15" hidden="false" customHeight="false" outlineLevel="0" collapsed="false">
      <c r="A1058" s="13" t="str">
        <f aca="false">IF(עזר!L1058="","",INDEX(עזר!$A$2:$A$5001,עזר!L1058))</f>
        <v/>
      </c>
      <c r="B1058" s="13" t="str">
        <f aca="false">IF(עזר!L1058="","",INDEX(עזר!$B$2:$B$5001,עזר!L1058))</f>
        <v/>
      </c>
      <c r="C1058" s="13" t="str">
        <f aca="false">עזר!M1058</f>
        <v/>
      </c>
    </row>
    <row r="1059" customFormat="false" ht="15" hidden="false" customHeight="false" outlineLevel="0" collapsed="false">
      <c r="A1059" s="13" t="str">
        <f aca="false">IF(עזר!L1059="","",INDEX(עזר!$A$2:$A$5001,עזר!L1059))</f>
        <v/>
      </c>
      <c r="B1059" s="13" t="str">
        <f aca="false">IF(עזר!L1059="","",INDEX(עזר!$B$2:$B$5001,עזר!L1059))</f>
        <v/>
      </c>
      <c r="C1059" s="13" t="str">
        <f aca="false">עזר!M1059</f>
        <v/>
      </c>
    </row>
    <row r="1060" customFormat="false" ht="15" hidden="false" customHeight="false" outlineLevel="0" collapsed="false">
      <c r="A1060" s="13" t="str">
        <f aca="false">IF(עזר!L1060="","",INDEX(עזר!$A$2:$A$5001,עזר!L1060))</f>
        <v/>
      </c>
      <c r="B1060" s="13" t="str">
        <f aca="false">IF(עזר!L1060="","",INDEX(עזר!$B$2:$B$5001,עזר!L1060))</f>
        <v/>
      </c>
      <c r="C1060" s="13" t="str">
        <f aca="false">עזר!M1060</f>
        <v/>
      </c>
    </row>
    <row r="1061" customFormat="false" ht="15" hidden="false" customHeight="false" outlineLevel="0" collapsed="false">
      <c r="A1061" s="13" t="str">
        <f aca="false">IF(עזר!L1061="","",INDEX(עזר!$A$2:$A$5001,עזר!L1061))</f>
        <v/>
      </c>
      <c r="B1061" s="13" t="str">
        <f aca="false">IF(עזר!L1061="","",INDEX(עזר!$B$2:$B$5001,עזר!L1061))</f>
        <v/>
      </c>
      <c r="C1061" s="13" t="str">
        <f aca="false">עזר!M1061</f>
        <v/>
      </c>
    </row>
    <row r="1062" customFormat="false" ht="15" hidden="false" customHeight="false" outlineLevel="0" collapsed="false">
      <c r="A1062" s="13" t="str">
        <f aca="false">IF(עזר!L1062="","",INDEX(עזר!$A$2:$A$5001,עזר!L1062))</f>
        <v/>
      </c>
      <c r="B1062" s="13" t="str">
        <f aca="false">IF(עזר!L1062="","",INDEX(עזר!$B$2:$B$5001,עזר!L1062))</f>
        <v/>
      </c>
      <c r="C1062" s="13" t="str">
        <f aca="false">עזר!M1062</f>
        <v/>
      </c>
    </row>
    <row r="1063" customFormat="false" ht="15" hidden="false" customHeight="false" outlineLevel="0" collapsed="false">
      <c r="A1063" s="13" t="str">
        <f aca="false">IF(עזר!L1063="","",INDEX(עזר!$A$2:$A$5001,עזר!L1063))</f>
        <v/>
      </c>
      <c r="B1063" s="13" t="str">
        <f aca="false">IF(עזר!L1063="","",INDEX(עזר!$B$2:$B$5001,עזר!L1063))</f>
        <v/>
      </c>
      <c r="C1063" s="13" t="str">
        <f aca="false">עזר!M1063</f>
        <v/>
      </c>
    </row>
    <row r="1064" customFormat="false" ht="15" hidden="false" customHeight="false" outlineLevel="0" collapsed="false">
      <c r="A1064" s="13" t="str">
        <f aca="false">IF(עזר!L1064="","",INDEX(עזר!$A$2:$A$5001,עזר!L1064))</f>
        <v/>
      </c>
      <c r="B1064" s="13" t="str">
        <f aca="false">IF(עזר!L1064="","",INDEX(עזר!$B$2:$B$5001,עזר!L1064))</f>
        <v/>
      </c>
      <c r="C1064" s="13" t="str">
        <f aca="false">עזר!M1064</f>
        <v/>
      </c>
    </row>
    <row r="1065" customFormat="false" ht="15" hidden="false" customHeight="false" outlineLevel="0" collapsed="false">
      <c r="A1065" s="13" t="str">
        <f aca="false">IF(עזר!L1065="","",INDEX(עזר!$A$2:$A$5001,עזר!L1065))</f>
        <v/>
      </c>
      <c r="B1065" s="13" t="str">
        <f aca="false">IF(עזר!L1065="","",INDEX(עזר!$B$2:$B$5001,עזר!L1065))</f>
        <v/>
      </c>
      <c r="C1065" s="13" t="str">
        <f aca="false">עזר!M1065</f>
        <v/>
      </c>
    </row>
    <row r="1066" customFormat="false" ht="15" hidden="false" customHeight="false" outlineLevel="0" collapsed="false">
      <c r="A1066" s="13" t="str">
        <f aca="false">IF(עזר!L1066="","",INDEX(עזר!$A$2:$A$5001,עזר!L1066))</f>
        <v/>
      </c>
      <c r="B1066" s="13" t="str">
        <f aca="false">IF(עזר!L1066="","",INDEX(עזר!$B$2:$B$5001,עזר!L1066))</f>
        <v/>
      </c>
      <c r="C1066" s="13" t="str">
        <f aca="false">עזר!M1066</f>
        <v/>
      </c>
    </row>
    <row r="1067" customFormat="false" ht="15" hidden="false" customHeight="false" outlineLevel="0" collapsed="false">
      <c r="A1067" s="13" t="str">
        <f aca="false">IF(עזר!L1067="","",INDEX(עזר!$A$2:$A$5001,עזר!L1067))</f>
        <v/>
      </c>
      <c r="B1067" s="13" t="str">
        <f aca="false">IF(עזר!L1067="","",INDEX(עזר!$B$2:$B$5001,עזר!L1067))</f>
        <v/>
      </c>
      <c r="C1067" s="13" t="str">
        <f aca="false">עזר!M1067</f>
        <v/>
      </c>
    </row>
    <row r="1068" customFormat="false" ht="15" hidden="false" customHeight="false" outlineLevel="0" collapsed="false">
      <c r="A1068" s="13" t="str">
        <f aca="false">IF(עזר!L1068="","",INDEX(עזר!$A$2:$A$5001,עזר!L1068))</f>
        <v/>
      </c>
      <c r="B1068" s="13" t="str">
        <f aca="false">IF(עזר!L1068="","",INDEX(עזר!$B$2:$B$5001,עזר!L1068))</f>
        <v/>
      </c>
      <c r="C1068" s="13" t="str">
        <f aca="false">עזר!M1068</f>
        <v/>
      </c>
    </row>
    <row r="1069" customFormat="false" ht="15" hidden="false" customHeight="false" outlineLevel="0" collapsed="false">
      <c r="A1069" s="13" t="str">
        <f aca="false">IF(עזר!L1069="","",INDEX(עזר!$A$2:$A$5001,עזר!L1069))</f>
        <v/>
      </c>
      <c r="B1069" s="13" t="str">
        <f aca="false">IF(עזר!L1069="","",INDEX(עזר!$B$2:$B$5001,עזר!L1069))</f>
        <v/>
      </c>
      <c r="C1069" s="13" t="str">
        <f aca="false">עזר!M1069</f>
        <v/>
      </c>
    </row>
    <row r="1070" customFormat="false" ht="15" hidden="false" customHeight="false" outlineLevel="0" collapsed="false">
      <c r="A1070" s="13" t="str">
        <f aca="false">IF(עזר!L1070="","",INDEX(עזר!$A$2:$A$5001,עזר!L1070))</f>
        <v/>
      </c>
      <c r="B1070" s="13" t="str">
        <f aca="false">IF(עזר!L1070="","",INDEX(עזר!$B$2:$B$5001,עזר!L1070))</f>
        <v/>
      </c>
      <c r="C1070" s="13" t="str">
        <f aca="false">עזר!M1070</f>
        <v/>
      </c>
    </row>
    <row r="1071" customFormat="false" ht="15" hidden="false" customHeight="false" outlineLevel="0" collapsed="false">
      <c r="A1071" s="13" t="str">
        <f aca="false">IF(עזר!L1071="","",INDEX(עזר!$A$2:$A$5001,עזר!L1071))</f>
        <v/>
      </c>
      <c r="B1071" s="13" t="str">
        <f aca="false">IF(עזר!L1071="","",INDEX(עזר!$B$2:$B$5001,עזר!L1071))</f>
        <v/>
      </c>
      <c r="C1071" s="13" t="str">
        <f aca="false">עזר!M1071</f>
        <v/>
      </c>
    </row>
    <row r="1072" customFormat="false" ht="15" hidden="false" customHeight="false" outlineLevel="0" collapsed="false">
      <c r="A1072" s="13" t="str">
        <f aca="false">IF(עזר!L1072="","",INDEX(עזר!$A$2:$A$5001,עזר!L1072))</f>
        <v/>
      </c>
      <c r="B1072" s="13" t="str">
        <f aca="false">IF(עזר!L1072="","",INDEX(עזר!$B$2:$B$5001,עזר!L1072))</f>
        <v/>
      </c>
      <c r="C1072" s="13" t="str">
        <f aca="false">עזר!M1072</f>
        <v/>
      </c>
    </row>
    <row r="1073" customFormat="false" ht="15" hidden="false" customHeight="false" outlineLevel="0" collapsed="false">
      <c r="A1073" s="13" t="str">
        <f aca="false">IF(עזר!L1073="","",INDEX(עזר!$A$2:$A$5001,עזר!L1073))</f>
        <v/>
      </c>
      <c r="B1073" s="13" t="str">
        <f aca="false">IF(עזר!L1073="","",INDEX(עזר!$B$2:$B$5001,עזר!L1073))</f>
        <v/>
      </c>
      <c r="C1073" s="13" t="str">
        <f aca="false">עזר!M1073</f>
        <v/>
      </c>
    </row>
    <row r="1074" customFormat="false" ht="15" hidden="false" customHeight="false" outlineLevel="0" collapsed="false">
      <c r="A1074" s="13" t="str">
        <f aca="false">IF(עזר!L1074="","",INDEX(עזר!$A$2:$A$5001,עזר!L1074))</f>
        <v/>
      </c>
      <c r="B1074" s="13" t="str">
        <f aca="false">IF(עזר!L1074="","",INDEX(עזר!$B$2:$B$5001,עזר!L1074))</f>
        <v/>
      </c>
      <c r="C1074" s="13" t="str">
        <f aca="false">עזר!M1074</f>
        <v/>
      </c>
    </row>
    <row r="1075" customFormat="false" ht="15" hidden="false" customHeight="false" outlineLevel="0" collapsed="false">
      <c r="A1075" s="13" t="str">
        <f aca="false">IF(עזר!L1075="","",INDEX(עזר!$A$2:$A$5001,עזר!L1075))</f>
        <v/>
      </c>
      <c r="B1075" s="13" t="str">
        <f aca="false">IF(עזר!L1075="","",INDEX(עזר!$B$2:$B$5001,עזר!L1075))</f>
        <v/>
      </c>
      <c r="C1075" s="13" t="str">
        <f aca="false">עזר!M1075</f>
        <v/>
      </c>
    </row>
    <row r="1076" customFormat="false" ht="15" hidden="false" customHeight="false" outlineLevel="0" collapsed="false">
      <c r="A1076" s="13" t="str">
        <f aca="false">IF(עזר!L1076="","",INDEX(עזר!$A$2:$A$5001,עזר!L1076))</f>
        <v/>
      </c>
      <c r="B1076" s="13" t="str">
        <f aca="false">IF(עזר!L1076="","",INDEX(עזר!$B$2:$B$5001,עזר!L1076))</f>
        <v/>
      </c>
      <c r="C1076" s="13" t="str">
        <f aca="false">עזר!M1076</f>
        <v/>
      </c>
    </row>
    <row r="1077" customFormat="false" ht="15" hidden="false" customHeight="false" outlineLevel="0" collapsed="false">
      <c r="A1077" s="13" t="str">
        <f aca="false">IF(עזר!L1077="","",INDEX(עזר!$A$2:$A$5001,עזר!L1077))</f>
        <v/>
      </c>
      <c r="B1077" s="13" t="str">
        <f aca="false">IF(עזר!L1077="","",INDEX(עזר!$B$2:$B$5001,עזר!L1077))</f>
        <v/>
      </c>
      <c r="C1077" s="13" t="str">
        <f aca="false">עזר!M1077</f>
        <v/>
      </c>
    </row>
    <row r="1078" customFormat="false" ht="15" hidden="false" customHeight="false" outlineLevel="0" collapsed="false">
      <c r="A1078" s="13" t="str">
        <f aca="false">IF(עזר!L1078="","",INDEX(עזר!$A$2:$A$5001,עזר!L1078))</f>
        <v/>
      </c>
      <c r="B1078" s="13" t="str">
        <f aca="false">IF(עזר!L1078="","",INDEX(עזר!$B$2:$B$5001,עזר!L1078))</f>
        <v/>
      </c>
      <c r="C1078" s="13" t="str">
        <f aca="false">עזר!M1078</f>
        <v/>
      </c>
    </row>
    <row r="1079" customFormat="false" ht="15" hidden="false" customHeight="false" outlineLevel="0" collapsed="false">
      <c r="A1079" s="13" t="str">
        <f aca="false">IF(עזר!L1079="","",INDEX(עזר!$A$2:$A$5001,עזר!L1079))</f>
        <v/>
      </c>
      <c r="B1079" s="13" t="str">
        <f aca="false">IF(עזר!L1079="","",INDEX(עזר!$B$2:$B$5001,עזר!L1079))</f>
        <v/>
      </c>
      <c r="C1079" s="13" t="str">
        <f aca="false">עזר!M1079</f>
        <v/>
      </c>
    </row>
    <row r="1080" customFormat="false" ht="15" hidden="false" customHeight="false" outlineLevel="0" collapsed="false">
      <c r="A1080" s="13" t="str">
        <f aca="false">IF(עזר!L1080="","",INDEX(עזר!$A$2:$A$5001,עזר!L1080))</f>
        <v/>
      </c>
      <c r="B1080" s="13" t="str">
        <f aca="false">IF(עזר!L1080="","",INDEX(עזר!$B$2:$B$5001,עזר!L1080))</f>
        <v/>
      </c>
      <c r="C1080" s="13" t="str">
        <f aca="false">עזר!M1080</f>
        <v/>
      </c>
    </row>
    <row r="1081" customFormat="false" ht="15" hidden="false" customHeight="false" outlineLevel="0" collapsed="false">
      <c r="A1081" s="13" t="str">
        <f aca="false">IF(עזר!L1081="","",INDEX(עזר!$A$2:$A$5001,עזר!L1081))</f>
        <v/>
      </c>
      <c r="B1081" s="13" t="str">
        <f aca="false">IF(עזר!L1081="","",INDEX(עזר!$B$2:$B$5001,עזר!L1081))</f>
        <v/>
      </c>
      <c r="C1081" s="13" t="str">
        <f aca="false">עזר!M1081</f>
        <v/>
      </c>
    </row>
    <row r="1082" customFormat="false" ht="15" hidden="false" customHeight="false" outlineLevel="0" collapsed="false">
      <c r="A1082" s="13" t="str">
        <f aca="false">IF(עזר!L1082="","",INDEX(עזר!$A$2:$A$5001,עזר!L1082))</f>
        <v/>
      </c>
      <c r="B1082" s="13" t="str">
        <f aca="false">IF(עזר!L1082="","",INDEX(עזר!$B$2:$B$5001,עזר!L1082))</f>
        <v/>
      </c>
      <c r="C1082" s="13" t="str">
        <f aca="false">עזר!M1082</f>
        <v/>
      </c>
    </row>
    <row r="1083" customFormat="false" ht="15" hidden="false" customHeight="false" outlineLevel="0" collapsed="false">
      <c r="A1083" s="13" t="str">
        <f aca="false">IF(עזר!L1083="","",INDEX(עזר!$A$2:$A$5001,עזר!L1083))</f>
        <v/>
      </c>
      <c r="B1083" s="13" t="str">
        <f aca="false">IF(עזר!L1083="","",INDEX(עזר!$B$2:$B$5001,עזר!L1083))</f>
        <v/>
      </c>
      <c r="C1083" s="13" t="str">
        <f aca="false">עזר!M1083</f>
        <v/>
      </c>
    </row>
    <row r="1084" customFormat="false" ht="15" hidden="false" customHeight="false" outlineLevel="0" collapsed="false">
      <c r="A1084" s="13" t="str">
        <f aca="false">IF(עזר!L1084="","",INDEX(עזר!$A$2:$A$5001,עזר!L1084))</f>
        <v/>
      </c>
      <c r="B1084" s="13" t="str">
        <f aca="false">IF(עזר!L1084="","",INDEX(עזר!$B$2:$B$5001,עזר!L1084))</f>
        <v/>
      </c>
      <c r="C1084" s="13" t="str">
        <f aca="false">עזר!M1084</f>
        <v/>
      </c>
    </row>
    <row r="1085" customFormat="false" ht="15" hidden="false" customHeight="false" outlineLevel="0" collapsed="false">
      <c r="A1085" s="13" t="str">
        <f aca="false">IF(עזר!L1085="","",INDEX(עזר!$A$2:$A$5001,עזר!L1085))</f>
        <v/>
      </c>
      <c r="B1085" s="13" t="str">
        <f aca="false">IF(עזר!L1085="","",INDEX(עזר!$B$2:$B$5001,עזר!L1085))</f>
        <v/>
      </c>
      <c r="C1085" s="13" t="str">
        <f aca="false">עזר!M1085</f>
        <v/>
      </c>
    </row>
    <row r="1086" customFormat="false" ht="15" hidden="false" customHeight="false" outlineLevel="0" collapsed="false">
      <c r="A1086" s="13" t="str">
        <f aca="false">IF(עזר!L1086="","",INDEX(עזר!$A$2:$A$5001,עזר!L1086))</f>
        <v/>
      </c>
      <c r="B1086" s="13" t="str">
        <f aca="false">IF(עזר!L1086="","",INDEX(עזר!$B$2:$B$5001,עזר!L1086))</f>
        <v/>
      </c>
      <c r="C1086" s="13" t="str">
        <f aca="false">עזר!M1086</f>
        <v/>
      </c>
    </row>
    <row r="1087" customFormat="false" ht="15" hidden="false" customHeight="false" outlineLevel="0" collapsed="false">
      <c r="A1087" s="13" t="str">
        <f aca="false">IF(עזר!L1087="","",INDEX(עזר!$A$2:$A$5001,עזר!L1087))</f>
        <v/>
      </c>
      <c r="B1087" s="13" t="str">
        <f aca="false">IF(עזר!L1087="","",INDEX(עזר!$B$2:$B$5001,עזר!L1087))</f>
        <v/>
      </c>
      <c r="C1087" s="13" t="str">
        <f aca="false">עזר!M1087</f>
        <v/>
      </c>
    </row>
    <row r="1088" customFormat="false" ht="15" hidden="false" customHeight="false" outlineLevel="0" collapsed="false">
      <c r="A1088" s="13" t="str">
        <f aca="false">IF(עזר!L1088="","",INDEX(עזר!$A$2:$A$5001,עזר!L1088))</f>
        <v/>
      </c>
      <c r="B1088" s="13" t="str">
        <f aca="false">IF(עזר!L1088="","",INDEX(עזר!$B$2:$B$5001,עזר!L1088))</f>
        <v/>
      </c>
      <c r="C1088" s="13" t="str">
        <f aca="false">עזר!M1088</f>
        <v/>
      </c>
    </row>
    <row r="1089" customFormat="false" ht="15" hidden="false" customHeight="false" outlineLevel="0" collapsed="false">
      <c r="A1089" s="13" t="str">
        <f aca="false">IF(עזר!L1089="","",INDEX(עזר!$A$2:$A$5001,עזר!L1089))</f>
        <v/>
      </c>
      <c r="B1089" s="13" t="str">
        <f aca="false">IF(עזר!L1089="","",INDEX(עזר!$B$2:$B$5001,עזר!L1089))</f>
        <v/>
      </c>
      <c r="C1089" s="13" t="str">
        <f aca="false">עזר!M1089</f>
        <v/>
      </c>
    </row>
    <row r="1090" customFormat="false" ht="15" hidden="false" customHeight="false" outlineLevel="0" collapsed="false">
      <c r="A1090" s="13" t="str">
        <f aca="false">IF(עזר!L1090="","",INDEX(עזר!$A$2:$A$5001,עזר!L1090))</f>
        <v/>
      </c>
      <c r="B1090" s="13" t="str">
        <f aca="false">IF(עזר!L1090="","",INDEX(עזר!$B$2:$B$5001,עזר!L1090))</f>
        <v/>
      </c>
      <c r="C1090" s="13" t="str">
        <f aca="false">עזר!M1090</f>
        <v/>
      </c>
    </row>
    <row r="1091" customFormat="false" ht="15" hidden="false" customHeight="false" outlineLevel="0" collapsed="false">
      <c r="A1091" s="13" t="str">
        <f aca="false">IF(עזר!L1091="","",INDEX(עזר!$A$2:$A$5001,עזר!L1091))</f>
        <v/>
      </c>
      <c r="B1091" s="13" t="str">
        <f aca="false">IF(עזר!L1091="","",INDEX(עזר!$B$2:$B$5001,עזר!L1091))</f>
        <v/>
      </c>
      <c r="C1091" s="13" t="str">
        <f aca="false">עזר!M1091</f>
        <v/>
      </c>
    </row>
    <row r="1092" customFormat="false" ht="15" hidden="false" customHeight="false" outlineLevel="0" collapsed="false">
      <c r="A1092" s="13" t="str">
        <f aca="false">IF(עזר!L1092="","",INDEX(עזר!$A$2:$A$5001,עזר!L1092))</f>
        <v/>
      </c>
      <c r="B1092" s="13" t="str">
        <f aca="false">IF(עזר!L1092="","",INDEX(עזר!$B$2:$B$5001,עזר!L1092))</f>
        <v/>
      </c>
      <c r="C1092" s="13" t="str">
        <f aca="false">עזר!M1092</f>
        <v/>
      </c>
    </row>
    <row r="1093" customFormat="false" ht="15" hidden="false" customHeight="false" outlineLevel="0" collapsed="false">
      <c r="A1093" s="13" t="str">
        <f aca="false">IF(עזר!L1093="","",INDEX(עזר!$A$2:$A$5001,עזר!L1093))</f>
        <v/>
      </c>
      <c r="B1093" s="13" t="str">
        <f aca="false">IF(עזר!L1093="","",INDEX(עזר!$B$2:$B$5001,עזר!L1093))</f>
        <v/>
      </c>
      <c r="C1093" s="13" t="str">
        <f aca="false">עזר!M1093</f>
        <v/>
      </c>
    </row>
    <row r="1094" customFormat="false" ht="15" hidden="false" customHeight="false" outlineLevel="0" collapsed="false">
      <c r="A1094" s="13" t="str">
        <f aca="false">IF(עזר!L1094="","",INDEX(עזר!$A$2:$A$5001,עזר!L1094))</f>
        <v/>
      </c>
      <c r="B1094" s="13" t="str">
        <f aca="false">IF(עזר!L1094="","",INDEX(עזר!$B$2:$B$5001,עזר!L1094))</f>
        <v/>
      </c>
      <c r="C1094" s="13" t="str">
        <f aca="false">עזר!M1094</f>
        <v/>
      </c>
    </row>
    <row r="1095" customFormat="false" ht="15" hidden="false" customHeight="false" outlineLevel="0" collapsed="false">
      <c r="A1095" s="13" t="str">
        <f aca="false">IF(עזר!L1095="","",INDEX(עזר!$A$2:$A$5001,עזר!L1095))</f>
        <v/>
      </c>
      <c r="B1095" s="13" t="str">
        <f aca="false">IF(עזר!L1095="","",INDEX(עזר!$B$2:$B$5001,עזר!L1095))</f>
        <v/>
      </c>
      <c r="C1095" s="13" t="str">
        <f aca="false">עזר!M1095</f>
        <v/>
      </c>
    </row>
    <row r="1096" customFormat="false" ht="15" hidden="false" customHeight="false" outlineLevel="0" collapsed="false">
      <c r="A1096" s="13" t="str">
        <f aca="false">IF(עזר!L1096="","",INDEX(עזר!$A$2:$A$5001,עזר!L1096))</f>
        <v/>
      </c>
      <c r="B1096" s="13" t="str">
        <f aca="false">IF(עזר!L1096="","",INDEX(עזר!$B$2:$B$5001,עזר!L1096))</f>
        <v/>
      </c>
      <c r="C1096" s="13" t="str">
        <f aca="false">עזר!M1096</f>
        <v/>
      </c>
    </row>
    <row r="1097" customFormat="false" ht="15" hidden="false" customHeight="false" outlineLevel="0" collapsed="false">
      <c r="A1097" s="13" t="str">
        <f aca="false">IF(עזר!L1097="","",INDEX(עזר!$A$2:$A$5001,עזר!L1097))</f>
        <v/>
      </c>
      <c r="B1097" s="13" t="str">
        <f aca="false">IF(עזר!L1097="","",INDEX(עזר!$B$2:$B$5001,עזר!L1097))</f>
        <v/>
      </c>
      <c r="C1097" s="13" t="str">
        <f aca="false">עזר!M1097</f>
        <v/>
      </c>
    </row>
    <row r="1098" customFormat="false" ht="15" hidden="false" customHeight="false" outlineLevel="0" collapsed="false">
      <c r="A1098" s="13" t="str">
        <f aca="false">IF(עזר!L1098="","",INDEX(עזר!$A$2:$A$5001,עזר!L1098))</f>
        <v/>
      </c>
      <c r="B1098" s="13" t="str">
        <f aca="false">IF(עזר!L1098="","",INDEX(עזר!$B$2:$B$5001,עזר!L1098))</f>
        <v/>
      </c>
      <c r="C1098" s="13" t="str">
        <f aca="false">עזר!M1098</f>
        <v/>
      </c>
    </row>
    <row r="1099" customFormat="false" ht="15" hidden="false" customHeight="false" outlineLevel="0" collapsed="false">
      <c r="A1099" s="13" t="str">
        <f aca="false">IF(עזר!L1099="","",INDEX(עזר!$A$2:$A$5001,עזר!L1099))</f>
        <v/>
      </c>
      <c r="B1099" s="13" t="str">
        <f aca="false">IF(עזר!L1099="","",INDEX(עזר!$B$2:$B$5001,עזר!L1099))</f>
        <v/>
      </c>
      <c r="C1099" s="13" t="str">
        <f aca="false">עזר!M1099</f>
        <v/>
      </c>
    </row>
    <row r="1100" customFormat="false" ht="15" hidden="false" customHeight="false" outlineLevel="0" collapsed="false">
      <c r="A1100" s="13" t="str">
        <f aca="false">IF(עזר!L1100="","",INDEX(עזר!$A$2:$A$5001,עזר!L1100))</f>
        <v/>
      </c>
      <c r="B1100" s="13" t="str">
        <f aca="false">IF(עזר!L1100="","",INDEX(עזר!$B$2:$B$5001,עזר!L1100))</f>
        <v/>
      </c>
      <c r="C1100" s="13" t="str">
        <f aca="false">עזר!M1100</f>
        <v/>
      </c>
    </row>
    <row r="1101" customFormat="false" ht="15" hidden="false" customHeight="false" outlineLevel="0" collapsed="false">
      <c r="A1101" s="13" t="str">
        <f aca="false">IF(עזר!L1101="","",INDEX(עזר!$A$2:$A$5001,עזר!L1101))</f>
        <v/>
      </c>
      <c r="B1101" s="13" t="str">
        <f aca="false">IF(עזר!L1101="","",INDEX(עזר!$B$2:$B$5001,עזר!L1101))</f>
        <v/>
      </c>
      <c r="C1101" s="13" t="str">
        <f aca="false">עזר!M1101</f>
        <v/>
      </c>
    </row>
    <row r="1102" customFormat="false" ht="15" hidden="false" customHeight="false" outlineLevel="0" collapsed="false">
      <c r="A1102" s="13" t="str">
        <f aca="false">IF(עזר!L1102="","",INDEX(עזר!$A$2:$A$5001,עזר!L1102))</f>
        <v/>
      </c>
      <c r="B1102" s="13" t="str">
        <f aca="false">IF(עזר!L1102="","",INDEX(עזר!$B$2:$B$5001,עזר!L1102))</f>
        <v/>
      </c>
      <c r="C1102" s="13" t="str">
        <f aca="false">עזר!M1102</f>
        <v/>
      </c>
    </row>
    <row r="1103" customFormat="false" ht="15" hidden="false" customHeight="false" outlineLevel="0" collapsed="false">
      <c r="A1103" s="13" t="str">
        <f aca="false">IF(עזר!L1103="","",INDEX(עזר!$A$2:$A$5001,עזר!L1103))</f>
        <v/>
      </c>
      <c r="B1103" s="13" t="str">
        <f aca="false">IF(עזר!L1103="","",INDEX(עזר!$B$2:$B$5001,עזר!L1103))</f>
        <v/>
      </c>
      <c r="C1103" s="13" t="str">
        <f aca="false">עזר!M1103</f>
        <v/>
      </c>
    </row>
    <row r="1104" customFormat="false" ht="15" hidden="false" customHeight="false" outlineLevel="0" collapsed="false">
      <c r="A1104" s="13" t="str">
        <f aca="false">IF(עזר!L1104="","",INDEX(עזר!$A$2:$A$5001,עזר!L1104))</f>
        <v/>
      </c>
      <c r="B1104" s="13" t="str">
        <f aca="false">IF(עזר!L1104="","",INDEX(עזר!$B$2:$B$5001,עזר!L1104))</f>
        <v/>
      </c>
      <c r="C1104" s="13" t="str">
        <f aca="false">עזר!M1104</f>
        <v/>
      </c>
    </row>
    <row r="1105" customFormat="false" ht="15" hidden="false" customHeight="false" outlineLevel="0" collapsed="false">
      <c r="A1105" s="13" t="str">
        <f aca="false">IF(עזר!L1105="","",INDEX(עזר!$A$2:$A$5001,עזר!L1105))</f>
        <v/>
      </c>
      <c r="B1105" s="13" t="str">
        <f aca="false">IF(עזר!L1105="","",INDEX(עזר!$B$2:$B$5001,עזר!L1105))</f>
        <v/>
      </c>
      <c r="C1105" s="13" t="str">
        <f aca="false">עזר!M1105</f>
        <v/>
      </c>
    </row>
    <row r="1106" customFormat="false" ht="15" hidden="false" customHeight="false" outlineLevel="0" collapsed="false">
      <c r="A1106" s="13" t="str">
        <f aca="false">IF(עזר!L1106="","",INDEX(עזר!$A$2:$A$5001,עזר!L1106))</f>
        <v/>
      </c>
      <c r="B1106" s="13" t="str">
        <f aca="false">IF(עזר!L1106="","",INDEX(עזר!$B$2:$B$5001,עזר!L1106))</f>
        <v/>
      </c>
      <c r="C1106" s="13" t="str">
        <f aca="false">עזר!M1106</f>
        <v/>
      </c>
    </row>
    <row r="1107" customFormat="false" ht="15" hidden="false" customHeight="false" outlineLevel="0" collapsed="false">
      <c r="A1107" s="13" t="str">
        <f aca="false">IF(עזר!L1107="","",INDEX(עזר!$A$2:$A$5001,עזר!L1107))</f>
        <v/>
      </c>
      <c r="B1107" s="13" t="str">
        <f aca="false">IF(עזר!L1107="","",INDEX(עזר!$B$2:$B$5001,עזר!L1107))</f>
        <v/>
      </c>
      <c r="C1107" s="13" t="str">
        <f aca="false">עזר!M1107</f>
        <v/>
      </c>
    </row>
    <row r="1108" customFormat="false" ht="15" hidden="false" customHeight="false" outlineLevel="0" collapsed="false">
      <c r="A1108" s="13" t="str">
        <f aca="false">IF(עזר!L1108="","",INDEX(עזר!$A$2:$A$5001,עזר!L1108))</f>
        <v/>
      </c>
      <c r="B1108" s="13" t="str">
        <f aca="false">IF(עזר!L1108="","",INDEX(עזר!$B$2:$B$5001,עזר!L1108))</f>
        <v/>
      </c>
      <c r="C1108" s="13" t="str">
        <f aca="false">עזר!M1108</f>
        <v/>
      </c>
    </row>
    <row r="1109" customFormat="false" ht="15" hidden="false" customHeight="false" outlineLevel="0" collapsed="false">
      <c r="A1109" s="13" t="str">
        <f aca="false">IF(עזר!L1109="","",INDEX(עזר!$A$2:$A$5001,עזר!L1109))</f>
        <v/>
      </c>
      <c r="B1109" s="13" t="str">
        <f aca="false">IF(עזר!L1109="","",INDEX(עזר!$B$2:$B$5001,עזר!L1109))</f>
        <v/>
      </c>
      <c r="C1109" s="13" t="str">
        <f aca="false">עזר!M1109</f>
        <v/>
      </c>
    </row>
    <row r="1110" customFormat="false" ht="15" hidden="false" customHeight="false" outlineLevel="0" collapsed="false">
      <c r="A1110" s="13" t="str">
        <f aca="false">IF(עזר!L1110="","",INDEX(עזר!$A$2:$A$5001,עזר!L1110))</f>
        <v/>
      </c>
      <c r="B1110" s="13" t="str">
        <f aca="false">IF(עזר!L1110="","",INDEX(עזר!$B$2:$B$5001,עזר!L1110))</f>
        <v/>
      </c>
      <c r="C1110" s="13" t="str">
        <f aca="false">עזר!M1110</f>
        <v/>
      </c>
    </row>
    <row r="1111" customFormat="false" ht="15" hidden="false" customHeight="false" outlineLevel="0" collapsed="false">
      <c r="A1111" s="13" t="str">
        <f aca="false">IF(עזר!L1111="","",INDEX(עזר!$A$2:$A$5001,עזר!L1111))</f>
        <v/>
      </c>
      <c r="B1111" s="13" t="str">
        <f aca="false">IF(עזר!L1111="","",INDEX(עזר!$B$2:$B$5001,עזר!L1111))</f>
        <v/>
      </c>
      <c r="C1111" s="13" t="str">
        <f aca="false">עזר!M1111</f>
        <v/>
      </c>
    </row>
    <row r="1112" customFormat="false" ht="15" hidden="false" customHeight="false" outlineLevel="0" collapsed="false">
      <c r="A1112" s="13" t="str">
        <f aca="false">IF(עזר!L1112="","",INDEX(עזר!$A$2:$A$5001,עזר!L1112))</f>
        <v/>
      </c>
      <c r="B1112" s="13" t="str">
        <f aca="false">IF(עזר!L1112="","",INDEX(עזר!$B$2:$B$5001,עזר!L1112))</f>
        <v/>
      </c>
      <c r="C1112" s="13" t="str">
        <f aca="false">עזר!M1112</f>
        <v/>
      </c>
    </row>
    <row r="1113" customFormat="false" ht="15" hidden="false" customHeight="false" outlineLevel="0" collapsed="false">
      <c r="A1113" s="13" t="str">
        <f aca="false">IF(עזר!L1113="","",INDEX(עזר!$A$2:$A$5001,עזר!L1113))</f>
        <v/>
      </c>
      <c r="B1113" s="13" t="str">
        <f aca="false">IF(עזר!L1113="","",INDEX(עזר!$B$2:$B$5001,עזר!L1113))</f>
        <v/>
      </c>
      <c r="C1113" s="13" t="str">
        <f aca="false">עזר!M1113</f>
        <v/>
      </c>
    </row>
    <row r="1114" customFormat="false" ht="15" hidden="false" customHeight="false" outlineLevel="0" collapsed="false">
      <c r="A1114" s="13" t="str">
        <f aca="false">IF(עזר!L1114="","",INDEX(עזר!$A$2:$A$5001,עזר!L1114))</f>
        <v/>
      </c>
      <c r="B1114" s="13" t="str">
        <f aca="false">IF(עזר!L1114="","",INDEX(עזר!$B$2:$B$5001,עזר!L1114))</f>
        <v/>
      </c>
      <c r="C1114" s="13" t="str">
        <f aca="false">עזר!M1114</f>
        <v/>
      </c>
    </row>
    <row r="1115" customFormat="false" ht="15" hidden="false" customHeight="false" outlineLevel="0" collapsed="false">
      <c r="A1115" s="13" t="str">
        <f aca="false">IF(עזר!L1115="","",INDEX(עזר!$A$2:$A$5001,עזר!L1115))</f>
        <v/>
      </c>
      <c r="B1115" s="13" t="str">
        <f aca="false">IF(עזר!L1115="","",INDEX(עזר!$B$2:$B$5001,עזר!L1115))</f>
        <v/>
      </c>
      <c r="C1115" s="13" t="str">
        <f aca="false">עזר!M1115</f>
        <v/>
      </c>
    </row>
    <row r="1116" customFormat="false" ht="15" hidden="false" customHeight="false" outlineLevel="0" collapsed="false">
      <c r="A1116" s="13" t="str">
        <f aca="false">IF(עזר!L1116="","",INDEX(עזר!$A$2:$A$5001,עזר!L1116))</f>
        <v/>
      </c>
      <c r="B1116" s="13" t="str">
        <f aca="false">IF(עזר!L1116="","",INDEX(עזר!$B$2:$B$5001,עזר!L1116))</f>
        <v/>
      </c>
      <c r="C1116" s="13" t="str">
        <f aca="false">עזר!M1116</f>
        <v/>
      </c>
    </row>
    <row r="1117" customFormat="false" ht="15" hidden="false" customHeight="false" outlineLevel="0" collapsed="false">
      <c r="A1117" s="13" t="str">
        <f aca="false">IF(עזר!L1117="","",INDEX(עזר!$A$2:$A$5001,עזר!L1117))</f>
        <v/>
      </c>
      <c r="B1117" s="13" t="str">
        <f aca="false">IF(עזר!L1117="","",INDEX(עזר!$B$2:$B$5001,עזר!L1117))</f>
        <v/>
      </c>
      <c r="C1117" s="13" t="str">
        <f aca="false">עזר!M1117</f>
        <v/>
      </c>
    </row>
    <row r="1118" customFormat="false" ht="15" hidden="false" customHeight="false" outlineLevel="0" collapsed="false">
      <c r="A1118" s="13" t="str">
        <f aca="false">IF(עזר!L1118="","",INDEX(עזר!$A$2:$A$5001,עזר!L1118))</f>
        <v/>
      </c>
      <c r="B1118" s="13" t="str">
        <f aca="false">IF(עזר!L1118="","",INDEX(עזר!$B$2:$B$5001,עזר!L1118))</f>
        <v/>
      </c>
      <c r="C1118" s="13" t="str">
        <f aca="false">עזר!M1118</f>
        <v/>
      </c>
    </row>
    <row r="1119" customFormat="false" ht="15" hidden="false" customHeight="false" outlineLevel="0" collapsed="false">
      <c r="A1119" s="13" t="str">
        <f aca="false">IF(עזר!L1119="","",INDEX(עזר!$A$2:$A$5001,עזר!L1119))</f>
        <v/>
      </c>
      <c r="B1119" s="13" t="str">
        <f aca="false">IF(עזר!L1119="","",INDEX(עזר!$B$2:$B$5001,עזר!L1119))</f>
        <v/>
      </c>
      <c r="C1119" s="13" t="str">
        <f aca="false">עזר!M1119</f>
        <v/>
      </c>
    </row>
    <row r="1120" customFormat="false" ht="15" hidden="false" customHeight="false" outlineLevel="0" collapsed="false">
      <c r="A1120" s="13" t="str">
        <f aca="false">IF(עזר!L1120="","",INDEX(עזר!$A$2:$A$5001,עזר!L1120))</f>
        <v/>
      </c>
      <c r="B1120" s="13" t="str">
        <f aca="false">IF(עזר!L1120="","",INDEX(עזר!$B$2:$B$5001,עזר!L1120))</f>
        <v/>
      </c>
      <c r="C1120" s="13" t="str">
        <f aca="false">עזר!M1120</f>
        <v/>
      </c>
    </row>
    <row r="1121" customFormat="false" ht="15" hidden="false" customHeight="false" outlineLevel="0" collapsed="false">
      <c r="A1121" s="13" t="str">
        <f aca="false">IF(עזר!L1121="","",INDEX(עזר!$A$2:$A$5001,עזר!L1121))</f>
        <v/>
      </c>
      <c r="B1121" s="13" t="str">
        <f aca="false">IF(עזר!L1121="","",INDEX(עזר!$B$2:$B$5001,עזר!L1121))</f>
        <v/>
      </c>
      <c r="C1121" s="13" t="str">
        <f aca="false">עזר!M1121</f>
        <v/>
      </c>
    </row>
    <row r="1122" customFormat="false" ht="15" hidden="false" customHeight="false" outlineLevel="0" collapsed="false">
      <c r="A1122" s="13" t="str">
        <f aca="false">IF(עזר!L1122="","",INDEX(עזר!$A$2:$A$5001,עזר!L1122))</f>
        <v/>
      </c>
      <c r="B1122" s="13" t="str">
        <f aca="false">IF(עזר!L1122="","",INDEX(עזר!$B$2:$B$5001,עזר!L1122))</f>
        <v/>
      </c>
      <c r="C1122" s="13" t="str">
        <f aca="false">עזר!M1122</f>
        <v/>
      </c>
    </row>
    <row r="1123" customFormat="false" ht="15" hidden="false" customHeight="false" outlineLevel="0" collapsed="false">
      <c r="A1123" s="13" t="str">
        <f aca="false">IF(עזר!L1123="","",INDEX(עזר!$A$2:$A$5001,עזר!L1123))</f>
        <v/>
      </c>
      <c r="B1123" s="13" t="str">
        <f aca="false">IF(עזר!L1123="","",INDEX(עזר!$B$2:$B$5001,עזר!L1123))</f>
        <v/>
      </c>
      <c r="C1123" s="13" t="str">
        <f aca="false">עזר!M1123</f>
        <v/>
      </c>
    </row>
    <row r="1124" customFormat="false" ht="15" hidden="false" customHeight="false" outlineLevel="0" collapsed="false">
      <c r="A1124" s="13" t="str">
        <f aca="false">IF(עזר!L1124="","",INDEX(עזר!$A$2:$A$5001,עזר!L1124))</f>
        <v/>
      </c>
      <c r="B1124" s="13" t="str">
        <f aca="false">IF(עזר!L1124="","",INDEX(עזר!$B$2:$B$5001,עזר!L1124))</f>
        <v/>
      </c>
      <c r="C1124" s="13" t="str">
        <f aca="false">עזר!M1124</f>
        <v/>
      </c>
    </row>
    <row r="1125" customFormat="false" ht="15" hidden="false" customHeight="false" outlineLevel="0" collapsed="false">
      <c r="A1125" s="13" t="str">
        <f aca="false">IF(עזר!L1125="","",INDEX(עזר!$A$2:$A$5001,עזר!L1125))</f>
        <v/>
      </c>
      <c r="B1125" s="13" t="str">
        <f aca="false">IF(עזר!L1125="","",INDEX(עזר!$B$2:$B$5001,עזר!L1125))</f>
        <v/>
      </c>
      <c r="C1125" s="13" t="str">
        <f aca="false">עזר!M1125</f>
        <v/>
      </c>
    </row>
    <row r="1126" customFormat="false" ht="15" hidden="false" customHeight="false" outlineLevel="0" collapsed="false">
      <c r="A1126" s="13" t="str">
        <f aca="false">IF(עזר!L1126="","",INDEX(עזר!$A$2:$A$5001,עזר!L1126))</f>
        <v/>
      </c>
      <c r="B1126" s="13" t="str">
        <f aca="false">IF(עזר!L1126="","",INDEX(עזר!$B$2:$B$5001,עזר!L1126))</f>
        <v/>
      </c>
      <c r="C1126" s="13" t="str">
        <f aca="false">עזר!M1126</f>
        <v/>
      </c>
    </row>
    <row r="1127" customFormat="false" ht="15" hidden="false" customHeight="false" outlineLevel="0" collapsed="false">
      <c r="A1127" s="13" t="str">
        <f aca="false">IF(עזר!L1127="","",INDEX(עזר!$A$2:$A$5001,עזר!L1127))</f>
        <v/>
      </c>
      <c r="B1127" s="13" t="str">
        <f aca="false">IF(עזר!L1127="","",INDEX(עזר!$B$2:$B$5001,עזר!L1127))</f>
        <v/>
      </c>
      <c r="C1127" s="13" t="str">
        <f aca="false">עזר!M1127</f>
        <v/>
      </c>
    </row>
    <row r="1128" customFormat="false" ht="15" hidden="false" customHeight="false" outlineLevel="0" collapsed="false">
      <c r="A1128" s="13" t="str">
        <f aca="false">IF(עזר!L1128="","",INDEX(עזר!$A$2:$A$5001,עזר!L1128))</f>
        <v/>
      </c>
      <c r="B1128" s="13" t="str">
        <f aca="false">IF(עזר!L1128="","",INDEX(עזר!$B$2:$B$5001,עזר!L1128))</f>
        <v/>
      </c>
      <c r="C1128" s="13" t="str">
        <f aca="false">עזר!M1128</f>
        <v/>
      </c>
    </row>
    <row r="1129" customFormat="false" ht="15" hidden="false" customHeight="false" outlineLevel="0" collapsed="false">
      <c r="A1129" s="13" t="str">
        <f aca="false">IF(עזר!L1129="","",INDEX(עזר!$A$2:$A$5001,עזר!L1129))</f>
        <v/>
      </c>
      <c r="B1129" s="13" t="str">
        <f aca="false">IF(עזר!L1129="","",INDEX(עזר!$B$2:$B$5001,עזר!L1129))</f>
        <v/>
      </c>
      <c r="C1129" s="13" t="str">
        <f aca="false">עזר!M1129</f>
        <v/>
      </c>
    </row>
    <row r="1130" customFormat="false" ht="15" hidden="false" customHeight="false" outlineLevel="0" collapsed="false">
      <c r="A1130" s="13" t="str">
        <f aca="false">IF(עזר!L1130="","",INDEX(עזר!$A$2:$A$5001,עזר!L1130))</f>
        <v/>
      </c>
      <c r="B1130" s="13" t="str">
        <f aca="false">IF(עזר!L1130="","",INDEX(עזר!$B$2:$B$5001,עזר!L1130))</f>
        <v/>
      </c>
      <c r="C1130" s="13" t="str">
        <f aca="false">עזר!M1130</f>
        <v/>
      </c>
    </row>
    <row r="1131" customFormat="false" ht="15" hidden="false" customHeight="false" outlineLevel="0" collapsed="false">
      <c r="A1131" s="13" t="str">
        <f aca="false">IF(עזר!L1131="","",INDEX(עזר!$A$2:$A$5001,עזר!L1131))</f>
        <v/>
      </c>
      <c r="B1131" s="13" t="str">
        <f aca="false">IF(עזר!L1131="","",INDEX(עזר!$B$2:$B$5001,עזר!L1131))</f>
        <v/>
      </c>
      <c r="C1131" s="13" t="str">
        <f aca="false">עזר!M1131</f>
        <v/>
      </c>
    </row>
    <row r="1132" customFormat="false" ht="15" hidden="false" customHeight="false" outlineLevel="0" collapsed="false">
      <c r="A1132" s="13" t="str">
        <f aca="false">IF(עזר!L1132="","",INDEX(עזר!$A$2:$A$5001,עזר!L1132))</f>
        <v/>
      </c>
      <c r="B1132" s="13" t="str">
        <f aca="false">IF(עזר!L1132="","",INDEX(עזר!$B$2:$B$5001,עזר!L1132))</f>
        <v/>
      </c>
      <c r="C1132" s="13" t="str">
        <f aca="false">עזר!M1132</f>
        <v/>
      </c>
    </row>
    <row r="1133" customFormat="false" ht="15" hidden="false" customHeight="false" outlineLevel="0" collapsed="false">
      <c r="A1133" s="13" t="str">
        <f aca="false">IF(עזר!L1133="","",INDEX(עזר!$A$2:$A$5001,עזר!L1133))</f>
        <v/>
      </c>
      <c r="B1133" s="13" t="str">
        <f aca="false">IF(עזר!L1133="","",INDEX(עזר!$B$2:$B$5001,עזר!L1133))</f>
        <v/>
      </c>
      <c r="C1133" s="13" t="str">
        <f aca="false">עזר!M1133</f>
        <v/>
      </c>
    </row>
    <row r="1134" customFormat="false" ht="15" hidden="false" customHeight="false" outlineLevel="0" collapsed="false">
      <c r="A1134" s="13" t="str">
        <f aca="false">IF(עזר!L1134="","",INDEX(עזר!$A$2:$A$5001,עזר!L1134))</f>
        <v/>
      </c>
      <c r="B1134" s="13" t="str">
        <f aca="false">IF(עזר!L1134="","",INDEX(עזר!$B$2:$B$5001,עזר!L1134))</f>
        <v/>
      </c>
      <c r="C1134" s="13" t="str">
        <f aca="false">עזר!M1134</f>
        <v/>
      </c>
    </row>
    <row r="1135" customFormat="false" ht="15" hidden="false" customHeight="false" outlineLevel="0" collapsed="false">
      <c r="A1135" s="13" t="str">
        <f aca="false">IF(עזר!L1135="","",INDEX(עזר!$A$2:$A$5001,עזר!L1135))</f>
        <v/>
      </c>
      <c r="B1135" s="13" t="str">
        <f aca="false">IF(עזר!L1135="","",INDEX(עזר!$B$2:$B$5001,עזר!L1135))</f>
        <v/>
      </c>
      <c r="C1135" s="13" t="str">
        <f aca="false">עזר!M1135</f>
        <v/>
      </c>
    </row>
    <row r="1136" customFormat="false" ht="15" hidden="false" customHeight="false" outlineLevel="0" collapsed="false">
      <c r="A1136" s="13" t="str">
        <f aca="false">IF(עזר!L1136="","",INDEX(עזר!$A$2:$A$5001,עזר!L1136))</f>
        <v/>
      </c>
      <c r="B1136" s="13" t="str">
        <f aca="false">IF(עזר!L1136="","",INDEX(עזר!$B$2:$B$5001,עזר!L1136))</f>
        <v/>
      </c>
      <c r="C1136" s="13" t="str">
        <f aca="false">עזר!M1136</f>
        <v/>
      </c>
    </row>
    <row r="1137" customFormat="false" ht="15" hidden="false" customHeight="false" outlineLevel="0" collapsed="false">
      <c r="A1137" s="13" t="str">
        <f aca="false">IF(עזר!L1137="","",INDEX(עזר!$A$2:$A$5001,עזר!L1137))</f>
        <v/>
      </c>
      <c r="B1137" s="13" t="str">
        <f aca="false">IF(עזר!L1137="","",INDEX(עזר!$B$2:$B$5001,עזר!L1137))</f>
        <v/>
      </c>
      <c r="C1137" s="13" t="str">
        <f aca="false">עזר!M1137</f>
        <v/>
      </c>
    </row>
    <row r="1138" customFormat="false" ht="15" hidden="false" customHeight="false" outlineLevel="0" collapsed="false">
      <c r="A1138" s="13" t="str">
        <f aca="false">IF(עזר!L1138="","",INDEX(עזר!$A$2:$A$5001,עזר!L1138))</f>
        <v/>
      </c>
      <c r="B1138" s="13" t="str">
        <f aca="false">IF(עזר!L1138="","",INDEX(עזר!$B$2:$B$5001,עזר!L1138))</f>
        <v/>
      </c>
      <c r="C1138" s="13" t="str">
        <f aca="false">עזר!M1138</f>
        <v/>
      </c>
    </row>
    <row r="1139" customFormat="false" ht="15" hidden="false" customHeight="false" outlineLevel="0" collapsed="false">
      <c r="A1139" s="13" t="str">
        <f aca="false">IF(עזר!L1139="","",INDEX(עזר!$A$2:$A$5001,עזר!L1139))</f>
        <v/>
      </c>
      <c r="B1139" s="13" t="str">
        <f aca="false">IF(עזר!L1139="","",INDEX(עזר!$B$2:$B$5001,עזר!L1139))</f>
        <v/>
      </c>
      <c r="C1139" s="13" t="str">
        <f aca="false">עזר!M1139</f>
        <v/>
      </c>
    </row>
    <row r="1140" customFormat="false" ht="15" hidden="false" customHeight="false" outlineLevel="0" collapsed="false">
      <c r="A1140" s="13" t="str">
        <f aca="false">IF(עזר!L1140="","",INDEX(עזר!$A$2:$A$5001,עזר!L1140))</f>
        <v/>
      </c>
      <c r="B1140" s="13" t="str">
        <f aca="false">IF(עזר!L1140="","",INDEX(עזר!$B$2:$B$5001,עזר!L1140))</f>
        <v/>
      </c>
      <c r="C1140" s="13" t="str">
        <f aca="false">עזר!M1140</f>
        <v/>
      </c>
    </row>
    <row r="1141" customFormat="false" ht="15" hidden="false" customHeight="false" outlineLevel="0" collapsed="false">
      <c r="A1141" s="13" t="str">
        <f aca="false">IF(עזר!L1141="","",INDEX(עזר!$A$2:$A$5001,עזר!L1141))</f>
        <v/>
      </c>
      <c r="B1141" s="13" t="str">
        <f aca="false">IF(עזר!L1141="","",INDEX(עזר!$B$2:$B$5001,עזר!L1141))</f>
        <v/>
      </c>
      <c r="C1141" s="13" t="str">
        <f aca="false">עזר!M1141</f>
        <v/>
      </c>
    </row>
    <row r="1142" customFormat="false" ht="15" hidden="false" customHeight="false" outlineLevel="0" collapsed="false">
      <c r="A1142" s="13" t="str">
        <f aca="false">IF(עזר!L1142="","",INDEX(עזר!$A$2:$A$5001,עזר!L1142))</f>
        <v/>
      </c>
      <c r="B1142" s="13" t="str">
        <f aca="false">IF(עזר!L1142="","",INDEX(עזר!$B$2:$B$5001,עזר!L1142))</f>
        <v/>
      </c>
      <c r="C1142" s="13" t="str">
        <f aca="false">עזר!M1142</f>
        <v/>
      </c>
    </row>
    <row r="1143" customFormat="false" ht="15" hidden="false" customHeight="false" outlineLevel="0" collapsed="false">
      <c r="A1143" s="13" t="str">
        <f aca="false">IF(עזר!L1143="","",INDEX(עזר!$A$2:$A$5001,עזר!L1143))</f>
        <v/>
      </c>
      <c r="B1143" s="13" t="str">
        <f aca="false">IF(עזר!L1143="","",INDEX(עזר!$B$2:$B$5001,עזר!L1143))</f>
        <v/>
      </c>
      <c r="C1143" s="13" t="str">
        <f aca="false">עזר!M1143</f>
        <v/>
      </c>
    </row>
    <row r="1144" customFormat="false" ht="15" hidden="false" customHeight="false" outlineLevel="0" collapsed="false">
      <c r="A1144" s="13" t="str">
        <f aca="false">IF(עזר!L1144="","",INDEX(עזר!$A$2:$A$5001,עזר!L1144))</f>
        <v/>
      </c>
      <c r="B1144" s="13" t="str">
        <f aca="false">IF(עזר!L1144="","",INDEX(עזר!$B$2:$B$5001,עזר!L1144))</f>
        <v/>
      </c>
      <c r="C1144" s="13" t="str">
        <f aca="false">עזר!M1144</f>
        <v/>
      </c>
    </row>
    <row r="1145" customFormat="false" ht="15" hidden="false" customHeight="false" outlineLevel="0" collapsed="false">
      <c r="A1145" s="13" t="str">
        <f aca="false">IF(עזר!L1145="","",INDEX(עזר!$A$2:$A$5001,עזר!L1145))</f>
        <v/>
      </c>
      <c r="B1145" s="13" t="str">
        <f aca="false">IF(עזר!L1145="","",INDEX(עזר!$B$2:$B$5001,עזר!L1145))</f>
        <v/>
      </c>
      <c r="C1145" s="13" t="str">
        <f aca="false">עזר!M1145</f>
        <v/>
      </c>
    </row>
    <row r="1146" customFormat="false" ht="15" hidden="false" customHeight="false" outlineLevel="0" collapsed="false">
      <c r="A1146" s="13" t="str">
        <f aca="false">IF(עזר!L1146="","",INDEX(עזר!$A$2:$A$5001,עזר!L1146))</f>
        <v/>
      </c>
      <c r="B1146" s="13" t="str">
        <f aca="false">IF(עזר!L1146="","",INDEX(עזר!$B$2:$B$5001,עזר!L1146))</f>
        <v/>
      </c>
      <c r="C1146" s="13" t="str">
        <f aca="false">עזר!M1146</f>
        <v/>
      </c>
    </row>
    <row r="1147" customFormat="false" ht="15" hidden="false" customHeight="false" outlineLevel="0" collapsed="false">
      <c r="A1147" s="13" t="str">
        <f aca="false">IF(עזר!L1147="","",INDEX(עזר!$A$2:$A$5001,עזר!L1147))</f>
        <v/>
      </c>
      <c r="B1147" s="13" t="str">
        <f aca="false">IF(עזר!L1147="","",INDEX(עזר!$B$2:$B$5001,עזר!L1147))</f>
        <v/>
      </c>
      <c r="C1147" s="13" t="str">
        <f aca="false">עזר!M1147</f>
        <v/>
      </c>
    </row>
    <row r="1148" customFormat="false" ht="15" hidden="false" customHeight="false" outlineLevel="0" collapsed="false">
      <c r="A1148" s="13" t="str">
        <f aca="false">IF(עזר!L1148="","",INDEX(עזר!$A$2:$A$5001,עזר!L1148))</f>
        <v/>
      </c>
      <c r="B1148" s="13" t="str">
        <f aca="false">IF(עזר!L1148="","",INDEX(עזר!$B$2:$B$5001,עזר!L1148))</f>
        <v/>
      </c>
      <c r="C1148" s="13" t="str">
        <f aca="false">עזר!M1148</f>
        <v/>
      </c>
    </row>
    <row r="1149" customFormat="false" ht="15" hidden="false" customHeight="false" outlineLevel="0" collapsed="false">
      <c r="A1149" s="13" t="str">
        <f aca="false">IF(עזר!L1149="","",INDEX(עזר!$A$2:$A$5001,עזר!L1149))</f>
        <v/>
      </c>
      <c r="B1149" s="13" t="str">
        <f aca="false">IF(עזר!L1149="","",INDEX(עזר!$B$2:$B$5001,עזר!L1149))</f>
        <v/>
      </c>
      <c r="C1149" s="13" t="str">
        <f aca="false">עזר!M1149</f>
        <v/>
      </c>
    </row>
    <row r="1150" customFormat="false" ht="15" hidden="false" customHeight="false" outlineLevel="0" collapsed="false">
      <c r="A1150" s="13" t="str">
        <f aca="false">IF(עזר!L1150="","",INDEX(עזר!$A$2:$A$5001,עזר!L1150))</f>
        <v/>
      </c>
      <c r="B1150" s="13" t="str">
        <f aca="false">IF(עזר!L1150="","",INDEX(עזר!$B$2:$B$5001,עזר!L1150))</f>
        <v/>
      </c>
      <c r="C1150" s="13" t="str">
        <f aca="false">עזר!M1150</f>
        <v/>
      </c>
    </row>
    <row r="1151" customFormat="false" ht="15" hidden="false" customHeight="false" outlineLevel="0" collapsed="false">
      <c r="A1151" s="13" t="str">
        <f aca="false">IF(עזר!L1151="","",INDEX(עזר!$A$2:$A$5001,עזר!L1151))</f>
        <v/>
      </c>
      <c r="B1151" s="13" t="str">
        <f aca="false">IF(עזר!L1151="","",INDEX(עזר!$B$2:$B$5001,עזר!L1151))</f>
        <v/>
      </c>
      <c r="C1151" s="13" t="str">
        <f aca="false">עזר!M1151</f>
        <v/>
      </c>
    </row>
    <row r="1152" customFormat="false" ht="15" hidden="false" customHeight="false" outlineLevel="0" collapsed="false">
      <c r="A1152" s="13" t="str">
        <f aca="false">IF(עזר!L1152="","",INDEX(עזר!$A$2:$A$5001,עזר!L1152))</f>
        <v/>
      </c>
      <c r="B1152" s="13" t="str">
        <f aca="false">IF(עזר!L1152="","",INDEX(עזר!$B$2:$B$5001,עזר!L1152))</f>
        <v/>
      </c>
      <c r="C1152" s="13" t="str">
        <f aca="false">עזר!M1152</f>
        <v/>
      </c>
    </row>
    <row r="1153" customFormat="false" ht="15" hidden="false" customHeight="false" outlineLevel="0" collapsed="false">
      <c r="A1153" s="13" t="str">
        <f aca="false">IF(עזר!L1153="","",INDEX(עזר!$A$2:$A$5001,עזר!L1153))</f>
        <v/>
      </c>
      <c r="B1153" s="13" t="str">
        <f aca="false">IF(עזר!L1153="","",INDEX(עזר!$B$2:$B$5001,עזר!L1153))</f>
        <v/>
      </c>
      <c r="C1153" s="13" t="str">
        <f aca="false">עזר!M1153</f>
        <v/>
      </c>
    </row>
    <row r="1154" customFormat="false" ht="15" hidden="false" customHeight="false" outlineLevel="0" collapsed="false">
      <c r="A1154" s="13" t="str">
        <f aca="false">IF(עזר!L1154="","",INDEX(עזר!$A$2:$A$5001,עזר!L1154))</f>
        <v/>
      </c>
      <c r="B1154" s="13" t="str">
        <f aca="false">IF(עזר!L1154="","",INDEX(עזר!$B$2:$B$5001,עזר!L1154))</f>
        <v/>
      </c>
      <c r="C1154" s="13" t="str">
        <f aca="false">עזר!M1154</f>
        <v/>
      </c>
    </row>
    <row r="1155" customFormat="false" ht="15" hidden="false" customHeight="false" outlineLevel="0" collapsed="false">
      <c r="A1155" s="13" t="str">
        <f aca="false">IF(עזר!L1155="","",INDEX(עזר!$A$2:$A$5001,עזר!L1155))</f>
        <v/>
      </c>
      <c r="B1155" s="13" t="str">
        <f aca="false">IF(עזר!L1155="","",INDEX(עזר!$B$2:$B$5001,עזר!L1155))</f>
        <v/>
      </c>
      <c r="C1155" s="13" t="str">
        <f aca="false">עזר!M1155</f>
        <v/>
      </c>
    </row>
    <row r="1156" customFormat="false" ht="15" hidden="false" customHeight="false" outlineLevel="0" collapsed="false">
      <c r="A1156" s="13" t="str">
        <f aca="false">IF(עזר!L1156="","",INDEX(עזר!$A$2:$A$5001,עזר!L1156))</f>
        <v/>
      </c>
      <c r="B1156" s="13" t="str">
        <f aca="false">IF(עזר!L1156="","",INDEX(עזר!$B$2:$B$5001,עזר!L1156))</f>
        <v/>
      </c>
      <c r="C1156" s="13" t="str">
        <f aca="false">עזר!M1156</f>
        <v/>
      </c>
    </row>
    <row r="1157" customFormat="false" ht="15" hidden="false" customHeight="false" outlineLevel="0" collapsed="false">
      <c r="A1157" s="13" t="str">
        <f aca="false">IF(עזר!L1157="","",INDEX(עזר!$A$2:$A$5001,עזר!L1157))</f>
        <v/>
      </c>
      <c r="B1157" s="13" t="str">
        <f aca="false">IF(עזר!L1157="","",INDEX(עזר!$B$2:$B$5001,עזר!L1157))</f>
        <v/>
      </c>
      <c r="C1157" s="13" t="str">
        <f aca="false">עזר!M1157</f>
        <v/>
      </c>
    </row>
    <row r="1158" customFormat="false" ht="15" hidden="false" customHeight="false" outlineLevel="0" collapsed="false">
      <c r="A1158" s="13" t="str">
        <f aca="false">IF(עזר!L1158="","",INDEX(עזר!$A$2:$A$5001,עזר!L1158))</f>
        <v/>
      </c>
      <c r="B1158" s="13" t="str">
        <f aca="false">IF(עזר!L1158="","",INDEX(עזר!$B$2:$B$5001,עזר!L1158))</f>
        <v/>
      </c>
      <c r="C1158" s="13" t="str">
        <f aca="false">עזר!M1158</f>
        <v/>
      </c>
    </row>
    <row r="1159" customFormat="false" ht="15" hidden="false" customHeight="false" outlineLevel="0" collapsed="false">
      <c r="A1159" s="13" t="str">
        <f aca="false">IF(עזר!L1159="","",INDEX(עזר!$A$2:$A$5001,עזר!L1159))</f>
        <v/>
      </c>
      <c r="B1159" s="13" t="str">
        <f aca="false">IF(עזר!L1159="","",INDEX(עזר!$B$2:$B$5001,עזר!L1159))</f>
        <v/>
      </c>
      <c r="C1159" s="13" t="str">
        <f aca="false">עזר!M1159</f>
        <v/>
      </c>
    </row>
    <row r="1160" customFormat="false" ht="15" hidden="false" customHeight="false" outlineLevel="0" collapsed="false">
      <c r="A1160" s="13" t="str">
        <f aca="false">IF(עזר!L1160="","",INDEX(עזר!$A$2:$A$5001,עזר!L1160))</f>
        <v/>
      </c>
      <c r="B1160" s="13" t="str">
        <f aca="false">IF(עזר!L1160="","",INDEX(עזר!$B$2:$B$5001,עזר!L1160))</f>
        <v/>
      </c>
      <c r="C1160" s="13" t="str">
        <f aca="false">עזר!M1160</f>
        <v/>
      </c>
    </row>
    <row r="1161" customFormat="false" ht="15" hidden="false" customHeight="false" outlineLevel="0" collapsed="false">
      <c r="A1161" s="13" t="str">
        <f aca="false">IF(עזר!L1161="","",INDEX(עזר!$A$2:$A$5001,עזר!L1161))</f>
        <v/>
      </c>
      <c r="B1161" s="13" t="str">
        <f aca="false">IF(עזר!L1161="","",INDEX(עזר!$B$2:$B$5001,עזר!L1161))</f>
        <v/>
      </c>
      <c r="C1161" s="13" t="str">
        <f aca="false">עזר!M1161</f>
        <v/>
      </c>
    </row>
    <row r="1162" customFormat="false" ht="15" hidden="false" customHeight="false" outlineLevel="0" collapsed="false">
      <c r="A1162" s="13" t="str">
        <f aca="false">IF(עזר!L1162="","",INDEX(עזר!$A$2:$A$5001,עזר!L1162))</f>
        <v/>
      </c>
      <c r="B1162" s="13" t="str">
        <f aca="false">IF(עזר!L1162="","",INDEX(עזר!$B$2:$B$5001,עזר!L1162))</f>
        <v/>
      </c>
      <c r="C1162" s="13" t="str">
        <f aca="false">עזר!M1162</f>
        <v/>
      </c>
    </row>
    <row r="1163" customFormat="false" ht="15" hidden="false" customHeight="false" outlineLevel="0" collapsed="false">
      <c r="A1163" s="13" t="str">
        <f aca="false">IF(עזר!L1163="","",INDEX(עזר!$A$2:$A$5001,עזר!L1163))</f>
        <v/>
      </c>
      <c r="B1163" s="13" t="str">
        <f aca="false">IF(עזר!L1163="","",INDEX(עזר!$B$2:$B$5001,עזר!L1163))</f>
        <v/>
      </c>
      <c r="C1163" s="13" t="str">
        <f aca="false">עזר!M1163</f>
        <v/>
      </c>
    </row>
    <row r="1164" customFormat="false" ht="15" hidden="false" customHeight="false" outlineLevel="0" collapsed="false">
      <c r="A1164" s="13" t="str">
        <f aca="false">IF(עזר!L1164="","",INDEX(עזר!$A$2:$A$5001,עזר!L1164))</f>
        <v/>
      </c>
      <c r="B1164" s="13" t="str">
        <f aca="false">IF(עזר!L1164="","",INDEX(עזר!$B$2:$B$5001,עזר!L1164))</f>
        <v/>
      </c>
      <c r="C1164" s="13" t="str">
        <f aca="false">עזר!M1164</f>
        <v/>
      </c>
    </row>
    <row r="1165" customFormat="false" ht="15" hidden="false" customHeight="false" outlineLevel="0" collapsed="false">
      <c r="A1165" s="13" t="str">
        <f aca="false">IF(עזר!L1165="","",INDEX(עזר!$A$2:$A$5001,עזר!L1165))</f>
        <v/>
      </c>
      <c r="B1165" s="13" t="str">
        <f aca="false">IF(עזר!L1165="","",INDEX(עזר!$B$2:$B$5001,עזר!L1165))</f>
        <v/>
      </c>
      <c r="C1165" s="13" t="str">
        <f aca="false">עזר!M1165</f>
        <v/>
      </c>
    </row>
    <row r="1166" customFormat="false" ht="15" hidden="false" customHeight="false" outlineLevel="0" collapsed="false">
      <c r="A1166" s="13" t="str">
        <f aca="false">IF(עזר!L1166="","",INDEX(עזר!$A$2:$A$5001,עזר!L1166))</f>
        <v/>
      </c>
      <c r="B1166" s="13" t="str">
        <f aca="false">IF(עזר!L1166="","",INDEX(עזר!$B$2:$B$5001,עזר!L1166))</f>
        <v/>
      </c>
      <c r="C1166" s="13" t="str">
        <f aca="false">עזר!M1166</f>
        <v/>
      </c>
    </row>
    <row r="1167" customFormat="false" ht="15" hidden="false" customHeight="false" outlineLevel="0" collapsed="false">
      <c r="A1167" s="13" t="str">
        <f aca="false">IF(עזר!L1167="","",INDEX(עזר!$A$2:$A$5001,עזר!L1167))</f>
        <v/>
      </c>
      <c r="B1167" s="13" t="str">
        <f aca="false">IF(עזר!L1167="","",INDEX(עזר!$B$2:$B$5001,עזר!L1167))</f>
        <v/>
      </c>
      <c r="C1167" s="13" t="str">
        <f aca="false">עזר!M1167</f>
        <v/>
      </c>
    </row>
    <row r="1168" customFormat="false" ht="15" hidden="false" customHeight="false" outlineLevel="0" collapsed="false">
      <c r="A1168" s="13" t="str">
        <f aca="false">IF(עזר!L1168="","",INDEX(עזר!$A$2:$A$5001,עזר!L1168))</f>
        <v/>
      </c>
      <c r="B1168" s="13" t="str">
        <f aca="false">IF(עזר!L1168="","",INDEX(עזר!$B$2:$B$5001,עזר!L1168))</f>
        <v/>
      </c>
      <c r="C1168" s="13" t="str">
        <f aca="false">עזר!M1168</f>
        <v/>
      </c>
    </row>
    <row r="1169" customFormat="false" ht="15" hidden="false" customHeight="false" outlineLevel="0" collapsed="false">
      <c r="A1169" s="13" t="str">
        <f aca="false">IF(עזר!L1169="","",INDEX(עזר!$A$2:$A$5001,עזר!L1169))</f>
        <v/>
      </c>
      <c r="B1169" s="13" t="str">
        <f aca="false">IF(עזר!L1169="","",INDEX(עזר!$B$2:$B$5001,עזר!L1169))</f>
        <v/>
      </c>
      <c r="C1169" s="13" t="str">
        <f aca="false">עזר!M1169</f>
        <v/>
      </c>
    </row>
    <row r="1170" customFormat="false" ht="15" hidden="false" customHeight="false" outlineLevel="0" collapsed="false">
      <c r="A1170" s="13" t="str">
        <f aca="false">IF(עזר!L1170="","",INDEX(עזר!$A$2:$A$5001,עזר!L1170))</f>
        <v/>
      </c>
      <c r="B1170" s="13" t="str">
        <f aca="false">IF(עזר!L1170="","",INDEX(עזר!$B$2:$B$5001,עזר!L1170))</f>
        <v/>
      </c>
      <c r="C1170" s="13" t="str">
        <f aca="false">עזר!M1170</f>
        <v/>
      </c>
    </row>
    <row r="1171" customFormat="false" ht="15" hidden="false" customHeight="false" outlineLevel="0" collapsed="false">
      <c r="A1171" s="13" t="str">
        <f aca="false">IF(עזר!L1171="","",INDEX(עזר!$A$2:$A$5001,עזר!L1171))</f>
        <v/>
      </c>
      <c r="B1171" s="13" t="str">
        <f aca="false">IF(עזר!L1171="","",INDEX(עזר!$B$2:$B$5001,עזר!L1171))</f>
        <v/>
      </c>
      <c r="C1171" s="13" t="str">
        <f aca="false">עזר!M1171</f>
        <v/>
      </c>
    </row>
    <row r="1172" customFormat="false" ht="15" hidden="false" customHeight="false" outlineLevel="0" collapsed="false">
      <c r="A1172" s="13" t="str">
        <f aca="false">IF(עזר!L1172="","",INDEX(עזר!$A$2:$A$5001,עזר!L1172))</f>
        <v/>
      </c>
      <c r="B1172" s="13" t="str">
        <f aca="false">IF(עזר!L1172="","",INDEX(עזר!$B$2:$B$5001,עזר!L1172))</f>
        <v/>
      </c>
      <c r="C1172" s="13" t="str">
        <f aca="false">עזר!M1172</f>
        <v/>
      </c>
    </row>
    <row r="1173" customFormat="false" ht="15" hidden="false" customHeight="false" outlineLevel="0" collapsed="false">
      <c r="A1173" s="13" t="str">
        <f aca="false">IF(עזר!L1173="","",INDEX(עזר!$A$2:$A$5001,עזר!L1173))</f>
        <v/>
      </c>
      <c r="B1173" s="13" t="str">
        <f aca="false">IF(עזר!L1173="","",INDEX(עזר!$B$2:$B$5001,עזר!L1173))</f>
        <v/>
      </c>
      <c r="C1173" s="13" t="str">
        <f aca="false">עזר!M1173</f>
        <v/>
      </c>
    </row>
    <row r="1174" customFormat="false" ht="15" hidden="false" customHeight="false" outlineLevel="0" collapsed="false">
      <c r="A1174" s="13" t="str">
        <f aca="false">IF(עזר!L1174="","",INDEX(עזר!$A$2:$A$5001,עזר!L1174))</f>
        <v/>
      </c>
      <c r="B1174" s="13" t="str">
        <f aca="false">IF(עזר!L1174="","",INDEX(עזר!$B$2:$B$5001,עזר!L1174))</f>
        <v/>
      </c>
      <c r="C1174" s="13" t="str">
        <f aca="false">עזר!M1174</f>
        <v/>
      </c>
    </row>
    <row r="1175" customFormat="false" ht="15" hidden="false" customHeight="false" outlineLevel="0" collapsed="false">
      <c r="A1175" s="13" t="str">
        <f aca="false">IF(עזר!L1175="","",INDEX(עזר!$A$2:$A$5001,עזר!L1175))</f>
        <v/>
      </c>
      <c r="B1175" s="13" t="str">
        <f aca="false">IF(עזר!L1175="","",INDEX(עזר!$B$2:$B$5001,עזר!L1175))</f>
        <v/>
      </c>
      <c r="C1175" s="13" t="str">
        <f aca="false">עזר!M1175</f>
        <v/>
      </c>
    </row>
    <row r="1176" customFormat="false" ht="15" hidden="false" customHeight="false" outlineLevel="0" collapsed="false">
      <c r="A1176" s="13" t="str">
        <f aca="false">IF(עזר!L1176="","",INDEX(עזר!$A$2:$A$5001,עזר!L1176))</f>
        <v/>
      </c>
      <c r="B1176" s="13" t="str">
        <f aca="false">IF(עזר!L1176="","",INDEX(עזר!$B$2:$B$5001,עזר!L1176))</f>
        <v/>
      </c>
      <c r="C1176" s="13" t="str">
        <f aca="false">עזר!M1176</f>
        <v/>
      </c>
    </row>
    <row r="1177" customFormat="false" ht="15" hidden="false" customHeight="false" outlineLevel="0" collapsed="false">
      <c r="A1177" s="13" t="str">
        <f aca="false">IF(עזר!L1177="","",INDEX(עזר!$A$2:$A$5001,עזר!L1177))</f>
        <v/>
      </c>
      <c r="B1177" s="13" t="str">
        <f aca="false">IF(עזר!L1177="","",INDEX(עזר!$B$2:$B$5001,עזר!L1177))</f>
        <v/>
      </c>
      <c r="C1177" s="13" t="str">
        <f aca="false">עזר!M1177</f>
        <v/>
      </c>
    </row>
    <row r="1178" customFormat="false" ht="15" hidden="false" customHeight="false" outlineLevel="0" collapsed="false">
      <c r="A1178" s="13" t="str">
        <f aca="false">IF(עזר!L1178="","",INDEX(עזר!$A$2:$A$5001,עזר!L1178))</f>
        <v/>
      </c>
      <c r="B1178" s="13" t="str">
        <f aca="false">IF(עזר!L1178="","",INDEX(עזר!$B$2:$B$5001,עזר!L1178))</f>
        <v/>
      </c>
      <c r="C1178" s="13" t="str">
        <f aca="false">עזר!M1178</f>
        <v/>
      </c>
    </row>
    <row r="1179" customFormat="false" ht="15" hidden="false" customHeight="false" outlineLevel="0" collapsed="false">
      <c r="A1179" s="13" t="str">
        <f aca="false">IF(עזר!L1179="","",INDEX(עזר!$A$2:$A$5001,עזר!L1179))</f>
        <v/>
      </c>
      <c r="B1179" s="13" t="str">
        <f aca="false">IF(עזר!L1179="","",INDEX(עזר!$B$2:$B$5001,עזר!L1179))</f>
        <v/>
      </c>
      <c r="C1179" s="13" t="str">
        <f aca="false">עזר!M1179</f>
        <v/>
      </c>
    </row>
    <row r="1180" customFormat="false" ht="15" hidden="false" customHeight="false" outlineLevel="0" collapsed="false">
      <c r="A1180" s="13" t="str">
        <f aca="false">IF(עזר!L1180="","",INDEX(עזר!$A$2:$A$5001,עזר!L1180))</f>
        <v/>
      </c>
      <c r="B1180" s="13" t="str">
        <f aca="false">IF(עזר!L1180="","",INDEX(עזר!$B$2:$B$5001,עזר!L1180))</f>
        <v/>
      </c>
      <c r="C1180" s="13" t="str">
        <f aca="false">עזר!M1180</f>
        <v/>
      </c>
    </row>
    <row r="1181" customFormat="false" ht="15" hidden="false" customHeight="false" outlineLevel="0" collapsed="false">
      <c r="A1181" s="13" t="str">
        <f aca="false">IF(עזר!L1181="","",INDEX(עזר!$A$2:$A$5001,עזר!L1181))</f>
        <v/>
      </c>
      <c r="B1181" s="13" t="str">
        <f aca="false">IF(עזר!L1181="","",INDEX(עזר!$B$2:$B$5001,עזר!L1181))</f>
        <v/>
      </c>
      <c r="C1181" s="13" t="str">
        <f aca="false">עזר!M1181</f>
        <v/>
      </c>
    </row>
    <row r="1182" customFormat="false" ht="15" hidden="false" customHeight="false" outlineLevel="0" collapsed="false">
      <c r="A1182" s="13" t="str">
        <f aca="false">IF(עזר!L1182="","",INDEX(עזר!$A$2:$A$5001,עזר!L1182))</f>
        <v/>
      </c>
      <c r="B1182" s="13" t="str">
        <f aca="false">IF(עזר!L1182="","",INDEX(עזר!$B$2:$B$5001,עזר!L1182))</f>
        <v/>
      </c>
      <c r="C1182" s="13" t="str">
        <f aca="false">עזר!M1182</f>
        <v/>
      </c>
    </row>
    <row r="1183" customFormat="false" ht="15" hidden="false" customHeight="false" outlineLevel="0" collapsed="false">
      <c r="A1183" s="13" t="str">
        <f aca="false">IF(עזר!L1183="","",INDEX(עזר!$A$2:$A$5001,עזר!L1183))</f>
        <v/>
      </c>
      <c r="B1183" s="13" t="str">
        <f aca="false">IF(עזר!L1183="","",INDEX(עזר!$B$2:$B$5001,עזר!L1183))</f>
        <v/>
      </c>
      <c r="C1183" s="13" t="str">
        <f aca="false">עזר!M1183</f>
        <v/>
      </c>
    </row>
    <row r="1184" customFormat="false" ht="15" hidden="false" customHeight="false" outlineLevel="0" collapsed="false">
      <c r="A1184" s="13" t="str">
        <f aca="false">IF(עזר!L1184="","",INDEX(עזר!$A$2:$A$5001,עזר!L1184))</f>
        <v/>
      </c>
      <c r="B1184" s="13" t="str">
        <f aca="false">IF(עזר!L1184="","",INDEX(עזר!$B$2:$B$5001,עזר!L1184))</f>
        <v/>
      </c>
      <c r="C1184" s="13" t="str">
        <f aca="false">עזר!M1184</f>
        <v/>
      </c>
    </row>
    <row r="1185" customFormat="false" ht="15" hidden="false" customHeight="false" outlineLevel="0" collapsed="false">
      <c r="A1185" s="13" t="str">
        <f aca="false">IF(עזר!L1185="","",INDEX(עזר!$A$2:$A$5001,עזר!L1185))</f>
        <v/>
      </c>
      <c r="B1185" s="13" t="str">
        <f aca="false">IF(עזר!L1185="","",INDEX(עזר!$B$2:$B$5001,עזר!L1185))</f>
        <v/>
      </c>
      <c r="C1185" s="13" t="str">
        <f aca="false">עזר!M1185</f>
        <v/>
      </c>
    </row>
    <row r="1186" customFormat="false" ht="15" hidden="false" customHeight="false" outlineLevel="0" collapsed="false">
      <c r="A1186" s="13" t="str">
        <f aca="false">IF(עזר!L1186="","",INDEX(עזר!$A$2:$A$5001,עזר!L1186))</f>
        <v/>
      </c>
      <c r="B1186" s="13" t="str">
        <f aca="false">IF(עזר!L1186="","",INDEX(עזר!$B$2:$B$5001,עזר!L1186))</f>
        <v/>
      </c>
      <c r="C1186" s="13" t="str">
        <f aca="false">עזר!M1186</f>
        <v/>
      </c>
    </row>
    <row r="1187" customFormat="false" ht="15" hidden="false" customHeight="false" outlineLevel="0" collapsed="false">
      <c r="A1187" s="13" t="str">
        <f aca="false">IF(עזר!L1187="","",INDEX(עזר!$A$2:$A$5001,עזר!L1187))</f>
        <v/>
      </c>
      <c r="B1187" s="13" t="str">
        <f aca="false">IF(עזר!L1187="","",INDEX(עזר!$B$2:$B$5001,עזר!L1187))</f>
        <v/>
      </c>
      <c r="C1187" s="13" t="str">
        <f aca="false">עזר!M1187</f>
        <v/>
      </c>
    </row>
    <row r="1188" customFormat="false" ht="15" hidden="false" customHeight="false" outlineLevel="0" collapsed="false">
      <c r="A1188" s="13" t="str">
        <f aca="false">IF(עזר!L1188="","",INDEX(עזר!$A$2:$A$5001,עזר!L1188))</f>
        <v/>
      </c>
      <c r="B1188" s="13" t="str">
        <f aca="false">IF(עזר!L1188="","",INDEX(עזר!$B$2:$B$5001,עזר!L1188))</f>
        <v/>
      </c>
      <c r="C1188" s="13" t="str">
        <f aca="false">עזר!M1188</f>
        <v/>
      </c>
    </row>
    <row r="1189" customFormat="false" ht="15" hidden="false" customHeight="false" outlineLevel="0" collapsed="false">
      <c r="A1189" s="13" t="str">
        <f aca="false">IF(עזר!L1189="","",INDEX(עזר!$A$2:$A$5001,עזר!L1189))</f>
        <v/>
      </c>
      <c r="B1189" s="13" t="str">
        <f aca="false">IF(עזר!L1189="","",INDEX(עזר!$B$2:$B$5001,עזר!L1189))</f>
        <v/>
      </c>
      <c r="C1189" s="13" t="str">
        <f aca="false">עזר!M1189</f>
        <v/>
      </c>
    </row>
    <row r="1190" customFormat="false" ht="15" hidden="false" customHeight="false" outlineLevel="0" collapsed="false">
      <c r="A1190" s="13" t="str">
        <f aca="false">IF(עזר!L1190="","",INDEX(עזר!$A$2:$A$5001,עזר!L1190))</f>
        <v/>
      </c>
      <c r="B1190" s="13" t="str">
        <f aca="false">IF(עזר!L1190="","",INDEX(עזר!$B$2:$B$5001,עזר!L1190))</f>
        <v/>
      </c>
      <c r="C1190" s="13" t="str">
        <f aca="false">עזר!M1190</f>
        <v/>
      </c>
    </row>
    <row r="1191" customFormat="false" ht="15" hidden="false" customHeight="false" outlineLevel="0" collapsed="false">
      <c r="A1191" s="13" t="str">
        <f aca="false">IF(עזר!L1191="","",INDEX(עזר!$A$2:$A$5001,עזר!L1191))</f>
        <v/>
      </c>
      <c r="B1191" s="13" t="str">
        <f aca="false">IF(עזר!L1191="","",INDEX(עזר!$B$2:$B$5001,עזר!L1191))</f>
        <v/>
      </c>
      <c r="C1191" s="13" t="str">
        <f aca="false">עזר!M1191</f>
        <v/>
      </c>
    </row>
    <row r="1192" customFormat="false" ht="15" hidden="false" customHeight="false" outlineLevel="0" collapsed="false">
      <c r="A1192" s="13" t="str">
        <f aca="false">IF(עזר!L1192="","",INDEX(עזר!$A$2:$A$5001,עזר!L1192))</f>
        <v/>
      </c>
      <c r="B1192" s="13" t="str">
        <f aca="false">IF(עזר!L1192="","",INDEX(עזר!$B$2:$B$5001,עזר!L1192))</f>
        <v/>
      </c>
      <c r="C1192" s="13" t="str">
        <f aca="false">עזר!M1192</f>
        <v/>
      </c>
    </row>
    <row r="1193" customFormat="false" ht="15" hidden="false" customHeight="false" outlineLevel="0" collapsed="false">
      <c r="A1193" s="13" t="str">
        <f aca="false">IF(עזר!L1193="","",INDEX(עזר!$A$2:$A$5001,עזר!L1193))</f>
        <v/>
      </c>
      <c r="B1193" s="13" t="str">
        <f aca="false">IF(עזר!L1193="","",INDEX(עזר!$B$2:$B$5001,עזר!L1193))</f>
        <v/>
      </c>
      <c r="C1193" s="13" t="str">
        <f aca="false">עזר!M1193</f>
        <v/>
      </c>
    </row>
    <row r="1194" customFormat="false" ht="15" hidden="false" customHeight="false" outlineLevel="0" collapsed="false">
      <c r="A1194" s="13" t="str">
        <f aca="false">IF(עזר!L1194="","",INDEX(עזר!$A$2:$A$5001,עזר!L1194))</f>
        <v/>
      </c>
      <c r="B1194" s="13" t="str">
        <f aca="false">IF(עזר!L1194="","",INDEX(עזר!$B$2:$B$5001,עזר!L1194))</f>
        <v/>
      </c>
      <c r="C1194" s="13" t="str">
        <f aca="false">עזר!M1194</f>
        <v/>
      </c>
    </row>
    <row r="1195" customFormat="false" ht="15" hidden="false" customHeight="false" outlineLevel="0" collapsed="false">
      <c r="A1195" s="13" t="str">
        <f aca="false">IF(עזר!L1195="","",INDEX(עזר!$A$2:$A$5001,עזר!L1195))</f>
        <v/>
      </c>
      <c r="B1195" s="13" t="str">
        <f aca="false">IF(עזר!L1195="","",INDEX(עזר!$B$2:$B$5001,עזר!L1195))</f>
        <v/>
      </c>
      <c r="C1195" s="13" t="str">
        <f aca="false">עזר!M1195</f>
        <v/>
      </c>
    </row>
    <row r="1196" customFormat="false" ht="15" hidden="false" customHeight="false" outlineLevel="0" collapsed="false">
      <c r="A1196" s="13" t="str">
        <f aca="false">IF(עזר!L1196="","",INDEX(עזר!$A$2:$A$5001,עזר!L1196))</f>
        <v/>
      </c>
      <c r="B1196" s="13" t="str">
        <f aca="false">IF(עזר!L1196="","",INDEX(עזר!$B$2:$B$5001,עזר!L1196))</f>
        <v/>
      </c>
      <c r="C1196" s="13" t="str">
        <f aca="false">עזר!M1196</f>
        <v/>
      </c>
    </row>
    <row r="1197" customFormat="false" ht="15" hidden="false" customHeight="false" outlineLevel="0" collapsed="false">
      <c r="A1197" s="13" t="str">
        <f aca="false">IF(עזר!L1197="","",INDEX(עזר!$A$2:$A$5001,עזר!L1197))</f>
        <v/>
      </c>
      <c r="B1197" s="13" t="str">
        <f aca="false">IF(עזר!L1197="","",INDEX(עזר!$B$2:$B$5001,עזר!L1197))</f>
        <v/>
      </c>
      <c r="C1197" s="13" t="str">
        <f aca="false">עזר!M1197</f>
        <v/>
      </c>
    </row>
    <row r="1198" customFormat="false" ht="15" hidden="false" customHeight="false" outlineLevel="0" collapsed="false">
      <c r="A1198" s="13" t="str">
        <f aca="false">IF(עזר!L1198="","",INDEX(עזר!$A$2:$A$5001,עזר!L1198))</f>
        <v/>
      </c>
      <c r="B1198" s="13" t="str">
        <f aca="false">IF(עזר!L1198="","",INDEX(עזר!$B$2:$B$5001,עזר!L1198))</f>
        <v/>
      </c>
      <c r="C1198" s="13" t="str">
        <f aca="false">עזר!M1198</f>
        <v/>
      </c>
    </row>
    <row r="1199" customFormat="false" ht="15" hidden="false" customHeight="false" outlineLevel="0" collapsed="false">
      <c r="A1199" s="13" t="str">
        <f aca="false">IF(עזר!L1199="","",INDEX(עזר!$A$2:$A$5001,עזר!L1199))</f>
        <v/>
      </c>
      <c r="B1199" s="13" t="str">
        <f aca="false">IF(עזר!L1199="","",INDEX(עזר!$B$2:$B$5001,עזר!L1199))</f>
        <v/>
      </c>
      <c r="C1199" s="13" t="str">
        <f aca="false">עזר!M1199</f>
        <v/>
      </c>
    </row>
    <row r="1200" customFormat="false" ht="15" hidden="false" customHeight="false" outlineLevel="0" collapsed="false">
      <c r="A1200" s="13" t="str">
        <f aca="false">IF(עזר!L1200="","",INDEX(עזר!$A$2:$A$5001,עזר!L1200))</f>
        <v/>
      </c>
      <c r="B1200" s="13" t="str">
        <f aca="false">IF(עזר!L1200="","",INDEX(עזר!$B$2:$B$5001,עזר!L1200))</f>
        <v/>
      </c>
      <c r="C1200" s="13" t="str">
        <f aca="false">עזר!M1200</f>
        <v/>
      </c>
    </row>
    <row r="1201" customFormat="false" ht="15" hidden="false" customHeight="false" outlineLevel="0" collapsed="false">
      <c r="A1201" s="13" t="str">
        <f aca="false">IF(עזר!L1201="","",INDEX(עזר!$A$2:$A$5001,עזר!L1201))</f>
        <v/>
      </c>
      <c r="B1201" s="13" t="str">
        <f aca="false">IF(עזר!L1201="","",INDEX(עזר!$B$2:$B$5001,עזר!L1201))</f>
        <v/>
      </c>
      <c r="C1201" s="13" t="str">
        <f aca="false">עזר!M1201</f>
        <v/>
      </c>
    </row>
    <row r="1202" customFormat="false" ht="15" hidden="false" customHeight="false" outlineLevel="0" collapsed="false">
      <c r="A1202" s="13" t="str">
        <f aca="false">IF(עזר!L1202="","",INDEX(עזר!$A$2:$A$5001,עזר!L1202))</f>
        <v/>
      </c>
      <c r="B1202" s="13" t="str">
        <f aca="false">IF(עזר!L1202="","",INDEX(עזר!$B$2:$B$5001,עזר!L1202))</f>
        <v/>
      </c>
      <c r="C1202" s="13" t="str">
        <f aca="false">עזר!M1202</f>
        <v/>
      </c>
    </row>
    <row r="1203" customFormat="false" ht="15" hidden="false" customHeight="false" outlineLevel="0" collapsed="false">
      <c r="A1203" s="13" t="str">
        <f aca="false">IF(עזר!L1203="","",INDEX(עזר!$A$2:$A$5001,עזר!L1203))</f>
        <v/>
      </c>
      <c r="B1203" s="13" t="str">
        <f aca="false">IF(עזר!L1203="","",INDEX(עזר!$B$2:$B$5001,עזר!L1203))</f>
        <v/>
      </c>
      <c r="C1203" s="13" t="str">
        <f aca="false">עזר!M1203</f>
        <v/>
      </c>
    </row>
    <row r="1204" customFormat="false" ht="15" hidden="false" customHeight="false" outlineLevel="0" collapsed="false">
      <c r="A1204" s="13" t="str">
        <f aca="false">IF(עזר!L1204="","",INDEX(עזר!$A$2:$A$5001,עזר!L1204))</f>
        <v/>
      </c>
      <c r="B1204" s="13" t="str">
        <f aca="false">IF(עזר!L1204="","",INDEX(עזר!$B$2:$B$5001,עזר!L1204))</f>
        <v/>
      </c>
      <c r="C1204" s="13" t="str">
        <f aca="false">עזר!M1204</f>
        <v/>
      </c>
    </row>
    <row r="1205" customFormat="false" ht="15" hidden="false" customHeight="false" outlineLevel="0" collapsed="false">
      <c r="A1205" s="13" t="str">
        <f aca="false">IF(עזר!L1205="","",INDEX(עזר!$A$2:$A$5001,עזר!L1205))</f>
        <v/>
      </c>
      <c r="B1205" s="13" t="str">
        <f aca="false">IF(עזר!L1205="","",INDEX(עזר!$B$2:$B$5001,עזר!L1205))</f>
        <v/>
      </c>
      <c r="C1205" s="13" t="str">
        <f aca="false">עזר!M1205</f>
        <v/>
      </c>
    </row>
    <row r="1206" customFormat="false" ht="15" hidden="false" customHeight="false" outlineLevel="0" collapsed="false">
      <c r="A1206" s="13" t="str">
        <f aca="false">IF(עזר!L1206="","",INDEX(עזר!$A$2:$A$5001,עזר!L1206))</f>
        <v/>
      </c>
      <c r="B1206" s="13" t="str">
        <f aca="false">IF(עזר!L1206="","",INDEX(עזר!$B$2:$B$5001,עזר!L1206))</f>
        <v/>
      </c>
      <c r="C1206" s="13" t="str">
        <f aca="false">עזר!M1206</f>
        <v/>
      </c>
    </row>
    <row r="1207" customFormat="false" ht="15" hidden="false" customHeight="false" outlineLevel="0" collapsed="false">
      <c r="A1207" s="13" t="str">
        <f aca="false">IF(עזר!L1207="","",INDEX(עזר!$A$2:$A$5001,עזר!L1207))</f>
        <v/>
      </c>
      <c r="B1207" s="13" t="str">
        <f aca="false">IF(עזר!L1207="","",INDEX(עזר!$B$2:$B$5001,עזר!L1207))</f>
        <v/>
      </c>
      <c r="C1207" s="13" t="str">
        <f aca="false">עזר!M1207</f>
        <v/>
      </c>
    </row>
    <row r="1208" customFormat="false" ht="15" hidden="false" customHeight="false" outlineLevel="0" collapsed="false">
      <c r="A1208" s="13" t="str">
        <f aca="false">IF(עזר!L1208="","",INDEX(עזר!$A$2:$A$5001,עזר!L1208))</f>
        <v/>
      </c>
      <c r="B1208" s="13" t="str">
        <f aca="false">IF(עזר!L1208="","",INDEX(עזר!$B$2:$B$5001,עזר!L1208))</f>
        <v/>
      </c>
      <c r="C1208" s="13" t="str">
        <f aca="false">עזר!M1208</f>
        <v/>
      </c>
    </row>
    <row r="1209" customFormat="false" ht="15" hidden="false" customHeight="false" outlineLevel="0" collapsed="false">
      <c r="A1209" s="13" t="str">
        <f aca="false">IF(עזר!L1209="","",INDEX(עזר!$A$2:$A$5001,עזר!L1209))</f>
        <v/>
      </c>
      <c r="B1209" s="13" t="str">
        <f aca="false">IF(עזר!L1209="","",INDEX(עזר!$B$2:$B$5001,עזר!L1209))</f>
        <v/>
      </c>
      <c r="C1209" s="13" t="str">
        <f aca="false">עזר!M1209</f>
        <v/>
      </c>
    </row>
    <row r="1210" customFormat="false" ht="15" hidden="false" customHeight="false" outlineLevel="0" collapsed="false">
      <c r="A1210" s="13" t="str">
        <f aca="false">IF(עזר!L1210="","",INDEX(עזר!$A$2:$A$5001,עזר!L1210))</f>
        <v/>
      </c>
      <c r="B1210" s="13" t="str">
        <f aca="false">IF(עזר!L1210="","",INDEX(עזר!$B$2:$B$5001,עזר!L1210))</f>
        <v/>
      </c>
      <c r="C1210" s="13" t="str">
        <f aca="false">עזר!M1210</f>
        <v/>
      </c>
    </row>
    <row r="1211" customFormat="false" ht="15" hidden="false" customHeight="false" outlineLevel="0" collapsed="false">
      <c r="A1211" s="13" t="str">
        <f aca="false">IF(עזר!L1211="","",INDEX(עזר!$A$2:$A$5001,עזר!L1211))</f>
        <v/>
      </c>
      <c r="B1211" s="13" t="str">
        <f aca="false">IF(עזר!L1211="","",INDEX(עזר!$B$2:$B$5001,עזר!L1211))</f>
        <v/>
      </c>
      <c r="C1211" s="13" t="str">
        <f aca="false">עזר!M1211</f>
        <v/>
      </c>
    </row>
    <row r="1212" customFormat="false" ht="15" hidden="false" customHeight="false" outlineLevel="0" collapsed="false">
      <c r="A1212" s="13" t="str">
        <f aca="false">IF(עזר!L1212="","",INDEX(עזר!$A$2:$A$5001,עזר!L1212))</f>
        <v/>
      </c>
      <c r="B1212" s="13" t="str">
        <f aca="false">IF(עזר!L1212="","",INDEX(עזר!$B$2:$B$5001,עזר!L1212))</f>
        <v/>
      </c>
      <c r="C1212" s="13" t="str">
        <f aca="false">עזר!M1212</f>
        <v/>
      </c>
    </row>
    <row r="1213" customFormat="false" ht="15" hidden="false" customHeight="false" outlineLevel="0" collapsed="false">
      <c r="A1213" s="13" t="str">
        <f aca="false">IF(עזר!L1213="","",INDEX(עזר!$A$2:$A$5001,עזר!L1213))</f>
        <v/>
      </c>
      <c r="B1213" s="13" t="str">
        <f aca="false">IF(עזר!L1213="","",INDEX(עזר!$B$2:$B$5001,עזר!L1213))</f>
        <v/>
      </c>
      <c r="C1213" s="13" t="str">
        <f aca="false">עזר!M1213</f>
        <v/>
      </c>
    </row>
    <row r="1214" customFormat="false" ht="15" hidden="false" customHeight="false" outlineLevel="0" collapsed="false">
      <c r="A1214" s="13" t="str">
        <f aca="false">IF(עזר!L1214="","",INDEX(עזר!$A$2:$A$5001,עזר!L1214))</f>
        <v/>
      </c>
      <c r="B1214" s="13" t="str">
        <f aca="false">IF(עזר!L1214="","",INDEX(עזר!$B$2:$B$5001,עזר!L1214))</f>
        <v/>
      </c>
      <c r="C1214" s="13" t="str">
        <f aca="false">עזר!M1214</f>
        <v/>
      </c>
    </row>
    <row r="1215" customFormat="false" ht="15" hidden="false" customHeight="false" outlineLevel="0" collapsed="false">
      <c r="A1215" s="13" t="str">
        <f aca="false">IF(עזר!L1215="","",INDEX(עזר!$A$2:$A$5001,עזר!L1215))</f>
        <v/>
      </c>
      <c r="B1215" s="13" t="str">
        <f aca="false">IF(עזר!L1215="","",INDEX(עזר!$B$2:$B$5001,עזר!L1215))</f>
        <v/>
      </c>
      <c r="C1215" s="13" t="str">
        <f aca="false">עזר!M1215</f>
        <v/>
      </c>
    </row>
    <row r="1216" customFormat="false" ht="15" hidden="false" customHeight="false" outlineLevel="0" collapsed="false">
      <c r="A1216" s="13" t="str">
        <f aca="false">IF(עזר!L1216="","",INDEX(עזר!$A$2:$A$5001,עזר!L1216))</f>
        <v/>
      </c>
      <c r="B1216" s="13" t="str">
        <f aca="false">IF(עזר!L1216="","",INDEX(עזר!$B$2:$B$5001,עזר!L1216))</f>
        <v/>
      </c>
      <c r="C1216" s="13" t="str">
        <f aca="false">עזר!M1216</f>
        <v/>
      </c>
    </row>
    <row r="1217" customFormat="false" ht="15" hidden="false" customHeight="false" outlineLevel="0" collapsed="false">
      <c r="A1217" s="13" t="str">
        <f aca="false">IF(עזר!L1217="","",INDEX(עזר!$A$2:$A$5001,עזר!L1217))</f>
        <v/>
      </c>
      <c r="B1217" s="13" t="str">
        <f aca="false">IF(עזר!L1217="","",INDEX(עזר!$B$2:$B$5001,עזר!L1217))</f>
        <v/>
      </c>
      <c r="C1217" s="13" t="str">
        <f aca="false">עזר!M1217</f>
        <v/>
      </c>
    </row>
    <row r="1218" customFormat="false" ht="15" hidden="false" customHeight="false" outlineLevel="0" collapsed="false">
      <c r="A1218" s="13" t="str">
        <f aca="false">IF(עזר!L1218="","",INDEX(עזר!$A$2:$A$5001,עזר!L1218))</f>
        <v/>
      </c>
      <c r="B1218" s="13" t="str">
        <f aca="false">IF(עזר!L1218="","",INDEX(עזר!$B$2:$B$5001,עזר!L1218))</f>
        <v/>
      </c>
      <c r="C1218" s="13" t="str">
        <f aca="false">עזר!M1218</f>
        <v/>
      </c>
    </row>
    <row r="1219" customFormat="false" ht="15" hidden="false" customHeight="false" outlineLevel="0" collapsed="false">
      <c r="A1219" s="13" t="str">
        <f aca="false">IF(עזר!L1219="","",INDEX(עזר!$A$2:$A$5001,עזר!L1219))</f>
        <v/>
      </c>
      <c r="B1219" s="13" t="str">
        <f aca="false">IF(עזר!L1219="","",INDEX(עזר!$B$2:$B$5001,עזר!L1219))</f>
        <v/>
      </c>
      <c r="C1219" s="13" t="str">
        <f aca="false">עזר!M1219</f>
        <v/>
      </c>
    </row>
    <row r="1220" customFormat="false" ht="15" hidden="false" customHeight="false" outlineLevel="0" collapsed="false">
      <c r="A1220" s="13" t="str">
        <f aca="false">IF(עזר!L1220="","",INDEX(עזר!$A$2:$A$5001,עזר!L1220))</f>
        <v/>
      </c>
      <c r="B1220" s="13" t="str">
        <f aca="false">IF(עזר!L1220="","",INDEX(עזר!$B$2:$B$5001,עזר!L1220))</f>
        <v/>
      </c>
      <c r="C1220" s="13" t="str">
        <f aca="false">עזר!M1220</f>
        <v/>
      </c>
    </row>
    <row r="1221" customFormat="false" ht="15" hidden="false" customHeight="false" outlineLevel="0" collapsed="false">
      <c r="A1221" s="13" t="str">
        <f aca="false">IF(עזר!L1221="","",INDEX(עזר!$A$2:$A$5001,עזר!L1221))</f>
        <v/>
      </c>
      <c r="B1221" s="13" t="str">
        <f aca="false">IF(עזר!L1221="","",INDEX(עזר!$B$2:$B$5001,עזר!L1221))</f>
        <v/>
      </c>
      <c r="C1221" s="13" t="str">
        <f aca="false">עזר!M1221</f>
        <v/>
      </c>
    </row>
    <row r="1222" customFormat="false" ht="15" hidden="false" customHeight="false" outlineLevel="0" collapsed="false">
      <c r="A1222" s="13" t="str">
        <f aca="false">IF(עזר!L1222="","",INDEX(עזר!$A$2:$A$5001,עזר!L1222))</f>
        <v/>
      </c>
      <c r="B1222" s="13" t="str">
        <f aca="false">IF(עזר!L1222="","",INDEX(עזר!$B$2:$B$5001,עזר!L1222))</f>
        <v/>
      </c>
      <c r="C1222" s="13" t="str">
        <f aca="false">עזר!M1222</f>
        <v/>
      </c>
    </row>
    <row r="1223" customFormat="false" ht="15" hidden="false" customHeight="false" outlineLevel="0" collapsed="false">
      <c r="A1223" s="13" t="str">
        <f aca="false">IF(עזר!L1223="","",INDEX(עזר!$A$2:$A$5001,עזר!L1223))</f>
        <v/>
      </c>
      <c r="B1223" s="13" t="str">
        <f aca="false">IF(עזר!L1223="","",INDEX(עזר!$B$2:$B$5001,עזר!L1223))</f>
        <v/>
      </c>
      <c r="C1223" s="13" t="str">
        <f aca="false">עזר!M1223</f>
        <v/>
      </c>
    </row>
    <row r="1224" customFormat="false" ht="15" hidden="false" customHeight="false" outlineLevel="0" collapsed="false">
      <c r="A1224" s="13" t="str">
        <f aca="false">IF(עזר!L1224="","",INDEX(עזר!$A$2:$A$5001,עזר!L1224))</f>
        <v/>
      </c>
      <c r="B1224" s="13" t="str">
        <f aca="false">IF(עזר!L1224="","",INDEX(עזר!$B$2:$B$5001,עזר!L1224))</f>
        <v/>
      </c>
      <c r="C1224" s="13" t="str">
        <f aca="false">עזר!M1224</f>
        <v/>
      </c>
    </row>
    <row r="1225" customFormat="false" ht="15" hidden="false" customHeight="false" outlineLevel="0" collapsed="false">
      <c r="A1225" s="13" t="str">
        <f aca="false">IF(עזר!L1225="","",INDEX(עזר!$A$2:$A$5001,עזר!L1225))</f>
        <v/>
      </c>
      <c r="B1225" s="13" t="str">
        <f aca="false">IF(עזר!L1225="","",INDEX(עזר!$B$2:$B$5001,עזר!L1225))</f>
        <v/>
      </c>
      <c r="C1225" s="13" t="str">
        <f aca="false">עזר!M1225</f>
        <v/>
      </c>
    </row>
    <row r="1226" customFormat="false" ht="15" hidden="false" customHeight="false" outlineLevel="0" collapsed="false">
      <c r="A1226" s="13" t="str">
        <f aca="false">IF(עזר!L1226="","",INDEX(עזר!$A$2:$A$5001,עזר!L1226))</f>
        <v/>
      </c>
      <c r="B1226" s="13" t="str">
        <f aca="false">IF(עזר!L1226="","",INDEX(עזר!$B$2:$B$5001,עזר!L1226))</f>
        <v/>
      </c>
      <c r="C1226" s="13" t="str">
        <f aca="false">עזר!M1226</f>
        <v/>
      </c>
    </row>
    <row r="1227" customFormat="false" ht="15" hidden="false" customHeight="false" outlineLevel="0" collapsed="false">
      <c r="A1227" s="13" t="str">
        <f aca="false">IF(עזר!L1227="","",INDEX(עזר!$A$2:$A$5001,עזר!L1227))</f>
        <v/>
      </c>
      <c r="B1227" s="13" t="str">
        <f aca="false">IF(עזר!L1227="","",INDEX(עזר!$B$2:$B$5001,עזר!L1227))</f>
        <v/>
      </c>
      <c r="C1227" s="13" t="str">
        <f aca="false">עזר!M1227</f>
        <v/>
      </c>
    </row>
    <row r="1228" customFormat="false" ht="15" hidden="false" customHeight="false" outlineLevel="0" collapsed="false">
      <c r="A1228" s="13" t="str">
        <f aca="false">IF(עזר!L1228="","",INDEX(עזר!$A$2:$A$5001,עזר!L1228))</f>
        <v/>
      </c>
      <c r="B1228" s="13" t="str">
        <f aca="false">IF(עזר!L1228="","",INDEX(עזר!$B$2:$B$5001,עזר!L1228))</f>
        <v/>
      </c>
      <c r="C1228" s="13" t="str">
        <f aca="false">עזר!M1228</f>
        <v/>
      </c>
    </row>
    <row r="1229" customFormat="false" ht="15" hidden="false" customHeight="false" outlineLevel="0" collapsed="false">
      <c r="A1229" s="13" t="str">
        <f aca="false">IF(עזר!L1229="","",INDEX(עזר!$A$2:$A$5001,עזר!L1229))</f>
        <v/>
      </c>
      <c r="B1229" s="13" t="str">
        <f aca="false">IF(עזר!L1229="","",INDEX(עזר!$B$2:$B$5001,עזר!L1229))</f>
        <v/>
      </c>
      <c r="C1229" s="13" t="str">
        <f aca="false">עזר!M1229</f>
        <v/>
      </c>
    </row>
    <row r="1230" customFormat="false" ht="15" hidden="false" customHeight="false" outlineLevel="0" collapsed="false">
      <c r="A1230" s="13" t="str">
        <f aca="false">IF(עזר!L1230="","",INDEX(עזר!$A$2:$A$5001,עזר!L1230))</f>
        <v/>
      </c>
      <c r="B1230" s="13" t="str">
        <f aca="false">IF(עזר!L1230="","",INDEX(עזר!$B$2:$B$5001,עזר!L1230))</f>
        <v/>
      </c>
      <c r="C1230" s="13" t="str">
        <f aca="false">עזר!M1230</f>
        <v/>
      </c>
    </row>
    <row r="1231" customFormat="false" ht="15" hidden="false" customHeight="false" outlineLevel="0" collapsed="false">
      <c r="A1231" s="13" t="str">
        <f aca="false">IF(עזר!L1231="","",INDEX(עזר!$A$2:$A$5001,עזר!L1231))</f>
        <v/>
      </c>
      <c r="B1231" s="13" t="str">
        <f aca="false">IF(עזר!L1231="","",INDEX(עזר!$B$2:$B$5001,עזר!L1231))</f>
        <v/>
      </c>
      <c r="C1231" s="13" t="str">
        <f aca="false">עזר!M1231</f>
        <v/>
      </c>
    </row>
    <row r="1232" customFormat="false" ht="15" hidden="false" customHeight="false" outlineLevel="0" collapsed="false">
      <c r="A1232" s="13" t="str">
        <f aca="false">IF(עזר!L1232="","",INDEX(עזר!$A$2:$A$5001,עזר!L1232))</f>
        <v/>
      </c>
      <c r="B1232" s="13" t="str">
        <f aca="false">IF(עזר!L1232="","",INDEX(עזר!$B$2:$B$5001,עזר!L1232))</f>
        <v/>
      </c>
      <c r="C1232" s="13" t="str">
        <f aca="false">עזר!M1232</f>
        <v/>
      </c>
    </row>
    <row r="1233" customFormat="false" ht="15" hidden="false" customHeight="false" outlineLevel="0" collapsed="false">
      <c r="A1233" s="13" t="str">
        <f aca="false">IF(עזר!L1233="","",INDEX(עזר!$A$2:$A$5001,עזר!L1233))</f>
        <v/>
      </c>
      <c r="B1233" s="13" t="str">
        <f aca="false">IF(עזר!L1233="","",INDEX(עזר!$B$2:$B$5001,עזר!L1233))</f>
        <v/>
      </c>
      <c r="C1233" s="13" t="str">
        <f aca="false">עזר!M1233</f>
        <v/>
      </c>
    </row>
    <row r="1234" customFormat="false" ht="15" hidden="false" customHeight="false" outlineLevel="0" collapsed="false">
      <c r="A1234" s="13" t="str">
        <f aca="false">IF(עזר!L1234="","",INDEX(עזר!$A$2:$A$5001,עזר!L1234))</f>
        <v/>
      </c>
      <c r="B1234" s="13" t="str">
        <f aca="false">IF(עזר!L1234="","",INDEX(עזר!$B$2:$B$5001,עזר!L1234))</f>
        <v/>
      </c>
      <c r="C1234" s="13" t="str">
        <f aca="false">עזר!M1234</f>
        <v/>
      </c>
    </row>
    <row r="1235" customFormat="false" ht="15" hidden="false" customHeight="false" outlineLevel="0" collapsed="false">
      <c r="A1235" s="13" t="str">
        <f aca="false">IF(עזר!L1235="","",INDEX(עזר!$A$2:$A$5001,עזר!L1235))</f>
        <v/>
      </c>
      <c r="B1235" s="13" t="str">
        <f aca="false">IF(עזר!L1235="","",INDEX(עזר!$B$2:$B$5001,עזר!L1235))</f>
        <v/>
      </c>
      <c r="C1235" s="13" t="str">
        <f aca="false">עזר!M1235</f>
        <v/>
      </c>
    </row>
    <row r="1236" customFormat="false" ht="15" hidden="false" customHeight="false" outlineLevel="0" collapsed="false">
      <c r="A1236" s="13" t="str">
        <f aca="false">IF(עזר!L1236="","",INDEX(עזר!$A$2:$A$5001,עזר!L1236))</f>
        <v/>
      </c>
      <c r="B1236" s="13" t="str">
        <f aca="false">IF(עזר!L1236="","",INDEX(עזר!$B$2:$B$5001,עזר!L1236))</f>
        <v/>
      </c>
      <c r="C1236" s="13" t="str">
        <f aca="false">עזר!M1236</f>
        <v/>
      </c>
    </row>
    <row r="1237" customFormat="false" ht="15" hidden="false" customHeight="false" outlineLevel="0" collapsed="false">
      <c r="A1237" s="13" t="str">
        <f aca="false">IF(עזר!L1237="","",INDEX(עזר!$A$2:$A$5001,עזר!L1237))</f>
        <v/>
      </c>
      <c r="B1237" s="13" t="str">
        <f aca="false">IF(עזר!L1237="","",INDEX(עזר!$B$2:$B$5001,עזר!L1237))</f>
        <v/>
      </c>
      <c r="C1237" s="13" t="str">
        <f aca="false">עזר!M1237</f>
        <v/>
      </c>
    </row>
    <row r="1238" customFormat="false" ht="15" hidden="false" customHeight="false" outlineLevel="0" collapsed="false">
      <c r="A1238" s="13" t="str">
        <f aca="false">IF(עזר!L1238="","",INDEX(עזר!$A$2:$A$5001,עזר!L1238))</f>
        <v/>
      </c>
      <c r="B1238" s="13" t="str">
        <f aca="false">IF(עזר!L1238="","",INDEX(עזר!$B$2:$B$5001,עזר!L1238))</f>
        <v/>
      </c>
      <c r="C1238" s="13" t="str">
        <f aca="false">עזר!M1238</f>
        <v/>
      </c>
    </row>
    <row r="1239" customFormat="false" ht="15" hidden="false" customHeight="false" outlineLevel="0" collapsed="false">
      <c r="A1239" s="13" t="str">
        <f aca="false">IF(עזר!L1239="","",INDEX(עזר!$A$2:$A$5001,עזר!L1239))</f>
        <v/>
      </c>
      <c r="B1239" s="13" t="str">
        <f aca="false">IF(עזר!L1239="","",INDEX(עזר!$B$2:$B$5001,עזר!L1239))</f>
        <v/>
      </c>
      <c r="C1239" s="13" t="str">
        <f aca="false">עזר!M1239</f>
        <v/>
      </c>
    </row>
    <row r="1240" customFormat="false" ht="15" hidden="false" customHeight="false" outlineLevel="0" collapsed="false">
      <c r="A1240" s="13" t="str">
        <f aca="false">IF(עזר!L1240="","",INDEX(עזר!$A$2:$A$5001,עזר!L1240))</f>
        <v/>
      </c>
      <c r="B1240" s="13" t="str">
        <f aca="false">IF(עזר!L1240="","",INDEX(עזר!$B$2:$B$5001,עזר!L1240))</f>
        <v/>
      </c>
      <c r="C1240" s="13" t="str">
        <f aca="false">עזר!M1240</f>
        <v/>
      </c>
    </row>
    <row r="1241" customFormat="false" ht="15" hidden="false" customHeight="false" outlineLevel="0" collapsed="false">
      <c r="A1241" s="13" t="str">
        <f aca="false">IF(עזר!L1241="","",INDEX(עזר!$A$2:$A$5001,עזר!L1241))</f>
        <v/>
      </c>
      <c r="B1241" s="13" t="str">
        <f aca="false">IF(עזר!L1241="","",INDEX(עזר!$B$2:$B$5001,עזר!L1241))</f>
        <v/>
      </c>
      <c r="C1241" s="13" t="str">
        <f aca="false">עזר!M1241</f>
        <v/>
      </c>
    </row>
    <row r="1242" customFormat="false" ht="15" hidden="false" customHeight="false" outlineLevel="0" collapsed="false">
      <c r="A1242" s="13" t="str">
        <f aca="false">IF(עזר!L1242="","",INDEX(עזר!$A$2:$A$5001,עזר!L1242))</f>
        <v/>
      </c>
      <c r="B1242" s="13" t="str">
        <f aca="false">IF(עזר!L1242="","",INDEX(עזר!$B$2:$B$5001,עזר!L1242))</f>
        <v/>
      </c>
      <c r="C1242" s="13" t="str">
        <f aca="false">עזר!M1242</f>
        <v/>
      </c>
    </row>
    <row r="1243" customFormat="false" ht="15" hidden="false" customHeight="false" outlineLevel="0" collapsed="false">
      <c r="A1243" s="13" t="str">
        <f aca="false">IF(עזר!L1243="","",INDEX(עזר!$A$2:$A$5001,עזר!L1243))</f>
        <v/>
      </c>
      <c r="B1243" s="13" t="str">
        <f aca="false">IF(עזר!L1243="","",INDEX(עזר!$B$2:$B$5001,עזר!L1243))</f>
        <v/>
      </c>
      <c r="C1243" s="13" t="str">
        <f aca="false">עזר!M1243</f>
        <v/>
      </c>
    </row>
    <row r="1244" customFormat="false" ht="15" hidden="false" customHeight="false" outlineLevel="0" collapsed="false">
      <c r="A1244" s="13" t="str">
        <f aca="false">IF(עזר!L1244="","",INDEX(עזר!$A$2:$A$5001,עזר!L1244))</f>
        <v/>
      </c>
      <c r="B1244" s="13" t="str">
        <f aca="false">IF(עזר!L1244="","",INDEX(עזר!$B$2:$B$5001,עזר!L1244))</f>
        <v/>
      </c>
      <c r="C1244" s="13" t="str">
        <f aca="false">עזר!M1244</f>
        <v/>
      </c>
    </row>
    <row r="1245" customFormat="false" ht="15" hidden="false" customHeight="false" outlineLevel="0" collapsed="false">
      <c r="A1245" s="13" t="str">
        <f aca="false">IF(עזר!L1245="","",INDEX(עזר!$A$2:$A$5001,עזר!L1245))</f>
        <v/>
      </c>
      <c r="B1245" s="13" t="str">
        <f aca="false">IF(עזר!L1245="","",INDEX(עזר!$B$2:$B$5001,עזר!L1245))</f>
        <v/>
      </c>
      <c r="C1245" s="13" t="str">
        <f aca="false">עזר!M1245</f>
        <v/>
      </c>
    </row>
    <row r="1246" customFormat="false" ht="15" hidden="false" customHeight="false" outlineLevel="0" collapsed="false">
      <c r="A1246" s="13" t="str">
        <f aca="false">IF(עזר!L1246="","",INDEX(עזר!$A$2:$A$5001,עזר!L1246))</f>
        <v/>
      </c>
      <c r="B1246" s="13" t="str">
        <f aca="false">IF(עזר!L1246="","",INDEX(עזר!$B$2:$B$5001,עזר!L1246))</f>
        <v/>
      </c>
      <c r="C1246" s="13" t="str">
        <f aca="false">עזר!M1246</f>
        <v/>
      </c>
    </row>
    <row r="1247" customFormat="false" ht="15" hidden="false" customHeight="false" outlineLevel="0" collapsed="false">
      <c r="A1247" s="13" t="str">
        <f aca="false">IF(עזר!L1247="","",INDEX(עזר!$A$2:$A$5001,עזר!L1247))</f>
        <v/>
      </c>
      <c r="B1247" s="13" t="str">
        <f aca="false">IF(עזר!L1247="","",INDEX(עזר!$B$2:$B$5001,עזר!L1247))</f>
        <v/>
      </c>
      <c r="C1247" s="13" t="str">
        <f aca="false">עזר!M1247</f>
        <v/>
      </c>
    </row>
    <row r="1248" customFormat="false" ht="15" hidden="false" customHeight="false" outlineLevel="0" collapsed="false">
      <c r="A1248" s="13" t="str">
        <f aca="false">IF(עזר!L1248="","",INDEX(עזר!$A$2:$A$5001,עזר!L1248))</f>
        <v/>
      </c>
      <c r="B1248" s="13" t="str">
        <f aca="false">IF(עזר!L1248="","",INDEX(עזר!$B$2:$B$5001,עזר!L1248))</f>
        <v/>
      </c>
      <c r="C1248" s="13" t="str">
        <f aca="false">עזר!M1248</f>
        <v/>
      </c>
    </row>
    <row r="1249" customFormat="false" ht="15" hidden="false" customHeight="false" outlineLevel="0" collapsed="false">
      <c r="A1249" s="13" t="str">
        <f aca="false">IF(עזר!L1249="","",INDEX(עזר!$A$2:$A$5001,עזר!L1249))</f>
        <v/>
      </c>
      <c r="B1249" s="13" t="str">
        <f aca="false">IF(עזר!L1249="","",INDEX(עזר!$B$2:$B$5001,עזר!L1249))</f>
        <v/>
      </c>
      <c r="C1249" s="13" t="str">
        <f aca="false">עזר!M1249</f>
        <v/>
      </c>
    </row>
    <row r="1250" customFormat="false" ht="15" hidden="false" customHeight="false" outlineLevel="0" collapsed="false">
      <c r="A1250" s="13" t="str">
        <f aca="false">IF(עזר!L1250="","",INDEX(עזר!$A$2:$A$5001,עזר!L1250))</f>
        <v/>
      </c>
      <c r="B1250" s="13" t="str">
        <f aca="false">IF(עזר!L1250="","",INDEX(עזר!$B$2:$B$5001,עזר!L1250))</f>
        <v/>
      </c>
      <c r="C1250" s="13" t="str">
        <f aca="false">עזר!M1250</f>
        <v/>
      </c>
    </row>
    <row r="1251" customFormat="false" ht="15" hidden="false" customHeight="false" outlineLevel="0" collapsed="false">
      <c r="A1251" s="13" t="str">
        <f aca="false">IF(עזר!L1251="","",INDEX(עזר!$A$2:$A$5001,עזר!L1251))</f>
        <v/>
      </c>
      <c r="B1251" s="13" t="str">
        <f aca="false">IF(עזר!L1251="","",INDEX(עזר!$B$2:$B$5001,עזר!L1251))</f>
        <v/>
      </c>
      <c r="C1251" s="13" t="str">
        <f aca="false">עזר!M1251</f>
        <v/>
      </c>
    </row>
    <row r="1252" customFormat="false" ht="15" hidden="false" customHeight="false" outlineLevel="0" collapsed="false">
      <c r="A1252" s="13" t="str">
        <f aca="false">IF(עזר!L1252="","",INDEX(עזר!$A$2:$A$5001,עזר!L1252))</f>
        <v/>
      </c>
      <c r="B1252" s="13" t="str">
        <f aca="false">IF(עזר!L1252="","",INDEX(עזר!$B$2:$B$5001,עזר!L1252))</f>
        <v/>
      </c>
      <c r="C1252" s="13" t="str">
        <f aca="false">עזר!M1252</f>
        <v/>
      </c>
    </row>
    <row r="1253" customFormat="false" ht="15" hidden="false" customHeight="false" outlineLevel="0" collapsed="false">
      <c r="A1253" s="13" t="str">
        <f aca="false">IF(עזר!L1253="","",INDEX(עזר!$A$2:$A$5001,עזר!L1253))</f>
        <v/>
      </c>
      <c r="B1253" s="13" t="str">
        <f aca="false">IF(עזר!L1253="","",INDEX(עזר!$B$2:$B$5001,עזר!L1253))</f>
        <v/>
      </c>
      <c r="C1253" s="13" t="str">
        <f aca="false">עזר!M1253</f>
        <v/>
      </c>
    </row>
    <row r="1254" customFormat="false" ht="15" hidden="false" customHeight="false" outlineLevel="0" collapsed="false">
      <c r="A1254" s="13" t="str">
        <f aca="false">IF(עזר!L1254="","",INDEX(עזר!$A$2:$A$5001,עזר!L1254))</f>
        <v/>
      </c>
      <c r="B1254" s="13" t="str">
        <f aca="false">IF(עזר!L1254="","",INDEX(עזר!$B$2:$B$5001,עזר!L1254))</f>
        <v/>
      </c>
      <c r="C1254" s="13" t="str">
        <f aca="false">עזר!M1254</f>
        <v/>
      </c>
    </row>
    <row r="1255" customFormat="false" ht="15" hidden="false" customHeight="false" outlineLevel="0" collapsed="false">
      <c r="A1255" s="13" t="str">
        <f aca="false">IF(עזר!L1255="","",INDEX(עזר!$A$2:$A$5001,עזר!L1255))</f>
        <v/>
      </c>
      <c r="B1255" s="13" t="str">
        <f aca="false">IF(עזר!L1255="","",INDEX(עזר!$B$2:$B$5001,עזר!L1255))</f>
        <v/>
      </c>
      <c r="C1255" s="13" t="str">
        <f aca="false">עזר!M1255</f>
        <v/>
      </c>
    </row>
    <row r="1256" customFormat="false" ht="15" hidden="false" customHeight="false" outlineLevel="0" collapsed="false">
      <c r="A1256" s="13" t="str">
        <f aca="false">IF(עזר!L1256="","",INDEX(עזר!$A$2:$A$5001,עזר!L1256))</f>
        <v/>
      </c>
      <c r="B1256" s="13" t="str">
        <f aca="false">IF(עזר!L1256="","",INDEX(עזר!$B$2:$B$5001,עזר!L1256))</f>
        <v/>
      </c>
      <c r="C1256" s="13" t="str">
        <f aca="false">עזר!M1256</f>
        <v/>
      </c>
    </row>
    <row r="1257" customFormat="false" ht="15" hidden="false" customHeight="false" outlineLevel="0" collapsed="false">
      <c r="A1257" s="13" t="str">
        <f aca="false">IF(עזר!L1257="","",INDEX(עזר!$A$2:$A$5001,עזר!L1257))</f>
        <v/>
      </c>
      <c r="B1257" s="13" t="str">
        <f aca="false">IF(עזר!L1257="","",INDEX(עזר!$B$2:$B$5001,עזר!L1257))</f>
        <v/>
      </c>
      <c r="C1257" s="13" t="str">
        <f aca="false">עזר!M1257</f>
        <v/>
      </c>
    </row>
    <row r="1258" customFormat="false" ht="15" hidden="false" customHeight="false" outlineLevel="0" collapsed="false">
      <c r="A1258" s="13" t="str">
        <f aca="false">IF(עזר!L1258="","",INDEX(עזר!$A$2:$A$5001,עזר!L1258))</f>
        <v/>
      </c>
      <c r="B1258" s="13" t="str">
        <f aca="false">IF(עזר!L1258="","",INDEX(עזר!$B$2:$B$5001,עזר!L1258))</f>
        <v/>
      </c>
      <c r="C1258" s="13" t="str">
        <f aca="false">עזר!M1258</f>
        <v/>
      </c>
    </row>
    <row r="1259" customFormat="false" ht="15" hidden="false" customHeight="false" outlineLevel="0" collapsed="false">
      <c r="A1259" s="13" t="str">
        <f aca="false">IF(עזר!L1259="","",INDEX(עזר!$A$2:$A$5001,עזר!L1259))</f>
        <v/>
      </c>
      <c r="B1259" s="13" t="str">
        <f aca="false">IF(עזר!L1259="","",INDEX(עזר!$B$2:$B$5001,עזר!L1259))</f>
        <v/>
      </c>
      <c r="C1259" s="13" t="str">
        <f aca="false">עזר!M1259</f>
        <v/>
      </c>
    </row>
    <row r="1260" customFormat="false" ht="15" hidden="false" customHeight="false" outlineLevel="0" collapsed="false">
      <c r="A1260" s="13" t="str">
        <f aca="false">IF(עזר!L1260="","",INDEX(עזר!$A$2:$A$5001,עזר!L1260))</f>
        <v/>
      </c>
      <c r="B1260" s="13" t="str">
        <f aca="false">IF(עזר!L1260="","",INDEX(עזר!$B$2:$B$5001,עזר!L1260))</f>
        <v/>
      </c>
      <c r="C1260" s="13" t="str">
        <f aca="false">עזר!M1260</f>
        <v/>
      </c>
    </row>
    <row r="1261" customFormat="false" ht="15" hidden="false" customHeight="false" outlineLevel="0" collapsed="false">
      <c r="A1261" s="13" t="str">
        <f aca="false">IF(עזר!L1261="","",INDEX(עזר!$A$2:$A$5001,עזר!L1261))</f>
        <v/>
      </c>
      <c r="B1261" s="13" t="str">
        <f aca="false">IF(עזר!L1261="","",INDEX(עזר!$B$2:$B$5001,עזר!L1261))</f>
        <v/>
      </c>
      <c r="C1261" s="13" t="str">
        <f aca="false">עזר!M1261</f>
        <v/>
      </c>
    </row>
    <row r="1262" customFormat="false" ht="15" hidden="false" customHeight="false" outlineLevel="0" collapsed="false">
      <c r="A1262" s="13" t="str">
        <f aca="false">IF(עזר!L1262="","",INDEX(עזר!$A$2:$A$5001,עזר!L1262))</f>
        <v/>
      </c>
      <c r="B1262" s="13" t="str">
        <f aca="false">IF(עזר!L1262="","",INDEX(עזר!$B$2:$B$5001,עזר!L1262))</f>
        <v/>
      </c>
      <c r="C1262" s="13" t="str">
        <f aca="false">עזר!M1262</f>
        <v/>
      </c>
    </row>
    <row r="1263" customFormat="false" ht="15" hidden="false" customHeight="false" outlineLevel="0" collapsed="false">
      <c r="A1263" s="13" t="str">
        <f aca="false">IF(עזר!L1263="","",INDEX(עזר!$A$2:$A$5001,עזר!L1263))</f>
        <v/>
      </c>
      <c r="B1263" s="13" t="str">
        <f aca="false">IF(עזר!L1263="","",INDEX(עזר!$B$2:$B$5001,עזר!L1263))</f>
        <v/>
      </c>
      <c r="C1263" s="13" t="str">
        <f aca="false">עזר!M1263</f>
        <v/>
      </c>
    </row>
    <row r="1264" customFormat="false" ht="15" hidden="false" customHeight="false" outlineLevel="0" collapsed="false">
      <c r="A1264" s="13" t="str">
        <f aca="false">IF(עזר!L1264="","",INDEX(עזר!$A$2:$A$5001,עזר!L1264))</f>
        <v/>
      </c>
      <c r="B1264" s="13" t="str">
        <f aca="false">IF(עזר!L1264="","",INDEX(עזר!$B$2:$B$5001,עזר!L1264))</f>
        <v/>
      </c>
      <c r="C1264" s="13" t="str">
        <f aca="false">עזר!M1264</f>
        <v/>
      </c>
    </row>
    <row r="1265" customFormat="false" ht="15" hidden="false" customHeight="false" outlineLevel="0" collapsed="false">
      <c r="A1265" s="13" t="str">
        <f aca="false">IF(עזר!L1265="","",INDEX(עזר!$A$2:$A$5001,עזר!L1265))</f>
        <v/>
      </c>
      <c r="B1265" s="13" t="str">
        <f aca="false">IF(עזר!L1265="","",INDEX(עזר!$B$2:$B$5001,עזר!L1265))</f>
        <v/>
      </c>
      <c r="C1265" s="13" t="str">
        <f aca="false">עזר!M1265</f>
        <v/>
      </c>
    </row>
    <row r="1266" customFormat="false" ht="15" hidden="false" customHeight="false" outlineLevel="0" collapsed="false">
      <c r="A1266" s="13" t="str">
        <f aca="false">IF(עזר!L1266="","",INDEX(עזר!$A$2:$A$5001,עזר!L1266))</f>
        <v/>
      </c>
      <c r="B1266" s="13" t="str">
        <f aca="false">IF(עזר!L1266="","",INDEX(עזר!$B$2:$B$5001,עזר!L1266))</f>
        <v/>
      </c>
      <c r="C1266" s="13" t="str">
        <f aca="false">עזר!M1266</f>
        <v/>
      </c>
    </row>
    <row r="1267" customFormat="false" ht="15" hidden="false" customHeight="false" outlineLevel="0" collapsed="false">
      <c r="A1267" s="13" t="str">
        <f aca="false">IF(עזר!L1267="","",INDEX(עזר!$A$2:$A$5001,עזר!L1267))</f>
        <v/>
      </c>
      <c r="B1267" s="13" t="str">
        <f aca="false">IF(עזר!L1267="","",INDEX(עזר!$B$2:$B$5001,עזר!L1267))</f>
        <v/>
      </c>
      <c r="C1267" s="13" t="str">
        <f aca="false">עזר!M1267</f>
        <v/>
      </c>
    </row>
    <row r="1268" customFormat="false" ht="15" hidden="false" customHeight="false" outlineLevel="0" collapsed="false">
      <c r="A1268" s="13" t="str">
        <f aca="false">IF(עזר!L1268="","",INDEX(עזר!$A$2:$A$5001,עזר!L1268))</f>
        <v/>
      </c>
      <c r="B1268" s="13" t="str">
        <f aca="false">IF(עזר!L1268="","",INDEX(עזר!$B$2:$B$5001,עזר!L1268))</f>
        <v/>
      </c>
      <c r="C1268" s="13" t="str">
        <f aca="false">עזר!M1268</f>
        <v/>
      </c>
    </row>
    <row r="1269" customFormat="false" ht="15" hidden="false" customHeight="false" outlineLevel="0" collapsed="false">
      <c r="A1269" s="13" t="str">
        <f aca="false">IF(עזר!L1269="","",INDEX(עזר!$A$2:$A$5001,עזר!L1269))</f>
        <v/>
      </c>
      <c r="B1269" s="13" t="str">
        <f aca="false">IF(עזר!L1269="","",INDEX(עזר!$B$2:$B$5001,עזר!L1269))</f>
        <v/>
      </c>
      <c r="C1269" s="13" t="str">
        <f aca="false">עזר!M1269</f>
        <v/>
      </c>
    </row>
    <row r="1270" customFormat="false" ht="15" hidden="false" customHeight="false" outlineLevel="0" collapsed="false">
      <c r="A1270" s="13" t="str">
        <f aca="false">IF(עזר!L1270="","",INDEX(עזר!$A$2:$A$5001,עזר!L1270))</f>
        <v/>
      </c>
      <c r="B1270" s="13" t="str">
        <f aca="false">IF(עזר!L1270="","",INDEX(עזר!$B$2:$B$5001,עזר!L1270))</f>
        <v/>
      </c>
      <c r="C1270" s="13" t="str">
        <f aca="false">עזר!M1270</f>
        <v/>
      </c>
    </row>
    <row r="1271" customFormat="false" ht="15" hidden="false" customHeight="false" outlineLevel="0" collapsed="false">
      <c r="A1271" s="13" t="str">
        <f aca="false">IF(עזר!L1271="","",INDEX(עזר!$A$2:$A$5001,עזר!L1271))</f>
        <v/>
      </c>
      <c r="B1271" s="13" t="str">
        <f aca="false">IF(עזר!L1271="","",INDEX(עזר!$B$2:$B$5001,עזר!L1271))</f>
        <v/>
      </c>
      <c r="C1271" s="13" t="str">
        <f aca="false">עזר!M1271</f>
        <v/>
      </c>
    </row>
    <row r="1272" customFormat="false" ht="15" hidden="false" customHeight="false" outlineLevel="0" collapsed="false">
      <c r="A1272" s="13" t="str">
        <f aca="false">IF(עזר!L1272="","",INDEX(עזר!$A$2:$A$5001,עזר!L1272))</f>
        <v/>
      </c>
      <c r="B1272" s="13" t="str">
        <f aca="false">IF(עזר!L1272="","",INDEX(עזר!$B$2:$B$5001,עזר!L1272))</f>
        <v/>
      </c>
      <c r="C1272" s="13" t="str">
        <f aca="false">עזר!M1272</f>
        <v/>
      </c>
    </row>
    <row r="1273" customFormat="false" ht="15" hidden="false" customHeight="false" outlineLevel="0" collapsed="false">
      <c r="A1273" s="13" t="str">
        <f aca="false">IF(עזר!L1273="","",INDEX(עזר!$A$2:$A$5001,עזר!L1273))</f>
        <v/>
      </c>
      <c r="B1273" s="13" t="str">
        <f aca="false">IF(עזר!L1273="","",INDEX(עזר!$B$2:$B$5001,עזר!L1273))</f>
        <v/>
      </c>
      <c r="C1273" s="13" t="str">
        <f aca="false">עזר!M1273</f>
        <v/>
      </c>
    </row>
    <row r="1274" customFormat="false" ht="15" hidden="false" customHeight="false" outlineLevel="0" collapsed="false">
      <c r="A1274" s="13" t="str">
        <f aca="false">IF(עזר!L1274="","",INDEX(עזר!$A$2:$A$5001,עזר!L1274))</f>
        <v/>
      </c>
      <c r="B1274" s="13" t="str">
        <f aca="false">IF(עזר!L1274="","",INDEX(עזר!$B$2:$B$5001,עזר!L1274))</f>
        <v/>
      </c>
      <c r="C1274" s="13" t="str">
        <f aca="false">עזר!M1274</f>
        <v/>
      </c>
    </row>
    <row r="1275" customFormat="false" ht="15" hidden="false" customHeight="false" outlineLevel="0" collapsed="false">
      <c r="A1275" s="13" t="str">
        <f aca="false">IF(עזר!L1275="","",INDEX(עזר!$A$2:$A$5001,עזר!L1275))</f>
        <v/>
      </c>
      <c r="B1275" s="13" t="str">
        <f aca="false">IF(עזר!L1275="","",INDEX(עזר!$B$2:$B$5001,עזר!L1275))</f>
        <v/>
      </c>
      <c r="C1275" s="13" t="str">
        <f aca="false">עזר!M1275</f>
        <v/>
      </c>
    </row>
    <row r="1276" customFormat="false" ht="15" hidden="false" customHeight="false" outlineLevel="0" collapsed="false">
      <c r="A1276" s="13" t="str">
        <f aca="false">IF(עזר!L1276="","",INDEX(עזר!$A$2:$A$5001,עזר!L1276))</f>
        <v/>
      </c>
      <c r="B1276" s="13" t="str">
        <f aca="false">IF(עזר!L1276="","",INDEX(עזר!$B$2:$B$5001,עזר!L1276))</f>
        <v/>
      </c>
      <c r="C1276" s="13" t="str">
        <f aca="false">עזר!M1276</f>
        <v/>
      </c>
    </row>
    <row r="1277" customFormat="false" ht="15" hidden="false" customHeight="false" outlineLevel="0" collapsed="false">
      <c r="A1277" s="13" t="str">
        <f aca="false">IF(עזר!L1277="","",INDEX(עזר!$A$2:$A$5001,עזר!L1277))</f>
        <v/>
      </c>
      <c r="B1277" s="13" t="str">
        <f aca="false">IF(עזר!L1277="","",INDEX(עזר!$B$2:$B$5001,עזר!L1277))</f>
        <v/>
      </c>
      <c r="C1277" s="13" t="str">
        <f aca="false">עזר!M1277</f>
        <v/>
      </c>
    </row>
    <row r="1278" customFormat="false" ht="15" hidden="false" customHeight="false" outlineLevel="0" collapsed="false">
      <c r="A1278" s="13" t="str">
        <f aca="false">IF(עזר!L1278="","",INDEX(עזר!$A$2:$A$5001,עזר!L1278))</f>
        <v/>
      </c>
      <c r="B1278" s="13" t="str">
        <f aca="false">IF(עזר!L1278="","",INDEX(עזר!$B$2:$B$5001,עזר!L1278))</f>
        <v/>
      </c>
      <c r="C1278" s="13" t="str">
        <f aca="false">עזר!M1278</f>
        <v/>
      </c>
    </row>
    <row r="1279" customFormat="false" ht="15" hidden="false" customHeight="false" outlineLevel="0" collapsed="false">
      <c r="A1279" s="13" t="str">
        <f aca="false">IF(עזר!L1279="","",INDEX(עזר!$A$2:$A$5001,עזר!L1279))</f>
        <v/>
      </c>
      <c r="B1279" s="13" t="str">
        <f aca="false">IF(עזר!L1279="","",INDEX(עזר!$B$2:$B$5001,עזר!L1279))</f>
        <v/>
      </c>
      <c r="C1279" s="13" t="str">
        <f aca="false">עזר!M1279</f>
        <v/>
      </c>
    </row>
    <row r="1280" customFormat="false" ht="15" hidden="false" customHeight="false" outlineLevel="0" collapsed="false">
      <c r="A1280" s="13" t="str">
        <f aca="false">IF(עזר!L1280="","",INDEX(עזר!$A$2:$A$5001,עזר!L1280))</f>
        <v/>
      </c>
      <c r="B1280" s="13" t="str">
        <f aca="false">IF(עזר!L1280="","",INDEX(עזר!$B$2:$B$5001,עזר!L1280))</f>
        <v/>
      </c>
      <c r="C1280" s="13" t="str">
        <f aca="false">עזר!M1280</f>
        <v/>
      </c>
    </row>
    <row r="1281" customFormat="false" ht="15" hidden="false" customHeight="false" outlineLevel="0" collapsed="false">
      <c r="A1281" s="13" t="str">
        <f aca="false">IF(עזר!L1281="","",INDEX(עזר!$A$2:$A$5001,עזר!L1281))</f>
        <v/>
      </c>
      <c r="B1281" s="13" t="str">
        <f aca="false">IF(עזר!L1281="","",INDEX(עזר!$B$2:$B$5001,עזר!L1281))</f>
        <v/>
      </c>
      <c r="C1281" s="13" t="str">
        <f aca="false">עזר!M1281</f>
        <v/>
      </c>
    </row>
    <row r="1282" customFormat="false" ht="15" hidden="false" customHeight="false" outlineLevel="0" collapsed="false">
      <c r="A1282" s="13" t="str">
        <f aca="false">IF(עזר!L1282="","",INDEX(עזר!$A$2:$A$5001,עזר!L1282))</f>
        <v/>
      </c>
      <c r="B1282" s="13" t="str">
        <f aca="false">IF(עזר!L1282="","",INDEX(עזר!$B$2:$B$5001,עזר!L1282))</f>
        <v/>
      </c>
      <c r="C1282" s="13" t="str">
        <f aca="false">עזר!M1282</f>
        <v/>
      </c>
    </row>
    <row r="1283" customFormat="false" ht="15" hidden="false" customHeight="false" outlineLevel="0" collapsed="false">
      <c r="A1283" s="13" t="str">
        <f aca="false">IF(עזר!L1283="","",INDEX(עזר!$A$2:$A$5001,עזר!L1283))</f>
        <v/>
      </c>
      <c r="B1283" s="13" t="str">
        <f aca="false">IF(עזר!L1283="","",INDEX(עזר!$B$2:$B$5001,עזר!L1283))</f>
        <v/>
      </c>
      <c r="C1283" s="13" t="str">
        <f aca="false">עזר!M1283</f>
        <v/>
      </c>
    </row>
    <row r="1284" customFormat="false" ht="15" hidden="false" customHeight="false" outlineLevel="0" collapsed="false">
      <c r="A1284" s="13" t="str">
        <f aca="false">IF(עזר!L1284="","",INDEX(עזר!$A$2:$A$5001,עזר!L1284))</f>
        <v/>
      </c>
      <c r="B1284" s="13" t="str">
        <f aca="false">IF(עזר!L1284="","",INDEX(עזר!$B$2:$B$5001,עזר!L1284))</f>
        <v/>
      </c>
      <c r="C1284" s="13" t="str">
        <f aca="false">עזר!M1284</f>
        <v/>
      </c>
    </row>
    <row r="1285" customFormat="false" ht="15" hidden="false" customHeight="false" outlineLevel="0" collapsed="false">
      <c r="A1285" s="13" t="str">
        <f aca="false">IF(עזר!L1285="","",INDEX(עזר!$A$2:$A$5001,עזר!L1285))</f>
        <v/>
      </c>
      <c r="B1285" s="13" t="str">
        <f aca="false">IF(עזר!L1285="","",INDEX(עזר!$B$2:$B$5001,עזר!L1285))</f>
        <v/>
      </c>
      <c r="C1285" s="13" t="str">
        <f aca="false">עזר!M1285</f>
        <v/>
      </c>
    </row>
    <row r="1286" customFormat="false" ht="15" hidden="false" customHeight="false" outlineLevel="0" collapsed="false">
      <c r="A1286" s="13" t="str">
        <f aca="false">IF(עזר!L1286="","",INDEX(עזר!$A$2:$A$5001,עזר!L1286))</f>
        <v/>
      </c>
      <c r="B1286" s="13" t="str">
        <f aca="false">IF(עזר!L1286="","",INDEX(עזר!$B$2:$B$5001,עזר!L1286))</f>
        <v/>
      </c>
      <c r="C1286" s="13" t="str">
        <f aca="false">עזר!M1286</f>
        <v/>
      </c>
    </row>
    <row r="1287" customFormat="false" ht="15" hidden="false" customHeight="false" outlineLevel="0" collapsed="false">
      <c r="A1287" s="13" t="str">
        <f aca="false">IF(עזר!L1287="","",INDEX(עזר!$A$2:$A$5001,עזר!L1287))</f>
        <v/>
      </c>
      <c r="B1287" s="13" t="str">
        <f aca="false">IF(עזר!L1287="","",INDEX(עזר!$B$2:$B$5001,עזר!L1287))</f>
        <v/>
      </c>
      <c r="C1287" s="13" t="str">
        <f aca="false">עזר!M1287</f>
        <v/>
      </c>
    </row>
    <row r="1288" customFormat="false" ht="15" hidden="false" customHeight="false" outlineLevel="0" collapsed="false">
      <c r="A1288" s="13" t="str">
        <f aca="false">IF(עזר!L1288="","",INDEX(עזר!$A$2:$A$5001,עזר!L1288))</f>
        <v/>
      </c>
      <c r="B1288" s="13" t="str">
        <f aca="false">IF(עזר!L1288="","",INDEX(עזר!$B$2:$B$5001,עזר!L1288))</f>
        <v/>
      </c>
      <c r="C1288" s="13" t="str">
        <f aca="false">עזר!M1288</f>
        <v/>
      </c>
    </row>
    <row r="1289" customFormat="false" ht="15" hidden="false" customHeight="false" outlineLevel="0" collapsed="false">
      <c r="A1289" s="13" t="str">
        <f aca="false">IF(עזר!L1289="","",INDEX(עזר!$A$2:$A$5001,עזר!L1289))</f>
        <v/>
      </c>
      <c r="B1289" s="13" t="str">
        <f aca="false">IF(עזר!L1289="","",INDEX(עזר!$B$2:$B$5001,עזר!L1289))</f>
        <v/>
      </c>
      <c r="C1289" s="13" t="str">
        <f aca="false">עזר!M1289</f>
        <v/>
      </c>
    </row>
    <row r="1290" customFormat="false" ht="15" hidden="false" customHeight="false" outlineLevel="0" collapsed="false">
      <c r="A1290" s="13" t="str">
        <f aca="false">IF(עזר!L1290="","",INDEX(עזר!$A$2:$A$5001,עזר!L1290))</f>
        <v/>
      </c>
      <c r="B1290" s="13" t="str">
        <f aca="false">IF(עזר!L1290="","",INDEX(עזר!$B$2:$B$5001,עזר!L1290))</f>
        <v/>
      </c>
      <c r="C1290" s="13" t="str">
        <f aca="false">עזר!M1290</f>
        <v/>
      </c>
    </row>
    <row r="1291" customFormat="false" ht="15" hidden="false" customHeight="false" outlineLevel="0" collapsed="false">
      <c r="A1291" s="13" t="str">
        <f aca="false">IF(עזר!L1291="","",INDEX(עזר!$A$2:$A$5001,עזר!L1291))</f>
        <v/>
      </c>
      <c r="B1291" s="13" t="str">
        <f aca="false">IF(עזר!L1291="","",INDEX(עזר!$B$2:$B$5001,עזר!L1291))</f>
        <v/>
      </c>
      <c r="C1291" s="13" t="str">
        <f aca="false">עזר!M1291</f>
        <v/>
      </c>
    </row>
    <row r="1292" customFormat="false" ht="15" hidden="false" customHeight="false" outlineLevel="0" collapsed="false">
      <c r="A1292" s="13" t="str">
        <f aca="false">IF(עזר!L1292="","",INDEX(עזר!$A$2:$A$5001,עזר!L1292))</f>
        <v/>
      </c>
      <c r="B1292" s="13" t="str">
        <f aca="false">IF(עזר!L1292="","",INDEX(עזר!$B$2:$B$5001,עזר!L1292))</f>
        <v/>
      </c>
      <c r="C1292" s="13" t="str">
        <f aca="false">עזר!M1292</f>
        <v/>
      </c>
    </row>
    <row r="1293" customFormat="false" ht="15" hidden="false" customHeight="false" outlineLevel="0" collapsed="false">
      <c r="A1293" s="13" t="str">
        <f aca="false">IF(עזר!L1293="","",INDEX(עזר!$A$2:$A$5001,עזר!L1293))</f>
        <v/>
      </c>
      <c r="B1293" s="13" t="str">
        <f aca="false">IF(עזר!L1293="","",INDEX(עזר!$B$2:$B$5001,עזר!L1293))</f>
        <v/>
      </c>
      <c r="C1293" s="13" t="str">
        <f aca="false">עזר!M1293</f>
        <v/>
      </c>
    </row>
    <row r="1294" customFormat="false" ht="15" hidden="false" customHeight="false" outlineLevel="0" collapsed="false">
      <c r="A1294" s="13" t="str">
        <f aca="false">IF(עזר!L1294="","",INDEX(עזר!$A$2:$A$5001,עזר!L1294))</f>
        <v/>
      </c>
      <c r="B1294" s="13" t="str">
        <f aca="false">IF(עזר!L1294="","",INDEX(עזר!$B$2:$B$5001,עזר!L1294))</f>
        <v/>
      </c>
      <c r="C1294" s="13" t="str">
        <f aca="false">עזר!M1294</f>
        <v/>
      </c>
    </row>
    <row r="1295" customFormat="false" ht="15" hidden="false" customHeight="false" outlineLevel="0" collapsed="false">
      <c r="A1295" s="13" t="str">
        <f aca="false">IF(עזר!L1295="","",INDEX(עזר!$A$2:$A$5001,עזר!L1295))</f>
        <v/>
      </c>
      <c r="B1295" s="13" t="str">
        <f aca="false">IF(עזר!L1295="","",INDEX(עזר!$B$2:$B$5001,עזר!L1295))</f>
        <v/>
      </c>
      <c r="C1295" s="13" t="str">
        <f aca="false">עזר!M1295</f>
        <v/>
      </c>
    </row>
    <row r="1296" customFormat="false" ht="15" hidden="false" customHeight="false" outlineLevel="0" collapsed="false">
      <c r="A1296" s="13" t="str">
        <f aca="false">IF(עזר!L1296="","",INDEX(עזר!$A$2:$A$5001,עזר!L1296))</f>
        <v/>
      </c>
      <c r="B1296" s="13" t="str">
        <f aca="false">IF(עזר!L1296="","",INDEX(עזר!$B$2:$B$5001,עזר!L1296))</f>
        <v/>
      </c>
      <c r="C1296" s="13" t="str">
        <f aca="false">עזר!M1296</f>
        <v/>
      </c>
    </row>
    <row r="1297" customFormat="false" ht="15" hidden="false" customHeight="false" outlineLevel="0" collapsed="false">
      <c r="A1297" s="13" t="str">
        <f aca="false">IF(עזר!L1297="","",INDEX(עזר!$A$2:$A$5001,עזר!L1297))</f>
        <v/>
      </c>
      <c r="B1297" s="13" t="str">
        <f aca="false">IF(עזר!L1297="","",INDEX(עזר!$B$2:$B$5001,עזר!L1297))</f>
        <v/>
      </c>
      <c r="C1297" s="13" t="str">
        <f aca="false">עזר!M1297</f>
        <v/>
      </c>
    </row>
    <row r="1298" customFormat="false" ht="15" hidden="false" customHeight="false" outlineLevel="0" collapsed="false">
      <c r="A1298" s="13" t="str">
        <f aca="false">IF(עזר!L1298="","",INDEX(עזר!$A$2:$A$5001,עזר!L1298))</f>
        <v/>
      </c>
      <c r="B1298" s="13" t="str">
        <f aca="false">IF(עזר!L1298="","",INDEX(עזר!$B$2:$B$5001,עזר!L1298))</f>
        <v/>
      </c>
      <c r="C1298" s="13" t="str">
        <f aca="false">עזר!M1298</f>
        <v/>
      </c>
    </row>
    <row r="1299" customFormat="false" ht="15" hidden="false" customHeight="false" outlineLevel="0" collapsed="false">
      <c r="A1299" s="13" t="str">
        <f aca="false">IF(עזר!L1299="","",INDEX(עזר!$A$2:$A$5001,עזר!L1299))</f>
        <v/>
      </c>
      <c r="B1299" s="13" t="str">
        <f aca="false">IF(עזר!L1299="","",INDEX(עזר!$B$2:$B$5001,עזר!L1299))</f>
        <v/>
      </c>
      <c r="C1299" s="13" t="str">
        <f aca="false">עזר!M1299</f>
        <v/>
      </c>
    </row>
    <row r="1300" customFormat="false" ht="15" hidden="false" customHeight="false" outlineLevel="0" collapsed="false">
      <c r="A1300" s="13" t="str">
        <f aca="false">IF(עזר!L1300="","",INDEX(עזר!$A$2:$A$5001,עזר!L1300))</f>
        <v/>
      </c>
      <c r="B1300" s="13" t="str">
        <f aca="false">IF(עזר!L1300="","",INDEX(עזר!$B$2:$B$5001,עזר!L1300))</f>
        <v/>
      </c>
      <c r="C1300" s="13" t="str">
        <f aca="false">עזר!M1300</f>
        <v/>
      </c>
    </row>
    <row r="1301" customFormat="false" ht="15" hidden="false" customHeight="false" outlineLevel="0" collapsed="false">
      <c r="A1301" s="13" t="str">
        <f aca="false">IF(עזר!L1301="","",INDEX(עזר!$A$2:$A$5001,עזר!L1301))</f>
        <v/>
      </c>
      <c r="B1301" s="13" t="str">
        <f aca="false">IF(עזר!L1301="","",INDEX(עזר!$B$2:$B$5001,עזר!L1301))</f>
        <v/>
      </c>
      <c r="C1301" s="13" t="str">
        <f aca="false">עזר!M1301</f>
        <v/>
      </c>
    </row>
    <row r="1302" customFormat="false" ht="15" hidden="false" customHeight="false" outlineLevel="0" collapsed="false">
      <c r="A1302" s="13" t="str">
        <f aca="false">IF(עזר!L1302="","",INDEX(עזר!$A$2:$A$5001,עזר!L1302))</f>
        <v/>
      </c>
      <c r="B1302" s="13" t="str">
        <f aca="false">IF(עזר!L1302="","",INDEX(עזר!$B$2:$B$5001,עזר!L1302))</f>
        <v/>
      </c>
      <c r="C1302" s="13" t="str">
        <f aca="false">עזר!M1302</f>
        <v/>
      </c>
    </row>
    <row r="1303" customFormat="false" ht="15" hidden="false" customHeight="false" outlineLevel="0" collapsed="false">
      <c r="A1303" s="13" t="str">
        <f aca="false">IF(עזר!L1303="","",INDEX(עזר!$A$2:$A$5001,עזר!L1303))</f>
        <v/>
      </c>
      <c r="B1303" s="13" t="str">
        <f aca="false">IF(עזר!L1303="","",INDEX(עזר!$B$2:$B$5001,עזר!L1303))</f>
        <v/>
      </c>
      <c r="C1303" s="13" t="str">
        <f aca="false">עזר!M1303</f>
        <v/>
      </c>
    </row>
    <row r="1304" customFormat="false" ht="15" hidden="false" customHeight="false" outlineLevel="0" collapsed="false">
      <c r="A1304" s="13" t="str">
        <f aca="false">IF(עזר!L1304="","",INDEX(עזר!$A$2:$A$5001,עזר!L1304))</f>
        <v/>
      </c>
      <c r="B1304" s="13" t="str">
        <f aca="false">IF(עזר!L1304="","",INDEX(עזר!$B$2:$B$5001,עזר!L1304))</f>
        <v/>
      </c>
      <c r="C1304" s="13" t="str">
        <f aca="false">עזר!M1304</f>
        <v/>
      </c>
    </row>
    <row r="1305" customFormat="false" ht="15" hidden="false" customHeight="false" outlineLevel="0" collapsed="false">
      <c r="A1305" s="13" t="str">
        <f aca="false">IF(עזר!L1305="","",INDEX(עזר!$A$2:$A$5001,עזר!L1305))</f>
        <v/>
      </c>
      <c r="B1305" s="13" t="str">
        <f aca="false">IF(עזר!L1305="","",INDEX(עזר!$B$2:$B$5001,עזר!L1305))</f>
        <v/>
      </c>
      <c r="C1305" s="13" t="str">
        <f aca="false">עזר!M1305</f>
        <v/>
      </c>
    </row>
    <row r="1306" customFormat="false" ht="15" hidden="false" customHeight="false" outlineLevel="0" collapsed="false">
      <c r="A1306" s="13" t="str">
        <f aca="false">IF(עזר!L1306="","",INDEX(עזר!$A$2:$A$5001,עזר!L1306))</f>
        <v/>
      </c>
      <c r="B1306" s="13" t="str">
        <f aca="false">IF(עזר!L1306="","",INDEX(עזר!$B$2:$B$5001,עזר!L1306))</f>
        <v/>
      </c>
      <c r="C1306" s="13" t="str">
        <f aca="false">עזר!M1306</f>
        <v/>
      </c>
    </row>
    <row r="1307" customFormat="false" ht="15" hidden="false" customHeight="false" outlineLevel="0" collapsed="false">
      <c r="A1307" s="13" t="str">
        <f aca="false">IF(עזר!L1307="","",INDEX(עזר!$A$2:$A$5001,עזר!L1307))</f>
        <v/>
      </c>
      <c r="B1307" s="13" t="str">
        <f aca="false">IF(עזר!L1307="","",INDEX(עזר!$B$2:$B$5001,עזר!L1307))</f>
        <v/>
      </c>
      <c r="C1307" s="13" t="str">
        <f aca="false">עזר!M1307</f>
        <v/>
      </c>
    </row>
    <row r="1308" customFormat="false" ht="15" hidden="false" customHeight="false" outlineLevel="0" collapsed="false">
      <c r="A1308" s="13" t="str">
        <f aca="false">IF(עזר!L1308="","",INDEX(עזר!$A$2:$A$5001,עזר!L1308))</f>
        <v/>
      </c>
      <c r="B1308" s="13" t="str">
        <f aca="false">IF(עזר!L1308="","",INDEX(עזר!$B$2:$B$5001,עזר!L1308))</f>
        <v/>
      </c>
      <c r="C1308" s="13" t="str">
        <f aca="false">עזר!M1308</f>
        <v/>
      </c>
    </row>
    <row r="1309" customFormat="false" ht="15" hidden="false" customHeight="false" outlineLevel="0" collapsed="false">
      <c r="A1309" s="13" t="str">
        <f aca="false">IF(עזר!L1309="","",INDEX(עזר!$A$2:$A$5001,עזר!L1309))</f>
        <v/>
      </c>
      <c r="B1309" s="13" t="str">
        <f aca="false">IF(עזר!L1309="","",INDEX(עזר!$B$2:$B$5001,עזר!L1309))</f>
        <v/>
      </c>
      <c r="C1309" s="13" t="str">
        <f aca="false">עזר!M1309</f>
        <v/>
      </c>
    </row>
    <row r="1310" customFormat="false" ht="15" hidden="false" customHeight="false" outlineLevel="0" collapsed="false">
      <c r="A1310" s="13" t="str">
        <f aca="false">IF(עזר!L1310="","",INDEX(עזר!$A$2:$A$5001,עזר!L1310))</f>
        <v/>
      </c>
      <c r="B1310" s="13" t="str">
        <f aca="false">IF(עזר!L1310="","",INDEX(עזר!$B$2:$B$5001,עזר!L1310))</f>
        <v/>
      </c>
      <c r="C1310" s="13" t="str">
        <f aca="false">עזר!M1310</f>
        <v/>
      </c>
    </row>
    <row r="1311" customFormat="false" ht="15" hidden="false" customHeight="false" outlineLevel="0" collapsed="false">
      <c r="A1311" s="13" t="str">
        <f aca="false">IF(עזר!L1311="","",INDEX(עזר!$A$2:$A$5001,עזר!L1311))</f>
        <v/>
      </c>
      <c r="B1311" s="13" t="str">
        <f aca="false">IF(עזר!L1311="","",INDEX(עזר!$B$2:$B$5001,עזר!L1311))</f>
        <v/>
      </c>
      <c r="C1311" s="13" t="str">
        <f aca="false">עזר!M1311</f>
        <v/>
      </c>
    </row>
    <row r="1312" customFormat="false" ht="15" hidden="false" customHeight="false" outlineLevel="0" collapsed="false">
      <c r="A1312" s="13" t="str">
        <f aca="false">IF(עזר!L1312="","",INDEX(עזר!$A$2:$A$5001,עזר!L1312))</f>
        <v/>
      </c>
      <c r="B1312" s="13" t="str">
        <f aca="false">IF(עזר!L1312="","",INDEX(עזר!$B$2:$B$5001,עזר!L1312))</f>
        <v/>
      </c>
      <c r="C1312" s="13" t="str">
        <f aca="false">עזר!M1312</f>
        <v/>
      </c>
    </row>
    <row r="1313" customFormat="false" ht="15" hidden="false" customHeight="false" outlineLevel="0" collapsed="false">
      <c r="A1313" s="13" t="str">
        <f aca="false">IF(עזר!L1313="","",INDEX(עזר!$A$2:$A$5001,עזר!L1313))</f>
        <v/>
      </c>
      <c r="B1313" s="13" t="str">
        <f aca="false">IF(עזר!L1313="","",INDEX(עזר!$B$2:$B$5001,עזר!L1313))</f>
        <v/>
      </c>
      <c r="C1313" s="13" t="str">
        <f aca="false">עזר!M1313</f>
        <v/>
      </c>
    </row>
    <row r="1314" customFormat="false" ht="15" hidden="false" customHeight="false" outlineLevel="0" collapsed="false">
      <c r="A1314" s="13" t="str">
        <f aca="false">IF(עזר!L1314="","",INDEX(עזר!$A$2:$A$5001,עזר!L1314))</f>
        <v/>
      </c>
      <c r="B1314" s="13" t="str">
        <f aca="false">IF(עזר!L1314="","",INDEX(עזר!$B$2:$B$5001,עזר!L1314))</f>
        <v/>
      </c>
      <c r="C1314" s="13" t="str">
        <f aca="false">עזר!M1314</f>
        <v/>
      </c>
    </row>
    <row r="1315" customFormat="false" ht="15" hidden="false" customHeight="false" outlineLevel="0" collapsed="false">
      <c r="A1315" s="13" t="str">
        <f aca="false">IF(עזר!L1315="","",INDEX(עזר!$A$2:$A$5001,עזר!L1315))</f>
        <v/>
      </c>
      <c r="B1315" s="13" t="str">
        <f aca="false">IF(עזר!L1315="","",INDEX(עזר!$B$2:$B$5001,עזר!L1315))</f>
        <v/>
      </c>
      <c r="C1315" s="13" t="str">
        <f aca="false">עזר!M1315</f>
        <v/>
      </c>
    </row>
    <row r="1316" customFormat="false" ht="15" hidden="false" customHeight="false" outlineLevel="0" collapsed="false">
      <c r="A1316" s="13" t="str">
        <f aca="false">IF(עזר!L1316="","",INDEX(עזר!$A$2:$A$5001,עזר!L1316))</f>
        <v/>
      </c>
      <c r="B1316" s="13" t="str">
        <f aca="false">IF(עזר!L1316="","",INDEX(עזר!$B$2:$B$5001,עזר!L1316))</f>
        <v/>
      </c>
      <c r="C1316" s="13" t="str">
        <f aca="false">עזר!M1316</f>
        <v/>
      </c>
    </row>
    <row r="1317" customFormat="false" ht="15" hidden="false" customHeight="false" outlineLevel="0" collapsed="false">
      <c r="A1317" s="13" t="str">
        <f aca="false">IF(עזר!L1317="","",INDEX(עזר!$A$2:$A$5001,עזר!L1317))</f>
        <v/>
      </c>
      <c r="B1317" s="13" t="str">
        <f aca="false">IF(עזר!L1317="","",INDEX(עזר!$B$2:$B$5001,עזר!L1317))</f>
        <v/>
      </c>
      <c r="C1317" s="13" t="str">
        <f aca="false">עזר!M1317</f>
        <v/>
      </c>
    </row>
    <row r="1318" customFormat="false" ht="15" hidden="false" customHeight="false" outlineLevel="0" collapsed="false">
      <c r="A1318" s="13" t="str">
        <f aca="false">IF(עזר!L1318="","",INDEX(עזר!$A$2:$A$5001,עזר!L1318))</f>
        <v/>
      </c>
      <c r="B1318" s="13" t="str">
        <f aca="false">IF(עזר!L1318="","",INDEX(עזר!$B$2:$B$5001,עזר!L1318))</f>
        <v/>
      </c>
      <c r="C1318" s="13" t="str">
        <f aca="false">עזר!M1318</f>
        <v/>
      </c>
    </row>
    <row r="1319" customFormat="false" ht="15" hidden="false" customHeight="false" outlineLevel="0" collapsed="false">
      <c r="A1319" s="13" t="str">
        <f aca="false">IF(עזר!L1319="","",INDEX(עזר!$A$2:$A$5001,עזר!L1319))</f>
        <v/>
      </c>
      <c r="B1319" s="13" t="str">
        <f aca="false">IF(עזר!L1319="","",INDEX(עזר!$B$2:$B$5001,עזר!L1319))</f>
        <v/>
      </c>
      <c r="C1319" s="13" t="str">
        <f aca="false">עזר!M1319</f>
        <v/>
      </c>
    </row>
    <row r="1320" customFormat="false" ht="15" hidden="false" customHeight="false" outlineLevel="0" collapsed="false">
      <c r="A1320" s="13" t="str">
        <f aca="false">IF(עזר!L1320="","",INDEX(עזר!$A$2:$A$5001,עזר!L1320))</f>
        <v/>
      </c>
      <c r="B1320" s="13" t="str">
        <f aca="false">IF(עזר!L1320="","",INDEX(עזר!$B$2:$B$5001,עזר!L1320))</f>
        <v/>
      </c>
      <c r="C1320" s="13" t="str">
        <f aca="false">עזר!M1320</f>
        <v/>
      </c>
    </row>
    <row r="1321" customFormat="false" ht="15" hidden="false" customHeight="false" outlineLevel="0" collapsed="false">
      <c r="A1321" s="13" t="str">
        <f aca="false">IF(עזר!L1321="","",INDEX(עזר!$A$2:$A$5001,עזר!L1321))</f>
        <v/>
      </c>
      <c r="B1321" s="13" t="str">
        <f aca="false">IF(עזר!L1321="","",INDEX(עזר!$B$2:$B$5001,עזר!L1321))</f>
        <v/>
      </c>
      <c r="C1321" s="13" t="str">
        <f aca="false">עזר!M1321</f>
        <v/>
      </c>
    </row>
    <row r="1322" customFormat="false" ht="15" hidden="false" customHeight="false" outlineLevel="0" collapsed="false">
      <c r="A1322" s="13" t="str">
        <f aca="false">IF(עזר!L1322="","",INDEX(עזר!$A$2:$A$5001,עזר!L1322))</f>
        <v/>
      </c>
      <c r="B1322" s="13" t="str">
        <f aca="false">IF(עזר!L1322="","",INDEX(עזר!$B$2:$B$5001,עזר!L1322))</f>
        <v/>
      </c>
      <c r="C1322" s="13" t="str">
        <f aca="false">עזר!M1322</f>
        <v/>
      </c>
    </row>
    <row r="1323" customFormat="false" ht="15" hidden="false" customHeight="false" outlineLevel="0" collapsed="false">
      <c r="A1323" s="13" t="str">
        <f aca="false">IF(עזר!L1323="","",INDEX(עזר!$A$2:$A$5001,עזר!L1323))</f>
        <v/>
      </c>
      <c r="B1323" s="13" t="str">
        <f aca="false">IF(עזר!L1323="","",INDEX(עזר!$B$2:$B$5001,עזר!L1323))</f>
        <v/>
      </c>
      <c r="C1323" s="13" t="str">
        <f aca="false">עזר!M1323</f>
        <v/>
      </c>
    </row>
    <row r="1324" customFormat="false" ht="15" hidden="false" customHeight="false" outlineLevel="0" collapsed="false">
      <c r="A1324" s="13" t="str">
        <f aca="false">IF(עזר!L1324="","",INDEX(עזר!$A$2:$A$5001,עזר!L1324))</f>
        <v/>
      </c>
      <c r="B1324" s="13" t="str">
        <f aca="false">IF(עזר!L1324="","",INDEX(עזר!$B$2:$B$5001,עזר!L1324))</f>
        <v/>
      </c>
      <c r="C1324" s="13" t="str">
        <f aca="false">עזר!M1324</f>
        <v/>
      </c>
    </row>
    <row r="1325" customFormat="false" ht="15" hidden="false" customHeight="false" outlineLevel="0" collapsed="false">
      <c r="A1325" s="13" t="str">
        <f aca="false">IF(עזר!L1325="","",INDEX(עזר!$A$2:$A$5001,עזר!L1325))</f>
        <v/>
      </c>
      <c r="B1325" s="13" t="str">
        <f aca="false">IF(עזר!L1325="","",INDEX(עזר!$B$2:$B$5001,עזר!L1325))</f>
        <v/>
      </c>
      <c r="C1325" s="13" t="str">
        <f aca="false">עזר!M1325</f>
        <v/>
      </c>
    </row>
    <row r="1326" customFormat="false" ht="15" hidden="false" customHeight="false" outlineLevel="0" collapsed="false">
      <c r="A1326" s="13" t="str">
        <f aca="false">IF(עזר!L1326="","",INDEX(עזר!$A$2:$A$5001,עזר!L1326))</f>
        <v/>
      </c>
      <c r="B1326" s="13" t="str">
        <f aca="false">IF(עזר!L1326="","",INDEX(עזר!$B$2:$B$5001,עזר!L1326))</f>
        <v/>
      </c>
      <c r="C1326" s="13" t="str">
        <f aca="false">עזר!M1326</f>
        <v/>
      </c>
    </row>
    <row r="1327" customFormat="false" ht="15" hidden="false" customHeight="false" outlineLevel="0" collapsed="false">
      <c r="A1327" s="13" t="str">
        <f aca="false">IF(עזר!L1327="","",INDEX(עזר!$A$2:$A$5001,עזר!L1327))</f>
        <v/>
      </c>
      <c r="B1327" s="13" t="str">
        <f aca="false">IF(עזר!L1327="","",INDEX(עזר!$B$2:$B$5001,עזר!L1327))</f>
        <v/>
      </c>
      <c r="C1327" s="13" t="str">
        <f aca="false">עזר!M1327</f>
        <v/>
      </c>
    </row>
    <row r="1328" customFormat="false" ht="15" hidden="false" customHeight="false" outlineLevel="0" collapsed="false">
      <c r="A1328" s="13" t="str">
        <f aca="false">IF(עזר!L1328="","",INDEX(עזר!$A$2:$A$5001,עזר!L1328))</f>
        <v/>
      </c>
      <c r="B1328" s="13" t="str">
        <f aca="false">IF(עזר!L1328="","",INDEX(עזר!$B$2:$B$5001,עזר!L1328))</f>
        <v/>
      </c>
      <c r="C1328" s="13" t="str">
        <f aca="false">עזר!M1328</f>
        <v/>
      </c>
    </row>
    <row r="1329" customFormat="false" ht="15" hidden="false" customHeight="false" outlineLevel="0" collapsed="false">
      <c r="A1329" s="13" t="str">
        <f aca="false">IF(עזר!L1329="","",INDEX(עזר!$A$2:$A$5001,עזר!L1329))</f>
        <v/>
      </c>
      <c r="B1329" s="13" t="str">
        <f aca="false">IF(עזר!L1329="","",INDEX(עזר!$B$2:$B$5001,עזר!L1329))</f>
        <v/>
      </c>
      <c r="C1329" s="13" t="str">
        <f aca="false">עזר!M1329</f>
        <v/>
      </c>
    </row>
    <row r="1330" customFormat="false" ht="15" hidden="false" customHeight="false" outlineLevel="0" collapsed="false">
      <c r="A1330" s="13" t="str">
        <f aca="false">IF(עזר!L1330="","",INDEX(עזר!$A$2:$A$5001,עזר!L1330))</f>
        <v/>
      </c>
      <c r="B1330" s="13" t="str">
        <f aca="false">IF(עזר!L1330="","",INDEX(עזר!$B$2:$B$5001,עזר!L1330))</f>
        <v/>
      </c>
      <c r="C1330" s="13" t="str">
        <f aca="false">עזר!M1330</f>
        <v/>
      </c>
    </row>
    <row r="1331" customFormat="false" ht="15" hidden="false" customHeight="false" outlineLevel="0" collapsed="false">
      <c r="A1331" s="13" t="str">
        <f aca="false">IF(עזר!L1331="","",INDEX(עזר!$A$2:$A$5001,עזר!L1331))</f>
        <v/>
      </c>
      <c r="B1331" s="13" t="str">
        <f aca="false">IF(עזר!L1331="","",INDEX(עזר!$B$2:$B$5001,עזר!L1331))</f>
        <v/>
      </c>
      <c r="C1331" s="13" t="str">
        <f aca="false">עזר!M1331</f>
        <v/>
      </c>
    </row>
    <row r="1332" customFormat="false" ht="15" hidden="false" customHeight="false" outlineLevel="0" collapsed="false">
      <c r="A1332" s="13" t="str">
        <f aca="false">IF(עזר!L1332="","",INDEX(עזר!$A$2:$A$5001,עזר!L1332))</f>
        <v/>
      </c>
      <c r="B1332" s="13" t="str">
        <f aca="false">IF(עזר!L1332="","",INDEX(עזר!$B$2:$B$5001,עזר!L1332))</f>
        <v/>
      </c>
      <c r="C1332" s="13" t="str">
        <f aca="false">עזר!M1332</f>
        <v/>
      </c>
    </row>
    <row r="1333" customFormat="false" ht="15" hidden="false" customHeight="false" outlineLevel="0" collapsed="false">
      <c r="A1333" s="13" t="str">
        <f aca="false">IF(עזר!L1333="","",INDEX(עזר!$A$2:$A$5001,עזר!L1333))</f>
        <v/>
      </c>
      <c r="B1333" s="13" t="str">
        <f aca="false">IF(עזר!L1333="","",INDEX(עזר!$B$2:$B$5001,עזר!L1333))</f>
        <v/>
      </c>
      <c r="C1333" s="13" t="str">
        <f aca="false">עזר!M1333</f>
        <v/>
      </c>
    </row>
    <row r="1334" customFormat="false" ht="15" hidden="false" customHeight="false" outlineLevel="0" collapsed="false">
      <c r="A1334" s="13" t="str">
        <f aca="false">IF(עזר!L1334="","",INDEX(עזר!$A$2:$A$5001,עזר!L1334))</f>
        <v/>
      </c>
      <c r="B1334" s="13" t="str">
        <f aca="false">IF(עזר!L1334="","",INDEX(עזר!$B$2:$B$5001,עזר!L1334))</f>
        <v/>
      </c>
      <c r="C1334" s="13" t="str">
        <f aca="false">עזר!M1334</f>
        <v/>
      </c>
    </row>
    <row r="1335" customFormat="false" ht="15" hidden="false" customHeight="false" outlineLevel="0" collapsed="false">
      <c r="A1335" s="13" t="str">
        <f aca="false">IF(עזר!L1335="","",INDEX(עזר!$A$2:$A$5001,עזר!L1335))</f>
        <v/>
      </c>
      <c r="B1335" s="13" t="str">
        <f aca="false">IF(עזר!L1335="","",INDEX(עזר!$B$2:$B$5001,עזר!L1335))</f>
        <v/>
      </c>
      <c r="C1335" s="13" t="str">
        <f aca="false">עזר!M1335</f>
        <v/>
      </c>
    </row>
    <row r="1336" customFormat="false" ht="15" hidden="false" customHeight="false" outlineLevel="0" collapsed="false">
      <c r="A1336" s="13" t="str">
        <f aca="false">IF(עזר!L1336="","",INDEX(עזר!$A$2:$A$5001,עזר!L1336))</f>
        <v/>
      </c>
      <c r="B1336" s="13" t="str">
        <f aca="false">IF(עזר!L1336="","",INDEX(עזר!$B$2:$B$5001,עזר!L1336))</f>
        <v/>
      </c>
      <c r="C1336" s="13" t="str">
        <f aca="false">עזר!M1336</f>
        <v/>
      </c>
    </row>
    <row r="1337" customFormat="false" ht="15" hidden="false" customHeight="false" outlineLevel="0" collapsed="false">
      <c r="A1337" s="13" t="str">
        <f aca="false">IF(עזר!L1337="","",INDEX(עזר!$A$2:$A$5001,עזר!L1337))</f>
        <v/>
      </c>
      <c r="B1337" s="13" t="str">
        <f aca="false">IF(עזר!L1337="","",INDEX(עזר!$B$2:$B$5001,עזר!L1337))</f>
        <v/>
      </c>
      <c r="C1337" s="13" t="str">
        <f aca="false">עזר!M1337</f>
        <v/>
      </c>
    </row>
    <row r="1338" customFormat="false" ht="15" hidden="false" customHeight="false" outlineLevel="0" collapsed="false">
      <c r="A1338" s="13" t="str">
        <f aca="false">IF(עזר!L1338="","",INDEX(עזר!$A$2:$A$5001,עזר!L1338))</f>
        <v/>
      </c>
      <c r="B1338" s="13" t="str">
        <f aca="false">IF(עזר!L1338="","",INDEX(עזר!$B$2:$B$5001,עזר!L1338))</f>
        <v/>
      </c>
      <c r="C1338" s="13" t="str">
        <f aca="false">עזר!M1338</f>
        <v/>
      </c>
    </row>
    <row r="1339" customFormat="false" ht="15" hidden="false" customHeight="false" outlineLevel="0" collapsed="false">
      <c r="A1339" s="13" t="str">
        <f aca="false">IF(עזר!L1339="","",INDEX(עזר!$A$2:$A$5001,עזר!L1339))</f>
        <v/>
      </c>
      <c r="B1339" s="13" t="str">
        <f aca="false">IF(עזר!L1339="","",INDEX(עזר!$B$2:$B$5001,עזר!L1339))</f>
        <v/>
      </c>
      <c r="C1339" s="13" t="str">
        <f aca="false">עזר!M1339</f>
        <v/>
      </c>
    </row>
    <row r="1340" customFormat="false" ht="15" hidden="false" customHeight="false" outlineLevel="0" collapsed="false">
      <c r="A1340" s="13" t="str">
        <f aca="false">IF(עזר!L1340="","",INDEX(עזר!$A$2:$A$5001,עזר!L1340))</f>
        <v/>
      </c>
      <c r="B1340" s="13" t="str">
        <f aca="false">IF(עזר!L1340="","",INDEX(עזר!$B$2:$B$5001,עזר!L1340))</f>
        <v/>
      </c>
      <c r="C1340" s="13" t="str">
        <f aca="false">עזר!M1340</f>
        <v/>
      </c>
    </row>
    <row r="1341" customFormat="false" ht="15" hidden="false" customHeight="false" outlineLevel="0" collapsed="false">
      <c r="A1341" s="13" t="str">
        <f aca="false">IF(עזר!L1341="","",INDEX(עזר!$A$2:$A$5001,עזר!L1341))</f>
        <v/>
      </c>
      <c r="B1341" s="13" t="str">
        <f aca="false">IF(עזר!L1341="","",INDEX(עזר!$B$2:$B$5001,עזר!L1341))</f>
        <v/>
      </c>
      <c r="C1341" s="13" t="str">
        <f aca="false">עזר!M1341</f>
        <v/>
      </c>
    </row>
    <row r="1342" customFormat="false" ht="15" hidden="false" customHeight="false" outlineLevel="0" collapsed="false">
      <c r="A1342" s="13" t="str">
        <f aca="false">IF(עזר!L1342="","",INDEX(עזר!$A$2:$A$5001,עזר!L1342))</f>
        <v/>
      </c>
      <c r="B1342" s="13" t="str">
        <f aca="false">IF(עזר!L1342="","",INDEX(עזר!$B$2:$B$5001,עזר!L1342))</f>
        <v/>
      </c>
      <c r="C1342" s="13" t="str">
        <f aca="false">עזר!M1342</f>
        <v/>
      </c>
    </row>
    <row r="1343" customFormat="false" ht="15" hidden="false" customHeight="false" outlineLevel="0" collapsed="false">
      <c r="A1343" s="13" t="str">
        <f aca="false">IF(עזר!L1343="","",INDEX(עזר!$A$2:$A$5001,עזר!L1343))</f>
        <v/>
      </c>
      <c r="B1343" s="13" t="str">
        <f aca="false">IF(עזר!L1343="","",INDEX(עזר!$B$2:$B$5001,עזר!L1343))</f>
        <v/>
      </c>
      <c r="C1343" s="13" t="str">
        <f aca="false">עזר!M1343</f>
        <v/>
      </c>
    </row>
    <row r="1344" customFormat="false" ht="15" hidden="false" customHeight="false" outlineLevel="0" collapsed="false">
      <c r="A1344" s="13" t="str">
        <f aca="false">IF(עזר!L1344="","",INDEX(עזר!$A$2:$A$5001,עזר!L1344))</f>
        <v/>
      </c>
      <c r="B1344" s="13" t="str">
        <f aca="false">IF(עזר!L1344="","",INDEX(עזר!$B$2:$B$5001,עזר!L1344))</f>
        <v/>
      </c>
      <c r="C1344" s="13" t="str">
        <f aca="false">עזר!M1344</f>
        <v/>
      </c>
    </row>
    <row r="1345" customFormat="false" ht="15" hidden="false" customHeight="false" outlineLevel="0" collapsed="false">
      <c r="A1345" s="13" t="str">
        <f aca="false">IF(עזר!L1345="","",INDEX(עזר!$A$2:$A$5001,עזר!L1345))</f>
        <v/>
      </c>
      <c r="B1345" s="13" t="str">
        <f aca="false">IF(עזר!L1345="","",INDEX(עזר!$B$2:$B$5001,עזר!L1345))</f>
        <v/>
      </c>
      <c r="C1345" s="13" t="str">
        <f aca="false">עזר!M1345</f>
        <v/>
      </c>
    </row>
    <row r="1346" customFormat="false" ht="15" hidden="false" customHeight="false" outlineLevel="0" collapsed="false">
      <c r="A1346" s="13" t="str">
        <f aca="false">IF(עזר!L1346="","",INDEX(עזר!$A$2:$A$5001,עזר!L1346))</f>
        <v/>
      </c>
      <c r="B1346" s="13" t="str">
        <f aca="false">IF(עזר!L1346="","",INDEX(עזר!$B$2:$B$5001,עזר!L1346))</f>
        <v/>
      </c>
      <c r="C1346" s="13" t="str">
        <f aca="false">עזר!M1346</f>
        <v/>
      </c>
    </row>
    <row r="1347" customFormat="false" ht="15" hidden="false" customHeight="false" outlineLevel="0" collapsed="false">
      <c r="A1347" s="13" t="str">
        <f aca="false">IF(עזר!L1347="","",INDEX(עזר!$A$2:$A$5001,עזר!L1347))</f>
        <v/>
      </c>
      <c r="B1347" s="13" t="str">
        <f aca="false">IF(עזר!L1347="","",INDEX(עזר!$B$2:$B$5001,עזר!L1347))</f>
        <v/>
      </c>
      <c r="C1347" s="13" t="str">
        <f aca="false">עזר!M1347</f>
        <v/>
      </c>
    </row>
    <row r="1348" customFormat="false" ht="15" hidden="false" customHeight="false" outlineLevel="0" collapsed="false">
      <c r="A1348" s="13" t="str">
        <f aca="false">IF(עזר!L1348="","",INDEX(עזר!$A$2:$A$5001,עזר!L1348))</f>
        <v/>
      </c>
      <c r="B1348" s="13" t="str">
        <f aca="false">IF(עזר!L1348="","",INDEX(עזר!$B$2:$B$5001,עזר!L1348))</f>
        <v/>
      </c>
      <c r="C1348" s="13" t="str">
        <f aca="false">עזר!M1348</f>
        <v/>
      </c>
    </row>
    <row r="1349" customFormat="false" ht="15" hidden="false" customHeight="false" outlineLevel="0" collapsed="false">
      <c r="A1349" s="13" t="str">
        <f aca="false">IF(עזר!L1349="","",INDEX(עזר!$A$2:$A$5001,עזר!L1349))</f>
        <v/>
      </c>
      <c r="B1349" s="13" t="str">
        <f aca="false">IF(עזר!L1349="","",INDEX(עזר!$B$2:$B$5001,עזר!L1349))</f>
        <v/>
      </c>
      <c r="C1349" s="13" t="str">
        <f aca="false">עזר!M1349</f>
        <v/>
      </c>
    </row>
    <row r="1350" customFormat="false" ht="15" hidden="false" customHeight="false" outlineLevel="0" collapsed="false">
      <c r="A1350" s="13" t="str">
        <f aca="false">IF(עזר!L1350="","",INDEX(עזר!$A$2:$A$5001,עזר!L1350))</f>
        <v/>
      </c>
      <c r="B1350" s="13" t="str">
        <f aca="false">IF(עזר!L1350="","",INDEX(עזר!$B$2:$B$5001,עזר!L1350))</f>
        <v/>
      </c>
      <c r="C1350" s="13" t="str">
        <f aca="false">עזר!M1350</f>
        <v/>
      </c>
    </row>
    <row r="1351" customFormat="false" ht="15" hidden="false" customHeight="false" outlineLevel="0" collapsed="false">
      <c r="A1351" s="13" t="str">
        <f aca="false">IF(עזר!L1351="","",INDEX(עזר!$A$2:$A$5001,עזר!L1351))</f>
        <v/>
      </c>
      <c r="B1351" s="13" t="str">
        <f aca="false">IF(עזר!L1351="","",INDEX(עזר!$B$2:$B$5001,עזר!L1351))</f>
        <v/>
      </c>
      <c r="C1351" s="13" t="str">
        <f aca="false">עזר!M1351</f>
        <v/>
      </c>
    </row>
    <row r="1352" customFormat="false" ht="15" hidden="false" customHeight="false" outlineLevel="0" collapsed="false">
      <c r="A1352" s="13" t="str">
        <f aca="false">IF(עזר!L1352="","",INDEX(עזר!$A$2:$A$5001,עזר!L1352))</f>
        <v/>
      </c>
      <c r="B1352" s="13" t="str">
        <f aca="false">IF(עזר!L1352="","",INDEX(עזר!$B$2:$B$5001,עזר!L1352))</f>
        <v/>
      </c>
      <c r="C1352" s="13" t="str">
        <f aca="false">עזר!M1352</f>
        <v/>
      </c>
    </row>
    <row r="1353" customFormat="false" ht="15" hidden="false" customHeight="false" outlineLevel="0" collapsed="false">
      <c r="A1353" s="13" t="str">
        <f aca="false">IF(עזר!L1353="","",INDEX(עזר!$A$2:$A$5001,עזר!L1353))</f>
        <v/>
      </c>
      <c r="B1353" s="13" t="str">
        <f aca="false">IF(עזר!L1353="","",INDEX(עזר!$B$2:$B$5001,עזר!L1353))</f>
        <v/>
      </c>
      <c r="C1353" s="13" t="str">
        <f aca="false">עזר!M1353</f>
        <v/>
      </c>
    </row>
    <row r="1354" customFormat="false" ht="15" hidden="false" customHeight="false" outlineLevel="0" collapsed="false">
      <c r="A1354" s="13" t="str">
        <f aca="false">IF(עזר!L1354="","",INDEX(עזר!$A$2:$A$5001,עזר!L1354))</f>
        <v/>
      </c>
      <c r="B1354" s="13" t="str">
        <f aca="false">IF(עזר!L1354="","",INDEX(עזר!$B$2:$B$5001,עזר!L1354))</f>
        <v/>
      </c>
      <c r="C1354" s="13" t="str">
        <f aca="false">עזר!M1354</f>
        <v/>
      </c>
    </row>
    <row r="1355" customFormat="false" ht="15" hidden="false" customHeight="false" outlineLevel="0" collapsed="false">
      <c r="A1355" s="13" t="str">
        <f aca="false">IF(עזר!L1355="","",INDEX(עזר!$A$2:$A$5001,עזר!L1355))</f>
        <v/>
      </c>
      <c r="B1355" s="13" t="str">
        <f aca="false">IF(עזר!L1355="","",INDEX(עזר!$B$2:$B$5001,עזר!L1355))</f>
        <v/>
      </c>
      <c r="C1355" s="13" t="str">
        <f aca="false">עזר!M1355</f>
        <v/>
      </c>
    </row>
    <row r="1356" customFormat="false" ht="15" hidden="false" customHeight="false" outlineLevel="0" collapsed="false">
      <c r="A1356" s="13" t="str">
        <f aca="false">IF(עזר!L1356="","",INDEX(עזר!$A$2:$A$5001,עזר!L1356))</f>
        <v/>
      </c>
      <c r="B1356" s="13" t="str">
        <f aca="false">IF(עזר!L1356="","",INDEX(עזר!$B$2:$B$5001,עזר!L1356))</f>
        <v/>
      </c>
      <c r="C1356" s="13" t="str">
        <f aca="false">עזר!M1356</f>
        <v/>
      </c>
    </row>
    <row r="1357" customFormat="false" ht="15" hidden="false" customHeight="false" outlineLevel="0" collapsed="false">
      <c r="A1357" s="13" t="str">
        <f aca="false">IF(עזר!L1357="","",INDEX(עזר!$A$2:$A$5001,עזר!L1357))</f>
        <v/>
      </c>
      <c r="B1357" s="13" t="str">
        <f aca="false">IF(עזר!L1357="","",INDEX(עזר!$B$2:$B$5001,עזר!L1357))</f>
        <v/>
      </c>
      <c r="C1357" s="13" t="str">
        <f aca="false">עזר!M1357</f>
        <v/>
      </c>
    </row>
    <row r="1358" customFormat="false" ht="15" hidden="false" customHeight="false" outlineLevel="0" collapsed="false">
      <c r="A1358" s="13" t="str">
        <f aca="false">IF(עזר!L1358="","",INDEX(עזר!$A$2:$A$5001,עזר!L1358))</f>
        <v/>
      </c>
      <c r="B1358" s="13" t="str">
        <f aca="false">IF(עזר!L1358="","",INDEX(עזר!$B$2:$B$5001,עזר!L1358))</f>
        <v/>
      </c>
      <c r="C1358" s="13" t="str">
        <f aca="false">עזר!M1358</f>
        <v/>
      </c>
    </row>
    <row r="1359" customFormat="false" ht="15" hidden="false" customHeight="false" outlineLevel="0" collapsed="false">
      <c r="A1359" s="13" t="str">
        <f aca="false">IF(עזר!L1359="","",INDEX(עזר!$A$2:$A$5001,עזר!L1359))</f>
        <v/>
      </c>
      <c r="B1359" s="13" t="str">
        <f aca="false">IF(עזר!L1359="","",INDEX(עזר!$B$2:$B$5001,עזר!L1359))</f>
        <v/>
      </c>
      <c r="C1359" s="13" t="str">
        <f aca="false">עזר!M1359</f>
        <v/>
      </c>
    </row>
    <row r="1360" customFormat="false" ht="15" hidden="false" customHeight="false" outlineLevel="0" collapsed="false">
      <c r="A1360" s="13" t="str">
        <f aca="false">IF(עזר!L1360="","",INDEX(עזר!$A$2:$A$5001,עזר!L1360))</f>
        <v/>
      </c>
      <c r="B1360" s="13" t="str">
        <f aca="false">IF(עזר!L1360="","",INDEX(עזר!$B$2:$B$5001,עזר!L1360))</f>
        <v/>
      </c>
      <c r="C1360" s="13" t="str">
        <f aca="false">עזר!M1360</f>
        <v/>
      </c>
    </row>
    <row r="1361" customFormat="false" ht="15" hidden="false" customHeight="false" outlineLevel="0" collapsed="false">
      <c r="A1361" s="13" t="str">
        <f aca="false">IF(עזר!L1361="","",INDEX(עזר!$A$2:$A$5001,עזר!L1361))</f>
        <v/>
      </c>
      <c r="B1361" s="13" t="str">
        <f aca="false">IF(עזר!L1361="","",INDEX(עזר!$B$2:$B$5001,עזר!L1361))</f>
        <v/>
      </c>
      <c r="C1361" s="13" t="str">
        <f aca="false">עזר!M1361</f>
        <v/>
      </c>
    </row>
    <row r="1362" customFormat="false" ht="15" hidden="false" customHeight="false" outlineLevel="0" collapsed="false">
      <c r="A1362" s="13" t="str">
        <f aca="false">IF(עזר!L1362="","",INDEX(עזר!$A$2:$A$5001,עזר!L1362))</f>
        <v/>
      </c>
      <c r="B1362" s="13" t="str">
        <f aca="false">IF(עזר!L1362="","",INDEX(עזר!$B$2:$B$5001,עזר!L1362))</f>
        <v/>
      </c>
      <c r="C1362" s="13" t="str">
        <f aca="false">עזר!M1362</f>
        <v/>
      </c>
    </row>
    <row r="1363" customFormat="false" ht="15" hidden="false" customHeight="false" outlineLevel="0" collapsed="false">
      <c r="A1363" s="13" t="str">
        <f aca="false">IF(עזר!L1363="","",INDEX(עזר!$A$2:$A$5001,עזר!L1363))</f>
        <v/>
      </c>
      <c r="B1363" s="13" t="str">
        <f aca="false">IF(עזר!L1363="","",INDEX(עזר!$B$2:$B$5001,עזר!L1363))</f>
        <v/>
      </c>
      <c r="C1363" s="13" t="str">
        <f aca="false">עזר!M1363</f>
        <v/>
      </c>
    </row>
    <row r="1364" customFormat="false" ht="15" hidden="false" customHeight="false" outlineLevel="0" collapsed="false">
      <c r="A1364" s="13" t="str">
        <f aca="false">IF(עזר!L1364="","",INDEX(עזר!$A$2:$A$5001,עזר!L1364))</f>
        <v/>
      </c>
      <c r="B1364" s="13" t="str">
        <f aca="false">IF(עזר!L1364="","",INDEX(עזר!$B$2:$B$5001,עזר!L1364))</f>
        <v/>
      </c>
      <c r="C1364" s="13" t="str">
        <f aca="false">עזר!M1364</f>
        <v/>
      </c>
    </row>
    <row r="1365" customFormat="false" ht="15" hidden="false" customHeight="false" outlineLevel="0" collapsed="false">
      <c r="A1365" s="13" t="str">
        <f aca="false">IF(עזר!L1365="","",INDEX(עזר!$A$2:$A$5001,עזר!L1365))</f>
        <v/>
      </c>
      <c r="B1365" s="13" t="str">
        <f aca="false">IF(עזר!L1365="","",INDEX(עזר!$B$2:$B$5001,עזר!L1365))</f>
        <v/>
      </c>
      <c r="C1365" s="13" t="str">
        <f aca="false">עזר!M1365</f>
        <v/>
      </c>
    </row>
    <row r="1366" customFormat="false" ht="15" hidden="false" customHeight="false" outlineLevel="0" collapsed="false">
      <c r="A1366" s="13" t="str">
        <f aca="false">IF(עזר!L1366="","",INDEX(עזר!$A$2:$A$5001,עזר!L1366))</f>
        <v/>
      </c>
      <c r="B1366" s="13" t="str">
        <f aca="false">IF(עזר!L1366="","",INDEX(עזר!$B$2:$B$5001,עזר!L1366))</f>
        <v/>
      </c>
      <c r="C1366" s="13" t="str">
        <f aca="false">עזר!M1366</f>
        <v/>
      </c>
    </row>
    <row r="1367" customFormat="false" ht="15" hidden="false" customHeight="false" outlineLevel="0" collapsed="false">
      <c r="A1367" s="13" t="str">
        <f aca="false">IF(עזר!L1367="","",INDEX(עזר!$A$2:$A$5001,עזר!L1367))</f>
        <v/>
      </c>
      <c r="B1367" s="13" t="str">
        <f aca="false">IF(עזר!L1367="","",INDEX(עזר!$B$2:$B$5001,עזר!L1367))</f>
        <v/>
      </c>
      <c r="C1367" s="13" t="str">
        <f aca="false">עזר!M1367</f>
        <v/>
      </c>
    </row>
    <row r="1368" customFormat="false" ht="15" hidden="false" customHeight="false" outlineLevel="0" collapsed="false">
      <c r="A1368" s="13" t="str">
        <f aca="false">IF(עזר!L1368="","",INDEX(עזר!$A$2:$A$5001,עזר!L1368))</f>
        <v/>
      </c>
      <c r="B1368" s="13" t="str">
        <f aca="false">IF(עזר!L1368="","",INDEX(עזר!$B$2:$B$5001,עזר!L1368))</f>
        <v/>
      </c>
      <c r="C1368" s="13" t="str">
        <f aca="false">עזר!M1368</f>
        <v/>
      </c>
    </row>
    <row r="1369" customFormat="false" ht="15" hidden="false" customHeight="false" outlineLevel="0" collapsed="false">
      <c r="A1369" s="13" t="str">
        <f aca="false">IF(עזר!L1369="","",INDEX(עזר!$A$2:$A$5001,עזר!L1369))</f>
        <v/>
      </c>
      <c r="B1369" s="13" t="str">
        <f aca="false">IF(עזר!L1369="","",INDEX(עזר!$B$2:$B$5001,עזר!L1369))</f>
        <v/>
      </c>
      <c r="C1369" s="13" t="str">
        <f aca="false">עזר!M1369</f>
        <v/>
      </c>
    </row>
    <row r="1370" customFormat="false" ht="15" hidden="false" customHeight="false" outlineLevel="0" collapsed="false">
      <c r="A1370" s="13" t="str">
        <f aca="false">IF(עזר!L1370="","",INDEX(עזר!$A$2:$A$5001,עזר!L1370))</f>
        <v/>
      </c>
      <c r="B1370" s="13" t="str">
        <f aca="false">IF(עזר!L1370="","",INDEX(עזר!$B$2:$B$5001,עזר!L1370))</f>
        <v/>
      </c>
      <c r="C1370" s="13" t="str">
        <f aca="false">עזר!M1370</f>
        <v/>
      </c>
    </row>
    <row r="1371" customFormat="false" ht="15" hidden="false" customHeight="false" outlineLevel="0" collapsed="false">
      <c r="A1371" s="13" t="str">
        <f aca="false">IF(עזר!L1371="","",INDEX(עזר!$A$2:$A$5001,עזר!L1371))</f>
        <v/>
      </c>
      <c r="B1371" s="13" t="str">
        <f aca="false">IF(עזר!L1371="","",INDEX(עזר!$B$2:$B$5001,עזר!L1371))</f>
        <v/>
      </c>
      <c r="C1371" s="13" t="str">
        <f aca="false">עזר!M1371</f>
        <v/>
      </c>
    </row>
    <row r="1372" customFormat="false" ht="15" hidden="false" customHeight="false" outlineLevel="0" collapsed="false">
      <c r="A1372" s="13" t="str">
        <f aca="false">IF(עזר!L1372="","",INDEX(עזר!$A$2:$A$5001,עזר!L1372))</f>
        <v/>
      </c>
      <c r="B1372" s="13" t="str">
        <f aca="false">IF(עזר!L1372="","",INDEX(עזר!$B$2:$B$5001,עזר!L1372))</f>
        <v/>
      </c>
      <c r="C1372" s="13" t="str">
        <f aca="false">עזר!M1372</f>
        <v/>
      </c>
    </row>
    <row r="1373" customFormat="false" ht="15" hidden="false" customHeight="false" outlineLevel="0" collapsed="false">
      <c r="A1373" s="13" t="str">
        <f aca="false">IF(עזר!L1373="","",INDEX(עזר!$A$2:$A$5001,עזר!L1373))</f>
        <v/>
      </c>
      <c r="B1373" s="13" t="str">
        <f aca="false">IF(עזר!L1373="","",INDEX(עזר!$B$2:$B$5001,עזר!L1373))</f>
        <v/>
      </c>
      <c r="C1373" s="13" t="str">
        <f aca="false">עזר!M1373</f>
        <v/>
      </c>
    </row>
    <row r="1374" customFormat="false" ht="15" hidden="false" customHeight="false" outlineLevel="0" collapsed="false">
      <c r="A1374" s="13" t="str">
        <f aca="false">IF(עזר!L1374="","",INDEX(עזר!$A$2:$A$5001,עזר!L1374))</f>
        <v/>
      </c>
      <c r="B1374" s="13" t="str">
        <f aca="false">IF(עזר!L1374="","",INDEX(עזר!$B$2:$B$5001,עזר!L1374))</f>
        <v/>
      </c>
      <c r="C1374" s="13" t="str">
        <f aca="false">עזר!M1374</f>
        <v/>
      </c>
    </row>
    <row r="1375" customFormat="false" ht="15" hidden="false" customHeight="false" outlineLevel="0" collapsed="false">
      <c r="A1375" s="13" t="str">
        <f aca="false">IF(עזר!L1375="","",INDEX(עזר!$A$2:$A$5001,עזר!L1375))</f>
        <v/>
      </c>
      <c r="B1375" s="13" t="str">
        <f aca="false">IF(עזר!L1375="","",INDEX(עזר!$B$2:$B$5001,עזר!L1375))</f>
        <v/>
      </c>
      <c r="C1375" s="13" t="str">
        <f aca="false">עזר!M1375</f>
        <v/>
      </c>
    </row>
    <row r="1376" customFormat="false" ht="15" hidden="false" customHeight="false" outlineLevel="0" collapsed="false">
      <c r="A1376" s="13" t="str">
        <f aca="false">IF(עזר!L1376="","",INDEX(עזר!$A$2:$A$5001,עזר!L1376))</f>
        <v/>
      </c>
      <c r="B1376" s="13" t="str">
        <f aca="false">IF(עזר!L1376="","",INDEX(עזר!$B$2:$B$5001,עזר!L1376))</f>
        <v/>
      </c>
      <c r="C1376" s="13" t="str">
        <f aca="false">עזר!M1376</f>
        <v/>
      </c>
    </row>
    <row r="1377" customFormat="false" ht="15" hidden="false" customHeight="false" outlineLevel="0" collapsed="false">
      <c r="A1377" s="13" t="str">
        <f aca="false">IF(עזר!L1377="","",INDEX(עזר!$A$2:$A$5001,עזר!L1377))</f>
        <v/>
      </c>
      <c r="B1377" s="13" t="str">
        <f aca="false">IF(עזר!L1377="","",INDEX(עזר!$B$2:$B$5001,עזר!L1377))</f>
        <v/>
      </c>
      <c r="C1377" s="13" t="str">
        <f aca="false">עזר!M1377</f>
        <v/>
      </c>
    </row>
    <row r="1378" customFormat="false" ht="15" hidden="false" customHeight="false" outlineLevel="0" collapsed="false">
      <c r="A1378" s="13" t="str">
        <f aca="false">IF(עזר!L1378="","",INDEX(עזר!$A$2:$A$5001,עזר!L1378))</f>
        <v/>
      </c>
      <c r="B1378" s="13" t="str">
        <f aca="false">IF(עזר!L1378="","",INDEX(עזר!$B$2:$B$5001,עזר!L1378))</f>
        <v/>
      </c>
      <c r="C1378" s="13" t="str">
        <f aca="false">עזר!M1378</f>
        <v/>
      </c>
    </row>
    <row r="1379" customFormat="false" ht="15" hidden="false" customHeight="false" outlineLevel="0" collapsed="false">
      <c r="A1379" s="13" t="str">
        <f aca="false">IF(עזר!L1379="","",INDEX(עזר!$A$2:$A$5001,עזר!L1379))</f>
        <v/>
      </c>
      <c r="B1379" s="13" t="str">
        <f aca="false">IF(עזר!L1379="","",INDEX(עזר!$B$2:$B$5001,עזר!L1379))</f>
        <v/>
      </c>
      <c r="C1379" s="13" t="str">
        <f aca="false">עזר!M1379</f>
        <v/>
      </c>
    </row>
    <row r="1380" customFormat="false" ht="15" hidden="false" customHeight="false" outlineLevel="0" collapsed="false">
      <c r="A1380" s="13" t="str">
        <f aca="false">IF(עזר!L1380="","",INDEX(עזר!$A$2:$A$5001,עזר!L1380))</f>
        <v/>
      </c>
      <c r="B1380" s="13" t="str">
        <f aca="false">IF(עזר!L1380="","",INDEX(עזר!$B$2:$B$5001,עזר!L1380))</f>
        <v/>
      </c>
      <c r="C1380" s="13" t="str">
        <f aca="false">עזר!M1380</f>
        <v/>
      </c>
    </row>
    <row r="1381" customFormat="false" ht="15" hidden="false" customHeight="false" outlineLevel="0" collapsed="false">
      <c r="A1381" s="13" t="str">
        <f aca="false">IF(עזר!L1381="","",INDEX(עזר!$A$2:$A$5001,עזר!L1381))</f>
        <v/>
      </c>
      <c r="B1381" s="13" t="str">
        <f aca="false">IF(עזר!L1381="","",INDEX(עזר!$B$2:$B$5001,עזר!L1381))</f>
        <v/>
      </c>
      <c r="C1381" s="13" t="str">
        <f aca="false">עזר!M1381</f>
        <v/>
      </c>
    </row>
    <row r="1382" customFormat="false" ht="15" hidden="false" customHeight="false" outlineLevel="0" collapsed="false">
      <c r="A1382" s="13" t="str">
        <f aca="false">IF(עזר!L1382="","",INDEX(עזר!$A$2:$A$5001,עזר!L1382))</f>
        <v/>
      </c>
      <c r="B1382" s="13" t="str">
        <f aca="false">IF(עזר!L1382="","",INDEX(עזר!$B$2:$B$5001,עזר!L1382))</f>
        <v/>
      </c>
      <c r="C1382" s="13" t="str">
        <f aca="false">עזר!M1382</f>
        <v/>
      </c>
    </row>
    <row r="1383" customFormat="false" ht="15" hidden="false" customHeight="false" outlineLevel="0" collapsed="false">
      <c r="A1383" s="13" t="str">
        <f aca="false">IF(עזר!L1383="","",INDEX(עזר!$A$2:$A$5001,עזר!L1383))</f>
        <v/>
      </c>
      <c r="B1383" s="13" t="str">
        <f aca="false">IF(עזר!L1383="","",INDEX(עזר!$B$2:$B$5001,עזר!L1383))</f>
        <v/>
      </c>
      <c r="C1383" s="13" t="str">
        <f aca="false">עזר!M1383</f>
        <v/>
      </c>
    </row>
    <row r="1384" customFormat="false" ht="15" hidden="false" customHeight="false" outlineLevel="0" collapsed="false">
      <c r="A1384" s="13" t="str">
        <f aca="false">IF(עזר!L1384="","",INDEX(עזר!$A$2:$A$5001,עזר!L1384))</f>
        <v/>
      </c>
      <c r="B1384" s="13" t="str">
        <f aca="false">IF(עזר!L1384="","",INDEX(עזר!$B$2:$B$5001,עזר!L1384))</f>
        <v/>
      </c>
      <c r="C1384" s="13" t="str">
        <f aca="false">עזר!M1384</f>
        <v/>
      </c>
    </row>
    <row r="1385" customFormat="false" ht="15" hidden="false" customHeight="false" outlineLevel="0" collapsed="false">
      <c r="A1385" s="13" t="str">
        <f aca="false">IF(עזר!L1385="","",INDEX(עזר!$A$2:$A$5001,עזר!L1385))</f>
        <v/>
      </c>
      <c r="B1385" s="13" t="str">
        <f aca="false">IF(עזר!L1385="","",INDEX(עזר!$B$2:$B$5001,עזר!L1385))</f>
        <v/>
      </c>
      <c r="C1385" s="13" t="str">
        <f aca="false">עזר!M1385</f>
        <v/>
      </c>
    </row>
    <row r="1386" customFormat="false" ht="15" hidden="false" customHeight="false" outlineLevel="0" collapsed="false">
      <c r="A1386" s="13" t="str">
        <f aca="false">IF(עזר!L1386="","",INDEX(עזר!$A$2:$A$5001,עזר!L1386))</f>
        <v/>
      </c>
      <c r="B1386" s="13" t="str">
        <f aca="false">IF(עזר!L1386="","",INDEX(עזר!$B$2:$B$5001,עזר!L1386))</f>
        <v/>
      </c>
      <c r="C1386" s="13" t="str">
        <f aca="false">עזר!M1386</f>
        <v/>
      </c>
    </row>
    <row r="1387" customFormat="false" ht="15" hidden="false" customHeight="false" outlineLevel="0" collapsed="false">
      <c r="A1387" s="13" t="str">
        <f aca="false">IF(עזר!L1387="","",INDEX(עזר!$A$2:$A$5001,עזר!L1387))</f>
        <v/>
      </c>
      <c r="B1387" s="13" t="str">
        <f aca="false">IF(עזר!L1387="","",INDEX(עזר!$B$2:$B$5001,עזר!L1387))</f>
        <v/>
      </c>
      <c r="C1387" s="13" t="str">
        <f aca="false">עזר!M1387</f>
        <v/>
      </c>
    </row>
    <row r="1388" customFormat="false" ht="15" hidden="false" customHeight="false" outlineLevel="0" collapsed="false">
      <c r="A1388" s="13" t="str">
        <f aca="false">IF(עזר!L1388="","",INDEX(עזר!$A$2:$A$5001,עזר!L1388))</f>
        <v/>
      </c>
      <c r="B1388" s="13" t="str">
        <f aca="false">IF(עזר!L1388="","",INDEX(עזר!$B$2:$B$5001,עזר!L1388))</f>
        <v/>
      </c>
      <c r="C1388" s="13" t="str">
        <f aca="false">עזר!M1388</f>
        <v/>
      </c>
    </row>
    <row r="1389" customFormat="false" ht="15" hidden="false" customHeight="false" outlineLevel="0" collapsed="false">
      <c r="A1389" s="13" t="str">
        <f aca="false">IF(עזר!L1389="","",INDEX(עזר!$A$2:$A$5001,עזר!L1389))</f>
        <v/>
      </c>
      <c r="B1389" s="13" t="str">
        <f aca="false">IF(עזר!L1389="","",INDEX(עזר!$B$2:$B$5001,עזר!L1389))</f>
        <v/>
      </c>
      <c r="C1389" s="13" t="str">
        <f aca="false">עזר!M1389</f>
        <v/>
      </c>
    </row>
    <row r="1390" customFormat="false" ht="15" hidden="false" customHeight="false" outlineLevel="0" collapsed="false">
      <c r="A1390" s="13" t="str">
        <f aca="false">IF(עזר!L1390="","",INDEX(עזר!$A$2:$A$5001,עזר!L1390))</f>
        <v/>
      </c>
      <c r="B1390" s="13" t="str">
        <f aca="false">IF(עזר!L1390="","",INDEX(עזר!$B$2:$B$5001,עזר!L1390))</f>
        <v/>
      </c>
      <c r="C1390" s="13" t="str">
        <f aca="false">עזר!M1390</f>
        <v/>
      </c>
    </row>
    <row r="1391" customFormat="false" ht="15" hidden="false" customHeight="false" outlineLevel="0" collapsed="false">
      <c r="A1391" s="13" t="str">
        <f aca="false">IF(עזר!L1391="","",INDEX(עזר!$A$2:$A$5001,עזר!L1391))</f>
        <v/>
      </c>
      <c r="B1391" s="13" t="str">
        <f aca="false">IF(עזר!L1391="","",INDEX(עזר!$B$2:$B$5001,עזר!L1391))</f>
        <v/>
      </c>
      <c r="C1391" s="13" t="str">
        <f aca="false">עזר!M1391</f>
        <v/>
      </c>
    </row>
    <row r="1392" customFormat="false" ht="15" hidden="false" customHeight="false" outlineLevel="0" collapsed="false">
      <c r="A1392" s="13" t="str">
        <f aca="false">IF(עזר!L1392="","",INDEX(עזר!$A$2:$A$5001,עזר!L1392))</f>
        <v/>
      </c>
      <c r="B1392" s="13" t="str">
        <f aca="false">IF(עזר!L1392="","",INDEX(עזר!$B$2:$B$5001,עזר!L1392))</f>
        <v/>
      </c>
      <c r="C1392" s="13" t="str">
        <f aca="false">עזר!M1392</f>
        <v/>
      </c>
    </row>
    <row r="1393" customFormat="false" ht="15" hidden="false" customHeight="false" outlineLevel="0" collapsed="false">
      <c r="A1393" s="13" t="str">
        <f aca="false">IF(עזר!L1393="","",INDEX(עזר!$A$2:$A$5001,עזר!L1393))</f>
        <v/>
      </c>
      <c r="B1393" s="13" t="str">
        <f aca="false">IF(עזר!L1393="","",INDEX(עזר!$B$2:$B$5001,עזר!L1393))</f>
        <v/>
      </c>
      <c r="C1393" s="13" t="str">
        <f aca="false">עזר!M1393</f>
        <v/>
      </c>
    </row>
    <row r="1394" customFormat="false" ht="15" hidden="false" customHeight="false" outlineLevel="0" collapsed="false">
      <c r="A1394" s="13" t="str">
        <f aca="false">IF(עזר!L1394="","",INDEX(עזר!$A$2:$A$5001,עזר!L1394))</f>
        <v/>
      </c>
      <c r="B1394" s="13" t="str">
        <f aca="false">IF(עזר!L1394="","",INDEX(עזר!$B$2:$B$5001,עזר!L1394))</f>
        <v/>
      </c>
      <c r="C1394" s="13" t="str">
        <f aca="false">עזר!M1394</f>
        <v/>
      </c>
    </row>
    <row r="1395" customFormat="false" ht="15" hidden="false" customHeight="false" outlineLevel="0" collapsed="false">
      <c r="A1395" s="13" t="str">
        <f aca="false">IF(עזר!L1395="","",INDEX(עזר!$A$2:$A$5001,עזר!L1395))</f>
        <v/>
      </c>
      <c r="B1395" s="13" t="str">
        <f aca="false">IF(עזר!L1395="","",INDEX(עזר!$B$2:$B$5001,עזר!L1395))</f>
        <v/>
      </c>
      <c r="C1395" s="13" t="str">
        <f aca="false">עזר!M1395</f>
        <v/>
      </c>
    </row>
    <row r="1396" customFormat="false" ht="15" hidden="false" customHeight="false" outlineLevel="0" collapsed="false">
      <c r="A1396" s="13" t="str">
        <f aca="false">IF(עזר!L1396="","",INDEX(עזר!$A$2:$A$5001,עזר!L1396))</f>
        <v/>
      </c>
      <c r="B1396" s="13" t="str">
        <f aca="false">IF(עזר!L1396="","",INDEX(עזר!$B$2:$B$5001,עזר!L1396))</f>
        <v/>
      </c>
      <c r="C1396" s="13" t="str">
        <f aca="false">עזר!M1396</f>
        <v/>
      </c>
    </row>
    <row r="1397" customFormat="false" ht="15" hidden="false" customHeight="false" outlineLevel="0" collapsed="false">
      <c r="A1397" s="13" t="str">
        <f aca="false">IF(עזר!L1397="","",INDEX(עזר!$A$2:$A$5001,עזר!L1397))</f>
        <v/>
      </c>
      <c r="B1397" s="13" t="str">
        <f aca="false">IF(עזר!L1397="","",INDEX(עזר!$B$2:$B$5001,עזר!L1397))</f>
        <v/>
      </c>
      <c r="C1397" s="13" t="str">
        <f aca="false">עזר!M1397</f>
        <v/>
      </c>
    </row>
    <row r="1398" customFormat="false" ht="15" hidden="false" customHeight="false" outlineLevel="0" collapsed="false">
      <c r="A1398" s="13" t="str">
        <f aca="false">IF(עזר!L1398="","",INDEX(עזר!$A$2:$A$5001,עזר!L1398))</f>
        <v/>
      </c>
      <c r="B1398" s="13" t="str">
        <f aca="false">IF(עזר!L1398="","",INDEX(עזר!$B$2:$B$5001,עזר!L1398))</f>
        <v/>
      </c>
      <c r="C1398" s="13" t="str">
        <f aca="false">עזר!M1398</f>
        <v/>
      </c>
    </row>
    <row r="1399" customFormat="false" ht="15" hidden="false" customHeight="false" outlineLevel="0" collapsed="false">
      <c r="A1399" s="13" t="str">
        <f aca="false">IF(עזר!L1399="","",INDEX(עזר!$A$2:$A$5001,עזר!L1399))</f>
        <v/>
      </c>
      <c r="B1399" s="13" t="str">
        <f aca="false">IF(עזר!L1399="","",INDEX(עזר!$B$2:$B$5001,עזר!L1399))</f>
        <v/>
      </c>
      <c r="C1399" s="13" t="str">
        <f aca="false">עזר!M1399</f>
        <v/>
      </c>
    </row>
    <row r="1400" customFormat="false" ht="15" hidden="false" customHeight="false" outlineLevel="0" collapsed="false">
      <c r="A1400" s="13" t="str">
        <f aca="false">IF(עזר!L1400="","",INDEX(עזר!$A$2:$A$5001,עזר!L1400))</f>
        <v/>
      </c>
      <c r="B1400" s="13" t="str">
        <f aca="false">IF(עזר!L1400="","",INDEX(עזר!$B$2:$B$5001,עזר!L1400))</f>
        <v/>
      </c>
      <c r="C1400" s="13" t="str">
        <f aca="false">עזר!M1400</f>
        <v/>
      </c>
    </row>
    <row r="1401" customFormat="false" ht="15" hidden="false" customHeight="false" outlineLevel="0" collapsed="false">
      <c r="A1401" s="13" t="str">
        <f aca="false">IF(עזר!L1401="","",INDEX(עזר!$A$2:$A$5001,עזר!L1401))</f>
        <v/>
      </c>
      <c r="B1401" s="13" t="str">
        <f aca="false">IF(עזר!L1401="","",INDEX(עזר!$B$2:$B$5001,עזר!L1401))</f>
        <v/>
      </c>
      <c r="C1401" s="13" t="str">
        <f aca="false">עזר!M1401</f>
        <v/>
      </c>
    </row>
    <row r="1402" customFormat="false" ht="15" hidden="false" customHeight="false" outlineLevel="0" collapsed="false">
      <c r="A1402" s="13" t="str">
        <f aca="false">IF(עזר!L1402="","",INDEX(עזר!$A$2:$A$5001,עזר!L1402))</f>
        <v/>
      </c>
      <c r="B1402" s="13" t="str">
        <f aca="false">IF(עזר!L1402="","",INDEX(עזר!$B$2:$B$5001,עזר!L1402))</f>
        <v/>
      </c>
      <c r="C1402" s="13" t="str">
        <f aca="false">עזר!M1402</f>
        <v/>
      </c>
    </row>
    <row r="1403" customFormat="false" ht="15" hidden="false" customHeight="false" outlineLevel="0" collapsed="false">
      <c r="A1403" s="13" t="str">
        <f aca="false">IF(עזר!L1403="","",INDEX(עזר!$A$2:$A$5001,עזר!L1403))</f>
        <v/>
      </c>
      <c r="B1403" s="13" t="str">
        <f aca="false">IF(עזר!L1403="","",INDEX(עזר!$B$2:$B$5001,עזר!L1403))</f>
        <v/>
      </c>
      <c r="C1403" s="13" t="str">
        <f aca="false">עזר!M1403</f>
        <v/>
      </c>
    </row>
    <row r="1404" customFormat="false" ht="15" hidden="false" customHeight="false" outlineLevel="0" collapsed="false">
      <c r="A1404" s="13" t="str">
        <f aca="false">IF(עזר!L1404="","",INDEX(עזר!$A$2:$A$5001,עזר!L1404))</f>
        <v/>
      </c>
      <c r="B1404" s="13" t="str">
        <f aca="false">IF(עזר!L1404="","",INDEX(עזר!$B$2:$B$5001,עזר!L1404))</f>
        <v/>
      </c>
      <c r="C1404" s="13" t="str">
        <f aca="false">עזר!M1404</f>
        <v/>
      </c>
    </row>
    <row r="1405" customFormat="false" ht="15" hidden="false" customHeight="false" outlineLevel="0" collapsed="false">
      <c r="A1405" s="13" t="str">
        <f aca="false">IF(עזר!L1405="","",INDEX(עזר!$A$2:$A$5001,עזר!L1405))</f>
        <v/>
      </c>
      <c r="B1405" s="13" t="str">
        <f aca="false">IF(עזר!L1405="","",INDEX(עזר!$B$2:$B$5001,עזר!L1405))</f>
        <v/>
      </c>
      <c r="C1405" s="13" t="str">
        <f aca="false">עזר!M1405</f>
        <v/>
      </c>
    </row>
    <row r="1406" customFormat="false" ht="15" hidden="false" customHeight="false" outlineLevel="0" collapsed="false">
      <c r="A1406" s="13" t="str">
        <f aca="false">IF(עזר!L1406="","",INDEX(עזר!$A$2:$A$5001,עזר!L1406))</f>
        <v/>
      </c>
      <c r="B1406" s="13" t="str">
        <f aca="false">IF(עזר!L1406="","",INDEX(עזר!$B$2:$B$5001,עזר!L1406))</f>
        <v/>
      </c>
      <c r="C1406" s="13" t="str">
        <f aca="false">עזר!M1406</f>
        <v/>
      </c>
    </row>
    <row r="1407" customFormat="false" ht="15" hidden="false" customHeight="false" outlineLevel="0" collapsed="false">
      <c r="A1407" s="13" t="str">
        <f aca="false">IF(עזר!L1407="","",INDEX(עזר!$A$2:$A$5001,עזר!L1407))</f>
        <v/>
      </c>
      <c r="B1407" s="13" t="str">
        <f aca="false">IF(עזר!L1407="","",INDEX(עזר!$B$2:$B$5001,עזר!L1407))</f>
        <v/>
      </c>
      <c r="C1407" s="13" t="str">
        <f aca="false">עזר!M1407</f>
        <v/>
      </c>
    </row>
    <row r="1408" customFormat="false" ht="15" hidden="false" customHeight="false" outlineLevel="0" collapsed="false">
      <c r="A1408" s="13" t="str">
        <f aca="false">IF(עזר!L1408="","",INDEX(עזר!$A$2:$A$5001,עזר!L1408))</f>
        <v/>
      </c>
      <c r="B1408" s="13" t="str">
        <f aca="false">IF(עזר!L1408="","",INDEX(עזר!$B$2:$B$5001,עזר!L1408))</f>
        <v/>
      </c>
      <c r="C1408" s="13" t="str">
        <f aca="false">עזר!M1408</f>
        <v/>
      </c>
    </row>
    <row r="1409" customFormat="false" ht="15" hidden="false" customHeight="false" outlineLevel="0" collapsed="false">
      <c r="A1409" s="13" t="str">
        <f aca="false">IF(עזר!L1409="","",INDEX(עזר!$A$2:$A$5001,עזר!L1409))</f>
        <v/>
      </c>
      <c r="B1409" s="13" t="str">
        <f aca="false">IF(עזר!L1409="","",INDEX(עזר!$B$2:$B$5001,עזר!L1409))</f>
        <v/>
      </c>
      <c r="C1409" s="13" t="str">
        <f aca="false">עזר!M1409</f>
        <v/>
      </c>
    </row>
    <row r="1410" customFormat="false" ht="15" hidden="false" customHeight="false" outlineLevel="0" collapsed="false">
      <c r="A1410" s="13" t="str">
        <f aca="false">IF(עזר!L1410="","",INDEX(עזר!$A$2:$A$5001,עזר!L1410))</f>
        <v/>
      </c>
      <c r="B1410" s="13" t="str">
        <f aca="false">IF(עזר!L1410="","",INDEX(עזר!$B$2:$B$5001,עזר!L1410))</f>
        <v/>
      </c>
      <c r="C1410" s="13" t="str">
        <f aca="false">עזר!M1410</f>
        <v/>
      </c>
    </row>
    <row r="1411" customFormat="false" ht="15" hidden="false" customHeight="false" outlineLevel="0" collapsed="false">
      <c r="A1411" s="13" t="str">
        <f aca="false">IF(עזר!L1411="","",INDEX(עזר!$A$2:$A$5001,עזר!L1411))</f>
        <v/>
      </c>
      <c r="B1411" s="13" t="str">
        <f aca="false">IF(עזר!L1411="","",INDEX(עזר!$B$2:$B$5001,עזר!L1411))</f>
        <v/>
      </c>
      <c r="C1411" s="13" t="str">
        <f aca="false">עזר!M1411</f>
        <v/>
      </c>
    </row>
    <row r="1412" customFormat="false" ht="15" hidden="false" customHeight="false" outlineLevel="0" collapsed="false">
      <c r="A1412" s="13" t="str">
        <f aca="false">IF(עזר!L1412="","",INDEX(עזר!$A$2:$A$5001,עזר!L1412))</f>
        <v/>
      </c>
      <c r="B1412" s="13" t="str">
        <f aca="false">IF(עזר!L1412="","",INDEX(עזר!$B$2:$B$5001,עזר!L1412))</f>
        <v/>
      </c>
      <c r="C1412" s="13" t="str">
        <f aca="false">עזר!M1412</f>
        <v/>
      </c>
    </row>
    <row r="1413" customFormat="false" ht="15" hidden="false" customHeight="false" outlineLevel="0" collapsed="false">
      <c r="A1413" s="13" t="str">
        <f aca="false">IF(עזר!L1413="","",INDEX(עזר!$A$2:$A$5001,עזר!L1413))</f>
        <v/>
      </c>
      <c r="B1413" s="13" t="str">
        <f aca="false">IF(עזר!L1413="","",INDEX(עזר!$B$2:$B$5001,עזר!L1413))</f>
        <v/>
      </c>
      <c r="C1413" s="13" t="str">
        <f aca="false">עזר!M1413</f>
        <v/>
      </c>
    </row>
    <row r="1414" customFormat="false" ht="15" hidden="false" customHeight="false" outlineLevel="0" collapsed="false">
      <c r="A1414" s="13" t="str">
        <f aca="false">IF(עזר!L1414="","",INDEX(עזר!$A$2:$A$5001,עזר!L1414))</f>
        <v/>
      </c>
      <c r="B1414" s="13" t="str">
        <f aca="false">IF(עזר!L1414="","",INDEX(עזר!$B$2:$B$5001,עזר!L1414))</f>
        <v/>
      </c>
      <c r="C1414" s="13" t="str">
        <f aca="false">עזר!M1414</f>
        <v/>
      </c>
    </row>
    <row r="1415" customFormat="false" ht="15" hidden="false" customHeight="false" outlineLevel="0" collapsed="false">
      <c r="A1415" s="13" t="str">
        <f aca="false">IF(עזר!L1415="","",INDEX(עזר!$A$2:$A$5001,עזר!L1415))</f>
        <v/>
      </c>
      <c r="B1415" s="13" t="str">
        <f aca="false">IF(עזר!L1415="","",INDEX(עזר!$B$2:$B$5001,עזר!L1415))</f>
        <v/>
      </c>
      <c r="C1415" s="13" t="str">
        <f aca="false">עזר!M1415</f>
        <v/>
      </c>
    </row>
    <row r="1416" customFormat="false" ht="15" hidden="false" customHeight="false" outlineLevel="0" collapsed="false">
      <c r="A1416" s="13" t="str">
        <f aca="false">IF(עזר!L1416="","",INDEX(עזר!$A$2:$A$5001,עזר!L1416))</f>
        <v/>
      </c>
      <c r="B1416" s="13" t="str">
        <f aca="false">IF(עזר!L1416="","",INDEX(עזר!$B$2:$B$5001,עזר!L1416))</f>
        <v/>
      </c>
      <c r="C1416" s="13" t="str">
        <f aca="false">עזר!M1416</f>
        <v/>
      </c>
    </row>
    <row r="1417" customFormat="false" ht="15" hidden="false" customHeight="false" outlineLevel="0" collapsed="false">
      <c r="A1417" s="13" t="str">
        <f aca="false">IF(עזר!L1417="","",INDEX(עזר!$A$2:$A$5001,עזר!L1417))</f>
        <v/>
      </c>
      <c r="B1417" s="13" t="str">
        <f aca="false">IF(עזר!L1417="","",INDEX(עזר!$B$2:$B$5001,עזר!L1417))</f>
        <v/>
      </c>
      <c r="C1417" s="13" t="str">
        <f aca="false">עזר!M1417</f>
        <v/>
      </c>
    </row>
    <row r="1418" customFormat="false" ht="15" hidden="false" customHeight="false" outlineLevel="0" collapsed="false">
      <c r="A1418" s="13" t="str">
        <f aca="false">IF(עזר!L1418="","",INDEX(עזר!$A$2:$A$5001,עזר!L1418))</f>
        <v/>
      </c>
      <c r="B1418" s="13" t="str">
        <f aca="false">IF(עזר!L1418="","",INDEX(עזר!$B$2:$B$5001,עזר!L1418))</f>
        <v/>
      </c>
      <c r="C1418" s="13" t="str">
        <f aca="false">עזר!M1418</f>
        <v/>
      </c>
    </row>
    <row r="1419" customFormat="false" ht="15" hidden="false" customHeight="false" outlineLevel="0" collapsed="false">
      <c r="A1419" s="13" t="str">
        <f aca="false">IF(עזר!L1419="","",INDEX(עזר!$A$2:$A$5001,עזר!L1419))</f>
        <v/>
      </c>
      <c r="B1419" s="13" t="str">
        <f aca="false">IF(עזר!L1419="","",INDEX(עזר!$B$2:$B$5001,עזר!L1419))</f>
        <v/>
      </c>
      <c r="C1419" s="13" t="str">
        <f aca="false">עזר!M1419</f>
        <v/>
      </c>
    </row>
    <row r="1420" customFormat="false" ht="15" hidden="false" customHeight="false" outlineLevel="0" collapsed="false">
      <c r="A1420" s="13" t="str">
        <f aca="false">IF(עזר!L1420="","",INDEX(עזר!$A$2:$A$5001,עזר!L1420))</f>
        <v/>
      </c>
      <c r="B1420" s="13" t="str">
        <f aca="false">IF(עזר!L1420="","",INDEX(עזר!$B$2:$B$5001,עזר!L1420))</f>
        <v/>
      </c>
      <c r="C1420" s="13" t="str">
        <f aca="false">עזר!M1420</f>
        <v/>
      </c>
    </row>
    <row r="1421" customFormat="false" ht="15" hidden="false" customHeight="false" outlineLevel="0" collapsed="false">
      <c r="A1421" s="13" t="str">
        <f aca="false">IF(עזר!L1421="","",INDEX(עזר!$A$2:$A$5001,עזר!L1421))</f>
        <v/>
      </c>
      <c r="B1421" s="13" t="str">
        <f aca="false">IF(עזר!L1421="","",INDEX(עזר!$B$2:$B$5001,עזר!L1421))</f>
        <v/>
      </c>
      <c r="C1421" s="13" t="str">
        <f aca="false">עזר!M1421</f>
        <v/>
      </c>
    </row>
    <row r="1422" customFormat="false" ht="15" hidden="false" customHeight="false" outlineLevel="0" collapsed="false">
      <c r="A1422" s="13" t="str">
        <f aca="false">IF(עזר!L1422="","",INDEX(עזר!$A$2:$A$5001,עזר!L1422))</f>
        <v/>
      </c>
      <c r="B1422" s="13" t="str">
        <f aca="false">IF(עזר!L1422="","",INDEX(עזר!$B$2:$B$5001,עזר!L1422))</f>
        <v/>
      </c>
      <c r="C1422" s="13" t="str">
        <f aca="false">עזר!M1422</f>
        <v/>
      </c>
    </row>
    <row r="1423" customFormat="false" ht="15" hidden="false" customHeight="false" outlineLevel="0" collapsed="false">
      <c r="A1423" s="13" t="str">
        <f aca="false">IF(עזר!L1423="","",INDEX(עזר!$A$2:$A$5001,עזר!L1423))</f>
        <v/>
      </c>
      <c r="B1423" s="13" t="str">
        <f aca="false">IF(עזר!L1423="","",INDEX(עזר!$B$2:$B$5001,עזר!L1423))</f>
        <v/>
      </c>
      <c r="C1423" s="13" t="str">
        <f aca="false">עזר!M1423</f>
        <v/>
      </c>
    </row>
    <row r="1424" customFormat="false" ht="15" hidden="false" customHeight="false" outlineLevel="0" collapsed="false">
      <c r="A1424" s="13" t="str">
        <f aca="false">IF(עזר!L1424="","",INDEX(עזר!$A$2:$A$5001,עזר!L1424))</f>
        <v/>
      </c>
      <c r="B1424" s="13" t="str">
        <f aca="false">IF(עזר!L1424="","",INDEX(עזר!$B$2:$B$5001,עזר!L1424))</f>
        <v/>
      </c>
      <c r="C1424" s="13" t="str">
        <f aca="false">עזר!M1424</f>
        <v/>
      </c>
    </row>
    <row r="1425" customFormat="false" ht="15" hidden="false" customHeight="false" outlineLevel="0" collapsed="false">
      <c r="A1425" s="13" t="str">
        <f aca="false">IF(עזר!L1425="","",INDEX(עזר!$A$2:$A$5001,עזר!L1425))</f>
        <v/>
      </c>
      <c r="B1425" s="13" t="str">
        <f aca="false">IF(עזר!L1425="","",INDEX(עזר!$B$2:$B$5001,עזר!L1425))</f>
        <v/>
      </c>
      <c r="C1425" s="13" t="str">
        <f aca="false">עזר!M1425</f>
        <v/>
      </c>
    </row>
    <row r="1426" customFormat="false" ht="15" hidden="false" customHeight="false" outlineLevel="0" collapsed="false">
      <c r="A1426" s="13" t="str">
        <f aca="false">IF(עזר!L1426="","",INDEX(עזר!$A$2:$A$5001,עזר!L1426))</f>
        <v/>
      </c>
      <c r="B1426" s="13" t="str">
        <f aca="false">IF(עזר!L1426="","",INDEX(עזר!$B$2:$B$5001,עזר!L1426))</f>
        <v/>
      </c>
      <c r="C1426" s="13" t="str">
        <f aca="false">עזר!M1426</f>
        <v/>
      </c>
    </row>
    <row r="1427" customFormat="false" ht="15" hidden="false" customHeight="false" outlineLevel="0" collapsed="false">
      <c r="A1427" s="13" t="str">
        <f aca="false">IF(עזר!L1427="","",INDEX(עזר!$A$2:$A$5001,עזר!L1427))</f>
        <v/>
      </c>
      <c r="B1427" s="13" t="str">
        <f aca="false">IF(עזר!L1427="","",INDEX(עזר!$B$2:$B$5001,עזר!L1427))</f>
        <v/>
      </c>
      <c r="C1427" s="13" t="str">
        <f aca="false">עזר!M1427</f>
        <v/>
      </c>
    </row>
    <row r="1428" customFormat="false" ht="15" hidden="false" customHeight="false" outlineLevel="0" collapsed="false">
      <c r="A1428" s="13" t="str">
        <f aca="false">IF(עזר!L1428="","",INDEX(עזר!$A$2:$A$5001,עזר!L1428))</f>
        <v/>
      </c>
      <c r="B1428" s="13" t="str">
        <f aca="false">IF(עזר!L1428="","",INDEX(עזר!$B$2:$B$5001,עזר!L1428))</f>
        <v/>
      </c>
      <c r="C1428" s="13" t="str">
        <f aca="false">עזר!M1428</f>
        <v/>
      </c>
    </row>
    <row r="1429" customFormat="false" ht="15" hidden="false" customHeight="false" outlineLevel="0" collapsed="false">
      <c r="A1429" s="13" t="str">
        <f aca="false">IF(עזר!L1429="","",INDEX(עזר!$A$2:$A$5001,עזר!L1429))</f>
        <v/>
      </c>
      <c r="B1429" s="13" t="str">
        <f aca="false">IF(עזר!L1429="","",INDEX(עזר!$B$2:$B$5001,עזר!L1429))</f>
        <v/>
      </c>
      <c r="C1429" s="13" t="str">
        <f aca="false">עזר!M1429</f>
        <v/>
      </c>
    </row>
    <row r="1430" customFormat="false" ht="15" hidden="false" customHeight="false" outlineLevel="0" collapsed="false">
      <c r="A1430" s="13" t="str">
        <f aca="false">IF(עזר!L1430="","",INDEX(עזר!$A$2:$A$5001,עזר!L1430))</f>
        <v/>
      </c>
      <c r="B1430" s="13" t="str">
        <f aca="false">IF(עזר!L1430="","",INDEX(עזר!$B$2:$B$5001,עזר!L1430))</f>
        <v/>
      </c>
      <c r="C1430" s="13" t="str">
        <f aca="false">עזר!M1430</f>
        <v/>
      </c>
    </row>
    <row r="1431" customFormat="false" ht="15" hidden="false" customHeight="false" outlineLevel="0" collapsed="false">
      <c r="A1431" s="13" t="str">
        <f aca="false">IF(עזר!L1431="","",INDEX(עזר!$A$2:$A$5001,עזר!L1431))</f>
        <v/>
      </c>
      <c r="B1431" s="13" t="str">
        <f aca="false">IF(עזר!L1431="","",INDEX(עזר!$B$2:$B$5001,עזר!L1431))</f>
        <v/>
      </c>
      <c r="C1431" s="13" t="str">
        <f aca="false">עזר!M1431</f>
        <v/>
      </c>
    </row>
    <row r="1432" customFormat="false" ht="15" hidden="false" customHeight="false" outlineLevel="0" collapsed="false">
      <c r="A1432" s="13" t="str">
        <f aca="false">IF(עזר!L1432="","",INDEX(עזר!$A$2:$A$5001,עזר!L1432))</f>
        <v/>
      </c>
      <c r="B1432" s="13" t="str">
        <f aca="false">IF(עזר!L1432="","",INDEX(עזר!$B$2:$B$5001,עזר!L1432))</f>
        <v/>
      </c>
      <c r="C1432" s="13" t="str">
        <f aca="false">עזר!M1432</f>
        <v/>
      </c>
    </row>
    <row r="1433" customFormat="false" ht="15" hidden="false" customHeight="false" outlineLevel="0" collapsed="false">
      <c r="A1433" s="13" t="str">
        <f aca="false">IF(עזר!L1433="","",INDEX(עזר!$A$2:$A$5001,עזר!L1433))</f>
        <v/>
      </c>
      <c r="B1433" s="13" t="str">
        <f aca="false">IF(עזר!L1433="","",INDEX(עזר!$B$2:$B$5001,עזר!L1433))</f>
        <v/>
      </c>
      <c r="C1433" s="13" t="str">
        <f aca="false">עזר!M1433</f>
        <v/>
      </c>
    </row>
    <row r="1434" customFormat="false" ht="15" hidden="false" customHeight="false" outlineLevel="0" collapsed="false">
      <c r="A1434" s="13" t="str">
        <f aca="false">IF(עזר!L1434="","",INDEX(עזר!$A$2:$A$5001,עזר!L1434))</f>
        <v/>
      </c>
      <c r="B1434" s="13" t="str">
        <f aca="false">IF(עזר!L1434="","",INDEX(עזר!$B$2:$B$5001,עזר!L1434))</f>
        <v/>
      </c>
      <c r="C1434" s="13" t="str">
        <f aca="false">עזר!M1434</f>
        <v/>
      </c>
    </row>
    <row r="1435" customFormat="false" ht="15" hidden="false" customHeight="false" outlineLevel="0" collapsed="false">
      <c r="A1435" s="13" t="str">
        <f aca="false">IF(עזר!L1435="","",INDEX(עזר!$A$2:$A$5001,עזר!L1435))</f>
        <v/>
      </c>
      <c r="B1435" s="13" t="str">
        <f aca="false">IF(עזר!L1435="","",INDEX(עזר!$B$2:$B$5001,עזר!L1435))</f>
        <v/>
      </c>
      <c r="C1435" s="13" t="str">
        <f aca="false">עזר!M1435</f>
        <v/>
      </c>
    </row>
    <row r="1436" customFormat="false" ht="15" hidden="false" customHeight="false" outlineLevel="0" collapsed="false">
      <c r="A1436" s="13" t="str">
        <f aca="false">IF(עזר!L1436="","",INDEX(עזר!$A$2:$A$5001,עזר!L1436))</f>
        <v/>
      </c>
      <c r="B1436" s="13" t="str">
        <f aca="false">IF(עזר!L1436="","",INDEX(עזר!$B$2:$B$5001,עזר!L1436))</f>
        <v/>
      </c>
      <c r="C1436" s="13" t="str">
        <f aca="false">עזר!M1436</f>
        <v/>
      </c>
    </row>
    <row r="1437" customFormat="false" ht="15" hidden="false" customHeight="false" outlineLevel="0" collapsed="false">
      <c r="A1437" s="13" t="str">
        <f aca="false">IF(עזר!L1437="","",INDEX(עזר!$A$2:$A$5001,עזר!L1437))</f>
        <v/>
      </c>
      <c r="B1437" s="13" t="str">
        <f aca="false">IF(עזר!L1437="","",INDEX(עזר!$B$2:$B$5001,עזר!L1437))</f>
        <v/>
      </c>
      <c r="C1437" s="13" t="str">
        <f aca="false">עזר!M1437</f>
        <v/>
      </c>
    </row>
    <row r="1438" customFormat="false" ht="15" hidden="false" customHeight="false" outlineLevel="0" collapsed="false">
      <c r="A1438" s="13" t="str">
        <f aca="false">IF(עזר!L1438="","",INDEX(עזר!$A$2:$A$5001,עזר!L1438))</f>
        <v/>
      </c>
      <c r="B1438" s="13" t="str">
        <f aca="false">IF(עזר!L1438="","",INDEX(עזר!$B$2:$B$5001,עזר!L1438))</f>
        <v/>
      </c>
      <c r="C1438" s="13" t="str">
        <f aca="false">עזר!M1438</f>
        <v/>
      </c>
    </row>
    <row r="1439" customFormat="false" ht="15" hidden="false" customHeight="false" outlineLevel="0" collapsed="false">
      <c r="A1439" s="13" t="str">
        <f aca="false">IF(עזר!L1439="","",INDEX(עזר!$A$2:$A$5001,עזר!L1439))</f>
        <v/>
      </c>
      <c r="B1439" s="13" t="str">
        <f aca="false">IF(עזר!L1439="","",INDEX(עזר!$B$2:$B$5001,עזר!L1439))</f>
        <v/>
      </c>
      <c r="C1439" s="13" t="str">
        <f aca="false">עזר!M1439</f>
        <v/>
      </c>
    </row>
    <row r="1440" customFormat="false" ht="15" hidden="false" customHeight="false" outlineLevel="0" collapsed="false">
      <c r="A1440" s="13" t="str">
        <f aca="false">IF(עזר!L1440="","",INDEX(עזר!$A$2:$A$5001,עזר!L1440))</f>
        <v/>
      </c>
      <c r="B1440" s="13" t="str">
        <f aca="false">IF(עזר!L1440="","",INDEX(עזר!$B$2:$B$5001,עזר!L1440))</f>
        <v/>
      </c>
      <c r="C1440" s="13" t="str">
        <f aca="false">עזר!M1440</f>
        <v/>
      </c>
    </row>
    <row r="1441" customFormat="false" ht="15" hidden="false" customHeight="false" outlineLevel="0" collapsed="false">
      <c r="A1441" s="13" t="str">
        <f aca="false">IF(עזר!L1441="","",INDEX(עזר!$A$2:$A$5001,עזר!L1441))</f>
        <v/>
      </c>
      <c r="B1441" s="13" t="str">
        <f aca="false">IF(עזר!L1441="","",INDEX(עזר!$B$2:$B$5001,עזר!L1441))</f>
        <v/>
      </c>
      <c r="C1441" s="13" t="str">
        <f aca="false">עזר!M1441</f>
        <v/>
      </c>
    </row>
    <row r="1442" customFormat="false" ht="15" hidden="false" customHeight="false" outlineLevel="0" collapsed="false">
      <c r="A1442" s="13" t="str">
        <f aca="false">IF(עזר!L1442="","",INDEX(עזר!$A$2:$A$5001,עזר!L1442))</f>
        <v/>
      </c>
      <c r="B1442" s="13" t="str">
        <f aca="false">IF(עזר!L1442="","",INDEX(עזר!$B$2:$B$5001,עזר!L1442))</f>
        <v/>
      </c>
      <c r="C1442" s="13" t="str">
        <f aca="false">עזר!M1442</f>
        <v/>
      </c>
    </row>
    <row r="1443" customFormat="false" ht="15" hidden="false" customHeight="false" outlineLevel="0" collapsed="false">
      <c r="A1443" s="13" t="str">
        <f aca="false">IF(עזר!L1443="","",INDEX(עזר!$A$2:$A$5001,עזר!L1443))</f>
        <v/>
      </c>
      <c r="B1443" s="13" t="str">
        <f aca="false">IF(עזר!L1443="","",INDEX(עזר!$B$2:$B$5001,עזר!L1443))</f>
        <v/>
      </c>
      <c r="C1443" s="13" t="str">
        <f aca="false">עזר!M1443</f>
        <v/>
      </c>
    </row>
    <row r="1444" customFormat="false" ht="15" hidden="false" customHeight="false" outlineLevel="0" collapsed="false">
      <c r="A1444" s="13" t="str">
        <f aca="false">IF(עזר!L1444="","",INDEX(עזר!$A$2:$A$5001,עזר!L1444))</f>
        <v/>
      </c>
      <c r="B1444" s="13" t="str">
        <f aca="false">IF(עזר!L1444="","",INDEX(עזר!$B$2:$B$5001,עזר!L1444))</f>
        <v/>
      </c>
      <c r="C1444" s="13" t="str">
        <f aca="false">עזר!M1444</f>
        <v/>
      </c>
    </row>
    <row r="1445" customFormat="false" ht="15" hidden="false" customHeight="false" outlineLevel="0" collapsed="false">
      <c r="A1445" s="13" t="str">
        <f aca="false">IF(עזר!L1445="","",INDEX(עזר!$A$2:$A$5001,עזר!L1445))</f>
        <v/>
      </c>
      <c r="B1445" s="13" t="str">
        <f aca="false">IF(עזר!L1445="","",INDEX(עזר!$B$2:$B$5001,עזר!L1445))</f>
        <v/>
      </c>
      <c r="C1445" s="13" t="str">
        <f aca="false">עזר!M1445</f>
        <v/>
      </c>
    </row>
    <row r="1446" customFormat="false" ht="15" hidden="false" customHeight="false" outlineLevel="0" collapsed="false">
      <c r="A1446" s="13" t="str">
        <f aca="false">IF(עזר!L1446="","",INDEX(עזר!$A$2:$A$5001,עזר!L1446))</f>
        <v/>
      </c>
      <c r="B1446" s="13" t="str">
        <f aca="false">IF(עזר!L1446="","",INDEX(עזר!$B$2:$B$5001,עזר!L1446))</f>
        <v/>
      </c>
      <c r="C1446" s="13" t="str">
        <f aca="false">עזר!M1446</f>
        <v/>
      </c>
    </row>
    <row r="1447" customFormat="false" ht="15" hidden="false" customHeight="false" outlineLevel="0" collapsed="false">
      <c r="A1447" s="13" t="str">
        <f aca="false">IF(עזר!L1447="","",INDEX(עזר!$A$2:$A$5001,עזר!L1447))</f>
        <v/>
      </c>
      <c r="B1447" s="13" t="str">
        <f aca="false">IF(עזר!L1447="","",INDEX(עזר!$B$2:$B$5001,עזר!L1447))</f>
        <v/>
      </c>
      <c r="C1447" s="13" t="str">
        <f aca="false">עזר!M1447</f>
        <v/>
      </c>
    </row>
    <row r="1448" customFormat="false" ht="15" hidden="false" customHeight="false" outlineLevel="0" collapsed="false">
      <c r="A1448" s="13" t="str">
        <f aca="false">IF(עזר!L1448="","",INDEX(עזר!$A$2:$A$5001,עזר!L1448))</f>
        <v/>
      </c>
      <c r="B1448" s="13" t="str">
        <f aca="false">IF(עזר!L1448="","",INDEX(עזר!$B$2:$B$5001,עזר!L1448))</f>
        <v/>
      </c>
      <c r="C1448" s="13" t="str">
        <f aca="false">עזר!M1448</f>
        <v/>
      </c>
    </row>
    <row r="1449" customFormat="false" ht="15" hidden="false" customHeight="false" outlineLevel="0" collapsed="false">
      <c r="A1449" s="13" t="str">
        <f aca="false">IF(עזר!L1449="","",INDEX(עזר!$A$2:$A$5001,עזר!L1449))</f>
        <v/>
      </c>
      <c r="B1449" s="13" t="str">
        <f aca="false">IF(עזר!L1449="","",INDEX(עזר!$B$2:$B$5001,עזר!L1449))</f>
        <v/>
      </c>
      <c r="C1449" s="13" t="str">
        <f aca="false">עזר!M1449</f>
        <v/>
      </c>
    </row>
    <row r="1450" customFormat="false" ht="15" hidden="false" customHeight="false" outlineLevel="0" collapsed="false">
      <c r="A1450" s="13" t="str">
        <f aca="false">IF(עזר!L1450="","",INDEX(עזר!$A$2:$A$5001,עזר!L1450))</f>
        <v/>
      </c>
      <c r="B1450" s="13" t="str">
        <f aca="false">IF(עזר!L1450="","",INDEX(עזר!$B$2:$B$5001,עזר!L1450))</f>
        <v/>
      </c>
      <c r="C1450" s="13" t="str">
        <f aca="false">עזר!M1450</f>
        <v/>
      </c>
    </row>
    <row r="1451" customFormat="false" ht="15" hidden="false" customHeight="false" outlineLevel="0" collapsed="false">
      <c r="A1451" s="13" t="str">
        <f aca="false">IF(עזר!L1451="","",INDEX(עזר!$A$2:$A$5001,עזר!L1451))</f>
        <v/>
      </c>
      <c r="B1451" s="13" t="str">
        <f aca="false">IF(עזר!L1451="","",INDEX(עזר!$B$2:$B$5001,עזר!L1451))</f>
        <v/>
      </c>
      <c r="C1451" s="13" t="str">
        <f aca="false">עזר!M1451</f>
        <v/>
      </c>
    </row>
    <row r="1452" customFormat="false" ht="15" hidden="false" customHeight="false" outlineLevel="0" collapsed="false">
      <c r="A1452" s="13" t="str">
        <f aca="false">IF(עזר!L1452="","",INDEX(עזר!$A$2:$A$5001,עזר!L1452))</f>
        <v/>
      </c>
      <c r="B1452" s="13" t="str">
        <f aca="false">IF(עזר!L1452="","",INDEX(עזר!$B$2:$B$5001,עזר!L1452))</f>
        <v/>
      </c>
      <c r="C1452" s="13" t="str">
        <f aca="false">עזר!M1452</f>
        <v/>
      </c>
    </row>
    <row r="1453" customFormat="false" ht="15" hidden="false" customHeight="false" outlineLevel="0" collapsed="false">
      <c r="A1453" s="13" t="str">
        <f aca="false">IF(עזר!L1453="","",INDEX(עזר!$A$2:$A$5001,עזר!L1453))</f>
        <v/>
      </c>
      <c r="B1453" s="13" t="str">
        <f aca="false">IF(עזר!L1453="","",INDEX(עזר!$B$2:$B$5001,עזר!L1453))</f>
        <v/>
      </c>
      <c r="C1453" s="13" t="str">
        <f aca="false">עזר!M1453</f>
        <v/>
      </c>
    </row>
    <row r="1454" customFormat="false" ht="15" hidden="false" customHeight="false" outlineLevel="0" collapsed="false">
      <c r="A1454" s="13" t="str">
        <f aca="false">IF(עזר!L1454="","",INDEX(עזר!$A$2:$A$5001,עזר!L1454))</f>
        <v/>
      </c>
      <c r="B1454" s="13" t="str">
        <f aca="false">IF(עזר!L1454="","",INDEX(עזר!$B$2:$B$5001,עזר!L1454))</f>
        <v/>
      </c>
      <c r="C1454" s="13" t="str">
        <f aca="false">עזר!M1454</f>
        <v/>
      </c>
    </row>
    <row r="1455" customFormat="false" ht="15" hidden="false" customHeight="false" outlineLevel="0" collapsed="false">
      <c r="A1455" s="13" t="str">
        <f aca="false">IF(עזר!L1455="","",INDEX(עזר!$A$2:$A$5001,עזר!L1455))</f>
        <v/>
      </c>
      <c r="B1455" s="13" t="str">
        <f aca="false">IF(עזר!L1455="","",INDEX(עזר!$B$2:$B$5001,עזר!L1455))</f>
        <v/>
      </c>
      <c r="C1455" s="13" t="str">
        <f aca="false">עזר!M1455</f>
        <v/>
      </c>
    </row>
    <row r="1456" customFormat="false" ht="15" hidden="false" customHeight="false" outlineLevel="0" collapsed="false">
      <c r="A1456" s="13" t="str">
        <f aca="false">IF(עזר!L1456="","",INDEX(עזר!$A$2:$A$5001,עזר!L1456))</f>
        <v/>
      </c>
      <c r="B1456" s="13" t="str">
        <f aca="false">IF(עזר!L1456="","",INDEX(עזר!$B$2:$B$5001,עזר!L1456))</f>
        <v/>
      </c>
      <c r="C1456" s="13" t="str">
        <f aca="false">עזר!M1456</f>
        <v/>
      </c>
    </row>
    <row r="1457" customFormat="false" ht="15" hidden="false" customHeight="false" outlineLevel="0" collapsed="false">
      <c r="A1457" s="13" t="str">
        <f aca="false">IF(עזר!L1457="","",INDEX(עזר!$A$2:$A$5001,עזר!L1457))</f>
        <v/>
      </c>
      <c r="B1457" s="13" t="str">
        <f aca="false">IF(עזר!L1457="","",INDEX(עזר!$B$2:$B$5001,עזר!L1457))</f>
        <v/>
      </c>
      <c r="C1457" s="13" t="str">
        <f aca="false">עזר!M1457</f>
        <v/>
      </c>
    </row>
    <row r="1458" customFormat="false" ht="15" hidden="false" customHeight="false" outlineLevel="0" collapsed="false">
      <c r="A1458" s="13" t="str">
        <f aca="false">IF(עזר!L1458="","",INDEX(עזר!$A$2:$A$5001,עזר!L1458))</f>
        <v/>
      </c>
      <c r="B1458" s="13" t="str">
        <f aca="false">IF(עזר!L1458="","",INDEX(עזר!$B$2:$B$5001,עזר!L1458))</f>
        <v/>
      </c>
      <c r="C1458" s="13" t="str">
        <f aca="false">עזר!M1458</f>
        <v/>
      </c>
    </row>
    <row r="1459" customFormat="false" ht="15" hidden="false" customHeight="false" outlineLevel="0" collapsed="false">
      <c r="A1459" s="13" t="str">
        <f aca="false">IF(עזר!L1459="","",INDEX(עזר!$A$2:$A$5001,עזר!L1459))</f>
        <v/>
      </c>
      <c r="B1459" s="13" t="str">
        <f aca="false">IF(עזר!L1459="","",INDEX(עזר!$B$2:$B$5001,עזר!L1459))</f>
        <v/>
      </c>
      <c r="C1459" s="13" t="str">
        <f aca="false">עזר!M1459</f>
        <v/>
      </c>
    </row>
    <row r="1460" customFormat="false" ht="15" hidden="false" customHeight="false" outlineLevel="0" collapsed="false">
      <c r="A1460" s="13" t="str">
        <f aca="false">IF(עזר!L1460="","",INDEX(עזר!$A$2:$A$5001,עזר!L1460))</f>
        <v/>
      </c>
      <c r="B1460" s="13" t="str">
        <f aca="false">IF(עזר!L1460="","",INDEX(עזר!$B$2:$B$5001,עזר!L1460))</f>
        <v/>
      </c>
      <c r="C1460" s="13" t="str">
        <f aca="false">עזר!M1460</f>
        <v/>
      </c>
    </row>
    <row r="1461" customFormat="false" ht="15" hidden="false" customHeight="false" outlineLevel="0" collapsed="false">
      <c r="A1461" s="13" t="str">
        <f aca="false">IF(עזר!L1461="","",INDEX(עזר!$A$2:$A$5001,עזר!L1461))</f>
        <v/>
      </c>
      <c r="B1461" s="13" t="str">
        <f aca="false">IF(עזר!L1461="","",INDEX(עזר!$B$2:$B$5001,עזר!L1461))</f>
        <v/>
      </c>
      <c r="C1461" s="13" t="str">
        <f aca="false">עזר!M1461</f>
        <v/>
      </c>
    </row>
    <row r="1462" customFormat="false" ht="15" hidden="false" customHeight="false" outlineLevel="0" collapsed="false">
      <c r="A1462" s="13" t="str">
        <f aca="false">IF(עזר!L1462="","",INDEX(עזר!$A$2:$A$5001,עזר!L1462))</f>
        <v/>
      </c>
      <c r="B1462" s="13" t="str">
        <f aca="false">IF(עזר!L1462="","",INDEX(עזר!$B$2:$B$5001,עזר!L1462))</f>
        <v/>
      </c>
      <c r="C1462" s="13" t="str">
        <f aca="false">עזר!M1462</f>
        <v/>
      </c>
    </row>
    <row r="1463" customFormat="false" ht="15" hidden="false" customHeight="false" outlineLevel="0" collapsed="false">
      <c r="A1463" s="13" t="str">
        <f aca="false">IF(עזר!L1463="","",INDEX(עזר!$A$2:$A$5001,עזר!L1463))</f>
        <v/>
      </c>
      <c r="B1463" s="13" t="str">
        <f aca="false">IF(עזר!L1463="","",INDEX(עזר!$B$2:$B$5001,עזר!L1463))</f>
        <v/>
      </c>
      <c r="C1463" s="13" t="str">
        <f aca="false">עזר!M1463</f>
        <v/>
      </c>
    </row>
    <row r="1464" customFormat="false" ht="15" hidden="false" customHeight="false" outlineLevel="0" collapsed="false">
      <c r="A1464" s="13" t="str">
        <f aca="false">IF(עזר!L1464="","",INDEX(עזר!$A$2:$A$5001,עזר!L1464))</f>
        <v/>
      </c>
      <c r="B1464" s="13" t="str">
        <f aca="false">IF(עזר!L1464="","",INDEX(עזר!$B$2:$B$5001,עזר!L1464))</f>
        <v/>
      </c>
      <c r="C1464" s="13" t="str">
        <f aca="false">עזר!M1464</f>
        <v/>
      </c>
    </row>
    <row r="1465" customFormat="false" ht="15" hidden="false" customHeight="false" outlineLevel="0" collapsed="false">
      <c r="A1465" s="13" t="str">
        <f aca="false">IF(עזר!L1465="","",INDEX(עזר!$A$2:$A$5001,עזר!L1465))</f>
        <v/>
      </c>
      <c r="B1465" s="13" t="str">
        <f aca="false">IF(עזר!L1465="","",INDEX(עזר!$B$2:$B$5001,עזר!L1465))</f>
        <v/>
      </c>
      <c r="C1465" s="13" t="str">
        <f aca="false">עזר!M1465</f>
        <v/>
      </c>
    </row>
    <row r="1466" customFormat="false" ht="15" hidden="false" customHeight="false" outlineLevel="0" collapsed="false">
      <c r="A1466" s="13" t="str">
        <f aca="false">IF(עזר!L1466="","",INDEX(עזר!$A$2:$A$5001,עזר!L1466))</f>
        <v/>
      </c>
      <c r="B1466" s="13" t="str">
        <f aca="false">IF(עזר!L1466="","",INDEX(עזר!$B$2:$B$5001,עזר!L1466))</f>
        <v/>
      </c>
      <c r="C1466" s="13" t="str">
        <f aca="false">עזר!M1466</f>
        <v/>
      </c>
    </row>
    <row r="1467" customFormat="false" ht="15" hidden="false" customHeight="false" outlineLevel="0" collapsed="false">
      <c r="A1467" s="13" t="str">
        <f aca="false">IF(עזר!L1467="","",INDEX(עזר!$A$2:$A$5001,עזר!L1467))</f>
        <v/>
      </c>
      <c r="B1467" s="13" t="str">
        <f aca="false">IF(עזר!L1467="","",INDEX(עזר!$B$2:$B$5001,עזר!L1467))</f>
        <v/>
      </c>
      <c r="C1467" s="13" t="str">
        <f aca="false">עזר!M1467</f>
        <v/>
      </c>
    </row>
    <row r="1468" customFormat="false" ht="15" hidden="false" customHeight="false" outlineLevel="0" collapsed="false">
      <c r="A1468" s="13" t="str">
        <f aca="false">IF(עזר!L1468="","",INDEX(עזר!$A$2:$A$5001,עזר!L1468))</f>
        <v/>
      </c>
      <c r="B1468" s="13" t="str">
        <f aca="false">IF(עזר!L1468="","",INDEX(עזר!$B$2:$B$5001,עזר!L1468))</f>
        <v/>
      </c>
      <c r="C1468" s="13" t="str">
        <f aca="false">עזר!M1468</f>
        <v/>
      </c>
    </row>
    <row r="1469" customFormat="false" ht="15" hidden="false" customHeight="false" outlineLevel="0" collapsed="false">
      <c r="A1469" s="13" t="str">
        <f aca="false">IF(עזר!L1469="","",INDEX(עזר!$A$2:$A$5001,עזר!L1469))</f>
        <v/>
      </c>
      <c r="B1469" s="13" t="str">
        <f aca="false">IF(עזר!L1469="","",INDEX(עזר!$B$2:$B$5001,עזר!L1469))</f>
        <v/>
      </c>
      <c r="C1469" s="13" t="str">
        <f aca="false">עזר!M1469</f>
        <v/>
      </c>
    </row>
    <row r="1470" customFormat="false" ht="15" hidden="false" customHeight="false" outlineLevel="0" collapsed="false">
      <c r="A1470" s="13" t="str">
        <f aca="false">IF(עזר!L1470="","",INDEX(עזר!$A$2:$A$5001,עזר!L1470))</f>
        <v/>
      </c>
      <c r="B1470" s="13" t="str">
        <f aca="false">IF(עזר!L1470="","",INDEX(עזר!$B$2:$B$5001,עזר!L1470))</f>
        <v/>
      </c>
      <c r="C1470" s="13" t="str">
        <f aca="false">עזר!M1470</f>
        <v/>
      </c>
    </row>
    <row r="1471" customFormat="false" ht="15" hidden="false" customHeight="false" outlineLevel="0" collapsed="false">
      <c r="A1471" s="13" t="str">
        <f aca="false">IF(עזר!L1471="","",INDEX(עזר!$A$2:$A$5001,עזר!L1471))</f>
        <v/>
      </c>
      <c r="B1471" s="13" t="str">
        <f aca="false">IF(עזר!L1471="","",INDEX(עזר!$B$2:$B$5001,עזר!L1471))</f>
        <v/>
      </c>
      <c r="C1471" s="13" t="str">
        <f aca="false">עזר!M1471</f>
        <v/>
      </c>
    </row>
    <row r="1472" customFormat="false" ht="15" hidden="false" customHeight="false" outlineLevel="0" collapsed="false">
      <c r="A1472" s="13" t="str">
        <f aca="false">IF(עזר!L1472="","",INDEX(עזר!$A$2:$A$5001,עזר!L1472))</f>
        <v/>
      </c>
      <c r="B1472" s="13" t="str">
        <f aca="false">IF(עזר!L1472="","",INDEX(עזר!$B$2:$B$5001,עזר!L1472))</f>
        <v/>
      </c>
      <c r="C1472" s="13" t="str">
        <f aca="false">עזר!M1472</f>
        <v/>
      </c>
    </row>
    <row r="1473" customFormat="false" ht="15" hidden="false" customHeight="false" outlineLevel="0" collapsed="false">
      <c r="A1473" s="13" t="str">
        <f aca="false">IF(עזר!L1473="","",INDEX(עזר!$A$2:$A$5001,עזר!L1473))</f>
        <v/>
      </c>
      <c r="B1473" s="13" t="str">
        <f aca="false">IF(עזר!L1473="","",INDEX(עזר!$B$2:$B$5001,עזר!L1473))</f>
        <v/>
      </c>
      <c r="C1473" s="13" t="str">
        <f aca="false">עזר!M1473</f>
        <v/>
      </c>
    </row>
    <row r="1474" customFormat="false" ht="15" hidden="false" customHeight="false" outlineLevel="0" collapsed="false">
      <c r="A1474" s="13" t="str">
        <f aca="false">IF(עזר!L1474="","",INDEX(עזר!$A$2:$A$5001,עזר!L1474))</f>
        <v/>
      </c>
      <c r="B1474" s="13" t="str">
        <f aca="false">IF(עזר!L1474="","",INDEX(עזר!$B$2:$B$5001,עזר!L1474))</f>
        <v/>
      </c>
      <c r="C1474" s="13" t="str">
        <f aca="false">עזר!M1474</f>
        <v/>
      </c>
    </row>
    <row r="1475" customFormat="false" ht="15" hidden="false" customHeight="false" outlineLevel="0" collapsed="false">
      <c r="A1475" s="13" t="str">
        <f aca="false">IF(עזר!L1475="","",INDEX(עזר!$A$2:$A$5001,עזר!L1475))</f>
        <v/>
      </c>
      <c r="B1475" s="13" t="str">
        <f aca="false">IF(עזר!L1475="","",INDEX(עזר!$B$2:$B$5001,עזר!L1475))</f>
        <v/>
      </c>
      <c r="C1475" s="13" t="str">
        <f aca="false">עזר!M1475</f>
        <v/>
      </c>
    </row>
    <row r="1476" customFormat="false" ht="15" hidden="false" customHeight="false" outlineLevel="0" collapsed="false">
      <c r="A1476" s="13" t="str">
        <f aca="false">IF(עזר!L1476="","",INDEX(עזר!$A$2:$A$5001,עזר!L1476))</f>
        <v/>
      </c>
      <c r="B1476" s="13" t="str">
        <f aca="false">IF(עזר!L1476="","",INDEX(עזר!$B$2:$B$5001,עזר!L1476))</f>
        <v/>
      </c>
      <c r="C1476" s="13" t="str">
        <f aca="false">עזר!M1476</f>
        <v/>
      </c>
    </row>
    <row r="1477" customFormat="false" ht="15" hidden="false" customHeight="false" outlineLevel="0" collapsed="false">
      <c r="A1477" s="13" t="str">
        <f aca="false">IF(עזר!L1477="","",INDEX(עזר!$A$2:$A$5001,עזר!L1477))</f>
        <v/>
      </c>
      <c r="B1477" s="13" t="str">
        <f aca="false">IF(עזר!L1477="","",INDEX(עזר!$B$2:$B$5001,עזר!L1477))</f>
        <v/>
      </c>
      <c r="C1477" s="13" t="str">
        <f aca="false">עזר!M1477</f>
        <v/>
      </c>
    </row>
    <row r="1478" customFormat="false" ht="15" hidden="false" customHeight="false" outlineLevel="0" collapsed="false">
      <c r="A1478" s="13" t="str">
        <f aca="false">IF(עזר!L1478="","",INDEX(עזר!$A$2:$A$5001,עזר!L1478))</f>
        <v/>
      </c>
      <c r="B1478" s="13" t="str">
        <f aca="false">IF(עזר!L1478="","",INDEX(עזר!$B$2:$B$5001,עזר!L1478))</f>
        <v/>
      </c>
      <c r="C1478" s="13" t="str">
        <f aca="false">עזר!M1478</f>
        <v/>
      </c>
    </row>
    <row r="1479" customFormat="false" ht="15" hidden="false" customHeight="false" outlineLevel="0" collapsed="false">
      <c r="A1479" s="13" t="str">
        <f aca="false">IF(עזר!L1479="","",INDEX(עזר!$A$2:$A$5001,עזר!L1479))</f>
        <v/>
      </c>
      <c r="B1479" s="13" t="str">
        <f aca="false">IF(עזר!L1479="","",INDEX(עזר!$B$2:$B$5001,עזר!L1479))</f>
        <v/>
      </c>
      <c r="C1479" s="13" t="str">
        <f aca="false">עזר!M1479</f>
        <v/>
      </c>
    </row>
    <row r="1480" customFormat="false" ht="15" hidden="false" customHeight="false" outlineLevel="0" collapsed="false">
      <c r="A1480" s="13" t="str">
        <f aca="false">IF(עזר!L1480="","",INDEX(עזר!$A$2:$A$5001,עזר!L1480))</f>
        <v/>
      </c>
      <c r="B1480" s="13" t="str">
        <f aca="false">IF(עזר!L1480="","",INDEX(עזר!$B$2:$B$5001,עזר!L1480))</f>
        <v/>
      </c>
      <c r="C1480" s="13" t="str">
        <f aca="false">עזר!M1480</f>
        <v/>
      </c>
    </row>
    <row r="1481" customFormat="false" ht="15" hidden="false" customHeight="false" outlineLevel="0" collapsed="false">
      <c r="A1481" s="13" t="str">
        <f aca="false">IF(עזר!L1481="","",INDEX(עזר!$A$2:$A$5001,עזר!L1481))</f>
        <v/>
      </c>
      <c r="B1481" s="13" t="str">
        <f aca="false">IF(עזר!L1481="","",INDEX(עזר!$B$2:$B$5001,עזר!L1481))</f>
        <v/>
      </c>
      <c r="C1481" s="13" t="str">
        <f aca="false">עזר!M1481</f>
        <v/>
      </c>
    </row>
    <row r="1482" customFormat="false" ht="15" hidden="false" customHeight="false" outlineLevel="0" collapsed="false">
      <c r="A1482" s="13" t="str">
        <f aca="false">IF(עזר!L1482="","",INDEX(עזר!$A$2:$A$5001,עזר!L1482))</f>
        <v/>
      </c>
      <c r="B1482" s="13" t="str">
        <f aca="false">IF(עזר!L1482="","",INDEX(עזר!$B$2:$B$5001,עזר!L1482))</f>
        <v/>
      </c>
      <c r="C1482" s="13" t="str">
        <f aca="false">עזר!M1482</f>
        <v/>
      </c>
    </row>
    <row r="1483" customFormat="false" ht="15" hidden="false" customHeight="false" outlineLevel="0" collapsed="false">
      <c r="A1483" s="13" t="str">
        <f aca="false">IF(עזר!L1483="","",INDEX(עזר!$A$2:$A$5001,עזר!L1483))</f>
        <v/>
      </c>
      <c r="B1483" s="13" t="str">
        <f aca="false">IF(עזר!L1483="","",INDEX(עזר!$B$2:$B$5001,עזר!L1483))</f>
        <v/>
      </c>
      <c r="C1483" s="13" t="str">
        <f aca="false">עזר!M1483</f>
        <v/>
      </c>
    </row>
    <row r="1484" customFormat="false" ht="15" hidden="false" customHeight="false" outlineLevel="0" collapsed="false">
      <c r="A1484" s="13" t="str">
        <f aca="false">IF(עזר!L1484="","",INDEX(עזר!$A$2:$A$5001,עזר!L1484))</f>
        <v/>
      </c>
      <c r="B1484" s="13" t="str">
        <f aca="false">IF(עזר!L1484="","",INDEX(עזר!$B$2:$B$5001,עזר!L1484))</f>
        <v/>
      </c>
      <c r="C1484" s="13" t="str">
        <f aca="false">עזר!M1484</f>
        <v/>
      </c>
    </row>
    <row r="1485" customFormat="false" ht="15" hidden="false" customHeight="false" outlineLevel="0" collapsed="false">
      <c r="A1485" s="13" t="str">
        <f aca="false">IF(עזר!L1485="","",INDEX(עזר!$A$2:$A$5001,עזר!L1485))</f>
        <v/>
      </c>
      <c r="B1485" s="13" t="str">
        <f aca="false">IF(עזר!L1485="","",INDEX(עזר!$B$2:$B$5001,עזר!L1485))</f>
        <v/>
      </c>
      <c r="C1485" s="13" t="str">
        <f aca="false">עזר!M1485</f>
        <v/>
      </c>
    </row>
    <row r="1486" customFormat="false" ht="15" hidden="false" customHeight="false" outlineLevel="0" collapsed="false">
      <c r="A1486" s="13" t="str">
        <f aca="false">IF(עזר!L1486="","",INDEX(עזר!$A$2:$A$5001,עזר!L1486))</f>
        <v/>
      </c>
      <c r="B1486" s="13" t="str">
        <f aca="false">IF(עזר!L1486="","",INDEX(עזר!$B$2:$B$5001,עזר!L1486))</f>
        <v/>
      </c>
      <c r="C1486" s="13" t="str">
        <f aca="false">עזר!M1486</f>
        <v/>
      </c>
    </row>
    <row r="1487" customFormat="false" ht="15" hidden="false" customHeight="false" outlineLevel="0" collapsed="false">
      <c r="A1487" s="13" t="str">
        <f aca="false">IF(עזר!L1487="","",INDEX(עזר!$A$2:$A$5001,עזר!L1487))</f>
        <v/>
      </c>
      <c r="B1487" s="13" t="str">
        <f aca="false">IF(עזר!L1487="","",INDEX(עזר!$B$2:$B$5001,עזר!L1487))</f>
        <v/>
      </c>
      <c r="C1487" s="13" t="str">
        <f aca="false">עזר!M1487</f>
        <v/>
      </c>
    </row>
    <row r="1488" customFormat="false" ht="15" hidden="false" customHeight="false" outlineLevel="0" collapsed="false">
      <c r="A1488" s="13" t="str">
        <f aca="false">IF(עזר!L1488="","",INDEX(עזר!$A$2:$A$5001,עזר!L1488))</f>
        <v/>
      </c>
      <c r="B1488" s="13" t="str">
        <f aca="false">IF(עזר!L1488="","",INDEX(עזר!$B$2:$B$5001,עזר!L1488))</f>
        <v/>
      </c>
      <c r="C1488" s="13" t="str">
        <f aca="false">עזר!M1488</f>
        <v/>
      </c>
    </row>
    <row r="1489" customFormat="false" ht="15" hidden="false" customHeight="false" outlineLevel="0" collapsed="false">
      <c r="A1489" s="13" t="str">
        <f aca="false">IF(עזר!L1489="","",INDEX(עזר!$A$2:$A$5001,עזר!L1489))</f>
        <v/>
      </c>
      <c r="B1489" s="13" t="str">
        <f aca="false">IF(עזר!L1489="","",INDEX(עזר!$B$2:$B$5001,עזר!L1489))</f>
        <v/>
      </c>
      <c r="C1489" s="13" t="str">
        <f aca="false">עזר!M1489</f>
        <v/>
      </c>
    </row>
    <row r="1490" customFormat="false" ht="15" hidden="false" customHeight="false" outlineLevel="0" collapsed="false">
      <c r="A1490" s="13" t="str">
        <f aca="false">IF(עזר!L1490="","",INDEX(עזר!$A$2:$A$5001,עזר!L1490))</f>
        <v/>
      </c>
      <c r="B1490" s="13" t="str">
        <f aca="false">IF(עזר!L1490="","",INDEX(עזר!$B$2:$B$5001,עזר!L1490))</f>
        <v/>
      </c>
      <c r="C1490" s="13" t="str">
        <f aca="false">עזר!M1490</f>
        <v/>
      </c>
    </row>
    <row r="1491" customFormat="false" ht="15" hidden="false" customHeight="false" outlineLevel="0" collapsed="false">
      <c r="A1491" s="13" t="str">
        <f aca="false">IF(עזר!L1491="","",INDEX(עזר!$A$2:$A$5001,עזר!L1491))</f>
        <v/>
      </c>
      <c r="B1491" s="13" t="str">
        <f aca="false">IF(עזר!L1491="","",INDEX(עזר!$B$2:$B$5001,עזר!L1491))</f>
        <v/>
      </c>
      <c r="C1491" s="13" t="str">
        <f aca="false">עזר!M1491</f>
        <v/>
      </c>
    </row>
    <row r="1492" customFormat="false" ht="15" hidden="false" customHeight="false" outlineLevel="0" collapsed="false">
      <c r="A1492" s="13" t="str">
        <f aca="false">IF(עזר!L1492="","",INDEX(עזר!$A$2:$A$5001,עזר!L1492))</f>
        <v/>
      </c>
      <c r="B1492" s="13" t="str">
        <f aca="false">IF(עזר!L1492="","",INDEX(עזר!$B$2:$B$5001,עזר!L1492))</f>
        <v/>
      </c>
      <c r="C1492" s="13" t="str">
        <f aca="false">עזר!M1492</f>
        <v/>
      </c>
    </row>
    <row r="1493" customFormat="false" ht="15" hidden="false" customHeight="false" outlineLevel="0" collapsed="false">
      <c r="A1493" s="13" t="str">
        <f aca="false">IF(עזר!L1493="","",INDEX(עזר!$A$2:$A$5001,עזר!L1493))</f>
        <v/>
      </c>
      <c r="B1493" s="13" t="str">
        <f aca="false">IF(עזר!L1493="","",INDEX(עזר!$B$2:$B$5001,עזר!L1493))</f>
        <v/>
      </c>
      <c r="C1493" s="13" t="str">
        <f aca="false">עזר!M1493</f>
        <v/>
      </c>
    </row>
    <row r="1494" customFormat="false" ht="15" hidden="false" customHeight="false" outlineLevel="0" collapsed="false">
      <c r="A1494" s="13" t="str">
        <f aca="false">IF(עזר!L1494="","",INDEX(עזר!$A$2:$A$5001,עזר!L1494))</f>
        <v/>
      </c>
      <c r="B1494" s="13" t="str">
        <f aca="false">IF(עזר!L1494="","",INDEX(עזר!$B$2:$B$5001,עזר!L1494))</f>
        <v/>
      </c>
      <c r="C1494" s="13" t="str">
        <f aca="false">עזר!M1494</f>
        <v/>
      </c>
    </row>
    <row r="1495" customFormat="false" ht="15" hidden="false" customHeight="false" outlineLevel="0" collapsed="false">
      <c r="A1495" s="13" t="str">
        <f aca="false">IF(עזר!L1495="","",INDEX(עזר!$A$2:$A$5001,עזר!L1495))</f>
        <v/>
      </c>
      <c r="B1495" s="13" t="str">
        <f aca="false">IF(עזר!L1495="","",INDEX(עזר!$B$2:$B$5001,עזר!L1495))</f>
        <v/>
      </c>
      <c r="C1495" s="13" t="str">
        <f aca="false">עזר!M1495</f>
        <v/>
      </c>
    </row>
    <row r="1496" customFormat="false" ht="15" hidden="false" customHeight="false" outlineLevel="0" collapsed="false">
      <c r="A1496" s="13" t="str">
        <f aca="false">IF(עזר!L1496="","",INDEX(עזר!$A$2:$A$5001,עזר!L1496))</f>
        <v/>
      </c>
      <c r="B1496" s="13" t="str">
        <f aca="false">IF(עזר!L1496="","",INDEX(עזר!$B$2:$B$5001,עזר!L1496))</f>
        <v/>
      </c>
      <c r="C1496" s="13" t="str">
        <f aca="false">עזר!M1496</f>
        <v/>
      </c>
    </row>
    <row r="1497" customFormat="false" ht="15" hidden="false" customHeight="false" outlineLevel="0" collapsed="false">
      <c r="A1497" s="13" t="str">
        <f aca="false">IF(עזר!L1497="","",INDEX(עזר!$A$2:$A$5001,עזר!L1497))</f>
        <v/>
      </c>
      <c r="B1497" s="13" t="str">
        <f aca="false">IF(עזר!L1497="","",INDEX(עזר!$B$2:$B$5001,עזר!L1497))</f>
        <v/>
      </c>
      <c r="C1497" s="13" t="str">
        <f aca="false">עזר!M1497</f>
        <v/>
      </c>
    </row>
    <row r="1498" customFormat="false" ht="15" hidden="false" customHeight="false" outlineLevel="0" collapsed="false">
      <c r="A1498" s="13" t="str">
        <f aca="false">IF(עזר!L1498="","",INDEX(עזר!$A$2:$A$5001,עזר!L1498))</f>
        <v/>
      </c>
      <c r="B1498" s="13" t="str">
        <f aca="false">IF(עזר!L1498="","",INDEX(עזר!$B$2:$B$5001,עזר!L1498))</f>
        <v/>
      </c>
      <c r="C1498" s="13" t="str">
        <f aca="false">עזר!M1498</f>
        <v/>
      </c>
    </row>
    <row r="1499" customFormat="false" ht="15" hidden="false" customHeight="false" outlineLevel="0" collapsed="false">
      <c r="A1499" s="13" t="str">
        <f aca="false">IF(עזר!L1499="","",INDEX(עזר!$A$2:$A$5001,עזר!L1499))</f>
        <v/>
      </c>
      <c r="B1499" s="13" t="str">
        <f aca="false">IF(עזר!L1499="","",INDEX(עזר!$B$2:$B$5001,עזר!L1499))</f>
        <v/>
      </c>
      <c r="C1499" s="13" t="str">
        <f aca="false">עזר!M1499</f>
        <v/>
      </c>
    </row>
    <row r="1500" customFormat="false" ht="15" hidden="false" customHeight="false" outlineLevel="0" collapsed="false">
      <c r="A1500" s="13" t="str">
        <f aca="false">IF(עזר!L1500="","",INDEX(עזר!$A$2:$A$5001,עזר!L1500))</f>
        <v/>
      </c>
      <c r="B1500" s="13" t="str">
        <f aca="false">IF(עזר!L1500="","",INDEX(עזר!$B$2:$B$5001,עזר!L1500))</f>
        <v/>
      </c>
      <c r="C1500" s="13" t="str">
        <f aca="false">עזר!M1500</f>
        <v/>
      </c>
    </row>
    <row r="1501" customFormat="false" ht="15" hidden="false" customHeight="false" outlineLevel="0" collapsed="false">
      <c r="A1501" s="13" t="str">
        <f aca="false">IF(עזר!L1501="","",INDEX(עזר!$A$2:$A$5001,עזר!L1501))</f>
        <v/>
      </c>
      <c r="B1501" s="13" t="str">
        <f aca="false">IF(עזר!L1501="","",INDEX(עזר!$B$2:$B$5001,עזר!L1501))</f>
        <v/>
      </c>
      <c r="C1501" s="13" t="str">
        <f aca="false">עזר!M1501</f>
        <v/>
      </c>
    </row>
    <row r="1502" customFormat="false" ht="15" hidden="false" customHeight="false" outlineLevel="0" collapsed="false">
      <c r="A1502" s="13" t="str">
        <f aca="false">IF(עזר!L1502="","",INDEX(עזר!$A$2:$A$5001,עזר!L1502))</f>
        <v/>
      </c>
      <c r="B1502" s="13" t="str">
        <f aca="false">IF(עזר!L1502="","",INDEX(עזר!$B$2:$B$5001,עזר!L1502))</f>
        <v/>
      </c>
      <c r="C1502" s="13" t="str">
        <f aca="false">עזר!M1502</f>
        <v/>
      </c>
    </row>
    <row r="1503" customFormat="false" ht="15" hidden="false" customHeight="false" outlineLevel="0" collapsed="false">
      <c r="A1503" s="13" t="str">
        <f aca="false">IF(עזר!L1503="","",INDEX(עזר!$A$2:$A$5001,עזר!L1503))</f>
        <v/>
      </c>
      <c r="B1503" s="13" t="str">
        <f aca="false">IF(עזר!L1503="","",INDEX(עזר!$B$2:$B$5001,עזר!L1503))</f>
        <v/>
      </c>
      <c r="C1503" s="13" t="str">
        <f aca="false">עזר!M1503</f>
        <v/>
      </c>
    </row>
    <row r="1504" customFormat="false" ht="15" hidden="false" customHeight="false" outlineLevel="0" collapsed="false">
      <c r="A1504" s="13" t="str">
        <f aca="false">IF(עזר!L1504="","",INDEX(עזר!$A$2:$A$5001,עזר!L1504))</f>
        <v/>
      </c>
      <c r="B1504" s="13" t="str">
        <f aca="false">IF(עזר!L1504="","",INDEX(עזר!$B$2:$B$5001,עזר!L1504))</f>
        <v/>
      </c>
      <c r="C1504" s="13" t="str">
        <f aca="false">עזר!M1504</f>
        <v/>
      </c>
    </row>
    <row r="1505" customFormat="false" ht="15" hidden="false" customHeight="false" outlineLevel="0" collapsed="false">
      <c r="A1505" s="13" t="str">
        <f aca="false">IF(עזר!L1505="","",INDEX(עזר!$A$2:$A$5001,עזר!L1505))</f>
        <v/>
      </c>
      <c r="B1505" s="13" t="str">
        <f aca="false">IF(עזר!L1505="","",INDEX(עזר!$B$2:$B$5001,עזר!L1505))</f>
        <v/>
      </c>
      <c r="C1505" s="13" t="str">
        <f aca="false">עזר!M1505</f>
        <v/>
      </c>
    </row>
    <row r="1506" customFormat="false" ht="15" hidden="false" customHeight="false" outlineLevel="0" collapsed="false">
      <c r="A1506" s="13" t="str">
        <f aca="false">IF(עזר!L1506="","",INDEX(עזר!$A$2:$A$5001,עזר!L1506))</f>
        <v/>
      </c>
      <c r="B1506" s="13" t="str">
        <f aca="false">IF(עזר!L1506="","",INDEX(עזר!$B$2:$B$5001,עזר!L1506))</f>
        <v/>
      </c>
      <c r="C1506" s="13" t="str">
        <f aca="false">עזר!M1506</f>
        <v/>
      </c>
    </row>
    <row r="1507" customFormat="false" ht="15" hidden="false" customHeight="false" outlineLevel="0" collapsed="false">
      <c r="A1507" s="13" t="str">
        <f aca="false">IF(עזר!L1507="","",INDEX(עזר!$A$2:$A$5001,עזר!L1507))</f>
        <v/>
      </c>
      <c r="B1507" s="13" t="str">
        <f aca="false">IF(עזר!L1507="","",INDEX(עזר!$B$2:$B$5001,עזר!L1507))</f>
        <v/>
      </c>
      <c r="C1507" s="13" t="str">
        <f aca="false">עזר!M1507</f>
        <v/>
      </c>
    </row>
    <row r="1508" customFormat="false" ht="15" hidden="false" customHeight="false" outlineLevel="0" collapsed="false">
      <c r="A1508" s="13" t="str">
        <f aca="false">IF(עזר!L1508="","",INDEX(עזר!$A$2:$A$5001,עזר!L1508))</f>
        <v/>
      </c>
      <c r="B1508" s="13" t="str">
        <f aca="false">IF(עזר!L1508="","",INDEX(עזר!$B$2:$B$5001,עזר!L1508))</f>
        <v/>
      </c>
      <c r="C1508" s="13" t="str">
        <f aca="false">עזר!M1508</f>
        <v/>
      </c>
    </row>
    <row r="1509" customFormat="false" ht="15" hidden="false" customHeight="false" outlineLevel="0" collapsed="false">
      <c r="A1509" s="13" t="str">
        <f aca="false">IF(עזר!L1509="","",INDEX(עזר!$A$2:$A$5001,עזר!L1509))</f>
        <v/>
      </c>
      <c r="B1509" s="13" t="str">
        <f aca="false">IF(עזר!L1509="","",INDEX(עזר!$B$2:$B$5001,עזר!L1509))</f>
        <v/>
      </c>
      <c r="C1509" s="13" t="str">
        <f aca="false">עזר!M1509</f>
        <v/>
      </c>
    </row>
    <row r="1510" customFormat="false" ht="15" hidden="false" customHeight="false" outlineLevel="0" collapsed="false">
      <c r="A1510" s="13" t="str">
        <f aca="false">IF(עזר!L1510="","",INDEX(עזר!$A$2:$A$5001,עזר!L1510))</f>
        <v/>
      </c>
      <c r="B1510" s="13" t="str">
        <f aca="false">IF(עזר!L1510="","",INDEX(עזר!$B$2:$B$5001,עזר!L1510))</f>
        <v/>
      </c>
      <c r="C1510" s="13" t="str">
        <f aca="false">עזר!M1510</f>
        <v/>
      </c>
    </row>
    <row r="1511" customFormat="false" ht="15" hidden="false" customHeight="false" outlineLevel="0" collapsed="false">
      <c r="A1511" s="13" t="str">
        <f aca="false">IF(עזר!L1511="","",INDEX(עזר!$A$2:$A$5001,עזר!L1511))</f>
        <v/>
      </c>
      <c r="B1511" s="13" t="str">
        <f aca="false">IF(עזר!L1511="","",INDEX(עזר!$B$2:$B$5001,עזר!L1511))</f>
        <v/>
      </c>
      <c r="C1511" s="13" t="str">
        <f aca="false">עזר!M1511</f>
        <v/>
      </c>
    </row>
    <row r="1512" customFormat="false" ht="15" hidden="false" customHeight="false" outlineLevel="0" collapsed="false">
      <c r="A1512" s="13" t="str">
        <f aca="false">IF(עזר!L1512="","",INDEX(עזר!$A$2:$A$5001,עזר!L1512))</f>
        <v/>
      </c>
      <c r="B1512" s="13" t="str">
        <f aca="false">IF(עזר!L1512="","",INDEX(עזר!$B$2:$B$5001,עזר!L1512))</f>
        <v/>
      </c>
      <c r="C1512" s="13" t="str">
        <f aca="false">עזר!M1512</f>
        <v/>
      </c>
    </row>
    <row r="1513" customFormat="false" ht="15" hidden="false" customHeight="false" outlineLevel="0" collapsed="false">
      <c r="A1513" s="13" t="str">
        <f aca="false">IF(עזר!L1513="","",INDEX(עזר!$A$2:$A$5001,עזר!L1513))</f>
        <v/>
      </c>
      <c r="B1513" s="13" t="str">
        <f aca="false">IF(עזר!L1513="","",INDEX(עזר!$B$2:$B$5001,עזר!L1513))</f>
        <v/>
      </c>
      <c r="C1513" s="13" t="str">
        <f aca="false">עזר!M1513</f>
        <v/>
      </c>
    </row>
    <row r="1514" customFormat="false" ht="15" hidden="false" customHeight="false" outlineLevel="0" collapsed="false">
      <c r="A1514" s="13" t="str">
        <f aca="false">IF(עזר!L1514="","",INDEX(עזר!$A$2:$A$5001,עזר!L1514))</f>
        <v/>
      </c>
      <c r="B1514" s="13" t="str">
        <f aca="false">IF(עזר!L1514="","",INDEX(עזר!$B$2:$B$5001,עזר!L1514))</f>
        <v/>
      </c>
      <c r="C1514" s="13" t="str">
        <f aca="false">עזר!M1514</f>
        <v/>
      </c>
    </row>
    <row r="1515" customFormat="false" ht="15" hidden="false" customHeight="false" outlineLevel="0" collapsed="false">
      <c r="A1515" s="13" t="str">
        <f aca="false">IF(עזר!L1515="","",INDEX(עזר!$A$2:$A$5001,עזר!L1515))</f>
        <v/>
      </c>
      <c r="B1515" s="13" t="str">
        <f aca="false">IF(עזר!L1515="","",INDEX(עזר!$B$2:$B$5001,עזר!L1515))</f>
        <v/>
      </c>
      <c r="C1515" s="13" t="str">
        <f aca="false">עזר!M1515</f>
        <v/>
      </c>
    </row>
    <row r="1516" customFormat="false" ht="15" hidden="false" customHeight="false" outlineLevel="0" collapsed="false">
      <c r="A1516" s="13" t="str">
        <f aca="false">IF(עזר!L1516="","",INDEX(עזר!$A$2:$A$5001,עזר!L1516))</f>
        <v/>
      </c>
      <c r="B1516" s="13" t="str">
        <f aca="false">IF(עזר!L1516="","",INDEX(עזר!$B$2:$B$5001,עזר!L1516))</f>
        <v/>
      </c>
      <c r="C1516" s="13" t="str">
        <f aca="false">עזר!M1516</f>
        <v/>
      </c>
    </row>
    <row r="1517" customFormat="false" ht="15" hidden="false" customHeight="false" outlineLevel="0" collapsed="false">
      <c r="A1517" s="13" t="str">
        <f aca="false">IF(עזר!L1517="","",INDEX(עזר!$A$2:$A$5001,עזר!L1517))</f>
        <v/>
      </c>
      <c r="B1517" s="13" t="str">
        <f aca="false">IF(עזר!L1517="","",INDEX(עזר!$B$2:$B$5001,עזר!L1517))</f>
        <v/>
      </c>
      <c r="C1517" s="13" t="str">
        <f aca="false">עזר!M1517</f>
        <v/>
      </c>
    </row>
    <row r="1518" customFormat="false" ht="15" hidden="false" customHeight="false" outlineLevel="0" collapsed="false">
      <c r="A1518" s="13" t="str">
        <f aca="false">IF(עזר!L1518="","",INDEX(עזר!$A$2:$A$5001,עזר!L1518))</f>
        <v/>
      </c>
      <c r="B1518" s="13" t="str">
        <f aca="false">IF(עזר!L1518="","",INDEX(עזר!$B$2:$B$5001,עזר!L1518))</f>
        <v/>
      </c>
      <c r="C1518" s="13" t="str">
        <f aca="false">עזר!M1518</f>
        <v/>
      </c>
    </row>
    <row r="1519" customFormat="false" ht="15" hidden="false" customHeight="false" outlineLevel="0" collapsed="false">
      <c r="A1519" s="13" t="str">
        <f aca="false">IF(עזר!L1519="","",INDEX(עזר!$A$2:$A$5001,עזר!L1519))</f>
        <v/>
      </c>
      <c r="B1519" s="13" t="str">
        <f aca="false">IF(עזר!L1519="","",INDEX(עזר!$B$2:$B$5001,עזר!L1519))</f>
        <v/>
      </c>
      <c r="C1519" s="13" t="str">
        <f aca="false">עזר!M1519</f>
        <v/>
      </c>
    </row>
    <row r="1520" customFormat="false" ht="15" hidden="false" customHeight="false" outlineLevel="0" collapsed="false">
      <c r="A1520" s="13" t="str">
        <f aca="false">IF(עזר!L1520="","",INDEX(עזר!$A$2:$A$5001,עזר!L1520))</f>
        <v/>
      </c>
      <c r="B1520" s="13" t="str">
        <f aca="false">IF(עזר!L1520="","",INDEX(עזר!$B$2:$B$5001,עזר!L1520))</f>
        <v/>
      </c>
      <c r="C1520" s="13" t="str">
        <f aca="false">עזר!M1520</f>
        <v/>
      </c>
    </row>
    <row r="1521" customFormat="false" ht="15" hidden="false" customHeight="false" outlineLevel="0" collapsed="false">
      <c r="A1521" s="13" t="str">
        <f aca="false">IF(עזר!L1521="","",INDEX(עזר!$A$2:$A$5001,עזר!L1521))</f>
        <v/>
      </c>
      <c r="B1521" s="13" t="str">
        <f aca="false">IF(עזר!L1521="","",INDEX(עזר!$B$2:$B$5001,עזר!L1521))</f>
        <v/>
      </c>
      <c r="C1521" s="13" t="str">
        <f aca="false">עזר!M1521</f>
        <v/>
      </c>
    </row>
    <row r="1522" customFormat="false" ht="15" hidden="false" customHeight="false" outlineLevel="0" collapsed="false">
      <c r="A1522" s="13" t="str">
        <f aca="false">IF(עזר!L1522="","",INDEX(עזר!$A$2:$A$5001,עזר!L1522))</f>
        <v/>
      </c>
      <c r="B1522" s="13" t="str">
        <f aca="false">IF(עזר!L1522="","",INDEX(עזר!$B$2:$B$5001,עזר!L1522))</f>
        <v/>
      </c>
      <c r="C1522" s="13" t="str">
        <f aca="false">עזר!M1522</f>
        <v/>
      </c>
    </row>
    <row r="1523" customFormat="false" ht="15" hidden="false" customHeight="false" outlineLevel="0" collapsed="false">
      <c r="A1523" s="13" t="str">
        <f aca="false">IF(עזר!L1523="","",INDEX(עזר!$A$2:$A$5001,עזר!L1523))</f>
        <v/>
      </c>
      <c r="B1523" s="13" t="str">
        <f aca="false">IF(עזר!L1523="","",INDEX(עזר!$B$2:$B$5001,עזר!L1523))</f>
        <v/>
      </c>
      <c r="C1523" s="13" t="str">
        <f aca="false">עזר!M1523</f>
        <v/>
      </c>
    </row>
    <row r="1524" customFormat="false" ht="15" hidden="false" customHeight="false" outlineLevel="0" collapsed="false">
      <c r="A1524" s="13" t="str">
        <f aca="false">IF(עזר!L1524="","",INDEX(עזר!$A$2:$A$5001,עזר!L1524))</f>
        <v/>
      </c>
      <c r="B1524" s="13" t="str">
        <f aca="false">IF(עזר!L1524="","",INDEX(עזר!$B$2:$B$5001,עזר!L1524))</f>
        <v/>
      </c>
      <c r="C1524" s="13" t="str">
        <f aca="false">עזר!M1524</f>
        <v/>
      </c>
    </row>
    <row r="1525" customFormat="false" ht="15" hidden="false" customHeight="false" outlineLevel="0" collapsed="false">
      <c r="A1525" s="13" t="str">
        <f aca="false">IF(עזר!L1525="","",INDEX(עזר!$A$2:$A$5001,עזר!L1525))</f>
        <v/>
      </c>
      <c r="B1525" s="13" t="str">
        <f aca="false">IF(עזר!L1525="","",INDEX(עזר!$B$2:$B$5001,עזר!L1525))</f>
        <v/>
      </c>
      <c r="C1525" s="13" t="str">
        <f aca="false">עזר!M1525</f>
        <v/>
      </c>
    </row>
    <row r="1526" customFormat="false" ht="15" hidden="false" customHeight="false" outlineLevel="0" collapsed="false">
      <c r="A1526" s="13" t="str">
        <f aca="false">IF(עזר!L1526="","",INDEX(עזר!$A$2:$A$5001,עזר!L1526))</f>
        <v/>
      </c>
      <c r="B1526" s="13" t="str">
        <f aca="false">IF(עזר!L1526="","",INDEX(עזר!$B$2:$B$5001,עזר!L1526))</f>
        <v/>
      </c>
      <c r="C1526" s="13" t="str">
        <f aca="false">עזר!M1526</f>
        <v/>
      </c>
    </row>
    <row r="1527" customFormat="false" ht="15" hidden="false" customHeight="false" outlineLevel="0" collapsed="false">
      <c r="A1527" s="13" t="str">
        <f aca="false">IF(עזר!L1527="","",INDEX(עזר!$A$2:$A$5001,עזר!L1527))</f>
        <v/>
      </c>
      <c r="B1527" s="13" t="str">
        <f aca="false">IF(עזר!L1527="","",INDEX(עזר!$B$2:$B$5001,עזר!L1527))</f>
        <v/>
      </c>
      <c r="C1527" s="13" t="str">
        <f aca="false">עזר!M1527</f>
        <v/>
      </c>
    </row>
    <row r="1528" customFormat="false" ht="15" hidden="false" customHeight="false" outlineLevel="0" collapsed="false">
      <c r="A1528" s="13" t="str">
        <f aca="false">IF(עזר!L1528="","",INDEX(עזר!$A$2:$A$5001,עזר!L1528))</f>
        <v/>
      </c>
      <c r="B1528" s="13" t="str">
        <f aca="false">IF(עזר!L1528="","",INDEX(עזר!$B$2:$B$5001,עזר!L1528))</f>
        <v/>
      </c>
      <c r="C1528" s="13" t="str">
        <f aca="false">עזר!M1528</f>
        <v/>
      </c>
    </row>
    <row r="1529" customFormat="false" ht="15" hidden="false" customHeight="false" outlineLevel="0" collapsed="false">
      <c r="A1529" s="13" t="str">
        <f aca="false">IF(עזר!L1529="","",INDEX(עזר!$A$2:$A$5001,עזר!L1529))</f>
        <v/>
      </c>
      <c r="B1529" s="13" t="str">
        <f aca="false">IF(עזר!L1529="","",INDEX(עזר!$B$2:$B$5001,עזר!L1529))</f>
        <v/>
      </c>
      <c r="C1529" s="13" t="str">
        <f aca="false">עזר!M1529</f>
        <v/>
      </c>
    </row>
    <row r="1530" customFormat="false" ht="15" hidden="false" customHeight="false" outlineLevel="0" collapsed="false">
      <c r="A1530" s="13" t="str">
        <f aca="false">IF(עזר!L1530="","",INDEX(עזר!$A$2:$A$5001,עזר!L1530))</f>
        <v/>
      </c>
      <c r="B1530" s="13" t="str">
        <f aca="false">IF(עזר!L1530="","",INDEX(עזר!$B$2:$B$5001,עזר!L1530))</f>
        <v/>
      </c>
      <c r="C1530" s="13" t="str">
        <f aca="false">עזר!M1530</f>
        <v/>
      </c>
    </row>
    <row r="1531" customFormat="false" ht="15" hidden="false" customHeight="false" outlineLevel="0" collapsed="false">
      <c r="A1531" s="13" t="str">
        <f aca="false">IF(עזר!L1531="","",INDEX(עזר!$A$2:$A$5001,עזר!L1531))</f>
        <v/>
      </c>
      <c r="B1531" s="13" t="str">
        <f aca="false">IF(עזר!L1531="","",INDEX(עזר!$B$2:$B$5001,עזר!L1531))</f>
        <v/>
      </c>
      <c r="C1531" s="13" t="str">
        <f aca="false">עזר!M1531</f>
        <v/>
      </c>
    </row>
    <row r="1532" customFormat="false" ht="15" hidden="false" customHeight="false" outlineLevel="0" collapsed="false">
      <c r="A1532" s="13" t="str">
        <f aca="false">IF(עזר!L1532="","",INDEX(עזר!$A$2:$A$5001,עזר!L1532))</f>
        <v/>
      </c>
      <c r="B1532" s="13" t="str">
        <f aca="false">IF(עזר!L1532="","",INDEX(עזר!$B$2:$B$5001,עזר!L1532))</f>
        <v/>
      </c>
      <c r="C1532" s="13" t="str">
        <f aca="false">עזר!M1532</f>
        <v/>
      </c>
    </row>
    <row r="1533" customFormat="false" ht="15" hidden="false" customHeight="false" outlineLevel="0" collapsed="false">
      <c r="A1533" s="13" t="str">
        <f aca="false">IF(עזר!L1533="","",INDEX(עזר!$A$2:$A$5001,עזר!L1533))</f>
        <v/>
      </c>
      <c r="B1533" s="13" t="str">
        <f aca="false">IF(עזר!L1533="","",INDEX(עזר!$B$2:$B$5001,עזר!L1533))</f>
        <v/>
      </c>
      <c r="C1533" s="13" t="str">
        <f aca="false">עזר!M1533</f>
        <v/>
      </c>
    </row>
    <row r="1534" customFormat="false" ht="15" hidden="false" customHeight="false" outlineLevel="0" collapsed="false">
      <c r="A1534" s="13" t="str">
        <f aca="false">IF(עזר!L1534="","",INDEX(עזר!$A$2:$A$5001,עזר!L1534))</f>
        <v/>
      </c>
      <c r="B1534" s="13" t="str">
        <f aca="false">IF(עזר!L1534="","",INDEX(עזר!$B$2:$B$5001,עזר!L1534))</f>
        <v/>
      </c>
      <c r="C1534" s="13" t="str">
        <f aca="false">עזר!M1534</f>
        <v/>
      </c>
    </row>
    <row r="1535" customFormat="false" ht="15" hidden="false" customHeight="false" outlineLevel="0" collapsed="false">
      <c r="A1535" s="13" t="str">
        <f aca="false">IF(עזר!L1535="","",INDEX(עזר!$A$2:$A$5001,עזר!L1535))</f>
        <v/>
      </c>
      <c r="B1535" s="13" t="str">
        <f aca="false">IF(עזר!L1535="","",INDEX(עזר!$B$2:$B$5001,עזר!L1535))</f>
        <v/>
      </c>
      <c r="C1535" s="13" t="str">
        <f aca="false">עזר!M1535</f>
        <v/>
      </c>
    </row>
    <row r="1536" customFormat="false" ht="15" hidden="false" customHeight="false" outlineLevel="0" collapsed="false">
      <c r="A1536" s="13" t="str">
        <f aca="false">IF(עזר!L1536="","",INDEX(עזר!$A$2:$A$5001,עזר!L1536))</f>
        <v/>
      </c>
      <c r="B1536" s="13" t="str">
        <f aca="false">IF(עזר!L1536="","",INDEX(עזר!$B$2:$B$5001,עזר!L1536))</f>
        <v/>
      </c>
      <c r="C1536" s="13" t="str">
        <f aca="false">עזר!M1536</f>
        <v/>
      </c>
    </row>
    <row r="1537" customFormat="false" ht="15" hidden="false" customHeight="false" outlineLevel="0" collapsed="false">
      <c r="A1537" s="13" t="str">
        <f aca="false">IF(עזר!L1537="","",INDEX(עזר!$A$2:$A$5001,עזר!L1537))</f>
        <v/>
      </c>
      <c r="B1537" s="13" t="str">
        <f aca="false">IF(עזר!L1537="","",INDEX(עזר!$B$2:$B$5001,עזר!L1537))</f>
        <v/>
      </c>
      <c r="C1537" s="13" t="str">
        <f aca="false">עזר!M1537</f>
        <v/>
      </c>
    </row>
    <row r="1538" customFormat="false" ht="15" hidden="false" customHeight="false" outlineLevel="0" collapsed="false">
      <c r="A1538" s="13" t="str">
        <f aca="false">IF(עזר!L1538="","",INDEX(עזר!$A$2:$A$5001,עזר!L1538))</f>
        <v/>
      </c>
      <c r="B1538" s="13" t="str">
        <f aca="false">IF(עזר!L1538="","",INDEX(עזר!$B$2:$B$5001,עזר!L1538))</f>
        <v/>
      </c>
      <c r="C1538" s="13" t="str">
        <f aca="false">עזר!M1538</f>
        <v/>
      </c>
    </row>
    <row r="1539" customFormat="false" ht="15" hidden="false" customHeight="false" outlineLevel="0" collapsed="false">
      <c r="A1539" s="13" t="str">
        <f aca="false">IF(עזר!L1539="","",INDEX(עזר!$A$2:$A$5001,עזר!L1539))</f>
        <v/>
      </c>
      <c r="B1539" s="13" t="str">
        <f aca="false">IF(עזר!L1539="","",INDEX(עזר!$B$2:$B$5001,עזר!L1539))</f>
        <v/>
      </c>
      <c r="C1539" s="13" t="str">
        <f aca="false">עזר!M1539</f>
        <v/>
      </c>
    </row>
    <row r="1540" customFormat="false" ht="15" hidden="false" customHeight="false" outlineLevel="0" collapsed="false">
      <c r="A1540" s="13" t="str">
        <f aca="false">IF(עזר!L1540="","",INDEX(עזר!$A$2:$A$5001,עזר!L1540))</f>
        <v/>
      </c>
      <c r="B1540" s="13" t="str">
        <f aca="false">IF(עזר!L1540="","",INDEX(עזר!$B$2:$B$5001,עזר!L1540))</f>
        <v/>
      </c>
      <c r="C1540" s="13" t="str">
        <f aca="false">עזר!M1540</f>
        <v/>
      </c>
    </row>
    <row r="1541" customFormat="false" ht="15" hidden="false" customHeight="false" outlineLevel="0" collapsed="false">
      <c r="A1541" s="13" t="str">
        <f aca="false">IF(עזר!L1541="","",INDEX(עזר!$A$2:$A$5001,עזר!L1541))</f>
        <v/>
      </c>
      <c r="B1541" s="13" t="str">
        <f aca="false">IF(עזר!L1541="","",INDEX(עזר!$B$2:$B$5001,עזר!L1541))</f>
        <v/>
      </c>
      <c r="C1541" s="13" t="str">
        <f aca="false">עזר!M1541</f>
        <v/>
      </c>
    </row>
    <row r="1542" customFormat="false" ht="15" hidden="false" customHeight="false" outlineLevel="0" collapsed="false">
      <c r="A1542" s="13" t="str">
        <f aca="false">IF(עזר!L1542="","",INDEX(עזר!$A$2:$A$5001,עזר!L1542))</f>
        <v/>
      </c>
      <c r="B1542" s="13" t="str">
        <f aca="false">IF(עזר!L1542="","",INDEX(עזר!$B$2:$B$5001,עזר!L1542))</f>
        <v/>
      </c>
      <c r="C1542" s="13" t="str">
        <f aca="false">עזר!M1542</f>
        <v/>
      </c>
    </row>
    <row r="1543" customFormat="false" ht="15" hidden="false" customHeight="false" outlineLevel="0" collapsed="false">
      <c r="A1543" s="13" t="str">
        <f aca="false">IF(עזר!L1543="","",INDEX(עזר!$A$2:$A$5001,עזר!L1543))</f>
        <v/>
      </c>
      <c r="B1543" s="13" t="str">
        <f aca="false">IF(עזר!L1543="","",INDEX(עזר!$B$2:$B$5001,עזר!L1543))</f>
        <v/>
      </c>
      <c r="C1543" s="13" t="str">
        <f aca="false">עזר!M1543</f>
        <v/>
      </c>
    </row>
    <row r="1544" customFormat="false" ht="15" hidden="false" customHeight="false" outlineLevel="0" collapsed="false">
      <c r="A1544" s="13" t="str">
        <f aca="false">IF(עזר!L1544="","",INDEX(עזר!$A$2:$A$5001,עזר!L1544))</f>
        <v/>
      </c>
      <c r="B1544" s="13" t="str">
        <f aca="false">IF(עזר!L1544="","",INDEX(עזר!$B$2:$B$5001,עזר!L1544))</f>
        <v/>
      </c>
      <c r="C1544" s="13" t="str">
        <f aca="false">עזר!M1544</f>
        <v/>
      </c>
    </row>
    <row r="1545" customFormat="false" ht="15" hidden="false" customHeight="false" outlineLevel="0" collapsed="false">
      <c r="A1545" s="13" t="str">
        <f aca="false">IF(עזר!L1545="","",INDEX(עזר!$A$2:$A$5001,עזר!L1545))</f>
        <v/>
      </c>
      <c r="B1545" s="13" t="str">
        <f aca="false">IF(עזר!L1545="","",INDEX(עזר!$B$2:$B$5001,עזר!L1545))</f>
        <v/>
      </c>
      <c r="C1545" s="13" t="str">
        <f aca="false">עזר!M1545</f>
        <v/>
      </c>
    </row>
    <row r="1546" customFormat="false" ht="15" hidden="false" customHeight="false" outlineLevel="0" collapsed="false">
      <c r="A1546" s="13" t="str">
        <f aca="false">IF(עזר!L1546="","",INDEX(עזר!$A$2:$A$5001,עזר!L1546))</f>
        <v/>
      </c>
      <c r="B1546" s="13" t="str">
        <f aca="false">IF(עזר!L1546="","",INDEX(עזר!$B$2:$B$5001,עזר!L1546))</f>
        <v/>
      </c>
      <c r="C1546" s="13" t="str">
        <f aca="false">עזר!M1546</f>
        <v/>
      </c>
    </row>
    <row r="1547" customFormat="false" ht="15" hidden="false" customHeight="false" outlineLevel="0" collapsed="false">
      <c r="A1547" s="13" t="str">
        <f aca="false">IF(עזר!L1547="","",INDEX(עזר!$A$2:$A$5001,עזר!L1547))</f>
        <v/>
      </c>
      <c r="B1547" s="13" t="str">
        <f aca="false">IF(עזר!L1547="","",INDEX(עזר!$B$2:$B$5001,עזר!L1547))</f>
        <v/>
      </c>
      <c r="C1547" s="13" t="str">
        <f aca="false">עזר!M1547</f>
        <v/>
      </c>
    </row>
    <row r="1548" customFormat="false" ht="15" hidden="false" customHeight="false" outlineLevel="0" collapsed="false">
      <c r="A1548" s="13" t="str">
        <f aca="false">IF(עזר!L1548="","",INDEX(עזר!$A$2:$A$5001,עזר!L1548))</f>
        <v/>
      </c>
      <c r="B1548" s="13" t="str">
        <f aca="false">IF(עזר!L1548="","",INDEX(עזר!$B$2:$B$5001,עזר!L1548))</f>
        <v/>
      </c>
      <c r="C1548" s="13" t="str">
        <f aca="false">עזר!M1548</f>
        <v/>
      </c>
    </row>
    <row r="1549" customFormat="false" ht="15" hidden="false" customHeight="false" outlineLevel="0" collapsed="false">
      <c r="A1549" s="13" t="str">
        <f aca="false">IF(עזר!L1549="","",INDEX(עזר!$A$2:$A$5001,עזר!L1549))</f>
        <v/>
      </c>
      <c r="B1549" s="13" t="str">
        <f aca="false">IF(עזר!L1549="","",INDEX(עזר!$B$2:$B$5001,עזר!L1549))</f>
        <v/>
      </c>
      <c r="C1549" s="13" t="str">
        <f aca="false">עזר!M1549</f>
        <v/>
      </c>
    </row>
    <row r="1550" customFormat="false" ht="15" hidden="false" customHeight="false" outlineLevel="0" collapsed="false">
      <c r="A1550" s="13" t="str">
        <f aca="false">IF(עזר!L1550="","",INDEX(עזר!$A$2:$A$5001,עזר!L1550))</f>
        <v/>
      </c>
      <c r="B1550" s="13" t="str">
        <f aca="false">IF(עזר!L1550="","",INDEX(עזר!$B$2:$B$5001,עזר!L1550))</f>
        <v/>
      </c>
      <c r="C1550" s="13" t="str">
        <f aca="false">עזר!M1550</f>
        <v/>
      </c>
    </row>
    <row r="1551" customFormat="false" ht="15" hidden="false" customHeight="false" outlineLevel="0" collapsed="false">
      <c r="A1551" s="13" t="str">
        <f aca="false">IF(עזר!L1551="","",INDEX(עזר!$A$2:$A$5001,עזר!L1551))</f>
        <v/>
      </c>
      <c r="B1551" s="13" t="str">
        <f aca="false">IF(עזר!L1551="","",INDEX(עזר!$B$2:$B$5001,עזר!L1551))</f>
        <v/>
      </c>
      <c r="C1551" s="13" t="str">
        <f aca="false">עזר!M1551</f>
        <v/>
      </c>
    </row>
    <row r="1552" customFormat="false" ht="15" hidden="false" customHeight="false" outlineLevel="0" collapsed="false">
      <c r="A1552" s="13" t="str">
        <f aca="false">IF(עזר!L1552="","",INDEX(עזר!$A$2:$A$5001,עזר!L1552))</f>
        <v/>
      </c>
      <c r="B1552" s="13" t="str">
        <f aca="false">IF(עזר!L1552="","",INDEX(עזר!$B$2:$B$5001,עזר!L1552))</f>
        <v/>
      </c>
      <c r="C1552" s="13" t="str">
        <f aca="false">עזר!M1552</f>
        <v/>
      </c>
    </row>
    <row r="1553" customFormat="false" ht="15" hidden="false" customHeight="false" outlineLevel="0" collapsed="false">
      <c r="A1553" s="13" t="str">
        <f aca="false">IF(עזר!L1553="","",INDEX(עזר!$A$2:$A$5001,עזר!L1553))</f>
        <v/>
      </c>
      <c r="B1553" s="13" t="str">
        <f aca="false">IF(עזר!L1553="","",INDEX(עזר!$B$2:$B$5001,עזר!L1553))</f>
        <v/>
      </c>
      <c r="C1553" s="13" t="str">
        <f aca="false">עזר!M1553</f>
        <v/>
      </c>
    </row>
    <row r="1554" customFormat="false" ht="15" hidden="false" customHeight="false" outlineLevel="0" collapsed="false">
      <c r="A1554" s="13" t="str">
        <f aca="false">IF(עזר!L1554="","",INDEX(עזר!$A$2:$A$5001,עזר!L1554))</f>
        <v/>
      </c>
      <c r="B1554" s="13" t="str">
        <f aca="false">IF(עזר!L1554="","",INDEX(עזר!$B$2:$B$5001,עזר!L1554))</f>
        <v/>
      </c>
      <c r="C1554" s="13" t="str">
        <f aca="false">עזר!M1554</f>
        <v/>
      </c>
    </row>
    <row r="1555" customFormat="false" ht="15" hidden="false" customHeight="false" outlineLevel="0" collapsed="false">
      <c r="A1555" s="13" t="str">
        <f aca="false">IF(עזר!L1555="","",INDEX(עזר!$A$2:$A$5001,עזר!L1555))</f>
        <v/>
      </c>
      <c r="B1555" s="13" t="str">
        <f aca="false">IF(עזר!L1555="","",INDEX(עזר!$B$2:$B$5001,עזר!L1555))</f>
        <v/>
      </c>
      <c r="C1555" s="13" t="str">
        <f aca="false">עזר!M1555</f>
        <v/>
      </c>
    </row>
    <row r="1556" customFormat="false" ht="15" hidden="false" customHeight="false" outlineLevel="0" collapsed="false">
      <c r="A1556" s="13" t="str">
        <f aca="false">IF(עזר!L1556="","",INDEX(עזר!$A$2:$A$5001,עזר!L1556))</f>
        <v/>
      </c>
      <c r="B1556" s="13" t="str">
        <f aca="false">IF(עזר!L1556="","",INDEX(עזר!$B$2:$B$5001,עזר!L1556))</f>
        <v/>
      </c>
      <c r="C1556" s="13" t="str">
        <f aca="false">עזר!M1556</f>
        <v/>
      </c>
    </row>
    <row r="1557" customFormat="false" ht="15" hidden="false" customHeight="false" outlineLevel="0" collapsed="false">
      <c r="A1557" s="13" t="str">
        <f aca="false">IF(עזר!L1557="","",INDEX(עזר!$A$2:$A$5001,עזר!L1557))</f>
        <v/>
      </c>
      <c r="B1557" s="13" t="str">
        <f aca="false">IF(עזר!L1557="","",INDEX(עזר!$B$2:$B$5001,עזר!L1557))</f>
        <v/>
      </c>
      <c r="C1557" s="13" t="str">
        <f aca="false">עזר!M1557</f>
        <v/>
      </c>
    </row>
    <row r="1558" customFormat="false" ht="15" hidden="false" customHeight="false" outlineLevel="0" collapsed="false">
      <c r="A1558" s="13" t="str">
        <f aca="false">IF(עזר!L1558="","",INDEX(עזר!$A$2:$A$5001,עזר!L1558))</f>
        <v/>
      </c>
      <c r="B1558" s="13" t="str">
        <f aca="false">IF(עזר!L1558="","",INDEX(עזר!$B$2:$B$5001,עזר!L1558))</f>
        <v/>
      </c>
      <c r="C1558" s="13" t="str">
        <f aca="false">עזר!M1558</f>
        <v/>
      </c>
    </row>
    <row r="1559" customFormat="false" ht="15" hidden="false" customHeight="false" outlineLevel="0" collapsed="false">
      <c r="A1559" s="13" t="str">
        <f aca="false">IF(עזר!L1559="","",INDEX(עזר!$A$2:$A$5001,עזר!L1559))</f>
        <v/>
      </c>
      <c r="B1559" s="13" t="str">
        <f aca="false">IF(עזר!L1559="","",INDEX(עזר!$B$2:$B$5001,עזר!L1559))</f>
        <v/>
      </c>
      <c r="C1559" s="13" t="str">
        <f aca="false">עזר!M1559</f>
        <v/>
      </c>
    </row>
    <row r="1560" customFormat="false" ht="15" hidden="false" customHeight="false" outlineLevel="0" collapsed="false">
      <c r="A1560" s="13" t="str">
        <f aca="false">IF(עזר!L1560="","",INDEX(עזר!$A$2:$A$5001,עזר!L1560))</f>
        <v/>
      </c>
      <c r="B1560" s="13" t="str">
        <f aca="false">IF(עזר!L1560="","",INDEX(עזר!$B$2:$B$5001,עזר!L1560))</f>
        <v/>
      </c>
      <c r="C1560" s="13" t="str">
        <f aca="false">עזר!M1560</f>
        <v/>
      </c>
    </row>
    <row r="1561" customFormat="false" ht="15" hidden="false" customHeight="false" outlineLevel="0" collapsed="false">
      <c r="A1561" s="13" t="str">
        <f aca="false">IF(עזר!L1561="","",INDEX(עזר!$A$2:$A$5001,עזר!L1561))</f>
        <v/>
      </c>
      <c r="B1561" s="13" t="str">
        <f aca="false">IF(עזר!L1561="","",INDEX(עזר!$B$2:$B$5001,עזר!L1561))</f>
        <v/>
      </c>
      <c r="C1561" s="13" t="str">
        <f aca="false">עזר!M1561</f>
        <v/>
      </c>
    </row>
    <row r="1562" customFormat="false" ht="15" hidden="false" customHeight="false" outlineLevel="0" collapsed="false">
      <c r="A1562" s="13" t="str">
        <f aca="false">IF(עזר!L1562="","",INDEX(עזר!$A$2:$A$5001,עזר!L1562))</f>
        <v/>
      </c>
      <c r="B1562" s="13" t="str">
        <f aca="false">IF(עזר!L1562="","",INDEX(עזר!$B$2:$B$5001,עזר!L1562))</f>
        <v/>
      </c>
      <c r="C1562" s="13" t="str">
        <f aca="false">עזר!M1562</f>
        <v/>
      </c>
    </row>
    <row r="1563" customFormat="false" ht="15" hidden="false" customHeight="false" outlineLevel="0" collapsed="false">
      <c r="A1563" s="13" t="str">
        <f aca="false">IF(עזר!L1563="","",INDEX(עזר!$A$2:$A$5001,עזר!L1563))</f>
        <v/>
      </c>
      <c r="B1563" s="13" t="str">
        <f aca="false">IF(עזר!L1563="","",INDEX(עזר!$B$2:$B$5001,עזר!L1563))</f>
        <v/>
      </c>
      <c r="C1563" s="13" t="str">
        <f aca="false">עזר!M1563</f>
        <v/>
      </c>
    </row>
    <row r="1564" customFormat="false" ht="15" hidden="false" customHeight="false" outlineLevel="0" collapsed="false">
      <c r="A1564" s="13" t="str">
        <f aca="false">IF(עזר!L1564="","",INDEX(עזר!$A$2:$A$5001,עזר!L1564))</f>
        <v/>
      </c>
      <c r="B1564" s="13" t="str">
        <f aca="false">IF(עזר!L1564="","",INDEX(עזר!$B$2:$B$5001,עזר!L1564))</f>
        <v/>
      </c>
      <c r="C1564" s="13" t="str">
        <f aca="false">עזר!M1564</f>
        <v/>
      </c>
    </row>
    <row r="1565" customFormat="false" ht="15" hidden="false" customHeight="false" outlineLevel="0" collapsed="false">
      <c r="A1565" s="13" t="str">
        <f aca="false">IF(עזר!L1565="","",INDEX(עזר!$A$2:$A$5001,עזר!L1565))</f>
        <v/>
      </c>
      <c r="B1565" s="13" t="str">
        <f aca="false">IF(עזר!L1565="","",INDEX(עזר!$B$2:$B$5001,עזר!L1565))</f>
        <v/>
      </c>
      <c r="C1565" s="13" t="str">
        <f aca="false">עזר!M1565</f>
        <v/>
      </c>
    </row>
    <row r="1566" customFormat="false" ht="15" hidden="false" customHeight="false" outlineLevel="0" collapsed="false">
      <c r="A1566" s="13" t="str">
        <f aca="false">IF(עזר!L1566="","",INDEX(עזר!$A$2:$A$5001,עזר!L1566))</f>
        <v/>
      </c>
      <c r="B1566" s="13" t="str">
        <f aca="false">IF(עזר!L1566="","",INDEX(עזר!$B$2:$B$5001,עזר!L1566))</f>
        <v/>
      </c>
      <c r="C1566" s="13" t="str">
        <f aca="false">עזר!M1566</f>
        <v/>
      </c>
    </row>
    <row r="1567" customFormat="false" ht="15" hidden="false" customHeight="false" outlineLevel="0" collapsed="false">
      <c r="A1567" s="13" t="str">
        <f aca="false">IF(עזר!L1567="","",INDEX(עזר!$A$2:$A$5001,עזר!L1567))</f>
        <v/>
      </c>
      <c r="B1567" s="13" t="str">
        <f aca="false">IF(עזר!L1567="","",INDEX(עזר!$B$2:$B$5001,עזר!L1567))</f>
        <v/>
      </c>
      <c r="C1567" s="13" t="str">
        <f aca="false">עזר!M1567</f>
        <v/>
      </c>
    </row>
    <row r="1568" customFormat="false" ht="15" hidden="false" customHeight="false" outlineLevel="0" collapsed="false">
      <c r="A1568" s="13" t="str">
        <f aca="false">IF(עזר!L1568="","",INDEX(עזר!$A$2:$A$5001,עזר!L1568))</f>
        <v/>
      </c>
      <c r="B1568" s="13" t="str">
        <f aca="false">IF(עזר!L1568="","",INDEX(עזר!$B$2:$B$5001,עזר!L1568))</f>
        <v/>
      </c>
      <c r="C1568" s="13" t="str">
        <f aca="false">עזר!M1568</f>
        <v/>
      </c>
    </row>
    <row r="1569" customFormat="false" ht="15" hidden="false" customHeight="false" outlineLevel="0" collapsed="false">
      <c r="A1569" s="13" t="str">
        <f aca="false">IF(עזר!L1569="","",INDEX(עזר!$A$2:$A$5001,עזר!L1569))</f>
        <v/>
      </c>
      <c r="B1569" s="13" t="str">
        <f aca="false">IF(עזר!L1569="","",INDEX(עזר!$B$2:$B$5001,עזר!L1569))</f>
        <v/>
      </c>
      <c r="C1569" s="13" t="str">
        <f aca="false">עזר!M1569</f>
        <v/>
      </c>
    </row>
    <row r="1570" customFormat="false" ht="15" hidden="false" customHeight="false" outlineLevel="0" collapsed="false">
      <c r="A1570" s="13" t="str">
        <f aca="false">IF(עזר!L1570="","",INDEX(עזר!$A$2:$A$5001,עזר!L1570))</f>
        <v/>
      </c>
      <c r="B1570" s="13" t="str">
        <f aca="false">IF(עזר!L1570="","",INDEX(עזר!$B$2:$B$5001,עזר!L1570))</f>
        <v/>
      </c>
      <c r="C1570" s="13" t="str">
        <f aca="false">עזר!M1570</f>
        <v/>
      </c>
    </row>
    <row r="1571" customFormat="false" ht="15" hidden="false" customHeight="false" outlineLevel="0" collapsed="false">
      <c r="A1571" s="13" t="str">
        <f aca="false">IF(עזר!L1571="","",INDEX(עזר!$A$2:$A$5001,עזר!L1571))</f>
        <v/>
      </c>
      <c r="B1571" s="13" t="str">
        <f aca="false">IF(עזר!L1571="","",INDEX(עזר!$B$2:$B$5001,עזר!L1571))</f>
        <v/>
      </c>
      <c r="C1571" s="13" t="str">
        <f aca="false">עזר!M1571</f>
        <v/>
      </c>
    </row>
    <row r="1572" customFormat="false" ht="15" hidden="false" customHeight="false" outlineLevel="0" collapsed="false">
      <c r="A1572" s="13" t="str">
        <f aca="false">IF(עזר!L1572="","",INDEX(עזר!$A$2:$A$5001,עזר!L1572))</f>
        <v/>
      </c>
      <c r="B1572" s="13" t="str">
        <f aca="false">IF(עזר!L1572="","",INDEX(עזר!$B$2:$B$5001,עזר!L1572))</f>
        <v/>
      </c>
      <c r="C1572" s="13" t="str">
        <f aca="false">עזר!M1572</f>
        <v/>
      </c>
    </row>
    <row r="1573" customFormat="false" ht="15" hidden="false" customHeight="false" outlineLevel="0" collapsed="false">
      <c r="A1573" s="13" t="str">
        <f aca="false">IF(עזר!L1573="","",INDEX(עזר!$A$2:$A$5001,עזר!L1573))</f>
        <v/>
      </c>
      <c r="B1573" s="13" t="str">
        <f aca="false">IF(עזר!L1573="","",INDEX(עזר!$B$2:$B$5001,עזר!L1573))</f>
        <v/>
      </c>
      <c r="C1573" s="13" t="str">
        <f aca="false">עזר!M1573</f>
        <v/>
      </c>
    </row>
    <row r="1574" customFormat="false" ht="15" hidden="false" customHeight="false" outlineLevel="0" collapsed="false">
      <c r="A1574" s="13" t="str">
        <f aca="false">IF(עזר!L1574="","",INDEX(עזר!$A$2:$A$5001,עזר!L1574))</f>
        <v/>
      </c>
      <c r="B1574" s="13" t="str">
        <f aca="false">IF(עזר!L1574="","",INDEX(עזר!$B$2:$B$5001,עזר!L1574))</f>
        <v/>
      </c>
      <c r="C1574" s="13" t="str">
        <f aca="false">עזר!M1574</f>
        <v/>
      </c>
    </row>
    <row r="1575" customFormat="false" ht="15" hidden="false" customHeight="false" outlineLevel="0" collapsed="false">
      <c r="A1575" s="13" t="str">
        <f aca="false">IF(עזר!L1575="","",INDEX(עזר!$A$2:$A$5001,עזר!L1575))</f>
        <v/>
      </c>
      <c r="B1575" s="13" t="str">
        <f aca="false">IF(עזר!L1575="","",INDEX(עזר!$B$2:$B$5001,עזר!L1575))</f>
        <v/>
      </c>
      <c r="C1575" s="13" t="str">
        <f aca="false">עזר!M1575</f>
        <v/>
      </c>
    </row>
    <row r="1576" customFormat="false" ht="15" hidden="false" customHeight="false" outlineLevel="0" collapsed="false">
      <c r="A1576" s="13" t="str">
        <f aca="false">IF(עזר!L1576="","",INDEX(עזר!$A$2:$A$5001,עזר!L1576))</f>
        <v/>
      </c>
      <c r="B1576" s="13" t="str">
        <f aca="false">IF(עזר!L1576="","",INDEX(עזר!$B$2:$B$5001,עזר!L1576))</f>
        <v/>
      </c>
      <c r="C1576" s="13" t="str">
        <f aca="false">עזר!M1576</f>
        <v/>
      </c>
    </row>
    <row r="1577" customFormat="false" ht="15" hidden="false" customHeight="false" outlineLevel="0" collapsed="false">
      <c r="A1577" s="13" t="str">
        <f aca="false">IF(עזר!L1577="","",INDEX(עזר!$A$2:$A$5001,עזר!L1577))</f>
        <v/>
      </c>
      <c r="B1577" s="13" t="str">
        <f aca="false">IF(עזר!L1577="","",INDEX(עזר!$B$2:$B$5001,עזר!L1577))</f>
        <v/>
      </c>
      <c r="C1577" s="13" t="str">
        <f aca="false">עזר!M1577</f>
        <v/>
      </c>
    </row>
    <row r="1578" customFormat="false" ht="15" hidden="false" customHeight="false" outlineLevel="0" collapsed="false">
      <c r="A1578" s="13" t="str">
        <f aca="false">IF(עזר!L1578="","",INDEX(עזר!$A$2:$A$5001,עזר!L1578))</f>
        <v/>
      </c>
      <c r="B1578" s="13" t="str">
        <f aca="false">IF(עזר!L1578="","",INDEX(עזר!$B$2:$B$5001,עזר!L1578))</f>
        <v/>
      </c>
      <c r="C1578" s="13" t="str">
        <f aca="false">עזר!M1578</f>
        <v/>
      </c>
    </row>
    <row r="1579" customFormat="false" ht="15" hidden="false" customHeight="false" outlineLevel="0" collapsed="false">
      <c r="A1579" s="13" t="str">
        <f aca="false">IF(עזר!L1579="","",INDEX(עזר!$A$2:$A$5001,עזר!L1579))</f>
        <v/>
      </c>
      <c r="B1579" s="13" t="str">
        <f aca="false">IF(עזר!L1579="","",INDEX(עזר!$B$2:$B$5001,עזר!L1579))</f>
        <v/>
      </c>
      <c r="C1579" s="13" t="str">
        <f aca="false">עזר!M1579</f>
        <v/>
      </c>
    </row>
    <row r="1580" customFormat="false" ht="15" hidden="false" customHeight="false" outlineLevel="0" collapsed="false">
      <c r="A1580" s="13" t="str">
        <f aca="false">IF(עזר!L1580="","",INDEX(עזר!$A$2:$A$5001,עזר!L1580))</f>
        <v/>
      </c>
      <c r="B1580" s="13" t="str">
        <f aca="false">IF(עזר!L1580="","",INDEX(עזר!$B$2:$B$5001,עזר!L1580))</f>
        <v/>
      </c>
      <c r="C1580" s="13" t="str">
        <f aca="false">עזר!M1580</f>
        <v/>
      </c>
    </row>
    <row r="1581" customFormat="false" ht="15" hidden="false" customHeight="false" outlineLevel="0" collapsed="false">
      <c r="A1581" s="13" t="str">
        <f aca="false">IF(עזר!L1581="","",INDEX(עזר!$A$2:$A$5001,עזר!L1581))</f>
        <v/>
      </c>
      <c r="B1581" s="13" t="str">
        <f aca="false">IF(עזר!L1581="","",INDEX(עזר!$B$2:$B$5001,עזר!L1581))</f>
        <v/>
      </c>
      <c r="C1581" s="13" t="str">
        <f aca="false">עזר!M1581</f>
        <v/>
      </c>
    </row>
    <row r="1582" customFormat="false" ht="15" hidden="false" customHeight="false" outlineLevel="0" collapsed="false">
      <c r="A1582" s="13" t="str">
        <f aca="false">IF(עזר!L1582="","",INDEX(עזר!$A$2:$A$5001,עזר!L1582))</f>
        <v/>
      </c>
      <c r="B1582" s="13" t="str">
        <f aca="false">IF(עזר!L1582="","",INDEX(עזר!$B$2:$B$5001,עזר!L1582))</f>
        <v/>
      </c>
      <c r="C1582" s="13" t="str">
        <f aca="false">עזר!M1582</f>
        <v/>
      </c>
    </row>
    <row r="1583" customFormat="false" ht="15" hidden="false" customHeight="false" outlineLevel="0" collapsed="false">
      <c r="A1583" s="13" t="str">
        <f aca="false">IF(עזר!L1583="","",INDEX(עזר!$A$2:$A$5001,עזר!L1583))</f>
        <v/>
      </c>
      <c r="B1583" s="13" t="str">
        <f aca="false">IF(עזר!L1583="","",INDEX(עזר!$B$2:$B$5001,עזר!L1583))</f>
        <v/>
      </c>
      <c r="C1583" s="13" t="str">
        <f aca="false">עזר!M1583</f>
        <v/>
      </c>
    </row>
    <row r="1584" customFormat="false" ht="15" hidden="false" customHeight="false" outlineLevel="0" collapsed="false">
      <c r="A1584" s="13" t="str">
        <f aca="false">IF(עזר!L1584="","",INDEX(עזר!$A$2:$A$5001,עזר!L1584))</f>
        <v/>
      </c>
      <c r="B1584" s="13" t="str">
        <f aca="false">IF(עזר!L1584="","",INDEX(עזר!$B$2:$B$5001,עזר!L1584))</f>
        <v/>
      </c>
      <c r="C1584" s="13" t="str">
        <f aca="false">עזר!M1584</f>
        <v/>
      </c>
    </row>
    <row r="1585" customFormat="false" ht="15" hidden="false" customHeight="false" outlineLevel="0" collapsed="false">
      <c r="A1585" s="13" t="str">
        <f aca="false">IF(עזר!L1585="","",INDEX(עזר!$A$2:$A$5001,עזר!L1585))</f>
        <v/>
      </c>
      <c r="B1585" s="13" t="str">
        <f aca="false">IF(עזר!L1585="","",INDEX(עזר!$B$2:$B$5001,עזר!L1585))</f>
        <v/>
      </c>
      <c r="C1585" s="13" t="str">
        <f aca="false">עזר!M1585</f>
        <v/>
      </c>
    </row>
    <row r="1586" customFormat="false" ht="15" hidden="false" customHeight="false" outlineLevel="0" collapsed="false">
      <c r="A1586" s="13" t="str">
        <f aca="false">IF(עזר!L1586="","",INDEX(עזר!$A$2:$A$5001,עזר!L1586))</f>
        <v/>
      </c>
      <c r="B1586" s="13" t="str">
        <f aca="false">IF(עזר!L1586="","",INDEX(עזר!$B$2:$B$5001,עזר!L1586))</f>
        <v/>
      </c>
      <c r="C1586" s="13" t="str">
        <f aca="false">עזר!M1586</f>
        <v/>
      </c>
    </row>
    <row r="1587" customFormat="false" ht="15" hidden="false" customHeight="false" outlineLevel="0" collapsed="false">
      <c r="A1587" s="13" t="str">
        <f aca="false">IF(עזר!L1587="","",INDEX(עזר!$A$2:$A$5001,עזר!L1587))</f>
        <v/>
      </c>
      <c r="B1587" s="13" t="str">
        <f aca="false">IF(עזר!L1587="","",INDEX(עזר!$B$2:$B$5001,עזר!L1587))</f>
        <v/>
      </c>
      <c r="C1587" s="13" t="str">
        <f aca="false">עזר!M1587</f>
        <v/>
      </c>
    </row>
    <row r="1588" customFormat="false" ht="15" hidden="false" customHeight="false" outlineLevel="0" collapsed="false">
      <c r="A1588" s="13" t="str">
        <f aca="false">IF(עזר!L1588="","",INDEX(עזר!$A$2:$A$5001,עזר!L1588))</f>
        <v/>
      </c>
      <c r="B1588" s="13" t="str">
        <f aca="false">IF(עזר!L1588="","",INDEX(עזר!$B$2:$B$5001,עזר!L1588))</f>
        <v/>
      </c>
      <c r="C1588" s="13" t="str">
        <f aca="false">עזר!M1588</f>
        <v/>
      </c>
    </row>
    <row r="1589" customFormat="false" ht="15" hidden="false" customHeight="false" outlineLevel="0" collapsed="false">
      <c r="A1589" s="13" t="str">
        <f aca="false">IF(עזר!L1589="","",INDEX(עזר!$A$2:$A$5001,עזר!L1589))</f>
        <v/>
      </c>
      <c r="B1589" s="13" t="str">
        <f aca="false">IF(עזר!L1589="","",INDEX(עזר!$B$2:$B$5001,עזר!L1589))</f>
        <v/>
      </c>
      <c r="C1589" s="13" t="str">
        <f aca="false">עזר!M1589</f>
        <v/>
      </c>
    </row>
    <row r="1590" customFormat="false" ht="15" hidden="false" customHeight="false" outlineLevel="0" collapsed="false">
      <c r="A1590" s="13" t="str">
        <f aca="false">IF(עזר!L1590="","",INDEX(עזר!$A$2:$A$5001,עזר!L1590))</f>
        <v/>
      </c>
      <c r="B1590" s="13" t="str">
        <f aca="false">IF(עזר!L1590="","",INDEX(עזר!$B$2:$B$5001,עזר!L1590))</f>
        <v/>
      </c>
      <c r="C1590" s="13" t="str">
        <f aca="false">עזר!M1590</f>
        <v/>
      </c>
    </row>
    <row r="1591" customFormat="false" ht="15" hidden="false" customHeight="false" outlineLevel="0" collapsed="false">
      <c r="A1591" s="13" t="str">
        <f aca="false">IF(עזר!L1591="","",INDEX(עזר!$A$2:$A$5001,עזר!L1591))</f>
        <v/>
      </c>
      <c r="B1591" s="13" t="str">
        <f aca="false">IF(עזר!L1591="","",INDEX(עזר!$B$2:$B$5001,עזר!L1591))</f>
        <v/>
      </c>
      <c r="C1591" s="13" t="str">
        <f aca="false">עזר!M1591</f>
        <v/>
      </c>
    </row>
    <row r="1592" customFormat="false" ht="15" hidden="false" customHeight="false" outlineLevel="0" collapsed="false">
      <c r="A1592" s="13" t="str">
        <f aca="false">IF(עזר!L1592="","",INDEX(עזר!$A$2:$A$5001,עזר!L1592))</f>
        <v/>
      </c>
      <c r="B1592" s="13" t="str">
        <f aca="false">IF(עזר!L1592="","",INDEX(עזר!$B$2:$B$5001,עזר!L1592))</f>
        <v/>
      </c>
      <c r="C1592" s="13" t="str">
        <f aca="false">עזר!M1592</f>
        <v/>
      </c>
    </row>
    <row r="1593" customFormat="false" ht="15" hidden="false" customHeight="false" outlineLevel="0" collapsed="false">
      <c r="A1593" s="13" t="str">
        <f aca="false">IF(עזר!L1593="","",INDEX(עזר!$A$2:$A$5001,עזר!L1593))</f>
        <v/>
      </c>
      <c r="B1593" s="13" t="str">
        <f aca="false">IF(עזר!L1593="","",INDEX(עזר!$B$2:$B$5001,עזר!L1593))</f>
        <v/>
      </c>
      <c r="C1593" s="13" t="str">
        <f aca="false">עזר!M1593</f>
        <v/>
      </c>
    </row>
    <row r="1594" customFormat="false" ht="15" hidden="false" customHeight="false" outlineLevel="0" collapsed="false">
      <c r="A1594" s="13" t="str">
        <f aca="false">IF(עזר!L1594="","",INDEX(עזר!$A$2:$A$5001,עזר!L1594))</f>
        <v/>
      </c>
      <c r="B1594" s="13" t="str">
        <f aca="false">IF(עזר!L1594="","",INDEX(עזר!$B$2:$B$5001,עזר!L1594))</f>
        <v/>
      </c>
      <c r="C1594" s="13" t="str">
        <f aca="false">עזר!M1594</f>
        <v/>
      </c>
    </row>
    <row r="1595" customFormat="false" ht="15" hidden="false" customHeight="false" outlineLevel="0" collapsed="false">
      <c r="A1595" s="13" t="str">
        <f aca="false">IF(עזר!L1595="","",INDEX(עזר!$A$2:$A$5001,עזר!L1595))</f>
        <v/>
      </c>
      <c r="B1595" s="13" t="str">
        <f aca="false">IF(עזר!L1595="","",INDEX(עזר!$B$2:$B$5001,עזר!L1595))</f>
        <v/>
      </c>
      <c r="C1595" s="13" t="str">
        <f aca="false">עזר!M1595</f>
        <v/>
      </c>
    </row>
    <row r="1596" customFormat="false" ht="15" hidden="false" customHeight="false" outlineLevel="0" collapsed="false">
      <c r="A1596" s="13" t="str">
        <f aca="false">IF(עזר!L1596="","",INDEX(עזר!$A$2:$A$5001,עזר!L1596))</f>
        <v/>
      </c>
      <c r="B1596" s="13" t="str">
        <f aca="false">IF(עזר!L1596="","",INDEX(עזר!$B$2:$B$5001,עזר!L1596))</f>
        <v/>
      </c>
      <c r="C1596" s="13" t="str">
        <f aca="false">עזר!M1596</f>
        <v/>
      </c>
    </row>
    <row r="1597" customFormat="false" ht="15" hidden="false" customHeight="false" outlineLevel="0" collapsed="false">
      <c r="A1597" s="13" t="str">
        <f aca="false">IF(עזר!L1597="","",INDEX(עזר!$A$2:$A$5001,עזר!L1597))</f>
        <v/>
      </c>
      <c r="B1597" s="13" t="str">
        <f aca="false">IF(עזר!L1597="","",INDEX(עזר!$B$2:$B$5001,עזר!L1597))</f>
        <v/>
      </c>
      <c r="C1597" s="13" t="str">
        <f aca="false">עזר!M1597</f>
        <v/>
      </c>
    </row>
    <row r="1598" customFormat="false" ht="15" hidden="false" customHeight="false" outlineLevel="0" collapsed="false">
      <c r="A1598" s="13" t="str">
        <f aca="false">IF(עזר!L1598="","",INDEX(עזר!$A$2:$A$5001,עזר!L1598))</f>
        <v/>
      </c>
      <c r="B1598" s="13" t="str">
        <f aca="false">IF(עזר!L1598="","",INDEX(עזר!$B$2:$B$5001,עזר!L1598))</f>
        <v/>
      </c>
      <c r="C1598" s="13" t="str">
        <f aca="false">עזר!M1598</f>
        <v/>
      </c>
    </row>
    <row r="1599" customFormat="false" ht="15" hidden="false" customHeight="false" outlineLevel="0" collapsed="false">
      <c r="A1599" s="13" t="str">
        <f aca="false">IF(עזר!L1599="","",INDEX(עזר!$A$2:$A$5001,עזר!L1599))</f>
        <v/>
      </c>
      <c r="B1599" s="13" t="str">
        <f aca="false">IF(עזר!L1599="","",INDEX(עזר!$B$2:$B$5001,עזר!L1599))</f>
        <v/>
      </c>
      <c r="C1599" s="13" t="str">
        <f aca="false">עזר!M1599</f>
        <v/>
      </c>
    </row>
    <row r="1600" customFormat="false" ht="15" hidden="false" customHeight="false" outlineLevel="0" collapsed="false">
      <c r="A1600" s="13" t="str">
        <f aca="false">IF(עזר!L1600="","",INDEX(עזר!$A$2:$A$5001,עזר!L1600))</f>
        <v/>
      </c>
      <c r="B1600" s="13" t="str">
        <f aca="false">IF(עזר!L1600="","",INDEX(עזר!$B$2:$B$5001,עזר!L1600))</f>
        <v/>
      </c>
      <c r="C1600" s="13" t="str">
        <f aca="false">עזר!M1600</f>
        <v/>
      </c>
    </row>
    <row r="1601" customFormat="false" ht="15" hidden="false" customHeight="false" outlineLevel="0" collapsed="false">
      <c r="A1601" s="13" t="str">
        <f aca="false">IF(עזר!L1601="","",INDEX(עזר!$A$2:$A$5001,עזר!L1601))</f>
        <v/>
      </c>
      <c r="B1601" s="13" t="str">
        <f aca="false">IF(עזר!L1601="","",INDEX(עזר!$B$2:$B$5001,עזר!L1601))</f>
        <v/>
      </c>
      <c r="C1601" s="13" t="str">
        <f aca="false">עזר!M1601</f>
        <v/>
      </c>
    </row>
    <row r="1602" customFormat="false" ht="15" hidden="false" customHeight="false" outlineLevel="0" collapsed="false">
      <c r="A1602" s="13" t="str">
        <f aca="false">IF(עזר!L1602="","",INDEX(עזר!$A$2:$A$5001,עזר!L1602))</f>
        <v/>
      </c>
      <c r="B1602" s="13" t="str">
        <f aca="false">IF(עזר!L1602="","",INDEX(עזר!$B$2:$B$5001,עזר!L1602))</f>
        <v/>
      </c>
      <c r="C1602" s="13" t="str">
        <f aca="false">עזר!M1602</f>
        <v/>
      </c>
    </row>
    <row r="1603" customFormat="false" ht="15" hidden="false" customHeight="false" outlineLevel="0" collapsed="false">
      <c r="A1603" s="13" t="str">
        <f aca="false">IF(עזר!L1603="","",INDEX(עזר!$A$2:$A$5001,עזר!L1603))</f>
        <v/>
      </c>
      <c r="B1603" s="13" t="str">
        <f aca="false">IF(עזר!L1603="","",INDEX(עזר!$B$2:$B$5001,עזר!L1603))</f>
        <v/>
      </c>
      <c r="C1603" s="13" t="str">
        <f aca="false">עזר!M1603</f>
        <v/>
      </c>
    </row>
    <row r="1604" customFormat="false" ht="15" hidden="false" customHeight="false" outlineLevel="0" collapsed="false">
      <c r="A1604" s="13" t="str">
        <f aca="false">IF(עזר!L1604="","",INDEX(עזר!$A$2:$A$5001,עזר!L1604))</f>
        <v/>
      </c>
      <c r="B1604" s="13" t="str">
        <f aca="false">IF(עזר!L1604="","",INDEX(עזר!$B$2:$B$5001,עזר!L1604))</f>
        <v/>
      </c>
      <c r="C1604" s="13" t="str">
        <f aca="false">עזר!M1604</f>
        <v/>
      </c>
    </row>
    <row r="1605" customFormat="false" ht="15" hidden="false" customHeight="false" outlineLevel="0" collapsed="false">
      <c r="A1605" s="13" t="str">
        <f aca="false">IF(עזר!L1605="","",INDEX(עזר!$A$2:$A$5001,עזר!L1605))</f>
        <v/>
      </c>
      <c r="B1605" s="13" t="str">
        <f aca="false">IF(עזר!L1605="","",INDEX(עזר!$B$2:$B$5001,עזר!L1605))</f>
        <v/>
      </c>
      <c r="C1605" s="13" t="str">
        <f aca="false">עזר!M1605</f>
        <v/>
      </c>
    </row>
    <row r="1606" customFormat="false" ht="15" hidden="false" customHeight="false" outlineLevel="0" collapsed="false">
      <c r="A1606" s="13" t="str">
        <f aca="false">IF(עזר!L1606="","",INDEX(עזר!$A$2:$A$5001,עזר!L1606))</f>
        <v/>
      </c>
      <c r="B1606" s="13" t="str">
        <f aca="false">IF(עזר!L1606="","",INDEX(עזר!$B$2:$B$5001,עזר!L1606))</f>
        <v/>
      </c>
      <c r="C1606" s="13" t="str">
        <f aca="false">עזר!M1606</f>
        <v/>
      </c>
    </row>
    <row r="1607" customFormat="false" ht="15" hidden="false" customHeight="false" outlineLevel="0" collapsed="false">
      <c r="A1607" s="13" t="str">
        <f aca="false">IF(עזר!L1607="","",INDEX(עזר!$A$2:$A$5001,עזר!L1607))</f>
        <v/>
      </c>
      <c r="B1607" s="13" t="str">
        <f aca="false">IF(עזר!L1607="","",INDEX(עזר!$B$2:$B$5001,עזר!L1607))</f>
        <v/>
      </c>
      <c r="C1607" s="13" t="str">
        <f aca="false">עזר!M1607</f>
        <v/>
      </c>
    </row>
    <row r="1608" customFormat="false" ht="15" hidden="false" customHeight="false" outlineLevel="0" collapsed="false">
      <c r="A1608" s="13" t="str">
        <f aca="false">IF(עזר!L1608="","",INDEX(עזר!$A$2:$A$5001,עזר!L1608))</f>
        <v/>
      </c>
      <c r="B1608" s="13" t="str">
        <f aca="false">IF(עזר!L1608="","",INDEX(עזר!$B$2:$B$5001,עזר!L1608))</f>
        <v/>
      </c>
      <c r="C1608" s="13" t="str">
        <f aca="false">עזר!M1608</f>
        <v/>
      </c>
    </row>
    <row r="1609" customFormat="false" ht="15" hidden="false" customHeight="false" outlineLevel="0" collapsed="false">
      <c r="A1609" s="13" t="str">
        <f aca="false">IF(עזר!L1609="","",INDEX(עזר!$A$2:$A$5001,עזר!L1609))</f>
        <v/>
      </c>
      <c r="B1609" s="13" t="str">
        <f aca="false">IF(עזר!L1609="","",INDEX(עזר!$B$2:$B$5001,עזר!L1609))</f>
        <v/>
      </c>
      <c r="C1609" s="13" t="str">
        <f aca="false">עזר!M1609</f>
        <v/>
      </c>
    </row>
    <row r="1610" customFormat="false" ht="15" hidden="false" customHeight="false" outlineLevel="0" collapsed="false">
      <c r="A1610" s="13" t="str">
        <f aca="false">IF(עזר!L1610="","",INDEX(עזר!$A$2:$A$5001,עזר!L1610))</f>
        <v/>
      </c>
      <c r="B1610" s="13" t="str">
        <f aca="false">IF(עזר!L1610="","",INDEX(עזר!$B$2:$B$5001,עזר!L1610))</f>
        <v/>
      </c>
      <c r="C1610" s="13" t="str">
        <f aca="false">עזר!M1610</f>
        <v/>
      </c>
    </row>
    <row r="1611" customFormat="false" ht="15" hidden="false" customHeight="false" outlineLevel="0" collapsed="false">
      <c r="A1611" s="13" t="str">
        <f aca="false">IF(עזר!L1611="","",INDEX(עזר!$A$2:$A$5001,עזר!L1611))</f>
        <v/>
      </c>
      <c r="B1611" s="13" t="str">
        <f aca="false">IF(עזר!L1611="","",INDEX(עזר!$B$2:$B$5001,עזר!L1611))</f>
        <v/>
      </c>
      <c r="C1611" s="13" t="str">
        <f aca="false">עזר!M1611</f>
        <v/>
      </c>
    </row>
    <row r="1612" customFormat="false" ht="15" hidden="false" customHeight="false" outlineLevel="0" collapsed="false">
      <c r="A1612" s="13" t="str">
        <f aca="false">IF(עזר!L1612="","",INDEX(עזר!$A$2:$A$5001,עזר!L1612))</f>
        <v/>
      </c>
      <c r="B1612" s="13" t="str">
        <f aca="false">IF(עזר!L1612="","",INDEX(עזר!$B$2:$B$5001,עזר!L1612))</f>
        <v/>
      </c>
      <c r="C1612" s="13" t="str">
        <f aca="false">עזר!M1612</f>
        <v/>
      </c>
    </row>
    <row r="1613" customFormat="false" ht="15" hidden="false" customHeight="false" outlineLevel="0" collapsed="false">
      <c r="A1613" s="13" t="str">
        <f aca="false">IF(עזר!L1613="","",INDEX(עזר!$A$2:$A$5001,עזר!L1613))</f>
        <v/>
      </c>
      <c r="B1613" s="13" t="str">
        <f aca="false">IF(עזר!L1613="","",INDEX(עזר!$B$2:$B$5001,עזר!L1613))</f>
        <v/>
      </c>
      <c r="C1613" s="13" t="str">
        <f aca="false">עזר!M1613</f>
        <v/>
      </c>
    </row>
    <row r="1614" customFormat="false" ht="15" hidden="false" customHeight="false" outlineLevel="0" collapsed="false">
      <c r="A1614" s="13" t="str">
        <f aca="false">IF(עזר!L1614="","",INDEX(עזר!$A$2:$A$5001,עזר!L1614))</f>
        <v/>
      </c>
      <c r="B1614" s="13" t="str">
        <f aca="false">IF(עזר!L1614="","",INDEX(עזר!$B$2:$B$5001,עזר!L1614))</f>
        <v/>
      </c>
      <c r="C1614" s="13" t="str">
        <f aca="false">עזר!M1614</f>
        <v/>
      </c>
    </row>
    <row r="1615" customFormat="false" ht="15" hidden="false" customHeight="false" outlineLevel="0" collapsed="false">
      <c r="A1615" s="13" t="str">
        <f aca="false">IF(עזר!L1615="","",INDEX(עזר!$A$2:$A$5001,עזר!L1615))</f>
        <v/>
      </c>
      <c r="B1615" s="13" t="str">
        <f aca="false">IF(עזר!L1615="","",INDEX(עזר!$B$2:$B$5001,עזר!L1615))</f>
        <v/>
      </c>
      <c r="C1615" s="13" t="str">
        <f aca="false">עזר!M1615</f>
        <v/>
      </c>
    </row>
    <row r="1616" customFormat="false" ht="15" hidden="false" customHeight="false" outlineLevel="0" collapsed="false">
      <c r="A1616" s="13" t="str">
        <f aca="false">IF(עזר!L1616="","",INDEX(עזר!$A$2:$A$5001,עזר!L1616))</f>
        <v/>
      </c>
      <c r="B1616" s="13" t="str">
        <f aca="false">IF(עזר!L1616="","",INDEX(עזר!$B$2:$B$5001,עזר!L1616))</f>
        <v/>
      </c>
      <c r="C1616" s="13" t="str">
        <f aca="false">עזר!M1616</f>
        <v/>
      </c>
    </row>
    <row r="1617" customFormat="false" ht="15" hidden="false" customHeight="false" outlineLevel="0" collapsed="false">
      <c r="A1617" s="13" t="str">
        <f aca="false">IF(עזר!L1617="","",INDEX(עזר!$A$2:$A$5001,עזר!L1617))</f>
        <v/>
      </c>
      <c r="B1617" s="13" t="str">
        <f aca="false">IF(עזר!L1617="","",INDEX(עזר!$B$2:$B$5001,עזר!L1617))</f>
        <v/>
      </c>
      <c r="C1617" s="13" t="str">
        <f aca="false">עזר!M1617</f>
        <v/>
      </c>
    </row>
    <row r="1618" customFormat="false" ht="15" hidden="false" customHeight="false" outlineLevel="0" collapsed="false">
      <c r="A1618" s="13" t="str">
        <f aca="false">IF(עזר!L1618="","",INDEX(עזר!$A$2:$A$5001,עזר!L1618))</f>
        <v/>
      </c>
      <c r="B1618" s="13" t="str">
        <f aca="false">IF(עזר!L1618="","",INDEX(עזר!$B$2:$B$5001,עזר!L1618))</f>
        <v/>
      </c>
      <c r="C1618" s="13" t="str">
        <f aca="false">עזר!M1618</f>
        <v/>
      </c>
    </row>
    <row r="1619" customFormat="false" ht="15" hidden="false" customHeight="false" outlineLevel="0" collapsed="false">
      <c r="A1619" s="13" t="str">
        <f aca="false">IF(עזר!L1619="","",INDEX(עזר!$A$2:$A$5001,עזר!L1619))</f>
        <v/>
      </c>
      <c r="B1619" s="13" t="str">
        <f aca="false">IF(עזר!L1619="","",INDEX(עזר!$B$2:$B$5001,עזר!L1619))</f>
        <v/>
      </c>
      <c r="C1619" s="13" t="str">
        <f aca="false">עזר!M1619</f>
        <v/>
      </c>
    </row>
    <row r="1620" customFormat="false" ht="15" hidden="false" customHeight="false" outlineLevel="0" collapsed="false">
      <c r="A1620" s="13" t="str">
        <f aca="false">IF(עזר!L1620="","",INDEX(עזר!$A$2:$A$5001,עזר!L1620))</f>
        <v/>
      </c>
      <c r="B1620" s="13" t="str">
        <f aca="false">IF(עזר!L1620="","",INDEX(עזר!$B$2:$B$5001,עזר!L1620))</f>
        <v/>
      </c>
      <c r="C1620" s="13" t="str">
        <f aca="false">עזר!M1620</f>
        <v/>
      </c>
    </row>
    <row r="1621" customFormat="false" ht="15" hidden="false" customHeight="false" outlineLevel="0" collapsed="false">
      <c r="A1621" s="13" t="str">
        <f aca="false">IF(עזר!L1621="","",INDEX(עזר!$A$2:$A$5001,עזר!L1621))</f>
        <v/>
      </c>
      <c r="B1621" s="13" t="str">
        <f aca="false">IF(עזר!L1621="","",INDEX(עזר!$B$2:$B$5001,עזר!L1621))</f>
        <v/>
      </c>
      <c r="C1621" s="13" t="str">
        <f aca="false">עזר!M1621</f>
        <v/>
      </c>
    </row>
    <row r="1622" customFormat="false" ht="15" hidden="false" customHeight="false" outlineLevel="0" collapsed="false">
      <c r="A1622" s="13" t="str">
        <f aca="false">IF(עזר!L1622="","",INDEX(עזר!$A$2:$A$5001,עזר!L1622))</f>
        <v/>
      </c>
      <c r="B1622" s="13" t="str">
        <f aca="false">IF(עזר!L1622="","",INDEX(עזר!$B$2:$B$5001,עזר!L1622))</f>
        <v/>
      </c>
      <c r="C1622" s="13" t="str">
        <f aca="false">עזר!M1622</f>
        <v/>
      </c>
    </row>
    <row r="1623" customFormat="false" ht="15" hidden="false" customHeight="false" outlineLevel="0" collapsed="false">
      <c r="A1623" s="13" t="str">
        <f aca="false">IF(עזר!L1623="","",INDEX(עזר!$A$2:$A$5001,עזר!L1623))</f>
        <v/>
      </c>
      <c r="B1623" s="13" t="str">
        <f aca="false">IF(עזר!L1623="","",INDEX(עזר!$B$2:$B$5001,עזר!L1623))</f>
        <v/>
      </c>
      <c r="C1623" s="13" t="str">
        <f aca="false">עזר!M1623</f>
        <v/>
      </c>
    </row>
    <row r="1624" customFormat="false" ht="15" hidden="false" customHeight="false" outlineLevel="0" collapsed="false">
      <c r="A1624" s="13" t="str">
        <f aca="false">IF(עזר!L1624="","",INDEX(עזר!$A$2:$A$5001,עזר!L1624))</f>
        <v/>
      </c>
      <c r="B1624" s="13" t="str">
        <f aca="false">IF(עזר!L1624="","",INDEX(עזר!$B$2:$B$5001,עזר!L1624))</f>
        <v/>
      </c>
      <c r="C1624" s="13" t="str">
        <f aca="false">עזר!M1624</f>
        <v/>
      </c>
    </row>
    <row r="1625" customFormat="false" ht="15" hidden="false" customHeight="false" outlineLevel="0" collapsed="false">
      <c r="A1625" s="13" t="str">
        <f aca="false">IF(עזר!L1625="","",INDEX(עזר!$A$2:$A$5001,עזר!L1625))</f>
        <v/>
      </c>
      <c r="B1625" s="13" t="str">
        <f aca="false">IF(עזר!L1625="","",INDEX(עזר!$B$2:$B$5001,עזר!L1625))</f>
        <v/>
      </c>
      <c r="C1625" s="13" t="str">
        <f aca="false">עזר!M1625</f>
        <v/>
      </c>
    </row>
    <row r="1626" customFormat="false" ht="15" hidden="false" customHeight="false" outlineLevel="0" collapsed="false">
      <c r="A1626" s="13" t="str">
        <f aca="false">IF(עזר!L1626="","",INDEX(עזר!$A$2:$A$5001,עזר!L1626))</f>
        <v/>
      </c>
      <c r="B1626" s="13" t="str">
        <f aca="false">IF(עזר!L1626="","",INDEX(עזר!$B$2:$B$5001,עזר!L1626))</f>
        <v/>
      </c>
      <c r="C1626" s="13" t="str">
        <f aca="false">עזר!M1626</f>
        <v/>
      </c>
    </row>
    <row r="1627" customFormat="false" ht="15" hidden="false" customHeight="false" outlineLevel="0" collapsed="false">
      <c r="A1627" s="13" t="str">
        <f aca="false">IF(עזר!L1627="","",INDEX(עזר!$A$2:$A$5001,עזר!L1627))</f>
        <v/>
      </c>
      <c r="B1627" s="13" t="str">
        <f aca="false">IF(עזר!L1627="","",INDEX(עזר!$B$2:$B$5001,עזר!L1627))</f>
        <v/>
      </c>
      <c r="C1627" s="13" t="str">
        <f aca="false">עזר!M1627</f>
        <v/>
      </c>
    </row>
    <row r="1628" customFormat="false" ht="15" hidden="false" customHeight="false" outlineLevel="0" collapsed="false">
      <c r="A1628" s="13" t="str">
        <f aca="false">IF(עזר!L1628="","",INDEX(עזר!$A$2:$A$5001,עזר!L1628))</f>
        <v/>
      </c>
      <c r="B1628" s="13" t="str">
        <f aca="false">IF(עזר!L1628="","",INDEX(עזר!$B$2:$B$5001,עזר!L1628))</f>
        <v/>
      </c>
      <c r="C1628" s="13" t="str">
        <f aca="false">עזר!M1628</f>
        <v/>
      </c>
    </row>
    <row r="1629" customFormat="false" ht="15" hidden="false" customHeight="false" outlineLevel="0" collapsed="false">
      <c r="A1629" s="13" t="str">
        <f aca="false">IF(עזר!L1629="","",INDEX(עזר!$A$2:$A$5001,עזר!L1629))</f>
        <v/>
      </c>
      <c r="B1629" s="13" t="str">
        <f aca="false">IF(עזר!L1629="","",INDEX(עזר!$B$2:$B$5001,עזר!L1629))</f>
        <v/>
      </c>
      <c r="C1629" s="13" t="str">
        <f aca="false">עזר!M1629</f>
        <v/>
      </c>
    </row>
    <row r="1630" customFormat="false" ht="15" hidden="false" customHeight="false" outlineLevel="0" collapsed="false">
      <c r="A1630" s="13" t="str">
        <f aca="false">IF(עזר!L1630="","",INDEX(עזר!$A$2:$A$5001,עזר!L1630))</f>
        <v/>
      </c>
      <c r="B1630" s="13" t="str">
        <f aca="false">IF(עזר!L1630="","",INDEX(עזר!$B$2:$B$5001,עזר!L1630))</f>
        <v/>
      </c>
      <c r="C1630" s="13" t="str">
        <f aca="false">עזר!M1630</f>
        <v/>
      </c>
    </row>
    <row r="1631" customFormat="false" ht="15" hidden="false" customHeight="false" outlineLevel="0" collapsed="false">
      <c r="A1631" s="13" t="str">
        <f aca="false">IF(עזר!L1631="","",INDEX(עזר!$A$2:$A$5001,עזר!L1631))</f>
        <v/>
      </c>
      <c r="B1631" s="13" t="str">
        <f aca="false">IF(עזר!L1631="","",INDEX(עזר!$B$2:$B$5001,עזר!L1631))</f>
        <v/>
      </c>
      <c r="C1631" s="13" t="str">
        <f aca="false">עזר!M1631</f>
        <v/>
      </c>
    </row>
    <row r="1632" customFormat="false" ht="15" hidden="false" customHeight="false" outlineLevel="0" collapsed="false">
      <c r="A1632" s="13" t="str">
        <f aca="false">IF(עזר!L1632="","",INDEX(עזר!$A$2:$A$5001,עזר!L1632))</f>
        <v/>
      </c>
      <c r="B1632" s="13" t="str">
        <f aca="false">IF(עזר!L1632="","",INDEX(עזר!$B$2:$B$5001,עזר!L1632))</f>
        <v/>
      </c>
      <c r="C1632" s="13" t="str">
        <f aca="false">עזר!M1632</f>
        <v/>
      </c>
    </row>
    <row r="1633" customFormat="false" ht="15" hidden="false" customHeight="false" outlineLevel="0" collapsed="false">
      <c r="A1633" s="13" t="str">
        <f aca="false">IF(עזר!L1633="","",INDEX(עזר!$A$2:$A$5001,עזר!L1633))</f>
        <v/>
      </c>
      <c r="B1633" s="13" t="str">
        <f aca="false">IF(עזר!L1633="","",INDEX(עזר!$B$2:$B$5001,עזר!L1633))</f>
        <v/>
      </c>
      <c r="C1633" s="13" t="str">
        <f aca="false">עזר!M1633</f>
        <v/>
      </c>
    </row>
    <row r="1634" customFormat="false" ht="15" hidden="false" customHeight="false" outlineLevel="0" collapsed="false">
      <c r="A1634" s="13" t="str">
        <f aca="false">IF(עזר!L1634="","",INDEX(עזר!$A$2:$A$5001,עזר!L1634))</f>
        <v/>
      </c>
      <c r="B1634" s="13" t="str">
        <f aca="false">IF(עזר!L1634="","",INDEX(עזר!$B$2:$B$5001,עזר!L1634))</f>
        <v/>
      </c>
      <c r="C1634" s="13" t="str">
        <f aca="false">עזר!M1634</f>
        <v/>
      </c>
    </row>
    <row r="1635" customFormat="false" ht="15" hidden="false" customHeight="false" outlineLevel="0" collapsed="false">
      <c r="A1635" s="13" t="str">
        <f aca="false">IF(עזר!L1635="","",INDEX(עזר!$A$2:$A$5001,עזר!L1635))</f>
        <v/>
      </c>
      <c r="B1635" s="13" t="str">
        <f aca="false">IF(עזר!L1635="","",INDEX(עזר!$B$2:$B$5001,עזר!L1635))</f>
        <v/>
      </c>
      <c r="C1635" s="13" t="str">
        <f aca="false">עזר!M1635</f>
        <v/>
      </c>
    </row>
    <row r="1636" customFormat="false" ht="15" hidden="false" customHeight="false" outlineLevel="0" collapsed="false">
      <c r="A1636" s="13" t="str">
        <f aca="false">IF(עזר!L1636="","",INDEX(עזר!$A$2:$A$5001,עזר!L1636))</f>
        <v/>
      </c>
      <c r="B1636" s="13" t="str">
        <f aca="false">IF(עזר!L1636="","",INDEX(עזר!$B$2:$B$5001,עזר!L1636))</f>
        <v/>
      </c>
      <c r="C1636" s="13" t="str">
        <f aca="false">עזר!M1636</f>
        <v/>
      </c>
    </row>
    <row r="1637" customFormat="false" ht="15" hidden="false" customHeight="false" outlineLevel="0" collapsed="false">
      <c r="A1637" s="13" t="str">
        <f aca="false">IF(עזר!L1637="","",INDEX(עזר!$A$2:$A$5001,עזר!L1637))</f>
        <v/>
      </c>
      <c r="B1637" s="13" t="str">
        <f aca="false">IF(עזר!L1637="","",INDEX(עזר!$B$2:$B$5001,עזר!L1637))</f>
        <v/>
      </c>
      <c r="C1637" s="13" t="str">
        <f aca="false">עזר!M1637</f>
        <v/>
      </c>
    </row>
    <row r="1638" customFormat="false" ht="15" hidden="false" customHeight="false" outlineLevel="0" collapsed="false">
      <c r="A1638" s="13" t="str">
        <f aca="false">IF(עזר!L1638="","",INDEX(עזר!$A$2:$A$5001,עזר!L1638))</f>
        <v/>
      </c>
      <c r="B1638" s="13" t="str">
        <f aca="false">IF(עזר!L1638="","",INDEX(עזר!$B$2:$B$5001,עזר!L1638))</f>
        <v/>
      </c>
      <c r="C1638" s="13" t="str">
        <f aca="false">עזר!M1638</f>
        <v/>
      </c>
    </row>
    <row r="1639" customFormat="false" ht="15" hidden="false" customHeight="false" outlineLevel="0" collapsed="false">
      <c r="A1639" s="13" t="str">
        <f aca="false">IF(עזר!L1639="","",INDEX(עזר!$A$2:$A$5001,עזר!L1639))</f>
        <v/>
      </c>
      <c r="B1639" s="13" t="str">
        <f aca="false">IF(עזר!L1639="","",INDEX(עזר!$B$2:$B$5001,עזר!L1639))</f>
        <v/>
      </c>
      <c r="C1639" s="13" t="str">
        <f aca="false">עזר!M1639</f>
        <v/>
      </c>
    </row>
    <row r="1640" customFormat="false" ht="15" hidden="false" customHeight="false" outlineLevel="0" collapsed="false">
      <c r="A1640" s="13" t="str">
        <f aca="false">IF(עזר!L1640="","",INDEX(עזר!$A$2:$A$5001,עזר!L1640))</f>
        <v/>
      </c>
      <c r="B1640" s="13" t="str">
        <f aca="false">IF(עזר!L1640="","",INDEX(עזר!$B$2:$B$5001,עזר!L1640))</f>
        <v/>
      </c>
      <c r="C1640" s="13" t="str">
        <f aca="false">עזר!M1640</f>
        <v/>
      </c>
    </row>
    <row r="1641" customFormat="false" ht="15" hidden="false" customHeight="false" outlineLevel="0" collapsed="false">
      <c r="A1641" s="13" t="str">
        <f aca="false">IF(עזר!L1641="","",INDEX(עזר!$A$2:$A$5001,עזר!L1641))</f>
        <v/>
      </c>
      <c r="B1641" s="13" t="str">
        <f aca="false">IF(עזר!L1641="","",INDEX(עזר!$B$2:$B$5001,עזר!L1641))</f>
        <v/>
      </c>
      <c r="C1641" s="13" t="str">
        <f aca="false">עזר!M1641</f>
        <v/>
      </c>
    </row>
    <row r="1642" customFormat="false" ht="15" hidden="false" customHeight="false" outlineLevel="0" collapsed="false">
      <c r="A1642" s="13" t="str">
        <f aca="false">IF(עזר!L1642="","",INDEX(עזר!$A$2:$A$5001,עזר!L1642))</f>
        <v/>
      </c>
      <c r="B1642" s="13" t="str">
        <f aca="false">IF(עזר!L1642="","",INDEX(עזר!$B$2:$B$5001,עזר!L1642))</f>
        <v/>
      </c>
      <c r="C1642" s="13" t="str">
        <f aca="false">עזר!M1642</f>
        <v/>
      </c>
    </row>
    <row r="1643" customFormat="false" ht="15" hidden="false" customHeight="false" outlineLevel="0" collapsed="false">
      <c r="A1643" s="13" t="str">
        <f aca="false">IF(עזר!L1643="","",INDEX(עזר!$A$2:$A$5001,עזר!L1643))</f>
        <v/>
      </c>
      <c r="B1643" s="13" t="str">
        <f aca="false">IF(עזר!L1643="","",INDEX(עזר!$B$2:$B$5001,עזר!L1643))</f>
        <v/>
      </c>
      <c r="C1643" s="13" t="str">
        <f aca="false">עזר!M1643</f>
        <v/>
      </c>
    </row>
    <row r="1644" customFormat="false" ht="15" hidden="false" customHeight="false" outlineLevel="0" collapsed="false">
      <c r="A1644" s="13" t="str">
        <f aca="false">IF(עזר!L1644="","",INDEX(עזר!$A$2:$A$5001,עזר!L1644))</f>
        <v/>
      </c>
      <c r="B1644" s="13" t="str">
        <f aca="false">IF(עזר!L1644="","",INDEX(עזר!$B$2:$B$5001,עזר!L1644))</f>
        <v/>
      </c>
      <c r="C1644" s="13" t="str">
        <f aca="false">עזר!M1644</f>
        <v/>
      </c>
    </row>
    <row r="1645" customFormat="false" ht="15" hidden="false" customHeight="false" outlineLevel="0" collapsed="false">
      <c r="A1645" s="13" t="str">
        <f aca="false">IF(עזר!L1645="","",INDEX(עזר!$A$2:$A$5001,עזר!L1645))</f>
        <v/>
      </c>
      <c r="B1645" s="13" t="str">
        <f aca="false">IF(עזר!L1645="","",INDEX(עזר!$B$2:$B$5001,עזר!L1645))</f>
        <v/>
      </c>
      <c r="C1645" s="13" t="str">
        <f aca="false">עזר!M1645</f>
        <v/>
      </c>
    </row>
    <row r="1646" customFormat="false" ht="15" hidden="false" customHeight="false" outlineLevel="0" collapsed="false">
      <c r="A1646" s="13" t="str">
        <f aca="false">IF(עזר!L1646="","",INDEX(עזר!$A$2:$A$5001,עזר!L1646))</f>
        <v/>
      </c>
      <c r="B1646" s="13" t="str">
        <f aca="false">IF(עזר!L1646="","",INDEX(עזר!$B$2:$B$5001,עזר!L1646))</f>
        <v/>
      </c>
      <c r="C1646" s="13" t="str">
        <f aca="false">עזר!M1646</f>
        <v/>
      </c>
    </row>
    <row r="1647" customFormat="false" ht="15" hidden="false" customHeight="false" outlineLevel="0" collapsed="false">
      <c r="A1647" s="13" t="str">
        <f aca="false">IF(עזר!L1647="","",INDEX(עזר!$A$2:$A$5001,עזר!L1647))</f>
        <v/>
      </c>
      <c r="B1647" s="13" t="str">
        <f aca="false">IF(עזר!L1647="","",INDEX(עזר!$B$2:$B$5001,עזר!L1647))</f>
        <v/>
      </c>
      <c r="C1647" s="13" t="str">
        <f aca="false">עזר!M1647</f>
        <v/>
      </c>
    </row>
    <row r="1648" customFormat="false" ht="15" hidden="false" customHeight="false" outlineLevel="0" collapsed="false">
      <c r="A1648" s="13" t="str">
        <f aca="false">IF(עזר!L1648="","",INDEX(עזר!$A$2:$A$5001,עזר!L1648))</f>
        <v/>
      </c>
      <c r="B1648" s="13" t="str">
        <f aca="false">IF(עזר!L1648="","",INDEX(עזר!$B$2:$B$5001,עזר!L1648))</f>
        <v/>
      </c>
      <c r="C1648" s="13" t="str">
        <f aca="false">עזר!M1648</f>
        <v/>
      </c>
    </row>
    <row r="1649" customFormat="false" ht="15" hidden="false" customHeight="false" outlineLevel="0" collapsed="false">
      <c r="A1649" s="13" t="str">
        <f aca="false">IF(עזר!L1649="","",INDEX(עזר!$A$2:$A$5001,עזר!L1649))</f>
        <v/>
      </c>
      <c r="B1649" s="13" t="str">
        <f aca="false">IF(עזר!L1649="","",INDEX(עזר!$B$2:$B$5001,עזר!L1649))</f>
        <v/>
      </c>
      <c r="C1649" s="13" t="str">
        <f aca="false">עזר!M1649</f>
        <v/>
      </c>
    </row>
    <row r="1650" customFormat="false" ht="15" hidden="false" customHeight="false" outlineLevel="0" collapsed="false">
      <c r="A1650" s="13" t="str">
        <f aca="false">IF(עזר!L1650="","",INDEX(עזר!$A$2:$A$5001,עזר!L1650))</f>
        <v/>
      </c>
      <c r="B1650" s="13" t="str">
        <f aca="false">IF(עזר!L1650="","",INDEX(עזר!$B$2:$B$5001,עזר!L1650))</f>
        <v/>
      </c>
      <c r="C1650" s="13" t="str">
        <f aca="false">עזר!M1650</f>
        <v/>
      </c>
    </row>
    <row r="1651" customFormat="false" ht="15" hidden="false" customHeight="false" outlineLevel="0" collapsed="false">
      <c r="A1651" s="13" t="str">
        <f aca="false">IF(עזר!L1651="","",INDEX(עזר!$A$2:$A$5001,עזר!L1651))</f>
        <v/>
      </c>
      <c r="B1651" s="13" t="str">
        <f aca="false">IF(עזר!L1651="","",INDEX(עזר!$B$2:$B$5001,עזר!L1651))</f>
        <v/>
      </c>
      <c r="C1651" s="13" t="str">
        <f aca="false">עזר!M1651</f>
        <v/>
      </c>
    </row>
    <row r="1652" customFormat="false" ht="15" hidden="false" customHeight="false" outlineLevel="0" collapsed="false">
      <c r="A1652" s="13" t="str">
        <f aca="false">IF(עזר!L1652="","",INDEX(עזר!$A$2:$A$5001,עזר!L1652))</f>
        <v/>
      </c>
      <c r="B1652" s="13" t="str">
        <f aca="false">IF(עזר!L1652="","",INDEX(עזר!$B$2:$B$5001,עזר!L1652))</f>
        <v/>
      </c>
      <c r="C1652" s="13" t="str">
        <f aca="false">עזר!M1652</f>
        <v/>
      </c>
    </row>
    <row r="1653" customFormat="false" ht="15" hidden="false" customHeight="false" outlineLevel="0" collapsed="false">
      <c r="A1653" s="13" t="str">
        <f aca="false">IF(עזר!L1653="","",INDEX(עזר!$A$2:$A$5001,עזר!L1653))</f>
        <v/>
      </c>
      <c r="B1653" s="13" t="str">
        <f aca="false">IF(עזר!L1653="","",INDEX(עזר!$B$2:$B$5001,עזר!L1653))</f>
        <v/>
      </c>
      <c r="C1653" s="13" t="str">
        <f aca="false">עזר!M1653</f>
        <v/>
      </c>
    </row>
    <row r="1654" customFormat="false" ht="15" hidden="false" customHeight="false" outlineLevel="0" collapsed="false">
      <c r="A1654" s="13" t="str">
        <f aca="false">IF(עזר!L1654="","",INDEX(עזר!$A$2:$A$5001,עזר!L1654))</f>
        <v/>
      </c>
      <c r="B1654" s="13" t="str">
        <f aca="false">IF(עזר!L1654="","",INDEX(עזר!$B$2:$B$5001,עזר!L1654))</f>
        <v/>
      </c>
      <c r="C1654" s="13" t="str">
        <f aca="false">עזר!M1654</f>
        <v/>
      </c>
    </row>
    <row r="1655" customFormat="false" ht="15" hidden="false" customHeight="false" outlineLevel="0" collapsed="false">
      <c r="A1655" s="13" t="str">
        <f aca="false">IF(עזר!L1655="","",INDEX(עזר!$A$2:$A$5001,עזר!L1655))</f>
        <v/>
      </c>
      <c r="B1655" s="13" t="str">
        <f aca="false">IF(עזר!L1655="","",INDEX(עזר!$B$2:$B$5001,עזר!L1655))</f>
        <v/>
      </c>
      <c r="C1655" s="13" t="str">
        <f aca="false">עזר!M1655</f>
        <v/>
      </c>
    </row>
    <row r="1656" customFormat="false" ht="15" hidden="false" customHeight="false" outlineLevel="0" collapsed="false">
      <c r="A1656" s="13" t="str">
        <f aca="false">IF(עזר!L1656="","",INDEX(עזר!$A$2:$A$5001,עזר!L1656))</f>
        <v/>
      </c>
      <c r="B1656" s="13" t="str">
        <f aca="false">IF(עזר!L1656="","",INDEX(עזר!$B$2:$B$5001,עזר!L1656))</f>
        <v/>
      </c>
      <c r="C1656" s="13" t="str">
        <f aca="false">עזר!M1656</f>
        <v/>
      </c>
    </row>
    <row r="1657" customFormat="false" ht="15" hidden="false" customHeight="false" outlineLevel="0" collapsed="false">
      <c r="A1657" s="13" t="str">
        <f aca="false">IF(עזר!L1657="","",INDEX(עזר!$A$2:$A$5001,עזר!L1657))</f>
        <v/>
      </c>
      <c r="B1657" s="13" t="str">
        <f aca="false">IF(עזר!L1657="","",INDEX(עזר!$B$2:$B$5001,עזר!L1657))</f>
        <v/>
      </c>
      <c r="C1657" s="13" t="str">
        <f aca="false">עזר!M1657</f>
        <v/>
      </c>
    </row>
    <row r="1658" customFormat="false" ht="15" hidden="false" customHeight="false" outlineLevel="0" collapsed="false">
      <c r="A1658" s="13" t="str">
        <f aca="false">IF(עזר!L1658="","",INDEX(עזר!$A$2:$A$5001,עזר!L1658))</f>
        <v/>
      </c>
      <c r="B1658" s="13" t="str">
        <f aca="false">IF(עזר!L1658="","",INDEX(עזר!$B$2:$B$5001,עזר!L1658))</f>
        <v/>
      </c>
      <c r="C1658" s="13" t="str">
        <f aca="false">עזר!M1658</f>
        <v/>
      </c>
    </row>
    <row r="1659" customFormat="false" ht="15" hidden="false" customHeight="false" outlineLevel="0" collapsed="false">
      <c r="A1659" s="13" t="str">
        <f aca="false">IF(עזר!L1659="","",INDEX(עזר!$A$2:$A$5001,עזר!L1659))</f>
        <v/>
      </c>
      <c r="B1659" s="13" t="str">
        <f aca="false">IF(עזר!L1659="","",INDEX(עזר!$B$2:$B$5001,עזר!L1659))</f>
        <v/>
      </c>
      <c r="C1659" s="13" t="str">
        <f aca="false">עזר!M1659</f>
        <v/>
      </c>
    </row>
    <row r="1660" customFormat="false" ht="15" hidden="false" customHeight="false" outlineLevel="0" collapsed="false">
      <c r="A1660" s="13" t="str">
        <f aca="false">IF(עזר!L1660="","",INDEX(עזר!$A$2:$A$5001,עזר!L1660))</f>
        <v/>
      </c>
      <c r="B1660" s="13" t="str">
        <f aca="false">IF(עזר!L1660="","",INDEX(עזר!$B$2:$B$5001,עזר!L1660))</f>
        <v/>
      </c>
      <c r="C1660" s="13" t="str">
        <f aca="false">עזר!M1660</f>
        <v/>
      </c>
    </row>
    <row r="1661" customFormat="false" ht="15" hidden="false" customHeight="false" outlineLevel="0" collapsed="false">
      <c r="A1661" s="13" t="str">
        <f aca="false">IF(עזר!L1661="","",INDEX(עזר!$A$2:$A$5001,עזר!L1661))</f>
        <v/>
      </c>
      <c r="B1661" s="13" t="str">
        <f aca="false">IF(עזר!L1661="","",INDEX(עזר!$B$2:$B$5001,עזר!L1661))</f>
        <v/>
      </c>
      <c r="C1661" s="13" t="str">
        <f aca="false">עזר!M1661</f>
        <v/>
      </c>
    </row>
    <row r="1662" customFormat="false" ht="15" hidden="false" customHeight="false" outlineLevel="0" collapsed="false">
      <c r="A1662" s="13" t="str">
        <f aca="false">IF(עזר!L1662="","",INDEX(עזר!$A$2:$A$5001,עזר!L1662))</f>
        <v/>
      </c>
      <c r="B1662" s="13" t="str">
        <f aca="false">IF(עזר!L1662="","",INDEX(עזר!$B$2:$B$5001,עזר!L1662))</f>
        <v/>
      </c>
      <c r="C1662" s="13" t="str">
        <f aca="false">עזר!M1662</f>
        <v/>
      </c>
    </row>
    <row r="1663" customFormat="false" ht="15" hidden="false" customHeight="false" outlineLevel="0" collapsed="false">
      <c r="A1663" s="13" t="str">
        <f aca="false">IF(עזר!L1663="","",INDEX(עזר!$A$2:$A$5001,עזר!L1663))</f>
        <v/>
      </c>
      <c r="B1663" s="13" t="str">
        <f aca="false">IF(עזר!L1663="","",INDEX(עזר!$B$2:$B$5001,עזר!L1663))</f>
        <v/>
      </c>
      <c r="C1663" s="13" t="str">
        <f aca="false">עזר!M1663</f>
        <v/>
      </c>
    </row>
    <row r="1664" customFormat="false" ht="15" hidden="false" customHeight="false" outlineLevel="0" collapsed="false">
      <c r="A1664" s="13" t="str">
        <f aca="false">IF(עזר!L1664="","",INDEX(עזר!$A$2:$A$5001,עזר!L1664))</f>
        <v/>
      </c>
      <c r="B1664" s="13" t="str">
        <f aca="false">IF(עזר!L1664="","",INDEX(עזר!$B$2:$B$5001,עזר!L1664))</f>
        <v/>
      </c>
      <c r="C1664" s="13" t="str">
        <f aca="false">עזר!M1664</f>
        <v/>
      </c>
    </row>
    <row r="1665" customFormat="false" ht="15" hidden="false" customHeight="false" outlineLevel="0" collapsed="false">
      <c r="A1665" s="13" t="str">
        <f aca="false">IF(עזר!L1665="","",INDEX(עזר!$A$2:$A$5001,עזר!L1665))</f>
        <v/>
      </c>
      <c r="B1665" s="13" t="str">
        <f aca="false">IF(עזר!L1665="","",INDEX(עזר!$B$2:$B$5001,עזר!L1665))</f>
        <v/>
      </c>
      <c r="C1665" s="13" t="str">
        <f aca="false">עזר!M1665</f>
        <v/>
      </c>
    </row>
    <row r="1666" customFormat="false" ht="15" hidden="false" customHeight="false" outlineLevel="0" collapsed="false">
      <c r="A1666" s="13" t="str">
        <f aca="false">IF(עזר!L1666="","",INDEX(עזר!$A$2:$A$5001,עזר!L1666))</f>
        <v/>
      </c>
      <c r="B1666" s="13" t="str">
        <f aca="false">IF(עזר!L1666="","",INDEX(עזר!$B$2:$B$5001,עזר!L1666))</f>
        <v/>
      </c>
      <c r="C1666" s="13" t="str">
        <f aca="false">עזר!M1666</f>
        <v/>
      </c>
    </row>
    <row r="1667" customFormat="false" ht="15" hidden="false" customHeight="false" outlineLevel="0" collapsed="false">
      <c r="A1667" s="13" t="str">
        <f aca="false">IF(עזר!L1667="","",INDEX(עזר!$A$2:$A$5001,עזר!L1667))</f>
        <v/>
      </c>
      <c r="B1667" s="13" t="str">
        <f aca="false">IF(עזר!L1667="","",INDEX(עזר!$B$2:$B$5001,עזר!L1667))</f>
        <v/>
      </c>
      <c r="C1667" s="13" t="str">
        <f aca="false">עזר!M1667</f>
        <v/>
      </c>
    </row>
    <row r="1668" customFormat="false" ht="15" hidden="false" customHeight="false" outlineLevel="0" collapsed="false">
      <c r="A1668" s="13" t="str">
        <f aca="false">IF(עזר!L1668="","",INDEX(עזר!$A$2:$A$5001,עזר!L1668))</f>
        <v/>
      </c>
      <c r="B1668" s="13" t="str">
        <f aca="false">IF(עזר!L1668="","",INDEX(עזר!$B$2:$B$5001,עזר!L1668))</f>
        <v/>
      </c>
      <c r="C1668" s="13" t="str">
        <f aca="false">עזר!M1668</f>
        <v/>
      </c>
    </row>
    <row r="1669" customFormat="false" ht="15" hidden="false" customHeight="false" outlineLevel="0" collapsed="false">
      <c r="A1669" s="13" t="str">
        <f aca="false">IF(עזר!L1669="","",INDEX(עזר!$A$2:$A$5001,עזר!L1669))</f>
        <v/>
      </c>
      <c r="B1669" s="13" t="str">
        <f aca="false">IF(עזר!L1669="","",INDEX(עזר!$B$2:$B$5001,עזר!L1669))</f>
        <v/>
      </c>
      <c r="C1669" s="13" t="str">
        <f aca="false">עזר!M1669</f>
        <v/>
      </c>
    </row>
    <row r="1670" customFormat="false" ht="15" hidden="false" customHeight="false" outlineLevel="0" collapsed="false">
      <c r="A1670" s="13" t="str">
        <f aca="false">IF(עזר!L1670="","",INDEX(עזר!$A$2:$A$5001,עזר!L1670))</f>
        <v/>
      </c>
      <c r="B1670" s="13" t="str">
        <f aca="false">IF(עזר!L1670="","",INDEX(עזר!$B$2:$B$5001,עזר!L1670))</f>
        <v/>
      </c>
      <c r="C1670" s="13" t="str">
        <f aca="false">עזר!M1670</f>
        <v/>
      </c>
    </row>
    <row r="1671" customFormat="false" ht="15" hidden="false" customHeight="false" outlineLevel="0" collapsed="false">
      <c r="A1671" s="13" t="str">
        <f aca="false">IF(עזר!L1671="","",INDEX(עזר!$A$2:$A$5001,עזר!L1671))</f>
        <v/>
      </c>
      <c r="B1671" s="13" t="str">
        <f aca="false">IF(עזר!L1671="","",INDEX(עזר!$B$2:$B$5001,עזר!L1671))</f>
        <v/>
      </c>
      <c r="C1671" s="13" t="str">
        <f aca="false">עזר!M1671</f>
        <v/>
      </c>
    </row>
    <row r="1672" customFormat="false" ht="15" hidden="false" customHeight="false" outlineLevel="0" collapsed="false">
      <c r="A1672" s="13" t="str">
        <f aca="false">IF(עזר!L1672="","",INDEX(עזר!$A$2:$A$5001,עזר!L1672))</f>
        <v/>
      </c>
      <c r="B1672" s="13" t="str">
        <f aca="false">IF(עזר!L1672="","",INDEX(עזר!$B$2:$B$5001,עזר!L1672))</f>
        <v/>
      </c>
      <c r="C1672" s="13" t="str">
        <f aca="false">עזר!M1672</f>
        <v/>
      </c>
    </row>
    <row r="1673" customFormat="false" ht="15" hidden="false" customHeight="false" outlineLevel="0" collapsed="false">
      <c r="A1673" s="13" t="str">
        <f aca="false">IF(עזר!L1673="","",INDEX(עזר!$A$2:$A$5001,עזר!L1673))</f>
        <v/>
      </c>
      <c r="B1673" s="13" t="str">
        <f aca="false">IF(עזר!L1673="","",INDEX(עזר!$B$2:$B$5001,עזר!L1673))</f>
        <v/>
      </c>
      <c r="C1673" s="13" t="str">
        <f aca="false">עזר!M1673</f>
        <v/>
      </c>
    </row>
    <row r="1674" customFormat="false" ht="15" hidden="false" customHeight="false" outlineLevel="0" collapsed="false">
      <c r="A1674" s="13" t="str">
        <f aca="false">IF(עזר!L1674="","",INDEX(עזר!$A$2:$A$5001,עזר!L1674))</f>
        <v/>
      </c>
      <c r="B1674" s="13" t="str">
        <f aca="false">IF(עזר!L1674="","",INDEX(עזר!$B$2:$B$5001,עזר!L1674))</f>
        <v/>
      </c>
      <c r="C1674" s="13" t="str">
        <f aca="false">עזר!M1674</f>
        <v/>
      </c>
    </row>
    <row r="1675" customFormat="false" ht="15" hidden="false" customHeight="false" outlineLevel="0" collapsed="false">
      <c r="A1675" s="13" t="str">
        <f aca="false">IF(עזר!L1675="","",INDEX(עזר!$A$2:$A$5001,עזר!L1675))</f>
        <v/>
      </c>
      <c r="B1675" s="13" t="str">
        <f aca="false">IF(עזר!L1675="","",INDEX(עזר!$B$2:$B$5001,עזר!L1675))</f>
        <v/>
      </c>
      <c r="C1675" s="13" t="str">
        <f aca="false">עזר!M1675</f>
        <v/>
      </c>
    </row>
    <row r="1676" customFormat="false" ht="15" hidden="false" customHeight="false" outlineLevel="0" collapsed="false">
      <c r="A1676" s="13" t="str">
        <f aca="false">IF(עזר!L1676="","",INDEX(עזר!$A$2:$A$5001,עזר!L1676))</f>
        <v/>
      </c>
      <c r="B1676" s="13" t="str">
        <f aca="false">IF(עזר!L1676="","",INDEX(עזר!$B$2:$B$5001,עזר!L1676))</f>
        <v/>
      </c>
      <c r="C1676" s="13" t="str">
        <f aca="false">עזר!M1676</f>
        <v/>
      </c>
    </row>
    <row r="1677" customFormat="false" ht="15" hidden="false" customHeight="false" outlineLevel="0" collapsed="false">
      <c r="A1677" s="13" t="str">
        <f aca="false">IF(עזר!L1677="","",INDEX(עזר!$A$2:$A$5001,עזר!L1677))</f>
        <v/>
      </c>
      <c r="B1677" s="13" t="str">
        <f aca="false">IF(עזר!L1677="","",INDEX(עזר!$B$2:$B$5001,עזר!L1677))</f>
        <v/>
      </c>
      <c r="C1677" s="13" t="str">
        <f aca="false">עזר!M1677</f>
        <v/>
      </c>
    </row>
    <row r="1678" customFormat="false" ht="15" hidden="false" customHeight="false" outlineLevel="0" collapsed="false">
      <c r="A1678" s="13" t="str">
        <f aca="false">IF(עזר!L1678="","",INDEX(עזר!$A$2:$A$5001,עזר!L1678))</f>
        <v/>
      </c>
      <c r="B1678" s="13" t="str">
        <f aca="false">IF(עזר!L1678="","",INDEX(עזר!$B$2:$B$5001,עזר!L1678))</f>
        <v/>
      </c>
      <c r="C1678" s="13" t="str">
        <f aca="false">עזר!M1678</f>
        <v/>
      </c>
    </row>
    <row r="1679" customFormat="false" ht="15" hidden="false" customHeight="false" outlineLevel="0" collapsed="false">
      <c r="A1679" s="13" t="str">
        <f aca="false">IF(עזר!L1679="","",INDEX(עזר!$A$2:$A$5001,עזר!L1679))</f>
        <v/>
      </c>
      <c r="B1679" s="13" t="str">
        <f aca="false">IF(עזר!L1679="","",INDEX(עזר!$B$2:$B$5001,עזר!L1679))</f>
        <v/>
      </c>
      <c r="C1679" s="13" t="str">
        <f aca="false">עזר!M1679</f>
        <v/>
      </c>
    </row>
    <row r="1680" customFormat="false" ht="15" hidden="false" customHeight="false" outlineLevel="0" collapsed="false">
      <c r="A1680" s="13" t="str">
        <f aca="false">IF(עזר!L1680="","",INDEX(עזר!$A$2:$A$5001,עזר!L1680))</f>
        <v/>
      </c>
      <c r="B1680" s="13" t="str">
        <f aca="false">IF(עזר!L1680="","",INDEX(עזר!$B$2:$B$5001,עזר!L1680))</f>
        <v/>
      </c>
      <c r="C1680" s="13" t="str">
        <f aca="false">עזר!M1680</f>
        <v/>
      </c>
    </row>
    <row r="1681" customFormat="false" ht="15" hidden="false" customHeight="false" outlineLevel="0" collapsed="false">
      <c r="A1681" s="13" t="str">
        <f aca="false">IF(עזר!L1681="","",INDEX(עזר!$A$2:$A$5001,עזר!L1681))</f>
        <v/>
      </c>
      <c r="B1681" s="13" t="str">
        <f aca="false">IF(עזר!L1681="","",INDEX(עזר!$B$2:$B$5001,עזר!L1681))</f>
        <v/>
      </c>
      <c r="C1681" s="13" t="str">
        <f aca="false">עזר!M1681</f>
        <v/>
      </c>
    </row>
    <row r="1682" customFormat="false" ht="15" hidden="false" customHeight="false" outlineLevel="0" collapsed="false">
      <c r="A1682" s="13" t="str">
        <f aca="false">IF(עזר!L1682="","",INDEX(עזר!$A$2:$A$5001,עזר!L1682))</f>
        <v/>
      </c>
      <c r="B1682" s="13" t="str">
        <f aca="false">IF(עזר!L1682="","",INDEX(עזר!$B$2:$B$5001,עזר!L1682))</f>
        <v/>
      </c>
      <c r="C1682" s="13" t="str">
        <f aca="false">עזר!M1682</f>
        <v/>
      </c>
    </row>
    <row r="1683" customFormat="false" ht="15" hidden="false" customHeight="false" outlineLevel="0" collapsed="false">
      <c r="A1683" s="13" t="str">
        <f aca="false">IF(עזר!L1683="","",INDEX(עזר!$A$2:$A$5001,עזר!L1683))</f>
        <v/>
      </c>
      <c r="B1683" s="13" t="str">
        <f aca="false">IF(עזר!L1683="","",INDEX(עזר!$B$2:$B$5001,עזר!L1683))</f>
        <v/>
      </c>
      <c r="C1683" s="13" t="str">
        <f aca="false">עזר!M1683</f>
        <v/>
      </c>
    </row>
    <row r="1684" customFormat="false" ht="15" hidden="false" customHeight="false" outlineLevel="0" collapsed="false">
      <c r="A1684" s="13" t="str">
        <f aca="false">IF(עזר!L1684="","",INDEX(עזר!$A$2:$A$5001,עזר!L1684))</f>
        <v/>
      </c>
      <c r="B1684" s="13" t="str">
        <f aca="false">IF(עזר!L1684="","",INDEX(עזר!$B$2:$B$5001,עזר!L1684))</f>
        <v/>
      </c>
      <c r="C1684" s="13" t="str">
        <f aca="false">עזר!M1684</f>
        <v/>
      </c>
    </row>
    <row r="1685" customFormat="false" ht="15" hidden="false" customHeight="false" outlineLevel="0" collapsed="false">
      <c r="A1685" s="13" t="str">
        <f aca="false">IF(עזר!L1685="","",INDEX(עזר!$A$2:$A$5001,עזר!L1685))</f>
        <v/>
      </c>
      <c r="B1685" s="13" t="str">
        <f aca="false">IF(עזר!L1685="","",INDEX(עזר!$B$2:$B$5001,עזר!L1685))</f>
        <v/>
      </c>
      <c r="C1685" s="13" t="str">
        <f aca="false">עזר!M1685</f>
        <v/>
      </c>
    </row>
    <row r="1686" customFormat="false" ht="15" hidden="false" customHeight="false" outlineLevel="0" collapsed="false">
      <c r="A1686" s="13" t="str">
        <f aca="false">IF(עזר!L1686="","",INDEX(עזר!$A$2:$A$5001,עזר!L1686))</f>
        <v/>
      </c>
      <c r="B1686" s="13" t="str">
        <f aca="false">IF(עזר!L1686="","",INDEX(עזר!$B$2:$B$5001,עזר!L1686))</f>
        <v/>
      </c>
      <c r="C1686" s="13" t="str">
        <f aca="false">עזר!M1686</f>
        <v/>
      </c>
    </row>
    <row r="1687" customFormat="false" ht="15" hidden="false" customHeight="false" outlineLevel="0" collapsed="false">
      <c r="A1687" s="13" t="str">
        <f aca="false">IF(עזר!L1687="","",INDEX(עזר!$A$2:$A$5001,עזר!L1687))</f>
        <v/>
      </c>
      <c r="B1687" s="13" t="str">
        <f aca="false">IF(עזר!L1687="","",INDEX(עזר!$B$2:$B$5001,עזר!L1687))</f>
        <v/>
      </c>
      <c r="C1687" s="13" t="str">
        <f aca="false">עזר!M1687</f>
        <v/>
      </c>
    </row>
    <row r="1688" customFormat="false" ht="15" hidden="false" customHeight="false" outlineLevel="0" collapsed="false">
      <c r="A1688" s="13" t="str">
        <f aca="false">IF(עזר!L1688="","",INDEX(עזר!$A$2:$A$5001,עזר!L1688))</f>
        <v/>
      </c>
      <c r="B1688" s="13" t="str">
        <f aca="false">IF(עזר!L1688="","",INDEX(עזר!$B$2:$B$5001,עזר!L1688))</f>
        <v/>
      </c>
      <c r="C1688" s="13" t="str">
        <f aca="false">עזר!M1688</f>
        <v/>
      </c>
    </row>
    <row r="1689" customFormat="false" ht="15" hidden="false" customHeight="false" outlineLevel="0" collapsed="false">
      <c r="A1689" s="13" t="str">
        <f aca="false">IF(עזר!L1689="","",INDEX(עזר!$A$2:$A$5001,עזר!L1689))</f>
        <v/>
      </c>
      <c r="B1689" s="13" t="str">
        <f aca="false">IF(עזר!L1689="","",INDEX(עזר!$B$2:$B$5001,עזר!L1689))</f>
        <v/>
      </c>
      <c r="C1689" s="13" t="str">
        <f aca="false">עזר!M1689</f>
        <v/>
      </c>
    </row>
    <row r="1690" customFormat="false" ht="15" hidden="false" customHeight="false" outlineLevel="0" collapsed="false">
      <c r="A1690" s="13" t="str">
        <f aca="false">IF(עזר!L1690="","",INDEX(עזר!$A$2:$A$5001,עזר!L1690))</f>
        <v/>
      </c>
      <c r="B1690" s="13" t="str">
        <f aca="false">IF(עזר!L1690="","",INDEX(עזר!$B$2:$B$5001,עזר!L1690))</f>
        <v/>
      </c>
      <c r="C1690" s="13" t="str">
        <f aca="false">עזר!M1690</f>
        <v/>
      </c>
    </row>
    <row r="1691" customFormat="false" ht="15" hidden="false" customHeight="false" outlineLevel="0" collapsed="false">
      <c r="A1691" s="13" t="str">
        <f aca="false">IF(עזר!L1691="","",INDEX(עזר!$A$2:$A$5001,עזר!L1691))</f>
        <v/>
      </c>
      <c r="B1691" s="13" t="str">
        <f aca="false">IF(עזר!L1691="","",INDEX(עזר!$B$2:$B$5001,עזר!L1691))</f>
        <v/>
      </c>
      <c r="C1691" s="13" t="str">
        <f aca="false">עזר!M1691</f>
        <v/>
      </c>
    </row>
    <row r="1692" customFormat="false" ht="15" hidden="false" customHeight="false" outlineLevel="0" collapsed="false">
      <c r="A1692" s="13" t="str">
        <f aca="false">IF(עזר!L1692="","",INDEX(עזר!$A$2:$A$5001,עזר!L1692))</f>
        <v/>
      </c>
      <c r="B1692" s="13" t="str">
        <f aca="false">IF(עזר!L1692="","",INDEX(עזר!$B$2:$B$5001,עזר!L1692))</f>
        <v/>
      </c>
      <c r="C1692" s="13" t="str">
        <f aca="false">עזר!M1692</f>
        <v/>
      </c>
    </row>
    <row r="1693" customFormat="false" ht="15" hidden="false" customHeight="false" outlineLevel="0" collapsed="false">
      <c r="A1693" s="13" t="str">
        <f aca="false">IF(עזר!L1693="","",INDEX(עזר!$A$2:$A$5001,עזר!L1693))</f>
        <v/>
      </c>
      <c r="B1693" s="13" t="str">
        <f aca="false">IF(עזר!L1693="","",INDEX(עזר!$B$2:$B$5001,עזר!L1693))</f>
        <v/>
      </c>
      <c r="C1693" s="13" t="str">
        <f aca="false">עזר!M1693</f>
        <v/>
      </c>
    </row>
    <row r="1694" customFormat="false" ht="15" hidden="false" customHeight="false" outlineLevel="0" collapsed="false">
      <c r="A1694" s="13" t="str">
        <f aca="false">IF(עזר!L1694="","",INDEX(עזר!$A$2:$A$5001,עזר!L1694))</f>
        <v/>
      </c>
      <c r="B1694" s="13" t="str">
        <f aca="false">IF(עזר!L1694="","",INDEX(עזר!$B$2:$B$5001,עזר!L1694))</f>
        <v/>
      </c>
      <c r="C1694" s="13" t="str">
        <f aca="false">עזר!M1694</f>
        <v/>
      </c>
    </row>
    <row r="1695" customFormat="false" ht="15" hidden="false" customHeight="false" outlineLevel="0" collapsed="false">
      <c r="A1695" s="13" t="str">
        <f aca="false">IF(עזר!L1695="","",INDEX(עזר!$A$2:$A$5001,עזר!L1695))</f>
        <v/>
      </c>
      <c r="B1695" s="13" t="str">
        <f aca="false">IF(עזר!L1695="","",INDEX(עזר!$B$2:$B$5001,עזר!L1695))</f>
        <v/>
      </c>
      <c r="C1695" s="13" t="str">
        <f aca="false">עזר!M1695</f>
        <v/>
      </c>
    </row>
    <row r="1696" customFormat="false" ht="15" hidden="false" customHeight="false" outlineLevel="0" collapsed="false">
      <c r="A1696" s="13" t="str">
        <f aca="false">IF(עזר!L1696="","",INDEX(עזר!$A$2:$A$5001,עזר!L1696))</f>
        <v/>
      </c>
      <c r="B1696" s="13" t="str">
        <f aca="false">IF(עזר!L1696="","",INDEX(עזר!$B$2:$B$5001,עזר!L1696))</f>
        <v/>
      </c>
      <c r="C1696" s="13" t="str">
        <f aca="false">עזר!M1696</f>
        <v/>
      </c>
    </row>
    <row r="1697" customFormat="false" ht="15" hidden="false" customHeight="false" outlineLevel="0" collapsed="false">
      <c r="A1697" s="13" t="str">
        <f aca="false">IF(עזר!L1697="","",INDEX(עזר!$A$2:$A$5001,עזר!L1697))</f>
        <v/>
      </c>
      <c r="B1697" s="13" t="str">
        <f aca="false">IF(עזר!L1697="","",INDEX(עזר!$B$2:$B$5001,עזר!L1697))</f>
        <v/>
      </c>
      <c r="C1697" s="13" t="str">
        <f aca="false">עזר!M1697</f>
        <v/>
      </c>
    </row>
    <row r="1698" customFormat="false" ht="15" hidden="false" customHeight="false" outlineLevel="0" collapsed="false">
      <c r="A1698" s="13" t="str">
        <f aca="false">IF(עזר!L1698="","",INDEX(עזר!$A$2:$A$5001,עזר!L1698))</f>
        <v/>
      </c>
      <c r="B1698" s="13" t="str">
        <f aca="false">IF(עזר!L1698="","",INDEX(עזר!$B$2:$B$5001,עזר!L1698))</f>
        <v/>
      </c>
      <c r="C1698" s="13" t="str">
        <f aca="false">עזר!M1698</f>
        <v/>
      </c>
    </row>
    <row r="1699" customFormat="false" ht="15" hidden="false" customHeight="false" outlineLevel="0" collapsed="false">
      <c r="A1699" s="13" t="str">
        <f aca="false">IF(עזר!L1699="","",INDEX(עזר!$A$2:$A$5001,עזר!L1699))</f>
        <v/>
      </c>
      <c r="B1699" s="13" t="str">
        <f aca="false">IF(עזר!L1699="","",INDEX(עזר!$B$2:$B$5001,עזר!L1699))</f>
        <v/>
      </c>
      <c r="C1699" s="13" t="str">
        <f aca="false">עזר!M1699</f>
        <v/>
      </c>
    </row>
    <row r="1700" customFormat="false" ht="15" hidden="false" customHeight="false" outlineLevel="0" collapsed="false">
      <c r="A1700" s="13" t="str">
        <f aca="false">IF(עזר!L1700="","",INDEX(עזר!$A$2:$A$5001,עזר!L1700))</f>
        <v/>
      </c>
      <c r="B1700" s="13" t="str">
        <f aca="false">IF(עזר!L1700="","",INDEX(עזר!$B$2:$B$5001,עזר!L1700))</f>
        <v/>
      </c>
      <c r="C1700" s="13" t="str">
        <f aca="false">עזר!M1700</f>
        <v/>
      </c>
    </row>
    <row r="1701" customFormat="false" ht="15" hidden="false" customHeight="false" outlineLevel="0" collapsed="false">
      <c r="A1701" s="13" t="str">
        <f aca="false">IF(עזר!L1701="","",INDEX(עזר!$A$2:$A$5001,עזר!L1701))</f>
        <v/>
      </c>
      <c r="B1701" s="13" t="str">
        <f aca="false">IF(עזר!L1701="","",INDEX(עזר!$B$2:$B$5001,עזר!L1701))</f>
        <v/>
      </c>
      <c r="C1701" s="13" t="str">
        <f aca="false">עזר!M1701</f>
        <v/>
      </c>
    </row>
    <row r="1702" customFormat="false" ht="15" hidden="false" customHeight="false" outlineLevel="0" collapsed="false">
      <c r="A1702" s="13" t="str">
        <f aca="false">IF(עזר!L1702="","",INDEX(עזר!$A$2:$A$5001,עזר!L1702))</f>
        <v/>
      </c>
      <c r="B1702" s="13" t="str">
        <f aca="false">IF(עזר!L1702="","",INDEX(עזר!$B$2:$B$5001,עזר!L1702))</f>
        <v/>
      </c>
      <c r="C1702" s="13" t="str">
        <f aca="false">עזר!M1702</f>
        <v/>
      </c>
    </row>
    <row r="1703" customFormat="false" ht="15" hidden="false" customHeight="false" outlineLevel="0" collapsed="false">
      <c r="A1703" s="13" t="str">
        <f aca="false">IF(עזר!L1703="","",INDEX(עזר!$A$2:$A$5001,עזר!L1703))</f>
        <v/>
      </c>
      <c r="B1703" s="13" t="str">
        <f aca="false">IF(עזר!L1703="","",INDEX(עזר!$B$2:$B$5001,עזר!L1703))</f>
        <v/>
      </c>
      <c r="C1703" s="13" t="str">
        <f aca="false">עזר!M1703</f>
        <v/>
      </c>
    </row>
    <row r="1704" customFormat="false" ht="15" hidden="false" customHeight="false" outlineLevel="0" collapsed="false">
      <c r="A1704" s="13" t="str">
        <f aca="false">IF(עזר!L1704="","",INDEX(עזר!$A$2:$A$5001,עזר!L1704))</f>
        <v/>
      </c>
      <c r="B1704" s="13" t="str">
        <f aca="false">IF(עזר!L1704="","",INDEX(עזר!$B$2:$B$5001,עזר!L1704))</f>
        <v/>
      </c>
      <c r="C1704" s="13" t="str">
        <f aca="false">עזר!M1704</f>
        <v/>
      </c>
    </row>
    <row r="1705" customFormat="false" ht="15" hidden="false" customHeight="false" outlineLevel="0" collapsed="false">
      <c r="A1705" s="13" t="str">
        <f aca="false">IF(עזר!L1705="","",INDEX(עזר!$A$2:$A$5001,עזר!L1705))</f>
        <v/>
      </c>
      <c r="B1705" s="13" t="str">
        <f aca="false">IF(עזר!L1705="","",INDEX(עזר!$B$2:$B$5001,עזר!L1705))</f>
        <v/>
      </c>
      <c r="C1705" s="13" t="str">
        <f aca="false">עזר!M1705</f>
        <v/>
      </c>
    </row>
    <row r="1706" customFormat="false" ht="15" hidden="false" customHeight="false" outlineLevel="0" collapsed="false">
      <c r="A1706" s="13" t="str">
        <f aca="false">IF(עזר!L1706="","",INDEX(עזר!$A$2:$A$5001,עזר!L1706))</f>
        <v/>
      </c>
      <c r="B1706" s="13" t="str">
        <f aca="false">IF(עזר!L1706="","",INDEX(עזר!$B$2:$B$5001,עזר!L1706))</f>
        <v/>
      </c>
      <c r="C1706" s="13" t="str">
        <f aca="false">עזר!M1706</f>
        <v/>
      </c>
    </row>
    <row r="1707" customFormat="false" ht="15" hidden="false" customHeight="false" outlineLevel="0" collapsed="false">
      <c r="A1707" s="13" t="str">
        <f aca="false">IF(עזר!L1707="","",INDEX(עזר!$A$2:$A$5001,עזר!L1707))</f>
        <v/>
      </c>
      <c r="B1707" s="13" t="str">
        <f aca="false">IF(עזר!L1707="","",INDEX(עזר!$B$2:$B$5001,עזר!L1707))</f>
        <v/>
      </c>
      <c r="C1707" s="13" t="str">
        <f aca="false">עזר!M1707</f>
        <v/>
      </c>
    </row>
    <row r="1708" customFormat="false" ht="15" hidden="false" customHeight="false" outlineLevel="0" collapsed="false">
      <c r="A1708" s="13" t="str">
        <f aca="false">IF(עזר!L1708="","",INDEX(עזר!$A$2:$A$5001,עזר!L1708))</f>
        <v/>
      </c>
      <c r="B1708" s="13" t="str">
        <f aca="false">IF(עזר!L1708="","",INDEX(עזר!$B$2:$B$5001,עזר!L1708))</f>
        <v/>
      </c>
      <c r="C1708" s="13" t="str">
        <f aca="false">עזר!M1708</f>
        <v/>
      </c>
    </row>
    <row r="1709" customFormat="false" ht="15" hidden="false" customHeight="false" outlineLevel="0" collapsed="false">
      <c r="A1709" s="13" t="str">
        <f aca="false">IF(עזר!L1709="","",INDEX(עזר!$A$2:$A$5001,עזר!L1709))</f>
        <v/>
      </c>
      <c r="B1709" s="13" t="str">
        <f aca="false">IF(עזר!L1709="","",INDEX(עזר!$B$2:$B$5001,עזר!L1709))</f>
        <v/>
      </c>
      <c r="C1709" s="13" t="str">
        <f aca="false">עזר!M1709</f>
        <v/>
      </c>
    </row>
    <row r="1710" customFormat="false" ht="15" hidden="false" customHeight="false" outlineLevel="0" collapsed="false">
      <c r="A1710" s="13" t="str">
        <f aca="false">IF(עזר!L1710="","",INDEX(עזר!$A$2:$A$5001,עזר!L1710))</f>
        <v/>
      </c>
      <c r="B1710" s="13" t="str">
        <f aca="false">IF(עזר!L1710="","",INDEX(עזר!$B$2:$B$5001,עזר!L1710))</f>
        <v/>
      </c>
      <c r="C1710" s="13" t="str">
        <f aca="false">עזר!M1710</f>
        <v/>
      </c>
    </row>
    <row r="1711" customFormat="false" ht="15" hidden="false" customHeight="false" outlineLevel="0" collapsed="false">
      <c r="A1711" s="13" t="str">
        <f aca="false">IF(עזר!L1711="","",INDEX(עזר!$A$2:$A$5001,עזר!L1711))</f>
        <v/>
      </c>
      <c r="B1711" s="13" t="str">
        <f aca="false">IF(עזר!L1711="","",INDEX(עזר!$B$2:$B$5001,עזר!L1711))</f>
        <v/>
      </c>
      <c r="C1711" s="13" t="str">
        <f aca="false">עזר!M1711</f>
        <v/>
      </c>
    </row>
    <row r="1712" customFormat="false" ht="15" hidden="false" customHeight="false" outlineLevel="0" collapsed="false">
      <c r="A1712" s="13" t="str">
        <f aca="false">IF(עזר!L1712="","",INDEX(עזר!$A$2:$A$5001,עזר!L1712))</f>
        <v/>
      </c>
      <c r="B1712" s="13" t="str">
        <f aca="false">IF(עזר!L1712="","",INDEX(עזר!$B$2:$B$5001,עזר!L1712))</f>
        <v/>
      </c>
      <c r="C1712" s="13" t="str">
        <f aca="false">עזר!M1712</f>
        <v/>
      </c>
    </row>
    <row r="1713" customFormat="false" ht="15" hidden="false" customHeight="false" outlineLevel="0" collapsed="false">
      <c r="A1713" s="13" t="str">
        <f aca="false">IF(עזר!L1713="","",INDEX(עזר!$A$2:$A$5001,עזר!L1713))</f>
        <v/>
      </c>
      <c r="B1713" s="13" t="str">
        <f aca="false">IF(עזר!L1713="","",INDEX(עזר!$B$2:$B$5001,עזר!L1713))</f>
        <v/>
      </c>
      <c r="C1713" s="13" t="str">
        <f aca="false">עזר!M1713</f>
        <v/>
      </c>
    </row>
    <row r="1714" customFormat="false" ht="15" hidden="false" customHeight="false" outlineLevel="0" collapsed="false">
      <c r="A1714" s="13" t="str">
        <f aca="false">IF(עזר!L1714="","",INDEX(עזר!$A$2:$A$5001,עזר!L1714))</f>
        <v/>
      </c>
      <c r="B1714" s="13" t="str">
        <f aca="false">IF(עזר!L1714="","",INDEX(עזר!$B$2:$B$5001,עזר!L1714))</f>
        <v/>
      </c>
      <c r="C1714" s="13" t="str">
        <f aca="false">עזר!M1714</f>
        <v/>
      </c>
    </row>
    <row r="1715" customFormat="false" ht="15" hidden="false" customHeight="false" outlineLevel="0" collapsed="false">
      <c r="A1715" s="13" t="str">
        <f aca="false">IF(עזר!L1715="","",INDEX(עזר!$A$2:$A$5001,עזר!L1715))</f>
        <v/>
      </c>
      <c r="B1715" s="13" t="str">
        <f aca="false">IF(עזר!L1715="","",INDEX(עזר!$B$2:$B$5001,עזר!L1715))</f>
        <v/>
      </c>
      <c r="C1715" s="13" t="str">
        <f aca="false">עזר!M1715</f>
        <v/>
      </c>
    </row>
    <row r="1716" customFormat="false" ht="15" hidden="false" customHeight="false" outlineLevel="0" collapsed="false">
      <c r="A1716" s="13" t="str">
        <f aca="false">IF(עזר!L1716="","",INDEX(עזר!$A$2:$A$5001,עזר!L1716))</f>
        <v/>
      </c>
      <c r="B1716" s="13" t="str">
        <f aca="false">IF(עזר!L1716="","",INDEX(עזר!$B$2:$B$5001,עזר!L1716))</f>
        <v/>
      </c>
      <c r="C1716" s="13" t="str">
        <f aca="false">עזר!M1716</f>
        <v/>
      </c>
    </row>
    <row r="1717" customFormat="false" ht="15" hidden="false" customHeight="false" outlineLevel="0" collapsed="false">
      <c r="A1717" s="13" t="str">
        <f aca="false">IF(עזר!L1717="","",INDEX(עזר!$A$2:$A$5001,עזר!L1717))</f>
        <v/>
      </c>
      <c r="B1717" s="13" t="str">
        <f aca="false">IF(עזר!L1717="","",INDEX(עזר!$B$2:$B$5001,עזר!L1717))</f>
        <v/>
      </c>
      <c r="C1717" s="13" t="str">
        <f aca="false">עזר!M1717</f>
        <v/>
      </c>
    </row>
    <row r="1718" customFormat="false" ht="15" hidden="false" customHeight="false" outlineLevel="0" collapsed="false">
      <c r="A1718" s="13" t="str">
        <f aca="false">IF(עזר!L1718="","",INDEX(עזר!$A$2:$A$5001,עזר!L1718))</f>
        <v/>
      </c>
      <c r="B1718" s="13" t="str">
        <f aca="false">IF(עזר!L1718="","",INDEX(עזר!$B$2:$B$5001,עזר!L1718))</f>
        <v/>
      </c>
      <c r="C1718" s="13" t="str">
        <f aca="false">עזר!M1718</f>
        <v/>
      </c>
    </row>
    <row r="1719" customFormat="false" ht="15" hidden="false" customHeight="false" outlineLevel="0" collapsed="false">
      <c r="A1719" s="13" t="str">
        <f aca="false">IF(עזר!L1719="","",INDEX(עזר!$A$2:$A$5001,עזר!L1719))</f>
        <v/>
      </c>
      <c r="B1719" s="13" t="str">
        <f aca="false">IF(עזר!L1719="","",INDEX(עזר!$B$2:$B$5001,עזר!L1719))</f>
        <v/>
      </c>
      <c r="C1719" s="13" t="str">
        <f aca="false">עזר!M1719</f>
        <v/>
      </c>
    </row>
    <row r="1720" customFormat="false" ht="15" hidden="false" customHeight="false" outlineLevel="0" collapsed="false">
      <c r="A1720" s="13" t="str">
        <f aca="false">IF(עזר!L1720="","",INDEX(עזר!$A$2:$A$5001,עזר!L1720))</f>
        <v/>
      </c>
      <c r="B1720" s="13" t="str">
        <f aca="false">IF(עזר!L1720="","",INDEX(עזר!$B$2:$B$5001,עזר!L1720))</f>
        <v/>
      </c>
      <c r="C1720" s="13" t="str">
        <f aca="false">עזר!M1720</f>
        <v/>
      </c>
    </row>
    <row r="1721" customFormat="false" ht="15" hidden="false" customHeight="false" outlineLevel="0" collapsed="false">
      <c r="A1721" s="13" t="str">
        <f aca="false">IF(עזר!L1721="","",INDEX(עזר!$A$2:$A$5001,עזר!L1721))</f>
        <v/>
      </c>
      <c r="B1721" s="13" t="str">
        <f aca="false">IF(עזר!L1721="","",INDEX(עזר!$B$2:$B$5001,עזר!L1721))</f>
        <v/>
      </c>
      <c r="C1721" s="13" t="str">
        <f aca="false">עזר!M1721</f>
        <v/>
      </c>
    </row>
    <row r="1722" customFormat="false" ht="15" hidden="false" customHeight="false" outlineLevel="0" collapsed="false">
      <c r="A1722" s="13" t="str">
        <f aca="false">IF(עזר!L1722="","",INDEX(עזר!$A$2:$A$5001,עזר!L1722))</f>
        <v/>
      </c>
      <c r="B1722" s="13" t="str">
        <f aca="false">IF(עזר!L1722="","",INDEX(עזר!$B$2:$B$5001,עזר!L1722))</f>
        <v/>
      </c>
      <c r="C1722" s="13" t="str">
        <f aca="false">עזר!M1722</f>
        <v/>
      </c>
    </row>
    <row r="1723" customFormat="false" ht="15" hidden="false" customHeight="false" outlineLevel="0" collapsed="false">
      <c r="A1723" s="13" t="str">
        <f aca="false">IF(עזר!L1723="","",INDEX(עזר!$A$2:$A$5001,עזר!L1723))</f>
        <v/>
      </c>
      <c r="B1723" s="13" t="str">
        <f aca="false">IF(עזר!L1723="","",INDEX(עזר!$B$2:$B$5001,עזר!L1723))</f>
        <v/>
      </c>
      <c r="C1723" s="13" t="str">
        <f aca="false">עזר!M1723</f>
        <v/>
      </c>
    </row>
    <row r="1724" customFormat="false" ht="15" hidden="false" customHeight="false" outlineLevel="0" collapsed="false">
      <c r="A1724" s="13" t="str">
        <f aca="false">IF(עזר!L1724="","",INDEX(עזר!$A$2:$A$5001,עזר!L1724))</f>
        <v/>
      </c>
      <c r="B1724" s="13" t="str">
        <f aca="false">IF(עזר!L1724="","",INDEX(עזר!$B$2:$B$5001,עזר!L1724))</f>
        <v/>
      </c>
      <c r="C1724" s="13" t="str">
        <f aca="false">עזר!M1724</f>
        <v/>
      </c>
    </row>
    <row r="1725" customFormat="false" ht="15" hidden="false" customHeight="false" outlineLevel="0" collapsed="false">
      <c r="A1725" s="13" t="str">
        <f aca="false">IF(עזר!L1725="","",INDEX(עזר!$A$2:$A$5001,עזר!L1725))</f>
        <v/>
      </c>
      <c r="B1725" s="13" t="str">
        <f aca="false">IF(עזר!L1725="","",INDEX(עזר!$B$2:$B$5001,עזר!L1725))</f>
        <v/>
      </c>
      <c r="C1725" s="13" t="str">
        <f aca="false">עזר!M1725</f>
        <v/>
      </c>
    </row>
    <row r="1726" customFormat="false" ht="15" hidden="false" customHeight="false" outlineLevel="0" collapsed="false">
      <c r="A1726" s="13" t="str">
        <f aca="false">IF(עזר!L1726="","",INDEX(עזר!$A$2:$A$5001,עזר!L1726))</f>
        <v/>
      </c>
      <c r="B1726" s="13" t="str">
        <f aca="false">IF(עזר!L1726="","",INDEX(עזר!$B$2:$B$5001,עזר!L1726))</f>
        <v/>
      </c>
      <c r="C1726" s="13" t="str">
        <f aca="false">עזר!M1726</f>
        <v/>
      </c>
    </row>
    <row r="1727" customFormat="false" ht="15" hidden="false" customHeight="false" outlineLevel="0" collapsed="false">
      <c r="A1727" s="13" t="str">
        <f aca="false">IF(עזר!L1727="","",INDEX(עזר!$A$2:$A$5001,עזר!L1727))</f>
        <v/>
      </c>
      <c r="B1727" s="13" t="str">
        <f aca="false">IF(עזר!L1727="","",INDEX(עזר!$B$2:$B$5001,עזר!L1727))</f>
        <v/>
      </c>
      <c r="C1727" s="13" t="str">
        <f aca="false">עזר!M1727</f>
        <v/>
      </c>
    </row>
    <row r="1728" customFormat="false" ht="15" hidden="false" customHeight="false" outlineLevel="0" collapsed="false">
      <c r="A1728" s="13" t="str">
        <f aca="false">IF(עזר!L1728="","",INDEX(עזר!$A$2:$A$5001,עזר!L1728))</f>
        <v/>
      </c>
      <c r="B1728" s="13" t="str">
        <f aca="false">IF(עזר!L1728="","",INDEX(עזר!$B$2:$B$5001,עזר!L1728))</f>
        <v/>
      </c>
      <c r="C1728" s="13" t="str">
        <f aca="false">עזר!M1728</f>
        <v/>
      </c>
    </row>
    <row r="1729" customFormat="false" ht="15" hidden="false" customHeight="false" outlineLevel="0" collapsed="false">
      <c r="A1729" s="13" t="str">
        <f aca="false">IF(עזר!L1729="","",INDEX(עזר!$A$2:$A$5001,עזר!L1729))</f>
        <v/>
      </c>
      <c r="B1729" s="13" t="str">
        <f aca="false">IF(עזר!L1729="","",INDEX(עזר!$B$2:$B$5001,עזר!L1729))</f>
        <v/>
      </c>
      <c r="C1729" s="13" t="str">
        <f aca="false">עזר!M1729</f>
        <v/>
      </c>
    </row>
    <row r="1730" customFormat="false" ht="15" hidden="false" customHeight="false" outlineLevel="0" collapsed="false">
      <c r="A1730" s="13" t="str">
        <f aca="false">IF(עזר!L1730="","",INDEX(עזר!$A$2:$A$5001,עזר!L1730))</f>
        <v/>
      </c>
      <c r="B1730" s="13" t="str">
        <f aca="false">IF(עזר!L1730="","",INDEX(עזר!$B$2:$B$5001,עזר!L1730))</f>
        <v/>
      </c>
      <c r="C1730" s="13" t="str">
        <f aca="false">עזר!M1730</f>
        <v/>
      </c>
    </row>
    <row r="1731" customFormat="false" ht="15" hidden="false" customHeight="false" outlineLevel="0" collapsed="false">
      <c r="A1731" s="13" t="str">
        <f aca="false">IF(עזר!L1731="","",INDEX(עזר!$A$2:$A$5001,עזר!L1731))</f>
        <v/>
      </c>
      <c r="B1731" s="13" t="str">
        <f aca="false">IF(עזר!L1731="","",INDEX(עזר!$B$2:$B$5001,עזר!L1731))</f>
        <v/>
      </c>
      <c r="C1731" s="13" t="str">
        <f aca="false">עזר!M1731</f>
        <v/>
      </c>
    </row>
    <row r="1732" customFormat="false" ht="15" hidden="false" customHeight="false" outlineLevel="0" collapsed="false">
      <c r="A1732" s="13" t="str">
        <f aca="false">IF(עזר!L1732="","",INDEX(עזר!$A$2:$A$5001,עזר!L1732))</f>
        <v/>
      </c>
      <c r="B1732" s="13" t="str">
        <f aca="false">IF(עזר!L1732="","",INDEX(עזר!$B$2:$B$5001,עזר!L1732))</f>
        <v/>
      </c>
      <c r="C1732" s="13" t="str">
        <f aca="false">עזר!M1732</f>
        <v/>
      </c>
    </row>
    <row r="1733" customFormat="false" ht="15" hidden="false" customHeight="false" outlineLevel="0" collapsed="false">
      <c r="A1733" s="13" t="str">
        <f aca="false">IF(עזר!L1733="","",INDEX(עזר!$A$2:$A$5001,עזר!L1733))</f>
        <v/>
      </c>
      <c r="B1733" s="13" t="str">
        <f aca="false">IF(עזר!L1733="","",INDEX(עזר!$B$2:$B$5001,עזר!L1733))</f>
        <v/>
      </c>
      <c r="C1733" s="13" t="str">
        <f aca="false">עזר!M1733</f>
        <v/>
      </c>
    </row>
    <row r="1734" customFormat="false" ht="15" hidden="false" customHeight="false" outlineLevel="0" collapsed="false">
      <c r="A1734" s="13" t="str">
        <f aca="false">IF(עזר!L1734="","",INDEX(עזר!$A$2:$A$5001,עזר!L1734))</f>
        <v/>
      </c>
      <c r="B1734" s="13" t="str">
        <f aca="false">IF(עזר!L1734="","",INDEX(עזר!$B$2:$B$5001,עזר!L1734))</f>
        <v/>
      </c>
      <c r="C1734" s="13" t="str">
        <f aca="false">עזר!M1734</f>
        <v/>
      </c>
    </row>
    <row r="1735" customFormat="false" ht="15" hidden="false" customHeight="false" outlineLevel="0" collapsed="false">
      <c r="A1735" s="13" t="str">
        <f aca="false">IF(עזר!L1735="","",INDEX(עזר!$A$2:$A$5001,עזר!L1735))</f>
        <v/>
      </c>
      <c r="B1735" s="13" t="str">
        <f aca="false">IF(עזר!L1735="","",INDEX(עזר!$B$2:$B$5001,עזר!L1735))</f>
        <v/>
      </c>
      <c r="C1735" s="13" t="str">
        <f aca="false">עזר!M1735</f>
        <v/>
      </c>
    </row>
    <row r="1736" customFormat="false" ht="15" hidden="false" customHeight="false" outlineLevel="0" collapsed="false">
      <c r="A1736" s="13" t="str">
        <f aca="false">IF(עזר!L1736="","",INDEX(עזר!$A$2:$A$5001,עזר!L1736))</f>
        <v/>
      </c>
      <c r="B1736" s="13" t="str">
        <f aca="false">IF(עזר!L1736="","",INDEX(עזר!$B$2:$B$5001,עזר!L1736))</f>
        <v/>
      </c>
      <c r="C1736" s="13" t="str">
        <f aca="false">עזר!M1736</f>
        <v/>
      </c>
    </row>
    <row r="1737" customFormat="false" ht="15" hidden="false" customHeight="false" outlineLevel="0" collapsed="false">
      <c r="A1737" s="13" t="str">
        <f aca="false">IF(עזר!L1737="","",INDEX(עזר!$A$2:$A$5001,עזר!L1737))</f>
        <v/>
      </c>
      <c r="B1737" s="13" t="str">
        <f aca="false">IF(עזר!L1737="","",INDEX(עזר!$B$2:$B$5001,עזר!L1737))</f>
        <v/>
      </c>
      <c r="C1737" s="13" t="str">
        <f aca="false">עזר!M1737</f>
        <v/>
      </c>
    </row>
    <row r="1738" customFormat="false" ht="15" hidden="false" customHeight="false" outlineLevel="0" collapsed="false">
      <c r="A1738" s="13" t="str">
        <f aca="false">IF(עזר!L1738="","",INDEX(עזר!$A$2:$A$5001,עזר!L1738))</f>
        <v/>
      </c>
      <c r="B1738" s="13" t="str">
        <f aca="false">IF(עזר!L1738="","",INDEX(עזר!$B$2:$B$5001,עזר!L1738))</f>
        <v/>
      </c>
      <c r="C1738" s="13" t="str">
        <f aca="false">עזר!M1738</f>
        <v/>
      </c>
    </row>
    <row r="1739" customFormat="false" ht="15" hidden="false" customHeight="false" outlineLevel="0" collapsed="false">
      <c r="A1739" s="13" t="str">
        <f aca="false">IF(עזר!L1739="","",INDEX(עזר!$A$2:$A$5001,עזר!L1739))</f>
        <v/>
      </c>
      <c r="B1739" s="13" t="str">
        <f aca="false">IF(עזר!L1739="","",INDEX(עזר!$B$2:$B$5001,עזר!L1739))</f>
        <v/>
      </c>
      <c r="C1739" s="13" t="str">
        <f aca="false">עזר!M1739</f>
        <v/>
      </c>
    </row>
    <row r="1740" customFormat="false" ht="15" hidden="false" customHeight="false" outlineLevel="0" collapsed="false">
      <c r="A1740" s="13" t="str">
        <f aca="false">IF(עזר!L1740="","",INDEX(עזר!$A$2:$A$5001,עזר!L1740))</f>
        <v/>
      </c>
      <c r="B1740" s="13" t="str">
        <f aca="false">IF(עזר!L1740="","",INDEX(עזר!$B$2:$B$5001,עזר!L1740))</f>
        <v/>
      </c>
      <c r="C1740" s="13" t="str">
        <f aca="false">עזר!M1740</f>
        <v/>
      </c>
    </row>
    <row r="1741" customFormat="false" ht="15" hidden="false" customHeight="false" outlineLevel="0" collapsed="false">
      <c r="A1741" s="13" t="str">
        <f aca="false">IF(עזר!L1741="","",INDEX(עזר!$A$2:$A$5001,עזר!L1741))</f>
        <v/>
      </c>
      <c r="B1741" s="13" t="str">
        <f aca="false">IF(עזר!L1741="","",INDEX(עזר!$B$2:$B$5001,עזר!L1741))</f>
        <v/>
      </c>
      <c r="C1741" s="13" t="str">
        <f aca="false">עזר!M1741</f>
        <v/>
      </c>
    </row>
    <row r="1742" customFormat="false" ht="15" hidden="false" customHeight="false" outlineLevel="0" collapsed="false">
      <c r="A1742" s="13" t="str">
        <f aca="false">IF(עזר!L1742="","",INDEX(עזר!$A$2:$A$5001,עזר!L1742))</f>
        <v/>
      </c>
      <c r="B1742" s="13" t="str">
        <f aca="false">IF(עזר!L1742="","",INDEX(עזר!$B$2:$B$5001,עזר!L1742))</f>
        <v/>
      </c>
      <c r="C1742" s="13" t="str">
        <f aca="false">עזר!M1742</f>
        <v/>
      </c>
    </row>
    <row r="1743" customFormat="false" ht="15" hidden="false" customHeight="false" outlineLevel="0" collapsed="false">
      <c r="A1743" s="13" t="str">
        <f aca="false">IF(עזר!L1743="","",INDEX(עזר!$A$2:$A$5001,עזר!L1743))</f>
        <v/>
      </c>
      <c r="B1743" s="13" t="str">
        <f aca="false">IF(עזר!L1743="","",INDEX(עזר!$B$2:$B$5001,עזר!L1743))</f>
        <v/>
      </c>
      <c r="C1743" s="13" t="str">
        <f aca="false">עזר!M1743</f>
        <v/>
      </c>
    </row>
    <row r="1744" customFormat="false" ht="15" hidden="false" customHeight="false" outlineLevel="0" collapsed="false">
      <c r="A1744" s="13" t="str">
        <f aca="false">IF(עזר!L1744="","",INDEX(עזר!$A$2:$A$5001,עזר!L1744))</f>
        <v/>
      </c>
      <c r="B1744" s="13" t="str">
        <f aca="false">IF(עזר!L1744="","",INDEX(עזר!$B$2:$B$5001,עזר!L1744))</f>
        <v/>
      </c>
      <c r="C1744" s="13" t="str">
        <f aca="false">עזר!M1744</f>
        <v/>
      </c>
    </row>
    <row r="1745" customFormat="false" ht="15" hidden="false" customHeight="false" outlineLevel="0" collapsed="false">
      <c r="A1745" s="13" t="str">
        <f aca="false">IF(עזר!L1745="","",INDEX(עזר!$A$2:$A$5001,עזר!L1745))</f>
        <v/>
      </c>
      <c r="B1745" s="13" t="str">
        <f aca="false">IF(עזר!L1745="","",INDEX(עזר!$B$2:$B$5001,עזר!L1745))</f>
        <v/>
      </c>
      <c r="C1745" s="13" t="str">
        <f aca="false">עזר!M1745</f>
        <v/>
      </c>
    </row>
    <row r="1746" customFormat="false" ht="15" hidden="false" customHeight="false" outlineLevel="0" collapsed="false">
      <c r="A1746" s="13" t="str">
        <f aca="false">IF(עזר!L1746="","",INDEX(עזר!$A$2:$A$5001,עזר!L1746))</f>
        <v/>
      </c>
      <c r="B1746" s="13" t="str">
        <f aca="false">IF(עזר!L1746="","",INDEX(עזר!$B$2:$B$5001,עזר!L1746))</f>
        <v/>
      </c>
      <c r="C1746" s="13" t="str">
        <f aca="false">עזר!M1746</f>
        <v/>
      </c>
    </row>
    <row r="1747" customFormat="false" ht="15" hidden="false" customHeight="false" outlineLevel="0" collapsed="false">
      <c r="A1747" s="13" t="str">
        <f aca="false">IF(עזר!L1747="","",INDEX(עזר!$A$2:$A$5001,עזר!L1747))</f>
        <v/>
      </c>
      <c r="B1747" s="13" t="str">
        <f aca="false">IF(עזר!L1747="","",INDEX(עזר!$B$2:$B$5001,עזר!L1747))</f>
        <v/>
      </c>
      <c r="C1747" s="13" t="str">
        <f aca="false">עזר!M1747</f>
        <v/>
      </c>
    </row>
    <row r="1748" customFormat="false" ht="15" hidden="false" customHeight="false" outlineLevel="0" collapsed="false">
      <c r="A1748" s="13" t="str">
        <f aca="false">IF(עזר!L1748="","",INDEX(עזר!$A$2:$A$5001,עזר!L1748))</f>
        <v/>
      </c>
      <c r="B1748" s="13" t="str">
        <f aca="false">IF(עזר!L1748="","",INDEX(עזר!$B$2:$B$5001,עזר!L1748))</f>
        <v/>
      </c>
      <c r="C1748" s="13" t="str">
        <f aca="false">עזר!M1748</f>
        <v/>
      </c>
    </row>
    <row r="1749" customFormat="false" ht="15" hidden="false" customHeight="false" outlineLevel="0" collapsed="false">
      <c r="A1749" s="13" t="str">
        <f aca="false">IF(עזר!L1749="","",INDEX(עזר!$A$2:$A$5001,עזר!L1749))</f>
        <v/>
      </c>
      <c r="B1749" s="13" t="str">
        <f aca="false">IF(עזר!L1749="","",INDEX(עזר!$B$2:$B$5001,עזר!L1749))</f>
        <v/>
      </c>
      <c r="C1749" s="13" t="str">
        <f aca="false">עזר!M1749</f>
        <v/>
      </c>
    </row>
    <row r="1750" customFormat="false" ht="15" hidden="false" customHeight="false" outlineLevel="0" collapsed="false">
      <c r="A1750" s="13" t="str">
        <f aca="false">IF(עזר!L1750="","",INDEX(עזר!$A$2:$A$5001,עזר!L1750))</f>
        <v/>
      </c>
      <c r="B1750" s="13" t="str">
        <f aca="false">IF(עזר!L1750="","",INDEX(עזר!$B$2:$B$5001,עזר!L1750))</f>
        <v/>
      </c>
      <c r="C1750" s="13" t="str">
        <f aca="false">עזר!M1750</f>
        <v/>
      </c>
    </row>
    <row r="1751" customFormat="false" ht="15" hidden="false" customHeight="false" outlineLevel="0" collapsed="false">
      <c r="A1751" s="13" t="str">
        <f aca="false">IF(עזר!L1751="","",INDEX(עזר!$A$2:$A$5001,עזר!L1751))</f>
        <v/>
      </c>
      <c r="B1751" s="13" t="str">
        <f aca="false">IF(עזר!L1751="","",INDEX(עזר!$B$2:$B$5001,עזר!L1751))</f>
        <v/>
      </c>
      <c r="C1751" s="13" t="str">
        <f aca="false">עזר!M1751</f>
        <v/>
      </c>
    </row>
    <row r="1752" customFormat="false" ht="15" hidden="false" customHeight="false" outlineLevel="0" collapsed="false">
      <c r="A1752" s="13" t="str">
        <f aca="false">IF(עזר!L1752="","",INDEX(עזר!$A$2:$A$5001,עזר!L1752))</f>
        <v/>
      </c>
      <c r="B1752" s="13" t="str">
        <f aca="false">IF(עזר!L1752="","",INDEX(עזר!$B$2:$B$5001,עזר!L1752))</f>
        <v/>
      </c>
      <c r="C1752" s="13" t="str">
        <f aca="false">עזר!M1752</f>
        <v/>
      </c>
    </row>
    <row r="1753" customFormat="false" ht="15" hidden="false" customHeight="false" outlineLevel="0" collapsed="false">
      <c r="A1753" s="13" t="str">
        <f aca="false">IF(עזר!L1753="","",INDEX(עזר!$A$2:$A$5001,עזר!L1753))</f>
        <v/>
      </c>
      <c r="B1753" s="13" t="str">
        <f aca="false">IF(עזר!L1753="","",INDEX(עזר!$B$2:$B$5001,עזר!L1753))</f>
        <v/>
      </c>
      <c r="C1753" s="13" t="str">
        <f aca="false">עזר!M1753</f>
        <v/>
      </c>
    </row>
    <row r="1754" customFormat="false" ht="15" hidden="false" customHeight="false" outlineLevel="0" collapsed="false">
      <c r="A1754" s="13" t="str">
        <f aca="false">IF(עזר!L1754="","",INDEX(עזר!$A$2:$A$5001,עזר!L1754))</f>
        <v/>
      </c>
      <c r="B1754" s="13" t="str">
        <f aca="false">IF(עזר!L1754="","",INDEX(עזר!$B$2:$B$5001,עזר!L1754))</f>
        <v/>
      </c>
      <c r="C1754" s="13" t="str">
        <f aca="false">עזר!M1754</f>
        <v/>
      </c>
    </row>
    <row r="1755" customFormat="false" ht="15" hidden="false" customHeight="false" outlineLevel="0" collapsed="false">
      <c r="A1755" s="13" t="str">
        <f aca="false">IF(עזר!L1755="","",INDEX(עזר!$A$2:$A$5001,עזר!L1755))</f>
        <v/>
      </c>
      <c r="B1755" s="13" t="str">
        <f aca="false">IF(עזר!L1755="","",INDEX(עזר!$B$2:$B$5001,עזר!L1755))</f>
        <v/>
      </c>
      <c r="C1755" s="13" t="str">
        <f aca="false">עזר!M1755</f>
        <v/>
      </c>
    </row>
    <row r="1756" customFormat="false" ht="15" hidden="false" customHeight="false" outlineLevel="0" collapsed="false">
      <c r="A1756" s="13" t="str">
        <f aca="false">IF(עזר!L1756="","",INDEX(עזר!$A$2:$A$5001,עזר!L1756))</f>
        <v/>
      </c>
      <c r="B1756" s="13" t="str">
        <f aca="false">IF(עזר!L1756="","",INDEX(עזר!$B$2:$B$5001,עזר!L1756))</f>
        <v/>
      </c>
      <c r="C1756" s="13" t="str">
        <f aca="false">עזר!M1756</f>
        <v/>
      </c>
    </row>
    <row r="1757" customFormat="false" ht="15" hidden="false" customHeight="false" outlineLevel="0" collapsed="false">
      <c r="A1757" s="13" t="str">
        <f aca="false">IF(עזר!L1757="","",INDEX(עזר!$A$2:$A$5001,עזר!L1757))</f>
        <v/>
      </c>
      <c r="B1757" s="13" t="str">
        <f aca="false">IF(עזר!L1757="","",INDEX(עזר!$B$2:$B$5001,עזר!L1757))</f>
        <v/>
      </c>
      <c r="C1757" s="13" t="str">
        <f aca="false">עזר!M1757</f>
        <v/>
      </c>
    </row>
    <row r="1758" customFormat="false" ht="15" hidden="false" customHeight="false" outlineLevel="0" collapsed="false">
      <c r="A1758" s="13" t="str">
        <f aca="false">IF(עזר!L1758="","",INDEX(עזר!$A$2:$A$5001,עזר!L1758))</f>
        <v/>
      </c>
      <c r="B1758" s="13" t="str">
        <f aca="false">IF(עזר!L1758="","",INDEX(עזר!$B$2:$B$5001,עזר!L1758))</f>
        <v/>
      </c>
      <c r="C1758" s="13" t="str">
        <f aca="false">עזר!M1758</f>
        <v/>
      </c>
    </row>
    <row r="1759" customFormat="false" ht="15" hidden="false" customHeight="false" outlineLevel="0" collapsed="false">
      <c r="A1759" s="13" t="str">
        <f aca="false">IF(עזר!L1759="","",INDEX(עזר!$A$2:$A$5001,עזר!L1759))</f>
        <v/>
      </c>
      <c r="B1759" s="13" t="str">
        <f aca="false">IF(עזר!L1759="","",INDEX(עזר!$B$2:$B$5001,עזר!L1759))</f>
        <v/>
      </c>
      <c r="C1759" s="13" t="str">
        <f aca="false">עזר!M1759</f>
        <v/>
      </c>
    </row>
    <row r="1760" customFormat="false" ht="15" hidden="false" customHeight="false" outlineLevel="0" collapsed="false">
      <c r="A1760" s="13" t="str">
        <f aca="false">IF(עזר!L1760="","",INDEX(עזר!$A$2:$A$5001,עזר!L1760))</f>
        <v/>
      </c>
      <c r="B1760" s="13" t="str">
        <f aca="false">IF(עזר!L1760="","",INDEX(עזר!$B$2:$B$5001,עזר!L1760))</f>
        <v/>
      </c>
      <c r="C1760" s="13" t="str">
        <f aca="false">עזר!M1760</f>
        <v/>
      </c>
    </row>
    <row r="1761" customFormat="false" ht="15" hidden="false" customHeight="false" outlineLevel="0" collapsed="false">
      <c r="A1761" s="13" t="str">
        <f aca="false">IF(עזר!L1761="","",INDEX(עזר!$A$2:$A$5001,עזר!L1761))</f>
        <v/>
      </c>
      <c r="B1761" s="13" t="str">
        <f aca="false">IF(עזר!L1761="","",INDEX(עזר!$B$2:$B$5001,עזר!L1761))</f>
        <v/>
      </c>
      <c r="C1761" s="13" t="str">
        <f aca="false">עזר!M1761</f>
        <v/>
      </c>
    </row>
    <row r="1762" customFormat="false" ht="15" hidden="false" customHeight="false" outlineLevel="0" collapsed="false">
      <c r="A1762" s="13" t="str">
        <f aca="false">IF(עזר!L1762="","",INDEX(עזר!$A$2:$A$5001,עזר!L1762))</f>
        <v/>
      </c>
      <c r="B1762" s="13" t="str">
        <f aca="false">IF(עזר!L1762="","",INDEX(עזר!$B$2:$B$5001,עזר!L1762))</f>
        <v/>
      </c>
      <c r="C1762" s="13" t="str">
        <f aca="false">עזר!M1762</f>
        <v/>
      </c>
    </row>
    <row r="1763" customFormat="false" ht="15" hidden="false" customHeight="false" outlineLevel="0" collapsed="false">
      <c r="A1763" s="13" t="str">
        <f aca="false">IF(עזר!L1763="","",INDEX(עזר!$A$2:$A$5001,עזר!L1763))</f>
        <v/>
      </c>
      <c r="B1763" s="13" t="str">
        <f aca="false">IF(עזר!L1763="","",INDEX(עזר!$B$2:$B$5001,עזר!L1763))</f>
        <v/>
      </c>
      <c r="C1763" s="13" t="str">
        <f aca="false">עזר!M1763</f>
        <v/>
      </c>
    </row>
    <row r="1764" customFormat="false" ht="15" hidden="false" customHeight="false" outlineLevel="0" collapsed="false">
      <c r="A1764" s="13" t="str">
        <f aca="false">IF(עזר!L1764="","",INDEX(עזר!$A$2:$A$5001,עזר!L1764))</f>
        <v/>
      </c>
      <c r="B1764" s="13" t="str">
        <f aca="false">IF(עזר!L1764="","",INDEX(עזר!$B$2:$B$5001,עזר!L1764))</f>
        <v/>
      </c>
      <c r="C1764" s="13" t="str">
        <f aca="false">עזר!M1764</f>
        <v/>
      </c>
    </row>
    <row r="1765" customFormat="false" ht="15" hidden="false" customHeight="false" outlineLevel="0" collapsed="false">
      <c r="A1765" s="13" t="str">
        <f aca="false">IF(עזר!L1765="","",INDEX(עזר!$A$2:$A$5001,עזר!L1765))</f>
        <v/>
      </c>
      <c r="B1765" s="13" t="str">
        <f aca="false">IF(עזר!L1765="","",INDEX(עזר!$B$2:$B$5001,עזר!L1765))</f>
        <v/>
      </c>
      <c r="C1765" s="13" t="str">
        <f aca="false">עזר!M1765</f>
        <v/>
      </c>
    </row>
    <row r="1766" customFormat="false" ht="15" hidden="false" customHeight="false" outlineLevel="0" collapsed="false">
      <c r="A1766" s="13" t="str">
        <f aca="false">IF(עזר!L1766="","",INDEX(עזר!$A$2:$A$5001,עזר!L1766))</f>
        <v/>
      </c>
      <c r="B1766" s="13" t="str">
        <f aca="false">IF(עזר!L1766="","",INDEX(עזר!$B$2:$B$5001,עזר!L1766))</f>
        <v/>
      </c>
      <c r="C1766" s="13" t="str">
        <f aca="false">עזר!M1766</f>
        <v/>
      </c>
    </row>
    <row r="1767" customFormat="false" ht="15" hidden="false" customHeight="false" outlineLevel="0" collapsed="false">
      <c r="A1767" s="13" t="str">
        <f aca="false">IF(עזר!L1767="","",INDEX(עזר!$A$2:$A$5001,עזר!L1767))</f>
        <v/>
      </c>
      <c r="B1767" s="13" t="str">
        <f aca="false">IF(עזר!L1767="","",INDEX(עזר!$B$2:$B$5001,עזר!L1767))</f>
        <v/>
      </c>
      <c r="C1767" s="13" t="str">
        <f aca="false">עזר!M1767</f>
        <v/>
      </c>
    </row>
    <row r="1768" customFormat="false" ht="15" hidden="false" customHeight="false" outlineLevel="0" collapsed="false">
      <c r="A1768" s="13" t="str">
        <f aca="false">IF(עזר!L1768="","",INDEX(עזר!$A$2:$A$5001,עזר!L1768))</f>
        <v/>
      </c>
      <c r="B1768" s="13" t="str">
        <f aca="false">IF(עזר!L1768="","",INDEX(עזר!$B$2:$B$5001,עזר!L1768))</f>
        <v/>
      </c>
      <c r="C1768" s="13" t="str">
        <f aca="false">עזר!M1768</f>
        <v/>
      </c>
    </row>
    <row r="1769" customFormat="false" ht="15" hidden="false" customHeight="false" outlineLevel="0" collapsed="false">
      <c r="A1769" s="13" t="str">
        <f aca="false">IF(עזר!L1769="","",INDEX(עזר!$A$2:$A$5001,עזר!L1769))</f>
        <v/>
      </c>
      <c r="B1769" s="13" t="str">
        <f aca="false">IF(עזר!L1769="","",INDEX(עזר!$B$2:$B$5001,עזר!L1769))</f>
        <v/>
      </c>
      <c r="C1769" s="13" t="str">
        <f aca="false">עזר!M1769</f>
        <v/>
      </c>
    </row>
    <row r="1770" customFormat="false" ht="15" hidden="false" customHeight="false" outlineLevel="0" collapsed="false">
      <c r="A1770" s="13" t="str">
        <f aca="false">IF(עזר!L1770="","",INDEX(עזר!$A$2:$A$5001,עזר!L1770))</f>
        <v/>
      </c>
      <c r="B1770" s="13" t="str">
        <f aca="false">IF(עזר!L1770="","",INDEX(עזר!$B$2:$B$5001,עזר!L1770))</f>
        <v/>
      </c>
      <c r="C1770" s="13" t="str">
        <f aca="false">עזר!M1770</f>
        <v/>
      </c>
    </row>
    <row r="1771" customFormat="false" ht="15" hidden="false" customHeight="false" outlineLevel="0" collapsed="false">
      <c r="A1771" s="13" t="str">
        <f aca="false">IF(עזר!L1771="","",INDEX(עזר!$A$2:$A$5001,עזר!L1771))</f>
        <v/>
      </c>
      <c r="B1771" s="13" t="str">
        <f aca="false">IF(עזר!L1771="","",INDEX(עזר!$B$2:$B$5001,עזר!L1771))</f>
        <v/>
      </c>
      <c r="C1771" s="13" t="str">
        <f aca="false">עזר!M1771</f>
        <v/>
      </c>
    </row>
    <row r="1772" customFormat="false" ht="15" hidden="false" customHeight="false" outlineLevel="0" collapsed="false">
      <c r="A1772" s="13" t="str">
        <f aca="false">IF(עזר!L1772="","",INDEX(עזר!$A$2:$A$5001,עזר!L1772))</f>
        <v/>
      </c>
      <c r="B1772" s="13" t="str">
        <f aca="false">IF(עזר!L1772="","",INDEX(עזר!$B$2:$B$5001,עזר!L1772))</f>
        <v/>
      </c>
      <c r="C1772" s="13" t="str">
        <f aca="false">עזר!M1772</f>
        <v/>
      </c>
    </row>
    <row r="1773" customFormat="false" ht="15" hidden="false" customHeight="false" outlineLevel="0" collapsed="false">
      <c r="A1773" s="13" t="str">
        <f aca="false">IF(עזר!L1773="","",INDEX(עזר!$A$2:$A$5001,עזר!L1773))</f>
        <v/>
      </c>
      <c r="B1773" s="13" t="str">
        <f aca="false">IF(עזר!L1773="","",INDEX(עזר!$B$2:$B$5001,עזר!L1773))</f>
        <v/>
      </c>
      <c r="C1773" s="13" t="str">
        <f aca="false">עזר!M1773</f>
        <v/>
      </c>
    </row>
    <row r="1774" customFormat="false" ht="15" hidden="false" customHeight="false" outlineLevel="0" collapsed="false">
      <c r="A1774" s="13" t="str">
        <f aca="false">IF(עזר!L1774="","",INDEX(עזר!$A$2:$A$5001,עזר!L1774))</f>
        <v/>
      </c>
      <c r="B1774" s="13" t="str">
        <f aca="false">IF(עזר!L1774="","",INDEX(עזר!$B$2:$B$5001,עזר!L1774))</f>
        <v/>
      </c>
      <c r="C1774" s="13" t="str">
        <f aca="false">עזר!M1774</f>
        <v/>
      </c>
    </row>
    <row r="1775" customFormat="false" ht="15" hidden="false" customHeight="false" outlineLevel="0" collapsed="false">
      <c r="A1775" s="13" t="str">
        <f aca="false">IF(עזר!L1775="","",INDEX(עזר!$A$2:$A$5001,עזר!L1775))</f>
        <v/>
      </c>
      <c r="B1775" s="13" t="str">
        <f aca="false">IF(עזר!L1775="","",INDEX(עזר!$B$2:$B$5001,עזר!L1775))</f>
        <v/>
      </c>
      <c r="C1775" s="13" t="str">
        <f aca="false">עזר!M1775</f>
        <v/>
      </c>
    </row>
    <row r="1776" customFormat="false" ht="15" hidden="false" customHeight="false" outlineLevel="0" collapsed="false">
      <c r="A1776" s="13" t="str">
        <f aca="false">IF(עזר!L1776="","",INDEX(עזר!$A$2:$A$5001,עזר!L1776))</f>
        <v/>
      </c>
      <c r="B1776" s="13" t="str">
        <f aca="false">IF(עזר!L1776="","",INDEX(עזר!$B$2:$B$5001,עזר!L1776))</f>
        <v/>
      </c>
      <c r="C1776" s="13" t="str">
        <f aca="false">עזר!M1776</f>
        <v/>
      </c>
    </row>
    <row r="1777" customFormat="false" ht="15" hidden="false" customHeight="false" outlineLevel="0" collapsed="false">
      <c r="A1777" s="13" t="str">
        <f aca="false">IF(עזר!L1777="","",INDEX(עזר!$A$2:$A$5001,עזר!L1777))</f>
        <v/>
      </c>
      <c r="B1777" s="13" t="str">
        <f aca="false">IF(עזר!L1777="","",INDEX(עזר!$B$2:$B$5001,עזר!L1777))</f>
        <v/>
      </c>
      <c r="C1777" s="13" t="str">
        <f aca="false">עזר!M1777</f>
        <v/>
      </c>
    </row>
    <row r="1778" customFormat="false" ht="15" hidden="false" customHeight="false" outlineLevel="0" collapsed="false">
      <c r="A1778" s="13" t="str">
        <f aca="false">IF(עזר!L1778="","",INDEX(עזר!$A$2:$A$5001,עזר!L1778))</f>
        <v/>
      </c>
      <c r="B1778" s="13" t="str">
        <f aca="false">IF(עזר!L1778="","",INDEX(עזר!$B$2:$B$5001,עזר!L1778))</f>
        <v/>
      </c>
      <c r="C1778" s="13" t="str">
        <f aca="false">עזר!M1778</f>
        <v/>
      </c>
    </row>
    <row r="1779" customFormat="false" ht="15" hidden="false" customHeight="false" outlineLevel="0" collapsed="false">
      <c r="A1779" s="13" t="str">
        <f aca="false">IF(עזר!L1779="","",INDEX(עזר!$A$2:$A$5001,עזר!L1779))</f>
        <v/>
      </c>
      <c r="B1779" s="13" t="str">
        <f aca="false">IF(עזר!L1779="","",INDEX(עזר!$B$2:$B$5001,עזר!L1779))</f>
        <v/>
      </c>
      <c r="C1779" s="13" t="str">
        <f aca="false">עזר!M1779</f>
        <v/>
      </c>
    </row>
    <row r="1780" customFormat="false" ht="15" hidden="false" customHeight="false" outlineLevel="0" collapsed="false">
      <c r="A1780" s="13" t="str">
        <f aca="false">IF(עזר!L1780="","",INDEX(עזר!$A$2:$A$5001,עזר!L1780))</f>
        <v/>
      </c>
      <c r="B1780" s="13" t="str">
        <f aca="false">IF(עזר!L1780="","",INDEX(עזר!$B$2:$B$5001,עזר!L1780))</f>
        <v/>
      </c>
      <c r="C1780" s="13" t="str">
        <f aca="false">עזר!M1780</f>
        <v/>
      </c>
    </row>
    <row r="1781" customFormat="false" ht="15" hidden="false" customHeight="false" outlineLevel="0" collapsed="false">
      <c r="A1781" s="13" t="str">
        <f aca="false">IF(עזר!L1781="","",INDEX(עזר!$A$2:$A$5001,עזר!L1781))</f>
        <v/>
      </c>
      <c r="B1781" s="13" t="str">
        <f aca="false">IF(עזר!L1781="","",INDEX(עזר!$B$2:$B$5001,עזר!L1781))</f>
        <v/>
      </c>
      <c r="C1781" s="13" t="str">
        <f aca="false">עזר!M1781</f>
        <v/>
      </c>
    </row>
    <row r="1782" customFormat="false" ht="15" hidden="false" customHeight="false" outlineLevel="0" collapsed="false">
      <c r="A1782" s="13" t="str">
        <f aca="false">IF(עזר!L1782="","",INDEX(עזר!$A$2:$A$5001,עזר!L1782))</f>
        <v/>
      </c>
      <c r="B1782" s="13" t="str">
        <f aca="false">IF(עזר!L1782="","",INDEX(עזר!$B$2:$B$5001,עזר!L1782))</f>
        <v/>
      </c>
      <c r="C1782" s="13" t="str">
        <f aca="false">עזר!M1782</f>
        <v/>
      </c>
    </row>
    <row r="1783" customFormat="false" ht="15" hidden="false" customHeight="false" outlineLevel="0" collapsed="false">
      <c r="A1783" s="13" t="str">
        <f aca="false">IF(עזר!L1783="","",INDEX(עזר!$A$2:$A$5001,עזר!L1783))</f>
        <v/>
      </c>
      <c r="B1783" s="13" t="str">
        <f aca="false">IF(עזר!L1783="","",INDEX(עזר!$B$2:$B$5001,עזר!L1783))</f>
        <v/>
      </c>
      <c r="C1783" s="13" t="str">
        <f aca="false">עזר!M1783</f>
        <v/>
      </c>
    </row>
    <row r="1784" customFormat="false" ht="15" hidden="false" customHeight="false" outlineLevel="0" collapsed="false">
      <c r="A1784" s="13" t="str">
        <f aca="false">IF(עזר!L1784="","",INDEX(עזר!$A$2:$A$5001,עזר!L1784))</f>
        <v/>
      </c>
      <c r="B1784" s="13" t="str">
        <f aca="false">IF(עזר!L1784="","",INDEX(עזר!$B$2:$B$5001,עזר!L1784))</f>
        <v/>
      </c>
      <c r="C1784" s="13" t="str">
        <f aca="false">עזר!M1784</f>
        <v/>
      </c>
    </row>
    <row r="1785" customFormat="false" ht="15" hidden="false" customHeight="false" outlineLevel="0" collapsed="false">
      <c r="A1785" s="13" t="str">
        <f aca="false">IF(עזר!L1785="","",INDEX(עזר!$A$2:$A$5001,עזר!L1785))</f>
        <v/>
      </c>
      <c r="B1785" s="13" t="str">
        <f aca="false">IF(עזר!L1785="","",INDEX(עזר!$B$2:$B$5001,עזר!L1785))</f>
        <v/>
      </c>
      <c r="C1785" s="13" t="str">
        <f aca="false">עזר!M1785</f>
        <v/>
      </c>
    </row>
    <row r="1786" customFormat="false" ht="15" hidden="false" customHeight="false" outlineLevel="0" collapsed="false">
      <c r="A1786" s="13" t="str">
        <f aca="false">IF(עזר!L1786="","",INDEX(עזר!$A$2:$A$5001,עזר!L1786))</f>
        <v/>
      </c>
      <c r="B1786" s="13" t="str">
        <f aca="false">IF(עזר!L1786="","",INDEX(עזר!$B$2:$B$5001,עזר!L1786))</f>
        <v/>
      </c>
      <c r="C1786" s="13" t="str">
        <f aca="false">עזר!M1786</f>
        <v/>
      </c>
    </row>
    <row r="1787" customFormat="false" ht="15" hidden="false" customHeight="false" outlineLevel="0" collapsed="false">
      <c r="A1787" s="13" t="str">
        <f aca="false">IF(עזר!L1787="","",INDEX(עזר!$A$2:$A$5001,עזר!L1787))</f>
        <v/>
      </c>
      <c r="B1787" s="13" t="str">
        <f aca="false">IF(עזר!L1787="","",INDEX(עזר!$B$2:$B$5001,עזר!L1787))</f>
        <v/>
      </c>
      <c r="C1787" s="13" t="str">
        <f aca="false">עזר!M1787</f>
        <v/>
      </c>
    </row>
    <row r="1788" customFormat="false" ht="15" hidden="false" customHeight="false" outlineLevel="0" collapsed="false">
      <c r="A1788" s="13" t="str">
        <f aca="false">IF(עזר!L1788="","",INDEX(עזר!$A$2:$A$5001,עזר!L1788))</f>
        <v/>
      </c>
      <c r="B1788" s="13" t="str">
        <f aca="false">IF(עזר!L1788="","",INDEX(עזר!$B$2:$B$5001,עזר!L1788))</f>
        <v/>
      </c>
      <c r="C1788" s="13" t="str">
        <f aca="false">עזר!M1788</f>
        <v/>
      </c>
    </row>
    <row r="1789" customFormat="false" ht="15" hidden="false" customHeight="false" outlineLevel="0" collapsed="false">
      <c r="A1789" s="13" t="str">
        <f aca="false">IF(עזר!L1789="","",INDEX(עזר!$A$2:$A$5001,עזר!L1789))</f>
        <v/>
      </c>
      <c r="B1789" s="13" t="str">
        <f aca="false">IF(עזר!L1789="","",INDEX(עזר!$B$2:$B$5001,עזר!L1789))</f>
        <v/>
      </c>
      <c r="C1789" s="13" t="str">
        <f aca="false">עזר!M1789</f>
        <v/>
      </c>
    </row>
    <row r="1790" customFormat="false" ht="15" hidden="false" customHeight="false" outlineLevel="0" collapsed="false">
      <c r="A1790" s="13" t="str">
        <f aca="false">IF(עזר!L1790="","",INDEX(עזר!$A$2:$A$5001,עזר!L1790))</f>
        <v/>
      </c>
      <c r="B1790" s="13" t="str">
        <f aca="false">IF(עזר!L1790="","",INDEX(עזר!$B$2:$B$5001,עזר!L1790))</f>
        <v/>
      </c>
      <c r="C1790" s="13" t="str">
        <f aca="false">עזר!M1790</f>
        <v/>
      </c>
    </row>
    <row r="1791" customFormat="false" ht="15" hidden="false" customHeight="false" outlineLevel="0" collapsed="false">
      <c r="A1791" s="13" t="str">
        <f aca="false">IF(עזר!L1791="","",INDEX(עזר!$A$2:$A$5001,עזר!L1791))</f>
        <v/>
      </c>
      <c r="B1791" s="13" t="str">
        <f aca="false">IF(עזר!L1791="","",INDEX(עזר!$B$2:$B$5001,עזר!L1791))</f>
        <v/>
      </c>
      <c r="C1791" s="13" t="str">
        <f aca="false">עזר!M1791</f>
        <v/>
      </c>
    </row>
    <row r="1792" customFormat="false" ht="15" hidden="false" customHeight="false" outlineLevel="0" collapsed="false">
      <c r="A1792" s="13" t="str">
        <f aca="false">IF(עזר!L1792="","",INDEX(עזר!$A$2:$A$5001,עזר!L1792))</f>
        <v/>
      </c>
      <c r="B1792" s="13" t="str">
        <f aca="false">IF(עזר!L1792="","",INDEX(עזר!$B$2:$B$5001,עזר!L1792))</f>
        <v/>
      </c>
      <c r="C1792" s="13" t="str">
        <f aca="false">עזר!M1792</f>
        <v/>
      </c>
    </row>
    <row r="1793" customFormat="false" ht="15" hidden="false" customHeight="false" outlineLevel="0" collapsed="false">
      <c r="A1793" s="13" t="str">
        <f aca="false">IF(עזר!L1793="","",INDEX(עזר!$A$2:$A$5001,עזר!L1793))</f>
        <v/>
      </c>
      <c r="B1793" s="13" t="str">
        <f aca="false">IF(עזר!L1793="","",INDEX(עזר!$B$2:$B$5001,עזר!L1793))</f>
        <v/>
      </c>
      <c r="C1793" s="13" t="str">
        <f aca="false">עזר!M1793</f>
        <v/>
      </c>
    </row>
    <row r="1794" customFormat="false" ht="15" hidden="false" customHeight="false" outlineLevel="0" collapsed="false">
      <c r="A1794" s="13" t="str">
        <f aca="false">IF(עזר!L1794="","",INDEX(עזר!$A$2:$A$5001,עזר!L1794))</f>
        <v/>
      </c>
      <c r="B1794" s="13" t="str">
        <f aca="false">IF(עזר!L1794="","",INDEX(עזר!$B$2:$B$5001,עזר!L1794))</f>
        <v/>
      </c>
      <c r="C1794" s="13" t="str">
        <f aca="false">עזר!M1794</f>
        <v/>
      </c>
    </row>
    <row r="1795" customFormat="false" ht="15" hidden="false" customHeight="false" outlineLevel="0" collapsed="false">
      <c r="A1795" s="13" t="str">
        <f aca="false">IF(עזר!L1795="","",INDEX(עזר!$A$2:$A$5001,עזר!L1795))</f>
        <v/>
      </c>
      <c r="B1795" s="13" t="str">
        <f aca="false">IF(עזר!L1795="","",INDEX(עזר!$B$2:$B$5001,עזר!L1795))</f>
        <v/>
      </c>
      <c r="C1795" s="13" t="str">
        <f aca="false">עזר!M1795</f>
        <v/>
      </c>
    </row>
    <row r="1796" customFormat="false" ht="15" hidden="false" customHeight="false" outlineLevel="0" collapsed="false">
      <c r="A1796" s="13" t="str">
        <f aca="false">IF(עזר!L1796="","",INDEX(עזר!$A$2:$A$5001,עזר!L1796))</f>
        <v/>
      </c>
      <c r="B1796" s="13" t="str">
        <f aca="false">IF(עזר!L1796="","",INDEX(עזר!$B$2:$B$5001,עזר!L1796))</f>
        <v/>
      </c>
      <c r="C1796" s="13" t="str">
        <f aca="false">עזר!M1796</f>
        <v/>
      </c>
    </row>
    <row r="1797" customFormat="false" ht="15" hidden="false" customHeight="false" outlineLevel="0" collapsed="false">
      <c r="A1797" s="13" t="str">
        <f aca="false">IF(עזר!L1797="","",INDEX(עזר!$A$2:$A$5001,עזר!L1797))</f>
        <v/>
      </c>
      <c r="B1797" s="13" t="str">
        <f aca="false">IF(עזר!L1797="","",INDEX(עזר!$B$2:$B$5001,עזר!L1797))</f>
        <v/>
      </c>
      <c r="C1797" s="13" t="str">
        <f aca="false">עזר!M1797</f>
        <v/>
      </c>
    </row>
    <row r="1798" customFormat="false" ht="15" hidden="false" customHeight="false" outlineLevel="0" collapsed="false">
      <c r="A1798" s="13" t="str">
        <f aca="false">IF(עזר!L1798="","",INDEX(עזר!$A$2:$A$5001,עזר!L1798))</f>
        <v/>
      </c>
      <c r="B1798" s="13" t="str">
        <f aca="false">IF(עזר!L1798="","",INDEX(עזר!$B$2:$B$5001,עזר!L1798))</f>
        <v/>
      </c>
      <c r="C1798" s="13" t="str">
        <f aca="false">עזר!M1798</f>
        <v/>
      </c>
    </row>
    <row r="1799" customFormat="false" ht="15" hidden="false" customHeight="false" outlineLevel="0" collapsed="false">
      <c r="A1799" s="13" t="str">
        <f aca="false">IF(עזר!L1799="","",INDEX(עזר!$A$2:$A$5001,עזר!L1799))</f>
        <v/>
      </c>
      <c r="B1799" s="13" t="str">
        <f aca="false">IF(עזר!L1799="","",INDEX(עזר!$B$2:$B$5001,עזר!L1799))</f>
        <v/>
      </c>
      <c r="C1799" s="13" t="str">
        <f aca="false">עזר!M1799</f>
        <v/>
      </c>
    </row>
    <row r="1800" customFormat="false" ht="15" hidden="false" customHeight="false" outlineLevel="0" collapsed="false">
      <c r="A1800" s="13" t="str">
        <f aca="false">IF(עזר!L1800="","",INDEX(עזר!$A$2:$A$5001,עזר!L1800))</f>
        <v/>
      </c>
      <c r="B1800" s="13" t="str">
        <f aca="false">IF(עזר!L1800="","",INDEX(עזר!$B$2:$B$5001,עזר!L1800))</f>
        <v/>
      </c>
      <c r="C1800" s="13" t="str">
        <f aca="false">עזר!M1800</f>
        <v/>
      </c>
    </row>
    <row r="1801" customFormat="false" ht="15" hidden="false" customHeight="false" outlineLevel="0" collapsed="false">
      <c r="A1801" s="13" t="str">
        <f aca="false">IF(עזר!L1801="","",INDEX(עזר!$A$2:$A$5001,עזר!L1801))</f>
        <v/>
      </c>
      <c r="B1801" s="13" t="str">
        <f aca="false">IF(עזר!L1801="","",INDEX(עזר!$B$2:$B$5001,עזר!L1801))</f>
        <v/>
      </c>
      <c r="C1801" s="13" t="str">
        <f aca="false">עזר!M1801</f>
        <v/>
      </c>
    </row>
    <row r="1802" customFormat="false" ht="15" hidden="false" customHeight="false" outlineLevel="0" collapsed="false">
      <c r="A1802" s="13" t="str">
        <f aca="false">IF(עזר!L1802="","",INDEX(עזר!$A$2:$A$5001,עזר!L1802))</f>
        <v/>
      </c>
      <c r="B1802" s="13" t="str">
        <f aca="false">IF(עזר!L1802="","",INDEX(עזר!$B$2:$B$5001,עזר!L1802))</f>
        <v/>
      </c>
      <c r="C1802" s="13" t="str">
        <f aca="false">עזר!M1802</f>
        <v/>
      </c>
    </row>
    <row r="1803" customFormat="false" ht="15" hidden="false" customHeight="false" outlineLevel="0" collapsed="false">
      <c r="A1803" s="13" t="str">
        <f aca="false">IF(עזר!L1803="","",INDEX(עזר!$A$2:$A$5001,עזר!L1803))</f>
        <v/>
      </c>
      <c r="B1803" s="13" t="str">
        <f aca="false">IF(עזר!L1803="","",INDEX(עזר!$B$2:$B$5001,עזר!L1803))</f>
        <v/>
      </c>
      <c r="C1803" s="13" t="str">
        <f aca="false">עזר!M1803</f>
        <v/>
      </c>
    </row>
    <row r="1804" customFormat="false" ht="15" hidden="false" customHeight="false" outlineLevel="0" collapsed="false">
      <c r="A1804" s="13" t="str">
        <f aca="false">IF(עזר!L1804="","",INDEX(עזר!$A$2:$A$5001,עזר!L1804))</f>
        <v/>
      </c>
      <c r="B1804" s="13" t="str">
        <f aca="false">IF(עזר!L1804="","",INDEX(עזר!$B$2:$B$5001,עזר!L1804))</f>
        <v/>
      </c>
      <c r="C1804" s="13" t="str">
        <f aca="false">עזר!M1804</f>
        <v/>
      </c>
    </row>
    <row r="1805" customFormat="false" ht="15" hidden="false" customHeight="false" outlineLevel="0" collapsed="false">
      <c r="A1805" s="13" t="str">
        <f aca="false">IF(עזר!L1805="","",INDEX(עזר!$A$2:$A$5001,עזר!L1805))</f>
        <v/>
      </c>
      <c r="B1805" s="13" t="str">
        <f aca="false">IF(עזר!L1805="","",INDEX(עזר!$B$2:$B$5001,עזר!L1805))</f>
        <v/>
      </c>
      <c r="C1805" s="13" t="str">
        <f aca="false">עזר!M1805</f>
        <v/>
      </c>
    </row>
    <row r="1806" customFormat="false" ht="15" hidden="false" customHeight="false" outlineLevel="0" collapsed="false">
      <c r="A1806" s="13" t="str">
        <f aca="false">IF(עזר!L1806="","",INDEX(עזר!$A$2:$A$5001,עזר!L1806))</f>
        <v/>
      </c>
      <c r="B1806" s="13" t="str">
        <f aca="false">IF(עזר!L1806="","",INDEX(עזר!$B$2:$B$5001,עזר!L1806))</f>
        <v/>
      </c>
      <c r="C1806" s="13" t="str">
        <f aca="false">עזר!M1806</f>
        <v/>
      </c>
    </row>
    <row r="1807" customFormat="false" ht="15" hidden="false" customHeight="false" outlineLevel="0" collapsed="false">
      <c r="A1807" s="13" t="str">
        <f aca="false">IF(עזר!L1807="","",INDEX(עזר!$A$2:$A$5001,עזר!L1807))</f>
        <v/>
      </c>
      <c r="B1807" s="13" t="str">
        <f aca="false">IF(עזר!L1807="","",INDEX(עזר!$B$2:$B$5001,עזר!L1807))</f>
        <v/>
      </c>
      <c r="C1807" s="13" t="str">
        <f aca="false">עזר!M1807</f>
        <v/>
      </c>
    </row>
    <row r="1808" customFormat="false" ht="15" hidden="false" customHeight="false" outlineLevel="0" collapsed="false">
      <c r="A1808" s="13" t="str">
        <f aca="false">IF(עזר!L1808="","",INDEX(עזר!$A$2:$A$5001,עזר!L1808))</f>
        <v/>
      </c>
      <c r="B1808" s="13" t="str">
        <f aca="false">IF(עזר!L1808="","",INDEX(עזר!$B$2:$B$5001,עזר!L1808))</f>
        <v/>
      </c>
      <c r="C1808" s="13" t="str">
        <f aca="false">עזר!M1808</f>
        <v/>
      </c>
    </row>
    <row r="1809" customFormat="false" ht="15" hidden="false" customHeight="false" outlineLevel="0" collapsed="false">
      <c r="A1809" s="13" t="str">
        <f aca="false">IF(עזר!L1809="","",INDEX(עזר!$A$2:$A$5001,עזר!L1809))</f>
        <v/>
      </c>
      <c r="B1809" s="13" t="str">
        <f aca="false">IF(עזר!L1809="","",INDEX(עזר!$B$2:$B$5001,עזר!L1809))</f>
        <v/>
      </c>
      <c r="C1809" s="13" t="str">
        <f aca="false">עזר!M1809</f>
        <v/>
      </c>
    </row>
    <row r="1810" customFormat="false" ht="15" hidden="false" customHeight="false" outlineLevel="0" collapsed="false">
      <c r="A1810" s="13" t="str">
        <f aca="false">IF(עזר!L1810="","",INDEX(עזר!$A$2:$A$5001,עזר!L1810))</f>
        <v/>
      </c>
      <c r="B1810" s="13" t="str">
        <f aca="false">IF(עזר!L1810="","",INDEX(עזר!$B$2:$B$5001,עזר!L1810))</f>
        <v/>
      </c>
      <c r="C1810" s="13" t="str">
        <f aca="false">עזר!M1810</f>
        <v/>
      </c>
    </row>
    <row r="1811" customFormat="false" ht="15" hidden="false" customHeight="false" outlineLevel="0" collapsed="false">
      <c r="A1811" s="13" t="str">
        <f aca="false">IF(עזר!L1811="","",INDEX(עזר!$A$2:$A$5001,עזר!L1811))</f>
        <v/>
      </c>
      <c r="B1811" s="13" t="str">
        <f aca="false">IF(עזר!L1811="","",INDEX(עזר!$B$2:$B$5001,עזר!L1811))</f>
        <v/>
      </c>
      <c r="C1811" s="13" t="str">
        <f aca="false">עזר!M1811</f>
        <v/>
      </c>
    </row>
    <row r="1812" customFormat="false" ht="15" hidden="false" customHeight="false" outlineLevel="0" collapsed="false">
      <c r="A1812" s="13" t="str">
        <f aca="false">IF(עזר!L1812="","",INDEX(עזר!$A$2:$A$5001,עזר!L1812))</f>
        <v/>
      </c>
      <c r="B1812" s="13" t="str">
        <f aca="false">IF(עזר!L1812="","",INDEX(עזר!$B$2:$B$5001,עזר!L1812))</f>
        <v/>
      </c>
      <c r="C1812" s="13" t="str">
        <f aca="false">עזר!M1812</f>
        <v/>
      </c>
    </row>
    <row r="1813" customFormat="false" ht="15" hidden="false" customHeight="false" outlineLevel="0" collapsed="false">
      <c r="A1813" s="13" t="str">
        <f aca="false">IF(עזר!L1813="","",INDEX(עזר!$A$2:$A$5001,עזר!L1813))</f>
        <v/>
      </c>
      <c r="B1813" s="13" t="str">
        <f aca="false">IF(עזר!L1813="","",INDEX(עזר!$B$2:$B$5001,עזר!L1813))</f>
        <v/>
      </c>
      <c r="C1813" s="13" t="str">
        <f aca="false">עזר!M1813</f>
        <v/>
      </c>
    </row>
    <row r="1814" customFormat="false" ht="15" hidden="false" customHeight="false" outlineLevel="0" collapsed="false">
      <c r="A1814" s="13" t="str">
        <f aca="false">IF(עזר!L1814="","",INDEX(עזר!$A$2:$A$5001,עזר!L1814))</f>
        <v/>
      </c>
      <c r="B1814" s="13" t="str">
        <f aca="false">IF(עזר!L1814="","",INDEX(עזר!$B$2:$B$5001,עזר!L1814))</f>
        <v/>
      </c>
      <c r="C1814" s="13" t="str">
        <f aca="false">עזר!M1814</f>
        <v/>
      </c>
    </row>
    <row r="1815" customFormat="false" ht="15" hidden="false" customHeight="false" outlineLevel="0" collapsed="false">
      <c r="A1815" s="13" t="str">
        <f aca="false">IF(עזר!L1815="","",INDEX(עזר!$A$2:$A$5001,עזר!L1815))</f>
        <v/>
      </c>
      <c r="B1815" s="13" t="str">
        <f aca="false">IF(עזר!L1815="","",INDEX(עזר!$B$2:$B$5001,עזר!L1815))</f>
        <v/>
      </c>
      <c r="C1815" s="13" t="str">
        <f aca="false">עזר!M1815</f>
        <v/>
      </c>
    </row>
    <row r="1816" customFormat="false" ht="15" hidden="false" customHeight="false" outlineLevel="0" collapsed="false">
      <c r="A1816" s="13" t="str">
        <f aca="false">IF(עזר!L1816="","",INDEX(עזר!$A$2:$A$5001,עזר!L1816))</f>
        <v/>
      </c>
      <c r="B1816" s="13" t="str">
        <f aca="false">IF(עזר!L1816="","",INDEX(עזר!$B$2:$B$5001,עזר!L1816))</f>
        <v/>
      </c>
      <c r="C1816" s="13" t="str">
        <f aca="false">עזר!M1816</f>
        <v/>
      </c>
    </row>
    <row r="1817" customFormat="false" ht="15" hidden="false" customHeight="false" outlineLevel="0" collapsed="false">
      <c r="A1817" s="13" t="str">
        <f aca="false">IF(עזר!L1817="","",INDEX(עזר!$A$2:$A$5001,עזר!L1817))</f>
        <v/>
      </c>
      <c r="B1817" s="13" t="str">
        <f aca="false">IF(עזר!L1817="","",INDEX(עזר!$B$2:$B$5001,עזר!L1817))</f>
        <v/>
      </c>
      <c r="C1817" s="13" t="str">
        <f aca="false">עזר!M1817</f>
        <v/>
      </c>
    </row>
    <row r="1818" customFormat="false" ht="15" hidden="false" customHeight="false" outlineLevel="0" collapsed="false">
      <c r="A1818" s="13" t="str">
        <f aca="false">IF(עזר!L1818="","",INDEX(עזר!$A$2:$A$5001,עזר!L1818))</f>
        <v/>
      </c>
      <c r="B1818" s="13" t="str">
        <f aca="false">IF(עזר!L1818="","",INDEX(עזר!$B$2:$B$5001,עזר!L1818))</f>
        <v/>
      </c>
      <c r="C1818" s="13" t="str">
        <f aca="false">עזר!M1818</f>
        <v/>
      </c>
    </row>
    <row r="1819" customFormat="false" ht="15" hidden="false" customHeight="false" outlineLevel="0" collapsed="false">
      <c r="A1819" s="13" t="str">
        <f aca="false">IF(עזר!L1819="","",INDEX(עזר!$A$2:$A$5001,עזר!L1819))</f>
        <v/>
      </c>
      <c r="B1819" s="13" t="str">
        <f aca="false">IF(עזר!L1819="","",INDEX(עזר!$B$2:$B$5001,עזר!L1819))</f>
        <v/>
      </c>
      <c r="C1819" s="13" t="str">
        <f aca="false">עזר!M1819</f>
        <v/>
      </c>
    </row>
    <row r="1820" customFormat="false" ht="15" hidden="false" customHeight="false" outlineLevel="0" collapsed="false">
      <c r="A1820" s="13" t="str">
        <f aca="false">IF(עזר!L1820="","",INDEX(עזר!$A$2:$A$5001,עזר!L1820))</f>
        <v/>
      </c>
      <c r="B1820" s="13" t="str">
        <f aca="false">IF(עזר!L1820="","",INDEX(עזר!$B$2:$B$5001,עזר!L1820))</f>
        <v/>
      </c>
      <c r="C1820" s="13" t="str">
        <f aca="false">עזר!M1820</f>
        <v/>
      </c>
    </row>
    <row r="1821" customFormat="false" ht="15" hidden="false" customHeight="false" outlineLevel="0" collapsed="false">
      <c r="A1821" s="13" t="str">
        <f aca="false">IF(עזר!L1821="","",INDEX(עזר!$A$2:$A$5001,עזר!L1821))</f>
        <v/>
      </c>
      <c r="B1821" s="13" t="str">
        <f aca="false">IF(עזר!L1821="","",INDEX(עזר!$B$2:$B$5001,עזר!L1821))</f>
        <v/>
      </c>
      <c r="C1821" s="13" t="str">
        <f aca="false">עזר!M1821</f>
        <v/>
      </c>
    </row>
    <row r="1822" customFormat="false" ht="15" hidden="false" customHeight="false" outlineLevel="0" collapsed="false">
      <c r="A1822" s="13" t="str">
        <f aca="false">IF(עזר!L1822="","",INDEX(עזר!$A$2:$A$5001,עזר!L1822))</f>
        <v/>
      </c>
      <c r="B1822" s="13" t="str">
        <f aca="false">IF(עזר!L1822="","",INDEX(עזר!$B$2:$B$5001,עזר!L1822))</f>
        <v/>
      </c>
      <c r="C1822" s="13" t="str">
        <f aca="false">עזר!M1822</f>
        <v/>
      </c>
    </row>
    <row r="1823" customFormat="false" ht="15" hidden="false" customHeight="false" outlineLevel="0" collapsed="false">
      <c r="A1823" s="13" t="str">
        <f aca="false">IF(עזר!L1823="","",INDEX(עזר!$A$2:$A$5001,עזר!L1823))</f>
        <v/>
      </c>
      <c r="B1823" s="13" t="str">
        <f aca="false">IF(עזר!L1823="","",INDEX(עזר!$B$2:$B$5001,עזר!L1823))</f>
        <v/>
      </c>
      <c r="C1823" s="13" t="str">
        <f aca="false">עזר!M1823</f>
        <v/>
      </c>
    </row>
    <row r="1824" customFormat="false" ht="15" hidden="false" customHeight="false" outlineLevel="0" collapsed="false">
      <c r="A1824" s="13" t="str">
        <f aca="false">IF(עזר!L1824="","",INDEX(עזר!$A$2:$A$5001,עזר!L1824))</f>
        <v/>
      </c>
      <c r="B1824" s="13" t="str">
        <f aca="false">IF(עזר!L1824="","",INDEX(עזר!$B$2:$B$5001,עזר!L1824))</f>
        <v/>
      </c>
      <c r="C1824" s="13" t="str">
        <f aca="false">עזר!M1824</f>
        <v/>
      </c>
    </row>
    <row r="1825" customFormat="false" ht="15" hidden="false" customHeight="false" outlineLevel="0" collapsed="false">
      <c r="A1825" s="13" t="str">
        <f aca="false">IF(עזר!L1825="","",INDEX(עזר!$A$2:$A$5001,עזר!L1825))</f>
        <v/>
      </c>
      <c r="B1825" s="13" t="str">
        <f aca="false">IF(עזר!L1825="","",INDEX(עזר!$B$2:$B$5001,עזר!L1825))</f>
        <v/>
      </c>
      <c r="C1825" s="13" t="str">
        <f aca="false">עזר!M1825</f>
        <v/>
      </c>
    </row>
    <row r="1826" customFormat="false" ht="15" hidden="false" customHeight="false" outlineLevel="0" collapsed="false">
      <c r="A1826" s="13" t="str">
        <f aca="false">IF(עזר!L1826="","",INDEX(עזר!$A$2:$A$5001,עזר!L1826))</f>
        <v/>
      </c>
      <c r="B1826" s="13" t="str">
        <f aca="false">IF(עזר!L1826="","",INDEX(עזר!$B$2:$B$5001,עזר!L1826))</f>
        <v/>
      </c>
      <c r="C1826" s="13" t="str">
        <f aca="false">עזר!M1826</f>
        <v/>
      </c>
    </row>
    <row r="1827" customFormat="false" ht="15" hidden="false" customHeight="false" outlineLevel="0" collapsed="false">
      <c r="A1827" s="13" t="str">
        <f aca="false">IF(עזר!L1827="","",INDEX(עזר!$A$2:$A$5001,עזר!L1827))</f>
        <v/>
      </c>
      <c r="B1827" s="13" t="str">
        <f aca="false">IF(עזר!L1827="","",INDEX(עזר!$B$2:$B$5001,עזר!L1827))</f>
        <v/>
      </c>
      <c r="C1827" s="13" t="str">
        <f aca="false">עזר!M1827</f>
        <v/>
      </c>
    </row>
    <row r="1828" customFormat="false" ht="15" hidden="false" customHeight="false" outlineLevel="0" collapsed="false">
      <c r="A1828" s="13" t="str">
        <f aca="false">IF(עזר!L1828="","",INDEX(עזר!$A$2:$A$5001,עזר!L1828))</f>
        <v/>
      </c>
      <c r="B1828" s="13" t="str">
        <f aca="false">IF(עזר!L1828="","",INDEX(עזר!$B$2:$B$5001,עזר!L1828))</f>
        <v/>
      </c>
      <c r="C1828" s="13" t="str">
        <f aca="false">עזר!M1828</f>
        <v/>
      </c>
    </row>
    <row r="1829" customFormat="false" ht="15" hidden="false" customHeight="false" outlineLevel="0" collapsed="false">
      <c r="A1829" s="13" t="str">
        <f aca="false">IF(עזר!L1829="","",INDEX(עזר!$A$2:$A$5001,עזר!L1829))</f>
        <v/>
      </c>
      <c r="B1829" s="13" t="str">
        <f aca="false">IF(עזר!L1829="","",INDEX(עזר!$B$2:$B$5001,עזר!L1829))</f>
        <v/>
      </c>
      <c r="C1829" s="13" t="str">
        <f aca="false">עזר!M1829</f>
        <v/>
      </c>
    </row>
    <row r="1830" customFormat="false" ht="15" hidden="false" customHeight="false" outlineLevel="0" collapsed="false">
      <c r="A1830" s="13" t="str">
        <f aca="false">IF(עזר!L1830="","",INDEX(עזר!$A$2:$A$5001,עזר!L1830))</f>
        <v/>
      </c>
      <c r="B1830" s="13" t="str">
        <f aca="false">IF(עזר!L1830="","",INDEX(עזר!$B$2:$B$5001,עזר!L1830))</f>
        <v/>
      </c>
      <c r="C1830" s="13" t="str">
        <f aca="false">עזר!M1830</f>
        <v/>
      </c>
    </row>
    <row r="1831" customFormat="false" ht="15" hidden="false" customHeight="false" outlineLevel="0" collapsed="false">
      <c r="A1831" s="13" t="str">
        <f aca="false">IF(עזר!L1831="","",INDEX(עזר!$A$2:$A$5001,עזר!L1831))</f>
        <v/>
      </c>
      <c r="B1831" s="13" t="str">
        <f aca="false">IF(עזר!L1831="","",INDEX(עזר!$B$2:$B$5001,עזר!L1831))</f>
        <v/>
      </c>
      <c r="C1831" s="13" t="str">
        <f aca="false">עזר!M1831</f>
        <v/>
      </c>
    </row>
    <row r="1832" customFormat="false" ht="15" hidden="false" customHeight="false" outlineLevel="0" collapsed="false">
      <c r="A1832" s="13" t="str">
        <f aca="false">IF(עזר!L1832="","",INDEX(עזר!$A$2:$A$5001,עזר!L1832))</f>
        <v/>
      </c>
      <c r="B1832" s="13" t="str">
        <f aca="false">IF(עזר!L1832="","",INDEX(עזר!$B$2:$B$5001,עזר!L1832))</f>
        <v/>
      </c>
      <c r="C1832" s="13" t="str">
        <f aca="false">עזר!M1832</f>
        <v/>
      </c>
    </row>
    <row r="1833" customFormat="false" ht="15" hidden="false" customHeight="false" outlineLevel="0" collapsed="false">
      <c r="A1833" s="13" t="str">
        <f aca="false">IF(עזר!L1833="","",INDEX(עזר!$A$2:$A$5001,עזר!L1833))</f>
        <v/>
      </c>
      <c r="B1833" s="13" t="str">
        <f aca="false">IF(עזר!L1833="","",INDEX(עזר!$B$2:$B$5001,עזר!L1833))</f>
        <v/>
      </c>
      <c r="C1833" s="13" t="str">
        <f aca="false">עזר!M1833</f>
        <v/>
      </c>
    </row>
    <row r="1834" customFormat="false" ht="15" hidden="false" customHeight="false" outlineLevel="0" collapsed="false">
      <c r="A1834" s="13" t="str">
        <f aca="false">IF(עזר!L1834="","",INDEX(עזר!$A$2:$A$5001,עזר!L1834))</f>
        <v/>
      </c>
      <c r="B1834" s="13" t="str">
        <f aca="false">IF(עזר!L1834="","",INDEX(עזר!$B$2:$B$5001,עזר!L1834))</f>
        <v/>
      </c>
      <c r="C1834" s="13" t="str">
        <f aca="false">עזר!M1834</f>
        <v/>
      </c>
    </row>
    <row r="1835" customFormat="false" ht="15" hidden="false" customHeight="false" outlineLevel="0" collapsed="false">
      <c r="A1835" s="13" t="str">
        <f aca="false">IF(עזר!L1835="","",INDEX(עזר!$A$2:$A$5001,עזר!L1835))</f>
        <v/>
      </c>
      <c r="B1835" s="13" t="str">
        <f aca="false">IF(עזר!L1835="","",INDEX(עזר!$B$2:$B$5001,עזר!L1835))</f>
        <v/>
      </c>
      <c r="C1835" s="13" t="str">
        <f aca="false">עזר!M1835</f>
        <v/>
      </c>
    </row>
    <row r="1836" customFormat="false" ht="15" hidden="false" customHeight="false" outlineLevel="0" collapsed="false">
      <c r="A1836" s="13" t="str">
        <f aca="false">IF(עזר!L1836="","",INDEX(עזר!$A$2:$A$5001,עזר!L1836))</f>
        <v/>
      </c>
      <c r="B1836" s="13" t="str">
        <f aca="false">IF(עזר!L1836="","",INDEX(עזר!$B$2:$B$5001,עזר!L1836))</f>
        <v/>
      </c>
      <c r="C1836" s="13" t="str">
        <f aca="false">עזר!M1836</f>
        <v/>
      </c>
    </row>
    <row r="1837" customFormat="false" ht="15" hidden="false" customHeight="false" outlineLevel="0" collapsed="false">
      <c r="A1837" s="13" t="str">
        <f aca="false">IF(עזר!L1837="","",INDEX(עזר!$A$2:$A$5001,עזר!L1837))</f>
        <v/>
      </c>
      <c r="B1837" s="13" t="str">
        <f aca="false">IF(עזר!L1837="","",INDEX(עזר!$B$2:$B$5001,עזר!L1837))</f>
        <v/>
      </c>
      <c r="C1837" s="13" t="str">
        <f aca="false">עזר!M1837</f>
        <v/>
      </c>
    </row>
    <row r="1838" customFormat="false" ht="15" hidden="false" customHeight="false" outlineLevel="0" collapsed="false">
      <c r="A1838" s="13" t="str">
        <f aca="false">IF(עזר!L1838="","",INDEX(עזר!$A$2:$A$5001,עזר!L1838))</f>
        <v/>
      </c>
      <c r="B1838" s="13" t="str">
        <f aca="false">IF(עזר!L1838="","",INDEX(עזר!$B$2:$B$5001,עזר!L1838))</f>
        <v/>
      </c>
      <c r="C1838" s="13" t="str">
        <f aca="false">עזר!M1838</f>
        <v/>
      </c>
    </row>
    <row r="1839" customFormat="false" ht="15" hidden="false" customHeight="false" outlineLevel="0" collapsed="false">
      <c r="A1839" s="13" t="str">
        <f aca="false">IF(עזר!L1839="","",INDEX(עזר!$A$2:$A$5001,עזר!L1839))</f>
        <v/>
      </c>
      <c r="B1839" s="13" t="str">
        <f aca="false">IF(עזר!L1839="","",INDEX(עזר!$B$2:$B$5001,עזר!L1839))</f>
        <v/>
      </c>
      <c r="C1839" s="13" t="str">
        <f aca="false">עזר!M1839</f>
        <v/>
      </c>
    </row>
    <row r="1840" customFormat="false" ht="15" hidden="false" customHeight="false" outlineLevel="0" collapsed="false">
      <c r="A1840" s="13" t="str">
        <f aca="false">IF(עזר!L1840="","",INDEX(עזר!$A$2:$A$5001,עזר!L1840))</f>
        <v/>
      </c>
      <c r="B1840" s="13" t="str">
        <f aca="false">IF(עזר!L1840="","",INDEX(עזר!$B$2:$B$5001,עזר!L1840))</f>
        <v/>
      </c>
      <c r="C1840" s="13" t="str">
        <f aca="false">עזר!M1840</f>
        <v/>
      </c>
    </row>
    <row r="1841" customFormat="false" ht="15" hidden="false" customHeight="false" outlineLevel="0" collapsed="false">
      <c r="A1841" s="13" t="str">
        <f aca="false">IF(עזר!L1841="","",INDEX(עזר!$A$2:$A$5001,עזר!L1841))</f>
        <v/>
      </c>
      <c r="B1841" s="13" t="str">
        <f aca="false">IF(עזר!L1841="","",INDEX(עזר!$B$2:$B$5001,עזר!L1841))</f>
        <v/>
      </c>
      <c r="C1841" s="13" t="str">
        <f aca="false">עזר!M1841</f>
        <v/>
      </c>
    </row>
    <row r="1842" customFormat="false" ht="15" hidden="false" customHeight="false" outlineLevel="0" collapsed="false">
      <c r="A1842" s="13" t="str">
        <f aca="false">IF(עזר!L1842="","",INDEX(עזר!$A$2:$A$5001,עזר!L1842))</f>
        <v/>
      </c>
      <c r="B1842" s="13" t="str">
        <f aca="false">IF(עזר!L1842="","",INDEX(עזר!$B$2:$B$5001,עזר!L1842))</f>
        <v/>
      </c>
      <c r="C1842" s="13" t="str">
        <f aca="false">עזר!M1842</f>
        <v/>
      </c>
    </row>
    <row r="1843" customFormat="false" ht="15" hidden="false" customHeight="false" outlineLevel="0" collapsed="false">
      <c r="A1843" s="13" t="str">
        <f aca="false">IF(עזר!L1843="","",INDEX(עזר!$A$2:$A$5001,עזר!L1843))</f>
        <v/>
      </c>
      <c r="B1843" s="13" t="str">
        <f aca="false">IF(עזר!L1843="","",INDEX(עזר!$B$2:$B$5001,עזר!L1843))</f>
        <v/>
      </c>
      <c r="C1843" s="13" t="str">
        <f aca="false">עזר!M1843</f>
        <v/>
      </c>
    </row>
    <row r="1844" customFormat="false" ht="15" hidden="false" customHeight="false" outlineLevel="0" collapsed="false">
      <c r="A1844" s="13" t="str">
        <f aca="false">IF(עזר!L1844="","",INDEX(עזר!$A$2:$A$5001,עזר!L1844))</f>
        <v/>
      </c>
      <c r="B1844" s="13" t="str">
        <f aca="false">IF(עזר!L1844="","",INDEX(עזר!$B$2:$B$5001,עזר!L1844))</f>
        <v/>
      </c>
      <c r="C1844" s="13" t="str">
        <f aca="false">עזר!M1844</f>
        <v/>
      </c>
    </row>
    <row r="1845" customFormat="false" ht="15" hidden="false" customHeight="false" outlineLevel="0" collapsed="false">
      <c r="A1845" s="13" t="str">
        <f aca="false">IF(עזר!L1845="","",INDEX(עזר!$A$2:$A$5001,עזר!L1845))</f>
        <v/>
      </c>
      <c r="B1845" s="13" t="str">
        <f aca="false">IF(עזר!L1845="","",INDEX(עזר!$B$2:$B$5001,עזר!L1845))</f>
        <v/>
      </c>
      <c r="C1845" s="13" t="str">
        <f aca="false">עזר!M1845</f>
        <v/>
      </c>
    </row>
    <row r="1846" customFormat="false" ht="15" hidden="false" customHeight="false" outlineLevel="0" collapsed="false">
      <c r="A1846" s="13" t="str">
        <f aca="false">IF(עזר!L1846="","",INDEX(עזר!$A$2:$A$5001,עזר!L1846))</f>
        <v/>
      </c>
      <c r="B1846" s="13" t="str">
        <f aca="false">IF(עזר!L1846="","",INDEX(עזר!$B$2:$B$5001,עזר!L1846))</f>
        <v/>
      </c>
      <c r="C1846" s="13" t="str">
        <f aca="false">עזר!M1846</f>
        <v/>
      </c>
    </row>
    <row r="1847" customFormat="false" ht="15" hidden="false" customHeight="false" outlineLevel="0" collapsed="false">
      <c r="A1847" s="13" t="str">
        <f aca="false">IF(עזר!L1847="","",INDEX(עזר!$A$2:$A$5001,עזר!L1847))</f>
        <v/>
      </c>
      <c r="B1847" s="13" t="str">
        <f aca="false">IF(עזר!L1847="","",INDEX(עזר!$B$2:$B$5001,עזר!L1847))</f>
        <v/>
      </c>
      <c r="C1847" s="13" t="str">
        <f aca="false">עזר!M1847</f>
        <v/>
      </c>
    </row>
    <row r="1848" customFormat="false" ht="15" hidden="false" customHeight="false" outlineLevel="0" collapsed="false">
      <c r="A1848" s="13" t="str">
        <f aca="false">IF(עזר!L1848="","",INDEX(עזר!$A$2:$A$5001,עזר!L1848))</f>
        <v/>
      </c>
      <c r="B1848" s="13" t="str">
        <f aca="false">IF(עזר!L1848="","",INDEX(עזר!$B$2:$B$5001,עזר!L1848))</f>
        <v/>
      </c>
      <c r="C1848" s="13" t="str">
        <f aca="false">עזר!M1848</f>
        <v/>
      </c>
    </row>
    <row r="1849" customFormat="false" ht="15" hidden="false" customHeight="false" outlineLevel="0" collapsed="false">
      <c r="A1849" s="13" t="str">
        <f aca="false">IF(עזר!L1849="","",INDEX(עזר!$A$2:$A$5001,עזר!L1849))</f>
        <v/>
      </c>
      <c r="B1849" s="13" t="str">
        <f aca="false">IF(עזר!L1849="","",INDEX(עזר!$B$2:$B$5001,עזר!L1849))</f>
        <v/>
      </c>
      <c r="C1849" s="13" t="str">
        <f aca="false">עזר!M1849</f>
        <v/>
      </c>
    </row>
    <row r="1850" customFormat="false" ht="15" hidden="false" customHeight="false" outlineLevel="0" collapsed="false">
      <c r="A1850" s="13" t="str">
        <f aca="false">IF(עזר!L1850="","",INDEX(עזר!$A$2:$A$5001,עזר!L1850))</f>
        <v/>
      </c>
      <c r="B1850" s="13" t="str">
        <f aca="false">IF(עזר!L1850="","",INDEX(עזר!$B$2:$B$5001,עזר!L1850))</f>
        <v/>
      </c>
      <c r="C1850" s="13" t="str">
        <f aca="false">עזר!M1850</f>
        <v/>
      </c>
    </row>
    <row r="1851" customFormat="false" ht="15" hidden="false" customHeight="false" outlineLevel="0" collapsed="false">
      <c r="A1851" s="13" t="str">
        <f aca="false">IF(עזר!L1851="","",INDEX(עזר!$A$2:$A$5001,עזר!L1851))</f>
        <v/>
      </c>
      <c r="B1851" s="13" t="str">
        <f aca="false">IF(עזר!L1851="","",INDEX(עזר!$B$2:$B$5001,עזר!L1851))</f>
        <v/>
      </c>
      <c r="C1851" s="13" t="str">
        <f aca="false">עזר!M1851</f>
        <v/>
      </c>
    </row>
    <row r="1852" customFormat="false" ht="15" hidden="false" customHeight="false" outlineLevel="0" collapsed="false">
      <c r="A1852" s="13" t="str">
        <f aca="false">IF(עזר!L1852="","",INDEX(עזר!$A$2:$A$5001,עזר!L1852))</f>
        <v/>
      </c>
      <c r="B1852" s="13" t="str">
        <f aca="false">IF(עזר!L1852="","",INDEX(עזר!$B$2:$B$5001,עזר!L1852))</f>
        <v/>
      </c>
      <c r="C1852" s="13" t="str">
        <f aca="false">עזר!M1852</f>
        <v/>
      </c>
    </row>
    <row r="1853" customFormat="false" ht="15" hidden="false" customHeight="false" outlineLevel="0" collapsed="false">
      <c r="A1853" s="13" t="str">
        <f aca="false">IF(עזר!L1853="","",INDEX(עזר!$A$2:$A$5001,עזר!L1853))</f>
        <v/>
      </c>
      <c r="B1853" s="13" t="str">
        <f aca="false">IF(עזר!L1853="","",INDEX(עזר!$B$2:$B$5001,עזר!L1853))</f>
        <v/>
      </c>
      <c r="C1853" s="13" t="str">
        <f aca="false">עזר!M1853</f>
        <v/>
      </c>
    </row>
    <row r="1854" customFormat="false" ht="15" hidden="false" customHeight="false" outlineLevel="0" collapsed="false">
      <c r="A1854" s="13" t="str">
        <f aca="false">IF(עזר!L1854="","",INDEX(עזר!$A$2:$A$5001,עזר!L1854))</f>
        <v/>
      </c>
      <c r="B1854" s="13" t="str">
        <f aca="false">IF(עזר!L1854="","",INDEX(עזר!$B$2:$B$5001,עזר!L1854))</f>
        <v/>
      </c>
      <c r="C1854" s="13" t="str">
        <f aca="false">עזר!M1854</f>
        <v/>
      </c>
    </row>
    <row r="1855" customFormat="false" ht="15" hidden="false" customHeight="false" outlineLevel="0" collapsed="false">
      <c r="A1855" s="13" t="str">
        <f aca="false">IF(עזר!L1855="","",INDEX(עזר!$A$2:$A$5001,עזר!L1855))</f>
        <v/>
      </c>
      <c r="B1855" s="13" t="str">
        <f aca="false">IF(עזר!L1855="","",INDEX(עזר!$B$2:$B$5001,עזר!L1855))</f>
        <v/>
      </c>
      <c r="C1855" s="13" t="str">
        <f aca="false">עזר!M1855</f>
        <v/>
      </c>
    </row>
    <row r="1856" customFormat="false" ht="15" hidden="false" customHeight="false" outlineLevel="0" collapsed="false">
      <c r="A1856" s="13" t="str">
        <f aca="false">IF(עזר!L1856="","",INDEX(עזר!$A$2:$A$5001,עזר!L1856))</f>
        <v/>
      </c>
      <c r="B1856" s="13" t="str">
        <f aca="false">IF(עזר!L1856="","",INDEX(עזר!$B$2:$B$5001,עזר!L1856))</f>
        <v/>
      </c>
      <c r="C1856" s="13" t="str">
        <f aca="false">עזר!M1856</f>
        <v/>
      </c>
    </row>
    <row r="1857" customFormat="false" ht="15" hidden="false" customHeight="false" outlineLevel="0" collapsed="false">
      <c r="A1857" s="13" t="str">
        <f aca="false">IF(עזר!L1857="","",INDEX(עזר!$A$2:$A$5001,עזר!L1857))</f>
        <v/>
      </c>
      <c r="B1857" s="13" t="str">
        <f aca="false">IF(עזר!L1857="","",INDEX(עזר!$B$2:$B$5001,עזר!L1857))</f>
        <v/>
      </c>
      <c r="C1857" s="13" t="str">
        <f aca="false">עזר!M1857</f>
        <v/>
      </c>
    </row>
    <row r="1858" customFormat="false" ht="15" hidden="false" customHeight="false" outlineLevel="0" collapsed="false">
      <c r="A1858" s="13" t="str">
        <f aca="false">IF(עזר!L1858="","",INDEX(עזר!$A$2:$A$5001,עזר!L1858))</f>
        <v/>
      </c>
      <c r="B1858" s="13" t="str">
        <f aca="false">IF(עזר!L1858="","",INDEX(עזר!$B$2:$B$5001,עזר!L1858))</f>
        <v/>
      </c>
      <c r="C1858" s="13" t="str">
        <f aca="false">עזר!M1858</f>
        <v/>
      </c>
    </row>
    <row r="1859" customFormat="false" ht="15" hidden="false" customHeight="false" outlineLevel="0" collapsed="false">
      <c r="A1859" s="13" t="str">
        <f aca="false">IF(עזר!L1859="","",INDEX(עזר!$A$2:$A$5001,עזר!L1859))</f>
        <v/>
      </c>
      <c r="B1859" s="13" t="str">
        <f aca="false">IF(עזר!L1859="","",INDEX(עזר!$B$2:$B$5001,עזר!L1859))</f>
        <v/>
      </c>
      <c r="C1859" s="13" t="str">
        <f aca="false">עזר!M1859</f>
        <v/>
      </c>
    </row>
    <row r="1860" customFormat="false" ht="15" hidden="false" customHeight="false" outlineLevel="0" collapsed="false">
      <c r="A1860" s="13" t="str">
        <f aca="false">IF(עזר!L1860="","",INDEX(עזר!$A$2:$A$5001,עזר!L1860))</f>
        <v/>
      </c>
      <c r="B1860" s="13" t="str">
        <f aca="false">IF(עזר!L1860="","",INDEX(עזר!$B$2:$B$5001,עזר!L1860))</f>
        <v/>
      </c>
      <c r="C1860" s="13" t="str">
        <f aca="false">עזר!M1860</f>
        <v/>
      </c>
    </row>
    <row r="1861" customFormat="false" ht="15" hidden="false" customHeight="false" outlineLevel="0" collapsed="false">
      <c r="A1861" s="13" t="str">
        <f aca="false">IF(עזר!L1861="","",INDEX(עזר!$A$2:$A$5001,עזר!L1861))</f>
        <v/>
      </c>
      <c r="B1861" s="13" t="str">
        <f aca="false">IF(עזר!L1861="","",INDEX(עזר!$B$2:$B$5001,עזר!L1861))</f>
        <v/>
      </c>
      <c r="C1861" s="13" t="str">
        <f aca="false">עזר!M1861</f>
        <v/>
      </c>
    </row>
    <row r="1862" customFormat="false" ht="15" hidden="false" customHeight="false" outlineLevel="0" collapsed="false">
      <c r="A1862" s="13" t="str">
        <f aca="false">IF(עזר!L1862="","",INDEX(עזר!$A$2:$A$5001,עזר!L1862))</f>
        <v/>
      </c>
      <c r="B1862" s="13" t="str">
        <f aca="false">IF(עזר!L1862="","",INDEX(עזר!$B$2:$B$5001,עזר!L1862))</f>
        <v/>
      </c>
      <c r="C1862" s="13" t="str">
        <f aca="false">עזר!M1862</f>
        <v/>
      </c>
    </row>
    <row r="1863" customFormat="false" ht="15" hidden="false" customHeight="false" outlineLevel="0" collapsed="false">
      <c r="A1863" s="13" t="str">
        <f aca="false">IF(עזר!L1863="","",INDEX(עזר!$A$2:$A$5001,עזר!L1863))</f>
        <v/>
      </c>
      <c r="B1863" s="13" t="str">
        <f aca="false">IF(עזר!L1863="","",INDEX(עזר!$B$2:$B$5001,עזר!L1863))</f>
        <v/>
      </c>
      <c r="C1863" s="13" t="str">
        <f aca="false">עזר!M1863</f>
        <v/>
      </c>
    </row>
    <row r="1864" customFormat="false" ht="15" hidden="false" customHeight="false" outlineLevel="0" collapsed="false">
      <c r="A1864" s="13" t="str">
        <f aca="false">IF(עזר!L1864="","",INDEX(עזר!$A$2:$A$5001,עזר!L1864))</f>
        <v/>
      </c>
      <c r="B1864" s="13" t="str">
        <f aca="false">IF(עזר!L1864="","",INDEX(עזר!$B$2:$B$5001,עזר!L1864))</f>
        <v/>
      </c>
      <c r="C1864" s="13" t="str">
        <f aca="false">עזר!M1864</f>
        <v/>
      </c>
    </row>
    <row r="1865" customFormat="false" ht="15" hidden="false" customHeight="false" outlineLevel="0" collapsed="false">
      <c r="A1865" s="13" t="str">
        <f aca="false">IF(עזר!L1865="","",INDEX(עזר!$A$2:$A$5001,עזר!L1865))</f>
        <v/>
      </c>
      <c r="B1865" s="13" t="str">
        <f aca="false">IF(עזר!L1865="","",INDEX(עזר!$B$2:$B$5001,עזר!L1865))</f>
        <v/>
      </c>
      <c r="C1865" s="13" t="str">
        <f aca="false">עזר!M1865</f>
        <v/>
      </c>
    </row>
    <row r="1866" customFormat="false" ht="15" hidden="false" customHeight="false" outlineLevel="0" collapsed="false">
      <c r="A1866" s="13" t="str">
        <f aca="false">IF(עזר!L1866="","",INDEX(עזר!$A$2:$A$5001,עזר!L1866))</f>
        <v/>
      </c>
      <c r="B1866" s="13" t="str">
        <f aca="false">IF(עזר!L1866="","",INDEX(עזר!$B$2:$B$5001,עזר!L1866))</f>
        <v/>
      </c>
      <c r="C1866" s="13" t="str">
        <f aca="false">עזר!M1866</f>
        <v/>
      </c>
    </row>
    <row r="1867" customFormat="false" ht="15" hidden="false" customHeight="false" outlineLevel="0" collapsed="false">
      <c r="A1867" s="13" t="str">
        <f aca="false">IF(עזר!L1867="","",INDEX(עזר!$A$2:$A$5001,עזר!L1867))</f>
        <v/>
      </c>
      <c r="B1867" s="13" t="str">
        <f aca="false">IF(עזר!L1867="","",INDEX(עזר!$B$2:$B$5001,עזר!L1867))</f>
        <v/>
      </c>
      <c r="C1867" s="13" t="str">
        <f aca="false">עזר!M1867</f>
        <v/>
      </c>
    </row>
    <row r="1868" customFormat="false" ht="15" hidden="false" customHeight="false" outlineLevel="0" collapsed="false">
      <c r="A1868" s="13" t="str">
        <f aca="false">IF(עזר!L1868="","",INDEX(עזר!$A$2:$A$5001,עזר!L1868))</f>
        <v/>
      </c>
      <c r="B1868" s="13" t="str">
        <f aca="false">IF(עזר!L1868="","",INDEX(עזר!$B$2:$B$5001,עזר!L1868))</f>
        <v/>
      </c>
      <c r="C1868" s="13" t="str">
        <f aca="false">עזר!M1868</f>
        <v/>
      </c>
    </row>
    <row r="1869" customFormat="false" ht="15" hidden="false" customHeight="false" outlineLevel="0" collapsed="false">
      <c r="A1869" s="13" t="str">
        <f aca="false">IF(עזר!L1869="","",INDEX(עזר!$A$2:$A$5001,עזר!L1869))</f>
        <v/>
      </c>
      <c r="B1869" s="13" t="str">
        <f aca="false">IF(עזר!L1869="","",INDEX(עזר!$B$2:$B$5001,עזר!L1869))</f>
        <v/>
      </c>
      <c r="C1869" s="13" t="str">
        <f aca="false">עזר!M1869</f>
        <v/>
      </c>
    </row>
    <row r="1870" customFormat="false" ht="15" hidden="false" customHeight="false" outlineLevel="0" collapsed="false">
      <c r="A1870" s="13" t="str">
        <f aca="false">IF(עזר!L1870="","",INDEX(עזר!$A$2:$A$5001,עזר!L1870))</f>
        <v/>
      </c>
      <c r="B1870" s="13" t="str">
        <f aca="false">IF(עזר!L1870="","",INDEX(עזר!$B$2:$B$5001,עזר!L1870))</f>
        <v/>
      </c>
      <c r="C1870" s="13" t="str">
        <f aca="false">עזר!M1870</f>
        <v/>
      </c>
    </row>
    <row r="1871" customFormat="false" ht="15" hidden="false" customHeight="false" outlineLevel="0" collapsed="false">
      <c r="A1871" s="13" t="str">
        <f aca="false">IF(עזר!L1871="","",INDEX(עזר!$A$2:$A$5001,עזר!L1871))</f>
        <v/>
      </c>
      <c r="B1871" s="13" t="str">
        <f aca="false">IF(עזר!L1871="","",INDEX(עזר!$B$2:$B$5001,עזר!L1871))</f>
        <v/>
      </c>
      <c r="C1871" s="13" t="str">
        <f aca="false">עזר!M1871</f>
        <v/>
      </c>
    </row>
    <row r="1872" customFormat="false" ht="15" hidden="false" customHeight="false" outlineLevel="0" collapsed="false">
      <c r="A1872" s="13" t="str">
        <f aca="false">IF(עזר!L1872="","",INDEX(עזר!$A$2:$A$5001,עזר!L1872))</f>
        <v/>
      </c>
      <c r="B1872" s="13" t="str">
        <f aca="false">IF(עזר!L1872="","",INDEX(עזר!$B$2:$B$5001,עזר!L1872))</f>
        <v/>
      </c>
      <c r="C1872" s="13" t="str">
        <f aca="false">עזר!M1872</f>
        <v/>
      </c>
    </row>
    <row r="1873" customFormat="false" ht="15" hidden="false" customHeight="false" outlineLevel="0" collapsed="false">
      <c r="A1873" s="13" t="str">
        <f aca="false">IF(עזר!L1873="","",INDEX(עזר!$A$2:$A$5001,עזר!L1873))</f>
        <v/>
      </c>
      <c r="B1873" s="13" t="str">
        <f aca="false">IF(עזר!L1873="","",INDEX(עזר!$B$2:$B$5001,עזר!L1873))</f>
        <v/>
      </c>
      <c r="C1873" s="13" t="str">
        <f aca="false">עזר!M1873</f>
        <v/>
      </c>
    </row>
    <row r="1874" customFormat="false" ht="15" hidden="false" customHeight="false" outlineLevel="0" collapsed="false">
      <c r="A1874" s="13" t="str">
        <f aca="false">IF(עזר!L1874="","",INDEX(עזר!$A$2:$A$5001,עזר!L1874))</f>
        <v/>
      </c>
      <c r="B1874" s="13" t="str">
        <f aca="false">IF(עזר!L1874="","",INDEX(עזר!$B$2:$B$5001,עזר!L1874))</f>
        <v/>
      </c>
      <c r="C1874" s="13" t="str">
        <f aca="false">עזר!M1874</f>
        <v/>
      </c>
    </row>
    <row r="1875" customFormat="false" ht="15" hidden="false" customHeight="false" outlineLevel="0" collapsed="false">
      <c r="A1875" s="13" t="str">
        <f aca="false">IF(עזר!L1875="","",INDEX(עזר!$A$2:$A$5001,עזר!L1875))</f>
        <v/>
      </c>
      <c r="B1875" s="13" t="str">
        <f aca="false">IF(עזר!L1875="","",INDEX(עזר!$B$2:$B$5001,עזר!L1875))</f>
        <v/>
      </c>
      <c r="C1875" s="13" t="str">
        <f aca="false">עזר!M1875</f>
        <v/>
      </c>
    </row>
    <row r="1876" customFormat="false" ht="15" hidden="false" customHeight="false" outlineLevel="0" collapsed="false">
      <c r="A1876" s="13" t="str">
        <f aca="false">IF(עזר!L1876="","",INDEX(עזר!$A$2:$A$5001,עזר!L1876))</f>
        <v/>
      </c>
      <c r="B1876" s="13" t="str">
        <f aca="false">IF(עזר!L1876="","",INDEX(עזר!$B$2:$B$5001,עזר!L1876))</f>
        <v/>
      </c>
      <c r="C1876" s="13" t="str">
        <f aca="false">עזר!M1876</f>
        <v/>
      </c>
    </row>
    <row r="1877" customFormat="false" ht="15" hidden="false" customHeight="false" outlineLevel="0" collapsed="false">
      <c r="A1877" s="13" t="str">
        <f aca="false">IF(עזר!L1877="","",INDEX(עזר!$A$2:$A$5001,עזר!L1877))</f>
        <v/>
      </c>
      <c r="B1877" s="13" t="str">
        <f aca="false">IF(עזר!L1877="","",INDEX(עזר!$B$2:$B$5001,עזר!L1877))</f>
        <v/>
      </c>
      <c r="C1877" s="13" t="str">
        <f aca="false">עזר!M1877</f>
        <v/>
      </c>
    </row>
    <row r="1878" customFormat="false" ht="15" hidden="false" customHeight="false" outlineLevel="0" collapsed="false">
      <c r="A1878" s="13" t="str">
        <f aca="false">IF(עזר!L1878="","",INDEX(עזר!$A$2:$A$5001,עזר!L1878))</f>
        <v/>
      </c>
      <c r="B1878" s="13" t="str">
        <f aca="false">IF(עזר!L1878="","",INDEX(עזר!$B$2:$B$5001,עזר!L1878))</f>
        <v/>
      </c>
      <c r="C1878" s="13" t="str">
        <f aca="false">עזר!M1878</f>
        <v/>
      </c>
    </row>
    <row r="1879" customFormat="false" ht="15" hidden="false" customHeight="false" outlineLevel="0" collapsed="false">
      <c r="A1879" s="13" t="str">
        <f aca="false">IF(עזר!L1879="","",INDEX(עזר!$A$2:$A$5001,עזר!L1879))</f>
        <v/>
      </c>
      <c r="B1879" s="13" t="str">
        <f aca="false">IF(עזר!L1879="","",INDEX(עזר!$B$2:$B$5001,עזר!L1879))</f>
        <v/>
      </c>
      <c r="C1879" s="13" t="str">
        <f aca="false">עזר!M1879</f>
        <v/>
      </c>
    </row>
    <row r="1880" customFormat="false" ht="15" hidden="false" customHeight="false" outlineLevel="0" collapsed="false">
      <c r="A1880" s="13" t="str">
        <f aca="false">IF(עזר!L1880="","",INDEX(עזר!$A$2:$A$5001,עזר!L1880))</f>
        <v/>
      </c>
      <c r="B1880" s="13" t="str">
        <f aca="false">IF(עזר!L1880="","",INDEX(עזר!$B$2:$B$5001,עזר!L1880))</f>
        <v/>
      </c>
      <c r="C1880" s="13" t="str">
        <f aca="false">עזר!M1880</f>
        <v/>
      </c>
    </row>
    <row r="1881" customFormat="false" ht="15" hidden="false" customHeight="false" outlineLevel="0" collapsed="false">
      <c r="A1881" s="13" t="str">
        <f aca="false">IF(עזר!L1881="","",INDEX(עזר!$A$2:$A$5001,עזר!L1881))</f>
        <v/>
      </c>
      <c r="B1881" s="13" t="str">
        <f aca="false">IF(עזר!L1881="","",INDEX(עזר!$B$2:$B$5001,עזר!L1881))</f>
        <v/>
      </c>
      <c r="C1881" s="13" t="str">
        <f aca="false">עזר!M1881</f>
        <v/>
      </c>
    </row>
    <row r="1882" customFormat="false" ht="15" hidden="false" customHeight="false" outlineLevel="0" collapsed="false">
      <c r="A1882" s="13" t="str">
        <f aca="false">IF(עזר!L1882="","",INDEX(עזר!$A$2:$A$5001,עזר!L1882))</f>
        <v/>
      </c>
      <c r="B1882" s="13" t="str">
        <f aca="false">IF(עזר!L1882="","",INDEX(עזר!$B$2:$B$5001,עזר!L1882))</f>
        <v/>
      </c>
      <c r="C1882" s="13" t="str">
        <f aca="false">עזר!M1882</f>
        <v/>
      </c>
    </row>
    <row r="1883" customFormat="false" ht="15" hidden="false" customHeight="false" outlineLevel="0" collapsed="false">
      <c r="A1883" s="13" t="str">
        <f aca="false">IF(עזר!L1883="","",INDEX(עזר!$A$2:$A$5001,עזר!L1883))</f>
        <v/>
      </c>
      <c r="B1883" s="13" t="str">
        <f aca="false">IF(עזר!L1883="","",INDEX(עזר!$B$2:$B$5001,עזר!L1883))</f>
        <v/>
      </c>
      <c r="C1883" s="13" t="str">
        <f aca="false">עזר!M1883</f>
        <v/>
      </c>
    </row>
    <row r="1884" customFormat="false" ht="15" hidden="false" customHeight="false" outlineLevel="0" collapsed="false">
      <c r="A1884" s="13" t="str">
        <f aca="false">IF(עזר!L1884="","",INDEX(עזר!$A$2:$A$5001,עזר!L1884))</f>
        <v/>
      </c>
      <c r="B1884" s="13" t="str">
        <f aca="false">IF(עזר!L1884="","",INDEX(עזר!$B$2:$B$5001,עזר!L1884))</f>
        <v/>
      </c>
      <c r="C1884" s="13" t="str">
        <f aca="false">עזר!M1884</f>
        <v/>
      </c>
    </row>
    <row r="1885" customFormat="false" ht="15" hidden="false" customHeight="false" outlineLevel="0" collapsed="false">
      <c r="A1885" s="13" t="str">
        <f aca="false">IF(עזר!L1885="","",INDEX(עזר!$A$2:$A$5001,עזר!L1885))</f>
        <v/>
      </c>
      <c r="B1885" s="13" t="str">
        <f aca="false">IF(עזר!L1885="","",INDEX(עזר!$B$2:$B$5001,עזר!L1885))</f>
        <v/>
      </c>
      <c r="C1885" s="13" t="str">
        <f aca="false">עזר!M1885</f>
        <v/>
      </c>
    </row>
    <row r="1886" customFormat="false" ht="15" hidden="false" customHeight="false" outlineLevel="0" collapsed="false">
      <c r="A1886" s="13" t="str">
        <f aca="false">IF(עזר!L1886="","",INDEX(עזר!$A$2:$A$5001,עזר!L1886))</f>
        <v/>
      </c>
      <c r="B1886" s="13" t="str">
        <f aca="false">IF(עזר!L1886="","",INDEX(עזר!$B$2:$B$5001,עזר!L1886))</f>
        <v/>
      </c>
      <c r="C1886" s="13" t="str">
        <f aca="false">עזר!M1886</f>
        <v/>
      </c>
    </row>
    <row r="1887" customFormat="false" ht="15" hidden="false" customHeight="false" outlineLevel="0" collapsed="false">
      <c r="A1887" s="13" t="str">
        <f aca="false">IF(עזר!L1887="","",INDEX(עזר!$A$2:$A$5001,עזר!L1887))</f>
        <v/>
      </c>
      <c r="B1887" s="13" t="str">
        <f aca="false">IF(עזר!L1887="","",INDEX(עזר!$B$2:$B$5001,עזר!L1887))</f>
        <v/>
      </c>
      <c r="C1887" s="13" t="str">
        <f aca="false">עזר!M1887</f>
        <v/>
      </c>
    </row>
    <row r="1888" customFormat="false" ht="15" hidden="false" customHeight="false" outlineLevel="0" collapsed="false">
      <c r="A1888" s="13" t="str">
        <f aca="false">IF(עזר!L1888="","",INDEX(עזר!$A$2:$A$5001,עזר!L1888))</f>
        <v/>
      </c>
      <c r="B1888" s="13" t="str">
        <f aca="false">IF(עזר!L1888="","",INDEX(עזר!$B$2:$B$5001,עזר!L1888))</f>
        <v/>
      </c>
      <c r="C1888" s="13" t="str">
        <f aca="false">עזר!M1888</f>
        <v/>
      </c>
    </row>
    <row r="1889" customFormat="false" ht="15" hidden="false" customHeight="false" outlineLevel="0" collapsed="false">
      <c r="A1889" s="13" t="str">
        <f aca="false">IF(עזר!L1889="","",INDEX(עזר!$A$2:$A$5001,עזר!L1889))</f>
        <v/>
      </c>
      <c r="B1889" s="13" t="str">
        <f aca="false">IF(עזר!L1889="","",INDEX(עזר!$B$2:$B$5001,עזר!L1889))</f>
        <v/>
      </c>
      <c r="C1889" s="13" t="str">
        <f aca="false">עזר!M1889</f>
        <v/>
      </c>
    </row>
    <row r="1890" customFormat="false" ht="15" hidden="false" customHeight="false" outlineLevel="0" collapsed="false">
      <c r="A1890" s="13" t="str">
        <f aca="false">IF(עזר!L1890="","",INDEX(עזר!$A$2:$A$5001,עזר!L1890))</f>
        <v/>
      </c>
      <c r="B1890" s="13" t="str">
        <f aca="false">IF(עזר!L1890="","",INDEX(עזר!$B$2:$B$5001,עזר!L1890))</f>
        <v/>
      </c>
      <c r="C1890" s="13" t="str">
        <f aca="false">עזר!M1890</f>
        <v/>
      </c>
    </row>
    <row r="1891" customFormat="false" ht="15" hidden="false" customHeight="false" outlineLevel="0" collapsed="false">
      <c r="A1891" s="13" t="str">
        <f aca="false">IF(עזר!L1891="","",INDEX(עזר!$A$2:$A$5001,עזר!L1891))</f>
        <v/>
      </c>
      <c r="B1891" s="13" t="str">
        <f aca="false">IF(עזר!L1891="","",INDEX(עזר!$B$2:$B$5001,עזר!L1891))</f>
        <v/>
      </c>
      <c r="C1891" s="13" t="str">
        <f aca="false">עזר!M1891</f>
        <v/>
      </c>
    </row>
    <row r="1892" customFormat="false" ht="15" hidden="false" customHeight="false" outlineLevel="0" collapsed="false">
      <c r="A1892" s="13" t="str">
        <f aca="false">IF(עזר!L1892="","",INDEX(עזר!$A$2:$A$5001,עזר!L1892))</f>
        <v/>
      </c>
      <c r="B1892" s="13" t="str">
        <f aca="false">IF(עזר!L1892="","",INDEX(עזר!$B$2:$B$5001,עזר!L1892))</f>
        <v/>
      </c>
      <c r="C1892" s="13" t="str">
        <f aca="false">עזר!M1892</f>
        <v/>
      </c>
    </row>
    <row r="1893" customFormat="false" ht="15" hidden="false" customHeight="false" outlineLevel="0" collapsed="false">
      <c r="A1893" s="13" t="str">
        <f aca="false">IF(עזר!L1893="","",INDEX(עזר!$A$2:$A$5001,עזר!L1893))</f>
        <v/>
      </c>
      <c r="B1893" s="13" t="str">
        <f aca="false">IF(עזר!L1893="","",INDEX(עזר!$B$2:$B$5001,עזר!L1893))</f>
        <v/>
      </c>
      <c r="C1893" s="13" t="str">
        <f aca="false">עזר!M1893</f>
        <v/>
      </c>
    </row>
    <row r="1894" customFormat="false" ht="15" hidden="false" customHeight="false" outlineLevel="0" collapsed="false">
      <c r="A1894" s="13" t="str">
        <f aca="false">IF(עזר!L1894="","",INDEX(עזר!$A$2:$A$5001,עזר!L1894))</f>
        <v/>
      </c>
      <c r="B1894" s="13" t="str">
        <f aca="false">IF(עזר!L1894="","",INDEX(עזר!$B$2:$B$5001,עזר!L1894))</f>
        <v/>
      </c>
      <c r="C1894" s="13" t="str">
        <f aca="false">עזר!M1894</f>
        <v/>
      </c>
    </row>
    <row r="1895" customFormat="false" ht="15" hidden="false" customHeight="false" outlineLevel="0" collapsed="false">
      <c r="A1895" s="13" t="str">
        <f aca="false">IF(עזר!L1895="","",INDEX(עזר!$A$2:$A$5001,עזר!L1895))</f>
        <v/>
      </c>
      <c r="B1895" s="13" t="str">
        <f aca="false">IF(עזר!L1895="","",INDEX(עזר!$B$2:$B$5001,עזר!L1895))</f>
        <v/>
      </c>
      <c r="C1895" s="13" t="str">
        <f aca="false">עזר!M1895</f>
        <v/>
      </c>
    </row>
    <row r="1896" customFormat="false" ht="15" hidden="false" customHeight="false" outlineLevel="0" collapsed="false">
      <c r="A1896" s="13" t="str">
        <f aca="false">IF(עזר!L1896="","",INDEX(עזר!$A$2:$A$5001,עזר!L1896))</f>
        <v/>
      </c>
      <c r="B1896" s="13" t="str">
        <f aca="false">IF(עזר!L1896="","",INDEX(עזר!$B$2:$B$5001,עזר!L1896))</f>
        <v/>
      </c>
      <c r="C1896" s="13" t="str">
        <f aca="false">עזר!M1896</f>
        <v/>
      </c>
    </row>
    <row r="1897" customFormat="false" ht="15" hidden="false" customHeight="false" outlineLevel="0" collapsed="false">
      <c r="A1897" s="13" t="str">
        <f aca="false">IF(עזר!L1897="","",INDEX(עזר!$A$2:$A$5001,עזר!L1897))</f>
        <v/>
      </c>
      <c r="B1897" s="13" t="str">
        <f aca="false">IF(עזר!L1897="","",INDEX(עזר!$B$2:$B$5001,עזר!L1897))</f>
        <v/>
      </c>
      <c r="C1897" s="13" t="str">
        <f aca="false">עזר!M1897</f>
        <v/>
      </c>
    </row>
    <row r="1898" customFormat="false" ht="15" hidden="false" customHeight="false" outlineLevel="0" collapsed="false">
      <c r="A1898" s="13" t="str">
        <f aca="false">IF(עזר!L1898="","",INDEX(עזר!$A$2:$A$5001,עזר!L1898))</f>
        <v/>
      </c>
      <c r="B1898" s="13" t="str">
        <f aca="false">IF(עזר!L1898="","",INDEX(עזר!$B$2:$B$5001,עזר!L1898))</f>
        <v/>
      </c>
      <c r="C1898" s="13" t="str">
        <f aca="false">עזר!M1898</f>
        <v/>
      </c>
    </row>
    <row r="1899" customFormat="false" ht="15" hidden="false" customHeight="false" outlineLevel="0" collapsed="false">
      <c r="A1899" s="13" t="str">
        <f aca="false">IF(עזר!L1899="","",INDEX(עזר!$A$2:$A$5001,עזר!L1899))</f>
        <v/>
      </c>
      <c r="B1899" s="13" t="str">
        <f aca="false">IF(עזר!L1899="","",INDEX(עזר!$B$2:$B$5001,עזר!L1899))</f>
        <v/>
      </c>
      <c r="C1899" s="13" t="str">
        <f aca="false">עזר!M1899</f>
        <v/>
      </c>
    </row>
    <row r="1900" customFormat="false" ht="15" hidden="false" customHeight="false" outlineLevel="0" collapsed="false">
      <c r="A1900" s="13" t="str">
        <f aca="false">IF(עזר!L1900="","",INDEX(עזר!$A$2:$A$5001,עזר!L1900))</f>
        <v/>
      </c>
      <c r="B1900" s="13" t="str">
        <f aca="false">IF(עזר!L1900="","",INDEX(עזר!$B$2:$B$5001,עזר!L1900))</f>
        <v/>
      </c>
      <c r="C1900" s="13" t="str">
        <f aca="false">עזר!M1900</f>
        <v/>
      </c>
    </row>
    <row r="1901" customFormat="false" ht="15" hidden="false" customHeight="false" outlineLevel="0" collapsed="false">
      <c r="A1901" s="13" t="str">
        <f aca="false">IF(עזר!L1901="","",INDEX(עזר!$A$2:$A$5001,עזר!L1901))</f>
        <v/>
      </c>
      <c r="B1901" s="13" t="str">
        <f aca="false">IF(עזר!L1901="","",INDEX(עזר!$B$2:$B$5001,עזר!L1901))</f>
        <v/>
      </c>
      <c r="C1901" s="13" t="str">
        <f aca="false">עזר!M1901</f>
        <v/>
      </c>
    </row>
    <row r="1902" customFormat="false" ht="15" hidden="false" customHeight="false" outlineLevel="0" collapsed="false">
      <c r="A1902" s="13" t="str">
        <f aca="false">IF(עזר!L1902="","",INDEX(עזר!$A$2:$A$5001,עזר!L1902))</f>
        <v/>
      </c>
      <c r="B1902" s="13" t="str">
        <f aca="false">IF(עזר!L1902="","",INDEX(עזר!$B$2:$B$5001,עזר!L1902))</f>
        <v/>
      </c>
      <c r="C1902" s="13" t="str">
        <f aca="false">עזר!M1902</f>
        <v/>
      </c>
    </row>
    <row r="1903" customFormat="false" ht="15" hidden="false" customHeight="false" outlineLevel="0" collapsed="false">
      <c r="A1903" s="13" t="str">
        <f aca="false">IF(עזר!L1903="","",INDEX(עזר!$A$2:$A$5001,עזר!L1903))</f>
        <v/>
      </c>
      <c r="B1903" s="13" t="str">
        <f aca="false">IF(עזר!L1903="","",INDEX(עזר!$B$2:$B$5001,עזר!L1903))</f>
        <v/>
      </c>
      <c r="C1903" s="13" t="str">
        <f aca="false">עזר!M1903</f>
        <v/>
      </c>
    </row>
    <row r="1904" customFormat="false" ht="15" hidden="false" customHeight="false" outlineLevel="0" collapsed="false">
      <c r="A1904" s="13" t="str">
        <f aca="false">IF(עזר!L1904="","",INDEX(עזר!$A$2:$A$5001,עזר!L1904))</f>
        <v/>
      </c>
      <c r="B1904" s="13" t="str">
        <f aca="false">IF(עזר!L1904="","",INDEX(עזר!$B$2:$B$5001,עזר!L1904))</f>
        <v/>
      </c>
      <c r="C1904" s="13" t="str">
        <f aca="false">עזר!M1904</f>
        <v/>
      </c>
    </row>
    <row r="1905" customFormat="false" ht="15" hidden="false" customHeight="false" outlineLevel="0" collapsed="false">
      <c r="A1905" s="13" t="str">
        <f aca="false">IF(עזר!L1905="","",INDEX(עזר!$A$2:$A$5001,עזר!L1905))</f>
        <v/>
      </c>
      <c r="B1905" s="13" t="str">
        <f aca="false">IF(עזר!L1905="","",INDEX(עזר!$B$2:$B$5001,עזר!L1905))</f>
        <v/>
      </c>
      <c r="C1905" s="13" t="str">
        <f aca="false">עזר!M1905</f>
        <v/>
      </c>
    </row>
    <row r="1906" customFormat="false" ht="15" hidden="false" customHeight="false" outlineLevel="0" collapsed="false">
      <c r="A1906" s="13" t="str">
        <f aca="false">IF(עזר!L1906="","",INDEX(עזר!$A$2:$A$5001,עזר!L1906))</f>
        <v/>
      </c>
      <c r="B1906" s="13" t="str">
        <f aca="false">IF(עזר!L1906="","",INDEX(עזר!$B$2:$B$5001,עזר!L1906))</f>
        <v/>
      </c>
      <c r="C1906" s="13" t="str">
        <f aca="false">עזר!M1906</f>
        <v/>
      </c>
    </row>
    <row r="1907" customFormat="false" ht="15" hidden="false" customHeight="false" outlineLevel="0" collapsed="false">
      <c r="A1907" s="13" t="str">
        <f aca="false">IF(עזר!L1907="","",INDEX(עזר!$A$2:$A$5001,עזר!L1907))</f>
        <v/>
      </c>
      <c r="B1907" s="13" t="str">
        <f aca="false">IF(עזר!L1907="","",INDEX(עזר!$B$2:$B$5001,עזר!L1907))</f>
        <v/>
      </c>
      <c r="C1907" s="13" t="str">
        <f aca="false">עזר!M1907</f>
        <v/>
      </c>
    </row>
    <row r="1908" customFormat="false" ht="15" hidden="false" customHeight="false" outlineLevel="0" collapsed="false">
      <c r="A1908" s="13" t="str">
        <f aca="false">IF(עזר!L1908="","",INDEX(עזר!$A$2:$A$5001,עזר!L1908))</f>
        <v/>
      </c>
      <c r="B1908" s="13" t="str">
        <f aca="false">IF(עזר!L1908="","",INDEX(עזר!$B$2:$B$5001,עזר!L1908))</f>
        <v/>
      </c>
      <c r="C1908" s="13" t="str">
        <f aca="false">עזר!M1908</f>
        <v/>
      </c>
    </row>
    <row r="1909" customFormat="false" ht="15" hidden="false" customHeight="false" outlineLevel="0" collapsed="false">
      <c r="A1909" s="13" t="str">
        <f aca="false">IF(עזר!L1909="","",INDEX(עזר!$A$2:$A$5001,עזר!L1909))</f>
        <v/>
      </c>
      <c r="B1909" s="13" t="str">
        <f aca="false">IF(עזר!L1909="","",INDEX(עזר!$B$2:$B$5001,עזר!L1909))</f>
        <v/>
      </c>
      <c r="C1909" s="13" t="str">
        <f aca="false">עזר!M1909</f>
        <v/>
      </c>
    </row>
    <row r="1910" customFormat="false" ht="15" hidden="false" customHeight="false" outlineLevel="0" collapsed="false">
      <c r="A1910" s="13" t="str">
        <f aca="false">IF(עזר!L1910="","",INDEX(עזר!$A$2:$A$5001,עזר!L1910))</f>
        <v/>
      </c>
      <c r="B1910" s="13" t="str">
        <f aca="false">IF(עזר!L1910="","",INDEX(עזר!$B$2:$B$5001,עזר!L1910))</f>
        <v/>
      </c>
      <c r="C1910" s="13" t="str">
        <f aca="false">עזר!M1910</f>
        <v/>
      </c>
    </row>
    <row r="1911" customFormat="false" ht="15" hidden="false" customHeight="false" outlineLevel="0" collapsed="false">
      <c r="A1911" s="13" t="str">
        <f aca="false">IF(עזר!L1911="","",INDEX(עזר!$A$2:$A$5001,עזר!L1911))</f>
        <v/>
      </c>
      <c r="B1911" s="13" t="str">
        <f aca="false">IF(עזר!L1911="","",INDEX(עזר!$B$2:$B$5001,עזר!L1911))</f>
        <v/>
      </c>
      <c r="C1911" s="13" t="str">
        <f aca="false">עזר!M1911</f>
        <v/>
      </c>
    </row>
    <row r="1912" customFormat="false" ht="15" hidden="false" customHeight="false" outlineLevel="0" collapsed="false">
      <c r="A1912" s="13" t="str">
        <f aca="false">IF(עזר!L1912="","",INDEX(עזר!$A$2:$A$5001,עזר!L1912))</f>
        <v/>
      </c>
      <c r="B1912" s="13" t="str">
        <f aca="false">IF(עזר!L1912="","",INDEX(עזר!$B$2:$B$5001,עזר!L1912))</f>
        <v/>
      </c>
      <c r="C1912" s="13" t="str">
        <f aca="false">עזר!M1912</f>
        <v/>
      </c>
    </row>
    <row r="1913" customFormat="false" ht="15" hidden="false" customHeight="false" outlineLevel="0" collapsed="false">
      <c r="A1913" s="13" t="str">
        <f aca="false">IF(עזר!L1913="","",INDEX(עזר!$A$2:$A$5001,עזר!L1913))</f>
        <v/>
      </c>
      <c r="B1913" s="13" t="str">
        <f aca="false">IF(עזר!L1913="","",INDEX(עזר!$B$2:$B$5001,עזר!L1913))</f>
        <v/>
      </c>
      <c r="C1913" s="13" t="str">
        <f aca="false">עזר!M1913</f>
        <v/>
      </c>
    </row>
    <row r="1914" customFormat="false" ht="15" hidden="false" customHeight="false" outlineLevel="0" collapsed="false">
      <c r="A1914" s="13" t="str">
        <f aca="false">IF(עזר!L1914="","",INDEX(עזר!$A$2:$A$5001,עזר!L1914))</f>
        <v/>
      </c>
      <c r="B1914" s="13" t="str">
        <f aca="false">IF(עזר!L1914="","",INDEX(עזר!$B$2:$B$5001,עזר!L1914))</f>
        <v/>
      </c>
      <c r="C1914" s="13" t="str">
        <f aca="false">עזר!M1914</f>
        <v/>
      </c>
    </row>
    <row r="1915" customFormat="false" ht="15" hidden="false" customHeight="false" outlineLevel="0" collapsed="false">
      <c r="A1915" s="13" t="str">
        <f aca="false">IF(עזר!L1915="","",INDEX(עזר!$A$2:$A$5001,עזר!L1915))</f>
        <v/>
      </c>
      <c r="B1915" s="13" t="str">
        <f aca="false">IF(עזר!L1915="","",INDEX(עזר!$B$2:$B$5001,עזר!L1915))</f>
        <v/>
      </c>
      <c r="C1915" s="13" t="str">
        <f aca="false">עזר!M1915</f>
        <v/>
      </c>
    </row>
    <row r="1916" customFormat="false" ht="15" hidden="false" customHeight="false" outlineLevel="0" collapsed="false">
      <c r="A1916" s="13" t="str">
        <f aca="false">IF(עזר!L1916="","",INDEX(עזר!$A$2:$A$5001,עזר!L1916))</f>
        <v/>
      </c>
      <c r="B1916" s="13" t="str">
        <f aca="false">IF(עזר!L1916="","",INDEX(עזר!$B$2:$B$5001,עזר!L1916))</f>
        <v/>
      </c>
      <c r="C1916" s="13" t="str">
        <f aca="false">עזר!M1916</f>
        <v/>
      </c>
    </row>
    <row r="1917" customFormat="false" ht="15" hidden="false" customHeight="false" outlineLevel="0" collapsed="false">
      <c r="A1917" s="13" t="str">
        <f aca="false">IF(עזר!L1917="","",INDEX(עזר!$A$2:$A$5001,עזר!L1917))</f>
        <v/>
      </c>
      <c r="B1917" s="13" t="str">
        <f aca="false">IF(עזר!L1917="","",INDEX(עזר!$B$2:$B$5001,עזר!L1917))</f>
        <v/>
      </c>
      <c r="C1917" s="13" t="str">
        <f aca="false">עזר!M1917</f>
        <v/>
      </c>
    </row>
    <row r="1918" customFormat="false" ht="15" hidden="false" customHeight="false" outlineLevel="0" collapsed="false">
      <c r="A1918" s="13" t="str">
        <f aca="false">IF(עזר!L1918="","",INDEX(עזר!$A$2:$A$5001,עזר!L1918))</f>
        <v/>
      </c>
      <c r="B1918" s="13" t="str">
        <f aca="false">IF(עזר!L1918="","",INDEX(עזר!$B$2:$B$5001,עזר!L1918))</f>
        <v/>
      </c>
      <c r="C1918" s="13" t="str">
        <f aca="false">עזר!M1918</f>
        <v/>
      </c>
    </row>
    <row r="1919" customFormat="false" ht="15" hidden="false" customHeight="false" outlineLevel="0" collapsed="false">
      <c r="A1919" s="13" t="str">
        <f aca="false">IF(עזר!L1919="","",INDEX(עזר!$A$2:$A$5001,עזר!L1919))</f>
        <v/>
      </c>
      <c r="B1919" s="13" t="str">
        <f aca="false">IF(עזר!L1919="","",INDEX(עזר!$B$2:$B$5001,עזר!L1919))</f>
        <v/>
      </c>
      <c r="C1919" s="13" t="str">
        <f aca="false">עזר!M1919</f>
        <v/>
      </c>
    </row>
    <row r="1920" customFormat="false" ht="15" hidden="false" customHeight="false" outlineLevel="0" collapsed="false">
      <c r="A1920" s="13" t="str">
        <f aca="false">IF(עזר!L1920="","",INDEX(עזר!$A$2:$A$5001,עזר!L1920))</f>
        <v/>
      </c>
      <c r="B1920" s="13" t="str">
        <f aca="false">IF(עזר!L1920="","",INDEX(עזר!$B$2:$B$5001,עזר!L1920))</f>
        <v/>
      </c>
      <c r="C1920" s="13" t="str">
        <f aca="false">עזר!M1920</f>
        <v/>
      </c>
    </row>
    <row r="1921" customFormat="false" ht="15" hidden="false" customHeight="false" outlineLevel="0" collapsed="false">
      <c r="A1921" s="13" t="str">
        <f aca="false">IF(עזר!L1921="","",INDEX(עזר!$A$2:$A$5001,עזר!L1921))</f>
        <v/>
      </c>
      <c r="B1921" s="13" t="str">
        <f aca="false">IF(עזר!L1921="","",INDEX(עזר!$B$2:$B$5001,עזר!L1921))</f>
        <v/>
      </c>
      <c r="C1921" s="13" t="str">
        <f aca="false">עזר!M1921</f>
        <v/>
      </c>
    </row>
    <row r="1922" customFormat="false" ht="15" hidden="false" customHeight="false" outlineLevel="0" collapsed="false">
      <c r="A1922" s="13" t="str">
        <f aca="false">IF(עזר!L1922="","",INDEX(עזר!$A$2:$A$5001,עזר!L1922))</f>
        <v/>
      </c>
      <c r="B1922" s="13" t="str">
        <f aca="false">IF(עזר!L1922="","",INDEX(עזר!$B$2:$B$5001,עזר!L1922))</f>
        <v/>
      </c>
      <c r="C1922" s="13" t="str">
        <f aca="false">עזר!M1922</f>
        <v/>
      </c>
    </row>
    <row r="1923" customFormat="false" ht="15" hidden="false" customHeight="false" outlineLevel="0" collapsed="false">
      <c r="A1923" s="13" t="str">
        <f aca="false">IF(עזר!L1923="","",INDEX(עזר!$A$2:$A$5001,עזר!L1923))</f>
        <v/>
      </c>
      <c r="B1923" s="13" t="str">
        <f aca="false">IF(עזר!L1923="","",INDEX(עזר!$B$2:$B$5001,עזר!L1923))</f>
        <v/>
      </c>
      <c r="C1923" s="13" t="str">
        <f aca="false">עזר!M1923</f>
        <v/>
      </c>
    </row>
    <row r="1924" customFormat="false" ht="15" hidden="false" customHeight="false" outlineLevel="0" collapsed="false">
      <c r="A1924" s="13" t="str">
        <f aca="false">IF(עזר!L1924="","",INDEX(עזר!$A$2:$A$5001,עזר!L1924))</f>
        <v/>
      </c>
      <c r="B1924" s="13" t="str">
        <f aca="false">IF(עזר!L1924="","",INDEX(עזר!$B$2:$B$5001,עזר!L1924))</f>
        <v/>
      </c>
      <c r="C1924" s="13" t="str">
        <f aca="false">עזר!M1924</f>
        <v/>
      </c>
    </row>
    <row r="1925" customFormat="false" ht="15" hidden="false" customHeight="false" outlineLevel="0" collapsed="false">
      <c r="A1925" s="13" t="str">
        <f aca="false">IF(עזר!L1925="","",INDEX(עזר!$A$2:$A$5001,עזר!L1925))</f>
        <v/>
      </c>
      <c r="B1925" s="13" t="str">
        <f aca="false">IF(עזר!L1925="","",INDEX(עזר!$B$2:$B$5001,עזר!L1925))</f>
        <v/>
      </c>
      <c r="C1925" s="13" t="str">
        <f aca="false">עזר!M1925</f>
        <v/>
      </c>
    </row>
    <row r="1926" customFormat="false" ht="15" hidden="false" customHeight="false" outlineLevel="0" collapsed="false">
      <c r="A1926" s="13" t="str">
        <f aca="false">IF(עזר!L1926="","",INDEX(עזר!$A$2:$A$5001,עזר!L1926))</f>
        <v/>
      </c>
      <c r="B1926" s="13" t="str">
        <f aca="false">IF(עזר!L1926="","",INDEX(עזר!$B$2:$B$5001,עזר!L1926))</f>
        <v/>
      </c>
      <c r="C1926" s="13" t="str">
        <f aca="false">עזר!M1926</f>
        <v/>
      </c>
    </row>
    <row r="1927" customFormat="false" ht="15" hidden="false" customHeight="false" outlineLevel="0" collapsed="false">
      <c r="A1927" s="13" t="str">
        <f aca="false">IF(עזר!L1927="","",INDEX(עזר!$A$2:$A$5001,עזר!L1927))</f>
        <v/>
      </c>
      <c r="B1927" s="13" t="str">
        <f aca="false">IF(עזר!L1927="","",INDEX(עזר!$B$2:$B$5001,עזר!L1927))</f>
        <v/>
      </c>
      <c r="C1927" s="13" t="str">
        <f aca="false">עזר!M1927</f>
        <v/>
      </c>
    </row>
    <row r="1928" customFormat="false" ht="15" hidden="false" customHeight="false" outlineLevel="0" collapsed="false">
      <c r="A1928" s="13" t="str">
        <f aca="false">IF(עזר!L1928="","",INDEX(עזר!$A$2:$A$5001,עזר!L1928))</f>
        <v/>
      </c>
      <c r="B1928" s="13" t="str">
        <f aca="false">IF(עזר!L1928="","",INDEX(עזר!$B$2:$B$5001,עזר!L1928))</f>
        <v/>
      </c>
      <c r="C1928" s="13" t="str">
        <f aca="false">עזר!M1928</f>
        <v/>
      </c>
    </row>
    <row r="1929" customFormat="false" ht="15" hidden="false" customHeight="false" outlineLevel="0" collapsed="false">
      <c r="A1929" s="13" t="str">
        <f aca="false">IF(עזר!L1929="","",INDEX(עזר!$A$2:$A$5001,עזר!L1929))</f>
        <v/>
      </c>
      <c r="B1929" s="13" t="str">
        <f aca="false">IF(עזר!L1929="","",INDEX(עזר!$B$2:$B$5001,עזר!L1929))</f>
        <v/>
      </c>
      <c r="C1929" s="13" t="str">
        <f aca="false">עזר!M1929</f>
        <v/>
      </c>
    </row>
    <row r="1930" customFormat="false" ht="15" hidden="false" customHeight="false" outlineLevel="0" collapsed="false">
      <c r="A1930" s="13" t="str">
        <f aca="false">IF(עזר!L1930="","",INDEX(עזר!$A$2:$A$5001,עזר!L1930))</f>
        <v/>
      </c>
      <c r="B1930" s="13" t="str">
        <f aca="false">IF(עזר!L1930="","",INDEX(עזר!$B$2:$B$5001,עזר!L1930))</f>
        <v/>
      </c>
      <c r="C1930" s="13" t="str">
        <f aca="false">עזר!M1930</f>
        <v/>
      </c>
    </row>
    <row r="1931" customFormat="false" ht="15" hidden="false" customHeight="false" outlineLevel="0" collapsed="false">
      <c r="A1931" s="13" t="str">
        <f aca="false">IF(עזר!L1931="","",INDEX(עזר!$A$2:$A$5001,עזר!L1931))</f>
        <v/>
      </c>
      <c r="B1931" s="13" t="str">
        <f aca="false">IF(עזר!L1931="","",INDEX(עזר!$B$2:$B$5001,עזר!L1931))</f>
        <v/>
      </c>
      <c r="C1931" s="13" t="str">
        <f aca="false">עזר!M1931</f>
        <v/>
      </c>
    </row>
    <row r="1932" customFormat="false" ht="15" hidden="false" customHeight="false" outlineLevel="0" collapsed="false">
      <c r="A1932" s="13" t="str">
        <f aca="false">IF(עזר!L1932="","",INDEX(עזר!$A$2:$A$5001,עזר!L1932))</f>
        <v/>
      </c>
      <c r="B1932" s="13" t="str">
        <f aca="false">IF(עזר!L1932="","",INDEX(עזר!$B$2:$B$5001,עזר!L1932))</f>
        <v/>
      </c>
      <c r="C1932" s="13" t="str">
        <f aca="false">עזר!M1932</f>
        <v/>
      </c>
    </row>
    <row r="1933" customFormat="false" ht="15" hidden="false" customHeight="false" outlineLevel="0" collapsed="false">
      <c r="A1933" s="13" t="str">
        <f aca="false">IF(עזר!L1933="","",INDEX(עזר!$A$2:$A$5001,עזר!L1933))</f>
        <v/>
      </c>
      <c r="B1933" s="13" t="str">
        <f aca="false">IF(עזר!L1933="","",INDEX(עזר!$B$2:$B$5001,עזר!L1933))</f>
        <v/>
      </c>
      <c r="C1933" s="13" t="str">
        <f aca="false">עזר!M1933</f>
        <v/>
      </c>
    </row>
    <row r="1934" customFormat="false" ht="15" hidden="false" customHeight="false" outlineLevel="0" collapsed="false">
      <c r="A1934" s="13" t="str">
        <f aca="false">IF(עזר!L1934="","",INDEX(עזר!$A$2:$A$5001,עזר!L1934))</f>
        <v/>
      </c>
      <c r="B1934" s="13" t="str">
        <f aca="false">IF(עזר!L1934="","",INDEX(עזר!$B$2:$B$5001,עזר!L1934))</f>
        <v/>
      </c>
      <c r="C1934" s="13" t="str">
        <f aca="false">עזר!M1934</f>
        <v/>
      </c>
    </row>
    <row r="1935" customFormat="false" ht="15" hidden="false" customHeight="false" outlineLevel="0" collapsed="false">
      <c r="A1935" s="13" t="str">
        <f aca="false">IF(עזר!L1935="","",INDEX(עזר!$A$2:$A$5001,עזר!L1935))</f>
        <v/>
      </c>
      <c r="B1935" s="13" t="str">
        <f aca="false">IF(עזר!L1935="","",INDEX(עזר!$B$2:$B$5001,עזר!L1935))</f>
        <v/>
      </c>
      <c r="C1935" s="13" t="str">
        <f aca="false">עזר!M1935</f>
        <v/>
      </c>
    </row>
    <row r="1936" customFormat="false" ht="15" hidden="false" customHeight="false" outlineLevel="0" collapsed="false">
      <c r="A1936" s="13" t="str">
        <f aca="false">IF(עזר!L1936="","",INDEX(עזר!$A$2:$A$5001,עזר!L1936))</f>
        <v/>
      </c>
      <c r="B1936" s="13" t="str">
        <f aca="false">IF(עזר!L1936="","",INDEX(עזר!$B$2:$B$5001,עזר!L1936))</f>
        <v/>
      </c>
      <c r="C1936" s="13" t="str">
        <f aca="false">עזר!M1936</f>
        <v/>
      </c>
    </row>
    <row r="1937" customFormat="false" ht="15" hidden="false" customHeight="false" outlineLevel="0" collapsed="false">
      <c r="A1937" s="13" t="str">
        <f aca="false">IF(עזר!L1937="","",INDEX(עזר!$A$2:$A$5001,עזר!L1937))</f>
        <v/>
      </c>
      <c r="B1937" s="13" t="str">
        <f aca="false">IF(עזר!L1937="","",INDEX(עזר!$B$2:$B$5001,עזר!L1937))</f>
        <v/>
      </c>
      <c r="C1937" s="13" t="str">
        <f aca="false">עזר!M1937</f>
        <v/>
      </c>
    </row>
    <row r="1938" customFormat="false" ht="15" hidden="false" customHeight="false" outlineLevel="0" collapsed="false">
      <c r="A1938" s="13" t="str">
        <f aca="false">IF(עזר!L1938="","",INDEX(עזר!$A$2:$A$5001,עזר!L1938))</f>
        <v/>
      </c>
      <c r="B1938" s="13" t="str">
        <f aca="false">IF(עזר!L1938="","",INDEX(עזר!$B$2:$B$5001,עזר!L1938))</f>
        <v/>
      </c>
      <c r="C1938" s="13" t="str">
        <f aca="false">עזר!M1938</f>
        <v/>
      </c>
    </row>
    <row r="1939" customFormat="false" ht="15" hidden="false" customHeight="false" outlineLevel="0" collapsed="false">
      <c r="A1939" s="13" t="str">
        <f aca="false">IF(עזר!L1939="","",INDEX(עזר!$A$2:$A$5001,עזר!L1939))</f>
        <v/>
      </c>
      <c r="B1939" s="13" t="str">
        <f aca="false">IF(עזר!L1939="","",INDEX(עזר!$B$2:$B$5001,עזר!L1939))</f>
        <v/>
      </c>
      <c r="C1939" s="13" t="str">
        <f aca="false">עזר!M1939</f>
        <v/>
      </c>
    </row>
    <row r="1940" customFormat="false" ht="15" hidden="false" customHeight="false" outlineLevel="0" collapsed="false">
      <c r="A1940" s="13" t="str">
        <f aca="false">IF(עזר!L1940="","",INDEX(עזר!$A$2:$A$5001,עזר!L1940))</f>
        <v/>
      </c>
      <c r="B1940" s="13" t="str">
        <f aca="false">IF(עזר!L1940="","",INDEX(עזר!$B$2:$B$5001,עזר!L1940))</f>
        <v/>
      </c>
      <c r="C1940" s="13" t="str">
        <f aca="false">עזר!M1940</f>
        <v/>
      </c>
    </row>
    <row r="1941" customFormat="false" ht="15" hidden="false" customHeight="false" outlineLevel="0" collapsed="false">
      <c r="A1941" s="13" t="str">
        <f aca="false">IF(עזר!L1941="","",INDEX(עזר!$A$2:$A$5001,עזר!L1941))</f>
        <v/>
      </c>
      <c r="B1941" s="13" t="str">
        <f aca="false">IF(עזר!L1941="","",INDEX(עזר!$B$2:$B$5001,עזר!L1941))</f>
        <v/>
      </c>
      <c r="C1941" s="13" t="str">
        <f aca="false">עזר!M1941</f>
        <v/>
      </c>
    </row>
    <row r="1942" customFormat="false" ht="15" hidden="false" customHeight="false" outlineLevel="0" collapsed="false">
      <c r="A1942" s="13" t="str">
        <f aca="false">IF(עזר!L1942="","",INDEX(עזר!$A$2:$A$5001,עזר!L1942))</f>
        <v/>
      </c>
      <c r="B1942" s="13" t="str">
        <f aca="false">IF(עזר!L1942="","",INDEX(עזר!$B$2:$B$5001,עזר!L1942))</f>
        <v/>
      </c>
      <c r="C1942" s="13" t="str">
        <f aca="false">עזר!M1942</f>
        <v/>
      </c>
    </row>
    <row r="1943" customFormat="false" ht="15" hidden="false" customHeight="false" outlineLevel="0" collapsed="false">
      <c r="A1943" s="13" t="str">
        <f aca="false">IF(עזר!L1943="","",INDEX(עזר!$A$2:$A$5001,עזר!L1943))</f>
        <v/>
      </c>
      <c r="B1943" s="13" t="str">
        <f aca="false">IF(עזר!L1943="","",INDEX(עזר!$B$2:$B$5001,עזר!L1943))</f>
        <v/>
      </c>
      <c r="C1943" s="13" t="str">
        <f aca="false">עזר!M1943</f>
        <v/>
      </c>
    </row>
    <row r="1944" customFormat="false" ht="15" hidden="false" customHeight="false" outlineLevel="0" collapsed="false">
      <c r="A1944" s="13" t="str">
        <f aca="false">IF(עזר!L1944="","",INDEX(עזר!$A$2:$A$5001,עזר!L1944))</f>
        <v/>
      </c>
      <c r="B1944" s="13" t="str">
        <f aca="false">IF(עזר!L1944="","",INDEX(עזר!$B$2:$B$5001,עזר!L1944))</f>
        <v/>
      </c>
      <c r="C1944" s="13" t="str">
        <f aca="false">עזר!M1944</f>
        <v/>
      </c>
    </row>
    <row r="1945" customFormat="false" ht="15" hidden="false" customHeight="false" outlineLevel="0" collapsed="false">
      <c r="A1945" s="13" t="str">
        <f aca="false">IF(עזר!L1945="","",INDEX(עזר!$A$2:$A$5001,עזר!L1945))</f>
        <v/>
      </c>
      <c r="B1945" s="13" t="str">
        <f aca="false">IF(עזר!L1945="","",INDEX(עזר!$B$2:$B$5001,עזר!L1945))</f>
        <v/>
      </c>
      <c r="C1945" s="13" t="str">
        <f aca="false">עזר!M1945</f>
        <v/>
      </c>
    </row>
    <row r="1946" customFormat="false" ht="15" hidden="false" customHeight="false" outlineLevel="0" collapsed="false">
      <c r="A1946" s="13" t="str">
        <f aca="false">IF(עזר!L1946="","",INDEX(עזר!$A$2:$A$5001,עזר!L1946))</f>
        <v/>
      </c>
      <c r="B1946" s="13" t="str">
        <f aca="false">IF(עזר!L1946="","",INDEX(עזר!$B$2:$B$5001,עזר!L1946))</f>
        <v/>
      </c>
      <c r="C1946" s="13" t="str">
        <f aca="false">עזר!M1946</f>
        <v/>
      </c>
    </row>
    <row r="1947" customFormat="false" ht="15" hidden="false" customHeight="false" outlineLevel="0" collapsed="false">
      <c r="A1947" s="13" t="str">
        <f aca="false">IF(עזר!L1947="","",INDEX(עזר!$A$2:$A$5001,עזר!L1947))</f>
        <v/>
      </c>
      <c r="B1947" s="13" t="str">
        <f aca="false">IF(עזר!L1947="","",INDEX(עזר!$B$2:$B$5001,עזר!L1947))</f>
        <v/>
      </c>
      <c r="C1947" s="13" t="str">
        <f aca="false">עזר!M1947</f>
        <v/>
      </c>
    </row>
    <row r="1948" customFormat="false" ht="15" hidden="false" customHeight="false" outlineLevel="0" collapsed="false">
      <c r="A1948" s="13" t="str">
        <f aca="false">IF(עזר!L1948="","",INDEX(עזר!$A$2:$A$5001,עזר!L1948))</f>
        <v/>
      </c>
      <c r="B1948" s="13" t="str">
        <f aca="false">IF(עזר!L1948="","",INDEX(עזר!$B$2:$B$5001,עזר!L1948))</f>
        <v/>
      </c>
      <c r="C1948" s="13" t="str">
        <f aca="false">עזר!M1948</f>
        <v/>
      </c>
    </row>
    <row r="1949" customFormat="false" ht="15" hidden="false" customHeight="false" outlineLevel="0" collapsed="false">
      <c r="A1949" s="13" t="str">
        <f aca="false">IF(עזר!L1949="","",INDEX(עזר!$A$2:$A$5001,עזר!L1949))</f>
        <v/>
      </c>
      <c r="B1949" s="13" t="str">
        <f aca="false">IF(עזר!L1949="","",INDEX(עזר!$B$2:$B$5001,עזר!L1949))</f>
        <v/>
      </c>
      <c r="C1949" s="13" t="str">
        <f aca="false">עזר!M1949</f>
        <v/>
      </c>
    </row>
    <row r="1950" customFormat="false" ht="15" hidden="false" customHeight="false" outlineLevel="0" collapsed="false">
      <c r="A1950" s="13" t="str">
        <f aca="false">IF(עזר!L1950="","",INDEX(עזר!$A$2:$A$5001,עזר!L1950))</f>
        <v/>
      </c>
      <c r="B1950" s="13" t="str">
        <f aca="false">IF(עזר!L1950="","",INDEX(עזר!$B$2:$B$5001,עזר!L1950))</f>
        <v/>
      </c>
      <c r="C1950" s="13" t="str">
        <f aca="false">עזר!M1950</f>
        <v/>
      </c>
    </row>
    <row r="1951" customFormat="false" ht="15" hidden="false" customHeight="false" outlineLevel="0" collapsed="false">
      <c r="A1951" s="13" t="str">
        <f aca="false">IF(עזר!L1951="","",INDEX(עזר!$A$2:$A$5001,עזר!L1951))</f>
        <v/>
      </c>
      <c r="B1951" s="13" t="str">
        <f aca="false">IF(עזר!L1951="","",INDEX(עזר!$B$2:$B$5001,עזר!L1951))</f>
        <v/>
      </c>
      <c r="C1951" s="13" t="str">
        <f aca="false">עזר!M1951</f>
        <v/>
      </c>
    </row>
    <row r="1952" customFormat="false" ht="15" hidden="false" customHeight="false" outlineLevel="0" collapsed="false">
      <c r="A1952" s="13" t="str">
        <f aca="false">IF(עזר!L1952="","",INDEX(עזר!$A$2:$A$5001,עזר!L1952))</f>
        <v/>
      </c>
      <c r="B1952" s="13" t="str">
        <f aca="false">IF(עזר!L1952="","",INDEX(עזר!$B$2:$B$5001,עזר!L1952))</f>
        <v/>
      </c>
      <c r="C1952" s="13" t="str">
        <f aca="false">עזר!M1952</f>
        <v/>
      </c>
    </row>
    <row r="1953" customFormat="false" ht="15" hidden="false" customHeight="false" outlineLevel="0" collapsed="false">
      <c r="A1953" s="13" t="str">
        <f aca="false">IF(עזר!L1953="","",INDEX(עזר!$A$2:$A$5001,עזר!L1953))</f>
        <v/>
      </c>
      <c r="B1953" s="13" t="str">
        <f aca="false">IF(עזר!L1953="","",INDEX(עזר!$B$2:$B$5001,עזר!L1953))</f>
        <v/>
      </c>
      <c r="C1953" s="13" t="str">
        <f aca="false">עזר!M1953</f>
        <v/>
      </c>
    </row>
    <row r="1954" customFormat="false" ht="15" hidden="false" customHeight="false" outlineLevel="0" collapsed="false">
      <c r="A1954" s="13" t="str">
        <f aca="false">IF(עזר!L1954="","",INDEX(עזר!$A$2:$A$5001,עזר!L1954))</f>
        <v/>
      </c>
      <c r="B1954" s="13" t="str">
        <f aca="false">IF(עזר!L1954="","",INDEX(עזר!$B$2:$B$5001,עזר!L1954))</f>
        <v/>
      </c>
      <c r="C1954" s="13" t="str">
        <f aca="false">עזר!M1954</f>
        <v/>
      </c>
    </row>
    <row r="1955" customFormat="false" ht="15" hidden="false" customHeight="false" outlineLevel="0" collapsed="false">
      <c r="A1955" s="13" t="str">
        <f aca="false">IF(עזר!L1955="","",INDEX(עזר!$A$2:$A$5001,עזר!L1955))</f>
        <v/>
      </c>
      <c r="B1955" s="13" t="str">
        <f aca="false">IF(עזר!L1955="","",INDEX(עזר!$B$2:$B$5001,עזר!L1955))</f>
        <v/>
      </c>
      <c r="C1955" s="13" t="str">
        <f aca="false">עזר!M1955</f>
        <v/>
      </c>
    </row>
    <row r="1956" customFormat="false" ht="15" hidden="false" customHeight="false" outlineLevel="0" collapsed="false">
      <c r="A1956" s="13" t="str">
        <f aca="false">IF(עזר!L1956="","",INDEX(עזר!$A$2:$A$5001,עזר!L1956))</f>
        <v/>
      </c>
      <c r="B1956" s="13" t="str">
        <f aca="false">IF(עזר!L1956="","",INDEX(עזר!$B$2:$B$5001,עזר!L1956))</f>
        <v/>
      </c>
      <c r="C1956" s="13" t="str">
        <f aca="false">עזר!M1956</f>
        <v/>
      </c>
    </row>
    <row r="1957" customFormat="false" ht="15" hidden="false" customHeight="false" outlineLevel="0" collapsed="false">
      <c r="A1957" s="13" t="str">
        <f aca="false">IF(עזר!L1957="","",INDEX(עזר!$A$2:$A$5001,עזר!L1957))</f>
        <v/>
      </c>
      <c r="B1957" s="13" t="str">
        <f aca="false">IF(עזר!L1957="","",INDEX(עזר!$B$2:$B$5001,עזר!L1957))</f>
        <v/>
      </c>
      <c r="C1957" s="13" t="str">
        <f aca="false">עזר!M1957</f>
        <v/>
      </c>
    </row>
    <row r="1958" customFormat="false" ht="15" hidden="false" customHeight="false" outlineLevel="0" collapsed="false">
      <c r="A1958" s="13" t="str">
        <f aca="false">IF(עזר!L1958="","",INDEX(עזר!$A$2:$A$5001,עזר!L1958))</f>
        <v/>
      </c>
      <c r="B1958" s="13" t="str">
        <f aca="false">IF(עזר!L1958="","",INDEX(עזר!$B$2:$B$5001,עזר!L1958))</f>
        <v/>
      </c>
      <c r="C1958" s="13" t="str">
        <f aca="false">עזר!M1958</f>
        <v/>
      </c>
    </row>
    <row r="1959" customFormat="false" ht="15" hidden="false" customHeight="false" outlineLevel="0" collapsed="false">
      <c r="A1959" s="13" t="str">
        <f aca="false">IF(עזר!L1959="","",INDEX(עזר!$A$2:$A$5001,עזר!L1959))</f>
        <v/>
      </c>
      <c r="B1959" s="13" t="str">
        <f aca="false">IF(עזר!L1959="","",INDEX(עזר!$B$2:$B$5001,עזר!L1959))</f>
        <v/>
      </c>
      <c r="C1959" s="13" t="str">
        <f aca="false">עזר!M1959</f>
        <v/>
      </c>
    </row>
    <row r="1960" customFormat="false" ht="15" hidden="false" customHeight="false" outlineLevel="0" collapsed="false">
      <c r="A1960" s="13" t="str">
        <f aca="false">IF(עזר!L1960="","",INDEX(עזר!$A$2:$A$5001,עזר!L1960))</f>
        <v/>
      </c>
      <c r="B1960" s="13" t="str">
        <f aca="false">IF(עזר!L1960="","",INDEX(עזר!$B$2:$B$5001,עזר!L1960))</f>
        <v/>
      </c>
      <c r="C1960" s="13" t="str">
        <f aca="false">עזר!M1960</f>
        <v/>
      </c>
    </row>
    <row r="1961" customFormat="false" ht="15" hidden="false" customHeight="false" outlineLevel="0" collapsed="false">
      <c r="A1961" s="13" t="str">
        <f aca="false">IF(עזר!L1961="","",INDEX(עזר!$A$2:$A$5001,עזר!L1961))</f>
        <v/>
      </c>
      <c r="B1961" s="13" t="str">
        <f aca="false">IF(עזר!L1961="","",INDEX(עזר!$B$2:$B$5001,עזר!L1961))</f>
        <v/>
      </c>
      <c r="C1961" s="13" t="str">
        <f aca="false">עזר!M1961</f>
        <v/>
      </c>
    </row>
    <row r="1962" customFormat="false" ht="15" hidden="false" customHeight="false" outlineLevel="0" collapsed="false">
      <c r="A1962" s="13" t="str">
        <f aca="false">IF(עזר!L1962="","",INDEX(עזר!$A$2:$A$5001,עזר!L1962))</f>
        <v/>
      </c>
      <c r="B1962" s="13" t="str">
        <f aca="false">IF(עזר!L1962="","",INDEX(עזר!$B$2:$B$5001,עזר!L1962))</f>
        <v/>
      </c>
      <c r="C1962" s="13" t="str">
        <f aca="false">עזר!M1962</f>
        <v/>
      </c>
    </row>
    <row r="1963" customFormat="false" ht="15" hidden="false" customHeight="false" outlineLevel="0" collapsed="false">
      <c r="A1963" s="13" t="str">
        <f aca="false">IF(עזר!L1963="","",INDEX(עזר!$A$2:$A$5001,עזר!L1963))</f>
        <v/>
      </c>
      <c r="B1963" s="13" t="str">
        <f aca="false">IF(עזר!L1963="","",INDEX(עזר!$B$2:$B$5001,עזר!L1963))</f>
        <v/>
      </c>
      <c r="C1963" s="13" t="str">
        <f aca="false">עזר!M1963</f>
        <v/>
      </c>
    </row>
    <row r="1964" customFormat="false" ht="15" hidden="false" customHeight="false" outlineLevel="0" collapsed="false">
      <c r="A1964" s="13" t="str">
        <f aca="false">IF(עזר!L1964="","",INDEX(עזר!$A$2:$A$5001,עזר!L1964))</f>
        <v/>
      </c>
      <c r="B1964" s="13" t="str">
        <f aca="false">IF(עזר!L1964="","",INDEX(עזר!$B$2:$B$5001,עזר!L1964))</f>
        <v/>
      </c>
      <c r="C1964" s="13" t="str">
        <f aca="false">עזר!M1964</f>
        <v/>
      </c>
    </row>
    <row r="1965" customFormat="false" ht="15" hidden="false" customHeight="false" outlineLevel="0" collapsed="false">
      <c r="A1965" s="13" t="str">
        <f aca="false">IF(עזר!L1965="","",INDEX(עזר!$A$2:$A$5001,עזר!L1965))</f>
        <v/>
      </c>
      <c r="B1965" s="13" t="str">
        <f aca="false">IF(עזר!L1965="","",INDEX(עזר!$B$2:$B$5001,עזר!L1965))</f>
        <v/>
      </c>
      <c r="C1965" s="13" t="str">
        <f aca="false">עזר!M1965</f>
        <v/>
      </c>
    </row>
    <row r="1966" customFormat="false" ht="15" hidden="false" customHeight="false" outlineLevel="0" collapsed="false">
      <c r="A1966" s="13" t="str">
        <f aca="false">IF(עזר!L1966="","",INDEX(עזר!$A$2:$A$5001,עזר!L1966))</f>
        <v/>
      </c>
      <c r="B1966" s="13" t="str">
        <f aca="false">IF(עזר!L1966="","",INDEX(עזר!$B$2:$B$5001,עזר!L1966))</f>
        <v/>
      </c>
      <c r="C1966" s="13" t="str">
        <f aca="false">עזר!M1966</f>
        <v/>
      </c>
    </row>
    <row r="1967" customFormat="false" ht="15" hidden="false" customHeight="false" outlineLevel="0" collapsed="false">
      <c r="A1967" s="13" t="str">
        <f aca="false">IF(עזר!L1967="","",INDEX(עזר!$A$2:$A$5001,עזר!L1967))</f>
        <v/>
      </c>
      <c r="B1967" s="13" t="str">
        <f aca="false">IF(עזר!L1967="","",INDEX(עזר!$B$2:$B$5001,עזר!L1967))</f>
        <v/>
      </c>
      <c r="C1967" s="13" t="str">
        <f aca="false">עזר!M1967</f>
        <v/>
      </c>
    </row>
    <row r="1968" customFormat="false" ht="15" hidden="false" customHeight="false" outlineLevel="0" collapsed="false">
      <c r="A1968" s="13" t="str">
        <f aca="false">IF(עזר!L1968="","",INDEX(עזר!$A$2:$A$5001,עזר!L1968))</f>
        <v/>
      </c>
      <c r="B1968" s="13" t="str">
        <f aca="false">IF(עזר!L1968="","",INDEX(עזר!$B$2:$B$5001,עזר!L1968))</f>
        <v/>
      </c>
      <c r="C1968" s="13" t="str">
        <f aca="false">עזר!M1968</f>
        <v/>
      </c>
    </row>
    <row r="1969" customFormat="false" ht="15" hidden="false" customHeight="false" outlineLevel="0" collapsed="false">
      <c r="A1969" s="13" t="str">
        <f aca="false">IF(עזר!L1969="","",INDEX(עזר!$A$2:$A$5001,עזר!L1969))</f>
        <v/>
      </c>
      <c r="B1969" s="13" t="str">
        <f aca="false">IF(עזר!L1969="","",INDEX(עזר!$B$2:$B$5001,עזר!L1969))</f>
        <v/>
      </c>
      <c r="C1969" s="13" t="str">
        <f aca="false">עזר!M1969</f>
        <v/>
      </c>
    </row>
    <row r="1970" customFormat="false" ht="15" hidden="false" customHeight="false" outlineLevel="0" collapsed="false">
      <c r="A1970" s="13" t="str">
        <f aca="false">IF(עזר!L1970="","",INDEX(עזר!$A$2:$A$5001,עזר!L1970))</f>
        <v/>
      </c>
      <c r="B1970" s="13" t="str">
        <f aca="false">IF(עזר!L1970="","",INDEX(עזר!$B$2:$B$5001,עזר!L1970))</f>
        <v/>
      </c>
      <c r="C1970" s="13" t="str">
        <f aca="false">עזר!M1970</f>
        <v/>
      </c>
    </row>
    <row r="1971" customFormat="false" ht="15" hidden="false" customHeight="false" outlineLevel="0" collapsed="false">
      <c r="A1971" s="13" t="str">
        <f aca="false">IF(עזר!L1971="","",INDEX(עזר!$A$2:$A$5001,עזר!L1971))</f>
        <v/>
      </c>
      <c r="B1971" s="13" t="str">
        <f aca="false">IF(עזר!L1971="","",INDEX(עזר!$B$2:$B$5001,עזר!L1971))</f>
        <v/>
      </c>
      <c r="C1971" s="13" t="str">
        <f aca="false">עזר!M1971</f>
        <v/>
      </c>
    </row>
    <row r="1972" customFormat="false" ht="15" hidden="false" customHeight="false" outlineLevel="0" collapsed="false">
      <c r="A1972" s="13" t="str">
        <f aca="false">IF(עזר!L1972="","",INDEX(עזר!$A$2:$A$5001,עזר!L1972))</f>
        <v/>
      </c>
      <c r="B1972" s="13" t="str">
        <f aca="false">IF(עזר!L1972="","",INDEX(עזר!$B$2:$B$5001,עזר!L1972))</f>
        <v/>
      </c>
      <c r="C1972" s="13" t="str">
        <f aca="false">עזר!M1972</f>
        <v/>
      </c>
    </row>
    <row r="1973" customFormat="false" ht="15" hidden="false" customHeight="false" outlineLevel="0" collapsed="false">
      <c r="A1973" s="13" t="str">
        <f aca="false">IF(עזר!L1973="","",INDEX(עזר!$A$2:$A$5001,עזר!L1973))</f>
        <v/>
      </c>
      <c r="B1973" s="13" t="str">
        <f aca="false">IF(עזר!L1973="","",INDEX(עזר!$B$2:$B$5001,עזר!L1973))</f>
        <v/>
      </c>
      <c r="C1973" s="13" t="str">
        <f aca="false">עזר!M1973</f>
        <v/>
      </c>
    </row>
    <row r="1974" customFormat="false" ht="15" hidden="false" customHeight="false" outlineLevel="0" collapsed="false">
      <c r="A1974" s="13" t="str">
        <f aca="false">IF(עזר!L1974="","",INDEX(עזר!$A$2:$A$5001,עזר!L1974))</f>
        <v/>
      </c>
      <c r="B1974" s="13" t="str">
        <f aca="false">IF(עזר!L1974="","",INDEX(עזר!$B$2:$B$5001,עזר!L1974))</f>
        <v/>
      </c>
      <c r="C1974" s="13" t="str">
        <f aca="false">עזר!M1974</f>
        <v/>
      </c>
    </row>
    <row r="1975" customFormat="false" ht="15" hidden="false" customHeight="false" outlineLevel="0" collapsed="false">
      <c r="A1975" s="13" t="str">
        <f aca="false">IF(עזר!L1975="","",INDEX(עזר!$A$2:$A$5001,עזר!L1975))</f>
        <v/>
      </c>
      <c r="B1975" s="13" t="str">
        <f aca="false">IF(עזר!L1975="","",INDEX(עזר!$B$2:$B$5001,עזר!L1975))</f>
        <v/>
      </c>
      <c r="C1975" s="13" t="str">
        <f aca="false">עזר!M1975</f>
        <v/>
      </c>
    </row>
    <row r="1976" customFormat="false" ht="15" hidden="false" customHeight="false" outlineLevel="0" collapsed="false">
      <c r="A1976" s="13" t="str">
        <f aca="false">IF(עזר!L1976="","",INDEX(עזר!$A$2:$A$5001,עזר!L1976))</f>
        <v/>
      </c>
      <c r="B1976" s="13" t="str">
        <f aca="false">IF(עזר!L1976="","",INDEX(עזר!$B$2:$B$5001,עזר!L1976))</f>
        <v/>
      </c>
      <c r="C1976" s="13" t="str">
        <f aca="false">עזר!M1976</f>
        <v/>
      </c>
    </row>
    <row r="1977" customFormat="false" ht="15" hidden="false" customHeight="false" outlineLevel="0" collapsed="false">
      <c r="A1977" s="13" t="str">
        <f aca="false">IF(עזר!L1977="","",INDEX(עזר!$A$2:$A$5001,עזר!L1977))</f>
        <v/>
      </c>
      <c r="B1977" s="13" t="str">
        <f aca="false">IF(עזר!L1977="","",INDEX(עזר!$B$2:$B$5001,עזר!L1977))</f>
        <v/>
      </c>
      <c r="C1977" s="13" t="str">
        <f aca="false">עזר!M1977</f>
        <v/>
      </c>
    </row>
    <row r="1978" customFormat="false" ht="15" hidden="false" customHeight="false" outlineLevel="0" collapsed="false">
      <c r="A1978" s="13" t="str">
        <f aca="false">IF(עזר!L1978="","",INDEX(עזר!$A$2:$A$5001,עזר!L1978))</f>
        <v/>
      </c>
      <c r="B1978" s="13" t="str">
        <f aca="false">IF(עזר!L1978="","",INDEX(עזר!$B$2:$B$5001,עזר!L1978))</f>
        <v/>
      </c>
      <c r="C1978" s="13" t="str">
        <f aca="false">עזר!M1978</f>
        <v/>
      </c>
    </row>
    <row r="1979" customFormat="false" ht="15" hidden="false" customHeight="false" outlineLevel="0" collapsed="false">
      <c r="A1979" s="13" t="str">
        <f aca="false">IF(עזר!L1979="","",INDEX(עזר!$A$2:$A$5001,עזר!L1979))</f>
        <v/>
      </c>
      <c r="B1979" s="13" t="str">
        <f aca="false">IF(עזר!L1979="","",INDEX(עזר!$B$2:$B$5001,עזר!L1979))</f>
        <v/>
      </c>
      <c r="C1979" s="13" t="str">
        <f aca="false">עזר!M1979</f>
        <v/>
      </c>
    </row>
    <row r="1980" customFormat="false" ht="15" hidden="false" customHeight="false" outlineLevel="0" collapsed="false">
      <c r="A1980" s="13" t="str">
        <f aca="false">IF(עזר!L1980="","",INDEX(עזר!$A$2:$A$5001,עזר!L1980))</f>
        <v/>
      </c>
      <c r="B1980" s="13" t="str">
        <f aca="false">IF(עזר!L1980="","",INDEX(עזר!$B$2:$B$5001,עזר!L1980))</f>
        <v/>
      </c>
      <c r="C1980" s="13" t="str">
        <f aca="false">עזר!M1980</f>
        <v/>
      </c>
    </row>
    <row r="1981" customFormat="false" ht="15" hidden="false" customHeight="false" outlineLevel="0" collapsed="false">
      <c r="A1981" s="13" t="str">
        <f aca="false">IF(עזר!L1981="","",INDEX(עזר!$A$2:$A$5001,עזר!L1981))</f>
        <v/>
      </c>
      <c r="B1981" s="13" t="str">
        <f aca="false">IF(עזר!L1981="","",INDEX(עזר!$B$2:$B$5001,עזר!L1981))</f>
        <v/>
      </c>
      <c r="C1981" s="13" t="str">
        <f aca="false">עזר!M1981</f>
        <v/>
      </c>
    </row>
    <row r="1982" customFormat="false" ht="15" hidden="false" customHeight="false" outlineLevel="0" collapsed="false">
      <c r="A1982" s="13" t="str">
        <f aca="false">IF(עזר!L1982="","",INDEX(עזר!$A$2:$A$5001,עזר!L1982))</f>
        <v/>
      </c>
      <c r="B1982" s="13" t="str">
        <f aca="false">IF(עזר!L1982="","",INDEX(עזר!$B$2:$B$5001,עזר!L1982))</f>
        <v/>
      </c>
      <c r="C1982" s="13" t="str">
        <f aca="false">עזר!M1982</f>
        <v/>
      </c>
    </row>
    <row r="1983" customFormat="false" ht="15" hidden="false" customHeight="false" outlineLevel="0" collapsed="false">
      <c r="A1983" s="13" t="str">
        <f aca="false">IF(עזר!L1983="","",INDEX(עזר!$A$2:$A$5001,עזר!L1983))</f>
        <v/>
      </c>
      <c r="B1983" s="13" t="str">
        <f aca="false">IF(עזר!L1983="","",INDEX(עזר!$B$2:$B$5001,עזר!L1983))</f>
        <v/>
      </c>
      <c r="C1983" s="13" t="str">
        <f aca="false">עזר!M1983</f>
        <v/>
      </c>
    </row>
    <row r="1984" customFormat="false" ht="15" hidden="false" customHeight="false" outlineLevel="0" collapsed="false">
      <c r="A1984" s="13" t="str">
        <f aca="false">IF(עזר!L1984="","",INDEX(עזר!$A$2:$A$5001,עזר!L1984))</f>
        <v/>
      </c>
      <c r="B1984" s="13" t="str">
        <f aca="false">IF(עזר!L1984="","",INDEX(עזר!$B$2:$B$5001,עזר!L1984))</f>
        <v/>
      </c>
      <c r="C1984" s="13" t="str">
        <f aca="false">עזר!M1984</f>
        <v/>
      </c>
    </row>
    <row r="1985" customFormat="false" ht="15" hidden="false" customHeight="false" outlineLevel="0" collapsed="false">
      <c r="A1985" s="13" t="str">
        <f aca="false">IF(עזר!L1985="","",INDEX(עזר!$A$2:$A$5001,עזר!L1985))</f>
        <v/>
      </c>
      <c r="B1985" s="13" t="str">
        <f aca="false">IF(עזר!L1985="","",INDEX(עזר!$B$2:$B$5001,עזר!L1985))</f>
        <v/>
      </c>
      <c r="C1985" s="13" t="str">
        <f aca="false">עזר!M1985</f>
        <v/>
      </c>
    </row>
    <row r="1986" customFormat="false" ht="15" hidden="false" customHeight="false" outlineLevel="0" collapsed="false">
      <c r="A1986" s="13" t="str">
        <f aca="false">IF(עזר!L1986="","",INDEX(עזר!$A$2:$A$5001,עזר!L1986))</f>
        <v/>
      </c>
      <c r="B1986" s="13" t="str">
        <f aca="false">IF(עזר!L1986="","",INDEX(עזר!$B$2:$B$5001,עזר!L1986))</f>
        <v/>
      </c>
      <c r="C1986" s="13" t="str">
        <f aca="false">עזר!M1986</f>
        <v/>
      </c>
    </row>
    <row r="1987" customFormat="false" ht="15" hidden="false" customHeight="false" outlineLevel="0" collapsed="false">
      <c r="A1987" s="13" t="str">
        <f aca="false">IF(עזר!L1987="","",INDEX(עזר!$A$2:$A$5001,עזר!L1987))</f>
        <v/>
      </c>
      <c r="B1987" s="13" t="str">
        <f aca="false">IF(עזר!L1987="","",INDEX(עזר!$B$2:$B$5001,עזר!L1987))</f>
        <v/>
      </c>
      <c r="C1987" s="13" t="str">
        <f aca="false">עזר!M1987</f>
        <v/>
      </c>
    </row>
    <row r="1988" customFormat="false" ht="15" hidden="false" customHeight="false" outlineLevel="0" collapsed="false">
      <c r="A1988" s="13" t="str">
        <f aca="false">IF(עזר!L1988="","",INDEX(עזר!$A$2:$A$5001,עזר!L1988))</f>
        <v/>
      </c>
      <c r="B1988" s="13" t="str">
        <f aca="false">IF(עזר!L1988="","",INDEX(עזר!$B$2:$B$5001,עזר!L1988))</f>
        <v/>
      </c>
      <c r="C1988" s="13" t="str">
        <f aca="false">עזר!M1988</f>
        <v/>
      </c>
    </row>
    <row r="1989" customFormat="false" ht="15" hidden="false" customHeight="false" outlineLevel="0" collapsed="false">
      <c r="A1989" s="13" t="str">
        <f aca="false">IF(עזר!L1989="","",INDEX(עזר!$A$2:$A$5001,עזר!L1989))</f>
        <v/>
      </c>
      <c r="B1989" s="13" t="str">
        <f aca="false">IF(עזר!L1989="","",INDEX(עזר!$B$2:$B$5001,עזר!L1989))</f>
        <v/>
      </c>
      <c r="C1989" s="13" t="str">
        <f aca="false">עזר!M1989</f>
        <v/>
      </c>
    </row>
    <row r="1990" customFormat="false" ht="15" hidden="false" customHeight="false" outlineLevel="0" collapsed="false">
      <c r="A1990" s="13" t="str">
        <f aca="false">IF(עזר!L1990="","",INDEX(עזר!$A$2:$A$5001,עזר!L1990))</f>
        <v/>
      </c>
      <c r="B1990" s="13" t="str">
        <f aca="false">IF(עזר!L1990="","",INDEX(עזר!$B$2:$B$5001,עזר!L1990))</f>
        <v/>
      </c>
      <c r="C1990" s="13" t="str">
        <f aca="false">עזר!M1990</f>
        <v/>
      </c>
    </row>
    <row r="1991" customFormat="false" ht="15" hidden="false" customHeight="false" outlineLevel="0" collapsed="false">
      <c r="A1991" s="13" t="str">
        <f aca="false">IF(עזר!L1991="","",INDEX(עזר!$A$2:$A$5001,עזר!L1991))</f>
        <v/>
      </c>
      <c r="B1991" s="13" t="str">
        <f aca="false">IF(עזר!L1991="","",INDEX(עזר!$B$2:$B$5001,עזר!L1991))</f>
        <v/>
      </c>
      <c r="C1991" s="13" t="str">
        <f aca="false">עזר!M1991</f>
        <v/>
      </c>
    </row>
    <row r="1992" customFormat="false" ht="15" hidden="false" customHeight="false" outlineLevel="0" collapsed="false">
      <c r="A1992" s="13" t="str">
        <f aca="false">IF(עזר!L1992="","",INDEX(עזר!$A$2:$A$5001,עזר!L1992))</f>
        <v/>
      </c>
      <c r="B1992" s="13" t="str">
        <f aca="false">IF(עזר!L1992="","",INDEX(עזר!$B$2:$B$5001,עזר!L1992))</f>
        <v/>
      </c>
      <c r="C1992" s="13" t="str">
        <f aca="false">עזר!M1992</f>
        <v/>
      </c>
    </row>
    <row r="1993" customFormat="false" ht="15" hidden="false" customHeight="false" outlineLevel="0" collapsed="false">
      <c r="A1993" s="13" t="str">
        <f aca="false">IF(עזר!L1993="","",INDEX(עזר!$A$2:$A$5001,עזר!L1993))</f>
        <v/>
      </c>
      <c r="B1993" s="13" t="str">
        <f aca="false">IF(עזר!L1993="","",INDEX(עזר!$B$2:$B$5001,עזר!L1993))</f>
        <v/>
      </c>
      <c r="C1993" s="13" t="str">
        <f aca="false">עזר!M1993</f>
        <v/>
      </c>
    </row>
    <row r="1994" customFormat="false" ht="15" hidden="false" customHeight="false" outlineLevel="0" collapsed="false">
      <c r="A1994" s="13" t="str">
        <f aca="false">IF(עזר!L1994="","",INDEX(עזר!$A$2:$A$5001,עזר!L1994))</f>
        <v/>
      </c>
      <c r="B1994" s="13" t="str">
        <f aca="false">IF(עזר!L1994="","",INDEX(עזר!$B$2:$B$5001,עזר!L1994))</f>
        <v/>
      </c>
      <c r="C1994" s="13" t="str">
        <f aca="false">עזר!M1994</f>
        <v/>
      </c>
    </row>
    <row r="1995" customFormat="false" ht="15" hidden="false" customHeight="false" outlineLevel="0" collapsed="false">
      <c r="A1995" s="13" t="str">
        <f aca="false">IF(עזר!L1995="","",INDEX(עזר!$A$2:$A$5001,עזר!L1995))</f>
        <v/>
      </c>
      <c r="B1995" s="13" t="str">
        <f aca="false">IF(עזר!L1995="","",INDEX(עזר!$B$2:$B$5001,עזר!L1995))</f>
        <v/>
      </c>
      <c r="C1995" s="13" t="str">
        <f aca="false">עזר!M1995</f>
        <v/>
      </c>
    </row>
    <row r="1996" customFormat="false" ht="15" hidden="false" customHeight="false" outlineLevel="0" collapsed="false">
      <c r="A1996" s="13" t="str">
        <f aca="false">IF(עזר!L1996="","",INDEX(עזר!$A$2:$A$5001,עזר!L1996))</f>
        <v/>
      </c>
      <c r="B1996" s="13" t="str">
        <f aca="false">IF(עזר!L1996="","",INDEX(עזר!$B$2:$B$5001,עזר!L1996))</f>
        <v/>
      </c>
      <c r="C1996" s="13" t="str">
        <f aca="false">עזר!M1996</f>
        <v/>
      </c>
    </row>
    <row r="1997" customFormat="false" ht="15" hidden="false" customHeight="false" outlineLevel="0" collapsed="false">
      <c r="A1997" s="13" t="str">
        <f aca="false">IF(עזר!L1997="","",INDEX(עזר!$A$2:$A$5001,עזר!L1997))</f>
        <v/>
      </c>
      <c r="B1997" s="13" t="str">
        <f aca="false">IF(עזר!L1997="","",INDEX(עזר!$B$2:$B$5001,עזר!L1997))</f>
        <v/>
      </c>
      <c r="C1997" s="13" t="str">
        <f aca="false">עזר!M1997</f>
        <v/>
      </c>
    </row>
    <row r="1998" customFormat="false" ht="15" hidden="false" customHeight="false" outlineLevel="0" collapsed="false">
      <c r="A1998" s="13" t="str">
        <f aca="false">IF(עזר!L1998="","",INDEX(עזר!$A$2:$A$5001,עזר!L1998))</f>
        <v/>
      </c>
      <c r="B1998" s="13" t="str">
        <f aca="false">IF(עזר!L1998="","",INDEX(עזר!$B$2:$B$5001,עזר!L1998))</f>
        <v/>
      </c>
      <c r="C1998" s="13" t="str">
        <f aca="false">עזר!M1998</f>
        <v/>
      </c>
    </row>
    <row r="1999" customFormat="false" ht="15" hidden="false" customHeight="false" outlineLevel="0" collapsed="false">
      <c r="A1999" s="13" t="str">
        <f aca="false">IF(עזר!L1999="","",INDEX(עזר!$A$2:$A$5001,עזר!L1999))</f>
        <v/>
      </c>
      <c r="B1999" s="13" t="str">
        <f aca="false">IF(עזר!L1999="","",INDEX(עזר!$B$2:$B$5001,עזר!L1999))</f>
        <v/>
      </c>
      <c r="C1999" s="13" t="str">
        <f aca="false">עזר!M1999</f>
        <v/>
      </c>
    </row>
    <row r="2000" customFormat="false" ht="15" hidden="false" customHeight="false" outlineLevel="0" collapsed="false">
      <c r="A2000" s="13" t="str">
        <f aca="false">IF(עזר!L2000="","",INDEX(עזר!$A$2:$A$5001,עזר!L2000))</f>
        <v/>
      </c>
      <c r="B2000" s="13" t="str">
        <f aca="false">IF(עזר!L2000="","",INDEX(עזר!$B$2:$B$5001,עזר!L2000))</f>
        <v/>
      </c>
      <c r="C2000" s="13" t="str">
        <f aca="false">עזר!M2000</f>
        <v/>
      </c>
    </row>
    <row r="2001" customFormat="false" ht="15" hidden="false" customHeight="false" outlineLevel="0" collapsed="false">
      <c r="A2001" s="13" t="str">
        <f aca="false">IF(עזר!L2001="","",INDEX(עזר!$A$2:$A$5001,עזר!L2001))</f>
        <v/>
      </c>
      <c r="B2001" s="13" t="str">
        <f aca="false">IF(עזר!L2001="","",INDEX(עזר!$B$2:$B$5001,עזר!L2001))</f>
        <v/>
      </c>
      <c r="C2001" s="13" t="str">
        <f aca="false">עזר!M2001</f>
        <v/>
      </c>
    </row>
    <row r="2002" customFormat="false" ht="15" hidden="false" customHeight="false" outlineLevel="0" collapsed="false">
      <c r="A2002" s="13" t="str">
        <f aca="false">IF(עזר!L2002="","",INDEX(עזר!$A$2:$A$5001,עזר!L2002))</f>
        <v/>
      </c>
      <c r="B2002" s="13" t="str">
        <f aca="false">IF(עזר!L2002="","",INDEX(עזר!$B$2:$B$5001,עזר!L2002))</f>
        <v/>
      </c>
      <c r="C2002" s="13" t="str">
        <f aca="false">עזר!M2002</f>
        <v/>
      </c>
    </row>
    <row r="2003" customFormat="false" ht="15" hidden="false" customHeight="false" outlineLevel="0" collapsed="false">
      <c r="A2003" s="13" t="str">
        <f aca="false">IF(עזר!L2003="","",INDEX(עזר!$A$2:$A$5001,עזר!L2003))</f>
        <v/>
      </c>
      <c r="B2003" s="13" t="str">
        <f aca="false">IF(עזר!L2003="","",INDEX(עזר!$B$2:$B$5001,עזר!L2003))</f>
        <v/>
      </c>
      <c r="C2003" s="13" t="str">
        <f aca="false">עזר!M2003</f>
        <v/>
      </c>
    </row>
    <row r="2004" customFormat="false" ht="15" hidden="false" customHeight="false" outlineLevel="0" collapsed="false">
      <c r="A2004" s="13" t="str">
        <f aca="false">IF(עזר!L2004="","",INDEX(עזר!$A$2:$A$5001,עזר!L2004))</f>
        <v/>
      </c>
      <c r="B2004" s="13" t="str">
        <f aca="false">IF(עזר!L2004="","",INDEX(עזר!$B$2:$B$5001,עזר!L2004))</f>
        <v/>
      </c>
      <c r="C2004" s="13" t="str">
        <f aca="false">עזר!M2004</f>
        <v/>
      </c>
    </row>
    <row r="2005" customFormat="false" ht="15" hidden="false" customHeight="false" outlineLevel="0" collapsed="false">
      <c r="A2005" s="13" t="str">
        <f aca="false">IF(עזר!L2005="","",INDEX(עזר!$A$2:$A$5001,עזר!L2005))</f>
        <v/>
      </c>
      <c r="B2005" s="13" t="str">
        <f aca="false">IF(עזר!L2005="","",INDEX(עזר!$B$2:$B$5001,עזר!L2005))</f>
        <v/>
      </c>
      <c r="C2005" s="13" t="str">
        <f aca="false">עזר!M2005</f>
        <v/>
      </c>
    </row>
    <row r="2006" customFormat="false" ht="15" hidden="false" customHeight="false" outlineLevel="0" collapsed="false">
      <c r="A2006" s="13" t="str">
        <f aca="false">IF(עזר!L2006="","",INDEX(עזר!$A$2:$A$5001,עזר!L2006))</f>
        <v/>
      </c>
      <c r="B2006" s="13" t="str">
        <f aca="false">IF(עזר!L2006="","",INDEX(עזר!$B$2:$B$5001,עזר!L2006))</f>
        <v/>
      </c>
      <c r="C2006" s="13" t="str">
        <f aca="false">עזר!M2006</f>
        <v/>
      </c>
    </row>
    <row r="2007" customFormat="false" ht="15" hidden="false" customHeight="false" outlineLevel="0" collapsed="false">
      <c r="A2007" s="13" t="str">
        <f aca="false">IF(עזר!L2007="","",INDEX(עזר!$A$2:$A$5001,עזר!L2007))</f>
        <v/>
      </c>
      <c r="B2007" s="13" t="str">
        <f aca="false">IF(עזר!L2007="","",INDEX(עזר!$B$2:$B$5001,עזר!L2007))</f>
        <v/>
      </c>
      <c r="C2007" s="13" t="str">
        <f aca="false">עזר!M2007</f>
        <v/>
      </c>
    </row>
    <row r="2008" customFormat="false" ht="15" hidden="false" customHeight="false" outlineLevel="0" collapsed="false">
      <c r="A2008" s="13" t="str">
        <f aca="false">IF(עזר!L2008="","",INDEX(עזר!$A$2:$A$5001,עזר!L2008))</f>
        <v/>
      </c>
      <c r="B2008" s="13" t="str">
        <f aca="false">IF(עזר!L2008="","",INDEX(עזר!$B$2:$B$5001,עזר!L2008))</f>
        <v/>
      </c>
      <c r="C2008" s="13" t="str">
        <f aca="false">עזר!M2008</f>
        <v/>
      </c>
    </row>
    <row r="2009" customFormat="false" ht="15" hidden="false" customHeight="false" outlineLevel="0" collapsed="false">
      <c r="A2009" s="13" t="str">
        <f aca="false">IF(עזר!L2009="","",INDEX(עזר!$A$2:$A$5001,עזר!L2009))</f>
        <v/>
      </c>
      <c r="B2009" s="13" t="str">
        <f aca="false">IF(עזר!L2009="","",INDEX(עזר!$B$2:$B$5001,עזר!L2009))</f>
        <v/>
      </c>
      <c r="C2009" s="13" t="str">
        <f aca="false">עזר!M2009</f>
        <v/>
      </c>
    </row>
    <row r="2010" customFormat="false" ht="15" hidden="false" customHeight="false" outlineLevel="0" collapsed="false">
      <c r="A2010" s="13" t="str">
        <f aca="false">IF(עזר!L2010="","",INDEX(עזר!$A$2:$A$5001,עזר!L2010))</f>
        <v/>
      </c>
      <c r="B2010" s="13" t="str">
        <f aca="false">IF(עזר!L2010="","",INDEX(עזר!$B$2:$B$5001,עזר!L2010))</f>
        <v/>
      </c>
      <c r="C2010" s="13" t="str">
        <f aca="false">עזר!M2010</f>
        <v/>
      </c>
    </row>
    <row r="2011" customFormat="false" ht="15" hidden="false" customHeight="false" outlineLevel="0" collapsed="false">
      <c r="A2011" s="13" t="str">
        <f aca="false">IF(עזר!L2011="","",INDEX(עזר!$A$2:$A$5001,עזר!L2011))</f>
        <v/>
      </c>
      <c r="B2011" s="13" t="str">
        <f aca="false">IF(עזר!L2011="","",INDEX(עזר!$B$2:$B$5001,עזר!L2011))</f>
        <v/>
      </c>
      <c r="C2011" s="13" t="str">
        <f aca="false">עזר!M2011</f>
        <v/>
      </c>
    </row>
    <row r="2012" customFormat="false" ht="15" hidden="false" customHeight="false" outlineLevel="0" collapsed="false">
      <c r="A2012" s="13" t="str">
        <f aca="false">IF(עזר!L2012="","",INDEX(עזר!$A$2:$A$5001,עזר!L2012))</f>
        <v/>
      </c>
      <c r="B2012" s="13" t="str">
        <f aca="false">IF(עזר!L2012="","",INDEX(עזר!$B$2:$B$5001,עזר!L2012))</f>
        <v/>
      </c>
      <c r="C2012" s="13" t="str">
        <f aca="false">עזר!M2012</f>
        <v/>
      </c>
    </row>
    <row r="2013" customFormat="false" ht="15" hidden="false" customHeight="false" outlineLevel="0" collapsed="false">
      <c r="A2013" s="13" t="str">
        <f aca="false">IF(עזר!L2013="","",INDEX(עזר!$A$2:$A$5001,עזר!L2013))</f>
        <v/>
      </c>
      <c r="B2013" s="13" t="str">
        <f aca="false">IF(עזר!L2013="","",INDEX(עזר!$B$2:$B$5001,עזר!L2013))</f>
        <v/>
      </c>
      <c r="C2013" s="13" t="str">
        <f aca="false">עזר!M2013</f>
        <v/>
      </c>
    </row>
    <row r="2014" customFormat="false" ht="15" hidden="false" customHeight="false" outlineLevel="0" collapsed="false">
      <c r="A2014" s="13" t="str">
        <f aca="false">IF(עזר!L2014="","",INDEX(עזר!$A$2:$A$5001,עזר!L2014))</f>
        <v/>
      </c>
      <c r="B2014" s="13" t="str">
        <f aca="false">IF(עזר!L2014="","",INDEX(עזר!$B$2:$B$5001,עזר!L2014))</f>
        <v/>
      </c>
      <c r="C2014" s="13" t="str">
        <f aca="false">עזר!M2014</f>
        <v/>
      </c>
    </row>
    <row r="2015" customFormat="false" ht="15" hidden="false" customHeight="false" outlineLevel="0" collapsed="false">
      <c r="A2015" s="13" t="str">
        <f aca="false">IF(עזר!L2015="","",INDEX(עזר!$A$2:$A$5001,עזר!L2015))</f>
        <v/>
      </c>
      <c r="B2015" s="13" t="str">
        <f aca="false">IF(עזר!L2015="","",INDEX(עזר!$B$2:$B$5001,עזר!L2015))</f>
        <v/>
      </c>
      <c r="C2015" s="13" t="str">
        <f aca="false">עזר!M2015</f>
        <v/>
      </c>
    </row>
    <row r="2016" customFormat="false" ht="15" hidden="false" customHeight="false" outlineLevel="0" collapsed="false">
      <c r="A2016" s="13" t="str">
        <f aca="false">IF(עזר!L2016="","",INDEX(עזר!$A$2:$A$5001,עזר!L2016))</f>
        <v/>
      </c>
      <c r="B2016" s="13" t="str">
        <f aca="false">IF(עזר!L2016="","",INDEX(עזר!$B$2:$B$5001,עזר!L2016))</f>
        <v/>
      </c>
      <c r="C2016" s="13" t="str">
        <f aca="false">עזר!M2016</f>
        <v/>
      </c>
    </row>
    <row r="2017" customFormat="false" ht="15" hidden="false" customHeight="false" outlineLevel="0" collapsed="false">
      <c r="A2017" s="13" t="str">
        <f aca="false">IF(עזר!L2017="","",INDEX(עזר!$A$2:$A$5001,עזר!L2017))</f>
        <v/>
      </c>
      <c r="B2017" s="13" t="str">
        <f aca="false">IF(עזר!L2017="","",INDEX(עזר!$B$2:$B$5001,עזר!L2017))</f>
        <v/>
      </c>
      <c r="C2017" s="13" t="str">
        <f aca="false">עזר!M2017</f>
        <v/>
      </c>
    </row>
    <row r="2018" customFormat="false" ht="15" hidden="false" customHeight="false" outlineLevel="0" collapsed="false">
      <c r="A2018" s="13" t="str">
        <f aca="false">IF(עזר!L2018="","",INDEX(עזר!$A$2:$A$5001,עזר!L2018))</f>
        <v/>
      </c>
      <c r="B2018" s="13" t="str">
        <f aca="false">IF(עזר!L2018="","",INDEX(עזר!$B$2:$B$5001,עזר!L2018))</f>
        <v/>
      </c>
      <c r="C2018" s="13" t="str">
        <f aca="false">עזר!M2018</f>
        <v/>
      </c>
    </row>
    <row r="2019" customFormat="false" ht="15" hidden="false" customHeight="false" outlineLevel="0" collapsed="false">
      <c r="A2019" s="13" t="str">
        <f aca="false">IF(עזר!L2019="","",INDEX(עזר!$A$2:$A$5001,עזר!L2019))</f>
        <v/>
      </c>
      <c r="B2019" s="13" t="str">
        <f aca="false">IF(עזר!L2019="","",INDEX(עזר!$B$2:$B$5001,עזר!L2019))</f>
        <v/>
      </c>
      <c r="C2019" s="13" t="str">
        <f aca="false">עזר!M2019</f>
        <v/>
      </c>
    </row>
    <row r="2020" customFormat="false" ht="15" hidden="false" customHeight="false" outlineLevel="0" collapsed="false">
      <c r="A2020" s="13" t="str">
        <f aca="false">IF(עזר!L2020="","",INDEX(עזר!$A$2:$A$5001,עזר!L2020))</f>
        <v/>
      </c>
      <c r="B2020" s="13" t="str">
        <f aca="false">IF(עזר!L2020="","",INDEX(עזר!$B$2:$B$5001,עזר!L2020))</f>
        <v/>
      </c>
      <c r="C2020" s="13" t="str">
        <f aca="false">עזר!M2020</f>
        <v/>
      </c>
    </row>
    <row r="2021" customFormat="false" ht="15" hidden="false" customHeight="false" outlineLevel="0" collapsed="false">
      <c r="A2021" s="13" t="str">
        <f aca="false">IF(עזר!L2021="","",INDEX(עזר!$A$2:$A$5001,עזר!L2021))</f>
        <v/>
      </c>
      <c r="B2021" s="13" t="str">
        <f aca="false">IF(עזר!L2021="","",INDEX(עזר!$B$2:$B$5001,עזר!L2021))</f>
        <v/>
      </c>
      <c r="C2021" s="13" t="str">
        <f aca="false">עזר!M2021</f>
        <v/>
      </c>
    </row>
    <row r="2022" customFormat="false" ht="15" hidden="false" customHeight="false" outlineLevel="0" collapsed="false">
      <c r="A2022" s="13" t="str">
        <f aca="false">IF(עזר!L2022="","",INDEX(עזר!$A$2:$A$5001,עזר!L2022))</f>
        <v/>
      </c>
      <c r="B2022" s="13" t="str">
        <f aca="false">IF(עזר!L2022="","",INDEX(עזר!$B$2:$B$5001,עזר!L2022))</f>
        <v/>
      </c>
      <c r="C2022" s="13" t="str">
        <f aca="false">עזר!M2022</f>
        <v/>
      </c>
    </row>
    <row r="2023" customFormat="false" ht="15" hidden="false" customHeight="false" outlineLevel="0" collapsed="false">
      <c r="A2023" s="13" t="str">
        <f aca="false">IF(עזר!L2023="","",INDEX(עזר!$A$2:$A$5001,עזר!L2023))</f>
        <v/>
      </c>
      <c r="B2023" s="13" t="str">
        <f aca="false">IF(עזר!L2023="","",INDEX(עזר!$B$2:$B$5001,עזר!L2023))</f>
        <v/>
      </c>
      <c r="C2023" s="13" t="str">
        <f aca="false">עזר!M2023</f>
        <v/>
      </c>
    </row>
    <row r="2024" customFormat="false" ht="15" hidden="false" customHeight="false" outlineLevel="0" collapsed="false">
      <c r="A2024" s="13" t="str">
        <f aca="false">IF(עזר!L2024="","",INDEX(עזר!$A$2:$A$5001,עזר!L2024))</f>
        <v/>
      </c>
      <c r="B2024" s="13" t="str">
        <f aca="false">IF(עזר!L2024="","",INDEX(עזר!$B$2:$B$5001,עזר!L2024))</f>
        <v/>
      </c>
      <c r="C2024" s="13" t="str">
        <f aca="false">עזר!M2024</f>
        <v/>
      </c>
    </row>
    <row r="2025" customFormat="false" ht="15" hidden="false" customHeight="false" outlineLevel="0" collapsed="false">
      <c r="A2025" s="13" t="str">
        <f aca="false">IF(עזר!L2025="","",INDEX(עזר!$A$2:$A$5001,עזר!L2025))</f>
        <v/>
      </c>
      <c r="B2025" s="13" t="str">
        <f aca="false">IF(עזר!L2025="","",INDEX(עזר!$B$2:$B$5001,עזר!L2025))</f>
        <v/>
      </c>
      <c r="C2025" s="13" t="str">
        <f aca="false">עזר!M2025</f>
        <v/>
      </c>
    </row>
    <row r="2026" customFormat="false" ht="15" hidden="false" customHeight="false" outlineLevel="0" collapsed="false">
      <c r="A2026" s="13" t="str">
        <f aca="false">IF(עזר!L2026="","",INDEX(עזר!$A$2:$A$5001,עזר!L2026))</f>
        <v/>
      </c>
      <c r="B2026" s="13" t="str">
        <f aca="false">IF(עזר!L2026="","",INDEX(עזר!$B$2:$B$5001,עזר!L2026))</f>
        <v/>
      </c>
      <c r="C2026" s="13" t="str">
        <f aca="false">עזר!M2026</f>
        <v/>
      </c>
    </row>
    <row r="2027" customFormat="false" ht="15" hidden="false" customHeight="false" outlineLevel="0" collapsed="false">
      <c r="A2027" s="13" t="str">
        <f aca="false">IF(עזר!L2027="","",INDEX(עזר!$A$2:$A$5001,עזר!L2027))</f>
        <v/>
      </c>
      <c r="B2027" s="13" t="str">
        <f aca="false">IF(עזר!L2027="","",INDEX(עזר!$B$2:$B$5001,עזר!L2027))</f>
        <v/>
      </c>
      <c r="C2027" s="13" t="str">
        <f aca="false">עזר!M2027</f>
        <v/>
      </c>
    </row>
    <row r="2028" customFormat="false" ht="15" hidden="false" customHeight="false" outlineLevel="0" collapsed="false">
      <c r="A2028" s="13" t="str">
        <f aca="false">IF(עזר!L2028="","",INDEX(עזר!$A$2:$A$5001,עזר!L2028))</f>
        <v/>
      </c>
      <c r="B2028" s="13" t="str">
        <f aca="false">IF(עזר!L2028="","",INDEX(עזר!$B$2:$B$5001,עזר!L2028))</f>
        <v/>
      </c>
      <c r="C2028" s="13" t="str">
        <f aca="false">עזר!M2028</f>
        <v/>
      </c>
    </row>
    <row r="2029" customFormat="false" ht="15" hidden="false" customHeight="false" outlineLevel="0" collapsed="false">
      <c r="A2029" s="13" t="str">
        <f aca="false">IF(עזר!L2029="","",INDEX(עזר!$A$2:$A$5001,עזר!L2029))</f>
        <v/>
      </c>
      <c r="B2029" s="13" t="str">
        <f aca="false">IF(עזר!L2029="","",INDEX(עזר!$B$2:$B$5001,עזר!L2029))</f>
        <v/>
      </c>
      <c r="C2029" s="13" t="str">
        <f aca="false">עזר!M2029</f>
        <v/>
      </c>
    </row>
    <row r="2030" customFormat="false" ht="15" hidden="false" customHeight="false" outlineLevel="0" collapsed="false">
      <c r="A2030" s="13" t="str">
        <f aca="false">IF(עזר!L2030="","",INDEX(עזר!$A$2:$A$5001,עזר!L2030))</f>
        <v/>
      </c>
      <c r="B2030" s="13" t="str">
        <f aca="false">IF(עזר!L2030="","",INDEX(עזר!$B$2:$B$5001,עזר!L2030))</f>
        <v/>
      </c>
      <c r="C2030" s="13" t="str">
        <f aca="false">עזר!M2030</f>
        <v/>
      </c>
    </row>
    <row r="2031" customFormat="false" ht="15" hidden="false" customHeight="false" outlineLevel="0" collapsed="false">
      <c r="A2031" s="13" t="str">
        <f aca="false">IF(עזר!L2031="","",INDEX(עזר!$A$2:$A$5001,עזר!L2031))</f>
        <v/>
      </c>
      <c r="B2031" s="13" t="str">
        <f aca="false">IF(עזר!L2031="","",INDEX(עזר!$B$2:$B$5001,עזר!L2031))</f>
        <v/>
      </c>
      <c r="C2031" s="13" t="str">
        <f aca="false">עזר!M2031</f>
        <v/>
      </c>
    </row>
    <row r="2032" customFormat="false" ht="15" hidden="false" customHeight="false" outlineLevel="0" collapsed="false">
      <c r="A2032" s="13" t="str">
        <f aca="false">IF(עזר!L2032="","",INDEX(עזר!$A$2:$A$5001,עזר!L2032))</f>
        <v/>
      </c>
      <c r="B2032" s="13" t="str">
        <f aca="false">IF(עזר!L2032="","",INDEX(עזר!$B$2:$B$5001,עזר!L2032))</f>
        <v/>
      </c>
      <c r="C2032" s="13" t="str">
        <f aca="false">עזר!M2032</f>
        <v/>
      </c>
    </row>
    <row r="2033" customFormat="false" ht="15" hidden="false" customHeight="false" outlineLevel="0" collapsed="false">
      <c r="A2033" s="13" t="str">
        <f aca="false">IF(עזר!L2033="","",INDEX(עזר!$A$2:$A$5001,עזר!L2033))</f>
        <v/>
      </c>
      <c r="B2033" s="13" t="str">
        <f aca="false">IF(עזר!L2033="","",INDEX(עזר!$B$2:$B$5001,עזר!L2033))</f>
        <v/>
      </c>
      <c r="C2033" s="13" t="str">
        <f aca="false">עזר!M2033</f>
        <v/>
      </c>
    </row>
    <row r="2034" customFormat="false" ht="15" hidden="false" customHeight="false" outlineLevel="0" collapsed="false">
      <c r="A2034" s="13" t="str">
        <f aca="false">IF(עזר!L2034="","",INDEX(עזר!$A$2:$A$5001,עזר!L2034))</f>
        <v/>
      </c>
      <c r="B2034" s="13" t="str">
        <f aca="false">IF(עזר!L2034="","",INDEX(עזר!$B$2:$B$5001,עזר!L2034))</f>
        <v/>
      </c>
      <c r="C2034" s="13" t="str">
        <f aca="false">עזר!M2034</f>
        <v/>
      </c>
    </row>
    <row r="2035" customFormat="false" ht="15" hidden="false" customHeight="false" outlineLevel="0" collapsed="false">
      <c r="A2035" s="13" t="str">
        <f aca="false">IF(עזר!L2035="","",INDEX(עזר!$A$2:$A$5001,עזר!L2035))</f>
        <v/>
      </c>
      <c r="B2035" s="13" t="str">
        <f aca="false">IF(עזר!L2035="","",INDEX(עזר!$B$2:$B$5001,עזר!L2035))</f>
        <v/>
      </c>
      <c r="C2035" s="13" t="str">
        <f aca="false">עזר!M2035</f>
        <v/>
      </c>
    </row>
    <row r="2036" customFormat="false" ht="15" hidden="false" customHeight="false" outlineLevel="0" collapsed="false">
      <c r="A2036" s="13" t="str">
        <f aca="false">IF(עזר!L2036="","",INDEX(עזר!$A$2:$A$5001,עזר!L2036))</f>
        <v/>
      </c>
      <c r="B2036" s="13" t="str">
        <f aca="false">IF(עזר!L2036="","",INDEX(עזר!$B$2:$B$5001,עזר!L2036))</f>
        <v/>
      </c>
      <c r="C2036" s="13" t="str">
        <f aca="false">עזר!M2036</f>
        <v/>
      </c>
    </row>
    <row r="2037" customFormat="false" ht="15" hidden="false" customHeight="false" outlineLevel="0" collapsed="false">
      <c r="A2037" s="13" t="str">
        <f aca="false">IF(עזר!L2037="","",INDEX(עזר!$A$2:$A$5001,עזר!L2037))</f>
        <v/>
      </c>
      <c r="B2037" s="13" t="str">
        <f aca="false">IF(עזר!L2037="","",INDEX(עזר!$B$2:$B$5001,עזר!L2037))</f>
        <v/>
      </c>
      <c r="C2037" s="13" t="str">
        <f aca="false">עזר!M2037</f>
        <v/>
      </c>
    </row>
    <row r="2038" customFormat="false" ht="15" hidden="false" customHeight="false" outlineLevel="0" collapsed="false">
      <c r="A2038" s="13" t="str">
        <f aca="false">IF(עזר!L2038="","",INDEX(עזר!$A$2:$A$5001,עזר!L2038))</f>
        <v/>
      </c>
      <c r="B2038" s="13" t="str">
        <f aca="false">IF(עזר!L2038="","",INDEX(עזר!$B$2:$B$5001,עזר!L2038))</f>
        <v/>
      </c>
      <c r="C2038" s="13" t="str">
        <f aca="false">עזר!M2038</f>
        <v/>
      </c>
    </row>
    <row r="2039" customFormat="false" ht="15" hidden="false" customHeight="false" outlineLevel="0" collapsed="false">
      <c r="A2039" s="13" t="str">
        <f aca="false">IF(עזר!L2039="","",INDEX(עזר!$A$2:$A$5001,עזר!L2039))</f>
        <v/>
      </c>
      <c r="B2039" s="13" t="str">
        <f aca="false">IF(עזר!L2039="","",INDEX(עזר!$B$2:$B$5001,עזר!L2039))</f>
        <v/>
      </c>
      <c r="C2039" s="13" t="str">
        <f aca="false">עזר!M2039</f>
        <v/>
      </c>
    </row>
    <row r="2040" customFormat="false" ht="15" hidden="false" customHeight="false" outlineLevel="0" collapsed="false">
      <c r="A2040" s="13" t="str">
        <f aca="false">IF(עזר!L2040="","",INDEX(עזר!$A$2:$A$5001,עזר!L2040))</f>
        <v/>
      </c>
      <c r="B2040" s="13" t="str">
        <f aca="false">IF(עזר!L2040="","",INDEX(עזר!$B$2:$B$5001,עזר!L2040))</f>
        <v/>
      </c>
      <c r="C2040" s="13" t="str">
        <f aca="false">עזר!M2040</f>
        <v/>
      </c>
    </row>
    <row r="2041" customFormat="false" ht="15" hidden="false" customHeight="false" outlineLevel="0" collapsed="false">
      <c r="A2041" s="13" t="str">
        <f aca="false">IF(עזר!L2041="","",INDEX(עזר!$A$2:$A$5001,עזר!L2041))</f>
        <v/>
      </c>
      <c r="B2041" s="13" t="str">
        <f aca="false">IF(עזר!L2041="","",INDEX(עזר!$B$2:$B$5001,עזר!L2041))</f>
        <v/>
      </c>
      <c r="C2041" s="13" t="str">
        <f aca="false">עזר!M2041</f>
        <v/>
      </c>
    </row>
    <row r="2042" customFormat="false" ht="15" hidden="false" customHeight="false" outlineLevel="0" collapsed="false">
      <c r="A2042" s="13" t="str">
        <f aca="false">IF(עזר!L2042="","",INDEX(עזר!$A$2:$A$5001,עזר!L2042))</f>
        <v/>
      </c>
      <c r="B2042" s="13" t="str">
        <f aca="false">IF(עזר!L2042="","",INDEX(עזר!$B$2:$B$5001,עזר!L2042))</f>
        <v/>
      </c>
      <c r="C2042" s="13" t="str">
        <f aca="false">עזר!M2042</f>
        <v/>
      </c>
    </row>
    <row r="2043" customFormat="false" ht="15" hidden="false" customHeight="false" outlineLevel="0" collapsed="false">
      <c r="A2043" s="13" t="str">
        <f aca="false">IF(עזר!L2043="","",INDEX(עזר!$A$2:$A$5001,עזר!L2043))</f>
        <v/>
      </c>
      <c r="B2043" s="13" t="str">
        <f aca="false">IF(עזר!L2043="","",INDEX(עזר!$B$2:$B$5001,עזר!L2043))</f>
        <v/>
      </c>
      <c r="C2043" s="13" t="str">
        <f aca="false">עזר!M2043</f>
        <v/>
      </c>
    </row>
    <row r="2044" customFormat="false" ht="15" hidden="false" customHeight="false" outlineLevel="0" collapsed="false">
      <c r="A2044" s="13" t="str">
        <f aca="false">IF(עזר!L2044="","",INDEX(עזר!$A$2:$A$5001,עזר!L2044))</f>
        <v/>
      </c>
      <c r="B2044" s="13" t="str">
        <f aca="false">IF(עזר!L2044="","",INDEX(עזר!$B$2:$B$5001,עזר!L2044))</f>
        <v/>
      </c>
      <c r="C2044" s="13" t="str">
        <f aca="false">עזר!M2044</f>
        <v/>
      </c>
    </row>
    <row r="2045" customFormat="false" ht="15" hidden="false" customHeight="false" outlineLevel="0" collapsed="false">
      <c r="A2045" s="13" t="str">
        <f aca="false">IF(עזר!L2045="","",INDEX(עזר!$A$2:$A$5001,עזר!L2045))</f>
        <v/>
      </c>
      <c r="B2045" s="13" t="str">
        <f aca="false">IF(עזר!L2045="","",INDEX(עזר!$B$2:$B$5001,עזר!L2045))</f>
        <v/>
      </c>
      <c r="C2045" s="13" t="str">
        <f aca="false">עזר!M2045</f>
        <v/>
      </c>
    </row>
    <row r="2046" customFormat="false" ht="15" hidden="false" customHeight="false" outlineLevel="0" collapsed="false">
      <c r="A2046" s="13" t="str">
        <f aca="false">IF(עזר!L2046="","",INDEX(עזר!$A$2:$A$5001,עזר!L2046))</f>
        <v/>
      </c>
      <c r="B2046" s="13" t="str">
        <f aca="false">IF(עזר!L2046="","",INDEX(עזר!$B$2:$B$5001,עזר!L2046))</f>
        <v/>
      </c>
      <c r="C2046" s="13" t="str">
        <f aca="false">עזר!M2046</f>
        <v/>
      </c>
    </row>
    <row r="2047" customFormat="false" ht="15" hidden="false" customHeight="false" outlineLevel="0" collapsed="false">
      <c r="A2047" s="13" t="str">
        <f aca="false">IF(עזר!L2047="","",INDEX(עזר!$A$2:$A$5001,עזר!L2047))</f>
        <v/>
      </c>
      <c r="B2047" s="13" t="str">
        <f aca="false">IF(עזר!L2047="","",INDEX(עזר!$B$2:$B$5001,עזר!L2047))</f>
        <v/>
      </c>
      <c r="C2047" s="13" t="str">
        <f aca="false">עזר!M2047</f>
        <v/>
      </c>
    </row>
    <row r="2048" customFormat="false" ht="15" hidden="false" customHeight="false" outlineLevel="0" collapsed="false">
      <c r="A2048" s="13" t="str">
        <f aca="false">IF(עזר!L2048="","",INDEX(עזר!$A$2:$A$5001,עזר!L2048))</f>
        <v/>
      </c>
      <c r="B2048" s="13" t="str">
        <f aca="false">IF(עזר!L2048="","",INDEX(עזר!$B$2:$B$5001,עזר!L2048))</f>
        <v/>
      </c>
      <c r="C2048" s="13" t="str">
        <f aca="false">עזר!M2048</f>
        <v/>
      </c>
    </row>
    <row r="2049" customFormat="false" ht="15" hidden="false" customHeight="false" outlineLevel="0" collapsed="false">
      <c r="A2049" s="13" t="str">
        <f aca="false">IF(עזר!L2049="","",INDEX(עזר!$A$2:$A$5001,עזר!L2049))</f>
        <v/>
      </c>
      <c r="B2049" s="13" t="str">
        <f aca="false">IF(עזר!L2049="","",INDEX(עזר!$B$2:$B$5001,עזר!L2049))</f>
        <v/>
      </c>
      <c r="C2049" s="13" t="str">
        <f aca="false">עזר!M2049</f>
        <v/>
      </c>
    </row>
    <row r="2050" customFormat="false" ht="15" hidden="false" customHeight="false" outlineLevel="0" collapsed="false">
      <c r="A2050" s="13" t="str">
        <f aca="false">IF(עזר!L2050="","",INDEX(עזר!$A$2:$A$5001,עזר!L2050))</f>
        <v/>
      </c>
      <c r="B2050" s="13" t="str">
        <f aca="false">IF(עזר!L2050="","",INDEX(עזר!$B$2:$B$5001,עזר!L2050))</f>
        <v/>
      </c>
      <c r="C2050" s="13" t="str">
        <f aca="false">עזר!M2050</f>
        <v/>
      </c>
    </row>
    <row r="2051" customFormat="false" ht="15" hidden="false" customHeight="false" outlineLevel="0" collapsed="false">
      <c r="A2051" s="13" t="str">
        <f aca="false">IF(עזר!L2051="","",INDEX(עזר!$A$2:$A$5001,עזר!L2051))</f>
        <v/>
      </c>
      <c r="B2051" s="13" t="str">
        <f aca="false">IF(עזר!L2051="","",INDEX(עזר!$B$2:$B$5001,עזר!L2051))</f>
        <v/>
      </c>
      <c r="C2051" s="13" t="str">
        <f aca="false">עזר!M2051</f>
        <v/>
      </c>
    </row>
    <row r="2052" customFormat="false" ht="15" hidden="false" customHeight="false" outlineLevel="0" collapsed="false">
      <c r="A2052" s="13" t="str">
        <f aca="false">IF(עזר!L2052="","",INDEX(עזר!$A$2:$A$5001,עזר!L2052))</f>
        <v/>
      </c>
      <c r="B2052" s="13" t="str">
        <f aca="false">IF(עזר!L2052="","",INDEX(עזר!$B$2:$B$5001,עזר!L2052))</f>
        <v/>
      </c>
      <c r="C2052" s="13" t="str">
        <f aca="false">עזר!M2052</f>
        <v/>
      </c>
    </row>
    <row r="2053" customFormat="false" ht="15" hidden="false" customHeight="false" outlineLevel="0" collapsed="false">
      <c r="A2053" s="13" t="str">
        <f aca="false">IF(עזר!L2053="","",INDEX(עזר!$A$2:$A$5001,עזר!L2053))</f>
        <v/>
      </c>
      <c r="B2053" s="13" t="str">
        <f aca="false">IF(עזר!L2053="","",INDEX(עזר!$B$2:$B$5001,עזר!L2053))</f>
        <v/>
      </c>
      <c r="C2053" s="13" t="str">
        <f aca="false">עזר!M2053</f>
        <v/>
      </c>
    </row>
    <row r="2054" customFormat="false" ht="15" hidden="false" customHeight="false" outlineLevel="0" collapsed="false">
      <c r="A2054" s="13" t="str">
        <f aca="false">IF(עזר!L2054="","",INDEX(עזר!$A$2:$A$5001,עזר!L2054))</f>
        <v/>
      </c>
      <c r="B2054" s="13" t="str">
        <f aca="false">IF(עזר!L2054="","",INDEX(עזר!$B$2:$B$5001,עזר!L2054))</f>
        <v/>
      </c>
      <c r="C2054" s="13" t="str">
        <f aca="false">עזר!M2054</f>
        <v/>
      </c>
    </row>
    <row r="2055" customFormat="false" ht="15" hidden="false" customHeight="false" outlineLevel="0" collapsed="false">
      <c r="A2055" s="13" t="str">
        <f aca="false">IF(עזר!L2055="","",INDEX(עזר!$A$2:$A$5001,עזר!L2055))</f>
        <v/>
      </c>
      <c r="B2055" s="13" t="str">
        <f aca="false">IF(עזר!L2055="","",INDEX(עזר!$B$2:$B$5001,עזר!L2055))</f>
        <v/>
      </c>
      <c r="C2055" s="13" t="str">
        <f aca="false">עזר!M2055</f>
        <v/>
      </c>
    </row>
    <row r="2056" customFormat="false" ht="15" hidden="false" customHeight="false" outlineLevel="0" collapsed="false">
      <c r="A2056" s="13" t="str">
        <f aca="false">IF(עזר!L2056="","",INDEX(עזר!$A$2:$A$5001,עזר!L2056))</f>
        <v/>
      </c>
      <c r="B2056" s="13" t="str">
        <f aca="false">IF(עזר!L2056="","",INDEX(עזר!$B$2:$B$5001,עזר!L2056))</f>
        <v/>
      </c>
      <c r="C2056" s="13" t="str">
        <f aca="false">עזר!M2056</f>
        <v/>
      </c>
    </row>
    <row r="2057" customFormat="false" ht="15" hidden="false" customHeight="false" outlineLevel="0" collapsed="false">
      <c r="A2057" s="13" t="str">
        <f aca="false">IF(עזר!L2057="","",INDEX(עזר!$A$2:$A$5001,עזר!L2057))</f>
        <v/>
      </c>
      <c r="B2057" s="13" t="str">
        <f aca="false">IF(עזר!L2057="","",INDEX(עזר!$B$2:$B$5001,עזר!L2057))</f>
        <v/>
      </c>
      <c r="C2057" s="13" t="str">
        <f aca="false">עזר!M2057</f>
        <v/>
      </c>
    </row>
    <row r="2058" customFormat="false" ht="15" hidden="false" customHeight="false" outlineLevel="0" collapsed="false">
      <c r="A2058" s="13" t="str">
        <f aca="false">IF(עזר!L2058="","",INDEX(עזר!$A$2:$A$5001,עזר!L2058))</f>
        <v/>
      </c>
      <c r="B2058" s="13" t="str">
        <f aca="false">IF(עזר!L2058="","",INDEX(עזר!$B$2:$B$5001,עזר!L2058))</f>
        <v/>
      </c>
      <c r="C2058" s="13" t="str">
        <f aca="false">עזר!M2058</f>
        <v/>
      </c>
    </row>
    <row r="2059" customFormat="false" ht="15" hidden="false" customHeight="false" outlineLevel="0" collapsed="false">
      <c r="A2059" s="13" t="str">
        <f aca="false">IF(עזר!L2059="","",INDEX(עזר!$A$2:$A$5001,עזר!L2059))</f>
        <v/>
      </c>
      <c r="B2059" s="13" t="str">
        <f aca="false">IF(עזר!L2059="","",INDEX(עזר!$B$2:$B$5001,עזר!L2059))</f>
        <v/>
      </c>
      <c r="C2059" s="13" t="str">
        <f aca="false">עזר!M2059</f>
        <v/>
      </c>
    </row>
    <row r="2060" customFormat="false" ht="15" hidden="false" customHeight="false" outlineLevel="0" collapsed="false">
      <c r="A2060" s="13" t="str">
        <f aca="false">IF(עזר!L2060="","",INDEX(עזר!$A$2:$A$5001,עזר!L2060))</f>
        <v/>
      </c>
      <c r="B2060" s="13" t="str">
        <f aca="false">IF(עזר!L2060="","",INDEX(עזר!$B$2:$B$5001,עזר!L2060))</f>
        <v/>
      </c>
      <c r="C2060" s="13" t="str">
        <f aca="false">עזר!M2060</f>
        <v/>
      </c>
    </row>
    <row r="2061" customFormat="false" ht="15" hidden="false" customHeight="false" outlineLevel="0" collapsed="false">
      <c r="A2061" s="13" t="str">
        <f aca="false">IF(עזר!L2061="","",INDEX(עזר!$A$2:$A$5001,עזר!L2061))</f>
        <v/>
      </c>
      <c r="B2061" s="13" t="str">
        <f aca="false">IF(עזר!L2061="","",INDEX(עזר!$B$2:$B$5001,עזר!L2061))</f>
        <v/>
      </c>
      <c r="C2061" s="13" t="str">
        <f aca="false">עזר!M2061</f>
        <v/>
      </c>
    </row>
    <row r="2062" customFormat="false" ht="15" hidden="false" customHeight="false" outlineLevel="0" collapsed="false">
      <c r="A2062" s="13" t="str">
        <f aca="false">IF(עזר!L2062="","",INDEX(עזר!$A$2:$A$5001,עזר!L2062))</f>
        <v/>
      </c>
      <c r="B2062" s="13" t="str">
        <f aca="false">IF(עזר!L2062="","",INDEX(עזר!$B$2:$B$5001,עזר!L2062))</f>
        <v/>
      </c>
      <c r="C2062" s="13" t="str">
        <f aca="false">עזר!M2062</f>
        <v/>
      </c>
    </row>
    <row r="2063" customFormat="false" ht="15" hidden="false" customHeight="false" outlineLevel="0" collapsed="false">
      <c r="A2063" s="13" t="str">
        <f aca="false">IF(עזר!L2063="","",INDEX(עזר!$A$2:$A$5001,עזר!L2063))</f>
        <v/>
      </c>
      <c r="B2063" s="13" t="str">
        <f aca="false">IF(עזר!L2063="","",INDEX(עזר!$B$2:$B$5001,עזר!L2063))</f>
        <v/>
      </c>
      <c r="C2063" s="13" t="str">
        <f aca="false">עזר!M2063</f>
        <v/>
      </c>
    </row>
    <row r="2064" customFormat="false" ht="15" hidden="false" customHeight="false" outlineLevel="0" collapsed="false">
      <c r="A2064" s="13" t="str">
        <f aca="false">IF(עזר!L2064="","",INDEX(עזר!$A$2:$A$5001,עזר!L2064))</f>
        <v/>
      </c>
      <c r="B2064" s="13" t="str">
        <f aca="false">IF(עזר!L2064="","",INDEX(עזר!$B$2:$B$5001,עזר!L2064))</f>
        <v/>
      </c>
      <c r="C2064" s="13" t="str">
        <f aca="false">עזר!M2064</f>
        <v/>
      </c>
    </row>
    <row r="2065" customFormat="false" ht="15" hidden="false" customHeight="false" outlineLevel="0" collapsed="false">
      <c r="A2065" s="13" t="str">
        <f aca="false">IF(עזר!L2065="","",INDEX(עזר!$A$2:$A$5001,עזר!L2065))</f>
        <v/>
      </c>
      <c r="B2065" s="13" t="str">
        <f aca="false">IF(עזר!L2065="","",INDEX(עזר!$B$2:$B$5001,עזר!L2065))</f>
        <v/>
      </c>
      <c r="C2065" s="13" t="str">
        <f aca="false">עזר!M2065</f>
        <v/>
      </c>
    </row>
    <row r="2066" customFormat="false" ht="15" hidden="false" customHeight="false" outlineLevel="0" collapsed="false">
      <c r="A2066" s="13" t="str">
        <f aca="false">IF(עזר!L2066="","",INDEX(עזר!$A$2:$A$5001,עזר!L2066))</f>
        <v/>
      </c>
      <c r="B2066" s="13" t="str">
        <f aca="false">IF(עזר!L2066="","",INDEX(עזר!$B$2:$B$5001,עזר!L2066))</f>
        <v/>
      </c>
      <c r="C2066" s="13" t="str">
        <f aca="false">עזר!M2066</f>
        <v/>
      </c>
    </row>
    <row r="2067" customFormat="false" ht="15" hidden="false" customHeight="false" outlineLevel="0" collapsed="false">
      <c r="A2067" s="13" t="str">
        <f aca="false">IF(עזר!L2067="","",INDEX(עזר!$A$2:$A$5001,עזר!L2067))</f>
        <v/>
      </c>
      <c r="B2067" s="13" t="str">
        <f aca="false">IF(עזר!L2067="","",INDEX(עזר!$B$2:$B$5001,עזר!L2067))</f>
        <v/>
      </c>
      <c r="C2067" s="13" t="str">
        <f aca="false">עזר!M2067</f>
        <v/>
      </c>
    </row>
    <row r="2068" customFormat="false" ht="15" hidden="false" customHeight="false" outlineLevel="0" collapsed="false">
      <c r="A2068" s="13" t="str">
        <f aca="false">IF(עזר!L2068="","",INDEX(עזר!$A$2:$A$5001,עזר!L2068))</f>
        <v/>
      </c>
      <c r="B2068" s="13" t="str">
        <f aca="false">IF(עזר!L2068="","",INDEX(עזר!$B$2:$B$5001,עזר!L2068))</f>
        <v/>
      </c>
      <c r="C2068" s="13" t="str">
        <f aca="false">עזר!M2068</f>
        <v/>
      </c>
    </row>
    <row r="2069" customFormat="false" ht="15" hidden="false" customHeight="false" outlineLevel="0" collapsed="false">
      <c r="A2069" s="13" t="str">
        <f aca="false">IF(עזר!L2069="","",INDEX(עזר!$A$2:$A$5001,עזר!L2069))</f>
        <v/>
      </c>
      <c r="B2069" s="13" t="str">
        <f aca="false">IF(עזר!L2069="","",INDEX(עזר!$B$2:$B$5001,עזר!L2069))</f>
        <v/>
      </c>
      <c r="C2069" s="13" t="str">
        <f aca="false">עזר!M2069</f>
        <v/>
      </c>
    </row>
    <row r="2070" customFormat="false" ht="15" hidden="false" customHeight="false" outlineLevel="0" collapsed="false">
      <c r="A2070" s="13" t="str">
        <f aca="false">IF(עזר!L2070="","",INDEX(עזר!$A$2:$A$5001,עזר!L2070))</f>
        <v/>
      </c>
      <c r="B2070" s="13" t="str">
        <f aca="false">IF(עזר!L2070="","",INDEX(עזר!$B$2:$B$5001,עזר!L2070))</f>
        <v/>
      </c>
      <c r="C2070" s="13" t="str">
        <f aca="false">עזר!M2070</f>
        <v/>
      </c>
    </row>
    <row r="2071" customFormat="false" ht="15" hidden="false" customHeight="false" outlineLevel="0" collapsed="false">
      <c r="A2071" s="13" t="str">
        <f aca="false">IF(עזר!L2071="","",INDEX(עזר!$A$2:$A$5001,עזר!L2071))</f>
        <v/>
      </c>
      <c r="B2071" s="13" t="str">
        <f aca="false">IF(עזר!L2071="","",INDEX(עזר!$B$2:$B$5001,עזר!L2071))</f>
        <v/>
      </c>
      <c r="C2071" s="13" t="str">
        <f aca="false">עזר!M2071</f>
        <v/>
      </c>
    </row>
    <row r="2072" customFormat="false" ht="15" hidden="false" customHeight="false" outlineLevel="0" collapsed="false">
      <c r="A2072" s="13" t="str">
        <f aca="false">IF(עזר!L2072="","",INDEX(עזר!$A$2:$A$5001,עזר!L2072))</f>
        <v/>
      </c>
      <c r="B2072" s="13" t="str">
        <f aca="false">IF(עזר!L2072="","",INDEX(עזר!$B$2:$B$5001,עזר!L2072))</f>
        <v/>
      </c>
      <c r="C2072" s="13" t="str">
        <f aca="false">עזר!M2072</f>
        <v/>
      </c>
    </row>
    <row r="2073" customFormat="false" ht="15" hidden="false" customHeight="false" outlineLevel="0" collapsed="false">
      <c r="A2073" s="13" t="str">
        <f aca="false">IF(עזר!L2073="","",INDEX(עזר!$A$2:$A$5001,עזר!L2073))</f>
        <v/>
      </c>
      <c r="B2073" s="13" t="str">
        <f aca="false">IF(עזר!L2073="","",INDEX(עזר!$B$2:$B$5001,עזר!L2073))</f>
        <v/>
      </c>
      <c r="C2073" s="13" t="str">
        <f aca="false">עזר!M2073</f>
        <v/>
      </c>
    </row>
    <row r="2074" customFormat="false" ht="15" hidden="false" customHeight="false" outlineLevel="0" collapsed="false">
      <c r="A2074" s="13" t="str">
        <f aca="false">IF(עזר!L2074="","",INDEX(עזר!$A$2:$A$5001,עזר!L2074))</f>
        <v/>
      </c>
      <c r="B2074" s="13" t="str">
        <f aca="false">IF(עזר!L2074="","",INDEX(עזר!$B$2:$B$5001,עזר!L2074))</f>
        <v/>
      </c>
      <c r="C2074" s="13" t="str">
        <f aca="false">עזר!M2074</f>
        <v/>
      </c>
    </row>
    <row r="2075" customFormat="false" ht="15" hidden="false" customHeight="false" outlineLevel="0" collapsed="false">
      <c r="A2075" s="13" t="str">
        <f aca="false">IF(עזר!L2075="","",INDEX(עזר!$A$2:$A$5001,עזר!L2075))</f>
        <v/>
      </c>
      <c r="B2075" s="13" t="str">
        <f aca="false">IF(עזר!L2075="","",INDEX(עזר!$B$2:$B$5001,עזר!L2075))</f>
        <v/>
      </c>
      <c r="C2075" s="13" t="str">
        <f aca="false">עזר!M2075</f>
        <v/>
      </c>
    </row>
    <row r="2076" customFormat="false" ht="15" hidden="false" customHeight="false" outlineLevel="0" collapsed="false">
      <c r="A2076" s="13" t="str">
        <f aca="false">IF(עזר!L2076="","",INDEX(עזר!$A$2:$A$5001,עזר!L2076))</f>
        <v/>
      </c>
      <c r="B2076" s="13" t="str">
        <f aca="false">IF(עזר!L2076="","",INDEX(עזר!$B$2:$B$5001,עזר!L2076))</f>
        <v/>
      </c>
      <c r="C2076" s="13" t="str">
        <f aca="false">עזר!M2076</f>
        <v/>
      </c>
    </row>
    <row r="2077" customFormat="false" ht="15" hidden="false" customHeight="false" outlineLevel="0" collapsed="false">
      <c r="A2077" s="13" t="str">
        <f aca="false">IF(עזר!L2077="","",INDEX(עזר!$A$2:$A$5001,עזר!L2077))</f>
        <v/>
      </c>
      <c r="B2077" s="13" t="str">
        <f aca="false">IF(עזר!L2077="","",INDEX(עזר!$B$2:$B$5001,עזר!L2077))</f>
        <v/>
      </c>
      <c r="C2077" s="13" t="str">
        <f aca="false">עזר!M2077</f>
        <v/>
      </c>
    </row>
    <row r="2078" customFormat="false" ht="15" hidden="false" customHeight="false" outlineLevel="0" collapsed="false">
      <c r="A2078" s="13" t="str">
        <f aca="false">IF(עזר!L2078="","",INDEX(עזר!$A$2:$A$5001,עזר!L2078))</f>
        <v/>
      </c>
      <c r="B2078" s="13" t="str">
        <f aca="false">IF(עזר!L2078="","",INDEX(עזר!$B$2:$B$5001,עזר!L2078))</f>
        <v/>
      </c>
      <c r="C2078" s="13" t="str">
        <f aca="false">עזר!M2078</f>
        <v/>
      </c>
    </row>
    <row r="2079" customFormat="false" ht="15" hidden="false" customHeight="false" outlineLevel="0" collapsed="false">
      <c r="A2079" s="13" t="str">
        <f aca="false">IF(עזר!L2079="","",INDEX(עזר!$A$2:$A$5001,עזר!L2079))</f>
        <v/>
      </c>
      <c r="B2079" s="13" t="str">
        <f aca="false">IF(עזר!L2079="","",INDEX(עזר!$B$2:$B$5001,עזר!L2079))</f>
        <v/>
      </c>
      <c r="C2079" s="13" t="str">
        <f aca="false">עזר!M2079</f>
        <v/>
      </c>
    </row>
    <row r="2080" customFormat="false" ht="15" hidden="false" customHeight="false" outlineLevel="0" collapsed="false">
      <c r="A2080" s="13" t="str">
        <f aca="false">IF(עזר!L2080="","",INDEX(עזר!$A$2:$A$5001,עזר!L2080))</f>
        <v/>
      </c>
      <c r="B2080" s="13" t="str">
        <f aca="false">IF(עזר!L2080="","",INDEX(עזר!$B$2:$B$5001,עזר!L2080))</f>
        <v/>
      </c>
      <c r="C2080" s="13" t="str">
        <f aca="false">עזר!M2080</f>
        <v/>
      </c>
    </row>
    <row r="2081" customFormat="false" ht="15" hidden="false" customHeight="false" outlineLevel="0" collapsed="false">
      <c r="A2081" s="13" t="str">
        <f aca="false">IF(עזר!L2081="","",INDEX(עזר!$A$2:$A$5001,עזר!L2081))</f>
        <v/>
      </c>
      <c r="B2081" s="13" t="str">
        <f aca="false">IF(עזר!L2081="","",INDEX(עזר!$B$2:$B$5001,עזר!L2081))</f>
        <v/>
      </c>
      <c r="C2081" s="13" t="str">
        <f aca="false">עזר!M2081</f>
        <v/>
      </c>
    </row>
    <row r="2082" customFormat="false" ht="15" hidden="false" customHeight="false" outlineLevel="0" collapsed="false">
      <c r="A2082" s="13" t="str">
        <f aca="false">IF(עזר!L2082="","",INDEX(עזר!$A$2:$A$5001,עזר!L2082))</f>
        <v/>
      </c>
      <c r="B2082" s="13" t="str">
        <f aca="false">IF(עזר!L2082="","",INDEX(עזר!$B$2:$B$5001,עזר!L2082))</f>
        <v/>
      </c>
      <c r="C2082" s="13" t="str">
        <f aca="false">עזר!M2082</f>
        <v/>
      </c>
    </row>
    <row r="2083" customFormat="false" ht="15" hidden="false" customHeight="false" outlineLevel="0" collapsed="false">
      <c r="A2083" s="13" t="str">
        <f aca="false">IF(עזר!L2083="","",INDEX(עזר!$A$2:$A$5001,עזר!L2083))</f>
        <v/>
      </c>
      <c r="B2083" s="13" t="str">
        <f aca="false">IF(עזר!L2083="","",INDEX(עזר!$B$2:$B$5001,עזר!L2083))</f>
        <v/>
      </c>
      <c r="C2083" s="13" t="str">
        <f aca="false">עזר!M2083</f>
        <v/>
      </c>
    </row>
    <row r="2084" customFormat="false" ht="15" hidden="false" customHeight="false" outlineLevel="0" collapsed="false">
      <c r="A2084" s="13" t="str">
        <f aca="false">IF(עזר!L2084="","",INDEX(עזר!$A$2:$A$5001,עזר!L2084))</f>
        <v/>
      </c>
      <c r="B2084" s="13" t="str">
        <f aca="false">IF(עזר!L2084="","",INDEX(עזר!$B$2:$B$5001,עזר!L2084))</f>
        <v/>
      </c>
      <c r="C2084" s="13" t="str">
        <f aca="false">עזר!M2084</f>
        <v/>
      </c>
    </row>
    <row r="2085" customFormat="false" ht="15" hidden="false" customHeight="false" outlineLevel="0" collapsed="false">
      <c r="A2085" s="13" t="str">
        <f aca="false">IF(עזר!L2085="","",INDEX(עזר!$A$2:$A$5001,עזר!L2085))</f>
        <v/>
      </c>
      <c r="B2085" s="13" t="str">
        <f aca="false">IF(עזר!L2085="","",INDEX(עזר!$B$2:$B$5001,עזר!L2085))</f>
        <v/>
      </c>
      <c r="C2085" s="13" t="str">
        <f aca="false">עזר!M2085</f>
        <v/>
      </c>
    </row>
    <row r="2086" customFormat="false" ht="15" hidden="false" customHeight="false" outlineLevel="0" collapsed="false">
      <c r="A2086" s="13" t="str">
        <f aca="false">IF(עזר!L2086="","",INDEX(עזר!$A$2:$A$5001,עזר!L2086))</f>
        <v/>
      </c>
      <c r="B2086" s="13" t="str">
        <f aca="false">IF(עזר!L2086="","",INDEX(עזר!$B$2:$B$5001,עזר!L2086))</f>
        <v/>
      </c>
      <c r="C2086" s="13" t="str">
        <f aca="false">עזר!M2086</f>
        <v/>
      </c>
    </row>
    <row r="2087" customFormat="false" ht="15" hidden="false" customHeight="false" outlineLevel="0" collapsed="false">
      <c r="A2087" s="13" t="str">
        <f aca="false">IF(עזר!L2087="","",INDEX(עזר!$A$2:$A$5001,עזר!L2087))</f>
        <v/>
      </c>
      <c r="B2087" s="13" t="str">
        <f aca="false">IF(עזר!L2087="","",INDEX(עזר!$B$2:$B$5001,עזר!L2087))</f>
        <v/>
      </c>
      <c r="C2087" s="13" t="str">
        <f aca="false">עזר!M2087</f>
        <v/>
      </c>
    </row>
    <row r="2088" customFormat="false" ht="15" hidden="false" customHeight="false" outlineLevel="0" collapsed="false">
      <c r="A2088" s="13" t="str">
        <f aca="false">IF(עזר!L2088="","",INDEX(עזר!$A$2:$A$5001,עזר!L2088))</f>
        <v/>
      </c>
      <c r="B2088" s="13" t="str">
        <f aca="false">IF(עזר!L2088="","",INDEX(עזר!$B$2:$B$5001,עזר!L2088))</f>
        <v/>
      </c>
      <c r="C2088" s="13" t="str">
        <f aca="false">עזר!M2088</f>
        <v/>
      </c>
    </row>
    <row r="2089" customFormat="false" ht="15" hidden="false" customHeight="false" outlineLevel="0" collapsed="false">
      <c r="A2089" s="13" t="str">
        <f aca="false">IF(עזר!L2089="","",INDEX(עזר!$A$2:$A$5001,עזר!L2089))</f>
        <v/>
      </c>
      <c r="B2089" s="13" t="str">
        <f aca="false">IF(עזר!L2089="","",INDEX(עזר!$B$2:$B$5001,עזר!L2089))</f>
        <v/>
      </c>
      <c r="C2089" s="13" t="str">
        <f aca="false">עזר!M2089</f>
        <v/>
      </c>
    </row>
    <row r="2090" customFormat="false" ht="15" hidden="false" customHeight="false" outlineLevel="0" collapsed="false">
      <c r="A2090" s="13" t="str">
        <f aca="false">IF(עזר!L2090="","",INDEX(עזר!$A$2:$A$5001,עזר!L2090))</f>
        <v/>
      </c>
      <c r="B2090" s="13" t="str">
        <f aca="false">IF(עזר!L2090="","",INDEX(עזר!$B$2:$B$5001,עזר!L2090))</f>
        <v/>
      </c>
      <c r="C2090" s="13" t="str">
        <f aca="false">עזר!M2090</f>
        <v/>
      </c>
    </row>
    <row r="2091" customFormat="false" ht="15" hidden="false" customHeight="false" outlineLevel="0" collapsed="false">
      <c r="A2091" s="13" t="str">
        <f aca="false">IF(עזר!L2091="","",INDEX(עזר!$A$2:$A$5001,עזר!L2091))</f>
        <v/>
      </c>
      <c r="B2091" s="13" t="str">
        <f aca="false">IF(עזר!L2091="","",INDEX(עזר!$B$2:$B$5001,עזר!L2091))</f>
        <v/>
      </c>
      <c r="C2091" s="13" t="str">
        <f aca="false">עזר!M2091</f>
        <v/>
      </c>
    </row>
    <row r="2092" customFormat="false" ht="15" hidden="false" customHeight="false" outlineLevel="0" collapsed="false">
      <c r="A2092" s="13" t="str">
        <f aca="false">IF(עזר!L2092="","",INDEX(עזר!$A$2:$A$5001,עזר!L2092))</f>
        <v/>
      </c>
      <c r="B2092" s="13" t="str">
        <f aca="false">IF(עזר!L2092="","",INDEX(עזר!$B$2:$B$5001,עזר!L2092))</f>
        <v/>
      </c>
      <c r="C2092" s="13" t="str">
        <f aca="false">עזר!M2092</f>
        <v/>
      </c>
    </row>
    <row r="2093" customFormat="false" ht="15" hidden="false" customHeight="false" outlineLevel="0" collapsed="false">
      <c r="A2093" s="13" t="str">
        <f aca="false">IF(עזר!L2093="","",INDEX(עזר!$A$2:$A$5001,עזר!L2093))</f>
        <v/>
      </c>
      <c r="B2093" s="13" t="str">
        <f aca="false">IF(עזר!L2093="","",INDEX(עזר!$B$2:$B$5001,עזר!L2093))</f>
        <v/>
      </c>
      <c r="C2093" s="13" t="str">
        <f aca="false">עזר!M2093</f>
        <v/>
      </c>
    </row>
    <row r="2094" customFormat="false" ht="15" hidden="false" customHeight="false" outlineLevel="0" collapsed="false">
      <c r="A2094" s="13" t="str">
        <f aca="false">IF(עזר!L2094="","",INDEX(עזר!$A$2:$A$5001,עזר!L2094))</f>
        <v/>
      </c>
      <c r="B2094" s="13" t="str">
        <f aca="false">IF(עזר!L2094="","",INDEX(עזר!$B$2:$B$5001,עזר!L2094))</f>
        <v/>
      </c>
      <c r="C2094" s="13" t="str">
        <f aca="false">עזר!M2094</f>
        <v/>
      </c>
    </row>
    <row r="2095" customFormat="false" ht="15" hidden="false" customHeight="false" outlineLevel="0" collapsed="false">
      <c r="A2095" s="13" t="str">
        <f aca="false">IF(עזר!L2095="","",INDEX(עזר!$A$2:$A$5001,עזר!L2095))</f>
        <v/>
      </c>
      <c r="B2095" s="13" t="str">
        <f aca="false">IF(עזר!L2095="","",INDEX(עזר!$B$2:$B$5001,עזר!L2095))</f>
        <v/>
      </c>
      <c r="C2095" s="13" t="str">
        <f aca="false">עזר!M2095</f>
        <v/>
      </c>
    </row>
    <row r="2096" customFormat="false" ht="15" hidden="false" customHeight="false" outlineLevel="0" collapsed="false">
      <c r="A2096" s="13" t="str">
        <f aca="false">IF(עזר!L2096="","",INDEX(עזר!$A$2:$A$5001,עזר!L2096))</f>
        <v/>
      </c>
      <c r="B2096" s="13" t="str">
        <f aca="false">IF(עזר!L2096="","",INDEX(עזר!$B$2:$B$5001,עזר!L2096))</f>
        <v/>
      </c>
      <c r="C2096" s="13" t="str">
        <f aca="false">עזר!M2096</f>
        <v/>
      </c>
    </row>
    <row r="2097" customFormat="false" ht="15" hidden="false" customHeight="false" outlineLevel="0" collapsed="false">
      <c r="A2097" s="13" t="str">
        <f aca="false">IF(עזר!L2097="","",INDEX(עזר!$A$2:$A$5001,עזר!L2097))</f>
        <v/>
      </c>
      <c r="B2097" s="13" t="str">
        <f aca="false">IF(עזר!L2097="","",INDEX(עזר!$B$2:$B$5001,עזר!L2097))</f>
        <v/>
      </c>
      <c r="C2097" s="13" t="str">
        <f aca="false">עזר!M2097</f>
        <v/>
      </c>
    </row>
    <row r="2098" customFormat="false" ht="15" hidden="false" customHeight="false" outlineLevel="0" collapsed="false">
      <c r="A2098" s="13" t="str">
        <f aca="false">IF(עזר!L2098="","",INDEX(עזר!$A$2:$A$5001,עזר!L2098))</f>
        <v/>
      </c>
      <c r="B2098" s="13" t="str">
        <f aca="false">IF(עזר!L2098="","",INDEX(עזר!$B$2:$B$5001,עזר!L2098))</f>
        <v/>
      </c>
      <c r="C2098" s="13" t="str">
        <f aca="false">עזר!M2098</f>
        <v/>
      </c>
    </row>
    <row r="2099" customFormat="false" ht="15" hidden="false" customHeight="false" outlineLevel="0" collapsed="false">
      <c r="A2099" s="13" t="str">
        <f aca="false">IF(עזר!L2099="","",INDEX(עזר!$A$2:$A$5001,עזר!L2099))</f>
        <v/>
      </c>
      <c r="B2099" s="13" t="str">
        <f aca="false">IF(עזר!L2099="","",INDEX(עזר!$B$2:$B$5001,עזר!L2099))</f>
        <v/>
      </c>
      <c r="C2099" s="13" t="str">
        <f aca="false">עזר!M2099</f>
        <v/>
      </c>
    </row>
    <row r="2100" customFormat="false" ht="15" hidden="false" customHeight="false" outlineLevel="0" collapsed="false">
      <c r="A2100" s="13" t="str">
        <f aca="false">IF(עזר!L2100="","",INDEX(עזר!$A$2:$A$5001,עזר!L2100))</f>
        <v/>
      </c>
      <c r="B2100" s="13" t="str">
        <f aca="false">IF(עזר!L2100="","",INDEX(עזר!$B$2:$B$5001,עזר!L2100))</f>
        <v/>
      </c>
      <c r="C2100" s="13" t="str">
        <f aca="false">עזר!M2100</f>
        <v/>
      </c>
    </row>
    <row r="2101" customFormat="false" ht="15" hidden="false" customHeight="false" outlineLevel="0" collapsed="false">
      <c r="A2101" s="13" t="str">
        <f aca="false">IF(עזר!L2101="","",INDEX(עזר!$A$2:$A$5001,עזר!L2101))</f>
        <v/>
      </c>
      <c r="B2101" s="13" t="str">
        <f aca="false">IF(עזר!L2101="","",INDEX(עזר!$B$2:$B$5001,עזר!L2101))</f>
        <v/>
      </c>
      <c r="C2101" s="13" t="str">
        <f aca="false">עזר!M2101</f>
        <v/>
      </c>
    </row>
    <row r="2102" customFormat="false" ht="15" hidden="false" customHeight="false" outlineLevel="0" collapsed="false">
      <c r="A2102" s="13" t="str">
        <f aca="false">IF(עזר!L2102="","",INDEX(עזר!$A$2:$A$5001,עזר!L2102))</f>
        <v/>
      </c>
      <c r="B2102" s="13" t="str">
        <f aca="false">IF(עזר!L2102="","",INDEX(עזר!$B$2:$B$5001,עזר!L2102))</f>
        <v/>
      </c>
      <c r="C2102" s="13" t="str">
        <f aca="false">עזר!M2102</f>
        <v/>
      </c>
    </row>
    <row r="2103" customFormat="false" ht="15" hidden="false" customHeight="false" outlineLevel="0" collapsed="false">
      <c r="A2103" s="13" t="str">
        <f aca="false">IF(עזר!L2103="","",INDEX(עזר!$A$2:$A$5001,עזר!L2103))</f>
        <v/>
      </c>
      <c r="B2103" s="13" t="str">
        <f aca="false">IF(עזר!L2103="","",INDEX(עזר!$B$2:$B$5001,עזר!L2103))</f>
        <v/>
      </c>
      <c r="C2103" s="13" t="str">
        <f aca="false">עזר!M2103</f>
        <v/>
      </c>
    </row>
    <row r="2104" customFormat="false" ht="15" hidden="false" customHeight="false" outlineLevel="0" collapsed="false">
      <c r="A2104" s="13" t="str">
        <f aca="false">IF(עזר!L2104="","",INDEX(עזר!$A$2:$A$5001,עזר!L2104))</f>
        <v/>
      </c>
      <c r="B2104" s="13" t="str">
        <f aca="false">IF(עזר!L2104="","",INDEX(עזר!$B$2:$B$5001,עזר!L2104))</f>
        <v/>
      </c>
      <c r="C2104" s="13" t="str">
        <f aca="false">עזר!M2104</f>
        <v/>
      </c>
    </row>
    <row r="2105" customFormat="false" ht="15" hidden="false" customHeight="false" outlineLevel="0" collapsed="false">
      <c r="A2105" s="13" t="str">
        <f aca="false">IF(עזר!L2105="","",INDEX(עזר!$A$2:$A$5001,עזר!L2105))</f>
        <v/>
      </c>
      <c r="B2105" s="13" t="str">
        <f aca="false">IF(עזר!L2105="","",INDEX(עזר!$B$2:$B$5001,עזר!L2105))</f>
        <v/>
      </c>
      <c r="C2105" s="13" t="str">
        <f aca="false">עזר!M2105</f>
        <v/>
      </c>
    </row>
    <row r="2106" customFormat="false" ht="15" hidden="false" customHeight="false" outlineLevel="0" collapsed="false">
      <c r="A2106" s="13" t="str">
        <f aca="false">IF(עזר!L2106="","",INDEX(עזר!$A$2:$A$5001,עזר!L2106))</f>
        <v/>
      </c>
      <c r="B2106" s="13" t="str">
        <f aca="false">IF(עזר!L2106="","",INDEX(עזר!$B$2:$B$5001,עזר!L2106))</f>
        <v/>
      </c>
      <c r="C2106" s="13" t="str">
        <f aca="false">עזר!M2106</f>
        <v/>
      </c>
    </row>
    <row r="2107" customFormat="false" ht="15" hidden="false" customHeight="false" outlineLevel="0" collapsed="false">
      <c r="A2107" s="13" t="str">
        <f aca="false">IF(עזר!L2107="","",INDEX(עזר!$A$2:$A$5001,עזר!L2107))</f>
        <v/>
      </c>
      <c r="B2107" s="13" t="str">
        <f aca="false">IF(עזר!L2107="","",INDEX(עזר!$B$2:$B$5001,עזר!L2107))</f>
        <v/>
      </c>
      <c r="C2107" s="13" t="str">
        <f aca="false">עזר!M2107</f>
        <v/>
      </c>
    </row>
    <row r="2108" customFormat="false" ht="15" hidden="false" customHeight="false" outlineLevel="0" collapsed="false">
      <c r="A2108" s="13" t="str">
        <f aca="false">IF(עזר!L2108="","",INDEX(עזר!$A$2:$A$5001,עזר!L2108))</f>
        <v/>
      </c>
      <c r="B2108" s="13" t="str">
        <f aca="false">IF(עזר!L2108="","",INDEX(עזר!$B$2:$B$5001,עזר!L2108))</f>
        <v/>
      </c>
      <c r="C2108" s="13" t="str">
        <f aca="false">עזר!M2108</f>
        <v/>
      </c>
    </row>
    <row r="2109" customFormat="false" ht="15" hidden="false" customHeight="false" outlineLevel="0" collapsed="false">
      <c r="A2109" s="13" t="str">
        <f aca="false">IF(עזר!L2109="","",INDEX(עזר!$A$2:$A$5001,עזר!L2109))</f>
        <v/>
      </c>
      <c r="B2109" s="13" t="str">
        <f aca="false">IF(עזר!L2109="","",INDEX(עזר!$B$2:$B$5001,עזר!L2109))</f>
        <v/>
      </c>
      <c r="C2109" s="13" t="str">
        <f aca="false">עזר!M2109</f>
        <v/>
      </c>
    </row>
    <row r="2110" customFormat="false" ht="15" hidden="false" customHeight="false" outlineLevel="0" collapsed="false">
      <c r="A2110" s="13" t="str">
        <f aca="false">IF(עזר!L2110="","",INDEX(עזר!$A$2:$A$5001,עזר!L2110))</f>
        <v/>
      </c>
      <c r="B2110" s="13" t="str">
        <f aca="false">IF(עזר!L2110="","",INDEX(עזר!$B$2:$B$5001,עזר!L2110))</f>
        <v/>
      </c>
      <c r="C2110" s="13" t="str">
        <f aca="false">עזר!M2110</f>
        <v/>
      </c>
    </row>
    <row r="2111" customFormat="false" ht="15" hidden="false" customHeight="false" outlineLevel="0" collapsed="false">
      <c r="A2111" s="13" t="str">
        <f aca="false">IF(עזר!L2111="","",INDEX(עזר!$A$2:$A$5001,עזר!L2111))</f>
        <v/>
      </c>
      <c r="B2111" s="13" t="str">
        <f aca="false">IF(עזר!L2111="","",INDEX(עזר!$B$2:$B$5001,עזר!L2111))</f>
        <v/>
      </c>
      <c r="C2111" s="13" t="str">
        <f aca="false">עזר!M2111</f>
        <v/>
      </c>
    </row>
    <row r="2112" customFormat="false" ht="15" hidden="false" customHeight="false" outlineLevel="0" collapsed="false">
      <c r="A2112" s="13" t="str">
        <f aca="false">IF(עזר!L2112="","",INDEX(עזר!$A$2:$A$5001,עזר!L2112))</f>
        <v/>
      </c>
      <c r="B2112" s="13" t="str">
        <f aca="false">IF(עזר!L2112="","",INDEX(עזר!$B$2:$B$5001,עזר!L2112))</f>
        <v/>
      </c>
      <c r="C2112" s="13" t="str">
        <f aca="false">עזר!M2112</f>
        <v/>
      </c>
    </row>
    <row r="2113" customFormat="false" ht="15" hidden="false" customHeight="false" outlineLevel="0" collapsed="false">
      <c r="A2113" s="13" t="str">
        <f aca="false">IF(עזר!L2113="","",INDEX(עזר!$A$2:$A$5001,עזר!L2113))</f>
        <v/>
      </c>
      <c r="B2113" s="13" t="str">
        <f aca="false">IF(עזר!L2113="","",INDEX(עזר!$B$2:$B$5001,עזר!L2113))</f>
        <v/>
      </c>
      <c r="C2113" s="13" t="str">
        <f aca="false">עזר!M2113</f>
        <v/>
      </c>
    </row>
    <row r="2114" customFormat="false" ht="15" hidden="false" customHeight="false" outlineLevel="0" collapsed="false">
      <c r="A2114" s="13" t="str">
        <f aca="false">IF(עזר!L2114="","",INDEX(עזר!$A$2:$A$5001,עזר!L2114))</f>
        <v/>
      </c>
      <c r="B2114" s="13" t="str">
        <f aca="false">IF(עזר!L2114="","",INDEX(עזר!$B$2:$B$5001,עזר!L2114))</f>
        <v/>
      </c>
      <c r="C2114" s="13" t="str">
        <f aca="false">עזר!M2114</f>
        <v/>
      </c>
    </row>
    <row r="2115" customFormat="false" ht="15" hidden="false" customHeight="false" outlineLevel="0" collapsed="false">
      <c r="A2115" s="13" t="str">
        <f aca="false">IF(עזר!L2115="","",INDEX(עזר!$A$2:$A$5001,עזר!L2115))</f>
        <v/>
      </c>
      <c r="B2115" s="13" t="str">
        <f aca="false">IF(עזר!L2115="","",INDEX(עזר!$B$2:$B$5001,עזר!L2115))</f>
        <v/>
      </c>
      <c r="C2115" s="13" t="str">
        <f aca="false">עזר!M2115</f>
        <v/>
      </c>
    </row>
    <row r="2116" customFormat="false" ht="15" hidden="false" customHeight="false" outlineLevel="0" collapsed="false">
      <c r="A2116" s="13" t="str">
        <f aca="false">IF(עזר!L2116="","",INDEX(עזר!$A$2:$A$5001,עזר!L2116))</f>
        <v/>
      </c>
      <c r="B2116" s="13" t="str">
        <f aca="false">IF(עזר!L2116="","",INDEX(עזר!$B$2:$B$5001,עזר!L2116))</f>
        <v/>
      </c>
      <c r="C2116" s="13" t="str">
        <f aca="false">עזר!M2116</f>
        <v/>
      </c>
    </row>
    <row r="2117" customFormat="false" ht="15" hidden="false" customHeight="false" outlineLevel="0" collapsed="false">
      <c r="A2117" s="13" t="str">
        <f aca="false">IF(עזר!L2117="","",INDEX(עזר!$A$2:$A$5001,עזר!L2117))</f>
        <v/>
      </c>
      <c r="B2117" s="13" t="str">
        <f aca="false">IF(עזר!L2117="","",INDEX(עזר!$B$2:$B$5001,עזר!L2117))</f>
        <v/>
      </c>
      <c r="C2117" s="13" t="str">
        <f aca="false">עזר!M2117</f>
        <v/>
      </c>
    </row>
    <row r="2118" customFormat="false" ht="15" hidden="false" customHeight="false" outlineLevel="0" collapsed="false">
      <c r="A2118" s="13" t="str">
        <f aca="false">IF(עזר!L2118="","",INDEX(עזר!$A$2:$A$5001,עזר!L2118))</f>
        <v/>
      </c>
      <c r="B2118" s="13" t="str">
        <f aca="false">IF(עזר!L2118="","",INDEX(עזר!$B$2:$B$5001,עזר!L2118))</f>
        <v/>
      </c>
      <c r="C2118" s="13" t="str">
        <f aca="false">עזר!M2118</f>
        <v/>
      </c>
    </row>
    <row r="2119" customFormat="false" ht="15" hidden="false" customHeight="false" outlineLevel="0" collapsed="false">
      <c r="A2119" s="13" t="str">
        <f aca="false">IF(עזר!L2119="","",INDEX(עזר!$A$2:$A$5001,עזר!L2119))</f>
        <v/>
      </c>
      <c r="B2119" s="13" t="str">
        <f aca="false">IF(עזר!L2119="","",INDEX(עזר!$B$2:$B$5001,עזר!L2119))</f>
        <v/>
      </c>
      <c r="C2119" s="13" t="str">
        <f aca="false">עזר!M2119</f>
        <v/>
      </c>
    </row>
    <row r="2120" customFormat="false" ht="15" hidden="false" customHeight="false" outlineLevel="0" collapsed="false">
      <c r="A2120" s="13" t="str">
        <f aca="false">IF(עזר!L2120="","",INDEX(עזר!$A$2:$A$5001,עזר!L2120))</f>
        <v/>
      </c>
      <c r="B2120" s="13" t="str">
        <f aca="false">IF(עזר!L2120="","",INDEX(עזר!$B$2:$B$5001,עזר!L2120))</f>
        <v/>
      </c>
      <c r="C2120" s="13" t="str">
        <f aca="false">עזר!M2120</f>
        <v/>
      </c>
    </row>
    <row r="2121" customFormat="false" ht="15" hidden="false" customHeight="false" outlineLevel="0" collapsed="false">
      <c r="A2121" s="13" t="str">
        <f aca="false">IF(עזר!L2121="","",INDEX(עזר!$A$2:$A$5001,עזר!L2121))</f>
        <v/>
      </c>
      <c r="B2121" s="13" t="str">
        <f aca="false">IF(עזר!L2121="","",INDEX(עזר!$B$2:$B$5001,עזר!L2121))</f>
        <v/>
      </c>
      <c r="C2121" s="13" t="str">
        <f aca="false">עזר!M2121</f>
        <v/>
      </c>
    </row>
    <row r="2122" customFormat="false" ht="15" hidden="false" customHeight="false" outlineLevel="0" collapsed="false">
      <c r="A2122" s="13" t="str">
        <f aca="false">IF(עזר!L2122="","",INDEX(עזר!$A$2:$A$5001,עזר!L2122))</f>
        <v/>
      </c>
      <c r="B2122" s="13" t="str">
        <f aca="false">IF(עזר!L2122="","",INDEX(עזר!$B$2:$B$5001,עזר!L2122))</f>
        <v/>
      </c>
      <c r="C2122" s="13" t="str">
        <f aca="false">עזר!M2122</f>
        <v/>
      </c>
    </row>
    <row r="2123" customFormat="false" ht="15" hidden="false" customHeight="false" outlineLevel="0" collapsed="false">
      <c r="A2123" s="13" t="str">
        <f aca="false">IF(עזר!L2123="","",INDEX(עזר!$A$2:$A$5001,עזר!L2123))</f>
        <v/>
      </c>
      <c r="B2123" s="13" t="str">
        <f aca="false">IF(עזר!L2123="","",INDEX(עזר!$B$2:$B$5001,עזר!L2123))</f>
        <v/>
      </c>
      <c r="C2123" s="13" t="str">
        <f aca="false">עזר!M2123</f>
        <v/>
      </c>
    </row>
    <row r="2124" customFormat="false" ht="15" hidden="false" customHeight="false" outlineLevel="0" collapsed="false">
      <c r="A2124" s="13" t="str">
        <f aca="false">IF(עזר!L2124="","",INDEX(עזר!$A$2:$A$5001,עזר!L2124))</f>
        <v/>
      </c>
      <c r="B2124" s="13" t="str">
        <f aca="false">IF(עזר!L2124="","",INDEX(עזר!$B$2:$B$5001,עזר!L2124))</f>
        <v/>
      </c>
      <c r="C2124" s="13" t="str">
        <f aca="false">עזר!M2124</f>
        <v/>
      </c>
    </row>
    <row r="2125" customFormat="false" ht="15" hidden="false" customHeight="false" outlineLevel="0" collapsed="false">
      <c r="A2125" s="13" t="str">
        <f aca="false">IF(עזר!L2125="","",INDEX(עזר!$A$2:$A$5001,עזר!L2125))</f>
        <v/>
      </c>
      <c r="B2125" s="13" t="str">
        <f aca="false">IF(עזר!L2125="","",INDEX(עזר!$B$2:$B$5001,עזר!L2125))</f>
        <v/>
      </c>
      <c r="C2125" s="13" t="str">
        <f aca="false">עזר!M2125</f>
        <v/>
      </c>
    </row>
    <row r="2126" customFormat="false" ht="15" hidden="false" customHeight="false" outlineLevel="0" collapsed="false">
      <c r="A2126" s="13" t="str">
        <f aca="false">IF(עזר!L2126="","",INDEX(עזר!$A$2:$A$5001,עזר!L2126))</f>
        <v/>
      </c>
      <c r="B2126" s="13" t="str">
        <f aca="false">IF(עזר!L2126="","",INDEX(עזר!$B$2:$B$5001,עזר!L2126))</f>
        <v/>
      </c>
      <c r="C2126" s="13" t="str">
        <f aca="false">עזר!M2126</f>
        <v/>
      </c>
    </row>
    <row r="2127" customFormat="false" ht="15" hidden="false" customHeight="false" outlineLevel="0" collapsed="false">
      <c r="A2127" s="13" t="str">
        <f aca="false">IF(עזר!L2127="","",INDEX(עזר!$A$2:$A$5001,עזר!L2127))</f>
        <v/>
      </c>
      <c r="B2127" s="13" t="str">
        <f aca="false">IF(עזר!L2127="","",INDEX(עזר!$B$2:$B$5001,עזר!L2127))</f>
        <v/>
      </c>
      <c r="C2127" s="13" t="str">
        <f aca="false">עזר!M2127</f>
        <v/>
      </c>
    </row>
    <row r="2128" customFormat="false" ht="15" hidden="false" customHeight="false" outlineLevel="0" collapsed="false">
      <c r="A2128" s="13" t="str">
        <f aca="false">IF(עזר!L2128="","",INDEX(עזר!$A$2:$A$5001,עזר!L2128))</f>
        <v/>
      </c>
      <c r="B2128" s="13" t="str">
        <f aca="false">IF(עזר!L2128="","",INDEX(עזר!$B$2:$B$5001,עזר!L2128))</f>
        <v/>
      </c>
      <c r="C2128" s="13" t="str">
        <f aca="false">עזר!M2128</f>
        <v/>
      </c>
    </row>
    <row r="2129" customFormat="false" ht="15" hidden="false" customHeight="false" outlineLevel="0" collapsed="false">
      <c r="A2129" s="13" t="str">
        <f aca="false">IF(עזר!L2129="","",INDEX(עזר!$A$2:$A$5001,עזר!L2129))</f>
        <v/>
      </c>
      <c r="B2129" s="13" t="str">
        <f aca="false">IF(עזר!L2129="","",INDEX(עזר!$B$2:$B$5001,עזר!L2129))</f>
        <v/>
      </c>
      <c r="C2129" s="13" t="str">
        <f aca="false">עזר!M2129</f>
        <v/>
      </c>
    </row>
    <row r="2130" customFormat="false" ht="15" hidden="false" customHeight="false" outlineLevel="0" collapsed="false">
      <c r="A2130" s="13" t="str">
        <f aca="false">IF(עזר!L2130="","",INDEX(עזר!$A$2:$A$5001,עזר!L2130))</f>
        <v/>
      </c>
      <c r="B2130" s="13" t="str">
        <f aca="false">IF(עזר!L2130="","",INDEX(עזר!$B$2:$B$5001,עזר!L2130))</f>
        <v/>
      </c>
      <c r="C2130" s="13" t="str">
        <f aca="false">עזר!M2130</f>
        <v/>
      </c>
    </row>
    <row r="2131" customFormat="false" ht="15" hidden="false" customHeight="false" outlineLevel="0" collapsed="false">
      <c r="A2131" s="13" t="str">
        <f aca="false">IF(עזר!L2131="","",INDEX(עזר!$A$2:$A$5001,עזר!L2131))</f>
        <v/>
      </c>
      <c r="B2131" s="13" t="str">
        <f aca="false">IF(עזר!L2131="","",INDEX(עזר!$B$2:$B$5001,עזר!L2131))</f>
        <v/>
      </c>
      <c r="C2131" s="13" t="str">
        <f aca="false">עזר!M2131</f>
        <v/>
      </c>
    </row>
    <row r="2132" customFormat="false" ht="15" hidden="false" customHeight="false" outlineLevel="0" collapsed="false">
      <c r="A2132" s="13" t="str">
        <f aca="false">IF(עזר!L2132="","",INDEX(עזר!$A$2:$A$5001,עזר!L2132))</f>
        <v/>
      </c>
      <c r="B2132" s="13" t="str">
        <f aca="false">IF(עזר!L2132="","",INDEX(עזר!$B$2:$B$5001,עזר!L2132))</f>
        <v/>
      </c>
      <c r="C2132" s="13" t="str">
        <f aca="false">עזר!M2132</f>
        <v/>
      </c>
    </row>
    <row r="2133" customFormat="false" ht="15" hidden="false" customHeight="false" outlineLevel="0" collapsed="false">
      <c r="A2133" s="13" t="str">
        <f aca="false">IF(עזר!L2133="","",INDEX(עזר!$A$2:$A$5001,עזר!L2133))</f>
        <v/>
      </c>
      <c r="B2133" s="13" t="str">
        <f aca="false">IF(עזר!L2133="","",INDEX(עזר!$B$2:$B$5001,עזר!L2133))</f>
        <v/>
      </c>
      <c r="C2133" s="13" t="str">
        <f aca="false">עזר!M2133</f>
        <v/>
      </c>
    </row>
    <row r="2134" customFormat="false" ht="15" hidden="false" customHeight="false" outlineLevel="0" collapsed="false">
      <c r="A2134" s="13" t="str">
        <f aca="false">IF(עזר!L2134="","",INDEX(עזר!$A$2:$A$5001,עזר!L2134))</f>
        <v/>
      </c>
      <c r="B2134" s="13" t="str">
        <f aca="false">IF(עזר!L2134="","",INDEX(עזר!$B$2:$B$5001,עזר!L2134))</f>
        <v/>
      </c>
      <c r="C2134" s="13" t="str">
        <f aca="false">עזר!M2134</f>
        <v/>
      </c>
    </row>
    <row r="2135" customFormat="false" ht="15" hidden="false" customHeight="false" outlineLevel="0" collapsed="false">
      <c r="A2135" s="13" t="str">
        <f aca="false">IF(עזר!L2135="","",INDEX(עזר!$A$2:$A$5001,עזר!L2135))</f>
        <v/>
      </c>
      <c r="B2135" s="13" t="str">
        <f aca="false">IF(עזר!L2135="","",INDEX(עזר!$B$2:$B$5001,עזר!L2135))</f>
        <v/>
      </c>
      <c r="C2135" s="13" t="str">
        <f aca="false">עזר!M2135</f>
        <v/>
      </c>
    </row>
    <row r="2136" customFormat="false" ht="15" hidden="false" customHeight="false" outlineLevel="0" collapsed="false">
      <c r="A2136" s="13" t="str">
        <f aca="false">IF(עזר!L2136="","",INDEX(עזר!$A$2:$A$5001,עזר!L2136))</f>
        <v/>
      </c>
      <c r="B2136" s="13" t="str">
        <f aca="false">IF(עזר!L2136="","",INDEX(עזר!$B$2:$B$5001,עזר!L2136))</f>
        <v/>
      </c>
      <c r="C2136" s="13" t="str">
        <f aca="false">עזר!M2136</f>
        <v/>
      </c>
    </row>
    <row r="2137" customFormat="false" ht="15" hidden="false" customHeight="false" outlineLevel="0" collapsed="false">
      <c r="A2137" s="13" t="str">
        <f aca="false">IF(עזר!L2137="","",INDEX(עזר!$A$2:$A$5001,עזר!L2137))</f>
        <v/>
      </c>
      <c r="B2137" s="13" t="str">
        <f aca="false">IF(עזר!L2137="","",INDEX(עזר!$B$2:$B$5001,עזר!L2137))</f>
        <v/>
      </c>
      <c r="C2137" s="13" t="str">
        <f aca="false">עזר!M2137</f>
        <v/>
      </c>
    </row>
    <row r="2138" customFormat="false" ht="15" hidden="false" customHeight="false" outlineLevel="0" collapsed="false">
      <c r="A2138" s="13" t="str">
        <f aca="false">IF(עזר!L2138="","",INDEX(עזר!$A$2:$A$5001,עזר!L2138))</f>
        <v/>
      </c>
      <c r="B2138" s="13" t="str">
        <f aca="false">IF(עזר!L2138="","",INDEX(עזר!$B$2:$B$5001,עזר!L2138))</f>
        <v/>
      </c>
      <c r="C2138" s="13" t="str">
        <f aca="false">עזר!M2138</f>
        <v/>
      </c>
    </row>
    <row r="2139" customFormat="false" ht="15" hidden="false" customHeight="false" outlineLevel="0" collapsed="false">
      <c r="A2139" s="13" t="str">
        <f aca="false">IF(עזר!L2139="","",INDEX(עזר!$A$2:$A$5001,עזר!L2139))</f>
        <v/>
      </c>
      <c r="B2139" s="13" t="str">
        <f aca="false">IF(עזר!L2139="","",INDEX(עזר!$B$2:$B$5001,עזר!L2139))</f>
        <v/>
      </c>
      <c r="C2139" s="13" t="str">
        <f aca="false">עזר!M2139</f>
        <v/>
      </c>
    </row>
    <row r="2140" customFormat="false" ht="15" hidden="false" customHeight="false" outlineLevel="0" collapsed="false">
      <c r="A2140" s="13" t="str">
        <f aca="false">IF(עזר!L2140="","",INDEX(עזר!$A$2:$A$5001,עזר!L2140))</f>
        <v/>
      </c>
      <c r="B2140" s="13" t="str">
        <f aca="false">IF(עזר!L2140="","",INDEX(עזר!$B$2:$B$5001,עזר!L2140))</f>
        <v/>
      </c>
      <c r="C2140" s="13" t="str">
        <f aca="false">עזר!M2140</f>
        <v/>
      </c>
    </row>
    <row r="2141" customFormat="false" ht="15" hidden="false" customHeight="false" outlineLevel="0" collapsed="false">
      <c r="A2141" s="13" t="str">
        <f aca="false">IF(עזר!L2141="","",INDEX(עזר!$A$2:$A$5001,עזר!L2141))</f>
        <v/>
      </c>
      <c r="B2141" s="13" t="str">
        <f aca="false">IF(עזר!L2141="","",INDEX(עזר!$B$2:$B$5001,עזר!L2141))</f>
        <v/>
      </c>
      <c r="C2141" s="13" t="str">
        <f aca="false">עזר!M2141</f>
        <v/>
      </c>
    </row>
    <row r="2142" customFormat="false" ht="15" hidden="false" customHeight="false" outlineLevel="0" collapsed="false">
      <c r="A2142" s="13" t="str">
        <f aca="false">IF(עזר!L2142="","",INDEX(עזר!$A$2:$A$5001,עזר!L2142))</f>
        <v/>
      </c>
      <c r="B2142" s="13" t="str">
        <f aca="false">IF(עזר!L2142="","",INDEX(עזר!$B$2:$B$5001,עזר!L2142))</f>
        <v/>
      </c>
      <c r="C2142" s="13" t="str">
        <f aca="false">עזר!M2142</f>
        <v/>
      </c>
    </row>
    <row r="2143" customFormat="false" ht="15" hidden="false" customHeight="false" outlineLevel="0" collapsed="false">
      <c r="A2143" s="13" t="str">
        <f aca="false">IF(עזר!L2143="","",INDEX(עזר!$A$2:$A$5001,עזר!L2143))</f>
        <v/>
      </c>
      <c r="B2143" s="13" t="str">
        <f aca="false">IF(עזר!L2143="","",INDEX(עזר!$B$2:$B$5001,עזר!L2143))</f>
        <v/>
      </c>
      <c r="C2143" s="13" t="str">
        <f aca="false">עזר!M2143</f>
        <v/>
      </c>
    </row>
    <row r="2144" customFormat="false" ht="15" hidden="false" customHeight="false" outlineLevel="0" collapsed="false">
      <c r="A2144" s="13" t="str">
        <f aca="false">IF(עזר!L2144="","",INDEX(עזר!$A$2:$A$5001,עזר!L2144))</f>
        <v/>
      </c>
      <c r="B2144" s="13" t="str">
        <f aca="false">IF(עזר!L2144="","",INDEX(עזר!$B$2:$B$5001,עזר!L2144))</f>
        <v/>
      </c>
      <c r="C2144" s="13" t="str">
        <f aca="false">עזר!M2144</f>
        <v/>
      </c>
    </row>
    <row r="2145" customFormat="false" ht="15" hidden="false" customHeight="false" outlineLevel="0" collapsed="false">
      <c r="A2145" s="13" t="str">
        <f aca="false">IF(עזר!L2145="","",INDEX(עזר!$A$2:$A$5001,עזר!L2145))</f>
        <v/>
      </c>
      <c r="B2145" s="13" t="str">
        <f aca="false">IF(עזר!L2145="","",INDEX(עזר!$B$2:$B$5001,עזר!L2145))</f>
        <v/>
      </c>
      <c r="C2145" s="13" t="str">
        <f aca="false">עזר!M2145</f>
        <v/>
      </c>
    </row>
    <row r="2146" customFormat="false" ht="15" hidden="false" customHeight="false" outlineLevel="0" collapsed="false">
      <c r="A2146" s="13" t="str">
        <f aca="false">IF(עזר!L2146="","",INDEX(עזר!$A$2:$A$5001,עזר!L2146))</f>
        <v/>
      </c>
      <c r="B2146" s="13" t="str">
        <f aca="false">IF(עזר!L2146="","",INDEX(עזר!$B$2:$B$5001,עזר!L2146))</f>
        <v/>
      </c>
      <c r="C2146" s="13" t="str">
        <f aca="false">עזר!M2146</f>
        <v/>
      </c>
    </row>
    <row r="2147" customFormat="false" ht="15" hidden="false" customHeight="false" outlineLevel="0" collapsed="false">
      <c r="A2147" s="13" t="str">
        <f aca="false">IF(עזר!L2147="","",INDEX(עזר!$A$2:$A$5001,עזר!L2147))</f>
        <v/>
      </c>
      <c r="B2147" s="13" t="str">
        <f aca="false">IF(עזר!L2147="","",INDEX(עזר!$B$2:$B$5001,עזר!L2147))</f>
        <v/>
      </c>
      <c r="C2147" s="13" t="str">
        <f aca="false">עזר!M2147</f>
        <v/>
      </c>
    </row>
    <row r="2148" customFormat="false" ht="15" hidden="false" customHeight="false" outlineLevel="0" collapsed="false">
      <c r="A2148" s="13" t="str">
        <f aca="false">IF(עזר!L2148="","",INDEX(עזר!$A$2:$A$5001,עזר!L2148))</f>
        <v/>
      </c>
      <c r="B2148" s="13" t="str">
        <f aca="false">IF(עזר!L2148="","",INDEX(עזר!$B$2:$B$5001,עזר!L2148))</f>
        <v/>
      </c>
      <c r="C2148" s="13" t="str">
        <f aca="false">עזר!M2148</f>
        <v/>
      </c>
    </row>
    <row r="2149" customFormat="false" ht="15" hidden="false" customHeight="false" outlineLevel="0" collapsed="false">
      <c r="A2149" s="13" t="str">
        <f aca="false">IF(עזר!L2149="","",INDEX(עזר!$A$2:$A$5001,עזר!L2149))</f>
        <v/>
      </c>
      <c r="B2149" s="13" t="str">
        <f aca="false">IF(עזר!L2149="","",INDEX(עזר!$B$2:$B$5001,עזר!L2149))</f>
        <v/>
      </c>
      <c r="C2149" s="13" t="str">
        <f aca="false">עזר!M2149</f>
        <v/>
      </c>
    </row>
    <row r="2150" customFormat="false" ht="15" hidden="false" customHeight="false" outlineLevel="0" collapsed="false">
      <c r="A2150" s="13" t="str">
        <f aca="false">IF(עזר!L2150="","",INDEX(עזר!$A$2:$A$5001,עזר!L2150))</f>
        <v/>
      </c>
      <c r="B2150" s="13" t="str">
        <f aca="false">IF(עזר!L2150="","",INDEX(עזר!$B$2:$B$5001,עזר!L2150))</f>
        <v/>
      </c>
      <c r="C2150" s="13" t="str">
        <f aca="false">עזר!M2150</f>
        <v/>
      </c>
    </row>
    <row r="2151" customFormat="false" ht="15" hidden="false" customHeight="false" outlineLevel="0" collapsed="false">
      <c r="A2151" s="13" t="str">
        <f aca="false">IF(עזר!L2151="","",INDEX(עזר!$A$2:$A$5001,עזר!L2151))</f>
        <v/>
      </c>
      <c r="B2151" s="13" t="str">
        <f aca="false">IF(עזר!L2151="","",INDEX(עזר!$B$2:$B$5001,עזר!L2151))</f>
        <v/>
      </c>
      <c r="C2151" s="13" t="str">
        <f aca="false">עזר!M2151</f>
        <v/>
      </c>
    </row>
    <row r="2152" customFormat="false" ht="15" hidden="false" customHeight="false" outlineLevel="0" collapsed="false">
      <c r="A2152" s="13" t="str">
        <f aca="false">IF(עזר!L2152="","",INDEX(עזר!$A$2:$A$5001,עזר!L2152))</f>
        <v/>
      </c>
      <c r="B2152" s="13" t="str">
        <f aca="false">IF(עזר!L2152="","",INDEX(עזר!$B$2:$B$5001,עזר!L2152))</f>
        <v/>
      </c>
      <c r="C2152" s="13" t="str">
        <f aca="false">עזר!M2152</f>
        <v/>
      </c>
    </row>
    <row r="2153" customFormat="false" ht="15" hidden="false" customHeight="false" outlineLevel="0" collapsed="false">
      <c r="A2153" s="13" t="str">
        <f aca="false">IF(עזר!L2153="","",INDEX(עזר!$A$2:$A$5001,עזר!L2153))</f>
        <v/>
      </c>
      <c r="B2153" s="13" t="str">
        <f aca="false">IF(עזר!L2153="","",INDEX(עזר!$B$2:$B$5001,עזר!L2153))</f>
        <v/>
      </c>
      <c r="C2153" s="13" t="str">
        <f aca="false">עזר!M2153</f>
        <v/>
      </c>
    </row>
    <row r="2154" customFormat="false" ht="15" hidden="false" customHeight="false" outlineLevel="0" collapsed="false">
      <c r="A2154" s="13" t="str">
        <f aca="false">IF(עזר!L2154="","",INDEX(עזר!$A$2:$A$5001,עזר!L2154))</f>
        <v/>
      </c>
      <c r="B2154" s="13" t="str">
        <f aca="false">IF(עזר!L2154="","",INDEX(עזר!$B$2:$B$5001,עזר!L2154))</f>
        <v/>
      </c>
      <c r="C2154" s="13" t="str">
        <f aca="false">עזר!M2154</f>
        <v/>
      </c>
    </row>
    <row r="2155" customFormat="false" ht="15" hidden="false" customHeight="false" outlineLevel="0" collapsed="false">
      <c r="A2155" s="13" t="str">
        <f aca="false">IF(עזר!L2155="","",INDEX(עזר!$A$2:$A$5001,עזר!L2155))</f>
        <v/>
      </c>
      <c r="B2155" s="13" t="str">
        <f aca="false">IF(עזר!L2155="","",INDEX(עזר!$B$2:$B$5001,עזר!L2155))</f>
        <v/>
      </c>
      <c r="C2155" s="13" t="str">
        <f aca="false">עזר!M2155</f>
        <v/>
      </c>
    </row>
    <row r="2156" customFormat="false" ht="15" hidden="false" customHeight="false" outlineLevel="0" collapsed="false">
      <c r="A2156" s="13" t="str">
        <f aca="false">IF(עזר!L2156="","",INDEX(עזר!$A$2:$A$5001,עזר!L2156))</f>
        <v/>
      </c>
      <c r="B2156" s="13" t="str">
        <f aca="false">IF(עזר!L2156="","",INDEX(עזר!$B$2:$B$5001,עזר!L2156))</f>
        <v/>
      </c>
      <c r="C2156" s="13" t="str">
        <f aca="false">עזר!M2156</f>
        <v/>
      </c>
    </row>
    <row r="2157" customFormat="false" ht="15" hidden="false" customHeight="false" outlineLevel="0" collapsed="false">
      <c r="A2157" s="13" t="str">
        <f aca="false">IF(עזר!L2157="","",INDEX(עזר!$A$2:$A$5001,עזר!L2157))</f>
        <v/>
      </c>
      <c r="B2157" s="13" t="str">
        <f aca="false">IF(עזר!L2157="","",INDEX(עזר!$B$2:$B$5001,עזר!L2157))</f>
        <v/>
      </c>
      <c r="C2157" s="13" t="str">
        <f aca="false">עזר!M2157</f>
        <v/>
      </c>
    </row>
    <row r="2158" customFormat="false" ht="15" hidden="false" customHeight="false" outlineLevel="0" collapsed="false">
      <c r="A2158" s="13" t="str">
        <f aca="false">IF(עזר!L2158="","",INDEX(עזר!$A$2:$A$5001,עזר!L2158))</f>
        <v/>
      </c>
      <c r="B2158" s="13" t="str">
        <f aca="false">IF(עזר!L2158="","",INDEX(עזר!$B$2:$B$5001,עזר!L2158))</f>
        <v/>
      </c>
      <c r="C2158" s="13" t="str">
        <f aca="false">עזר!M2158</f>
        <v/>
      </c>
    </row>
    <row r="2159" customFormat="false" ht="15" hidden="false" customHeight="false" outlineLevel="0" collapsed="false">
      <c r="A2159" s="13" t="str">
        <f aca="false">IF(עזר!L2159="","",INDEX(עזר!$A$2:$A$5001,עזר!L2159))</f>
        <v/>
      </c>
      <c r="B2159" s="13" t="str">
        <f aca="false">IF(עזר!L2159="","",INDEX(עזר!$B$2:$B$5001,עזר!L2159))</f>
        <v/>
      </c>
      <c r="C2159" s="13" t="str">
        <f aca="false">עזר!M2159</f>
        <v/>
      </c>
    </row>
    <row r="2160" customFormat="false" ht="15" hidden="false" customHeight="false" outlineLevel="0" collapsed="false">
      <c r="A2160" s="13" t="str">
        <f aca="false">IF(עזר!L2160="","",INDEX(עזר!$A$2:$A$5001,עזר!L2160))</f>
        <v/>
      </c>
      <c r="B2160" s="13" t="str">
        <f aca="false">IF(עזר!L2160="","",INDEX(עזר!$B$2:$B$5001,עזר!L2160))</f>
        <v/>
      </c>
      <c r="C2160" s="13" t="str">
        <f aca="false">עזר!M2160</f>
        <v/>
      </c>
    </row>
    <row r="2161" customFormat="false" ht="15" hidden="false" customHeight="false" outlineLevel="0" collapsed="false">
      <c r="A2161" s="13" t="str">
        <f aca="false">IF(עזר!L2161="","",INDEX(עזר!$A$2:$A$5001,עזר!L2161))</f>
        <v/>
      </c>
      <c r="B2161" s="13" t="str">
        <f aca="false">IF(עזר!L2161="","",INDEX(עזר!$B$2:$B$5001,עזר!L2161))</f>
        <v/>
      </c>
      <c r="C2161" s="13" t="str">
        <f aca="false">עזר!M2161</f>
        <v/>
      </c>
    </row>
    <row r="2162" customFormat="false" ht="15" hidden="false" customHeight="false" outlineLevel="0" collapsed="false">
      <c r="A2162" s="13" t="str">
        <f aca="false">IF(עזר!L2162="","",INDEX(עזר!$A$2:$A$5001,עזר!L2162))</f>
        <v/>
      </c>
      <c r="B2162" s="13" t="str">
        <f aca="false">IF(עזר!L2162="","",INDEX(עזר!$B$2:$B$5001,עזר!L2162))</f>
        <v/>
      </c>
      <c r="C2162" s="13" t="str">
        <f aca="false">עזר!M2162</f>
        <v/>
      </c>
    </row>
    <row r="2163" customFormat="false" ht="15" hidden="false" customHeight="false" outlineLevel="0" collapsed="false">
      <c r="A2163" s="13" t="str">
        <f aca="false">IF(עזר!L2163="","",INDEX(עזר!$A$2:$A$5001,עזר!L2163))</f>
        <v/>
      </c>
      <c r="B2163" s="13" t="str">
        <f aca="false">IF(עזר!L2163="","",INDEX(עזר!$B$2:$B$5001,עזר!L2163))</f>
        <v/>
      </c>
      <c r="C2163" s="13" t="str">
        <f aca="false">עזר!M2163</f>
        <v/>
      </c>
    </row>
    <row r="2164" customFormat="false" ht="15" hidden="false" customHeight="false" outlineLevel="0" collapsed="false">
      <c r="A2164" s="13" t="str">
        <f aca="false">IF(עזר!L2164="","",INDEX(עזר!$A$2:$A$5001,עזר!L2164))</f>
        <v/>
      </c>
      <c r="B2164" s="13" t="str">
        <f aca="false">IF(עזר!L2164="","",INDEX(עזר!$B$2:$B$5001,עזר!L2164))</f>
        <v/>
      </c>
      <c r="C2164" s="13" t="str">
        <f aca="false">עזר!M2164</f>
        <v/>
      </c>
    </row>
    <row r="2165" customFormat="false" ht="15" hidden="false" customHeight="false" outlineLevel="0" collapsed="false">
      <c r="A2165" s="13" t="str">
        <f aca="false">IF(עזר!L2165="","",INDEX(עזר!$A$2:$A$5001,עזר!L2165))</f>
        <v/>
      </c>
      <c r="B2165" s="13" t="str">
        <f aca="false">IF(עזר!L2165="","",INDEX(עזר!$B$2:$B$5001,עזר!L2165))</f>
        <v/>
      </c>
      <c r="C2165" s="13" t="str">
        <f aca="false">עזר!M2165</f>
        <v/>
      </c>
    </row>
    <row r="2166" customFormat="false" ht="15" hidden="false" customHeight="false" outlineLevel="0" collapsed="false">
      <c r="A2166" s="13" t="str">
        <f aca="false">IF(עזר!L2166="","",INDEX(עזר!$A$2:$A$5001,עזר!L2166))</f>
        <v/>
      </c>
      <c r="B2166" s="13" t="str">
        <f aca="false">IF(עזר!L2166="","",INDEX(עזר!$B$2:$B$5001,עזר!L2166))</f>
        <v/>
      </c>
      <c r="C2166" s="13" t="str">
        <f aca="false">עזר!M2166</f>
        <v/>
      </c>
    </row>
    <row r="2167" customFormat="false" ht="15" hidden="false" customHeight="false" outlineLevel="0" collapsed="false">
      <c r="A2167" s="13" t="str">
        <f aca="false">IF(עזר!L2167="","",INDEX(עזר!$A$2:$A$5001,עזר!L2167))</f>
        <v/>
      </c>
      <c r="B2167" s="13" t="str">
        <f aca="false">IF(עזר!L2167="","",INDEX(עזר!$B$2:$B$5001,עזר!L2167))</f>
        <v/>
      </c>
      <c r="C2167" s="13" t="str">
        <f aca="false">עזר!M2167</f>
        <v/>
      </c>
    </row>
    <row r="2168" customFormat="false" ht="15" hidden="false" customHeight="false" outlineLevel="0" collapsed="false">
      <c r="A2168" s="13" t="str">
        <f aca="false">IF(עזר!L2168="","",INDEX(עזר!$A$2:$A$5001,עזר!L2168))</f>
        <v/>
      </c>
      <c r="B2168" s="13" t="str">
        <f aca="false">IF(עזר!L2168="","",INDEX(עזר!$B$2:$B$5001,עזר!L2168))</f>
        <v/>
      </c>
      <c r="C2168" s="13" t="str">
        <f aca="false">עזר!M2168</f>
        <v/>
      </c>
    </row>
    <row r="2169" customFormat="false" ht="15" hidden="false" customHeight="false" outlineLevel="0" collapsed="false">
      <c r="A2169" s="13" t="str">
        <f aca="false">IF(עזר!L2169="","",INDEX(עזר!$A$2:$A$5001,עזר!L2169))</f>
        <v/>
      </c>
      <c r="B2169" s="13" t="str">
        <f aca="false">IF(עזר!L2169="","",INDEX(עזר!$B$2:$B$5001,עזר!L2169))</f>
        <v/>
      </c>
      <c r="C2169" s="13" t="str">
        <f aca="false">עזר!M2169</f>
        <v/>
      </c>
    </row>
    <row r="2170" customFormat="false" ht="15" hidden="false" customHeight="false" outlineLevel="0" collapsed="false">
      <c r="A2170" s="13" t="str">
        <f aca="false">IF(עזר!L2170="","",INDEX(עזר!$A$2:$A$5001,עזר!L2170))</f>
        <v/>
      </c>
      <c r="B2170" s="13" t="str">
        <f aca="false">IF(עזר!L2170="","",INDEX(עזר!$B$2:$B$5001,עזר!L2170))</f>
        <v/>
      </c>
      <c r="C2170" s="13" t="str">
        <f aca="false">עזר!M2170</f>
        <v/>
      </c>
    </row>
    <row r="2171" customFormat="false" ht="15" hidden="false" customHeight="false" outlineLevel="0" collapsed="false">
      <c r="A2171" s="13" t="str">
        <f aca="false">IF(עזר!L2171="","",INDEX(עזר!$A$2:$A$5001,עזר!L2171))</f>
        <v/>
      </c>
      <c r="B2171" s="13" t="str">
        <f aca="false">IF(עזר!L2171="","",INDEX(עזר!$B$2:$B$5001,עזר!L2171))</f>
        <v/>
      </c>
      <c r="C2171" s="13" t="str">
        <f aca="false">עזר!M2171</f>
        <v/>
      </c>
    </row>
    <row r="2172" customFormat="false" ht="15" hidden="false" customHeight="false" outlineLevel="0" collapsed="false">
      <c r="A2172" s="13" t="str">
        <f aca="false">IF(עזר!L2172="","",INDEX(עזר!$A$2:$A$5001,עזר!L2172))</f>
        <v/>
      </c>
      <c r="B2172" s="13" t="str">
        <f aca="false">IF(עזר!L2172="","",INDEX(עזר!$B$2:$B$5001,עזר!L2172))</f>
        <v/>
      </c>
      <c r="C2172" s="13" t="str">
        <f aca="false">עזר!M2172</f>
        <v/>
      </c>
    </row>
    <row r="2173" customFormat="false" ht="15" hidden="false" customHeight="false" outlineLevel="0" collapsed="false">
      <c r="A2173" s="13" t="str">
        <f aca="false">IF(עזר!L2173="","",INDEX(עזר!$A$2:$A$5001,עזר!L2173))</f>
        <v/>
      </c>
      <c r="B2173" s="13" t="str">
        <f aca="false">IF(עזר!L2173="","",INDEX(עזר!$B$2:$B$5001,עזר!L2173))</f>
        <v/>
      </c>
      <c r="C2173" s="13" t="str">
        <f aca="false">עזר!M2173</f>
        <v/>
      </c>
    </row>
    <row r="2174" customFormat="false" ht="15" hidden="false" customHeight="false" outlineLevel="0" collapsed="false">
      <c r="A2174" s="13" t="str">
        <f aca="false">IF(עזר!L2174="","",INDEX(עזר!$A$2:$A$5001,עזר!L2174))</f>
        <v/>
      </c>
      <c r="B2174" s="13" t="str">
        <f aca="false">IF(עזר!L2174="","",INDEX(עזר!$B$2:$B$5001,עזר!L2174))</f>
        <v/>
      </c>
      <c r="C2174" s="13" t="str">
        <f aca="false">עזר!M2174</f>
        <v/>
      </c>
    </row>
    <row r="2175" customFormat="false" ht="15" hidden="false" customHeight="false" outlineLevel="0" collapsed="false">
      <c r="A2175" s="13" t="str">
        <f aca="false">IF(עזר!L2175="","",INDEX(עזר!$A$2:$A$5001,עזר!L2175))</f>
        <v/>
      </c>
      <c r="B2175" s="13" t="str">
        <f aca="false">IF(עזר!L2175="","",INDEX(עזר!$B$2:$B$5001,עזר!L2175))</f>
        <v/>
      </c>
      <c r="C2175" s="13" t="str">
        <f aca="false">עזר!M2175</f>
        <v/>
      </c>
    </row>
    <row r="2176" customFormat="false" ht="15" hidden="false" customHeight="false" outlineLevel="0" collapsed="false">
      <c r="A2176" s="13" t="str">
        <f aca="false">IF(עזר!L2176="","",INDEX(עזר!$A$2:$A$5001,עזר!L2176))</f>
        <v/>
      </c>
      <c r="B2176" s="13" t="str">
        <f aca="false">IF(עזר!L2176="","",INDEX(עזר!$B$2:$B$5001,עזר!L2176))</f>
        <v/>
      </c>
      <c r="C2176" s="13" t="str">
        <f aca="false">עזר!M2176</f>
        <v/>
      </c>
    </row>
    <row r="2177" customFormat="false" ht="15" hidden="false" customHeight="false" outlineLevel="0" collapsed="false">
      <c r="A2177" s="13" t="str">
        <f aca="false">IF(עזר!L2177="","",INDEX(עזר!$A$2:$A$5001,עזר!L2177))</f>
        <v/>
      </c>
      <c r="B2177" s="13" t="str">
        <f aca="false">IF(עזר!L2177="","",INDEX(עזר!$B$2:$B$5001,עזר!L2177))</f>
        <v/>
      </c>
      <c r="C2177" s="13" t="str">
        <f aca="false">עזר!M2177</f>
        <v/>
      </c>
    </row>
    <row r="2178" customFormat="false" ht="15" hidden="false" customHeight="false" outlineLevel="0" collapsed="false">
      <c r="A2178" s="13" t="str">
        <f aca="false">IF(עזר!L2178="","",INDEX(עזר!$A$2:$A$5001,עזר!L2178))</f>
        <v/>
      </c>
      <c r="B2178" s="13" t="str">
        <f aca="false">IF(עזר!L2178="","",INDEX(עזר!$B$2:$B$5001,עזר!L2178))</f>
        <v/>
      </c>
      <c r="C2178" s="13" t="str">
        <f aca="false">עזר!M2178</f>
        <v/>
      </c>
    </row>
    <row r="2179" customFormat="false" ht="15" hidden="false" customHeight="false" outlineLevel="0" collapsed="false">
      <c r="A2179" s="13" t="str">
        <f aca="false">IF(עזר!L2179="","",INDEX(עזר!$A$2:$A$5001,עזר!L2179))</f>
        <v/>
      </c>
      <c r="B2179" s="13" t="str">
        <f aca="false">IF(עזר!L2179="","",INDEX(עזר!$B$2:$B$5001,עזר!L2179))</f>
        <v/>
      </c>
      <c r="C2179" s="13" t="str">
        <f aca="false">עזר!M2179</f>
        <v/>
      </c>
    </row>
    <row r="2180" customFormat="false" ht="15" hidden="false" customHeight="false" outlineLevel="0" collapsed="false">
      <c r="A2180" s="13" t="str">
        <f aca="false">IF(עזר!L2180="","",INDEX(עזר!$A$2:$A$5001,עזר!L2180))</f>
        <v/>
      </c>
      <c r="B2180" s="13" t="str">
        <f aca="false">IF(עזר!L2180="","",INDEX(עזר!$B$2:$B$5001,עזר!L2180))</f>
        <v/>
      </c>
      <c r="C2180" s="13" t="str">
        <f aca="false">עזר!M2180</f>
        <v/>
      </c>
    </row>
    <row r="2181" customFormat="false" ht="15" hidden="false" customHeight="false" outlineLevel="0" collapsed="false">
      <c r="A2181" s="13" t="str">
        <f aca="false">IF(עזר!L2181="","",INDEX(עזר!$A$2:$A$5001,עזר!L2181))</f>
        <v/>
      </c>
      <c r="B2181" s="13" t="str">
        <f aca="false">IF(עזר!L2181="","",INDEX(עזר!$B$2:$B$5001,עזר!L2181))</f>
        <v/>
      </c>
      <c r="C2181" s="13" t="str">
        <f aca="false">עזר!M2181</f>
        <v/>
      </c>
    </row>
    <row r="2182" customFormat="false" ht="15" hidden="false" customHeight="false" outlineLevel="0" collapsed="false">
      <c r="A2182" s="13" t="str">
        <f aca="false">IF(עזר!L2182="","",INDEX(עזר!$A$2:$A$5001,עזר!L2182))</f>
        <v/>
      </c>
      <c r="B2182" s="13" t="str">
        <f aca="false">IF(עזר!L2182="","",INDEX(עזר!$B$2:$B$5001,עזר!L2182))</f>
        <v/>
      </c>
      <c r="C2182" s="13" t="str">
        <f aca="false">עזר!M2182</f>
        <v/>
      </c>
    </row>
    <row r="2183" customFormat="false" ht="15" hidden="false" customHeight="false" outlineLevel="0" collapsed="false">
      <c r="A2183" s="13" t="str">
        <f aca="false">IF(עזר!L2183="","",INDEX(עזר!$A$2:$A$5001,עזר!L2183))</f>
        <v/>
      </c>
      <c r="B2183" s="13" t="str">
        <f aca="false">IF(עזר!L2183="","",INDEX(עזר!$B$2:$B$5001,עזר!L2183))</f>
        <v/>
      </c>
      <c r="C2183" s="13" t="str">
        <f aca="false">עזר!M2183</f>
        <v/>
      </c>
    </row>
    <row r="2184" customFormat="false" ht="15" hidden="false" customHeight="false" outlineLevel="0" collapsed="false">
      <c r="A2184" s="13" t="str">
        <f aca="false">IF(עזר!L2184="","",INDEX(עזר!$A$2:$A$5001,עזר!L2184))</f>
        <v/>
      </c>
      <c r="B2184" s="13" t="str">
        <f aca="false">IF(עזר!L2184="","",INDEX(עזר!$B$2:$B$5001,עזר!L2184))</f>
        <v/>
      </c>
      <c r="C2184" s="13" t="str">
        <f aca="false">עזר!M2184</f>
        <v/>
      </c>
    </row>
    <row r="2185" customFormat="false" ht="15" hidden="false" customHeight="false" outlineLevel="0" collapsed="false">
      <c r="A2185" s="13" t="str">
        <f aca="false">IF(עזר!L2185="","",INDEX(עזר!$A$2:$A$5001,עזר!L2185))</f>
        <v/>
      </c>
      <c r="B2185" s="13" t="str">
        <f aca="false">IF(עזר!L2185="","",INDEX(עזר!$B$2:$B$5001,עזר!L2185))</f>
        <v/>
      </c>
      <c r="C2185" s="13" t="str">
        <f aca="false">עזר!M2185</f>
        <v/>
      </c>
    </row>
    <row r="2186" customFormat="false" ht="15" hidden="false" customHeight="false" outlineLevel="0" collapsed="false">
      <c r="A2186" s="13" t="str">
        <f aca="false">IF(עזר!L2186="","",INDEX(עזר!$A$2:$A$5001,עזר!L2186))</f>
        <v/>
      </c>
      <c r="B2186" s="13" t="str">
        <f aca="false">IF(עזר!L2186="","",INDEX(עזר!$B$2:$B$5001,עזר!L2186))</f>
        <v/>
      </c>
      <c r="C2186" s="13" t="str">
        <f aca="false">עזר!M2186</f>
        <v/>
      </c>
    </row>
    <row r="2187" customFormat="false" ht="15" hidden="false" customHeight="false" outlineLevel="0" collapsed="false">
      <c r="A2187" s="13" t="str">
        <f aca="false">IF(עזר!L2187="","",INDEX(עזר!$A$2:$A$5001,עזר!L2187))</f>
        <v/>
      </c>
      <c r="B2187" s="13" t="str">
        <f aca="false">IF(עזר!L2187="","",INDEX(עזר!$B$2:$B$5001,עזר!L2187))</f>
        <v/>
      </c>
      <c r="C2187" s="13" t="str">
        <f aca="false">עזר!M2187</f>
        <v/>
      </c>
    </row>
    <row r="2188" customFormat="false" ht="15" hidden="false" customHeight="false" outlineLevel="0" collapsed="false">
      <c r="A2188" s="13" t="str">
        <f aca="false">IF(עזר!L2188="","",INDEX(עזר!$A$2:$A$5001,עזר!L2188))</f>
        <v/>
      </c>
      <c r="B2188" s="13" t="str">
        <f aca="false">IF(עזר!L2188="","",INDEX(עזר!$B$2:$B$5001,עזר!L2188))</f>
        <v/>
      </c>
      <c r="C2188" s="13" t="str">
        <f aca="false">עזר!M2188</f>
        <v/>
      </c>
    </row>
    <row r="2189" customFormat="false" ht="15" hidden="false" customHeight="false" outlineLevel="0" collapsed="false">
      <c r="A2189" s="13" t="str">
        <f aca="false">IF(עזר!L2189="","",INDEX(עזר!$A$2:$A$5001,עזר!L2189))</f>
        <v/>
      </c>
      <c r="B2189" s="13" t="str">
        <f aca="false">IF(עזר!L2189="","",INDEX(עזר!$B$2:$B$5001,עזר!L2189))</f>
        <v/>
      </c>
      <c r="C2189" s="13" t="str">
        <f aca="false">עזר!M2189</f>
        <v/>
      </c>
    </row>
    <row r="2190" customFormat="false" ht="15" hidden="false" customHeight="false" outlineLevel="0" collapsed="false">
      <c r="A2190" s="13" t="str">
        <f aca="false">IF(עזר!L2190="","",INDEX(עזר!$A$2:$A$5001,עזר!L2190))</f>
        <v/>
      </c>
      <c r="B2190" s="13" t="str">
        <f aca="false">IF(עזר!L2190="","",INDEX(עזר!$B$2:$B$5001,עזר!L2190))</f>
        <v/>
      </c>
      <c r="C2190" s="13" t="str">
        <f aca="false">עזר!M2190</f>
        <v/>
      </c>
    </row>
    <row r="2191" customFormat="false" ht="15" hidden="false" customHeight="false" outlineLevel="0" collapsed="false">
      <c r="A2191" s="13" t="str">
        <f aca="false">IF(עזר!L2191="","",INDEX(עזר!$A$2:$A$5001,עזר!L2191))</f>
        <v/>
      </c>
      <c r="B2191" s="13" t="str">
        <f aca="false">IF(עזר!L2191="","",INDEX(עזר!$B$2:$B$5001,עזר!L2191))</f>
        <v/>
      </c>
      <c r="C2191" s="13" t="str">
        <f aca="false">עזר!M2191</f>
        <v/>
      </c>
    </row>
    <row r="2192" customFormat="false" ht="15" hidden="false" customHeight="false" outlineLevel="0" collapsed="false">
      <c r="A2192" s="13" t="str">
        <f aca="false">IF(עזר!L2192="","",INDEX(עזר!$A$2:$A$5001,עזר!L2192))</f>
        <v/>
      </c>
      <c r="B2192" s="13" t="str">
        <f aca="false">IF(עזר!L2192="","",INDEX(עזר!$B$2:$B$5001,עזר!L2192))</f>
        <v/>
      </c>
      <c r="C2192" s="13" t="str">
        <f aca="false">עזר!M2192</f>
        <v/>
      </c>
    </row>
    <row r="2193" customFormat="false" ht="15" hidden="false" customHeight="false" outlineLevel="0" collapsed="false">
      <c r="A2193" s="13" t="str">
        <f aca="false">IF(עזר!L2193="","",INDEX(עזר!$A$2:$A$5001,עזר!L2193))</f>
        <v/>
      </c>
      <c r="B2193" s="13" t="str">
        <f aca="false">IF(עזר!L2193="","",INDEX(עזר!$B$2:$B$5001,עזר!L2193))</f>
        <v/>
      </c>
      <c r="C2193" s="13" t="str">
        <f aca="false">עזר!M2193</f>
        <v/>
      </c>
    </row>
    <row r="2194" customFormat="false" ht="15" hidden="false" customHeight="false" outlineLevel="0" collapsed="false">
      <c r="A2194" s="13" t="str">
        <f aca="false">IF(עזר!L2194="","",INDEX(עזר!$A$2:$A$5001,עזר!L2194))</f>
        <v/>
      </c>
      <c r="B2194" s="13" t="str">
        <f aca="false">IF(עזר!L2194="","",INDEX(עזר!$B$2:$B$5001,עזר!L2194))</f>
        <v/>
      </c>
      <c r="C2194" s="13" t="str">
        <f aca="false">עזר!M2194</f>
        <v/>
      </c>
    </row>
    <row r="2195" customFormat="false" ht="15" hidden="false" customHeight="false" outlineLevel="0" collapsed="false">
      <c r="A2195" s="13" t="str">
        <f aca="false">IF(עזר!L2195="","",INDEX(עזר!$A$2:$A$5001,עזר!L2195))</f>
        <v/>
      </c>
      <c r="B2195" s="13" t="str">
        <f aca="false">IF(עזר!L2195="","",INDEX(עזר!$B$2:$B$5001,עזר!L2195))</f>
        <v/>
      </c>
      <c r="C2195" s="13" t="str">
        <f aca="false">עזר!M2195</f>
        <v/>
      </c>
    </row>
    <row r="2196" customFormat="false" ht="15" hidden="false" customHeight="false" outlineLevel="0" collapsed="false">
      <c r="A2196" s="13" t="str">
        <f aca="false">IF(עזר!L2196="","",INDEX(עזר!$A$2:$A$5001,עזר!L2196))</f>
        <v/>
      </c>
      <c r="B2196" s="13" t="str">
        <f aca="false">IF(עזר!L2196="","",INDEX(עזר!$B$2:$B$5001,עזר!L2196))</f>
        <v/>
      </c>
      <c r="C2196" s="13" t="str">
        <f aca="false">עזר!M2196</f>
        <v/>
      </c>
    </row>
    <row r="2197" customFormat="false" ht="15" hidden="false" customHeight="false" outlineLevel="0" collapsed="false">
      <c r="A2197" s="13" t="str">
        <f aca="false">IF(עזר!L2197="","",INDEX(עזר!$A$2:$A$5001,עזר!L2197))</f>
        <v/>
      </c>
      <c r="B2197" s="13" t="str">
        <f aca="false">IF(עזר!L2197="","",INDEX(עזר!$B$2:$B$5001,עזר!L2197))</f>
        <v/>
      </c>
      <c r="C2197" s="13" t="str">
        <f aca="false">עזר!M2197</f>
        <v/>
      </c>
    </row>
    <row r="2198" customFormat="false" ht="15" hidden="false" customHeight="false" outlineLevel="0" collapsed="false">
      <c r="A2198" s="13" t="str">
        <f aca="false">IF(עזר!L2198="","",INDEX(עזר!$A$2:$A$5001,עזר!L2198))</f>
        <v/>
      </c>
      <c r="B2198" s="13" t="str">
        <f aca="false">IF(עזר!L2198="","",INDEX(עזר!$B$2:$B$5001,עזר!L2198))</f>
        <v/>
      </c>
      <c r="C2198" s="13" t="str">
        <f aca="false">עזר!M2198</f>
        <v/>
      </c>
    </row>
    <row r="2199" customFormat="false" ht="15" hidden="false" customHeight="false" outlineLevel="0" collapsed="false">
      <c r="A2199" s="13" t="str">
        <f aca="false">IF(עזר!L2199="","",INDEX(עזר!$A$2:$A$5001,עזר!L2199))</f>
        <v/>
      </c>
      <c r="B2199" s="13" t="str">
        <f aca="false">IF(עזר!L2199="","",INDEX(עזר!$B$2:$B$5001,עזר!L2199))</f>
        <v/>
      </c>
      <c r="C2199" s="13" t="str">
        <f aca="false">עזר!M2199</f>
        <v/>
      </c>
    </row>
    <row r="2200" customFormat="false" ht="15" hidden="false" customHeight="false" outlineLevel="0" collapsed="false">
      <c r="A2200" s="13" t="str">
        <f aca="false">IF(עזר!L2200="","",INDEX(עזר!$A$2:$A$5001,עזר!L2200))</f>
        <v/>
      </c>
      <c r="B2200" s="13" t="str">
        <f aca="false">IF(עזר!L2200="","",INDEX(עזר!$B$2:$B$5001,עזר!L2200))</f>
        <v/>
      </c>
      <c r="C2200" s="13" t="str">
        <f aca="false">עזר!M2200</f>
        <v/>
      </c>
    </row>
    <row r="2201" customFormat="false" ht="15" hidden="false" customHeight="false" outlineLevel="0" collapsed="false">
      <c r="A2201" s="13" t="str">
        <f aca="false">IF(עזר!L2201="","",INDEX(עזר!$A$2:$A$5001,עזר!L2201))</f>
        <v/>
      </c>
      <c r="B2201" s="13" t="str">
        <f aca="false">IF(עזר!L2201="","",INDEX(עזר!$B$2:$B$5001,עזר!L2201))</f>
        <v/>
      </c>
      <c r="C2201" s="13" t="str">
        <f aca="false">עזר!M2201</f>
        <v/>
      </c>
    </row>
    <row r="2202" customFormat="false" ht="15" hidden="false" customHeight="false" outlineLevel="0" collapsed="false">
      <c r="A2202" s="13" t="str">
        <f aca="false">IF(עזר!L2202="","",INDEX(עזר!$A$2:$A$5001,עזר!L2202))</f>
        <v/>
      </c>
      <c r="B2202" s="13" t="str">
        <f aca="false">IF(עזר!L2202="","",INDEX(עזר!$B$2:$B$5001,עזר!L2202))</f>
        <v/>
      </c>
      <c r="C2202" s="13" t="str">
        <f aca="false">עזר!M2202</f>
        <v/>
      </c>
    </row>
    <row r="2203" customFormat="false" ht="15" hidden="false" customHeight="false" outlineLevel="0" collapsed="false">
      <c r="A2203" s="13" t="str">
        <f aca="false">IF(עזר!L2203="","",INDEX(עזר!$A$2:$A$5001,עזר!L2203))</f>
        <v/>
      </c>
      <c r="B2203" s="13" t="str">
        <f aca="false">IF(עזר!L2203="","",INDEX(עזר!$B$2:$B$5001,עזר!L2203))</f>
        <v/>
      </c>
      <c r="C2203" s="13" t="str">
        <f aca="false">עזר!M2203</f>
        <v/>
      </c>
    </row>
    <row r="2204" customFormat="false" ht="15" hidden="false" customHeight="false" outlineLevel="0" collapsed="false">
      <c r="A2204" s="13" t="str">
        <f aca="false">IF(עזר!L2204="","",INDEX(עזר!$A$2:$A$5001,עזר!L2204))</f>
        <v/>
      </c>
      <c r="B2204" s="13" t="str">
        <f aca="false">IF(עזר!L2204="","",INDEX(עזר!$B$2:$B$5001,עזר!L2204))</f>
        <v/>
      </c>
      <c r="C2204" s="13" t="str">
        <f aca="false">עזר!M2204</f>
        <v/>
      </c>
    </row>
    <row r="2205" customFormat="false" ht="15" hidden="false" customHeight="false" outlineLevel="0" collapsed="false">
      <c r="A2205" s="13" t="str">
        <f aca="false">IF(עזר!L2205="","",INDEX(עזר!$A$2:$A$5001,עזר!L2205))</f>
        <v/>
      </c>
      <c r="B2205" s="13" t="str">
        <f aca="false">IF(עזר!L2205="","",INDEX(עזר!$B$2:$B$5001,עזר!L2205))</f>
        <v/>
      </c>
      <c r="C2205" s="13" t="str">
        <f aca="false">עזר!M2205</f>
        <v/>
      </c>
    </row>
    <row r="2206" customFormat="false" ht="15" hidden="false" customHeight="false" outlineLevel="0" collapsed="false">
      <c r="A2206" s="13" t="str">
        <f aca="false">IF(עזר!L2206="","",INDEX(עזר!$A$2:$A$5001,עזר!L2206))</f>
        <v/>
      </c>
      <c r="B2206" s="13" t="str">
        <f aca="false">IF(עזר!L2206="","",INDEX(עזר!$B$2:$B$5001,עזר!L2206))</f>
        <v/>
      </c>
      <c r="C2206" s="13" t="str">
        <f aca="false">עזר!M2206</f>
        <v/>
      </c>
    </row>
    <row r="2207" customFormat="false" ht="15" hidden="false" customHeight="false" outlineLevel="0" collapsed="false">
      <c r="A2207" s="13" t="str">
        <f aca="false">IF(עזר!L2207="","",INDEX(עזר!$A$2:$A$5001,עזר!L2207))</f>
        <v/>
      </c>
      <c r="B2207" s="13" t="str">
        <f aca="false">IF(עזר!L2207="","",INDEX(עזר!$B$2:$B$5001,עזר!L2207))</f>
        <v/>
      </c>
      <c r="C2207" s="13" t="str">
        <f aca="false">עזר!M2207</f>
        <v/>
      </c>
    </row>
    <row r="2208" customFormat="false" ht="15" hidden="false" customHeight="false" outlineLevel="0" collapsed="false">
      <c r="A2208" s="13" t="str">
        <f aca="false">IF(עזר!L2208="","",INDEX(עזר!$A$2:$A$5001,עזר!L2208))</f>
        <v/>
      </c>
      <c r="B2208" s="13" t="str">
        <f aca="false">IF(עזר!L2208="","",INDEX(עזר!$B$2:$B$5001,עזר!L2208))</f>
        <v/>
      </c>
      <c r="C2208" s="13" t="str">
        <f aca="false">עזר!M2208</f>
        <v/>
      </c>
    </row>
    <row r="2209" customFormat="false" ht="15" hidden="false" customHeight="false" outlineLevel="0" collapsed="false">
      <c r="A2209" s="13" t="str">
        <f aca="false">IF(עזר!L2209="","",INDEX(עזר!$A$2:$A$5001,עזר!L2209))</f>
        <v/>
      </c>
      <c r="B2209" s="13" t="str">
        <f aca="false">IF(עזר!L2209="","",INDEX(עזר!$B$2:$B$5001,עזר!L2209))</f>
        <v/>
      </c>
      <c r="C2209" s="13" t="str">
        <f aca="false">עזר!M2209</f>
        <v/>
      </c>
    </row>
    <row r="2210" customFormat="false" ht="15" hidden="false" customHeight="false" outlineLevel="0" collapsed="false">
      <c r="A2210" s="13" t="str">
        <f aca="false">IF(עזר!L2210="","",INDEX(עזר!$A$2:$A$5001,עזר!L2210))</f>
        <v/>
      </c>
      <c r="B2210" s="13" t="str">
        <f aca="false">IF(עזר!L2210="","",INDEX(עזר!$B$2:$B$5001,עזר!L2210))</f>
        <v/>
      </c>
      <c r="C2210" s="13" t="str">
        <f aca="false">עזר!M2210</f>
        <v/>
      </c>
    </row>
    <row r="2211" customFormat="false" ht="15" hidden="false" customHeight="false" outlineLevel="0" collapsed="false">
      <c r="A2211" s="13" t="str">
        <f aca="false">IF(עזר!L2211="","",INDEX(עזר!$A$2:$A$5001,עזר!L2211))</f>
        <v/>
      </c>
      <c r="B2211" s="13" t="str">
        <f aca="false">IF(עזר!L2211="","",INDEX(עזר!$B$2:$B$5001,עזר!L2211))</f>
        <v/>
      </c>
      <c r="C2211" s="13" t="str">
        <f aca="false">עזר!M2211</f>
        <v/>
      </c>
    </row>
    <row r="2212" customFormat="false" ht="15" hidden="false" customHeight="false" outlineLevel="0" collapsed="false">
      <c r="A2212" s="13" t="str">
        <f aca="false">IF(עזר!L2212="","",INDEX(עזר!$A$2:$A$5001,עזר!L2212))</f>
        <v/>
      </c>
      <c r="B2212" s="13" t="str">
        <f aca="false">IF(עזר!L2212="","",INDEX(עזר!$B$2:$B$5001,עזר!L2212))</f>
        <v/>
      </c>
      <c r="C2212" s="13" t="str">
        <f aca="false">עזר!M2212</f>
        <v/>
      </c>
    </row>
    <row r="2213" customFormat="false" ht="15" hidden="false" customHeight="false" outlineLevel="0" collapsed="false">
      <c r="A2213" s="13" t="str">
        <f aca="false">IF(עזר!L2213="","",INDEX(עזר!$A$2:$A$5001,עזר!L2213))</f>
        <v/>
      </c>
      <c r="B2213" s="13" t="str">
        <f aca="false">IF(עזר!L2213="","",INDEX(עזר!$B$2:$B$5001,עזר!L2213))</f>
        <v/>
      </c>
      <c r="C2213" s="13" t="str">
        <f aca="false">עזר!M2213</f>
        <v/>
      </c>
    </row>
    <row r="2214" customFormat="false" ht="15" hidden="false" customHeight="false" outlineLevel="0" collapsed="false">
      <c r="A2214" s="13" t="str">
        <f aca="false">IF(עזר!L2214="","",INDEX(עזר!$A$2:$A$5001,עזר!L2214))</f>
        <v/>
      </c>
      <c r="B2214" s="13" t="str">
        <f aca="false">IF(עזר!L2214="","",INDEX(עזר!$B$2:$B$5001,עזר!L2214))</f>
        <v/>
      </c>
      <c r="C2214" s="13" t="str">
        <f aca="false">עזר!M2214</f>
        <v/>
      </c>
    </row>
    <row r="2215" customFormat="false" ht="15" hidden="false" customHeight="false" outlineLevel="0" collapsed="false">
      <c r="A2215" s="13" t="str">
        <f aca="false">IF(עזר!L2215="","",INDEX(עזר!$A$2:$A$5001,עזר!L2215))</f>
        <v/>
      </c>
      <c r="B2215" s="13" t="str">
        <f aca="false">IF(עזר!L2215="","",INDEX(עזר!$B$2:$B$5001,עזר!L2215))</f>
        <v/>
      </c>
      <c r="C2215" s="13" t="str">
        <f aca="false">עזר!M2215</f>
        <v/>
      </c>
    </row>
    <row r="2216" customFormat="false" ht="15" hidden="false" customHeight="false" outlineLevel="0" collapsed="false">
      <c r="A2216" s="13" t="str">
        <f aca="false">IF(עזר!L2216="","",INDEX(עזר!$A$2:$A$5001,עזר!L2216))</f>
        <v/>
      </c>
      <c r="B2216" s="13" t="str">
        <f aca="false">IF(עזר!L2216="","",INDEX(עזר!$B$2:$B$5001,עזר!L2216))</f>
        <v/>
      </c>
      <c r="C2216" s="13" t="str">
        <f aca="false">עזר!M2216</f>
        <v/>
      </c>
    </row>
    <row r="2217" customFormat="false" ht="15" hidden="false" customHeight="false" outlineLevel="0" collapsed="false">
      <c r="A2217" s="13" t="str">
        <f aca="false">IF(עזר!L2217="","",INDEX(עזר!$A$2:$A$5001,עזר!L2217))</f>
        <v/>
      </c>
      <c r="B2217" s="13" t="str">
        <f aca="false">IF(עזר!L2217="","",INDEX(עזר!$B$2:$B$5001,עזר!L2217))</f>
        <v/>
      </c>
      <c r="C2217" s="13" t="str">
        <f aca="false">עזר!M2217</f>
        <v/>
      </c>
    </row>
    <row r="2218" customFormat="false" ht="15" hidden="false" customHeight="false" outlineLevel="0" collapsed="false">
      <c r="A2218" s="13" t="str">
        <f aca="false">IF(עזר!L2218="","",INDEX(עזר!$A$2:$A$5001,עזר!L2218))</f>
        <v/>
      </c>
      <c r="B2218" s="13" t="str">
        <f aca="false">IF(עזר!L2218="","",INDEX(עזר!$B$2:$B$5001,עזר!L2218))</f>
        <v/>
      </c>
      <c r="C2218" s="13" t="str">
        <f aca="false">עזר!M2218</f>
        <v/>
      </c>
    </row>
    <row r="2219" customFormat="false" ht="15" hidden="false" customHeight="false" outlineLevel="0" collapsed="false">
      <c r="A2219" s="13" t="str">
        <f aca="false">IF(עזר!L2219="","",INDEX(עזר!$A$2:$A$5001,עזר!L2219))</f>
        <v/>
      </c>
      <c r="B2219" s="13" t="str">
        <f aca="false">IF(עזר!L2219="","",INDEX(עזר!$B$2:$B$5001,עזר!L2219))</f>
        <v/>
      </c>
      <c r="C2219" s="13" t="str">
        <f aca="false">עזר!M2219</f>
        <v/>
      </c>
    </row>
    <row r="2220" customFormat="false" ht="15" hidden="false" customHeight="false" outlineLevel="0" collapsed="false">
      <c r="A2220" s="13" t="str">
        <f aca="false">IF(עזר!L2220="","",INDEX(עזר!$A$2:$A$5001,עזר!L2220))</f>
        <v/>
      </c>
      <c r="B2220" s="13" t="str">
        <f aca="false">IF(עזר!L2220="","",INDEX(עזר!$B$2:$B$5001,עזר!L2220))</f>
        <v/>
      </c>
      <c r="C2220" s="13" t="str">
        <f aca="false">עזר!M2220</f>
        <v/>
      </c>
    </row>
    <row r="2221" customFormat="false" ht="15" hidden="false" customHeight="false" outlineLevel="0" collapsed="false">
      <c r="A2221" s="13" t="str">
        <f aca="false">IF(עזר!L2221="","",INDEX(עזר!$A$2:$A$5001,עזר!L2221))</f>
        <v/>
      </c>
      <c r="B2221" s="13" t="str">
        <f aca="false">IF(עזר!L2221="","",INDEX(עזר!$B$2:$B$5001,עזר!L2221))</f>
        <v/>
      </c>
      <c r="C2221" s="13" t="str">
        <f aca="false">עזר!M2221</f>
        <v/>
      </c>
    </row>
    <row r="2222" customFormat="false" ht="15" hidden="false" customHeight="false" outlineLevel="0" collapsed="false">
      <c r="A2222" s="13" t="str">
        <f aca="false">IF(עזר!L2222="","",INDEX(עזר!$A$2:$A$5001,עזר!L2222))</f>
        <v/>
      </c>
      <c r="B2222" s="13" t="str">
        <f aca="false">IF(עזר!L2222="","",INDEX(עזר!$B$2:$B$5001,עזר!L2222))</f>
        <v/>
      </c>
      <c r="C2222" s="13" t="str">
        <f aca="false">עזר!M2222</f>
        <v/>
      </c>
    </row>
    <row r="2223" customFormat="false" ht="15" hidden="false" customHeight="false" outlineLevel="0" collapsed="false">
      <c r="A2223" s="13" t="str">
        <f aca="false">IF(עזר!L2223="","",INDEX(עזר!$A$2:$A$5001,עזר!L2223))</f>
        <v/>
      </c>
      <c r="B2223" s="13" t="str">
        <f aca="false">IF(עזר!L2223="","",INDEX(עזר!$B$2:$B$5001,עזר!L2223))</f>
        <v/>
      </c>
      <c r="C2223" s="13" t="str">
        <f aca="false">עזר!M2223</f>
        <v/>
      </c>
    </row>
    <row r="2224" customFormat="false" ht="15" hidden="false" customHeight="false" outlineLevel="0" collapsed="false">
      <c r="A2224" s="13" t="str">
        <f aca="false">IF(עזר!L2224="","",INDEX(עזר!$A$2:$A$5001,עזר!L2224))</f>
        <v/>
      </c>
      <c r="B2224" s="13" t="str">
        <f aca="false">IF(עזר!L2224="","",INDEX(עזר!$B$2:$B$5001,עזר!L2224))</f>
        <v/>
      </c>
      <c r="C2224" s="13" t="str">
        <f aca="false">עזר!M2224</f>
        <v/>
      </c>
    </row>
    <row r="2225" customFormat="false" ht="15" hidden="false" customHeight="false" outlineLevel="0" collapsed="false">
      <c r="A2225" s="13" t="str">
        <f aca="false">IF(עזר!L2225="","",INDEX(עזר!$A$2:$A$5001,עזר!L2225))</f>
        <v/>
      </c>
      <c r="B2225" s="13" t="str">
        <f aca="false">IF(עזר!L2225="","",INDEX(עזר!$B$2:$B$5001,עזר!L2225))</f>
        <v/>
      </c>
      <c r="C2225" s="13" t="str">
        <f aca="false">עזר!M2225</f>
        <v/>
      </c>
    </row>
    <row r="2226" customFormat="false" ht="15" hidden="false" customHeight="false" outlineLevel="0" collapsed="false">
      <c r="A2226" s="13" t="str">
        <f aca="false">IF(עזר!L2226="","",INDEX(עזר!$A$2:$A$5001,עזר!L2226))</f>
        <v/>
      </c>
      <c r="B2226" s="13" t="str">
        <f aca="false">IF(עזר!L2226="","",INDEX(עזר!$B$2:$B$5001,עזר!L2226))</f>
        <v/>
      </c>
      <c r="C2226" s="13" t="str">
        <f aca="false">עזר!M2226</f>
        <v/>
      </c>
    </row>
    <row r="2227" customFormat="false" ht="15" hidden="false" customHeight="false" outlineLevel="0" collapsed="false">
      <c r="A2227" s="13" t="str">
        <f aca="false">IF(עזר!L2227="","",INDEX(עזר!$A$2:$A$5001,עזר!L2227))</f>
        <v/>
      </c>
      <c r="B2227" s="13" t="str">
        <f aca="false">IF(עזר!L2227="","",INDEX(עזר!$B$2:$B$5001,עזר!L2227))</f>
        <v/>
      </c>
      <c r="C2227" s="13" t="str">
        <f aca="false">עזר!M2227</f>
        <v/>
      </c>
    </row>
    <row r="2228" customFormat="false" ht="15" hidden="false" customHeight="false" outlineLevel="0" collapsed="false">
      <c r="A2228" s="13" t="str">
        <f aca="false">IF(עזר!L2228="","",INDEX(עזר!$A$2:$A$5001,עזר!L2228))</f>
        <v/>
      </c>
      <c r="B2228" s="13" t="str">
        <f aca="false">IF(עזר!L2228="","",INDEX(עזר!$B$2:$B$5001,עזר!L2228))</f>
        <v/>
      </c>
      <c r="C2228" s="13" t="str">
        <f aca="false">עזר!M2228</f>
        <v/>
      </c>
    </row>
    <row r="2229" customFormat="false" ht="15" hidden="false" customHeight="false" outlineLevel="0" collapsed="false">
      <c r="A2229" s="13" t="str">
        <f aca="false">IF(עזר!L2229="","",INDEX(עזר!$A$2:$A$5001,עזר!L2229))</f>
        <v/>
      </c>
      <c r="B2229" s="13" t="str">
        <f aca="false">IF(עזר!L2229="","",INDEX(עזר!$B$2:$B$5001,עזר!L2229))</f>
        <v/>
      </c>
      <c r="C2229" s="13" t="str">
        <f aca="false">עזר!M2229</f>
        <v/>
      </c>
    </row>
    <row r="2230" customFormat="false" ht="15" hidden="false" customHeight="false" outlineLevel="0" collapsed="false">
      <c r="A2230" s="13" t="str">
        <f aca="false">IF(עזר!L2230="","",INDEX(עזר!$A$2:$A$5001,עזר!L2230))</f>
        <v/>
      </c>
      <c r="B2230" s="13" t="str">
        <f aca="false">IF(עזר!L2230="","",INDEX(עזר!$B$2:$B$5001,עזר!L2230))</f>
        <v/>
      </c>
      <c r="C2230" s="13" t="str">
        <f aca="false">עזר!M2230</f>
        <v/>
      </c>
    </row>
    <row r="2231" customFormat="false" ht="15" hidden="false" customHeight="false" outlineLevel="0" collapsed="false">
      <c r="A2231" s="13" t="str">
        <f aca="false">IF(עזר!L2231="","",INDEX(עזר!$A$2:$A$5001,עזר!L2231))</f>
        <v/>
      </c>
      <c r="B2231" s="13" t="str">
        <f aca="false">IF(עזר!L2231="","",INDEX(עזר!$B$2:$B$5001,עזר!L2231))</f>
        <v/>
      </c>
      <c r="C2231" s="13" t="str">
        <f aca="false">עזר!M2231</f>
        <v/>
      </c>
    </row>
    <row r="2232" customFormat="false" ht="15" hidden="false" customHeight="false" outlineLevel="0" collapsed="false">
      <c r="A2232" s="13" t="str">
        <f aca="false">IF(עזר!L2232="","",INDEX(עזר!$A$2:$A$5001,עזר!L2232))</f>
        <v/>
      </c>
      <c r="B2232" s="13" t="str">
        <f aca="false">IF(עזר!L2232="","",INDEX(עזר!$B$2:$B$5001,עזר!L2232))</f>
        <v/>
      </c>
      <c r="C2232" s="13" t="str">
        <f aca="false">עזר!M2232</f>
        <v/>
      </c>
    </row>
    <row r="2233" customFormat="false" ht="15" hidden="false" customHeight="false" outlineLevel="0" collapsed="false">
      <c r="A2233" s="13" t="str">
        <f aca="false">IF(עזר!L2233="","",INDEX(עזר!$A$2:$A$5001,עזר!L2233))</f>
        <v/>
      </c>
      <c r="B2233" s="13" t="str">
        <f aca="false">IF(עזר!L2233="","",INDEX(עזר!$B$2:$B$5001,עזר!L2233))</f>
        <v/>
      </c>
      <c r="C2233" s="13" t="str">
        <f aca="false">עזר!M2233</f>
        <v/>
      </c>
    </row>
    <row r="2234" customFormat="false" ht="15" hidden="false" customHeight="false" outlineLevel="0" collapsed="false">
      <c r="A2234" s="13" t="str">
        <f aca="false">IF(עזר!L2234="","",INDEX(עזר!$A$2:$A$5001,עזר!L2234))</f>
        <v/>
      </c>
      <c r="B2234" s="13" t="str">
        <f aca="false">IF(עזר!L2234="","",INDEX(עזר!$B$2:$B$5001,עזר!L2234))</f>
        <v/>
      </c>
      <c r="C2234" s="13" t="str">
        <f aca="false">עזר!M2234</f>
        <v/>
      </c>
    </row>
    <row r="2235" customFormat="false" ht="15" hidden="false" customHeight="false" outlineLevel="0" collapsed="false">
      <c r="A2235" s="13" t="str">
        <f aca="false">IF(עזר!L2235="","",INDEX(עזר!$A$2:$A$5001,עזר!L2235))</f>
        <v/>
      </c>
      <c r="B2235" s="13" t="str">
        <f aca="false">IF(עזר!L2235="","",INDEX(עזר!$B$2:$B$5001,עזר!L2235))</f>
        <v/>
      </c>
      <c r="C2235" s="13" t="str">
        <f aca="false">עזר!M2235</f>
        <v/>
      </c>
    </row>
    <row r="2236" customFormat="false" ht="15" hidden="false" customHeight="false" outlineLevel="0" collapsed="false">
      <c r="A2236" s="13" t="str">
        <f aca="false">IF(עזר!L2236="","",INDEX(עזר!$A$2:$A$5001,עזר!L2236))</f>
        <v/>
      </c>
      <c r="B2236" s="13" t="str">
        <f aca="false">IF(עזר!L2236="","",INDEX(עזר!$B$2:$B$5001,עזר!L2236))</f>
        <v/>
      </c>
      <c r="C2236" s="13" t="str">
        <f aca="false">עזר!M2236</f>
        <v/>
      </c>
    </row>
    <row r="2237" customFormat="false" ht="15" hidden="false" customHeight="false" outlineLevel="0" collapsed="false">
      <c r="A2237" s="13" t="str">
        <f aca="false">IF(עזר!L2237="","",INDEX(עזר!$A$2:$A$5001,עזר!L2237))</f>
        <v/>
      </c>
      <c r="B2237" s="13" t="str">
        <f aca="false">IF(עזר!L2237="","",INDEX(עזר!$B$2:$B$5001,עזר!L2237))</f>
        <v/>
      </c>
      <c r="C2237" s="13" t="str">
        <f aca="false">עזר!M2237</f>
        <v/>
      </c>
    </row>
    <row r="2238" customFormat="false" ht="15" hidden="false" customHeight="false" outlineLevel="0" collapsed="false">
      <c r="A2238" s="13" t="str">
        <f aca="false">IF(עזר!L2238="","",INDEX(עזר!$A$2:$A$5001,עזר!L2238))</f>
        <v/>
      </c>
      <c r="B2238" s="13" t="str">
        <f aca="false">IF(עזר!L2238="","",INDEX(עזר!$B$2:$B$5001,עזר!L2238))</f>
        <v/>
      </c>
      <c r="C2238" s="13" t="str">
        <f aca="false">עזר!M2238</f>
        <v/>
      </c>
    </row>
    <row r="2239" customFormat="false" ht="15" hidden="false" customHeight="false" outlineLevel="0" collapsed="false">
      <c r="A2239" s="13" t="str">
        <f aca="false">IF(עזר!L2239="","",INDEX(עזר!$A$2:$A$5001,עזר!L2239))</f>
        <v/>
      </c>
      <c r="B2239" s="13" t="str">
        <f aca="false">IF(עזר!L2239="","",INDEX(עזר!$B$2:$B$5001,עזר!L2239))</f>
        <v/>
      </c>
      <c r="C2239" s="13" t="str">
        <f aca="false">עזר!M2239</f>
        <v/>
      </c>
    </row>
    <row r="2240" customFormat="false" ht="15" hidden="false" customHeight="false" outlineLevel="0" collapsed="false">
      <c r="A2240" s="13" t="str">
        <f aca="false">IF(עזר!L2240="","",INDEX(עזר!$A$2:$A$5001,עזר!L2240))</f>
        <v/>
      </c>
      <c r="B2240" s="13" t="str">
        <f aca="false">IF(עזר!L2240="","",INDEX(עזר!$B$2:$B$5001,עזר!L2240))</f>
        <v/>
      </c>
      <c r="C2240" s="13" t="str">
        <f aca="false">עזר!M2240</f>
        <v/>
      </c>
    </row>
    <row r="2241" customFormat="false" ht="15" hidden="false" customHeight="false" outlineLevel="0" collapsed="false">
      <c r="A2241" s="13" t="str">
        <f aca="false">IF(עזר!L2241="","",INDEX(עזר!$A$2:$A$5001,עזר!L2241))</f>
        <v/>
      </c>
      <c r="B2241" s="13" t="str">
        <f aca="false">IF(עזר!L2241="","",INDEX(עזר!$B$2:$B$5001,עזר!L2241))</f>
        <v/>
      </c>
      <c r="C2241" s="13" t="str">
        <f aca="false">עזר!M2241</f>
        <v/>
      </c>
    </row>
    <row r="2242" customFormat="false" ht="15" hidden="false" customHeight="false" outlineLevel="0" collapsed="false">
      <c r="A2242" s="13" t="str">
        <f aca="false">IF(עזר!L2242="","",INDEX(עזר!$A$2:$A$5001,עזר!L2242))</f>
        <v/>
      </c>
      <c r="B2242" s="13" t="str">
        <f aca="false">IF(עזר!L2242="","",INDEX(עזר!$B$2:$B$5001,עזר!L2242))</f>
        <v/>
      </c>
      <c r="C2242" s="13" t="str">
        <f aca="false">עזר!M2242</f>
        <v/>
      </c>
    </row>
    <row r="2243" customFormat="false" ht="15" hidden="false" customHeight="false" outlineLevel="0" collapsed="false">
      <c r="A2243" s="13" t="str">
        <f aca="false">IF(עזר!L2243="","",INDEX(עזר!$A$2:$A$5001,עזר!L2243))</f>
        <v/>
      </c>
      <c r="B2243" s="13" t="str">
        <f aca="false">IF(עזר!L2243="","",INDEX(עזר!$B$2:$B$5001,עזר!L2243))</f>
        <v/>
      </c>
      <c r="C2243" s="13" t="str">
        <f aca="false">עזר!M2243</f>
        <v/>
      </c>
    </row>
    <row r="2244" customFormat="false" ht="15" hidden="false" customHeight="false" outlineLevel="0" collapsed="false">
      <c r="A2244" s="13" t="str">
        <f aca="false">IF(עזר!L2244="","",INDEX(עזר!$A$2:$A$5001,עזר!L2244))</f>
        <v/>
      </c>
      <c r="B2244" s="13" t="str">
        <f aca="false">IF(עזר!L2244="","",INDEX(עזר!$B$2:$B$5001,עזר!L2244))</f>
        <v/>
      </c>
      <c r="C2244" s="13" t="str">
        <f aca="false">עזר!M2244</f>
        <v/>
      </c>
    </row>
    <row r="2245" customFormat="false" ht="15" hidden="false" customHeight="false" outlineLevel="0" collapsed="false">
      <c r="A2245" s="13" t="str">
        <f aca="false">IF(עזר!L2245="","",INDEX(עזר!$A$2:$A$5001,עזר!L2245))</f>
        <v/>
      </c>
      <c r="B2245" s="13" t="str">
        <f aca="false">IF(עזר!L2245="","",INDEX(עזר!$B$2:$B$5001,עזר!L2245))</f>
        <v/>
      </c>
      <c r="C2245" s="13" t="str">
        <f aca="false">עזר!M2245</f>
        <v/>
      </c>
    </row>
    <row r="2246" customFormat="false" ht="15" hidden="false" customHeight="false" outlineLevel="0" collapsed="false">
      <c r="A2246" s="13" t="str">
        <f aca="false">IF(עזר!L2246="","",INDEX(עזר!$A$2:$A$5001,עזר!L2246))</f>
        <v/>
      </c>
      <c r="B2246" s="13" t="str">
        <f aca="false">IF(עזר!L2246="","",INDEX(עזר!$B$2:$B$5001,עזר!L2246))</f>
        <v/>
      </c>
      <c r="C2246" s="13" t="str">
        <f aca="false">עזר!M2246</f>
        <v/>
      </c>
    </row>
    <row r="2247" customFormat="false" ht="15" hidden="false" customHeight="false" outlineLevel="0" collapsed="false">
      <c r="A2247" s="13" t="str">
        <f aca="false">IF(עזר!L2247="","",INDEX(עזר!$A$2:$A$5001,עזר!L2247))</f>
        <v/>
      </c>
      <c r="B2247" s="13" t="str">
        <f aca="false">IF(עזר!L2247="","",INDEX(עזר!$B$2:$B$5001,עזר!L2247))</f>
        <v/>
      </c>
      <c r="C2247" s="13" t="str">
        <f aca="false">עזר!M2247</f>
        <v/>
      </c>
    </row>
    <row r="2248" customFormat="false" ht="15" hidden="false" customHeight="false" outlineLevel="0" collapsed="false">
      <c r="A2248" s="13" t="str">
        <f aca="false">IF(עזר!L2248="","",INDEX(עזר!$A$2:$A$5001,עזר!L2248))</f>
        <v/>
      </c>
      <c r="B2248" s="13" t="str">
        <f aca="false">IF(עזר!L2248="","",INDEX(עזר!$B$2:$B$5001,עזר!L2248))</f>
        <v/>
      </c>
      <c r="C2248" s="13" t="str">
        <f aca="false">עזר!M2248</f>
        <v/>
      </c>
    </row>
    <row r="2249" customFormat="false" ht="15" hidden="false" customHeight="false" outlineLevel="0" collapsed="false">
      <c r="A2249" s="13" t="str">
        <f aca="false">IF(עזר!L2249="","",INDEX(עזר!$A$2:$A$5001,עזר!L2249))</f>
        <v/>
      </c>
      <c r="B2249" s="13" t="str">
        <f aca="false">IF(עזר!L2249="","",INDEX(עזר!$B$2:$B$5001,עזר!L2249))</f>
        <v/>
      </c>
      <c r="C2249" s="13" t="str">
        <f aca="false">עזר!M2249</f>
        <v/>
      </c>
    </row>
    <row r="2250" customFormat="false" ht="15" hidden="false" customHeight="false" outlineLevel="0" collapsed="false">
      <c r="A2250" s="13" t="str">
        <f aca="false">IF(עזר!L2250="","",INDEX(עזר!$A$2:$A$5001,עזר!L2250))</f>
        <v/>
      </c>
      <c r="B2250" s="13" t="str">
        <f aca="false">IF(עזר!L2250="","",INDEX(עזר!$B$2:$B$5001,עזר!L2250))</f>
        <v/>
      </c>
      <c r="C2250" s="13" t="str">
        <f aca="false">עזר!M2250</f>
        <v/>
      </c>
    </row>
    <row r="2251" customFormat="false" ht="15" hidden="false" customHeight="false" outlineLevel="0" collapsed="false">
      <c r="A2251" s="13" t="str">
        <f aca="false">IF(עזר!L2251="","",INDEX(עזר!$A$2:$A$5001,עזר!L2251))</f>
        <v/>
      </c>
      <c r="B2251" s="13" t="str">
        <f aca="false">IF(עזר!L2251="","",INDEX(עזר!$B$2:$B$5001,עזר!L2251))</f>
        <v/>
      </c>
      <c r="C2251" s="13" t="str">
        <f aca="false">עזר!M2251</f>
        <v/>
      </c>
    </row>
    <row r="2252" customFormat="false" ht="15" hidden="false" customHeight="false" outlineLevel="0" collapsed="false">
      <c r="A2252" s="13" t="str">
        <f aca="false">IF(עזר!L2252="","",INDEX(עזר!$A$2:$A$5001,עזר!L2252))</f>
        <v/>
      </c>
      <c r="B2252" s="13" t="str">
        <f aca="false">IF(עזר!L2252="","",INDEX(עזר!$B$2:$B$5001,עזר!L2252))</f>
        <v/>
      </c>
      <c r="C2252" s="13" t="str">
        <f aca="false">עזר!M2252</f>
        <v/>
      </c>
    </row>
    <row r="2253" customFormat="false" ht="15" hidden="false" customHeight="false" outlineLevel="0" collapsed="false">
      <c r="A2253" s="13" t="str">
        <f aca="false">IF(עזר!L2253="","",INDEX(עזר!$A$2:$A$5001,עזר!L2253))</f>
        <v/>
      </c>
      <c r="B2253" s="13" t="str">
        <f aca="false">IF(עזר!L2253="","",INDEX(עזר!$B$2:$B$5001,עזר!L2253))</f>
        <v/>
      </c>
      <c r="C2253" s="13" t="str">
        <f aca="false">עזר!M2253</f>
        <v/>
      </c>
    </row>
    <row r="2254" customFormat="false" ht="15" hidden="false" customHeight="false" outlineLevel="0" collapsed="false">
      <c r="A2254" s="13" t="str">
        <f aca="false">IF(עזר!L2254="","",INDEX(עזר!$A$2:$A$5001,עזר!L2254))</f>
        <v/>
      </c>
      <c r="B2254" s="13" t="str">
        <f aca="false">IF(עזר!L2254="","",INDEX(עזר!$B$2:$B$5001,עזר!L2254))</f>
        <v/>
      </c>
      <c r="C2254" s="13" t="str">
        <f aca="false">עזר!M2254</f>
        <v/>
      </c>
    </row>
    <row r="2255" customFormat="false" ht="15" hidden="false" customHeight="false" outlineLevel="0" collapsed="false">
      <c r="A2255" s="13" t="str">
        <f aca="false">IF(עזר!L2255="","",INDEX(עזר!$A$2:$A$5001,עזר!L2255))</f>
        <v/>
      </c>
      <c r="B2255" s="13" t="str">
        <f aca="false">IF(עזר!L2255="","",INDEX(עזר!$B$2:$B$5001,עזר!L2255))</f>
        <v/>
      </c>
      <c r="C2255" s="13" t="str">
        <f aca="false">עזר!M2255</f>
        <v/>
      </c>
    </row>
    <row r="2256" customFormat="false" ht="15" hidden="false" customHeight="false" outlineLevel="0" collapsed="false">
      <c r="A2256" s="13" t="str">
        <f aca="false">IF(עזר!L2256="","",INDEX(עזר!$A$2:$A$5001,עזר!L2256))</f>
        <v/>
      </c>
      <c r="B2256" s="13" t="str">
        <f aca="false">IF(עזר!L2256="","",INDEX(עזר!$B$2:$B$5001,עזר!L2256))</f>
        <v/>
      </c>
      <c r="C2256" s="13" t="str">
        <f aca="false">עזר!M2256</f>
        <v/>
      </c>
    </row>
    <row r="2257" customFormat="false" ht="15" hidden="false" customHeight="false" outlineLevel="0" collapsed="false">
      <c r="A2257" s="13" t="str">
        <f aca="false">IF(עזר!L2257="","",INDEX(עזר!$A$2:$A$5001,עזר!L2257))</f>
        <v/>
      </c>
      <c r="B2257" s="13" t="str">
        <f aca="false">IF(עזר!L2257="","",INDEX(עזר!$B$2:$B$5001,עזר!L2257))</f>
        <v/>
      </c>
      <c r="C2257" s="13" t="str">
        <f aca="false">עזר!M2257</f>
        <v/>
      </c>
    </row>
    <row r="2258" customFormat="false" ht="15" hidden="false" customHeight="false" outlineLevel="0" collapsed="false">
      <c r="A2258" s="13" t="str">
        <f aca="false">IF(עזר!L2258="","",INDEX(עזר!$A$2:$A$5001,עזר!L2258))</f>
        <v/>
      </c>
      <c r="B2258" s="13" t="str">
        <f aca="false">IF(עזר!L2258="","",INDEX(עזר!$B$2:$B$5001,עזר!L2258))</f>
        <v/>
      </c>
      <c r="C2258" s="13" t="str">
        <f aca="false">עזר!M2258</f>
        <v/>
      </c>
    </row>
    <row r="2259" customFormat="false" ht="15" hidden="false" customHeight="false" outlineLevel="0" collapsed="false">
      <c r="A2259" s="13" t="str">
        <f aca="false">IF(עזר!L2259="","",INDEX(עזר!$A$2:$A$5001,עזר!L2259))</f>
        <v/>
      </c>
      <c r="B2259" s="13" t="str">
        <f aca="false">IF(עזר!L2259="","",INDEX(עזר!$B$2:$B$5001,עזר!L2259))</f>
        <v/>
      </c>
      <c r="C2259" s="13" t="str">
        <f aca="false">עזר!M2259</f>
        <v/>
      </c>
    </row>
    <row r="2260" customFormat="false" ht="15" hidden="false" customHeight="false" outlineLevel="0" collapsed="false">
      <c r="A2260" s="13" t="str">
        <f aca="false">IF(עזר!L2260="","",INDEX(עזר!$A$2:$A$5001,עזר!L2260))</f>
        <v/>
      </c>
      <c r="B2260" s="13" t="str">
        <f aca="false">IF(עזר!L2260="","",INDEX(עזר!$B$2:$B$5001,עזר!L2260))</f>
        <v/>
      </c>
      <c r="C2260" s="13" t="str">
        <f aca="false">עזר!M2260</f>
        <v/>
      </c>
    </row>
    <row r="2261" customFormat="false" ht="15" hidden="false" customHeight="false" outlineLevel="0" collapsed="false">
      <c r="A2261" s="13" t="str">
        <f aca="false">IF(עזר!L2261="","",INDEX(עזר!$A$2:$A$5001,עזר!L2261))</f>
        <v/>
      </c>
      <c r="B2261" s="13" t="str">
        <f aca="false">IF(עזר!L2261="","",INDEX(עזר!$B$2:$B$5001,עזר!L2261))</f>
        <v/>
      </c>
      <c r="C2261" s="13" t="str">
        <f aca="false">עזר!M2261</f>
        <v/>
      </c>
    </row>
    <row r="2262" customFormat="false" ht="15" hidden="false" customHeight="false" outlineLevel="0" collapsed="false">
      <c r="A2262" s="13" t="str">
        <f aca="false">IF(עזר!L2262="","",INDEX(עזר!$A$2:$A$5001,עזר!L2262))</f>
        <v/>
      </c>
      <c r="B2262" s="13" t="str">
        <f aca="false">IF(עזר!L2262="","",INDEX(עזר!$B$2:$B$5001,עזר!L2262))</f>
        <v/>
      </c>
      <c r="C2262" s="13" t="str">
        <f aca="false">עזר!M2262</f>
        <v/>
      </c>
    </row>
    <row r="2263" customFormat="false" ht="15" hidden="false" customHeight="false" outlineLevel="0" collapsed="false">
      <c r="A2263" s="13" t="str">
        <f aca="false">IF(עזר!L2263="","",INDEX(עזר!$A$2:$A$5001,עזר!L2263))</f>
        <v/>
      </c>
      <c r="B2263" s="13" t="str">
        <f aca="false">IF(עזר!L2263="","",INDEX(עזר!$B$2:$B$5001,עזר!L2263))</f>
        <v/>
      </c>
      <c r="C2263" s="13" t="str">
        <f aca="false">עזר!M2263</f>
        <v/>
      </c>
    </row>
    <row r="2264" customFormat="false" ht="15" hidden="false" customHeight="false" outlineLevel="0" collapsed="false">
      <c r="A2264" s="13" t="str">
        <f aca="false">IF(עזר!L2264="","",INDEX(עזר!$A$2:$A$5001,עזר!L2264))</f>
        <v/>
      </c>
      <c r="B2264" s="13" t="str">
        <f aca="false">IF(עזר!L2264="","",INDEX(עזר!$B$2:$B$5001,עזר!L2264))</f>
        <v/>
      </c>
      <c r="C2264" s="13" t="str">
        <f aca="false">עזר!M2264</f>
        <v/>
      </c>
    </row>
    <row r="2265" customFormat="false" ht="15" hidden="false" customHeight="false" outlineLevel="0" collapsed="false">
      <c r="A2265" s="13" t="str">
        <f aca="false">IF(עזר!L2265="","",INDEX(עזר!$A$2:$A$5001,עזר!L2265))</f>
        <v/>
      </c>
      <c r="B2265" s="13" t="str">
        <f aca="false">IF(עזר!L2265="","",INDEX(עזר!$B$2:$B$5001,עזר!L2265))</f>
        <v/>
      </c>
      <c r="C2265" s="13" t="str">
        <f aca="false">עזר!M2265</f>
        <v/>
      </c>
    </row>
    <row r="2266" customFormat="false" ht="15" hidden="false" customHeight="false" outlineLevel="0" collapsed="false">
      <c r="A2266" s="13" t="str">
        <f aca="false">IF(עזר!L2266="","",INDEX(עזר!$A$2:$A$5001,עזר!L2266))</f>
        <v/>
      </c>
      <c r="B2266" s="13" t="str">
        <f aca="false">IF(עזר!L2266="","",INDEX(עזר!$B$2:$B$5001,עזר!L2266))</f>
        <v/>
      </c>
      <c r="C2266" s="13" t="str">
        <f aca="false">עזר!M2266</f>
        <v/>
      </c>
    </row>
    <row r="2267" customFormat="false" ht="15" hidden="false" customHeight="false" outlineLevel="0" collapsed="false">
      <c r="A2267" s="13" t="str">
        <f aca="false">IF(עזר!L2267="","",INDEX(עזר!$A$2:$A$5001,עזר!L2267))</f>
        <v/>
      </c>
      <c r="B2267" s="13" t="str">
        <f aca="false">IF(עזר!L2267="","",INDEX(עזר!$B$2:$B$5001,עזר!L2267))</f>
        <v/>
      </c>
      <c r="C2267" s="13" t="str">
        <f aca="false">עזר!M2267</f>
        <v/>
      </c>
    </row>
    <row r="2268" customFormat="false" ht="15" hidden="false" customHeight="false" outlineLevel="0" collapsed="false">
      <c r="A2268" s="13" t="str">
        <f aca="false">IF(עזר!L2268="","",INDEX(עזר!$A$2:$A$5001,עזר!L2268))</f>
        <v/>
      </c>
      <c r="B2268" s="13" t="str">
        <f aca="false">IF(עזר!L2268="","",INDEX(עזר!$B$2:$B$5001,עזר!L2268))</f>
        <v/>
      </c>
      <c r="C2268" s="13" t="str">
        <f aca="false">עזר!M2268</f>
        <v/>
      </c>
    </row>
    <row r="2269" customFormat="false" ht="15" hidden="false" customHeight="false" outlineLevel="0" collapsed="false">
      <c r="A2269" s="13" t="str">
        <f aca="false">IF(עזר!L2269="","",INDEX(עזר!$A$2:$A$5001,עזר!L2269))</f>
        <v/>
      </c>
      <c r="B2269" s="13" t="str">
        <f aca="false">IF(עזר!L2269="","",INDEX(עזר!$B$2:$B$5001,עזר!L2269))</f>
        <v/>
      </c>
      <c r="C2269" s="13" t="str">
        <f aca="false">עזר!M2269</f>
        <v/>
      </c>
    </row>
    <row r="2270" customFormat="false" ht="15" hidden="false" customHeight="false" outlineLevel="0" collapsed="false">
      <c r="A2270" s="13" t="str">
        <f aca="false">IF(עזר!L2270="","",INDEX(עזר!$A$2:$A$5001,עזר!L2270))</f>
        <v/>
      </c>
      <c r="B2270" s="13" t="str">
        <f aca="false">IF(עזר!L2270="","",INDEX(עזר!$B$2:$B$5001,עזר!L2270))</f>
        <v/>
      </c>
      <c r="C2270" s="13" t="str">
        <f aca="false">עזר!M2270</f>
        <v/>
      </c>
    </row>
    <row r="2271" customFormat="false" ht="15" hidden="false" customHeight="false" outlineLevel="0" collapsed="false">
      <c r="A2271" s="13" t="str">
        <f aca="false">IF(עזר!L2271="","",INDEX(עזר!$A$2:$A$5001,עזר!L2271))</f>
        <v/>
      </c>
      <c r="B2271" s="13" t="str">
        <f aca="false">IF(עזר!L2271="","",INDEX(עזר!$B$2:$B$5001,עזר!L2271))</f>
        <v/>
      </c>
      <c r="C2271" s="13" t="str">
        <f aca="false">עזר!M2271</f>
        <v/>
      </c>
    </row>
    <row r="2272" customFormat="false" ht="15" hidden="false" customHeight="false" outlineLevel="0" collapsed="false">
      <c r="A2272" s="13" t="str">
        <f aca="false">IF(עזר!L2272="","",INDEX(עזר!$A$2:$A$5001,עזר!L2272))</f>
        <v/>
      </c>
      <c r="B2272" s="13" t="str">
        <f aca="false">IF(עזר!L2272="","",INDEX(עזר!$B$2:$B$5001,עזר!L2272))</f>
        <v/>
      </c>
      <c r="C2272" s="13" t="str">
        <f aca="false">עזר!M2272</f>
        <v/>
      </c>
    </row>
    <row r="2273" customFormat="false" ht="15" hidden="false" customHeight="false" outlineLevel="0" collapsed="false">
      <c r="A2273" s="13" t="str">
        <f aca="false">IF(עזר!L2273="","",INDEX(עזר!$A$2:$A$5001,עזר!L2273))</f>
        <v/>
      </c>
      <c r="B2273" s="13" t="str">
        <f aca="false">IF(עזר!L2273="","",INDEX(עזר!$B$2:$B$5001,עזר!L2273))</f>
        <v/>
      </c>
      <c r="C2273" s="13" t="str">
        <f aca="false">עזר!M2273</f>
        <v/>
      </c>
    </row>
    <row r="2274" customFormat="false" ht="15" hidden="false" customHeight="false" outlineLevel="0" collapsed="false">
      <c r="A2274" s="13" t="str">
        <f aca="false">IF(עזר!L2274="","",INDEX(עזר!$A$2:$A$5001,עזר!L2274))</f>
        <v/>
      </c>
      <c r="B2274" s="13" t="str">
        <f aca="false">IF(עזר!L2274="","",INDEX(עזר!$B$2:$B$5001,עזר!L2274))</f>
        <v/>
      </c>
      <c r="C2274" s="13" t="str">
        <f aca="false">עזר!M2274</f>
        <v/>
      </c>
    </row>
    <row r="2275" customFormat="false" ht="15" hidden="false" customHeight="false" outlineLevel="0" collapsed="false">
      <c r="A2275" s="13" t="str">
        <f aca="false">IF(עזר!L2275="","",INDEX(עזר!$A$2:$A$5001,עזר!L2275))</f>
        <v/>
      </c>
      <c r="B2275" s="13" t="str">
        <f aca="false">IF(עזר!L2275="","",INDEX(עזר!$B$2:$B$5001,עזר!L2275))</f>
        <v/>
      </c>
      <c r="C2275" s="13" t="str">
        <f aca="false">עזר!M2275</f>
        <v/>
      </c>
    </row>
    <row r="2276" customFormat="false" ht="15" hidden="false" customHeight="false" outlineLevel="0" collapsed="false">
      <c r="A2276" s="13" t="str">
        <f aca="false">IF(עזר!L2276="","",INDEX(עזר!$A$2:$A$5001,עזר!L2276))</f>
        <v/>
      </c>
      <c r="B2276" s="13" t="str">
        <f aca="false">IF(עזר!L2276="","",INDEX(עזר!$B$2:$B$5001,עזר!L2276))</f>
        <v/>
      </c>
      <c r="C2276" s="13" t="str">
        <f aca="false">עזר!M2276</f>
        <v/>
      </c>
    </row>
    <row r="2277" customFormat="false" ht="15" hidden="false" customHeight="false" outlineLevel="0" collapsed="false">
      <c r="A2277" s="13" t="str">
        <f aca="false">IF(עזר!L2277="","",INDEX(עזר!$A$2:$A$5001,עזר!L2277))</f>
        <v/>
      </c>
      <c r="B2277" s="13" t="str">
        <f aca="false">IF(עזר!L2277="","",INDEX(עזר!$B$2:$B$5001,עזר!L2277))</f>
        <v/>
      </c>
      <c r="C2277" s="13" t="str">
        <f aca="false">עזר!M2277</f>
        <v/>
      </c>
    </row>
    <row r="2278" customFormat="false" ht="15" hidden="false" customHeight="false" outlineLevel="0" collapsed="false">
      <c r="A2278" s="13" t="str">
        <f aca="false">IF(עזר!L2278="","",INDEX(עזר!$A$2:$A$5001,עזר!L2278))</f>
        <v/>
      </c>
      <c r="B2278" s="13" t="str">
        <f aca="false">IF(עזר!L2278="","",INDEX(עזר!$B$2:$B$5001,עזר!L2278))</f>
        <v/>
      </c>
      <c r="C2278" s="13" t="str">
        <f aca="false">עזר!M2278</f>
        <v/>
      </c>
    </row>
    <row r="2279" customFormat="false" ht="15" hidden="false" customHeight="false" outlineLevel="0" collapsed="false">
      <c r="A2279" s="13" t="str">
        <f aca="false">IF(עזר!L2279="","",INDEX(עזר!$A$2:$A$5001,עזר!L2279))</f>
        <v/>
      </c>
      <c r="B2279" s="13" t="str">
        <f aca="false">IF(עזר!L2279="","",INDEX(עזר!$B$2:$B$5001,עזר!L2279))</f>
        <v/>
      </c>
      <c r="C2279" s="13" t="str">
        <f aca="false">עזר!M2279</f>
        <v/>
      </c>
    </row>
    <row r="2280" customFormat="false" ht="15" hidden="false" customHeight="false" outlineLevel="0" collapsed="false">
      <c r="A2280" s="13" t="str">
        <f aca="false">IF(עזר!L2280="","",INDEX(עזר!$A$2:$A$5001,עזר!L2280))</f>
        <v/>
      </c>
      <c r="B2280" s="13" t="str">
        <f aca="false">IF(עזר!L2280="","",INDEX(עזר!$B$2:$B$5001,עזר!L2280))</f>
        <v/>
      </c>
      <c r="C2280" s="13" t="str">
        <f aca="false">עזר!M2280</f>
        <v/>
      </c>
    </row>
    <row r="2281" customFormat="false" ht="15" hidden="false" customHeight="false" outlineLevel="0" collapsed="false">
      <c r="A2281" s="13" t="str">
        <f aca="false">IF(עזר!L2281="","",INDEX(עזר!$A$2:$A$5001,עזר!L2281))</f>
        <v/>
      </c>
      <c r="B2281" s="13" t="str">
        <f aca="false">IF(עזר!L2281="","",INDEX(עזר!$B$2:$B$5001,עזר!L2281))</f>
        <v/>
      </c>
      <c r="C2281" s="13" t="str">
        <f aca="false">עזר!M2281</f>
        <v/>
      </c>
    </row>
    <row r="2282" customFormat="false" ht="15" hidden="false" customHeight="false" outlineLevel="0" collapsed="false">
      <c r="A2282" s="13" t="str">
        <f aca="false">IF(עזר!L2282="","",INDEX(עזר!$A$2:$A$5001,עזר!L2282))</f>
        <v/>
      </c>
      <c r="B2282" s="13" t="str">
        <f aca="false">IF(עזר!L2282="","",INDEX(עזר!$B$2:$B$5001,עזר!L2282))</f>
        <v/>
      </c>
      <c r="C2282" s="13" t="str">
        <f aca="false">עזר!M2282</f>
        <v/>
      </c>
    </row>
    <row r="2283" customFormat="false" ht="15" hidden="false" customHeight="false" outlineLevel="0" collapsed="false">
      <c r="A2283" s="13" t="str">
        <f aca="false">IF(עזר!L2283="","",INDEX(עזר!$A$2:$A$5001,עזר!L2283))</f>
        <v/>
      </c>
      <c r="B2283" s="13" t="str">
        <f aca="false">IF(עזר!L2283="","",INDEX(עזר!$B$2:$B$5001,עזר!L2283))</f>
        <v/>
      </c>
      <c r="C2283" s="13" t="str">
        <f aca="false">עזר!M2283</f>
        <v/>
      </c>
    </row>
    <row r="2284" customFormat="false" ht="15" hidden="false" customHeight="false" outlineLevel="0" collapsed="false">
      <c r="A2284" s="13" t="str">
        <f aca="false">IF(עזר!L2284="","",INDEX(עזר!$A$2:$A$5001,עזר!L2284))</f>
        <v/>
      </c>
      <c r="B2284" s="13" t="str">
        <f aca="false">IF(עזר!L2284="","",INDEX(עזר!$B$2:$B$5001,עזר!L2284))</f>
        <v/>
      </c>
      <c r="C2284" s="13" t="str">
        <f aca="false">עזר!M2284</f>
        <v/>
      </c>
    </row>
    <row r="2285" customFormat="false" ht="15" hidden="false" customHeight="false" outlineLevel="0" collapsed="false">
      <c r="A2285" s="13" t="str">
        <f aca="false">IF(עזר!L2285="","",INDEX(עזר!$A$2:$A$5001,עזר!L2285))</f>
        <v/>
      </c>
      <c r="B2285" s="13" t="str">
        <f aca="false">IF(עזר!L2285="","",INDEX(עזר!$B$2:$B$5001,עזר!L2285))</f>
        <v/>
      </c>
      <c r="C2285" s="13" t="str">
        <f aca="false">עזר!M2285</f>
        <v/>
      </c>
    </row>
    <row r="2286" customFormat="false" ht="15" hidden="false" customHeight="false" outlineLevel="0" collapsed="false">
      <c r="A2286" s="13" t="str">
        <f aca="false">IF(עזר!L2286="","",INDEX(עזר!$A$2:$A$5001,עזר!L2286))</f>
        <v/>
      </c>
      <c r="B2286" s="13" t="str">
        <f aca="false">IF(עזר!L2286="","",INDEX(עזר!$B$2:$B$5001,עזר!L2286))</f>
        <v/>
      </c>
      <c r="C2286" s="13" t="str">
        <f aca="false">עזר!M2286</f>
        <v/>
      </c>
    </row>
    <row r="2287" customFormat="false" ht="15" hidden="false" customHeight="false" outlineLevel="0" collapsed="false">
      <c r="A2287" s="13" t="str">
        <f aca="false">IF(עזר!L2287="","",INDEX(עזר!$A$2:$A$5001,עזר!L2287))</f>
        <v/>
      </c>
      <c r="B2287" s="13" t="str">
        <f aca="false">IF(עזר!L2287="","",INDEX(עזר!$B$2:$B$5001,עזר!L2287))</f>
        <v/>
      </c>
      <c r="C2287" s="13" t="str">
        <f aca="false">עזר!M2287</f>
        <v/>
      </c>
    </row>
    <row r="2288" customFormat="false" ht="15" hidden="false" customHeight="false" outlineLevel="0" collapsed="false">
      <c r="A2288" s="13" t="str">
        <f aca="false">IF(עזר!L2288="","",INDEX(עזר!$A$2:$A$5001,עזר!L2288))</f>
        <v/>
      </c>
      <c r="B2288" s="13" t="str">
        <f aca="false">IF(עזר!L2288="","",INDEX(עזר!$B$2:$B$5001,עזר!L2288))</f>
        <v/>
      </c>
      <c r="C2288" s="13" t="str">
        <f aca="false">עזר!M2288</f>
        <v/>
      </c>
    </row>
    <row r="2289" customFormat="false" ht="15" hidden="false" customHeight="false" outlineLevel="0" collapsed="false">
      <c r="A2289" s="13" t="str">
        <f aca="false">IF(עזר!L2289="","",INDEX(עזר!$A$2:$A$5001,עזר!L2289))</f>
        <v/>
      </c>
      <c r="B2289" s="13" t="str">
        <f aca="false">IF(עזר!L2289="","",INDEX(עזר!$B$2:$B$5001,עזר!L2289))</f>
        <v/>
      </c>
      <c r="C2289" s="13" t="str">
        <f aca="false">עזר!M2289</f>
        <v/>
      </c>
    </row>
    <row r="2290" customFormat="false" ht="15" hidden="false" customHeight="false" outlineLevel="0" collapsed="false">
      <c r="A2290" s="13" t="str">
        <f aca="false">IF(עזר!L2290="","",INDEX(עזר!$A$2:$A$5001,עזר!L2290))</f>
        <v/>
      </c>
      <c r="B2290" s="13" t="str">
        <f aca="false">IF(עזר!L2290="","",INDEX(עזר!$B$2:$B$5001,עזר!L2290))</f>
        <v/>
      </c>
      <c r="C2290" s="13" t="str">
        <f aca="false">עזר!M2290</f>
        <v/>
      </c>
    </row>
    <row r="2291" customFormat="false" ht="15" hidden="false" customHeight="false" outlineLevel="0" collapsed="false">
      <c r="A2291" s="13" t="str">
        <f aca="false">IF(עזר!L2291="","",INDEX(עזר!$A$2:$A$5001,עזר!L2291))</f>
        <v/>
      </c>
      <c r="B2291" s="13" t="str">
        <f aca="false">IF(עזר!L2291="","",INDEX(עזר!$B$2:$B$5001,עזר!L2291))</f>
        <v/>
      </c>
      <c r="C2291" s="13" t="str">
        <f aca="false">עזר!M2291</f>
        <v/>
      </c>
    </row>
    <row r="2292" customFormat="false" ht="15" hidden="false" customHeight="false" outlineLevel="0" collapsed="false">
      <c r="A2292" s="13" t="str">
        <f aca="false">IF(עזר!L2292="","",INDEX(עזר!$A$2:$A$5001,עזר!L2292))</f>
        <v/>
      </c>
      <c r="B2292" s="13" t="str">
        <f aca="false">IF(עזר!L2292="","",INDEX(עזר!$B$2:$B$5001,עזר!L2292))</f>
        <v/>
      </c>
      <c r="C2292" s="13" t="str">
        <f aca="false">עזר!M2292</f>
        <v/>
      </c>
    </row>
    <row r="2293" customFormat="false" ht="15" hidden="false" customHeight="false" outlineLevel="0" collapsed="false">
      <c r="A2293" s="13" t="str">
        <f aca="false">IF(עזר!L2293="","",INDEX(עזר!$A$2:$A$5001,עזר!L2293))</f>
        <v/>
      </c>
      <c r="B2293" s="13" t="str">
        <f aca="false">IF(עזר!L2293="","",INDEX(עזר!$B$2:$B$5001,עזר!L2293))</f>
        <v/>
      </c>
      <c r="C2293" s="13" t="str">
        <f aca="false">עזר!M2293</f>
        <v/>
      </c>
    </row>
    <row r="2294" customFormat="false" ht="15" hidden="false" customHeight="false" outlineLevel="0" collapsed="false">
      <c r="A2294" s="13" t="str">
        <f aca="false">IF(עזר!L2294="","",INDEX(עזר!$A$2:$A$5001,עזר!L2294))</f>
        <v/>
      </c>
      <c r="B2294" s="13" t="str">
        <f aca="false">IF(עזר!L2294="","",INDEX(עזר!$B$2:$B$5001,עזר!L2294))</f>
        <v/>
      </c>
      <c r="C2294" s="13" t="str">
        <f aca="false">עזר!M2294</f>
        <v/>
      </c>
    </row>
    <row r="2295" customFormat="false" ht="15" hidden="false" customHeight="false" outlineLevel="0" collapsed="false">
      <c r="A2295" s="13" t="str">
        <f aca="false">IF(עזר!L2295="","",INDEX(עזר!$A$2:$A$5001,עזר!L2295))</f>
        <v/>
      </c>
      <c r="B2295" s="13" t="str">
        <f aca="false">IF(עזר!L2295="","",INDEX(עזר!$B$2:$B$5001,עזר!L2295))</f>
        <v/>
      </c>
      <c r="C2295" s="13" t="str">
        <f aca="false">עזר!M2295</f>
        <v/>
      </c>
    </row>
    <row r="2296" customFormat="false" ht="15" hidden="false" customHeight="false" outlineLevel="0" collapsed="false">
      <c r="A2296" s="13" t="str">
        <f aca="false">IF(עזר!L2296="","",INDEX(עזר!$A$2:$A$5001,עזר!L2296))</f>
        <v/>
      </c>
      <c r="B2296" s="13" t="str">
        <f aca="false">IF(עזר!L2296="","",INDEX(עזר!$B$2:$B$5001,עזר!L2296))</f>
        <v/>
      </c>
      <c r="C2296" s="13" t="str">
        <f aca="false">עזר!M2296</f>
        <v/>
      </c>
    </row>
    <row r="2297" customFormat="false" ht="15" hidden="false" customHeight="false" outlineLevel="0" collapsed="false">
      <c r="A2297" s="13" t="str">
        <f aca="false">IF(עזר!L2297="","",INDEX(עזר!$A$2:$A$5001,עזר!L2297))</f>
        <v/>
      </c>
      <c r="B2297" s="13" t="str">
        <f aca="false">IF(עזר!L2297="","",INDEX(עזר!$B$2:$B$5001,עזר!L2297))</f>
        <v/>
      </c>
      <c r="C2297" s="13" t="str">
        <f aca="false">עזר!M2297</f>
        <v/>
      </c>
    </row>
    <row r="2298" customFormat="false" ht="15" hidden="false" customHeight="false" outlineLevel="0" collapsed="false">
      <c r="A2298" s="13" t="str">
        <f aca="false">IF(עזר!L2298="","",INDEX(עזר!$A$2:$A$5001,עזר!L2298))</f>
        <v/>
      </c>
      <c r="B2298" s="13" t="str">
        <f aca="false">IF(עזר!L2298="","",INDEX(עזר!$B$2:$B$5001,עזר!L2298))</f>
        <v/>
      </c>
      <c r="C2298" s="13" t="str">
        <f aca="false">עזר!M2298</f>
        <v/>
      </c>
    </row>
    <row r="2299" customFormat="false" ht="15" hidden="false" customHeight="false" outlineLevel="0" collapsed="false">
      <c r="A2299" s="13" t="str">
        <f aca="false">IF(עזר!L2299="","",INDEX(עזר!$A$2:$A$5001,עזר!L2299))</f>
        <v/>
      </c>
      <c r="B2299" s="13" t="str">
        <f aca="false">IF(עזר!L2299="","",INDEX(עזר!$B$2:$B$5001,עזר!L2299))</f>
        <v/>
      </c>
      <c r="C2299" s="13" t="str">
        <f aca="false">עזר!M2299</f>
        <v/>
      </c>
    </row>
    <row r="2300" customFormat="false" ht="15" hidden="false" customHeight="false" outlineLevel="0" collapsed="false">
      <c r="A2300" s="13" t="str">
        <f aca="false">IF(עזר!L2300="","",INDEX(עזר!$A$2:$A$5001,עזר!L2300))</f>
        <v/>
      </c>
      <c r="B2300" s="13" t="str">
        <f aca="false">IF(עזר!L2300="","",INDEX(עזר!$B$2:$B$5001,עזר!L2300))</f>
        <v/>
      </c>
      <c r="C2300" s="13" t="str">
        <f aca="false">עזר!M2300</f>
        <v/>
      </c>
    </row>
    <row r="2301" customFormat="false" ht="15" hidden="false" customHeight="false" outlineLevel="0" collapsed="false">
      <c r="A2301" s="13" t="str">
        <f aca="false">IF(עזר!L2301="","",INDEX(עזר!$A$2:$A$5001,עזר!L2301))</f>
        <v/>
      </c>
      <c r="B2301" s="13" t="str">
        <f aca="false">IF(עזר!L2301="","",INDEX(עזר!$B$2:$B$5001,עזר!L2301))</f>
        <v/>
      </c>
      <c r="C2301" s="13" t="str">
        <f aca="false">עזר!M2301</f>
        <v/>
      </c>
    </row>
    <row r="2302" customFormat="false" ht="15" hidden="false" customHeight="false" outlineLevel="0" collapsed="false">
      <c r="A2302" s="13" t="str">
        <f aca="false">IF(עזר!L2302="","",INDEX(עזר!$A$2:$A$5001,עזר!L2302))</f>
        <v/>
      </c>
      <c r="B2302" s="13" t="str">
        <f aca="false">IF(עזר!L2302="","",INDEX(עזר!$B$2:$B$5001,עזר!L2302))</f>
        <v/>
      </c>
      <c r="C2302" s="13" t="str">
        <f aca="false">עזר!M2302</f>
        <v/>
      </c>
    </row>
    <row r="2303" customFormat="false" ht="15" hidden="false" customHeight="false" outlineLevel="0" collapsed="false">
      <c r="A2303" s="13" t="str">
        <f aca="false">IF(עזר!L2303="","",INDEX(עזר!$A$2:$A$5001,עזר!L2303))</f>
        <v/>
      </c>
      <c r="B2303" s="13" t="str">
        <f aca="false">IF(עזר!L2303="","",INDEX(עזר!$B$2:$B$5001,עזר!L2303))</f>
        <v/>
      </c>
      <c r="C2303" s="13" t="str">
        <f aca="false">עזר!M2303</f>
        <v/>
      </c>
    </row>
    <row r="2304" customFormat="false" ht="15" hidden="false" customHeight="false" outlineLevel="0" collapsed="false">
      <c r="A2304" s="13" t="str">
        <f aca="false">IF(עזר!L2304="","",INDEX(עזר!$A$2:$A$5001,עזר!L2304))</f>
        <v/>
      </c>
      <c r="B2304" s="13" t="str">
        <f aca="false">IF(עזר!L2304="","",INDEX(עזר!$B$2:$B$5001,עזר!L2304))</f>
        <v/>
      </c>
      <c r="C2304" s="13" t="str">
        <f aca="false">עזר!M2304</f>
        <v/>
      </c>
    </row>
    <row r="2305" customFormat="false" ht="15" hidden="false" customHeight="false" outlineLevel="0" collapsed="false">
      <c r="A2305" s="13" t="str">
        <f aca="false">IF(עזר!L2305="","",INDEX(עזר!$A$2:$A$5001,עזר!L2305))</f>
        <v/>
      </c>
      <c r="B2305" s="13" t="str">
        <f aca="false">IF(עזר!L2305="","",INDEX(עזר!$B$2:$B$5001,עזר!L2305))</f>
        <v/>
      </c>
      <c r="C2305" s="13" t="str">
        <f aca="false">עזר!M2305</f>
        <v/>
      </c>
    </row>
    <row r="2306" customFormat="false" ht="15" hidden="false" customHeight="false" outlineLevel="0" collapsed="false">
      <c r="A2306" s="13" t="str">
        <f aca="false">IF(עזר!L2306="","",INDEX(עזר!$A$2:$A$5001,עזר!L2306))</f>
        <v/>
      </c>
      <c r="B2306" s="13" t="str">
        <f aca="false">IF(עזר!L2306="","",INDEX(עזר!$B$2:$B$5001,עזר!L2306))</f>
        <v/>
      </c>
      <c r="C2306" s="13" t="str">
        <f aca="false">עזר!M2306</f>
        <v/>
      </c>
    </row>
    <row r="2307" customFormat="false" ht="15" hidden="false" customHeight="false" outlineLevel="0" collapsed="false">
      <c r="A2307" s="13" t="str">
        <f aca="false">IF(עזר!L2307="","",INDEX(עזר!$A$2:$A$5001,עזר!L2307))</f>
        <v/>
      </c>
      <c r="B2307" s="13" t="str">
        <f aca="false">IF(עזר!L2307="","",INDEX(עזר!$B$2:$B$5001,עזר!L2307))</f>
        <v/>
      </c>
      <c r="C2307" s="13" t="str">
        <f aca="false">עזר!M2307</f>
        <v/>
      </c>
    </row>
    <row r="2308" customFormat="false" ht="15" hidden="false" customHeight="false" outlineLevel="0" collapsed="false">
      <c r="A2308" s="13" t="str">
        <f aca="false">IF(עזר!L2308="","",INDEX(עזר!$A$2:$A$5001,עזר!L2308))</f>
        <v/>
      </c>
      <c r="B2308" s="13" t="str">
        <f aca="false">IF(עזר!L2308="","",INDEX(עזר!$B$2:$B$5001,עזר!L2308))</f>
        <v/>
      </c>
      <c r="C2308" s="13" t="str">
        <f aca="false">עזר!M2308</f>
        <v/>
      </c>
    </row>
    <row r="2309" customFormat="false" ht="15" hidden="false" customHeight="false" outlineLevel="0" collapsed="false">
      <c r="A2309" s="13" t="str">
        <f aca="false">IF(עזר!L2309="","",INDEX(עזר!$A$2:$A$5001,עזר!L2309))</f>
        <v/>
      </c>
      <c r="B2309" s="13" t="str">
        <f aca="false">IF(עזר!L2309="","",INDEX(עזר!$B$2:$B$5001,עזר!L2309))</f>
        <v/>
      </c>
      <c r="C2309" s="13" t="str">
        <f aca="false">עזר!M2309</f>
        <v/>
      </c>
    </row>
    <row r="2310" customFormat="false" ht="15" hidden="false" customHeight="false" outlineLevel="0" collapsed="false">
      <c r="A2310" s="13" t="str">
        <f aca="false">IF(עזר!L2310="","",INDEX(עזר!$A$2:$A$5001,עזר!L2310))</f>
        <v/>
      </c>
      <c r="B2310" s="13" t="str">
        <f aca="false">IF(עזר!L2310="","",INDEX(עזר!$B$2:$B$5001,עזר!L2310))</f>
        <v/>
      </c>
      <c r="C2310" s="13" t="str">
        <f aca="false">עזר!M2310</f>
        <v/>
      </c>
    </row>
    <row r="2311" customFormat="false" ht="15" hidden="false" customHeight="false" outlineLevel="0" collapsed="false">
      <c r="A2311" s="13" t="str">
        <f aca="false">IF(עזר!L2311="","",INDEX(עזר!$A$2:$A$5001,עזר!L2311))</f>
        <v/>
      </c>
      <c r="B2311" s="13" t="str">
        <f aca="false">IF(עזר!L2311="","",INDEX(עזר!$B$2:$B$5001,עזר!L2311))</f>
        <v/>
      </c>
      <c r="C2311" s="13" t="str">
        <f aca="false">עזר!M2311</f>
        <v/>
      </c>
    </row>
    <row r="2312" customFormat="false" ht="15" hidden="false" customHeight="false" outlineLevel="0" collapsed="false">
      <c r="A2312" s="13" t="str">
        <f aca="false">IF(עזר!L2312="","",INDEX(עזר!$A$2:$A$5001,עזר!L2312))</f>
        <v/>
      </c>
      <c r="B2312" s="13" t="str">
        <f aca="false">IF(עזר!L2312="","",INDEX(עזר!$B$2:$B$5001,עזר!L2312))</f>
        <v/>
      </c>
      <c r="C2312" s="13" t="str">
        <f aca="false">עזר!M2312</f>
        <v/>
      </c>
    </row>
    <row r="2313" customFormat="false" ht="15" hidden="false" customHeight="false" outlineLevel="0" collapsed="false">
      <c r="A2313" s="13" t="str">
        <f aca="false">IF(עזר!L2313="","",INDEX(עזר!$A$2:$A$5001,עזר!L2313))</f>
        <v/>
      </c>
      <c r="B2313" s="13" t="str">
        <f aca="false">IF(עזר!L2313="","",INDEX(עזר!$B$2:$B$5001,עזר!L2313))</f>
        <v/>
      </c>
      <c r="C2313" s="13" t="str">
        <f aca="false">עזר!M2313</f>
        <v/>
      </c>
    </row>
    <row r="2314" customFormat="false" ht="15" hidden="false" customHeight="false" outlineLevel="0" collapsed="false">
      <c r="A2314" s="13" t="str">
        <f aca="false">IF(עזר!L2314="","",INDEX(עזר!$A$2:$A$5001,עזר!L2314))</f>
        <v/>
      </c>
      <c r="B2314" s="13" t="str">
        <f aca="false">IF(עזר!L2314="","",INDEX(עזר!$B$2:$B$5001,עזר!L2314))</f>
        <v/>
      </c>
      <c r="C2314" s="13" t="str">
        <f aca="false">עזר!M2314</f>
        <v/>
      </c>
    </row>
    <row r="2315" customFormat="false" ht="15" hidden="false" customHeight="false" outlineLevel="0" collapsed="false">
      <c r="A2315" s="13" t="str">
        <f aca="false">IF(עזר!L2315="","",INDEX(עזר!$A$2:$A$5001,עזר!L2315))</f>
        <v/>
      </c>
      <c r="B2315" s="13" t="str">
        <f aca="false">IF(עזר!L2315="","",INDEX(עזר!$B$2:$B$5001,עזר!L2315))</f>
        <v/>
      </c>
      <c r="C2315" s="13" t="str">
        <f aca="false">עזר!M2315</f>
        <v/>
      </c>
    </row>
    <row r="2316" customFormat="false" ht="15" hidden="false" customHeight="false" outlineLevel="0" collapsed="false">
      <c r="A2316" s="13" t="str">
        <f aca="false">IF(עזר!L2316="","",INDEX(עזר!$A$2:$A$5001,עזר!L2316))</f>
        <v/>
      </c>
      <c r="B2316" s="13" t="str">
        <f aca="false">IF(עזר!L2316="","",INDEX(עזר!$B$2:$B$5001,עזר!L2316))</f>
        <v/>
      </c>
      <c r="C2316" s="13" t="str">
        <f aca="false">עזר!M2316</f>
        <v/>
      </c>
    </row>
    <row r="2317" customFormat="false" ht="15" hidden="false" customHeight="false" outlineLevel="0" collapsed="false">
      <c r="A2317" s="13" t="str">
        <f aca="false">IF(עזר!L2317="","",INDEX(עזר!$A$2:$A$5001,עזר!L2317))</f>
        <v/>
      </c>
      <c r="B2317" s="13" t="str">
        <f aca="false">IF(עזר!L2317="","",INDEX(עזר!$B$2:$B$5001,עזר!L2317))</f>
        <v/>
      </c>
      <c r="C2317" s="13" t="str">
        <f aca="false">עזר!M2317</f>
        <v/>
      </c>
    </row>
    <row r="2318" customFormat="false" ht="15" hidden="false" customHeight="false" outlineLevel="0" collapsed="false">
      <c r="A2318" s="13" t="str">
        <f aca="false">IF(עזר!L2318="","",INDEX(עזר!$A$2:$A$5001,עזר!L2318))</f>
        <v/>
      </c>
      <c r="B2318" s="13" t="str">
        <f aca="false">IF(עזר!L2318="","",INDEX(עזר!$B$2:$B$5001,עזר!L2318))</f>
        <v/>
      </c>
      <c r="C2318" s="13" t="str">
        <f aca="false">עזר!M2318</f>
        <v/>
      </c>
    </row>
    <row r="2319" customFormat="false" ht="15" hidden="false" customHeight="false" outlineLevel="0" collapsed="false">
      <c r="A2319" s="13" t="str">
        <f aca="false">IF(עזר!L2319="","",INDEX(עזר!$A$2:$A$5001,עזר!L2319))</f>
        <v/>
      </c>
      <c r="B2319" s="13" t="str">
        <f aca="false">IF(עזר!L2319="","",INDEX(עזר!$B$2:$B$5001,עזר!L2319))</f>
        <v/>
      </c>
      <c r="C2319" s="13" t="str">
        <f aca="false">עזר!M2319</f>
        <v/>
      </c>
    </row>
    <row r="2320" customFormat="false" ht="15" hidden="false" customHeight="false" outlineLevel="0" collapsed="false">
      <c r="A2320" s="13" t="str">
        <f aca="false">IF(עזר!L2320="","",INDEX(עזר!$A$2:$A$5001,עזר!L2320))</f>
        <v/>
      </c>
      <c r="B2320" s="13" t="str">
        <f aca="false">IF(עזר!L2320="","",INDEX(עזר!$B$2:$B$5001,עזר!L2320))</f>
        <v/>
      </c>
      <c r="C2320" s="13" t="str">
        <f aca="false">עזר!M2320</f>
        <v/>
      </c>
    </row>
    <row r="2321" customFormat="false" ht="15" hidden="false" customHeight="false" outlineLevel="0" collapsed="false">
      <c r="A2321" s="13" t="str">
        <f aca="false">IF(עזר!L2321="","",INDEX(עזר!$A$2:$A$5001,עזר!L2321))</f>
        <v/>
      </c>
      <c r="B2321" s="13" t="str">
        <f aca="false">IF(עזר!L2321="","",INDEX(עזר!$B$2:$B$5001,עזר!L2321))</f>
        <v/>
      </c>
      <c r="C2321" s="13" t="str">
        <f aca="false">עזר!M2321</f>
        <v/>
      </c>
    </row>
    <row r="2322" customFormat="false" ht="15" hidden="false" customHeight="false" outlineLevel="0" collapsed="false">
      <c r="A2322" s="13" t="str">
        <f aca="false">IF(עזר!L2322="","",INDEX(עזר!$A$2:$A$5001,עזר!L2322))</f>
        <v/>
      </c>
      <c r="B2322" s="13" t="str">
        <f aca="false">IF(עזר!L2322="","",INDEX(עזר!$B$2:$B$5001,עזר!L2322))</f>
        <v/>
      </c>
      <c r="C2322" s="13" t="str">
        <f aca="false">עזר!M2322</f>
        <v/>
      </c>
    </row>
    <row r="2323" customFormat="false" ht="15" hidden="false" customHeight="false" outlineLevel="0" collapsed="false">
      <c r="A2323" s="13" t="str">
        <f aca="false">IF(עזר!L2323="","",INDEX(עזר!$A$2:$A$5001,עזר!L2323))</f>
        <v/>
      </c>
      <c r="B2323" s="13" t="str">
        <f aca="false">IF(עזר!L2323="","",INDEX(עזר!$B$2:$B$5001,עזר!L2323))</f>
        <v/>
      </c>
      <c r="C2323" s="13" t="str">
        <f aca="false">עזר!M2323</f>
        <v/>
      </c>
    </row>
    <row r="2324" customFormat="false" ht="15" hidden="false" customHeight="false" outlineLevel="0" collapsed="false">
      <c r="A2324" s="13" t="str">
        <f aca="false">IF(עזר!L2324="","",INDEX(עזר!$A$2:$A$5001,עזר!L2324))</f>
        <v/>
      </c>
      <c r="B2324" s="13" t="str">
        <f aca="false">IF(עזר!L2324="","",INDEX(עזר!$B$2:$B$5001,עזר!L2324))</f>
        <v/>
      </c>
      <c r="C2324" s="13" t="str">
        <f aca="false">עזר!M2324</f>
        <v/>
      </c>
    </row>
    <row r="2325" customFormat="false" ht="15" hidden="false" customHeight="false" outlineLevel="0" collapsed="false">
      <c r="A2325" s="13" t="str">
        <f aca="false">IF(עזר!L2325="","",INDEX(עזר!$A$2:$A$5001,עזר!L2325))</f>
        <v/>
      </c>
      <c r="B2325" s="13" t="str">
        <f aca="false">IF(עזר!L2325="","",INDEX(עזר!$B$2:$B$5001,עזר!L2325))</f>
        <v/>
      </c>
      <c r="C2325" s="13" t="str">
        <f aca="false">עזר!M2325</f>
        <v/>
      </c>
    </row>
    <row r="2326" customFormat="false" ht="15" hidden="false" customHeight="false" outlineLevel="0" collapsed="false">
      <c r="A2326" s="13" t="str">
        <f aca="false">IF(עזר!L2326="","",INDEX(עזר!$A$2:$A$5001,עזר!L2326))</f>
        <v/>
      </c>
      <c r="B2326" s="13" t="str">
        <f aca="false">IF(עזר!L2326="","",INDEX(עזר!$B$2:$B$5001,עזר!L2326))</f>
        <v/>
      </c>
      <c r="C2326" s="13" t="str">
        <f aca="false">עזר!M2326</f>
        <v/>
      </c>
    </row>
    <row r="2327" customFormat="false" ht="15" hidden="false" customHeight="false" outlineLevel="0" collapsed="false">
      <c r="A2327" s="13" t="str">
        <f aca="false">IF(עזר!L2327="","",INDEX(עזר!$A$2:$A$5001,עזר!L2327))</f>
        <v/>
      </c>
      <c r="B2327" s="13" t="str">
        <f aca="false">IF(עזר!L2327="","",INDEX(עזר!$B$2:$B$5001,עזר!L2327))</f>
        <v/>
      </c>
      <c r="C2327" s="13" t="str">
        <f aca="false">עזר!M2327</f>
        <v/>
      </c>
    </row>
    <row r="2328" customFormat="false" ht="15" hidden="false" customHeight="false" outlineLevel="0" collapsed="false">
      <c r="A2328" s="13" t="str">
        <f aca="false">IF(עזר!L2328="","",INDEX(עזר!$A$2:$A$5001,עזר!L2328))</f>
        <v/>
      </c>
      <c r="B2328" s="13" t="str">
        <f aca="false">IF(עזר!L2328="","",INDEX(עזר!$B$2:$B$5001,עזר!L2328))</f>
        <v/>
      </c>
      <c r="C2328" s="13" t="str">
        <f aca="false">עזר!M2328</f>
        <v/>
      </c>
    </row>
    <row r="2329" customFormat="false" ht="15" hidden="false" customHeight="false" outlineLevel="0" collapsed="false">
      <c r="A2329" s="13" t="str">
        <f aca="false">IF(עזר!L2329="","",INDEX(עזר!$A$2:$A$5001,עזר!L2329))</f>
        <v/>
      </c>
      <c r="B2329" s="13" t="str">
        <f aca="false">IF(עזר!L2329="","",INDEX(עזר!$B$2:$B$5001,עזר!L2329))</f>
        <v/>
      </c>
      <c r="C2329" s="13" t="str">
        <f aca="false">עזר!M2329</f>
        <v/>
      </c>
    </row>
    <row r="2330" customFormat="false" ht="15" hidden="false" customHeight="false" outlineLevel="0" collapsed="false">
      <c r="A2330" s="13" t="str">
        <f aca="false">IF(עזר!L2330="","",INDEX(עזר!$A$2:$A$5001,עזר!L2330))</f>
        <v/>
      </c>
      <c r="B2330" s="13" t="str">
        <f aca="false">IF(עזר!L2330="","",INDEX(עזר!$B$2:$B$5001,עזר!L2330))</f>
        <v/>
      </c>
      <c r="C2330" s="13" t="str">
        <f aca="false">עזר!M2330</f>
        <v/>
      </c>
    </row>
    <row r="2331" customFormat="false" ht="15" hidden="false" customHeight="false" outlineLevel="0" collapsed="false">
      <c r="A2331" s="13" t="str">
        <f aca="false">IF(עזר!L2331="","",INDEX(עזר!$A$2:$A$5001,עזר!L2331))</f>
        <v/>
      </c>
      <c r="B2331" s="13" t="str">
        <f aca="false">IF(עזר!L2331="","",INDEX(עזר!$B$2:$B$5001,עזר!L2331))</f>
        <v/>
      </c>
      <c r="C2331" s="13" t="str">
        <f aca="false">עזר!M2331</f>
        <v/>
      </c>
    </row>
    <row r="2332" customFormat="false" ht="15" hidden="false" customHeight="false" outlineLevel="0" collapsed="false">
      <c r="A2332" s="13" t="str">
        <f aca="false">IF(עזר!L2332="","",INDEX(עזר!$A$2:$A$5001,עזר!L2332))</f>
        <v/>
      </c>
      <c r="B2332" s="13" t="str">
        <f aca="false">IF(עזר!L2332="","",INDEX(עזר!$B$2:$B$5001,עזר!L2332))</f>
        <v/>
      </c>
      <c r="C2332" s="13" t="str">
        <f aca="false">עזר!M2332</f>
        <v/>
      </c>
    </row>
    <row r="2333" customFormat="false" ht="15" hidden="false" customHeight="false" outlineLevel="0" collapsed="false">
      <c r="A2333" s="13" t="str">
        <f aca="false">IF(עזר!L2333="","",INDEX(עזר!$A$2:$A$5001,עזר!L2333))</f>
        <v/>
      </c>
      <c r="B2333" s="13" t="str">
        <f aca="false">IF(עזר!L2333="","",INDEX(עזר!$B$2:$B$5001,עזר!L2333))</f>
        <v/>
      </c>
      <c r="C2333" s="13" t="str">
        <f aca="false">עזר!M2333</f>
        <v/>
      </c>
    </row>
    <row r="2334" customFormat="false" ht="15" hidden="false" customHeight="false" outlineLevel="0" collapsed="false">
      <c r="A2334" s="13" t="str">
        <f aca="false">IF(עזר!L2334="","",INDEX(עזר!$A$2:$A$5001,עזר!L2334))</f>
        <v/>
      </c>
      <c r="B2334" s="13" t="str">
        <f aca="false">IF(עזר!L2334="","",INDEX(עזר!$B$2:$B$5001,עזר!L2334))</f>
        <v/>
      </c>
      <c r="C2334" s="13" t="str">
        <f aca="false">עזר!M2334</f>
        <v/>
      </c>
    </row>
    <row r="2335" customFormat="false" ht="15" hidden="false" customHeight="false" outlineLevel="0" collapsed="false">
      <c r="A2335" s="13" t="str">
        <f aca="false">IF(עזר!L2335="","",INDEX(עזר!$A$2:$A$5001,עזר!L2335))</f>
        <v/>
      </c>
      <c r="B2335" s="13" t="str">
        <f aca="false">IF(עזר!L2335="","",INDEX(עזר!$B$2:$B$5001,עזר!L2335))</f>
        <v/>
      </c>
      <c r="C2335" s="13" t="str">
        <f aca="false">עזר!M2335</f>
        <v/>
      </c>
    </row>
    <row r="2336" customFormat="false" ht="15" hidden="false" customHeight="false" outlineLevel="0" collapsed="false">
      <c r="A2336" s="13" t="str">
        <f aca="false">IF(עזר!L2336="","",INDEX(עזר!$A$2:$A$5001,עזר!L2336))</f>
        <v/>
      </c>
      <c r="B2336" s="13" t="str">
        <f aca="false">IF(עזר!L2336="","",INDEX(עזר!$B$2:$B$5001,עזר!L2336))</f>
        <v/>
      </c>
      <c r="C2336" s="13" t="str">
        <f aca="false">עזר!M2336</f>
        <v/>
      </c>
    </row>
    <row r="2337" customFormat="false" ht="15" hidden="false" customHeight="false" outlineLevel="0" collapsed="false">
      <c r="A2337" s="13" t="str">
        <f aca="false">IF(עזר!L2337="","",INDEX(עזר!$A$2:$A$5001,עזר!L2337))</f>
        <v/>
      </c>
      <c r="B2337" s="13" t="str">
        <f aca="false">IF(עזר!L2337="","",INDEX(עזר!$B$2:$B$5001,עזר!L2337))</f>
        <v/>
      </c>
      <c r="C2337" s="13" t="str">
        <f aca="false">עזר!M2337</f>
        <v/>
      </c>
    </row>
    <row r="2338" customFormat="false" ht="15" hidden="false" customHeight="false" outlineLevel="0" collapsed="false">
      <c r="A2338" s="13" t="str">
        <f aca="false">IF(עזר!L2338="","",INDEX(עזר!$A$2:$A$5001,עזר!L2338))</f>
        <v/>
      </c>
      <c r="B2338" s="13" t="str">
        <f aca="false">IF(עזר!L2338="","",INDEX(עזר!$B$2:$B$5001,עזר!L2338))</f>
        <v/>
      </c>
      <c r="C2338" s="13" t="str">
        <f aca="false">עזר!M2338</f>
        <v/>
      </c>
    </row>
    <row r="2339" customFormat="false" ht="15" hidden="false" customHeight="false" outlineLevel="0" collapsed="false">
      <c r="A2339" s="13" t="str">
        <f aca="false">IF(עזר!L2339="","",INDEX(עזר!$A$2:$A$5001,עזר!L2339))</f>
        <v/>
      </c>
      <c r="B2339" s="13" t="str">
        <f aca="false">IF(עזר!L2339="","",INDEX(עזר!$B$2:$B$5001,עזר!L2339))</f>
        <v/>
      </c>
      <c r="C2339" s="13" t="str">
        <f aca="false">עזר!M2339</f>
        <v/>
      </c>
    </row>
    <row r="2340" customFormat="false" ht="15" hidden="false" customHeight="false" outlineLevel="0" collapsed="false">
      <c r="A2340" s="13" t="str">
        <f aca="false">IF(עזר!L2340="","",INDEX(עזר!$A$2:$A$5001,עזר!L2340))</f>
        <v/>
      </c>
      <c r="B2340" s="13" t="str">
        <f aca="false">IF(עזר!L2340="","",INDEX(עזר!$B$2:$B$5001,עזר!L2340))</f>
        <v/>
      </c>
      <c r="C2340" s="13" t="str">
        <f aca="false">עזר!M2340</f>
        <v/>
      </c>
    </row>
    <row r="2341" customFormat="false" ht="15" hidden="false" customHeight="false" outlineLevel="0" collapsed="false">
      <c r="A2341" s="13" t="str">
        <f aca="false">IF(עזר!L2341="","",INDEX(עזר!$A$2:$A$5001,עזר!L2341))</f>
        <v/>
      </c>
      <c r="B2341" s="13" t="str">
        <f aca="false">IF(עזר!L2341="","",INDEX(עזר!$B$2:$B$5001,עזר!L2341))</f>
        <v/>
      </c>
      <c r="C2341" s="13" t="str">
        <f aca="false">עזר!M2341</f>
        <v/>
      </c>
    </row>
    <row r="2342" customFormat="false" ht="15" hidden="false" customHeight="false" outlineLevel="0" collapsed="false">
      <c r="A2342" s="13" t="str">
        <f aca="false">IF(עזר!L2342="","",INDEX(עזר!$A$2:$A$5001,עזר!L2342))</f>
        <v/>
      </c>
      <c r="B2342" s="13" t="str">
        <f aca="false">IF(עזר!L2342="","",INDEX(עזר!$B$2:$B$5001,עזר!L2342))</f>
        <v/>
      </c>
      <c r="C2342" s="13" t="str">
        <f aca="false">עזר!M2342</f>
        <v/>
      </c>
    </row>
    <row r="2343" customFormat="false" ht="15" hidden="false" customHeight="false" outlineLevel="0" collapsed="false">
      <c r="A2343" s="13" t="str">
        <f aca="false">IF(עזר!L2343="","",INDEX(עזר!$A$2:$A$5001,עזר!L2343))</f>
        <v/>
      </c>
      <c r="B2343" s="13" t="str">
        <f aca="false">IF(עזר!L2343="","",INDEX(עזר!$B$2:$B$5001,עזר!L2343))</f>
        <v/>
      </c>
      <c r="C2343" s="13" t="str">
        <f aca="false">עזר!M2343</f>
        <v/>
      </c>
    </row>
    <row r="2344" customFormat="false" ht="15" hidden="false" customHeight="false" outlineLevel="0" collapsed="false">
      <c r="A2344" s="13" t="str">
        <f aca="false">IF(עזר!L2344="","",INDEX(עזר!$A$2:$A$5001,עזר!L2344))</f>
        <v/>
      </c>
      <c r="B2344" s="13" t="str">
        <f aca="false">IF(עזר!L2344="","",INDEX(עזר!$B$2:$B$5001,עזר!L2344))</f>
        <v/>
      </c>
      <c r="C2344" s="13" t="str">
        <f aca="false">עזר!M2344</f>
        <v/>
      </c>
    </row>
    <row r="2345" customFormat="false" ht="15" hidden="false" customHeight="false" outlineLevel="0" collapsed="false">
      <c r="A2345" s="13" t="str">
        <f aca="false">IF(עזר!L2345="","",INDEX(עזר!$A$2:$A$5001,עזר!L2345))</f>
        <v/>
      </c>
      <c r="B2345" s="13" t="str">
        <f aca="false">IF(עזר!L2345="","",INDEX(עזר!$B$2:$B$5001,עזר!L2345))</f>
        <v/>
      </c>
      <c r="C2345" s="13" t="str">
        <f aca="false">עזר!M2345</f>
        <v/>
      </c>
    </row>
    <row r="2346" customFormat="false" ht="15" hidden="false" customHeight="false" outlineLevel="0" collapsed="false">
      <c r="A2346" s="13" t="str">
        <f aca="false">IF(עזר!L2346="","",INDEX(עזר!$A$2:$A$5001,עזר!L2346))</f>
        <v/>
      </c>
      <c r="B2346" s="13" t="str">
        <f aca="false">IF(עזר!L2346="","",INDEX(עזר!$B$2:$B$5001,עזר!L2346))</f>
        <v/>
      </c>
      <c r="C2346" s="13" t="str">
        <f aca="false">עזר!M2346</f>
        <v/>
      </c>
    </row>
    <row r="2347" customFormat="false" ht="15" hidden="false" customHeight="false" outlineLevel="0" collapsed="false">
      <c r="A2347" s="13" t="str">
        <f aca="false">IF(עזר!L2347="","",INDEX(עזר!$A$2:$A$5001,עזר!L2347))</f>
        <v/>
      </c>
      <c r="B2347" s="13" t="str">
        <f aca="false">IF(עזר!L2347="","",INDEX(עזר!$B$2:$B$5001,עזר!L2347))</f>
        <v/>
      </c>
      <c r="C2347" s="13" t="str">
        <f aca="false">עזר!M2347</f>
        <v/>
      </c>
    </row>
    <row r="2348" customFormat="false" ht="15" hidden="false" customHeight="false" outlineLevel="0" collapsed="false">
      <c r="A2348" s="13" t="str">
        <f aca="false">IF(עזר!L2348="","",INDEX(עזר!$A$2:$A$5001,עזר!L2348))</f>
        <v/>
      </c>
      <c r="B2348" s="13" t="str">
        <f aca="false">IF(עזר!L2348="","",INDEX(עזר!$B$2:$B$5001,עזר!L2348))</f>
        <v/>
      </c>
      <c r="C2348" s="13" t="str">
        <f aca="false">עזר!M2348</f>
        <v/>
      </c>
    </row>
    <row r="2349" customFormat="false" ht="15" hidden="false" customHeight="false" outlineLevel="0" collapsed="false">
      <c r="A2349" s="13" t="str">
        <f aca="false">IF(עזר!L2349="","",INDEX(עזר!$A$2:$A$5001,עזר!L2349))</f>
        <v/>
      </c>
      <c r="B2349" s="13" t="str">
        <f aca="false">IF(עזר!L2349="","",INDEX(עזר!$B$2:$B$5001,עזר!L2349))</f>
        <v/>
      </c>
      <c r="C2349" s="13" t="str">
        <f aca="false">עזר!M2349</f>
        <v/>
      </c>
    </row>
    <row r="2350" customFormat="false" ht="15" hidden="false" customHeight="false" outlineLevel="0" collapsed="false">
      <c r="A2350" s="13" t="str">
        <f aca="false">IF(עזר!L2350="","",INDEX(עזר!$A$2:$A$5001,עזר!L2350))</f>
        <v/>
      </c>
      <c r="B2350" s="13" t="str">
        <f aca="false">IF(עזר!L2350="","",INDEX(עזר!$B$2:$B$5001,עזר!L2350))</f>
        <v/>
      </c>
      <c r="C2350" s="13" t="str">
        <f aca="false">עזר!M2350</f>
        <v/>
      </c>
    </row>
    <row r="2351" customFormat="false" ht="15" hidden="false" customHeight="false" outlineLevel="0" collapsed="false">
      <c r="A2351" s="13" t="str">
        <f aca="false">IF(עזר!L2351="","",INDEX(עזר!$A$2:$A$5001,עזר!L2351))</f>
        <v/>
      </c>
      <c r="B2351" s="13" t="str">
        <f aca="false">IF(עזר!L2351="","",INDEX(עזר!$B$2:$B$5001,עזר!L2351))</f>
        <v/>
      </c>
      <c r="C2351" s="13" t="str">
        <f aca="false">עזר!M2351</f>
        <v/>
      </c>
    </row>
    <row r="2352" customFormat="false" ht="15" hidden="false" customHeight="false" outlineLevel="0" collapsed="false">
      <c r="A2352" s="13" t="str">
        <f aca="false">IF(עזר!L2352="","",INDEX(עזר!$A$2:$A$5001,עזר!L2352))</f>
        <v/>
      </c>
      <c r="B2352" s="13" t="str">
        <f aca="false">IF(עזר!L2352="","",INDEX(עזר!$B$2:$B$5001,עזר!L2352))</f>
        <v/>
      </c>
      <c r="C2352" s="13" t="str">
        <f aca="false">עזר!M2352</f>
        <v/>
      </c>
    </row>
    <row r="2353" customFormat="false" ht="15" hidden="false" customHeight="false" outlineLevel="0" collapsed="false">
      <c r="A2353" s="13" t="str">
        <f aca="false">IF(עזר!L2353="","",INDEX(עזר!$A$2:$A$5001,עזר!L2353))</f>
        <v/>
      </c>
      <c r="B2353" s="13" t="str">
        <f aca="false">IF(עזר!L2353="","",INDEX(עזר!$B$2:$B$5001,עזר!L2353))</f>
        <v/>
      </c>
      <c r="C2353" s="13" t="str">
        <f aca="false">עזר!M2353</f>
        <v/>
      </c>
    </row>
    <row r="2354" customFormat="false" ht="15" hidden="false" customHeight="false" outlineLevel="0" collapsed="false">
      <c r="A2354" s="13" t="str">
        <f aca="false">IF(עזר!L2354="","",INDEX(עזר!$A$2:$A$5001,עזר!L2354))</f>
        <v/>
      </c>
      <c r="B2354" s="13" t="str">
        <f aca="false">IF(עזר!L2354="","",INDEX(עזר!$B$2:$B$5001,עזר!L2354))</f>
        <v/>
      </c>
      <c r="C2354" s="13" t="str">
        <f aca="false">עזר!M2354</f>
        <v/>
      </c>
    </row>
    <row r="2355" customFormat="false" ht="15" hidden="false" customHeight="false" outlineLevel="0" collapsed="false">
      <c r="A2355" s="13" t="str">
        <f aca="false">IF(עזר!L2355="","",INDEX(עזר!$A$2:$A$5001,עזר!L2355))</f>
        <v/>
      </c>
      <c r="B2355" s="13" t="str">
        <f aca="false">IF(עזר!L2355="","",INDEX(עזר!$B$2:$B$5001,עזר!L2355))</f>
        <v/>
      </c>
      <c r="C2355" s="13" t="str">
        <f aca="false">עזר!M2355</f>
        <v/>
      </c>
    </row>
    <row r="2356" customFormat="false" ht="15" hidden="false" customHeight="false" outlineLevel="0" collapsed="false">
      <c r="A2356" s="13" t="str">
        <f aca="false">IF(עזר!L2356="","",INDEX(עזר!$A$2:$A$5001,עזר!L2356))</f>
        <v/>
      </c>
      <c r="B2356" s="13" t="str">
        <f aca="false">IF(עזר!L2356="","",INDEX(עזר!$B$2:$B$5001,עזר!L2356))</f>
        <v/>
      </c>
      <c r="C2356" s="13" t="str">
        <f aca="false">עזר!M2356</f>
        <v/>
      </c>
    </row>
    <row r="2357" customFormat="false" ht="15" hidden="false" customHeight="false" outlineLevel="0" collapsed="false">
      <c r="A2357" s="13" t="str">
        <f aca="false">IF(עזר!L2357="","",INDEX(עזר!$A$2:$A$5001,עזר!L2357))</f>
        <v/>
      </c>
      <c r="B2357" s="13" t="str">
        <f aca="false">IF(עזר!L2357="","",INDEX(עזר!$B$2:$B$5001,עזר!L2357))</f>
        <v/>
      </c>
      <c r="C2357" s="13" t="str">
        <f aca="false">עזר!M2357</f>
        <v/>
      </c>
    </row>
    <row r="2358" customFormat="false" ht="15" hidden="false" customHeight="false" outlineLevel="0" collapsed="false">
      <c r="A2358" s="13" t="str">
        <f aca="false">IF(עזר!L2358="","",INDEX(עזר!$A$2:$A$5001,עזר!L2358))</f>
        <v/>
      </c>
      <c r="B2358" s="13" t="str">
        <f aca="false">IF(עזר!L2358="","",INDEX(עזר!$B$2:$B$5001,עזר!L2358))</f>
        <v/>
      </c>
      <c r="C2358" s="13" t="str">
        <f aca="false">עזר!M2358</f>
        <v/>
      </c>
    </row>
    <row r="2359" customFormat="false" ht="15" hidden="false" customHeight="false" outlineLevel="0" collapsed="false">
      <c r="A2359" s="13" t="str">
        <f aca="false">IF(עזר!L2359="","",INDEX(עזר!$A$2:$A$5001,עזר!L2359))</f>
        <v/>
      </c>
      <c r="B2359" s="13" t="str">
        <f aca="false">IF(עזר!L2359="","",INDEX(עזר!$B$2:$B$5001,עזר!L2359))</f>
        <v/>
      </c>
      <c r="C2359" s="13" t="str">
        <f aca="false">עזר!M2359</f>
        <v/>
      </c>
    </row>
    <row r="2360" customFormat="false" ht="15" hidden="false" customHeight="false" outlineLevel="0" collapsed="false">
      <c r="A2360" s="13" t="str">
        <f aca="false">IF(עזר!L2360="","",INDEX(עזר!$A$2:$A$5001,עזר!L2360))</f>
        <v/>
      </c>
      <c r="B2360" s="13" t="str">
        <f aca="false">IF(עזר!L2360="","",INDEX(עזר!$B$2:$B$5001,עזר!L2360))</f>
        <v/>
      </c>
      <c r="C2360" s="13" t="str">
        <f aca="false">עזר!M2360</f>
        <v/>
      </c>
    </row>
    <row r="2361" customFormat="false" ht="15" hidden="false" customHeight="false" outlineLevel="0" collapsed="false">
      <c r="A2361" s="13" t="str">
        <f aca="false">IF(עזר!L2361="","",INDEX(עזר!$A$2:$A$5001,עזר!L2361))</f>
        <v/>
      </c>
      <c r="B2361" s="13" t="str">
        <f aca="false">IF(עזר!L2361="","",INDEX(עזר!$B$2:$B$5001,עזר!L2361))</f>
        <v/>
      </c>
      <c r="C2361" s="13" t="str">
        <f aca="false">עזר!M2361</f>
        <v/>
      </c>
    </row>
    <row r="2362" customFormat="false" ht="15" hidden="false" customHeight="false" outlineLevel="0" collapsed="false">
      <c r="A2362" s="13" t="str">
        <f aca="false">IF(עזר!L2362="","",INDEX(עזר!$A$2:$A$5001,עזר!L2362))</f>
        <v/>
      </c>
      <c r="B2362" s="13" t="str">
        <f aca="false">IF(עזר!L2362="","",INDEX(עזר!$B$2:$B$5001,עזר!L2362))</f>
        <v/>
      </c>
      <c r="C2362" s="13" t="str">
        <f aca="false">עזר!M2362</f>
        <v/>
      </c>
    </row>
    <row r="2363" customFormat="false" ht="15" hidden="false" customHeight="false" outlineLevel="0" collapsed="false">
      <c r="A2363" s="13" t="str">
        <f aca="false">IF(עזר!L2363="","",INDEX(עזר!$A$2:$A$5001,עזר!L2363))</f>
        <v/>
      </c>
      <c r="B2363" s="13" t="str">
        <f aca="false">IF(עזר!L2363="","",INDEX(עזר!$B$2:$B$5001,עזר!L2363))</f>
        <v/>
      </c>
      <c r="C2363" s="13" t="str">
        <f aca="false">עזר!M2363</f>
        <v/>
      </c>
    </row>
    <row r="2364" customFormat="false" ht="15" hidden="false" customHeight="false" outlineLevel="0" collapsed="false">
      <c r="A2364" s="13" t="str">
        <f aca="false">IF(עזר!L2364="","",INDEX(עזר!$A$2:$A$5001,עזר!L2364))</f>
        <v/>
      </c>
      <c r="B2364" s="13" t="str">
        <f aca="false">IF(עזר!L2364="","",INDEX(עזר!$B$2:$B$5001,עזר!L2364))</f>
        <v/>
      </c>
      <c r="C2364" s="13" t="str">
        <f aca="false">עזר!M2364</f>
        <v/>
      </c>
    </row>
    <row r="2365" customFormat="false" ht="15" hidden="false" customHeight="false" outlineLevel="0" collapsed="false">
      <c r="A2365" s="13" t="str">
        <f aca="false">IF(עזר!L2365="","",INDEX(עזר!$A$2:$A$5001,עזר!L2365))</f>
        <v/>
      </c>
      <c r="B2365" s="13" t="str">
        <f aca="false">IF(עזר!L2365="","",INDEX(עזר!$B$2:$B$5001,עזר!L2365))</f>
        <v/>
      </c>
      <c r="C2365" s="13" t="str">
        <f aca="false">עזר!M2365</f>
        <v/>
      </c>
    </row>
    <row r="2366" customFormat="false" ht="15" hidden="false" customHeight="false" outlineLevel="0" collapsed="false">
      <c r="A2366" s="13" t="str">
        <f aca="false">IF(עזר!L2366="","",INDEX(עזר!$A$2:$A$5001,עזר!L2366))</f>
        <v/>
      </c>
      <c r="B2366" s="13" t="str">
        <f aca="false">IF(עזר!L2366="","",INDEX(עזר!$B$2:$B$5001,עזר!L2366))</f>
        <v/>
      </c>
      <c r="C2366" s="13" t="str">
        <f aca="false">עזר!M2366</f>
        <v/>
      </c>
    </row>
    <row r="2367" customFormat="false" ht="15" hidden="false" customHeight="false" outlineLevel="0" collapsed="false">
      <c r="A2367" s="13" t="str">
        <f aca="false">IF(עזר!L2367="","",INDEX(עזר!$A$2:$A$5001,עזר!L2367))</f>
        <v/>
      </c>
      <c r="B2367" s="13" t="str">
        <f aca="false">IF(עזר!L2367="","",INDEX(עזר!$B$2:$B$5001,עזר!L2367))</f>
        <v/>
      </c>
      <c r="C2367" s="13" t="str">
        <f aca="false">עזר!M2367</f>
        <v/>
      </c>
    </row>
    <row r="2368" customFormat="false" ht="15" hidden="false" customHeight="false" outlineLevel="0" collapsed="false">
      <c r="A2368" s="13" t="str">
        <f aca="false">IF(עזר!L2368="","",INDEX(עזר!$A$2:$A$5001,עזר!L2368))</f>
        <v/>
      </c>
      <c r="B2368" s="13" t="str">
        <f aca="false">IF(עזר!L2368="","",INDEX(עזר!$B$2:$B$5001,עזר!L2368))</f>
        <v/>
      </c>
      <c r="C2368" s="13" t="str">
        <f aca="false">עזר!M2368</f>
        <v/>
      </c>
    </row>
    <row r="2369" customFormat="false" ht="15" hidden="false" customHeight="false" outlineLevel="0" collapsed="false">
      <c r="A2369" s="13" t="str">
        <f aca="false">IF(עזר!L2369="","",INDEX(עזר!$A$2:$A$5001,עזר!L2369))</f>
        <v/>
      </c>
      <c r="B2369" s="13" t="str">
        <f aca="false">IF(עזר!L2369="","",INDEX(עזר!$B$2:$B$5001,עזר!L2369))</f>
        <v/>
      </c>
      <c r="C2369" s="13" t="str">
        <f aca="false">עזר!M2369</f>
        <v/>
      </c>
    </row>
    <row r="2370" customFormat="false" ht="15" hidden="false" customHeight="false" outlineLevel="0" collapsed="false">
      <c r="A2370" s="13" t="str">
        <f aca="false">IF(עזר!L2370="","",INDEX(עזר!$A$2:$A$5001,עזר!L2370))</f>
        <v/>
      </c>
      <c r="B2370" s="13" t="str">
        <f aca="false">IF(עזר!L2370="","",INDEX(עזר!$B$2:$B$5001,עזר!L2370))</f>
        <v/>
      </c>
      <c r="C2370" s="13" t="str">
        <f aca="false">עזר!M2370</f>
        <v/>
      </c>
    </row>
    <row r="2371" customFormat="false" ht="15" hidden="false" customHeight="false" outlineLevel="0" collapsed="false">
      <c r="A2371" s="13" t="str">
        <f aca="false">IF(עזר!L2371="","",INDEX(עזר!$A$2:$A$5001,עזר!L2371))</f>
        <v/>
      </c>
      <c r="B2371" s="13" t="str">
        <f aca="false">IF(עזר!L2371="","",INDEX(עזר!$B$2:$B$5001,עזר!L2371))</f>
        <v/>
      </c>
      <c r="C2371" s="13" t="str">
        <f aca="false">עזר!M2371</f>
        <v/>
      </c>
    </row>
    <row r="2372" customFormat="false" ht="15" hidden="false" customHeight="false" outlineLevel="0" collapsed="false">
      <c r="A2372" s="13" t="str">
        <f aca="false">IF(עזר!L2372="","",INDEX(עזר!$A$2:$A$5001,עזר!L2372))</f>
        <v/>
      </c>
      <c r="B2372" s="13" t="str">
        <f aca="false">IF(עזר!L2372="","",INDEX(עזר!$B$2:$B$5001,עזר!L2372))</f>
        <v/>
      </c>
      <c r="C2372" s="13" t="str">
        <f aca="false">עזר!M2372</f>
        <v/>
      </c>
    </row>
    <row r="2373" customFormat="false" ht="15" hidden="false" customHeight="false" outlineLevel="0" collapsed="false">
      <c r="A2373" s="13" t="str">
        <f aca="false">IF(עזר!L2373="","",INDEX(עזר!$A$2:$A$5001,עזר!L2373))</f>
        <v/>
      </c>
      <c r="B2373" s="13" t="str">
        <f aca="false">IF(עזר!L2373="","",INDEX(עזר!$B$2:$B$5001,עזר!L2373))</f>
        <v/>
      </c>
      <c r="C2373" s="13" t="str">
        <f aca="false">עזר!M2373</f>
        <v/>
      </c>
    </row>
    <row r="2374" customFormat="false" ht="15" hidden="false" customHeight="false" outlineLevel="0" collapsed="false">
      <c r="A2374" s="13" t="str">
        <f aca="false">IF(עזר!L2374="","",INDEX(עזר!$A$2:$A$5001,עזר!L2374))</f>
        <v/>
      </c>
      <c r="B2374" s="13" t="str">
        <f aca="false">IF(עזר!L2374="","",INDEX(עזר!$B$2:$B$5001,עזר!L2374))</f>
        <v/>
      </c>
      <c r="C2374" s="13" t="str">
        <f aca="false">עזר!M2374</f>
        <v/>
      </c>
    </row>
    <row r="2375" customFormat="false" ht="15" hidden="false" customHeight="false" outlineLevel="0" collapsed="false">
      <c r="A2375" s="13" t="str">
        <f aca="false">IF(עזר!L2375="","",INDEX(עזר!$A$2:$A$5001,עזר!L2375))</f>
        <v/>
      </c>
      <c r="B2375" s="13" t="str">
        <f aca="false">IF(עזר!L2375="","",INDEX(עזר!$B$2:$B$5001,עזר!L2375))</f>
        <v/>
      </c>
      <c r="C2375" s="13" t="str">
        <f aca="false">עזר!M2375</f>
        <v/>
      </c>
    </row>
    <row r="2376" customFormat="false" ht="15" hidden="false" customHeight="false" outlineLevel="0" collapsed="false">
      <c r="A2376" s="13" t="str">
        <f aca="false">IF(עזר!L2376="","",INDEX(עזר!$A$2:$A$5001,עזר!L2376))</f>
        <v/>
      </c>
      <c r="B2376" s="13" t="str">
        <f aca="false">IF(עזר!L2376="","",INDEX(עזר!$B$2:$B$5001,עזר!L2376))</f>
        <v/>
      </c>
      <c r="C2376" s="13" t="str">
        <f aca="false">עזר!M2376</f>
        <v/>
      </c>
    </row>
    <row r="2377" customFormat="false" ht="15" hidden="false" customHeight="false" outlineLevel="0" collapsed="false">
      <c r="A2377" s="13" t="str">
        <f aca="false">IF(עזר!L2377="","",INDEX(עזר!$A$2:$A$5001,עזר!L2377))</f>
        <v/>
      </c>
      <c r="B2377" s="13" t="str">
        <f aca="false">IF(עזר!L2377="","",INDEX(עזר!$B$2:$B$5001,עזר!L2377))</f>
        <v/>
      </c>
      <c r="C2377" s="13" t="str">
        <f aca="false">עזר!M2377</f>
        <v/>
      </c>
    </row>
    <row r="2378" customFormat="false" ht="15" hidden="false" customHeight="false" outlineLevel="0" collapsed="false">
      <c r="A2378" s="13" t="str">
        <f aca="false">IF(עזר!L2378="","",INDEX(עזר!$A$2:$A$5001,עזר!L2378))</f>
        <v/>
      </c>
      <c r="B2378" s="13" t="str">
        <f aca="false">IF(עזר!L2378="","",INDEX(עזר!$B$2:$B$5001,עזר!L2378))</f>
        <v/>
      </c>
      <c r="C2378" s="13" t="str">
        <f aca="false">עזר!M2378</f>
        <v/>
      </c>
    </row>
    <row r="2379" customFormat="false" ht="15" hidden="false" customHeight="false" outlineLevel="0" collapsed="false">
      <c r="A2379" s="13" t="str">
        <f aca="false">IF(עזר!L2379="","",INDEX(עזר!$A$2:$A$5001,עזר!L2379))</f>
        <v/>
      </c>
      <c r="B2379" s="13" t="str">
        <f aca="false">IF(עזר!L2379="","",INDEX(עזר!$B$2:$B$5001,עזר!L2379))</f>
        <v/>
      </c>
      <c r="C2379" s="13" t="str">
        <f aca="false">עזר!M2379</f>
        <v/>
      </c>
    </row>
    <row r="2380" customFormat="false" ht="15" hidden="false" customHeight="false" outlineLevel="0" collapsed="false">
      <c r="A2380" s="13" t="str">
        <f aca="false">IF(עזר!L2380="","",INDEX(עזר!$A$2:$A$5001,עזר!L2380))</f>
        <v/>
      </c>
      <c r="B2380" s="13" t="str">
        <f aca="false">IF(עזר!L2380="","",INDEX(עזר!$B$2:$B$5001,עזר!L2380))</f>
        <v/>
      </c>
      <c r="C2380" s="13" t="str">
        <f aca="false">עזר!M2380</f>
        <v/>
      </c>
    </row>
    <row r="2381" customFormat="false" ht="15" hidden="false" customHeight="false" outlineLevel="0" collapsed="false">
      <c r="A2381" s="13" t="str">
        <f aca="false">IF(עזר!L2381="","",INDEX(עזר!$A$2:$A$5001,עזר!L2381))</f>
        <v/>
      </c>
      <c r="B2381" s="13" t="str">
        <f aca="false">IF(עזר!L2381="","",INDEX(עזר!$B$2:$B$5001,עזר!L2381))</f>
        <v/>
      </c>
      <c r="C2381" s="13" t="str">
        <f aca="false">עזר!M2381</f>
        <v/>
      </c>
    </row>
    <row r="2382" customFormat="false" ht="15" hidden="false" customHeight="false" outlineLevel="0" collapsed="false">
      <c r="A2382" s="13" t="str">
        <f aca="false">IF(עזר!L2382="","",INDEX(עזר!$A$2:$A$5001,עזר!L2382))</f>
        <v/>
      </c>
      <c r="B2382" s="13" t="str">
        <f aca="false">IF(עזר!L2382="","",INDEX(עזר!$B$2:$B$5001,עזר!L2382))</f>
        <v/>
      </c>
      <c r="C2382" s="13" t="str">
        <f aca="false">עזר!M2382</f>
        <v/>
      </c>
    </row>
    <row r="2383" customFormat="false" ht="15" hidden="false" customHeight="false" outlineLevel="0" collapsed="false">
      <c r="A2383" s="13" t="str">
        <f aca="false">IF(עזר!L2383="","",INDEX(עזר!$A$2:$A$5001,עזר!L2383))</f>
        <v/>
      </c>
      <c r="B2383" s="13" t="str">
        <f aca="false">IF(עזר!L2383="","",INDEX(עזר!$B$2:$B$5001,עזר!L2383))</f>
        <v/>
      </c>
      <c r="C2383" s="13" t="str">
        <f aca="false">עזר!M2383</f>
        <v/>
      </c>
    </row>
    <row r="2384" customFormat="false" ht="15" hidden="false" customHeight="false" outlineLevel="0" collapsed="false">
      <c r="A2384" s="13" t="str">
        <f aca="false">IF(עזר!L2384="","",INDEX(עזר!$A$2:$A$5001,עזר!L2384))</f>
        <v/>
      </c>
      <c r="B2384" s="13" t="str">
        <f aca="false">IF(עזר!L2384="","",INDEX(עזר!$B$2:$B$5001,עזר!L2384))</f>
        <v/>
      </c>
      <c r="C2384" s="13" t="str">
        <f aca="false">עזר!M2384</f>
        <v/>
      </c>
    </row>
    <row r="2385" customFormat="false" ht="15" hidden="false" customHeight="false" outlineLevel="0" collapsed="false">
      <c r="A2385" s="13" t="str">
        <f aca="false">IF(עזר!L2385="","",INDEX(עזר!$A$2:$A$5001,עזר!L2385))</f>
        <v/>
      </c>
      <c r="B2385" s="13" t="str">
        <f aca="false">IF(עזר!L2385="","",INDEX(עזר!$B$2:$B$5001,עזר!L2385))</f>
        <v/>
      </c>
      <c r="C2385" s="13" t="str">
        <f aca="false">עזר!M2385</f>
        <v/>
      </c>
    </row>
    <row r="2386" customFormat="false" ht="15" hidden="false" customHeight="false" outlineLevel="0" collapsed="false">
      <c r="A2386" s="13" t="str">
        <f aca="false">IF(עזר!L2386="","",INDEX(עזר!$A$2:$A$5001,עזר!L2386))</f>
        <v/>
      </c>
      <c r="B2386" s="13" t="str">
        <f aca="false">IF(עזר!L2386="","",INDEX(עזר!$B$2:$B$5001,עזר!L2386))</f>
        <v/>
      </c>
      <c r="C2386" s="13" t="str">
        <f aca="false">עזר!M2386</f>
        <v/>
      </c>
    </row>
    <row r="2387" customFormat="false" ht="15" hidden="false" customHeight="false" outlineLevel="0" collapsed="false">
      <c r="A2387" s="13" t="str">
        <f aca="false">IF(עזר!L2387="","",INDEX(עזר!$A$2:$A$5001,עזר!L2387))</f>
        <v/>
      </c>
      <c r="B2387" s="13" t="str">
        <f aca="false">IF(עזר!L2387="","",INDEX(עזר!$B$2:$B$5001,עזר!L2387))</f>
        <v/>
      </c>
      <c r="C2387" s="13" t="str">
        <f aca="false">עזר!M2387</f>
        <v/>
      </c>
    </row>
    <row r="2388" customFormat="false" ht="15" hidden="false" customHeight="false" outlineLevel="0" collapsed="false">
      <c r="A2388" s="13" t="str">
        <f aca="false">IF(עזר!L2388="","",INDEX(עזר!$A$2:$A$5001,עזר!L2388))</f>
        <v/>
      </c>
      <c r="B2388" s="13" t="str">
        <f aca="false">IF(עזר!L2388="","",INDEX(עזר!$B$2:$B$5001,עזר!L2388))</f>
        <v/>
      </c>
      <c r="C2388" s="13" t="str">
        <f aca="false">עזר!M2388</f>
        <v/>
      </c>
    </row>
    <row r="2389" customFormat="false" ht="15" hidden="false" customHeight="false" outlineLevel="0" collapsed="false">
      <c r="A2389" s="13" t="str">
        <f aca="false">IF(עזר!L2389="","",INDEX(עזר!$A$2:$A$5001,עזר!L2389))</f>
        <v/>
      </c>
      <c r="B2389" s="13" t="str">
        <f aca="false">IF(עזר!L2389="","",INDEX(עזר!$B$2:$B$5001,עזר!L2389))</f>
        <v/>
      </c>
      <c r="C2389" s="13" t="str">
        <f aca="false">עזר!M2389</f>
        <v/>
      </c>
    </row>
    <row r="2390" customFormat="false" ht="15" hidden="false" customHeight="false" outlineLevel="0" collapsed="false">
      <c r="A2390" s="13" t="str">
        <f aca="false">IF(עזר!L2390="","",INDEX(עזר!$A$2:$A$5001,עזר!L2390))</f>
        <v/>
      </c>
      <c r="B2390" s="13" t="str">
        <f aca="false">IF(עזר!L2390="","",INDEX(עזר!$B$2:$B$5001,עזר!L2390))</f>
        <v/>
      </c>
      <c r="C2390" s="13" t="str">
        <f aca="false">עזר!M2390</f>
        <v/>
      </c>
    </row>
    <row r="2391" customFormat="false" ht="15" hidden="false" customHeight="false" outlineLevel="0" collapsed="false">
      <c r="A2391" s="13" t="str">
        <f aca="false">IF(עזר!L2391="","",INDEX(עזר!$A$2:$A$5001,עזר!L2391))</f>
        <v/>
      </c>
      <c r="B2391" s="13" t="str">
        <f aca="false">IF(עזר!L2391="","",INDEX(עזר!$B$2:$B$5001,עזר!L2391))</f>
        <v/>
      </c>
      <c r="C2391" s="13" t="str">
        <f aca="false">עזר!M2391</f>
        <v/>
      </c>
    </row>
    <row r="2392" customFormat="false" ht="15" hidden="false" customHeight="false" outlineLevel="0" collapsed="false">
      <c r="A2392" s="13" t="str">
        <f aca="false">IF(עזר!L2392="","",INDEX(עזר!$A$2:$A$5001,עזר!L2392))</f>
        <v/>
      </c>
      <c r="B2392" s="13" t="str">
        <f aca="false">IF(עזר!L2392="","",INDEX(עזר!$B$2:$B$5001,עזר!L2392))</f>
        <v/>
      </c>
      <c r="C2392" s="13" t="str">
        <f aca="false">עזר!M2392</f>
        <v/>
      </c>
    </row>
    <row r="2393" customFormat="false" ht="15" hidden="false" customHeight="false" outlineLevel="0" collapsed="false">
      <c r="A2393" s="13" t="str">
        <f aca="false">IF(עזר!L2393="","",INDEX(עזר!$A$2:$A$5001,עזר!L2393))</f>
        <v/>
      </c>
      <c r="B2393" s="13" t="str">
        <f aca="false">IF(עזר!L2393="","",INDEX(עזר!$B$2:$B$5001,עזר!L2393))</f>
        <v/>
      </c>
      <c r="C2393" s="13" t="str">
        <f aca="false">עזר!M2393</f>
        <v/>
      </c>
    </row>
    <row r="2394" customFormat="false" ht="15" hidden="false" customHeight="false" outlineLevel="0" collapsed="false">
      <c r="A2394" s="13" t="str">
        <f aca="false">IF(עזר!L2394="","",INDEX(עזר!$A$2:$A$5001,עזר!L2394))</f>
        <v/>
      </c>
      <c r="B2394" s="13" t="str">
        <f aca="false">IF(עזר!L2394="","",INDEX(עזר!$B$2:$B$5001,עזר!L2394))</f>
        <v/>
      </c>
      <c r="C2394" s="13" t="str">
        <f aca="false">עזר!M2394</f>
        <v/>
      </c>
    </row>
    <row r="2395" customFormat="false" ht="15" hidden="false" customHeight="false" outlineLevel="0" collapsed="false">
      <c r="A2395" s="13" t="str">
        <f aca="false">IF(עזר!L2395="","",INDEX(עזר!$A$2:$A$5001,עזר!L2395))</f>
        <v/>
      </c>
      <c r="B2395" s="13" t="str">
        <f aca="false">IF(עזר!L2395="","",INDEX(עזר!$B$2:$B$5001,עזר!L2395))</f>
        <v/>
      </c>
      <c r="C2395" s="13" t="str">
        <f aca="false">עזר!M2395</f>
        <v/>
      </c>
    </row>
    <row r="2396" customFormat="false" ht="15" hidden="false" customHeight="false" outlineLevel="0" collapsed="false">
      <c r="A2396" s="13" t="str">
        <f aca="false">IF(עזר!L2396="","",INDEX(עזר!$A$2:$A$5001,עזר!L2396))</f>
        <v/>
      </c>
      <c r="B2396" s="13" t="str">
        <f aca="false">IF(עזר!L2396="","",INDEX(עזר!$B$2:$B$5001,עזר!L2396))</f>
        <v/>
      </c>
      <c r="C2396" s="13" t="str">
        <f aca="false">עזר!M2396</f>
        <v/>
      </c>
    </row>
    <row r="2397" customFormat="false" ht="15" hidden="false" customHeight="false" outlineLevel="0" collapsed="false">
      <c r="A2397" s="13" t="str">
        <f aca="false">IF(עזר!L2397="","",INDEX(עזר!$A$2:$A$5001,עזר!L2397))</f>
        <v/>
      </c>
      <c r="B2397" s="13" t="str">
        <f aca="false">IF(עזר!L2397="","",INDEX(עזר!$B$2:$B$5001,עזר!L2397))</f>
        <v/>
      </c>
      <c r="C2397" s="13" t="str">
        <f aca="false">עזר!M2397</f>
        <v/>
      </c>
    </row>
    <row r="2398" customFormat="false" ht="15" hidden="false" customHeight="false" outlineLevel="0" collapsed="false">
      <c r="A2398" s="13" t="str">
        <f aca="false">IF(עזר!L2398="","",INDEX(עזר!$A$2:$A$5001,עזר!L2398))</f>
        <v/>
      </c>
      <c r="B2398" s="13" t="str">
        <f aca="false">IF(עזר!L2398="","",INDEX(עזר!$B$2:$B$5001,עזר!L2398))</f>
        <v/>
      </c>
      <c r="C2398" s="13" t="str">
        <f aca="false">עזר!M2398</f>
        <v/>
      </c>
    </row>
    <row r="2399" customFormat="false" ht="15" hidden="false" customHeight="false" outlineLevel="0" collapsed="false">
      <c r="A2399" s="13" t="str">
        <f aca="false">IF(עזר!L2399="","",INDEX(עזר!$A$2:$A$5001,עזר!L2399))</f>
        <v/>
      </c>
      <c r="B2399" s="13" t="str">
        <f aca="false">IF(עזר!L2399="","",INDEX(עזר!$B$2:$B$5001,עזר!L2399))</f>
        <v/>
      </c>
      <c r="C2399" s="13" t="str">
        <f aca="false">עזר!M2399</f>
        <v/>
      </c>
    </row>
    <row r="2400" customFormat="false" ht="15" hidden="false" customHeight="false" outlineLevel="0" collapsed="false">
      <c r="A2400" s="13" t="str">
        <f aca="false">IF(עזר!L2400="","",INDEX(עזר!$A$2:$A$5001,עזר!L2400))</f>
        <v/>
      </c>
      <c r="B2400" s="13" t="str">
        <f aca="false">IF(עזר!L2400="","",INDEX(עזר!$B$2:$B$5001,עזר!L2400))</f>
        <v/>
      </c>
      <c r="C2400" s="13" t="str">
        <f aca="false">עזר!M2400</f>
        <v/>
      </c>
    </row>
    <row r="2401" customFormat="false" ht="15" hidden="false" customHeight="false" outlineLevel="0" collapsed="false">
      <c r="A2401" s="13" t="str">
        <f aca="false">IF(עזר!L2401="","",INDEX(עזר!$A$2:$A$5001,עזר!L2401))</f>
        <v/>
      </c>
      <c r="B2401" s="13" t="str">
        <f aca="false">IF(עזר!L2401="","",INDEX(עזר!$B$2:$B$5001,עזר!L2401))</f>
        <v/>
      </c>
      <c r="C2401" s="13" t="str">
        <f aca="false">עזר!M2401</f>
        <v/>
      </c>
    </row>
    <row r="2402" customFormat="false" ht="15" hidden="false" customHeight="false" outlineLevel="0" collapsed="false">
      <c r="A2402" s="13" t="str">
        <f aca="false">IF(עזר!L2402="","",INDEX(עזר!$A$2:$A$5001,עזר!L2402))</f>
        <v/>
      </c>
      <c r="B2402" s="13" t="str">
        <f aca="false">IF(עזר!L2402="","",INDEX(עזר!$B$2:$B$5001,עזר!L2402))</f>
        <v/>
      </c>
      <c r="C2402" s="13" t="str">
        <f aca="false">עזר!M2402</f>
        <v/>
      </c>
    </row>
    <row r="2403" customFormat="false" ht="15" hidden="false" customHeight="false" outlineLevel="0" collapsed="false">
      <c r="A2403" s="13" t="str">
        <f aca="false">IF(עזר!L2403="","",INDEX(עזר!$A$2:$A$5001,עזר!L2403))</f>
        <v/>
      </c>
      <c r="B2403" s="13" t="str">
        <f aca="false">IF(עזר!L2403="","",INDEX(עזר!$B$2:$B$5001,עזר!L2403))</f>
        <v/>
      </c>
      <c r="C2403" s="13" t="str">
        <f aca="false">עזר!M2403</f>
        <v/>
      </c>
    </row>
    <row r="2404" customFormat="false" ht="15" hidden="false" customHeight="false" outlineLevel="0" collapsed="false">
      <c r="A2404" s="13" t="str">
        <f aca="false">IF(עזר!L2404="","",INDEX(עזר!$A$2:$A$5001,עזר!L2404))</f>
        <v/>
      </c>
      <c r="B2404" s="13" t="str">
        <f aca="false">IF(עזר!L2404="","",INDEX(עזר!$B$2:$B$5001,עזר!L2404))</f>
        <v/>
      </c>
      <c r="C2404" s="13" t="str">
        <f aca="false">עזר!M2404</f>
        <v/>
      </c>
    </row>
    <row r="2405" customFormat="false" ht="15" hidden="false" customHeight="false" outlineLevel="0" collapsed="false">
      <c r="A2405" s="13" t="str">
        <f aca="false">IF(עזר!L2405="","",INDEX(עזר!$A$2:$A$5001,עזר!L2405))</f>
        <v/>
      </c>
      <c r="B2405" s="13" t="str">
        <f aca="false">IF(עזר!L2405="","",INDEX(עזר!$B$2:$B$5001,עזר!L2405))</f>
        <v/>
      </c>
      <c r="C2405" s="13" t="str">
        <f aca="false">עזר!M2405</f>
        <v/>
      </c>
    </row>
    <row r="2406" customFormat="false" ht="15" hidden="false" customHeight="false" outlineLevel="0" collapsed="false">
      <c r="A2406" s="13" t="str">
        <f aca="false">IF(עזר!L2406="","",INDEX(עזר!$A$2:$A$5001,עזר!L2406))</f>
        <v/>
      </c>
      <c r="B2406" s="13" t="str">
        <f aca="false">IF(עזר!L2406="","",INDEX(עזר!$B$2:$B$5001,עזר!L2406))</f>
        <v/>
      </c>
      <c r="C2406" s="13" t="str">
        <f aca="false">עזר!M2406</f>
        <v/>
      </c>
    </row>
    <row r="2407" customFormat="false" ht="15" hidden="false" customHeight="false" outlineLevel="0" collapsed="false">
      <c r="A2407" s="13" t="str">
        <f aca="false">IF(עזר!L2407="","",INDEX(עזר!$A$2:$A$5001,עזר!L2407))</f>
        <v/>
      </c>
      <c r="B2407" s="13" t="str">
        <f aca="false">IF(עזר!L2407="","",INDEX(עזר!$B$2:$B$5001,עזר!L2407))</f>
        <v/>
      </c>
      <c r="C2407" s="13" t="str">
        <f aca="false">עזר!M2407</f>
        <v/>
      </c>
    </row>
    <row r="2408" customFormat="false" ht="15" hidden="false" customHeight="false" outlineLevel="0" collapsed="false">
      <c r="A2408" s="13" t="str">
        <f aca="false">IF(עזר!L2408="","",INDEX(עזר!$A$2:$A$5001,עזר!L2408))</f>
        <v/>
      </c>
      <c r="B2408" s="13" t="str">
        <f aca="false">IF(עזר!L2408="","",INDEX(עזר!$B$2:$B$5001,עזר!L2408))</f>
        <v/>
      </c>
      <c r="C2408" s="13" t="str">
        <f aca="false">עזר!M2408</f>
        <v/>
      </c>
    </row>
    <row r="2409" customFormat="false" ht="15" hidden="false" customHeight="false" outlineLevel="0" collapsed="false">
      <c r="A2409" s="13" t="str">
        <f aca="false">IF(עזר!L2409="","",INDEX(עזר!$A$2:$A$5001,עזר!L2409))</f>
        <v/>
      </c>
      <c r="B2409" s="13" t="str">
        <f aca="false">IF(עזר!L2409="","",INDEX(עזר!$B$2:$B$5001,עזר!L2409))</f>
        <v/>
      </c>
      <c r="C2409" s="13" t="str">
        <f aca="false">עזר!M2409</f>
        <v/>
      </c>
    </row>
    <row r="2410" customFormat="false" ht="15" hidden="false" customHeight="false" outlineLevel="0" collapsed="false">
      <c r="A2410" s="13" t="str">
        <f aca="false">IF(עזר!L2410="","",INDEX(עזר!$A$2:$A$5001,עזר!L2410))</f>
        <v/>
      </c>
      <c r="B2410" s="13" t="str">
        <f aca="false">IF(עזר!L2410="","",INDEX(עזר!$B$2:$B$5001,עזר!L2410))</f>
        <v/>
      </c>
      <c r="C2410" s="13" t="str">
        <f aca="false">עזר!M2410</f>
        <v/>
      </c>
    </row>
    <row r="2411" customFormat="false" ht="15" hidden="false" customHeight="false" outlineLevel="0" collapsed="false">
      <c r="A2411" s="13" t="str">
        <f aca="false">IF(עזר!L2411="","",INDEX(עזר!$A$2:$A$5001,עזר!L2411))</f>
        <v/>
      </c>
      <c r="B2411" s="13" t="str">
        <f aca="false">IF(עזר!L2411="","",INDEX(עזר!$B$2:$B$5001,עזר!L2411))</f>
        <v/>
      </c>
      <c r="C2411" s="13" t="str">
        <f aca="false">עזר!M2411</f>
        <v/>
      </c>
    </row>
    <row r="2412" customFormat="false" ht="15" hidden="false" customHeight="false" outlineLevel="0" collapsed="false">
      <c r="A2412" s="13" t="str">
        <f aca="false">IF(עזר!L2412="","",INDEX(עזר!$A$2:$A$5001,עזר!L2412))</f>
        <v/>
      </c>
      <c r="B2412" s="13" t="str">
        <f aca="false">IF(עזר!L2412="","",INDEX(עזר!$B$2:$B$5001,עזר!L2412))</f>
        <v/>
      </c>
      <c r="C2412" s="13" t="str">
        <f aca="false">עזר!M2412</f>
        <v/>
      </c>
    </row>
    <row r="2413" customFormat="false" ht="15" hidden="false" customHeight="false" outlineLevel="0" collapsed="false">
      <c r="A2413" s="13" t="str">
        <f aca="false">IF(עזר!L2413="","",INDEX(עזר!$A$2:$A$5001,עזר!L2413))</f>
        <v/>
      </c>
      <c r="B2413" s="13" t="str">
        <f aca="false">IF(עזר!L2413="","",INDEX(עזר!$B$2:$B$5001,עזר!L2413))</f>
        <v/>
      </c>
      <c r="C2413" s="13" t="str">
        <f aca="false">עזר!M2413</f>
        <v/>
      </c>
    </row>
    <row r="2414" customFormat="false" ht="15" hidden="false" customHeight="false" outlineLevel="0" collapsed="false">
      <c r="A2414" s="13" t="str">
        <f aca="false">IF(עזר!L2414="","",INDEX(עזר!$A$2:$A$5001,עזר!L2414))</f>
        <v/>
      </c>
      <c r="B2414" s="13" t="str">
        <f aca="false">IF(עזר!L2414="","",INDEX(עזר!$B$2:$B$5001,עזר!L2414))</f>
        <v/>
      </c>
      <c r="C2414" s="13" t="str">
        <f aca="false">עזר!M2414</f>
        <v/>
      </c>
    </row>
    <row r="2415" customFormat="false" ht="15" hidden="false" customHeight="false" outlineLevel="0" collapsed="false">
      <c r="A2415" s="13" t="str">
        <f aca="false">IF(עזר!L2415="","",INDEX(עזר!$A$2:$A$5001,עזר!L2415))</f>
        <v/>
      </c>
      <c r="B2415" s="13" t="str">
        <f aca="false">IF(עזר!L2415="","",INDEX(עזר!$B$2:$B$5001,עזר!L2415))</f>
        <v/>
      </c>
      <c r="C2415" s="13" t="str">
        <f aca="false">עזר!M2415</f>
        <v/>
      </c>
    </row>
    <row r="2416" customFormat="false" ht="15" hidden="false" customHeight="false" outlineLevel="0" collapsed="false">
      <c r="A2416" s="13" t="str">
        <f aca="false">IF(עזר!L2416="","",INDEX(עזר!$A$2:$A$5001,עזר!L2416))</f>
        <v/>
      </c>
      <c r="B2416" s="13" t="str">
        <f aca="false">IF(עזר!L2416="","",INDEX(עזר!$B$2:$B$5001,עזר!L2416))</f>
        <v/>
      </c>
      <c r="C2416" s="13" t="str">
        <f aca="false">עזר!M2416</f>
        <v/>
      </c>
    </row>
    <row r="2417" customFormat="false" ht="15" hidden="false" customHeight="false" outlineLevel="0" collapsed="false">
      <c r="A2417" s="13" t="str">
        <f aca="false">IF(עזר!L2417="","",INDEX(עזר!$A$2:$A$5001,עזר!L2417))</f>
        <v/>
      </c>
      <c r="B2417" s="13" t="str">
        <f aca="false">IF(עזר!L2417="","",INDEX(עזר!$B$2:$B$5001,עזר!L2417))</f>
        <v/>
      </c>
      <c r="C2417" s="13" t="str">
        <f aca="false">עזר!M2417</f>
        <v/>
      </c>
    </row>
    <row r="2418" customFormat="false" ht="15" hidden="false" customHeight="false" outlineLevel="0" collapsed="false">
      <c r="A2418" s="13" t="str">
        <f aca="false">IF(עזר!L2418="","",INDEX(עזר!$A$2:$A$5001,עזר!L2418))</f>
        <v/>
      </c>
      <c r="B2418" s="13" t="str">
        <f aca="false">IF(עזר!L2418="","",INDEX(עזר!$B$2:$B$5001,עזר!L2418))</f>
        <v/>
      </c>
      <c r="C2418" s="13" t="str">
        <f aca="false">עזר!M2418</f>
        <v/>
      </c>
    </row>
    <row r="2419" customFormat="false" ht="15" hidden="false" customHeight="false" outlineLevel="0" collapsed="false">
      <c r="A2419" s="13" t="str">
        <f aca="false">IF(עזר!L2419="","",INDEX(עזר!$A$2:$A$5001,עזר!L2419))</f>
        <v/>
      </c>
      <c r="B2419" s="13" t="str">
        <f aca="false">IF(עזר!L2419="","",INDEX(עזר!$B$2:$B$5001,עזר!L2419))</f>
        <v/>
      </c>
      <c r="C2419" s="13" t="str">
        <f aca="false">עזר!M2419</f>
        <v/>
      </c>
    </row>
    <row r="2420" customFormat="false" ht="15" hidden="false" customHeight="false" outlineLevel="0" collapsed="false">
      <c r="A2420" s="13" t="str">
        <f aca="false">IF(עזר!L2420="","",INDEX(עזר!$A$2:$A$5001,עזר!L2420))</f>
        <v/>
      </c>
      <c r="B2420" s="13" t="str">
        <f aca="false">IF(עזר!L2420="","",INDEX(עזר!$B$2:$B$5001,עזר!L2420))</f>
        <v/>
      </c>
      <c r="C2420" s="13" t="str">
        <f aca="false">עזר!M2420</f>
        <v/>
      </c>
    </row>
    <row r="2421" customFormat="false" ht="15" hidden="false" customHeight="false" outlineLevel="0" collapsed="false">
      <c r="A2421" s="13" t="str">
        <f aca="false">IF(עזר!L2421="","",INDEX(עזר!$A$2:$A$5001,עזר!L2421))</f>
        <v/>
      </c>
      <c r="B2421" s="13" t="str">
        <f aca="false">IF(עזר!L2421="","",INDEX(עזר!$B$2:$B$5001,עזר!L2421))</f>
        <v/>
      </c>
      <c r="C2421" s="13" t="str">
        <f aca="false">עזר!M2421</f>
        <v/>
      </c>
    </row>
    <row r="2422" customFormat="false" ht="15" hidden="false" customHeight="false" outlineLevel="0" collapsed="false">
      <c r="A2422" s="13" t="str">
        <f aca="false">IF(עזר!L2422="","",INDEX(עזר!$A$2:$A$5001,עזר!L2422))</f>
        <v/>
      </c>
      <c r="B2422" s="13" t="str">
        <f aca="false">IF(עזר!L2422="","",INDEX(עזר!$B$2:$B$5001,עזר!L2422))</f>
        <v/>
      </c>
      <c r="C2422" s="13" t="str">
        <f aca="false">עזר!M2422</f>
        <v/>
      </c>
    </row>
    <row r="2423" customFormat="false" ht="15" hidden="false" customHeight="false" outlineLevel="0" collapsed="false">
      <c r="A2423" s="13" t="str">
        <f aca="false">IF(עזר!L2423="","",INDEX(עזר!$A$2:$A$5001,עזר!L2423))</f>
        <v/>
      </c>
      <c r="B2423" s="13" t="str">
        <f aca="false">IF(עזר!L2423="","",INDEX(עזר!$B$2:$B$5001,עזר!L2423))</f>
        <v/>
      </c>
      <c r="C2423" s="13" t="str">
        <f aca="false">עזר!M2423</f>
        <v/>
      </c>
    </row>
    <row r="2424" customFormat="false" ht="15" hidden="false" customHeight="false" outlineLevel="0" collapsed="false">
      <c r="A2424" s="13" t="str">
        <f aca="false">IF(עזר!L2424="","",INDEX(עזר!$A$2:$A$5001,עזר!L2424))</f>
        <v/>
      </c>
      <c r="B2424" s="13" t="str">
        <f aca="false">IF(עזר!L2424="","",INDEX(עזר!$B$2:$B$5001,עזר!L2424))</f>
        <v/>
      </c>
      <c r="C2424" s="13" t="str">
        <f aca="false">עזר!M2424</f>
        <v/>
      </c>
    </row>
    <row r="2425" customFormat="false" ht="15" hidden="false" customHeight="false" outlineLevel="0" collapsed="false">
      <c r="A2425" s="13" t="str">
        <f aca="false">IF(עזר!L2425="","",INDEX(עזר!$A$2:$A$5001,עזר!L2425))</f>
        <v/>
      </c>
      <c r="B2425" s="13" t="str">
        <f aca="false">IF(עזר!L2425="","",INDEX(עזר!$B$2:$B$5001,עזר!L2425))</f>
        <v/>
      </c>
      <c r="C2425" s="13" t="str">
        <f aca="false">עזר!M2425</f>
        <v/>
      </c>
    </row>
    <row r="2426" customFormat="false" ht="15" hidden="false" customHeight="false" outlineLevel="0" collapsed="false">
      <c r="A2426" s="13" t="str">
        <f aca="false">IF(עזר!L2426="","",INDEX(עזר!$A$2:$A$5001,עזר!L2426))</f>
        <v/>
      </c>
      <c r="B2426" s="13" t="str">
        <f aca="false">IF(עזר!L2426="","",INDEX(עזר!$B$2:$B$5001,עזר!L2426))</f>
        <v/>
      </c>
      <c r="C2426" s="13" t="str">
        <f aca="false">עזר!M2426</f>
        <v/>
      </c>
    </row>
    <row r="2427" customFormat="false" ht="15" hidden="false" customHeight="false" outlineLevel="0" collapsed="false">
      <c r="A2427" s="13" t="str">
        <f aca="false">IF(עזר!L2427="","",INDEX(עזר!$A$2:$A$5001,עזר!L2427))</f>
        <v/>
      </c>
      <c r="B2427" s="13" t="str">
        <f aca="false">IF(עזר!L2427="","",INDEX(עזר!$B$2:$B$5001,עזר!L2427))</f>
        <v/>
      </c>
      <c r="C2427" s="13" t="str">
        <f aca="false">עזר!M2427</f>
        <v/>
      </c>
    </row>
    <row r="2428" customFormat="false" ht="15" hidden="false" customHeight="false" outlineLevel="0" collapsed="false">
      <c r="A2428" s="13" t="str">
        <f aca="false">IF(עזר!L2428="","",INDEX(עזר!$A$2:$A$5001,עזר!L2428))</f>
        <v/>
      </c>
      <c r="B2428" s="13" t="str">
        <f aca="false">IF(עזר!L2428="","",INDEX(עזר!$B$2:$B$5001,עזר!L2428))</f>
        <v/>
      </c>
      <c r="C2428" s="13" t="str">
        <f aca="false">עזר!M2428</f>
        <v/>
      </c>
    </row>
    <row r="2429" customFormat="false" ht="15" hidden="false" customHeight="false" outlineLevel="0" collapsed="false">
      <c r="A2429" s="13" t="str">
        <f aca="false">IF(עזר!L2429="","",INDEX(עזר!$A$2:$A$5001,עזר!L2429))</f>
        <v/>
      </c>
      <c r="B2429" s="13" t="str">
        <f aca="false">IF(עזר!L2429="","",INDEX(עזר!$B$2:$B$5001,עזר!L2429))</f>
        <v/>
      </c>
      <c r="C2429" s="13" t="str">
        <f aca="false">עזר!M2429</f>
        <v/>
      </c>
    </row>
    <row r="2430" customFormat="false" ht="15" hidden="false" customHeight="false" outlineLevel="0" collapsed="false">
      <c r="A2430" s="13" t="str">
        <f aca="false">IF(עזר!L2430="","",INDEX(עזר!$A$2:$A$5001,עזר!L2430))</f>
        <v/>
      </c>
      <c r="B2430" s="13" t="str">
        <f aca="false">IF(עזר!L2430="","",INDEX(עזר!$B$2:$B$5001,עזר!L2430))</f>
        <v/>
      </c>
      <c r="C2430" s="13" t="str">
        <f aca="false">עזר!M2430</f>
        <v/>
      </c>
    </row>
    <row r="2431" customFormat="false" ht="15" hidden="false" customHeight="false" outlineLevel="0" collapsed="false">
      <c r="A2431" s="13" t="str">
        <f aca="false">IF(עזר!L2431="","",INDEX(עזר!$A$2:$A$5001,עזר!L2431))</f>
        <v/>
      </c>
      <c r="B2431" s="13" t="str">
        <f aca="false">IF(עזר!L2431="","",INDEX(עזר!$B$2:$B$5001,עזר!L2431))</f>
        <v/>
      </c>
      <c r="C2431" s="13" t="str">
        <f aca="false">עזר!M2431</f>
        <v/>
      </c>
    </row>
    <row r="2432" customFormat="false" ht="15" hidden="false" customHeight="false" outlineLevel="0" collapsed="false">
      <c r="A2432" s="13" t="str">
        <f aca="false">IF(עזר!L2432="","",INDEX(עזר!$A$2:$A$5001,עזר!L2432))</f>
        <v/>
      </c>
      <c r="B2432" s="13" t="str">
        <f aca="false">IF(עזר!L2432="","",INDEX(עזר!$B$2:$B$5001,עזר!L2432))</f>
        <v/>
      </c>
      <c r="C2432" s="13" t="str">
        <f aca="false">עזר!M2432</f>
        <v/>
      </c>
    </row>
    <row r="2433" customFormat="false" ht="15" hidden="false" customHeight="false" outlineLevel="0" collapsed="false">
      <c r="A2433" s="13" t="str">
        <f aca="false">IF(עזר!L2433="","",INDEX(עזר!$A$2:$A$5001,עזר!L2433))</f>
        <v/>
      </c>
      <c r="B2433" s="13" t="str">
        <f aca="false">IF(עזר!L2433="","",INDEX(עזר!$B$2:$B$5001,עזר!L2433))</f>
        <v/>
      </c>
      <c r="C2433" s="13" t="str">
        <f aca="false">עזר!M2433</f>
        <v/>
      </c>
    </row>
    <row r="2434" customFormat="false" ht="15" hidden="false" customHeight="false" outlineLevel="0" collapsed="false">
      <c r="A2434" s="13" t="str">
        <f aca="false">IF(עזר!L2434="","",INDEX(עזר!$A$2:$A$5001,עזר!L2434))</f>
        <v/>
      </c>
      <c r="B2434" s="13" t="str">
        <f aca="false">IF(עזר!L2434="","",INDEX(עזר!$B$2:$B$5001,עזר!L2434))</f>
        <v/>
      </c>
      <c r="C2434" s="13" t="str">
        <f aca="false">עזר!M2434</f>
        <v/>
      </c>
    </row>
    <row r="2435" customFormat="false" ht="15" hidden="false" customHeight="false" outlineLevel="0" collapsed="false">
      <c r="A2435" s="13" t="str">
        <f aca="false">IF(עזר!L2435="","",INDEX(עזר!$A$2:$A$5001,עזר!L2435))</f>
        <v/>
      </c>
      <c r="B2435" s="13" t="str">
        <f aca="false">IF(עזר!L2435="","",INDEX(עזר!$B$2:$B$5001,עזר!L2435))</f>
        <v/>
      </c>
      <c r="C2435" s="13" t="str">
        <f aca="false">עזר!M2435</f>
        <v/>
      </c>
    </row>
    <row r="2436" customFormat="false" ht="15" hidden="false" customHeight="false" outlineLevel="0" collapsed="false">
      <c r="A2436" s="13" t="str">
        <f aca="false">IF(עזר!L2436="","",INDEX(עזר!$A$2:$A$5001,עזר!L2436))</f>
        <v/>
      </c>
      <c r="B2436" s="13" t="str">
        <f aca="false">IF(עזר!L2436="","",INDEX(עזר!$B$2:$B$5001,עזר!L2436))</f>
        <v/>
      </c>
      <c r="C2436" s="13" t="str">
        <f aca="false">עזר!M2436</f>
        <v/>
      </c>
    </row>
    <row r="2437" customFormat="false" ht="15" hidden="false" customHeight="false" outlineLevel="0" collapsed="false">
      <c r="A2437" s="13" t="str">
        <f aca="false">IF(עזר!L2437="","",INDEX(עזר!$A$2:$A$5001,עזר!L2437))</f>
        <v/>
      </c>
      <c r="B2437" s="13" t="str">
        <f aca="false">IF(עזר!L2437="","",INDEX(עזר!$B$2:$B$5001,עזר!L2437))</f>
        <v/>
      </c>
      <c r="C2437" s="13" t="str">
        <f aca="false">עזר!M2437</f>
        <v/>
      </c>
    </row>
    <row r="2438" customFormat="false" ht="15" hidden="false" customHeight="false" outlineLevel="0" collapsed="false">
      <c r="A2438" s="13" t="str">
        <f aca="false">IF(עזר!L2438="","",INDEX(עזר!$A$2:$A$5001,עזר!L2438))</f>
        <v/>
      </c>
      <c r="B2438" s="13" t="str">
        <f aca="false">IF(עזר!L2438="","",INDEX(עזר!$B$2:$B$5001,עזר!L2438))</f>
        <v/>
      </c>
      <c r="C2438" s="13" t="str">
        <f aca="false">עזר!M2438</f>
        <v/>
      </c>
    </row>
    <row r="2439" customFormat="false" ht="15" hidden="false" customHeight="false" outlineLevel="0" collapsed="false">
      <c r="A2439" s="13" t="str">
        <f aca="false">IF(עזר!L2439="","",INDEX(עזר!$A$2:$A$5001,עזר!L2439))</f>
        <v/>
      </c>
      <c r="B2439" s="13" t="str">
        <f aca="false">IF(עזר!L2439="","",INDEX(עזר!$B$2:$B$5001,עזר!L2439))</f>
        <v/>
      </c>
      <c r="C2439" s="13" t="str">
        <f aca="false">עזר!M2439</f>
        <v/>
      </c>
    </row>
    <row r="2440" customFormat="false" ht="15" hidden="false" customHeight="false" outlineLevel="0" collapsed="false">
      <c r="A2440" s="13" t="str">
        <f aca="false">IF(עזר!L2440="","",INDEX(עזר!$A$2:$A$5001,עזר!L2440))</f>
        <v/>
      </c>
      <c r="B2440" s="13" t="str">
        <f aca="false">IF(עזר!L2440="","",INDEX(עזר!$B$2:$B$5001,עזר!L2440))</f>
        <v/>
      </c>
      <c r="C2440" s="13" t="str">
        <f aca="false">עזר!M2440</f>
        <v/>
      </c>
    </row>
    <row r="2441" customFormat="false" ht="15" hidden="false" customHeight="false" outlineLevel="0" collapsed="false">
      <c r="A2441" s="13" t="str">
        <f aca="false">IF(עזר!L2441="","",INDEX(עזר!$A$2:$A$5001,עזר!L2441))</f>
        <v/>
      </c>
      <c r="B2441" s="13" t="str">
        <f aca="false">IF(עזר!L2441="","",INDEX(עזר!$B$2:$B$5001,עזר!L2441))</f>
        <v/>
      </c>
      <c r="C2441" s="13" t="str">
        <f aca="false">עזר!M2441</f>
        <v/>
      </c>
    </row>
    <row r="2442" customFormat="false" ht="15" hidden="false" customHeight="false" outlineLevel="0" collapsed="false">
      <c r="A2442" s="13" t="str">
        <f aca="false">IF(עזר!L2442="","",INDEX(עזר!$A$2:$A$5001,עזר!L2442))</f>
        <v/>
      </c>
      <c r="B2442" s="13" t="str">
        <f aca="false">IF(עזר!L2442="","",INDEX(עזר!$B$2:$B$5001,עזר!L2442))</f>
        <v/>
      </c>
      <c r="C2442" s="13" t="str">
        <f aca="false">עזר!M2442</f>
        <v/>
      </c>
    </row>
    <row r="2443" customFormat="false" ht="15" hidden="false" customHeight="false" outlineLevel="0" collapsed="false">
      <c r="A2443" s="13" t="str">
        <f aca="false">IF(עזר!L2443="","",INDEX(עזר!$A$2:$A$5001,עזר!L2443))</f>
        <v/>
      </c>
      <c r="B2443" s="13" t="str">
        <f aca="false">IF(עזר!L2443="","",INDEX(עזר!$B$2:$B$5001,עזר!L2443))</f>
        <v/>
      </c>
      <c r="C2443" s="13" t="str">
        <f aca="false">עזר!M2443</f>
        <v/>
      </c>
    </row>
    <row r="2444" customFormat="false" ht="15" hidden="false" customHeight="false" outlineLevel="0" collapsed="false">
      <c r="A2444" s="13" t="str">
        <f aca="false">IF(עזר!L2444="","",INDEX(עזר!$A$2:$A$5001,עזר!L2444))</f>
        <v/>
      </c>
      <c r="B2444" s="13" t="str">
        <f aca="false">IF(עזר!L2444="","",INDEX(עזר!$B$2:$B$5001,עזר!L2444))</f>
        <v/>
      </c>
      <c r="C2444" s="13" t="str">
        <f aca="false">עזר!M2444</f>
        <v/>
      </c>
    </row>
    <row r="2445" customFormat="false" ht="15" hidden="false" customHeight="false" outlineLevel="0" collapsed="false">
      <c r="A2445" s="13" t="str">
        <f aca="false">IF(עזר!L2445="","",INDEX(עזר!$A$2:$A$5001,עזר!L2445))</f>
        <v/>
      </c>
      <c r="B2445" s="13" t="str">
        <f aca="false">IF(עזר!L2445="","",INDEX(עזר!$B$2:$B$5001,עזר!L2445))</f>
        <v/>
      </c>
      <c r="C2445" s="13" t="str">
        <f aca="false">עזר!M2445</f>
        <v/>
      </c>
    </row>
    <row r="2446" customFormat="false" ht="15" hidden="false" customHeight="false" outlineLevel="0" collapsed="false">
      <c r="A2446" s="13" t="str">
        <f aca="false">IF(עזר!L2446="","",INDEX(עזר!$A$2:$A$5001,עזר!L2446))</f>
        <v/>
      </c>
      <c r="B2446" s="13" t="str">
        <f aca="false">IF(עזר!L2446="","",INDEX(עזר!$B$2:$B$5001,עזר!L2446))</f>
        <v/>
      </c>
      <c r="C2446" s="13" t="str">
        <f aca="false">עזר!M2446</f>
        <v/>
      </c>
    </row>
    <row r="2447" customFormat="false" ht="15" hidden="false" customHeight="false" outlineLevel="0" collapsed="false">
      <c r="A2447" s="13" t="str">
        <f aca="false">IF(עזר!L2447="","",INDEX(עזר!$A$2:$A$5001,עזר!L2447))</f>
        <v/>
      </c>
      <c r="B2447" s="13" t="str">
        <f aca="false">IF(עזר!L2447="","",INDEX(עזר!$B$2:$B$5001,עזר!L2447))</f>
        <v/>
      </c>
      <c r="C2447" s="13" t="str">
        <f aca="false">עזר!M2447</f>
        <v/>
      </c>
    </row>
    <row r="2448" customFormat="false" ht="15" hidden="false" customHeight="false" outlineLevel="0" collapsed="false">
      <c r="A2448" s="13" t="str">
        <f aca="false">IF(עזר!L2448="","",INDEX(עזר!$A$2:$A$5001,עזר!L2448))</f>
        <v/>
      </c>
      <c r="B2448" s="13" t="str">
        <f aca="false">IF(עזר!L2448="","",INDEX(עזר!$B$2:$B$5001,עזר!L2448))</f>
        <v/>
      </c>
      <c r="C2448" s="13" t="str">
        <f aca="false">עזר!M2448</f>
        <v/>
      </c>
    </row>
    <row r="2449" customFormat="false" ht="15" hidden="false" customHeight="false" outlineLevel="0" collapsed="false">
      <c r="A2449" s="13" t="str">
        <f aca="false">IF(עזר!L2449="","",INDEX(עזר!$A$2:$A$5001,עזר!L2449))</f>
        <v/>
      </c>
      <c r="B2449" s="13" t="str">
        <f aca="false">IF(עזר!L2449="","",INDEX(עזר!$B$2:$B$5001,עזר!L2449))</f>
        <v/>
      </c>
      <c r="C2449" s="13" t="str">
        <f aca="false">עזר!M2449</f>
        <v/>
      </c>
    </row>
    <row r="2450" customFormat="false" ht="15" hidden="false" customHeight="false" outlineLevel="0" collapsed="false">
      <c r="A2450" s="13" t="str">
        <f aca="false">IF(עזר!L2450="","",INDEX(עזר!$A$2:$A$5001,עזר!L2450))</f>
        <v/>
      </c>
      <c r="B2450" s="13" t="str">
        <f aca="false">IF(עזר!L2450="","",INDEX(עזר!$B$2:$B$5001,עזר!L2450))</f>
        <v/>
      </c>
      <c r="C2450" s="13" t="str">
        <f aca="false">עזר!M2450</f>
        <v/>
      </c>
    </row>
    <row r="2451" customFormat="false" ht="15" hidden="false" customHeight="false" outlineLevel="0" collapsed="false">
      <c r="A2451" s="13" t="str">
        <f aca="false">IF(עזר!L2451="","",INDEX(עזר!$A$2:$A$5001,עזר!L2451))</f>
        <v/>
      </c>
      <c r="B2451" s="13" t="str">
        <f aca="false">IF(עזר!L2451="","",INDEX(עזר!$B$2:$B$5001,עזר!L2451))</f>
        <v/>
      </c>
      <c r="C2451" s="13" t="str">
        <f aca="false">עזר!M2451</f>
        <v/>
      </c>
    </row>
    <row r="2452" customFormat="false" ht="15" hidden="false" customHeight="false" outlineLevel="0" collapsed="false">
      <c r="A2452" s="13" t="str">
        <f aca="false">IF(עזר!L2452="","",INDEX(עזר!$A$2:$A$5001,עזר!L2452))</f>
        <v/>
      </c>
      <c r="B2452" s="13" t="str">
        <f aca="false">IF(עזר!L2452="","",INDEX(עזר!$B$2:$B$5001,עזר!L2452))</f>
        <v/>
      </c>
      <c r="C2452" s="13" t="str">
        <f aca="false">עזר!M2452</f>
        <v/>
      </c>
    </row>
    <row r="2453" customFormat="false" ht="15" hidden="false" customHeight="false" outlineLevel="0" collapsed="false">
      <c r="A2453" s="13" t="str">
        <f aca="false">IF(עזר!L2453="","",INDEX(עזר!$A$2:$A$5001,עזר!L2453))</f>
        <v/>
      </c>
      <c r="B2453" s="13" t="str">
        <f aca="false">IF(עזר!L2453="","",INDEX(עזר!$B$2:$B$5001,עזר!L2453))</f>
        <v/>
      </c>
      <c r="C2453" s="13" t="str">
        <f aca="false">עזר!M2453</f>
        <v/>
      </c>
    </row>
    <row r="2454" customFormat="false" ht="15" hidden="false" customHeight="false" outlineLevel="0" collapsed="false">
      <c r="A2454" s="13" t="str">
        <f aca="false">IF(עזר!L2454="","",INDEX(עזר!$A$2:$A$5001,עזר!L2454))</f>
        <v/>
      </c>
      <c r="B2454" s="13" t="str">
        <f aca="false">IF(עזר!L2454="","",INDEX(עזר!$B$2:$B$5001,עזר!L2454))</f>
        <v/>
      </c>
      <c r="C2454" s="13" t="str">
        <f aca="false">עזר!M2454</f>
        <v/>
      </c>
    </row>
    <row r="2455" customFormat="false" ht="15" hidden="false" customHeight="false" outlineLevel="0" collapsed="false">
      <c r="A2455" s="13" t="str">
        <f aca="false">IF(עזר!L2455="","",INDEX(עזר!$A$2:$A$5001,עזר!L2455))</f>
        <v/>
      </c>
      <c r="B2455" s="13" t="str">
        <f aca="false">IF(עזר!L2455="","",INDEX(עזר!$B$2:$B$5001,עזר!L2455))</f>
        <v/>
      </c>
      <c r="C2455" s="13" t="str">
        <f aca="false">עזר!M2455</f>
        <v/>
      </c>
    </row>
    <row r="2456" customFormat="false" ht="15" hidden="false" customHeight="false" outlineLevel="0" collapsed="false">
      <c r="A2456" s="13" t="str">
        <f aca="false">IF(עזר!L2456="","",INDEX(עזר!$A$2:$A$5001,עזר!L2456))</f>
        <v/>
      </c>
      <c r="B2456" s="13" t="str">
        <f aca="false">IF(עזר!L2456="","",INDEX(עזר!$B$2:$B$5001,עזר!L2456))</f>
        <v/>
      </c>
      <c r="C2456" s="13" t="str">
        <f aca="false">עזר!M2456</f>
        <v/>
      </c>
    </row>
    <row r="2457" customFormat="false" ht="15" hidden="false" customHeight="false" outlineLevel="0" collapsed="false">
      <c r="A2457" s="13" t="str">
        <f aca="false">IF(עזר!L2457="","",INDEX(עזר!$A$2:$A$5001,עזר!L2457))</f>
        <v/>
      </c>
      <c r="B2457" s="13" t="str">
        <f aca="false">IF(עזר!L2457="","",INDEX(עזר!$B$2:$B$5001,עזר!L2457))</f>
        <v/>
      </c>
      <c r="C2457" s="13" t="str">
        <f aca="false">עזר!M2457</f>
        <v/>
      </c>
    </row>
    <row r="2458" customFormat="false" ht="15" hidden="false" customHeight="false" outlineLevel="0" collapsed="false">
      <c r="A2458" s="13" t="str">
        <f aca="false">IF(עזר!L2458="","",INDEX(עזר!$A$2:$A$5001,עזר!L2458))</f>
        <v/>
      </c>
      <c r="B2458" s="13" t="str">
        <f aca="false">IF(עזר!L2458="","",INDEX(עזר!$B$2:$B$5001,עזר!L2458))</f>
        <v/>
      </c>
      <c r="C2458" s="13" t="str">
        <f aca="false">עזר!M2458</f>
        <v/>
      </c>
    </row>
    <row r="2459" customFormat="false" ht="15" hidden="false" customHeight="false" outlineLevel="0" collapsed="false">
      <c r="A2459" s="13" t="str">
        <f aca="false">IF(עזר!L2459="","",INDEX(עזר!$A$2:$A$5001,עזר!L2459))</f>
        <v/>
      </c>
      <c r="B2459" s="13" t="str">
        <f aca="false">IF(עזר!L2459="","",INDEX(עזר!$B$2:$B$5001,עזר!L2459))</f>
        <v/>
      </c>
      <c r="C2459" s="13" t="str">
        <f aca="false">עזר!M2459</f>
        <v/>
      </c>
    </row>
    <row r="2460" customFormat="false" ht="15" hidden="false" customHeight="false" outlineLevel="0" collapsed="false">
      <c r="A2460" s="13" t="str">
        <f aca="false">IF(עזר!L2460="","",INDEX(עזר!$A$2:$A$5001,עזר!L2460))</f>
        <v/>
      </c>
      <c r="B2460" s="13" t="str">
        <f aca="false">IF(עזר!L2460="","",INDEX(עזר!$B$2:$B$5001,עזר!L2460))</f>
        <v/>
      </c>
      <c r="C2460" s="13" t="str">
        <f aca="false">עזר!M2460</f>
        <v/>
      </c>
    </row>
    <row r="2461" customFormat="false" ht="15" hidden="false" customHeight="false" outlineLevel="0" collapsed="false">
      <c r="A2461" s="13" t="str">
        <f aca="false">IF(עזר!L2461="","",INDEX(עזר!$A$2:$A$5001,עזר!L2461))</f>
        <v/>
      </c>
      <c r="B2461" s="13" t="str">
        <f aca="false">IF(עזר!L2461="","",INDEX(עזר!$B$2:$B$5001,עזר!L2461))</f>
        <v/>
      </c>
      <c r="C2461" s="13" t="str">
        <f aca="false">עזר!M2461</f>
        <v/>
      </c>
    </row>
    <row r="2462" customFormat="false" ht="15" hidden="false" customHeight="false" outlineLevel="0" collapsed="false">
      <c r="A2462" s="13" t="str">
        <f aca="false">IF(עזר!L2462="","",INDEX(עזר!$A$2:$A$5001,עזר!L2462))</f>
        <v/>
      </c>
      <c r="B2462" s="13" t="str">
        <f aca="false">IF(עזר!L2462="","",INDEX(עזר!$B$2:$B$5001,עזר!L2462))</f>
        <v/>
      </c>
      <c r="C2462" s="13" t="str">
        <f aca="false">עזר!M2462</f>
        <v/>
      </c>
    </row>
    <row r="2463" customFormat="false" ht="15" hidden="false" customHeight="false" outlineLevel="0" collapsed="false">
      <c r="A2463" s="13" t="str">
        <f aca="false">IF(עזר!L2463="","",INDEX(עזר!$A$2:$A$5001,עזר!L2463))</f>
        <v/>
      </c>
      <c r="B2463" s="13" t="str">
        <f aca="false">IF(עזר!L2463="","",INDEX(עזר!$B$2:$B$5001,עזר!L2463))</f>
        <v/>
      </c>
      <c r="C2463" s="13" t="str">
        <f aca="false">עזר!M2463</f>
        <v/>
      </c>
    </row>
    <row r="2464" customFormat="false" ht="15" hidden="false" customHeight="false" outlineLevel="0" collapsed="false">
      <c r="A2464" s="13" t="str">
        <f aca="false">IF(עזר!L2464="","",INDEX(עזר!$A$2:$A$5001,עזר!L2464))</f>
        <v/>
      </c>
      <c r="B2464" s="13" t="str">
        <f aca="false">IF(עזר!L2464="","",INDEX(עזר!$B$2:$B$5001,עזר!L2464))</f>
        <v/>
      </c>
      <c r="C2464" s="13" t="str">
        <f aca="false">עזר!M2464</f>
        <v/>
      </c>
    </row>
    <row r="2465" customFormat="false" ht="15" hidden="false" customHeight="false" outlineLevel="0" collapsed="false">
      <c r="A2465" s="13" t="str">
        <f aca="false">IF(עזר!L2465="","",INDEX(עזר!$A$2:$A$5001,עזר!L2465))</f>
        <v/>
      </c>
      <c r="B2465" s="13" t="str">
        <f aca="false">IF(עזר!L2465="","",INDEX(עזר!$B$2:$B$5001,עזר!L2465))</f>
        <v/>
      </c>
      <c r="C2465" s="13" t="str">
        <f aca="false">עזר!M2465</f>
        <v/>
      </c>
    </row>
    <row r="2466" customFormat="false" ht="15" hidden="false" customHeight="false" outlineLevel="0" collapsed="false">
      <c r="A2466" s="13" t="str">
        <f aca="false">IF(עזר!L2466="","",INDEX(עזר!$A$2:$A$5001,עזר!L2466))</f>
        <v/>
      </c>
      <c r="B2466" s="13" t="str">
        <f aca="false">IF(עזר!L2466="","",INDEX(עזר!$B$2:$B$5001,עזר!L2466))</f>
        <v/>
      </c>
      <c r="C2466" s="13" t="str">
        <f aca="false">עזר!M2466</f>
        <v/>
      </c>
    </row>
    <row r="2467" customFormat="false" ht="15" hidden="false" customHeight="false" outlineLevel="0" collapsed="false">
      <c r="A2467" s="13" t="str">
        <f aca="false">IF(עזר!L2467="","",INDEX(עזר!$A$2:$A$5001,עזר!L2467))</f>
        <v/>
      </c>
      <c r="B2467" s="13" t="str">
        <f aca="false">IF(עזר!L2467="","",INDEX(עזר!$B$2:$B$5001,עזר!L2467))</f>
        <v/>
      </c>
      <c r="C2467" s="13" t="str">
        <f aca="false">עזר!M2467</f>
        <v/>
      </c>
    </row>
    <row r="2468" customFormat="false" ht="15" hidden="false" customHeight="false" outlineLevel="0" collapsed="false">
      <c r="A2468" s="13" t="str">
        <f aca="false">IF(עזר!L2468="","",INDEX(עזר!$A$2:$A$5001,עזר!L2468))</f>
        <v/>
      </c>
      <c r="B2468" s="13" t="str">
        <f aca="false">IF(עזר!L2468="","",INDEX(עזר!$B$2:$B$5001,עזר!L2468))</f>
        <v/>
      </c>
      <c r="C2468" s="13" t="str">
        <f aca="false">עזר!M2468</f>
        <v/>
      </c>
    </row>
    <row r="2469" customFormat="false" ht="15" hidden="false" customHeight="false" outlineLevel="0" collapsed="false">
      <c r="A2469" s="13" t="str">
        <f aca="false">IF(עזר!L2469="","",INDEX(עזר!$A$2:$A$5001,עזר!L2469))</f>
        <v/>
      </c>
      <c r="B2469" s="13" t="str">
        <f aca="false">IF(עזר!L2469="","",INDEX(עזר!$B$2:$B$5001,עזר!L2469))</f>
        <v/>
      </c>
      <c r="C2469" s="13" t="str">
        <f aca="false">עזר!M2469</f>
        <v/>
      </c>
    </row>
    <row r="2470" customFormat="false" ht="15" hidden="false" customHeight="false" outlineLevel="0" collapsed="false">
      <c r="A2470" s="13" t="str">
        <f aca="false">IF(עזר!L2470="","",INDEX(עזר!$A$2:$A$5001,עזר!L2470))</f>
        <v/>
      </c>
      <c r="B2470" s="13" t="str">
        <f aca="false">IF(עזר!L2470="","",INDEX(עזר!$B$2:$B$5001,עזר!L2470))</f>
        <v/>
      </c>
      <c r="C2470" s="13" t="str">
        <f aca="false">עזר!M2470</f>
        <v/>
      </c>
    </row>
    <row r="2471" customFormat="false" ht="15" hidden="false" customHeight="false" outlineLevel="0" collapsed="false">
      <c r="A2471" s="13" t="str">
        <f aca="false">IF(עזר!L2471="","",INDEX(עזר!$A$2:$A$5001,עזר!L2471))</f>
        <v/>
      </c>
      <c r="B2471" s="13" t="str">
        <f aca="false">IF(עזר!L2471="","",INDEX(עזר!$B$2:$B$5001,עזר!L2471))</f>
        <v/>
      </c>
      <c r="C2471" s="13" t="str">
        <f aca="false">עזר!M2471</f>
        <v/>
      </c>
    </row>
    <row r="2472" customFormat="false" ht="15" hidden="false" customHeight="false" outlineLevel="0" collapsed="false">
      <c r="A2472" s="13" t="str">
        <f aca="false">IF(עזר!L2472="","",INDEX(עזר!$A$2:$A$5001,עזר!L2472))</f>
        <v/>
      </c>
      <c r="B2472" s="13" t="str">
        <f aca="false">IF(עזר!L2472="","",INDEX(עזר!$B$2:$B$5001,עזר!L2472))</f>
        <v/>
      </c>
      <c r="C2472" s="13" t="str">
        <f aca="false">עזר!M2472</f>
        <v/>
      </c>
    </row>
    <row r="2473" customFormat="false" ht="15" hidden="false" customHeight="false" outlineLevel="0" collapsed="false">
      <c r="A2473" s="13" t="str">
        <f aca="false">IF(עזר!L2473="","",INDEX(עזר!$A$2:$A$5001,עזר!L2473))</f>
        <v/>
      </c>
      <c r="B2473" s="13" t="str">
        <f aca="false">IF(עזר!L2473="","",INDEX(עזר!$B$2:$B$5001,עזר!L2473))</f>
        <v/>
      </c>
      <c r="C2473" s="13" t="str">
        <f aca="false">עזר!M2473</f>
        <v/>
      </c>
    </row>
    <row r="2474" customFormat="false" ht="15" hidden="false" customHeight="false" outlineLevel="0" collapsed="false">
      <c r="A2474" s="13" t="str">
        <f aca="false">IF(עזר!L2474="","",INDEX(עזר!$A$2:$A$5001,עזר!L2474))</f>
        <v/>
      </c>
      <c r="B2474" s="13" t="str">
        <f aca="false">IF(עזר!L2474="","",INDEX(עזר!$B$2:$B$5001,עזר!L2474))</f>
        <v/>
      </c>
      <c r="C2474" s="13" t="str">
        <f aca="false">עזר!M2474</f>
        <v/>
      </c>
    </row>
    <row r="2475" customFormat="false" ht="15" hidden="false" customHeight="false" outlineLevel="0" collapsed="false">
      <c r="A2475" s="13" t="str">
        <f aca="false">IF(עזר!L2475="","",INDEX(עזר!$A$2:$A$5001,עזר!L2475))</f>
        <v/>
      </c>
      <c r="B2475" s="13" t="str">
        <f aca="false">IF(עזר!L2475="","",INDEX(עזר!$B$2:$B$5001,עזר!L2475))</f>
        <v/>
      </c>
      <c r="C2475" s="13" t="str">
        <f aca="false">עזר!M2475</f>
        <v/>
      </c>
    </row>
    <row r="2476" customFormat="false" ht="15" hidden="false" customHeight="false" outlineLevel="0" collapsed="false">
      <c r="A2476" s="13" t="str">
        <f aca="false">IF(עזר!L2476="","",INDEX(עזר!$A$2:$A$5001,עזר!L2476))</f>
        <v/>
      </c>
      <c r="B2476" s="13" t="str">
        <f aca="false">IF(עזר!L2476="","",INDEX(עזר!$B$2:$B$5001,עזר!L2476))</f>
        <v/>
      </c>
      <c r="C2476" s="13" t="str">
        <f aca="false">עזר!M2476</f>
        <v/>
      </c>
    </row>
    <row r="2477" customFormat="false" ht="15" hidden="false" customHeight="false" outlineLevel="0" collapsed="false">
      <c r="A2477" s="13" t="str">
        <f aca="false">IF(עזר!L2477="","",INDEX(עזר!$A$2:$A$5001,עזר!L2477))</f>
        <v/>
      </c>
      <c r="B2477" s="13" t="str">
        <f aca="false">IF(עזר!L2477="","",INDEX(עזר!$B$2:$B$5001,עזר!L2477))</f>
        <v/>
      </c>
      <c r="C2477" s="13" t="str">
        <f aca="false">עזר!M2477</f>
        <v/>
      </c>
    </row>
    <row r="2478" customFormat="false" ht="15" hidden="false" customHeight="false" outlineLevel="0" collapsed="false">
      <c r="A2478" s="13" t="str">
        <f aca="false">IF(עזר!L2478="","",INDEX(עזר!$A$2:$A$5001,עזר!L2478))</f>
        <v/>
      </c>
      <c r="B2478" s="13" t="str">
        <f aca="false">IF(עזר!L2478="","",INDEX(עזר!$B$2:$B$5001,עזר!L2478))</f>
        <v/>
      </c>
      <c r="C2478" s="13" t="str">
        <f aca="false">עזר!M2478</f>
        <v/>
      </c>
    </row>
    <row r="2479" customFormat="false" ht="15" hidden="false" customHeight="false" outlineLevel="0" collapsed="false">
      <c r="A2479" s="13" t="str">
        <f aca="false">IF(עזר!L2479="","",INDEX(עזר!$A$2:$A$5001,עזר!L2479))</f>
        <v/>
      </c>
      <c r="B2479" s="13" t="str">
        <f aca="false">IF(עזר!L2479="","",INDEX(עזר!$B$2:$B$5001,עזר!L2479))</f>
        <v/>
      </c>
      <c r="C2479" s="13" t="str">
        <f aca="false">עזר!M2479</f>
        <v/>
      </c>
    </row>
    <row r="2480" customFormat="false" ht="15" hidden="false" customHeight="false" outlineLevel="0" collapsed="false">
      <c r="A2480" s="13" t="str">
        <f aca="false">IF(עזר!L2480="","",INDEX(עזר!$A$2:$A$5001,עזר!L2480))</f>
        <v/>
      </c>
      <c r="B2480" s="13" t="str">
        <f aca="false">IF(עזר!L2480="","",INDEX(עזר!$B$2:$B$5001,עזר!L2480))</f>
        <v/>
      </c>
      <c r="C2480" s="13" t="str">
        <f aca="false">עזר!M2480</f>
        <v/>
      </c>
    </row>
    <row r="2481" customFormat="false" ht="15" hidden="false" customHeight="false" outlineLevel="0" collapsed="false">
      <c r="A2481" s="13" t="str">
        <f aca="false">IF(עזר!L2481="","",INDEX(עזר!$A$2:$A$5001,עזר!L2481))</f>
        <v/>
      </c>
      <c r="B2481" s="13" t="str">
        <f aca="false">IF(עזר!L2481="","",INDEX(עזר!$B$2:$B$5001,עזר!L2481))</f>
        <v/>
      </c>
      <c r="C2481" s="13" t="str">
        <f aca="false">עזר!M2481</f>
        <v/>
      </c>
    </row>
    <row r="2482" customFormat="false" ht="15" hidden="false" customHeight="false" outlineLevel="0" collapsed="false">
      <c r="A2482" s="13" t="str">
        <f aca="false">IF(עזר!L2482="","",INDEX(עזר!$A$2:$A$5001,עזר!L2482))</f>
        <v/>
      </c>
      <c r="B2482" s="13" t="str">
        <f aca="false">IF(עזר!L2482="","",INDEX(עזר!$B$2:$B$5001,עזר!L2482))</f>
        <v/>
      </c>
      <c r="C2482" s="13" t="str">
        <f aca="false">עזר!M2482</f>
        <v/>
      </c>
    </row>
    <row r="2483" customFormat="false" ht="15" hidden="false" customHeight="false" outlineLevel="0" collapsed="false">
      <c r="A2483" s="13" t="str">
        <f aca="false">IF(עזר!L2483="","",INDEX(עזר!$A$2:$A$5001,עזר!L2483))</f>
        <v/>
      </c>
      <c r="B2483" s="13" t="str">
        <f aca="false">IF(עזר!L2483="","",INDEX(עזר!$B$2:$B$5001,עזר!L2483))</f>
        <v/>
      </c>
      <c r="C2483" s="13" t="str">
        <f aca="false">עזר!M2483</f>
        <v/>
      </c>
    </row>
    <row r="2484" customFormat="false" ht="15" hidden="false" customHeight="false" outlineLevel="0" collapsed="false">
      <c r="A2484" s="13" t="str">
        <f aca="false">IF(עזר!L2484="","",INDEX(עזר!$A$2:$A$5001,עזר!L2484))</f>
        <v/>
      </c>
      <c r="B2484" s="13" t="str">
        <f aca="false">IF(עזר!L2484="","",INDEX(עזר!$B$2:$B$5001,עזר!L2484))</f>
        <v/>
      </c>
      <c r="C2484" s="13" t="str">
        <f aca="false">עזר!M2484</f>
        <v/>
      </c>
    </row>
    <row r="2485" customFormat="false" ht="15" hidden="false" customHeight="false" outlineLevel="0" collapsed="false">
      <c r="A2485" s="13" t="str">
        <f aca="false">IF(עזר!L2485="","",INDEX(עזר!$A$2:$A$5001,עזר!L2485))</f>
        <v/>
      </c>
      <c r="B2485" s="13" t="str">
        <f aca="false">IF(עזר!L2485="","",INDEX(עזר!$B$2:$B$5001,עזר!L2485))</f>
        <v/>
      </c>
      <c r="C2485" s="13" t="str">
        <f aca="false">עזר!M2485</f>
        <v/>
      </c>
    </row>
    <row r="2486" customFormat="false" ht="15" hidden="false" customHeight="false" outlineLevel="0" collapsed="false">
      <c r="A2486" s="13" t="str">
        <f aca="false">IF(עזר!L2486="","",INDEX(עזר!$A$2:$A$5001,עזר!L2486))</f>
        <v/>
      </c>
      <c r="B2486" s="13" t="str">
        <f aca="false">IF(עזר!L2486="","",INDEX(עזר!$B$2:$B$5001,עזר!L2486))</f>
        <v/>
      </c>
      <c r="C2486" s="13" t="str">
        <f aca="false">עזר!M2486</f>
        <v/>
      </c>
    </row>
    <row r="2487" customFormat="false" ht="15" hidden="false" customHeight="false" outlineLevel="0" collapsed="false">
      <c r="A2487" s="13" t="str">
        <f aca="false">IF(עזר!L2487="","",INDEX(עזר!$A$2:$A$5001,עזר!L2487))</f>
        <v/>
      </c>
      <c r="B2487" s="13" t="str">
        <f aca="false">IF(עזר!L2487="","",INDEX(עזר!$B$2:$B$5001,עזר!L2487))</f>
        <v/>
      </c>
      <c r="C2487" s="13" t="str">
        <f aca="false">עזר!M2487</f>
        <v/>
      </c>
    </row>
    <row r="2488" customFormat="false" ht="15" hidden="false" customHeight="false" outlineLevel="0" collapsed="false">
      <c r="A2488" s="13" t="str">
        <f aca="false">IF(עזר!L2488="","",INDEX(עזר!$A$2:$A$5001,עזר!L2488))</f>
        <v/>
      </c>
      <c r="B2488" s="13" t="str">
        <f aca="false">IF(עזר!L2488="","",INDEX(עזר!$B$2:$B$5001,עזר!L2488))</f>
        <v/>
      </c>
      <c r="C2488" s="13" t="str">
        <f aca="false">עזר!M2488</f>
        <v/>
      </c>
    </row>
    <row r="2489" customFormat="false" ht="15" hidden="false" customHeight="false" outlineLevel="0" collapsed="false">
      <c r="A2489" s="13" t="str">
        <f aca="false">IF(עזר!L2489="","",INDEX(עזר!$A$2:$A$5001,עזר!L2489))</f>
        <v/>
      </c>
      <c r="B2489" s="13" t="str">
        <f aca="false">IF(עזר!L2489="","",INDEX(עזר!$B$2:$B$5001,עזר!L2489))</f>
        <v/>
      </c>
      <c r="C2489" s="13" t="str">
        <f aca="false">עזר!M2489</f>
        <v/>
      </c>
    </row>
    <row r="2490" customFormat="false" ht="15" hidden="false" customHeight="false" outlineLevel="0" collapsed="false">
      <c r="A2490" s="13" t="str">
        <f aca="false">IF(עזר!L2490="","",INDEX(עזר!$A$2:$A$5001,עזר!L2490))</f>
        <v/>
      </c>
      <c r="B2490" s="13" t="str">
        <f aca="false">IF(עזר!L2490="","",INDEX(עזר!$B$2:$B$5001,עזר!L2490))</f>
        <v/>
      </c>
      <c r="C2490" s="13" t="str">
        <f aca="false">עזר!M2490</f>
        <v/>
      </c>
    </row>
    <row r="2491" customFormat="false" ht="15" hidden="false" customHeight="false" outlineLevel="0" collapsed="false">
      <c r="A2491" s="13" t="str">
        <f aca="false">IF(עזר!L2491="","",INDEX(עזר!$A$2:$A$5001,עזר!L2491))</f>
        <v/>
      </c>
      <c r="B2491" s="13" t="str">
        <f aca="false">IF(עזר!L2491="","",INDEX(עזר!$B$2:$B$5001,עזר!L2491))</f>
        <v/>
      </c>
      <c r="C2491" s="13" t="str">
        <f aca="false">עזר!M2491</f>
        <v/>
      </c>
    </row>
    <row r="2492" customFormat="false" ht="15" hidden="false" customHeight="false" outlineLevel="0" collapsed="false">
      <c r="A2492" s="13" t="str">
        <f aca="false">IF(עזר!L2492="","",INDEX(עזר!$A$2:$A$5001,עזר!L2492))</f>
        <v/>
      </c>
      <c r="B2492" s="13" t="str">
        <f aca="false">IF(עזר!L2492="","",INDEX(עזר!$B$2:$B$5001,עזר!L2492))</f>
        <v/>
      </c>
      <c r="C2492" s="13" t="str">
        <f aca="false">עזר!M2492</f>
        <v/>
      </c>
    </row>
    <row r="2493" customFormat="false" ht="15" hidden="false" customHeight="false" outlineLevel="0" collapsed="false">
      <c r="A2493" s="13" t="str">
        <f aca="false">IF(עזר!L2493="","",INDEX(עזר!$A$2:$A$5001,עזר!L2493))</f>
        <v/>
      </c>
      <c r="B2493" s="13" t="str">
        <f aca="false">IF(עזר!L2493="","",INDEX(עזר!$B$2:$B$5001,עזר!L2493))</f>
        <v/>
      </c>
      <c r="C2493" s="13" t="str">
        <f aca="false">עזר!M2493</f>
        <v/>
      </c>
    </row>
    <row r="2494" customFormat="false" ht="15" hidden="false" customHeight="false" outlineLevel="0" collapsed="false">
      <c r="A2494" s="13" t="str">
        <f aca="false">IF(עזר!L2494="","",INDEX(עזר!$A$2:$A$5001,עזר!L2494))</f>
        <v/>
      </c>
      <c r="B2494" s="13" t="str">
        <f aca="false">IF(עזר!L2494="","",INDEX(עזר!$B$2:$B$5001,עזר!L2494))</f>
        <v/>
      </c>
      <c r="C2494" s="13" t="str">
        <f aca="false">עזר!M2494</f>
        <v/>
      </c>
    </row>
    <row r="2495" customFormat="false" ht="15" hidden="false" customHeight="false" outlineLevel="0" collapsed="false">
      <c r="A2495" s="13" t="str">
        <f aca="false">IF(עזר!L2495="","",INDEX(עזר!$A$2:$A$5001,עזר!L2495))</f>
        <v/>
      </c>
      <c r="B2495" s="13" t="str">
        <f aca="false">IF(עזר!L2495="","",INDEX(עזר!$B$2:$B$5001,עזר!L2495))</f>
        <v/>
      </c>
      <c r="C2495" s="13" t="str">
        <f aca="false">עזר!M2495</f>
        <v/>
      </c>
    </row>
    <row r="2496" customFormat="false" ht="15" hidden="false" customHeight="false" outlineLevel="0" collapsed="false">
      <c r="A2496" s="13" t="str">
        <f aca="false">IF(עזר!L2496="","",INDEX(עזר!$A$2:$A$5001,עזר!L2496))</f>
        <v/>
      </c>
      <c r="B2496" s="13" t="str">
        <f aca="false">IF(עזר!L2496="","",INDEX(עזר!$B$2:$B$5001,עזר!L2496))</f>
        <v/>
      </c>
      <c r="C2496" s="13" t="str">
        <f aca="false">עזר!M2496</f>
        <v/>
      </c>
    </row>
    <row r="2497" customFormat="false" ht="15" hidden="false" customHeight="false" outlineLevel="0" collapsed="false">
      <c r="A2497" s="13" t="str">
        <f aca="false">IF(עזר!L2497="","",INDEX(עזר!$A$2:$A$5001,עזר!L2497))</f>
        <v/>
      </c>
      <c r="B2497" s="13" t="str">
        <f aca="false">IF(עזר!L2497="","",INDEX(עזר!$B$2:$B$5001,עזר!L2497))</f>
        <v/>
      </c>
      <c r="C2497" s="13" t="str">
        <f aca="false">עזר!M2497</f>
        <v/>
      </c>
    </row>
    <row r="2498" customFormat="false" ht="15" hidden="false" customHeight="false" outlineLevel="0" collapsed="false">
      <c r="A2498" s="13" t="str">
        <f aca="false">IF(עזר!L2498="","",INDEX(עזר!$A$2:$A$5001,עזר!L2498))</f>
        <v/>
      </c>
      <c r="B2498" s="13" t="str">
        <f aca="false">IF(עזר!L2498="","",INDEX(עזר!$B$2:$B$5001,עזר!L2498))</f>
        <v/>
      </c>
      <c r="C2498" s="13" t="str">
        <f aca="false">עזר!M2498</f>
        <v/>
      </c>
    </row>
    <row r="2499" customFormat="false" ht="15" hidden="false" customHeight="false" outlineLevel="0" collapsed="false">
      <c r="A2499" s="13" t="str">
        <f aca="false">IF(עזר!L2499="","",INDEX(עזר!$A$2:$A$5001,עזר!L2499))</f>
        <v/>
      </c>
      <c r="B2499" s="13" t="str">
        <f aca="false">IF(עזר!L2499="","",INDEX(עזר!$B$2:$B$5001,עזר!L2499))</f>
        <v/>
      </c>
      <c r="C2499" s="13" t="str">
        <f aca="false">עזר!M2499</f>
        <v/>
      </c>
    </row>
    <row r="2500" customFormat="false" ht="15" hidden="false" customHeight="false" outlineLevel="0" collapsed="false">
      <c r="A2500" s="13" t="str">
        <f aca="false">IF(עזר!L2500="","",INDEX(עזר!$A$2:$A$5001,עזר!L2500))</f>
        <v/>
      </c>
      <c r="B2500" s="13" t="str">
        <f aca="false">IF(עזר!L2500="","",INDEX(עזר!$B$2:$B$5001,עזר!L2500))</f>
        <v/>
      </c>
      <c r="C2500" s="13" t="str">
        <f aca="false">עזר!M2500</f>
        <v/>
      </c>
    </row>
    <row r="2501" customFormat="false" ht="15" hidden="false" customHeight="false" outlineLevel="0" collapsed="false">
      <c r="A2501" s="13" t="str">
        <f aca="false">IF(עזר!L2501="","",INDEX(עזר!$A$2:$A$5001,עזר!L2501))</f>
        <v/>
      </c>
      <c r="B2501" s="13" t="str">
        <f aca="false">IF(עזר!L2501="","",INDEX(עזר!$B$2:$B$5001,עזר!L2501))</f>
        <v/>
      </c>
      <c r="C2501" s="13" t="str">
        <f aca="false">עזר!M2501</f>
        <v/>
      </c>
    </row>
    <row r="2502" customFormat="false" ht="15" hidden="false" customHeight="false" outlineLevel="0" collapsed="false">
      <c r="A2502" s="13" t="str">
        <f aca="false">IF(עזר!L2502="","",INDEX(עזר!$A$2:$A$5001,עזר!L2502))</f>
        <v/>
      </c>
      <c r="B2502" s="13" t="str">
        <f aca="false">IF(עזר!L2502="","",INDEX(עזר!$B$2:$B$5001,עזר!L2502))</f>
        <v/>
      </c>
      <c r="C2502" s="13" t="str">
        <f aca="false">עזר!M2502</f>
        <v/>
      </c>
    </row>
    <row r="2503" customFormat="false" ht="15" hidden="false" customHeight="false" outlineLevel="0" collapsed="false">
      <c r="A2503" s="13" t="str">
        <f aca="false">IF(עזר!L2503="","",INDEX(עזר!$A$2:$A$5001,עזר!L2503))</f>
        <v/>
      </c>
      <c r="B2503" s="13" t="str">
        <f aca="false">IF(עזר!L2503="","",INDEX(עזר!$B$2:$B$5001,עזר!L2503))</f>
        <v/>
      </c>
      <c r="C2503" s="13" t="str">
        <f aca="false">עזר!M2503</f>
        <v/>
      </c>
    </row>
    <row r="2504" customFormat="false" ht="15" hidden="false" customHeight="false" outlineLevel="0" collapsed="false">
      <c r="A2504" s="13" t="str">
        <f aca="false">IF(עזר!L2504="","",INDEX(עזר!$A$2:$A$5001,עזר!L2504))</f>
        <v/>
      </c>
      <c r="B2504" s="13" t="str">
        <f aca="false">IF(עזר!L2504="","",INDEX(עזר!$B$2:$B$5001,עזר!L2504))</f>
        <v/>
      </c>
      <c r="C2504" s="13" t="str">
        <f aca="false">עזר!M2504</f>
        <v/>
      </c>
    </row>
    <row r="2505" customFormat="false" ht="15" hidden="false" customHeight="false" outlineLevel="0" collapsed="false">
      <c r="A2505" s="13" t="str">
        <f aca="false">IF(עזר!L2505="","",INDEX(עזר!$A$2:$A$5001,עזר!L2505))</f>
        <v/>
      </c>
      <c r="B2505" s="13" t="str">
        <f aca="false">IF(עזר!L2505="","",INDEX(עזר!$B$2:$B$5001,עזר!L2505))</f>
        <v/>
      </c>
      <c r="C2505" s="13" t="str">
        <f aca="false">עזר!M2505</f>
        <v/>
      </c>
    </row>
    <row r="2506" customFormat="false" ht="15" hidden="false" customHeight="false" outlineLevel="0" collapsed="false">
      <c r="A2506" s="13" t="str">
        <f aca="false">IF(עזר!L2506="","",INDEX(עזר!$A$2:$A$5001,עזר!L2506))</f>
        <v/>
      </c>
      <c r="B2506" s="13" t="str">
        <f aca="false">IF(עזר!L2506="","",INDEX(עזר!$B$2:$B$5001,עזר!L2506))</f>
        <v/>
      </c>
      <c r="C2506" s="13" t="str">
        <f aca="false">עזר!M2506</f>
        <v/>
      </c>
    </row>
    <row r="2507" customFormat="false" ht="15" hidden="false" customHeight="false" outlineLevel="0" collapsed="false">
      <c r="A2507" s="13" t="str">
        <f aca="false">IF(עזר!L2507="","",INDEX(עזר!$A$2:$A$5001,עזר!L2507))</f>
        <v/>
      </c>
      <c r="B2507" s="13" t="str">
        <f aca="false">IF(עזר!L2507="","",INDEX(עזר!$B$2:$B$5001,עזר!L2507))</f>
        <v/>
      </c>
      <c r="C2507" s="13" t="str">
        <f aca="false">עזר!M2507</f>
        <v/>
      </c>
    </row>
    <row r="2508" customFormat="false" ht="15" hidden="false" customHeight="false" outlineLevel="0" collapsed="false">
      <c r="A2508" s="13" t="str">
        <f aca="false">IF(עזר!L2508="","",INDEX(עזר!$A$2:$A$5001,עזר!L2508))</f>
        <v/>
      </c>
      <c r="B2508" s="13" t="str">
        <f aca="false">IF(עזר!L2508="","",INDEX(עזר!$B$2:$B$5001,עזר!L2508))</f>
        <v/>
      </c>
      <c r="C2508" s="13" t="str">
        <f aca="false">עזר!M2508</f>
        <v/>
      </c>
    </row>
    <row r="2509" customFormat="false" ht="15" hidden="false" customHeight="false" outlineLevel="0" collapsed="false">
      <c r="A2509" s="13" t="str">
        <f aca="false">IF(עזר!L2509="","",INDEX(עזר!$A$2:$A$5001,עזר!L2509))</f>
        <v/>
      </c>
      <c r="B2509" s="13" t="str">
        <f aca="false">IF(עזר!L2509="","",INDEX(עזר!$B$2:$B$5001,עזר!L2509))</f>
        <v/>
      </c>
      <c r="C2509" s="13" t="str">
        <f aca="false">עזר!M2509</f>
        <v/>
      </c>
    </row>
    <row r="2510" customFormat="false" ht="15" hidden="false" customHeight="false" outlineLevel="0" collapsed="false">
      <c r="A2510" s="13" t="str">
        <f aca="false">IF(עזר!L2510="","",INDEX(עזר!$A$2:$A$5001,עזר!L2510))</f>
        <v/>
      </c>
      <c r="B2510" s="13" t="str">
        <f aca="false">IF(עזר!L2510="","",INDEX(עזר!$B$2:$B$5001,עזר!L2510))</f>
        <v/>
      </c>
      <c r="C2510" s="13" t="str">
        <f aca="false">עזר!M2510</f>
        <v/>
      </c>
    </row>
    <row r="2511" customFormat="false" ht="15" hidden="false" customHeight="false" outlineLevel="0" collapsed="false">
      <c r="A2511" s="13" t="str">
        <f aca="false">IF(עזר!L2511="","",INDEX(עזר!$A$2:$A$5001,עזר!L2511))</f>
        <v/>
      </c>
      <c r="B2511" s="13" t="str">
        <f aca="false">IF(עזר!L2511="","",INDEX(עזר!$B$2:$B$5001,עזר!L2511))</f>
        <v/>
      </c>
      <c r="C2511" s="13" t="str">
        <f aca="false">עזר!M2511</f>
        <v/>
      </c>
    </row>
    <row r="2512" customFormat="false" ht="15" hidden="false" customHeight="false" outlineLevel="0" collapsed="false">
      <c r="A2512" s="13" t="str">
        <f aca="false">IF(עזר!L2512="","",INDEX(עזר!$A$2:$A$5001,עזר!L2512))</f>
        <v/>
      </c>
      <c r="B2512" s="13" t="str">
        <f aca="false">IF(עזר!L2512="","",INDEX(עזר!$B$2:$B$5001,עזר!L2512))</f>
        <v/>
      </c>
      <c r="C2512" s="13" t="str">
        <f aca="false">עזר!M2512</f>
        <v/>
      </c>
    </row>
    <row r="2513" customFormat="false" ht="15" hidden="false" customHeight="false" outlineLevel="0" collapsed="false">
      <c r="A2513" s="13" t="str">
        <f aca="false">IF(עזר!L2513="","",INDEX(עזר!$A$2:$A$5001,עזר!L2513))</f>
        <v/>
      </c>
      <c r="B2513" s="13" t="str">
        <f aca="false">IF(עזר!L2513="","",INDEX(עזר!$B$2:$B$5001,עזר!L2513))</f>
        <v/>
      </c>
      <c r="C2513" s="13" t="str">
        <f aca="false">עזר!M2513</f>
        <v/>
      </c>
    </row>
    <row r="2514" customFormat="false" ht="15" hidden="false" customHeight="false" outlineLevel="0" collapsed="false">
      <c r="A2514" s="13" t="str">
        <f aca="false">IF(עזר!L2514="","",INDEX(עזר!$A$2:$A$5001,עזר!L2514))</f>
        <v/>
      </c>
      <c r="B2514" s="13" t="str">
        <f aca="false">IF(עזר!L2514="","",INDEX(עזר!$B$2:$B$5001,עזר!L2514))</f>
        <v/>
      </c>
      <c r="C2514" s="13" t="str">
        <f aca="false">עזר!M2514</f>
        <v/>
      </c>
    </row>
    <row r="2515" customFormat="false" ht="15" hidden="false" customHeight="false" outlineLevel="0" collapsed="false">
      <c r="A2515" s="13" t="str">
        <f aca="false">IF(עזר!L2515="","",INDEX(עזר!$A$2:$A$5001,עזר!L2515))</f>
        <v/>
      </c>
      <c r="B2515" s="13" t="str">
        <f aca="false">IF(עזר!L2515="","",INDEX(עזר!$B$2:$B$5001,עזר!L2515))</f>
        <v/>
      </c>
      <c r="C2515" s="13" t="str">
        <f aca="false">עזר!M2515</f>
        <v/>
      </c>
    </row>
    <row r="2516" customFormat="false" ht="15" hidden="false" customHeight="false" outlineLevel="0" collapsed="false">
      <c r="A2516" s="13" t="str">
        <f aca="false">IF(עזר!L2516="","",INDEX(עזר!$A$2:$A$5001,עזר!L2516))</f>
        <v/>
      </c>
      <c r="B2516" s="13" t="str">
        <f aca="false">IF(עזר!L2516="","",INDEX(עזר!$B$2:$B$5001,עזר!L2516))</f>
        <v/>
      </c>
      <c r="C2516" s="13" t="str">
        <f aca="false">עזר!M2516</f>
        <v/>
      </c>
    </row>
    <row r="2517" customFormat="false" ht="15" hidden="false" customHeight="false" outlineLevel="0" collapsed="false">
      <c r="A2517" s="13" t="str">
        <f aca="false">IF(עזר!L2517="","",INDEX(עזר!$A$2:$A$5001,עזר!L2517))</f>
        <v/>
      </c>
      <c r="B2517" s="13" t="str">
        <f aca="false">IF(עזר!L2517="","",INDEX(עזר!$B$2:$B$5001,עזר!L2517))</f>
        <v/>
      </c>
      <c r="C2517" s="13" t="str">
        <f aca="false">עזר!M2517</f>
        <v/>
      </c>
    </row>
    <row r="2518" customFormat="false" ht="15" hidden="false" customHeight="false" outlineLevel="0" collapsed="false">
      <c r="A2518" s="13" t="str">
        <f aca="false">IF(עזר!L2518="","",INDEX(עזר!$A$2:$A$5001,עזר!L2518))</f>
        <v/>
      </c>
      <c r="B2518" s="13" t="str">
        <f aca="false">IF(עזר!L2518="","",INDEX(עזר!$B$2:$B$5001,עזר!L2518))</f>
        <v/>
      </c>
      <c r="C2518" s="13" t="str">
        <f aca="false">עזר!M2518</f>
        <v/>
      </c>
    </row>
    <row r="2519" customFormat="false" ht="15" hidden="false" customHeight="false" outlineLevel="0" collapsed="false">
      <c r="A2519" s="13" t="str">
        <f aca="false">IF(עזר!L2519="","",INDEX(עזר!$A$2:$A$5001,עזר!L2519))</f>
        <v/>
      </c>
      <c r="B2519" s="13" t="str">
        <f aca="false">IF(עזר!L2519="","",INDEX(עזר!$B$2:$B$5001,עזר!L2519))</f>
        <v/>
      </c>
      <c r="C2519" s="13" t="str">
        <f aca="false">עזר!M2519</f>
        <v/>
      </c>
    </row>
    <row r="2520" customFormat="false" ht="15" hidden="false" customHeight="false" outlineLevel="0" collapsed="false">
      <c r="A2520" s="13" t="str">
        <f aca="false">IF(עזר!L2520="","",INDEX(עזר!$A$2:$A$5001,עזר!L2520))</f>
        <v/>
      </c>
      <c r="B2520" s="13" t="str">
        <f aca="false">IF(עזר!L2520="","",INDEX(עזר!$B$2:$B$5001,עזר!L2520))</f>
        <v/>
      </c>
      <c r="C2520" s="13" t="str">
        <f aca="false">עזר!M2520</f>
        <v/>
      </c>
    </row>
    <row r="2521" customFormat="false" ht="15" hidden="false" customHeight="false" outlineLevel="0" collapsed="false">
      <c r="A2521" s="13" t="str">
        <f aca="false">IF(עזר!L2521="","",INDEX(עזר!$A$2:$A$5001,עזר!L2521))</f>
        <v/>
      </c>
      <c r="B2521" s="13" t="str">
        <f aca="false">IF(עזר!L2521="","",INDEX(עזר!$B$2:$B$5001,עזר!L2521))</f>
        <v/>
      </c>
      <c r="C2521" s="13" t="str">
        <f aca="false">עזר!M2521</f>
        <v/>
      </c>
    </row>
    <row r="2522" customFormat="false" ht="15" hidden="false" customHeight="false" outlineLevel="0" collapsed="false">
      <c r="A2522" s="13" t="str">
        <f aca="false">IF(עזר!L2522="","",INDEX(עזר!$A$2:$A$5001,עזר!L2522))</f>
        <v/>
      </c>
      <c r="B2522" s="13" t="str">
        <f aca="false">IF(עזר!L2522="","",INDEX(עזר!$B$2:$B$5001,עזר!L2522))</f>
        <v/>
      </c>
      <c r="C2522" s="13" t="str">
        <f aca="false">עזר!M2522</f>
        <v/>
      </c>
    </row>
    <row r="2523" customFormat="false" ht="15" hidden="false" customHeight="false" outlineLevel="0" collapsed="false">
      <c r="A2523" s="13" t="str">
        <f aca="false">IF(עזר!L2523="","",INDEX(עזר!$A$2:$A$5001,עזר!L2523))</f>
        <v/>
      </c>
      <c r="B2523" s="13" t="str">
        <f aca="false">IF(עזר!L2523="","",INDEX(עזר!$B$2:$B$5001,עזר!L2523))</f>
        <v/>
      </c>
      <c r="C2523" s="13" t="str">
        <f aca="false">עזר!M2523</f>
        <v/>
      </c>
    </row>
    <row r="2524" customFormat="false" ht="15" hidden="false" customHeight="false" outlineLevel="0" collapsed="false">
      <c r="A2524" s="13" t="str">
        <f aca="false">IF(עזר!L2524="","",INDEX(עזר!$A$2:$A$5001,עזר!L2524))</f>
        <v/>
      </c>
      <c r="B2524" s="13" t="str">
        <f aca="false">IF(עזר!L2524="","",INDEX(עזר!$B$2:$B$5001,עזר!L2524))</f>
        <v/>
      </c>
      <c r="C2524" s="13" t="str">
        <f aca="false">עזר!M2524</f>
        <v/>
      </c>
    </row>
    <row r="2525" customFormat="false" ht="15" hidden="false" customHeight="false" outlineLevel="0" collapsed="false">
      <c r="A2525" s="13" t="str">
        <f aca="false">IF(עזר!L2525="","",INDEX(עזר!$A$2:$A$5001,עזר!L2525))</f>
        <v/>
      </c>
      <c r="B2525" s="13" t="str">
        <f aca="false">IF(עזר!L2525="","",INDEX(עזר!$B$2:$B$5001,עזר!L2525))</f>
        <v/>
      </c>
      <c r="C2525" s="13" t="str">
        <f aca="false">עזר!M2525</f>
        <v/>
      </c>
    </row>
    <row r="2526" customFormat="false" ht="15" hidden="false" customHeight="false" outlineLevel="0" collapsed="false">
      <c r="A2526" s="13" t="str">
        <f aca="false">IF(עזר!L2526="","",INDEX(עזר!$A$2:$A$5001,עזר!L2526))</f>
        <v/>
      </c>
      <c r="B2526" s="13" t="str">
        <f aca="false">IF(עזר!L2526="","",INDEX(עזר!$B$2:$B$5001,עזר!L2526))</f>
        <v/>
      </c>
      <c r="C2526" s="13" t="str">
        <f aca="false">עזר!M2526</f>
        <v/>
      </c>
    </row>
    <row r="2527" customFormat="false" ht="15" hidden="false" customHeight="false" outlineLevel="0" collapsed="false">
      <c r="A2527" s="13" t="str">
        <f aca="false">IF(עזר!L2527="","",INDEX(עזר!$A$2:$A$5001,עזר!L2527))</f>
        <v/>
      </c>
      <c r="B2527" s="13" t="str">
        <f aca="false">IF(עזר!L2527="","",INDEX(עזר!$B$2:$B$5001,עזר!L2527))</f>
        <v/>
      </c>
      <c r="C2527" s="13" t="str">
        <f aca="false">עזר!M2527</f>
        <v/>
      </c>
    </row>
    <row r="2528" customFormat="false" ht="15" hidden="false" customHeight="false" outlineLevel="0" collapsed="false">
      <c r="A2528" s="13" t="str">
        <f aca="false">IF(עזר!L2528="","",INDEX(עזר!$A$2:$A$5001,עזר!L2528))</f>
        <v/>
      </c>
      <c r="B2528" s="13" t="str">
        <f aca="false">IF(עזר!L2528="","",INDEX(עזר!$B$2:$B$5001,עזר!L2528))</f>
        <v/>
      </c>
      <c r="C2528" s="13" t="str">
        <f aca="false">עזר!M2528</f>
        <v/>
      </c>
    </row>
    <row r="2529" customFormat="false" ht="15" hidden="false" customHeight="false" outlineLevel="0" collapsed="false">
      <c r="A2529" s="13" t="str">
        <f aca="false">IF(עזר!L2529="","",INDEX(עזר!$A$2:$A$5001,עזר!L2529))</f>
        <v/>
      </c>
      <c r="B2529" s="13" t="str">
        <f aca="false">IF(עזר!L2529="","",INDEX(עזר!$B$2:$B$5001,עזר!L2529))</f>
        <v/>
      </c>
      <c r="C2529" s="13" t="str">
        <f aca="false">עזר!M2529</f>
        <v/>
      </c>
    </row>
    <row r="2530" customFormat="false" ht="15" hidden="false" customHeight="false" outlineLevel="0" collapsed="false">
      <c r="A2530" s="13" t="str">
        <f aca="false">IF(עזר!L2530="","",INDEX(עזר!$A$2:$A$5001,עזר!L2530))</f>
        <v/>
      </c>
      <c r="B2530" s="13" t="str">
        <f aca="false">IF(עזר!L2530="","",INDEX(עזר!$B$2:$B$5001,עזר!L2530))</f>
        <v/>
      </c>
      <c r="C2530" s="13" t="str">
        <f aca="false">עזר!M2530</f>
        <v/>
      </c>
    </row>
    <row r="2531" customFormat="false" ht="15" hidden="false" customHeight="false" outlineLevel="0" collapsed="false">
      <c r="A2531" s="13" t="str">
        <f aca="false">IF(עזר!L2531="","",INDEX(עזר!$A$2:$A$5001,עזר!L2531))</f>
        <v/>
      </c>
      <c r="B2531" s="13" t="str">
        <f aca="false">IF(עזר!L2531="","",INDEX(עזר!$B$2:$B$5001,עזר!L2531))</f>
        <v/>
      </c>
      <c r="C2531" s="13" t="str">
        <f aca="false">עזר!M2531</f>
        <v/>
      </c>
    </row>
    <row r="2532" customFormat="false" ht="15" hidden="false" customHeight="false" outlineLevel="0" collapsed="false">
      <c r="A2532" s="13" t="str">
        <f aca="false">IF(עזר!L2532="","",INDEX(עזר!$A$2:$A$5001,עזר!L2532))</f>
        <v/>
      </c>
      <c r="B2532" s="13" t="str">
        <f aca="false">IF(עזר!L2532="","",INDEX(עזר!$B$2:$B$5001,עזר!L2532))</f>
        <v/>
      </c>
      <c r="C2532" s="13" t="str">
        <f aca="false">עזר!M2532</f>
        <v/>
      </c>
    </row>
    <row r="2533" customFormat="false" ht="15" hidden="false" customHeight="false" outlineLevel="0" collapsed="false">
      <c r="A2533" s="13" t="str">
        <f aca="false">IF(עזר!L2533="","",INDEX(עזר!$A$2:$A$5001,עזר!L2533))</f>
        <v/>
      </c>
      <c r="B2533" s="13" t="str">
        <f aca="false">IF(עזר!L2533="","",INDEX(עזר!$B$2:$B$5001,עזר!L2533))</f>
        <v/>
      </c>
      <c r="C2533" s="13" t="str">
        <f aca="false">עזר!M2533</f>
        <v/>
      </c>
    </row>
    <row r="2534" customFormat="false" ht="15" hidden="false" customHeight="false" outlineLevel="0" collapsed="false">
      <c r="A2534" s="13" t="str">
        <f aca="false">IF(עזר!L2534="","",INDEX(עזר!$A$2:$A$5001,עזר!L2534))</f>
        <v/>
      </c>
      <c r="B2534" s="13" t="str">
        <f aca="false">IF(עזר!L2534="","",INDEX(עזר!$B$2:$B$5001,עזר!L2534))</f>
        <v/>
      </c>
      <c r="C2534" s="13" t="str">
        <f aca="false">עזר!M2534</f>
        <v/>
      </c>
    </row>
    <row r="2535" customFormat="false" ht="15" hidden="false" customHeight="false" outlineLevel="0" collapsed="false">
      <c r="A2535" s="13" t="str">
        <f aca="false">IF(עזר!L2535="","",INDEX(עזר!$A$2:$A$5001,עזר!L2535))</f>
        <v/>
      </c>
      <c r="B2535" s="13" t="str">
        <f aca="false">IF(עזר!L2535="","",INDEX(עזר!$B$2:$B$5001,עזר!L2535))</f>
        <v/>
      </c>
      <c r="C2535" s="13" t="str">
        <f aca="false">עזר!M2535</f>
        <v/>
      </c>
    </row>
    <row r="2536" customFormat="false" ht="15" hidden="false" customHeight="false" outlineLevel="0" collapsed="false">
      <c r="A2536" s="13" t="str">
        <f aca="false">IF(עזר!L2536="","",INDEX(עזר!$A$2:$A$5001,עזר!L2536))</f>
        <v/>
      </c>
      <c r="B2536" s="13" t="str">
        <f aca="false">IF(עזר!L2536="","",INDEX(עזר!$B$2:$B$5001,עזר!L2536))</f>
        <v/>
      </c>
      <c r="C2536" s="13" t="str">
        <f aca="false">עזר!M2536</f>
        <v/>
      </c>
    </row>
    <row r="2537" customFormat="false" ht="15" hidden="false" customHeight="false" outlineLevel="0" collapsed="false">
      <c r="A2537" s="13" t="str">
        <f aca="false">IF(עזר!L2537="","",INDEX(עזר!$A$2:$A$5001,עזר!L2537))</f>
        <v/>
      </c>
      <c r="B2537" s="13" t="str">
        <f aca="false">IF(עזר!L2537="","",INDEX(עזר!$B$2:$B$5001,עזר!L2537))</f>
        <v/>
      </c>
      <c r="C2537" s="13" t="str">
        <f aca="false">עזר!M2537</f>
        <v/>
      </c>
    </row>
    <row r="2538" customFormat="false" ht="15" hidden="false" customHeight="false" outlineLevel="0" collapsed="false">
      <c r="A2538" s="13" t="str">
        <f aca="false">IF(עזר!L2538="","",INDEX(עזר!$A$2:$A$5001,עזר!L2538))</f>
        <v/>
      </c>
      <c r="B2538" s="13" t="str">
        <f aca="false">IF(עזר!L2538="","",INDEX(עזר!$B$2:$B$5001,עזר!L2538))</f>
        <v/>
      </c>
      <c r="C2538" s="13" t="str">
        <f aca="false">עזר!M2538</f>
        <v/>
      </c>
    </row>
    <row r="2539" customFormat="false" ht="15" hidden="false" customHeight="false" outlineLevel="0" collapsed="false">
      <c r="A2539" s="13" t="str">
        <f aca="false">IF(עזר!L2539="","",INDEX(עזר!$A$2:$A$5001,עזר!L2539))</f>
        <v/>
      </c>
      <c r="B2539" s="13" t="str">
        <f aca="false">IF(עזר!L2539="","",INDEX(עזר!$B$2:$B$5001,עזר!L2539))</f>
        <v/>
      </c>
      <c r="C2539" s="13" t="str">
        <f aca="false">עזר!M2539</f>
        <v/>
      </c>
    </row>
    <row r="2540" customFormat="false" ht="15" hidden="false" customHeight="false" outlineLevel="0" collapsed="false">
      <c r="A2540" s="13" t="str">
        <f aca="false">IF(עזר!L2540="","",INDEX(עזר!$A$2:$A$5001,עזר!L2540))</f>
        <v/>
      </c>
      <c r="B2540" s="13" t="str">
        <f aca="false">IF(עזר!L2540="","",INDEX(עזר!$B$2:$B$5001,עזר!L2540))</f>
        <v/>
      </c>
      <c r="C2540" s="13" t="str">
        <f aca="false">עזר!M2540</f>
        <v/>
      </c>
    </row>
    <row r="2541" customFormat="false" ht="15" hidden="false" customHeight="false" outlineLevel="0" collapsed="false">
      <c r="A2541" s="13" t="str">
        <f aca="false">IF(עזר!L2541="","",INDEX(עזר!$A$2:$A$5001,עזר!L2541))</f>
        <v/>
      </c>
      <c r="B2541" s="13" t="str">
        <f aca="false">IF(עזר!L2541="","",INDEX(עזר!$B$2:$B$5001,עזר!L2541))</f>
        <v/>
      </c>
      <c r="C2541" s="13" t="str">
        <f aca="false">עזר!M2541</f>
        <v/>
      </c>
    </row>
    <row r="2542" customFormat="false" ht="15" hidden="false" customHeight="false" outlineLevel="0" collapsed="false">
      <c r="A2542" s="13" t="str">
        <f aca="false">IF(עזר!L2542="","",INDEX(עזר!$A$2:$A$5001,עזר!L2542))</f>
        <v/>
      </c>
      <c r="B2542" s="13" t="str">
        <f aca="false">IF(עזר!L2542="","",INDEX(עזר!$B$2:$B$5001,עזר!L2542))</f>
        <v/>
      </c>
      <c r="C2542" s="13" t="str">
        <f aca="false">עזר!M2542</f>
        <v/>
      </c>
    </row>
    <row r="2543" customFormat="false" ht="15" hidden="false" customHeight="false" outlineLevel="0" collapsed="false">
      <c r="A2543" s="13" t="str">
        <f aca="false">IF(עזר!L2543="","",INDEX(עזר!$A$2:$A$5001,עזר!L2543))</f>
        <v/>
      </c>
      <c r="B2543" s="13" t="str">
        <f aca="false">IF(עזר!L2543="","",INDEX(עזר!$B$2:$B$5001,עזר!L2543))</f>
        <v/>
      </c>
      <c r="C2543" s="13" t="str">
        <f aca="false">עזר!M2543</f>
        <v/>
      </c>
    </row>
    <row r="2544" customFormat="false" ht="15" hidden="false" customHeight="false" outlineLevel="0" collapsed="false">
      <c r="A2544" s="13" t="str">
        <f aca="false">IF(עזר!L2544="","",INDEX(עזר!$A$2:$A$5001,עזר!L2544))</f>
        <v/>
      </c>
      <c r="B2544" s="13" t="str">
        <f aca="false">IF(עזר!L2544="","",INDEX(עזר!$B$2:$B$5001,עזר!L2544))</f>
        <v/>
      </c>
      <c r="C2544" s="13" t="str">
        <f aca="false">עזר!M2544</f>
        <v/>
      </c>
    </row>
    <row r="2545" customFormat="false" ht="15" hidden="false" customHeight="false" outlineLevel="0" collapsed="false">
      <c r="A2545" s="13" t="str">
        <f aca="false">IF(עזר!L2545="","",INDEX(עזר!$A$2:$A$5001,עזר!L2545))</f>
        <v/>
      </c>
      <c r="B2545" s="13" t="str">
        <f aca="false">IF(עזר!L2545="","",INDEX(עזר!$B$2:$B$5001,עזר!L2545))</f>
        <v/>
      </c>
      <c r="C2545" s="13" t="str">
        <f aca="false">עזר!M2545</f>
        <v/>
      </c>
    </row>
    <row r="2546" customFormat="false" ht="15" hidden="false" customHeight="false" outlineLevel="0" collapsed="false">
      <c r="A2546" s="13" t="str">
        <f aca="false">IF(עזר!L2546="","",INDEX(עזר!$A$2:$A$5001,עזר!L2546))</f>
        <v/>
      </c>
      <c r="B2546" s="13" t="str">
        <f aca="false">IF(עזר!L2546="","",INDEX(עזר!$B$2:$B$5001,עזר!L2546))</f>
        <v/>
      </c>
      <c r="C2546" s="13" t="str">
        <f aca="false">עזר!M2546</f>
        <v/>
      </c>
    </row>
    <row r="2547" customFormat="false" ht="15" hidden="false" customHeight="false" outlineLevel="0" collapsed="false">
      <c r="A2547" s="13" t="str">
        <f aca="false">IF(עזר!L2547="","",INDEX(עזר!$A$2:$A$5001,עזר!L2547))</f>
        <v/>
      </c>
      <c r="B2547" s="13" t="str">
        <f aca="false">IF(עזר!L2547="","",INDEX(עזר!$B$2:$B$5001,עזר!L2547))</f>
        <v/>
      </c>
      <c r="C2547" s="13" t="str">
        <f aca="false">עזר!M2547</f>
        <v/>
      </c>
    </row>
    <row r="2548" customFormat="false" ht="15" hidden="false" customHeight="false" outlineLevel="0" collapsed="false">
      <c r="A2548" s="13" t="str">
        <f aca="false">IF(עזר!L2548="","",INDEX(עזר!$A$2:$A$5001,עזר!L2548))</f>
        <v/>
      </c>
      <c r="B2548" s="13" t="str">
        <f aca="false">IF(עזר!L2548="","",INDEX(עזר!$B$2:$B$5001,עזר!L2548))</f>
        <v/>
      </c>
      <c r="C2548" s="13" t="str">
        <f aca="false">עזר!M2548</f>
        <v/>
      </c>
    </row>
    <row r="2549" customFormat="false" ht="15" hidden="false" customHeight="false" outlineLevel="0" collapsed="false">
      <c r="A2549" s="13" t="str">
        <f aca="false">IF(עזר!L2549="","",INDEX(עזר!$A$2:$A$5001,עזר!L2549))</f>
        <v/>
      </c>
      <c r="B2549" s="13" t="str">
        <f aca="false">IF(עזר!L2549="","",INDEX(עזר!$B$2:$B$5001,עזר!L2549))</f>
        <v/>
      </c>
      <c r="C2549" s="13" t="str">
        <f aca="false">עזר!M2549</f>
        <v/>
      </c>
    </row>
    <row r="2550" customFormat="false" ht="15" hidden="false" customHeight="false" outlineLevel="0" collapsed="false">
      <c r="A2550" s="13" t="str">
        <f aca="false">IF(עזר!L2550="","",INDEX(עזר!$A$2:$A$5001,עזר!L2550))</f>
        <v/>
      </c>
      <c r="B2550" s="13" t="str">
        <f aca="false">IF(עזר!L2550="","",INDEX(עזר!$B$2:$B$5001,עזר!L2550))</f>
        <v/>
      </c>
      <c r="C2550" s="13" t="str">
        <f aca="false">עזר!M2550</f>
        <v/>
      </c>
    </row>
    <row r="2551" customFormat="false" ht="15" hidden="false" customHeight="false" outlineLevel="0" collapsed="false">
      <c r="A2551" s="13" t="str">
        <f aca="false">IF(עזר!L2551="","",INDEX(עזר!$A$2:$A$5001,עזר!L2551))</f>
        <v/>
      </c>
      <c r="B2551" s="13" t="str">
        <f aca="false">IF(עזר!L2551="","",INDEX(עזר!$B$2:$B$5001,עזר!L2551))</f>
        <v/>
      </c>
      <c r="C2551" s="13" t="str">
        <f aca="false">עזר!M2551</f>
        <v/>
      </c>
    </row>
    <row r="2552" customFormat="false" ht="15" hidden="false" customHeight="false" outlineLevel="0" collapsed="false">
      <c r="A2552" s="13" t="str">
        <f aca="false">IF(עזר!L2552="","",INDEX(עזר!$A$2:$A$5001,עזר!L2552))</f>
        <v/>
      </c>
      <c r="B2552" s="13" t="str">
        <f aca="false">IF(עזר!L2552="","",INDEX(עזר!$B$2:$B$5001,עזר!L2552))</f>
        <v/>
      </c>
      <c r="C2552" s="13" t="str">
        <f aca="false">עזר!M2552</f>
        <v/>
      </c>
    </row>
    <row r="2553" customFormat="false" ht="15" hidden="false" customHeight="false" outlineLevel="0" collapsed="false">
      <c r="A2553" s="13" t="str">
        <f aca="false">IF(עזר!L2553="","",INDEX(עזר!$A$2:$A$5001,עזר!L2553))</f>
        <v/>
      </c>
      <c r="B2553" s="13" t="str">
        <f aca="false">IF(עזר!L2553="","",INDEX(עזר!$B$2:$B$5001,עזר!L2553))</f>
        <v/>
      </c>
      <c r="C2553" s="13" t="str">
        <f aca="false">עזר!M2553</f>
        <v/>
      </c>
    </row>
    <row r="2554" customFormat="false" ht="15" hidden="false" customHeight="false" outlineLevel="0" collapsed="false">
      <c r="A2554" s="13" t="str">
        <f aca="false">IF(עזר!L2554="","",INDEX(עזר!$A$2:$A$5001,עזר!L2554))</f>
        <v/>
      </c>
      <c r="B2554" s="13" t="str">
        <f aca="false">IF(עזר!L2554="","",INDEX(עזר!$B$2:$B$5001,עזר!L2554))</f>
        <v/>
      </c>
      <c r="C2554" s="13" t="str">
        <f aca="false">עזר!M2554</f>
        <v/>
      </c>
    </row>
    <row r="2555" customFormat="false" ht="15" hidden="false" customHeight="false" outlineLevel="0" collapsed="false">
      <c r="A2555" s="13" t="str">
        <f aca="false">IF(עזר!L2555="","",INDEX(עזר!$A$2:$A$5001,עזר!L2555))</f>
        <v/>
      </c>
      <c r="B2555" s="13" t="str">
        <f aca="false">IF(עזר!L2555="","",INDEX(עזר!$B$2:$B$5001,עזר!L2555))</f>
        <v/>
      </c>
      <c r="C2555" s="13" t="str">
        <f aca="false">עזר!M2555</f>
        <v/>
      </c>
    </row>
    <row r="2556" customFormat="false" ht="15" hidden="false" customHeight="false" outlineLevel="0" collapsed="false">
      <c r="A2556" s="13" t="str">
        <f aca="false">IF(עזר!L2556="","",INDEX(עזר!$A$2:$A$5001,עזר!L2556))</f>
        <v/>
      </c>
      <c r="B2556" s="13" t="str">
        <f aca="false">IF(עזר!L2556="","",INDEX(עזר!$B$2:$B$5001,עזר!L2556))</f>
        <v/>
      </c>
      <c r="C2556" s="13" t="str">
        <f aca="false">עזר!M2556</f>
        <v/>
      </c>
    </row>
    <row r="2557" customFormat="false" ht="15" hidden="false" customHeight="false" outlineLevel="0" collapsed="false">
      <c r="A2557" s="13" t="str">
        <f aca="false">IF(עזר!L2557="","",INDEX(עזר!$A$2:$A$5001,עזר!L2557))</f>
        <v/>
      </c>
      <c r="B2557" s="13" t="str">
        <f aca="false">IF(עזר!L2557="","",INDEX(עזר!$B$2:$B$5001,עזר!L2557))</f>
        <v/>
      </c>
      <c r="C2557" s="13" t="str">
        <f aca="false">עזר!M2557</f>
        <v/>
      </c>
    </row>
    <row r="2558" customFormat="false" ht="15" hidden="false" customHeight="false" outlineLevel="0" collapsed="false">
      <c r="A2558" s="13" t="str">
        <f aca="false">IF(עזר!L2558="","",INDEX(עזר!$A$2:$A$5001,עזר!L2558))</f>
        <v/>
      </c>
      <c r="B2558" s="13" t="str">
        <f aca="false">IF(עזר!L2558="","",INDEX(עזר!$B$2:$B$5001,עזר!L2558))</f>
        <v/>
      </c>
      <c r="C2558" s="13" t="str">
        <f aca="false">עזר!M2558</f>
        <v/>
      </c>
    </row>
    <row r="2559" customFormat="false" ht="15" hidden="false" customHeight="false" outlineLevel="0" collapsed="false">
      <c r="A2559" s="13" t="str">
        <f aca="false">IF(עזר!L2559="","",INDEX(עזר!$A$2:$A$5001,עזר!L2559))</f>
        <v/>
      </c>
      <c r="B2559" s="13" t="str">
        <f aca="false">IF(עזר!L2559="","",INDEX(עזר!$B$2:$B$5001,עזר!L2559))</f>
        <v/>
      </c>
      <c r="C2559" s="13" t="str">
        <f aca="false">עזר!M2559</f>
        <v/>
      </c>
    </row>
    <row r="2560" customFormat="false" ht="15" hidden="false" customHeight="false" outlineLevel="0" collapsed="false">
      <c r="A2560" s="13" t="str">
        <f aca="false">IF(עזר!L2560="","",INDEX(עזר!$A$2:$A$5001,עזר!L2560))</f>
        <v/>
      </c>
      <c r="B2560" s="13" t="str">
        <f aca="false">IF(עזר!L2560="","",INDEX(עזר!$B$2:$B$5001,עזר!L2560))</f>
        <v/>
      </c>
      <c r="C2560" s="13" t="str">
        <f aca="false">עזר!M2560</f>
        <v/>
      </c>
    </row>
    <row r="2561" customFormat="false" ht="15" hidden="false" customHeight="false" outlineLevel="0" collapsed="false">
      <c r="A2561" s="13" t="str">
        <f aca="false">IF(עזר!L2561="","",INDEX(עזר!$A$2:$A$5001,עזר!L2561))</f>
        <v/>
      </c>
      <c r="B2561" s="13" t="str">
        <f aca="false">IF(עזר!L2561="","",INDEX(עזר!$B$2:$B$5001,עזר!L2561))</f>
        <v/>
      </c>
      <c r="C2561" s="13" t="str">
        <f aca="false">עזר!M2561</f>
        <v/>
      </c>
    </row>
    <row r="2562" customFormat="false" ht="15" hidden="false" customHeight="false" outlineLevel="0" collapsed="false">
      <c r="A2562" s="13" t="str">
        <f aca="false">IF(עזר!L2562="","",INDEX(עזר!$A$2:$A$5001,עזר!L2562))</f>
        <v/>
      </c>
      <c r="B2562" s="13" t="str">
        <f aca="false">IF(עזר!L2562="","",INDEX(עזר!$B$2:$B$5001,עזר!L2562))</f>
        <v/>
      </c>
      <c r="C2562" s="13" t="str">
        <f aca="false">עזר!M2562</f>
        <v/>
      </c>
    </row>
    <row r="2563" customFormat="false" ht="15" hidden="false" customHeight="false" outlineLevel="0" collapsed="false">
      <c r="A2563" s="13" t="str">
        <f aca="false">IF(עזר!L2563="","",INDEX(עזר!$A$2:$A$5001,עזר!L2563))</f>
        <v/>
      </c>
      <c r="B2563" s="13" t="str">
        <f aca="false">IF(עזר!L2563="","",INDEX(עזר!$B$2:$B$5001,עזר!L2563))</f>
        <v/>
      </c>
      <c r="C2563" s="13" t="str">
        <f aca="false">עזר!M2563</f>
        <v/>
      </c>
    </row>
    <row r="2564" customFormat="false" ht="15" hidden="false" customHeight="false" outlineLevel="0" collapsed="false">
      <c r="A2564" s="13" t="str">
        <f aca="false">IF(עזר!L2564="","",INDEX(עזר!$A$2:$A$5001,עזר!L2564))</f>
        <v/>
      </c>
      <c r="B2564" s="13" t="str">
        <f aca="false">IF(עזר!L2564="","",INDEX(עזר!$B$2:$B$5001,עזר!L2564))</f>
        <v/>
      </c>
      <c r="C2564" s="13" t="str">
        <f aca="false">עזר!M2564</f>
        <v/>
      </c>
    </row>
    <row r="2565" customFormat="false" ht="15" hidden="false" customHeight="false" outlineLevel="0" collapsed="false">
      <c r="A2565" s="13" t="str">
        <f aca="false">IF(עזר!L2565="","",INDEX(עזר!$A$2:$A$5001,עזר!L2565))</f>
        <v/>
      </c>
      <c r="B2565" s="13" t="str">
        <f aca="false">IF(עזר!L2565="","",INDEX(עזר!$B$2:$B$5001,עזר!L2565))</f>
        <v/>
      </c>
      <c r="C2565" s="13" t="str">
        <f aca="false">עזר!M2565</f>
        <v/>
      </c>
    </row>
    <row r="2566" customFormat="false" ht="15" hidden="false" customHeight="false" outlineLevel="0" collapsed="false">
      <c r="A2566" s="13" t="str">
        <f aca="false">IF(עזר!L2566="","",INDEX(עזר!$A$2:$A$5001,עזר!L2566))</f>
        <v/>
      </c>
      <c r="B2566" s="13" t="str">
        <f aca="false">IF(עזר!L2566="","",INDEX(עזר!$B$2:$B$5001,עזר!L2566))</f>
        <v/>
      </c>
      <c r="C2566" s="13" t="str">
        <f aca="false">עזר!M2566</f>
        <v/>
      </c>
    </row>
    <row r="2567" customFormat="false" ht="15" hidden="false" customHeight="false" outlineLevel="0" collapsed="false">
      <c r="A2567" s="13" t="str">
        <f aca="false">IF(עזר!L2567="","",INDEX(עזר!$A$2:$A$5001,עזר!L2567))</f>
        <v/>
      </c>
      <c r="B2567" s="13" t="str">
        <f aca="false">IF(עזר!L2567="","",INDEX(עזר!$B$2:$B$5001,עזר!L2567))</f>
        <v/>
      </c>
      <c r="C2567" s="13" t="str">
        <f aca="false">עזר!M2567</f>
        <v/>
      </c>
    </row>
    <row r="2568" customFormat="false" ht="15" hidden="false" customHeight="false" outlineLevel="0" collapsed="false">
      <c r="A2568" s="13" t="str">
        <f aca="false">IF(עזר!L2568="","",INDEX(עזר!$A$2:$A$5001,עזר!L2568))</f>
        <v/>
      </c>
      <c r="B2568" s="13" t="str">
        <f aca="false">IF(עזר!L2568="","",INDEX(עזר!$B$2:$B$5001,עזר!L2568))</f>
        <v/>
      </c>
      <c r="C2568" s="13" t="str">
        <f aca="false">עזר!M2568</f>
        <v/>
      </c>
    </row>
    <row r="2569" customFormat="false" ht="15" hidden="false" customHeight="false" outlineLevel="0" collapsed="false">
      <c r="A2569" s="13" t="str">
        <f aca="false">IF(עזר!L2569="","",INDEX(עזר!$A$2:$A$5001,עזר!L2569))</f>
        <v/>
      </c>
      <c r="B2569" s="13" t="str">
        <f aca="false">IF(עזר!L2569="","",INDEX(עזר!$B$2:$B$5001,עזר!L2569))</f>
        <v/>
      </c>
      <c r="C2569" s="13" t="str">
        <f aca="false">עזר!M2569</f>
        <v/>
      </c>
    </row>
    <row r="2570" customFormat="false" ht="15" hidden="false" customHeight="false" outlineLevel="0" collapsed="false">
      <c r="A2570" s="13" t="str">
        <f aca="false">IF(עזר!L2570="","",INDEX(עזר!$A$2:$A$5001,עזר!L2570))</f>
        <v/>
      </c>
      <c r="B2570" s="13" t="str">
        <f aca="false">IF(עזר!L2570="","",INDEX(עזר!$B$2:$B$5001,עזר!L2570))</f>
        <v/>
      </c>
      <c r="C2570" s="13" t="str">
        <f aca="false">עזר!M2570</f>
        <v/>
      </c>
    </row>
    <row r="2571" customFormat="false" ht="15" hidden="false" customHeight="false" outlineLevel="0" collapsed="false">
      <c r="A2571" s="13" t="str">
        <f aca="false">IF(עזר!L2571="","",INDEX(עזר!$A$2:$A$5001,עזר!L2571))</f>
        <v/>
      </c>
      <c r="B2571" s="13" t="str">
        <f aca="false">IF(עזר!L2571="","",INDEX(עזר!$B$2:$B$5001,עזר!L2571))</f>
        <v/>
      </c>
      <c r="C2571" s="13" t="str">
        <f aca="false">עזר!M2571</f>
        <v/>
      </c>
    </row>
    <row r="2572" customFormat="false" ht="15" hidden="false" customHeight="false" outlineLevel="0" collapsed="false">
      <c r="A2572" s="13" t="str">
        <f aca="false">IF(עזר!L2572="","",INDEX(עזר!$A$2:$A$5001,עזר!L2572))</f>
        <v/>
      </c>
      <c r="B2572" s="13" t="str">
        <f aca="false">IF(עזר!L2572="","",INDEX(עזר!$B$2:$B$5001,עזר!L2572))</f>
        <v/>
      </c>
      <c r="C2572" s="13" t="str">
        <f aca="false">עזר!M2572</f>
        <v/>
      </c>
    </row>
    <row r="2573" customFormat="false" ht="15" hidden="false" customHeight="false" outlineLevel="0" collapsed="false">
      <c r="A2573" s="13" t="str">
        <f aca="false">IF(עזר!L2573="","",INDEX(עזר!$A$2:$A$5001,עזר!L2573))</f>
        <v/>
      </c>
      <c r="B2573" s="13" t="str">
        <f aca="false">IF(עזר!L2573="","",INDEX(עזר!$B$2:$B$5001,עזר!L2573))</f>
        <v/>
      </c>
      <c r="C2573" s="13" t="str">
        <f aca="false">עזר!M2573</f>
        <v/>
      </c>
    </row>
    <row r="2574" customFormat="false" ht="15" hidden="false" customHeight="false" outlineLevel="0" collapsed="false">
      <c r="A2574" s="13" t="str">
        <f aca="false">IF(עזר!L2574="","",INDEX(עזר!$A$2:$A$5001,עזר!L2574))</f>
        <v/>
      </c>
      <c r="B2574" s="13" t="str">
        <f aca="false">IF(עזר!L2574="","",INDEX(עזר!$B$2:$B$5001,עזר!L2574))</f>
        <v/>
      </c>
      <c r="C2574" s="13" t="str">
        <f aca="false">עזר!M2574</f>
        <v/>
      </c>
    </row>
    <row r="2575" customFormat="false" ht="15" hidden="false" customHeight="false" outlineLevel="0" collapsed="false">
      <c r="A2575" s="13" t="str">
        <f aca="false">IF(עזר!L2575="","",INDEX(עזר!$A$2:$A$5001,עזר!L2575))</f>
        <v/>
      </c>
      <c r="B2575" s="13" t="str">
        <f aca="false">IF(עזר!L2575="","",INDEX(עזר!$B$2:$B$5001,עזר!L2575))</f>
        <v/>
      </c>
      <c r="C2575" s="13" t="str">
        <f aca="false">עזר!M2575</f>
        <v/>
      </c>
    </row>
    <row r="2576" customFormat="false" ht="15" hidden="false" customHeight="false" outlineLevel="0" collapsed="false">
      <c r="A2576" s="13" t="str">
        <f aca="false">IF(עזר!L2576="","",INDEX(עזר!$A$2:$A$5001,עזר!L2576))</f>
        <v/>
      </c>
      <c r="B2576" s="13" t="str">
        <f aca="false">IF(עזר!L2576="","",INDEX(עזר!$B$2:$B$5001,עזר!L2576))</f>
        <v/>
      </c>
      <c r="C2576" s="13" t="str">
        <f aca="false">עזר!M2576</f>
        <v/>
      </c>
    </row>
    <row r="2577" customFormat="false" ht="15" hidden="false" customHeight="false" outlineLevel="0" collapsed="false">
      <c r="A2577" s="13" t="str">
        <f aca="false">IF(עזר!L2577="","",INDEX(עזר!$A$2:$A$5001,עזר!L2577))</f>
        <v/>
      </c>
      <c r="B2577" s="13" t="str">
        <f aca="false">IF(עזר!L2577="","",INDEX(עזר!$B$2:$B$5001,עזר!L2577))</f>
        <v/>
      </c>
      <c r="C2577" s="13" t="str">
        <f aca="false">עזר!M2577</f>
        <v/>
      </c>
    </row>
    <row r="2578" customFormat="false" ht="15" hidden="false" customHeight="false" outlineLevel="0" collapsed="false">
      <c r="A2578" s="13" t="str">
        <f aca="false">IF(עזר!L2578="","",INDEX(עזר!$A$2:$A$5001,עזר!L2578))</f>
        <v/>
      </c>
      <c r="B2578" s="13" t="str">
        <f aca="false">IF(עזר!L2578="","",INDEX(עזר!$B$2:$B$5001,עזר!L2578))</f>
        <v/>
      </c>
      <c r="C2578" s="13" t="str">
        <f aca="false">עזר!M2578</f>
        <v/>
      </c>
    </row>
    <row r="2579" customFormat="false" ht="15" hidden="false" customHeight="false" outlineLevel="0" collapsed="false">
      <c r="A2579" s="13" t="str">
        <f aca="false">IF(עזר!L2579="","",INDEX(עזר!$A$2:$A$5001,עזר!L2579))</f>
        <v/>
      </c>
      <c r="B2579" s="13" t="str">
        <f aca="false">IF(עזר!L2579="","",INDEX(עזר!$B$2:$B$5001,עזר!L2579))</f>
        <v/>
      </c>
      <c r="C2579" s="13" t="str">
        <f aca="false">עזר!M2579</f>
        <v/>
      </c>
    </row>
    <row r="2580" customFormat="false" ht="15" hidden="false" customHeight="false" outlineLevel="0" collapsed="false">
      <c r="A2580" s="13" t="str">
        <f aca="false">IF(עזר!L2580="","",INDEX(עזר!$A$2:$A$5001,עזר!L2580))</f>
        <v/>
      </c>
      <c r="B2580" s="13" t="str">
        <f aca="false">IF(עזר!L2580="","",INDEX(עזר!$B$2:$B$5001,עזר!L2580))</f>
        <v/>
      </c>
      <c r="C2580" s="13" t="str">
        <f aca="false">עזר!M2580</f>
        <v/>
      </c>
    </row>
    <row r="2581" customFormat="false" ht="15" hidden="false" customHeight="false" outlineLevel="0" collapsed="false">
      <c r="A2581" s="13" t="str">
        <f aca="false">IF(עזר!L2581="","",INDEX(עזר!$A$2:$A$5001,עזר!L2581))</f>
        <v/>
      </c>
      <c r="B2581" s="13" t="str">
        <f aca="false">IF(עזר!L2581="","",INDEX(עזר!$B$2:$B$5001,עזר!L2581))</f>
        <v/>
      </c>
      <c r="C2581" s="13" t="str">
        <f aca="false">עזר!M2581</f>
        <v/>
      </c>
    </row>
    <row r="2582" customFormat="false" ht="15" hidden="false" customHeight="false" outlineLevel="0" collapsed="false">
      <c r="A2582" s="13" t="str">
        <f aca="false">IF(עזר!L2582="","",INDEX(עזר!$A$2:$A$5001,עזר!L2582))</f>
        <v/>
      </c>
      <c r="B2582" s="13" t="str">
        <f aca="false">IF(עזר!L2582="","",INDEX(עזר!$B$2:$B$5001,עזר!L2582))</f>
        <v/>
      </c>
      <c r="C2582" s="13" t="str">
        <f aca="false">עזר!M2582</f>
        <v/>
      </c>
    </row>
    <row r="2583" customFormat="false" ht="15" hidden="false" customHeight="false" outlineLevel="0" collapsed="false">
      <c r="A2583" s="13" t="str">
        <f aca="false">IF(עזר!L2583="","",INDEX(עזר!$A$2:$A$5001,עזר!L2583))</f>
        <v/>
      </c>
      <c r="B2583" s="13" t="str">
        <f aca="false">IF(עזר!L2583="","",INDEX(עזר!$B$2:$B$5001,עזר!L2583))</f>
        <v/>
      </c>
      <c r="C2583" s="13" t="str">
        <f aca="false">עזר!M2583</f>
        <v/>
      </c>
    </row>
    <row r="2584" customFormat="false" ht="15" hidden="false" customHeight="false" outlineLevel="0" collapsed="false">
      <c r="A2584" s="13" t="str">
        <f aca="false">IF(עזר!L2584="","",INDEX(עזר!$A$2:$A$5001,עזר!L2584))</f>
        <v/>
      </c>
      <c r="B2584" s="13" t="str">
        <f aca="false">IF(עזר!L2584="","",INDEX(עזר!$B$2:$B$5001,עזר!L2584))</f>
        <v/>
      </c>
      <c r="C2584" s="13" t="str">
        <f aca="false">עזר!M2584</f>
        <v/>
      </c>
    </row>
    <row r="2585" customFormat="false" ht="15" hidden="false" customHeight="false" outlineLevel="0" collapsed="false">
      <c r="A2585" s="13" t="str">
        <f aca="false">IF(עזר!L2585="","",INDEX(עזר!$A$2:$A$5001,עזר!L2585))</f>
        <v/>
      </c>
      <c r="B2585" s="13" t="str">
        <f aca="false">IF(עזר!L2585="","",INDEX(עזר!$B$2:$B$5001,עזר!L2585))</f>
        <v/>
      </c>
      <c r="C2585" s="13" t="str">
        <f aca="false">עזר!M2585</f>
        <v/>
      </c>
    </row>
    <row r="2586" customFormat="false" ht="15" hidden="false" customHeight="false" outlineLevel="0" collapsed="false">
      <c r="A2586" s="13" t="str">
        <f aca="false">IF(עזר!L2586="","",INDEX(עזר!$A$2:$A$5001,עזר!L2586))</f>
        <v/>
      </c>
      <c r="B2586" s="13" t="str">
        <f aca="false">IF(עזר!L2586="","",INDEX(עזר!$B$2:$B$5001,עזר!L2586))</f>
        <v/>
      </c>
      <c r="C2586" s="13" t="str">
        <f aca="false">עזר!M2586</f>
        <v/>
      </c>
    </row>
    <row r="2587" customFormat="false" ht="15" hidden="false" customHeight="false" outlineLevel="0" collapsed="false">
      <c r="A2587" s="13" t="str">
        <f aca="false">IF(עזר!L2587="","",INDEX(עזר!$A$2:$A$5001,עזר!L2587))</f>
        <v/>
      </c>
      <c r="B2587" s="13" t="str">
        <f aca="false">IF(עזר!L2587="","",INDEX(עזר!$B$2:$B$5001,עזר!L2587))</f>
        <v/>
      </c>
      <c r="C2587" s="13" t="str">
        <f aca="false">עזר!M2587</f>
        <v/>
      </c>
    </row>
    <row r="2588" customFormat="false" ht="15" hidden="false" customHeight="false" outlineLevel="0" collapsed="false">
      <c r="A2588" s="13" t="str">
        <f aca="false">IF(עזר!L2588="","",INDEX(עזר!$A$2:$A$5001,עזר!L2588))</f>
        <v/>
      </c>
      <c r="B2588" s="13" t="str">
        <f aca="false">IF(עזר!L2588="","",INDEX(עזר!$B$2:$B$5001,עזר!L2588))</f>
        <v/>
      </c>
      <c r="C2588" s="13" t="str">
        <f aca="false">עזר!M2588</f>
        <v/>
      </c>
    </row>
    <row r="2589" customFormat="false" ht="15" hidden="false" customHeight="false" outlineLevel="0" collapsed="false">
      <c r="A2589" s="13" t="str">
        <f aca="false">IF(עזר!L2589="","",INDEX(עזר!$A$2:$A$5001,עזר!L2589))</f>
        <v/>
      </c>
      <c r="B2589" s="13" t="str">
        <f aca="false">IF(עזר!L2589="","",INDEX(עזר!$B$2:$B$5001,עזר!L2589))</f>
        <v/>
      </c>
      <c r="C2589" s="13" t="str">
        <f aca="false">עזר!M2589</f>
        <v/>
      </c>
    </row>
    <row r="2590" customFormat="false" ht="15" hidden="false" customHeight="false" outlineLevel="0" collapsed="false">
      <c r="A2590" s="13" t="str">
        <f aca="false">IF(עזר!L2590="","",INDEX(עזר!$A$2:$A$5001,עזר!L2590))</f>
        <v/>
      </c>
      <c r="B2590" s="13" t="str">
        <f aca="false">IF(עזר!L2590="","",INDEX(עזר!$B$2:$B$5001,עזר!L2590))</f>
        <v/>
      </c>
      <c r="C2590" s="13" t="str">
        <f aca="false">עזר!M2590</f>
        <v/>
      </c>
    </row>
    <row r="2591" customFormat="false" ht="15" hidden="false" customHeight="false" outlineLevel="0" collapsed="false">
      <c r="A2591" s="13" t="str">
        <f aca="false">IF(עזר!L2591="","",INDEX(עזר!$A$2:$A$5001,עזר!L2591))</f>
        <v/>
      </c>
      <c r="B2591" s="13" t="str">
        <f aca="false">IF(עזר!L2591="","",INDEX(עזר!$B$2:$B$5001,עזר!L2591))</f>
        <v/>
      </c>
      <c r="C2591" s="13" t="str">
        <f aca="false">עזר!M2591</f>
        <v/>
      </c>
    </row>
    <row r="2592" customFormat="false" ht="15" hidden="false" customHeight="false" outlineLevel="0" collapsed="false">
      <c r="A2592" s="13" t="str">
        <f aca="false">IF(עזר!L2592="","",INDEX(עזר!$A$2:$A$5001,עזר!L2592))</f>
        <v/>
      </c>
      <c r="B2592" s="13" t="str">
        <f aca="false">IF(עזר!L2592="","",INDEX(עזר!$B$2:$B$5001,עזר!L2592))</f>
        <v/>
      </c>
      <c r="C2592" s="13" t="str">
        <f aca="false">עזר!M2592</f>
        <v/>
      </c>
    </row>
    <row r="2593" customFormat="false" ht="15" hidden="false" customHeight="false" outlineLevel="0" collapsed="false">
      <c r="A2593" s="13" t="str">
        <f aca="false">IF(עזר!L2593="","",INDEX(עזר!$A$2:$A$5001,עזר!L2593))</f>
        <v/>
      </c>
      <c r="B2593" s="13" t="str">
        <f aca="false">IF(עזר!L2593="","",INDEX(עזר!$B$2:$B$5001,עזר!L2593))</f>
        <v/>
      </c>
      <c r="C2593" s="13" t="str">
        <f aca="false">עזר!M2593</f>
        <v/>
      </c>
    </row>
    <row r="2594" customFormat="false" ht="15" hidden="false" customHeight="false" outlineLevel="0" collapsed="false">
      <c r="A2594" s="13" t="str">
        <f aca="false">IF(עזר!L2594="","",INDEX(עזר!$A$2:$A$5001,עזר!L2594))</f>
        <v/>
      </c>
      <c r="B2594" s="13" t="str">
        <f aca="false">IF(עזר!L2594="","",INDEX(עזר!$B$2:$B$5001,עזר!L2594))</f>
        <v/>
      </c>
      <c r="C2594" s="13" t="str">
        <f aca="false">עזר!M2594</f>
        <v/>
      </c>
    </row>
    <row r="2595" customFormat="false" ht="15" hidden="false" customHeight="false" outlineLevel="0" collapsed="false">
      <c r="A2595" s="13" t="str">
        <f aca="false">IF(עזר!L2595="","",INDEX(עזר!$A$2:$A$5001,עזר!L2595))</f>
        <v/>
      </c>
      <c r="B2595" s="13" t="str">
        <f aca="false">IF(עזר!L2595="","",INDEX(עזר!$B$2:$B$5001,עזר!L2595))</f>
        <v/>
      </c>
      <c r="C2595" s="13" t="str">
        <f aca="false">עזר!M2595</f>
        <v/>
      </c>
    </row>
    <row r="2596" customFormat="false" ht="15" hidden="false" customHeight="false" outlineLevel="0" collapsed="false">
      <c r="A2596" s="13" t="str">
        <f aca="false">IF(עזר!L2596="","",INDEX(עזר!$A$2:$A$5001,עזר!L2596))</f>
        <v/>
      </c>
      <c r="B2596" s="13" t="str">
        <f aca="false">IF(עזר!L2596="","",INDEX(עזר!$B$2:$B$5001,עזר!L2596))</f>
        <v/>
      </c>
      <c r="C2596" s="13" t="str">
        <f aca="false">עזר!M2596</f>
        <v/>
      </c>
    </row>
    <row r="2597" customFormat="false" ht="15" hidden="false" customHeight="false" outlineLevel="0" collapsed="false">
      <c r="A2597" s="13" t="str">
        <f aca="false">IF(עזר!L2597="","",INDEX(עזר!$A$2:$A$5001,עזר!L2597))</f>
        <v/>
      </c>
      <c r="B2597" s="13" t="str">
        <f aca="false">IF(עזר!L2597="","",INDEX(עזר!$B$2:$B$5001,עזר!L2597))</f>
        <v/>
      </c>
      <c r="C2597" s="13" t="str">
        <f aca="false">עזר!M2597</f>
        <v/>
      </c>
    </row>
    <row r="2598" customFormat="false" ht="15" hidden="false" customHeight="false" outlineLevel="0" collapsed="false">
      <c r="A2598" s="13" t="str">
        <f aca="false">IF(עזר!L2598="","",INDEX(עזר!$A$2:$A$5001,עזר!L2598))</f>
        <v/>
      </c>
      <c r="B2598" s="13" t="str">
        <f aca="false">IF(עזר!L2598="","",INDEX(עזר!$B$2:$B$5001,עזר!L2598))</f>
        <v/>
      </c>
      <c r="C2598" s="13" t="str">
        <f aca="false">עזר!M2598</f>
        <v/>
      </c>
    </row>
    <row r="2599" customFormat="false" ht="15" hidden="false" customHeight="false" outlineLevel="0" collapsed="false">
      <c r="A2599" s="13" t="str">
        <f aca="false">IF(עזר!L2599="","",INDEX(עזר!$A$2:$A$5001,עזר!L2599))</f>
        <v/>
      </c>
      <c r="B2599" s="13" t="str">
        <f aca="false">IF(עזר!L2599="","",INDEX(עזר!$B$2:$B$5001,עזר!L2599))</f>
        <v/>
      </c>
      <c r="C2599" s="13" t="str">
        <f aca="false">עזר!M2599</f>
        <v/>
      </c>
    </row>
    <row r="2600" customFormat="false" ht="15" hidden="false" customHeight="false" outlineLevel="0" collapsed="false">
      <c r="A2600" s="13" t="str">
        <f aca="false">IF(עזר!L2600="","",INDEX(עזר!$A$2:$A$5001,עזר!L2600))</f>
        <v/>
      </c>
      <c r="B2600" s="13" t="str">
        <f aca="false">IF(עזר!L2600="","",INDEX(עזר!$B$2:$B$5001,עזר!L2600))</f>
        <v/>
      </c>
      <c r="C2600" s="13" t="str">
        <f aca="false">עזר!M2600</f>
        <v/>
      </c>
    </row>
    <row r="2601" customFormat="false" ht="15" hidden="false" customHeight="false" outlineLevel="0" collapsed="false">
      <c r="A2601" s="13" t="str">
        <f aca="false">IF(עזר!L2601="","",INDEX(עזר!$A$2:$A$5001,עזר!L2601))</f>
        <v/>
      </c>
      <c r="B2601" s="13" t="str">
        <f aca="false">IF(עזר!L2601="","",INDEX(עזר!$B$2:$B$5001,עזר!L2601))</f>
        <v/>
      </c>
      <c r="C2601" s="13" t="str">
        <f aca="false">עזר!M2601</f>
        <v/>
      </c>
    </row>
    <row r="2602" customFormat="false" ht="15" hidden="false" customHeight="false" outlineLevel="0" collapsed="false">
      <c r="A2602" s="13" t="str">
        <f aca="false">IF(עזר!L2602="","",INDEX(עזר!$A$2:$A$5001,עזר!L2602))</f>
        <v/>
      </c>
      <c r="B2602" s="13" t="str">
        <f aca="false">IF(עזר!L2602="","",INDEX(עזר!$B$2:$B$5001,עזר!L2602))</f>
        <v/>
      </c>
      <c r="C2602" s="13" t="str">
        <f aca="false">עזר!M2602</f>
        <v/>
      </c>
    </row>
    <row r="2603" customFormat="false" ht="15" hidden="false" customHeight="false" outlineLevel="0" collapsed="false">
      <c r="A2603" s="13" t="str">
        <f aca="false">IF(עזר!L2603="","",INDEX(עזר!$A$2:$A$5001,עזר!L2603))</f>
        <v/>
      </c>
      <c r="B2603" s="13" t="str">
        <f aca="false">IF(עזר!L2603="","",INDEX(עזר!$B$2:$B$5001,עזר!L2603))</f>
        <v/>
      </c>
      <c r="C2603" s="13" t="str">
        <f aca="false">עזר!M2603</f>
        <v/>
      </c>
    </row>
    <row r="2604" customFormat="false" ht="15" hidden="false" customHeight="false" outlineLevel="0" collapsed="false">
      <c r="A2604" s="13" t="str">
        <f aca="false">IF(עזר!L2604="","",INDEX(עזר!$A$2:$A$5001,עזר!L2604))</f>
        <v/>
      </c>
      <c r="B2604" s="13" t="str">
        <f aca="false">IF(עזר!L2604="","",INDEX(עזר!$B$2:$B$5001,עזר!L2604))</f>
        <v/>
      </c>
      <c r="C2604" s="13" t="str">
        <f aca="false">עזר!M2604</f>
        <v/>
      </c>
    </row>
    <row r="2605" customFormat="false" ht="15" hidden="false" customHeight="false" outlineLevel="0" collapsed="false">
      <c r="A2605" s="13" t="str">
        <f aca="false">IF(עזר!L2605="","",INDEX(עזר!$A$2:$A$5001,עזר!L2605))</f>
        <v/>
      </c>
      <c r="B2605" s="13" t="str">
        <f aca="false">IF(עזר!L2605="","",INDEX(עזר!$B$2:$B$5001,עזר!L2605))</f>
        <v/>
      </c>
      <c r="C2605" s="13" t="str">
        <f aca="false">עזר!M2605</f>
        <v/>
      </c>
    </row>
    <row r="2606" customFormat="false" ht="15" hidden="false" customHeight="false" outlineLevel="0" collapsed="false">
      <c r="A2606" s="13" t="str">
        <f aca="false">IF(עזר!L2606="","",INDEX(עזר!$A$2:$A$5001,עזר!L2606))</f>
        <v/>
      </c>
      <c r="B2606" s="13" t="str">
        <f aca="false">IF(עזר!L2606="","",INDEX(עזר!$B$2:$B$5001,עזר!L2606))</f>
        <v/>
      </c>
      <c r="C2606" s="13" t="str">
        <f aca="false">עזר!M2606</f>
        <v/>
      </c>
    </row>
    <row r="2607" customFormat="false" ht="15" hidden="false" customHeight="false" outlineLevel="0" collapsed="false">
      <c r="A2607" s="13" t="str">
        <f aca="false">IF(עזר!L2607="","",INDEX(עזר!$A$2:$A$5001,עזר!L2607))</f>
        <v/>
      </c>
      <c r="B2607" s="13" t="str">
        <f aca="false">IF(עזר!L2607="","",INDEX(עזר!$B$2:$B$5001,עזר!L2607))</f>
        <v/>
      </c>
      <c r="C2607" s="13" t="str">
        <f aca="false">עזר!M2607</f>
        <v/>
      </c>
    </row>
    <row r="2608" customFormat="false" ht="15" hidden="false" customHeight="false" outlineLevel="0" collapsed="false">
      <c r="A2608" s="13" t="str">
        <f aca="false">IF(עזר!L2608="","",INDEX(עזר!$A$2:$A$5001,עזר!L2608))</f>
        <v/>
      </c>
      <c r="B2608" s="13" t="str">
        <f aca="false">IF(עזר!L2608="","",INDEX(עזר!$B$2:$B$5001,עזר!L2608))</f>
        <v/>
      </c>
      <c r="C2608" s="13" t="str">
        <f aca="false">עזר!M2608</f>
        <v/>
      </c>
    </row>
    <row r="2609" customFormat="false" ht="15" hidden="false" customHeight="false" outlineLevel="0" collapsed="false">
      <c r="A2609" s="13" t="str">
        <f aca="false">IF(עזר!L2609="","",INDEX(עזר!$A$2:$A$5001,עזר!L2609))</f>
        <v/>
      </c>
      <c r="B2609" s="13" t="str">
        <f aca="false">IF(עזר!L2609="","",INDEX(עזר!$B$2:$B$5001,עזר!L2609))</f>
        <v/>
      </c>
      <c r="C2609" s="13" t="str">
        <f aca="false">עזר!M2609</f>
        <v/>
      </c>
    </row>
    <row r="2610" customFormat="false" ht="15" hidden="false" customHeight="false" outlineLevel="0" collapsed="false">
      <c r="A2610" s="13" t="str">
        <f aca="false">IF(עזר!L2610="","",INDEX(עזר!$A$2:$A$5001,עזר!L2610))</f>
        <v/>
      </c>
      <c r="B2610" s="13" t="str">
        <f aca="false">IF(עזר!L2610="","",INDEX(עזר!$B$2:$B$5001,עזר!L2610))</f>
        <v/>
      </c>
      <c r="C2610" s="13" t="str">
        <f aca="false">עזר!M2610</f>
        <v/>
      </c>
    </row>
    <row r="2611" customFormat="false" ht="15" hidden="false" customHeight="false" outlineLevel="0" collapsed="false">
      <c r="A2611" s="13" t="str">
        <f aca="false">IF(עזר!L2611="","",INDEX(עזר!$A$2:$A$5001,עזר!L2611))</f>
        <v/>
      </c>
      <c r="B2611" s="13" t="str">
        <f aca="false">IF(עזר!L2611="","",INDEX(עזר!$B$2:$B$5001,עזר!L2611))</f>
        <v/>
      </c>
      <c r="C2611" s="13" t="str">
        <f aca="false">עזר!M2611</f>
        <v/>
      </c>
    </row>
    <row r="2612" customFormat="false" ht="15" hidden="false" customHeight="false" outlineLevel="0" collapsed="false">
      <c r="A2612" s="13" t="str">
        <f aca="false">IF(עזר!L2612="","",INDEX(עזר!$A$2:$A$5001,עזר!L2612))</f>
        <v/>
      </c>
      <c r="B2612" s="13" t="str">
        <f aca="false">IF(עזר!L2612="","",INDEX(עזר!$B$2:$B$5001,עזר!L2612))</f>
        <v/>
      </c>
      <c r="C2612" s="13" t="str">
        <f aca="false">עזר!M2612</f>
        <v/>
      </c>
    </row>
    <row r="2613" customFormat="false" ht="15" hidden="false" customHeight="false" outlineLevel="0" collapsed="false">
      <c r="A2613" s="13" t="str">
        <f aca="false">IF(עזר!L2613="","",INDEX(עזר!$A$2:$A$5001,עזר!L2613))</f>
        <v/>
      </c>
      <c r="B2613" s="13" t="str">
        <f aca="false">IF(עזר!L2613="","",INDEX(עזר!$B$2:$B$5001,עזר!L2613))</f>
        <v/>
      </c>
      <c r="C2613" s="13" t="str">
        <f aca="false">עזר!M2613</f>
        <v/>
      </c>
    </row>
    <row r="2614" customFormat="false" ht="15" hidden="false" customHeight="false" outlineLevel="0" collapsed="false">
      <c r="A2614" s="13" t="str">
        <f aca="false">IF(עזר!L2614="","",INDEX(עזר!$A$2:$A$5001,עזר!L2614))</f>
        <v/>
      </c>
      <c r="B2614" s="13" t="str">
        <f aca="false">IF(עזר!L2614="","",INDEX(עזר!$B$2:$B$5001,עזר!L2614))</f>
        <v/>
      </c>
      <c r="C2614" s="13" t="str">
        <f aca="false">עזר!M2614</f>
        <v/>
      </c>
    </row>
    <row r="2615" customFormat="false" ht="15" hidden="false" customHeight="false" outlineLevel="0" collapsed="false">
      <c r="A2615" s="13" t="str">
        <f aca="false">IF(עזר!L2615="","",INDEX(עזר!$A$2:$A$5001,עזר!L2615))</f>
        <v/>
      </c>
      <c r="B2615" s="13" t="str">
        <f aca="false">IF(עזר!L2615="","",INDEX(עזר!$B$2:$B$5001,עזר!L2615))</f>
        <v/>
      </c>
      <c r="C2615" s="13" t="str">
        <f aca="false">עזר!M2615</f>
        <v/>
      </c>
    </row>
    <row r="2616" customFormat="false" ht="15" hidden="false" customHeight="false" outlineLevel="0" collapsed="false">
      <c r="A2616" s="13" t="str">
        <f aca="false">IF(עזר!L2616="","",INDEX(עזר!$A$2:$A$5001,עזר!L2616))</f>
        <v/>
      </c>
      <c r="B2616" s="13" t="str">
        <f aca="false">IF(עזר!L2616="","",INDEX(עזר!$B$2:$B$5001,עזר!L2616))</f>
        <v/>
      </c>
      <c r="C2616" s="13" t="str">
        <f aca="false">עזר!M2616</f>
        <v/>
      </c>
    </row>
    <row r="2617" customFormat="false" ht="15" hidden="false" customHeight="false" outlineLevel="0" collapsed="false">
      <c r="A2617" s="13" t="str">
        <f aca="false">IF(עזר!L2617="","",INDEX(עזר!$A$2:$A$5001,עזר!L2617))</f>
        <v/>
      </c>
      <c r="B2617" s="13" t="str">
        <f aca="false">IF(עזר!L2617="","",INDEX(עזר!$B$2:$B$5001,עזר!L2617))</f>
        <v/>
      </c>
      <c r="C2617" s="13" t="str">
        <f aca="false">עזר!M2617</f>
        <v/>
      </c>
    </row>
    <row r="2618" customFormat="false" ht="15" hidden="false" customHeight="false" outlineLevel="0" collapsed="false">
      <c r="A2618" s="13" t="str">
        <f aca="false">IF(עזר!L2618="","",INDEX(עזר!$A$2:$A$5001,עזר!L2618))</f>
        <v/>
      </c>
      <c r="B2618" s="13" t="str">
        <f aca="false">IF(עזר!L2618="","",INDEX(עזר!$B$2:$B$5001,עזר!L2618))</f>
        <v/>
      </c>
      <c r="C2618" s="13" t="str">
        <f aca="false">עזר!M2618</f>
        <v/>
      </c>
    </row>
    <row r="2619" customFormat="false" ht="15" hidden="false" customHeight="false" outlineLevel="0" collapsed="false">
      <c r="A2619" s="13" t="str">
        <f aca="false">IF(עזר!L2619="","",INDEX(עזר!$A$2:$A$5001,עזר!L2619))</f>
        <v/>
      </c>
      <c r="B2619" s="13" t="str">
        <f aca="false">IF(עזר!L2619="","",INDEX(עזר!$B$2:$B$5001,עזר!L2619))</f>
        <v/>
      </c>
      <c r="C2619" s="13" t="str">
        <f aca="false">עזר!M2619</f>
        <v/>
      </c>
    </row>
    <row r="2620" customFormat="false" ht="15" hidden="false" customHeight="false" outlineLevel="0" collapsed="false">
      <c r="A2620" s="13" t="str">
        <f aca="false">IF(עזר!L2620="","",INDEX(עזר!$A$2:$A$5001,עזר!L2620))</f>
        <v/>
      </c>
      <c r="B2620" s="13" t="str">
        <f aca="false">IF(עזר!L2620="","",INDEX(עזר!$B$2:$B$5001,עזר!L2620))</f>
        <v/>
      </c>
      <c r="C2620" s="13" t="str">
        <f aca="false">עזר!M2620</f>
        <v/>
      </c>
    </row>
    <row r="2621" customFormat="false" ht="15" hidden="false" customHeight="false" outlineLevel="0" collapsed="false">
      <c r="A2621" s="13" t="str">
        <f aca="false">IF(עזר!L2621="","",INDEX(עזר!$A$2:$A$5001,עזר!L2621))</f>
        <v/>
      </c>
      <c r="B2621" s="13" t="str">
        <f aca="false">IF(עזר!L2621="","",INDEX(עזר!$B$2:$B$5001,עזר!L2621))</f>
        <v/>
      </c>
      <c r="C2621" s="13" t="str">
        <f aca="false">עזר!M2621</f>
        <v/>
      </c>
    </row>
    <row r="2622" customFormat="false" ht="15" hidden="false" customHeight="false" outlineLevel="0" collapsed="false">
      <c r="A2622" s="13" t="str">
        <f aca="false">IF(עזר!L2622="","",INDEX(עזר!$A$2:$A$5001,עזר!L2622))</f>
        <v/>
      </c>
      <c r="B2622" s="13" t="str">
        <f aca="false">IF(עזר!L2622="","",INDEX(עזר!$B$2:$B$5001,עזר!L2622))</f>
        <v/>
      </c>
      <c r="C2622" s="13" t="str">
        <f aca="false">עזר!M2622</f>
        <v/>
      </c>
    </row>
    <row r="2623" customFormat="false" ht="15" hidden="false" customHeight="false" outlineLevel="0" collapsed="false">
      <c r="A2623" s="13" t="str">
        <f aca="false">IF(עזר!L2623="","",INDEX(עזר!$A$2:$A$5001,עזר!L2623))</f>
        <v/>
      </c>
      <c r="B2623" s="13" t="str">
        <f aca="false">IF(עזר!L2623="","",INDEX(עזר!$B$2:$B$5001,עזר!L2623))</f>
        <v/>
      </c>
      <c r="C2623" s="13" t="str">
        <f aca="false">עזר!M2623</f>
        <v/>
      </c>
    </row>
    <row r="2624" customFormat="false" ht="15" hidden="false" customHeight="false" outlineLevel="0" collapsed="false">
      <c r="A2624" s="13" t="str">
        <f aca="false">IF(עזר!L2624="","",INDEX(עזר!$A$2:$A$5001,עזר!L2624))</f>
        <v/>
      </c>
      <c r="B2624" s="13" t="str">
        <f aca="false">IF(עזר!L2624="","",INDEX(עזר!$B$2:$B$5001,עזר!L2624))</f>
        <v/>
      </c>
      <c r="C2624" s="13" t="str">
        <f aca="false">עזר!M2624</f>
        <v/>
      </c>
    </row>
    <row r="2625" customFormat="false" ht="15" hidden="false" customHeight="false" outlineLevel="0" collapsed="false">
      <c r="A2625" s="13" t="str">
        <f aca="false">IF(עזר!L2625="","",INDEX(עזר!$A$2:$A$5001,עזר!L2625))</f>
        <v/>
      </c>
      <c r="B2625" s="13" t="str">
        <f aca="false">IF(עזר!L2625="","",INDEX(עזר!$B$2:$B$5001,עזר!L2625))</f>
        <v/>
      </c>
      <c r="C2625" s="13" t="str">
        <f aca="false">עזר!M2625</f>
        <v/>
      </c>
    </row>
    <row r="2626" customFormat="false" ht="15" hidden="false" customHeight="false" outlineLevel="0" collapsed="false">
      <c r="A2626" s="13" t="str">
        <f aca="false">IF(עזר!L2626="","",INDEX(עזר!$A$2:$A$5001,עזר!L2626))</f>
        <v/>
      </c>
      <c r="B2626" s="13" t="str">
        <f aca="false">IF(עזר!L2626="","",INDEX(עזר!$B$2:$B$5001,עזר!L2626))</f>
        <v/>
      </c>
      <c r="C2626" s="13" t="str">
        <f aca="false">עזר!M2626</f>
        <v/>
      </c>
    </row>
    <row r="2627" customFormat="false" ht="15" hidden="false" customHeight="false" outlineLevel="0" collapsed="false">
      <c r="A2627" s="13" t="str">
        <f aca="false">IF(עזר!L2627="","",INDEX(עזר!$A$2:$A$5001,עזר!L2627))</f>
        <v/>
      </c>
      <c r="B2627" s="13" t="str">
        <f aca="false">IF(עזר!L2627="","",INDEX(עזר!$B$2:$B$5001,עזר!L2627))</f>
        <v/>
      </c>
      <c r="C2627" s="13" t="str">
        <f aca="false">עזר!M2627</f>
        <v/>
      </c>
    </row>
    <row r="2628" customFormat="false" ht="15" hidden="false" customHeight="false" outlineLevel="0" collapsed="false">
      <c r="A2628" s="13" t="str">
        <f aca="false">IF(עזר!L2628="","",INDEX(עזר!$A$2:$A$5001,עזר!L2628))</f>
        <v/>
      </c>
      <c r="B2628" s="13" t="str">
        <f aca="false">IF(עזר!L2628="","",INDEX(עזר!$B$2:$B$5001,עזר!L2628))</f>
        <v/>
      </c>
      <c r="C2628" s="13" t="str">
        <f aca="false">עזר!M2628</f>
        <v/>
      </c>
    </row>
    <row r="2629" customFormat="false" ht="15" hidden="false" customHeight="false" outlineLevel="0" collapsed="false">
      <c r="A2629" s="13" t="str">
        <f aca="false">IF(עזר!L2629="","",INDEX(עזר!$A$2:$A$5001,עזר!L2629))</f>
        <v/>
      </c>
      <c r="B2629" s="13" t="str">
        <f aca="false">IF(עזר!L2629="","",INDEX(עזר!$B$2:$B$5001,עזר!L2629))</f>
        <v/>
      </c>
      <c r="C2629" s="13" t="str">
        <f aca="false">עזר!M2629</f>
        <v/>
      </c>
    </row>
    <row r="2630" customFormat="false" ht="15" hidden="false" customHeight="false" outlineLevel="0" collapsed="false">
      <c r="A2630" s="13" t="str">
        <f aca="false">IF(עזר!L2630="","",INDEX(עזר!$A$2:$A$5001,עזר!L2630))</f>
        <v/>
      </c>
      <c r="B2630" s="13" t="str">
        <f aca="false">IF(עזר!L2630="","",INDEX(עזר!$B$2:$B$5001,עזר!L2630))</f>
        <v/>
      </c>
      <c r="C2630" s="13" t="str">
        <f aca="false">עזר!M2630</f>
        <v/>
      </c>
    </row>
    <row r="2631" customFormat="false" ht="15" hidden="false" customHeight="false" outlineLevel="0" collapsed="false">
      <c r="A2631" s="13" t="str">
        <f aca="false">IF(עזר!L2631="","",INDEX(עזר!$A$2:$A$5001,עזר!L2631))</f>
        <v/>
      </c>
      <c r="B2631" s="13" t="str">
        <f aca="false">IF(עזר!L2631="","",INDEX(עזר!$B$2:$B$5001,עזר!L2631))</f>
        <v/>
      </c>
      <c r="C2631" s="13" t="str">
        <f aca="false">עזר!M2631</f>
        <v/>
      </c>
    </row>
    <row r="2632" customFormat="false" ht="15" hidden="false" customHeight="false" outlineLevel="0" collapsed="false">
      <c r="A2632" s="13" t="str">
        <f aca="false">IF(עזר!L2632="","",INDEX(עזר!$A$2:$A$5001,עזר!L2632))</f>
        <v/>
      </c>
      <c r="B2632" s="13" t="str">
        <f aca="false">IF(עזר!L2632="","",INDEX(עזר!$B$2:$B$5001,עזר!L2632))</f>
        <v/>
      </c>
      <c r="C2632" s="13" t="str">
        <f aca="false">עזר!M2632</f>
        <v/>
      </c>
    </row>
    <row r="2633" customFormat="false" ht="15" hidden="false" customHeight="false" outlineLevel="0" collapsed="false">
      <c r="A2633" s="13" t="str">
        <f aca="false">IF(עזר!L2633="","",INDEX(עזר!$A$2:$A$5001,עזר!L2633))</f>
        <v/>
      </c>
      <c r="B2633" s="13" t="str">
        <f aca="false">IF(עזר!L2633="","",INDEX(עזר!$B$2:$B$5001,עזר!L2633))</f>
        <v/>
      </c>
      <c r="C2633" s="13" t="str">
        <f aca="false">עזר!M2633</f>
        <v/>
      </c>
    </row>
    <row r="2634" customFormat="false" ht="15" hidden="false" customHeight="false" outlineLevel="0" collapsed="false">
      <c r="A2634" s="13" t="str">
        <f aca="false">IF(עזר!L2634="","",INDEX(עזר!$A$2:$A$5001,עזר!L2634))</f>
        <v/>
      </c>
      <c r="B2634" s="13" t="str">
        <f aca="false">IF(עזר!L2634="","",INDEX(עזר!$B$2:$B$5001,עזר!L2634))</f>
        <v/>
      </c>
      <c r="C2634" s="13" t="str">
        <f aca="false">עזר!M2634</f>
        <v/>
      </c>
    </row>
    <row r="2635" customFormat="false" ht="15" hidden="false" customHeight="false" outlineLevel="0" collapsed="false">
      <c r="A2635" s="13" t="str">
        <f aca="false">IF(עזר!L2635="","",INDEX(עזר!$A$2:$A$5001,עזר!L2635))</f>
        <v/>
      </c>
      <c r="B2635" s="13" t="str">
        <f aca="false">IF(עזר!L2635="","",INDEX(עזר!$B$2:$B$5001,עזר!L2635))</f>
        <v/>
      </c>
      <c r="C2635" s="13" t="str">
        <f aca="false">עזר!M2635</f>
        <v/>
      </c>
    </row>
    <row r="2636" customFormat="false" ht="15" hidden="false" customHeight="false" outlineLevel="0" collapsed="false">
      <c r="A2636" s="13" t="str">
        <f aca="false">IF(עזר!L2636="","",INDEX(עזר!$A$2:$A$5001,עזר!L2636))</f>
        <v/>
      </c>
      <c r="B2636" s="13" t="str">
        <f aca="false">IF(עזר!L2636="","",INDEX(עזר!$B$2:$B$5001,עזר!L2636))</f>
        <v/>
      </c>
      <c r="C2636" s="13" t="str">
        <f aca="false">עזר!M2636</f>
        <v/>
      </c>
    </row>
    <row r="2637" customFormat="false" ht="15" hidden="false" customHeight="false" outlineLevel="0" collapsed="false">
      <c r="A2637" s="13" t="str">
        <f aca="false">IF(עזר!L2637="","",INDEX(עזר!$A$2:$A$5001,עזר!L2637))</f>
        <v/>
      </c>
      <c r="B2637" s="13" t="str">
        <f aca="false">IF(עזר!L2637="","",INDEX(עזר!$B$2:$B$5001,עזר!L2637))</f>
        <v/>
      </c>
      <c r="C2637" s="13" t="str">
        <f aca="false">עזר!M2637</f>
        <v/>
      </c>
    </row>
    <row r="2638" customFormat="false" ht="15" hidden="false" customHeight="false" outlineLevel="0" collapsed="false">
      <c r="A2638" s="13" t="str">
        <f aca="false">IF(עזר!L2638="","",INDEX(עזר!$A$2:$A$5001,עזר!L2638))</f>
        <v/>
      </c>
      <c r="B2638" s="13" t="str">
        <f aca="false">IF(עזר!L2638="","",INDEX(עזר!$B$2:$B$5001,עזר!L2638))</f>
        <v/>
      </c>
      <c r="C2638" s="13" t="str">
        <f aca="false">עזר!M2638</f>
        <v/>
      </c>
    </row>
    <row r="2639" customFormat="false" ht="15" hidden="false" customHeight="false" outlineLevel="0" collapsed="false">
      <c r="A2639" s="13" t="str">
        <f aca="false">IF(עזר!L2639="","",INDEX(עזר!$A$2:$A$5001,עזר!L2639))</f>
        <v/>
      </c>
      <c r="B2639" s="13" t="str">
        <f aca="false">IF(עזר!L2639="","",INDEX(עזר!$B$2:$B$5001,עזר!L2639))</f>
        <v/>
      </c>
      <c r="C2639" s="13" t="str">
        <f aca="false">עזר!M2639</f>
        <v/>
      </c>
    </row>
    <row r="2640" customFormat="false" ht="15" hidden="false" customHeight="false" outlineLevel="0" collapsed="false">
      <c r="A2640" s="13" t="str">
        <f aca="false">IF(עזר!L2640="","",INDEX(עזר!$A$2:$A$5001,עזר!L2640))</f>
        <v/>
      </c>
      <c r="B2640" s="13" t="str">
        <f aca="false">IF(עזר!L2640="","",INDEX(עזר!$B$2:$B$5001,עזר!L2640))</f>
        <v/>
      </c>
      <c r="C2640" s="13" t="str">
        <f aca="false">עזר!M2640</f>
        <v/>
      </c>
    </row>
    <row r="2641" customFormat="false" ht="15" hidden="false" customHeight="false" outlineLevel="0" collapsed="false">
      <c r="A2641" s="13" t="str">
        <f aca="false">IF(עזר!L2641="","",INDEX(עזר!$A$2:$A$5001,עזר!L2641))</f>
        <v/>
      </c>
      <c r="B2641" s="13" t="str">
        <f aca="false">IF(עזר!L2641="","",INDEX(עזר!$B$2:$B$5001,עזר!L2641))</f>
        <v/>
      </c>
      <c r="C2641" s="13" t="str">
        <f aca="false">עזר!M2641</f>
        <v/>
      </c>
    </row>
    <row r="2642" customFormat="false" ht="15" hidden="false" customHeight="false" outlineLevel="0" collapsed="false">
      <c r="A2642" s="13" t="str">
        <f aca="false">IF(עזר!L2642="","",INDEX(עזר!$A$2:$A$5001,עזר!L2642))</f>
        <v/>
      </c>
      <c r="B2642" s="13" t="str">
        <f aca="false">IF(עזר!L2642="","",INDEX(עזר!$B$2:$B$5001,עזר!L2642))</f>
        <v/>
      </c>
      <c r="C2642" s="13" t="str">
        <f aca="false">עזר!M2642</f>
        <v/>
      </c>
    </row>
    <row r="2643" customFormat="false" ht="15" hidden="false" customHeight="false" outlineLevel="0" collapsed="false">
      <c r="A2643" s="13" t="str">
        <f aca="false">IF(עזר!L2643="","",INDEX(עזר!$A$2:$A$5001,עזר!L2643))</f>
        <v/>
      </c>
      <c r="B2643" s="13" t="str">
        <f aca="false">IF(עזר!L2643="","",INDEX(עזר!$B$2:$B$5001,עזר!L2643))</f>
        <v/>
      </c>
      <c r="C2643" s="13" t="str">
        <f aca="false">עזר!M2643</f>
        <v/>
      </c>
    </row>
    <row r="2644" customFormat="false" ht="15" hidden="false" customHeight="false" outlineLevel="0" collapsed="false">
      <c r="A2644" s="13" t="str">
        <f aca="false">IF(עזר!L2644="","",INDEX(עזר!$A$2:$A$5001,עזר!L2644))</f>
        <v/>
      </c>
      <c r="B2644" s="13" t="str">
        <f aca="false">IF(עזר!L2644="","",INDEX(עזר!$B$2:$B$5001,עזר!L2644))</f>
        <v/>
      </c>
      <c r="C2644" s="13" t="str">
        <f aca="false">עזר!M2644</f>
        <v/>
      </c>
    </row>
    <row r="2645" customFormat="false" ht="15" hidden="false" customHeight="false" outlineLevel="0" collapsed="false">
      <c r="A2645" s="13" t="str">
        <f aca="false">IF(עזר!L2645="","",INDEX(עזר!$A$2:$A$5001,עזר!L2645))</f>
        <v/>
      </c>
      <c r="B2645" s="13" t="str">
        <f aca="false">IF(עזר!L2645="","",INDEX(עזר!$B$2:$B$5001,עזר!L2645))</f>
        <v/>
      </c>
      <c r="C2645" s="13" t="str">
        <f aca="false">עזר!M2645</f>
        <v/>
      </c>
    </row>
    <row r="2646" customFormat="false" ht="15" hidden="false" customHeight="false" outlineLevel="0" collapsed="false">
      <c r="A2646" s="13" t="str">
        <f aca="false">IF(עזר!L2646="","",INDEX(עזר!$A$2:$A$5001,עזר!L2646))</f>
        <v/>
      </c>
      <c r="B2646" s="13" t="str">
        <f aca="false">IF(עזר!L2646="","",INDEX(עזר!$B$2:$B$5001,עזר!L2646))</f>
        <v/>
      </c>
      <c r="C2646" s="13" t="str">
        <f aca="false">עזר!M2646</f>
        <v/>
      </c>
    </row>
    <row r="2647" customFormat="false" ht="15" hidden="false" customHeight="false" outlineLevel="0" collapsed="false">
      <c r="A2647" s="13" t="str">
        <f aca="false">IF(עזר!L2647="","",INDEX(עזר!$A$2:$A$5001,עזר!L2647))</f>
        <v/>
      </c>
      <c r="B2647" s="13" t="str">
        <f aca="false">IF(עזר!L2647="","",INDEX(עזר!$B$2:$B$5001,עזר!L2647))</f>
        <v/>
      </c>
      <c r="C2647" s="13" t="str">
        <f aca="false">עזר!M2647</f>
        <v/>
      </c>
    </row>
    <row r="2648" customFormat="false" ht="15" hidden="false" customHeight="false" outlineLevel="0" collapsed="false">
      <c r="A2648" s="13" t="str">
        <f aca="false">IF(עזר!L2648="","",INDEX(עזר!$A$2:$A$5001,עזר!L2648))</f>
        <v/>
      </c>
      <c r="B2648" s="13" t="str">
        <f aca="false">IF(עזר!L2648="","",INDEX(עזר!$B$2:$B$5001,עזר!L2648))</f>
        <v/>
      </c>
      <c r="C2648" s="13" t="str">
        <f aca="false">עזר!M2648</f>
        <v/>
      </c>
    </row>
    <row r="2649" customFormat="false" ht="15" hidden="false" customHeight="false" outlineLevel="0" collapsed="false">
      <c r="A2649" s="13" t="str">
        <f aca="false">IF(עזר!L2649="","",INDEX(עזר!$A$2:$A$5001,עזר!L2649))</f>
        <v/>
      </c>
      <c r="B2649" s="13" t="str">
        <f aca="false">IF(עזר!L2649="","",INDEX(עזר!$B$2:$B$5001,עזר!L2649))</f>
        <v/>
      </c>
      <c r="C2649" s="13" t="str">
        <f aca="false">עזר!M2649</f>
        <v/>
      </c>
    </row>
    <row r="2650" customFormat="false" ht="15" hidden="false" customHeight="false" outlineLevel="0" collapsed="false">
      <c r="A2650" s="13" t="str">
        <f aca="false">IF(עזר!L2650="","",INDEX(עזר!$A$2:$A$5001,עזר!L2650))</f>
        <v/>
      </c>
      <c r="B2650" s="13" t="str">
        <f aca="false">IF(עזר!L2650="","",INDEX(עזר!$B$2:$B$5001,עזר!L2650))</f>
        <v/>
      </c>
      <c r="C2650" s="13" t="str">
        <f aca="false">עזר!M2650</f>
        <v/>
      </c>
    </row>
    <row r="2651" customFormat="false" ht="15" hidden="false" customHeight="false" outlineLevel="0" collapsed="false">
      <c r="A2651" s="13" t="str">
        <f aca="false">IF(עזר!L2651="","",INDEX(עזר!$A$2:$A$5001,עזר!L2651))</f>
        <v/>
      </c>
      <c r="B2651" s="13" t="str">
        <f aca="false">IF(עזר!L2651="","",INDEX(עזר!$B$2:$B$5001,עזר!L2651))</f>
        <v/>
      </c>
      <c r="C2651" s="13" t="str">
        <f aca="false">עזר!M2651</f>
        <v/>
      </c>
    </row>
    <row r="2652" customFormat="false" ht="15" hidden="false" customHeight="false" outlineLevel="0" collapsed="false">
      <c r="A2652" s="13" t="str">
        <f aca="false">IF(עזר!L2652="","",INDEX(עזר!$A$2:$A$5001,עזר!L2652))</f>
        <v/>
      </c>
      <c r="B2652" s="13" t="str">
        <f aca="false">IF(עזר!L2652="","",INDEX(עזר!$B$2:$B$5001,עזר!L2652))</f>
        <v/>
      </c>
      <c r="C2652" s="13" t="str">
        <f aca="false">עזר!M2652</f>
        <v/>
      </c>
    </row>
    <row r="2653" customFormat="false" ht="15" hidden="false" customHeight="false" outlineLevel="0" collapsed="false">
      <c r="A2653" s="13" t="str">
        <f aca="false">IF(עזר!L2653="","",INDEX(עזר!$A$2:$A$5001,עזר!L2653))</f>
        <v/>
      </c>
      <c r="B2653" s="13" t="str">
        <f aca="false">IF(עזר!L2653="","",INDEX(עזר!$B$2:$B$5001,עזר!L2653))</f>
        <v/>
      </c>
      <c r="C2653" s="13" t="str">
        <f aca="false">עזר!M2653</f>
        <v/>
      </c>
    </row>
    <row r="2654" customFormat="false" ht="15" hidden="false" customHeight="false" outlineLevel="0" collapsed="false">
      <c r="A2654" s="13" t="str">
        <f aca="false">IF(עזר!L2654="","",INDEX(עזר!$A$2:$A$5001,עזר!L2654))</f>
        <v/>
      </c>
      <c r="B2654" s="13" t="str">
        <f aca="false">IF(עזר!L2654="","",INDEX(עזר!$B$2:$B$5001,עזר!L2654))</f>
        <v/>
      </c>
      <c r="C2654" s="13" t="str">
        <f aca="false">עזר!M2654</f>
        <v/>
      </c>
    </row>
    <row r="2655" customFormat="false" ht="15" hidden="false" customHeight="false" outlineLevel="0" collapsed="false">
      <c r="A2655" s="13" t="str">
        <f aca="false">IF(עזר!L2655="","",INDEX(עזר!$A$2:$A$5001,עזר!L2655))</f>
        <v/>
      </c>
      <c r="B2655" s="13" t="str">
        <f aca="false">IF(עזר!L2655="","",INDEX(עזר!$B$2:$B$5001,עזר!L2655))</f>
        <v/>
      </c>
      <c r="C2655" s="13" t="str">
        <f aca="false">עזר!M2655</f>
        <v/>
      </c>
    </row>
    <row r="2656" customFormat="false" ht="15" hidden="false" customHeight="false" outlineLevel="0" collapsed="false">
      <c r="A2656" s="13" t="str">
        <f aca="false">IF(עזר!L2656="","",INDEX(עזר!$A$2:$A$5001,עזר!L2656))</f>
        <v/>
      </c>
      <c r="B2656" s="13" t="str">
        <f aca="false">IF(עזר!L2656="","",INDEX(עזר!$B$2:$B$5001,עזר!L2656))</f>
        <v/>
      </c>
      <c r="C2656" s="13" t="str">
        <f aca="false">עזר!M2656</f>
        <v/>
      </c>
    </row>
    <row r="2657" customFormat="false" ht="15" hidden="false" customHeight="false" outlineLevel="0" collapsed="false">
      <c r="A2657" s="13" t="str">
        <f aca="false">IF(עזר!L2657="","",INDEX(עזר!$A$2:$A$5001,עזר!L2657))</f>
        <v/>
      </c>
      <c r="B2657" s="13" t="str">
        <f aca="false">IF(עזר!L2657="","",INDEX(עזר!$B$2:$B$5001,עזר!L2657))</f>
        <v/>
      </c>
      <c r="C2657" s="13" t="str">
        <f aca="false">עזר!M2657</f>
        <v/>
      </c>
    </row>
    <row r="2658" customFormat="false" ht="15" hidden="false" customHeight="false" outlineLevel="0" collapsed="false">
      <c r="A2658" s="13" t="str">
        <f aca="false">IF(עזר!L2658="","",INDEX(עזר!$A$2:$A$5001,עזר!L2658))</f>
        <v/>
      </c>
      <c r="B2658" s="13" t="str">
        <f aca="false">IF(עזר!L2658="","",INDEX(עזר!$B$2:$B$5001,עזר!L2658))</f>
        <v/>
      </c>
      <c r="C2658" s="13" t="str">
        <f aca="false">עזר!M2658</f>
        <v/>
      </c>
    </row>
    <row r="2659" customFormat="false" ht="15" hidden="false" customHeight="false" outlineLevel="0" collapsed="false">
      <c r="A2659" s="13" t="str">
        <f aca="false">IF(עזר!L2659="","",INDEX(עזר!$A$2:$A$5001,עזר!L2659))</f>
        <v/>
      </c>
      <c r="B2659" s="13" t="str">
        <f aca="false">IF(עזר!L2659="","",INDEX(עזר!$B$2:$B$5001,עזר!L2659))</f>
        <v/>
      </c>
      <c r="C2659" s="13" t="str">
        <f aca="false">עזר!M2659</f>
        <v/>
      </c>
    </row>
    <row r="2660" customFormat="false" ht="15" hidden="false" customHeight="false" outlineLevel="0" collapsed="false">
      <c r="A2660" s="13" t="str">
        <f aca="false">IF(עזר!L2660="","",INDEX(עזר!$A$2:$A$5001,עזר!L2660))</f>
        <v/>
      </c>
      <c r="B2660" s="13" t="str">
        <f aca="false">IF(עזר!L2660="","",INDEX(עזר!$B$2:$B$5001,עזר!L2660))</f>
        <v/>
      </c>
      <c r="C2660" s="13" t="str">
        <f aca="false">עזר!M2660</f>
        <v/>
      </c>
    </row>
    <row r="2661" customFormat="false" ht="15" hidden="false" customHeight="false" outlineLevel="0" collapsed="false">
      <c r="A2661" s="13" t="str">
        <f aca="false">IF(עזר!L2661="","",INDEX(עזר!$A$2:$A$5001,עזר!L2661))</f>
        <v/>
      </c>
      <c r="B2661" s="13" t="str">
        <f aca="false">IF(עזר!L2661="","",INDEX(עזר!$B$2:$B$5001,עזר!L2661))</f>
        <v/>
      </c>
      <c r="C2661" s="13" t="str">
        <f aca="false">עזר!M2661</f>
        <v/>
      </c>
    </row>
    <row r="2662" customFormat="false" ht="15" hidden="false" customHeight="false" outlineLevel="0" collapsed="false">
      <c r="A2662" s="13" t="str">
        <f aca="false">IF(עזר!L2662="","",INDEX(עזר!$A$2:$A$5001,עזר!L2662))</f>
        <v/>
      </c>
      <c r="B2662" s="13" t="str">
        <f aca="false">IF(עזר!L2662="","",INDEX(עזר!$B$2:$B$5001,עזר!L2662))</f>
        <v/>
      </c>
      <c r="C2662" s="13" t="str">
        <f aca="false">עזר!M2662</f>
        <v/>
      </c>
    </row>
    <row r="2663" customFormat="false" ht="15" hidden="false" customHeight="false" outlineLevel="0" collapsed="false">
      <c r="A2663" s="13" t="str">
        <f aca="false">IF(עזר!L2663="","",INDEX(עזר!$A$2:$A$5001,עזר!L2663))</f>
        <v/>
      </c>
      <c r="B2663" s="13" t="str">
        <f aca="false">IF(עזר!L2663="","",INDEX(עזר!$B$2:$B$5001,עזר!L2663))</f>
        <v/>
      </c>
      <c r="C2663" s="13" t="str">
        <f aca="false">עזר!M2663</f>
        <v/>
      </c>
    </row>
    <row r="2664" customFormat="false" ht="15" hidden="false" customHeight="false" outlineLevel="0" collapsed="false">
      <c r="A2664" s="13" t="str">
        <f aca="false">IF(עזר!L2664="","",INDEX(עזר!$A$2:$A$5001,עזר!L2664))</f>
        <v/>
      </c>
      <c r="B2664" s="13" t="str">
        <f aca="false">IF(עזר!L2664="","",INDEX(עזר!$B$2:$B$5001,עזר!L2664))</f>
        <v/>
      </c>
      <c r="C2664" s="13" t="str">
        <f aca="false">עזר!M2664</f>
        <v/>
      </c>
    </row>
    <row r="2665" customFormat="false" ht="15" hidden="false" customHeight="false" outlineLevel="0" collapsed="false">
      <c r="A2665" s="13" t="str">
        <f aca="false">IF(עזר!L2665="","",INDEX(עזר!$A$2:$A$5001,עזר!L2665))</f>
        <v/>
      </c>
      <c r="B2665" s="13" t="str">
        <f aca="false">IF(עזר!L2665="","",INDEX(עזר!$B$2:$B$5001,עזר!L2665))</f>
        <v/>
      </c>
      <c r="C2665" s="13" t="str">
        <f aca="false">עזר!M2665</f>
        <v/>
      </c>
    </row>
    <row r="2666" customFormat="false" ht="15" hidden="false" customHeight="false" outlineLevel="0" collapsed="false">
      <c r="A2666" s="13" t="str">
        <f aca="false">IF(עזר!L2666="","",INDEX(עזר!$A$2:$A$5001,עזר!L2666))</f>
        <v/>
      </c>
      <c r="B2666" s="13" t="str">
        <f aca="false">IF(עזר!L2666="","",INDEX(עזר!$B$2:$B$5001,עזר!L2666))</f>
        <v/>
      </c>
      <c r="C2666" s="13" t="str">
        <f aca="false">עזר!M2666</f>
        <v/>
      </c>
    </row>
    <row r="2667" customFormat="false" ht="15" hidden="false" customHeight="false" outlineLevel="0" collapsed="false">
      <c r="A2667" s="13" t="str">
        <f aca="false">IF(עזר!L2667="","",INDEX(עזר!$A$2:$A$5001,עזר!L2667))</f>
        <v/>
      </c>
      <c r="B2667" s="13" t="str">
        <f aca="false">IF(עזר!L2667="","",INDEX(עזר!$B$2:$B$5001,עזר!L2667))</f>
        <v/>
      </c>
      <c r="C2667" s="13" t="str">
        <f aca="false">עזר!M2667</f>
        <v/>
      </c>
    </row>
    <row r="2668" customFormat="false" ht="15" hidden="false" customHeight="false" outlineLevel="0" collapsed="false">
      <c r="A2668" s="13" t="str">
        <f aca="false">IF(עזר!L2668="","",INDEX(עזר!$A$2:$A$5001,עזר!L2668))</f>
        <v/>
      </c>
      <c r="B2668" s="13" t="str">
        <f aca="false">IF(עזר!L2668="","",INDEX(עזר!$B$2:$B$5001,עזר!L2668))</f>
        <v/>
      </c>
      <c r="C2668" s="13" t="str">
        <f aca="false">עזר!M2668</f>
        <v/>
      </c>
    </row>
    <row r="2669" customFormat="false" ht="15" hidden="false" customHeight="false" outlineLevel="0" collapsed="false">
      <c r="A2669" s="13" t="str">
        <f aca="false">IF(עזר!L2669="","",INDEX(עזר!$A$2:$A$5001,עזר!L2669))</f>
        <v/>
      </c>
      <c r="B2669" s="13" t="str">
        <f aca="false">IF(עזר!L2669="","",INDEX(עזר!$B$2:$B$5001,עזר!L2669))</f>
        <v/>
      </c>
      <c r="C2669" s="13" t="str">
        <f aca="false">עזר!M2669</f>
        <v/>
      </c>
    </row>
    <row r="2670" customFormat="false" ht="15" hidden="false" customHeight="false" outlineLevel="0" collapsed="false">
      <c r="A2670" s="13" t="str">
        <f aca="false">IF(עזר!L2670="","",INDEX(עזר!$A$2:$A$5001,עזר!L2670))</f>
        <v/>
      </c>
      <c r="B2670" s="13" t="str">
        <f aca="false">IF(עזר!L2670="","",INDEX(עזר!$B$2:$B$5001,עזר!L2670))</f>
        <v/>
      </c>
      <c r="C2670" s="13" t="str">
        <f aca="false">עזר!M2670</f>
        <v/>
      </c>
    </row>
    <row r="2671" customFormat="false" ht="15" hidden="false" customHeight="false" outlineLevel="0" collapsed="false">
      <c r="A2671" s="13" t="str">
        <f aca="false">IF(עזר!L2671="","",INDEX(עזר!$A$2:$A$5001,עזר!L2671))</f>
        <v/>
      </c>
      <c r="B2671" s="13" t="str">
        <f aca="false">IF(עזר!L2671="","",INDEX(עזר!$B$2:$B$5001,עזר!L2671))</f>
        <v/>
      </c>
      <c r="C2671" s="13" t="str">
        <f aca="false">עזר!M2671</f>
        <v/>
      </c>
    </row>
    <row r="2672" customFormat="false" ht="15" hidden="false" customHeight="false" outlineLevel="0" collapsed="false">
      <c r="A2672" s="13" t="str">
        <f aca="false">IF(עזר!L2672="","",INDEX(עזר!$A$2:$A$5001,עזר!L2672))</f>
        <v/>
      </c>
      <c r="B2672" s="13" t="str">
        <f aca="false">IF(עזר!L2672="","",INDEX(עזר!$B$2:$B$5001,עזר!L2672))</f>
        <v/>
      </c>
      <c r="C2672" s="13" t="str">
        <f aca="false">עזר!M2672</f>
        <v/>
      </c>
    </row>
    <row r="2673" customFormat="false" ht="15" hidden="false" customHeight="false" outlineLevel="0" collapsed="false">
      <c r="A2673" s="13" t="str">
        <f aca="false">IF(עזר!L2673="","",INDEX(עזר!$A$2:$A$5001,עזר!L2673))</f>
        <v/>
      </c>
      <c r="B2673" s="13" t="str">
        <f aca="false">IF(עזר!L2673="","",INDEX(עזר!$B$2:$B$5001,עזר!L2673))</f>
        <v/>
      </c>
      <c r="C2673" s="13" t="str">
        <f aca="false">עזר!M2673</f>
        <v/>
      </c>
    </row>
    <row r="2674" customFormat="false" ht="15" hidden="false" customHeight="false" outlineLevel="0" collapsed="false">
      <c r="A2674" s="13" t="str">
        <f aca="false">IF(עזר!L2674="","",INDEX(עזר!$A$2:$A$5001,עזר!L2674))</f>
        <v/>
      </c>
      <c r="B2674" s="13" t="str">
        <f aca="false">IF(עזר!L2674="","",INDEX(עזר!$B$2:$B$5001,עזר!L2674))</f>
        <v/>
      </c>
      <c r="C2674" s="13" t="str">
        <f aca="false">עזר!M2674</f>
        <v/>
      </c>
    </row>
    <row r="2675" customFormat="false" ht="15" hidden="false" customHeight="false" outlineLevel="0" collapsed="false">
      <c r="A2675" s="13" t="str">
        <f aca="false">IF(עזר!L2675="","",INDEX(עזר!$A$2:$A$5001,עזר!L2675))</f>
        <v/>
      </c>
      <c r="B2675" s="13" t="str">
        <f aca="false">IF(עזר!L2675="","",INDEX(עזר!$B$2:$B$5001,עזר!L2675))</f>
        <v/>
      </c>
      <c r="C2675" s="13" t="str">
        <f aca="false">עזר!M2675</f>
        <v/>
      </c>
    </row>
    <row r="2676" customFormat="false" ht="15" hidden="false" customHeight="false" outlineLevel="0" collapsed="false">
      <c r="A2676" s="13" t="str">
        <f aca="false">IF(עזר!L2676="","",INDEX(עזר!$A$2:$A$5001,עזר!L2676))</f>
        <v/>
      </c>
      <c r="B2676" s="13" t="str">
        <f aca="false">IF(עזר!L2676="","",INDEX(עזר!$B$2:$B$5001,עזר!L2676))</f>
        <v/>
      </c>
      <c r="C2676" s="13" t="str">
        <f aca="false">עזר!M2676</f>
        <v/>
      </c>
    </row>
    <row r="2677" customFormat="false" ht="15" hidden="false" customHeight="false" outlineLevel="0" collapsed="false">
      <c r="A2677" s="13" t="str">
        <f aca="false">IF(עזר!L2677="","",INDEX(עזר!$A$2:$A$5001,עזר!L2677))</f>
        <v/>
      </c>
      <c r="B2677" s="13" t="str">
        <f aca="false">IF(עזר!L2677="","",INDEX(עזר!$B$2:$B$5001,עזר!L2677))</f>
        <v/>
      </c>
      <c r="C2677" s="13" t="str">
        <f aca="false">עזר!M2677</f>
        <v/>
      </c>
    </row>
    <row r="2678" customFormat="false" ht="15" hidden="false" customHeight="false" outlineLevel="0" collapsed="false">
      <c r="A2678" s="13" t="str">
        <f aca="false">IF(עזר!L2678="","",INDEX(עזר!$A$2:$A$5001,עזר!L2678))</f>
        <v/>
      </c>
      <c r="B2678" s="13" t="str">
        <f aca="false">IF(עזר!L2678="","",INDEX(עזר!$B$2:$B$5001,עזר!L2678))</f>
        <v/>
      </c>
      <c r="C2678" s="13" t="str">
        <f aca="false">עזר!M2678</f>
        <v/>
      </c>
    </row>
    <row r="2679" customFormat="false" ht="15" hidden="false" customHeight="false" outlineLevel="0" collapsed="false">
      <c r="A2679" s="13" t="str">
        <f aca="false">IF(עזר!L2679="","",INDEX(עזר!$A$2:$A$5001,עזר!L2679))</f>
        <v/>
      </c>
      <c r="B2679" s="13" t="str">
        <f aca="false">IF(עזר!L2679="","",INDEX(עזר!$B$2:$B$5001,עזר!L2679))</f>
        <v/>
      </c>
      <c r="C2679" s="13" t="str">
        <f aca="false">עזר!M2679</f>
        <v/>
      </c>
    </row>
    <row r="2680" customFormat="false" ht="15" hidden="false" customHeight="false" outlineLevel="0" collapsed="false">
      <c r="A2680" s="13" t="str">
        <f aca="false">IF(עזר!L2680="","",INDEX(עזר!$A$2:$A$5001,עזר!L2680))</f>
        <v/>
      </c>
      <c r="B2680" s="13" t="str">
        <f aca="false">IF(עזר!L2680="","",INDEX(עזר!$B$2:$B$5001,עזר!L2680))</f>
        <v/>
      </c>
      <c r="C2680" s="13" t="str">
        <f aca="false">עזר!M2680</f>
        <v/>
      </c>
    </row>
    <row r="2681" customFormat="false" ht="15" hidden="false" customHeight="false" outlineLevel="0" collapsed="false">
      <c r="A2681" s="13" t="str">
        <f aca="false">IF(עזר!L2681="","",INDEX(עזר!$A$2:$A$5001,עזר!L2681))</f>
        <v/>
      </c>
      <c r="B2681" s="13" t="str">
        <f aca="false">IF(עזר!L2681="","",INDEX(עזר!$B$2:$B$5001,עזר!L2681))</f>
        <v/>
      </c>
      <c r="C2681" s="13" t="str">
        <f aca="false">עזר!M2681</f>
        <v/>
      </c>
    </row>
    <row r="2682" customFormat="false" ht="15" hidden="false" customHeight="false" outlineLevel="0" collapsed="false">
      <c r="A2682" s="13" t="str">
        <f aca="false">IF(עזר!L2682="","",INDEX(עזר!$A$2:$A$5001,עזר!L2682))</f>
        <v/>
      </c>
      <c r="B2682" s="13" t="str">
        <f aca="false">IF(עזר!L2682="","",INDEX(עזר!$B$2:$B$5001,עזר!L2682))</f>
        <v/>
      </c>
      <c r="C2682" s="13" t="str">
        <f aca="false">עזר!M2682</f>
        <v/>
      </c>
    </row>
    <row r="2683" customFormat="false" ht="15" hidden="false" customHeight="false" outlineLevel="0" collapsed="false">
      <c r="A2683" s="13" t="str">
        <f aca="false">IF(עזר!L2683="","",INDEX(עזר!$A$2:$A$5001,עזר!L2683))</f>
        <v/>
      </c>
      <c r="B2683" s="13" t="str">
        <f aca="false">IF(עזר!L2683="","",INDEX(עזר!$B$2:$B$5001,עזר!L2683))</f>
        <v/>
      </c>
      <c r="C2683" s="13" t="str">
        <f aca="false">עזר!M2683</f>
        <v/>
      </c>
    </row>
    <row r="2684" customFormat="false" ht="15" hidden="false" customHeight="false" outlineLevel="0" collapsed="false">
      <c r="A2684" s="13" t="str">
        <f aca="false">IF(עזר!L2684="","",INDEX(עזר!$A$2:$A$5001,עזר!L2684))</f>
        <v/>
      </c>
      <c r="B2684" s="13" t="str">
        <f aca="false">IF(עזר!L2684="","",INDEX(עזר!$B$2:$B$5001,עזר!L2684))</f>
        <v/>
      </c>
      <c r="C2684" s="13" t="str">
        <f aca="false">עזר!M2684</f>
        <v/>
      </c>
    </row>
    <row r="2685" customFormat="false" ht="15" hidden="false" customHeight="false" outlineLevel="0" collapsed="false">
      <c r="A2685" s="13" t="str">
        <f aca="false">IF(עזר!L2685="","",INDEX(עזר!$A$2:$A$5001,עזר!L2685))</f>
        <v/>
      </c>
      <c r="B2685" s="13" t="str">
        <f aca="false">IF(עזר!L2685="","",INDEX(עזר!$B$2:$B$5001,עזר!L2685))</f>
        <v/>
      </c>
      <c r="C2685" s="13" t="str">
        <f aca="false">עזר!M2685</f>
        <v/>
      </c>
    </row>
    <row r="2686" customFormat="false" ht="15" hidden="false" customHeight="false" outlineLevel="0" collapsed="false">
      <c r="A2686" s="13" t="str">
        <f aca="false">IF(עזר!L2686="","",INDEX(עזר!$A$2:$A$5001,עזר!L2686))</f>
        <v/>
      </c>
      <c r="B2686" s="13" t="str">
        <f aca="false">IF(עזר!L2686="","",INDEX(עזר!$B$2:$B$5001,עזר!L2686))</f>
        <v/>
      </c>
      <c r="C2686" s="13" t="str">
        <f aca="false">עזר!M2686</f>
        <v/>
      </c>
    </row>
    <row r="2687" customFormat="false" ht="15" hidden="false" customHeight="false" outlineLevel="0" collapsed="false">
      <c r="A2687" s="13" t="str">
        <f aca="false">IF(עזר!L2687="","",INDEX(עזר!$A$2:$A$5001,עזר!L2687))</f>
        <v/>
      </c>
      <c r="B2687" s="13" t="str">
        <f aca="false">IF(עזר!L2687="","",INDEX(עזר!$B$2:$B$5001,עזר!L2687))</f>
        <v/>
      </c>
      <c r="C2687" s="13" t="str">
        <f aca="false">עזר!M2687</f>
        <v/>
      </c>
    </row>
    <row r="2688" customFormat="false" ht="15" hidden="false" customHeight="false" outlineLevel="0" collapsed="false">
      <c r="A2688" s="13" t="str">
        <f aca="false">IF(עזר!L2688="","",INDEX(עזר!$A$2:$A$5001,עזר!L2688))</f>
        <v/>
      </c>
      <c r="B2688" s="13" t="str">
        <f aca="false">IF(עזר!L2688="","",INDEX(עזר!$B$2:$B$5001,עזר!L2688))</f>
        <v/>
      </c>
      <c r="C2688" s="13" t="str">
        <f aca="false">עזר!M2688</f>
        <v/>
      </c>
    </row>
    <row r="2689" customFormat="false" ht="15" hidden="false" customHeight="false" outlineLevel="0" collapsed="false">
      <c r="A2689" s="13" t="str">
        <f aca="false">IF(עזר!L2689="","",INDEX(עזר!$A$2:$A$5001,עזר!L2689))</f>
        <v/>
      </c>
      <c r="B2689" s="13" t="str">
        <f aca="false">IF(עזר!L2689="","",INDEX(עזר!$B$2:$B$5001,עזר!L2689))</f>
        <v/>
      </c>
      <c r="C2689" s="13" t="str">
        <f aca="false">עזר!M2689</f>
        <v/>
      </c>
    </row>
    <row r="2690" customFormat="false" ht="15" hidden="false" customHeight="false" outlineLevel="0" collapsed="false">
      <c r="A2690" s="13" t="str">
        <f aca="false">IF(עזר!L2690="","",INDEX(עזר!$A$2:$A$5001,עזר!L2690))</f>
        <v/>
      </c>
      <c r="B2690" s="13" t="str">
        <f aca="false">IF(עזר!L2690="","",INDEX(עזר!$B$2:$B$5001,עזר!L2690))</f>
        <v/>
      </c>
      <c r="C2690" s="13" t="str">
        <f aca="false">עזר!M2690</f>
        <v/>
      </c>
    </row>
    <row r="2691" customFormat="false" ht="15" hidden="false" customHeight="false" outlineLevel="0" collapsed="false">
      <c r="A2691" s="13" t="str">
        <f aca="false">IF(עזר!L2691="","",INDEX(עזר!$A$2:$A$5001,עזר!L2691))</f>
        <v/>
      </c>
      <c r="B2691" s="13" t="str">
        <f aca="false">IF(עזר!L2691="","",INDEX(עזר!$B$2:$B$5001,עזר!L2691))</f>
        <v/>
      </c>
      <c r="C2691" s="13" t="str">
        <f aca="false">עזר!M2691</f>
        <v/>
      </c>
    </row>
    <row r="2692" customFormat="false" ht="15" hidden="false" customHeight="false" outlineLevel="0" collapsed="false">
      <c r="A2692" s="13" t="str">
        <f aca="false">IF(עזר!L2692="","",INDEX(עזר!$A$2:$A$5001,עזר!L2692))</f>
        <v/>
      </c>
      <c r="B2692" s="13" t="str">
        <f aca="false">IF(עזר!L2692="","",INDEX(עזר!$B$2:$B$5001,עזר!L2692))</f>
        <v/>
      </c>
      <c r="C2692" s="13" t="str">
        <f aca="false">עזר!M2692</f>
        <v/>
      </c>
    </row>
    <row r="2693" customFormat="false" ht="15" hidden="false" customHeight="false" outlineLevel="0" collapsed="false">
      <c r="A2693" s="13" t="str">
        <f aca="false">IF(עזר!L2693="","",INDEX(עזר!$A$2:$A$5001,עזר!L2693))</f>
        <v/>
      </c>
      <c r="B2693" s="13" t="str">
        <f aca="false">IF(עזר!L2693="","",INDEX(עזר!$B$2:$B$5001,עזר!L2693))</f>
        <v/>
      </c>
      <c r="C2693" s="13" t="str">
        <f aca="false">עזר!M2693</f>
        <v/>
      </c>
    </row>
    <row r="2694" customFormat="false" ht="15" hidden="false" customHeight="false" outlineLevel="0" collapsed="false">
      <c r="A2694" s="13" t="str">
        <f aca="false">IF(עזר!L2694="","",INDEX(עזר!$A$2:$A$5001,עזר!L2694))</f>
        <v/>
      </c>
      <c r="B2694" s="13" t="str">
        <f aca="false">IF(עזר!L2694="","",INDEX(עזר!$B$2:$B$5001,עזר!L2694))</f>
        <v/>
      </c>
      <c r="C2694" s="13" t="str">
        <f aca="false">עזר!M2694</f>
        <v/>
      </c>
    </row>
    <row r="2695" customFormat="false" ht="15" hidden="false" customHeight="false" outlineLevel="0" collapsed="false">
      <c r="A2695" s="13" t="str">
        <f aca="false">IF(עזר!L2695="","",INDEX(עזר!$A$2:$A$5001,עזר!L2695))</f>
        <v/>
      </c>
      <c r="B2695" s="13" t="str">
        <f aca="false">IF(עזר!L2695="","",INDEX(עזר!$B$2:$B$5001,עזר!L2695))</f>
        <v/>
      </c>
      <c r="C2695" s="13" t="str">
        <f aca="false">עזר!M2695</f>
        <v/>
      </c>
    </row>
    <row r="2696" customFormat="false" ht="15" hidden="false" customHeight="false" outlineLevel="0" collapsed="false">
      <c r="A2696" s="13" t="str">
        <f aca="false">IF(עזר!L2696="","",INDEX(עזר!$A$2:$A$5001,עזר!L2696))</f>
        <v/>
      </c>
      <c r="B2696" s="13" t="str">
        <f aca="false">IF(עזר!L2696="","",INDEX(עזר!$B$2:$B$5001,עזר!L2696))</f>
        <v/>
      </c>
      <c r="C2696" s="13" t="str">
        <f aca="false">עזר!M2696</f>
        <v/>
      </c>
    </row>
    <row r="2697" customFormat="false" ht="15" hidden="false" customHeight="false" outlineLevel="0" collapsed="false">
      <c r="A2697" s="13" t="str">
        <f aca="false">IF(עזר!L2697="","",INDEX(עזר!$A$2:$A$5001,עזר!L2697))</f>
        <v/>
      </c>
      <c r="B2697" s="13" t="str">
        <f aca="false">IF(עזר!L2697="","",INDEX(עזר!$B$2:$B$5001,עזר!L2697))</f>
        <v/>
      </c>
      <c r="C2697" s="13" t="str">
        <f aca="false">עזר!M2697</f>
        <v/>
      </c>
    </row>
    <row r="2698" customFormat="false" ht="15" hidden="false" customHeight="false" outlineLevel="0" collapsed="false">
      <c r="A2698" s="13" t="str">
        <f aca="false">IF(עזר!L2698="","",INDEX(עזר!$A$2:$A$5001,עזר!L2698))</f>
        <v/>
      </c>
      <c r="B2698" s="13" t="str">
        <f aca="false">IF(עזר!L2698="","",INDEX(עזר!$B$2:$B$5001,עזר!L2698))</f>
        <v/>
      </c>
      <c r="C2698" s="13" t="str">
        <f aca="false">עזר!M2698</f>
        <v/>
      </c>
    </row>
    <row r="2699" customFormat="false" ht="15" hidden="false" customHeight="false" outlineLevel="0" collapsed="false">
      <c r="A2699" s="13" t="str">
        <f aca="false">IF(עזר!L2699="","",INDEX(עזר!$A$2:$A$5001,עזר!L2699))</f>
        <v/>
      </c>
      <c r="B2699" s="13" t="str">
        <f aca="false">IF(עזר!L2699="","",INDEX(עזר!$B$2:$B$5001,עזר!L2699))</f>
        <v/>
      </c>
      <c r="C2699" s="13" t="str">
        <f aca="false">עזר!M2699</f>
        <v/>
      </c>
    </row>
    <row r="2700" customFormat="false" ht="15" hidden="false" customHeight="false" outlineLevel="0" collapsed="false">
      <c r="A2700" s="13" t="str">
        <f aca="false">IF(עזר!L2700="","",INDEX(עזר!$A$2:$A$5001,עזר!L2700))</f>
        <v/>
      </c>
      <c r="B2700" s="13" t="str">
        <f aca="false">IF(עזר!L2700="","",INDEX(עזר!$B$2:$B$5001,עזר!L2700))</f>
        <v/>
      </c>
      <c r="C2700" s="13" t="str">
        <f aca="false">עזר!M2700</f>
        <v/>
      </c>
    </row>
    <row r="2701" customFormat="false" ht="15" hidden="false" customHeight="false" outlineLevel="0" collapsed="false">
      <c r="A2701" s="13" t="str">
        <f aca="false">IF(עזר!L2701="","",INDEX(עזר!$A$2:$A$5001,עזר!L2701))</f>
        <v/>
      </c>
      <c r="B2701" s="13" t="str">
        <f aca="false">IF(עזר!L2701="","",INDEX(עזר!$B$2:$B$5001,עזר!L2701))</f>
        <v/>
      </c>
      <c r="C2701" s="13" t="str">
        <f aca="false">עזר!M2701</f>
        <v/>
      </c>
    </row>
    <row r="2702" customFormat="false" ht="15" hidden="false" customHeight="false" outlineLevel="0" collapsed="false">
      <c r="A2702" s="13" t="str">
        <f aca="false">IF(עזר!L2702="","",INDEX(עזר!$A$2:$A$5001,עזר!L2702))</f>
        <v/>
      </c>
      <c r="B2702" s="13" t="str">
        <f aca="false">IF(עזר!L2702="","",INDEX(עזר!$B$2:$B$5001,עזר!L2702))</f>
        <v/>
      </c>
      <c r="C2702" s="13" t="str">
        <f aca="false">עזר!M2702</f>
        <v/>
      </c>
    </row>
    <row r="2703" customFormat="false" ht="15" hidden="false" customHeight="false" outlineLevel="0" collapsed="false">
      <c r="A2703" s="13" t="str">
        <f aca="false">IF(עזר!L2703="","",INDEX(עזר!$A$2:$A$5001,עזר!L2703))</f>
        <v/>
      </c>
      <c r="B2703" s="13" t="str">
        <f aca="false">IF(עזר!L2703="","",INDEX(עזר!$B$2:$B$5001,עזר!L2703))</f>
        <v/>
      </c>
      <c r="C2703" s="13" t="str">
        <f aca="false">עזר!M2703</f>
        <v/>
      </c>
    </row>
    <row r="2704" customFormat="false" ht="15" hidden="false" customHeight="false" outlineLevel="0" collapsed="false">
      <c r="A2704" s="13" t="str">
        <f aca="false">IF(עזר!L2704="","",INDEX(עזר!$A$2:$A$5001,עזר!L2704))</f>
        <v/>
      </c>
      <c r="B2704" s="13" t="str">
        <f aca="false">IF(עזר!L2704="","",INDEX(עזר!$B$2:$B$5001,עזר!L2704))</f>
        <v/>
      </c>
      <c r="C2704" s="13" t="str">
        <f aca="false">עזר!M2704</f>
        <v/>
      </c>
    </row>
    <row r="2705" customFormat="false" ht="15" hidden="false" customHeight="false" outlineLevel="0" collapsed="false">
      <c r="A2705" s="13" t="str">
        <f aca="false">IF(עזר!L2705="","",INDEX(עזר!$A$2:$A$5001,עזר!L2705))</f>
        <v/>
      </c>
      <c r="B2705" s="13" t="str">
        <f aca="false">IF(עזר!L2705="","",INDEX(עזר!$B$2:$B$5001,עזר!L2705))</f>
        <v/>
      </c>
      <c r="C2705" s="13" t="str">
        <f aca="false">עזר!M2705</f>
        <v/>
      </c>
    </row>
    <row r="2706" customFormat="false" ht="15" hidden="false" customHeight="false" outlineLevel="0" collapsed="false">
      <c r="A2706" s="13" t="str">
        <f aca="false">IF(עזר!L2706="","",INDEX(עזר!$A$2:$A$5001,עזר!L2706))</f>
        <v/>
      </c>
      <c r="B2706" s="13" t="str">
        <f aca="false">IF(עזר!L2706="","",INDEX(עזר!$B$2:$B$5001,עזר!L2706))</f>
        <v/>
      </c>
      <c r="C2706" s="13" t="str">
        <f aca="false">עזר!M2706</f>
        <v/>
      </c>
    </row>
    <row r="2707" customFormat="false" ht="15" hidden="false" customHeight="false" outlineLevel="0" collapsed="false">
      <c r="A2707" s="13" t="str">
        <f aca="false">IF(עזר!L2707="","",INDEX(עזר!$A$2:$A$5001,עזר!L2707))</f>
        <v/>
      </c>
      <c r="B2707" s="13" t="str">
        <f aca="false">IF(עזר!L2707="","",INDEX(עזר!$B$2:$B$5001,עזר!L2707))</f>
        <v/>
      </c>
      <c r="C2707" s="13" t="str">
        <f aca="false">עזר!M2707</f>
        <v/>
      </c>
    </row>
    <row r="2708" customFormat="false" ht="15" hidden="false" customHeight="false" outlineLevel="0" collapsed="false">
      <c r="A2708" s="13" t="str">
        <f aca="false">IF(עזר!L2708="","",INDEX(עזר!$A$2:$A$5001,עזר!L2708))</f>
        <v/>
      </c>
      <c r="B2708" s="13" t="str">
        <f aca="false">IF(עזר!L2708="","",INDEX(עזר!$B$2:$B$5001,עזר!L2708))</f>
        <v/>
      </c>
      <c r="C2708" s="13" t="str">
        <f aca="false">עזר!M2708</f>
        <v/>
      </c>
    </row>
    <row r="2709" customFormat="false" ht="15" hidden="false" customHeight="false" outlineLevel="0" collapsed="false">
      <c r="A2709" s="13" t="str">
        <f aca="false">IF(עזר!L2709="","",INDEX(עזר!$A$2:$A$5001,עזר!L2709))</f>
        <v/>
      </c>
      <c r="B2709" s="13" t="str">
        <f aca="false">IF(עזר!L2709="","",INDEX(עזר!$B$2:$B$5001,עזר!L2709))</f>
        <v/>
      </c>
      <c r="C2709" s="13" t="str">
        <f aca="false">עזר!M2709</f>
        <v/>
      </c>
    </row>
    <row r="2710" customFormat="false" ht="15" hidden="false" customHeight="false" outlineLevel="0" collapsed="false">
      <c r="A2710" s="13" t="str">
        <f aca="false">IF(עזר!L2710="","",INDEX(עזר!$A$2:$A$5001,עזר!L2710))</f>
        <v/>
      </c>
      <c r="B2710" s="13" t="str">
        <f aca="false">IF(עזר!L2710="","",INDEX(עזר!$B$2:$B$5001,עזר!L2710))</f>
        <v/>
      </c>
      <c r="C2710" s="13" t="str">
        <f aca="false">עזר!M2710</f>
        <v/>
      </c>
    </row>
    <row r="2711" customFormat="false" ht="15" hidden="false" customHeight="false" outlineLevel="0" collapsed="false">
      <c r="A2711" s="13" t="str">
        <f aca="false">IF(עזר!L2711="","",INDEX(עזר!$A$2:$A$5001,עזר!L2711))</f>
        <v/>
      </c>
      <c r="B2711" s="13" t="str">
        <f aca="false">IF(עזר!L2711="","",INDEX(עזר!$B$2:$B$5001,עזר!L2711))</f>
        <v/>
      </c>
      <c r="C2711" s="13" t="str">
        <f aca="false">עזר!M2711</f>
        <v/>
      </c>
    </row>
    <row r="2712" customFormat="false" ht="15" hidden="false" customHeight="false" outlineLevel="0" collapsed="false">
      <c r="A2712" s="13" t="str">
        <f aca="false">IF(עזר!L2712="","",INDEX(עזר!$A$2:$A$5001,עזר!L2712))</f>
        <v/>
      </c>
      <c r="B2712" s="13" t="str">
        <f aca="false">IF(עזר!L2712="","",INDEX(עזר!$B$2:$B$5001,עזר!L2712))</f>
        <v/>
      </c>
      <c r="C2712" s="13" t="str">
        <f aca="false">עזר!M2712</f>
        <v/>
      </c>
    </row>
    <row r="2713" customFormat="false" ht="15" hidden="false" customHeight="false" outlineLevel="0" collapsed="false">
      <c r="A2713" s="13" t="str">
        <f aca="false">IF(עזר!L2713="","",INDEX(עזר!$A$2:$A$5001,עזר!L2713))</f>
        <v/>
      </c>
      <c r="B2713" s="13" t="str">
        <f aca="false">IF(עזר!L2713="","",INDEX(עזר!$B$2:$B$5001,עזר!L2713))</f>
        <v/>
      </c>
      <c r="C2713" s="13" t="str">
        <f aca="false">עזר!M2713</f>
        <v/>
      </c>
    </row>
    <row r="2714" customFormat="false" ht="15" hidden="false" customHeight="false" outlineLevel="0" collapsed="false">
      <c r="A2714" s="13" t="str">
        <f aca="false">IF(עזר!L2714="","",INDEX(עזר!$A$2:$A$5001,עזר!L2714))</f>
        <v/>
      </c>
      <c r="B2714" s="13" t="str">
        <f aca="false">IF(עזר!L2714="","",INDEX(עזר!$B$2:$B$5001,עזר!L2714))</f>
        <v/>
      </c>
      <c r="C2714" s="13" t="str">
        <f aca="false">עזר!M2714</f>
        <v/>
      </c>
    </row>
    <row r="2715" customFormat="false" ht="15" hidden="false" customHeight="false" outlineLevel="0" collapsed="false">
      <c r="A2715" s="13" t="str">
        <f aca="false">IF(עזר!L2715="","",INDEX(עזר!$A$2:$A$5001,עזר!L2715))</f>
        <v/>
      </c>
      <c r="B2715" s="13" t="str">
        <f aca="false">IF(עזר!L2715="","",INDEX(עזר!$B$2:$B$5001,עזר!L2715))</f>
        <v/>
      </c>
      <c r="C2715" s="13" t="str">
        <f aca="false">עזר!M2715</f>
        <v/>
      </c>
    </row>
    <row r="2716" customFormat="false" ht="15" hidden="false" customHeight="false" outlineLevel="0" collapsed="false">
      <c r="A2716" s="13" t="str">
        <f aca="false">IF(עזר!L2716="","",INDEX(עזר!$A$2:$A$5001,עזר!L2716))</f>
        <v/>
      </c>
      <c r="B2716" s="13" t="str">
        <f aca="false">IF(עזר!L2716="","",INDEX(עזר!$B$2:$B$5001,עזר!L2716))</f>
        <v/>
      </c>
      <c r="C2716" s="13" t="str">
        <f aca="false">עזר!M2716</f>
        <v/>
      </c>
    </row>
    <row r="2717" customFormat="false" ht="15" hidden="false" customHeight="false" outlineLevel="0" collapsed="false">
      <c r="A2717" s="13" t="str">
        <f aca="false">IF(עזר!L2717="","",INDEX(עזר!$A$2:$A$5001,עזר!L2717))</f>
        <v/>
      </c>
      <c r="B2717" s="13" t="str">
        <f aca="false">IF(עזר!L2717="","",INDEX(עזר!$B$2:$B$5001,עזר!L2717))</f>
        <v/>
      </c>
      <c r="C2717" s="13" t="str">
        <f aca="false">עזר!M2717</f>
        <v/>
      </c>
    </row>
    <row r="2718" customFormat="false" ht="15" hidden="false" customHeight="false" outlineLevel="0" collapsed="false">
      <c r="A2718" s="13" t="str">
        <f aca="false">IF(עזר!L2718="","",INDEX(עזר!$A$2:$A$5001,עזר!L2718))</f>
        <v/>
      </c>
      <c r="B2718" s="13" t="str">
        <f aca="false">IF(עזר!L2718="","",INDEX(עזר!$B$2:$B$5001,עזר!L2718))</f>
        <v/>
      </c>
      <c r="C2718" s="13" t="str">
        <f aca="false">עזר!M2718</f>
        <v/>
      </c>
    </row>
    <row r="2719" customFormat="false" ht="15" hidden="false" customHeight="false" outlineLevel="0" collapsed="false">
      <c r="A2719" s="13" t="str">
        <f aca="false">IF(עזר!L2719="","",INDEX(עזר!$A$2:$A$5001,עזר!L2719))</f>
        <v/>
      </c>
      <c r="B2719" s="13" t="str">
        <f aca="false">IF(עזר!L2719="","",INDEX(עזר!$B$2:$B$5001,עזר!L2719))</f>
        <v/>
      </c>
      <c r="C2719" s="13" t="str">
        <f aca="false">עזר!M2719</f>
        <v/>
      </c>
    </row>
    <row r="2720" customFormat="false" ht="15" hidden="false" customHeight="false" outlineLevel="0" collapsed="false">
      <c r="A2720" s="13" t="str">
        <f aca="false">IF(עזר!L2720="","",INDEX(עזר!$A$2:$A$5001,עזר!L2720))</f>
        <v/>
      </c>
      <c r="B2720" s="13" t="str">
        <f aca="false">IF(עזר!L2720="","",INDEX(עזר!$B$2:$B$5001,עזר!L2720))</f>
        <v/>
      </c>
      <c r="C2720" s="13" t="str">
        <f aca="false">עזר!M2720</f>
        <v/>
      </c>
    </row>
    <row r="2721" customFormat="false" ht="15" hidden="false" customHeight="false" outlineLevel="0" collapsed="false">
      <c r="A2721" s="13" t="str">
        <f aca="false">IF(עזר!L2721="","",INDEX(עזר!$A$2:$A$5001,עזר!L2721))</f>
        <v/>
      </c>
      <c r="B2721" s="13" t="str">
        <f aca="false">IF(עזר!L2721="","",INDEX(עזר!$B$2:$B$5001,עזר!L2721))</f>
        <v/>
      </c>
      <c r="C2721" s="13" t="str">
        <f aca="false">עזר!M2721</f>
        <v/>
      </c>
    </row>
    <row r="2722" customFormat="false" ht="15" hidden="false" customHeight="false" outlineLevel="0" collapsed="false">
      <c r="A2722" s="13" t="str">
        <f aca="false">IF(עזר!L2722="","",INDEX(עזר!$A$2:$A$5001,עזר!L2722))</f>
        <v/>
      </c>
      <c r="B2722" s="13" t="str">
        <f aca="false">IF(עזר!L2722="","",INDEX(עזר!$B$2:$B$5001,עזר!L2722))</f>
        <v/>
      </c>
      <c r="C2722" s="13" t="str">
        <f aca="false">עזר!M2722</f>
        <v/>
      </c>
    </row>
    <row r="2723" customFormat="false" ht="15" hidden="false" customHeight="false" outlineLevel="0" collapsed="false">
      <c r="A2723" s="13" t="str">
        <f aca="false">IF(עזר!L2723="","",INDEX(עזר!$A$2:$A$5001,עזר!L2723))</f>
        <v/>
      </c>
      <c r="B2723" s="13" t="str">
        <f aca="false">IF(עזר!L2723="","",INDEX(עזר!$B$2:$B$5001,עזר!L2723))</f>
        <v/>
      </c>
      <c r="C2723" s="13" t="str">
        <f aca="false">עזר!M2723</f>
        <v/>
      </c>
    </row>
    <row r="2724" customFormat="false" ht="15" hidden="false" customHeight="false" outlineLevel="0" collapsed="false">
      <c r="A2724" s="13" t="str">
        <f aca="false">IF(עזר!L2724="","",INDEX(עזר!$A$2:$A$5001,עזר!L2724))</f>
        <v/>
      </c>
      <c r="B2724" s="13" t="str">
        <f aca="false">IF(עזר!L2724="","",INDEX(עזר!$B$2:$B$5001,עזר!L2724))</f>
        <v/>
      </c>
      <c r="C2724" s="13" t="str">
        <f aca="false">עזר!M2724</f>
        <v/>
      </c>
    </row>
    <row r="2725" customFormat="false" ht="15" hidden="false" customHeight="false" outlineLevel="0" collapsed="false">
      <c r="A2725" s="13" t="str">
        <f aca="false">IF(עזר!L2725="","",INDEX(עזר!$A$2:$A$5001,עזר!L2725))</f>
        <v/>
      </c>
      <c r="B2725" s="13" t="str">
        <f aca="false">IF(עזר!L2725="","",INDEX(עזר!$B$2:$B$5001,עזר!L2725))</f>
        <v/>
      </c>
      <c r="C2725" s="13" t="str">
        <f aca="false">עזר!M2725</f>
        <v/>
      </c>
    </row>
    <row r="2726" customFormat="false" ht="15" hidden="false" customHeight="false" outlineLevel="0" collapsed="false">
      <c r="A2726" s="13" t="str">
        <f aca="false">IF(עזר!L2726="","",INDEX(עזר!$A$2:$A$5001,עזר!L2726))</f>
        <v/>
      </c>
      <c r="B2726" s="13" t="str">
        <f aca="false">IF(עזר!L2726="","",INDEX(עזר!$B$2:$B$5001,עזר!L2726))</f>
        <v/>
      </c>
      <c r="C2726" s="13" t="str">
        <f aca="false">עזר!M2726</f>
        <v/>
      </c>
    </row>
    <row r="2727" customFormat="false" ht="15" hidden="false" customHeight="false" outlineLevel="0" collapsed="false">
      <c r="A2727" s="13" t="str">
        <f aca="false">IF(עזר!L2727="","",INDEX(עזר!$A$2:$A$5001,עזר!L2727))</f>
        <v/>
      </c>
      <c r="B2727" s="13" t="str">
        <f aca="false">IF(עזר!L2727="","",INDEX(עזר!$B$2:$B$5001,עזר!L2727))</f>
        <v/>
      </c>
      <c r="C2727" s="13" t="str">
        <f aca="false">עזר!M2727</f>
        <v/>
      </c>
    </row>
    <row r="2728" customFormat="false" ht="15" hidden="false" customHeight="false" outlineLevel="0" collapsed="false">
      <c r="A2728" s="13" t="str">
        <f aca="false">IF(עזר!L2728="","",INDEX(עזר!$A$2:$A$5001,עזר!L2728))</f>
        <v/>
      </c>
      <c r="B2728" s="13" t="str">
        <f aca="false">IF(עזר!L2728="","",INDEX(עזר!$B$2:$B$5001,עזר!L2728))</f>
        <v/>
      </c>
      <c r="C2728" s="13" t="str">
        <f aca="false">עזר!M2728</f>
        <v/>
      </c>
    </row>
    <row r="2729" customFormat="false" ht="15" hidden="false" customHeight="false" outlineLevel="0" collapsed="false">
      <c r="A2729" s="13" t="str">
        <f aca="false">IF(עזר!L2729="","",INDEX(עזר!$A$2:$A$5001,עזר!L2729))</f>
        <v/>
      </c>
      <c r="B2729" s="13" t="str">
        <f aca="false">IF(עזר!L2729="","",INDEX(עזר!$B$2:$B$5001,עזר!L2729))</f>
        <v/>
      </c>
      <c r="C2729" s="13" t="str">
        <f aca="false">עזר!M2729</f>
        <v/>
      </c>
    </row>
    <row r="2730" customFormat="false" ht="15" hidden="false" customHeight="false" outlineLevel="0" collapsed="false">
      <c r="A2730" s="13" t="str">
        <f aca="false">IF(עזר!L2730="","",INDEX(עזר!$A$2:$A$5001,עזר!L2730))</f>
        <v/>
      </c>
      <c r="B2730" s="13" t="str">
        <f aca="false">IF(עזר!L2730="","",INDEX(עזר!$B$2:$B$5001,עזר!L2730))</f>
        <v/>
      </c>
      <c r="C2730" s="13" t="str">
        <f aca="false">עזר!M2730</f>
        <v/>
      </c>
    </row>
    <row r="2731" customFormat="false" ht="15" hidden="false" customHeight="false" outlineLevel="0" collapsed="false">
      <c r="A2731" s="13" t="str">
        <f aca="false">IF(עזר!L2731="","",INDEX(עזר!$A$2:$A$5001,עזר!L2731))</f>
        <v/>
      </c>
      <c r="B2731" s="13" t="str">
        <f aca="false">IF(עזר!L2731="","",INDEX(עזר!$B$2:$B$5001,עזר!L2731))</f>
        <v/>
      </c>
      <c r="C2731" s="13" t="str">
        <f aca="false">עזר!M2731</f>
        <v/>
      </c>
    </row>
    <row r="2732" customFormat="false" ht="15" hidden="false" customHeight="false" outlineLevel="0" collapsed="false">
      <c r="A2732" s="13" t="str">
        <f aca="false">IF(עזר!L2732="","",INDEX(עזר!$A$2:$A$5001,עזר!L2732))</f>
        <v/>
      </c>
      <c r="B2732" s="13" t="str">
        <f aca="false">IF(עזר!L2732="","",INDEX(עזר!$B$2:$B$5001,עזר!L2732))</f>
        <v/>
      </c>
      <c r="C2732" s="13" t="str">
        <f aca="false">עזר!M2732</f>
        <v/>
      </c>
    </row>
    <row r="2733" customFormat="false" ht="15" hidden="false" customHeight="false" outlineLevel="0" collapsed="false">
      <c r="A2733" s="13" t="str">
        <f aca="false">IF(עזר!L2733="","",INDEX(עזר!$A$2:$A$5001,עזר!L2733))</f>
        <v/>
      </c>
      <c r="B2733" s="13" t="str">
        <f aca="false">IF(עזר!L2733="","",INDEX(עזר!$B$2:$B$5001,עזר!L2733))</f>
        <v/>
      </c>
      <c r="C2733" s="13" t="str">
        <f aca="false">עזר!M2733</f>
        <v/>
      </c>
    </row>
    <row r="2734" customFormat="false" ht="15" hidden="false" customHeight="false" outlineLevel="0" collapsed="false">
      <c r="A2734" s="13" t="str">
        <f aca="false">IF(עזר!L2734="","",INDEX(עזר!$A$2:$A$5001,עזר!L2734))</f>
        <v/>
      </c>
      <c r="B2734" s="13" t="str">
        <f aca="false">IF(עזר!L2734="","",INDEX(עזר!$B$2:$B$5001,עזר!L2734))</f>
        <v/>
      </c>
      <c r="C2734" s="13" t="str">
        <f aca="false">עזר!M2734</f>
        <v/>
      </c>
    </row>
    <row r="2735" customFormat="false" ht="15" hidden="false" customHeight="false" outlineLevel="0" collapsed="false">
      <c r="A2735" s="13" t="str">
        <f aca="false">IF(עזר!L2735="","",INDEX(עזר!$A$2:$A$5001,עזר!L2735))</f>
        <v/>
      </c>
      <c r="B2735" s="13" t="str">
        <f aca="false">IF(עזר!L2735="","",INDEX(עזר!$B$2:$B$5001,עזר!L2735))</f>
        <v/>
      </c>
      <c r="C2735" s="13" t="str">
        <f aca="false">עזר!M2735</f>
        <v/>
      </c>
    </row>
    <row r="2736" customFormat="false" ht="15" hidden="false" customHeight="false" outlineLevel="0" collapsed="false">
      <c r="A2736" s="13" t="str">
        <f aca="false">IF(עזר!L2736="","",INDEX(עזר!$A$2:$A$5001,עזר!L2736))</f>
        <v/>
      </c>
      <c r="B2736" s="13" t="str">
        <f aca="false">IF(עזר!L2736="","",INDEX(עזר!$B$2:$B$5001,עזר!L2736))</f>
        <v/>
      </c>
      <c r="C2736" s="13" t="str">
        <f aca="false">עזר!M2736</f>
        <v/>
      </c>
    </row>
    <row r="2737" customFormat="false" ht="15" hidden="false" customHeight="false" outlineLevel="0" collapsed="false">
      <c r="A2737" s="13" t="str">
        <f aca="false">IF(עזר!L2737="","",INDEX(עזר!$A$2:$A$5001,עזר!L2737))</f>
        <v/>
      </c>
      <c r="B2737" s="13" t="str">
        <f aca="false">IF(עזר!L2737="","",INDEX(עזר!$B$2:$B$5001,עזר!L2737))</f>
        <v/>
      </c>
      <c r="C2737" s="13" t="str">
        <f aca="false">עזר!M2737</f>
        <v/>
      </c>
    </row>
    <row r="2738" customFormat="false" ht="15" hidden="false" customHeight="false" outlineLevel="0" collapsed="false">
      <c r="A2738" s="13" t="str">
        <f aca="false">IF(עזר!L2738="","",INDEX(עזר!$A$2:$A$5001,עזר!L2738))</f>
        <v/>
      </c>
      <c r="B2738" s="13" t="str">
        <f aca="false">IF(עזר!L2738="","",INDEX(עזר!$B$2:$B$5001,עזר!L2738))</f>
        <v/>
      </c>
      <c r="C2738" s="13" t="str">
        <f aca="false">עזר!M2738</f>
        <v/>
      </c>
    </row>
    <row r="2739" customFormat="false" ht="15" hidden="false" customHeight="false" outlineLevel="0" collapsed="false">
      <c r="A2739" s="13" t="str">
        <f aca="false">IF(עזר!L2739="","",INDEX(עזר!$A$2:$A$5001,עזר!L2739))</f>
        <v/>
      </c>
      <c r="B2739" s="13" t="str">
        <f aca="false">IF(עזר!L2739="","",INDEX(עזר!$B$2:$B$5001,עזר!L2739))</f>
        <v/>
      </c>
      <c r="C2739" s="13" t="str">
        <f aca="false">עזר!M2739</f>
        <v/>
      </c>
    </row>
    <row r="2740" customFormat="false" ht="15" hidden="false" customHeight="false" outlineLevel="0" collapsed="false">
      <c r="A2740" s="13" t="str">
        <f aca="false">IF(עזר!L2740="","",INDEX(עזר!$A$2:$A$5001,עזר!L2740))</f>
        <v/>
      </c>
      <c r="B2740" s="13" t="str">
        <f aca="false">IF(עזר!L2740="","",INDEX(עזר!$B$2:$B$5001,עזר!L2740))</f>
        <v/>
      </c>
      <c r="C2740" s="13" t="str">
        <f aca="false">עזר!M2740</f>
        <v/>
      </c>
    </row>
    <row r="2741" customFormat="false" ht="15" hidden="false" customHeight="false" outlineLevel="0" collapsed="false">
      <c r="A2741" s="13" t="str">
        <f aca="false">IF(עזר!L2741="","",INDEX(עזר!$A$2:$A$5001,עזר!L2741))</f>
        <v/>
      </c>
      <c r="B2741" s="13" t="str">
        <f aca="false">IF(עזר!L2741="","",INDEX(עזר!$B$2:$B$5001,עזר!L2741))</f>
        <v/>
      </c>
      <c r="C2741" s="13" t="str">
        <f aca="false">עזר!M2741</f>
        <v/>
      </c>
    </row>
    <row r="2742" customFormat="false" ht="15" hidden="false" customHeight="false" outlineLevel="0" collapsed="false">
      <c r="A2742" s="13" t="str">
        <f aca="false">IF(עזר!L2742="","",INDEX(עזר!$A$2:$A$5001,עזר!L2742))</f>
        <v/>
      </c>
      <c r="B2742" s="13" t="str">
        <f aca="false">IF(עזר!L2742="","",INDEX(עזר!$B$2:$B$5001,עזר!L2742))</f>
        <v/>
      </c>
      <c r="C2742" s="13" t="str">
        <f aca="false">עזר!M2742</f>
        <v/>
      </c>
    </row>
    <row r="2743" customFormat="false" ht="15" hidden="false" customHeight="false" outlineLevel="0" collapsed="false">
      <c r="A2743" s="13" t="str">
        <f aca="false">IF(עזר!L2743="","",INDEX(עזר!$A$2:$A$5001,עזר!L2743))</f>
        <v/>
      </c>
      <c r="B2743" s="13" t="str">
        <f aca="false">IF(עזר!L2743="","",INDEX(עזר!$B$2:$B$5001,עזר!L2743))</f>
        <v/>
      </c>
      <c r="C2743" s="13" t="str">
        <f aca="false">עזר!M2743</f>
        <v/>
      </c>
    </row>
    <row r="2744" customFormat="false" ht="15" hidden="false" customHeight="false" outlineLevel="0" collapsed="false">
      <c r="A2744" s="13" t="str">
        <f aca="false">IF(עזר!L2744="","",INDEX(עזר!$A$2:$A$5001,עזר!L2744))</f>
        <v/>
      </c>
      <c r="B2744" s="13" t="str">
        <f aca="false">IF(עזר!L2744="","",INDEX(עזר!$B$2:$B$5001,עזר!L2744))</f>
        <v/>
      </c>
      <c r="C2744" s="13" t="str">
        <f aca="false">עזר!M2744</f>
        <v/>
      </c>
    </row>
    <row r="2745" customFormat="false" ht="15" hidden="false" customHeight="false" outlineLevel="0" collapsed="false">
      <c r="A2745" s="13" t="str">
        <f aca="false">IF(עזר!L2745="","",INDEX(עזר!$A$2:$A$5001,עזר!L2745))</f>
        <v/>
      </c>
      <c r="B2745" s="13" t="str">
        <f aca="false">IF(עזר!L2745="","",INDEX(עזר!$B$2:$B$5001,עזר!L2745))</f>
        <v/>
      </c>
      <c r="C2745" s="13" t="str">
        <f aca="false">עזר!M2745</f>
        <v/>
      </c>
    </row>
    <row r="2746" customFormat="false" ht="15" hidden="false" customHeight="false" outlineLevel="0" collapsed="false">
      <c r="A2746" s="13" t="str">
        <f aca="false">IF(עזר!L2746="","",INDEX(עזר!$A$2:$A$5001,עזר!L2746))</f>
        <v/>
      </c>
      <c r="B2746" s="13" t="str">
        <f aca="false">IF(עזר!L2746="","",INDEX(עזר!$B$2:$B$5001,עזר!L2746))</f>
        <v/>
      </c>
      <c r="C2746" s="13" t="str">
        <f aca="false">עזר!M2746</f>
        <v/>
      </c>
    </row>
    <row r="2747" customFormat="false" ht="15" hidden="false" customHeight="false" outlineLevel="0" collapsed="false">
      <c r="A2747" s="13" t="str">
        <f aca="false">IF(עזר!L2747="","",INDEX(עזר!$A$2:$A$5001,עזר!L2747))</f>
        <v/>
      </c>
      <c r="B2747" s="13" t="str">
        <f aca="false">IF(עזר!L2747="","",INDEX(עזר!$B$2:$B$5001,עזר!L2747))</f>
        <v/>
      </c>
      <c r="C2747" s="13" t="str">
        <f aca="false">עזר!M2747</f>
        <v/>
      </c>
    </row>
    <row r="2748" customFormat="false" ht="15" hidden="false" customHeight="false" outlineLevel="0" collapsed="false">
      <c r="A2748" s="13" t="str">
        <f aca="false">IF(עזר!L2748="","",INDEX(עזר!$A$2:$A$5001,עזר!L2748))</f>
        <v/>
      </c>
      <c r="B2748" s="13" t="str">
        <f aca="false">IF(עזר!L2748="","",INDEX(עזר!$B$2:$B$5001,עזר!L2748))</f>
        <v/>
      </c>
      <c r="C2748" s="13" t="str">
        <f aca="false">עזר!M2748</f>
        <v/>
      </c>
    </row>
    <row r="2749" customFormat="false" ht="15" hidden="false" customHeight="false" outlineLevel="0" collapsed="false">
      <c r="A2749" s="13" t="str">
        <f aca="false">IF(עזר!L2749="","",INDEX(עזר!$A$2:$A$5001,עזר!L2749))</f>
        <v/>
      </c>
      <c r="B2749" s="13" t="str">
        <f aca="false">IF(עזר!L2749="","",INDEX(עזר!$B$2:$B$5001,עזר!L2749))</f>
        <v/>
      </c>
      <c r="C2749" s="13" t="str">
        <f aca="false">עזר!M2749</f>
        <v/>
      </c>
    </row>
    <row r="2750" customFormat="false" ht="15" hidden="false" customHeight="false" outlineLevel="0" collapsed="false">
      <c r="A2750" s="13" t="str">
        <f aca="false">IF(עזר!L2750="","",INDEX(עזר!$A$2:$A$5001,עזר!L2750))</f>
        <v/>
      </c>
      <c r="B2750" s="13" t="str">
        <f aca="false">IF(עזר!L2750="","",INDEX(עזר!$B$2:$B$5001,עזר!L2750))</f>
        <v/>
      </c>
      <c r="C2750" s="13" t="str">
        <f aca="false">עזר!M2750</f>
        <v/>
      </c>
    </row>
    <row r="2751" customFormat="false" ht="15" hidden="false" customHeight="false" outlineLevel="0" collapsed="false">
      <c r="A2751" s="13" t="str">
        <f aca="false">IF(עזר!L2751="","",INDEX(עזר!$A$2:$A$5001,עזר!L2751))</f>
        <v/>
      </c>
      <c r="B2751" s="13" t="str">
        <f aca="false">IF(עזר!L2751="","",INDEX(עזר!$B$2:$B$5001,עזר!L2751))</f>
        <v/>
      </c>
      <c r="C2751" s="13" t="str">
        <f aca="false">עזר!M2751</f>
        <v/>
      </c>
    </row>
    <row r="2752" customFormat="false" ht="15" hidden="false" customHeight="false" outlineLevel="0" collapsed="false">
      <c r="A2752" s="13" t="str">
        <f aca="false">IF(עזר!L2752="","",INDEX(עזר!$A$2:$A$5001,עזר!L2752))</f>
        <v/>
      </c>
      <c r="B2752" s="13" t="str">
        <f aca="false">IF(עזר!L2752="","",INDEX(עזר!$B$2:$B$5001,עזר!L2752))</f>
        <v/>
      </c>
      <c r="C2752" s="13" t="str">
        <f aca="false">עזר!M2752</f>
        <v/>
      </c>
    </row>
    <row r="2753" customFormat="false" ht="15" hidden="false" customHeight="false" outlineLevel="0" collapsed="false">
      <c r="A2753" s="13" t="str">
        <f aca="false">IF(עזר!L2753="","",INDEX(עזר!$A$2:$A$5001,עזר!L2753))</f>
        <v/>
      </c>
      <c r="B2753" s="13" t="str">
        <f aca="false">IF(עזר!L2753="","",INDEX(עזר!$B$2:$B$5001,עזר!L2753))</f>
        <v/>
      </c>
      <c r="C2753" s="13" t="str">
        <f aca="false">עזר!M2753</f>
        <v/>
      </c>
    </row>
    <row r="2754" customFormat="false" ht="15" hidden="false" customHeight="false" outlineLevel="0" collapsed="false">
      <c r="A2754" s="13" t="str">
        <f aca="false">IF(עזר!L2754="","",INDEX(עזר!$A$2:$A$5001,עזר!L2754))</f>
        <v/>
      </c>
      <c r="B2754" s="13" t="str">
        <f aca="false">IF(עזר!L2754="","",INDEX(עזר!$B$2:$B$5001,עזר!L2754))</f>
        <v/>
      </c>
      <c r="C2754" s="13" t="str">
        <f aca="false">עזר!M2754</f>
        <v/>
      </c>
    </row>
    <row r="2755" customFormat="false" ht="15" hidden="false" customHeight="false" outlineLevel="0" collapsed="false">
      <c r="A2755" s="13" t="str">
        <f aca="false">IF(עזר!L2755="","",INDEX(עזר!$A$2:$A$5001,עזר!L2755))</f>
        <v/>
      </c>
      <c r="B2755" s="13" t="str">
        <f aca="false">IF(עזר!L2755="","",INDEX(עזר!$B$2:$B$5001,עזר!L2755))</f>
        <v/>
      </c>
      <c r="C2755" s="13" t="str">
        <f aca="false">עזר!M2755</f>
        <v/>
      </c>
    </row>
    <row r="2756" customFormat="false" ht="15" hidden="false" customHeight="false" outlineLevel="0" collapsed="false">
      <c r="A2756" s="13" t="str">
        <f aca="false">IF(עזר!L2756="","",INDEX(עזר!$A$2:$A$5001,עזר!L2756))</f>
        <v/>
      </c>
      <c r="B2756" s="13" t="str">
        <f aca="false">IF(עזר!L2756="","",INDEX(עזר!$B$2:$B$5001,עזר!L2756))</f>
        <v/>
      </c>
      <c r="C2756" s="13" t="str">
        <f aca="false">עזר!M2756</f>
        <v/>
      </c>
    </row>
    <row r="2757" customFormat="false" ht="15" hidden="false" customHeight="false" outlineLevel="0" collapsed="false">
      <c r="A2757" s="13" t="str">
        <f aca="false">IF(עזר!L2757="","",INDEX(עזר!$A$2:$A$5001,עזר!L2757))</f>
        <v/>
      </c>
      <c r="B2757" s="13" t="str">
        <f aca="false">IF(עזר!L2757="","",INDEX(עזר!$B$2:$B$5001,עזר!L2757))</f>
        <v/>
      </c>
      <c r="C2757" s="13" t="str">
        <f aca="false">עזר!M2757</f>
        <v/>
      </c>
    </row>
    <row r="2758" customFormat="false" ht="15" hidden="false" customHeight="false" outlineLevel="0" collapsed="false">
      <c r="A2758" s="13" t="str">
        <f aca="false">IF(עזר!L2758="","",INDEX(עזר!$A$2:$A$5001,עזר!L2758))</f>
        <v/>
      </c>
      <c r="B2758" s="13" t="str">
        <f aca="false">IF(עזר!L2758="","",INDEX(עזר!$B$2:$B$5001,עזר!L2758))</f>
        <v/>
      </c>
      <c r="C2758" s="13" t="str">
        <f aca="false">עזר!M2758</f>
        <v/>
      </c>
    </row>
    <row r="2759" customFormat="false" ht="15" hidden="false" customHeight="false" outlineLevel="0" collapsed="false">
      <c r="A2759" s="13" t="str">
        <f aca="false">IF(עזר!L2759="","",INDEX(עזר!$A$2:$A$5001,עזר!L2759))</f>
        <v/>
      </c>
      <c r="B2759" s="13" t="str">
        <f aca="false">IF(עזר!L2759="","",INDEX(עזר!$B$2:$B$5001,עזר!L2759))</f>
        <v/>
      </c>
      <c r="C2759" s="13" t="str">
        <f aca="false">עזר!M2759</f>
        <v/>
      </c>
    </row>
    <row r="2760" customFormat="false" ht="15" hidden="false" customHeight="false" outlineLevel="0" collapsed="false">
      <c r="A2760" s="13" t="str">
        <f aca="false">IF(עזר!L2760="","",INDEX(עזר!$A$2:$A$5001,עזר!L2760))</f>
        <v/>
      </c>
      <c r="B2760" s="13" t="str">
        <f aca="false">IF(עזר!L2760="","",INDEX(עזר!$B$2:$B$5001,עזר!L2760))</f>
        <v/>
      </c>
      <c r="C2760" s="13" t="str">
        <f aca="false">עזר!M2760</f>
        <v/>
      </c>
    </row>
    <row r="2761" customFormat="false" ht="15" hidden="false" customHeight="false" outlineLevel="0" collapsed="false">
      <c r="A2761" s="13" t="str">
        <f aca="false">IF(עזר!L2761="","",INDEX(עזר!$A$2:$A$5001,עזר!L2761))</f>
        <v/>
      </c>
      <c r="B2761" s="13" t="str">
        <f aca="false">IF(עזר!L2761="","",INDEX(עזר!$B$2:$B$5001,עזר!L2761))</f>
        <v/>
      </c>
      <c r="C2761" s="13" t="str">
        <f aca="false">עזר!M2761</f>
        <v/>
      </c>
    </row>
    <row r="2762" customFormat="false" ht="15" hidden="false" customHeight="false" outlineLevel="0" collapsed="false">
      <c r="A2762" s="13" t="str">
        <f aca="false">IF(עזר!L2762="","",INDEX(עזר!$A$2:$A$5001,עזר!L2762))</f>
        <v/>
      </c>
      <c r="B2762" s="13" t="str">
        <f aca="false">IF(עזר!L2762="","",INDEX(עזר!$B$2:$B$5001,עזר!L2762))</f>
        <v/>
      </c>
      <c r="C2762" s="13" t="str">
        <f aca="false">עזר!M2762</f>
        <v/>
      </c>
    </row>
    <row r="2763" customFormat="false" ht="15" hidden="false" customHeight="false" outlineLevel="0" collapsed="false">
      <c r="A2763" s="13" t="str">
        <f aca="false">IF(עזר!L2763="","",INDEX(עזר!$A$2:$A$5001,עזר!L2763))</f>
        <v/>
      </c>
      <c r="B2763" s="13" t="str">
        <f aca="false">IF(עזר!L2763="","",INDEX(עזר!$B$2:$B$5001,עזר!L2763))</f>
        <v/>
      </c>
      <c r="C2763" s="13" t="str">
        <f aca="false">עזר!M2763</f>
        <v/>
      </c>
    </row>
    <row r="2764" customFormat="false" ht="15" hidden="false" customHeight="false" outlineLevel="0" collapsed="false">
      <c r="A2764" s="13" t="str">
        <f aca="false">IF(עזר!L2764="","",INDEX(עזר!$A$2:$A$5001,עזר!L2764))</f>
        <v/>
      </c>
      <c r="B2764" s="13" t="str">
        <f aca="false">IF(עזר!L2764="","",INDEX(עזר!$B$2:$B$5001,עזר!L2764))</f>
        <v/>
      </c>
      <c r="C2764" s="13" t="str">
        <f aca="false">עזר!M2764</f>
        <v/>
      </c>
    </row>
    <row r="2765" customFormat="false" ht="15" hidden="false" customHeight="false" outlineLevel="0" collapsed="false">
      <c r="A2765" s="13" t="str">
        <f aca="false">IF(עזר!L2765="","",INDEX(עזר!$A$2:$A$5001,עזר!L2765))</f>
        <v/>
      </c>
      <c r="B2765" s="13" t="str">
        <f aca="false">IF(עזר!L2765="","",INDEX(עזר!$B$2:$B$5001,עזר!L2765))</f>
        <v/>
      </c>
      <c r="C2765" s="13" t="str">
        <f aca="false">עזר!M2765</f>
        <v/>
      </c>
    </row>
    <row r="2766" customFormat="false" ht="15" hidden="false" customHeight="false" outlineLevel="0" collapsed="false">
      <c r="A2766" s="13" t="str">
        <f aca="false">IF(עזר!L2766="","",INDEX(עזר!$A$2:$A$5001,עזר!L2766))</f>
        <v/>
      </c>
      <c r="B2766" s="13" t="str">
        <f aca="false">IF(עזר!L2766="","",INDEX(עזר!$B$2:$B$5001,עזר!L2766))</f>
        <v/>
      </c>
      <c r="C2766" s="13" t="str">
        <f aca="false">עזר!M2766</f>
        <v/>
      </c>
    </row>
    <row r="2767" customFormat="false" ht="15" hidden="false" customHeight="false" outlineLevel="0" collapsed="false">
      <c r="A2767" s="13" t="str">
        <f aca="false">IF(עזר!L2767="","",INDEX(עזר!$A$2:$A$5001,עזר!L2767))</f>
        <v/>
      </c>
      <c r="B2767" s="13" t="str">
        <f aca="false">IF(עזר!L2767="","",INDEX(עזר!$B$2:$B$5001,עזר!L2767))</f>
        <v/>
      </c>
      <c r="C2767" s="13" t="str">
        <f aca="false">עזר!M2767</f>
        <v/>
      </c>
    </row>
    <row r="2768" customFormat="false" ht="15" hidden="false" customHeight="false" outlineLevel="0" collapsed="false">
      <c r="A2768" s="13" t="str">
        <f aca="false">IF(עזר!L2768="","",INDEX(עזר!$A$2:$A$5001,עזר!L2768))</f>
        <v/>
      </c>
      <c r="B2768" s="13" t="str">
        <f aca="false">IF(עזר!L2768="","",INDEX(עזר!$B$2:$B$5001,עזר!L2768))</f>
        <v/>
      </c>
      <c r="C2768" s="13" t="str">
        <f aca="false">עזר!M2768</f>
        <v/>
      </c>
    </row>
    <row r="2769" customFormat="false" ht="15" hidden="false" customHeight="false" outlineLevel="0" collapsed="false">
      <c r="A2769" s="13" t="str">
        <f aca="false">IF(עזר!L2769="","",INDEX(עזר!$A$2:$A$5001,עזר!L2769))</f>
        <v/>
      </c>
      <c r="B2769" s="13" t="str">
        <f aca="false">IF(עזר!L2769="","",INDEX(עזר!$B$2:$B$5001,עזר!L2769))</f>
        <v/>
      </c>
      <c r="C2769" s="13" t="str">
        <f aca="false">עזר!M2769</f>
        <v/>
      </c>
    </row>
    <row r="2770" customFormat="false" ht="15" hidden="false" customHeight="false" outlineLevel="0" collapsed="false">
      <c r="A2770" s="13" t="str">
        <f aca="false">IF(עזר!L2770="","",INDEX(עזר!$A$2:$A$5001,עזר!L2770))</f>
        <v/>
      </c>
      <c r="B2770" s="13" t="str">
        <f aca="false">IF(עזר!L2770="","",INDEX(עזר!$B$2:$B$5001,עזר!L2770))</f>
        <v/>
      </c>
      <c r="C2770" s="13" t="str">
        <f aca="false">עזר!M2770</f>
        <v/>
      </c>
    </row>
    <row r="2771" customFormat="false" ht="15" hidden="false" customHeight="false" outlineLevel="0" collapsed="false">
      <c r="A2771" s="13" t="str">
        <f aca="false">IF(עזר!L2771="","",INDEX(עזר!$A$2:$A$5001,עזר!L2771))</f>
        <v/>
      </c>
      <c r="B2771" s="13" t="str">
        <f aca="false">IF(עזר!L2771="","",INDEX(עזר!$B$2:$B$5001,עזר!L2771))</f>
        <v/>
      </c>
      <c r="C2771" s="13" t="str">
        <f aca="false">עזר!M2771</f>
        <v/>
      </c>
    </row>
    <row r="2772" customFormat="false" ht="15" hidden="false" customHeight="false" outlineLevel="0" collapsed="false">
      <c r="A2772" s="13" t="str">
        <f aca="false">IF(עזר!L2772="","",INDEX(עזר!$A$2:$A$5001,עזר!L2772))</f>
        <v/>
      </c>
      <c r="B2772" s="13" t="str">
        <f aca="false">IF(עזר!L2772="","",INDEX(עזר!$B$2:$B$5001,עזר!L2772))</f>
        <v/>
      </c>
      <c r="C2772" s="13" t="str">
        <f aca="false">עזר!M2772</f>
        <v/>
      </c>
    </row>
    <row r="2773" customFormat="false" ht="15" hidden="false" customHeight="false" outlineLevel="0" collapsed="false">
      <c r="A2773" s="13" t="str">
        <f aca="false">IF(עזר!L2773="","",INDEX(עזר!$A$2:$A$5001,עזר!L2773))</f>
        <v/>
      </c>
      <c r="B2773" s="13" t="str">
        <f aca="false">IF(עזר!L2773="","",INDEX(עזר!$B$2:$B$5001,עזר!L2773))</f>
        <v/>
      </c>
      <c r="C2773" s="13" t="str">
        <f aca="false">עזר!M2773</f>
        <v/>
      </c>
    </row>
    <row r="2774" customFormat="false" ht="15" hidden="false" customHeight="false" outlineLevel="0" collapsed="false">
      <c r="A2774" s="13" t="str">
        <f aca="false">IF(עזר!L2774="","",INDEX(עזר!$A$2:$A$5001,עזר!L2774))</f>
        <v/>
      </c>
      <c r="B2774" s="13" t="str">
        <f aca="false">IF(עזר!L2774="","",INDEX(עזר!$B$2:$B$5001,עזר!L2774))</f>
        <v/>
      </c>
      <c r="C2774" s="13" t="str">
        <f aca="false">עזר!M2774</f>
        <v/>
      </c>
    </row>
    <row r="2775" customFormat="false" ht="15" hidden="false" customHeight="false" outlineLevel="0" collapsed="false">
      <c r="A2775" s="13" t="str">
        <f aca="false">IF(עזר!L2775="","",INDEX(עזר!$A$2:$A$5001,עזר!L2775))</f>
        <v/>
      </c>
      <c r="B2775" s="13" t="str">
        <f aca="false">IF(עזר!L2775="","",INDEX(עזר!$B$2:$B$5001,עזר!L2775))</f>
        <v/>
      </c>
      <c r="C2775" s="13" t="str">
        <f aca="false">עזר!M2775</f>
        <v/>
      </c>
    </row>
    <row r="2776" customFormat="false" ht="15" hidden="false" customHeight="false" outlineLevel="0" collapsed="false">
      <c r="A2776" s="13" t="str">
        <f aca="false">IF(עזר!L2776="","",INDEX(עזר!$A$2:$A$5001,עזר!L2776))</f>
        <v/>
      </c>
      <c r="B2776" s="13" t="str">
        <f aca="false">IF(עזר!L2776="","",INDEX(עזר!$B$2:$B$5001,עזר!L2776))</f>
        <v/>
      </c>
      <c r="C2776" s="13" t="str">
        <f aca="false">עזר!M2776</f>
        <v/>
      </c>
    </row>
    <row r="2777" customFormat="false" ht="15" hidden="false" customHeight="false" outlineLevel="0" collapsed="false">
      <c r="A2777" s="13" t="str">
        <f aca="false">IF(עזר!L2777="","",INDEX(עזר!$A$2:$A$5001,עזר!L2777))</f>
        <v/>
      </c>
      <c r="B2777" s="13" t="str">
        <f aca="false">IF(עזר!L2777="","",INDEX(עזר!$B$2:$B$5001,עזר!L2777))</f>
        <v/>
      </c>
      <c r="C2777" s="13" t="str">
        <f aca="false">עזר!M2777</f>
        <v/>
      </c>
    </row>
    <row r="2778" customFormat="false" ht="15" hidden="false" customHeight="false" outlineLevel="0" collapsed="false">
      <c r="A2778" s="13" t="str">
        <f aca="false">IF(עזר!L2778="","",INDEX(עזר!$A$2:$A$5001,עזר!L2778))</f>
        <v/>
      </c>
      <c r="B2778" s="13" t="str">
        <f aca="false">IF(עזר!L2778="","",INDEX(עזר!$B$2:$B$5001,עזר!L2778))</f>
        <v/>
      </c>
      <c r="C2778" s="13" t="str">
        <f aca="false">עזר!M2778</f>
        <v/>
      </c>
    </row>
    <row r="2779" customFormat="false" ht="15" hidden="false" customHeight="false" outlineLevel="0" collapsed="false">
      <c r="A2779" s="13" t="str">
        <f aca="false">IF(עזר!L2779="","",INDEX(עזר!$A$2:$A$5001,עזר!L2779))</f>
        <v/>
      </c>
      <c r="B2779" s="13" t="str">
        <f aca="false">IF(עזר!L2779="","",INDEX(עזר!$B$2:$B$5001,עזר!L2779))</f>
        <v/>
      </c>
      <c r="C2779" s="13" t="str">
        <f aca="false">עזר!M2779</f>
        <v/>
      </c>
    </row>
    <row r="2780" customFormat="false" ht="15" hidden="false" customHeight="false" outlineLevel="0" collapsed="false">
      <c r="A2780" s="13" t="str">
        <f aca="false">IF(עזר!L2780="","",INDEX(עזר!$A$2:$A$5001,עזר!L2780))</f>
        <v/>
      </c>
      <c r="B2780" s="13" t="str">
        <f aca="false">IF(עזר!L2780="","",INDEX(עזר!$B$2:$B$5001,עזר!L2780))</f>
        <v/>
      </c>
      <c r="C2780" s="13" t="str">
        <f aca="false">עזר!M2780</f>
        <v/>
      </c>
    </row>
    <row r="2781" customFormat="false" ht="15" hidden="false" customHeight="false" outlineLevel="0" collapsed="false">
      <c r="A2781" s="13" t="str">
        <f aca="false">IF(עזר!L2781="","",INDEX(עזר!$A$2:$A$5001,עזר!L2781))</f>
        <v/>
      </c>
      <c r="B2781" s="13" t="str">
        <f aca="false">IF(עזר!L2781="","",INDEX(עזר!$B$2:$B$5001,עזר!L2781))</f>
        <v/>
      </c>
      <c r="C2781" s="13" t="str">
        <f aca="false">עזר!M2781</f>
        <v/>
      </c>
    </row>
    <row r="2782" customFormat="false" ht="15" hidden="false" customHeight="false" outlineLevel="0" collapsed="false">
      <c r="A2782" s="13" t="str">
        <f aca="false">IF(עזר!L2782="","",INDEX(עזר!$A$2:$A$5001,עזר!L2782))</f>
        <v/>
      </c>
      <c r="B2782" s="13" t="str">
        <f aca="false">IF(עזר!L2782="","",INDEX(עזר!$B$2:$B$5001,עזר!L2782))</f>
        <v/>
      </c>
      <c r="C2782" s="13" t="str">
        <f aca="false">עזר!M2782</f>
        <v/>
      </c>
    </row>
    <row r="2783" customFormat="false" ht="15" hidden="false" customHeight="false" outlineLevel="0" collapsed="false">
      <c r="A2783" s="13" t="str">
        <f aca="false">IF(עזר!L2783="","",INDEX(עזר!$A$2:$A$5001,עזר!L2783))</f>
        <v/>
      </c>
      <c r="B2783" s="13" t="str">
        <f aca="false">IF(עזר!L2783="","",INDEX(עזר!$B$2:$B$5001,עזר!L2783))</f>
        <v/>
      </c>
      <c r="C2783" s="13" t="str">
        <f aca="false">עזר!M2783</f>
        <v/>
      </c>
    </row>
    <row r="2784" customFormat="false" ht="15" hidden="false" customHeight="false" outlineLevel="0" collapsed="false">
      <c r="A2784" s="13" t="str">
        <f aca="false">IF(עזר!L2784="","",INDEX(עזר!$A$2:$A$5001,עזר!L2784))</f>
        <v/>
      </c>
      <c r="B2784" s="13" t="str">
        <f aca="false">IF(עזר!L2784="","",INDEX(עזר!$B$2:$B$5001,עזר!L2784))</f>
        <v/>
      </c>
      <c r="C2784" s="13" t="str">
        <f aca="false">עזר!M2784</f>
        <v/>
      </c>
    </row>
    <row r="2785" customFormat="false" ht="15" hidden="false" customHeight="false" outlineLevel="0" collapsed="false">
      <c r="A2785" s="13" t="str">
        <f aca="false">IF(עזר!L2785="","",INDEX(עזר!$A$2:$A$5001,עזר!L2785))</f>
        <v/>
      </c>
      <c r="B2785" s="13" t="str">
        <f aca="false">IF(עזר!L2785="","",INDEX(עזר!$B$2:$B$5001,עזר!L2785))</f>
        <v/>
      </c>
      <c r="C2785" s="13" t="str">
        <f aca="false">עזר!M2785</f>
        <v/>
      </c>
    </row>
    <row r="2786" customFormat="false" ht="15" hidden="false" customHeight="false" outlineLevel="0" collapsed="false">
      <c r="A2786" s="13" t="str">
        <f aca="false">IF(עזר!L2786="","",INDEX(עזר!$A$2:$A$5001,עזר!L2786))</f>
        <v/>
      </c>
      <c r="B2786" s="13" t="str">
        <f aca="false">IF(עזר!L2786="","",INDEX(עזר!$B$2:$B$5001,עזר!L2786))</f>
        <v/>
      </c>
      <c r="C2786" s="13" t="str">
        <f aca="false">עזר!M2786</f>
        <v/>
      </c>
    </row>
    <row r="2787" customFormat="false" ht="15" hidden="false" customHeight="false" outlineLevel="0" collapsed="false">
      <c r="A2787" s="13" t="str">
        <f aca="false">IF(עזר!L2787="","",INDEX(עזר!$A$2:$A$5001,עזר!L2787))</f>
        <v/>
      </c>
      <c r="B2787" s="13" t="str">
        <f aca="false">IF(עזר!L2787="","",INDEX(עזר!$B$2:$B$5001,עזר!L2787))</f>
        <v/>
      </c>
      <c r="C2787" s="13" t="str">
        <f aca="false">עזר!M2787</f>
        <v/>
      </c>
    </row>
    <row r="2788" customFormat="false" ht="15" hidden="false" customHeight="false" outlineLevel="0" collapsed="false">
      <c r="A2788" s="13" t="str">
        <f aca="false">IF(עזר!L2788="","",INDEX(עזר!$A$2:$A$5001,עזר!L2788))</f>
        <v/>
      </c>
      <c r="B2788" s="13" t="str">
        <f aca="false">IF(עזר!L2788="","",INDEX(עזר!$B$2:$B$5001,עזר!L2788))</f>
        <v/>
      </c>
      <c r="C2788" s="13" t="str">
        <f aca="false">עזר!M2788</f>
        <v/>
      </c>
    </row>
    <row r="2789" customFormat="false" ht="15" hidden="false" customHeight="false" outlineLevel="0" collapsed="false">
      <c r="A2789" s="13" t="str">
        <f aca="false">IF(עזר!L2789="","",INDEX(עזר!$A$2:$A$5001,עזר!L2789))</f>
        <v/>
      </c>
      <c r="B2789" s="13" t="str">
        <f aca="false">IF(עזר!L2789="","",INDEX(עזר!$B$2:$B$5001,עזר!L2789))</f>
        <v/>
      </c>
      <c r="C2789" s="13" t="str">
        <f aca="false">עזר!M2789</f>
        <v/>
      </c>
    </row>
    <row r="2790" customFormat="false" ht="15" hidden="false" customHeight="false" outlineLevel="0" collapsed="false">
      <c r="A2790" s="13" t="str">
        <f aca="false">IF(עזר!L2790="","",INDEX(עזר!$A$2:$A$5001,עזר!L2790))</f>
        <v/>
      </c>
      <c r="B2790" s="13" t="str">
        <f aca="false">IF(עזר!L2790="","",INDEX(עזר!$B$2:$B$5001,עזר!L2790))</f>
        <v/>
      </c>
      <c r="C2790" s="13" t="str">
        <f aca="false">עזר!M2790</f>
        <v/>
      </c>
    </row>
    <row r="2791" customFormat="false" ht="15" hidden="false" customHeight="false" outlineLevel="0" collapsed="false">
      <c r="A2791" s="13" t="str">
        <f aca="false">IF(עזר!L2791="","",INDEX(עזר!$A$2:$A$5001,עזר!L2791))</f>
        <v/>
      </c>
      <c r="B2791" s="13" t="str">
        <f aca="false">IF(עזר!L2791="","",INDEX(עזר!$B$2:$B$5001,עזר!L2791))</f>
        <v/>
      </c>
      <c r="C2791" s="13" t="str">
        <f aca="false">עזר!M2791</f>
        <v/>
      </c>
    </row>
    <row r="2792" customFormat="false" ht="15" hidden="false" customHeight="false" outlineLevel="0" collapsed="false">
      <c r="A2792" s="13" t="str">
        <f aca="false">IF(עזר!L2792="","",INDEX(עזר!$A$2:$A$5001,עזר!L2792))</f>
        <v/>
      </c>
      <c r="B2792" s="13" t="str">
        <f aca="false">IF(עזר!L2792="","",INDEX(עזר!$B$2:$B$5001,עזר!L2792))</f>
        <v/>
      </c>
      <c r="C2792" s="13" t="str">
        <f aca="false">עזר!M2792</f>
        <v/>
      </c>
    </row>
    <row r="2793" customFormat="false" ht="15" hidden="false" customHeight="false" outlineLevel="0" collapsed="false">
      <c r="A2793" s="13" t="str">
        <f aca="false">IF(עזר!L2793="","",INDEX(עזר!$A$2:$A$5001,עזר!L2793))</f>
        <v/>
      </c>
      <c r="B2793" s="13" t="str">
        <f aca="false">IF(עזר!L2793="","",INDEX(עזר!$B$2:$B$5001,עזר!L2793))</f>
        <v/>
      </c>
      <c r="C2793" s="13" t="str">
        <f aca="false">עזר!M2793</f>
        <v/>
      </c>
    </row>
    <row r="2794" customFormat="false" ht="15" hidden="false" customHeight="false" outlineLevel="0" collapsed="false">
      <c r="A2794" s="13" t="str">
        <f aca="false">IF(עזר!L2794="","",INDEX(עזר!$A$2:$A$5001,עזר!L2794))</f>
        <v/>
      </c>
      <c r="B2794" s="13" t="str">
        <f aca="false">IF(עזר!L2794="","",INDEX(עזר!$B$2:$B$5001,עזר!L2794))</f>
        <v/>
      </c>
      <c r="C2794" s="13" t="str">
        <f aca="false">עזר!M2794</f>
        <v/>
      </c>
    </row>
    <row r="2795" customFormat="false" ht="15" hidden="false" customHeight="false" outlineLevel="0" collapsed="false">
      <c r="A2795" s="13" t="str">
        <f aca="false">IF(עזר!L2795="","",INDEX(עזר!$A$2:$A$5001,עזר!L2795))</f>
        <v/>
      </c>
      <c r="B2795" s="13" t="str">
        <f aca="false">IF(עזר!L2795="","",INDEX(עזר!$B$2:$B$5001,עזר!L2795))</f>
        <v/>
      </c>
      <c r="C2795" s="13" t="str">
        <f aca="false">עזר!M2795</f>
        <v/>
      </c>
    </row>
    <row r="2796" customFormat="false" ht="15" hidden="false" customHeight="false" outlineLevel="0" collapsed="false">
      <c r="A2796" s="13" t="str">
        <f aca="false">IF(עזר!L2796="","",INDEX(עזר!$A$2:$A$5001,עזר!L2796))</f>
        <v/>
      </c>
      <c r="B2796" s="13" t="str">
        <f aca="false">IF(עזר!L2796="","",INDEX(עזר!$B$2:$B$5001,עזר!L2796))</f>
        <v/>
      </c>
      <c r="C2796" s="13" t="str">
        <f aca="false">עזר!M2796</f>
        <v/>
      </c>
    </row>
    <row r="2797" customFormat="false" ht="15" hidden="false" customHeight="false" outlineLevel="0" collapsed="false">
      <c r="A2797" s="13" t="str">
        <f aca="false">IF(עזר!L2797="","",INDEX(עזר!$A$2:$A$5001,עזר!L2797))</f>
        <v/>
      </c>
      <c r="B2797" s="13" t="str">
        <f aca="false">IF(עזר!L2797="","",INDEX(עזר!$B$2:$B$5001,עזר!L2797))</f>
        <v/>
      </c>
      <c r="C2797" s="13" t="str">
        <f aca="false">עזר!M2797</f>
        <v/>
      </c>
    </row>
    <row r="2798" customFormat="false" ht="15" hidden="false" customHeight="false" outlineLevel="0" collapsed="false">
      <c r="A2798" s="13" t="str">
        <f aca="false">IF(עזר!L2798="","",INDEX(עזר!$A$2:$A$5001,עזר!L2798))</f>
        <v/>
      </c>
      <c r="B2798" s="13" t="str">
        <f aca="false">IF(עזר!L2798="","",INDEX(עזר!$B$2:$B$5001,עזר!L2798))</f>
        <v/>
      </c>
      <c r="C2798" s="13" t="str">
        <f aca="false">עזר!M2798</f>
        <v/>
      </c>
    </row>
    <row r="2799" customFormat="false" ht="15" hidden="false" customHeight="false" outlineLevel="0" collapsed="false">
      <c r="A2799" s="13" t="str">
        <f aca="false">IF(עזר!L2799="","",INDEX(עזר!$A$2:$A$5001,עזר!L2799))</f>
        <v/>
      </c>
      <c r="B2799" s="13" t="str">
        <f aca="false">IF(עזר!L2799="","",INDEX(עזר!$B$2:$B$5001,עזר!L2799))</f>
        <v/>
      </c>
      <c r="C2799" s="13" t="str">
        <f aca="false">עזר!M2799</f>
        <v/>
      </c>
    </row>
    <row r="2800" customFormat="false" ht="15" hidden="false" customHeight="false" outlineLevel="0" collapsed="false">
      <c r="A2800" s="13" t="str">
        <f aca="false">IF(עזר!L2800="","",INDEX(עזר!$A$2:$A$5001,עזר!L2800))</f>
        <v/>
      </c>
      <c r="B2800" s="13" t="str">
        <f aca="false">IF(עזר!L2800="","",INDEX(עזר!$B$2:$B$5001,עזר!L2800))</f>
        <v/>
      </c>
      <c r="C2800" s="13" t="str">
        <f aca="false">עזר!M2800</f>
        <v/>
      </c>
    </row>
    <row r="2801" customFormat="false" ht="15" hidden="false" customHeight="false" outlineLevel="0" collapsed="false">
      <c r="A2801" s="13" t="str">
        <f aca="false">IF(עזר!L2801="","",INDEX(עזר!$A$2:$A$5001,עזר!L2801))</f>
        <v/>
      </c>
      <c r="B2801" s="13" t="str">
        <f aca="false">IF(עזר!L2801="","",INDEX(עזר!$B$2:$B$5001,עזר!L2801))</f>
        <v/>
      </c>
      <c r="C2801" s="13" t="str">
        <f aca="false">עזר!M2801</f>
        <v/>
      </c>
    </row>
    <row r="2802" customFormat="false" ht="15" hidden="false" customHeight="false" outlineLevel="0" collapsed="false">
      <c r="A2802" s="13" t="str">
        <f aca="false">IF(עזר!L2802="","",INDEX(עזר!$A$2:$A$5001,עזר!L2802))</f>
        <v/>
      </c>
      <c r="B2802" s="13" t="str">
        <f aca="false">IF(עזר!L2802="","",INDEX(עזר!$B$2:$B$5001,עזר!L2802))</f>
        <v/>
      </c>
      <c r="C2802" s="13" t="str">
        <f aca="false">עזר!M2802</f>
        <v/>
      </c>
    </row>
    <row r="2803" customFormat="false" ht="15" hidden="false" customHeight="false" outlineLevel="0" collapsed="false">
      <c r="A2803" s="13" t="str">
        <f aca="false">IF(עזר!L2803="","",INDEX(עזר!$A$2:$A$5001,עזר!L2803))</f>
        <v/>
      </c>
      <c r="B2803" s="13" t="str">
        <f aca="false">IF(עזר!L2803="","",INDEX(עזר!$B$2:$B$5001,עזר!L2803))</f>
        <v/>
      </c>
      <c r="C2803" s="13" t="str">
        <f aca="false">עזר!M2803</f>
        <v/>
      </c>
    </row>
    <row r="2804" customFormat="false" ht="15" hidden="false" customHeight="false" outlineLevel="0" collapsed="false">
      <c r="A2804" s="13" t="str">
        <f aca="false">IF(עזר!L2804="","",INDEX(עזר!$A$2:$A$5001,עזר!L2804))</f>
        <v/>
      </c>
      <c r="B2804" s="13" t="str">
        <f aca="false">IF(עזר!L2804="","",INDEX(עזר!$B$2:$B$5001,עזר!L2804))</f>
        <v/>
      </c>
      <c r="C2804" s="13" t="str">
        <f aca="false">עזר!M2804</f>
        <v/>
      </c>
    </row>
    <row r="2805" customFormat="false" ht="15" hidden="false" customHeight="false" outlineLevel="0" collapsed="false">
      <c r="A2805" s="13" t="str">
        <f aca="false">IF(עזר!L2805="","",INDEX(עזר!$A$2:$A$5001,עזר!L2805))</f>
        <v/>
      </c>
      <c r="B2805" s="13" t="str">
        <f aca="false">IF(עזר!L2805="","",INDEX(עזר!$B$2:$B$5001,עזר!L2805))</f>
        <v/>
      </c>
      <c r="C2805" s="13" t="str">
        <f aca="false">עזר!M2805</f>
        <v/>
      </c>
    </row>
    <row r="2806" customFormat="false" ht="15" hidden="false" customHeight="false" outlineLevel="0" collapsed="false">
      <c r="A2806" s="13" t="str">
        <f aca="false">IF(עזר!L2806="","",INDEX(עזר!$A$2:$A$5001,עזר!L2806))</f>
        <v/>
      </c>
      <c r="B2806" s="13" t="str">
        <f aca="false">IF(עזר!L2806="","",INDEX(עזר!$B$2:$B$5001,עזר!L2806))</f>
        <v/>
      </c>
      <c r="C2806" s="13" t="str">
        <f aca="false">עזר!M2806</f>
        <v/>
      </c>
    </row>
    <row r="2807" customFormat="false" ht="15" hidden="false" customHeight="false" outlineLevel="0" collapsed="false">
      <c r="A2807" s="13" t="str">
        <f aca="false">IF(עזר!L2807="","",INDEX(עזר!$A$2:$A$5001,עזר!L2807))</f>
        <v/>
      </c>
      <c r="B2807" s="13" t="str">
        <f aca="false">IF(עזר!L2807="","",INDEX(עזר!$B$2:$B$5001,עזר!L2807))</f>
        <v/>
      </c>
      <c r="C2807" s="13" t="str">
        <f aca="false">עזר!M2807</f>
        <v/>
      </c>
    </row>
    <row r="2808" customFormat="false" ht="15" hidden="false" customHeight="false" outlineLevel="0" collapsed="false">
      <c r="A2808" s="13" t="str">
        <f aca="false">IF(עזר!L2808="","",INDEX(עזר!$A$2:$A$5001,עזר!L2808))</f>
        <v/>
      </c>
      <c r="B2808" s="13" t="str">
        <f aca="false">IF(עזר!L2808="","",INDEX(עזר!$B$2:$B$5001,עזר!L2808))</f>
        <v/>
      </c>
      <c r="C2808" s="13" t="str">
        <f aca="false">עזר!M2808</f>
        <v/>
      </c>
    </row>
    <row r="2809" customFormat="false" ht="15" hidden="false" customHeight="false" outlineLevel="0" collapsed="false">
      <c r="A2809" s="13" t="str">
        <f aca="false">IF(עזר!L2809="","",INDEX(עזר!$A$2:$A$5001,עזר!L2809))</f>
        <v/>
      </c>
      <c r="B2809" s="13" t="str">
        <f aca="false">IF(עזר!L2809="","",INDEX(עזר!$B$2:$B$5001,עזר!L2809))</f>
        <v/>
      </c>
      <c r="C2809" s="13" t="str">
        <f aca="false">עזר!M2809</f>
        <v/>
      </c>
    </row>
    <row r="2810" customFormat="false" ht="15" hidden="false" customHeight="false" outlineLevel="0" collapsed="false">
      <c r="A2810" s="13" t="str">
        <f aca="false">IF(עזר!L2810="","",INDEX(עזר!$A$2:$A$5001,עזר!L2810))</f>
        <v/>
      </c>
      <c r="B2810" s="13" t="str">
        <f aca="false">IF(עזר!L2810="","",INDEX(עזר!$B$2:$B$5001,עזר!L2810))</f>
        <v/>
      </c>
      <c r="C2810" s="13" t="str">
        <f aca="false">עזר!M2810</f>
        <v/>
      </c>
    </row>
    <row r="2811" customFormat="false" ht="15" hidden="false" customHeight="false" outlineLevel="0" collapsed="false">
      <c r="A2811" s="13" t="str">
        <f aca="false">IF(עזר!L2811="","",INDEX(עזר!$A$2:$A$5001,עזר!L2811))</f>
        <v/>
      </c>
      <c r="B2811" s="13" t="str">
        <f aca="false">IF(עזר!L2811="","",INDEX(עזר!$B$2:$B$5001,עזר!L2811))</f>
        <v/>
      </c>
      <c r="C2811" s="13" t="str">
        <f aca="false">עזר!M2811</f>
        <v/>
      </c>
    </row>
    <row r="2812" customFormat="false" ht="15" hidden="false" customHeight="false" outlineLevel="0" collapsed="false">
      <c r="A2812" s="13" t="str">
        <f aca="false">IF(עזר!L2812="","",INDEX(עזר!$A$2:$A$5001,עזר!L2812))</f>
        <v/>
      </c>
      <c r="B2812" s="13" t="str">
        <f aca="false">IF(עזר!L2812="","",INDEX(עזר!$B$2:$B$5001,עזר!L2812))</f>
        <v/>
      </c>
      <c r="C2812" s="13" t="str">
        <f aca="false">עזר!M2812</f>
        <v/>
      </c>
    </row>
    <row r="2813" customFormat="false" ht="15" hidden="false" customHeight="false" outlineLevel="0" collapsed="false">
      <c r="A2813" s="13" t="str">
        <f aca="false">IF(עזר!L2813="","",INDEX(עזר!$A$2:$A$5001,עזר!L2813))</f>
        <v/>
      </c>
      <c r="B2813" s="13" t="str">
        <f aca="false">IF(עזר!L2813="","",INDEX(עזר!$B$2:$B$5001,עזר!L2813))</f>
        <v/>
      </c>
      <c r="C2813" s="13" t="str">
        <f aca="false">עזר!M2813</f>
        <v/>
      </c>
    </row>
    <row r="2814" customFormat="false" ht="15" hidden="false" customHeight="false" outlineLevel="0" collapsed="false">
      <c r="A2814" s="13" t="str">
        <f aca="false">IF(עזר!L2814="","",INDEX(עזר!$A$2:$A$5001,עזר!L2814))</f>
        <v/>
      </c>
      <c r="B2814" s="13" t="str">
        <f aca="false">IF(עזר!L2814="","",INDEX(עזר!$B$2:$B$5001,עזר!L2814))</f>
        <v/>
      </c>
      <c r="C2814" s="13" t="str">
        <f aca="false">עזר!M2814</f>
        <v/>
      </c>
    </row>
    <row r="2815" customFormat="false" ht="15" hidden="false" customHeight="false" outlineLevel="0" collapsed="false">
      <c r="A2815" s="13" t="str">
        <f aca="false">IF(עזר!L2815="","",INDEX(עזר!$A$2:$A$5001,עזר!L2815))</f>
        <v/>
      </c>
      <c r="B2815" s="13" t="str">
        <f aca="false">IF(עזר!L2815="","",INDEX(עזר!$B$2:$B$5001,עזר!L2815))</f>
        <v/>
      </c>
      <c r="C2815" s="13" t="str">
        <f aca="false">עזר!M2815</f>
        <v/>
      </c>
    </row>
    <row r="2816" customFormat="false" ht="15" hidden="false" customHeight="false" outlineLevel="0" collapsed="false">
      <c r="A2816" s="13" t="str">
        <f aca="false">IF(עזר!L2816="","",INDEX(עזר!$A$2:$A$5001,עזר!L2816))</f>
        <v/>
      </c>
      <c r="B2816" s="13" t="str">
        <f aca="false">IF(עזר!L2816="","",INDEX(עזר!$B$2:$B$5001,עזר!L2816))</f>
        <v/>
      </c>
      <c r="C2816" s="13" t="str">
        <f aca="false">עזר!M2816</f>
        <v/>
      </c>
    </row>
    <row r="2817" customFormat="false" ht="15" hidden="false" customHeight="false" outlineLevel="0" collapsed="false">
      <c r="A2817" s="13" t="str">
        <f aca="false">IF(עזר!L2817="","",INDEX(עזר!$A$2:$A$5001,עזר!L2817))</f>
        <v/>
      </c>
      <c r="B2817" s="13" t="str">
        <f aca="false">IF(עזר!L2817="","",INDEX(עזר!$B$2:$B$5001,עזר!L2817))</f>
        <v/>
      </c>
      <c r="C2817" s="13" t="str">
        <f aca="false">עזר!M2817</f>
        <v/>
      </c>
    </row>
    <row r="2818" customFormat="false" ht="15" hidden="false" customHeight="false" outlineLevel="0" collapsed="false">
      <c r="A2818" s="13" t="str">
        <f aca="false">IF(עזר!L2818="","",INDEX(עזר!$A$2:$A$5001,עזר!L2818))</f>
        <v/>
      </c>
      <c r="B2818" s="13" t="str">
        <f aca="false">IF(עזר!L2818="","",INDEX(עזר!$B$2:$B$5001,עזר!L2818))</f>
        <v/>
      </c>
      <c r="C2818" s="13" t="str">
        <f aca="false">עזר!M2818</f>
        <v/>
      </c>
    </row>
    <row r="2819" customFormat="false" ht="15" hidden="false" customHeight="false" outlineLevel="0" collapsed="false">
      <c r="A2819" s="13" t="str">
        <f aca="false">IF(עזר!L2819="","",INDEX(עזר!$A$2:$A$5001,עזר!L2819))</f>
        <v/>
      </c>
      <c r="B2819" s="13" t="str">
        <f aca="false">IF(עזר!L2819="","",INDEX(עזר!$B$2:$B$5001,עזר!L2819))</f>
        <v/>
      </c>
      <c r="C2819" s="13" t="str">
        <f aca="false">עזר!M2819</f>
        <v/>
      </c>
    </row>
    <row r="2820" customFormat="false" ht="15" hidden="false" customHeight="false" outlineLevel="0" collapsed="false">
      <c r="A2820" s="13" t="str">
        <f aca="false">IF(עזר!L2820="","",INDEX(עזר!$A$2:$A$5001,עזר!L2820))</f>
        <v/>
      </c>
      <c r="B2820" s="13" t="str">
        <f aca="false">IF(עזר!L2820="","",INDEX(עזר!$B$2:$B$5001,עזר!L2820))</f>
        <v/>
      </c>
      <c r="C2820" s="13" t="str">
        <f aca="false">עזר!M2820</f>
        <v/>
      </c>
    </row>
    <row r="2821" customFormat="false" ht="15" hidden="false" customHeight="false" outlineLevel="0" collapsed="false">
      <c r="A2821" s="13" t="str">
        <f aca="false">IF(עזר!L2821="","",INDEX(עזר!$A$2:$A$5001,עזר!L2821))</f>
        <v/>
      </c>
      <c r="B2821" s="13" t="str">
        <f aca="false">IF(עזר!L2821="","",INDEX(עזר!$B$2:$B$5001,עזר!L2821))</f>
        <v/>
      </c>
      <c r="C2821" s="13" t="str">
        <f aca="false">עזר!M2821</f>
        <v/>
      </c>
    </row>
    <row r="2822" customFormat="false" ht="15" hidden="false" customHeight="false" outlineLevel="0" collapsed="false">
      <c r="A2822" s="13" t="str">
        <f aca="false">IF(עזר!L2822="","",INDEX(עזר!$A$2:$A$5001,עזר!L2822))</f>
        <v/>
      </c>
      <c r="B2822" s="13" t="str">
        <f aca="false">IF(עזר!L2822="","",INDEX(עזר!$B$2:$B$5001,עזר!L2822))</f>
        <v/>
      </c>
      <c r="C2822" s="13" t="str">
        <f aca="false">עזר!M2822</f>
        <v/>
      </c>
    </row>
    <row r="2823" customFormat="false" ht="15" hidden="false" customHeight="false" outlineLevel="0" collapsed="false">
      <c r="A2823" s="13" t="str">
        <f aca="false">IF(עזר!L2823="","",INDEX(עזר!$A$2:$A$5001,עזר!L2823))</f>
        <v/>
      </c>
      <c r="B2823" s="13" t="str">
        <f aca="false">IF(עזר!L2823="","",INDEX(עזר!$B$2:$B$5001,עזר!L2823))</f>
        <v/>
      </c>
      <c r="C2823" s="13" t="str">
        <f aca="false">עזר!M2823</f>
        <v/>
      </c>
    </row>
    <row r="2824" customFormat="false" ht="15" hidden="false" customHeight="false" outlineLevel="0" collapsed="false">
      <c r="A2824" s="13" t="str">
        <f aca="false">IF(עזר!L2824="","",INDEX(עזר!$A$2:$A$5001,עזר!L2824))</f>
        <v/>
      </c>
      <c r="B2824" s="13" t="str">
        <f aca="false">IF(עזר!L2824="","",INDEX(עזר!$B$2:$B$5001,עזר!L2824))</f>
        <v/>
      </c>
      <c r="C2824" s="13" t="str">
        <f aca="false">עזר!M2824</f>
        <v/>
      </c>
    </row>
    <row r="2825" customFormat="false" ht="15" hidden="false" customHeight="false" outlineLevel="0" collapsed="false">
      <c r="A2825" s="13" t="str">
        <f aca="false">IF(עזר!L2825="","",INDEX(עזר!$A$2:$A$5001,עזר!L2825))</f>
        <v/>
      </c>
      <c r="B2825" s="13" t="str">
        <f aca="false">IF(עזר!L2825="","",INDEX(עזר!$B$2:$B$5001,עזר!L2825))</f>
        <v/>
      </c>
      <c r="C2825" s="13" t="str">
        <f aca="false">עזר!M2825</f>
        <v/>
      </c>
    </row>
    <row r="2826" customFormat="false" ht="15" hidden="false" customHeight="false" outlineLevel="0" collapsed="false">
      <c r="A2826" s="13" t="str">
        <f aca="false">IF(עזר!L2826="","",INDEX(עזר!$A$2:$A$5001,עזר!L2826))</f>
        <v/>
      </c>
      <c r="B2826" s="13" t="str">
        <f aca="false">IF(עזר!L2826="","",INDEX(עזר!$B$2:$B$5001,עזר!L2826))</f>
        <v/>
      </c>
      <c r="C2826" s="13" t="str">
        <f aca="false">עזר!M2826</f>
        <v/>
      </c>
    </row>
    <row r="2827" customFormat="false" ht="15" hidden="false" customHeight="false" outlineLevel="0" collapsed="false">
      <c r="A2827" s="13" t="str">
        <f aca="false">IF(עזר!L2827="","",INDEX(עזר!$A$2:$A$5001,עזר!L2827))</f>
        <v/>
      </c>
      <c r="B2827" s="13" t="str">
        <f aca="false">IF(עזר!L2827="","",INDEX(עזר!$B$2:$B$5001,עזר!L2827))</f>
        <v/>
      </c>
      <c r="C2827" s="13" t="str">
        <f aca="false">עזר!M2827</f>
        <v/>
      </c>
    </row>
    <row r="2828" customFormat="false" ht="15" hidden="false" customHeight="false" outlineLevel="0" collapsed="false">
      <c r="A2828" s="13" t="str">
        <f aca="false">IF(עזר!L2828="","",INDEX(עזר!$A$2:$A$5001,עזר!L2828))</f>
        <v/>
      </c>
      <c r="B2828" s="13" t="str">
        <f aca="false">IF(עזר!L2828="","",INDEX(עזר!$B$2:$B$5001,עזר!L2828))</f>
        <v/>
      </c>
      <c r="C2828" s="13" t="str">
        <f aca="false">עזר!M2828</f>
        <v/>
      </c>
    </row>
    <row r="2829" customFormat="false" ht="15" hidden="false" customHeight="false" outlineLevel="0" collapsed="false">
      <c r="A2829" s="13" t="str">
        <f aca="false">IF(עזר!L2829="","",INDEX(עזר!$A$2:$A$5001,עזר!L2829))</f>
        <v/>
      </c>
      <c r="B2829" s="13" t="str">
        <f aca="false">IF(עזר!L2829="","",INDEX(עזר!$B$2:$B$5001,עזר!L2829))</f>
        <v/>
      </c>
      <c r="C2829" s="13" t="str">
        <f aca="false">עזר!M2829</f>
        <v/>
      </c>
    </row>
    <row r="2830" customFormat="false" ht="15" hidden="false" customHeight="false" outlineLevel="0" collapsed="false">
      <c r="A2830" s="13" t="str">
        <f aca="false">IF(עזר!L2830="","",INDEX(עזר!$A$2:$A$5001,עזר!L2830))</f>
        <v/>
      </c>
      <c r="B2830" s="13" t="str">
        <f aca="false">IF(עזר!L2830="","",INDEX(עזר!$B$2:$B$5001,עזר!L2830))</f>
        <v/>
      </c>
      <c r="C2830" s="13" t="str">
        <f aca="false">עזר!M2830</f>
        <v/>
      </c>
    </row>
    <row r="2831" customFormat="false" ht="15" hidden="false" customHeight="false" outlineLevel="0" collapsed="false">
      <c r="A2831" s="13" t="str">
        <f aca="false">IF(עזר!L2831="","",INDEX(עזר!$A$2:$A$5001,עזר!L2831))</f>
        <v/>
      </c>
      <c r="B2831" s="13" t="str">
        <f aca="false">IF(עזר!L2831="","",INDEX(עזר!$B$2:$B$5001,עזר!L2831))</f>
        <v/>
      </c>
      <c r="C2831" s="13" t="str">
        <f aca="false">עזר!M2831</f>
        <v/>
      </c>
    </row>
    <row r="2832" customFormat="false" ht="15" hidden="false" customHeight="false" outlineLevel="0" collapsed="false">
      <c r="A2832" s="13" t="str">
        <f aca="false">IF(עזר!L2832="","",INDEX(עזר!$A$2:$A$5001,עזר!L2832))</f>
        <v/>
      </c>
      <c r="B2832" s="13" t="str">
        <f aca="false">IF(עזר!L2832="","",INDEX(עזר!$B$2:$B$5001,עזר!L2832))</f>
        <v/>
      </c>
      <c r="C2832" s="13" t="str">
        <f aca="false">עזר!M2832</f>
        <v/>
      </c>
    </row>
    <row r="2833" customFormat="false" ht="15" hidden="false" customHeight="false" outlineLevel="0" collapsed="false">
      <c r="A2833" s="13" t="str">
        <f aca="false">IF(עזר!L2833="","",INDEX(עזר!$A$2:$A$5001,עזר!L2833))</f>
        <v/>
      </c>
      <c r="B2833" s="13" t="str">
        <f aca="false">IF(עזר!L2833="","",INDEX(עזר!$B$2:$B$5001,עזר!L2833))</f>
        <v/>
      </c>
      <c r="C2833" s="13" t="str">
        <f aca="false">עזר!M2833</f>
        <v/>
      </c>
    </row>
    <row r="2834" customFormat="false" ht="15" hidden="false" customHeight="false" outlineLevel="0" collapsed="false">
      <c r="A2834" s="13" t="str">
        <f aca="false">IF(עזר!L2834="","",INDEX(עזר!$A$2:$A$5001,עזר!L2834))</f>
        <v/>
      </c>
      <c r="B2834" s="13" t="str">
        <f aca="false">IF(עזר!L2834="","",INDEX(עזר!$B$2:$B$5001,עזר!L2834))</f>
        <v/>
      </c>
      <c r="C2834" s="13" t="str">
        <f aca="false">עזר!M2834</f>
        <v/>
      </c>
    </row>
    <row r="2835" customFormat="false" ht="15" hidden="false" customHeight="false" outlineLevel="0" collapsed="false">
      <c r="A2835" s="13" t="str">
        <f aca="false">IF(עזר!L2835="","",INDEX(עזר!$A$2:$A$5001,עזר!L2835))</f>
        <v/>
      </c>
      <c r="B2835" s="13" t="str">
        <f aca="false">IF(עזר!L2835="","",INDEX(עזר!$B$2:$B$5001,עזר!L2835))</f>
        <v/>
      </c>
      <c r="C2835" s="13" t="str">
        <f aca="false">עזר!M2835</f>
        <v/>
      </c>
    </row>
    <row r="2836" customFormat="false" ht="15" hidden="false" customHeight="false" outlineLevel="0" collapsed="false">
      <c r="A2836" s="13" t="str">
        <f aca="false">IF(עזר!L2836="","",INDEX(עזר!$A$2:$A$5001,עזר!L2836))</f>
        <v/>
      </c>
      <c r="B2836" s="13" t="str">
        <f aca="false">IF(עזר!L2836="","",INDEX(עזר!$B$2:$B$5001,עזר!L2836))</f>
        <v/>
      </c>
      <c r="C2836" s="13" t="str">
        <f aca="false">עזר!M2836</f>
        <v/>
      </c>
    </row>
    <row r="2837" customFormat="false" ht="15" hidden="false" customHeight="false" outlineLevel="0" collapsed="false">
      <c r="A2837" s="13" t="str">
        <f aca="false">IF(עזר!L2837="","",INDEX(עזר!$A$2:$A$5001,עזר!L2837))</f>
        <v/>
      </c>
      <c r="B2837" s="13" t="str">
        <f aca="false">IF(עזר!L2837="","",INDEX(עזר!$B$2:$B$5001,עזר!L2837))</f>
        <v/>
      </c>
      <c r="C2837" s="13" t="str">
        <f aca="false">עזר!M2837</f>
        <v/>
      </c>
    </row>
    <row r="2838" customFormat="false" ht="15" hidden="false" customHeight="false" outlineLevel="0" collapsed="false">
      <c r="A2838" s="13" t="str">
        <f aca="false">IF(עזר!L2838="","",INDEX(עזר!$A$2:$A$5001,עזר!L2838))</f>
        <v/>
      </c>
      <c r="B2838" s="13" t="str">
        <f aca="false">IF(עזר!L2838="","",INDEX(עזר!$B$2:$B$5001,עזר!L2838))</f>
        <v/>
      </c>
      <c r="C2838" s="13" t="str">
        <f aca="false">עזר!M2838</f>
        <v/>
      </c>
    </row>
    <row r="2839" customFormat="false" ht="15" hidden="false" customHeight="false" outlineLevel="0" collapsed="false">
      <c r="A2839" s="13" t="str">
        <f aca="false">IF(עזר!L2839="","",INDEX(עזר!$A$2:$A$5001,עזר!L2839))</f>
        <v/>
      </c>
      <c r="B2839" s="13" t="str">
        <f aca="false">IF(עזר!L2839="","",INDEX(עזר!$B$2:$B$5001,עזר!L2839))</f>
        <v/>
      </c>
      <c r="C2839" s="13" t="str">
        <f aca="false">עזר!M2839</f>
        <v/>
      </c>
    </row>
    <row r="2840" customFormat="false" ht="15" hidden="false" customHeight="false" outlineLevel="0" collapsed="false">
      <c r="A2840" s="13" t="str">
        <f aca="false">IF(עזר!L2840="","",INDEX(עזר!$A$2:$A$5001,עזר!L2840))</f>
        <v/>
      </c>
      <c r="B2840" s="13" t="str">
        <f aca="false">IF(עזר!L2840="","",INDEX(עזר!$B$2:$B$5001,עזר!L2840))</f>
        <v/>
      </c>
      <c r="C2840" s="13" t="str">
        <f aca="false">עזר!M2840</f>
        <v/>
      </c>
    </row>
    <row r="2841" customFormat="false" ht="15" hidden="false" customHeight="false" outlineLevel="0" collapsed="false">
      <c r="A2841" s="13" t="str">
        <f aca="false">IF(עזר!L2841="","",INDEX(עזר!$A$2:$A$5001,עזר!L2841))</f>
        <v/>
      </c>
      <c r="B2841" s="13" t="str">
        <f aca="false">IF(עזר!L2841="","",INDEX(עזר!$B$2:$B$5001,עזר!L2841))</f>
        <v/>
      </c>
      <c r="C2841" s="13" t="str">
        <f aca="false">עזר!M2841</f>
        <v/>
      </c>
    </row>
    <row r="2842" customFormat="false" ht="15" hidden="false" customHeight="false" outlineLevel="0" collapsed="false">
      <c r="A2842" s="13" t="str">
        <f aca="false">IF(עזר!L2842="","",INDEX(עזר!$A$2:$A$5001,עזר!L2842))</f>
        <v/>
      </c>
      <c r="B2842" s="13" t="str">
        <f aca="false">IF(עזר!L2842="","",INDEX(עזר!$B$2:$B$5001,עזר!L2842))</f>
        <v/>
      </c>
      <c r="C2842" s="13" t="str">
        <f aca="false">עזר!M2842</f>
        <v/>
      </c>
    </row>
    <row r="2843" customFormat="false" ht="15" hidden="false" customHeight="false" outlineLevel="0" collapsed="false">
      <c r="A2843" s="13" t="str">
        <f aca="false">IF(עזר!L2843="","",INDEX(עזר!$A$2:$A$5001,עזר!L2843))</f>
        <v/>
      </c>
      <c r="B2843" s="13" t="str">
        <f aca="false">IF(עזר!L2843="","",INDEX(עזר!$B$2:$B$5001,עזר!L2843))</f>
        <v/>
      </c>
      <c r="C2843" s="13" t="str">
        <f aca="false">עזר!M2843</f>
        <v/>
      </c>
    </row>
    <row r="2844" customFormat="false" ht="15" hidden="false" customHeight="false" outlineLevel="0" collapsed="false">
      <c r="A2844" s="13" t="str">
        <f aca="false">IF(עזר!L2844="","",INDEX(עזר!$A$2:$A$5001,עזר!L2844))</f>
        <v/>
      </c>
      <c r="B2844" s="13" t="str">
        <f aca="false">IF(עזר!L2844="","",INDEX(עזר!$B$2:$B$5001,עזר!L2844))</f>
        <v/>
      </c>
      <c r="C2844" s="13" t="str">
        <f aca="false">עזר!M2844</f>
        <v/>
      </c>
    </row>
    <row r="2845" customFormat="false" ht="15" hidden="false" customHeight="false" outlineLevel="0" collapsed="false">
      <c r="A2845" s="13" t="str">
        <f aca="false">IF(עזר!L2845="","",INDEX(עזר!$A$2:$A$5001,עזר!L2845))</f>
        <v/>
      </c>
      <c r="B2845" s="13" t="str">
        <f aca="false">IF(עזר!L2845="","",INDEX(עזר!$B$2:$B$5001,עזר!L2845))</f>
        <v/>
      </c>
      <c r="C2845" s="13" t="str">
        <f aca="false">עזר!M2845</f>
        <v/>
      </c>
    </row>
    <row r="2846" customFormat="false" ht="15" hidden="false" customHeight="false" outlineLevel="0" collapsed="false">
      <c r="A2846" s="13" t="str">
        <f aca="false">IF(עזר!L2846="","",INDEX(עזר!$A$2:$A$5001,עזר!L2846))</f>
        <v/>
      </c>
      <c r="B2846" s="13" t="str">
        <f aca="false">IF(עזר!L2846="","",INDEX(עזר!$B$2:$B$5001,עזר!L2846))</f>
        <v/>
      </c>
      <c r="C2846" s="13" t="str">
        <f aca="false">עזר!M2846</f>
        <v/>
      </c>
    </row>
    <row r="2847" customFormat="false" ht="15" hidden="false" customHeight="false" outlineLevel="0" collapsed="false">
      <c r="A2847" s="13" t="str">
        <f aca="false">IF(עזר!L2847="","",INDEX(עזר!$A$2:$A$5001,עזר!L2847))</f>
        <v/>
      </c>
      <c r="B2847" s="13" t="str">
        <f aca="false">IF(עזר!L2847="","",INDEX(עזר!$B$2:$B$5001,עזר!L2847))</f>
        <v/>
      </c>
      <c r="C2847" s="13" t="str">
        <f aca="false">עזר!M2847</f>
        <v/>
      </c>
    </row>
    <row r="2848" customFormat="false" ht="15" hidden="false" customHeight="false" outlineLevel="0" collapsed="false">
      <c r="A2848" s="13" t="str">
        <f aca="false">IF(עזר!L2848="","",INDEX(עזר!$A$2:$A$5001,עזר!L2848))</f>
        <v/>
      </c>
      <c r="B2848" s="13" t="str">
        <f aca="false">IF(עזר!L2848="","",INDEX(עזר!$B$2:$B$5001,עזר!L2848))</f>
        <v/>
      </c>
      <c r="C2848" s="13" t="str">
        <f aca="false">עזר!M2848</f>
        <v/>
      </c>
    </row>
    <row r="2849" customFormat="false" ht="15" hidden="false" customHeight="false" outlineLevel="0" collapsed="false">
      <c r="A2849" s="13" t="str">
        <f aca="false">IF(עזר!L2849="","",INDEX(עזר!$A$2:$A$5001,עזר!L2849))</f>
        <v/>
      </c>
      <c r="B2849" s="13" t="str">
        <f aca="false">IF(עזר!L2849="","",INDEX(עזר!$B$2:$B$5001,עזר!L2849))</f>
        <v/>
      </c>
      <c r="C2849" s="13" t="str">
        <f aca="false">עזר!M2849</f>
        <v/>
      </c>
    </row>
    <row r="2850" customFormat="false" ht="15" hidden="false" customHeight="false" outlineLevel="0" collapsed="false">
      <c r="A2850" s="13" t="str">
        <f aca="false">IF(עזר!L2850="","",INDEX(עזר!$A$2:$A$5001,עזר!L2850))</f>
        <v/>
      </c>
      <c r="B2850" s="13" t="str">
        <f aca="false">IF(עזר!L2850="","",INDEX(עזר!$B$2:$B$5001,עזר!L2850))</f>
        <v/>
      </c>
      <c r="C2850" s="13" t="str">
        <f aca="false">עזר!M2850</f>
        <v/>
      </c>
    </row>
    <row r="2851" customFormat="false" ht="15" hidden="false" customHeight="false" outlineLevel="0" collapsed="false">
      <c r="A2851" s="13" t="str">
        <f aca="false">IF(עזר!L2851="","",INDEX(עזר!$A$2:$A$5001,עזר!L2851))</f>
        <v/>
      </c>
      <c r="B2851" s="13" t="str">
        <f aca="false">IF(עזר!L2851="","",INDEX(עזר!$B$2:$B$5001,עזר!L2851))</f>
        <v/>
      </c>
      <c r="C2851" s="13" t="str">
        <f aca="false">עזר!M2851</f>
        <v/>
      </c>
    </row>
    <row r="2852" customFormat="false" ht="15" hidden="false" customHeight="false" outlineLevel="0" collapsed="false">
      <c r="A2852" s="13" t="str">
        <f aca="false">IF(עזר!L2852="","",INDEX(עזר!$A$2:$A$5001,עזר!L2852))</f>
        <v/>
      </c>
      <c r="B2852" s="13" t="str">
        <f aca="false">IF(עזר!L2852="","",INDEX(עזר!$B$2:$B$5001,עזר!L2852))</f>
        <v/>
      </c>
      <c r="C2852" s="13" t="str">
        <f aca="false">עזר!M2852</f>
        <v/>
      </c>
    </row>
    <row r="2853" customFormat="false" ht="15" hidden="false" customHeight="false" outlineLevel="0" collapsed="false">
      <c r="A2853" s="13" t="str">
        <f aca="false">IF(עזר!L2853="","",INDEX(עזר!$A$2:$A$5001,עזר!L2853))</f>
        <v/>
      </c>
      <c r="B2853" s="13" t="str">
        <f aca="false">IF(עזר!L2853="","",INDEX(עזר!$B$2:$B$5001,עזר!L2853))</f>
        <v/>
      </c>
      <c r="C2853" s="13" t="str">
        <f aca="false">עזר!M2853</f>
        <v/>
      </c>
    </row>
    <row r="2854" customFormat="false" ht="15" hidden="false" customHeight="false" outlineLevel="0" collapsed="false">
      <c r="A2854" s="13" t="str">
        <f aca="false">IF(עזר!L2854="","",INDEX(עזר!$A$2:$A$5001,עזר!L2854))</f>
        <v/>
      </c>
      <c r="B2854" s="13" t="str">
        <f aca="false">IF(עזר!L2854="","",INDEX(עזר!$B$2:$B$5001,עזר!L2854))</f>
        <v/>
      </c>
      <c r="C2854" s="13" t="str">
        <f aca="false">עזר!M2854</f>
        <v/>
      </c>
    </row>
    <row r="2855" customFormat="false" ht="15" hidden="false" customHeight="false" outlineLevel="0" collapsed="false">
      <c r="A2855" s="13" t="str">
        <f aca="false">IF(עזר!L2855="","",INDEX(עזר!$A$2:$A$5001,עזר!L2855))</f>
        <v/>
      </c>
      <c r="B2855" s="13" t="str">
        <f aca="false">IF(עזר!L2855="","",INDEX(עזר!$B$2:$B$5001,עזר!L2855))</f>
        <v/>
      </c>
      <c r="C2855" s="13" t="str">
        <f aca="false">עזר!M2855</f>
        <v/>
      </c>
    </row>
    <row r="2856" customFormat="false" ht="15" hidden="false" customHeight="false" outlineLevel="0" collapsed="false">
      <c r="A2856" s="13" t="str">
        <f aca="false">IF(עזר!L2856="","",INDEX(עזר!$A$2:$A$5001,עזר!L2856))</f>
        <v/>
      </c>
      <c r="B2856" s="13" t="str">
        <f aca="false">IF(עזר!L2856="","",INDEX(עזר!$B$2:$B$5001,עזר!L2856))</f>
        <v/>
      </c>
      <c r="C2856" s="13" t="str">
        <f aca="false">עזר!M2856</f>
        <v/>
      </c>
    </row>
    <row r="2857" customFormat="false" ht="15" hidden="false" customHeight="false" outlineLevel="0" collapsed="false">
      <c r="A2857" s="13" t="str">
        <f aca="false">IF(עזר!L2857="","",INDEX(עזר!$A$2:$A$5001,עזר!L2857))</f>
        <v/>
      </c>
      <c r="B2857" s="13" t="str">
        <f aca="false">IF(עזר!L2857="","",INDEX(עזר!$B$2:$B$5001,עזר!L2857))</f>
        <v/>
      </c>
      <c r="C2857" s="13" t="str">
        <f aca="false">עזר!M2857</f>
        <v/>
      </c>
    </row>
    <row r="2858" customFormat="false" ht="15" hidden="false" customHeight="false" outlineLevel="0" collapsed="false">
      <c r="A2858" s="13" t="str">
        <f aca="false">IF(עזר!L2858="","",INDEX(עזר!$A$2:$A$5001,עזר!L2858))</f>
        <v/>
      </c>
      <c r="B2858" s="13" t="str">
        <f aca="false">IF(עזר!L2858="","",INDEX(עזר!$B$2:$B$5001,עזר!L2858))</f>
        <v/>
      </c>
      <c r="C2858" s="13" t="str">
        <f aca="false">עזר!M2858</f>
        <v/>
      </c>
    </row>
    <row r="2859" customFormat="false" ht="15" hidden="false" customHeight="false" outlineLevel="0" collapsed="false">
      <c r="A2859" s="13" t="str">
        <f aca="false">IF(עזר!L2859="","",INDEX(עזר!$A$2:$A$5001,עזר!L2859))</f>
        <v/>
      </c>
      <c r="B2859" s="13" t="str">
        <f aca="false">IF(עזר!L2859="","",INDEX(עזר!$B$2:$B$5001,עזר!L2859))</f>
        <v/>
      </c>
      <c r="C2859" s="13" t="str">
        <f aca="false">עזר!M2859</f>
        <v/>
      </c>
    </row>
    <row r="2860" customFormat="false" ht="15" hidden="false" customHeight="false" outlineLevel="0" collapsed="false">
      <c r="A2860" s="13" t="str">
        <f aca="false">IF(עזר!L2860="","",INDEX(עזר!$A$2:$A$5001,עזר!L2860))</f>
        <v/>
      </c>
      <c r="B2860" s="13" t="str">
        <f aca="false">IF(עזר!L2860="","",INDEX(עזר!$B$2:$B$5001,עזר!L2860))</f>
        <v/>
      </c>
      <c r="C2860" s="13" t="str">
        <f aca="false">עזר!M2860</f>
        <v/>
      </c>
    </row>
    <row r="2861" customFormat="false" ht="15" hidden="false" customHeight="false" outlineLevel="0" collapsed="false">
      <c r="A2861" s="13" t="str">
        <f aca="false">IF(עזר!L2861="","",INDEX(עזר!$A$2:$A$5001,עזר!L2861))</f>
        <v/>
      </c>
      <c r="B2861" s="13" t="str">
        <f aca="false">IF(עזר!L2861="","",INDEX(עזר!$B$2:$B$5001,עזר!L2861))</f>
        <v/>
      </c>
      <c r="C2861" s="13" t="str">
        <f aca="false">עזר!M2861</f>
        <v/>
      </c>
    </row>
    <row r="2862" customFormat="false" ht="15" hidden="false" customHeight="false" outlineLevel="0" collapsed="false">
      <c r="A2862" s="13" t="str">
        <f aca="false">IF(עזר!L2862="","",INDEX(עזר!$A$2:$A$5001,עזר!L2862))</f>
        <v/>
      </c>
      <c r="B2862" s="13" t="str">
        <f aca="false">IF(עזר!L2862="","",INDEX(עזר!$B$2:$B$5001,עזר!L2862))</f>
        <v/>
      </c>
      <c r="C2862" s="13" t="str">
        <f aca="false">עזר!M2862</f>
        <v/>
      </c>
    </row>
    <row r="2863" customFormat="false" ht="15" hidden="false" customHeight="false" outlineLevel="0" collapsed="false">
      <c r="A2863" s="13" t="str">
        <f aca="false">IF(עזר!L2863="","",INDEX(עזר!$A$2:$A$5001,עזר!L2863))</f>
        <v/>
      </c>
      <c r="B2863" s="13" t="str">
        <f aca="false">IF(עזר!L2863="","",INDEX(עזר!$B$2:$B$5001,עזר!L2863))</f>
        <v/>
      </c>
      <c r="C2863" s="13" t="str">
        <f aca="false">עזר!M2863</f>
        <v/>
      </c>
    </row>
    <row r="2864" customFormat="false" ht="15" hidden="false" customHeight="false" outlineLevel="0" collapsed="false">
      <c r="A2864" s="13" t="str">
        <f aca="false">IF(עזר!L2864="","",INDEX(עזר!$A$2:$A$5001,עזר!L2864))</f>
        <v/>
      </c>
      <c r="B2864" s="13" t="str">
        <f aca="false">IF(עזר!L2864="","",INDEX(עזר!$B$2:$B$5001,עזר!L2864))</f>
        <v/>
      </c>
      <c r="C2864" s="13" t="str">
        <f aca="false">עזר!M2864</f>
        <v/>
      </c>
    </row>
    <row r="2865" customFormat="false" ht="15" hidden="false" customHeight="false" outlineLevel="0" collapsed="false">
      <c r="A2865" s="13" t="str">
        <f aca="false">IF(עזר!L2865="","",INDEX(עזר!$A$2:$A$5001,עזר!L2865))</f>
        <v/>
      </c>
      <c r="B2865" s="13" t="str">
        <f aca="false">IF(עזר!L2865="","",INDEX(עזר!$B$2:$B$5001,עזר!L2865))</f>
        <v/>
      </c>
      <c r="C2865" s="13" t="str">
        <f aca="false">עזר!M2865</f>
        <v/>
      </c>
    </row>
    <row r="2866" customFormat="false" ht="15" hidden="false" customHeight="false" outlineLevel="0" collapsed="false">
      <c r="A2866" s="13" t="str">
        <f aca="false">IF(עזר!L2866="","",INDEX(עזר!$A$2:$A$5001,עזר!L2866))</f>
        <v/>
      </c>
      <c r="B2866" s="13" t="str">
        <f aca="false">IF(עזר!L2866="","",INDEX(עזר!$B$2:$B$5001,עזר!L2866))</f>
        <v/>
      </c>
      <c r="C2866" s="13" t="str">
        <f aca="false">עזר!M2866</f>
        <v/>
      </c>
    </row>
    <row r="2867" customFormat="false" ht="15" hidden="false" customHeight="false" outlineLevel="0" collapsed="false">
      <c r="A2867" s="13" t="str">
        <f aca="false">IF(עזר!L2867="","",INDEX(עזר!$A$2:$A$5001,עזר!L2867))</f>
        <v/>
      </c>
      <c r="B2867" s="13" t="str">
        <f aca="false">IF(עזר!L2867="","",INDEX(עזר!$B$2:$B$5001,עזר!L2867))</f>
        <v/>
      </c>
      <c r="C2867" s="13" t="str">
        <f aca="false">עזר!M2867</f>
        <v/>
      </c>
    </row>
    <row r="2868" customFormat="false" ht="15" hidden="false" customHeight="false" outlineLevel="0" collapsed="false">
      <c r="A2868" s="13" t="str">
        <f aca="false">IF(עזר!L2868="","",INDEX(עזר!$A$2:$A$5001,עזר!L2868))</f>
        <v/>
      </c>
      <c r="B2868" s="13" t="str">
        <f aca="false">IF(עזר!L2868="","",INDEX(עזר!$B$2:$B$5001,עזר!L2868))</f>
        <v/>
      </c>
      <c r="C2868" s="13" t="str">
        <f aca="false">עזר!M2868</f>
        <v/>
      </c>
    </row>
    <row r="2869" customFormat="false" ht="15" hidden="false" customHeight="false" outlineLevel="0" collapsed="false">
      <c r="A2869" s="13" t="str">
        <f aca="false">IF(עזר!L2869="","",INDEX(עזר!$A$2:$A$5001,עזר!L2869))</f>
        <v/>
      </c>
      <c r="B2869" s="13" t="str">
        <f aca="false">IF(עזר!L2869="","",INDEX(עזר!$B$2:$B$5001,עזר!L2869))</f>
        <v/>
      </c>
      <c r="C2869" s="13" t="str">
        <f aca="false">עזר!M2869</f>
        <v/>
      </c>
    </row>
    <row r="2870" customFormat="false" ht="15" hidden="false" customHeight="false" outlineLevel="0" collapsed="false">
      <c r="A2870" s="13" t="str">
        <f aca="false">IF(עזר!L2870="","",INDEX(עזר!$A$2:$A$5001,עזר!L2870))</f>
        <v/>
      </c>
      <c r="B2870" s="13" t="str">
        <f aca="false">IF(עזר!L2870="","",INDEX(עזר!$B$2:$B$5001,עזר!L2870))</f>
        <v/>
      </c>
      <c r="C2870" s="13" t="str">
        <f aca="false">עזר!M2870</f>
        <v/>
      </c>
    </row>
    <row r="2871" customFormat="false" ht="15" hidden="false" customHeight="false" outlineLevel="0" collapsed="false">
      <c r="A2871" s="13" t="str">
        <f aca="false">IF(עזר!L2871="","",INDEX(עזר!$A$2:$A$5001,עזר!L2871))</f>
        <v/>
      </c>
      <c r="B2871" s="13" t="str">
        <f aca="false">IF(עזר!L2871="","",INDEX(עזר!$B$2:$B$5001,עזר!L2871))</f>
        <v/>
      </c>
      <c r="C2871" s="13" t="str">
        <f aca="false">עזר!M2871</f>
        <v/>
      </c>
    </row>
    <row r="2872" customFormat="false" ht="15" hidden="false" customHeight="false" outlineLevel="0" collapsed="false">
      <c r="A2872" s="13" t="str">
        <f aca="false">IF(עזר!L2872="","",INDEX(עזר!$A$2:$A$5001,עזר!L2872))</f>
        <v/>
      </c>
      <c r="B2872" s="13" t="str">
        <f aca="false">IF(עזר!L2872="","",INDEX(עזר!$B$2:$B$5001,עזר!L2872))</f>
        <v/>
      </c>
      <c r="C2872" s="13" t="str">
        <f aca="false">עזר!M2872</f>
        <v/>
      </c>
    </row>
    <row r="2873" customFormat="false" ht="15" hidden="false" customHeight="false" outlineLevel="0" collapsed="false">
      <c r="A2873" s="13" t="str">
        <f aca="false">IF(עזר!L2873="","",INDEX(עזר!$A$2:$A$5001,עזר!L2873))</f>
        <v/>
      </c>
      <c r="B2873" s="13" t="str">
        <f aca="false">IF(עזר!L2873="","",INDEX(עזר!$B$2:$B$5001,עזר!L2873))</f>
        <v/>
      </c>
      <c r="C2873" s="13" t="str">
        <f aca="false">עזר!M2873</f>
        <v/>
      </c>
    </row>
    <row r="2874" customFormat="false" ht="15" hidden="false" customHeight="false" outlineLevel="0" collapsed="false">
      <c r="A2874" s="13" t="str">
        <f aca="false">IF(עזר!L2874="","",INDEX(עזר!$A$2:$A$5001,עזר!L2874))</f>
        <v/>
      </c>
      <c r="B2874" s="13" t="str">
        <f aca="false">IF(עזר!L2874="","",INDEX(עזר!$B$2:$B$5001,עזר!L2874))</f>
        <v/>
      </c>
      <c r="C2874" s="13" t="str">
        <f aca="false">עזר!M2874</f>
        <v/>
      </c>
    </row>
    <row r="2875" customFormat="false" ht="15" hidden="false" customHeight="false" outlineLevel="0" collapsed="false">
      <c r="A2875" s="13" t="str">
        <f aca="false">IF(עזר!L2875="","",INDEX(עזר!$A$2:$A$5001,עזר!L2875))</f>
        <v/>
      </c>
      <c r="B2875" s="13" t="str">
        <f aca="false">IF(עזר!L2875="","",INDEX(עזר!$B$2:$B$5001,עזר!L2875))</f>
        <v/>
      </c>
      <c r="C2875" s="13" t="str">
        <f aca="false">עזר!M2875</f>
        <v/>
      </c>
    </row>
    <row r="2876" customFormat="false" ht="15" hidden="false" customHeight="false" outlineLevel="0" collapsed="false">
      <c r="A2876" s="13" t="str">
        <f aca="false">IF(עזר!L2876="","",INDEX(עזר!$A$2:$A$5001,עזר!L2876))</f>
        <v/>
      </c>
      <c r="B2876" s="13" t="str">
        <f aca="false">IF(עזר!L2876="","",INDEX(עזר!$B$2:$B$5001,עזר!L2876))</f>
        <v/>
      </c>
      <c r="C2876" s="13" t="str">
        <f aca="false">עזר!M2876</f>
        <v/>
      </c>
    </row>
    <row r="2877" customFormat="false" ht="15" hidden="false" customHeight="false" outlineLevel="0" collapsed="false">
      <c r="A2877" s="13" t="str">
        <f aca="false">IF(עזר!L2877="","",INDEX(עזר!$A$2:$A$5001,עזר!L2877))</f>
        <v/>
      </c>
      <c r="B2877" s="13" t="str">
        <f aca="false">IF(עזר!L2877="","",INDEX(עזר!$B$2:$B$5001,עזר!L2877))</f>
        <v/>
      </c>
      <c r="C2877" s="13" t="str">
        <f aca="false">עזר!M2877</f>
        <v/>
      </c>
    </row>
    <row r="2878" customFormat="false" ht="15" hidden="false" customHeight="false" outlineLevel="0" collapsed="false">
      <c r="A2878" s="13" t="str">
        <f aca="false">IF(עזר!L2878="","",INDEX(עזר!$A$2:$A$5001,עזר!L2878))</f>
        <v/>
      </c>
      <c r="B2878" s="13" t="str">
        <f aca="false">IF(עזר!L2878="","",INDEX(עזר!$B$2:$B$5001,עזר!L2878))</f>
        <v/>
      </c>
      <c r="C2878" s="13" t="str">
        <f aca="false">עזר!M2878</f>
        <v/>
      </c>
    </row>
    <row r="2879" customFormat="false" ht="15" hidden="false" customHeight="false" outlineLevel="0" collapsed="false">
      <c r="A2879" s="13" t="str">
        <f aca="false">IF(עזר!L2879="","",INDEX(עזר!$A$2:$A$5001,עזר!L2879))</f>
        <v/>
      </c>
      <c r="B2879" s="13" t="str">
        <f aca="false">IF(עזר!L2879="","",INDEX(עזר!$B$2:$B$5001,עזר!L2879))</f>
        <v/>
      </c>
      <c r="C2879" s="13" t="str">
        <f aca="false">עזר!M2879</f>
        <v/>
      </c>
    </row>
    <row r="2880" customFormat="false" ht="15" hidden="false" customHeight="false" outlineLevel="0" collapsed="false">
      <c r="A2880" s="13" t="str">
        <f aca="false">IF(עזר!L2880="","",INDEX(עזר!$A$2:$A$5001,עזר!L2880))</f>
        <v/>
      </c>
      <c r="B2880" s="13" t="str">
        <f aca="false">IF(עזר!L2880="","",INDEX(עזר!$B$2:$B$5001,עזר!L2880))</f>
        <v/>
      </c>
      <c r="C2880" s="13" t="str">
        <f aca="false">עזר!M2880</f>
        <v/>
      </c>
    </row>
    <row r="2881" customFormat="false" ht="15" hidden="false" customHeight="false" outlineLevel="0" collapsed="false">
      <c r="A2881" s="13" t="str">
        <f aca="false">IF(עזר!L2881="","",INDEX(עזר!$A$2:$A$5001,עזר!L2881))</f>
        <v/>
      </c>
      <c r="B2881" s="13" t="str">
        <f aca="false">IF(עזר!L2881="","",INDEX(עזר!$B$2:$B$5001,עזר!L2881))</f>
        <v/>
      </c>
      <c r="C2881" s="13" t="str">
        <f aca="false">עזר!M2881</f>
        <v/>
      </c>
    </row>
    <row r="2882" customFormat="false" ht="15" hidden="false" customHeight="false" outlineLevel="0" collapsed="false">
      <c r="A2882" s="13" t="str">
        <f aca="false">IF(עזר!L2882="","",INDEX(עזר!$A$2:$A$5001,עזר!L2882))</f>
        <v/>
      </c>
      <c r="B2882" s="13" t="str">
        <f aca="false">IF(עזר!L2882="","",INDEX(עזר!$B$2:$B$5001,עזר!L2882))</f>
        <v/>
      </c>
      <c r="C2882" s="13" t="str">
        <f aca="false">עזר!M2882</f>
        <v/>
      </c>
    </row>
    <row r="2883" customFormat="false" ht="15" hidden="false" customHeight="false" outlineLevel="0" collapsed="false">
      <c r="A2883" s="13" t="str">
        <f aca="false">IF(עזר!L2883="","",INDEX(עזר!$A$2:$A$5001,עזר!L2883))</f>
        <v/>
      </c>
      <c r="B2883" s="13" t="str">
        <f aca="false">IF(עזר!L2883="","",INDEX(עזר!$B$2:$B$5001,עזר!L2883))</f>
        <v/>
      </c>
      <c r="C2883" s="13" t="str">
        <f aca="false">עזר!M2883</f>
        <v/>
      </c>
    </row>
    <row r="2884" customFormat="false" ht="15" hidden="false" customHeight="false" outlineLevel="0" collapsed="false">
      <c r="A2884" s="13" t="str">
        <f aca="false">IF(עזר!L2884="","",INDEX(עזר!$A$2:$A$5001,עזר!L2884))</f>
        <v/>
      </c>
      <c r="B2884" s="13" t="str">
        <f aca="false">IF(עזר!L2884="","",INDEX(עזר!$B$2:$B$5001,עזר!L2884))</f>
        <v/>
      </c>
      <c r="C2884" s="13" t="str">
        <f aca="false">עזר!M2884</f>
        <v/>
      </c>
    </row>
    <row r="2885" customFormat="false" ht="15" hidden="false" customHeight="false" outlineLevel="0" collapsed="false">
      <c r="A2885" s="13" t="str">
        <f aca="false">IF(עזר!L2885="","",INDEX(עזר!$A$2:$A$5001,עזר!L2885))</f>
        <v/>
      </c>
      <c r="B2885" s="13" t="str">
        <f aca="false">IF(עזר!L2885="","",INDEX(עזר!$B$2:$B$5001,עזר!L2885))</f>
        <v/>
      </c>
      <c r="C2885" s="13" t="str">
        <f aca="false">עזר!M2885</f>
        <v/>
      </c>
    </row>
    <row r="2886" customFormat="false" ht="15" hidden="false" customHeight="false" outlineLevel="0" collapsed="false">
      <c r="A2886" s="13" t="str">
        <f aca="false">IF(עזר!L2886="","",INDEX(עזר!$A$2:$A$5001,עזר!L2886))</f>
        <v/>
      </c>
      <c r="B2886" s="13" t="str">
        <f aca="false">IF(עזר!L2886="","",INDEX(עזר!$B$2:$B$5001,עזר!L2886))</f>
        <v/>
      </c>
      <c r="C2886" s="13" t="str">
        <f aca="false">עזר!M2886</f>
        <v/>
      </c>
    </row>
    <row r="2887" customFormat="false" ht="15" hidden="false" customHeight="false" outlineLevel="0" collapsed="false">
      <c r="A2887" s="13" t="str">
        <f aca="false">IF(עזר!L2887="","",INDEX(עזר!$A$2:$A$5001,עזר!L2887))</f>
        <v/>
      </c>
      <c r="B2887" s="13" t="str">
        <f aca="false">IF(עזר!L2887="","",INDEX(עזר!$B$2:$B$5001,עזר!L2887))</f>
        <v/>
      </c>
      <c r="C2887" s="13" t="str">
        <f aca="false">עזר!M2887</f>
        <v/>
      </c>
    </row>
    <row r="2888" customFormat="false" ht="15" hidden="false" customHeight="false" outlineLevel="0" collapsed="false">
      <c r="A2888" s="13" t="str">
        <f aca="false">IF(עזר!L2888="","",INDEX(עזר!$A$2:$A$5001,עזר!L2888))</f>
        <v/>
      </c>
      <c r="B2888" s="13" t="str">
        <f aca="false">IF(עזר!L2888="","",INDEX(עזר!$B$2:$B$5001,עזר!L2888))</f>
        <v/>
      </c>
      <c r="C2888" s="13" t="str">
        <f aca="false">עזר!M2888</f>
        <v/>
      </c>
    </row>
    <row r="2889" customFormat="false" ht="15" hidden="false" customHeight="false" outlineLevel="0" collapsed="false">
      <c r="A2889" s="13" t="str">
        <f aca="false">IF(עזר!L2889="","",INDEX(עזר!$A$2:$A$5001,עזר!L2889))</f>
        <v/>
      </c>
      <c r="B2889" s="13" t="str">
        <f aca="false">IF(עזר!L2889="","",INDEX(עזר!$B$2:$B$5001,עזר!L2889))</f>
        <v/>
      </c>
      <c r="C2889" s="13" t="str">
        <f aca="false">עזר!M2889</f>
        <v/>
      </c>
    </row>
    <row r="2890" customFormat="false" ht="15" hidden="false" customHeight="false" outlineLevel="0" collapsed="false">
      <c r="A2890" s="13" t="str">
        <f aca="false">IF(עזר!L2890="","",INDEX(עזר!$A$2:$A$5001,עזר!L2890))</f>
        <v/>
      </c>
      <c r="B2890" s="13" t="str">
        <f aca="false">IF(עזר!L2890="","",INDEX(עזר!$B$2:$B$5001,עזר!L2890))</f>
        <v/>
      </c>
      <c r="C2890" s="13" t="str">
        <f aca="false">עזר!M2890</f>
        <v/>
      </c>
    </row>
    <row r="2891" customFormat="false" ht="15" hidden="false" customHeight="false" outlineLevel="0" collapsed="false">
      <c r="A2891" s="13" t="str">
        <f aca="false">IF(עזר!L2891="","",INDEX(עזר!$A$2:$A$5001,עזר!L2891))</f>
        <v/>
      </c>
      <c r="B2891" s="13" t="str">
        <f aca="false">IF(עזר!L2891="","",INDEX(עזר!$B$2:$B$5001,עזר!L2891))</f>
        <v/>
      </c>
      <c r="C2891" s="13" t="str">
        <f aca="false">עזר!M2891</f>
        <v/>
      </c>
    </row>
    <row r="2892" customFormat="false" ht="15" hidden="false" customHeight="false" outlineLevel="0" collapsed="false">
      <c r="A2892" s="13" t="str">
        <f aca="false">IF(עזר!L2892="","",INDEX(עזר!$A$2:$A$5001,עזר!L2892))</f>
        <v/>
      </c>
      <c r="B2892" s="13" t="str">
        <f aca="false">IF(עזר!L2892="","",INDEX(עזר!$B$2:$B$5001,עזר!L2892))</f>
        <v/>
      </c>
      <c r="C2892" s="13" t="str">
        <f aca="false">עזר!M2892</f>
        <v/>
      </c>
    </row>
    <row r="2893" customFormat="false" ht="15" hidden="false" customHeight="false" outlineLevel="0" collapsed="false">
      <c r="A2893" s="13" t="str">
        <f aca="false">IF(עזר!L2893="","",INDEX(עזר!$A$2:$A$5001,עזר!L2893))</f>
        <v/>
      </c>
      <c r="B2893" s="13" t="str">
        <f aca="false">IF(עזר!L2893="","",INDEX(עזר!$B$2:$B$5001,עזר!L2893))</f>
        <v/>
      </c>
      <c r="C2893" s="13" t="str">
        <f aca="false">עזר!M2893</f>
        <v/>
      </c>
    </row>
    <row r="2894" customFormat="false" ht="15" hidden="false" customHeight="false" outlineLevel="0" collapsed="false">
      <c r="A2894" s="13" t="str">
        <f aca="false">IF(עזר!L2894="","",INDEX(עזר!$A$2:$A$5001,עזר!L2894))</f>
        <v/>
      </c>
      <c r="B2894" s="13" t="str">
        <f aca="false">IF(עזר!L2894="","",INDEX(עזר!$B$2:$B$5001,עזר!L2894))</f>
        <v/>
      </c>
      <c r="C2894" s="13" t="str">
        <f aca="false">עזר!M2894</f>
        <v/>
      </c>
    </row>
    <row r="2895" customFormat="false" ht="15" hidden="false" customHeight="false" outlineLevel="0" collapsed="false">
      <c r="A2895" s="13" t="str">
        <f aca="false">IF(עזר!L2895="","",INDEX(עזר!$A$2:$A$5001,עזר!L2895))</f>
        <v/>
      </c>
      <c r="B2895" s="13" t="str">
        <f aca="false">IF(עזר!L2895="","",INDEX(עזר!$B$2:$B$5001,עזר!L2895))</f>
        <v/>
      </c>
      <c r="C2895" s="13" t="str">
        <f aca="false">עזר!M2895</f>
        <v/>
      </c>
    </row>
    <row r="2896" customFormat="false" ht="15" hidden="false" customHeight="false" outlineLevel="0" collapsed="false">
      <c r="A2896" s="13" t="str">
        <f aca="false">IF(עזר!L2896="","",INDEX(עזר!$A$2:$A$5001,עזר!L2896))</f>
        <v/>
      </c>
      <c r="B2896" s="13" t="str">
        <f aca="false">IF(עזר!L2896="","",INDEX(עזר!$B$2:$B$5001,עזר!L2896))</f>
        <v/>
      </c>
      <c r="C2896" s="13" t="str">
        <f aca="false">עזר!M2896</f>
        <v/>
      </c>
    </row>
    <row r="2897" customFormat="false" ht="15" hidden="false" customHeight="false" outlineLevel="0" collapsed="false">
      <c r="A2897" s="13" t="str">
        <f aca="false">IF(עזר!L2897="","",INDEX(עזר!$A$2:$A$5001,עזר!L2897))</f>
        <v/>
      </c>
      <c r="B2897" s="13" t="str">
        <f aca="false">IF(עזר!L2897="","",INDEX(עזר!$B$2:$B$5001,עזר!L2897))</f>
        <v/>
      </c>
      <c r="C2897" s="13" t="str">
        <f aca="false">עזר!M2897</f>
        <v/>
      </c>
    </row>
    <row r="2898" customFormat="false" ht="15" hidden="false" customHeight="false" outlineLevel="0" collapsed="false">
      <c r="A2898" s="13" t="str">
        <f aca="false">IF(עזר!L2898="","",INDEX(עזר!$A$2:$A$5001,עזר!L2898))</f>
        <v/>
      </c>
      <c r="B2898" s="13" t="str">
        <f aca="false">IF(עזר!L2898="","",INDEX(עזר!$B$2:$B$5001,עזר!L2898))</f>
        <v/>
      </c>
      <c r="C2898" s="13" t="str">
        <f aca="false">עזר!M2898</f>
        <v/>
      </c>
    </row>
    <row r="2899" customFormat="false" ht="15" hidden="false" customHeight="false" outlineLevel="0" collapsed="false">
      <c r="A2899" s="13" t="str">
        <f aca="false">IF(עזר!L2899="","",INDEX(עזר!$A$2:$A$5001,עזר!L2899))</f>
        <v/>
      </c>
      <c r="B2899" s="13" t="str">
        <f aca="false">IF(עזר!L2899="","",INDEX(עזר!$B$2:$B$5001,עזר!L2899))</f>
        <v/>
      </c>
      <c r="C2899" s="13" t="str">
        <f aca="false">עזר!M2899</f>
        <v/>
      </c>
    </row>
    <row r="2900" customFormat="false" ht="15" hidden="false" customHeight="false" outlineLevel="0" collapsed="false">
      <c r="A2900" s="13" t="str">
        <f aca="false">IF(עזר!L2900="","",INDEX(עזר!$A$2:$A$5001,עזר!L2900))</f>
        <v/>
      </c>
      <c r="B2900" s="13" t="str">
        <f aca="false">IF(עזר!L2900="","",INDEX(עזר!$B$2:$B$5001,עזר!L2900))</f>
        <v/>
      </c>
      <c r="C2900" s="13" t="str">
        <f aca="false">עזר!M2900</f>
        <v/>
      </c>
    </row>
    <row r="2901" customFormat="false" ht="15" hidden="false" customHeight="false" outlineLevel="0" collapsed="false">
      <c r="A2901" s="13" t="str">
        <f aca="false">IF(עזר!L2901="","",INDEX(עזר!$A$2:$A$5001,עזר!L2901))</f>
        <v/>
      </c>
      <c r="B2901" s="13" t="str">
        <f aca="false">IF(עזר!L2901="","",INDEX(עזר!$B$2:$B$5001,עזר!L2901))</f>
        <v/>
      </c>
      <c r="C2901" s="13" t="str">
        <f aca="false">עזר!M2901</f>
        <v/>
      </c>
    </row>
    <row r="2902" customFormat="false" ht="15" hidden="false" customHeight="false" outlineLevel="0" collapsed="false">
      <c r="A2902" s="13" t="str">
        <f aca="false">IF(עזר!L2902="","",INDEX(עזר!$A$2:$A$5001,עזר!L2902))</f>
        <v/>
      </c>
      <c r="B2902" s="13" t="str">
        <f aca="false">IF(עזר!L2902="","",INDEX(עזר!$B$2:$B$5001,עזר!L2902))</f>
        <v/>
      </c>
      <c r="C2902" s="13" t="str">
        <f aca="false">עזר!M2902</f>
        <v/>
      </c>
    </row>
    <row r="2903" customFormat="false" ht="15" hidden="false" customHeight="false" outlineLevel="0" collapsed="false">
      <c r="A2903" s="13" t="str">
        <f aca="false">IF(עזר!L2903="","",INDEX(עזר!$A$2:$A$5001,עזר!L2903))</f>
        <v/>
      </c>
      <c r="B2903" s="13" t="str">
        <f aca="false">IF(עזר!L2903="","",INDEX(עזר!$B$2:$B$5001,עזר!L2903))</f>
        <v/>
      </c>
      <c r="C2903" s="13" t="str">
        <f aca="false">עזר!M2903</f>
        <v/>
      </c>
    </row>
    <row r="2904" customFormat="false" ht="15" hidden="false" customHeight="false" outlineLevel="0" collapsed="false">
      <c r="A2904" s="13" t="str">
        <f aca="false">IF(עזר!L2904="","",INDEX(עזר!$A$2:$A$5001,עזר!L2904))</f>
        <v/>
      </c>
      <c r="B2904" s="13" t="str">
        <f aca="false">IF(עזר!L2904="","",INDEX(עזר!$B$2:$B$5001,עזר!L2904))</f>
        <v/>
      </c>
      <c r="C2904" s="13" t="str">
        <f aca="false">עזר!M2904</f>
        <v/>
      </c>
    </row>
    <row r="2905" customFormat="false" ht="15" hidden="false" customHeight="false" outlineLevel="0" collapsed="false">
      <c r="A2905" s="13" t="str">
        <f aca="false">IF(עזר!L2905="","",INDEX(עזר!$A$2:$A$5001,עזר!L2905))</f>
        <v/>
      </c>
      <c r="B2905" s="13" t="str">
        <f aca="false">IF(עזר!L2905="","",INDEX(עזר!$B$2:$B$5001,עזר!L2905))</f>
        <v/>
      </c>
      <c r="C2905" s="13" t="str">
        <f aca="false">עזר!M2905</f>
        <v/>
      </c>
    </row>
    <row r="2906" customFormat="false" ht="15" hidden="false" customHeight="false" outlineLevel="0" collapsed="false">
      <c r="A2906" s="13" t="str">
        <f aca="false">IF(עזר!L2906="","",INDEX(עזר!$A$2:$A$5001,עזר!L2906))</f>
        <v/>
      </c>
      <c r="B2906" s="13" t="str">
        <f aca="false">IF(עזר!L2906="","",INDEX(עזר!$B$2:$B$5001,עזר!L2906))</f>
        <v/>
      </c>
      <c r="C2906" s="13" t="str">
        <f aca="false">עזר!M2906</f>
        <v/>
      </c>
    </row>
    <row r="2907" customFormat="false" ht="15" hidden="false" customHeight="false" outlineLevel="0" collapsed="false">
      <c r="A2907" s="13" t="str">
        <f aca="false">IF(עזר!L2907="","",INDEX(עזר!$A$2:$A$5001,עזר!L2907))</f>
        <v/>
      </c>
      <c r="B2907" s="13" t="str">
        <f aca="false">IF(עזר!L2907="","",INDEX(עזר!$B$2:$B$5001,עזר!L2907))</f>
        <v/>
      </c>
      <c r="C2907" s="13" t="str">
        <f aca="false">עזר!M2907</f>
        <v/>
      </c>
    </row>
    <row r="2908" customFormat="false" ht="15" hidden="false" customHeight="false" outlineLevel="0" collapsed="false">
      <c r="A2908" s="13" t="str">
        <f aca="false">IF(עזר!L2908="","",INDEX(עזר!$A$2:$A$5001,עזר!L2908))</f>
        <v/>
      </c>
      <c r="B2908" s="13" t="str">
        <f aca="false">IF(עזר!L2908="","",INDEX(עזר!$B$2:$B$5001,עזר!L2908))</f>
        <v/>
      </c>
      <c r="C2908" s="13" t="str">
        <f aca="false">עזר!M2908</f>
        <v/>
      </c>
    </row>
    <row r="2909" customFormat="false" ht="15" hidden="false" customHeight="false" outlineLevel="0" collapsed="false">
      <c r="A2909" s="13" t="str">
        <f aca="false">IF(עזר!L2909="","",INDEX(עזר!$A$2:$A$5001,עזר!L2909))</f>
        <v/>
      </c>
      <c r="B2909" s="13" t="str">
        <f aca="false">IF(עזר!L2909="","",INDEX(עזר!$B$2:$B$5001,עזר!L2909))</f>
        <v/>
      </c>
      <c r="C2909" s="13" t="str">
        <f aca="false">עזר!M2909</f>
        <v/>
      </c>
    </row>
    <row r="2910" customFormat="false" ht="15" hidden="false" customHeight="false" outlineLevel="0" collapsed="false">
      <c r="A2910" s="13" t="str">
        <f aca="false">IF(עזר!L2910="","",INDEX(עזר!$A$2:$A$5001,עזר!L2910))</f>
        <v/>
      </c>
      <c r="B2910" s="13" t="str">
        <f aca="false">IF(עזר!L2910="","",INDEX(עזר!$B$2:$B$5001,עזר!L2910))</f>
        <v/>
      </c>
      <c r="C2910" s="13" t="str">
        <f aca="false">עזר!M2910</f>
        <v/>
      </c>
    </row>
    <row r="2911" customFormat="false" ht="15" hidden="false" customHeight="false" outlineLevel="0" collapsed="false">
      <c r="A2911" s="13" t="str">
        <f aca="false">IF(עזר!L2911="","",INDEX(עזר!$A$2:$A$5001,עזר!L2911))</f>
        <v/>
      </c>
      <c r="B2911" s="13" t="str">
        <f aca="false">IF(עזר!L2911="","",INDEX(עזר!$B$2:$B$5001,עזר!L2911))</f>
        <v/>
      </c>
      <c r="C2911" s="13" t="str">
        <f aca="false">עזר!M2911</f>
        <v/>
      </c>
    </row>
    <row r="2912" customFormat="false" ht="15" hidden="false" customHeight="false" outlineLevel="0" collapsed="false">
      <c r="A2912" s="13" t="str">
        <f aca="false">IF(עזר!L2912="","",INDEX(עזר!$A$2:$A$5001,עזר!L2912))</f>
        <v/>
      </c>
      <c r="B2912" s="13" t="str">
        <f aca="false">IF(עזר!L2912="","",INDEX(עזר!$B$2:$B$5001,עזר!L2912))</f>
        <v/>
      </c>
      <c r="C2912" s="13" t="str">
        <f aca="false">עזר!M2912</f>
        <v/>
      </c>
    </row>
    <row r="2913" customFormat="false" ht="15" hidden="false" customHeight="false" outlineLevel="0" collapsed="false">
      <c r="A2913" s="13" t="str">
        <f aca="false">IF(עזר!L2913="","",INDEX(עזר!$A$2:$A$5001,עזר!L2913))</f>
        <v/>
      </c>
      <c r="B2913" s="13" t="str">
        <f aca="false">IF(עזר!L2913="","",INDEX(עזר!$B$2:$B$5001,עזר!L2913))</f>
        <v/>
      </c>
      <c r="C2913" s="13" t="str">
        <f aca="false">עזר!M2913</f>
        <v/>
      </c>
    </row>
    <row r="2914" customFormat="false" ht="15" hidden="false" customHeight="false" outlineLevel="0" collapsed="false">
      <c r="A2914" s="13" t="str">
        <f aca="false">IF(עזר!L2914="","",INDEX(עזר!$A$2:$A$5001,עזר!L2914))</f>
        <v/>
      </c>
      <c r="B2914" s="13" t="str">
        <f aca="false">IF(עזר!L2914="","",INDEX(עזר!$B$2:$B$5001,עזר!L2914))</f>
        <v/>
      </c>
      <c r="C2914" s="13" t="str">
        <f aca="false">עזר!M2914</f>
        <v/>
      </c>
    </row>
    <row r="2915" customFormat="false" ht="15" hidden="false" customHeight="false" outlineLevel="0" collapsed="false">
      <c r="A2915" s="13" t="str">
        <f aca="false">IF(עזר!L2915="","",INDEX(עזר!$A$2:$A$5001,עזר!L2915))</f>
        <v/>
      </c>
      <c r="B2915" s="13" t="str">
        <f aca="false">IF(עזר!L2915="","",INDEX(עזר!$B$2:$B$5001,עזר!L2915))</f>
        <v/>
      </c>
      <c r="C2915" s="13" t="str">
        <f aca="false">עזר!M2915</f>
        <v/>
      </c>
    </row>
    <row r="2916" customFormat="false" ht="15" hidden="false" customHeight="false" outlineLevel="0" collapsed="false">
      <c r="A2916" s="13" t="str">
        <f aca="false">IF(עזר!L2916="","",INDEX(עזר!$A$2:$A$5001,עזר!L2916))</f>
        <v/>
      </c>
      <c r="B2916" s="13" t="str">
        <f aca="false">IF(עזר!L2916="","",INDEX(עזר!$B$2:$B$5001,עזר!L2916))</f>
        <v/>
      </c>
      <c r="C2916" s="13" t="str">
        <f aca="false">עזר!M2916</f>
        <v/>
      </c>
    </row>
    <row r="2917" customFormat="false" ht="15" hidden="false" customHeight="false" outlineLevel="0" collapsed="false">
      <c r="A2917" s="13" t="str">
        <f aca="false">IF(עזר!L2917="","",INDEX(עזר!$A$2:$A$5001,עזר!L2917))</f>
        <v/>
      </c>
      <c r="B2917" s="13" t="str">
        <f aca="false">IF(עזר!L2917="","",INDEX(עזר!$B$2:$B$5001,עזר!L2917))</f>
        <v/>
      </c>
      <c r="C2917" s="13" t="str">
        <f aca="false">עזר!M2917</f>
        <v/>
      </c>
    </row>
    <row r="2918" customFormat="false" ht="15" hidden="false" customHeight="false" outlineLevel="0" collapsed="false">
      <c r="A2918" s="13" t="str">
        <f aca="false">IF(עזר!L2918="","",INDEX(עזר!$A$2:$A$5001,עזר!L2918))</f>
        <v/>
      </c>
      <c r="B2918" s="13" t="str">
        <f aca="false">IF(עזר!L2918="","",INDEX(עזר!$B$2:$B$5001,עזר!L2918))</f>
        <v/>
      </c>
      <c r="C2918" s="13" t="str">
        <f aca="false">עזר!M2918</f>
        <v/>
      </c>
    </row>
    <row r="2919" customFormat="false" ht="15" hidden="false" customHeight="false" outlineLevel="0" collapsed="false">
      <c r="A2919" s="13" t="str">
        <f aca="false">IF(עזר!L2919="","",INDEX(עזר!$A$2:$A$5001,עזר!L2919))</f>
        <v/>
      </c>
      <c r="B2919" s="13" t="str">
        <f aca="false">IF(עזר!L2919="","",INDEX(עזר!$B$2:$B$5001,עזר!L2919))</f>
        <v/>
      </c>
      <c r="C2919" s="13" t="str">
        <f aca="false">עזר!M2919</f>
        <v/>
      </c>
    </row>
    <row r="2920" customFormat="false" ht="15" hidden="false" customHeight="false" outlineLevel="0" collapsed="false">
      <c r="A2920" s="13" t="str">
        <f aca="false">IF(עזר!L2920="","",INDEX(עזר!$A$2:$A$5001,עזר!L2920))</f>
        <v/>
      </c>
      <c r="B2920" s="13" t="str">
        <f aca="false">IF(עזר!L2920="","",INDEX(עזר!$B$2:$B$5001,עזר!L2920))</f>
        <v/>
      </c>
      <c r="C2920" s="13" t="str">
        <f aca="false">עזר!M2920</f>
        <v/>
      </c>
    </row>
    <row r="2921" customFormat="false" ht="15" hidden="false" customHeight="false" outlineLevel="0" collapsed="false">
      <c r="A2921" s="13" t="str">
        <f aca="false">IF(עזר!L2921="","",INDEX(עזר!$A$2:$A$5001,עזר!L2921))</f>
        <v/>
      </c>
      <c r="B2921" s="13" t="str">
        <f aca="false">IF(עזר!L2921="","",INDEX(עזר!$B$2:$B$5001,עזר!L2921))</f>
        <v/>
      </c>
      <c r="C2921" s="13" t="str">
        <f aca="false">עזר!M2921</f>
        <v/>
      </c>
    </row>
    <row r="2922" customFormat="false" ht="15" hidden="false" customHeight="false" outlineLevel="0" collapsed="false">
      <c r="A2922" s="13" t="str">
        <f aca="false">IF(עזר!L2922="","",INDEX(עזר!$A$2:$A$5001,עזר!L2922))</f>
        <v/>
      </c>
      <c r="B2922" s="13" t="str">
        <f aca="false">IF(עזר!L2922="","",INDEX(עזר!$B$2:$B$5001,עזר!L2922))</f>
        <v/>
      </c>
      <c r="C2922" s="13" t="str">
        <f aca="false">עזר!M2922</f>
        <v/>
      </c>
    </row>
    <row r="2923" customFormat="false" ht="15" hidden="false" customHeight="false" outlineLevel="0" collapsed="false">
      <c r="A2923" s="13" t="str">
        <f aca="false">IF(עזר!L2923="","",INDEX(עזר!$A$2:$A$5001,עזר!L2923))</f>
        <v/>
      </c>
      <c r="B2923" s="13" t="str">
        <f aca="false">IF(עזר!L2923="","",INDEX(עזר!$B$2:$B$5001,עזר!L2923))</f>
        <v/>
      </c>
      <c r="C2923" s="13" t="str">
        <f aca="false">עזר!M2923</f>
        <v/>
      </c>
    </row>
    <row r="2924" customFormat="false" ht="15" hidden="false" customHeight="false" outlineLevel="0" collapsed="false">
      <c r="A2924" s="13" t="str">
        <f aca="false">IF(עזר!L2924="","",INDEX(עזר!$A$2:$A$5001,עזר!L2924))</f>
        <v/>
      </c>
      <c r="B2924" s="13" t="str">
        <f aca="false">IF(עזר!L2924="","",INDEX(עזר!$B$2:$B$5001,עזר!L2924))</f>
        <v/>
      </c>
      <c r="C2924" s="13" t="str">
        <f aca="false">עזר!M2924</f>
        <v/>
      </c>
    </row>
    <row r="2925" customFormat="false" ht="15" hidden="false" customHeight="false" outlineLevel="0" collapsed="false">
      <c r="A2925" s="13" t="str">
        <f aca="false">IF(עזר!L2925="","",INDEX(עזר!$A$2:$A$5001,עזר!L2925))</f>
        <v/>
      </c>
      <c r="B2925" s="13" t="str">
        <f aca="false">IF(עזר!L2925="","",INDEX(עזר!$B$2:$B$5001,עזר!L2925))</f>
        <v/>
      </c>
      <c r="C2925" s="13" t="str">
        <f aca="false">עזר!M2925</f>
        <v/>
      </c>
    </row>
    <row r="2926" customFormat="false" ht="15" hidden="false" customHeight="false" outlineLevel="0" collapsed="false">
      <c r="A2926" s="13" t="str">
        <f aca="false">IF(עזר!L2926="","",INDEX(עזר!$A$2:$A$5001,עזר!L2926))</f>
        <v/>
      </c>
      <c r="B2926" s="13" t="str">
        <f aca="false">IF(עזר!L2926="","",INDEX(עזר!$B$2:$B$5001,עזר!L2926))</f>
        <v/>
      </c>
      <c r="C2926" s="13" t="str">
        <f aca="false">עזר!M2926</f>
        <v/>
      </c>
    </row>
    <row r="2927" customFormat="false" ht="15" hidden="false" customHeight="false" outlineLevel="0" collapsed="false">
      <c r="A2927" s="13" t="str">
        <f aca="false">IF(עזר!L2927="","",INDEX(עזר!$A$2:$A$5001,עזר!L2927))</f>
        <v/>
      </c>
      <c r="B2927" s="13" t="str">
        <f aca="false">IF(עזר!L2927="","",INDEX(עזר!$B$2:$B$5001,עזר!L2927))</f>
        <v/>
      </c>
      <c r="C2927" s="13" t="str">
        <f aca="false">עזר!M2927</f>
        <v/>
      </c>
    </row>
    <row r="2928" customFormat="false" ht="15" hidden="false" customHeight="false" outlineLevel="0" collapsed="false">
      <c r="A2928" s="13" t="str">
        <f aca="false">IF(עזר!L2928="","",INDEX(עזר!$A$2:$A$5001,עזר!L2928))</f>
        <v/>
      </c>
      <c r="B2928" s="13" t="str">
        <f aca="false">IF(עזר!L2928="","",INDEX(עזר!$B$2:$B$5001,עזר!L2928))</f>
        <v/>
      </c>
      <c r="C2928" s="13" t="str">
        <f aca="false">עזר!M2928</f>
        <v/>
      </c>
    </row>
    <row r="2929" customFormat="false" ht="15" hidden="false" customHeight="false" outlineLevel="0" collapsed="false">
      <c r="A2929" s="13" t="str">
        <f aca="false">IF(עזר!L2929="","",INDEX(עזר!$A$2:$A$5001,עזר!L2929))</f>
        <v/>
      </c>
      <c r="B2929" s="13" t="str">
        <f aca="false">IF(עזר!L2929="","",INDEX(עזר!$B$2:$B$5001,עזר!L2929))</f>
        <v/>
      </c>
      <c r="C2929" s="13" t="str">
        <f aca="false">עזר!M2929</f>
        <v/>
      </c>
    </row>
    <row r="2930" customFormat="false" ht="15" hidden="false" customHeight="false" outlineLevel="0" collapsed="false">
      <c r="A2930" s="13" t="str">
        <f aca="false">IF(עזר!L2930="","",INDEX(עזר!$A$2:$A$5001,עזר!L2930))</f>
        <v/>
      </c>
      <c r="B2930" s="13" t="str">
        <f aca="false">IF(עזר!L2930="","",INDEX(עזר!$B$2:$B$5001,עזר!L2930))</f>
        <v/>
      </c>
      <c r="C2930" s="13" t="str">
        <f aca="false">עזר!M2930</f>
        <v/>
      </c>
    </row>
    <row r="2931" customFormat="false" ht="15" hidden="false" customHeight="false" outlineLevel="0" collapsed="false">
      <c r="A2931" s="13" t="str">
        <f aca="false">IF(עזר!L2931="","",INDEX(עזר!$A$2:$A$5001,עזר!L2931))</f>
        <v/>
      </c>
      <c r="B2931" s="13" t="str">
        <f aca="false">IF(עזר!L2931="","",INDEX(עזר!$B$2:$B$5001,עזר!L2931))</f>
        <v/>
      </c>
      <c r="C2931" s="13" t="str">
        <f aca="false">עזר!M2931</f>
        <v/>
      </c>
    </row>
    <row r="2932" customFormat="false" ht="15" hidden="false" customHeight="false" outlineLevel="0" collapsed="false">
      <c r="A2932" s="13" t="str">
        <f aca="false">IF(עזר!L2932="","",INDEX(עזר!$A$2:$A$5001,עזר!L2932))</f>
        <v/>
      </c>
      <c r="B2932" s="13" t="str">
        <f aca="false">IF(עזר!L2932="","",INDEX(עזר!$B$2:$B$5001,עזר!L2932))</f>
        <v/>
      </c>
      <c r="C2932" s="13" t="str">
        <f aca="false">עזר!M2932</f>
        <v/>
      </c>
    </row>
    <row r="2933" customFormat="false" ht="15" hidden="false" customHeight="false" outlineLevel="0" collapsed="false">
      <c r="A2933" s="13" t="str">
        <f aca="false">IF(עזר!L2933="","",INDEX(עזר!$A$2:$A$5001,עזר!L2933))</f>
        <v/>
      </c>
      <c r="B2933" s="13" t="str">
        <f aca="false">IF(עזר!L2933="","",INDEX(עזר!$B$2:$B$5001,עזר!L2933))</f>
        <v/>
      </c>
      <c r="C2933" s="13" t="str">
        <f aca="false">עזר!M2933</f>
        <v/>
      </c>
    </row>
    <row r="2934" customFormat="false" ht="15" hidden="false" customHeight="false" outlineLevel="0" collapsed="false">
      <c r="A2934" s="13" t="str">
        <f aca="false">IF(עזר!L2934="","",INDEX(עזר!$A$2:$A$5001,עזר!L2934))</f>
        <v/>
      </c>
      <c r="B2934" s="13" t="str">
        <f aca="false">IF(עזר!L2934="","",INDEX(עזר!$B$2:$B$5001,עזר!L2934))</f>
        <v/>
      </c>
      <c r="C2934" s="13" t="str">
        <f aca="false">עזר!M2934</f>
        <v/>
      </c>
    </row>
    <row r="2935" customFormat="false" ht="15" hidden="false" customHeight="false" outlineLevel="0" collapsed="false">
      <c r="A2935" s="13" t="str">
        <f aca="false">IF(עזר!L2935="","",INDEX(עזר!$A$2:$A$5001,עזר!L2935))</f>
        <v/>
      </c>
      <c r="B2935" s="13" t="str">
        <f aca="false">IF(עזר!L2935="","",INDEX(עזר!$B$2:$B$5001,עזר!L2935))</f>
        <v/>
      </c>
      <c r="C2935" s="13" t="str">
        <f aca="false">עזר!M2935</f>
        <v/>
      </c>
    </row>
    <row r="2936" customFormat="false" ht="15" hidden="false" customHeight="false" outlineLevel="0" collapsed="false">
      <c r="A2936" s="13" t="str">
        <f aca="false">IF(עזר!L2936="","",INDEX(עזר!$A$2:$A$5001,עזר!L2936))</f>
        <v/>
      </c>
      <c r="B2936" s="13" t="str">
        <f aca="false">IF(עזר!L2936="","",INDEX(עזר!$B$2:$B$5001,עזר!L2936))</f>
        <v/>
      </c>
      <c r="C2936" s="13" t="str">
        <f aca="false">עזר!M2936</f>
        <v/>
      </c>
    </row>
    <row r="2937" customFormat="false" ht="15" hidden="false" customHeight="false" outlineLevel="0" collapsed="false">
      <c r="A2937" s="13" t="str">
        <f aca="false">IF(עזר!L2937="","",INDEX(עזר!$A$2:$A$5001,עזר!L2937))</f>
        <v/>
      </c>
      <c r="B2937" s="13" t="str">
        <f aca="false">IF(עזר!L2937="","",INDEX(עזר!$B$2:$B$5001,עזר!L2937))</f>
        <v/>
      </c>
      <c r="C2937" s="13" t="str">
        <f aca="false">עזר!M2937</f>
        <v/>
      </c>
    </row>
    <row r="2938" customFormat="false" ht="15" hidden="false" customHeight="false" outlineLevel="0" collapsed="false">
      <c r="A2938" s="13" t="str">
        <f aca="false">IF(עזר!L2938="","",INDEX(עזר!$A$2:$A$5001,עזר!L2938))</f>
        <v/>
      </c>
      <c r="B2938" s="13" t="str">
        <f aca="false">IF(עזר!L2938="","",INDEX(עזר!$B$2:$B$5001,עזר!L2938))</f>
        <v/>
      </c>
      <c r="C2938" s="13" t="str">
        <f aca="false">עזר!M2938</f>
        <v/>
      </c>
    </row>
    <row r="2939" customFormat="false" ht="15" hidden="false" customHeight="false" outlineLevel="0" collapsed="false">
      <c r="A2939" s="13" t="str">
        <f aca="false">IF(עזר!L2939="","",INDEX(עזר!$A$2:$A$5001,עזר!L2939))</f>
        <v/>
      </c>
      <c r="B2939" s="13" t="str">
        <f aca="false">IF(עזר!L2939="","",INDEX(עזר!$B$2:$B$5001,עזר!L2939))</f>
        <v/>
      </c>
      <c r="C2939" s="13" t="str">
        <f aca="false">עזר!M2939</f>
        <v/>
      </c>
    </row>
    <row r="2940" customFormat="false" ht="15" hidden="false" customHeight="false" outlineLevel="0" collapsed="false">
      <c r="A2940" s="13" t="str">
        <f aca="false">IF(עזר!L2940="","",INDEX(עזר!$A$2:$A$5001,עזר!L2940))</f>
        <v/>
      </c>
      <c r="B2940" s="13" t="str">
        <f aca="false">IF(עזר!L2940="","",INDEX(עזר!$B$2:$B$5001,עזר!L2940))</f>
        <v/>
      </c>
      <c r="C2940" s="13" t="str">
        <f aca="false">עזר!M2940</f>
        <v/>
      </c>
    </row>
    <row r="2941" customFormat="false" ht="15" hidden="false" customHeight="false" outlineLevel="0" collapsed="false">
      <c r="A2941" s="13" t="str">
        <f aca="false">IF(עזר!L2941="","",INDEX(עזר!$A$2:$A$5001,עזר!L2941))</f>
        <v/>
      </c>
      <c r="B2941" s="13" t="str">
        <f aca="false">IF(עזר!L2941="","",INDEX(עזר!$B$2:$B$5001,עזר!L2941))</f>
        <v/>
      </c>
      <c r="C2941" s="13" t="str">
        <f aca="false">עזר!M2941</f>
        <v/>
      </c>
    </row>
    <row r="2942" customFormat="false" ht="15" hidden="false" customHeight="false" outlineLevel="0" collapsed="false">
      <c r="A2942" s="13" t="str">
        <f aca="false">IF(עזר!L2942="","",INDEX(עזר!$A$2:$A$5001,עזר!L2942))</f>
        <v/>
      </c>
      <c r="B2942" s="13" t="str">
        <f aca="false">IF(עזר!L2942="","",INDEX(עזר!$B$2:$B$5001,עזר!L2942))</f>
        <v/>
      </c>
      <c r="C2942" s="13" t="str">
        <f aca="false">עזר!M2942</f>
        <v/>
      </c>
    </row>
    <row r="2943" customFormat="false" ht="15" hidden="false" customHeight="false" outlineLevel="0" collapsed="false">
      <c r="A2943" s="13" t="str">
        <f aca="false">IF(עזר!L2943="","",INDEX(עזר!$A$2:$A$5001,עזר!L2943))</f>
        <v/>
      </c>
      <c r="B2943" s="13" t="str">
        <f aca="false">IF(עזר!L2943="","",INDEX(עזר!$B$2:$B$5001,עזר!L2943))</f>
        <v/>
      </c>
      <c r="C2943" s="13" t="str">
        <f aca="false">עזר!M2943</f>
        <v/>
      </c>
    </row>
    <row r="2944" customFormat="false" ht="15" hidden="false" customHeight="false" outlineLevel="0" collapsed="false">
      <c r="A2944" s="13" t="str">
        <f aca="false">IF(עזר!L2944="","",INDEX(עזר!$A$2:$A$5001,עזר!L2944))</f>
        <v/>
      </c>
      <c r="B2944" s="13" t="str">
        <f aca="false">IF(עזר!L2944="","",INDEX(עזר!$B$2:$B$5001,עזר!L2944))</f>
        <v/>
      </c>
      <c r="C2944" s="13" t="str">
        <f aca="false">עזר!M2944</f>
        <v/>
      </c>
    </row>
    <row r="2945" customFormat="false" ht="15" hidden="false" customHeight="false" outlineLevel="0" collapsed="false">
      <c r="A2945" s="13" t="str">
        <f aca="false">IF(עזר!L2945="","",INDEX(עזר!$A$2:$A$5001,עזר!L2945))</f>
        <v/>
      </c>
      <c r="B2945" s="13" t="str">
        <f aca="false">IF(עזר!L2945="","",INDEX(עזר!$B$2:$B$5001,עזר!L2945))</f>
        <v/>
      </c>
      <c r="C2945" s="13" t="str">
        <f aca="false">עזר!M2945</f>
        <v/>
      </c>
    </row>
    <row r="2946" customFormat="false" ht="15" hidden="false" customHeight="false" outlineLevel="0" collapsed="false">
      <c r="A2946" s="13" t="str">
        <f aca="false">IF(עזר!L2946="","",INDEX(עזר!$A$2:$A$5001,עזר!L2946))</f>
        <v/>
      </c>
      <c r="B2946" s="13" t="str">
        <f aca="false">IF(עזר!L2946="","",INDEX(עזר!$B$2:$B$5001,עזר!L2946))</f>
        <v/>
      </c>
      <c r="C2946" s="13" t="str">
        <f aca="false">עזר!M2946</f>
        <v/>
      </c>
    </row>
    <row r="2947" customFormat="false" ht="15" hidden="false" customHeight="false" outlineLevel="0" collapsed="false">
      <c r="A2947" s="13" t="str">
        <f aca="false">IF(עזר!L2947="","",INDEX(עזר!$A$2:$A$5001,עזר!L2947))</f>
        <v/>
      </c>
      <c r="B2947" s="13" t="str">
        <f aca="false">IF(עזר!L2947="","",INDEX(עזר!$B$2:$B$5001,עזר!L2947))</f>
        <v/>
      </c>
      <c r="C2947" s="13" t="str">
        <f aca="false">עזר!M2947</f>
        <v/>
      </c>
    </row>
    <row r="2948" customFormat="false" ht="15" hidden="false" customHeight="false" outlineLevel="0" collapsed="false">
      <c r="A2948" s="13" t="str">
        <f aca="false">IF(עזר!L2948="","",INDEX(עזר!$A$2:$A$5001,עזר!L2948))</f>
        <v/>
      </c>
      <c r="B2948" s="13" t="str">
        <f aca="false">IF(עזר!L2948="","",INDEX(עזר!$B$2:$B$5001,עזר!L2948))</f>
        <v/>
      </c>
      <c r="C2948" s="13" t="str">
        <f aca="false">עזר!M2948</f>
        <v/>
      </c>
    </row>
    <row r="2949" customFormat="false" ht="15" hidden="false" customHeight="false" outlineLevel="0" collapsed="false">
      <c r="A2949" s="13" t="str">
        <f aca="false">IF(עזר!L2949="","",INDEX(עזר!$A$2:$A$5001,עזר!L2949))</f>
        <v/>
      </c>
      <c r="B2949" s="13" t="str">
        <f aca="false">IF(עזר!L2949="","",INDEX(עזר!$B$2:$B$5001,עזר!L2949))</f>
        <v/>
      </c>
      <c r="C2949" s="13" t="str">
        <f aca="false">עזר!M2949</f>
        <v/>
      </c>
    </row>
    <row r="2950" customFormat="false" ht="15" hidden="false" customHeight="false" outlineLevel="0" collapsed="false">
      <c r="A2950" s="13" t="str">
        <f aca="false">IF(עזר!L2950="","",INDEX(עזר!$A$2:$A$5001,עזר!L2950))</f>
        <v/>
      </c>
      <c r="B2950" s="13" t="str">
        <f aca="false">IF(עזר!L2950="","",INDEX(עזר!$B$2:$B$5001,עזר!L2950))</f>
        <v/>
      </c>
      <c r="C2950" s="13" t="str">
        <f aca="false">עזר!M2950</f>
        <v/>
      </c>
    </row>
    <row r="2951" customFormat="false" ht="15" hidden="false" customHeight="false" outlineLevel="0" collapsed="false">
      <c r="A2951" s="13" t="str">
        <f aca="false">IF(עזר!L2951="","",INDEX(עזר!$A$2:$A$5001,עזר!L2951))</f>
        <v/>
      </c>
      <c r="B2951" s="13" t="str">
        <f aca="false">IF(עזר!L2951="","",INDEX(עזר!$B$2:$B$5001,עזר!L2951))</f>
        <v/>
      </c>
      <c r="C2951" s="13" t="str">
        <f aca="false">עזר!M2951</f>
        <v/>
      </c>
    </row>
    <row r="2952" customFormat="false" ht="15" hidden="false" customHeight="false" outlineLevel="0" collapsed="false">
      <c r="A2952" s="13" t="str">
        <f aca="false">IF(עזר!L2952="","",INDEX(עזר!$A$2:$A$5001,עזר!L2952))</f>
        <v/>
      </c>
      <c r="B2952" s="13" t="str">
        <f aca="false">IF(עזר!L2952="","",INDEX(עזר!$B$2:$B$5001,עזר!L2952))</f>
        <v/>
      </c>
      <c r="C2952" s="13" t="str">
        <f aca="false">עזר!M2952</f>
        <v/>
      </c>
    </row>
    <row r="2953" customFormat="false" ht="15" hidden="false" customHeight="false" outlineLevel="0" collapsed="false">
      <c r="A2953" s="13" t="str">
        <f aca="false">IF(עזר!L2953="","",INDEX(עזר!$A$2:$A$5001,עזר!L2953))</f>
        <v/>
      </c>
      <c r="B2953" s="13" t="str">
        <f aca="false">IF(עזר!L2953="","",INDEX(עזר!$B$2:$B$5001,עזר!L2953))</f>
        <v/>
      </c>
      <c r="C2953" s="13" t="str">
        <f aca="false">עזר!M2953</f>
        <v/>
      </c>
    </row>
    <row r="2954" customFormat="false" ht="15" hidden="false" customHeight="false" outlineLevel="0" collapsed="false">
      <c r="A2954" s="13" t="str">
        <f aca="false">IF(עזר!L2954="","",INDEX(עזר!$A$2:$A$5001,עזר!L2954))</f>
        <v/>
      </c>
      <c r="B2954" s="13" t="str">
        <f aca="false">IF(עזר!L2954="","",INDEX(עזר!$B$2:$B$5001,עזר!L2954))</f>
        <v/>
      </c>
      <c r="C2954" s="13" t="str">
        <f aca="false">עזר!M2954</f>
        <v/>
      </c>
    </row>
    <row r="2955" customFormat="false" ht="15" hidden="false" customHeight="false" outlineLevel="0" collapsed="false">
      <c r="A2955" s="13" t="str">
        <f aca="false">IF(עזר!L2955="","",INDEX(עזר!$A$2:$A$5001,עזר!L2955))</f>
        <v/>
      </c>
      <c r="B2955" s="13" t="str">
        <f aca="false">IF(עזר!L2955="","",INDEX(עזר!$B$2:$B$5001,עזר!L2955))</f>
        <v/>
      </c>
      <c r="C2955" s="13" t="str">
        <f aca="false">עזר!M2955</f>
        <v/>
      </c>
    </row>
    <row r="2956" customFormat="false" ht="15" hidden="false" customHeight="false" outlineLevel="0" collapsed="false">
      <c r="A2956" s="13" t="str">
        <f aca="false">IF(עזר!L2956="","",INDEX(עזר!$A$2:$A$5001,עזר!L2956))</f>
        <v/>
      </c>
      <c r="B2956" s="13" t="str">
        <f aca="false">IF(עזר!L2956="","",INDEX(עזר!$B$2:$B$5001,עזר!L2956))</f>
        <v/>
      </c>
      <c r="C2956" s="13" t="str">
        <f aca="false">עזר!M2956</f>
        <v/>
      </c>
    </row>
    <row r="2957" customFormat="false" ht="15" hidden="false" customHeight="false" outlineLevel="0" collapsed="false">
      <c r="A2957" s="13" t="str">
        <f aca="false">IF(עזר!L2957="","",INDEX(עזר!$A$2:$A$5001,עזר!L2957))</f>
        <v/>
      </c>
      <c r="B2957" s="13" t="str">
        <f aca="false">IF(עזר!L2957="","",INDEX(עזר!$B$2:$B$5001,עזר!L2957))</f>
        <v/>
      </c>
      <c r="C2957" s="13" t="str">
        <f aca="false">עזר!M2957</f>
        <v/>
      </c>
    </row>
    <row r="2958" customFormat="false" ht="15" hidden="false" customHeight="false" outlineLevel="0" collapsed="false">
      <c r="A2958" s="13" t="str">
        <f aca="false">IF(עזר!L2958="","",INDEX(עזר!$A$2:$A$5001,עזר!L2958))</f>
        <v/>
      </c>
      <c r="B2958" s="13" t="str">
        <f aca="false">IF(עזר!L2958="","",INDEX(עזר!$B$2:$B$5001,עזר!L2958))</f>
        <v/>
      </c>
      <c r="C2958" s="13" t="str">
        <f aca="false">עזר!M2958</f>
        <v/>
      </c>
    </row>
    <row r="2959" customFormat="false" ht="15" hidden="false" customHeight="false" outlineLevel="0" collapsed="false">
      <c r="A2959" s="13" t="str">
        <f aca="false">IF(עזר!L2959="","",INDEX(עזר!$A$2:$A$5001,עזר!L2959))</f>
        <v/>
      </c>
      <c r="B2959" s="13" t="str">
        <f aca="false">IF(עזר!L2959="","",INDEX(עזר!$B$2:$B$5001,עזר!L2959))</f>
        <v/>
      </c>
      <c r="C2959" s="13" t="str">
        <f aca="false">עזר!M2959</f>
        <v/>
      </c>
    </row>
    <row r="2960" customFormat="false" ht="15" hidden="false" customHeight="false" outlineLevel="0" collapsed="false">
      <c r="A2960" s="13" t="str">
        <f aca="false">IF(עזר!L2960="","",INDEX(עזר!$A$2:$A$5001,עזר!L2960))</f>
        <v/>
      </c>
      <c r="B2960" s="13" t="str">
        <f aca="false">IF(עזר!L2960="","",INDEX(עזר!$B$2:$B$5001,עזר!L2960))</f>
        <v/>
      </c>
      <c r="C2960" s="13" t="str">
        <f aca="false">עזר!M2960</f>
        <v/>
      </c>
    </row>
    <row r="2961" customFormat="false" ht="15" hidden="false" customHeight="false" outlineLevel="0" collapsed="false">
      <c r="A2961" s="13" t="str">
        <f aca="false">IF(עזר!L2961="","",INDEX(עזר!$A$2:$A$5001,עזר!L2961))</f>
        <v/>
      </c>
      <c r="B2961" s="13" t="str">
        <f aca="false">IF(עזר!L2961="","",INDEX(עזר!$B$2:$B$5001,עזר!L2961))</f>
        <v/>
      </c>
      <c r="C2961" s="13" t="str">
        <f aca="false">עזר!M2961</f>
        <v/>
      </c>
    </row>
    <row r="2962" customFormat="false" ht="15" hidden="false" customHeight="false" outlineLevel="0" collapsed="false">
      <c r="A2962" s="13" t="str">
        <f aca="false">IF(עזר!L2962="","",INDEX(עזר!$A$2:$A$5001,עזר!L2962))</f>
        <v/>
      </c>
      <c r="B2962" s="13" t="str">
        <f aca="false">IF(עזר!L2962="","",INDEX(עזר!$B$2:$B$5001,עזר!L2962))</f>
        <v/>
      </c>
      <c r="C2962" s="13" t="str">
        <f aca="false">עזר!M2962</f>
        <v/>
      </c>
    </row>
    <row r="2963" customFormat="false" ht="15" hidden="false" customHeight="false" outlineLevel="0" collapsed="false">
      <c r="A2963" s="13" t="str">
        <f aca="false">IF(עזר!L2963="","",INDEX(עזר!$A$2:$A$5001,עזר!L2963))</f>
        <v/>
      </c>
      <c r="B2963" s="13" t="str">
        <f aca="false">IF(עזר!L2963="","",INDEX(עזר!$B$2:$B$5001,עזר!L2963))</f>
        <v/>
      </c>
      <c r="C2963" s="13" t="str">
        <f aca="false">עזר!M2963</f>
        <v/>
      </c>
    </row>
    <row r="2964" customFormat="false" ht="15" hidden="false" customHeight="false" outlineLevel="0" collapsed="false">
      <c r="A2964" s="13" t="str">
        <f aca="false">IF(עזר!L2964="","",INDEX(עזר!$A$2:$A$5001,עזר!L2964))</f>
        <v/>
      </c>
      <c r="B2964" s="13" t="str">
        <f aca="false">IF(עזר!L2964="","",INDEX(עזר!$B$2:$B$5001,עזר!L2964))</f>
        <v/>
      </c>
      <c r="C2964" s="13" t="str">
        <f aca="false">עזר!M2964</f>
        <v/>
      </c>
    </row>
    <row r="2965" customFormat="false" ht="15" hidden="false" customHeight="false" outlineLevel="0" collapsed="false">
      <c r="A2965" s="13" t="str">
        <f aca="false">IF(עזר!L2965="","",INDEX(עזר!$A$2:$A$5001,עזר!L2965))</f>
        <v/>
      </c>
      <c r="B2965" s="13" t="str">
        <f aca="false">IF(עזר!L2965="","",INDEX(עזר!$B$2:$B$5001,עזר!L2965))</f>
        <v/>
      </c>
      <c r="C2965" s="13" t="str">
        <f aca="false">עזר!M2965</f>
        <v/>
      </c>
    </row>
    <row r="2966" customFormat="false" ht="15" hidden="false" customHeight="false" outlineLevel="0" collapsed="false">
      <c r="A2966" s="13" t="str">
        <f aca="false">IF(עזר!L2966="","",INDEX(עזר!$A$2:$A$5001,עזר!L2966))</f>
        <v/>
      </c>
      <c r="B2966" s="13" t="str">
        <f aca="false">IF(עזר!L2966="","",INDEX(עזר!$B$2:$B$5001,עזר!L2966))</f>
        <v/>
      </c>
      <c r="C2966" s="13" t="str">
        <f aca="false">עזר!M2966</f>
        <v/>
      </c>
    </row>
    <row r="2967" customFormat="false" ht="15" hidden="false" customHeight="false" outlineLevel="0" collapsed="false">
      <c r="A2967" s="13" t="str">
        <f aca="false">IF(עזר!L2967="","",INDEX(עזר!$A$2:$A$5001,עזר!L2967))</f>
        <v/>
      </c>
      <c r="B2967" s="13" t="str">
        <f aca="false">IF(עזר!L2967="","",INDEX(עזר!$B$2:$B$5001,עזר!L2967))</f>
        <v/>
      </c>
      <c r="C2967" s="13" t="str">
        <f aca="false">עזר!M2967</f>
        <v/>
      </c>
    </row>
    <row r="2968" customFormat="false" ht="15" hidden="false" customHeight="false" outlineLevel="0" collapsed="false">
      <c r="A2968" s="13" t="str">
        <f aca="false">IF(עזר!L2968="","",INDEX(עזר!$A$2:$A$5001,עזר!L2968))</f>
        <v/>
      </c>
      <c r="B2968" s="13" t="str">
        <f aca="false">IF(עזר!L2968="","",INDEX(עזר!$B$2:$B$5001,עזר!L2968))</f>
        <v/>
      </c>
      <c r="C2968" s="13" t="str">
        <f aca="false">עזר!M2968</f>
        <v/>
      </c>
    </row>
    <row r="2969" customFormat="false" ht="15" hidden="false" customHeight="false" outlineLevel="0" collapsed="false">
      <c r="A2969" s="13" t="str">
        <f aca="false">IF(עזר!L2969="","",INDEX(עזר!$A$2:$A$5001,עזר!L2969))</f>
        <v/>
      </c>
      <c r="B2969" s="13" t="str">
        <f aca="false">IF(עזר!L2969="","",INDEX(עזר!$B$2:$B$5001,עזר!L2969))</f>
        <v/>
      </c>
      <c r="C2969" s="13" t="str">
        <f aca="false">עזר!M2969</f>
        <v/>
      </c>
    </row>
    <row r="2970" customFormat="false" ht="15" hidden="false" customHeight="false" outlineLevel="0" collapsed="false">
      <c r="A2970" s="13" t="str">
        <f aca="false">IF(עזר!L2970="","",INDEX(עזר!$A$2:$A$5001,עזר!L2970))</f>
        <v/>
      </c>
      <c r="B2970" s="13" t="str">
        <f aca="false">IF(עזר!L2970="","",INDEX(עזר!$B$2:$B$5001,עזר!L2970))</f>
        <v/>
      </c>
      <c r="C2970" s="13" t="str">
        <f aca="false">עזר!M2970</f>
        <v/>
      </c>
    </row>
    <row r="2971" customFormat="false" ht="15" hidden="false" customHeight="false" outlineLevel="0" collapsed="false">
      <c r="A2971" s="13" t="str">
        <f aca="false">IF(עזר!L2971="","",INDEX(עזר!$A$2:$A$5001,עזר!L2971))</f>
        <v/>
      </c>
      <c r="B2971" s="13" t="str">
        <f aca="false">IF(עזר!L2971="","",INDEX(עזר!$B$2:$B$5001,עזר!L2971))</f>
        <v/>
      </c>
      <c r="C2971" s="13" t="str">
        <f aca="false">עזר!M2971</f>
        <v/>
      </c>
    </row>
    <row r="2972" customFormat="false" ht="15" hidden="false" customHeight="false" outlineLevel="0" collapsed="false">
      <c r="A2972" s="13" t="str">
        <f aca="false">IF(עזר!L2972="","",INDEX(עזר!$A$2:$A$5001,עזר!L2972))</f>
        <v/>
      </c>
      <c r="B2972" s="13" t="str">
        <f aca="false">IF(עזר!L2972="","",INDEX(עזר!$B$2:$B$5001,עזר!L2972))</f>
        <v/>
      </c>
      <c r="C2972" s="13" t="str">
        <f aca="false">עזר!M2972</f>
        <v/>
      </c>
    </row>
    <row r="2973" customFormat="false" ht="15" hidden="false" customHeight="false" outlineLevel="0" collapsed="false">
      <c r="A2973" s="13" t="str">
        <f aca="false">IF(עזר!L2973="","",INDEX(עזר!$A$2:$A$5001,עזר!L2973))</f>
        <v/>
      </c>
      <c r="B2973" s="13" t="str">
        <f aca="false">IF(עזר!L2973="","",INDEX(עזר!$B$2:$B$5001,עזר!L2973))</f>
        <v/>
      </c>
      <c r="C2973" s="13" t="str">
        <f aca="false">עזר!M2973</f>
        <v/>
      </c>
    </row>
    <row r="2974" customFormat="false" ht="15" hidden="false" customHeight="false" outlineLevel="0" collapsed="false">
      <c r="A2974" s="13" t="str">
        <f aca="false">IF(עזר!L2974="","",INDEX(עזר!$A$2:$A$5001,עזר!L2974))</f>
        <v/>
      </c>
      <c r="B2974" s="13" t="str">
        <f aca="false">IF(עזר!L2974="","",INDEX(עזר!$B$2:$B$5001,עזר!L2974))</f>
        <v/>
      </c>
      <c r="C2974" s="13" t="str">
        <f aca="false">עזר!M2974</f>
        <v/>
      </c>
    </row>
    <row r="2975" customFormat="false" ht="15" hidden="false" customHeight="false" outlineLevel="0" collapsed="false">
      <c r="A2975" s="13" t="str">
        <f aca="false">IF(עזר!L2975="","",INDEX(עזר!$A$2:$A$5001,עזר!L2975))</f>
        <v/>
      </c>
      <c r="B2975" s="13" t="str">
        <f aca="false">IF(עזר!L2975="","",INDEX(עזר!$B$2:$B$5001,עזר!L2975))</f>
        <v/>
      </c>
      <c r="C2975" s="13" t="str">
        <f aca="false">עזר!M2975</f>
        <v/>
      </c>
    </row>
    <row r="2976" customFormat="false" ht="15" hidden="false" customHeight="false" outlineLevel="0" collapsed="false">
      <c r="A2976" s="13" t="str">
        <f aca="false">IF(עזר!L2976="","",INDEX(עזר!$A$2:$A$5001,עזר!L2976))</f>
        <v/>
      </c>
      <c r="B2976" s="13" t="str">
        <f aca="false">IF(עזר!L2976="","",INDEX(עזר!$B$2:$B$5001,עזר!L2976))</f>
        <v/>
      </c>
      <c r="C2976" s="13" t="str">
        <f aca="false">עזר!M2976</f>
        <v/>
      </c>
    </row>
    <row r="2977" customFormat="false" ht="15" hidden="false" customHeight="false" outlineLevel="0" collapsed="false">
      <c r="A2977" s="13" t="str">
        <f aca="false">IF(עזר!L2977="","",INDEX(עזר!$A$2:$A$5001,עזר!L2977))</f>
        <v/>
      </c>
      <c r="B2977" s="13" t="str">
        <f aca="false">IF(עזר!L2977="","",INDEX(עזר!$B$2:$B$5001,עזר!L2977))</f>
        <v/>
      </c>
      <c r="C2977" s="13" t="str">
        <f aca="false">עזר!M2977</f>
        <v/>
      </c>
    </row>
    <row r="2978" customFormat="false" ht="15" hidden="false" customHeight="false" outlineLevel="0" collapsed="false">
      <c r="A2978" s="13" t="str">
        <f aca="false">IF(עזר!L2978="","",INDEX(עזר!$A$2:$A$5001,עזר!L2978))</f>
        <v/>
      </c>
      <c r="B2978" s="13" t="str">
        <f aca="false">IF(עזר!L2978="","",INDEX(עזר!$B$2:$B$5001,עזר!L2978))</f>
        <v/>
      </c>
      <c r="C2978" s="13" t="str">
        <f aca="false">עזר!M2978</f>
        <v/>
      </c>
    </row>
    <row r="2979" customFormat="false" ht="15" hidden="false" customHeight="false" outlineLevel="0" collapsed="false">
      <c r="A2979" s="13" t="str">
        <f aca="false">IF(עזר!L2979="","",INDEX(עזר!$A$2:$A$5001,עזר!L2979))</f>
        <v/>
      </c>
      <c r="B2979" s="13" t="str">
        <f aca="false">IF(עזר!L2979="","",INDEX(עזר!$B$2:$B$5001,עזר!L2979))</f>
        <v/>
      </c>
      <c r="C2979" s="13" t="str">
        <f aca="false">עזר!M2979</f>
        <v/>
      </c>
    </row>
    <row r="2980" customFormat="false" ht="15" hidden="false" customHeight="false" outlineLevel="0" collapsed="false">
      <c r="A2980" s="13" t="str">
        <f aca="false">IF(עזר!L2980="","",INDEX(עזר!$A$2:$A$5001,עזר!L2980))</f>
        <v/>
      </c>
      <c r="B2980" s="13" t="str">
        <f aca="false">IF(עזר!L2980="","",INDEX(עזר!$B$2:$B$5001,עזר!L2980))</f>
        <v/>
      </c>
      <c r="C2980" s="13" t="str">
        <f aca="false">עזר!M2980</f>
        <v/>
      </c>
    </row>
    <row r="2981" customFormat="false" ht="15" hidden="false" customHeight="false" outlineLevel="0" collapsed="false">
      <c r="A2981" s="13" t="str">
        <f aca="false">IF(עזר!L2981="","",INDEX(עזר!$A$2:$A$5001,עזר!L2981))</f>
        <v/>
      </c>
      <c r="B2981" s="13" t="str">
        <f aca="false">IF(עזר!L2981="","",INDEX(עזר!$B$2:$B$5001,עזר!L2981))</f>
        <v/>
      </c>
      <c r="C2981" s="13" t="str">
        <f aca="false">עזר!M2981</f>
        <v/>
      </c>
    </row>
    <row r="2982" customFormat="false" ht="15" hidden="false" customHeight="false" outlineLevel="0" collapsed="false">
      <c r="A2982" s="13" t="str">
        <f aca="false">IF(עזר!L2982="","",INDEX(עזר!$A$2:$A$5001,עזר!L2982))</f>
        <v/>
      </c>
      <c r="B2982" s="13" t="str">
        <f aca="false">IF(עזר!L2982="","",INDEX(עזר!$B$2:$B$5001,עזר!L2982))</f>
        <v/>
      </c>
      <c r="C2982" s="13" t="str">
        <f aca="false">עזר!M2982</f>
        <v/>
      </c>
    </row>
    <row r="2983" customFormat="false" ht="15" hidden="false" customHeight="false" outlineLevel="0" collapsed="false">
      <c r="A2983" s="13" t="str">
        <f aca="false">IF(עזר!L2983="","",INDEX(עזר!$A$2:$A$5001,עזר!L2983))</f>
        <v/>
      </c>
      <c r="B2983" s="13" t="str">
        <f aca="false">IF(עזר!L2983="","",INDEX(עזר!$B$2:$B$5001,עזר!L2983))</f>
        <v/>
      </c>
      <c r="C2983" s="13" t="str">
        <f aca="false">עזר!M2983</f>
        <v/>
      </c>
    </row>
    <row r="2984" customFormat="false" ht="15" hidden="false" customHeight="false" outlineLevel="0" collapsed="false">
      <c r="A2984" s="13" t="str">
        <f aca="false">IF(עזר!L2984="","",INDEX(עזר!$A$2:$A$5001,עזר!L2984))</f>
        <v/>
      </c>
      <c r="B2984" s="13" t="str">
        <f aca="false">IF(עזר!L2984="","",INDEX(עזר!$B$2:$B$5001,עזר!L2984))</f>
        <v/>
      </c>
      <c r="C2984" s="13" t="str">
        <f aca="false">עזר!M2984</f>
        <v/>
      </c>
    </row>
    <row r="2985" customFormat="false" ht="15" hidden="false" customHeight="false" outlineLevel="0" collapsed="false">
      <c r="A2985" s="13" t="str">
        <f aca="false">IF(עזר!L2985="","",INDEX(עזר!$A$2:$A$5001,עזר!L2985))</f>
        <v/>
      </c>
      <c r="B2985" s="13" t="str">
        <f aca="false">IF(עזר!L2985="","",INDEX(עזר!$B$2:$B$5001,עזר!L2985))</f>
        <v/>
      </c>
      <c r="C2985" s="13" t="str">
        <f aca="false">עזר!M2985</f>
        <v/>
      </c>
    </row>
    <row r="2986" customFormat="false" ht="15" hidden="false" customHeight="false" outlineLevel="0" collapsed="false">
      <c r="A2986" s="13" t="str">
        <f aca="false">IF(עזר!L2986="","",INDEX(עזר!$A$2:$A$5001,עזר!L2986))</f>
        <v/>
      </c>
      <c r="B2986" s="13" t="str">
        <f aca="false">IF(עזר!L2986="","",INDEX(עזר!$B$2:$B$5001,עזר!L2986))</f>
        <v/>
      </c>
      <c r="C2986" s="13" t="str">
        <f aca="false">עזר!M2986</f>
        <v/>
      </c>
    </row>
    <row r="2987" customFormat="false" ht="15" hidden="false" customHeight="false" outlineLevel="0" collapsed="false">
      <c r="A2987" s="13" t="str">
        <f aca="false">IF(עזר!L2987="","",INDEX(עזר!$A$2:$A$5001,עזר!L2987))</f>
        <v/>
      </c>
      <c r="B2987" s="13" t="str">
        <f aca="false">IF(עזר!L2987="","",INDEX(עזר!$B$2:$B$5001,עזר!L2987))</f>
        <v/>
      </c>
      <c r="C2987" s="13" t="str">
        <f aca="false">עזר!M2987</f>
        <v/>
      </c>
    </row>
    <row r="2988" customFormat="false" ht="15" hidden="false" customHeight="false" outlineLevel="0" collapsed="false">
      <c r="A2988" s="13" t="str">
        <f aca="false">IF(עזר!L2988="","",INDEX(עזר!$A$2:$A$5001,עזר!L2988))</f>
        <v/>
      </c>
      <c r="B2988" s="13" t="str">
        <f aca="false">IF(עזר!L2988="","",INDEX(עזר!$B$2:$B$5001,עזר!L2988))</f>
        <v/>
      </c>
      <c r="C2988" s="13" t="str">
        <f aca="false">עזר!M2988</f>
        <v/>
      </c>
    </row>
    <row r="2989" customFormat="false" ht="15" hidden="false" customHeight="false" outlineLevel="0" collapsed="false">
      <c r="A2989" s="13" t="str">
        <f aca="false">IF(עזר!L2989="","",INDEX(עזר!$A$2:$A$5001,עזר!L2989))</f>
        <v/>
      </c>
      <c r="B2989" s="13" t="str">
        <f aca="false">IF(עזר!L2989="","",INDEX(עזר!$B$2:$B$5001,עזר!L2989))</f>
        <v/>
      </c>
      <c r="C2989" s="13" t="str">
        <f aca="false">עזר!M2989</f>
        <v/>
      </c>
    </row>
    <row r="2990" customFormat="false" ht="15" hidden="false" customHeight="false" outlineLevel="0" collapsed="false">
      <c r="A2990" s="13" t="str">
        <f aca="false">IF(עזר!L2990="","",INDEX(עזר!$A$2:$A$5001,עזר!L2990))</f>
        <v/>
      </c>
      <c r="B2990" s="13" t="str">
        <f aca="false">IF(עזר!L2990="","",INDEX(עזר!$B$2:$B$5001,עזר!L2990))</f>
        <v/>
      </c>
      <c r="C2990" s="13" t="str">
        <f aca="false">עזר!M2990</f>
        <v/>
      </c>
    </row>
    <row r="2991" customFormat="false" ht="15" hidden="false" customHeight="false" outlineLevel="0" collapsed="false">
      <c r="A2991" s="13" t="str">
        <f aca="false">IF(עזר!L2991="","",INDEX(עזר!$A$2:$A$5001,עזר!L2991))</f>
        <v/>
      </c>
      <c r="B2991" s="13" t="str">
        <f aca="false">IF(עזר!L2991="","",INDEX(עזר!$B$2:$B$5001,עזר!L2991))</f>
        <v/>
      </c>
      <c r="C2991" s="13" t="str">
        <f aca="false">עזר!M2991</f>
        <v/>
      </c>
    </row>
    <row r="2992" customFormat="false" ht="15" hidden="false" customHeight="false" outlineLevel="0" collapsed="false">
      <c r="A2992" s="13" t="str">
        <f aca="false">IF(עזר!L2992="","",INDEX(עזר!$A$2:$A$5001,עזר!L2992))</f>
        <v/>
      </c>
      <c r="B2992" s="13" t="str">
        <f aca="false">IF(עזר!L2992="","",INDEX(עזר!$B$2:$B$5001,עזר!L2992))</f>
        <v/>
      </c>
      <c r="C2992" s="13" t="str">
        <f aca="false">עזר!M2992</f>
        <v/>
      </c>
    </row>
    <row r="2993" customFormat="false" ht="15" hidden="false" customHeight="false" outlineLevel="0" collapsed="false">
      <c r="A2993" s="13" t="str">
        <f aca="false">IF(עזר!L2993="","",INDEX(עזר!$A$2:$A$5001,עזר!L2993))</f>
        <v/>
      </c>
      <c r="B2993" s="13" t="str">
        <f aca="false">IF(עזר!L2993="","",INDEX(עזר!$B$2:$B$5001,עזר!L2993))</f>
        <v/>
      </c>
      <c r="C2993" s="13" t="str">
        <f aca="false">עזר!M2993</f>
        <v/>
      </c>
    </row>
    <row r="2994" customFormat="false" ht="15" hidden="false" customHeight="false" outlineLevel="0" collapsed="false">
      <c r="A2994" s="13" t="str">
        <f aca="false">IF(עזר!L2994="","",INDEX(עזר!$A$2:$A$5001,עזר!L2994))</f>
        <v/>
      </c>
      <c r="B2994" s="13" t="str">
        <f aca="false">IF(עזר!L2994="","",INDEX(עזר!$B$2:$B$5001,עזר!L2994))</f>
        <v/>
      </c>
      <c r="C2994" s="13" t="str">
        <f aca="false">עזר!M2994</f>
        <v/>
      </c>
    </row>
    <row r="2995" customFormat="false" ht="15" hidden="false" customHeight="false" outlineLevel="0" collapsed="false">
      <c r="A2995" s="13" t="str">
        <f aca="false">IF(עזר!L2995="","",INDEX(עזר!$A$2:$A$5001,עזר!L2995))</f>
        <v/>
      </c>
      <c r="B2995" s="13" t="str">
        <f aca="false">IF(עזר!L2995="","",INDEX(עזר!$B$2:$B$5001,עזר!L2995))</f>
        <v/>
      </c>
      <c r="C2995" s="13" t="str">
        <f aca="false">עזר!M2995</f>
        <v/>
      </c>
    </row>
    <row r="2996" customFormat="false" ht="15" hidden="false" customHeight="false" outlineLevel="0" collapsed="false">
      <c r="A2996" s="13" t="str">
        <f aca="false">IF(עזר!L2996="","",INDEX(עזר!$A$2:$A$5001,עזר!L2996))</f>
        <v/>
      </c>
      <c r="B2996" s="13" t="str">
        <f aca="false">IF(עזר!L2996="","",INDEX(עזר!$B$2:$B$5001,עזר!L2996))</f>
        <v/>
      </c>
      <c r="C2996" s="13" t="str">
        <f aca="false">עזר!M2996</f>
        <v/>
      </c>
    </row>
    <row r="2997" customFormat="false" ht="15" hidden="false" customHeight="false" outlineLevel="0" collapsed="false">
      <c r="A2997" s="13" t="str">
        <f aca="false">IF(עזר!L2997="","",INDEX(עזר!$A$2:$A$5001,עזר!L2997))</f>
        <v/>
      </c>
      <c r="B2997" s="13" t="str">
        <f aca="false">IF(עזר!L2997="","",INDEX(עזר!$B$2:$B$5001,עזר!L2997))</f>
        <v/>
      </c>
      <c r="C2997" s="13" t="str">
        <f aca="false">עזר!M2997</f>
        <v/>
      </c>
    </row>
    <row r="2998" customFormat="false" ht="15" hidden="false" customHeight="false" outlineLevel="0" collapsed="false">
      <c r="A2998" s="13" t="str">
        <f aca="false">IF(עזר!L2998="","",INDEX(עזר!$A$2:$A$5001,עזר!L2998))</f>
        <v/>
      </c>
      <c r="B2998" s="13" t="str">
        <f aca="false">IF(עזר!L2998="","",INDEX(עזר!$B$2:$B$5001,עזר!L2998))</f>
        <v/>
      </c>
      <c r="C2998" s="13" t="str">
        <f aca="false">עזר!M2998</f>
        <v/>
      </c>
    </row>
    <row r="2999" customFormat="false" ht="15" hidden="false" customHeight="false" outlineLevel="0" collapsed="false">
      <c r="A2999" s="13" t="str">
        <f aca="false">IF(עזר!L2999="","",INDEX(עזר!$A$2:$A$5001,עזר!L2999))</f>
        <v/>
      </c>
      <c r="B2999" s="13" t="str">
        <f aca="false">IF(עזר!L2999="","",INDEX(עזר!$B$2:$B$5001,עזר!L2999))</f>
        <v/>
      </c>
      <c r="C2999" s="13" t="str">
        <f aca="false">עזר!M2999</f>
        <v/>
      </c>
    </row>
    <row r="3000" customFormat="false" ht="15" hidden="false" customHeight="false" outlineLevel="0" collapsed="false">
      <c r="A3000" s="13" t="str">
        <f aca="false">IF(עזר!L3000="","",INDEX(עזר!$A$2:$A$5001,עזר!L3000))</f>
        <v/>
      </c>
      <c r="B3000" s="13" t="str">
        <f aca="false">IF(עזר!L3000="","",INDEX(עזר!$B$2:$B$5001,עזר!L3000))</f>
        <v/>
      </c>
      <c r="C3000" s="13" t="str">
        <f aca="false">עזר!M3000</f>
        <v/>
      </c>
    </row>
    <row r="3001" customFormat="false" ht="15" hidden="false" customHeight="false" outlineLevel="0" collapsed="false">
      <c r="A3001" s="13" t="str">
        <f aca="false">IF(עזר!L3001="","",INDEX(עזר!$A$2:$A$5001,עזר!L3001))</f>
        <v/>
      </c>
      <c r="B3001" s="13" t="str">
        <f aca="false">IF(עזר!L3001="","",INDEX(עזר!$B$2:$B$5001,עזר!L3001))</f>
        <v/>
      </c>
      <c r="C3001" s="13" t="str">
        <f aca="false">עזר!M3001</f>
        <v/>
      </c>
    </row>
    <row r="3002" customFormat="false" ht="15" hidden="false" customHeight="false" outlineLevel="0" collapsed="false">
      <c r="A3002" s="13" t="str">
        <f aca="false">IF(עזר!L3002="","",INDEX(עזר!$A$2:$A$5001,עזר!L3002))</f>
        <v/>
      </c>
      <c r="B3002" s="13" t="str">
        <f aca="false">IF(עזר!L3002="","",INDEX(עזר!$B$2:$B$5001,עזר!L3002))</f>
        <v/>
      </c>
      <c r="C3002" s="13" t="str">
        <f aca="false">עזר!M3002</f>
        <v/>
      </c>
    </row>
    <row r="3003" customFormat="false" ht="15" hidden="false" customHeight="false" outlineLevel="0" collapsed="false">
      <c r="A3003" s="13" t="str">
        <f aca="false">IF(עזר!L3003="","",INDEX(עזר!$A$2:$A$5001,עזר!L3003))</f>
        <v/>
      </c>
      <c r="B3003" s="13" t="str">
        <f aca="false">IF(עזר!L3003="","",INDEX(עזר!$B$2:$B$5001,עזר!L3003))</f>
        <v/>
      </c>
      <c r="C3003" s="13" t="str">
        <f aca="false">עזר!M3003</f>
        <v/>
      </c>
    </row>
    <row r="3004" customFormat="false" ht="15" hidden="false" customHeight="false" outlineLevel="0" collapsed="false">
      <c r="A3004" s="13" t="str">
        <f aca="false">IF(עזר!L3004="","",INDEX(עזר!$A$2:$A$5001,עזר!L3004))</f>
        <v/>
      </c>
      <c r="B3004" s="13" t="str">
        <f aca="false">IF(עזר!L3004="","",INDEX(עזר!$B$2:$B$5001,עזר!L3004))</f>
        <v/>
      </c>
      <c r="C3004" s="13" t="str">
        <f aca="false">עזר!M3004</f>
        <v/>
      </c>
    </row>
    <row r="3005" customFormat="false" ht="15" hidden="false" customHeight="false" outlineLevel="0" collapsed="false">
      <c r="A3005" s="13" t="str">
        <f aca="false">IF(עזר!L3005="","",INDEX(עזר!$A$2:$A$5001,עזר!L3005))</f>
        <v/>
      </c>
      <c r="B3005" s="13" t="str">
        <f aca="false">IF(עזר!L3005="","",INDEX(עזר!$B$2:$B$5001,עזר!L3005))</f>
        <v/>
      </c>
      <c r="C3005" s="13" t="str">
        <f aca="false">עזר!M3005</f>
        <v/>
      </c>
    </row>
    <row r="3006" customFormat="false" ht="15" hidden="false" customHeight="false" outlineLevel="0" collapsed="false">
      <c r="A3006" s="13" t="str">
        <f aca="false">IF(עזר!L3006="","",INDEX(עזר!$A$2:$A$5001,עזר!L3006))</f>
        <v/>
      </c>
      <c r="B3006" s="13" t="str">
        <f aca="false">IF(עזר!L3006="","",INDEX(עזר!$B$2:$B$5001,עזר!L3006))</f>
        <v/>
      </c>
      <c r="C3006" s="13" t="str">
        <f aca="false">עזר!M3006</f>
        <v/>
      </c>
    </row>
    <row r="3007" customFormat="false" ht="15" hidden="false" customHeight="false" outlineLevel="0" collapsed="false">
      <c r="A3007" s="13" t="str">
        <f aca="false">IF(עזר!L3007="","",INDEX(עזר!$A$2:$A$5001,עזר!L3007))</f>
        <v/>
      </c>
      <c r="B3007" s="13" t="str">
        <f aca="false">IF(עזר!L3007="","",INDEX(עזר!$B$2:$B$5001,עזר!L3007))</f>
        <v/>
      </c>
      <c r="C3007" s="13" t="str">
        <f aca="false">עזר!M3007</f>
        <v/>
      </c>
    </row>
    <row r="3008" customFormat="false" ht="15" hidden="false" customHeight="false" outlineLevel="0" collapsed="false">
      <c r="A3008" s="13" t="str">
        <f aca="false">IF(עזר!L3008="","",INDEX(עזר!$A$2:$A$5001,עזר!L3008))</f>
        <v/>
      </c>
      <c r="B3008" s="13" t="str">
        <f aca="false">IF(עזר!L3008="","",INDEX(עזר!$B$2:$B$5001,עזר!L3008))</f>
        <v/>
      </c>
      <c r="C3008" s="13" t="str">
        <f aca="false">עזר!M3008</f>
        <v/>
      </c>
    </row>
    <row r="3009" customFormat="false" ht="15" hidden="false" customHeight="false" outlineLevel="0" collapsed="false">
      <c r="A3009" s="13" t="str">
        <f aca="false">IF(עזר!L3009="","",INDEX(עזר!$A$2:$A$5001,עזר!L3009))</f>
        <v/>
      </c>
      <c r="B3009" s="13" t="str">
        <f aca="false">IF(עזר!L3009="","",INDEX(עזר!$B$2:$B$5001,עזר!L3009))</f>
        <v/>
      </c>
      <c r="C3009" s="13" t="str">
        <f aca="false">עזר!M3009</f>
        <v/>
      </c>
    </row>
    <row r="3010" customFormat="false" ht="15" hidden="false" customHeight="false" outlineLevel="0" collapsed="false">
      <c r="A3010" s="13" t="str">
        <f aca="false">IF(עזר!L3010="","",INDEX(עזר!$A$2:$A$5001,עזר!L3010))</f>
        <v/>
      </c>
      <c r="B3010" s="13" t="str">
        <f aca="false">IF(עזר!L3010="","",INDEX(עזר!$B$2:$B$5001,עזר!L3010))</f>
        <v/>
      </c>
      <c r="C3010" s="13" t="str">
        <f aca="false">עזר!M3010</f>
        <v/>
      </c>
    </row>
    <row r="3011" customFormat="false" ht="15" hidden="false" customHeight="false" outlineLevel="0" collapsed="false">
      <c r="A3011" s="13" t="str">
        <f aca="false">IF(עזר!L3011="","",INDEX(עזר!$A$2:$A$5001,עזר!L3011))</f>
        <v/>
      </c>
      <c r="B3011" s="13" t="str">
        <f aca="false">IF(עזר!L3011="","",INDEX(עזר!$B$2:$B$5001,עזר!L3011))</f>
        <v/>
      </c>
      <c r="C3011" s="13" t="str">
        <f aca="false">עזר!M3011</f>
        <v/>
      </c>
    </row>
    <row r="3012" customFormat="false" ht="15" hidden="false" customHeight="false" outlineLevel="0" collapsed="false">
      <c r="A3012" s="13" t="str">
        <f aca="false">IF(עזר!L3012="","",INDEX(עזר!$A$2:$A$5001,עזר!L3012))</f>
        <v/>
      </c>
      <c r="B3012" s="13" t="str">
        <f aca="false">IF(עזר!L3012="","",INDEX(עזר!$B$2:$B$5001,עזר!L3012))</f>
        <v/>
      </c>
      <c r="C3012" s="13" t="str">
        <f aca="false">עזר!M3012</f>
        <v/>
      </c>
    </row>
    <row r="3013" customFormat="false" ht="15" hidden="false" customHeight="false" outlineLevel="0" collapsed="false">
      <c r="A3013" s="13" t="str">
        <f aca="false">IF(עזר!L3013="","",INDEX(עזר!$A$2:$A$5001,עזר!L3013))</f>
        <v/>
      </c>
      <c r="B3013" s="13" t="str">
        <f aca="false">IF(עזר!L3013="","",INDEX(עזר!$B$2:$B$5001,עזר!L3013))</f>
        <v/>
      </c>
      <c r="C3013" s="13" t="str">
        <f aca="false">עזר!M3013</f>
        <v/>
      </c>
    </row>
    <row r="3014" customFormat="false" ht="15" hidden="false" customHeight="false" outlineLevel="0" collapsed="false">
      <c r="A3014" s="13" t="str">
        <f aca="false">IF(עזר!L3014="","",INDEX(עזר!$A$2:$A$5001,עזר!L3014))</f>
        <v/>
      </c>
      <c r="B3014" s="13" t="str">
        <f aca="false">IF(עזר!L3014="","",INDEX(עזר!$B$2:$B$5001,עזר!L3014))</f>
        <v/>
      </c>
      <c r="C3014" s="13" t="str">
        <f aca="false">עזר!M3014</f>
        <v/>
      </c>
    </row>
    <row r="3015" customFormat="false" ht="15" hidden="false" customHeight="false" outlineLevel="0" collapsed="false">
      <c r="A3015" s="13" t="str">
        <f aca="false">IF(עזר!L3015="","",INDEX(עזר!$A$2:$A$5001,עזר!L3015))</f>
        <v/>
      </c>
      <c r="B3015" s="13" t="str">
        <f aca="false">IF(עזר!L3015="","",INDEX(עזר!$B$2:$B$5001,עזר!L3015))</f>
        <v/>
      </c>
      <c r="C3015" s="13" t="str">
        <f aca="false">עזר!M3015</f>
        <v/>
      </c>
    </row>
    <row r="3016" customFormat="false" ht="15" hidden="false" customHeight="false" outlineLevel="0" collapsed="false">
      <c r="A3016" s="13" t="str">
        <f aca="false">IF(עזר!L3016="","",INDEX(עזר!$A$2:$A$5001,עזר!L3016))</f>
        <v/>
      </c>
      <c r="B3016" s="13" t="str">
        <f aca="false">IF(עזר!L3016="","",INDEX(עזר!$B$2:$B$5001,עזר!L3016))</f>
        <v/>
      </c>
      <c r="C3016" s="13" t="str">
        <f aca="false">עזר!M3016</f>
        <v/>
      </c>
    </row>
    <row r="3017" customFormat="false" ht="15" hidden="false" customHeight="false" outlineLevel="0" collapsed="false">
      <c r="A3017" s="13" t="str">
        <f aca="false">IF(עזר!L3017="","",INDEX(עזר!$A$2:$A$5001,עזר!L3017))</f>
        <v/>
      </c>
      <c r="B3017" s="13" t="str">
        <f aca="false">IF(עזר!L3017="","",INDEX(עזר!$B$2:$B$5001,עזר!L3017))</f>
        <v/>
      </c>
      <c r="C3017" s="13" t="str">
        <f aca="false">עזר!M3017</f>
        <v/>
      </c>
    </row>
    <row r="3018" customFormat="false" ht="15" hidden="false" customHeight="false" outlineLevel="0" collapsed="false">
      <c r="A3018" s="13" t="str">
        <f aca="false">IF(עזר!L3018="","",INDEX(עזר!$A$2:$A$5001,עזר!L3018))</f>
        <v/>
      </c>
      <c r="B3018" s="13" t="str">
        <f aca="false">IF(עזר!L3018="","",INDEX(עזר!$B$2:$B$5001,עזר!L3018))</f>
        <v/>
      </c>
      <c r="C3018" s="13" t="str">
        <f aca="false">עזר!M3018</f>
        <v/>
      </c>
    </row>
    <row r="3019" customFormat="false" ht="15" hidden="false" customHeight="false" outlineLevel="0" collapsed="false">
      <c r="A3019" s="13" t="str">
        <f aca="false">IF(עזר!L3019="","",INDEX(עזר!$A$2:$A$5001,עזר!L3019))</f>
        <v/>
      </c>
      <c r="B3019" s="13" t="str">
        <f aca="false">IF(עזר!L3019="","",INDEX(עזר!$B$2:$B$5001,עזר!L3019))</f>
        <v/>
      </c>
      <c r="C3019" s="13" t="str">
        <f aca="false">עזר!M3019</f>
        <v/>
      </c>
    </row>
    <row r="3020" customFormat="false" ht="15" hidden="false" customHeight="false" outlineLevel="0" collapsed="false">
      <c r="A3020" s="13" t="str">
        <f aca="false">IF(עזר!L3020="","",INDEX(עזר!$A$2:$A$5001,עזר!L3020))</f>
        <v/>
      </c>
      <c r="B3020" s="13" t="str">
        <f aca="false">IF(עזר!L3020="","",INDEX(עזר!$B$2:$B$5001,עזר!L3020))</f>
        <v/>
      </c>
      <c r="C3020" s="13" t="str">
        <f aca="false">עזר!M3020</f>
        <v/>
      </c>
    </row>
    <row r="3021" customFormat="false" ht="15" hidden="false" customHeight="false" outlineLevel="0" collapsed="false">
      <c r="A3021" s="13" t="str">
        <f aca="false">IF(עזר!L3021="","",INDEX(עזר!$A$2:$A$5001,עזר!L3021))</f>
        <v/>
      </c>
      <c r="B3021" s="13" t="str">
        <f aca="false">IF(עזר!L3021="","",INDEX(עזר!$B$2:$B$5001,עזר!L3021))</f>
        <v/>
      </c>
      <c r="C3021" s="13" t="str">
        <f aca="false">עזר!M3021</f>
        <v/>
      </c>
    </row>
    <row r="3022" customFormat="false" ht="15" hidden="false" customHeight="false" outlineLevel="0" collapsed="false">
      <c r="A3022" s="13" t="str">
        <f aca="false">IF(עזר!L3022="","",INDEX(עזר!$A$2:$A$5001,עזר!L3022))</f>
        <v/>
      </c>
      <c r="B3022" s="13" t="str">
        <f aca="false">IF(עזר!L3022="","",INDEX(עזר!$B$2:$B$5001,עזר!L3022))</f>
        <v/>
      </c>
      <c r="C3022" s="13" t="str">
        <f aca="false">עזר!M3022</f>
        <v/>
      </c>
    </row>
    <row r="3023" customFormat="false" ht="15" hidden="false" customHeight="false" outlineLevel="0" collapsed="false">
      <c r="A3023" s="13" t="str">
        <f aca="false">IF(עזר!L3023="","",INDEX(עזר!$A$2:$A$5001,עזר!L3023))</f>
        <v/>
      </c>
      <c r="B3023" s="13" t="str">
        <f aca="false">IF(עזר!L3023="","",INDEX(עזר!$B$2:$B$5001,עזר!L3023))</f>
        <v/>
      </c>
      <c r="C3023" s="13" t="str">
        <f aca="false">עזר!M3023</f>
        <v/>
      </c>
    </row>
    <row r="3024" customFormat="false" ht="15" hidden="false" customHeight="false" outlineLevel="0" collapsed="false">
      <c r="A3024" s="13" t="str">
        <f aca="false">IF(עזר!L3024="","",INDEX(עזר!$A$2:$A$5001,עזר!L3024))</f>
        <v/>
      </c>
      <c r="B3024" s="13" t="str">
        <f aca="false">IF(עזר!L3024="","",INDEX(עזר!$B$2:$B$5001,עזר!L3024))</f>
        <v/>
      </c>
      <c r="C3024" s="13" t="str">
        <f aca="false">עזר!M3024</f>
        <v/>
      </c>
    </row>
    <row r="3025" customFormat="false" ht="15" hidden="false" customHeight="false" outlineLevel="0" collapsed="false">
      <c r="A3025" s="13" t="str">
        <f aca="false">IF(עזר!L3025="","",INDEX(עזר!$A$2:$A$5001,עזר!L3025))</f>
        <v/>
      </c>
      <c r="B3025" s="13" t="str">
        <f aca="false">IF(עזר!L3025="","",INDEX(עזר!$B$2:$B$5001,עזר!L3025))</f>
        <v/>
      </c>
      <c r="C3025" s="13" t="str">
        <f aca="false">עזר!M3025</f>
        <v/>
      </c>
    </row>
    <row r="3026" customFormat="false" ht="15" hidden="false" customHeight="false" outlineLevel="0" collapsed="false">
      <c r="A3026" s="13" t="str">
        <f aca="false">IF(עזר!L3026="","",INDEX(עזר!$A$2:$A$5001,עזר!L3026))</f>
        <v/>
      </c>
      <c r="B3026" s="13" t="str">
        <f aca="false">IF(עזר!L3026="","",INDEX(עזר!$B$2:$B$5001,עזר!L3026))</f>
        <v/>
      </c>
      <c r="C3026" s="13" t="str">
        <f aca="false">עזר!M3026</f>
        <v/>
      </c>
    </row>
    <row r="3027" customFormat="false" ht="15" hidden="false" customHeight="false" outlineLevel="0" collapsed="false">
      <c r="A3027" s="13" t="str">
        <f aca="false">IF(עזר!L3027="","",INDEX(עזר!$A$2:$A$5001,עזר!L3027))</f>
        <v/>
      </c>
      <c r="B3027" s="13" t="str">
        <f aca="false">IF(עזר!L3027="","",INDEX(עזר!$B$2:$B$5001,עזר!L3027))</f>
        <v/>
      </c>
      <c r="C3027" s="13" t="str">
        <f aca="false">עזר!M3027</f>
        <v/>
      </c>
    </row>
    <row r="3028" customFormat="false" ht="15" hidden="false" customHeight="false" outlineLevel="0" collapsed="false">
      <c r="A3028" s="13" t="str">
        <f aca="false">IF(עזר!L3028="","",INDEX(עזר!$A$2:$A$5001,עזר!L3028))</f>
        <v/>
      </c>
      <c r="B3028" s="13" t="str">
        <f aca="false">IF(עזר!L3028="","",INDEX(עזר!$B$2:$B$5001,עזר!L3028))</f>
        <v/>
      </c>
      <c r="C3028" s="13" t="str">
        <f aca="false">עזר!M3028</f>
        <v/>
      </c>
    </row>
    <row r="3029" customFormat="false" ht="15" hidden="false" customHeight="false" outlineLevel="0" collapsed="false">
      <c r="A3029" s="13" t="str">
        <f aca="false">IF(עזר!L3029="","",INDEX(עזר!$A$2:$A$5001,עזר!L3029))</f>
        <v/>
      </c>
      <c r="B3029" s="13" t="str">
        <f aca="false">IF(עזר!L3029="","",INDEX(עזר!$B$2:$B$5001,עזר!L3029))</f>
        <v/>
      </c>
      <c r="C3029" s="13" t="str">
        <f aca="false">עזר!M3029</f>
        <v/>
      </c>
    </row>
    <row r="3030" customFormat="false" ht="15" hidden="false" customHeight="false" outlineLevel="0" collapsed="false">
      <c r="A3030" s="13" t="str">
        <f aca="false">IF(עזר!L3030="","",INDEX(עזר!$A$2:$A$5001,עזר!L3030))</f>
        <v/>
      </c>
      <c r="B3030" s="13" t="str">
        <f aca="false">IF(עזר!L3030="","",INDEX(עזר!$B$2:$B$5001,עזר!L3030))</f>
        <v/>
      </c>
      <c r="C3030" s="13" t="str">
        <f aca="false">עזר!M3030</f>
        <v/>
      </c>
    </row>
    <row r="3031" customFormat="false" ht="15" hidden="false" customHeight="false" outlineLevel="0" collapsed="false">
      <c r="A3031" s="13" t="str">
        <f aca="false">IF(עזר!L3031="","",INDEX(עזר!$A$2:$A$5001,עזר!L3031))</f>
        <v/>
      </c>
      <c r="B3031" s="13" t="str">
        <f aca="false">IF(עזר!L3031="","",INDEX(עזר!$B$2:$B$5001,עזר!L3031))</f>
        <v/>
      </c>
      <c r="C3031" s="13" t="str">
        <f aca="false">עזר!M3031</f>
        <v/>
      </c>
    </row>
    <row r="3032" customFormat="false" ht="15" hidden="false" customHeight="false" outlineLevel="0" collapsed="false">
      <c r="A3032" s="13" t="str">
        <f aca="false">IF(עזר!L3032="","",INDEX(עזר!$A$2:$A$5001,עזר!L3032))</f>
        <v/>
      </c>
      <c r="B3032" s="13" t="str">
        <f aca="false">IF(עזר!L3032="","",INDEX(עזר!$B$2:$B$5001,עזר!L3032))</f>
        <v/>
      </c>
      <c r="C3032" s="13" t="str">
        <f aca="false">עזר!M3032</f>
        <v/>
      </c>
    </row>
    <row r="3033" customFormat="false" ht="15" hidden="false" customHeight="false" outlineLevel="0" collapsed="false">
      <c r="A3033" s="13" t="str">
        <f aca="false">IF(עזר!L3033="","",INDEX(עזר!$A$2:$A$5001,עזר!L3033))</f>
        <v/>
      </c>
      <c r="B3033" s="13" t="str">
        <f aca="false">IF(עזר!L3033="","",INDEX(עזר!$B$2:$B$5001,עזר!L3033))</f>
        <v/>
      </c>
      <c r="C3033" s="13" t="str">
        <f aca="false">עזר!M3033</f>
        <v/>
      </c>
    </row>
    <row r="3034" customFormat="false" ht="15" hidden="false" customHeight="false" outlineLevel="0" collapsed="false">
      <c r="A3034" s="13" t="str">
        <f aca="false">IF(עזר!L3034="","",INDEX(עזר!$A$2:$A$5001,עזר!L3034))</f>
        <v/>
      </c>
      <c r="B3034" s="13" t="str">
        <f aca="false">IF(עזר!L3034="","",INDEX(עזר!$B$2:$B$5001,עזר!L3034))</f>
        <v/>
      </c>
      <c r="C3034" s="13" t="str">
        <f aca="false">עזר!M3034</f>
        <v/>
      </c>
    </row>
    <row r="3035" customFormat="false" ht="15" hidden="false" customHeight="false" outlineLevel="0" collapsed="false">
      <c r="A3035" s="13" t="str">
        <f aca="false">IF(עזר!L3035="","",INDEX(עזר!$A$2:$A$5001,עזר!L3035))</f>
        <v/>
      </c>
      <c r="B3035" s="13" t="str">
        <f aca="false">IF(עזר!L3035="","",INDEX(עזר!$B$2:$B$5001,עזר!L3035))</f>
        <v/>
      </c>
      <c r="C3035" s="13" t="str">
        <f aca="false">עזר!M3035</f>
        <v/>
      </c>
    </row>
    <row r="3036" customFormat="false" ht="15" hidden="false" customHeight="false" outlineLevel="0" collapsed="false">
      <c r="A3036" s="13" t="str">
        <f aca="false">IF(עזר!L3036="","",INDEX(עזר!$A$2:$A$5001,עזר!L3036))</f>
        <v/>
      </c>
      <c r="B3036" s="13" t="str">
        <f aca="false">IF(עזר!L3036="","",INDEX(עזר!$B$2:$B$5001,עזר!L3036))</f>
        <v/>
      </c>
      <c r="C3036" s="13" t="str">
        <f aca="false">עזר!M3036</f>
        <v/>
      </c>
    </row>
    <row r="3037" customFormat="false" ht="15" hidden="false" customHeight="false" outlineLevel="0" collapsed="false">
      <c r="A3037" s="13" t="str">
        <f aca="false">IF(עזר!L3037="","",INDEX(עזר!$A$2:$A$5001,עזר!L3037))</f>
        <v/>
      </c>
      <c r="B3037" s="13" t="str">
        <f aca="false">IF(עזר!L3037="","",INDEX(עזר!$B$2:$B$5001,עזר!L3037))</f>
        <v/>
      </c>
      <c r="C3037" s="13" t="str">
        <f aca="false">עזר!M3037</f>
        <v/>
      </c>
    </row>
    <row r="3038" customFormat="false" ht="15" hidden="false" customHeight="false" outlineLevel="0" collapsed="false">
      <c r="A3038" s="13" t="str">
        <f aca="false">IF(עזר!L3038="","",INDEX(עזר!$A$2:$A$5001,עזר!L3038))</f>
        <v/>
      </c>
      <c r="B3038" s="13" t="str">
        <f aca="false">IF(עזר!L3038="","",INDEX(עזר!$B$2:$B$5001,עזר!L3038))</f>
        <v/>
      </c>
      <c r="C3038" s="13" t="str">
        <f aca="false">עזר!M3038</f>
        <v/>
      </c>
    </row>
    <row r="3039" customFormat="false" ht="15" hidden="false" customHeight="false" outlineLevel="0" collapsed="false">
      <c r="A3039" s="13" t="str">
        <f aca="false">IF(עזר!L3039="","",INDEX(עזר!$A$2:$A$5001,עזר!L3039))</f>
        <v/>
      </c>
      <c r="B3039" s="13" t="str">
        <f aca="false">IF(עזר!L3039="","",INDEX(עזר!$B$2:$B$5001,עזר!L3039))</f>
        <v/>
      </c>
      <c r="C3039" s="13" t="str">
        <f aca="false">עזר!M3039</f>
        <v/>
      </c>
    </row>
    <row r="3040" customFormat="false" ht="15" hidden="false" customHeight="false" outlineLevel="0" collapsed="false">
      <c r="A3040" s="13" t="str">
        <f aca="false">IF(עזר!L3040="","",INDEX(עזר!$A$2:$A$5001,עזר!L3040))</f>
        <v/>
      </c>
      <c r="B3040" s="13" t="str">
        <f aca="false">IF(עזר!L3040="","",INDEX(עזר!$B$2:$B$5001,עזר!L3040))</f>
        <v/>
      </c>
      <c r="C3040" s="13" t="str">
        <f aca="false">עזר!M3040</f>
        <v/>
      </c>
    </row>
    <row r="3041" customFormat="false" ht="15" hidden="false" customHeight="false" outlineLevel="0" collapsed="false">
      <c r="A3041" s="13" t="str">
        <f aca="false">IF(עזר!L3041="","",INDEX(עזר!$A$2:$A$5001,עזר!L3041))</f>
        <v/>
      </c>
      <c r="B3041" s="13" t="str">
        <f aca="false">IF(עזר!L3041="","",INDEX(עזר!$B$2:$B$5001,עזר!L3041))</f>
        <v/>
      </c>
      <c r="C3041" s="13" t="str">
        <f aca="false">עזר!M3041</f>
        <v/>
      </c>
    </row>
    <row r="3042" customFormat="false" ht="15" hidden="false" customHeight="false" outlineLevel="0" collapsed="false">
      <c r="A3042" s="13" t="str">
        <f aca="false">IF(עזר!L3042="","",INDEX(עזר!$A$2:$A$5001,עזר!L3042))</f>
        <v/>
      </c>
      <c r="B3042" s="13" t="str">
        <f aca="false">IF(עזר!L3042="","",INDEX(עזר!$B$2:$B$5001,עזר!L3042))</f>
        <v/>
      </c>
      <c r="C3042" s="13" t="str">
        <f aca="false">עזר!M3042</f>
        <v/>
      </c>
    </row>
    <row r="3043" customFormat="false" ht="15" hidden="false" customHeight="false" outlineLevel="0" collapsed="false">
      <c r="A3043" s="13" t="str">
        <f aca="false">IF(עזר!L3043="","",INDEX(עזר!$A$2:$A$5001,עזר!L3043))</f>
        <v/>
      </c>
      <c r="B3043" s="13" t="str">
        <f aca="false">IF(עזר!L3043="","",INDEX(עזר!$B$2:$B$5001,עזר!L3043))</f>
        <v/>
      </c>
      <c r="C3043" s="13" t="str">
        <f aca="false">עזר!M3043</f>
        <v/>
      </c>
    </row>
    <row r="3044" customFormat="false" ht="15" hidden="false" customHeight="false" outlineLevel="0" collapsed="false">
      <c r="A3044" s="13" t="str">
        <f aca="false">IF(עזר!L3044="","",INDEX(עזר!$A$2:$A$5001,עזר!L3044))</f>
        <v/>
      </c>
      <c r="B3044" s="13" t="str">
        <f aca="false">IF(עזר!L3044="","",INDEX(עזר!$B$2:$B$5001,עזר!L3044))</f>
        <v/>
      </c>
      <c r="C3044" s="13" t="str">
        <f aca="false">עזר!M3044</f>
        <v/>
      </c>
    </row>
    <row r="3045" customFormat="false" ht="15" hidden="false" customHeight="false" outlineLevel="0" collapsed="false">
      <c r="A3045" s="13" t="str">
        <f aca="false">IF(עזר!L3045="","",INDEX(עזר!$A$2:$A$5001,עזר!L3045))</f>
        <v/>
      </c>
      <c r="B3045" s="13" t="str">
        <f aca="false">IF(עזר!L3045="","",INDEX(עזר!$B$2:$B$5001,עזר!L3045))</f>
        <v/>
      </c>
      <c r="C3045" s="13" t="str">
        <f aca="false">עזר!M3045</f>
        <v/>
      </c>
    </row>
    <row r="3046" customFormat="false" ht="15" hidden="false" customHeight="false" outlineLevel="0" collapsed="false">
      <c r="A3046" s="13" t="str">
        <f aca="false">IF(עזר!L3046="","",INDEX(עזר!$A$2:$A$5001,עזר!L3046))</f>
        <v/>
      </c>
      <c r="B3046" s="13" t="str">
        <f aca="false">IF(עזר!L3046="","",INDEX(עזר!$B$2:$B$5001,עזר!L3046))</f>
        <v/>
      </c>
      <c r="C3046" s="13" t="str">
        <f aca="false">עזר!M3046</f>
        <v/>
      </c>
    </row>
    <row r="3047" customFormat="false" ht="15" hidden="false" customHeight="false" outlineLevel="0" collapsed="false">
      <c r="A3047" s="13" t="str">
        <f aca="false">IF(עזר!L3047="","",INDEX(עזר!$A$2:$A$5001,עזר!L3047))</f>
        <v/>
      </c>
      <c r="B3047" s="13" t="str">
        <f aca="false">IF(עזר!L3047="","",INDEX(עזר!$B$2:$B$5001,עזר!L3047))</f>
        <v/>
      </c>
      <c r="C3047" s="13" t="str">
        <f aca="false">עזר!M3047</f>
        <v/>
      </c>
    </row>
    <row r="3048" customFormat="false" ht="15" hidden="false" customHeight="false" outlineLevel="0" collapsed="false">
      <c r="A3048" s="13" t="str">
        <f aca="false">IF(עזר!L3048="","",INDEX(עזר!$A$2:$A$5001,עזר!L3048))</f>
        <v/>
      </c>
      <c r="B3048" s="13" t="str">
        <f aca="false">IF(עזר!L3048="","",INDEX(עזר!$B$2:$B$5001,עזר!L3048))</f>
        <v/>
      </c>
      <c r="C3048" s="13" t="str">
        <f aca="false">עזר!M3048</f>
        <v/>
      </c>
    </row>
    <row r="3049" customFormat="false" ht="15" hidden="false" customHeight="false" outlineLevel="0" collapsed="false">
      <c r="A3049" s="13" t="str">
        <f aca="false">IF(עזר!L3049="","",INDEX(עזר!$A$2:$A$5001,עזר!L3049))</f>
        <v/>
      </c>
      <c r="B3049" s="13" t="str">
        <f aca="false">IF(עזר!L3049="","",INDEX(עזר!$B$2:$B$5001,עזר!L3049))</f>
        <v/>
      </c>
      <c r="C3049" s="13" t="str">
        <f aca="false">עזר!M3049</f>
        <v/>
      </c>
    </row>
    <row r="3050" customFormat="false" ht="15" hidden="false" customHeight="false" outlineLevel="0" collapsed="false">
      <c r="A3050" s="13" t="str">
        <f aca="false">IF(עזר!L3050="","",INDEX(עזר!$A$2:$A$5001,עזר!L3050))</f>
        <v/>
      </c>
      <c r="B3050" s="13" t="str">
        <f aca="false">IF(עזר!L3050="","",INDEX(עזר!$B$2:$B$5001,עזר!L3050))</f>
        <v/>
      </c>
      <c r="C3050" s="13" t="str">
        <f aca="false">עזר!M3050</f>
        <v/>
      </c>
    </row>
    <row r="3051" customFormat="false" ht="15" hidden="false" customHeight="false" outlineLevel="0" collapsed="false">
      <c r="A3051" s="13" t="str">
        <f aca="false">IF(עזר!L3051="","",INDEX(עזר!$A$2:$A$5001,עזר!L3051))</f>
        <v/>
      </c>
      <c r="B3051" s="13" t="str">
        <f aca="false">IF(עזר!L3051="","",INDEX(עזר!$B$2:$B$5001,עזר!L3051))</f>
        <v/>
      </c>
      <c r="C3051" s="13" t="str">
        <f aca="false">עזר!M3051</f>
        <v/>
      </c>
    </row>
    <row r="3052" customFormat="false" ht="15" hidden="false" customHeight="false" outlineLevel="0" collapsed="false">
      <c r="A3052" s="13" t="str">
        <f aca="false">IF(עזר!L3052="","",INDEX(עזר!$A$2:$A$5001,עזר!L3052))</f>
        <v/>
      </c>
      <c r="B3052" s="13" t="str">
        <f aca="false">IF(עזר!L3052="","",INDEX(עזר!$B$2:$B$5001,עזר!L3052))</f>
        <v/>
      </c>
      <c r="C3052" s="13" t="str">
        <f aca="false">עזר!M3052</f>
        <v/>
      </c>
    </row>
    <row r="3053" customFormat="false" ht="15" hidden="false" customHeight="false" outlineLevel="0" collapsed="false">
      <c r="A3053" s="13" t="str">
        <f aca="false">IF(עזר!L3053="","",INDEX(עזר!$A$2:$A$5001,עזר!L3053))</f>
        <v/>
      </c>
      <c r="B3053" s="13" t="str">
        <f aca="false">IF(עזר!L3053="","",INDEX(עזר!$B$2:$B$5001,עזר!L3053))</f>
        <v/>
      </c>
      <c r="C3053" s="13" t="str">
        <f aca="false">עזר!M3053</f>
        <v/>
      </c>
    </row>
    <row r="3054" customFormat="false" ht="15" hidden="false" customHeight="false" outlineLevel="0" collapsed="false">
      <c r="A3054" s="13" t="str">
        <f aca="false">IF(עזר!L3054="","",INDEX(עזר!$A$2:$A$5001,עזר!L3054))</f>
        <v/>
      </c>
      <c r="B3054" s="13" t="str">
        <f aca="false">IF(עזר!L3054="","",INDEX(עזר!$B$2:$B$5001,עזר!L3054))</f>
        <v/>
      </c>
      <c r="C3054" s="13" t="str">
        <f aca="false">עזר!M3054</f>
        <v/>
      </c>
    </row>
    <row r="3055" customFormat="false" ht="15" hidden="false" customHeight="false" outlineLevel="0" collapsed="false">
      <c r="A3055" s="13" t="str">
        <f aca="false">IF(עזר!L3055="","",INDEX(עזר!$A$2:$A$5001,עזר!L3055))</f>
        <v/>
      </c>
      <c r="B3055" s="13" t="str">
        <f aca="false">IF(עזר!L3055="","",INDEX(עזר!$B$2:$B$5001,עזר!L3055))</f>
        <v/>
      </c>
      <c r="C3055" s="13" t="str">
        <f aca="false">עזר!M3055</f>
        <v/>
      </c>
    </row>
    <row r="3056" customFormat="false" ht="15" hidden="false" customHeight="false" outlineLevel="0" collapsed="false">
      <c r="A3056" s="13" t="str">
        <f aca="false">IF(עזר!L3056="","",INDEX(עזר!$A$2:$A$5001,עזר!L3056))</f>
        <v/>
      </c>
      <c r="B3056" s="13" t="str">
        <f aca="false">IF(עזר!L3056="","",INDEX(עזר!$B$2:$B$5001,עזר!L3056))</f>
        <v/>
      </c>
      <c r="C3056" s="13" t="str">
        <f aca="false">עזר!M3056</f>
        <v/>
      </c>
    </row>
    <row r="3057" customFormat="false" ht="15" hidden="false" customHeight="false" outlineLevel="0" collapsed="false">
      <c r="A3057" s="13" t="str">
        <f aca="false">IF(עזר!L3057="","",INDEX(עזר!$A$2:$A$5001,עזר!L3057))</f>
        <v/>
      </c>
      <c r="B3057" s="13" t="str">
        <f aca="false">IF(עזר!L3057="","",INDEX(עזר!$B$2:$B$5001,עזר!L3057))</f>
        <v/>
      </c>
      <c r="C3057" s="13" t="str">
        <f aca="false">עזר!M3057</f>
        <v/>
      </c>
    </row>
    <row r="3058" customFormat="false" ht="15" hidden="false" customHeight="false" outlineLevel="0" collapsed="false">
      <c r="A3058" s="13" t="str">
        <f aca="false">IF(עזר!L3058="","",INDEX(עזר!$A$2:$A$5001,עזר!L3058))</f>
        <v/>
      </c>
      <c r="B3058" s="13" t="str">
        <f aca="false">IF(עזר!L3058="","",INDEX(עזר!$B$2:$B$5001,עזר!L3058))</f>
        <v/>
      </c>
      <c r="C3058" s="13" t="str">
        <f aca="false">עזר!M3058</f>
        <v/>
      </c>
    </row>
    <row r="3059" customFormat="false" ht="15" hidden="false" customHeight="false" outlineLevel="0" collapsed="false">
      <c r="A3059" s="13" t="str">
        <f aca="false">IF(עזר!L3059="","",INDEX(עזר!$A$2:$A$5001,עזר!L3059))</f>
        <v/>
      </c>
      <c r="B3059" s="13" t="str">
        <f aca="false">IF(עזר!L3059="","",INDEX(עזר!$B$2:$B$5001,עזר!L3059))</f>
        <v/>
      </c>
      <c r="C3059" s="13" t="str">
        <f aca="false">עזר!M3059</f>
        <v/>
      </c>
    </row>
    <row r="3060" customFormat="false" ht="15" hidden="false" customHeight="false" outlineLevel="0" collapsed="false">
      <c r="A3060" s="13" t="str">
        <f aca="false">IF(עזר!L3060="","",INDEX(עזר!$A$2:$A$5001,עזר!L3060))</f>
        <v/>
      </c>
      <c r="B3060" s="13" t="str">
        <f aca="false">IF(עזר!L3060="","",INDEX(עזר!$B$2:$B$5001,עזר!L3060))</f>
        <v/>
      </c>
      <c r="C3060" s="13" t="str">
        <f aca="false">עזר!M3060</f>
        <v/>
      </c>
    </row>
    <row r="3061" customFormat="false" ht="15" hidden="false" customHeight="false" outlineLevel="0" collapsed="false">
      <c r="A3061" s="13" t="str">
        <f aca="false">IF(עזר!L3061="","",INDEX(עזר!$A$2:$A$5001,עזר!L3061))</f>
        <v/>
      </c>
      <c r="B3061" s="13" t="str">
        <f aca="false">IF(עזר!L3061="","",INDEX(עזר!$B$2:$B$5001,עזר!L3061))</f>
        <v/>
      </c>
      <c r="C3061" s="13" t="str">
        <f aca="false">עזר!M3061</f>
        <v/>
      </c>
    </row>
    <row r="3062" customFormat="false" ht="15" hidden="false" customHeight="false" outlineLevel="0" collapsed="false">
      <c r="A3062" s="13" t="str">
        <f aca="false">IF(עזר!L3062="","",INDEX(עזר!$A$2:$A$5001,עזר!L3062))</f>
        <v/>
      </c>
      <c r="B3062" s="13" t="str">
        <f aca="false">IF(עזר!L3062="","",INDEX(עזר!$B$2:$B$5001,עזר!L3062))</f>
        <v/>
      </c>
      <c r="C3062" s="13" t="str">
        <f aca="false">עזר!M3062</f>
        <v/>
      </c>
    </row>
    <row r="3063" customFormat="false" ht="15" hidden="false" customHeight="false" outlineLevel="0" collapsed="false">
      <c r="A3063" s="13" t="str">
        <f aca="false">IF(עזר!L3063="","",INDEX(עזר!$A$2:$A$5001,עזר!L3063))</f>
        <v/>
      </c>
      <c r="B3063" s="13" t="str">
        <f aca="false">IF(עזר!L3063="","",INDEX(עזר!$B$2:$B$5001,עזר!L3063))</f>
        <v/>
      </c>
      <c r="C3063" s="13" t="str">
        <f aca="false">עזר!M3063</f>
        <v/>
      </c>
    </row>
    <row r="3064" customFormat="false" ht="15" hidden="false" customHeight="false" outlineLevel="0" collapsed="false">
      <c r="A3064" s="13" t="str">
        <f aca="false">IF(עזר!L3064="","",INDEX(עזר!$A$2:$A$5001,עזר!L3064))</f>
        <v/>
      </c>
      <c r="B3064" s="13" t="str">
        <f aca="false">IF(עזר!L3064="","",INDEX(עזר!$B$2:$B$5001,עזר!L3064))</f>
        <v/>
      </c>
      <c r="C3064" s="13" t="str">
        <f aca="false">עזר!M3064</f>
        <v/>
      </c>
    </row>
    <row r="3065" customFormat="false" ht="15" hidden="false" customHeight="false" outlineLevel="0" collapsed="false">
      <c r="A3065" s="13" t="str">
        <f aca="false">IF(עזר!L3065="","",INDEX(עזר!$A$2:$A$5001,עזר!L3065))</f>
        <v/>
      </c>
      <c r="B3065" s="13" t="str">
        <f aca="false">IF(עזר!L3065="","",INDEX(עזר!$B$2:$B$5001,עזר!L3065))</f>
        <v/>
      </c>
      <c r="C3065" s="13" t="str">
        <f aca="false">עזר!M3065</f>
        <v/>
      </c>
    </row>
    <row r="3066" customFormat="false" ht="15" hidden="false" customHeight="false" outlineLevel="0" collapsed="false">
      <c r="A3066" s="13" t="str">
        <f aca="false">IF(עזר!L3066="","",INDEX(עזר!$A$2:$A$5001,עזר!L3066))</f>
        <v/>
      </c>
      <c r="B3066" s="13" t="str">
        <f aca="false">IF(עזר!L3066="","",INDEX(עזר!$B$2:$B$5001,עזר!L3066))</f>
        <v/>
      </c>
      <c r="C3066" s="13" t="str">
        <f aca="false">עזר!M3066</f>
        <v/>
      </c>
    </row>
    <row r="3067" customFormat="false" ht="15" hidden="false" customHeight="false" outlineLevel="0" collapsed="false">
      <c r="A3067" s="13" t="str">
        <f aca="false">IF(עזר!L3067="","",INDEX(עזר!$A$2:$A$5001,עזר!L3067))</f>
        <v/>
      </c>
      <c r="B3067" s="13" t="str">
        <f aca="false">IF(עזר!L3067="","",INDEX(עזר!$B$2:$B$5001,עזר!L3067))</f>
        <v/>
      </c>
      <c r="C3067" s="13" t="str">
        <f aca="false">עזר!M3067</f>
        <v/>
      </c>
    </row>
    <row r="3068" customFormat="false" ht="15" hidden="false" customHeight="false" outlineLevel="0" collapsed="false">
      <c r="A3068" s="13" t="str">
        <f aca="false">IF(עזר!L3068="","",INDEX(עזר!$A$2:$A$5001,עזר!L3068))</f>
        <v/>
      </c>
      <c r="B3068" s="13" t="str">
        <f aca="false">IF(עזר!L3068="","",INDEX(עזר!$B$2:$B$5001,עזר!L3068))</f>
        <v/>
      </c>
      <c r="C3068" s="13" t="str">
        <f aca="false">עזר!M3068</f>
        <v/>
      </c>
    </row>
    <row r="3069" customFormat="false" ht="15" hidden="false" customHeight="false" outlineLevel="0" collapsed="false">
      <c r="A3069" s="13" t="str">
        <f aca="false">IF(עזר!L3069="","",INDEX(עזר!$A$2:$A$5001,עזר!L3069))</f>
        <v/>
      </c>
      <c r="B3069" s="13" t="str">
        <f aca="false">IF(עזר!L3069="","",INDEX(עזר!$B$2:$B$5001,עזר!L3069))</f>
        <v/>
      </c>
      <c r="C3069" s="13" t="str">
        <f aca="false">עזר!M3069</f>
        <v/>
      </c>
    </row>
    <row r="3070" customFormat="false" ht="15" hidden="false" customHeight="false" outlineLevel="0" collapsed="false">
      <c r="A3070" s="13" t="str">
        <f aca="false">IF(עזר!L3070="","",INDEX(עזר!$A$2:$A$5001,עזר!L3070))</f>
        <v/>
      </c>
      <c r="B3070" s="13" t="str">
        <f aca="false">IF(עזר!L3070="","",INDEX(עזר!$B$2:$B$5001,עזר!L3070))</f>
        <v/>
      </c>
      <c r="C3070" s="13" t="str">
        <f aca="false">עזר!M3070</f>
        <v/>
      </c>
    </row>
    <row r="3071" customFormat="false" ht="15" hidden="false" customHeight="false" outlineLevel="0" collapsed="false">
      <c r="A3071" s="13" t="str">
        <f aca="false">IF(עזר!L3071="","",INDEX(עזר!$A$2:$A$5001,עזר!L3071))</f>
        <v/>
      </c>
      <c r="B3071" s="13" t="str">
        <f aca="false">IF(עזר!L3071="","",INDEX(עזר!$B$2:$B$5001,עזר!L3071))</f>
        <v/>
      </c>
      <c r="C3071" s="13" t="str">
        <f aca="false">עזר!M3071</f>
        <v/>
      </c>
    </row>
    <row r="3072" customFormat="false" ht="15" hidden="false" customHeight="false" outlineLevel="0" collapsed="false">
      <c r="A3072" s="13" t="str">
        <f aca="false">IF(עזר!L3072="","",INDEX(עזר!$A$2:$A$5001,עזר!L3072))</f>
        <v/>
      </c>
      <c r="B3072" s="13" t="str">
        <f aca="false">IF(עזר!L3072="","",INDEX(עזר!$B$2:$B$5001,עזר!L3072))</f>
        <v/>
      </c>
      <c r="C3072" s="13" t="str">
        <f aca="false">עזר!M3072</f>
        <v/>
      </c>
    </row>
    <row r="3073" customFormat="false" ht="15" hidden="false" customHeight="false" outlineLevel="0" collapsed="false">
      <c r="A3073" s="13" t="str">
        <f aca="false">IF(עזר!L3073="","",INDEX(עזר!$A$2:$A$5001,עזר!L3073))</f>
        <v/>
      </c>
      <c r="B3073" s="13" t="str">
        <f aca="false">IF(עזר!L3073="","",INDEX(עזר!$B$2:$B$5001,עזר!L3073))</f>
        <v/>
      </c>
      <c r="C3073" s="13" t="str">
        <f aca="false">עזר!M3073</f>
        <v/>
      </c>
    </row>
    <row r="3074" customFormat="false" ht="15" hidden="false" customHeight="false" outlineLevel="0" collapsed="false">
      <c r="A3074" s="13" t="str">
        <f aca="false">IF(עזר!L3074="","",INDEX(עזר!$A$2:$A$5001,עזר!L3074))</f>
        <v/>
      </c>
      <c r="B3074" s="13" t="str">
        <f aca="false">IF(עזר!L3074="","",INDEX(עזר!$B$2:$B$5001,עזר!L3074))</f>
        <v/>
      </c>
      <c r="C3074" s="13" t="str">
        <f aca="false">עזר!M3074</f>
        <v/>
      </c>
    </row>
    <row r="3075" customFormat="false" ht="15" hidden="false" customHeight="false" outlineLevel="0" collapsed="false">
      <c r="A3075" s="13" t="str">
        <f aca="false">IF(עזר!L3075="","",INDEX(עזר!$A$2:$A$5001,עזר!L3075))</f>
        <v/>
      </c>
      <c r="B3075" s="13" t="str">
        <f aca="false">IF(עזר!L3075="","",INDEX(עזר!$B$2:$B$5001,עזר!L3075))</f>
        <v/>
      </c>
      <c r="C3075" s="13" t="str">
        <f aca="false">עזר!M3075</f>
        <v/>
      </c>
    </row>
    <row r="3076" customFormat="false" ht="15" hidden="false" customHeight="false" outlineLevel="0" collapsed="false">
      <c r="A3076" s="13" t="str">
        <f aca="false">IF(עזר!L3076="","",INDEX(עזר!$A$2:$A$5001,עזר!L3076))</f>
        <v/>
      </c>
      <c r="B3076" s="13" t="str">
        <f aca="false">IF(עזר!L3076="","",INDEX(עזר!$B$2:$B$5001,עזר!L3076))</f>
        <v/>
      </c>
      <c r="C3076" s="13" t="str">
        <f aca="false">עזר!M3076</f>
        <v/>
      </c>
    </row>
    <row r="3077" customFormat="false" ht="15" hidden="false" customHeight="false" outlineLevel="0" collapsed="false">
      <c r="A3077" s="13" t="str">
        <f aca="false">IF(עזר!L3077="","",INDEX(עזר!$A$2:$A$5001,עזר!L3077))</f>
        <v/>
      </c>
      <c r="B3077" s="13" t="str">
        <f aca="false">IF(עזר!L3077="","",INDEX(עזר!$B$2:$B$5001,עזר!L3077))</f>
        <v/>
      </c>
      <c r="C3077" s="13" t="str">
        <f aca="false">עזר!M3077</f>
        <v/>
      </c>
    </row>
    <row r="3078" customFormat="false" ht="15" hidden="false" customHeight="false" outlineLevel="0" collapsed="false">
      <c r="A3078" s="13" t="str">
        <f aca="false">IF(עזר!L3078="","",INDEX(עזר!$A$2:$A$5001,עזר!L3078))</f>
        <v/>
      </c>
      <c r="B3078" s="13" t="str">
        <f aca="false">IF(עזר!L3078="","",INDEX(עזר!$B$2:$B$5001,עזר!L3078))</f>
        <v/>
      </c>
      <c r="C3078" s="13" t="str">
        <f aca="false">עזר!M3078</f>
        <v/>
      </c>
    </row>
    <row r="3079" customFormat="false" ht="15" hidden="false" customHeight="false" outlineLevel="0" collapsed="false">
      <c r="A3079" s="13" t="str">
        <f aca="false">IF(עזר!L3079="","",INDEX(עזר!$A$2:$A$5001,עזר!L3079))</f>
        <v/>
      </c>
      <c r="B3079" s="13" t="str">
        <f aca="false">IF(עזר!L3079="","",INDEX(עזר!$B$2:$B$5001,עזר!L3079))</f>
        <v/>
      </c>
      <c r="C3079" s="13" t="str">
        <f aca="false">עזר!M3079</f>
        <v/>
      </c>
    </row>
    <row r="3080" customFormat="false" ht="15" hidden="false" customHeight="false" outlineLevel="0" collapsed="false">
      <c r="A3080" s="13" t="str">
        <f aca="false">IF(עזר!L3080="","",INDEX(עזר!$A$2:$A$5001,עזר!L3080))</f>
        <v/>
      </c>
      <c r="B3080" s="13" t="str">
        <f aca="false">IF(עזר!L3080="","",INDEX(עזר!$B$2:$B$5001,עזר!L3080))</f>
        <v/>
      </c>
      <c r="C3080" s="13" t="str">
        <f aca="false">עזר!M3080</f>
        <v/>
      </c>
    </row>
    <row r="3081" customFormat="false" ht="15" hidden="false" customHeight="false" outlineLevel="0" collapsed="false">
      <c r="A3081" s="13" t="str">
        <f aca="false">IF(עזר!L3081="","",INDEX(עזר!$A$2:$A$5001,עזר!L3081))</f>
        <v/>
      </c>
      <c r="B3081" s="13" t="str">
        <f aca="false">IF(עזר!L3081="","",INDEX(עזר!$B$2:$B$5001,עזר!L3081))</f>
        <v/>
      </c>
      <c r="C3081" s="13" t="str">
        <f aca="false">עזר!M3081</f>
        <v/>
      </c>
    </row>
    <row r="3082" customFormat="false" ht="15" hidden="false" customHeight="false" outlineLevel="0" collapsed="false">
      <c r="A3082" s="13" t="str">
        <f aca="false">IF(עזר!L3082="","",INDEX(עזר!$A$2:$A$5001,עזר!L3082))</f>
        <v/>
      </c>
      <c r="B3082" s="13" t="str">
        <f aca="false">IF(עזר!L3082="","",INDEX(עזר!$B$2:$B$5001,עזר!L3082))</f>
        <v/>
      </c>
      <c r="C3082" s="13" t="str">
        <f aca="false">עזר!M3082</f>
        <v/>
      </c>
    </row>
    <row r="3083" customFormat="false" ht="15" hidden="false" customHeight="false" outlineLevel="0" collapsed="false">
      <c r="A3083" s="13" t="str">
        <f aca="false">IF(עזר!L3083="","",INDEX(עזר!$A$2:$A$5001,עזר!L3083))</f>
        <v/>
      </c>
      <c r="B3083" s="13" t="str">
        <f aca="false">IF(עזר!L3083="","",INDEX(עזר!$B$2:$B$5001,עזר!L3083))</f>
        <v/>
      </c>
      <c r="C3083" s="13" t="str">
        <f aca="false">עזר!M3083</f>
        <v/>
      </c>
    </row>
    <row r="3084" customFormat="false" ht="15" hidden="false" customHeight="false" outlineLevel="0" collapsed="false">
      <c r="A3084" s="13" t="str">
        <f aca="false">IF(עזר!L3084="","",INDEX(עזר!$A$2:$A$5001,עזר!L3084))</f>
        <v/>
      </c>
      <c r="B3084" s="13" t="str">
        <f aca="false">IF(עזר!L3084="","",INDEX(עזר!$B$2:$B$5001,עזר!L3084))</f>
        <v/>
      </c>
      <c r="C3084" s="13" t="str">
        <f aca="false">עזר!M3084</f>
        <v/>
      </c>
    </row>
    <row r="3085" customFormat="false" ht="15" hidden="false" customHeight="false" outlineLevel="0" collapsed="false">
      <c r="A3085" s="13" t="str">
        <f aca="false">IF(עזר!L3085="","",INDEX(עזר!$A$2:$A$5001,עזר!L3085))</f>
        <v/>
      </c>
      <c r="B3085" s="13" t="str">
        <f aca="false">IF(עזר!L3085="","",INDEX(עזר!$B$2:$B$5001,עזר!L3085))</f>
        <v/>
      </c>
      <c r="C3085" s="13" t="str">
        <f aca="false">עזר!M3085</f>
        <v/>
      </c>
    </row>
    <row r="3086" customFormat="false" ht="15" hidden="false" customHeight="false" outlineLevel="0" collapsed="false">
      <c r="A3086" s="13" t="str">
        <f aca="false">IF(עזר!L3086="","",INDEX(עזר!$A$2:$A$5001,עזר!L3086))</f>
        <v/>
      </c>
      <c r="B3086" s="13" t="str">
        <f aca="false">IF(עזר!L3086="","",INDEX(עזר!$B$2:$B$5001,עזר!L3086))</f>
        <v/>
      </c>
      <c r="C3086" s="13" t="str">
        <f aca="false">עזר!M3086</f>
        <v/>
      </c>
    </row>
    <row r="3087" customFormat="false" ht="15" hidden="false" customHeight="false" outlineLevel="0" collapsed="false">
      <c r="A3087" s="13" t="str">
        <f aca="false">IF(עזר!L3087="","",INDEX(עזר!$A$2:$A$5001,עזר!L3087))</f>
        <v/>
      </c>
      <c r="B3087" s="13" t="str">
        <f aca="false">IF(עזר!L3087="","",INDEX(עזר!$B$2:$B$5001,עזר!L3087))</f>
        <v/>
      </c>
      <c r="C3087" s="13" t="str">
        <f aca="false">עזר!M3087</f>
        <v/>
      </c>
    </row>
    <row r="3088" customFormat="false" ht="15" hidden="false" customHeight="false" outlineLevel="0" collapsed="false">
      <c r="A3088" s="13" t="str">
        <f aca="false">IF(עזר!L3088="","",INDEX(עזר!$A$2:$A$5001,עזר!L3088))</f>
        <v/>
      </c>
      <c r="B3088" s="13" t="str">
        <f aca="false">IF(עזר!L3088="","",INDEX(עזר!$B$2:$B$5001,עזר!L3088))</f>
        <v/>
      </c>
      <c r="C3088" s="13" t="str">
        <f aca="false">עזר!M3088</f>
        <v/>
      </c>
    </row>
    <row r="3089" customFormat="false" ht="15" hidden="false" customHeight="false" outlineLevel="0" collapsed="false">
      <c r="A3089" s="13" t="str">
        <f aca="false">IF(עזר!L3089="","",INDEX(עזר!$A$2:$A$5001,עזר!L3089))</f>
        <v/>
      </c>
      <c r="B3089" s="13" t="str">
        <f aca="false">IF(עזר!L3089="","",INDEX(עזר!$B$2:$B$5001,עזר!L3089))</f>
        <v/>
      </c>
      <c r="C3089" s="13" t="str">
        <f aca="false">עזר!M3089</f>
        <v/>
      </c>
    </row>
    <row r="3090" customFormat="false" ht="15" hidden="false" customHeight="false" outlineLevel="0" collapsed="false">
      <c r="A3090" s="13" t="str">
        <f aca="false">IF(עזר!L3090="","",INDEX(עזר!$A$2:$A$5001,עזר!L3090))</f>
        <v/>
      </c>
      <c r="B3090" s="13" t="str">
        <f aca="false">IF(עזר!L3090="","",INDEX(עזר!$B$2:$B$5001,עזר!L3090))</f>
        <v/>
      </c>
      <c r="C3090" s="13" t="str">
        <f aca="false">עזר!M3090</f>
        <v/>
      </c>
    </row>
    <row r="3091" customFormat="false" ht="15" hidden="false" customHeight="false" outlineLevel="0" collapsed="false">
      <c r="A3091" s="13" t="str">
        <f aca="false">IF(עזר!L3091="","",INDEX(עזר!$A$2:$A$5001,עזר!L3091))</f>
        <v/>
      </c>
      <c r="B3091" s="13" t="str">
        <f aca="false">IF(עזר!L3091="","",INDEX(עזר!$B$2:$B$5001,עזר!L3091))</f>
        <v/>
      </c>
      <c r="C3091" s="13" t="str">
        <f aca="false">עזר!M3091</f>
        <v/>
      </c>
    </row>
    <row r="3092" customFormat="false" ht="15" hidden="false" customHeight="false" outlineLevel="0" collapsed="false">
      <c r="A3092" s="13" t="str">
        <f aca="false">IF(עזר!L3092="","",INDEX(עזר!$A$2:$A$5001,עזר!L3092))</f>
        <v/>
      </c>
      <c r="B3092" s="13" t="str">
        <f aca="false">IF(עזר!L3092="","",INDEX(עזר!$B$2:$B$5001,עזר!L3092))</f>
        <v/>
      </c>
      <c r="C3092" s="13" t="str">
        <f aca="false">עזר!M3092</f>
        <v/>
      </c>
    </row>
    <row r="3093" customFormat="false" ht="15" hidden="false" customHeight="false" outlineLevel="0" collapsed="false">
      <c r="A3093" s="13" t="str">
        <f aca="false">IF(עזר!L3093="","",INDEX(עזר!$A$2:$A$5001,עזר!L3093))</f>
        <v/>
      </c>
      <c r="B3093" s="13" t="str">
        <f aca="false">IF(עזר!L3093="","",INDEX(עזר!$B$2:$B$5001,עזר!L3093))</f>
        <v/>
      </c>
      <c r="C3093" s="13" t="str">
        <f aca="false">עזר!M3093</f>
        <v/>
      </c>
    </row>
    <row r="3094" customFormat="false" ht="15" hidden="false" customHeight="false" outlineLevel="0" collapsed="false">
      <c r="A3094" s="13" t="str">
        <f aca="false">IF(עזר!L3094="","",INDEX(עזר!$A$2:$A$5001,עזר!L3094))</f>
        <v/>
      </c>
      <c r="B3094" s="13" t="str">
        <f aca="false">IF(עזר!L3094="","",INDEX(עזר!$B$2:$B$5001,עזר!L3094))</f>
        <v/>
      </c>
      <c r="C3094" s="13" t="str">
        <f aca="false">עזר!M3094</f>
        <v/>
      </c>
    </row>
    <row r="3095" customFormat="false" ht="15" hidden="false" customHeight="false" outlineLevel="0" collapsed="false">
      <c r="A3095" s="13" t="str">
        <f aca="false">IF(עזר!L3095="","",INDEX(עזר!$A$2:$A$5001,עזר!L3095))</f>
        <v/>
      </c>
      <c r="B3095" s="13" t="str">
        <f aca="false">IF(עזר!L3095="","",INDEX(עזר!$B$2:$B$5001,עזר!L3095))</f>
        <v/>
      </c>
      <c r="C3095" s="13" t="str">
        <f aca="false">עזר!M3095</f>
        <v/>
      </c>
    </row>
    <row r="3096" customFormat="false" ht="15" hidden="false" customHeight="false" outlineLevel="0" collapsed="false">
      <c r="A3096" s="13" t="str">
        <f aca="false">IF(עזר!L3096="","",INDEX(עזר!$A$2:$A$5001,עזר!L3096))</f>
        <v/>
      </c>
      <c r="B3096" s="13" t="str">
        <f aca="false">IF(עזר!L3096="","",INDEX(עזר!$B$2:$B$5001,עזר!L3096))</f>
        <v/>
      </c>
      <c r="C3096" s="13" t="str">
        <f aca="false">עזר!M3096</f>
        <v/>
      </c>
    </row>
    <row r="3097" customFormat="false" ht="15" hidden="false" customHeight="false" outlineLevel="0" collapsed="false">
      <c r="A3097" s="13" t="str">
        <f aca="false">IF(עזר!L3097="","",INDEX(עזר!$A$2:$A$5001,עזר!L3097))</f>
        <v/>
      </c>
      <c r="B3097" s="13" t="str">
        <f aca="false">IF(עזר!L3097="","",INDEX(עזר!$B$2:$B$5001,עזר!L3097))</f>
        <v/>
      </c>
      <c r="C3097" s="13" t="str">
        <f aca="false">עזר!M3097</f>
        <v/>
      </c>
    </row>
    <row r="3098" customFormat="false" ht="15" hidden="false" customHeight="false" outlineLevel="0" collapsed="false">
      <c r="A3098" s="13" t="str">
        <f aca="false">IF(עזר!L3098="","",INDEX(עזר!$A$2:$A$5001,עזר!L3098))</f>
        <v/>
      </c>
      <c r="B3098" s="13" t="str">
        <f aca="false">IF(עזר!L3098="","",INDEX(עזר!$B$2:$B$5001,עזר!L3098))</f>
        <v/>
      </c>
      <c r="C3098" s="13" t="str">
        <f aca="false">עזר!M3098</f>
        <v/>
      </c>
    </row>
    <row r="3099" customFormat="false" ht="15" hidden="false" customHeight="false" outlineLevel="0" collapsed="false">
      <c r="A3099" s="13" t="str">
        <f aca="false">IF(עזר!L3099="","",INDEX(עזר!$A$2:$A$5001,עזר!L3099))</f>
        <v/>
      </c>
      <c r="B3099" s="13" t="str">
        <f aca="false">IF(עזר!L3099="","",INDEX(עזר!$B$2:$B$5001,עזר!L3099))</f>
        <v/>
      </c>
      <c r="C3099" s="13" t="str">
        <f aca="false">עזר!M3099</f>
        <v/>
      </c>
    </row>
    <row r="3100" customFormat="false" ht="15" hidden="false" customHeight="false" outlineLevel="0" collapsed="false">
      <c r="A3100" s="13" t="str">
        <f aca="false">IF(עזר!L3100="","",INDEX(עזר!$A$2:$A$5001,עזר!L3100))</f>
        <v/>
      </c>
      <c r="B3100" s="13" t="str">
        <f aca="false">IF(עזר!L3100="","",INDEX(עזר!$B$2:$B$5001,עזר!L3100))</f>
        <v/>
      </c>
      <c r="C3100" s="13" t="str">
        <f aca="false">עזר!M3100</f>
        <v/>
      </c>
    </row>
    <row r="3101" customFormat="false" ht="15" hidden="false" customHeight="false" outlineLevel="0" collapsed="false">
      <c r="A3101" s="13" t="str">
        <f aca="false">IF(עזר!L3101="","",INDEX(עזר!$A$2:$A$5001,עזר!L3101))</f>
        <v/>
      </c>
      <c r="B3101" s="13" t="str">
        <f aca="false">IF(עזר!L3101="","",INDEX(עזר!$B$2:$B$5001,עזר!L3101))</f>
        <v/>
      </c>
      <c r="C3101" s="13" t="str">
        <f aca="false">עזר!M3101</f>
        <v/>
      </c>
    </row>
    <row r="3102" customFormat="false" ht="15" hidden="false" customHeight="false" outlineLevel="0" collapsed="false">
      <c r="A3102" s="13" t="str">
        <f aca="false">IF(עזר!L3102="","",INDEX(עזר!$A$2:$A$5001,עזר!L3102))</f>
        <v/>
      </c>
      <c r="B3102" s="13" t="str">
        <f aca="false">IF(עזר!L3102="","",INDEX(עזר!$B$2:$B$5001,עזר!L3102))</f>
        <v/>
      </c>
      <c r="C3102" s="13" t="str">
        <f aca="false">עזר!M3102</f>
        <v/>
      </c>
    </row>
    <row r="3103" customFormat="false" ht="15" hidden="false" customHeight="false" outlineLevel="0" collapsed="false">
      <c r="A3103" s="13" t="str">
        <f aca="false">IF(עזר!L3103="","",INDEX(עזר!$A$2:$A$5001,עזר!L3103))</f>
        <v/>
      </c>
      <c r="B3103" s="13" t="str">
        <f aca="false">IF(עזר!L3103="","",INDEX(עזר!$B$2:$B$5001,עזר!L3103))</f>
        <v/>
      </c>
      <c r="C3103" s="13" t="str">
        <f aca="false">עזר!M3103</f>
        <v/>
      </c>
    </row>
    <row r="3104" customFormat="false" ht="15" hidden="false" customHeight="false" outlineLevel="0" collapsed="false">
      <c r="A3104" s="13" t="str">
        <f aca="false">IF(עזר!L3104="","",INDEX(עזר!$A$2:$A$5001,עזר!L3104))</f>
        <v/>
      </c>
      <c r="B3104" s="13" t="str">
        <f aca="false">IF(עזר!L3104="","",INDEX(עזר!$B$2:$B$5001,עזר!L3104))</f>
        <v/>
      </c>
      <c r="C3104" s="13" t="str">
        <f aca="false">עזר!M3104</f>
        <v/>
      </c>
    </row>
    <row r="3105" customFormat="false" ht="15" hidden="false" customHeight="false" outlineLevel="0" collapsed="false">
      <c r="A3105" s="13" t="str">
        <f aca="false">IF(עזר!L3105="","",INDEX(עזר!$A$2:$A$5001,עזר!L3105))</f>
        <v/>
      </c>
      <c r="B3105" s="13" t="str">
        <f aca="false">IF(עזר!L3105="","",INDEX(עזר!$B$2:$B$5001,עזר!L3105))</f>
        <v/>
      </c>
      <c r="C3105" s="13" t="str">
        <f aca="false">עזר!M3105</f>
        <v/>
      </c>
    </row>
    <row r="3106" customFormat="false" ht="15" hidden="false" customHeight="false" outlineLevel="0" collapsed="false">
      <c r="A3106" s="13" t="str">
        <f aca="false">IF(עזר!L3106="","",INDEX(עזר!$A$2:$A$5001,עזר!L3106))</f>
        <v/>
      </c>
      <c r="B3106" s="13" t="str">
        <f aca="false">IF(עזר!L3106="","",INDEX(עזר!$B$2:$B$5001,עזר!L3106))</f>
        <v/>
      </c>
      <c r="C3106" s="13" t="str">
        <f aca="false">עזר!M3106</f>
        <v/>
      </c>
    </row>
    <row r="3107" customFormat="false" ht="15" hidden="false" customHeight="false" outlineLevel="0" collapsed="false">
      <c r="A3107" s="13" t="str">
        <f aca="false">IF(עזר!L3107="","",INDEX(עזר!$A$2:$A$5001,עזר!L3107))</f>
        <v/>
      </c>
      <c r="B3107" s="13" t="str">
        <f aca="false">IF(עזר!L3107="","",INDEX(עזר!$B$2:$B$5001,עזר!L3107))</f>
        <v/>
      </c>
      <c r="C3107" s="13" t="str">
        <f aca="false">עזר!M3107</f>
        <v/>
      </c>
    </row>
    <row r="3108" customFormat="false" ht="15" hidden="false" customHeight="false" outlineLevel="0" collapsed="false">
      <c r="A3108" s="13" t="str">
        <f aca="false">IF(עזר!L3108="","",INDEX(עזר!$A$2:$A$5001,עזר!L3108))</f>
        <v/>
      </c>
      <c r="B3108" s="13" t="str">
        <f aca="false">IF(עזר!L3108="","",INDEX(עזר!$B$2:$B$5001,עזר!L3108))</f>
        <v/>
      </c>
      <c r="C3108" s="13" t="str">
        <f aca="false">עזר!M3108</f>
        <v/>
      </c>
    </row>
    <row r="3109" customFormat="false" ht="15" hidden="false" customHeight="false" outlineLevel="0" collapsed="false">
      <c r="A3109" s="13" t="str">
        <f aca="false">IF(עזר!L3109="","",INDEX(עזר!$A$2:$A$5001,עזר!L3109))</f>
        <v/>
      </c>
      <c r="B3109" s="13" t="str">
        <f aca="false">IF(עזר!L3109="","",INDEX(עזר!$B$2:$B$5001,עזר!L3109))</f>
        <v/>
      </c>
      <c r="C3109" s="13" t="str">
        <f aca="false">עזר!M3109</f>
        <v/>
      </c>
    </row>
    <row r="3110" customFormat="false" ht="15" hidden="false" customHeight="false" outlineLevel="0" collapsed="false">
      <c r="A3110" s="13" t="str">
        <f aca="false">IF(עזר!L3110="","",INDEX(עזר!$A$2:$A$5001,עזר!L3110))</f>
        <v/>
      </c>
      <c r="B3110" s="13" t="str">
        <f aca="false">IF(עזר!L3110="","",INDEX(עזר!$B$2:$B$5001,עזר!L3110))</f>
        <v/>
      </c>
      <c r="C3110" s="13" t="str">
        <f aca="false">עזר!M3110</f>
        <v/>
      </c>
    </row>
    <row r="3111" customFormat="false" ht="15" hidden="false" customHeight="false" outlineLevel="0" collapsed="false">
      <c r="A3111" s="13" t="str">
        <f aca="false">IF(עזר!L3111="","",INDEX(עזר!$A$2:$A$5001,עזר!L3111))</f>
        <v/>
      </c>
      <c r="B3111" s="13" t="str">
        <f aca="false">IF(עזר!L3111="","",INDEX(עזר!$B$2:$B$5001,עזר!L3111))</f>
        <v/>
      </c>
      <c r="C3111" s="13" t="str">
        <f aca="false">עזר!M3111</f>
        <v/>
      </c>
    </row>
    <row r="3112" customFormat="false" ht="15" hidden="false" customHeight="false" outlineLevel="0" collapsed="false">
      <c r="A3112" s="13" t="str">
        <f aca="false">IF(עזר!L3112="","",INDEX(עזר!$A$2:$A$5001,עזר!L3112))</f>
        <v/>
      </c>
      <c r="B3112" s="13" t="str">
        <f aca="false">IF(עזר!L3112="","",INDEX(עזר!$B$2:$B$5001,עזר!L3112))</f>
        <v/>
      </c>
      <c r="C3112" s="13" t="str">
        <f aca="false">עזר!M3112</f>
        <v/>
      </c>
    </row>
    <row r="3113" customFormat="false" ht="15" hidden="false" customHeight="false" outlineLevel="0" collapsed="false">
      <c r="A3113" s="13" t="str">
        <f aca="false">IF(עזר!L3113="","",INDEX(עזר!$A$2:$A$5001,עזר!L3113))</f>
        <v/>
      </c>
      <c r="B3113" s="13" t="str">
        <f aca="false">IF(עזר!L3113="","",INDEX(עזר!$B$2:$B$5001,עזר!L3113))</f>
        <v/>
      </c>
      <c r="C3113" s="13" t="str">
        <f aca="false">עזר!M3113</f>
        <v/>
      </c>
    </row>
    <row r="3114" customFormat="false" ht="15" hidden="false" customHeight="false" outlineLevel="0" collapsed="false">
      <c r="A3114" s="13" t="str">
        <f aca="false">IF(עזר!L3114="","",INDEX(עזר!$A$2:$A$5001,עזר!L3114))</f>
        <v/>
      </c>
      <c r="B3114" s="13" t="str">
        <f aca="false">IF(עזר!L3114="","",INDEX(עזר!$B$2:$B$5001,עזר!L3114))</f>
        <v/>
      </c>
      <c r="C3114" s="13" t="str">
        <f aca="false">עזר!M3114</f>
        <v/>
      </c>
    </row>
    <row r="3115" customFormat="false" ht="15" hidden="false" customHeight="false" outlineLevel="0" collapsed="false">
      <c r="A3115" s="13" t="str">
        <f aca="false">IF(עזר!L3115="","",INDEX(עזר!$A$2:$A$5001,עזר!L3115))</f>
        <v/>
      </c>
      <c r="B3115" s="13" t="str">
        <f aca="false">IF(עזר!L3115="","",INDEX(עזר!$B$2:$B$5001,עזר!L3115))</f>
        <v/>
      </c>
      <c r="C3115" s="13" t="str">
        <f aca="false">עזר!M3115</f>
        <v/>
      </c>
    </row>
    <row r="3116" customFormat="false" ht="15" hidden="false" customHeight="false" outlineLevel="0" collapsed="false">
      <c r="A3116" s="13" t="str">
        <f aca="false">IF(עזר!L3116="","",INDEX(עזר!$A$2:$A$5001,עזר!L3116))</f>
        <v/>
      </c>
      <c r="B3116" s="13" t="str">
        <f aca="false">IF(עזר!L3116="","",INDEX(עזר!$B$2:$B$5001,עזר!L3116))</f>
        <v/>
      </c>
      <c r="C3116" s="13" t="str">
        <f aca="false">עזר!M3116</f>
        <v/>
      </c>
    </row>
    <row r="3117" customFormat="false" ht="15" hidden="false" customHeight="false" outlineLevel="0" collapsed="false">
      <c r="A3117" s="13" t="str">
        <f aca="false">IF(עזר!L3117="","",INDEX(עזר!$A$2:$A$5001,עזר!L3117))</f>
        <v/>
      </c>
      <c r="B3117" s="13" t="str">
        <f aca="false">IF(עזר!L3117="","",INDEX(עזר!$B$2:$B$5001,עזר!L3117))</f>
        <v/>
      </c>
      <c r="C3117" s="13" t="str">
        <f aca="false">עזר!M3117</f>
        <v/>
      </c>
    </row>
    <row r="3118" customFormat="false" ht="15" hidden="false" customHeight="false" outlineLevel="0" collapsed="false">
      <c r="A3118" s="13" t="str">
        <f aca="false">IF(עזר!L3118="","",INDEX(עזר!$A$2:$A$5001,עזר!L3118))</f>
        <v/>
      </c>
      <c r="B3118" s="13" t="str">
        <f aca="false">IF(עזר!L3118="","",INDEX(עזר!$B$2:$B$5001,עזר!L3118))</f>
        <v/>
      </c>
      <c r="C3118" s="13" t="str">
        <f aca="false">עזר!M3118</f>
        <v/>
      </c>
    </row>
    <row r="3119" customFormat="false" ht="15" hidden="false" customHeight="false" outlineLevel="0" collapsed="false">
      <c r="A3119" s="13" t="str">
        <f aca="false">IF(עזר!L3119="","",INDEX(עזר!$A$2:$A$5001,עזר!L3119))</f>
        <v/>
      </c>
      <c r="B3119" s="13" t="str">
        <f aca="false">IF(עזר!L3119="","",INDEX(עזר!$B$2:$B$5001,עזר!L3119))</f>
        <v/>
      </c>
      <c r="C3119" s="13" t="str">
        <f aca="false">עזר!M3119</f>
        <v/>
      </c>
    </row>
    <row r="3120" customFormat="false" ht="15" hidden="false" customHeight="false" outlineLevel="0" collapsed="false">
      <c r="A3120" s="13" t="str">
        <f aca="false">IF(עזר!L3120="","",INDEX(עזר!$A$2:$A$5001,עזר!L3120))</f>
        <v/>
      </c>
      <c r="B3120" s="13" t="str">
        <f aca="false">IF(עזר!L3120="","",INDEX(עזר!$B$2:$B$5001,עזר!L3120))</f>
        <v/>
      </c>
      <c r="C3120" s="13" t="str">
        <f aca="false">עזר!M3120</f>
        <v/>
      </c>
    </row>
    <row r="3121" customFormat="false" ht="15" hidden="false" customHeight="false" outlineLevel="0" collapsed="false">
      <c r="A3121" s="13" t="str">
        <f aca="false">IF(עזר!L3121="","",INDEX(עזר!$A$2:$A$5001,עזר!L3121))</f>
        <v/>
      </c>
      <c r="B3121" s="13" t="str">
        <f aca="false">IF(עזר!L3121="","",INDEX(עזר!$B$2:$B$5001,עזר!L3121))</f>
        <v/>
      </c>
      <c r="C3121" s="13" t="str">
        <f aca="false">עזר!M3121</f>
        <v/>
      </c>
    </row>
    <row r="3122" customFormat="false" ht="15" hidden="false" customHeight="false" outlineLevel="0" collapsed="false">
      <c r="A3122" s="13" t="str">
        <f aca="false">IF(עזר!L3122="","",INDEX(עזר!$A$2:$A$5001,עזר!L3122))</f>
        <v/>
      </c>
      <c r="B3122" s="13" t="str">
        <f aca="false">IF(עזר!L3122="","",INDEX(עזר!$B$2:$B$5001,עזר!L3122))</f>
        <v/>
      </c>
      <c r="C3122" s="13" t="str">
        <f aca="false">עזר!M3122</f>
        <v/>
      </c>
    </row>
    <row r="3123" customFormat="false" ht="15" hidden="false" customHeight="false" outlineLevel="0" collapsed="false">
      <c r="A3123" s="13" t="str">
        <f aca="false">IF(עזר!L3123="","",INDEX(עזר!$A$2:$A$5001,עזר!L3123))</f>
        <v/>
      </c>
      <c r="B3123" s="13" t="str">
        <f aca="false">IF(עזר!L3123="","",INDEX(עזר!$B$2:$B$5001,עזר!L3123))</f>
        <v/>
      </c>
      <c r="C3123" s="13" t="str">
        <f aca="false">עזר!M3123</f>
        <v/>
      </c>
    </row>
    <row r="3124" customFormat="false" ht="15" hidden="false" customHeight="false" outlineLevel="0" collapsed="false">
      <c r="A3124" s="13" t="str">
        <f aca="false">IF(עזר!L3124="","",INDEX(עזר!$A$2:$A$5001,עזר!L3124))</f>
        <v/>
      </c>
      <c r="B3124" s="13" t="str">
        <f aca="false">IF(עזר!L3124="","",INDEX(עזר!$B$2:$B$5001,עזר!L3124))</f>
        <v/>
      </c>
      <c r="C3124" s="13" t="str">
        <f aca="false">עזר!M3124</f>
        <v/>
      </c>
    </row>
    <row r="3125" customFormat="false" ht="15" hidden="false" customHeight="false" outlineLevel="0" collapsed="false">
      <c r="A3125" s="13" t="str">
        <f aca="false">IF(עזר!L3125="","",INDEX(עזר!$A$2:$A$5001,עזר!L3125))</f>
        <v/>
      </c>
      <c r="B3125" s="13" t="str">
        <f aca="false">IF(עזר!L3125="","",INDEX(עזר!$B$2:$B$5001,עזר!L3125))</f>
        <v/>
      </c>
      <c r="C3125" s="13" t="str">
        <f aca="false">עזר!M3125</f>
        <v/>
      </c>
    </row>
    <row r="3126" customFormat="false" ht="15" hidden="false" customHeight="false" outlineLevel="0" collapsed="false">
      <c r="A3126" s="13" t="str">
        <f aca="false">IF(עזר!L3126="","",INDEX(עזר!$A$2:$A$5001,עזר!L3126))</f>
        <v/>
      </c>
      <c r="B3126" s="13" t="str">
        <f aca="false">IF(עזר!L3126="","",INDEX(עזר!$B$2:$B$5001,עזר!L3126))</f>
        <v/>
      </c>
      <c r="C3126" s="13" t="str">
        <f aca="false">עזר!M3126</f>
        <v/>
      </c>
    </row>
    <row r="3127" customFormat="false" ht="15" hidden="false" customHeight="false" outlineLevel="0" collapsed="false">
      <c r="A3127" s="13" t="str">
        <f aca="false">IF(עזר!L3127="","",INDEX(עזר!$A$2:$A$5001,עזר!L3127))</f>
        <v/>
      </c>
      <c r="B3127" s="13" t="str">
        <f aca="false">IF(עזר!L3127="","",INDEX(עזר!$B$2:$B$5001,עזר!L3127))</f>
        <v/>
      </c>
      <c r="C3127" s="13" t="str">
        <f aca="false">עזר!M3127</f>
        <v/>
      </c>
    </row>
    <row r="3128" customFormat="false" ht="15" hidden="false" customHeight="false" outlineLevel="0" collapsed="false">
      <c r="A3128" s="13" t="str">
        <f aca="false">IF(עזר!L3128="","",INDEX(עזר!$A$2:$A$5001,עזר!L3128))</f>
        <v/>
      </c>
      <c r="B3128" s="13" t="str">
        <f aca="false">IF(עזר!L3128="","",INDEX(עזר!$B$2:$B$5001,עזר!L3128))</f>
        <v/>
      </c>
      <c r="C3128" s="13" t="str">
        <f aca="false">עזר!M3128</f>
        <v/>
      </c>
    </row>
    <row r="3129" customFormat="false" ht="15" hidden="false" customHeight="false" outlineLevel="0" collapsed="false">
      <c r="A3129" s="13" t="str">
        <f aca="false">IF(עזר!L3129="","",INDEX(עזר!$A$2:$A$5001,עזר!L3129))</f>
        <v/>
      </c>
      <c r="B3129" s="13" t="str">
        <f aca="false">IF(עזר!L3129="","",INDEX(עזר!$B$2:$B$5001,עזר!L3129))</f>
        <v/>
      </c>
      <c r="C3129" s="13" t="str">
        <f aca="false">עזר!M3129</f>
        <v/>
      </c>
    </row>
    <row r="3130" customFormat="false" ht="15" hidden="false" customHeight="false" outlineLevel="0" collapsed="false">
      <c r="A3130" s="13" t="str">
        <f aca="false">IF(עזר!L3130="","",INDEX(עזר!$A$2:$A$5001,עזר!L3130))</f>
        <v/>
      </c>
      <c r="B3130" s="13" t="str">
        <f aca="false">IF(עזר!L3130="","",INDEX(עזר!$B$2:$B$5001,עזר!L3130))</f>
        <v/>
      </c>
      <c r="C3130" s="13" t="str">
        <f aca="false">עזר!M3130</f>
        <v/>
      </c>
    </row>
    <row r="3131" customFormat="false" ht="15" hidden="false" customHeight="false" outlineLevel="0" collapsed="false">
      <c r="A3131" s="13" t="str">
        <f aca="false">IF(עזר!L3131="","",INDEX(עזר!$A$2:$A$5001,עזר!L3131))</f>
        <v/>
      </c>
      <c r="B3131" s="13" t="str">
        <f aca="false">IF(עזר!L3131="","",INDEX(עזר!$B$2:$B$5001,עזר!L3131))</f>
        <v/>
      </c>
      <c r="C3131" s="13" t="str">
        <f aca="false">עזר!M3131</f>
        <v/>
      </c>
    </row>
    <row r="3132" customFormat="false" ht="15" hidden="false" customHeight="false" outlineLevel="0" collapsed="false">
      <c r="A3132" s="13" t="str">
        <f aca="false">IF(עזר!L3132="","",INDEX(עזר!$A$2:$A$5001,עזר!L3132))</f>
        <v/>
      </c>
      <c r="B3132" s="13" t="str">
        <f aca="false">IF(עזר!L3132="","",INDEX(עזר!$B$2:$B$5001,עזר!L3132))</f>
        <v/>
      </c>
      <c r="C3132" s="13" t="str">
        <f aca="false">עזר!M3132</f>
        <v/>
      </c>
    </row>
    <row r="3133" customFormat="false" ht="15" hidden="false" customHeight="false" outlineLevel="0" collapsed="false">
      <c r="A3133" s="13" t="str">
        <f aca="false">IF(עזר!L3133="","",INDEX(עזר!$A$2:$A$5001,עזר!L3133))</f>
        <v/>
      </c>
      <c r="B3133" s="13" t="str">
        <f aca="false">IF(עזר!L3133="","",INDEX(עזר!$B$2:$B$5001,עזר!L3133))</f>
        <v/>
      </c>
      <c r="C3133" s="13" t="str">
        <f aca="false">עזר!M3133</f>
        <v/>
      </c>
    </row>
    <row r="3134" customFormat="false" ht="15" hidden="false" customHeight="false" outlineLevel="0" collapsed="false">
      <c r="A3134" s="13" t="str">
        <f aca="false">IF(עזר!L3134="","",INDEX(עזר!$A$2:$A$5001,עזר!L3134))</f>
        <v/>
      </c>
      <c r="B3134" s="13" t="str">
        <f aca="false">IF(עזר!L3134="","",INDEX(עזר!$B$2:$B$5001,עזר!L3134))</f>
        <v/>
      </c>
      <c r="C3134" s="13" t="str">
        <f aca="false">עזר!M3134</f>
        <v/>
      </c>
    </row>
    <row r="3135" customFormat="false" ht="15" hidden="false" customHeight="false" outlineLevel="0" collapsed="false">
      <c r="A3135" s="13" t="str">
        <f aca="false">IF(עזר!L3135="","",INDEX(עזר!$A$2:$A$5001,עזר!L3135))</f>
        <v/>
      </c>
      <c r="B3135" s="13" t="str">
        <f aca="false">IF(עזר!L3135="","",INDEX(עזר!$B$2:$B$5001,עזר!L3135))</f>
        <v/>
      </c>
      <c r="C3135" s="13" t="str">
        <f aca="false">עזר!M3135</f>
        <v/>
      </c>
    </row>
    <row r="3136" customFormat="false" ht="15" hidden="false" customHeight="false" outlineLevel="0" collapsed="false">
      <c r="A3136" s="13" t="str">
        <f aca="false">IF(עזר!L3136="","",INDEX(עזר!$A$2:$A$5001,עזר!L3136))</f>
        <v/>
      </c>
      <c r="B3136" s="13" t="str">
        <f aca="false">IF(עזר!L3136="","",INDEX(עזר!$B$2:$B$5001,עזר!L3136))</f>
        <v/>
      </c>
      <c r="C3136" s="13" t="str">
        <f aca="false">עזר!M3136</f>
        <v/>
      </c>
    </row>
    <row r="3137" customFormat="false" ht="15" hidden="false" customHeight="false" outlineLevel="0" collapsed="false">
      <c r="A3137" s="13" t="str">
        <f aca="false">IF(עזר!L3137="","",INDEX(עזר!$A$2:$A$5001,עזר!L3137))</f>
        <v/>
      </c>
      <c r="B3137" s="13" t="str">
        <f aca="false">IF(עזר!L3137="","",INDEX(עזר!$B$2:$B$5001,עזר!L3137))</f>
        <v/>
      </c>
      <c r="C3137" s="13" t="str">
        <f aca="false">עזר!M3137</f>
        <v/>
      </c>
    </row>
    <row r="3138" customFormat="false" ht="15" hidden="false" customHeight="false" outlineLevel="0" collapsed="false">
      <c r="A3138" s="13" t="str">
        <f aca="false">IF(עזר!L3138="","",INDEX(עזר!$A$2:$A$5001,עזר!L3138))</f>
        <v/>
      </c>
      <c r="B3138" s="13" t="str">
        <f aca="false">IF(עזר!L3138="","",INDEX(עזר!$B$2:$B$5001,עזר!L3138))</f>
        <v/>
      </c>
      <c r="C3138" s="13" t="str">
        <f aca="false">עזר!M3138</f>
        <v/>
      </c>
    </row>
    <row r="3139" customFormat="false" ht="15" hidden="false" customHeight="false" outlineLevel="0" collapsed="false">
      <c r="A3139" s="13" t="str">
        <f aca="false">IF(עזר!L3139="","",INDEX(עזר!$A$2:$A$5001,עזר!L3139))</f>
        <v/>
      </c>
      <c r="B3139" s="13" t="str">
        <f aca="false">IF(עזר!L3139="","",INDEX(עזר!$B$2:$B$5001,עזר!L3139))</f>
        <v/>
      </c>
      <c r="C3139" s="13" t="str">
        <f aca="false">עזר!M3139</f>
        <v/>
      </c>
    </row>
    <row r="3140" customFormat="false" ht="15" hidden="false" customHeight="false" outlineLevel="0" collapsed="false">
      <c r="A3140" s="13" t="str">
        <f aca="false">IF(עזר!L3140="","",INDEX(עזר!$A$2:$A$5001,עזר!L3140))</f>
        <v/>
      </c>
      <c r="B3140" s="13" t="str">
        <f aca="false">IF(עזר!L3140="","",INDEX(עזר!$B$2:$B$5001,עזר!L3140))</f>
        <v/>
      </c>
      <c r="C3140" s="13" t="str">
        <f aca="false">עזר!M3140</f>
        <v/>
      </c>
    </row>
    <row r="3141" customFormat="false" ht="15" hidden="false" customHeight="false" outlineLevel="0" collapsed="false">
      <c r="A3141" s="13" t="str">
        <f aca="false">IF(עזר!L3141="","",INDEX(עזר!$A$2:$A$5001,עזר!L3141))</f>
        <v/>
      </c>
      <c r="B3141" s="13" t="str">
        <f aca="false">IF(עזר!L3141="","",INDEX(עזר!$B$2:$B$5001,עזר!L3141))</f>
        <v/>
      </c>
      <c r="C3141" s="13" t="str">
        <f aca="false">עזר!M3141</f>
        <v/>
      </c>
    </row>
    <row r="3142" customFormat="false" ht="15" hidden="false" customHeight="false" outlineLevel="0" collapsed="false">
      <c r="A3142" s="13" t="str">
        <f aca="false">IF(עזר!L3142="","",INDEX(עזר!$A$2:$A$5001,עזר!L3142))</f>
        <v/>
      </c>
      <c r="B3142" s="13" t="str">
        <f aca="false">IF(עזר!L3142="","",INDEX(עזר!$B$2:$B$5001,עזר!L3142))</f>
        <v/>
      </c>
      <c r="C3142" s="13" t="str">
        <f aca="false">עזר!M3142</f>
        <v/>
      </c>
    </row>
    <row r="3143" customFormat="false" ht="15" hidden="false" customHeight="false" outlineLevel="0" collapsed="false">
      <c r="A3143" s="13" t="str">
        <f aca="false">IF(עזר!L3143="","",INDEX(עזר!$A$2:$A$5001,עזר!L3143))</f>
        <v/>
      </c>
      <c r="B3143" s="13" t="str">
        <f aca="false">IF(עזר!L3143="","",INDEX(עזר!$B$2:$B$5001,עזר!L3143))</f>
        <v/>
      </c>
      <c r="C3143" s="13" t="str">
        <f aca="false">עזר!M3143</f>
        <v/>
      </c>
    </row>
    <row r="3144" customFormat="false" ht="15" hidden="false" customHeight="false" outlineLevel="0" collapsed="false">
      <c r="A3144" s="13" t="str">
        <f aca="false">IF(עזר!L3144="","",INDEX(עזר!$A$2:$A$5001,עזר!L3144))</f>
        <v/>
      </c>
      <c r="B3144" s="13" t="str">
        <f aca="false">IF(עזר!L3144="","",INDEX(עזר!$B$2:$B$5001,עזר!L3144))</f>
        <v/>
      </c>
      <c r="C3144" s="13" t="str">
        <f aca="false">עזר!M3144</f>
        <v/>
      </c>
    </row>
    <row r="3145" customFormat="false" ht="15" hidden="false" customHeight="false" outlineLevel="0" collapsed="false">
      <c r="A3145" s="13" t="str">
        <f aca="false">IF(עזר!L3145="","",INDEX(עזר!$A$2:$A$5001,עזר!L3145))</f>
        <v/>
      </c>
      <c r="B3145" s="13" t="str">
        <f aca="false">IF(עזר!L3145="","",INDEX(עזר!$B$2:$B$5001,עזר!L3145))</f>
        <v/>
      </c>
      <c r="C3145" s="13" t="str">
        <f aca="false">עזר!M3145</f>
        <v/>
      </c>
    </row>
    <row r="3146" customFormat="false" ht="15" hidden="false" customHeight="false" outlineLevel="0" collapsed="false">
      <c r="A3146" s="13" t="str">
        <f aca="false">IF(עזר!L3146="","",INDEX(עזר!$A$2:$A$5001,עזר!L3146))</f>
        <v/>
      </c>
      <c r="B3146" s="13" t="str">
        <f aca="false">IF(עזר!L3146="","",INDEX(עזר!$B$2:$B$5001,עזר!L3146))</f>
        <v/>
      </c>
      <c r="C3146" s="13" t="str">
        <f aca="false">עזר!M3146</f>
        <v/>
      </c>
    </row>
    <row r="3147" customFormat="false" ht="15" hidden="false" customHeight="false" outlineLevel="0" collapsed="false">
      <c r="A3147" s="13" t="str">
        <f aca="false">IF(עזר!L3147="","",INDEX(עזר!$A$2:$A$5001,עזר!L3147))</f>
        <v/>
      </c>
      <c r="B3147" s="13" t="str">
        <f aca="false">IF(עזר!L3147="","",INDEX(עזר!$B$2:$B$5001,עזר!L3147))</f>
        <v/>
      </c>
      <c r="C3147" s="13" t="str">
        <f aca="false">עזר!M3147</f>
        <v/>
      </c>
    </row>
    <row r="3148" customFormat="false" ht="15" hidden="false" customHeight="false" outlineLevel="0" collapsed="false">
      <c r="A3148" s="13" t="str">
        <f aca="false">IF(עזר!L3148="","",INDEX(עזר!$A$2:$A$5001,עזר!L3148))</f>
        <v/>
      </c>
      <c r="B3148" s="13" t="str">
        <f aca="false">IF(עזר!L3148="","",INDEX(עזר!$B$2:$B$5001,עזר!L3148))</f>
        <v/>
      </c>
      <c r="C3148" s="13" t="str">
        <f aca="false">עזר!M3148</f>
        <v/>
      </c>
    </row>
    <row r="3149" customFormat="false" ht="15" hidden="false" customHeight="false" outlineLevel="0" collapsed="false">
      <c r="A3149" s="13" t="str">
        <f aca="false">IF(עזר!L3149="","",INDEX(עזר!$A$2:$A$5001,עזר!L3149))</f>
        <v/>
      </c>
      <c r="B3149" s="13" t="str">
        <f aca="false">IF(עזר!L3149="","",INDEX(עזר!$B$2:$B$5001,עזר!L3149))</f>
        <v/>
      </c>
      <c r="C3149" s="13" t="str">
        <f aca="false">עזר!M3149</f>
        <v/>
      </c>
    </row>
    <row r="3150" customFormat="false" ht="15" hidden="false" customHeight="false" outlineLevel="0" collapsed="false">
      <c r="A3150" s="13" t="str">
        <f aca="false">IF(עזר!L3150="","",INDEX(עזר!$A$2:$A$5001,עזר!L3150))</f>
        <v/>
      </c>
      <c r="B3150" s="13" t="str">
        <f aca="false">IF(עזר!L3150="","",INDEX(עזר!$B$2:$B$5001,עזר!L3150))</f>
        <v/>
      </c>
      <c r="C3150" s="13" t="str">
        <f aca="false">עזר!M3150</f>
        <v/>
      </c>
    </row>
    <row r="3151" customFormat="false" ht="15" hidden="false" customHeight="false" outlineLevel="0" collapsed="false">
      <c r="A3151" s="13" t="str">
        <f aca="false">IF(עזר!L3151="","",INDEX(עזר!$A$2:$A$5001,עזר!L3151))</f>
        <v/>
      </c>
      <c r="B3151" s="13" t="str">
        <f aca="false">IF(עזר!L3151="","",INDEX(עזר!$B$2:$B$5001,עזר!L3151))</f>
        <v/>
      </c>
      <c r="C3151" s="13" t="str">
        <f aca="false">עזר!M3151</f>
        <v/>
      </c>
    </row>
    <row r="3152" customFormat="false" ht="15" hidden="false" customHeight="false" outlineLevel="0" collapsed="false">
      <c r="A3152" s="13" t="str">
        <f aca="false">IF(עזר!L3152="","",INDEX(עזר!$A$2:$A$5001,עזר!L3152))</f>
        <v/>
      </c>
      <c r="B3152" s="13" t="str">
        <f aca="false">IF(עזר!L3152="","",INDEX(עזר!$B$2:$B$5001,עזר!L3152))</f>
        <v/>
      </c>
      <c r="C3152" s="13" t="str">
        <f aca="false">עזר!M3152</f>
        <v/>
      </c>
    </row>
    <row r="3153" customFormat="false" ht="15" hidden="false" customHeight="false" outlineLevel="0" collapsed="false">
      <c r="A3153" s="13" t="str">
        <f aca="false">IF(עזר!L3153="","",INDEX(עזר!$A$2:$A$5001,עזר!L3153))</f>
        <v/>
      </c>
      <c r="B3153" s="13" t="str">
        <f aca="false">IF(עזר!L3153="","",INDEX(עזר!$B$2:$B$5001,עזר!L3153))</f>
        <v/>
      </c>
      <c r="C3153" s="13" t="str">
        <f aca="false">עזר!M3153</f>
        <v/>
      </c>
    </row>
    <row r="3154" customFormat="false" ht="15" hidden="false" customHeight="false" outlineLevel="0" collapsed="false">
      <c r="A3154" s="13" t="str">
        <f aca="false">IF(עזר!L3154="","",INDEX(עזר!$A$2:$A$5001,עזר!L3154))</f>
        <v/>
      </c>
      <c r="B3154" s="13" t="str">
        <f aca="false">IF(עזר!L3154="","",INDEX(עזר!$B$2:$B$5001,עזר!L3154))</f>
        <v/>
      </c>
      <c r="C3154" s="13" t="str">
        <f aca="false">עזר!M3154</f>
        <v/>
      </c>
    </row>
    <row r="3155" customFormat="false" ht="15" hidden="false" customHeight="false" outlineLevel="0" collapsed="false">
      <c r="A3155" s="13" t="str">
        <f aca="false">IF(עזר!L3155="","",INDEX(עזר!$A$2:$A$5001,עזר!L3155))</f>
        <v/>
      </c>
      <c r="B3155" s="13" t="str">
        <f aca="false">IF(עזר!L3155="","",INDEX(עזר!$B$2:$B$5001,עזר!L3155))</f>
        <v/>
      </c>
      <c r="C3155" s="13" t="str">
        <f aca="false">עזר!M3155</f>
        <v/>
      </c>
    </row>
    <row r="3156" customFormat="false" ht="15" hidden="false" customHeight="false" outlineLevel="0" collapsed="false">
      <c r="A3156" s="13" t="str">
        <f aca="false">IF(עזר!L3156="","",INDEX(עזר!$A$2:$A$5001,עזר!L3156))</f>
        <v/>
      </c>
      <c r="B3156" s="13" t="str">
        <f aca="false">IF(עזר!L3156="","",INDEX(עזר!$B$2:$B$5001,עזר!L3156))</f>
        <v/>
      </c>
      <c r="C3156" s="13" t="str">
        <f aca="false">עזר!M3156</f>
        <v/>
      </c>
    </row>
    <row r="3157" customFormat="false" ht="15" hidden="false" customHeight="false" outlineLevel="0" collapsed="false">
      <c r="A3157" s="13" t="str">
        <f aca="false">IF(עזר!L3157="","",INDEX(עזר!$A$2:$A$5001,עזר!L3157))</f>
        <v/>
      </c>
      <c r="B3157" s="13" t="str">
        <f aca="false">IF(עזר!L3157="","",INDEX(עזר!$B$2:$B$5001,עזר!L3157))</f>
        <v/>
      </c>
      <c r="C3157" s="13" t="str">
        <f aca="false">עזר!M3157</f>
        <v/>
      </c>
    </row>
    <row r="3158" customFormat="false" ht="15" hidden="false" customHeight="false" outlineLevel="0" collapsed="false">
      <c r="A3158" s="13" t="str">
        <f aca="false">IF(עזר!L3158="","",INDEX(עזר!$A$2:$A$5001,עזר!L3158))</f>
        <v/>
      </c>
      <c r="B3158" s="13" t="str">
        <f aca="false">IF(עזר!L3158="","",INDEX(עזר!$B$2:$B$5001,עזר!L3158))</f>
        <v/>
      </c>
      <c r="C3158" s="13" t="str">
        <f aca="false">עזר!M3158</f>
        <v/>
      </c>
    </row>
    <row r="3159" customFormat="false" ht="15" hidden="false" customHeight="false" outlineLevel="0" collapsed="false">
      <c r="A3159" s="13" t="str">
        <f aca="false">IF(עזר!L3159="","",INDEX(עזר!$A$2:$A$5001,עזר!L3159))</f>
        <v/>
      </c>
      <c r="B3159" s="13" t="str">
        <f aca="false">IF(עזר!L3159="","",INDEX(עזר!$B$2:$B$5001,עזר!L3159))</f>
        <v/>
      </c>
      <c r="C3159" s="13" t="str">
        <f aca="false">עזר!M3159</f>
        <v/>
      </c>
    </row>
    <row r="3160" customFormat="false" ht="15" hidden="false" customHeight="false" outlineLevel="0" collapsed="false">
      <c r="A3160" s="13" t="str">
        <f aca="false">IF(עזר!L3160="","",INDEX(עזר!$A$2:$A$5001,עזר!L3160))</f>
        <v/>
      </c>
      <c r="B3160" s="13" t="str">
        <f aca="false">IF(עזר!L3160="","",INDEX(עזר!$B$2:$B$5001,עזר!L3160))</f>
        <v/>
      </c>
      <c r="C3160" s="13" t="str">
        <f aca="false">עזר!M3160</f>
        <v/>
      </c>
    </row>
    <row r="3161" customFormat="false" ht="15" hidden="false" customHeight="false" outlineLevel="0" collapsed="false">
      <c r="A3161" s="13" t="str">
        <f aca="false">IF(עזר!L3161="","",INDEX(עזר!$A$2:$A$5001,עזר!L3161))</f>
        <v/>
      </c>
      <c r="B3161" s="13" t="str">
        <f aca="false">IF(עזר!L3161="","",INDEX(עזר!$B$2:$B$5001,עזר!L3161))</f>
        <v/>
      </c>
      <c r="C3161" s="13" t="str">
        <f aca="false">עזר!M3161</f>
        <v/>
      </c>
    </row>
    <row r="3162" customFormat="false" ht="15" hidden="false" customHeight="false" outlineLevel="0" collapsed="false">
      <c r="A3162" s="13" t="str">
        <f aca="false">IF(עזר!L3162="","",INDEX(עזר!$A$2:$A$5001,עזר!L3162))</f>
        <v/>
      </c>
      <c r="B3162" s="13" t="str">
        <f aca="false">IF(עזר!L3162="","",INDEX(עזר!$B$2:$B$5001,עזר!L3162))</f>
        <v/>
      </c>
      <c r="C3162" s="13" t="str">
        <f aca="false">עזר!M3162</f>
        <v/>
      </c>
    </row>
    <row r="3163" customFormat="false" ht="15" hidden="false" customHeight="false" outlineLevel="0" collapsed="false">
      <c r="A3163" s="13" t="str">
        <f aca="false">IF(עזר!L3163="","",INDEX(עזר!$A$2:$A$5001,עזר!L3163))</f>
        <v/>
      </c>
      <c r="B3163" s="13" t="str">
        <f aca="false">IF(עזר!L3163="","",INDEX(עזר!$B$2:$B$5001,עזר!L3163))</f>
        <v/>
      </c>
      <c r="C3163" s="13" t="str">
        <f aca="false">עזר!M3163</f>
        <v/>
      </c>
    </row>
    <row r="3164" customFormat="false" ht="15" hidden="false" customHeight="false" outlineLevel="0" collapsed="false">
      <c r="A3164" s="13" t="str">
        <f aca="false">IF(עזר!L3164="","",INDEX(עזר!$A$2:$A$5001,עזר!L3164))</f>
        <v/>
      </c>
      <c r="B3164" s="13" t="str">
        <f aca="false">IF(עזר!L3164="","",INDEX(עזר!$B$2:$B$5001,עזר!L3164))</f>
        <v/>
      </c>
      <c r="C3164" s="13" t="str">
        <f aca="false">עזר!M3164</f>
        <v/>
      </c>
    </row>
    <row r="3165" customFormat="false" ht="15" hidden="false" customHeight="false" outlineLevel="0" collapsed="false">
      <c r="A3165" s="13" t="str">
        <f aca="false">IF(עזר!L3165="","",INDEX(עזר!$A$2:$A$5001,עזר!L3165))</f>
        <v/>
      </c>
      <c r="B3165" s="13" t="str">
        <f aca="false">IF(עזר!L3165="","",INDEX(עזר!$B$2:$B$5001,עזר!L3165))</f>
        <v/>
      </c>
      <c r="C3165" s="13" t="str">
        <f aca="false">עזר!M3165</f>
        <v/>
      </c>
    </row>
    <row r="3166" customFormat="false" ht="15" hidden="false" customHeight="false" outlineLevel="0" collapsed="false">
      <c r="A3166" s="13" t="str">
        <f aca="false">IF(עזר!L3166="","",INDEX(עזר!$A$2:$A$5001,עזר!L3166))</f>
        <v/>
      </c>
      <c r="B3166" s="13" t="str">
        <f aca="false">IF(עזר!L3166="","",INDEX(עזר!$B$2:$B$5001,עזר!L3166))</f>
        <v/>
      </c>
      <c r="C3166" s="13" t="str">
        <f aca="false">עזר!M3166</f>
        <v/>
      </c>
    </row>
    <row r="3167" customFormat="false" ht="15" hidden="false" customHeight="false" outlineLevel="0" collapsed="false">
      <c r="A3167" s="13" t="str">
        <f aca="false">IF(עזר!L3167="","",INDEX(עזר!$A$2:$A$5001,עזר!L3167))</f>
        <v/>
      </c>
      <c r="B3167" s="13" t="str">
        <f aca="false">IF(עזר!L3167="","",INDEX(עזר!$B$2:$B$5001,עזר!L3167))</f>
        <v/>
      </c>
      <c r="C3167" s="13" t="str">
        <f aca="false">עזר!M3167</f>
        <v/>
      </c>
    </row>
    <row r="3168" customFormat="false" ht="15" hidden="false" customHeight="false" outlineLevel="0" collapsed="false">
      <c r="A3168" s="13" t="str">
        <f aca="false">IF(עזר!L3168="","",INDEX(עזר!$A$2:$A$5001,עזר!L3168))</f>
        <v/>
      </c>
      <c r="B3168" s="13" t="str">
        <f aca="false">IF(עזר!L3168="","",INDEX(עזר!$B$2:$B$5001,עזר!L3168))</f>
        <v/>
      </c>
      <c r="C3168" s="13" t="str">
        <f aca="false">עזר!M3168</f>
        <v/>
      </c>
    </row>
    <row r="3169" customFormat="false" ht="15" hidden="false" customHeight="false" outlineLevel="0" collapsed="false">
      <c r="A3169" s="13" t="str">
        <f aca="false">IF(עזר!L3169="","",INDEX(עזר!$A$2:$A$5001,עזר!L3169))</f>
        <v/>
      </c>
      <c r="B3169" s="13" t="str">
        <f aca="false">IF(עזר!L3169="","",INDEX(עזר!$B$2:$B$5001,עזר!L3169))</f>
        <v/>
      </c>
      <c r="C3169" s="13" t="str">
        <f aca="false">עזר!M3169</f>
        <v/>
      </c>
    </row>
    <row r="3170" customFormat="false" ht="15" hidden="false" customHeight="false" outlineLevel="0" collapsed="false">
      <c r="A3170" s="13" t="str">
        <f aca="false">IF(עזר!L3170="","",INDEX(עזר!$A$2:$A$5001,עזר!L3170))</f>
        <v/>
      </c>
      <c r="B3170" s="13" t="str">
        <f aca="false">IF(עזר!L3170="","",INDEX(עזר!$B$2:$B$5001,עזר!L3170))</f>
        <v/>
      </c>
      <c r="C3170" s="13" t="str">
        <f aca="false">עזר!M3170</f>
        <v/>
      </c>
    </row>
    <row r="3171" customFormat="false" ht="15" hidden="false" customHeight="false" outlineLevel="0" collapsed="false">
      <c r="A3171" s="13" t="str">
        <f aca="false">IF(עזר!L3171="","",INDEX(עזר!$A$2:$A$5001,עזר!L3171))</f>
        <v/>
      </c>
      <c r="B3171" s="13" t="str">
        <f aca="false">IF(עזר!L3171="","",INDEX(עזר!$B$2:$B$5001,עזר!L3171))</f>
        <v/>
      </c>
      <c r="C3171" s="13" t="str">
        <f aca="false">עזר!M3171</f>
        <v/>
      </c>
    </row>
    <row r="3172" customFormat="false" ht="15" hidden="false" customHeight="false" outlineLevel="0" collapsed="false">
      <c r="A3172" s="13" t="str">
        <f aca="false">IF(עזר!L3172="","",INDEX(עזר!$A$2:$A$5001,עזר!L3172))</f>
        <v/>
      </c>
      <c r="B3172" s="13" t="str">
        <f aca="false">IF(עזר!L3172="","",INDEX(עזר!$B$2:$B$5001,עזר!L3172))</f>
        <v/>
      </c>
      <c r="C3172" s="13" t="str">
        <f aca="false">עזר!M3172</f>
        <v/>
      </c>
    </row>
    <row r="3173" customFormat="false" ht="15" hidden="false" customHeight="false" outlineLevel="0" collapsed="false">
      <c r="A3173" s="13" t="str">
        <f aca="false">IF(עזר!L3173="","",INDEX(עזר!$A$2:$A$5001,עזר!L3173))</f>
        <v/>
      </c>
      <c r="B3173" s="13" t="str">
        <f aca="false">IF(עזר!L3173="","",INDEX(עזר!$B$2:$B$5001,עזר!L3173))</f>
        <v/>
      </c>
      <c r="C3173" s="13" t="str">
        <f aca="false">עזר!M3173</f>
        <v/>
      </c>
    </row>
    <row r="3174" customFormat="false" ht="15" hidden="false" customHeight="false" outlineLevel="0" collapsed="false">
      <c r="A3174" s="13" t="str">
        <f aca="false">IF(עזר!L3174="","",INDEX(עזר!$A$2:$A$5001,עזר!L3174))</f>
        <v/>
      </c>
      <c r="B3174" s="13" t="str">
        <f aca="false">IF(עזר!L3174="","",INDEX(עזר!$B$2:$B$5001,עזר!L3174))</f>
        <v/>
      </c>
      <c r="C3174" s="13" t="str">
        <f aca="false">עזר!M3174</f>
        <v/>
      </c>
    </row>
    <row r="3175" customFormat="false" ht="15" hidden="false" customHeight="false" outlineLevel="0" collapsed="false">
      <c r="A3175" s="13" t="str">
        <f aca="false">IF(עזר!L3175="","",INDEX(עזר!$A$2:$A$5001,עזר!L3175))</f>
        <v/>
      </c>
      <c r="B3175" s="13" t="str">
        <f aca="false">IF(עזר!L3175="","",INDEX(עזר!$B$2:$B$5001,עזר!L3175))</f>
        <v/>
      </c>
      <c r="C3175" s="13" t="str">
        <f aca="false">עזר!M3175</f>
        <v/>
      </c>
    </row>
    <row r="3176" customFormat="false" ht="15" hidden="false" customHeight="false" outlineLevel="0" collapsed="false">
      <c r="A3176" s="13" t="str">
        <f aca="false">IF(עזר!L3176="","",INDEX(עזר!$A$2:$A$5001,עזר!L3176))</f>
        <v/>
      </c>
      <c r="B3176" s="13" t="str">
        <f aca="false">IF(עזר!L3176="","",INDEX(עזר!$B$2:$B$5001,עזר!L3176))</f>
        <v/>
      </c>
      <c r="C3176" s="13" t="str">
        <f aca="false">עזר!M3176</f>
        <v/>
      </c>
    </row>
    <row r="3177" customFormat="false" ht="15" hidden="false" customHeight="false" outlineLevel="0" collapsed="false">
      <c r="A3177" s="13" t="str">
        <f aca="false">IF(עזר!L3177="","",INDEX(עזר!$A$2:$A$5001,עזר!L3177))</f>
        <v/>
      </c>
      <c r="B3177" s="13" t="str">
        <f aca="false">IF(עזר!L3177="","",INDEX(עזר!$B$2:$B$5001,עזר!L3177))</f>
        <v/>
      </c>
      <c r="C3177" s="13" t="str">
        <f aca="false">עזר!M3177</f>
        <v/>
      </c>
    </row>
    <row r="3178" customFormat="false" ht="15" hidden="false" customHeight="false" outlineLevel="0" collapsed="false">
      <c r="A3178" s="13" t="str">
        <f aca="false">IF(עזר!L3178="","",INDEX(עזר!$A$2:$A$5001,עזר!L3178))</f>
        <v/>
      </c>
      <c r="B3178" s="13" t="str">
        <f aca="false">IF(עזר!L3178="","",INDEX(עזר!$B$2:$B$5001,עזר!L3178))</f>
        <v/>
      </c>
      <c r="C3178" s="13" t="str">
        <f aca="false">עזר!M3178</f>
        <v/>
      </c>
    </row>
    <row r="3179" customFormat="false" ht="15" hidden="false" customHeight="false" outlineLevel="0" collapsed="false">
      <c r="A3179" s="13" t="str">
        <f aca="false">IF(עזר!L3179="","",INDEX(עזר!$A$2:$A$5001,עזר!L3179))</f>
        <v/>
      </c>
      <c r="B3179" s="13" t="str">
        <f aca="false">IF(עזר!L3179="","",INDEX(עזר!$B$2:$B$5001,עזר!L3179))</f>
        <v/>
      </c>
      <c r="C3179" s="13" t="str">
        <f aca="false">עזר!M3179</f>
        <v/>
      </c>
    </row>
    <row r="3180" customFormat="false" ht="15" hidden="false" customHeight="false" outlineLevel="0" collapsed="false">
      <c r="A3180" s="13" t="str">
        <f aca="false">IF(עזר!L3180="","",INDEX(עזר!$A$2:$A$5001,עזר!L3180))</f>
        <v/>
      </c>
      <c r="B3180" s="13" t="str">
        <f aca="false">IF(עזר!L3180="","",INDEX(עזר!$B$2:$B$5001,עזר!L3180))</f>
        <v/>
      </c>
      <c r="C3180" s="13" t="str">
        <f aca="false">עזר!M3180</f>
        <v/>
      </c>
    </row>
    <row r="3181" customFormat="false" ht="15" hidden="false" customHeight="false" outlineLevel="0" collapsed="false">
      <c r="A3181" s="13" t="str">
        <f aca="false">IF(עזר!L3181="","",INDEX(עזר!$A$2:$A$5001,עזר!L3181))</f>
        <v/>
      </c>
      <c r="B3181" s="13" t="str">
        <f aca="false">IF(עזר!L3181="","",INDEX(עזר!$B$2:$B$5001,עזר!L3181))</f>
        <v/>
      </c>
      <c r="C3181" s="13" t="str">
        <f aca="false">עזר!M3181</f>
        <v/>
      </c>
    </row>
    <row r="3182" customFormat="false" ht="15" hidden="false" customHeight="false" outlineLevel="0" collapsed="false">
      <c r="A3182" s="13" t="str">
        <f aca="false">IF(עזר!L3182="","",INDEX(עזר!$A$2:$A$5001,עזר!L3182))</f>
        <v/>
      </c>
      <c r="B3182" s="13" t="str">
        <f aca="false">IF(עזר!L3182="","",INDEX(עזר!$B$2:$B$5001,עזר!L3182))</f>
        <v/>
      </c>
      <c r="C3182" s="13" t="str">
        <f aca="false">עזר!M3182</f>
        <v/>
      </c>
    </row>
    <row r="3183" customFormat="false" ht="15" hidden="false" customHeight="false" outlineLevel="0" collapsed="false">
      <c r="A3183" s="13" t="str">
        <f aca="false">IF(עזר!L3183="","",INDEX(עזר!$A$2:$A$5001,עזר!L3183))</f>
        <v/>
      </c>
      <c r="B3183" s="13" t="str">
        <f aca="false">IF(עזר!L3183="","",INDEX(עזר!$B$2:$B$5001,עזר!L3183))</f>
        <v/>
      </c>
      <c r="C3183" s="13" t="str">
        <f aca="false">עזר!M3183</f>
        <v/>
      </c>
    </row>
    <row r="3184" customFormat="false" ht="15" hidden="false" customHeight="false" outlineLevel="0" collapsed="false">
      <c r="A3184" s="13" t="str">
        <f aca="false">IF(עזר!L3184="","",INDEX(עזר!$A$2:$A$5001,עזר!L3184))</f>
        <v/>
      </c>
      <c r="B3184" s="13" t="str">
        <f aca="false">IF(עזר!L3184="","",INDEX(עזר!$B$2:$B$5001,עזר!L3184))</f>
        <v/>
      </c>
      <c r="C3184" s="13" t="str">
        <f aca="false">עזר!M3184</f>
        <v/>
      </c>
    </row>
    <row r="3185" customFormat="false" ht="15" hidden="false" customHeight="false" outlineLevel="0" collapsed="false">
      <c r="A3185" s="13" t="str">
        <f aca="false">IF(עזר!L3185="","",INDEX(עזר!$A$2:$A$5001,עזר!L3185))</f>
        <v/>
      </c>
      <c r="B3185" s="13" t="str">
        <f aca="false">IF(עזר!L3185="","",INDEX(עזר!$B$2:$B$5001,עזר!L3185))</f>
        <v/>
      </c>
      <c r="C3185" s="13" t="str">
        <f aca="false">עזר!M3185</f>
        <v/>
      </c>
    </row>
    <row r="3186" customFormat="false" ht="15" hidden="false" customHeight="false" outlineLevel="0" collapsed="false">
      <c r="A3186" s="13" t="str">
        <f aca="false">IF(עזר!L3186="","",INDEX(עזר!$A$2:$A$5001,עזר!L3186))</f>
        <v/>
      </c>
      <c r="B3186" s="13" t="str">
        <f aca="false">IF(עזר!L3186="","",INDEX(עזר!$B$2:$B$5001,עזר!L3186))</f>
        <v/>
      </c>
      <c r="C3186" s="13" t="str">
        <f aca="false">עזר!M3186</f>
        <v/>
      </c>
    </row>
    <row r="3187" customFormat="false" ht="15" hidden="false" customHeight="false" outlineLevel="0" collapsed="false">
      <c r="A3187" s="13" t="str">
        <f aca="false">IF(עזר!L3187="","",INDEX(עזר!$A$2:$A$5001,עזר!L3187))</f>
        <v/>
      </c>
      <c r="B3187" s="13" t="str">
        <f aca="false">IF(עזר!L3187="","",INDEX(עזר!$B$2:$B$5001,עזר!L3187))</f>
        <v/>
      </c>
      <c r="C3187" s="13" t="str">
        <f aca="false">עזר!M3187</f>
        <v/>
      </c>
    </row>
    <row r="3188" customFormat="false" ht="15" hidden="false" customHeight="false" outlineLevel="0" collapsed="false">
      <c r="A3188" s="13" t="str">
        <f aca="false">IF(עזר!L3188="","",INDEX(עזר!$A$2:$A$5001,עזר!L3188))</f>
        <v/>
      </c>
      <c r="B3188" s="13" t="str">
        <f aca="false">IF(עזר!L3188="","",INDEX(עזר!$B$2:$B$5001,עזר!L3188))</f>
        <v/>
      </c>
      <c r="C3188" s="13" t="str">
        <f aca="false">עזר!M3188</f>
        <v/>
      </c>
    </row>
    <row r="3189" customFormat="false" ht="15" hidden="false" customHeight="false" outlineLevel="0" collapsed="false">
      <c r="A3189" s="13" t="str">
        <f aca="false">IF(עזר!L3189="","",INDEX(עזר!$A$2:$A$5001,עזר!L3189))</f>
        <v/>
      </c>
      <c r="B3189" s="13" t="str">
        <f aca="false">IF(עזר!L3189="","",INDEX(עזר!$B$2:$B$5001,עזר!L3189))</f>
        <v/>
      </c>
      <c r="C3189" s="13" t="str">
        <f aca="false">עזר!M3189</f>
        <v/>
      </c>
    </row>
    <row r="3190" customFormat="false" ht="15" hidden="false" customHeight="false" outlineLevel="0" collapsed="false">
      <c r="A3190" s="13" t="str">
        <f aca="false">IF(עזר!L3190="","",INDEX(עזר!$A$2:$A$5001,עזר!L3190))</f>
        <v/>
      </c>
      <c r="B3190" s="13" t="str">
        <f aca="false">IF(עזר!L3190="","",INDEX(עזר!$B$2:$B$5001,עזר!L3190))</f>
        <v/>
      </c>
      <c r="C3190" s="13" t="str">
        <f aca="false">עזר!M3190</f>
        <v/>
      </c>
    </row>
    <row r="3191" customFormat="false" ht="15" hidden="false" customHeight="false" outlineLevel="0" collapsed="false">
      <c r="A3191" s="13" t="str">
        <f aca="false">IF(עזר!L3191="","",INDEX(עזר!$A$2:$A$5001,עזר!L3191))</f>
        <v/>
      </c>
      <c r="B3191" s="13" t="str">
        <f aca="false">IF(עזר!L3191="","",INDEX(עזר!$B$2:$B$5001,עזר!L3191))</f>
        <v/>
      </c>
      <c r="C3191" s="13" t="str">
        <f aca="false">עזר!M3191</f>
        <v/>
      </c>
    </row>
    <row r="3192" customFormat="false" ht="15" hidden="false" customHeight="false" outlineLevel="0" collapsed="false">
      <c r="A3192" s="13" t="str">
        <f aca="false">IF(עזר!L3192="","",INDEX(עזר!$A$2:$A$5001,עזר!L3192))</f>
        <v/>
      </c>
      <c r="B3192" s="13" t="str">
        <f aca="false">IF(עזר!L3192="","",INDEX(עזר!$B$2:$B$5001,עזר!L3192))</f>
        <v/>
      </c>
      <c r="C3192" s="13" t="str">
        <f aca="false">עזר!M3192</f>
        <v/>
      </c>
    </row>
    <row r="3193" customFormat="false" ht="15" hidden="false" customHeight="false" outlineLevel="0" collapsed="false">
      <c r="A3193" s="13" t="str">
        <f aca="false">IF(עזר!L3193="","",INDEX(עזר!$A$2:$A$5001,עזר!L3193))</f>
        <v/>
      </c>
      <c r="B3193" s="13" t="str">
        <f aca="false">IF(עזר!L3193="","",INDEX(עזר!$B$2:$B$5001,עזר!L3193))</f>
        <v/>
      </c>
      <c r="C3193" s="13" t="str">
        <f aca="false">עזר!M3193</f>
        <v/>
      </c>
    </row>
    <row r="3194" customFormat="false" ht="15" hidden="false" customHeight="false" outlineLevel="0" collapsed="false">
      <c r="A3194" s="13" t="str">
        <f aca="false">IF(עזר!L3194="","",INDEX(עזר!$A$2:$A$5001,עזר!L3194))</f>
        <v/>
      </c>
      <c r="B3194" s="13" t="str">
        <f aca="false">IF(עזר!L3194="","",INDEX(עזר!$B$2:$B$5001,עזר!L3194))</f>
        <v/>
      </c>
      <c r="C3194" s="13" t="str">
        <f aca="false">עזר!M3194</f>
        <v/>
      </c>
    </row>
    <row r="3195" customFormat="false" ht="15" hidden="false" customHeight="false" outlineLevel="0" collapsed="false">
      <c r="A3195" s="13" t="str">
        <f aca="false">IF(עזר!L3195="","",INDEX(עזר!$A$2:$A$5001,עזר!L3195))</f>
        <v/>
      </c>
      <c r="B3195" s="13" t="str">
        <f aca="false">IF(עזר!L3195="","",INDEX(עזר!$B$2:$B$5001,עזר!L3195))</f>
        <v/>
      </c>
      <c r="C3195" s="13" t="str">
        <f aca="false">עזר!M3195</f>
        <v/>
      </c>
    </row>
    <row r="3196" customFormat="false" ht="15" hidden="false" customHeight="false" outlineLevel="0" collapsed="false">
      <c r="A3196" s="13" t="str">
        <f aca="false">IF(עזר!L3196="","",INDEX(עזר!$A$2:$A$5001,עזר!L3196))</f>
        <v/>
      </c>
      <c r="B3196" s="13" t="str">
        <f aca="false">IF(עזר!L3196="","",INDEX(עזר!$B$2:$B$5001,עזר!L3196))</f>
        <v/>
      </c>
      <c r="C3196" s="13" t="str">
        <f aca="false">עזר!M3196</f>
        <v/>
      </c>
    </row>
    <row r="3197" customFormat="false" ht="15" hidden="false" customHeight="false" outlineLevel="0" collapsed="false">
      <c r="A3197" s="13" t="str">
        <f aca="false">IF(עזר!L3197="","",INDEX(עזר!$A$2:$A$5001,עזר!L3197))</f>
        <v/>
      </c>
      <c r="B3197" s="13" t="str">
        <f aca="false">IF(עזר!L3197="","",INDEX(עזר!$B$2:$B$5001,עזר!L3197))</f>
        <v/>
      </c>
      <c r="C3197" s="13" t="str">
        <f aca="false">עזר!M3197</f>
        <v/>
      </c>
    </row>
    <row r="3198" customFormat="false" ht="15" hidden="false" customHeight="false" outlineLevel="0" collapsed="false">
      <c r="A3198" s="13" t="str">
        <f aca="false">IF(עזר!L3198="","",INDEX(עזר!$A$2:$A$5001,עזר!L3198))</f>
        <v/>
      </c>
      <c r="B3198" s="13" t="str">
        <f aca="false">IF(עזר!L3198="","",INDEX(עזר!$B$2:$B$5001,עזר!L3198))</f>
        <v/>
      </c>
      <c r="C3198" s="13" t="str">
        <f aca="false">עזר!M3198</f>
        <v/>
      </c>
    </row>
    <row r="3199" customFormat="false" ht="15" hidden="false" customHeight="false" outlineLevel="0" collapsed="false">
      <c r="A3199" s="13" t="str">
        <f aca="false">IF(עזר!L3199="","",INDEX(עזר!$A$2:$A$5001,עזר!L3199))</f>
        <v/>
      </c>
      <c r="B3199" s="13" t="str">
        <f aca="false">IF(עזר!L3199="","",INDEX(עזר!$B$2:$B$5001,עזר!L3199))</f>
        <v/>
      </c>
      <c r="C3199" s="13" t="str">
        <f aca="false">עזר!M3199</f>
        <v/>
      </c>
    </row>
    <row r="3200" customFormat="false" ht="15" hidden="false" customHeight="false" outlineLevel="0" collapsed="false">
      <c r="A3200" s="13" t="str">
        <f aca="false">IF(עזר!L3200="","",INDEX(עזר!$A$2:$A$5001,עזר!L3200))</f>
        <v/>
      </c>
      <c r="B3200" s="13" t="str">
        <f aca="false">IF(עזר!L3200="","",INDEX(עזר!$B$2:$B$5001,עזר!L3200))</f>
        <v/>
      </c>
      <c r="C3200" s="13" t="str">
        <f aca="false">עזר!M3200</f>
        <v/>
      </c>
    </row>
    <row r="3201" customFormat="false" ht="15" hidden="false" customHeight="false" outlineLevel="0" collapsed="false">
      <c r="A3201" s="13" t="str">
        <f aca="false">IF(עזר!L3201="","",INDEX(עזר!$A$2:$A$5001,עזר!L3201))</f>
        <v/>
      </c>
      <c r="B3201" s="13" t="str">
        <f aca="false">IF(עזר!L3201="","",INDEX(עזר!$B$2:$B$5001,עזר!L3201))</f>
        <v/>
      </c>
      <c r="C3201" s="13" t="str">
        <f aca="false">עזר!M3201</f>
        <v/>
      </c>
    </row>
    <row r="3202" customFormat="false" ht="15" hidden="false" customHeight="false" outlineLevel="0" collapsed="false">
      <c r="A3202" s="13" t="str">
        <f aca="false">IF(עזר!L3202="","",INDEX(עזר!$A$2:$A$5001,עזר!L3202))</f>
        <v/>
      </c>
      <c r="B3202" s="13" t="str">
        <f aca="false">IF(עזר!L3202="","",INDEX(עזר!$B$2:$B$5001,עזר!L3202))</f>
        <v/>
      </c>
      <c r="C3202" s="13" t="str">
        <f aca="false">עזר!M3202</f>
        <v/>
      </c>
    </row>
    <row r="3203" customFormat="false" ht="15" hidden="false" customHeight="false" outlineLevel="0" collapsed="false">
      <c r="A3203" s="13" t="str">
        <f aca="false">IF(עזר!L3203="","",INDEX(עזר!$A$2:$A$5001,עזר!L3203))</f>
        <v/>
      </c>
      <c r="B3203" s="13" t="str">
        <f aca="false">IF(עזר!L3203="","",INDEX(עזר!$B$2:$B$5001,עזר!L3203))</f>
        <v/>
      </c>
      <c r="C3203" s="13" t="str">
        <f aca="false">עזר!M3203</f>
        <v/>
      </c>
    </row>
    <row r="3204" customFormat="false" ht="15" hidden="false" customHeight="false" outlineLevel="0" collapsed="false">
      <c r="A3204" s="13" t="str">
        <f aca="false">IF(עזר!L3204="","",INDEX(עזר!$A$2:$A$5001,עזר!L3204))</f>
        <v/>
      </c>
      <c r="B3204" s="13" t="str">
        <f aca="false">IF(עזר!L3204="","",INDEX(עזר!$B$2:$B$5001,עזר!L3204))</f>
        <v/>
      </c>
      <c r="C3204" s="13" t="str">
        <f aca="false">עזר!M3204</f>
        <v/>
      </c>
    </row>
    <row r="3205" customFormat="false" ht="15" hidden="false" customHeight="false" outlineLevel="0" collapsed="false">
      <c r="A3205" s="13" t="str">
        <f aca="false">IF(עזר!L3205="","",INDEX(עזר!$A$2:$A$5001,עזר!L3205))</f>
        <v/>
      </c>
      <c r="B3205" s="13" t="str">
        <f aca="false">IF(עזר!L3205="","",INDEX(עזר!$B$2:$B$5001,עזר!L3205))</f>
        <v/>
      </c>
      <c r="C3205" s="13" t="str">
        <f aca="false">עזר!M3205</f>
        <v/>
      </c>
    </row>
    <row r="3206" customFormat="false" ht="15" hidden="false" customHeight="false" outlineLevel="0" collapsed="false">
      <c r="A3206" s="13" t="str">
        <f aca="false">IF(עזר!L3206="","",INDEX(עזר!$A$2:$A$5001,עזר!L3206))</f>
        <v/>
      </c>
      <c r="B3206" s="13" t="str">
        <f aca="false">IF(עזר!L3206="","",INDEX(עזר!$B$2:$B$5001,עזר!L3206))</f>
        <v/>
      </c>
      <c r="C3206" s="13" t="str">
        <f aca="false">עזר!M3206</f>
        <v/>
      </c>
    </row>
    <row r="3207" customFormat="false" ht="15" hidden="false" customHeight="false" outlineLevel="0" collapsed="false">
      <c r="A3207" s="13" t="str">
        <f aca="false">IF(עזר!L3207="","",INDEX(עזר!$A$2:$A$5001,עזר!L3207))</f>
        <v/>
      </c>
      <c r="B3207" s="13" t="str">
        <f aca="false">IF(עזר!L3207="","",INDEX(עזר!$B$2:$B$5001,עזר!L3207))</f>
        <v/>
      </c>
      <c r="C3207" s="13" t="str">
        <f aca="false">עזר!M3207</f>
        <v/>
      </c>
    </row>
    <row r="3208" customFormat="false" ht="15" hidden="false" customHeight="false" outlineLevel="0" collapsed="false">
      <c r="A3208" s="13" t="str">
        <f aca="false">IF(עזר!L3208="","",INDEX(עזר!$A$2:$A$5001,עזר!L3208))</f>
        <v/>
      </c>
      <c r="B3208" s="13" t="str">
        <f aca="false">IF(עזר!L3208="","",INDEX(עזר!$B$2:$B$5001,עזר!L3208))</f>
        <v/>
      </c>
      <c r="C3208" s="13" t="str">
        <f aca="false">עזר!M3208</f>
        <v/>
      </c>
    </row>
    <row r="3209" customFormat="false" ht="15" hidden="false" customHeight="false" outlineLevel="0" collapsed="false">
      <c r="A3209" s="13" t="str">
        <f aca="false">IF(עזר!L3209="","",INDEX(עזר!$A$2:$A$5001,עזר!L3209))</f>
        <v/>
      </c>
      <c r="B3209" s="13" t="str">
        <f aca="false">IF(עזר!L3209="","",INDEX(עזר!$B$2:$B$5001,עזר!L3209))</f>
        <v/>
      </c>
      <c r="C3209" s="13" t="str">
        <f aca="false">עזר!M3209</f>
        <v/>
      </c>
    </row>
    <row r="3210" customFormat="false" ht="15" hidden="false" customHeight="false" outlineLevel="0" collapsed="false">
      <c r="A3210" s="13" t="str">
        <f aca="false">IF(עזר!L3210="","",INDEX(עזר!$A$2:$A$5001,עזר!L3210))</f>
        <v/>
      </c>
      <c r="B3210" s="13" t="str">
        <f aca="false">IF(עזר!L3210="","",INDEX(עזר!$B$2:$B$5001,עזר!L3210))</f>
        <v/>
      </c>
      <c r="C3210" s="13" t="str">
        <f aca="false">עזר!M3210</f>
        <v/>
      </c>
    </row>
    <row r="3211" customFormat="false" ht="15" hidden="false" customHeight="false" outlineLevel="0" collapsed="false">
      <c r="A3211" s="13" t="str">
        <f aca="false">IF(עזר!L3211="","",INDEX(עזר!$A$2:$A$5001,עזר!L3211))</f>
        <v/>
      </c>
      <c r="B3211" s="13" t="str">
        <f aca="false">IF(עזר!L3211="","",INDEX(עזר!$B$2:$B$5001,עזר!L3211))</f>
        <v/>
      </c>
      <c r="C3211" s="13" t="str">
        <f aca="false">עזר!M3211</f>
        <v/>
      </c>
    </row>
    <row r="3212" customFormat="false" ht="15" hidden="false" customHeight="false" outlineLevel="0" collapsed="false">
      <c r="A3212" s="13" t="str">
        <f aca="false">IF(עזר!L3212="","",INDEX(עזר!$A$2:$A$5001,עזר!L3212))</f>
        <v/>
      </c>
      <c r="B3212" s="13" t="str">
        <f aca="false">IF(עזר!L3212="","",INDEX(עזר!$B$2:$B$5001,עזר!L3212))</f>
        <v/>
      </c>
      <c r="C3212" s="13" t="str">
        <f aca="false">עזר!M3212</f>
        <v/>
      </c>
    </row>
    <row r="3213" customFormat="false" ht="15" hidden="false" customHeight="false" outlineLevel="0" collapsed="false">
      <c r="A3213" s="13" t="str">
        <f aca="false">IF(עזר!L3213="","",INDEX(עזר!$A$2:$A$5001,עזר!L3213))</f>
        <v/>
      </c>
      <c r="B3213" s="13" t="str">
        <f aca="false">IF(עזר!L3213="","",INDEX(עזר!$B$2:$B$5001,עזר!L3213))</f>
        <v/>
      </c>
      <c r="C3213" s="13" t="str">
        <f aca="false">עזר!M3213</f>
        <v/>
      </c>
    </row>
    <row r="3214" customFormat="false" ht="15" hidden="false" customHeight="false" outlineLevel="0" collapsed="false">
      <c r="A3214" s="13" t="str">
        <f aca="false">IF(עזר!L3214="","",INDEX(עזר!$A$2:$A$5001,עזר!L3214))</f>
        <v/>
      </c>
      <c r="B3214" s="13" t="str">
        <f aca="false">IF(עזר!L3214="","",INDEX(עזר!$B$2:$B$5001,עזר!L3214))</f>
        <v/>
      </c>
      <c r="C3214" s="13" t="str">
        <f aca="false">עזר!M3214</f>
        <v/>
      </c>
    </row>
    <row r="3215" customFormat="false" ht="15" hidden="false" customHeight="false" outlineLevel="0" collapsed="false">
      <c r="A3215" s="13" t="str">
        <f aca="false">IF(עזר!L3215="","",INDEX(עזר!$A$2:$A$5001,עזר!L3215))</f>
        <v/>
      </c>
      <c r="B3215" s="13" t="str">
        <f aca="false">IF(עזר!L3215="","",INDEX(עזר!$B$2:$B$5001,עזר!L3215))</f>
        <v/>
      </c>
      <c r="C3215" s="13" t="str">
        <f aca="false">עזר!M3215</f>
        <v/>
      </c>
    </row>
    <row r="3216" customFormat="false" ht="15" hidden="false" customHeight="false" outlineLevel="0" collapsed="false">
      <c r="A3216" s="13" t="str">
        <f aca="false">IF(עזר!L3216="","",INDEX(עזר!$A$2:$A$5001,עזר!L3216))</f>
        <v/>
      </c>
      <c r="B3216" s="13" t="str">
        <f aca="false">IF(עזר!L3216="","",INDEX(עזר!$B$2:$B$5001,עזר!L3216))</f>
        <v/>
      </c>
      <c r="C3216" s="13" t="str">
        <f aca="false">עזר!M3216</f>
        <v/>
      </c>
    </row>
    <row r="3217" customFormat="false" ht="15" hidden="false" customHeight="false" outlineLevel="0" collapsed="false">
      <c r="A3217" s="13" t="str">
        <f aca="false">IF(עזר!L3217="","",INDEX(עזר!$A$2:$A$5001,עזר!L3217))</f>
        <v/>
      </c>
      <c r="B3217" s="13" t="str">
        <f aca="false">IF(עזר!L3217="","",INDEX(עזר!$B$2:$B$5001,עזר!L3217))</f>
        <v/>
      </c>
      <c r="C3217" s="13" t="str">
        <f aca="false">עזר!M3217</f>
        <v/>
      </c>
    </row>
    <row r="3218" customFormat="false" ht="15" hidden="false" customHeight="false" outlineLevel="0" collapsed="false">
      <c r="A3218" s="13" t="str">
        <f aca="false">IF(עזר!L3218="","",INDEX(עזר!$A$2:$A$5001,עזר!L3218))</f>
        <v/>
      </c>
      <c r="B3218" s="13" t="str">
        <f aca="false">IF(עזר!L3218="","",INDEX(עזר!$B$2:$B$5001,עזר!L3218))</f>
        <v/>
      </c>
      <c r="C3218" s="13" t="str">
        <f aca="false">עזר!M3218</f>
        <v/>
      </c>
    </row>
    <row r="3219" customFormat="false" ht="15" hidden="false" customHeight="false" outlineLevel="0" collapsed="false">
      <c r="A3219" s="13" t="str">
        <f aca="false">IF(עזר!L3219="","",INDEX(עזר!$A$2:$A$5001,עזר!L3219))</f>
        <v/>
      </c>
      <c r="B3219" s="13" t="str">
        <f aca="false">IF(עזר!L3219="","",INDEX(עזר!$B$2:$B$5001,עזר!L3219))</f>
        <v/>
      </c>
      <c r="C3219" s="13" t="str">
        <f aca="false">עזר!M3219</f>
        <v/>
      </c>
    </row>
    <row r="3220" customFormat="false" ht="15" hidden="false" customHeight="false" outlineLevel="0" collapsed="false">
      <c r="A3220" s="13" t="str">
        <f aca="false">IF(עזר!L3220="","",INDEX(עזר!$A$2:$A$5001,עזר!L3220))</f>
        <v/>
      </c>
      <c r="B3220" s="13" t="str">
        <f aca="false">IF(עזר!L3220="","",INDEX(עזר!$B$2:$B$5001,עזר!L3220))</f>
        <v/>
      </c>
      <c r="C3220" s="13" t="str">
        <f aca="false">עזר!M3220</f>
        <v/>
      </c>
    </row>
    <row r="3221" customFormat="false" ht="15" hidden="false" customHeight="false" outlineLevel="0" collapsed="false">
      <c r="A3221" s="13" t="str">
        <f aca="false">IF(עזר!L3221="","",INDEX(עזר!$A$2:$A$5001,עזר!L3221))</f>
        <v/>
      </c>
      <c r="B3221" s="13" t="str">
        <f aca="false">IF(עזר!L3221="","",INDEX(עזר!$B$2:$B$5001,עזר!L3221))</f>
        <v/>
      </c>
      <c r="C3221" s="13" t="str">
        <f aca="false">עזר!M3221</f>
        <v/>
      </c>
    </row>
    <row r="3222" customFormat="false" ht="15" hidden="false" customHeight="false" outlineLevel="0" collapsed="false">
      <c r="A3222" s="13" t="str">
        <f aca="false">IF(עזר!L3222="","",INDEX(עזר!$A$2:$A$5001,עזר!L3222))</f>
        <v/>
      </c>
      <c r="B3222" s="13" t="str">
        <f aca="false">IF(עזר!L3222="","",INDEX(עזר!$B$2:$B$5001,עזר!L3222))</f>
        <v/>
      </c>
      <c r="C3222" s="13" t="str">
        <f aca="false">עזר!M3222</f>
        <v/>
      </c>
    </row>
    <row r="3223" customFormat="false" ht="15" hidden="false" customHeight="false" outlineLevel="0" collapsed="false">
      <c r="A3223" s="13" t="str">
        <f aca="false">IF(עזר!L3223="","",INDEX(עזר!$A$2:$A$5001,עזר!L3223))</f>
        <v/>
      </c>
      <c r="B3223" s="13" t="str">
        <f aca="false">IF(עזר!L3223="","",INDEX(עזר!$B$2:$B$5001,עזר!L3223))</f>
        <v/>
      </c>
      <c r="C3223" s="13" t="str">
        <f aca="false">עזר!M3223</f>
        <v/>
      </c>
    </row>
    <row r="3224" customFormat="false" ht="15" hidden="false" customHeight="false" outlineLevel="0" collapsed="false">
      <c r="A3224" s="13" t="str">
        <f aca="false">IF(עזר!L3224="","",INDEX(עזר!$A$2:$A$5001,עזר!L3224))</f>
        <v/>
      </c>
      <c r="B3224" s="13" t="str">
        <f aca="false">IF(עזר!L3224="","",INDEX(עזר!$B$2:$B$5001,עזר!L3224))</f>
        <v/>
      </c>
      <c r="C3224" s="13" t="str">
        <f aca="false">עזר!M3224</f>
        <v/>
      </c>
    </row>
    <row r="3225" customFormat="false" ht="15" hidden="false" customHeight="false" outlineLevel="0" collapsed="false">
      <c r="A3225" s="13" t="str">
        <f aca="false">IF(עזר!L3225="","",INDEX(עזר!$A$2:$A$5001,עזר!L3225))</f>
        <v/>
      </c>
      <c r="B3225" s="13" t="str">
        <f aca="false">IF(עזר!L3225="","",INDEX(עזר!$B$2:$B$5001,עזר!L3225))</f>
        <v/>
      </c>
      <c r="C3225" s="13" t="str">
        <f aca="false">עזר!M3225</f>
        <v/>
      </c>
    </row>
    <row r="3226" customFormat="false" ht="15" hidden="false" customHeight="false" outlineLevel="0" collapsed="false">
      <c r="A3226" s="13" t="str">
        <f aca="false">IF(עזר!L3226="","",INDEX(עזר!$A$2:$A$5001,עזר!L3226))</f>
        <v/>
      </c>
      <c r="B3226" s="13" t="str">
        <f aca="false">IF(עזר!L3226="","",INDEX(עזר!$B$2:$B$5001,עזר!L3226))</f>
        <v/>
      </c>
      <c r="C3226" s="13" t="str">
        <f aca="false">עזר!M3226</f>
        <v/>
      </c>
    </row>
    <row r="3227" customFormat="false" ht="15" hidden="false" customHeight="false" outlineLevel="0" collapsed="false">
      <c r="A3227" s="13" t="str">
        <f aca="false">IF(עזר!L3227="","",INDEX(עזר!$A$2:$A$5001,עזר!L3227))</f>
        <v/>
      </c>
      <c r="B3227" s="13" t="str">
        <f aca="false">IF(עזר!L3227="","",INDEX(עזר!$B$2:$B$5001,עזר!L3227))</f>
        <v/>
      </c>
      <c r="C3227" s="13" t="str">
        <f aca="false">עזר!M3227</f>
        <v/>
      </c>
    </row>
    <row r="3228" customFormat="false" ht="15" hidden="false" customHeight="false" outlineLevel="0" collapsed="false">
      <c r="A3228" s="13" t="str">
        <f aca="false">IF(עזר!L3228="","",INDEX(עזר!$A$2:$A$5001,עזר!L3228))</f>
        <v/>
      </c>
      <c r="B3228" s="13" t="str">
        <f aca="false">IF(עזר!L3228="","",INDEX(עזר!$B$2:$B$5001,עזר!L3228))</f>
        <v/>
      </c>
      <c r="C3228" s="13" t="str">
        <f aca="false">עזר!M3228</f>
        <v/>
      </c>
    </row>
    <row r="3229" customFormat="false" ht="15" hidden="false" customHeight="false" outlineLevel="0" collapsed="false">
      <c r="A3229" s="13" t="str">
        <f aca="false">IF(עזר!L3229="","",INDEX(עזר!$A$2:$A$5001,עזר!L3229))</f>
        <v/>
      </c>
      <c r="B3229" s="13" t="str">
        <f aca="false">IF(עזר!L3229="","",INDEX(עזר!$B$2:$B$5001,עזר!L3229))</f>
        <v/>
      </c>
      <c r="C3229" s="13" t="str">
        <f aca="false">עזר!M3229</f>
        <v/>
      </c>
    </row>
    <row r="3230" customFormat="false" ht="15" hidden="false" customHeight="false" outlineLevel="0" collapsed="false">
      <c r="A3230" s="13" t="str">
        <f aca="false">IF(עזר!L3230="","",INDEX(עזר!$A$2:$A$5001,עזר!L3230))</f>
        <v/>
      </c>
      <c r="B3230" s="13" t="str">
        <f aca="false">IF(עזר!L3230="","",INDEX(עזר!$B$2:$B$5001,עזר!L3230))</f>
        <v/>
      </c>
      <c r="C3230" s="13" t="str">
        <f aca="false">עזר!M3230</f>
        <v/>
      </c>
    </row>
    <row r="3231" customFormat="false" ht="15" hidden="false" customHeight="false" outlineLevel="0" collapsed="false">
      <c r="A3231" s="13" t="str">
        <f aca="false">IF(עזר!L3231="","",INDEX(עזר!$A$2:$A$5001,עזר!L3231))</f>
        <v/>
      </c>
      <c r="B3231" s="13" t="str">
        <f aca="false">IF(עזר!L3231="","",INDEX(עזר!$B$2:$B$5001,עזר!L3231))</f>
        <v/>
      </c>
      <c r="C3231" s="13" t="str">
        <f aca="false">עזר!M3231</f>
        <v/>
      </c>
    </row>
    <row r="3232" customFormat="false" ht="15" hidden="false" customHeight="false" outlineLevel="0" collapsed="false">
      <c r="A3232" s="13" t="str">
        <f aca="false">IF(עזר!L3232="","",INDEX(עזר!$A$2:$A$5001,עזר!L3232))</f>
        <v/>
      </c>
      <c r="B3232" s="13" t="str">
        <f aca="false">IF(עזר!L3232="","",INDEX(עזר!$B$2:$B$5001,עזר!L3232))</f>
        <v/>
      </c>
      <c r="C3232" s="13" t="str">
        <f aca="false">עזר!M3232</f>
        <v/>
      </c>
    </row>
    <row r="3233" customFormat="false" ht="15" hidden="false" customHeight="false" outlineLevel="0" collapsed="false">
      <c r="A3233" s="13" t="str">
        <f aca="false">IF(עזר!L3233="","",INDEX(עזר!$A$2:$A$5001,עזר!L3233))</f>
        <v/>
      </c>
      <c r="B3233" s="13" t="str">
        <f aca="false">IF(עזר!L3233="","",INDEX(עזר!$B$2:$B$5001,עזר!L3233))</f>
        <v/>
      </c>
      <c r="C3233" s="13" t="str">
        <f aca="false">עזר!M3233</f>
        <v/>
      </c>
    </row>
    <row r="3234" customFormat="false" ht="15" hidden="false" customHeight="false" outlineLevel="0" collapsed="false">
      <c r="A3234" s="13" t="str">
        <f aca="false">IF(עזר!L3234="","",INDEX(עזר!$A$2:$A$5001,עזר!L3234))</f>
        <v/>
      </c>
      <c r="B3234" s="13" t="str">
        <f aca="false">IF(עזר!L3234="","",INDEX(עזר!$B$2:$B$5001,עזר!L3234))</f>
        <v/>
      </c>
      <c r="C3234" s="13" t="str">
        <f aca="false">עזר!M3234</f>
        <v/>
      </c>
    </row>
    <row r="3235" customFormat="false" ht="15" hidden="false" customHeight="false" outlineLevel="0" collapsed="false">
      <c r="A3235" s="13" t="str">
        <f aca="false">IF(עזר!L3235="","",INDEX(עזר!$A$2:$A$5001,עזר!L3235))</f>
        <v/>
      </c>
      <c r="B3235" s="13" t="str">
        <f aca="false">IF(עזר!L3235="","",INDEX(עזר!$B$2:$B$5001,עזר!L3235))</f>
        <v/>
      </c>
      <c r="C3235" s="13" t="str">
        <f aca="false">עזר!M3235</f>
        <v/>
      </c>
    </row>
    <row r="3236" customFormat="false" ht="15" hidden="false" customHeight="false" outlineLevel="0" collapsed="false">
      <c r="A3236" s="13" t="str">
        <f aca="false">IF(עזר!L3236="","",INDEX(עזר!$A$2:$A$5001,עזר!L3236))</f>
        <v/>
      </c>
      <c r="B3236" s="13" t="str">
        <f aca="false">IF(עזר!L3236="","",INDEX(עזר!$B$2:$B$5001,עזר!L3236))</f>
        <v/>
      </c>
      <c r="C3236" s="13" t="str">
        <f aca="false">עזר!M3236</f>
        <v/>
      </c>
    </row>
    <row r="3237" customFormat="false" ht="15" hidden="false" customHeight="false" outlineLevel="0" collapsed="false">
      <c r="A3237" s="13" t="str">
        <f aca="false">IF(עזר!L3237="","",INDEX(עזר!$A$2:$A$5001,עזר!L3237))</f>
        <v/>
      </c>
      <c r="B3237" s="13" t="str">
        <f aca="false">IF(עזר!L3237="","",INDEX(עזר!$B$2:$B$5001,עזר!L3237))</f>
        <v/>
      </c>
      <c r="C3237" s="13" t="str">
        <f aca="false">עזר!M3237</f>
        <v/>
      </c>
    </row>
    <row r="3238" customFormat="false" ht="15" hidden="false" customHeight="false" outlineLevel="0" collapsed="false">
      <c r="A3238" s="13" t="str">
        <f aca="false">IF(עזר!L3238="","",INDEX(עזר!$A$2:$A$5001,עזר!L3238))</f>
        <v/>
      </c>
      <c r="B3238" s="13" t="str">
        <f aca="false">IF(עזר!L3238="","",INDEX(עזר!$B$2:$B$5001,עזר!L3238))</f>
        <v/>
      </c>
      <c r="C3238" s="13" t="str">
        <f aca="false">עזר!M3238</f>
        <v/>
      </c>
    </row>
    <row r="3239" customFormat="false" ht="15" hidden="false" customHeight="false" outlineLevel="0" collapsed="false">
      <c r="A3239" s="13" t="str">
        <f aca="false">IF(עזר!L3239="","",INDEX(עזר!$A$2:$A$5001,עזר!L3239))</f>
        <v/>
      </c>
      <c r="B3239" s="13" t="str">
        <f aca="false">IF(עזר!L3239="","",INDEX(עזר!$B$2:$B$5001,עזר!L3239))</f>
        <v/>
      </c>
      <c r="C3239" s="13" t="str">
        <f aca="false">עזר!M3239</f>
        <v/>
      </c>
    </row>
    <row r="3240" customFormat="false" ht="15" hidden="false" customHeight="false" outlineLevel="0" collapsed="false">
      <c r="A3240" s="13" t="str">
        <f aca="false">IF(עזר!L3240="","",INDEX(עזר!$A$2:$A$5001,עזר!L3240))</f>
        <v/>
      </c>
      <c r="B3240" s="13" t="str">
        <f aca="false">IF(עזר!L3240="","",INDEX(עזר!$B$2:$B$5001,עזר!L3240))</f>
        <v/>
      </c>
      <c r="C3240" s="13" t="str">
        <f aca="false">עזר!M3240</f>
        <v/>
      </c>
    </row>
    <row r="3241" customFormat="false" ht="15" hidden="false" customHeight="false" outlineLevel="0" collapsed="false">
      <c r="A3241" s="13" t="str">
        <f aca="false">IF(עזר!L3241="","",INDEX(עזר!$A$2:$A$5001,עזר!L3241))</f>
        <v/>
      </c>
      <c r="B3241" s="13" t="str">
        <f aca="false">IF(עזר!L3241="","",INDEX(עזר!$B$2:$B$5001,עזר!L3241))</f>
        <v/>
      </c>
      <c r="C3241" s="13" t="str">
        <f aca="false">עזר!M3241</f>
        <v/>
      </c>
    </row>
    <row r="3242" customFormat="false" ht="15" hidden="false" customHeight="false" outlineLevel="0" collapsed="false">
      <c r="A3242" s="13" t="str">
        <f aca="false">IF(עזר!L3242="","",INDEX(עזר!$A$2:$A$5001,עזר!L3242))</f>
        <v/>
      </c>
      <c r="B3242" s="13" t="str">
        <f aca="false">IF(עזר!L3242="","",INDEX(עזר!$B$2:$B$5001,עזר!L3242))</f>
        <v/>
      </c>
      <c r="C3242" s="13" t="str">
        <f aca="false">עזר!M3242</f>
        <v/>
      </c>
    </row>
    <row r="3243" customFormat="false" ht="15" hidden="false" customHeight="false" outlineLevel="0" collapsed="false">
      <c r="A3243" s="13" t="str">
        <f aca="false">IF(עזר!L3243="","",INDEX(עזר!$A$2:$A$5001,עזר!L3243))</f>
        <v/>
      </c>
      <c r="B3243" s="13" t="str">
        <f aca="false">IF(עזר!L3243="","",INDEX(עזר!$B$2:$B$5001,עזר!L3243))</f>
        <v/>
      </c>
      <c r="C3243" s="13" t="str">
        <f aca="false">עזר!M3243</f>
        <v/>
      </c>
    </row>
    <row r="3244" customFormat="false" ht="15" hidden="false" customHeight="false" outlineLevel="0" collapsed="false">
      <c r="A3244" s="13" t="str">
        <f aca="false">IF(עזר!L3244="","",INDEX(עזר!$A$2:$A$5001,עזר!L3244))</f>
        <v/>
      </c>
      <c r="B3244" s="13" t="str">
        <f aca="false">IF(עזר!L3244="","",INDEX(עזר!$B$2:$B$5001,עזר!L3244))</f>
        <v/>
      </c>
      <c r="C3244" s="13" t="str">
        <f aca="false">עזר!M3244</f>
        <v/>
      </c>
    </row>
    <row r="3245" customFormat="false" ht="15" hidden="false" customHeight="false" outlineLevel="0" collapsed="false">
      <c r="A3245" s="13" t="str">
        <f aca="false">IF(עזר!L3245="","",INDEX(עזר!$A$2:$A$5001,עזר!L3245))</f>
        <v/>
      </c>
      <c r="B3245" s="13" t="str">
        <f aca="false">IF(עזר!L3245="","",INDEX(עזר!$B$2:$B$5001,עזר!L3245))</f>
        <v/>
      </c>
      <c r="C3245" s="13" t="str">
        <f aca="false">עזר!M3245</f>
        <v/>
      </c>
    </row>
    <row r="3246" customFormat="false" ht="15" hidden="false" customHeight="false" outlineLevel="0" collapsed="false">
      <c r="A3246" s="13" t="str">
        <f aca="false">IF(עזר!L3246="","",INDEX(עזר!$A$2:$A$5001,עזר!L3246))</f>
        <v/>
      </c>
      <c r="B3246" s="13" t="str">
        <f aca="false">IF(עזר!L3246="","",INDEX(עזר!$B$2:$B$5001,עזר!L3246))</f>
        <v/>
      </c>
      <c r="C3246" s="13" t="str">
        <f aca="false">עזר!M3246</f>
        <v/>
      </c>
    </row>
    <row r="3247" customFormat="false" ht="15" hidden="false" customHeight="false" outlineLevel="0" collapsed="false">
      <c r="A3247" s="13" t="str">
        <f aca="false">IF(עזר!L3247="","",INDEX(עזר!$A$2:$A$5001,עזר!L3247))</f>
        <v/>
      </c>
      <c r="B3247" s="13" t="str">
        <f aca="false">IF(עזר!L3247="","",INDEX(עזר!$B$2:$B$5001,עזר!L3247))</f>
        <v/>
      </c>
      <c r="C3247" s="13" t="str">
        <f aca="false">עזר!M3247</f>
        <v/>
      </c>
    </row>
    <row r="3248" customFormat="false" ht="15" hidden="false" customHeight="false" outlineLevel="0" collapsed="false">
      <c r="A3248" s="13" t="str">
        <f aca="false">IF(עזר!L3248="","",INDEX(עזר!$A$2:$A$5001,עזר!L3248))</f>
        <v/>
      </c>
      <c r="B3248" s="13" t="str">
        <f aca="false">IF(עזר!L3248="","",INDEX(עזר!$B$2:$B$5001,עזר!L3248))</f>
        <v/>
      </c>
      <c r="C3248" s="13" t="str">
        <f aca="false">עזר!M3248</f>
        <v/>
      </c>
    </row>
    <row r="3249" customFormat="false" ht="15" hidden="false" customHeight="false" outlineLevel="0" collapsed="false">
      <c r="A3249" s="13" t="str">
        <f aca="false">IF(עזר!L3249="","",INDEX(עזר!$A$2:$A$5001,עזר!L3249))</f>
        <v/>
      </c>
      <c r="B3249" s="13" t="str">
        <f aca="false">IF(עזר!L3249="","",INDEX(עזר!$B$2:$B$5001,עזר!L3249))</f>
        <v/>
      </c>
      <c r="C3249" s="13" t="str">
        <f aca="false">עזר!M3249</f>
        <v/>
      </c>
    </row>
    <row r="3250" customFormat="false" ht="15" hidden="false" customHeight="false" outlineLevel="0" collapsed="false">
      <c r="A3250" s="13" t="str">
        <f aca="false">IF(עזר!L3250="","",INDEX(עזר!$A$2:$A$5001,עזר!L3250))</f>
        <v/>
      </c>
      <c r="B3250" s="13" t="str">
        <f aca="false">IF(עזר!L3250="","",INDEX(עזר!$B$2:$B$5001,עזר!L3250))</f>
        <v/>
      </c>
      <c r="C3250" s="13" t="str">
        <f aca="false">עזר!M3250</f>
        <v/>
      </c>
    </row>
    <row r="3251" customFormat="false" ht="15" hidden="false" customHeight="false" outlineLevel="0" collapsed="false">
      <c r="A3251" s="13" t="str">
        <f aca="false">IF(עזר!L3251="","",INDEX(עזר!$A$2:$A$5001,עזר!L3251))</f>
        <v/>
      </c>
      <c r="B3251" s="13" t="str">
        <f aca="false">IF(עזר!L3251="","",INDEX(עזר!$B$2:$B$5001,עזר!L3251))</f>
        <v/>
      </c>
      <c r="C3251" s="13" t="str">
        <f aca="false">עזר!M3251</f>
        <v/>
      </c>
    </row>
    <row r="3252" customFormat="false" ht="15" hidden="false" customHeight="false" outlineLevel="0" collapsed="false">
      <c r="A3252" s="13" t="str">
        <f aca="false">IF(עזר!L3252="","",INDEX(עזר!$A$2:$A$5001,עזר!L3252))</f>
        <v/>
      </c>
      <c r="B3252" s="13" t="str">
        <f aca="false">IF(עזר!L3252="","",INDEX(עזר!$B$2:$B$5001,עזר!L3252))</f>
        <v/>
      </c>
      <c r="C3252" s="13" t="str">
        <f aca="false">עזר!M3252</f>
        <v/>
      </c>
    </row>
    <row r="3253" customFormat="false" ht="15" hidden="false" customHeight="false" outlineLevel="0" collapsed="false">
      <c r="A3253" s="13" t="str">
        <f aca="false">IF(עזר!L3253="","",INDEX(עזר!$A$2:$A$5001,עזר!L3253))</f>
        <v/>
      </c>
      <c r="B3253" s="13" t="str">
        <f aca="false">IF(עזר!L3253="","",INDEX(עזר!$B$2:$B$5001,עזר!L3253))</f>
        <v/>
      </c>
      <c r="C3253" s="13" t="str">
        <f aca="false">עזר!M3253</f>
        <v/>
      </c>
    </row>
    <row r="3254" customFormat="false" ht="15" hidden="false" customHeight="false" outlineLevel="0" collapsed="false">
      <c r="A3254" s="13" t="str">
        <f aca="false">IF(עזר!L3254="","",INDEX(עזר!$A$2:$A$5001,עזר!L3254))</f>
        <v/>
      </c>
      <c r="B3254" s="13" t="str">
        <f aca="false">IF(עזר!L3254="","",INDEX(עזר!$B$2:$B$5001,עזר!L3254))</f>
        <v/>
      </c>
      <c r="C3254" s="13" t="str">
        <f aca="false">עזר!M3254</f>
        <v/>
      </c>
    </row>
    <row r="3255" customFormat="false" ht="15" hidden="false" customHeight="false" outlineLevel="0" collapsed="false">
      <c r="A3255" s="13" t="str">
        <f aca="false">IF(עזר!L3255="","",INDEX(עזר!$A$2:$A$5001,עזר!L3255))</f>
        <v/>
      </c>
      <c r="B3255" s="13" t="str">
        <f aca="false">IF(עזר!L3255="","",INDEX(עזר!$B$2:$B$5001,עזר!L3255))</f>
        <v/>
      </c>
      <c r="C3255" s="13" t="str">
        <f aca="false">עזר!M3255</f>
        <v/>
      </c>
    </row>
    <row r="3256" customFormat="false" ht="15" hidden="false" customHeight="false" outlineLevel="0" collapsed="false">
      <c r="A3256" s="13" t="str">
        <f aca="false">IF(עזר!L3256="","",INDEX(עזר!$A$2:$A$5001,עזר!L3256))</f>
        <v/>
      </c>
      <c r="B3256" s="13" t="str">
        <f aca="false">IF(עזר!L3256="","",INDEX(עזר!$B$2:$B$5001,עזר!L3256))</f>
        <v/>
      </c>
      <c r="C3256" s="13" t="str">
        <f aca="false">עזר!M3256</f>
        <v/>
      </c>
    </row>
    <row r="3257" customFormat="false" ht="15" hidden="false" customHeight="false" outlineLevel="0" collapsed="false">
      <c r="A3257" s="13" t="str">
        <f aca="false">IF(עזר!L3257="","",INDEX(עזר!$A$2:$A$5001,עזר!L3257))</f>
        <v/>
      </c>
      <c r="B3257" s="13" t="str">
        <f aca="false">IF(עזר!L3257="","",INDEX(עזר!$B$2:$B$5001,עזר!L3257))</f>
        <v/>
      </c>
      <c r="C3257" s="13" t="str">
        <f aca="false">עזר!M3257</f>
        <v/>
      </c>
    </row>
    <row r="3258" customFormat="false" ht="15" hidden="false" customHeight="false" outlineLevel="0" collapsed="false">
      <c r="A3258" s="13" t="str">
        <f aca="false">IF(עזר!L3258="","",INDEX(עזר!$A$2:$A$5001,עזר!L3258))</f>
        <v/>
      </c>
      <c r="B3258" s="13" t="str">
        <f aca="false">IF(עזר!L3258="","",INDEX(עזר!$B$2:$B$5001,עזר!L3258))</f>
        <v/>
      </c>
      <c r="C3258" s="13" t="str">
        <f aca="false">עזר!M3258</f>
        <v/>
      </c>
    </row>
    <row r="3259" customFormat="false" ht="15" hidden="false" customHeight="false" outlineLevel="0" collapsed="false">
      <c r="A3259" s="13" t="str">
        <f aca="false">IF(עזר!L3259="","",INDEX(עזר!$A$2:$A$5001,עזר!L3259))</f>
        <v/>
      </c>
      <c r="B3259" s="13" t="str">
        <f aca="false">IF(עזר!L3259="","",INDEX(עזר!$B$2:$B$5001,עזר!L3259))</f>
        <v/>
      </c>
      <c r="C3259" s="13" t="str">
        <f aca="false">עזר!M3259</f>
        <v/>
      </c>
    </row>
    <row r="3260" customFormat="false" ht="15" hidden="false" customHeight="false" outlineLevel="0" collapsed="false">
      <c r="A3260" s="13" t="str">
        <f aca="false">IF(עזר!L3260="","",INDEX(עזר!$A$2:$A$5001,עזר!L3260))</f>
        <v/>
      </c>
      <c r="B3260" s="13" t="str">
        <f aca="false">IF(עזר!L3260="","",INDEX(עזר!$B$2:$B$5001,עזר!L3260))</f>
        <v/>
      </c>
      <c r="C3260" s="13" t="str">
        <f aca="false">עזר!M3260</f>
        <v/>
      </c>
    </row>
    <row r="3261" customFormat="false" ht="15" hidden="false" customHeight="false" outlineLevel="0" collapsed="false">
      <c r="A3261" s="13" t="str">
        <f aca="false">IF(עזר!L3261="","",INDEX(עזר!$A$2:$A$5001,עזר!L3261))</f>
        <v/>
      </c>
      <c r="B3261" s="13" t="str">
        <f aca="false">IF(עזר!L3261="","",INDEX(עזר!$B$2:$B$5001,עזר!L3261))</f>
        <v/>
      </c>
      <c r="C3261" s="13" t="str">
        <f aca="false">עזר!M3261</f>
        <v/>
      </c>
    </row>
    <row r="3262" customFormat="false" ht="15" hidden="false" customHeight="false" outlineLevel="0" collapsed="false">
      <c r="A3262" s="13" t="str">
        <f aca="false">IF(עזר!L3262="","",INDEX(עזר!$A$2:$A$5001,עזר!L3262))</f>
        <v/>
      </c>
      <c r="B3262" s="13" t="str">
        <f aca="false">IF(עזר!L3262="","",INDEX(עזר!$B$2:$B$5001,עזר!L3262))</f>
        <v/>
      </c>
      <c r="C3262" s="13" t="str">
        <f aca="false">עזר!M3262</f>
        <v/>
      </c>
    </row>
    <row r="3263" customFormat="false" ht="15" hidden="false" customHeight="false" outlineLevel="0" collapsed="false">
      <c r="A3263" s="13" t="str">
        <f aca="false">IF(עזר!L3263="","",INDEX(עזר!$A$2:$A$5001,עזר!L3263))</f>
        <v/>
      </c>
      <c r="B3263" s="13" t="str">
        <f aca="false">IF(עזר!L3263="","",INDEX(עזר!$B$2:$B$5001,עזר!L3263))</f>
        <v/>
      </c>
      <c r="C3263" s="13" t="str">
        <f aca="false">עזר!M3263</f>
        <v/>
      </c>
    </row>
    <row r="3264" customFormat="false" ht="15" hidden="false" customHeight="false" outlineLevel="0" collapsed="false">
      <c r="A3264" s="13" t="str">
        <f aca="false">IF(עזר!L3264="","",INDEX(עזר!$A$2:$A$5001,עזר!L3264))</f>
        <v/>
      </c>
      <c r="B3264" s="13" t="str">
        <f aca="false">IF(עזר!L3264="","",INDEX(עזר!$B$2:$B$5001,עזר!L3264))</f>
        <v/>
      </c>
      <c r="C3264" s="13" t="str">
        <f aca="false">עזר!M3264</f>
        <v/>
      </c>
    </row>
    <row r="3265" customFormat="false" ht="15" hidden="false" customHeight="false" outlineLevel="0" collapsed="false">
      <c r="A3265" s="13" t="str">
        <f aca="false">IF(עזר!L3265="","",INDEX(עזר!$A$2:$A$5001,עזר!L3265))</f>
        <v/>
      </c>
      <c r="B3265" s="13" t="str">
        <f aca="false">IF(עזר!L3265="","",INDEX(עזר!$B$2:$B$5001,עזר!L3265))</f>
        <v/>
      </c>
      <c r="C3265" s="13" t="str">
        <f aca="false">עזר!M3265</f>
        <v/>
      </c>
    </row>
    <row r="3266" customFormat="false" ht="15" hidden="false" customHeight="false" outlineLevel="0" collapsed="false">
      <c r="A3266" s="13" t="str">
        <f aca="false">IF(עזר!L3266="","",INDEX(עזר!$A$2:$A$5001,עזר!L3266))</f>
        <v/>
      </c>
      <c r="B3266" s="13" t="str">
        <f aca="false">IF(עזר!L3266="","",INDEX(עזר!$B$2:$B$5001,עזר!L3266))</f>
        <v/>
      </c>
      <c r="C3266" s="13" t="str">
        <f aca="false">עזר!M3266</f>
        <v/>
      </c>
    </row>
    <row r="3267" customFormat="false" ht="15" hidden="false" customHeight="false" outlineLevel="0" collapsed="false">
      <c r="A3267" s="13" t="str">
        <f aca="false">IF(עזר!L3267="","",INDEX(עזר!$A$2:$A$5001,עזר!L3267))</f>
        <v/>
      </c>
      <c r="B3267" s="13" t="str">
        <f aca="false">IF(עזר!L3267="","",INDEX(עזר!$B$2:$B$5001,עזר!L3267))</f>
        <v/>
      </c>
      <c r="C3267" s="13" t="str">
        <f aca="false">עזר!M3267</f>
        <v/>
      </c>
    </row>
    <row r="3268" customFormat="false" ht="15" hidden="false" customHeight="false" outlineLevel="0" collapsed="false">
      <c r="A3268" s="13" t="str">
        <f aca="false">IF(עזר!L3268="","",INDEX(עזר!$A$2:$A$5001,עזר!L3268))</f>
        <v/>
      </c>
      <c r="B3268" s="13" t="str">
        <f aca="false">IF(עזר!L3268="","",INDEX(עזר!$B$2:$B$5001,עזר!L3268))</f>
        <v/>
      </c>
      <c r="C3268" s="13" t="str">
        <f aca="false">עזר!M3268</f>
        <v/>
      </c>
    </row>
    <row r="3269" customFormat="false" ht="15" hidden="false" customHeight="false" outlineLevel="0" collapsed="false">
      <c r="A3269" s="13" t="str">
        <f aca="false">IF(עזר!L3269="","",INDEX(עזר!$A$2:$A$5001,עזר!L3269))</f>
        <v/>
      </c>
      <c r="B3269" s="13" t="str">
        <f aca="false">IF(עזר!L3269="","",INDEX(עזר!$B$2:$B$5001,עזר!L3269))</f>
        <v/>
      </c>
      <c r="C3269" s="13" t="str">
        <f aca="false">עזר!M3269</f>
        <v/>
      </c>
    </row>
    <row r="3270" customFormat="false" ht="15" hidden="false" customHeight="false" outlineLevel="0" collapsed="false">
      <c r="A3270" s="13" t="str">
        <f aca="false">IF(עזר!L3270="","",INDEX(עזר!$A$2:$A$5001,עזר!L3270))</f>
        <v/>
      </c>
      <c r="B3270" s="13" t="str">
        <f aca="false">IF(עזר!L3270="","",INDEX(עזר!$B$2:$B$5001,עזר!L3270))</f>
        <v/>
      </c>
      <c r="C3270" s="13" t="str">
        <f aca="false">עזר!M3270</f>
        <v/>
      </c>
    </row>
    <row r="3271" customFormat="false" ht="15" hidden="false" customHeight="false" outlineLevel="0" collapsed="false">
      <c r="A3271" s="13" t="str">
        <f aca="false">IF(עזר!L3271="","",INDEX(עזר!$A$2:$A$5001,עזר!L3271))</f>
        <v/>
      </c>
      <c r="B3271" s="13" t="str">
        <f aca="false">IF(עזר!L3271="","",INDEX(עזר!$B$2:$B$5001,עזר!L3271))</f>
        <v/>
      </c>
      <c r="C3271" s="13" t="str">
        <f aca="false">עזר!M3271</f>
        <v/>
      </c>
    </row>
    <row r="3272" customFormat="false" ht="15" hidden="false" customHeight="false" outlineLevel="0" collapsed="false">
      <c r="A3272" s="13" t="str">
        <f aca="false">IF(עזר!L3272="","",INDEX(עזר!$A$2:$A$5001,עזר!L3272))</f>
        <v/>
      </c>
      <c r="B3272" s="13" t="str">
        <f aca="false">IF(עזר!L3272="","",INDEX(עזר!$B$2:$B$5001,עזר!L3272))</f>
        <v/>
      </c>
      <c r="C3272" s="13" t="str">
        <f aca="false">עזר!M3272</f>
        <v/>
      </c>
    </row>
    <row r="3273" customFormat="false" ht="15" hidden="false" customHeight="false" outlineLevel="0" collapsed="false">
      <c r="A3273" s="13" t="str">
        <f aca="false">IF(עזר!L3273="","",INDEX(עזר!$A$2:$A$5001,עזר!L3273))</f>
        <v/>
      </c>
      <c r="B3273" s="13" t="str">
        <f aca="false">IF(עזר!L3273="","",INDEX(עזר!$B$2:$B$5001,עזר!L3273))</f>
        <v/>
      </c>
      <c r="C3273" s="13" t="str">
        <f aca="false">עזר!M3273</f>
        <v/>
      </c>
    </row>
    <row r="3274" customFormat="false" ht="15" hidden="false" customHeight="false" outlineLevel="0" collapsed="false">
      <c r="A3274" s="13" t="str">
        <f aca="false">IF(עזר!L3274="","",INDEX(עזר!$A$2:$A$5001,עזר!L3274))</f>
        <v/>
      </c>
      <c r="B3274" s="13" t="str">
        <f aca="false">IF(עזר!L3274="","",INDEX(עזר!$B$2:$B$5001,עזר!L3274))</f>
        <v/>
      </c>
      <c r="C3274" s="13" t="str">
        <f aca="false">עזר!M3274</f>
        <v/>
      </c>
    </row>
    <row r="3275" customFormat="false" ht="15" hidden="false" customHeight="false" outlineLevel="0" collapsed="false">
      <c r="A3275" s="13" t="str">
        <f aca="false">IF(עזר!L3275="","",INDEX(עזר!$A$2:$A$5001,עזר!L3275))</f>
        <v/>
      </c>
      <c r="B3275" s="13" t="str">
        <f aca="false">IF(עזר!L3275="","",INDEX(עזר!$B$2:$B$5001,עזר!L3275))</f>
        <v/>
      </c>
      <c r="C3275" s="13" t="str">
        <f aca="false">עזר!M3275</f>
        <v/>
      </c>
    </row>
    <row r="3276" customFormat="false" ht="15" hidden="false" customHeight="false" outlineLevel="0" collapsed="false">
      <c r="A3276" s="13" t="str">
        <f aca="false">IF(עזר!L3276="","",INDEX(עזר!$A$2:$A$5001,עזר!L3276))</f>
        <v/>
      </c>
      <c r="B3276" s="13" t="str">
        <f aca="false">IF(עזר!L3276="","",INDEX(עזר!$B$2:$B$5001,עזר!L3276))</f>
        <v/>
      </c>
      <c r="C3276" s="13" t="str">
        <f aca="false">עזר!M3276</f>
        <v/>
      </c>
    </row>
    <row r="3277" customFormat="false" ht="15" hidden="false" customHeight="false" outlineLevel="0" collapsed="false">
      <c r="A3277" s="13" t="str">
        <f aca="false">IF(עזר!L3277="","",INDEX(עזר!$A$2:$A$5001,עזר!L3277))</f>
        <v/>
      </c>
      <c r="B3277" s="13" t="str">
        <f aca="false">IF(עזר!L3277="","",INDEX(עזר!$B$2:$B$5001,עזר!L3277))</f>
        <v/>
      </c>
      <c r="C3277" s="13" t="str">
        <f aca="false">עזר!M3277</f>
        <v/>
      </c>
    </row>
    <row r="3278" customFormat="false" ht="15" hidden="false" customHeight="false" outlineLevel="0" collapsed="false">
      <c r="A3278" s="13" t="str">
        <f aca="false">IF(עזר!L3278="","",INDEX(עזר!$A$2:$A$5001,עזר!L3278))</f>
        <v/>
      </c>
      <c r="B3278" s="13" t="str">
        <f aca="false">IF(עזר!L3278="","",INDEX(עזר!$B$2:$B$5001,עזר!L3278))</f>
        <v/>
      </c>
      <c r="C3278" s="13" t="str">
        <f aca="false">עזר!M3278</f>
        <v/>
      </c>
    </row>
    <row r="3279" customFormat="false" ht="15" hidden="false" customHeight="false" outlineLevel="0" collapsed="false">
      <c r="A3279" s="13" t="str">
        <f aca="false">IF(עזר!L3279="","",INDEX(עזר!$A$2:$A$5001,עזר!L3279))</f>
        <v/>
      </c>
      <c r="B3279" s="13" t="str">
        <f aca="false">IF(עזר!L3279="","",INDEX(עזר!$B$2:$B$5001,עזר!L3279))</f>
        <v/>
      </c>
      <c r="C3279" s="13" t="str">
        <f aca="false">עזר!M3279</f>
        <v/>
      </c>
    </row>
    <row r="3280" customFormat="false" ht="15" hidden="false" customHeight="false" outlineLevel="0" collapsed="false">
      <c r="A3280" s="13" t="str">
        <f aca="false">IF(עזר!L3280="","",INDEX(עזר!$A$2:$A$5001,עזר!L3280))</f>
        <v/>
      </c>
      <c r="B3280" s="13" t="str">
        <f aca="false">IF(עזר!L3280="","",INDEX(עזר!$B$2:$B$5001,עזר!L3280))</f>
        <v/>
      </c>
      <c r="C3280" s="13" t="str">
        <f aca="false">עזר!M3280</f>
        <v/>
      </c>
    </row>
    <row r="3281" customFormat="false" ht="15" hidden="false" customHeight="false" outlineLevel="0" collapsed="false">
      <c r="A3281" s="13" t="str">
        <f aca="false">IF(עזר!L3281="","",INDEX(עזר!$A$2:$A$5001,עזר!L3281))</f>
        <v/>
      </c>
      <c r="B3281" s="13" t="str">
        <f aca="false">IF(עזר!L3281="","",INDEX(עזר!$B$2:$B$5001,עזר!L3281))</f>
        <v/>
      </c>
      <c r="C3281" s="13" t="str">
        <f aca="false">עזר!M3281</f>
        <v/>
      </c>
    </row>
    <row r="3282" customFormat="false" ht="15" hidden="false" customHeight="false" outlineLevel="0" collapsed="false">
      <c r="A3282" s="13" t="str">
        <f aca="false">IF(עזר!L3282="","",INDEX(עזר!$A$2:$A$5001,עזר!L3282))</f>
        <v/>
      </c>
      <c r="B3282" s="13" t="str">
        <f aca="false">IF(עזר!L3282="","",INDEX(עזר!$B$2:$B$5001,עזר!L3282))</f>
        <v/>
      </c>
      <c r="C3282" s="13" t="str">
        <f aca="false">עזר!M3282</f>
        <v/>
      </c>
    </row>
    <row r="3283" customFormat="false" ht="15" hidden="false" customHeight="false" outlineLevel="0" collapsed="false">
      <c r="A3283" s="13" t="str">
        <f aca="false">IF(עזר!L3283="","",INDEX(עזר!$A$2:$A$5001,עזר!L3283))</f>
        <v/>
      </c>
      <c r="B3283" s="13" t="str">
        <f aca="false">IF(עזר!L3283="","",INDEX(עזר!$B$2:$B$5001,עזר!L3283))</f>
        <v/>
      </c>
      <c r="C3283" s="13" t="str">
        <f aca="false">עזר!M3283</f>
        <v/>
      </c>
    </row>
    <row r="3284" customFormat="false" ht="15" hidden="false" customHeight="false" outlineLevel="0" collapsed="false">
      <c r="A3284" s="13" t="str">
        <f aca="false">IF(עזר!L3284="","",INDEX(עזר!$A$2:$A$5001,עזר!L3284))</f>
        <v/>
      </c>
      <c r="B3284" s="13" t="str">
        <f aca="false">IF(עזר!L3284="","",INDEX(עזר!$B$2:$B$5001,עזר!L3284))</f>
        <v/>
      </c>
      <c r="C3284" s="13" t="str">
        <f aca="false">עזר!M3284</f>
        <v/>
      </c>
    </row>
    <row r="3285" customFormat="false" ht="15" hidden="false" customHeight="false" outlineLevel="0" collapsed="false">
      <c r="A3285" s="13" t="str">
        <f aca="false">IF(עזר!L3285="","",INDEX(עזר!$A$2:$A$5001,עזר!L3285))</f>
        <v/>
      </c>
      <c r="B3285" s="13" t="str">
        <f aca="false">IF(עזר!L3285="","",INDEX(עזר!$B$2:$B$5001,עזר!L3285))</f>
        <v/>
      </c>
      <c r="C3285" s="13" t="str">
        <f aca="false">עזר!M3285</f>
        <v/>
      </c>
    </row>
    <row r="3286" customFormat="false" ht="15" hidden="false" customHeight="false" outlineLevel="0" collapsed="false">
      <c r="A3286" s="13" t="str">
        <f aca="false">IF(עזר!L3286="","",INDEX(עזר!$A$2:$A$5001,עזר!L3286))</f>
        <v/>
      </c>
      <c r="B3286" s="13" t="str">
        <f aca="false">IF(עזר!L3286="","",INDEX(עזר!$B$2:$B$5001,עזר!L3286))</f>
        <v/>
      </c>
      <c r="C3286" s="13" t="str">
        <f aca="false">עזר!M3286</f>
        <v/>
      </c>
    </row>
    <row r="3287" customFormat="false" ht="15" hidden="false" customHeight="false" outlineLevel="0" collapsed="false">
      <c r="A3287" s="13" t="str">
        <f aca="false">IF(עזר!L3287="","",INDEX(עזר!$A$2:$A$5001,עזר!L3287))</f>
        <v/>
      </c>
      <c r="B3287" s="13" t="str">
        <f aca="false">IF(עזר!L3287="","",INDEX(עזר!$B$2:$B$5001,עזר!L3287))</f>
        <v/>
      </c>
      <c r="C3287" s="13" t="str">
        <f aca="false">עזר!M3287</f>
        <v/>
      </c>
    </row>
    <row r="3288" customFormat="false" ht="15" hidden="false" customHeight="false" outlineLevel="0" collapsed="false">
      <c r="A3288" s="13" t="str">
        <f aca="false">IF(עזר!L3288="","",INDEX(עזר!$A$2:$A$5001,עזר!L3288))</f>
        <v/>
      </c>
      <c r="B3288" s="13" t="str">
        <f aca="false">IF(עזר!L3288="","",INDEX(עזר!$B$2:$B$5001,עזר!L3288))</f>
        <v/>
      </c>
      <c r="C3288" s="13" t="str">
        <f aca="false">עזר!M3288</f>
        <v/>
      </c>
    </row>
    <row r="3289" customFormat="false" ht="15" hidden="false" customHeight="false" outlineLevel="0" collapsed="false">
      <c r="A3289" s="13" t="str">
        <f aca="false">IF(עזר!L3289="","",INDEX(עזר!$A$2:$A$5001,עזר!L3289))</f>
        <v/>
      </c>
      <c r="B3289" s="13" t="str">
        <f aca="false">IF(עזר!L3289="","",INDEX(עזר!$B$2:$B$5001,עזר!L3289))</f>
        <v/>
      </c>
      <c r="C3289" s="13" t="str">
        <f aca="false">עזר!M3289</f>
        <v/>
      </c>
    </row>
    <row r="3290" customFormat="false" ht="15" hidden="false" customHeight="false" outlineLevel="0" collapsed="false">
      <c r="A3290" s="13" t="str">
        <f aca="false">IF(עזר!L3290="","",INDEX(עזר!$A$2:$A$5001,עזר!L3290))</f>
        <v/>
      </c>
      <c r="B3290" s="13" t="str">
        <f aca="false">IF(עזר!L3290="","",INDEX(עזר!$B$2:$B$5001,עזר!L3290))</f>
        <v/>
      </c>
      <c r="C3290" s="13" t="str">
        <f aca="false">עזר!M3290</f>
        <v/>
      </c>
    </row>
    <row r="3291" customFormat="false" ht="15" hidden="false" customHeight="false" outlineLevel="0" collapsed="false">
      <c r="A3291" s="13" t="str">
        <f aca="false">IF(עזר!L3291="","",INDEX(עזר!$A$2:$A$5001,עזר!L3291))</f>
        <v/>
      </c>
      <c r="B3291" s="13" t="str">
        <f aca="false">IF(עזר!L3291="","",INDEX(עזר!$B$2:$B$5001,עזר!L3291))</f>
        <v/>
      </c>
      <c r="C3291" s="13" t="str">
        <f aca="false">עזר!M3291</f>
        <v/>
      </c>
    </row>
    <row r="3292" customFormat="false" ht="15" hidden="false" customHeight="false" outlineLevel="0" collapsed="false">
      <c r="A3292" s="13" t="str">
        <f aca="false">IF(עזר!L3292="","",INDEX(עזר!$A$2:$A$5001,עזר!L3292))</f>
        <v/>
      </c>
      <c r="B3292" s="13" t="str">
        <f aca="false">IF(עזר!L3292="","",INDEX(עזר!$B$2:$B$5001,עזר!L3292))</f>
        <v/>
      </c>
      <c r="C3292" s="13" t="str">
        <f aca="false">עזר!M3292</f>
        <v/>
      </c>
    </row>
    <row r="3293" customFormat="false" ht="15" hidden="false" customHeight="false" outlineLevel="0" collapsed="false">
      <c r="A3293" s="13" t="str">
        <f aca="false">IF(עזר!L3293="","",INDEX(עזר!$A$2:$A$5001,עזר!L3293))</f>
        <v/>
      </c>
      <c r="B3293" s="13" t="str">
        <f aca="false">IF(עזר!L3293="","",INDEX(עזר!$B$2:$B$5001,עזר!L3293))</f>
        <v/>
      </c>
      <c r="C3293" s="13" t="str">
        <f aca="false">עזר!M3293</f>
        <v/>
      </c>
    </row>
    <row r="3294" customFormat="false" ht="15" hidden="false" customHeight="false" outlineLevel="0" collapsed="false">
      <c r="A3294" s="13" t="str">
        <f aca="false">IF(עזר!L3294="","",INDEX(עזר!$A$2:$A$5001,עזר!L3294))</f>
        <v/>
      </c>
      <c r="B3294" s="13" t="str">
        <f aca="false">IF(עזר!L3294="","",INDEX(עזר!$B$2:$B$5001,עזר!L3294))</f>
        <v/>
      </c>
      <c r="C3294" s="13" t="str">
        <f aca="false">עזר!M3294</f>
        <v/>
      </c>
    </row>
    <row r="3295" customFormat="false" ht="15" hidden="false" customHeight="false" outlineLevel="0" collapsed="false">
      <c r="A3295" s="13" t="str">
        <f aca="false">IF(עזר!L3295="","",INDEX(עזר!$A$2:$A$5001,עזר!L3295))</f>
        <v/>
      </c>
      <c r="B3295" s="13" t="str">
        <f aca="false">IF(עזר!L3295="","",INDEX(עזר!$B$2:$B$5001,עזר!L3295))</f>
        <v/>
      </c>
      <c r="C3295" s="13" t="str">
        <f aca="false">עזר!M3295</f>
        <v/>
      </c>
    </row>
    <row r="3296" customFormat="false" ht="15" hidden="false" customHeight="false" outlineLevel="0" collapsed="false">
      <c r="A3296" s="13" t="str">
        <f aca="false">IF(עזר!L3296="","",INDEX(עזר!$A$2:$A$5001,עזר!L3296))</f>
        <v/>
      </c>
      <c r="B3296" s="13" t="str">
        <f aca="false">IF(עזר!L3296="","",INDEX(עזר!$B$2:$B$5001,עזר!L3296))</f>
        <v/>
      </c>
      <c r="C3296" s="13" t="str">
        <f aca="false">עזר!M3296</f>
        <v/>
      </c>
    </row>
    <row r="3297" customFormat="false" ht="15" hidden="false" customHeight="false" outlineLevel="0" collapsed="false">
      <c r="A3297" s="13" t="str">
        <f aca="false">IF(עזר!L3297="","",INDEX(עזר!$A$2:$A$5001,עזר!L3297))</f>
        <v/>
      </c>
      <c r="B3297" s="13" t="str">
        <f aca="false">IF(עזר!L3297="","",INDEX(עזר!$B$2:$B$5001,עזר!L3297))</f>
        <v/>
      </c>
      <c r="C3297" s="13" t="str">
        <f aca="false">עזר!M3297</f>
        <v/>
      </c>
    </row>
    <row r="3298" customFormat="false" ht="15" hidden="false" customHeight="false" outlineLevel="0" collapsed="false">
      <c r="A3298" s="13" t="str">
        <f aca="false">IF(עזר!L3298="","",INDEX(עזר!$A$2:$A$5001,עזר!L3298))</f>
        <v/>
      </c>
      <c r="B3298" s="13" t="str">
        <f aca="false">IF(עזר!L3298="","",INDEX(עזר!$B$2:$B$5001,עזר!L3298))</f>
        <v/>
      </c>
      <c r="C3298" s="13" t="str">
        <f aca="false">עזר!M3298</f>
        <v/>
      </c>
    </row>
    <row r="3299" customFormat="false" ht="15" hidden="false" customHeight="false" outlineLevel="0" collapsed="false">
      <c r="A3299" s="13" t="str">
        <f aca="false">IF(עזר!L3299="","",INDEX(עזר!$A$2:$A$5001,עזר!L3299))</f>
        <v/>
      </c>
      <c r="B3299" s="13" t="str">
        <f aca="false">IF(עזר!L3299="","",INDEX(עזר!$B$2:$B$5001,עזר!L3299))</f>
        <v/>
      </c>
      <c r="C3299" s="13" t="str">
        <f aca="false">עזר!M3299</f>
        <v/>
      </c>
    </row>
    <row r="3300" customFormat="false" ht="15" hidden="false" customHeight="false" outlineLevel="0" collapsed="false">
      <c r="A3300" s="13" t="str">
        <f aca="false">IF(עזר!L3300="","",INDEX(עזר!$A$2:$A$5001,עזר!L3300))</f>
        <v/>
      </c>
      <c r="B3300" s="13" t="str">
        <f aca="false">IF(עזר!L3300="","",INDEX(עזר!$B$2:$B$5001,עזר!L3300))</f>
        <v/>
      </c>
      <c r="C3300" s="13" t="str">
        <f aca="false">עזר!M3300</f>
        <v/>
      </c>
    </row>
    <row r="3301" customFormat="false" ht="15" hidden="false" customHeight="false" outlineLevel="0" collapsed="false">
      <c r="A3301" s="13" t="str">
        <f aca="false">IF(עזר!L3301="","",INDEX(עזר!$A$2:$A$5001,עזר!L3301))</f>
        <v/>
      </c>
      <c r="B3301" s="13" t="str">
        <f aca="false">IF(עזר!L3301="","",INDEX(עזר!$B$2:$B$5001,עזר!L3301))</f>
        <v/>
      </c>
      <c r="C3301" s="13" t="str">
        <f aca="false">עזר!M3301</f>
        <v/>
      </c>
    </row>
    <row r="3302" customFormat="false" ht="15" hidden="false" customHeight="false" outlineLevel="0" collapsed="false">
      <c r="A3302" s="13" t="str">
        <f aca="false">IF(עזר!L3302="","",INDEX(עזר!$A$2:$A$5001,עזר!L3302))</f>
        <v/>
      </c>
      <c r="B3302" s="13" t="str">
        <f aca="false">IF(עזר!L3302="","",INDEX(עזר!$B$2:$B$5001,עזר!L3302))</f>
        <v/>
      </c>
      <c r="C3302" s="13" t="str">
        <f aca="false">עזר!M3302</f>
        <v/>
      </c>
    </row>
    <row r="3303" customFormat="false" ht="15" hidden="false" customHeight="false" outlineLevel="0" collapsed="false">
      <c r="A3303" s="13" t="str">
        <f aca="false">IF(עזר!L3303="","",INDEX(עזר!$A$2:$A$5001,עזר!L3303))</f>
        <v/>
      </c>
      <c r="B3303" s="13" t="str">
        <f aca="false">IF(עזר!L3303="","",INDEX(עזר!$B$2:$B$5001,עזר!L3303))</f>
        <v/>
      </c>
      <c r="C3303" s="13" t="str">
        <f aca="false">עזר!M3303</f>
        <v/>
      </c>
    </row>
    <row r="3304" customFormat="false" ht="15" hidden="false" customHeight="false" outlineLevel="0" collapsed="false">
      <c r="A3304" s="13" t="str">
        <f aca="false">IF(עזר!L3304="","",INDEX(עזר!$A$2:$A$5001,עזר!L3304))</f>
        <v/>
      </c>
      <c r="B3304" s="13" t="str">
        <f aca="false">IF(עזר!L3304="","",INDEX(עזר!$B$2:$B$5001,עזר!L3304))</f>
        <v/>
      </c>
      <c r="C3304" s="13" t="str">
        <f aca="false">עזר!M3304</f>
        <v/>
      </c>
    </row>
    <row r="3305" customFormat="false" ht="15" hidden="false" customHeight="false" outlineLevel="0" collapsed="false">
      <c r="A3305" s="13" t="str">
        <f aca="false">IF(עזר!L3305="","",INDEX(עזר!$A$2:$A$5001,עזר!L3305))</f>
        <v/>
      </c>
      <c r="B3305" s="13" t="str">
        <f aca="false">IF(עזר!L3305="","",INDEX(עזר!$B$2:$B$5001,עזר!L3305))</f>
        <v/>
      </c>
      <c r="C3305" s="13" t="str">
        <f aca="false">עזר!M3305</f>
        <v/>
      </c>
    </row>
    <row r="3306" customFormat="false" ht="15" hidden="false" customHeight="false" outlineLevel="0" collapsed="false">
      <c r="A3306" s="13" t="str">
        <f aca="false">IF(עזר!L3306="","",INDEX(עזר!$A$2:$A$5001,עזר!L3306))</f>
        <v/>
      </c>
      <c r="B3306" s="13" t="str">
        <f aca="false">IF(עזר!L3306="","",INDEX(עזר!$B$2:$B$5001,עזר!L3306))</f>
        <v/>
      </c>
      <c r="C3306" s="13" t="str">
        <f aca="false">עזר!M3306</f>
        <v/>
      </c>
    </row>
    <row r="3307" customFormat="false" ht="15" hidden="false" customHeight="false" outlineLevel="0" collapsed="false">
      <c r="A3307" s="13" t="str">
        <f aca="false">IF(עזר!L3307="","",INDEX(עזר!$A$2:$A$5001,עזר!L3307))</f>
        <v/>
      </c>
      <c r="B3307" s="13" t="str">
        <f aca="false">IF(עזר!L3307="","",INDEX(עזר!$B$2:$B$5001,עזר!L3307))</f>
        <v/>
      </c>
      <c r="C3307" s="13" t="str">
        <f aca="false">עזר!M3307</f>
        <v/>
      </c>
    </row>
    <row r="3308" customFormat="false" ht="15" hidden="false" customHeight="false" outlineLevel="0" collapsed="false">
      <c r="A3308" s="13" t="str">
        <f aca="false">IF(עזר!L3308="","",INDEX(עזר!$A$2:$A$5001,עזר!L3308))</f>
        <v/>
      </c>
      <c r="B3308" s="13" t="str">
        <f aca="false">IF(עזר!L3308="","",INDEX(עזר!$B$2:$B$5001,עזר!L3308))</f>
        <v/>
      </c>
      <c r="C3308" s="13" t="str">
        <f aca="false">עזר!M3308</f>
        <v/>
      </c>
    </row>
    <row r="3309" customFormat="false" ht="15" hidden="false" customHeight="false" outlineLevel="0" collapsed="false">
      <c r="A3309" s="13" t="str">
        <f aca="false">IF(עזר!L3309="","",INDEX(עזר!$A$2:$A$5001,עזר!L3309))</f>
        <v/>
      </c>
      <c r="B3309" s="13" t="str">
        <f aca="false">IF(עזר!L3309="","",INDEX(עזר!$B$2:$B$5001,עזר!L3309))</f>
        <v/>
      </c>
      <c r="C3309" s="13" t="str">
        <f aca="false">עזר!M3309</f>
        <v/>
      </c>
    </row>
    <row r="3310" customFormat="false" ht="15" hidden="false" customHeight="false" outlineLevel="0" collapsed="false">
      <c r="A3310" s="13" t="str">
        <f aca="false">IF(עזר!L3310="","",INDEX(עזר!$A$2:$A$5001,עזר!L3310))</f>
        <v/>
      </c>
      <c r="B3310" s="13" t="str">
        <f aca="false">IF(עזר!L3310="","",INDEX(עזר!$B$2:$B$5001,עזר!L3310))</f>
        <v/>
      </c>
      <c r="C3310" s="13" t="str">
        <f aca="false">עזר!M3310</f>
        <v/>
      </c>
    </row>
    <row r="3311" customFormat="false" ht="15" hidden="false" customHeight="false" outlineLevel="0" collapsed="false">
      <c r="A3311" s="13" t="str">
        <f aca="false">IF(עזר!L3311="","",INDEX(עזר!$A$2:$A$5001,עזר!L3311))</f>
        <v/>
      </c>
      <c r="B3311" s="13" t="str">
        <f aca="false">IF(עזר!L3311="","",INDEX(עזר!$B$2:$B$5001,עזר!L3311))</f>
        <v/>
      </c>
      <c r="C3311" s="13" t="str">
        <f aca="false">עזר!M3311</f>
        <v/>
      </c>
    </row>
    <row r="3312" customFormat="false" ht="15" hidden="false" customHeight="false" outlineLevel="0" collapsed="false">
      <c r="A3312" s="13" t="str">
        <f aca="false">IF(עזר!L3312="","",INDEX(עזר!$A$2:$A$5001,עזר!L3312))</f>
        <v/>
      </c>
      <c r="B3312" s="13" t="str">
        <f aca="false">IF(עזר!L3312="","",INDEX(עזר!$B$2:$B$5001,עזר!L3312))</f>
        <v/>
      </c>
      <c r="C3312" s="13" t="str">
        <f aca="false">עזר!M3312</f>
        <v/>
      </c>
    </row>
    <row r="3313" customFormat="false" ht="15" hidden="false" customHeight="false" outlineLevel="0" collapsed="false">
      <c r="A3313" s="13" t="str">
        <f aca="false">IF(עזר!L3313="","",INDEX(עזר!$A$2:$A$5001,עזר!L3313))</f>
        <v/>
      </c>
      <c r="B3313" s="13" t="str">
        <f aca="false">IF(עזר!L3313="","",INDEX(עזר!$B$2:$B$5001,עזר!L3313))</f>
        <v/>
      </c>
      <c r="C3313" s="13" t="str">
        <f aca="false">עזר!M3313</f>
        <v/>
      </c>
    </row>
    <row r="3314" customFormat="false" ht="15" hidden="false" customHeight="false" outlineLevel="0" collapsed="false">
      <c r="A3314" s="13" t="str">
        <f aca="false">IF(עזר!L3314="","",INDEX(עזר!$A$2:$A$5001,עזר!L3314))</f>
        <v/>
      </c>
      <c r="B3314" s="13" t="str">
        <f aca="false">IF(עזר!L3314="","",INDEX(עזר!$B$2:$B$5001,עזר!L3314))</f>
        <v/>
      </c>
      <c r="C3314" s="13" t="str">
        <f aca="false">עזר!M3314</f>
        <v/>
      </c>
    </row>
    <row r="3315" customFormat="false" ht="15" hidden="false" customHeight="false" outlineLevel="0" collapsed="false">
      <c r="A3315" s="13" t="str">
        <f aca="false">IF(עזר!L3315="","",INDEX(עזר!$A$2:$A$5001,עזר!L3315))</f>
        <v/>
      </c>
      <c r="B3315" s="13" t="str">
        <f aca="false">IF(עזר!L3315="","",INDEX(עזר!$B$2:$B$5001,עזר!L3315))</f>
        <v/>
      </c>
      <c r="C3315" s="13" t="str">
        <f aca="false">עזר!M3315</f>
        <v/>
      </c>
    </row>
    <row r="3316" customFormat="false" ht="15" hidden="false" customHeight="false" outlineLevel="0" collapsed="false">
      <c r="A3316" s="13" t="str">
        <f aca="false">IF(עזר!L3316="","",INDEX(עזר!$A$2:$A$5001,עזר!L3316))</f>
        <v/>
      </c>
      <c r="B3316" s="13" t="str">
        <f aca="false">IF(עזר!L3316="","",INDEX(עזר!$B$2:$B$5001,עזר!L3316))</f>
        <v/>
      </c>
      <c r="C3316" s="13" t="str">
        <f aca="false">עזר!M3316</f>
        <v/>
      </c>
    </row>
    <row r="3317" customFormat="false" ht="15" hidden="false" customHeight="false" outlineLevel="0" collapsed="false">
      <c r="A3317" s="13" t="str">
        <f aca="false">IF(עזר!L3317="","",INDEX(עזר!$A$2:$A$5001,עזר!L3317))</f>
        <v/>
      </c>
      <c r="B3317" s="13" t="str">
        <f aca="false">IF(עזר!L3317="","",INDEX(עזר!$B$2:$B$5001,עזר!L3317))</f>
        <v/>
      </c>
      <c r="C3317" s="13" t="str">
        <f aca="false">עזר!M3317</f>
        <v/>
      </c>
    </row>
    <row r="3318" customFormat="false" ht="15" hidden="false" customHeight="false" outlineLevel="0" collapsed="false">
      <c r="A3318" s="13" t="str">
        <f aca="false">IF(עזר!L3318="","",INDEX(עזר!$A$2:$A$5001,עזר!L3318))</f>
        <v/>
      </c>
      <c r="B3318" s="13" t="str">
        <f aca="false">IF(עזר!L3318="","",INDEX(עזר!$B$2:$B$5001,עזר!L3318))</f>
        <v/>
      </c>
      <c r="C3318" s="13" t="str">
        <f aca="false">עזר!M3318</f>
        <v/>
      </c>
    </row>
    <row r="3319" customFormat="false" ht="15" hidden="false" customHeight="false" outlineLevel="0" collapsed="false">
      <c r="A3319" s="13" t="str">
        <f aca="false">IF(עזר!L3319="","",INDEX(עזר!$A$2:$A$5001,עזר!L3319))</f>
        <v/>
      </c>
      <c r="B3319" s="13" t="str">
        <f aca="false">IF(עזר!L3319="","",INDEX(עזר!$B$2:$B$5001,עזר!L3319))</f>
        <v/>
      </c>
      <c r="C3319" s="13" t="str">
        <f aca="false">עזר!M3319</f>
        <v/>
      </c>
    </row>
    <row r="3320" customFormat="false" ht="15" hidden="false" customHeight="false" outlineLevel="0" collapsed="false">
      <c r="A3320" s="13" t="str">
        <f aca="false">IF(עזר!L3320="","",INDEX(עזר!$A$2:$A$5001,עזר!L3320))</f>
        <v/>
      </c>
      <c r="B3320" s="13" t="str">
        <f aca="false">IF(עזר!L3320="","",INDEX(עזר!$B$2:$B$5001,עזר!L3320))</f>
        <v/>
      </c>
      <c r="C3320" s="13" t="str">
        <f aca="false">עזר!M3320</f>
        <v/>
      </c>
    </row>
    <row r="3321" customFormat="false" ht="15" hidden="false" customHeight="false" outlineLevel="0" collapsed="false">
      <c r="A3321" s="13" t="str">
        <f aca="false">IF(עזר!L3321="","",INDEX(עזר!$A$2:$A$5001,עזר!L3321))</f>
        <v/>
      </c>
      <c r="B3321" s="13" t="str">
        <f aca="false">IF(עזר!L3321="","",INDEX(עזר!$B$2:$B$5001,עזר!L3321))</f>
        <v/>
      </c>
      <c r="C3321" s="13" t="str">
        <f aca="false">עזר!M3321</f>
        <v/>
      </c>
    </row>
    <row r="3322" customFormat="false" ht="15" hidden="false" customHeight="false" outlineLevel="0" collapsed="false">
      <c r="A3322" s="13" t="str">
        <f aca="false">IF(עזר!L3322="","",INDEX(עזר!$A$2:$A$5001,עזר!L3322))</f>
        <v/>
      </c>
      <c r="B3322" s="13" t="str">
        <f aca="false">IF(עזר!L3322="","",INDEX(עזר!$B$2:$B$5001,עזר!L3322))</f>
        <v/>
      </c>
      <c r="C3322" s="13" t="str">
        <f aca="false">עזר!M3322</f>
        <v/>
      </c>
    </row>
    <row r="3323" customFormat="false" ht="15" hidden="false" customHeight="false" outlineLevel="0" collapsed="false">
      <c r="A3323" s="13" t="str">
        <f aca="false">IF(עזר!L3323="","",INDEX(עזר!$A$2:$A$5001,עזר!L3323))</f>
        <v/>
      </c>
      <c r="B3323" s="13" t="str">
        <f aca="false">IF(עזר!L3323="","",INDEX(עזר!$B$2:$B$5001,עזר!L3323))</f>
        <v/>
      </c>
      <c r="C3323" s="13" t="str">
        <f aca="false">עזר!M3323</f>
        <v/>
      </c>
    </row>
    <row r="3324" customFormat="false" ht="15" hidden="false" customHeight="false" outlineLevel="0" collapsed="false">
      <c r="A3324" s="13" t="str">
        <f aca="false">IF(עזר!L3324="","",INDEX(עזר!$A$2:$A$5001,עזר!L3324))</f>
        <v/>
      </c>
      <c r="B3324" s="13" t="str">
        <f aca="false">IF(עזר!L3324="","",INDEX(עזר!$B$2:$B$5001,עזר!L3324))</f>
        <v/>
      </c>
      <c r="C3324" s="13" t="str">
        <f aca="false">עזר!M3324</f>
        <v/>
      </c>
    </row>
    <row r="3325" customFormat="false" ht="15" hidden="false" customHeight="false" outlineLevel="0" collapsed="false">
      <c r="A3325" s="13" t="str">
        <f aca="false">IF(עזר!L3325="","",INDEX(עזר!$A$2:$A$5001,עזר!L3325))</f>
        <v/>
      </c>
      <c r="B3325" s="13" t="str">
        <f aca="false">IF(עזר!L3325="","",INDEX(עזר!$B$2:$B$5001,עזר!L3325))</f>
        <v/>
      </c>
      <c r="C3325" s="13" t="str">
        <f aca="false">עזר!M3325</f>
        <v/>
      </c>
    </row>
    <row r="3326" customFormat="false" ht="15" hidden="false" customHeight="false" outlineLevel="0" collapsed="false">
      <c r="A3326" s="13" t="str">
        <f aca="false">IF(עזר!L3326="","",INDEX(עזר!$A$2:$A$5001,עזר!L3326))</f>
        <v/>
      </c>
      <c r="B3326" s="13" t="str">
        <f aca="false">IF(עזר!L3326="","",INDEX(עזר!$B$2:$B$5001,עזר!L3326))</f>
        <v/>
      </c>
      <c r="C3326" s="13" t="str">
        <f aca="false">עזר!M3326</f>
        <v/>
      </c>
    </row>
    <row r="3327" customFormat="false" ht="15" hidden="false" customHeight="false" outlineLevel="0" collapsed="false">
      <c r="A3327" s="13" t="str">
        <f aca="false">IF(עזר!L3327="","",INDEX(עזר!$A$2:$A$5001,עזר!L3327))</f>
        <v/>
      </c>
      <c r="B3327" s="13" t="str">
        <f aca="false">IF(עזר!L3327="","",INDEX(עזר!$B$2:$B$5001,עזר!L3327))</f>
        <v/>
      </c>
      <c r="C3327" s="13" t="str">
        <f aca="false">עזר!M3327</f>
        <v/>
      </c>
    </row>
    <row r="3328" customFormat="false" ht="15" hidden="false" customHeight="false" outlineLevel="0" collapsed="false">
      <c r="A3328" s="13" t="str">
        <f aca="false">IF(עזר!L3328="","",INDEX(עזר!$A$2:$A$5001,עזר!L3328))</f>
        <v/>
      </c>
      <c r="B3328" s="13" t="str">
        <f aca="false">IF(עזר!L3328="","",INDEX(עזר!$B$2:$B$5001,עזר!L3328))</f>
        <v/>
      </c>
      <c r="C3328" s="13" t="str">
        <f aca="false">עזר!M3328</f>
        <v/>
      </c>
    </row>
    <row r="3329" customFormat="false" ht="15" hidden="false" customHeight="false" outlineLevel="0" collapsed="false">
      <c r="A3329" s="13" t="str">
        <f aca="false">IF(עזר!L3329="","",INDEX(עזר!$A$2:$A$5001,עזר!L3329))</f>
        <v/>
      </c>
      <c r="B3329" s="13" t="str">
        <f aca="false">IF(עזר!L3329="","",INDEX(עזר!$B$2:$B$5001,עזר!L3329))</f>
        <v/>
      </c>
      <c r="C3329" s="13" t="str">
        <f aca="false">עזר!M3329</f>
        <v/>
      </c>
    </row>
    <row r="3330" customFormat="false" ht="15" hidden="false" customHeight="false" outlineLevel="0" collapsed="false">
      <c r="A3330" s="13" t="str">
        <f aca="false">IF(עזר!L3330="","",INDEX(עזר!$A$2:$A$5001,עזר!L3330))</f>
        <v/>
      </c>
      <c r="B3330" s="13" t="str">
        <f aca="false">IF(עזר!L3330="","",INDEX(עזר!$B$2:$B$5001,עזר!L3330))</f>
        <v/>
      </c>
      <c r="C3330" s="13" t="str">
        <f aca="false">עזר!M3330</f>
        <v/>
      </c>
    </row>
    <row r="3331" customFormat="false" ht="15" hidden="false" customHeight="false" outlineLevel="0" collapsed="false">
      <c r="A3331" s="13" t="str">
        <f aca="false">IF(עזר!L3331="","",INDEX(עזר!$A$2:$A$5001,עזר!L3331))</f>
        <v/>
      </c>
      <c r="B3331" s="13" t="str">
        <f aca="false">IF(עזר!L3331="","",INDEX(עזר!$B$2:$B$5001,עזר!L3331))</f>
        <v/>
      </c>
      <c r="C3331" s="13" t="str">
        <f aca="false">עזר!M3331</f>
        <v/>
      </c>
    </row>
    <row r="3332" customFormat="false" ht="15" hidden="false" customHeight="false" outlineLevel="0" collapsed="false">
      <c r="A3332" s="13" t="str">
        <f aca="false">IF(עזר!L3332="","",INDEX(עזר!$A$2:$A$5001,עזר!L3332))</f>
        <v/>
      </c>
      <c r="B3332" s="13" t="str">
        <f aca="false">IF(עזר!L3332="","",INDEX(עזר!$B$2:$B$5001,עזר!L3332))</f>
        <v/>
      </c>
      <c r="C3332" s="13" t="str">
        <f aca="false">עזר!M3332</f>
        <v/>
      </c>
    </row>
    <row r="3333" customFormat="false" ht="15" hidden="false" customHeight="false" outlineLevel="0" collapsed="false">
      <c r="A3333" s="13" t="str">
        <f aca="false">IF(עזר!L3333="","",INDEX(עזר!$A$2:$A$5001,עזר!L3333))</f>
        <v/>
      </c>
      <c r="B3333" s="13" t="str">
        <f aca="false">IF(עזר!L3333="","",INDEX(עזר!$B$2:$B$5001,עזר!L3333))</f>
        <v/>
      </c>
      <c r="C3333" s="13" t="str">
        <f aca="false">עזר!M3333</f>
        <v/>
      </c>
    </row>
    <row r="3334" customFormat="false" ht="15" hidden="false" customHeight="false" outlineLevel="0" collapsed="false">
      <c r="A3334" s="13" t="str">
        <f aca="false">IF(עזר!L3334="","",INDEX(עזר!$A$2:$A$5001,עזר!L3334))</f>
        <v/>
      </c>
      <c r="B3334" s="13" t="str">
        <f aca="false">IF(עזר!L3334="","",INDEX(עזר!$B$2:$B$5001,עזר!L3334))</f>
        <v/>
      </c>
      <c r="C3334" s="13" t="str">
        <f aca="false">עזר!M3334</f>
        <v/>
      </c>
    </row>
    <row r="3335" customFormat="false" ht="15" hidden="false" customHeight="false" outlineLevel="0" collapsed="false">
      <c r="A3335" s="13" t="str">
        <f aca="false">IF(עזר!L3335="","",INDEX(עזר!$A$2:$A$5001,עזר!L3335))</f>
        <v/>
      </c>
      <c r="B3335" s="13" t="str">
        <f aca="false">IF(עזר!L3335="","",INDEX(עזר!$B$2:$B$5001,עזר!L3335))</f>
        <v/>
      </c>
      <c r="C3335" s="13" t="str">
        <f aca="false">עזר!M3335</f>
        <v/>
      </c>
    </row>
    <row r="3336" customFormat="false" ht="15" hidden="false" customHeight="false" outlineLevel="0" collapsed="false">
      <c r="A3336" s="13" t="str">
        <f aca="false">IF(עזר!L3336="","",INDEX(עזר!$A$2:$A$5001,עזר!L3336))</f>
        <v/>
      </c>
      <c r="B3336" s="13" t="str">
        <f aca="false">IF(עזר!L3336="","",INDEX(עזר!$B$2:$B$5001,עזר!L3336))</f>
        <v/>
      </c>
      <c r="C3336" s="13" t="str">
        <f aca="false">עזר!M3336</f>
        <v/>
      </c>
    </row>
    <row r="3337" customFormat="false" ht="15" hidden="false" customHeight="false" outlineLevel="0" collapsed="false">
      <c r="A3337" s="13" t="str">
        <f aca="false">IF(עזר!L3337="","",INDEX(עזר!$A$2:$A$5001,עזר!L3337))</f>
        <v/>
      </c>
      <c r="B3337" s="13" t="str">
        <f aca="false">IF(עזר!L3337="","",INDEX(עזר!$B$2:$B$5001,עזר!L3337))</f>
        <v/>
      </c>
      <c r="C3337" s="13" t="str">
        <f aca="false">עזר!M3337</f>
        <v/>
      </c>
    </row>
    <row r="3338" customFormat="false" ht="15" hidden="false" customHeight="false" outlineLevel="0" collapsed="false">
      <c r="A3338" s="13" t="str">
        <f aca="false">IF(עזר!L3338="","",INDEX(עזר!$A$2:$A$5001,עזר!L3338))</f>
        <v/>
      </c>
      <c r="B3338" s="13" t="str">
        <f aca="false">IF(עזר!L3338="","",INDEX(עזר!$B$2:$B$5001,עזר!L3338))</f>
        <v/>
      </c>
      <c r="C3338" s="13" t="str">
        <f aca="false">עזר!M3338</f>
        <v/>
      </c>
    </row>
    <row r="3339" customFormat="false" ht="15" hidden="false" customHeight="false" outlineLevel="0" collapsed="false">
      <c r="A3339" s="13" t="str">
        <f aca="false">IF(עזר!L3339="","",INDEX(עזר!$A$2:$A$5001,עזר!L3339))</f>
        <v/>
      </c>
      <c r="B3339" s="13" t="str">
        <f aca="false">IF(עזר!L3339="","",INDEX(עזר!$B$2:$B$5001,עזר!L3339))</f>
        <v/>
      </c>
      <c r="C3339" s="13" t="str">
        <f aca="false">עזר!M3339</f>
        <v/>
      </c>
    </row>
    <row r="3340" customFormat="false" ht="15" hidden="false" customHeight="false" outlineLevel="0" collapsed="false">
      <c r="A3340" s="13" t="str">
        <f aca="false">IF(עזר!L3340="","",INDEX(עזר!$A$2:$A$5001,עזר!L3340))</f>
        <v/>
      </c>
      <c r="B3340" s="13" t="str">
        <f aca="false">IF(עזר!L3340="","",INDEX(עזר!$B$2:$B$5001,עזר!L3340))</f>
        <v/>
      </c>
      <c r="C3340" s="13" t="str">
        <f aca="false">עזר!M3340</f>
        <v/>
      </c>
    </row>
    <row r="3341" customFormat="false" ht="15" hidden="false" customHeight="false" outlineLevel="0" collapsed="false">
      <c r="A3341" s="13" t="str">
        <f aca="false">IF(עזר!L3341="","",INDEX(עזר!$A$2:$A$5001,עזר!L3341))</f>
        <v/>
      </c>
      <c r="B3341" s="13" t="str">
        <f aca="false">IF(עזר!L3341="","",INDEX(עזר!$B$2:$B$5001,עזר!L3341))</f>
        <v/>
      </c>
      <c r="C3341" s="13" t="str">
        <f aca="false">עזר!M3341</f>
        <v/>
      </c>
    </row>
    <row r="3342" customFormat="false" ht="15" hidden="false" customHeight="false" outlineLevel="0" collapsed="false">
      <c r="A3342" s="13" t="str">
        <f aca="false">IF(עזר!L3342="","",INDEX(עזר!$A$2:$A$5001,עזר!L3342))</f>
        <v/>
      </c>
      <c r="B3342" s="13" t="str">
        <f aca="false">IF(עזר!L3342="","",INDEX(עזר!$B$2:$B$5001,עזר!L3342))</f>
        <v/>
      </c>
      <c r="C3342" s="13" t="str">
        <f aca="false">עזר!M3342</f>
        <v/>
      </c>
    </row>
    <row r="3343" customFormat="false" ht="15" hidden="false" customHeight="false" outlineLevel="0" collapsed="false">
      <c r="A3343" s="13" t="str">
        <f aca="false">IF(עזר!L3343="","",INDEX(עזר!$A$2:$A$5001,עזר!L3343))</f>
        <v/>
      </c>
      <c r="B3343" s="13" t="str">
        <f aca="false">IF(עזר!L3343="","",INDEX(עזר!$B$2:$B$5001,עזר!L3343))</f>
        <v/>
      </c>
      <c r="C3343" s="13" t="str">
        <f aca="false">עזר!M3343</f>
        <v/>
      </c>
    </row>
    <row r="3344" customFormat="false" ht="15" hidden="false" customHeight="false" outlineLevel="0" collapsed="false">
      <c r="A3344" s="13" t="str">
        <f aca="false">IF(עזר!L3344="","",INDEX(עזר!$A$2:$A$5001,עזר!L3344))</f>
        <v/>
      </c>
      <c r="B3344" s="13" t="str">
        <f aca="false">IF(עזר!L3344="","",INDEX(עזר!$B$2:$B$5001,עזר!L3344))</f>
        <v/>
      </c>
      <c r="C3344" s="13" t="str">
        <f aca="false">עזר!M3344</f>
        <v/>
      </c>
    </row>
    <row r="3345" customFormat="false" ht="15" hidden="false" customHeight="false" outlineLevel="0" collapsed="false">
      <c r="A3345" s="13" t="str">
        <f aca="false">IF(עזר!L3345="","",INDEX(עזר!$A$2:$A$5001,עזר!L3345))</f>
        <v/>
      </c>
      <c r="B3345" s="13" t="str">
        <f aca="false">IF(עזר!L3345="","",INDEX(עזר!$B$2:$B$5001,עזר!L3345))</f>
        <v/>
      </c>
      <c r="C3345" s="13" t="str">
        <f aca="false">עזר!M3345</f>
        <v/>
      </c>
    </row>
    <row r="3346" customFormat="false" ht="15" hidden="false" customHeight="false" outlineLevel="0" collapsed="false">
      <c r="A3346" s="13" t="str">
        <f aca="false">IF(עזר!L3346="","",INDEX(עזר!$A$2:$A$5001,עזר!L3346))</f>
        <v/>
      </c>
      <c r="B3346" s="13" t="str">
        <f aca="false">IF(עזר!L3346="","",INDEX(עזר!$B$2:$B$5001,עזר!L3346))</f>
        <v/>
      </c>
      <c r="C3346" s="13" t="str">
        <f aca="false">עזר!M3346</f>
        <v/>
      </c>
    </row>
    <row r="3347" customFormat="false" ht="15" hidden="false" customHeight="false" outlineLevel="0" collapsed="false">
      <c r="A3347" s="13" t="str">
        <f aca="false">IF(עזר!L3347="","",INDEX(עזר!$A$2:$A$5001,עזר!L3347))</f>
        <v/>
      </c>
      <c r="B3347" s="13" t="str">
        <f aca="false">IF(עזר!L3347="","",INDEX(עזר!$B$2:$B$5001,עזר!L3347))</f>
        <v/>
      </c>
      <c r="C3347" s="13" t="str">
        <f aca="false">עזר!M3347</f>
        <v/>
      </c>
    </row>
    <row r="3348" customFormat="false" ht="15" hidden="false" customHeight="false" outlineLevel="0" collapsed="false">
      <c r="A3348" s="13" t="str">
        <f aca="false">IF(עזר!L3348="","",INDEX(עזר!$A$2:$A$5001,עזר!L3348))</f>
        <v/>
      </c>
      <c r="B3348" s="13" t="str">
        <f aca="false">IF(עזר!L3348="","",INDEX(עזר!$B$2:$B$5001,עזר!L3348))</f>
        <v/>
      </c>
      <c r="C3348" s="13" t="str">
        <f aca="false">עזר!M3348</f>
        <v/>
      </c>
    </row>
    <row r="3349" customFormat="false" ht="15" hidden="false" customHeight="false" outlineLevel="0" collapsed="false">
      <c r="A3349" s="13" t="str">
        <f aca="false">IF(עזר!L3349="","",INDEX(עזר!$A$2:$A$5001,עזר!L3349))</f>
        <v/>
      </c>
      <c r="B3349" s="13" t="str">
        <f aca="false">IF(עזר!L3349="","",INDEX(עזר!$B$2:$B$5001,עזר!L3349))</f>
        <v/>
      </c>
      <c r="C3349" s="13" t="str">
        <f aca="false">עזר!M3349</f>
        <v/>
      </c>
    </row>
    <row r="3350" customFormat="false" ht="15" hidden="false" customHeight="false" outlineLevel="0" collapsed="false">
      <c r="A3350" s="13" t="str">
        <f aca="false">IF(עזר!L3350="","",INDEX(עזר!$A$2:$A$5001,עזר!L3350))</f>
        <v/>
      </c>
      <c r="B3350" s="13" t="str">
        <f aca="false">IF(עזר!L3350="","",INDEX(עזר!$B$2:$B$5001,עזר!L3350))</f>
        <v/>
      </c>
      <c r="C3350" s="13" t="str">
        <f aca="false">עזר!M3350</f>
        <v/>
      </c>
    </row>
    <row r="3351" customFormat="false" ht="15" hidden="false" customHeight="false" outlineLevel="0" collapsed="false">
      <c r="A3351" s="13" t="str">
        <f aca="false">IF(עזר!L3351="","",INDEX(עזר!$A$2:$A$5001,עזר!L3351))</f>
        <v/>
      </c>
      <c r="B3351" s="13" t="str">
        <f aca="false">IF(עזר!L3351="","",INDEX(עזר!$B$2:$B$5001,עזר!L3351))</f>
        <v/>
      </c>
      <c r="C3351" s="13" t="str">
        <f aca="false">עזר!M3351</f>
        <v/>
      </c>
    </row>
    <row r="3352" customFormat="false" ht="15" hidden="false" customHeight="false" outlineLevel="0" collapsed="false">
      <c r="A3352" s="13" t="str">
        <f aca="false">IF(עזר!L3352="","",INDEX(עזר!$A$2:$A$5001,עזר!L3352))</f>
        <v/>
      </c>
      <c r="B3352" s="13" t="str">
        <f aca="false">IF(עזר!L3352="","",INDEX(עזר!$B$2:$B$5001,עזר!L3352))</f>
        <v/>
      </c>
      <c r="C3352" s="13" t="str">
        <f aca="false">עזר!M3352</f>
        <v/>
      </c>
    </row>
    <row r="3353" customFormat="false" ht="15" hidden="false" customHeight="false" outlineLevel="0" collapsed="false">
      <c r="A3353" s="13" t="str">
        <f aca="false">IF(עזר!L3353="","",INDEX(עזר!$A$2:$A$5001,עזר!L3353))</f>
        <v/>
      </c>
      <c r="B3353" s="13" t="str">
        <f aca="false">IF(עזר!L3353="","",INDEX(עזר!$B$2:$B$5001,עזר!L3353))</f>
        <v/>
      </c>
      <c r="C3353" s="13" t="str">
        <f aca="false">עזר!M3353</f>
        <v/>
      </c>
    </row>
    <row r="3354" customFormat="false" ht="15" hidden="false" customHeight="false" outlineLevel="0" collapsed="false">
      <c r="A3354" s="13" t="str">
        <f aca="false">IF(עזר!L3354="","",INDEX(עזר!$A$2:$A$5001,עזר!L3354))</f>
        <v/>
      </c>
      <c r="B3354" s="13" t="str">
        <f aca="false">IF(עזר!L3354="","",INDEX(עזר!$B$2:$B$5001,עזר!L3354))</f>
        <v/>
      </c>
      <c r="C3354" s="13" t="str">
        <f aca="false">עזר!M3354</f>
        <v/>
      </c>
    </row>
    <row r="3355" customFormat="false" ht="15" hidden="false" customHeight="false" outlineLevel="0" collapsed="false">
      <c r="A3355" s="13" t="str">
        <f aca="false">IF(עזר!L3355="","",INDEX(עזר!$A$2:$A$5001,עזר!L3355))</f>
        <v/>
      </c>
      <c r="B3355" s="13" t="str">
        <f aca="false">IF(עזר!L3355="","",INDEX(עזר!$B$2:$B$5001,עזר!L3355))</f>
        <v/>
      </c>
      <c r="C3355" s="13" t="str">
        <f aca="false">עזר!M3355</f>
        <v/>
      </c>
    </row>
    <row r="3356" customFormat="false" ht="15" hidden="false" customHeight="false" outlineLevel="0" collapsed="false">
      <c r="A3356" s="13" t="str">
        <f aca="false">IF(עזר!L3356="","",INDEX(עזר!$A$2:$A$5001,עזר!L3356))</f>
        <v/>
      </c>
      <c r="B3356" s="13" t="str">
        <f aca="false">IF(עזר!L3356="","",INDEX(עזר!$B$2:$B$5001,עזר!L3356))</f>
        <v/>
      </c>
      <c r="C3356" s="13" t="str">
        <f aca="false">עזר!M3356</f>
        <v/>
      </c>
    </row>
    <row r="3357" customFormat="false" ht="15" hidden="false" customHeight="false" outlineLevel="0" collapsed="false">
      <c r="A3357" s="13" t="str">
        <f aca="false">IF(עזר!L3357="","",INDEX(עזר!$A$2:$A$5001,עזר!L3357))</f>
        <v/>
      </c>
      <c r="B3357" s="13" t="str">
        <f aca="false">IF(עזר!L3357="","",INDEX(עזר!$B$2:$B$5001,עזר!L3357))</f>
        <v/>
      </c>
      <c r="C3357" s="13" t="str">
        <f aca="false">עזר!M3357</f>
        <v/>
      </c>
    </row>
    <row r="3358" customFormat="false" ht="15" hidden="false" customHeight="false" outlineLevel="0" collapsed="false">
      <c r="A3358" s="13" t="str">
        <f aca="false">IF(עזר!L3358="","",INDEX(עזר!$A$2:$A$5001,עזר!L3358))</f>
        <v/>
      </c>
      <c r="B3358" s="13" t="str">
        <f aca="false">IF(עזר!L3358="","",INDEX(עזר!$B$2:$B$5001,עזר!L3358))</f>
        <v/>
      </c>
      <c r="C3358" s="13" t="str">
        <f aca="false">עזר!M3358</f>
        <v/>
      </c>
    </row>
    <row r="3359" customFormat="false" ht="15" hidden="false" customHeight="false" outlineLevel="0" collapsed="false">
      <c r="A3359" s="13" t="str">
        <f aca="false">IF(עזר!L3359="","",INDEX(עזר!$A$2:$A$5001,עזר!L3359))</f>
        <v/>
      </c>
      <c r="B3359" s="13" t="str">
        <f aca="false">IF(עזר!L3359="","",INDEX(עזר!$B$2:$B$5001,עזר!L3359))</f>
        <v/>
      </c>
      <c r="C3359" s="13" t="str">
        <f aca="false">עזר!M3359</f>
        <v/>
      </c>
    </row>
    <row r="3360" customFormat="false" ht="15" hidden="false" customHeight="false" outlineLevel="0" collapsed="false">
      <c r="A3360" s="13" t="str">
        <f aca="false">IF(עזר!L3360="","",INDEX(עזר!$A$2:$A$5001,עזר!L3360))</f>
        <v/>
      </c>
      <c r="B3360" s="13" t="str">
        <f aca="false">IF(עזר!L3360="","",INDEX(עזר!$B$2:$B$5001,עזר!L3360))</f>
        <v/>
      </c>
      <c r="C3360" s="13" t="str">
        <f aca="false">עזר!M3360</f>
        <v/>
      </c>
    </row>
    <row r="3361" customFormat="false" ht="15" hidden="false" customHeight="false" outlineLevel="0" collapsed="false">
      <c r="A3361" s="13" t="str">
        <f aca="false">IF(עזר!L3361="","",INDEX(עזר!$A$2:$A$5001,עזר!L3361))</f>
        <v/>
      </c>
      <c r="B3361" s="13" t="str">
        <f aca="false">IF(עזר!L3361="","",INDEX(עזר!$B$2:$B$5001,עזר!L3361))</f>
        <v/>
      </c>
      <c r="C3361" s="13" t="str">
        <f aca="false">עזר!M3361</f>
        <v/>
      </c>
    </row>
    <row r="3362" customFormat="false" ht="15" hidden="false" customHeight="false" outlineLevel="0" collapsed="false">
      <c r="A3362" s="13" t="str">
        <f aca="false">IF(עזר!L3362="","",INDEX(עזר!$A$2:$A$5001,עזר!L3362))</f>
        <v/>
      </c>
      <c r="B3362" s="13" t="str">
        <f aca="false">IF(עזר!L3362="","",INDEX(עזר!$B$2:$B$5001,עזר!L3362))</f>
        <v/>
      </c>
      <c r="C3362" s="13" t="str">
        <f aca="false">עזר!M3362</f>
        <v/>
      </c>
    </row>
    <row r="3363" customFormat="false" ht="15" hidden="false" customHeight="false" outlineLevel="0" collapsed="false">
      <c r="A3363" s="13" t="str">
        <f aca="false">IF(עזר!L3363="","",INDEX(עזר!$A$2:$A$5001,עזר!L3363))</f>
        <v/>
      </c>
      <c r="B3363" s="13" t="str">
        <f aca="false">IF(עזר!L3363="","",INDEX(עזר!$B$2:$B$5001,עזר!L3363))</f>
        <v/>
      </c>
      <c r="C3363" s="13" t="str">
        <f aca="false">עזר!M3363</f>
        <v/>
      </c>
    </row>
    <row r="3364" customFormat="false" ht="15" hidden="false" customHeight="false" outlineLevel="0" collapsed="false">
      <c r="A3364" s="13" t="str">
        <f aca="false">IF(עזר!L3364="","",INDEX(עזר!$A$2:$A$5001,עזר!L3364))</f>
        <v/>
      </c>
      <c r="B3364" s="13" t="str">
        <f aca="false">IF(עזר!L3364="","",INDEX(עזר!$B$2:$B$5001,עזר!L3364))</f>
        <v/>
      </c>
      <c r="C3364" s="13" t="str">
        <f aca="false">עזר!M3364</f>
        <v/>
      </c>
    </row>
    <row r="3365" customFormat="false" ht="15" hidden="false" customHeight="false" outlineLevel="0" collapsed="false">
      <c r="A3365" s="13" t="str">
        <f aca="false">IF(עזר!L3365="","",INDEX(עזר!$A$2:$A$5001,עזר!L3365))</f>
        <v/>
      </c>
      <c r="B3365" s="13" t="str">
        <f aca="false">IF(עזר!L3365="","",INDEX(עזר!$B$2:$B$5001,עזר!L3365))</f>
        <v/>
      </c>
      <c r="C3365" s="13" t="str">
        <f aca="false">עזר!M3365</f>
        <v/>
      </c>
    </row>
    <row r="3366" customFormat="false" ht="15" hidden="false" customHeight="false" outlineLevel="0" collapsed="false">
      <c r="A3366" s="13" t="str">
        <f aca="false">IF(עזר!L3366="","",INDEX(עזר!$A$2:$A$5001,עזר!L3366))</f>
        <v/>
      </c>
      <c r="B3366" s="13" t="str">
        <f aca="false">IF(עזר!L3366="","",INDEX(עזר!$B$2:$B$5001,עזר!L3366))</f>
        <v/>
      </c>
      <c r="C3366" s="13" t="str">
        <f aca="false">עזר!M3366</f>
        <v/>
      </c>
    </row>
    <row r="3367" customFormat="false" ht="15" hidden="false" customHeight="false" outlineLevel="0" collapsed="false">
      <c r="A3367" s="13" t="str">
        <f aca="false">IF(עזר!L3367="","",INDEX(עזר!$A$2:$A$5001,עזר!L3367))</f>
        <v/>
      </c>
      <c r="B3367" s="13" t="str">
        <f aca="false">IF(עזר!L3367="","",INDEX(עזר!$B$2:$B$5001,עזר!L3367))</f>
        <v/>
      </c>
      <c r="C3367" s="13" t="str">
        <f aca="false">עזר!M3367</f>
        <v/>
      </c>
    </row>
    <row r="3368" customFormat="false" ht="15" hidden="false" customHeight="false" outlineLevel="0" collapsed="false">
      <c r="A3368" s="13" t="str">
        <f aca="false">IF(עזר!L3368="","",INDEX(עזר!$A$2:$A$5001,עזר!L3368))</f>
        <v/>
      </c>
      <c r="B3368" s="13" t="str">
        <f aca="false">IF(עזר!L3368="","",INDEX(עזר!$B$2:$B$5001,עזר!L3368))</f>
        <v/>
      </c>
      <c r="C3368" s="13" t="str">
        <f aca="false">עזר!M3368</f>
        <v/>
      </c>
    </row>
    <row r="3369" customFormat="false" ht="15" hidden="false" customHeight="false" outlineLevel="0" collapsed="false">
      <c r="A3369" s="13" t="str">
        <f aca="false">IF(עזר!L3369="","",INDEX(עזר!$A$2:$A$5001,עזר!L3369))</f>
        <v/>
      </c>
      <c r="B3369" s="13" t="str">
        <f aca="false">IF(עזר!L3369="","",INDEX(עזר!$B$2:$B$5001,עזר!L3369))</f>
        <v/>
      </c>
      <c r="C3369" s="13" t="str">
        <f aca="false">עזר!M3369</f>
        <v/>
      </c>
    </row>
    <row r="3370" customFormat="false" ht="15" hidden="false" customHeight="false" outlineLevel="0" collapsed="false">
      <c r="A3370" s="13" t="str">
        <f aca="false">IF(עזר!L3370="","",INDEX(עזר!$A$2:$A$5001,עזר!L3370))</f>
        <v/>
      </c>
      <c r="B3370" s="13" t="str">
        <f aca="false">IF(עזר!L3370="","",INDEX(עזר!$B$2:$B$5001,עזר!L3370))</f>
        <v/>
      </c>
      <c r="C3370" s="13" t="str">
        <f aca="false">עזר!M3370</f>
        <v/>
      </c>
    </row>
    <row r="3371" customFormat="false" ht="15" hidden="false" customHeight="false" outlineLevel="0" collapsed="false">
      <c r="A3371" s="13" t="str">
        <f aca="false">IF(עזר!L3371="","",INDEX(עזר!$A$2:$A$5001,עזר!L3371))</f>
        <v/>
      </c>
      <c r="B3371" s="13" t="str">
        <f aca="false">IF(עזר!L3371="","",INDEX(עזר!$B$2:$B$5001,עזר!L3371))</f>
        <v/>
      </c>
      <c r="C3371" s="13" t="str">
        <f aca="false">עזר!M3371</f>
        <v/>
      </c>
    </row>
    <row r="3372" customFormat="false" ht="15" hidden="false" customHeight="false" outlineLevel="0" collapsed="false">
      <c r="A3372" s="13" t="str">
        <f aca="false">IF(עזר!L3372="","",INDEX(עזר!$A$2:$A$5001,עזר!L3372))</f>
        <v/>
      </c>
      <c r="B3372" s="13" t="str">
        <f aca="false">IF(עזר!L3372="","",INDEX(עזר!$B$2:$B$5001,עזר!L3372))</f>
        <v/>
      </c>
      <c r="C3372" s="13" t="str">
        <f aca="false">עזר!M3372</f>
        <v/>
      </c>
    </row>
    <row r="3373" customFormat="false" ht="15" hidden="false" customHeight="false" outlineLevel="0" collapsed="false">
      <c r="A3373" s="13" t="str">
        <f aca="false">IF(עזר!L3373="","",INDEX(עזר!$A$2:$A$5001,עזר!L3373))</f>
        <v/>
      </c>
      <c r="B3373" s="13" t="str">
        <f aca="false">IF(עזר!L3373="","",INDEX(עזר!$B$2:$B$5001,עזר!L3373))</f>
        <v/>
      </c>
      <c r="C3373" s="13" t="str">
        <f aca="false">עזר!M3373</f>
        <v/>
      </c>
    </row>
    <row r="3374" customFormat="false" ht="15" hidden="false" customHeight="false" outlineLevel="0" collapsed="false">
      <c r="A3374" s="13" t="str">
        <f aca="false">IF(עזר!L3374="","",INDEX(עזר!$A$2:$A$5001,עזר!L3374))</f>
        <v/>
      </c>
      <c r="B3374" s="13" t="str">
        <f aca="false">IF(עזר!L3374="","",INDEX(עזר!$B$2:$B$5001,עזר!L3374))</f>
        <v/>
      </c>
      <c r="C3374" s="13" t="str">
        <f aca="false">עזר!M3374</f>
        <v/>
      </c>
    </row>
    <row r="3375" customFormat="false" ht="15" hidden="false" customHeight="false" outlineLevel="0" collapsed="false">
      <c r="A3375" s="13" t="str">
        <f aca="false">IF(עזר!L3375="","",INDEX(עזר!$A$2:$A$5001,עזר!L3375))</f>
        <v/>
      </c>
      <c r="B3375" s="13" t="str">
        <f aca="false">IF(עזר!L3375="","",INDEX(עזר!$B$2:$B$5001,עזר!L3375))</f>
        <v/>
      </c>
      <c r="C3375" s="13" t="str">
        <f aca="false">עזר!M3375</f>
        <v/>
      </c>
    </row>
    <row r="3376" customFormat="false" ht="15" hidden="false" customHeight="false" outlineLevel="0" collapsed="false">
      <c r="A3376" s="13" t="str">
        <f aca="false">IF(עזר!L3376="","",INDEX(עזר!$A$2:$A$5001,עזר!L3376))</f>
        <v/>
      </c>
      <c r="B3376" s="13" t="str">
        <f aca="false">IF(עזר!L3376="","",INDEX(עזר!$B$2:$B$5001,עזר!L3376))</f>
        <v/>
      </c>
      <c r="C3376" s="13" t="str">
        <f aca="false">עזר!M3376</f>
        <v/>
      </c>
    </row>
    <row r="3377" customFormat="false" ht="15" hidden="false" customHeight="false" outlineLevel="0" collapsed="false">
      <c r="A3377" s="13" t="str">
        <f aca="false">IF(עזר!L3377="","",INDEX(עזר!$A$2:$A$5001,עזר!L3377))</f>
        <v/>
      </c>
      <c r="B3377" s="13" t="str">
        <f aca="false">IF(עזר!L3377="","",INDEX(עזר!$B$2:$B$5001,עזר!L3377))</f>
        <v/>
      </c>
      <c r="C3377" s="13" t="str">
        <f aca="false">עזר!M3377</f>
        <v/>
      </c>
    </row>
    <row r="3378" customFormat="false" ht="15" hidden="false" customHeight="false" outlineLevel="0" collapsed="false">
      <c r="A3378" s="13" t="str">
        <f aca="false">IF(עזר!L3378="","",INDEX(עזר!$A$2:$A$5001,עזר!L3378))</f>
        <v/>
      </c>
      <c r="B3378" s="13" t="str">
        <f aca="false">IF(עזר!L3378="","",INDEX(עזר!$B$2:$B$5001,עזר!L3378))</f>
        <v/>
      </c>
      <c r="C3378" s="13" t="str">
        <f aca="false">עזר!M3378</f>
        <v/>
      </c>
    </row>
    <row r="3379" customFormat="false" ht="15" hidden="false" customHeight="false" outlineLevel="0" collapsed="false">
      <c r="A3379" s="13" t="str">
        <f aca="false">IF(עזר!L3379="","",INDEX(עזר!$A$2:$A$5001,עזר!L3379))</f>
        <v/>
      </c>
      <c r="B3379" s="13" t="str">
        <f aca="false">IF(עזר!L3379="","",INDEX(עזר!$B$2:$B$5001,עזר!L3379))</f>
        <v/>
      </c>
      <c r="C3379" s="13" t="str">
        <f aca="false">עזר!M3379</f>
        <v/>
      </c>
    </row>
    <row r="3380" customFormat="false" ht="15" hidden="false" customHeight="false" outlineLevel="0" collapsed="false">
      <c r="A3380" s="13" t="str">
        <f aca="false">IF(עזר!L3380="","",INDEX(עזר!$A$2:$A$5001,עזר!L3380))</f>
        <v/>
      </c>
      <c r="B3380" s="13" t="str">
        <f aca="false">IF(עזר!L3380="","",INDEX(עזר!$B$2:$B$5001,עזר!L3380))</f>
        <v/>
      </c>
      <c r="C3380" s="13" t="str">
        <f aca="false">עזר!M3380</f>
        <v/>
      </c>
    </row>
    <row r="3381" customFormat="false" ht="15" hidden="false" customHeight="false" outlineLevel="0" collapsed="false">
      <c r="A3381" s="13" t="str">
        <f aca="false">IF(עזר!L3381="","",INDEX(עזר!$A$2:$A$5001,עזר!L3381))</f>
        <v/>
      </c>
      <c r="B3381" s="13" t="str">
        <f aca="false">IF(עזר!L3381="","",INDEX(עזר!$B$2:$B$5001,עזר!L3381))</f>
        <v/>
      </c>
      <c r="C3381" s="13" t="str">
        <f aca="false">עזר!M3381</f>
        <v/>
      </c>
    </row>
    <row r="3382" customFormat="false" ht="15" hidden="false" customHeight="false" outlineLevel="0" collapsed="false">
      <c r="A3382" s="13" t="str">
        <f aca="false">IF(עזר!L3382="","",INDEX(עזר!$A$2:$A$5001,עזר!L3382))</f>
        <v/>
      </c>
      <c r="B3382" s="13" t="str">
        <f aca="false">IF(עזר!L3382="","",INDEX(עזר!$B$2:$B$5001,עזר!L3382))</f>
        <v/>
      </c>
      <c r="C3382" s="13" t="str">
        <f aca="false">עזר!M3382</f>
        <v/>
      </c>
    </row>
    <row r="3383" customFormat="false" ht="15" hidden="false" customHeight="false" outlineLevel="0" collapsed="false">
      <c r="A3383" s="13" t="str">
        <f aca="false">IF(עזר!L3383="","",INDEX(עזר!$A$2:$A$5001,עזר!L3383))</f>
        <v/>
      </c>
      <c r="B3383" s="13" t="str">
        <f aca="false">IF(עזר!L3383="","",INDEX(עזר!$B$2:$B$5001,עזר!L3383))</f>
        <v/>
      </c>
      <c r="C3383" s="13" t="str">
        <f aca="false">עזר!M3383</f>
        <v/>
      </c>
    </row>
    <row r="3384" customFormat="false" ht="15" hidden="false" customHeight="false" outlineLevel="0" collapsed="false">
      <c r="A3384" s="13" t="str">
        <f aca="false">IF(עזר!L3384="","",INDEX(עזר!$A$2:$A$5001,עזר!L3384))</f>
        <v/>
      </c>
      <c r="B3384" s="13" t="str">
        <f aca="false">IF(עזר!L3384="","",INDEX(עזר!$B$2:$B$5001,עזר!L3384))</f>
        <v/>
      </c>
      <c r="C3384" s="13" t="str">
        <f aca="false">עזר!M3384</f>
        <v/>
      </c>
    </row>
    <row r="3385" customFormat="false" ht="15" hidden="false" customHeight="false" outlineLevel="0" collapsed="false">
      <c r="A3385" s="13" t="str">
        <f aca="false">IF(עזר!L3385="","",INDEX(עזר!$A$2:$A$5001,עזר!L3385))</f>
        <v/>
      </c>
      <c r="B3385" s="13" t="str">
        <f aca="false">IF(עזר!L3385="","",INDEX(עזר!$B$2:$B$5001,עזר!L3385))</f>
        <v/>
      </c>
      <c r="C3385" s="13" t="str">
        <f aca="false">עזר!M3385</f>
        <v/>
      </c>
    </row>
    <row r="3386" customFormat="false" ht="15" hidden="false" customHeight="false" outlineLevel="0" collapsed="false">
      <c r="A3386" s="13" t="str">
        <f aca="false">IF(עזר!L3386="","",INDEX(עזר!$A$2:$A$5001,עזר!L3386))</f>
        <v/>
      </c>
      <c r="B3386" s="13" t="str">
        <f aca="false">IF(עזר!L3386="","",INDEX(עזר!$B$2:$B$5001,עזר!L3386))</f>
        <v/>
      </c>
      <c r="C3386" s="13" t="str">
        <f aca="false">עזר!M3386</f>
        <v/>
      </c>
    </row>
    <row r="3387" customFormat="false" ht="15" hidden="false" customHeight="false" outlineLevel="0" collapsed="false">
      <c r="A3387" s="13" t="str">
        <f aca="false">IF(עזר!L3387="","",INDEX(עזר!$A$2:$A$5001,עזר!L3387))</f>
        <v/>
      </c>
      <c r="B3387" s="13" t="str">
        <f aca="false">IF(עזר!L3387="","",INDEX(עזר!$B$2:$B$5001,עזר!L3387))</f>
        <v/>
      </c>
      <c r="C3387" s="13" t="str">
        <f aca="false">עזר!M3387</f>
        <v/>
      </c>
    </row>
    <row r="3388" customFormat="false" ht="15" hidden="false" customHeight="false" outlineLevel="0" collapsed="false">
      <c r="A3388" s="13" t="str">
        <f aca="false">IF(עזר!L3388="","",INDEX(עזר!$A$2:$A$5001,עזר!L3388))</f>
        <v/>
      </c>
      <c r="B3388" s="13" t="str">
        <f aca="false">IF(עזר!L3388="","",INDEX(עזר!$B$2:$B$5001,עזר!L3388))</f>
        <v/>
      </c>
      <c r="C3388" s="13" t="str">
        <f aca="false">עזר!M3388</f>
        <v/>
      </c>
    </row>
    <row r="3389" customFormat="false" ht="15" hidden="false" customHeight="false" outlineLevel="0" collapsed="false">
      <c r="A3389" s="13" t="str">
        <f aca="false">IF(עזר!L3389="","",INDEX(עזר!$A$2:$A$5001,עזר!L3389))</f>
        <v/>
      </c>
      <c r="B3389" s="13" t="str">
        <f aca="false">IF(עזר!L3389="","",INDEX(עזר!$B$2:$B$5001,עזר!L3389))</f>
        <v/>
      </c>
      <c r="C3389" s="13" t="str">
        <f aca="false">עזר!M3389</f>
        <v/>
      </c>
    </row>
    <row r="3390" customFormat="false" ht="15" hidden="false" customHeight="false" outlineLevel="0" collapsed="false">
      <c r="A3390" s="13" t="str">
        <f aca="false">IF(עזר!L3390="","",INDEX(עזר!$A$2:$A$5001,עזר!L3390))</f>
        <v/>
      </c>
      <c r="B3390" s="13" t="str">
        <f aca="false">IF(עזר!L3390="","",INDEX(עזר!$B$2:$B$5001,עזר!L3390))</f>
        <v/>
      </c>
      <c r="C3390" s="13" t="str">
        <f aca="false">עזר!M3390</f>
        <v/>
      </c>
    </row>
    <row r="3391" customFormat="false" ht="15" hidden="false" customHeight="false" outlineLevel="0" collapsed="false">
      <c r="A3391" s="13" t="str">
        <f aca="false">IF(עזר!L3391="","",INDEX(עזר!$A$2:$A$5001,עזר!L3391))</f>
        <v/>
      </c>
      <c r="B3391" s="13" t="str">
        <f aca="false">IF(עזר!L3391="","",INDEX(עזר!$B$2:$B$5001,עזר!L3391))</f>
        <v/>
      </c>
      <c r="C3391" s="13" t="str">
        <f aca="false">עזר!M3391</f>
        <v/>
      </c>
    </row>
    <row r="3392" customFormat="false" ht="15" hidden="false" customHeight="false" outlineLevel="0" collapsed="false">
      <c r="A3392" s="13" t="str">
        <f aca="false">IF(עזר!L3392="","",INDEX(עזר!$A$2:$A$5001,עזר!L3392))</f>
        <v/>
      </c>
      <c r="B3392" s="13" t="str">
        <f aca="false">IF(עזר!L3392="","",INDEX(עזר!$B$2:$B$5001,עזר!L3392))</f>
        <v/>
      </c>
      <c r="C3392" s="13" t="str">
        <f aca="false">עזר!M3392</f>
        <v/>
      </c>
    </row>
    <row r="3393" customFormat="false" ht="15" hidden="false" customHeight="false" outlineLevel="0" collapsed="false">
      <c r="A3393" s="13" t="str">
        <f aca="false">IF(עזר!L3393="","",INDEX(עזר!$A$2:$A$5001,עזר!L3393))</f>
        <v/>
      </c>
      <c r="B3393" s="13" t="str">
        <f aca="false">IF(עזר!L3393="","",INDEX(עזר!$B$2:$B$5001,עזר!L3393))</f>
        <v/>
      </c>
      <c r="C3393" s="13" t="str">
        <f aca="false">עזר!M3393</f>
        <v/>
      </c>
    </row>
    <row r="3394" customFormat="false" ht="15" hidden="false" customHeight="false" outlineLevel="0" collapsed="false">
      <c r="A3394" s="13" t="str">
        <f aca="false">IF(עזר!L3394="","",INDEX(עזר!$A$2:$A$5001,עזר!L3394))</f>
        <v/>
      </c>
      <c r="B3394" s="13" t="str">
        <f aca="false">IF(עזר!L3394="","",INDEX(עזר!$B$2:$B$5001,עזר!L3394))</f>
        <v/>
      </c>
      <c r="C3394" s="13" t="str">
        <f aca="false">עזר!M3394</f>
        <v/>
      </c>
    </row>
    <row r="3395" customFormat="false" ht="15" hidden="false" customHeight="false" outlineLevel="0" collapsed="false">
      <c r="A3395" s="13" t="str">
        <f aca="false">IF(עזר!L3395="","",INDEX(עזר!$A$2:$A$5001,עזר!L3395))</f>
        <v/>
      </c>
      <c r="B3395" s="13" t="str">
        <f aca="false">IF(עזר!L3395="","",INDEX(עזר!$B$2:$B$5001,עזר!L3395))</f>
        <v/>
      </c>
      <c r="C3395" s="13" t="str">
        <f aca="false">עזר!M3395</f>
        <v/>
      </c>
    </row>
    <row r="3396" customFormat="false" ht="15" hidden="false" customHeight="false" outlineLevel="0" collapsed="false">
      <c r="A3396" s="13" t="str">
        <f aca="false">IF(עזר!L3396="","",INDEX(עזר!$A$2:$A$5001,עזר!L3396))</f>
        <v/>
      </c>
      <c r="B3396" s="13" t="str">
        <f aca="false">IF(עזר!L3396="","",INDEX(עזר!$B$2:$B$5001,עזר!L3396))</f>
        <v/>
      </c>
      <c r="C3396" s="13" t="str">
        <f aca="false">עזר!M3396</f>
        <v/>
      </c>
    </row>
    <row r="3397" customFormat="false" ht="15" hidden="false" customHeight="false" outlineLevel="0" collapsed="false">
      <c r="A3397" s="13" t="str">
        <f aca="false">IF(עזר!L3397="","",INDEX(עזר!$A$2:$A$5001,עזר!L3397))</f>
        <v/>
      </c>
      <c r="B3397" s="13" t="str">
        <f aca="false">IF(עזר!L3397="","",INDEX(עזר!$B$2:$B$5001,עזר!L3397))</f>
        <v/>
      </c>
      <c r="C3397" s="13" t="str">
        <f aca="false">עזר!M3397</f>
        <v/>
      </c>
    </row>
    <row r="3398" customFormat="false" ht="15" hidden="false" customHeight="false" outlineLevel="0" collapsed="false">
      <c r="A3398" s="13" t="str">
        <f aca="false">IF(עזר!L3398="","",INDEX(עזר!$A$2:$A$5001,עזר!L3398))</f>
        <v/>
      </c>
      <c r="B3398" s="13" t="str">
        <f aca="false">IF(עזר!L3398="","",INDEX(עזר!$B$2:$B$5001,עזר!L3398))</f>
        <v/>
      </c>
      <c r="C3398" s="13" t="str">
        <f aca="false">עזר!M3398</f>
        <v/>
      </c>
    </row>
    <row r="3399" customFormat="false" ht="15" hidden="false" customHeight="false" outlineLevel="0" collapsed="false">
      <c r="A3399" s="13" t="str">
        <f aca="false">IF(עזר!L3399="","",INDEX(עזר!$A$2:$A$5001,עזר!L3399))</f>
        <v/>
      </c>
      <c r="B3399" s="13" t="str">
        <f aca="false">IF(עזר!L3399="","",INDEX(עזר!$B$2:$B$5001,עזר!L3399))</f>
        <v/>
      </c>
      <c r="C3399" s="13" t="str">
        <f aca="false">עזר!M3399</f>
        <v/>
      </c>
    </row>
    <row r="3400" customFormat="false" ht="15" hidden="false" customHeight="false" outlineLevel="0" collapsed="false">
      <c r="A3400" s="13" t="str">
        <f aca="false">IF(עזר!L3400="","",INDEX(עזר!$A$2:$A$5001,עזר!L3400))</f>
        <v/>
      </c>
      <c r="B3400" s="13" t="str">
        <f aca="false">IF(עזר!L3400="","",INDEX(עזר!$B$2:$B$5001,עזר!L3400))</f>
        <v/>
      </c>
      <c r="C3400" s="13" t="str">
        <f aca="false">עזר!M3400</f>
        <v/>
      </c>
    </row>
    <row r="3401" customFormat="false" ht="15" hidden="false" customHeight="false" outlineLevel="0" collapsed="false">
      <c r="A3401" s="13" t="str">
        <f aca="false">IF(עזר!L3401="","",INDEX(עזר!$A$2:$A$5001,עזר!L3401))</f>
        <v/>
      </c>
      <c r="B3401" s="13" t="str">
        <f aca="false">IF(עזר!L3401="","",INDEX(עזר!$B$2:$B$5001,עזר!L3401))</f>
        <v/>
      </c>
      <c r="C3401" s="13" t="str">
        <f aca="false">עזר!M3401</f>
        <v/>
      </c>
    </row>
    <row r="3402" customFormat="false" ht="15" hidden="false" customHeight="false" outlineLevel="0" collapsed="false">
      <c r="A3402" s="13" t="str">
        <f aca="false">IF(עזר!L3402="","",INDEX(עזר!$A$2:$A$5001,עזר!L3402))</f>
        <v/>
      </c>
      <c r="B3402" s="13" t="str">
        <f aca="false">IF(עזר!L3402="","",INDEX(עזר!$B$2:$B$5001,עזר!L3402))</f>
        <v/>
      </c>
      <c r="C3402" s="13" t="str">
        <f aca="false">עזר!M3402</f>
        <v/>
      </c>
    </row>
    <row r="3403" customFormat="false" ht="15" hidden="false" customHeight="false" outlineLevel="0" collapsed="false">
      <c r="A3403" s="13" t="str">
        <f aca="false">IF(עזר!L3403="","",INDEX(עזר!$A$2:$A$5001,עזר!L3403))</f>
        <v/>
      </c>
      <c r="B3403" s="13" t="str">
        <f aca="false">IF(עזר!L3403="","",INDEX(עזר!$B$2:$B$5001,עזר!L3403))</f>
        <v/>
      </c>
      <c r="C3403" s="13" t="str">
        <f aca="false">עזר!M3403</f>
        <v/>
      </c>
    </row>
    <row r="3404" customFormat="false" ht="15" hidden="false" customHeight="false" outlineLevel="0" collapsed="false">
      <c r="A3404" s="13" t="str">
        <f aca="false">IF(עזר!L3404="","",INDEX(עזר!$A$2:$A$5001,עזר!L3404))</f>
        <v/>
      </c>
      <c r="B3404" s="13" t="str">
        <f aca="false">IF(עזר!L3404="","",INDEX(עזר!$B$2:$B$5001,עזר!L3404))</f>
        <v/>
      </c>
      <c r="C3404" s="13" t="str">
        <f aca="false">עזר!M3404</f>
        <v/>
      </c>
    </row>
    <row r="3405" customFormat="false" ht="15" hidden="false" customHeight="false" outlineLevel="0" collapsed="false">
      <c r="A3405" s="13" t="str">
        <f aca="false">IF(עזר!L3405="","",INDEX(עזר!$A$2:$A$5001,עזר!L3405))</f>
        <v/>
      </c>
      <c r="B3405" s="13" t="str">
        <f aca="false">IF(עזר!L3405="","",INDEX(עזר!$B$2:$B$5001,עזר!L3405))</f>
        <v/>
      </c>
      <c r="C3405" s="13" t="str">
        <f aca="false">עזר!M3405</f>
        <v/>
      </c>
    </row>
    <row r="3406" customFormat="false" ht="15" hidden="false" customHeight="false" outlineLevel="0" collapsed="false">
      <c r="A3406" s="13" t="str">
        <f aca="false">IF(עזר!L3406="","",INDEX(עזר!$A$2:$A$5001,עזר!L3406))</f>
        <v/>
      </c>
      <c r="B3406" s="13" t="str">
        <f aca="false">IF(עזר!L3406="","",INDEX(עזר!$B$2:$B$5001,עזר!L3406))</f>
        <v/>
      </c>
      <c r="C3406" s="13" t="str">
        <f aca="false">עזר!M3406</f>
        <v/>
      </c>
    </row>
    <row r="3407" customFormat="false" ht="15" hidden="false" customHeight="false" outlineLevel="0" collapsed="false">
      <c r="A3407" s="13" t="str">
        <f aca="false">IF(עזר!L3407="","",INDEX(עזר!$A$2:$A$5001,עזר!L3407))</f>
        <v/>
      </c>
      <c r="B3407" s="13" t="str">
        <f aca="false">IF(עזר!L3407="","",INDEX(עזר!$B$2:$B$5001,עזר!L3407))</f>
        <v/>
      </c>
      <c r="C3407" s="13" t="str">
        <f aca="false">עזר!M3407</f>
        <v/>
      </c>
    </row>
    <row r="3408" customFormat="false" ht="15" hidden="false" customHeight="false" outlineLevel="0" collapsed="false">
      <c r="A3408" s="13" t="str">
        <f aca="false">IF(עזר!L3408="","",INDEX(עזר!$A$2:$A$5001,עזר!L3408))</f>
        <v/>
      </c>
      <c r="B3408" s="13" t="str">
        <f aca="false">IF(עזר!L3408="","",INDEX(עזר!$B$2:$B$5001,עזר!L3408))</f>
        <v/>
      </c>
      <c r="C3408" s="13" t="str">
        <f aca="false">עזר!M3408</f>
        <v/>
      </c>
    </row>
    <row r="3409" customFormat="false" ht="15" hidden="false" customHeight="false" outlineLevel="0" collapsed="false">
      <c r="A3409" s="13" t="str">
        <f aca="false">IF(עזר!L3409="","",INDEX(עזר!$A$2:$A$5001,עזר!L3409))</f>
        <v/>
      </c>
      <c r="B3409" s="13" t="str">
        <f aca="false">IF(עזר!L3409="","",INDEX(עזר!$B$2:$B$5001,עזר!L3409))</f>
        <v/>
      </c>
      <c r="C3409" s="13" t="str">
        <f aca="false">עזר!M3409</f>
        <v/>
      </c>
    </row>
    <row r="3410" customFormat="false" ht="15" hidden="false" customHeight="false" outlineLevel="0" collapsed="false">
      <c r="A3410" s="13" t="str">
        <f aca="false">IF(עזר!L3410="","",INDEX(עזר!$A$2:$A$5001,עזר!L3410))</f>
        <v/>
      </c>
      <c r="B3410" s="13" t="str">
        <f aca="false">IF(עזר!L3410="","",INDEX(עזר!$B$2:$B$5001,עזר!L3410))</f>
        <v/>
      </c>
      <c r="C3410" s="13" t="str">
        <f aca="false">עזר!M3410</f>
        <v/>
      </c>
    </row>
    <row r="3411" customFormat="false" ht="15" hidden="false" customHeight="false" outlineLevel="0" collapsed="false">
      <c r="A3411" s="13" t="str">
        <f aca="false">IF(עזר!L3411="","",INDEX(עזר!$A$2:$A$5001,עזר!L3411))</f>
        <v/>
      </c>
      <c r="B3411" s="13" t="str">
        <f aca="false">IF(עזר!L3411="","",INDEX(עזר!$B$2:$B$5001,עזר!L3411))</f>
        <v/>
      </c>
      <c r="C3411" s="13" t="str">
        <f aca="false">עזר!M3411</f>
        <v/>
      </c>
    </row>
    <row r="3412" customFormat="false" ht="15" hidden="false" customHeight="false" outlineLevel="0" collapsed="false">
      <c r="A3412" s="13" t="str">
        <f aca="false">IF(עזר!L3412="","",INDEX(עזר!$A$2:$A$5001,עזר!L3412))</f>
        <v/>
      </c>
      <c r="B3412" s="13" t="str">
        <f aca="false">IF(עזר!L3412="","",INDEX(עזר!$B$2:$B$5001,עזר!L3412))</f>
        <v/>
      </c>
      <c r="C3412" s="13" t="str">
        <f aca="false">עזר!M3412</f>
        <v/>
      </c>
    </row>
    <row r="3413" customFormat="false" ht="15" hidden="false" customHeight="false" outlineLevel="0" collapsed="false">
      <c r="A3413" s="13" t="str">
        <f aca="false">IF(עזר!L3413="","",INDEX(עזר!$A$2:$A$5001,עזר!L3413))</f>
        <v/>
      </c>
      <c r="B3413" s="13" t="str">
        <f aca="false">IF(עזר!L3413="","",INDEX(עזר!$B$2:$B$5001,עזר!L3413))</f>
        <v/>
      </c>
      <c r="C3413" s="13" t="str">
        <f aca="false">עזר!M3413</f>
        <v/>
      </c>
    </row>
    <row r="3414" customFormat="false" ht="15" hidden="false" customHeight="false" outlineLevel="0" collapsed="false">
      <c r="A3414" s="13" t="str">
        <f aca="false">IF(עזר!L3414="","",INDEX(עזר!$A$2:$A$5001,עזר!L3414))</f>
        <v/>
      </c>
      <c r="B3414" s="13" t="str">
        <f aca="false">IF(עזר!L3414="","",INDEX(עזר!$B$2:$B$5001,עזר!L3414))</f>
        <v/>
      </c>
      <c r="C3414" s="13" t="str">
        <f aca="false">עזר!M3414</f>
        <v/>
      </c>
    </row>
    <row r="3415" customFormat="false" ht="15" hidden="false" customHeight="false" outlineLevel="0" collapsed="false">
      <c r="A3415" s="13" t="str">
        <f aca="false">IF(עזר!L3415="","",INDEX(עזר!$A$2:$A$5001,עזר!L3415))</f>
        <v/>
      </c>
      <c r="B3415" s="13" t="str">
        <f aca="false">IF(עזר!L3415="","",INDEX(עזר!$B$2:$B$5001,עזר!L3415))</f>
        <v/>
      </c>
      <c r="C3415" s="13" t="str">
        <f aca="false">עזר!M3415</f>
        <v/>
      </c>
    </row>
    <row r="3416" customFormat="false" ht="15" hidden="false" customHeight="false" outlineLevel="0" collapsed="false">
      <c r="A3416" s="13" t="str">
        <f aca="false">IF(עזר!L3416="","",INDEX(עזר!$A$2:$A$5001,עזר!L3416))</f>
        <v/>
      </c>
      <c r="B3416" s="13" t="str">
        <f aca="false">IF(עזר!L3416="","",INDEX(עזר!$B$2:$B$5001,עזר!L3416))</f>
        <v/>
      </c>
      <c r="C3416" s="13" t="str">
        <f aca="false">עזר!M3416</f>
        <v/>
      </c>
    </row>
    <row r="3417" customFormat="false" ht="15" hidden="false" customHeight="false" outlineLevel="0" collapsed="false">
      <c r="A3417" s="13" t="str">
        <f aca="false">IF(עזר!L3417="","",INDEX(עזר!$A$2:$A$5001,עזר!L3417))</f>
        <v/>
      </c>
      <c r="B3417" s="13" t="str">
        <f aca="false">IF(עזר!L3417="","",INDEX(עזר!$B$2:$B$5001,עזר!L3417))</f>
        <v/>
      </c>
      <c r="C3417" s="13" t="str">
        <f aca="false">עזר!M3417</f>
        <v/>
      </c>
    </row>
    <row r="3418" customFormat="false" ht="15" hidden="false" customHeight="false" outlineLevel="0" collapsed="false">
      <c r="A3418" s="13" t="str">
        <f aca="false">IF(עזר!L3418="","",INDEX(עזר!$A$2:$A$5001,עזר!L3418))</f>
        <v/>
      </c>
      <c r="B3418" s="13" t="str">
        <f aca="false">IF(עזר!L3418="","",INDEX(עזר!$B$2:$B$5001,עזר!L3418))</f>
        <v/>
      </c>
      <c r="C3418" s="13" t="str">
        <f aca="false">עזר!M3418</f>
        <v/>
      </c>
    </row>
    <row r="3419" customFormat="false" ht="15" hidden="false" customHeight="false" outlineLevel="0" collapsed="false">
      <c r="A3419" s="13" t="str">
        <f aca="false">IF(עזר!L3419="","",INDEX(עזר!$A$2:$A$5001,עזר!L3419))</f>
        <v/>
      </c>
      <c r="B3419" s="13" t="str">
        <f aca="false">IF(עזר!L3419="","",INDEX(עזר!$B$2:$B$5001,עזר!L3419))</f>
        <v/>
      </c>
      <c r="C3419" s="13" t="str">
        <f aca="false">עזר!M3419</f>
        <v/>
      </c>
    </row>
    <row r="3420" customFormat="false" ht="15" hidden="false" customHeight="false" outlineLevel="0" collapsed="false">
      <c r="A3420" s="13" t="str">
        <f aca="false">IF(עזר!L3420="","",INDEX(עזר!$A$2:$A$5001,עזר!L3420))</f>
        <v/>
      </c>
      <c r="B3420" s="13" t="str">
        <f aca="false">IF(עזר!L3420="","",INDEX(עזר!$B$2:$B$5001,עזר!L3420))</f>
        <v/>
      </c>
      <c r="C3420" s="13" t="str">
        <f aca="false">עזר!M3420</f>
        <v/>
      </c>
    </row>
    <row r="3421" customFormat="false" ht="15" hidden="false" customHeight="false" outlineLevel="0" collapsed="false">
      <c r="A3421" s="13" t="str">
        <f aca="false">IF(עזר!L3421="","",INDEX(עזר!$A$2:$A$5001,עזר!L3421))</f>
        <v/>
      </c>
      <c r="B3421" s="13" t="str">
        <f aca="false">IF(עזר!L3421="","",INDEX(עזר!$B$2:$B$5001,עזר!L3421))</f>
        <v/>
      </c>
      <c r="C3421" s="13" t="str">
        <f aca="false">עזר!M3421</f>
        <v/>
      </c>
    </row>
    <row r="3422" customFormat="false" ht="15" hidden="false" customHeight="false" outlineLevel="0" collapsed="false">
      <c r="A3422" s="13" t="str">
        <f aca="false">IF(עזר!L3422="","",INDEX(עזר!$A$2:$A$5001,עזר!L3422))</f>
        <v/>
      </c>
      <c r="B3422" s="13" t="str">
        <f aca="false">IF(עזר!L3422="","",INDEX(עזר!$B$2:$B$5001,עזר!L3422))</f>
        <v/>
      </c>
      <c r="C3422" s="13" t="str">
        <f aca="false">עזר!M3422</f>
        <v/>
      </c>
    </row>
    <row r="3423" customFormat="false" ht="15" hidden="false" customHeight="false" outlineLevel="0" collapsed="false">
      <c r="A3423" s="13" t="str">
        <f aca="false">IF(עזר!L3423="","",INDEX(עזר!$A$2:$A$5001,עזר!L3423))</f>
        <v/>
      </c>
      <c r="B3423" s="13" t="str">
        <f aca="false">IF(עזר!L3423="","",INDEX(עזר!$B$2:$B$5001,עזר!L3423))</f>
        <v/>
      </c>
      <c r="C3423" s="13" t="str">
        <f aca="false">עזר!M3423</f>
        <v/>
      </c>
    </row>
    <row r="3424" customFormat="false" ht="15" hidden="false" customHeight="false" outlineLevel="0" collapsed="false">
      <c r="A3424" s="13" t="str">
        <f aca="false">IF(עזר!L3424="","",INDEX(עזר!$A$2:$A$5001,עזר!L3424))</f>
        <v/>
      </c>
      <c r="B3424" s="13" t="str">
        <f aca="false">IF(עזר!L3424="","",INDEX(עזר!$B$2:$B$5001,עזר!L3424))</f>
        <v/>
      </c>
      <c r="C3424" s="13" t="str">
        <f aca="false">עזר!M3424</f>
        <v/>
      </c>
    </row>
    <row r="3425" customFormat="false" ht="15" hidden="false" customHeight="false" outlineLevel="0" collapsed="false">
      <c r="A3425" s="13" t="str">
        <f aca="false">IF(עזר!L3425="","",INDEX(עזר!$A$2:$A$5001,עזר!L3425))</f>
        <v/>
      </c>
      <c r="B3425" s="13" t="str">
        <f aca="false">IF(עזר!L3425="","",INDEX(עזר!$B$2:$B$5001,עזר!L3425))</f>
        <v/>
      </c>
      <c r="C3425" s="13" t="str">
        <f aca="false">עזר!M3425</f>
        <v/>
      </c>
    </row>
    <row r="3426" customFormat="false" ht="15" hidden="false" customHeight="false" outlineLevel="0" collapsed="false">
      <c r="A3426" s="13" t="str">
        <f aca="false">IF(עזר!L3426="","",INDEX(עזר!$A$2:$A$5001,עזר!L3426))</f>
        <v/>
      </c>
      <c r="B3426" s="13" t="str">
        <f aca="false">IF(עזר!L3426="","",INDEX(עזר!$B$2:$B$5001,עזר!L3426))</f>
        <v/>
      </c>
      <c r="C3426" s="13" t="str">
        <f aca="false">עזר!M3426</f>
        <v/>
      </c>
    </row>
    <row r="3427" customFormat="false" ht="15" hidden="false" customHeight="false" outlineLevel="0" collapsed="false">
      <c r="A3427" s="13" t="str">
        <f aca="false">IF(עזר!L3427="","",INDEX(עזר!$A$2:$A$5001,עזר!L3427))</f>
        <v/>
      </c>
      <c r="B3427" s="13" t="str">
        <f aca="false">IF(עזר!L3427="","",INDEX(עזר!$B$2:$B$5001,עזר!L3427))</f>
        <v/>
      </c>
      <c r="C3427" s="13" t="str">
        <f aca="false">עזר!M3427</f>
        <v/>
      </c>
    </row>
    <row r="3428" customFormat="false" ht="15" hidden="false" customHeight="false" outlineLevel="0" collapsed="false">
      <c r="A3428" s="13" t="str">
        <f aca="false">IF(עזר!L3428="","",INDEX(עזר!$A$2:$A$5001,עזר!L3428))</f>
        <v/>
      </c>
      <c r="B3428" s="13" t="str">
        <f aca="false">IF(עזר!L3428="","",INDEX(עזר!$B$2:$B$5001,עזר!L3428))</f>
        <v/>
      </c>
      <c r="C3428" s="13" t="str">
        <f aca="false">עזר!M3428</f>
        <v/>
      </c>
    </row>
    <row r="3429" customFormat="false" ht="15" hidden="false" customHeight="false" outlineLevel="0" collapsed="false">
      <c r="A3429" s="13" t="str">
        <f aca="false">IF(עזר!L3429="","",INDEX(עזר!$A$2:$A$5001,עזר!L3429))</f>
        <v/>
      </c>
      <c r="B3429" s="13" t="str">
        <f aca="false">IF(עזר!L3429="","",INDEX(עזר!$B$2:$B$5001,עזר!L3429))</f>
        <v/>
      </c>
      <c r="C3429" s="13" t="str">
        <f aca="false">עזר!M3429</f>
        <v/>
      </c>
    </row>
    <row r="3430" customFormat="false" ht="15" hidden="false" customHeight="false" outlineLevel="0" collapsed="false">
      <c r="A3430" s="13" t="str">
        <f aca="false">IF(עזר!L3430="","",INDEX(עזר!$A$2:$A$5001,עזר!L3430))</f>
        <v/>
      </c>
      <c r="B3430" s="13" t="str">
        <f aca="false">IF(עזר!L3430="","",INDEX(עזר!$B$2:$B$5001,עזר!L3430))</f>
        <v/>
      </c>
      <c r="C3430" s="13" t="str">
        <f aca="false">עזר!M3430</f>
        <v/>
      </c>
    </row>
    <row r="3431" customFormat="false" ht="15" hidden="false" customHeight="false" outlineLevel="0" collapsed="false">
      <c r="A3431" s="13" t="str">
        <f aca="false">IF(עזר!L3431="","",INDEX(עזר!$A$2:$A$5001,עזר!L3431))</f>
        <v/>
      </c>
      <c r="B3431" s="13" t="str">
        <f aca="false">IF(עזר!L3431="","",INDEX(עזר!$B$2:$B$5001,עזר!L3431))</f>
        <v/>
      </c>
      <c r="C3431" s="13" t="str">
        <f aca="false">עזר!M3431</f>
        <v/>
      </c>
    </row>
    <row r="3432" customFormat="false" ht="15" hidden="false" customHeight="false" outlineLevel="0" collapsed="false">
      <c r="A3432" s="13" t="str">
        <f aca="false">IF(עזר!L3432="","",INDEX(עזר!$A$2:$A$5001,עזר!L3432))</f>
        <v/>
      </c>
      <c r="B3432" s="13" t="str">
        <f aca="false">IF(עזר!L3432="","",INDEX(עזר!$B$2:$B$5001,עזר!L3432))</f>
        <v/>
      </c>
      <c r="C3432" s="13" t="str">
        <f aca="false">עזר!M3432</f>
        <v/>
      </c>
    </row>
    <row r="3433" customFormat="false" ht="15" hidden="false" customHeight="false" outlineLevel="0" collapsed="false">
      <c r="A3433" s="13" t="str">
        <f aca="false">IF(עזר!L3433="","",INDEX(עזר!$A$2:$A$5001,עזר!L3433))</f>
        <v/>
      </c>
      <c r="B3433" s="13" t="str">
        <f aca="false">IF(עזר!L3433="","",INDEX(עזר!$B$2:$B$5001,עזר!L3433))</f>
        <v/>
      </c>
      <c r="C3433" s="13" t="str">
        <f aca="false">עזר!M3433</f>
        <v/>
      </c>
    </row>
    <row r="3434" customFormat="false" ht="15" hidden="false" customHeight="false" outlineLevel="0" collapsed="false">
      <c r="A3434" s="13" t="str">
        <f aca="false">IF(עזר!L3434="","",INDEX(עזר!$A$2:$A$5001,עזר!L3434))</f>
        <v/>
      </c>
      <c r="B3434" s="13" t="str">
        <f aca="false">IF(עזר!L3434="","",INDEX(עזר!$B$2:$B$5001,עזר!L3434))</f>
        <v/>
      </c>
      <c r="C3434" s="13" t="str">
        <f aca="false">עזר!M3434</f>
        <v/>
      </c>
    </row>
    <row r="3435" customFormat="false" ht="15" hidden="false" customHeight="false" outlineLevel="0" collapsed="false">
      <c r="A3435" s="13" t="str">
        <f aca="false">IF(עזר!L3435="","",INDEX(עזר!$A$2:$A$5001,עזר!L3435))</f>
        <v/>
      </c>
      <c r="B3435" s="13" t="str">
        <f aca="false">IF(עזר!L3435="","",INDEX(עזר!$B$2:$B$5001,עזר!L3435))</f>
        <v/>
      </c>
      <c r="C3435" s="13" t="str">
        <f aca="false">עזר!M3435</f>
        <v/>
      </c>
    </row>
    <row r="3436" customFormat="false" ht="15" hidden="false" customHeight="false" outlineLevel="0" collapsed="false">
      <c r="A3436" s="13" t="str">
        <f aca="false">IF(עזר!L3436="","",INDEX(עזר!$A$2:$A$5001,עזר!L3436))</f>
        <v/>
      </c>
      <c r="B3436" s="13" t="str">
        <f aca="false">IF(עזר!L3436="","",INDEX(עזר!$B$2:$B$5001,עזר!L3436))</f>
        <v/>
      </c>
      <c r="C3436" s="13" t="str">
        <f aca="false">עזר!M3436</f>
        <v/>
      </c>
    </row>
    <row r="3437" customFormat="false" ht="15" hidden="false" customHeight="false" outlineLevel="0" collapsed="false">
      <c r="A3437" s="13" t="str">
        <f aca="false">IF(עזר!L3437="","",INDEX(עזר!$A$2:$A$5001,עזר!L3437))</f>
        <v/>
      </c>
      <c r="B3437" s="13" t="str">
        <f aca="false">IF(עזר!L3437="","",INDEX(עזר!$B$2:$B$5001,עזר!L3437))</f>
        <v/>
      </c>
      <c r="C3437" s="13" t="str">
        <f aca="false">עזר!M3437</f>
        <v/>
      </c>
    </row>
    <row r="3438" customFormat="false" ht="15" hidden="false" customHeight="false" outlineLevel="0" collapsed="false">
      <c r="A3438" s="13" t="str">
        <f aca="false">IF(עזר!L3438="","",INDEX(עזר!$A$2:$A$5001,עזר!L3438))</f>
        <v/>
      </c>
      <c r="B3438" s="13" t="str">
        <f aca="false">IF(עזר!L3438="","",INDEX(עזר!$B$2:$B$5001,עזר!L3438))</f>
        <v/>
      </c>
      <c r="C3438" s="13" t="str">
        <f aca="false">עזר!M3438</f>
        <v/>
      </c>
    </row>
    <row r="3439" customFormat="false" ht="15" hidden="false" customHeight="false" outlineLevel="0" collapsed="false">
      <c r="A3439" s="13" t="str">
        <f aca="false">IF(עזר!L3439="","",INDEX(עזר!$A$2:$A$5001,עזר!L3439))</f>
        <v/>
      </c>
      <c r="B3439" s="13" t="str">
        <f aca="false">IF(עזר!L3439="","",INDEX(עזר!$B$2:$B$5001,עזר!L3439))</f>
        <v/>
      </c>
      <c r="C3439" s="13" t="str">
        <f aca="false">עזר!M3439</f>
        <v/>
      </c>
    </row>
    <row r="3440" customFormat="false" ht="15" hidden="false" customHeight="false" outlineLevel="0" collapsed="false">
      <c r="A3440" s="13" t="str">
        <f aca="false">IF(עזר!L3440="","",INDEX(עזר!$A$2:$A$5001,עזר!L3440))</f>
        <v/>
      </c>
      <c r="B3440" s="13" t="str">
        <f aca="false">IF(עזר!L3440="","",INDEX(עזר!$B$2:$B$5001,עזר!L3440))</f>
        <v/>
      </c>
      <c r="C3440" s="13" t="str">
        <f aca="false">עזר!M3440</f>
        <v/>
      </c>
    </row>
    <row r="3441" customFormat="false" ht="15" hidden="false" customHeight="false" outlineLevel="0" collapsed="false">
      <c r="A3441" s="13" t="str">
        <f aca="false">IF(עזר!L3441="","",INDEX(עזר!$A$2:$A$5001,עזר!L3441))</f>
        <v/>
      </c>
      <c r="B3441" s="13" t="str">
        <f aca="false">IF(עזר!L3441="","",INDEX(עזר!$B$2:$B$5001,עזר!L3441))</f>
        <v/>
      </c>
      <c r="C3441" s="13" t="str">
        <f aca="false">עזר!M3441</f>
        <v/>
      </c>
    </row>
    <row r="3442" customFormat="false" ht="15" hidden="false" customHeight="false" outlineLevel="0" collapsed="false">
      <c r="A3442" s="13" t="str">
        <f aca="false">IF(עזר!L3442="","",INDEX(עזר!$A$2:$A$5001,עזר!L3442))</f>
        <v/>
      </c>
      <c r="B3442" s="13" t="str">
        <f aca="false">IF(עזר!L3442="","",INDEX(עזר!$B$2:$B$5001,עזר!L3442))</f>
        <v/>
      </c>
      <c r="C3442" s="13" t="str">
        <f aca="false">עזר!M3442</f>
        <v/>
      </c>
    </row>
    <row r="3443" customFormat="false" ht="15" hidden="false" customHeight="false" outlineLevel="0" collapsed="false">
      <c r="A3443" s="13" t="str">
        <f aca="false">IF(עזר!L3443="","",INDEX(עזר!$A$2:$A$5001,עזר!L3443))</f>
        <v/>
      </c>
      <c r="B3443" s="13" t="str">
        <f aca="false">IF(עזר!L3443="","",INDEX(עזר!$B$2:$B$5001,עזר!L3443))</f>
        <v/>
      </c>
      <c r="C3443" s="13" t="str">
        <f aca="false">עזר!M3443</f>
        <v/>
      </c>
    </row>
    <row r="3444" customFormat="false" ht="15" hidden="false" customHeight="false" outlineLevel="0" collapsed="false">
      <c r="A3444" s="13" t="str">
        <f aca="false">IF(עזר!L3444="","",INDEX(עזר!$A$2:$A$5001,עזר!L3444))</f>
        <v/>
      </c>
      <c r="B3444" s="13" t="str">
        <f aca="false">IF(עזר!L3444="","",INDEX(עזר!$B$2:$B$5001,עזר!L3444))</f>
        <v/>
      </c>
      <c r="C3444" s="13" t="str">
        <f aca="false">עזר!M3444</f>
        <v/>
      </c>
    </row>
    <row r="3445" customFormat="false" ht="15" hidden="false" customHeight="false" outlineLevel="0" collapsed="false">
      <c r="A3445" s="13" t="str">
        <f aca="false">IF(עזר!L3445="","",INDEX(עזר!$A$2:$A$5001,עזר!L3445))</f>
        <v/>
      </c>
      <c r="B3445" s="13" t="str">
        <f aca="false">IF(עזר!L3445="","",INDEX(עזר!$B$2:$B$5001,עזר!L3445))</f>
        <v/>
      </c>
      <c r="C3445" s="13" t="str">
        <f aca="false">עזר!M3445</f>
        <v/>
      </c>
    </row>
    <row r="3446" customFormat="false" ht="15" hidden="false" customHeight="false" outlineLevel="0" collapsed="false">
      <c r="A3446" s="13" t="str">
        <f aca="false">IF(עזר!L3446="","",INDEX(עזר!$A$2:$A$5001,עזר!L3446))</f>
        <v/>
      </c>
      <c r="B3446" s="13" t="str">
        <f aca="false">IF(עזר!L3446="","",INDEX(עזר!$B$2:$B$5001,עזר!L3446))</f>
        <v/>
      </c>
      <c r="C3446" s="13" t="str">
        <f aca="false">עזר!M3446</f>
        <v/>
      </c>
    </row>
    <row r="3447" customFormat="false" ht="15" hidden="false" customHeight="false" outlineLevel="0" collapsed="false">
      <c r="A3447" s="13" t="str">
        <f aca="false">IF(עזר!L3447="","",INDEX(עזר!$A$2:$A$5001,עזר!L3447))</f>
        <v/>
      </c>
      <c r="B3447" s="13" t="str">
        <f aca="false">IF(עזר!L3447="","",INDEX(עזר!$B$2:$B$5001,עזר!L3447))</f>
        <v/>
      </c>
      <c r="C3447" s="13" t="str">
        <f aca="false">עזר!M3447</f>
        <v/>
      </c>
    </row>
    <row r="3448" customFormat="false" ht="15" hidden="false" customHeight="false" outlineLevel="0" collapsed="false">
      <c r="A3448" s="13" t="str">
        <f aca="false">IF(עזר!L3448="","",INDEX(עזר!$A$2:$A$5001,עזר!L3448))</f>
        <v/>
      </c>
      <c r="B3448" s="13" t="str">
        <f aca="false">IF(עזר!L3448="","",INDEX(עזר!$B$2:$B$5001,עזר!L3448))</f>
        <v/>
      </c>
      <c r="C3448" s="13" t="str">
        <f aca="false">עזר!M3448</f>
        <v/>
      </c>
    </row>
    <row r="3449" customFormat="false" ht="15" hidden="false" customHeight="false" outlineLevel="0" collapsed="false">
      <c r="A3449" s="13" t="str">
        <f aca="false">IF(עזר!L3449="","",INDEX(עזר!$A$2:$A$5001,עזר!L3449))</f>
        <v/>
      </c>
      <c r="B3449" s="13" t="str">
        <f aca="false">IF(עזר!L3449="","",INDEX(עזר!$B$2:$B$5001,עזר!L3449))</f>
        <v/>
      </c>
      <c r="C3449" s="13" t="str">
        <f aca="false">עזר!M3449</f>
        <v/>
      </c>
    </row>
    <row r="3450" customFormat="false" ht="15" hidden="false" customHeight="false" outlineLevel="0" collapsed="false">
      <c r="A3450" s="13" t="str">
        <f aca="false">IF(עזר!L3450="","",INDEX(עזר!$A$2:$A$5001,עזר!L3450))</f>
        <v/>
      </c>
      <c r="B3450" s="13" t="str">
        <f aca="false">IF(עזר!L3450="","",INDEX(עזר!$B$2:$B$5001,עזר!L3450))</f>
        <v/>
      </c>
      <c r="C3450" s="13" t="str">
        <f aca="false">עזר!M3450</f>
        <v/>
      </c>
    </row>
    <row r="3451" customFormat="false" ht="15" hidden="false" customHeight="false" outlineLevel="0" collapsed="false">
      <c r="A3451" s="13" t="str">
        <f aca="false">IF(עזר!L3451="","",INDEX(עזר!$A$2:$A$5001,עזר!L3451))</f>
        <v/>
      </c>
      <c r="B3451" s="13" t="str">
        <f aca="false">IF(עזר!L3451="","",INDEX(עזר!$B$2:$B$5001,עזר!L3451))</f>
        <v/>
      </c>
      <c r="C3451" s="13" t="str">
        <f aca="false">עזר!M3451</f>
        <v/>
      </c>
    </row>
    <row r="3452" customFormat="false" ht="15" hidden="false" customHeight="false" outlineLevel="0" collapsed="false">
      <c r="A3452" s="13" t="str">
        <f aca="false">IF(עזר!L3452="","",INDEX(עזר!$A$2:$A$5001,עזר!L3452))</f>
        <v/>
      </c>
      <c r="B3452" s="13" t="str">
        <f aca="false">IF(עזר!L3452="","",INDEX(עזר!$B$2:$B$5001,עזר!L3452))</f>
        <v/>
      </c>
      <c r="C3452" s="13" t="str">
        <f aca="false">עזר!M3452</f>
        <v/>
      </c>
    </row>
    <row r="3453" customFormat="false" ht="15" hidden="false" customHeight="false" outlineLevel="0" collapsed="false">
      <c r="A3453" s="13" t="str">
        <f aca="false">IF(עזר!L3453="","",INDEX(עזר!$A$2:$A$5001,עזר!L3453))</f>
        <v/>
      </c>
      <c r="B3453" s="13" t="str">
        <f aca="false">IF(עזר!L3453="","",INDEX(עזר!$B$2:$B$5001,עזר!L3453))</f>
        <v/>
      </c>
      <c r="C3453" s="13" t="str">
        <f aca="false">עזר!M3453</f>
        <v/>
      </c>
    </row>
    <row r="3454" customFormat="false" ht="15" hidden="false" customHeight="false" outlineLevel="0" collapsed="false">
      <c r="A3454" s="13" t="str">
        <f aca="false">IF(עזר!L3454="","",INDEX(עזר!$A$2:$A$5001,עזר!L3454))</f>
        <v/>
      </c>
      <c r="B3454" s="13" t="str">
        <f aca="false">IF(עזר!L3454="","",INDEX(עזר!$B$2:$B$5001,עזר!L3454))</f>
        <v/>
      </c>
      <c r="C3454" s="13" t="str">
        <f aca="false">עזר!M3454</f>
        <v/>
      </c>
    </row>
    <row r="3455" customFormat="false" ht="15" hidden="false" customHeight="false" outlineLevel="0" collapsed="false">
      <c r="A3455" s="13" t="str">
        <f aca="false">IF(עזר!L3455="","",INDEX(עזר!$A$2:$A$5001,עזר!L3455))</f>
        <v/>
      </c>
      <c r="B3455" s="13" t="str">
        <f aca="false">IF(עזר!L3455="","",INDEX(עזר!$B$2:$B$5001,עזר!L3455))</f>
        <v/>
      </c>
      <c r="C3455" s="13" t="str">
        <f aca="false">עזר!M3455</f>
        <v/>
      </c>
    </row>
    <row r="3456" customFormat="false" ht="15" hidden="false" customHeight="false" outlineLevel="0" collapsed="false">
      <c r="A3456" s="13" t="str">
        <f aca="false">IF(עזר!L3456="","",INDEX(עזר!$A$2:$A$5001,עזר!L3456))</f>
        <v/>
      </c>
      <c r="B3456" s="13" t="str">
        <f aca="false">IF(עזר!L3456="","",INDEX(עזר!$B$2:$B$5001,עזר!L3456))</f>
        <v/>
      </c>
      <c r="C3456" s="13" t="str">
        <f aca="false">עזר!M3456</f>
        <v/>
      </c>
    </row>
    <row r="3457" customFormat="false" ht="15" hidden="false" customHeight="false" outlineLevel="0" collapsed="false">
      <c r="A3457" s="13" t="str">
        <f aca="false">IF(עזר!L3457="","",INDEX(עזר!$A$2:$A$5001,עזר!L3457))</f>
        <v/>
      </c>
      <c r="B3457" s="13" t="str">
        <f aca="false">IF(עזר!L3457="","",INDEX(עזר!$B$2:$B$5001,עזר!L3457))</f>
        <v/>
      </c>
      <c r="C3457" s="13" t="str">
        <f aca="false">עזר!M3457</f>
        <v/>
      </c>
    </row>
    <row r="3458" customFormat="false" ht="15" hidden="false" customHeight="false" outlineLevel="0" collapsed="false">
      <c r="A3458" s="13" t="str">
        <f aca="false">IF(עזר!L3458="","",INDEX(עזר!$A$2:$A$5001,עזר!L3458))</f>
        <v/>
      </c>
      <c r="B3458" s="13" t="str">
        <f aca="false">IF(עזר!L3458="","",INDEX(עזר!$B$2:$B$5001,עזר!L3458))</f>
        <v/>
      </c>
      <c r="C3458" s="13" t="str">
        <f aca="false">עזר!M3458</f>
        <v/>
      </c>
    </row>
    <row r="3459" customFormat="false" ht="15" hidden="false" customHeight="false" outlineLevel="0" collapsed="false">
      <c r="A3459" s="13" t="str">
        <f aca="false">IF(עזר!L3459="","",INDEX(עזר!$A$2:$A$5001,עזר!L3459))</f>
        <v/>
      </c>
      <c r="B3459" s="13" t="str">
        <f aca="false">IF(עזר!L3459="","",INDEX(עזר!$B$2:$B$5001,עזר!L3459))</f>
        <v/>
      </c>
      <c r="C3459" s="13" t="str">
        <f aca="false">עזר!M3459</f>
        <v/>
      </c>
    </row>
    <row r="3460" customFormat="false" ht="15" hidden="false" customHeight="false" outlineLevel="0" collapsed="false">
      <c r="A3460" s="13" t="str">
        <f aca="false">IF(עזר!L3460="","",INDEX(עזר!$A$2:$A$5001,עזר!L3460))</f>
        <v/>
      </c>
      <c r="B3460" s="13" t="str">
        <f aca="false">IF(עזר!L3460="","",INDEX(עזר!$B$2:$B$5001,עזר!L3460))</f>
        <v/>
      </c>
      <c r="C3460" s="13" t="str">
        <f aca="false">עזר!M3460</f>
        <v/>
      </c>
    </row>
    <row r="3461" customFormat="false" ht="15" hidden="false" customHeight="false" outlineLevel="0" collapsed="false">
      <c r="A3461" s="13" t="str">
        <f aca="false">IF(עזר!L3461="","",INDEX(עזר!$A$2:$A$5001,עזר!L3461))</f>
        <v/>
      </c>
      <c r="B3461" s="13" t="str">
        <f aca="false">IF(עזר!L3461="","",INDEX(עזר!$B$2:$B$5001,עזר!L3461))</f>
        <v/>
      </c>
      <c r="C3461" s="13" t="str">
        <f aca="false">עזר!M3461</f>
        <v/>
      </c>
    </row>
    <row r="3462" customFormat="false" ht="15" hidden="false" customHeight="false" outlineLevel="0" collapsed="false">
      <c r="A3462" s="13" t="str">
        <f aca="false">IF(עזר!L3462="","",INDEX(עזר!$A$2:$A$5001,עזר!L3462))</f>
        <v/>
      </c>
      <c r="B3462" s="13" t="str">
        <f aca="false">IF(עזר!L3462="","",INDEX(עזר!$B$2:$B$5001,עזר!L3462))</f>
        <v/>
      </c>
      <c r="C3462" s="13" t="str">
        <f aca="false">עזר!M3462</f>
        <v/>
      </c>
    </row>
    <row r="3463" customFormat="false" ht="15" hidden="false" customHeight="false" outlineLevel="0" collapsed="false">
      <c r="A3463" s="13" t="str">
        <f aca="false">IF(עזר!L3463="","",INDEX(עזר!$A$2:$A$5001,עזר!L3463))</f>
        <v/>
      </c>
      <c r="B3463" s="13" t="str">
        <f aca="false">IF(עזר!L3463="","",INDEX(עזר!$B$2:$B$5001,עזר!L3463))</f>
        <v/>
      </c>
      <c r="C3463" s="13" t="str">
        <f aca="false">עזר!M3463</f>
        <v/>
      </c>
    </row>
    <row r="3464" customFormat="false" ht="15" hidden="false" customHeight="false" outlineLevel="0" collapsed="false">
      <c r="A3464" s="13" t="str">
        <f aca="false">IF(עזר!L3464="","",INDEX(עזר!$A$2:$A$5001,עזר!L3464))</f>
        <v/>
      </c>
      <c r="B3464" s="13" t="str">
        <f aca="false">IF(עזר!L3464="","",INDEX(עזר!$B$2:$B$5001,עזר!L3464))</f>
        <v/>
      </c>
      <c r="C3464" s="13" t="str">
        <f aca="false">עזר!M3464</f>
        <v/>
      </c>
    </row>
    <row r="3465" customFormat="false" ht="15" hidden="false" customHeight="false" outlineLevel="0" collapsed="false">
      <c r="A3465" s="13" t="str">
        <f aca="false">IF(עזר!L3465="","",INDEX(עזר!$A$2:$A$5001,עזר!L3465))</f>
        <v/>
      </c>
      <c r="B3465" s="13" t="str">
        <f aca="false">IF(עזר!L3465="","",INDEX(עזר!$B$2:$B$5001,עזר!L3465))</f>
        <v/>
      </c>
      <c r="C3465" s="13" t="str">
        <f aca="false">עזר!M3465</f>
        <v/>
      </c>
    </row>
    <row r="3466" customFormat="false" ht="15" hidden="false" customHeight="false" outlineLevel="0" collapsed="false">
      <c r="A3466" s="13" t="str">
        <f aca="false">IF(עזר!L3466="","",INDEX(עזר!$A$2:$A$5001,עזר!L3466))</f>
        <v/>
      </c>
      <c r="B3466" s="13" t="str">
        <f aca="false">IF(עזר!L3466="","",INDEX(עזר!$B$2:$B$5001,עזר!L3466))</f>
        <v/>
      </c>
      <c r="C3466" s="13" t="str">
        <f aca="false">עזר!M3466</f>
        <v/>
      </c>
    </row>
    <row r="3467" customFormat="false" ht="15" hidden="false" customHeight="false" outlineLevel="0" collapsed="false">
      <c r="A3467" s="13" t="str">
        <f aca="false">IF(עזר!L3467="","",INDEX(עזר!$A$2:$A$5001,עזר!L3467))</f>
        <v/>
      </c>
      <c r="B3467" s="13" t="str">
        <f aca="false">IF(עזר!L3467="","",INDEX(עזר!$B$2:$B$5001,עזר!L3467))</f>
        <v/>
      </c>
      <c r="C3467" s="13" t="str">
        <f aca="false">עזר!M3467</f>
        <v/>
      </c>
    </row>
    <row r="3468" customFormat="false" ht="15" hidden="false" customHeight="false" outlineLevel="0" collapsed="false">
      <c r="A3468" s="13" t="str">
        <f aca="false">IF(עזר!L3468="","",INDEX(עזר!$A$2:$A$5001,עזר!L3468))</f>
        <v/>
      </c>
      <c r="B3468" s="13" t="str">
        <f aca="false">IF(עזר!L3468="","",INDEX(עזר!$B$2:$B$5001,עזר!L3468))</f>
        <v/>
      </c>
      <c r="C3468" s="13" t="str">
        <f aca="false">עזר!M3468</f>
        <v/>
      </c>
    </row>
    <row r="3469" customFormat="false" ht="15" hidden="false" customHeight="false" outlineLevel="0" collapsed="false">
      <c r="A3469" s="13" t="str">
        <f aca="false">IF(עזר!L3469="","",INDEX(עזר!$A$2:$A$5001,עזר!L3469))</f>
        <v/>
      </c>
      <c r="B3469" s="13" t="str">
        <f aca="false">IF(עזר!L3469="","",INDEX(עזר!$B$2:$B$5001,עזר!L3469))</f>
        <v/>
      </c>
      <c r="C3469" s="13" t="str">
        <f aca="false">עזר!M3469</f>
        <v/>
      </c>
    </row>
    <row r="3470" customFormat="false" ht="15" hidden="false" customHeight="false" outlineLevel="0" collapsed="false">
      <c r="A3470" s="13" t="str">
        <f aca="false">IF(עזר!L3470="","",INDEX(עזר!$A$2:$A$5001,עזר!L3470))</f>
        <v/>
      </c>
      <c r="B3470" s="13" t="str">
        <f aca="false">IF(עזר!L3470="","",INDEX(עזר!$B$2:$B$5001,עזר!L3470))</f>
        <v/>
      </c>
      <c r="C3470" s="13" t="str">
        <f aca="false">עזר!M3470</f>
        <v/>
      </c>
    </row>
    <row r="3471" customFormat="false" ht="15" hidden="false" customHeight="false" outlineLevel="0" collapsed="false">
      <c r="A3471" s="13" t="str">
        <f aca="false">IF(עזר!L3471="","",INDEX(עזר!$A$2:$A$5001,עזר!L3471))</f>
        <v/>
      </c>
      <c r="B3471" s="13" t="str">
        <f aca="false">IF(עזר!L3471="","",INDEX(עזר!$B$2:$B$5001,עזר!L3471))</f>
        <v/>
      </c>
      <c r="C3471" s="13" t="str">
        <f aca="false">עזר!M3471</f>
        <v/>
      </c>
    </row>
    <row r="3472" customFormat="false" ht="15" hidden="false" customHeight="false" outlineLevel="0" collapsed="false">
      <c r="A3472" s="13" t="str">
        <f aca="false">IF(עזר!L3472="","",INDEX(עזר!$A$2:$A$5001,עזר!L3472))</f>
        <v/>
      </c>
      <c r="B3472" s="13" t="str">
        <f aca="false">IF(עזר!L3472="","",INDEX(עזר!$B$2:$B$5001,עזר!L3472))</f>
        <v/>
      </c>
      <c r="C3472" s="13" t="str">
        <f aca="false">עזר!M3472</f>
        <v/>
      </c>
    </row>
    <row r="3473" customFormat="false" ht="15" hidden="false" customHeight="false" outlineLevel="0" collapsed="false">
      <c r="A3473" s="13" t="str">
        <f aca="false">IF(עזר!L3473="","",INDEX(עזר!$A$2:$A$5001,עזר!L3473))</f>
        <v/>
      </c>
      <c r="B3473" s="13" t="str">
        <f aca="false">IF(עזר!L3473="","",INDEX(עזר!$B$2:$B$5001,עזר!L3473))</f>
        <v/>
      </c>
      <c r="C3473" s="13" t="str">
        <f aca="false">עזר!M3473</f>
        <v/>
      </c>
    </row>
    <row r="3474" customFormat="false" ht="15" hidden="false" customHeight="false" outlineLevel="0" collapsed="false">
      <c r="A3474" s="13" t="str">
        <f aca="false">IF(עזר!L3474="","",INDEX(עזר!$A$2:$A$5001,עזר!L3474))</f>
        <v/>
      </c>
      <c r="B3474" s="13" t="str">
        <f aca="false">IF(עזר!L3474="","",INDEX(עזר!$B$2:$B$5001,עזר!L3474))</f>
        <v/>
      </c>
      <c r="C3474" s="13" t="str">
        <f aca="false">עזר!M3474</f>
        <v/>
      </c>
    </row>
    <row r="3475" customFormat="false" ht="15" hidden="false" customHeight="false" outlineLevel="0" collapsed="false">
      <c r="A3475" s="13" t="str">
        <f aca="false">IF(עזר!L3475="","",INDEX(עזר!$A$2:$A$5001,עזר!L3475))</f>
        <v/>
      </c>
      <c r="B3475" s="13" t="str">
        <f aca="false">IF(עזר!L3475="","",INDEX(עזר!$B$2:$B$5001,עזר!L3475))</f>
        <v/>
      </c>
      <c r="C3475" s="13" t="str">
        <f aca="false">עזר!M3475</f>
        <v/>
      </c>
    </row>
    <row r="3476" customFormat="false" ht="15" hidden="false" customHeight="false" outlineLevel="0" collapsed="false">
      <c r="A3476" s="13" t="str">
        <f aca="false">IF(עזר!L3476="","",INDEX(עזר!$A$2:$A$5001,עזר!L3476))</f>
        <v/>
      </c>
      <c r="B3476" s="13" t="str">
        <f aca="false">IF(עזר!L3476="","",INDEX(עזר!$B$2:$B$5001,עזר!L3476))</f>
        <v/>
      </c>
      <c r="C3476" s="13" t="str">
        <f aca="false">עזר!M3476</f>
        <v/>
      </c>
    </row>
    <row r="3477" customFormat="false" ht="15" hidden="false" customHeight="false" outlineLevel="0" collapsed="false">
      <c r="A3477" s="13" t="str">
        <f aca="false">IF(עזר!L3477="","",INDEX(עזר!$A$2:$A$5001,עזר!L3477))</f>
        <v/>
      </c>
      <c r="B3477" s="13" t="str">
        <f aca="false">IF(עזר!L3477="","",INDEX(עזר!$B$2:$B$5001,עזר!L3477))</f>
        <v/>
      </c>
      <c r="C3477" s="13" t="str">
        <f aca="false">עזר!M3477</f>
        <v/>
      </c>
    </row>
    <row r="3478" customFormat="false" ht="15" hidden="false" customHeight="false" outlineLevel="0" collapsed="false">
      <c r="A3478" s="13" t="str">
        <f aca="false">IF(עזר!L3478="","",INDEX(עזר!$A$2:$A$5001,עזר!L3478))</f>
        <v/>
      </c>
      <c r="B3478" s="13" t="str">
        <f aca="false">IF(עזר!L3478="","",INDEX(עזר!$B$2:$B$5001,עזר!L3478))</f>
        <v/>
      </c>
      <c r="C3478" s="13" t="str">
        <f aca="false">עזר!M3478</f>
        <v/>
      </c>
    </row>
    <row r="3479" customFormat="false" ht="15" hidden="false" customHeight="false" outlineLevel="0" collapsed="false">
      <c r="A3479" s="13" t="str">
        <f aca="false">IF(עזר!L3479="","",INDEX(עזר!$A$2:$A$5001,עזר!L3479))</f>
        <v/>
      </c>
      <c r="B3479" s="13" t="str">
        <f aca="false">IF(עזר!L3479="","",INDEX(עזר!$B$2:$B$5001,עזר!L3479))</f>
        <v/>
      </c>
      <c r="C3479" s="13" t="str">
        <f aca="false">עזר!M3479</f>
        <v/>
      </c>
    </row>
    <row r="3480" customFormat="false" ht="15" hidden="false" customHeight="false" outlineLevel="0" collapsed="false">
      <c r="A3480" s="13" t="str">
        <f aca="false">IF(עזר!L3480="","",INDEX(עזר!$A$2:$A$5001,עזר!L3480))</f>
        <v/>
      </c>
      <c r="B3480" s="13" t="str">
        <f aca="false">IF(עזר!L3480="","",INDEX(עזר!$B$2:$B$5001,עזר!L3480))</f>
        <v/>
      </c>
      <c r="C3480" s="13" t="str">
        <f aca="false">עזר!M3480</f>
        <v/>
      </c>
    </row>
    <row r="3481" customFormat="false" ht="15" hidden="false" customHeight="false" outlineLevel="0" collapsed="false">
      <c r="A3481" s="13" t="str">
        <f aca="false">IF(עזר!L3481="","",INDEX(עזר!$A$2:$A$5001,עזר!L3481))</f>
        <v/>
      </c>
      <c r="B3481" s="13" t="str">
        <f aca="false">IF(עזר!L3481="","",INDEX(עזר!$B$2:$B$5001,עזר!L3481))</f>
        <v/>
      </c>
      <c r="C3481" s="13" t="str">
        <f aca="false">עזר!M3481</f>
        <v/>
      </c>
    </row>
    <row r="3482" customFormat="false" ht="15" hidden="false" customHeight="false" outlineLevel="0" collapsed="false">
      <c r="A3482" s="13" t="str">
        <f aca="false">IF(עזר!L3482="","",INDEX(עזר!$A$2:$A$5001,עזר!L3482))</f>
        <v/>
      </c>
      <c r="B3482" s="13" t="str">
        <f aca="false">IF(עזר!L3482="","",INDEX(עזר!$B$2:$B$5001,עזר!L3482))</f>
        <v/>
      </c>
      <c r="C3482" s="13" t="str">
        <f aca="false">עזר!M3482</f>
        <v/>
      </c>
    </row>
    <row r="3483" customFormat="false" ht="15" hidden="false" customHeight="false" outlineLevel="0" collapsed="false">
      <c r="A3483" s="13" t="str">
        <f aca="false">IF(עזר!L3483="","",INDEX(עזר!$A$2:$A$5001,עזר!L3483))</f>
        <v/>
      </c>
      <c r="B3483" s="13" t="str">
        <f aca="false">IF(עזר!L3483="","",INDEX(עזר!$B$2:$B$5001,עזר!L3483))</f>
        <v/>
      </c>
      <c r="C3483" s="13" t="str">
        <f aca="false">עזר!M3483</f>
        <v/>
      </c>
    </row>
    <row r="3484" customFormat="false" ht="15" hidden="false" customHeight="false" outlineLevel="0" collapsed="false">
      <c r="A3484" s="13" t="str">
        <f aca="false">IF(עזר!L3484="","",INDEX(עזר!$A$2:$A$5001,עזר!L3484))</f>
        <v/>
      </c>
      <c r="B3484" s="13" t="str">
        <f aca="false">IF(עזר!L3484="","",INDEX(עזר!$B$2:$B$5001,עזר!L3484))</f>
        <v/>
      </c>
      <c r="C3484" s="13" t="str">
        <f aca="false">עזר!M3484</f>
        <v/>
      </c>
    </row>
    <row r="3485" customFormat="false" ht="15" hidden="false" customHeight="false" outlineLevel="0" collapsed="false">
      <c r="A3485" s="13" t="str">
        <f aca="false">IF(עזר!L3485="","",INDEX(עזר!$A$2:$A$5001,עזר!L3485))</f>
        <v/>
      </c>
      <c r="B3485" s="13" t="str">
        <f aca="false">IF(עזר!L3485="","",INDEX(עזר!$B$2:$B$5001,עזר!L3485))</f>
        <v/>
      </c>
      <c r="C3485" s="13" t="str">
        <f aca="false">עזר!M3485</f>
        <v/>
      </c>
    </row>
    <row r="3486" customFormat="false" ht="15" hidden="false" customHeight="false" outlineLevel="0" collapsed="false">
      <c r="A3486" s="13" t="str">
        <f aca="false">IF(עזר!L3486="","",INDEX(עזר!$A$2:$A$5001,עזר!L3486))</f>
        <v/>
      </c>
      <c r="B3486" s="13" t="str">
        <f aca="false">IF(עזר!L3486="","",INDEX(עזר!$B$2:$B$5001,עזר!L3486))</f>
        <v/>
      </c>
      <c r="C3486" s="13" t="str">
        <f aca="false">עזר!M3486</f>
        <v/>
      </c>
    </row>
    <row r="3487" customFormat="false" ht="15" hidden="false" customHeight="false" outlineLevel="0" collapsed="false">
      <c r="A3487" s="13" t="str">
        <f aca="false">IF(עזר!L3487="","",INDEX(עזר!$A$2:$A$5001,עזר!L3487))</f>
        <v/>
      </c>
      <c r="B3487" s="13" t="str">
        <f aca="false">IF(עזר!L3487="","",INDEX(עזר!$B$2:$B$5001,עזר!L3487))</f>
        <v/>
      </c>
      <c r="C3487" s="13" t="str">
        <f aca="false">עזר!M3487</f>
        <v/>
      </c>
    </row>
    <row r="3488" customFormat="false" ht="15" hidden="false" customHeight="false" outlineLevel="0" collapsed="false">
      <c r="A3488" s="13" t="str">
        <f aca="false">IF(עזר!L3488="","",INDEX(עזר!$A$2:$A$5001,עזר!L3488))</f>
        <v/>
      </c>
      <c r="B3488" s="13" t="str">
        <f aca="false">IF(עזר!L3488="","",INDEX(עזר!$B$2:$B$5001,עזר!L3488))</f>
        <v/>
      </c>
      <c r="C3488" s="13" t="str">
        <f aca="false">עזר!M3488</f>
        <v/>
      </c>
    </row>
    <row r="3489" customFormat="false" ht="15" hidden="false" customHeight="false" outlineLevel="0" collapsed="false">
      <c r="A3489" s="13" t="str">
        <f aca="false">IF(עזר!L3489="","",INDEX(עזר!$A$2:$A$5001,עזר!L3489))</f>
        <v/>
      </c>
      <c r="B3489" s="13" t="str">
        <f aca="false">IF(עזר!L3489="","",INDEX(עזר!$B$2:$B$5001,עזר!L3489))</f>
        <v/>
      </c>
      <c r="C3489" s="13" t="str">
        <f aca="false">עזר!M3489</f>
        <v/>
      </c>
    </row>
    <row r="3490" customFormat="false" ht="15" hidden="false" customHeight="false" outlineLevel="0" collapsed="false">
      <c r="A3490" s="13" t="str">
        <f aca="false">IF(עזר!L3490="","",INDEX(עזר!$A$2:$A$5001,עזר!L3490))</f>
        <v/>
      </c>
      <c r="B3490" s="13" t="str">
        <f aca="false">IF(עזר!L3490="","",INDEX(עזר!$B$2:$B$5001,עזר!L3490))</f>
        <v/>
      </c>
      <c r="C3490" s="13" t="str">
        <f aca="false">עזר!M3490</f>
        <v/>
      </c>
    </row>
    <row r="3491" customFormat="false" ht="15" hidden="false" customHeight="false" outlineLevel="0" collapsed="false">
      <c r="A3491" s="13" t="str">
        <f aca="false">IF(עזר!L3491="","",INDEX(עזר!$A$2:$A$5001,עזר!L3491))</f>
        <v/>
      </c>
      <c r="B3491" s="13" t="str">
        <f aca="false">IF(עזר!L3491="","",INDEX(עזר!$B$2:$B$5001,עזר!L3491))</f>
        <v/>
      </c>
      <c r="C3491" s="13" t="str">
        <f aca="false">עזר!M3491</f>
        <v/>
      </c>
    </row>
    <row r="3492" customFormat="false" ht="15" hidden="false" customHeight="false" outlineLevel="0" collapsed="false">
      <c r="A3492" s="13" t="str">
        <f aca="false">IF(עזר!L3492="","",INDEX(עזר!$A$2:$A$5001,עזר!L3492))</f>
        <v/>
      </c>
      <c r="B3492" s="13" t="str">
        <f aca="false">IF(עזר!L3492="","",INDEX(עזר!$B$2:$B$5001,עזר!L3492))</f>
        <v/>
      </c>
      <c r="C3492" s="13" t="str">
        <f aca="false">עזר!M3492</f>
        <v/>
      </c>
    </row>
    <row r="3493" customFormat="false" ht="15" hidden="false" customHeight="false" outlineLevel="0" collapsed="false">
      <c r="A3493" s="13" t="str">
        <f aca="false">IF(עזר!L3493="","",INDEX(עזר!$A$2:$A$5001,עזר!L3493))</f>
        <v/>
      </c>
      <c r="B3493" s="13" t="str">
        <f aca="false">IF(עזר!L3493="","",INDEX(עזר!$B$2:$B$5001,עזר!L3493))</f>
        <v/>
      </c>
      <c r="C3493" s="13" t="str">
        <f aca="false">עזר!M3493</f>
        <v/>
      </c>
    </row>
    <row r="3494" customFormat="false" ht="15" hidden="false" customHeight="false" outlineLevel="0" collapsed="false">
      <c r="A3494" s="13" t="str">
        <f aca="false">IF(עזר!L3494="","",INDEX(עזר!$A$2:$A$5001,עזר!L3494))</f>
        <v/>
      </c>
      <c r="B3494" s="13" t="str">
        <f aca="false">IF(עזר!L3494="","",INDEX(עזר!$B$2:$B$5001,עזר!L3494))</f>
        <v/>
      </c>
      <c r="C3494" s="13" t="str">
        <f aca="false">עזר!M3494</f>
        <v/>
      </c>
    </row>
    <row r="3495" customFormat="false" ht="15" hidden="false" customHeight="false" outlineLevel="0" collapsed="false">
      <c r="A3495" s="13" t="str">
        <f aca="false">IF(עזר!L3495="","",INDEX(עזר!$A$2:$A$5001,עזר!L3495))</f>
        <v/>
      </c>
      <c r="B3495" s="13" t="str">
        <f aca="false">IF(עזר!L3495="","",INDEX(עזר!$B$2:$B$5001,עזר!L3495))</f>
        <v/>
      </c>
      <c r="C3495" s="13" t="str">
        <f aca="false">עזר!M3495</f>
        <v/>
      </c>
    </row>
    <row r="3496" customFormat="false" ht="15" hidden="false" customHeight="false" outlineLevel="0" collapsed="false">
      <c r="A3496" s="13" t="str">
        <f aca="false">IF(עזר!L3496="","",INDEX(עזר!$A$2:$A$5001,עזר!L3496))</f>
        <v/>
      </c>
      <c r="B3496" s="13" t="str">
        <f aca="false">IF(עזר!L3496="","",INDEX(עזר!$B$2:$B$5001,עזר!L3496))</f>
        <v/>
      </c>
      <c r="C3496" s="13" t="str">
        <f aca="false">עזר!M3496</f>
        <v/>
      </c>
    </row>
    <row r="3497" customFormat="false" ht="15" hidden="false" customHeight="false" outlineLevel="0" collapsed="false">
      <c r="A3497" s="13" t="str">
        <f aca="false">IF(עזר!L3497="","",INDEX(עזר!$A$2:$A$5001,עזר!L3497))</f>
        <v/>
      </c>
      <c r="B3497" s="13" t="str">
        <f aca="false">IF(עזר!L3497="","",INDEX(עזר!$B$2:$B$5001,עזר!L3497))</f>
        <v/>
      </c>
      <c r="C3497" s="13" t="str">
        <f aca="false">עזר!M3497</f>
        <v/>
      </c>
    </row>
    <row r="3498" customFormat="false" ht="15" hidden="false" customHeight="false" outlineLevel="0" collapsed="false">
      <c r="A3498" s="13" t="str">
        <f aca="false">IF(עזר!L3498="","",INDEX(עזר!$A$2:$A$5001,עזר!L3498))</f>
        <v/>
      </c>
      <c r="B3498" s="13" t="str">
        <f aca="false">IF(עזר!L3498="","",INDEX(עזר!$B$2:$B$5001,עזר!L3498))</f>
        <v/>
      </c>
      <c r="C3498" s="13" t="str">
        <f aca="false">עזר!M3498</f>
        <v/>
      </c>
    </row>
    <row r="3499" customFormat="false" ht="15" hidden="false" customHeight="false" outlineLevel="0" collapsed="false">
      <c r="A3499" s="13" t="str">
        <f aca="false">IF(עזר!L3499="","",INDEX(עזר!$A$2:$A$5001,עזר!L3499))</f>
        <v/>
      </c>
      <c r="B3499" s="13" t="str">
        <f aca="false">IF(עזר!L3499="","",INDEX(עזר!$B$2:$B$5001,עזר!L3499))</f>
        <v/>
      </c>
      <c r="C3499" s="13" t="str">
        <f aca="false">עזר!M3499</f>
        <v/>
      </c>
    </row>
    <row r="3500" customFormat="false" ht="15" hidden="false" customHeight="false" outlineLevel="0" collapsed="false">
      <c r="A3500" s="13" t="str">
        <f aca="false">IF(עזר!L3500="","",INDEX(עזר!$A$2:$A$5001,עזר!L3500))</f>
        <v/>
      </c>
      <c r="B3500" s="13" t="str">
        <f aca="false">IF(עזר!L3500="","",INDEX(עזר!$B$2:$B$5001,עזר!L3500))</f>
        <v/>
      </c>
      <c r="C3500" s="13" t="str">
        <f aca="false">עזר!M3500</f>
        <v/>
      </c>
    </row>
    <row r="3501" customFormat="false" ht="15" hidden="false" customHeight="false" outlineLevel="0" collapsed="false">
      <c r="A3501" s="13" t="str">
        <f aca="false">IF(עזר!L3501="","",INDEX(עזר!$A$2:$A$5001,עזר!L3501))</f>
        <v/>
      </c>
      <c r="B3501" s="13" t="str">
        <f aca="false">IF(עזר!L3501="","",INDEX(עזר!$B$2:$B$5001,עזר!L3501))</f>
        <v/>
      </c>
      <c r="C3501" s="13" t="str">
        <f aca="false">עזר!M3501</f>
        <v/>
      </c>
    </row>
    <row r="3502" customFormat="false" ht="15" hidden="false" customHeight="false" outlineLevel="0" collapsed="false">
      <c r="A3502" s="13" t="str">
        <f aca="false">IF(עזר!L3502="","",INDEX(עזר!$A$2:$A$5001,עזר!L3502))</f>
        <v/>
      </c>
      <c r="B3502" s="13" t="str">
        <f aca="false">IF(עזר!L3502="","",INDEX(עזר!$B$2:$B$5001,עזר!L3502))</f>
        <v/>
      </c>
      <c r="C3502" s="13" t="str">
        <f aca="false">עזר!M3502</f>
        <v/>
      </c>
    </row>
    <row r="3503" customFormat="false" ht="15" hidden="false" customHeight="false" outlineLevel="0" collapsed="false">
      <c r="A3503" s="13" t="str">
        <f aca="false">IF(עזר!L3503="","",INDEX(עזר!$A$2:$A$5001,עזר!L3503))</f>
        <v/>
      </c>
      <c r="B3503" s="13" t="str">
        <f aca="false">IF(עזר!L3503="","",INDEX(עזר!$B$2:$B$5001,עזר!L3503))</f>
        <v/>
      </c>
      <c r="C3503" s="13" t="str">
        <f aca="false">עזר!M3503</f>
        <v/>
      </c>
    </row>
    <row r="3504" customFormat="false" ht="15" hidden="false" customHeight="false" outlineLevel="0" collapsed="false">
      <c r="A3504" s="13" t="str">
        <f aca="false">IF(עזר!L3504="","",INDEX(עזר!$A$2:$A$5001,עזר!L3504))</f>
        <v/>
      </c>
      <c r="B3504" s="13" t="str">
        <f aca="false">IF(עזר!L3504="","",INDEX(עזר!$B$2:$B$5001,עזר!L3504))</f>
        <v/>
      </c>
      <c r="C3504" s="13" t="str">
        <f aca="false">עזר!M3504</f>
        <v/>
      </c>
    </row>
    <row r="3505" customFormat="false" ht="15" hidden="false" customHeight="false" outlineLevel="0" collapsed="false">
      <c r="A3505" s="13" t="str">
        <f aca="false">IF(עזר!L3505="","",INDEX(עזר!$A$2:$A$5001,עזר!L3505))</f>
        <v/>
      </c>
      <c r="B3505" s="13" t="str">
        <f aca="false">IF(עזר!L3505="","",INDEX(עזר!$B$2:$B$5001,עזר!L3505))</f>
        <v/>
      </c>
      <c r="C3505" s="13" t="str">
        <f aca="false">עזר!M3505</f>
        <v/>
      </c>
    </row>
    <row r="3506" customFormat="false" ht="15" hidden="false" customHeight="false" outlineLevel="0" collapsed="false">
      <c r="A3506" s="13" t="str">
        <f aca="false">IF(עזר!L3506="","",INDEX(עזר!$A$2:$A$5001,עזר!L3506))</f>
        <v/>
      </c>
      <c r="B3506" s="13" t="str">
        <f aca="false">IF(עזר!L3506="","",INDEX(עזר!$B$2:$B$5001,עזר!L3506))</f>
        <v/>
      </c>
      <c r="C3506" s="13" t="str">
        <f aca="false">עזר!M3506</f>
        <v/>
      </c>
    </row>
    <row r="3507" customFormat="false" ht="15" hidden="false" customHeight="false" outlineLevel="0" collapsed="false">
      <c r="A3507" s="13" t="str">
        <f aca="false">IF(עזר!L3507="","",INDEX(עזר!$A$2:$A$5001,עזר!L3507))</f>
        <v/>
      </c>
      <c r="B3507" s="13" t="str">
        <f aca="false">IF(עזר!L3507="","",INDEX(עזר!$B$2:$B$5001,עזר!L3507))</f>
        <v/>
      </c>
      <c r="C3507" s="13" t="str">
        <f aca="false">עזר!M3507</f>
        <v/>
      </c>
    </row>
    <row r="3508" customFormat="false" ht="15" hidden="false" customHeight="false" outlineLevel="0" collapsed="false">
      <c r="A3508" s="13" t="str">
        <f aca="false">IF(עזר!L3508="","",INDEX(עזר!$A$2:$A$5001,עזר!L3508))</f>
        <v/>
      </c>
      <c r="B3508" s="13" t="str">
        <f aca="false">IF(עזר!L3508="","",INDEX(עזר!$B$2:$B$5001,עזר!L3508))</f>
        <v/>
      </c>
      <c r="C3508" s="13" t="str">
        <f aca="false">עזר!M3508</f>
        <v/>
      </c>
    </row>
    <row r="3509" customFormat="false" ht="15" hidden="false" customHeight="false" outlineLevel="0" collapsed="false">
      <c r="A3509" s="13" t="str">
        <f aca="false">IF(עזר!L3509="","",INDEX(עזר!$A$2:$A$5001,עזר!L3509))</f>
        <v/>
      </c>
      <c r="B3509" s="13" t="str">
        <f aca="false">IF(עזר!L3509="","",INDEX(עזר!$B$2:$B$5001,עזר!L3509))</f>
        <v/>
      </c>
      <c r="C3509" s="13" t="str">
        <f aca="false">עזר!M3509</f>
        <v/>
      </c>
    </row>
    <row r="3510" customFormat="false" ht="15" hidden="false" customHeight="false" outlineLevel="0" collapsed="false">
      <c r="A3510" s="13" t="str">
        <f aca="false">IF(עזר!L3510="","",INDEX(עזר!$A$2:$A$5001,עזר!L3510))</f>
        <v/>
      </c>
      <c r="B3510" s="13" t="str">
        <f aca="false">IF(עזר!L3510="","",INDEX(עזר!$B$2:$B$5001,עזר!L3510))</f>
        <v/>
      </c>
      <c r="C3510" s="13" t="str">
        <f aca="false">עזר!M3510</f>
        <v/>
      </c>
    </row>
    <row r="3511" customFormat="false" ht="15" hidden="false" customHeight="false" outlineLevel="0" collapsed="false">
      <c r="A3511" s="13" t="str">
        <f aca="false">IF(עזר!L3511="","",INDEX(עזר!$A$2:$A$5001,עזר!L3511))</f>
        <v/>
      </c>
      <c r="B3511" s="13" t="str">
        <f aca="false">IF(עזר!L3511="","",INDEX(עזר!$B$2:$B$5001,עזר!L3511))</f>
        <v/>
      </c>
      <c r="C3511" s="13" t="str">
        <f aca="false">עזר!M3511</f>
        <v/>
      </c>
    </row>
    <row r="3512" customFormat="false" ht="15" hidden="false" customHeight="false" outlineLevel="0" collapsed="false">
      <c r="A3512" s="13" t="str">
        <f aca="false">IF(עזר!L3512="","",INDEX(עזר!$A$2:$A$5001,עזר!L3512))</f>
        <v/>
      </c>
      <c r="B3512" s="13" t="str">
        <f aca="false">IF(עזר!L3512="","",INDEX(עזר!$B$2:$B$5001,עזר!L3512))</f>
        <v/>
      </c>
      <c r="C3512" s="13" t="str">
        <f aca="false">עזר!M3512</f>
        <v/>
      </c>
    </row>
    <row r="3513" customFormat="false" ht="15" hidden="false" customHeight="false" outlineLevel="0" collapsed="false">
      <c r="A3513" s="13" t="str">
        <f aca="false">IF(עזר!L3513="","",INDEX(עזר!$A$2:$A$5001,עזר!L3513))</f>
        <v/>
      </c>
      <c r="B3513" s="13" t="str">
        <f aca="false">IF(עזר!L3513="","",INDEX(עזר!$B$2:$B$5001,עזר!L3513))</f>
        <v/>
      </c>
      <c r="C3513" s="13" t="str">
        <f aca="false">עזר!M3513</f>
        <v/>
      </c>
    </row>
    <row r="3514" customFormat="false" ht="15" hidden="false" customHeight="false" outlineLevel="0" collapsed="false">
      <c r="A3514" s="13" t="str">
        <f aca="false">IF(עזר!L3514="","",INDEX(עזר!$A$2:$A$5001,עזר!L3514))</f>
        <v/>
      </c>
      <c r="B3514" s="13" t="str">
        <f aca="false">IF(עזר!L3514="","",INDEX(עזר!$B$2:$B$5001,עזר!L3514))</f>
        <v/>
      </c>
      <c r="C3514" s="13" t="str">
        <f aca="false">עזר!M3514</f>
        <v/>
      </c>
    </row>
    <row r="3515" customFormat="false" ht="15" hidden="false" customHeight="false" outlineLevel="0" collapsed="false">
      <c r="A3515" s="13" t="str">
        <f aca="false">IF(עזר!L3515="","",INDEX(עזר!$A$2:$A$5001,עזר!L3515))</f>
        <v/>
      </c>
      <c r="B3515" s="13" t="str">
        <f aca="false">IF(עזר!L3515="","",INDEX(עזר!$B$2:$B$5001,עזר!L3515))</f>
        <v/>
      </c>
      <c r="C3515" s="13" t="str">
        <f aca="false">עזר!M3515</f>
        <v/>
      </c>
    </row>
    <row r="3516" customFormat="false" ht="15" hidden="false" customHeight="false" outlineLevel="0" collapsed="false">
      <c r="A3516" s="13" t="str">
        <f aca="false">IF(עזר!L3516="","",INDEX(עזר!$A$2:$A$5001,עזר!L3516))</f>
        <v/>
      </c>
      <c r="B3516" s="13" t="str">
        <f aca="false">IF(עזר!L3516="","",INDEX(עזר!$B$2:$B$5001,עזר!L3516))</f>
        <v/>
      </c>
      <c r="C3516" s="13" t="str">
        <f aca="false">עזר!M3516</f>
        <v/>
      </c>
    </row>
    <row r="3517" customFormat="false" ht="15" hidden="false" customHeight="false" outlineLevel="0" collapsed="false">
      <c r="A3517" s="13" t="str">
        <f aca="false">IF(עזר!L3517="","",INDEX(עזר!$A$2:$A$5001,עזר!L3517))</f>
        <v/>
      </c>
      <c r="B3517" s="13" t="str">
        <f aca="false">IF(עזר!L3517="","",INDEX(עזר!$B$2:$B$5001,עזר!L3517))</f>
        <v/>
      </c>
      <c r="C3517" s="13" t="str">
        <f aca="false">עזר!M3517</f>
        <v/>
      </c>
    </row>
    <row r="3518" customFormat="false" ht="15" hidden="false" customHeight="false" outlineLevel="0" collapsed="false">
      <c r="A3518" s="13" t="str">
        <f aca="false">IF(עזר!L3518="","",INDEX(עזר!$A$2:$A$5001,עזר!L3518))</f>
        <v/>
      </c>
      <c r="B3518" s="13" t="str">
        <f aca="false">IF(עזר!L3518="","",INDEX(עזר!$B$2:$B$5001,עזר!L3518))</f>
        <v/>
      </c>
      <c r="C3518" s="13" t="str">
        <f aca="false">עזר!M3518</f>
        <v/>
      </c>
    </row>
    <row r="3519" customFormat="false" ht="15" hidden="false" customHeight="false" outlineLevel="0" collapsed="false">
      <c r="A3519" s="13" t="str">
        <f aca="false">IF(עזר!L3519="","",INDEX(עזר!$A$2:$A$5001,עזר!L3519))</f>
        <v/>
      </c>
      <c r="B3519" s="13" t="str">
        <f aca="false">IF(עזר!L3519="","",INDEX(עזר!$B$2:$B$5001,עזר!L3519))</f>
        <v/>
      </c>
      <c r="C3519" s="13" t="str">
        <f aca="false">עזר!M3519</f>
        <v/>
      </c>
    </row>
    <row r="3520" customFormat="false" ht="15" hidden="false" customHeight="false" outlineLevel="0" collapsed="false">
      <c r="A3520" s="13" t="str">
        <f aca="false">IF(עזר!L3520="","",INDEX(עזר!$A$2:$A$5001,עזר!L3520))</f>
        <v/>
      </c>
      <c r="B3520" s="13" t="str">
        <f aca="false">IF(עזר!L3520="","",INDEX(עזר!$B$2:$B$5001,עזר!L3520))</f>
        <v/>
      </c>
      <c r="C3520" s="13" t="str">
        <f aca="false">עזר!M3520</f>
        <v/>
      </c>
    </row>
    <row r="3521" customFormat="false" ht="15" hidden="false" customHeight="false" outlineLevel="0" collapsed="false">
      <c r="A3521" s="13" t="str">
        <f aca="false">IF(עזר!L3521="","",INDEX(עזר!$A$2:$A$5001,עזר!L3521))</f>
        <v/>
      </c>
      <c r="B3521" s="13" t="str">
        <f aca="false">IF(עזר!L3521="","",INDEX(עזר!$B$2:$B$5001,עזר!L3521))</f>
        <v/>
      </c>
      <c r="C3521" s="13" t="str">
        <f aca="false">עזר!M3521</f>
        <v/>
      </c>
    </row>
    <row r="3522" customFormat="false" ht="15" hidden="false" customHeight="false" outlineLevel="0" collapsed="false">
      <c r="A3522" s="13" t="str">
        <f aca="false">IF(עזר!L3522="","",INDEX(עזר!$A$2:$A$5001,עזר!L3522))</f>
        <v/>
      </c>
      <c r="B3522" s="13" t="str">
        <f aca="false">IF(עזר!L3522="","",INDEX(עזר!$B$2:$B$5001,עזר!L3522))</f>
        <v/>
      </c>
      <c r="C3522" s="13" t="str">
        <f aca="false">עזר!M3522</f>
        <v/>
      </c>
    </row>
    <row r="3523" customFormat="false" ht="15" hidden="false" customHeight="false" outlineLevel="0" collapsed="false">
      <c r="A3523" s="13" t="str">
        <f aca="false">IF(עזר!L3523="","",INDEX(עזר!$A$2:$A$5001,עזר!L3523))</f>
        <v/>
      </c>
      <c r="B3523" s="13" t="str">
        <f aca="false">IF(עזר!L3523="","",INDEX(עזר!$B$2:$B$5001,עזר!L3523))</f>
        <v/>
      </c>
      <c r="C3523" s="13" t="str">
        <f aca="false">עזר!M3523</f>
        <v/>
      </c>
    </row>
    <row r="3524" customFormat="false" ht="15" hidden="false" customHeight="false" outlineLevel="0" collapsed="false">
      <c r="A3524" s="13" t="str">
        <f aca="false">IF(עזר!L3524="","",INDEX(עזר!$A$2:$A$5001,עזר!L3524))</f>
        <v/>
      </c>
      <c r="B3524" s="13" t="str">
        <f aca="false">IF(עזר!L3524="","",INDEX(עזר!$B$2:$B$5001,עזר!L3524))</f>
        <v/>
      </c>
      <c r="C3524" s="13" t="str">
        <f aca="false">עזר!M3524</f>
        <v/>
      </c>
    </row>
    <row r="3525" customFormat="false" ht="15" hidden="false" customHeight="false" outlineLevel="0" collapsed="false">
      <c r="A3525" s="13" t="str">
        <f aca="false">IF(עזר!L3525="","",INDEX(עזר!$A$2:$A$5001,עזר!L3525))</f>
        <v/>
      </c>
      <c r="B3525" s="13" t="str">
        <f aca="false">IF(עזר!L3525="","",INDEX(עזר!$B$2:$B$5001,עזר!L3525))</f>
        <v/>
      </c>
      <c r="C3525" s="13" t="str">
        <f aca="false">עזר!M3525</f>
        <v/>
      </c>
    </row>
    <row r="3526" customFormat="false" ht="15" hidden="false" customHeight="false" outlineLevel="0" collapsed="false">
      <c r="A3526" s="13" t="str">
        <f aca="false">IF(עזר!L3526="","",INDEX(עזר!$A$2:$A$5001,עזר!L3526))</f>
        <v/>
      </c>
      <c r="B3526" s="13" t="str">
        <f aca="false">IF(עזר!L3526="","",INDEX(עזר!$B$2:$B$5001,עזר!L3526))</f>
        <v/>
      </c>
      <c r="C3526" s="13" t="str">
        <f aca="false">עזר!M3526</f>
        <v/>
      </c>
    </row>
    <row r="3527" customFormat="false" ht="15" hidden="false" customHeight="false" outlineLevel="0" collapsed="false">
      <c r="A3527" s="13" t="str">
        <f aca="false">IF(עזר!L3527="","",INDEX(עזר!$A$2:$A$5001,עזר!L3527))</f>
        <v/>
      </c>
      <c r="B3527" s="13" t="str">
        <f aca="false">IF(עזר!L3527="","",INDEX(עזר!$B$2:$B$5001,עזר!L3527))</f>
        <v/>
      </c>
      <c r="C3527" s="13" t="str">
        <f aca="false">עזר!M3527</f>
        <v/>
      </c>
    </row>
    <row r="3528" customFormat="false" ht="15" hidden="false" customHeight="false" outlineLevel="0" collapsed="false">
      <c r="A3528" s="13" t="str">
        <f aca="false">IF(עזר!L3528="","",INDEX(עזר!$A$2:$A$5001,עזר!L3528))</f>
        <v/>
      </c>
      <c r="B3528" s="13" t="str">
        <f aca="false">IF(עזר!L3528="","",INDEX(עזר!$B$2:$B$5001,עזר!L3528))</f>
        <v/>
      </c>
      <c r="C3528" s="13" t="str">
        <f aca="false">עזר!M3528</f>
        <v/>
      </c>
    </row>
    <row r="3529" customFormat="false" ht="15" hidden="false" customHeight="false" outlineLevel="0" collapsed="false">
      <c r="A3529" s="13" t="str">
        <f aca="false">IF(עזר!L3529="","",INDEX(עזר!$A$2:$A$5001,עזר!L3529))</f>
        <v/>
      </c>
      <c r="B3529" s="13" t="str">
        <f aca="false">IF(עזר!L3529="","",INDEX(עזר!$B$2:$B$5001,עזר!L3529))</f>
        <v/>
      </c>
      <c r="C3529" s="13" t="str">
        <f aca="false">עזר!M3529</f>
        <v/>
      </c>
    </row>
    <row r="3530" customFormat="false" ht="15" hidden="false" customHeight="false" outlineLevel="0" collapsed="false">
      <c r="A3530" s="13" t="str">
        <f aca="false">IF(עזר!L3530="","",INDEX(עזר!$A$2:$A$5001,עזר!L3530))</f>
        <v/>
      </c>
      <c r="B3530" s="13" t="str">
        <f aca="false">IF(עזר!L3530="","",INDEX(עזר!$B$2:$B$5001,עזר!L3530))</f>
        <v/>
      </c>
      <c r="C3530" s="13" t="str">
        <f aca="false">עזר!M3530</f>
        <v/>
      </c>
    </row>
    <row r="3531" customFormat="false" ht="15" hidden="false" customHeight="false" outlineLevel="0" collapsed="false">
      <c r="A3531" s="13" t="str">
        <f aca="false">IF(עזר!L3531="","",INDEX(עזר!$A$2:$A$5001,עזר!L3531))</f>
        <v/>
      </c>
      <c r="B3531" s="13" t="str">
        <f aca="false">IF(עזר!L3531="","",INDEX(עזר!$B$2:$B$5001,עזר!L3531))</f>
        <v/>
      </c>
      <c r="C3531" s="13" t="str">
        <f aca="false">עזר!M3531</f>
        <v/>
      </c>
    </row>
    <row r="3532" customFormat="false" ht="15" hidden="false" customHeight="false" outlineLevel="0" collapsed="false">
      <c r="A3532" s="13" t="str">
        <f aca="false">IF(עזר!L3532="","",INDEX(עזר!$A$2:$A$5001,עזר!L3532))</f>
        <v/>
      </c>
      <c r="B3532" s="13" t="str">
        <f aca="false">IF(עזר!L3532="","",INDEX(עזר!$B$2:$B$5001,עזר!L3532))</f>
        <v/>
      </c>
      <c r="C3532" s="13" t="str">
        <f aca="false">עזר!M3532</f>
        <v/>
      </c>
    </row>
    <row r="3533" customFormat="false" ht="15" hidden="false" customHeight="false" outlineLevel="0" collapsed="false">
      <c r="A3533" s="13" t="str">
        <f aca="false">IF(עזר!L3533="","",INDEX(עזר!$A$2:$A$5001,עזר!L3533))</f>
        <v/>
      </c>
      <c r="B3533" s="13" t="str">
        <f aca="false">IF(עזר!L3533="","",INDEX(עזר!$B$2:$B$5001,עזר!L3533))</f>
        <v/>
      </c>
      <c r="C3533" s="13" t="str">
        <f aca="false">עזר!M3533</f>
        <v/>
      </c>
    </row>
    <row r="3534" customFormat="false" ht="15" hidden="false" customHeight="false" outlineLevel="0" collapsed="false">
      <c r="A3534" s="13" t="str">
        <f aca="false">IF(עזר!L3534="","",INDEX(עזר!$A$2:$A$5001,עזר!L3534))</f>
        <v/>
      </c>
      <c r="B3534" s="13" t="str">
        <f aca="false">IF(עזר!L3534="","",INDEX(עזר!$B$2:$B$5001,עזר!L3534))</f>
        <v/>
      </c>
      <c r="C3534" s="13" t="str">
        <f aca="false">עזר!M3534</f>
        <v/>
      </c>
    </row>
    <row r="3535" customFormat="false" ht="15" hidden="false" customHeight="false" outlineLevel="0" collapsed="false">
      <c r="A3535" s="13" t="str">
        <f aca="false">IF(עזר!L3535="","",INDEX(עזר!$A$2:$A$5001,עזר!L3535))</f>
        <v/>
      </c>
      <c r="B3535" s="13" t="str">
        <f aca="false">IF(עזר!L3535="","",INDEX(עזר!$B$2:$B$5001,עזר!L3535))</f>
        <v/>
      </c>
      <c r="C3535" s="13" t="str">
        <f aca="false">עזר!M3535</f>
        <v/>
      </c>
    </row>
    <row r="3536" customFormat="false" ht="15" hidden="false" customHeight="false" outlineLevel="0" collapsed="false">
      <c r="A3536" s="13" t="str">
        <f aca="false">IF(עזר!L3536="","",INDEX(עזר!$A$2:$A$5001,עזר!L3536))</f>
        <v/>
      </c>
      <c r="B3536" s="13" t="str">
        <f aca="false">IF(עזר!L3536="","",INDEX(עזר!$B$2:$B$5001,עזר!L3536))</f>
        <v/>
      </c>
      <c r="C3536" s="13" t="str">
        <f aca="false">עזר!M3536</f>
        <v/>
      </c>
    </row>
    <row r="3537" customFormat="false" ht="15" hidden="false" customHeight="false" outlineLevel="0" collapsed="false">
      <c r="A3537" s="13" t="str">
        <f aca="false">IF(עזר!L3537="","",INDEX(עזר!$A$2:$A$5001,עזר!L3537))</f>
        <v/>
      </c>
      <c r="B3537" s="13" t="str">
        <f aca="false">IF(עזר!L3537="","",INDEX(עזר!$B$2:$B$5001,עזר!L3537))</f>
        <v/>
      </c>
      <c r="C3537" s="13" t="str">
        <f aca="false">עזר!M3537</f>
        <v/>
      </c>
    </row>
    <row r="3538" customFormat="false" ht="15" hidden="false" customHeight="false" outlineLevel="0" collapsed="false">
      <c r="A3538" s="13" t="str">
        <f aca="false">IF(עזר!L3538="","",INDEX(עזר!$A$2:$A$5001,עזר!L3538))</f>
        <v/>
      </c>
      <c r="B3538" s="13" t="str">
        <f aca="false">IF(עזר!L3538="","",INDEX(עזר!$B$2:$B$5001,עזר!L3538))</f>
        <v/>
      </c>
      <c r="C3538" s="13" t="str">
        <f aca="false">עזר!M3538</f>
        <v/>
      </c>
    </row>
    <row r="3539" customFormat="false" ht="15" hidden="false" customHeight="false" outlineLevel="0" collapsed="false">
      <c r="A3539" s="13" t="str">
        <f aca="false">IF(עזר!L3539="","",INDEX(עזר!$A$2:$A$5001,עזר!L3539))</f>
        <v/>
      </c>
      <c r="B3539" s="13" t="str">
        <f aca="false">IF(עזר!L3539="","",INDEX(עזר!$B$2:$B$5001,עזר!L3539))</f>
        <v/>
      </c>
      <c r="C3539" s="13" t="str">
        <f aca="false">עזר!M3539</f>
        <v/>
      </c>
    </row>
    <row r="3540" customFormat="false" ht="15" hidden="false" customHeight="false" outlineLevel="0" collapsed="false">
      <c r="A3540" s="13" t="str">
        <f aca="false">IF(עזר!L3540="","",INDEX(עזר!$A$2:$A$5001,עזר!L3540))</f>
        <v/>
      </c>
      <c r="B3540" s="13" t="str">
        <f aca="false">IF(עזר!L3540="","",INDEX(עזר!$B$2:$B$5001,עזר!L3540))</f>
        <v/>
      </c>
      <c r="C3540" s="13" t="str">
        <f aca="false">עזר!M3540</f>
        <v/>
      </c>
    </row>
    <row r="3541" customFormat="false" ht="15" hidden="false" customHeight="false" outlineLevel="0" collapsed="false">
      <c r="A3541" s="13" t="str">
        <f aca="false">IF(עזר!L3541="","",INDEX(עזר!$A$2:$A$5001,עזר!L3541))</f>
        <v/>
      </c>
      <c r="B3541" s="13" t="str">
        <f aca="false">IF(עזר!L3541="","",INDEX(עזר!$B$2:$B$5001,עזר!L3541))</f>
        <v/>
      </c>
      <c r="C3541" s="13" t="str">
        <f aca="false">עזר!M3541</f>
        <v/>
      </c>
    </row>
    <row r="3542" customFormat="false" ht="15" hidden="false" customHeight="false" outlineLevel="0" collapsed="false">
      <c r="A3542" s="13" t="str">
        <f aca="false">IF(עזר!L3542="","",INDEX(עזר!$A$2:$A$5001,עזר!L3542))</f>
        <v/>
      </c>
      <c r="B3542" s="13" t="str">
        <f aca="false">IF(עזר!L3542="","",INDEX(עזר!$B$2:$B$5001,עזר!L3542))</f>
        <v/>
      </c>
      <c r="C3542" s="13" t="str">
        <f aca="false">עזר!M3542</f>
        <v/>
      </c>
    </row>
    <row r="3543" customFormat="false" ht="15" hidden="false" customHeight="false" outlineLevel="0" collapsed="false">
      <c r="A3543" s="13" t="str">
        <f aca="false">IF(עזר!L3543="","",INDEX(עזר!$A$2:$A$5001,עזר!L3543))</f>
        <v/>
      </c>
      <c r="B3543" s="13" t="str">
        <f aca="false">IF(עזר!L3543="","",INDEX(עזר!$B$2:$B$5001,עזר!L3543))</f>
        <v/>
      </c>
      <c r="C3543" s="13" t="str">
        <f aca="false">עזר!M3543</f>
        <v/>
      </c>
    </row>
    <row r="3544" customFormat="false" ht="15" hidden="false" customHeight="false" outlineLevel="0" collapsed="false">
      <c r="A3544" s="13" t="str">
        <f aca="false">IF(עזר!L3544="","",INDEX(עזר!$A$2:$A$5001,עזר!L3544))</f>
        <v/>
      </c>
      <c r="B3544" s="13" t="str">
        <f aca="false">IF(עזר!L3544="","",INDEX(עזר!$B$2:$B$5001,עזר!L3544))</f>
        <v/>
      </c>
      <c r="C3544" s="13" t="str">
        <f aca="false">עזר!M3544</f>
        <v/>
      </c>
    </row>
    <row r="3545" customFormat="false" ht="15" hidden="false" customHeight="false" outlineLevel="0" collapsed="false">
      <c r="A3545" s="13" t="str">
        <f aca="false">IF(עזר!L3545="","",INDEX(עזר!$A$2:$A$5001,עזר!L3545))</f>
        <v/>
      </c>
      <c r="B3545" s="13" t="str">
        <f aca="false">IF(עזר!L3545="","",INDEX(עזר!$B$2:$B$5001,עזר!L3545))</f>
        <v/>
      </c>
      <c r="C3545" s="13" t="str">
        <f aca="false">עזר!M3545</f>
        <v/>
      </c>
    </row>
    <row r="3546" customFormat="false" ht="15" hidden="false" customHeight="false" outlineLevel="0" collapsed="false">
      <c r="A3546" s="13" t="str">
        <f aca="false">IF(עזר!L3546="","",INDEX(עזר!$A$2:$A$5001,עזר!L3546))</f>
        <v/>
      </c>
      <c r="B3546" s="13" t="str">
        <f aca="false">IF(עזר!L3546="","",INDEX(עזר!$B$2:$B$5001,עזר!L3546))</f>
        <v/>
      </c>
      <c r="C3546" s="13" t="str">
        <f aca="false">עזר!M3546</f>
        <v/>
      </c>
    </row>
    <row r="3547" customFormat="false" ht="15" hidden="false" customHeight="false" outlineLevel="0" collapsed="false">
      <c r="A3547" s="13" t="str">
        <f aca="false">IF(עזר!L3547="","",INDEX(עזר!$A$2:$A$5001,עזר!L3547))</f>
        <v/>
      </c>
      <c r="B3547" s="13" t="str">
        <f aca="false">IF(עזר!L3547="","",INDEX(עזר!$B$2:$B$5001,עזר!L3547))</f>
        <v/>
      </c>
      <c r="C3547" s="13" t="str">
        <f aca="false">עזר!M3547</f>
        <v/>
      </c>
    </row>
    <row r="3548" customFormat="false" ht="15" hidden="false" customHeight="false" outlineLevel="0" collapsed="false">
      <c r="A3548" s="13" t="str">
        <f aca="false">IF(עזר!L3548="","",INDEX(עזר!$A$2:$A$5001,עזר!L3548))</f>
        <v/>
      </c>
      <c r="B3548" s="13" t="str">
        <f aca="false">IF(עזר!L3548="","",INDEX(עזר!$B$2:$B$5001,עזר!L3548))</f>
        <v/>
      </c>
      <c r="C3548" s="13" t="str">
        <f aca="false">עזר!M3548</f>
        <v/>
      </c>
    </row>
    <row r="3549" customFormat="false" ht="15" hidden="false" customHeight="false" outlineLevel="0" collapsed="false">
      <c r="A3549" s="13" t="str">
        <f aca="false">IF(עזר!L3549="","",INDEX(עזר!$A$2:$A$5001,עזר!L3549))</f>
        <v/>
      </c>
      <c r="B3549" s="13" t="str">
        <f aca="false">IF(עזר!L3549="","",INDEX(עזר!$B$2:$B$5001,עזר!L3549))</f>
        <v/>
      </c>
      <c r="C3549" s="13" t="str">
        <f aca="false">עזר!M3549</f>
        <v/>
      </c>
    </row>
    <row r="3550" customFormat="false" ht="15" hidden="false" customHeight="false" outlineLevel="0" collapsed="false">
      <c r="A3550" s="13" t="str">
        <f aca="false">IF(עזר!L3550="","",INDEX(עזר!$A$2:$A$5001,עזר!L3550))</f>
        <v/>
      </c>
      <c r="B3550" s="13" t="str">
        <f aca="false">IF(עזר!L3550="","",INDEX(עזר!$B$2:$B$5001,עזר!L3550))</f>
        <v/>
      </c>
      <c r="C3550" s="13" t="str">
        <f aca="false">עזר!M3550</f>
        <v/>
      </c>
    </row>
    <row r="3551" customFormat="false" ht="15" hidden="false" customHeight="false" outlineLevel="0" collapsed="false">
      <c r="A3551" s="13" t="str">
        <f aca="false">IF(עזר!L3551="","",INDEX(עזר!$A$2:$A$5001,עזר!L3551))</f>
        <v/>
      </c>
      <c r="B3551" s="13" t="str">
        <f aca="false">IF(עזר!L3551="","",INDEX(עזר!$B$2:$B$5001,עזר!L3551))</f>
        <v/>
      </c>
      <c r="C3551" s="13" t="str">
        <f aca="false">עזר!M3551</f>
        <v/>
      </c>
    </row>
    <row r="3552" customFormat="false" ht="15" hidden="false" customHeight="false" outlineLevel="0" collapsed="false">
      <c r="A3552" s="13" t="str">
        <f aca="false">IF(עזר!L3552="","",INDEX(עזר!$A$2:$A$5001,עזר!L3552))</f>
        <v/>
      </c>
      <c r="B3552" s="13" t="str">
        <f aca="false">IF(עזר!L3552="","",INDEX(עזר!$B$2:$B$5001,עזר!L3552))</f>
        <v/>
      </c>
      <c r="C3552" s="13" t="str">
        <f aca="false">עזר!M3552</f>
        <v/>
      </c>
    </row>
    <row r="3553" customFormat="false" ht="15" hidden="false" customHeight="false" outlineLevel="0" collapsed="false">
      <c r="A3553" s="13" t="str">
        <f aca="false">IF(עזר!L3553="","",INDEX(עזר!$A$2:$A$5001,עזר!L3553))</f>
        <v/>
      </c>
      <c r="B3553" s="13" t="str">
        <f aca="false">IF(עזר!L3553="","",INDEX(עזר!$B$2:$B$5001,עזר!L3553))</f>
        <v/>
      </c>
      <c r="C3553" s="13" t="str">
        <f aca="false">עזר!M3553</f>
        <v/>
      </c>
    </row>
    <row r="3554" customFormat="false" ht="15" hidden="false" customHeight="false" outlineLevel="0" collapsed="false">
      <c r="A3554" s="13" t="str">
        <f aca="false">IF(עזר!L3554="","",INDEX(עזר!$A$2:$A$5001,עזר!L3554))</f>
        <v/>
      </c>
      <c r="B3554" s="13" t="str">
        <f aca="false">IF(עזר!L3554="","",INDEX(עזר!$B$2:$B$5001,עזר!L3554))</f>
        <v/>
      </c>
      <c r="C3554" s="13" t="str">
        <f aca="false">עזר!M3554</f>
        <v/>
      </c>
    </row>
    <row r="3555" customFormat="false" ht="15" hidden="false" customHeight="false" outlineLevel="0" collapsed="false">
      <c r="A3555" s="13" t="str">
        <f aca="false">IF(עזר!L3555="","",INDEX(עזר!$A$2:$A$5001,עזר!L3555))</f>
        <v/>
      </c>
      <c r="B3555" s="13" t="str">
        <f aca="false">IF(עזר!L3555="","",INDEX(עזר!$B$2:$B$5001,עזר!L3555))</f>
        <v/>
      </c>
      <c r="C3555" s="13" t="str">
        <f aca="false">עזר!M3555</f>
        <v/>
      </c>
    </row>
    <row r="3556" customFormat="false" ht="15" hidden="false" customHeight="false" outlineLevel="0" collapsed="false">
      <c r="A3556" s="13" t="str">
        <f aca="false">IF(עזר!L3556="","",INDEX(עזר!$A$2:$A$5001,עזר!L3556))</f>
        <v/>
      </c>
      <c r="B3556" s="13" t="str">
        <f aca="false">IF(עזר!L3556="","",INDEX(עזר!$B$2:$B$5001,עזר!L3556))</f>
        <v/>
      </c>
      <c r="C3556" s="13" t="str">
        <f aca="false">עזר!M3556</f>
        <v/>
      </c>
    </row>
    <row r="3557" customFormat="false" ht="15" hidden="false" customHeight="false" outlineLevel="0" collapsed="false">
      <c r="A3557" s="13" t="str">
        <f aca="false">IF(עזר!L3557="","",INDEX(עזר!$A$2:$A$5001,עזר!L3557))</f>
        <v/>
      </c>
      <c r="B3557" s="13" t="str">
        <f aca="false">IF(עזר!L3557="","",INDEX(עזר!$B$2:$B$5001,עזר!L3557))</f>
        <v/>
      </c>
      <c r="C3557" s="13" t="str">
        <f aca="false">עזר!M3557</f>
        <v/>
      </c>
    </row>
    <row r="3558" customFormat="false" ht="15" hidden="false" customHeight="false" outlineLevel="0" collapsed="false">
      <c r="A3558" s="13" t="str">
        <f aca="false">IF(עזר!L3558="","",INDEX(עזר!$A$2:$A$5001,עזר!L3558))</f>
        <v/>
      </c>
      <c r="B3558" s="13" t="str">
        <f aca="false">IF(עזר!L3558="","",INDEX(עזר!$B$2:$B$5001,עזר!L3558))</f>
        <v/>
      </c>
      <c r="C3558" s="13" t="str">
        <f aca="false">עזר!M3558</f>
        <v/>
      </c>
    </row>
    <row r="3559" customFormat="false" ht="15" hidden="false" customHeight="false" outlineLevel="0" collapsed="false">
      <c r="A3559" s="13" t="str">
        <f aca="false">IF(עזר!L3559="","",INDEX(עזר!$A$2:$A$5001,עזר!L3559))</f>
        <v/>
      </c>
      <c r="B3559" s="13" t="str">
        <f aca="false">IF(עזר!L3559="","",INDEX(עזר!$B$2:$B$5001,עזר!L3559))</f>
        <v/>
      </c>
      <c r="C3559" s="13" t="str">
        <f aca="false">עזר!M3559</f>
        <v/>
      </c>
    </row>
    <row r="3560" customFormat="false" ht="15" hidden="false" customHeight="false" outlineLevel="0" collapsed="false">
      <c r="A3560" s="13" t="str">
        <f aca="false">IF(עזר!L3560="","",INDEX(עזר!$A$2:$A$5001,עזר!L3560))</f>
        <v/>
      </c>
      <c r="B3560" s="13" t="str">
        <f aca="false">IF(עזר!L3560="","",INDEX(עזר!$B$2:$B$5001,עזר!L3560))</f>
        <v/>
      </c>
      <c r="C3560" s="13" t="str">
        <f aca="false">עזר!M3560</f>
        <v/>
      </c>
    </row>
    <row r="3561" customFormat="false" ht="15" hidden="false" customHeight="false" outlineLevel="0" collapsed="false">
      <c r="A3561" s="13" t="str">
        <f aca="false">IF(עזר!L3561="","",INDEX(עזר!$A$2:$A$5001,עזר!L3561))</f>
        <v/>
      </c>
      <c r="B3561" s="13" t="str">
        <f aca="false">IF(עזר!L3561="","",INDEX(עזר!$B$2:$B$5001,עזר!L3561))</f>
        <v/>
      </c>
      <c r="C3561" s="13" t="str">
        <f aca="false">עזר!M3561</f>
        <v/>
      </c>
    </row>
    <row r="3562" customFormat="false" ht="15" hidden="false" customHeight="false" outlineLevel="0" collapsed="false">
      <c r="A3562" s="13" t="str">
        <f aca="false">IF(עזר!L3562="","",INDEX(עזר!$A$2:$A$5001,עזר!L3562))</f>
        <v/>
      </c>
      <c r="B3562" s="13" t="str">
        <f aca="false">IF(עזר!L3562="","",INDEX(עזר!$B$2:$B$5001,עזר!L3562))</f>
        <v/>
      </c>
      <c r="C3562" s="13" t="str">
        <f aca="false">עזר!M3562</f>
        <v/>
      </c>
    </row>
    <row r="3563" customFormat="false" ht="15" hidden="false" customHeight="false" outlineLevel="0" collapsed="false">
      <c r="A3563" s="13" t="str">
        <f aca="false">IF(עזר!L3563="","",INDEX(עזר!$A$2:$A$5001,עזר!L3563))</f>
        <v/>
      </c>
      <c r="B3563" s="13" t="str">
        <f aca="false">IF(עזר!L3563="","",INDEX(עזר!$B$2:$B$5001,עזר!L3563))</f>
        <v/>
      </c>
      <c r="C3563" s="13" t="str">
        <f aca="false">עזר!M3563</f>
        <v/>
      </c>
    </row>
    <row r="3564" customFormat="false" ht="15" hidden="false" customHeight="false" outlineLevel="0" collapsed="false">
      <c r="A3564" s="13" t="str">
        <f aca="false">IF(עזר!L3564="","",INDEX(עזר!$A$2:$A$5001,עזר!L3564))</f>
        <v/>
      </c>
      <c r="B3564" s="13" t="str">
        <f aca="false">IF(עזר!L3564="","",INDEX(עזר!$B$2:$B$5001,עזר!L3564))</f>
        <v/>
      </c>
      <c r="C3564" s="13" t="str">
        <f aca="false">עזר!M3564</f>
        <v/>
      </c>
    </row>
    <row r="3565" customFormat="false" ht="15" hidden="false" customHeight="false" outlineLevel="0" collapsed="false">
      <c r="A3565" s="13" t="str">
        <f aca="false">IF(עזר!L3565="","",INDEX(עזר!$A$2:$A$5001,עזר!L3565))</f>
        <v/>
      </c>
      <c r="B3565" s="13" t="str">
        <f aca="false">IF(עזר!L3565="","",INDEX(עזר!$B$2:$B$5001,עזר!L3565))</f>
        <v/>
      </c>
      <c r="C3565" s="13" t="str">
        <f aca="false">עזר!M3565</f>
        <v/>
      </c>
    </row>
    <row r="3566" customFormat="false" ht="15" hidden="false" customHeight="false" outlineLevel="0" collapsed="false">
      <c r="A3566" s="13" t="str">
        <f aca="false">IF(עזר!L3566="","",INDEX(עזר!$A$2:$A$5001,עזר!L3566))</f>
        <v/>
      </c>
      <c r="B3566" s="13" t="str">
        <f aca="false">IF(עזר!L3566="","",INDEX(עזר!$B$2:$B$5001,עזר!L3566))</f>
        <v/>
      </c>
      <c r="C3566" s="13" t="str">
        <f aca="false">עזר!M3566</f>
        <v/>
      </c>
    </row>
    <row r="3567" customFormat="false" ht="15" hidden="false" customHeight="false" outlineLevel="0" collapsed="false">
      <c r="A3567" s="13" t="str">
        <f aca="false">IF(עזר!L3567="","",INDEX(עזר!$A$2:$A$5001,עזר!L3567))</f>
        <v/>
      </c>
      <c r="B3567" s="13" t="str">
        <f aca="false">IF(עזר!L3567="","",INDEX(עזר!$B$2:$B$5001,עזר!L3567))</f>
        <v/>
      </c>
      <c r="C3567" s="13" t="str">
        <f aca="false">עזר!M3567</f>
        <v/>
      </c>
    </row>
    <row r="3568" customFormat="false" ht="15" hidden="false" customHeight="false" outlineLevel="0" collapsed="false">
      <c r="A3568" s="13" t="str">
        <f aca="false">IF(עזר!L3568="","",INDEX(עזר!$A$2:$A$5001,עזר!L3568))</f>
        <v/>
      </c>
      <c r="B3568" s="13" t="str">
        <f aca="false">IF(עזר!L3568="","",INDEX(עזר!$B$2:$B$5001,עזר!L3568))</f>
        <v/>
      </c>
      <c r="C3568" s="13" t="str">
        <f aca="false">עזר!M3568</f>
        <v/>
      </c>
    </row>
    <row r="3569" customFormat="false" ht="15" hidden="false" customHeight="false" outlineLevel="0" collapsed="false">
      <c r="A3569" s="13" t="str">
        <f aca="false">IF(עזר!L3569="","",INDEX(עזר!$A$2:$A$5001,עזר!L3569))</f>
        <v/>
      </c>
      <c r="B3569" s="13" t="str">
        <f aca="false">IF(עזר!L3569="","",INDEX(עזר!$B$2:$B$5001,עזר!L3569))</f>
        <v/>
      </c>
      <c r="C3569" s="13" t="str">
        <f aca="false">עזר!M3569</f>
        <v/>
      </c>
    </row>
    <row r="3570" customFormat="false" ht="15" hidden="false" customHeight="false" outlineLevel="0" collapsed="false">
      <c r="A3570" s="13" t="str">
        <f aca="false">IF(עזר!L3570="","",INDEX(עזר!$A$2:$A$5001,עזר!L3570))</f>
        <v/>
      </c>
      <c r="B3570" s="13" t="str">
        <f aca="false">IF(עזר!L3570="","",INDEX(עזר!$B$2:$B$5001,עזר!L3570))</f>
        <v/>
      </c>
      <c r="C3570" s="13" t="str">
        <f aca="false">עזר!M3570</f>
        <v/>
      </c>
    </row>
    <row r="3571" customFormat="false" ht="15" hidden="false" customHeight="false" outlineLevel="0" collapsed="false">
      <c r="A3571" s="13" t="str">
        <f aca="false">IF(עזר!L3571="","",INDEX(עזר!$A$2:$A$5001,עזר!L3571))</f>
        <v/>
      </c>
      <c r="B3571" s="13" t="str">
        <f aca="false">IF(עזר!L3571="","",INDEX(עזר!$B$2:$B$5001,עזר!L3571))</f>
        <v/>
      </c>
      <c r="C3571" s="13" t="str">
        <f aca="false">עזר!M3571</f>
        <v/>
      </c>
    </row>
    <row r="3572" customFormat="false" ht="15" hidden="false" customHeight="false" outlineLevel="0" collapsed="false">
      <c r="A3572" s="13" t="str">
        <f aca="false">IF(עזר!L3572="","",INDEX(עזר!$A$2:$A$5001,עזר!L3572))</f>
        <v/>
      </c>
      <c r="B3572" s="13" t="str">
        <f aca="false">IF(עזר!L3572="","",INDEX(עזר!$B$2:$B$5001,עזר!L3572))</f>
        <v/>
      </c>
      <c r="C3572" s="13" t="str">
        <f aca="false">עזר!M3572</f>
        <v/>
      </c>
    </row>
    <row r="3573" customFormat="false" ht="15" hidden="false" customHeight="false" outlineLevel="0" collapsed="false">
      <c r="A3573" s="13" t="str">
        <f aca="false">IF(עזר!L3573="","",INDEX(עזר!$A$2:$A$5001,עזר!L3573))</f>
        <v/>
      </c>
      <c r="B3573" s="13" t="str">
        <f aca="false">IF(עזר!L3573="","",INDEX(עזר!$B$2:$B$5001,עזר!L3573))</f>
        <v/>
      </c>
      <c r="C3573" s="13" t="str">
        <f aca="false">עזר!M3573</f>
        <v/>
      </c>
    </row>
    <row r="3574" customFormat="false" ht="15" hidden="false" customHeight="false" outlineLevel="0" collapsed="false">
      <c r="A3574" s="13" t="str">
        <f aca="false">IF(עזר!L3574="","",INDEX(עזר!$A$2:$A$5001,עזר!L3574))</f>
        <v/>
      </c>
      <c r="B3574" s="13" t="str">
        <f aca="false">IF(עזר!L3574="","",INDEX(עזר!$B$2:$B$5001,עזר!L3574))</f>
        <v/>
      </c>
      <c r="C3574" s="13" t="str">
        <f aca="false">עזר!M3574</f>
        <v/>
      </c>
    </row>
    <row r="3575" customFormat="false" ht="15" hidden="false" customHeight="false" outlineLevel="0" collapsed="false">
      <c r="A3575" s="13" t="str">
        <f aca="false">IF(עזר!L3575="","",INDEX(עזר!$A$2:$A$5001,עזר!L3575))</f>
        <v/>
      </c>
      <c r="B3575" s="13" t="str">
        <f aca="false">IF(עזר!L3575="","",INDEX(עזר!$B$2:$B$5001,עזר!L3575))</f>
        <v/>
      </c>
      <c r="C3575" s="13" t="str">
        <f aca="false">עזר!M3575</f>
        <v/>
      </c>
    </row>
    <row r="3576" customFormat="false" ht="15" hidden="false" customHeight="false" outlineLevel="0" collapsed="false">
      <c r="A3576" s="13" t="str">
        <f aca="false">IF(עזר!L3576="","",INDEX(עזר!$A$2:$A$5001,עזר!L3576))</f>
        <v/>
      </c>
      <c r="B3576" s="13" t="str">
        <f aca="false">IF(עזר!L3576="","",INDEX(עזר!$B$2:$B$5001,עזר!L3576))</f>
        <v/>
      </c>
      <c r="C3576" s="13" t="str">
        <f aca="false">עזר!M3576</f>
        <v/>
      </c>
    </row>
    <row r="3577" customFormat="false" ht="15" hidden="false" customHeight="false" outlineLevel="0" collapsed="false">
      <c r="A3577" s="13" t="str">
        <f aca="false">IF(עזר!L3577="","",INDEX(עזר!$A$2:$A$5001,עזר!L3577))</f>
        <v/>
      </c>
      <c r="B3577" s="13" t="str">
        <f aca="false">IF(עזר!L3577="","",INDEX(עזר!$B$2:$B$5001,עזר!L3577))</f>
        <v/>
      </c>
      <c r="C3577" s="13" t="str">
        <f aca="false">עזר!M3577</f>
        <v/>
      </c>
    </row>
    <row r="3578" customFormat="false" ht="15" hidden="false" customHeight="false" outlineLevel="0" collapsed="false">
      <c r="A3578" s="13" t="str">
        <f aca="false">IF(עזר!L3578="","",INDEX(עזר!$A$2:$A$5001,עזר!L3578))</f>
        <v/>
      </c>
      <c r="B3578" s="13" t="str">
        <f aca="false">IF(עזר!L3578="","",INDEX(עזר!$B$2:$B$5001,עזר!L3578))</f>
        <v/>
      </c>
      <c r="C3578" s="13" t="str">
        <f aca="false">עזר!M3578</f>
        <v/>
      </c>
    </row>
    <row r="3579" customFormat="false" ht="15" hidden="false" customHeight="false" outlineLevel="0" collapsed="false">
      <c r="A3579" s="13" t="str">
        <f aca="false">IF(עזר!L3579="","",INDEX(עזר!$A$2:$A$5001,עזר!L3579))</f>
        <v/>
      </c>
      <c r="B3579" s="13" t="str">
        <f aca="false">IF(עזר!L3579="","",INDEX(עזר!$B$2:$B$5001,עזר!L3579))</f>
        <v/>
      </c>
      <c r="C3579" s="13" t="str">
        <f aca="false">עזר!M3579</f>
        <v/>
      </c>
    </row>
    <row r="3580" customFormat="false" ht="15" hidden="false" customHeight="false" outlineLevel="0" collapsed="false">
      <c r="A3580" s="13" t="str">
        <f aca="false">IF(עזר!L3580="","",INDEX(עזר!$A$2:$A$5001,עזר!L3580))</f>
        <v/>
      </c>
      <c r="B3580" s="13" t="str">
        <f aca="false">IF(עזר!L3580="","",INDEX(עזר!$B$2:$B$5001,עזר!L3580))</f>
        <v/>
      </c>
      <c r="C3580" s="13" t="str">
        <f aca="false">עזר!M3580</f>
        <v/>
      </c>
    </row>
    <row r="3581" customFormat="false" ht="15" hidden="false" customHeight="false" outlineLevel="0" collapsed="false">
      <c r="A3581" s="13" t="str">
        <f aca="false">IF(עזר!L3581="","",INDEX(עזר!$A$2:$A$5001,עזר!L3581))</f>
        <v/>
      </c>
      <c r="B3581" s="13" t="str">
        <f aca="false">IF(עזר!L3581="","",INDEX(עזר!$B$2:$B$5001,עזר!L3581))</f>
        <v/>
      </c>
      <c r="C3581" s="13" t="str">
        <f aca="false">עזר!M3581</f>
        <v/>
      </c>
    </row>
    <row r="3582" customFormat="false" ht="15" hidden="false" customHeight="false" outlineLevel="0" collapsed="false">
      <c r="A3582" s="13" t="str">
        <f aca="false">IF(עזר!L3582="","",INDEX(עזר!$A$2:$A$5001,עזר!L3582))</f>
        <v/>
      </c>
      <c r="B3582" s="13" t="str">
        <f aca="false">IF(עזר!L3582="","",INDEX(עזר!$B$2:$B$5001,עזר!L3582))</f>
        <v/>
      </c>
      <c r="C3582" s="13" t="str">
        <f aca="false">עזר!M3582</f>
        <v/>
      </c>
    </row>
    <row r="3583" customFormat="false" ht="15" hidden="false" customHeight="false" outlineLevel="0" collapsed="false">
      <c r="A3583" s="13" t="str">
        <f aca="false">IF(עזר!L3583="","",INDEX(עזר!$A$2:$A$5001,עזר!L3583))</f>
        <v/>
      </c>
      <c r="B3583" s="13" t="str">
        <f aca="false">IF(עזר!L3583="","",INDEX(עזר!$B$2:$B$5001,עזר!L3583))</f>
        <v/>
      </c>
      <c r="C3583" s="13" t="str">
        <f aca="false">עזר!M3583</f>
        <v/>
      </c>
    </row>
    <row r="3584" customFormat="false" ht="15" hidden="false" customHeight="false" outlineLevel="0" collapsed="false">
      <c r="A3584" s="13" t="str">
        <f aca="false">IF(עזר!L3584="","",INDEX(עזר!$A$2:$A$5001,עזר!L3584))</f>
        <v/>
      </c>
      <c r="B3584" s="13" t="str">
        <f aca="false">IF(עזר!L3584="","",INDEX(עזר!$B$2:$B$5001,עזר!L3584))</f>
        <v/>
      </c>
      <c r="C3584" s="13" t="str">
        <f aca="false">עזר!M3584</f>
        <v/>
      </c>
    </row>
    <row r="3585" customFormat="false" ht="15" hidden="false" customHeight="false" outlineLevel="0" collapsed="false">
      <c r="A3585" s="13" t="str">
        <f aca="false">IF(עזר!L3585="","",INDEX(עזר!$A$2:$A$5001,עזר!L3585))</f>
        <v/>
      </c>
      <c r="B3585" s="13" t="str">
        <f aca="false">IF(עזר!L3585="","",INDEX(עזר!$B$2:$B$5001,עזר!L3585))</f>
        <v/>
      </c>
      <c r="C3585" s="13" t="str">
        <f aca="false">עזר!M3585</f>
        <v/>
      </c>
    </row>
    <row r="3586" customFormat="false" ht="15" hidden="false" customHeight="false" outlineLevel="0" collapsed="false">
      <c r="A3586" s="13" t="str">
        <f aca="false">IF(עזר!L3586="","",INDEX(עזר!$A$2:$A$5001,עזר!L3586))</f>
        <v/>
      </c>
      <c r="B3586" s="13" t="str">
        <f aca="false">IF(עזר!L3586="","",INDEX(עזר!$B$2:$B$5001,עזר!L3586))</f>
        <v/>
      </c>
      <c r="C3586" s="13" t="str">
        <f aca="false">עזר!M3586</f>
        <v/>
      </c>
    </row>
    <row r="3587" customFormat="false" ht="15" hidden="false" customHeight="false" outlineLevel="0" collapsed="false">
      <c r="A3587" s="13" t="str">
        <f aca="false">IF(עזר!L3587="","",INDEX(עזר!$A$2:$A$5001,עזר!L3587))</f>
        <v/>
      </c>
      <c r="B3587" s="13" t="str">
        <f aca="false">IF(עזר!L3587="","",INDEX(עזר!$B$2:$B$5001,עזר!L3587))</f>
        <v/>
      </c>
      <c r="C3587" s="13" t="str">
        <f aca="false">עזר!M3587</f>
        <v/>
      </c>
    </row>
    <row r="3588" customFormat="false" ht="15" hidden="false" customHeight="false" outlineLevel="0" collapsed="false">
      <c r="A3588" s="13" t="str">
        <f aca="false">IF(עזר!L3588="","",INDEX(עזר!$A$2:$A$5001,עזר!L3588))</f>
        <v/>
      </c>
      <c r="B3588" s="13" t="str">
        <f aca="false">IF(עזר!L3588="","",INDEX(עזר!$B$2:$B$5001,עזר!L3588))</f>
        <v/>
      </c>
      <c r="C3588" s="13" t="str">
        <f aca="false">עזר!M3588</f>
        <v/>
      </c>
    </row>
    <row r="3589" customFormat="false" ht="15" hidden="false" customHeight="false" outlineLevel="0" collapsed="false">
      <c r="A3589" s="13" t="str">
        <f aca="false">IF(עזר!L3589="","",INDEX(עזר!$A$2:$A$5001,עזר!L3589))</f>
        <v/>
      </c>
      <c r="B3589" s="13" t="str">
        <f aca="false">IF(עזר!L3589="","",INDEX(עזר!$B$2:$B$5001,עזר!L3589))</f>
        <v/>
      </c>
      <c r="C3589" s="13" t="str">
        <f aca="false">עזר!M3589</f>
        <v/>
      </c>
    </row>
    <row r="3590" customFormat="false" ht="15" hidden="false" customHeight="false" outlineLevel="0" collapsed="false">
      <c r="A3590" s="13" t="str">
        <f aca="false">IF(עזר!L3590="","",INDEX(עזר!$A$2:$A$5001,עזר!L3590))</f>
        <v/>
      </c>
      <c r="B3590" s="13" t="str">
        <f aca="false">IF(עזר!L3590="","",INDEX(עזר!$B$2:$B$5001,עזר!L3590))</f>
        <v/>
      </c>
      <c r="C3590" s="13" t="str">
        <f aca="false">עזר!M3590</f>
        <v/>
      </c>
    </row>
    <row r="3591" customFormat="false" ht="15" hidden="false" customHeight="false" outlineLevel="0" collapsed="false">
      <c r="A3591" s="13" t="str">
        <f aca="false">IF(עזר!L3591="","",INDEX(עזר!$A$2:$A$5001,עזר!L3591))</f>
        <v/>
      </c>
      <c r="B3591" s="13" t="str">
        <f aca="false">IF(עזר!L3591="","",INDEX(עזר!$B$2:$B$5001,עזר!L3591))</f>
        <v/>
      </c>
      <c r="C3591" s="13" t="str">
        <f aca="false">עזר!M3591</f>
        <v/>
      </c>
    </row>
    <row r="3592" customFormat="false" ht="15" hidden="false" customHeight="false" outlineLevel="0" collapsed="false">
      <c r="A3592" s="13" t="str">
        <f aca="false">IF(עזר!L3592="","",INDEX(עזר!$A$2:$A$5001,עזר!L3592))</f>
        <v/>
      </c>
      <c r="B3592" s="13" t="str">
        <f aca="false">IF(עזר!L3592="","",INDEX(עזר!$B$2:$B$5001,עזר!L3592))</f>
        <v/>
      </c>
      <c r="C3592" s="13" t="str">
        <f aca="false">עזר!M3592</f>
        <v/>
      </c>
    </row>
    <row r="3593" customFormat="false" ht="15" hidden="false" customHeight="false" outlineLevel="0" collapsed="false">
      <c r="A3593" s="13" t="str">
        <f aca="false">IF(עזר!L3593="","",INDEX(עזר!$A$2:$A$5001,עזר!L3593))</f>
        <v/>
      </c>
      <c r="B3593" s="13" t="str">
        <f aca="false">IF(עזר!L3593="","",INDEX(עזר!$B$2:$B$5001,עזר!L3593))</f>
        <v/>
      </c>
      <c r="C3593" s="13" t="str">
        <f aca="false">עזר!M3593</f>
        <v/>
      </c>
    </row>
    <row r="3594" customFormat="false" ht="15" hidden="false" customHeight="false" outlineLevel="0" collapsed="false">
      <c r="A3594" s="13" t="str">
        <f aca="false">IF(עזר!L3594="","",INDEX(עזר!$A$2:$A$5001,עזר!L3594))</f>
        <v/>
      </c>
      <c r="B3594" s="13" t="str">
        <f aca="false">IF(עזר!L3594="","",INDEX(עזר!$B$2:$B$5001,עזר!L3594))</f>
        <v/>
      </c>
      <c r="C3594" s="13" t="str">
        <f aca="false">עזר!M3594</f>
        <v/>
      </c>
    </row>
    <row r="3595" customFormat="false" ht="15" hidden="false" customHeight="false" outlineLevel="0" collapsed="false">
      <c r="A3595" s="13" t="str">
        <f aca="false">IF(עזר!L3595="","",INDEX(עזר!$A$2:$A$5001,עזר!L3595))</f>
        <v/>
      </c>
      <c r="B3595" s="13" t="str">
        <f aca="false">IF(עזר!L3595="","",INDEX(עזר!$B$2:$B$5001,עזר!L3595))</f>
        <v/>
      </c>
      <c r="C3595" s="13" t="str">
        <f aca="false">עזר!M3595</f>
        <v/>
      </c>
    </row>
    <row r="3596" customFormat="false" ht="15" hidden="false" customHeight="false" outlineLevel="0" collapsed="false">
      <c r="A3596" s="13" t="str">
        <f aca="false">IF(עזר!L3596="","",INDEX(עזר!$A$2:$A$5001,עזר!L3596))</f>
        <v/>
      </c>
      <c r="B3596" s="13" t="str">
        <f aca="false">IF(עזר!L3596="","",INDEX(עזר!$B$2:$B$5001,עזר!L3596))</f>
        <v/>
      </c>
      <c r="C3596" s="13" t="str">
        <f aca="false">עזר!M3596</f>
        <v/>
      </c>
    </row>
    <row r="3597" customFormat="false" ht="15" hidden="false" customHeight="false" outlineLevel="0" collapsed="false">
      <c r="A3597" s="13" t="str">
        <f aca="false">IF(עזר!L3597="","",INDEX(עזר!$A$2:$A$5001,עזר!L3597))</f>
        <v/>
      </c>
      <c r="B3597" s="13" t="str">
        <f aca="false">IF(עזר!L3597="","",INDEX(עזר!$B$2:$B$5001,עזר!L3597))</f>
        <v/>
      </c>
      <c r="C3597" s="13" t="str">
        <f aca="false">עזר!M3597</f>
        <v/>
      </c>
    </row>
    <row r="3598" customFormat="false" ht="15" hidden="false" customHeight="false" outlineLevel="0" collapsed="false">
      <c r="A3598" s="13" t="str">
        <f aca="false">IF(עזר!L3598="","",INDEX(עזר!$A$2:$A$5001,עזר!L3598))</f>
        <v/>
      </c>
      <c r="B3598" s="13" t="str">
        <f aca="false">IF(עזר!L3598="","",INDEX(עזר!$B$2:$B$5001,עזר!L3598))</f>
        <v/>
      </c>
      <c r="C3598" s="13" t="str">
        <f aca="false">עזר!M3598</f>
        <v/>
      </c>
    </row>
    <row r="3599" customFormat="false" ht="15" hidden="false" customHeight="false" outlineLevel="0" collapsed="false">
      <c r="A3599" s="13" t="str">
        <f aca="false">IF(עזר!L3599="","",INDEX(עזר!$A$2:$A$5001,עזר!L3599))</f>
        <v/>
      </c>
      <c r="B3599" s="13" t="str">
        <f aca="false">IF(עזר!L3599="","",INDEX(עזר!$B$2:$B$5001,עזר!L3599))</f>
        <v/>
      </c>
      <c r="C3599" s="13" t="str">
        <f aca="false">עזר!M3599</f>
        <v/>
      </c>
    </row>
    <row r="3600" customFormat="false" ht="15" hidden="false" customHeight="false" outlineLevel="0" collapsed="false">
      <c r="A3600" s="13" t="str">
        <f aca="false">IF(עזר!L3600="","",INDEX(עזר!$A$2:$A$5001,עזר!L3600))</f>
        <v/>
      </c>
      <c r="B3600" s="13" t="str">
        <f aca="false">IF(עזר!L3600="","",INDEX(עזר!$B$2:$B$5001,עזר!L3600))</f>
        <v/>
      </c>
      <c r="C3600" s="13" t="str">
        <f aca="false">עזר!M3600</f>
        <v/>
      </c>
    </row>
    <row r="3601" customFormat="false" ht="15" hidden="false" customHeight="false" outlineLevel="0" collapsed="false">
      <c r="A3601" s="13" t="str">
        <f aca="false">IF(עזר!L3601="","",INDEX(עזר!$A$2:$A$5001,עזר!L3601))</f>
        <v/>
      </c>
      <c r="B3601" s="13" t="str">
        <f aca="false">IF(עזר!L3601="","",INDEX(עזר!$B$2:$B$5001,עזר!L3601))</f>
        <v/>
      </c>
      <c r="C3601" s="13" t="str">
        <f aca="false">עזר!M3601</f>
        <v/>
      </c>
    </row>
    <row r="3602" customFormat="false" ht="15" hidden="false" customHeight="false" outlineLevel="0" collapsed="false">
      <c r="A3602" s="13" t="str">
        <f aca="false">IF(עזר!L3602="","",INDEX(עזר!$A$2:$A$5001,עזר!L3602))</f>
        <v/>
      </c>
      <c r="B3602" s="13" t="str">
        <f aca="false">IF(עזר!L3602="","",INDEX(עזר!$B$2:$B$5001,עזר!L3602))</f>
        <v/>
      </c>
      <c r="C3602" s="13" t="str">
        <f aca="false">עזר!M3602</f>
        <v/>
      </c>
    </row>
    <row r="3603" customFormat="false" ht="15" hidden="false" customHeight="false" outlineLevel="0" collapsed="false">
      <c r="A3603" s="13" t="str">
        <f aca="false">IF(עזר!L3603="","",INDEX(עזר!$A$2:$A$5001,עזר!L3603))</f>
        <v/>
      </c>
      <c r="B3603" s="13" t="str">
        <f aca="false">IF(עזר!L3603="","",INDEX(עזר!$B$2:$B$5001,עזר!L3603))</f>
        <v/>
      </c>
      <c r="C3603" s="13" t="str">
        <f aca="false">עזר!M3603</f>
        <v/>
      </c>
    </row>
    <row r="3604" customFormat="false" ht="15" hidden="false" customHeight="false" outlineLevel="0" collapsed="false">
      <c r="A3604" s="13" t="str">
        <f aca="false">IF(עזר!L3604="","",INDEX(עזר!$A$2:$A$5001,עזר!L3604))</f>
        <v/>
      </c>
      <c r="B3604" s="13" t="str">
        <f aca="false">IF(עזר!L3604="","",INDEX(עזר!$B$2:$B$5001,עזר!L3604))</f>
        <v/>
      </c>
      <c r="C3604" s="13" t="str">
        <f aca="false">עזר!M3604</f>
        <v/>
      </c>
    </row>
    <row r="3605" customFormat="false" ht="15" hidden="false" customHeight="false" outlineLevel="0" collapsed="false">
      <c r="A3605" s="13" t="str">
        <f aca="false">IF(עזר!L3605="","",INDEX(עזר!$A$2:$A$5001,עזר!L3605))</f>
        <v/>
      </c>
      <c r="B3605" s="13" t="str">
        <f aca="false">IF(עזר!L3605="","",INDEX(עזר!$B$2:$B$5001,עזר!L3605))</f>
        <v/>
      </c>
      <c r="C3605" s="13" t="str">
        <f aca="false">עזר!M3605</f>
        <v/>
      </c>
    </row>
    <row r="3606" customFormat="false" ht="15" hidden="false" customHeight="false" outlineLevel="0" collapsed="false">
      <c r="A3606" s="13" t="str">
        <f aca="false">IF(עזר!L3606="","",INDEX(עזר!$A$2:$A$5001,עזר!L3606))</f>
        <v/>
      </c>
      <c r="B3606" s="13" t="str">
        <f aca="false">IF(עזר!L3606="","",INDEX(עזר!$B$2:$B$5001,עזר!L3606))</f>
        <v/>
      </c>
      <c r="C3606" s="13" t="str">
        <f aca="false">עזר!M3606</f>
        <v/>
      </c>
    </row>
    <row r="3607" customFormat="false" ht="15" hidden="false" customHeight="false" outlineLevel="0" collapsed="false">
      <c r="A3607" s="13" t="str">
        <f aca="false">IF(עזר!L3607="","",INDEX(עזר!$A$2:$A$5001,עזר!L3607))</f>
        <v/>
      </c>
      <c r="B3607" s="13" t="str">
        <f aca="false">IF(עזר!L3607="","",INDEX(עזר!$B$2:$B$5001,עזר!L3607))</f>
        <v/>
      </c>
      <c r="C3607" s="13" t="str">
        <f aca="false">עזר!M3607</f>
        <v/>
      </c>
    </row>
    <row r="3608" customFormat="false" ht="15" hidden="false" customHeight="false" outlineLevel="0" collapsed="false">
      <c r="A3608" s="13" t="str">
        <f aca="false">IF(עזר!L3608="","",INDEX(עזר!$A$2:$A$5001,עזר!L3608))</f>
        <v/>
      </c>
      <c r="B3608" s="13" t="str">
        <f aca="false">IF(עזר!L3608="","",INDEX(עזר!$B$2:$B$5001,עזר!L3608))</f>
        <v/>
      </c>
      <c r="C3608" s="13" t="str">
        <f aca="false">עזר!M3608</f>
        <v/>
      </c>
    </row>
    <row r="3609" customFormat="false" ht="15" hidden="false" customHeight="false" outlineLevel="0" collapsed="false">
      <c r="A3609" s="13" t="str">
        <f aca="false">IF(עזר!L3609="","",INDEX(עזר!$A$2:$A$5001,עזר!L3609))</f>
        <v/>
      </c>
      <c r="B3609" s="13" t="str">
        <f aca="false">IF(עזר!L3609="","",INDEX(עזר!$B$2:$B$5001,עזר!L3609))</f>
        <v/>
      </c>
      <c r="C3609" s="13" t="str">
        <f aca="false">עזר!M3609</f>
        <v/>
      </c>
    </row>
    <row r="3610" customFormat="false" ht="15" hidden="false" customHeight="false" outlineLevel="0" collapsed="false">
      <c r="A3610" s="13" t="str">
        <f aca="false">IF(עזר!L3610="","",INDEX(עזר!$A$2:$A$5001,עזר!L3610))</f>
        <v/>
      </c>
      <c r="B3610" s="13" t="str">
        <f aca="false">IF(עזר!L3610="","",INDEX(עזר!$B$2:$B$5001,עזר!L3610))</f>
        <v/>
      </c>
      <c r="C3610" s="13" t="str">
        <f aca="false">עזר!M3610</f>
        <v/>
      </c>
    </row>
    <row r="3611" customFormat="false" ht="15" hidden="false" customHeight="false" outlineLevel="0" collapsed="false">
      <c r="A3611" s="13" t="str">
        <f aca="false">IF(עזר!L3611="","",INDEX(עזר!$A$2:$A$5001,עזר!L3611))</f>
        <v/>
      </c>
      <c r="B3611" s="13" t="str">
        <f aca="false">IF(עזר!L3611="","",INDEX(עזר!$B$2:$B$5001,עזר!L3611))</f>
        <v/>
      </c>
      <c r="C3611" s="13" t="str">
        <f aca="false">עזר!M3611</f>
        <v/>
      </c>
    </row>
    <row r="3612" customFormat="false" ht="15" hidden="false" customHeight="false" outlineLevel="0" collapsed="false">
      <c r="A3612" s="13" t="str">
        <f aca="false">IF(עזר!L3612="","",INDEX(עזר!$A$2:$A$5001,עזר!L3612))</f>
        <v/>
      </c>
      <c r="B3612" s="13" t="str">
        <f aca="false">IF(עזר!L3612="","",INDEX(עזר!$B$2:$B$5001,עזר!L3612))</f>
        <v/>
      </c>
      <c r="C3612" s="13" t="str">
        <f aca="false">עזר!M3612</f>
        <v/>
      </c>
    </row>
    <row r="3613" customFormat="false" ht="15" hidden="false" customHeight="false" outlineLevel="0" collapsed="false">
      <c r="A3613" s="13" t="str">
        <f aca="false">IF(עזר!L3613="","",INDEX(עזר!$A$2:$A$5001,עזר!L3613))</f>
        <v/>
      </c>
      <c r="B3613" s="13" t="str">
        <f aca="false">IF(עזר!L3613="","",INDEX(עזר!$B$2:$B$5001,עזר!L3613))</f>
        <v/>
      </c>
      <c r="C3613" s="13" t="str">
        <f aca="false">עזר!M3613</f>
        <v/>
      </c>
    </row>
    <row r="3614" customFormat="false" ht="15" hidden="false" customHeight="false" outlineLevel="0" collapsed="false">
      <c r="A3614" s="13" t="str">
        <f aca="false">IF(עזר!L3614="","",INDEX(עזר!$A$2:$A$5001,עזר!L3614))</f>
        <v/>
      </c>
      <c r="B3614" s="13" t="str">
        <f aca="false">IF(עזר!L3614="","",INDEX(עזר!$B$2:$B$5001,עזר!L3614))</f>
        <v/>
      </c>
      <c r="C3614" s="13" t="str">
        <f aca="false">עזר!M3614</f>
        <v/>
      </c>
    </row>
    <row r="3615" customFormat="false" ht="15" hidden="false" customHeight="false" outlineLevel="0" collapsed="false">
      <c r="A3615" s="13" t="str">
        <f aca="false">IF(עזר!L3615="","",INDEX(עזר!$A$2:$A$5001,עזר!L3615))</f>
        <v/>
      </c>
      <c r="B3615" s="13" t="str">
        <f aca="false">IF(עזר!L3615="","",INDEX(עזר!$B$2:$B$5001,עזר!L3615))</f>
        <v/>
      </c>
      <c r="C3615" s="13" t="str">
        <f aca="false">עזר!M3615</f>
        <v/>
      </c>
    </row>
    <row r="3616" customFormat="false" ht="15" hidden="false" customHeight="false" outlineLevel="0" collapsed="false">
      <c r="A3616" s="13" t="str">
        <f aca="false">IF(עזר!L3616="","",INDEX(עזר!$A$2:$A$5001,עזר!L3616))</f>
        <v/>
      </c>
      <c r="B3616" s="13" t="str">
        <f aca="false">IF(עזר!L3616="","",INDEX(עזר!$B$2:$B$5001,עזר!L3616))</f>
        <v/>
      </c>
      <c r="C3616" s="13" t="str">
        <f aca="false">עזר!M3616</f>
        <v/>
      </c>
    </row>
    <row r="3617" customFormat="false" ht="15" hidden="false" customHeight="false" outlineLevel="0" collapsed="false">
      <c r="A3617" s="13" t="str">
        <f aca="false">IF(עזר!L3617="","",INDEX(עזר!$A$2:$A$5001,עזר!L3617))</f>
        <v/>
      </c>
      <c r="B3617" s="13" t="str">
        <f aca="false">IF(עזר!L3617="","",INDEX(עזר!$B$2:$B$5001,עזר!L3617))</f>
        <v/>
      </c>
      <c r="C3617" s="13" t="str">
        <f aca="false">עזר!M3617</f>
        <v/>
      </c>
    </row>
    <row r="3618" customFormat="false" ht="15" hidden="false" customHeight="false" outlineLevel="0" collapsed="false">
      <c r="A3618" s="13" t="str">
        <f aca="false">IF(עזר!L3618="","",INDEX(עזר!$A$2:$A$5001,עזר!L3618))</f>
        <v/>
      </c>
      <c r="B3618" s="13" t="str">
        <f aca="false">IF(עזר!L3618="","",INDEX(עזר!$B$2:$B$5001,עזר!L3618))</f>
        <v/>
      </c>
      <c r="C3618" s="13" t="str">
        <f aca="false">עזר!M3618</f>
        <v/>
      </c>
    </row>
    <row r="3619" customFormat="false" ht="15" hidden="false" customHeight="false" outlineLevel="0" collapsed="false">
      <c r="A3619" s="13" t="str">
        <f aca="false">IF(עזר!L3619="","",INDEX(עזר!$A$2:$A$5001,עזר!L3619))</f>
        <v/>
      </c>
      <c r="B3619" s="13" t="str">
        <f aca="false">IF(עזר!L3619="","",INDEX(עזר!$B$2:$B$5001,עזר!L3619))</f>
        <v/>
      </c>
      <c r="C3619" s="13" t="str">
        <f aca="false">עזר!M3619</f>
        <v/>
      </c>
    </row>
    <row r="3620" customFormat="false" ht="15" hidden="false" customHeight="false" outlineLevel="0" collapsed="false">
      <c r="A3620" s="13" t="str">
        <f aca="false">IF(עזר!L3620="","",INDEX(עזר!$A$2:$A$5001,עזר!L3620))</f>
        <v/>
      </c>
      <c r="B3620" s="13" t="str">
        <f aca="false">IF(עזר!L3620="","",INDEX(עזר!$B$2:$B$5001,עזר!L3620))</f>
        <v/>
      </c>
      <c r="C3620" s="13" t="str">
        <f aca="false">עזר!M3620</f>
        <v/>
      </c>
    </row>
    <row r="3621" customFormat="false" ht="15" hidden="false" customHeight="false" outlineLevel="0" collapsed="false">
      <c r="A3621" s="13" t="str">
        <f aca="false">IF(עזר!L3621="","",INDEX(עזר!$A$2:$A$5001,עזר!L3621))</f>
        <v/>
      </c>
      <c r="B3621" s="13" t="str">
        <f aca="false">IF(עזר!L3621="","",INDEX(עזר!$B$2:$B$5001,עזר!L3621))</f>
        <v/>
      </c>
      <c r="C3621" s="13" t="str">
        <f aca="false">עזר!M3621</f>
        <v/>
      </c>
    </row>
    <row r="3622" customFormat="false" ht="15" hidden="false" customHeight="false" outlineLevel="0" collapsed="false">
      <c r="A3622" s="13" t="str">
        <f aca="false">IF(עזר!L3622="","",INDEX(עזר!$A$2:$A$5001,עזר!L3622))</f>
        <v/>
      </c>
      <c r="B3622" s="13" t="str">
        <f aca="false">IF(עזר!L3622="","",INDEX(עזר!$B$2:$B$5001,עזר!L3622))</f>
        <v/>
      </c>
      <c r="C3622" s="13" t="str">
        <f aca="false">עזר!M3622</f>
        <v/>
      </c>
    </row>
    <row r="3623" customFormat="false" ht="15" hidden="false" customHeight="false" outlineLevel="0" collapsed="false">
      <c r="A3623" s="13" t="str">
        <f aca="false">IF(עזר!L3623="","",INDEX(עזר!$A$2:$A$5001,עזר!L3623))</f>
        <v/>
      </c>
      <c r="B3623" s="13" t="str">
        <f aca="false">IF(עזר!L3623="","",INDEX(עזר!$B$2:$B$5001,עזר!L3623))</f>
        <v/>
      </c>
      <c r="C3623" s="13" t="str">
        <f aca="false">עזר!M3623</f>
        <v/>
      </c>
    </row>
    <row r="3624" customFormat="false" ht="15" hidden="false" customHeight="false" outlineLevel="0" collapsed="false">
      <c r="A3624" s="13" t="str">
        <f aca="false">IF(עזר!L3624="","",INDEX(עזר!$A$2:$A$5001,עזר!L3624))</f>
        <v/>
      </c>
      <c r="B3624" s="13" t="str">
        <f aca="false">IF(עזר!L3624="","",INDEX(עזר!$B$2:$B$5001,עזר!L3624))</f>
        <v/>
      </c>
      <c r="C3624" s="13" t="str">
        <f aca="false">עזר!M3624</f>
        <v/>
      </c>
    </row>
    <row r="3625" customFormat="false" ht="15" hidden="false" customHeight="false" outlineLevel="0" collapsed="false">
      <c r="A3625" s="13" t="str">
        <f aca="false">IF(עזר!L3625="","",INDEX(עזר!$A$2:$A$5001,עזר!L3625))</f>
        <v/>
      </c>
      <c r="B3625" s="13" t="str">
        <f aca="false">IF(עזר!L3625="","",INDEX(עזר!$B$2:$B$5001,עזר!L3625))</f>
        <v/>
      </c>
      <c r="C3625" s="13" t="str">
        <f aca="false">עזר!M3625</f>
        <v/>
      </c>
    </row>
    <row r="3626" customFormat="false" ht="15" hidden="false" customHeight="false" outlineLevel="0" collapsed="false">
      <c r="A3626" s="13" t="str">
        <f aca="false">IF(עזר!L3626="","",INDEX(עזר!$A$2:$A$5001,עזר!L3626))</f>
        <v/>
      </c>
      <c r="B3626" s="13" t="str">
        <f aca="false">IF(עזר!L3626="","",INDEX(עזר!$B$2:$B$5001,עזר!L3626))</f>
        <v/>
      </c>
      <c r="C3626" s="13" t="str">
        <f aca="false">עזר!M3626</f>
        <v/>
      </c>
    </row>
    <row r="3627" customFormat="false" ht="15" hidden="false" customHeight="false" outlineLevel="0" collapsed="false">
      <c r="A3627" s="13" t="str">
        <f aca="false">IF(עזר!L3627="","",INDEX(עזר!$A$2:$A$5001,עזר!L3627))</f>
        <v/>
      </c>
      <c r="B3627" s="13" t="str">
        <f aca="false">IF(עזר!L3627="","",INDEX(עזר!$B$2:$B$5001,עזר!L3627))</f>
        <v/>
      </c>
      <c r="C3627" s="13" t="str">
        <f aca="false">עזר!M3627</f>
        <v/>
      </c>
    </row>
    <row r="3628" customFormat="false" ht="15" hidden="false" customHeight="false" outlineLevel="0" collapsed="false">
      <c r="A3628" s="13" t="str">
        <f aca="false">IF(עזר!L3628="","",INDEX(עזר!$A$2:$A$5001,עזר!L3628))</f>
        <v/>
      </c>
      <c r="B3628" s="13" t="str">
        <f aca="false">IF(עזר!L3628="","",INDEX(עזר!$B$2:$B$5001,עזר!L3628))</f>
        <v/>
      </c>
      <c r="C3628" s="13" t="str">
        <f aca="false">עזר!M3628</f>
        <v/>
      </c>
    </row>
    <row r="3629" customFormat="false" ht="15" hidden="false" customHeight="false" outlineLevel="0" collapsed="false">
      <c r="A3629" s="13" t="str">
        <f aca="false">IF(עזר!L3629="","",INDEX(עזר!$A$2:$A$5001,עזר!L3629))</f>
        <v/>
      </c>
      <c r="B3629" s="13" t="str">
        <f aca="false">IF(עזר!L3629="","",INDEX(עזר!$B$2:$B$5001,עזר!L3629))</f>
        <v/>
      </c>
      <c r="C3629" s="13" t="str">
        <f aca="false">עזר!M3629</f>
        <v/>
      </c>
    </row>
    <row r="3630" customFormat="false" ht="15" hidden="false" customHeight="false" outlineLevel="0" collapsed="false">
      <c r="A3630" s="13" t="str">
        <f aca="false">IF(עזר!L3630="","",INDEX(עזר!$A$2:$A$5001,עזר!L3630))</f>
        <v/>
      </c>
      <c r="B3630" s="13" t="str">
        <f aca="false">IF(עזר!L3630="","",INDEX(עזר!$B$2:$B$5001,עזר!L3630))</f>
        <v/>
      </c>
      <c r="C3630" s="13" t="str">
        <f aca="false">עזר!M3630</f>
        <v/>
      </c>
    </row>
    <row r="3631" customFormat="false" ht="15" hidden="false" customHeight="false" outlineLevel="0" collapsed="false">
      <c r="A3631" s="13" t="str">
        <f aca="false">IF(עזר!L3631="","",INDEX(עזר!$A$2:$A$5001,עזר!L3631))</f>
        <v/>
      </c>
      <c r="B3631" s="13" t="str">
        <f aca="false">IF(עזר!L3631="","",INDEX(עזר!$B$2:$B$5001,עזר!L3631))</f>
        <v/>
      </c>
      <c r="C3631" s="13" t="str">
        <f aca="false">עזר!M3631</f>
        <v/>
      </c>
    </row>
    <row r="3632" customFormat="false" ht="15" hidden="false" customHeight="false" outlineLevel="0" collapsed="false">
      <c r="A3632" s="13" t="str">
        <f aca="false">IF(עזר!L3632="","",INDEX(עזר!$A$2:$A$5001,עזר!L3632))</f>
        <v/>
      </c>
      <c r="B3632" s="13" t="str">
        <f aca="false">IF(עזר!L3632="","",INDEX(עזר!$B$2:$B$5001,עזר!L3632))</f>
        <v/>
      </c>
      <c r="C3632" s="13" t="str">
        <f aca="false">עזר!M3632</f>
        <v/>
      </c>
    </row>
    <row r="3633" customFormat="false" ht="15" hidden="false" customHeight="false" outlineLevel="0" collapsed="false">
      <c r="A3633" s="13" t="str">
        <f aca="false">IF(עזר!L3633="","",INDEX(עזר!$A$2:$A$5001,עזר!L3633))</f>
        <v/>
      </c>
      <c r="B3633" s="13" t="str">
        <f aca="false">IF(עזר!L3633="","",INDEX(עזר!$B$2:$B$5001,עזר!L3633))</f>
        <v/>
      </c>
      <c r="C3633" s="13" t="str">
        <f aca="false">עזר!M3633</f>
        <v/>
      </c>
    </row>
    <row r="3634" customFormat="false" ht="15" hidden="false" customHeight="false" outlineLevel="0" collapsed="false">
      <c r="A3634" s="13" t="str">
        <f aca="false">IF(עזר!L3634="","",INDEX(עזר!$A$2:$A$5001,עזר!L3634))</f>
        <v/>
      </c>
      <c r="B3634" s="13" t="str">
        <f aca="false">IF(עזר!L3634="","",INDEX(עזר!$B$2:$B$5001,עזר!L3634))</f>
        <v/>
      </c>
      <c r="C3634" s="13" t="str">
        <f aca="false">עזר!M3634</f>
        <v/>
      </c>
    </row>
    <row r="3635" customFormat="false" ht="15" hidden="false" customHeight="false" outlineLevel="0" collapsed="false">
      <c r="A3635" s="13" t="str">
        <f aca="false">IF(עזר!L3635="","",INDEX(עזר!$A$2:$A$5001,עזר!L3635))</f>
        <v/>
      </c>
      <c r="B3635" s="13" t="str">
        <f aca="false">IF(עזר!L3635="","",INDEX(עזר!$B$2:$B$5001,עזר!L3635))</f>
        <v/>
      </c>
      <c r="C3635" s="13" t="str">
        <f aca="false">עזר!M3635</f>
        <v/>
      </c>
    </row>
    <row r="3636" customFormat="false" ht="15" hidden="false" customHeight="false" outlineLevel="0" collapsed="false">
      <c r="A3636" s="13" t="str">
        <f aca="false">IF(עזר!L3636="","",INDEX(עזר!$A$2:$A$5001,עזר!L3636))</f>
        <v/>
      </c>
      <c r="B3636" s="13" t="str">
        <f aca="false">IF(עזר!L3636="","",INDEX(עזר!$B$2:$B$5001,עזר!L3636))</f>
        <v/>
      </c>
      <c r="C3636" s="13" t="str">
        <f aca="false">עזר!M3636</f>
        <v/>
      </c>
    </row>
    <row r="3637" customFormat="false" ht="15" hidden="false" customHeight="false" outlineLevel="0" collapsed="false">
      <c r="A3637" s="13" t="str">
        <f aca="false">IF(עזר!L3637="","",INDEX(עזר!$A$2:$A$5001,עזר!L3637))</f>
        <v/>
      </c>
      <c r="B3637" s="13" t="str">
        <f aca="false">IF(עזר!L3637="","",INDEX(עזר!$B$2:$B$5001,עזר!L3637))</f>
        <v/>
      </c>
      <c r="C3637" s="13" t="str">
        <f aca="false">עזר!M3637</f>
        <v/>
      </c>
    </row>
    <row r="3638" customFormat="false" ht="15" hidden="false" customHeight="false" outlineLevel="0" collapsed="false">
      <c r="A3638" s="13" t="str">
        <f aca="false">IF(עזר!L3638="","",INDEX(עזר!$A$2:$A$5001,עזר!L3638))</f>
        <v/>
      </c>
      <c r="B3638" s="13" t="str">
        <f aca="false">IF(עזר!L3638="","",INDEX(עזר!$B$2:$B$5001,עזר!L3638))</f>
        <v/>
      </c>
      <c r="C3638" s="13" t="str">
        <f aca="false">עזר!M3638</f>
        <v/>
      </c>
    </row>
    <row r="3639" customFormat="false" ht="15" hidden="false" customHeight="false" outlineLevel="0" collapsed="false">
      <c r="A3639" s="13" t="str">
        <f aca="false">IF(עזר!L3639="","",INDEX(עזר!$A$2:$A$5001,עזר!L3639))</f>
        <v/>
      </c>
      <c r="B3639" s="13" t="str">
        <f aca="false">IF(עזר!L3639="","",INDEX(עזר!$B$2:$B$5001,עזר!L3639))</f>
        <v/>
      </c>
      <c r="C3639" s="13" t="str">
        <f aca="false">עזר!M3639</f>
        <v/>
      </c>
    </row>
    <row r="3640" customFormat="false" ht="15" hidden="false" customHeight="false" outlineLevel="0" collapsed="false">
      <c r="A3640" s="13" t="str">
        <f aca="false">IF(עזר!L3640="","",INDEX(עזר!$A$2:$A$5001,עזר!L3640))</f>
        <v/>
      </c>
      <c r="B3640" s="13" t="str">
        <f aca="false">IF(עזר!L3640="","",INDEX(עזר!$B$2:$B$5001,עזר!L3640))</f>
        <v/>
      </c>
      <c r="C3640" s="13" t="str">
        <f aca="false">עזר!M3640</f>
        <v/>
      </c>
    </row>
    <row r="3641" customFormat="false" ht="15" hidden="false" customHeight="false" outlineLevel="0" collapsed="false">
      <c r="A3641" s="13" t="str">
        <f aca="false">IF(עזר!L3641="","",INDEX(עזר!$A$2:$A$5001,עזר!L3641))</f>
        <v/>
      </c>
      <c r="B3641" s="13" t="str">
        <f aca="false">IF(עזר!L3641="","",INDEX(עזר!$B$2:$B$5001,עזר!L3641))</f>
        <v/>
      </c>
      <c r="C3641" s="13" t="str">
        <f aca="false">עזר!M3641</f>
        <v/>
      </c>
    </row>
    <row r="3642" customFormat="false" ht="15" hidden="false" customHeight="false" outlineLevel="0" collapsed="false">
      <c r="A3642" s="13" t="str">
        <f aca="false">IF(עזר!L3642="","",INDEX(עזר!$A$2:$A$5001,עזר!L3642))</f>
        <v/>
      </c>
      <c r="B3642" s="13" t="str">
        <f aca="false">IF(עזר!L3642="","",INDEX(עזר!$B$2:$B$5001,עזר!L3642))</f>
        <v/>
      </c>
      <c r="C3642" s="13" t="str">
        <f aca="false">עזר!M3642</f>
        <v/>
      </c>
    </row>
    <row r="3643" customFormat="false" ht="15" hidden="false" customHeight="false" outlineLevel="0" collapsed="false">
      <c r="A3643" s="13" t="str">
        <f aca="false">IF(עזר!L3643="","",INDEX(עזר!$A$2:$A$5001,עזר!L3643))</f>
        <v/>
      </c>
      <c r="B3643" s="13" t="str">
        <f aca="false">IF(עזר!L3643="","",INDEX(עזר!$B$2:$B$5001,עזר!L3643))</f>
        <v/>
      </c>
      <c r="C3643" s="13" t="str">
        <f aca="false">עזר!M3643</f>
        <v/>
      </c>
    </row>
    <row r="3644" customFormat="false" ht="15" hidden="false" customHeight="false" outlineLevel="0" collapsed="false">
      <c r="A3644" s="13" t="str">
        <f aca="false">IF(עזר!L3644="","",INDEX(עזר!$A$2:$A$5001,עזר!L3644))</f>
        <v/>
      </c>
      <c r="B3644" s="13" t="str">
        <f aca="false">IF(עזר!L3644="","",INDEX(עזר!$B$2:$B$5001,עזר!L3644))</f>
        <v/>
      </c>
      <c r="C3644" s="13" t="str">
        <f aca="false">עזר!M3644</f>
        <v/>
      </c>
    </row>
    <row r="3645" customFormat="false" ht="15" hidden="false" customHeight="false" outlineLevel="0" collapsed="false">
      <c r="A3645" s="13" t="str">
        <f aca="false">IF(עזר!L3645="","",INDEX(עזר!$A$2:$A$5001,עזר!L3645))</f>
        <v/>
      </c>
      <c r="B3645" s="13" t="str">
        <f aca="false">IF(עזר!L3645="","",INDEX(עזר!$B$2:$B$5001,עזר!L3645))</f>
        <v/>
      </c>
      <c r="C3645" s="13" t="str">
        <f aca="false">עזר!M3645</f>
        <v/>
      </c>
    </row>
    <row r="3646" customFormat="false" ht="15" hidden="false" customHeight="false" outlineLevel="0" collapsed="false">
      <c r="A3646" s="13" t="str">
        <f aca="false">IF(עזר!L3646="","",INDEX(עזר!$A$2:$A$5001,עזר!L3646))</f>
        <v/>
      </c>
      <c r="B3646" s="13" t="str">
        <f aca="false">IF(עזר!L3646="","",INDEX(עזר!$B$2:$B$5001,עזר!L3646))</f>
        <v/>
      </c>
      <c r="C3646" s="13" t="str">
        <f aca="false">עזר!M3646</f>
        <v/>
      </c>
    </row>
    <row r="3647" customFormat="false" ht="15" hidden="false" customHeight="false" outlineLevel="0" collapsed="false">
      <c r="A3647" s="13" t="str">
        <f aca="false">IF(עזר!L3647="","",INDEX(עזר!$A$2:$A$5001,עזר!L3647))</f>
        <v/>
      </c>
      <c r="B3647" s="13" t="str">
        <f aca="false">IF(עזר!L3647="","",INDEX(עזר!$B$2:$B$5001,עזר!L3647))</f>
        <v/>
      </c>
      <c r="C3647" s="13" t="str">
        <f aca="false">עזר!M3647</f>
        <v/>
      </c>
    </row>
    <row r="3648" customFormat="false" ht="15" hidden="false" customHeight="false" outlineLevel="0" collapsed="false">
      <c r="A3648" s="13" t="str">
        <f aca="false">IF(עזר!L3648="","",INDEX(עזר!$A$2:$A$5001,עזר!L3648))</f>
        <v/>
      </c>
      <c r="B3648" s="13" t="str">
        <f aca="false">IF(עזר!L3648="","",INDEX(עזר!$B$2:$B$5001,עזר!L3648))</f>
        <v/>
      </c>
      <c r="C3648" s="13" t="str">
        <f aca="false">עזר!M3648</f>
        <v/>
      </c>
    </row>
    <row r="3649" customFormat="false" ht="15" hidden="false" customHeight="false" outlineLevel="0" collapsed="false">
      <c r="A3649" s="13" t="str">
        <f aca="false">IF(עזר!L3649="","",INDEX(עזר!$A$2:$A$5001,עזר!L3649))</f>
        <v/>
      </c>
      <c r="B3649" s="13" t="str">
        <f aca="false">IF(עזר!L3649="","",INDEX(עזר!$B$2:$B$5001,עזר!L3649))</f>
        <v/>
      </c>
      <c r="C3649" s="13" t="str">
        <f aca="false">עזר!M3649</f>
        <v/>
      </c>
    </row>
    <row r="3650" customFormat="false" ht="15" hidden="false" customHeight="false" outlineLevel="0" collapsed="false">
      <c r="A3650" s="13" t="str">
        <f aca="false">IF(עזר!L3650="","",INDEX(עזר!$A$2:$A$5001,עזר!L3650))</f>
        <v/>
      </c>
      <c r="B3650" s="13" t="str">
        <f aca="false">IF(עזר!L3650="","",INDEX(עזר!$B$2:$B$5001,עזר!L3650))</f>
        <v/>
      </c>
      <c r="C3650" s="13" t="str">
        <f aca="false">עזר!M3650</f>
        <v/>
      </c>
    </row>
    <row r="3651" customFormat="false" ht="15" hidden="false" customHeight="false" outlineLevel="0" collapsed="false">
      <c r="A3651" s="13" t="str">
        <f aca="false">IF(עזר!L3651="","",INDEX(עזר!$A$2:$A$5001,עזר!L3651))</f>
        <v/>
      </c>
      <c r="B3651" s="13" t="str">
        <f aca="false">IF(עזר!L3651="","",INDEX(עזר!$B$2:$B$5001,עזר!L3651))</f>
        <v/>
      </c>
      <c r="C3651" s="13" t="str">
        <f aca="false">עזר!M3651</f>
        <v/>
      </c>
    </row>
    <row r="3652" customFormat="false" ht="15" hidden="false" customHeight="false" outlineLevel="0" collapsed="false">
      <c r="A3652" s="13" t="str">
        <f aca="false">IF(עזר!L3652="","",INDEX(עזר!$A$2:$A$5001,עזר!L3652))</f>
        <v/>
      </c>
      <c r="B3652" s="13" t="str">
        <f aca="false">IF(עזר!L3652="","",INDEX(עזר!$B$2:$B$5001,עזר!L3652))</f>
        <v/>
      </c>
      <c r="C3652" s="13" t="str">
        <f aca="false">עזר!M3652</f>
        <v/>
      </c>
    </row>
    <row r="3653" customFormat="false" ht="15" hidden="false" customHeight="false" outlineLevel="0" collapsed="false">
      <c r="A3653" s="13" t="str">
        <f aca="false">IF(עזר!L3653="","",INDEX(עזר!$A$2:$A$5001,עזר!L3653))</f>
        <v/>
      </c>
      <c r="B3653" s="13" t="str">
        <f aca="false">IF(עזר!L3653="","",INDEX(עזר!$B$2:$B$5001,עזר!L3653))</f>
        <v/>
      </c>
      <c r="C3653" s="13" t="str">
        <f aca="false">עזר!M3653</f>
        <v/>
      </c>
    </row>
    <row r="3654" customFormat="false" ht="15" hidden="false" customHeight="false" outlineLevel="0" collapsed="false">
      <c r="A3654" s="13" t="str">
        <f aca="false">IF(עזר!L3654="","",INDEX(עזר!$A$2:$A$5001,עזר!L3654))</f>
        <v/>
      </c>
      <c r="B3654" s="13" t="str">
        <f aca="false">IF(עזר!L3654="","",INDEX(עזר!$B$2:$B$5001,עזר!L3654))</f>
        <v/>
      </c>
      <c r="C3654" s="13" t="str">
        <f aca="false">עזר!M3654</f>
        <v/>
      </c>
    </row>
    <row r="3655" customFormat="false" ht="15" hidden="false" customHeight="false" outlineLevel="0" collapsed="false">
      <c r="A3655" s="13" t="str">
        <f aca="false">IF(עזר!L3655="","",INDEX(עזר!$A$2:$A$5001,עזר!L3655))</f>
        <v/>
      </c>
      <c r="B3655" s="13" t="str">
        <f aca="false">IF(עזר!L3655="","",INDEX(עזר!$B$2:$B$5001,עזר!L3655))</f>
        <v/>
      </c>
      <c r="C3655" s="13" t="str">
        <f aca="false">עזר!M3655</f>
        <v/>
      </c>
    </row>
    <row r="3656" customFormat="false" ht="15" hidden="false" customHeight="false" outlineLevel="0" collapsed="false">
      <c r="A3656" s="13" t="str">
        <f aca="false">IF(עזר!L3656="","",INDEX(עזר!$A$2:$A$5001,עזר!L3656))</f>
        <v/>
      </c>
      <c r="B3656" s="13" t="str">
        <f aca="false">IF(עזר!L3656="","",INDEX(עזר!$B$2:$B$5001,עזר!L3656))</f>
        <v/>
      </c>
      <c r="C3656" s="13" t="str">
        <f aca="false">עזר!M3656</f>
        <v/>
      </c>
    </row>
    <row r="3657" customFormat="false" ht="15" hidden="false" customHeight="false" outlineLevel="0" collapsed="false">
      <c r="A3657" s="13" t="str">
        <f aca="false">IF(עזר!L3657="","",INDEX(עזר!$A$2:$A$5001,עזר!L3657))</f>
        <v/>
      </c>
      <c r="B3657" s="13" t="str">
        <f aca="false">IF(עזר!L3657="","",INDEX(עזר!$B$2:$B$5001,עזר!L3657))</f>
        <v/>
      </c>
      <c r="C3657" s="13" t="str">
        <f aca="false">עזר!M3657</f>
        <v/>
      </c>
    </row>
    <row r="3658" customFormat="false" ht="15" hidden="false" customHeight="false" outlineLevel="0" collapsed="false">
      <c r="A3658" s="13" t="str">
        <f aca="false">IF(עזר!L3658="","",INDEX(עזר!$A$2:$A$5001,עזר!L3658))</f>
        <v/>
      </c>
      <c r="B3658" s="13" t="str">
        <f aca="false">IF(עזר!L3658="","",INDEX(עזר!$B$2:$B$5001,עזר!L3658))</f>
        <v/>
      </c>
      <c r="C3658" s="13" t="str">
        <f aca="false">עזר!M3658</f>
        <v/>
      </c>
    </row>
    <row r="3659" customFormat="false" ht="15" hidden="false" customHeight="false" outlineLevel="0" collapsed="false">
      <c r="A3659" s="13" t="str">
        <f aca="false">IF(עזר!L3659="","",INDEX(עזר!$A$2:$A$5001,עזר!L3659))</f>
        <v/>
      </c>
      <c r="B3659" s="13" t="str">
        <f aca="false">IF(עזר!L3659="","",INDEX(עזר!$B$2:$B$5001,עזר!L3659))</f>
        <v/>
      </c>
      <c r="C3659" s="13" t="str">
        <f aca="false">עזר!M3659</f>
        <v/>
      </c>
    </row>
    <row r="3660" customFormat="false" ht="15" hidden="false" customHeight="false" outlineLevel="0" collapsed="false">
      <c r="A3660" s="13" t="str">
        <f aca="false">IF(עזר!L3660="","",INDEX(עזר!$A$2:$A$5001,עזר!L3660))</f>
        <v/>
      </c>
      <c r="B3660" s="13" t="str">
        <f aca="false">IF(עזר!L3660="","",INDEX(עזר!$B$2:$B$5001,עזר!L3660))</f>
        <v/>
      </c>
      <c r="C3660" s="13" t="str">
        <f aca="false">עזר!M3660</f>
        <v/>
      </c>
    </row>
    <row r="3661" customFormat="false" ht="15" hidden="false" customHeight="false" outlineLevel="0" collapsed="false">
      <c r="A3661" s="13" t="str">
        <f aca="false">IF(עזר!L3661="","",INDEX(עזר!$A$2:$A$5001,עזר!L3661))</f>
        <v/>
      </c>
      <c r="B3661" s="13" t="str">
        <f aca="false">IF(עזר!L3661="","",INDEX(עזר!$B$2:$B$5001,עזר!L3661))</f>
        <v/>
      </c>
      <c r="C3661" s="13" t="str">
        <f aca="false">עזר!M3661</f>
        <v/>
      </c>
    </row>
    <row r="3662" customFormat="false" ht="15" hidden="false" customHeight="false" outlineLevel="0" collapsed="false">
      <c r="A3662" s="13" t="str">
        <f aca="false">IF(עזר!L3662="","",INDEX(עזר!$A$2:$A$5001,עזר!L3662))</f>
        <v/>
      </c>
      <c r="B3662" s="13" t="str">
        <f aca="false">IF(עזר!L3662="","",INDEX(עזר!$B$2:$B$5001,עזר!L3662))</f>
        <v/>
      </c>
      <c r="C3662" s="13" t="str">
        <f aca="false">עזר!M3662</f>
        <v/>
      </c>
    </row>
    <row r="3663" customFormat="false" ht="15" hidden="false" customHeight="false" outlineLevel="0" collapsed="false">
      <c r="A3663" s="13" t="str">
        <f aca="false">IF(עזר!L3663="","",INDEX(עזר!$A$2:$A$5001,עזר!L3663))</f>
        <v/>
      </c>
      <c r="B3663" s="13" t="str">
        <f aca="false">IF(עזר!L3663="","",INDEX(עזר!$B$2:$B$5001,עזר!L3663))</f>
        <v/>
      </c>
      <c r="C3663" s="13" t="str">
        <f aca="false">עזר!M3663</f>
        <v/>
      </c>
    </row>
    <row r="3664" customFormat="false" ht="15" hidden="false" customHeight="false" outlineLevel="0" collapsed="false">
      <c r="A3664" s="13" t="str">
        <f aca="false">IF(עזר!L3664="","",INDEX(עזר!$A$2:$A$5001,עזר!L3664))</f>
        <v/>
      </c>
      <c r="B3664" s="13" t="str">
        <f aca="false">IF(עזר!L3664="","",INDEX(עזר!$B$2:$B$5001,עזר!L3664))</f>
        <v/>
      </c>
      <c r="C3664" s="13" t="str">
        <f aca="false">עזר!M3664</f>
        <v/>
      </c>
    </row>
    <row r="3665" customFormat="false" ht="15" hidden="false" customHeight="false" outlineLevel="0" collapsed="false">
      <c r="A3665" s="13" t="str">
        <f aca="false">IF(עזר!L3665="","",INDEX(עזר!$A$2:$A$5001,עזר!L3665))</f>
        <v/>
      </c>
      <c r="B3665" s="13" t="str">
        <f aca="false">IF(עזר!L3665="","",INDEX(עזר!$B$2:$B$5001,עזר!L3665))</f>
        <v/>
      </c>
      <c r="C3665" s="13" t="str">
        <f aca="false">עזר!M3665</f>
        <v/>
      </c>
    </row>
    <row r="3666" customFormat="false" ht="15" hidden="false" customHeight="false" outlineLevel="0" collapsed="false">
      <c r="A3666" s="13" t="str">
        <f aca="false">IF(עזר!L3666="","",INDEX(עזר!$A$2:$A$5001,עזר!L3666))</f>
        <v/>
      </c>
      <c r="B3666" s="13" t="str">
        <f aca="false">IF(עזר!L3666="","",INDEX(עזר!$B$2:$B$5001,עזר!L3666))</f>
        <v/>
      </c>
      <c r="C3666" s="13" t="str">
        <f aca="false">עזר!M3666</f>
        <v/>
      </c>
    </row>
    <row r="3667" customFormat="false" ht="15" hidden="false" customHeight="false" outlineLevel="0" collapsed="false">
      <c r="A3667" s="13" t="str">
        <f aca="false">IF(עזר!L3667="","",INDEX(עזר!$A$2:$A$5001,עזר!L3667))</f>
        <v/>
      </c>
      <c r="B3667" s="13" t="str">
        <f aca="false">IF(עזר!L3667="","",INDEX(עזר!$B$2:$B$5001,עזר!L3667))</f>
        <v/>
      </c>
      <c r="C3667" s="13" t="str">
        <f aca="false">עזר!M3667</f>
        <v/>
      </c>
    </row>
    <row r="3668" customFormat="false" ht="15" hidden="false" customHeight="false" outlineLevel="0" collapsed="false">
      <c r="A3668" s="13" t="str">
        <f aca="false">IF(עזר!L3668="","",INDEX(עזר!$A$2:$A$5001,עזר!L3668))</f>
        <v/>
      </c>
      <c r="B3668" s="13" t="str">
        <f aca="false">IF(עזר!L3668="","",INDEX(עזר!$B$2:$B$5001,עזר!L3668))</f>
        <v/>
      </c>
      <c r="C3668" s="13" t="str">
        <f aca="false">עזר!M3668</f>
        <v/>
      </c>
    </row>
    <row r="3669" customFormat="false" ht="15" hidden="false" customHeight="false" outlineLevel="0" collapsed="false">
      <c r="A3669" s="13" t="str">
        <f aca="false">IF(עזר!L3669="","",INDEX(עזר!$A$2:$A$5001,עזר!L3669))</f>
        <v/>
      </c>
      <c r="B3669" s="13" t="str">
        <f aca="false">IF(עזר!L3669="","",INDEX(עזר!$B$2:$B$5001,עזר!L3669))</f>
        <v/>
      </c>
      <c r="C3669" s="13" t="str">
        <f aca="false">עזר!M3669</f>
        <v/>
      </c>
    </row>
    <row r="3670" customFormat="false" ht="15" hidden="false" customHeight="false" outlineLevel="0" collapsed="false">
      <c r="A3670" s="13" t="str">
        <f aca="false">IF(עזר!L3670="","",INDEX(עזר!$A$2:$A$5001,עזר!L3670))</f>
        <v/>
      </c>
      <c r="B3670" s="13" t="str">
        <f aca="false">IF(עזר!L3670="","",INDEX(עזר!$B$2:$B$5001,עזר!L3670))</f>
        <v/>
      </c>
      <c r="C3670" s="13" t="str">
        <f aca="false">עזר!M3670</f>
        <v/>
      </c>
    </row>
    <row r="3671" customFormat="false" ht="15" hidden="false" customHeight="false" outlineLevel="0" collapsed="false">
      <c r="A3671" s="13" t="str">
        <f aca="false">IF(עזר!L3671="","",INDEX(עזר!$A$2:$A$5001,עזר!L3671))</f>
        <v/>
      </c>
      <c r="B3671" s="13" t="str">
        <f aca="false">IF(עזר!L3671="","",INDEX(עזר!$B$2:$B$5001,עזר!L3671))</f>
        <v/>
      </c>
      <c r="C3671" s="13" t="str">
        <f aca="false">עזר!M3671</f>
        <v/>
      </c>
    </row>
    <row r="3672" customFormat="false" ht="15" hidden="false" customHeight="false" outlineLevel="0" collapsed="false">
      <c r="A3672" s="13" t="str">
        <f aca="false">IF(עזר!L3672="","",INDEX(עזר!$A$2:$A$5001,עזר!L3672))</f>
        <v/>
      </c>
      <c r="B3672" s="13" t="str">
        <f aca="false">IF(עזר!L3672="","",INDEX(עזר!$B$2:$B$5001,עזר!L3672))</f>
        <v/>
      </c>
      <c r="C3672" s="13" t="str">
        <f aca="false">עזר!M3672</f>
        <v/>
      </c>
    </row>
    <row r="3673" customFormat="false" ht="15" hidden="false" customHeight="false" outlineLevel="0" collapsed="false">
      <c r="A3673" s="13" t="str">
        <f aca="false">IF(עזר!L3673="","",INDEX(עזר!$A$2:$A$5001,עזר!L3673))</f>
        <v/>
      </c>
      <c r="B3673" s="13" t="str">
        <f aca="false">IF(עזר!L3673="","",INDEX(עזר!$B$2:$B$5001,עזר!L3673))</f>
        <v/>
      </c>
      <c r="C3673" s="13" t="str">
        <f aca="false">עזר!M3673</f>
        <v/>
      </c>
    </row>
    <row r="3674" customFormat="false" ht="15" hidden="false" customHeight="false" outlineLevel="0" collapsed="false">
      <c r="A3674" s="13" t="str">
        <f aca="false">IF(עזר!L3674="","",INDEX(עזר!$A$2:$A$5001,עזר!L3674))</f>
        <v/>
      </c>
      <c r="B3674" s="13" t="str">
        <f aca="false">IF(עזר!L3674="","",INDEX(עזר!$B$2:$B$5001,עזר!L3674))</f>
        <v/>
      </c>
      <c r="C3674" s="13" t="str">
        <f aca="false">עזר!M3674</f>
        <v/>
      </c>
    </row>
    <row r="3675" customFormat="false" ht="15" hidden="false" customHeight="false" outlineLevel="0" collapsed="false">
      <c r="A3675" s="13" t="str">
        <f aca="false">IF(עזר!L3675="","",INDEX(עזר!$A$2:$A$5001,עזר!L3675))</f>
        <v/>
      </c>
      <c r="B3675" s="13" t="str">
        <f aca="false">IF(עזר!L3675="","",INDEX(עזר!$B$2:$B$5001,עזר!L3675))</f>
        <v/>
      </c>
      <c r="C3675" s="13" t="str">
        <f aca="false">עזר!M3675</f>
        <v/>
      </c>
    </row>
    <row r="3676" customFormat="false" ht="15" hidden="false" customHeight="false" outlineLevel="0" collapsed="false">
      <c r="A3676" s="13" t="str">
        <f aca="false">IF(עזר!L3676="","",INDEX(עזר!$A$2:$A$5001,עזר!L3676))</f>
        <v/>
      </c>
      <c r="B3676" s="13" t="str">
        <f aca="false">IF(עזר!L3676="","",INDEX(עזר!$B$2:$B$5001,עזר!L3676))</f>
        <v/>
      </c>
      <c r="C3676" s="13" t="str">
        <f aca="false">עזר!M3676</f>
        <v/>
      </c>
    </row>
    <row r="3677" customFormat="false" ht="15" hidden="false" customHeight="false" outlineLevel="0" collapsed="false">
      <c r="A3677" s="13" t="str">
        <f aca="false">IF(עזר!L3677="","",INDEX(עזר!$A$2:$A$5001,עזר!L3677))</f>
        <v/>
      </c>
      <c r="B3677" s="13" t="str">
        <f aca="false">IF(עזר!L3677="","",INDEX(עזר!$B$2:$B$5001,עזר!L3677))</f>
        <v/>
      </c>
      <c r="C3677" s="13" t="str">
        <f aca="false">עזר!M3677</f>
        <v/>
      </c>
    </row>
    <row r="3678" customFormat="false" ht="15" hidden="false" customHeight="false" outlineLevel="0" collapsed="false">
      <c r="A3678" s="13" t="str">
        <f aca="false">IF(עזר!L3678="","",INDEX(עזר!$A$2:$A$5001,עזר!L3678))</f>
        <v/>
      </c>
      <c r="B3678" s="13" t="str">
        <f aca="false">IF(עזר!L3678="","",INDEX(עזר!$B$2:$B$5001,עזר!L3678))</f>
        <v/>
      </c>
      <c r="C3678" s="13" t="str">
        <f aca="false">עזר!M3678</f>
        <v/>
      </c>
    </row>
    <row r="3679" customFormat="false" ht="15" hidden="false" customHeight="false" outlineLevel="0" collapsed="false">
      <c r="A3679" s="13" t="str">
        <f aca="false">IF(עזר!L3679="","",INDEX(עזר!$A$2:$A$5001,עזר!L3679))</f>
        <v/>
      </c>
      <c r="B3679" s="13" t="str">
        <f aca="false">IF(עזר!L3679="","",INDEX(עזר!$B$2:$B$5001,עזר!L3679))</f>
        <v/>
      </c>
      <c r="C3679" s="13" t="str">
        <f aca="false">עזר!M3679</f>
        <v/>
      </c>
    </row>
    <row r="3680" customFormat="false" ht="15" hidden="false" customHeight="false" outlineLevel="0" collapsed="false">
      <c r="A3680" s="13" t="str">
        <f aca="false">IF(עזר!L3680="","",INDEX(עזר!$A$2:$A$5001,עזר!L3680))</f>
        <v/>
      </c>
      <c r="B3680" s="13" t="str">
        <f aca="false">IF(עזר!L3680="","",INDEX(עזר!$B$2:$B$5001,עזר!L3680))</f>
        <v/>
      </c>
      <c r="C3680" s="13" t="str">
        <f aca="false">עזר!M3680</f>
        <v/>
      </c>
    </row>
    <row r="3681" customFormat="false" ht="15" hidden="false" customHeight="false" outlineLevel="0" collapsed="false">
      <c r="A3681" s="13" t="str">
        <f aca="false">IF(עזר!L3681="","",INDEX(עזר!$A$2:$A$5001,עזר!L3681))</f>
        <v/>
      </c>
      <c r="B3681" s="13" t="str">
        <f aca="false">IF(עזר!L3681="","",INDEX(עזר!$B$2:$B$5001,עזר!L3681))</f>
        <v/>
      </c>
      <c r="C3681" s="13" t="str">
        <f aca="false">עזר!M3681</f>
        <v/>
      </c>
    </row>
    <row r="3682" customFormat="false" ht="15" hidden="false" customHeight="false" outlineLevel="0" collapsed="false">
      <c r="A3682" s="13" t="str">
        <f aca="false">IF(עזר!L3682="","",INDEX(עזר!$A$2:$A$5001,עזר!L3682))</f>
        <v/>
      </c>
      <c r="B3682" s="13" t="str">
        <f aca="false">IF(עזר!L3682="","",INDEX(עזר!$B$2:$B$5001,עזר!L3682))</f>
        <v/>
      </c>
      <c r="C3682" s="13" t="str">
        <f aca="false">עזר!M3682</f>
        <v/>
      </c>
    </row>
    <row r="3683" customFormat="false" ht="15" hidden="false" customHeight="false" outlineLevel="0" collapsed="false">
      <c r="A3683" s="13" t="str">
        <f aca="false">IF(עזר!L3683="","",INDEX(עזר!$A$2:$A$5001,עזר!L3683))</f>
        <v/>
      </c>
      <c r="B3683" s="13" t="str">
        <f aca="false">IF(עזר!L3683="","",INDEX(עזר!$B$2:$B$5001,עזר!L3683))</f>
        <v/>
      </c>
      <c r="C3683" s="13" t="str">
        <f aca="false">עזר!M3683</f>
        <v/>
      </c>
    </row>
    <row r="3684" customFormat="false" ht="15" hidden="false" customHeight="false" outlineLevel="0" collapsed="false">
      <c r="A3684" s="13" t="str">
        <f aca="false">IF(עזר!L3684="","",INDEX(עזר!$A$2:$A$5001,עזר!L3684))</f>
        <v/>
      </c>
      <c r="B3684" s="13" t="str">
        <f aca="false">IF(עזר!L3684="","",INDEX(עזר!$B$2:$B$5001,עזר!L3684))</f>
        <v/>
      </c>
      <c r="C3684" s="13" t="str">
        <f aca="false">עזר!M3684</f>
        <v/>
      </c>
    </row>
    <row r="3685" customFormat="false" ht="15" hidden="false" customHeight="false" outlineLevel="0" collapsed="false">
      <c r="A3685" s="13" t="str">
        <f aca="false">IF(עזר!L3685="","",INDEX(עזר!$A$2:$A$5001,עזר!L3685))</f>
        <v/>
      </c>
      <c r="B3685" s="13" t="str">
        <f aca="false">IF(עזר!L3685="","",INDEX(עזר!$B$2:$B$5001,עזר!L3685))</f>
        <v/>
      </c>
      <c r="C3685" s="13" t="str">
        <f aca="false">עזר!M3685</f>
        <v/>
      </c>
    </row>
    <row r="3686" customFormat="false" ht="15" hidden="false" customHeight="false" outlineLevel="0" collapsed="false">
      <c r="A3686" s="13" t="str">
        <f aca="false">IF(עזר!L3686="","",INDEX(עזר!$A$2:$A$5001,עזר!L3686))</f>
        <v/>
      </c>
      <c r="B3686" s="13" t="str">
        <f aca="false">IF(עזר!L3686="","",INDEX(עזר!$B$2:$B$5001,עזר!L3686))</f>
        <v/>
      </c>
      <c r="C3686" s="13" t="str">
        <f aca="false">עזר!M3686</f>
        <v/>
      </c>
    </row>
    <row r="3687" customFormat="false" ht="15" hidden="false" customHeight="false" outlineLevel="0" collapsed="false">
      <c r="A3687" s="13" t="str">
        <f aca="false">IF(עזר!L3687="","",INDEX(עזר!$A$2:$A$5001,עזר!L3687))</f>
        <v/>
      </c>
      <c r="B3687" s="13" t="str">
        <f aca="false">IF(עזר!L3687="","",INDEX(עזר!$B$2:$B$5001,עזר!L3687))</f>
        <v/>
      </c>
      <c r="C3687" s="13" t="str">
        <f aca="false">עזר!M3687</f>
        <v/>
      </c>
    </row>
    <row r="3688" customFormat="false" ht="15" hidden="false" customHeight="false" outlineLevel="0" collapsed="false">
      <c r="A3688" s="13" t="str">
        <f aca="false">IF(עזר!L3688="","",INDEX(עזר!$A$2:$A$5001,עזר!L3688))</f>
        <v/>
      </c>
      <c r="B3688" s="13" t="str">
        <f aca="false">IF(עזר!L3688="","",INDEX(עזר!$B$2:$B$5001,עזר!L3688))</f>
        <v/>
      </c>
      <c r="C3688" s="13" t="str">
        <f aca="false">עזר!M3688</f>
        <v/>
      </c>
    </row>
    <row r="3689" customFormat="false" ht="15" hidden="false" customHeight="false" outlineLevel="0" collapsed="false">
      <c r="A3689" s="13" t="str">
        <f aca="false">IF(עזר!L3689="","",INDEX(עזר!$A$2:$A$5001,עזר!L3689))</f>
        <v/>
      </c>
      <c r="B3689" s="13" t="str">
        <f aca="false">IF(עזר!L3689="","",INDEX(עזר!$B$2:$B$5001,עזר!L3689))</f>
        <v/>
      </c>
      <c r="C3689" s="13" t="str">
        <f aca="false">עזר!M3689</f>
        <v/>
      </c>
    </row>
    <row r="3690" customFormat="false" ht="15" hidden="false" customHeight="false" outlineLevel="0" collapsed="false">
      <c r="A3690" s="13" t="str">
        <f aca="false">IF(עזר!L3690="","",INDEX(עזר!$A$2:$A$5001,עזר!L3690))</f>
        <v/>
      </c>
      <c r="B3690" s="13" t="str">
        <f aca="false">IF(עזר!L3690="","",INDEX(עזר!$B$2:$B$5001,עזר!L3690))</f>
        <v/>
      </c>
      <c r="C3690" s="13" t="str">
        <f aca="false">עזר!M3690</f>
        <v/>
      </c>
    </row>
    <row r="3691" customFormat="false" ht="15" hidden="false" customHeight="false" outlineLevel="0" collapsed="false">
      <c r="A3691" s="13" t="str">
        <f aca="false">IF(עזר!L3691="","",INDEX(עזר!$A$2:$A$5001,עזר!L3691))</f>
        <v/>
      </c>
      <c r="B3691" s="13" t="str">
        <f aca="false">IF(עזר!L3691="","",INDEX(עזר!$B$2:$B$5001,עזר!L3691))</f>
        <v/>
      </c>
      <c r="C3691" s="13" t="str">
        <f aca="false">עזר!M3691</f>
        <v/>
      </c>
    </row>
    <row r="3692" customFormat="false" ht="15" hidden="false" customHeight="false" outlineLevel="0" collapsed="false">
      <c r="A3692" s="13" t="str">
        <f aca="false">IF(עזר!L3692="","",INDEX(עזר!$A$2:$A$5001,עזר!L3692))</f>
        <v/>
      </c>
      <c r="B3692" s="13" t="str">
        <f aca="false">IF(עזר!L3692="","",INDEX(עזר!$B$2:$B$5001,עזר!L3692))</f>
        <v/>
      </c>
      <c r="C3692" s="13" t="str">
        <f aca="false">עזר!M3692</f>
        <v/>
      </c>
    </row>
    <row r="3693" customFormat="false" ht="15" hidden="false" customHeight="false" outlineLevel="0" collapsed="false">
      <c r="A3693" s="13" t="str">
        <f aca="false">IF(עזר!L3693="","",INDEX(עזר!$A$2:$A$5001,עזר!L3693))</f>
        <v/>
      </c>
      <c r="B3693" s="13" t="str">
        <f aca="false">IF(עזר!L3693="","",INDEX(עזר!$B$2:$B$5001,עזר!L3693))</f>
        <v/>
      </c>
      <c r="C3693" s="13" t="str">
        <f aca="false">עזר!M3693</f>
        <v/>
      </c>
    </row>
    <row r="3694" customFormat="false" ht="15" hidden="false" customHeight="false" outlineLevel="0" collapsed="false">
      <c r="A3694" s="13" t="str">
        <f aca="false">IF(עזר!L3694="","",INDEX(עזר!$A$2:$A$5001,עזר!L3694))</f>
        <v/>
      </c>
      <c r="B3694" s="13" t="str">
        <f aca="false">IF(עזר!L3694="","",INDEX(עזר!$B$2:$B$5001,עזר!L3694))</f>
        <v/>
      </c>
      <c r="C3694" s="13" t="str">
        <f aca="false">עזר!M3694</f>
        <v/>
      </c>
    </row>
    <row r="3695" customFormat="false" ht="15" hidden="false" customHeight="false" outlineLevel="0" collapsed="false">
      <c r="A3695" s="13" t="str">
        <f aca="false">IF(עזר!L3695="","",INDEX(עזר!$A$2:$A$5001,עזר!L3695))</f>
        <v/>
      </c>
      <c r="B3695" s="13" t="str">
        <f aca="false">IF(עזר!L3695="","",INDEX(עזר!$B$2:$B$5001,עזר!L3695))</f>
        <v/>
      </c>
      <c r="C3695" s="13" t="str">
        <f aca="false">עזר!M3695</f>
        <v/>
      </c>
    </row>
    <row r="3696" customFormat="false" ht="15" hidden="false" customHeight="false" outlineLevel="0" collapsed="false">
      <c r="A3696" s="13" t="str">
        <f aca="false">IF(עזר!L3696="","",INDEX(עזר!$A$2:$A$5001,עזר!L3696))</f>
        <v/>
      </c>
      <c r="B3696" s="13" t="str">
        <f aca="false">IF(עזר!L3696="","",INDEX(עזר!$B$2:$B$5001,עזר!L3696))</f>
        <v/>
      </c>
      <c r="C3696" s="13" t="str">
        <f aca="false">עזר!M3696</f>
        <v/>
      </c>
    </row>
    <row r="3697" customFormat="false" ht="15" hidden="false" customHeight="false" outlineLevel="0" collapsed="false">
      <c r="A3697" s="13" t="str">
        <f aca="false">IF(עזר!L3697="","",INDEX(עזר!$A$2:$A$5001,עזר!L3697))</f>
        <v/>
      </c>
      <c r="B3697" s="13" t="str">
        <f aca="false">IF(עזר!L3697="","",INDEX(עזר!$B$2:$B$5001,עזר!L3697))</f>
        <v/>
      </c>
      <c r="C3697" s="13" t="str">
        <f aca="false">עזר!M3697</f>
        <v/>
      </c>
    </row>
    <row r="3698" customFormat="false" ht="15" hidden="false" customHeight="false" outlineLevel="0" collapsed="false">
      <c r="A3698" s="13" t="str">
        <f aca="false">IF(עזר!L3698="","",INDEX(עזר!$A$2:$A$5001,עזר!L3698))</f>
        <v/>
      </c>
      <c r="B3698" s="13" t="str">
        <f aca="false">IF(עזר!L3698="","",INDEX(עזר!$B$2:$B$5001,עזר!L3698))</f>
        <v/>
      </c>
      <c r="C3698" s="13" t="str">
        <f aca="false">עזר!M3698</f>
        <v/>
      </c>
    </row>
    <row r="3699" customFormat="false" ht="15" hidden="false" customHeight="false" outlineLevel="0" collapsed="false">
      <c r="A3699" s="13" t="str">
        <f aca="false">IF(עזר!L3699="","",INDEX(עזר!$A$2:$A$5001,עזר!L3699))</f>
        <v/>
      </c>
      <c r="B3699" s="13" t="str">
        <f aca="false">IF(עזר!L3699="","",INDEX(עזר!$B$2:$B$5001,עזר!L3699))</f>
        <v/>
      </c>
      <c r="C3699" s="13" t="str">
        <f aca="false">עזר!M3699</f>
        <v/>
      </c>
    </row>
    <row r="3700" customFormat="false" ht="15" hidden="false" customHeight="false" outlineLevel="0" collapsed="false">
      <c r="A3700" s="13" t="str">
        <f aca="false">IF(עזר!L3700="","",INDEX(עזר!$A$2:$A$5001,עזר!L3700))</f>
        <v/>
      </c>
      <c r="B3700" s="13" t="str">
        <f aca="false">IF(עזר!L3700="","",INDEX(עזר!$B$2:$B$5001,עזר!L3700))</f>
        <v/>
      </c>
      <c r="C3700" s="13" t="str">
        <f aca="false">עזר!M3700</f>
        <v/>
      </c>
    </row>
    <row r="3701" customFormat="false" ht="15" hidden="false" customHeight="false" outlineLevel="0" collapsed="false">
      <c r="A3701" s="13" t="str">
        <f aca="false">IF(עזר!L3701="","",INDEX(עזר!$A$2:$A$5001,עזר!L3701))</f>
        <v/>
      </c>
      <c r="B3701" s="13" t="str">
        <f aca="false">IF(עזר!L3701="","",INDEX(עזר!$B$2:$B$5001,עזר!L3701))</f>
        <v/>
      </c>
      <c r="C3701" s="13" t="str">
        <f aca="false">עזר!M3701</f>
        <v/>
      </c>
    </row>
    <row r="3702" customFormat="false" ht="15" hidden="false" customHeight="false" outlineLevel="0" collapsed="false">
      <c r="A3702" s="13" t="str">
        <f aca="false">IF(עזר!L3702="","",INDEX(עזר!$A$2:$A$5001,עזר!L3702))</f>
        <v/>
      </c>
      <c r="B3702" s="13" t="str">
        <f aca="false">IF(עזר!L3702="","",INDEX(עזר!$B$2:$B$5001,עזר!L3702))</f>
        <v/>
      </c>
      <c r="C3702" s="13" t="str">
        <f aca="false">עזר!M3702</f>
        <v/>
      </c>
    </row>
    <row r="3703" customFormat="false" ht="15" hidden="false" customHeight="false" outlineLevel="0" collapsed="false">
      <c r="A3703" s="13" t="str">
        <f aca="false">IF(עזר!L3703="","",INDEX(עזר!$A$2:$A$5001,עזר!L3703))</f>
        <v/>
      </c>
      <c r="B3703" s="13" t="str">
        <f aca="false">IF(עזר!L3703="","",INDEX(עזר!$B$2:$B$5001,עזר!L3703))</f>
        <v/>
      </c>
      <c r="C3703" s="13" t="str">
        <f aca="false">עזר!M3703</f>
        <v/>
      </c>
    </row>
    <row r="3704" customFormat="false" ht="15" hidden="false" customHeight="false" outlineLevel="0" collapsed="false">
      <c r="A3704" s="13" t="str">
        <f aca="false">IF(עזר!L3704="","",INDEX(עזר!$A$2:$A$5001,עזר!L3704))</f>
        <v/>
      </c>
      <c r="B3704" s="13" t="str">
        <f aca="false">IF(עזר!L3704="","",INDEX(עזר!$B$2:$B$5001,עזר!L3704))</f>
        <v/>
      </c>
      <c r="C3704" s="13" t="str">
        <f aca="false">עזר!M3704</f>
        <v/>
      </c>
    </row>
    <row r="3705" customFormat="false" ht="15" hidden="false" customHeight="false" outlineLevel="0" collapsed="false">
      <c r="A3705" s="13" t="str">
        <f aca="false">IF(עזר!L3705="","",INDEX(עזר!$A$2:$A$5001,עזר!L3705))</f>
        <v/>
      </c>
      <c r="B3705" s="13" t="str">
        <f aca="false">IF(עזר!L3705="","",INDEX(עזר!$B$2:$B$5001,עזר!L3705))</f>
        <v/>
      </c>
      <c r="C3705" s="13" t="str">
        <f aca="false">עזר!M3705</f>
        <v/>
      </c>
    </row>
    <row r="3706" customFormat="false" ht="15" hidden="false" customHeight="false" outlineLevel="0" collapsed="false">
      <c r="A3706" s="13" t="str">
        <f aca="false">IF(עזר!L3706="","",INDEX(עזר!$A$2:$A$5001,עזר!L3706))</f>
        <v/>
      </c>
      <c r="B3706" s="13" t="str">
        <f aca="false">IF(עזר!L3706="","",INDEX(עזר!$B$2:$B$5001,עזר!L3706))</f>
        <v/>
      </c>
      <c r="C3706" s="13" t="str">
        <f aca="false">עזר!M3706</f>
        <v/>
      </c>
    </row>
    <row r="3707" customFormat="false" ht="15" hidden="false" customHeight="false" outlineLevel="0" collapsed="false">
      <c r="A3707" s="13" t="str">
        <f aca="false">IF(עזר!L3707="","",INDEX(עזר!$A$2:$A$5001,עזר!L3707))</f>
        <v/>
      </c>
      <c r="B3707" s="13" t="str">
        <f aca="false">IF(עזר!L3707="","",INDEX(עזר!$B$2:$B$5001,עזר!L3707))</f>
        <v/>
      </c>
      <c r="C3707" s="13" t="str">
        <f aca="false">עזר!M3707</f>
        <v/>
      </c>
    </row>
    <row r="3708" customFormat="false" ht="15" hidden="false" customHeight="false" outlineLevel="0" collapsed="false">
      <c r="A3708" s="13" t="str">
        <f aca="false">IF(עזר!L3708="","",INDEX(עזר!$A$2:$A$5001,עזר!L3708))</f>
        <v/>
      </c>
      <c r="B3708" s="13" t="str">
        <f aca="false">IF(עזר!L3708="","",INDEX(עזר!$B$2:$B$5001,עזר!L3708))</f>
        <v/>
      </c>
      <c r="C3708" s="13" t="str">
        <f aca="false">עזר!M3708</f>
        <v/>
      </c>
    </row>
    <row r="3709" customFormat="false" ht="15" hidden="false" customHeight="false" outlineLevel="0" collapsed="false">
      <c r="A3709" s="13" t="str">
        <f aca="false">IF(עזר!L3709="","",INDEX(עזר!$A$2:$A$5001,עזר!L3709))</f>
        <v/>
      </c>
      <c r="B3709" s="13" t="str">
        <f aca="false">IF(עזר!L3709="","",INDEX(עזר!$B$2:$B$5001,עזר!L3709))</f>
        <v/>
      </c>
      <c r="C3709" s="13" t="str">
        <f aca="false">עזר!M3709</f>
        <v/>
      </c>
    </row>
    <row r="3710" customFormat="false" ht="15" hidden="false" customHeight="false" outlineLevel="0" collapsed="false">
      <c r="A3710" s="13" t="str">
        <f aca="false">IF(עזר!L3710="","",INDEX(עזר!$A$2:$A$5001,עזר!L3710))</f>
        <v/>
      </c>
      <c r="B3710" s="13" t="str">
        <f aca="false">IF(עזר!L3710="","",INDEX(עזר!$B$2:$B$5001,עזר!L3710))</f>
        <v/>
      </c>
      <c r="C3710" s="13" t="str">
        <f aca="false">עזר!M3710</f>
        <v/>
      </c>
    </row>
    <row r="3711" customFormat="false" ht="15" hidden="false" customHeight="false" outlineLevel="0" collapsed="false">
      <c r="A3711" s="13" t="str">
        <f aca="false">IF(עזר!L3711="","",INDEX(עזר!$A$2:$A$5001,עזר!L3711))</f>
        <v/>
      </c>
      <c r="B3711" s="13" t="str">
        <f aca="false">IF(עזר!L3711="","",INDEX(עזר!$B$2:$B$5001,עזר!L3711))</f>
        <v/>
      </c>
      <c r="C3711" s="13" t="str">
        <f aca="false">עזר!M3711</f>
        <v/>
      </c>
    </row>
    <row r="3712" customFormat="false" ht="15" hidden="false" customHeight="false" outlineLevel="0" collapsed="false">
      <c r="A3712" s="13" t="str">
        <f aca="false">IF(עזר!L3712="","",INDEX(עזר!$A$2:$A$5001,עזר!L3712))</f>
        <v/>
      </c>
      <c r="B3712" s="13" t="str">
        <f aca="false">IF(עזר!L3712="","",INDEX(עזר!$B$2:$B$5001,עזר!L3712))</f>
        <v/>
      </c>
      <c r="C3712" s="13" t="str">
        <f aca="false">עזר!M3712</f>
        <v/>
      </c>
    </row>
    <row r="3713" customFormat="false" ht="15" hidden="false" customHeight="false" outlineLevel="0" collapsed="false">
      <c r="A3713" s="13" t="str">
        <f aca="false">IF(עזר!L3713="","",INDEX(עזר!$A$2:$A$5001,עזר!L3713))</f>
        <v/>
      </c>
      <c r="B3713" s="13" t="str">
        <f aca="false">IF(עזר!L3713="","",INDEX(עזר!$B$2:$B$5001,עזר!L3713))</f>
        <v/>
      </c>
      <c r="C3713" s="13" t="str">
        <f aca="false">עזר!M3713</f>
        <v/>
      </c>
    </row>
    <row r="3714" customFormat="false" ht="15" hidden="false" customHeight="false" outlineLevel="0" collapsed="false">
      <c r="A3714" s="13" t="str">
        <f aca="false">IF(עזר!L3714="","",INDEX(עזר!$A$2:$A$5001,עזר!L3714))</f>
        <v/>
      </c>
      <c r="B3714" s="13" t="str">
        <f aca="false">IF(עזר!L3714="","",INDEX(עזר!$B$2:$B$5001,עזר!L3714))</f>
        <v/>
      </c>
      <c r="C3714" s="13" t="str">
        <f aca="false">עזר!M3714</f>
        <v/>
      </c>
    </row>
    <row r="3715" customFormat="false" ht="15" hidden="false" customHeight="false" outlineLevel="0" collapsed="false">
      <c r="A3715" s="13" t="str">
        <f aca="false">IF(עזר!L3715="","",INDEX(עזר!$A$2:$A$5001,עזר!L3715))</f>
        <v/>
      </c>
      <c r="B3715" s="13" t="str">
        <f aca="false">IF(עזר!L3715="","",INDEX(עזר!$B$2:$B$5001,עזר!L3715))</f>
        <v/>
      </c>
      <c r="C3715" s="13" t="str">
        <f aca="false">עזר!M3715</f>
        <v/>
      </c>
    </row>
    <row r="3716" customFormat="false" ht="15" hidden="false" customHeight="false" outlineLevel="0" collapsed="false">
      <c r="A3716" s="13" t="str">
        <f aca="false">IF(עזר!L3716="","",INDEX(עזר!$A$2:$A$5001,עזר!L3716))</f>
        <v/>
      </c>
      <c r="B3716" s="13" t="str">
        <f aca="false">IF(עזר!L3716="","",INDEX(עזר!$B$2:$B$5001,עזר!L3716))</f>
        <v/>
      </c>
      <c r="C3716" s="13" t="str">
        <f aca="false">עזר!M3716</f>
        <v/>
      </c>
    </row>
    <row r="3717" customFormat="false" ht="15" hidden="false" customHeight="false" outlineLevel="0" collapsed="false">
      <c r="A3717" s="13" t="str">
        <f aca="false">IF(עזר!L3717="","",INDEX(עזר!$A$2:$A$5001,עזר!L3717))</f>
        <v/>
      </c>
      <c r="B3717" s="13" t="str">
        <f aca="false">IF(עזר!L3717="","",INDEX(עזר!$B$2:$B$5001,עזר!L3717))</f>
        <v/>
      </c>
      <c r="C3717" s="13" t="str">
        <f aca="false">עזר!M3717</f>
        <v/>
      </c>
    </row>
    <row r="3718" customFormat="false" ht="15" hidden="false" customHeight="false" outlineLevel="0" collapsed="false">
      <c r="A3718" s="13" t="str">
        <f aca="false">IF(עזר!L3718="","",INDEX(עזר!$A$2:$A$5001,עזר!L3718))</f>
        <v/>
      </c>
      <c r="B3718" s="13" t="str">
        <f aca="false">IF(עזר!L3718="","",INDEX(עזר!$B$2:$B$5001,עזר!L3718))</f>
        <v/>
      </c>
      <c r="C3718" s="13" t="str">
        <f aca="false">עזר!M3718</f>
        <v/>
      </c>
    </row>
    <row r="3719" customFormat="false" ht="15" hidden="false" customHeight="false" outlineLevel="0" collapsed="false">
      <c r="A3719" s="13" t="str">
        <f aca="false">IF(עזר!L3719="","",INDEX(עזר!$A$2:$A$5001,עזר!L3719))</f>
        <v/>
      </c>
      <c r="B3719" s="13" t="str">
        <f aca="false">IF(עזר!L3719="","",INDEX(עזר!$B$2:$B$5001,עזר!L3719))</f>
        <v/>
      </c>
      <c r="C3719" s="13" t="str">
        <f aca="false">עזר!M3719</f>
        <v/>
      </c>
    </row>
    <row r="3720" customFormat="false" ht="15" hidden="false" customHeight="false" outlineLevel="0" collapsed="false">
      <c r="A3720" s="13" t="str">
        <f aca="false">IF(עזר!L3720="","",INDEX(עזר!$A$2:$A$5001,עזר!L3720))</f>
        <v/>
      </c>
      <c r="B3720" s="13" t="str">
        <f aca="false">IF(עזר!L3720="","",INDEX(עזר!$B$2:$B$5001,עזר!L3720))</f>
        <v/>
      </c>
      <c r="C3720" s="13" t="str">
        <f aca="false">עזר!M3720</f>
        <v/>
      </c>
    </row>
    <row r="3721" customFormat="false" ht="15" hidden="false" customHeight="false" outlineLevel="0" collapsed="false">
      <c r="A3721" s="13" t="str">
        <f aca="false">IF(עזר!L3721="","",INDEX(עזר!$A$2:$A$5001,עזר!L3721))</f>
        <v/>
      </c>
      <c r="B3721" s="13" t="str">
        <f aca="false">IF(עזר!L3721="","",INDEX(עזר!$B$2:$B$5001,עזר!L3721))</f>
        <v/>
      </c>
      <c r="C3721" s="13" t="str">
        <f aca="false">עזר!M3721</f>
        <v/>
      </c>
    </row>
    <row r="3722" customFormat="false" ht="15" hidden="false" customHeight="false" outlineLevel="0" collapsed="false">
      <c r="A3722" s="13" t="str">
        <f aca="false">IF(עזר!L3722="","",INDEX(עזר!$A$2:$A$5001,עזר!L3722))</f>
        <v/>
      </c>
      <c r="B3722" s="13" t="str">
        <f aca="false">IF(עזר!L3722="","",INDEX(עזר!$B$2:$B$5001,עזר!L3722))</f>
        <v/>
      </c>
      <c r="C3722" s="13" t="str">
        <f aca="false">עזר!M3722</f>
        <v/>
      </c>
    </row>
    <row r="3723" customFormat="false" ht="15" hidden="false" customHeight="false" outlineLevel="0" collapsed="false">
      <c r="A3723" s="13" t="str">
        <f aca="false">IF(עזר!L3723="","",INDEX(עזר!$A$2:$A$5001,עזר!L3723))</f>
        <v/>
      </c>
      <c r="B3723" s="13" t="str">
        <f aca="false">IF(עזר!L3723="","",INDEX(עזר!$B$2:$B$5001,עזר!L3723))</f>
        <v/>
      </c>
      <c r="C3723" s="13" t="str">
        <f aca="false">עזר!M3723</f>
        <v/>
      </c>
    </row>
    <row r="3724" customFormat="false" ht="15" hidden="false" customHeight="false" outlineLevel="0" collapsed="false">
      <c r="A3724" s="13" t="str">
        <f aca="false">IF(עזר!L3724="","",INDEX(עזר!$A$2:$A$5001,עזר!L3724))</f>
        <v/>
      </c>
      <c r="B3724" s="13" t="str">
        <f aca="false">IF(עזר!L3724="","",INDEX(עזר!$B$2:$B$5001,עזר!L3724))</f>
        <v/>
      </c>
      <c r="C3724" s="13" t="str">
        <f aca="false">עזר!M3724</f>
        <v/>
      </c>
    </row>
    <row r="3725" customFormat="false" ht="15" hidden="false" customHeight="false" outlineLevel="0" collapsed="false">
      <c r="A3725" s="13" t="str">
        <f aca="false">IF(עזר!L3725="","",INDEX(עזר!$A$2:$A$5001,עזר!L3725))</f>
        <v/>
      </c>
      <c r="B3725" s="13" t="str">
        <f aca="false">IF(עזר!L3725="","",INDEX(עזר!$B$2:$B$5001,עזר!L3725))</f>
        <v/>
      </c>
      <c r="C3725" s="13" t="str">
        <f aca="false">עזר!M3725</f>
        <v/>
      </c>
    </row>
    <row r="3726" customFormat="false" ht="15" hidden="false" customHeight="false" outlineLevel="0" collapsed="false">
      <c r="A3726" s="13" t="str">
        <f aca="false">IF(עזר!L3726="","",INDEX(עזר!$A$2:$A$5001,עזר!L3726))</f>
        <v/>
      </c>
      <c r="B3726" s="13" t="str">
        <f aca="false">IF(עזר!L3726="","",INDEX(עזר!$B$2:$B$5001,עזר!L3726))</f>
        <v/>
      </c>
      <c r="C3726" s="13" t="str">
        <f aca="false">עזר!M3726</f>
        <v/>
      </c>
    </row>
    <row r="3727" customFormat="false" ht="15" hidden="false" customHeight="false" outlineLevel="0" collapsed="false">
      <c r="A3727" s="13" t="str">
        <f aca="false">IF(עזר!L3727="","",INDEX(עזר!$A$2:$A$5001,עזר!L3727))</f>
        <v/>
      </c>
      <c r="B3727" s="13" t="str">
        <f aca="false">IF(עזר!L3727="","",INDEX(עזר!$B$2:$B$5001,עזר!L3727))</f>
        <v/>
      </c>
      <c r="C3727" s="13" t="str">
        <f aca="false">עזר!M3727</f>
        <v/>
      </c>
    </row>
    <row r="3728" customFormat="false" ht="15" hidden="false" customHeight="false" outlineLevel="0" collapsed="false">
      <c r="A3728" s="13" t="str">
        <f aca="false">IF(עזר!L3728="","",INDEX(עזר!$A$2:$A$5001,עזר!L3728))</f>
        <v/>
      </c>
      <c r="B3728" s="13" t="str">
        <f aca="false">IF(עזר!L3728="","",INDEX(עזר!$B$2:$B$5001,עזר!L3728))</f>
        <v/>
      </c>
      <c r="C3728" s="13" t="str">
        <f aca="false">עזר!M3728</f>
        <v/>
      </c>
    </row>
    <row r="3729" customFormat="false" ht="15" hidden="false" customHeight="false" outlineLevel="0" collapsed="false">
      <c r="A3729" s="13" t="str">
        <f aca="false">IF(עזר!L3729="","",INDEX(עזר!$A$2:$A$5001,עזר!L3729))</f>
        <v/>
      </c>
      <c r="B3729" s="13" t="str">
        <f aca="false">IF(עזר!L3729="","",INDEX(עזר!$B$2:$B$5001,עזר!L3729))</f>
        <v/>
      </c>
      <c r="C3729" s="13" t="str">
        <f aca="false">עזר!M3729</f>
        <v/>
      </c>
    </row>
    <row r="3730" customFormat="false" ht="15" hidden="false" customHeight="false" outlineLevel="0" collapsed="false">
      <c r="A3730" s="13" t="str">
        <f aca="false">IF(עזר!L3730="","",INDEX(עזר!$A$2:$A$5001,עזר!L3730))</f>
        <v/>
      </c>
      <c r="B3730" s="13" t="str">
        <f aca="false">IF(עזר!L3730="","",INDEX(עזר!$B$2:$B$5001,עזר!L3730))</f>
        <v/>
      </c>
      <c r="C3730" s="13" t="str">
        <f aca="false">עזר!M3730</f>
        <v/>
      </c>
    </row>
    <row r="3731" customFormat="false" ht="15" hidden="false" customHeight="false" outlineLevel="0" collapsed="false">
      <c r="A3731" s="13" t="str">
        <f aca="false">IF(עזר!L3731="","",INDEX(עזר!$A$2:$A$5001,עזר!L3731))</f>
        <v/>
      </c>
      <c r="B3731" s="13" t="str">
        <f aca="false">IF(עזר!L3731="","",INDEX(עזר!$B$2:$B$5001,עזר!L3731))</f>
        <v/>
      </c>
      <c r="C3731" s="13" t="str">
        <f aca="false">עזר!M3731</f>
        <v/>
      </c>
    </row>
    <row r="3732" customFormat="false" ht="15" hidden="false" customHeight="false" outlineLevel="0" collapsed="false">
      <c r="A3732" s="13" t="str">
        <f aca="false">IF(עזר!L3732="","",INDEX(עזר!$A$2:$A$5001,עזר!L3732))</f>
        <v/>
      </c>
      <c r="B3732" s="13" t="str">
        <f aca="false">IF(עזר!L3732="","",INDEX(עזר!$B$2:$B$5001,עזר!L3732))</f>
        <v/>
      </c>
      <c r="C3732" s="13" t="str">
        <f aca="false">עזר!M3732</f>
        <v/>
      </c>
    </row>
    <row r="3733" customFormat="false" ht="15" hidden="false" customHeight="false" outlineLevel="0" collapsed="false">
      <c r="A3733" s="13" t="str">
        <f aca="false">IF(עזר!L3733="","",INDEX(עזר!$A$2:$A$5001,עזר!L3733))</f>
        <v/>
      </c>
      <c r="B3733" s="13" t="str">
        <f aca="false">IF(עזר!L3733="","",INDEX(עזר!$B$2:$B$5001,עזר!L3733))</f>
        <v/>
      </c>
      <c r="C3733" s="13" t="str">
        <f aca="false">עזר!M3733</f>
        <v/>
      </c>
    </row>
    <row r="3734" customFormat="false" ht="15" hidden="false" customHeight="false" outlineLevel="0" collapsed="false">
      <c r="A3734" s="13" t="str">
        <f aca="false">IF(עזר!L3734="","",INDEX(עזר!$A$2:$A$5001,עזר!L3734))</f>
        <v/>
      </c>
      <c r="B3734" s="13" t="str">
        <f aca="false">IF(עזר!L3734="","",INDEX(עזר!$B$2:$B$5001,עזר!L3734))</f>
        <v/>
      </c>
      <c r="C3734" s="13" t="str">
        <f aca="false">עזר!M3734</f>
        <v/>
      </c>
    </row>
    <row r="3735" customFormat="false" ht="15" hidden="false" customHeight="false" outlineLevel="0" collapsed="false">
      <c r="A3735" s="13" t="str">
        <f aca="false">IF(עזר!L3735="","",INDEX(עזר!$A$2:$A$5001,עזר!L3735))</f>
        <v/>
      </c>
      <c r="B3735" s="13" t="str">
        <f aca="false">IF(עזר!L3735="","",INDEX(עזר!$B$2:$B$5001,עזר!L3735))</f>
        <v/>
      </c>
      <c r="C3735" s="13" t="str">
        <f aca="false">עזר!M3735</f>
        <v/>
      </c>
    </row>
    <row r="3736" customFormat="false" ht="15" hidden="false" customHeight="false" outlineLevel="0" collapsed="false">
      <c r="A3736" s="13" t="str">
        <f aca="false">IF(עזר!L3736="","",INDEX(עזר!$A$2:$A$5001,עזר!L3736))</f>
        <v/>
      </c>
      <c r="B3736" s="13" t="str">
        <f aca="false">IF(עזר!L3736="","",INDEX(עזר!$B$2:$B$5001,עזר!L3736))</f>
        <v/>
      </c>
      <c r="C3736" s="13" t="str">
        <f aca="false">עזר!M3736</f>
        <v/>
      </c>
    </row>
    <row r="3737" customFormat="false" ht="15" hidden="false" customHeight="false" outlineLevel="0" collapsed="false">
      <c r="A3737" s="13" t="str">
        <f aca="false">IF(עזר!L3737="","",INDEX(עזר!$A$2:$A$5001,עזר!L3737))</f>
        <v/>
      </c>
      <c r="B3737" s="13" t="str">
        <f aca="false">IF(עזר!L3737="","",INDEX(עזר!$B$2:$B$5001,עזר!L3737))</f>
        <v/>
      </c>
      <c r="C3737" s="13" t="str">
        <f aca="false">עזר!M3737</f>
        <v/>
      </c>
    </row>
    <row r="3738" customFormat="false" ht="15" hidden="false" customHeight="false" outlineLevel="0" collapsed="false">
      <c r="A3738" s="13" t="str">
        <f aca="false">IF(עזר!L3738="","",INDEX(עזר!$A$2:$A$5001,עזר!L3738))</f>
        <v/>
      </c>
      <c r="B3738" s="13" t="str">
        <f aca="false">IF(עזר!L3738="","",INDEX(עזר!$B$2:$B$5001,עזר!L3738))</f>
        <v/>
      </c>
      <c r="C3738" s="13" t="str">
        <f aca="false">עזר!M3738</f>
        <v/>
      </c>
    </row>
    <row r="3739" customFormat="false" ht="15" hidden="false" customHeight="false" outlineLevel="0" collapsed="false">
      <c r="A3739" s="13" t="str">
        <f aca="false">IF(עזר!L3739="","",INDEX(עזר!$A$2:$A$5001,עזר!L3739))</f>
        <v/>
      </c>
      <c r="B3739" s="13" t="str">
        <f aca="false">IF(עזר!L3739="","",INDEX(עזר!$B$2:$B$5001,עזר!L3739))</f>
        <v/>
      </c>
      <c r="C3739" s="13" t="str">
        <f aca="false">עזר!M3739</f>
        <v/>
      </c>
    </row>
    <row r="3740" customFormat="false" ht="15" hidden="false" customHeight="false" outlineLevel="0" collapsed="false">
      <c r="A3740" s="13" t="str">
        <f aca="false">IF(עזר!L3740="","",INDEX(עזר!$A$2:$A$5001,עזר!L3740))</f>
        <v/>
      </c>
      <c r="B3740" s="13" t="str">
        <f aca="false">IF(עזר!L3740="","",INDEX(עזר!$B$2:$B$5001,עזר!L3740))</f>
        <v/>
      </c>
      <c r="C3740" s="13" t="str">
        <f aca="false">עזר!M3740</f>
        <v/>
      </c>
    </row>
    <row r="3741" customFormat="false" ht="15" hidden="false" customHeight="false" outlineLevel="0" collapsed="false">
      <c r="A3741" s="13" t="str">
        <f aca="false">IF(עזר!L3741="","",INDEX(עזר!$A$2:$A$5001,עזר!L3741))</f>
        <v/>
      </c>
      <c r="B3741" s="13" t="str">
        <f aca="false">IF(עזר!L3741="","",INDEX(עזר!$B$2:$B$5001,עזר!L3741))</f>
        <v/>
      </c>
      <c r="C3741" s="13" t="str">
        <f aca="false">עזר!M3741</f>
        <v/>
      </c>
    </row>
    <row r="3742" customFormat="false" ht="15" hidden="false" customHeight="false" outlineLevel="0" collapsed="false">
      <c r="A3742" s="13" t="str">
        <f aca="false">IF(עזר!L3742="","",INDEX(עזר!$A$2:$A$5001,עזר!L3742))</f>
        <v/>
      </c>
      <c r="B3742" s="13" t="str">
        <f aca="false">IF(עזר!L3742="","",INDEX(עזר!$B$2:$B$5001,עזר!L3742))</f>
        <v/>
      </c>
      <c r="C3742" s="13" t="str">
        <f aca="false">עזר!M3742</f>
        <v/>
      </c>
    </row>
    <row r="3743" customFormat="false" ht="15" hidden="false" customHeight="false" outlineLevel="0" collapsed="false">
      <c r="A3743" s="13" t="str">
        <f aca="false">IF(עזר!L3743="","",INDEX(עזר!$A$2:$A$5001,עזר!L3743))</f>
        <v/>
      </c>
      <c r="B3743" s="13" t="str">
        <f aca="false">IF(עזר!L3743="","",INDEX(עזר!$B$2:$B$5001,עזר!L3743))</f>
        <v/>
      </c>
      <c r="C3743" s="13" t="str">
        <f aca="false">עזר!M3743</f>
        <v/>
      </c>
    </row>
    <row r="3744" customFormat="false" ht="15" hidden="false" customHeight="false" outlineLevel="0" collapsed="false">
      <c r="A3744" s="13" t="str">
        <f aca="false">IF(עזר!L3744="","",INDEX(עזר!$A$2:$A$5001,עזר!L3744))</f>
        <v/>
      </c>
      <c r="B3744" s="13" t="str">
        <f aca="false">IF(עזר!L3744="","",INDEX(עזר!$B$2:$B$5001,עזר!L3744))</f>
        <v/>
      </c>
      <c r="C3744" s="13" t="str">
        <f aca="false">עזר!M3744</f>
        <v/>
      </c>
    </row>
    <row r="3745" customFormat="false" ht="15" hidden="false" customHeight="false" outlineLevel="0" collapsed="false">
      <c r="A3745" s="13" t="str">
        <f aca="false">IF(עזר!L3745="","",INDEX(עזר!$A$2:$A$5001,עזר!L3745))</f>
        <v/>
      </c>
      <c r="B3745" s="13" t="str">
        <f aca="false">IF(עזר!L3745="","",INDEX(עזר!$B$2:$B$5001,עזר!L3745))</f>
        <v/>
      </c>
      <c r="C3745" s="13" t="str">
        <f aca="false">עזר!M3745</f>
        <v/>
      </c>
    </row>
    <row r="3746" customFormat="false" ht="15" hidden="false" customHeight="false" outlineLevel="0" collapsed="false">
      <c r="A3746" s="13" t="str">
        <f aca="false">IF(עזר!L3746="","",INDEX(עזר!$A$2:$A$5001,עזר!L3746))</f>
        <v/>
      </c>
      <c r="B3746" s="13" t="str">
        <f aca="false">IF(עזר!L3746="","",INDEX(עזר!$B$2:$B$5001,עזר!L3746))</f>
        <v/>
      </c>
      <c r="C3746" s="13" t="str">
        <f aca="false">עזר!M3746</f>
        <v/>
      </c>
    </row>
    <row r="3747" customFormat="false" ht="15" hidden="false" customHeight="false" outlineLevel="0" collapsed="false">
      <c r="A3747" s="13" t="str">
        <f aca="false">IF(עזר!L3747="","",INDEX(עזר!$A$2:$A$5001,עזר!L3747))</f>
        <v/>
      </c>
      <c r="B3747" s="13" t="str">
        <f aca="false">IF(עזר!L3747="","",INDEX(עזר!$B$2:$B$5001,עזר!L3747))</f>
        <v/>
      </c>
      <c r="C3747" s="13" t="str">
        <f aca="false">עזר!M3747</f>
        <v/>
      </c>
    </row>
    <row r="3748" customFormat="false" ht="15" hidden="false" customHeight="false" outlineLevel="0" collapsed="false">
      <c r="A3748" s="13" t="str">
        <f aca="false">IF(עזר!L3748="","",INDEX(עזר!$A$2:$A$5001,עזר!L3748))</f>
        <v/>
      </c>
      <c r="B3748" s="13" t="str">
        <f aca="false">IF(עזר!L3748="","",INDEX(עזר!$B$2:$B$5001,עזר!L3748))</f>
        <v/>
      </c>
      <c r="C3748" s="13" t="str">
        <f aca="false">עזר!M3748</f>
        <v/>
      </c>
    </row>
    <row r="3749" customFormat="false" ht="15" hidden="false" customHeight="false" outlineLevel="0" collapsed="false">
      <c r="A3749" s="13" t="str">
        <f aca="false">IF(עזר!L3749="","",INDEX(עזר!$A$2:$A$5001,עזר!L3749))</f>
        <v/>
      </c>
      <c r="B3749" s="13" t="str">
        <f aca="false">IF(עזר!L3749="","",INDEX(עזר!$B$2:$B$5001,עזר!L3749))</f>
        <v/>
      </c>
      <c r="C3749" s="13" t="str">
        <f aca="false">עזר!M3749</f>
        <v/>
      </c>
    </row>
    <row r="3750" customFormat="false" ht="15" hidden="false" customHeight="false" outlineLevel="0" collapsed="false">
      <c r="A3750" s="13" t="str">
        <f aca="false">IF(עזר!L3750="","",INDEX(עזר!$A$2:$A$5001,עזר!L3750))</f>
        <v/>
      </c>
      <c r="B3750" s="13" t="str">
        <f aca="false">IF(עזר!L3750="","",INDEX(עזר!$B$2:$B$5001,עזר!L3750))</f>
        <v/>
      </c>
      <c r="C3750" s="13" t="str">
        <f aca="false">עזר!M3750</f>
        <v/>
      </c>
    </row>
    <row r="3751" customFormat="false" ht="15" hidden="false" customHeight="false" outlineLevel="0" collapsed="false">
      <c r="A3751" s="13" t="str">
        <f aca="false">IF(עזר!L3751="","",INDEX(עזר!$A$2:$A$5001,עזר!L3751))</f>
        <v/>
      </c>
      <c r="B3751" s="13" t="str">
        <f aca="false">IF(עזר!L3751="","",INDEX(עזר!$B$2:$B$5001,עזר!L3751))</f>
        <v/>
      </c>
      <c r="C3751" s="13" t="str">
        <f aca="false">עזר!M3751</f>
        <v/>
      </c>
    </row>
    <row r="3752" customFormat="false" ht="15" hidden="false" customHeight="false" outlineLevel="0" collapsed="false">
      <c r="A3752" s="13" t="str">
        <f aca="false">IF(עזר!L3752="","",INDEX(עזר!$A$2:$A$5001,עזר!L3752))</f>
        <v/>
      </c>
      <c r="B3752" s="13" t="str">
        <f aca="false">IF(עזר!L3752="","",INDEX(עזר!$B$2:$B$5001,עזר!L3752))</f>
        <v/>
      </c>
      <c r="C3752" s="13" t="str">
        <f aca="false">עזר!M3752</f>
        <v/>
      </c>
    </row>
    <row r="3753" customFormat="false" ht="15" hidden="false" customHeight="false" outlineLevel="0" collapsed="false">
      <c r="A3753" s="13" t="str">
        <f aca="false">IF(עזר!L3753="","",INDEX(עזר!$A$2:$A$5001,עזר!L3753))</f>
        <v/>
      </c>
      <c r="B3753" s="13" t="str">
        <f aca="false">IF(עזר!L3753="","",INDEX(עזר!$B$2:$B$5001,עזר!L3753))</f>
        <v/>
      </c>
      <c r="C3753" s="13" t="str">
        <f aca="false">עזר!M3753</f>
        <v/>
      </c>
    </row>
    <row r="3754" customFormat="false" ht="15" hidden="false" customHeight="false" outlineLevel="0" collapsed="false">
      <c r="A3754" s="13" t="str">
        <f aca="false">IF(עזר!L3754="","",INDEX(עזר!$A$2:$A$5001,עזר!L3754))</f>
        <v/>
      </c>
      <c r="B3754" s="13" t="str">
        <f aca="false">IF(עזר!L3754="","",INDEX(עזר!$B$2:$B$5001,עזר!L3754))</f>
        <v/>
      </c>
      <c r="C3754" s="13" t="str">
        <f aca="false">עזר!M3754</f>
        <v/>
      </c>
    </row>
    <row r="3755" customFormat="false" ht="15" hidden="false" customHeight="false" outlineLevel="0" collapsed="false">
      <c r="A3755" s="13" t="str">
        <f aca="false">IF(עזר!L3755="","",INDEX(עזר!$A$2:$A$5001,עזר!L3755))</f>
        <v/>
      </c>
      <c r="B3755" s="13" t="str">
        <f aca="false">IF(עזר!L3755="","",INDEX(עזר!$B$2:$B$5001,עזר!L3755))</f>
        <v/>
      </c>
      <c r="C3755" s="13" t="str">
        <f aca="false">עזר!M3755</f>
        <v/>
      </c>
    </row>
    <row r="3756" customFormat="false" ht="15" hidden="false" customHeight="false" outlineLevel="0" collapsed="false">
      <c r="A3756" s="13" t="str">
        <f aca="false">IF(עזר!L3756="","",INDEX(עזר!$A$2:$A$5001,עזר!L3756))</f>
        <v/>
      </c>
      <c r="B3756" s="13" t="str">
        <f aca="false">IF(עזר!L3756="","",INDEX(עזר!$B$2:$B$5001,עזר!L3756))</f>
        <v/>
      </c>
      <c r="C3756" s="13" t="str">
        <f aca="false">עזר!M3756</f>
        <v/>
      </c>
    </row>
    <row r="3757" customFormat="false" ht="15" hidden="false" customHeight="false" outlineLevel="0" collapsed="false">
      <c r="A3757" s="13" t="str">
        <f aca="false">IF(עזר!L3757="","",INDEX(עזר!$A$2:$A$5001,עזר!L3757))</f>
        <v/>
      </c>
      <c r="B3757" s="13" t="str">
        <f aca="false">IF(עזר!L3757="","",INDEX(עזר!$B$2:$B$5001,עזר!L3757))</f>
        <v/>
      </c>
      <c r="C3757" s="13" t="str">
        <f aca="false">עזר!M3757</f>
        <v/>
      </c>
    </row>
    <row r="3758" customFormat="false" ht="15" hidden="false" customHeight="false" outlineLevel="0" collapsed="false">
      <c r="A3758" s="13" t="str">
        <f aca="false">IF(עזר!L3758="","",INDEX(עזר!$A$2:$A$5001,עזר!L3758))</f>
        <v/>
      </c>
      <c r="B3758" s="13" t="str">
        <f aca="false">IF(עזר!L3758="","",INDEX(עזר!$B$2:$B$5001,עזר!L3758))</f>
        <v/>
      </c>
      <c r="C3758" s="13" t="str">
        <f aca="false">עזר!M3758</f>
        <v/>
      </c>
    </row>
    <row r="3759" customFormat="false" ht="15" hidden="false" customHeight="false" outlineLevel="0" collapsed="false">
      <c r="A3759" s="13" t="str">
        <f aca="false">IF(עזר!L3759="","",INDEX(עזר!$A$2:$A$5001,עזר!L3759))</f>
        <v/>
      </c>
      <c r="B3759" s="13" t="str">
        <f aca="false">IF(עזר!L3759="","",INDEX(עזר!$B$2:$B$5001,עזר!L3759))</f>
        <v/>
      </c>
      <c r="C3759" s="13" t="str">
        <f aca="false">עזר!M3759</f>
        <v/>
      </c>
    </row>
    <row r="3760" customFormat="false" ht="15" hidden="false" customHeight="false" outlineLevel="0" collapsed="false">
      <c r="A3760" s="13" t="str">
        <f aca="false">IF(עזר!L3760="","",INDEX(עזר!$A$2:$A$5001,עזר!L3760))</f>
        <v/>
      </c>
      <c r="B3760" s="13" t="str">
        <f aca="false">IF(עזר!L3760="","",INDEX(עזר!$B$2:$B$5001,עזר!L3760))</f>
        <v/>
      </c>
      <c r="C3760" s="13" t="str">
        <f aca="false">עזר!M3760</f>
        <v/>
      </c>
    </row>
    <row r="3761" customFormat="false" ht="15" hidden="false" customHeight="false" outlineLevel="0" collapsed="false">
      <c r="A3761" s="13" t="str">
        <f aca="false">IF(עזר!L3761="","",INDEX(עזר!$A$2:$A$5001,עזר!L3761))</f>
        <v/>
      </c>
      <c r="B3761" s="13" t="str">
        <f aca="false">IF(עזר!L3761="","",INDEX(עזר!$B$2:$B$5001,עזר!L3761))</f>
        <v/>
      </c>
      <c r="C3761" s="13" t="str">
        <f aca="false">עזר!M3761</f>
        <v/>
      </c>
    </row>
    <row r="3762" customFormat="false" ht="15" hidden="false" customHeight="false" outlineLevel="0" collapsed="false">
      <c r="A3762" s="13" t="str">
        <f aca="false">IF(עזר!L3762="","",INDEX(עזר!$A$2:$A$5001,עזר!L3762))</f>
        <v/>
      </c>
      <c r="B3762" s="13" t="str">
        <f aca="false">IF(עזר!L3762="","",INDEX(עזר!$B$2:$B$5001,עזר!L3762))</f>
        <v/>
      </c>
      <c r="C3762" s="13" t="str">
        <f aca="false">עזר!M3762</f>
        <v/>
      </c>
    </row>
    <row r="3763" customFormat="false" ht="15" hidden="false" customHeight="false" outlineLevel="0" collapsed="false">
      <c r="A3763" s="13" t="str">
        <f aca="false">IF(עזר!L3763="","",INDEX(עזר!$A$2:$A$5001,עזר!L3763))</f>
        <v/>
      </c>
      <c r="B3763" s="13" t="str">
        <f aca="false">IF(עזר!L3763="","",INDEX(עזר!$B$2:$B$5001,עזר!L3763))</f>
        <v/>
      </c>
      <c r="C3763" s="13" t="str">
        <f aca="false">עזר!M3763</f>
        <v/>
      </c>
    </row>
    <row r="3764" customFormat="false" ht="15" hidden="false" customHeight="false" outlineLevel="0" collapsed="false">
      <c r="A3764" s="13" t="str">
        <f aca="false">IF(עזר!L3764="","",INDEX(עזר!$A$2:$A$5001,עזר!L3764))</f>
        <v/>
      </c>
      <c r="B3764" s="13" t="str">
        <f aca="false">IF(עזר!L3764="","",INDEX(עזר!$B$2:$B$5001,עזר!L3764))</f>
        <v/>
      </c>
      <c r="C3764" s="13" t="str">
        <f aca="false">עזר!M3764</f>
        <v/>
      </c>
    </row>
    <row r="3765" customFormat="false" ht="15" hidden="false" customHeight="false" outlineLevel="0" collapsed="false">
      <c r="A3765" s="13" t="str">
        <f aca="false">IF(עזר!L3765="","",INDEX(עזר!$A$2:$A$5001,עזר!L3765))</f>
        <v/>
      </c>
      <c r="B3765" s="13" t="str">
        <f aca="false">IF(עזר!L3765="","",INDEX(עזר!$B$2:$B$5001,עזר!L3765))</f>
        <v/>
      </c>
      <c r="C3765" s="13" t="str">
        <f aca="false">עזר!M3765</f>
        <v/>
      </c>
    </row>
    <row r="3766" customFormat="false" ht="15" hidden="false" customHeight="false" outlineLevel="0" collapsed="false">
      <c r="A3766" s="13" t="str">
        <f aca="false">IF(עזר!L3766="","",INDEX(עזר!$A$2:$A$5001,עזר!L3766))</f>
        <v/>
      </c>
      <c r="B3766" s="13" t="str">
        <f aca="false">IF(עזר!L3766="","",INDEX(עזר!$B$2:$B$5001,עזר!L3766))</f>
        <v/>
      </c>
      <c r="C3766" s="13" t="str">
        <f aca="false">עזר!M3766</f>
        <v/>
      </c>
    </row>
    <row r="3767" customFormat="false" ht="15" hidden="false" customHeight="false" outlineLevel="0" collapsed="false">
      <c r="A3767" s="13" t="str">
        <f aca="false">IF(עזר!L3767="","",INDEX(עזר!$A$2:$A$5001,עזר!L3767))</f>
        <v/>
      </c>
      <c r="B3767" s="13" t="str">
        <f aca="false">IF(עזר!L3767="","",INDEX(עזר!$B$2:$B$5001,עזר!L3767))</f>
        <v/>
      </c>
      <c r="C3767" s="13" t="str">
        <f aca="false">עזר!M3767</f>
        <v/>
      </c>
    </row>
    <row r="3768" customFormat="false" ht="15" hidden="false" customHeight="false" outlineLevel="0" collapsed="false">
      <c r="A3768" s="13" t="str">
        <f aca="false">IF(עזר!L3768="","",INDEX(עזר!$A$2:$A$5001,עזר!L3768))</f>
        <v/>
      </c>
      <c r="B3768" s="13" t="str">
        <f aca="false">IF(עזר!L3768="","",INDEX(עזר!$B$2:$B$5001,עזר!L3768))</f>
        <v/>
      </c>
      <c r="C3768" s="13" t="str">
        <f aca="false">עזר!M3768</f>
        <v/>
      </c>
    </row>
    <row r="3769" customFormat="false" ht="15" hidden="false" customHeight="false" outlineLevel="0" collapsed="false">
      <c r="A3769" s="13" t="str">
        <f aca="false">IF(עזר!L3769="","",INDEX(עזר!$A$2:$A$5001,עזר!L3769))</f>
        <v/>
      </c>
      <c r="B3769" s="13" t="str">
        <f aca="false">IF(עזר!L3769="","",INDEX(עזר!$B$2:$B$5001,עזר!L3769))</f>
        <v/>
      </c>
      <c r="C3769" s="13" t="str">
        <f aca="false">עזר!M3769</f>
        <v/>
      </c>
    </row>
    <row r="3770" customFormat="false" ht="15" hidden="false" customHeight="false" outlineLevel="0" collapsed="false">
      <c r="A3770" s="13" t="str">
        <f aca="false">IF(עזר!L3770="","",INDEX(עזר!$A$2:$A$5001,עזר!L3770))</f>
        <v/>
      </c>
      <c r="B3770" s="13" t="str">
        <f aca="false">IF(עזר!L3770="","",INDEX(עזר!$B$2:$B$5001,עזר!L3770))</f>
        <v/>
      </c>
      <c r="C3770" s="13" t="str">
        <f aca="false">עזר!M3770</f>
        <v/>
      </c>
    </row>
    <row r="3771" customFormat="false" ht="15" hidden="false" customHeight="false" outlineLevel="0" collapsed="false">
      <c r="A3771" s="13" t="str">
        <f aca="false">IF(עזר!L3771="","",INDEX(עזר!$A$2:$A$5001,עזר!L3771))</f>
        <v/>
      </c>
      <c r="B3771" s="13" t="str">
        <f aca="false">IF(עזר!L3771="","",INDEX(עזר!$B$2:$B$5001,עזר!L3771))</f>
        <v/>
      </c>
      <c r="C3771" s="13" t="str">
        <f aca="false">עזר!M3771</f>
        <v/>
      </c>
    </row>
    <row r="3772" customFormat="false" ht="15" hidden="false" customHeight="false" outlineLevel="0" collapsed="false">
      <c r="A3772" s="13" t="str">
        <f aca="false">IF(עזר!L3772="","",INDEX(עזר!$A$2:$A$5001,עזר!L3772))</f>
        <v/>
      </c>
      <c r="B3772" s="13" t="str">
        <f aca="false">IF(עזר!L3772="","",INDEX(עזר!$B$2:$B$5001,עזר!L3772))</f>
        <v/>
      </c>
      <c r="C3772" s="13" t="str">
        <f aca="false">עזר!M3772</f>
        <v/>
      </c>
    </row>
    <row r="3773" customFormat="false" ht="15" hidden="false" customHeight="false" outlineLevel="0" collapsed="false">
      <c r="A3773" s="13" t="str">
        <f aca="false">IF(עזר!L3773="","",INDEX(עזר!$A$2:$A$5001,עזר!L3773))</f>
        <v/>
      </c>
      <c r="B3773" s="13" t="str">
        <f aca="false">IF(עזר!L3773="","",INDEX(עזר!$B$2:$B$5001,עזר!L3773))</f>
        <v/>
      </c>
      <c r="C3773" s="13" t="str">
        <f aca="false">עזר!M3773</f>
        <v/>
      </c>
    </row>
    <row r="3774" customFormat="false" ht="15" hidden="false" customHeight="false" outlineLevel="0" collapsed="false">
      <c r="A3774" s="13" t="str">
        <f aca="false">IF(עזר!L3774="","",INDEX(עזר!$A$2:$A$5001,עזר!L3774))</f>
        <v/>
      </c>
      <c r="B3774" s="13" t="str">
        <f aca="false">IF(עזר!L3774="","",INDEX(עזר!$B$2:$B$5001,עזר!L3774))</f>
        <v/>
      </c>
      <c r="C3774" s="13" t="str">
        <f aca="false">עזר!M3774</f>
        <v/>
      </c>
    </row>
    <row r="3775" customFormat="false" ht="15" hidden="false" customHeight="false" outlineLevel="0" collapsed="false">
      <c r="A3775" s="13" t="str">
        <f aca="false">IF(עזר!L3775="","",INDEX(עזר!$A$2:$A$5001,עזר!L3775))</f>
        <v/>
      </c>
      <c r="B3775" s="13" t="str">
        <f aca="false">IF(עזר!L3775="","",INDEX(עזר!$B$2:$B$5001,עזר!L3775))</f>
        <v/>
      </c>
      <c r="C3775" s="13" t="str">
        <f aca="false">עזר!M3775</f>
        <v/>
      </c>
    </row>
    <row r="3776" customFormat="false" ht="15" hidden="false" customHeight="false" outlineLevel="0" collapsed="false">
      <c r="A3776" s="13" t="str">
        <f aca="false">IF(עזר!L3776="","",INDEX(עזר!$A$2:$A$5001,עזר!L3776))</f>
        <v/>
      </c>
      <c r="B3776" s="13" t="str">
        <f aca="false">IF(עזר!L3776="","",INDEX(עזר!$B$2:$B$5001,עזר!L3776))</f>
        <v/>
      </c>
      <c r="C3776" s="13" t="str">
        <f aca="false">עזר!M3776</f>
        <v/>
      </c>
    </row>
    <row r="3777" customFormat="false" ht="15" hidden="false" customHeight="false" outlineLevel="0" collapsed="false">
      <c r="A3777" s="13" t="str">
        <f aca="false">IF(עזר!L3777="","",INDEX(עזר!$A$2:$A$5001,עזר!L3777))</f>
        <v/>
      </c>
      <c r="B3777" s="13" t="str">
        <f aca="false">IF(עזר!L3777="","",INDEX(עזר!$B$2:$B$5001,עזר!L3777))</f>
        <v/>
      </c>
      <c r="C3777" s="13" t="str">
        <f aca="false">עזר!M3777</f>
        <v/>
      </c>
    </row>
    <row r="3778" customFormat="false" ht="15" hidden="false" customHeight="false" outlineLevel="0" collapsed="false">
      <c r="A3778" s="13" t="str">
        <f aca="false">IF(עזר!L3778="","",INDEX(עזר!$A$2:$A$5001,עזר!L3778))</f>
        <v/>
      </c>
      <c r="B3778" s="13" t="str">
        <f aca="false">IF(עזר!L3778="","",INDEX(עזר!$B$2:$B$5001,עזר!L3778))</f>
        <v/>
      </c>
      <c r="C3778" s="13" t="str">
        <f aca="false">עזר!M3778</f>
        <v/>
      </c>
    </row>
    <row r="3779" customFormat="false" ht="15" hidden="false" customHeight="false" outlineLevel="0" collapsed="false">
      <c r="A3779" s="13" t="str">
        <f aca="false">IF(עזר!L3779="","",INDEX(עזר!$A$2:$A$5001,עזר!L3779))</f>
        <v/>
      </c>
      <c r="B3779" s="13" t="str">
        <f aca="false">IF(עזר!L3779="","",INDEX(עזר!$B$2:$B$5001,עזר!L3779))</f>
        <v/>
      </c>
      <c r="C3779" s="13" t="str">
        <f aca="false">עזר!M3779</f>
        <v/>
      </c>
    </row>
    <row r="3780" customFormat="false" ht="15" hidden="false" customHeight="false" outlineLevel="0" collapsed="false">
      <c r="A3780" s="13" t="str">
        <f aca="false">IF(עזר!L3780="","",INDEX(עזר!$A$2:$A$5001,עזר!L3780))</f>
        <v/>
      </c>
      <c r="B3780" s="13" t="str">
        <f aca="false">IF(עזר!L3780="","",INDEX(עזר!$B$2:$B$5001,עזר!L3780))</f>
        <v/>
      </c>
      <c r="C3780" s="13" t="str">
        <f aca="false">עזר!M3780</f>
        <v/>
      </c>
    </row>
    <row r="3781" customFormat="false" ht="15" hidden="false" customHeight="false" outlineLevel="0" collapsed="false">
      <c r="A3781" s="13" t="str">
        <f aca="false">IF(עזר!L3781="","",INDEX(עזר!$A$2:$A$5001,עזר!L3781))</f>
        <v/>
      </c>
      <c r="B3781" s="13" t="str">
        <f aca="false">IF(עזר!L3781="","",INDEX(עזר!$B$2:$B$5001,עזר!L3781))</f>
        <v/>
      </c>
      <c r="C3781" s="13" t="str">
        <f aca="false">עזר!M3781</f>
        <v/>
      </c>
    </row>
    <row r="3782" customFormat="false" ht="15" hidden="false" customHeight="false" outlineLevel="0" collapsed="false">
      <c r="A3782" s="13" t="str">
        <f aca="false">IF(עזר!L3782="","",INDEX(עזר!$A$2:$A$5001,עזר!L3782))</f>
        <v/>
      </c>
      <c r="B3782" s="13" t="str">
        <f aca="false">IF(עזר!L3782="","",INDEX(עזר!$B$2:$B$5001,עזר!L3782))</f>
        <v/>
      </c>
      <c r="C3782" s="13" t="str">
        <f aca="false">עזר!M3782</f>
        <v/>
      </c>
    </row>
    <row r="3783" customFormat="false" ht="15" hidden="false" customHeight="false" outlineLevel="0" collapsed="false">
      <c r="A3783" s="13" t="str">
        <f aca="false">IF(עזר!L3783="","",INDEX(עזר!$A$2:$A$5001,עזר!L3783))</f>
        <v/>
      </c>
      <c r="B3783" s="13" t="str">
        <f aca="false">IF(עזר!L3783="","",INDEX(עזר!$B$2:$B$5001,עזר!L3783))</f>
        <v/>
      </c>
      <c r="C3783" s="13" t="str">
        <f aca="false">עזר!M3783</f>
        <v/>
      </c>
    </row>
    <row r="3784" customFormat="false" ht="15" hidden="false" customHeight="false" outlineLevel="0" collapsed="false">
      <c r="A3784" s="13" t="str">
        <f aca="false">IF(עזר!L3784="","",INDEX(עזר!$A$2:$A$5001,עזר!L3784))</f>
        <v/>
      </c>
      <c r="B3784" s="13" t="str">
        <f aca="false">IF(עזר!L3784="","",INDEX(עזר!$B$2:$B$5001,עזר!L3784))</f>
        <v/>
      </c>
      <c r="C3784" s="13" t="str">
        <f aca="false">עזר!M3784</f>
        <v/>
      </c>
    </row>
    <row r="3785" customFormat="false" ht="15" hidden="false" customHeight="false" outlineLevel="0" collapsed="false">
      <c r="A3785" s="13" t="str">
        <f aca="false">IF(עזר!L3785="","",INDEX(עזר!$A$2:$A$5001,עזר!L3785))</f>
        <v/>
      </c>
      <c r="B3785" s="13" t="str">
        <f aca="false">IF(עזר!L3785="","",INDEX(עזר!$B$2:$B$5001,עזר!L3785))</f>
        <v/>
      </c>
      <c r="C3785" s="13" t="str">
        <f aca="false">עזר!M3785</f>
        <v/>
      </c>
    </row>
    <row r="3786" customFormat="false" ht="15" hidden="false" customHeight="false" outlineLevel="0" collapsed="false">
      <c r="A3786" s="13" t="str">
        <f aca="false">IF(עזר!L3786="","",INDEX(עזר!$A$2:$A$5001,עזר!L3786))</f>
        <v/>
      </c>
      <c r="B3786" s="13" t="str">
        <f aca="false">IF(עזר!L3786="","",INDEX(עזר!$B$2:$B$5001,עזר!L3786))</f>
        <v/>
      </c>
      <c r="C3786" s="13" t="str">
        <f aca="false">עזר!M3786</f>
        <v/>
      </c>
    </row>
    <row r="3787" customFormat="false" ht="15" hidden="false" customHeight="false" outlineLevel="0" collapsed="false">
      <c r="A3787" s="13" t="str">
        <f aca="false">IF(עזר!L3787="","",INDEX(עזר!$A$2:$A$5001,עזר!L3787))</f>
        <v/>
      </c>
      <c r="B3787" s="13" t="str">
        <f aca="false">IF(עזר!L3787="","",INDEX(עזר!$B$2:$B$5001,עזר!L3787))</f>
        <v/>
      </c>
      <c r="C3787" s="13" t="str">
        <f aca="false">עזר!M3787</f>
        <v/>
      </c>
    </row>
    <row r="3788" customFormat="false" ht="15" hidden="false" customHeight="false" outlineLevel="0" collapsed="false">
      <c r="A3788" s="13" t="str">
        <f aca="false">IF(עזר!L3788="","",INDEX(עזר!$A$2:$A$5001,עזר!L3788))</f>
        <v/>
      </c>
      <c r="B3788" s="13" t="str">
        <f aca="false">IF(עזר!L3788="","",INDEX(עזר!$B$2:$B$5001,עזר!L3788))</f>
        <v/>
      </c>
      <c r="C3788" s="13" t="str">
        <f aca="false">עזר!M3788</f>
        <v/>
      </c>
    </row>
    <row r="3789" customFormat="false" ht="15" hidden="false" customHeight="false" outlineLevel="0" collapsed="false">
      <c r="A3789" s="13" t="str">
        <f aca="false">IF(עזר!L3789="","",INDEX(עזר!$A$2:$A$5001,עזר!L3789))</f>
        <v/>
      </c>
      <c r="B3789" s="13" t="str">
        <f aca="false">IF(עזר!L3789="","",INDEX(עזר!$B$2:$B$5001,עזר!L3789))</f>
        <v/>
      </c>
      <c r="C3789" s="13" t="str">
        <f aca="false">עזר!M3789</f>
        <v/>
      </c>
    </row>
    <row r="3790" customFormat="false" ht="15" hidden="false" customHeight="false" outlineLevel="0" collapsed="false">
      <c r="A3790" s="13" t="str">
        <f aca="false">IF(עזר!L3790="","",INDEX(עזר!$A$2:$A$5001,עזר!L3790))</f>
        <v/>
      </c>
      <c r="B3790" s="13" t="str">
        <f aca="false">IF(עזר!L3790="","",INDEX(עזר!$B$2:$B$5001,עזר!L3790))</f>
        <v/>
      </c>
      <c r="C3790" s="13" t="str">
        <f aca="false">עזר!M3790</f>
        <v/>
      </c>
    </row>
    <row r="3791" customFormat="false" ht="15" hidden="false" customHeight="false" outlineLevel="0" collapsed="false">
      <c r="A3791" s="13" t="str">
        <f aca="false">IF(עזר!L3791="","",INDEX(עזר!$A$2:$A$5001,עזר!L3791))</f>
        <v/>
      </c>
      <c r="B3791" s="13" t="str">
        <f aca="false">IF(עזר!L3791="","",INDEX(עזר!$B$2:$B$5001,עזר!L3791))</f>
        <v/>
      </c>
      <c r="C3791" s="13" t="str">
        <f aca="false">עזר!M3791</f>
        <v/>
      </c>
    </row>
    <row r="3792" customFormat="false" ht="15" hidden="false" customHeight="false" outlineLevel="0" collapsed="false">
      <c r="A3792" s="13" t="str">
        <f aca="false">IF(עזר!L3792="","",INDEX(עזר!$A$2:$A$5001,עזר!L3792))</f>
        <v/>
      </c>
      <c r="B3792" s="13" t="str">
        <f aca="false">IF(עזר!L3792="","",INDEX(עזר!$B$2:$B$5001,עזר!L3792))</f>
        <v/>
      </c>
      <c r="C3792" s="13" t="str">
        <f aca="false">עזר!M3792</f>
        <v/>
      </c>
    </row>
    <row r="3793" customFormat="false" ht="15" hidden="false" customHeight="false" outlineLevel="0" collapsed="false">
      <c r="A3793" s="13" t="str">
        <f aca="false">IF(עזר!L3793="","",INDEX(עזר!$A$2:$A$5001,עזר!L3793))</f>
        <v/>
      </c>
      <c r="B3793" s="13" t="str">
        <f aca="false">IF(עזר!L3793="","",INDEX(עזר!$B$2:$B$5001,עזר!L3793))</f>
        <v/>
      </c>
      <c r="C3793" s="13" t="str">
        <f aca="false">עזר!M3793</f>
        <v/>
      </c>
    </row>
    <row r="3794" customFormat="false" ht="15" hidden="false" customHeight="false" outlineLevel="0" collapsed="false">
      <c r="A3794" s="13" t="str">
        <f aca="false">IF(עזר!L3794="","",INDEX(עזר!$A$2:$A$5001,עזר!L3794))</f>
        <v/>
      </c>
      <c r="B3794" s="13" t="str">
        <f aca="false">IF(עזר!L3794="","",INDEX(עזר!$B$2:$B$5001,עזר!L3794))</f>
        <v/>
      </c>
      <c r="C3794" s="13" t="str">
        <f aca="false">עזר!M3794</f>
        <v/>
      </c>
    </row>
    <row r="3795" customFormat="false" ht="15" hidden="false" customHeight="false" outlineLevel="0" collapsed="false">
      <c r="A3795" s="13" t="str">
        <f aca="false">IF(עזר!L3795="","",INDEX(עזר!$A$2:$A$5001,עזר!L3795))</f>
        <v/>
      </c>
      <c r="B3795" s="13" t="str">
        <f aca="false">IF(עזר!L3795="","",INDEX(עזר!$B$2:$B$5001,עזר!L3795))</f>
        <v/>
      </c>
      <c r="C3795" s="13" t="str">
        <f aca="false">עזר!M3795</f>
        <v/>
      </c>
    </row>
    <row r="3796" customFormat="false" ht="15" hidden="false" customHeight="false" outlineLevel="0" collapsed="false">
      <c r="A3796" s="13" t="str">
        <f aca="false">IF(עזר!L3796="","",INDEX(עזר!$A$2:$A$5001,עזר!L3796))</f>
        <v/>
      </c>
      <c r="B3796" s="13" t="str">
        <f aca="false">IF(עזר!L3796="","",INDEX(עזר!$B$2:$B$5001,עזר!L3796))</f>
        <v/>
      </c>
      <c r="C3796" s="13" t="str">
        <f aca="false">עזר!M3796</f>
        <v/>
      </c>
    </row>
    <row r="3797" customFormat="false" ht="15" hidden="false" customHeight="false" outlineLevel="0" collapsed="false">
      <c r="A3797" s="13" t="str">
        <f aca="false">IF(עזר!L3797="","",INDEX(עזר!$A$2:$A$5001,עזר!L3797))</f>
        <v/>
      </c>
      <c r="B3797" s="13" t="str">
        <f aca="false">IF(עזר!L3797="","",INDEX(עזר!$B$2:$B$5001,עזר!L3797))</f>
        <v/>
      </c>
      <c r="C3797" s="13" t="str">
        <f aca="false">עזר!M3797</f>
        <v/>
      </c>
    </row>
    <row r="3798" customFormat="false" ht="15" hidden="false" customHeight="false" outlineLevel="0" collapsed="false">
      <c r="A3798" s="13" t="str">
        <f aca="false">IF(עזר!L3798="","",INDEX(עזר!$A$2:$A$5001,עזר!L3798))</f>
        <v/>
      </c>
      <c r="B3798" s="13" t="str">
        <f aca="false">IF(עזר!L3798="","",INDEX(עזר!$B$2:$B$5001,עזר!L3798))</f>
        <v/>
      </c>
      <c r="C3798" s="13" t="str">
        <f aca="false">עזר!M3798</f>
        <v/>
      </c>
    </row>
    <row r="3799" customFormat="false" ht="15" hidden="false" customHeight="false" outlineLevel="0" collapsed="false">
      <c r="A3799" s="13" t="str">
        <f aca="false">IF(עזר!L3799="","",INDEX(עזר!$A$2:$A$5001,עזר!L3799))</f>
        <v/>
      </c>
      <c r="B3799" s="13" t="str">
        <f aca="false">IF(עזר!L3799="","",INDEX(עזר!$B$2:$B$5001,עזר!L3799))</f>
        <v/>
      </c>
      <c r="C3799" s="13" t="str">
        <f aca="false">עזר!M3799</f>
        <v/>
      </c>
    </row>
    <row r="3800" customFormat="false" ht="15" hidden="false" customHeight="false" outlineLevel="0" collapsed="false">
      <c r="A3800" s="13" t="str">
        <f aca="false">IF(עזר!L3800="","",INDEX(עזר!$A$2:$A$5001,עזר!L3800))</f>
        <v/>
      </c>
      <c r="B3800" s="13" t="str">
        <f aca="false">IF(עזר!L3800="","",INDEX(עזר!$B$2:$B$5001,עזר!L3800))</f>
        <v/>
      </c>
      <c r="C3800" s="13" t="str">
        <f aca="false">עזר!M3800</f>
        <v/>
      </c>
    </row>
    <row r="3801" customFormat="false" ht="15" hidden="false" customHeight="false" outlineLevel="0" collapsed="false">
      <c r="A3801" s="13" t="str">
        <f aca="false">IF(עזר!L3801="","",INDEX(עזר!$A$2:$A$5001,עזר!L3801))</f>
        <v/>
      </c>
      <c r="B3801" s="13" t="str">
        <f aca="false">IF(עזר!L3801="","",INDEX(עזר!$B$2:$B$5001,עזר!L3801))</f>
        <v/>
      </c>
      <c r="C3801" s="13" t="str">
        <f aca="false">עזר!M3801</f>
        <v/>
      </c>
    </row>
    <row r="3802" customFormat="false" ht="15" hidden="false" customHeight="false" outlineLevel="0" collapsed="false">
      <c r="A3802" s="13" t="str">
        <f aca="false">IF(עזר!L3802="","",INDEX(עזר!$A$2:$A$5001,עזר!L3802))</f>
        <v/>
      </c>
      <c r="B3802" s="13" t="str">
        <f aca="false">IF(עזר!L3802="","",INDEX(עזר!$B$2:$B$5001,עזר!L3802))</f>
        <v/>
      </c>
      <c r="C3802" s="13" t="str">
        <f aca="false">עזר!M3802</f>
        <v/>
      </c>
    </row>
    <row r="3803" customFormat="false" ht="15" hidden="false" customHeight="false" outlineLevel="0" collapsed="false">
      <c r="A3803" s="13" t="str">
        <f aca="false">IF(עזר!L3803="","",INDEX(עזר!$A$2:$A$5001,עזר!L3803))</f>
        <v/>
      </c>
      <c r="B3803" s="13" t="str">
        <f aca="false">IF(עזר!L3803="","",INDEX(עזר!$B$2:$B$5001,עזר!L3803))</f>
        <v/>
      </c>
      <c r="C3803" s="13" t="str">
        <f aca="false">עזר!M3803</f>
        <v/>
      </c>
    </row>
    <row r="3804" customFormat="false" ht="15" hidden="false" customHeight="false" outlineLevel="0" collapsed="false">
      <c r="A3804" s="13" t="str">
        <f aca="false">IF(עזר!L3804="","",INDEX(עזר!$A$2:$A$5001,עזר!L3804))</f>
        <v/>
      </c>
      <c r="B3804" s="13" t="str">
        <f aca="false">IF(עזר!L3804="","",INDEX(עזר!$B$2:$B$5001,עזר!L3804))</f>
        <v/>
      </c>
      <c r="C3804" s="13" t="str">
        <f aca="false">עזר!M3804</f>
        <v/>
      </c>
    </row>
    <row r="3805" customFormat="false" ht="15" hidden="false" customHeight="false" outlineLevel="0" collapsed="false">
      <c r="A3805" s="13" t="str">
        <f aca="false">IF(עזר!L3805="","",INDEX(עזר!$A$2:$A$5001,עזר!L3805))</f>
        <v/>
      </c>
      <c r="B3805" s="13" t="str">
        <f aca="false">IF(עזר!L3805="","",INDEX(עזר!$B$2:$B$5001,עזר!L3805))</f>
        <v/>
      </c>
      <c r="C3805" s="13" t="str">
        <f aca="false">עזר!M3805</f>
        <v/>
      </c>
    </row>
    <row r="3806" customFormat="false" ht="15" hidden="false" customHeight="false" outlineLevel="0" collapsed="false">
      <c r="A3806" s="13" t="str">
        <f aca="false">IF(עזר!L3806="","",INDEX(עזר!$A$2:$A$5001,עזר!L3806))</f>
        <v/>
      </c>
      <c r="B3806" s="13" t="str">
        <f aca="false">IF(עזר!L3806="","",INDEX(עזר!$B$2:$B$5001,עזר!L3806))</f>
        <v/>
      </c>
      <c r="C3806" s="13" t="str">
        <f aca="false">עזר!M3806</f>
        <v/>
      </c>
    </row>
    <row r="3807" customFormat="false" ht="15" hidden="false" customHeight="false" outlineLevel="0" collapsed="false">
      <c r="A3807" s="13" t="str">
        <f aca="false">IF(עזר!L3807="","",INDEX(עזר!$A$2:$A$5001,עזר!L3807))</f>
        <v/>
      </c>
      <c r="B3807" s="13" t="str">
        <f aca="false">IF(עזר!L3807="","",INDEX(עזר!$B$2:$B$5001,עזר!L3807))</f>
        <v/>
      </c>
      <c r="C3807" s="13" t="str">
        <f aca="false">עזר!M3807</f>
        <v/>
      </c>
    </row>
    <row r="3808" customFormat="false" ht="15" hidden="false" customHeight="false" outlineLevel="0" collapsed="false">
      <c r="A3808" s="13" t="str">
        <f aca="false">IF(עזר!L3808="","",INDEX(עזר!$A$2:$A$5001,עזר!L3808))</f>
        <v/>
      </c>
      <c r="B3808" s="13" t="str">
        <f aca="false">IF(עזר!L3808="","",INDEX(עזר!$B$2:$B$5001,עזר!L3808))</f>
        <v/>
      </c>
      <c r="C3808" s="13" t="str">
        <f aca="false">עזר!M3808</f>
        <v/>
      </c>
    </row>
    <row r="3809" customFormat="false" ht="15" hidden="false" customHeight="false" outlineLevel="0" collapsed="false">
      <c r="A3809" s="13" t="str">
        <f aca="false">IF(עזר!L3809="","",INDEX(עזר!$A$2:$A$5001,עזר!L3809))</f>
        <v/>
      </c>
      <c r="B3809" s="13" t="str">
        <f aca="false">IF(עזר!L3809="","",INDEX(עזר!$B$2:$B$5001,עזר!L3809))</f>
        <v/>
      </c>
      <c r="C3809" s="13" t="str">
        <f aca="false">עזר!M3809</f>
        <v/>
      </c>
    </row>
    <row r="3810" customFormat="false" ht="15" hidden="false" customHeight="false" outlineLevel="0" collapsed="false">
      <c r="A3810" s="13" t="str">
        <f aca="false">IF(עזר!L3810="","",INDEX(עזר!$A$2:$A$5001,עזר!L3810))</f>
        <v/>
      </c>
      <c r="B3810" s="13" t="str">
        <f aca="false">IF(עזר!L3810="","",INDEX(עזר!$B$2:$B$5001,עזר!L3810))</f>
        <v/>
      </c>
      <c r="C3810" s="13" t="str">
        <f aca="false">עזר!M3810</f>
        <v/>
      </c>
    </row>
    <row r="3811" customFormat="false" ht="15" hidden="false" customHeight="false" outlineLevel="0" collapsed="false">
      <c r="A3811" s="13" t="str">
        <f aca="false">IF(עזר!L3811="","",INDEX(עזר!$A$2:$A$5001,עזר!L3811))</f>
        <v/>
      </c>
      <c r="B3811" s="13" t="str">
        <f aca="false">IF(עזר!L3811="","",INDEX(עזר!$B$2:$B$5001,עזר!L3811))</f>
        <v/>
      </c>
      <c r="C3811" s="13" t="str">
        <f aca="false">עזר!M3811</f>
        <v/>
      </c>
    </row>
    <row r="3812" customFormat="false" ht="15" hidden="false" customHeight="false" outlineLevel="0" collapsed="false">
      <c r="A3812" s="13" t="str">
        <f aca="false">IF(עזר!L3812="","",INDEX(עזר!$A$2:$A$5001,עזר!L3812))</f>
        <v/>
      </c>
      <c r="B3812" s="13" t="str">
        <f aca="false">IF(עזר!L3812="","",INDEX(עזר!$B$2:$B$5001,עזר!L3812))</f>
        <v/>
      </c>
      <c r="C3812" s="13" t="str">
        <f aca="false">עזר!M3812</f>
        <v/>
      </c>
    </row>
    <row r="3813" customFormat="false" ht="15" hidden="false" customHeight="false" outlineLevel="0" collapsed="false">
      <c r="A3813" s="13" t="str">
        <f aca="false">IF(עזר!L3813="","",INDEX(עזר!$A$2:$A$5001,עזר!L3813))</f>
        <v/>
      </c>
      <c r="B3813" s="13" t="str">
        <f aca="false">IF(עזר!L3813="","",INDEX(עזר!$B$2:$B$5001,עזר!L3813))</f>
        <v/>
      </c>
      <c r="C3813" s="13" t="str">
        <f aca="false">עזר!M3813</f>
        <v/>
      </c>
    </row>
    <row r="3814" customFormat="false" ht="15" hidden="false" customHeight="false" outlineLevel="0" collapsed="false">
      <c r="A3814" s="13" t="str">
        <f aca="false">IF(עזר!L3814="","",INDEX(עזר!$A$2:$A$5001,עזר!L3814))</f>
        <v/>
      </c>
      <c r="B3814" s="13" t="str">
        <f aca="false">IF(עזר!L3814="","",INDEX(עזר!$B$2:$B$5001,עזר!L3814))</f>
        <v/>
      </c>
      <c r="C3814" s="13" t="str">
        <f aca="false">עזר!M3814</f>
        <v/>
      </c>
    </row>
    <row r="3815" customFormat="false" ht="15" hidden="false" customHeight="false" outlineLevel="0" collapsed="false">
      <c r="A3815" s="13" t="str">
        <f aca="false">IF(עזר!L3815="","",INDEX(עזר!$A$2:$A$5001,עזר!L3815))</f>
        <v/>
      </c>
      <c r="B3815" s="13" t="str">
        <f aca="false">IF(עזר!L3815="","",INDEX(עזר!$B$2:$B$5001,עזר!L3815))</f>
        <v/>
      </c>
      <c r="C3815" s="13" t="str">
        <f aca="false">עזר!M3815</f>
        <v/>
      </c>
    </row>
    <row r="3816" customFormat="false" ht="15" hidden="false" customHeight="false" outlineLevel="0" collapsed="false">
      <c r="A3816" s="13" t="str">
        <f aca="false">IF(עזר!L3816="","",INDEX(עזר!$A$2:$A$5001,עזר!L3816))</f>
        <v/>
      </c>
      <c r="B3816" s="13" t="str">
        <f aca="false">IF(עזר!L3816="","",INDEX(עזר!$B$2:$B$5001,עזר!L3816))</f>
        <v/>
      </c>
      <c r="C3816" s="13" t="str">
        <f aca="false">עזר!M3816</f>
        <v/>
      </c>
    </row>
    <row r="3817" customFormat="false" ht="15" hidden="false" customHeight="false" outlineLevel="0" collapsed="false">
      <c r="A3817" s="13" t="str">
        <f aca="false">IF(עזר!L3817="","",INDEX(עזר!$A$2:$A$5001,עזר!L3817))</f>
        <v/>
      </c>
      <c r="B3817" s="13" t="str">
        <f aca="false">IF(עזר!L3817="","",INDEX(עזר!$B$2:$B$5001,עזר!L3817))</f>
        <v/>
      </c>
      <c r="C3817" s="13" t="str">
        <f aca="false">עזר!M3817</f>
        <v/>
      </c>
    </row>
    <row r="3818" customFormat="false" ht="15" hidden="false" customHeight="false" outlineLevel="0" collapsed="false">
      <c r="A3818" s="13" t="str">
        <f aca="false">IF(עזר!L3818="","",INDEX(עזר!$A$2:$A$5001,עזר!L3818))</f>
        <v/>
      </c>
      <c r="B3818" s="13" t="str">
        <f aca="false">IF(עזר!L3818="","",INDEX(עזר!$B$2:$B$5001,עזר!L3818))</f>
        <v/>
      </c>
      <c r="C3818" s="13" t="str">
        <f aca="false">עזר!M3818</f>
        <v/>
      </c>
    </row>
    <row r="3819" customFormat="false" ht="15" hidden="false" customHeight="false" outlineLevel="0" collapsed="false">
      <c r="A3819" s="13" t="str">
        <f aca="false">IF(עזר!L3819="","",INDEX(עזר!$A$2:$A$5001,עזר!L3819))</f>
        <v/>
      </c>
      <c r="B3819" s="13" t="str">
        <f aca="false">IF(עזר!L3819="","",INDEX(עזר!$B$2:$B$5001,עזר!L3819))</f>
        <v/>
      </c>
      <c r="C3819" s="13" t="str">
        <f aca="false">עזר!M3819</f>
        <v/>
      </c>
    </row>
    <row r="3820" customFormat="false" ht="15" hidden="false" customHeight="false" outlineLevel="0" collapsed="false">
      <c r="A3820" s="13" t="str">
        <f aca="false">IF(עזר!L3820="","",INDEX(עזר!$A$2:$A$5001,עזר!L3820))</f>
        <v/>
      </c>
      <c r="B3820" s="13" t="str">
        <f aca="false">IF(עזר!L3820="","",INDEX(עזר!$B$2:$B$5001,עזר!L3820))</f>
        <v/>
      </c>
      <c r="C3820" s="13" t="str">
        <f aca="false">עזר!M3820</f>
        <v/>
      </c>
    </row>
    <row r="3821" customFormat="false" ht="15" hidden="false" customHeight="false" outlineLevel="0" collapsed="false">
      <c r="A3821" s="13" t="str">
        <f aca="false">IF(עזר!L3821="","",INDEX(עזר!$A$2:$A$5001,עזר!L3821))</f>
        <v/>
      </c>
      <c r="B3821" s="13" t="str">
        <f aca="false">IF(עזר!L3821="","",INDEX(עזר!$B$2:$B$5001,עזר!L3821))</f>
        <v/>
      </c>
      <c r="C3821" s="13" t="str">
        <f aca="false">עזר!M3821</f>
        <v/>
      </c>
    </row>
    <row r="3822" customFormat="false" ht="15" hidden="false" customHeight="false" outlineLevel="0" collapsed="false">
      <c r="A3822" s="13" t="str">
        <f aca="false">IF(עזר!L3822="","",INDEX(עזר!$A$2:$A$5001,עזר!L3822))</f>
        <v/>
      </c>
      <c r="B3822" s="13" t="str">
        <f aca="false">IF(עזר!L3822="","",INDEX(עזר!$B$2:$B$5001,עזר!L3822))</f>
        <v/>
      </c>
      <c r="C3822" s="13" t="str">
        <f aca="false">עזר!M3822</f>
        <v/>
      </c>
    </row>
    <row r="3823" customFormat="false" ht="15" hidden="false" customHeight="false" outlineLevel="0" collapsed="false">
      <c r="A3823" s="13" t="str">
        <f aca="false">IF(עזר!L3823="","",INDEX(עזר!$A$2:$A$5001,עזר!L3823))</f>
        <v/>
      </c>
      <c r="B3823" s="13" t="str">
        <f aca="false">IF(עזר!L3823="","",INDEX(עזר!$B$2:$B$5001,עזר!L3823))</f>
        <v/>
      </c>
      <c r="C3823" s="13" t="str">
        <f aca="false">עזר!M3823</f>
        <v/>
      </c>
    </row>
    <row r="3824" customFormat="false" ht="15" hidden="false" customHeight="false" outlineLevel="0" collapsed="false">
      <c r="A3824" s="13" t="str">
        <f aca="false">IF(עזר!L3824="","",INDEX(עזר!$A$2:$A$5001,עזר!L3824))</f>
        <v/>
      </c>
      <c r="B3824" s="13" t="str">
        <f aca="false">IF(עזר!L3824="","",INDEX(עזר!$B$2:$B$5001,עזר!L3824))</f>
        <v/>
      </c>
      <c r="C3824" s="13" t="str">
        <f aca="false">עזר!M3824</f>
        <v/>
      </c>
    </row>
    <row r="3825" customFormat="false" ht="15" hidden="false" customHeight="false" outlineLevel="0" collapsed="false">
      <c r="A3825" s="13" t="str">
        <f aca="false">IF(עזר!L3825="","",INDEX(עזר!$A$2:$A$5001,עזר!L3825))</f>
        <v/>
      </c>
      <c r="B3825" s="13" t="str">
        <f aca="false">IF(עזר!L3825="","",INDEX(עזר!$B$2:$B$5001,עזר!L3825))</f>
        <v/>
      </c>
      <c r="C3825" s="13" t="str">
        <f aca="false">עזר!M3825</f>
        <v/>
      </c>
    </row>
    <row r="3826" customFormat="false" ht="15" hidden="false" customHeight="false" outlineLevel="0" collapsed="false">
      <c r="A3826" s="13" t="str">
        <f aca="false">IF(עזר!L3826="","",INDEX(עזר!$A$2:$A$5001,עזר!L3826))</f>
        <v/>
      </c>
      <c r="B3826" s="13" t="str">
        <f aca="false">IF(עזר!L3826="","",INDEX(עזר!$B$2:$B$5001,עזר!L3826))</f>
        <v/>
      </c>
      <c r="C3826" s="13" t="str">
        <f aca="false">עזר!M3826</f>
        <v/>
      </c>
    </row>
    <row r="3827" customFormat="false" ht="15" hidden="false" customHeight="false" outlineLevel="0" collapsed="false">
      <c r="A3827" s="13" t="str">
        <f aca="false">IF(עזר!L3827="","",INDEX(עזר!$A$2:$A$5001,עזר!L3827))</f>
        <v/>
      </c>
      <c r="B3827" s="13" t="str">
        <f aca="false">IF(עזר!L3827="","",INDEX(עזר!$B$2:$B$5001,עזר!L3827))</f>
        <v/>
      </c>
      <c r="C3827" s="13" t="str">
        <f aca="false">עזר!M3827</f>
        <v/>
      </c>
    </row>
    <row r="3828" customFormat="false" ht="15" hidden="false" customHeight="false" outlineLevel="0" collapsed="false">
      <c r="A3828" s="13" t="str">
        <f aca="false">IF(עזר!L3828="","",INDEX(עזר!$A$2:$A$5001,עזר!L3828))</f>
        <v/>
      </c>
      <c r="B3828" s="13" t="str">
        <f aca="false">IF(עזר!L3828="","",INDEX(עזר!$B$2:$B$5001,עזר!L3828))</f>
        <v/>
      </c>
      <c r="C3828" s="13" t="str">
        <f aca="false">עזר!M3828</f>
        <v/>
      </c>
    </row>
    <row r="3829" customFormat="false" ht="15" hidden="false" customHeight="false" outlineLevel="0" collapsed="false">
      <c r="A3829" s="13" t="str">
        <f aca="false">IF(עזר!L3829="","",INDEX(עזר!$A$2:$A$5001,עזר!L3829))</f>
        <v/>
      </c>
      <c r="B3829" s="13" t="str">
        <f aca="false">IF(עזר!L3829="","",INDEX(עזר!$B$2:$B$5001,עזר!L3829))</f>
        <v/>
      </c>
      <c r="C3829" s="13" t="str">
        <f aca="false">עזר!M3829</f>
        <v/>
      </c>
    </row>
    <row r="3830" customFormat="false" ht="15" hidden="false" customHeight="false" outlineLevel="0" collapsed="false">
      <c r="A3830" s="13" t="str">
        <f aca="false">IF(עזר!L3830="","",INDEX(עזר!$A$2:$A$5001,עזר!L3830))</f>
        <v/>
      </c>
      <c r="B3830" s="13" t="str">
        <f aca="false">IF(עזר!L3830="","",INDEX(עזר!$B$2:$B$5001,עזר!L3830))</f>
        <v/>
      </c>
      <c r="C3830" s="13" t="str">
        <f aca="false">עזר!M3830</f>
        <v/>
      </c>
    </row>
    <row r="3831" customFormat="false" ht="15" hidden="false" customHeight="false" outlineLevel="0" collapsed="false">
      <c r="A3831" s="13" t="str">
        <f aca="false">IF(עזר!L3831="","",INDEX(עזר!$A$2:$A$5001,עזר!L3831))</f>
        <v/>
      </c>
      <c r="B3831" s="13" t="str">
        <f aca="false">IF(עזר!L3831="","",INDEX(עזר!$B$2:$B$5001,עזר!L3831))</f>
        <v/>
      </c>
      <c r="C3831" s="13" t="str">
        <f aca="false">עזר!M3831</f>
        <v/>
      </c>
    </row>
    <row r="3832" customFormat="false" ht="15" hidden="false" customHeight="false" outlineLevel="0" collapsed="false">
      <c r="A3832" s="13" t="str">
        <f aca="false">IF(עזר!L3832="","",INDEX(עזר!$A$2:$A$5001,עזר!L3832))</f>
        <v/>
      </c>
      <c r="B3832" s="13" t="str">
        <f aca="false">IF(עזר!L3832="","",INDEX(עזר!$B$2:$B$5001,עזר!L3832))</f>
        <v/>
      </c>
      <c r="C3832" s="13" t="str">
        <f aca="false">עזר!M3832</f>
        <v/>
      </c>
    </row>
    <row r="3833" customFormat="false" ht="15" hidden="false" customHeight="false" outlineLevel="0" collapsed="false">
      <c r="A3833" s="13" t="str">
        <f aca="false">IF(עזר!L3833="","",INDEX(עזר!$A$2:$A$5001,עזר!L3833))</f>
        <v/>
      </c>
      <c r="B3833" s="13" t="str">
        <f aca="false">IF(עזר!L3833="","",INDEX(עזר!$B$2:$B$5001,עזר!L3833))</f>
        <v/>
      </c>
      <c r="C3833" s="13" t="str">
        <f aca="false">עזר!M3833</f>
        <v/>
      </c>
    </row>
    <row r="3834" customFormat="false" ht="15" hidden="false" customHeight="false" outlineLevel="0" collapsed="false">
      <c r="A3834" s="13" t="str">
        <f aca="false">IF(עזר!L3834="","",INDEX(עזר!$A$2:$A$5001,עזר!L3834))</f>
        <v/>
      </c>
      <c r="B3834" s="13" t="str">
        <f aca="false">IF(עזר!L3834="","",INDEX(עזר!$B$2:$B$5001,עזר!L3834))</f>
        <v/>
      </c>
      <c r="C3834" s="13" t="str">
        <f aca="false">עזר!M3834</f>
        <v/>
      </c>
    </row>
    <row r="3835" customFormat="false" ht="15" hidden="false" customHeight="false" outlineLevel="0" collapsed="false">
      <c r="A3835" s="13" t="str">
        <f aca="false">IF(עזר!L3835="","",INDEX(עזר!$A$2:$A$5001,עזר!L3835))</f>
        <v/>
      </c>
      <c r="B3835" s="13" t="str">
        <f aca="false">IF(עזר!L3835="","",INDEX(עזר!$B$2:$B$5001,עזר!L3835))</f>
        <v/>
      </c>
      <c r="C3835" s="13" t="str">
        <f aca="false">עזר!M3835</f>
        <v/>
      </c>
    </row>
    <row r="3836" customFormat="false" ht="15" hidden="false" customHeight="false" outlineLevel="0" collapsed="false">
      <c r="A3836" s="13" t="str">
        <f aca="false">IF(עזר!L3836="","",INDEX(עזר!$A$2:$A$5001,עזר!L3836))</f>
        <v/>
      </c>
      <c r="B3836" s="13" t="str">
        <f aca="false">IF(עזר!L3836="","",INDEX(עזר!$B$2:$B$5001,עזר!L3836))</f>
        <v/>
      </c>
      <c r="C3836" s="13" t="str">
        <f aca="false">עזר!M3836</f>
        <v/>
      </c>
    </row>
    <row r="3837" customFormat="false" ht="15" hidden="false" customHeight="false" outlineLevel="0" collapsed="false">
      <c r="A3837" s="13" t="str">
        <f aca="false">IF(עזר!L3837="","",INDEX(עזר!$A$2:$A$5001,עזר!L3837))</f>
        <v/>
      </c>
      <c r="B3837" s="13" t="str">
        <f aca="false">IF(עזר!L3837="","",INDEX(עזר!$B$2:$B$5001,עזר!L3837))</f>
        <v/>
      </c>
      <c r="C3837" s="13" t="str">
        <f aca="false">עזר!M3837</f>
        <v/>
      </c>
    </row>
    <row r="3838" customFormat="false" ht="15" hidden="false" customHeight="false" outlineLevel="0" collapsed="false">
      <c r="A3838" s="13" t="str">
        <f aca="false">IF(עזר!L3838="","",INDEX(עזר!$A$2:$A$5001,עזר!L3838))</f>
        <v/>
      </c>
      <c r="B3838" s="13" t="str">
        <f aca="false">IF(עזר!L3838="","",INDEX(עזר!$B$2:$B$5001,עזר!L3838))</f>
        <v/>
      </c>
      <c r="C3838" s="13" t="str">
        <f aca="false">עזר!M3838</f>
        <v/>
      </c>
    </row>
    <row r="3839" customFormat="false" ht="15" hidden="false" customHeight="false" outlineLevel="0" collapsed="false">
      <c r="A3839" s="13" t="str">
        <f aca="false">IF(עזר!L3839="","",INDEX(עזר!$A$2:$A$5001,עזר!L3839))</f>
        <v/>
      </c>
      <c r="B3839" s="13" t="str">
        <f aca="false">IF(עזר!L3839="","",INDEX(עזר!$B$2:$B$5001,עזר!L3839))</f>
        <v/>
      </c>
      <c r="C3839" s="13" t="str">
        <f aca="false">עזר!M3839</f>
        <v/>
      </c>
    </row>
    <row r="3840" customFormat="false" ht="15" hidden="false" customHeight="false" outlineLevel="0" collapsed="false">
      <c r="A3840" s="13" t="str">
        <f aca="false">IF(עזר!L3840="","",INDEX(עזר!$A$2:$A$5001,עזר!L3840))</f>
        <v/>
      </c>
      <c r="B3840" s="13" t="str">
        <f aca="false">IF(עזר!L3840="","",INDEX(עזר!$B$2:$B$5001,עזר!L3840))</f>
        <v/>
      </c>
      <c r="C3840" s="13" t="str">
        <f aca="false">עזר!M3840</f>
        <v/>
      </c>
    </row>
    <row r="3841" customFormat="false" ht="15" hidden="false" customHeight="false" outlineLevel="0" collapsed="false">
      <c r="A3841" s="13" t="str">
        <f aca="false">IF(עזר!L3841="","",INDEX(עזר!$A$2:$A$5001,עזר!L3841))</f>
        <v/>
      </c>
      <c r="B3841" s="13" t="str">
        <f aca="false">IF(עזר!L3841="","",INDEX(עזר!$B$2:$B$5001,עזר!L3841))</f>
        <v/>
      </c>
      <c r="C3841" s="13" t="str">
        <f aca="false">עזר!M3841</f>
        <v/>
      </c>
    </row>
    <row r="3842" customFormat="false" ht="15" hidden="false" customHeight="false" outlineLevel="0" collapsed="false">
      <c r="A3842" s="13" t="str">
        <f aca="false">IF(עזר!L3842="","",INDEX(עזר!$A$2:$A$5001,עזר!L3842))</f>
        <v/>
      </c>
      <c r="B3842" s="13" t="str">
        <f aca="false">IF(עזר!L3842="","",INDEX(עזר!$B$2:$B$5001,עזר!L3842))</f>
        <v/>
      </c>
      <c r="C3842" s="13" t="str">
        <f aca="false">עזר!M3842</f>
        <v/>
      </c>
    </row>
    <row r="3843" customFormat="false" ht="15" hidden="false" customHeight="false" outlineLevel="0" collapsed="false">
      <c r="A3843" s="13" t="str">
        <f aca="false">IF(עזר!L3843="","",INDEX(עזר!$A$2:$A$5001,עזר!L3843))</f>
        <v/>
      </c>
      <c r="B3843" s="13" t="str">
        <f aca="false">IF(עזר!L3843="","",INDEX(עזר!$B$2:$B$5001,עזר!L3843))</f>
        <v/>
      </c>
      <c r="C3843" s="13" t="str">
        <f aca="false">עזר!M3843</f>
        <v/>
      </c>
    </row>
    <row r="3844" customFormat="false" ht="15" hidden="false" customHeight="false" outlineLevel="0" collapsed="false">
      <c r="A3844" s="13" t="str">
        <f aca="false">IF(עזר!L3844="","",INDEX(עזר!$A$2:$A$5001,עזר!L3844))</f>
        <v/>
      </c>
      <c r="B3844" s="13" t="str">
        <f aca="false">IF(עזר!L3844="","",INDEX(עזר!$B$2:$B$5001,עזר!L3844))</f>
        <v/>
      </c>
      <c r="C3844" s="13" t="str">
        <f aca="false">עזר!M3844</f>
        <v/>
      </c>
    </row>
    <row r="3845" customFormat="false" ht="15" hidden="false" customHeight="false" outlineLevel="0" collapsed="false">
      <c r="A3845" s="13" t="str">
        <f aca="false">IF(עזר!L3845="","",INDEX(עזר!$A$2:$A$5001,עזר!L3845))</f>
        <v/>
      </c>
      <c r="B3845" s="13" t="str">
        <f aca="false">IF(עזר!L3845="","",INDEX(עזר!$B$2:$B$5001,עזר!L3845))</f>
        <v/>
      </c>
      <c r="C3845" s="13" t="str">
        <f aca="false">עזר!M3845</f>
        <v/>
      </c>
    </row>
    <row r="3846" customFormat="false" ht="15" hidden="false" customHeight="false" outlineLevel="0" collapsed="false">
      <c r="A3846" s="13" t="str">
        <f aca="false">IF(עזר!L3846="","",INDEX(עזר!$A$2:$A$5001,עזר!L3846))</f>
        <v/>
      </c>
      <c r="B3846" s="13" t="str">
        <f aca="false">IF(עזר!L3846="","",INDEX(עזר!$B$2:$B$5001,עזר!L3846))</f>
        <v/>
      </c>
      <c r="C3846" s="13" t="str">
        <f aca="false">עזר!M3846</f>
        <v/>
      </c>
    </row>
    <row r="3847" customFormat="false" ht="15" hidden="false" customHeight="false" outlineLevel="0" collapsed="false">
      <c r="A3847" s="13" t="str">
        <f aca="false">IF(עזר!L3847="","",INDEX(עזר!$A$2:$A$5001,עזר!L3847))</f>
        <v/>
      </c>
      <c r="B3847" s="13" t="str">
        <f aca="false">IF(עזר!L3847="","",INDEX(עזר!$B$2:$B$5001,עזר!L3847))</f>
        <v/>
      </c>
      <c r="C3847" s="13" t="str">
        <f aca="false">עזר!M3847</f>
        <v/>
      </c>
    </row>
    <row r="3848" customFormat="false" ht="15" hidden="false" customHeight="false" outlineLevel="0" collapsed="false">
      <c r="A3848" s="13" t="str">
        <f aca="false">IF(עזר!L3848="","",INDEX(עזר!$A$2:$A$5001,עזר!L3848))</f>
        <v/>
      </c>
      <c r="B3848" s="13" t="str">
        <f aca="false">IF(עזר!L3848="","",INDEX(עזר!$B$2:$B$5001,עזר!L3848))</f>
        <v/>
      </c>
      <c r="C3848" s="13" t="str">
        <f aca="false">עזר!M3848</f>
        <v/>
      </c>
    </row>
    <row r="3849" customFormat="false" ht="15" hidden="false" customHeight="false" outlineLevel="0" collapsed="false">
      <c r="A3849" s="13" t="str">
        <f aca="false">IF(עזר!L3849="","",INDEX(עזר!$A$2:$A$5001,עזר!L3849))</f>
        <v/>
      </c>
      <c r="B3849" s="13" t="str">
        <f aca="false">IF(עזר!L3849="","",INDEX(עזר!$B$2:$B$5001,עזר!L3849))</f>
        <v/>
      </c>
      <c r="C3849" s="13" t="str">
        <f aca="false">עזר!M3849</f>
        <v/>
      </c>
    </row>
    <row r="3850" customFormat="false" ht="15" hidden="false" customHeight="false" outlineLevel="0" collapsed="false">
      <c r="A3850" s="13" t="str">
        <f aca="false">IF(עזר!L3850="","",INDEX(עזר!$A$2:$A$5001,עזר!L3850))</f>
        <v/>
      </c>
      <c r="B3850" s="13" t="str">
        <f aca="false">IF(עזר!L3850="","",INDEX(עזר!$B$2:$B$5001,עזר!L3850))</f>
        <v/>
      </c>
      <c r="C3850" s="13" t="str">
        <f aca="false">עזר!M3850</f>
        <v/>
      </c>
    </row>
    <row r="3851" customFormat="false" ht="15" hidden="false" customHeight="false" outlineLevel="0" collapsed="false">
      <c r="A3851" s="13" t="str">
        <f aca="false">IF(עזר!L3851="","",INDEX(עזר!$A$2:$A$5001,עזר!L3851))</f>
        <v/>
      </c>
      <c r="B3851" s="13" t="str">
        <f aca="false">IF(עזר!L3851="","",INDEX(עזר!$B$2:$B$5001,עזר!L3851))</f>
        <v/>
      </c>
      <c r="C3851" s="13" t="str">
        <f aca="false">עזר!M3851</f>
        <v/>
      </c>
    </row>
    <row r="3852" customFormat="false" ht="15" hidden="false" customHeight="false" outlineLevel="0" collapsed="false">
      <c r="A3852" s="13" t="str">
        <f aca="false">IF(עזר!L3852="","",INDEX(עזר!$A$2:$A$5001,עזר!L3852))</f>
        <v/>
      </c>
      <c r="B3852" s="13" t="str">
        <f aca="false">IF(עזר!L3852="","",INDEX(עזר!$B$2:$B$5001,עזר!L3852))</f>
        <v/>
      </c>
      <c r="C3852" s="13" t="str">
        <f aca="false">עזר!M3852</f>
        <v/>
      </c>
    </row>
    <row r="3853" customFormat="false" ht="15" hidden="false" customHeight="false" outlineLevel="0" collapsed="false">
      <c r="A3853" s="13" t="str">
        <f aca="false">IF(עזר!L3853="","",INDEX(עזר!$A$2:$A$5001,עזר!L3853))</f>
        <v/>
      </c>
      <c r="B3853" s="13" t="str">
        <f aca="false">IF(עזר!L3853="","",INDEX(עזר!$B$2:$B$5001,עזר!L3853))</f>
        <v/>
      </c>
      <c r="C3853" s="13" t="str">
        <f aca="false">עזר!M3853</f>
        <v/>
      </c>
    </row>
    <row r="3854" customFormat="false" ht="15" hidden="false" customHeight="false" outlineLevel="0" collapsed="false">
      <c r="A3854" s="13" t="str">
        <f aca="false">IF(עזר!L3854="","",INDEX(עזר!$A$2:$A$5001,עזר!L3854))</f>
        <v/>
      </c>
      <c r="B3854" s="13" t="str">
        <f aca="false">IF(עזר!L3854="","",INDEX(עזר!$B$2:$B$5001,עזר!L3854))</f>
        <v/>
      </c>
      <c r="C3854" s="13" t="str">
        <f aca="false">עזר!M3854</f>
        <v/>
      </c>
    </row>
    <row r="3855" customFormat="false" ht="15" hidden="false" customHeight="false" outlineLevel="0" collapsed="false">
      <c r="A3855" s="13" t="str">
        <f aca="false">IF(עזר!L3855="","",INDEX(עזר!$A$2:$A$5001,עזר!L3855))</f>
        <v/>
      </c>
      <c r="B3855" s="13" t="str">
        <f aca="false">IF(עזר!L3855="","",INDEX(עזר!$B$2:$B$5001,עזר!L3855))</f>
        <v/>
      </c>
      <c r="C3855" s="13" t="str">
        <f aca="false">עזר!M3855</f>
        <v/>
      </c>
    </row>
    <row r="3856" customFormat="false" ht="15" hidden="false" customHeight="false" outlineLevel="0" collapsed="false">
      <c r="A3856" s="13" t="str">
        <f aca="false">IF(עזר!L3856="","",INDEX(עזר!$A$2:$A$5001,עזר!L3856))</f>
        <v/>
      </c>
      <c r="B3856" s="13" t="str">
        <f aca="false">IF(עזר!L3856="","",INDEX(עזר!$B$2:$B$5001,עזר!L3856))</f>
        <v/>
      </c>
      <c r="C3856" s="13" t="str">
        <f aca="false">עזר!M3856</f>
        <v/>
      </c>
    </row>
    <row r="3857" customFormat="false" ht="15" hidden="false" customHeight="false" outlineLevel="0" collapsed="false">
      <c r="A3857" s="13" t="str">
        <f aca="false">IF(עזר!L3857="","",INDEX(עזר!$A$2:$A$5001,עזר!L3857))</f>
        <v/>
      </c>
      <c r="B3857" s="13" t="str">
        <f aca="false">IF(עזר!L3857="","",INDEX(עזר!$B$2:$B$5001,עזר!L3857))</f>
        <v/>
      </c>
      <c r="C3857" s="13" t="str">
        <f aca="false">עזר!M3857</f>
        <v/>
      </c>
    </row>
    <row r="3858" customFormat="false" ht="15" hidden="false" customHeight="false" outlineLevel="0" collapsed="false">
      <c r="A3858" s="13" t="str">
        <f aca="false">IF(עזר!L3858="","",INDEX(עזר!$A$2:$A$5001,עזר!L3858))</f>
        <v/>
      </c>
      <c r="B3858" s="13" t="str">
        <f aca="false">IF(עזר!L3858="","",INDEX(עזר!$B$2:$B$5001,עזר!L3858))</f>
        <v/>
      </c>
      <c r="C3858" s="13" t="str">
        <f aca="false">עזר!M3858</f>
        <v/>
      </c>
    </row>
    <row r="3859" customFormat="false" ht="15" hidden="false" customHeight="false" outlineLevel="0" collapsed="false">
      <c r="A3859" s="13" t="str">
        <f aca="false">IF(עזר!L3859="","",INDEX(עזר!$A$2:$A$5001,עזר!L3859))</f>
        <v/>
      </c>
      <c r="B3859" s="13" t="str">
        <f aca="false">IF(עזר!L3859="","",INDEX(עזר!$B$2:$B$5001,עזר!L3859))</f>
        <v/>
      </c>
      <c r="C3859" s="13" t="str">
        <f aca="false">עזר!M3859</f>
        <v/>
      </c>
    </row>
    <row r="3860" customFormat="false" ht="15" hidden="false" customHeight="false" outlineLevel="0" collapsed="false">
      <c r="A3860" s="13" t="str">
        <f aca="false">IF(עזר!L3860="","",INDEX(עזר!$A$2:$A$5001,עזר!L3860))</f>
        <v/>
      </c>
      <c r="B3860" s="13" t="str">
        <f aca="false">IF(עזר!L3860="","",INDEX(עזר!$B$2:$B$5001,עזר!L3860))</f>
        <v/>
      </c>
      <c r="C3860" s="13" t="str">
        <f aca="false">עזר!M3860</f>
        <v/>
      </c>
    </row>
    <row r="3861" customFormat="false" ht="15" hidden="false" customHeight="false" outlineLevel="0" collapsed="false">
      <c r="A3861" s="13" t="str">
        <f aca="false">IF(עזר!L3861="","",INDEX(עזר!$A$2:$A$5001,עזר!L3861))</f>
        <v/>
      </c>
      <c r="B3861" s="13" t="str">
        <f aca="false">IF(עזר!L3861="","",INDEX(עזר!$B$2:$B$5001,עזר!L3861))</f>
        <v/>
      </c>
      <c r="C3861" s="13" t="str">
        <f aca="false">עזר!M3861</f>
        <v/>
      </c>
    </row>
    <row r="3862" customFormat="false" ht="15" hidden="false" customHeight="false" outlineLevel="0" collapsed="false">
      <c r="A3862" s="13" t="str">
        <f aca="false">IF(עזר!L3862="","",INDEX(עזר!$A$2:$A$5001,עזר!L3862))</f>
        <v/>
      </c>
      <c r="B3862" s="13" t="str">
        <f aca="false">IF(עזר!L3862="","",INDEX(עזר!$B$2:$B$5001,עזר!L3862))</f>
        <v/>
      </c>
      <c r="C3862" s="13" t="str">
        <f aca="false">עזר!M3862</f>
        <v/>
      </c>
    </row>
    <row r="3863" customFormat="false" ht="15" hidden="false" customHeight="false" outlineLevel="0" collapsed="false">
      <c r="A3863" s="13" t="str">
        <f aca="false">IF(עזר!L3863="","",INDEX(עזר!$A$2:$A$5001,עזר!L3863))</f>
        <v/>
      </c>
      <c r="B3863" s="13" t="str">
        <f aca="false">IF(עזר!L3863="","",INDEX(עזר!$B$2:$B$5001,עזר!L3863))</f>
        <v/>
      </c>
      <c r="C3863" s="13" t="str">
        <f aca="false">עזר!M3863</f>
        <v/>
      </c>
    </row>
    <row r="3864" customFormat="false" ht="15" hidden="false" customHeight="false" outlineLevel="0" collapsed="false">
      <c r="A3864" s="13" t="str">
        <f aca="false">IF(עזר!L3864="","",INDEX(עזר!$A$2:$A$5001,עזר!L3864))</f>
        <v/>
      </c>
      <c r="B3864" s="13" t="str">
        <f aca="false">IF(עזר!L3864="","",INDEX(עזר!$B$2:$B$5001,עזר!L3864))</f>
        <v/>
      </c>
      <c r="C3864" s="13" t="str">
        <f aca="false">עזר!M3864</f>
        <v/>
      </c>
    </row>
    <row r="3865" customFormat="false" ht="15" hidden="false" customHeight="false" outlineLevel="0" collapsed="false">
      <c r="A3865" s="13" t="str">
        <f aca="false">IF(עזר!L3865="","",INDEX(עזר!$A$2:$A$5001,עזר!L3865))</f>
        <v/>
      </c>
      <c r="B3865" s="13" t="str">
        <f aca="false">IF(עזר!L3865="","",INDEX(עזר!$B$2:$B$5001,עזר!L3865))</f>
        <v/>
      </c>
      <c r="C3865" s="13" t="str">
        <f aca="false">עזר!M3865</f>
        <v/>
      </c>
    </row>
    <row r="3866" customFormat="false" ht="15" hidden="false" customHeight="false" outlineLevel="0" collapsed="false">
      <c r="A3866" s="13" t="str">
        <f aca="false">IF(עזר!L3866="","",INDEX(עזר!$A$2:$A$5001,עזר!L3866))</f>
        <v/>
      </c>
      <c r="B3866" s="13" t="str">
        <f aca="false">IF(עזר!L3866="","",INDEX(עזר!$B$2:$B$5001,עזר!L3866))</f>
        <v/>
      </c>
      <c r="C3866" s="13" t="str">
        <f aca="false">עזר!M3866</f>
        <v/>
      </c>
    </row>
    <row r="3867" customFormat="false" ht="15" hidden="false" customHeight="false" outlineLevel="0" collapsed="false">
      <c r="A3867" s="13" t="str">
        <f aca="false">IF(עזר!L3867="","",INDEX(עזר!$A$2:$A$5001,עזר!L3867))</f>
        <v/>
      </c>
      <c r="B3867" s="13" t="str">
        <f aca="false">IF(עזר!L3867="","",INDEX(עזר!$B$2:$B$5001,עזר!L3867))</f>
        <v/>
      </c>
      <c r="C3867" s="13" t="str">
        <f aca="false">עזר!M3867</f>
        <v/>
      </c>
    </row>
    <row r="3868" customFormat="false" ht="15" hidden="false" customHeight="false" outlineLevel="0" collapsed="false">
      <c r="A3868" s="13" t="str">
        <f aca="false">IF(עזר!L3868="","",INDEX(עזר!$A$2:$A$5001,עזר!L3868))</f>
        <v/>
      </c>
      <c r="B3868" s="13" t="str">
        <f aca="false">IF(עזר!L3868="","",INDEX(עזר!$B$2:$B$5001,עזר!L3868))</f>
        <v/>
      </c>
      <c r="C3868" s="13" t="str">
        <f aca="false">עזר!M3868</f>
        <v/>
      </c>
    </row>
    <row r="3869" customFormat="false" ht="15" hidden="false" customHeight="false" outlineLevel="0" collapsed="false">
      <c r="A3869" s="13" t="str">
        <f aca="false">IF(עזר!L3869="","",INDEX(עזר!$A$2:$A$5001,עזר!L3869))</f>
        <v/>
      </c>
      <c r="B3869" s="13" t="str">
        <f aca="false">IF(עזר!L3869="","",INDEX(עזר!$B$2:$B$5001,עזר!L3869))</f>
        <v/>
      </c>
      <c r="C3869" s="13" t="str">
        <f aca="false">עזר!M3869</f>
        <v/>
      </c>
    </row>
    <row r="3870" customFormat="false" ht="15" hidden="false" customHeight="false" outlineLevel="0" collapsed="false">
      <c r="A3870" s="13" t="str">
        <f aca="false">IF(עזר!L3870="","",INDEX(עזר!$A$2:$A$5001,עזר!L3870))</f>
        <v/>
      </c>
      <c r="B3870" s="13" t="str">
        <f aca="false">IF(עזר!L3870="","",INDEX(עזר!$B$2:$B$5001,עזר!L3870))</f>
        <v/>
      </c>
      <c r="C3870" s="13" t="str">
        <f aca="false">עזר!M3870</f>
        <v/>
      </c>
    </row>
    <row r="3871" customFormat="false" ht="15" hidden="false" customHeight="false" outlineLevel="0" collapsed="false">
      <c r="A3871" s="13" t="str">
        <f aca="false">IF(עזר!L3871="","",INDEX(עזר!$A$2:$A$5001,עזר!L3871))</f>
        <v/>
      </c>
      <c r="B3871" s="13" t="str">
        <f aca="false">IF(עזר!L3871="","",INDEX(עזר!$B$2:$B$5001,עזר!L3871))</f>
        <v/>
      </c>
      <c r="C3871" s="13" t="str">
        <f aca="false">עזר!M3871</f>
        <v/>
      </c>
    </row>
    <row r="3872" customFormat="false" ht="15" hidden="false" customHeight="false" outlineLevel="0" collapsed="false">
      <c r="A3872" s="13" t="str">
        <f aca="false">IF(עזר!L3872="","",INDEX(עזר!$A$2:$A$5001,עזר!L3872))</f>
        <v/>
      </c>
      <c r="B3872" s="13" t="str">
        <f aca="false">IF(עזר!L3872="","",INDEX(עזר!$B$2:$B$5001,עזר!L3872))</f>
        <v/>
      </c>
      <c r="C3872" s="13" t="str">
        <f aca="false">עזר!M3872</f>
        <v/>
      </c>
    </row>
    <row r="3873" customFormat="false" ht="15" hidden="false" customHeight="false" outlineLevel="0" collapsed="false">
      <c r="A3873" s="13" t="str">
        <f aca="false">IF(עזר!L3873="","",INDEX(עזר!$A$2:$A$5001,עזר!L3873))</f>
        <v/>
      </c>
      <c r="B3873" s="13" t="str">
        <f aca="false">IF(עזר!L3873="","",INDEX(עזר!$B$2:$B$5001,עזר!L3873))</f>
        <v/>
      </c>
      <c r="C3873" s="13" t="str">
        <f aca="false">עזר!M3873</f>
        <v/>
      </c>
    </row>
    <row r="3874" customFormat="false" ht="15" hidden="false" customHeight="false" outlineLevel="0" collapsed="false">
      <c r="A3874" s="13" t="str">
        <f aca="false">IF(עזר!L3874="","",INDEX(עזר!$A$2:$A$5001,עזר!L3874))</f>
        <v/>
      </c>
      <c r="B3874" s="13" t="str">
        <f aca="false">IF(עזר!L3874="","",INDEX(עזר!$B$2:$B$5001,עזר!L3874))</f>
        <v/>
      </c>
      <c r="C3874" s="13" t="str">
        <f aca="false">עזר!M3874</f>
        <v/>
      </c>
    </row>
    <row r="3875" customFormat="false" ht="15" hidden="false" customHeight="false" outlineLevel="0" collapsed="false">
      <c r="A3875" s="13" t="str">
        <f aca="false">IF(עזר!L3875="","",INDEX(עזר!$A$2:$A$5001,עזר!L3875))</f>
        <v/>
      </c>
      <c r="B3875" s="13" t="str">
        <f aca="false">IF(עזר!L3875="","",INDEX(עזר!$B$2:$B$5001,עזר!L3875))</f>
        <v/>
      </c>
      <c r="C3875" s="13" t="str">
        <f aca="false">עזר!M3875</f>
        <v/>
      </c>
    </row>
    <row r="3876" customFormat="false" ht="15" hidden="false" customHeight="false" outlineLevel="0" collapsed="false">
      <c r="A3876" s="13" t="str">
        <f aca="false">IF(עזר!L3876="","",INDEX(עזר!$A$2:$A$5001,עזר!L3876))</f>
        <v/>
      </c>
      <c r="B3876" s="13" t="str">
        <f aca="false">IF(עזר!L3876="","",INDEX(עזר!$B$2:$B$5001,עזר!L3876))</f>
        <v/>
      </c>
      <c r="C3876" s="13" t="str">
        <f aca="false">עזר!M3876</f>
        <v/>
      </c>
    </row>
    <row r="3877" customFormat="false" ht="15" hidden="false" customHeight="false" outlineLevel="0" collapsed="false">
      <c r="A3877" s="13" t="str">
        <f aca="false">IF(עזר!L3877="","",INDEX(עזר!$A$2:$A$5001,עזר!L3877))</f>
        <v/>
      </c>
      <c r="B3877" s="13" t="str">
        <f aca="false">IF(עזר!L3877="","",INDEX(עזר!$B$2:$B$5001,עזר!L3877))</f>
        <v/>
      </c>
      <c r="C3877" s="13" t="str">
        <f aca="false">עזר!M3877</f>
        <v/>
      </c>
    </row>
    <row r="3878" customFormat="false" ht="15" hidden="false" customHeight="false" outlineLevel="0" collapsed="false">
      <c r="A3878" s="13" t="str">
        <f aca="false">IF(עזר!L3878="","",INDEX(עזר!$A$2:$A$5001,עזר!L3878))</f>
        <v/>
      </c>
      <c r="B3878" s="13" t="str">
        <f aca="false">IF(עזר!L3878="","",INDEX(עזר!$B$2:$B$5001,עזר!L3878))</f>
        <v/>
      </c>
      <c r="C3878" s="13" t="str">
        <f aca="false">עזר!M3878</f>
        <v/>
      </c>
    </row>
    <row r="3879" customFormat="false" ht="15" hidden="false" customHeight="false" outlineLevel="0" collapsed="false">
      <c r="A3879" s="13" t="str">
        <f aca="false">IF(עזר!L3879="","",INDEX(עזר!$A$2:$A$5001,עזר!L3879))</f>
        <v/>
      </c>
      <c r="B3879" s="13" t="str">
        <f aca="false">IF(עזר!L3879="","",INDEX(עזר!$B$2:$B$5001,עזר!L3879))</f>
        <v/>
      </c>
      <c r="C3879" s="13" t="str">
        <f aca="false">עזר!M3879</f>
        <v/>
      </c>
    </row>
    <row r="3880" customFormat="false" ht="15" hidden="false" customHeight="false" outlineLevel="0" collapsed="false">
      <c r="A3880" s="13" t="str">
        <f aca="false">IF(עזר!L3880="","",INDEX(עזר!$A$2:$A$5001,עזר!L3880))</f>
        <v/>
      </c>
      <c r="B3880" s="13" t="str">
        <f aca="false">IF(עזר!L3880="","",INDEX(עזר!$B$2:$B$5001,עזר!L3880))</f>
        <v/>
      </c>
      <c r="C3880" s="13" t="str">
        <f aca="false">עזר!M3880</f>
        <v/>
      </c>
    </row>
    <row r="3881" customFormat="false" ht="15" hidden="false" customHeight="false" outlineLevel="0" collapsed="false">
      <c r="A3881" s="13" t="str">
        <f aca="false">IF(עזר!L3881="","",INDEX(עזר!$A$2:$A$5001,עזר!L3881))</f>
        <v/>
      </c>
      <c r="B3881" s="13" t="str">
        <f aca="false">IF(עזר!L3881="","",INDEX(עזר!$B$2:$B$5001,עזר!L3881))</f>
        <v/>
      </c>
      <c r="C3881" s="13" t="str">
        <f aca="false">עזר!M3881</f>
        <v/>
      </c>
    </row>
    <row r="3882" customFormat="false" ht="15" hidden="false" customHeight="false" outlineLevel="0" collapsed="false">
      <c r="A3882" s="13" t="str">
        <f aca="false">IF(עזר!L3882="","",INDEX(עזר!$A$2:$A$5001,עזר!L3882))</f>
        <v/>
      </c>
      <c r="B3882" s="13" t="str">
        <f aca="false">IF(עזר!L3882="","",INDEX(עזר!$B$2:$B$5001,עזר!L3882))</f>
        <v/>
      </c>
      <c r="C3882" s="13" t="str">
        <f aca="false">עזר!M3882</f>
        <v/>
      </c>
    </row>
    <row r="3883" customFormat="false" ht="15" hidden="false" customHeight="false" outlineLevel="0" collapsed="false">
      <c r="A3883" s="13" t="str">
        <f aca="false">IF(עזר!L3883="","",INDEX(עזר!$A$2:$A$5001,עזר!L3883))</f>
        <v/>
      </c>
      <c r="B3883" s="13" t="str">
        <f aca="false">IF(עזר!L3883="","",INDEX(עזר!$B$2:$B$5001,עזר!L3883))</f>
        <v/>
      </c>
      <c r="C3883" s="13" t="str">
        <f aca="false">עזר!M3883</f>
        <v/>
      </c>
    </row>
    <row r="3884" customFormat="false" ht="15" hidden="false" customHeight="false" outlineLevel="0" collapsed="false">
      <c r="A3884" s="13" t="str">
        <f aca="false">IF(עזר!L3884="","",INDEX(עזר!$A$2:$A$5001,עזר!L3884))</f>
        <v/>
      </c>
      <c r="B3884" s="13" t="str">
        <f aca="false">IF(עזר!L3884="","",INDEX(עזר!$B$2:$B$5001,עזר!L3884))</f>
        <v/>
      </c>
      <c r="C3884" s="13" t="str">
        <f aca="false">עזר!M3884</f>
        <v/>
      </c>
    </row>
    <row r="3885" customFormat="false" ht="15" hidden="false" customHeight="false" outlineLevel="0" collapsed="false">
      <c r="A3885" s="13" t="str">
        <f aca="false">IF(עזר!L3885="","",INDEX(עזר!$A$2:$A$5001,עזר!L3885))</f>
        <v/>
      </c>
      <c r="B3885" s="13" t="str">
        <f aca="false">IF(עזר!L3885="","",INDEX(עזר!$B$2:$B$5001,עזר!L3885))</f>
        <v/>
      </c>
      <c r="C3885" s="13" t="str">
        <f aca="false">עזר!M3885</f>
        <v/>
      </c>
    </row>
    <row r="3886" customFormat="false" ht="15" hidden="false" customHeight="false" outlineLevel="0" collapsed="false">
      <c r="A3886" s="13" t="str">
        <f aca="false">IF(עזר!L3886="","",INDEX(עזר!$A$2:$A$5001,עזר!L3886))</f>
        <v/>
      </c>
      <c r="B3886" s="13" t="str">
        <f aca="false">IF(עזר!L3886="","",INDEX(עזר!$B$2:$B$5001,עזר!L3886))</f>
        <v/>
      </c>
      <c r="C3886" s="13" t="str">
        <f aca="false">עזר!M3886</f>
        <v/>
      </c>
    </row>
    <row r="3887" customFormat="false" ht="15" hidden="false" customHeight="false" outlineLevel="0" collapsed="false">
      <c r="A3887" s="13" t="str">
        <f aca="false">IF(עזר!L3887="","",INDEX(עזר!$A$2:$A$5001,עזר!L3887))</f>
        <v/>
      </c>
      <c r="B3887" s="13" t="str">
        <f aca="false">IF(עזר!L3887="","",INDEX(עזר!$B$2:$B$5001,עזר!L3887))</f>
        <v/>
      </c>
      <c r="C3887" s="13" t="str">
        <f aca="false">עזר!M3887</f>
        <v/>
      </c>
    </row>
    <row r="3888" customFormat="false" ht="15" hidden="false" customHeight="false" outlineLevel="0" collapsed="false">
      <c r="A3888" s="13" t="str">
        <f aca="false">IF(עזר!L3888="","",INDEX(עזר!$A$2:$A$5001,עזר!L3888))</f>
        <v/>
      </c>
      <c r="B3888" s="13" t="str">
        <f aca="false">IF(עזר!L3888="","",INDEX(עזר!$B$2:$B$5001,עזר!L3888))</f>
        <v/>
      </c>
      <c r="C3888" s="13" t="str">
        <f aca="false">עזר!M3888</f>
        <v/>
      </c>
    </row>
    <row r="3889" customFormat="false" ht="15" hidden="false" customHeight="false" outlineLevel="0" collapsed="false">
      <c r="A3889" s="13" t="str">
        <f aca="false">IF(עזר!L3889="","",INDEX(עזר!$A$2:$A$5001,עזר!L3889))</f>
        <v/>
      </c>
      <c r="B3889" s="13" t="str">
        <f aca="false">IF(עזר!L3889="","",INDEX(עזר!$B$2:$B$5001,עזר!L3889))</f>
        <v/>
      </c>
      <c r="C3889" s="13" t="str">
        <f aca="false">עזר!M3889</f>
        <v/>
      </c>
    </row>
    <row r="3890" customFormat="false" ht="15" hidden="false" customHeight="false" outlineLevel="0" collapsed="false">
      <c r="A3890" s="13" t="str">
        <f aca="false">IF(עזר!L3890="","",INDEX(עזר!$A$2:$A$5001,עזר!L3890))</f>
        <v/>
      </c>
      <c r="B3890" s="13" t="str">
        <f aca="false">IF(עזר!L3890="","",INDEX(עזר!$B$2:$B$5001,עזר!L3890))</f>
        <v/>
      </c>
      <c r="C3890" s="13" t="str">
        <f aca="false">עזר!M3890</f>
        <v/>
      </c>
    </row>
    <row r="3891" customFormat="false" ht="15" hidden="false" customHeight="false" outlineLevel="0" collapsed="false">
      <c r="A3891" s="13" t="str">
        <f aca="false">IF(עזר!L3891="","",INDEX(עזר!$A$2:$A$5001,עזר!L3891))</f>
        <v/>
      </c>
      <c r="B3891" s="13" t="str">
        <f aca="false">IF(עזר!L3891="","",INDEX(עזר!$B$2:$B$5001,עזר!L3891))</f>
        <v/>
      </c>
      <c r="C3891" s="13" t="str">
        <f aca="false">עזר!M3891</f>
        <v/>
      </c>
    </row>
    <row r="3892" customFormat="false" ht="15" hidden="false" customHeight="false" outlineLevel="0" collapsed="false">
      <c r="A3892" s="13" t="str">
        <f aca="false">IF(עזר!L3892="","",INDEX(עזר!$A$2:$A$5001,עזר!L3892))</f>
        <v/>
      </c>
      <c r="B3892" s="13" t="str">
        <f aca="false">IF(עזר!L3892="","",INDEX(עזר!$B$2:$B$5001,עזר!L3892))</f>
        <v/>
      </c>
      <c r="C3892" s="13" t="str">
        <f aca="false">עזר!M3892</f>
        <v/>
      </c>
    </row>
    <row r="3893" customFormat="false" ht="15" hidden="false" customHeight="false" outlineLevel="0" collapsed="false">
      <c r="A3893" s="13" t="str">
        <f aca="false">IF(עזר!L3893="","",INDEX(עזר!$A$2:$A$5001,עזר!L3893))</f>
        <v/>
      </c>
      <c r="B3893" s="13" t="str">
        <f aca="false">IF(עזר!L3893="","",INDEX(עזר!$B$2:$B$5001,עזר!L3893))</f>
        <v/>
      </c>
      <c r="C3893" s="13" t="str">
        <f aca="false">עזר!M3893</f>
        <v/>
      </c>
    </row>
    <row r="3894" customFormat="false" ht="15" hidden="false" customHeight="false" outlineLevel="0" collapsed="false">
      <c r="A3894" s="13" t="str">
        <f aca="false">IF(עזר!L3894="","",INDEX(עזר!$A$2:$A$5001,עזר!L3894))</f>
        <v/>
      </c>
      <c r="B3894" s="13" t="str">
        <f aca="false">IF(עזר!L3894="","",INDEX(עזר!$B$2:$B$5001,עזר!L3894))</f>
        <v/>
      </c>
      <c r="C3894" s="13" t="str">
        <f aca="false">עזר!M3894</f>
        <v/>
      </c>
    </row>
    <row r="3895" customFormat="false" ht="15" hidden="false" customHeight="false" outlineLevel="0" collapsed="false">
      <c r="A3895" s="13" t="str">
        <f aca="false">IF(עזר!L3895="","",INDEX(עזר!$A$2:$A$5001,עזר!L3895))</f>
        <v/>
      </c>
      <c r="B3895" s="13" t="str">
        <f aca="false">IF(עזר!L3895="","",INDEX(עזר!$B$2:$B$5001,עזר!L3895))</f>
        <v/>
      </c>
      <c r="C3895" s="13" t="str">
        <f aca="false">עזר!M3895</f>
        <v/>
      </c>
    </row>
    <row r="3896" customFormat="false" ht="15" hidden="false" customHeight="false" outlineLevel="0" collapsed="false">
      <c r="A3896" s="13" t="str">
        <f aca="false">IF(עזר!L3896="","",INDEX(עזר!$A$2:$A$5001,עזר!L3896))</f>
        <v/>
      </c>
      <c r="B3896" s="13" t="str">
        <f aca="false">IF(עזר!L3896="","",INDEX(עזר!$B$2:$B$5001,עזר!L3896))</f>
        <v/>
      </c>
      <c r="C3896" s="13" t="str">
        <f aca="false">עזר!M3896</f>
        <v/>
      </c>
    </row>
    <row r="3897" customFormat="false" ht="15" hidden="false" customHeight="false" outlineLevel="0" collapsed="false">
      <c r="A3897" s="13" t="str">
        <f aca="false">IF(עזר!L3897="","",INDEX(עזר!$A$2:$A$5001,עזר!L3897))</f>
        <v/>
      </c>
      <c r="B3897" s="13" t="str">
        <f aca="false">IF(עזר!L3897="","",INDEX(עזר!$B$2:$B$5001,עזר!L3897))</f>
        <v/>
      </c>
      <c r="C3897" s="13" t="str">
        <f aca="false">עזר!M3897</f>
        <v/>
      </c>
    </row>
    <row r="3898" customFormat="false" ht="15" hidden="false" customHeight="false" outlineLevel="0" collapsed="false">
      <c r="A3898" s="13" t="str">
        <f aca="false">IF(עזר!L3898="","",INDEX(עזר!$A$2:$A$5001,עזר!L3898))</f>
        <v/>
      </c>
      <c r="B3898" s="13" t="str">
        <f aca="false">IF(עזר!L3898="","",INDEX(עזר!$B$2:$B$5001,עזר!L3898))</f>
        <v/>
      </c>
      <c r="C3898" s="13" t="str">
        <f aca="false">עזר!M3898</f>
        <v/>
      </c>
    </row>
    <row r="3899" customFormat="false" ht="15" hidden="false" customHeight="false" outlineLevel="0" collapsed="false">
      <c r="A3899" s="13" t="str">
        <f aca="false">IF(עזר!L3899="","",INDEX(עזר!$A$2:$A$5001,עזר!L3899))</f>
        <v/>
      </c>
      <c r="B3899" s="13" t="str">
        <f aca="false">IF(עזר!L3899="","",INDEX(עזר!$B$2:$B$5001,עזר!L3899))</f>
        <v/>
      </c>
      <c r="C3899" s="13" t="str">
        <f aca="false">עזר!M3899</f>
        <v/>
      </c>
    </row>
    <row r="3900" customFormat="false" ht="15" hidden="false" customHeight="false" outlineLevel="0" collapsed="false">
      <c r="A3900" s="13" t="str">
        <f aca="false">IF(עזר!L3900="","",INDEX(עזר!$A$2:$A$5001,עזר!L3900))</f>
        <v/>
      </c>
      <c r="B3900" s="13" t="str">
        <f aca="false">IF(עזר!L3900="","",INDEX(עזר!$B$2:$B$5001,עזר!L3900))</f>
        <v/>
      </c>
      <c r="C3900" s="13" t="str">
        <f aca="false">עזר!M3900</f>
        <v/>
      </c>
    </row>
    <row r="3901" customFormat="false" ht="15" hidden="false" customHeight="false" outlineLevel="0" collapsed="false">
      <c r="A3901" s="13" t="str">
        <f aca="false">IF(עזר!L3901="","",INDEX(עזר!$A$2:$A$5001,עזר!L3901))</f>
        <v/>
      </c>
      <c r="B3901" s="13" t="str">
        <f aca="false">IF(עזר!L3901="","",INDEX(עזר!$B$2:$B$5001,עזר!L3901))</f>
        <v/>
      </c>
      <c r="C3901" s="13" t="str">
        <f aca="false">עזר!M3901</f>
        <v/>
      </c>
    </row>
    <row r="3902" customFormat="false" ht="15" hidden="false" customHeight="false" outlineLevel="0" collapsed="false">
      <c r="A3902" s="13" t="str">
        <f aca="false">IF(עזר!L3902="","",INDEX(עזר!$A$2:$A$5001,עזר!L3902))</f>
        <v/>
      </c>
      <c r="B3902" s="13" t="str">
        <f aca="false">IF(עזר!L3902="","",INDEX(עזר!$B$2:$B$5001,עזר!L3902))</f>
        <v/>
      </c>
      <c r="C3902" s="13" t="str">
        <f aca="false">עזר!M3902</f>
        <v/>
      </c>
    </row>
    <row r="3903" customFormat="false" ht="15" hidden="false" customHeight="false" outlineLevel="0" collapsed="false">
      <c r="A3903" s="13" t="str">
        <f aca="false">IF(עזר!L3903="","",INDEX(עזר!$A$2:$A$5001,עזר!L3903))</f>
        <v/>
      </c>
      <c r="B3903" s="13" t="str">
        <f aca="false">IF(עזר!L3903="","",INDEX(עזר!$B$2:$B$5001,עזר!L3903))</f>
        <v/>
      </c>
      <c r="C3903" s="13" t="str">
        <f aca="false">עזר!M3903</f>
        <v/>
      </c>
    </row>
    <row r="3904" customFormat="false" ht="15" hidden="false" customHeight="false" outlineLevel="0" collapsed="false">
      <c r="A3904" s="13" t="str">
        <f aca="false">IF(עזר!L3904="","",INDEX(עזר!$A$2:$A$5001,עזר!L3904))</f>
        <v/>
      </c>
      <c r="B3904" s="13" t="str">
        <f aca="false">IF(עזר!L3904="","",INDEX(עזר!$B$2:$B$5001,עזר!L3904))</f>
        <v/>
      </c>
      <c r="C3904" s="13" t="str">
        <f aca="false">עזר!M3904</f>
        <v/>
      </c>
    </row>
    <row r="3905" customFormat="false" ht="15" hidden="false" customHeight="false" outlineLevel="0" collapsed="false">
      <c r="A3905" s="13" t="str">
        <f aca="false">IF(עזר!L3905="","",INDEX(עזר!$A$2:$A$5001,עזר!L3905))</f>
        <v/>
      </c>
      <c r="B3905" s="13" t="str">
        <f aca="false">IF(עזר!L3905="","",INDEX(עזר!$B$2:$B$5001,עזר!L3905))</f>
        <v/>
      </c>
      <c r="C3905" s="13" t="str">
        <f aca="false">עזר!M3905</f>
        <v/>
      </c>
    </row>
    <row r="3906" customFormat="false" ht="15" hidden="false" customHeight="false" outlineLevel="0" collapsed="false">
      <c r="A3906" s="13" t="str">
        <f aca="false">IF(עזר!L3906="","",INDEX(עזר!$A$2:$A$5001,עזר!L3906))</f>
        <v/>
      </c>
      <c r="B3906" s="13" t="str">
        <f aca="false">IF(עזר!L3906="","",INDEX(עזר!$B$2:$B$5001,עזר!L3906))</f>
        <v/>
      </c>
      <c r="C3906" s="13" t="str">
        <f aca="false">עזר!M3906</f>
        <v/>
      </c>
    </row>
    <row r="3907" customFormat="false" ht="15" hidden="false" customHeight="false" outlineLevel="0" collapsed="false">
      <c r="A3907" s="13" t="str">
        <f aca="false">IF(עזר!L3907="","",INDEX(עזר!$A$2:$A$5001,עזר!L3907))</f>
        <v/>
      </c>
      <c r="B3907" s="13" t="str">
        <f aca="false">IF(עזר!L3907="","",INDEX(עזר!$B$2:$B$5001,עזר!L3907))</f>
        <v/>
      </c>
      <c r="C3907" s="13" t="str">
        <f aca="false">עזר!M3907</f>
        <v/>
      </c>
    </row>
    <row r="3908" customFormat="false" ht="15" hidden="false" customHeight="false" outlineLevel="0" collapsed="false">
      <c r="A3908" s="13" t="str">
        <f aca="false">IF(עזר!L3908="","",INDEX(עזר!$A$2:$A$5001,עזר!L3908))</f>
        <v/>
      </c>
      <c r="B3908" s="13" t="str">
        <f aca="false">IF(עזר!L3908="","",INDEX(עזר!$B$2:$B$5001,עזר!L3908))</f>
        <v/>
      </c>
      <c r="C3908" s="13" t="str">
        <f aca="false">עזר!M3908</f>
        <v/>
      </c>
    </row>
    <row r="3909" customFormat="false" ht="15" hidden="false" customHeight="false" outlineLevel="0" collapsed="false">
      <c r="A3909" s="13" t="str">
        <f aca="false">IF(עזר!L3909="","",INDEX(עזר!$A$2:$A$5001,עזר!L3909))</f>
        <v/>
      </c>
      <c r="B3909" s="13" t="str">
        <f aca="false">IF(עזר!L3909="","",INDEX(עזר!$B$2:$B$5001,עזר!L3909))</f>
        <v/>
      </c>
      <c r="C3909" s="13" t="str">
        <f aca="false">עזר!M3909</f>
        <v/>
      </c>
    </row>
    <row r="3910" customFormat="false" ht="15" hidden="false" customHeight="false" outlineLevel="0" collapsed="false">
      <c r="A3910" s="13" t="str">
        <f aca="false">IF(עזר!L3910="","",INDEX(עזר!$A$2:$A$5001,עזר!L3910))</f>
        <v/>
      </c>
      <c r="B3910" s="13" t="str">
        <f aca="false">IF(עזר!L3910="","",INDEX(עזר!$B$2:$B$5001,עזר!L3910))</f>
        <v/>
      </c>
      <c r="C3910" s="13" t="str">
        <f aca="false">עזר!M3910</f>
        <v/>
      </c>
    </row>
    <row r="3911" customFormat="false" ht="15" hidden="false" customHeight="false" outlineLevel="0" collapsed="false">
      <c r="A3911" s="13" t="str">
        <f aca="false">IF(עזר!L3911="","",INDEX(עזר!$A$2:$A$5001,עזר!L3911))</f>
        <v/>
      </c>
      <c r="B3911" s="13" t="str">
        <f aca="false">IF(עזר!L3911="","",INDEX(עזר!$B$2:$B$5001,עזר!L3911))</f>
        <v/>
      </c>
      <c r="C3911" s="13" t="str">
        <f aca="false">עזר!M3911</f>
        <v/>
      </c>
    </row>
    <row r="3912" customFormat="false" ht="15" hidden="false" customHeight="false" outlineLevel="0" collapsed="false">
      <c r="A3912" s="13" t="str">
        <f aca="false">IF(עזר!L3912="","",INDEX(עזר!$A$2:$A$5001,עזר!L3912))</f>
        <v/>
      </c>
      <c r="B3912" s="13" t="str">
        <f aca="false">IF(עזר!L3912="","",INDEX(עזר!$B$2:$B$5001,עזר!L3912))</f>
        <v/>
      </c>
      <c r="C3912" s="13" t="str">
        <f aca="false">עזר!M3912</f>
        <v/>
      </c>
    </row>
    <row r="3913" customFormat="false" ht="15" hidden="false" customHeight="false" outlineLevel="0" collapsed="false">
      <c r="A3913" s="13" t="str">
        <f aca="false">IF(עזר!L3913="","",INDEX(עזר!$A$2:$A$5001,עזר!L3913))</f>
        <v/>
      </c>
      <c r="B3913" s="13" t="str">
        <f aca="false">IF(עזר!L3913="","",INDEX(עזר!$B$2:$B$5001,עזר!L3913))</f>
        <v/>
      </c>
      <c r="C3913" s="13" t="str">
        <f aca="false">עזר!M3913</f>
        <v/>
      </c>
    </row>
    <row r="3914" customFormat="false" ht="15" hidden="false" customHeight="false" outlineLevel="0" collapsed="false">
      <c r="A3914" s="13" t="str">
        <f aca="false">IF(עזר!L3914="","",INDEX(עזר!$A$2:$A$5001,עזר!L3914))</f>
        <v/>
      </c>
      <c r="B3914" s="13" t="str">
        <f aca="false">IF(עזר!L3914="","",INDEX(עזר!$B$2:$B$5001,עזר!L3914))</f>
        <v/>
      </c>
      <c r="C3914" s="13" t="str">
        <f aca="false">עזר!M3914</f>
        <v/>
      </c>
    </row>
    <row r="3915" customFormat="false" ht="15" hidden="false" customHeight="false" outlineLevel="0" collapsed="false">
      <c r="A3915" s="13" t="str">
        <f aca="false">IF(עזר!L3915="","",INDEX(עזר!$A$2:$A$5001,עזר!L3915))</f>
        <v/>
      </c>
      <c r="B3915" s="13" t="str">
        <f aca="false">IF(עזר!L3915="","",INDEX(עזר!$B$2:$B$5001,עזר!L3915))</f>
        <v/>
      </c>
      <c r="C3915" s="13" t="str">
        <f aca="false">עזר!M3915</f>
        <v/>
      </c>
    </row>
    <row r="3916" customFormat="false" ht="15" hidden="false" customHeight="false" outlineLevel="0" collapsed="false">
      <c r="A3916" s="13" t="str">
        <f aca="false">IF(עזר!L3916="","",INDEX(עזר!$A$2:$A$5001,עזר!L3916))</f>
        <v/>
      </c>
      <c r="B3916" s="13" t="str">
        <f aca="false">IF(עזר!L3916="","",INDEX(עזר!$B$2:$B$5001,עזר!L3916))</f>
        <v/>
      </c>
      <c r="C3916" s="13" t="str">
        <f aca="false">עזר!M3916</f>
        <v/>
      </c>
    </row>
    <row r="3917" customFormat="false" ht="15" hidden="false" customHeight="false" outlineLevel="0" collapsed="false">
      <c r="A3917" s="13" t="str">
        <f aca="false">IF(עזר!L3917="","",INDEX(עזר!$A$2:$A$5001,עזר!L3917))</f>
        <v/>
      </c>
      <c r="B3917" s="13" t="str">
        <f aca="false">IF(עזר!L3917="","",INDEX(עזר!$B$2:$B$5001,עזר!L3917))</f>
        <v/>
      </c>
      <c r="C3917" s="13" t="str">
        <f aca="false">עזר!M3917</f>
        <v/>
      </c>
    </row>
    <row r="3918" customFormat="false" ht="15" hidden="false" customHeight="false" outlineLevel="0" collapsed="false">
      <c r="A3918" s="13" t="str">
        <f aca="false">IF(עזר!L3918="","",INDEX(עזר!$A$2:$A$5001,עזר!L3918))</f>
        <v/>
      </c>
      <c r="B3918" s="13" t="str">
        <f aca="false">IF(עזר!L3918="","",INDEX(עזר!$B$2:$B$5001,עזר!L3918))</f>
        <v/>
      </c>
      <c r="C3918" s="13" t="str">
        <f aca="false">עזר!M3918</f>
        <v/>
      </c>
    </row>
    <row r="3919" customFormat="false" ht="15" hidden="false" customHeight="false" outlineLevel="0" collapsed="false">
      <c r="A3919" s="13" t="str">
        <f aca="false">IF(עזר!L3919="","",INDEX(עזר!$A$2:$A$5001,עזר!L3919))</f>
        <v/>
      </c>
      <c r="B3919" s="13" t="str">
        <f aca="false">IF(עזר!L3919="","",INDEX(עזר!$B$2:$B$5001,עזר!L3919))</f>
        <v/>
      </c>
      <c r="C3919" s="13" t="str">
        <f aca="false">עזר!M3919</f>
        <v/>
      </c>
    </row>
    <row r="3920" customFormat="false" ht="15" hidden="false" customHeight="false" outlineLevel="0" collapsed="false">
      <c r="A3920" s="13" t="str">
        <f aca="false">IF(עזר!L3920="","",INDEX(עזר!$A$2:$A$5001,עזר!L3920))</f>
        <v/>
      </c>
      <c r="B3920" s="13" t="str">
        <f aca="false">IF(עזר!L3920="","",INDEX(עזר!$B$2:$B$5001,עזר!L3920))</f>
        <v/>
      </c>
      <c r="C3920" s="13" t="str">
        <f aca="false">עזר!M3920</f>
        <v/>
      </c>
    </row>
    <row r="3921" customFormat="false" ht="15" hidden="false" customHeight="false" outlineLevel="0" collapsed="false">
      <c r="A3921" s="13" t="str">
        <f aca="false">IF(עזר!L3921="","",INDEX(עזר!$A$2:$A$5001,עזר!L3921))</f>
        <v/>
      </c>
      <c r="B3921" s="13" t="str">
        <f aca="false">IF(עזר!L3921="","",INDEX(עזר!$B$2:$B$5001,עזר!L3921))</f>
        <v/>
      </c>
      <c r="C3921" s="13" t="str">
        <f aca="false">עזר!M3921</f>
        <v/>
      </c>
    </row>
    <row r="3922" customFormat="false" ht="15" hidden="false" customHeight="false" outlineLevel="0" collapsed="false">
      <c r="A3922" s="13" t="str">
        <f aca="false">IF(עזר!L3922="","",INDEX(עזר!$A$2:$A$5001,עזר!L3922))</f>
        <v/>
      </c>
      <c r="B3922" s="13" t="str">
        <f aca="false">IF(עזר!L3922="","",INDEX(עזר!$B$2:$B$5001,עזר!L3922))</f>
        <v/>
      </c>
      <c r="C3922" s="13" t="str">
        <f aca="false">עזר!M3922</f>
        <v/>
      </c>
    </row>
    <row r="3923" customFormat="false" ht="15" hidden="false" customHeight="false" outlineLevel="0" collapsed="false">
      <c r="A3923" s="13" t="str">
        <f aca="false">IF(עזר!L3923="","",INDEX(עזר!$A$2:$A$5001,עזר!L3923))</f>
        <v/>
      </c>
      <c r="B3923" s="13" t="str">
        <f aca="false">IF(עזר!L3923="","",INDEX(עזר!$B$2:$B$5001,עזר!L3923))</f>
        <v/>
      </c>
      <c r="C3923" s="13" t="str">
        <f aca="false">עזר!M3923</f>
        <v/>
      </c>
    </row>
    <row r="3924" customFormat="false" ht="15" hidden="false" customHeight="false" outlineLevel="0" collapsed="false">
      <c r="A3924" s="13" t="str">
        <f aca="false">IF(עזר!L3924="","",INDEX(עזר!$A$2:$A$5001,עזר!L3924))</f>
        <v/>
      </c>
      <c r="B3924" s="13" t="str">
        <f aca="false">IF(עזר!L3924="","",INDEX(עזר!$B$2:$B$5001,עזר!L3924))</f>
        <v/>
      </c>
      <c r="C3924" s="13" t="str">
        <f aca="false">עזר!M3924</f>
        <v/>
      </c>
    </row>
    <row r="3925" customFormat="false" ht="15" hidden="false" customHeight="false" outlineLevel="0" collapsed="false">
      <c r="A3925" s="13" t="str">
        <f aca="false">IF(עזר!L3925="","",INDEX(עזר!$A$2:$A$5001,עזר!L3925))</f>
        <v/>
      </c>
      <c r="B3925" s="13" t="str">
        <f aca="false">IF(עזר!L3925="","",INDEX(עזר!$B$2:$B$5001,עזר!L3925))</f>
        <v/>
      </c>
      <c r="C3925" s="13" t="str">
        <f aca="false">עזר!M3925</f>
        <v/>
      </c>
    </row>
    <row r="3926" customFormat="false" ht="15" hidden="false" customHeight="false" outlineLevel="0" collapsed="false">
      <c r="A3926" s="13" t="str">
        <f aca="false">IF(עזר!L3926="","",INDEX(עזר!$A$2:$A$5001,עזר!L3926))</f>
        <v/>
      </c>
      <c r="B3926" s="13" t="str">
        <f aca="false">IF(עזר!L3926="","",INDEX(עזר!$B$2:$B$5001,עזר!L3926))</f>
        <v/>
      </c>
      <c r="C3926" s="13" t="str">
        <f aca="false">עזר!M3926</f>
        <v/>
      </c>
    </row>
    <row r="3927" customFormat="false" ht="15" hidden="false" customHeight="false" outlineLevel="0" collapsed="false">
      <c r="A3927" s="13" t="str">
        <f aca="false">IF(עזר!L3927="","",INDEX(עזר!$A$2:$A$5001,עזר!L3927))</f>
        <v/>
      </c>
      <c r="B3927" s="13" t="str">
        <f aca="false">IF(עזר!L3927="","",INDEX(עזר!$B$2:$B$5001,עזר!L3927))</f>
        <v/>
      </c>
      <c r="C3927" s="13" t="str">
        <f aca="false">עזר!M3927</f>
        <v/>
      </c>
    </row>
    <row r="3928" customFormat="false" ht="15" hidden="false" customHeight="false" outlineLevel="0" collapsed="false">
      <c r="A3928" s="13" t="str">
        <f aca="false">IF(עזר!L3928="","",INDEX(עזר!$A$2:$A$5001,עזר!L3928))</f>
        <v/>
      </c>
      <c r="B3928" s="13" t="str">
        <f aca="false">IF(עזר!L3928="","",INDEX(עזר!$B$2:$B$5001,עזר!L3928))</f>
        <v/>
      </c>
      <c r="C3928" s="13" t="str">
        <f aca="false">עזר!M3928</f>
        <v/>
      </c>
    </row>
    <row r="3929" customFormat="false" ht="15" hidden="false" customHeight="false" outlineLevel="0" collapsed="false">
      <c r="A3929" s="13" t="str">
        <f aca="false">IF(עזר!L3929="","",INDEX(עזר!$A$2:$A$5001,עזר!L3929))</f>
        <v/>
      </c>
      <c r="B3929" s="13" t="str">
        <f aca="false">IF(עזר!L3929="","",INDEX(עזר!$B$2:$B$5001,עזר!L3929))</f>
        <v/>
      </c>
      <c r="C3929" s="13" t="str">
        <f aca="false">עזר!M3929</f>
        <v/>
      </c>
    </row>
    <row r="3930" customFormat="false" ht="15" hidden="false" customHeight="false" outlineLevel="0" collapsed="false">
      <c r="A3930" s="13" t="str">
        <f aca="false">IF(עזר!L3930="","",INDEX(עזר!$A$2:$A$5001,עזר!L3930))</f>
        <v/>
      </c>
      <c r="B3930" s="13" t="str">
        <f aca="false">IF(עזר!L3930="","",INDEX(עזר!$B$2:$B$5001,עזר!L3930))</f>
        <v/>
      </c>
      <c r="C3930" s="13" t="str">
        <f aca="false">עזר!M3930</f>
        <v/>
      </c>
    </row>
    <row r="3931" customFormat="false" ht="15" hidden="false" customHeight="false" outlineLevel="0" collapsed="false">
      <c r="A3931" s="13" t="str">
        <f aca="false">IF(עזר!L3931="","",INDEX(עזר!$A$2:$A$5001,עזר!L3931))</f>
        <v/>
      </c>
      <c r="B3931" s="13" t="str">
        <f aca="false">IF(עזר!L3931="","",INDEX(עזר!$B$2:$B$5001,עזר!L3931))</f>
        <v/>
      </c>
      <c r="C3931" s="13" t="str">
        <f aca="false">עזר!M3931</f>
        <v/>
      </c>
    </row>
    <row r="3932" customFormat="false" ht="15" hidden="false" customHeight="false" outlineLevel="0" collapsed="false">
      <c r="A3932" s="13" t="str">
        <f aca="false">IF(עזר!L3932="","",INDEX(עזר!$A$2:$A$5001,עזר!L3932))</f>
        <v/>
      </c>
      <c r="B3932" s="13" t="str">
        <f aca="false">IF(עזר!L3932="","",INDEX(עזר!$B$2:$B$5001,עזר!L3932))</f>
        <v/>
      </c>
      <c r="C3932" s="13" t="str">
        <f aca="false">עזר!M3932</f>
        <v/>
      </c>
    </row>
    <row r="3933" customFormat="false" ht="15" hidden="false" customHeight="false" outlineLevel="0" collapsed="false">
      <c r="A3933" s="13" t="str">
        <f aca="false">IF(עזר!L3933="","",INDEX(עזר!$A$2:$A$5001,עזר!L3933))</f>
        <v/>
      </c>
      <c r="B3933" s="13" t="str">
        <f aca="false">IF(עזר!L3933="","",INDEX(עזר!$B$2:$B$5001,עזר!L3933))</f>
        <v/>
      </c>
      <c r="C3933" s="13" t="str">
        <f aca="false">עזר!M3933</f>
        <v/>
      </c>
    </row>
    <row r="3934" customFormat="false" ht="15" hidden="false" customHeight="false" outlineLevel="0" collapsed="false">
      <c r="A3934" s="13" t="str">
        <f aca="false">IF(עזר!L3934="","",INDEX(עזר!$A$2:$A$5001,עזר!L3934))</f>
        <v/>
      </c>
      <c r="B3934" s="13" t="str">
        <f aca="false">IF(עזר!L3934="","",INDEX(עזר!$B$2:$B$5001,עזר!L3934))</f>
        <v/>
      </c>
      <c r="C3934" s="13" t="str">
        <f aca="false">עזר!M3934</f>
        <v/>
      </c>
    </row>
    <row r="3935" customFormat="false" ht="15" hidden="false" customHeight="false" outlineLevel="0" collapsed="false">
      <c r="A3935" s="13" t="str">
        <f aca="false">IF(עזר!L3935="","",INDEX(עזר!$A$2:$A$5001,עזר!L3935))</f>
        <v/>
      </c>
      <c r="B3935" s="13" t="str">
        <f aca="false">IF(עזר!L3935="","",INDEX(עזר!$B$2:$B$5001,עזר!L3935))</f>
        <v/>
      </c>
      <c r="C3935" s="13" t="str">
        <f aca="false">עזר!M3935</f>
        <v/>
      </c>
    </row>
    <row r="3936" customFormat="false" ht="15" hidden="false" customHeight="false" outlineLevel="0" collapsed="false">
      <c r="A3936" s="13" t="str">
        <f aca="false">IF(עזר!L3936="","",INDEX(עזר!$A$2:$A$5001,עזר!L3936))</f>
        <v/>
      </c>
      <c r="B3936" s="13" t="str">
        <f aca="false">IF(עזר!L3936="","",INDEX(עזר!$B$2:$B$5001,עזר!L3936))</f>
        <v/>
      </c>
      <c r="C3936" s="13" t="str">
        <f aca="false">עזר!M3936</f>
        <v/>
      </c>
    </row>
    <row r="3937" customFormat="false" ht="15" hidden="false" customHeight="false" outlineLevel="0" collapsed="false">
      <c r="A3937" s="13" t="str">
        <f aca="false">IF(עזר!L3937="","",INDEX(עזר!$A$2:$A$5001,עזר!L3937))</f>
        <v/>
      </c>
      <c r="B3937" s="13" t="str">
        <f aca="false">IF(עזר!L3937="","",INDEX(עזר!$B$2:$B$5001,עזר!L3937))</f>
        <v/>
      </c>
      <c r="C3937" s="13" t="str">
        <f aca="false">עזר!M3937</f>
        <v/>
      </c>
    </row>
    <row r="3938" customFormat="false" ht="15" hidden="false" customHeight="false" outlineLevel="0" collapsed="false">
      <c r="A3938" s="13" t="str">
        <f aca="false">IF(עזר!L3938="","",INDEX(עזר!$A$2:$A$5001,עזר!L3938))</f>
        <v/>
      </c>
      <c r="B3938" s="13" t="str">
        <f aca="false">IF(עזר!L3938="","",INDEX(עזר!$B$2:$B$5001,עזר!L3938))</f>
        <v/>
      </c>
      <c r="C3938" s="13" t="str">
        <f aca="false">עזר!M3938</f>
        <v/>
      </c>
    </row>
    <row r="3939" customFormat="false" ht="15" hidden="false" customHeight="false" outlineLevel="0" collapsed="false">
      <c r="A3939" s="13" t="str">
        <f aca="false">IF(עזר!L3939="","",INDEX(עזר!$A$2:$A$5001,עזר!L3939))</f>
        <v/>
      </c>
      <c r="B3939" s="13" t="str">
        <f aca="false">IF(עזר!L3939="","",INDEX(עזר!$B$2:$B$5001,עזר!L3939))</f>
        <v/>
      </c>
      <c r="C3939" s="13" t="str">
        <f aca="false">עזר!M3939</f>
        <v/>
      </c>
    </row>
    <row r="3940" customFormat="false" ht="15" hidden="false" customHeight="false" outlineLevel="0" collapsed="false">
      <c r="A3940" s="13" t="str">
        <f aca="false">IF(עזר!L3940="","",INDEX(עזר!$A$2:$A$5001,עזר!L3940))</f>
        <v/>
      </c>
      <c r="B3940" s="13" t="str">
        <f aca="false">IF(עזר!L3940="","",INDEX(עזר!$B$2:$B$5001,עזר!L3940))</f>
        <v/>
      </c>
      <c r="C3940" s="13" t="str">
        <f aca="false">עזר!M3940</f>
        <v/>
      </c>
    </row>
    <row r="3941" customFormat="false" ht="15" hidden="false" customHeight="false" outlineLevel="0" collapsed="false">
      <c r="A3941" s="13" t="str">
        <f aca="false">IF(עזר!L3941="","",INDEX(עזר!$A$2:$A$5001,עזר!L3941))</f>
        <v/>
      </c>
      <c r="B3941" s="13" t="str">
        <f aca="false">IF(עזר!L3941="","",INDEX(עזר!$B$2:$B$5001,עזר!L3941))</f>
        <v/>
      </c>
      <c r="C3941" s="13" t="str">
        <f aca="false">עזר!M3941</f>
        <v/>
      </c>
    </row>
    <row r="3942" customFormat="false" ht="15" hidden="false" customHeight="false" outlineLevel="0" collapsed="false">
      <c r="A3942" s="13" t="str">
        <f aca="false">IF(עזר!L3942="","",INDEX(עזר!$A$2:$A$5001,עזר!L3942))</f>
        <v/>
      </c>
      <c r="B3942" s="13" t="str">
        <f aca="false">IF(עזר!L3942="","",INDEX(עזר!$B$2:$B$5001,עזר!L3942))</f>
        <v/>
      </c>
      <c r="C3942" s="13" t="str">
        <f aca="false">עזר!M3942</f>
        <v/>
      </c>
    </row>
    <row r="3943" customFormat="false" ht="15" hidden="false" customHeight="false" outlineLevel="0" collapsed="false">
      <c r="A3943" s="13" t="str">
        <f aca="false">IF(עזר!L3943="","",INDEX(עזר!$A$2:$A$5001,עזר!L3943))</f>
        <v/>
      </c>
      <c r="B3943" s="13" t="str">
        <f aca="false">IF(עזר!L3943="","",INDEX(עזר!$B$2:$B$5001,עזר!L3943))</f>
        <v/>
      </c>
      <c r="C3943" s="13" t="str">
        <f aca="false">עזר!M3943</f>
        <v/>
      </c>
    </row>
    <row r="3944" customFormat="false" ht="15" hidden="false" customHeight="false" outlineLevel="0" collapsed="false">
      <c r="A3944" s="13" t="str">
        <f aca="false">IF(עזר!L3944="","",INDEX(עזר!$A$2:$A$5001,עזר!L3944))</f>
        <v/>
      </c>
      <c r="B3944" s="13" t="str">
        <f aca="false">IF(עזר!L3944="","",INDEX(עזר!$B$2:$B$5001,עזר!L3944))</f>
        <v/>
      </c>
      <c r="C3944" s="13" t="str">
        <f aca="false">עזר!M3944</f>
        <v/>
      </c>
    </row>
    <row r="3945" customFormat="false" ht="15" hidden="false" customHeight="false" outlineLevel="0" collapsed="false">
      <c r="A3945" s="13" t="str">
        <f aca="false">IF(עזר!L3945="","",INDEX(עזר!$A$2:$A$5001,עזר!L3945))</f>
        <v/>
      </c>
      <c r="B3945" s="13" t="str">
        <f aca="false">IF(עזר!L3945="","",INDEX(עזר!$B$2:$B$5001,עזר!L3945))</f>
        <v/>
      </c>
      <c r="C3945" s="13" t="str">
        <f aca="false">עזר!M3945</f>
        <v/>
      </c>
    </row>
    <row r="3946" customFormat="false" ht="15" hidden="false" customHeight="false" outlineLevel="0" collapsed="false">
      <c r="A3946" s="13" t="str">
        <f aca="false">IF(עזר!L3946="","",INDEX(עזר!$A$2:$A$5001,עזר!L3946))</f>
        <v/>
      </c>
      <c r="B3946" s="13" t="str">
        <f aca="false">IF(עזר!L3946="","",INDEX(עזר!$B$2:$B$5001,עזר!L3946))</f>
        <v/>
      </c>
      <c r="C3946" s="13" t="str">
        <f aca="false">עזר!M3946</f>
        <v/>
      </c>
    </row>
    <row r="3947" customFormat="false" ht="15" hidden="false" customHeight="false" outlineLevel="0" collapsed="false">
      <c r="A3947" s="13" t="str">
        <f aca="false">IF(עזר!L3947="","",INDEX(עזר!$A$2:$A$5001,עזר!L3947))</f>
        <v/>
      </c>
      <c r="B3947" s="13" t="str">
        <f aca="false">IF(עזר!L3947="","",INDEX(עזר!$B$2:$B$5001,עזר!L3947))</f>
        <v/>
      </c>
      <c r="C3947" s="13" t="str">
        <f aca="false">עזר!M3947</f>
        <v/>
      </c>
    </row>
    <row r="3948" customFormat="false" ht="15" hidden="false" customHeight="false" outlineLevel="0" collapsed="false">
      <c r="A3948" s="13" t="str">
        <f aca="false">IF(עזר!L3948="","",INDEX(עזר!$A$2:$A$5001,עזר!L3948))</f>
        <v/>
      </c>
      <c r="B3948" s="13" t="str">
        <f aca="false">IF(עזר!L3948="","",INDEX(עזר!$B$2:$B$5001,עזר!L3948))</f>
        <v/>
      </c>
      <c r="C3948" s="13" t="str">
        <f aca="false">עזר!M3948</f>
        <v/>
      </c>
    </row>
    <row r="3949" customFormat="false" ht="15" hidden="false" customHeight="false" outlineLevel="0" collapsed="false">
      <c r="A3949" s="13" t="str">
        <f aca="false">IF(עזר!L3949="","",INDEX(עזר!$A$2:$A$5001,עזר!L3949))</f>
        <v/>
      </c>
      <c r="B3949" s="13" t="str">
        <f aca="false">IF(עזר!L3949="","",INDEX(עזר!$B$2:$B$5001,עזר!L3949))</f>
        <v/>
      </c>
      <c r="C3949" s="13" t="str">
        <f aca="false">עזר!M3949</f>
        <v/>
      </c>
    </row>
    <row r="3950" customFormat="false" ht="15" hidden="false" customHeight="false" outlineLevel="0" collapsed="false">
      <c r="A3950" s="13" t="str">
        <f aca="false">IF(עזר!L3950="","",INDEX(עזר!$A$2:$A$5001,עזר!L3950))</f>
        <v/>
      </c>
      <c r="B3950" s="13" t="str">
        <f aca="false">IF(עזר!L3950="","",INDEX(עזר!$B$2:$B$5001,עזר!L3950))</f>
        <v/>
      </c>
      <c r="C3950" s="13" t="str">
        <f aca="false">עזר!M3950</f>
        <v/>
      </c>
    </row>
    <row r="3951" customFormat="false" ht="15" hidden="false" customHeight="false" outlineLevel="0" collapsed="false">
      <c r="A3951" s="13" t="str">
        <f aca="false">IF(עזר!L3951="","",INDEX(עזר!$A$2:$A$5001,עזר!L3951))</f>
        <v/>
      </c>
      <c r="B3951" s="13" t="str">
        <f aca="false">IF(עזר!L3951="","",INDEX(עזר!$B$2:$B$5001,עזר!L3951))</f>
        <v/>
      </c>
      <c r="C3951" s="13" t="str">
        <f aca="false">עזר!M3951</f>
        <v/>
      </c>
    </row>
    <row r="3952" customFormat="false" ht="15" hidden="false" customHeight="false" outlineLevel="0" collapsed="false">
      <c r="A3952" s="13" t="str">
        <f aca="false">IF(עזר!L3952="","",INDEX(עזר!$A$2:$A$5001,עזר!L3952))</f>
        <v/>
      </c>
      <c r="B3952" s="13" t="str">
        <f aca="false">IF(עזר!L3952="","",INDEX(עזר!$B$2:$B$5001,עזר!L3952))</f>
        <v/>
      </c>
      <c r="C3952" s="13" t="str">
        <f aca="false">עזר!M3952</f>
        <v/>
      </c>
    </row>
    <row r="3953" customFormat="false" ht="15" hidden="false" customHeight="false" outlineLevel="0" collapsed="false">
      <c r="A3953" s="13" t="str">
        <f aca="false">IF(עזר!L3953="","",INDEX(עזר!$A$2:$A$5001,עזר!L3953))</f>
        <v/>
      </c>
      <c r="B3953" s="13" t="str">
        <f aca="false">IF(עזר!L3953="","",INDEX(עזר!$B$2:$B$5001,עזר!L3953))</f>
        <v/>
      </c>
      <c r="C3953" s="13" t="str">
        <f aca="false">עזר!M3953</f>
        <v/>
      </c>
    </row>
    <row r="3954" customFormat="false" ht="15" hidden="false" customHeight="false" outlineLevel="0" collapsed="false">
      <c r="A3954" s="13" t="str">
        <f aca="false">IF(עזר!L3954="","",INDEX(עזר!$A$2:$A$5001,עזר!L3954))</f>
        <v/>
      </c>
      <c r="B3954" s="13" t="str">
        <f aca="false">IF(עזר!L3954="","",INDEX(עזר!$B$2:$B$5001,עזר!L3954))</f>
        <v/>
      </c>
      <c r="C3954" s="13" t="str">
        <f aca="false">עזר!M3954</f>
        <v/>
      </c>
    </row>
    <row r="3955" customFormat="false" ht="15" hidden="false" customHeight="false" outlineLevel="0" collapsed="false">
      <c r="A3955" s="13" t="str">
        <f aca="false">IF(עזר!L3955="","",INDEX(עזר!$A$2:$A$5001,עזר!L3955))</f>
        <v/>
      </c>
      <c r="B3955" s="13" t="str">
        <f aca="false">IF(עזר!L3955="","",INDEX(עזר!$B$2:$B$5001,עזר!L3955))</f>
        <v/>
      </c>
      <c r="C3955" s="13" t="str">
        <f aca="false">עזר!M3955</f>
        <v/>
      </c>
    </row>
    <row r="3956" customFormat="false" ht="15" hidden="false" customHeight="false" outlineLevel="0" collapsed="false">
      <c r="A3956" s="13" t="str">
        <f aca="false">IF(עזר!L3956="","",INDEX(עזר!$A$2:$A$5001,עזר!L3956))</f>
        <v/>
      </c>
      <c r="B3956" s="13" t="str">
        <f aca="false">IF(עזר!L3956="","",INDEX(עזר!$B$2:$B$5001,עזר!L3956))</f>
        <v/>
      </c>
      <c r="C3956" s="13" t="str">
        <f aca="false">עזר!M3956</f>
        <v/>
      </c>
    </row>
    <row r="3957" customFormat="false" ht="15" hidden="false" customHeight="false" outlineLevel="0" collapsed="false">
      <c r="A3957" s="13" t="str">
        <f aca="false">IF(עזר!L3957="","",INDEX(עזר!$A$2:$A$5001,עזר!L3957))</f>
        <v/>
      </c>
      <c r="B3957" s="13" t="str">
        <f aca="false">IF(עזר!L3957="","",INDEX(עזר!$B$2:$B$5001,עזר!L3957))</f>
        <v/>
      </c>
      <c r="C3957" s="13" t="str">
        <f aca="false">עזר!M3957</f>
        <v/>
      </c>
    </row>
    <row r="3958" customFormat="false" ht="15" hidden="false" customHeight="false" outlineLevel="0" collapsed="false">
      <c r="A3958" s="13" t="str">
        <f aca="false">IF(עזר!L3958="","",INDEX(עזר!$A$2:$A$5001,עזר!L3958))</f>
        <v/>
      </c>
      <c r="B3958" s="13" t="str">
        <f aca="false">IF(עזר!L3958="","",INDEX(עזר!$B$2:$B$5001,עזר!L3958))</f>
        <v/>
      </c>
      <c r="C3958" s="13" t="str">
        <f aca="false">עזר!M3958</f>
        <v/>
      </c>
    </row>
    <row r="3959" customFormat="false" ht="15" hidden="false" customHeight="false" outlineLevel="0" collapsed="false">
      <c r="A3959" s="13" t="str">
        <f aca="false">IF(עזר!L3959="","",INDEX(עזר!$A$2:$A$5001,עזר!L3959))</f>
        <v/>
      </c>
      <c r="B3959" s="13" t="str">
        <f aca="false">IF(עזר!L3959="","",INDEX(עזר!$B$2:$B$5001,עזר!L3959))</f>
        <v/>
      </c>
      <c r="C3959" s="13" t="str">
        <f aca="false">עזר!M3959</f>
        <v/>
      </c>
    </row>
    <row r="3960" customFormat="false" ht="15" hidden="false" customHeight="false" outlineLevel="0" collapsed="false">
      <c r="A3960" s="13" t="str">
        <f aca="false">IF(עזר!L3960="","",INDEX(עזר!$A$2:$A$5001,עזר!L3960))</f>
        <v/>
      </c>
      <c r="B3960" s="13" t="str">
        <f aca="false">IF(עזר!L3960="","",INDEX(עזר!$B$2:$B$5001,עזר!L3960))</f>
        <v/>
      </c>
      <c r="C3960" s="13" t="str">
        <f aca="false">עזר!M3960</f>
        <v/>
      </c>
    </row>
    <row r="3961" customFormat="false" ht="15" hidden="false" customHeight="false" outlineLevel="0" collapsed="false">
      <c r="A3961" s="13" t="str">
        <f aca="false">IF(עזר!L3961="","",INDEX(עזר!$A$2:$A$5001,עזר!L3961))</f>
        <v/>
      </c>
      <c r="B3961" s="13" t="str">
        <f aca="false">IF(עזר!L3961="","",INDEX(עזר!$B$2:$B$5001,עזר!L3961))</f>
        <v/>
      </c>
      <c r="C3961" s="13" t="str">
        <f aca="false">עזר!M3961</f>
        <v/>
      </c>
    </row>
    <row r="3962" customFormat="false" ht="15" hidden="false" customHeight="false" outlineLevel="0" collapsed="false">
      <c r="A3962" s="13" t="str">
        <f aca="false">IF(עזר!L3962="","",INDEX(עזר!$A$2:$A$5001,עזר!L3962))</f>
        <v/>
      </c>
      <c r="B3962" s="13" t="str">
        <f aca="false">IF(עזר!L3962="","",INDEX(עזר!$B$2:$B$5001,עזר!L3962))</f>
        <v/>
      </c>
      <c r="C3962" s="13" t="str">
        <f aca="false">עזר!M3962</f>
        <v/>
      </c>
    </row>
    <row r="3963" customFormat="false" ht="15" hidden="false" customHeight="false" outlineLevel="0" collapsed="false">
      <c r="A3963" s="13" t="str">
        <f aca="false">IF(עזר!L3963="","",INDEX(עזר!$A$2:$A$5001,עזר!L3963))</f>
        <v/>
      </c>
      <c r="B3963" s="13" t="str">
        <f aca="false">IF(עזר!L3963="","",INDEX(עזר!$B$2:$B$5001,עזר!L3963))</f>
        <v/>
      </c>
      <c r="C3963" s="13" t="str">
        <f aca="false">עזר!M3963</f>
        <v/>
      </c>
    </row>
    <row r="3964" customFormat="false" ht="15" hidden="false" customHeight="false" outlineLevel="0" collapsed="false">
      <c r="A3964" s="13" t="str">
        <f aca="false">IF(עזר!L3964="","",INDEX(עזר!$A$2:$A$5001,עזר!L3964))</f>
        <v/>
      </c>
      <c r="B3964" s="13" t="str">
        <f aca="false">IF(עזר!L3964="","",INDEX(עזר!$B$2:$B$5001,עזר!L3964))</f>
        <v/>
      </c>
      <c r="C3964" s="13" t="str">
        <f aca="false">עזר!M3964</f>
        <v/>
      </c>
    </row>
    <row r="3965" customFormat="false" ht="15" hidden="false" customHeight="false" outlineLevel="0" collapsed="false">
      <c r="A3965" s="13" t="str">
        <f aca="false">IF(עזר!L3965="","",INDEX(עזר!$A$2:$A$5001,עזר!L3965))</f>
        <v/>
      </c>
      <c r="B3965" s="13" t="str">
        <f aca="false">IF(עזר!L3965="","",INDEX(עזר!$B$2:$B$5001,עזר!L3965))</f>
        <v/>
      </c>
      <c r="C3965" s="13" t="str">
        <f aca="false">עזר!M3965</f>
        <v/>
      </c>
    </row>
    <row r="3966" customFormat="false" ht="15" hidden="false" customHeight="false" outlineLevel="0" collapsed="false">
      <c r="A3966" s="13" t="str">
        <f aca="false">IF(עזר!L3966="","",INDEX(עזר!$A$2:$A$5001,עזר!L3966))</f>
        <v/>
      </c>
      <c r="B3966" s="13" t="str">
        <f aca="false">IF(עזר!L3966="","",INDEX(עזר!$B$2:$B$5001,עזר!L3966))</f>
        <v/>
      </c>
      <c r="C3966" s="13" t="str">
        <f aca="false">עזר!M3966</f>
        <v/>
      </c>
    </row>
    <row r="3967" customFormat="false" ht="15" hidden="false" customHeight="false" outlineLevel="0" collapsed="false">
      <c r="A3967" s="13" t="str">
        <f aca="false">IF(עזר!L3967="","",INDEX(עזר!$A$2:$A$5001,עזר!L3967))</f>
        <v/>
      </c>
      <c r="B3967" s="13" t="str">
        <f aca="false">IF(עזר!L3967="","",INDEX(עזר!$B$2:$B$5001,עזר!L3967))</f>
        <v/>
      </c>
      <c r="C3967" s="13" t="str">
        <f aca="false">עזר!M3967</f>
        <v/>
      </c>
    </row>
    <row r="3968" customFormat="false" ht="15" hidden="false" customHeight="false" outlineLevel="0" collapsed="false">
      <c r="A3968" s="13" t="str">
        <f aca="false">IF(עזר!L3968="","",INDEX(עזר!$A$2:$A$5001,עזר!L3968))</f>
        <v/>
      </c>
      <c r="B3968" s="13" t="str">
        <f aca="false">IF(עזר!L3968="","",INDEX(עזר!$B$2:$B$5001,עזר!L3968))</f>
        <v/>
      </c>
      <c r="C3968" s="13" t="str">
        <f aca="false">עזר!M3968</f>
        <v/>
      </c>
    </row>
    <row r="3969" customFormat="false" ht="15" hidden="false" customHeight="false" outlineLevel="0" collapsed="false">
      <c r="A3969" s="13" t="str">
        <f aca="false">IF(עזר!L3969="","",INDEX(עזר!$A$2:$A$5001,עזר!L3969))</f>
        <v/>
      </c>
      <c r="B3969" s="13" t="str">
        <f aca="false">IF(עזר!L3969="","",INDEX(עזר!$B$2:$B$5001,עזר!L3969))</f>
        <v/>
      </c>
      <c r="C3969" s="13" t="str">
        <f aca="false">עזר!M3969</f>
        <v/>
      </c>
    </row>
    <row r="3970" customFormat="false" ht="15" hidden="false" customHeight="false" outlineLevel="0" collapsed="false">
      <c r="A3970" s="13" t="str">
        <f aca="false">IF(עזר!L3970="","",INDEX(עזר!$A$2:$A$5001,עזר!L3970))</f>
        <v/>
      </c>
      <c r="B3970" s="13" t="str">
        <f aca="false">IF(עזר!L3970="","",INDEX(עזר!$B$2:$B$5001,עזר!L3970))</f>
        <v/>
      </c>
      <c r="C3970" s="13" t="str">
        <f aca="false">עזר!M3970</f>
        <v/>
      </c>
    </row>
    <row r="3971" customFormat="false" ht="15" hidden="false" customHeight="false" outlineLevel="0" collapsed="false">
      <c r="A3971" s="13" t="str">
        <f aca="false">IF(עזר!L3971="","",INDEX(עזר!$A$2:$A$5001,עזר!L3971))</f>
        <v/>
      </c>
      <c r="B3971" s="13" t="str">
        <f aca="false">IF(עזר!L3971="","",INDEX(עזר!$B$2:$B$5001,עזר!L3971))</f>
        <v/>
      </c>
      <c r="C3971" s="13" t="str">
        <f aca="false">עזר!M3971</f>
        <v/>
      </c>
    </row>
    <row r="3972" customFormat="false" ht="15" hidden="false" customHeight="false" outlineLevel="0" collapsed="false">
      <c r="A3972" s="13" t="str">
        <f aca="false">IF(עזר!L3972="","",INDEX(עזר!$A$2:$A$5001,עזר!L3972))</f>
        <v/>
      </c>
      <c r="B3972" s="13" t="str">
        <f aca="false">IF(עזר!L3972="","",INDEX(עזר!$B$2:$B$5001,עזר!L3972))</f>
        <v/>
      </c>
      <c r="C3972" s="13" t="str">
        <f aca="false">עזר!M3972</f>
        <v/>
      </c>
    </row>
    <row r="3973" customFormat="false" ht="15" hidden="false" customHeight="false" outlineLevel="0" collapsed="false">
      <c r="A3973" s="13" t="str">
        <f aca="false">IF(עזר!L3973="","",INDEX(עזר!$A$2:$A$5001,עזר!L3973))</f>
        <v/>
      </c>
      <c r="B3973" s="13" t="str">
        <f aca="false">IF(עזר!L3973="","",INDEX(עזר!$B$2:$B$5001,עזר!L3973))</f>
        <v/>
      </c>
      <c r="C3973" s="13" t="str">
        <f aca="false">עזר!M3973</f>
        <v/>
      </c>
    </row>
    <row r="3974" customFormat="false" ht="15" hidden="false" customHeight="false" outlineLevel="0" collapsed="false">
      <c r="A3974" s="13" t="str">
        <f aca="false">IF(עזר!L3974="","",INDEX(עזר!$A$2:$A$5001,עזר!L3974))</f>
        <v/>
      </c>
      <c r="B3974" s="13" t="str">
        <f aca="false">IF(עזר!L3974="","",INDEX(עזר!$B$2:$B$5001,עזר!L3974))</f>
        <v/>
      </c>
      <c r="C3974" s="13" t="str">
        <f aca="false">עזר!M3974</f>
        <v/>
      </c>
    </row>
    <row r="3975" customFormat="false" ht="15" hidden="false" customHeight="false" outlineLevel="0" collapsed="false">
      <c r="A3975" s="13" t="str">
        <f aca="false">IF(עזר!L3975="","",INDEX(עזר!$A$2:$A$5001,עזר!L3975))</f>
        <v/>
      </c>
      <c r="B3975" s="13" t="str">
        <f aca="false">IF(עזר!L3975="","",INDEX(עזר!$B$2:$B$5001,עזר!L3975))</f>
        <v/>
      </c>
      <c r="C3975" s="13" t="str">
        <f aca="false">עזר!M3975</f>
        <v/>
      </c>
    </row>
    <row r="3976" customFormat="false" ht="15" hidden="false" customHeight="false" outlineLevel="0" collapsed="false">
      <c r="A3976" s="13" t="str">
        <f aca="false">IF(עזר!L3976="","",INDEX(עזר!$A$2:$A$5001,עזר!L3976))</f>
        <v/>
      </c>
      <c r="B3976" s="13" t="str">
        <f aca="false">IF(עזר!L3976="","",INDEX(עזר!$B$2:$B$5001,עזר!L3976))</f>
        <v/>
      </c>
      <c r="C3976" s="13" t="str">
        <f aca="false">עזר!M3976</f>
        <v/>
      </c>
    </row>
    <row r="3977" customFormat="false" ht="15" hidden="false" customHeight="false" outlineLevel="0" collapsed="false">
      <c r="A3977" s="13" t="str">
        <f aca="false">IF(עזר!L3977="","",INDEX(עזר!$A$2:$A$5001,עזר!L3977))</f>
        <v/>
      </c>
      <c r="B3977" s="13" t="str">
        <f aca="false">IF(עזר!L3977="","",INDEX(עזר!$B$2:$B$5001,עזר!L3977))</f>
        <v/>
      </c>
      <c r="C3977" s="13" t="str">
        <f aca="false">עזר!M3977</f>
        <v/>
      </c>
    </row>
    <row r="3978" customFormat="false" ht="15" hidden="false" customHeight="false" outlineLevel="0" collapsed="false">
      <c r="A3978" s="13" t="str">
        <f aca="false">IF(עזר!L3978="","",INDEX(עזר!$A$2:$A$5001,עזר!L3978))</f>
        <v/>
      </c>
      <c r="B3978" s="13" t="str">
        <f aca="false">IF(עזר!L3978="","",INDEX(עזר!$B$2:$B$5001,עזר!L3978))</f>
        <v/>
      </c>
      <c r="C3978" s="13" t="str">
        <f aca="false">עזר!M3978</f>
        <v/>
      </c>
    </row>
    <row r="3979" customFormat="false" ht="15" hidden="false" customHeight="false" outlineLevel="0" collapsed="false">
      <c r="A3979" s="13" t="str">
        <f aca="false">IF(עזר!L3979="","",INDEX(עזר!$A$2:$A$5001,עזר!L3979))</f>
        <v/>
      </c>
      <c r="B3979" s="13" t="str">
        <f aca="false">IF(עזר!L3979="","",INDEX(עזר!$B$2:$B$5001,עזר!L3979))</f>
        <v/>
      </c>
      <c r="C3979" s="13" t="str">
        <f aca="false">עזר!M3979</f>
        <v/>
      </c>
    </row>
    <row r="3980" customFormat="false" ht="15" hidden="false" customHeight="false" outlineLevel="0" collapsed="false">
      <c r="A3980" s="13" t="str">
        <f aca="false">IF(עזר!L3980="","",INDEX(עזר!$A$2:$A$5001,עזר!L3980))</f>
        <v/>
      </c>
      <c r="B3980" s="13" t="str">
        <f aca="false">IF(עזר!L3980="","",INDEX(עזר!$B$2:$B$5001,עזר!L3980))</f>
        <v/>
      </c>
      <c r="C3980" s="13" t="str">
        <f aca="false">עזר!M3980</f>
        <v/>
      </c>
    </row>
    <row r="3981" customFormat="false" ht="15" hidden="false" customHeight="false" outlineLevel="0" collapsed="false">
      <c r="A3981" s="13" t="str">
        <f aca="false">IF(עזר!L3981="","",INDEX(עזר!$A$2:$A$5001,עזר!L3981))</f>
        <v/>
      </c>
      <c r="B3981" s="13" t="str">
        <f aca="false">IF(עזר!L3981="","",INDEX(עזר!$B$2:$B$5001,עזר!L3981))</f>
        <v/>
      </c>
      <c r="C3981" s="13" t="str">
        <f aca="false">עזר!M3981</f>
        <v/>
      </c>
    </row>
    <row r="3982" customFormat="false" ht="15" hidden="false" customHeight="false" outlineLevel="0" collapsed="false">
      <c r="A3982" s="13" t="str">
        <f aca="false">IF(עזר!L3982="","",INDEX(עזר!$A$2:$A$5001,עזר!L3982))</f>
        <v/>
      </c>
      <c r="B3982" s="13" t="str">
        <f aca="false">IF(עזר!L3982="","",INDEX(עזר!$B$2:$B$5001,עזר!L3982))</f>
        <v/>
      </c>
      <c r="C3982" s="13" t="str">
        <f aca="false">עזר!M3982</f>
        <v/>
      </c>
    </row>
    <row r="3983" customFormat="false" ht="15" hidden="false" customHeight="false" outlineLevel="0" collapsed="false">
      <c r="A3983" s="13" t="str">
        <f aca="false">IF(עזר!L3983="","",INDEX(עזר!$A$2:$A$5001,עזר!L3983))</f>
        <v/>
      </c>
      <c r="B3983" s="13" t="str">
        <f aca="false">IF(עזר!L3983="","",INDEX(עזר!$B$2:$B$5001,עזר!L3983))</f>
        <v/>
      </c>
      <c r="C3983" s="13" t="str">
        <f aca="false">עזר!M3983</f>
        <v/>
      </c>
    </row>
    <row r="3984" customFormat="false" ht="15" hidden="false" customHeight="false" outlineLevel="0" collapsed="false">
      <c r="A3984" s="13" t="str">
        <f aca="false">IF(עזר!L3984="","",INDEX(עזר!$A$2:$A$5001,עזר!L3984))</f>
        <v/>
      </c>
      <c r="B3984" s="13" t="str">
        <f aca="false">IF(עזר!L3984="","",INDEX(עזר!$B$2:$B$5001,עזר!L3984))</f>
        <v/>
      </c>
      <c r="C3984" s="13" t="str">
        <f aca="false">עזר!M3984</f>
        <v/>
      </c>
    </row>
    <row r="3985" customFormat="false" ht="15" hidden="false" customHeight="false" outlineLevel="0" collapsed="false">
      <c r="A3985" s="13" t="str">
        <f aca="false">IF(עזר!L3985="","",INDEX(עזר!$A$2:$A$5001,עזר!L3985))</f>
        <v/>
      </c>
      <c r="B3985" s="13" t="str">
        <f aca="false">IF(עזר!L3985="","",INDEX(עזר!$B$2:$B$5001,עזר!L3985))</f>
        <v/>
      </c>
      <c r="C3985" s="13" t="str">
        <f aca="false">עזר!M3985</f>
        <v/>
      </c>
    </row>
    <row r="3986" customFormat="false" ht="15" hidden="false" customHeight="false" outlineLevel="0" collapsed="false">
      <c r="A3986" s="13" t="str">
        <f aca="false">IF(עזר!L3986="","",INDEX(עזר!$A$2:$A$5001,עזר!L3986))</f>
        <v/>
      </c>
      <c r="B3986" s="13" t="str">
        <f aca="false">IF(עזר!L3986="","",INDEX(עזר!$B$2:$B$5001,עזר!L3986))</f>
        <v/>
      </c>
      <c r="C3986" s="13" t="str">
        <f aca="false">עזר!M3986</f>
        <v/>
      </c>
    </row>
    <row r="3987" customFormat="false" ht="15" hidden="false" customHeight="false" outlineLevel="0" collapsed="false">
      <c r="A3987" s="13" t="str">
        <f aca="false">IF(עזר!L3987="","",INDEX(עזר!$A$2:$A$5001,עזר!L3987))</f>
        <v/>
      </c>
      <c r="B3987" s="13" t="str">
        <f aca="false">IF(עזר!L3987="","",INDEX(עזר!$B$2:$B$5001,עזר!L3987))</f>
        <v/>
      </c>
      <c r="C3987" s="13" t="str">
        <f aca="false">עזר!M3987</f>
        <v/>
      </c>
    </row>
    <row r="3988" customFormat="false" ht="15" hidden="false" customHeight="false" outlineLevel="0" collapsed="false">
      <c r="A3988" s="13" t="str">
        <f aca="false">IF(עזר!L3988="","",INDEX(עזר!$A$2:$A$5001,עזר!L3988))</f>
        <v/>
      </c>
      <c r="B3988" s="13" t="str">
        <f aca="false">IF(עזר!L3988="","",INDEX(עזר!$B$2:$B$5001,עזר!L3988))</f>
        <v/>
      </c>
      <c r="C3988" s="13" t="str">
        <f aca="false">עזר!M3988</f>
        <v/>
      </c>
    </row>
    <row r="3989" customFormat="false" ht="15" hidden="false" customHeight="false" outlineLevel="0" collapsed="false">
      <c r="A3989" s="13" t="str">
        <f aca="false">IF(עזר!L3989="","",INDEX(עזר!$A$2:$A$5001,עזר!L3989))</f>
        <v/>
      </c>
      <c r="B3989" s="13" t="str">
        <f aca="false">IF(עזר!L3989="","",INDEX(עזר!$B$2:$B$5001,עזר!L3989))</f>
        <v/>
      </c>
      <c r="C3989" s="13" t="str">
        <f aca="false">עזר!M3989</f>
        <v/>
      </c>
    </row>
    <row r="3990" customFormat="false" ht="15" hidden="false" customHeight="false" outlineLevel="0" collapsed="false">
      <c r="A3990" s="13" t="str">
        <f aca="false">IF(עזר!L3990="","",INDEX(עזר!$A$2:$A$5001,עזר!L3990))</f>
        <v/>
      </c>
      <c r="B3990" s="13" t="str">
        <f aca="false">IF(עזר!L3990="","",INDEX(עזר!$B$2:$B$5001,עזר!L3990))</f>
        <v/>
      </c>
      <c r="C3990" s="13" t="str">
        <f aca="false">עזר!M3990</f>
        <v/>
      </c>
    </row>
    <row r="3991" customFormat="false" ht="15" hidden="false" customHeight="false" outlineLevel="0" collapsed="false">
      <c r="A3991" s="13" t="str">
        <f aca="false">IF(עזר!L3991="","",INDEX(עזר!$A$2:$A$5001,עזר!L3991))</f>
        <v/>
      </c>
      <c r="B3991" s="13" t="str">
        <f aca="false">IF(עזר!L3991="","",INDEX(עזר!$B$2:$B$5001,עזר!L3991))</f>
        <v/>
      </c>
      <c r="C3991" s="13" t="str">
        <f aca="false">עזר!M3991</f>
        <v/>
      </c>
    </row>
    <row r="3992" customFormat="false" ht="15" hidden="false" customHeight="false" outlineLevel="0" collapsed="false">
      <c r="A3992" s="13" t="str">
        <f aca="false">IF(עזר!L3992="","",INDEX(עזר!$A$2:$A$5001,עזר!L3992))</f>
        <v/>
      </c>
      <c r="B3992" s="13" t="str">
        <f aca="false">IF(עזר!L3992="","",INDEX(עזר!$B$2:$B$5001,עזר!L3992))</f>
        <v/>
      </c>
      <c r="C3992" s="13" t="str">
        <f aca="false">עזר!M3992</f>
        <v/>
      </c>
    </row>
    <row r="3993" customFormat="false" ht="15" hidden="false" customHeight="false" outlineLevel="0" collapsed="false">
      <c r="A3993" s="13" t="str">
        <f aca="false">IF(עזר!L3993="","",INDEX(עזר!$A$2:$A$5001,עזר!L3993))</f>
        <v/>
      </c>
      <c r="B3993" s="13" t="str">
        <f aca="false">IF(עזר!L3993="","",INDEX(עזר!$B$2:$B$5001,עזר!L3993))</f>
        <v/>
      </c>
      <c r="C3993" s="13" t="str">
        <f aca="false">עזר!M3993</f>
        <v/>
      </c>
    </row>
    <row r="3994" customFormat="false" ht="15" hidden="false" customHeight="false" outlineLevel="0" collapsed="false">
      <c r="A3994" s="13" t="str">
        <f aca="false">IF(עזר!L3994="","",INDEX(עזר!$A$2:$A$5001,עזר!L3994))</f>
        <v/>
      </c>
      <c r="B3994" s="13" t="str">
        <f aca="false">IF(עזר!L3994="","",INDEX(עזר!$B$2:$B$5001,עזר!L3994))</f>
        <v/>
      </c>
      <c r="C3994" s="13" t="str">
        <f aca="false">עזר!M3994</f>
        <v/>
      </c>
    </row>
    <row r="3995" customFormat="false" ht="15" hidden="false" customHeight="false" outlineLevel="0" collapsed="false">
      <c r="A3995" s="13" t="str">
        <f aca="false">IF(עזר!L3995="","",INDEX(עזר!$A$2:$A$5001,עזר!L3995))</f>
        <v/>
      </c>
      <c r="B3995" s="13" t="str">
        <f aca="false">IF(עזר!L3995="","",INDEX(עזר!$B$2:$B$5001,עזר!L3995))</f>
        <v/>
      </c>
      <c r="C3995" s="13" t="str">
        <f aca="false">עזר!M3995</f>
        <v/>
      </c>
    </row>
    <row r="3996" customFormat="false" ht="15" hidden="false" customHeight="false" outlineLevel="0" collapsed="false">
      <c r="A3996" s="13" t="str">
        <f aca="false">IF(עזר!L3996="","",INDEX(עזר!$A$2:$A$5001,עזר!L3996))</f>
        <v/>
      </c>
      <c r="B3996" s="13" t="str">
        <f aca="false">IF(עזר!L3996="","",INDEX(עזר!$B$2:$B$5001,עזר!L3996))</f>
        <v/>
      </c>
      <c r="C3996" s="13" t="str">
        <f aca="false">עזר!M3996</f>
        <v/>
      </c>
    </row>
    <row r="3997" customFormat="false" ht="15" hidden="false" customHeight="false" outlineLevel="0" collapsed="false">
      <c r="A3997" s="13" t="str">
        <f aca="false">IF(עזר!L3997="","",INDEX(עזר!$A$2:$A$5001,עזר!L3997))</f>
        <v/>
      </c>
      <c r="B3997" s="13" t="str">
        <f aca="false">IF(עזר!L3997="","",INDEX(עזר!$B$2:$B$5001,עזר!L3997))</f>
        <v/>
      </c>
      <c r="C3997" s="13" t="str">
        <f aca="false">עזר!M3997</f>
        <v/>
      </c>
    </row>
    <row r="3998" customFormat="false" ht="15" hidden="false" customHeight="false" outlineLevel="0" collapsed="false">
      <c r="A3998" s="13" t="str">
        <f aca="false">IF(עזר!L3998="","",INDEX(עזר!$A$2:$A$5001,עזר!L3998))</f>
        <v/>
      </c>
      <c r="B3998" s="13" t="str">
        <f aca="false">IF(עזר!L3998="","",INDEX(עזר!$B$2:$B$5001,עזר!L3998))</f>
        <v/>
      </c>
      <c r="C3998" s="13" t="str">
        <f aca="false">עזר!M3998</f>
        <v/>
      </c>
    </row>
    <row r="3999" customFormat="false" ht="15" hidden="false" customHeight="false" outlineLevel="0" collapsed="false">
      <c r="A3999" s="13" t="str">
        <f aca="false">IF(עזר!L3999="","",INDEX(עזר!$A$2:$A$5001,עזר!L3999))</f>
        <v/>
      </c>
      <c r="B3999" s="13" t="str">
        <f aca="false">IF(עזר!L3999="","",INDEX(עזר!$B$2:$B$5001,עזר!L3999))</f>
        <v/>
      </c>
      <c r="C3999" s="13" t="str">
        <f aca="false">עזר!M3999</f>
        <v/>
      </c>
    </row>
    <row r="4000" customFormat="false" ht="15" hidden="false" customHeight="false" outlineLevel="0" collapsed="false">
      <c r="A4000" s="13" t="str">
        <f aca="false">IF(עזר!L4000="","",INDEX(עזר!$A$2:$A$5001,עזר!L4000))</f>
        <v/>
      </c>
      <c r="B4000" s="13" t="str">
        <f aca="false">IF(עזר!L4000="","",INDEX(עזר!$B$2:$B$5001,עזר!L4000))</f>
        <v/>
      </c>
      <c r="C4000" s="13" t="str">
        <f aca="false">עזר!M4000</f>
        <v/>
      </c>
    </row>
    <row r="4001" customFormat="false" ht="15" hidden="false" customHeight="false" outlineLevel="0" collapsed="false">
      <c r="A4001" s="13" t="str">
        <f aca="false">IF(עזר!L4001="","",INDEX(עזר!$A$2:$A$5001,עזר!L4001))</f>
        <v/>
      </c>
      <c r="B4001" s="13" t="str">
        <f aca="false">IF(עזר!L4001="","",INDEX(עזר!$B$2:$B$5001,עזר!L4001))</f>
        <v/>
      </c>
      <c r="C4001" s="13" t="str">
        <f aca="false">עזר!M4001</f>
        <v/>
      </c>
    </row>
    <row r="4002" customFormat="false" ht="15" hidden="false" customHeight="false" outlineLevel="0" collapsed="false">
      <c r="A4002" s="13" t="str">
        <f aca="false">IF(עזר!L4002="","",INDEX(עזר!$A$2:$A$5001,עזר!L4002))</f>
        <v/>
      </c>
      <c r="B4002" s="13" t="str">
        <f aca="false">IF(עזר!L4002="","",INDEX(עזר!$B$2:$B$5001,עזר!L4002))</f>
        <v/>
      </c>
      <c r="C4002" s="13" t="str">
        <f aca="false">עזר!M4002</f>
        <v/>
      </c>
    </row>
    <row r="4003" customFormat="false" ht="15" hidden="false" customHeight="false" outlineLevel="0" collapsed="false">
      <c r="A4003" s="13" t="str">
        <f aca="false">IF(עזר!L4003="","",INDEX(עזר!$A$2:$A$5001,עזר!L4003))</f>
        <v/>
      </c>
      <c r="B4003" s="13" t="str">
        <f aca="false">IF(עזר!L4003="","",INDEX(עזר!$B$2:$B$5001,עזר!L4003))</f>
        <v/>
      </c>
      <c r="C4003" s="13" t="str">
        <f aca="false">עזר!M4003</f>
        <v/>
      </c>
    </row>
    <row r="4004" customFormat="false" ht="15" hidden="false" customHeight="false" outlineLevel="0" collapsed="false">
      <c r="A4004" s="13" t="str">
        <f aca="false">IF(עזר!L4004="","",INDEX(עזר!$A$2:$A$5001,עזר!L4004))</f>
        <v/>
      </c>
      <c r="B4004" s="13" t="str">
        <f aca="false">IF(עזר!L4004="","",INDEX(עזר!$B$2:$B$5001,עזר!L4004))</f>
        <v/>
      </c>
      <c r="C4004" s="13" t="str">
        <f aca="false">עזר!M4004</f>
        <v/>
      </c>
    </row>
    <row r="4005" customFormat="false" ht="15" hidden="false" customHeight="false" outlineLevel="0" collapsed="false">
      <c r="A4005" s="13" t="str">
        <f aca="false">IF(עזר!L4005="","",INDEX(עזר!$A$2:$A$5001,עזר!L4005))</f>
        <v/>
      </c>
      <c r="B4005" s="13" t="str">
        <f aca="false">IF(עזר!L4005="","",INDEX(עזר!$B$2:$B$5001,עזר!L4005))</f>
        <v/>
      </c>
      <c r="C4005" s="13" t="str">
        <f aca="false">עזר!M4005</f>
        <v/>
      </c>
    </row>
    <row r="4006" customFormat="false" ht="15" hidden="false" customHeight="false" outlineLevel="0" collapsed="false">
      <c r="A4006" s="13" t="str">
        <f aca="false">IF(עזר!L4006="","",INDEX(עזר!$A$2:$A$5001,עזר!L4006))</f>
        <v/>
      </c>
      <c r="B4006" s="13" t="str">
        <f aca="false">IF(עזר!L4006="","",INDEX(עזר!$B$2:$B$5001,עזר!L4006))</f>
        <v/>
      </c>
      <c r="C4006" s="13" t="str">
        <f aca="false">עזר!M4006</f>
        <v/>
      </c>
    </row>
    <row r="4007" customFormat="false" ht="15" hidden="false" customHeight="false" outlineLevel="0" collapsed="false">
      <c r="A4007" s="13" t="str">
        <f aca="false">IF(עזר!L4007="","",INDEX(עזר!$A$2:$A$5001,עזר!L4007))</f>
        <v/>
      </c>
      <c r="B4007" s="13" t="str">
        <f aca="false">IF(עזר!L4007="","",INDEX(עזר!$B$2:$B$5001,עזר!L4007))</f>
        <v/>
      </c>
      <c r="C4007" s="13" t="str">
        <f aca="false">עזר!M4007</f>
        <v/>
      </c>
    </row>
    <row r="4008" customFormat="false" ht="15" hidden="false" customHeight="false" outlineLevel="0" collapsed="false">
      <c r="A4008" s="13" t="str">
        <f aca="false">IF(עזר!L4008="","",INDEX(עזר!$A$2:$A$5001,עזר!L4008))</f>
        <v/>
      </c>
      <c r="B4008" s="13" t="str">
        <f aca="false">IF(עזר!L4008="","",INDEX(עזר!$B$2:$B$5001,עזר!L4008))</f>
        <v/>
      </c>
      <c r="C4008" s="13" t="str">
        <f aca="false">עזר!M4008</f>
        <v/>
      </c>
    </row>
    <row r="4009" customFormat="false" ht="15" hidden="false" customHeight="false" outlineLevel="0" collapsed="false">
      <c r="A4009" s="13" t="str">
        <f aca="false">IF(עזר!L4009="","",INDEX(עזר!$A$2:$A$5001,עזר!L4009))</f>
        <v/>
      </c>
      <c r="B4009" s="13" t="str">
        <f aca="false">IF(עזר!L4009="","",INDEX(עזר!$B$2:$B$5001,עזר!L4009))</f>
        <v/>
      </c>
      <c r="C4009" s="13" t="str">
        <f aca="false">עזר!M4009</f>
        <v/>
      </c>
    </row>
    <row r="4010" customFormat="false" ht="15" hidden="false" customHeight="false" outlineLevel="0" collapsed="false">
      <c r="A4010" s="13" t="str">
        <f aca="false">IF(עזר!L4010="","",INDEX(עזר!$A$2:$A$5001,עזר!L4010))</f>
        <v/>
      </c>
      <c r="B4010" s="13" t="str">
        <f aca="false">IF(עזר!L4010="","",INDEX(עזר!$B$2:$B$5001,עזר!L4010))</f>
        <v/>
      </c>
      <c r="C4010" s="13" t="str">
        <f aca="false">עזר!M4010</f>
        <v/>
      </c>
    </row>
    <row r="4011" customFormat="false" ht="15" hidden="false" customHeight="false" outlineLevel="0" collapsed="false">
      <c r="A4011" s="13" t="str">
        <f aca="false">IF(עזר!L4011="","",INDEX(עזר!$A$2:$A$5001,עזר!L4011))</f>
        <v/>
      </c>
      <c r="B4011" s="13" t="str">
        <f aca="false">IF(עזר!L4011="","",INDEX(עזר!$B$2:$B$5001,עזר!L4011))</f>
        <v/>
      </c>
      <c r="C4011" s="13" t="str">
        <f aca="false">עזר!M4011</f>
        <v/>
      </c>
    </row>
    <row r="4012" customFormat="false" ht="15" hidden="false" customHeight="false" outlineLevel="0" collapsed="false">
      <c r="A4012" s="13" t="str">
        <f aca="false">IF(עזר!L4012="","",INDEX(עזר!$A$2:$A$5001,עזר!L4012))</f>
        <v/>
      </c>
      <c r="B4012" s="13" t="str">
        <f aca="false">IF(עזר!L4012="","",INDEX(עזר!$B$2:$B$5001,עזר!L4012))</f>
        <v/>
      </c>
      <c r="C4012" s="13" t="str">
        <f aca="false">עזר!M4012</f>
        <v/>
      </c>
    </row>
    <row r="4013" customFormat="false" ht="15" hidden="false" customHeight="false" outlineLevel="0" collapsed="false">
      <c r="A4013" s="13" t="str">
        <f aca="false">IF(עזר!L4013="","",INDEX(עזר!$A$2:$A$5001,עזר!L4013))</f>
        <v/>
      </c>
      <c r="B4013" s="13" t="str">
        <f aca="false">IF(עזר!L4013="","",INDEX(עזר!$B$2:$B$5001,עזר!L4013))</f>
        <v/>
      </c>
      <c r="C4013" s="13" t="str">
        <f aca="false">עזר!M4013</f>
        <v/>
      </c>
    </row>
    <row r="4014" customFormat="false" ht="15" hidden="false" customHeight="false" outlineLevel="0" collapsed="false">
      <c r="A4014" s="13" t="str">
        <f aca="false">IF(עזר!L4014="","",INDEX(עזר!$A$2:$A$5001,עזר!L4014))</f>
        <v/>
      </c>
      <c r="B4014" s="13" t="str">
        <f aca="false">IF(עזר!L4014="","",INDEX(עזר!$B$2:$B$5001,עזר!L4014))</f>
        <v/>
      </c>
      <c r="C4014" s="13" t="str">
        <f aca="false">עזר!M4014</f>
        <v/>
      </c>
    </row>
    <row r="4015" customFormat="false" ht="15" hidden="false" customHeight="false" outlineLevel="0" collapsed="false">
      <c r="A4015" s="13" t="str">
        <f aca="false">IF(עזר!L4015="","",INDEX(עזר!$A$2:$A$5001,עזר!L4015))</f>
        <v/>
      </c>
      <c r="B4015" s="13" t="str">
        <f aca="false">IF(עזר!L4015="","",INDEX(עזר!$B$2:$B$5001,עזר!L4015))</f>
        <v/>
      </c>
      <c r="C4015" s="13" t="str">
        <f aca="false">עזר!M4015</f>
        <v/>
      </c>
    </row>
    <row r="4016" customFormat="false" ht="15" hidden="false" customHeight="false" outlineLevel="0" collapsed="false">
      <c r="A4016" s="13" t="str">
        <f aca="false">IF(עזר!L4016="","",INDEX(עזר!$A$2:$A$5001,עזר!L4016))</f>
        <v/>
      </c>
      <c r="B4016" s="13" t="str">
        <f aca="false">IF(עזר!L4016="","",INDEX(עזר!$B$2:$B$5001,עזר!L4016))</f>
        <v/>
      </c>
      <c r="C4016" s="13" t="str">
        <f aca="false">עזר!M4016</f>
        <v/>
      </c>
    </row>
    <row r="4017" customFormat="false" ht="15" hidden="false" customHeight="false" outlineLevel="0" collapsed="false">
      <c r="A4017" s="13" t="str">
        <f aca="false">IF(עזר!L4017="","",INDEX(עזר!$A$2:$A$5001,עזר!L4017))</f>
        <v/>
      </c>
      <c r="B4017" s="13" t="str">
        <f aca="false">IF(עזר!L4017="","",INDEX(עזר!$B$2:$B$5001,עזר!L4017))</f>
        <v/>
      </c>
      <c r="C4017" s="13" t="str">
        <f aca="false">עזר!M4017</f>
        <v/>
      </c>
    </row>
    <row r="4018" customFormat="false" ht="15" hidden="false" customHeight="false" outlineLevel="0" collapsed="false">
      <c r="A4018" s="13" t="str">
        <f aca="false">IF(עזר!L4018="","",INDEX(עזר!$A$2:$A$5001,עזר!L4018))</f>
        <v/>
      </c>
      <c r="B4018" s="13" t="str">
        <f aca="false">IF(עזר!L4018="","",INDEX(עזר!$B$2:$B$5001,עזר!L4018))</f>
        <v/>
      </c>
      <c r="C4018" s="13" t="str">
        <f aca="false">עזר!M4018</f>
        <v/>
      </c>
    </row>
    <row r="4019" customFormat="false" ht="15" hidden="false" customHeight="false" outlineLevel="0" collapsed="false">
      <c r="A4019" s="13" t="str">
        <f aca="false">IF(עזר!L4019="","",INDEX(עזר!$A$2:$A$5001,עזר!L4019))</f>
        <v/>
      </c>
      <c r="B4019" s="13" t="str">
        <f aca="false">IF(עזר!L4019="","",INDEX(עזר!$B$2:$B$5001,עזר!L4019))</f>
        <v/>
      </c>
      <c r="C4019" s="13" t="str">
        <f aca="false">עזר!M4019</f>
        <v/>
      </c>
    </row>
    <row r="4020" customFormat="false" ht="15" hidden="false" customHeight="false" outlineLevel="0" collapsed="false">
      <c r="A4020" s="13" t="str">
        <f aca="false">IF(עזר!L4020="","",INDEX(עזר!$A$2:$A$5001,עזר!L4020))</f>
        <v/>
      </c>
      <c r="B4020" s="13" t="str">
        <f aca="false">IF(עזר!L4020="","",INDEX(עזר!$B$2:$B$5001,עזר!L4020))</f>
        <v/>
      </c>
      <c r="C4020" s="13" t="str">
        <f aca="false">עזר!M4020</f>
        <v/>
      </c>
    </row>
    <row r="4021" customFormat="false" ht="15" hidden="false" customHeight="false" outlineLevel="0" collapsed="false">
      <c r="A4021" s="13" t="str">
        <f aca="false">IF(עזר!L4021="","",INDEX(עזר!$A$2:$A$5001,עזר!L4021))</f>
        <v/>
      </c>
      <c r="B4021" s="13" t="str">
        <f aca="false">IF(עזר!L4021="","",INDEX(עזר!$B$2:$B$5001,עזר!L4021))</f>
        <v/>
      </c>
      <c r="C4021" s="13" t="str">
        <f aca="false">עזר!M4021</f>
        <v/>
      </c>
    </row>
    <row r="4022" customFormat="false" ht="15" hidden="false" customHeight="false" outlineLevel="0" collapsed="false">
      <c r="A4022" s="13" t="str">
        <f aca="false">IF(עזר!L4022="","",INDEX(עזר!$A$2:$A$5001,עזר!L4022))</f>
        <v/>
      </c>
      <c r="B4022" s="13" t="str">
        <f aca="false">IF(עזר!L4022="","",INDEX(עזר!$B$2:$B$5001,עזר!L4022))</f>
        <v/>
      </c>
      <c r="C4022" s="13" t="str">
        <f aca="false">עזר!M4022</f>
        <v/>
      </c>
    </row>
    <row r="4023" customFormat="false" ht="15" hidden="false" customHeight="false" outlineLevel="0" collapsed="false">
      <c r="A4023" s="13" t="str">
        <f aca="false">IF(עזר!L4023="","",INDEX(עזר!$A$2:$A$5001,עזר!L4023))</f>
        <v/>
      </c>
      <c r="B4023" s="13" t="str">
        <f aca="false">IF(עזר!L4023="","",INDEX(עזר!$B$2:$B$5001,עזר!L4023))</f>
        <v/>
      </c>
      <c r="C4023" s="13" t="str">
        <f aca="false">עזר!M4023</f>
        <v/>
      </c>
    </row>
    <row r="4024" customFormat="false" ht="15" hidden="false" customHeight="false" outlineLevel="0" collapsed="false">
      <c r="A4024" s="13" t="str">
        <f aca="false">IF(עזר!L4024="","",INDEX(עזר!$A$2:$A$5001,עזר!L4024))</f>
        <v/>
      </c>
      <c r="B4024" s="13" t="str">
        <f aca="false">IF(עזר!L4024="","",INDEX(עזר!$B$2:$B$5001,עזר!L4024))</f>
        <v/>
      </c>
      <c r="C4024" s="13" t="str">
        <f aca="false">עזר!M4024</f>
        <v/>
      </c>
    </row>
    <row r="4025" customFormat="false" ht="15" hidden="false" customHeight="false" outlineLevel="0" collapsed="false">
      <c r="A4025" s="13" t="str">
        <f aca="false">IF(עזר!L4025="","",INDEX(עזר!$A$2:$A$5001,עזר!L4025))</f>
        <v/>
      </c>
      <c r="B4025" s="13" t="str">
        <f aca="false">IF(עזר!L4025="","",INDEX(עזר!$B$2:$B$5001,עזר!L4025))</f>
        <v/>
      </c>
      <c r="C4025" s="13" t="str">
        <f aca="false">עזר!M4025</f>
        <v/>
      </c>
    </row>
    <row r="4026" customFormat="false" ht="15" hidden="false" customHeight="false" outlineLevel="0" collapsed="false">
      <c r="A4026" s="13" t="str">
        <f aca="false">IF(עזר!L4026="","",INDEX(עזר!$A$2:$A$5001,עזר!L4026))</f>
        <v/>
      </c>
      <c r="B4026" s="13" t="str">
        <f aca="false">IF(עזר!L4026="","",INDEX(עזר!$B$2:$B$5001,עזר!L4026))</f>
        <v/>
      </c>
      <c r="C4026" s="13" t="str">
        <f aca="false">עזר!M4026</f>
        <v/>
      </c>
    </row>
    <row r="4027" customFormat="false" ht="15" hidden="false" customHeight="false" outlineLevel="0" collapsed="false">
      <c r="A4027" s="13" t="str">
        <f aca="false">IF(עזר!L4027="","",INDEX(עזר!$A$2:$A$5001,עזר!L4027))</f>
        <v/>
      </c>
      <c r="B4027" s="13" t="str">
        <f aca="false">IF(עזר!L4027="","",INDEX(עזר!$B$2:$B$5001,עזר!L4027))</f>
        <v/>
      </c>
      <c r="C4027" s="13" t="str">
        <f aca="false">עזר!M4027</f>
        <v/>
      </c>
    </row>
    <row r="4028" customFormat="false" ht="15" hidden="false" customHeight="false" outlineLevel="0" collapsed="false">
      <c r="A4028" s="13" t="str">
        <f aca="false">IF(עזר!L4028="","",INDEX(עזר!$A$2:$A$5001,עזר!L4028))</f>
        <v/>
      </c>
      <c r="B4028" s="13" t="str">
        <f aca="false">IF(עזר!L4028="","",INDEX(עזר!$B$2:$B$5001,עזר!L4028))</f>
        <v/>
      </c>
      <c r="C4028" s="13" t="str">
        <f aca="false">עזר!M4028</f>
        <v/>
      </c>
    </row>
    <row r="4029" customFormat="false" ht="15" hidden="false" customHeight="false" outlineLevel="0" collapsed="false">
      <c r="A4029" s="13" t="str">
        <f aca="false">IF(עזר!L4029="","",INDEX(עזר!$A$2:$A$5001,עזר!L4029))</f>
        <v/>
      </c>
      <c r="B4029" s="13" t="str">
        <f aca="false">IF(עזר!L4029="","",INDEX(עזר!$B$2:$B$5001,עזר!L4029))</f>
        <v/>
      </c>
      <c r="C4029" s="13" t="str">
        <f aca="false">עזר!M4029</f>
        <v/>
      </c>
    </row>
    <row r="4030" customFormat="false" ht="15" hidden="false" customHeight="false" outlineLevel="0" collapsed="false">
      <c r="A4030" s="13" t="str">
        <f aca="false">IF(עזר!L4030="","",INDEX(עזר!$A$2:$A$5001,עזר!L4030))</f>
        <v/>
      </c>
      <c r="B4030" s="13" t="str">
        <f aca="false">IF(עזר!L4030="","",INDEX(עזר!$B$2:$B$5001,עזר!L4030))</f>
        <v/>
      </c>
      <c r="C4030" s="13" t="str">
        <f aca="false">עזר!M4030</f>
        <v/>
      </c>
    </row>
    <row r="4031" customFormat="false" ht="15" hidden="false" customHeight="false" outlineLevel="0" collapsed="false">
      <c r="A4031" s="13" t="str">
        <f aca="false">IF(עזר!L4031="","",INDEX(עזר!$A$2:$A$5001,עזר!L4031))</f>
        <v/>
      </c>
      <c r="B4031" s="13" t="str">
        <f aca="false">IF(עזר!L4031="","",INDEX(עזר!$B$2:$B$5001,עזר!L4031))</f>
        <v/>
      </c>
      <c r="C4031" s="13" t="str">
        <f aca="false">עזר!M4031</f>
        <v/>
      </c>
    </row>
    <row r="4032" customFormat="false" ht="15" hidden="false" customHeight="false" outlineLevel="0" collapsed="false">
      <c r="A4032" s="13" t="str">
        <f aca="false">IF(עזר!L4032="","",INDEX(עזר!$A$2:$A$5001,עזר!L4032))</f>
        <v/>
      </c>
      <c r="B4032" s="13" t="str">
        <f aca="false">IF(עזר!L4032="","",INDEX(עזר!$B$2:$B$5001,עזר!L4032))</f>
        <v/>
      </c>
      <c r="C4032" s="13" t="str">
        <f aca="false">עזר!M4032</f>
        <v/>
      </c>
    </row>
    <row r="4033" customFormat="false" ht="15" hidden="false" customHeight="false" outlineLevel="0" collapsed="false">
      <c r="A4033" s="13" t="str">
        <f aca="false">IF(עזר!L4033="","",INDEX(עזר!$A$2:$A$5001,עזר!L4033))</f>
        <v/>
      </c>
      <c r="B4033" s="13" t="str">
        <f aca="false">IF(עזר!L4033="","",INDEX(עזר!$B$2:$B$5001,עזר!L4033))</f>
        <v/>
      </c>
      <c r="C4033" s="13" t="str">
        <f aca="false">עזר!M4033</f>
        <v/>
      </c>
    </row>
    <row r="4034" customFormat="false" ht="15" hidden="false" customHeight="false" outlineLevel="0" collapsed="false">
      <c r="A4034" s="13" t="str">
        <f aca="false">IF(עזר!L4034="","",INDEX(עזר!$A$2:$A$5001,עזר!L4034))</f>
        <v/>
      </c>
      <c r="B4034" s="13" t="str">
        <f aca="false">IF(עזר!L4034="","",INDEX(עזר!$B$2:$B$5001,עזר!L4034))</f>
        <v/>
      </c>
      <c r="C4034" s="13" t="str">
        <f aca="false">עזר!M4034</f>
        <v/>
      </c>
    </row>
    <row r="4035" customFormat="false" ht="15" hidden="false" customHeight="false" outlineLevel="0" collapsed="false">
      <c r="A4035" s="13" t="str">
        <f aca="false">IF(עזר!L4035="","",INDEX(עזר!$A$2:$A$5001,עזר!L4035))</f>
        <v/>
      </c>
      <c r="B4035" s="13" t="str">
        <f aca="false">IF(עזר!L4035="","",INDEX(עזר!$B$2:$B$5001,עזר!L4035))</f>
        <v/>
      </c>
      <c r="C4035" s="13" t="str">
        <f aca="false">עזר!M4035</f>
        <v/>
      </c>
    </row>
    <row r="4036" customFormat="false" ht="15" hidden="false" customHeight="false" outlineLevel="0" collapsed="false">
      <c r="A4036" s="13" t="str">
        <f aca="false">IF(עזר!L4036="","",INDEX(עזר!$A$2:$A$5001,עזר!L4036))</f>
        <v/>
      </c>
      <c r="B4036" s="13" t="str">
        <f aca="false">IF(עזר!L4036="","",INDEX(עזר!$B$2:$B$5001,עזר!L4036))</f>
        <v/>
      </c>
      <c r="C4036" s="13" t="str">
        <f aca="false">עזר!M4036</f>
        <v/>
      </c>
    </row>
    <row r="4037" customFormat="false" ht="15" hidden="false" customHeight="false" outlineLevel="0" collapsed="false">
      <c r="A4037" s="13" t="str">
        <f aca="false">IF(עזר!L4037="","",INDEX(עזר!$A$2:$A$5001,עזר!L4037))</f>
        <v/>
      </c>
      <c r="B4037" s="13" t="str">
        <f aca="false">IF(עזר!L4037="","",INDEX(עזר!$B$2:$B$5001,עזר!L4037))</f>
        <v/>
      </c>
      <c r="C4037" s="13" t="str">
        <f aca="false">עזר!M4037</f>
        <v/>
      </c>
    </row>
    <row r="4038" customFormat="false" ht="15" hidden="false" customHeight="false" outlineLevel="0" collapsed="false">
      <c r="A4038" s="13" t="str">
        <f aca="false">IF(עזר!L4038="","",INDEX(עזר!$A$2:$A$5001,עזר!L4038))</f>
        <v/>
      </c>
      <c r="B4038" s="13" t="str">
        <f aca="false">IF(עזר!L4038="","",INDEX(עזר!$B$2:$B$5001,עזר!L4038))</f>
        <v/>
      </c>
      <c r="C4038" s="13" t="str">
        <f aca="false">עזר!M4038</f>
        <v/>
      </c>
    </row>
    <row r="4039" customFormat="false" ht="15" hidden="false" customHeight="false" outlineLevel="0" collapsed="false">
      <c r="A4039" s="13" t="str">
        <f aca="false">IF(עזר!L4039="","",INDEX(עזר!$A$2:$A$5001,עזר!L4039))</f>
        <v/>
      </c>
      <c r="B4039" s="13" t="str">
        <f aca="false">IF(עזר!L4039="","",INDEX(עזר!$B$2:$B$5001,עזר!L4039))</f>
        <v/>
      </c>
      <c r="C4039" s="13" t="str">
        <f aca="false">עזר!M4039</f>
        <v/>
      </c>
    </row>
    <row r="4040" customFormat="false" ht="15" hidden="false" customHeight="false" outlineLevel="0" collapsed="false">
      <c r="A4040" s="13" t="str">
        <f aca="false">IF(עזר!L4040="","",INDEX(עזר!$A$2:$A$5001,עזר!L4040))</f>
        <v/>
      </c>
      <c r="B4040" s="13" t="str">
        <f aca="false">IF(עזר!L4040="","",INDEX(עזר!$B$2:$B$5001,עזר!L4040))</f>
        <v/>
      </c>
      <c r="C4040" s="13" t="str">
        <f aca="false">עזר!M4040</f>
        <v/>
      </c>
    </row>
    <row r="4041" customFormat="false" ht="15" hidden="false" customHeight="false" outlineLevel="0" collapsed="false">
      <c r="A4041" s="13" t="str">
        <f aca="false">IF(עזר!L4041="","",INDEX(עזר!$A$2:$A$5001,עזר!L4041))</f>
        <v/>
      </c>
      <c r="B4041" s="13" t="str">
        <f aca="false">IF(עזר!L4041="","",INDEX(עזר!$B$2:$B$5001,עזר!L4041))</f>
        <v/>
      </c>
      <c r="C4041" s="13" t="str">
        <f aca="false">עזר!M4041</f>
        <v/>
      </c>
    </row>
    <row r="4042" customFormat="false" ht="15" hidden="false" customHeight="false" outlineLevel="0" collapsed="false">
      <c r="A4042" s="13" t="str">
        <f aca="false">IF(עזר!L4042="","",INDEX(עזר!$A$2:$A$5001,עזר!L4042))</f>
        <v/>
      </c>
      <c r="B4042" s="13" t="str">
        <f aca="false">IF(עזר!L4042="","",INDEX(עזר!$B$2:$B$5001,עזר!L4042))</f>
        <v/>
      </c>
      <c r="C4042" s="13" t="str">
        <f aca="false">עזר!M4042</f>
        <v/>
      </c>
    </row>
    <row r="4043" customFormat="false" ht="15" hidden="false" customHeight="false" outlineLevel="0" collapsed="false">
      <c r="A4043" s="13" t="str">
        <f aca="false">IF(עזר!L4043="","",INDEX(עזר!$A$2:$A$5001,עזר!L4043))</f>
        <v/>
      </c>
      <c r="B4043" s="13" t="str">
        <f aca="false">IF(עזר!L4043="","",INDEX(עזר!$B$2:$B$5001,עזר!L4043))</f>
        <v/>
      </c>
      <c r="C4043" s="13" t="str">
        <f aca="false">עזר!M4043</f>
        <v/>
      </c>
    </row>
    <row r="4044" customFormat="false" ht="15" hidden="false" customHeight="false" outlineLevel="0" collapsed="false">
      <c r="A4044" s="13" t="str">
        <f aca="false">IF(עזר!L4044="","",INDEX(עזר!$A$2:$A$5001,עזר!L4044))</f>
        <v/>
      </c>
      <c r="B4044" s="13" t="str">
        <f aca="false">IF(עזר!L4044="","",INDEX(עזר!$B$2:$B$5001,עזר!L4044))</f>
        <v/>
      </c>
      <c r="C4044" s="13" t="str">
        <f aca="false">עזר!M4044</f>
        <v/>
      </c>
    </row>
    <row r="4045" customFormat="false" ht="15" hidden="false" customHeight="false" outlineLevel="0" collapsed="false">
      <c r="A4045" s="13" t="str">
        <f aca="false">IF(עזר!L4045="","",INDEX(עזר!$A$2:$A$5001,עזר!L4045))</f>
        <v/>
      </c>
      <c r="B4045" s="13" t="str">
        <f aca="false">IF(עזר!L4045="","",INDEX(עזר!$B$2:$B$5001,עזר!L4045))</f>
        <v/>
      </c>
      <c r="C4045" s="13" t="str">
        <f aca="false">עזר!M4045</f>
        <v/>
      </c>
    </row>
    <row r="4046" customFormat="false" ht="15" hidden="false" customHeight="false" outlineLevel="0" collapsed="false">
      <c r="A4046" s="13" t="str">
        <f aca="false">IF(עזר!L4046="","",INDEX(עזר!$A$2:$A$5001,עזר!L4046))</f>
        <v/>
      </c>
      <c r="B4046" s="13" t="str">
        <f aca="false">IF(עזר!L4046="","",INDEX(עזר!$B$2:$B$5001,עזר!L4046))</f>
        <v/>
      </c>
      <c r="C4046" s="13" t="str">
        <f aca="false">עזר!M4046</f>
        <v/>
      </c>
    </row>
    <row r="4047" customFormat="false" ht="15" hidden="false" customHeight="false" outlineLevel="0" collapsed="false">
      <c r="A4047" s="13" t="str">
        <f aca="false">IF(עזר!L4047="","",INDEX(עזר!$A$2:$A$5001,עזר!L4047))</f>
        <v/>
      </c>
      <c r="B4047" s="13" t="str">
        <f aca="false">IF(עזר!L4047="","",INDEX(עזר!$B$2:$B$5001,עזר!L4047))</f>
        <v/>
      </c>
      <c r="C4047" s="13" t="str">
        <f aca="false">עזר!M4047</f>
        <v/>
      </c>
    </row>
    <row r="4048" customFormat="false" ht="15" hidden="false" customHeight="false" outlineLevel="0" collapsed="false">
      <c r="A4048" s="13" t="str">
        <f aca="false">IF(עזר!L4048="","",INDEX(עזר!$A$2:$A$5001,עזר!L4048))</f>
        <v/>
      </c>
      <c r="B4048" s="13" t="str">
        <f aca="false">IF(עזר!L4048="","",INDEX(עזר!$B$2:$B$5001,עזר!L4048))</f>
        <v/>
      </c>
      <c r="C4048" s="13" t="str">
        <f aca="false">עזר!M4048</f>
        <v/>
      </c>
    </row>
    <row r="4049" customFormat="false" ht="15" hidden="false" customHeight="false" outlineLevel="0" collapsed="false">
      <c r="A4049" s="13" t="str">
        <f aca="false">IF(עזר!L4049="","",INDEX(עזר!$A$2:$A$5001,עזר!L4049))</f>
        <v/>
      </c>
      <c r="B4049" s="13" t="str">
        <f aca="false">IF(עזר!L4049="","",INDEX(עזר!$B$2:$B$5001,עזר!L4049))</f>
        <v/>
      </c>
      <c r="C4049" s="13" t="str">
        <f aca="false">עזר!M4049</f>
        <v/>
      </c>
    </row>
    <row r="4050" customFormat="false" ht="15" hidden="false" customHeight="false" outlineLevel="0" collapsed="false">
      <c r="A4050" s="13" t="str">
        <f aca="false">IF(עזר!L4050="","",INDEX(עזר!$A$2:$A$5001,עזר!L4050))</f>
        <v/>
      </c>
      <c r="B4050" s="13" t="str">
        <f aca="false">IF(עזר!L4050="","",INDEX(עזר!$B$2:$B$5001,עזר!L4050))</f>
        <v/>
      </c>
      <c r="C4050" s="13" t="str">
        <f aca="false">עזר!M4050</f>
        <v/>
      </c>
    </row>
    <row r="4051" customFormat="false" ht="15" hidden="false" customHeight="false" outlineLevel="0" collapsed="false">
      <c r="A4051" s="13" t="str">
        <f aca="false">IF(עזר!L4051="","",INDEX(עזר!$A$2:$A$5001,עזר!L4051))</f>
        <v/>
      </c>
      <c r="B4051" s="13" t="str">
        <f aca="false">IF(עזר!L4051="","",INDEX(עזר!$B$2:$B$5001,עזר!L4051))</f>
        <v/>
      </c>
      <c r="C4051" s="13" t="str">
        <f aca="false">עזר!M4051</f>
        <v/>
      </c>
    </row>
    <row r="4052" customFormat="false" ht="15" hidden="false" customHeight="false" outlineLevel="0" collapsed="false">
      <c r="A4052" s="13" t="str">
        <f aca="false">IF(עזר!L4052="","",INDEX(עזר!$A$2:$A$5001,עזר!L4052))</f>
        <v/>
      </c>
      <c r="B4052" s="13" t="str">
        <f aca="false">IF(עזר!L4052="","",INDEX(עזר!$B$2:$B$5001,עזר!L4052))</f>
        <v/>
      </c>
      <c r="C4052" s="13" t="str">
        <f aca="false">עזר!M4052</f>
        <v/>
      </c>
    </row>
    <row r="4053" customFormat="false" ht="15" hidden="false" customHeight="false" outlineLevel="0" collapsed="false">
      <c r="A4053" s="13" t="str">
        <f aca="false">IF(עזר!L4053="","",INDEX(עזר!$A$2:$A$5001,עזר!L4053))</f>
        <v/>
      </c>
      <c r="B4053" s="13" t="str">
        <f aca="false">IF(עזר!L4053="","",INDEX(עזר!$B$2:$B$5001,עזר!L4053))</f>
        <v/>
      </c>
      <c r="C4053" s="13" t="str">
        <f aca="false">עזר!M4053</f>
        <v/>
      </c>
    </row>
    <row r="4054" customFormat="false" ht="15" hidden="false" customHeight="false" outlineLevel="0" collapsed="false">
      <c r="A4054" s="13" t="str">
        <f aca="false">IF(עזר!L4054="","",INDEX(עזר!$A$2:$A$5001,עזר!L4054))</f>
        <v/>
      </c>
      <c r="B4054" s="13" t="str">
        <f aca="false">IF(עזר!L4054="","",INDEX(עזר!$B$2:$B$5001,עזר!L4054))</f>
        <v/>
      </c>
      <c r="C4054" s="13" t="str">
        <f aca="false">עזר!M4054</f>
        <v/>
      </c>
    </row>
    <row r="4055" customFormat="false" ht="15" hidden="false" customHeight="false" outlineLevel="0" collapsed="false">
      <c r="A4055" s="13" t="str">
        <f aca="false">IF(עזר!L4055="","",INDEX(עזר!$A$2:$A$5001,עזר!L4055))</f>
        <v/>
      </c>
      <c r="B4055" s="13" t="str">
        <f aca="false">IF(עזר!L4055="","",INDEX(עזר!$B$2:$B$5001,עזר!L4055))</f>
        <v/>
      </c>
      <c r="C4055" s="13" t="str">
        <f aca="false">עזר!M4055</f>
        <v/>
      </c>
    </row>
    <row r="4056" customFormat="false" ht="15" hidden="false" customHeight="false" outlineLevel="0" collapsed="false">
      <c r="A4056" s="13" t="str">
        <f aca="false">IF(עזר!L4056="","",INDEX(עזר!$A$2:$A$5001,עזר!L4056))</f>
        <v/>
      </c>
      <c r="B4056" s="13" t="str">
        <f aca="false">IF(עזר!L4056="","",INDEX(עזר!$B$2:$B$5001,עזר!L4056))</f>
        <v/>
      </c>
      <c r="C4056" s="13" t="str">
        <f aca="false">עזר!M4056</f>
        <v/>
      </c>
    </row>
    <row r="4057" customFormat="false" ht="15" hidden="false" customHeight="false" outlineLevel="0" collapsed="false">
      <c r="A4057" s="13" t="str">
        <f aca="false">IF(עזר!L4057="","",INDEX(עזר!$A$2:$A$5001,עזר!L4057))</f>
        <v/>
      </c>
      <c r="B4057" s="13" t="str">
        <f aca="false">IF(עזר!L4057="","",INDEX(עזר!$B$2:$B$5001,עזר!L4057))</f>
        <v/>
      </c>
      <c r="C4057" s="13" t="str">
        <f aca="false">עזר!M4057</f>
        <v/>
      </c>
    </row>
    <row r="4058" customFormat="false" ht="15" hidden="false" customHeight="false" outlineLevel="0" collapsed="false">
      <c r="A4058" s="13" t="str">
        <f aca="false">IF(עזר!L4058="","",INDEX(עזר!$A$2:$A$5001,עזר!L4058))</f>
        <v/>
      </c>
      <c r="B4058" s="13" t="str">
        <f aca="false">IF(עזר!L4058="","",INDEX(עזר!$B$2:$B$5001,עזר!L4058))</f>
        <v/>
      </c>
      <c r="C4058" s="13" t="str">
        <f aca="false">עזר!M4058</f>
        <v/>
      </c>
    </row>
    <row r="4059" customFormat="false" ht="15" hidden="false" customHeight="false" outlineLevel="0" collapsed="false">
      <c r="A4059" s="13" t="str">
        <f aca="false">IF(עזר!L4059="","",INDEX(עזר!$A$2:$A$5001,עזר!L4059))</f>
        <v/>
      </c>
      <c r="B4059" s="13" t="str">
        <f aca="false">IF(עזר!L4059="","",INDEX(עזר!$B$2:$B$5001,עזר!L4059))</f>
        <v/>
      </c>
      <c r="C4059" s="13" t="str">
        <f aca="false">עזר!M4059</f>
        <v/>
      </c>
    </row>
    <row r="4060" customFormat="false" ht="15" hidden="false" customHeight="false" outlineLevel="0" collapsed="false">
      <c r="A4060" s="13" t="str">
        <f aca="false">IF(עזר!L4060="","",INDEX(עזר!$A$2:$A$5001,עזר!L4060))</f>
        <v/>
      </c>
      <c r="B4060" s="13" t="str">
        <f aca="false">IF(עזר!L4060="","",INDEX(עזר!$B$2:$B$5001,עזר!L4060))</f>
        <v/>
      </c>
      <c r="C4060" s="13" t="str">
        <f aca="false">עזר!M4060</f>
        <v/>
      </c>
    </row>
    <row r="4061" customFormat="false" ht="15" hidden="false" customHeight="false" outlineLevel="0" collapsed="false">
      <c r="A4061" s="13" t="str">
        <f aca="false">IF(עזר!L4061="","",INDEX(עזר!$A$2:$A$5001,עזר!L4061))</f>
        <v/>
      </c>
      <c r="B4061" s="13" t="str">
        <f aca="false">IF(עזר!L4061="","",INDEX(עזר!$B$2:$B$5001,עזר!L4061))</f>
        <v/>
      </c>
      <c r="C4061" s="13" t="str">
        <f aca="false">עזר!M4061</f>
        <v/>
      </c>
    </row>
    <row r="4062" customFormat="false" ht="15" hidden="false" customHeight="false" outlineLevel="0" collapsed="false">
      <c r="A4062" s="13" t="str">
        <f aca="false">IF(עזר!L4062="","",INDEX(עזר!$A$2:$A$5001,עזר!L4062))</f>
        <v/>
      </c>
      <c r="B4062" s="13" t="str">
        <f aca="false">IF(עזר!L4062="","",INDEX(עזר!$B$2:$B$5001,עזר!L4062))</f>
        <v/>
      </c>
      <c r="C4062" s="13" t="str">
        <f aca="false">עזר!M4062</f>
        <v/>
      </c>
    </row>
    <row r="4063" customFormat="false" ht="15" hidden="false" customHeight="false" outlineLevel="0" collapsed="false">
      <c r="A4063" s="13" t="str">
        <f aca="false">IF(עזר!L4063="","",INDEX(עזר!$A$2:$A$5001,עזר!L4063))</f>
        <v/>
      </c>
      <c r="B4063" s="13" t="str">
        <f aca="false">IF(עזר!L4063="","",INDEX(עזר!$B$2:$B$5001,עזר!L4063))</f>
        <v/>
      </c>
      <c r="C4063" s="13" t="str">
        <f aca="false">עזר!M4063</f>
        <v/>
      </c>
    </row>
    <row r="4064" customFormat="false" ht="15" hidden="false" customHeight="false" outlineLevel="0" collapsed="false">
      <c r="A4064" s="13" t="str">
        <f aca="false">IF(עזר!L4064="","",INDEX(עזר!$A$2:$A$5001,עזר!L4064))</f>
        <v/>
      </c>
      <c r="B4064" s="13" t="str">
        <f aca="false">IF(עזר!L4064="","",INDEX(עזר!$B$2:$B$5001,עזר!L4064))</f>
        <v/>
      </c>
      <c r="C4064" s="13" t="str">
        <f aca="false">עזר!M4064</f>
        <v/>
      </c>
    </row>
    <row r="4065" customFormat="false" ht="15" hidden="false" customHeight="false" outlineLevel="0" collapsed="false">
      <c r="A4065" s="13" t="str">
        <f aca="false">IF(עזר!L4065="","",INDEX(עזר!$A$2:$A$5001,עזר!L4065))</f>
        <v/>
      </c>
      <c r="B4065" s="13" t="str">
        <f aca="false">IF(עזר!L4065="","",INDEX(עזר!$B$2:$B$5001,עזר!L4065))</f>
        <v/>
      </c>
      <c r="C4065" s="13" t="str">
        <f aca="false">עזר!M4065</f>
        <v/>
      </c>
    </row>
    <row r="4066" customFormat="false" ht="15" hidden="false" customHeight="false" outlineLevel="0" collapsed="false">
      <c r="A4066" s="13" t="str">
        <f aca="false">IF(עזר!L4066="","",INDEX(עזר!$A$2:$A$5001,עזר!L4066))</f>
        <v/>
      </c>
      <c r="B4066" s="13" t="str">
        <f aca="false">IF(עזר!L4066="","",INDEX(עזר!$B$2:$B$5001,עזר!L4066))</f>
        <v/>
      </c>
      <c r="C4066" s="13" t="str">
        <f aca="false">עזר!M4066</f>
        <v/>
      </c>
    </row>
    <row r="4067" customFormat="false" ht="15" hidden="false" customHeight="false" outlineLevel="0" collapsed="false">
      <c r="A4067" s="13" t="str">
        <f aca="false">IF(עזר!L4067="","",INDEX(עזר!$A$2:$A$5001,עזר!L4067))</f>
        <v/>
      </c>
      <c r="B4067" s="13" t="str">
        <f aca="false">IF(עזר!L4067="","",INDEX(עזר!$B$2:$B$5001,עזר!L4067))</f>
        <v/>
      </c>
      <c r="C4067" s="13" t="str">
        <f aca="false">עזר!M4067</f>
        <v/>
      </c>
    </row>
    <row r="4068" customFormat="false" ht="15" hidden="false" customHeight="false" outlineLevel="0" collapsed="false">
      <c r="A4068" s="13" t="str">
        <f aca="false">IF(עזר!L4068="","",INDEX(עזר!$A$2:$A$5001,עזר!L4068))</f>
        <v/>
      </c>
      <c r="B4068" s="13" t="str">
        <f aca="false">IF(עזר!L4068="","",INDEX(עזר!$B$2:$B$5001,עזר!L4068))</f>
        <v/>
      </c>
      <c r="C4068" s="13" t="str">
        <f aca="false">עזר!M4068</f>
        <v/>
      </c>
    </row>
    <row r="4069" customFormat="false" ht="15" hidden="false" customHeight="false" outlineLevel="0" collapsed="false">
      <c r="A4069" s="13" t="str">
        <f aca="false">IF(עזר!L4069="","",INDEX(עזר!$A$2:$A$5001,עזר!L4069))</f>
        <v/>
      </c>
      <c r="B4069" s="13" t="str">
        <f aca="false">IF(עזר!L4069="","",INDEX(עזר!$B$2:$B$5001,עזר!L4069))</f>
        <v/>
      </c>
      <c r="C4069" s="13" t="str">
        <f aca="false">עזר!M4069</f>
        <v/>
      </c>
    </row>
    <row r="4070" customFormat="false" ht="15" hidden="false" customHeight="false" outlineLevel="0" collapsed="false">
      <c r="A4070" s="13" t="str">
        <f aca="false">IF(עזר!L4070="","",INDEX(עזר!$A$2:$A$5001,עזר!L4070))</f>
        <v/>
      </c>
      <c r="B4070" s="13" t="str">
        <f aca="false">IF(עזר!L4070="","",INDEX(עזר!$B$2:$B$5001,עזר!L4070))</f>
        <v/>
      </c>
      <c r="C4070" s="13" t="str">
        <f aca="false">עזר!M4070</f>
        <v/>
      </c>
    </row>
    <row r="4071" customFormat="false" ht="15" hidden="false" customHeight="false" outlineLevel="0" collapsed="false">
      <c r="A4071" s="13" t="str">
        <f aca="false">IF(עזר!L4071="","",INDEX(עזר!$A$2:$A$5001,עזר!L4071))</f>
        <v/>
      </c>
      <c r="B4071" s="13" t="str">
        <f aca="false">IF(עזר!L4071="","",INDEX(עזר!$B$2:$B$5001,עזר!L4071))</f>
        <v/>
      </c>
      <c r="C4071" s="13" t="str">
        <f aca="false">עזר!M4071</f>
        <v/>
      </c>
    </row>
    <row r="4072" customFormat="false" ht="15" hidden="false" customHeight="false" outlineLevel="0" collapsed="false">
      <c r="A4072" s="13" t="str">
        <f aca="false">IF(עזר!L4072="","",INDEX(עזר!$A$2:$A$5001,עזר!L4072))</f>
        <v/>
      </c>
      <c r="B4072" s="13" t="str">
        <f aca="false">IF(עזר!L4072="","",INDEX(עזר!$B$2:$B$5001,עזר!L4072))</f>
        <v/>
      </c>
      <c r="C4072" s="13" t="str">
        <f aca="false">עזר!M4072</f>
        <v/>
      </c>
    </row>
    <row r="4073" customFormat="false" ht="15" hidden="false" customHeight="false" outlineLevel="0" collapsed="false">
      <c r="A4073" s="13" t="str">
        <f aca="false">IF(עזר!L4073="","",INDEX(עזר!$A$2:$A$5001,עזר!L4073))</f>
        <v/>
      </c>
      <c r="B4073" s="13" t="str">
        <f aca="false">IF(עזר!L4073="","",INDEX(עזר!$B$2:$B$5001,עזר!L4073))</f>
        <v/>
      </c>
      <c r="C4073" s="13" t="str">
        <f aca="false">עזר!M4073</f>
        <v/>
      </c>
    </row>
    <row r="4074" customFormat="false" ht="15" hidden="false" customHeight="false" outlineLevel="0" collapsed="false">
      <c r="A4074" s="13" t="str">
        <f aca="false">IF(עזר!L4074="","",INDEX(עזר!$A$2:$A$5001,עזר!L4074))</f>
        <v/>
      </c>
      <c r="B4074" s="13" t="str">
        <f aca="false">IF(עזר!L4074="","",INDEX(עזר!$B$2:$B$5001,עזר!L4074))</f>
        <v/>
      </c>
      <c r="C4074" s="13" t="str">
        <f aca="false">עזר!M4074</f>
        <v/>
      </c>
    </row>
    <row r="4075" customFormat="false" ht="15" hidden="false" customHeight="false" outlineLevel="0" collapsed="false">
      <c r="A4075" s="13" t="str">
        <f aca="false">IF(עזר!L4075="","",INDEX(עזר!$A$2:$A$5001,עזר!L4075))</f>
        <v/>
      </c>
      <c r="B4075" s="13" t="str">
        <f aca="false">IF(עזר!L4075="","",INDEX(עזר!$B$2:$B$5001,עזר!L4075))</f>
        <v/>
      </c>
      <c r="C4075" s="13" t="str">
        <f aca="false">עזר!M4075</f>
        <v/>
      </c>
    </row>
    <row r="4076" customFormat="false" ht="15" hidden="false" customHeight="false" outlineLevel="0" collapsed="false">
      <c r="A4076" s="13" t="str">
        <f aca="false">IF(עזר!L4076="","",INDEX(עזר!$A$2:$A$5001,עזר!L4076))</f>
        <v/>
      </c>
      <c r="B4076" s="13" t="str">
        <f aca="false">IF(עזר!L4076="","",INDEX(עזר!$B$2:$B$5001,עזר!L4076))</f>
        <v/>
      </c>
      <c r="C4076" s="13" t="str">
        <f aca="false">עזר!M4076</f>
        <v/>
      </c>
    </row>
    <row r="4077" customFormat="false" ht="15" hidden="false" customHeight="false" outlineLevel="0" collapsed="false">
      <c r="A4077" s="13" t="str">
        <f aca="false">IF(עזר!L4077="","",INDEX(עזר!$A$2:$A$5001,עזר!L4077))</f>
        <v/>
      </c>
      <c r="B4077" s="13" t="str">
        <f aca="false">IF(עזר!L4077="","",INDEX(עזר!$B$2:$B$5001,עזר!L4077))</f>
        <v/>
      </c>
      <c r="C4077" s="13" t="str">
        <f aca="false">עזר!M4077</f>
        <v/>
      </c>
    </row>
    <row r="4078" customFormat="false" ht="15" hidden="false" customHeight="false" outlineLevel="0" collapsed="false">
      <c r="A4078" s="13" t="str">
        <f aca="false">IF(עזר!L4078="","",INDEX(עזר!$A$2:$A$5001,עזר!L4078))</f>
        <v/>
      </c>
      <c r="B4078" s="13" t="str">
        <f aca="false">IF(עזר!L4078="","",INDEX(עזר!$B$2:$B$5001,עזר!L4078))</f>
        <v/>
      </c>
      <c r="C4078" s="13" t="str">
        <f aca="false">עזר!M4078</f>
        <v/>
      </c>
    </row>
    <row r="4079" customFormat="false" ht="15" hidden="false" customHeight="false" outlineLevel="0" collapsed="false">
      <c r="A4079" s="13" t="str">
        <f aca="false">IF(עזר!L4079="","",INDEX(עזר!$A$2:$A$5001,עזר!L4079))</f>
        <v/>
      </c>
      <c r="B4079" s="13" t="str">
        <f aca="false">IF(עזר!L4079="","",INDEX(עזר!$B$2:$B$5001,עזר!L4079))</f>
        <v/>
      </c>
      <c r="C4079" s="13" t="str">
        <f aca="false">עזר!M4079</f>
        <v/>
      </c>
    </row>
    <row r="4080" customFormat="false" ht="15" hidden="false" customHeight="false" outlineLevel="0" collapsed="false">
      <c r="A4080" s="13" t="str">
        <f aca="false">IF(עזר!L4080="","",INDEX(עזר!$A$2:$A$5001,עזר!L4080))</f>
        <v/>
      </c>
      <c r="B4080" s="13" t="str">
        <f aca="false">IF(עזר!L4080="","",INDEX(עזר!$B$2:$B$5001,עזר!L4080))</f>
        <v/>
      </c>
      <c r="C4080" s="13" t="str">
        <f aca="false">עזר!M4080</f>
        <v/>
      </c>
    </row>
    <row r="4081" customFormat="false" ht="15" hidden="false" customHeight="false" outlineLevel="0" collapsed="false">
      <c r="A4081" s="13" t="str">
        <f aca="false">IF(עזר!L4081="","",INDEX(עזר!$A$2:$A$5001,עזר!L4081))</f>
        <v/>
      </c>
      <c r="B4081" s="13" t="str">
        <f aca="false">IF(עזר!L4081="","",INDEX(עזר!$B$2:$B$5001,עזר!L4081))</f>
        <v/>
      </c>
      <c r="C4081" s="13" t="str">
        <f aca="false">עזר!M4081</f>
        <v/>
      </c>
    </row>
    <row r="4082" customFormat="false" ht="15" hidden="false" customHeight="false" outlineLevel="0" collapsed="false">
      <c r="A4082" s="13" t="str">
        <f aca="false">IF(עזר!L4082="","",INDEX(עזר!$A$2:$A$5001,עזר!L4082))</f>
        <v/>
      </c>
      <c r="B4082" s="13" t="str">
        <f aca="false">IF(עזר!L4082="","",INDEX(עזר!$B$2:$B$5001,עזר!L4082))</f>
        <v/>
      </c>
      <c r="C4082" s="13" t="str">
        <f aca="false">עזר!M4082</f>
        <v/>
      </c>
    </row>
    <row r="4083" customFormat="false" ht="15" hidden="false" customHeight="false" outlineLevel="0" collapsed="false">
      <c r="A4083" s="13" t="str">
        <f aca="false">IF(עזר!L4083="","",INDEX(עזר!$A$2:$A$5001,עזר!L4083))</f>
        <v/>
      </c>
      <c r="B4083" s="13" t="str">
        <f aca="false">IF(עזר!L4083="","",INDEX(עזר!$B$2:$B$5001,עזר!L4083))</f>
        <v/>
      </c>
      <c r="C4083" s="13" t="str">
        <f aca="false">עזר!M4083</f>
        <v/>
      </c>
    </row>
    <row r="4084" customFormat="false" ht="15" hidden="false" customHeight="false" outlineLevel="0" collapsed="false">
      <c r="A4084" s="13" t="str">
        <f aca="false">IF(עזר!L4084="","",INDEX(עזר!$A$2:$A$5001,עזר!L4084))</f>
        <v/>
      </c>
      <c r="B4084" s="13" t="str">
        <f aca="false">IF(עזר!L4084="","",INDEX(עזר!$B$2:$B$5001,עזר!L4084))</f>
        <v/>
      </c>
      <c r="C4084" s="13" t="str">
        <f aca="false">עזר!M4084</f>
        <v/>
      </c>
    </row>
    <row r="4085" customFormat="false" ht="15" hidden="false" customHeight="false" outlineLevel="0" collapsed="false">
      <c r="A4085" s="13" t="str">
        <f aca="false">IF(עזר!L4085="","",INDEX(עזר!$A$2:$A$5001,עזר!L4085))</f>
        <v/>
      </c>
      <c r="B4085" s="13" t="str">
        <f aca="false">IF(עזר!L4085="","",INDEX(עזר!$B$2:$B$5001,עזר!L4085))</f>
        <v/>
      </c>
      <c r="C4085" s="13" t="str">
        <f aca="false">עזר!M4085</f>
        <v/>
      </c>
    </row>
    <row r="4086" customFormat="false" ht="15" hidden="false" customHeight="false" outlineLevel="0" collapsed="false">
      <c r="A4086" s="13" t="str">
        <f aca="false">IF(עזר!L4086="","",INDEX(עזר!$A$2:$A$5001,עזר!L4086))</f>
        <v/>
      </c>
      <c r="B4086" s="13" t="str">
        <f aca="false">IF(עזר!L4086="","",INDEX(עזר!$B$2:$B$5001,עזר!L4086))</f>
        <v/>
      </c>
      <c r="C4086" s="13" t="str">
        <f aca="false">עזר!M4086</f>
        <v/>
      </c>
    </row>
    <row r="4087" customFormat="false" ht="15" hidden="false" customHeight="false" outlineLevel="0" collapsed="false">
      <c r="A4087" s="13" t="str">
        <f aca="false">IF(עזר!L4087="","",INDEX(עזר!$A$2:$A$5001,עזר!L4087))</f>
        <v/>
      </c>
      <c r="B4087" s="13" t="str">
        <f aca="false">IF(עזר!L4087="","",INDEX(עזר!$B$2:$B$5001,עזר!L4087))</f>
        <v/>
      </c>
      <c r="C4087" s="13" t="str">
        <f aca="false">עזר!M4087</f>
        <v/>
      </c>
    </row>
    <row r="4088" customFormat="false" ht="15" hidden="false" customHeight="false" outlineLevel="0" collapsed="false">
      <c r="A4088" s="13" t="str">
        <f aca="false">IF(עזר!L4088="","",INDEX(עזר!$A$2:$A$5001,עזר!L4088))</f>
        <v/>
      </c>
      <c r="B4088" s="13" t="str">
        <f aca="false">IF(עזר!L4088="","",INDEX(עזר!$B$2:$B$5001,עזר!L4088))</f>
        <v/>
      </c>
      <c r="C4088" s="13" t="str">
        <f aca="false">עזר!M4088</f>
        <v/>
      </c>
    </row>
    <row r="4089" customFormat="false" ht="15" hidden="false" customHeight="false" outlineLevel="0" collapsed="false">
      <c r="A4089" s="13" t="str">
        <f aca="false">IF(עזר!L4089="","",INDEX(עזר!$A$2:$A$5001,עזר!L4089))</f>
        <v/>
      </c>
      <c r="B4089" s="13" t="str">
        <f aca="false">IF(עזר!L4089="","",INDEX(עזר!$B$2:$B$5001,עזר!L4089))</f>
        <v/>
      </c>
      <c r="C4089" s="13" t="str">
        <f aca="false">עזר!M4089</f>
        <v/>
      </c>
    </row>
    <row r="4090" customFormat="false" ht="15" hidden="false" customHeight="false" outlineLevel="0" collapsed="false">
      <c r="A4090" s="13" t="str">
        <f aca="false">IF(עזר!L4090="","",INDEX(עזר!$A$2:$A$5001,עזר!L4090))</f>
        <v/>
      </c>
      <c r="B4090" s="13" t="str">
        <f aca="false">IF(עזר!L4090="","",INDEX(עזר!$B$2:$B$5001,עזר!L4090))</f>
        <v/>
      </c>
      <c r="C4090" s="13" t="str">
        <f aca="false">עזר!M4090</f>
        <v/>
      </c>
    </row>
    <row r="4091" customFormat="false" ht="15" hidden="false" customHeight="false" outlineLevel="0" collapsed="false">
      <c r="A4091" s="13" t="str">
        <f aca="false">IF(עזר!L4091="","",INDEX(עזר!$A$2:$A$5001,עזר!L4091))</f>
        <v/>
      </c>
      <c r="B4091" s="13" t="str">
        <f aca="false">IF(עזר!L4091="","",INDEX(עזר!$B$2:$B$5001,עזר!L4091))</f>
        <v/>
      </c>
      <c r="C4091" s="13" t="str">
        <f aca="false">עזר!M4091</f>
        <v/>
      </c>
    </row>
    <row r="4092" customFormat="false" ht="15" hidden="false" customHeight="false" outlineLevel="0" collapsed="false">
      <c r="A4092" s="13" t="str">
        <f aca="false">IF(עזר!L4092="","",INDEX(עזר!$A$2:$A$5001,עזר!L4092))</f>
        <v/>
      </c>
      <c r="B4092" s="13" t="str">
        <f aca="false">IF(עזר!L4092="","",INDEX(עזר!$B$2:$B$5001,עזר!L4092))</f>
        <v/>
      </c>
      <c r="C4092" s="13" t="str">
        <f aca="false">עזר!M4092</f>
        <v/>
      </c>
    </row>
    <row r="4093" customFormat="false" ht="15" hidden="false" customHeight="false" outlineLevel="0" collapsed="false">
      <c r="A4093" s="13" t="str">
        <f aca="false">IF(עזר!L4093="","",INDEX(עזר!$A$2:$A$5001,עזר!L4093))</f>
        <v/>
      </c>
      <c r="B4093" s="13" t="str">
        <f aca="false">IF(עזר!L4093="","",INDEX(עזר!$B$2:$B$5001,עזר!L4093))</f>
        <v/>
      </c>
      <c r="C4093" s="13" t="str">
        <f aca="false">עזר!M4093</f>
        <v/>
      </c>
    </row>
    <row r="4094" customFormat="false" ht="15" hidden="false" customHeight="false" outlineLevel="0" collapsed="false">
      <c r="A4094" s="13" t="str">
        <f aca="false">IF(עזר!L4094="","",INDEX(עזר!$A$2:$A$5001,עזר!L4094))</f>
        <v/>
      </c>
      <c r="B4094" s="13" t="str">
        <f aca="false">IF(עזר!L4094="","",INDEX(עזר!$B$2:$B$5001,עזר!L4094))</f>
        <v/>
      </c>
      <c r="C4094" s="13" t="str">
        <f aca="false">עזר!M4094</f>
        <v/>
      </c>
    </row>
    <row r="4095" customFormat="false" ht="15" hidden="false" customHeight="false" outlineLevel="0" collapsed="false">
      <c r="A4095" s="13" t="str">
        <f aca="false">IF(עזר!L4095="","",INDEX(עזר!$A$2:$A$5001,עזר!L4095))</f>
        <v/>
      </c>
      <c r="B4095" s="13" t="str">
        <f aca="false">IF(עזר!L4095="","",INDEX(עזר!$B$2:$B$5001,עזר!L4095))</f>
        <v/>
      </c>
      <c r="C4095" s="13" t="str">
        <f aca="false">עזר!M4095</f>
        <v/>
      </c>
    </row>
    <row r="4096" customFormat="false" ht="15" hidden="false" customHeight="false" outlineLevel="0" collapsed="false">
      <c r="A4096" s="13" t="str">
        <f aca="false">IF(עזר!L4096="","",INDEX(עזר!$A$2:$A$5001,עזר!L4096))</f>
        <v/>
      </c>
      <c r="B4096" s="13" t="str">
        <f aca="false">IF(עזר!L4096="","",INDEX(עזר!$B$2:$B$5001,עזר!L4096))</f>
        <v/>
      </c>
      <c r="C4096" s="13" t="str">
        <f aca="false">עזר!M4096</f>
        <v/>
      </c>
    </row>
    <row r="4097" customFormat="false" ht="15" hidden="false" customHeight="false" outlineLevel="0" collapsed="false">
      <c r="A4097" s="13" t="str">
        <f aca="false">IF(עזר!L4097="","",INDEX(עזר!$A$2:$A$5001,עזר!L4097))</f>
        <v/>
      </c>
      <c r="B4097" s="13" t="str">
        <f aca="false">IF(עזר!L4097="","",INDEX(עזר!$B$2:$B$5001,עזר!L4097))</f>
        <v/>
      </c>
      <c r="C4097" s="13" t="str">
        <f aca="false">עזר!M4097</f>
        <v/>
      </c>
    </row>
    <row r="4098" customFormat="false" ht="15" hidden="false" customHeight="false" outlineLevel="0" collapsed="false">
      <c r="A4098" s="13" t="str">
        <f aca="false">IF(עזר!L4098="","",INDEX(עזר!$A$2:$A$5001,עזר!L4098))</f>
        <v/>
      </c>
      <c r="B4098" s="13" t="str">
        <f aca="false">IF(עזר!L4098="","",INDEX(עזר!$B$2:$B$5001,עזר!L4098))</f>
        <v/>
      </c>
      <c r="C4098" s="13" t="str">
        <f aca="false">עזר!M4098</f>
        <v/>
      </c>
    </row>
    <row r="4099" customFormat="false" ht="15" hidden="false" customHeight="false" outlineLevel="0" collapsed="false">
      <c r="A4099" s="13" t="str">
        <f aca="false">IF(עזר!L4099="","",INDEX(עזר!$A$2:$A$5001,עזר!L4099))</f>
        <v/>
      </c>
      <c r="B4099" s="13" t="str">
        <f aca="false">IF(עזר!L4099="","",INDEX(עזר!$B$2:$B$5001,עזר!L4099))</f>
        <v/>
      </c>
      <c r="C4099" s="13" t="str">
        <f aca="false">עזר!M4099</f>
        <v/>
      </c>
    </row>
    <row r="4100" customFormat="false" ht="15" hidden="false" customHeight="false" outlineLevel="0" collapsed="false">
      <c r="A4100" s="13" t="str">
        <f aca="false">IF(עזר!L4100="","",INDEX(עזר!$A$2:$A$5001,עזר!L4100))</f>
        <v/>
      </c>
      <c r="B4100" s="13" t="str">
        <f aca="false">IF(עזר!L4100="","",INDEX(עזר!$B$2:$B$5001,עזר!L4100))</f>
        <v/>
      </c>
      <c r="C4100" s="13" t="str">
        <f aca="false">עזר!M4100</f>
        <v/>
      </c>
    </row>
    <row r="4101" customFormat="false" ht="15" hidden="false" customHeight="false" outlineLevel="0" collapsed="false">
      <c r="A4101" s="13" t="str">
        <f aca="false">IF(עזר!L4101="","",INDEX(עזר!$A$2:$A$5001,עזר!L4101))</f>
        <v/>
      </c>
      <c r="B4101" s="13" t="str">
        <f aca="false">IF(עזר!L4101="","",INDEX(עזר!$B$2:$B$5001,עזר!L4101))</f>
        <v/>
      </c>
      <c r="C4101" s="13" t="str">
        <f aca="false">עזר!M4101</f>
        <v/>
      </c>
    </row>
    <row r="4102" customFormat="false" ht="15" hidden="false" customHeight="false" outlineLevel="0" collapsed="false">
      <c r="A4102" s="13" t="str">
        <f aca="false">IF(עזר!L4102="","",INDEX(עזר!$A$2:$A$5001,עזר!L4102))</f>
        <v/>
      </c>
      <c r="B4102" s="13" t="str">
        <f aca="false">IF(עזר!L4102="","",INDEX(עזר!$B$2:$B$5001,עזר!L4102))</f>
        <v/>
      </c>
      <c r="C4102" s="13" t="str">
        <f aca="false">עזר!M4102</f>
        <v/>
      </c>
    </row>
    <row r="4103" customFormat="false" ht="15" hidden="false" customHeight="false" outlineLevel="0" collapsed="false">
      <c r="A4103" s="13" t="str">
        <f aca="false">IF(עזר!L4103="","",INDEX(עזר!$A$2:$A$5001,עזר!L4103))</f>
        <v/>
      </c>
      <c r="B4103" s="13" t="str">
        <f aca="false">IF(עזר!L4103="","",INDEX(עזר!$B$2:$B$5001,עזר!L4103))</f>
        <v/>
      </c>
      <c r="C4103" s="13" t="str">
        <f aca="false">עזר!M4103</f>
        <v/>
      </c>
    </row>
    <row r="4104" customFormat="false" ht="15" hidden="false" customHeight="false" outlineLevel="0" collapsed="false">
      <c r="A4104" s="13" t="str">
        <f aca="false">IF(עזר!L4104="","",INDEX(עזר!$A$2:$A$5001,עזר!L4104))</f>
        <v/>
      </c>
      <c r="B4104" s="13" t="str">
        <f aca="false">IF(עזר!L4104="","",INDEX(עזר!$B$2:$B$5001,עזר!L4104))</f>
        <v/>
      </c>
      <c r="C4104" s="13" t="str">
        <f aca="false">עזר!M4104</f>
        <v/>
      </c>
    </row>
    <row r="4105" customFormat="false" ht="15" hidden="false" customHeight="false" outlineLevel="0" collapsed="false">
      <c r="A4105" s="13" t="str">
        <f aca="false">IF(עזר!L4105="","",INDEX(עזר!$A$2:$A$5001,עזר!L4105))</f>
        <v/>
      </c>
      <c r="B4105" s="13" t="str">
        <f aca="false">IF(עזר!L4105="","",INDEX(עזר!$B$2:$B$5001,עזר!L4105))</f>
        <v/>
      </c>
      <c r="C4105" s="13" t="str">
        <f aca="false">עזר!M4105</f>
        <v/>
      </c>
    </row>
    <row r="4106" customFormat="false" ht="15" hidden="false" customHeight="false" outlineLevel="0" collapsed="false">
      <c r="A4106" s="13" t="str">
        <f aca="false">IF(עזר!L4106="","",INDEX(עזר!$A$2:$A$5001,עזר!L4106))</f>
        <v/>
      </c>
      <c r="B4106" s="13" t="str">
        <f aca="false">IF(עזר!L4106="","",INDEX(עזר!$B$2:$B$5001,עזר!L4106))</f>
        <v/>
      </c>
      <c r="C4106" s="13" t="str">
        <f aca="false">עזר!M4106</f>
        <v/>
      </c>
    </row>
    <row r="4107" customFormat="false" ht="15" hidden="false" customHeight="false" outlineLevel="0" collapsed="false">
      <c r="A4107" s="13" t="str">
        <f aca="false">IF(עזר!L4107="","",INDEX(עזר!$A$2:$A$5001,עזר!L4107))</f>
        <v/>
      </c>
      <c r="B4107" s="13" t="str">
        <f aca="false">IF(עזר!L4107="","",INDEX(עזר!$B$2:$B$5001,עזר!L4107))</f>
        <v/>
      </c>
      <c r="C4107" s="13" t="str">
        <f aca="false">עזר!M4107</f>
        <v/>
      </c>
    </row>
    <row r="4108" customFormat="false" ht="15" hidden="false" customHeight="false" outlineLevel="0" collapsed="false">
      <c r="A4108" s="13" t="str">
        <f aca="false">IF(עזר!L4108="","",INDEX(עזר!$A$2:$A$5001,עזר!L4108))</f>
        <v/>
      </c>
      <c r="B4108" s="13" t="str">
        <f aca="false">IF(עזר!L4108="","",INDEX(עזר!$B$2:$B$5001,עזר!L4108))</f>
        <v/>
      </c>
      <c r="C4108" s="13" t="str">
        <f aca="false">עזר!M4108</f>
        <v/>
      </c>
    </row>
    <row r="4109" customFormat="false" ht="15" hidden="false" customHeight="false" outlineLevel="0" collapsed="false">
      <c r="A4109" s="13" t="str">
        <f aca="false">IF(עזר!L4109="","",INDEX(עזר!$A$2:$A$5001,עזר!L4109))</f>
        <v/>
      </c>
      <c r="B4109" s="13" t="str">
        <f aca="false">IF(עזר!L4109="","",INDEX(עזר!$B$2:$B$5001,עזר!L4109))</f>
        <v/>
      </c>
      <c r="C4109" s="13" t="str">
        <f aca="false">עזר!M4109</f>
        <v/>
      </c>
    </row>
    <row r="4110" customFormat="false" ht="15" hidden="false" customHeight="false" outlineLevel="0" collapsed="false">
      <c r="A4110" s="13" t="str">
        <f aca="false">IF(עזר!L4110="","",INDEX(עזר!$A$2:$A$5001,עזר!L4110))</f>
        <v/>
      </c>
      <c r="B4110" s="13" t="str">
        <f aca="false">IF(עזר!L4110="","",INDEX(עזר!$B$2:$B$5001,עזר!L4110))</f>
        <v/>
      </c>
      <c r="C4110" s="13" t="str">
        <f aca="false">עזר!M4110</f>
        <v/>
      </c>
    </row>
    <row r="4111" customFormat="false" ht="15" hidden="false" customHeight="false" outlineLevel="0" collapsed="false">
      <c r="A4111" s="13" t="str">
        <f aca="false">IF(עזר!L4111="","",INDEX(עזר!$A$2:$A$5001,עזר!L4111))</f>
        <v/>
      </c>
      <c r="B4111" s="13" t="str">
        <f aca="false">IF(עזר!L4111="","",INDEX(עזר!$B$2:$B$5001,עזר!L4111))</f>
        <v/>
      </c>
      <c r="C4111" s="13" t="str">
        <f aca="false">עזר!M4111</f>
        <v/>
      </c>
    </row>
    <row r="4112" customFormat="false" ht="15" hidden="false" customHeight="false" outlineLevel="0" collapsed="false">
      <c r="A4112" s="13" t="str">
        <f aca="false">IF(עזר!L4112="","",INDEX(עזר!$A$2:$A$5001,עזר!L4112))</f>
        <v/>
      </c>
      <c r="B4112" s="13" t="str">
        <f aca="false">IF(עזר!L4112="","",INDEX(עזר!$B$2:$B$5001,עזר!L4112))</f>
        <v/>
      </c>
      <c r="C4112" s="13" t="str">
        <f aca="false">עזר!M4112</f>
        <v/>
      </c>
    </row>
    <row r="4113" customFormat="false" ht="15" hidden="false" customHeight="false" outlineLevel="0" collapsed="false">
      <c r="A4113" s="13" t="str">
        <f aca="false">IF(עזר!L4113="","",INDEX(עזר!$A$2:$A$5001,עזר!L4113))</f>
        <v/>
      </c>
      <c r="B4113" s="13" t="str">
        <f aca="false">IF(עזר!L4113="","",INDEX(עזר!$B$2:$B$5001,עזר!L4113))</f>
        <v/>
      </c>
      <c r="C4113" s="13" t="str">
        <f aca="false">עזר!M4113</f>
        <v/>
      </c>
    </row>
    <row r="4114" customFormat="false" ht="15" hidden="false" customHeight="false" outlineLevel="0" collapsed="false">
      <c r="A4114" s="13" t="str">
        <f aca="false">IF(עזר!L4114="","",INDEX(עזר!$A$2:$A$5001,עזר!L4114))</f>
        <v/>
      </c>
      <c r="B4114" s="13" t="str">
        <f aca="false">IF(עזר!L4114="","",INDEX(עזר!$B$2:$B$5001,עזר!L4114))</f>
        <v/>
      </c>
      <c r="C4114" s="13" t="str">
        <f aca="false">עזר!M4114</f>
        <v/>
      </c>
    </row>
    <row r="4115" customFormat="false" ht="15" hidden="false" customHeight="false" outlineLevel="0" collapsed="false">
      <c r="A4115" s="13" t="str">
        <f aca="false">IF(עזר!L4115="","",INDEX(עזר!$A$2:$A$5001,עזר!L4115))</f>
        <v/>
      </c>
      <c r="B4115" s="13" t="str">
        <f aca="false">IF(עזר!L4115="","",INDEX(עזר!$B$2:$B$5001,עזר!L4115))</f>
        <v/>
      </c>
      <c r="C4115" s="13" t="str">
        <f aca="false">עזר!M4115</f>
        <v/>
      </c>
    </row>
    <row r="4116" customFormat="false" ht="15" hidden="false" customHeight="false" outlineLevel="0" collapsed="false">
      <c r="A4116" s="13" t="str">
        <f aca="false">IF(עזר!L4116="","",INDEX(עזר!$A$2:$A$5001,עזר!L4116))</f>
        <v/>
      </c>
      <c r="B4116" s="13" t="str">
        <f aca="false">IF(עזר!L4116="","",INDEX(עזר!$B$2:$B$5001,עזר!L4116))</f>
        <v/>
      </c>
      <c r="C4116" s="13" t="str">
        <f aca="false">עזר!M4116</f>
        <v/>
      </c>
    </row>
    <row r="4117" customFormat="false" ht="15" hidden="false" customHeight="false" outlineLevel="0" collapsed="false">
      <c r="A4117" s="13" t="str">
        <f aca="false">IF(עזר!L4117="","",INDEX(עזר!$A$2:$A$5001,עזר!L4117))</f>
        <v/>
      </c>
      <c r="B4117" s="13" t="str">
        <f aca="false">IF(עזר!L4117="","",INDEX(עזר!$B$2:$B$5001,עזר!L4117))</f>
        <v/>
      </c>
      <c r="C4117" s="13" t="str">
        <f aca="false">עזר!M4117</f>
        <v/>
      </c>
    </row>
    <row r="4118" customFormat="false" ht="15" hidden="false" customHeight="false" outlineLevel="0" collapsed="false">
      <c r="A4118" s="13" t="str">
        <f aca="false">IF(עזר!L4118="","",INDEX(עזר!$A$2:$A$5001,עזר!L4118))</f>
        <v/>
      </c>
      <c r="B4118" s="13" t="str">
        <f aca="false">IF(עזר!L4118="","",INDEX(עזר!$B$2:$B$5001,עזר!L4118))</f>
        <v/>
      </c>
      <c r="C4118" s="13" t="str">
        <f aca="false">עזר!M4118</f>
        <v/>
      </c>
    </row>
    <row r="4119" customFormat="false" ht="15" hidden="false" customHeight="false" outlineLevel="0" collapsed="false">
      <c r="A4119" s="13" t="str">
        <f aca="false">IF(עזר!L4119="","",INDEX(עזר!$A$2:$A$5001,עזר!L4119))</f>
        <v/>
      </c>
      <c r="B4119" s="13" t="str">
        <f aca="false">IF(עזר!L4119="","",INDEX(עזר!$B$2:$B$5001,עזר!L4119))</f>
        <v/>
      </c>
      <c r="C4119" s="13" t="str">
        <f aca="false">עזר!M4119</f>
        <v/>
      </c>
    </row>
    <row r="4120" customFormat="false" ht="15" hidden="false" customHeight="false" outlineLevel="0" collapsed="false">
      <c r="A4120" s="13" t="str">
        <f aca="false">IF(עזר!L4120="","",INDEX(עזר!$A$2:$A$5001,עזר!L4120))</f>
        <v/>
      </c>
      <c r="B4120" s="13" t="str">
        <f aca="false">IF(עזר!L4120="","",INDEX(עזר!$B$2:$B$5001,עזר!L4120))</f>
        <v/>
      </c>
      <c r="C4120" s="13" t="str">
        <f aca="false">עזר!M4120</f>
        <v/>
      </c>
    </row>
    <row r="4121" customFormat="false" ht="15" hidden="false" customHeight="false" outlineLevel="0" collapsed="false">
      <c r="A4121" s="13" t="str">
        <f aca="false">IF(עזר!L4121="","",INDEX(עזר!$A$2:$A$5001,עזר!L4121))</f>
        <v/>
      </c>
      <c r="B4121" s="13" t="str">
        <f aca="false">IF(עזר!L4121="","",INDEX(עזר!$B$2:$B$5001,עזר!L4121))</f>
        <v/>
      </c>
      <c r="C4121" s="13" t="str">
        <f aca="false">עזר!M4121</f>
        <v/>
      </c>
    </row>
    <row r="4122" customFormat="false" ht="15" hidden="false" customHeight="false" outlineLevel="0" collapsed="false">
      <c r="A4122" s="13" t="str">
        <f aca="false">IF(עזר!L4122="","",INDEX(עזר!$A$2:$A$5001,עזר!L4122))</f>
        <v/>
      </c>
      <c r="B4122" s="13" t="str">
        <f aca="false">IF(עזר!L4122="","",INDEX(עזר!$B$2:$B$5001,עזר!L4122))</f>
        <v/>
      </c>
      <c r="C4122" s="13" t="str">
        <f aca="false">עזר!M4122</f>
        <v/>
      </c>
    </row>
    <row r="4123" customFormat="false" ht="15" hidden="false" customHeight="false" outlineLevel="0" collapsed="false">
      <c r="A4123" s="13" t="str">
        <f aca="false">IF(עזר!L4123="","",INDEX(עזר!$A$2:$A$5001,עזר!L4123))</f>
        <v/>
      </c>
      <c r="B4123" s="13" t="str">
        <f aca="false">IF(עזר!L4123="","",INDEX(עזר!$B$2:$B$5001,עזר!L4123))</f>
        <v/>
      </c>
      <c r="C4123" s="13" t="str">
        <f aca="false">עזר!M4123</f>
        <v/>
      </c>
    </row>
    <row r="4124" customFormat="false" ht="15" hidden="false" customHeight="false" outlineLevel="0" collapsed="false">
      <c r="A4124" s="13" t="str">
        <f aca="false">IF(עזר!L4124="","",INDEX(עזר!$A$2:$A$5001,עזר!L4124))</f>
        <v/>
      </c>
      <c r="B4124" s="13" t="str">
        <f aca="false">IF(עזר!L4124="","",INDEX(עזר!$B$2:$B$5001,עזר!L4124))</f>
        <v/>
      </c>
      <c r="C4124" s="13" t="str">
        <f aca="false">עזר!M4124</f>
        <v/>
      </c>
    </row>
    <row r="4125" customFormat="false" ht="15" hidden="false" customHeight="false" outlineLevel="0" collapsed="false">
      <c r="A4125" s="13" t="str">
        <f aca="false">IF(עזר!L4125="","",INDEX(עזר!$A$2:$A$5001,עזר!L4125))</f>
        <v/>
      </c>
      <c r="B4125" s="13" t="str">
        <f aca="false">IF(עזר!L4125="","",INDEX(עזר!$B$2:$B$5001,עזר!L4125))</f>
        <v/>
      </c>
      <c r="C4125" s="13" t="str">
        <f aca="false">עזר!M4125</f>
        <v/>
      </c>
    </row>
    <row r="4126" customFormat="false" ht="15" hidden="false" customHeight="false" outlineLevel="0" collapsed="false">
      <c r="A4126" s="13" t="str">
        <f aca="false">IF(עזר!L4126="","",INDEX(עזר!$A$2:$A$5001,עזר!L4126))</f>
        <v/>
      </c>
      <c r="B4126" s="13" t="str">
        <f aca="false">IF(עזר!L4126="","",INDEX(עזר!$B$2:$B$5001,עזר!L4126))</f>
        <v/>
      </c>
      <c r="C4126" s="13" t="str">
        <f aca="false">עזר!M4126</f>
        <v/>
      </c>
    </row>
    <row r="4127" customFormat="false" ht="15" hidden="false" customHeight="false" outlineLevel="0" collapsed="false">
      <c r="A4127" s="13" t="str">
        <f aca="false">IF(עזר!L4127="","",INDEX(עזר!$A$2:$A$5001,עזר!L4127))</f>
        <v/>
      </c>
      <c r="B4127" s="13" t="str">
        <f aca="false">IF(עזר!L4127="","",INDEX(עזר!$B$2:$B$5001,עזר!L4127))</f>
        <v/>
      </c>
      <c r="C4127" s="13" t="str">
        <f aca="false">עזר!M4127</f>
        <v/>
      </c>
    </row>
    <row r="4128" customFormat="false" ht="15" hidden="false" customHeight="false" outlineLevel="0" collapsed="false">
      <c r="A4128" s="13" t="str">
        <f aca="false">IF(עזר!L4128="","",INDEX(עזר!$A$2:$A$5001,עזר!L4128))</f>
        <v/>
      </c>
      <c r="B4128" s="13" t="str">
        <f aca="false">IF(עזר!L4128="","",INDEX(עזר!$B$2:$B$5001,עזר!L4128))</f>
        <v/>
      </c>
      <c r="C4128" s="13" t="str">
        <f aca="false">עזר!M4128</f>
        <v/>
      </c>
    </row>
    <row r="4129" customFormat="false" ht="15" hidden="false" customHeight="false" outlineLevel="0" collapsed="false">
      <c r="A4129" s="13" t="str">
        <f aca="false">IF(עזר!L4129="","",INDEX(עזר!$A$2:$A$5001,עזר!L4129))</f>
        <v/>
      </c>
      <c r="B4129" s="13" t="str">
        <f aca="false">IF(עזר!L4129="","",INDEX(עזר!$B$2:$B$5001,עזר!L4129))</f>
        <v/>
      </c>
      <c r="C4129" s="13" t="str">
        <f aca="false">עזר!M4129</f>
        <v/>
      </c>
    </row>
    <row r="4130" customFormat="false" ht="15" hidden="false" customHeight="false" outlineLevel="0" collapsed="false">
      <c r="A4130" s="13" t="str">
        <f aca="false">IF(עזר!L4130="","",INDEX(עזר!$A$2:$A$5001,עזר!L4130))</f>
        <v/>
      </c>
      <c r="B4130" s="13" t="str">
        <f aca="false">IF(עזר!L4130="","",INDEX(עזר!$B$2:$B$5001,עזר!L4130))</f>
        <v/>
      </c>
      <c r="C4130" s="13" t="str">
        <f aca="false">עזר!M4130</f>
        <v/>
      </c>
    </row>
    <row r="4131" customFormat="false" ht="15" hidden="false" customHeight="false" outlineLevel="0" collapsed="false">
      <c r="A4131" s="13" t="str">
        <f aca="false">IF(עזר!L4131="","",INDEX(עזר!$A$2:$A$5001,עזר!L4131))</f>
        <v/>
      </c>
      <c r="B4131" s="13" t="str">
        <f aca="false">IF(עזר!L4131="","",INDEX(עזר!$B$2:$B$5001,עזר!L4131))</f>
        <v/>
      </c>
      <c r="C4131" s="13" t="str">
        <f aca="false">עזר!M4131</f>
        <v/>
      </c>
    </row>
    <row r="4132" customFormat="false" ht="15" hidden="false" customHeight="false" outlineLevel="0" collapsed="false">
      <c r="A4132" s="13" t="str">
        <f aca="false">IF(עזר!L4132="","",INDEX(עזר!$A$2:$A$5001,עזר!L4132))</f>
        <v/>
      </c>
      <c r="B4132" s="13" t="str">
        <f aca="false">IF(עזר!L4132="","",INDEX(עזר!$B$2:$B$5001,עזר!L4132))</f>
        <v/>
      </c>
      <c r="C4132" s="13" t="str">
        <f aca="false">עזר!M4132</f>
        <v/>
      </c>
    </row>
    <row r="4133" customFormat="false" ht="15" hidden="false" customHeight="false" outlineLevel="0" collapsed="false">
      <c r="A4133" s="13" t="str">
        <f aca="false">IF(עזר!L4133="","",INDEX(עזר!$A$2:$A$5001,עזר!L4133))</f>
        <v/>
      </c>
      <c r="B4133" s="13" t="str">
        <f aca="false">IF(עזר!L4133="","",INDEX(עזר!$B$2:$B$5001,עזר!L4133))</f>
        <v/>
      </c>
      <c r="C4133" s="13" t="str">
        <f aca="false">עזר!M4133</f>
        <v/>
      </c>
    </row>
    <row r="4134" customFormat="false" ht="15" hidden="false" customHeight="false" outlineLevel="0" collapsed="false">
      <c r="A4134" s="13" t="str">
        <f aca="false">IF(עזר!L4134="","",INDEX(עזר!$A$2:$A$5001,עזר!L4134))</f>
        <v/>
      </c>
      <c r="B4134" s="13" t="str">
        <f aca="false">IF(עזר!L4134="","",INDEX(עזר!$B$2:$B$5001,עזר!L4134))</f>
        <v/>
      </c>
      <c r="C4134" s="13" t="str">
        <f aca="false">עזר!M4134</f>
        <v/>
      </c>
    </row>
    <row r="4135" customFormat="false" ht="15" hidden="false" customHeight="false" outlineLevel="0" collapsed="false">
      <c r="A4135" s="13" t="str">
        <f aca="false">IF(עזר!L4135="","",INDEX(עזר!$A$2:$A$5001,עזר!L4135))</f>
        <v/>
      </c>
      <c r="B4135" s="13" t="str">
        <f aca="false">IF(עזר!L4135="","",INDEX(עזר!$B$2:$B$5001,עזר!L4135))</f>
        <v/>
      </c>
      <c r="C4135" s="13" t="str">
        <f aca="false">עזר!M4135</f>
        <v/>
      </c>
    </row>
    <row r="4136" customFormat="false" ht="15" hidden="false" customHeight="false" outlineLevel="0" collapsed="false">
      <c r="A4136" s="13" t="str">
        <f aca="false">IF(עזר!L4136="","",INDEX(עזר!$A$2:$A$5001,עזר!L4136))</f>
        <v/>
      </c>
      <c r="B4136" s="13" t="str">
        <f aca="false">IF(עזר!L4136="","",INDEX(עזר!$B$2:$B$5001,עזר!L4136))</f>
        <v/>
      </c>
      <c r="C4136" s="13" t="str">
        <f aca="false">עזר!M4136</f>
        <v/>
      </c>
    </row>
    <row r="4137" customFormat="false" ht="15" hidden="false" customHeight="false" outlineLevel="0" collapsed="false">
      <c r="A4137" s="13" t="str">
        <f aca="false">IF(עזר!L4137="","",INDEX(עזר!$A$2:$A$5001,עזר!L4137))</f>
        <v/>
      </c>
      <c r="B4137" s="13" t="str">
        <f aca="false">IF(עזר!L4137="","",INDEX(עזר!$B$2:$B$5001,עזר!L4137))</f>
        <v/>
      </c>
      <c r="C4137" s="13" t="str">
        <f aca="false">עזר!M4137</f>
        <v/>
      </c>
    </row>
    <row r="4138" customFormat="false" ht="15" hidden="false" customHeight="false" outlineLevel="0" collapsed="false">
      <c r="A4138" s="13" t="str">
        <f aca="false">IF(עזר!L4138="","",INDEX(עזר!$A$2:$A$5001,עזר!L4138))</f>
        <v/>
      </c>
      <c r="B4138" s="13" t="str">
        <f aca="false">IF(עזר!L4138="","",INDEX(עזר!$B$2:$B$5001,עזר!L4138))</f>
        <v/>
      </c>
      <c r="C4138" s="13" t="str">
        <f aca="false">עזר!M4138</f>
        <v/>
      </c>
    </row>
    <row r="4139" customFormat="false" ht="15" hidden="false" customHeight="false" outlineLevel="0" collapsed="false">
      <c r="A4139" s="13" t="str">
        <f aca="false">IF(עזר!L4139="","",INDEX(עזר!$A$2:$A$5001,עזר!L4139))</f>
        <v/>
      </c>
      <c r="B4139" s="13" t="str">
        <f aca="false">IF(עזר!L4139="","",INDEX(עזר!$B$2:$B$5001,עזר!L4139))</f>
        <v/>
      </c>
      <c r="C4139" s="13" t="str">
        <f aca="false">עזר!M4139</f>
        <v/>
      </c>
    </row>
    <row r="4140" customFormat="false" ht="15" hidden="false" customHeight="false" outlineLevel="0" collapsed="false">
      <c r="A4140" s="13" t="str">
        <f aca="false">IF(עזר!L4140="","",INDEX(עזר!$A$2:$A$5001,עזר!L4140))</f>
        <v/>
      </c>
      <c r="B4140" s="13" t="str">
        <f aca="false">IF(עזר!L4140="","",INDEX(עזר!$B$2:$B$5001,עזר!L4140))</f>
        <v/>
      </c>
      <c r="C4140" s="13" t="str">
        <f aca="false">עזר!M4140</f>
        <v/>
      </c>
    </row>
    <row r="4141" customFormat="false" ht="15" hidden="false" customHeight="false" outlineLevel="0" collapsed="false">
      <c r="A4141" s="13" t="str">
        <f aca="false">IF(עזר!L4141="","",INDEX(עזר!$A$2:$A$5001,עזר!L4141))</f>
        <v/>
      </c>
      <c r="B4141" s="13" t="str">
        <f aca="false">IF(עזר!L4141="","",INDEX(עזר!$B$2:$B$5001,עזר!L4141))</f>
        <v/>
      </c>
      <c r="C4141" s="13" t="str">
        <f aca="false">עזר!M4141</f>
        <v/>
      </c>
    </row>
    <row r="4142" customFormat="false" ht="15" hidden="false" customHeight="false" outlineLevel="0" collapsed="false">
      <c r="A4142" s="13" t="str">
        <f aca="false">IF(עזר!L4142="","",INDEX(עזר!$A$2:$A$5001,עזר!L4142))</f>
        <v/>
      </c>
      <c r="B4142" s="13" t="str">
        <f aca="false">IF(עזר!L4142="","",INDEX(עזר!$B$2:$B$5001,עזר!L4142))</f>
        <v/>
      </c>
      <c r="C4142" s="13" t="str">
        <f aca="false">עזר!M4142</f>
        <v/>
      </c>
    </row>
    <row r="4143" customFormat="false" ht="15" hidden="false" customHeight="false" outlineLevel="0" collapsed="false">
      <c r="A4143" s="13" t="str">
        <f aca="false">IF(עזר!L4143="","",INDEX(עזר!$A$2:$A$5001,עזר!L4143))</f>
        <v/>
      </c>
      <c r="B4143" s="13" t="str">
        <f aca="false">IF(עזר!L4143="","",INDEX(עזר!$B$2:$B$5001,עזר!L4143))</f>
        <v/>
      </c>
      <c r="C4143" s="13" t="str">
        <f aca="false">עזר!M4143</f>
        <v/>
      </c>
    </row>
    <row r="4144" customFormat="false" ht="15" hidden="false" customHeight="false" outlineLevel="0" collapsed="false">
      <c r="A4144" s="13" t="str">
        <f aca="false">IF(עזר!L4144="","",INDEX(עזר!$A$2:$A$5001,עזר!L4144))</f>
        <v/>
      </c>
      <c r="B4144" s="13" t="str">
        <f aca="false">IF(עזר!L4144="","",INDEX(עזר!$B$2:$B$5001,עזר!L4144))</f>
        <v/>
      </c>
      <c r="C4144" s="13" t="str">
        <f aca="false">עזר!M4144</f>
        <v/>
      </c>
    </row>
    <row r="4145" customFormat="false" ht="15" hidden="false" customHeight="false" outlineLevel="0" collapsed="false">
      <c r="A4145" s="13" t="str">
        <f aca="false">IF(עזר!L4145="","",INDEX(עזר!$A$2:$A$5001,עזר!L4145))</f>
        <v/>
      </c>
      <c r="B4145" s="13" t="str">
        <f aca="false">IF(עזר!L4145="","",INDEX(עזר!$B$2:$B$5001,עזר!L4145))</f>
        <v/>
      </c>
      <c r="C4145" s="13" t="str">
        <f aca="false">עזר!M4145</f>
        <v/>
      </c>
    </row>
    <row r="4146" customFormat="false" ht="15" hidden="false" customHeight="false" outlineLevel="0" collapsed="false">
      <c r="A4146" s="13" t="str">
        <f aca="false">IF(עזר!L4146="","",INDEX(עזר!$A$2:$A$5001,עזר!L4146))</f>
        <v/>
      </c>
      <c r="B4146" s="13" t="str">
        <f aca="false">IF(עזר!L4146="","",INDEX(עזר!$B$2:$B$5001,עזר!L4146))</f>
        <v/>
      </c>
      <c r="C4146" s="13" t="str">
        <f aca="false">עזר!M4146</f>
        <v/>
      </c>
    </row>
    <row r="4147" customFormat="false" ht="15" hidden="false" customHeight="false" outlineLevel="0" collapsed="false">
      <c r="A4147" s="13" t="str">
        <f aca="false">IF(עזר!L4147="","",INDEX(עזר!$A$2:$A$5001,עזר!L4147))</f>
        <v/>
      </c>
      <c r="B4147" s="13" t="str">
        <f aca="false">IF(עזר!L4147="","",INDEX(עזר!$B$2:$B$5001,עזר!L4147))</f>
        <v/>
      </c>
      <c r="C4147" s="13" t="str">
        <f aca="false">עזר!M4147</f>
        <v/>
      </c>
    </row>
    <row r="4148" customFormat="false" ht="15" hidden="false" customHeight="false" outlineLevel="0" collapsed="false">
      <c r="A4148" s="13" t="str">
        <f aca="false">IF(עזר!L4148="","",INDEX(עזר!$A$2:$A$5001,עזר!L4148))</f>
        <v/>
      </c>
      <c r="B4148" s="13" t="str">
        <f aca="false">IF(עזר!L4148="","",INDEX(עזר!$B$2:$B$5001,עזר!L4148))</f>
        <v/>
      </c>
      <c r="C4148" s="13" t="str">
        <f aca="false">עזר!M4148</f>
        <v/>
      </c>
    </row>
    <row r="4149" customFormat="false" ht="15" hidden="false" customHeight="false" outlineLevel="0" collapsed="false">
      <c r="A4149" s="13" t="str">
        <f aca="false">IF(עזר!L4149="","",INDEX(עזר!$A$2:$A$5001,עזר!L4149))</f>
        <v/>
      </c>
      <c r="B4149" s="13" t="str">
        <f aca="false">IF(עזר!L4149="","",INDEX(עזר!$B$2:$B$5001,עזר!L4149))</f>
        <v/>
      </c>
      <c r="C4149" s="13" t="str">
        <f aca="false">עזר!M4149</f>
        <v/>
      </c>
    </row>
    <row r="4150" customFormat="false" ht="15" hidden="false" customHeight="false" outlineLevel="0" collapsed="false">
      <c r="A4150" s="13" t="str">
        <f aca="false">IF(עזר!L4150="","",INDEX(עזר!$A$2:$A$5001,עזר!L4150))</f>
        <v/>
      </c>
      <c r="B4150" s="13" t="str">
        <f aca="false">IF(עזר!L4150="","",INDEX(עזר!$B$2:$B$5001,עזר!L4150))</f>
        <v/>
      </c>
      <c r="C4150" s="13" t="str">
        <f aca="false">עזר!M4150</f>
        <v/>
      </c>
    </row>
    <row r="4151" customFormat="false" ht="15" hidden="false" customHeight="false" outlineLevel="0" collapsed="false">
      <c r="A4151" s="13" t="str">
        <f aca="false">IF(עזר!L4151="","",INDEX(עזר!$A$2:$A$5001,עזר!L4151))</f>
        <v/>
      </c>
      <c r="B4151" s="13" t="str">
        <f aca="false">IF(עזר!L4151="","",INDEX(עזר!$B$2:$B$5001,עזר!L4151))</f>
        <v/>
      </c>
      <c r="C4151" s="13" t="str">
        <f aca="false">עזר!M4151</f>
        <v/>
      </c>
    </row>
    <row r="4152" customFormat="false" ht="15" hidden="false" customHeight="false" outlineLevel="0" collapsed="false">
      <c r="A4152" s="13" t="str">
        <f aca="false">IF(עזר!L4152="","",INDEX(עזר!$A$2:$A$5001,עזר!L4152))</f>
        <v/>
      </c>
      <c r="B4152" s="13" t="str">
        <f aca="false">IF(עזר!L4152="","",INDEX(עזר!$B$2:$B$5001,עזר!L4152))</f>
        <v/>
      </c>
      <c r="C4152" s="13" t="str">
        <f aca="false">עזר!M4152</f>
        <v/>
      </c>
    </row>
    <row r="4153" customFormat="false" ht="15" hidden="false" customHeight="false" outlineLevel="0" collapsed="false">
      <c r="A4153" s="13" t="str">
        <f aca="false">IF(עזר!L4153="","",INDEX(עזר!$A$2:$A$5001,עזר!L4153))</f>
        <v/>
      </c>
      <c r="B4153" s="13" t="str">
        <f aca="false">IF(עזר!L4153="","",INDEX(עזר!$B$2:$B$5001,עזר!L4153))</f>
        <v/>
      </c>
      <c r="C4153" s="13" t="str">
        <f aca="false">עזר!M4153</f>
        <v/>
      </c>
    </row>
    <row r="4154" customFormat="false" ht="15" hidden="false" customHeight="false" outlineLevel="0" collapsed="false">
      <c r="A4154" s="13" t="str">
        <f aca="false">IF(עזר!L4154="","",INDEX(עזר!$A$2:$A$5001,עזר!L4154))</f>
        <v/>
      </c>
      <c r="B4154" s="13" t="str">
        <f aca="false">IF(עזר!L4154="","",INDEX(עזר!$B$2:$B$5001,עזר!L4154))</f>
        <v/>
      </c>
      <c r="C4154" s="13" t="str">
        <f aca="false">עזר!M4154</f>
        <v/>
      </c>
    </row>
    <row r="4155" customFormat="false" ht="15" hidden="false" customHeight="false" outlineLevel="0" collapsed="false">
      <c r="A4155" s="13" t="str">
        <f aca="false">IF(עזר!L4155="","",INDEX(עזר!$A$2:$A$5001,עזר!L4155))</f>
        <v/>
      </c>
      <c r="B4155" s="13" t="str">
        <f aca="false">IF(עזר!L4155="","",INDEX(עזר!$B$2:$B$5001,עזר!L4155))</f>
        <v/>
      </c>
      <c r="C4155" s="13" t="str">
        <f aca="false">עזר!M4155</f>
        <v/>
      </c>
    </row>
    <row r="4156" customFormat="false" ht="15" hidden="false" customHeight="false" outlineLevel="0" collapsed="false">
      <c r="A4156" s="13" t="str">
        <f aca="false">IF(עזר!L4156="","",INDEX(עזר!$A$2:$A$5001,עזר!L4156))</f>
        <v/>
      </c>
      <c r="B4156" s="13" t="str">
        <f aca="false">IF(עזר!L4156="","",INDEX(עזר!$B$2:$B$5001,עזר!L4156))</f>
        <v/>
      </c>
      <c r="C4156" s="13" t="str">
        <f aca="false">עזר!M4156</f>
        <v/>
      </c>
    </row>
    <row r="4157" customFormat="false" ht="15" hidden="false" customHeight="false" outlineLevel="0" collapsed="false">
      <c r="A4157" s="13" t="str">
        <f aca="false">IF(עזר!L4157="","",INDEX(עזר!$A$2:$A$5001,עזר!L4157))</f>
        <v/>
      </c>
      <c r="B4157" s="13" t="str">
        <f aca="false">IF(עזר!L4157="","",INDEX(עזר!$B$2:$B$5001,עזר!L4157))</f>
        <v/>
      </c>
      <c r="C4157" s="13" t="str">
        <f aca="false">עזר!M4157</f>
        <v/>
      </c>
    </row>
    <row r="4158" customFormat="false" ht="15" hidden="false" customHeight="false" outlineLevel="0" collapsed="false">
      <c r="A4158" s="13" t="str">
        <f aca="false">IF(עזר!L4158="","",INDEX(עזר!$A$2:$A$5001,עזר!L4158))</f>
        <v/>
      </c>
      <c r="B4158" s="13" t="str">
        <f aca="false">IF(עזר!L4158="","",INDEX(עזר!$B$2:$B$5001,עזר!L4158))</f>
        <v/>
      </c>
      <c r="C4158" s="13" t="str">
        <f aca="false">עזר!M4158</f>
        <v/>
      </c>
    </row>
    <row r="4159" customFormat="false" ht="15" hidden="false" customHeight="false" outlineLevel="0" collapsed="false">
      <c r="A4159" s="13" t="str">
        <f aca="false">IF(עזר!L4159="","",INDEX(עזר!$A$2:$A$5001,עזר!L4159))</f>
        <v/>
      </c>
      <c r="B4159" s="13" t="str">
        <f aca="false">IF(עזר!L4159="","",INDEX(עזר!$B$2:$B$5001,עזר!L4159))</f>
        <v/>
      </c>
      <c r="C4159" s="13" t="str">
        <f aca="false">עזר!M4159</f>
        <v/>
      </c>
    </row>
    <row r="4160" customFormat="false" ht="15" hidden="false" customHeight="false" outlineLevel="0" collapsed="false">
      <c r="A4160" s="13" t="str">
        <f aca="false">IF(עזר!L4160="","",INDEX(עזר!$A$2:$A$5001,עזר!L4160))</f>
        <v/>
      </c>
      <c r="B4160" s="13" t="str">
        <f aca="false">IF(עזר!L4160="","",INDEX(עזר!$B$2:$B$5001,עזר!L4160))</f>
        <v/>
      </c>
      <c r="C4160" s="13" t="str">
        <f aca="false">עזר!M4160</f>
        <v/>
      </c>
    </row>
    <row r="4161" customFormat="false" ht="15" hidden="false" customHeight="false" outlineLevel="0" collapsed="false">
      <c r="A4161" s="13" t="str">
        <f aca="false">IF(עזר!L4161="","",INDEX(עזר!$A$2:$A$5001,עזר!L4161))</f>
        <v/>
      </c>
      <c r="B4161" s="13" t="str">
        <f aca="false">IF(עזר!L4161="","",INDEX(עזר!$B$2:$B$5001,עזר!L4161))</f>
        <v/>
      </c>
      <c r="C4161" s="13" t="str">
        <f aca="false">עזר!M4161</f>
        <v/>
      </c>
    </row>
    <row r="4162" customFormat="false" ht="15" hidden="false" customHeight="false" outlineLevel="0" collapsed="false">
      <c r="A4162" s="13" t="str">
        <f aca="false">IF(עזר!L4162="","",INDEX(עזר!$A$2:$A$5001,עזר!L4162))</f>
        <v/>
      </c>
      <c r="B4162" s="13" t="str">
        <f aca="false">IF(עזר!L4162="","",INDEX(עזר!$B$2:$B$5001,עזר!L4162))</f>
        <v/>
      </c>
      <c r="C4162" s="13" t="str">
        <f aca="false">עזר!M4162</f>
        <v/>
      </c>
    </row>
    <row r="4163" customFormat="false" ht="15" hidden="false" customHeight="false" outlineLevel="0" collapsed="false">
      <c r="A4163" s="13" t="str">
        <f aca="false">IF(עזר!L4163="","",INDEX(עזר!$A$2:$A$5001,עזר!L4163))</f>
        <v/>
      </c>
      <c r="B4163" s="13" t="str">
        <f aca="false">IF(עזר!L4163="","",INDEX(עזר!$B$2:$B$5001,עזר!L4163))</f>
        <v/>
      </c>
      <c r="C4163" s="13" t="str">
        <f aca="false">עזר!M4163</f>
        <v/>
      </c>
    </row>
    <row r="4164" customFormat="false" ht="15" hidden="false" customHeight="false" outlineLevel="0" collapsed="false">
      <c r="A4164" s="13" t="str">
        <f aca="false">IF(עזר!L4164="","",INDEX(עזר!$A$2:$A$5001,עזר!L4164))</f>
        <v/>
      </c>
      <c r="B4164" s="13" t="str">
        <f aca="false">IF(עזר!L4164="","",INDEX(עזר!$B$2:$B$5001,עזר!L4164))</f>
        <v/>
      </c>
      <c r="C4164" s="13" t="str">
        <f aca="false">עזר!M4164</f>
        <v/>
      </c>
    </row>
    <row r="4165" customFormat="false" ht="15" hidden="false" customHeight="false" outlineLevel="0" collapsed="false">
      <c r="A4165" s="13" t="str">
        <f aca="false">IF(עזר!L4165="","",INDEX(עזר!$A$2:$A$5001,עזר!L4165))</f>
        <v/>
      </c>
      <c r="B4165" s="13" t="str">
        <f aca="false">IF(עזר!L4165="","",INDEX(עזר!$B$2:$B$5001,עזר!L4165))</f>
        <v/>
      </c>
      <c r="C4165" s="13" t="str">
        <f aca="false">עזר!M4165</f>
        <v/>
      </c>
    </row>
    <row r="4166" customFormat="false" ht="15" hidden="false" customHeight="false" outlineLevel="0" collapsed="false">
      <c r="A4166" s="13" t="str">
        <f aca="false">IF(עזר!L4166="","",INDEX(עזר!$A$2:$A$5001,עזר!L4166))</f>
        <v/>
      </c>
      <c r="B4166" s="13" t="str">
        <f aca="false">IF(עזר!L4166="","",INDEX(עזר!$B$2:$B$5001,עזר!L4166))</f>
        <v/>
      </c>
      <c r="C4166" s="13" t="str">
        <f aca="false">עזר!M4166</f>
        <v/>
      </c>
    </row>
    <row r="4167" customFormat="false" ht="15" hidden="false" customHeight="false" outlineLevel="0" collapsed="false">
      <c r="A4167" s="13" t="str">
        <f aca="false">IF(עזר!L4167="","",INDEX(עזר!$A$2:$A$5001,עזר!L4167))</f>
        <v/>
      </c>
      <c r="B4167" s="13" t="str">
        <f aca="false">IF(עזר!L4167="","",INDEX(עזר!$B$2:$B$5001,עזר!L4167))</f>
        <v/>
      </c>
      <c r="C4167" s="13" t="str">
        <f aca="false">עזר!M4167</f>
        <v/>
      </c>
    </row>
    <row r="4168" customFormat="false" ht="15" hidden="false" customHeight="false" outlineLevel="0" collapsed="false">
      <c r="A4168" s="13" t="str">
        <f aca="false">IF(עזר!L4168="","",INDEX(עזר!$A$2:$A$5001,עזר!L4168))</f>
        <v/>
      </c>
      <c r="B4168" s="13" t="str">
        <f aca="false">IF(עזר!L4168="","",INDEX(עזר!$B$2:$B$5001,עזר!L4168))</f>
        <v/>
      </c>
      <c r="C4168" s="13" t="str">
        <f aca="false">עזר!M4168</f>
        <v/>
      </c>
    </row>
    <row r="4169" customFormat="false" ht="15" hidden="false" customHeight="false" outlineLevel="0" collapsed="false">
      <c r="A4169" s="13" t="str">
        <f aca="false">IF(עזר!L4169="","",INDEX(עזר!$A$2:$A$5001,עזר!L4169))</f>
        <v/>
      </c>
      <c r="B4169" s="13" t="str">
        <f aca="false">IF(עזר!L4169="","",INDEX(עזר!$B$2:$B$5001,עזר!L4169))</f>
        <v/>
      </c>
      <c r="C4169" s="13" t="str">
        <f aca="false">עזר!M4169</f>
        <v/>
      </c>
    </row>
    <row r="4170" customFormat="false" ht="15" hidden="false" customHeight="false" outlineLevel="0" collapsed="false">
      <c r="A4170" s="13" t="str">
        <f aca="false">IF(עזר!L4170="","",INDEX(עזר!$A$2:$A$5001,עזר!L4170))</f>
        <v/>
      </c>
      <c r="B4170" s="13" t="str">
        <f aca="false">IF(עזר!L4170="","",INDEX(עזר!$B$2:$B$5001,עזר!L4170))</f>
        <v/>
      </c>
      <c r="C4170" s="13" t="str">
        <f aca="false">עזר!M4170</f>
        <v/>
      </c>
    </row>
    <row r="4171" customFormat="false" ht="15" hidden="false" customHeight="false" outlineLevel="0" collapsed="false">
      <c r="A4171" s="13" t="str">
        <f aca="false">IF(עזר!L4171="","",INDEX(עזר!$A$2:$A$5001,עזר!L4171))</f>
        <v/>
      </c>
      <c r="B4171" s="13" t="str">
        <f aca="false">IF(עזר!L4171="","",INDEX(עזר!$B$2:$B$5001,עזר!L4171))</f>
        <v/>
      </c>
      <c r="C4171" s="13" t="str">
        <f aca="false">עזר!M4171</f>
        <v/>
      </c>
    </row>
    <row r="4172" customFormat="false" ht="15" hidden="false" customHeight="false" outlineLevel="0" collapsed="false">
      <c r="A4172" s="13" t="str">
        <f aca="false">IF(עזר!L4172="","",INDEX(עזר!$A$2:$A$5001,עזר!L4172))</f>
        <v/>
      </c>
      <c r="B4172" s="13" t="str">
        <f aca="false">IF(עזר!L4172="","",INDEX(עזר!$B$2:$B$5001,עזר!L4172))</f>
        <v/>
      </c>
      <c r="C4172" s="13" t="str">
        <f aca="false">עזר!M4172</f>
        <v/>
      </c>
    </row>
    <row r="4173" customFormat="false" ht="15" hidden="false" customHeight="false" outlineLevel="0" collapsed="false">
      <c r="A4173" s="13" t="str">
        <f aca="false">IF(עזר!L4173="","",INDEX(עזר!$A$2:$A$5001,עזר!L4173))</f>
        <v/>
      </c>
      <c r="B4173" s="13" t="str">
        <f aca="false">IF(עזר!L4173="","",INDEX(עזר!$B$2:$B$5001,עזר!L4173))</f>
        <v/>
      </c>
      <c r="C4173" s="13" t="str">
        <f aca="false">עזר!M4173</f>
        <v/>
      </c>
    </row>
    <row r="4174" customFormat="false" ht="15" hidden="false" customHeight="false" outlineLevel="0" collapsed="false">
      <c r="A4174" s="13" t="str">
        <f aca="false">IF(עזר!L4174="","",INDEX(עזר!$A$2:$A$5001,עזר!L4174))</f>
        <v/>
      </c>
      <c r="B4174" s="13" t="str">
        <f aca="false">IF(עזר!L4174="","",INDEX(עזר!$B$2:$B$5001,עזר!L4174))</f>
        <v/>
      </c>
      <c r="C4174" s="13" t="str">
        <f aca="false">עזר!M4174</f>
        <v/>
      </c>
    </row>
    <row r="4175" customFormat="false" ht="15" hidden="false" customHeight="false" outlineLevel="0" collapsed="false">
      <c r="A4175" s="13" t="str">
        <f aca="false">IF(עזר!L4175="","",INDEX(עזר!$A$2:$A$5001,עזר!L4175))</f>
        <v/>
      </c>
      <c r="B4175" s="13" t="str">
        <f aca="false">IF(עזר!L4175="","",INDEX(עזר!$B$2:$B$5001,עזר!L4175))</f>
        <v/>
      </c>
      <c r="C4175" s="13" t="str">
        <f aca="false">עזר!M4175</f>
        <v/>
      </c>
    </row>
    <row r="4176" customFormat="false" ht="15" hidden="false" customHeight="false" outlineLevel="0" collapsed="false">
      <c r="A4176" s="13" t="str">
        <f aca="false">IF(עזר!L4176="","",INDEX(עזר!$A$2:$A$5001,עזר!L4176))</f>
        <v/>
      </c>
      <c r="B4176" s="13" t="str">
        <f aca="false">IF(עזר!L4176="","",INDEX(עזר!$B$2:$B$5001,עזר!L4176))</f>
        <v/>
      </c>
      <c r="C4176" s="13" t="str">
        <f aca="false">עזר!M4176</f>
        <v/>
      </c>
    </row>
    <row r="4177" customFormat="false" ht="15" hidden="false" customHeight="false" outlineLevel="0" collapsed="false">
      <c r="A4177" s="13" t="str">
        <f aca="false">IF(עזר!L4177="","",INDEX(עזר!$A$2:$A$5001,עזר!L4177))</f>
        <v/>
      </c>
      <c r="B4177" s="13" t="str">
        <f aca="false">IF(עזר!L4177="","",INDEX(עזר!$B$2:$B$5001,עזר!L4177))</f>
        <v/>
      </c>
      <c r="C4177" s="13" t="str">
        <f aca="false">עזר!M4177</f>
        <v/>
      </c>
    </row>
    <row r="4178" customFormat="false" ht="15" hidden="false" customHeight="false" outlineLevel="0" collapsed="false">
      <c r="A4178" s="13" t="str">
        <f aca="false">IF(עזר!L4178="","",INDEX(עזר!$A$2:$A$5001,עזר!L4178))</f>
        <v/>
      </c>
      <c r="B4178" s="13" t="str">
        <f aca="false">IF(עזר!L4178="","",INDEX(עזר!$B$2:$B$5001,עזר!L4178))</f>
        <v/>
      </c>
      <c r="C4178" s="13" t="str">
        <f aca="false">עזר!M4178</f>
        <v/>
      </c>
    </row>
    <row r="4179" customFormat="false" ht="15" hidden="false" customHeight="false" outlineLevel="0" collapsed="false">
      <c r="A4179" s="13" t="str">
        <f aca="false">IF(עזר!L4179="","",INDEX(עזר!$A$2:$A$5001,עזר!L4179))</f>
        <v/>
      </c>
      <c r="B4179" s="13" t="str">
        <f aca="false">IF(עזר!L4179="","",INDEX(עזר!$B$2:$B$5001,עזר!L4179))</f>
        <v/>
      </c>
      <c r="C4179" s="13" t="str">
        <f aca="false">עזר!M4179</f>
        <v/>
      </c>
    </row>
    <row r="4180" customFormat="false" ht="15" hidden="false" customHeight="false" outlineLevel="0" collapsed="false">
      <c r="A4180" s="13" t="str">
        <f aca="false">IF(עזר!L4180="","",INDEX(עזר!$A$2:$A$5001,עזר!L4180))</f>
        <v/>
      </c>
      <c r="B4180" s="13" t="str">
        <f aca="false">IF(עזר!L4180="","",INDEX(עזר!$B$2:$B$5001,עזר!L4180))</f>
        <v/>
      </c>
      <c r="C4180" s="13" t="str">
        <f aca="false">עזר!M4180</f>
        <v/>
      </c>
    </row>
    <row r="4181" customFormat="false" ht="15" hidden="false" customHeight="false" outlineLevel="0" collapsed="false">
      <c r="A4181" s="13" t="str">
        <f aca="false">IF(עזר!L4181="","",INDEX(עזר!$A$2:$A$5001,עזר!L4181))</f>
        <v/>
      </c>
      <c r="B4181" s="13" t="str">
        <f aca="false">IF(עזר!L4181="","",INDEX(עזר!$B$2:$B$5001,עזר!L4181))</f>
        <v/>
      </c>
      <c r="C4181" s="13" t="str">
        <f aca="false">עזר!M4181</f>
        <v/>
      </c>
    </row>
    <row r="4182" customFormat="false" ht="15" hidden="false" customHeight="false" outlineLevel="0" collapsed="false">
      <c r="A4182" s="13" t="str">
        <f aca="false">IF(עזר!L4182="","",INDEX(עזר!$A$2:$A$5001,עזר!L4182))</f>
        <v/>
      </c>
      <c r="B4182" s="13" t="str">
        <f aca="false">IF(עזר!L4182="","",INDEX(עזר!$B$2:$B$5001,עזר!L4182))</f>
        <v/>
      </c>
      <c r="C4182" s="13" t="str">
        <f aca="false">עזר!M4182</f>
        <v/>
      </c>
    </row>
    <row r="4183" customFormat="false" ht="15" hidden="false" customHeight="false" outlineLevel="0" collapsed="false">
      <c r="A4183" s="13" t="str">
        <f aca="false">IF(עזר!L4183="","",INDEX(עזר!$A$2:$A$5001,עזר!L4183))</f>
        <v/>
      </c>
      <c r="B4183" s="13" t="str">
        <f aca="false">IF(עזר!L4183="","",INDEX(עזר!$B$2:$B$5001,עזר!L4183))</f>
        <v/>
      </c>
      <c r="C4183" s="13" t="str">
        <f aca="false">עזר!M4183</f>
        <v/>
      </c>
    </row>
    <row r="4184" customFormat="false" ht="15" hidden="false" customHeight="false" outlineLevel="0" collapsed="false">
      <c r="A4184" s="13" t="str">
        <f aca="false">IF(עזר!L4184="","",INDEX(עזר!$A$2:$A$5001,עזר!L4184))</f>
        <v/>
      </c>
      <c r="B4184" s="13" t="str">
        <f aca="false">IF(עזר!L4184="","",INDEX(עזר!$B$2:$B$5001,עזר!L4184))</f>
        <v/>
      </c>
      <c r="C4184" s="13" t="str">
        <f aca="false">עזר!M4184</f>
        <v/>
      </c>
    </row>
    <row r="4185" customFormat="false" ht="15" hidden="false" customHeight="false" outlineLevel="0" collapsed="false">
      <c r="A4185" s="13" t="str">
        <f aca="false">IF(עזר!L4185="","",INDEX(עזר!$A$2:$A$5001,עזר!L4185))</f>
        <v/>
      </c>
      <c r="B4185" s="13" t="str">
        <f aca="false">IF(עזר!L4185="","",INDEX(עזר!$B$2:$B$5001,עזר!L4185))</f>
        <v/>
      </c>
      <c r="C4185" s="13" t="str">
        <f aca="false">עזר!M4185</f>
        <v/>
      </c>
    </row>
    <row r="4186" customFormat="false" ht="15" hidden="false" customHeight="false" outlineLevel="0" collapsed="false">
      <c r="A4186" s="13" t="str">
        <f aca="false">IF(עזר!L4186="","",INDEX(עזר!$A$2:$A$5001,עזר!L4186))</f>
        <v/>
      </c>
      <c r="B4186" s="13" t="str">
        <f aca="false">IF(עזר!L4186="","",INDEX(עזר!$B$2:$B$5001,עזר!L4186))</f>
        <v/>
      </c>
      <c r="C4186" s="13" t="str">
        <f aca="false">עזר!M4186</f>
        <v/>
      </c>
    </row>
    <row r="4187" customFormat="false" ht="15" hidden="false" customHeight="false" outlineLevel="0" collapsed="false">
      <c r="A4187" s="13" t="str">
        <f aca="false">IF(עזר!L4187="","",INDEX(עזר!$A$2:$A$5001,עזר!L4187))</f>
        <v/>
      </c>
      <c r="B4187" s="13" t="str">
        <f aca="false">IF(עזר!L4187="","",INDEX(עזר!$B$2:$B$5001,עזר!L4187))</f>
        <v/>
      </c>
      <c r="C4187" s="13" t="str">
        <f aca="false">עזר!M4187</f>
        <v/>
      </c>
    </row>
    <row r="4188" customFormat="false" ht="15" hidden="false" customHeight="false" outlineLevel="0" collapsed="false">
      <c r="A4188" s="13" t="str">
        <f aca="false">IF(עזר!L4188="","",INDEX(עזר!$A$2:$A$5001,עזר!L4188))</f>
        <v/>
      </c>
      <c r="B4188" s="13" t="str">
        <f aca="false">IF(עזר!L4188="","",INDEX(עזר!$B$2:$B$5001,עזר!L4188))</f>
        <v/>
      </c>
      <c r="C4188" s="13" t="str">
        <f aca="false">עזר!M4188</f>
        <v/>
      </c>
    </row>
    <row r="4189" customFormat="false" ht="15" hidden="false" customHeight="false" outlineLevel="0" collapsed="false">
      <c r="A4189" s="13" t="str">
        <f aca="false">IF(עזר!L4189="","",INDEX(עזר!$A$2:$A$5001,עזר!L4189))</f>
        <v/>
      </c>
      <c r="B4189" s="13" t="str">
        <f aca="false">IF(עזר!L4189="","",INDEX(עזר!$B$2:$B$5001,עזר!L4189))</f>
        <v/>
      </c>
      <c r="C4189" s="13" t="str">
        <f aca="false">עזר!M4189</f>
        <v/>
      </c>
    </row>
    <row r="4190" customFormat="false" ht="15" hidden="false" customHeight="false" outlineLevel="0" collapsed="false">
      <c r="A4190" s="13" t="str">
        <f aca="false">IF(עזר!L4190="","",INDEX(עזר!$A$2:$A$5001,עזר!L4190))</f>
        <v/>
      </c>
      <c r="B4190" s="13" t="str">
        <f aca="false">IF(עזר!L4190="","",INDEX(עזר!$B$2:$B$5001,עזר!L4190))</f>
        <v/>
      </c>
      <c r="C4190" s="13" t="str">
        <f aca="false">עזר!M4190</f>
        <v/>
      </c>
    </row>
    <row r="4191" customFormat="false" ht="15" hidden="false" customHeight="false" outlineLevel="0" collapsed="false">
      <c r="A4191" s="13" t="str">
        <f aca="false">IF(עזר!L4191="","",INDEX(עזר!$A$2:$A$5001,עזר!L4191))</f>
        <v/>
      </c>
      <c r="B4191" s="13" t="str">
        <f aca="false">IF(עזר!L4191="","",INDEX(עזר!$B$2:$B$5001,עזר!L4191))</f>
        <v/>
      </c>
      <c r="C4191" s="13" t="str">
        <f aca="false">עזר!M4191</f>
        <v/>
      </c>
    </row>
    <row r="4192" customFormat="false" ht="15" hidden="false" customHeight="false" outlineLevel="0" collapsed="false">
      <c r="A4192" s="13" t="str">
        <f aca="false">IF(עזר!L4192="","",INDEX(עזר!$A$2:$A$5001,עזר!L4192))</f>
        <v/>
      </c>
      <c r="B4192" s="13" t="str">
        <f aca="false">IF(עזר!L4192="","",INDEX(עזר!$B$2:$B$5001,עזר!L4192))</f>
        <v/>
      </c>
      <c r="C4192" s="13" t="str">
        <f aca="false">עזר!M4192</f>
        <v/>
      </c>
    </row>
    <row r="4193" customFormat="false" ht="15" hidden="false" customHeight="false" outlineLevel="0" collapsed="false">
      <c r="A4193" s="13" t="str">
        <f aca="false">IF(עזר!L4193="","",INDEX(עזר!$A$2:$A$5001,עזר!L4193))</f>
        <v/>
      </c>
      <c r="B4193" s="13" t="str">
        <f aca="false">IF(עזר!L4193="","",INDEX(עזר!$B$2:$B$5001,עזר!L4193))</f>
        <v/>
      </c>
      <c r="C4193" s="13" t="str">
        <f aca="false">עזר!M4193</f>
        <v/>
      </c>
    </row>
    <row r="4194" customFormat="false" ht="15" hidden="false" customHeight="false" outlineLevel="0" collapsed="false">
      <c r="A4194" s="13" t="str">
        <f aca="false">IF(עזר!L4194="","",INDEX(עזר!$A$2:$A$5001,עזר!L4194))</f>
        <v/>
      </c>
      <c r="B4194" s="13" t="str">
        <f aca="false">IF(עזר!L4194="","",INDEX(עזר!$B$2:$B$5001,עזר!L4194))</f>
        <v/>
      </c>
      <c r="C4194" s="13" t="str">
        <f aca="false">עזר!M4194</f>
        <v/>
      </c>
    </row>
    <row r="4195" customFormat="false" ht="15" hidden="false" customHeight="false" outlineLevel="0" collapsed="false">
      <c r="A4195" s="13" t="str">
        <f aca="false">IF(עזר!L4195="","",INDEX(עזר!$A$2:$A$5001,עזר!L4195))</f>
        <v/>
      </c>
      <c r="B4195" s="13" t="str">
        <f aca="false">IF(עזר!L4195="","",INDEX(עזר!$B$2:$B$5001,עזר!L4195))</f>
        <v/>
      </c>
      <c r="C4195" s="13" t="str">
        <f aca="false">עזר!M4195</f>
        <v/>
      </c>
    </row>
    <row r="4196" customFormat="false" ht="15" hidden="false" customHeight="false" outlineLevel="0" collapsed="false">
      <c r="A4196" s="13" t="str">
        <f aca="false">IF(עזר!L4196="","",INDEX(עזר!$A$2:$A$5001,עזר!L4196))</f>
        <v/>
      </c>
      <c r="B4196" s="13" t="str">
        <f aca="false">IF(עזר!L4196="","",INDEX(עזר!$B$2:$B$5001,עזר!L4196))</f>
        <v/>
      </c>
      <c r="C4196" s="13" t="str">
        <f aca="false">עזר!M4196</f>
        <v/>
      </c>
    </row>
    <row r="4197" customFormat="false" ht="15" hidden="false" customHeight="false" outlineLevel="0" collapsed="false">
      <c r="A4197" s="13" t="str">
        <f aca="false">IF(עזר!L4197="","",INDEX(עזר!$A$2:$A$5001,עזר!L4197))</f>
        <v/>
      </c>
      <c r="B4197" s="13" t="str">
        <f aca="false">IF(עזר!L4197="","",INDEX(עזר!$B$2:$B$5001,עזר!L4197))</f>
        <v/>
      </c>
      <c r="C4197" s="13" t="str">
        <f aca="false">עזר!M4197</f>
        <v/>
      </c>
    </row>
    <row r="4198" customFormat="false" ht="15" hidden="false" customHeight="false" outlineLevel="0" collapsed="false">
      <c r="A4198" s="13" t="str">
        <f aca="false">IF(עזר!L4198="","",INDEX(עזר!$A$2:$A$5001,עזר!L4198))</f>
        <v/>
      </c>
      <c r="B4198" s="13" t="str">
        <f aca="false">IF(עזר!L4198="","",INDEX(עזר!$B$2:$B$5001,עזר!L4198))</f>
        <v/>
      </c>
      <c r="C4198" s="13" t="str">
        <f aca="false">עזר!M4198</f>
        <v/>
      </c>
    </row>
    <row r="4199" customFormat="false" ht="15" hidden="false" customHeight="false" outlineLevel="0" collapsed="false">
      <c r="A4199" s="13" t="str">
        <f aca="false">IF(עזר!L4199="","",INDEX(עזר!$A$2:$A$5001,עזר!L4199))</f>
        <v/>
      </c>
      <c r="B4199" s="13" t="str">
        <f aca="false">IF(עזר!L4199="","",INDEX(עזר!$B$2:$B$5001,עזר!L4199))</f>
        <v/>
      </c>
      <c r="C4199" s="13" t="str">
        <f aca="false">עזר!M4199</f>
        <v/>
      </c>
    </row>
    <row r="4200" customFormat="false" ht="15" hidden="false" customHeight="false" outlineLevel="0" collapsed="false">
      <c r="A4200" s="13" t="str">
        <f aca="false">IF(עזר!L4200="","",INDEX(עזר!$A$2:$A$5001,עזר!L4200))</f>
        <v/>
      </c>
      <c r="B4200" s="13" t="str">
        <f aca="false">IF(עזר!L4200="","",INDEX(עזר!$B$2:$B$5001,עזר!L4200))</f>
        <v/>
      </c>
      <c r="C4200" s="13" t="str">
        <f aca="false">עזר!M4200</f>
        <v/>
      </c>
    </row>
    <row r="4201" customFormat="false" ht="15" hidden="false" customHeight="false" outlineLevel="0" collapsed="false">
      <c r="A4201" s="13" t="str">
        <f aca="false">IF(עזר!L4201="","",INDEX(עזר!$A$2:$A$5001,עזר!L4201))</f>
        <v/>
      </c>
      <c r="B4201" s="13" t="str">
        <f aca="false">IF(עזר!L4201="","",INDEX(עזר!$B$2:$B$5001,עזר!L4201))</f>
        <v/>
      </c>
      <c r="C4201" s="13" t="str">
        <f aca="false">עזר!M4201</f>
        <v/>
      </c>
    </row>
    <row r="4202" customFormat="false" ht="15" hidden="false" customHeight="false" outlineLevel="0" collapsed="false">
      <c r="A4202" s="13" t="str">
        <f aca="false">IF(עזר!L4202="","",INDEX(עזר!$A$2:$A$5001,עזר!L4202))</f>
        <v/>
      </c>
      <c r="B4202" s="13" t="str">
        <f aca="false">IF(עזר!L4202="","",INDEX(עזר!$B$2:$B$5001,עזר!L4202))</f>
        <v/>
      </c>
      <c r="C4202" s="13" t="str">
        <f aca="false">עזר!M4202</f>
        <v/>
      </c>
    </row>
    <row r="4203" customFormat="false" ht="15" hidden="false" customHeight="false" outlineLevel="0" collapsed="false">
      <c r="A4203" s="13" t="str">
        <f aca="false">IF(עזר!L4203="","",INDEX(עזר!$A$2:$A$5001,עזר!L4203))</f>
        <v/>
      </c>
      <c r="B4203" s="13" t="str">
        <f aca="false">IF(עזר!L4203="","",INDEX(עזר!$B$2:$B$5001,עזר!L4203))</f>
        <v/>
      </c>
      <c r="C4203" s="13" t="str">
        <f aca="false">עזר!M4203</f>
        <v/>
      </c>
    </row>
    <row r="4204" customFormat="false" ht="15" hidden="false" customHeight="false" outlineLevel="0" collapsed="false">
      <c r="A4204" s="13" t="str">
        <f aca="false">IF(עזר!L4204="","",INDEX(עזר!$A$2:$A$5001,עזר!L4204))</f>
        <v/>
      </c>
      <c r="B4204" s="13" t="str">
        <f aca="false">IF(עזר!L4204="","",INDEX(עזר!$B$2:$B$5001,עזר!L4204))</f>
        <v/>
      </c>
      <c r="C4204" s="13" t="str">
        <f aca="false">עזר!M4204</f>
        <v/>
      </c>
    </row>
    <row r="4205" customFormat="false" ht="15" hidden="false" customHeight="false" outlineLevel="0" collapsed="false">
      <c r="A4205" s="13" t="str">
        <f aca="false">IF(עזר!L4205="","",INDEX(עזר!$A$2:$A$5001,עזר!L4205))</f>
        <v/>
      </c>
      <c r="B4205" s="13" t="str">
        <f aca="false">IF(עזר!L4205="","",INDEX(עזר!$B$2:$B$5001,עזר!L4205))</f>
        <v/>
      </c>
      <c r="C4205" s="13" t="str">
        <f aca="false">עזר!M4205</f>
        <v/>
      </c>
    </row>
    <row r="4206" customFormat="false" ht="15" hidden="false" customHeight="false" outlineLevel="0" collapsed="false">
      <c r="A4206" s="13" t="str">
        <f aca="false">IF(עזר!L4206="","",INDEX(עזר!$A$2:$A$5001,עזר!L4206))</f>
        <v/>
      </c>
      <c r="B4206" s="13" t="str">
        <f aca="false">IF(עזר!L4206="","",INDEX(עזר!$B$2:$B$5001,עזר!L4206))</f>
        <v/>
      </c>
      <c r="C4206" s="13" t="str">
        <f aca="false">עזר!M4206</f>
        <v/>
      </c>
    </row>
    <row r="4207" customFormat="false" ht="15" hidden="false" customHeight="false" outlineLevel="0" collapsed="false">
      <c r="A4207" s="13" t="str">
        <f aca="false">IF(עזר!L4207="","",INDEX(עזר!$A$2:$A$5001,עזר!L4207))</f>
        <v/>
      </c>
      <c r="B4207" s="13" t="str">
        <f aca="false">IF(עזר!L4207="","",INDEX(עזר!$B$2:$B$5001,עזר!L4207))</f>
        <v/>
      </c>
      <c r="C4207" s="13" t="str">
        <f aca="false">עזר!M4207</f>
        <v/>
      </c>
    </row>
    <row r="4208" customFormat="false" ht="15" hidden="false" customHeight="false" outlineLevel="0" collapsed="false">
      <c r="A4208" s="13" t="str">
        <f aca="false">IF(עזר!L4208="","",INDEX(עזר!$A$2:$A$5001,עזר!L4208))</f>
        <v/>
      </c>
      <c r="B4208" s="13" t="str">
        <f aca="false">IF(עזר!L4208="","",INDEX(עזר!$B$2:$B$5001,עזר!L4208))</f>
        <v/>
      </c>
      <c r="C4208" s="13" t="str">
        <f aca="false">עזר!M4208</f>
        <v/>
      </c>
    </row>
    <row r="4209" customFormat="false" ht="15" hidden="false" customHeight="false" outlineLevel="0" collapsed="false">
      <c r="A4209" s="13" t="str">
        <f aca="false">IF(עזר!L4209="","",INDEX(עזר!$A$2:$A$5001,עזר!L4209))</f>
        <v/>
      </c>
      <c r="B4209" s="13" t="str">
        <f aca="false">IF(עזר!L4209="","",INDEX(עזר!$B$2:$B$5001,עזר!L4209))</f>
        <v/>
      </c>
      <c r="C4209" s="13" t="str">
        <f aca="false">עזר!M4209</f>
        <v/>
      </c>
    </row>
    <row r="4210" customFormat="false" ht="15" hidden="false" customHeight="false" outlineLevel="0" collapsed="false">
      <c r="A4210" s="13" t="str">
        <f aca="false">IF(עזר!L4210="","",INDEX(עזר!$A$2:$A$5001,עזר!L4210))</f>
        <v/>
      </c>
      <c r="B4210" s="13" t="str">
        <f aca="false">IF(עזר!L4210="","",INDEX(עזר!$B$2:$B$5001,עזר!L4210))</f>
        <v/>
      </c>
      <c r="C4210" s="13" t="str">
        <f aca="false">עזר!M4210</f>
        <v/>
      </c>
    </row>
    <row r="4211" customFormat="false" ht="15" hidden="false" customHeight="false" outlineLevel="0" collapsed="false">
      <c r="A4211" s="13" t="str">
        <f aca="false">IF(עזר!L4211="","",INDEX(עזר!$A$2:$A$5001,עזר!L4211))</f>
        <v/>
      </c>
      <c r="B4211" s="13" t="str">
        <f aca="false">IF(עזר!L4211="","",INDEX(עזר!$B$2:$B$5001,עזר!L4211))</f>
        <v/>
      </c>
      <c r="C4211" s="13" t="str">
        <f aca="false">עזר!M4211</f>
        <v/>
      </c>
    </row>
    <row r="4212" customFormat="false" ht="15" hidden="false" customHeight="false" outlineLevel="0" collapsed="false">
      <c r="A4212" s="13" t="str">
        <f aca="false">IF(עזר!L4212="","",INDEX(עזר!$A$2:$A$5001,עזר!L4212))</f>
        <v/>
      </c>
      <c r="B4212" s="13" t="str">
        <f aca="false">IF(עזר!L4212="","",INDEX(עזר!$B$2:$B$5001,עזר!L4212))</f>
        <v/>
      </c>
      <c r="C4212" s="13" t="str">
        <f aca="false">עזר!M4212</f>
        <v/>
      </c>
    </row>
    <row r="4213" customFormat="false" ht="15" hidden="false" customHeight="false" outlineLevel="0" collapsed="false">
      <c r="A4213" s="13" t="str">
        <f aca="false">IF(עזר!L4213="","",INDEX(עזר!$A$2:$A$5001,עזר!L4213))</f>
        <v/>
      </c>
      <c r="B4213" s="13" t="str">
        <f aca="false">IF(עזר!L4213="","",INDEX(עזר!$B$2:$B$5001,עזר!L4213))</f>
        <v/>
      </c>
      <c r="C4213" s="13" t="str">
        <f aca="false">עזר!M4213</f>
        <v/>
      </c>
    </row>
    <row r="4214" customFormat="false" ht="15" hidden="false" customHeight="false" outlineLevel="0" collapsed="false">
      <c r="A4214" s="13" t="str">
        <f aca="false">IF(עזר!L4214="","",INDEX(עזר!$A$2:$A$5001,עזר!L4214))</f>
        <v/>
      </c>
      <c r="B4214" s="13" t="str">
        <f aca="false">IF(עזר!L4214="","",INDEX(עזר!$B$2:$B$5001,עזר!L4214))</f>
        <v/>
      </c>
      <c r="C4214" s="13" t="str">
        <f aca="false">עזר!M4214</f>
        <v/>
      </c>
    </row>
    <row r="4215" customFormat="false" ht="15" hidden="false" customHeight="false" outlineLevel="0" collapsed="false">
      <c r="A4215" s="13" t="str">
        <f aca="false">IF(עזר!L4215="","",INDEX(עזר!$A$2:$A$5001,עזר!L4215))</f>
        <v/>
      </c>
      <c r="B4215" s="13" t="str">
        <f aca="false">IF(עזר!L4215="","",INDEX(עזר!$B$2:$B$5001,עזר!L4215))</f>
        <v/>
      </c>
      <c r="C4215" s="13" t="str">
        <f aca="false">עזר!M4215</f>
        <v/>
      </c>
    </row>
    <row r="4216" customFormat="false" ht="15" hidden="false" customHeight="false" outlineLevel="0" collapsed="false">
      <c r="A4216" s="13" t="str">
        <f aca="false">IF(עזר!L4216="","",INDEX(עזר!$A$2:$A$5001,עזר!L4216))</f>
        <v/>
      </c>
      <c r="B4216" s="13" t="str">
        <f aca="false">IF(עזר!L4216="","",INDEX(עזר!$B$2:$B$5001,עזר!L4216))</f>
        <v/>
      </c>
      <c r="C4216" s="13" t="str">
        <f aca="false">עזר!M4216</f>
        <v/>
      </c>
    </row>
    <row r="4217" customFormat="false" ht="15" hidden="false" customHeight="false" outlineLevel="0" collapsed="false">
      <c r="A4217" s="13" t="str">
        <f aca="false">IF(עזר!L4217="","",INDEX(עזר!$A$2:$A$5001,עזר!L4217))</f>
        <v/>
      </c>
      <c r="B4217" s="13" t="str">
        <f aca="false">IF(עזר!L4217="","",INDEX(עזר!$B$2:$B$5001,עזר!L4217))</f>
        <v/>
      </c>
      <c r="C4217" s="13" t="str">
        <f aca="false">עזר!M4217</f>
        <v/>
      </c>
    </row>
    <row r="4218" customFormat="false" ht="15" hidden="false" customHeight="false" outlineLevel="0" collapsed="false">
      <c r="A4218" s="13" t="str">
        <f aca="false">IF(עזר!L4218="","",INDEX(עזר!$A$2:$A$5001,עזר!L4218))</f>
        <v/>
      </c>
      <c r="B4218" s="13" t="str">
        <f aca="false">IF(עזר!L4218="","",INDEX(עזר!$B$2:$B$5001,עזר!L4218))</f>
        <v/>
      </c>
      <c r="C4218" s="13" t="str">
        <f aca="false">עזר!M4218</f>
        <v/>
      </c>
    </row>
    <row r="4219" customFormat="false" ht="15" hidden="false" customHeight="false" outlineLevel="0" collapsed="false">
      <c r="A4219" s="13" t="str">
        <f aca="false">IF(עזר!L4219="","",INDEX(עזר!$A$2:$A$5001,עזר!L4219))</f>
        <v/>
      </c>
      <c r="B4219" s="13" t="str">
        <f aca="false">IF(עזר!L4219="","",INDEX(עזר!$B$2:$B$5001,עזר!L4219))</f>
        <v/>
      </c>
      <c r="C4219" s="13" t="str">
        <f aca="false">עזר!M4219</f>
        <v/>
      </c>
    </row>
    <row r="4220" customFormat="false" ht="15" hidden="false" customHeight="false" outlineLevel="0" collapsed="false">
      <c r="A4220" s="13" t="str">
        <f aca="false">IF(עזר!L4220="","",INDEX(עזר!$A$2:$A$5001,עזר!L4220))</f>
        <v/>
      </c>
      <c r="B4220" s="13" t="str">
        <f aca="false">IF(עזר!L4220="","",INDEX(עזר!$B$2:$B$5001,עזר!L4220))</f>
        <v/>
      </c>
      <c r="C4220" s="13" t="str">
        <f aca="false">עזר!M4220</f>
        <v/>
      </c>
    </row>
    <row r="4221" customFormat="false" ht="15" hidden="false" customHeight="false" outlineLevel="0" collapsed="false">
      <c r="A4221" s="13" t="str">
        <f aca="false">IF(עזר!L4221="","",INDEX(עזר!$A$2:$A$5001,עזר!L4221))</f>
        <v/>
      </c>
      <c r="B4221" s="13" t="str">
        <f aca="false">IF(עזר!L4221="","",INDEX(עזר!$B$2:$B$5001,עזר!L4221))</f>
        <v/>
      </c>
      <c r="C4221" s="13" t="str">
        <f aca="false">עזר!M4221</f>
        <v/>
      </c>
    </row>
    <row r="4222" customFormat="false" ht="15" hidden="false" customHeight="false" outlineLevel="0" collapsed="false">
      <c r="A4222" s="13" t="str">
        <f aca="false">IF(עזר!L4222="","",INDEX(עזר!$A$2:$A$5001,עזר!L4222))</f>
        <v/>
      </c>
      <c r="B4222" s="13" t="str">
        <f aca="false">IF(עזר!L4222="","",INDEX(עזר!$B$2:$B$5001,עזר!L4222))</f>
        <v/>
      </c>
      <c r="C4222" s="13" t="str">
        <f aca="false">עזר!M4222</f>
        <v/>
      </c>
    </row>
    <row r="4223" customFormat="false" ht="15" hidden="false" customHeight="false" outlineLevel="0" collapsed="false">
      <c r="A4223" s="13" t="str">
        <f aca="false">IF(עזר!L4223="","",INDEX(עזר!$A$2:$A$5001,עזר!L4223))</f>
        <v/>
      </c>
      <c r="B4223" s="13" t="str">
        <f aca="false">IF(עזר!L4223="","",INDEX(עזר!$B$2:$B$5001,עזר!L4223))</f>
        <v/>
      </c>
      <c r="C4223" s="13" t="str">
        <f aca="false">עזר!M4223</f>
        <v/>
      </c>
    </row>
    <row r="4224" customFormat="false" ht="15" hidden="false" customHeight="false" outlineLevel="0" collapsed="false">
      <c r="A4224" s="13" t="str">
        <f aca="false">IF(עזר!L4224="","",INDEX(עזר!$A$2:$A$5001,עזר!L4224))</f>
        <v/>
      </c>
      <c r="B4224" s="13" t="str">
        <f aca="false">IF(עזר!L4224="","",INDEX(עזר!$B$2:$B$5001,עזר!L4224))</f>
        <v/>
      </c>
      <c r="C4224" s="13" t="str">
        <f aca="false">עזר!M4224</f>
        <v/>
      </c>
    </row>
    <row r="4225" customFormat="false" ht="15" hidden="false" customHeight="false" outlineLevel="0" collapsed="false">
      <c r="A4225" s="13" t="str">
        <f aca="false">IF(עזר!L4225="","",INDEX(עזר!$A$2:$A$5001,עזר!L4225))</f>
        <v/>
      </c>
      <c r="B4225" s="13" t="str">
        <f aca="false">IF(עזר!L4225="","",INDEX(עזר!$B$2:$B$5001,עזר!L4225))</f>
        <v/>
      </c>
      <c r="C4225" s="13" t="str">
        <f aca="false">עזר!M4225</f>
        <v/>
      </c>
    </row>
    <row r="4226" customFormat="false" ht="15" hidden="false" customHeight="false" outlineLevel="0" collapsed="false">
      <c r="A4226" s="13" t="str">
        <f aca="false">IF(עזר!L4226="","",INDEX(עזר!$A$2:$A$5001,עזר!L4226))</f>
        <v/>
      </c>
      <c r="B4226" s="13" t="str">
        <f aca="false">IF(עזר!L4226="","",INDEX(עזר!$B$2:$B$5001,עזר!L4226))</f>
        <v/>
      </c>
      <c r="C4226" s="13" t="str">
        <f aca="false">עזר!M4226</f>
        <v/>
      </c>
    </row>
    <row r="4227" customFormat="false" ht="15" hidden="false" customHeight="false" outlineLevel="0" collapsed="false">
      <c r="A4227" s="13" t="str">
        <f aca="false">IF(עזר!L4227="","",INDEX(עזר!$A$2:$A$5001,עזר!L4227))</f>
        <v/>
      </c>
      <c r="B4227" s="13" t="str">
        <f aca="false">IF(עזר!L4227="","",INDEX(עזר!$B$2:$B$5001,עזר!L4227))</f>
        <v/>
      </c>
      <c r="C4227" s="13" t="str">
        <f aca="false">עזר!M4227</f>
        <v/>
      </c>
    </row>
    <row r="4228" customFormat="false" ht="15" hidden="false" customHeight="false" outlineLevel="0" collapsed="false">
      <c r="A4228" s="13" t="str">
        <f aca="false">IF(עזר!L4228="","",INDEX(עזר!$A$2:$A$5001,עזר!L4228))</f>
        <v/>
      </c>
      <c r="B4228" s="13" t="str">
        <f aca="false">IF(עזר!L4228="","",INDEX(עזר!$B$2:$B$5001,עזר!L4228))</f>
        <v/>
      </c>
      <c r="C4228" s="13" t="str">
        <f aca="false">עזר!M4228</f>
        <v/>
      </c>
    </row>
    <row r="4229" customFormat="false" ht="15" hidden="false" customHeight="false" outlineLevel="0" collapsed="false">
      <c r="A4229" s="13" t="str">
        <f aca="false">IF(עזר!L4229="","",INDEX(עזר!$A$2:$A$5001,עזר!L4229))</f>
        <v/>
      </c>
      <c r="B4229" s="13" t="str">
        <f aca="false">IF(עזר!L4229="","",INDEX(עזר!$B$2:$B$5001,עזר!L4229))</f>
        <v/>
      </c>
      <c r="C4229" s="13" t="str">
        <f aca="false">עזר!M4229</f>
        <v/>
      </c>
    </row>
    <row r="4230" customFormat="false" ht="15" hidden="false" customHeight="false" outlineLevel="0" collapsed="false">
      <c r="A4230" s="13" t="str">
        <f aca="false">IF(עזר!L4230="","",INDEX(עזר!$A$2:$A$5001,עזר!L4230))</f>
        <v/>
      </c>
      <c r="B4230" s="13" t="str">
        <f aca="false">IF(עזר!L4230="","",INDEX(עזר!$B$2:$B$5001,עזר!L4230))</f>
        <v/>
      </c>
      <c r="C4230" s="13" t="str">
        <f aca="false">עזר!M4230</f>
        <v/>
      </c>
    </row>
    <row r="4231" customFormat="false" ht="15" hidden="false" customHeight="false" outlineLevel="0" collapsed="false">
      <c r="A4231" s="13" t="str">
        <f aca="false">IF(עזר!L4231="","",INDEX(עזר!$A$2:$A$5001,עזר!L4231))</f>
        <v/>
      </c>
      <c r="B4231" s="13" t="str">
        <f aca="false">IF(עזר!L4231="","",INDEX(עזר!$B$2:$B$5001,עזר!L4231))</f>
        <v/>
      </c>
      <c r="C4231" s="13" t="str">
        <f aca="false">עזר!M4231</f>
        <v/>
      </c>
    </row>
    <row r="4232" customFormat="false" ht="15" hidden="false" customHeight="false" outlineLevel="0" collapsed="false">
      <c r="A4232" s="13" t="str">
        <f aca="false">IF(עזר!L4232="","",INDEX(עזר!$A$2:$A$5001,עזר!L4232))</f>
        <v/>
      </c>
      <c r="B4232" s="13" t="str">
        <f aca="false">IF(עזר!L4232="","",INDEX(עזר!$B$2:$B$5001,עזר!L4232))</f>
        <v/>
      </c>
      <c r="C4232" s="13" t="str">
        <f aca="false">עזר!M4232</f>
        <v/>
      </c>
    </row>
    <row r="4233" customFormat="false" ht="15" hidden="false" customHeight="false" outlineLevel="0" collapsed="false">
      <c r="A4233" s="13" t="str">
        <f aca="false">IF(עזר!L4233="","",INDEX(עזר!$A$2:$A$5001,עזר!L4233))</f>
        <v/>
      </c>
      <c r="B4233" s="13" t="str">
        <f aca="false">IF(עזר!L4233="","",INDEX(עזר!$B$2:$B$5001,עזר!L4233))</f>
        <v/>
      </c>
      <c r="C4233" s="13" t="str">
        <f aca="false">עזר!M4233</f>
        <v/>
      </c>
    </row>
    <row r="4234" customFormat="false" ht="15" hidden="false" customHeight="false" outlineLevel="0" collapsed="false">
      <c r="A4234" s="13" t="str">
        <f aca="false">IF(עזר!L4234="","",INDEX(עזר!$A$2:$A$5001,עזר!L4234))</f>
        <v/>
      </c>
      <c r="B4234" s="13" t="str">
        <f aca="false">IF(עזר!L4234="","",INDEX(עזר!$B$2:$B$5001,עזר!L4234))</f>
        <v/>
      </c>
      <c r="C4234" s="13" t="str">
        <f aca="false">עזר!M4234</f>
        <v/>
      </c>
    </row>
    <row r="4235" customFormat="false" ht="15" hidden="false" customHeight="false" outlineLevel="0" collapsed="false">
      <c r="A4235" s="13" t="str">
        <f aca="false">IF(עזר!L4235="","",INDEX(עזר!$A$2:$A$5001,עזר!L4235))</f>
        <v/>
      </c>
      <c r="B4235" s="13" t="str">
        <f aca="false">IF(עזר!L4235="","",INDEX(עזר!$B$2:$B$5001,עזר!L4235))</f>
        <v/>
      </c>
      <c r="C4235" s="13" t="str">
        <f aca="false">עזר!M4235</f>
        <v/>
      </c>
    </row>
    <row r="4236" customFormat="false" ht="15" hidden="false" customHeight="false" outlineLevel="0" collapsed="false">
      <c r="A4236" s="13" t="str">
        <f aca="false">IF(עזר!L4236="","",INDEX(עזר!$A$2:$A$5001,עזר!L4236))</f>
        <v/>
      </c>
      <c r="B4236" s="13" t="str">
        <f aca="false">IF(עזר!L4236="","",INDEX(עזר!$B$2:$B$5001,עזר!L4236))</f>
        <v/>
      </c>
      <c r="C4236" s="13" t="str">
        <f aca="false">עזר!M4236</f>
        <v/>
      </c>
    </row>
    <row r="4237" customFormat="false" ht="15" hidden="false" customHeight="false" outlineLevel="0" collapsed="false">
      <c r="A4237" s="13" t="str">
        <f aca="false">IF(עזר!L4237="","",INDEX(עזר!$A$2:$A$5001,עזר!L4237))</f>
        <v/>
      </c>
      <c r="B4237" s="13" t="str">
        <f aca="false">IF(עזר!L4237="","",INDEX(עזר!$B$2:$B$5001,עזר!L4237))</f>
        <v/>
      </c>
      <c r="C4237" s="13" t="str">
        <f aca="false">עזר!M4237</f>
        <v/>
      </c>
    </row>
    <row r="4238" customFormat="false" ht="15" hidden="false" customHeight="false" outlineLevel="0" collapsed="false">
      <c r="A4238" s="13" t="str">
        <f aca="false">IF(עזר!L4238="","",INDEX(עזר!$A$2:$A$5001,עזר!L4238))</f>
        <v/>
      </c>
      <c r="B4238" s="13" t="str">
        <f aca="false">IF(עזר!L4238="","",INDEX(עזר!$B$2:$B$5001,עזר!L4238))</f>
        <v/>
      </c>
      <c r="C4238" s="13" t="str">
        <f aca="false">עזר!M4238</f>
        <v/>
      </c>
    </row>
    <row r="4239" customFormat="false" ht="15" hidden="false" customHeight="false" outlineLevel="0" collapsed="false">
      <c r="A4239" s="13" t="str">
        <f aca="false">IF(עזר!L4239="","",INDEX(עזר!$A$2:$A$5001,עזר!L4239))</f>
        <v/>
      </c>
      <c r="B4239" s="13" t="str">
        <f aca="false">IF(עזר!L4239="","",INDEX(עזר!$B$2:$B$5001,עזר!L4239))</f>
        <v/>
      </c>
      <c r="C4239" s="13" t="str">
        <f aca="false">עזר!M4239</f>
        <v/>
      </c>
    </row>
    <row r="4240" customFormat="false" ht="15" hidden="false" customHeight="false" outlineLevel="0" collapsed="false">
      <c r="A4240" s="13" t="str">
        <f aca="false">IF(עזר!L4240="","",INDEX(עזר!$A$2:$A$5001,עזר!L4240))</f>
        <v/>
      </c>
      <c r="B4240" s="13" t="str">
        <f aca="false">IF(עזר!L4240="","",INDEX(עזר!$B$2:$B$5001,עזר!L4240))</f>
        <v/>
      </c>
      <c r="C4240" s="13" t="str">
        <f aca="false">עזר!M4240</f>
        <v/>
      </c>
    </row>
    <row r="4241" customFormat="false" ht="15" hidden="false" customHeight="false" outlineLevel="0" collapsed="false">
      <c r="A4241" s="13" t="str">
        <f aca="false">IF(עזר!L4241="","",INDEX(עזר!$A$2:$A$5001,עזר!L4241))</f>
        <v/>
      </c>
      <c r="B4241" s="13" t="str">
        <f aca="false">IF(עזר!L4241="","",INDEX(עזר!$B$2:$B$5001,עזר!L4241))</f>
        <v/>
      </c>
      <c r="C4241" s="13" t="str">
        <f aca="false">עזר!M4241</f>
        <v/>
      </c>
    </row>
    <row r="4242" customFormat="false" ht="15" hidden="false" customHeight="false" outlineLevel="0" collapsed="false">
      <c r="A4242" s="13" t="str">
        <f aca="false">IF(עזר!L4242="","",INDEX(עזר!$A$2:$A$5001,עזר!L4242))</f>
        <v/>
      </c>
      <c r="B4242" s="13" t="str">
        <f aca="false">IF(עזר!L4242="","",INDEX(עזר!$B$2:$B$5001,עזר!L4242))</f>
        <v/>
      </c>
      <c r="C4242" s="13" t="str">
        <f aca="false">עזר!M4242</f>
        <v/>
      </c>
    </row>
    <row r="4243" customFormat="false" ht="15" hidden="false" customHeight="false" outlineLevel="0" collapsed="false">
      <c r="A4243" s="13" t="str">
        <f aca="false">IF(עזר!L4243="","",INDEX(עזר!$A$2:$A$5001,עזר!L4243))</f>
        <v/>
      </c>
      <c r="B4243" s="13" t="str">
        <f aca="false">IF(עזר!L4243="","",INDEX(עזר!$B$2:$B$5001,עזר!L4243))</f>
        <v/>
      </c>
      <c r="C4243" s="13" t="str">
        <f aca="false">עזר!M4243</f>
        <v/>
      </c>
    </row>
    <row r="4244" customFormat="false" ht="15" hidden="false" customHeight="false" outlineLevel="0" collapsed="false">
      <c r="A4244" s="13" t="str">
        <f aca="false">IF(עזר!L4244="","",INDEX(עזר!$A$2:$A$5001,עזר!L4244))</f>
        <v/>
      </c>
      <c r="B4244" s="13" t="str">
        <f aca="false">IF(עזר!L4244="","",INDEX(עזר!$B$2:$B$5001,עזר!L4244))</f>
        <v/>
      </c>
      <c r="C4244" s="13" t="str">
        <f aca="false">עזר!M4244</f>
        <v/>
      </c>
    </row>
    <row r="4245" customFormat="false" ht="15" hidden="false" customHeight="false" outlineLevel="0" collapsed="false">
      <c r="A4245" s="13" t="str">
        <f aca="false">IF(עזר!L4245="","",INDEX(עזר!$A$2:$A$5001,עזר!L4245))</f>
        <v/>
      </c>
      <c r="B4245" s="13" t="str">
        <f aca="false">IF(עזר!L4245="","",INDEX(עזר!$B$2:$B$5001,עזר!L4245))</f>
        <v/>
      </c>
      <c r="C4245" s="13" t="str">
        <f aca="false">עזר!M4245</f>
        <v/>
      </c>
    </row>
    <row r="4246" customFormat="false" ht="15" hidden="false" customHeight="false" outlineLevel="0" collapsed="false">
      <c r="A4246" s="13" t="str">
        <f aca="false">IF(עזר!L4246="","",INDEX(עזר!$A$2:$A$5001,עזר!L4246))</f>
        <v/>
      </c>
      <c r="B4246" s="13" t="str">
        <f aca="false">IF(עזר!L4246="","",INDEX(עזר!$B$2:$B$5001,עזר!L4246))</f>
        <v/>
      </c>
      <c r="C4246" s="13" t="str">
        <f aca="false">עזר!M4246</f>
        <v/>
      </c>
    </row>
    <row r="4247" customFormat="false" ht="15" hidden="false" customHeight="false" outlineLevel="0" collapsed="false">
      <c r="A4247" s="13" t="str">
        <f aca="false">IF(עזר!L4247="","",INDEX(עזר!$A$2:$A$5001,עזר!L4247))</f>
        <v/>
      </c>
      <c r="B4247" s="13" t="str">
        <f aca="false">IF(עזר!L4247="","",INDEX(עזר!$B$2:$B$5001,עזר!L4247))</f>
        <v/>
      </c>
      <c r="C4247" s="13" t="str">
        <f aca="false">עזר!M4247</f>
        <v/>
      </c>
    </row>
    <row r="4248" customFormat="false" ht="15" hidden="false" customHeight="false" outlineLevel="0" collapsed="false">
      <c r="A4248" s="13" t="str">
        <f aca="false">IF(עזר!L4248="","",INDEX(עזר!$A$2:$A$5001,עזר!L4248))</f>
        <v/>
      </c>
      <c r="B4248" s="13" t="str">
        <f aca="false">IF(עזר!L4248="","",INDEX(עזר!$B$2:$B$5001,עזר!L4248))</f>
        <v/>
      </c>
      <c r="C4248" s="13" t="str">
        <f aca="false">עזר!M4248</f>
        <v/>
      </c>
    </row>
    <row r="4249" customFormat="false" ht="15" hidden="false" customHeight="false" outlineLevel="0" collapsed="false">
      <c r="A4249" s="13" t="str">
        <f aca="false">IF(עזר!L4249="","",INDEX(עזר!$A$2:$A$5001,עזר!L4249))</f>
        <v/>
      </c>
      <c r="B4249" s="13" t="str">
        <f aca="false">IF(עזר!L4249="","",INDEX(עזר!$B$2:$B$5001,עזר!L4249))</f>
        <v/>
      </c>
      <c r="C4249" s="13" t="str">
        <f aca="false">עזר!M4249</f>
        <v/>
      </c>
    </row>
    <row r="4250" customFormat="false" ht="15" hidden="false" customHeight="false" outlineLevel="0" collapsed="false">
      <c r="A4250" s="13" t="str">
        <f aca="false">IF(עזר!L4250="","",INDEX(עזר!$A$2:$A$5001,עזר!L4250))</f>
        <v/>
      </c>
      <c r="B4250" s="13" t="str">
        <f aca="false">IF(עזר!L4250="","",INDEX(עזר!$B$2:$B$5001,עזר!L4250))</f>
        <v/>
      </c>
      <c r="C4250" s="13" t="str">
        <f aca="false">עזר!M4250</f>
        <v/>
      </c>
    </row>
    <row r="4251" customFormat="false" ht="15" hidden="false" customHeight="false" outlineLevel="0" collapsed="false">
      <c r="A4251" s="13" t="str">
        <f aca="false">IF(עזר!L4251="","",INDEX(עזר!$A$2:$A$5001,עזר!L4251))</f>
        <v/>
      </c>
      <c r="B4251" s="13" t="str">
        <f aca="false">IF(עזר!L4251="","",INDEX(עזר!$B$2:$B$5001,עזר!L4251))</f>
        <v/>
      </c>
      <c r="C4251" s="13" t="str">
        <f aca="false">עזר!M4251</f>
        <v/>
      </c>
    </row>
    <row r="4252" customFormat="false" ht="15" hidden="false" customHeight="false" outlineLevel="0" collapsed="false">
      <c r="A4252" s="13" t="str">
        <f aca="false">IF(עזר!L4252="","",INDEX(עזר!$A$2:$A$5001,עזר!L4252))</f>
        <v/>
      </c>
      <c r="B4252" s="13" t="str">
        <f aca="false">IF(עזר!L4252="","",INDEX(עזר!$B$2:$B$5001,עזר!L4252))</f>
        <v/>
      </c>
      <c r="C4252" s="13" t="str">
        <f aca="false">עזר!M4252</f>
        <v/>
      </c>
    </row>
    <row r="4253" customFormat="false" ht="15" hidden="false" customHeight="false" outlineLevel="0" collapsed="false">
      <c r="A4253" s="13" t="str">
        <f aca="false">IF(עזר!L4253="","",INDEX(עזר!$A$2:$A$5001,עזר!L4253))</f>
        <v/>
      </c>
      <c r="B4253" s="13" t="str">
        <f aca="false">IF(עזר!L4253="","",INDEX(עזר!$B$2:$B$5001,עזר!L4253))</f>
        <v/>
      </c>
      <c r="C4253" s="13" t="str">
        <f aca="false">עזר!M4253</f>
        <v/>
      </c>
    </row>
    <row r="4254" customFormat="false" ht="15" hidden="false" customHeight="false" outlineLevel="0" collapsed="false">
      <c r="A4254" s="13" t="str">
        <f aca="false">IF(עזר!L4254="","",INDEX(עזר!$A$2:$A$5001,עזר!L4254))</f>
        <v/>
      </c>
      <c r="B4254" s="13" t="str">
        <f aca="false">IF(עזר!L4254="","",INDEX(עזר!$B$2:$B$5001,עזר!L4254))</f>
        <v/>
      </c>
      <c r="C4254" s="13" t="str">
        <f aca="false">עזר!M4254</f>
        <v/>
      </c>
    </row>
    <row r="4255" customFormat="false" ht="15" hidden="false" customHeight="false" outlineLevel="0" collapsed="false">
      <c r="A4255" s="13" t="str">
        <f aca="false">IF(עזר!L4255="","",INDEX(עזר!$A$2:$A$5001,עזר!L4255))</f>
        <v/>
      </c>
      <c r="B4255" s="13" t="str">
        <f aca="false">IF(עזר!L4255="","",INDEX(עזר!$B$2:$B$5001,עזר!L4255))</f>
        <v/>
      </c>
      <c r="C4255" s="13" t="str">
        <f aca="false">עזר!M4255</f>
        <v/>
      </c>
    </row>
    <row r="4256" customFormat="false" ht="15" hidden="false" customHeight="false" outlineLevel="0" collapsed="false">
      <c r="A4256" s="13" t="str">
        <f aca="false">IF(עזר!L4256="","",INDEX(עזר!$A$2:$A$5001,עזר!L4256))</f>
        <v/>
      </c>
      <c r="B4256" s="13" t="str">
        <f aca="false">IF(עזר!L4256="","",INDEX(עזר!$B$2:$B$5001,עזר!L4256))</f>
        <v/>
      </c>
      <c r="C4256" s="13" t="str">
        <f aca="false">עזר!M4256</f>
        <v/>
      </c>
    </row>
    <row r="4257" customFormat="false" ht="15" hidden="false" customHeight="false" outlineLevel="0" collapsed="false">
      <c r="A4257" s="13" t="str">
        <f aca="false">IF(עזר!L4257="","",INDEX(עזר!$A$2:$A$5001,עזר!L4257))</f>
        <v/>
      </c>
      <c r="B4257" s="13" t="str">
        <f aca="false">IF(עזר!L4257="","",INDEX(עזר!$B$2:$B$5001,עזר!L4257))</f>
        <v/>
      </c>
      <c r="C4257" s="13" t="str">
        <f aca="false">עזר!M4257</f>
        <v/>
      </c>
    </row>
    <row r="4258" customFormat="false" ht="15" hidden="false" customHeight="false" outlineLevel="0" collapsed="false">
      <c r="A4258" s="13" t="str">
        <f aca="false">IF(עזר!L4258="","",INDEX(עזר!$A$2:$A$5001,עזר!L4258))</f>
        <v/>
      </c>
      <c r="B4258" s="13" t="str">
        <f aca="false">IF(עזר!L4258="","",INDEX(עזר!$B$2:$B$5001,עזר!L4258))</f>
        <v/>
      </c>
      <c r="C4258" s="13" t="str">
        <f aca="false">עזר!M4258</f>
        <v/>
      </c>
    </row>
    <row r="4259" customFormat="false" ht="15" hidden="false" customHeight="false" outlineLevel="0" collapsed="false">
      <c r="A4259" s="13" t="str">
        <f aca="false">IF(עזר!L4259="","",INDEX(עזר!$A$2:$A$5001,עזר!L4259))</f>
        <v/>
      </c>
      <c r="B4259" s="13" t="str">
        <f aca="false">IF(עזר!L4259="","",INDEX(עזר!$B$2:$B$5001,עזר!L4259))</f>
        <v/>
      </c>
      <c r="C4259" s="13" t="str">
        <f aca="false">עזר!M4259</f>
        <v/>
      </c>
    </row>
    <row r="4260" customFormat="false" ht="15" hidden="false" customHeight="false" outlineLevel="0" collapsed="false">
      <c r="A4260" s="13" t="str">
        <f aca="false">IF(עזר!L4260="","",INDEX(עזר!$A$2:$A$5001,עזר!L4260))</f>
        <v/>
      </c>
      <c r="B4260" s="13" t="str">
        <f aca="false">IF(עזר!L4260="","",INDEX(עזר!$B$2:$B$5001,עזר!L4260))</f>
        <v/>
      </c>
      <c r="C4260" s="13" t="str">
        <f aca="false">עזר!M4260</f>
        <v/>
      </c>
    </row>
    <row r="4261" customFormat="false" ht="15" hidden="false" customHeight="false" outlineLevel="0" collapsed="false">
      <c r="A4261" s="13" t="str">
        <f aca="false">IF(עזר!L4261="","",INDEX(עזר!$A$2:$A$5001,עזר!L4261))</f>
        <v/>
      </c>
      <c r="B4261" s="13" t="str">
        <f aca="false">IF(עזר!L4261="","",INDEX(עזר!$B$2:$B$5001,עזר!L4261))</f>
        <v/>
      </c>
      <c r="C4261" s="13" t="str">
        <f aca="false">עזר!M4261</f>
        <v/>
      </c>
    </row>
    <row r="4262" customFormat="false" ht="15" hidden="false" customHeight="false" outlineLevel="0" collapsed="false">
      <c r="A4262" s="13" t="str">
        <f aca="false">IF(עזר!L4262="","",INDEX(עזר!$A$2:$A$5001,עזר!L4262))</f>
        <v/>
      </c>
      <c r="B4262" s="13" t="str">
        <f aca="false">IF(עזר!L4262="","",INDEX(עזר!$B$2:$B$5001,עזר!L4262))</f>
        <v/>
      </c>
      <c r="C4262" s="13" t="str">
        <f aca="false">עזר!M4262</f>
        <v/>
      </c>
    </row>
    <row r="4263" customFormat="false" ht="15" hidden="false" customHeight="false" outlineLevel="0" collapsed="false">
      <c r="A4263" s="13" t="str">
        <f aca="false">IF(עזר!L4263="","",INDEX(עזר!$A$2:$A$5001,עזר!L4263))</f>
        <v/>
      </c>
      <c r="B4263" s="13" t="str">
        <f aca="false">IF(עזר!L4263="","",INDEX(עזר!$B$2:$B$5001,עזר!L4263))</f>
        <v/>
      </c>
      <c r="C4263" s="13" t="str">
        <f aca="false">עזר!M4263</f>
        <v/>
      </c>
    </row>
    <row r="4264" customFormat="false" ht="15" hidden="false" customHeight="false" outlineLevel="0" collapsed="false">
      <c r="A4264" s="13" t="str">
        <f aca="false">IF(עזר!L4264="","",INDEX(עזר!$A$2:$A$5001,עזר!L4264))</f>
        <v/>
      </c>
      <c r="B4264" s="13" t="str">
        <f aca="false">IF(עזר!L4264="","",INDEX(עזר!$B$2:$B$5001,עזר!L4264))</f>
        <v/>
      </c>
      <c r="C4264" s="13" t="str">
        <f aca="false">עזר!M4264</f>
        <v/>
      </c>
    </row>
    <row r="4265" customFormat="false" ht="15" hidden="false" customHeight="false" outlineLevel="0" collapsed="false">
      <c r="A4265" s="13" t="str">
        <f aca="false">IF(עזר!L4265="","",INDEX(עזר!$A$2:$A$5001,עזר!L4265))</f>
        <v/>
      </c>
      <c r="B4265" s="13" t="str">
        <f aca="false">IF(עזר!L4265="","",INDEX(עזר!$B$2:$B$5001,עזר!L4265))</f>
        <v/>
      </c>
      <c r="C4265" s="13" t="str">
        <f aca="false">עזר!M4265</f>
        <v/>
      </c>
    </row>
    <row r="4266" customFormat="false" ht="15" hidden="false" customHeight="false" outlineLevel="0" collapsed="false">
      <c r="A4266" s="13" t="str">
        <f aca="false">IF(עזר!L4266="","",INDEX(עזר!$A$2:$A$5001,עזר!L4266))</f>
        <v/>
      </c>
      <c r="B4266" s="13" t="str">
        <f aca="false">IF(עזר!L4266="","",INDEX(עזר!$B$2:$B$5001,עזר!L4266))</f>
        <v/>
      </c>
      <c r="C4266" s="13" t="str">
        <f aca="false">עזר!M4266</f>
        <v/>
      </c>
    </row>
    <row r="4267" customFormat="false" ht="15" hidden="false" customHeight="false" outlineLevel="0" collapsed="false">
      <c r="A4267" s="13" t="str">
        <f aca="false">IF(עזר!L4267="","",INDEX(עזר!$A$2:$A$5001,עזר!L4267))</f>
        <v/>
      </c>
      <c r="B4267" s="13" t="str">
        <f aca="false">IF(עזר!L4267="","",INDEX(עזר!$B$2:$B$5001,עזר!L4267))</f>
        <v/>
      </c>
      <c r="C4267" s="13" t="str">
        <f aca="false">עזר!M4267</f>
        <v/>
      </c>
    </row>
    <row r="4268" customFormat="false" ht="15" hidden="false" customHeight="false" outlineLevel="0" collapsed="false">
      <c r="A4268" s="13" t="str">
        <f aca="false">IF(עזר!L4268="","",INDEX(עזר!$A$2:$A$5001,עזר!L4268))</f>
        <v/>
      </c>
      <c r="B4268" s="13" t="str">
        <f aca="false">IF(עזר!L4268="","",INDEX(עזר!$B$2:$B$5001,עזר!L4268))</f>
        <v/>
      </c>
      <c r="C4268" s="13" t="str">
        <f aca="false">עזר!M4268</f>
        <v/>
      </c>
    </row>
    <row r="4269" customFormat="false" ht="15" hidden="false" customHeight="false" outlineLevel="0" collapsed="false">
      <c r="A4269" s="13" t="str">
        <f aca="false">IF(עזר!L4269="","",INDEX(עזר!$A$2:$A$5001,עזר!L4269))</f>
        <v/>
      </c>
      <c r="B4269" s="13" t="str">
        <f aca="false">IF(עזר!L4269="","",INDEX(עזר!$B$2:$B$5001,עזר!L4269))</f>
        <v/>
      </c>
      <c r="C4269" s="13" t="str">
        <f aca="false">עזר!M4269</f>
        <v/>
      </c>
    </row>
    <row r="4270" customFormat="false" ht="15" hidden="false" customHeight="false" outlineLevel="0" collapsed="false">
      <c r="A4270" s="13" t="str">
        <f aca="false">IF(עזר!L4270="","",INDEX(עזר!$A$2:$A$5001,עזר!L4270))</f>
        <v/>
      </c>
      <c r="B4270" s="13" t="str">
        <f aca="false">IF(עזר!L4270="","",INDEX(עזר!$B$2:$B$5001,עזר!L4270))</f>
        <v/>
      </c>
      <c r="C4270" s="13" t="str">
        <f aca="false">עזר!M4270</f>
        <v/>
      </c>
    </row>
    <row r="4271" customFormat="false" ht="15" hidden="false" customHeight="false" outlineLevel="0" collapsed="false">
      <c r="A4271" s="13" t="str">
        <f aca="false">IF(עזר!L4271="","",INDEX(עזר!$A$2:$A$5001,עזר!L4271))</f>
        <v/>
      </c>
      <c r="B4271" s="13" t="str">
        <f aca="false">IF(עזר!L4271="","",INDEX(עזר!$B$2:$B$5001,עזר!L4271))</f>
        <v/>
      </c>
      <c r="C4271" s="13" t="str">
        <f aca="false">עזר!M4271</f>
        <v/>
      </c>
    </row>
    <row r="4272" customFormat="false" ht="15" hidden="false" customHeight="false" outlineLevel="0" collapsed="false">
      <c r="A4272" s="13" t="str">
        <f aca="false">IF(עזר!L4272="","",INDEX(עזר!$A$2:$A$5001,עזר!L4272))</f>
        <v/>
      </c>
      <c r="B4272" s="13" t="str">
        <f aca="false">IF(עזר!L4272="","",INDEX(עזר!$B$2:$B$5001,עזר!L4272))</f>
        <v/>
      </c>
      <c r="C4272" s="13" t="str">
        <f aca="false">עזר!M4272</f>
        <v/>
      </c>
    </row>
    <row r="4273" customFormat="false" ht="15" hidden="false" customHeight="false" outlineLevel="0" collapsed="false">
      <c r="A4273" s="13" t="str">
        <f aca="false">IF(עזר!L4273="","",INDEX(עזר!$A$2:$A$5001,עזר!L4273))</f>
        <v/>
      </c>
      <c r="B4273" s="13" t="str">
        <f aca="false">IF(עזר!L4273="","",INDEX(עזר!$B$2:$B$5001,עזר!L4273))</f>
        <v/>
      </c>
      <c r="C4273" s="13" t="str">
        <f aca="false">עזר!M4273</f>
        <v/>
      </c>
    </row>
    <row r="4274" customFormat="false" ht="15" hidden="false" customHeight="false" outlineLevel="0" collapsed="false">
      <c r="A4274" s="13" t="str">
        <f aca="false">IF(עזר!L4274="","",INDEX(עזר!$A$2:$A$5001,עזר!L4274))</f>
        <v/>
      </c>
      <c r="B4274" s="13" t="str">
        <f aca="false">IF(עזר!L4274="","",INDEX(עזר!$B$2:$B$5001,עזר!L4274))</f>
        <v/>
      </c>
      <c r="C4274" s="13" t="str">
        <f aca="false">עזר!M4274</f>
        <v/>
      </c>
    </row>
    <row r="4275" customFormat="false" ht="15" hidden="false" customHeight="false" outlineLevel="0" collapsed="false">
      <c r="A4275" s="13" t="str">
        <f aca="false">IF(עזר!L4275="","",INDEX(עזר!$A$2:$A$5001,עזר!L4275))</f>
        <v/>
      </c>
      <c r="B4275" s="13" t="str">
        <f aca="false">IF(עזר!L4275="","",INDEX(עזר!$B$2:$B$5001,עזר!L4275))</f>
        <v/>
      </c>
      <c r="C4275" s="13" t="str">
        <f aca="false">עזר!M4275</f>
        <v/>
      </c>
    </row>
    <row r="4276" customFormat="false" ht="15" hidden="false" customHeight="false" outlineLevel="0" collapsed="false">
      <c r="A4276" s="13" t="str">
        <f aca="false">IF(עזר!L4276="","",INDEX(עזר!$A$2:$A$5001,עזר!L4276))</f>
        <v/>
      </c>
      <c r="B4276" s="13" t="str">
        <f aca="false">IF(עזר!L4276="","",INDEX(עזר!$B$2:$B$5001,עזר!L4276))</f>
        <v/>
      </c>
      <c r="C4276" s="13" t="str">
        <f aca="false">עזר!M4276</f>
        <v/>
      </c>
    </row>
    <row r="4277" customFormat="false" ht="15" hidden="false" customHeight="false" outlineLevel="0" collapsed="false">
      <c r="A4277" s="13" t="str">
        <f aca="false">IF(עזר!L4277="","",INDEX(עזר!$A$2:$A$5001,עזר!L4277))</f>
        <v/>
      </c>
      <c r="B4277" s="13" t="str">
        <f aca="false">IF(עזר!L4277="","",INDEX(עזר!$B$2:$B$5001,עזר!L4277))</f>
        <v/>
      </c>
      <c r="C4277" s="13" t="str">
        <f aca="false">עזר!M4277</f>
        <v/>
      </c>
    </row>
    <row r="4278" customFormat="false" ht="15" hidden="false" customHeight="false" outlineLevel="0" collapsed="false">
      <c r="A4278" s="13" t="str">
        <f aca="false">IF(עזר!L4278="","",INDEX(עזר!$A$2:$A$5001,עזר!L4278))</f>
        <v/>
      </c>
      <c r="B4278" s="13" t="str">
        <f aca="false">IF(עזר!L4278="","",INDEX(עזר!$B$2:$B$5001,עזר!L4278))</f>
        <v/>
      </c>
      <c r="C4278" s="13" t="str">
        <f aca="false">עזר!M4278</f>
        <v/>
      </c>
    </row>
    <row r="4279" customFormat="false" ht="15" hidden="false" customHeight="false" outlineLevel="0" collapsed="false">
      <c r="A4279" s="13" t="str">
        <f aca="false">IF(עזר!L4279="","",INDEX(עזר!$A$2:$A$5001,עזר!L4279))</f>
        <v/>
      </c>
      <c r="B4279" s="13" t="str">
        <f aca="false">IF(עזר!L4279="","",INDEX(עזר!$B$2:$B$5001,עזר!L4279))</f>
        <v/>
      </c>
      <c r="C4279" s="13" t="str">
        <f aca="false">עזר!M4279</f>
        <v/>
      </c>
    </row>
    <row r="4280" customFormat="false" ht="15" hidden="false" customHeight="false" outlineLevel="0" collapsed="false">
      <c r="A4280" s="13" t="str">
        <f aca="false">IF(עזר!L4280="","",INDEX(עזר!$A$2:$A$5001,עזר!L4280))</f>
        <v/>
      </c>
      <c r="B4280" s="13" t="str">
        <f aca="false">IF(עזר!L4280="","",INDEX(עזר!$B$2:$B$5001,עזר!L4280))</f>
        <v/>
      </c>
      <c r="C4280" s="13" t="str">
        <f aca="false">עזר!M4280</f>
        <v/>
      </c>
    </row>
    <row r="4281" customFormat="false" ht="15" hidden="false" customHeight="false" outlineLevel="0" collapsed="false">
      <c r="A4281" s="13" t="str">
        <f aca="false">IF(עזר!L4281="","",INDEX(עזר!$A$2:$A$5001,עזר!L4281))</f>
        <v/>
      </c>
      <c r="B4281" s="13" t="str">
        <f aca="false">IF(עזר!L4281="","",INDEX(עזר!$B$2:$B$5001,עזר!L4281))</f>
        <v/>
      </c>
      <c r="C4281" s="13" t="str">
        <f aca="false">עזר!M4281</f>
        <v/>
      </c>
    </row>
    <row r="4282" customFormat="false" ht="15" hidden="false" customHeight="false" outlineLevel="0" collapsed="false">
      <c r="A4282" s="13" t="str">
        <f aca="false">IF(עזר!L4282="","",INDEX(עזר!$A$2:$A$5001,עזר!L4282))</f>
        <v/>
      </c>
      <c r="B4282" s="13" t="str">
        <f aca="false">IF(עזר!L4282="","",INDEX(עזר!$B$2:$B$5001,עזר!L4282))</f>
        <v/>
      </c>
      <c r="C4282" s="13" t="str">
        <f aca="false">עזר!M4282</f>
        <v/>
      </c>
    </row>
    <row r="4283" customFormat="false" ht="15" hidden="false" customHeight="false" outlineLevel="0" collapsed="false">
      <c r="A4283" s="13" t="str">
        <f aca="false">IF(עזר!L4283="","",INDEX(עזר!$A$2:$A$5001,עזר!L4283))</f>
        <v/>
      </c>
      <c r="B4283" s="13" t="str">
        <f aca="false">IF(עזר!L4283="","",INDEX(עזר!$B$2:$B$5001,עזר!L4283))</f>
        <v/>
      </c>
      <c r="C4283" s="13" t="str">
        <f aca="false">עזר!M4283</f>
        <v/>
      </c>
    </row>
    <row r="4284" customFormat="false" ht="15" hidden="false" customHeight="false" outlineLevel="0" collapsed="false">
      <c r="A4284" s="13" t="str">
        <f aca="false">IF(עזר!L4284="","",INDEX(עזר!$A$2:$A$5001,עזר!L4284))</f>
        <v/>
      </c>
      <c r="B4284" s="13" t="str">
        <f aca="false">IF(עזר!L4284="","",INDEX(עזר!$B$2:$B$5001,עזר!L4284))</f>
        <v/>
      </c>
      <c r="C4284" s="13" t="str">
        <f aca="false">עזר!M4284</f>
        <v/>
      </c>
    </row>
    <row r="4285" customFormat="false" ht="15" hidden="false" customHeight="false" outlineLevel="0" collapsed="false">
      <c r="A4285" s="13" t="str">
        <f aca="false">IF(עזר!L4285="","",INDEX(עזר!$A$2:$A$5001,עזר!L4285))</f>
        <v/>
      </c>
      <c r="B4285" s="13" t="str">
        <f aca="false">IF(עזר!L4285="","",INDEX(עזר!$B$2:$B$5001,עזר!L4285))</f>
        <v/>
      </c>
      <c r="C4285" s="13" t="str">
        <f aca="false">עזר!M4285</f>
        <v/>
      </c>
    </row>
    <row r="4286" customFormat="false" ht="15" hidden="false" customHeight="false" outlineLevel="0" collapsed="false">
      <c r="A4286" s="13" t="str">
        <f aca="false">IF(עזר!L4286="","",INDEX(עזר!$A$2:$A$5001,עזר!L4286))</f>
        <v/>
      </c>
      <c r="B4286" s="13" t="str">
        <f aca="false">IF(עזר!L4286="","",INDEX(עזר!$B$2:$B$5001,עזר!L4286))</f>
        <v/>
      </c>
      <c r="C4286" s="13" t="str">
        <f aca="false">עזר!M4286</f>
        <v/>
      </c>
    </row>
    <row r="4287" customFormat="false" ht="15" hidden="false" customHeight="false" outlineLevel="0" collapsed="false">
      <c r="A4287" s="13" t="str">
        <f aca="false">IF(עזר!L4287="","",INDEX(עזר!$A$2:$A$5001,עזר!L4287))</f>
        <v/>
      </c>
      <c r="B4287" s="13" t="str">
        <f aca="false">IF(עזר!L4287="","",INDEX(עזר!$B$2:$B$5001,עזר!L4287))</f>
        <v/>
      </c>
      <c r="C4287" s="13" t="str">
        <f aca="false">עזר!M4287</f>
        <v/>
      </c>
    </row>
    <row r="4288" customFormat="false" ht="15" hidden="false" customHeight="false" outlineLevel="0" collapsed="false">
      <c r="A4288" s="13" t="str">
        <f aca="false">IF(עזר!L4288="","",INDEX(עזר!$A$2:$A$5001,עזר!L4288))</f>
        <v/>
      </c>
      <c r="B4288" s="13" t="str">
        <f aca="false">IF(עזר!L4288="","",INDEX(עזר!$B$2:$B$5001,עזר!L4288))</f>
        <v/>
      </c>
      <c r="C4288" s="13" t="str">
        <f aca="false">עזר!M4288</f>
        <v/>
      </c>
    </row>
    <row r="4289" customFormat="false" ht="15" hidden="false" customHeight="false" outlineLevel="0" collapsed="false">
      <c r="A4289" s="13" t="str">
        <f aca="false">IF(עזר!L4289="","",INDEX(עזר!$A$2:$A$5001,עזר!L4289))</f>
        <v/>
      </c>
      <c r="B4289" s="13" t="str">
        <f aca="false">IF(עזר!L4289="","",INDEX(עזר!$B$2:$B$5001,עזר!L4289))</f>
        <v/>
      </c>
      <c r="C4289" s="13" t="str">
        <f aca="false">עזר!M4289</f>
        <v/>
      </c>
    </row>
    <row r="4290" customFormat="false" ht="15" hidden="false" customHeight="false" outlineLevel="0" collapsed="false">
      <c r="A4290" s="13" t="str">
        <f aca="false">IF(עזר!L4290="","",INDEX(עזר!$A$2:$A$5001,עזר!L4290))</f>
        <v/>
      </c>
      <c r="B4290" s="13" t="str">
        <f aca="false">IF(עזר!L4290="","",INDEX(עזר!$B$2:$B$5001,עזר!L4290))</f>
        <v/>
      </c>
      <c r="C4290" s="13" t="str">
        <f aca="false">עזר!M4290</f>
        <v/>
      </c>
    </row>
    <row r="4291" customFormat="false" ht="15" hidden="false" customHeight="false" outlineLevel="0" collapsed="false">
      <c r="A4291" s="13" t="str">
        <f aca="false">IF(עזר!L4291="","",INDEX(עזר!$A$2:$A$5001,עזר!L4291))</f>
        <v/>
      </c>
      <c r="B4291" s="13" t="str">
        <f aca="false">IF(עזר!L4291="","",INDEX(עזר!$B$2:$B$5001,עזר!L4291))</f>
        <v/>
      </c>
      <c r="C4291" s="13" t="str">
        <f aca="false">עזר!M4291</f>
        <v/>
      </c>
    </row>
    <row r="4292" customFormat="false" ht="15" hidden="false" customHeight="false" outlineLevel="0" collapsed="false">
      <c r="A4292" s="13" t="str">
        <f aca="false">IF(עזר!L4292="","",INDEX(עזר!$A$2:$A$5001,עזר!L4292))</f>
        <v/>
      </c>
      <c r="B4292" s="13" t="str">
        <f aca="false">IF(עזר!L4292="","",INDEX(עזר!$B$2:$B$5001,עזר!L4292))</f>
        <v/>
      </c>
      <c r="C4292" s="13" t="str">
        <f aca="false">עזר!M4292</f>
        <v/>
      </c>
    </row>
    <row r="4293" customFormat="false" ht="15" hidden="false" customHeight="false" outlineLevel="0" collapsed="false">
      <c r="A4293" s="13" t="str">
        <f aca="false">IF(עזר!L4293="","",INDEX(עזר!$A$2:$A$5001,עזר!L4293))</f>
        <v/>
      </c>
      <c r="B4293" s="13" t="str">
        <f aca="false">IF(עזר!L4293="","",INDEX(עזר!$B$2:$B$5001,עזר!L4293))</f>
        <v/>
      </c>
      <c r="C4293" s="13" t="str">
        <f aca="false">עזר!M4293</f>
        <v/>
      </c>
    </row>
    <row r="4294" customFormat="false" ht="15" hidden="false" customHeight="false" outlineLevel="0" collapsed="false">
      <c r="A4294" s="13" t="str">
        <f aca="false">IF(עזר!L4294="","",INDEX(עזר!$A$2:$A$5001,עזר!L4294))</f>
        <v/>
      </c>
      <c r="B4294" s="13" t="str">
        <f aca="false">IF(עזר!L4294="","",INDEX(עזר!$B$2:$B$5001,עזר!L4294))</f>
        <v/>
      </c>
      <c r="C4294" s="13" t="str">
        <f aca="false">עזר!M4294</f>
        <v/>
      </c>
    </row>
    <row r="4295" customFormat="false" ht="15" hidden="false" customHeight="false" outlineLevel="0" collapsed="false">
      <c r="A4295" s="13" t="str">
        <f aca="false">IF(עזר!L4295="","",INDEX(עזר!$A$2:$A$5001,עזר!L4295))</f>
        <v/>
      </c>
      <c r="B4295" s="13" t="str">
        <f aca="false">IF(עזר!L4295="","",INDEX(עזר!$B$2:$B$5001,עזר!L4295))</f>
        <v/>
      </c>
      <c r="C4295" s="13" t="str">
        <f aca="false">עזר!M4295</f>
        <v/>
      </c>
    </row>
    <row r="4296" customFormat="false" ht="15" hidden="false" customHeight="false" outlineLevel="0" collapsed="false">
      <c r="A4296" s="13" t="str">
        <f aca="false">IF(עזר!L4296="","",INDEX(עזר!$A$2:$A$5001,עזר!L4296))</f>
        <v/>
      </c>
      <c r="B4296" s="13" t="str">
        <f aca="false">IF(עזר!L4296="","",INDEX(עזר!$B$2:$B$5001,עזר!L4296))</f>
        <v/>
      </c>
      <c r="C4296" s="13" t="str">
        <f aca="false">עזר!M4296</f>
        <v/>
      </c>
    </row>
    <row r="4297" customFormat="false" ht="15" hidden="false" customHeight="false" outlineLevel="0" collapsed="false">
      <c r="A4297" s="13" t="str">
        <f aca="false">IF(עזר!L4297="","",INDEX(עזר!$A$2:$A$5001,עזר!L4297))</f>
        <v/>
      </c>
      <c r="B4297" s="13" t="str">
        <f aca="false">IF(עזר!L4297="","",INDEX(עזר!$B$2:$B$5001,עזר!L4297))</f>
        <v/>
      </c>
      <c r="C4297" s="13" t="str">
        <f aca="false">עזר!M4297</f>
        <v/>
      </c>
    </row>
    <row r="4298" customFormat="false" ht="15" hidden="false" customHeight="false" outlineLevel="0" collapsed="false">
      <c r="A4298" s="13" t="str">
        <f aca="false">IF(עזר!L4298="","",INDEX(עזר!$A$2:$A$5001,עזר!L4298))</f>
        <v/>
      </c>
      <c r="B4298" s="13" t="str">
        <f aca="false">IF(עזר!L4298="","",INDEX(עזר!$B$2:$B$5001,עזר!L4298))</f>
        <v/>
      </c>
      <c r="C4298" s="13" t="str">
        <f aca="false">עזר!M4298</f>
        <v/>
      </c>
    </row>
    <row r="4299" customFormat="false" ht="15" hidden="false" customHeight="false" outlineLevel="0" collapsed="false">
      <c r="A4299" s="13" t="str">
        <f aca="false">IF(עזר!L4299="","",INDEX(עזר!$A$2:$A$5001,עזר!L4299))</f>
        <v/>
      </c>
      <c r="B4299" s="13" t="str">
        <f aca="false">IF(עזר!L4299="","",INDEX(עזר!$B$2:$B$5001,עזר!L4299))</f>
        <v/>
      </c>
      <c r="C4299" s="13" t="str">
        <f aca="false">עזר!M4299</f>
        <v/>
      </c>
    </row>
    <row r="4300" customFormat="false" ht="15" hidden="false" customHeight="false" outlineLevel="0" collapsed="false">
      <c r="A4300" s="13" t="str">
        <f aca="false">IF(עזר!L4300="","",INDEX(עזר!$A$2:$A$5001,עזר!L4300))</f>
        <v/>
      </c>
      <c r="B4300" s="13" t="str">
        <f aca="false">IF(עזר!L4300="","",INDEX(עזר!$B$2:$B$5001,עזר!L4300))</f>
        <v/>
      </c>
      <c r="C4300" s="13" t="str">
        <f aca="false">עזר!M4300</f>
        <v/>
      </c>
    </row>
    <row r="4301" customFormat="false" ht="15" hidden="false" customHeight="false" outlineLevel="0" collapsed="false">
      <c r="A4301" s="13" t="str">
        <f aca="false">IF(עזר!L4301="","",INDEX(עזר!$A$2:$A$5001,עזר!L4301))</f>
        <v/>
      </c>
      <c r="B4301" s="13" t="str">
        <f aca="false">IF(עזר!L4301="","",INDEX(עזר!$B$2:$B$5001,עזר!L4301))</f>
        <v/>
      </c>
      <c r="C4301" s="13" t="str">
        <f aca="false">עזר!M4301</f>
        <v/>
      </c>
    </row>
    <row r="4302" customFormat="false" ht="15" hidden="false" customHeight="false" outlineLevel="0" collapsed="false">
      <c r="A4302" s="13" t="str">
        <f aca="false">IF(עזר!L4302="","",INDEX(עזר!$A$2:$A$5001,עזר!L4302))</f>
        <v/>
      </c>
      <c r="B4302" s="13" t="str">
        <f aca="false">IF(עזר!L4302="","",INDEX(עזר!$B$2:$B$5001,עזר!L4302))</f>
        <v/>
      </c>
      <c r="C4302" s="13" t="str">
        <f aca="false">עזר!M4302</f>
        <v/>
      </c>
    </row>
    <row r="4303" customFormat="false" ht="15" hidden="false" customHeight="false" outlineLevel="0" collapsed="false">
      <c r="A4303" s="13" t="str">
        <f aca="false">IF(עזר!L4303="","",INDEX(עזר!$A$2:$A$5001,עזר!L4303))</f>
        <v/>
      </c>
      <c r="B4303" s="13" t="str">
        <f aca="false">IF(עזר!L4303="","",INDEX(עזר!$B$2:$B$5001,עזר!L4303))</f>
        <v/>
      </c>
      <c r="C4303" s="13" t="str">
        <f aca="false">עזר!M4303</f>
        <v/>
      </c>
    </row>
    <row r="4304" customFormat="false" ht="15" hidden="false" customHeight="false" outlineLevel="0" collapsed="false">
      <c r="A4304" s="13" t="str">
        <f aca="false">IF(עזר!L4304="","",INDEX(עזר!$A$2:$A$5001,עזר!L4304))</f>
        <v/>
      </c>
      <c r="B4304" s="13" t="str">
        <f aca="false">IF(עזר!L4304="","",INDEX(עזר!$B$2:$B$5001,עזר!L4304))</f>
        <v/>
      </c>
      <c r="C4304" s="13" t="str">
        <f aca="false">עזר!M4304</f>
        <v/>
      </c>
    </row>
    <row r="4305" customFormat="false" ht="15" hidden="false" customHeight="false" outlineLevel="0" collapsed="false">
      <c r="A4305" s="13" t="str">
        <f aca="false">IF(עזר!L4305="","",INDEX(עזר!$A$2:$A$5001,עזר!L4305))</f>
        <v/>
      </c>
      <c r="B4305" s="13" t="str">
        <f aca="false">IF(עזר!L4305="","",INDEX(עזר!$B$2:$B$5001,עזר!L4305))</f>
        <v/>
      </c>
      <c r="C4305" s="13" t="str">
        <f aca="false">עזר!M4305</f>
        <v/>
      </c>
    </row>
    <row r="4306" customFormat="false" ht="15" hidden="false" customHeight="false" outlineLevel="0" collapsed="false">
      <c r="A4306" s="13" t="str">
        <f aca="false">IF(עזר!L4306="","",INDEX(עזר!$A$2:$A$5001,עזר!L4306))</f>
        <v/>
      </c>
      <c r="B4306" s="13" t="str">
        <f aca="false">IF(עזר!L4306="","",INDEX(עזר!$B$2:$B$5001,עזר!L4306))</f>
        <v/>
      </c>
      <c r="C4306" s="13" t="str">
        <f aca="false">עזר!M4306</f>
        <v/>
      </c>
    </row>
    <row r="4307" customFormat="false" ht="15" hidden="false" customHeight="false" outlineLevel="0" collapsed="false">
      <c r="A4307" s="13" t="str">
        <f aca="false">IF(עזר!L4307="","",INDEX(עזר!$A$2:$A$5001,עזר!L4307))</f>
        <v/>
      </c>
      <c r="B4307" s="13" t="str">
        <f aca="false">IF(עזר!L4307="","",INDEX(עזר!$B$2:$B$5001,עזר!L4307))</f>
        <v/>
      </c>
      <c r="C4307" s="13" t="str">
        <f aca="false">עזר!M4307</f>
        <v/>
      </c>
    </row>
    <row r="4308" customFormat="false" ht="15" hidden="false" customHeight="false" outlineLevel="0" collapsed="false">
      <c r="A4308" s="13" t="str">
        <f aca="false">IF(עזר!L4308="","",INDEX(עזר!$A$2:$A$5001,עזר!L4308))</f>
        <v/>
      </c>
      <c r="B4308" s="13" t="str">
        <f aca="false">IF(עזר!L4308="","",INDEX(עזר!$B$2:$B$5001,עזר!L4308))</f>
        <v/>
      </c>
      <c r="C4308" s="13" t="str">
        <f aca="false">עזר!M4308</f>
        <v/>
      </c>
    </row>
    <row r="4309" customFormat="false" ht="15" hidden="false" customHeight="false" outlineLevel="0" collapsed="false">
      <c r="A4309" s="13" t="str">
        <f aca="false">IF(עזר!L4309="","",INDEX(עזר!$A$2:$A$5001,עזר!L4309))</f>
        <v/>
      </c>
      <c r="B4309" s="13" t="str">
        <f aca="false">IF(עזר!L4309="","",INDEX(עזר!$B$2:$B$5001,עזר!L4309))</f>
        <v/>
      </c>
      <c r="C4309" s="13" t="str">
        <f aca="false">עזר!M4309</f>
        <v/>
      </c>
    </row>
    <row r="4310" customFormat="false" ht="15" hidden="false" customHeight="false" outlineLevel="0" collapsed="false">
      <c r="A4310" s="13" t="str">
        <f aca="false">IF(עזר!L4310="","",INDEX(עזר!$A$2:$A$5001,עזר!L4310))</f>
        <v/>
      </c>
      <c r="B4310" s="13" t="str">
        <f aca="false">IF(עזר!L4310="","",INDEX(עזר!$B$2:$B$5001,עזר!L4310))</f>
        <v/>
      </c>
      <c r="C4310" s="13" t="str">
        <f aca="false">עזר!M4310</f>
        <v/>
      </c>
    </row>
    <row r="4311" customFormat="false" ht="15" hidden="false" customHeight="false" outlineLevel="0" collapsed="false">
      <c r="A4311" s="13" t="str">
        <f aca="false">IF(עזר!L4311="","",INDEX(עזר!$A$2:$A$5001,עזר!L4311))</f>
        <v/>
      </c>
      <c r="B4311" s="13" t="str">
        <f aca="false">IF(עזר!L4311="","",INDEX(עזר!$B$2:$B$5001,עזר!L4311))</f>
        <v/>
      </c>
      <c r="C4311" s="13" t="str">
        <f aca="false">עזר!M4311</f>
        <v/>
      </c>
    </row>
    <row r="4312" customFormat="false" ht="15" hidden="false" customHeight="false" outlineLevel="0" collapsed="false">
      <c r="A4312" s="13" t="str">
        <f aca="false">IF(עזר!L4312="","",INDEX(עזר!$A$2:$A$5001,עזר!L4312))</f>
        <v/>
      </c>
      <c r="B4312" s="13" t="str">
        <f aca="false">IF(עזר!L4312="","",INDEX(עזר!$B$2:$B$5001,עזר!L4312))</f>
        <v/>
      </c>
      <c r="C4312" s="13" t="str">
        <f aca="false">עזר!M4312</f>
        <v/>
      </c>
    </row>
    <row r="4313" customFormat="false" ht="15" hidden="false" customHeight="false" outlineLevel="0" collapsed="false">
      <c r="A4313" s="13" t="str">
        <f aca="false">IF(עזר!L4313="","",INDEX(עזר!$A$2:$A$5001,עזר!L4313))</f>
        <v/>
      </c>
      <c r="B4313" s="13" t="str">
        <f aca="false">IF(עזר!L4313="","",INDEX(עזר!$B$2:$B$5001,עזר!L4313))</f>
        <v/>
      </c>
      <c r="C4313" s="13" t="str">
        <f aca="false">עזר!M4313</f>
        <v/>
      </c>
    </row>
    <row r="4314" customFormat="false" ht="15" hidden="false" customHeight="false" outlineLevel="0" collapsed="false">
      <c r="A4314" s="13" t="str">
        <f aca="false">IF(עזר!L4314="","",INDEX(עזר!$A$2:$A$5001,עזר!L4314))</f>
        <v/>
      </c>
      <c r="B4314" s="13" t="str">
        <f aca="false">IF(עזר!L4314="","",INDEX(עזר!$B$2:$B$5001,עזר!L4314))</f>
        <v/>
      </c>
      <c r="C4314" s="13" t="str">
        <f aca="false">עזר!M4314</f>
        <v/>
      </c>
    </row>
    <row r="4315" customFormat="false" ht="15" hidden="false" customHeight="false" outlineLevel="0" collapsed="false">
      <c r="A4315" s="13" t="str">
        <f aca="false">IF(עזר!L4315="","",INDEX(עזר!$A$2:$A$5001,עזר!L4315))</f>
        <v/>
      </c>
      <c r="B4315" s="13" t="str">
        <f aca="false">IF(עזר!L4315="","",INDEX(עזר!$B$2:$B$5001,עזר!L4315))</f>
        <v/>
      </c>
      <c r="C4315" s="13" t="str">
        <f aca="false">עזר!M4315</f>
        <v/>
      </c>
    </row>
    <row r="4316" customFormat="false" ht="15" hidden="false" customHeight="false" outlineLevel="0" collapsed="false">
      <c r="A4316" s="13" t="str">
        <f aca="false">IF(עזר!L4316="","",INDEX(עזר!$A$2:$A$5001,עזר!L4316))</f>
        <v/>
      </c>
      <c r="B4316" s="13" t="str">
        <f aca="false">IF(עזר!L4316="","",INDEX(עזר!$B$2:$B$5001,עזר!L4316))</f>
        <v/>
      </c>
      <c r="C4316" s="13" t="str">
        <f aca="false">עזר!M4316</f>
        <v/>
      </c>
    </row>
    <row r="4317" customFormat="false" ht="15" hidden="false" customHeight="false" outlineLevel="0" collapsed="false">
      <c r="A4317" s="13" t="str">
        <f aca="false">IF(עזר!L4317="","",INDEX(עזר!$A$2:$A$5001,עזר!L4317))</f>
        <v/>
      </c>
      <c r="B4317" s="13" t="str">
        <f aca="false">IF(עזר!L4317="","",INDEX(עזר!$B$2:$B$5001,עזר!L4317))</f>
        <v/>
      </c>
      <c r="C4317" s="13" t="str">
        <f aca="false">עזר!M4317</f>
        <v/>
      </c>
    </row>
    <row r="4318" customFormat="false" ht="15" hidden="false" customHeight="false" outlineLevel="0" collapsed="false">
      <c r="A4318" s="13" t="str">
        <f aca="false">IF(עזר!L4318="","",INDEX(עזר!$A$2:$A$5001,עזר!L4318))</f>
        <v/>
      </c>
      <c r="B4318" s="13" t="str">
        <f aca="false">IF(עזר!L4318="","",INDEX(עזר!$B$2:$B$5001,עזר!L4318))</f>
        <v/>
      </c>
      <c r="C4318" s="13" t="str">
        <f aca="false">עזר!M4318</f>
        <v/>
      </c>
    </row>
    <row r="4319" customFormat="false" ht="15" hidden="false" customHeight="false" outlineLevel="0" collapsed="false">
      <c r="A4319" s="13" t="str">
        <f aca="false">IF(עזר!L4319="","",INDEX(עזר!$A$2:$A$5001,עזר!L4319))</f>
        <v/>
      </c>
      <c r="B4319" s="13" t="str">
        <f aca="false">IF(עזר!L4319="","",INDEX(עזר!$B$2:$B$5001,עזר!L4319))</f>
        <v/>
      </c>
      <c r="C4319" s="13" t="str">
        <f aca="false">עזר!M4319</f>
        <v/>
      </c>
    </row>
    <row r="4320" customFormat="false" ht="15" hidden="false" customHeight="false" outlineLevel="0" collapsed="false">
      <c r="A4320" s="13" t="str">
        <f aca="false">IF(עזר!L4320="","",INDEX(עזר!$A$2:$A$5001,עזר!L4320))</f>
        <v/>
      </c>
      <c r="B4320" s="13" t="str">
        <f aca="false">IF(עזר!L4320="","",INDEX(עזר!$B$2:$B$5001,עזר!L4320))</f>
        <v/>
      </c>
      <c r="C4320" s="13" t="str">
        <f aca="false">עזר!M4320</f>
        <v/>
      </c>
    </row>
    <row r="4321" customFormat="false" ht="15" hidden="false" customHeight="false" outlineLevel="0" collapsed="false">
      <c r="A4321" s="13" t="str">
        <f aca="false">IF(עזר!L4321="","",INDEX(עזר!$A$2:$A$5001,עזר!L4321))</f>
        <v/>
      </c>
      <c r="B4321" s="13" t="str">
        <f aca="false">IF(עזר!L4321="","",INDEX(עזר!$B$2:$B$5001,עזר!L4321))</f>
        <v/>
      </c>
      <c r="C4321" s="13" t="str">
        <f aca="false">עזר!M4321</f>
        <v/>
      </c>
    </row>
    <row r="4322" customFormat="false" ht="15" hidden="false" customHeight="false" outlineLevel="0" collapsed="false">
      <c r="A4322" s="13" t="str">
        <f aca="false">IF(עזר!L4322="","",INDEX(עזר!$A$2:$A$5001,עזר!L4322))</f>
        <v/>
      </c>
      <c r="B4322" s="13" t="str">
        <f aca="false">IF(עזר!L4322="","",INDEX(עזר!$B$2:$B$5001,עזר!L4322))</f>
        <v/>
      </c>
      <c r="C4322" s="13" t="str">
        <f aca="false">עזר!M4322</f>
        <v/>
      </c>
    </row>
    <row r="4323" customFormat="false" ht="15" hidden="false" customHeight="false" outlineLevel="0" collapsed="false">
      <c r="A4323" s="13" t="str">
        <f aca="false">IF(עזר!L4323="","",INDEX(עזר!$A$2:$A$5001,עזר!L4323))</f>
        <v/>
      </c>
      <c r="B4323" s="13" t="str">
        <f aca="false">IF(עזר!L4323="","",INDEX(עזר!$B$2:$B$5001,עזר!L4323))</f>
        <v/>
      </c>
      <c r="C4323" s="13" t="str">
        <f aca="false">עזר!M4323</f>
        <v/>
      </c>
    </row>
    <row r="4324" customFormat="false" ht="15" hidden="false" customHeight="false" outlineLevel="0" collapsed="false">
      <c r="A4324" s="13" t="str">
        <f aca="false">IF(עזר!L4324="","",INDEX(עזר!$A$2:$A$5001,עזר!L4324))</f>
        <v/>
      </c>
      <c r="B4324" s="13" t="str">
        <f aca="false">IF(עזר!L4324="","",INDEX(עזר!$B$2:$B$5001,עזר!L4324))</f>
        <v/>
      </c>
      <c r="C4324" s="13" t="str">
        <f aca="false">עזר!M4324</f>
        <v/>
      </c>
    </row>
    <row r="4325" customFormat="false" ht="15" hidden="false" customHeight="false" outlineLevel="0" collapsed="false">
      <c r="A4325" s="13" t="str">
        <f aca="false">IF(עזר!L4325="","",INDEX(עזר!$A$2:$A$5001,עזר!L4325))</f>
        <v/>
      </c>
      <c r="B4325" s="13" t="str">
        <f aca="false">IF(עזר!L4325="","",INDEX(עזר!$B$2:$B$5001,עזר!L4325))</f>
        <v/>
      </c>
      <c r="C4325" s="13" t="str">
        <f aca="false">עזר!M4325</f>
        <v/>
      </c>
    </row>
    <row r="4326" customFormat="false" ht="15" hidden="false" customHeight="false" outlineLevel="0" collapsed="false">
      <c r="A4326" s="13" t="str">
        <f aca="false">IF(עזר!L4326="","",INDEX(עזר!$A$2:$A$5001,עזר!L4326))</f>
        <v/>
      </c>
      <c r="B4326" s="13" t="str">
        <f aca="false">IF(עזר!L4326="","",INDEX(עזר!$B$2:$B$5001,עזר!L4326))</f>
        <v/>
      </c>
      <c r="C4326" s="13" t="str">
        <f aca="false">עזר!M4326</f>
        <v/>
      </c>
    </row>
    <row r="4327" customFormat="false" ht="15" hidden="false" customHeight="false" outlineLevel="0" collapsed="false">
      <c r="A4327" s="13" t="str">
        <f aca="false">IF(עזר!L4327="","",INDEX(עזר!$A$2:$A$5001,עזר!L4327))</f>
        <v/>
      </c>
      <c r="B4327" s="13" t="str">
        <f aca="false">IF(עזר!L4327="","",INDEX(עזר!$B$2:$B$5001,עזר!L4327))</f>
        <v/>
      </c>
      <c r="C4327" s="13" t="str">
        <f aca="false">עזר!M4327</f>
        <v/>
      </c>
    </row>
    <row r="4328" customFormat="false" ht="15" hidden="false" customHeight="false" outlineLevel="0" collapsed="false">
      <c r="A4328" s="13" t="str">
        <f aca="false">IF(עזר!L4328="","",INDEX(עזר!$A$2:$A$5001,עזר!L4328))</f>
        <v/>
      </c>
      <c r="B4328" s="13" t="str">
        <f aca="false">IF(עזר!L4328="","",INDEX(עזר!$B$2:$B$5001,עזר!L4328))</f>
        <v/>
      </c>
      <c r="C4328" s="13" t="str">
        <f aca="false">עזר!M4328</f>
        <v/>
      </c>
    </row>
    <row r="4329" customFormat="false" ht="15" hidden="false" customHeight="false" outlineLevel="0" collapsed="false">
      <c r="A4329" s="13" t="str">
        <f aca="false">IF(עזר!L4329="","",INDEX(עזר!$A$2:$A$5001,עזר!L4329))</f>
        <v/>
      </c>
      <c r="B4329" s="13" t="str">
        <f aca="false">IF(עזר!L4329="","",INDEX(עזר!$B$2:$B$5001,עזר!L4329))</f>
        <v/>
      </c>
      <c r="C4329" s="13" t="str">
        <f aca="false">עזר!M4329</f>
        <v/>
      </c>
    </row>
    <row r="4330" customFormat="false" ht="15" hidden="false" customHeight="false" outlineLevel="0" collapsed="false">
      <c r="A4330" s="13" t="str">
        <f aca="false">IF(עזר!L4330="","",INDEX(עזר!$A$2:$A$5001,עזר!L4330))</f>
        <v/>
      </c>
      <c r="B4330" s="13" t="str">
        <f aca="false">IF(עזר!L4330="","",INDEX(עזר!$B$2:$B$5001,עזר!L4330))</f>
        <v/>
      </c>
      <c r="C4330" s="13" t="str">
        <f aca="false">עזר!M4330</f>
        <v/>
      </c>
    </row>
    <row r="4331" customFormat="false" ht="15" hidden="false" customHeight="false" outlineLevel="0" collapsed="false">
      <c r="A4331" s="13" t="str">
        <f aca="false">IF(עזר!L4331="","",INDEX(עזר!$A$2:$A$5001,עזר!L4331))</f>
        <v/>
      </c>
      <c r="B4331" s="13" t="str">
        <f aca="false">IF(עזר!L4331="","",INDEX(עזר!$B$2:$B$5001,עזר!L4331))</f>
        <v/>
      </c>
      <c r="C4331" s="13" t="str">
        <f aca="false">עזר!M4331</f>
        <v/>
      </c>
    </row>
    <row r="4332" customFormat="false" ht="15" hidden="false" customHeight="false" outlineLevel="0" collapsed="false">
      <c r="A4332" s="13" t="str">
        <f aca="false">IF(עזר!L4332="","",INDEX(עזר!$A$2:$A$5001,עזר!L4332))</f>
        <v/>
      </c>
      <c r="B4332" s="13" t="str">
        <f aca="false">IF(עזר!L4332="","",INDEX(עזר!$B$2:$B$5001,עזר!L4332))</f>
        <v/>
      </c>
      <c r="C4332" s="13" t="str">
        <f aca="false">עזר!M4332</f>
        <v/>
      </c>
    </row>
    <row r="4333" customFormat="false" ht="15" hidden="false" customHeight="false" outlineLevel="0" collapsed="false">
      <c r="A4333" s="13" t="str">
        <f aca="false">IF(עזר!L4333="","",INDEX(עזר!$A$2:$A$5001,עזר!L4333))</f>
        <v/>
      </c>
      <c r="B4333" s="13" t="str">
        <f aca="false">IF(עזר!L4333="","",INDEX(עזר!$B$2:$B$5001,עזר!L4333))</f>
        <v/>
      </c>
      <c r="C4333" s="13" t="str">
        <f aca="false">עזר!M4333</f>
        <v/>
      </c>
    </row>
    <row r="4334" customFormat="false" ht="15" hidden="false" customHeight="false" outlineLevel="0" collapsed="false">
      <c r="A4334" s="13" t="str">
        <f aca="false">IF(עזר!L4334="","",INDEX(עזר!$A$2:$A$5001,עזר!L4334))</f>
        <v/>
      </c>
      <c r="B4334" s="13" t="str">
        <f aca="false">IF(עזר!L4334="","",INDEX(עזר!$B$2:$B$5001,עזר!L4334))</f>
        <v/>
      </c>
      <c r="C4334" s="13" t="str">
        <f aca="false">עזר!M4334</f>
        <v/>
      </c>
    </row>
    <row r="4335" customFormat="false" ht="15" hidden="false" customHeight="false" outlineLevel="0" collapsed="false">
      <c r="A4335" s="13" t="str">
        <f aca="false">IF(עזר!L4335="","",INDEX(עזר!$A$2:$A$5001,עזר!L4335))</f>
        <v/>
      </c>
      <c r="B4335" s="13" t="str">
        <f aca="false">IF(עזר!L4335="","",INDEX(עזר!$B$2:$B$5001,עזר!L4335))</f>
        <v/>
      </c>
      <c r="C4335" s="13" t="str">
        <f aca="false">עזר!M4335</f>
        <v/>
      </c>
    </row>
    <row r="4336" customFormat="false" ht="15" hidden="false" customHeight="false" outlineLevel="0" collapsed="false">
      <c r="A4336" s="13" t="str">
        <f aca="false">IF(עזר!L4336="","",INDEX(עזר!$A$2:$A$5001,עזר!L4336))</f>
        <v/>
      </c>
      <c r="B4336" s="13" t="str">
        <f aca="false">IF(עזר!L4336="","",INDEX(עזר!$B$2:$B$5001,עזר!L4336))</f>
        <v/>
      </c>
      <c r="C4336" s="13" t="str">
        <f aca="false">עזר!M4336</f>
        <v/>
      </c>
    </row>
    <row r="4337" customFormat="false" ht="15" hidden="false" customHeight="false" outlineLevel="0" collapsed="false">
      <c r="A4337" s="13" t="str">
        <f aca="false">IF(עזר!L4337="","",INDEX(עזר!$A$2:$A$5001,עזר!L4337))</f>
        <v/>
      </c>
      <c r="B4337" s="13" t="str">
        <f aca="false">IF(עזר!L4337="","",INDEX(עזר!$B$2:$B$5001,עזר!L4337))</f>
        <v/>
      </c>
      <c r="C4337" s="13" t="str">
        <f aca="false">עזר!M4337</f>
        <v/>
      </c>
    </row>
    <row r="4338" customFormat="false" ht="15" hidden="false" customHeight="false" outlineLevel="0" collapsed="false">
      <c r="A4338" s="13" t="str">
        <f aca="false">IF(עזר!L4338="","",INDEX(עזר!$A$2:$A$5001,עזר!L4338))</f>
        <v/>
      </c>
      <c r="B4338" s="13" t="str">
        <f aca="false">IF(עזר!L4338="","",INDEX(עזר!$B$2:$B$5001,עזר!L4338))</f>
        <v/>
      </c>
      <c r="C4338" s="13" t="str">
        <f aca="false">עזר!M4338</f>
        <v/>
      </c>
    </row>
    <row r="4339" customFormat="false" ht="15" hidden="false" customHeight="false" outlineLevel="0" collapsed="false">
      <c r="A4339" s="13" t="str">
        <f aca="false">IF(עזר!L4339="","",INDEX(עזר!$A$2:$A$5001,עזר!L4339))</f>
        <v/>
      </c>
      <c r="B4339" s="13" t="str">
        <f aca="false">IF(עזר!L4339="","",INDEX(עזר!$B$2:$B$5001,עזר!L4339))</f>
        <v/>
      </c>
      <c r="C4339" s="13" t="str">
        <f aca="false">עזר!M4339</f>
        <v/>
      </c>
    </row>
    <row r="4340" customFormat="false" ht="15" hidden="false" customHeight="false" outlineLevel="0" collapsed="false">
      <c r="A4340" s="13" t="str">
        <f aca="false">IF(עזר!L4340="","",INDEX(עזר!$A$2:$A$5001,עזר!L4340))</f>
        <v/>
      </c>
      <c r="B4340" s="13" t="str">
        <f aca="false">IF(עזר!L4340="","",INDEX(עזר!$B$2:$B$5001,עזר!L4340))</f>
        <v/>
      </c>
      <c r="C4340" s="13" t="str">
        <f aca="false">עזר!M4340</f>
        <v/>
      </c>
    </row>
    <row r="4341" customFormat="false" ht="15" hidden="false" customHeight="false" outlineLevel="0" collapsed="false">
      <c r="A4341" s="13" t="str">
        <f aca="false">IF(עזר!L4341="","",INDEX(עזר!$A$2:$A$5001,עזר!L4341))</f>
        <v/>
      </c>
      <c r="B4341" s="13" t="str">
        <f aca="false">IF(עזר!L4341="","",INDEX(עזר!$B$2:$B$5001,עזר!L4341))</f>
        <v/>
      </c>
      <c r="C4341" s="13" t="str">
        <f aca="false">עזר!M4341</f>
        <v/>
      </c>
    </row>
    <row r="4342" customFormat="false" ht="15" hidden="false" customHeight="false" outlineLevel="0" collapsed="false">
      <c r="A4342" s="13" t="str">
        <f aca="false">IF(עזר!L4342="","",INDEX(עזר!$A$2:$A$5001,עזר!L4342))</f>
        <v/>
      </c>
      <c r="B4342" s="13" t="str">
        <f aca="false">IF(עזר!L4342="","",INDEX(עזר!$B$2:$B$5001,עזר!L4342))</f>
        <v/>
      </c>
      <c r="C4342" s="13" t="str">
        <f aca="false">עזר!M4342</f>
        <v/>
      </c>
    </row>
    <row r="4343" customFormat="false" ht="15" hidden="false" customHeight="false" outlineLevel="0" collapsed="false">
      <c r="A4343" s="13" t="str">
        <f aca="false">IF(עזר!L4343="","",INDEX(עזר!$A$2:$A$5001,עזר!L4343))</f>
        <v/>
      </c>
      <c r="B4343" s="13" t="str">
        <f aca="false">IF(עזר!L4343="","",INDEX(עזר!$B$2:$B$5001,עזר!L4343))</f>
        <v/>
      </c>
      <c r="C4343" s="13" t="str">
        <f aca="false">עזר!M4343</f>
        <v/>
      </c>
    </row>
    <row r="4344" customFormat="false" ht="15" hidden="false" customHeight="false" outlineLevel="0" collapsed="false">
      <c r="A4344" s="13" t="str">
        <f aca="false">IF(עזר!L4344="","",INDEX(עזר!$A$2:$A$5001,עזר!L4344))</f>
        <v/>
      </c>
      <c r="B4344" s="13" t="str">
        <f aca="false">IF(עזר!L4344="","",INDEX(עזר!$B$2:$B$5001,עזר!L4344))</f>
        <v/>
      </c>
      <c r="C4344" s="13" t="str">
        <f aca="false">עזר!M4344</f>
        <v/>
      </c>
    </row>
    <row r="4345" customFormat="false" ht="15" hidden="false" customHeight="false" outlineLevel="0" collapsed="false">
      <c r="A4345" s="13" t="str">
        <f aca="false">IF(עזר!L4345="","",INDEX(עזר!$A$2:$A$5001,עזר!L4345))</f>
        <v/>
      </c>
      <c r="B4345" s="13" t="str">
        <f aca="false">IF(עזר!L4345="","",INDEX(עזר!$B$2:$B$5001,עזר!L4345))</f>
        <v/>
      </c>
      <c r="C4345" s="13" t="str">
        <f aca="false">עזר!M4345</f>
        <v/>
      </c>
    </row>
    <row r="4346" customFormat="false" ht="15" hidden="false" customHeight="false" outlineLevel="0" collapsed="false">
      <c r="A4346" s="13" t="str">
        <f aca="false">IF(עזר!L4346="","",INDEX(עזר!$A$2:$A$5001,עזר!L4346))</f>
        <v/>
      </c>
      <c r="B4346" s="13" t="str">
        <f aca="false">IF(עזר!L4346="","",INDEX(עזר!$B$2:$B$5001,עזר!L4346))</f>
        <v/>
      </c>
      <c r="C4346" s="13" t="str">
        <f aca="false">עזר!M4346</f>
        <v/>
      </c>
    </row>
    <row r="4347" customFormat="false" ht="15" hidden="false" customHeight="false" outlineLevel="0" collapsed="false">
      <c r="A4347" s="13" t="str">
        <f aca="false">IF(עזר!L4347="","",INDEX(עזר!$A$2:$A$5001,עזר!L4347))</f>
        <v/>
      </c>
      <c r="B4347" s="13" t="str">
        <f aca="false">IF(עזר!L4347="","",INDEX(עזר!$B$2:$B$5001,עזר!L4347))</f>
        <v/>
      </c>
      <c r="C4347" s="13" t="str">
        <f aca="false">עזר!M4347</f>
        <v/>
      </c>
    </row>
    <row r="4348" customFormat="false" ht="15" hidden="false" customHeight="false" outlineLevel="0" collapsed="false">
      <c r="A4348" s="13" t="str">
        <f aca="false">IF(עזר!L4348="","",INDEX(עזר!$A$2:$A$5001,עזר!L4348))</f>
        <v/>
      </c>
      <c r="B4348" s="13" t="str">
        <f aca="false">IF(עזר!L4348="","",INDEX(עזר!$B$2:$B$5001,עזר!L4348))</f>
        <v/>
      </c>
      <c r="C4348" s="13" t="str">
        <f aca="false">עזר!M4348</f>
        <v/>
      </c>
    </row>
    <row r="4349" customFormat="false" ht="15" hidden="false" customHeight="false" outlineLevel="0" collapsed="false">
      <c r="A4349" s="13" t="str">
        <f aca="false">IF(עזר!L4349="","",INDEX(עזר!$A$2:$A$5001,עזר!L4349))</f>
        <v/>
      </c>
      <c r="B4349" s="13" t="str">
        <f aca="false">IF(עזר!L4349="","",INDEX(עזר!$B$2:$B$5001,עזר!L4349))</f>
        <v/>
      </c>
      <c r="C4349" s="13" t="str">
        <f aca="false">עזר!M4349</f>
        <v/>
      </c>
    </row>
    <row r="4350" customFormat="false" ht="15" hidden="false" customHeight="false" outlineLevel="0" collapsed="false">
      <c r="A4350" s="13" t="str">
        <f aca="false">IF(עזר!L4350="","",INDEX(עזר!$A$2:$A$5001,עזר!L4350))</f>
        <v/>
      </c>
      <c r="B4350" s="13" t="str">
        <f aca="false">IF(עזר!L4350="","",INDEX(עזר!$B$2:$B$5001,עזר!L4350))</f>
        <v/>
      </c>
      <c r="C4350" s="13" t="str">
        <f aca="false">עזר!M4350</f>
        <v/>
      </c>
    </row>
    <row r="4351" customFormat="false" ht="15" hidden="false" customHeight="false" outlineLevel="0" collapsed="false">
      <c r="A4351" s="13" t="str">
        <f aca="false">IF(עזר!L4351="","",INDEX(עזר!$A$2:$A$5001,עזר!L4351))</f>
        <v/>
      </c>
      <c r="B4351" s="13" t="str">
        <f aca="false">IF(עזר!L4351="","",INDEX(עזר!$B$2:$B$5001,עזר!L4351))</f>
        <v/>
      </c>
      <c r="C4351" s="13" t="str">
        <f aca="false">עזר!M4351</f>
        <v/>
      </c>
    </row>
    <row r="4352" customFormat="false" ht="15" hidden="false" customHeight="false" outlineLevel="0" collapsed="false">
      <c r="A4352" s="13" t="str">
        <f aca="false">IF(עזר!L4352="","",INDEX(עזר!$A$2:$A$5001,עזר!L4352))</f>
        <v/>
      </c>
      <c r="B4352" s="13" t="str">
        <f aca="false">IF(עזר!L4352="","",INDEX(עזר!$B$2:$B$5001,עזר!L4352))</f>
        <v/>
      </c>
      <c r="C4352" s="13" t="str">
        <f aca="false">עזר!M4352</f>
        <v/>
      </c>
    </row>
    <row r="4353" customFormat="false" ht="15" hidden="false" customHeight="false" outlineLevel="0" collapsed="false">
      <c r="A4353" s="13" t="str">
        <f aca="false">IF(עזר!L4353="","",INDEX(עזר!$A$2:$A$5001,עזר!L4353))</f>
        <v/>
      </c>
      <c r="B4353" s="13" t="str">
        <f aca="false">IF(עזר!L4353="","",INDEX(עזר!$B$2:$B$5001,עזר!L4353))</f>
        <v/>
      </c>
      <c r="C4353" s="13" t="str">
        <f aca="false">עזר!M4353</f>
        <v/>
      </c>
    </row>
    <row r="4354" customFormat="false" ht="15" hidden="false" customHeight="false" outlineLevel="0" collapsed="false">
      <c r="A4354" s="13" t="str">
        <f aca="false">IF(עזר!L4354="","",INDEX(עזר!$A$2:$A$5001,עזר!L4354))</f>
        <v/>
      </c>
      <c r="B4354" s="13" t="str">
        <f aca="false">IF(עזר!L4354="","",INDEX(עזר!$B$2:$B$5001,עזר!L4354))</f>
        <v/>
      </c>
      <c r="C4354" s="13" t="str">
        <f aca="false">עזר!M4354</f>
        <v/>
      </c>
    </row>
    <row r="4355" customFormat="false" ht="15" hidden="false" customHeight="false" outlineLevel="0" collapsed="false">
      <c r="A4355" s="13" t="str">
        <f aca="false">IF(עזר!L4355="","",INDEX(עזר!$A$2:$A$5001,עזר!L4355))</f>
        <v/>
      </c>
      <c r="B4355" s="13" t="str">
        <f aca="false">IF(עזר!L4355="","",INDEX(עזר!$B$2:$B$5001,עזר!L4355))</f>
        <v/>
      </c>
      <c r="C4355" s="13" t="str">
        <f aca="false">עזר!M4355</f>
        <v/>
      </c>
    </row>
    <row r="4356" customFormat="false" ht="15" hidden="false" customHeight="false" outlineLevel="0" collapsed="false">
      <c r="A4356" s="13" t="str">
        <f aca="false">IF(עזר!L4356="","",INDEX(עזר!$A$2:$A$5001,עזר!L4356))</f>
        <v/>
      </c>
      <c r="B4356" s="13" t="str">
        <f aca="false">IF(עזר!L4356="","",INDEX(עזר!$B$2:$B$5001,עזר!L4356))</f>
        <v/>
      </c>
      <c r="C4356" s="13" t="str">
        <f aca="false">עזר!M4356</f>
        <v/>
      </c>
    </row>
    <row r="4357" customFormat="false" ht="15" hidden="false" customHeight="false" outlineLevel="0" collapsed="false">
      <c r="A4357" s="13" t="str">
        <f aca="false">IF(עזר!L4357="","",INDEX(עזר!$A$2:$A$5001,עזר!L4357))</f>
        <v/>
      </c>
      <c r="B4357" s="13" t="str">
        <f aca="false">IF(עזר!L4357="","",INDEX(עזר!$B$2:$B$5001,עזר!L4357))</f>
        <v/>
      </c>
      <c r="C4357" s="13" t="str">
        <f aca="false">עזר!M4357</f>
        <v/>
      </c>
    </row>
    <row r="4358" customFormat="false" ht="15" hidden="false" customHeight="false" outlineLevel="0" collapsed="false">
      <c r="A4358" s="13" t="str">
        <f aca="false">IF(עזר!L4358="","",INDEX(עזר!$A$2:$A$5001,עזר!L4358))</f>
        <v/>
      </c>
      <c r="B4358" s="13" t="str">
        <f aca="false">IF(עזר!L4358="","",INDEX(עזר!$B$2:$B$5001,עזר!L4358))</f>
        <v/>
      </c>
      <c r="C4358" s="13" t="str">
        <f aca="false">עזר!M4358</f>
        <v/>
      </c>
    </row>
    <row r="4359" customFormat="false" ht="15" hidden="false" customHeight="false" outlineLevel="0" collapsed="false">
      <c r="A4359" s="13" t="str">
        <f aca="false">IF(עזר!L4359="","",INDEX(עזר!$A$2:$A$5001,עזר!L4359))</f>
        <v/>
      </c>
      <c r="B4359" s="13" t="str">
        <f aca="false">IF(עזר!L4359="","",INDEX(עזר!$B$2:$B$5001,עזר!L4359))</f>
        <v/>
      </c>
      <c r="C4359" s="13" t="str">
        <f aca="false">עזר!M4359</f>
        <v/>
      </c>
    </row>
    <row r="4360" customFormat="false" ht="15" hidden="false" customHeight="false" outlineLevel="0" collapsed="false">
      <c r="A4360" s="13" t="str">
        <f aca="false">IF(עזר!L4360="","",INDEX(עזר!$A$2:$A$5001,עזר!L4360))</f>
        <v/>
      </c>
      <c r="B4360" s="13" t="str">
        <f aca="false">IF(עזר!L4360="","",INDEX(עזר!$B$2:$B$5001,עזר!L4360))</f>
        <v/>
      </c>
      <c r="C4360" s="13" t="str">
        <f aca="false">עזר!M4360</f>
        <v/>
      </c>
    </row>
    <row r="4361" customFormat="false" ht="15" hidden="false" customHeight="false" outlineLevel="0" collapsed="false">
      <c r="A4361" s="13" t="str">
        <f aca="false">IF(עזר!L4361="","",INDEX(עזר!$A$2:$A$5001,עזר!L4361))</f>
        <v/>
      </c>
      <c r="B4361" s="13" t="str">
        <f aca="false">IF(עזר!L4361="","",INDEX(עזר!$B$2:$B$5001,עזר!L4361))</f>
        <v/>
      </c>
      <c r="C4361" s="13" t="str">
        <f aca="false">עזר!M4361</f>
        <v/>
      </c>
    </row>
    <row r="4362" customFormat="false" ht="15" hidden="false" customHeight="false" outlineLevel="0" collapsed="false">
      <c r="A4362" s="13" t="str">
        <f aca="false">IF(עזר!L4362="","",INDEX(עזר!$A$2:$A$5001,עזר!L4362))</f>
        <v/>
      </c>
      <c r="B4362" s="13" t="str">
        <f aca="false">IF(עזר!L4362="","",INDEX(עזר!$B$2:$B$5001,עזר!L4362))</f>
        <v/>
      </c>
      <c r="C4362" s="13" t="str">
        <f aca="false">עזר!M4362</f>
        <v/>
      </c>
    </row>
    <row r="4363" customFormat="false" ht="15" hidden="false" customHeight="false" outlineLevel="0" collapsed="false">
      <c r="A4363" s="13" t="str">
        <f aca="false">IF(עזר!L4363="","",INDEX(עזר!$A$2:$A$5001,עזר!L4363))</f>
        <v/>
      </c>
      <c r="B4363" s="13" t="str">
        <f aca="false">IF(עזר!L4363="","",INDEX(עזר!$B$2:$B$5001,עזר!L4363))</f>
        <v/>
      </c>
      <c r="C4363" s="13" t="str">
        <f aca="false">עזר!M4363</f>
        <v/>
      </c>
    </row>
    <row r="4364" customFormat="false" ht="15" hidden="false" customHeight="false" outlineLevel="0" collapsed="false">
      <c r="A4364" s="13" t="str">
        <f aca="false">IF(עזר!L4364="","",INDEX(עזר!$A$2:$A$5001,עזר!L4364))</f>
        <v/>
      </c>
      <c r="B4364" s="13" t="str">
        <f aca="false">IF(עזר!L4364="","",INDEX(עזר!$B$2:$B$5001,עזר!L4364))</f>
        <v/>
      </c>
      <c r="C4364" s="13" t="str">
        <f aca="false">עזר!M4364</f>
        <v/>
      </c>
    </row>
    <row r="4365" customFormat="false" ht="15" hidden="false" customHeight="false" outlineLevel="0" collapsed="false">
      <c r="A4365" s="13" t="str">
        <f aca="false">IF(עזר!L4365="","",INDEX(עזר!$A$2:$A$5001,עזר!L4365))</f>
        <v/>
      </c>
      <c r="B4365" s="13" t="str">
        <f aca="false">IF(עזר!L4365="","",INDEX(עזר!$B$2:$B$5001,עזר!L4365))</f>
        <v/>
      </c>
      <c r="C4365" s="13" t="str">
        <f aca="false">עזר!M4365</f>
        <v/>
      </c>
    </row>
    <row r="4366" customFormat="false" ht="15" hidden="false" customHeight="false" outlineLevel="0" collapsed="false">
      <c r="A4366" s="13" t="str">
        <f aca="false">IF(עזר!L4366="","",INDEX(עזר!$A$2:$A$5001,עזר!L4366))</f>
        <v/>
      </c>
      <c r="B4366" s="13" t="str">
        <f aca="false">IF(עזר!L4366="","",INDEX(עזר!$B$2:$B$5001,עזר!L4366))</f>
        <v/>
      </c>
      <c r="C4366" s="13" t="str">
        <f aca="false">עזר!M4366</f>
        <v/>
      </c>
    </row>
    <row r="4367" customFormat="false" ht="15" hidden="false" customHeight="false" outlineLevel="0" collapsed="false">
      <c r="A4367" s="13" t="str">
        <f aca="false">IF(עזר!L4367="","",INDEX(עזר!$A$2:$A$5001,עזר!L4367))</f>
        <v/>
      </c>
      <c r="B4367" s="13" t="str">
        <f aca="false">IF(עזר!L4367="","",INDEX(עזר!$B$2:$B$5001,עזר!L4367))</f>
        <v/>
      </c>
      <c r="C4367" s="13" t="str">
        <f aca="false">עזר!M4367</f>
        <v/>
      </c>
    </row>
    <row r="4368" customFormat="false" ht="15" hidden="false" customHeight="false" outlineLevel="0" collapsed="false">
      <c r="A4368" s="13" t="str">
        <f aca="false">IF(עזר!L4368="","",INDEX(עזר!$A$2:$A$5001,עזר!L4368))</f>
        <v/>
      </c>
      <c r="B4368" s="13" t="str">
        <f aca="false">IF(עזר!L4368="","",INDEX(עזר!$B$2:$B$5001,עזר!L4368))</f>
        <v/>
      </c>
      <c r="C4368" s="13" t="str">
        <f aca="false">עזר!M4368</f>
        <v/>
      </c>
    </row>
    <row r="4369" customFormat="false" ht="15" hidden="false" customHeight="false" outlineLevel="0" collapsed="false">
      <c r="A4369" s="13" t="str">
        <f aca="false">IF(עזר!L4369="","",INDEX(עזר!$A$2:$A$5001,עזר!L4369))</f>
        <v/>
      </c>
      <c r="B4369" s="13" t="str">
        <f aca="false">IF(עזר!L4369="","",INDEX(עזר!$B$2:$B$5001,עזר!L4369))</f>
        <v/>
      </c>
      <c r="C4369" s="13" t="str">
        <f aca="false">עזר!M4369</f>
        <v/>
      </c>
    </row>
    <row r="4370" customFormat="false" ht="15" hidden="false" customHeight="false" outlineLevel="0" collapsed="false">
      <c r="A4370" s="13" t="str">
        <f aca="false">IF(עזר!L4370="","",INDEX(עזר!$A$2:$A$5001,עזר!L4370))</f>
        <v/>
      </c>
      <c r="B4370" s="13" t="str">
        <f aca="false">IF(עזר!L4370="","",INDEX(עזר!$B$2:$B$5001,עזר!L4370))</f>
        <v/>
      </c>
      <c r="C4370" s="13" t="str">
        <f aca="false">עזר!M4370</f>
        <v/>
      </c>
    </row>
    <row r="4371" customFormat="false" ht="15" hidden="false" customHeight="false" outlineLevel="0" collapsed="false">
      <c r="A4371" s="13" t="str">
        <f aca="false">IF(עזר!L4371="","",INDEX(עזר!$A$2:$A$5001,עזר!L4371))</f>
        <v/>
      </c>
      <c r="B4371" s="13" t="str">
        <f aca="false">IF(עזר!L4371="","",INDEX(עזר!$B$2:$B$5001,עזר!L4371))</f>
        <v/>
      </c>
      <c r="C4371" s="13" t="str">
        <f aca="false">עזר!M4371</f>
        <v/>
      </c>
    </row>
    <row r="4372" customFormat="false" ht="15" hidden="false" customHeight="false" outlineLevel="0" collapsed="false">
      <c r="A4372" s="13" t="str">
        <f aca="false">IF(עזר!L4372="","",INDEX(עזר!$A$2:$A$5001,עזר!L4372))</f>
        <v/>
      </c>
      <c r="B4372" s="13" t="str">
        <f aca="false">IF(עזר!L4372="","",INDEX(עזר!$B$2:$B$5001,עזר!L4372))</f>
        <v/>
      </c>
      <c r="C4372" s="13" t="str">
        <f aca="false">עזר!M4372</f>
        <v/>
      </c>
    </row>
    <row r="4373" customFormat="false" ht="15" hidden="false" customHeight="false" outlineLevel="0" collapsed="false">
      <c r="A4373" s="13" t="str">
        <f aca="false">IF(עזר!L4373="","",INDEX(עזר!$A$2:$A$5001,עזר!L4373))</f>
        <v/>
      </c>
      <c r="B4373" s="13" t="str">
        <f aca="false">IF(עזר!L4373="","",INDEX(עזר!$B$2:$B$5001,עזר!L4373))</f>
        <v/>
      </c>
      <c r="C4373" s="13" t="str">
        <f aca="false">עזר!M4373</f>
        <v/>
      </c>
    </row>
    <row r="4374" customFormat="false" ht="15" hidden="false" customHeight="false" outlineLevel="0" collapsed="false">
      <c r="A4374" s="13" t="str">
        <f aca="false">IF(עזר!L4374="","",INDEX(עזר!$A$2:$A$5001,עזר!L4374))</f>
        <v/>
      </c>
      <c r="B4374" s="13" t="str">
        <f aca="false">IF(עזר!L4374="","",INDEX(עזר!$B$2:$B$5001,עזר!L4374))</f>
        <v/>
      </c>
      <c r="C4374" s="13" t="str">
        <f aca="false">עזר!M4374</f>
        <v/>
      </c>
    </row>
    <row r="4375" customFormat="false" ht="15" hidden="false" customHeight="false" outlineLevel="0" collapsed="false">
      <c r="A4375" s="13" t="str">
        <f aca="false">IF(עזר!L4375="","",INDEX(עזר!$A$2:$A$5001,עזר!L4375))</f>
        <v/>
      </c>
      <c r="B4375" s="13" t="str">
        <f aca="false">IF(עזר!L4375="","",INDEX(עזר!$B$2:$B$5001,עזר!L4375))</f>
        <v/>
      </c>
      <c r="C4375" s="13" t="str">
        <f aca="false">עזר!M4375</f>
        <v/>
      </c>
    </row>
    <row r="4376" customFormat="false" ht="15" hidden="false" customHeight="false" outlineLevel="0" collapsed="false">
      <c r="A4376" s="13" t="str">
        <f aca="false">IF(עזר!L4376="","",INDEX(עזר!$A$2:$A$5001,עזר!L4376))</f>
        <v/>
      </c>
      <c r="B4376" s="13" t="str">
        <f aca="false">IF(עזר!L4376="","",INDEX(עזר!$B$2:$B$5001,עזר!L4376))</f>
        <v/>
      </c>
      <c r="C4376" s="13" t="str">
        <f aca="false">עזר!M4376</f>
        <v/>
      </c>
    </row>
    <row r="4377" customFormat="false" ht="15" hidden="false" customHeight="false" outlineLevel="0" collapsed="false">
      <c r="A4377" s="13" t="str">
        <f aca="false">IF(עזר!L4377="","",INDEX(עזר!$A$2:$A$5001,עזר!L4377))</f>
        <v/>
      </c>
      <c r="B4377" s="13" t="str">
        <f aca="false">IF(עזר!L4377="","",INDEX(עזר!$B$2:$B$5001,עזר!L4377))</f>
        <v/>
      </c>
      <c r="C4377" s="13" t="str">
        <f aca="false">עזר!M4377</f>
        <v/>
      </c>
    </row>
    <row r="4378" customFormat="false" ht="15" hidden="false" customHeight="false" outlineLevel="0" collapsed="false">
      <c r="A4378" s="13" t="str">
        <f aca="false">IF(עזר!L4378="","",INDEX(עזר!$A$2:$A$5001,עזר!L4378))</f>
        <v/>
      </c>
      <c r="B4378" s="13" t="str">
        <f aca="false">IF(עזר!L4378="","",INDEX(עזר!$B$2:$B$5001,עזר!L4378))</f>
        <v/>
      </c>
      <c r="C4378" s="13" t="str">
        <f aca="false">עזר!M4378</f>
        <v/>
      </c>
    </row>
    <row r="4379" customFormat="false" ht="15" hidden="false" customHeight="false" outlineLevel="0" collapsed="false">
      <c r="A4379" s="13" t="str">
        <f aca="false">IF(עזר!L4379="","",INDEX(עזר!$A$2:$A$5001,עזר!L4379))</f>
        <v/>
      </c>
      <c r="B4379" s="13" t="str">
        <f aca="false">IF(עזר!L4379="","",INDEX(עזר!$B$2:$B$5001,עזר!L4379))</f>
        <v/>
      </c>
      <c r="C4379" s="13" t="str">
        <f aca="false">עזר!M4379</f>
        <v/>
      </c>
    </row>
    <row r="4380" customFormat="false" ht="15" hidden="false" customHeight="false" outlineLevel="0" collapsed="false">
      <c r="A4380" s="13" t="str">
        <f aca="false">IF(עזר!L4380="","",INDEX(עזר!$A$2:$A$5001,עזר!L4380))</f>
        <v/>
      </c>
      <c r="B4380" s="13" t="str">
        <f aca="false">IF(עזר!L4380="","",INDEX(עזר!$B$2:$B$5001,עזר!L4380))</f>
        <v/>
      </c>
      <c r="C4380" s="13" t="str">
        <f aca="false">עזר!M4380</f>
        <v/>
      </c>
    </row>
    <row r="4381" customFormat="false" ht="15" hidden="false" customHeight="false" outlineLevel="0" collapsed="false">
      <c r="A4381" s="13" t="str">
        <f aca="false">IF(עזר!L4381="","",INDEX(עזר!$A$2:$A$5001,עזר!L4381))</f>
        <v/>
      </c>
      <c r="B4381" s="13" t="str">
        <f aca="false">IF(עזר!L4381="","",INDEX(עזר!$B$2:$B$5001,עזר!L4381))</f>
        <v/>
      </c>
      <c r="C4381" s="13" t="str">
        <f aca="false">עזר!M4381</f>
        <v/>
      </c>
    </row>
    <row r="4382" customFormat="false" ht="15" hidden="false" customHeight="false" outlineLevel="0" collapsed="false">
      <c r="A4382" s="13" t="str">
        <f aca="false">IF(עזר!L4382="","",INDEX(עזר!$A$2:$A$5001,עזר!L4382))</f>
        <v/>
      </c>
      <c r="B4382" s="13" t="str">
        <f aca="false">IF(עזר!L4382="","",INDEX(עזר!$B$2:$B$5001,עזר!L4382))</f>
        <v/>
      </c>
      <c r="C4382" s="13" t="str">
        <f aca="false">עזר!M4382</f>
        <v/>
      </c>
    </row>
    <row r="4383" customFormat="false" ht="15" hidden="false" customHeight="false" outlineLevel="0" collapsed="false">
      <c r="A4383" s="13" t="str">
        <f aca="false">IF(עזר!L4383="","",INDEX(עזר!$A$2:$A$5001,עזר!L4383))</f>
        <v/>
      </c>
      <c r="B4383" s="13" t="str">
        <f aca="false">IF(עזר!L4383="","",INDEX(עזר!$B$2:$B$5001,עזר!L4383))</f>
        <v/>
      </c>
      <c r="C4383" s="13" t="str">
        <f aca="false">עזר!M4383</f>
        <v/>
      </c>
    </row>
    <row r="4384" customFormat="false" ht="15" hidden="false" customHeight="false" outlineLevel="0" collapsed="false">
      <c r="A4384" s="13" t="str">
        <f aca="false">IF(עזר!L4384="","",INDEX(עזר!$A$2:$A$5001,עזר!L4384))</f>
        <v/>
      </c>
      <c r="B4384" s="13" t="str">
        <f aca="false">IF(עזר!L4384="","",INDEX(עזר!$B$2:$B$5001,עזר!L4384))</f>
        <v/>
      </c>
      <c r="C4384" s="13" t="str">
        <f aca="false">עזר!M4384</f>
        <v/>
      </c>
    </row>
    <row r="4385" customFormat="false" ht="15" hidden="false" customHeight="false" outlineLevel="0" collapsed="false">
      <c r="A4385" s="13" t="str">
        <f aca="false">IF(עזר!L4385="","",INDEX(עזר!$A$2:$A$5001,עזר!L4385))</f>
        <v/>
      </c>
      <c r="B4385" s="13" t="str">
        <f aca="false">IF(עזר!L4385="","",INDEX(עזר!$B$2:$B$5001,עזר!L4385))</f>
        <v/>
      </c>
      <c r="C4385" s="13" t="str">
        <f aca="false">עזר!M4385</f>
        <v/>
      </c>
    </row>
    <row r="4386" customFormat="false" ht="15" hidden="false" customHeight="false" outlineLevel="0" collapsed="false">
      <c r="A4386" s="13" t="str">
        <f aca="false">IF(עזר!L4386="","",INDEX(עזר!$A$2:$A$5001,עזר!L4386))</f>
        <v/>
      </c>
      <c r="B4386" s="13" t="str">
        <f aca="false">IF(עזר!L4386="","",INDEX(עזר!$B$2:$B$5001,עזר!L4386))</f>
        <v/>
      </c>
      <c r="C4386" s="13" t="str">
        <f aca="false">עזר!M4386</f>
        <v/>
      </c>
    </row>
    <row r="4387" customFormat="false" ht="15" hidden="false" customHeight="false" outlineLevel="0" collapsed="false">
      <c r="A4387" s="13" t="str">
        <f aca="false">IF(עזר!L4387="","",INDEX(עזר!$A$2:$A$5001,עזר!L4387))</f>
        <v/>
      </c>
      <c r="B4387" s="13" t="str">
        <f aca="false">IF(עזר!L4387="","",INDEX(עזר!$B$2:$B$5001,עזר!L4387))</f>
        <v/>
      </c>
      <c r="C4387" s="13" t="str">
        <f aca="false">עזר!M4387</f>
        <v/>
      </c>
    </row>
    <row r="4388" customFormat="false" ht="15" hidden="false" customHeight="false" outlineLevel="0" collapsed="false">
      <c r="A4388" s="13" t="str">
        <f aca="false">IF(עזר!L4388="","",INDEX(עזר!$A$2:$A$5001,עזר!L4388))</f>
        <v/>
      </c>
      <c r="B4388" s="13" t="str">
        <f aca="false">IF(עזר!L4388="","",INDEX(עזר!$B$2:$B$5001,עזר!L4388))</f>
        <v/>
      </c>
      <c r="C4388" s="13" t="str">
        <f aca="false">עזר!M4388</f>
        <v/>
      </c>
    </row>
    <row r="4389" customFormat="false" ht="15" hidden="false" customHeight="false" outlineLevel="0" collapsed="false">
      <c r="A4389" s="13" t="str">
        <f aca="false">IF(עזר!L4389="","",INDEX(עזר!$A$2:$A$5001,עזר!L4389))</f>
        <v/>
      </c>
      <c r="B4389" s="13" t="str">
        <f aca="false">IF(עזר!L4389="","",INDEX(עזר!$B$2:$B$5001,עזר!L4389))</f>
        <v/>
      </c>
      <c r="C4389" s="13" t="str">
        <f aca="false">עזר!M4389</f>
        <v/>
      </c>
    </row>
    <row r="4390" customFormat="false" ht="15" hidden="false" customHeight="false" outlineLevel="0" collapsed="false">
      <c r="A4390" s="13" t="str">
        <f aca="false">IF(עזר!L4390="","",INDEX(עזר!$A$2:$A$5001,עזר!L4390))</f>
        <v/>
      </c>
      <c r="B4390" s="13" t="str">
        <f aca="false">IF(עזר!L4390="","",INDEX(עזר!$B$2:$B$5001,עזר!L4390))</f>
        <v/>
      </c>
      <c r="C4390" s="13" t="str">
        <f aca="false">עזר!M4390</f>
        <v/>
      </c>
    </row>
    <row r="4391" customFormat="false" ht="15" hidden="false" customHeight="false" outlineLevel="0" collapsed="false">
      <c r="A4391" s="13" t="str">
        <f aca="false">IF(עזר!L4391="","",INDEX(עזר!$A$2:$A$5001,עזר!L4391))</f>
        <v/>
      </c>
      <c r="B4391" s="13" t="str">
        <f aca="false">IF(עזר!L4391="","",INDEX(עזר!$B$2:$B$5001,עזר!L4391))</f>
        <v/>
      </c>
      <c r="C4391" s="13" t="str">
        <f aca="false">עזר!M4391</f>
        <v/>
      </c>
    </row>
    <row r="4392" customFormat="false" ht="15" hidden="false" customHeight="false" outlineLevel="0" collapsed="false">
      <c r="A4392" s="13" t="str">
        <f aca="false">IF(עזר!L4392="","",INDEX(עזר!$A$2:$A$5001,עזר!L4392))</f>
        <v/>
      </c>
      <c r="B4392" s="13" t="str">
        <f aca="false">IF(עזר!L4392="","",INDEX(עזר!$B$2:$B$5001,עזר!L4392))</f>
        <v/>
      </c>
      <c r="C4392" s="13" t="str">
        <f aca="false">עזר!M4392</f>
        <v/>
      </c>
    </row>
    <row r="4393" customFormat="false" ht="15" hidden="false" customHeight="false" outlineLevel="0" collapsed="false">
      <c r="A4393" s="13" t="str">
        <f aca="false">IF(עזר!L4393="","",INDEX(עזר!$A$2:$A$5001,עזר!L4393))</f>
        <v/>
      </c>
      <c r="B4393" s="13" t="str">
        <f aca="false">IF(עזר!L4393="","",INDEX(עזר!$B$2:$B$5001,עזר!L4393))</f>
        <v/>
      </c>
      <c r="C4393" s="13" t="str">
        <f aca="false">עזר!M4393</f>
        <v/>
      </c>
    </row>
    <row r="4394" customFormat="false" ht="15" hidden="false" customHeight="false" outlineLevel="0" collapsed="false">
      <c r="A4394" s="13" t="str">
        <f aca="false">IF(עזר!L4394="","",INDEX(עזר!$A$2:$A$5001,עזר!L4394))</f>
        <v/>
      </c>
      <c r="B4394" s="13" t="str">
        <f aca="false">IF(עזר!L4394="","",INDEX(עזר!$B$2:$B$5001,עזר!L4394))</f>
        <v/>
      </c>
      <c r="C4394" s="13" t="str">
        <f aca="false">עזר!M4394</f>
        <v/>
      </c>
    </row>
    <row r="4395" customFormat="false" ht="15" hidden="false" customHeight="false" outlineLevel="0" collapsed="false">
      <c r="A4395" s="13" t="str">
        <f aca="false">IF(עזר!L4395="","",INDEX(עזר!$A$2:$A$5001,עזר!L4395))</f>
        <v/>
      </c>
      <c r="B4395" s="13" t="str">
        <f aca="false">IF(עזר!L4395="","",INDEX(עזר!$B$2:$B$5001,עזר!L4395))</f>
        <v/>
      </c>
      <c r="C4395" s="13" t="str">
        <f aca="false">עזר!M4395</f>
        <v/>
      </c>
    </row>
    <row r="4396" customFormat="false" ht="15" hidden="false" customHeight="false" outlineLevel="0" collapsed="false">
      <c r="A4396" s="13" t="str">
        <f aca="false">IF(עזר!L4396="","",INDEX(עזר!$A$2:$A$5001,עזר!L4396))</f>
        <v/>
      </c>
      <c r="B4396" s="13" t="str">
        <f aca="false">IF(עזר!L4396="","",INDEX(עזר!$B$2:$B$5001,עזר!L4396))</f>
        <v/>
      </c>
      <c r="C4396" s="13" t="str">
        <f aca="false">עזר!M4396</f>
        <v/>
      </c>
    </row>
    <row r="4397" customFormat="false" ht="15" hidden="false" customHeight="false" outlineLevel="0" collapsed="false">
      <c r="A4397" s="13" t="str">
        <f aca="false">IF(עזר!L4397="","",INDEX(עזר!$A$2:$A$5001,עזר!L4397))</f>
        <v/>
      </c>
      <c r="B4397" s="13" t="str">
        <f aca="false">IF(עזר!L4397="","",INDEX(עזר!$B$2:$B$5001,עזר!L4397))</f>
        <v/>
      </c>
      <c r="C4397" s="13" t="str">
        <f aca="false">עזר!M4397</f>
        <v/>
      </c>
    </row>
    <row r="4398" customFormat="false" ht="15" hidden="false" customHeight="false" outlineLevel="0" collapsed="false">
      <c r="A4398" s="13" t="str">
        <f aca="false">IF(עזר!L4398="","",INDEX(עזר!$A$2:$A$5001,עזר!L4398))</f>
        <v/>
      </c>
      <c r="B4398" s="13" t="str">
        <f aca="false">IF(עזר!L4398="","",INDEX(עזר!$B$2:$B$5001,עזר!L4398))</f>
        <v/>
      </c>
      <c r="C4398" s="13" t="str">
        <f aca="false">עזר!M4398</f>
        <v/>
      </c>
    </row>
    <row r="4399" customFormat="false" ht="15" hidden="false" customHeight="false" outlineLevel="0" collapsed="false">
      <c r="A4399" s="13" t="str">
        <f aca="false">IF(עזר!L4399="","",INDEX(עזר!$A$2:$A$5001,עזר!L4399))</f>
        <v/>
      </c>
      <c r="B4399" s="13" t="str">
        <f aca="false">IF(עזר!L4399="","",INDEX(עזר!$B$2:$B$5001,עזר!L4399))</f>
        <v/>
      </c>
      <c r="C4399" s="13" t="str">
        <f aca="false">עזר!M4399</f>
        <v/>
      </c>
    </row>
    <row r="4400" customFormat="false" ht="15" hidden="false" customHeight="false" outlineLevel="0" collapsed="false">
      <c r="A4400" s="13" t="str">
        <f aca="false">IF(עזר!L4400="","",INDEX(עזר!$A$2:$A$5001,עזר!L4400))</f>
        <v/>
      </c>
      <c r="B4400" s="13" t="str">
        <f aca="false">IF(עזר!L4400="","",INDEX(עזר!$B$2:$B$5001,עזר!L4400))</f>
        <v/>
      </c>
      <c r="C4400" s="13" t="str">
        <f aca="false">עזר!M4400</f>
        <v/>
      </c>
    </row>
    <row r="4401" customFormat="false" ht="15" hidden="false" customHeight="false" outlineLevel="0" collapsed="false">
      <c r="A4401" s="13" t="str">
        <f aca="false">IF(עזר!L4401="","",INDEX(עזר!$A$2:$A$5001,עזר!L4401))</f>
        <v/>
      </c>
      <c r="B4401" s="13" t="str">
        <f aca="false">IF(עזר!L4401="","",INDEX(עזר!$B$2:$B$5001,עזר!L4401))</f>
        <v/>
      </c>
      <c r="C4401" s="13" t="str">
        <f aca="false">עזר!M4401</f>
        <v/>
      </c>
    </row>
    <row r="4402" customFormat="false" ht="15" hidden="false" customHeight="false" outlineLevel="0" collapsed="false">
      <c r="A4402" s="13" t="str">
        <f aca="false">IF(עזר!L4402="","",INDEX(עזר!$A$2:$A$5001,עזר!L4402))</f>
        <v/>
      </c>
      <c r="B4402" s="13" t="str">
        <f aca="false">IF(עזר!L4402="","",INDEX(עזר!$B$2:$B$5001,עזר!L4402))</f>
        <v/>
      </c>
      <c r="C4402" s="13" t="str">
        <f aca="false">עזר!M4402</f>
        <v/>
      </c>
    </row>
    <row r="4403" customFormat="false" ht="15" hidden="false" customHeight="false" outlineLevel="0" collapsed="false">
      <c r="A4403" s="13" t="str">
        <f aca="false">IF(עזר!L4403="","",INDEX(עזר!$A$2:$A$5001,עזר!L4403))</f>
        <v/>
      </c>
      <c r="B4403" s="13" t="str">
        <f aca="false">IF(עזר!L4403="","",INDEX(עזר!$B$2:$B$5001,עזר!L4403))</f>
        <v/>
      </c>
      <c r="C4403" s="13" t="str">
        <f aca="false">עזר!M4403</f>
        <v/>
      </c>
    </row>
    <row r="4404" customFormat="false" ht="15" hidden="false" customHeight="false" outlineLevel="0" collapsed="false">
      <c r="A4404" s="13" t="str">
        <f aca="false">IF(עזר!L4404="","",INDEX(עזר!$A$2:$A$5001,עזר!L4404))</f>
        <v/>
      </c>
      <c r="B4404" s="13" t="str">
        <f aca="false">IF(עזר!L4404="","",INDEX(עזר!$B$2:$B$5001,עזר!L4404))</f>
        <v/>
      </c>
      <c r="C4404" s="13" t="str">
        <f aca="false">עזר!M4404</f>
        <v/>
      </c>
    </row>
    <row r="4405" customFormat="false" ht="15" hidden="false" customHeight="false" outlineLevel="0" collapsed="false">
      <c r="A4405" s="13" t="str">
        <f aca="false">IF(עזר!L4405="","",INDEX(עזר!$A$2:$A$5001,עזר!L4405))</f>
        <v/>
      </c>
      <c r="B4405" s="13" t="str">
        <f aca="false">IF(עזר!L4405="","",INDEX(עזר!$B$2:$B$5001,עזר!L4405))</f>
        <v/>
      </c>
      <c r="C4405" s="13" t="str">
        <f aca="false">עזר!M4405</f>
        <v/>
      </c>
    </row>
    <row r="4406" customFormat="false" ht="15" hidden="false" customHeight="false" outlineLevel="0" collapsed="false">
      <c r="A4406" s="13" t="str">
        <f aca="false">IF(עזר!L4406="","",INDEX(עזר!$A$2:$A$5001,עזר!L4406))</f>
        <v/>
      </c>
      <c r="B4406" s="13" t="str">
        <f aca="false">IF(עזר!L4406="","",INDEX(עזר!$B$2:$B$5001,עזר!L4406))</f>
        <v/>
      </c>
      <c r="C4406" s="13" t="str">
        <f aca="false">עזר!M4406</f>
        <v/>
      </c>
    </row>
    <row r="4407" customFormat="false" ht="15" hidden="false" customHeight="false" outlineLevel="0" collapsed="false">
      <c r="A4407" s="13" t="str">
        <f aca="false">IF(עזר!L4407="","",INDEX(עזר!$A$2:$A$5001,עזר!L4407))</f>
        <v/>
      </c>
      <c r="B4407" s="13" t="str">
        <f aca="false">IF(עזר!L4407="","",INDEX(עזר!$B$2:$B$5001,עזר!L4407))</f>
        <v/>
      </c>
      <c r="C4407" s="13" t="str">
        <f aca="false">עזר!M4407</f>
        <v/>
      </c>
    </row>
    <row r="4408" customFormat="false" ht="15" hidden="false" customHeight="false" outlineLevel="0" collapsed="false">
      <c r="A4408" s="13" t="str">
        <f aca="false">IF(עזר!L4408="","",INDEX(עזר!$A$2:$A$5001,עזר!L4408))</f>
        <v/>
      </c>
      <c r="B4408" s="13" t="str">
        <f aca="false">IF(עזר!L4408="","",INDEX(עזר!$B$2:$B$5001,עזר!L4408))</f>
        <v/>
      </c>
      <c r="C4408" s="13" t="str">
        <f aca="false">עזר!M4408</f>
        <v/>
      </c>
    </row>
    <row r="4409" customFormat="false" ht="15" hidden="false" customHeight="false" outlineLevel="0" collapsed="false">
      <c r="A4409" s="13" t="str">
        <f aca="false">IF(עזר!L4409="","",INDEX(עזר!$A$2:$A$5001,עזר!L4409))</f>
        <v/>
      </c>
      <c r="B4409" s="13" t="str">
        <f aca="false">IF(עזר!L4409="","",INDEX(עזר!$B$2:$B$5001,עזר!L4409))</f>
        <v/>
      </c>
      <c r="C4409" s="13" t="str">
        <f aca="false">עזר!M4409</f>
        <v/>
      </c>
    </row>
    <row r="4410" customFormat="false" ht="15" hidden="false" customHeight="false" outlineLevel="0" collapsed="false">
      <c r="A4410" s="13" t="str">
        <f aca="false">IF(עזר!L4410="","",INDEX(עזר!$A$2:$A$5001,עזר!L4410))</f>
        <v/>
      </c>
      <c r="B4410" s="13" t="str">
        <f aca="false">IF(עזר!L4410="","",INDEX(עזר!$B$2:$B$5001,עזר!L4410))</f>
        <v/>
      </c>
      <c r="C4410" s="13" t="str">
        <f aca="false">עזר!M4410</f>
        <v/>
      </c>
    </row>
    <row r="4411" customFormat="false" ht="15" hidden="false" customHeight="false" outlineLevel="0" collapsed="false">
      <c r="A4411" s="13" t="str">
        <f aca="false">IF(עזר!L4411="","",INDEX(עזר!$A$2:$A$5001,עזר!L4411))</f>
        <v/>
      </c>
      <c r="B4411" s="13" t="str">
        <f aca="false">IF(עזר!L4411="","",INDEX(עזר!$B$2:$B$5001,עזר!L4411))</f>
        <v/>
      </c>
      <c r="C4411" s="13" t="str">
        <f aca="false">עזר!M4411</f>
        <v/>
      </c>
    </row>
    <row r="4412" customFormat="false" ht="15" hidden="false" customHeight="false" outlineLevel="0" collapsed="false">
      <c r="A4412" s="13" t="str">
        <f aca="false">IF(עזר!L4412="","",INDEX(עזר!$A$2:$A$5001,עזר!L4412))</f>
        <v/>
      </c>
      <c r="B4412" s="13" t="str">
        <f aca="false">IF(עזר!L4412="","",INDEX(עזר!$B$2:$B$5001,עזר!L4412))</f>
        <v/>
      </c>
      <c r="C4412" s="13" t="str">
        <f aca="false">עזר!M4412</f>
        <v/>
      </c>
    </row>
    <row r="4413" customFormat="false" ht="15" hidden="false" customHeight="false" outlineLevel="0" collapsed="false">
      <c r="A4413" s="13" t="str">
        <f aca="false">IF(עזר!L4413="","",INDEX(עזר!$A$2:$A$5001,עזר!L4413))</f>
        <v/>
      </c>
      <c r="B4413" s="13" t="str">
        <f aca="false">IF(עזר!L4413="","",INDEX(עזר!$B$2:$B$5001,עזר!L4413))</f>
        <v/>
      </c>
      <c r="C4413" s="13" t="str">
        <f aca="false">עזר!M4413</f>
        <v/>
      </c>
    </row>
    <row r="4414" customFormat="false" ht="15" hidden="false" customHeight="false" outlineLevel="0" collapsed="false">
      <c r="A4414" s="13" t="str">
        <f aca="false">IF(עזר!L4414="","",INDEX(עזר!$A$2:$A$5001,עזר!L4414))</f>
        <v/>
      </c>
      <c r="B4414" s="13" t="str">
        <f aca="false">IF(עזר!L4414="","",INDEX(עזר!$B$2:$B$5001,עזר!L4414))</f>
        <v/>
      </c>
      <c r="C4414" s="13" t="str">
        <f aca="false">עזר!M4414</f>
        <v/>
      </c>
    </row>
    <row r="4415" customFormat="false" ht="15" hidden="false" customHeight="false" outlineLevel="0" collapsed="false">
      <c r="A4415" s="13" t="str">
        <f aca="false">IF(עזר!L4415="","",INDEX(עזר!$A$2:$A$5001,עזר!L4415))</f>
        <v/>
      </c>
      <c r="B4415" s="13" t="str">
        <f aca="false">IF(עזר!L4415="","",INDEX(עזר!$B$2:$B$5001,עזר!L4415))</f>
        <v/>
      </c>
      <c r="C4415" s="13" t="str">
        <f aca="false">עזר!M4415</f>
        <v/>
      </c>
    </row>
    <row r="4416" customFormat="false" ht="15" hidden="false" customHeight="false" outlineLevel="0" collapsed="false">
      <c r="A4416" s="13" t="str">
        <f aca="false">IF(עזר!L4416="","",INDEX(עזר!$A$2:$A$5001,עזר!L4416))</f>
        <v/>
      </c>
      <c r="B4416" s="13" t="str">
        <f aca="false">IF(עזר!L4416="","",INDEX(עזר!$B$2:$B$5001,עזר!L4416))</f>
        <v/>
      </c>
      <c r="C4416" s="13" t="str">
        <f aca="false">עזר!M4416</f>
        <v/>
      </c>
    </row>
    <row r="4417" customFormat="false" ht="15" hidden="false" customHeight="false" outlineLevel="0" collapsed="false">
      <c r="A4417" s="13" t="str">
        <f aca="false">IF(עזר!L4417="","",INDEX(עזר!$A$2:$A$5001,עזר!L4417))</f>
        <v/>
      </c>
      <c r="B4417" s="13" t="str">
        <f aca="false">IF(עזר!L4417="","",INDEX(עזר!$B$2:$B$5001,עזר!L4417))</f>
        <v/>
      </c>
      <c r="C4417" s="13" t="str">
        <f aca="false">עזר!M4417</f>
        <v/>
      </c>
    </row>
    <row r="4418" customFormat="false" ht="15" hidden="false" customHeight="false" outlineLevel="0" collapsed="false">
      <c r="A4418" s="13" t="str">
        <f aca="false">IF(עזר!L4418="","",INDEX(עזר!$A$2:$A$5001,עזר!L4418))</f>
        <v/>
      </c>
      <c r="B4418" s="13" t="str">
        <f aca="false">IF(עזר!L4418="","",INDEX(עזר!$B$2:$B$5001,עזר!L4418))</f>
        <v/>
      </c>
      <c r="C4418" s="13" t="str">
        <f aca="false">עזר!M4418</f>
        <v/>
      </c>
    </row>
    <row r="4419" customFormat="false" ht="15" hidden="false" customHeight="false" outlineLevel="0" collapsed="false">
      <c r="A4419" s="13" t="str">
        <f aca="false">IF(עזר!L4419="","",INDEX(עזר!$A$2:$A$5001,עזר!L4419))</f>
        <v/>
      </c>
      <c r="B4419" s="13" t="str">
        <f aca="false">IF(עזר!L4419="","",INDEX(עזר!$B$2:$B$5001,עזר!L4419))</f>
        <v/>
      </c>
      <c r="C4419" s="13" t="str">
        <f aca="false">עזר!M4419</f>
        <v/>
      </c>
    </row>
    <row r="4420" customFormat="false" ht="15" hidden="false" customHeight="false" outlineLevel="0" collapsed="false">
      <c r="A4420" s="13" t="str">
        <f aca="false">IF(עזר!L4420="","",INDEX(עזר!$A$2:$A$5001,עזר!L4420))</f>
        <v/>
      </c>
      <c r="B4420" s="13" t="str">
        <f aca="false">IF(עזר!L4420="","",INDEX(עזר!$B$2:$B$5001,עזר!L4420))</f>
        <v/>
      </c>
      <c r="C4420" s="13" t="str">
        <f aca="false">עזר!M4420</f>
        <v/>
      </c>
    </row>
    <row r="4421" customFormat="false" ht="15" hidden="false" customHeight="false" outlineLevel="0" collapsed="false">
      <c r="A4421" s="13" t="str">
        <f aca="false">IF(עזר!L4421="","",INDEX(עזר!$A$2:$A$5001,עזר!L4421))</f>
        <v/>
      </c>
      <c r="B4421" s="13" t="str">
        <f aca="false">IF(עזר!L4421="","",INDEX(עזר!$B$2:$B$5001,עזר!L4421))</f>
        <v/>
      </c>
      <c r="C4421" s="13" t="str">
        <f aca="false">עזר!M4421</f>
        <v/>
      </c>
    </row>
    <row r="4422" customFormat="false" ht="15" hidden="false" customHeight="false" outlineLevel="0" collapsed="false">
      <c r="A4422" s="13" t="str">
        <f aca="false">IF(עזר!L4422="","",INDEX(עזר!$A$2:$A$5001,עזר!L4422))</f>
        <v/>
      </c>
      <c r="B4422" s="13" t="str">
        <f aca="false">IF(עזר!L4422="","",INDEX(עזר!$B$2:$B$5001,עזר!L4422))</f>
        <v/>
      </c>
      <c r="C4422" s="13" t="str">
        <f aca="false">עזר!M4422</f>
        <v/>
      </c>
    </row>
    <row r="4423" customFormat="false" ht="15" hidden="false" customHeight="false" outlineLevel="0" collapsed="false">
      <c r="A4423" s="13" t="str">
        <f aca="false">IF(עזר!L4423="","",INDEX(עזר!$A$2:$A$5001,עזר!L4423))</f>
        <v/>
      </c>
      <c r="B4423" s="13" t="str">
        <f aca="false">IF(עזר!L4423="","",INDEX(עזר!$B$2:$B$5001,עזר!L4423))</f>
        <v/>
      </c>
      <c r="C4423" s="13" t="str">
        <f aca="false">עזר!M4423</f>
        <v/>
      </c>
    </row>
    <row r="4424" customFormat="false" ht="15" hidden="false" customHeight="false" outlineLevel="0" collapsed="false">
      <c r="A4424" s="13" t="str">
        <f aca="false">IF(עזר!L4424="","",INDEX(עזר!$A$2:$A$5001,עזר!L4424))</f>
        <v/>
      </c>
      <c r="B4424" s="13" t="str">
        <f aca="false">IF(עזר!L4424="","",INDEX(עזר!$B$2:$B$5001,עזר!L4424))</f>
        <v/>
      </c>
      <c r="C4424" s="13" t="str">
        <f aca="false">עזר!M4424</f>
        <v/>
      </c>
    </row>
    <row r="4425" customFormat="false" ht="15" hidden="false" customHeight="false" outlineLevel="0" collapsed="false">
      <c r="A4425" s="13" t="str">
        <f aca="false">IF(עזר!L4425="","",INDEX(עזר!$A$2:$A$5001,עזר!L4425))</f>
        <v/>
      </c>
      <c r="B4425" s="13" t="str">
        <f aca="false">IF(עזר!L4425="","",INDEX(עזר!$B$2:$B$5001,עזר!L4425))</f>
        <v/>
      </c>
      <c r="C4425" s="13" t="str">
        <f aca="false">עזר!M4425</f>
        <v/>
      </c>
    </row>
    <row r="4426" customFormat="false" ht="15" hidden="false" customHeight="false" outlineLevel="0" collapsed="false">
      <c r="A4426" s="13" t="str">
        <f aca="false">IF(עזר!L4426="","",INDEX(עזר!$A$2:$A$5001,עזר!L4426))</f>
        <v/>
      </c>
      <c r="B4426" s="13" t="str">
        <f aca="false">IF(עזר!L4426="","",INDEX(עזר!$B$2:$B$5001,עזר!L4426))</f>
        <v/>
      </c>
      <c r="C4426" s="13" t="str">
        <f aca="false">עזר!M4426</f>
        <v/>
      </c>
    </row>
    <row r="4427" customFormat="false" ht="15" hidden="false" customHeight="false" outlineLevel="0" collapsed="false">
      <c r="A4427" s="13" t="str">
        <f aca="false">IF(עזר!L4427="","",INDEX(עזר!$A$2:$A$5001,עזר!L4427))</f>
        <v/>
      </c>
      <c r="B4427" s="13" t="str">
        <f aca="false">IF(עזר!L4427="","",INDEX(עזר!$B$2:$B$5001,עזר!L4427))</f>
        <v/>
      </c>
      <c r="C4427" s="13" t="str">
        <f aca="false">עזר!M4427</f>
        <v/>
      </c>
    </row>
    <row r="4428" customFormat="false" ht="15" hidden="false" customHeight="false" outlineLevel="0" collapsed="false">
      <c r="A4428" s="13" t="str">
        <f aca="false">IF(עזר!L4428="","",INDEX(עזר!$A$2:$A$5001,עזר!L4428))</f>
        <v/>
      </c>
      <c r="B4428" s="13" t="str">
        <f aca="false">IF(עזר!L4428="","",INDEX(עזר!$B$2:$B$5001,עזר!L4428))</f>
        <v/>
      </c>
      <c r="C4428" s="13" t="str">
        <f aca="false">עזר!M4428</f>
        <v/>
      </c>
    </row>
    <row r="4429" customFormat="false" ht="15" hidden="false" customHeight="false" outlineLevel="0" collapsed="false">
      <c r="A4429" s="13" t="str">
        <f aca="false">IF(עזר!L4429="","",INDEX(עזר!$A$2:$A$5001,עזר!L4429))</f>
        <v/>
      </c>
      <c r="B4429" s="13" t="str">
        <f aca="false">IF(עזר!L4429="","",INDEX(עזר!$B$2:$B$5001,עזר!L4429))</f>
        <v/>
      </c>
      <c r="C4429" s="13" t="str">
        <f aca="false">עזר!M4429</f>
        <v/>
      </c>
    </row>
    <row r="4430" customFormat="false" ht="15" hidden="false" customHeight="false" outlineLevel="0" collapsed="false">
      <c r="A4430" s="13" t="str">
        <f aca="false">IF(עזר!L4430="","",INDEX(עזר!$A$2:$A$5001,עזר!L4430))</f>
        <v/>
      </c>
      <c r="B4430" s="13" t="str">
        <f aca="false">IF(עזר!L4430="","",INDEX(עזר!$B$2:$B$5001,עזר!L4430))</f>
        <v/>
      </c>
      <c r="C4430" s="13" t="str">
        <f aca="false">עזר!M4430</f>
        <v/>
      </c>
    </row>
    <row r="4431" customFormat="false" ht="15" hidden="false" customHeight="false" outlineLevel="0" collapsed="false">
      <c r="A4431" s="13" t="str">
        <f aca="false">IF(עזר!L4431="","",INDEX(עזר!$A$2:$A$5001,עזר!L4431))</f>
        <v/>
      </c>
      <c r="B4431" s="13" t="str">
        <f aca="false">IF(עזר!L4431="","",INDEX(עזר!$B$2:$B$5001,עזר!L4431))</f>
        <v/>
      </c>
      <c r="C4431" s="13" t="str">
        <f aca="false">עזר!M4431</f>
        <v/>
      </c>
    </row>
    <row r="4432" customFormat="false" ht="15" hidden="false" customHeight="false" outlineLevel="0" collapsed="false">
      <c r="A4432" s="13" t="str">
        <f aca="false">IF(עזר!L4432="","",INDEX(עזר!$A$2:$A$5001,עזר!L4432))</f>
        <v/>
      </c>
      <c r="B4432" s="13" t="str">
        <f aca="false">IF(עזר!L4432="","",INDEX(עזר!$B$2:$B$5001,עזר!L4432))</f>
        <v/>
      </c>
      <c r="C4432" s="13" t="str">
        <f aca="false">עזר!M4432</f>
        <v/>
      </c>
    </row>
    <row r="4433" customFormat="false" ht="15" hidden="false" customHeight="false" outlineLevel="0" collapsed="false">
      <c r="A4433" s="13" t="str">
        <f aca="false">IF(עזר!L4433="","",INDEX(עזר!$A$2:$A$5001,עזר!L4433))</f>
        <v/>
      </c>
      <c r="B4433" s="13" t="str">
        <f aca="false">IF(עזר!L4433="","",INDEX(עזר!$B$2:$B$5001,עזר!L4433))</f>
        <v/>
      </c>
      <c r="C4433" s="13" t="str">
        <f aca="false">עזר!M4433</f>
        <v/>
      </c>
    </row>
    <row r="4434" customFormat="false" ht="15" hidden="false" customHeight="false" outlineLevel="0" collapsed="false">
      <c r="A4434" s="13" t="str">
        <f aca="false">IF(עזר!L4434="","",INDEX(עזר!$A$2:$A$5001,עזר!L4434))</f>
        <v/>
      </c>
      <c r="B4434" s="13" t="str">
        <f aca="false">IF(עזר!L4434="","",INDEX(עזר!$B$2:$B$5001,עזר!L4434))</f>
        <v/>
      </c>
      <c r="C4434" s="13" t="str">
        <f aca="false">עזר!M4434</f>
        <v/>
      </c>
    </row>
    <row r="4435" customFormat="false" ht="15" hidden="false" customHeight="false" outlineLevel="0" collapsed="false">
      <c r="A4435" s="13" t="str">
        <f aca="false">IF(עזר!L4435="","",INDEX(עזר!$A$2:$A$5001,עזר!L4435))</f>
        <v/>
      </c>
      <c r="B4435" s="13" t="str">
        <f aca="false">IF(עזר!L4435="","",INDEX(עזר!$B$2:$B$5001,עזר!L4435))</f>
        <v/>
      </c>
      <c r="C4435" s="13" t="str">
        <f aca="false">עזר!M4435</f>
        <v/>
      </c>
    </row>
    <row r="4436" customFormat="false" ht="15" hidden="false" customHeight="false" outlineLevel="0" collapsed="false">
      <c r="A4436" s="13" t="str">
        <f aca="false">IF(עזר!L4436="","",INDEX(עזר!$A$2:$A$5001,עזר!L4436))</f>
        <v/>
      </c>
      <c r="B4436" s="13" t="str">
        <f aca="false">IF(עזר!L4436="","",INDEX(עזר!$B$2:$B$5001,עזר!L4436))</f>
        <v/>
      </c>
      <c r="C4436" s="13" t="str">
        <f aca="false">עזר!M4436</f>
        <v/>
      </c>
    </row>
    <row r="4437" customFormat="false" ht="15" hidden="false" customHeight="false" outlineLevel="0" collapsed="false">
      <c r="A4437" s="13" t="str">
        <f aca="false">IF(עזר!L4437="","",INDEX(עזר!$A$2:$A$5001,עזר!L4437))</f>
        <v/>
      </c>
      <c r="B4437" s="13" t="str">
        <f aca="false">IF(עזר!L4437="","",INDEX(עזר!$B$2:$B$5001,עזר!L4437))</f>
        <v/>
      </c>
      <c r="C4437" s="13" t="str">
        <f aca="false">עזר!M4437</f>
        <v/>
      </c>
    </row>
    <row r="4438" customFormat="false" ht="15" hidden="false" customHeight="false" outlineLevel="0" collapsed="false">
      <c r="A4438" s="13" t="str">
        <f aca="false">IF(עזר!L4438="","",INDEX(עזר!$A$2:$A$5001,עזר!L4438))</f>
        <v/>
      </c>
      <c r="B4438" s="13" t="str">
        <f aca="false">IF(עזר!L4438="","",INDEX(עזר!$B$2:$B$5001,עזר!L4438))</f>
        <v/>
      </c>
      <c r="C4438" s="13" t="str">
        <f aca="false">עזר!M4438</f>
        <v/>
      </c>
    </row>
    <row r="4439" customFormat="false" ht="15" hidden="false" customHeight="false" outlineLevel="0" collapsed="false">
      <c r="A4439" s="13" t="str">
        <f aca="false">IF(עזר!L4439="","",INDEX(עזר!$A$2:$A$5001,עזר!L4439))</f>
        <v/>
      </c>
      <c r="B4439" s="13" t="str">
        <f aca="false">IF(עזר!L4439="","",INDEX(עזר!$B$2:$B$5001,עזר!L4439))</f>
        <v/>
      </c>
      <c r="C4439" s="13" t="str">
        <f aca="false">עזר!M4439</f>
        <v/>
      </c>
    </row>
    <row r="4440" customFormat="false" ht="15" hidden="false" customHeight="false" outlineLevel="0" collapsed="false">
      <c r="A4440" s="13" t="str">
        <f aca="false">IF(עזר!L4440="","",INDEX(עזר!$A$2:$A$5001,עזר!L4440))</f>
        <v/>
      </c>
      <c r="B4440" s="13" t="str">
        <f aca="false">IF(עזר!L4440="","",INDEX(עזר!$B$2:$B$5001,עזר!L4440))</f>
        <v/>
      </c>
      <c r="C4440" s="13" t="str">
        <f aca="false">עזר!M4440</f>
        <v/>
      </c>
    </row>
    <row r="4441" customFormat="false" ht="15" hidden="false" customHeight="false" outlineLevel="0" collapsed="false">
      <c r="A4441" s="13" t="str">
        <f aca="false">IF(עזר!L4441="","",INDEX(עזר!$A$2:$A$5001,עזר!L4441))</f>
        <v/>
      </c>
      <c r="B4441" s="13" t="str">
        <f aca="false">IF(עזר!L4441="","",INDEX(עזר!$B$2:$B$5001,עזר!L4441))</f>
        <v/>
      </c>
      <c r="C4441" s="13" t="str">
        <f aca="false">עזר!M4441</f>
        <v/>
      </c>
    </row>
    <row r="4442" customFormat="false" ht="15" hidden="false" customHeight="false" outlineLevel="0" collapsed="false">
      <c r="A4442" s="13" t="str">
        <f aca="false">IF(עזר!L4442="","",INDEX(עזר!$A$2:$A$5001,עזר!L4442))</f>
        <v/>
      </c>
      <c r="B4442" s="13" t="str">
        <f aca="false">IF(עזר!L4442="","",INDEX(עזר!$B$2:$B$5001,עזר!L4442))</f>
        <v/>
      </c>
      <c r="C4442" s="13" t="str">
        <f aca="false">עזר!M4442</f>
        <v/>
      </c>
    </row>
    <row r="4443" customFormat="false" ht="15" hidden="false" customHeight="false" outlineLevel="0" collapsed="false">
      <c r="A4443" s="13" t="str">
        <f aca="false">IF(עזר!L4443="","",INDEX(עזר!$A$2:$A$5001,עזר!L4443))</f>
        <v/>
      </c>
      <c r="B4443" s="13" t="str">
        <f aca="false">IF(עזר!L4443="","",INDEX(עזר!$B$2:$B$5001,עזר!L4443))</f>
        <v/>
      </c>
      <c r="C4443" s="13" t="str">
        <f aca="false">עזר!M4443</f>
        <v/>
      </c>
    </row>
    <row r="4444" customFormat="false" ht="15" hidden="false" customHeight="false" outlineLevel="0" collapsed="false">
      <c r="A4444" s="13" t="str">
        <f aca="false">IF(עזר!L4444="","",INDEX(עזר!$A$2:$A$5001,עזר!L4444))</f>
        <v/>
      </c>
      <c r="B4444" s="13" t="str">
        <f aca="false">IF(עזר!L4444="","",INDEX(עזר!$B$2:$B$5001,עזר!L4444))</f>
        <v/>
      </c>
      <c r="C4444" s="13" t="str">
        <f aca="false">עזר!M4444</f>
        <v/>
      </c>
    </row>
    <row r="4445" customFormat="false" ht="15" hidden="false" customHeight="false" outlineLevel="0" collapsed="false">
      <c r="A4445" s="13" t="str">
        <f aca="false">IF(עזר!L4445="","",INDEX(עזר!$A$2:$A$5001,עזר!L4445))</f>
        <v/>
      </c>
      <c r="B4445" s="13" t="str">
        <f aca="false">IF(עזר!L4445="","",INDEX(עזר!$B$2:$B$5001,עזר!L4445))</f>
        <v/>
      </c>
      <c r="C4445" s="13" t="str">
        <f aca="false">עזר!M4445</f>
        <v/>
      </c>
    </row>
    <row r="4446" customFormat="false" ht="15" hidden="false" customHeight="false" outlineLevel="0" collapsed="false">
      <c r="A4446" s="13" t="str">
        <f aca="false">IF(עזר!L4446="","",INDEX(עזר!$A$2:$A$5001,עזר!L4446))</f>
        <v/>
      </c>
      <c r="B4446" s="13" t="str">
        <f aca="false">IF(עזר!L4446="","",INDEX(עזר!$B$2:$B$5001,עזר!L4446))</f>
        <v/>
      </c>
      <c r="C4446" s="13" t="str">
        <f aca="false">עזר!M4446</f>
        <v/>
      </c>
    </row>
    <row r="4447" customFormat="false" ht="15" hidden="false" customHeight="false" outlineLevel="0" collapsed="false">
      <c r="A4447" s="13" t="str">
        <f aca="false">IF(עזר!L4447="","",INDEX(עזר!$A$2:$A$5001,עזר!L4447))</f>
        <v/>
      </c>
      <c r="B4447" s="13" t="str">
        <f aca="false">IF(עזר!L4447="","",INDEX(עזר!$B$2:$B$5001,עזר!L4447))</f>
        <v/>
      </c>
      <c r="C4447" s="13" t="str">
        <f aca="false">עזר!M4447</f>
        <v/>
      </c>
    </row>
    <row r="4448" customFormat="false" ht="15" hidden="false" customHeight="false" outlineLevel="0" collapsed="false">
      <c r="A4448" s="13" t="str">
        <f aca="false">IF(עזר!L4448="","",INDEX(עזר!$A$2:$A$5001,עזר!L4448))</f>
        <v/>
      </c>
      <c r="B4448" s="13" t="str">
        <f aca="false">IF(עזר!L4448="","",INDEX(עזר!$B$2:$B$5001,עזר!L4448))</f>
        <v/>
      </c>
      <c r="C4448" s="13" t="str">
        <f aca="false">עזר!M4448</f>
        <v/>
      </c>
    </row>
    <row r="4449" customFormat="false" ht="15" hidden="false" customHeight="false" outlineLevel="0" collapsed="false">
      <c r="A4449" s="13" t="str">
        <f aca="false">IF(עזר!L4449="","",INDEX(עזר!$A$2:$A$5001,עזר!L4449))</f>
        <v/>
      </c>
      <c r="B4449" s="13" t="str">
        <f aca="false">IF(עזר!L4449="","",INDEX(עזר!$B$2:$B$5001,עזר!L4449))</f>
        <v/>
      </c>
      <c r="C4449" s="13" t="str">
        <f aca="false">עזר!M4449</f>
        <v/>
      </c>
    </row>
    <row r="4450" customFormat="false" ht="15" hidden="false" customHeight="false" outlineLevel="0" collapsed="false">
      <c r="A4450" s="13" t="str">
        <f aca="false">IF(עזר!L4450="","",INDEX(עזר!$A$2:$A$5001,עזר!L4450))</f>
        <v/>
      </c>
      <c r="B4450" s="13" t="str">
        <f aca="false">IF(עזר!L4450="","",INDEX(עזר!$B$2:$B$5001,עזר!L4450))</f>
        <v/>
      </c>
      <c r="C4450" s="13" t="str">
        <f aca="false">עזר!M4450</f>
        <v/>
      </c>
    </row>
    <row r="4451" customFormat="false" ht="15" hidden="false" customHeight="false" outlineLevel="0" collapsed="false">
      <c r="A4451" s="13" t="str">
        <f aca="false">IF(עזר!L4451="","",INDEX(עזר!$A$2:$A$5001,עזר!L4451))</f>
        <v/>
      </c>
      <c r="B4451" s="13" t="str">
        <f aca="false">IF(עזר!L4451="","",INDEX(עזר!$B$2:$B$5001,עזר!L4451))</f>
        <v/>
      </c>
      <c r="C4451" s="13" t="str">
        <f aca="false">עזר!M4451</f>
        <v/>
      </c>
    </row>
    <row r="4452" customFormat="false" ht="15" hidden="false" customHeight="false" outlineLevel="0" collapsed="false">
      <c r="A4452" s="13" t="str">
        <f aca="false">IF(עזר!L4452="","",INDEX(עזר!$A$2:$A$5001,עזר!L4452))</f>
        <v/>
      </c>
      <c r="B4452" s="13" t="str">
        <f aca="false">IF(עזר!L4452="","",INDEX(עזר!$B$2:$B$5001,עזר!L4452))</f>
        <v/>
      </c>
      <c r="C4452" s="13" t="str">
        <f aca="false">עזר!M4452</f>
        <v/>
      </c>
    </row>
    <row r="4453" customFormat="false" ht="15" hidden="false" customHeight="false" outlineLevel="0" collapsed="false">
      <c r="A4453" s="13" t="str">
        <f aca="false">IF(עזר!L4453="","",INDEX(עזר!$A$2:$A$5001,עזר!L4453))</f>
        <v/>
      </c>
      <c r="B4453" s="13" t="str">
        <f aca="false">IF(עזר!L4453="","",INDEX(עזר!$B$2:$B$5001,עזר!L4453))</f>
        <v/>
      </c>
      <c r="C4453" s="13" t="str">
        <f aca="false">עזר!M4453</f>
        <v/>
      </c>
    </row>
    <row r="4454" customFormat="false" ht="15" hidden="false" customHeight="false" outlineLevel="0" collapsed="false">
      <c r="A4454" s="13" t="str">
        <f aca="false">IF(עזר!L4454="","",INDEX(עזר!$A$2:$A$5001,עזר!L4454))</f>
        <v/>
      </c>
      <c r="B4454" s="13" t="str">
        <f aca="false">IF(עזר!L4454="","",INDEX(עזר!$B$2:$B$5001,עזר!L4454))</f>
        <v/>
      </c>
      <c r="C4454" s="13" t="str">
        <f aca="false">עזר!M4454</f>
        <v/>
      </c>
    </row>
    <row r="4455" customFormat="false" ht="15" hidden="false" customHeight="false" outlineLevel="0" collapsed="false">
      <c r="A4455" s="13" t="str">
        <f aca="false">IF(עזר!L4455="","",INDEX(עזר!$A$2:$A$5001,עזר!L4455))</f>
        <v/>
      </c>
      <c r="B4455" s="13" t="str">
        <f aca="false">IF(עזר!L4455="","",INDEX(עזר!$B$2:$B$5001,עזר!L4455))</f>
        <v/>
      </c>
      <c r="C4455" s="13" t="str">
        <f aca="false">עזר!M4455</f>
        <v/>
      </c>
    </row>
    <row r="4456" customFormat="false" ht="15" hidden="false" customHeight="false" outlineLevel="0" collapsed="false">
      <c r="A4456" s="13" t="str">
        <f aca="false">IF(עזר!L4456="","",INDEX(עזר!$A$2:$A$5001,עזר!L4456))</f>
        <v/>
      </c>
      <c r="B4456" s="13" t="str">
        <f aca="false">IF(עזר!L4456="","",INDEX(עזר!$B$2:$B$5001,עזר!L4456))</f>
        <v/>
      </c>
      <c r="C4456" s="13" t="str">
        <f aca="false">עזר!M4456</f>
        <v/>
      </c>
    </row>
    <row r="4457" customFormat="false" ht="15" hidden="false" customHeight="false" outlineLevel="0" collapsed="false">
      <c r="A4457" s="13" t="str">
        <f aca="false">IF(עזר!L4457="","",INDEX(עזר!$A$2:$A$5001,עזר!L4457))</f>
        <v/>
      </c>
      <c r="B4457" s="13" t="str">
        <f aca="false">IF(עזר!L4457="","",INDEX(עזר!$B$2:$B$5001,עזר!L4457))</f>
        <v/>
      </c>
      <c r="C4457" s="13" t="str">
        <f aca="false">עזר!M4457</f>
        <v/>
      </c>
    </row>
    <row r="4458" customFormat="false" ht="15" hidden="false" customHeight="false" outlineLevel="0" collapsed="false">
      <c r="A4458" s="13" t="str">
        <f aca="false">IF(עזר!L4458="","",INDEX(עזר!$A$2:$A$5001,עזר!L4458))</f>
        <v/>
      </c>
      <c r="B4458" s="13" t="str">
        <f aca="false">IF(עזר!L4458="","",INDEX(עזר!$B$2:$B$5001,עזר!L4458))</f>
        <v/>
      </c>
      <c r="C4458" s="13" t="str">
        <f aca="false">עזר!M4458</f>
        <v/>
      </c>
    </row>
    <row r="4459" customFormat="false" ht="15" hidden="false" customHeight="false" outlineLevel="0" collapsed="false">
      <c r="A4459" s="13" t="str">
        <f aca="false">IF(עזר!L4459="","",INDEX(עזר!$A$2:$A$5001,עזר!L4459))</f>
        <v/>
      </c>
      <c r="B4459" s="13" t="str">
        <f aca="false">IF(עזר!L4459="","",INDEX(עזר!$B$2:$B$5001,עזר!L4459))</f>
        <v/>
      </c>
      <c r="C4459" s="13" t="str">
        <f aca="false">עזר!M4459</f>
        <v/>
      </c>
    </row>
    <row r="4460" customFormat="false" ht="15" hidden="false" customHeight="false" outlineLevel="0" collapsed="false">
      <c r="A4460" s="13" t="str">
        <f aca="false">IF(עזר!L4460="","",INDEX(עזר!$A$2:$A$5001,עזר!L4460))</f>
        <v/>
      </c>
      <c r="B4460" s="13" t="str">
        <f aca="false">IF(עזר!L4460="","",INDEX(עזר!$B$2:$B$5001,עזר!L4460))</f>
        <v/>
      </c>
      <c r="C4460" s="13" t="str">
        <f aca="false">עזר!M4460</f>
        <v/>
      </c>
    </row>
    <row r="4461" customFormat="false" ht="15" hidden="false" customHeight="false" outlineLevel="0" collapsed="false">
      <c r="A4461" s="13" t="str">
        <f aca="false">IF(עזר!L4461="","",INDEX(עזר!$A$2:$A$5001,עזר!L4461))</f>
        <v/>
      </c>
      <c r="B4461" s="13" t="str">
        <f aca="false">IF(עזר!L4461="","",INDEX(עזר!$B$2:$B$5001,עזר!L4461))</f>
        <v/>
      </c>
      <c r="C4461" s="13" t="str">
        <f aca="false">עזר!M4461</f>
        <v/>
      </c>
    </row>
    <row r="4462" customFormat="false" ht="15" hidden="false" customHeight="false" outlineLevel="0" collapsed="false">
      <c r="A4462" s="13" t="str">
        <f aca="false">IF(עזר!L4462="","",INDEX(עזר!$A$2:$A$5001,עזר!L4462))</f>
        <v/>
      </c>
      <c r="B4462" s="13" t="str">
        <f aca="false">IF(עזר!L4462="","",INDEX(עזר!$B$2:$B$5001,עזר!L4462))</f>
        <v/>
      </c>
      <c r="C4462" s="13" t="str">
        <f aca="false">עזר!M4462</f>
        <v/>
      </c>
    </row>
    <row r="4463" customFormat="false" ht="15" hidden="false" customHeight="false" outlineLevel="0" collapsed="false">
      <c r="A4463" s="13" t="str">
        <f aca="false">IF(עזר!L4463="","",INDEX(עזר!$A$2:$A$5001,עזר!L4463))</f>
        <v/>
      </c>
      <c r="B4463" s="13" t="str">
        <f aca="false">IF(עזר!L4463="","",INDEX(עזר!$B$2:$B$5001,עזר!L4463))</f>
        <v/>
      </c>
      <c r="C4463" s="13" t="str">
        <f aca="false">עזר!M4463</f>
        <v/>
      </c>
    </row>
    <row r="4464" customFormat="false" ht="15" hidden="false" customHeight="false" outlineLevel="0" collapsed="false">
      <c r="A4464" s="13" t="str">
        <f aca="false">IF(עזר!L4464="","",INDEX(עזר!$A$2:$A$5001,עזר!L4464))</f>
        <v/>
      </c>
      <c r="B4464" s="13" t="str">
        <f aca="false">IF(עזר!L4464="","",INDEX(עזר!$B$2:$B$5001,עזר!L4464))</f>
        <v/>
      </c>
      <c r="C4464" s="13" t="str">
        <f aca="false">עזר!M4464</f>
        <v/>
      </c>
    </row>
    <row r="4465" customFormat="false" ht="15" hidden="false" customHeight="false" outlineLevel="0" collapsed="false">
      <c r="A4465" s="13" t="str">
        <f aca="false">IF(עזר!L4465="","",INDEX(עזר!$A$2:$A$5001,עזר!L4465))</f>
        <v/>
      </c>
      <c r="B4465" s="13" t="str">
        <f aca="false">IF(עזר!L4465="","",INDEX(עזר!$B$2:$B$5001,עזר!L4465))</f>
        <v/>
      </c>
      <c r="C4465" s="13" t="str">
        <f aca="false">עזר!M4465</f>
        <v/>
      </c>
    </row>
    <row r="4466" customFormat="false" ht="15" hidden="false" customHeight="false" outlineLevel="0" collapsed="false">
      <c r="A4466" s="13" t="str">
        <f aca="false">IF(עזר!L4466="","",INDEX(עזר!$A$2:$A$5001,עזר!L4466))</f>
        <v/>
      </c>
      <c r="B4466" s="13" t="str">
        <f aca="false">IF(עזר!L4466="","",INDEX(עזר!$B$2:$B$5001,עזר!L4466))</f>
        <v/>
      </c>
      <c r="C4466" s="13" t="str">
        <f aca="false">עזר!M4466</f>
        <v/>
      </c>
    </row>
    <row r="4467" customFormat="false" ht="15" hidden="false" customHeight="false" outlineLevel="0" collapsed="false">
      <c r="A4467" s="13" t="str">
        <f aca="false">IF(עזר!L4467="","",INDEX(עזר!$A$2:$A$5001,עזר!L4467))</f>
        <v/>
      </c>
      <c r="B4467" s="13" t="str">
        <f aca="false">IF(עזר!L4467="","",INDEX(עזר!$B$2:$B$5001,עזר!L4467))</f>
        <v/>
      </c>
      <c r="C4467" s="13" t="str">
        <f aca="false">עזר!M4467</f>
        <v/>
      </c>
    </row>
    <row r="4468" customFormat="false" ht="15" hidden="false" customHeight="false" outlineLevel="0" collapsed="false">
      <c r="A4468" s="13" t="str">
        <f aca="false">IF(עזר!L4468="","",INDEX(עזר!$A$2:$A$5001,עזר!L4468))</f>
        <v/>
      </c>
      <c r="B4468" s="13" t="str">
        <f aca="false">IF(עזר!L4468="","",INDEX(עזר!$B$2:$B$5001,עזר!L4468))</f>
        <v/>
      </c>
      <c r="C4468" s="13" t="str">
        <f aca="false">עזר!M4468</f>
        <v/>
      </c>
    </row>
    <row r="4469" customFormat="false" ht="15" hidden="false" customHeight="false" outlineLevel="0" collapsed="false">
      <c r="A4469" s="13" t="str">
        <f aca="false">IF(עזר!L4469="","",INDEX(עזר!$A$2:$A$5001,עזר!L4469))</f>
        <v/>
      </c>
      <c r="B4469" s="13" t="str">
        <f aca="false">IF(עזר!L4469="","",INDEX(עזר!$B$2:$B$5001,עזר!L4469))</f>
        <v/>
      </c>
      <c r="C4469" s="13" t="str">
        <f aca="false">עזר!M4469</f>
        <v/>
      </c>
    </row>
    <row r="4470" customFormat="false" ht="15" hidden="false" customHeight="false" outlineLevel="0" collapsed="false">
      <c r="A4470" s="13" t="str">
        <f aca="false">IF(עזר!L4470="","",INDEX(עזר!$A$2:$A$5001,עזר!L4470))</f>
        <v/>
      </c>
      <c r="B4470" s="13" t="str">
        <f aca="false">IF(עזר!L4470="","",INDEX(עזר!$B$2:$B$5001,עזר!L4470))</f>
        <v/>
      </c>
      <c r="C4470" s="13" t="str">
        <f aca="false">עזר!M4470</f>
        <v/>
      </c>
    </row>
    <row r="4471" customFormat="false" ht="15" hidden="false" customHeight="false" outlineLevel="0" collapsed="false">
      <c r="A4471" s="13" t="str">
        <f aca="false">IF(עזר!L4471="","",INDEX(עזר!$A$2:$A$5001,עזר!L4471))</f>
        <v/>
      </c>
      <c r="B4471" s="13" t="str">
        <f aca="false">IF(עזר!L4471="","",INDEX(עזר!$B$2:$B$5001,עזר!L4471))</f>
        <v/>
      </c>
      <c r="C4471" s="13" t="str">
        <f aca="false">עזר!M4471</f>
        <v/>
      </c>
    </row>
    <row r="4472" customFormat="false" ht="15" hidden="false" customHeight="false" outlineLevel="0" collapsed="false">
      <c r="A4472" s="13" t="str">
        <f aca="false">IF(עזר!L4472="","",INDEX(עזר!$A$2:$A$5001,עזר!L4472))</f>
        <v/>
      </c>
      <c r="B4472" s="13" t="str">
        <f aca="false">IF(עזר!L4472="","",INDEX(עזר!$B$2:$B$5001,עזר!L4472))</f>
        <v/>
      </c>
      <c r="C4472" s="13" t="str">
        <f aca="false">עזר!M4472</f>
        <v/>
      </c>
    </row>
    <row r="4473" customFormat="false" ht="15" hidden="false" customHeight="false" outlineLevel="0" collapsed="false">
      <c r="A4473" s="13" t="str">
        <f aca="false">IF(עזר!L4473="","",INDEX(עזר!$A$2:$A$5001,עזר!L4473))</f>
        <v/>
      </c>
      <c r="B4473" s="13" t="str">
        <f aca="false">IF(עזר!L4473="","",INDEX(עזר!$B$2:$B$5001,עזר!L4473))</f>
        <v/>
      </c>
      <c r="C4473" s="13" t="str">
        <f aca="false">עזר!M4473</f>
        <v/>
      </c>
    </row>
    <row r="4474" customFormat="false" ht="15" hidden="false" customHeight="false" outlineLevel="0" collapsed="false">
      <c r="A4474" s="13" t="str">
        <f aca="false">IF(עזר!L4474="","",INDEX(עזר!$A$2:$A$5001,עזר!L4474))</f>
        <v/>
      </c>
      <c r="B4474" s="13" t="str">
        <f aca="false">IF(עזר!L4474="","",INDEX(עזר!$B$2:$B$5001,עזר!L4474))</f>
        <v/>
      </c>
      <c r="C4474" s="13" t="str">
        <f aca="false">עזר!M4474</f>
        <v/>
      </c>
    </row>
    <row r="4475" customFormat="false" ht="15" hidden="false" customHeight="false" outlineLevel="0" collapsed="false">
      <c r="A4475" s="13" t="str">
        <f aca="false">IF(עזר!L4475="","",INDEX(עזר!$A$2:$A$5001,עזר!L4475))</f>
        <v/>
      </c>
      <c r="B4475" s="13" t="str">
        <f aca="false">IF(עזר!L4475="","",INDEX(עזר!$B$2:$B$5001,עזר!L4475))</f>
        <v/>
      </c>
      <c r="C4475" s="13" t="str">
        <f aca="false">עזר!M4475</f>
        <v/>
      </c>
    </row>
    <row r="4476" customFormat="false" ht="15" hidden="false" customHeight="false" outlineLevel="0" collapsed="false">
      <c r="A4476" s="13" t="str">
        <f aca="false">IF(עזר!L4476="","",INDEX(עזר!$A$2:$A$5001,עזר!L4476))</f>
        <v/>
      </c>
      <c r="B4476" s="13" t="str">
        <f aca="false">IF(עזר!L4476="","",INDEX(עזר!$B$2:$B$5001,עזר!L4476))</f>
        <v/>
      </c>
      <c r="C4476" s="13" t="str">
        <f aca="false">עזר!M4476</f>
        <v/>
      </c>
    </row>
    <row r="4477" customFormat="false" ht="15" hidden="false" customHeight="false" outlineLevel="0" collapsed="false">
      <c r="A4477" s="13" t="str">
        <f aca="false">IF(עזר!L4477="","",INDEX(עזר!$A$2:$A$5001,עזר!L4477))</f>
        <v/>
      </c>
      <c r="B4477" s="13" t="str">
        <f aca="false">IF(עזר!L4477="","",INDEX(עזר!$B$2:$B$5001,עזר!L4477))</f>
        <v/>
      </c>
      <c r="C4477" s="13" t="str">
        <f aca="false">עזר!M4477</f>
        <v/>
      </c>
    </row>
    <row r="4478" customFormat="false" ht="15" hidden="false" customHeight="false" outlineLevel="0" collapsed="false">
      <c r="A4478" s="13" t="str">
        <f aca="false">IF(עזר!L4478="","",INDEX(עזר!$A$2:$A$5001,עזר!L4478))</f>
        <v/>
      </c>
      <c r="B4478" s="13" t="str">
        <f aca="false">IF(עזר!L4478="","",INDEX(עזר!$B$2:$B$5001,עזר!L4478))</f>
        <v/>
      </c>
      <c r="C4478" s="13" t="str">
        <f aca="false">עזר!M4478</f>
        <v/>
      </c>
    </row>
    <row r="4479" customFormat="false" ht="15" hidden="false" customHeight="false" outlineLevel="0" collapsed="false">
      <c r="A4479" s="13" t="str">
        <f aca="false">IF(עזר!L4479="","",INDEX(עזר!$A$2:$A$5001,עזר!L4479))</f>
        <v/>
      </c>
      <c r="B4479" s="13" t="str">
        <f aca="false">IF(עזר!L4479="","",INDEX(עזר!$B$2:$B$5001,עזר!L4479))</f>
        <v/>
      </c>
      <c r="C4479" s="13" t="str">
        <f aca="false">עזר!M4479</f>
        <v/>
      </c>
    </row>
    <row r="4480" customFormat="false" ht="15" hidden="false" customHeight="false" outlineLevel="0" collapsed="false">
      <c r="A4480" s="13" t="str">
        <f aca="false">IF(עזר!L4480="","",INDEX(עזר!$A$2:$A$5001,עזר!L4480))</f>
        <v/>
      </c>
      <c r="B4480" s="13" t="str">
        <f aca="false">IF(עזר!L4480="","",INDEX(עזר!$B$2:$B$5001,עזר!L4480))</f>
        <v/>
      </c>
      <c r="C4480" s="13" t="str">
        <f aca="false">עזר!M4480</f>
        <v/>
      </c>
    </row>
    <row r="4481" customFormat="false" ht="15" hidden="false" customHeight="false" outlineLevel="0" collapsed="false">
      <c r="A4481" s="13" t="str">
        <f aca="false">IF(עזר!L4481="","",INDEX(עזר!$A$2:$A$5001,עזר!L4481))</f>
        <v/>
      </c>
      <c r="B4481" s="13" t="str">
        <f aca="false">IF(עזר!L4481="","",INDEX(עזר!$B$2:$B$5001,עזר!L4481))</f>
        <v/>
      </c>
      <c r="C4481" s="13" t="str">
        <f aca="false">עזר!M4481</f>
        <v/>
      </c>
    </row>
    <row r="4482" customFormat="false" ht="15" hidden="false" customHeight="false" outlineLevel="0" collapsed="false">
      <c r="A4482" s="13" t="str">
        <f aca="false">IF(עזר!L4482="","",INDEX(עזר!$A$2:$A$5001,עזר!L4482))</f>
        <v/>
      </c>
      <c r="B4482" s="13" t="str">
        <f aca="false">IF(עזר!L4482="","",INDEX(עזר!$B$2:$B$5001,עזר!L4482))</f>
        <v/>
      </c>
      <c r="C4482" s="13" t="str">
        <f aca="false">עזר!M4482</f>
        <v/>
      </c>
    </row>
    <row r="4483" customFormat="false" ht="15" hidden="false" customHeight="false" outlineLevel="0" collapsed="false">
      <c r="A4483" s="13" t="str">
        <f aca="false">IF(עזר!L4483="","",INDEX(עזר!$A$2:$A$5001,עזר!L4483))</f>
        <v/>
      </c>
      <c r="B4483" s="13" t="str">
        <f aca="false">IF(עזר!L4483="","",INDEX(עזר!$B$2:$B$5001,עזר!L4483))</f>
        <v/>
      </c>
      <c r="C4483" s="13" t="str">
        <f aca="false">עזר!M4483</f>
        <v/>
      </c>
    </row>
    <row r="4484" customFormat="false" ht="15" hidden="false" customHeight="false" outlineLevel="0" collapsed="false">
      <c r="A4484" s="13" t="str">
        <f aca="false">IF(עזר!L4484="","",INDEX(עזר!$A$2:$A$5001,עזר!L4484))</f>
        <v/>
      </c>
      <c r="B4484" s="13" t="str">
        <f aca="false">IF(עזר!L4484="","",INDEX(עזר!$B$2:$B$5001,עזר!L4484))</f>
        <v/>
      </c>
      <c r="C4484" s="13" t="str">
        <f aca="false">עזר!M4484</f>
        <v/>
      </c>
    </row>
    <row r="4485" customFormat="false" ht="15" hidden="false" customHeight="false" outlineLevel="0" collapsed="false">
      <c r="A4485" s="13" t="str">
        <f aca="false">IF(עזר!L4485="","",INDEX(עזר!$A$2:$A$5001,עזר!L4485))</f>
        <v/>
      </c>
      <c r="B4485" s="13" t="str">
        <f aca="false">IF(עזר!L4485="","",INDEX(עזר!$B$2:$B$5001,עזר!L4485))</f>
        <v/>
      </c>
      <c r="C4485" s="13" t="str">
        <f aca="false">עזר!M4485</f>
        <v/>
      </c>
    </row>
    <row r="4486" customFormat="false" ht="15" hidden="false" customHeight="false" outlineLevel="0" collapsed="false">
      <c r="A4486" s="13" t="str">
        <f aca="false">IF(עזר!L4486="","",INDEX(עזר!$A$2:$A$5001,עזר!L4486))</f>
        <v/>
      </c>
      <c r="B4486" s="13" t="str">
        <f aca="false">IF(עזר!L4486="","",INDEX(עזר!$B$2:$B$5001,עזר!L4486))</f>
        <v/>
      </c>
      <c r="C4486" s="13" t="str">
        <f aca="false">עזר!M4486</f>
        <v/>
      </c>
    </row>
    <row r="4487" customFormat="false" ht="15" hidden="false" customHeight="false" outlineLevel="0" collapsed="false">
      <c r="A4487" s="13" t="str">
        <f aca="false">IF(עזר!L4487="","",INDEX(עזר!$A$2:$A$5001,עזר!L4487))</f>
        <v/>
      </c>
      <c r="B4487" s="13" t="str">
        <f aca="false">IF(עזר!L4487="","",INDEX(עזר!$B$2:$B$5001,עזר!L4487))</f>
        <v/>
      </c>
      <c r="C4487" s="13" t="str">
        <f aca="false">עזר!M4487</f>
        <v/>
      </c>
    </row>
    <row r="4488" customFormat="false" ht="15" hidden="false" customHeight="false" outlineLevel="0" collapsed="false">
      <c r="A4488" s="13" t="str">
        <f aca="false">IF(עזר!L4488="","",INDEX(עזר!$A$2:$A$5001,עזר!L4488))</f>
        <v/>
      </c>
      <c r="B4488" s="13" t="str">
        <f aca="false">IF(עזר!L4488="","",INDEX(עזר!$B$2:$B$5001,עזר!L4488))</f>
        <v/>
      </c>
      <c r="C4488" s="13" t="str">
        <f aca="false">עזר!M4488</f>
        <v/>
      </c>
    </row>
    <row r="4489" customFormat="false" ht="15" hidden="false" customHeight="false" outlineLevel="0" collapsed="false">
      <c r="A4489" s="13" t="str">
        <f aca="false">IF(עזר!L4489="","",INDEX(עזר!$A$2:$A$5001,עזר!L4489))</f>
        <v/>
      </c>
      <c r="B4489" s="13" t="str">
        <f aca="false">IF(עזר!L4489="","",INDEX(עזר!$B$2:$B$5001,עזר!L4489))</f>
        <v/>
      </c>
      <c r="C4489" s="13" t="str">
        <f aca="false">עזר!M4489</f>
        <v/>
      </c>
    </row>
    <row r="4490" customFormat="false" ht="15" hidden="false" customHeight="false" outlineLevel="0" collapsed="false">
      <c r="A4490" s="13" t="str">
        <f aca="false">IF(עזר!L4490="","",INDEX(עזר!$A$2:$A$5001,עזר!L4490))</f>
        <v/>
      </c>
      <c r="B4490" s="13" t="str">
        <f aca="false">IF(עזר!L4490="","",INDEX(עזר!$B$2:$B$5001,עזר!L4490))</f>
        <v/>
      </c>
      <c r="C4490" s="13" t="str">
        <f aca="false">עזר!M4490</f>
        <v/>
      </c>
    </row>
    <row r="4491" customFormat="false" ht="15" hidden="false" customHeight="false" outlineLevel="0" collapsed="false">
      <c r="A4491" s="13" t="str">
        <f aca="false">IF(עזר!L4491="","",INDEX(עזר!$A$2:$A$5001,עזר!L4491))</f>
        <v/>
      </c>
      <c r="B4491" s="13" t="str">
        <f aca="false">IF(עזר!L4491="","",INDEX(עזר!$B$2:$B$5001,עזר!L4491))</f>
        <v/>
      </c>
      <c r="C4491" s="13" t="str">
        <f aca="false">עזר!M4491</f>
        <v/>
      </c>
    </row>
    <row r="4492" customFormat="false" ht="15" hidden="false" customHeight="false" outlineLevel="0" collapsed="false">
      <c r="A4492" s="13" t="str">
        <f aca="false">IF(עזר!L4492="","",INDEX(עזר!$A$2:$A$5001,עזר!L4492))</f>
        <v/>
      </c>
      <c r="B4492" s="13" t="str">
        <f aca="false">IF(עזר!L4492="","",INDEX(עזר!$B$2:$B$5001,עזר!L4492))</f>
        <v/>
      </c>
      <c r="C4492" s="13" t="str">
        <f aca="false">עזר!M4492</f>
        <v/>
      </c>
    </row>
    <row r="4493" customFormat="false" ht="15" hidden="false" customHeight="false" outlineLevel="0" collapsed="false">
      <c r="A4493" s="13" t="str">
        <f aca="false">IF(עזר!L4493="","",INDEX(עזר!$A$2:$A$5001,עזר!L4493))</f>
        <v/>
      </c>
      <c r="B4493" s="13" t="str">
        <f aca="false">IF(עזר!L4493="","",INDEX(עזר!$B$2:$B$5001,עזר!L4493))</f>
        <v/>
      </c>
      <c r="C4493" s="13" t="str">
        <f aca="false">עזר!M4493</f>
        <v/>
      </c>
    </row>
    <row r="4494" customFormat="false" ht="15" hidden="false" customHeight="false" outlineLevel="0" collapsed="false">
      <c r="A4494" s="13" t="str">
        <f aca="false">IF(עזר!L4494="","",INDEX(עזר!$A$2:$A$5001,עזר!L4494))</f>
        <v/>
      </c>
      <c r="B4494" s="13" t="str">
        <f aca="false">IF(עזר!L4494="","",INDEX(עזר!$B$2:$B$5001,עזר!L4494))</f>
        <v/>
      </c>
      <c r="C4494" s="13" t="str">
        <f aca="false">עזר!M4494</f>
        <v/>
      </c>
    </row>
    <row r="4495" customFormat="false" ht="15" hidden="false" customHeight="false" outlineLevel="0" collapsed="false">
      <c r="A4495" s="13" t="str">
        <f aca="false">IF(עזר!L4495="","",INDEX(עזר!$A$2:$A$5001,עזר!L4495))</f>
        <v/>
      </c>
      <c r="B4495" s="13" t="str">
        <f aca="false">IF(עזר!L4495="","",INDEX(עזר!$B$2:$B$5001,עזר!L4495))</f>
        <v/>
      </c>
      <c r="C4495" s="13" t="str">
        <f aca="false">עזר!M4495</f>
        <v/>
      </c>
    </row>
    <row r="4496" customFormat="false" ht="15" hidden="false" customHeight="false" outlineLevel="0" collapsed="false">
      <c r="A4496" s="13" t="str">
        <f aca="false">IF(עזר!L4496="","",INDEX(עזר!$A$2:$A$5001,עזר!L4496))</f>
        <v/>
      </c>
      <c r="B4496" s="13" t="str">
        <f aca="false">IF(עזר!L4496="","",INDEX(עזר!$B$2:$B$5001,עזר!L4496))</f>
        <v/>
      </c>
      <c r="C4496" s="13" t="str">
        <f aca="false">עזר!M4496</f>
        <v/>
      </c>
    </row>
    <row r="4497" customFormat="false" ht="15" hidden="false" customHeight="false" outlineLevel="0" collapsed="false">
      <c r="A4497" s="13" t="str">
        <f aca="false">IF(עזר!L4497="","",INDEX(עזר!$A$2:$A$5001,עזר!L4497))</f>
        <v/>
      </c>
      <c r="B4497" s="13" t="str">
        <f aca="false">IF(עזר!L4497="","",INDEX(עזר!$B$2:$B$5001,עזר!L4497))</f>
        <v/>
      </c>
      <c r="C4497" s="13" t="str">
        <f aca="false">עזר!M4497</f>
        <v/>
      </c>
    </row>
    <row r="4498" customFormat="false" ht="15" hidden="false" customHeight="false" outlineLevel="0" collapsed="false">
      <c r="A4498" s="13" t="str">
        <f aca="false">IF(עזר!L4498="","",INDEX(עזר!$A$2:$A$5001,עזר!L4498))</f>
        <v/>
      </c>
      <c r="B4498" s="13" t="str">
        <f aca="false">IF(עזר!L4498="","",INDEX(עזר!$B$2:$B$5001,עזר!L4498))</f>
        <v/>
      </c>
      <c r="C4498" s="13" t="str">
        <f aca="false">עזר!M4498</f>
        <v/>
      </c>
    </row>
    <row r="4499" customFormat="false" ht="15" hidden="false" customHeight="false" outlineLevel="0" collapsed="false">
      <c r="A4499" s="13" t="str">
        <f aca="false">IF(עזר!L4499="","",INDEX(עזר!$A$2:$A$5001,עזר!L4499))</f>
        <v/>
      </c>
      <c r="B4499" s="13" t="str">
        <f aca="false">IF(עזר!L4499="","",INDEX(עזר!$B$2:$B$5001,עזר!L4499))</f>
        <v/>
      </c>
      <c r="C4499" s="13" t="str">
        <f aca="false">עזר!M4499</f>
        <v/>
      </c>
    </row>
    <row r="4500" customFormat="false" ht="15" hidden="false" customHeight="false" outlineLevel="0" collapsed="false">
      <c r="A4500" s="13" t="str">
        <f aca="false">IF(עזר!L4500="","",INDEX(עזר!$A$2:$A$5001,עזר!L4500))</f>
        <v/>
      </c>
      <c r="B4500" s="13" t="str">
        <f aca="false">IF(עזר!L4500="","",INDEX(עזר!$B$2:$B$5001,עזר!L4500))</f>
        <v/>
      </c>
      <c r="C4500" s="13" t="str">
        <f aca="false">עזר!M4500</f>
        <v/>
      </c>
    </row>
    <row r="4501" customFormat="false" ht="15" hidden="false" customHeight="false" outlineLevel="0" collapsed="false">
      <c r="A4501" s="13" t="str">
        <f aca="false">IF(עזר!L4501="","",INDEX(עזר!$A$2:$A$5001,עזר!L4501))</f>
        <v/>
      </c>
      <c r="B4501" s="13" t="str">
        <f aca="false">IF(עזר!L4501="","",INDEX(עזר!$B$2:$B$5001,עזר!L4501))</f>
        <v/>
      </c>
      <c r="C4501" s="13" t="str">
        <f aca="false">עזר!M4501</f>
        <v/>
      </c>
    </row>
    <row r="4502" customFormat="false" ht="15" hidden="false" customHeight="false" outlineLevel="0" collapsed="false">
      <c r="A4502" s="13" t="str">
        <f aca="false">IF(עזר!L4502="","",INDEX(עזר!$A$2:$A$5001,עזר!L4502))</f>
        <v/>
      </c>
      <c r="B4502" s="13" t="str">
        <f aca="false">IF(עזר!L4502="","",INDEX(עזר!$B$2:$B$5001,עזר!L4502))</f>
        <v/>
      </c>
      <c r="C4502" s="13" t="str">
        <f aca="false">עזר!M4502</f>
        <v/>
      </c>
    </row>
    <row r="4503" customFormat="false" ht="15" hidden="false" customHeight="false" outlineLevel="0" collapsed="false">
      <c r="A4503" s="13" t="str">
        <f aca="false">IF(עזר!L4503="","",INDEX(עזר!$A$2:$A$5001,עזר!L4503))</f>
        <v/>
      </c>
      <c r="B4503" s="13" t="str">
        <f aca="false">IF(עזר!L4503="","",INDEX(עזר!$B$2:$B$5001,עזר!L4503))</f>
        <v/>
      </c>
      <c r="C4503" s="13" t="str">
        <f aca="false">עזר!M4503</f>
        <v/>
      </c>
    </row>
    <row r="4504" customFormat="false" ht="15" hidden="false" customHeight="false" outlineLevel="0" collapsed="false">
      <c r="A4504" s="13" t="str">
        <f aca="false">IF(עזר!L4504="","",INDEX(עזר!$A$2:$A$5001,עזר!L4504))</f>
        <v/>
      </c>
      <c r="B4504" s="13" t="str">
        <f aca="false">IF(עזר!L4504="","",INDEX(עזר!$B$2:$B$5001,עזר!L4504))</f>
        <v/>
      </c>
      <c r="C4504" s="13" t="str">
        <f aca="false">עזר!M4504</f>
        <v/>
      </c>
    </row>
    <row r="4505" customFormat="false" ht="15" hidden="false" customHeight="false" outlineLevel="0" collapsed="false">
      <c r="A4505" s="13" t="str">
        <f aca="false">IF(עזר!L4505="","",INDEX(עזר!$A$2:$A$5001,עזר!L4505))</f>
        <v/>
      </c>
      <c r="B4505" s="13" t="str">
        <f aca="false">IF(עזר!L4505="","",INDEX(עזר!$B$2:$B$5001,עזר!L4505))</f>
        <v/>
      </c>
      <c r="C4505" s="13" t="str">
        <f aca="false">עזר!M4505</f>
        <v/>
      </c>
    </row>
    <row r="4506" customFormat="false" ht="15" hidden="false" customHeight="false" outlineLevel="0" collapsed="false">
      <c r="A4506" s="13" t="str">
        <f aca="false">IF(עזר!L4506="","",INDEX(עזר!$A$2:$A$5001,עזר!L4506))</f>
        <v/>
      </c>
      <c r="B4506" s="13" t="str">
        <f aca="false">IF(עזר!L4506="","",INDEX(עזר!$B$2:$B$5001,עזר!L4506))</f>
        <v/>
      </c>
      <c r="C4506" s="13" t="str">
        <f aca="false">עזר!M4506</f>
        <v/>
      </c>
    </row>
    <row r="4507" customFormat="false" ht="15" hidden="false" customHeight="false" outlineLevel="0" collapsed="false">
      <c r="A4507" s="13" t="str">
        <f aca="false">IF(עזר!L4507="","",INDEX(עזר!$A$2:$A$5001,עזר!L4507))</f>
        <v/>
      </c>
      <c r="B4507" s="13" t="str">
        <f aca="false">IF(עזר!L4507="","",INDEX(עזר!$B$2:$B$5001,עזר!L4507))</f>
        <v/>
      </c>
      <c r="C4507" s="13" t="str">
        <f aca="false">עזר!M4507</f>
        <v/>
      </c>
    </row>
    <row r="4508" customFormat="false" ht="15" hidden="false" customHeight="false" outlineLevel="0" collapsed="false">
      <c r="A4508" s="13" t="str">
        <f aca="false">IF(עזר!L4508="","",INDEX(עזר!$A$2:$A$5001,עזר!L4508))</f>
        <v/>
      </c>
      <c r="B4508" s="13" t="str">
        <f aca="false">IF(עזר!L4508="","",INDEX(עזר!$B$2:$B$5001,עזר!L4508))</f>
        <v/>
      </c>
      <c r="C4508" s="13" t="str">
        <f aca="false">עזר!M4508</f>
        <v/>
      </c>
    </row>
    <row r="4509" customFormat="false" ht="15" hidden="false" customHeight="false" outlineLevel="0" collapsed="false">
      <c r="A4509" s="13" t="str">
        <f aca="false">IF(עזר!L4509="","",INDEX(עזר!$A$2:$A$5001,עזר!L4509))</f>
        <v/>
      </c>
      <c r="B4509" s="13" t="str">
        <f aca="false">IF(עזר!L4509="","",INDEX(עזר!$B$2:$B$5001,עזר!L4509))</f>
        <v/>
      </c>
      <c r="C4509" s="13" t="str">
        <f aca="false">עזר!M4509</f>
        <v/>
      </c>
    </row>
    <row r="4510" customFormat="false" ht="15" hidden="false" customHeight="false" outlineLevel="0" collapsed="false">
      <c r="A4510" s="13" t="str">
        <f aca="false">IF(עזר!L4510="","",INDEX(עזר!$A$2:$A$5001,עזר!L4510))</f>
        <v/>
      </c>
      <c r="B4510" s="13" t="str">
        <f aca="false">IF(עזר!L4510="","",INDEX(עזר!$B$2:$B$5001,עזר!L4510))</f>
        <v/>
      </c>
      <c r="C4510" s="13" t="str">
        <f aca="false">עזר!M4510</f>
        <v/>
      </c>
    </row>
    <row r="4511" customFormat="false" ht="15" hidden="false" customHeight="false" outlineLevel="0" collapsed="false">
      <c r="A4511" s="13" t="str">
        <f aca="false">IF(עזר!L4511="","",INDEX(עזר!$A$2:$A$5001,עזר!L4511))</f>
        <v/>
      </c>
      <c r="B4511" s="13" t="str">
        <f aca="false">IF(עזר!L4511="","",INDEX(עזר!$B$2:$B$5001,עזר!L4511))</f>
        <v/>
      </c>
      <c r="C4511" s="13" t="str">
        <f aca="false">עזר!M4511</f>
        <v/>
      </c>
    </row>
    <row r="4512" customFormat="false" ht="15" hidden="false" customHeight="false" outlineLevel="0" collapsed="false">
      <c r="A4512" s="13" t="str">
        <f aca="false">IF(עזר!L4512="","",INDEX(עזר!$A$2:$A$5001,עזר!L4512))</f>
        <v/>
      </c>
      <c r="B4512" s="13" t="str">
        <f aca="false">IF(עזר!L4512="","",INDEX(עזר!$B$2:$B$5001,עזר!L4512))</f>
        <v/>
      </c>
      <c r="C4512" s="13" t="str">
        <f aca="false">עזר!M4512</f>
        <v/>
      </c>
    </row>
    <row r="4513" customFormat="false" ht="15" hidden="false" customHeight="false" outlineLevel="0" collapsed="false">
      <c r="A4513" s="13" t="str">
        <f aca="false">IF(עזר!L4513="","",INDEX(עזר!$A$2:$A$5001,עזר!L4513))</f>
        <v/>
      </c>
      <c r="B4513" s="13" t="str">
        <f aca="false">IF(עזר!L4513="","",INDEX(עזר!$B$2:$B$5001,עזר!L4513))</f>
        <v/>
      </c>
      <c r="C4513" s="13" t="str">
        <f aca="false">עזר!M4513</f>
        <v/>
      </c>
    </row>
    <row r="4514" customFormat="false" ht="15" hidden="false" customHeight="false" outlineLevel="0" collapsed="false">
      <c r="A4514" s="13" t="str">
        <f aca="false">IF(עזר!L4514="","",INDEX(עזר!$A$2:$A$5001,עזר!L4514))</f>
        <v/>
      </c>
      <c r="B4514" s="13" t="str">
        <f aca="false">IF(עזר!L4514="","",INDEX(עזר!$B$2:$B$5001,עזר!L4514))</f>
        <v/>
      </c>
      <c r="C4514" s="13" t="str">
        <f aca="false">עזר!M4514</f>
        <v/>
      </c>
    </row>
    <row r="4515" customFormat="false" ht="15" hidden="false" customHeight="false" outlineLevel="0" collapsed="false">
      <c r="A4515" s="13" t="str">
        <f aca="false">IF(עזר!L4515="","",INDEX(עזר!$A$2:$A$5001,עזר!L4515))</f>
        <v/>
      </c>
      <c r="B4515" s="13" t="str">
        <f aca="false">IF(עזר!L4515="","",INDEX(עזר!$B$2:$B$5001,עזר!L4515))</f>
        <v/>
      </c>
      <c r="C4515" s="13" t="str">
        <f aca="false">עזר!M4515</f>
        <v/>
      </c>
    </row>
    <row r="4516" customFormat="false" ht="15" hidden="false" customHeight="false" outlineLevel="0" collapsed="false">
      <c r="A4516" s="13" t="str">
        <f aca="false">IF(עזר!L4516="","",INDEX(עזר!$A$2:$A$5001,עזר!L4516))</f>
        <v/>
      </c>
      <c r="B4516" s="13" t="str">
        <f aca="false">IF(עזר!L4516="","",INDEX(עזר!$B$2:$B$5001,עזר!L4516))</f>
        <v/>
      </c>
      <c r="C4516" s="13" t="str">
        <f aca="false">עזר!M4516</f>
        <v/>
      </c>
    </row>
    <row r="4517" customFormat="false" ht="15" hidden="false" customHeight="false" outlineLevel="0" collapsed="false">
      <c r="A4517" s="13" t="str">
        <f aca="false">IF(עזר!L4517="","",INDEX(עזר!$A$2:$A$5001,עזר!L4517))</f>
        <v/>
      </c>
      <c r="B4517" s="13" t="str">
        <f aca="false">IF(עזר!L4517="","",INDEX(עזר!$B$2:$B$5001,עזר!L4517))</f>
        <v/>
      </c>
      <c r="C4517" s="13" t="str">
        <f aca="false">עזר!M4517</f>
        <v/>
      </c>
    </row>
    <row r="4518" customFormat="false" ht="15" hidden="false" customHeight="false" outlineLevel="0" collapsed="false">
      <c r="A4518" s="13" t="str">
        <f aca="false">IF(עזר!L4518="","",INDEX(עזר!$A$2:$A$5001,עזר!L4518))</f>
        <v/>
      </c>
      <c r="B4518" s="13" t="str">
        <f aca="false">IF(עזר!L4518="","",INDEX(עזר!$B$2:$B$5001,עזר!L4518))</f>
        <v/>
      </c>
      <c r="C4518" s="13" t="str">
        <f aca="false">עזר!M4518</f>
        <v/>
      </c>
    </row>
    <row r="4519" customFormat="false" ht="15" hidden="false" customHeight="false" outlineLevel="0" collapsed="false">
      <c r="A4519" s="13" t="str">
        <f aca="false">IF(עזר!L4519="","",INDEX(עזר!$A$2:$A$5001,עזר!L4519))</f>
        <v/>
      </c>
      <c r="B4519" s="13" t="str">
        <f aca="false">IF(עזר!L4519="","",INDEX(עזר!$B$2:$B$5001,עזר!L4519))</f>
        <v/>
      </c>
      <c r="C4519" s="13" t="str">
        <f aca="false">עזר!M4519</f>
        <v/>
      </c>
    </row>
    <row r="4520" customFormat="false" ht="15" hidden="false" customHeight="false" outlineLevel="0" collapsed="false">
      <c r="A4520" s="13" t="str">
        <f aca="false">IF(עזר!L4520="","",INDEX(עזר!$A$2:$A$5001,עזר!L4520))</f>
        <v/>
      </c>
      <c r="B4520" s="13" t="str">
        <f aca="false">IF(עזר!L4520="","",INDEX(עזר!$B$2:$B$5001,עזר!L4520))</f>
        <v/>
      </c>
      <c r="C4520" s="13" t="str">
        <f aca="false">עזר!M4520</f>
        <v/>
      </c>
    </row>
    <row r="4521" customFormat="false" ht="15" hidden="false" customHeight="false" outlineLevel="0" collapsed="false">
      <c r="A4521" s="13" t="str">
        <f aca="false">IF(עזר!L4521="","",INDEX(עזר!$A$2:$A$5001,עזר!L4521))</f>
        <v/>
      </c>
      <c r="B4521" s="13" t="str">
        <f aca="false">IF(עזר!L4521="","",INDEX(עזר!$B$2:$B$5001,עזר!L4521))</f>
        <v/>
      </c>
      <c r="C4521" s="13" t="str">
        <f aca="false">עזר!M4521</f>
        <v/>
      </c>
    </row>
    <row r="4522" customFormat="false" ht="15" hidden="false" customHeight="false" outlineLevel="0" collapsed="false">
      <c r="A4522" s="13" t="str">
        <f aca="false">IF(עזר!L4522="","",INDEX(עזר!$A$2:$A$5001,עזר!L4522))</f>
        <v/>
      </c>
      <c r="B4522" s="13" t="str">
        <f aca="false">IF(עזר!L4522="","",INDEX(עזר!$B$2:$B$5001,עזר!L4522))</f>
        <v/>
      </c>
      <c r="C4522" s="13" t="str">
        <f aca="false">עזר!M4522</f>
        <v/>
      </c>
    </row>
    <row r="4523" customFormat="false" ht="15" hidden="false" customHeight="false" outlineLevel="0" collapsed="false">
      <c r="A4523" s="13" t="str">
        <f aca="false">IF(עזר!L4523="","",INDEX(עזר!$A$2:$A$5001,עזר!L4523))</f>
        <v/>
      </c>
      <c r="B4523" s="13" t="str">
        <f aca="false">IF(עזר!L4523="","",INDEX(עזר!$B$2:$B$5001,עזר!L4523))</f>
        <v/>
      </c>
      <c r="C4523" s="13" t="str">
        <f aca="false">עזר!M4523</f>
        <v/>
      </c>
    </row>
    <row r="4524" customFormat="false" ht="15" hidden="false" customHeight="false" outlineLevel="0" collapsed="false">
      <c r="A4524" s="13" t="str">
        <f aca="false">IF(עזר!L4524="","",INDEX(עזר!$A$2:$A$5001,עזר!L4524))</f>
        <v/>
      </c>
      <c r="B4524" s="13" t="str">
        <f aca="false">IF(עזר!L4524="","",INDEX(עזר!$B$2:$B$5001,עזר!L4524))</f>
        <v/>
      </c>
      <c r="C4524" s="13" t="str">
        <f aca="false">עזר!M4524</f>
        <v/>
      </c>
    </row>
    <row r="4525" customFormat="false" ht="15" hidden="false" customHeight="false" outlineLevel="0" collapsed="false">
      <c r="A4525" s="13" t="str">
        <f aca="false">IF(עזר!L4525="","",INDEX(עזר!$A$2:$A$5001,עזר!L4525))</f>
        <v/>
      </c>
      <c r="B4525" s="13" t="str">
        <f aca="false">IF(עזר!L4525="","",INDEX(עזר!$B$2:$B$5001,עזר!L4525))</f>
        <v/>
      </c>
      <c r="C4525" s="13" t="str">
        <f aca="false">עזר!M4525</f>
        <v/>
      </c>
    </row>
    <row r="4526" customFormat="false" ht="15" hidden="false" customHeight="false" outlineLevel="0" collapsed="false">
      <c r="A4526" s="13" t="str">
        <f aca="false">IF(עזר!L4526="","",INDEX(עזר!$A$2:$A$5001,עזר!L4526))</f>
        <v/>
      </c>
      <c r="B4526" s="13" t="str">
        <f aca="false">IF(עזר!L4526="","",INDEX(עזר!$B$2:$B$5001,עזר!L4526))</f>
        <v/>
      </c>
      <c r="C4526" s="13" t="str">
        <f aca="false">עזר!M4526</f>
        <v/>
      </c>
    </row>
    <row r="4527" customFormat="false" ht="15" hidden="false" customHeight="false" outlineLevel="0" collapsed="false">
      <c r="A4527" s="13" t="str">
        <f aca="false">IF(עזר!L4527="","",INDEX(עזר!$A$2:$A$5001,עזר!L4527))</f>
        <v/>
      </c>
      <c r="B4527" s="13" t="str">
        <f aca="false">IF(עזר!L4527="","",INDEX(עזר!$B$2:$B$5001,עזר!L4527))</f>
        <v/>
      </c>
      <c r="C4527" s="13" t="str">
        <f aca="false">עזר!M4527</f>
        <v/>
      </c>
    </row>
    <row r="4528" customFormat="false" ht="15" hidden="false" customHeight="false" outlineLevel="0" collapsed="false">
      <c r="A4528" s="13" t="str">
        <f aca="false">IF(עזר!L4528="","",INDEX(עזר!$A$2:$A$5001,עזר!L4528))</f>
        <v/>
      </c>
      <c r="B4528" s="13" t="str">
        <f aca="false">IF(עזר!L4528="","",INDEX(עזר!$B$2:$B$5001,עזר!L4528))</f>
        <v/>
      </c>
      <c r="C4528" s="13" t="str">
        <f aca="false">עזר!M4528</f>
        <v/>
      </c>
    </row>
    <row r="4529" customFormat="false" ht="15" hidden="false" customHeight="false" outlineLevel="0" collapsed="false">
      <c r="A4529" s="13" t="str">
        <f aca="false">IF(עזר!L4529="","",INDEX(עזר!$A$2:$A$5001,עזר!L4529))</f>
        <v/>
      </c>
      <c r="B4529" s="13" t="str">
        <f aca="false">IF(עזר!L4529="","",INDEX(עזר!$B$2:$B$5001,עזר!L4529))</f>
        <v/>
      </c>
      <c r="C4529" s="13" t="str">
        <f aca="false">עזר!M4529</f>
        <v/>
      </c>
    </row>
    <row r="4530" customFormat="false" ht="15" hidden="false" customHeight="false" outlineLevel="0" collapsed="false">
      <c r="A4530" s="13" t="str">
        <f aca="false">IF(עזר!L4530="","",INDEX(עזר!$A$2:$A$5001,עזר!L4530))</f>
        <v/>
      </c>
      <c r="B4530" s="13" t="str">
        <f aca="false">IF(עזר!L4530="","",INDEX(עזר!$B$2:$B$5001,עזר!L4530))</f>
        <v/>
      </c>
      <c r="C4530" s="13" t="str">
        <f aca="false">עזר!M4530</f>
        <v/>
      </c>
    </row>
    <row r="4531" customFormat="false" ht="15" hidden="false" customHeight="false" outlineLevel="0" collapsed="false">
      <c r="A4531" s="13" t="str">
        <f aca="false">IF(עזר!L4531="","",INDEX(עזר!$A$2:$A$5001,עזר!L4531))</f>
        <v/>
      </c>
      <c r="B4531" s="13" t="str">
        <f aca="false">IF(עזר!L4531="","",INDEX(עזר!$B$2:$B$5001,עזר!L4531))</f>
        <v/>
      </c>
      <c r="C4531" s="13" t="str">
        <f aca="false">עזר!M4531</f>
        <v/>
      </c>
    </row>
    <row r="4532" customFormat="false" ht="15" hidden="false" customHeight="false" outlineLevel="0" collapsed="false">
      <c r="A4532" s="13" t="str">
        <f aca="false">IF(עזר!L4532="","",INDEX(עזר!$A$2:$A$5001,עזר!L4532))</f>
        <v/>
      </c>
      <c r="B4532" s="13" t="str">
        <f aca="false">IF(עזר!L4532="","",INDEX(עזר!$B$2:$B$5001,עזר!L4532))</f>
        <v/>
      </c>
      <c r="C4532" s="13" t="str">
        <f aca="false">עזר!M4532</f>
        <v/>
      </c>
    </row>
    <row r="4533" customFormat="false" ht="15" hidden="false" customHeight="false" outlineLevel="0" collapsed="false">
      <c r="A4533" s="13" t="str">
        <f aca="false">IF(עזר!L4533="","",INDEX(עזר!$A$2:$A$5001,עזר!L4533))</f>
        <v/>
      </c>
      <c r="B4533" s="13" t="str">
        <f aca="false">IF(עזר!L4533="","",INDEX(עזר!$B$2:$B$5001,עזר!L4533))</f>
        <v/>
      </c>
      <c r="C4533" s="13" t="str">
        <f aca="false">עזר!M4533</f>
        <v/>
      </c>
    </row>
    <row r="4534" customFormat="false" ht="15" hidden="false" customHeight="false" outlineLevel="0" collapsed="false">
      <c r="A4534" s="13" t="str">
        <f aca="false">IF(עזר!L4534="","",INDEX(עזר!$A$2:$A$5001,עזר!L4534))</f>
        <v/>
      </c>
      <c r="B4534" s="13" t="str">
        <f aca="false">IF(עזר!L4534="","",INDEX(עזר!$B$2:$B$5001,עזר!L4534))</f>
        <v/>
      </c>
      <c r="C4534" s="13" t="str">
        <f aca="false">עזר!M4534</f>
        <v/>
      </c>
    </row>
    <row r="4535" customFormat="false" ht="15" hidden="false" customHeight="false" outlineLevel="0" collapsed="false">
      <c r="A4535" s="13" t="str">
        <f aca="false">IF(עזר!L4535="","",INDEX(עזר!$A$2:$A$5001,עזר!L4535))</f>
        <v/>
      </c>
      <c r="B4535" s="13" t="str">
        <f aca="false">IF(עזר!L4535="","",INDEX(עזר!$B$2:$B$5001,עזר!L4535))</f>
        <v/>
      </c>
      <c r="C4535" s="13" t="str">
        <f aca="false">עזר!M4535</f>
        <v/>
      </c>
    </row>
    <row r="4536" customFormat="false" ht="15" hidden="false" customHeight="false" outlineLevel="0" collapsed="false">
      <c r="A4536" s="13" t="str">
        <f aca="false">IF(עזר!L4536="","",INDEX(עזר!$A$2:$A$5001,עזר!L4536))</f>
        <v/>
      </c>
      <c r="B4536" s="13" t="str">
        <f aca="false">IF(עזר!L4536="","",INDEX(עזר!$B$2:$B$5001,עזר!L4536))</f>
        <v/>
      </c>
      <c r="C4536" s="13" t="str">
        <f aca="false">עזר!M4536</f>
        <v/>
      </c>
    </row>
    <row r="4537" customFormat="false" ht="15" hidden="false" customHeight="false" outlineLevel="0" collapsed="false">
      <c r="A4537" s="13" t="str">
        <f aca="false">IF(עזר!L4537="","",INDEX(עזר!$A$2:$A$5001,עזר!L4537))</f>
        <v/>
      </c>
      <c r="B4537" s="13" t="str">
        <f aca="false">IF(עזר!L4537="","",INDEX(עזר!$B$2:$B$5001,עזר!L4537))</f>
        <v/>
      </c>
      <c r="C4537" s="13" t="str">
        <f aca="false">עזר!M4537</f>
        <v/>
      </c>
    </row>
    <row r="4538" customFormat="false" ht="15" hidden="false" customHeight="false" outlineLevel="0" collapsed="false">
      <c r="A4538" s="13" t="str">
        <f aca="false">IF(עזר!L4538="","",INDEX(עזר!$A$2:$A$5001,עזר!L4538))</f>
        <v/>
      </c>
      <c r="B4538" s="13" t="str">
        <f aca="false">IF(עזר!L4538="","",INDEX(עזר!$B$2:$B$5001,עזר!L4538))</f>
        <v/>
      </c>
      <c r="C4538" s="13" t="str">
        <f aca="false">עזר!M4538</f>
        <v/>
      </c>
    </row>
    <row r="4539" customFormat="false" ht="15" hidden="false" customHeight="false" outlineLevel="0" collapsed="false">
      <c r="A4539" s="13" t="str">
        <f aca="false">IF(עזר!L4539="","",INDEX(עזר!$A$2:$A$5001,עזר!L4539))</f>
        <v/>
      </c>
      <c r="B4539" s="13" t="str">
        <f aca="false">IF(עזר!L4539="","",INDEX(עזר!$B$2:$B$5001,עזר!L4539))</f>
        <v/>
      </c>
      <c r="C4539" s="13" t="str">
        <f aca="false">עזר!M4539</f>
        <v/>
      </c>
    </row>
    <row r="4540" customFormat="false" ht="15" hidden="false" customHeight="false" outlineLevel="0" collapsed="false">
      <c r="A4540" s="13" t="str">
        <f aca="false">IF(עזר!L4540="","",INDEX(עזר!$A$2:$A$5001,עזר!L4540))</f>
        <v/>
      </c>
      <c r="B4540" s="13" t="str">
        <f aca="false">IF(עזר!L4540="","",INDEX(עזר!$B$2:$B$5001,עזר!L4540))</f>
        <v/>
      </c>
      <c r="C4540" s="13" t="str">
        <f aca="false">עזר!M4540</f>
        <v/>
      </c>
    </row>
    <row r="4541" customFormat="false" ht="15" hidden="false" customHeight="false" outlineLevel="0" collapsed="false">
      <c r="A4541" s="13" t="str">
        <f aca="false">IF(עזר!L4541="","",INDEX(עזר!$A$2:$A$5001,עזר!L4541))</f>
        <v/>
      </c>
      <c r="B4541" s="13" t="str">
        <f aca="false">IF(עזר!L4541="","",INDEX(עזר!$B$2:$B$5001,עזר!L4541))</f>
        <v/>
      </c>
      <c r="C4541" s="13" t="str">
        <f aca="false">עזר!M4541</f>
        <v/>
      </c>
    </row>
    <row r="4542" customFormat="false" ht="15" hidden="false" customHeight="false" outlineLevel="0" collapsed="false">
      <c r="A4542" s="13" t="str">
        <f aca="false">IF(עזר!L4542="","",INDEX(עזר!$A$2:$A$5001,עזר!L4542))</f>
        <v/>
      </c>
      <c r="B4542" s="13" t="str">
        <f aca="false">IF(עזר!L4542="","",INDEX(עזר!$B$2:$B$5001,עזר!L4542))</f>
        <v/>
      </c>
      <c r="C4542" s="13" t="str">
        <f aca="false">עזר!M4542</f>
        <v/>
      </c>
    </row>
    <row r="4543" customFormat="false" ht="15" hidden="false" customHeight="false" outlineLevel="0" collapsed="false">
      <c r="A4543" s="13" t="str">
        <f aca="false">IF(עזר!L4543="","",INDEX(עזר!$A$2:$A$5001,עזר!L4543))</f>
        <v/>
      </c>
      <c r="B4543" s="13" t="str">
        <f aca="false">IF(עזר!L4543="","",INDEX(עזר!$B$2:$B$5001,עזר!L4543))</f>
        <v/>
      </c>
      <c r="C4543" s="13" t="str">
        <f aca="false">עזר!M4543</f>
        <v/>
      </c>
    </row>
    <row r="4544" customFormat="false" ht="15" hidden="false" customHeight="false" outlineLevel="0" collapsed="false">
      <c r="A4544" s="13" t="str">
        <f aca="false">IF(עזר!L4544="","",INDEX(עזר!$A$2:$A$5001,עזר!L4544))</f>
        <v/>
      </c>
      <c r="B4544" s="13" t="str">
        <f aca="false">IF(עזר!L4544="","",INDEX(עזר!$B$2:$B$5001,עזר!L4544))</f>
        <v/>
      </c>
      <c r="C4544" s="13" t="str">
        <f aca="false">עזר!M4544</f>
        <v/>
      </c>
    </row>
    <row r="4545" customFormat="false" ht="15" hidden="false" customHeight="false" outlineLevel="0" collapsed="false">
      <c r="A4545" s="13" t="str">
        <f aca="false">IF(עזר!L4545="","",INDEX(עזר!$A$2:$A$5001,עזר!L4545))</f>
        <v/>
      </c>
      <c r="B4545" s="13" t="str">
        <f aca="false">IF(עזר!L4545="","",INDEX(עזר!$B$2:$B$5001,עזר!L4545))</f>
        <v/>
      </c>
      <c r="C4545" s="13" t="str">
        <f aca="false">עזר!M4545</f>
        <v/>
      </c>
    </row>
    <row r="4546" customFormat="false" ht="15" hidden="false" customHeight="false" outlineLevel="0" collapsed="false">
      <c r="A4546" s="13" t="str">
        <f aca="false">IF(עזר!L4546="","",INDEX(עזר!$A$2:$A$5001,עזר!L4546))</f>
        <v/>
      </c>
      <c r="B4546" s="13" t="str">
        <f aca="false">IF(עזר!L4546="","",INDEX(עזר!$B$2:$B$5001,עזר!L4546))</f>
        <v/>
      </c>
      <c r="C4546" s="13" t="str">
        <f aca="false">עזר!M4546</f>
        <v/>
      </c>
    </row>
    <row r="4547" customFormat="false" ht="15" hidden="false" customHeight="false" outlineLevel="0" collapsed="false">
      <c r="A4547" s="13" t="str">
        <f aca="false">IF(עזר!L4547="","",INDEX(עזר!$A$2:$A$5001,עזר!L4547))</f>
        <v/>
      </c>
      <c r="B4547" s="13" t="str">
        <f aca="false">IF(עזר!L4547="","",INDEX(עזר!$B$2:$B$5001,עזר!L4547))</f>
        <v/>
      </c>
      <c r="C4547" s="13" t="str">
        <f aca="false">עזר!M4547</f>
        <v/>
      </c>
    </row>
    <row r="4548" customFormat="false" ht="15" hidden="false" customHeight="false" outlineLevel="0" collapsed="false">
      <c r="A4548" s="13" t="str">
        <f aca="false">IF(עזר!L4548="","",INDEX(עזר!$A$2:$A$5001,עזר!L4548))</f>
        <v/>
      </c>
      <c r="B4548" s="13" t="str">
        <f aca="false">IF(עזר!L4548="","",INDEX(עזר!$B$2:$B$5001,עזר!L4548))</f>
        <v/>
      </c>
      <c r="C4548" s="13" t="str">
        <f aca="false">עזר!M4548</f>
        <v/>
      </c>
    </row>
    <row r="4549" customFormat="false" ht="15" hidden="false" customHeight="false" outlineLevel="0" collapsed="false">
      <c r="A4549" s="13" t="str">
        <f aca="false">IF(עזר!L4549="","",INDEX(עזר!$A$2:$A$5001,עזר!L4549))</f>
        <v/>
      </c>
      <c r="B4549" s="13" t="str">
        <f aca="false">IF(עזר!L4549="","",INDEX(עזר!$B$2:$B$5001,עזר!L4549))</f>
        <v/>
      </c>
      <c r="C4549" s="13" t="str">
        <f aca="false">עזר!M4549</f>
        <v/>
      </c>
    </row>
    <row r="4550" customFormat="false" ht="15" hidden="false" customHeight="false" outlineLevel="0" collapsed="false">
      <c r="A4550" s="13" t="str">
        <f aca="false">IF(עזר!L4550="","",INDEX(עזר!$A$2:$A$5001,עזר!L4550))</f>
        <v/>
      </c>
      <c r="B4550" s="13" t="str">
        <f aca="false">IF(עזר!L4550="","",INDEX(עזר!$B$2:$B$5001,עזר!L4550))</f>
        <v/>
      </c>
      <c r="C4550" s="13" t="str">
        <f aca="false">עזר!M4550</f>
        <v/>
      </c>
    </row>
    <row r="4551" customFormat="false" ht="15" hidden="false" customHeight="false" outlineLevel="0" collapsed="false">
      <c r="A4551" s="13" t="str">
        <f aca="false">IF(עזר!L4551="","",INDEX(עזר!$A$2:$A$5001,עזר!L4551))</f>
        <v/>
      </c>
      <c r="B4551" s="13" t="str">
        <f aca="false">IF(עזר!L4551="","",INDEX(עזר!$B$2:$B$5001,עזר!L4551))</f>
        <v/>
      </c>
      <c r="C4551" s="13" t="str">
        <f aca="false">עזר!M4551</f>
        <v/>
      </c>
    </row>
    <row r="4552" customFormat="false" ht="15" hidden="false" customHeight="false" outlineLevel="0" collapsed="false">
      <c r="A4552" s="13" t="str">
        <f aca="false">IF(עזר!L4552="","",INDEX(עזר!$A$2:$A$5001,עזר!L4552))</f>
        <v/>
      </c>
      <c r="B4552" s="13" t="str">
        <f aca="false">IF(עזר!L4552="","",INDEX(עזר!$B$2:$B$5001,עזר!L4552))</f>
        <v/>
      </c>
      <c r="C4552" s="13" t="str">
        <f aca="false">עזר!M4552</f>
        <v/>
      </c>
    </row>
    <row r="4553" customFormat="false" ht="15" hidden="false" customHeight="false" outlineLevel="0" collapsed="false">
      <c r="A4553" s="13" t="str">
        <f aca="false">IF(עזר!L4553="","",INDEX(עזר!$A$2:$A$5001,עזר!L4553))</f>
        <v/>
      </c>
      <c r="B4553" s="13" t="str">
        <f aca="false">IF(עזר!L4553="","",INDEX(עזר!$B$2:$B$5001,עזר!L4553))</f>
        <v/>
      </c>
      <c r="C4553" s="13" t="str">
        <f aca="false">עזר!M4553</f>
        <v/>
      </c>
    </row>
    <row r="4554" customFormat="false" ht="15" hidden="false" customHeight="false" outlineLevel="0" collapsed="false">
      <c r="A4554" s="13" t="str">
        <f aca="false">IF(עזר!L4554="","",INDEX(עזר!$A$2:$A$5001,עזר!L4554))</f>
        <v/>
      </c>
      <c r="B4554" s="13" t="str">
        <f aca="false">IF(עזר!L4554="","",INDEX(עזר!$B$2:$B$5001,עזר!L4554))</f>
        <v/>
      </c>
      <c r="C4554" s="13" t="str">
        <f aca="false">עזר!M4554</f>
        <v/>
      </c>
    </row>
    <row r="4555" customFormat="false" ht="15" hidden="false" customHeight="false" outlineLevel="0" collapsed="false">
      <c r="A4555" s="13" t="str">
        <f aca="false">IF(עזר!L4555="","",INDEX(עזר!$A$2:$A$5001,עזר!L4555))</f>
        <v/>
      </c>
      <c r="B4555" s="13" t="str">
        <f aca="false">IF(עזר!L4555="","",INDEX(עזר!$B$2:$B$5001,עזר!L4555))</f>
        <v/>
      </c>
      <c r="C4555" s="13" t="str">
        <f aca="false">עזר!M4555</f>
        <v/>
      </c>
    </row>
    <row r="4556" customFormat="false" ht="15" hidden="false" customHeight="false" outlineLevel="0" collapsed="false">
      <c r="A4556" s="13" t="str">
        <f aca="false">IF(עזר!L4556="","",INDEX(עזר!$A$2:$A$5001,עזר!L4556))</f>
        <v/>
      </c>
      <c r="B4556" s="13" t="str">
        <f aca="false">IF(עזר!L4556="","",INDEX(עזר!$B$2:$B$5001,עזר!L4556))</f>
        <v/>
      </c>
      <c r="C4556" s="13" t="str">
        <f aca="false">עזר!M4556</f>
        <v/>
      </c>
    </row>
    <row r="4557" customFormat="false" ht="15" hidden="false" customHeight="false" outlineLevel="0" collapsed="false">
      <c r="A4557" s="13" t="str">
        <f aca="false">IF(עזר!L4557="","",INDEX(עזר!$A$2:$A$5001,עזר!L4557))</f>
        <v/>
      </c>
      <c r="B4557" s="13" t="str">
        <f aca="false">IF(עזר!L4557="","",INDEX(עזר!$B$2:$B$5001,עזר!L4557))</f>
        <v/>
      </c>
      <c r="C4557" s="13" t="str">
        <f aca="false">עזר!M4557</f>
        <v/>
      </c>
    </row>
    <row r="4558" customFormat="false" ht="15" hidden="false" customHeight="false" outlineLevel="0" collapsed="false">
      <c r="A4558" s="13" t="str">
        <f aca="false">IF(עזר!L4558="","",INDEX(עזר!$A$2:$A$5001,עזר!L4558))</f>
        <v/>
      </c>
      <c r="B4558" s="13" t="str">
        <f aca="false">IF(עזר!L4558="","",INDEX(עזר!$B$2:$B$5001,עזר!L4558))</f>
        <v/>
      </c>
      <c r="C4558" s="13" t="str">
        <f aca="false">עזר!M4558</f>
        <v/>
      </c>
    </row>
    <row r="4559" customFormat="false" ht="15" hidden="false" customHeight="false" outlineLevel="0" collapsed="false">
      <c r="A4559" s="13" t="str">
        <f aca="false">IF(עזר!L4559="","",INDEX(עזר!$A$2:$A$5001,עזר!L4559))</f>
        <v/>
      </c>
      <c r="B4559" s="13" t="str">
        <f aca="false">IF(עזר!L4559="","",INDEX(עזר!$B$2:$B$5001,עזר!L4559))</f>
        <v/>
      </c>
      <c r="C4559" s="13" t="str">
        <f aca="false">עזר!M4559</f>
        <v/>
      </c>
    </row>
    <row r="4560" customFormat="false" ht="15" hidden="false" customHeight="false" outlineLevel="0" collapsed="false">
      <c r="A4560" s="13" t="str">
        <f aca="false">IF(עזר!L4560="","",INDEX(עזר!$A$2:$A$5001,עזר!L4560))</f>
        <v/>
      </c>
      <c r="B4560" s="13" t="str">
        <f aca="false">IF(עזר!L4560="","",INDEX(עזר!$B$2:$B$5001,עזר!L4560))</f>
        <v/>
      </c>
      <c r="C4560" s="13" t="str">
        <f aca="false">עזר!M4560</f>
        <v/>
      </c>
    </row>
    <row r="4561" customFormat="false" ht="15" hidden="false" customHeight="false" outlineLevel="0" collapsed="false">
      <c r="A4561" s="13" t="str">
        <f aca="false">IF(עזר!L4561="","",INDEX(עזר!$A$2:$A$5001,עזר!L4561))</f>
        <v/>
      </c>
      <c r="B4561" s="13" t="str">
        <f aca="false">IF(עזר!L4561="","",INDEX(עזר!$B$2:$B$5001,עזר!L4561))</f>
        <v/>
      </c>
      <c r="C4561" s="13" t="str">
        <f aca="false">עזר!M4561</f>
        <v/>
      </c>
    </row>
    <row r="4562" customFormat="false" ht="15" hidden="false" customHeight="false" outlineLevel="0" collapsed="false">
      <c r="A4562" s="13" t="str">
        <f aca="false">IF(עזר!L4562="","",INDEX(עזר!$A$2:$A$5001,עזר!L4562))</f>
        <v/>
      </c>
      <c r="B4562" s="13" t="str">
        <f aca="false">IF(עזר!L4562="","",INDEX(עזר!$B$2:$B$5001,עזר!L4562))</f>
        <v/>
      </c>
      <c r="C4562" s="13" t="str">
        <f aca="false">עזר!M4562</f>
        <v/>
      </c>
    </row>
    <row r="4563" customFormat="false" ht="15" hidden="false" customHeight="false" outlineLevel="0" collapsed="false">
      <c r="A4563" s="13" t="str">
        <f aca="false">IF(עזר!L4563="","",INDEX(עזר!$A$2:$A$5001,עזר!L4563))</f>
        <v/>
      </c>
      <c r="B4563" s="13" t="str">
        <f aca="false">IF(עזר!L4563="","",INDEX(עזר!$B$2:$B$5001,עזר!L4563))</f>
        <v/>
      </c>
      <c r="C4563" s="13" t="str">
        <f aca="false">עזר!M4563</f>
        <v/>
      </c>
    </row>
    <row r="4564" customFormat="false" ht="15" hidden="false" customHeight="false" outlineLevel="0" collapsed="false">
      <c r="A4564" s="13" t="str">
        <f aca="false">IF(עזר!L4564="","",INDEX(עזר!$A$2:$A$5001,עזר!L4564))</f>
        <v/>
      </c>
      <c r="B4564" s="13" t="str">
        <f aca="false">IF(עזר!L4564="","",INDEX(עזר!$B$2:$B$5001,עזר!L4564))</f>
        <v/>
      </c>
      <c r="C4564" s="13" t="str">
        <f aca="false">עזר!M4564</f>
        <v/>
      </c>
    </row>
    <row r="4565" customFormat="false" ht="15" hidden="false" customHeight="false" outlineLevel="0" collapsed="false">
      <c r="A4565" s="13" t="str">
        <f aca="false">IF(עזר!L4565="","",INDEX(עזר!$A$2:$A$5001,עזר!L4565))</f>
        <v/>
      </c>
      <c r="B4565" s="13" t="str">
        <f aca="false">IF(עזר!L4565="","",INDEX(עזר!$B$2:$B$5001,עזר!L4565))</f>
        <v/>
      </c>
      <c r="C4565" s="13" t="str">
        <f aca="false">עזר!M4565</f>
        <v/>
      </c>
    </row>
    <row r="4566" customFormat="false" ht="15" hidden="false" customHeight="false" outlineLevel="0" collapsed="false">
      <c r="A4566" s="13" t="str">
        <f aca="false">IF(עזר!L4566="","",INDEX(עזר!$A$2:$A$5001,עזר!L4566))</f>
        <v/>
      </c>
      <c r="B4566" s="13" t="str">
        <f aca="false">IF(עזר!L4566="","",INDEX(עזר!$B$2:$B$5001,עזר!L4566))</f>
        <v/>
      </c>
      <c r="C4566" s="13" t="str">
        <f aca="false">עזר!M4566</f>
        <v/>
      </c>
    </row>
    <row r="4567" customFormat="false" ht="15" hidden="false" customHeight="false" outlineLevel="0" collapsed="false">
      <c r="A4567" s="13" t="str">
        <f aca="false">IF(עזר!L4567="","",INDEX(עזר!$A$2:$A$5001,עזר!L4567))</f>
        <v/>
      </c>
      <c r="B4567" s="13" t="str">
        <f aca="false">IF(עזר!L4567="","",INDEX(עזר!$B$2:$B$5001,עזר!L4567))</f>
        <v/>
      </c>
      <c r="C4567" s="13" t="str">
        <f aca="false">עזר!M4567</f>
        <v/>
      </c>
    </row>
    <row r="4568" customFormat="false" ht="15" hidden="false" customHeight="false" outlineLevel="0" collapsed="false">
      <c r="A4568" s="13" t="str">
        <f aca="false">IF(עזר!L4568="","",INDEX(עזר!$A$2:$A$5001,עזר!L4568))</f>
        <v/>
      </c>
      <c r="B4568" s="13" t="str">
        <f aca="false">IF(עזר!L4568="","",INDEX(עזר!$B$2:$B$5001,עזר!L4568))</f>
        <v/>
      </c>
      <c r="C4568" s="13" t="str">
        <f aca="false">עזר!M4568</f>
        <v/>
      </c>
    </row>
    <row r="4569" customFormat="false" ht="15" hidden="false" customHeight="false" outlineLevel="0" collapsed="false">
      <c r="A4569" s="13" t="str">
        <f aca="false">IF(עזר!L4569="","",INDEX(עזר!$A$2:$A$5001,עזר!L4569))</f>
        <v/>
      </c>
      <c r="B4569" s="13" t="str">
        <f aca="false">IF(עזר!L4569="","",INDEX(עזר!$B$2:$B$5001,עזר!L4569))</f>
        <v/>
      </c>
      <c r="C4569" s="13" t="str">
        <f aca="false">עזר!M4569</f>
        <v/>
      </c>
    </row>
    <row r="4570" customFormat="false" ht="15" hidden="false" customHeight="false" outlineLevel="0" collapsed="false">
      <c r="A4570" s="13" t="str">
        <f aca="false">IF(עזר!L4570="","",INDEX(עזר!$A$2:$A$5001,עזר!L4570))</f>
        <v/>
      </c>
      <c r="B4570" s="13" t="str">
        <f aca="false">IF(עזר!L4570="","",INDEX(עזר!$B$2:$B$5001,עזר!L4570))</f>
        <v/>
      </c>
      <c r="C4570" s="13" t="str">
        <f aca="false">עזר!M4570</f>
        <v/>
      </c>
    </row>
    <row r="4571" customFormat="false" ht="15" hidden="false" customHeight="false" outlineLevel="0" collapsed="false">
      <c r="A4571" s="13" t="str">
        <f aca="false">IF(עזר!L4571="","",INDEX(עזר!$A$2:$A$5001,עזר!L4571))</f>
        <v/>
      </c>
      <c r="B4571" s="13" t="str">
        <f aca="false">IF(עזר!L4571="","",INDEX(עזר!$B$2:$B$5001,עזר!L4571))</f>
        <v/>
      </c>
      <c r="C4571" s="13" t="str">
        <f aca="false">עזר!M4571</f>
        <v/>
      </c>
    </row>
    <row r="4572" customFormat="false" ht="15" hidden="false" customHeight="false" outlineLevel="0" collapsed="false">
      <c r="A4572" s="13" t="str">
        <f aca="false">IF(עזר!L4572="","",INDEX(עזר!$A$2:$A$5001,עזר!L4572))</f>
        <v/>
      </c>
      <c r="B4572" s="13" t="str">
        <f aca="false">IF(עזר!L4572="","",INDEX(עזר!$B$2:$B$5001,עזר!L4572))</f>
        <v/>
      </c>
      <c r="C4572" s="13" t="str">
        <f aca="false">עזר!M4572</f>
        <v/>
      </c>
    </row>
    <row r="4573" customFormat="false" ht="15" hidden="false" customHeight="false" outlineLevel="0" collapsed="false">
      <c r="A4573" s="13" t="str">
        <f aca="false">IF(עזר!L4573="","",INDEX(עזר!$A$2:$A$5001,עזר!L4573))</f>
        <v/>
      </c>
      <c r="B4573" s="13" t="str">
        <f aca="false">IF(עזר!L4573="","",INDEX(עזר!$B$2:$B$5001,עזר!L4573))</f>
        <v/>
      </c>
      <c r="C4573" s="13" t="str">
        <f aca="false">עזר!M4573</f>
        <v/>
      </c>
    </row>
    <row r="4574" customFormat="false" ht="15" hidden="false" customHeight="false" outlineLevel="0" collapsed="false">
      <c r="A4574" s="13" t="str">
        <f aca="false">IF(עזר!L4574="","",INDEX(עזר!$A$2:$A$5001,עזר!L4574))</f>
        <v/>
      </c>
      <c r="B4574" s="13" t="str">
        <f aca="false">IF(עזר!L4574="","",INDEX(עזר!$B$2:$B$5001,עזר!L4574))</f>
        <v/>
      </c>
      <c r="C4574" s="13" t="str">
        <f aca="false">עזר!M4574</f>
        <v/>
      </c>
    </row>
    <row r="4575" customFormat="false" ht="15" hidden="false" customHeight="false" outlineLevel="0" collapsed="false">
      <c r="A4575" s="13" t="str">
        <f aca="false">IF(עזר!L4575="","",INDEX(עזר!$A$2:$A$5001,עזר!L4575))</f>
        <v/>
      </c>
      <c r="B4575" s="13" t="str">
        <f aca="false">IF(עזר!L4575="","",INDEX(עזר!$B$2:$B$5001,עזר!L4575))</f>
        <v/>
      </c>
      <c r="C4575" s="13" t="str">
        <f aca="false">עזר!M4575</f>
        <v/>
      </c>
    </row>
    <row r="4576" customFormat="false" ht="15" hidden="false" customHeight="false" outlineLevel="0" collapsed="false">
      <c r="A4576" s="13" t="str">
        <f aca="false">IF(עזר!L4576="","",INDEX(עזר!$A$2:$A$5001,עזר!L4576))</f>
        <v/>
      </c>
      <c r="B4576" s="13" t="str">
        <f aca="false">IF(עזר!L4576="","",INDEX(עזר!$B$2:$B$5001,עזר!L4576))</f>
        <v/>
      </c>
      <c r="C4576" s="13" t="str">
        <f aca="false">עזר!M4576</f>
        <v/>
      </c>
    </row>
    <row r="4577" customFormat="false" ht="15" hidden="false" customHeight="false" outlineLevel="0" collapsed="false">
      <c r="A4577" s="13" t="str">
        <f aca="false">IF(עזר!L4577="","",INDEX(עזר!$A$2:$A$5001,עזר!L4577))</f>
        <v/>
      </c>
      <c r="B4577" s="13" t="str">
        <f aca="false">IF(עזר!L4577="","",INDEX(עזר!$B$2:$B$5001,עזר!L4577))</f>
        <v/>
      </c>
      <c r="C4577" s="13" t="str">
        <f aca="false">עזר!M4577</f>
        <v/>
      </c>
    </row>
    <row r="4578" customFormat="false" ht="15" hidden="false" customHeight="false" outlineLevel="0" collapsed="false">
      <c r="A4578" s="13" t="str">
        <f aca="false">IF(עזר!L4578="","",INDEX(עזר!$A$2:$A$5001,עזר!L4578))</f>
        <v/>
      </c>
      <c r="B4578" s="13" t="str">
        <f aca="false">IF(עזר!L4578="","",INDEX(עזר!$B$2:$B$5001,עזר!L4578))</f>
        <v/>
      </c>
      <c r="C4578" s="13" t="str">
        <f aca="false">עזר!M4578</f>
        <v/>
      </c>
    </row>
    <row r="4579" customFormat="false" ht="15" hidden="false" customHeight="false" outlineLevel="0" collapsed="false">
      <c r="A4579" s="13" t="str">
        <f aca="false">IF(עזר!L4579="","",INDEX(עזר!$A$2:$A$5001,עזר!L4579))</f>
        <v/>
      </c>
      <c r="B4579" s="13" t="str">
        <f aca="false">IF(עזר!L4579="","",INDEX(עזר!$B$2:$B$5001,עזר!L4579))</f>
        <v/>
      </c>
      <c r="C4579" s="13" t="str">
        <f aca="false">עזר!M4579</f>
        <v/>
      </c>
    </row>
    <row r="4580" customFormat="false" ht="15" hidden="false" customHeight="false" outlineLevel="0" collapsed="false">
      <c r="A4580" s="13" t="str">
        <f aca="false">IF(עזר!L4580="","",INDEX(עזר!$A$2:$A$5001,עזר!L4580))</f>
        <v/>
      </c>
      <c r="B4580" s="13" t="str">
        <f aca="false">IF(עזר!L4580="","",INDEX(עזר!$B$2:$B$5001,עזר!L4580))</f>
        <v/>
      </c>
      <c r="C4580" s="13" t="str">
        <f aca="false">עזר!M4580</f>
        <v/>
      </c>
    </row>
    <row r="4581" customFormat="false" ht="15" hidden="false" customHeight="false" outlineLevel="0" collapsed="false">
      <c r="A4581" s="13" t="str">
        <f aca="false">IF(עזר!L4581="","",INDEX(עזר!$A$2:$A$5001,עזר!L4581))</f>
        <v/>
      </c>
      <c r="B4581" s="13" t="str">
        <f aca="false">IF(עזר!L4581="","",INDEX(עזר!$B$2:$B$5001,עזר!L4581))</f>
        <v/>
      </c>
      <c r="C4581" s="13" t="str">
        <f aca="false">עזר!M4581</f>
        <v/>
      </c>
    </row>
    <row r="4582" customFormat="false" ht="15" hidden="false" customHeight="false" outlineLevel="0" collapsed="false">
      <c r="A4582" s="13" t="str">
        <f aca="false">IF(עזר!L4582="","",INDEX(עזר!$A$2:$A$5001,עזר!L4582))</f>
        <v/>
      </c>
      <c r="B4582" s="13" t="str">
        <f aca="false">IF(עזר!L4582="","",INDEX(עזר!$B$2:$B$5001,עזר!L4582))</f>
        <v/>
      </c>
      <c r="C4582" s="13" t="str">
        <f aca="false">עזר!M4582</f>
        <v/>
      </c>
    </row>
    <row r="4583" customFormat="false" ht="15" hidden="false" customHeight="false" outlineLevel="0" collapsed="false">
      <c r="A4583" s="13" t="str">
        <f aca="false">IF(עזר!L4583="","",INDEX(עזר!$A$2:$A$5001,עזר!L4583))</f>
        <v/>
      </c>
      <c r="B4583" s="13" t="str">
        <f aca="false">IF(עזר!L4583="","",INDEX(עזר!$B$2:$B$5001,עזר!L4583))</f>
        <v/>
      </c>
      <c r="C4583" s="13" t="str">
        <f aca="false">עזר!M4583</f>
        <v/>
      </c>
    </row>
    <row r="4584" customFormat="false" ht="15" hidden="false" customHeight="false" outlineLevel="0" collapsed="false">
      <c r="A4584" s="13" t="str">
        <f aca="false">IF(עזר!L4584="","",INDEX(עזר!$A$2:$A$5001,עזר!L4584))</f>
        <v/>
      </c>
      <c r="B4584" s="13" t="str">
        <f aca="false">IF(עזר!L4584="","",INDEX(עזר!$B$2:$B$5001,עזר!L4584))</f>
        <v/>
      </c>
      <c r="C4584" s="13" t="str">
        <f aca="false">עזר!M4584</f>
        <v/>
      </c>
    </row>
    <row r="4585" customFormat="false" ht="15" hidden="false" customHeight="false" outlineLevel="0" collapsed="false">
      <c r="A4585" s="13" t="str">
        <f aca="false">IF(עזר!L4585="","",INDEX(עזר!$A$2:$A$5001,עזר!L4585))</f>
        <v/>
      </c>
      <c r="B4585" s="13" t="str">
        <f aca="false">IF(עזר!L4585="","",INDEX(עזר!$B$2:$B$5001,עזר!L4585))</f>
        <v/>
      </c>
      <c r="C4585" s="13" t="str">
        <f aca="false">עזר!M4585</f>
        <v/>
      </c>
    </row>
    <row r="4586" customFormat="false" ht="15" hidden="false" customHeight="false" outlineLevel="0" collapsed="false">
      <c r="A4586" s="13" t="str">
        <f aca="false">IF(עזר!L4586="","",INDEX(עזר!$A$2:$A$5001,עזר!L4586))</f>
        <v/>
      </c>
      <c r="B4586" s="13" t="str">
        <f aca="false">IF(עזר!L4586="","",INDEX(עזר!$B$2:$B$5001,עזר!L4586))</f>
        <v/>
      </c>
      <c r="C4586" s="13" t="str">
        <f aca="false">עזר!M4586</f>
        <v/>
      </c>
    </row>
    <row r="4587" customFormat="false" ht="15" hidden="false" customHeight="false" outlineLevel="0" collapsed="false">
      <c r="A4587" s="13" t="str">
        <f aca="false">IF(עזר!L4587="","",INDEX(עזר!$A$2:$A$5001,עזר!L4587))</f>
        <v/>
      </c>
      <c r="B4587" s="13" t="str">
        <f aca="false">IF(עזר!L4587="","",INDEX(עזר!$B$2:$B$5001,עזר!L4587))</f>
        <v/>
      </c>
      <c r="C4587" s="13" t="str">
        <f aca="false">עזר!M4587</f>
        <v/>
      </c>
    </row>
    <row r="4588" customFormat="false" ht="15" hidden="false" customHeight="false" outlineLevel="0" collapsed="false">
      <c r="A4588" s="13" t="str">
        <f aca="false">IF(עזר!L4588="","",INDEX(עזר!$A$2:$A$5001,עזר!L4588))</f>
        <v/>
      </c>
      <c r="B4588" s="13" t="str">
        <f aca="false">IF(עזר!L4588="","",INDEX(עזר!$B$2:$B$5001,עזר!L4588))</f>
        <v/>
      </c>
      <c r="C4588" s="13" t="str">
        <f aca="false">עזר!M4588</f>
        <v/>
      </c>
    </row>
    <row r="4589" customFormat="false" ht="15" hidden="false" customHeight="false" outlineLevel="0" collapsed="false">
      <c r="A4589" s="13" t="str">
        <f aca="false">IF(עזר!L4589="","",INDEX(עזר!$A$2:$A$5001,עזר!L4589))</f>
        <v/>
      </c>
      <c r="B4589" s="13" t="str">
        <f aca="false">IF(עזר!L4589="","",INDEX(עזר!$B$2:$B$5001,עזר!L4589))</f>
        <v/>
      </c>
      <c r="C4589" s="13" t="str">
        <f aca="false">עזר!M4589</f>
        <v/>
      </c>
    </row>
    <row r="4590" customFormat="false" ht="15" hidden="false" customHeight="false" outlineLevel="0" collapsed="false">
      <c r="A4590" s="13" t="str">
        <f aca="false">IF(עזר!L4590="","",INDEX(עזר!$A$2:$A$5001,עזר!L4590))</f>
        <v/>
      </c>
      <c r="B4590" s="13" t="str">
        <f aca="false">IF(עזר!L4590="","",INDEX(עזר!$B$2:$B$5001,עזר!L4590))</f>
        <v/>
      </c>
      <c r="C4590" s="13" t="str">
        <f aca="false">עזר!M4590</f>
        <v/>
      </c>
    </row>
    <row r="4591" customFormat="false" ht="15" hidden="false" customHeight="false" outlineLevel="0" collapsed="false">
      <c r="A4591" s="13" t="str">
        <f aca="false">IF(עזר!L4591="","",INDEX(עזר!$A$2:$A$5001,עזר!L4591))</f>
        <v/>
      </c>
      <c r="B4591" s="13" t="str">
        <f aca="false">IF(עזר!L4591="","",INDEX(עזר!$B$2:$B$5001,עזר!L4591))</f>
        <v/>
      </c>
      <c r="C4591" s="13" t="str">
        <f aca="false">עזר!M4591</f>
        <v/>
      </c>
    </row>
    <row r="4592" customFormat="false" ht="15" hidden="false" customHeight="false" outlineLevel="0" collapsed="false">
      <c r="A4592" s="13" t="str">
        <f aca="false">IF(עזר!L4592="","",INDEX(עזר!$A$2:$A$5001,עזר!L4592))</f>
        <v/>
      </c>
      <c r="B4592" s="13" t="str">
        <f aca="false">IF(עזר!L4592="","",INDEX(עזר!$B$2:$B$5001,עזר!L4592))</f>
        <v/>
      </c>
      <c r="C4592" s="13" t="str">
        <f aca="false">עזר!M4592</f>
        <v/>
      </c>
    </row>
    <row r="4593" customFormat="false" ht="15" hidden="false" customHeight="false" outlineLevel="0" collapsed="false">
      <c r="A4593" s="13" t="str">
        <f aca="false">IF(עזר!L4593="","",INDEX(עזר!$A$2:$A$5001,עזר!L4593))</f>
        <v/>
      </c>
      <c r="B4593" s="13" t="str">
        <f aca="false">IF(עזר!L4593="","",INDEX(עזר!$B$2:$B$5001,עזר!L4593))</f>
        <v/>
      </c>
      <c r="C4593" s="13" t="str">
        <f aca="false">עזר!M4593</f>
        <v/>
      </c>
    </row>
    <row r="4594" customFormat="false" ht="15" hidden="false" customHeight="false" outlineLevel="0" collapsed="false">
      <c r="A4594" s="13" t="str">
        <f aca="false">IF(עזר!L4594="","",INDEX(עזר!$A$2:$A$5001,עזר!L4594))</f>
        <v/>
      </c>
      <c r="B4594" s="13" t="str">
        <f aca="false">IF(עזר!L4594="","",INDEX(עזר!$B$2:$B$5001,עזר!L4594))</f>
        <v/>
      </c>
      <c r="C4594" s="13" t="str">
        <f aca="false">עזר!M4594</f>
        <v/>
      </c>
    </row>
    <row r="4595" customFormat="false" ht="15" hidden="false" customHeight="false" outlineLevel="0" collapsed="false">
      <c r="A4595" s="13" t="str">
        <f aca="false">IF(עזר!L4595="","",INDEX(עזר!$A$2:$A$5001,עזר!L4595))</f>
        <v/>
      </c>
      <c r="B4595" s="13" t="str">
        <f aca="false">IF(עזר!L4595="","",INDEX(עזר!$B$2:$B$5001,עזר!L4595))</f>
        <v/>
      </c>
      <c r="C4595" s="13" t="str">
        <f aca="false">עזר!M4595</f>
        <v/>
      </c>
    </row>
    <row r="4596" customFormat="false" ht="15" hidden="false" customHeight="false" outlineLevel="0" collapsed="false">
      <c r="A4596" s="13" t="str">
        <f aca="false">IF(עזר!L4596="","",INDEX(עזר!$A$2:$A$5001,עזר!L4596))</f>
        <v/>
      </c>
      <c r="B4596" s="13" t="str">
        <f aca="false">IF(עזר!L4596="","",INDEX(עזר!$B$2:$B$5001,עזר!L4596))</f>
        <v/>
      </c>
      <c r="C4596" s="13" t="str">
        <f aca="false">עזר!M4596</f>
        <v/>
      </c>
    </row>
    <row r="4597" customFormat="false" ht="15" hidden="false" customHeight="false" outlineLevel="0" collapsed="false">
      <c r="A4597" s="13" t="str">
        <f aca="false">IF(עזר!L4597="","",INDEX(עזר!$A$2:$A$5001,עזר!L4597))</f>
        <v/>
      </c>
      <c r="B4597" s="13" t="str">
        <f aca="false">IF(עזר!L4597="","",INDEX(עזר!$B$2:$B$5001,עזר!L4597))</f>
        <v/>
      </c>
      <c r="C4597" s="13" t="str">
        <f aca="false">עזר!M4597</f>
        <v/>
      </c>
    </row>
    <row r="4598" customFormat="false" ht="15" hidden="false" customHeight="false" outlineLevel="0" collapsed="false">
      <c r="A4598" s="13" t="str">
        <f aca="false">IF(עזר!L4598="","",INDEX(עזר!$A$2:$A$5001,עזר!L4598))</f>
        <v/>
      </c>
      <c r="B4598" s="13" t="str">
        <f aca="false">IF(עזר!L4598="","",INDEX(עזר!$B$2:$B$5001,עזר!L4598))</f>
        <v/>
      </c>
      <c r="C4598" s="13" t="str">
        <f aca="false">עזר!M4598</f>
        <v/>
      </c>
    </row>
    <row r="4599" customFormat="false" ht="15" hidden="false" customHeight="false" outlineLevel="0" collapsed="false">
      <c r="A4599" s="13" t="str">
        <f aca="false">IF(עזר!L4599="","",INDEX(עזר!$A$2:$A$5001,עזר!L4599))</f>
        <v/>
      </c>
      <c r="B4599" s="13" t="str">
        <f aca="false">IF(עזר!L4599="","",INDEX(עזר!$B$2:$B$5001,עזר!L4599))</f>
        <v/>
      </c>
      <c r="C4599" s="13" t="str">
        <f aca="false">עזר!M4599</f>
        <v/>
      </c>
    </row>
    <row r="4600" customFormat="false" ht="15" hidden="false" customHeight="false" outlineLevel="0" collapsed="false">
      <c r="A4600" s="13" t="str">
        <f aca="false">IF(עזר!L4600="","",INDEX(עזר!$A$2:$A$5001,עזר!L4600))</f>
        <v/>
      </c>
      <c r="B4600" s="13" t="str">
        <f aca="false">IF(עזר!L4600="","",INDEX(עזר!$B$2:$B$5001,עזר!L4600))</f>
        <v/>
      </c>
      <c r="C4600" s="13" t="str">
        <f aca="false">עזר!M4600</f>
        <v/>
      </c>
    </row>
    <row r="4601" customFormat="false" ht="15" hidden="false" customHeight="false" outlineLevel="0" collapsed="false">
      <c r="A4601" s="13" t="str">
        <f aca="false">IF(עזר!L4601="","",INDEX(עזר!$A$2:$A$5001,עזר!L4601))</f>
        <v/>
      </c>
      <c r="B4601" s="13" t="str">
        <f aca="false">IF(עזר!L4601="","",INDEX(עזר!$B$2:$B$5001,עזר!L4601))</f>
        <v/>
      </c>
      <c r="C4601" s="13" t="str">
        <f aca="false">עזר!M4601</f>
        <v/>
      </c>
    </row>
    <row r="4602" customFormat="false" ht="15" hidden="false" customHeight="false" outlineLevel="0" collapsed="false">
      <c r="A4602" s="13" t="str">
        <f aca="false">IF(עזר!L4602="","",INDEX(עזר!$A$2:$A$5001,עזר!L4602))</f>
        <v/>
      </c>
      <c r="B4602" s="13" t="str">
        <f aca="false">IF(עזר!L4602="","",INDEX(עזר!$B$2:$B$5001,עזר!L4602))</f>
        <v/>
      </c>
      <c r="C4602" s="13" t="str">
        <f aca="false">עזר!M4602</f>
        <v/>
      </c>
    </row>
    <row r="4603" customFormat="false" ht="15" hidden="false" customHeight="false" outlineLevel="0" collapsed="false">
      <c r="A4603" s="13" t="str">
        <f aca="false">IF(עזר!L4603="","",INDEX(עזר!$A$2:$A$5001,עזר!L4603))</f>
        <v/>
      </c>
      <c r="B4603" s="13" t="str">
        <f aca="false">IF(עזר!L4603="","",INDEX(עזר!$B$2:$B$5001,עזר!L4603))</f>
        <v/>
      </c>
      <c r="C4603" s="13" t="str">
        <f aca="false">עזר!M4603</f>
        <v/>
      </c>
    </row>
    <row r="4604" customFormat="false" ht="15" hidden="false" customHeight="false" outlineLevel="0" collapsed="false">
      <c r="A4604" s="13" t="str">
        <f aca="false">IF(עזר!L4604="","",INDEX(עזר!$A$2:$A$5001,עזר!L4604))</f>
        <v/>
      </c>
      <c r="B4604" s="13" t="str">
        <f aca="false">IF(עזר!L4604="","",INDEX(עזר!$B$2:$B$5001,עזר!L4604))</f>
        <v/>
      </c>
      <c r="C4604" s="13" t="str">
        <f aca="false">עזר!M4604</f>
        <v/>
      </c>
    </row>
    <row r="4605" customFormat="false" ht="15" hidden="false" customHeight="false" outlineLevel="0" collapsed="false">
      <c r="A4605" s="13" t="str">
        <f aca="false">IF(עזר!L4605="","",INDEX(עזר!$A$2:$A$5001,עזר!L4605))</f>
        <v/>
      </c>
      <c r="B4605" s="13" t="str">
        <f aca="false">IF(עזר!L4605="","",INDEX(עזר!$B$2:$B$5001,עזר!L4605))</f>
        <v/>
      </c>
      <c r="C4605" s="13" t="str">
        <f aca="false">עזר!M4605</f>
        <v/>
      </c>
    </row>
    <row r="4606" customFormat="false" ht="15" hidden="false" customHeight="false" outlineLevel="0" collapsed="false">
      <c r="A4606" s="13" t="str">
        <f aca="false">IF(עזר!L4606="","",INDEX(עזר!$A$2:$A$5001,עזר!L4606))</f>
        <v/>
      </c>
      <c r="B4606" s="13" t="str">
        <f aca="false">IF(עזר!L4606="","",INDEX(עזר!$B$2:$B$5001,עזר!L4606))</f>
        <v/>
      </c>
      <c r="C4606" s="13" t="str">
        <f aca="false">עזר!M4606</f>
        <v/>
      </c>
    </row>
    <row r="4607" customFormat="false" ht="15" hidden="false" customHeight="false" outlineLevel="0" collapsed="false">
      <c r="A4607" s="13" t="str">
        <f aca="false">IF(עזר!L4607="","",INDEX(עזר!$A$2:$A$5001,עזר!L4607))</f>
        <v/>
      </c>
      <c r="B4607" s="13" t="str">
        <f aca="false">IF(עזר!L4607="","",INDEX(עזר!$B$2:$B$5001,עזר!L4607))</f>
        <v/>
      </c>
      <c r="C4607" s="13" t="str">
        <f aca="false">עזר!M4607</f>
        <v/>
      </c>
    </row>
    <row r="4608" customFormat="false" ht="15" hidden="false" customHeight="false" outlineLevel="0" collapsed="false">
      <c r="A4608" s="13" t="str">
        <f aca="false">IF(עזר!L4608="","",INDEX(עזר!$A$2:$A$5001,עזר!L4608))</f>
        <v/>
      </c>
      <c r="B4608" s="13" t="str">
        <f aca="false">IF(עזר!L4608="","",INDEX(עזר!$B$2:$B$5001,עזר!L4608))</f>
        <v/>
      </c>
      <c r="C4608" s="13" t="str">
        <f aca="false">עזר!M4608</f>
        <v/>
      </c>
    </row>
    <row r="4609" customFormat="false" ht="15" hidden="false" customHeight="false" outlineLevel="0" collapsed="false">
      <c r="A4609" s="13" t="str">
        <f aca="false">IF(עזר!L4609="","",INDEX(עזר!$A$2:$A$5001,עזר!L4609))</f>
        <v/>
      </c>
      <c r="B4609" s="13" t="str">
        <f aca="false">IF(עזר!L4609="","",INDEX(עזר!$B$2:$B$5001,עזר!L4609))</f>
        <v/>
      </c>
      <c r="C4609" s="13" t="str">
        <f aca="false">עזר!M4609</f>
        <v/>
      </c>
    </row>
    <row r="4610" customFormat="false" ht="15" hidden="false" customHeight="false" outlineLevel="0" collapsed="false">
      <c r="A4610" s="13" t="str">
        <f aca="false">IF(עזר!L4610="","",INDEX(עזר!$A$2:$A$5001,עזר!L4610))</f>
        <v/>
      </c>
      <c r="B4610" s="13" t="str">
        <f aca="false">IF(עזר!L4610="","",INDEX(עזר!$B$2:$B$5001,עזר!L4610))</f>
        <v/>
      </c>
      <c r="C4610" s="13" t="str">
        <f aca="false">עזר!M4610</f>
        <v/>
      </c>
    </row>
    <row r="4611" customFormat="false" ht="15" hidden="false" customHeight="false" outlineLevel="0" collapsed="false">
      <c r="A4611" s="13" t="str">
        <f aca="false">IF(עזר!L4611="","",INDEX(עזר!$A$2:$A$5001,עזר!L4611))</f>
        <v/>
      </c>
      <c r="B4611" s="13" t="str">
        <f aca="false">IF(עזר!L4611="","",INDEX(עזר!$B$2:$B$5001,עזר!L4611))</f>
        <v/>
      </c>
      <c r="C4611" s="13" t="str">
        <f aca="false">עזר!M4611</f>
        <v/>
      </c>
    </row>
    <row r="4612" customFormat="false" ht="15" hidden="false" customHeight="false" outlineLevel="0" collapsed="false">
      <c r="A4612" s="13" t="str">
        <f aca="false">IF(עזר!L4612="","",INDEX(עזר!$A$2:$A$5001,עזר!L4612))</f>
        <v/>
      </c>
      <c r="B4612" s="13" t="str">
        <f aca="false">IF(עזר!L4612="","",INDEX(עזר!$B$2:$B$5001,עזר!L4612))</f>
        <v/>
      </c>
      <c r="C4612" s="13" t="str">
        <f aca="false">עזר!M4612</f>
        <v/>
      </c>
    </row>
    <row r="4613" customFormat="false" ht="15" hidden="false" customHeight="false" outlineLevel="0" collapsed="false">
      <c r="A4613" s="13" t="str">
        <f aca="false">IF(עזר!L4613="","",INDEX(עזר!$A$2:$A$5001,עזר!L4613))</f>
        <v/>
      </c>
      <c r="B4613" s="13" t="str">
        <f aca="false">IF(עזר!L4613="","",INDEX(עזר!$B$2:$B$5001,עזר!L4613))</f>
        <v/>
      </c>
      <c r="C4613" s="13" t="str">
        <f aca="false">עזר!M4613</f>
        <v/>
      </c>
    </row>
    <row r="4614" customFormat="false" ht="15" hidden="false" customHeight="false" outlineLevel="0" collapsed="false">
      <c r="A4614" s="13" t="str">
        <f aca="false">IF(עזר!L4614="","",INDEX(עזר!$A$2:$A$5001,עזר!L4614))</f>
        <v/>
      </c>
      <c r="B4614" s="13" t="str">
        <f aca="false">IF(עזר!L4614="","",INDEX(עזר!$B$2:$B$5001,עזר!L4614))</f>
        <v/>
      </c>
      <c r="C4614" s="13" t="str">
        <f aca="false">עזר!M4614</f>
        <v/>
      </c>
    </row>
    <row r="4615" customFormat="false" ht="15" hidden="false" customHeight="false" outlineLevel="0" collapsed="false">
      <c r="A4615" s="13" t="str">
        <f aca="false">IF(עזר!L4615="","",INDEX(עזר!$A$2:$A$5001,עזר!L4615))</f>
        <v/>
      </c>
      <c r="B4615" s="13" t="str">
        <f aca="false">IF(עזר!L4615="","",INDEX(עזר!$B$2:$B$5001,עזר!L4615))</f>
        <v/>
      </c>
      <c r="C4615" s="13" t="str">
        <f aca="false">עזר!M4615</f>
        <v/>
      </c>
    </row>
    <row r="4616" customFormat="false" ht="15" hidden="false" customHeight="false" outlineLevel="0" collapsed="false">
      <c r="A4616" s="13" t="str">
        <f aca="false">IF(עזר!L4616="","",INDEX(עזר!$A$2:$A$5001,עזר!L4616))</f>
        <v/>
      </c>
      <c r="B4616" s="13" t="str">
        <f aca="false">IF(עזר!L4616="","",INDEX(עזר!$B$2:$B$5001,עזר!L4616))</f>
        <v/>
      </c>
      <c r="C4616" s="13" t="str">
        <f aca="false">עזר!M4616</f>
        <v/>
      </c>
    </row>
    <row r="4617" customFormat="false" ht="15" hidden="false" customHeight="false" outlineLevel="0" collapsed="false">
      <c r="A4617" s="13" t="str">
        <f aca="false">IF(עזר!L4617="","",INDEX(עזר!$A$2:$A$5001,עזר!L4617))</f>
        <v/>
      </c>
      <c r="B4617" s="13" t="str">
        <f aca="false">IF(עזר!L4617="","",INDEX(עזר!$B$2:$B$5001,עזר!L4617))</f>
        <v/>
      </c>
      <c r="C4617" s="13" t="str">
        <f aca="false">עזר!M4617</f>
        <v/>
      </c>
    </row>
    <row r="4618" customFormat="false" ht="15" hidden="false" customHeight="false" outlineLevel="0" collapsed="false">
      <c r="A4618" s="13" t="str">
        <f aca="false">IF(עזר!L4618="","",INDEX(עזר!$A$2:$A$5001,עזר!L4618))</f>
        <v/>
      </c>
      <c r="B4618" s="13" t="str">
        <f aca="false">IF(עזר!L4618="","",INDEX(עזר!$B$2:$B$5001,עזר!L4618))</f>
        <v/>
      </c>
      <c r="C4618" s="13" t="str">
        <f aca="false">עזר!M4618</f>
        <v/>
      </c>
    </row>
    <row r="4619" customFormat="false" ht="15" hidden="false" customHeight="false" outlineLevel="0" collapsed="false">
      <c r="A4619" s="13" t="str">
        <f aca="false">IF(עזר!L4619="","",INDEX(עזר!$A$2:$A$5001,עזר!L4619))</f>
        <v/>
      </c>
      <c r="B4619" s="13" t="str">
        <f aca="false">IF(עזר!L4619="","",INDEX(עזר!$B$2:$B$5001,עזר!L4619))</f>
        <v/>
      </c>
      <c r="C4619" s="13" t="str">
        <f aca="false">עזר!M4619</f>
        <v/>
      </c>
    </row>
    <row r="4620" customFormat="false" ht="15" hidden="false" customHeight="false" outlineLevel="0" collapsed="false">
      <c r="A4620" s="13" t="str">
        <f aca="false">IF(עזר!L4620="","",INDEX(עזר!$A$2:$A$5001,עזר!L4620))</f>
        <v/>
      </c>
      <c r="B4620" s="13" t="str">
        <f aca="false">IF(עזר!L4620="","",INDEX(עזר!$B$2:$B$5001,עזר!L4620))</f>
        <v/>
      </c>
      <c r="C4620" s="13" t="str">
        <f aca="false">עזר!M4620</f>
        <v/>
      </c>
    </row>
    <row r="4621" customFormat="false" ht="15" hidden="false" customHeight="false" outlineLevel="0" collapsed="false">
      <c r="A4621" s="13" t="str">
        <f aca="false">IF(עזר!L4621="","",INDEX(עזר!$A$2:$A$5001,עזר!L4621))</f>
        <v/>
      </c>
      <c r="B4621" s="13" t="str">
        <f aca="false">IF(עזר!L4621="","",INDEX(עזר!$B$2:$B$5001,עזר!L4621))</f>
        <v/>
      </c>
      <c r="C4621" s="13" t="str">
        <f aca="false">עזר!M4621</f>
        <v/>
      </c>
    </row>
    <row r="4622" customFormat="false" ht="15" hidden="false" customHeight="false" outlineLevel="0" collapsed="false">
      <c r="A4622" s="13" t="str">
        <f aca="false">IF(עזר!L4622="","",INDEX(עזר!$A$2:$A$5001,עזר!L4622))</f>
        <v/>
      </c>
      <c r="B4622" s="13" t="str">
        <f aca="false">IF(עזר!L4622="","",INDEX(עזר!$B$2:$B$5001,עזר!L4622))</f>
        <v/>
      </c>
      <c r="C4622" s="13" t="str">
        <f aca="false">עזר!M4622</f>
        <v/>
      </c>
    </row>
    <row r="4623" customFormat="false" ht="15" hidden="false" customHeight="false" outlineLevel="0" collapsed="false">
      <c r="A4623" s="13" t="str">
        <f aca="false">IF(עזר!L4623="","",INDEX(עזר!$A$2:$A$5001,עזר!L4623))</f>
        <v/>
      </c>
      <c r="B4623" s="13" t="str">
        <f aca="false">IF(עזר!L4623="","",INDEX(עזר!$B$2:$B$5001,עזר!L4623))</f>
        <v/>
      </c>
      <c r="C4623" s="13" t="str">
        <f aca="false">עזר!M4623</f>
        <v/>
      </c>
    </row>
    <row r="4624" customFormat="false" ht="15" hidden="false" customHeight="false" outlineLevel="0" collapsed="false">
      <c r="A4624" s="13" t="str">
        <f aca="false">IF(עזר!L4624="","",INDEX(עזר!$A$2:$A$5001,עזר!L4624))</f>
        <v/>
      </c>
      <c r="B4624" s="13" t="str">
        <f aca="false">IF(עזר!L4624="","",INDEX(עזר!$B$2:$B$5001,עזר!L4624))</f>
        <v/>
      </c>
      <c r="C4624" s="13" t="str">
        <f aca="false">עזר!M4624</f>
        <v/>
      </c>
    </row>
    <row r="4625" customFormat="false" ht="15" hidden="false" customHeight="false" outlineLevel="0" collapsed="false">
      <c r="A4625" s="13" t="str">
        <f aca="false">IF(עזר!L4625="","",INDEX(עזר!$A$2:$A$5001,עזר!L4625))</f>
        <v/>
      </c>
      <c r="B4625" s="13" t="str">
        <f aca="false">IF(עזר!L4625="","",INDEX(עזר!$B$2:$B$5001,עזר!L4625))</f>
        <v/>
      </c>
      <c r="C4625" s="13" t="str">
        <f aca="false">עזר!M4625</f>
        <v/>
      </c>
    </row>
    <row r="4626" customFormat="false" ht="15" hidden="false" customHeight="false" outlineLevel="0" collapsed="false">
      <c r="A4626" s="13" t="str">
        <f aca="false">IF(עזר!L4626="","",INDEX(עזר!$A$2:$A$5001,עזר!L4626))</f>
        <v/>
      </c>
      <c r="B4626" s="13" t="str">
        <f aca="false">IF(עזר!L4626="","",INDEX(עזר!$B$2:$B$5001,עזר!L4626))</f>
        <v/>
      </c>
      <c r="C4626" s="13" t="str">
        <f aca="false">עזר!M4626</f>
        <v/>
      </c>
    </row>
    <row r="4627" customFormat="false" ht="15" hidden="false" customHeight="false" outlineLevel="0" collapsed="false">
      <c r="A4627" s="13" t="str">
        <f aca="false">IF(עזר!L4627="","",INDEX(עזר!$A$2:$A$5001,עזר!L4627))</f>
        <v/>
      </c>
      <c r="B4627" s="13" t="str">
        <f aca="false">IF(עזר!L4627="","",INDEX(עזר!$B$2:$B$5001,עזר!L4627))</f>
        <v/>
      </c>
      <c r="C4627" s="13" t="str">
        <f aca="false">עזר!M4627</f>
        <v/>
      </c>
    </row>
    <row r="4628" customFormat="false" ht="15" hidden="false" customHeight="false" outlineLevel="0" collapsed="false">
      <c r="A4628" s="13" t="str">
        <f aca="false">IF(עזר!L4628="","",INDEX(עזר!$A$2:$A$5001,עזר!L4628))</f>
        <v/>
      </c>
      <c r="B4628" s="13" t="str">
        <f aca="false">IF(עזר!L4628="","",INDEX(עזר!$B$2:$B$5001,עזר!L4628))</f>
        <v/>
      </c>
      <c r="C4628" s="13" t="str">
        <f aca="false">עזר!M4628</f>
        <v/>
      </c>
    </row>
    <row r="4629" customFormat="false" ht="15" hidden="false" customHeight="false" outlineLevel="0" collapsed="false">
      <c r="A4629" s="13" t="str">
        <f aca="false">IF(עזר!L4629="","",INDEX(עזר!$A$2:$A$5001,עזר!L4629))</f>
        <v/>
      </c>
      <c r="B4629" s="13" t="str">
        <f aca="false">IF(עזר!L4629="","",INDEX(עזר!$B$2:$B$5001,עזר!L4629))</f>
        <v/>
      </c>
      <c r="C4629" s="13" t="str">
        <f aca="false">עזר!M4629</f>
        <v/>
      </c>
    </row>
    <row r="4630" customFormat="false" ht="15" hidden="false" customHeight="false" outlineLevel="0" collapsed="false">
      <c r="A4630" s="13" t="str">
        <f aca="false">IF(עזר!L4630="","",INDEX(עזר!$A$2:$A$5001,עזר!L4630))</f>
        <v/>
      </c>
      <c r="B4630" s="13" t="str">
        <f aca="false">IF(עזר!L4630="","",INDEX(עזר!$B$2:$B$5001,עזר!L4630))</f>
        <v/>
      </c>
      <c r="C4630" s="13" t="str">
        <f aca="false">עזר!M4630</f>
        <v/>
      </c>
    </row>
    <row r="4631" customFormat="false" ht="15" hidden="false" customHeight="false" outlineLevel="0" collapsed="false">
      <c r="A4631" s="13" t="str">
        <f aca="false">IF(עזר!L4631="","",INDEX(עזר!$A$2:$A$5001,עזר!L4631))</f>
        <v/>
      </c>
      <c r="B4631" s="13" t="str">
        <f aca="false">IF(עזר!L4631="","",INDEX(עזר!$B$2:$B$5001,עזר!L4631))</f>
        <v/>
      </c>
      <c r="C4631" s="13" t="str">
        <f aca="false">עזר!M4631</f>
        <v/>
      </c>
    </row>
    <row r="4632" customFormat="false" ht="15" hidden="false" customHeight="false" outlineLevel="0" collapsed="false">
      <c r="A4632" s="13" t="str">
        <f aca="false">IF(עזר!L4632="","",INDEX(עזר!$A$2:$A$5001,עזר!L4632))</f>
        <v/>
      </c>
      <c r="B4632" s="13" t="str">
        <f aca="false">IF(עזר!L4632="","",INDEX(עזר!$B$2:$B$5001,עזר!L4632))</f>
        <v/>
      </c>
      <c r="C4632" s="13" t="str">
        <f aca="false">עזר!M4632</f>
        <v/>
      </c>
    </row>
    <row r="4633" customFormat="false" ht="15" hidden="false" customHeight="false" outlineLevel="0" collapsed="false">
      <c r="A4633" s="13" t="str">
        <f aca="false">IF(עזר!L4633="","",INDEX(עזר!$A$2:$A$5001,עזר!L4633))</f>
        <v/>
      </c>
      <c r="B4633" s="13" t="str">
        <f aca="false">IF(עזר!L4633="","",INDEX(עזר!$B$2:$B$5001,עזר!L4633))</f>
        <v/>
      </c>
      <c r="C4633" s="13" t="str">
        <f aca="false">עזר!M4633</f>
        <v/>
      </c>
    </row>
    <row r="4634" customFormat="false" ht="15" hidden="false" customHeight="false" outlineLevel="0" collapsed="false">
      <c r="A4634" s="13" t="str">
        <f aca="false">IF(עזר!L4634="","",INDEX(עזר!$A$2:$A$5001,עזר!L4634))</f>
        <v/>
      </c>
      <c r="B4634" s="13" t="str">
        <f aca="false">IF(עזר!L4634="","",INDEX(עזר!$B$2:$B$5001,עזר!L4634))</f>
        <v/>
      </c>
      <c r="C4634" s="13" t="str">
        <f aca="false">עזר!M4634</f>
        <v/>
      </c>
    </row>
    <row r="4635" customFormat="false" ht="15" hidden="false" customHeight="false" outlineLevel="0" collapsed="false">
      <c r="A4635" s="13" t="str">
        <f aca="false">IF(עזר!L4635="","",INDEX(עזר!$A$2:$A$5001,עזר!L4635))</f>
        <v/>
      </c>
      <c r="B4635" s="13" t="str">
        <f aca="false">IF(עזר!L4635="","",INDEX(עזר!$B$2:$B$5001,עזר!L4635))</f>
        <v/>
      </c>
      <c r="C4635" s="13" t="str">
        <f aca="false">עזר!M4635</f>
        <v/>
      </c>
    </row>
    <row r="4636" customFormat="false" ht="15" hidden="false" customHeight="false" outlineLevel="0" collapsed="false">
      <c r="A4636" s="13" t="str">
        <f aca="false">IF(עזר!L4636="","",INDEX(עזר!$A$2:$A$5001,עזר!L4636))</f>
        <v/>
      </c>
      <c r="B4636" s="13" t="str">
        <f aca="false">IF(עזר!L4636="","",INDEX(עזר!$B$2:$B$5001,עזר!L4636))</f>
        <v/>
      </c>
      <c r="C4636" s="13" t="str">
        <f aca="false">עזר!M4636</f>
        <v/>
      </c>
    </row>
    <row r="4637" customFormat="false" ht="15" hidden="false" customHeight="false" outlineLevel="0" collapsed="false">
      <c r="A4637" s="13" t="str">
        <f aca="false">IF(עזר!L4637="","",INDEX(עזר!$A$2:$A$5001,עזר!L4637))</f>
        <v/>
      </c>
      <c r="B4637" s="13" t="str">
        <f aca="false">IF(עזר!L4637="","",INDEX(עזר!$B$2:$B$5001,עזר!L4637))</f>
        <v/>
      </c>
      <c r="C4637" s="13" t="str">
        <f aca="false">עזר!M4637</f>
        <v/>
      </c>
    </row>
    <row r="4638" customFormat="false" ht="15" hidden="false" customHeight="false" outlineLevel="0" collapsed="false">
      <c r="A4638" s="13" t="str">
        <f aca="false">IF(עזר!L4638="","",INDEX(עזר!$A$2:$A$5001,עזר!L4638))</f>
        <v/>
      </c>
      <c r="B4638" s="13" t="str">
        <f aca="false">IF(עזר!L4638="","",INDEX(עזר!$B$2:$B$5001,עזר!L4638))</f>
        <v/>
      </c>
      <c r="C4638" s="13" t="str">
        <f aca="false">עזר!M4638</f>
        <v/>
      </c>
    </row>
    <row r="4639" customFormat="false" ht="15" hidden="false" customHeight="false" outlineLevel="0" collapsed="false">
      <c r="A4639" s="13" t="str">
        <f aca="false">IF(עזר!L4639="","",INDEX(עזר!$A$2:$A$5001,עזר!L4639))</f>
        <v/>
      </c>
      <c r="B4639" s="13" t="str">
        <f aca="false">IF(עזר!L4639="","",INDEX(עזר!$B$2:$B$5001,עזר!L4639))</f>
        <v/>
      </c>
      <c r="C4639" s="13" t="str">
        <f aca="false">עזר!M4639</f>
        <v/>
      </c>
    </row>
    <row r="4640" customFormat="false" ht="15" hidden="false" customHeight="false" outlineLevel="0" collapsed="false">
      <c r="A4640" s="13" t="str">
        <f aca="false">IF(עזר!L4640="","",INDEX(עזר!$A$2:$A$5001,עזר!L4640))</f>
        <v/>
      </c>
      <c r="B4640" s="13" t="str">
        <f aca="false">IF(עזר!L4640="","",INDEX(עזר!$B$2:$B$5001,עזר!L4640))</f>
        <v/>
      </c>
      <c r="C4640" s="13" t="str">
        <f aca="false">עזר!M4640</f>
        <v/>
      </c>
    </row>
    <row r="4641" customFormat="false" ht="15" hidden="false" customHeight="false" outlineLevel="0" collapsed="false">
      <c r="A4641" s="13" t="str">
        <f aca="false">IF(עזר!L4641="","",INDEX(עזר!$A$2:$A$5001,עזר!L4641))</f>
        <v/>
      </c>
      <c r="B4641" s="13" t="str">
        <f aca="false">IF(עזר!L4641="","",INDEX(עזר!$B$2:$B$5001,עזר!L4641))</f>
        <v/>
      </c>
      <c r="C4641" s="13" t="str">
        <f aca="false">עזר!M4641</f>
        <v/>
      </c>
    </row>
    <row r="4642" customFormat="false" ht="15" hidden="false" customHeight="false" outlineLevel="0" collapsed="false">
      <c r="A4642" s="13" t="str">
        <f aca="false">IF(עזר!L4642="","",INDEX(עזר!$A$2:$A$5001,עזר!L4642))</f>
        <v/>
      </c>
      <c r="B4642" s="13" t="str">
        <f aca="false">IF(עזר!L4642="","",INDEX(עזר!$B$2:$B$5001,עזר!L4642))</f>
        <v/>
      </c>
      <c r="C4642" s="13" t="str">
        <f aca="false">עזר!M4642</f>
        <v/>
      </c>
    </row>
    <row r="4643" customFormat="false" ht="15" hidden="false" customHeight="false" outlineLevel="0" collapsed="false">
      <c r="A4643" s="13" t="str">
        <f aca="false">IF(עזר!L4643="","",INDEX(עזר!$A$2:$A$5001,עזר!L4643))</f>
        <v/>
      </c>
      <c r="B4643" s="13" t="str">
        <f aca="false">IF(עזר!L4643="","",INDEX(עזר!$B$2:$B$5001,עזר!L4643))</f>
        <v/>
      </c>
      <c r="C4643" s="13" t="str">
        <f aca="false">עזר!M4643</f>
        <v/>
      </c>
    </row>
    <row r="4644" customFormat="false" ht="15" hidden="false" customHeight="false" outlineLevel="0" collapsed="false">
      <c r="A4644" s="13" t="str">
        <f aca="false">IF(עזר!L4644="","",INDEX(עזר!$A$2:$A$5001,עזר!L4644))</f>
        <v/>
      </c>
      <c r="B4644" s="13" t="str">
        <f aca="false">IF(עזר!L4644="","",INDEX(עזר!$B$2:$B$5001,עזר!L4644))</f>
        <v/>
      </c>
      <c r="C4644" s="13" t="str">
        <f aca="false">עזר!M4644</f>
        <v/>
      </c>
    </row>
    <row r="4645" customFormat="false" ht="15" hidden="false" customHeight="false" outlineLevel="0" collapsed="false">
      <c r="A4645" s="13" t="str">
        <f aca="false">IF(עזר!L4645="","",INDEX(עזר!$A$2:$A$5001,עזר!L4645))</f>
        <v/>
      </c>
      <c r="B4645" s="13" t="str">
        <f aca="false">IF(עזר!L4645="","",INDEX(עזר!$B$2:$B$5001,עזר!L4645))</f>
        <v/>
      </c>
      <c r="C4645" s="13" t="str">
        <f aca="false">עזר!M4645</f>
        <v/>
      </c>
    </row>
    <row r="4646" customFormat="false" ht="15" hidden="false" customHeight="false" outlineLevel="0" collapsed="false">
      <c r="A4646" s="13" t="str">
        <f aca="false">IF(עזר!L4646="","",INDEX(עזר!$A$2:$A$5001,עזר!L4646))</f>
        <v/>
      </c>
      <c r="B4646" s="13" t="str">
        <f aca="false">IF(עזר!L4646="","",INDEX(עזר!$B$2:$B$5001,עזר!L4646))</f>
        <v/>
      </c>
      <c r="C4646" s="13" t="str">
        <f aca="false">עזר!M4646</f>
        <v/>
      </c>
    </row>
    <row r="4647" customFormat="false" ht="15" hidden="false" customHeight="false" outlineLevel="0" collapsed="false">
      <c r="A4647" s="13" t="str">
        <f aca="false">IF(עזר!L4647="","",INDEX(עזר!$A$2:$A$5001,עזר!L4647))</f>
        <v/>
      </c>
      <c r="B4647" s="13" t="str">
        <f aca="false">IF(עזר!L4647="","",INDEX(עזר!$B$2:$B$5001,עזר!L4647))</f>
        <v/>
      </c>
      <c r="C4647" s="13" t="str">
        <f aca="false">עזר!M4647</f>
        <v/>
      </c>
    </row>
    <row r="4648" customFormat="false" ht="15" hidden="false" customHeight="false" outlineLevel="0" collapsed="false">
      <c r="A4648" s="13" t="str">
        <f aca="false">IF(עזר!L4648="","",INDEX(עזר!$A$2:$A$5001,עזר!L4648))</f>
        <v/>
      </c>
      <c r="B4648" s="13" t="str">
        <f aca="false">IF(עזר!L4648="","",INDEX(עזר!$B$2:$B$5001,עזר!L4648))</f>
        <v/>
      </c>
      <c r="C4648" s="13" t="str">
        <f aca="false">עזר!M4648</f>
        <v/>
      </c>
    </row>
    <row r="4649" customFormat="false" ht="15" hidden="false" customHeight="false" outlineLevel="0" collapsed="false">
      <c r="A4649" s="13" t="str">
        <f aca="false">IF(עזר!L4649="","",INDEX(עזר!$A$2:$A$5001,עזר!L4649))</f>
        <v/>
      </c>
      <c r="B4649" s="13" t="str">
        <f aca="false">IF(עזר!L4649="","",INDEX(עזר!$B$2:$B$5001,עזר!L4649))</f>
        <v/>
      </c>
      <c r="C4649" s="13" t="str">
        <f aca="false">עזר!M4649</f>
        <v/>
      </c>
    </row>
    <row r="4650" customFormat="false" ht="15" hidden="false" customHeight="false" outlineLevel="0" collapsed="false">
      <c r="A4650" s="13" t="str">
        <f aca="false">IF(עזר!L4650="","",INDEX(עזר!$A$2:$A$5001,עזר!L4650))</f>
        <v/>
      </c>
      <c r="B4650" s="13" t="str">
        <f aca="false">IF(עזר!L4650="","",INDEX(עזר!$B$2:$B$5001,עזר!L4650))</f>
        <v/>
      </c>
      <c r="C4650" s="13" t="str">
        <f aca="false">עזר!M4650</f>
        <v/>
      </c>
    </row>
    <row r="4651" customFormat="false" ht="15" hidden="false" customHeight="false" outlineLevel="0" collapsed="false">
      <c r="A4651" s="13" t="str">
        <f aca="false">IF(עזר!L4651="","",INDEX(עזר!$A$2:$A$5001,עזר!L4651))</f>
        <v/>
      </c>
      <c r="B4651" s="13" t="str">
        <f aca="false">IF(עזר!L4651="","",INDEX(עזר!$B$2:$B$5001,עזר!L4651))</f>
        <v/>
      </c>
      <c r="C4651" s="13" t="str">
        <f aca="false">עזר!M4651</f>
        <v/>
      </c>
    </row>
    <row r="4652" customFormat="false" ht="15" hidden="false" customHeight="false" outlineLevel="0" collapsed="false">
      <c r="A4652" s="13" t="str">
        <f aca="false">IF(עזר!L4652="","",INDEX(עזר!$A$2:$A$5001,עזר!L4652))</f>
        <v/>
      </c>
      <c r="B4652" s="13" t="str">
        <f aca="false">IF(עזר!L4652="","",INDEX(עזר!$B$2:$B$5001,עזר!L4652))</f>
        <v/>
      </c>
      <c r="C4652" s="13" t="str">
        <f aca="false">עזר!M4652</f>
        <v/>
      </c>
    </row>
    <row r="4653" customFormat="false" ht="15" hidden="false" customHeight="false" outlineLevel="0" collapsed="false">
      <c r="A4653" s="13" t="str">
        <f aca="false">IF(עזר!L4653="","",INDEX(עזר!$A$2:$A$5001,עזר!L4653))</f>
        <v/>
      </c>
      <c r="B4653" s="13" t="str">
        <f aca="false">IF(עזר!L4653="","",INDEX(עזר!$B$2:$B$5001,עזר!L4653))</f>
        <v/>
      </c>
      <c r="C4653" s="13" t="str">
        <f aca="false">עזר!M4653</f>
        <v/>
      </c>
    </row>
    <row r="4654" customFormat="false" ht="15" hidden="false" customHeight="false" outlineLevel="0" collapsed="false">
      <c r="A4654" s="13" t="str">
        <f aca="false">IF(עזר!L4654="","",INDEX(עזר!$A$2:$A$5001,עזר!L4654))</f>
        <v/>
      </c>
      <c r="B4654" s="13" t="str">
        <f aca="false">IF(עזר!L4654="","",INDEX(עזר!$B$2:$B$5001,עזר!L4654))</f>
        <v/>
      </c>
      <c r="C4654" s="13" t="str">
        <f aca="false">עזר!M4654</f>
        <v/>
      </c>
    </row>
    <row r="4655" customFormat="false" ht="15" hidden="false" customHeight="false" outlineLevel="0" collapsed="false">
      <c r="A4655" s="13" t="str">
        <f aca="false">IF(עזר!L4655="","",INDEX(עזר!$A$2:$A$5001,עזר!L4655))</f>
        <v/>
      </c>
      <c r="B4655" s="13" t="str">
        <f aca="false">IF(עזר!L4655="","",INDEX(עזר!$B$2:$B$5001,עזר!L4655))</f>
        <v/>
      </c>
      <c r="C4655" s="13" t="str">
        <f aca="false">עזר!M4655</f>
        <v/>
      </c>
    </row>
    <row r="4656" customFormat="false" ht="15" hidden="false" customHeight="false" outlineLevel="0" collapsed="false">
      <c r="A4656" s="13" t="str">
        <f aca="false">IF(עזר!L4656="","",INDEX(עזר!$A$2:$A$5001,עזר!L4656))</f>
        <v/>
      </c>
      <c r="B4656" s="13" t="str">
        <f aca="false">IF(עזר!L4656="","",INDEX(עזר!$B$2:$B$5001,עזר!L4656))</f>
        <v/>
      </c>
      <c r="C4656" s="13" t="str">
        <f aca="false">עזר!M4656</f>
        <v/>
      </c>
    </row>
    <row r="4657" customFormat="false" ht="15" hidden="false" customHeight="false" outlineLevel="0" collapsed="false">
      <c r="A4657" s="13" t="str">
        <f aca="false">IF(עזר!L4657="","",INDEX(עזר!$A$2:$A$5001,עזר!L4657))</f>
        <v/>
      </c>
      <c r="B4657" s="13" t="str">
        <f aca="false">IF(עזר!L4657="","",INDEX(עזר!$B$2:$B$5001,עזר!L4657))</f>
        <v/>
      </c>
      <c r="C4657" s="13" t="str">
        <f aca="false">עזר!M4657</f>
        <v/>
      </c>
    </row>
    <row r="4658" customFormat="false" ht="15" hidden="false" customHeight="false" outlineLevel="0" collapsed="false">
      <c r="A4658" s="13" t="str">
        <f aca="false">IF(עזר!L4658="","",INDEX(עזר!$A$2:$A$5001,עזר!L4658))</f>
        <v/>
      </c>
      <c r="B4658" s="13" t="str">
        <f aca="false">IF(עזר!L4658="","",INDEX(עזר!$B$2:$B$5001,עזר!L4658))</f>
        <v/>
      </c>
      <c r="C4658" s="13" t="str">
        <f aca="false">עזר!M4658</f>
        <v/>
      </c>
    </row>
    <row r="4659" customFormat="false" ht="15" hidden="false" customHeight="false" outlineLevel="0" collapsed="false">
      <c r="A4659" s="13" t="str">
        <f aca="false">IF(עזר!L4659="","",INDEX(עזר!$A$2:$A$5001,עזר!L4659))</f>
        <v/>
      </c>
      <c r="B4659" s="13" t="str">
        <f aca="false">IF(עזר!L4659="","",INDEX(עזר!$B$2:$B$5001,עזר!L4659))</f>
        <v/>
      </c>
      <c r="C4659" s="13" t="str">
        <f aca="false">עזר!M4659</f>
        <v/>
      </c>
    </row>
    <row r="4660" customFormat="false" ht="15" hidden="false" customHeight="false" outlineLevel="0" collapsed="false">
      <c r="A4660" s="13" t="str">
        <f aca="false">IF(עזר!L4660="","",INDEX(עזר!$A$2:$A$5001,עזר!L4660))</f>
        <v/>
      </c>
      <c r="B4660" s="13" t="str">
        <f aca="false">IF(עזר!L4660="","",INDEX(עזר!$B$2:$B$5001,עזר!L4660))</f>
        <v/>
      </c>
      <c r="C4660" s="13" t="str">
        <f aca="false">עזר!M4660</f>
        <v/>
      </c>
    </row>
    <row r="4661" customFormat="false" ht="15" hidden="false" customHeight="false" outlineLevel="0" collapsed="false">
      <c r="A4661" s="13" t="str">
        <f aca="false">IF(עזר!L4661="","",INDEX(עזר!$A$2:$A$5001,עזר!L4661))</f>
        <v/>
      </c>
      <c r="B4661" s="13" t="str">
        <f aca="false">IF(עזר!L4661="","",INDEX(עזר!$B$2:$B$5001,עזר!L4661))</f>
        <v/>
      </c>
      <c r="C4661" s="13" t="str">
        <f aca="false">עזר!M4661</f>
        <v/>
      </c>
    </row>
    <row r="4662" customFormat="false" ht="15" hidden="false" customHeight="false" outlineLevel="0" collapsed="false">
      <c r="A4662" s="13" t="str">
        <f aca="false">IF(עזר!L4662="","",INDEX(עזר!$A$2:$A$5001,עזר!L4662))</f>
        <v/>
      </c>
      <c r="B4662" s="13" t="str">
        <f aca="false">IF(עזר!L4662="","",INDEX(עזר!$B$2:$B$5001,עזר!L4662))</f>
        <v/>
      </c>
      <c r="C4662" s="13" t="str">
        <f aca="false">עזר!M4662</f>
        <v/>
      </c>
    </row>
    <row r="4663" customFormat="false" ht="15" hidden="false" customHeight="false" outlineLevel="0" collapsed="false">
      <c r="A4663" s="13" t="str">
        <f aca="false">IF(עזר!L4663="","",INDEX(עזר!$A$2:$A$5001,עזר!L4663))</f>
        <v/>
      </c>
      <c r="B4663" s="13" t="str">
        <f aca="false">IF(עזר!L4663="","",INDEX(עזר!$B$2:$B$5001,עזר!L4663))</f>
        <v/>
      </c>
      <c r="C4663" s="13" t="str">
        <f aca="false">עזר!M4663</f>
        <v/>
      </c>
    </row>
    <row r="4664" customFormat="false" ht="15" hidden="false" customHeight="false" outlineLevel="0" collapsed="false">
      <c r="A4664" s="13" t="str">
        <f aca="false">IF(עזר!L4664="","",INDEX(עזר!$A$2:$A$5001,עזר!L4664))</f>
        <v/>
      </c>
      <c r="B4664" s="13" t="str">
        <f aca="false">IF(עזר!L4664="","",INDEX(עזר!$B$2:$B$5001,עזר!L4664))</f>
        <v/>
      </c>
      <c r="C4664" s="13" t="str">
        <f aca="false">עזר!M4664</f>
        <v/>
      </c>
    </row>
    <row r="4665" customFormat="false" ht="15" hidden="false" customHeight="false" outlineLevel="0" collapsed="false">
      <c r="A4665" s="13" t="str">
        <f aca="false">IF(עזר!L4665="","",INDEX(עזר!$A$2:$A$5001,עזר!L4665))</f>
        <v/>
      </c>
      <c r="B4665" s="13" t="str">
        <f aca="false">IF(עזר!L4665="","",INDEX(עזר!$B$2:$B$5001,עזר!L4665))</f>
        <v/>
      </c>
      <c r="C4665" s="13" t="str">
        <f aca="false">עזר!M4665</f>
        <v/>
      </c>
    </row>
    <row r="4666" customFormat="false" ht="15" hidden="false" customHeight="false" outlineLevel="0" collapsed="false">
      <c r="A4666" s="13" t="str">
        <f aca="false">IF(עזר!L4666="","",INDEX(עזר!$A$2:$A$5001,עזר!L4666))</f>
        <v/>
      </c>
      <c r="B4666" s="13" t="str">
        <f aca="false">IF(עזר!L4666="","",INDEX(עזר!$B$2:$B$5001,עזר!L4666))</f>
        <v/>
      </c>
      <c r="C4666" s="13" t="str">
        <f aca="false">עזר!M4666</f>
        <v/>
      </c>
    </row>
    <row r="4667" customFormat="false" ht="15" hidden="false" customHeight="false" outlineLevel="0" collapsed="false">
      <c r="A4667" s="13" t="str">
        <f aca="false">IF(עזר!L4667="","",INDEX(עזר!$A$2:$A$5001,עזר!L4667))</f>
        <v/>
      </c>
      <c r="B4667" s="13" t="str">
        <f aca="false">IF(עזר!L4667="","",INDEX(עזר!$B$2:$B$5001,עזר!L4667))</f>
        <v/>
      </c>
      <c r="C4667" s="13" t="str">
        <f aca="false">עזר!M4667</f>
        <v/>
      </c>
    </row>
    <row r="4668" customFormat="false" ht="15" hidden="false" customHeight="false" outlineLevel="0" collapsed="false">
      <c r="A4668" s="13" t="str">
        <f aca="false">IF(עזר!L4668="","",INDEX(עזר!$A$2:$A$5001,עזר!L4668))</f>
        <v/>
      </c>
      <c r="B4668" s="13" t="str">
        <f aca="false">IF(עזר!L4668="","",INDEX(עזר!$B$2:$B$5001,עזר!L4668))</f>
        <v/>
      </c>
      <c r="C4668" s="13" t="str">
        <f aca="false">עזר!M4668</f>
        <v/>
      </c>
    </row>
    <row r="4669" customFormat="false" ht="15" hidden="false" customHeight="false" outlineLevel="0" collapsed="false">
      <c r="A4669" s="13" t="str">
        <f aca="false">IF(עזר!L4669="","",INDEX(עזר!$A$2:$A$5001,עזר!L4669))</f>
        <v/>
      </c>
      <c r="B4669" s="13" t="str">
        <f aca="false">IF(עזר!L4669="","",INDEX(עזר!$B$2:$B$5001,עזר!L4669))</f>
        <v/>
      </c>
      <c r="C4669" s="13" t="str">
        <f aca="false">עזר!M4669</f>
        <v/>
      </c>
    </row>
    <row r="4670" customFormat="false" ht="15" hidden="false" customHeight="false" outlineLevel="0" collapsed="false">
      <c r="A4670" s="13" t="str">
        <f aca="false">IF(עזר!L4670="","",INDEX(עזר!$A$2:$A$5001,עזר!L4670))</f>
        <v/>
      </c>
      <c r="B4670" s="13" t="str">
        <f aca="false">IF(עזר!L4670="","",INDEX(עזר!$B$2:$B$5001,עזר!L4670))</f>
        <v/>
      </c>
      <c r="C4670" s="13" t="str">
        <f aca="false">עזר!M4670</f>
        <v/>
      </c>
    </row>
    <row r="4671" customFormat="false" ht="15" hidden="false" customHeight="false" outlineLevel="0" collapsed="false">
      <c r="A4671" s="13" t="str">
        <f aca="false">IF(עזר!L4671="","",INDEX(עזר!$A$2:$A$5001,עזר!L4671))</f>
        <v/>
      </c>
      <c r="B4671" s="13" t="str">
        <f aca="false">IF(עזר!L4671="","",INDEX(עזר!$B$2:$B$5001,עזר!L4671))</f>
        <v/>
      </c>
      <c r="C4671" s="13" t="str">
        <f aca="false">עזר!M4671</f>
        <v/>
      </c>
    </row>
    <row r="4672" customFormat="false" ht="15" hidden="false" customHeight="false" outlineLevel="0" collapsed="false">
      <c r="A4672" s="13" t="str">
        <f aca="false">IF(עזר!L4672="","",INDEX(עזר!$A$2:$A$5001,עזר!L4672))</f>
        <v/>
      </c>
      <c r="B4672" s="13" t="str">
        <f aca="false">IF(עזר!L4672="","",INDEX(עזר!$B$2:$B$5001,עזר!L4672))</f>
        <v/>
      </c>
      <c r="C4672" s="13" t="str">
        <f aca="false">עזר!M4672</f>
        <v/>
      </c>
    </row>
    <row r="4673" customFormat="false" ht="15" hidden="false" customHeight="false" outlineLevel="0" collapsed="false">
      <c r="A4673" s="13" t="str">
        <f aca="false">IF(עזר!L4673="","",INDEX(עזר!$A$2:$A$5001,עזר!L4673))</f>
        <v/>
      </c>
      <c r="B4673" s="13" t="str">
        <f aca="false">IF(עזר!L4673="","",INDEX(עזר!$B$2:$B$5001,עזר!L4673))</f>
        <v/>
      </c>
      <c r="C4673" s="13" t="str">
        <f aca="false">עזר!M4673</f>
        <v/>
      </c>
    </row>
    <row r="4674" customFormat="false" ht="15" hidden="false" customHeight="false" outlineLevel="0" collapsed="false">
      <c r="A4674" s="13" t="str">
        <f aca="false">IF(עזר!L4674="","",INDEX(עזר!$A$2:$A$5001,עזר!L4674))</f>
        <v/>
      </c>
      <c r="B4674" s="13" t="str">
        <f aca="false">IF(עזר!L4674="","",INDEX(עזר!$B$2:$B$5001,עזר!L4674))</f>
        <v/>
      </c>
      <c r="C4674" s="13" t="str">
        <f aca="false">עזר!M4674</f>
        <v/>
      </c>
    </row>
    <row r="4675" customFormat="false" ht="15" hidden="false" customHeight="false" outlineLevel="0" collapsed="false">
      <c r="A4675" s="13" t="str">
        <f aca="false">IF(עזר!L4675="","",INDEX(עזר!$A$2:$A$5001,עזר!L4675))</f>
        <v/>
      </c>
      <c r="B4675" s="13" t="str">
        <f aca="false">IF(עזר!L4675="","",INDEX(עזר!$B$2:$B$5001,עזר!L4675))</f>
        <v/>
      </c>
      <c r="C4675" s="13" t="str">
        <f aca="false">עזר!M4675</f>
        <v/>
      </c>
    </row>
    <row r="4676" customFormat="false" ht="15" hidden="false" customHeight="false" outlineLevel="0" collapsed="false">
      <c r="A4676" s="13" t="str">
        <f aca="false">IF(עזר!L4676="","",INDEX(עזר!$A$2:$A$5001,עזר!L4676))</f>
        <v/>
      </c>
      <c r="B4676" s="13" t="str">
        <f aca="false">IF(עזר!L4676="","",INDEX(עזר!$B$2:$B$5001,עזר!L4676))</f>
        <v/>
      </c>
      <c r="C4676" s="13" t="str">
        <f aca="false">עזר!M4676</f>
        <v/>
      </c>
    </row>
    <row r="4677" customFormat="false" ht="15" hidden="false" customHeight="false" outlineLevel="0" collapsed="false">
      <c r="A4677" s="13" t="str">
        <f aca="false">IF(עזר!L4677="","",INDEX(עזר!$A$2:$A$5001,עזר!L4677))</f>
        <v/>
      </c>
      <c r="B4677" s="13" t="str">
        <f aca="false">IF(עזר!L4677="","",INDEX(עזר!$B$2:$B$5001,עזר!L4677))</f>
        <v/>
      </c>
      <c r="C4677" s="13" t="str">
        <f aca="false">עזר!M4677</f>
        <v/>
      </c>
    </row>
    <row r="4678" customFormat="false" ht="15" hidden="false" customHeight="false" outlineLevel="0" collapsed="false">
      <c r="A4678" s="13" t="str">
        <f aca="false">IF(עזר!L4678="","",INDEX(עזר!$A$2:$A$5001,עזר!L4678))</f>
        <v/>
      </c>
      <c r="B4678" s="13" t="str">
        <f aca="false">IF(עזר!L4678="","",INDEX(עזר!$B$2:$B$5001,עזר!L4678))</f>
        <v/>
      </c>
      <c r="C4678" s="13" t="str">
        <f aca="false">עזר!M4678</f>
        <v/>
      </c>
    </row>
    <row r="4679" customFormat="false" ht="15" hidden="false" customHeight="false" outlineLevel="0" collapsed="false">
      <c r="A4679" s="13" t="str">
        <f aca="false">IF(עזר!L4679="","",INDEX(עזר!$A$2:$A$5001,עזר!L4679))</f>
        <v/>
      </c>
      <c r="B4679" s="13" t="str">
        <f aca="false">IF(עזר!L4679="","",INDEX(עזר!$B$2:$B$5001,עזר!L4679))</f>
        <v/>
      </c>
      <c r="C4679" s="13" t="str">
        <f aca="false">עזר!M4679</f>
        <v/>
      </c>
    </row>
    <row r="4680" customFormat="false" ht="15" hidden="false" customHeight="false" outlineLevel="0" collapsed="false">
      <c r="A4680" s="13" t="str">
        <f aca="false">IF(עזר!L4680="","",INDEX(עזר!$A$2:$A$5001,עזר!L4680))</f>
        <v/>
      </c>
      <c r="B4680" s="13" t="str">
        <f aca="false">IF(עזר!L4680="","",INDEX(עזר!$B$2:$B$5001,עזר!L4680))</f>
        <v/>
      </c>
      <c r="C4680" s="13" t="str">
        <f aca="false">עזר!M4680</f>
        <v/>
      </c>
    </row>
    <row r="4681" customFormat="false" ht="15" hidden="false" customHeight="false" outlineLevel="0" collapsed="false">
      <c r="A4681" s="13" t="str">
        <f aca="false">IF(עזר!L4681="","",INDEX(עזר!$A$2:$A$5001,עזר!L4681))</f>
        <v/>
      </c>
      <c r="B4681" s="13" t="str">
        <f aca="false">IF(עזר!L4681="","",INDEX(עזר!$B$2:$B$5001,עזר!L4681))</f>
        <v/>
      </c>
      <c r="C4681" s="13" t="str">
        <f aca="false">עזר!M4681</f>
        <v/>
      </c>
    </row>
    <row r="4682" customFormat="false" ht="15" hidden="false" customHeight="false" outlineLevel="0" collapsed="false">
      <c r="A4682" s="13" t="str">
        <f aca="false">IF(עזר!L4682="","",INDEX(עזר!$A$2:$A$5001,עזר!L4682))</f>
        <v/>
      </c>
      <c r="B4682" s="13" t="str">
        <f aca="false">IF(עזר!L4682="","",INDEX(עזר!$B$2:$B$5001,עזר!L4682))</f>
        <v/>
      </c>
      <c r="C4682" s="13" t="str">
        <f aca="false">עזר!M4682</f>
        <v/>
      </c>
    </row>
    <row r="4683" customFormat="false" ht="15" hidden="false" customHeight="false" outlineLevel="0" collapsed="false">
      <c r="A4683" s="13" t="str">
        <f aca="false">IF(עזר!L4683="","",INDEX(עזר!$A$2:$A$5001,עזר!L4683))</f>
        <v/>
      </c>
      <c r="B4683" s="13" t="str">
        <f aca="false">IF(עזר!L4683="","",INDEX(עזר!$B$2:$B$5001,עזר!L4683))</f>
        <v/>
      </c>
      <c r="C4683" s="13" t="str">
        <f aca="false">עזר!M4683</f>
        <v/>
      </c>
    </row>
    <row r="4684" customFormat="false" ht="15" hidden="false" customHeight="false" outlineLevel="0" collapsed="false">
      <c r="A4684" s="13" t="str">
        <f aca="false">IF(עזר!L4684="","",INDEX(עזר!$A$2:$A$5001,עזר!L4684))</f>
        <v/>
      </c>
      <c r="B4684" s="13" t="str">
        <f aca="false">IF(עזר!L4684="","",INDEX(עזר!$B$2:$B$5001,עזר!L4684))</f>
        <v/>
      </c>
      <c r="C4684" s="13" t="str">
        <f aca="false">עזר!M4684</f>
        <v/>
      </c>
    </row>
    <row r="4685" customFormat="false" ht="15" hidden="false" customHeight="false" outlineLevel="0" collapsed="false">
      <c r="A4685" s="13" t="str">
        <f aca="false">IF(עזר!L4685="","",INDEX(עזר!$A$2:$A$5001,עזר!L4685))</f>
        <v/>
      </c>
      <c r="B4685" s="13" t="str">
        <f aca="false">IF(עזר!L4685="","",INDEX(עזר!$B$2:$B$5001,עזר!L4685))</f>
        <v/>
      </c>
      <c r="C4685" s="13" t="str">
        <f aca="false">עזר!M4685</f>
        <v/>
      </c>
    </row>
    <row r="4686" customFormat="false" ht="15" hidden="false" customHeight="false" outlineLevel="0" collapsed="false">
      <c r="A4686" s="13" t="str">
        <f aca="false">IF(עזר!L4686="","",INDEX(עזר!$A$2:$A$5001,עזר!L4686))</f>
        <v/>
      </c>
      <c r="B4686" s="13" t="str">
        <f aca="false">IF(עזר!L4686="","",INDEX(עזר!$B$2:$B$5001,עזר!L4686))</f>
        <v/>
      </c>
      <c r="C4686" s="13" t="str">
        <f aca="false">עזר!M4686</f>
        <v/>
      </c>
    </row>
    <row r="4687" customFormat="false" ht="15" hidden="false" customHeight="false" outlineLevel="0" collapsed="false">
      <c r="A4687" s="13" t="str">
        <f aca="false">IF(עזר!L4687="","",INDEX(עזר!$A$2:$A$5001,עזר!L4687))</f>
        <v/>
      </c>
      <c r="B4687" s="13" t="str">
        <f aca="false">IF(עזר!L4687="","",INDEX(עזר!$B$2:$B$5001,עזר!L4687))</f>
        <v/>
      </c>
      <c r="C4687" s="13" t="str">
        <f aca="false">עזר!M4687</f>
        <v/>
      </c>
    </row>
    <row r="4688" customFormat="false" ht="15" hidden="false" customHeight="false" outlineLevel="0" collapsed="false">
      <c r="A4688" s="13" t="str">
        <f aca="false">IF(עזר!L4688="","",INDEX(עזר!$A$2:$A$5001,עזר!L4688))</f>
        <v/>
      </c>
      <c r="B4688" s="13" t="str">
        <f aca="false">IF(עזר!L4688="","",INDEX(עזר!$B$2:$B$5001,עזר!L4688))</f>
        <v/>
      </c>
      <c r="C4688" s="13" t="str">
        <f aca="false">עזר!M4688</f>
        <v/>
      </c>
    </row>
    <row r="4689" customFormat="false" ht="15" hidden="false" customHeight="false" outlineLevel="0" collapsed="false">
      <c r="A4689" s="13" t="str">
        <f aca="false">IF(עזר!L4689="","",INDEX(עזר!$A$2:$A$5001,עזר!L4689))</f>
        <v/>
      </c>
      <c r="B4689" s="13" t="str">
        <f aca="false">IF(עזר!L4689="","",INDEX(עזר!$B$2:$B$5001,עזר!L4689))</f>
        <v/>
      </c>
      <c r="C4689" s="13" t="str">
        <f aca="false">עזר!M4689</f>
        <v/>
      </c>
    </row>
    <row r="4690" customFormat="false" ht="15" hidden="false" customHeight="false" outlineLevel="0" collapsed="false">
      <c r="A4690" s="13" t="str">
        <f aca="false">IF(עזר!L4690="","",INDEX(עזר!$A$2:$A$5001,עזר!L4690))</f>
        <v/>
      </c>
      <c r="B4690" s="13" t="str">
        <f aca="false">IF(עזר!L4690="","",INDEX(עזר!$B$2:$B$5001,עזר!L4690))</f>
        <v/>
      </c>
      <c r="C4690" s="13" t="str">
        <f aca="false">עזר!M4690</f>
        <v/>
      </c>
    </row>
    <row r="4691" customFormat="false" ht="15" hidden="false" customHeight="false" outlineLevel="0" collapsed="false">
      <c r="A4691" s="13" t="str">
        <f aca="false">IF(עזר!L4691="","",INDEX(עזר!$A$2:$A$5001,עזר!L4691))</f>
        <v/>
      </c>
      <c r="B4691" s="13" t="str">
        <f aca="false">IF(עזר!L4691="","",INDEX(עזר!$B$2:$B$5001,עזר!L4691))</f>
        <v/>
      </c>
      <c r="C4691" s="13" t="str">
        <f aca="false">עזר!M4691</f>
        <v/>
      </c>
    </row>
    <row r="4692" customFormat="false" ht="15" hidden="false" customHeight="false" outlineLevel="0" collapsed="false">
      <c r="A4692" s="13" t="str">
        <f aca="false">IF(עזר!L4692="","",INDEX(עזר!$A$2:$A$5001,עזר!L4692))</f>
        <v/>
      </c>
      <c r="B4692" s="13" t="str">
        <f aca="false">IF(עזר!L4692="","",INDEX(עזר!$B$2:$B$5001,עזר!L4692))</f>
        <v/>
      </c>
      <c r="C4692" s="13" t="str">
        <f aca="false">עזר!M4692</f>
        <v/>
      </c>
    </row>
    <row r="4693" customFormat="false" ht="15" hidden="false" customHeight="false" outlineLevel="0" collapsed="false">
      <c r="A4693" s="13" t="str">
        <f aca="false">IF(עזר!L4693="","",INDEX(עזר!$A$2:$A$5001,עזר!L4693))</f>
        <v/>
      </c>
      <c r="B4693" s="13" t="str">
        <f aca="false">IF(עזר!L4693="","",INDEX(עזר!$B$2:$B$5001,עזר!L4693))</f>
        <v/>
      </c>
      <c r="C4693" s="13" t="str">
        <f aca="false">עזר!M4693</f>
        <v/>
      </c>
    </row>
    <row r="4694" customFormat="false" ht="15" hidden="false" customHeight="false" outlineLevel="0" collapsed="false">
      <c r="A4694" s="13" t="str">
        <f aca="false">IF(עזר!L4694="","",INDEX(עזר!$A$2:$A$5001,עזר!L4694))</f>
        <v/>
      </c>
      <c r="B4694" s="13" t="str">
        <f aca="false">IF(עזר!L4694="","",INDEX(עזר!$B$2:$B$5001,עזר!L4694))</f>
        <v/>
      </c>
      <c r="C4694" s="13" t="str">
        <f aca="false">עזר!M4694</f>
        <v/>
      </c>
    </row>
    <row r="4695" customFormat="false" ht="15" hidden="false" customHeight="false" outlineLevel="0" collapsed="false">
      <c r="A4695" s="13" t="str">
        <f aca="false">IF(עזר!L4695="","",INDEX(עזר!$A$2:$A$5001,עזר!L4695))</f>
        <v/>
      </c>
      <c r="B4695" s="13" t="str">
        <f aca="false">IF(עזר!L4695="","",INDEX(עזר!$B$2:$B$5001,עזר!L4695))</f>
        <v/>
      </c>
      <c r="C4695" s="13" t="str">
        <f aca="false">עזר!M4695</f>
        <v/>
      </c>
    </row>
    <row r="4696" customFormat="false" ht="15" hidden="false" customHeight="false" outlineLevel="0" collapsed="false">
      <c r="A4696" s="13" t="str">
        <f aca="false">IF(עזר!L4696="","",INDEX(עזר!$A$2:$A$5001,עזר!L4696))</f>
        <v/>
      </c>
      <c r="B4696" s="13" t="str">
        <f aca="false">IF(עזר!L4696="","",INDEX(עזר!$B$2:$B$5001,עזר!L4696))</f>
        <v/>
      </c>
      <c r="C4696" s="13" t="str">
        <f aca="false">עזר!M4696</f>
        <v/>
      </c>
    </row>
    <row r="4697" customFormat="false" ht="15" hidden="false" customHeight="false" outlineLevel="0" collapsed="false">
      <c r="A4697" s="13" t="str">
        <f aca="false">IF(עזר!L4697="","",INDEX(עזר!$A$2:$A$5001,עזר!L4697))</f>
        <v/>
      </c>
      <c r="B4697" s="13" t="str">
        <f aca="false">IF(עזר!L4697="","",INDEX(עזר!$B$2:$B$5001,עזר!L4697))</f>
        <v/>
      </c>
      <c r="C4697" s="13" t="str">
        <f aca="false">עזר!M4697</f>
        <v/>
      </c>
    </row>
    <row r="4698" customFormat="false" ht="15" hidden="false" customHeight="false" outlineLevel="0" collapsed="false">
      <c r="A4698" s="13" t="str">
        <f aca="false">IF(עזר!L4698="","",INDEX(עזר!$A$2:$A$5001,עזר!L4698))</f>
        <v/>
      </c>
      <c r="B4698" s="13" t="str">
        <f aca="false">IF(עזר!L4698="","",INDEX(עזר!$B$2:$B$5001,עזר!L4698))</f>
        <v/>
      </c>
      <c r="C4698" s="13" t="str">
        <f aca="false">עזר!M4698</f>
        <v/>
      </c>
    </row>
    <row r="4699" customFormat="false" ht="15" hidden="false" customHeight="false" outlineLevel="0" collapsed="false">
      <c r="A4699" s="13" t="str">
        <f aca="false">IF(עזר!L4699="","",INDEX(עזר!$A$2:$A$5001,עזר!L4699))</f>
        <v/>
      </c>
      <c r="B4699" s="13" t="str">
        <f aca="false">IF(עזר!L4699="","",INDEX(עזר!$B$2:$B$5001,עזר!L4699))</f>
        <v/>
      </c>
      <c r="C4699" s="13" t="str">
        <f aca="false">עזר!M4699</f>
        <v/>
      </c>
    </row>
    <row r="4700" customFormat="false" ht="15" hidden="false" customHeight="false" outlineLevel="0" collapsed="false">
      <c r="A4700" s="13" t="str">
        <f aca="false">IF(עזר!L4700="","",INDEX(עזר!$A$2:$A$5001,עזר!L4700))</f>
        <v/>
      </c>
      <c r="B4700" s="13" t="str">
        <f aca="false">IF(עזר!L4700="","",INDEX(עזר!$B$2:$B$5001,עזר!L4700))</f>
        <v/>
      </c>
      <c r="C4700" s="13" t="str">
        <f aca="false">עזר!M4700</f>
        <v/>
      </c>
    </row>
    <row r="4701" customFormat="false" ht="15" hidden="false" customHeight="false" outlineLevel="0" collapsed="false">
      <c r="A4701" s="13" t="str">
        <f aca="false">IF(עזר!L4701="","",INDEX(עזר!$A$2:$A$5001,עזר!L4701))</f>
        <v/>
      </c>
      <c r="B4701" s="13" t="str">
        <f aca="false">IF(עזר!L4701="","",INDEX(עזר!$B$2:$B$5001,עזר!L4701))</f>
        <v/>
      </c>
      <c r="C4701" s="13" t="str">
        <f aca="false">עזר!M4701</f>
        <v/>
      </c>
    </row>
    <row r="4702" customFormat="false" ht="15" hidden="false" customHeight="false" outlineLevel="0" collapsed="false">
      <c r="A4702" s="13" t="str">
        <f aca="false">IF(עזר!L4702="","",INDEX(עזר!$A$2:$A$5001,עזר!L4702))</f>
        <v/>
      </c>
      <c r="B4702" s="13" t="str">
        <f aca="false">IF(עזר!L4702="","",INDEX(עזר!$B$2:$B$5001,עזר!L4702))</f>
        <v/>
      </c>
      <c r="C4702" s="13" t="str">
        <f aca="false">עזר!M4702</f>
        <v/>
      </c>
    </row>
    <row r="4703" customFormat="false" ht="15" hidden="false" customHeight="false" outlineLevel="0" collapsed="false">
      <c r="A4703" s="13" t="str">
        <f aca="false">IF(עזר!L4703="","",INDEX(עזר!$A$2:$A$5001,עזר!L4703))</f>
        <v/>
      </c>
      <c r="B4703" s="13" t="str">
        <f aca="false">IF(עזר!L4703="","",INDEX(עזר!$B$2:$B$5001,עזר!L4703))</f>
        <v/>
      </c>
      <c r="C4703" s="13" t="str">
        <f aca="false">עזר!M4703</f>
        <v/>
      </c>
    </row>
    <row r="4704" customFormat="false" ht="15" hidden="false" customHeight="false" outlineLevel="0" collapsed="false">
      <c r="A4704" s="13" t="str">
        <f aca="false">IF(עזר!L4704="","",INDEX(עזר!$A$2:$A$5001,עזר!L4704))</f>
        <v/>
      </c>
      <c r="B4704" s="13" t="str">
        <f aca="false">IF(עזר!L4704="","",INDEX(עזר!$B$2:$B$5001,עזר!L4704))</f>
        <v/>
      </c>
      <c r="C4704" s="13" t="str">
        <f aca="false">עזר!M4704</f>
        <v/>
      </c>
    </row>
    <row r="4705" customFormat="false" ht="15" hidden="false" customHeight="false" outlineLevel="0" collapsed="false">
      <c r="A4705" s="13" t="str">
        <f aca="false">IF(עזר!L4705="","",INDEX(עזר!$A$2:$A$5001,עזר!L4705))</f>
        <v/>
      </c>
      <c r="B4705" s="13" t="str">
        <f aca="false">IF(עזר!L4705="","",INDEX(עזר!$B$2:$B$5001,עזר!L4705))</f>
        <v/>
      </c>
      <c r="C4705" s="13" t="str">
        <f aca="false">עזר!M4705</f>
        <v/>
      </c>
    </row>
    <row r="4706" customFormat="false" ht="15" hidden="false" customHeight="false" outlineLevel="0" collapsed="false">
      <c r="A4706" s="13" t="str">
        <f aca="false">IF(עזר!L4706="","",INDEX(עזר!$A$2:$A$5001,עזר!L4706))</f>
        <v/>
      </c>
      <c r="B4706" s="13" t="str">
        <f aca="false">IF(עזר!L4706="","",INDEX(עזר!$B$2:$B$5001,עזר!L4706))</f>
        <v/>
      </c>
      <c r="C4706" s="13" t="str">
        <f aca="false">עזר!M4706</f>
        <v/>
      </c>
    </row>
    <row r="4707" customFormat="false" ht="15" hidden="false" customHeight="false" outlineLevel="0" collapsed="false">
      <c r="A4707" s="13" t="str">
        <f aca="false">IF(עזר!L4707="","",INDEX(עזר!$A$2:$A$5001,עזר!L4707))</f>
        <v/>
      </c>
      <c r="B4707" s="13" t="str">
        <f aca="false">IF(עזר!L4707="","",INDEX(עזר!$B$2:$B$5001,עזר!L4707))</f>
        <v/>
      </c>
      <c r="C4707" s="13" t="str">
        <f aca="false">עזר!M4707</f>
        <v/>
      </c>
    </row>
    <row r="4708" customFormat="false" ht="15" hidden="false" customHeight="false" outlineLevel="0" collapsed="false">
      <c r="A4708" s="13" t="str">
        <f aca="false">IF(עזר!L4708="","",INDEX(עזר!$A$2:$A$5001,עזר!L4708))</f>
        <v/>
      </c>
      <c r="B4708" s="13" t="str">
        <f aca="false">IF(עזר!L4708="","",INDEX(עזר!$B$2:$B$5001,עזר!L4708))</f>
        <v/>
      </c>
      <c r="C4708" s="13" t="str">
        <f aca="false">עזר!M4708</f>
        <v/>
      </c>
    </row>
    <row r="4709" customFormat="false" ht="15" hidden="false" customHeight="false" outlineLevel="0" collapsed="false">
      <c r="A4709" s="13" t="str">
        <f aca="false">IF(עזר!L4709="","",INDEX(עזר!$A$2:$A$5001,עזר!L4709))</f>
        <v/>
      </c>
      <c r="B4709" s="13" t="str">
        <f aca="false">IF(עזר!L4709="","",INDEX(עזר!$B$2:$B$5001,עזר!L4709))</f>
        <v/>
      </c>
      <c r="C4709" s="13" t="str">
        <f aca="false">עזר!M4709</f>
        <v/>
      </c>
    </row>
    <row r="4710" customFormat="false" ht="15" hidden="false" customHeight="false" outlineLevel="0" collapsed="false">
      <c r="A4710" s="13" t="str">
        <f aca="false">IF(עזר!L4710="","",INDEX(עזר!$A$2:$A$5001,עזר!L4710))</f>
        <v/>
      </c>
      <c r="B4710" s="13" t="str">
        <f aca="false">IF(עזר!L4710="","",INDEX(עזר!$B$2:$B$5001,עזר!L4710))</f>
        <v/>
      </c>
      <c r="C4710" s="13" t="str">
        <f aca="false">עזר!M4710</f>
        <v/>
      </c>
    </row>
    <row r="4711" customFormat="false" ht="15" hidden="false" customHeight="false" outlineLevel="0" collapsed="false">
      <c r="A4711" s="13" t="str">
        <f aca="false">IF(עזר!L4711="","",INDEX(עזר!$A$2:$A$5001,עזר!L4711))</f>
        <v/>
      </c>
      <c r="B4711" s="13" t="str">
        <f aca="false">IF(עזר!L4711="","",INDEX(עזר!$B$2:$B$5001,עזר!L4711))</f>
        <v/>
      </c>
      <c r="C4711" s="13" t="str">
        <f aca="false">עזר!M4711</f>
        <v/>
      </c>
    </row>
    <row r="4712" customFormat="false" ht="15" hidden="false" customHeight="false" outlineLevel="0" collapsed="false">
      <c r="A4712" s="13" t="str">
        <f aca="false">IF(עזר!L4712="","",INDEX(עזר!$A$2:$A$5001,עזר!L4712))</f>
        <v/>
      </c>
      <c r="B4712" s="13" t="str">
        <f aca="false">IF(עזר!L4712="","",INDEX(עזר!$B$2:$B$5001,עזר!L4712))</f>
        <v/>
      </c>
      <c r="C4712" s="13" t="str">
        <f aca="false">עזר!M4712</f>
        <v/>
      </c>
    </row>
    <row r="4713" customFormat="false" ht="15" hidden="false" customHeight="false" outlineLevel="0" collapsed="false">
      <c r="A4713" s="13" t="str">
        <f aca="false">IF(עזר!L4713="","",INDEX(עזר!$A$2:$A$5001,עזר!L4713))</f>
        <v/>
      </c>
      <c r="B4713" s="13" t="str">
        <f aca="false">IF(עזר!L4713="","",INDEX(עזר!$B$2:$B$5001,עזר!L4713))</f>
        <v/>
      </c>
      <c r="C4713" s="13" t="str">
        <f aca="false">עזר!M4713</f>
        <v/>
      </c>
    </row>
    <row r="4714" customFormat="false" ht="15" hidden="false" customHeight="false" outlineLevel="0" collapsed="false">
      <c r="A4714" s="13" t="str">
        <f aca="false">IF(עזר!L4714="","",INDEX(עזר!$A$2:$A$5001,עזר!L4714))</f>
        <v/>
      </c>
      <c r="B4714" s="13" t="str">
        <f aca="false">IF(עזר!L4714="","",INDEX(עזר!$B$2:$B$5001,עזר!L4714))</f>
        <v/>
      </c>
      <c r="C4714" s="13" t="str">
        <f aca="false">עזר!M4714</f>
        <v/>
      </c>
    </row>
    <row r="4715" customFormat="false" ht="15" hidden="false" customHeight="false" outlineLevel="0" collapsed="false">
      <c r="A4715" s="13" t="str">
        <f aca="false">IF(עזר!L4715="","",INDEX(עזר!$A$2:$A$5001,עזר!L4715))</f>
        <v/>
      </c>
      <c r="B4715" s="13" t="str">
        <f aca="false">IF(עזר!L4715="","",INDEX(עזר!$B$2:$B$5001,עזר!L4715))</f>
        <v/>
      </c>
      <c r="C4715" s="13" t="str">
        <f aca="false">עזר!M4715</f>
        <v/>
      </c>
    </row>
    <row r="4716" customFormat="false" ht="15" hidden="false" customHeight="false" outlineLevel="0" collapsed="false">
      <c r="A4716" s="13" t="str">
        <f aca="false">IF(עזר!L4716="","",INDEX(עזר!$A$2:$A$5001,עזר!L4716))</f>
        <v/>
      </c>
      <c r="B4716" s="13" t="str">
        <f aca="false">IF(עזר!L4716="","",INDEX(עזר!$B$2:$B$5001,עזר!L4716))</f>
        <v/>
      </c>
      <c r="C4716" s="13" t="str">
        <f aca="false">עזר!M4716</f>
        <v/>
      </c>
    </row>
    <row r="4717" customFormat="false" ht="15" hidden="false" customHeight="false" outlineLevel="0" collapsed="false">
      <c r="A4717" s="13" t="str">
        <f aca="false">IF(עזר!L4717="","",INDEX(עזר!$A$2:$A$5001,עזר!L4717))</f>
        <v/>
      </c>
      <c r="B4717" s="13" t="str">
        <f aca="false">IF(עזר!L4717="","",INDEX(עזר!$B$2:$B$5001,עזר!L4717))</f>
        <v/>
      </c>
      <c r="C4717" s="13" t="str">
        <f aca="false">עזר!M4717</f>
        <v/>
      </c>
    </row>
    <row r="4718" customFormat="false" ht="15" hidden="false" customHeight="false" outlineLevel="0" collapsed="false">
      <c r="A4718" s="13" t="str">
        <f aca="false">IF(עזר!L4718="","",INDEX(עזר!$A$2:$A$5001,עזר!L4718))</f>
        <v/>
      </c>
      <c r="B4718" s="13" t="str">
        <f aca="false">IF(עזר!L4718="","",INDEX(עזר!$B$2:$B$5001,עזר!L4718))</f>
        <v/>
      </c>
      <c r="C4718" s="13" t="str">
        <f aca="false">עזר!M4718</f>
        <v/>
      </c>
    </row>
    <row r="4719" customFormat="false" ht="15" hidden="false" customHeight="false" outlineLevel="0" collapsed="false">
      <c r="A4719" s="13" t="str">
        <f aca="false">IF(עזר!L4719="","",INDEX(עזר!$A$2:$A$5001,עזר!L4719))</f>
        <v/>
      </c>
      <c r="B4719" s="13" t="str">
        <f aca="false">IF(עזר!L4719="","",INDEX(עזר!$B$2:$B$5001,עזר!L4719))</f>
        <v/>
      </c>
      <c r="C4719" s="13" t="str">
        <f aca="false">עזר!M4719</f>
        <v/>
      </c>
    </row>
    <row r="4720" customFormat="false" ht="15" hidden="false" customHeight="false" outlineLevel="0" collapsed="false">
      <c r="A4720" s="13" t="str">
        <f aca="false">IF(עזר!L4720="","",INDEX(עזר!$A$2:$A$5001,עזר!L4720))</f>
        <v/>
      </c>
      <c r="B4720" s="13" t="str">
        <f aca="false">IF(עזר!L4720="","",INDEX(עזר!$B$2:$B$5001,עזר!L4720))</f>
        <v/>
      </c>
      <c r="C4720" s="13" t="str">
        <f aca="false">עזר!M4720</f>
        <v/>
      </c>
    </row>
    <row r="4721" customFormat="false" ht="15" hidden="false" customHeight="false" outlineLevel="0" collapsed="false">
      <c r="A4721" s="13" t="str">
        <f aca="false">IF(עזר!L4721="","",INDEX(עזר!$A$2:$A$5001,עזר!L4721))</f>
        <v/>
      </c>
      <c r="B4721" s="13" t="str">
        <f aca="false">IF(עזר!L4721="","",INDEX(עזר!$B$2:$B$5001,עזר!L4721))</f>
        <v/>
      </c>
      <c r="C4721" s="13" t="str">
        <f aca="false">עזר!M4721</f>
        <v/>
      </c>
    </row>
    <row r="4722" customFormat="false" ht="15" hidden="false" customHeight="false" outlineLevel="0" collapsed="false">
      <c r="A4722" s="13" t="str">
        <f aca="false">IF(עזר!L4722="","",INDEX(עזר!$A$2:$A$5001,עזר!L4722))</f>
        <v/>
      </c>
      <c r="B4722" s="13" t="str">
        <f aca="false">IF(עזר!L4722="","",INDEX(עזר!$B$2:$B$5001,עזר!L4722))</f>
        <v/>
      </c>
      <c r="C4722" s="13" t="str">
        <f aca="false">עזר!M4722</f>
        <v/>
      </c>
    </row>
    <row r="4723" customFormat="false" ht="15" hidden="false" customHeight="false" outlineLevel="0" collapsed="false">
      <c r="A4723" s="13" t="str">
        <f aca="false">IF(עזר!L4723="","",INDEX(עזר!$A$2:$A$5001,עזר!L4723))</f>
        <v/>
      </c>
      <c r="B4723" s="13" t="str">
        <f aca="false">IF(עזר!L4723="","",INDEX(עזר!$B$2:$B$5001,עזר!L4723))</f>
        <v/>
      </c>
      <c r="C4723" s="13" t="str">
        <f aca="false">עזר!M4723</f>
        <v/>
      </c>
    </row>
    <row r="4724" customFormat="false" ht="15" hidden="false" customHeight="false" outlineLevel="0" collapsed="false">
      <c r="A4724" s="13" t="str">
        <f aca="false">IF(עזר!L4724="","",INDEX(עזר!$A$2:$A$5001,עזר!L4724))</f>
        <v/>
      </c>
      <c r="B4724" s="13" t="str">
        <f aca="false">IF(עזר!L4724="","",INDEX(עזר!$B$2:$B$5001,עזר!L4724))</f>
        <v/>
      </c>
      <c r="C4724" s="13" t="str">
        <f aca="false">עזר!M4724</f>
        <v/>
      </c>
    </row>
    <row r="4725" customFormat="false" ht="15" hidden="false" customHeight="false" outlineLevel="0" collapsed="false">
      <c r="A4725" s="13" t="str">
        <f aca="false">IF(עזר!L4725="","",INDEX(עזר!$A$2:$A$5001,עזר!L4725))</f>
        <v/>
      </c>
      <c r="B4725" s="13" t="str">
        <f aca="false">IF(עזר!L4725="","",INDEX(עזר!$B$2:$B$5001,עזר!L4725))</f>
        <v/>
      </c>
      <c r="C4725" s="13" t="str">
        <f aca="false">עזר!M4725</f>
        <v/>
      </c>
    </row>
    <row r="4726" customFormat="false" ht="15" hidden="false" customHeight="false" outlineLevel="0" collapsed="false">
      <c r="A4726" s="13" t="str">
        <f aca="false">IF(עזר!L4726="","",INDEX(עזר!$A$2:$A$5001,עזר!L4726))</f>
        <v/>
      </c>
      <c r="B4726" s="13" t="str">
        <f aca="false">IF(עזר!L4726="","",INDEX(עזר!$B$2:$B$5001,עזר!L4726))</f>
        <v/>
      </c>
      <c r="C4726" s="13" t="str">
        <f aca="false">עזר!M4726</f>
        <v/>
      </c>
    </row>
    <row r="4727" customFormat="false" ht="15" hidden="false" customHeight="false" outlineLevel="0" collapsed="false">
      <c r="A4727" s="13" t="str">
        <f aca="false">IF(עזר!L4727="","",INDEX(עזר!$A$2:$A$5001,עזר!L4727))</f>
        <v/>
      </c>
      <c r="B4727" s="13" t="str">
        <f aca="false">IF(עזר!L4727="","",INDEX(עזר!$B$2:$B$5001,עזר!L4727))</f>
        <v/>
      </c>
      <c r="C4727" s="13" t="str">
        <f aca="false">עזר!M4727</f>
        <v/>
      </c>
    </row>
    <row r="4728" customFormat="false" ht="15" hidden="false" customHeight="false" outlineLevel="0" collapsed="false">
      <c r="A4728" s="13" t="str">
        <f aca="false">IF(עזר!L4728="","",INDEX(עזר!$A$2:$A$5001,עזר!L4728))</f>
        <v/>
      </c>
      <c r="B4728" s="13" t="str">
        <f aca="false">IF(עזר!L4728="","",INDEX(עזר!$B$2:$B$5001,עזר!L4728))</f>
        <v/>
      </c>
      <c r="C4728" s="13" t="str">
        <f aca="false">עזר!M4728</f>
        <v/>
      </c>
    </row>
    <row r="4729" customFormat="false" ht="15" hidden="false" customHeight="false" outlineLevel="0" collapsed="false">
      <c r="A4729" s="13" t="str">
        <f aca="false">IF(עזר!L4729="","",INDEX(עזר!$A$2:$A$5001,עזר!L4729))</f>
        <v/>
      </c>
      <c r="B4729" s="13" t="str">
        <f aca="false">IF(עזר!L4729="","",INDEX(עזר!$B$2:$B$5001,עזר!L4729))</f>
        <v/>
      </c>
      <c r="C4729" s="13" t="str">
        <f aca="false">עזר!M4729</f>
        <v/>
      </c>
    </row>
    <row r="4730" customFormat="false" ht="15" hidden="false" customHeight="false" outlineLevel="0" collapsed="false">
      <c r="A4730" s="13" t="str">
        <f aca="false">IF(עזר!L4730="","",INDEX(עזר!$A$2:$A$5001,עזר!L4730))</f>
        <v/>
      </c>
      <c r="B4730" s="13" t="str">
        <f aca="false">IF(עזר!L4730="","",INDEX(עזר!$B$2:$B$5001,עזר!L4730))</f>
        <v/>
      </c>
      <c r="C4730" s="13" t="str">
        <f aca="false">עזר!M4730</f>
        <v/>
      </c>
    </row>
    <row r="4731" customFormat="false" ht="15" hidden="false" customHeight="false" outlineLevel="0" collapsed="false">
      <c r="A4731" s="13" t="str">
        <f aca="false">IF(עזר!L4731="","",INDEX(עזר!$A$2:$A$5001,עזר!L4731))</f>
        <v/>
      </c>
      <c r="B4731" s="13" t="str">
        <f aca="false">IF(עזר!L4731="","",INDEX(עזר!$B$2:$B$5001,עזר!L4731))</f>
        <v/>
      </c>
      <c r="C4731" s="13" t="str">
        <f aca="false">עזר!M4731</f>
        <v/>
      </c>
    </row>
    <row r="4732" customFormat="false" ht="15" hidden="false" customHeight="false" outlineLevel="0" collapsed="false">
      <c r="A4732" s="13" t="str">
        <f aca="false">IF(עזר!L4732="","",INDEX(עזר!$A$2:$A$5001,עזר!L4732))</f>
        <v/>
      </c>
      <c r="B4732" s="13" t="str">
        <f aca="false">IF(עזר!L4732="","",INDEX(עזר!$B$2:$B$5001,עזר!L4732))</f>
        <v/>
      </c>
      <c r="C4732" s="13" t="str">
        <f aca="false">עזר!M4732</f>
        <v/>
      </c>
    </row>
    <row r="4733" customFormat="false" ht="15" hidden="false" customHeight="false" outlineLevel="0" collapsed="false">
      <c r="A4733" s="13" t="str">
        <f aca="false">IF(עזר!L4733="","",INDEX(עזר!$A$2:$A$5001,עזר!L4733))</f>
        <v/>
      </c>
      <c r="B4733" s="13" t="str">
        <f aca="false">IF(עזר!L4733="","",INDEX(עזר!$B$2:$B$5001,עזר!L4733))</f>
        <v/>
      </c>
      <c r="C4733" s="13" t="str">
        <f aca="false">עזר!M4733</f>
        <v/>
      </c>
    </row>
    <row r="4734" customFormat="false" ht="15" hidden="false" customHeight="false" outlineLevel="0" collapsed="false">
      <c r="A4734" s="13" t="str">
        <f aca="false">IF(עזר!L4734="","",INDEX(עזר!$A$2:$A$5001,עזר!L4734))</f>
        <v/>
      </c>
      <c r="B4734" s="13" t="str">
        <f aca="false">IF(עזר!L4734="","",INDEX(עזר!$B$2:$B$5001,עזר!L4734))</f>
        <v/>
      </c>
      <c r="C4734" s="13" t="str">
        <f aca="false">עזר!M4734</f>
        <v/>
      </c>
    </row>
    <row r="4735" customFormat="false" ht="15" hidden="false" customHeight="false" outlineLevel="0" collapsed="false">
      <c r="A4735" s="13" t="str">
        <f aca="false">IF(עזר!L4735="","",INDEX(עזר!$A$2:$A$5001,עזר!L4735))</f>
        <v/>
      </c>
      <c r="B4735" s="13" t="str">
        <f aca="false">IF(עזר!L4735="","",INDEX(עזר!$B$2:$B$5001,עזר!L4735))</f>
        <v/>
      </c>
      <c r="C4735" s="13" t="str">
        <f aca="false">עזר!M4735</f>
        <v/>
      </c>
    </row>
    <row r="4736" customFormat="false" ht="15" hidden="false" customHeight="false" outlineLevel="0" collapsed="false">
      <c r="A4736" s="13" t="str">
        <f aca="false">IF(עזר!L4736="","",INDEX(עזר!$A$2:$A$5001,עזר!L4736))</f>
        <v/>
      </c>
      <c r="B4736" s="13" t="str">
        <f aca="false">IF(עזר!L4736="","",INDEX(עזר!$B$2:$B$5001,עזר!L4736))</f>
        <v/>
      </c>
      <c r="C4736" s="13" t="str">
        <f aca="false">עזר!M4736</f>
        <v/>
      </c>
    </row>
    <row r="4737" customFormat="false" ht="15" hidden="false" customHeight="false" outlineLevel="0" collapsed="false">
      <c r="A4737" s="13" t="str">
        <f aca="false">IF(עזר!L4737="","",INDEX(עזר!$A$2:$A$5001,עזר!L4737))</f>
        <v/>
      </c>
      <c r="B4737" s="13" t="str">
        <f aca="false">IF(עזר!L4737="","",INDEX(עזר!$B$2:$B$5001,עזר!L4737))</f>
        <v/>
      </c>
      <c r="C4737" s="13" t="str">
        <f aca="false">עזר!M4737</f>
        <v/>
      </c>
    </row>
    <row r="4738" customFormat="false" ht="15" hidden="false" customHeight="false" outlineLevel="0" collapsed="false">
      <c r="A4738" s="13" t="str">
        <f aca="false">IF(עזר!L4738="","",INDEX(עזר!$A$2:$A$5001,עזר!L4738))</f>
        <v/>
      </c>
      <c r="B4738" s="13" t="str">
        <f aca="false">IF(עזר!L4738="","",INDEX(עזר!$B$2:$B$5001,עזר!L4738))</f>
        <v/>
      </c>
      <c r="C4738" s="13" t="str">
        <f aca="false">עזר!M4738</f>
        <v/>
      </c>
    </row>
    <row r="4739" customFormat="false" ht="15" hidden="false" customHeight="false" outlineLevel="0" collapsed="false">
      <c r="A4739" s="13" t="str">
        <f aca="false">IF(עזר!L4739="","",INDEX(עזר!$A$2:$A$5001,עזר!L4739))</f>
        <v/>
      </c>
      <c r="B4739" s="13" t="str">
        <f aca="false">IF(עזר!L4739="","",INDEX(עזר!$B$2:$B$5001,עזר!L4739))</f>
        <v/>
      </c>
      <c r="C4739" s="13" t="str">
        <f aca="false">עזר!M4739</f>
        <v/>
      </c>
    </row>
    <row r="4740" customFormat="false" ht="15" hidden="false" customHeight="false" outlineLevel="0" collapsed="false">
      <c r="A4740" s="13" t="str">
        <f aca="false">IF(עזר!L4740="","",INDEX(עזר!$A$2:$A$5001,עזר!L4740))</f>
        <v/>
      </c>
      <c r="B4740" s="13" t="str">
        <f aca="false">IF(עזר!L4740="","",INDEX(עזר!$B$2:$B$5001,עזר!L4740))</f>
        <v/>
      </c>
      <c r="C4740" s="13" t="str">
        <f aca="false">עזר!M4740</f>
        <v/>
      </c>
    </row>
    <row r="4741" customFormat="false" ht="15" hidden="false" customHeight="false" outlineLevel="0" collapsed="false">
      <c r="A4741" s="13" t="str">
        <f aca="false">IF(עזר!L4741="","",INDEX(עזר!$A$2:$A$5001,עזר!L4741))</f>
        <v/>
      </c>
      <c r="B4741" s="13" t="str">
        <f aca="false">IF(עזר!L4741="","",INDEX(עזר!$B$2:$B$5001,עזר!L4741))</f>
        <v/>
      </c>
      <c r="C4741" s="13" t="str">
        <f aca="false">עזר!M4741</f>
        <v/>
      </c>
    </row>
    <row r="4742" customFormat="false" ht="15" hidden="false" customHeight="false" outlineLevel="0" collapsed="false">
      <c r="A4742" s="13" t="str">
        <f aca="false">IF(עזר!L4742="","",INDEX(עזר!$A$2:$A$5001,עזר!L4742))</f>
        <v/>
      </c>
      <c r="B4742" s="13" t="str">
        <f aca="false">IF(עזר!L4742="","",INDEX(עזר!$B$2:$B$5001,עזר!L4742))</f>
        <v/>
      </c>
      <c r="C4742" s="13" t="str">
        <f aca="false">עזר!M4742</f>
        <v/>
      </c>
    </row>
    <row r="4743" customFormat="false" ht="15" hidden="false" customHeight="false" outlineLevel="0" collapsed="false">
      <c r="A4743" s="13" t="str">
        <f aca="false">IF(עזר!L4743="","",INDEX(עזר!$A$2:$A$5001,עזר!L4743))</f>
        <v/>
      </c>
      <c r="B4743" s="13" t="str">
        <f aca="false">IF(עזר!L4743="","",INDEX(עזר!$B$2:$B$5001,עזר!L4743))</f>
        <v/>
      </c>
      <c r="C4743" s="13" t="str">
        <f aca="false">עזר!M4743</f>
        <v/>
      </c>
    </row>
    <row r="4744" customFormat="false" ht="15" hidden="false" customHeight="false" outlineLevel="0" collapsed="false">
      <c r="A4744" s="13" t="str">
        <f aca="false">IF(עזר!L4744="","",INDEX(עזר!$A$2:$A$5001,עזר!L4744))</f>
        <v/>
      </c>
      <c r="B4744" s="13" t="str">
        <f aca="false">IF(עזר!L4744="","",INDEX(עזר!$B$2:$B$5001,עזר!L4744))</f>
        <v/>
      </c>
      <c r="C4744" s="13" t="str">
        <f aca="false">עזר!M4744</f>
        <v/>
      </c>
    </row>
    <row r="4745" customFormat="false" ht="15" hidden="false" customHeight="false" outlineLevel="0" collapsed="false">
      <c r="A4745" s="13" t="str">
        <f aca="false">IF(עזר!L4745="","",INDEX(עזר!$A$2:$A$5001,עזר!L4745))</f>
        <v/>
      </c>
      <c r="B4745" s="13" t="str">
        <f aca="false">IF(עזר!L4745="","",INDEX(עזר!$B$2:$B$5001,עזר!L4745))</f>
        <v/>
      </c>
      <c r="C4745" s="13" t="str">
        <f aca="false">עזר!M4745</f>
        <v/>
      </c>
    </row>
    <row r="4746" customFormat="false" ht="15" hidden="false" customHeight="false" outlineLevel="0" collapsed="false">
      <c r="A4746" s="13" t="str">
        <f aca="false">IF(עזר!L4746="","",INDEX(עזר!$A$2:$A$5001,עזר!L4746))</f>
        <v/>
      </c>
      <c r="B4746" s="13" t="str">
        <f aca="false">IF(עזר!L4746="","",INDEX(עזר!$B$2:$B$5001,עזר!L4746))</f>
        <v/>
      </c>
      <c r="C4746" s="13" t="str">
        <f aca="false">עזר!M4746</f>
        <v/>
      </c>
    </row>
    <row r="4747" customFormat="false" ht="15" hidden="false" customHeight="false" outlineLevel="0" collapsed="false">
      <c r="A4747" s="13" t="str">
        <f aca="false">IF(עזר!L4747="","",INDEX(עזר!$A$2:$A$5001,עזר!L4747))</f>
        <v/>
      </c>
      <c r="B4747" s="13" t="str">
        <f aca="false">IF(עזר!L4747="","",INDEX(עזר!$B$2:$B$5001,עזר!L4747))</f>
        <v/>
      </c>
      <c r="C4747" s="13" t="str">
        <f aca="false">עזר!M4747</f>
        <v/>
      </c>
    </row>
    <row r="4748" customFormat="false" ht="15" hidden="false" customHeight="false" outlineLevel="0" collapsed="false">
      <c r="A4748" s="13" t="str">
        <f aca="false">IF(עזר!L4748="","",INDEX(עזר!$A$2:$A$5001,עזר!L4748))</f>
        <v/>
      </c>
      <c r="B4748" s="13" t="str">
        <f aca="false">IF(עזר!L4748="","",INDEX(עזר!$B$2:$B$5001,עזר!L4748))</f>
        <v/>
      </c>
      <c r="C4748" s="13" t="str">
        <f aca="false">עזר!M4748</f>
        <v/>
      </c>
    </row>
    <row r="4749" customFormat="false" ht="15" hidden="false" customHeight="false" outlineLevel="0" collapsed="false">
      <c r="A4749" s="13" t="str">
        <f aca="false">IF(עזר!L4749="","",INDEX(עזר!$A$2:$A$5001,עזר!L4749))</f>
        <v/>
      </c>
      <c r="B4749" s="13" t="str">
        <f aca="false">IF(עזר!L4749="","",INDEX(עזר!$B$2:$B$5001,עזר!L4749))</f>
        <v/>
      </c>
      <c r="C4749" s="13" t="str">
        <f aca="false">עזר!M4749</f>
        <v/>
      </c>
    </row>
    <row r="4750" customFormat="false" ht="15" hidden="false" customHeight="false" outlineLevel="0" collapsed="false">
      <c r="A4750" s="13" t="str">
        <f aca="false">IF(עזר!L4750="","",INDEX(עזר!$A$2:$A$5001,עזר!L4750))</f>
        <v/>
      </c>
      <c r="B4750" s="13" t="str">
        <f aca="false">IF(עזר!L4750="","",INDEX(עזר!$B$2:$B$5001,עזר!L4750))</f>
        <v/>
      </c>
      <c r="C4750" s="13" t="str">
        <f aca="false">עזר!M4750</f>
        <v/>
      </c>
    </row>
    <row r="4751" customFormat="false" ht="15" hidden="false" customHeight="false" outlineLevel="0" collapsed="false">
      <c r="A4751" s="13" t="str">
        <f aca="false">IF(עזר!L4751="","",INDEX(עזר!$A$2:$A$5001,עזר!L4751))</f>
        <v/>
      </c>
      <c r="B4751" s="13" t="str">
        <f aca="false">IF(עזר!L4751="","",INDEX(עזר!$B$2:$B$5001,עזר!L4751))</f>
        <v/>
      </c>
      <c r="C4751" s="13" t="str">
        <f aca="false">עזר!M4751</f>
        <v/>
      </c>
    </row>
    <row r="4752" customFormat="false" ht="15" hidden="false" customHeight="false" outlineLevel="0" collapsed="false">
      <c r="A4752" s="13" t="str">
        <f aca="false">IF(עזר!L4752="","",INDEX(עזר!$A$2:$A$5001,עזר!L4752))</f>
        <v/>
      </c>
      <c r="B4752" s="13" t="str">
        <f aca="false">IF(עזר!L4752="","",INDEX(עזר!$B$2:$B$5001,עזר!L4752))</f>
        <v/>
      </c>
      <c r="C4752" s="13" t="str">
        <f aca="false">עזר!M4752</f>
        <v/>
      </c>
    </row>
    <row r="4753" customFormat="false" ht="15" hidden="false" customHeight="false" outlineLevel="0" collapsed="false">
      <c r="A4753" s="13" t="str">
        <f aca="false">IF(עזר!L4753="","",INDEX(עזר!$A$2:$A$5001,עזר!L4753))</f>
        <v/>
      </c>
      <c r="B4753" s="13" t="str">
        <f aca="false">IF(עזר!L4753="","",INDEX(עזר!$B$2:$B$5001,עזר!L4753))</f>
        <v/>
      </c>
      <c r="C4753" s="13" t="str">
        <f aca="false">עזר!M4753</f>
        <v/>
      </c>
    </row>
    <row r="4754" customFormat="false" ht="15" hidden="false" customHeight="false" outlineLevel="0" collapsed="false">
      <c r="A4754" s="13" t="str">
        <f aca="false">IF(עזר!L4754="","",INDEX(עזר!$A$2:$A$5001,עזר!L4754))</f>
        <v/>
      </c>
      <c r="B4754" s="13" t="str">
        <f aca="false">IF(עזר!L4754="","",INDEX(עזר!$B$2:$B$5001,עזר!L4754))</f>
        <v/>
      </c>
      <c r="C4754" s="13" t="str">
        <f aca="false">עזר!M4754</f>
        <v/>
      </c>
    </row>
    <row r="4755" customFormat="false" ht="15" hidden="false" customHeight="false" outlineLevel="0" collapsed="false">
      <c r="A4755" s="13" t="str">
        <f aca="false">IF(עזר!L4755="","",INDEX(עזר!$A$2:$A$5001,עזר!L4755))</f>
        <v/>
      </c>
      <c r="B4755" s="13" t="str">
        <f aca="false">IF(עזר!L4755="","",INDEX(עזר!$B$2:$B$5001,עזר!L4755))</f>
        <v/>
      </c>
      <c r="C4755" s="13" t="str">
        <f aca="false">עזר!M4755</f>
        <v/>
      </c>
    </row>
    <row r="4756" customFormat="false" ht="15" hidden="false" customHeight="false" outlineLevel="0" collapsed="false">
      <c r="A4756" s="13" t="str">
        <f aca="false">IF(עזר!L4756="","",INDEX(עזר!$A$2:$A$5001,עזר!L4756))</f>
        <v/>
      </c>
      <c r="B4756" s="13" t="str">
        <f aca="false">IF(עזר!L4756="","",INDEX(עזר!$B$2:$B$5001,עזר!L4756))</f>
        <v/>
      </c>
      <c r="C4756" s="13" t="str">
        <f aca="false">עזר!M4756</f>
        <v/>
      </c>
    </row>
    <row r="4757" customFormat="false" ht="15" hidden="false" customHeight="false" outlineLevel="0" collapsed="false">
      <c r="A4757" s="13" t="str">
        <f aca="false">IF(עזר!L4757="","",INDEX(עזר!$A$2:$A$5001,עזר!L4757))</f>
        <v/>
      </c>
      <c r="B4757" s="13" t="str">
        <f aca="false">IF(עזר!L4757="","",INDEX(עזר!$B$2:$B$5001,עזר!L4757))</f>
        <v/>
      </c>
      <c r="C4757" s="13" t="str">
        <f aca="false">עזר!M4757</f>
        <v/>
      </c>
    </row>
    <row r="4758" customFormat="false" ht="15" hidden="false" customHeight="false" outlineLevel="0" collapsed="false">
      <c r="A4758" s="13" t="str">
        <f aca="false">IF(עזר!L4758="","",INDEX(עזר!$A$2:$A$5001,עזר!L4758))</f>
        <v/>
      </c>
      <c r="B4758" s="13" t="str">
        <f aca="false">IF(עזר!L4758="","",INDEX(עזר!$B$2:$B$5001,עזר!L4758))</f>
        <v/>
      </c>
      <c r="C4758" s="13" t="str">
        <f aca="false">עזר!M4758</f>
        <v/>
      </c>
    </row>
    <row r="4759" customFormat="false" ht="15" hidden="false" customHeight="false" outlineLevel="0" collapsed="false">
      <c r="A4759" s="13" t="str">
        <f aca="false">IF(עזר!L4759="","",INDEX(עזר!$A$2:$A$5001,עזר!L4759))</f>
        <v/>
      </c>
      <c r="B4759" s="13" t="str">
        <f aca="false">IF(עזר!L4759="","",INDEX(עזר!$B$2:$B$5001,עזר!L4759))</f>
        <v/>
      </c>
      <c r="C4759" s="13" t="str">
        <f aca="false">עזר!M4759</f>
        <v/>
      </c>
    </row>
    <row r="4760" customFormat="false" ht="15" hidden="false" customHeight="false" outlineLevel="0" collapsed="false">
      <c r="A4760" s="13" t="str">
        <f aca="false">IF(עזר!L4760="","",INDEX(עזר!$A$2:$A$5001,עזר!L4760))</f>
        <v/>
      </c>
      <c r="B4760" s="13" t="str">
        <f aca="false">IF(עזר!L4760="","",INDEX(עזר!$B$2:$B$5001,עזר!L4760))</f>
        <v/>
      </c>
      <c r="C4760" s="13" t="str">
        <f aca="false">עזר!M4760</f>
        <v/>
      </c>
    </row>
    <row r="4761" customFormat="false" ht="15" hidden="false" customHeight="false" outlineLevel="0" collapsed="false">
      <c r="A4761" s="13" t="str">
        <f aca="false">IF(עזר!L4761="","",INDEX(עזר!$A$2:$A$5001,עזר!L4761))</f>
        <v/>
      </c>
      <c r="B4761" s="13" t="str">
        <f aca="false">IF(עזר!L4761="","",INDEX(עזר!$B$2:$B$5001,עזר!L4761))</f>
        <v/>
      </c>
      <c r="C4761" s="13" t="str">
        <f aca="false">עזר!M4761</f>
        <v/>
      </c>
    </row>
    <row r="4762" customFormat="false" ht="15" hidden="false" customHeight="false" outlineLevel="0" collapsed="false">
      <c r="A4762" s="13" t="str">
        <f aca="false">IF(עזר!L4762="","",INDEX(עזר!$A$2:$A$5001,עזר!L4762))</f>
        <v/>
      </c>
      <c r="B4762" s="13" t="str">
        <f aca="false">IF(עזר!L4762="","",INDEX(עזר!$B$2:$B$5001,עזר!L4762))</f>
        <v/>
      </c>
      <c r="C4762" s="13" t="str">
        <f aca="false">עזר!M4762</f>
        <v/>
      </c>
    </row>
    <row r="4763" customFormat="false" ht="15" hidden="false" customHeight="false" outlineLevel="0" collapsed="false">
      <c r="A4763" s="13" t="str">
        <f aca="false">IF(עזר!L4763="","",INDEX(עזר!$A$2:$A$5001,עזר!L4763))</f>
        <v/>
      </c>
      <c r="B4763" s="13" t="str">
        <f aca="false">IF(עזר!L4763="","",INDEX(עזר!$B$2:$B$5001,עזר!L4763))</f>
        <v/>
      </c>
      <c r="C4763" s="13" t="str">
        <f aca="false">עזר!M4763</f>
        <v/>
      </c>
    </row>
    <row r="4764" customFormat="false" ht="15" hidden="false" customHeight="false" outlineLevel="0" collapsed="false">
      <c r="A4764" s="13" t="str">
        <f aca="false">IF(עזר!L4764="","",INDEX(עזר!$A$2:$A$5001,עזר!L4764))</f>
        <v/>
      </c>
      <c r="B4764" s="13" t="str">
        <f aca="false">IF(עזר!L4764="","",INDEX(עזר!$B$2:$B$5001,עזר!L4764))</f>
        <v/>
      </c>
      <c r="C4764" s="13" t="str">
        <f aca="false">עזר!M4764</f>
        <v/>
      </c>
    </row>
    <row r="4765" customFormat="false" ht="15" hidden="false" customHeight="false" outlineLevel="0" collapsed="false">
      <c r="A4765" s="13" t="str">
        <f aca="false">IF(עזר!L4765="","",INDEX(עזר!$A$2:$A$5001,עזר!L4765))</f>
        <v/>
      </c>
      <c r="B4765" s="13" t="str">
        <f aca="false">IF(עזר!L4765="","",INDEX(עזר!$B$2:$B$5001,עזר!L4765))</f>
        <v/>
      </c>
      <c r="C4765" s="13" t="str">
        <f aca="false">עזר!M4765</f>
        <v/>
      </c>
    </row>
    <row r="4766" customFormat="false" ht="15" hidden="false" customHeight="false" outlineLevel="0" collapsed="false">
      <c r="A4766" s="13" t="str">
        <f aca="false">IF(עזר!L4766="","",INDEX(עזר!$A$2:$A$5001,עזר!L4766))</f>
        <v/>
      </c>
      <c r="B4766" s="13" t="str">
        <f aca="false">IF(עזר!L4766="","",INDEX(עזר!$B$2:$B$5001,עזר!L4766))</f>
        <v/>
      </c>
      <c r="C4766" s="13" t="str">
        <f aca="false">עזר!M4766</f>
        <v/>
      </c>
    </row>
    <row r="4767" customFormat="false" ht="15" hidden="false" customHeight="false" outlineLevel="0" collapsed="false">
      <c r="A4767" s="13" t="str">
        <f aca="false">IF(עזר!L4767="","",INDEX(עזר!$A$2:$A$5001,עזר!L4767))</f>
        <v/>
      </c>
      <c r="B4767" s="13" t="str">
        <f aca="false">IF(עזר!L4767="","",INDEX(עזר!$B$2:$B$5001,עזר!L4767))</f>
        <v/>
      </c>
      <c r="C4767" s="13" t="str">
        <f aca="false">עזר!M4767</f>
        <v/>
      </c>
    </row>
    <row r="4768" customFormat="false" ht="15" hidden="false" customHeight="false" outlineLevel="0" collapsed="false">
      <c r="A4768" s="13" t="str">
        <f aca="false">IF(עזר!L4768="","",INDEX(עזר!$A$2:$A$5001,עזר!L4768))</f>
        <v/>
      </c>
      <c r="B4768" s="13" t="str">
        <f aca="false">IF(עזר!L4768="","",INDEX(עזר!$B$2:$B$5001,עזר!L4768))</f>
        <v/>
      </c>
      <c r="C4768" s="13" t="str">
        <f aca="false">עזר!M4768</f>
        <v/>
      </c>
    </row>
    <row r="4769" customFormat="false" ht="15" hidden="false" customHeight="false" outlineLevel="0" collapsed="false">
      <c r="A4769" s="13" t="str">
        <f aca="false">IF(עזר!L4769="","",INDEX(עזר!$A$2:$A$5001,עזר!L4769))</f>
        <v/>
      </c>
      <c r="B4769" s="13" t="str">
        <f aca="false">IF(עזר!L4769="","",INDEX(עזר!$B$2:$B$5001,עזר!L4769))</f>
        <v/>
      </c>
      <c r="C4769" s="13" t="str">
        <f aca="false">עזר!M4769</f>
        <v/>
      </c>
    </row>
    <row r="4770" customFormat="false" ht="15" hidden="false" customHeight="false" outlineLevel="0" collapsed="false">
      <c r="A4770" s="13" t="str">
        <f aca="false">IF(עזר!L4770="","",INDEX(עזר!$A$2:$A$5001,עזר!L4770))</f>
        <v/>
      </c>
      <c r="B4770" s="13" t="str">
        <f aca="false">IF(עזר!L4770="","",INDEX(עזר!$B$2:$B$5001,עזר!L4770))</f>
        <v/>
      </c>
      <c r="C4770" s="13" t="str">
        <f aca="false">עזר!M4770</f>
        <v/>
      </c>
    </row>
    <row r="4771" customFormat="false" ht="15" hidden="false" customHeight="false" outlineLevel="0" collapsed="false">
      <c r="A4771" s="13" t="str">
        <f aca="false">IF(עזר!L4771="","",INDEX(עזר!$A$2:$A$5001,עזר!L4771))</f>
        <v/>
      </c>
      <c r="B4771" s="13" t="str">
        <f aca="false">IF(עזר!L4771="","",INDEX(עזר!$B$2:$B$5001,עזר!L4771))</f>
        <v/>
      </c>
      <c r="C4771" s="13" t="str">
        <f aca="false">עזר!M4771</f>
        <v/>
      </c>
    </row>
    <row r="4772" customFormat="false" ht="15" hidden="false" customHeight="false" outlineLevel="0" collapsed="false">
      <c r="A4772" s="13" t="str">
        <f aca="false">IF(עזר!L4772="","",INDEX(עזר!$A$2:$A$5001,עזר!L4772))</f>
        <v/>
      </c>
      <c r="B4772" s="13" t="str">
        <f aca="false">IF(עזר!L4772="","",INDEX(עזר!$B$2:$B$5001,עזר!L4772))</f>
        <v/>
      </c>
      <c r="C4772" s="13" t="str">
        <f aca="false">עזר!M4772</f>
        <v/>
      </c>
    </row>
    <row r="4773" customFormat="false" ht="15" hidden="false" customHeight="false" outlineLevel="0" collapsed="false">
      <c r="A4773" s="13" t="str">
        <f aca="false">IF(עזר!L4773="","",INDEX(עזר!$A$2:$A$5001,עזר!L4773))</f>
        <v/>
      </c>
      <c r="B4773" s="13" t="str">
        <f aca="false">IF(עזר!L4773="","",INDEX(עזר!$B$2:$B$5001,עזר!L4773))</f>
        <v/>
      </c>
      <c r="C4773" s="13" t="str">
        <f aca="false">עזר!M4773</f>
        <v/>
      </c>
    </row>
    <row r="4774" customFormat="false" ht="15" hidden="false" customHeight="false" outlineLevel="0" collapsed="false">
      <c r="A4774" s="13" t="str">
        <f aca="false">IF(עזר!L4774="","",INDEX(עזר!$A$2:$A$5001,עזר!L4774))</f>
        <v/>
      </c>
      <c r="B4774" s="13" t="str">
        <f aca="false">IF(עזר!L4774="","",INDEX(עזר!$B$2:$B$5001,עזר!L4774))</f>
        <v/>
      </c>
      <c r="C4774" s="13" t="str">
        <f aca="false">עזר!M4774</f>
        <v/>
      </c>
    </row>
    <row r="4775" customFormat="false" ht="15" hidden="false" customHeight="false" outlineLevel="0" collapsed="false">
      <c r="A4775" s="13" t="str">
        <f aca="false">IF(עזר!L4775="","",INDEX(עזר!$A$2:$A$5001,עזר!L4775))</f>
        <v/>
      </c>
      <c r="B4775" s="13" t="str">
        <f aca="false">IF(עזר!L4775="","",INDEX(עזר!$B$2:$B$5001,עזר!L4775))</f>
        <v/>
      </c>
      <c r="C4775" s="13" t="str">
        <f aca="false">עזר!M4775</f>
        <v/>
      </c>
    </row>
    <row r="4776" customFormat="false" ht="15" hidden="false" customHeight="false" outlineLevel="0" collapsed="false">
      <c r="A4776" s="13" t="str">
        <f aca="false">IF(עזר!L4776="","",INDEX(עזר!$A$2:$A$5001,עזר!L4776))</f>
        <v/>
      </c>
      <c r="B4776" s="13" t="str">
        <f aca="false">IF(עזר!L4776="","",INDEX(עזר!$B$2:$B$5001,עזר!L4776))</f>
        <v/>
      </c>
      <c r="C4776" s="13" t="str">
        <f aca="false">עזר!M4776</f>
        <v/>
      </c>
    </row>
    <row r="4777" customFormat="false" ht="15" hidden="false" customHeight="false" outlineLevel="0" collapsed="false">
      <c r="A4777" s="13" t="str">
        <f aca="false">IF(עזר!L4777="","",INDEX(עזר!$A$2:$A$5001,עזר!L4777))</f>
        <v/>
      </c>
      <c r="B4777" s="13" t="str">
        <f aca="false">IF(עזר!L4777="","",INDEX(עזר!$B$2:$B$5001,עזר!L4777))</f>
        <v/>
      </c>
      <c r="C4777" s="13" t="str">
        <f aca="false">עזר!M4777</f>
        <v/>
      </c>
    </row>
    <row r="4778" customFormat="false" ht="15" hidden="false" customHeight="false" outlineLevel="0" collapsed="false">
      <c r="A4778" s="13" t="str">
        <f aca="false">IF(עזר!L4778="","",INDEX(עזר!$A$2:$A$5001,עזר!L4778))</f>
        <v/>
      </c>
      <c r="B4778" s="13" t="str">
        <f aca="false">IF(עזר!L4778="","",INDEX(עזר!$B$2:$B$5001,עזר!L4778))</f>
        <v/>
      </c>
      <c r="C4778" s="13" t="str">
        <f aca="false">עזר!M4778</f>
        <v/>
      </c>
    </row>
    <row r="4779" customFormat="false" ht="15" hidden="false" customHeight="false" outlineLevel="0" collapsed="false">
      <c r="A4779" s="13" t="str">
        <f aca="false">IF(עזר!L4779="","",INDEX(עזר!$A$2:$A$5001,עזר!L4779))</f>
        <v/>
      </c>
      <c r="B4779" s="13" t="str">
        <f aca="false">IF(עזר!L4779="","",INDEX(עזר!$B$2:$B$5001,עזר!L4779))</f>
        <v/>
      </c>
      <c r="C4779" s="13" t="str">
        <f aca="false">עזר!M4779</f>
        <v/>
      </c>
    </row>
    <row r="4780" customFormat="false" ht="15" hidden="false" customHeight="false" outlineLevel="0" collapsed="false">
      <c r="A4780" s="13" t="str">
        <f aca="false">IF(עזר!L4780="","",INDEX(עזר!$A$2:$A$5001,עזר!L4780))</f>
        <v/>
      </c>
      <c r="B4780" s="13" t="str">
        <f aca="false">IF(עזר!L4780="","",INDEX(עזר!$B$2:$B$5001,עזר!L4780))</f>
        <v/>
      </c>
      <c r="C4780" s="13" t="str">
        <f aca="false">עזר!M4780</f>
        <v/>
      </c>
    </row>
    <row r="4781" customFormat="false" ht="15" hidden="false" customHeight="false" outlineLevel="0" collapsed="false">
      <c r="A4781" s="13" t="str">
        <f aca="false">IF(עזר!L4781="","",INDEX(עזר!$A$2:$A$5001,עזר!L4781))</f>
        <v/>
      </c>
      <c r="B4781" s="13" t="str">
        <f aca="false">IF(עזר!L4781="","",INDEX(עזר!$B$2:$B$5001,עזר!L4781))</f>
        <v/>
      </c>
      <c r="C4781" s="13" t="str">
        <f aca="false">עזר!M4781</f>
        <v/>
      </c>
    </row>
    <row r="4782" customFormat="false" ht="15" hidden="false" customHeight="false" outlineLevel="0" collapsed="false">
      <c r="A4782" s="13" t="str">
        <f aca="false">IF(עזר!L4782="","",INDEX(עזר!$A$2:$A$5001,עזר!L4782))</f>
        <v/>
      </c>
      <c r="B4782" s="13" t="str">
        <f aca="false">IF(עזר!L4782="","",INDEX(עזר!$B$2:$B$5001,עזר!L4782))</f>
        <v/>
      </c>
      <c r="C4782" s="13" t="str">
        <f aca="false">עזר!M4782</f>
        <v/>
      </c>
    </row>
    <row r="4783" customFormat="false" ht="15" hidden="false" customHeight="false" outlineLevel="0" collapsed="false">
      <c r="A4783" s="13" t="str">
        <f aca="false">IF(עזר!L4783="","",INDEX(עזר!$A$2:$A$5001,עזר!L4783))</f>
        <v/>
      </c>
      <c r="B4783" s="13" t="str">
        <f aca="false">IF(עזר!L4783="","",INDEX(עזר!$B$2:$B$5001,עזר!L4783))</f>
        <v/>
      </c>
      <c r="C4783" s="13" t="str">
        <f aca="false">עזר!M4783</f>
        <v/>
      </c>
    </row>
    <row r="4784" customFormat="false" ht="15" hidden="false" customHeight="false" outlineLevel="0" collapsed="false">
      <c r="A4784" s="13" t="str">
        <f aca="false">IF(עזר!L4784="","",INDEX(עזר!$A$2:$A$5001,עזר!L4784))</f>
        <v/>
      </c>
      <c r="B4784" s="13" t="str">
        <f aca="false">IF(עזר!L4784="","",INDEX(עזר!$B$2:$B$5001,עזר!L4784))</f>
        <v/>
      </c>
      <c r="C4784" s="13" t="str">
        <f aca="false">עזר!M4784</f>
        <v/>
      </c>
    </row>
    <row r="4785" customFormat="false" ht="15" hidden="false" customHeight="false" outlineLevel="0" collapsed="false">
      <c r="A4785" s="13" t="str">
        <f aca="false">IF(עזר!L4785="","",INDEX(עזר!$A$2:$A$5001,עזר!L4785))</f>
        <v/>
      </c>
      <c r="B4785" s="13" t="str">
        <f aca="false">IF(עזר!L4785="","",INDEX(עזר!$B$2:$B$5001,עזר!L4785))</f>
        <v/>
      </c>
      <c r="C4785" s="13" t="str">
        <f aca="false">עזר!M4785</f>
        <v/>
      </c>
    </row>
    <row r="4786" customFormat="false" ht="15" hidden="false" customHeight="false" outlineLevel="0" collapsed="false">
      <c r="A4786" s="13" t="str">
        <f aca="false">IF(עזר!L4786="","",INDEX(עזר!$A$2:$A$5001,עזר!L4786))</f>
        <v/>
      </c>
      <c r="B4786" s="13" t="str">
        <f aca="false">IF(עזר!L4786="","",INDEX(עזר!$B$2:$B$5001,עזר!L4786))</f>
        <v/>
      </c>
      <c r="C4786" s="13" t="str">
        <f aca="false">עזר!M4786</f>
        <v/>
      </c>
    </row>
    <row r="4787" customFormat="false" ht="15" hidden="false" customHeight="false" outlineLevel="0" collapsed="false">
      <c r="A4787" s="13" t="str">
        <f aca="false">IF(עזר!L4787="","",INDEX(עזר!$A$2:$A$5001,עזר!L4787))</f>
        <v/>
      </c>
      <c r="B4787" s="13" t="str">
        <f aca="false">IF(עזר!L4787="","",INDEX(עזר!$B$2:$B$5001,עזר!L4787))</f>
        <v/>
      </c>
      <c r="C4787" s="13" t="str">
        <f aca="false">עזר!M4787</f>
        <v/>
      </c>
    </row>
    <row r="4788" customFormat="false" ht="15" hidden="false" customHeight="false" outlineLevel="0" collapsed="false">
      <c r="A4788" s="13" t="str">
        <f aca="false">IF(עזר!L4788="","",INDEX(עזר!$A$2:$A$5001,עזר!L4788))</f>
        <v/>
      </c>
      <c r="B4788" s="13" t="str">
        <f aca="false">IF(עזר!L4788="","",INDEX(עזר!$B$2:$B$5001,עזר!L4788))</f>
        <v/>
      </c>
      <c r="C4788" s="13" t="str">
        <f aca="false">עזר!M4788</f>
        <v/>
      </c>
    </row>
    <row r="4789" customFormat="false" ht="15" hidden="false" customHeight="false" outlineLevel="0" collapsed="false">
      <c r="A4789" s="13" t="str">
        <f aca="false">IF(עזר!L4789="","",INDEX(עזר!$A$2:$A$5001,עזר!L4789))</f>
        <v/>
      </c>
      <c r="B4789" s="13" t="str">
        <f aca="false">IF(עזר!L4789="","",INDEX(עזר!$B$2:$B$5001,עזר!L4789))</f>
        <v/>
      </c>
      <c r="C4789" s="13" t="str">
        <f aca="false">עזר!M4789</f>
        <v/>
      </c>
    </row>
    <row r="4790" customFormat="false" ht="15" hidden="false" customHeight="false" outlineLevel="0" collapsed="false">
      <c r="A4790" s="13" t="str">
        <f aca="false">IF(עזר!L4790="","",INDEX(עזר!$A$2:$A$5001,עזר!L4790))</f>
        <v/>
      </c>
      <c r="B4790" s="13" t="str">
        <f aca="false">IF(עזר!L4790="","",INDEX(עזר!$B$2:$B$5001,עזר!L4790))</f>
        <v/>
      </c>
      <c r="C4790" s="13" t="str">
        <f aca="false">עזר!M4790</f>
        <v/>
      </c>
    </row>
    <row r="4791" customFormat="false" ht="15" hidden="false" customHeight="false" outlineLevel="0" collapsed="false">
      <c r="A4791" s="13" t="str">
        <f aca="false">IF(עזר!L4791="","",INDEX(עזר!$A$2:$A$5001,עזר!L4791))</f>
        <v/>
      </c>
      <c r="B4791" s="13" t="str">
        <f aca="false">IF(עזר!L4791="","",INDEX(עזר!$B$2:$B$5001,עזר!L4791))</f>
        <v/>
      </c>
      <c r="C4791" s="13" t="str">
        <f aca="false">עזר!M4791</f>
        <v/>
      </c>
    </row>
    <row r="4792" customFormat="false" ht="15" hidden="false" customHeight="false" outlineLevel="0" collapsed="false">
      <c r="A4792" s="13" t="str">
        <f aca="false">IF(עזר!L4792="","",INDEX(עזר!$A$2:$A$5001,עזר!L4792))</f>
        <v/>
      </c>
      <c r="B4792" s="13" t="str">
        <f aca="false">IF(עזר!L4792="","",INDEX(עזר!$B$2:$B$5001,עזר!L4792))</f>
        <v/>
      </c>
      <c r="C4792" s="13" t="str">
        <f aca="false">עזר!M4792</f>
        <v/>
      </c>
    </row>
    <row r="4793" customFormat="false" ht="15" hidden="false" customHeight="false" outlineLevel="0" collapsed="false">
      <c r="A4793" s="13" t="str">
        <f aca="false">IF(עזר!L4793="","",INDEX(עזר!$A$2:$A$5001,עזר!L4793))</f>
        <v/>
      </c>
      <c r="B4793" s="13" t="str">
        <f aca="false">IF(עזר!L4793="","",INDEX(עזר!$B$2:$B$5001,עזר!L4793))</f>
        <v/>
      </c>
      <c r="C4793" s="13" t="str">
        <f aca="false">עזר!M4793</f>
        <v/>
      </c>
    </row>
    <row r="4794" customFormat="false" ht="15" hidden="false" customHeight="false" outlineLevel="0" collapsed="false">
      <c r="A4794" s="13" t="str">
        <f aca="false">IF(עזר!L4794="","",INDEX(עזר!$A$2:$A$5001,עזר!L4794))</f>
        <v/>
      </c>
      <c r="B4794" s="13" t="str">
        <f aca="false">IF(עזר!L4794="","",INDEX(עזר!$B$2:$B$5001,עזר!L4794))</f>
        <v/>
      </c>
      <c r="C4794" s="13" t="str">
        <f aca="false">עזר!M4794</f>
        <v/>
      </c>
    </row>
    <row r="4795" customFormat="false" ht="15" hidden="false" customHeight="false" outlineLevel="0" collapsed="false">
      <c r="A4795" s="13" t="str">
        <f aca="false">IF(עזר!L4795="","",INDEX(עזר!$A$2:$A$5001,עזר!L4795))</f>
        <v/>
      </c>
      <c r="B4795" s="13" t="str">
        <f aca="false">IF(עזר!L4795="","",INDEX(עזר!$B$2:$B$5001,עזר!L4795))</f>
        <v/>
      </c>
      <c r="C4795" s="13" t="str">
        <f aca="false">עזר!M4795</f>
        <v/>
      </c>
    </row>
    <row r="4796" customFormat="false" ht="15" hidden="false" customHeight="false" outlineLevel="0" collapsed="false">
      <c r="A4796" s="13" t="str">
        <f aca="false">IF(עזר!L4796="","",INDEX(עזר!$A$2:$A$5001,עזר!L4796))</f>
        <v/>
      </c>
      <c r="B4796" s="13" t="str">
        <f aca="false">IF(עזר!L4796="","",INDEX(עזר!$B$2:$B$5001,עזר!L4796))</f>
        <v/>
      </c>
      <c r="C4796" s="13" t="str">
        <f aca="false">עזר!M4796</f>
        <v/>
      </c>
    </row>
    <row r="4797" customFormat="false" ht="15" hidden="false" customHeight="false" outlineLevel="0" collapsed="false">
      <c r="A4797" s="13" t="str">
        <f aca="false">IF(עזר!L4797="","",INDEX(עזר!$A$2:$A$5001,עזר!L4797))</f>
        <v/>
      </c>
      <c r="B4797" s="13" t="str">
        <f aca="false">IF(עזר!L4797="","",INDEX(עזר!$B$2:$B$5001,עזר!L4797))</f>
        <v/>
      </c>
      <c r="C4797" s="13" t="str">
        <f aca="false">עזר!M4797</f>
        <v/>
      </c>
    </row>
    <row r="4798" customFormat="false" ht="15" hidden="false" customHeight="false" outlineLevel="0" collapsed="false">
      <c r="A4798" s="13" t="str">
        <f aca="false">IF(עזר!L4798="","",INDEX(עזר!$A$2:$A$5001,עזר!L4798))</f>
        <v/>
      </c>
      <c r="B4798" s="13" t="str">
        <f aca="false">IF(עזר!L4798="","",INDEX(עזר!$B$2:$B$5001,עזר!L4798))</f>
        <v/>
      </c>
      <c r="C4798" s="13" t="str">
        <f aca="false">עזר!M4798</f>
        <v/>
      </c>
    </row>
    <row r="4799" customFormat="false" ht="15" hidden="false" customHeight="false" outlineLevel="0" collapsed="false">
      <c r="A4799" s="13" t="str">
        <f aca="false">IF(עזר!L4799="","",INDEX(עזר!$A$2:$A$5001,עזר!L4799))</f>
        <v/>
      </c>
      <c r="B4799" s="13" t="str">
        <f aca="false">IF(עזר!L4799="","",INDEX(עזר!$B$2:$B$5001,עזר!L4799))</f>
        <v/>
      </c>
      <c r="C4799" s="13" t="str">
        <f aca="false">עזר!M4799</f>
        <v/>
      </c>
    </row>
    <row r="4800" customFormat="false" ht="15" hidden="false" customHeight="false" outlineLevel="0" collapsed="false">
      <c r="A4800" s="13" t="str">
        <f aca="false">IF(עזר!L4800="","",INDEX(עזר!$A$2:$A$5001,עזר!L4800))</f>
        <v/>
      </c>
      <c r="B4800" s="13" t="str">
        <f aca="false">IF(עזר!L4800="","",INDEX(עזר!$B$2:$B$5001,עזר!L4800))</f>
        <v/>
      </c>
      <c r="C4800" s="13" t="str">
        <f aca="false">עזר!M4800</f>
        <v/>
      </c>
    </row>
    <row r="4801" customFormat="false" ht="15" hidden="false" customHeight="false" outlineLevel="0" collapsed="false">
      <c r="A4801" s="13" t="str">
        <f aca="false">IF(עזר!L4801="","",INDEX(עזר!$A$2:$A$5001,עזר!L4801))</f>
        <v/>
      </c>
      <c r="B4801" s="13" t="str">
        <f aca="false">IF(עזר!L4801="","",INDEX(עזר!$B$2:$B$5001,עזר!L4801))</f>
        <v/>
      </c>
      <c r="C4801" s="13" t="str">
        <f aca="false">עזר!M4801</f>
        <v/>
      </c>
    </row>
    <row r="4802" customFormat="false" ht="15" hidden="false" customHeight="false" outlineLevel="0" collapsed="false">
      <c r="A4802" s="13" t="str">
        <f aca="false">IF(עזר!L4802="","",INDEX(עזר!$A$2:$A$5001,עזר!L4802))</f>
        <v/>
      </c>
      <c r="B4802" s="13" t="str">
        <f aca="false">IF(עזר!L4802="","",INDEX(עזר!$B$2:$B$5001,עזר!L4802))</f>
        <v/>
      </c>
      <c r="C4802" s="13" t="str">
        <f aca="false">עזר!M4802</f>
        <v/>
      </c>
    </row>
    <row r="4803" customFormat="false" ht="15" hidden="false" customHeight="false" outlineLevel="0" collapsed="false">
      <c r="A4803" s="13" t="str">
        <f aca="false">IF(עזר!L4803="","",INDEX(עזר!$A$2:$A$5001,עזר!L4803))</f>
        <v/>
      </c>
      <c r="B4803" s="13" t="str">
        <f aca="false">IF(עזר!L4803="","",INDEX(עזר!$B$2:$B$5001,עזר!L4803))</f>
        <v/>
      </c>
      <c r="C4803" s="13" t="str">
        <f aca="false">עזר!M4803</f>
        <v/>
      </c>
    </row>
    <row r="4804" customFormat="false" ht="15" hidden="false" customHeight="false" outlineLevel="0" collapsed="false">
      <c r="A4804" s="13" t="str">
        <f aca="false">IF(עזר!L4804="","",INDEX(עזר!$A$2:$A$5001,עזר!L4804))</f>
        <v/>
      </c>
      <c r="B4804" s="13" t="str">
        <f aca="false">IF(עזר!L4804="","",INDEX(עזר!$B$2:$B$5001,עזר!L4804))</f>
        <v/>
      </c>
      <c r="C4804" s="13" t="str">
        <f aca="false">עזר!M4804</f>
        <v/>
      </c>
    </row>
    <row r="4805" customFormat="false" ht="15" hidden="false" customHeight="false" outlineLevel="0" collapsed="false">
      <c r="A4805" s="13" t="str">
        <f aca="false">IF(עזר!L4805="","",INDEX(עזר!$A$2:$A$5001,עזר!L4805))</f>
        <v/>
      </c>
      <c r="B4805" s="13" t="str">
        <f aca="false">IF(עזר!L4805="","",INDEX(עזר!$B$2:$B$5001,עזר!L4805))</f>
        <v/>
      </c>
      <c r="C4805" s="13" t="str">
        <f aca="false">עזר!M4805</f>
        <v/>
      </c>
    </row>
    <row r="4806" customFormat="false" ht="15" hidden="false" customHeight="false" outlineLevel="0" collapsed="false">
      <c r="A4806" s="13" t="str">
        <f aca="false">IF(עזר!L4806="","",INDEX(עזר!$A$2:$A$5001,עזר!L4806))</f>
        <v/>
      </c>
      <c r="B4806" s="13" t="str">
        <f aca="false">IF(עזר!L4806="","",INDEX(עזר!$B$2:$B$5001,עזר!L4806))</f>
        <v/>
      </c>
      <c r="C4806" s="13" t="str">
        <f aca="false">עזר!M4806</f>
        <v/>
      </c>
    </row>
    <row r="4807" customFormat="false" ht="15" hidden="false" customHeight="false" outlineLevel="0" collapsed="false">
      <c r="A4807" s="13" t="str">
        <f aca="false">IF(עזר!L4807="","",INDEX(עזר!$A$2:$A$5001,עזר!L4807))</f>
        <v/>
      </c>
      <c r="B4807" s="13" t="str">
        <f aca="false">IF(עזר!L4807="","",INDEX(עזר!$B$2:$B$5001,עזר!L4807))</f>
        <v/>
      </c>
      <c r="C4807" s="13" t="str">
        <f aca="false">עזר!M4807</f>
        <v/>
      </c>
    </row>
    <row r="4808" customFormat="false" ht="15" hidden="false" customHeight="false" outlineLevel="0" collapsed="false">
      <c r="A4808" s="13" t="str">
        <f aca="false">IF(עזר!L4808="","",INDEX(עזר!$A$2:$A$5001,עזר!L4808))</f>
        <v/>
      </c>
      <c r="B4808" s="13" t="str">
        <f aca="false">IF(עזר!L4808="","",INDEX(עזר!$B$2:$B$5001,עזר!L4808))</f>
        <v/>
      </c>
      <c r="C4808" s="13" t="str">
        <f aca="false">עזר!M4808</f>
        <v/>
      </c>
    </row>
    <row r="4809" customFormat="false" ht="15" hidden="false" customHeight="false" outlineLevel="0" collapsed="false">
      <c r="A4809" s="13" t="str">
        <f aca="false">IF(עזר!L4809="","",INDEX(עזר!$A$2:$A$5001,עזר!L4809))</f>
        <v/>
      </c>
      <c r="B4809" s="13" t="str">
        <f aca="false">IF(עזר!L4809="","",INDEX(עזר!$B$2:$B$5001,עזר!L4809))</f>
        <v/>
      </c>
      <c r="C4809" s="13" t="str">
        <f aca="false">עזר!M4809</f>
        <v/>
      </c>
    </row>
    <row r="4810" customFormat="false" ht="15" hidden="false" customHeight="false" outlineLevel="0" collapsed="false">
      <c r="A4810" s="13" t="str">
        <f aca="false">IF(עזר!L4810="","",INDEX(עזר!$A$2:$A$5001,עזר!L4810))</f>
        <v/>
      </c>
      <c r="B4810" s="13" t="str">
        <f aca="false">IF(עזר!L4810="","",INDEX(עזר!$B$2:$B$5001,עזר!L4810))</f>
        <v/>
      </c>
      <c r="C4810" s="13" t="str">
        <f aca="false">עזר!M4810</f>
        <v/>
      </c>
    </row>
    <row r="4811" customFormat="false" ht="15" hidden="false" customHeight="false" outlineLevel="0" collapsed="false">
      <c r="A4811" s="13" t="str">
        <f aca="false">IF(עזר!L4811="","",INDEX(עזר!$A$2:$A$5001,עזר!L4811))</f>
        <v/>
      </c>
      <c r="B4811" s="13" t="str">
        <f aca="false">IF(עזר!L4811="","",INDEX(עזר!$B$2:$B$5001,עזר!L4811))</f>
        <v/>
      </c>
      <c r="C4811" s="13" t="str">
        <f aca="false">עזר!M4811</f>
        <v/>
      </c>
    </row>
    <row r="4812" customFormat="false" ht="15" hidden="false" customHeight="false" outlineLevel="0" collapsed="false">
      <c r="A4812" s="13" t="str">
        <f aca="false">IF(עזר!L4812="","",INDEX(עזר!$A$2:$A$5001,עזר!L4812))</f>
        <v/>
      </c>
      <c r="B4812" s="13" t="str">
        <f aca="false">IF(עזר!L4812="","",INDEX(עזר!$B$2:$B$5001,עזר!L4812))</f>
        <v/>
      </c>
      <c r="C4812" s="13" t="str">
        <f aca="false">עזר!M4812</f>
        <v/>
      </c>
    </row>
    <row r="4813" customFormat="false" ht="15" hidden="false" customHeight="false" outlineLevel="0" collapsed="false">
      <c r="A4813" s="13" t="str">
        <f aca="false">IF(עזר!L4813="","",INDEX(עזר!$A$2:$A$5001,עזר!L4813))</f>
        <v/>
      </c>
      <c r="B4813" s="13" t="str">
        <f aca="false">IF(עזר!L4813="","",INDEX(עזר!$B$2:$B$5001,עזר!L4813))</f>
        <v/>
      </c>
      <c r="C4813" s="13" t="str">
        <f aca="false">עזר!M4813</f>
        <v/>
      </c>
    </row>
    <row r="4814" customFormat="false" ht="15" hidden="false" customHeight="false" outlineLevel="0" collapsed="false">
      <c r="A4814" s="13" t="str">
        <f aca="false">IF(עזר!L4814="","",INDEX(עזר!$A$2:$A$5001,עזר!L4814))</f>
        <v/>
      </c>
      <c r="B4814" s="13" t="str">
        <f aca="false">IF(עזר!L4814="","",INDEX(עזר!$B$2:$B$5001,עזר!L4814))</f>
        <v/>
      </c>
      <c r="C4814" s="13" t="str">
        <f aca="false">עזר!M4814</f>
        <v/>
      </c>
    </row>
    <row r="4815" customFormat="false" ht="15" hidden="false" customHeight="false" outlineLevel="0" collapsed="false">
      <c r="A4815" s="13" t="str">
        <f aca="false">IF(עזר!L4815="","",INDEX(עזר!$A$2:$A$5001,עזר!L4815))</f>
        <v/>
      </c>
      <c r="B4815" s="13" t="str">
        <f aca="false">IF(עזר!L4815="","",INDEX(עזר!$B$2:$B$5001,עזר!L4815))</f>
        <v/>
      </c>
      <c r="C4815" s="13" t="str">
        <f aca="false">עזר!M4815</f>
        <v/>
      </c>
    </row>
    <row r="4816" customFormat="false" ht="15" hidden="false" customHeight="false" outlineLevel="0" collapsed="false">
      <c r="A4816" s="13" t="str">
        <f aca="false">IF(עזר!L4816="","",INDEX(עזר!$A$2:$A$5001,עזר!L4816))</f>
        <v/>
      </c>
      <c r="B4816" s="13" t="str">
        <f aca="false">IF(עזר!L4816="","",INDEX(עזר!$B$2:$B$5001,עזר!L4816))</f>
        <v/>
      </c>
      <c r="C4816" s="13" t="str">
        <f aca="false">עזר!M4816</f>
        <v/>
      </c>
    </row>
    <row r="4817" customFormat="false" ht="15" hidden="false" customHeight="false" outlineLevel="0" collapsed="false">
      <c r="A4817" s="13" t="str">
        <f aca="false">IF(עזר!L4817="","",INDEX(עזר!$A$2:$A$5001,עזר!L4817))</f>
        <v/>
      </c>
      <c r="B4817" s="13" t="str">
        <f aca="false">IF(עזר!L4817="","",INDEX(עזר!$B$2:$B$5001,עזר!L4817))</f>
        <v/>
      </c>
      <c r="C4817" s="13" t="str">
        <f aca="false">עזר!M4817</f>
        <v/>
      </c>
    </row>
    <row r="4818" customFormat="false" ht="15" hidden="false" customHeight="false" outlineLevel="0" collapsed="false">
      <c r="A4818" s="13" t="str">
        <f aca="false">IF(עזר!L4818="","",INDEX(עזר!$A$2:$A$5001,עזר!L4818))</f>
        <v/>
      </c>
      <c r="B4818" s="13" t="str">
        <f aca="false">IF(עזר!L4818="","",INDEX(עזר!$B$2:$B$5001,עזר!L4818))</f>
        <v/>
      </c>
      <c r="C4818" s="13" t="str">
        <f aca="false">עזר!M4818</f>
        <v/>
      </c>
    </row>
    <row r="4819" customFormat="false" ht="15" hidden="false" customHeight="false" outlineLevel="0" collapsed="false">
      <c r="A4819" s="13" t="str">
        <f aca="false">IF(עזר!L4819="","",INDEX(עזר!$A$2:$A$5001,עזר!L4819))</f>
        <v/>
      </c>
      <c r="B4819" s="13" t="str">
        <f aca="false">IF(עזר!L4819="","",INDEX(עזר!$B$2:$B$5001,עזר!L4819))</f>
        <v/>
      </c>
      <c r="C4819" s="13" t="str">
        <f aca="false">עזר!M4819</f>
        <v/>
      </c>
    </row>
    <row r="4820" customFormat="false" ht="15" hidden="false" customHeight="false" outlineLevel="0" collapsed="false">
      <c r="A4820" s="13" t="str">
        <f aca="false">IF(עזר!L4820="","",INDEX(עזר!$A$2:$A$5001,עזר!L4820))</f>
        <v/>
      </c>
      <c r="B4820" s="13" t="str">
        <f aca="false">IF(עזר!L4820="","",INDEX(עזר!$B$2:$B$5001,עזר!L4820))</f>
        <v/>
      </c>
      <c r="C4820" s="13" t="str">
        <f aca="false">עזר!M4820</f>
        <v/>
      </c>
    </row>
    <row r="4821" customFormat="false" ht="15" hidden="false" customHeight="false" outlineLevel="0" collapsed="false">
      <c r="A4821" s="13" t="str">
        <f aca="false">IF(עזר!L4821="","",INDEX(עזר!$A$2:$A$5001,עזר!L4821))</f>
        <v/>
      </c>
      <c r="B4821" s="13" t="str">
        <f aca="false">IF(עזר!L4821="","",INDEX(עזר!$B$2:$B$5001,עזר!L4821))</f>
        <v/>
      </c>
      <c r="C4821" s="13" t="str">
        <f aca="false">עזר!M4821</f>
        <v/>
      </c>
    </row>
    <row r="4822" customFormat="false" ht="15" hidden="false" customHeight="false" outlineLevel="0" collapsed="false">
      <c r="A4822" s="13" t="str">
        <f aca="false">IF(עזר!L4822="","",INDEX(עזר!$A$2:$A$5001,עזר!L4822))</f>
        <v/>
      </c>
      <c r="B4822" s="13" t="str">
        <f aca="false">IF(עזר!L4822="","",INDEX(עזר!$B$2:$B$5001,עזר!L4822))</f>
        <v/>
      </c>
      <c r="C4822" s="13" t="str">
        <f aca="false">עזר!M4822</f>
        <v/>
      </c>
    </row>
    <row r="4823" customFormat="false" ht="15" hidden="false" customHeight="false" outlineLevel="0" collapsed="false">
      <c r="A4823" s="13" t="str">
        <f aca="false">IF(עזר!L4823="","",INDEX(עזר!$A$2:$A$5001,עזר!L4823))</f>
        <v/>
      </c>
      <c r="B4823" s="13" t="str">
        <f aca="false">IF(עזר!L4823="","",INDEX(עזר!$B$2:$B$5001,עזר!L4823))</f>
        <v/>
      </c>
      <c r="C4823" s="13" t="str">
        <f aca="false">עזר!M4823</f>
        <v/>
      </c>
    </row>
    <row r="4824" customFormat="false" ht="15" hidden="false" customHeight="false" outlineLevel="0" collapsed="false">
      <c r="A4824" s="13" t="str">
        <f aca="false">IF(עזר!L4824="","",INDEX(עזר!$A$2:$A$5001,עזר!L4824))</f>
        <v/>
      </c>
      <c r="B4824" s="13" t="str">
        <f aca="false">IF(עזר!L4824="","",INDEX(עזר!$B$2:$B$5001,עזר!L4824))</f>
        <v/>
      </c>
      <c r="C4824" s="13" t="str">
        <f aca="false">עזר!M4824</f>
        <v/>
      </c>
    </row>
    <row r="4825" customFormat="false" ht="15" hidden="false" customHeight="false" outlineLevel="0" collapsed="false">
      <c r="A4825" s="13" t="str">
        <f aca="false">IF(עזר!L4825="","",INDEX(עזר!$A$2:$A$5001,עזר!L4825))</f>
        <v/>
      </c>
      <c r="B4825" s="13" t="str">
        <f aca="false">IF(עזר!L4825="","",INDEX(עזר!$B$2:$B$5001,עזר!L4825))</f>
        <v/>
      </c>
      <c r="C4825" s="13" t="str">
        <f aca="false">עזר!M4825</f>
        <v/>
      </c>
    </row>
    <row r="4826" customFormat="false" ht="15" hidden="false" customHeight="false" outlineLevel="0" collapsed="false">
      <c r="A4826" s="13" t="str">
        <f aca="false">IF(עזר!L4826="","",INDEX(עזר!$A$2:$A$5001,עזר!L4826))</f>
        <v/>
      </c>
      <c r="B4826" s="13" t="str">
        <f aca="false">IF(עזר!L4826="","",INDEX(עזר!$B$2:$B$5001,עזר!L4826))</f>
        <v/>
      </c>
      <c r="C4826" s="13" t="str">
        <f aca="false">עזר!M4826</f>
        <v/>
      </c>
    </row>
    <row r="4827" customFormat="false" ht="15" hidden="false" customHeight="false" outlineLevel="0" collapsed="false">
      <c r="A4827" s="13" t="str">
        <f aca="false">IF(עזר!L4827="","",INDEX(עזר!$A$2:$A$5001,עזר!L4827))</f>
        <v/>
      </c>
      <c r="B4827" s="13" t="str">
        <f aca="false">IF(עזר!L4827="","",INDEX(עזר!$B$2:$B$5001,עזר!L4827))</f>
        <v/>
      </c>
      <c r="C4827" s="13" t="str">
        <f aca="false">עזר!M4827</f>
        <v/>
      </c>
    </row>
    <row r="4828" customFormat="false" ht="15" hidden="false" customHeight="false" outlineLevel="0" collapsed="false">
      <c r="A4828" s="13" t="str">
        <f aca="false">IF(עזר!L4828="","",INDEX(עזר!$A$2:$A$5001,עזר!L4828))</f>
        <v/>
      </c>
      <c r="B4828" s="13" t="str">
        <f aca="false">IF(עזר!L4828="","",INDEX(עזר!$B$2:$B$5001,עזר!L4828))</f>
        <v/>
      </c>
      <c r="C4828" s="13" t="str">
        <f aca="false">עזר!M4828</f>
        <v/>
      </c>
    </row>
    <row r="4829" customFormat="false" ht="15" hidden="false" customHeight="false" outlineLevel="0" collapsed="false">
      <c r="A4829" s="13" t="str">
        <f aca="false">IF(עזר!L4829="","",INDEX(עזר!$A$2:$A$5001,עזר!L4829))</f>
        <v/>
      </c>
      <c r="B4829" s="13" t="str">
        <f aca="false">IF(עזר!L4829="","",INDEX(עזר!$B$2:$B$5001,עזר!L4829))</f>
        <v/>
      </c>
      <c r="C4829" s="13" t="str">
        <f aca="false">עזר!M4829</f>
        <v/>
      </c>
    </row>
    <row r="4830" customFormat="false" ht="15" hidden="false" customHeight="false" outlineLevel="0" collapsed="false">
      <c r="A4830" s="13" t="str">
        <f aca="false">IF(עזר!L4830="","",INDEX(עזר!$A$2:$A$5001,עזר!L4830))</f>
        <v/>
      </c>
      <c r="B4830" s="13" t="str">
        <f aca="false">IF(עזר!L4830="","",INDEX(עזר!$B$2:$B$5001,עזר!L4830))</f>
        <v/>
      </c>
      <c r="C4830" s="13" t="str">
        <f aca="false">עזר!M4830</f>
        <v/>
      </c>
    </row>
    <row r="4831" customFormat="false" ht="15" hidden="false" customHeight="false" outlineLevel="0" collapsed="false">
      <c r="A4831" s="13" t="str">
        <f aca="false">IF(עזר!L4831="","",INDEX(עזר!$A$2:$A$5001,עזר!L4831))</f>
        <v/>
      </c>
      <c r="B4831" s="13" t="str">
        <f aca="false">IF(עזר!L4831="","",INDEX(עזר!$B$2:$B$5001,עזר!L4831))</f>
        <v/>
      </c>
      <c r="C4831" s="13" t="str">
        <f aca="false">עזר!M4831</f>
        <v/>
      </c>
    </row>
    <row r="4832" customFormat="false" ht="15" hidden="false" customHeight="false" outlineLevel="0" collapsed="false">
      <c r="A4832" s="13" t="str">
        <f aca="false">IF(עזר!L4832="","",INDEX(עזר!$A$2:$A$5001,עזר!L4832))</f>
        <v/>
      </c>
      <c r="B4832" s="13" t="str">
        <f aca="false">IF(עזר!L4832="","",INDEX(עזר!$B$2:$B$5001,עזר!L4832))</f>
        <v/>
      </c>
      <c r="C4832" s="13" t="str">
        <f aca="false">עזר!M4832</f>
        <v/>
      </c>
    </row>
    <row r="4833" customFormat="false" ht="15" hidden="false" customHeight="false" outlineLevel="0" collapsed="false">
      <c r="A4833" s="13" t="str">
        <f aca="false">IF(עזר!L4833="","",INDEX(עזר!$A$2:$A$5001,עזר!L4833))</f>
        <v/>
      </c>
      <c r="B4833" s="13" t="str">
        <f aca="false">IF(עזר!L4833="","",INDEX(עזר!$B$2:$B$5001,עזר!L4833))</f>
        <v/>
      </c>
      <c r="C4833" s="13" t="str">
        <f aca="false">עזר!M4833</f>
        <v/>
      </c>
    </row>
    <row r="4834" customFormat="false" ht="15" hidden="false" customHeight="false" outlineLevel="0" collapsed="false">
      <c r="A4834" s="13" t="str">
        <f aca="false">IF(עזר!L4834="","",INDEX(עזר!$A$2:$A$5001,עזר!L4834))</f>
        <v/>
      </c>
      <c r="B4834" s="13" t="str">
        <f aca="false">IF(עזר!L4834="","",INDEX(עזר!$B$2:$B$5001,עזר!L4834))</f>
        <v/>
      </c>
      <c r="C4834" s="13" t="str">
        <f aca="false">עזר!M4834</f>
        <v/>
      </c>
    </row>
    <row r="4835" customFormat="false" ht="15" hidden="false" customHeight="false" outlineLevel="0" collapsed="false">
      <c r="A4835" s="13" t="str">
        <f aca="false">IF(עזר!L4835="","",INDEX(עזר!$A$2:$A$5001,עזר!L4835))</f>
        <v/>
      </c>
      <c r="B4835" s="13" t="str">
        <f aca="false">IF(עזר!L4835="","",INDEX(עזר!$B$2:$B$5001,עזר!L4835))</f>
        <v/>
      </c>
      <c r="C4835" s="13" t="str">
        <f aca="false">עזר!M4835</f>
        <v/>
      </c>
    </row>
    <row r="4836" customFormat="false" ht="15" hidden="false" customHeight="false" outlineLevel="0" collapsed="false">
      <c r="A4836" s="13" t="str">
        <f aca="false">IF(עזר!L4836="","",INDEX(עזר!$A$2:$A$5001,עזר!L4836))</f>
        <v/>
      </c>
      <c r="B4836" s="13" t="str">
        <f aca="false">IF(עזר!L4836="","",INDEX(עזר!$B$2:$B$5001,עזר!L4836))</f>
        <v/>
      </c>
      <c r="C4836" s="13" t="str">
        <f aca="false">עזר!M4836</f>
        <v/>
      </c>
    </row>
    <row r="4837" customFormat="false" ht="15" hidden="false" customHeight="false" outlineLevel="0" collapsed="false">
      <c r="A4837" s="13" t="str">
        <f aca="false">IF(עזר!L4837="","",INDEX(עזר!$A$2:$A$5001,עזר!L4837))</f>
        <v/>
      </c>
      <c r="B4837" s="13" t="str">
        <f aca="false">IF(עזר!L4837="","",INDEX(עזר!$B$2:$B$5001,עזר!L4837))</f>
        <v/>
      </c>
      <c r="C4837" s="13" t="str">
        <f aca="false">עזר!M4837</f>
        <v/>
      </c>
    </row>
    <row r="4838" customFormat="false" ht="15" hidden="false" customHeight="false" outlineLevel="0" collapsed="false">
      <c r="A4838" s="13" t="str">
        <f aca="false">IF(עזר!L4838="","",INDEX(עזר!$A$2:$A$5001,עזר!L4838))</f>
        <v/>
      </c>
      <c r="B4838" s="13" t="str">
        <f aca="false">IF(עזר!L4838="","",INDEX(עזר!$B$2:$B$5001,עזר!L4838))</f>
        <v/>
      </c>
      <c r="C4838" s="13" t="str">
        <f aca="false">עזר!M4838</f>
        <v/>
      </c>
    </row>
    <row r="4839" customFormat="false" ht="15" hidden="false" customHeight="false" outlineLevel="0" collapsed="false">
      <c r="A4839" s="13" t="str">
        <f aca="false">IF(עזר!L4839="","",INDEX(עזר!$A$2:$A$5001,עזר!L4839))</f>
        <v/>
      </c>
      <c r="B4839" s="13" t="str">
        <f aca="false">IF(עזר!L4839="","",INDEX(עזר!$B$2:$B$5001,עזר!L4839))</f>
        <v/>
      </c>
      <c r="C4839" s="13" t="str">
        <f aca="false">עזר!M4839</f>
        <v/>
      </c>
    </row>
    <row r="4840" customFormat="false" ht="15" hidden="false" customHeight="false" outlineLevel="0" collapsed="false">
      <c r="A4840" s="13" t="str">
        <f aca="false">IF(עזר!L4840="","",INDEX(עזר!$A$2:$A$5001,עזר!L4840))</f>
        <v/>
      </c>
      <c r="B4840" s="13" t="str">
        <f aca="false">IF(עזר!L4840="","",INDEX(עזר!$B$2:$B$5001,עזר!L4840))</f>
        <v/>
      </c>
      <c r="C4840" s="13" t="str">
        <f aca="false">עזר!M4840</f>
        <v/>
      </c>
    </row>
    <row r="4841" customFormat="false" ht="15" hidden="false" customHeight="false" outlineLevel="0" collapsed="false">
      <c r="A4841" s="13" t="str">
        <f aca="false">IF(עזר!L4841="","",INDEX(עזר!$A$2:$A$5001,עזר!L4841))</f>
        <v/>
      </c>
      <c r="B4841" s="13" t="str">
        <f aca="false">IF(עזר!L4841="","",INDEX(עזר!$B$2:$B$5001,עזר!L4841))</f>
        <v/>
      </c>
      <c r="C4841" s="13" t="str">
        <f aca="false">עזר!M4841</f>
        <v/>
      </c>
    </row>
    <row r="4842" customFormat="false" ht="15" hidden="false" customHeight="false" outlineLevel="0" collapsed="false">
      <c r="A4842" s="13" t="str">
        <f aca="false">IF(עזר!L4842="","",INDEX(עזר!$A$2:$A$5001,עזר!L4842))</f>
        <v/>
      </c>
      <c r="B4842" s="13" t="str">
        <f aca="false">IF(עזר!L4842="","",INDEX(עזר!$B$2:$B$5001,עזר!L4842))</f>
        <v/>
      </c>
      <c r="C4842" s="13" t="str">
        <f aca="false">עזר!M4842</f>
        <v/>
      </c>
    </row>
    <row r="4843" customFormat="false" ht="15" hidden="false" customHeight="false" outlineLevel="0" collapsed="false">
      <c r="A4843" s="13" t="str">
        <f aca="false">IF(עזר!L4843="","",INDEX(עזר!$A$2:$A$5001,עזר!L4843))</f>
        <v/>
      </c>
      <c r="B4843" s="13" t="str">
        <f aca="false">IF(עזר!L4843="","",INDEX(עזר!$B$2:$B$5001,עזר!L4843))</f>
        <v/>
      </c>
      <c r="C4843" s="13" t="str">
        <f aca="false">עזר!M4843</f>
        <v/>
      </c>
    </row>
    <row r="4844" customFormat="false" ht="15" hidden="false" customHeight="false" outlineLevel="0" collapsed="false">
      <c r="A4844" s="13" t="str">
        <f aca="false">IF(עזר!L4844="","",INDEX(עזר!$A$2:$A$5001,עזר!L4844))</f>
        <v/>
      </c>
      <c r="B4844" s="13" t="str">
        <f aca="false">IF(עזר!L4844="","",INDEX(עזר!$B$2:$B$5001,עזר!L4844))</f>
        <v/>
      </c>
      <c r="C4844" s="13" t="str">
        <f aca="false">עזר!M4844</f>
        <v/>
      </c>
    </row>
    <row r="4845" customFormat="false" ht="15" hidden="false" customHeight="false" outlineLevel="0" collapsed="false">
      <c r="A4845" s="13" t="str">
        <f aca="false">IF(עזר!L4845="","",INDEX(עזר!$A$2:$A$5001,עזר!L4845))</f>
        <v/>
      </c>
      <c r="B4845" s="13" t="str">
        <f aca="false">IF(עזר!L4845="","",INDEX(עזר!$B$2:$B$5001,עזר!L4845))</f>
        <v/>
      </c>
      <c r="C4845" s="13" t="str">
        <f aca="false">עזר!M4845</f>
        <v/>
      </c>
    </row>
    <row r="4846" customFormat="false" ht="15" hidden="false" customHeight="false" outlineLevel="0" collapsed="false">
      <c r="A4846" s="13" t="str">
        <f aca="false">IF(עזר!L4846="","",INDEX(עזר!$A$2:$A$5001,עזר!L4846))</f>
        <v/>
      </c>
      <c r="B4846" s="13" t="str">
        <f aca="false">IF(עזר!L4846="","",INDEX(עזר!$B$2:$B$5001,עזר!L4846))</f>
        <v/>
      </c>
      <c r="C4846" s="13" t="str">
        <f aca="false">עזר!M4846</f>
        <v/>
      </c>
    </row>
    <row r="4847" customFormat="false" ht="15" hidden="false" customHeight="false" outlineLevel="0" collapsed="false">
      <c r="A4847" s="13" t="str">
        <f aca="false">IF(עזר!L4847="","",INDEX(עזר!$A$2:$A$5001,עזר!L4847))</f>
        <v/>
      </c>
      <c r="B4847" s="13" t="str">
        <f aca="false">IF(עזר!L4847="","",INDEX(עזר!$B$2:$B$5001,עזר!L4847))</f>
        <v/>
      </c>
      <c r="C4847" s="13" t="str">
        <f aca="false">עזר!M4847</f>
        <v/>
      </c>
    </row>
    <row r="4848" customFormat="false" ht="15" hidden="false" customHeight="false" outlineLevel="0" collapsed="false">
      <c r="A4848" s="13" t="str">
        <f aca="false">IF(עזר!L4848="","",INDEX(עזר!$A$2:$A$5001,עזר!L4848))</f>
        <v/>
      </c>
      <c r="B4848" s="13" t="str">
        <f aca="false">IF(עזר!L4848="","",INDEX(עזר!$B$2:$B$5001,עזר!L4848))</f>
        <v/>
      </c>
      <c r="C4848" s="13" t="str">
        <f aca="false">עזר!M4848</f>
        <v/>
      </c>
    </row>
    <row r="4849" customFormat="false" ht="15" hidden="false" customHeight="false" outlineLevel="0" collapsed="false">
      <c r="A4849" s="13" t="str">
        <f aca="false">IF(עזר!L4849="","",INDEX(עזר!$A$2:$A$5001,עזר!L4849))</f>
        <v/>
      </c>
      <c r="B4849" s="13" t="str">
        <f aca="false">IF(עזר!L4849="","",INDEX(עזר!$B$2:$B$5001,עזר!L4849))</f>
        <v/>
      </c>
      <c r="C4849" s="13" t="str">
        <f aca="false">עזר!M4849</f>
        <v/>
      </c>
    </row>
    <row r="4850" customFormat="false" ht="15" hidden="false" customHeight="false" outlineLevel="0" collapsed="false">
      <c r="A4850" s="13" t="str">
        <f aca="false">IF(עזר!L4850="","",INDEX(עזר!$A$2:$A$5001,עזר!L4850))</f>
        <v/>
      </c>
      <c r="B4850" s="13" t="str">
        <f aca="false">IF(עזר!L4850="","",INDEX(עזר!$B$2:$B$5001,עזר!L4850))</f>
        <v/>
      </c>
      <c r="C4850" s="13" t="str">
        <f aca="false">עזר!M4850</f>
        <v/>
      </c>
    </row>
    <row r="4851" customFormat="false" ht="15" hidden="false" customHeight="false" outlineLevel="0" collapsed="false">
      <c r="A4851" s="13" t="str">
        <f aca="false">IF(עזר!L4851="","",INDEX(עזר!$A$2:$A$5001,עזר!L4851))</f>
        <v/>
      </c>
      <c r="B4851" s="13" t="str">
        <f aca="false">IF(עזר!L4851="","",INDEX(עזר!$B$2:$B$5001,עזר!L4851))</f>
        <v/>
      </c>
      <c r="C4851" s="13" t="str">
        <f aca="false">עזר!M4851</f>
        <v/>
      </c>
    </row>
    <row r="4852" customFormat="false" ht="15" hidden="false" customHeight="false" outlineLevel="0" collapsed="false">
      <c r="A4852" s="13" t="str">
        <f aca="false">IF(עזר!L4852="","",INDEX(עזר!$A$2:$A$5001,עזר!L4852))</f>
        <v/>
      </c>
      <c r="B4852" s="13" t="str">
        <f aca="false">IF(עזר!L4852="","",INDEX(עזר!$B$2:$B$5001,עזר!L4852))</f>
        <v/>
      </c>
      <c r="C4852" s="13" t="str">
        <f aca="false">עזר!M4852</f>
        <v/>
      </c>
    </row>
    <row r="4853" customFormat="false" ht="15" hidden="false" customHeight="false" outlineLevel="0" collapsed="false">
      <c r="A4853" s="13" t="str">
        <f aca="false">IF(עזר!L4853="","",INDEX(עזר!$A$2:$A$5001,עזר!L4853))</f>
        <v/>
      </c>
      <c r="B4853" s="13" t="str">
        <f aca="false">IF(עזר!L4853="","",INDEX(עזר!$B$2:$B$5001,עזר!L4853))</f>
        <v/>
      </c>
      <c r="C4853" s="13" t="str">
        <f aca="false">עזר!M4853</f>
        <v/>
      </c>
    </row>
    <row r="4854" customFormat="false" ht="15" hidden="false" customHeight="false" outlineLevel="0" collapsed="false">
      <c r="A4854" s="13" t="str">
        <f aca="false">IF(עזר!L4854="","",INDEX(עזר!$A$2:$A$5001,עזר!L4854))</f>
        <v/>
      </c>
      <c r="B4854" s="13" t="str">
        <f aca="false">IF(עזר!L4854="","",INDEX(עזר!$B$2:$B$5001,עזר!L4854))</f>
        <v/>
      </c>
      <c r="C4854" s="13" t="str">
        <f aca="false">עזר!M4854</f>
        <v/>
      </c>
    </row>
    <row r="4855" customFormat="false" ht="15" hidden="false" customHeight="false" outlineLevel="0" collapsed="false">
      <c r="A4855" s="13" t="str">
        <f aca="false">IF(עזר!L4855="","",INDEX(עזר!$A$2:$A$5001,עזר!L4855))</f>
        <v/>
      </c>
      <c r="B4855" s="13" t="str">
        <f aca="false">IF(עזר!L4855="","",INDEX(עזר!$B$2:$B$5001,עזר!L4855))</f>
        <v/>
      </c>
      <c r="C4855" s="13" t="str">
        <f aca="false">עזר!M4855</f>
        <v/>
      </c>
    </row>
    <row r="4856" customFormat="false" ht="15" hidden="false" customHeight="false" outlineLevel="0" collapsed="false">
      <c r="A4856" s="13" t="str">
        <f aca="false">IF(עזר!L4856="","",INDEX(עזר!$A$2:$A$5001,עזר!L4856))</f>
        <v/>
      </c>
      <c r="B4856" s="13" t="str">
        <f aca="false">IF(עזר!L4856="","",INDEX(עזר!$B$2:$B$5001,עזר!L4856))</f>
        <v/>
      </c>
      <c r="C4856" s="13" t="str">
        <f aca="false">עזר!M4856</f>
        <v/>
      </c>
    </row>
    <row r="4857" customFormat="false" ht="15" hidden="false" customHeight="false" outlineLevel="0" collapsed="false">
      <c r="A4857" s="13" t="str">
        <f aca="false">IF(עזר!L4857="","",INDEX(עזר!$A$2:$A$5001,עזר!L4857))</f>
        <v/>
      </c>
      <c r="B4857" s="13" t="str">
        <f aca="false">IF(עזר!L4857="","",INDEX(עזר!$B$2:$B$5001,עזר!L4857))</f>
        <v/>
      </c>
      <c r="C4857" s="13" t="str">
        <f aca="false">עזר!M4857</f>
        <v/>
      </c>
    </row>
    <row r="4858" customFormat="false" ht="15" hidden="false" customHeight="false" outlineLevel="0" collapsed="false">
      <c r="A4858" s="13" t="str">
        <f aca="false">IF(עזר!L4858="","",INDEX(עזר!$A$2:$A$5001,עזר!L4858))</f>
        <v/>
      </c>
      <c r="B4858" s="13" t="str">
        <f aca="false">IF(עזר!L4858="","",INDEX(עזר!$B$2:$B$5001,עזר!L4858))</f>
        <v/>
      </c>
      <c r="C4858" s="13" t="str">
        <f aca="false">עזר!M4858</f>
        <v/>
      </c>
    </row>
    <row r="4859" customFormat="false" ht="15" hidden="false" customHeight="false" outlineLevel="0" collapsed="false">
      <c r="A4859" s="13" t="str">
        <f aca="false">IF(עזר!L4859="","",INDEX(עזר!$A$2:$A$5001,עזר!L4859))</f>
        <v/>
      </c>
      <c r="B4859" s="13" t="str">
        <f aca="false">IF(עזר!L4859="","",INDEX(עזר!$B$2:$B$5001,עזר!L4859))</f>
        <v/>
      </c>
      <c r="C4859" s="13" t="str">
        <f aca="false">עזר!M4859</f>
        <v/>
      </c>
    </row>
    <row r="4860" customFormat="false" ht="15" hidden="false" customHeight="false" outlineLevel="0" collapsed="false">
      <c r="A4860" s="13" t="str">
        <f aca="false">IF(עזר!L4860="","",INDEX(עזר!$A$2:$A$5001,עזר!L4860))</f>
        <v/>
      </c>
      <c r="B4860" s="13" t="str">
        <f aca="false">IF(עזר!L4860="","",INDEX(עזר!$B$2:$B$5001,עזר!L4860))</f>
        <v/>
      </c>
      <c r="C4860" s="13" t="str">
        <f aca="false">עזר!M4860</f>
        <v/>
      </c>
    </row>
    <row r="4861" customFormat="false" ht="15" hidden="false" customHeight="false" outlineLevel="0" collapsed="false">
      <c r="A4861" s="13" t="str">
        <f aca="false">IF(עזר!L4861="","",INDEX(עזר!$A$2:$A$5001,עזר!L4861))</f>
        <v/>
      </c>
      <c r="B4861" s="13" t="str">
        <f aca="false">IF(עזר!L4861="","",INDEX(עזר!$B$2:$B$5001,עזר!L4861))</f>
        <v/>
      </c>
      <c r="C4861" s="13" t="str">
        <f aca="false">עזר!M4861</f>
        <v/>
      </c>
    </row>
    <row r="4862" customFormat="false" ht="15" hidden="false" customHeight="false" outlineLevel="0" collapsed="false">
      <c r="A4862" s="13" t="str">
        <f aca="false">IF(עזר!L4862="","",INDEX(עזר!$A$2:$A$5001,עזר!L4862))</f>
        <v/>
      </c>
      <c r="B4862" s="13" t="str">
        <f aca="false">IF(עזר!L4862="","",INDEX(עזר!$B$2:$B$5001,עזר!L4862))</f>
        <v/>
      </c>
      <c r="C4862" s="13" t="str">
        <f aca="false">עזר!M4862</f>
        <v/>
      </c>
    </row>
    <row r="4863" customFormat="false" ht="15" hidden="false" customHeight="false" outlineLevel="0" collapsed="false">
      <c r="A4863" s="13" t="str">
        <f aca="false">IF(עזר!L4863="","",INDEX(עזר!$A$2:$A$5001,עזר!L4863))</f>
        <v/>
      </c>
      <c r="B4863" s="13" t="str">
        <f aca="false">IF(עזר!L4863="","",INDEX(עזר!$B$2:$B$5001,עזר!L4863))</f>
        <v/>
      </c>
      <c r="C4863" s="13" t="str">
        <f aca="false">עזר!M4863</f>
        <v/>
      </c>
    </row>
    <row r="4864" customFormat="false" ht="15" hidden="false" customHeight="false" outlineLevel="0" collapsed="false">
      <c r="A4864" s="13" t="str">
        <f aca="false">IF(עזר!L4864="","",INDEX(עזר!$A$2:$A$5001,עזר!L4864))</f>
        <v/>
      </c>
      <c r="B4864" s="13" t="str">
        <f aca="false">IF(עזר!L4864="","",INDEX(עזר!$B$2:$B$5001,עזר!L4864))</f>
        <v/>
      </c>
      <c r="C4864" s="13" t="str">
        <f aca="false">עזר!M4864</f>
        <v/>
      </c>
    </row>
    <row r="4865" customFormat="false" ht="15" hidden="false" customHeight="false" outlineLevel="0" collapsed="false">
      <c r="A4865" s="13" t="str">
        <f aca="false">IF(עזר!L4865="","",INDEX(עזר!$A$2:$A$5001,עזר!L4865))</f>
        <v/>
      </c>
      <c r="B4865" s="13" t="str">
        <f aca="false">IF(עזר!L4865="","",INDEX(עזר!$B$2:$B$5001,עזר!L4865))</f>
        <v/>
      </c>
      <c r="C4865" s="13" t="str">
        <f aca="false">עזר!M4865</f>
        <v/>
      </c>
    </row>
    <row r="4866" customFormat="false" ht="15" hidden="false" customHeight="false" outlineLevel="0" collapsed="false">
      <c r="A4866" s="13" t="str">
        <f aca="false">IF(עזר!L4866="","",INDEX(עזר!$A$2:$A$5001,עזר!L4866))</f>
        <v/>
      </c>
      <c r="B4866" s="13" t="str">
        <f aca="false">IF(עזר!L4866="","",INDEX(עזר!$B$2:$B$5001,עזר!L4866))</f>
        <v/>
      </c>
      <c r="C4866" s="13" t="str">
        <f aca="false">עזר!M4866</f>
        <v/>
      </c>
    </row>
    <row r="4867" customFormat="false" ht="15" hidden="false" customHeight="false" outlineLevel="0" collapsed="false">
      <c r="A4867" s="13" t="str">
        <f aca="false">IF(עזר!L4867="","",INDEX(עזר!$A$2:$A$5001,עזר!L4867))</f>
        <v/>
      </c>
      <c r="B4867" s="13" t="str">
        <f aca="false">IF(עזר!L4867="","",INDEX(עזר!$B$2:$B$5001,עזר!L4867))</f>
        <v/>
      </c>
      <c r="C4867" s="13" t="str">
        <f aca="false">עזר!M4867</f>
        <v/>
      </c>
    </row>
    <row r="4868" customFormat="false" ht="15" hidden="false" customHeight="false" outlineLevel="0" collapsed="false">
      <c r="A4868" s="13" t="str">
        <f aca="false">IF(עזר!L4868="","",INDEX(עזר!$A$2:$A$5001,עזר!L4868))</f>
        <v/>
      </c>
      <c r="B4868" s="13" t="str">
        <f aca="false">IF(עזר!L4868="","",INDEX(עזר!$B$2:$B$5001,עזר!L4868))</f>
        <v/>
      </c>
      <c r="C4868" s="13" t="str">
        <f aca="false">עזר!M4868</f>
        <v/>
      </c>
    </row>
    <row r="4869" customFormat="false" ht="15" hidden="false" customHeight="false" outlineLevel="0" collapsed="false">
      <c r="A4869" s="13" t="str">
        <f aca="false">IF(עזר!L4869="","",INDEX(עזר!$A$2:$A$5001,עזר!L4869))</f>
        <v/>
      </c>
      <c r="B4869" s="13" t="str">
        <f aca="false">IF(עזר!L4869="","",INDEX(עזר!$B$2:$B$5001,עזר!L4869))</f>
        <v/>
      </c>
      <c r="C4869" s="13" t="str">
        <f aca="false">עזר!M4869</f>
        <v/>
      </c>
    </row>
    <row r="4870" customFormat="false" ht="15" hidden="false" customHeight="false" outlineLevel="0" collapsed="false">
      <c r="A4870" s="13" t="str">
        <f aca="false">IF(עזר!L4870="","",INDEX(עזר!$A$2:$A$5001,עזר!L4870))</f>
        <v/>
      </c>
      <c r="B4870" s="13" t="str">
        <f aca="false">IF(עזר!L4870="","",INDEX(עזר!$B$2:$B$5001,עזר!L4870))</f>
        <v/>
      </c>
      <c r="C4870" s="13" t="str">
        <f aca="false">עזר!M4870</f>
        <v/>
      </c>
    </row>
    <row r="4871" customFormat="false" ht="15" hidden="false" customHeight="false" outlineLevel="0" collapsed="false">
      <c r="A4871" s="13" t="str">
        <f aca="false">IF(עזר!L4871="","",INDEX(עזר!$A$2:$A$5001,עזר!L4871))</f>
        <v/>
      </c>
      <c r="B4871" s="13" t="str">
        <f aca="false">IF(עזר!L4871="","",INDEX(עזר!$B$2:$B$5001,עזר!L4871))</f>
        <v/>
      </c>
      <c r="C4871" s="13" t="str">
        <f aca="false">עזר!M4871</f>
        <v/>
      </c>
    </row>
    <row r="4872" customFormat="false" ht="15" hidden="false" customHeight="false" outlineLevel="0" collapsed="false">
      <c r="A4872" s="13" t="str">
        <f aca="false">IF(עזר!L4872="","",INDEX(עזר!$A$2:$A$5001,עזר!L4872))</f>
        <v/>
      </c>
      <c r="B4872" s="13" t="str">
        <f aca="false">IF(עזר!L4872="","",INDEX(עזר!$B$2:$B$5001,עזר!L4872))</f>
        <v/>
      </c>
      <c r="C4872" s="13" t="str">
        <f aca="false">עזר!M4872</f>
        <v/>
      </c>
    </row>
    <row r="4873" customFormat="false" ht="15" hidden="false" customHeight="false" outlineLevel="0" collapsed="false">
      <c r="A4873" s="13" t="str">
        <f aca="false">IF(עזר!L4873="","",INDEX(עזר!$A$2:$A$5001,עזר!L4873))</f>
        <v/>
      </c>
      <c r="B4873" s="13" t="str">
        <f aca="false">IF(עזר!L4873="","",INDEX(עזר!$B$2:$B$5001,עזר!L4873))</f>
        <v/>
      </c>
      <c r="C4873" s="13" t="str">
        <f aca="false">עזר!M4873</f>
        <v/>
      </c>
    </row>
    <row r="4874" customFormat="false" ht="15" hidden="false" customHeight="false" outlineLevel="0" collapsed="false">
      <c r="A4874" s="13" t="str">
        <f aca="false">IF(עזר!L4874="","",INDEX(עזר!$A$2:$A$5001,עזר!L4874))</f>
        <v/>
      </c>
      <c r="B4874" s="13" t="str">
        <f aca="false">IF(עזר!L4874="","",INDEX(עזר!$B$2:$B$5001,עזר!L4874))</f>
        <v/>
      </c>
      <c r="C4874" s="13" t="str">
        <f aca="false">עזר!M4874</f>
        <v/>
      </c>
    </row>
    <row r="4875" customFormat="false" ht="15" hidden="false" customHeight="false" outlineLevel="0" collapsed="false">
      <c r="A4875" s="13" t="str">
        <f aca="false">IF(עזר!L4875="","",INDEX(עזר!$A$2:$A$5001,עזר!L4875))</f>
        <v/>
      </c>
      <c r="B4875" s="13" t="str">
        <f aca="false">IF(עזר!L4875="","",INDEX(עזר!$B$2:$B$5001,עזר!L4875))</f>
        <v/>
      </c>
      <c r="C4875" s="13" t="str">
        <f aca="false">עזר!M4875</f>
        <v/>
      </c>
    </row>
    <row r="4876" customFormat="false" ht="15" hidden="false" customHeight="false" outlineLevel="0" collapsed="false">
      <c r="A4876" s="13" t="str">
        <f aca="false">IF(עזר!L4876="","",INDEX(עזר!$A$2:$A$5001,עזר!L4876))</f>
        <v/>
      </c>
      <c r="B4876" s="13" t="str">
        <f aca="false">IF(עזר!L4876="","",INDEX(עזר!$B$2:$B$5001,עזר!L4876))</f>
        <v/>
      </c>
      <c r="C4876" s="13" t="str">
        <f aca="false">עזר!M4876</f>
        <v/>
      </c>
    </row>
    <row r="4877" customFormat="false" ht="15" hidden="false" customHeight="false" outlineLevel="0" collapsed="false">
      <c r="A4877" s="13" t="str">
        <f aca="false">IF(עזר!L4877="","",INDEX(עזר!$A$2:$A$5001,עזר!L4877))</f>
        <v/>
      </c>
      <c r="B4877" s="13" t="str">
        <f aca="false">IF(עזר!L4877="","",INDEX(עזר!$B$2:$B$5001,עזר!L4877))</f>
        <v/>
      </c>
      <c r="C4877" s="13" t="str">
        <f aca="false">עזר!M4877</f>
        <v/>
      </c>
    </row>
    <row r="4878" customFormat="false" ht="15" hidden="false" customHeight="false" outlineLevel="0" collapsed="false">
      <c r="A4878" s="13" t="str">
        <f aca="false">IF(עזר!L4878="","",INDEX(עזר!$A$2:$A$5001,עזר!L4878))</f>
        <v/>
      </c>
      <c r="B4878" s="13" t="str">
        <f aca="false">IF(עזר!L4878="","",INDEX(עזר!$B$2:$B$5001,עזר!L4878))</f>
        <v/>
      </c>
      <c r="C4878" s="13" t="str">
        <f aca="false">עזר!M4878</f>
        <v/>
      </c>
    </row>
    <row r="4879" customFormat="false" ht="15" hidden="false" customHeight="false" outlineLevel="0" collapsed="false">
      <c r="A4879" s="13" t="str">
        <f aca="false">IF(עזר!L4879="","",INDEX(עזר!$A$2:$A$5001,עזר!L4879))</f>
        <v/>
      </c>
      <c r="B4879" s="13" t="str">
        <f aca="false">IF(עזר!L4879="","",INDEX(עזר!$B$2:$B$5001,עזר!L4879))</f>
        <v/>
      </c>
      <c r="C4879" s="13" t="str">
        <f aca="false">עזר!M4879</f>
        <v/>
      </c>
    </row>
    <row r="4880" customFormat="false" ht="15" hidden="false" customHeight="false" outlineLevel="0" collapsed="false">
      <c r="A4880" s="13" t="str">
        <f aca="false">IF(עזר!L4880="","",INDEX(עזר!$A$2:$A$5001,עזר!L4880))</f>
        <v/>
      </c>
      <c r="B4880" s="13" t="str">
        <f aca="false">IF(עזר!L4880="","",INDEX(עזר!$B$2:$B$5001,עזר!L4880))</f>
        <v/>
      </c>
      <c r="C4880" s="13" t="str">
        <f aca="false">עזר!M4880</f>
        <v/>
      </c>
    </row>
    <row r="4881" customFormat="false" ht="15" hidden="false" customHeight="false" outlineLevel="0" collapsed="false">
      <c r="A4881" s="13" t="str">
        <f aca="false">IF(עזר!L4881="","",INDEX(עזר!$A$2:$A$5001,עזר!L4881))</f>
        <v/>
      </c>
      <c r="B4881" s="13" t="str">
        <f aca="false">IF(עזר!L4881="","",INDEX(עזר!$B$2:$B$5001,עזר!L4881))</f>
        <v/>
      </c>
      <c r="C4881" s="13" t="str">
        <f aca="false">עזר!M4881</f>
        <v/>
      </c>
    </row>
    <row r="4882" customFormat="false" ht="15" hidden="false" customHeight="false" outlineLevel="0" collapsed="false">
      <c r="A4882" s="13" t="str">
        <f aca="false">IF(עזר!L4882="","",INDEX(עזר!$A$2:$A$5001,עזר!L4882))</f>
        <v/>
      </c>
      <c r="B4882" s="13" t="str">
        <f aca="false">IF(עזר!L4882="","",INDEX(עזר!$B$2:$B$5001,עזר!L4882))</f>
        <v/>
      </c>
      <c r="C4882" s="13" t="str">
        <f aca="false">עזר!M4882</f>
        <v/>
      </c>
    </row>
    <row r="4883" customFormat="false" ht="15" hidden="false" customHeight="false" outlineLevel="0" collapsed="false">
      <c r="A4883" s="13" t="str">
        <f aca="false">IF(עזר!L4883="","",INDEX(עזר!$A$2:$A$5001,עזר!L4883))</f>
        <v/>
      </c>
      <c r="B4883" s="13" t="str">
        <f aca="false">IF(עזר!L4883="","",INDEX(עזר!$B$2:$B$5001,עזר!L4883))</f>
        <v/>
      </c>
      <c r="C4883" s="13" t="str">
        <f aca="false">עזר!M4883</f>
        <v/>
      </c>
    </row>
    <row r="4884" customFormat="false" ht="15" hidden="false" customHeight="false" outlineLevel="0" collapsed="false">
      <c r="A4884" s="13" t="str">
        <f aca="false">IF(עזר!L4884="","",INDEX(עזר!$A$2:$A$5001,עזר!L4884))</f>
        <v/>
      </c>
      <c r="B4884" s="13" t="str">
        <f aca="false">IF(עזר!L4884="","",INDEX(עזר!$B$2:$B$5001,עזר!L4884))</f>
        <v/>
      </c>
      <c r="C4884" s="13" t="str">
        <f aca="false">עזר!M4884</f>
        <v/>
      </c>
    </row>
    <row r="4885" customFormat="false" ht="15" hidden="false" customHeight="false" outlineLevel="0" collapsed="false">
      <c r="A4885" s="13" t="str">
        <f aca="false">IF(עזר!L4885="","",INDEX(עזר!$A$2:$A$5001,עזר!L4885))</f>
        <v/>
      </c>
      <c r="B4885" s="13" t="str">
        <f aca="false">IF(עזר!L4885="","",INDEX(עזר!$B$2:$B$5001,עזר!L4885))</f>
        <v/>
      </c>
      <c r="C4885" s="13" t="str">
        <f aca="false">עזר!M4885</f>
        <v/>
      </c>
    </row>
    <row r="4886" customFormat="false" ht="15" hidden="false" customHeight="false" outlineLevel="0" collapsed="false">
      <c r="A4886" s="13" t="str">
        <f aca="false">IF(עזר!L4886="","",INDEX(עזר!$A$2:$A$5001,עזר!L4886))</f>
        <v/>
      </c>
      <c r="B4886" s="13" t="str">
        <f aca="false">IF(עזר!L4886="","",INDEX(עזר!$B$2:$B$5001,עזר!L4886))</f>
        <v/>
      </c>
      <c r="C4886" s="13" t="str">
        <f aca="false">עזר!M4886</f>
        <v/>
      </c>
    </row>
    <row r="4887" customFormat="false" ht="15" hidden="false" customHeight="false" outlineLevel="0" collapsed="false">
      <c r="A4887" s="13" t="str">
        <f aca="false">IF(עזר!L4887="","",INDEX(עזר!$A$2:$A$5001,עזר!L4887))</f>
        <v/>
      </c>
      <c r="B4887" s="13" t="str">
        <f aca="false">IF(עזר!L4887="","",INDEX(עזר!$B$2:$B$5001,עזר!L4887))</f>
        <v/>
      </c>
      <c r="C4887" s="13" t="str">
        <f aca="false">עזר!M4887</f>
        <v/>
      </c>
    </row>
    <row r="4888" customFormat="false" ht="15" hidden="false" customHeight="false" outlineLevel="0" collapsed="false">
      <c r="A4888" s="13" t="str">
        <f aca="false">IF(עזר!L4888="","",INDEX(עזר!$A$2:$A$5001,עזר!L4888))</f>
        <v/>
      </c>
      <c r="B4888" s="13" t="str">
        <f aca="false">IF(עזר!L4888="","",INDEX(עזר!$B$2:$B$5001,עזר!L4888))</f>
        <v/>
      </c>
      <c r="C4888" s="13" t="str">
        <f aca="false">עזר!M4888</f>
        <v/>
      </c>
    </row>
    <row r="4889" customFormat="false" ht="15" hidden="false" customHeight="false" outlineLevel="0" collapsed="false">
      <c r="A4889" s="13" t="str">
        <f aca="false">IF(עזר!L4889="","",INDEX(עזר!$A$2:$A$5001,עזר!L4889))</f>
        <v/>
      </c>
      <c r="B4889" s="13" t="str">
        <f aca="false">IF(עזר!L4889="","",INDEX(עזר!$B$2:$B$5001,עזר!L4889))</f>
        <v/>
      </c>
      <c r="C4889" s="13" t="str">
        <f aca="false">עזר!M4889</f>
        <v/>
      </c>
    </row>
    <row r="4890" customFormat="false" ht="15" hidden="false" customHeight="false" outlineLevel="0" collapsed="false">
      <c r="A4890" s="13" t="str">
        <f aca="false">IF(עזר!L4890="","",INDEX(עזר!$A$2:$A$5001,עזר!L4890))</f>
        <v/>
      </c>
      <c r="B4890" s="13" t="str">
        <f aca="false">IF(עזר!L4890="","",INDEX(עזר!$B$2:$B$5001,עזר!L4890))</f>
        <v/>
      </c>
      <c r="C4890" s="13" t="str">
        <f aca="false">עזר!M4890</f>
        <v/>
      </c>
    </row>
    <row r="4891" customFormat="false" ht="15" hidden="false" customHeight="false" outlineLevel="0" collapsed="false">
      <c r="A4891" s="13" t="str">
        <f aca="false">IF(עזר!L4891="","",INDEX(עזר!$A$2:$A$5001,עזר!L4891))</f>
        <v/>
      </c>
      <c r="B4891" s="13" t="str">
        <f aca="false">IF(עזר!L4891="","",INDEX(עזר!$B$2:$B$5001,עזר!L4891))</f>
        <v/>
      </c>
      <c r="C4891" s="13" t="str">
        <f aca="false">עזר!M4891</f>
        <v/>
      </c>
    </row>
    <row r="4892" customFormat="false" ht="15" hidden="false" customHeight="false" outlineLevel="0" collapsed="false">
      <c r="A4892" s="13" t="str">
        <f aca="false">IF(עזר!L4892="","",INDEX(עזר!$A$2:$A$5001,עזר!L4892))</f>
        <v/>
      </c>
      <c r="B4892" s="13" t="str">
        <f aca="false">IF(עזר!L4892="","",INDEX(עזר!$B$2:$B$5001,עזר!L4892))</f>
        <v/>
      </c>
      <c r="C4892" s="13" t="str">
        <f aca="false">עזר!M4892</f>
        <v/>
      </c>
    </row>
    <row r="4893" customFormat="false" ht="15" hidden="false" customHeight="false" outlineLevel="0" collapsed="false">
      <c r="A4893" s="13" t="str">
        <f aca="false">IF(עזר!L4893="","",INDEX(עזר!$A$2:$A$5001,עזר!L4893))</f>
        <v/>
      </c>
      <c r="B4893" s="13" t="str">
        <f aca="false">IF(עזר!L4893="","",INDEX(עזר!$B$2:$B$5001,עזר!L4893))</f>
        <v/>
      </c>
      <c r="C4893" s="13" t="str">
        <f aca="false">עזר!M4893</f>
        <v/>
      </c>
    </row>
    <row r="4894" customFormat="false" ht="15" hidden="false" customHeight="false" outlineLevel="0" collapsed="false">
      <c r="A4894" s="13" t="str">
        <f aca="false">IF(עזר!L4894="","",INDEX(עזר!$A$2:$A$5001,עזר!L4894))</f>
        <v/>
      </c>
      <c r="B4894" s="13" t="str">
        <f aca="false">IF(עזר!L4894="","",INDEX(עזר!$B$2:$B$5001,עזר!L4894))</f>
        <v/>
      </c>
      <c r="C4894" s="13" t="str">
        <f aca="false">עזר!M4894</f>
        <v/>
      </c>
    </row>
    <row r="4895" customFormat="false" ht="15" hidden="false" customHeight="false" outlineLevel="0" collapsed="false">
      <c r="A4895" s="13" t="str">
        <f aca="false">IF(עזר!L4895="","",INDEX(עזר!$A$2:$A$5001,עזר!L4895))</f>
        <v/>
      </c>
      <c r="B4895" s="13" t="str">
        <f aca="false">IF(עזר!L4895="","",INDEX(עזר!$B$2:$B$5001,עזר!L4895))</f>
        <v/>
      </c>
      <c r="C4895" s="13" t="str">
        <f aca="false">עזר!M4895</f>
        <v/>
      </c>
    </row>
    <row r="4896" customFormat="false" ht="15" hidden="false" customHeight="false" outlineLevel="0" collapsed="false">
      <c r="A4896" s="13" t="str">
        <f aca="false">IF(עזר!L4896="","",INDEX(עזר!$A$2:$A$5001,עזר!L4896))</f>
        <v/>
      </c>
      <c r="B4896" s="13" t="str">
        <f aca="false">IF(עזר!L4896="","",INDEX(עזר!$B$2:$B$5001,עזר!L4896))</f>
        <v/>
      </c>
      <c r="C4896" s="13" t="str">
        <f aca="false">עזר!M4896</f>
        <v/>
      </c>
    </row>
    <row r="4897" customFormat="false" ht="15" hidden="false" customHeight="false" outlineLevel="0" collapsed="false">
      <c r="A4897" s="13" t="str">
        <f aca="false">IF(עזר!L4897="","",INDEX(עזר!$A$2:$A$5001,עזר!L4897))</f>
        <v/>
      </c>
      <c r="B4897" s="13" t="str">
        <f aca="false">IF(עזר!L4897="","",INDEX(עזר!$B$2:$B$5001,עזר!L4897))</f>
        <v/>
      </c>
      <c r="C4897" s="13" t="str">
        <f aca="false">עזר!M4897</f>
        <v/>
      </c>
    </row>
    <row r="4898" customFormat="false" ht="15" hidden="false" customHeight="false" outlineLevel="0" collapsed="false">
      <c r="A4898" s="13" t="str">
        <f aca="false">IF(עזר!L4898="","",INDEX(עזר!$A$2:$A$5001,עזר!L4898))</f>
        <v/>
      </c>
      <c r="B4898" s="13" t="str">
        <f aca="false">IF(עזר!L4898="","",INDEX(עזר!$B$2:$B$5001,עזר!L4898))</f>
        <v/>
      </c>
      <c r="C4898" s="13" t="str">
        <f aca="false">עזר!M4898</f>
        <v/>
      </c>
    </row>
    <row r="4899" customFormat="false" ht="15" hidden="false" customHeight="false" outlineLevel="0" collapsed="false">
      <c r="A4899" s="13" t="str">
        <f aca="false">IF(עזר!L4899="","",INDEX(עזר!$A$2:$A$5001,עזר!L4899))</f>
        <v/>
      </c>
      <c r="B4899" s="13" t="str">
        <f aca="false">IF(עזר!L4899="","",INDEX(עזר!$B$2:$B$5001,עזר!L4899))</f>
        <v/>
      </c>
      <c r="C4899" s="13" t="str">
        <f aca="false">עזר!M4899</f>
        <v/>
      </c>
    </row>
    <row r="4900" customFormat="false" ht="15" hidden="false" customHeight="false" outlineLevel="0" collapsed="false">
      <c r="A4900" s="13" t="str">
        <f aca="false">IF(עזר!L4900="","",INDEX(עזר!$A$2:$A$5001,עזר!L4900))</f>
        <v/>
      </c>
      <c r="B4900" s="13" t="str">
        <f aca="false">IF(עזר!L4900="","",INDEX(עזר!$B$2:$B$5001,עזר!L4900))</f>
        <v/>
      </c>
      <c r="C4900" s="13" t="str">
        <f aca="false">עזר!M4900</f>
        <v/>
      </c>
    </row>
    <row r="4901" customFormat="false" ht="15" hidden="false" customHeight="false" outlineLevel="0" collapsed="false">
      <c r="A4901" s="13" t="str">
        <f aca="false">IF(עזר!L4901="","",INDEX(עזר!$A$2:$A$5001,עזר!L4901))</f>
        <v/>
      </c>
      <c r="B4901" s="13" t="str">
        <f aca="false">IF(עזר!L4901="","",INDEX(עזר!$B$2:$B$5001,עזר!L4901))</f>
        <v/>
      </c>
      <c r="C4901" s="13" t="str">
        <f aca="false">עזר!M4901</f>
        <v/>
      </c>
    </row>
    <row r="4902" customFormat="false" ht="15" hidden="false" customHeight="false" outlineLevel="0" collapsed="false">
      <c r="A4902" s="13" t="str">
        <f aca="false">IF(עזר!L4902="","",INDEX(עזר!$A$2:$A$5001,עזר!L4902))</f>
        <v/>
      </c>
      <c r="B4902" s="13" t="str">
        <f aca="false">IF(עזר!L4902="","",INDEX(עזר!$B$2:$B$5001,עזר!L4902))</f>
        <v/>
      </c>
      <c r="C4902" s="13" t="str">
        <f aca="false">עזר!M4902</f>
        <v/>
      </c>
    </row>
    <row r="4903" customFormat="false" ht="15" hidden="false" customHeight="false" outlineLevel="0" collapsed="false">
      <c r="A4903" s="13" t="str">
        <f aca="false">IF(עזר!L4903="","",INDEX(עזר!$A$2:$A$5001,עזר!L4903))</f>
        <v/>
      </c>
      <c r="B4903" s="13" t="str">
        <f aca="false">IF(עזר!L4903="","",INDEX(עזר!$B$2:$B$5001,עזר!L4903))</f>
        <v/>
      </c>
      <c r="C4903" s="13" t="str">
        <f aca="false">עזר!M4903</f>
        <v/>
      </c>
    </row>
    <row r="4904" customFormat="false" ht="15" hidden="false" customHeight="false" outlineLevel="0" collapsed="false">
      <c r="A4904" s="13" t="str">
        <f aca="false">IF(עזר!L4904="","",INDEX(עזר!$A$2:$A$5001,עזר!L4904))</f>
        <v/>
      </c>
      <c r="B4904" s="13" t="str">
        <f aca="false">IF(עזר!L4904="","",INDEX(עזר!$B$2:$B$5001,עזר!L4904))</f>
        <v/>
      </c>
      <c r="C4904" s="13" t="str">
        <f aca="false">עזר!M4904</f>
        <v/>
      </c>
    </row>
    <row r="4905" customFormat="false" ht="15" hidden="false" customHeight="false" outlineLevel="0" collapsed="false">
      <c r="A4905" s="13" t="str">
        <f aca="false">IF(עזר!L4905="","",INDEX(עזר!$A$2:$A$5001,עזר!L4905))</f>
        <v/>
      </c>
      <c r="B4905" s="13" t="str">
        <f aca="false">IF(עזר!L4905="","",INDEX(עזר!$B$2:$B$5001,עזר!L4905))</f>
        <v/>
      </c>
      <c r="C4905" s="13" t="str">
        <f aca="false">עזר!M4905</f>
        <v/>
      </c>
    </row>
    <row r="4906" customFormat="false" ht="15" hidden="false" customHeight="false" outlineLevel="0" collapsed="false">
      <c r="A4906" s="13" t="str">
        <f aca="false">IF(עזר!L4906="","",INDEX(עזר!$A$2:$A$5001,עזר!L4906))</f>
        <v/>
      </c>
      <c r="B4906" s="13" t="str">
        <f aca="false">IF(עזר!L4906="","",INDEX(עזר!$B$2:$B$5001,עזר!L4906))</f>
        <v/>
      </c>
      <c r="C4906" s="13" t="str">
        <f aca="false">עזר!M4906</f>
        <v/>
      </c>
    </row>
    <row r="4907" customFormat="false" ht="15" hidden="false" customHeight="false" outlineLevel="0" collapsed="false">
      <c r="A4907" s="13" t="str">
        <f aca="false">IF(עזר!L4907="","",INDEX(עזר!$A$2:$A$5001,עזר!L4907))</f>
        <v/>
      </c>
      <c r="B4907" s="13" t="str">
        <f aca="false">IF(עזר!L4907="","",INDEX(עזר!$B$2:$B$5001,עזר!L4907))</f>
        <v/>
      </c>
      <c r="C4907" s="13" t="str">
        <f aca="false">עזר!M4907</f>
        <v/>
      </c>
    </row>
    <row r="4908" customFormat="false" ht="15" hidden="false" customHeight="false" outlineLevel="0" collapsed="false">
      <c r="A4908" s="13" t="str">
        <f aca="false">IF(עזר!L4908="","",INDEX(עזר!$A$2:$A$5001,עזר!L4908))</f>
        <v/>
      </c>
      <c r="B4908" s="13" t="str">
        <f aca="false">IF(עזר!L4908="","",INDEX(עזר!$B$2:$B$5001,עזר!L4908))</f>
        <v/>
      </c>
      <c r="C4908" s="13" t="str">
        <f aca="false">עזר!M4908</f>
        <v/>
      </c>
    </row>
    <row r="4909" customFormat="false" ht="15" hidden="false" customHeight="false" outlineLevel="0" collapsed="false">
      <c r="A4909" s="13" t="str">
        <f aca="false">IF(עזר!L4909="","",INDEX(עזר!$A$2:$A$5001,עזר!L4909))</f>
        <v/>
      </c>
      <c r="B4909" s="13" t="str">
        <f aca="false">IF(עזר!L4909="","",INDEX(עזר!$B$2:$B$5001,עזר!L4909))</f>
        <v/>
      </c>
      <c r="C4909" s="13" t="str">
        <f aca="false">עזר!M4909</f>
        <v/>
      </c>
    </row>
    <row r="4910" customFormat="false" ht="15" hidden="false" customHeight="false" outlineLevel="0" collapsed="false">
      <c r="A4910" s="13" t="str">
        <f aca="false">IF(עזר!L4910="","",INDEX(עזר!$A$2:$A$5001,עזר!L4910))</f>
        <v/>
      </c>
      <c r="B4910" s="13" t="str">
        <f aca="false">IF(עזר!L4910="","",INDEX(עזר!$B$2:$B$5001,עזר!L4910))</f>
        <v/>
      </c>
      <c r="C4910" s="13" t="str">
        <f aca="false">עזר!M4910</f>
        <v/>
      </c>
    </row>
    <row r="4911" customFormat="false" ht="15" hidden="false" customHeight="false" outlineLevel="0" collapsed="false">
      <c r="A4911" s="13" t="str">
        <f aca="false">IF(עזר!L4911="","",INDEX(עזר!$A$2:$A$5001,עזר!L4911))</f>
        <v/>
      </c>
      <c r="B4911" s="13" t="str">
        <f aca="false">IF(עזר!L4911="","",INDEX(עזר!$B$2:$B$5001,עזר!L4911))</f>
        <v/>
      </c>
      <c r="C4911" s="13" t="str">
        <f aca="false">עזר!M4911</f>
        <v/>
      </c>
    </row>
    <row r="4912" customFormat="false" ht="15" hidden="false" customHeight="false" outlineLevel="0" collapsed="false">
      <c r="A4912" s="13" t="str">
        <f aca="false">IF(עזר!L4912="","",INDEX(עזר!$A$2:$A$5001,עזר!L4912))</f>
        <v/>
      </c>
      <c r="B4912" s="13" t="str">
        <f aca="false">IF(עזר!L4912="","",INDEX(עזר!$B$2:$B$5001,עזר!L4912))</f>
        <v/>
      </c>
      <c r="C4912" s="13" t="str">
        <f aca="false">עזר!M4912</f>
        <v/>
      </c>
    </row>
    <row r="4913" customFormat="false" ht="15" hidden="false" customHeight="false" outlineLevel="0" collapsed="false">
      <c r="A4913" s="13" t="str">
        <f aca="false">IF(עזר!L4913="","",INDEX(עזר!$A$2:$A$5001,עזר!L4913))</f>
        <v/>
      </c>
      <c r="B4913" s="13" t="str">
        <f aca="false">IF(עזר!L4913="","",INDEX(עזר!$B$2:$B$5001,עזר!L4913))</f>
        <v/>
      </c>
      <c r="C4913" s="13" t="str">
        <f aca="false">עזר!M4913</f>
        <v/>
      </c>
    </row>
    <row r="4914" customFormat="false" ht="15" hidden="false" customHeight="false" outlineLevel="0" collapsed="false">
      <c r="A4914" s="13" t="str">
        <f aca="false">IF(עזר!L4914="","",INDEX(עזר!$A$2:$A$5001,עזר!L4914))</f>
        <v/>
      </c>
      <c r="B4914" s="13" t="str">
        <f aca="false">IF(עזר!L4914="","",INDEX(עזר!$B$2:$B$5001,עזר!L4914))</f>
        <v/>
      </c>
      <c r="C4914" s="13" t="str">
        <f aca="false">עזר!M4914</f>
        <v/>
      </c>
    </row>
    <row r="4915" customFormat="false" ht="15" hidden="false" customHeight="false" outlineLevel="0" collapsed="false">
      <c r="A4915" s="13" t="str">
        <f aca="false">IF(עזר!L4915="","",INDEX(עזר!$A$2:$A$5001,עזר!L4915))</f>
        <v/>
      </c>
      <c r="B4915" s="13" t="str">
        <f aca="false">IF(עזר!L4915="","",INDEX(עזר!$B$2:$B$5001,עזר!L4915))</f>
        <v/>
      </c>
      <c r="C4915" s="13" t="str">
        <f aca="false">עזר!M4915</f>
        <v/>
      </c>
    </row>
    <row r="4916" customFormat="false" ht="15" hidden="false" customHeight="false" outlineLevel="0" collapsed="false">
      <c r="A4916" s="13" t="str">
        <f aca="false">IF(עזר!L4916="","",INDEX(עזר!$A$2:$A$5001,עזר!L4916))</f>
        <v/>
      </c>
      <c r="B4916" s="13" t="str">
        <f aca="false">IF(עזר!L4916="","",INDEX(עזר!$B$2:$B$5001,עזר!L4916))</f>
        <v/>
      </c>
      <c r="C4916" s="13" t="str">
        <f aca="false">עזר!M4916</f>
        <v/>
      </c>
    </row>
    <row r="4917" customFormat="false" ht="15" hidden="false" customHeight="false" outlineLevel="0" collapsed="false">
      <c r="A4917" s="13" t="str">
        <f aca="false">IF(עזר!L4917="","",INDEX(עזר!$A$2:$A$5001,עזר!L4917))</f>
        <v/>
      </c>
      <c r="B4917" s="13" t="str">
        <f aca="false">IF(עזר!L4917="","",INDEX(עזר!$B$2:$B$5001,עזר!L4917))</f>
        <v/>
      </c>
      <c r="C4917" s="13" t="str">
        <f aca="false">עזר!M4917</f>
        <v/>
      </c>
    </row>
    <row r="4918" customFormat="false" ht="15" hidden="false" customHeight="false" outlineLevel="0" collapsed="false">
      <c r="A4918" s="13" t="str">
        <f aca="false">IF(עזר!L4918="","",INDEX(עזר!$A$2:$A$5001,עזר!L4918))</f>
        <v/>
      </c>
      <c r="B4918" s="13" t="str">
        <f aca="false">IF(עזר!L4918="","",INDEX(עזר!$B$2:$B$5001,עזר!L4918))</f>
        <v/>
      </c>
      <c r="C4918" s="13" t="str">
        <f aca="false">עזר!M4918</f>
        <v/>
      </c>
    </row>
    <row r="4919" customFormat="false" ht="15" hidden="false" customHeight="false" outlineLevel="0" collapsed="false">
      <c r="A4919" s="13" t="str">
        <f aca="false">IF(עזר!L4919="","",INDEX(עזר!$A$2:$A$5001,עזר!L4919))</f>
        <v/>
      </c>
      <c r="B4919" s="13" t="str">
        <f aca="false">IF(עזר!L4919="","",INDEX(עזר!$B$2:$B$5001,עזר!L4919))</f>
        <v/>
      </c>
      <c r="C4919" s="13" t="str">
        <f aca="false">עזר!M4919</f>
        <v/>
      </c>
    </row>
    <row r="4920" customFormat="false" ht="15" hidden="false" customHeight="false" outlineLevel="0" collapsed="false">
      <c r="A4920" s="13" t="str">
        <f aca="false">IF(עזר!L4920="","",INDEX(עזר!$A$2:$A$5001,עזר!L4920))</f>
        <v/>
      </c>
      <c r="B4920" s="13" t="str">
        <f aca="false">IF(עזר!L4920="","",INDEX(עזר!$B$2:$B$5001,עזר!L4920))</f>
        <v/>
      </c>
      <c r="C4920" s="13" t="str">
        <f aca="false">עזר!M4920</f>
        <v/>
      </c>
    </row>
    <row r="4921" customFormat="false" ht="15" hidden="false" customHeight="false" outlineLevel="0" collapsed="false">
      <c r="A4921" s="13" t="str">
        <f aca="false">IF(עזר!L4921="","",INDEX(עזר!$A$2:$A$5001,עזר!L4921))</f>
        <v/>
      </c>
      <c r="B4921" s="13" t="str">
        <f aca="false">IF(עזר!L4921="","",INDEX(עזר!$B$2:$B$5001,עזר!L4921))</f>
        <v/>
      </c>
      <c r="C4921" s="13" t="str">
        <f aca="false">עזר!M4921</f>
        <v/>
      </c>
    </row>
    <row r="4922" customFormat="false" ht="15" hidden="false" customHeight="false" outlineLevel="0" collapsed="false">
      <c r="A4922" s="13" t="str">
        <f aca="false">IF(עזר!L4922="","",INDEX(עזר!$A$2:$A$5001,עזר!L4922))</f>
        <v/>
      </c>
      <c r="B4922" s="13" t="str">
        <f aca="false">IF(עזר!L4922="","",INDEX(עזר!$B$2:$B$5001,עזר!L4922))</f>
        <v/>
      </c>
      <c r="C4922" s="13" t="str">
        <f aca="false">עזר!M4922</f>
        <v/>
      </c>
    </row>
    <row r="4923" customFormat="false" ht="15" hidden="false" customHeight="false" outlineLevel="0" collapsed="false">
      <c r="A4923" s="13" t="str">
        <f aca="false">IF(עזר!L4923="","",INDEX(עזר!$A$2:$A$5001,עזר!L4923))</f>
        <v/>
      </c>
      <c r="B4923" s="13" t="str">
        <f aca="false">IF(עזר!L4923="","",INDEX(עזר!$B$2:$B$5001,עזר!L4923))</f>
        <v/>
      </c>
      <c r="C4923" s="13" t="str">
        <f aca="false">עזר!M4923</f>
        <v/>
      </c>
    </row>
    <row r="4924" customFormat="false" ht="15" hidden="false" customHeight="false" outlineLevel="0" collapsed="false">
      <c r="A4924" s="13" t="str">
        <f aca="false">IF(עזר!L4924="","",INDEX(עזר!$A$2:$A$5001,עזר!L4924))</f>
        <v/>
      </c>
      <c r="B4924" s="13" t="str">
        <f aca="false">IF(עזר!L4924="","",INDEX(עזר!$B$2:$B$5001,עזר!L4924))</f>
        <v/>
      </c>
      <c r="C4924" s="13" t="str">
        <f aca="false">עזר!M4924</f>
        <v/>
      </c>
    </row>
    <row r="4925" customFormat="false" ht="15" hidden="false" customHeight="false" outlineLevel="0" collapsed="false">
      <c r="A4925" s="13" t="str">
        <f aca="false">IF(עזר!L4925="","",INDEX(עזר!$A$2:$A$5001,עזר!L4925))</f>
        <v/>
      </c>
      <c r="B4925" s="13" t="str">
        <f aca="false">IF(עזר!L4925="","",INDEX(עזר!$B$2:$B$5001,עזר!L4925))</f>
        <v/>
      </c>
      <c r="C4925" s="13" t="str">
        <f aca="false">עזר!M4925</f>
        <v/>
      </c>
    </row>
    <row r="4926" customFormat="false" ht="15" hidden="false" customHeight="false" outlineLevel="0" collapsed="false">
      <c r="A4926" s="13" t="str">
        <f aca="false">IF(עזר!L4926="","",INDEX(עזר!$A$2:$A$5001,עזר!L4926))</f>
        <v/>
      </c>
      <c r="B4926" s="13" t="str">
        <f aca="false">IF(עזר!L4926="","",INDEX(עזר!$B$2:$B$5001,עזר!L4926))</f>
        <v/>
      </c>
      <c r="C4926" s="13" t="str">
        <f aca="false">עזר!M4926</f>
        <v/>
      </c>
    </row>
    <row r="4927" customFormat="false" ht="15" hidden="false" customHeight="false" outlineLevel="0" collapsed="false">
      <c r="A4927" s="13" t="str">
        <f aca="false">IF(עזר!L4927="","",INDEX(עזר!$A$2:$A$5001,עזר!L4927))</f>
        <v/>
      </c>
      <c r="B4927" s="13" t="str">
        <f aca="false">IF(עזר!L4927="","",INDEX(עזר!$B$2:$B$5001,עזר!L4927))</f>
        <v/>
      </c>
      <c r="C4927" s="13" t="str">
        <f aca="false">עזר!M4927</f>
        <v/>
      </c>
    </row>
    <row r="4928" customFormat="false" ht="15" hidden="false" customHeight="false" outlineLevel="0" collapsed="false">
      <c r="A4928" s="13" t="str">
        <f aca="false">IF(עזר!L4928="","",INDEX(עזר!$A$2:$A$5001,עזר!L4928))</f>
        <v/>
      </c>
      <c r="B4928" s="13" t="str">
        <f aca="false">IF(עזר!L4928="","",INDEX(עזר!$B$2:$B$5001,עזר!L4928))</f>
        <v/>
      </c>
      <c r="C4928" s="13" t="str">
        <f aca="false">עזר!M4928</f>
        <v/>
      </c>
    </row>
    <row r="4929" customFormat="false" ht="15" hidden="false" customHeight="false" outlineLevel="0" collapsed="false">
      <c r="A4929" s="13" t="str">
        <f aca="false">IF(עזר!L4929="","",INDEX(עזר!$A$2:$A$5001,עזר!L4929))</f>
        <v/>
      </c>
      <c r="B4929" s="13" t="str">
        <f aca="false">IF(עזר!L4929="","",INDEX(עזר!$B$2:$B$5001,עזר!L4929))</f>
        <v/>
      </c>
      <c r="C4929" s="13" t="str">
        <f aca="false">עזר!M4929</f>
        <v/>
      </c>
    </row>
    <row r="4930" customFormat="false" ht="15" hidden="false" customHeight="false" outlineLevel="0" collapsed="false">
      <c r="A4930" s="13" t="str">
        <f aca="false">IF(עזר!L4930="","",INDEX(עזר!$A$2:$A$5001,עזר!L4930))</f>
        <v/>
      </c>
      <c r="B4930" s="13" t="str">
        <f aca="false">IF(עזר!L4930="","",INDEX(עזר!$B$2:$B$5001,עזר!L4930))</f>
        <v/>
      </c>
      <c r="C4930" s="13" t="str">
        <f aca="false">עזר!M4930</f>
        <v/>
      </c>
    </row>
    <row r="4931" customFormat="false" ht="15" hidden="false" customHeight="false" outlineLevel="0" collapsed="false">
      <c r="A4931" s="13" t="str">
        <f aca="false">IF(עזר!L4931="","",INDEX(עזר!$A$2:$A$5001,עזר!L4931))</f>
        <v/>
      </c>
      <c r="B4931" s="13" t="str">
        <f aca="false">IF(עזר!L4931="","",INDEX(עזר!$B$2:$B$5001,עזר!L4931))</f>
        <v/>
      </c>
      <c r="C4931" s="13" t="str">
        <f aca="false">עזר!M4931</f>
        <v/>
      </c>
    </row>
    <row r="4932" customFormat="false" ht="15" hidden="false" customHeight="false" outlineLevel="0" collapsed="false">
      <c r="A4932" s="13" t="str">
        <f aca="false">IF(עזר!L4932="","",INDEX(עזר!$A$2:$A$5001,עזר!L4932))</f>
        <v/>
      </c>
      <c r="B4932" s="13" t="str">
        <f aca="false">IF(עזר!L4932="","",INDEX(עזר!$B$2:$B$5001,עזר!L4932))</f>
        <v/>
      </c>
      <c r="C4932" s="13" t="str">
        <f aca="false">עזר!M4932</f>
        <v/>
      </c>
    </row>
    <row r="4933" customFormat="false" ht="15" hidden="false" customHeight="false" outlineLevel="0" collapsed="false">
      <c r="A4933" s="13" t="str">
        <f aca="false">IF(עזר!L4933="","",INDEX(עזר!$A$2:$A$5001,עזר!L4933))</f>
        <v/>
      </c>
      <c r="B4933" s="13" t="str">
        <f aca="false">IF(עזר!L4933="","",INDEX(עזר!$B$2:$B$5001,עזר!L4933))</f>
        <v/>
      </c>
      <c r="C4933" s="13" t="str">
        <f aca="false">עזר!M4933</f>
        <v/>
      </c>
    </row>
    <row r="4934" customFormat="false" ht="15" hidden="false" customHeight="false" outlineLevel="0" collapsed="false">
      <c r="A4934" s="13" t="str">
        <f aca="false">IF(עזר!L4934="","",INDEX(עזר!$A$2:$A$5001,עזר!L4934))</f>
        <v/>
      </c>
      <c r="B4934" s="13" t="str">
        <f aca="false">IF(עזר!L4934="","",INDEX(עזר!$B$2:$B$5001,עזר!L4934))</f>
        <v/>
      </c>
      <c r="C4934" s="13" t="str">
        <f aca="false">עזר!M4934</f>
        <v/>
      </c>
    </row>
    <row r="4935" customFormat="false" ht="15" hidden="false" customHeight="false" outlineLevel="0" collapsed="false">
      <c r="A4935" s="13" t="str">
        <f aca="false">IF(עזר!L4935="","",INDEX(עזר!$A$2:$A$5001,עזר!L4935))</f>
        <v/>
      </c>
      <c r="B4935" s="13" t="str">
        <f aca="false">IF(עזר!L4935="","",INDEX(עזר!$B$2:$B$5001,עזר!L4935))</f>
        <v/>
      </c>
      <c r="C4935" s="13" t="str">
        <f aca="false">עזר!M4935</f>
        <v/>
      </c>
    </row>
    <row r="4936" customFormat="false" ht="15" hidden="false" customHeight="false" outlineLevel="0" collapsed="false">
      <c r="A4936" s="13" t="str">
        <f aca="false">IF(עזר!L4936="","",INDEX(עזר!$A$2:$A$5001,עזר!L4936))</f>
        <v/>
      </c>
      <c r="B4936" s="13" t="str">
        <f aca="false">IF(עזר!L4936="","",INDEX(עזר!$B$2:$B$5001,עזר!L4936))</f>
        <v/>
      </c>
      <c r="C4936" s="13" t="str">
        <f aca="false">עזר!M4936</f>
        <v/>
      </c>
    </row>
    <row r="4937" customFormat="false" ht="15" hidden="false" customHeight="false" outlineLevel="0" collapsed="false">
      <c r="A4937" s="13" t="str">
        <f aca="false">IF(עזר!L4937="","",INDEX(עזר!$A$2:$A$5001,עזר!L4937))</f>
        <v/>
      </c>
      <c r="B4937" s="13" t="str">
        <f aca="false">IF(עזר!L4937="","",INDEX(עזר!$B$2:$B$5001,עזר!L4937))</f>
        <v/>
      </c>
      <c r="C4937" s="13" t="str">
        <f aca="false">עזר!M4937</f>
        <v/>
      </c>
    </row>
    <row r="4938" customFormat="false" ht="15" hidden="false" customHeight="false" outlineLevel="0" collapsed="false">
      <c r="A4938" s="13" t="str">
        <f aca="false">IF(עזר!L4938="","",INDEX(עזר!$A$2:$A$5001,עזר!L4938))</f>
        <v/>
      </c>
      <c r="B4938" s="13" t="str">
        <f aca="false">IF(עזר!L4938="","",INDEX(עזר!$B$2:$B$5001,עזר!L4938))</f>
        <v/>
      </c>
      <c r="C4938" s="13" t="str">
        <f aca="false">עזר!M4938</f>
        <v/>
      </c>
    </row>
    <row r="4939" customFormat="false" ht="15" hidden="false" customHeight="false" outlineLevel="0" collapsed="false">
      <c r="A4939" s="13" t="str">
        <f aca="false">IF(עזר!L4939="","",INDEX(עזר!$A$2:$A$5001,עזר!L4939))</f>
        <v/>
      </c>
      <c r="B4939" s="13" t="str">
        <f aca="false">IF(עזר!L4939="","",INDEX(עזר!$B$2:$B$5001,עזר!L4939))</f>
        <v/>
      </c>
      <c r="C4939" s="13" t="str">
        <f aca="false">עזר!M4939</f>
        <v/>
      </c>
    </row>
    <row r="4940" customFormat="false" ht="15" hidden="false" customHeight="false" outlineLevel="0" collapsed="false">
      <c r="A4940" s="13" t="str">
        <f aca="false">IF(עזר!L4940="","",INDEX(עזר!$A$2:$A$5001,עזר!L4940))</f>
        <v/>
      </c>
      <c r="B4940" s="13" t="str">
        <f aca="false">IF(עזר!L4940="","",INDEX(עזר!$B$2:$B$5001,עזר!L4940))</f>
        <v/>
      </c>
      <c r="C4940" s="13" t="str">
        <f aca="false">עזר!M4940</f>
        <v/>
      </c>
    </row>
    <row r="4941" customFormat="false" ht="15" hidden="false" customHeight="false" outlineLevel="0" collapsed="false">
      <c r="A4941" s="13" t="str">
        <f aca="false">IF(עזר!L4941="","",INDEX(עזר!$A$2:$A$5001,עזר!L4941))</f>
        <v/>
      </c>
      <c r="B4941" s="13" t="str">
        <f aca="false">IF(עזר!L4941="","",INDEX(עזר!$B$2:$B$5001,עזר!L4941))</f>
        <v/>
      </c>
      <c r="C4941" s="13" t="str">
        <f aca="false">עזר!M4941</f>
        <v/>
      </c>
    </row>
    <row r="4942" customFormat="false" ht="15" hidden="false" customHeight="false" outlineLevel="0" collapsed="false">
      <c r="A4942" s="13" t="str">
        <f aca="false">IF(עזר!L4942="","",INDEX(עזר!$A$2:$A$5001,עזר!L4942))</f>
        <v/>
      </c>
      <c r="B4942" s="13" t="str">
        <f aca="false">IF(עזר!L4942="","",INDEX(עזר!$B$2:$B$5001,עזר!L4942))</f>
        <v/>
      </c>
      <c r="C4942" s="13" t="str">
        <f aca="false">עזר!M4942</f>
        <v/>
      </c>
    </row>
    <row r="4943" customFormat="false" ht="15" hidden="false" customHeight="false" outlineLevel="0" collapsed="false">
      <c r="A4943" s="13" t="str">
        <f aca="false">IF(עזר!L4943="","",INDEX(עזר!$A$2:$A$5001,עזר!L4943))</f>
        <v/>
      </c>
      <c r="B4943" s="13" t="str">
        <f aca="false">IF(עזר!L4943="","",INDEX(עזר!$B$2:$B$5001,עזר!L4943))</f>
        <v/>
      </c>
      <c r="C4943" s="13" t="str">
        <f aca="false">עזר!M4943</f>
        <v/>
      </c>
    </row>
    <row r="4944" customFormat="false" ht="15" hidden="false" customHeight="false" outlineLevel="0" collapsed="false">
      <c r="A4944" s="13" t="str">
        <f aca="false">IF(עזר!L4944="","",INDEX(עזר!$A$2:$A$5001,עזר!L4944))</f>
        <v/>
      </c>
      <c r="B4944" s="13" t="str">
        <f aca="false">IF(עזר!L4944="","",INDEX(עזר!$B$2:$B$5001,עזר!L4944))</f>
        <v/>
      </c>
      <c r="C4944" s="13" t="str">
        <f aca="false">עזר!M4944</f>
        <v/>
      </c>
    </row>
    <row r="4945" customFormat="false" ht="15" hidden="false" customHeight="false" outlineLevel="0" collapsed="false">
      <c r="A4945" s="13" t="str">
        <f aca="false">IF(עזר!L4945="","",INDEX(עזר!$A$2:$A$5001,עזר!L4945))</f>
        <v/>
      </c>
      <c r="B4945" s="13" t="str">
        <f aca="false">IF(עזר!L4945="","",INDEX(עזר!$B$2:$B$5001,עזר!L4945))</f>
        <v/>
      </c>
      <c r="C4945" s="13" t="str">
        <f aca="false">עזר!M4945</f>
        <v/>
      </c>
    </row>
    <row r="4946" customFormat="false" ht="15" hidden="false" customHeight="false" outlineLevel="0" collapsed="false">
      <c r="A4946" s="13" t="str">
        <f aca="false">IF(עזר!L4946="","",INDEX(עזר!$A$2:$A$5001,עזר!L4946))</f>
        <v/>
      </c>
      <c r="B4946" s="13" t="str">
        <f aca="false">IF(עזר!L4946="","",INDEX(עזר!$B$2:$B$5001,עזר!L4946))</f>
        <v/>
      </c>
      <c r="C4946" s="13" t="str">
        <f aca="false">עזר!M4946</f>
        <v/>
      </c>
    </row>
    <row r="4947" customFormat="false" ht="15" hidden="false" customHeight="false" outlineLevel="0" collapsed="false">
      <c r="A4947" s="13" t="str">
        <f aca="false">IF(עזר!L4947="","",INDEX(עזר!$A$2:$A$5001,עזר!L4947))</f>
        <v/>
      </c>
      <c r="B4947" s="13" t="str">
        <f aca="false">IF(עזר!L4947="","",INDEX(עזר!$B$2:$B$5001,עזר!L4947))</f>
        <v/>
      </c>
      <c r="C4947" s="13" t="str">
        <f aca="false">עזר!M4947</f>
        <v/>
      </c>
    </row>
    <row r="4948" customFormat="false" ht="15" hidden="false" customHeight="false" outlineLevel="0" collapsed="false">
      <c r="A4948" s="13" t="str">
        <f aca="false">IF(עזר!L4948="","",INDEX(עזר!$A$2:$A$5001,עזר!L4948))</f>
        <v/>
      </c>
      <c r="B4948" s="13" t="str">
        <f aca="false">IF(עזר!L4948="","",INDEX(עזר!$B$2:$B$5001,עזר!L4948))</f>
        <v/>
      </c>
      <c r="C4948" s="13" t="str">
        <f aca="false">עזר!M4948</f>
        <v/>
      </c>
    </row>
    <row r="4949" customFormat="false" ht="15" hidden="false" customHeight="false" outlineLevel="0" collapsed="false">
      <c r="A4949" s="13" t="str">
        <f aca="false">IF(עזר!L4949="","",INDEX(עזר!$A$2:$A$5001,עזר!L4949))</f>
        <v/>
      </c>
      <c r="B4949" s="13" t="str">
        <f aca="false">IF(עזר!L4949="","",INDEX(עזר!$B$2:$B$5001,עזר!L4949))</f>
        <v/>
      </c>
      <c r="C4949" s="13" t="str">
        <f aca="false">עזר!M4949</f>
        <v/>
      </c>
    </row>
    <row r="4950" customFormat="false" ht="15" hidden="false" customHeight="false" outlineLevel="0" collapsed="false">
      <c r="A4950" s="13" t="str">
        <f aca="false">IF(עזר!L4950="","",INDEX(עזר!$A$2:$A$5001,עזר!L4950))</f>
        <v/>
      </c>
      <c r="B4950" s="13" t="str">
        <f aca="false">IF(עזר!L4950="","",INDEX(עזר!$B$2:$B$5001,עזר!L4950))</f>
        <v/>
      </c>
      <c r="C4950" s="13" t="str">
        <f aca="false">עזר!M4950</f>
        <v/>
      </c>
    </row>
    <row r="4951" customFormat="false" ht="15" hidden="false" customHeight="false" outlineLevel="0" collapsed="false">
      <c r="A4951" s="13" t="str">
        <f aca="false">IF(עזר!L4951="","",INDEX(עזר!$A$2:$A$5001,עזר!L4951))</f>
        <v/>
      </c>
      <c r="B4951" s="13" t="str">
        <f aca="false">IF(עזר!L4951="","",INDEX(עזר!$B$2:$B$5001,עזר!L4951))</f>
        <v/>
      </c>
      <c r="C4951" s="13" t="str">
        <f aca="false">עזר!M4951</f>
        <v/>
      </c>
    </row>
    <row r="4952" customFormat="false" ht="15" hidden="false" customHeight="false" outlineLevel="0" collapsed="false">
      <c r="A4952" s="13" t="str">
        <f aca="false">IF(עזר!L4952="","",INDEX(עזר!$A$2:$A$5001,עזר!L4952))</f>
        <v/>
      </c>
      <c r="B4952" s="13" t="str">
        <f aca="false">IF(עזר!L4952="","",INDEX(עזר!$B$2:$B$5001,עזר!L4952))</f>
        <v/>
      </c>
      <c r="C4952" s="13" t="str">
        <f aca="false">עזר!M4952</f>
        <v/>
      </c>
    </row>
    <row r="4953" customFormat="false" ht="15" hidden="false" customHeight="false" outlineLevel="0" collapsed="false">
      <c r="A4953" s="13" t="str">
        <f aca="false">IF(עזר!L4953="","",INDEX(עזר!$A$2:$A$5001,עזר!L4953))</f>
        <v/>
      </c>
      <c r="B4953" s="13" t="str">
        <f aca="false">IF(עזר!L4953="","",INDEX(עזר!$B$2:$B$5001,עזר!L4953))</f>
        <v/>
      </c>
      <c r="C4953" s="13" t="str">
        <f aca="false">עזר!M4953</f>
        <v/>
      </c>
    </row>
    <row r="4954" customFormat="false" ht="15" hidden="false" customHeight="false" outlineLevel="0" collapsed="false">
      <c r="A4954" s="13" t="str">
        <f aca="false">IF(עזר!L4954="","",INDEX(עזר!$A$2:$A$5001,עזר!L4954))</f>
        <v/>
      </c>
      <c r="B4954" s="13" t="str">
        <f aca="false">IF(עזר!L4954="","",INDEX(עזר!$B$2:$B$5001,עזר!L4954))</f>
        <v/>
      </c>
      <c r="C4954" s="13" t="str">
        <f aca="false">עזר!M4954</f>
        <v/>
      </c>
    </row>
    <row r="4955" customFormat="false" ht="15" hidden="false" customHeight="false" outlineLevel="0" collapsed="false">
      <c r="A4955" s="13" t="str">
        <f aca="false">IF(עזר!L4955="","",INDEX(עזר!$A$2:$A$5001,עזר!L4955))</f>
        <v/>
      </c>
      <c r="B4955" s="13" t="str">
        <f aca="false">IF(עזר!L4955="","",INDEX(עזר!$B$2:$B$5001,עזר!L4955))</f>
        <v/>
      </c>
      <c r="C4955" s="13" t="str">
        <f aca="false">עזר!M4955</f>
        <v/>
      </c>
    </row>
    <row r="4956" customFormat="false" ht="15" hidden="false" customHeight="false" outlineLevel="0" collapsed="false">
      <c r="A4956" s="13" t="str">
        <f aca="false">IF(עזר!L4956="","",INDEX(עזר!$A$2:$A$5001,עזר!L4956))</f>
        <v/>
      </c>
      <c r="B4956" s="13" t="str">
        <f aca="false">IF(עזר!L4956="","",INDEX(עזר!$B$2:$B$5001,עזר!L4956))</f>
        <v/>
      </c>
      <c r="C4956" s="13" t="str">
        <f aca="false">עזר!M4956</f>
        <v/>
      </c>
    </row>
    <row r="4957" customFormat="false" ht="15" hidden="false" customHeight="false" outlineLevel="0" collapsed="false">
      <c r="A4957" s="13" t="str">
        <f aca="false">IF(עזר!L4957="","",INDEX(עזר!$A$2:$A$5001,עזר!L4957))</f>
        <v/>
      </c>
      <c r="B4957" s="13" t="str">
        <f aca="false">IF(עזר!L4957="","",INDEX(עזר!$B$2:$B$5001,עזר!L4957))</f>
        <v/>
      </c>
      <c r="C4957" s="13" t="str">
        <f aca="false">עזר!M4957</f>
        <v/>
      </c>
    </row>
    <row r="4958" customFormat="false" ht="15" hidden="false" customHeight="false" outlineLevel="0" collapsed="false">
      <c r="A4958" s="13" t="str">
        <f aca="false">IF(עזר!L4958="","",INDEX(עזר!$A$2:$A$5001,עזר!L4958))</f>
        <v/>
      </c>
      <c r="B4958" s="13" t="str">
        <f aca="false">IF(עזר!L4958="","",INDEX(עזר!$B$2:$B$5001,עזר!L4958))</f>
        <v/>
      </c>
      <c r="C4958" s="13" t="str">
        <f aca="false">עזר!M4958</f>
        <v/>
      </c>
    </row>
    <row r="4959" customFormat="false" ht="15" hidden="false" customHeight="false" outlineLevel="0" collapsed="false">
      <c r="A4959" s="13" t="str">
        <f aca="false">IF(עזר!L4959="","",INDEX(עזר!$A$2:$A$5001,עזר!L4959))</f>
        <v/>
      </c>
      <c r="B4959" s="13" t="str">
        <f aca="false">IF(עזר!L4959="","",INDEX(עזר!$B$2:$B$5001,עזר!L4959))</f>
        <v/>
      </c>
      <c r="C4959" s="13" t="str">
        <f aca="false">עזר!M4959</f>
        <v/>
      </c>
    </row>
    <row r="4960" customFormat="false" ht="15" hidden="false" customHeight="false" outlineLevel="0" collapsed="false">
      <c r="A4960" s="13" t="str">
        <f aca="false">IF(עזר!L4960="","",INDEX(עזר!$A$2:$A$5001,עזר!L4960))</f>
        <v/>
      </c>
      <c r="B4960" s="13" t="str">
        <f aca="false">IF(עזר!L4960="","",INDEX(עזר!$B$2:$B$5001,עזר!L4960))</f>
        <v/>
      </c>
      <c r="C4960" s="13" t="str">
        <f aca="false">עזר!M4960</f>
        <v/>
      </c>
    </row>
    <row r="4961" customFormat="false" ht="15" hidden="false" customHeight="false" outlineLevel="0" collapsed="false">
      <c r="A4961" s="13" t="str">
        <f aca="false">IF(עזר!L4961="","",INDEX(עזר!$A$2:$A$5001,עזר!L4961))</f>
        <v/>
      </c>
      <c r="B4961" s="13" t="str">
        <f aca="false">IF(עזר!L4961="","",INDEX(עזר!$B$2:$B$5001,עזר!L4961))</f>
        <v/>
      </c>
      <c r="C4961" s="13" t="str">
        <f aca="false">עזר!M4961</f>
        <v/>
      </c>
    </row>
    <row r="4962" customFormat="false" ht="15" hidden="false" customHeight="false" outlineLevel="0" collapsed="false">
      <c r="A4962" s="13" t="str">
        <f aca="false">IF(עזר!L4962="","",INDEX(עזר!$A$2:$A$5001,עזר!L4962))</f>
        <v/>
      </c>
      <c r="B4962" s="13" t="str">
        <f aca="false">IF(עזר!L4962="","",INDEX(עזר!$B$2:$B$5001,עזר!L4962))</f>
        <v/>
      </c>
      <c r="C4962" s="13" t="str">
        <f aca="false">עזר!M4962</f>
        <v/>
      </c>
    </row>
    <row r="4963" customFormat="false" ht="15" hidden="false" customHeight="false" outlineLevel="0" collapsed="false">
      <c r="A4963" s="13" t="str">
        <f aca="false">IF(עזר!L4963="","",INDEX(עזר!$A$2:$A$5001,עזר!L4963))</f>
        <v/>
      </c>
      <c r="B4963" s="13" t="str">
        <f aca="false">IF(עזר!L4963="","",INDEX(עזר!$B$2:$B$5001,עזר!L4963))</f>
        <v/>
      </c>
      <c r="C4963" s="13" t="str">
        <f aca="false">עזר!M4963</f>
        <v/>
      </c>
    </row>
    <row r="4964" customFormat="false" ht="15" hidden="false" customHeight="false" outlineLevel="0" collapsed="false">
      <c r="A4964" s="13" t="str">
        <f aca="false">IF(עזר!L4964="","",INDEX(עזר!$A$2:$A$5001,עזר!L4964))</f>
        <v/>
      </c>
      <c r="B4964" s="13" t="str">
        <f aca="false">IF(עזר!L4964="","",INDEX(עזר!$B$2:$B$5001,עזר!L4964))</f>
        <v/>
      </c>
      <c r="C4964" s="13" t="str">
        <f aca="false">עזר!M4964</f>
        <v/>
      </c>
    </row>
    <row r="4965" customFormat="false" ht="15" hidden="false" customHeight="false" outlineLevel="0" collapsed="false">
      <c r="A4965" s="13" t="str">
        <f aca="false">IF(עזר!L4965="","",INDEX(עזר!$A$2:$A$5001,עזר!L4965))</f>
        <v/>
      </c>
      <c r="B4965" s="13" t="str">
        <f aca="false">IF(עזר!L4965="","",INDEX(עזר!$B$2:$B$5001,עזר!L4965))</f>
        <v/>
      </c>
      <c r="C4965" s="13" t="str">
        <f aca="false">עזר!M4965</f>
        <v/>
      </c>
    </row>
    <row r="4966" customFormat="false" ht="15" hidden="false" customHeight="false" outlineLevel="0" collapsed="false">
      <c r="A4966" s="13" t="str">
        <f aca="false">IF(עזר!L4966="","",INDEX(עזר!$A$2:$A$5001,עזר!L4966))</f>
        <v/>
      </c>
      <c r="B4966" s="13" t="str">
        <f aca="false">IF(עזר!L4966="","",INDEX(עזר!$B$2:$B$5001,עזר!L4966))</f>
        <v/>
      </c>
      <c r="C4966" s="13" t="str">
        <f aca="false">עזר!M4966</f>
        <v/>
      </c>
    </row>
    <row r="4967" customFormat="false" ht="15" hidden="false" customHeight="false" outlineLevel="0" collapsed="false">
      <c r="A4967" s="13" t="str">
        <f aca="false">IF(עזר!L4967="","",INDEX(עזר!$A$2:$A$5001,עזר!L4967))</f>
        <v/>
      </c>
      <c r="B4967" s="13" t="str">
        <f aca="false">IF(עזר!L4967="","",INDEX(עזר!$B$2:$B$5001,עזר!L4967))</f>
        <v/>
      </c>
      <c r="C4967" s="13" t="str">
        <f aca="false">עזר!M4967</f>
        <v/>
      </c>
    </row>
    <row r="4968" customFormat="false" ht="15" hidden="false" customHeight="false" outlineLevel="0" collapsed="false">
      <c r="A4968" s="13" t="str">
        <f aca="false">IF(עזר!L4968="","",INDEX(עזר!$A$2:$A$5001,עזר!L4968))</f>
        <v/>
      </c>
      <c r="B4968" s="13" t="str">
        <f aca="false">IF(עזר!L4968="","",INDEX(עזר!$B$2:$B$5001,עזר!L4968))</f>
        <v/>
      </c>
      <c r="C4968" s="13" t="str">
        <f aca="false">עזר!M4968</f>
        <v/>
      </c>
    </row>
    <row r="4969" customFormat="false" ht="15" hidden="false" customHeight="false" outlineLevel="0" collapsed="false">
      <c r="A4969" s="13" t="str">
        <f aca="false">IF(עזר!L4969="","",INDEX(עזר!$A$2:$A$5001,עזר!L4969))</f>
        <v/>
      </c>
      <c r="B4969" s="13" t="str">
        <f aca="false">IF(עזר!L4969="","",INDEX(עזר!$B$2:$B$5001,עזר!L4969))</f>
        <v/>
      </c>
      <c r="C4969" s="13" t="str">
        <f aca="false">עזר!M4969</f>
        <v/>
      </c>
    </row>
    <row r="4970" customFormat="false" ht="15" hidden="false" customHeight="false" outlineLevel="0" collapsed="false">
      <c r="A4970" s="13" t="str">
        <f aca="false">IF(עזר!L4970="","",INDEX(עזר!$A$2:$A$5001,עזר!L4970))</f>
        <v/>
      </c>
      <c r="B4970" s="13" t="str">
        <f aca="false">IF(עזר!L4970="","",INDEX(עזר!$B$2:$B$5001,עזר!L4970))</f>
        <v/>
      </c>
      <c r="C4970" s="13" t="str">
        <f aca="false">עזר!M4970</f>
        <v/>
      </c>
    </row>
    <row r="4971" customFormat="false" ht="15" hidden="false" customHeight="false" outlineLevel="0" collapsed="false">
      <c r="A4971" s="13" t="str">
        <f aca="false">IF(עזר!L4971="","",INDEX(עזר!$A$2:$A$5001,עזר!L4971))</f>
        <v/>
      </c>
      <c r="B4971" s="13" t="str">
        <f aca="false">IF(עזר!L4971="","",INDEX(עזר!$B$2:$B$5001,עזר!L4971))</f>
        <v/>
      </c>
      <c r="C4971" s="13" t="str">
        <f aca="false">עזר!M4971</f>
        <v/>
      </c>
    </row>
    <row r="4972" customFormat="false" ht="15" hidden="false" customHeight="false" outlineLevel="0" collapsed="false">
      <c r="A4972" s="13" t="str">
        <f aca="false">IF(עזר!L4972="","",INDEX(עזר!$A$2:$A$5001,עזר!L4972))</f>
        <v/>
      </c>
      <c r="B4972" s="13" t="str">
        <f aca="false">IF(עזר!L4972="","",INDEX(עזר!$B$2:$B$5001,עזר!L4972))</f>
        <v/>
      </c>
      <c r="C4972" s="13" t="str">
        <f aca="false">עזר!M4972</f>
        <v/>
      </c>
    </row>
    <row r="4973" customFormat="false" ht="15" hidden="false" customHeight="false" outlineLevel="0" collapsed="false">
      <c r="A4973" s="13" t="str">
        <f aca="false">IF(עזר!L4973="","",INDEX(עזר!$A$2:$A$5001,עזר!L4973))</f>
        <v/>
      </c>
      <c r="B4973" s="13" t="str">
        <f aca="false">IF(עזר!L4973="","",INDEX(עזר!$B$2:$B$5001,עזר!L4973))</f>
        <v/>
      </c>
      <c r="C4973" s="13" t="str">
        <f aca="false">עזר!M4973</f>
        <v/>
      </c>
    </row>
    <row r="4974" customFormat="false" ht="15" hidden="false" customHeight="false" outlineLevel="0" collapsed="false">
      <c r="A4974" s="13" t="str">
        <f aca="false">IF(עזר!L4974="","",INDEX(עזר!$A$2:$A$5001,עזר!L4974))</f>
        <v/>
      </c>
      <c r="B4974" s="13" t="str">
        <f aca="false">IF(עזר!L4974="","",INDEX(עזר!$B$2:$B$5001,עזר!L4974))</f>
        <v/>
      </c>
      <c r="C4974" s="13" t="str">
        <f aca="false">עזר!M4974</f>
        <v/>
      </c>
    </row>
    <row r="4975" customFormat="false" ht="15" hidden="false" customHeight="false" outlineLevel="0" collapsed="false">
      <c r="A4975" s="13" t="str">
        <f aca="false">IF(עזר!L4975="","",INDEX(עזר!$A$2:$A$5001,עזר!L4975))</f>
        <v/>
      </c>
      <c r="B4975" s="13" t="str">
        <f aca="false">IF(עזר!L4975="","",INDEX(עזר!$B$2:$B$5001,עזר!L4975))</f>
        <v/>
      </c>
      <c r="C4975" s="13" t="str">
        <f aca="false">עזר!M4975</f>
        <v/>
      </c>
    </row>
    <row r="4976" customFormat="false" ht="15" hidden="false" customHeight="false" outlineLevel="0" collapsed="false">
      <c r="A4976" s="13" t="str">
        <f aca="false">IF(עזר!L4976="","",INDEX(עזר!$A$2:$A$5001,עזר!L4976))</f>
        <v/>
      </c>
      <c r="B4976" s="13" t="str">
        <f aca="false">IF(עזר!L4976="","",INDEX(עזר!$B$2:$B$5001,עזר!L4976))</f>
        <v/>
      </c>
      <c r="C4976" s="13" t="str">
        <f aca="false">עזר!M4976</f>
        <v/>
      </c>
    </row>
    <row r="4977" customFormat="false" ht="15" hidden="false" customHeight="false" outlineLevel="0" collapsed="false">
      <c r="A4977" s="13" t="str">
        <f aca="false">IF(עזר!L4977="","",INDEX(עזר!$A$2:$A$5001,עזר!L4977))</f>
        <v/>
      </c>
      <c r="B4977" s="13" t="str">
        <f aca="false">IF(עזר!L4977="","",INDEX(עזר!$B$2:$B$5001,עזר!L4977))</f>
        <v/>
      </c>
      <c r="C4977" s="13" t="str">
        <f aca="false">עזר!M4977</f>
        <v/>
      </c>
    </row>
    <row r="4978" customFormat="false" ht="15" hidden="false" customHeight="false" outlineLevel="0" collapsed="false">
      <c r="A4978" s="13" t="str">
        <f aca="false">IF(עזר!L4978="","",INDEX(עזר!$A$2:$A$5001,עזר!L4978))</f>
        <v/>
      </c>
      <c r="B4978" s="13" t="str">
        <f aca="false">IF(עזר!L4978="","",INDEX(עזר!$B$2:$B$5001,עזר!L4978))</f>
        <v/>
      </c>
      <c r="C4978" s="13" t="str">
        <f aca="false">עזר!M4978</f>
        <v/>
      </c>
    </row>
    <row r="4979" customFormat="false" ht="15" hidden="false" customHeight="false" outlineLevel="0" collapsed="false">
      <c r="A4979" s="13" t="str">
        <f aca="false">IF(עזר!L4979="","",INDEX(עזר!$A$2:$A$5001,עזר!L4979))</f>
        <v/>
      </c>
      <c r="B4979" s="13" t="str">
        <f aca="false">IF(עזר!L4979="","",INDEX(עזר!$B$2:$B$5001,עזר!L4979))</f>
        <v/>
      </c>
      <c r="C4979" s="13" t="str">
        <f aca="false">עזר!M4979</f>
        <v/>
      </c>
    </row>
    <row r="4980" customFormat="false" ht="15" hidden="false" customHeight="false" outlineLevel="0" collapsed="false">
      <c r="A4980" s="13" t="str">
        <f aca="false">IF(עזר!L4980="","",INDEX(עזר!$A$2:$A$5001,עזר!L4980))</f>
        <v/>
      </c>
      <c r="B4980" s="13" t="str">
        <f aca="false">IF(עזר!L4980="","",INDEX(עזר!$B$2:$B$5001,עזר!L4980))</f>
        <v/>
      </c>
      <c r="C4980" s="13" t="str">
        <f aca="false">עזר!M4980</f>
        <v/>
      </c>
    </row>
    <row r="4981" customFormat="false" ht="15" hidden="false" customHeight="false" outlineLevel="0" collapsed="false">
      <c r="A4981" s="13" t="str">
        <f aca="false">IF(עזר!L4981="","",INDEX(עזר!$A$2:$A$5001,עזר!L4981))</f>
        <v/>
      </c>
      <c r="B4981" s="13" t="str">
        <f aca="false">IF(עזר!L4981="","",INDEX(עזר!$B$2:$B$5001,עזר!L4981))</f>
        <v/>
      </c>
      <c r="C4981" s="13" t="str">
        <f aca="false">עזר!M4981</f>
        <v/>
      </c>
    </row>
    <row r="4982" customFormat="false" ht="15" hidden="false" customHeight="false" outlineLevel="0" collapsed="false">
      <c r="A4982" s="13" t="str">
        <f aca="false">IF(עזר!L4982="","",INDEX(עזר!$A$2:$A$5001,עזר!L4982))</f>
        <v/>
      </c>
      <c r="B4982" s="13" t="str">
        <f aca="false">IF(עזר!L4982="","",INDEX(עזר!$B$2:$B$5001,עזר!L4982))</f>
        <v/>
      </c>
      <c r="C4982" s="13" t="str">
        <f aca="false">עזר!M4982</f>
        <v/>
      </c>
    </row>
    <row r="4983" customFormat="false" ht="15" hidden="false" customHeight="false" outlineLevel="0" collapsed="false">
      <c r="A4983" s="13" t="str">
        <f aca="false">IF(עזר!L4983="","",INDEX(עזר!$A$2:$A$5001,עזר!L4983))</f>
        <v/>
      </c>
      <c r="B4983" s="13" t="str">
        <f aca="false">IF(עזר!L4983="","",INDEX(עזר!$B$2:$B$5001,עזר!L4983))</f>
        <v/>
      </c>
      <c r="C4983" s="13" t="str">
        <f aca="false">עזר!M4983</f>
        <v/>
      </c>
    </row>
    <row r="4984" customFormat="false" ht="15" hidden="false" customHeight="false" outlineLevel="0" collapsed="false">
      <c r="A4984" s="13" t="str">
        <f aca="false">IF(עזר!L4984="","",INDEX(עזר!$A$2:$A$5001,עזר!L4984))</f>
        <v/>
      </c>
      <c r="B4984" s="13" t="str">
        <f aca="false">IF(עזר!L4984="","",INDEX(עזר!$B$2:$B$5001,עזר!L4984))</f>
        <v/>
      </c>
      <c r="C4984" s="13" t="str">
        <f aca="false">עזר!M4984</f>
        <v/>
      </c>
    </row>
    <row r="4985" customFormat="false" ht="15" hidden="false" customHeight="false" outlineLevel="0" collapsed="false">
      <c r="A4985" s="13" t="str">
        <f aca="false">IF(עזר!L4985="","",INDEX(עזר!$A$2:$A$5001,עזר!L4985))</f>
        <v/>
      </c>
      <c r="B4985" s="13" t="str">
        <f aca="false">IF(עזר!L4985="","",INDEX(עזר!$B$2:$B$5001,עזר!L4985))</f>
        <v/>
      </c>
      <c r="C4985" s="13" t="str">
        <f aca="false">עזר!M4985</f>
        <v/>
      </c>
    </row>
    <row r="4986" customFormat="false" ht="15" hidden="false" customHeight="false" outlineLevel="0" collapsed="false">
      <c r="A4986" s="13" t="str">
        <f aca="false">IF(עזר!L4986="","",INDEX(עזר!$A$2:$A$5001,עזר!L4986))</f>
        <v/>
      </c>
      <c r="B4986" s="13" t="str">
        <f aca="false">IF(עזר!L4986="","",INDEX(עזר!$B$2:$B$5001,עזר!L4986))</f>
        <v/>
      </c>
      <c r="C4986" s="13" t="str">
        <f aca="false">עזר!M4986</f>
        <v/>
      </c>
    </row>
    <row r="4987" customFormat="false" ht="15" hidden="false" customHeight="false" outlineLevel="0" collapsed="false">
      <c r="A4987" s="13" t="str">
        <f aca="false">IF(עזר!L4987="","",INDEX(עזר!$A$2:$A$5001,עזר!L4987))</f>
        <v/>
      </c>
      <c r="B4987" s="13" t="str">
        <f aca="false">IF(עזר!L4987="","",INDEX(עזר!$B$2:$B$5001,עזר!L4987))</f>
        <v/>
      </c>
      <c r="C4987" s="13" t="str">
        <f aca="false">עזר!M4987</f>
        <v/>
      </c>
    </row>
    <row r="4988" customFormat="false" ht="15" hidden="false" customHeight="false" outlineLevel="0" collapsed="false">
      <c r="A4988" s="13" t="str">
        <f aca="false">IF(עזר!L4988="","",INDEX(עזר!$A$2:$A$5001,עזר!L4988))</f>
        <v/>
      </c>
      <c r="B4988" s="13" t="str">
        <f aca="false">IF(עזר!L4988="","",INDEX(עזר!$B$2:$B$5001,עזר!L4988))</f>
        <v/>
      </c>
      <c r="C4988" s="13" t="str">
        <f aca="false">עזר!M4988</f>
        <v/>
      </c>
    </row>
    <row r="4989" customFormat="false" ht="15" hidden="false" customHeight="false" outlineLevel="0" collapsed="false">
      <c r="A4989" s="13" t="str">
        <f aca="false">IF(עזר!L4989="","",INDEX(עזר!$A$2:$A$5001,עזר!L4989))</f>
        <v/>
      </c>
      <c r="B4989" s="13" t="str">
        <f aca="false">IF(עזר!L4989="","",INDEX(עזר!$B$2:$B$5001,עזר!L4989))</f>
        <v/>
      </c>
      <c r="C4989" s="13" t="str">
        <f aca="false">עזר!M4989</f>
        <v/>
      </c>
    </row>
    <row r="4990" customFormat="false" ht="15" hidden="false" customHeight="false" outlineLevel="0" collapsed="false">
      <c r="A4990" s="13" t="str">
        <f aca="false">IF(עזר!L4990="","",INDEX(עזר!$A$2:$A$5001,עזר!L4990))</f>
        <v/>
      </c>
      <c r="B4990" s="13" t="str">
        <f aca="false">IF(עזר!L4990="","",INDEX(עזר!$B$2:$B$5001,עזר!L4990))</f>
        <v/>
      </c>
      <c r="C4990" s="13" t="str">
        <f aca="false">עזר!M4990</f>
        <v/>
      </c>
    </row>
    <row r="4991" customFormat="false" ht="15" hidden="false" customHeight="false" outlineLevel="0" collapsed="false">
      <c r="A4991" s="13" t="str">
        <f aca="false">IF(עזר!L4991="","",INDEX(עזר!$A$2:$A$5001,עזר!L4991))</f>
        <v/>
      </c>
      <c r="B4991" s="13" t="str">
        <f aca="false">IF(עזר!L4991="","",INDEX(עזר!$B$2:$B$5001,עזר!L4991))</f>
        <v/>
      </c>
      <c r="C4991" s="13" t="str">
        <f aca="false">עזר!M4991</f>
        <v/>
      </c>
    </row>
    <row r="4992" customFormat="false" ht="15" hidden="false" customHeight="false" outlineLevel="0" collapsed="false">
      <c r="A4992" s="13" t="str">
        <f aca="false">IF(עזר!L4992="","",INDEX(עזר!$A$2:$A$5001,עזר!L4992))</f>
        <v/>
      </c>
      <c r="B4992" s="13" t="str">
        <f aca="false">IF(עזר!L4992="","",INDEX(עזר!$B$2:$B$5001,עזר!L4992))</f>
        <v/>
      </c>
      <c r="C4992" s="13" t="str">
        <f aca="false">עזר!M4992</f>
        <v/>
      </c>
    </row>
    <row r="4993" customFormat="false" ht="15" hidden="false" customHeight="false" outlineLevel="0" collapsed="false">
      <c r="A4993" s="13" t="str">
        <f aca="false">IF(עזר!L4993="","",INDEX(עזר!$A$2:$A$5001,עזר!L4993))</f>
        <v/>
      </c>
      <c r="B4993" s="13" t="str">
        <f aca="false">IF(עזר!L4993="","",INDEX(עזר!$B$2:$B$5001,עזר!L4993))</f>
        <v/>
      </c>
      <c r="C4993" s="13" t="str">
        <f aca="false">עזר!M4993</f>
        <v/>
      </c>
    </row>
    <row r="4994" customFormat="false" ht="15" hidden="false" customHeight="false" outlineLevel="0" collapsed="false">
      <c r="A4994" s="13" t="str">
        <f aca="false">IF(עזר!L4994="","",INDEX(עזר!$A$2:$A$5001,עזר!L4994))</f>
        <v/>
      </c>
      <c r="B4994" s="13" t="str">
        <f aca="false">IF(עזר!L4994="","",INDEX(עזר!$B$2:$B$5001,עזר!L4994))</f>
        <v/>
      </c>
      <c r="C4994" s="13" t="str">
        <f aca="false">עזר!M4994</f>
        <v/>
      </c>
    </row>
    <row r="4995" customFormat="false" ht="15" hidden="false" customHeight="false" outlineLevel="0" collapsed="false">
      <c r="A4995" s="13" t="str">
        <f aca="false">IF(עזר!L4995="","",INDEX(עזר!$A$2:$A$5001,עזר!L4995))</f>
        <v/>
      </c>
      <c r="B4995" s="13" t="str">
        <f aca="false">IF(עזר!L4995="","",INDEX(עזר!$B$2:$B$5001,עזר!L4995))</f>
        <v/>
      </c>
      <c r="C4995" s="13" t="str">
        <f aca="false">עזר!M4995</f>
        <v/>
      </c>
    </row>
    <row r="4996" customFormat="false" ht="15" hidden="false" customHeight="false" outlineLevel="0" collapsed="false">
      <c r="A4996" s="13" t="str">
        <f aca="false">IF(עזר!L4996="","",INDEX(עזר!$A$2:$A$5001,עזר!L4996))</f>
        <v/>
      </c>
      <c r="B4996" s="13" t="str">
        <f aca="false">IF(עזר!L4996="","",INDEX(עזר!$B$2:$B$5001,עזר!L4996))</f>
        <v/>
      </c>
      <c r="C4996" s="13" t="str">
        <f aca="false">עזר!M4996</f>
        <v/>
      </c>
    </row>
    <row r="4997" customFormat="false" ht="15" hidden="false" customHeight="false" outlineLevel="0" collapsed="false">
      <c r="A4997" s="13" t="str">
        <f aca="false">IF(עזר!L4997="","",INDEX(עזר!$A$2:$A$5001,עזר!L4997))</f>
        <v/>
      </c>
      <c r="B4997" s="13" t="str">
        <f aca="false">IF(עזר!L4997="","",INDEX(עזר!$B$2:$B$5001,עזר!L4997))</f>
        <v/>
      </c>
      <c r="C4997" s="13" t="str">
        <f aca="false">עזר!M4997</f>
        <v/>
      </c>
    </row>
    <row r="4998" customFormat="false" ht="15" hidden="false" customHeight="false" outlineLevel="0" collapsed="false">
      <c r="A4998" s="13" t="str">
        <f aca="false">IF(עזר!L4998="","",INDEX(עזר!$A$2:$A$5001,עזר!L4998))</f>
        <v/>
      </c>
      <c r="B4998" s="13" t="str">
        <f aca="false">IF(עזר!L4998="","",INDEX(עזר!$B$2:$B$5001,עזר!L4998))</f>
        <v/>
      </c>
      <c r="C4998" s="13" t="str">
        <f aca="false">עזר!M4998</f>
        <v/>
      </c>
    </row>
    <row r="4999" customFormat="false" ht="15" hidden="false" customHeight="false" outlineLevel="0" collapsed="false">
      <c r="A4999" s="13" t="str">
        <f aca="false">IF(עזר!L4999="","",INDEX(עזר!$A$2:$A$5001,עזר!L4999))</f>
        <v/>
      </c>
      <c r="B4999" s="13" t="str">
        <f aca="false">IF(עזר!L4999="","",INDEX(עזר!$B$2:$B$5001,עזר!L4999))</f>
        <v/>
      </c>
      <c r="C4999" s="13" t="str">
        <f aca="false">עזר!M4999</f>
        <v/>
      </c>
    </row>
    <row r="5000" customFormat="false" ht="15" hidden="false" customHeight="false" outlineLevel="0" collapsed="false">
      <c r="A5000" s="13" t="str">
        <f aca="false">IF(עזר!L5000="","",INDEX(עזר!$A$2:$A$5001,עזר!L5000))</f>
        <v/>
      </c>
      <c r="B5000" s="13" t="str">
        <f aca="false">IF(עזר!L5000="","",INDEX(עזר!$B$2:$B$5001,עזר!L5000))</f>
        <v/>
      </c>
      <c r="C5000" s="13" t="str">
        <f aca="false">עזר!M5000</f>
        <v/>
      </c>
    </row>
    <row r="5001" customFormat="false" ht="15" hidden="false" customHeight="false" outlineLevel="0" collapsed="false">
      <c r="A5001" s="13" t="str">
        <f aca="false">IF(עזר!L5001="","",INDEX(עזר!$A$2:$A$5001,עזר!L5001))</f>
        <v/>
      </c>
      <c r="B5001" s="13" t="str">
        <f aca="false">IF(עזר!L5001="","",INDEX(עזר!$B$2:$B$5001,עזר!L5001))</f>
        <v/>
      </c>
      <c r="C5001" s="13" t="str">
        <f aca="false">עזר!M5001</f>
        <v/>
      </c>
    </row>
  </sheetData>
  <autoFilter ref="A1:C5001"/>
  <conditionalFormatting sqref="A2:C5001">
    <cfRule type="expression" priority="2" aboveAverage="0" equalAverage="0" bottom="0" percent="0" rank="0" text="" dxfId="5">
      <formula>AND($C2&lt;&gt;"",MOD(IFERROR(MATCH($C2,הגדרות!$A$2:$A$21,0),0),2)=0)</formula>
    </cfRule>
    <cfRule type="expression" priority="3" aboveAverage="0" equalAverage="0" bottom="0" percent="0" rank="0" text="" dxfId="6">
      <formula>AND($C2&lt;&gt;"",$C2&lt;&gt;$C1,ROW()&gt;2)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"/>
    <col collapsed="false" customWidth="true" hidden="false" outlineLevel="0" max="4" min="4" style="0" width="62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31</v>
      </c>
      <c r="D1" s="1" t="s">
        <v>32</v>
      </c>
      <c r="E1" s="1" t="s">
        <v>33</v>
      </c>
    </row>
    <row r="2" customFormat="false" ht="15" hidden="false" customHeight="false" outlineLevel="0" collapsed="false">
      <c r="A2" s="14" t="s">
        <v>34</v>
      </c>
      <c r="D2" s="7" t="s">
        <v>35</v>
      </c>
      <c r="E2" s="15" t="n">
        <v>9</v>
      </c>
    </row>
    <row r="3" customFormat="false" ht="15" hidden="false" customHeight="false" outlineLevel="0" collapsed="false">
      <c r="A3" s="14" t="s">
        <v>36</v>
      </c>
      <c r="D3" s="7" t="s">
        <v>37</v>
      </c>
      <c r="E3" s="15" t="n">
        <v>10</v>
      </c>
    </row>
    <row r="4" customFormat="false" ht="15" hidden="false" customHeight="false" outlineLevel="0" collapsed="false">
      <c r="A4" s="14" t="s">
        <v>38</v>
      </c>
    </row>
    <row r="5" customFormat="false" ht="15" hidden="false" customHeight="false" outlineLevel="0" collapsed="false">
      <c r="A5" s="14" t="s">
        <v>39</v>
      </c>
      <c r="D5" s="7" t="s">
        <v>40</v>
      </c>
      <c r="E5" s="16" t="n">
        <f aca="false">COUNT(עזר!$E$2:$E$5001)</f>
        <v>0</v>
      </c>
    </row>
    <row r="6" customFormat="false" ht="15" hidden="false" customHeight="false" outlineLevel="0" collapsed="false">
      <c r="A6" s="14" t="s">
        <v>41</v>
      </c>
      <c r="D6" s="7" t="s">
        <v>42</v>
      </c>
      <c r="E6" s="16" t="n">
        <f aca="false">COUNTA($A$2:$A$21)</f>
        <v>8</v>
      </c>
    </row>
    <row r="7" customFormat="false" ht="15" hidden="false" customHeight="false" outlineLevel="0" collapsed="false">
      <c r="A7" s="14" t="s">
        <v>43</v>
      </c>
      <c r="D7" s="7" t="s">
        <v>44</v>
      </c>
      <c r="E7" s="16" t="n">
        <f aca="false">IF(E6=0,0,INT(E5/E6))</f>
        <v>0</v>
      </c>
    </row>
    <row r="8" customFormat="false" ht="15" hidden="false" customHeight="false" outlineLevel="0" collapsed="false">
      <c r="A8" s="14" t="s">
        <v>45</v>
      </c>
      <c r="D8" s="7" t="s">
        <v>46</v>
      </c>
      <c r="E8" s="16" t="n">
        <f aca="false">IF(E6=0,0,MOD(E5,E6))</f>
        <v>0</v>
      </c>
    </row>
    <row r="9" customFormat="false" ht="15" hidden="false" customHeight="false" outlineLevel="0" collapsed="false">
      <c r="A9" s="14" t="s">
        <v>47</v>
      </c>
      <c r="D9" s="7" t="s">
        <v>48</v>
      </c>
      <c r="E9" s="16" t="n">
        <f aca="false">IF(E6=0,0,MOD(ABS(INT('הדבקת לידים'!$F$2))+E5,E6))</f>
        <v>1</v>
      </c>
    </row>
    <row r="10" customFormat="false" ht="15" hidden="false" customHeight="false" outlineLevel="0" collapsed="false">
      <c r="A10" s="14"/>
    </row>
    <row r="11" customFormat="false" ht="15" hidden="false" customHeight="true" outlineLevel="0" collapsed="false">
      <c r="A11" s="14"/>
      <c r="D11" s="17" t="s">
        <v>49</v>
      </c>
      <c r="E11" s="17"/>
    </row>
    <row r="12" customFormat="false" ht="15" hidden="false" customHeight="false" outlineLevel="0" collapsed="false">
      <c r="A12" s="14"/>
      <c r="D12" s="17"/>
      <c r="E12" s="17"/>
    </row>
    <row r="13" customFormat="false" ht="15" hidden="false" customHeight="false" outlineLevel="0" collapsed="false">
      <c r="A13" s="14"/>
      <c r="D13" s="17"/>
      <c r="E13" s="17"/>
    </row>
    <row r="14" customFormat="false" ht="15" hidden="false" customHeight="false" outlineLevel="0" collapsed="false">
      <c r="A14" s="14"/>
      <c r="D14" s="17"/>
      <c r="E14" s="17"/>
    </row>
    <row r="15" customFormat="false" ht="15" hidden="false" customHeight="false" outlineLevel="0" collapsed="false">
      <c r="A15" s="14"/>
      <c r="D15" s="17"/>
      <c r="E15" s="17"/>
    </row>
    <row r="16" customFormat="false" ht="15" hidden="false" customHeight="false" outlineLevel="0" collapsed="false">
      <c r="A16" s="14"/>
      <c r="D16" s="17"/>
      <c r="E16" s="17"/>
    </row>
    <row r="17" customFormat="false" ht="15" hidden="false" customHeight="false" outlineLevel="0" collapsed="false">
      <c r="A17" s="14"/>
    </row>
    <row r="18" customFormat="false" ht="15" hidden="false" customHeight="false" outlineLevel="0" collapsed="false">
      <c r="A18" s="14"/>
    </row>
    <row r="19" customFormat="false" ht="15" hidden="false" customHeight="false" outlineLevel="0" collapsed="false">
      <c r="A19" s="14"/>
    </row>
    <row r="20" customFormat="false" ht="15" hidden="false" customHeight="false" outlineLevel="0" collapsed="false">
      <c r="A20" s="14"/>
    </row>
    <row r="21" customFormat="false" ht="15" hidden="false" customHeight="false" outlineLevel="0" collapsed="false">
      <c r="A21" s="14"/>
    </row>
  </sheetData>
  <mergeCells count="1">
    <mergeCell ref="D11:E16"/>
  </mergeCells>
  <dataValidations count="1">
    <dataValidation allowBlank="false" error="יש להזין מספר שלם בין 0 ל-20" errorStyle="stop" errorTitle="ערך לא תקין" operator="between" showDropDown="false" showErrorMessage="true" showInputMessage="false" sqref="E2:E3" type="whole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0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3" min="1" style="0" width="15"/>
  </cols>
  <sheetData>
    <row r="1" customFormat="false" ht="26.85" hidden="false" customHeight="false" outlineLevel="0" collapsed="false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30</v>
      </c>
    </row>
    <row r="2" customFormat="false" ht="15" hidden="false" customHeight="false" outlineLevel="0" collapsed="false">
      <c r="A2" s="0" t="str">
        <f aca="false">IF('הדבקת לידים'!A2="","",IF(ISNUMBER('הדבקת לידים'!A2),IF(הגדרות!$E$2&gt;0,TEXT('הדבקת לידים'!A2,REPT("0",הגדרות!$E$2)),TEXT('הדבקת לידים'!A2,"0")),TRIM('הדבקת לידים'!A2)))</f>
        <v/>
      </c>
      <c r="B2" s="0" t="str">
        <f aca="false">IF('הדבקת לידים'!B2="","",IF(ISNUMBER('הדבקת לידים'!B2),IF(הגדרות!$E$3&gt;0,TEXT('הדבקת לידים'!B2,REPT("0",הגדרות!$E$3)),TEXT('הדבקת לידים'!B2,"0")),TRIM('הדבקת לידים'!B2)))</f>
        <v/>
      </c>
      <c r="C2" s="0" t="n">
        <f aca="false">IF(OR(A2&lt;&gt;"",B2&lt;&gt;""),1,0)</f>
        <v>0</v>
      </c>
      <c r="D2" s="0" t="str">
        <f aca="false">IF(C2=1,MOD(ABS(SIN(ROW()*12.9898+'הדבקת לידים'!$F$2*78.233+IFERROR(--RIGHT(A2,6),LEN(A2))*0.0137+IFERROR(--RIGHT(B2,6),LEN(B2))*0.0071))*43758.5453,1),"")</f>
        <v/>
      </c>
      <c r="E2" s="0" t="str">
        <f aca="false">IF(C2=1,INT(MOD(ABS(SIN(D2*7919.123+ROW()*0.618+'הדבקת לידים'!$F$2*1.3))*43758.5453,1)*1000000)*10000+ROW(),"")</f>
        <v/>
      </c>
      <c r="F2" s="0" t="str">
        <f aca="false">IF(E2="","",RANK(E2,$E$2:$E$5001,1))</f>
        <v/>
      </c>
      <c r="G2" s="0" t="n">
        <f aca="false">IF(A2="",0,IF(SUMPRODUCT(--($A$2:$A$5001=A2))&gt;1,1,0))</f>
        <v>0</v>
      </c>
      <c r="H2" s="0" t="n">
        <f aca="false">ROW()-1</f>
        <v>1</v>
      </c>
      <c r="I2" s="0" t="str">
        <f aca="false">IF(OR(הגדרות!$E$6=0,H2&gt;הגדרות!$E$5),"",IF(H2-1&lt;הגדרות!$E$8*(הגדרות!$E$7+1),INT((H2-1)/(הגדרות!$E$7+1)),הגדרות!$E$8+INT((H2-1-הגדרות!$E$8*(הגדרות!$E$7+1))/הגדרות!$E$7)))</f>
        <v/>
      </c>
      <c r="J2" s="0" t="str">
        <f aca="false">IF(I2="","",IF(H2-1&lt;הגדרות!$E$8*(הגדרות!$E$7+1),MOD(H2-1,הגדרות!$E$7+1),MOD(H2-1-הגדרות!$E$8*(הגדרות!$E$7+1),הגדרות!$E$7)))</f>
        <v/>
      </c>
      <c r="K2" s="0" t="str">
        <f aca="false">IF(I2="","",J2*הגדרות!$E$6+I2+1)</f>
        <v/>
      </c>
      <c r="L2" s="0" t="str">
        <f aca="false">IF(K2="","",MATCH(K2,$F$2:$F$5001,0))</f>
        <v/>
      </c>
      <c r="M2" s="0" t="str">
        <f aca="false">IF(I2="","",INDEX(הגדרות!$A$2:$A$21,MOD(I2+הגדרות!$E$9,הגדרות!$E$6)+1))</f>
        <v/>
      </c>
    </row>
    <row r="3" customFormat="false" ht="15" hidden="false" customHeight="false" outlineLevel="0" collapsed="false">
      <c r="A3" s="0" t="str">
        <f aca="false">IF('הדבקת לידים'!A3="","",IF(ISNUMBER('הדבקת לידים'!A3),IF(הגדרות!$E$2&gt;0,TEXT('הדבקת לידים'!A3,REPT("0",הגדרות!$E$2)),TEXT('הדבקת לידים'!A3,"0")),TRIM('הדבקת לידים'!A3)))</f>
        <v/>
      </c>
      <c r="B3" s="0" t="str">
        <f aca="false">IF('הדבקת לידים'!B3="","",IF(ISNUMBER('הדבקת לידים'!B3),IF(הגדרות!$E$3&gt;0,TEXT('הדבקת לידים'!B3,REPT("0",הגדרות!$E$3)),TEXT('הדבקת לידים'!B3,"0")),TRIM('הדבקת לידים'!B3)))</f>
        <v/>
      </c>
      <c r="C3" s="0" t="n">
        <f aca="false">IF(OR(A3&lt;&gt;"",B3&lt;&gt;""),1,0)</f>
        <v>0</v>
      </c>
      <c r="D3" s="0" t="str">
        <f aca="false">IF(C3=1,MOD(ABS(SIN(ROW()*12.9898+'הדבקת לידים'!$F$2*78.233+IFERROR(--RIGHT(A3,6),LEN(A3))*0.0137+IFERROR(--RIGHT(B3,6),LEN(B3))*0.0071))*43758.5453,1),"")</f>
        <v/>
      </c>
      <c r="E3" s="0" t="str">
        <f aca="false">IF(C3=1,INT(MOD(ABS(SIN(D3*7919.123+ROW()*0.618+'הדבקת לידים'!$F$2*1.3))*43758.5453,1)*1000000)*10000+ROW(),"")</f>
        <v/>
      </c>
      <c r="F3" s="0" t="str">
        <f aca="false">IF(E3="","",RANK(E3,$E$2:$E$5001,1))</f>
        <v/>
      </c>
      <c r="G3" s="0" t="n">
        <f aca="false">IF(A3="",0,IF(SUMPRODUCT(--($A$2:$A$5001=A3))&gt;1,1,0))</f>
        <v>0</v>
      </c>
      <c r="H3" s="0" t="n">
        <f aca="false">ROW()-1</f>
        <v>2</v>
      </c>
      <c r="I3" s="0" t="str">
        <f aca="false">IF(OR(הגדרות!$E$6=0,H3&gt;הגדרות!$E$5),"",IF(H3-1&lt;הגדרות!$E$8*(הגדרות!$E$7+1),INT((H3-1)/(הגדרות!$E$7+1)),הגדרות!$E$8+INT((H3-1-הגדרות!$E$8*(הגדרות!$E$7+1))/הגדרות!$E$7)))</f>
        <v/>
      </c>
      <c r="J3" s="0" t="str">
        <f aca="false">IF(I3="","",IF(H3-1&lt;הגדרות!$E$8*(הגדרות!$E$7+1),MOD(H3-1,הגדרות!$E$7+1),MOD(H3-1-הגדרות!$E$8*(הגדרות!$E$7+1),הגדרות!$E$7)))</f>
        <v/>
      </c>
      <c r="K3" s="0" t="str">
        <f aca="false">IF(I3="","",J3*הגדרות!$E$6+I3+1)</f>
        <v/>
      </c>
      <c r="L3" s="0" t="str">
        <f aca="false">IF(K3="","",MATCH(K3,$F$2:$F$5001,0))</f>
        <v/>
      </c>
      <c r="M3" s="0" t="str">
        <f aca="false">IF(I3="","",INDEX(הגדרות!$A$2:$A$21,MOD(I3+הגדרות!$E$9,הגדרות!$E$6)+1))</f>
        <v/>
      </c>
    </row>
    <row r="4" customFormat="false" ht="15" hidden="false" customHeight="false" outlineLevel="0" collapsed="false">
      <c r="A4" s="0" t="str">
        <f aca="false">IF('הדבקת לידים'!A4="","",IF(ISNUMBER('הדבקת לידים'!A4),IF(הגדרות!$E$2&gt;0,TEXT('הדבקת לידים'!A4,REPT("0",הגדרות!$E$2)),TEXT('הדבקת לידים'!A4,"0")),TRIM('הדבקת לידים'!A4)))</f>
        <v/>
      </c>
      <c r="B4" s="0" t="str">
        <f aca="false">IF('הדבקת לידים'!B4="","",IF(ISNUMBER('הדבקת לידים'!B4),IF(הגדרות!$E$3&gt;0,TEXT('הדבקת לידים'!B4,REPT("0",הגדרות!$E$3)),TEXT('הדבקת לידים'!B4,"0")),TRIM('הדבקת לידים'!B4)))</f>
        <v/>
      </c>
      <c r="C4" s="0" t="n">
        <f aca="false">IF(OR(A4&lt;&gt;"",B4&lt;&gt;""),1,0)</f>
        <v>0</v>
      </c>
      <c r="D4" s="0" t="str">
        <f aca="false">IF(C4=1,MOD(ABS(SIN(ROW()*12.9898+'הדבקת לידים'!$F$2*78.233+IFERROR(--RIGHT(A4,6),LEN(A4))*0.0137+IFERROR(--RIGHT(B4,6),LEN(B4))*0.0071))*43758.5453,1),"")</f>
        <v/>
      </c>
      <c r="E4" s="0" t="str">
        <f aca="false">IF(C4=1,INT(MOD(ABS(SIN(D4*7919.123+ROW()*0.618+'הדבקת לידים'!$F$2*1.3))*43758.5453,1)*1000000)*10000+ROW(),"")</f>
        <v/>
      </c>
      <c r="F4" s="0" t="str">
        <f aca="false">IF(E4="","",RANK(E4,$E$2:$E$5001,1))</f>
        <v/>
      </c>
      <c r="G4" s="0" t="n">
        <f aca="false">IF(A4="",0,IF(SUMPRODUCT(--($A$2:$A$5001=A4))&gt;1,1,0))</f>
        <v>0</v>
      </c>
      <c r="H4" s="0" t="n">
        <f aca="false">ROW()-1</f>
        <v>3</v>
      </c>
      <c r="I4" s="0" t="str">
        <f aca="false">IF(OR(הגדרות!$E$6=0,H4&gt;הגדרות!$E$5),"",IF(H4-1&lt;הגדרות!$E$8*(הגדרות!$E$7+1),INT((H4-1)/(הגדרות!$E$7+1)),הגדרות!$E$8+INT((H4-1-הגדרות!$E$8*(הגדרות!$E$7+1))/הגדרות!$E$7)))</f>
        <v/>
      </c>
      <c r="J4" s="0" t="str">
        <f aca="false">IF(I4="","",IF(H4-1&lt;הגדרות!$E$8*(הגדרות!$E$7+1),MOD(H4-1,הגדרות!$E$7+1),MOD(H4-1-הגדרות!$E$8*(הגדרות!$E$7+1),הגדרות!$E$7)))</f>
        <v/>
      </c>
      <c r="K4" s="0" t="str">
        <f aca="false">IF(I4="","",J4*הגדרות!$E$6+I4+1)</f>
        <v/>
      </c>
      <c r="L4" s="0" t="str">
        <f aca="false">IF(K4="","",MATCH(K4,$F$2:$F$5001,0))</f>
        <v/>
      </c>
      <c r="M4" s="0" t="str">
        <f aca="false">IF(I4="","",INDEX(הגדרות!$A$2:$A$21,MOD(I4+הגדרות!$E$9,הגדרות!$E$6)+1))</f>
        <v/>
      </c>
    </row>
    <row r="5" customFormat="false" ht="15" hidden="false" customHeight="false" outlineLevel="0" collapsed="false">
      <c r="A5" s="0" t="str">
        <f aca="false">IF('הדבקת לידים'!A5="","",IF(ISNUMBER('הדבקת לידים'!A5),IF(הגדרות!$E$2&gt;0,TEXT('הדבקת לידים'!A5,REPT("0",הגדרות!$E$2)),TEXT('הדבקת לידים'!A5,"0")),TRIM('הדבקת לידים'!A5)))</f>
        <v/>
      </c>
      <c r="B5" s="0" t="str">
        <f aca="false">IF('הדבקת לידים'!B5="","",IF(ISNUMBER('הדבקת לידים'!B5),IF(הגדרות!$E$3&gt;0,TEXT('הדבקת לידים'!B5,REPT("0",הגדרות!$E$3)),TEXT('הדבקת לידים'!B5,"0")),TRIM('הדבקת לידים'!B5)))</f>
        <v/>
      </c>
      <c r="C5" s="0" t="n">
        <f aca="false">IF(OR(A5&lt;&gt;"",B5&lt;&gt;""),1,0)</f>
        <v>0</v>
      </c>
      <c r="D5" s="0" t="str">
        <f aca="false">IF(C5=1,MOD(ABS(SIN(ROW()*12.9898+'הדבקת לידים'!$F$2*78.233+IFERROR(--RIGHT(A5,6),LEN(A5))*0.0137+IFERROR(--RIGHT(B5,6),LEN(B5))*0.0071))*43758.5453,1),"")</f>
        <v/>
      </c>
      <c r="E5" s="0" t="str">
        <f aca="false">IF(C5=1,INT(MOD(ABS(SIN(D5*7919.123+ROW()*0.618+'הדבקת לידים'!$F$2*1.3))*43758.5453,1)*1000000)*10000+ROW(),"")</f>
        <v/>
      </c>
      <c r="F5" s="0" t="str">
        <f aca="false">IF(E5="","",RANK(E5,$E$2:$E$5001,1))</f>
        <v/>
      </c>
      <c r="G5" s="0" t="n">
        <f aca="false">IF(A5="",0,IF(SUMPRODUCT(--($A$2:$A$5001=A5))&gt;1,1,0))</f>
        <v>0</v>
      </c>
      <c r="H5" s="0" t="n">
        <f aca="false">ROW()-1</f>
        <v>4</v>
      </c>
      <c r="I5" s="0" t="str">
        <f aca="false">IF(OR(הגדרות!$E$6=0,H5&gt;הגדרות!$E$5),"",IF(H5-1&lt;הגדרות!$E$8*(הגדרות!$E$7+1),INT((H5-1)/(הגדרות!$E$7+1)),הגדרות!$E$8+INT((H5-1-הגדרות!$E$8*(הגדרות!$E$7+1))/הגדרות!$E$7)))</f>
        <v/>
      </c>
      <c r="J5" s="0" t="str">
        <f aca="false">IF(I5="","",IF(H5-1&lt;הגדרות!$E$8*(הגדרות!$E$7+1),MOD(H5-1,הגדרות!$E$7+1),MOD(H5-1-הגדרות!$E$8*(הגדרות!$E$7+1),הגדרות!$E$7)))</f>
        <v/>
      </c>
      <c r="K5" s="0" t="str">
        <f aca="false">IF(I5="","",J5*הגדרות!$E$6+I5+1)</f>
        <v/>
      </c>
      <c r="L5" s="0" t="str">
        <f aca="false">IF(K5="","",MATCH(K5,$F$2:$F$5001,0))</f>
        <v/>
      </c>
      <c r="M5" s="0" t="str">
        <f aca="false">IF(I5="","",INDEX(הגדרות!$A$2:$A$21,MOD(I5+הגדרות!$E$9,הגדרות!$E$6)+1))</f>
        <v/>
      </c>
    </row>
    <row r="6" customFormat="false" ht="15" hidden="false" customHeight="false" outlineLevel="0" collapsed="false">
      <c r="A6" s="0" t="str">
        <f aca="false">IF('הדבקת לידים'!A6="","",IF(ISNUMBER('הדבקת לידים'!A6),IF(הגדרות!$E$2&gt;0,TEXT('הדבקת לידים'!A6,REPT("0",הגדרות!$E$2)),TEXT('הדבקת לידים'!A6,"0")),TRIM('הדבקת לידים'!A6)))</f>
        <v/>
      </c>
      <c r="B6" s="0" t="str">
        <f aca="false">IF('הדבקת לידים'!B6="","",IF(ISNUMBER('הדבקת לידים'!B6),IF(הגדרות!$E$3&gt;0,TEXT('הדבקת לידים'!B6,REPT("0",הגדרות!$E$3)),TEXT('הדבקת לידים'!B6,"0")),TRIM('הדבקת לידים'!B6)))</f>
        <v/>
      </c>
      <c r="C6" s="0" t="n">
        <f aca="false">IF(OR(A6&lt;&gt;"",B6&lt;&gt;""),1,0)</f>
        <v>0</v>
      </c>
      <c r="D6" s="0" t="str">
        <f aca="false">IF(C6=1,MOD(ABS(SIN(ROW()*12.9898+'הדבקת לידים'!$F$2*78.233+IFERROR(--RIGHT(A6,6),LEN(A6))*0.0137+IFERROR(--RIGHT(B6,6),LEN(B6))*0.0071))*43758.5453,1),"")</f>
        <v/>
      </c>
      <c r="E6" s="0" t="str">
        <f aca="false">IF(C6=1,INT(MOD(ABS(SIN(D6*7919.123+ROW()*0.618+'הדבקת לידים'!$F$2*1.3))*43758.5453,1)*1000000)*10000+ROW(),"")</f>
        <v/>
      </c>
      <c r="F6" s="0" t="str">
        <f aca="false">IF(E6="","",RANK(E6,$E$2:$E$5001,1))</f>
        <v/>
      </c>
      <c r="G6" s="0" t="n">
        <f aca="false">IF(A6="",0,IF(SUMPRODUCT(--($A$2:$A$5001=A6))&gt;1,1,0))</f>
        <v>0</v>
      </c>
      <c r="H6" s="0" t="n">
        <f aca="false">ROW()-1</f>
        <v>5</v>
      </c>
      <c r="I6" s="0" t="str">
        <f aca="false">IF(OR(הגדרות!$E$6=0,H6&gt;הגדרות!$E$5),"",IF(H6-1&lt;הגדרות!$E$8*(הגדרות!$E$7+1),INT((H6-1)/(הגדרות!$E$7+1)),הגדרות!$E$8+INT((H6-1-הגדרות!$E$8*(הגדרות!$E$7+1))/הגדרות!$E$7)))</f>
        <v/>
      </c>
      <c r="J6" s="0" t="str">
        <f aca="false">IF(I6="","",IF(H6-1&lt;הגדרות!$E$8*(הגדרות!$E$7+1),MOD(H6-1,הגדרות!$E$7+1),MOD(H6-1-הגדרות!$E$8*(הגדרות!$E$7+1),הגדרות!$E$7)))</f>
        <v/>
      </c>
      <c r="K6" s="0" t="str">
        <f aca="false">IF(I6="","",J6*הגדרות!$E$6+I6+1)</f>
        <v/>
      </c>
      <c r="L6" s="0" t="str">
        <f aca="false">IF(K6="","",MATCH(K6,$F$2:$F$5001,0))</f>
        <v/>
      </c>
      <c r="M6" s="0" t="str">
        <f aca="false">IF(I6="","",INDEX(הגדרות!$A$2:$A$21,MOD(I6+הגדרות!$E$9,הגדרות!$E$6)+1))</f>
        <v/>
      </c>
    </row>
    <row r="7" customFormat="false" ht="15" hidden="false" customHeight="false" outlineLevel="0" collapsed="false">
      <c r="A7" s="0" t="str">
        <f aca="false">IF('הדבקת לידים'!A7="","",IF(ISNUMBER('הדבקת לידים'!A7),IF(הגדרות!$E$2&gt;0,TEXT('הדבקת לידים'!A7,REPT("0",הגדרות!$E$2)),TEXT('הדבקת לידים'!A7,"0")),TRIM('הדבקת לידים'!A7)))</f>
        <v/>
      </c>
      <c r="B7" s="0" t="str">
        <f aca="false">IF('הדבקת לידים'!B7="","",IF(ISNUMBER('הדבקת לידים'!B7),IF(הגדרות!$E$3&gt;0,TEXT('הדבקת לידים'!B7,REPT("0",הגדרות!$E$3)),TEXT('הדבקת לידים'!B7,"0")),TRIM('הדבקת לידים'!B7)))</f>
        <v/>
      </c>
      <c r="C7" s="0" t="n">
        <f aca="false">IF(OR(A7&lt;&gt;"",B7&lt;&gt;""),1,0)</f>
        <v>0</v>
      </c>
      <c r="D7" s="0" t="str">
        <f aca="false">IF(C7=1,MOD(ABS(SIN(ROW()*12.9898+'הדבקת לידים'!$F$2*78.233+IFERROR(--RIGHT(A7,6),LEN(A7))*0.0137+IFERROR(--RIGHT(B7,6),LEN(B7))*0.0071))*43758.5453,1),"")</f>
        <v/>
      </c>
      <c r="E7" s="0" t="str">
        <f aca="false">IF(C7=1,INT(MOD(ABS(SIN(D7*7919.123+ROW()*0.618+'הדבקת לידים'!$F$2*1.3))*43758.5453,1)*1000000)*10000+ROW(),"")</f>
        <v/>
      </c>
      <c r="F7" s="0" t="str">
        <f aca="false">IF(E7="","",RANK(E7,$E$2:$E$5001,1))</f>
        <v/>
      </c>
      <c r="G7" s="0" t="n">
        <f aca="false">IF(A7="",0,IF(SUMPRODUCT(--($A$2:$A$5001=A7))&gt;1,1,0))</f>
        <v>0</v>
      </c>
      <c r="H7" s="0" t="n">
        <f aca="false">ROW()-1</f>
        <v>6</v>
      </c>
      <c r="I7" s="0" t="str">
        <f aca="false">IF(OR(הגדרות!$E$6=0,H7&gt;הגדרות!$E$5),"",IF(H7-1&lt;הגדרות!$E$8*(הגדרות!$E$7+1),INT((H7-1)/(הגדרות!$E$7+1)),הגדרות!$E$8+INT((H7-1-הגדרות!$E$8*(הגדרות!$E$7+1))/הגדרות!$E$7)))</f>
        <v/>
      </c>
      <c r="J7" s="0" t="str">
        <f aca="false">IF(I7="","",IF(H7-1&lt;הגדרות!$E$8*(הגדרות!$E$7+1),MOD(H7-1,הגדרות!$E$7+1),MOD(H7-1-הגדרות!$E$8*(הגדרות!$E$7+1),הגדרות!$E$7)))</f>
        <v/>
      </c>
      <c r="K7" s="0" t="str">
        <f aca="false">IF(I7="","",J7*הגדרות!$E$6+I7+1)</f>
        <v/>
      </c>
      <c r="L7" s="0" t="str">
        <f aca="false">IF(K7="","",MATCH(K7,$F$2:$F$5001,0))</f>
        <v/>
      </c>
      <c r="M7" s="0" t="str">
        <f aca="false">IF(I7="","",INDEX(הגדרות!$A$2:$A$21,MOD(I7+הגדרות!$E$9,הגדרות!$E$6)+1))</f>
        <v/>
      </c>
    </row>
    <row r="8" customFormat="false" ht="15" hidden="false" customHeight="false" outlineLevel="0" collapsed="false">
      <c r="A8" s="0" t="str">
        <f aca="false">IF('הדבקת לידים'!A8="","",IF(ISNUMBER('הדבקת לידים'!A8),IF(הגדרות!$E$2&gt;0,TEXT('הדבקת לידים'!A8,REPT("0",הגדרות!$E$2)),TEXT('הדבקת לידים'!A8,"0")),TRIM('הדבקת לידים'!A8)))</f>
        <v/>
      </c>
      <c r="B8" s="0" t="str">
        <f aca="false">IF('הדבקת לידים'!B8="","",IF(ISNUMBER('הדבקת לידים'!B8),IF(הגדרות!$E$3&gt;0,TEXT('הדבקת לידים'!B8,REPT("0",הגדרות!$E$3)),TEXT('הדבקת לידים'!B8,"0")),TRIM('הדבקת לידים'!B8)))</f>
        <v/>
      </c>
      <c r="C8" s="0" t="n">
        <f aca="false">IF(OR(A8&lt;&gt;"",B8&lt;&gt;""),1,0)</f>
        <v>0</v>
      </c>
      <c r="D8" s="0" t="str">
        <f aca="false">IF(C8=1,MOD(ABS(SIN(ROW()*12.9898+'הדבקת לידים'!$F$2*78.233+IFERROR(--RIGHT(A8,6),LEN(A8))*0.0137+IFERROR(--RIGHT(B8,6),LEN(B8))*0.0071))*43758.5453,1),"")</f>
        <v/>
      </c>
      <c r="E8" s="0" t="str">
        <f aca="false">IF(C8=1,INT(MOD(ABS(SIN(D8*7919.123+ROW()*0.618+'הדבקת לידים'!$F$2*1.3))*43758.5453,1)*1000000)*10000+ROW(),"")</f>
        <v/>
      </c>
      <c r="F8" s="0" t="str">
        <f aca="false">IF(E8="","",RANK(E8,$E$2:$E$5001,1))</f>
        <v/>
      </c>
      <c r="G8" s="0" t="n">
        <f aca="false">IF(A8="",0,IF(SUMPRODUCT(--($A$2:$A$5001=A8))&gt;1,1,0))</f>
        <v>0</v>
      </c>
      <c r="H8" s="0" t="n">
        <f aca="false">ROW()-1</f>
        <v>7</v>
      </c>
      <c r="I8" s="0" t="str">
        <f aca="false">IF(OR(הגדרות!$E$6=0,H8&gt;הגדרות!$E$5),"",IF(H8-1&lt;הגדרות!$E$8*(הגדרות!$E$7+1),INT((H8-1)/(הגדרות!$E$7+1)),הגדרות!$E$8+INT((H8-1-הגדרות!$E$8*(הגדרות!$E$7+1))/הגדרות!$E$7)))</f>
        <v/>
      </c>
      <c r="J8" s="0" t="str">
        <f aca="false">IF(I8="","",IF(H8-1&lt;הגדרות!$E$8*(הגדרות!$E$7+1),MOD(H8-1,הגדרות!$E$7+1),MOD(H8-1-הגדרות!$E$8*(הגדרות!$E$7+1),הגדרות!$E$7)))</f>
        <v/>
      </c>
      <c r="K8" s="0" t="str">
        <f aca="false">IF(I8="","",J8*הגדרות!$E$6+I8+1)</f>
        <v/>
      </c>
      <c r="L8" s="0" t="str">
        <f aca="false">IF(K8="","",MATCH(K8,$F$2:$F$5001,0))</f>
        <v/>
      </c>
      <c r="M8" s="0" t="str">
        <f aca="false">IF(I8="","",INDEX(הגדרות!$A$2:$A$21,MOD(I8+הגדרות!$E$9,הגדרות!$E$6)+1))</f>
        <v/>
      </c>
    </row>
    <row r="9" customFormat="false" ht="15" hidden="false" customHeight="false" outlineLevel="0" collapsed="false">
      <c r="A9" s="0" t="str">
        <f aca="false">IF('הדבקת לידים'!A9="","",IF(ISNUMBER('הדבקת לידים'!A9),IF(הגדרות!$E$2&gt;0,TEXT('הדבקת לידים'!A9,REPT("0",הגדרות!$E$2)),TEXT('הדבקת לידים'!A9,"0")),TRIM('הדבקת לידים'!A9)))</f>
        <v/>
      </c>
      <c r="B9" s="0" t="str">
        <f aca="false">IF('הדבקת לידים'!B9="","",IF(ISNUMBER('הדבקת לידים'!B9),IF(הגדרות!$E$3&gt;0,TEXT('הדבקת לידים'!B9,REPT("0",הגדרות!$E$3)),TEXT('הדבקת לידים'!B9,"0")),TRIM('הדבקת לידים'!B9)))</f>
        <v/>
      </c>
      <c r="C9" s="0" t="n">
        <f aca="false">IF(OR(A9&lt;&gt;"",B9&lt;&gt;""),1,0)</f>
        <v>0</v>
      </c>
      <c r="D9" s="0" t="str">
        <f aca="false">IF(C9=1,MOD(ABS(SIN(ROW()*12.9898+'הדבקת לידים'!$F$2*78.233+IFERROR(--RIGHT(A9,6),LEN(A9))*0.0137+IFERROR(--RIGHT(B9,6),LEN(B9))*0.0071))*43758.5453,1),"")</f>
        <v/>
      </c>
      <c r="E9" s="0" t="str">
        <f aca="false">IF(C9=1,INT(MOD(ABS(SIN(D9*7919.123+ROW()*0.618+'הדבקת לידים'!$F$2*1.3))*43758.5453,1)*1000000)*10000+ROW(),"")</f>
        <v/>
      </c>
      <c r="F9" s="0" t="str">
        <f aca="false">IF(E9="","",RANK(E9,$E$2:$E$5001,1))</f>
        <v/>
      </c>
      <c r="G9" s="0" t="n">
        <f aca="false">IF(A9="",0,IF(SUMPRODUCT(--($A$2:$A$5001=A9))&gt;1,1,0))</f>
        <v>0</v>
      </c>
      <c r="H9" s="0" t="n">
        <f aca="false">ROW()-1</f>
        <v>8</v>
      </c>
      <c r="I9" s="0" t="str">
        <f aca="false">IF(OR(הגדרות!$E$6=0,H9&gt;הגדרות!$E$5),"",IF(H9-1&lt;הגדרות!$E$8*(הגדרות!$E$7+1),INT((H9-1)/(הגדרות!$E$7+1)),הגדרות!$E$8+INT((H9-1-הגדרות!$E$8*(הגדרות!$E$7+1))/הגדרות!$E$7)))</f>
        <v/>
      </c>
      <c r="J9" s="0" t="str">
        <f aca="false">IF(I9="","",IF(H9-1&lt;הגדרות!$E$8*(הגדרות!$E$7+1),MOD(H9-1,הגדרות!$E$7+1),MOD(H9-1-הגדרות!$E$8*(הגדרות!$E$7+1),הגדרות!$E$7)))</f>
        <v/>
      </c>
      <c r="K9" s="0" t="str">
        <f aca="false">IF(I9="","",J9*הגדרות!$E$6+I9+1)</f>
        <v/>
      </c>
      <c r="L9" s="0" t="str">
        <f aca="false">IF(K9="","",MATCH(K9,$F$2:$F$5001,0))</f>
        <v/>
      </c>
      <c r="M9" s="0" t="str">
        <f aca="false">IF(I9="","",INDEX(הגדרות!$A$2:$A$21,MOD(I9+הגדרות!$E$9,הגדרות!$E$6)+1))</f>
        <v/>
      </c>
    </row>
    <row r="10" customFormat="false" ht="15" hidden="false" customHeight="false" outlineLevel="0" collapsed="false">
      <c r="A10" s="0" t="str">
        <f aca="false">IF('הדבקת לידים'!A10="","",IF(ISNUMBER('הדבקת לידים'!A10),IF(הגדרות!$E$2&gt;0,TEXT('הדבקת לידים'!A10,REPT("0",הגדרות!$E$2)),TEXT('הדבקת לידים'!A10,"0")),TRIM('הדבקת לידים'!A10)))</f>
        <v/>
      </c>
      <c r="B10" s="0" t="str">
        <f aca="false">IF('הדבקת לידים'!B10="","",IF(ISNUMBER('הדבקת לידים'!B10),IF(הגדרות!$E$3&gt;0,TEXT('הדבקת לידים'!B10,REPT("0",הגדרות!$E$3)),TEXT('הדבקת לידים'!B10,"0")),TRIM('הדבקת לידים'!B10)))</f>
        <v/>
      </c>
      <c r="C10" s="0" t="n">
        <f aca="false">IF(OR(A10&lt;&gt;"",B10&lt;&gt;""),1,0)</f>
        <v>0</v>
      </c>
      <c r="D10" s="0" t="str">
        <f aca="false">IF(C10=1,MOD(ABS(SIN(ROW()*12.9898+'הדבקת לידים'!$F$2*78.233+IFERROR(--RIGHT(A10,6),LEN(A10))*0.0137+IFERROR(--RIGHT(B10,6),LEN(B10))*0.0071))*43758.5453,1),"")</f>
        <v/>
      </c>
      <c r="E10" s="0" t="str">
        <f aca="false">IF(C10=1,INT(MOD(ABS(SIN(D10*7919.123+ROW()*0.618+'הדבקת לידים'!$F$2*1.3))*43758.5453,1)*1000000)*10000+ROW(),"")</f>
        <v/>
      </c>
      <c r="F10" s="0" t="str">
        <f aca="false">IF(E10="","",RANK(E10,$E$2:$E$5001,1))</f>
        <v/>
      </c>
      <c r="G10" s="0" t="n">
        <f aca="false">IF(A10="",0,IF(SUMPRODUCT(--($A$2:$A$5001=A10))&gt;1,1,0))</f>
        <v>0</v>
      </c>
      <c r="H10" s="0" t="n">
        <f aca="false">ROW()-1</f>
        <v>9</v>
      </c>
      <c r="I10" s="0" t="str">
        <f aca="false">IF(OR(הגדרות!$E$6=0,H10&gt;הגדרות!$E$5),"",IF(H10-1&lt;הגדרות!$E$8*(הגדרות!$E$7+1),INT((H10-1)/(הגדרות!$E$7+1)),הגדרות!$E$8+INT((H10-1-הגדרות!$E$8*(הגדרות!$E$7+1))/הגדרות!$E$7)))</f>
        <v/>
      </c>
      <c r="J10" s="0" t="str">
        <f aca="false">IF(I10="","",IF(H10-1&lt;הגדרות!$E$8*(הגדרות!$E$7+1),MOD(H10-1,הגדרות!$E$7+1),MOD(H10-1-הגדרות!$E$8*(הגדרות!$E$7+1),הגדרות!$E$7)))</f>
        <v/>
      </c>
      <c r="K10" s="0" t="str">
        <f aca="false">IF(I10="","",J10*הגדרות!$E$6+I10+1)</f>
        <v/>
      </c>
      <c r="L10" s="0" t="str">
        <f aca="false">IF(K10="","",MATCH(K10,$F$2:$F$5001,0))</f>
        <v/>
      </c>
      <c r="M10" s="0" t="str">
        <f aca="false">IF(I10="","",INDEX(הגדרות!$A$2:$A$21,MOD(I10+הגדרות!$E$9,הגדרות!$E$6)+1))</f>
        <v/>
      </c>
    </row>
    <row r="11" customFormat="false" ht="15" hidden="false" customHeight="false" outlineLevel="0" collapsed="false">
      <c r="A11" s="0" t="str">
        <f aca="false">IF('הדבקת לידים'!A11="","",IF(ISNUMBER('הדבקת לידים'!A11),IF(הגדרות!$E$2&gt;0,TEXT('הדבקת לידים'!A11,REPT("0",הגדרות!$E$2)),TEXT('הדבקת לידים'!A11,"0")),TRIM('הדבקת לידים'!A11)))</f>
        <v/>
      </c>
      <c r="B11" s="0" t="str">
        <f aca="false">IF('הדבקת לידים'!B11="","",IF(ISNUMBER('הדבקת לידים'!B11),IF(הגדרות!$E$3&gt;0,TEXT('הדבקת לידים'!B11,REPT("0",הגדרות!$E$3)),TEXT('הדבקת לידים'!B11,"0")),TRIM('הדבקת לידים'!B11)))</f>
        <v/>
      </c>
      <c r="C11" s="0" t="n">
        <f aca="false">IF(OR(A11&lt;&gt;"",B11&lt;&gt;""),1,0)</f>
        <v>0</v>
      </c>
      <c r="D11" s="0" t="str">
        <f aca="false">IF(C11=1,MOD(ABS(SIN(ROW()*12.9898+'הדבקת לידים'!$F$2*78.233+IFERROR(--RIGHT(A11,6),LEN(A11))*0.0137+IFERROR(--RIGHT(B11,6),LEN(B11))*0.0071))*43758.5453,1),"")</f>
        <v/>
      </c>
      <c r="E11" s="0" t="str">
        <f aca="false">IF(C11=1,INT(MOD(ABS(SIN(D11*7919.123+ROW()*0.618+'הדבקת לידים'!$F$2*1.3))*43758.5453,1)*1000000)*10000+ROW(),"")</f>
        <v/>
      </c>
      <c r="F11" s="0" t="str">
        <f aca="false">IF(E11="","",RANK(E11,$E$2:$E$5001,1))</f>
        <v/>
      </c>
      <c r="G11" s="0" t="n">
        <f aca="false">IF(A11="",0,IF(SUMPRODUCT(--($A$2:$A$5001=A11))&gt;1,1,0))</f>
        <v>0</v>
      </c>
      <c r="H11" s="0" t="n">
        <f aca="false">ROW()-1</f>
        <v>10</v>
      </c>
      <c r="I11" s="0" t="str">
        <f aca="false">IF(OR(הגדרות!$E$6=0,H11&gt;הגדרות!$E$5),"",IF(H11-1&lt;הגדרות!$E$8*(הגדרות!$E$7+1),INT((H11-1)/(הגדרות!$E$7+1)),הגדרות!$E$8+INT((H11-1-הגדרות!$E$8*(הגדרות!$E$7+1))/הגדרות!$E$7)))</f>
        <v/>
      </c>
      <c r="J11" s="0" t="str">
        <f aca="false">IF(I11="","",IF(H11-1&lt;הגדרות!$E$8*(הגדרות!$E$7+1),MOD(H11-1,הגדרות!$E$7+1),MOD(H11-1-הגדרות!$E$8*(הגדרות!$E$7+1),הגדרות!$E$7)))</f>
        <v/>
      </c>
      <c r="K11" s="0" t="str">
        <f aca="false">IF(I11="","",J11*הגדרות!$E$6+I11+1)</f>
        <v/>
      </c>
      <c r="L11" s="0" t="str">
        <f aca="false">IF(K11="","",MATCH(K11,$F$2:$F$5001,0))</f>
        <v/>
      </c>
      <c r="M11" s="0" t="str">
        <f aca="false">IF(I11="","",INDEX(הגדרות!$A$2:$A$21,MOD(I11+הגדרות!$E$9,הגדרות!$E$6)+1))</f>
        <v/>
      </c>
    </row>
    <row r="12" customFormat="false" ht="15" hidden="false" customHeight="false" outlineLevel="0" collapsed="false">
      <c r="A12" s="0" t="str">
        <f aca="false">IF('הדבקת לידים'!A12="","",IF(ISNUMBER('הדבקת לידים'!A12),IF(הגדרות!$E$2&gt;0,TEXT('הדבקת לידים'!A12,REPT("0",הגדרות!$E$2)),TEXT('הדבקת לידים'!A12,"0")),TRIM('הדבקת לידים'!A12)))</f>
        <v/>
      </c>
      <c r="B12" s="0" t="str">
        <f aca="false">IF('הדבקת לידים'!B12="","",IF(ISNUMBER('הדבקת לידים'!B12),IF(הגדרות!$E$3&gt;0,TEXT('הדבקת לידים'!B12,REPT("0",הגדרות!$E$3)),TEXT('הדבקת לידים'!B12,"0")),TRIM('הדבקת לידים'!B12)))</f>
        <v/>
      </c>
      <c r="C12" s="0" t="n">
        <f aca="false">IF(OR(A12&lt;&gt;"",B12&lt;&gt;""),1,0)</f>
        <v>0</v>
      </c>
      <c r="D12" s="0" t="str">
        <f aca="false">IF(C12=1,MOD(ABS(SIN(ROW()*12.9898+'הדבקת לידים'!$F$2*78.233+IFERROR(--RIGHT(A12,6),LEN(A12))*0.0137+IFERROR(--RIGHT(B12,6),LEN(B12))*0.0071))*43758.5453,1),"")</f>
        <v/>
      </c>
      <c r="E12" s="0" t="str">
        <f aca="false">IF(C12=1,INT(MOD(ABS(SIN(D12*7919.123+ROW()*0.618+'הדבקת לידים'!$F$2*1.3))*43758.5453,1)*1000000)*10000+ROW(),"")</f>
        <v/>
      </c>
      <c r="F12" s="0" t="str">
        <f aca="false">IF(E12="","",RANK(E12,$E$2:$E$5001,1))</f>
        <v/>
      </c>
      <c r="G12" s="0" t="n">
        <f aca="false">IF(A12="",0,IF(SUMPRODUCT(--($A$2:$A$5001=A12))&gt;1,1,0))</f>
        <v>0</v>
      </c>
      <c r="H12" s="0" t="n">
        <f aca="false">ROW()-1</f>
        <v>11</v>
      </c>
      <c r="I12" s="0" t="str">
        <f aca="false">IF(OR(הגדרות!$E$6=0,H12&gt;הגדרות!$E$5),"",IF(H12-1&lt;הגדרות!$E$8*(הגדרות!$E$7+1),INT((H12-1)/(הגדרות!$E$7+1)),הגדרות!$E$8+INT((H12-1-הגדרות!$E$8*(הגדרות!$E$7+1))/הגדרות!$E$7)))</f>
        <v/>
      </c>
      <c r="J12" s="0" t="str">
        <f aca="false">IF(I12="","",IF(H12-1&lt;הגדרות!$E$8*(הגדרות!$E$7+1),MOD(H12-1,הגדרות!$E$7+1),MOD(H12-1-הגדרות!$E$8*(הגדרות!$E$7+1),הגדרות!$E$7)))</f>
        <v/>
      </c>
      <c r="K12" s="0" t="str">
        <f aca="false">IF(I12="","",J12*הגדרות!$E$6+I12+1)</f>
        <v/>
      </c>
      <c r="L12" s="0" t="str">
        <f aca="false">IF(K12="","",MATCH(K12,$F$2:$F$5001,0))</f>
        <v/>
      </c>
      <c r="M12" s="0" t="str">
        <f aca="false">IF(I12="","",INDEX(הגדרות!$A$2:$A$21,MOD(I12+הגדרות!$E$9,הגדרות!$E$6)+1))</f>
        <v/>
      </c>
    </row>
    <row r="13" customFormat="false" ht="15" hidden="false" customHeight="false" outlineLevel="0" collapsed="false">
      <c r="A13" s="0" t="str">
        <f aca="false">IF('הדבקת לידים'!A13="","",IF(ISNUMBER('הדבקת לידים'!A13),IF(הגדרות!$E$2&gt;0,TEXT('הדבקת לידים'!A13,REPT("0",הגדרות!$E$2)),TEXT('הדבקת לידים'!A13,"0")),TRIM('הדבקת לידים'!A13)))</f>
        <v/>
      </c>
      <c r="B13" s="0" t="str">
        <f aca="false">IF('הדבקת לידים'!B13="","",IF(ISNUMBER('הדבקת לידים'!B13),IF(הגדרות!$E$3&gt;0,TEXT('הדבקת לידים'!B13,REPT("0",הגדרות!$E$3)),TEXT('הדבקת לידים'!B13,"0")),TRIM('הדבקת לידים'!B13)))</f>
        <v/>
      </c>
      <c r="C13" s="0" t="n">
        <f aca="false">IF(OR(A13&lt;&gt;"",B13&lt;&gt;""),1,0)</f>
        <v>0</v>
      </c>
      <c r="D13" s="0" t="str">
        <f aca="false">IF(C13=1,MOD(ABS(SIN(ROW()*12.9898+'הדבקת לידים'!$F$2*78.233+IFERROR(--RIGHT(A13,6),LEN(A13))*0.0137+IFERROR(--RIGHT(B13,6),LEN(B13))*0.0071))*43758.5453,1),"")</f>
        <v/>
      </c>
      <c r="E13" s="0" t="str">
        <f aca="false">IF(C13=1,INT(MOD(ABS(SIN(D13*7919.123+ROW()*0.618+'הדבקת לידים'!$F$2*1.3))*43758.5453,1)*1000000)*10000+ROW(),"")</f>
        <v/>
      </c>
      <c r="F13" s="0" t="str">
        <f aca="false">IF(E13="","",RANK(E13,$E$2:$E$5001,1))</f>
        <v/>
      </c>
      <c r="G13" s="0" t="n">
        <f aca="false">IF(A13="",0,IF(SUMPRODUCT(--($A$2:$A$5001=A13))&gt;1,1,0))</f>
        <v>0</v>
      </c>
      <c r="H13" s="0" t="n">
        <f aca="false">ROW()-1</f>
        <v>12</v>
      </c>
      <c r="I13" s="0" t="str">
        <f aca="false">IF(OR(הגדרות!$E$6=0,H13&gt;הגדרות!$E$5),"",IF(H13-1&lt;הגדרות!$E$8*(הגדרות!$E$7+1),INT((H13-1)/(הגדרות!$E$7+1)),הגדרות!$E$8+INT((H13-1-הגדרות!$E$8*(הגדרות!$E$7+1))/הגדרות!$E$7)))</f>
        <v/>
      </c>
      <c r="J13" s="0" t="str">
        <f aca="false">IF(I13="","",IF(H13-1&lt;הגדרות!$E$8*(הגדרות!$E$7+1),MOD(H13-1,הגדרות!$E$7+1),MOD(H13-1-הגדרות!$E$8*(הגדרות!$E$7+1),הגדרות!$E$7)))</f>
        <v/>
      </c>
      <c r="K13" s="0" t="str">
        <f aca="false">IF(I13="","",J13*הגדרות!$E$6+I13+1)</f>
        <v/>
      </c>
      <c r="L13" s="0" t="str">
        <f aca="false">IF(K13="","",MATCH(K13,$F$2:$F$5001,0))</f>
        <v/>
      </c>
      <c r="M13" s="0" t="str">
        <f aca="false">IF(I13="","",INDEX(הגדרות!$A$2:$A$21,MOD(I13+הגדרות!$E$9,הגדרות!$E$6)+1))</f>
        <v/>
      </c>
    </row>
    <row r="14" customFormat="false" ht="15" hidden="false" customHeight="false" outlineLevel="0" collapsed="false">
      <c r="A14" s="0" t="str">
        <f aca="false">IF('הדבקת לידים'!A14="","",IF(ISNUMBER('הדבקת לידים'!A14),IF(הגדרות!$E$2&gt;0,TEXT('הדבקת לידים'!A14,REPT("0",הגדרות!$E$2)),TEXT('הדבקת לידים'!A14,"0")),TRIM('הדבקת לידים'!A14)))</f>
        <v/>
      </c>
      <c r="B14" s="0" t="str">
        <f aca="false">IF('הדבקת לידים'!B14="","",IF(ISNUMBER('הדבקת לידים'!B14),IF(הגדרות!$E$3&gt;0,TEXT('הדבקת לידים'!B14,REPT("0",הגדרות!$E$3)),TEXT('הדבקת לידים'!B14,"0")),TRIM('הדבקת לידים'!B14)))</f>
        <v/>
      </c>
      <c r="C14" s="0" t="n">
        <f aca="false">IF(OR(A14&lt;&gt;"",B14&lt;&gt;""),1,0)</f>
        <v>0</v>
      </c>
      <c r="D14" s="0" t="str">
        <f aca="false">IF(C14=1,MOD(ABS(SIN(ROW()*12.9898+'הדבקת לידים'!$F$2*78.233+IFERROR(--RIGHT(A14,6),LEN(A14))*0.0137+IFERROR(--RIGHT(B14,6),LEN(B14))*0.0071))*43758.5453,1),"")</f>
        <v/>
      </c>
      <c r="E14" s="0" t="str">
        <f aca="false">IF(C14=1,INT(MOD(ABS(SIN(D14*7919.123+ROW()*0.618+'הדבקת לידים'!$F$2*1.3))*43758.5453,1)*1000000)*10000+ROW(),"")</f>
        <v/>
      </c>
      <c r="F14" s="0" t="str">
        <f aca="false">IF(E14="","",RANK(E14,$E$2:$E$5001,1))</f>
        <v/>
      </c>
      <c r="G14" s="0" t="n">
        <f aca="false">IF(A14="",0,IF(SUMPRODUCT(--($A$2:$A$5001=A14))&gt;1,1,0))</f>
        <v>0</v>
      </c>
      <c r="H14" s="0" t="n">
        <f aca="false">ROW()-1</f>
        <v>13</v>
      </c>
      <c r="I14" s="0" t="str">
        <f aca="false">IF(OR(הגדרות!$E$6=0,H14&gt;הגדרות!$E$5),"",IF(H14-1&lt;הגדרות!$E$8*(הגדרות!$E$7+1),INT((H14-1)/(הגדרות!$E$7+1)),הגדרות!$E$8+INT((H14-1-הגדרות!$E$8*(הגדרות!$E$7+1))/הגדרות!$E$7)))</f>
        <v/>
      </c>
      <c r="J14" s="0" t="str">
        <f aca="false">IF(I14="","",IF(H14-1&lt;הגדרות!$E$8*(הגדרות!$E$7+1),MOD(H14-1,הגדרות!$E$7+1),MOD(H14-1-הגדרות!$E$8*(הגדרות!$E$7+1),הגדרות!$E$7)))</f>
        <v/>
      </c>
      <c r="K14" s="0" t="str">
        <f aca="false">IF(I14="","",J14*הגדרות!$E$6+I14+1)</f>
        <v/>
      </c>
      <c r="L14" s="0" t="str">
        <f aca="false">IF(K14="","",MATCH(K14,$F$2:$F$5001,0))</f>
        <v/>
      </c>
      <c r="M14" s="0" t="str">
        <f aca="false">IF(I14="","",INDEX(הגדרות!$A$2:$A$21,MOD(I14+הגדרות!$E$9,הגדרות!$E$6)+1))</f>
        <v/>
      </c>
    </row>
    <row r="15" customFormat="false" ht="15" hidden="false" customHeight="false" outlineLevel="0" collapsed="false">
      <c r="A15" s="0" t="str">
        <f aca="false">IF('הדבקת לידים'!A15="","",IF(ISNUMBER('הדבקת לידים'!A15),IF(הגדרות!$E$2&gt;0,TEXT('הדבקת לידים'!A15,REPT("0",הגדרות!$E$2)),TEXT('הדבקת לידים'!A15,"0")),TRIM('הדבקת לידים'!A15)))</f>
        <v/>
      </c>
      <c r="B15" s="0" t="str">
        <f aca="false">IF('הדבקת לידים'!B15="","",IF(ISNUMBER('הדבקת לידים'!B15),IF(הגדרות!$E$3&gt;0,TEXT('הדבקת לידים'!B15,REPT("0",הגדרות!$E$3)),TEXT('הדבקת לידים'!B15,"0")),TRIM('הדבקת לידים'!B15)))</f>
        <v/>
      </c>
      <c r="C15" s="0" t="n">
        <f aca="false">IF(OR(A15&lt;&gt;"",B15&lt;&gt;""),1,0)</f>
        <v>0</v>
      </c>
      <c r="D15" s="0" t="str">
        <f aca="false">IF(C15=1,MOD(ABS(SIN(ROW()*12.9898+'הדבקת לידים'!$F$2*78.233+IFERROR(--RIGHT(A15,6),LEN(A15))*0.0137+IFERROR(--RIGHT(B15,6),LEN(B15))*0.0071))*43758.5453,1),"")</f>
        <v/>
      </c>
      <c r="E15" s="0" t="str">
        <f aca="false">IF(C15=1,INT(MOD(ABS(SIN(D15*7919.123+ROW()*0.618+'הדבקת לידים'!$F$2*1.3))*43758.5453,1)*1000000)*10000+ROW(),"")</f>
        <v/>
      </c>
      <c r="F15" s="0" t="str">
        <f aca="false">IF(E15="","",RANK(E15,$E$2:$E$5001,1))</f>
        <v/>
      </c>
      <c r="G15" s="0" t="n">
        <f aca="false">IF(A15="",0,IF(SUMPRODUCT(--($A$2:$A$5001=A15))&gt;1,1,0))</f>
        <v>0</v>
      </c>
      <c r="H15" s="0" t="n">
        <f aca="false">ROW()-1</f>
        <v>14</v>
      </c>
      <c r="I15" s="0" t="str">
        <f aca="false">IF(OR(הגדרות!$E$6=0,H15&gt;הגדרות!$E$5),"",IF(H15-1&lt;הגדרות!$E$8*(הגדרות!$E$7+1),INT((H15-1)/(הגדרות!$E$7+1)),הגדרות!$E$8+INT((H15-1-הגדרות!$E$8*(הגדרות!$E$7+1))/הגדרות!$E$7)))</f>
        <v/>
      </c>
      <c r="J15" s="0" t="str">
        <f aca="false">IF(I15="","",IF(H15-1&lt;הגדרות!$E$8*(הגדרות!$E$7+1),MOD(H15-1,הגדרות!$E$7+1),MOD(H15-1-הגדרות!$E$8*(הגדרות!$E$7+1),הגדרות!$E$7)))</f>
        <v/>
      </c>
      <c r="K15" s="0" t="str">
        <f aca="false">IF(I15="","",J15*הגדרות!$E$6+I15+1)</f>
        <v/>
      </c>
      <c r="L15" s="0" t="str">
        <f aca="false">IF(K15="","",MATCH(K15,$F$2:$F$5001,0))</f>
        <v/>
      </c>
      <c r="M15" s="0" t="str">
        <f aca="false">IF(I15="","",INDEX(הגדרות!$A$2:$A$21,MOD(I15+הגדרות!$E$9,הגדרות!$E$6)+1))</f>
        <v/>
      </c>
    </row>
    <row r="16" customFormat="false" ht="15" hidden="false" customHeight="false" outlineLevel="0" collapsed="false">
      <c r="A16" s="0" t="str">
        <f aca="false">IF('הדבקת לידים'!A16="","",IF(ISNUMBER('הדבקת לידים'!A16),IF(הגדרות!$E$2&gt;0,TEXT('הדבקת לידים'!A16,REPT("0",הגדרות!$E$2)),TEXT('הדבקת לידים'!A16,"0")),TRIM('הדבקת לידים'!A16)))</f>
        <v/>
      </c>
      <c r="B16" s="0" t="str">
        <f aca="false">IF('הדבקת לידים'!B16="","",IF(ISNUMBER('הדבקת לידים'!B16),IF(הגדרות!$E$3&gt;0,TEXT('הדבקת לידים'!B16,REPT("0",הגדרות!$E$3)),TEXT('הדבקת לידים'!B16,"0")),TRIM('הדבקת לידים'!B16)))</f>
        <v/>
      </c>
      <c r="C16" s="0" t="n">
        <f aca="false">IF(OR(A16&lt;&gt;"",B16&lt;&gt;""),1,0)</f>
        <v>0</v>
      </c>
      <c r="D16" s="0" t="str">
        <f aca="false">IF(C16=1,MOD(ABS(SIN(ROW()*12.9898+'הדבקת לידים'!$F$2*78.233+IFERROR(--RIGHT(A16,6),LEN(A16))*0.0137+IFERROR(--RIGHT(B16,6),LEN(B16))*0.0071))*43758.5453,1),"")</f>
        <v/>
      </c>
      <c r="E16" s="0" t="str">
        <f aca="false">IF(C16=1,INT(MOD(ABS(SIN(D16*7919.123+ROW()*0.618+'הדבקת לידים'!$F$2*1.3))*43758.5453,1)*1000000)*10000+ROW(),"")</f>
        <v/>
      </c>
      <c r="F16" s="0" t="str">
        <f aca="false">IF(E16="","",RANK(E16,$E$2:$E$5001,1))</f>
        <v/>
      </c>
      <c r="G16" s="0" t="n">
        <f aca="false">IF(A16="",0,IF(SUMPRODUCT(--($A$2:$A$5001=A16))&gt;1,1,0))</f>
        <v>0</v>
      </c>
      <c r="H16" s="0" t="n">
        <f aca="false">ROW()-1</f>
        <v>15</v>
      </c>
      <c r="I16" s="0" t="str">
        <f aca="false">IF(OR(הגדרות!$E$6=0,H16&gt;הגדרות!$E$5),"",IF(H16-1&lt;הגדרות!$E$8*(הגדרות!$E$7+1),INT((H16-1)/(הגדרות!$E$7+1)),הגדרות!$E$8+INT((H16-1-הגדרות!$E$8*(הגדרות!$E$7+1))/הגדרות!$E$7)))</f>
        <v/>
      </c>
      <c r="J16" s="0" t="str">
        <f aca="false">IF(I16="","",IF(H16-1&lt;הגדרות!$E$8*(הגדרות!$E$7+1),MOD(H16-1,הגדרות!$E$7+1),MOD(H16-1-הגדרות!$E$8*(הגדרות!$E$7+1),הגדרות!$E$7)))</f>
        <v/>
      </c>
      <c r="K16" s="0" t="str">
        <f aca="false">IF(I16="","",J16*הגדרות!$E$6+I16+1)</f>
        <v/>
      </c>
      <c r="L16" s="0" t="str">
        <f aca="false">IF(K16="","",MATCH(K16,$F$2:$F$5001,0))</f>
        <v/>
      </c>
      <c r="M16" s="0" t="str">
        <f aca="false">IF(I16="","",INDEX(הגדרות!$A$2:$A$21,MOD(I16+הגדרות!$E$9,הגדרות!$E$6)+1))</f>
        <v/>
      </c>
    </row>
    <row r="17" customFormat="false" ht="15" hidden="false" customHeight="false" outlineLevel="0" collapsed="false">
      <c r="A17" s="0" t="str">
        <f aca="false">IF('הדבקת לידים'!A17="","",IF(ISNUMBER('הדבקת לידים'!A17),IF(הגדרות!$E$2&gt;0,TEXT('הדבקת לידים'!A17,REPT("0",הגדרות!$E$2)),TEXT('הדבקת לידים'!A17,"0")),TRIM('הדבקת לידים'!A17)))</f>
        <v/>
      </c>
      <c r="B17" s="0" t="str">
        <f aca="false">IF('הדבקת לידים'!B17="","",IF(ISNUMBER('הדבקת לידים'!B17),IF(הגדרות!$E$3&gt;0,TEXT('הדבקת לידים'!B17,REPT("0",הגדרות!$E$3)),TEXT('הדבקת לידים'!B17,"0")),TRIM('הדבקת לידים'!B17)))</f>
        <v/>
      </c>
      <c r="C17" s="0" t="n">
        <f aca="false">IF(OR(A17&lt;&gt;"",B17&lt;&gt;""),1,0)</f>
        <v>0</v>
      </c>
      <c r="D17" s="0" t="str">
        <f aca="false">IF(C17=1,MOD(ABS(SIN(ROW()*12.9898+'הדבקת לידים'!$F$2*78.233+IFERROR(--RIGHT(A17,6),LEN(A17))*0.0137+IFERROR(--RIGHT(B17,6),LEN(B17))*0.0071))*43758.5453,1),"")</f>
        <v/>
      </c>
      <c r="E17" s="0" t="str">
        <f aca="false">IF(C17=1,INT(MOD(ABS(SIN(D17*7919.123+ROW()*0.618+'הדבקת לידים'!$F$2*1.3))*43758.5453,1)*1000000)*10000+ROW(),"")</f>
        <v/>
      </c>
      <c r="F17" s="0" t="str">
        <f aca="false">IF(E17="","",RANK(E17,$E$2:$E$5001,1))</f>
        <v/>
      </c>
      <c r="G17" s="0" t="n">
        <f aca="false">IF(A17="",0,IF(SUMPRODUCT(--($A$2:$A$5001=A17))&gt;1,1,0))</f>
        <v>0</v>
      </c>
      <c r="H17" s="0" t="n">
        <f aca="false">ROW()-1</f>
        <v>16</v>
      </c>
      <c r="I17" s="0" t="str">
        <f aca="false">IF(OR(הגדרות!$E$6=0,H17&gt;הגדרות!$E$5),"",IF(H17-1&lt;הגדרות!$E$8*(הגדרות!$E$7+1),INT((H17-1)/(הגדרות!$E$7+1)),הגדרות!$E$8+INT((H17-1-הגדרות!$E$8*(הגדרות!$E$7+1))/הגדרות!$E$7)))</f>
        <v/>
      </c>
      <c r="J17" s="0" t="str">
        <f aca="false">IF(I17="","",IF(H17-1&lt;הגדרות!$E$8*(הגדרות!$E$7+1),MOD(H17-1,הגדרות!$E$7+1),MOD(H17-1-הגדרות!$E$8*(הגדרות!$E$7+1),הגדרות!$E$7)))</f>
        <v/>
      </c>
      <c r="K17" s="0" t="str">
        <f aca="false">IF(I17="","",J17*הגדרות!$E$6+I17+1)</f>
        <v/>
      </c>
      <c r="L17" s="0" t="str">
        <f aca="false">IF(K17="","",MATCH(K17,$F$2:$F$5001,0))</f>
        <v/>
      </c>
      <c r="M17" s="0" t="str">
        <f aca="false">IF(I17="","",INDEX(הגדרות!$A$2:$A$21,MOD(I17+הגדרות!$E$9,הגדרות!$E$6)+1))</f>
        <v/>
      </c>
    </row>
    <row r="18" customFormat="false" ht="15" hidden="false" customHeight="false" outlineLevel="0" collapsed="false">
      <c r="A18" s="0" t="str">
        <f aca="false">IF('הדבקת לידים'!A18="","",IF(ISNUMBER('הדבקת לידים'!A18),IF(הגדרות!$E$2&gt;0,TEXT('הדבקת לידים'!A18,REPT("0",הגדרות!$E$2)),TEXT('הדבקת לידים'!A18,"0")),TRIM('הדבקת לידים'!A18)))</f>
        <v/>
      </c>
      <c r="B18" s="0" t="str">
        <f aca="false">IF('הדבקת לידים'!B18="","",IF(ISNUMBER('הדבקת לידים'!B18),IF(הגדרות!$E$3&gt;0,TEXT('הדבקת לידים'!B18,REPT("0",הגדרות!$E$3)),TEXT('הדבקת לידים'!B18,"0")),TRIM('הדבקת לידים'!B18)))</f>
        <v/>
      </c>
      <c r="C18" s="0" t="n">
        <f aca="false">IF(OR(A18&lt;&gt;"",B18&lt;&gt;""),1,0)</f>
        <v>0</v>
      </c>
      <c r="D18" s="0" t="str">
        <f aca="false">IF(C18=1,MOD(ABS(SIN(ROW()*12.9898+'הדבקת לידים'!$F$2*78.233+IFERROR(--RIGHT(A18,6),LEN(A18))*0.0137+IFERROR(--RIGHT(B18,6),LEN(B18))*0.0071))*43758.5453,1),"")</f>
        <v/>
      </c>
      <c r="E18" s="0" t="str">
        <f aca="false">IF(C18=1,INT(MOD(ABS(SIN(D18*7919.123+ROW()*0.618+'הדבקת לידים'!$F$2*1.3))*43758.5453,1)*1000000)*10000+ROW(),"")</f>
        <v/>
      </c>
      <c r="F18" s="0" t="str">
        <f aca="false">IF(E18="","",RANK(E18,$E$2:$E$5001,1))</f>
        <v/>
      </c>
      <c r="G18" s="0" t="n">
        <f aca="false">IF(A18="",0,IF(SUMPRODUCT(--($A$2:$A$5001=A18))&gt;1,1,0))</f>
        <v>0</v>
      </c>
      <c r="H18" s="0" t="n">
        <f aca="false">ROW()-1</f>
        <v>17</v>
      </c>
      <c r="I18" s="0" t="str">
        <f aca="false">IF(OR(הגדרות!$E$6=0,H18&gt;הגדרות!$E$5),"",IF(H18-1&lt;הגדרות!$E$8*(הגדרות!$E$7+1),INT((H18-1)/(הגדרות!$E$7+1)),הגדרות!$E$8+INT((H18-1-הגדרות!$E$8*(הגדרות!$E$7+1))/הגדרות!$E$7)))</f>
        <v/>
      </c>
      <c r="J18" s="0" t="str">
        <f aca="false">IF(I18="","",IF(H18-1&lt;הגדרות!$E$8*(הגדרות!$E$7+1),MOD(H18-1,הגדרות!$E$7+1),MOD(H18-1-הגדרות!$E$8*(הגדרות!$E$7+1),הגדרות!$E$7)))</f>
        <v/>
      </c>
      <c r="K18" s="0" t="str">
        <f aca="false">IF(I18="","",J18*הגדרות!$E$6+I18+1)</f>
        <v/>
      </c>
      <c r="L18" s="0" t="str">
        <f aca="false">IF(K18="","",MATCH(K18,$F$2:$F$5001,0))</f>
        <v/>
      </c>
      <c r="M18" s="0" t="str">
        <f aca="false">IF(I18="","",INDEX(הגדרות!$A$2:$A$21,MOD(I18+הגדרות!$E$9,הגדרות!$E$6)+1))</f>
        <v/>
      </c>
    </row>
    <row r="19" customFormat="false" ht="15" hidden="false" customHeight="false" outlineLevel="0" collapsed="false">
      <c r="A19" s="0" t="str">
        <f aca="false">IF('הדבקת לידים'!A19="","",IF(ISNUMBER('הדבקת לידים'!A19),IF(הגדרות!$E$2&gt;0,TEXT('הדבקת לידים'!A19,REPT("0",הגדרות!$E$2)),TEXT('הדבקת לידים'!A19,"0")),TRIM('הדבקת לידים'!A19)))</f>
        <v/>
      </c>
      <c r="B19" s="0" t="str">
        <f aca="false">IF('הדבקת לידים'!B19="","",IF(ISNUMBER('הדבקת לידים'!B19),IF(הגדרות!$E$3&gt;0,TEXT('הדבקת לידים'!B19,REPT("0",הגדרות!$E$3)),TEXT('הדבקת לידים'!B19,"0")),TRIM('הדבקת לידים'!B19)))</f>
        <v/>
      </c>
      <c r="C19" s="0" t="n">
        <f aca="false">IF(OR(A19&lt;&gt;"",B19&lt;&gt;""),1,0)</f>
        <v>0</v>
      </c>
      <c r="D19" s="0" t="str">
        <f aca="false">IF(C19=1,MOD(ABS(SIN(ROW()*12.9898+'הדבקת לידים'!$F$2*78.233+IFERROR(--RIGHT(A19,6),LEN(A19))*0.0137+IFERROR(--RIGHT(B19,6),LEN(B19))*0.0071))*43758.5453,1),"")</f>
        <v/>
      </c>
      <c r="E19" s="0" t="str">
        <f aca="false">IF(C19=1,INT(MOD(ABS(SIN(D19*7919.123+ROW()*0.618+'הדבקת לידים'!$F$2*1.3))*43758.5453,1)*1000000)*10000+ROW(),"")</f>
        <v/>
      </c>
      <c r="F19" s="0" t="str">
        <f aca="false">IF(E19="","",RANK(E19,$E$2:$E$5001,1))</f>
        <v/>
      </c>
      <c r="G19" s="0" t="n">
        <f aca="false">IF(A19="",0,IF(SUMPRODUCT(--($A$2:$A$5001=A19))&gt;1,1,0))</f>
        <v>0</v>
      </c>
      <c r="H19" s="0" t="n">
        <f aca="false">ROW()-1</f>
        <v>18</v>
      </c>
      <c r="I19" s="0" t="str">
        <f aca="false">IF(OR(הגדרות!$E$6=0,H19&gt;הגדרות!$E$5),"",IF(H19-1&lt;הגדרות!$E$8*(הגדרות!$E$7+1),INT((H19-1)/(הגדרות!$E$7+1)),הגדרות!$E$8+INT((H19-1-הגדרות!$E$8*(הגדרות!$E$7+1))/הגדרות!$E$7)))</f>
        <v/>
      </c>
      <c r="J19" s="0" t="str">
        <f aca="false">IF(I19="","",IF(H19-1&lt;הגדרות!$E$8*(הגדרות!$E$7+1),MOD(H19-1,הגדרות!$E$7+1),MOD(H19-1-הגדרות!$E$8*(הגדרות!$E$7+1),הגדרות!$E$7)))</f>
        <v/>
      </c>
      <c r="K19" s="0" t="str">
        <f aca="false">IF(I19="","",J19*הגדרות!$E$6+I19+1)</f>
        <v/>
      </c>
      <c r="L19" s="0" t="str">
        <f aca="false">IF(K19="","",MATCH(K19,$F$2:$F$5001,0))</f>
        <v/>
      </c>
      <c r="M19" s="0" t="str">
        <f aca="false">IF(I19="","",INDEX(הגדרות!$A$2:$A$21,MOD(I19+הגדרות!$E$9,הגדרות!$E$6)+1))</f>
        <v/>
      </c>
    </row>
    <row r="20" customFormat="false" ht="15" hidden="false" customHeight="false" outlineLevel="0" collapsed="false">
      <c r="A20" s="0" t="str">
        <f aca="false">IF('הדבקת לידים'!A20="","",IF(ISNUMBER('הדבקת לידים'!A20),IF(הגדרות!$E$2&gt;0,TEXT('הדבקת לידים'!A20,REPT("0",הגדרות!$E$2)),TEXT('הדבקת לידים'!A20,"0")),TRIM('הדבקת לידים'!A20)))</f>
        <v/>
      </c>
      <c r="B20" s="0" t="str">
        <f aca="false">IF('הדבקת לידים'!B20="","",IF(ISNUMBER('הדבקת לידים'!B20),IF(הגדרות!$E$3&gt;0,TEXT('הדבקת לידים'!B20,REPT("0",הגדרות!$E$3)),TEXT('הדבקת לידים'!B20,"0")),TRIM('הדבקת לידים'!B20)))</f>
        <v/>
      </c>
      <c r="C20" s="0" t="n">
        <f aca="false">IF(OR(A20&lt;&gt;"",B20&lt;&gt;""),1,0)</f>
        <v>0</v>
      </c>
      <c r="D20" s="0" t="str">
        <f aca="false">IF(C20=1,MOD(ABS(SIN(ROW()*12.9898+'הדבקת לידים'!$F$2*78.233+IFERROR(--RIGHT(A20,6),LEN(A20))*0.0137+IFERROR(--RIGHT(B20,6),LEN(B20))*0.0071))*43758.5453,1),"")</f>
        <v/>
      </c>
      <c r="E20" s="0" t="str">
        <f aca="false">IF(C20=1,INT(MOD(ABS(SIN(D20*7919.123+ROW()*0.618+'הדבקת לידים'!$F$2*1.3))*43758.5453,1)*1000000)*10000+ROW(),"")</f>
        <v/>
      </c>
      <c r="F20" s="0" t="str">
        <f aca="false">IF(E20="","",RANK(E20,$E$2:$E$5001,1))</f>
        <v/>
      </c>
      <c r="G20" s="0" t="n">
        <f aca="false">IF(A20="",0,IF(SUMPRODUCT(--($A$2:$A$5001=A20))&gt;1,1,0))</f>
        <v>0</v>
      </c>
      <c r="H20" s="0" t="n">
        <f aca="false">ROW()-1</f>
        <v>19</v>
      </c>
      <c r="I20" s="0" t="str">
        <f aca="false">IF(OR(הגדרות!$E$6=0,H20&gt;הגדרות!$E$5),"",IF(H20-1&lt;הגדרות!$E$8*(הגדרות!$E$7+1),INT((H20-1)/(הגדרות!$E$7+1)),הגדרות!$E$8+INT((H20-1-הגדרות!$E$8*(הגדרות!$E$7+1))/הגדרות!$E$7)))</f>
        <v/>
      </c>
      <c r="J20" s="0" t="str">
        <f aca="false">IF(I20="","",IF(H20-1&lt;הגדרות!$E$8*(הגדרות!$E$7+1),MOD(H20-1,הגדרות!$E$7+1),MOD(H20-1-הגדרות!$E$8*(הגדרות!$E$7+1),הגדרות!$E$7)))</f>
        <v/>
      </c>
      <c r="K20" s="0" t="str">
        <f aca="false">IF(I20="","",J20*הגדרות!$E$6+I20+1)</f>
        <v/>
      </c>
      <c r="L20" s="0" t="str">
        <f aca="false">IF(K20="","",MATCH(K20,$F$2:$F$5001,0))</f>
        <v/>
      </c>
      <c r="M20" s="0" t="str">
        <f aca="false">IF(I20="","",INDEX(הגדרות!$A$2:$A$21,MOD(I20+הגדרות!$E$9,הגדרות!$E$6)+1))</f>
        <v/>
      </c>
    </row>
    <row r="21" customFormat="false" ht="15" hidden="false" customHeight="false" outlineLevel="0" collapsed="false">
      <c r="A21" s="0" t="str">
        <f aca="false">IF('הדבקת לידים'!A21="","",IF(ISNUMBER('הדבקת לידים'!A21),IF(הגדרות!$E$2&gt;0,TEXT('הדבקת לידים'!A21,REPT("0",הגדרות!$E$2)),TEXT('הדבקת לידים'!A21,"0")),TRIM('הדבקת לידים'!A21)))</f>
        <v/>
      </c>
      <c r="B21" s="0" t="str">
        <f aca="false">IF('הדבקת לידים'!B21="","",IF(ISNUMBER('הדבקת לידים'!B21),IF(הגדרות!$E$3&gt;0,TEXT('הדבקת לידים'!B21,REPT("0",הגדרות!$E$3)),TEXT('הדבקת לידים'!B21,"0")),TRIM('הדבקת לידים'!B21)))</f>
        <v/>
      </c>
      <c r="C21" s="0" t="n">
        <f aca="false">IF(OR(A21&lt;&gt;"",B21&lt;&gt;""),1,0)</f>
        <v>0</v>
      </c>
      <c r="D21" s="0" t="str">
        <f aca="false">IF(C21=1,MOD(ABS(SIN(ROW()*12.9898+'הדבקת לידים'!$F$2*78.233+IFERROR(--RIGHT(A21,6),LEN(A21))*0.0137+IFERROR(--RIGHT(B21,6),LEN(B21))*0.0071))*43758.5453,1),"")</f>
        <v/>
      </c>
      <c r="E21" s="0" t="str">
        <f aca="false">IF(C21=1,INT(MOD(ABS(SIN(D21*7919.123+ROW()*0.618+'הדבקת לידים'!$F$2*1.3))*43758.5453,1)*1000000)*10000+ROW(),"")</f>
        <v/>
      </c>
      <c r="F21" s="0" t="str">
        <f aca="false">IF(E21="","",RANK(E21,$E$2:$E$5001,1))</f>
        <v/>
      </c>
      <c r="G21" s="0" t="n">
        <f aca="false">IF(A21="",0,IF(SUMPRODUCT(--($A$2:$A$5001=A21))&gt;1,1,0))</f>
        <v>0</v>
      </c>
      <c r="H21" s="0" t="n">
        <f aca="false">ROW()-1</f>
        <v>20</v>
      </c>
      <c r="I21" s="0" t="str">
        <f aca="false">IF(OR(הגדרות!$E$6=0,H21&gt;הגדרות!$E$5),"",IF(H21-1&lt;הגדרות!$E$8*(הגדרות!$E$7+1),INT((H21-1)/(הגדרות!$E$7+1)),הגדרות!$E$8+INT((H21-1-הגדרות!$E$8*(הגדרות!$E$7+1))/הגדרות!$E$7)))</f>
        <v/>
      </c>
      <c r="J21" s="0" t="str">
        <f aca="false">IF(I21="","",IF(H21-1&lt;הגדרות!$E$8*(הגדרות!$E$7+1),MOD(H21-1,הגדרות!$E$7+1),MOD(H21-1-הגדרות!$E$8*(הגדרות!$E$7+1),הגדרות!$E$7)))</f>
        <v/>
      </c>
      <c r="K21" s="0" t="str">
        <f aca="false">IF(I21="","",J21*הגדרות!$E$6+I21+1)</f>
        <v/>
      </c>
      <c r="L21" s="0" t="str">
        <f aca="false">IF(K21="","",MATCH(K21,$F$2:$F$5001,0))</f>
        <v/>
      </c>
      <c r="M21" s="0" t="str">
        <f aca="false">IF(I21="","",INDEX(הגדרות!$A$2:$A$21,MOD(I21+הגדרות!$E$9,הגדרות!$E$6)+1))</f>
        <v/>
      </c>
    </row>
    <row r="22" customFormat="false" ht="15" hidden="false" customHeight="false" outlineLevel="0" collapsed="false">
      <c r="A22" s="0" t="str">
        <f aca="false">IF('הדבקת לידים'!A22="","",IF(ISNUMBER('הדבקת לידים'!A22),IF(הגדרות!$E$2&gt;0,TEXT('הדבקת לידים'!A22,REPT("0",הגדרות!$E$2)),TEXT('הדבקת לידים'!A22,"0")),TRIM('הדבקת לידים'!A22)))</f>
        <v/>
      </c>
      <c r="B22" s="0" t="str">
        <f aca="false">IF('הדבקת לידים'!B22="","",IF(ISNUMBER('הדבקת לידים'!B22),IF(הגדרות!$E$3&gt;0,TEXT('הדבקת לידים'!B22,REPT("0",הגדרות!$E$3)),TEXT('הדבקת לידים'!B22,"0")),TRIM('הדבקת לידים'!B22)))</f>
        <v/>
      </c>
      <c r="C22" s="0" t="n">
        <f aca="false">IF(OR(A22&lt;&gt;"",B22&lt;&gt;""),1,0)</f>
        <v>0</v>
      </c>
      <c r="D22" s="0" t="str">
        <f aca="false">IF(C22=1,MOD(ABS(SIN(ROW()*12.9898+'הדבקת לידים'!$F$2*78.233+IFERROR(--RIGHT(A22,6),LEN(A22))*0.0137+IFERROR(--RIGHT(B22,6),LEN(B22))*0.0071))*43758.5453,1),"")</f>
        <v/>
      </c>
      <c r="E22" s="0" t="str">
        <f aca="false">IF(C22=1,INT(MOD(ABS(SIN(D22*7919.123+ROW()*0.618+'הדבקת לידים'!$F$2*1.3))*43758.5453,1)*1000000)*10000+ROW(),"")</f>
        <v/>
      </c>
      <c r="F22" s="0" t="str">
        <f aca="false">IF(E22="","",RANK(E22,$E$2:$E$5001,1))</f>
        <v/>
      </c>
      <c r="G22" s="0" t="n">
        <f aca="false">IF(A22="",0,IF(SUMPRODUCT(--($A$2:$A$5001=A22))&gt;1,1,0))</f>
        <v>0</v>
      </c>
      <c r="H22" s="0" t="n">
        <f aca="false">ROW()-1</f>
        <v>21</v>
      </c>
      <c r="I22" s="0" t="str">
        <f aca="false">IF(OR(הגדרות!$E$6=0,H22&gt;הגדרות!$E$5),"",IF(H22-1&lt;הגדרות!$E$8*(הגדרות!$E$7+1),INT((H22-1)/(הגדרות!$E$7+1)),הגדרות!$E$8+INT((H22-1-הגדרות!$E$8*(הגדרות!$E$7+1))/הגדרות!$E$7)))</f>
        <v/>
      </c>
      <c r="J22" s="0" t="str">
        <f aca="false">IF(I22="","",IF(H22-1&lt;הגדרות!$E$8*(הגדרות!$E$7+1),MOD(H22-1,הגדרות!$E$7+1),MOD(H22-1-הגדרות!$E$8*(הגדרות!$E$7+1),הגדרות!$E$7)))</f>
        <v/>
      </c>
      <c r="K22" s="0" t="str">
        <f aca="false">IF(I22="","",J22*הגדרות!$E$6+I22+1)</f>
        <v/>
      </c>
      <c r="L22" s="0" t="str">
        <f aca="false">IF(K22="","",MATCH(K22,$F$2:$F$5001,0))</f>
        <v/>
      </c>
      <c r="M22" s="0" t="str">
        <f aca="false">IF(I22="","",INDEX(הגדרות!$A$2:$A$21,MOD(I22+הגדרות!$E$9,הגדרות!$E$6)+1))</f>
        <v/>
      </c>
    </row>
    <row r="23" customFormat="false" ht="15" hidden="false" customHeight="false" outlineLevel="0" collapsed="false">
      <c r="A23" s="0" t="str">
        <f aca="false">IF('הדבקת לידים'!A23="","",IF(ISNUMBER('הדבקת לידים'!A23),IF(הגדרות!$E$2&gt;0,TEXT('הדבקת לידים'!A23,REPT("0",הגדרות!$E$2)),TEXT('הדבקת לידים'!A23,"0")),TRIM('הדבקת לידים'!A23)))</f>
        <v/>
      </c>
      <c r="B23" s="0" t="str">
        <f aca="false">IF('הדבקת לידים'!B23="","",IF(ISNUMBER('הדבקת לידים'!B23),IF(הגדרות!$E$3&gt;0,TEXT('הדבקת לידים'!B23,REPT("0",הגדרות!$E$3)),TEXT('הדבקת לידים'!B23,"0")),TRIM('הדבקת לידים'!B23)))</f>
        <v/>
      </c>
      <c r="C23" s="0" t="n">
        <f aca="false">IF(OR(A23&lt;&gt;"",B23&lt;&gt;""),1,0)</f>
        <v>0</v>
      </c>
      <c r="D23" s="0" t="str">
        <f aca="false">IF(C23=1,MOD(ABS(SIN(ROW()*12.9898+'הדבקת לידים'!$F$2*78.233+IFERROR(--RIGHT(A23,6),LEN(A23))*0.0137+IFERROR(--RIGHT(B23,6),LEN(B23))*0.0071))*43758.5453,1),"")</f>
        <v/>
      </c>
      <c r="E23" s="0" t="str">
        <f aca="false">IF(C23=1,INT(MOD(ABS(SIN(D23*7919.123+ROW()*0.618+'הדבקת לידים'!$F$2*1.3))*43758.5453,1)*1000000)*10000+ROW(),"")</f>
        <v/>
      </c>
      <c r="F23" s="0" t="str">
        <f aca="false">IF(E23="","",RANK(E23,$E$2:$E$5001,1))</f>
        <v/>
      </c>
      <c r="G23" s="0" t="n">
        <f aca="false">IF(A23="",0,IF(SUMPRODUCT(--($A$2:$A$5001=A23))&gt;1,1,0))</f>
        <v>0</v>
      </c>
      <c r="H23" s="0" t="n">
        <f aca="false">ROW()-1</f>
        <v>22</v>
      </c>
      <c r="I23" s="0" t="str">
        <f aca="false">IF(OR(הגדרות!$E$6=0,H23&gt;הגדרות!$E$5),"",IF(H23-1&lt;הגדרות!$E$8*(הגדרות!$E$7+1),INT((H23-1)/(הגדרות!$E$7+1)),הגדרות!$E$8+INT((H23-1-הגדרות!$E$8*(הגדרות!$E$7+1))/הגדרות!$E$7)))</f>
        <v/>
      </c>
      <c r="J23" s="0" t="str">
        <f aca="false">IF(I23="","",IF(H23-1&lt;הגדרות!$E$8*(הגדרות!$E$7+1),MOD(H23-1,הגדרות!$E$7+1),MOD(H23-1-הגדרות!$E$8*(הגדרות!$E$7+1),הגדרות!$E$7)))</f>
        <v/>
      </c>
      <c r="K23" s="0" t="str">
        <f aca="false">IF(I23="","",J23*הגדרות!$E$6+I23+1)</f>
        <v/>
      </c>
      <c r="L23" s="0" t="str">
        <f aca="false">IF(K23="","",MATCH(K23,$F$2:$F$5001,0))</f>
        <v/>
      </c>
      <c r="M23" s="0" t="str">
        <f aca="false">IF(I23="","",INDEX(הגדרות!$A$2:$A$21,MOD(I23+הגדרות!$E$9,הגדרות!$E$6)+1))</f>
        <v/>
      </c>
    </row>
    <row r="24" customFormat="false" ht="15" hidden="false" customHeight="false" outlineLevel="0" collapsed="false">
      <c r="A24" s="0" t="str">
        <f aca="false">IF('הדבקת לידים'!A24="","",IF(ISNUMBER('הדבקת לידים'!A24),IF(הגדרות!$E$2&gt;0,TEXT('הדבקת לידים'!A24,REPT("0",הגדרות!$E$2)),TEXT('הדבקת לידים'!A24,"0")),TRIM('הדבקת לידים'!A24)))</f>
        <v/>
      </c>
      <c r="B24" s="0" t="str">
        <f aca="false">IF('הדבקת לידים'!B24="","",IF(ISNUMBER('הדבקת לידים'!B24),IF(הגדרות!$E$3&gt;0,TEXT('הדבקת לידים'!B24,REPT("0",הגדרות!$E$3)),TEXT('הדבקת לידים'!B24,"0")),TRIM('הדבקת לידים'!B24)))</f>
        <v/>
      </c>
      <c r="C24" s="0" t="n">
        <f aca="false">IF(OR(A24&lt;&gt;"",B24&lt;&gt;""),1,0)</f>
        <v>0</v>
      </c>
      <c r="D24" s="0" t="str">
        <f aca="false">IF(C24=1,MOD(ABS(SIN(ROW()*12.9898+'הדבקת לידים'!$F$2*78.233+IFERROR(--RIGHT(A24,6),LEN(A24))*0.0137+IFERROR(--RIGHT(B24,6),LEN(B24))*0.0071))*43758.5453,1),"")</f>
        <v/>
      </c>
      <c r="E24" s="0" t="str">
        <f aca="false">IF(C24=1,INT(MOD(ABS(SIN(D24*7919.123+ROW()*0.618+'הדבקת לידים'!$F$2*1.3))*43758.5453,1)*1000000)*10000+ROW(),"")</f>
        <v/>
      </c>
      <c r="F24" s="0" t="str">
        <f aca="false">IF(E24="","",RANK(E24,$E$2:$E$5001,1))</f>
        <v/>
      </c>
      <c r="G24" s="0" t="n">
        <f aca="false">IF(A24="",0,IF(SUMPRODUCT(--($A$2:$A$5001=A24))&gt;1,1,0))</f>
        <v>0</v>
      </c>
      <c r="H24" s="0" t="n">
        <f aca="false">ROW()-1</f>
        <v>23</v>
      </c>
      <c r="I24" s="0" t="str">
        <f aca="false">IF(OR(הגדרות!$E$6=0,H24&gt;הגדרות!$E$5),"",IF(H24-1&lt;הגדרות!$E$8*(הגדרות!$E$7+1),INT((H24-1)/(הגדרות!$E$7+1)),הגדרות!$E$8+INT((H24-1-הגדרות!$E$8*(הגדרות!$E$7+1))/הגדרות!$E$7)))</f>
        <v/>
      </c>
      <c r="J24" s="0" t="str">
        <f aca="false">IF(I24="","",IF(H24-1&lt;הגדרות!$E$8*(הגדרות!$E$7+1),MOD(H24-1,הגדרות!$E$7+1),MOD(H24-1-הגדרות!$E$8*(הגדרות!$E$7+1),הגדרות!$E$7)))</f>
        <v/>
      </c>
      <c r="K24" s="0" t="str">
        <f aca="false">IF(I24="","",J24*הגדרות!$E$6+I24+1)</f>
        <v/>
      </c>
      <c r="L24" s="0" t="str">
        <f aca="false">IF(K24="","",MATCH(K24,$F$2:$F$5001,0))</f>
        <v/>
      </c>
      <c r="M24" s="0" t="str">
        <f aca="false">IF(I24="","",INDEX(הגדרות!$A$2:$A$21,MOD(I24+הגדרות!$E$9,הגדרות!$E$6)+1))</f>
        <v/>
      </c>
    </row>
    <row r="25" customFormat="false" ht="15" hidden="false" customHeight="false" outlineLevel="0" collapsed="false">
      <c r="A25" s="0" t="str">
        <f aca="false">IF('הדבקת לידים'!A25="","",IF(ISNUMBER('הדבקת לידים'!A25),IF(הגדרות!$E$2&gt;0,TEXT('הדבקת לידים'!A25,REPT("0",הגדרות!$E$2)),TEXT('הדבקת לידים'!A25,"0")),TRIM('הדבקת לידים'!A25)))</f>
        <v/>
      </c>
      <c r="B25" s="0" t="str">
        <f aca="false">IF('הדבקת לידים'!B25="","",IF(ISNUMBER('הדבקת לידים'!B25),IF(הגדרות!$E$3&gt;0,TEXT('הדבקת לידים'!B25,REPT("0",הגדרות!$E$3)),TEXT('הדבקת לידים'!B25,"0")),TRIM('הדבקת לידים'!B25)))</f>
        <v/>
      </c>
      <c r="C25" s="0" t="n">
        <f aca="false">IF(OR(A25&lt;&gt;"",B25&lt;&gt;""),1,0)</f>
        <v>0</v>
      </c>
      <c r="D25" s="0" t="str">
        <f aca="false">IF(C25=1,MOD(ABS(SIN(ROW()*12.9898+'הדבקת לידים'!$F$2*78.233+IFERROR(--RIGHT(A25,6),LEN(A25))*0.0137+IFERROR(--RIGHT(B25,6),LEN(B25))*0.0071))*43758.5453,1),"")</f>
        <v/>
      </c>
      <c r="E25" s="0" t="str">
        <f aca="false">IF(C25=1,INT(MOD(ABS(SIN(D25*7919.123+ROW()*0.618+'הדבקת לידים'!$F$2*1.3))*43758.5453,1)*1000000)*10000+ROW(),"")</f>
        <v/>
      </c>
      <c r="F25" s="0" t="str">
        <f aca="false">IF(E25="","",RANK(E25,$E$2:$E$5001,1))</f>
        <v/>
      </c>
      <c r="G25" s="0" t="n">
        <f aca="false">IF(A25="",0,IF(SUMPRODUCT(--($A$2:$A$5001=A25))&gt;1,1,0))</f>
        <v>0</v>
      </c>
      <c r="H25" s="0" t="n">
        <f aca="false">ROW()-1</f>
        <v>24</v>
      </c>
      <c r="I25" s="0" t="str">
        <f aca="false">IF(OR(הגדרות!$E$6=0,H25&gt;הגדרות!$E$5),"",IF(H25-1&lt;הגדרות!$E$8*(הגדרות!$E$7+1),INT((H25-1)/(הגדרות!$E$7+1)),הגדרות!$E$8+INT((H25-1-הגדרות!$E$8*(הגדרות!$E$7+1))/הגדרות!$E$7)))</f>
        <v/>
      </c>
      <c r="J25" s="0" t="str">
        <f aca="false">IF(I25="","",IF(H25-1&lt;הגדרות!$E$8*(הגדרות!$E$7+1),MOD(H25-1,הגדרות!$E$7+1),MOD(H25-1-הגדרות!$E$8*(הגדרות!$E$7+1),הגדרות!$E$7)))</f>
        <v/>
      </c>
      <c r="K25" s="0" t="str">
        <f aca="false">IF(I25="","",J25*הגדרות!$E$6+I25+1)</f>
        <v/>
      </c>
      <c r="L25" s="0" t="str">
        <f aca="false">IF(K25="","",MATCH(K25,$F$2:$F$5001,0))</f>
        <v/>
      </c>
      <c r="M25" s="0" t="str">
        <f aca="false">IF(I25="","",INDEX(הגדרות!$A$2:$A$21,MOD(I25+הגדרות!$E$9,הגדרות!$E$6)+1))</f>
        <v/>
      </c>
    </row>
    <row r="26" customFormat="false" ht="15" hidden="false" customHeight="false" outlineLevel="0" collapsed="false">
      <c r="A26" s="0" t="str">
        <f aca="false">IF('הדבקת לידים'!A26="","",IF(ISNUMBER('הדבקת לידים'!A26),IF(הגדרות!$E$2&gt;0,TEXT('הדבקת לידים'!A26,REPT("0",הגדרות!$E$2)),TEXT('הדבקת לידים'!A26,"0")),TRIM('הדבקת לידים'!A26)))</f>
        <v/>
      </c>
      <c r="B26" s="0" t="str">
        <f aca="false">IF('הדבקת לידים'!B26="","",IF(ISNUMBER('הדבקת לידים'!B26),IF(הגדרות!$E$3&gt;0,TEXT('הדבקת לידים'!B26,REPT("0",הגדרות!$E$3)),TEXT('הדבקת לידים'!B26,"0")),TRIM('הדבקת לידים'!B26)))</f>
        <v/>
      </c>
      <c r="C26" s="0" t="n">
        <f aca="false">IF(OR(A26&lt;&gt;"",B26&lt;&gt;""),1,0)</f>
        <v>0</v>
      </c>
      <c r="D26" s="0" t="str">
        <f aca="false">IF(C26=1,MOD(ABS(SIN(ROW()*12.9898+'הדבקת לידים'!$F$2*78.233+IFERROR(--RIGHT(A26,6),LEN(A26))*0.0137+IFERROR(--RIGHT(B26,6),LEN(B26))*0.0071))*43758.5453,1),"")</f>
        <v/>
      </c>
      <c r="E26" s="0" t="str">
        <f aca="false">IF(C26=1,INT(MOD(ABS(SIN(D26*7919.123+ROW()*0.618+'הדבקת לידים'!$F$2*1.3))*43758.5453,1)*1000000)*10000+ROW(),"")</f>
        <v/>
      </c>
      <c r="F26" s="0" t="str">
        <f aca="false">IF(E26="","",RANK(E26,$E$2:$E$5001,1))</f>
        <v/>
      </c>
      <c r="G26" s="0" t="n">
        <f aca="false">IF(A26="",0,IF(SUMPRODUCT(--($A$2:$A$5001=A26))&gt;1,1,0))</f>
        <v>0</v>
      </c>
      <c r="H26" s="0" t="n">
        <f aca="false">ROW()-1</f>
        <v>25</v>
      </c>
      <c r="I26" s="0" t="str">
        <f aca="false">IF(OR(הגדרות!$E$6=0,H26&gt;הגדרות!$E$5),"",IF(H26-1&lt;הגדרות!$E$8*(הגדרות!$E$7+1),INT((H26-1)/(הגדרות!$E$7+1)),הגדרות!$E$8+INT((H26-1-הגדרות!$E$8*(הגדרות!$E$7+1))/הגדרות!$E$7)))</f>
        <v/>
      </c>
      <c r="J26" s="0" t="str">
        <f aca="false">IF(I26="","",IF(H26-1&lt;הגדרות!$E$8*(הגדרות!$E$7+1),MOD(H26-1,הגדרות!$E$7+1),MOD(H26-1-הגדרות!$E$8*(הגדרות!$E$7+1),הגדרות!$E$7)))</f>
        <v/>
      </c>
      <c r="K26" s="0" t="str">
        <f aca="false">IF(I26="","",J26*הגדרות!$E$6+I26+1)</f>
        <v/>
      </c>
      <c r="L26" s="0" t="str">
        <f aca="false">IF(K26="","",MATCH(K26,$F$2:$F$5001,0))</f>
        <v/>
      </c>
      <c r="M26" s="0" t="str">
        <f aca="false">IF(I26="","",INDEX(הגדרות!$A$2:$A$21,MOD(I26+הגדרות!$E$9,הגדרות!$E$6)+1))</f>
        <v/>
      </c>
    </row>
    <row r="27" customFormat="false" ht="15" hidden="false" customHeight="false" outlineLevel="0" collapsed="false">
      <c r="A27" s="0" t="str">
        <f aca="false">IF('הדבקת לידים'!A27="","",IF(ISNUMBER('הדבקת לידים'!A27),IF(הגדרות!$E$2&gt;0,TEXT('הדבקת לידים'!A27,REPT("0",הגדרות!$E$2)),TEXT('הדבקת לידים'!A27,"0")),TRIM('הדבקת לידים'!A27)))</f>
        <v/>
      </c>
      <c r="B27" s="0" t="str">
        <f aca="false">IF('הדבקת לידים'!B27="","",IF(ISNUMBER('הדבקת לידים'!B27),IF(הגדרות!$E$3&gt;0,TEXT('הדבקת לידים'!B27,REPT("0",הגדרות!$E$3)),TEXT('הדבקת לידים'!B27,"0")),TRIM('הדבקת לידים'!B27)))</f>
        <v/>
      </c>
      <c r="C27" s="0" t="n">
        <f aca="false">IF(OR(A27&lt;&gt;"",B27&lt;&gt;""),1,0)</f>
        <v>0</v>
      </c>
      <c r="D27" s="0" t="str">
        <f aca="false">IF(C27=1,MOD(ABS(SIN(ROW()*12.9898+'הדבקת לידים'!$F$2*78.233+IFERROR(--RIGHT(A27,6),LEN(A27))*0.0137+IFERROR(--RIGHT(B27,6),LEN(B27))*0.0071))*43758.5453,1),"")</f>
        <v/>
      </c>
      <c r="E27" s="0" t="str">
        <f aca="false">IF(C27=1,INT(MOD(ABS(SIN(D27*7919.123+ROW()*0.618+'הדבקת לידים'!$F$2*1.3))*43758.5453,1)*1000000)*10000+ROW(),"")</f>
        <v/>
      </c>
      <c r="F27" s="0" t="str">
        <f aca="false">IF(E27="","",RANK(E27,$E$2:$E$5001,1))</f>
        <v/>
      </c>
      <c r="G27" s="0" t="n">
        <f aca="false">IF(A27="",0,IF(SUMPRODUCT(--($A$2:$A$5001=A27))&gt;1,1,0))</f>
        <v>0</v>
      </c>
      <c r="H27" s="0" t="n">
        <f aca="false">ROW()-1</f>
        <v>26</v>
      </c>
      <c r="I27" s="0" t="str">
        <f aca="false">IF(OR(הגדרות!$E$6=0,H27&gt;הגדרות!$E$5),"",IF(H27-1&lt;הגדרות!$E$8*(הגדרות!$E$7+1),INT((H27-1)/(הגדרות!$E$7+1)),הגדרות!$E$8+INT((H27-1-הגדרות!$E$8*(הגדרות!$E$7+1))/הגדרות!$E$7)))</f>
        <v/>
      </c>
      <c r="J27" s="0" t="str">
        <f aca="false">IF(I27="","",IF(H27-1&lt;הגדרות!$E$8*(הגדרות!$E$7+1),MOD(H27-1,הגדרות!$E$7+1),MOD(H27-1-הגדרות!$E$8*(הגדרות!$E$7+1),הגדרות!$E$7)))</f>
        <v/>
      </c>
      <c r="K27" s="0" t="str">
        <f aca="false">IF(I27="","",J27*הגדרות!$E$6+I27+1)</f>
        <v/>
      </c>
      <c r="L27" s="0" t="str">
        <f aca="false">IF(K27="","",MATCH(K27,$F$2:$F$5001,0))</f>
        <v/>
      </c>
      <c r="M27" s="0" t="str">
        <f aca="false">IF(I27="","",INDEX(הגדרות!$A$2:$A$21,MOD(I27+הגדרות!$E$9,הגדרות!$E$6)+1))</f>
        <v/>
      </c>
    </row>
    <row r="28" customFormat="false" ht="15" hidden="false" customHeight="false" outlineLevel="0" collapsed="false">
      <c r="A28" s="0" t="str">
        <f aca="false">IF('הדבקת לידים'!A28="","",IF(ISNUMBER('הדבקת לידים'!A28),IF(הגדרות!$E$2&gt;0,TEXT('הדבקת לידים'!A28,REPT("0",הגדרות!$E$2)),TEXT('הדבקת לידים'!A28,"0")),TRIM('הדבקת לידים'!A28)))</f>
        <v/>
      </c>
      <c r="B28" s="0" t="str">
        <f aca="false">IF('הדבקת לידים'!B28="","",IF(ISNUMBER('הדבקת לידים'!B28),IF(הגדרות!$E$3&gt;0,TEXT('הדבקת לידים'!B28,REPT("0",הגדרות!$E$3)),TEXT('הדבקת לידים'!B28,"0")),TRIM('הדבקת לידים'!B28)))</f>
        <v/>
      </c>
      <c r="C28" s="0" t="n">
        <f aca="false">IF(OR(A28&lt;&gt;"",B28&lt;&gt;""),1,0)</f>
        <v>0</v>
      </c>
      <c r="D28" s="0" t="str">
        <f aca="false">IF(C28=1,MOD(ABS(SIN(ROW()*12.9898+'הדבקת לידים'!$F$2*78.233+IFERROR(--RIGHT(A28,6),LEN(A28))*0.0137+IFERROR(--RIGHT(B28,6),LEN(B28))*0.0071))*43758.5453,1),"")</f>
        <v/>
      </c>
      <c r="E28" s="0" t="str">
        <f aca="false">IF(C28=1,INT(MOD(ABS(SIN(D28*7919.123+ROW()*0.618+'הדבקת לידים'!$F$2*1.3))*43758.5453,1)*1000000)*10000+ROW(),"")</f>
        <v/>
      </c>
      <c r="F28" s="0" t="str">
        <f aca="false">IF(E28="","",RANK(E28,$E$2:$E$5001,1))</f>
        <v/>
      </c>
      <c r="G28" s="0" t="n">
        <f aca="false">IF(A28="",0,IF(SUMPRODUCT(--($A$2:$A$5001=A28))&gt;1,1,0))</f>
        <v>0</v>
      </c>
      <c r="H28" s="0" t="n">
        <f aca="false">ROW()-1</f>
        <v>27</v>
      </c>
      <c r="I28" s="0" t="str">
        <f aca="false">IF(OR(הגדרות!$E$6=0,H28&gt;הגדרות!$E$5),"",IF(H28-1&lt;הגדרות!$E$8*(הגדרות!$E$7+1),INT((H28-1)/(הגדרות!$E$7+1)),הגדרות!$E$8+INT((H28-1-הגדרות!$E$8*(הגדרות!$E$7+1))/הגדרות!$E$7)))</f>
        <v/>
      </c>
      <c r="J28" s="0" t="str">
        <f aca="false">IF(I28="","",IF(H28-1&lt;הגדרות!$E$8*(הגדרות!$E$7+1),MOD(H28-1,הגדרות!$E$7+1),MOD(H28-1-הגדרות!$E$8*(הגדרות!$E$7+1),הגדרות!$E$7)))</f>
        <v/>
      </c>
      <c r="K28" s="0" t="str">
        <f aca="false">IF(I28="","",J28*הגדרות!$E$6+I28+1)</f>
        <v/>
      </c>
      <c r="L28" s="0" t="str">
        <f aca="false">IF(K28="","",MATCH(K28,$F$2:$F$5001,0))</f>
        <v/>
      </c>
      <c r="M28" s="0" t="str">
        <f aca="false">IF(I28="","",INDEX(הגדרות!$A$2:$A$21,MOD(I28+הגדרות!$E$9,הגדרות!$E$6)+1))</f>
        <v/>
      </c>
    </row>
    <row r="29" customFormat="false" ht="15" hidden="false" customHeight="false" outlineLevel="0" collapsed="false">
      <c r="A29" s="0" t="str">
        <f aca="false">IF('הדבקת לידים'!A29="","",IF(ISNUMBER('הדבקת לידים'!A29),IF(הגדרות!$E$2&gt;0,TEXT('הדבקת לידים'!A29,REPT("0",הגדרות!$E$2)),TEXT('הדבקת לידים'!A29,"0")),TRIM('הדבקת לידים'!A29)))</f>
        <v/>
      </c>
      <c r="B29" s="0" t="str">
        <f aca="false">IF('הדבקת לידים'!B29="","",IF(ISNUMBER('הדבקת לידים'!B29),IF(הגדרות!$E$3&gt;0,TEXT('הדבקת לידים'!B29,REPT("0",הגדרות!$E$3)),TEXT('הדבקת לידים'!B29,"0")),TRIM('הדבקת לידים'!B29)))</f>
        <v/>
      </c>
      <c r="C29" s="0" t="n">
        <f aca="false">IF(OR(A29&lt;&gt;"",B29&lt;&gt;""),1,0)</f>
        <v>0</v>
      </c>
      <c r="D29" s="0" t="str">
        <f aca="false">IF(C29=1,MOD(ABS(SIN(ROW()*12.9898+'הדבקת לידים'!$F$2*78.233+IFERROR(--RIGHT(A29,6),LEN(A29))*0.0137+IFERROR(--RIGHT(B29,6),LEN(B29))*0.0071))*43758.5453,1),"")</f>
        <v/>
      </c>
      <c r="E29" s="0" t="str">
        <f aca="false">IF(C29=1,INT(MOD(ABS(SIN(D29*7919.123+ROW()*0.618+'הדבקת לידים'!$F$2*1.3))*43758.5453,1)*1000000)*10000+ROW(),"")</f>
        <v/>
      </c>
      <c r="F29" s="0" t="str">
        <f aca="false">IF(E29="","",RANK(E29,$E$2:$E$5001,1))</f>
        <v/>
      </c>
      <c r="G29" s="0" t="n">
        <f aca="false">IF(A29="",0,IF(SUMPRODUCT(--($A$2:$A$5001=A29))&gt;1,1,0))</f>
        <v>0</v>
      </c>
      <c r="H29" s="0" t="n">
        <f aca="false">ROW()-1</f>
        <v>28</v>
      </c>
      <c r="I29" s="0" t="str">
        <f aca="false">IF(OR(הגדרות!$E$6=0,H29&gt;הגדרות!$E$5),"",IF(H29-1&lt;הגדרות!$E$8*(הגדרות!$E$7+1),INT((H29-1)/(הגדרות!$E$7+1)),הגדרות!$E$8+INT((H29-1-הגדרות!$E$8*(הגדרות!$E$7+1))/הגדרות!$E$7)))</f>
        <v/>
      </c>
      <c r="J29" s="0" t="str">
        <f aca="false">IF(I29="","",IF(H29-1&lt;הגדרות!$E$8*(הגדרות!$E$7+1),MOD(H29-1,הגדרות!$E$7+1),MOD(H29-1-הגדרות!$E$8*(הגדרות!$E$7+1),הגדרות!$E$7)))</f>
        <v/>
      </c>
      <c r="K29" s="0" t="str">
        <f aca="false">IF(I29="","",J29*הגדרות!$E$6+I29+1)</f>
        <v/>
      </c>
      <c r="L29" s="0" t="str">
        <f aca="false">IF(K29="","",MATCH(K29,$F$2:$F$5001,0))</f>
        <v/>
      </c>
      <c r="M29" s="0" t="str">
        <f aca="false">IF(I29="","",INDEX(הגדרות!$A$2:$A$21,MOD(I29+הגדרות!$E$9,הגדרות!$E$6)+1))</f>
        <v/>
      </c>
    </row>
    <row r="30" customFormat="false" ht="15" hidden="false" customHeight="false" outlineLevel="0" collapsed="false">
      <c r="A30" s="0" t="str">
        <f aca="false">IF('הדבקת לידים'!A30="","",IF(ISNUMBER('הדבקת לידים'!A30),IF(הגדרות!$E$2&gt;0,TEXT('הדבקת לידים'!A30,REPT("0",הגדרות!$E$2)),TEXT('הדבקת לידים'!A30,"0")),TRIM('הדבקת לידים'!A30)))</f>
        <v/>
      </c>
      <c r="B30" s="0" t="str">
        <f aca="false">IF('הדבקת לידים'!B30="","",IF(ISNUMBER('הדבקת לידים'!B30),IF(הגדרות!$E$3&gt;0,TEXT('הדבקת לידים'!B30,REPT("0",הגדרות!$E$3)),TEXT('הדבקת לידים'!B30,"0")),TRIM('הדבקת לידים'!B30)))</f>
        <v/>
      </c>
      <c r="C30" s="0" t="n">
        <f aca="false">IF(OR(A30&lt;&gt;"",B30&lt;&gt;""),1,0)</f>
        <v>0</v>
      </c>
      <c r="D30" s="0" t="str">
        <f aca="false">IF(C30=1,MOD(ABS(SIN(ROW()*12.9898+'הדבקת לידים'!$F$2*78.233+IFERROR(--RIGHT(A30,6),LEN(A30))*0.0137+IFERROR(--RIGHT(B30,6),LEN(B30))*0.0071))*43758.5453,1),"")</f>
        <v/>
      </c>
      <c r="E30" s="0" t="str">
        <f aca="false">IF(C30=1,INT(MOD(ABS(SIN(D30*7919.123+ROW()*0.618+'הדבקת לידים'!$F$2*1.3))*43758.5453,1)*1000000)*10000+ROW(),"")</f>
        <v/>
      </c>
      <c r="F30" s="0" t="str">
        <f aca="false">IF(E30="","",RANK(E30,$E$2:$E$5001,1))</f>
        <v/>
      </c>
      <c r="G30" s="0" t="n">
        <f aca="false">IF(A30="",0,IF(SUMPRODUCT(--($A$2:$A$5001=A30))&gt;1,1,0))</f>
        <v>0</v>
      </c>
      <c r="H30" s="0" t="n">
        <f aca="false">ROW()-1</f>
        <v>29</v>
      </c>
      <c r="I30" s="0" t="str">
        <f aca="false">IF(OR(הגדרות!$E$6=0,H30&gt;הגדרות!$E$5),"",IF(H30-1&lt;הגדרות!$E$8*(הגדרות!$E$7+1),INT((H30-1)/(הגדרות!$E$7+1)),הגדרות!$E$8+INT((H30-1-הגדרות!$E$8*(הגדרות!$E$7+1))/הגדרות!$E$7)))</f>
        <v/>
      </c>
      <c r="J30" s="0" t="str">
        <f aca="false">IF(I30="","",IF(H30-1&lt;הגדרות!$E$8*(הגדרות!$E$7+1),MOD(H30-1,הגדרות!$E$7+1),MOD(H30-1-הגדרות!$E$8*(הגדרות!$E$7+1),הגדרות!$E$7)))</f>
        <v/>
      </c>
      <c r="K30" s="0" t="str">
        <f aca="false">IF(I30="","",J30*הגדרות!$E$6+I30+1)</f>
        <v/>
      </c>
      <c r="L30" s="0" t="str">
        <f aca="false">IF(K30="","",MATCH(K30,$F$2:$F$5001,0))</f>
        <v/>
      </c>
      <c r="M30" s="0" t="str">
        <f aca="false">IF(I30="","",INDEX(הגדרות!$A$2:$A$21,MOD(I30+הגדרות!$E$9,הגדרות!$E$6)+1))</f>
        <v/>
      </c>
    </row>
    <row r="31" customFormat="false" ht="15" hidden="false" customHeight="false" outlineLevel="0" collapsed="false">
      <c r="A31" s="0" t="str">
        <f aca="false">IF('הדבקת לידים'!A31="","",IF(ISNUMBER('הדבקת לידים'!A31),IF(הגדרות!$E$2&gt;0,TEXT('הדבקת לידים'!A31,REPT("0",הגדרות!$E$2)),TEXT('הדבקת לידים'!A31,"0")),TRIM('הדבקת לידים'!A31)))</f>
        <v/>
      </c>
      <c r="B31" s="0" t="str">
        <f aca="false">IF('הדבקת לידים'!B31="","",IF(ISNUMBER('הדבקת לידים'!B31),IF(הגדרות!$E$3&gt;0,TEXT('הדבקת לידים'!B31,REPT("0",הגדרות!$E$3)),TEXT('הדבקת לידים'!B31,"0")),TRIM('הדבקת לידים'!B31)))</f>
        <v/>
      </c>
      <c r="C31" s="0" t="n">
        <f aca="false">IF(OR(A31&lt;&gt;"",B31&lt;&gt;""),1,0)</f>
        <v>0</v>
      </c>
      <c r="D31" s="0" t="str">
        <f aca="false">IF(C31=1,MOD(ABS(SIN(ROW()*12.9898+'הדבקת לידים'!$F$2*78.233+IFERROR(--RIGHT(A31,6),LEN(A31))*0.0137+IFERROR(--RIGHT(B31,6),LEN(B31))*0.0071))*43758.5453,1),"")</f>
        <v/>
      </c>
      <c r="E31" s="0" t="str">
        <f aca="false">IF(C31=1,INT(MOD(ABS(SIN(D31*7919.123+ROW()*0.618+'הדבקת לידים'!$F$2*1.3))*43758.5453,1)*1000000)*10000+ROW(),"")</f>
        <v/>
      </c>
      <c r="F31" s="0" t="str">
        <f aca="false">IF(E31="","",RANK(E31,$E$2:$E$5001,1))</f>
        <v/>
      </c>
      <c r="G31" s="0" t="n">
        <f aca="false">IF(A31="",0,IF(SUMPRODUCT(--($A$2:$A$5001=A31))&gt;1,1,0))</f>
        <v>0</v>
      </c>
      <c r="H31" s="0" t="n">
        <f aca="false">ROW()-1</f>
        <v>30</v>
      </c>
      <c r="I31" s="0" t="str">
        <f aca="false">IF(OR(הגדרות!$E$6=0,H31&gt;הגדרות!$E$5),"",IF(H31-1&lt;הגדרות!$E$8*(הגדרות!$E$7+1),INT((H31-1)/(הגדרות!$E$7+1)),הגדרות!$E$8+INT((H31-1-הגדרות!$E$8*(הגדרות!$E$7+1))/הגדרות!$E$7)))</f>
        <v/>
      </c>
      <c r="J31" s="0" t="str">
        <f aca="false">IF(I31="","",IF(H31-1&lt;הגדרות!$E$8*(הגדרות!$E$7+1),MOD(H31-1,הגדרות!$E$7+1),MOD(H31-1-הגדרות!$E$8*(הגדרות!$E$7+1),הגדרות!$E$7)))</f>
        <v/>
      </c>
      <c r="K31" s="0" t="str">
        <f aca="false">IF(I31="","",J31*הגדרות!$E$6+I31+1)</f>
        <v/>
      </c>
      <c r="L31" s="0" t="str">
        <f aca="false">IF(K31="","",MATCH(K31,$F$2:$F$5001,0))</f>
        <v/>
      </c>
      <c r="M31" s="0" t="str">
        <f aca="false">IF(I31="","",INDEX(הגדרות!$A$2:$A$21,MOD(I31+הגדרות!$E$9,הגדרות!$E$6)+1))</f>
        <v/>
      </c>
    </row>
    <row r="32" customFormat="false" ht="15" hidden="false" customHeight="false" outlineLevel="0" collapsed="false">
      <c r="A32" s="0" t="str">
        <f aca="false">IF('הדבקת לידים'!A32="","",IF(ISNUMBER('הדבקת לידים'!A32),IF(הגדרות!$E$2&gt;0,TEXT('הדבקת לידים'!A32,REPT("0",הגדרות!$E$2)),TEXT('הדבקת לידים'!A32,"0")),TRIM('הדבקת לידים'!A32)))</f>
        <v/>
      </c>
      <c r="B32" s="0" t="str">
        <f aca="false">IF('הדבקת לידים'!B32="","",IF(ISNUMBER('הדבקת לידים'!B32),IF(הגדרות!$E$3&gt;0,TEXT('הדבקת לידים'!B32,REPT("0",הגדרות!$E$3)),TEXT('הדבקת לידים'!B32,"0")),TRIM('הדבקת לידים'!B32)))</f>
        <v/>
      </c>
      <c r="C32" s="0" t="n">
        <f aca="false">IF(OR(A32&lt;&gt;"",B32&lt;&gt;""),1,0)</f>
        <v>0</v>
      </c>
      <c r="D32" s="0" t="str">
        <f aca="false">IF(C32=1,MOD(ABS(SIN(ROW()*12.9898+'הדבקת לידים'!$F$2*78.233+IFERROR(--RIGHT(A32,6),LEN(A32))*0.0137+IFERROR(--RIGHT(B32,6),LEN(B32))*0.0071))*43758.5453,1),"")</f>
        <v/>
      </c>
      <c r="E32" s="0" t="str">
        <f aca="false">IF(C32=1,INT(MOD(ABS(SIN(D32*7919.123+ROW()*0.618+'הדבקת לידים'!$F$2*1.3))*43758.5453,1)*1000000)*10000+ROW(),"")</f>
        <v/>
      </c>
      <c r="F32" s="0" t="str">
        <f aca="false">IF(E32="","",RANK(E32,$E$2:$E$5001,1))</f>
        <v/>
      </c>
      <c r="G32" s="0" t="n">
        <f aca="false">IF(A32="",0,IF(SUMPRODUCT(--($A$2:$A$5001=A32))&gt;1,1,0))</f>
        <v>0</v>
      </c>
      <c r="H32" s="0" t="n">
        <f aca="false">ROW()-1</f>
        <v>31</v>
      </c>
      <c r="I32" s="0" t="str">
        <f aca="false">IF(OR(הגדרות!$E$6=0,H32&gt;הגדרות!$E$5),"",IF(H32-1&lt;הגדרות!$E$8*(הגדרות!$E$7+1),INT((H32-1)/(הגדרות!$E$7+1)),הגדרות!$E$8+INT((H32-1-הגדרות!$E$8*(הגדרות!$E$7+1))/הגדרות!$E$7)))</f>
        <v/>
      </c>
      <c r="J32" s="0" t="str">
        <f aca="false">IF(I32="","",IF(H32-1&lt;הגדרות!$E$8*(הגדרות!$E$7+1),MOD(H32-1,הגדרות!$E$7+1),MOD(H32-1-הגדרות!$E$8*(הגדרות!$E$7+1),הגדרות!$E$7)))</f>
        <v/>
      </c>
      <c r="K32" s="0" t="str">
        <f aca="false">IF(I32="","",J32*הגדרות!$E$6+I32+1)</f>
        <v/>
      </c>
      <c r="L32" s="0" t="str">
        <f aca="false">IF(K32="","",MATCH(K32,$F$2:$F$5001,0))</f>
        <v/>
      </c>
      <c r="M32" s="0" t="str">
        <f aca="false">IF(I32="","",INDEX(הגדרות!$A$2:$A$21,MOD(I32+הגדרות!$E$9,הגדרות!$E$6)+1))</f>
        <v/>
      </c>
    </row>
    <row r="33" customFormat="false" ht="15" hidden="false" customHeight="false" outlineLevel="0" collapsed="false">
      <c r="A33" s="0" t="str">
        <f aca="false">IF('הדבקת לידים'!A33="","",IF(ISNUMBER('הדבקת לידים'!A33),IF(הגדרות!$E$2&gt;0,TEXT('הדבקת לידים'!A33,REPT("0",הגדרות!$E$2)),TEXT('הדבקת לידים'!A33,"0")),TRIM('הדבקת לידים'!A33)))</f>
        <v/>
      </c>
      <c r="B33" s="0" t="str">
        <f aca="false">IF('הדבקת לידים'!B33="","",IF(ISNUMBER('הדבקת לידים'!B33),IF(הגדרות!$E$3&gt;0,TEXT('הדבקת לידים'!B33,REPT("0",הגדרות!$E$3)),TEXT('הדבקת לידים'!B33,"0")),TRIM('הדבקת לידים'!B33)))</f>
        <v/>
      </c>
      <c r="C33" s="0" t="n">
        <f aca="false">IF(OR(A33&lt;&gt;"",B33&lt;&gt;""),1,0)</f>
        <v>0</v>
      </c>
      <c r="D33" s="0" t="str">
        <f aca="false">IF(C33=1,MOD(ABS(SIN(ROW()*12.9898+'הדבקת לידים'!$F$2*78.233+IFERROR(--RIGHT(A33,6),LEN(A33))*0.0137+IFERROR(--RIGHT(B33,6),LEN(B33))*0.0071))*43758.5453,1),"")</f>
        <v/>
      </c>
      <c r="E33" s="0" t="str">
        <f aca="false">IF(C33=1,INT(MOD(ABS(SIN(D33*7919.123+ROW()*0.618+'הדבקת לידים'!$F$2*1.3))*43758.5453,1)*1000000)*10000+ROW(),"")</f>
        <v/>
      </c>
      <c r="F33" s="0" t="str">
        <f aca="false">IF(E33="","",RANK(E33,$E$2:$E$5001,1))</f>
        <v/>
      </c>
      <c r="G33" s="0" t="n">
        <f aca="false">IF(A33="",0,IF(SUMPRODUCT(--($A$2:$A$5001=A33))&gt;1,1,0))</f>
        <v>0</v>
      </c>
      <c r="H33" s="0" t="n">
        <f aca="false">ROW()-1</f>
        <v>32</v>
      </c>
      <c r="I33" s="0" t="str">
        <f aca="false">IF(OR(הגדרות!$E$6=0,H33&gt;הגדרות!$E$5),"",IF(H33-1&lt;הגדרות!$E$8*(הגדרות!$E$7+1),INT((H33-1)/(הגדרות!$E$7+1)),הגדרות!$E$8+INT((H33-1-הגדרות!$E$8*(הגדרות!$E$7+1))/הגדרות!$E$7)))</f>
        <v/>
      </c>
      <c r="J33" s="0" t="str">
        <f aca="false">IF(I33="","",IF(H33-1&lt;הגדרות!$E$8*(הגדרות!$E$7+1),MOD(H33-1,הגדרות!$E$7+1),MOD(H33-1-הגדרות!$E$8*(הגדרות!$E$7+1),הגדרות!$E$7)))</f>
        <v/>
      </c>
      <c r="K33" s="0" t="str">
        <f aca="false">IF(I33="","",J33*הגדרות!$E$6+I33+1)</f>
        <v/>
      </c>
      <c r="L33" s="0" t="str">
        <f aca="false">IF(K33="","",MATCH(K33,$F$2:$F$5001,0))</f>
        <v/>
      </c>
      <c r="M33" s="0" t="str">
        <f aca="false">IF(I33="","",INDEX(הגדרות!$A$2:$A$21,MOD(I33+הגדרות!$E$9,הגדרות!$E$6)+1))</f>
        <v/>
      </c>
    </row>
    <row r="34" customFormat="false" ht="15" hidden="false" customHeight="false" outlineLevel="0" collapsed="false">
      <c r="A34" s="0" t="str">
        <f aca="false">IF('הדבקת לידים'!A34="","",IF(ISNUMBER('הדבקת לידים'!A34),IF(הגדרות!$E$2&gt;0,TEXT('הדבקת לידים'!A34,REPT("0",הגדרות!$E$2)),TEXT('הדבקת לידים'!A34,"0")),TRIM('הדבקת לידים'!A34)))</f>
        <v/>
      </c>
      <c r="B34" s="0" t="str">
        <f aca="false">IF('הדבקת לידים'!B34="","",IF(ISNUMBER('הדבקת לידים'!B34),IF(הגדרות!$E$3&gt;0,TEXT('הדבקת לידים'!B34,REPT("0",הגדרות!$E$3)),TEXT('הדבקת לידים'!B34,"0")),TRIM('הדבקת לידים'!B34)))</f>
        <v/>
      </c>
      <c r="C34" s="0" t="n">
        <f aca="false">IF(OR(A34&lt;&gt;"",B34&lt;&gt;""),1,0)</f>
        <v>0</v>
      </c>
      <c r="D34" s="0" t="str">
        <f aca="false">IF(C34=1,MOD(ABS(SIN(ROW()*12.9898+'הדבקת לידים'!$F$2*78.233+IFERROR(--RIGHT(A34,6),LEN(A34))*0.0137+IFERROR(--RIGHT(B34,6),LEN(B34))*0.0071))*43758.5453,1),"")</f>
        <v/>
      </c>
      <c r="E34" s="0" t="str">
        <f aca="false">IF(C34=1,INT(MOD(ABS(SIN(D34*7919.123+ROW()*0.618+'הדבקת לידים'!$F$2*1.3))*43758.5453,1)*1000000)*10000+ROW(),"")</f>
        <v/>
      </c>
      <c r="F34" s="0" t="str">
        <f aca="false">IF(E34="","",RANK(E34,$E$2:$E$5001,1))</f>
        <v/>
      </c>
      <c r="G34" s="0" t="n">
        <f aca="false">IF(A34="",0,IF(SUMPRODUCT(--($A$2:$A$5001=A34))&gt;1,1,0))</f>
        <v>0</v>
      </c>
      <c r="H34" s="0" t="n">
        <f aca="false">ROW()-1</f>
        <v>33</v>
      </c>
      <c r="I34" s="0" t="str">
        <f aca="false">IF(OR(הגדרות!$E$6=0,H34&gt;הגדרות!$E$5),"",IF(H34-1&lt;הגדרות!$E$8*(הגדרות!$E$7+1),INT((H34-1)/(הגדרות!$E$7+1)),הגדרות!$E$8+INT((H34-1-הגדרות!$E$8*(הגדרות!$E$7+1))/הגדרות!$E$7)))</f>
        <v/>
      </c>
      <c r="J34" s="0" t="str">
        <f aca="false">IF(I34="","",IF(H34-1&lt;הגדרות!$E$8*(הגדרות!$E$7+1),MOD(H34-1,הגדרות!$E$7+1),MOD(H34-1-הגדרות!$E$8*(הגדרות!$E$7+1),הגדרות!$E$7)))</f>
        <v/>
      </c>
      <c r="K34" s="0" t="str">
        <f aca="false">IF(I34="","",J34*הגדרות!$E$6+I34+1)</f>
        <v/>
      </c>
      <c r="L34" s="0" t="str">
        <f aca="false">IF(K34="","",MATCH(K34,$F$2:$F$5001,0))</f>
        <v/>
      </c>
      <c r="M34" s="0" t="str">
        <f aca="false">IF(I34="","",INDEX(הגדרות!$A$2:$A$21,MOD(I34+הגדרות!$E$9,הגדרות!$E$6)+1))</f>
        <v/>
      </c>
    </row>
    <row r="35" customFormat="false" ht="15" hidden="false" customHeight="false" outlineLevel="0" collapsed="false">
      <c r="A35" s="0" t="str">
        <f aca="false">IF('הדבקת לידים'!A35="","",IF(ISNUMBER('הדבקת לידים'!A35),IF(הגדרות!$E$2&gt;0,TEXT('הדבקת לידים'!A35,REPT("0",הגדרות!$E$2)),TEXT('הדבקת לידים'!A35,"0")),TRIM('הדבקת לידים'!A35)))</f>
        <v/>
      </c>
      <c r="B35" s="0" t="str">
        <f aca="false">IF('הדבקת לידים'!B35="","",IF(ISNUMBER('הדבקת לידים'!B35),IF(הגדרות!$E$3&gt;0,TEXT('הדבקת לידים'!B35,REPT("0",הגדרות!$E$3)),TEXT('הדבקת לידים'!B35,"0")),TRIM('הדבקת לידים'!B35)))</f>
        <v/>
      </c>
      <c r="C35" s="0" t="n">
        <f aca="false">IF(OR(A35&lt;&gt;"",B35&lt;&gt;""),1,0)</f>
        <v>0</v>
      </c>
      <c r="D35" s="0" t="str">
        <f aca="false">IF(C35=1,MOD(ABS(SIN(ROW()*12.9898+'הדבקת לידים'!$F$2*78.233+IFERROR(--RIGHT(A35,6),LEN(A35))*0.0137+IFERROR(--RIGHT(B35,6),LEN(B35))*0.0071))*43758.5453,1),"")</f>
        <v/>
      </c>
      <c r="E35" s="0" t="str">
        <f aca="false">IF(C35=1,INT(MOD(ABS(SIN(D35*7919.123+ROW()*0.618+'הדבקת לידים'!$F$2*1.3))*43758.5453,1)*1000000)*10000+ROW(),"")</f>
        <v/>
      </c>
      <c r="F35" s="0" t="str">
        <f aca="false">IF(E35="","",RANK(E35,$E$2:$E$5001,1))</f>
        <v/>
      </c>
      <c r="G35" s="0" t="n">
        <f aca="false">IF(A35="",0,IF(SUMPRODUCT(--($A$2:$A$5001=A35))&gt;1,1,0))</f>
        <v>0</v>
      </c>
      <c r="H35" s="0" t="n">
        <f aca="false">ROW()-1</f>
        <v>34</v>
      </c>
      <c r="I35" s="0" t="str">
        <f aca="false">IF(OR(הגדרות!$E$6=0,H35&gt;הגדרות!$E$5),"",IF(H35-1&lt;הגדרות!$E$8*(הגדרות!$E$7+1),INT((H35-1)/(הגדרות!$E$7+1)),הגדרות!$E$8+INT((H35-1-הגדרות!$E$8*(הגדרות!$E$7+1))/הגדרות!$E$7)))</f>
        <v/>
      </c>
      <c r="J35" s="0" t="str">
        <f aca="false">IF(I35="","",IF(H35-1&lt;הגדרות!$E$8*(הגדרות!$E$7+1),MOD(H35-1,הגדרות!$E$7+1),MOD(H35-1-הגדרות!$E$8*(הגדרות!$E$7+1),הגדרות!$E$7)))</f>
        <v/>
      </c>
      <c r="K35" s="0" t="str">
        <f aca="false">IF(I35="","",J35*הגדרות!$E$6+I35+1)</f>
        <v/>
      </c>
      <c r="L35" s="0" t="str">
        <f aca="false">IF(K35="","",MATCH(K35,$F$2:$F$5001,0))</f>
        <v/>
      </c>
      <c r="M35" s="0" t="str">
        <f aca="false">IF(I35="","",INDEX(הגדרות!$A$2:$A$21,MOD(I35+הגדרות!$E$9,הגדרות!$E$6)+1))</f>
        <v/>
      </c>
    </row>
    <row r="36" customFormat="false" ht="15" hidden="false" customHeight="false" outlineLevel="0" collapsed="false">
      <c r="A36" s="0" t="str">
        <f aca="false">IF('הדבקת לידים'!A36="","",IF(ISNUMBER('הדבקת לידים'!A36),IF(הגדרות!$E$2&gt;0,TEXT('הדבקת לידים'!A36,REPT("0",הגדרות!$E$2)),TEXT('הדבקת לידים'!A36,"0")),TRIM('הדבקת לידים'!A36)))</f>
        <v/>
      </c>
      <c r="B36" s="0" t="str">
        <f aca="false">IF('הדבקת לידים'!B36="","",IF(ISNUMBER('הדבקת לידים'!B36),IF(הגדרות!$E$3&gt;0,TEXT('הדבקת לידים'!B36,REPT("0",הגדרות!$E$3)),TEXT('הדבקת לידים'!B36,"0")),TRIM('הדבקת לידים'!B36)))</f>
        <v/>
      </c>
      <c r="C36" s="0" t="n">
        <f aca="false">IF(OR(A36&lt;&gt;"",B36&lt;&gt;""),1,0)</f>
        <v>0</v>
      </c>
      <c r="D36" s="0" t="str">
        <f aca="false">IF(C36=1,MOD(ABS(SIN(ROW()*12.9898+'הדבקת לידים'!$F$2*78.233+IFERROR(--RIGHT(A36,6),LEN(A36))*0.0137+IFERROR(--RIGHT(B36,6),LEN(B36))*0.0071))*43758.5453,1),"")</f>
        <v/>
      </c>
      <c r="E36" s="0" t="str">
        <f aca="false">IF(C36=1,INT(MOD(ABS(SIN(D36*7919.123+ROW()*0.618+'הדבקת לידים'!$F$2*1.3))*43758.5453,1)*1000000)*10000+ROW(),"")</f>
        <v/>
      </c>
      <c r="F36" s="0" t="str">
        <f aca="false">IF(E36="","",RANK(E36,$E$2:$E$5001,1))</f>
        <v/>
      </c>
      <c r="G36" s="0" t="n">
        <f aca="false">IF(A36="",0,IF(SUMPRODUCT(--($A$2:$A$5001=A36))&gt;1,1,0))</f>
        <v>0</v>
      </c>
      <c r="H36" s="0" t="n">
        <f aca="false">ROW()-1</f>
        <v>35</v>
      </c>
      <c r="I36" s="0" t="str">
        <f aca="false">IF(OR(הגדרות!$E$6=0,H36&gt;הגדרות!$E$5),"",IF(H36-1&lt;הגדרות!$E$8*(הגדרות!$E$7+1),INT((H36-1)/(הגדרות!$E$7+1)),הגדרות!$E$8+INT((H36-1-הגדרות!$E$8*(הגדרות!$E$7+1))/הגדרות!$E$7)))</f>
        <v/>
      </c>
      <c r="J36" s="0" t="str">
        <f aca="false">IF(I36="","",IF(H36-1&lt;הגדרות!$E$8*(הגדרות!$E$7+1),MOD(H36-1,הגדרות!$E$7+1),MOD(H36-1-הגדרות!$E$8*(הגדרות!$E$7+1),הגדרות!$E$7)))</f>
        <v/>
      </c>
      <c r="K36" s="0" t="str">
        <f aca="false">IF(I36="","",J36*הגדרות!$E$6+I36+1)</f>
        <v/>
      </c>
      <c r="L36" s="0" t="str">
        <f aca="false">IF(K36="","",MATCH(K36,$F$2:$F$5001,0))</f>
        <v/>
      </c>
      <c r="M36" s="0" t="str">
        <f aca="false">IF(I36="","",INDEX(הגדרות!$A$2:$A$21,MOD(I36+הגדרות!$E$9,הגדרות!$E$6)+1))</f>
        <v/>
      </c>
    </row>
    <row r="37" customFormat="false" ht="15" hidden="false" customHeight="false" outlineLevel="0" collapsed="false">
      <c r="A37" s="0" t="str">
        <f aca="false">IF('הדבקת לידים'!A37="","",IF(ISNUMBER('הדבקת לידים'!A37),IF(הגדרות!$E$2&gt;0,TEXT('הדבקת לידים'!A37,REPT("0",הגדרות!$E$2)),TEXT('הדבקת לידים'!A37,"0")),TRIM('הדבקת לידים'!A37)))</f>
        <v/>
      </c>
      <c r="B37" s="0" t="str">
        <f aca="false">IF('הדבקת לידים'!B37="","",IF(ISNUMBER('הדבקת לידים'!B37),IF(הגדרות!$E$3&gt;0,TEXT('הדבקת לידים'!B37,REPT("0",הגדרות!$E$3)),TEXT('הדבקת לידים'!B37,"0")),TRIM('הדבקת לידים'!B37)))</f>
        <v/>
      </c>
      <c r="C37" s="0" t="n">
        <f aca="false">IF(OR(A37&lt;&gt;"",B37&lt;&gt;""),1,0)</f>
        <v>0</v>
      </c>
      <c r="D37" s="0" t="str">
        <f aca="false">IF(C37=1,MOD(ABS(SIN(ROW()*12.9898+'הדבקת לידים'!$F$2*78.233+IFERROR(--RIGHT(A37,6),LEN(A37))*0.0137+IFERROR(--RIGHT(B37,6),LEN(B37))*0.0071))*43758.5453,1),"")</f>
        <v/>
      </c>
      <c r="E37" s="0" t="str">
        <f aca="false">IF(C37=1,INT(MOD(ABS(SIN(D37*7919.123+ROW()*0.618+'הדבקת לידים'!$F$2*1.3))*43758.5453,1)*1000000)*10000+ROW(),"")</f>
        <v/>
      </c>
      <c r="F37" s="0" t="str">
        <f aca="false">IF(E37="","",RANK(E37,$E$2:$E$5001,1))</f>
        <v/>
      </c>
      <c r="G37" s="0" t="n">
        <f aca="false">IF(A37="",0,IF(SUMPRODUCT(--($A$2:$A$5001=A37))&gt;1,1,0))</f>
        <v>0</v>
      </c>
      <c r="H37" s="0" t="n">
        <f aca="false">ROW()-1</f>
        <v>36</v>
      </c>
      <c r="I37" s="0" t="str">
        <f aca="false">IF(OR(הגדרות!$E$6=0,H37&gt;הגדרות!$E$5),"",IF(H37-1&lt;הגדרות!$E$8*(הגדרות!$E$7+1),INT((H37-1)/(הגדרות!$E$7+1)),הגדרות!$E$8+INT((H37-1-הגדרות!$E$8*(הגדרות!$E$7+1))/הגדרות!$E$7)))</f>
        <v/>
      </c>
      <c r="J37" s="0" t="str">
        <f aca="false">IF(I37="","",IF(H37-1&lt;הגדרות!$E$8*(הגדרות!$E$7+1),MOD(H37-1,הגדרות!$E$7+1),MOD(H37-1-הגדרות!$E$8*(הגדרות!$E$7+1),הגדרות!$E$7)))</f>
        <v/>
      </c>
      <c r="K37" s="0" t="str">
        <f aca="false">IF(I37="","",J37*הגדרות!$E$6+I37+1)</f>
        <v/>
      </c>
      <c r="L37" s="0" t="str">
        <f aca="false">IF(K37="","",MATCH(K37,$F$2:$F$5001,0))</f>
        <v/>
      </c>
      <c r="M37" s="0" t="str">
        <f aca="false">IF(I37="","",INDEX(הגדרות!$A$2:$A$21,MOD(I37+הגדרות!$E$9,הגדרות!$E$6)+1))</f>
        <v/>
      </c>
    </row>
    <row r="38" customFormat="false" ht="15" hidden="false" customHeight="false" outlineLevel="0" collapsed="false">
      <c r="A38" s="0" t="str">
        <f aca="false">IF('הדבקת לידים'!A38="","",IF(ISNUMBER('הדבקת לידים'!A38),IF(הגדרות!$E$2&gt;0,TEXT('הדבקת לידים'!A38,REPT("0",הגדרות!$E$2)),TEXT('הדבקת לידים'!A38,"0")),TRIM('הדבקת לידים'!A38)))</f>
        <v/>
      </c>
      <c r="B38" s="0" t="str">
        <f aca="false">IF('הדבקת לידים'!B38="","",IF(ISNUMBER('הדבקת לידים'!B38),IF(הגדרות!$E$3&gt;0,TEXT('הדבקת לידים'!B38,REPT("0",הגדרות!$E$3)),TEXT('הדבקת לידים'!B38,"0")),TRIM('הדבקת לידים'!B38)))</f>
        <v/>
      </c>
      <c r="C38" s="0" t="n">
        <f aca="false">IF(OR(A38&lt;&gt;"",B38&lt;&gt;""),1,0)</f>
        <v>0</v>
      </c>
      <c r="D38" s="0" t="str">
        <f aca="false">IF(C38=1,MOD(ABS(SIN(ROW()*12.9898+'הדבקת לידים'!$F$2*78.233+IFERROR(--RIGHT(A38,6),LEN(A38))*0.0137+IFERROR(--RIGHT(B38,6),LEN(B38))*0.0071))*43758.5453,1),"")</f>
        <v/>
      </c>
      <c r="E38" s="0" t="str">
        <f aca="false">IF(C38=1,INT(MOD(ABS(SIN(D38*7919.123+ROW()*0.618+'הדבקת לידים'!$F$2*1.3))*43758.5453,1)*1000000)*10000+ROW(),"")</f>
        <v/>
      </c>
      <c r="F38" s="0" t="str">
        <f aca="false">IF(E38="","",RANK(E38,$E$2:$E$5001,1))</f>
        <v/>
      </c>
      <c r="G38" s="0" t="n">
        <f aca="false">IF(A38="",0,IF(SUMPRODUCT(--($A$2:$A$5001=A38))&gt;1,1,0))</f>
        <v>0</v>
      </c>
      <c r="H38" s="0" t="n">
        <f aca="false">ROW()-1</f>
        <v>37</v>
      </c>
      <c r="I38" s="0" t="str">
        <f aca="false">IF(OR(הגדרות!$E$6=0,H38&gt;הגדרות!$E$5),"",IF(H38-1&lt;הגדרות!$E$8*(הגדרות!$E$7+1),INT((H38-1)/(הגדרות!$E$7+1)),הגדרות!$E$8+INT((H38-1-הגדרות!$E$8*(הגדרות!$E$7+1))/הגדרות!$E$7)))</f>
        <v/>
      </c>
      <c r="J38" s="0" t="str">
        <f aca="false">IF(I38="","",IF(H38-1&lt;הגדרות!$E$8*(הגדרות!$E$7+1),MOD(H38-1,הגדרות!$E$7+1),MOD(H38-1-הגדרות!$E$8*(הגדרות!$E$7+1),הגדרות!$E$7)))</f>
        <v/>
      </c>
      <c r="K38" s="0" t="str">
        <f aca="false">IF(I38="","",J38*הגדרות!$E$6+I38+1)</f>
        <v/>
      </c>
      <c r="L38" s="0" t="str">
        <f aca="false">IF(K38="","",MATCH(K38,$F$2:$F$5001,0))</f>
        <v/>
      </c>
      <c r="M38" s="0" t="str">
        <f aca="false">IF(I38="","",INDEX(הגדרות!$A$2:$A$21,MOD(I38+הגדרות!$E$9,הגדרות!$E$6)+1))</f>
        <v/>
      </c>
    </row>
    <row r="39" customFormat="false" ht="15" hidden="false" customHeight="false" outlineLevel="0" collapsed="false">
      <c r="A39" s="0" t="str">
        <f aca="false">IF('הדבקת לידים'!A39="","",IF(ISNUMBER('הדבקת לידים'!A39),IF(הגדרות!$E$2&gt;0,TEXT('הדבקת לידים'!A39,REPT("0",הגדרות!$E$2)),TEXT('הדבקת לידים'!A39,"0")),TRIM('הדבקת לידים'!A39)))</f>
        <v/>
      </c>
      <c r="B39" s="0" t="str">
        <f aca="false">IF('הדבקת לידים'!B39="","",IF(ISNUMBER('הדבקת לידים'!B39),IF(הגדרות!$E$3&gt;0,TEXT('הדבקת לידים'!B39,REPT("0",הגדרות!$E$3)),TEXT('הדבקת לידים'!B39,"0")),TRIM('הדבקת לידים'!B39)))</f>
        <v/>
      </c>
      <c r="C39" s="0" t="n">
        <f aca="false">IF(OR(A39&lt;&gt;"",B39&lt;&gt;""),1,0)</f>
        <v>0</v>
      </c>
      <c r="D39" s="0" t="str">
        <f aca="false">IF(C39=1,MOD(ABS(SIN(ROW()*12.9898+'הדבקת לידים'!$F$2*78.233+IFERROR(--RIGHT(A39,6),LEN(A39))*0.0137+IFERROR(--RIGHT(B39,6),LEN(B39))*0.0071))*43758.5453,1),"")</f>
        <v/>
      </c>
      <c r="E39" s="0" t="str">
        <f aca="false">IF(C39=1,INT(MOD(ABS(SIN(D39*7919.123+ROW()*0.618+'הדבקת לידים'!$F$2*1.3))*43758.5453,1)*1000000)*10000+ROW(),"")</f>
        <v/>
      </c>
      <c r="F39" s="0" t="str">
        <f aca="false">IF(E39="","",RANK(E39,$E$2:$E$5001,1))</f>
        <v/>
      </c>
      <c r="G39" s="0" t="n">
        <f aca="false">IF(A39="",0,IF(SUMPRODUCT(--($A$2:$A$5001=A39))&gt;1,1,0))</f>
        <v>0</v>
      </c>
      <c r="H39" s="0" t="n">
        <f aca="false">ROW()-1</f>
        <v>38</v>
      </c>
      <c r="I39" s="0" t="str">
        <f aca="false">IF(OR(הגדרות!$E$6=0,H39&gt;הגדרות!$E$5),"",IF(H39-1&lt;הגדרות!$E$8*(הגדרות!$E$7+1),INT((H39-1)/(הגדרות!$E$7+1)),הגדרות!$E$8+INT((H39-1-הגדרות!$E$8*(הגדרות!$E$7+1))/הגדרות!$E$7)))</f>
        <v/>
      </c>
      <c r="J39" s="0" t="str">
        <f aca="false">IF(I39="","",IF(H39-1&lt;הגדרות!$E$8*(הגדרות!$E$7+1),MOD(H39-1,הגדרות!$E$7+1),MOD(H39-1-הגדרות!$E$8*(הגדרות!$E$7+1),הגדרות!$E$7)))</f>
        <v/>
      </c>
      <c r="K39" s="0" t="str">
        <f aca="false">IF(I39="","",J39*הגדרות!$E$6+I39+1)</f>
        <v/>
      </c>
      <c r="L39" s="0" t="str">
        <f aca="false">IF(K39="","",MATCH(K39,$F$2:$F$5001,0))</f>
        <v/>
      </c>
      <c r="M39" s="0" t="str">
        <f aca="false">IF(I39="","",INDEX(הגדרות!$A$2:$A$21,MOD(I39+הגדרות!$E$9,הגדרות!$E$6)+1))</f>
        <v/>
      </c>
    </row>
    <row r="40" customFormat="false" ht="15" hidden="false" customHeight="false" outlineLevel="0" collapsed="false">
      <c r="A40" s="0" t="str">
        <f aca="false">IF('הדבקת לידים'!A40="","",IF(ISNUMBER('הדבקת לידים'!A40),IF(הגדרות!$E$2&gt;0,TEXT('הדבקת לידים'!A40,REPT("0",הגדרות!$E$2)),TEXT('הדבקת לידים'!A40,"0")),TRIM('הדבקת לידים'!A40)))</f>
        <v/>
      </c>
      <c r="B40" s="0" t="str">
        <f aca="false">IF('הדבקת לידים'!B40="","",IF(ISNUMBER('הדבקת לידים'!B40),IF(הגדרות!$E$3&gt;0,TEXT('הדבקת לידים'!B40,REPT("0",הגדרות!$E$3)),TEXT('הדבקת לידים'!B40,"0")),TRIM('הדבקת לידים'!B40)))</f>
        <v/>
      </c>
      <c r="C40" s="0" t="n">
        <f aca="false">IF(OR(A40&lt;&gt;"",B40&lt;&gt;""),1,0)</f>
        <v>0</v>
      </c>
      <c r="D40" s="0" t="str">
        <f aca="false">IF(C40=1,MOD(ABS(SIN(ROW()*12.9898+'הדבקת לידים'!$F$2*78.233+IFERROR(--RIGHT(A40,6),LEN(A40))*0.0137+IFERROR(--RIGHT(B40,6),LEN(B40))*0.0071))*43758.5453,1),"")</f>
        <v/>
      </c>
      <c r="E40" s="0" t="str">
        <f aca="false">IF(C40=1,INT(MOD(ABS(SIN(D40*7919.123+ROW()*0.618+'הדבקת לידים'!$F$2*1.3))*43758.5453,1)*1000000)*10000+ROW(),"")</f>
        <v/>
      </c>
      <c r="F40" s="0" t="str">
        <f aca="false">IF(E40="","",RANK(E40,$E$2:$E$5001,1))</f>
        <v/>
      </c>
      <c r="G40" s="0" t="n">
        <f aca="false">IF(A40="",0,IF(SUMPRODUCT(--($A$2:$A$5001=A40))&gt;1,1,0))</f>
        <v>0</v>
      </c>
      <c r="H40" s="0" t="n">
        <f aca="false">ROW()-1</f>
        <v>39</v>
      </c>
      <c r="I40" s="0" t="str">
        <f aca="false">IF(OR(הגדרות!$E$6=0,H40&gt;הגדרות!$E$5),"",IF(H40-1&lt;הגדרות!$E$8*(הגדרות!$E$7+1),INT((H40-1)/(הגדרות!$E$7+1)),הגדרות!$E$8+INT((H40-1-הגדרות!$E$8*(הגדרות!$E$7+1))/הגדרות!$E$7)))</f>
        <v/>
      </c>
      <c r="J40" s="0" t="str">
        <f aca="false">IF(I40="","",IF(H40-1&lt;הגדרות!$E$8*(הגדרות!$E$7+1),MOD(H40-1,הגדרות!$E$7+1),MOD(H40-1-הגדרות!$E$8*(הגדרות!$E$7+1),הגדרות!$E$7)))</f>
        <v/>
      </c>
      <c r="K40" s="0" t="str">
        <f aca="false">IF(I40="","",J40*הגדרות!$E$6+I40+1)</f>
        <v/>
      </c>
      <c r="L40" s="0" t="str">
        <f aca="false">IF(K40="","",MATCH(K40,$F$2:$F$5001,0))</f>
        <v/>
      </c>
      <c r="M40" s="0" t="str">
        <f aca="false">IF(I40="","",INDEX(הגדרות!$A$2:$A$21,MOD(I40+הגדרות!$E$9,הגדרות!$E$6)+1))</f>
        <v/>
      </c>
    </row>
    <row r="41" customFormat="false" ht="15" hidden="false" customHeight="false" outlineLevel="0" collapsed="false">
      <c r="A41" s="0" t="str">
        <f aca="false">IF('הדבקת לידים'!A41="","",IF(ISNUMBER('הדבקת לידים'!A41),IF(הגדרות!$E$2&gt;0,TEXT('הדבקת לידים'!A41,REPT("0",הגדרות!$E$2)),TEXT('הדבקת לידים'!A41,"0")),TRIM('הדבקת לידים'!A41)))</f>
        <v/>
      </c>
      <c r="B41" s="0" t="str">
        <f aca="false">IF('הדבקת לידים'!B41="","",IF(ISNUMBER('הדבקת לידים'!B41),IF(הגדרות!$E$3&gt;0,TEXT('הדבקת לידים'!B41,REPT("0",הגדרות!$E$3)),TEXT('הדבקת לידים'!B41,"0")),TRIM('הדבקת לידים'!B41)))</f>
        <v/>
      </c>
      <c r="C41" s="0" t="n">
        <f aca="false">IF(OR(A41&lt;&gt;"",B41&lt;&gt;""),1,0)</f>
        <v>0</v>
      </c>
      <c r="D41" s="0" t="str">
        <f aca="false">IF(C41=1,MOD(ABS(SIN(ROW()*12.9898+'הדבקת לידים'!$F$2*78.233+IFERROR(--RIGHT(A41,6),LEN(A41))*0.0137+IFERROR(--RIGHT(B41,6),LEN(B41))*0.0071))*43758.5453,1),"")</f>
        <v/>
      </c>
      <c r="E41" s="0" t="str">
        <f aca="false">IF(C41=1,INT(MOD(ABS(SIN(D41*7919.123+ROW()*0.618+'הדבקת לידים'!$F$2*1.3))*43758.5453,1)*1000000)*10000+ROW(),"")</f>
        <v/>
      </c>
      <c r="F41" s="0" t="str">
        <f aca="false">IF(E41="","",RANK(E41,$E$2:$E$5001,1))</f>
        <v/>
      </c>
      <c r="G41" s="0" t="n">
        <f aca="false">IF(A41="",0,IF(SUMPRODUCT(--($A$2:$A$5001=A41))&gt;1,1,0))</f>
        <v>0</v>
      </c>
      <c r="H41" s="0" t="n">
        <f aca="false">ROW()-1</f>
        <v>40</v>
      </c>
      <c r="I41" s="0" t="str">
        <f aca="false">IF(OR(הגדרות!$E$6=0,H41&gt;הגדרות!$E$5),"",IF(H41-1&lt;הגדרות!$E$8*(הגדרות!$E$7+1),INT((H41-1)/(הגדרות!$E$7+1)),הגדרות!$E$8+INT((H41-1-הגדרות!$E$8*(הגדרות!$E$7+1))/הגדרות!$E$7)))</f>
        <v/>
      </c>
      <c r="J41" s="0" t="str">
        <f aca="false">IF(I41="","",IF(H41-1&lt;הגדרות!$E$8*(הגדרות!$E$7+1),MOD(H41-1,הגדרות!$E$7+1),MOD(H41-1-הגדרות!$E$8*(הגדרות!$E$7+1),הגדרות!$E$7)))</f>
        <v/>
      </c>
      <c r="K41" s="0" t="str">
        <f aca="false">IF(I41="","",J41*הגדרות!$E$6+I41+1)</f>
        <v/>
      </c>
      <c r="L41" s="0" t="str">
        <f aca="false">IF(K41="","",MATCH(K41,$F$2:$F$5001,0))</f>
        <v/>
      </c>
      <c r="M41" s="0" t="str">
        <f aca="false">IF(I41="","",INDEX(הגדרות!$A$2:$A$21,MOD(I41+הגדרות!$E$9,הגדרות!$E$6)+1))</f>
        <v/>
      </c>
    </row>
    <row r="42" customFormat="false" ht="15" hidden="false" customHeight="false" outlineLevel="0" collapsed="false">
      <c r="A42" s="0" t="str">
        <f aca="false">IF('הדבקת לידים'!A42="","",IF(ISNUMBER('הדבקת לידים'!A42),IF(הגדרות!$E$2&gt;0,TEXT('הדבקת לידים'!A42,REPT("0",הגדרות!$E$2)),TEXT('הדבקת לידים'!A42,"0")),TRIM('הדבקת לידים'!A42)))</f>
        <v/>
      </c>
      <c r="B42" s="0" t="str">
        <f aca="false">IF('הדבקת לידים'!B42="","",IF(ISNUMBER('הדבקת לידים'!B42),IF(הגדרות!$E$3&gt;0,TEXT('הדבקת לידים'!B42,REPT("0",הגדרות!$E$3)),TEXT('הדבקת לידים'!B42,"0")),TRIM('הדבקת לידים'!B42)))</f>
        <v/>
      </c>
      <c r="C42" s="0" t="n">
        <f aca="false">IF(OR(A42&lt;&gt;"",B42&lt;&gt;""),1,0)</f>
        <v>0</v>
      </c>
      <c r="D42" s="0" t="str">
        <f aca="false">IF(C42=1,MOD(ABS(SIN(ROW()*12.9898+'הדבקת לידים'!$F$2*78.233+IFERROR(--RIGHT(A42,6),LEN(A42))*0.0137+IFERROR(--RIGHT(B42,6),LEN(B42))*0.0071))*43758.5453,1),"")</f>
        <v/>
      </c>
      <c r="E42" s="0" t="str">
        <f aca="false">IF(C42=1,INT(MOD(ABS(SIN(D42*7919.123+ROW()*0.618+'הדבקת לידים'!$F$2*1.3))*43758.5453,1)*1000000)*10000+ROW(),"")</f>
        <v/>
      </c>
      <c r="F42" s="0" t="str">
        <f aca="false">IF(E42="","",RANK(E42,$E$2:$E$5001,1))</f>
        <v/>
      </c>
      <c r="G42" s="0" t="n">
        <f aca="false">IF(A42="",0,IF(SUMPRODUCT(--($A$2:$A$5001=A42))&gt;1,1,0))</f>
        <v>0</v>
      </c>
      <c r="H42" s="0" t="n">
        <f aca="false">ROW()-1</f>
        <v>41</v>
      </c>
      <c r="I42" s="0" t="str">
        <f aca="false">IF(OR(הגדרות!$E$6=0,H42&gt;הגדרות!$E$5),"",IF(H42-1&lt;הגדרות!$E$8*(הגדרות!$E$7+1),INT((H42-1)/(הגדרות!$E$7+1)),הגדרות!$E$8+INT((H42-1-הגדרות!$E$8*(הגדרות!$E$7+1))/הגדרות!$E$7)))</f>
        <v/>
      </c>
      <c r="J42" s="0" t="str">
        <f aca="false">IF(I42="","",IF(H42-1&lt;הגדרות!$E$8*(הגדרות!$E$7+1),MOD(H42-1,הגדרות!$E$7+1),MOD(H42-1-הגדרות!$E$8*(הגדרות!$E$7+1),הגדרות!$E$7)))</f>
        <v/>
      </c>
      <c r="K42" s="0" t="str">
        <f aca="false">IF(I42="","",J42*הגדרות!$E$6+I42+1)</f>
        <v/>
      </c>
      <c r="L42" s="0" t="str">
        <f aca="false">IF(K42="","",MATCH(K42,$F$2:$F$5001,0))</f>
        <v/>
      </c>
      <c r="M42" s="0" t="str">
        <f aca="false">IF(I42="","",INDEX(הגדרות!$A$2:$A$21,MOD(I42+הגדרות!$E$9,הגדרות!$E$6)+1))</f>
        <v/>
      </c>
    </row>
    <row r="43" customFormat="false" ht="15" hidden="false" customHeight="false" outlineLevel="0" collapsed="false">
      <c r="A43" s="0" t="str">
        <f aca="false">IF('הדבקת לידים'!A43="","",IF(ISNUMBER('הדבקת לידים'!A43),IF(הגדרות!$E$2&gt;0,TEXT('הדבקת לידים'!A43,REPT("0",הגדרות!$E$2)),TEXT('הדבקת לידים'!A43,"0")),TRIM('הדבקת לידים'!A43)))</f>
        <v/>
      </c>
      <c r="B43" s="0" t="str">
        <f aca="false">IF('הדבקת לידים'!B43="","",IF(ISNUMBER('הדבקת לידים'!B43),IF(הגדרות!$E$3&gt;0,TEXT('הדבקת לידים'!B43,REPT("0",הגדרות!$E$3)),TEXT('הדבקת לידים'!B43,"0")),TRIM('הדבקת לידים'!B43)))</f>
        <v/>
      </c>
      <c r="C43" s="0" t="n">
        <f aca="false">IF(OR(A43&lt;&gt;"",B43&lt;&gt;""),1,0)</f>
        <v>0</v>
      </c>
      <c r="D43" s="0" t="str">
        <f aca="false">IF(C43=1,MOD(ABS(SIN(ROW()*12.9898+'הדבקת לידים'!$F$2*78.233+IFERROR(--RIGHT(A43,6),LEN(A43))*0.0137+IFERROR(--RIGHT(B43,6),LEN(B43))*0.0071))*43758.5453,1),"")</f>
        <v/>
      </c>
      <c r="E43" s="0" t="str">
        <f aca="false">IF(C43=1,INT(MOD(ABS(SIN(D43*7919.123+ROW()*0.618+'הדבקת לידים'!$F$2*1.3))*43758.5453,1)*1000000)*10000+ROW(),"")</f>
        <v/>
      </c>
      <c r="F43" s="0" t="str">
        <f aca="false">IF(E43="","",RANK(E43,$E$2:$E$5001,1))</f>
        <v/>
      </c>
      <c r="G43" s="0" t="n">
        <f aca="false">IF(A43="",0,IF(SUMPRODUCT(--($A$2:$A$5001=A43))&gt;1,1,0))</f>
        <v>0</v>
      </c>
      <c r="H43" s="0" t="n">
        <f aca="false">ROW()-1</f>
        <v>42</v>
      </c>
      <c r="I43" s="0" t="str">
        <f aca="false">IF(OR(הגדרות!$E$6=0,H43&gt;הגדרות!$E$5),"",IF(H43-1&lt;הגדרות!$E$8*(הגדרות!$E$7+1),INT((H43-1)/(הגדרות!$E$7+1)),הגדרות!$E$8+INT((H43-1-הגדרות!$E$8*(הגדרות!$E$7+1))/הגדרות!$E$7)))</f>
        <v/>
      </c>
      <c r="J43" s="0" t="str">
        <f aca="false">IF(I43="","",IF(H43-1&lt;הגדרות!$E$8*(הגדרות!$E$7+1),MOD(H43-1,הגדרות!$E$7+1),MOD(H43-1-הגדרות!$E$8*(הגדרות!$E$7+1),הגדרות!$E$7)))</f>
        <v/>
      </c>
      <c r="K43" s="0" t="str">
        <f aca="false">IF(I43="","",J43*הגדרות!$E$6+I43+1)</f>
        <v/>
      </c>
      <c r="L43" s="0" t="str">
        <f aca="false">IF(K43="","",MATCH(K43,$F$2:$F$5001,0))</f>
        <v/>
      </c>
      <c r="M43" s="0" t="str">
        <f aca="false">IF(I43="","",INDEX(הגדרות!$A$2:$A$21,MOD(I43+הגדרות!$E$9,הגדרות!$E$6)+1))</f>
        <v/>
      </c>
    </row>
    <row r="44" customFormat="false" ht="15" hidden="false" customHeight="false" outlineLevel="0" collapsed="false">
      <c r="A44" s="0" t="str">
        <f aca="false">IF('הדבקת לידים'!A44="","",IF(ISNUMBER('הדבקת לידים'!A44),IF(הגדרות!$E$2&gt;0,TEXT('הדבקת לידים'!A44,REPT("0",הגדרות!$E$2)),TEXT('הדבקת לידים'!A44,"0")),TRIM('הדבקת לידים'!A44)))</f>
        <v/>
      </c>
      <c r="B44" s="0" t="str">
        <f aca="false">IF('הדבקת לידים'!B44="","",IF(ISNUMBER('הדבקת לידים'!B44),IF(הגדרות!$E$3&gt;0,TEXT('הדבקת לידים'!B44,REPT("0",הגדרות!$E$3)),TEXT('הדבקת לידים'!B44,"0")),TRIM('הדבקת לידים'!B44)))</f>
        <v/>
      </c>
      <c r="C44" s="0" t="n">
        <f aca="false">IF(OR(A44&lt;&gt;"",B44&lt;&gt;""),1,0)</f>
        <v>0</v>
      </c>
      <c r="D44" s="0" t="str">
        <f aca="false">IF(C44=1,MOD(ABS(SIN(ROW()*12.9898+'הדבקת לידים'!$F$2*78.233+IFERROR(--RIGHT(A44,6),LEN(A44))*0.0137+IFERROR(--RIGHT(B44,6),LEN(B44))*0.0071))*43758.5453,1),"")</f>
        <v/>
      </c>
      <c r="E44" s="0" t="str">
        <f aca="false">IF(C44=1,INT(MOD(ABS(SIN(D44*7919.123+ROW()*0.618+'הדבקת לידים'!$F$2*1.3))*43758.5453,1)*1000000)*10000+ROW(),"")</f>
        <v/>
      </c>
      <c r="F44" s="0" t="str">
        <f aca="false">IF(E44="","",RANK(E44,$E$2:$E$5001,1))</f>
        <v/>
      </c>
      <c r="G44" s="0" t="n">
        <f aca="false">IF(A44="",0,IF(SUMPRODUCT(--($A$2:$A$5001=A44))&gt;1,1,0))</f>
        <v>0</v>
      </c>
      <c r="H44" s="0" t="n">
        <f aca="false">ROW()-1</f>
        <v>43</v>
      </c>
      <c r="I44" s="0" t="str">
        <f aca="false">IF(OR(הגדרות!$E$6=0,H44&gt;הגדרות!$E$5),"",IF(H44-1&lt;הגדרות!$E$8*(הגדרות!$E$7+1),INT((H44-1)/(הגדרות!$E$7+1)),הגדרות!$E$8+INT((H44-1-הגדרות!$E$8*(הגדרות!$E$7+1))/הגדרות!$E$7)))</f>
        <v/>
      </c>
      <c r="J44" s="0" t="str">
        <f aca="false">IF(I44="","",IF(H44-1&lt;הגדרות!$E$8*(הגדרות!$E$7+1),MOD(H44-1,הגדרות!$E$7+1),MOD(H44-1-הגדרות!$E$8*(הגדרות!$E$7+1),הגדרות!$E$7)))</f>
        <v/>
      </c>
      <c r="K44" s="0" t="str">
        <f aca="false">IF(I44="","",J44*הגדרות!$E$6+I44+1)</f>
        <v/>
      </c>
      <c r="L44" s="0" t="str">
        <f aca="false">IF(K44="","",MATCH(K44,$F$2:$F$5001,0))</f>
        <v/>
      </c>
      <c r="M44" s="0" t="str">
        <f aca="false">IF(I44="","",INDEX(הגדרות!$A$2:$A$21,MOD(I44+הגדרות!$E$9,הגדרות!$E$6)+1))</f>
        <v/>
      </c>
    </row>
    <row r="45" customFormat="false" ht="15" hidden="false" customHeight="false" outlineLevel="0" collapsed="false">
      <c r="A45" s="0" t="str">
        <f aca="false">IF('הדבקת לידים'!A45="","",IF(ISNUMBER('הדבקת לידים'!A45),IF(הגדרות!$E$2&gt;0,TEXT('הדבקת לידים'!A45,REPT("0",הגדרות!$E$2)),TEXT('הדבקת לידים'!A45,"0")),TRIM('הדבקת לידים'!A45)))</f>
        <v/>
      </c>
      <c r="B45" s="0" t="str">
        <f aca="false">IF('הדבקת לידים'!B45="","",IF(ISNUMBER('הדבקת לידים'!B45),IF(הגדרות!$E$3&gt;0,TEXT('הדבקת לידים'!B45,REPT("0",הגדרות!$E$3)),TEXT('הדבקת לידים'!B45,"0")),TRIM('הדבקת לידים'!B45)))</f>
        <v/>
      </c>
      <c r="C45" s="0" t="n">
        <f aca="false">IF(OR(A45&lt;&gt;"",B45&lt;&gt;""),1,0)</f>
        <v>0</v>
      </c>
      <c r="D45" s="0" t="str">
        <f aca="false">IF(C45=1,MOD(ABS(SIN(ROW()*12.9898+'הדבקת לידים'!$F$2*78.233+IFERROR(--RIGHT(A45,6),LEN(A45))*0.0137+IFERROR(--RIGHT(B45,6),LEN(B45))*0.0071))*43758.5453,1),"")</f>
        <v/>
      </c>
      <c r="E45" s="0" t="str">
        <f aca="false">IF(C45=1,INT(MOD(ABS(SIN(D45*7919.123+ROW()*0.618+'הדבקת לידים'!$F$2*1.3))*43758.5453,1)*1000000)*10000+ROW(),"")</f>
        <v/>
      </c>
      <c r="F45" s="0" t="str">
        <f aca="false">IF(E45="","",RANK(E45,$E$2:$E$5001,1))</f>
        <v/>
      </c>
      <c r="G45" s="0" t="n">
        <f aca="false">IF(A45="",0,IF(SUMPRODUCT(--($A$2:$A$5001=A45))&gt;1,1,0))</f>
        <v>0</v>
      </c>
      <c r="H45" s="0" t="n">
        <f aca="false">ROW()-1</f>
        <v>44</v>
      </c>
      <c r="I45" s="0" t="str">
        <f aca="false">IF(OR(הגדרות!$E$6=0,H45&gt;הגדרות!$E$5),"",IF(H45-1&lt;הגדרות!$E$8*(הגדרות!$E$7+1),INT((H45-1)/(הגדרות!$E$7+1)),הגדרות!$E$8+INT((H45-1-הגדרות!$E$8*(הגדרות!$E$7+1))/הגדרות!$E$7)))</f>
        <v/>
      </c>
      <c r="J45" s="0" t="str">
        <f aca="false">IF(I45="","",IF(H45-1&lt;הגדרות!$E$8*(הגדרות!$E$7+1),MOD(H45-1,הגדרות!$E$7+1),MOD(H45-1-הגדרות!$E$8*(הגדרות!$E$7+1),הגדרות!$E$7)))</f>
        <v/>
      </c>
      <c r="K45" s="0" t="str">
        <f aca="false">IF(I45="","",J45*הגדרות!$E$6+I45+1)</f>
        <v/>
      </c>
      <c r="L45" s="0" t="str">
        <f aca="false">IF(K45="","",MATCH(K45,$F$2:$F$5001,0))</f>
        <v/>
      </c>
      <c r="M45" s="0" t="str">
        <f aca="false">IF(I45="","",INDEX(הגדרות!$A$2:$A$21,MOD(I45+הגדרות!$E$9,הגדרות!$E$6)+1))</f>
        <v/>
      </c>
    </row>
    <row r="46" customFormat="false" ht="15" hidden="false" customHeight="false" outlineLevel="0" collapsed="false">
      <c r="A46" s="0" t="str">
        <f aca="false">IF('הדבקת לידים'!A46="","",IF(ISNUMBER('הדבקת לידים'!A46),IF(הגדרות!$E$2&gt;0,TEXT('הדבקת לידים'!A46,REPT("0",הגדרות!$E$2)),TEXT('הדבקת לידים'!A46,"0")),TRIM('הדבקת לידים'!A46)))</f>
        <v/>
      </c>
      <c r="B46" s="0" t="str">
        <f aca="false">IF('הדבקת לידים'!B46="","",IF(ISNUMBER('הדבקת לידים'!B46),IF(הגדרות!$E$3&gt;0,TEXT('הדבקת לידים'!B46,REPT("0",הגדרות!$E$3)),TEXT('הדבקת לידים'!B46,"0")),TRIM('הדבקת לידים'!B46)))</f>
        <v/>
      </c>
      <c r="C46" s="0" t="n">
        <f aca="false">IF(OR(A46&lt;&gt;"",B46&lt;&gt;""),1,0)</f>
        <v>0</v>
      </c>
      <c r="D46" s="0" t="str">
        <f aca="false">IF(C46=1,MOD(ABS(SIN(ROW()*12.9898+'הדבקת לידים'!$F$2*78.233+IFERROR(--RIGHT(A46,6),LEN(A46))*0.0137+IFERROR(--RIGHT(B46,6),LEN(B46))*0.0071))*43758.5453,1),"")</f>
        <v/>
      </c>
      <c r="E46" s="0" t="str">
        <f aca="false">IF(C46=1,INT(MOD(ABS(SIN(D46*7919.123+ROW()*0.618+'הדבקת לידים'!$F$2*1.3))*43758.5453,1)*1000000)*10000+ROW(),"")</f>
        <v/>
      </c>
      <c r="F46" s="0" t="str">
        <f aca="false">IF(E46="","",RANK(E46,$E$2:$E$5001,1))</f>
        <v/>
      </c>
      <c r="G46" s="0" t="n">
        <f aca="false">IF(A46="",0,IF(SUMPRODUCT(--($A$2:$A$5001=A46))&gt;1,1,0))</f>
        <v>0</v>
      </c>
      <c r="H46" s="0" t="n">
        <f aca="false">ROW()-1</f>
        <v>45</v>
      </c>
      <c r="I46" s="0" t="str">
        <f aca="false">IF(OR(הגדרות!$E$6=0,H46&gt;הגדרות!$E$5),"",IF(H46-1&lt;הגדרות!$E$8*(הגדרות!$E$7+1),INT((H46-1)/(הגדרות!$E$7+1)),הגדרות!$E$8+INT((H46-1-הגדרות!$E$8*(הגדרות!$E$7+1))/הגדרות!$E$7)))</f>
        <v/>
      </c>
      <c r="J46" s="0" t="str">
        <f aca="false">IF(I46="","",IF(H46-1&lt;הגדרות!$E$8*(הגדרות!$E$7+1),MOD(H46-1,הגדרות!$E$7+1),MOD(H46-1-הגדרות!$E$8*(הגדרות!$E$7+1),הגדרות!$E$7)))</f>
        <v/>
      </c>
      <c r="K46" s="0" t="str">
        <f aca="false">IF(I46="","",J46*הגדרות!$E$6+I46+1)</f>
        <v/>
      </c>
      <c r="L46" s="0" t="str">
        <f aca="false">IF(K46="","",MATCH(K46,$F$2:$F$5001,0))</f>
        <v/>
      </c>
      <c r="M46" s="0" t="str">
        <f aca="false">IF(I46="","",INDEX(הגדרות!$A$2:$A$21,MOD(I46+הגדרות!$E$9,הגדרות!$E$6)+1))</f>
        <v/>
      </c>
    </row>
    <row r="47" customFormat="false" ht="15" hidden="false" customHeight="false" outlineLevel="0" collapsed="false">
      <c r="A47" s="0" t="str">
        <f aca="false">IF('הדבקת לידים'!A47="","",IF(ISNUMBER('הדבקת לידים'!A47),IF(הגדרות!$E$2&gt;0,TEXT('הדבקת לידים'!A47,REPT("0",הגדרות!$E$2)),TEXT('הדבקת לידים'!A47,"0")),TRIM('הדבקת לידים'!A47)))</f>
        <v/>
      </c>
      <c r="B47" s="0" t="str">
        <f aca="false">IF('הדבקת לידים'!B47="","",IF(ISNUMBER('הדבקת לידים'!B47),IF(הגדרות!$E$3&gt;0,TEXT('הדבקת לידים'!B47,REPT("0",הגדרות!$E$3)),TEXT('הדבקת לידים'!B47,"0")),TRIM('הדבקת לידים'!B47)))</f>
        <v/>
      </c>
      <c r="C47" s="0" t="n">
        <f aca="false">IF(OR(A47&lt;&gt;"",B47&lt;&gt;""),1,0)</f>
        <v>0</v>
      </c>
      <c r="D47" s="0" t="str">
        <f aca="false">IF(C47=1,MOD(ABS(SIN(ROW()*12.9898+'הדבקת לידים'!$F$2*78.233+IFERROR(--RIGHT(A47,6),LEN(A47))*0.0137+IFERROR(--RIGHT(B47,6),LEN(B47))*0.0071))*43758.5453,1),"")</f>
        <v/>
      </c>
      <c r="E47" s="0" t="str">
        <f aca="false">IF(C47=1,INT(MOD(ABS(SIN(D47*7919.123+ROW()*0.618+'הדבקת לידים'!$F$2*1.3))*43758.5453,1)*1000000)*10000+ROW(),"")</f>
        <v/>
      </c>
      <c r="F47" s="0" t="str">
        <f aca="false">IF(E47="","",RANK(E47,$E$2:$E$5001,1))</f>
        <v/>
      </c>
      <c r="G47" s="0" t="n">
        <f aca="false">IF(A47="",0,IF(SUMPRODUCT(--($A$2:$A$5001=A47))&gt;1,1,0))</f>
        <v>0</v>
      </c>
      <c r="H47" s="0" t="n">
        <f aca="false">ROW()-1</f>
        <v>46</v>
      </c>
      <c r="I47" s="0" t="str">
        <f aca="false">IF(OR(הגדרות!$E$6=0,H47&gt;הגדרות!$E$5),"",IF(H47-1&lt;הגדרות!$E$8*(הגדרות!$E$7+1),INT((H47-1)/(הגדרות!$E$7+1)),הגדרות!$E$8+INT((H47-1-הגדרות!$E$8*(הגדרות!$E$7+1))/הגדרות!$E$7)))</f>
        <v/>
      </c>
      <c r="J47" s="0" t="str">
        <f aca="false">IF(I47="","",IF(H47-1&lt;הגדרות!$E$8*(הגדרות!$E$7+1),MOD(H47-1,הגדרות!$E$7+1),MOD(H47-1-הגדרות!$E$8*(הגדרות!$E$7+1),הגדרות!$E$7)))</f>
        <v/>
      </c>
      <c r="K47" s="0" t="str">
        <f aca="false">IF(I47="","",J47*הגדרות!$E$6+I47+1)</f>
        <v/>
      </c>
      <c r="L47" s="0" t="str">
        <f aca="false">IF(K47="","",MATCH(K47,$F$2:$F$5001,0))</f>
        <v/>
      </c>
      <c r="M47" s="0" t="str">
        <f aca="false">IF(I47="","",INDEX(הגדרות!$A$2:$A$21,MOD(I47+הגדרות!$E$9,הגדרות!$E$6)+1))</f>
        <v/>
      </c>
    </row>
    <row r="48" customFormat="false" ht="15" hidden="false" customHeight="false" outlineLevel="0" collapsed="false">
      <c r="A48" s="0" t="str">
        <f aca="false">IF('הדבקת לידים'!A48="","",IF(ISNUMBER('הדבקת לידים'!A48),IF(הגדרות!$E$2&gt;0,TEXT('הדבקת לידים'!A48,REPT("0",הגדרות!$E$2)),TEXT('הדבקת לידים'!A48,"0")),TRIM('הדבקת לידים'!A48)))</f>
        <v/>
      </c>
      <c r="B48" s="0" t="str">
        <f aca="false">IF('הדבקת לידים'!B48="","",IF(ISNUMBER('הדבקת לידים'!B48),IF(הגדרות!$E$3&gt;0,TEXT('הדבקת לידים'!B48,REPT("0",הגדרות!$E$3)),TEXT('הדבקת לידים'!B48,"0")),TRIM('הדבקת לידים'!B48)))</f>
        <v/>
      </c>
      <c r="C48" s="0" t="n">
        <f aca="false">IF(OR(A48&lt;&gt;"",B48&lt;&gt;""),1,0)</f>
        <v>0</v>
      </c>
      <c r="D48" s="0" t="str">
        <f aca="false">IF(C48=1,MOD(ABS(SIN(ROW()*12.9898+'הדבקת לידים'!$F$2*78.233+IFERROR(--RIGHT(A48,6),LEN(A48))*0.0137+IFERROR(--RIGHT(B48,6),LEN(B48))*0.0071))*43758.5453,1),"")</f>
        <v/>
      </c>
      <c r="E48" s="0" t="str">
        <f aca="false">IF(C48=1,INT(MOD(ABS(SIN(D48*7919.123+ROW()*0.618+'הדבקת לידים'!$F$2*1.3))*43758.5453,1)*1000000)*10000+ROW(),"")</f>
        <v/>
      </c>
      <c r="F48" s="0" t="str">
        <f aca="false">IF(E48="","",RANK(E48,$E$2:$E$5001,1))</f>
        <v/>
      </c>
      <c r="G48" s="0" t="n">
        <f aca="false">IF(A48="",0,IF(SUMPRODUCT(--($A$2:$A$5001=A48))&gt;1,1,0))</f>
        <v>0</v>
      </c>
      <c r="H48" s="0" t="n">
        <f aca="false">ROW()-1</f>
        <v>47</v>
      </c>
      <c r="I48" s="0" t="str">
        <f aca="false">IF(OR(הגדרות!$E$6=0,H48&gt;הגדרות!$E$5),"",IF(H48-1&lt;הגדרות!$E$8*(הגדרות!$E$7+1),INT((H48-1)/(הגדרות!$E$7+1)),הגדרות!$E$8+INT((H48-1-הגדרות!$E$8*(הגדרות!$E$7+1))/הגדרות!$E$7)))</f>
        <v/>
      </c>
      <c r="J48" s="0" t="str">
        <f aca="false">IF(I48="","",IF(H48-1&lt;הגדרות!$E$8*(הגדרות!$E$7+1),MOD(H48-1,הגדרות!$E$7+1),MOD(H48-1-הגדרות!$E$8*(הגדרות!$E$7+1),הגדרות!$E$7)))</f>
        <v/>
      </c>
      <c r="K48" s="0" t="str">
        <f aca="false">IF(I48="","",J48*הגדרות!$E$6+I48+1)</f>
        <v/>
      </c>
      <c r="L48" s="0" t="str">
        <f aca="false">IF(K48="","",MATCH(K48,$F$2:$F$5001,0))</f>
        <v/>
      </c>
      <c r="M48" s="0" t="str">
        <f aca="false">IF(I48="","",INDEX(הגדרות!$A$2:$A$21,MOD(I48+הגדרות!$E$9,הגדרות!$E$6)+1))</f>
        <v/>
      </c>
    </row>
    <row r="49" customFormat="false" ht="15" hidden="false" customHeight="false" outlineLevel="0" collapsed="false">
      <c r="A49" s="0" t="str">
        <f aca="false">IF('הדבקת לידים'!A49="","",IF(ISNUMBER('הדבקת לידים'!A49),IF(הגדרות!$E$2&gt;0,TEXT('הדבקת לידים'!A49,REPT("0",הגדרות!$E$2)),TEXT('הדבקת לידים'!A49,"0")),TRIM('הדבקת לידים'!A49)))</f>
        <v/>
      </c>
      <c r="B49" s="0" t="str">
        <f aca="false">IF('הדבקת לידים'!B49="","",IF(ISNUMBER('הדבקת לידים'!B49),IF(הגדרות!$E$3&gt;0,TEXT('הדבקת לידים'!B49,REPT("0",הגדרות!$E$3)),TEXT('הדבקת לידים'!B49,"0")),TRIM('הדבקת לידים'!B49)))</f>
        <v/>
      </c>
      <c r="C49" s="0" t="n">
        <f aca="false">IF(OR(A49&lt;&gt;"",B49&lt;&gt;""),1,0)</f>
        <v>0</v>
      </c>
      <c r="D49" s="0" t="str">
        <f aca="false">IF(C49=1,MOD(ABS(SIN(ROW()*12.9898+'הדבקת לידים'!$F$2*78.233+IFERROR(--RIGHT(A49,6),LEN(A49))*0.0137+IFERROR(--RIGHT(B49,6),LEN(B49))*0.0071))*43758.5453,1),"")</f>
        <v/>
      </c>
      <c r="E49" s="0" t="str">
        <f aca="false">IF(C49=1,INT(MOD(ABS(SIN(D49*7919.123+ROW()*0.618+'הדבקת לידים'!$F$2*1.3))*43758.5453,1)*1000000)*10000+ROW(),"")</f>
        <v/>
      </c>
      <c r="F49" s="0" t="str">
        <f aca="false">IF(E49="","",RANK(E49,$E$2:$E$5001,1))</f>
        <v/>
      </c>
      <c r="G49" s="0" t="n">
        <f aca="false">IF(A49="",0,IF(SUMPRODUCT(--($A$2:$A$5001=A49))&gt;1,1,0))</f>
        <v>0</v>
      </c>
      <c r="H49" s="0" t="n">
        <f aca="false">ROW()-1</f>
        <v>48</v>
      </c>
      <c r="I49" s="0" t="str">
        <f aca="false">IF(OR(הגדרות!$E$6=0,H49&gt;הגדרות!$E$5),"",IF(H49-1&lt;הגדרות!$E$8*(הגדרות!$E$7+1),INT((H49-1)/(הגדרות!$E$7+1)),הגדרות!$E$8+INT((H49-1-הגדרות!$E$8*(הגדרות!$E$7+1))/הגדרות!$E$7)))</f>
        <v/>
      </c>
      <c r="J49" s="0" t="str">
        <f aca="false">IF(I49="","",IF(H49-1&lt;הגדרות!$E$8*(הגדרות!$E$7+1),MOD(H49-1,הגדרות!$E$7+1),MOD(H49-1-הגדרות!$E$8*(הגדרות!$E$7+1),הגדרות!$E$7)))</f>
        <v/>
      </c>
      <c r="K49" s="0" t="str">
        <f aca="false">IF(I49="","",J49*הגדרות!$E$6+I49+1)</f>
        <v/>
      </c>
      <c r="L49" s="0" t="str">
        <f aca="false">IF(K49="","",MATCH(K49,$F$2:$F$5001,0))</f>
        <v/>
      </c>
      <c r="M49" s="0" t="str">
        <f aca="false">IF(I49="","",INDEX(הגדרות!$A$2:$A$21,MOD(I49+הגדרות!$E$9,הגדרות!$E$6)+1))</f>
        <v/>
      </c>
    </row>
    <row r="50" customFormat="false" ht="15" hidden="false" customHeight="false" outlineLevel="0" collapsed="false">
      <c r="A50" s="0" t="str">
        <f aca="false">IF('הדבקת לידים'!A50="","",IF(ISNUMBER('הדבקת לידים'!A50),IF(הגדרות!$E$2&gt;0,TEXT('הדבקת לידים'!A50,REPT("0",הגדרות!$E$2)),TEXT('הדבקת לידים'!A50,"0")),TRIM('הדבקת לידים'!A50)))</f>
        <v/>
      </c>
      <c r="B50" s="0" t="str">
        <f aca="false">IF('הדבקת לידים'!B50="","",IF(ISNUMBER('הדבקת לידים'!B50),IF(הגדרות!$E$3&gt;0,TEXT('הדבקת לידים'!B50,REPT("0",הגדרות!$E$3)),TEXT('הדבקת לידים'!B50,"0")),TRIM('הדבקת לידים'!B50)))</f>
        <v/>
      </c>
      <c r="C50" s="0" t="n">
        <f aca="false">IF(OR(A50&lt;&gt;"",B50&lt;&gt;""),1,0)</f>
        <v>0</v>
      </c>
      <c r="D50" s="0" t="str">
        <f aca="false">IF(C50=1,MOD(ABS(SIN(ROW()*12.9898+'הדבקת לידים'!$F$2*78.233+IFERROR(--RIGHT(A50,6),LEN(A50))*0.0137+IFERROR(--RIGHT(B50,6),LEN(B50))*0.0071))*43758.5453,1),"")</f>
        <v/>
      </c>
      <c r="E50" s="0" t="str">
        <f aca="false">IF(C50=1,INT(MOD(ABS(SIN(D50*7919.123+ROW()*0.618+'הדבקת לידים'!$F$2*1.3))*43758.5453,1)*1000000)*10000+ROW(),"")</f>
        <v/>
      </c>
      <c r="F50" s="0" t="str">
        <f aca="false">IF(E50="","",RANK(E50,$E$2:$E$5001,1))</f>
        <v/>
      </c>
      <c r="G50" s="0" t="n">
        <f aca="false">IF(A50="",0,IF(SUMPRODUCT(--($A$2:$A$5001=A50))&gt;1,1,0))</f>
        <v>0</v>
      </c>
      <c r="H50" s="0" t="n">
        <f aca="false">ROW()-1</f>
        <v>49</v>
      </c>
      <c r="I50" s="0" t="str">
        <f aca="false">IF(OR(הגדרות!$E$6=0,H50&gt;הגדרות!$E$5),"",IF(H50-1&lt;הגדרות!$E$8*(הגדרות!$E$7+1),INT((H50-1)/(הגדרות!$E$7+1)),הגדרות!$E$8+INT((H50-1-הגדרות!$E$8*(הגדרות!$E$7+1))/הגדרות!$E$7)))</f>
        <v/>
      </c>
      <c r="J50" s="0" t="str">
        <f aca="false">IF(I50="","",IF(H50-1&lt;הגדרות!$E$8*(הגדרות!$E$7+1),MOD(H50-1,הגדרות!$E$7+1),MOD(H50-1-הגדרות!$E$8*(הגדרות!$E$7+1),הגדרות!$E$7)))</f>
        <v/>
      </c>
      <c r="K50" s="0" t="str">
        <f aca="false">IF(I50="","",J50*הגדרות!$E$6+I50+1)</f>
        <v/>
      </c>
      <c r="L50" s="0" t="str">
        <f aca="false">IF(K50="","",MATCH(K50,$F$2:$F$5001,0))</f>
        <v/>
      </c>
      <c r="M50" s="0" t="str">
        <f aca="false">IF(I50="","",INDEX(הגדרות!$A$2:$A$21,MOD(I50+הגדרות!$E$9,הגדרות!$E$6)+1))</f>
        <v/>
      </c>
    </row>
    <row r="51" customFormat="false" ht="15" hidden="false" customHeight="false" outlineLevel="0" collapsed="false">
      <c r="A51" s="0" t="str">
        <f aca="false">IF('הדבקת לידים'!A51="","",IF(ISNUMBER('הדבקת לידים'!A51),IF(הגדרות!$E$2&gt;0,TEXT('הדבקת לידים'!A51,REPT("0",הגדרות!$E$2)),TEXT('הדבקת לידים'!A51,"0")),TRIM('הדבקת לידים'!A51)))</f>
        <v/>
      </c>
      <c r="B51" s="0" t="str">
        <f aca="false">IF('הדבקת לידים'!B51="","",IF(ISNUMBER('הדבקת לידים'!B51),IF(הגדרות!$E$3&gt;0,TEXT('הדבקת לידים'!B51,REPT("0",הגדרות!$E$3)),TEXT('הדבקת לידים'!B51,"0")),TRIM('הדבקת לידים'!B51)))</f>
        <v/>
      </c>
      <c r="C51" s="0" t="n">
        <f aca="false">IF(OR(A51&lt;&gt;"",B51&lt;&gt;""),1,0)</f>
        <v>0</v>
      </c>
      <c r="D51" s="0" t="str">
        <f aca="false">IF(C51=1,MOD(ABS(SIN(ROW()*12.9898+'הדבקת לידים'!$F$2*78.233+IFERROR(--RIGHT(A51,6),LEN(A51))*0.0137+IFERROR(--RIGHT(B51,6),LEN(B51))*0.0071))*43758.5453,1),"")</f>
        <v/>
      </c>
      <c r="E51" s="0" t="str">
        <f aca="false">IF(C51=1,INT(MOD(ABS(SIN(D51*7919.123+ROW()*0.618+'הדבקת לידים'!$F$2*1.3))*43758.5453,1)*1000000)*10000+ROW(),"")</f>
        <v/>
      </c>
      <c r="F51" s="0" t="str">
        <f aca="false">IF(E51="","",RANK(E51,$E$2:$E$5001,1))</f>
        <v/>
      </c>
      <c r="G51" s="0" t="n">
        <f aca="false">IF(A51="",0,IF(SUMPRODUCT(--($A$2:$A$5001=A51))&gt;1,1,0))</f>
        <v>0</v>
      </c>
      <c r="H51" s="0" t="n">
        <f aca="false">ROW()-1</f>
        <v>50</v>
      </c>
      <c r="I51" s="0" t="str">
        <f aca="false">IF(OR(הגדרות!$E$6=0,H51&gt;הגדרות!$E$5),"",IF(H51-1&lt;הגדרות!$E$8*(הגדרות!$E$7+1),INT((H51-1)/(הגדרות!$E$7+1)),הגדרות!$E$8+INT((H51-1-הגדרות!$E$8*(הגדרות!$E$7+1))/הגדרות!$E$7)))</f>
        <v/>
      </c>
      <c r="J51" s="0" t="str">
        <f aca="false">IF(I51="","",IF(H51-1&lt;הגדרות!$E$8*(הגדרות!$E$7+1),MOD(H51-1,הגדרות!$E$7+1),MOD(H51-1-הגדרות!$E$8*(הגדרות!$E$7+1),הגדרות!$E$7)))</f>
        <v/>
      </c>
      <c r="K51" s="0" t="str">
        <f aca="false">IF(I51="","",J51*הגדרות!$E$6+I51+1)</f>
        <v/>
      </c>
      <c r="L51" s="0" t="str">
        <f aca="false">IF(K51="","",MATCH(K51,$F$2:$F$5001,0))</f>
        <v/>
      </c>
      <c r="M51" s="0" t="str">
        <f aca="false">IF(I51="","",INDEX(הגדרות!$A$2:$A$21,MOD(I51+הגדרות!$E$9,הגדרות!$E$6)+1))</f>
        <v/>
      </c>
    </row>
    <row r="52" customFormat="false" ht="15" hidden="false" customHeight="false" outlineLevel="0" collapsed="false">
      <c r="A52" s="0" t="str">
        <f aca="false">IF('הדבקת לידים'!A52="","",IF(ISNUMBER('הדבקת לידים'!A52),IF(הגדרות!$E$2&gt;0,TEXT('הדבקת לידים'!A52,REPT("0",הגדרות!$E$2)),TEXT('הדבקת לידים'!A52,"0")),TRIM('הדבקת לידים'!A52)))</f>
        <v/>
      </c>
      <c r="B52" s="0" t="str">
        <f aca="false">IF('הדבקת לידים'!B52="","",IF(ISNUMBER('הדבקת לידים'!B52),IF(הגדרות!$E$3&gt;0,TEXT('הדבקת לידים'!B52,REPT("0",הגדרות!$E$3)),TEXT('הדבקת לידים'!B52,"0")),TRIM('הדבקת לידים'!B52)))</f>
        <v/>
      </c>
      <c r="C52" s="0" t="n">
        <f aca="false">IF(OR(A52&lt;&gt;"",B52&lt;&gt;""),1,0)</f>
        <v>0</v>
      </c>
      <c r="D52" s="0" t="str">
        <f aca="false">IF(C52=1,MOD(ABS(SIN(ROW()*12.9898+'הדבקת לידים'!$F$2*78.233+IFERROR(--RIGHT(A52,6),LEN(A52))*0.0137+IFERROR(--RIGHT(B52,6),LEN(B52))*0.0071))*43758.5453,1),"")</f>
        <v/>
      </c>
      <c r="E52" s="0" t="str">
        <f aca="false">IF(C52=1,INT(MOD(ABS(SIN(D52*7919.123+ROW()*0.618+'הדבקת לידים'!$F$2*1.3))*43758.5453,1)*1000000)*10000+ROW(),"")</f>
        <v/>
      </c>
      <c r="F52" s="0" t="str">
        <f aca="false">IF(E52="","",RANK(E52,$E$2:$E$5001,1))</f>
        <v/>
      </c>
      <c r="G52" s="0" t="n">
        <f aca="false">IF(A52="",0,IF(SUMPRODUCT(--($A$2:$A$5001=A52))&gt;1,1,0))</f>
        <v>0</v>
      </c>
      <c r="H52" s="0" t="n">
        <f aca="false">ROW()-1</f>
        <v>51</v>
      </c>
      <c r="I52" s="0" t="str">
        <f aca="false">IF(OR(הגדרות!$E$6=0,H52&gt;הגדרות!$E$5),"",IF(H52-1&lt;הגדרות!$E$8*(הגדרות!$E$7+1),INT((H52-1)/(הגדרות!$E$7+1)),הגדרות!$E$8+INT((H52-1-הגדרות!$E$8*(הגדרות!$E$7+1))/הגדרות!$E$7)))</f>
        <v/>
      </c>
      <c r="J52" s="0" t="str">
        <f aca="false">IF(I52="","",IF(H52-1&lt;הגדרות!$E$8*(הגדרות!$E$7+1),MOD(H52-1,הגדרות!$E$7+1),MOD(H52-1-הגדרות!$E$8*(הגדרות!$E$7+1),הגדרות!$E$7)))</f>
        <v/>
      </c>
      <c r="K52" s="0" t="str">
        <f aca="false">IF(I52="","",J52*הגדרות!$E$6+I52+1)</f>
        <v/>
      </c>
      <c r="L52" s="0" t="str">
        <f aca="false">IF(K52="","",MATCH(K52,$F$2:$F$5001,0))</f>
        <v/>
      </c>
      <c r="M52" s="0" t="str">
        <f aca="false">IF(I52="","",INDEX(הגדרות!$A$2:$A$21,MOD(I52+הגדרות!$E$9,הגדרות!$E$6)+1))</f>
        <v/>
      </c>
    </row>
    <row r="53" customFormat="false" ht="15" hidden="false" customHeight="false" outlineLevel="0" collapsed="false">
      <c r="A53" s="0" t="str">
        <f aca="false">IF('הדבקת לידים'!A53="","",IF(ISNUMBER('הדבקת לידים'!A53),IF(הגדרות!$E$2&gt;0,TEXT('הדבקת לידים'!A53,REPT("0",הגדרות!$E$2)),TEXT('הדבקת לידים'!A53,"0")),TRIM('הדבקת לידים'!A53)))</f>
        <v/>
      </c>
      <c r="B53" s="0" t="str">
        <f aca="false">IF('הדבקת לידים'!B53="","",IF(ISNUMBER('הדבקת לידים'!B53),IF(הגדרות!$E$3&gt;0,TEXT('הדבקת לידים'!B53,REPT("0",הגדרות!$E$3)),TEXT('הדבקת לידים'!B53,"0")),TRIM('הדבקת לידים'!B53)))</f>
        <v/>
      </c>
      <c r="C53" s="0" t="n">
        <f aca="false">IF(OR(A53&lt;&gt;"",B53&lt;&gt;""),1,0)</f>
        <v>0</v>
      </c>
      <c r="D53" s="0" t="str">
        <f aca="false">IF(C53=1,MOD(ABS(SIN(ROW()*12.9898+'הדבקת לידים'!$F$2*78.233+IFERROR(--RIGHT(A53,6),LEN(A53))*0.0137+IFERROR(--RIGHT(B53,6),LEN(B53))*0.0071))*43758.5453,1),"")</f>
        <v/>
      </c>
      <c r="E53" s="0" t="str">
        <f aca="false">IF(C53=1,INT(MOD(ABS(SIN(D53*7919.123+ROW()*0.618+'הדבקת לידים'!$F$2*1.3))*43758.5453,1)*1000000)*10000+ROW(),"")</f>
        <v/>
      </c>
      <c r="F53" s="0" t="str">
        <f aca="false">IF(E53="","",RANK(E53,$E$2:$E$5001,1))</f>
        <v/>
      </c>
      <c r="G53" s="0" t="n">
        <f aca="false">IF(A53="",0,IF(SUMPRODUCT(--($A$2:$A$5001=A53))&gt;1,1,0))</f>
        <v>0</v>
      </c>
      <c r="H53" s="0" t="n">
        <f aca="false">ROW()-1</f>
        <v>52</v>
      </c>
      <c r="I53" s="0" t="str">
        <f aca="false">IF(OR(הגדרות!$E$6=0,H53&gt;הגדרות!$E$5),"",IF(H53-1&lt;הגדרות!$E$8*(הגדרות!$E$7+1),INT((H53-1)/(הגדרות!$E$7+1)),הגדרות!$E$8+INT((H53-1-הגדרות!$E$8*(הגדרות!$E$7+1))/הגדרות!$E$7)))</f>
        <v/>
      </c>
      <c r="J53" s="0" t="str">
        <f aca="false">IF(I53="","",IF(H53-1&lt;הגדרות!$E$8*(הגדרות!$E$7+1),MOD(H53-1,הגדרות!$E$7+1),MOD(H53-1-הגדרות!$E$8*(הגדרות!$E$7+1),הגדרות!$E$7)))</f>
        <v/>
      </c>
      <c r="K53" s="0" t="str">
        <f aca="false">IF(I53="","",J53*הגדרות!$E$6+I53+1)</f>
        <v/>
      </c>
      <c r="L53" s="0" t="str">
        <f aca="false">IF(K53="","",MATCH(K53,$F$2:$F$5001,0))</f>
        <v/>
      </c>
      <c r="M53" s="0" t="str">
        <f aca="false">IF(I53="","",INDEX(הגדרות!$A$2:$A$21,MOD(I53+הגדרות!$E$9,הגדרות!$E$6)+1))</f>
        <v/>
      </c>
    </row>
    <row r="54" customFormat="false" ht="15" hidden="false" customHeight="false" outlineLevel="0" collapsed="false">
      <c r="A54" s="0" t="str">
        <f aca="false">IF('הדבקת לידים'!A54="","",IF(ISNUMBER('הדבקת לידים'!A54),IF(הגדרות!$E$2&gt;0,TEXT('הדבקת לידים'!A54,REPT("0",הגדרות!$E$2)),TEXT('הדבקת לידים'!A54,"0")),TRIM('הדבקת לידים'!A54)))</f>
        <v/>
      </c>
      <c r="B54" s="0" t="str">
        <f aca="false">IF('הדבקת לידים'!B54="","",IF(ISNUMBER('הדבקת לידים'!B54),IF(הגדרות!$E$3&gt;0,TEXT('הדבקת לידים'!B54,REPT("0",הגדרות!$E$3)),TEXT('הדבקת לידים'!B54,"0")),TRIM('הדבקת לידים'!B54)))</f>
        <v/>
      </c>
      <c r="C54" s="0" t="n">
        <f aca="false">IF(OR(A54&lt;&gt;"",B54&lt;&gt;""),1,0)</f>
        <v>0</v>
      </c>
      <c r="D54" s="0" t="str">
        <f aca="false">IF(C54=1,MOD(ABS(SIN(ROW()*12.9898+'הדבקת לידים'!$F$2*78.233+IFERROR(--RIGHT(A54,6),LEN(A54))*0.0137+IFERROR(--RIGHT(B54,6),LEN(B54))*0.0071))*43758.5453,1),"")</f>
        <v/>
      </c>
      <c r="E54" s="0" t="str">
        <f aca="false">IF(C54=1,INT(MOD(ABS(SIN(D54*7919.123+ROW()*0.618+'הדבקת לידים'!$F$2*1.3))*43758.5453,1)*1000000)*10000+ROW(),"")</f>
        <v/>
      </c>
      <c r="F54" s="0" t="str">
        <f aca="false">IF(E54="","",RANK(E54,$E$2:$E$5001,1))</f>
        <v/>
      </c>
      <c r="G54" s="0" t="n">
        <f aca="false">IF(A54="",0,IF(SUMPRODUCT(--($A$2:$A$5001=A54))&gt;1,1,0))</f>
        <v>0</v>
      </c>
      <c r="H54" s="0" t="n">
        <f aca="false">ROW()-1</f>
        <v>53</v>
      </c>
      <c r="I54" s="0" t="str">
        <f aca="false">IF(OR(הגדרות!$E$6=0,H54&gt;הגדרות!$E$5),"",IF(H54-1&lt;הגדרות!$E$8*(הגדרות!$E$7+1),INT((H54-1)/(הגדרות!$E$7+1)),הגדרות!$E$8+INT((H54-1-הגדרות!$E$8*(הגדרות!$E$7+1))/הגדרות!$E$7)))</f>
        <v/>
      </c>
      <c r="J54" s="0" t="str">
        <f aca="false">IF(I54="","",IF(H54-1&lt;הגדרות!$E$8*(הגדרות!$E$7+1),MOD(H54-1,הגדרות!$E$7+1),MOD(H54-1-הגדרות!$E$8*(הגדרות!$E$7+1),הגדרות!$E$7)))</f>
        <v/>
      </c>
      <c r="K54" s="0" t="str">
        <f aca="false">IF(I54="","",J54*הגדרות!$E$6+I54+1)</f>
        <v/>
      </c>
      <c r="L54" s="0" t="str">
        <f aca="false">IF(K54="","",MATCH(K54,$F$2:$F$5001,0))</f>
        <v/>
      </c>
      <c r="M54" s="0" t="str">
        <f aca="false">IF(I54="","",INDEX(הגדרות!$A$2:$A$21,MOD(I54+הגדרות!$E$9,הגדרות!$E$6)+1))</f>
        <v/>
      </c>
    </row>
    <row r="55" customFormat="false" ht="15" hidden="false" customHeight="false" outlineLevel="0" collapsed="false">
      <c r="A55" s="0" t="str">
        <f aca="false">IF('הדבקת לידים'!A55="","",IF(ISNUMBER('הדבקת לידים'!A55),IF(הגדרות!$E$2&gt;0,TEXT('הדבקת לידים'!A55,REPT("0",הגדרות!$E$2)),TEXT('הדבקת לידים'!A55,"0")),TRIM('הדבקת לידים'!A55)))</f>
        <v/>
      </c>
      <c r="B55" s="0" t="str">
        <f aca="false">IF('הדבקת לידים'!B55="","",IF(ISNUMBER('הדבקת לידים'!B55),IF(הגדרות!$E$3&gt;0,TEXT('הדבקת לידים'!B55,REPT("0",הגדרות!$E$3)),TEXT('הדבקת לידים'!B55,"0")),TRIM('הדבקת לידים'!B55)))</f>
        <v/>
      </c>
      <c r="C55" s="0" t="n">
        <f aca="false">IF(OR(A55&lt;&gt;"",B55&lt;&gt;""),1,0)</f>
        <v>0</v>
      </c>
      <c r="D55" s="0" t="str">
        <f aca="false">IF(C55=1,MOD(ABS(SIN(ROW()*12.9898+'הדבקת לידים'!$F$2*78.233+IFERROR(--RIGHT(A55,6),LEN(A55))*0.0137+IFERROR(--RIGHT(B55,6),LEN(B55))*0.0071))*43758.5453,1),"")</f>
        <v/>
      </c>
      <c r="E55" s="0" t="str">
        <f aca="false">IF(C55=1,INT(MOD(ABS(SIN(D55*7919.123+ROW()*0.618+'הדבקת לידים'!$F$2*1.3))*43758.5453,1)*1000000)*10000+ROW(),"")</f>
        <v/>
      </c>
      <c r="F55" s="0" t="str">
        <f aca="false">IF(E55="","",RANK(E55,$E$2:$E$5001,1))</f>
        <v/>
      </c>
      <c r="G55" s="0" t="n">
        <f aca="false">IF(A55="",0,IF(SUMPRODUCT(--($A$2:$A$5001=A55))&gt;1,1,0))</f>
        <v>0</v>
      </c>
      <c r="H55" s="0" t="n">
        <f aca="false">ROW()-1</f>
        <v>54</v>
      </c>
      <c r="I55" s="0" t="str">
        <f aca="false">IF(OR(הגדרות!$E$6=0,H55&gt;הגדרות!$E$5),"",IF(H55-1&lt;הגדרות!$E$8*(הגדרות!$E$7+1),INT((H55-1)/(הגדרות!$E$7+1)),הגדרות!$E$8+INT((H55-1-הגדרות!$E$8*(הגדרות!$E$7+1))/הגדרות!$E$7)))</f>
        <v/>
      </c>
      <c r="J55" s="0" t="str">
        <f aca="false">IF(I55="","",IF(H55-1&lt;הגדרות!$E$8*(הגדרות!$E$7+1),MOD(H55-1,הגדרות!$E$7+1),MOD(H55-1-הגדרות!$E$8*(הגדרות!$E$7+1),הגדרות!$E$7)))</f>
        <v/>
      </c>
      <c r="K55" s="0" t="str">
        <f aca="false">IF(I55="","",J55*הגדרות!$E$6+I55+1)</f>
        <v/>
      </c>
      <c r="L55" s="0" t="str">
        <f aca="false">IF(K55="","",MATCH(K55,$F$2:$F$5001,0))</f>
        <v/>
      </c>
      <c r="M55" s="0" t="str">
        <f aca="false">IF(I55="","",INDEX(הגדרות!$A$2:$A$21,MOD(I55+הגדרות!$E$9,הגדרות!$E$6)+1))</f>
        <v/>
      </c>
    </row>
    <row r="56" customFormat="false" ht="15" hidden="false" customHeight="false" outlineLevel="0" collapsed="false">
      <c r="A56" s="0" t="str">
        <f aca="false">IF('הדבקת לידים'!A56="","",IF(ISNUMBER('הדבקת לידים'!A56),IF(הגדרות!$E$2&gt;0,TEXT('הדבקת לידים'!A56,REPT("0",הגדרות!$E$2)),TEXT('הדבקת לידים'!A56,"0")),TRIM('הדבקת לידים'!A56)))</f>
        <v/>
      </c>
      <c r="B56" s="0" t="str">
        <f aca="false">IF('הדבקת לידים'!B56="","",IF(ISNUMBER('הדבקת לידים'!B56),IF(הגדרות!$E$3&gt;0,TEXT('הדבקת לידים'!B56,REPT("0",הגדרות!$E$3)),TEXT('הדבקת לידים'!B56,"0")),TRIM('הדבקת לידים'!B56)))</f>
        <v/>
      </c>
      <c r="C56" s="0" t="n">
        <f aca="false">IF(OR(A56&lt;&gt;"",B56&lt;&gt;""),1,0)</f>
        <v>0</v>
      </c>
      <c r="D56" s="0" t="str">
        <f aca="false">IF(C56=1,MOD(ABS(SIN(ROW()*12.9898+'הדבקת לידים'!$F$2*78.233+IFERROR(--RIGHT(A56,6),LEN(A56))*0.0137+IFERROR(--RIGHT(B56,6),LEN(B56))*0.0071))*43758.5453,1),"")</f>
        <v/>
      </c>
      <c r="E56" s="0" t="str">
        <f aca="false">IF(C56=1,INT(MOD(ABS(SIN(D56*7919.123+ROW()*0.618+'הדבקת לידים'!$F$2*1.3))*43758.5453,1)*1000000)*10000+ROW(),"")</f>
        <v/>
      </c>
      <c r="F56" s="0" t="str">
        <f aca="false">IF(E56="","",RANK(E56,$E$2:$E$5001,1))</f>
        <v/>
      </c>
      <c r="G56" s="0" t="n">
        <f aca="false">IF(A56="",0,IF(SUMPRODUCT(--($A$2:$A$5001=A56))&gt;1,1,0))</f>
        <v>0</v>
      </c>
      <c r="H56" s="0" t="n">
        <f aca="false">ROW()-1</f>
        <v>55</v>
      </c>
      <c r="I56" s="0" t="str">
        <f aca="false">IF(OR(הגדרות!$E$6=0,H56&gt;הגדרות!$E$5),"",IF(H56-1&lt;הגדרות!$E$8*(הגדרות!$E$7+1),INT((H56-1)/(הגדרות!$E$7+1)),הגדרות!$E$8+INT((H56-1-הגדרות!$E$8*(הגדרות!$E$7+1))/הגדרות!$E$7)))</f>
        <v/>
      </c>
      <c r="J56" s="0" t="str">
        <f aca="false">IF(I56="","",IF(H56-1&lt;הגדרות!$E$8*(הגדרות!$E$7+1),MOD(H56-1,הגדרות!$E$7+1),MOD(H56-1-הגדרות!$E$8*(הגדרות!$E$7+1),הגדרות!$E$7)))</f>
        <v/>
      </c>
      <c r="K56" s="0" t="str">
        <f aca="false">IF(I56="","",J56*הגדרות!$E$6+I56+1)</f>
        <v/>
      </c>
      <c r="L56" s="0" t="str">
        <f aca="false">IF(K56="","",MATCH(K56,$F$2:$F$5001,0))</f>
        <v/>
      </c>
      <c r="M56" s="0" t="str">
        <f aca="false">IF(I56="","",INDEX(הגדרות!$A$2:$A$21,MOD(I56+הגדרות!$E$9,הגדרות!$E$6)+1))</f>
        <v/>
      </c>
    </row>
    <row r="57" customFormat="false" ht="15" hidden="false" customHeight="false" outlineLevel="0" collapsed="false">
      <c r="A57" s="0" t="str">
        <f aca="false">IF('הדבקת לידים'!A57="","",IF(ISNUMBER('הדבקת לידים'!A57),IF(הגדרות!$E$2&gt;0,TEXT('הדבקת לידים'!A57,REPT("0",הגדרות!$E$2)),TEXT('הדבקת לידים'!A57,"0")),TRIM('הדבקת לידים'!A57)))</f>
        <v/>
      </c>
      <c r="B57" s="0" t="str">
        <f aca="false">IF('הדבקת לידים'!B57="","",IF(ISNUMBER('הדבקת לידים'!B57),IF(הגדרות!$E$3&gt;0,TEXT('הדבקת לידים'!B57,REPT("0",הגדרות!$E$3)),TEXT('הדבקת לידים'!B57,"0")),TRIM('הדבקת לידים'!B57)))</f>
        <v/>
      </c>
      <c r="C57" s="0" t="n">
        <f aca="false">IF(OR(A57&lt;&gt;"",B57&lt;&gt;""),1,0)</f>
        <v>0</v>
      </c>
      <c r="D57" s="0" t="str">
        <f aca="false">IF(C57=1,MOD(ABS(SIN(ROW()*12.9898+'הדבקת לידים'!$F$2*78.233+IFERROR(--RIGHT(A57,6),LEN(A57))*0.0137+IFERROR(--RIGHT(B57,6),LEN(B57))*0.0071))*43758.5453,1),"")</f>
        <v/>
      </c>
      <c r="E57" s="0" t="str">
        <f aca="false">IF(C57=1,INT(MOD(ABS(SIN(D57*7919.123+ROW()*0.618+'הדבקת לידים'!$F$2*1.3))*43758.5453,1)*1000000)*10000+ROW(),"")</f>
        <v/>
      </c>
      <c r="F57" s="0" t="str">
        <f aca="false">IF(E57="","",RANK(E57,$E$2:$E$5001,1))</f>
        <v/>
      </c>
      <c r="G57" s="0" t="n">
        <f aca="false">IF(A57="",0,IF(SUMPRODUCT(--($A$2:$A$5001=A57))&gt;1,1,0))</f>
        <v>0</v>
      </c>
      <c r="H57" s="0" t="n">
        <f aca="false">ROW()-1</f>
        <v>56</v>
      </c>
      <c r="I57" s="0" t="str">
        <f aca="false">IF(OR(הגדרות!$E$6=0,H57&gt;הגדרות!$E$5),"",IF(H57-1&lt;הגדרות!$E$8*(הגדרות!$E$7+1),INT((H57-1)/(הגדרות!$E$7+1)),הגדרות!$E$8+INT((H57-1-הגדרות!$E$8*(הגדרות!$E$7+1))/הגדרות!$E$7)))</f>
        <v/>
      </c>
      <c r="J57" s="0" t="str">
        <f aca="false">IF(I57="","",IF(H57-1&lt;הגדרות!$E$8*(הגדרות!$E$7+1),MOD(H57-1,הגדרות!$E$7+1),MOD(H57-1-הגדרות!$E$8*(הגדרות!$E$7+1),הגדרות!$E$7)))</f>
        <v/>
      </c>
      <c r="K57" s="0" t="str">
        <f aca="false">IF(I57="","",J57*הגדרות!$E$6+I57+1)</f>
        <v/>
      </c>
      <c r="L57" s="0" t="str">
        <f aca="false">IF(K57="","",MATCH(K57,$F$2:$F$5001,0))</f>
        <v/>
      </c>
      <c r="M57" s="0" t="str">
        <f aca="false">IF(I57="","",INDEX(הגדרות!$A$2:$A$21,MOD(I57+הגדרות!$E$9,הגדרות!$E$6)+1))</f>
        <v/>
      </c>
    </row>
    <row r="58" customFormat="false" ht="15" hidden="false" customHeight="false" outlineLevel="0" collapsed="false">
      <c r="A58" s="0" t="str">
        <f aca="false">IF('הדבקת לידים'!A58="","",IF(ISNUMBER('הדבקת לידים'!A58),IF(הגדרות!$E$2&gt;0,TEXT('הדבקת לידים'!A58,REPT("0",הגדרות!$E$2)),TEXT('הדבקת לידים'!A58,"0")),TRIM('הדבקת לידים'!A58)))</f>
        <v/>
      </c>
      <c r="B58" s="0" t="str">
        <f aca="false">IF('הדבקת לידים'!B58="","",IF(ISNUMBER('הדבקת לידים'!B58),IF(הגדרות!$E$3&gt;0,TEXT('הדבקת לידים'!B58,REPT("0",הגדרות!$E$3)),TEXT('הדבקת לידים'!B58,"0")),TRIM('הדבקת לידים'!B58)))</f>
        <v/>
      </c>
      <c r="C58" s="0" t="n">
        <f aca="false">IF(OR(A58&lt;&gt;"",B58&lt;&gt;""),1,0)</f>
        <v>0</v>
      </c>
      <c r="D58" s="0" t="str">
        <f aca="false">IF(C58=1,MOD(ABS(SIN(ROW()*12.9898+'הדבקת לידים'!$F$2*78.233+IFERROR(--RIGHT(A58,6),LEN(A58))*0.0137+IFERROR(--RIGHT(B58,6),LEN(B58))*0.0071))*43758.5453,1),"")</f>
        <v/>
      </c>
      <c r="E58" s="0" t="str">
        <f aca="false">IF(C58=1,INT(MOD(ABS(SIN(D58*7919.123+ROW()*0.618+'הדבקת לידים'!$F$2*1.3))*43758.5453,1)*1000000)*10000+ROW(),"")</f>
        <v/>
      </c>
      <c r="F58" s="0" t="str">
        <f aca="false">IF(E58="","",RANK(E58,$E$2:$E$5001,1))</f>
        <v/>
      </c>
      <c r="G58" s="0" t="n">
        <f aca="false">IF(A58="",0,IF(SUMPRODUCT(--($A$2:$A$5001=A58))&gt;1,1,0))</f>
        <v>0</v>
      </c>
      <c r="H58" s="0" t="n">
        <f aca="false">ROW()-1</f>
        <v>57</v>
      </c>
      <c r="I58" s="0" t="str">
        <f aca="false">IF(OR(הגדרות!$E$6=0,H58&gt;הגדרות!$E$5),"",IF(H58-1&lt;הגדרות!$E$8*(הגדרות!$E$7+1),INT((H58-1)/(הגדרות!$E$7+1)),הגדרות!$E$8+INT((H58-1-הגדרות!$E$8*(הגדרות!$E$7+1))/הגדרות!$E$7)))</f>
        <v/>
      </c>
      <c r="J58" s="0" t="str">
        <f aca="false">IF(I58="","",IF(H58-1&lt;הגדרות!$E$8*(הגדרות!$E$7+1),MOD(H58-1,הגדרות!$E$7+1),MOD(H58-1-הגדרות!$E$8*(הגדרות!$E$7+1),הגדרות!$E$7)))</f>
        <v/>
      </c>
      <c r="K58" s="0" t="str">
        <f aca="false">IF(I58="","",J58*הגדרות!$E$6+I58+1)</f>
        <v/>
      </c>
      <c r="L58" s="0" t="str">
        <f aca="false">IF(K58="","",MATCH(K58,$F$2:$F$5001,0))</f>
        <v/>
      </c>
      <c r="M58" s="0" t="str">
        <f aca="false">IF(I58="","",INDEX(הגדרות!$A$2:$A$21,MOD(I58+הגדרות!$E$9,הגדרות!$E$6)+1))</f>
        <v/>
      </c>
    </row>
    <row r="59" customFormat="false" ht="15" hidden="false" customHeight="false" outlineLevel="0" collapsed="false">
      <c r="A59" s="0" t="str">
        <f aca="false">IF('הדבקת לידים'!A59="","",IF(ISNUMBER('הדבקת לידים'!A59),IF(הגדרות!$E$2&gt;0,TEXT('הדבקת לידים'!A59,REPT("0",הגדרות!$E$2)),TEXT('הדבקת לידים'!A59,"0")),TRIM('הדבקת לידים'!A59)))</f>
        <v/>
      </c>
      <c r="B59" s="0" t="str">
        <f aca="false">IF('הדבקת לידים'!B59="","",IF(ISNUMBER('הדבקת לידים'!B59),IF(הגדרות!$E$3&gt;0,TEXT('הדבקת לידים'!B59,REPT("0",הגדרות!$E$3)),TEXT('הדבקת לידים'!B59,"0")),TRIM('הדבקת לידים'!B59)))</f>
        <v/>
      </c>
      <c r="C59" s="0" t="n">
        <f aca="false">IF(OR(A59&lt;&gt;"",B59&lt;&gt;""),1,0)</f>
        <v>0</v>
      </c>
      <c r="D59" s="0" t="str">
        <f aca="false">IF(C59=1,MOD(ABS(SIN(ROW()*12.9898+'הדבקת לידים'!$F$2*78.233+IFERROR(--RIGHT(A59,6),LEN(A59))*0.0137+IFERROR(--RIGHT(B59,6),LEN(B59))*0.0071))*43758.5453,1),"")</f>
        <v/>
      </c>
      <c r="E59" s="0" t="str">
        <f aca="false">IF(C59=1,INT(MOD(ABS(SIN(D59*7919.123+ROW()*0.618+'הדבקת לידים'!$F$2*1.3))*43758.5453,1)*1000000)*10000+ROW(),"")</f>
        <v/>
      </c>
      <c r="F59" s="0" t="str">
        <f aca="false">IF(E59="","",RANK(E59,$E$2:$E$5001,1))</f>
        <v/>
      </c>
      <c r="G59" s="0" t="n">
        <f aca="false">IF(A59="",0,IF(SUMPRODUCT(--($A$2:$A$5001=A59))&gt;1,1,0))</f>
        <v>0</v>
      </c>
      <c r="H59" s="0" t="n">
        <f aca="false">ROW()-1</f>
        <v>58</v>
      </c>
      <c r="I59" s="0" t="str">
        <f aca="false">IF(OR(הגדרות!$E$6=0,H59&gt;הגדרות!$E$5),"",IF(H59-1&lt;הגדרות!$E$8*(הגדרות!$E$7+1),INT((H59-1)/(הגדרות!$E$7+1)),הגדרות!$E$8+INT((H59-1-הגדרות!$E$8*(הגדרות!$E$7+1))/הגדרות!$E$7)))</f>
        <v/>
      </c>
      <c r="J59" s="0" t="str">
        <f aca="false">IF(I59="","",IF(H59-1&lt;הגדרות!$E$8*(הגדרות!$E$7+1),MOD(H59-1,הגדרות!$E$7+1),MOD(H59-1-הגדרות!$E$8*(הגדרות!$E$7+1),הגדרות!$E$7)))</f>
        <v/>
      </c>
      <c r="K59" s="0" t="str">
        <f aca="false">IF(I59="","",J59*הגדרות!$E$6+I59+1)</f>
        <v/>
      </c>
      <c r="L59" s="0" t="str">
        <f aca="false">IF(K59="","",MATCH(K59,$F$2:$F$5001,0))</f>
        <v/>
      </c>
      <c r="M59" s="0" t="str">
        <f aca="false">IF(I59="","",INDEX(הגדרות!$A$2:$A$21,MOD(I59+הגדרות!$E$9,הגדרות!$E$6)+1))</f>
        <v/>
      </c>
    </row>
    <row r="60" customFormat="false" ht="15" hidden="false" customHeight="false" outlineLevel="0" collapsed="false">
      <c r="A60" s="0" t="str">
        <f aca="false">IF('הדבקת לידים'!A60="","",IF(ISNUMBER('הדבקת לידים'!A60),IF(הגדרות!$E$2&gt;0,TEXT('הדבקת לידים'!A60,REPT("0",הגדרות!$E$2)),TEXT('הדבקת לידים'!A60,"0")),TRIM('הדבקת לידים'!A60)))</f>
        <v/>
      </c>
      <c r="B60" s="0" t="str">
        <f aca="false">IF('הדבקת לידים'!B60="","",IF(ISNUMBER('הדבקת לידים'!B60),IF(הגדרות!$E$3&gt;0,TEXT('הדבקת לידים'!B60,REPT("0",הגדרות!$E$3)),TEXT('הדבקת לידים'!B60,"0")),TRIM('הדבקת לידים'!B60)))</f>
        <v/>
      </c>
      <c r="C60" s="0" t="n">
        <f aca="false">IF(OR(A60&lt;&gt;"",B60&lt;&gt;""),1,0)</f>
        <v>0</v>
      </c>
      <c r="D60" s="0" t="str">
        <f aca="false">IF(C60=1,MOD(ABS(SIN(ROW()*12.9898+'הדבקת לידים'!$F$2*78.233+IFERROR(--RIGHT(A60,6),LEN(A60))*0.0137+IFERROR(--RIGHT(B60,6),LEN(B60))*0.0071))*43758.5453,1),"")</f>
        <v/>
      </c>
      <c r="E60" s="0" t="str">
        <f aca="false">IF(C60=1,INT(MOD(ABS(SIN(D60*7919.123+ROW()*0.618+'הדבקת לידים'!$F$2*1.3))*43758.5453,1)*1000000)*10000+ROW(),"")</f>
        <v/>
      </c>
      <c r="F60" s="0" t="str">
        <f aca="false">IF(E60="","",RANK(E60,$E$2:$E$5001,1))</f>
        <v/>
      </c>
      <c r="G60" s="0" t="n">
        <f aca="false">IF(A60="",0,IF(SUMPRODUCT(--($A$2:$A$5001=A60))&gt;1,1,0))</f>
        <v>0</v>
      </c>
      <c r="H60" s="0" t="n">
        <f aca="false">ROW()-1</f>
        <v>59</v>
      </c>
      <c r="I60" s="0" t="str">
        <f aca="false">IF(OR(הגדרות!$E$6=0,H60&gt;הגדרות!$E$5),"",IF(H60-1&lt;הגדרות!$E$8*(הגדרות!$E$7+1),INT((H60-1)/(הגדרות!$E$7+1)),הגדרות!$E$8+INT((H60-1-הגדרות!$E$8*(הגדרות!$E$7+1))/הגדרות!$E$7)))</f>
        <v/>
      </c>
      <c r="J60" s="0" t="str">
        <f aca="false">IF(I60="","",IF(H60-1&lt;הגדרות!$E$8*(הגדרות!$E$7+1),MOD(H60-1,הגדרות!$E$7+1),MOD(H60-1-הגדרות!$E$8*(הגדרות!$E$7+1),הגדרות!$E$7)))</f>
        <v/>
      </c>
      <c r="K60" s="0" t="str">
        <f aca="false">IF(I60="","",J60*הגדרות!$E$6+I60+1)</f>
        <v/>
      </c>
      <c r="L60" s="0" t="str">
        <f aca="false">IF(K60="","",MATCH(K60,$F$2:$F$5001,0))</f>
        <v/>
      </c>
      <c r="M60" s="0" t="str">
        <f aca="false">IF(I60="","",INDEX(הגדרות!$A$2:$A$21,MOD(I60+הגדרות!$E$9,הגדרות!$E$6)+1))</f>
        <v/>
      </c>
    </row>
    <row r="61" customFormat="false" ht="15" hidden="false" customHeight="false" outlineLevel="0" collapsed="false">
      <c r="A61" s="0" t="str">
        <f aca="false">IF('הדבקת לידים'!A61="","",IF(ISNUMBER('הדבקת לידים'!A61),IF(הגדרות!$E$2&gt;0,TEXT('הדבקת לידים'!A61,REPT("0",הגדרות!$E$2)),TEXT('הדבקת לידים'!A61,"0")),TRIM('הדבקת לידים'!A61)))</f>
        <v/>
      </c>
      <c r="B61" s="0" t="str">
        <f aca="false">IF('הדבקת לידים'!B61="","",IF(ISNUMBER('הדבקת לידים'!B61),IF(הגדרות!$E$3&gt;0,TEXT('הדבקת לידים'!B61,REPT("0",הגדרות!$E$3)),TEXT('הדבקת לידים'!B61,"0")),TRIM('הדבקת לידים'!B61)))</f>
        <v/>
      </c>
      <c r="C61" s="0" t="n">
        <f aca="false">IF(OR(A61&lt;&gt;"",B61&lt;&gt;""),1,0)</f>
        <v>0</v>
      </c>
      <c r="D61" s="0" t="str">
        <f aca="false">IF(C61=1,MOD(ABS(SIN(ROW()*12.9898+'הדבקת לידים'!$F$2*78.233+IFERROR(--RIGHT(A61,6),LEN(A61))*0.0137+IFERROR(--RIGHT(B61,6),LEN(B61))*0.0071))*43758.5453,1),"")</f>
        <v/>
      </c>
      <c r="E61" s="0" t="str">
        <f aca="false">IF(C61=1,INT(MOD(ABS(SIN(D61*7919.123+ROW()*0.618+'הדבקת לידים'!$F$2*1.3))*43758.5453,1)*1000000)*10000+ROW(),"")</f>
        <v/>
      </c>
      <c r="F61" s="0" t="str">
        <f aca="false">IF(E61="","",RANK(E61,$E$2:$E$5001,1))</f>
        <v/>
      </c>
      <c r="G61" s="0" t="n">
        <f aca="false">IF(A61="",0,IF(SUMPRODUCT(--($A$2:$A$5001=A61))&gt;1,1,0))</f>
        <v>0</v>
      </c>
      <c r="H61" s="0" t="n">
        <f aca="false">ROW()-1</f>
        <v>60</v>
      </c>
      <c r="I61" s="0" t="str">
        <f aca="false">IF(OR(הגדרות!$E$6=0,H61&gt;הגדרות!$E$5),"",IF(H61-1&lt;הגדרות!$E$8*(הגדרות!$E$7+1),INT((H61-1)/(הגדרות!$E$7+1)),הגדרות!$E$8+INT((H61-1-הגדרות!$E$8*(הגדרות!$E$7+1))/הגדרות!$E$7)))</f>
        <v/>
      </c>
      <c r="J61" s="0" t="str">
        <f aca="false">IF(I61="","",IF(H61-1&lt;הגדרות!$E$8*(הגדרות!$E$7+1),MOD(H61-1,הגדרות!$E$7+1),MOD(H61-1-הגדרות!$E$8*(הגדרות!$E$7+1),הגדרות!$E$7)))</f>
        <v/>
      </c>
      <c r="K61" s="0" t="str">
        <f aca="false">IF(I61="","",J61*הגדרות!$E$6+I61+1)</f>
        <v/>
      </c>
      <c r="L61" s="0" t="str">
        <f aca="false">IF(K61="","",MATCH(K61,$F$2:$F$5001,0))</f>
        <v/>
      </c>
      <c r="M61" s="0" t="str">
        <f aca="false">IF(I61="","",INDEX(הגדרות!$A$2:$A$21,MOD(I61+הגדרות!$E$9,הגדרות!$E$6)+1))</f>
        <v/>
      </c>
    </row>
    <row r="62" customFormat="false" ht="15" hidden="false" customHeight="false" outlineLevel="0" collapsed="false">
      <c r="A62" s="0" t="str">
        <f aca="false">IF('הדבקת לידים'!A62="","",IF(ISNUMBER('הדבקת לידים'!A62),IF(הגדרות!$E$2&gt;0,TEXT('הדבקת לידים'!A62,REPT("0",הגדרות!$E$2)),TEXT('הדבקת לידים'!A62,"0")),TRIM('הדבקת לידים'!A62)))</f>
        <v/>
      </c>
      <c r="B62" s="0" t="str">
        <f aca="false">IF('הדבקת לידים'!B62="","",IF(ISNUMBER('הדבקת לידים'!B62),IF(הגדרות!$E$3&gt;0,TEXT('הדבקת לידים'!B62,REPT("0",הגדרות!$E$3)),TEXT('הדבקת לידים'!B62,"0")),TRIM('הדבקת לידים'!B62)))</f>
        <v/>
      </c>
      <c r="C62" s="0" t="n">
        <f aca="false">IF(OR(A62&lt;&gt;"",B62&lt;&gt;""),1,0)</f>
        <v>0</v>
      </c>
      <c r="D62" s="0" t="str">
        <f aca="false">IF(C62=1,MOD(ABS(SIN(ROW()*12.9898+'הדבקת לידים'!$F$2*78.233+IFERROR(--RIGHT(A62,6),LEN(A62))*0.0137+IFERROR(--RIGHT(B62,6),LEN(B62))*0.0071))*43758.5453,1),"")</f>
        <v/>
      </c>
      <c r="E62" s="0" t="str">
        <f aca="false">IF(C62=1,INT(MOD(ABS(SIN(D62*7919.123+ROW()*0.618+'הדבקת לידים'!$F$2*1.3))*43758.5453,1)*1000000)*10000+ROW(),"")</f>
        <v/>
      </c>
      <c r="F62" s="0" t="str">
        <f aca="false">IF(E62="","",RANK(E62,$E$2:$E$5001,1))</f>
        <v/>
      </c>
      <c r="G62" s="0" t="n">
        <f aca="false">IF(A62="",0,IF(SUMPRODUCT(--($A$2:$A$5001=A62))&gt;1,1,0))</f>
        <v>0</v>
      </c>
      <c r="H62" s="0" t="n">
        <f aca="false">ROW()-1</f>
        <v>61</v>
      </c>
      <c r="I62" s="0" t="str">
        <f aca="false">IF(OR(הגדרות!$E$6=0,H62&gt;הגדרות!$E$5),"",IF(H62-1&lt;הגדרות!$E$8*(הגדרות!$E$7+1),INT((H62-1)/(הגדרות!$E$7+1)),הגדרות!$E$8+INT((H62-1-הגדרות!$E$8*(הגדרות!$E$7+1))/הגדרות!$E$7)))</f>
        <v/>
      </c>
      <c r="J62" s="0" t="str">
        <f aca="false">IF(I62="","",IF(H62-1&lt;הגדרות!$E$8*(הגדרות!$E$7+1),MOD(H62-1,הגדרות!$E$7+1),MOD(H62-1-הגדרות!$E$8*(הגדרות!$E$7+1),הגדרות!$E$7)))</f>
        <v/>
      </c>
      <c r="K62" s="0" t="str">
        <f aca="false">IF(I62="","",J62*הגדרות!$E$6+I62+1)</f>
        <v/>
      </c>
      <c r="L62" s="0" t="str">
        <f aca="false">IF(K62="","",MATCH(K62,$F$2:$F$5001,0))</f>
        <v/>
      </c>
      <c r="M62" s="0" t="str">
        <f aca="false">IF(I62="","",INDEX(הגדרות!$A$2:$A$21,MOD(I62+הגדרות!$E$9,הגדרות!$E$6)+1))</f>
        <v/>
      </c>
    </row>
    <row r="63" customFormat="false" ht="15" hidden="false" customHeight="false" outlineLevel="0" collapsed="false">
      <c r="A63" s="0" t="str">
        <f aca="false">IF('הדבקת לידים'!A63="","",IF(ISNUMBER('הדבקת לידים'!A63),IF(הגדרות!$E$2&gt;0,TEXT('הדבקת לידים'!A63,REPT("0",הגדרות!$E$2)),TEXT('הדבקת לידים'!A63,"0")),TRIM('הדבקת לידים'!A63)))</f>
        <v/>
      </c>
      <c r="B63" s="0" t="str">
        <f aca="false">IF('הדבקת לידים'!B63="","",IF(ISNUMBER('הדבקת לידים'!B63),IF(הגדרות!$E$3&gt;0,TEXT('הדבקת לידים'!B63,REPT("0",הגדרות!$E$3)),TEXT('הדבקת לידים'!B63,"0")),TRIM('הדבקת לידים'!B63)))</f>
        <v/>
      </c>
      <c r="C63" s="0" t="n">
        <f aca="false">IF(OR(A63&lt;&gt;"",B63&lt;&gt;""),1,0)</f>
        <v>0</v>
      </c>
      <c r="D63" s="0" t="str">
        <f aca="false">IF(C63=1,MOD(ABS(SIN(ROW()*12.9898+'הדבקת לידים'!$F$2*78.233+IFERROR(--RIGHT(A63,6),LEN(A63))*0.0137+IFERROR(--RIGHT(B63,6),LEN(B63))*0.0071))*43758.5453,1),"")</f>
        <v/>
      </c>
      <c r="E63" s="0" t="str">
        <f aca="false">IF(C63=1,INT(MOD(ABS(SIN(D63*7919.123+ROW()*0.618+'הדבקת לידים'!$F$2*1.3))*43758.5453,1)*1000000)*10000+ROW(),"")</f>
        <v/>
      </c>
      <c r="F63" s="0" t="str">
        <f aca="false">IF(E63="","",RANK(E63,$E$2:$E$5001,1))</f>
        <v/>
      </c>
      <c r="G63" s="0" t="n">
        <f aca="false">IF(A63="",0,IF(SUMPRODUCT(--($A$2:$A$5001=A63))&gt;1,1,0))</f>
        <v>0</v>
      </c>
      <c r="H63" s="0" t="n">
        <f aca="false">ROW()-1</f>
        <v>62</v>
      </c>
      <c r="I63" s="0" t="str">
        <f aca="false">IF(OR(הגדרות!$E$6=0,H63&gt;הגדרות!$E$5),"",IF(H63-1&lt;הגדרות!$E$8*(הגדרות!$E$7+1),INT((H63-1)/(הגדרות!$E$7+1)),הגדרות!$E$8+INT((H63-1-הגדרות!$E$8*(הגדרות!$E$7+1))/הגדרות!$E$7)))</f>
        <v/>
      </c>
      <c r="J63" s="0" t="str">
        <f aca="false">IF(I63="","",IF(H63-1&lt;הגדרות!$E$8*(הגדרות!$E$7+1),MOD(H63-1,הגדרות!$E$7+1),MOD(H63-1-הגדרות!$E$8*(הגדרות!$E$7+1),הגדרות!$E$7)))</f>
        <v/>
      </c>
      <c r="K63" s="0" t="str">
        <f aca="false">IF(I63="","",J63*הגדרות!$E$6+I63+1)</f>
        <v/>
      </c>
      <c r="L63" s="0" t="str">
        <f aca="false">IF(K63="","",MATCH(K63,$F$2:$F$5001,0))</f>
        <v/>
      </c>
      <c r="M63" s="0" t="str">
        <f aca="false">IF(I63="","",INDEX(הגדרות!$A$2:$A$21,MOD(I63+הגדרות!$E$9,הגדרות!$E$6)+1))</f>
        <v/>
      </c>
    </row>
    <row r="64" customFormat="false" ht="15" hidden="false" customHeight="false" outlineLevel="0" collapsed="false">
      <c r="A64" s="0" t="str">
        <f aca="false">IF('הדבקת לידים'!A64="","",IF(ISNUMBER('הדבקת לידים'!A64),IF(הגדרות!$E$2&gt;0,TEXT('הדבקת לידים'!A64,REPT("0",הגדרות!$E$2)),TEXT('הדבקת לידים'!A64,"0")),TRIM('הדבקת לידים'!A64)))</f>
        <v/>
      </c>
      <c r="B64" s="0" t="str">
        <f aca="false">IF('הדבקת לידים'!B64="","",IF(ISNUMBER('הדבקת לידים'!B64),IF(הגדרות!$E$3&gt;0,TEXT('הדבקת לידים'!B64,REPT("0",הגדרות!$E$3)),TEXT('הדבקת לידים'!B64,"0")),TRIM('הדבקת לידים'!B64)))</f>
        <v/>
      </c>
      <c r="C64" s="0" t="n">
        <f aca="false">IF(OR(A64&lt;&gt;"",B64&lt;&gt;""),1,0)</f>
        <v>0</v>
      </c>
      <c r="D64" s="0" t="str">
        <f aca="false">IF(C64=1,MOD(ABS(SIN(ROW()*12.9898+'הדבקת לידים'!$F$2*78.233+IFERROR(--RIGHT(A64,6),LEN(A64))*0.0137+IFERROR(--RIGHT(B64,6),LEN(B64))*0.0071))*43758.5453,1),"")</f>
        <v/>
      </c>
      <c r="E64" s="0" t="str">
        <f aca="false">IF(C64=1,INT(MOD(ABS(SIN(D64*7919.123+ROW()*0.618+'הדבקת לידים'!$F$2*1.3))*43758.5453,1)*1000000)*10000+ROW(),"")</f>
        <v/>
      </c>
      <c r="F64" s="0" t="str">
        <f aca="false">IF(E64="","",RANK(E64,$E$2:$E$5001,1))</f>
        <v/>
      </c>
      <c r="G64" s="0" t="n">
        <f aca="false">IF(A64="",0,IF(SUMPRODUCT(--($A$2:$A$5001=A64))&gt;1,1,0))</f>
        <v>0</v>
      </c>
      <c r="H64" s="0" t="n">
        <f aca="false">ROW()-1</f>
        <v>63</v>
      </c>
      <c r="I64" s="0" t="str">
        <f aca="false">IF(OR(הגדרות!$E$6=0,H64&gt;הגדרות!$E$5),"",IF(H64-1&lt;הגדרות!$E$8*(הגדרות!$E$7+1),INT((H64-1)/(הגדרות!$E$7+1)),הגדרות!$E$8+INT((H64-1-הגדרות!$E$8*(הגדרות!$E$7+1))/הגדרות!$E$7)))</f>
        <v/>
      </c>
      <c r="J64" s="0" t="str">
        <f aca="false">IF(I64="","",IF(H64-1&lt;הגדרות!$E$8*(הגדרות!$E$7+1),MOD(H64-1,הגדרות!$E$7+1),MOD(H64-1-הגדרות!$E$8*(הגדרות!$E$7+1),הגדרות!$E$7)))</f>
        <v/>
      </c>
      <c r="K64" s="0" t="str">
        <f aca="false">IF(I64="","",J64*הגדרות!$E$6+I64+1)</f>
        <v/>
      </c>
      <c r="L64" s="0" t="str">
        <f aca="false">IF(K64="","",MATCH(K64,$F$2:$F$5001,0))</f>
        <v/>
      </c>
      <c r="M64" s="0" t="str">
        <f aca="false">IF(I64="","",INDEX(הגדרות!$A$2:$A$21,MOD(I64+הגדרות!$E$9,הגדרות!$E$6)+1))</f>
        <v/>
      </c>
    </row>
    <row r="65" customFormat="false" ht="15" hidden="false" customHeight="false" outlineLevel="0" collapsed="false">
      <c r="A65" s="0" t="str">
        <f aca="false">IF('הדבקת לידים'!A65="","",IF(ISNUMBER('הדבקת לידים'!A65),IF(הגדרות!$E$2&gt;0,TEXT('הדבקת לידים'!A65,REPT("0",הגדרות!$E$2)),TEXT('הדבקת לידים'!A65,"0")),TRIM('הדבקת לידים'!A65)))</f>
        <v/>
      </c>
      <c r="B65" s="0" t="str">
        <f aca="false">IF('הדבקת לידים'!B65="","",IF(ISNUMBER('הדבקת לידים'!B65),IF(הגדרות!$E$3&gt;0,TEXT('הדבקת לידים'!B65,REPT("0",הגדרות!$E$3)),TEXT('הדבקת לידים'!B65,"0")),TRIM('הדבקת לידים'!B65)))</f>
        <v/>
      </c>
      <c r="C65" s="0" t="n">
        <f aca="false">IF(OR(A65&lt;&gt;"",B65&lt;&gt;""),1,0)</f>
        <v>0</v>
      </c>
      <c r="D65" s="0" t="str">
        <f aca="false">IF(C65=1,MOD(ABS(SIN(ROW()*12.9898+'הדבקת לידים'!$F$2*78.233+IFERROR(--RIGHT(A65,6),LEN(A65))*0.0137+IFERROR(--RIGHT(B65,6),LEN(B65))*0.0071))*43758.5453,1),"")</f>
        <v/>
      </c>
      <c r="E65" s="0" t="str">
        <f aca="false">IF(C65=1,INT(MOD(ABS(SIN(D65*7919.123+ROW()*0.618+'הדבקת לידים'!$F$2*1.3))*43758.5453,1)*1000000)*10000+ROW(),"")</f>
        <v/>
      </c>
      <c r="F65" s="0" t="str">
        <f aca="false">IF(E65="","",RANK(E65,$E$2:$E$5001,1))</f>
        <v/>
      </c>
      <c r="G65" s="0" t="n">
        <f aca="false">IF(A65="",0,IF(SUMPRODUCT(--($A$2:$A$5001=A65))&gt;1,1,0))</f>
        <v>0</v>
      </c>
      <c r="H65" s="0" t="n">
        <f aca="false">ROW()-1</f>
        <v>64</v>
      </c>
      <c r="I65" s="0" t="str">
        <f aca="false">IF(OR(הגדרות!$E$6=0,H65&gt;הגדרות!$E$5),"",IF(H65-1&lt;הגדרות!$E$8*(הגדרות!$E$7+1),INT((H65-1)/(הגדרות!$E$7+1)),הגדרות!$E$8+INT((H65-1-הגדרות!$E$8*(הגדרות!$E$7+1))/הגדרות!$E$7)))</f>
        <v/>
      </c>
      <c r="J65" s="0" t="str">
        <f aca="false">IF(I65="","",IF(H65-1&lt;הגדרות!$E$8*(הגדרות!$E$7+1),MOD(H65-1,הגדרות!$E$7+1),MOD(H65-1-הגדרות!$E$8*(הגדרות!$E$7+1),הגדרות!$E$7)))</f>
        <v/>
      </c>
      <c r="K65" s="0" t="str">
        <f aca="false">IF(I65="","",J65*הגדרות!$E$6+I65+1)</f>
        <v/>
      </c>
      <c r="L65" s="0" t="str">
        <f aca="false">IF(K65="","",MATCH(K65,$F$2:$F$5001,0))</f>
        <v/>
      </c>
      <c r="M65" s="0" t="str">
        <f aca="false">IF(I65="","",INDEX(הגדרות!$A$2:$A$21,MOD(I65+הגדרות!$E$9,הגדרות!$E$6)+1))</f>
        <v/>
      </c>
    </row>
    <row r="66" customFormat="false" ht="15" hidden="false" customHeight="false" outlineLevel="0" collapsed="false">
      <c r="A66" s="0" t="str">
        <f aca="false">IF('הדבקת לידים'!A66="","",IF(ISNUMBER('הדבקת לידים'!A66),IF(הגדרות!$E$2&gt;0,TEXT('הדבקת לידים'!A66,REPT("0",הגדרות!$E$2)),TEXT('הדבקת לידים'!A66,"0")),TRIM('הדבקת לידים'!A66)))</f>
        <v/>
      </c>
      <c r="B66" s="0" t="str">
        <f aca="false">IF('הדבקת לידים'!B66="","",IF(ISNUMBER('הדבקת לידים'!B66),IF(הגדרות!$E$3&gt;0,TEXT('הדבקת לידים'!B66,REPT("0",הגדרות!$E$3)),TEXT('הדבקת לידים'!B66,"0")),TRIM('הדבקת לידים'!B66)))</f>
        <v/>
      </c>
      <c r="C66" s="0" t="n">
        <f aca="false">IF(OR(A66&lt;&gt;"",B66&lt;&gt;""),1,0)</f>
        <v>0</v>
      </c>
      <c r="D66" s="0" t="str">
        <f aca="false">IF(C66=1,MOD(ABS(SIN(ROW()*12.9898+'הדבקת לידים'!$F$2*78.233+IFERROR(--RIGHT(A66,6),LEN(A66))*0.0137+IFERROR(--RIGHT(B66,6),LEN(B66))*0.0071))*43758.5453,1),"")</f>
        <v/>
      </c>
      <c r="E66" s="0" t="str">
        <f aca="false">IF(C66=1,INT(MOD(ABS(SIN(D66*7919.123+ROW()*0.618+'הדבקת לידים'!$F$2*1.3))*43758.5453,1)*1000000)*10000+ROW(),"")</f>
        <v/>
      </c>
      <c r="F66" s="0" t="str">
        <f aca="false">IF(E66="","",RANK(E66,$E$2:$E$5001,1))</f>
        <v/>
      </c>
      <c r="G66" s="0" t="n">
        <f aca="false">IF(A66="",0,IF(SUMPRODUCT(--($A$2:$A$5001=A66))&gt;1,1,0))</f>
        <v>0</v>
      </c>
      <c r="H66" s="0" t="n">
        <f aca="false">ROW()-1</f>
        <v>65</v>
      </c>
      <c r="I66" s="0" t="str">
        <f aca="false">IF(OR(הגדרות!$E$6=0,H66&gt;הגדרות!$E$5),"",IF(H66-1&lt;הגדרות!$E$8*(הגדרות!$E$7+1),INT((H66-1)/(הגדרות!$E$7+1)),הגדרות!$E$8+INT((H66-1-הגדרות!$E$8*(הגדרות!$E$7+1))/הגדרות!$E$7)))</f>
        <v/>
      </c>
      <c r="J66" s="0" t="str">
        <f aca="false">IF(I66="","",IF(H66-1&lt;הגדרות!$E$8*(הגדרות!$E$7+1),MOD(H66-1,הגדרות!$E$7+1),MOD(H66-1-הגדרות!$E$8*(הגדרות!$E$7+1),הגדרות!$E$7)))</f>
        <v/>
      </c>
      <c r="K66" s="0" t="str">
        <f aca="false">IF(I66="","",J66*הגדרות!$E$6+I66+1)</f>
        <v/>
      </c>
      <c r="L66" s="0" t="str">
        <f aca="false">IF(K66="","",MATCH(K66,$F$2:$F$5001,0))</f>
        <v/>
      </c>
      <c r="M66" s="0" t="str">
        <f aca="false">IF(I66="","",INDEX(הגדרות!$A$2:$A$21,MOD(I66+הגדרות!$E$9,הגדרות!$E$6)+1))</f>
        <v/>
      </c>
    </row>
    <row r="67" customFormat="false" ht="15" hidden="false" customHeight="false" outlineLevel="0" collapsed="false">
      <c r="A67" s="0" t="str">
        <f aca="false">IF('הדבקת לידים'!A67="","",IF(ISNUMBER('הדבקת לידים'!A67),IF(הגדרות!$E$2&gt;0,TEXT('הדבקת לידים'!A67,REPT("0",הגדרות!$E$2)),TEXT('הדבקת לידים'!A67,"0")),TRIM('הדבקת לידים'!A67)))</f>
        <v/>
      </c>
      <c r="B67" s="0" t="str">
        <f aca="false">IF('הדבקת לידים'!B67="","",IF(ISNUMBER('הדבקת לידים'!B67),IF(הגדרות!$E$3&gt;0,TEXT('הדבקת לידים'!B67,REPT("0",הגדרות!$E$3)),TEXT('הדבקת לידים'!B67,"0")),TRIM('הדבקת לידים'!B67)))</f>
        <v/>
      </c>
      <c r="C67" s="0" t="n">
        <f aca="false">IF(OR(A67&lt;&gt;"",B67&lt;&gt;""),1,0)</f>
        <v>0</v>
      </c>
      <c r="D67" s="0" t="str">
        <f aca="false">IF(C67=1,MOD(ABS(SIN(ROW()*12.9898+'הדבקת לידים'!$F$2*78.233+IFERROR(--RIGHT(A67,6),LEN(A67))*0.0137+IFERROR(--RIGHT(B67,6),LEN(B67))*0.0071))*43758.5453,1),"")</f>
        <v/>
      </c>
      <c r="E67" s="0" t="str">
        <f aca="false">IF(C67=1,INT(MOD(ABS(SIN(D67*7919.123+ROW()*0.618+'הדבקת לידים'!$F$2*1.3))*43758.5453,1)*1000000)*10000+ROW(),"")</f>
        <v/>
      </c>
      <c r="F67" s="0" t="str">
        <f aca="false">IF(E67="","",RANK(E67,$E$2:$E$5001,1))</f>
        <v/>
      </c>
      <c r="G67" s="0" t="n">
        <f aca="false">IF(A67="",0,IF(SUMPRODUCT(--($A$2:$A$5001=A67))&gt;1,1,0))</f>
        <v>0</v>
      </c>
      <c r="H67" s="0" t="n">
        <f aca="false">ROW()-1</f>
        <v>66</v>
      </c>
      <c r="I67" s="0" t="str">
        <f aca="false">IF(OR(הגדרות!$E$6=0,H67&gt;הגדרות!$E$5),"",IF(H67-1&lt;הגדרות!$E$8*(הגדרות!$E$7+1),INT((H67-1)/(הגדרות!$E$7+1)),הגדרות!$E$8+INT((H67-1-הגדרות!$E$8*(הגדרות!$E$7+1))/הגדרות!$E$7)))</f>
        <v/>
      </c>
      <c r="J67" s="0" t="str">
        <f aca="false">IF(I67="","",IF(H67-1&lt;הגדרות!$E$8*(הגדרות!$E$7+1),MOD(H67-1,הגדרות!$E$7+1),MOD(H67-1-הגדרות!$E$8*(הגדרות!$E$7+1),הגדרות!$E$7)))</f>
        <v/>
      </c>
      <c r="K67" s="0" t="str">
        <f aca="false">IF(I67="","",J67*הגדרות!$E$6+I67+1)</f>
        <v/>
      </c>
      <c r="L67" s="0" t="str">
        <f aca="false">IF(K67="","",MATCH(K67,$F$2:$F$5001,0))</f>
        <v/>
      </c>
      <c r="M67" s="0" t="str">
        <f aca="false">IF(I67="","",INDEX(הגדרות!$A$2:$A$21,MOD(I67+הגדרות!$E$9,הגדרות!$E$6)+1))</f>
        <v/>
      </c>
    </row>
    <row r="68" customFormat="false" ht="15" hidden="false" customHeight="false" outlineLevel="0" collapsed="false">
      <c r="A68" s="0" t="str">
        <f aca="false">IF('הדבקת לידים'!A68="","",IF(ISNUMBER('הדבקת לידים'!A68),IF(הגדרות!$E$2&gt;0,TEXT('הדבקת לידים'!A68,REPT("0",הגדרות!$E$2)),TEXT('הדבקת לידים'!A68,"0")),TRIM('הדבקת לידים'!A68)))</f>
        <v/>
      </c>
      <c r="B68" s="0" t="str">
        <f aca="false">IF('הדבקת לידים'!B68="","",IF(ISNUMBER('הדבקת לידים'!B68),IF(הגדרות!$E$3&gt;0,TEXT('הדבקת לידים'!B68,REPT("0",הגדרות!$E$3)),TEXT('הדבקת לידים'!B68,"0")),TRIM('הדבקת לידים'!B68)))</f>
        <v/>
      </c>
      <c r="C68" s="0" t="n">
        <f aca="false">IF(OR(A68&lt;&gt;"",B68&lt;&gt;""),1,0)</f>
        <v>0</v>
      </c>
      <c r="D68" s="0" t="str">
        <f aca="false">IF(C68=1,MOD(ABS(SIN(ROW()*12.9898+'הדבקת לידים'!$F$2*78.233+IFERROR(--RIGHT(A68,6),LEN(A68))*0.0137+IFERROR(--RIGHT(B68,6),LEN(B68))*0.0071))*43758.5453,1),"")</f>
        <v/>
      </c>
      <c r="E68" s="0" t="str">
        <f aca="false">IF(C68=1,INT(MOD(ABS(SIN(D68*7919.123+ROW()*0.618+'הדבקת לידים'!$F$2*1.3))*43758.5453,1)*1000000)*10000+ROW(),"")</f>
        <v/>
      </c>
      <c r="F68" s="0" t="str">
        <f aca="false">IF(E68="","",RANK(E68,$E$2:$E$5001,1))</f>
        <v/>
      </c>
      <c r="G68" s="0" t="n">
        <f aca="false">IF(A68="",0,IF(SUMPRODUCT(--($A$2:$A$5001=A68))&gt;1,1,0))</f>
        <v>0</v>
      </c>
      <c r="H68" s="0" t="n">
        <f aca="false">ROW()-1</f>
        <v>67</v>
      </c>
      <c r="I68" s="0" t="str">
        <f aca="false">IF(OR(הגדרות!$E$6=0,H68&gt;הגדרות!$E$5),"",IF(H68-1&lt;הגדרות!$E$8*(הגדרות!$E$7+1),INT((H68-1)/(הגדרות!$E$7+1)),הגדרות!$E$8+INT((H68-1-הגדרות!$E$8*(הגדרות!$E$7+1))/הגדרות!$E$7)))</f>
        <v/>
      </c>
      <c r="J68" s="0" t="str">
        <f aca="false">IF(I68="","",IF(H68-1&lt;הגדרות!$E$8*(הגדרות!$E$7+1),MOD(H68-1,הגדרות!$E$7+1),MOD(H68-1-הגדרות!$E$8*(הגדרות!$E$7+1),הגדרות!$E$7)))</f>
        <v/>
      </c>
      <c r="K68" s="0" t="str">
        <f aca="false">IF(I68="","",J68*הגדרות!$E$6+I68+1)</f>
        <v/>
      </c>
      <c r="L68" s="0" t="str">
        <f aca="false">IF(K68="","",MATCH(K68,$F$2:$F$5001,0))</f>
        <v/>
      </c>
      <c r="M68" s="0" t="str">
        <f aca="false">IF(I68="","",INDEX(הגדרות!$A$2:$A$21,MOD(I68+הגדרות!$E$9,הגדרות!$E$6)+1))</f>
        <v/>
      </c>
    </row>
    <row r="69" customFormat="false" ht="15" hidden="false" customHeight="false" outlineLevel="0" collapsed="false">
      <c r="A69" s="0" t="str">
        <f aca="false">IF('הדבקת לידים'!A69="","",IF(ISNUMBER('הדבקת לידים'!A69),IF(הגדרות!$E$2&gt;0,TEXT('הדבקת לידים'!A69,REPT("0",הגדרות!$E$2)),TEXT('הדבקת לידים'!A69,"0")),TRIM('הדבקת לידים'!A69)))</f>
        <v/>
      </c>
      <c r="B69" s="0" t="str">
        <f aca="false">IF('הדבקת לידים'!B69="","",IF(ISNUMBER('הדבקת לידים'!B69),IF(הגדרות!$E$3&gt;0,TEXT('הדבקת לידים'!B69,REPT("0",הגדרות!$E$3)),TEXT('הדבקת לידים'!B69,"0")),TRIM('הדבקת לידים'!B69)))</f>
        <v/>
      </c>
      <c r="C69" s="0" t="n">
        <f aca="false">IF(OR(A69&lt;&gt;"",B69&lt;&gt;""),1,0)</f>
        <v>0</v>
      </c>
      <c r="D69" s="0" t="str">
        <f aca="false">IF(C69=1,MOD(ABS(SIN(ROW()*12.9898+'הדבקת לידים'!$F$2*78.233+IFERROR(--RIGHT(A69,6),LEN(A69))*0.0137+IFERROR(--RIGHT(B69,6),LEN(B69))*0.0071))*43758.5453,1),"")</f>
        <v/>
      </c>
      <c r="E69" s="0" t="str">
        <f aca="false">IF(C69=1,INT(MOD(ABS(SIN(D69*7919.123+ROW()*0.618+'הדבקת לידים'!$F$2*1.3))*43758.5453,1)*1000000)*10000+ROW(),"")</f>
        <v/>
      </c>
      <c r="F69" s="0" t="str">
        <f aca="false">IF(E69="","",RANK(E69,$E$2:$E$5001,1))</f>
        <v/>
      </c>
      <c r="G69" s="0" t="n">
        <f aca="false">IF(A69="",0,IF(SUMPRODUCT(--($A$2:$A$5001=A69))&gt;1,1,0))</f>
        <v>0</v>
      </c>
      <c r="H69" s="0" t="n">
        <f aca="false">ROW()-1</f>
        <v>68</v>
      </c>
      <c r="I69" s="0" t="str">
        <f aca="false">IF(OR(הגדרות!$E$6=0,H69&gt;הגדרות!$E$5),"",IF(H69-1&lt;הגדרות!$E$8*(הגדרות!$E$7+1),INT((H69-1)/(הגדרות!$E$7+1)),הגדרות!$E$8+INT((H69-1-הגדרות!$E$8*(הגדרות!$E$7+1))/הגדרות!$E$7)))</f>
        <v/>
      </c>
      <c r="J69" s="0" t="str">
        <f aca="false">IF(I69="","",IF(H69-1&lt;הגדרות!$E$8*(הגדרות!$E$7+1),MOD(H69-1,הגדרות!$E$7+1),MOD(H69-1-הגדרות!$E$8*(הגדרות!$E$7+1),הגדרות!$E$7)))</f>
        <v/>
      </c>
      <c r="K69" s="0" t="str">
        <f aca="false">IF(I69="","",J69*הגדרות!$E$6+I69+1)</f>
        <v/>
      </c>
      <c r="L69" s="0" t="str">
        <f aca="false">IF(K69="","",MATCH(K69,$F$2:$F$5001,0))</f>
        <v/>
      </c>
      <c r="M69" s="0" t="str">
        <f aca="false">IF(I69="","",INDEX(הגדרות!$A$2:$A$21,MOD(I69+הגדרות!$E$9,הגדרות!$E$6)+1))</f>
        <v/>
      </c>
    </row>
    <row r="70" customFormat="false" ht="15" hidden="false" customHeight="false" outlineLevel="0" collapsed="false">
      <c r="A70" s="0" t="str">
        <f aca="false">IF('הדבקת לידים'!A70="","",IF(ISNUMBER('הדבקת לידים'!A70),IF(הגדרות!$E$2&gt;0,TEXT('הדבקת לידים'!A70,REPT("0",הגדרות!$E$2)),TEXT('הדבקת לידים'!A70,"0")),TRIM('הדבקת לידים'!A70)))</f>
        <v/>
      </c>
      <c r="B70" s="0" t="str">
        <f aca="false">IF('הדבקת לידים'!B70="","",IF(ISNUMBER('הדבקת לידים'!B70),IF(הגדרות!$E$3&gt;0,TEXT('הדבקת לידים'!B70,REPT("0",הגדרות!$E$3)),TEXT('הדבקת לידים'!B70,"0")),TRIM('הדבקת לידים'!B70)))</f>
        <v/>
      </c>
      <c r="C70" s="0" t="n">
        <f aca="false">IF(OR(A70&lt;&gt;"",B70&lt;&gt;""),1,0)</f>
        <v>0</v>
      </c>
      <c r="D70" s="0" t="str">
        <f aca="false">IF(C70=1,MOD(ABS(SIN(ROW()*12.9898+'הדבקת לידים'!$F$2*78.233+IFERROR(--RIGHT(A70,6),LEN(A70))*0.0137+IFERROR(--RIGHT(B70,6),LEN(B70))*0.0071))*43758.5453,1),"")</f>
        <v/>
      </c>
      <c r="E70" s="0" t="str">
        <f aca="false">IF(C70=1,INT(MOD(ABS(SIN(D70*7919.123+ROW()*0.618+'הדבקת לידים'!$F$2*1.3))*43758.5453,1)*1000000)*10000+ROW(),"")</f>
        <v/>
      </c>
      <c r="F70" s="0" t="str">
        <f aca="false">IF(E70="","",RANK(E70,$E$2:$E$5001,1))</f>
        <v/>
      </c>
      <c r="G70" s="0" t="n">
        <f aca="false">IF(A70="",0,IF(SUMPRODUCT(--($A$2:$A$5001=A70))&gt;1,1,0))</f>
        <v>0</v>
      </c>
      <c r="H70" s="0" t="n">
        <f aca="false">ROW()-1</f>
        <v>69</v>
      </c>
      <c r="I70" s="0" t="str">
        <f aca="false">IF(OR(הגדרות!$E$6=0,H70&gt;הגדרות!$E$5),"",IF(H70-1&lt;הגדרות!$E$8*(הגדרות!$E$7+1),INT((H70-1)/(הגדרות!$E$7+1)),הגדרות!$E$8+INT((H70-1-הגדרות!$E$8*(הגדרות!$E$7+1))/הגדרות!$E$7)))</f>
        <v/>
      </c>
      <c r="J70" s="0" t="str">
        <f aca="false">IF(I70="","",IF(H70-1&lt;הגדרות!$E$8*(הגדרות!$E$7+1),MOD(H70-1,הגדרות!$E$7+1),MOD(H70-1-הגדרות!$E$8*(הגדרות!$E$7+1),הגדרות!$E$7)))</f>
        <v/>
      </c>
      <c r="K70" s="0" t="str">
        <f aca="false">IF(I70="","",J70*הגדרות!$E$6+I70+1)</f>
        <v/>
      </c>
      <c r="L70" s="0" t="str">
        <f aca="false">IF(K70="","",MATCH(K70,$F$2:$F$5001,0))</f>
        <v/>
      </c>
      <c r="M70" s="0" t="str">
        <f aca="false">IF(I70="","",INDEX(הגדרות!$A$2:$A$21,MOD(I70+הגדרות!$E$9,הגדרות!$E$6)+1))</f>
        <v/>
      </c>
    </row>
    <row r="71" customFormat="false" ht="15" hidden="false" customHeight="false" outlineLevel="0" collapsed="false">
      <c r="A71" s="0" t="str">
        <f aca="false">IF('הדבקת לידים'!A71="","",IF(ISNUMBER('הדבקת לידים'!A71),IF(הגדרות!$E$2&gt;0,TEXT('הדבקת לידים'!A71,REPT("0",הגדרות!$E$2)),TEXT('הדבקת לידים'!A71,"0")),TRIM('הדבקת לידים'!A71)))</f>
        <v/>
      </c>
      <c r="B71" s="0" t="str">
        <f aca="false">IF('הדבקת לידים'!B71="","",IF(ISNUMBER('הדבקת לידים'!B71),IF(הגדרות!$E$3&gt;0,TEXT('הדבקת לידים'!B71,REPT("0",הגדרות!$E$3)),TEXT('הדבקת לידים'!B71,"0")),TRIM('הדבקת לידים'!B71)))</f>
        <v/>
      </c>
      <c r="C71" s="0" t="n">
        <f aca="false">IF(OR(A71&lt;&gt;"",B71&lt;&gt;""),1,0)</f>
        <v>0</v>
      </c>
      <c r="D71" s="0" t="str">
        <f aca="false">IF(C71=1,MOD(ABS(SIN(ROW()*12.9898+'הדבקת לידים'!$F$2*78.233+IFERROR(--RIGHT(A71,6),LEN(A71))*0.0137+IFERROR(--RIGHT(B71,6),LEN(B71))*0.0071))*43758.5453,1),"")</f>
        <v/>
      </c>
      <c r="E71" s="0" t="str">
        <f aca="false">IF(C71=1,INT(MOD(ABS(SIN(D71*7919.123+ROW()*0.618+'הדבקת לידים'!$F$2*1.3))*43758.5453,1)*1000000)*10000+ROW(),"")</f>
        <v/>
      </c>
      <c r="F71" s="0" t="str">
        <f aca="false">IF(E71="","",RANK(E71,$E$2:$E$5001,1))</f>
        <v/>
      </c>
      <c r="G71" s="0" t="n">
        <f aca="false">IF(A71="",0,IF(SUMPRODUCT(--($A$2:$A$5001=A71))&gt;1,1,0))</f>
        <v>0</v>
      </c>
      <c r="H71" s="0" t="n">
        <f aca="false">ROW()-1</f>
        <v>70</v>
      </c>
      <c r="I71" s="0" t="str">
        <f aca="false">IF(OR(הגדרות!$E$6=0,H71&gt;הגדרות!$E$5),"",IF(H71-1&lt;הגדרות!$E$8*(הגדרות!$E$7+1),INT((H71-1)/(הגדרות!$E$7+1)),הגדרות!$E$8+INT((H71-1-הגדרות!$E$8*(הגדרות!$E$7+1))/הגדרות!$E$7)))</f>
        <v/>
      </c>
      <c r="J71" s="0" t="str">
        <f aca="false">IF(I71="","",IF(H71-1&lt;הגדרות!$E$8*(הגדרות!$E$7+1),MOD(H71-1,הגדרות!$E$7+1),MOD(H71-1-הגדרות!$E$8*(הגדרות!$E$7+1),הגדרות!$E$7)))</f>
        <v/>
      </c>
      <c r="K71" s="0" t="str">
        <f aca="false">IF(I71="","",J71*הגדרות!$E$6+I71+1)</f>
        <v/>
      </c>
      <c r="L71" s="0" t="str">
        <f aca="false">IF(K71="","",MATCH(K71,$F$2:$F$5001,0))</f>
        <v/>
      </c>
      <c r="M71" s="0" t="str">
        <f aca="false">IF(I71="","",INDEX(הגדרות!$A$2:$A$21,MOD(I71+הגדרות!$E$9,הגדרות!$E$6)+1))</f>
        <v/>
      </c>
    </row>
    <row r="72" customFormat="false" ht="15" hidden="false" customHeight="false" outlineLevel="0" collapsed="false">
      <c r="A72" s="0" t="str">
        <f aca="false">IF('הדבקת לידים'!A72="","",IF(ISNUMBER('הדבקת לידים'!A72),IF(הגדרות!$E$2&gt;0,TEXT('הדבקת לידים'!A72,REPT("0",הגדרות!$E$2)),TEXT('הדבקת לידים'!A72,"0")),TRIM('הדבקת לידים'!A72)))</f>
        <v/>
      </c>
      <c r="B72" s="0" t="str">
        <f aca="false">IF('הדבקת לידים'!B72="","",IF(ISNUMBER('הדבקת לידים'!B72),IF(הגדרות!$E$3&gt;0,TEXT('הדבקת לידים'!B72,REPT("0",הגדרות!$E$3)),TEXT('הדבקת לידים'!B72,"0")),TRIM('הדבקת לידים'!B72)))</f>
        <v/>
      </c>
      <c r="C72" s="0" t="n">
        <f aca="false">IF(OR(A72&lt;&gt;"",B72&lt;&gt;""),1,0)</f>
        <v>0</v>
      </c>
      <c r="D72" s="0" t="str">
        <f aca="false">IF(C72=1,MOD(ABS(SIN(ROW()*12.9898+'הדבקת לידים'!$F$2*78.233+IFERROR(--RIGHT(A72,6),LEN(A72))*0.0137+IFERROR(--RIGHT(B72,6),LEN(B72))*0.0071))*43758.5453,1),"")</f>
        <v/>
      </c>
      <c r="E72" s="0" t="str">
        <f aca="false">IF(C72=1,INT(MOD(ABS(SIN(D72*7919.123+ROW()*0.618+'הדבקת לידים'!$F$2*1.3))*43758.5453,1)*1000000)*10000+ROW(),"")</f>
        <v/>
      </c>
      <c r="F72" s="0" t="str">
        <f aca="false">IF(E72="","",RANK(E72,$E$2:$E$5001,1))</f>
        <v/>
      </c>
      <c r="G72" s="0" t="n">
        <f aca="false">IF(A72="",0,IF(SUMPRODUCT(--($A$2:$A$5001=A72))&gt;1,1,0))</f>
        <v>0</v>
      </c>
      <c r="H72" s="0" t="n">
        <f aca="false">ROW()-1</f>
        <v>71</v>
      </c>
      <c r="I72" s="0" t="str">
        <f aca="false">IF(OR(הגדרות!$E$6=0,H72&gt;הגדרות!$E$5),"",IF(H72-1&lt;הגדרות!$E$8*(הגדרות!$E$7+1),INT((H72-1)/(הגדרות!$E$7+1)),הגדרות!$E$8+INT((H72-1-הגדרות!$E$8*(הגדרות!$E$7+1))/הגדרות!$E$7)))</f>
        <v/>
      </c>
      <c r="J72" s="0" t="str">
        <f aca="false">IF(I72="","",IF(H72-1&lt;הגדרות!$E$8*(הגדרות!$E$7+1),MOD(H72-1,הגדרות!$E$7+1),MOD(H72-1-הגדרות!$E$8*(הגדרות!$E$7+1),הגדרות!$E$7)))</f>
        <v/>
      </c>
      <c r="K72" s="0" t="str">
        <f aca="false">IF(I72="","",J72*הגדרות!$E$6+I72+1)</f>
        <v/>
      </c>
      <c r="L72" s="0" t="str">
        <f aca="false">IF(K72="","",MATCH(K72,$F$2:$F$5001,0))</f>
        <v/>
      </c>
      <c r="M72" s="0" t="str">
        <f aca="false">IF(I72="","",INDEX(הגדרות!$A$2:$A$21,MOD(I72+הגדרות!$E$9,הגדרות!$E$6)+1))</f>
        <v/>
      </c>
    </row>
    <row r="73" customFormat="false" ht="15" hidden="false" customHeight="false" outlineLevel="0" collapsed="false">
      <c r="A73" s="0" t="str">
        <f aca="false">IF('הדבקת לידים'!A73="","",IF(ISNUMBER('הדבקת לידים'!A73),IF(הגדרות!$E$2&gt;0,TEXT('הדבקת לידים'!A73,REPT("0",הגדרות!$E$2)),TEXT('הדבקת לידים'!A73,"0")),TRIM('הדבקת לידים'!A73)))</f>
        <v/>
      </c>
      <c r="B73" s="0" t="str">
        <f aca="false">IF('הדבקת לידים'!B73="","",IF(ISNUMBER('הדבקת לידים'!B73),IF(הגדרות!$E$3&gt;0,TEXT('הדבקת לידים'!B73,REPT("0",הגדרות!$E$3)),TEXT('הדבקת לידים'!B73,"0")),TRIM('הדבקת לידים'!B73)))</f>
        <v/>
      </c>
      <c r="C73" s="0" t="n">
        <f aca="false">IF(OR(A73&lt;&gt;"",B73&lt;&gt;""),1,0)</f>
        <v>0</v>
      </c>
      <c r="D73" s="0" t="str">
        <f aca="false">IF(C73=1,MOD(ABS(SIN(ROW()*12.9898+'הדבקת לידים'!$F$2*78.233+IFERROR(--RIGHT(A73,6),LEN(A73))*0.0137+IFERROR(--RIGHT(B73,6),LEN(B73))*0.0071))*43758.5453,1),"")</f>
        <v/>
      </c>
      <c r="E73" s="0" t="str">
        <f aca="false">IF(C73=1,INT(MOD(ABS(SIN(D73*7919.123+ROW()*0.618+'הדבקת לידים'!$F$2*1.3))*43758.5453,1)*1000000)*10000+ROW(),"")</f>
        <v/>
      </c>
      <c r="F73" s="0" t="str">
        <f aca="false">IF(E73="","",RANK(E73,$E$2:$E$5001,1))</f>
        <v/>
      </c>
      <c r="G73" s="0" t="n">
        <f aca="false">IF(A73="",0,IF(SUMPRODUCT(--($A$2:$A$5001=A73))&gt;1,1,0))</f>
        <v>0</v>
      </c>
      <c r="H73" s="0" t="n">
        <f aca="false">ROW()-1</f>
        <v>72</v>
      </c>
      <c r="I73" s="0" t="str">
        <f aca="false">IF(OR(הגדרות!$E$6=0,H73&gt;הגדרות!$E$5),"",IF(H73-1&lt;הגדרות!$E$8*(הגדרות!$E$7+1),INT((H73-1)/(הגדרות!$E$7+1)),הגדרות!$E$8+INT((H73-1-הגדרות!$E$8*(הגדרות!$E$7+1))/הגדרות!$E$7)))</f>
        <v/>
      </c>
      <c r="J73" s="0" t="str">
        <f aca="false">IF(I73="","",IF(H73-1&lt;הגדרות!$E$8*(הגדרות!$E$7+1),MOD(H73-1,הגדרות!$E$7+1),MOD(H73-1-הגדרות!$E$8*(הגדרות!$E$7+1),הגדרות!$E$7)))</f>
        <v/>
      </c>
      <c r="K73" s="0" t="str">
        <f aca="false">IF(I73="","",J73*הגדרות!$E$6+I73+1)</f>
        <v/>
      </c>
      <c r="L73" s="0" t="str">
        <f aca="false">IF(K73="","",MATCH(K73,$F$2:$F$5001,0))</f>
        <v/>
      </c>
      <c r="M73" s="0" t="str">
        <f aca="false">IF(I73="","",INDEX(הגדרות!$A$2:$A$21,MOD(I73+הגדרות!$E$9,הגדרות!$E$6)+1))</f>
        <v/>
      </c>
    </row>
    <row r="74" customFormat="false" ht="15" hidden="false" customHeight="false" outlineLevel="0" collapsed="false">
      <c r="A74" s="0" t="str">
        <f aca="false">IF('הדבקת לידים'!A74="","",IF(ISNUMBER('הדבקת לידים'!A74),IF(הגדרות!$E$2&gt;0,TEXT('הדבקת לידים'!A74,REPT("0",הגדרות!$E$2)),TEXT('הדבקת לידים'!A74,"0")),TRIM('הדבקת לידים'!A74)))</f>
        <v/>
      </c>
      <c r="B74" s="0" t="str">
        <f aca="false">IF('הדבקת לידים'!B74="","",IF(ISNUMBER('הדבקת לידים'!B74),IF(הגדרות!$E$3&gt;0,TEXT('הדבקת לידים'!B74,REPT("0",הגדרות!$E$3)),TEXT('הדבקת לידים'!B74,"0")),TRIM('הדבקת לידים'!B74)))</f>
        <v/>
      </c>
      <c r="C74" s="0" t="n">
        <f aca="false">IF(OR(A74&lt;&gt;"",B74&lt;&gt;""),1,0)</f>
        <v>0</v>
      </c>
      <c r="D74" s="0" t="str">
        <f aca="false">IF(C74=1,MOD(ABS(SIN(ROW()*12.9898+'הדבקת לידים'!$F$2*78.233+IFERROR(--RIGHT(A74,6),LEN(A74))*0.0137+IFERROR(--RIGHT(B74,6),LEN(B74))*0.0071))*43758.5453,1),"")</f>
        <v/>
      </c>
      <c r="E74" s="0" t="str">
        <f aca="false">IF(C74=1,INT(MOD(ABS(SIN(D74*7919.123+ROW()*0.618+'הדבקת לידים'!$F$2*1.3))*43758.5453,1)*1000000)*10000+ROW(),"")</f>
        <v/>
      </c>
      <c r="F74" s="0" t="str">
        <f aca="false">IF(E74="","",RANK(E74,$E$2:$E$5001,1))</f>
        <v/>
      </c>
      <c r="G74" s="0" t="n">
        <f aca="false">IF(A74="",0,IF(SUMPRODUCT(--($A$2:$A$5001=A74))&gt;1,1,0))</f>
        <v>0</v>
      </c>
      <c r="H74" s="0" t="n">
        <f aca="false">ROW()-1</f>
        <v>73</v>
      </c>
      <c r="I74" s="0" t="str">
        <f aca="false">IF(OR(הגדרות!$E$6=0,H74&gt;הגדרות!$E$5),"",IF(H74-1&lt;הגדרות!$E$8*(הגדרות!$E$7+1),INT((H74-1)/(הגדרות!$E$7+1)),הגדרות!$E$8+INT((H74-1-הגדרות!$E$8*(הגדרות!$E$7+1))/הגדרות!$E$7)))</f>
        <v/>
      </c>
      <c r="J74" s="0" t="str">
        <f aca="false">IF(I74="","",IF(H74-1&lt;הגדרות!$E$8*(הגדרות!$E$7+1),MOD(H74-1,הגדרות!$E$7+1),MOD(H74-1-הגדרות!$E$8*(הגדרות!$E$7+1),הגדרות!$E$7)))</f>
        <v/>
      </c>
      <c r="K74" s="0" t="str">
        <f aca="false">IF(I74="","",J74*הגדרות!$E$6+I74+1)</f>
        <v/>
      </c>
      <c r="L74" s="0" t="str">
        <f aca="false">IF(K74="","",MATCH(K74,$F$2:$F$5001,0))</f>
        <v/>
      </c>
      <c r="M74" s="0" t="str">
        <f aca="false">IF(I74="","",INDEX(הגדרות!$A$2:$A$21,MOD(I74+הגדרות!$E$9,הגדרות!$E$6)+1))</f>
        <v/>
      </c>
    </row>
    <row r="75" customFormat="false" ht="15" hidden="false" customHeight="false" outlineLevel="0" collapsed="false">
      <c r="A75" s="0" t="str">
        <f aca="false">IF('הדבקת לידים'!A75="","",IF(ISNUMBER('הדבקת לידים'!A75),IF(הגדרות!$E$2&gt;0,TEXT('הדבקת לידים'!A75,REPT("0",הגדרות!$E$2)),TEXT('הדבקת לידים'!A75,"0")),TRIM('הדבקת לידים'!A75)))</f>
        <v/>
      </c>
      <c r="B75" s="0" t="str">
        <f aca="false">IF('הדבקת לידים'!B75="","",IF(ISNUMBER('הדבקת לידים'!B75),IF(הגדרות!$E$3&gt;0,TEXT('הדבקת לידים'!B75,REPT("0",הגדרות!$E$3)),TEXT('הדבקת לידים'!B75,"0")),TRIM('הדבקת לידים'!B75)))</f>
        <v/>
      </c>
      <c r="C75" s="0" t="n">
        <f aca="false">IF(OR(A75&lt;&gt;"",B75&lt;&gt;""),1,0)</f>
        <v>0</v>
      </c>
      <c r="D75" s="0" t="str">
        <f aca="false">IF(C75=1,MOD(ABS(SIN(ROW()*12.9898+'הדבקת לידים'!$F$2*78.233+IFERROR(--RIGHT(A75,6),LEN(A75))*0.0137+IFERROR(--RIGHT(B75,6),LEN(B75))*0.0071))*43758.5453,1),"")</f>
        <v/>
      </c>
      <c r="E75" s="0" t="str">
        <f aca="false">IF(C75=1,INT(MOD(ABS(SIN(D75*7919.123+ROW()*0.618+'הדבקת לידים'!$F$2*1.3))*43758.5453,1)*1000000)*10000+ROW(),"")</f>
        <v/>
      </c>
      <c r="F75" s="0" t="str">
        <f aca="false">IF(E75="","",RANK(E75,$E$2:$E$5001,1))</f>
        <v/>
      </c>
      <c r="G75" s="0" t="n">
        <f aca="false">IF(A75="",0,IF(SUMPRODUCT(--($A$2:$A$5001=A75))&gt;1,1,0))</f>
        <v>0</v>
      </c>
      <c r="H75" s="0" t="n">
        <f aca="false">ROW()-1</f>
        <v>74</v>
      </c>
      <c r="I75" s="0" t="str">
        <f aca="false">IF(OR(הגדרות!$E$6=0,H75&gt;הגדרות!$E$5),"",IF(H75-1&lt;הגדרות!$E$8*(הגדרות!$E$7+1),INT((H75-1)/(הגדרות!$E$7+1)),הגדרות!$E$8+INT((H75-1-הגדרות!$E$8*(הגדרות!$E$7+1))/הגדרות!$E$7)))</f>
        <v/>
      </c>
      <c r="J75" s="0" t="str">
        <f aca="false">IF(I75="","",IF(H75-1&lt;הגדרות!$E$8*(הגדרות!$E$7+1),MOD(H75-1,הגדרות!$E$7+1),MOD(H75-1-הגדרות!$E$8*(הגדרות!$E$7+1),הגדרות!$E$7)))</f>
        <v/>
      </c>
      <c r="K75" s="0" t="str">
        <f aca="false">IF(I75="","",J75*הגדרות!$E$6+I75+1)</f>
        <v/>
      </c>
      <c r="L75" s="0" t="str">
        <f aca="false">IF(K75="","",MATCH(K75,$F$2:$F$5001,0))</f>
        <v/>
      </c>
      <c r="M75" s="0" t="str">
        <f aca="false">IF(I75="","",INDEX(הגדרות!$A$2:$A$21,MOD(I75+הגדרות!$E$9,הגדרות!$E$6)+1))</f>
        <v/>
      </c>
    </row>
    <row r="76" customFormat="false" ht="15" hidden="false" customHeight="false" outlineLevel="0" collapsed="false">
      <c r="A76" s="0" t="str">
        <f aca="false">IF('הדבקת לידים'!A76="","",IF(ISNUMBER('הדבקת לידים'!A76),IF(הגדרות!$E$2&gt;0,TEXT('הדבקת לידים'!A76,REPT("0",הגדרות!$E$2)),TEXT('הדבקת לידים'!A76,"0")),TRIM('הדבקת לידים'!A76)))</f>
        <v/>
      </c>
      <c r="B76" s="0" t="str">
        <f aca="false">IF('הדבקת לידים'!B76="","",IF(ISNUMBER('הדבקת לידים'!B76),IF(הגדרות!$E$3&gt;0,TEXT('הדבקת לידים'!B76,REPT("0",הגדרות!$E$3)),TEXT('הדבקת לידים'!B76,"0")),TRIM('הדבקת לידים'!B76)))</f>
        <v/>
      </c>
      <c r="C76" s="0" t="n">
        <f aca="false">IF(OR(A76&lt;&gt;"",B76&lt;&gt;""),1,0)</f>
        <v>0</v>
      </c>
      <c r="D76" s="0" t="str">
        <f aca="false">IF(C76=1,MOD(ABS(SIN(ROW()*12.9898+'הדבקת לידים'!$F$2*78.233+IFERROR(--RIGHT(A76,6),LEN(A76))*0.0137+IFERROR(--RIGHT(B76,6),LEN(B76))*0.0071))*43758.5453,1),"")</f>
        <v/>
      </c>
      <c r="E76" s="0" t="str">
        <f aca="false">IF(C76=1,INT(MOD(ABS(SIN(D76*7919.123+ROW()*0.618+'הדבקת לידים'!$F$2*1.3))*43758.5453,1)*1000000)*10000+ROW(),"")</f>
        <v/>
      </c>
      <c r="F76" s="0" t="str">
        <f aca="false">IF(E76="","",RANK(E76,$E$2:$E$5001,1))</f>
        <v/>
      </c>
      <c r="G76" s="0" t="n">
        <f aca="false">IF(A76="",0,IF(SUMPRODUCT(--($A$2:$A$5001=A76))&gt;1,1,0))</f>
        <v>0</v>
      </c>
      <c r="H76" s="0" t="n">
        <f aca="false">ROW()-1</f>
        <v>75</v>
      </c>
      <c r="I76" s="0" t="str">
        <f aca="false">IF(OR(הגדרות!$E$6=0,H76&gt;הגדרות!$E$5),"",IF(H76-1&lt;הגדרות!$E$8*(הגדרות!$E$7+1),INT((H76-1)/(הגדרות!$E$7+1)),הגדרות!$E$8+INT((H76-1-הגדרות!$E$8*(הגדרות!$E$7+1))/הגדרות!$E$7)))</f>
        <v/>
      </c>
      <c r="J76" s="0" t="str">
        <f aca="false">IF(I76="","",IF(H76-1&lt;הגדרות!$E$8*(הגדרות!$E$7+1),MOD(H76-1,הגדרות!$E$7+1),MOD(H76-1-הגדרות!$E$8*(הגדרות!$E$7+1),הגדרות!$E$7)))</f>
        <v/>
      </c>
      <c r="K76" s="0" t="str">
        <f aca="false">IF(I76="","",J76*הגדרות!$E$6+I76+1)</f>
        <v/>
      </c>
      <c r="L76" s="0" t="str">
        <f aca="false">IF(K76="","",MATCH(K76,$F$2:$F$5001,0))</f>
        <v/>
      </c>
      <c r="M76" s="0" t="str">
        <f aca="false">IF(I76="","",INDEX(הגדרות!$A$2:$A$21,MOD(I76+הגדרות!$E$9,הגדרות!$E$6)+1))</f>
        <v/>
      </c>
    </row>
    <row r="77" customFormat="false" ht="15" hidden="false" customHeight="false" outlineLevel="0" collapsed="false">
      <c r="A77" s="0" t="str">
        <f aca="false">IF('הדבקת לידים'!A77="","",IF(ISNUMBER('הדבקת לידים'!A77),IF(הגדרות!$E$2&gt;0,TEXT('הדבקת לידים'!A77,REPT("0",הגדרות!$E$2)),TEXT('הדבקת לידים'!A77,"0")),TRIM('הדבקת לידים'!A77)))</f>
        <v/>
      </c>
      <c r="B77" s="0" t="str">
        <f aca="false">IF('הדבקת לידים'!B77="","",IF(ISNUMBER('הדבקת לידים'!B77),IF(הגדרות!$E$3&gt;0,TEXT('הדבקת לידים'!B77,REPT("0",הגדרות!$E$3)),TEXT('הדבקת לידים'!B77,"0")),TRIM('הדבקת לידים'!B77)))</f>
        <v/>
      </c>
      <c r="C77" s="0" t="n">
        <f aca="false">IF(OR(A77&lt;&gt;"",B77&lt;&gt;""),1,0)</f>
        <v>0</v>
      </c>
      <c r="D77" s="0" t="str">
        <f aca="false">IF(C77=1,MOD(ABS(SIN(ROW()*12.9898+'הדבקת לידים'!$F$2*78.233+IFERROR(--RIGHT(A77,6),LEN(A77))*0.0137+IFERROR(--RIGHT(B77,6),LEN(B77))*0.0071))*43758.5453,1),"")</f>
        <v/>
      </c>
      <c r="E77" s="0" t="str">
        <f aca="false">IF(C77=1,INT(MOD(ABS(SIN(D77*7919.123+ROW()*0.618+'הדבקת לידים'!$F$2*1.3))*43758.5453,1)*1000000)*10000+ROW(),"")</f>
        <v/>
      </c>
      <c r="F77" s="0" t="str">
        <f aca="false">IF(E77="","",RANK(E77,$E$2:$E$5001,1))</f>
        <v/>
      </c>
      <c r="G77" s="0" t="n">
        <f aca="false">IF(A77="",0,IF(SUMPRODUCT(--($A$2:$A$5001=A77))&gt;1,1,0))</f>
        <v>0</v>
      </c>
      <c r="H77" s="0" t="n">
        <f aca="false">ROW()-1</f>
        <v>76</v>
      </c>
      <c r="I77" s="0" t="str">
        <f aca="false">IF(OR(הגדרות!$E$6=0,H77&gt;הגדרות!$E$5),"",IF(H77-1&lt;הגדרות!$E$8*(הגדרות!$E$7+1),INT((H77-1)/(הגדרות!$E$7+1)),הגדרות!$E$8+INT((H77-1-הגדרות!$E$8*(הגדרות!$E$7+1))/הגדרות!$E$7)))</f>
        <v/>
      </c>
      <c r="J77" s="0" t="str">
        <f aca="false">IF(I77="","",IF(H77-1&lt;הגדרות!$E$8*(הגדרות!$E$7+1),MOD(H77-1,הגדרות!$E$7+1),MOD(H77-1-הגדרות!$E$8*(הגדרות!$E$7+1),הגדרות!$E$7)))</f>
        <v/>
      </c>
      <c r="K77" s="0" t="str">
        <f aca="false">IF(I77="","",J77*הגדרות!$E$6+I77+1)</f>
        <v/>
      </c>
      <c r="L77" s="0" t="str">
        <f aca="false">IF(K77="","",MATCH(K77,$F$2:$F$5001,0))</f>
        <v/>
      </c>
      <c r="M77" s="0" t="str">
        <f aca="false">IF(I77="","",INDEX(הגדרות!$A$2:$A$21,MOD(I77+הגדרות!$E$9,הגדרות!$E$6)+1))</f>
        <v/>
      </c>
    </row>
    <row r="78" customFormat="false" ht="15" hidden="false" customHeight="false" outlineLevel="0" collapsed="false">
      <c r="A78" s="0" t="str">
        <f aca="false">IF('הדבקת לידים'!A78="","",IF(ISNUMBER('הדבקת לידים'!A78),IF(הגדרות!$E$2&gt;0,TEXT('הדבקת לידים'!A78,REPT("0",הגדרות!$E$2)),TEXT('הדבקת לידים'!A78,"0")),TRIM('הדבקת לידים'!A78)))</f>
        <v/>
      </c>
      <c r="B78" s="0" t="str">
        <f aca="false">IF('הדבקת לידים'!B78="","",IF(ISNUMBER('הדבקת לידים'!B78),IF(הגדרות!$E$3&gt;0,TEXT('הדבקת לידים'!B78,REPT("0",הגדרות!$E$3)),TEXT('הדבקת לידים'!B78,"0")),TRIM('הדבקת לידים'!B78)))</f>
        <v/>
      </c>
      <c r="C78" s="0" t="n">
        <f aca="false">IF(OR(A78&lt;&gt;"",B78&lt;&gt;""),1,0)</f>
        <v>0</v>
      </c>
      <c r="D78" s="0" t="str">
        <f aca="false">IF(C78=1,MOD(ABS(SIN(ROW()*12.9898+'הדבקת לידים'!$F$2*78.233+IFERROR(--RIGHT(A78,6),LEN(A78))*0.0137+IFERROR(--RIGHT(B78,6),LEN(B78))*0.0071))*43758.5453,1),"")</f>
        <v/>
      </c>
      <c r="E78" s="0" t="str">
        <f aca="false">IF(C78=1,INT(MOD(ABS(SIN(D78*7919.123+ROW()*0.618+'הדבקת לידים'!$F$2*1.3))*43758.5453,1)*1000000)*10000+ROW(),"")</f>
        <v/>
      </c>
      <c r="F78" s="0" t="str">
        <f aca="false">IF(E78="","",RANK(E78,$E$2:$E$5001,1))</f>
        <v/>
      </c>
      <c r="G78" s="0" t="n">
        <f aca="false">IF(A78="",0,IF(SUMPRODUCT(--($A$2:$A$5001=A78))&gt;1,1,0))</f>
        <v>0</v>
      </c>
      <c r="H78" s="0" t="n">
        <f aca="false">ROW()-1</f>
        <v>77</v>
      </c>
      <c r="I78" s="0" t="str">
        <f aca="false">IF(OR(הגדרות!$E$6=0,H78&gt;הגדרות!$E$5),"",IF(H78-1&lt;הגדרות!$E$8*(הגדרות!$E$7+1),INT((H78-1)/(הגדרות!$E$7+1)),הגדרות!$E$8+INT((H78-1-הגדרות!$E$8*(הגדרות!$E$7+1))/הגדרות!$E$7)))</f>
        <v/>
      </c>
      <c r="J78" s="0" t="str">
        <f aca="false">IF(I78="","",IF(H78-1&lt;הגדרות!$E$8*(הגדרות!$E$7+1),MOD(H78-1,הגדרות!$E$7+1),MOD(H78-1-הגדרות!$E$8*(הגדרות!$E$7+1),הגדרות!$E$7)))</f>
        <v/>
      </c>
      <c r="K78" s="0" t="str">
        <f aca="false">IF(I78="","",J78*הגדרות!$E$6+I78+1)</f>
        <v/>
      </c>
      <c r="L78" s="0" t="str">
        <f aca="false">IF(K78="","",MATCH(K78,$F$2:$F$5001,0))</f>
        <v/>
      </c>
      <c r="M78" s="0" t="str">
        <f aca="false">IF(I78="","",INDEX(הגדרות!$A$2:$A$21,MOD(I78+הגדרות!$E$9,הגדרות!$E$6)+1))</f>
        <v/>
      </c>
    </row>
    <row r="79" customFormat="false" ht="15" hidden="false" customHeight="false" outlineLevel="0" collapsed="false">
      <c r="A79" s="0" t="str">
        <f aca="false">IF('הדבקת לידים'!A79="","",IF(ISNUMBER('הדבקת לידים'!A79),IF(הגדרות!$E$2&gt;0,TEXT('הדבקת לידים'!A79,REPT("0",הגדרות!$E$2)),TEXT('הדבקת לידים'!A79,"0")),TRIM('הדבקת לידים'!A79)))</f>
        <v/>
      </c>
      <c r="B79" s="0" t="str">
        <f aca="false">IF('הדבקת לידים'!B79="","",IF(ISNUMBER('הדבקת לידים'!B79),IF(הגדרות!$E$3&gt;0,TEXT('הדבקת לידים'!B79,REPT("0",הגדרות!$E$3)),TEXT('הדבקת לידים'!B79,"0")),TRIM('הדבקת לידים'!B79)))</f>
        <v/>
      </c>
      <c r="C79" s="0" t="n">
        <f aca="false">IF(OR(A79&lt;&gt;"",B79&lt;&gt;""),1,0)</f>
        <v>0</v>
      </c>
      <c r="D79" s="0" t="str">
        <f aca="false">IF(C79=1,MOD(ABS(SIN(ROW()*12.9898+'הדבקת לידים'!$F$2*78.233+IFERROR(--RIGHT(A79,6),LEN(A79))*0.0137+IFERROR(--RIGHT(B79,6),LEN(B79))*0.0071))*43758.5453,1),"")</f>
        <v/>
      </c>
      <c r="E79" s="0" t="str">
        <f aca="false">IF(C79=1,INT(MOD(ABS(SIN(D79*7919.123+ROW()*0.618+'הדבקת לידים'!$F$2*1.3))*43758.5453,1)*1000000)*10000+ROW(),"")</f>
        <v/>
      </c>
      <c r="F79" s="0" t="str">
        <f aca="false">IF(E79="","",RANK(E79,$E$2:$E$5001,1))</f>
        <v/>
      </c>
      <c r="G79" s="0" t="n">
        <f aca="false">IF(A79="",0,IF(SUMPRODUCT(--($A$2:$A$5001=A79))&gt;1,1,0))</f>
        <v>0</v>
      </c>
      <c r="H79" s="0" t="n">
        <f aca="false">ROW()-1</f>
        <v>78</v>
      </c>
      <c r="I79" s="0" t="str">
        <f aca="false">IF(OR(הגדרות!$E$6=0,H79&gt;הגדרות!$E$5),"",IF(H79-1&lt;הגדרות!$E$8*(הגדרות!$E$7+1),INT((H79-1)/(הגדרות!$E$7+1)),הגדרות!$E$8+INT((H79-1-הגדרות!$E$8*(הגדרות!$E$7+1))/הגדרות!$E$7)))</f>
        <v/>
      </c>
      <c r="J79" s="0" t="str">
        <f aca="false">IF(I79="","",IF(H79-1&lt;הגדרות!$E$8*(הגדרות!$E$7+1),MOD(H79-1,הגדרות!$E$7+1),MOD(H79-1-הגדרות!$E$8*(הגדרות!$E$7+1),הגדרות!$E$7)))</f>
        <v/>
      </c>
      <c r="K79" s="0" t="str">
        <f aca="false">IF(I79="","",J79*הגדרות!$E$6+I79+1)</f>
        <v/>
      </c>
      <c r="L79" s="0" t="str">
        <f aca="false">IF(K79="","",MATCH(K79,$F$2:$F$5001,0))</f>
        <v/>
      </c>
      <c r="M79" s="0" t="str">
        <f aca="false">IF(I79="","",INDEX(הגדרות!$A$2:$A$21,MOD(I79+הגדרות!$E$9,הגדרות!$E$6)+1))</f>
        <v/>
      </c>
    </row>
    <row r="80" customFormat="false" ht="15" hidden="false" customHeight="false" outlineLevel="0" collapsed="false">
      <c r="A80" s="0" t="str">
        <f aca="false">IF('הדבקת לידים'!A80="","",IF(ISNUMBER('הדבקת לידים'!A80),IF(הגדרות!$E$2&gt;0,TEXT('הדבקת לידים'!A80,REPT("0",הגדרות!$E$2)),TEXT('הדבקת לידים'!A80,"0")),TRIM('הדבקת לידים'!A80)))</f>
        <v/>
      </c>
      <c r="B80" s="0" t="str">
        <f aca="false">IF('הדבקת לידים'!B80="","",IF(ISNUMBER('הדבקת לידים'!B80),IF(הגדרות!$E$3&gt;0,TEXT('הדבקת לידים'!B80,REPT("0",הגדרות!$E$3)),TEXT('הדבקת לידים'!B80,"0")),TRIM('הדבקת לידים'!B80)))</f>
        <v/>
      </c>
      <c r="C80" s="0" t="n">
        <f aca="false">IF(OR(A80&lt;&gt;"",B80&lt;&gt;""),1,0)</f>
        <v>0</v>
      </c>
      <c r="D80" s="0" t="str">
        <f aca="false">IF(C80=1,MOD(ABS(SIN(ROW()*12.9898+'הדבקת לידים'!$F$2*78.233+IFERROR(--RIGHT(A80,6),LEN(A80))*0.0137+IFERROR(--RIGHT(B80,6),LEN(B80))*0.0071))*43758.5453,1),"")</f>
        <v/>
      </c>
      <c r="E80" s="0" t="str">
        <f aca="false">IF(C80=1,INT(MOD(ABS(SIN(D80*7919.123+ROW()*0.618+'הדבקת לידים'!$F$2*1.3))*43758.5453,1)*1000000)*10000+ROW(),"")</f>
        <v/>
      </c>
      <c r="F80" s="0" t="str">
        <f aca="false">IF(E80="","",RANK(E80,$E$2:$E$5001,1))</f>
        <v/>
      </c>
      <c r="G80" s="0" t="n">
        <f aca="false">IF(A80="",0,IF(SUMPRODUCT(--($A$2:$A$5001=A80))&gt;1,1,0))</f>
        <v>0</v>
      </c>
      <c r="H80" s="0" t="n">
        <f aca="false">ROW()-1</f>
        <v>79</v>
      </c>
      <c r="I80" s="0" t="str">
        <f aca="false">IF(OR(הגדרות!$E$6=0,H80&gt;הגדרות!$E$5),"",IF(H80-1&lt;הגדרות!$E$8*(הגדרות!$E$7+1),INT((H80-1)/(הגדרות!$E$7+1)),הגדרות!$E$8+INT((H80-1-הגדרות!$E$8*(הגדרות!$E$7+1))/הגדרות!$E$7)))</f>
        <v/>
      </c>
      <c r="J80" s="0" t="str">
        <f aca="false">IF(I80="","",IF(H80-1&lt;הגדרות!$E$8*(הגדרות!$E$7+1),MOD(H80-1,הגדרות!$E$7+1),MOD(H80-1-הגדרות!$E$8*(הגדרות!$E$7+1),הגדרות!$E$7)))</f>
        <v/>
      </c>
      <c r="K80" s="0" t="str">
        <f aca="false">IF(I80="","",J80*הגדרות!$E$6+I80+1)</f>
        <v/>
      </c>
      <c r="L80" s="0" t="str">
        <f aca="false">IF(K80="","",MATCH(K80,$F$2:$F$5001,0))</f>
        <v/>
      </c>
      <c r="M80" s="0" t="str">
        <f aca="false">IF(I80="","",INDEX(הגדרות!$A$2:$A$21,MOD(I80+הגדרות!$E$9,הגדרות!$E$6)+1))</f>
        <v/>
      </c>
    </row>
    <row r="81" customFormat="false" ht="15" hidden="false" customHeight="false" outlineLevel="0" collapsed="false">
      <c r="A81" s="0" t="str">
        <f aca="false">IF('הדבקת לידים'!A81="","",IF(ISNUMBER('הדבקת לידים'!A81),IF(הגדרות!$E$2&gt;0,TEXT('הדבקת לידים'!A81,REPT("0",הגדרות!$E$2)),TEXT('הדבקת לידים'!A81,"0")),TRIM('הדבקת לידים'!A81)))</f>
        <v/>
      </c>
      <c r="B81" s="0" t="str">
        <f aca="false">IF('הדבקת לידים'!B81="","",IF(ISNUMBER('הדבקת לידים'!B81),IF(הגדרות!$E$3&gt;0,TEXT('הדבקת לידים'!B81,REPT("0",הגדרות!$E$3)),TEXT('הדבקת לידים'!B81,"0")),TRIM('הדבקת לידים'!B81)))</f>
        <v/>
      </c>
      <c r="C81" s="0" t="n">
        <f aca="false">IF(OR(A81&lt;&gt;"",B81&lt;&gt;""),1,0)</f>
        <v>0</v>
      </c>
      <c r="D81" s="0" t="str">
        <f aca="false">IF(C81=1,MOD(ABS(SIN(ROW()*12.9898+'הדבקת לידים'!$F$2*78.233+IFERROR(--RIGHT(A81,6),LEN(A81))*0.0137+IFERROR(--RIGHT(B81,6),LEN(B81))*0.0071))*43758.5453,1),"")</f>
        <v/>
      </c>
      <c r="E81" s="0" t="str">
        <f aca="false">IF(C81=1,INT(MOD(ABS(SIN(D81*7919.123+ROW()*0.618+'הדבקת לידים'!$F$2*1.3))*43758.5453,1)*1000000)*10000+ROW(),"")</f>
        <v/>
      </c>
      <c r="F81" s="0" t="str">
        <f aca="false">IF(E81="","",RANK(E81,$E$2:$E$5001,1))</f>
        <v/>
      </c>
      <c r="G81" s="0" t="n">
        <f aca="false">IF(A81="",0,IF(SUMPRODUCT(--($A$2:$A$5001=A81))&gt;1,1,0))</f>
        <v>0</v>
      </c>
      <c r="H81" s="0" t="n">
        <f aca="false">ROW()-1</f>
        <v>80</v>
      </c>
      <c r="I81" s="0" t="str">
        <f aca="false">IF(OR(הגדרות!$E$6=0,H81&gt;הגדרות!$E$5),"",IF(H81-1&lt;הגדרות!$E$8*(הגדרות!$E$7+1),INT((H81-1)/(הגדרות!$E$7+1)),הגדרות!$E$8+INT((H81-1-הגדרות!$E$8*(הגדרות!$E$7+1))/הגדרות!$E$7)))</f>
        <v/>
      </c>
      <c r="J81" s="0" t="str">
        <f aca="false">IF(I81="","",IF(H81-1&lt;הגדרות!$E$8*(הגדרות!$E$7+1),MOD(H81-1,הגדרות!$E$7+1),MOD(H81-1-הגדרות!$E$8*(הגדרות!$E$7+1),הגדרות!$E$7)))</f>
        <v/>
      </c>
      <c r="K81" s="0" t="str">
        <f aca="false">IF(I81="","",J81*הגדרות!$E$6+I81+1)</f>
        <v/>
      </c>
      <c r="L81" s="0" t="str">
        <f aca="false">IF(K81="","",MATCH(K81,$F$2:$F$5001,0))</f>
        <v/>
      </c>
      <c r="M81" s="0" t="str">
        <f aca="false">IF(I81="","",INDEX(הגדרות!$A$2:$A$21,MOD(I81+הגדרות!$E$9,הגדרות!$E$6)+1))</f>
        <v/>
      </c>
    </row>
    <row r="82" customFormat="false" ht="15" hidden="false" customHeight="false" outlineLevel="0" collapsed="false">
      <c r="A82" s="0" t="str">
        <f aca="false">IF('הדבקת לידים'!A82="","",IF(ISNUMBER('הדבקת לידים'!A82),IF(הגדרות!$E$2&gt;0,TEXT('הדבקת לידים'!A82,REPT("0",הגדרות!$E$2)),TEXT('הדבקת לידים'!A82,"0")),TRIM('הדבקת לידים'!A82)))</f>
        <v/>
      </c>
      <c r="B82" s="0" t="str">
        <f aca="false">IF('הדבקת לידים'!B82="","",IF(ISNUMBER('הדבקת לידים'!B82),IF(הגדרות!$E$3&gt;0,TEXT('הדבקת לידים'!B82,REPT("0",הגדרות!$E$3)),TEXT('הדבקת לידים'!B82,"0")),TRIM('הדבקת לידים'!B82)))</f>
        <v/>
      </c>
      <c r="C82" s="0" t="n">
        <f aca="false">IF(OR(A82&lt;&gt;"",B82&lt;&gt;""),1,0)</f>
        <v>0</v>
      </c>
      <c r="D82" s="0" t="str">
        <f aca="false">IF(C82=1,MOD(ABS(SIN(ROW()*12.9898+'הדבקת לידים'!$F$2*78.233+IFERROR(--RIGHT(A82,6),LEN(A82))*0.0137+IFERROR(--RIGHT(B82,6),LEN(B82))*0.0071))*43758.5453,1),"")</f>
        <v/>
      </c>
      <c r="E82" s="0" t="str">
        <f aca="false">IF(C82=1,INT(MOD(ABS(SIN(D82*7919.123+ROW()*0.618+'הדבקת לידים'!$F$2*1.3))*43758.5453,1)*1000000)*10000+ROW(),"")</f>
        <v/>
      </c>
      <c r="F82" s="0" t="str">
        <f aca="false">IF(E82="","",RANK(E82,$E$2:$E$5001,1))</f>
        <v/>
      </c>
      <c r="G82" s="0" t="n">
        <f aca="false">IF(A82="",0,IF(SUMPRODUCT(--($A$2:$A$5001=A82))&gt;1,1,0))</f>
        <v>0</v>
      </c>
      <c r="H82" s="0" t="n">
        <f aca="false">ROW()-1</f>
        <v>81</v>
      </c>
      <c r="I82" s="0" t="str">
        <f aca="false">IF(OR(הגדרות!$E$6=0,H82&gt;הגדרות!$E$5),"",IF(H82-1&lt;הגדרות!$E$8*(הגדרות!$E$7+1),INT((H82-1)/(הגדרות!$E$7+1)),הגדרות!$E$8+INT((H82-1-הגדרות!$E$8*(הגדרות!$E$7+1))/הגדרות!$E$7)))</f>
        <v/>
      </c>
      <c r="J82" s="0" t="str">
        <f aca="false">IF(I82="","",IF(H82-1&lt;הגדרות!$E$8*(הגדרות!$E$7+1),MOD(H82-1,הגדרות!$E$7+1),MOD(H82-1-הגדרות!$E$8*(הגדרות!$E$7+1),הגדרות!$E$7)))</f>
        <v/>
      </c>
      <c r="K82" s="0" t="str">
        <f aca="false">IF(I82="","",J82*הגדרות!$E$6+I82+1)</f>
        <v/>
      </c>
      <c r="L82" s="0" t="str">
        <f aca="false">IF(K82="","",MATCH(K82,$F$2:$F$5001,0))</f>
        <v/>
      </c>
      <c r="M82" s="0" t="str">
        <f aca="false">IF(I82="","",INDEX(הגדרות!$A$2:$A$21,MOD(I82+הגדרות!$E$9,הגדרות!$E$6)+1))</f>
        <v/>
      </c>
    </row>
    <row r="83" customFormat="false" ht="15" hidden="false" customHeight="false" outlineLevel="0" collapsed="false">
      <c r="A83" s="0" t="str">
        <f aca="false">IF('הדבקת לידים'!A83="","",IF(ISNUMBER('הדבקת לידים'!A83),IF(הגדרות!$E$2&gt;0,TEXT('הדבקת לידים'!A83,REPT("0",הגדרות!$E$2)),TEXT('הדבקת לידים'!A83,"0")),TRIM('הדבקת לידים'!A83)))</f>
        <v/>
      </c>
      <c r="B83" s="0" t="str">
        <f aca="false">IF('הדבקת לידים'!B83="","",IF(ISNUMBER('הדבקת לידים'!B83),IF(הגדרות!$E$3&gt;0,TEXT('הדבקת לידים'!B83,REPT("0",הגדרות!$E$3)),TEXT('הדבקת לידים'!B83,"0")),TRIM('הדבקת לידים'!B83)))</f>
        <v/>
      </c>
      <c r="C83" s="0" t="n">
        <f aca="false">IF(OR(A83&lt;&gt;"",B83&lt;&gt;""),1,0)</f>
        <v>0</v>
      </c>
      <c r="D83" s="0" t="str">
        <f aca="false">IF(C83=1,MOD(ABS(SIN(ROW()*12.9898+'הדבקת לידים'!$F$2*78.233+IFERROR(--RIGHT(A83,6),LEN(A83))*0.0137+IFERROR(--RIGHT(B83,6),LEN(B83))*0.0071))*43758.5453,1),"")</f>
        <v/>
      </c>
      <c r="E83" s="0" t="str">
        <f aca="false">IF(C83=1,INT(MOD(ABS(SIN(D83*7919.123+ROW()*0.618+'הדבקת לידים'!$F$2*1.3))*43758.5453,1)*1000000)*10000+ROW(),"")</f>
        <v/>
      </c>
      <c r="F83" s="0" t="str">
        <f aca="false">IF(E83="","",RANK(E83,$E$2:$E$5001,1))</f>
        <v/>
      </c>
      <c r="G83" s="0" t="n">
        <f aca="false">IF(A83="",0,IF(SUMPRODUCT(--($A$2:$A$5001=A83))&gt;1,1,0))</f>
        <v>0</v>
      </c>
      <c r="H83" s="0" t="n">
        <f aca="false">ROW()-1</f>
        <v>82</v>
      </c>
      <c r="I83" s="0" t="str">
        <f aca="false">IF(OR(הגדרות!$E$6=0,H83&gt;הגדרות!$E$5),"",IF(H83-1&lt;הגדרות!$E$8*(הגדרות!$E$7+1),INT((H83-1)/(הגדרות!$E$7+1)),הגדרות!$E$8+INT((H83-1-הגדרות!$E$8*(הגדרות!$E$7+1))/הגדרות!$E$7)))</f>
        <v/>
      </c>
      <c r="J83" s="0" t="str">
        <f aca="false">IF(I83="","",IF(H83-1&lt;הגדרות!$E$8*(הגדרות!$E$7+1),MOD(H83-1,הגדרות!$E$7+1),MOD(H83-1-הגדרות!$E$8*(הגדרות!$E$7+1),הגדרות!$E$7)))</f>
        <v/>
      </c>
      <c r="K83" s="0" t="str">
        <f aca="false">IF(I83="","",J83*הגדרות!$E$6+I83+1)</f>
        <v/>
      </c>
      <c r="L83" s="0" t="str">
        <f aca="false">IF(K83="","",MATCH(K83,$F$2:$F$5001,0))</f>
        <v/>
      </c>
      <c r="M83" s="0" t="str">
        <f aca="false">IF(I83="","",INDEX(הגדרות!$A$2:$A$21,MOD(I83+הגדרות!$E$9,הגדרות!$E$6)+1))</f>
        <v/>
      </c>
    </row>
    <row r="84" customFormat="false" ht="15" hidden="false" customHeight="false" outlineLevel="0" collapsed="false">
      <c r="A84" s="0" t="str">
        <f aca="false">IF('הדבקת לידים'!A84="","",IF(ISNUMBER('הדבקת לידים'!A84),IF(הגדרות!$E$2&gt;0,TEXT('הדבקת לידים'!A84,REPT("0",הגדרות!$E$2)),TEXT('הדבקת לידים'!A84,"0")),TRIM('הדבקת לידים'!A84)))</f>
        <v/>
      </c>
      <c r="B84" s="0" t="str">
        <f aca="false">IF('הדבקת לידים'!B84="","",IF(ISNUMBER('הדבקת לידים'!B84),IF(הגדרות!$E$3&gt;0,TEXT('הדבקת לידים'!B84,REPT("0",הגדרות!$E$3)),TEXT('הדבקת לידים'!B84,"0")),TRIM('הדבקת לידים'!B84)))</f>
        <v/>
      </c>
      <c r="C84" s="0" t="n">
        <f aca="false">IF(OR(A84&lt;&gt;"",B84&lt;&gt;""),1,0)</f>
        <v>0</v>
      </c>
      <c r="D84" s="0" t="str">
        <f aca="false">IF(C84=1,MOD(ABS(SIN(ROW()*12.9898+'הדבקת לידים'!$F$2*78.233+IFERROR(--RIGHT(A84,6),LEN(A84))*0.0137+IFERROR(--RIGHT(B84,6),LEN(B84))*0.0071))*43758.5453,1),"")</f>
        <v/>
      </c>
      <c r="E84" s="0" t="str">
        <f aca="false">IF(C84=1,INT(MOD(ABS(SIN(D84*7919.123+ROW()*0.618+'הדבקת לידים'!$F$2*1.3))*43758.5453,1)*1000000)*10000+ROW(),"")</f>
        <v/>
      </c>
      <c r="F84" s="0" t="str">
        <f aca="false">IF(E84="","",RANK(E84,$E$2:$E$5001,1))</f>
        <v/>
      </c>
      <c r="G84" s="0" t="n">
        <f aca="false">IF(A84="",0,IF(SUMPRODUCT(--($A$2:$A$5001=A84))&gt;1,1,0))</f>
        <v>0</v>
      </c>
      <c r="H84" s="0" t="n">
        <f aca="false">ROW()-1</f>
        <v>83</v>
      </c>
      <c r="I84" s="0" t="str">
        <f aca="false">IF(OR(הגדרות!$E$6=0,H84&gt;הגדרות!$E$5),"",IF(H84-1&lt;הגדרות!$E$8*(הגדרות!$E$7+1),INT((H84-1)/(הגדרות!$E$7+1)),הגדרות!$E$8+INT((H84-1-הגדרות!$E$8*(הגדרות!$E$7+1))/הגדרות!$E$7)))</f>
        <v/>
      </c>
      <c r="J84" s="0" t="str">
        <f aca="false">IF(I84="","",IF(H84-1&lt;הגדרות!$E$8*(הגדרות!$E$7+1),MOD(H84-1,הגדרות!$E$7+1),MOD(H84-1-הגדרות!$E$8*(הגדרות!$E$7+1),הגדרות!$E$7)))</f>
        <v/>
      </c>
      <c r="K84" s="0" t="str">
        <f aca="false">IF(I84="","",J84*הגדרות!$E$6+I84+1)</f>
        <v/>
      </c>
      <c r="L84" s="0" t="str">
        <f aca="false">IF(K84="","",MATCH(K84,$F$2:$F$5001,0))</f>
        <v/>
      </c>
      <c r="M84" s="0" t="str">
        <f aca="false">IF(I84="","",INDEX(הגדרות!$A$2:$A$21,MOD(I84+הגדרות!$E$9,הגדרות!$E$6)+1))</f>
        <v/>
      </c>
    </row>
    <row r="85" customFormat="false" ht="15" hidden="false" customHeight="false" outlineLevel="0" collapsed="false">
      <c r="A85" s="0" t="str">
        <f aca="false">IF('הדבקת לידים'!A85="","",IF(ISNUMBER('הדבקת לידים'!A85),IF(הגדרות!$E$2&gt;0,TEXT('הדבקת לידים'!A85,REPT("0",הגדרות!$E$2)),TEXT('הדבקת לידים'!A85,"0")),TRIM('הדבקת לידים'!A85)))</f>
        <v/>
      </c>
      <c r="B85" s="0" t="str">
        <f aca="false">IF('הדבקת לידים'!B85="","",IF(ISNUMBER('הדבקת לידים'!B85),IF(הגדרות!$E$3&gt;0,TEXT('הדבקת לידים'!B85,REPT("0",הגדרות!$E$3)),TEXT('הדבקת לידים'!B85,"0")),TRIM('הדבקת לידים'!B85)))</f>
        <v/>
      </c>
      <c r="C85" s="0" t="n">
        <f aca="false">IF(OR(A85&lt;&gt;"",B85&lt;&gt;""),1,0)</f>
        <v>0</v>
      </c>
      <c r="D85" s="0" t="str">
        <f aca="false">IF(C85=1,MOD(ABS(SIN(ROW()*12.9898+'הדבקת לידים'!$F$2*78.233+IFERROR(--RIGHT(A85,6),LEN(A85))*0.0137+IFERROR(--RIGHT(B85,6),LEN(B85))*0.0071))*43758.5453,1),"")</f>
        <v/>
      </c>
      <c r="E85" s="0" t="str">
        <f aca="false">IF(C85=1,INT(MOD(ABS(SIN(D85*7919.123+ROW()*0.618+'הדבקת לידים'!$F$2*1.3))*43758.5453,1)*1000000)*10000+ROW(),"")</f>
        <v/>
      </c>
      <c r="F85" s="0" t="str">
        <f aca="false">IF(E85="","",RANK(E85,$E$2:$E$5001,1))</f>
        <v/>
      </c>
      <c r="G85" s="0" t="n">
        <f aca="false">IF(A85="",0,IF(SUMPRODUCT(--($A$2:$A$5001=A85))&gt;1,1,0))</f>
        <v>0</v>
      </c>
      <c r="H85" s="0" t="n">
        <f aca="false">ROW()-1</f>
        <v>84</v>
      </c>
      <c r="I85" s="0" t="str">
        <f aca="false">IF(OR(הגדרות!$E$6=0,H85&gt;הגדרות!$E$5),"",IF(H85-1&lt;הגדרות!$E$8*(הגדרות!$E$7+1),INT((H85-1)/(הגדרות!$E$7+1)),הגדרות!$E$8+INT((H85-1-הגדרות!$E$8*(הגדרות!$E$7+1))/הגדרות!$E$7)))</f>
        <v/>
      </c>
      <c r="J85" s="0" t="str">
        <f aca="false">IF(I85="","",IF(H85-1&lt;הגדרות!$E$8*(הגדרות!$E$7+1),MOD(H85-1,הגדרות!$E$7+1),MOD(H85-1-הגדרות!$E$8*(הגדרות!$E$7+1),הגדרות!$E$7)))</f>
        <v/>
      </c>
      <c r="K85" s="0" t="str">
        <f aca="false">IF(I85="","",J85*הגדרות!$E$6+I85+1)</f>
        <v/>
      </c>
      <c r="L85" s="0" t="str">
        <f aca="false">IF(K85="","",MATCH(K85,$F$2:$F$5001,0))</f>
        <v/>
      </c>
      <c r="M85" s="0" t="str">
        <f aca="false">IF(I85="","",INDEX(הגדרות!$A$2:$A$21,MOD(I85+הגדרות!$E$9,הגדרות!$E$6)+1))</f>
        <v/>
      </c>
    </row>
    <row r="86" customFormat="false" ht="15" hidden="false" customHeight="false" outlineLevel="0" collapsed="false">
      <c r="A86" s="0" t="str">
        <f aca="false">IF('הדבקת לידים'!A86="","",IF(ISNUMBER('הדבקת לידים'!A86),IF(הגדרות!$E$2&gt;0,TEXT('הדבקת לידים'!A86,REPT("0",הגדרות!$E$2)),TEXT('הדבקת לידים'!A86,"0")),TRIM('הדבקת לידים'!A86)))</f>
        <v/>
      </c>
      <c r="B86" s="0" t="str">
        <f aca="false">IF('הדבקת לידים'!B86="","",IF(ISNUMBER('הדבקת לידים'!B86),IF(הגדרות!$E$3&gt;0,TEXT('הדבקת לידים'!B86,REPT("0",הגדרות!$E$3)),TEXT('הדבקת לידים'!B86,"0")),TRIM('הדבקת לידים'!B86)))</f>
        <v/>
      </c>
      <c r="C86" s="0" t="n">
        <f aca="false">IF(OR(A86&lt;&gt;"",B86&lt;&gt;""),1,0)</f>
        <v>0</v>
      </c>
      <c r="D86" s="0" t="str">
        <f aca="false">IF(C86=1,MOD(ABS(SIN(ROW()*12.9898+'הדבקת לידים'!$F$2*78.233+IFERROR(--RIGHT(A86,6),LEN(A86))*0.0137+IFERROR(--RIGHT(B86,6),LEN(B86))*0.0071))*43758.5453,1),"")</f>
        <v/>
      </c>
      <c r="E86" s="0" t="str">
        <f aca="false">IF(C86=1,INT(MOD(ABS(SIN(D86*7919.123+ROW()*0.618+'הדבקת לידים'!$F$2*1.3))*43758.5453,1)*1000000)*10000+ROW(),"")</f>
        <v/>
      </c>
      <c r="F86" s="0" t="str">
        <f aca="false">IF(E86="","",RANK(E86,$E$2:$E$5001,1))</f>
        <v/>
      </c>
      <c r="G86" s="0" t="n">
        <f aca="false">IF(A86="",0,IF(SUMPRODUCT(--($A$2:$A$5001=A86))&gt;1,1,0))</f>
        <v>0</v>
      </c>
      <c r="H86" s="0" t="n">
        <f aca="false">ROW()-1</f>
        <v>85</v>
      </c>
      <c r="I86" s="0" t="str">
        <f aca="false">IF(OR(הגדרות!$E$6=0,H86&gt;הגדרות!$E$5),"",IF(H86-1&lt;הגדרות!$E$8*(הגדרות!$E$7+1),INT((H86-1)/(הגדרות!$E$7+1)),הגדרות!$E$8+INT((H86-1-הגדרות!$E$8*(הגדרות!$E$7+1))/הגדרות!$E$7)))</f>
        <v/>
      </c>
      <c r="J86" s="0" t="str">
        <f aca="false">IF(I86="","",IF(H86-1&lt;הגדרות!$E$8*(הגדרות!$E$7+1),MOD(H86-1,הגדרות!$E$7+1),MOD(H86-1-הגדרות!$E$8*(הגדרות!$E$7+1),הגדרות!$E$7)))</f>
        <v/>
      </c>
      <c r="K86" s="0" t="str">
        <f aca="false">IF(I86="","",J86*הגדרות!$E$6+I86+1)</f>
        <v/>
      </c>
      <c r="L86" s="0" t="str">
        <f aca="false">IF(K86="","",MATCH(K86,$F$2:$F$5001,0))</f>
        <v/>
      </c>
      <c r="M86" s="0" t="str">
        <f aca="false">IF(I86="","",INDEX(הגדרות!$A$2:$A$21,MOD(I86+הגדרות!$E$9,הגדרות!$E$6)+1))</f>
        <v/>
      </c>
    </row>
    <row r="87" customFormat="false" ht="15" hidden="false" customHeight="false" outlineLevel="0" collapsed="false">
      <c r="A87" s="0" t="str">
        <f aca="false">IF('הדבקת לידים'!A87="","",IF(ISNUMBER('הדבקת לידים'!A87),IF(הגדרות!$E$2&gt;0,TEXT('הדבקת לידים'!A87,REPT("0",הגדרות!$E$2)),TEXT('הדבקת לידים'!A87,"0")),TRIM('הדבקת לידים'!A87)))</f>
        <v/>
      </c>
      <c r="B87" s="0" t="str">
        <f aca="false">IF('הדבקת לידים'!B87="","",IF(ISNUMBER('הדבקת לידים'!B87),IF(הגדרות!$E$3&gt;0,TEXT('הדבקת לידים'!B87,REPT("0",הגדרות!$E$3)),TEXT('הדבקת לידים'!B87,"0")),TRIM('הדבקת לידים'!B87)))</f>
        <v/>
      </c>
      <c r="C87" s="0" t="n">
        <f aca="false">IF(OR(A87&lt;&gt;"",B87&lt;&gt;""),1,0)</f>
        <v>0</v>
      </c>
      <c r="D87" s="0" t="str">
        <f aca="false">IF(C87=1,MOD(ABS(SIN(ROW()*12.9898+'הדבקת לידים'!$F$2*78.233+IFERROR(--RIGHT(A87,6),LEN(A87))*0.0137+IFERROR(--RIGHT(B87,6),LEN(B87))*0.0071))*43758.5453,1),"")</f>
        <v/>
      </c>
      <c r="E87" s="0" t="str">
        <f aca="false">IF(C87=1,INT(MOD(ABS(SIN(D87*7919.123+ROW()*0.618+'הדבקת לידים'!$F$2*1.3))*43758.5453,1)*1000000)*10000+ROW(),"")</f>
        <v/>
      </c>
      <c r="F87" s="0" t="str">
        <f aca="false">IF(E87="","",RANK(E87,$E$2:$E$5001,1))</f>
        <v/>
      </c>
      <c r="G87" s="0" t="n">
        <f aca="false">IF(A87="",0,IF(SUMPRODUCT(--($A$2:$A$5001=A87))&gt;1,1,0))</f>
        <v>0</v>
      </c>
      <c r="H87" s="0" t="n">
        <f aca="false">ROW()-1</f>
        <v>86</v>
      </c>
      <c r="I87" s="0" t="str">
        <f aca="false">IF(OR(הגדרות!$E$6=0,H87&gt;הגדרות!$E$5),"",IF(H87-1&lt;הגדרות!$E$8*(הגדרות!$E$7+1),INT((H87-1)/(הגדרות!$E$7+1)),הגדרות!$E$8+INT((H87-1-הגדרות!$E$8*(הגדרות!$E$7+1))/הגדרות!$E$7)))</f>
        <v/>
      </c>
      <c r="J87" s="0" t="str">
        <f aca="false">IF(I87="","",IF(H87-1&lt;הגדרות!$E$8*(הגדרות!$E$7+1),MOD(H87-1,הגדרות!$E$7+1),MOD(H87-1-הגדרות!$E$8*(הגדרות!$E$7+1),הגדרות!$E$7)))</f>
        <v/>
      </c>
      <c r="K87" s="0" t="str">
        <f aca="false">IF(I87="","",J87*הגדרות!$E$6+I87+1)</f>
        <v/>
      </c>
      <c r="L87" s="0" t="str">
        <f aca="false">IF(K87="","",MATCH(K87,$F$2:$F$5001,0))</f>
        <v/>
      </c>
      <c r="M87" s="0" t="str">
        <f aca="false">IF(I87="","",INDEX(הגדרות!$A$2:$A$21,MOD(I87+הגדרות!$E$9,הגדרות!$E$6)+1))</f>
        <v/>
      </c>
    </row>
    <row r="88" customFormat="false" ht="15" hidden="false" customHeight="false" outlineLevel="0" collapsed="false">
      <c r="A88" s="0" t="str">
        <f aca="false">IF('הדבקת לידים'!A88="","",IF(ISNUMBER('הדבקת לידים'!A88),IF(הגדרות!$E$2&gt;0,TEXT('הדבקת לידים'!A88,REPT("0",הגדרות!$E$2)),TEXT('הדבקת לידים'!A88,"0")),TRIM('הדבקת לידים'!A88)))</f>
        <v/>
      </c>
      <c r="B88" s="0" t="str">
        <f aca="false">IF('הדבקת לידים'!B88="","",IF(ISNUMBER('הדבקת לידים'!B88),IF(הגדרות!$E$3&gt;0,TEXT('הדבקת לידים'!B88,REPT("0",הגדרות!$E$3)),TEXT('הדבקת לידים'!B88,"0")),TRIM('הדבקת לידים'!B88)))</f>
        <v/>
      </c>
      <c r="C88" s="0" t="n">
        <f aca="false">IF(OR(A88&lt;&gt;"",B88&lt;&gt;""),1,0)</f>
        <v>0</v>
      </c>
      <c r="D88" s="0" t="str">
        <f aca="false">IF(C88=1,MOD(ABS(SIN(ROW()*12.9898+'הדבקת לידים'!$F$2*78.233+IFERROR(--RIGHT(A88,6),LEN(A88))*0.0137+IFERROR(--RIGHT(B88,6),LEN(B88))*0.0071))*43758.5453,1),"")</f>
        <v/>
      </c>
      <c r="E88" s="0" t="str">
        <f aca="false">IF(C88=1,INT(MOD(ABS(SIN(D88*7919.123+ROW()*0.618+'הדבקת לידים'!$F$2*1.3))*43758.5453,1)*1000000)*10000+ROW(),"")</f>
        <v/>
      </c>
      <c r="F88" s="0" t="str">
        <f aca="false">IF(E88="","",RANK(E88,$E$2:$E$5001,1))</f>
        <v/>
      </c>
      <c r="G88" s="0" t="n">
        <f aca="false">IF(A88="",0,IF(SUMPRODUCT(--($A$2:$A$5001=A88))&gt;1,1,0))</f>
        <v>0</v>
      </c>
      <c r="H88" s="0" t="n">
        <f aca="false">ROW()-1</f>
        <v>87</v>
      </c>
      <c r="I88" s="0" t="str">
        <f aca="false">IF(OR(הגדרות!$E$6=0,H88&gt;הגדרות!$E$5),"",IF(H88-1&lt;הגדרות!$E$8*(הגדרות!$E$7+1),INT((H88-1)/(הגדרות!$E$7+1)),הגדרות!$E$8+INT((H88-1-הגדרות!$E$8*(הגדרות!$E$7+1))/הגדרות!$E$7)))</f>
        <v/>
      </c>
      <c r="J88" s="0" t="str">
        <f aca="false">IF(I88="","",IF(H88-1&lt;הגדרות!$E$8*(הגדרות!$E$7+1),MOD(H88-1,הגדרות!$E$7+1),MOD(H88-1-הגדרות!$E$8*(הגדרות!$E$7+1),הגדרות!$E$7)))</f>
        <v/>
      </c>
      <c r="K88" s="0" t="str">
        <f aca="false">IF(I88="","",J88*הגדרות!$E$6+I88+1)</f>
        <v/>
      </c>
      <c r="L88" s="0" t="str">
        <f aca="false">IF(K88="","",MATCH(K88,$F$2:$F$5001,0))</f>
        <v/>
      </c>
      <c r="M88" s="0" t="str">
        <f aca="false">IF(I88="","",INDEX(הגדרות!$A$2:$A$21,MOD(I88+הגדרות!$E$9,הגדרות!$E$6)+1))</f>
        <v/>
      </c>
    </row>
    <row r="89" customFormat="false" ht="15" hidden="false" customHeight="false" outlineLevel="0" collapsed="false">
      <c r="A89" s="0" t="str">
        <f aca="false">IF('הדבקת לידים'!A89="","",IF(ISNUMBER('הדבקת לידים'!A89),IF(הגדרות!$E$2&gt;0,TEXT('הדבקת לידים'!A89,REPT("0",הגדרות!$E$2)),TEXT('הדבקת לידים'!A89,"0")),TRIM('הדבקת לידים'!A89)))</f>
        <v/>
      </c>
      <c r="B89" s="0" t="str">
        <f aca="false">IF('הדבקת לידים'!B89="","",IF(ISNUMBER('הדבקת לידים'!B89),IF(הגדרות!$E$3&gt;0,TEXT('הדבקת לידים'!B89,REPT("0",הגדרות!$E$3)),TEXT('הדבקת לידים'!B89,"0")),TRIM('הדבקת לידים'!B89)))</f>
        <v/>
      </c>
      <c r="C89" s="0" t="n">
        <f aca="false">IF(OR(A89&lt;&gt;"",B89&lt;&gt;""),1,0)</f>
        <v>0</v>
      </c>
      <c r="D89" s="0" t="str">
        <f aca="false">IF(C89=1,MOD(ABS(SIN(ROW()*12.9898+'הדבקת לידים'!$F$2*78.233+IFERROR(--RIGHT(A89,6),LEN(A89))*0.0137+IFERROR(--RIGHT(B89,6),LEN(B89))*0.0071))*43758.5453,1),"")</f>
        <v/>
      </c>
      <c r="E89" s="0" t="str">
        <f aca="false">IF(C89=1,INT(MOD(ABS(SIN(D89*7919.123+ROW()*0.618+'הדבקת לידים'!$F$2*1.3))*43758.5453,1)*1000000)*10000+ROW(),"")</f>
        <v/>
      </c>
      <c r="F89" s="0" t="str">
        <f aca="false">IF(E89="","",RANK(E89,$E$2:$E$5001,1))</f>
        <v/>
      </c>
      <c r="G89" s="0" t="n">
        <f aca="false">IF(A89="",0,IF(SUMPRODUCT(--($A$2:$A$5001=A89))&gt;1,1,0))</f>
        <v>0</v>
      </c>
      <c r="H89" s="0" t="n">
        <f aca="false">ROW()-1</f>
        <v>88</v>
      </c>
      <c r="I89" s="0" t="str">
        <f aca="false">IF(OR(הגדרות!$E$6=0,H89&gt;הגדרות!$E$5),"",IF(H89-1&lt;הגדרות!$E$8*(הגדרות!$E$7+1),INT((H89-1)/(הגדרות!$E$7+1)),הגדרות!$E$8+INT((H89-1-הגדרות!$E$8*(הגדרות!$E$7+1))/הגדרות!$E$7)))</f>
        <v/>
      </c>
      <c r="J89" s="0" t="str">
        <f aca="false">IF(I89="","",IF(H89-1&lt;הגדרות!$E$8*(הגדרות!$E$7+1),MOD(H89-1,הגדרות!$E$7+1),MOD(H89-1-הגדרות!$E$8*(הגדרות!$E$7+1),הגדרות!$E$7)))</f>
        <v/>
      </c>
      <c r="K89" s="0" t="str">
        <f aca="false">IF(I89="","",J89*הגדרות!$E$6+I89+1)</f>
        <v/>
      </c>
      <c r="L89" s="0" t="str">
        <f aca="false">IF(K89="","",MATCH(K89,$F$2:$F$5001,0))</f>
        <v/>
      </c>
      <c r="M89" s="0" t="str">
        <f aca="false">IF(I89="","",INDEX(הגדרות!$A$2:$A$21,MOD(I89+הגדרות!$E$9,הגדרות!$E$6)+1))</f>
        <v/>
      </c>
    </row>
    <row r="90" customFormat="false" ht="15" hidden="false" customHeight="false" outlineLevel="0" collapsed="false">
      <c r="A90" s="0" t="str">
        <f aca="false">IF('הדבקת לידים'!A90="","",IF(ISNUMBER('הדבקת לידים'!A90),IF(הגדרות!$E$2&gt;0,TEXT('הדבקת לידים'!A90,REPT("0",הגדרות!$E$2)),TEXT('הדבקת לידים'!A90,"0")),TRIM('הדבקת לידים'!A90)))</f>
        <v/>
      </c>
      <c r="B90" s="0" t="str">
        <f aca="false">IF('הדבקת לידים'!B90="","",IF(ISNUMBER('הדבקת לידים'!B90),IF(הגדרות!$E$3&gt;0,TEXT('הדבקת לידים'!B90,REPT("0",הגדרות!$E$3)),TEXT('הדבקת לידים'!B90,"0")),TRIM('הדבקת לידים'!B90)))</f>
        <v/>
      </c>
      <c r="C90" s="0" t="n">
        <f aca="false">IF(OR(A90&lt;&gt;"",B90&lt;&gt;""),1,0)</f>
        <v>0</v>
      </c>
      <c r="D90" s="0" t="str">
        <f aca="false">IF(C90=1,MOD(ABS(SIN(ROW()*12.9898+'הדבקת לידים'!$F$2*78.233+IFERROR(--RIGHT(A90,6),LEN(A90))*0.0137+IFERROR(--RIGHT(B90,6),LEN(B90))*0.0071))*43758.5453,1),"")</f>
        <v/>
      </c>
      <c r="E90" s="0" t="str">
        <f aca="false">IF(C90=1,INT(MOD(ABS(SIN(D90*7919.123+ROW()*0.618+'הדבקת לידים'!$F$2*1.3))*43758.5453,1)*1000000)*10000+ROW(),"")</f>
        <v/>
      </c>
      <c r="F90" s="0" t="str">
        <f aca="false">IF(E90="","",RANK(E90,$E$2:$E$5001,1))</f>
        <v/>
      </c>
      <c r="G90" s="0" t="n">
        <f aca="false">IF(A90="",0,IF(SUMPRODUCT(--($A$2:$A$5001=A90))&gt;1,1,0))</f>
        <v>0</v>
      </c>
      <c r="H90" s="0" t="n">
        <f aca="false">ROW()-1</f>
        <v>89</v>
      </c>
      <c r="I90" s="0" t="str">
        <f aca="false">IF(OR(הגדרות!$E$6=0,H90&gt;הגדרות!$E$5),"",IF(H90-1&lt;הגדרות!$E$8*(הגדרות!$E$7+1),INT((H90-1)/(הגדרות!$E$7+1)),הגדרות!$E$8+INT((H90-1-הגדרות!$E$8*(הגדרות!$E$7+1))/הגדרות!$E$7)))</f>
        <v/>
      </c>
      <c r="J90" s="0" t="str">
        <f aca="false">IF(I90="","",IF(H90-1&lt;הגדרות!$E$8*(הגדרות!$E$7+1),MOD(H90-1,הגדרות!$E$7+1),MOD(H90-1-הגדרות!$E$8*(הגדרות!$E$7+1),הגדרות!$E$7)))</f>
        <v/>
      </c>
      <c r="K90" s="0" t="str">
        <f aca="false">IF(I90="","",J90*הגדרות!$E$6+I90+1)</f>
        <v/>
      </c>
      <c r="L90" s="0" t="str">
        <f aca="false">IF(K90="","",MATCH(K90,$F$2:$F$5001,0))</f>
        <v/>
      </c>
      <c r="M90" s="0" t="str">
        <f aca="false">IF(I90="","",INDEX(הגדרות!$A$2:$A$21,MOD(I90+הגדרות!$E$9,הגדרות!$E$6)+1))</f>
        <v/>
      </c>
    </row>
    <row r="91" customFormat="false" ht="15" hidden="false" customHeight="false" outlineLevel="0" collapsed="false">
      <c r="A91" s="0" t="str">
        <f aca="false">IF('הדבקת לידים'!A91="","",IF(ISNUMBER('הדבקת לידים'!A91),IF(הגדרות!$E$2&gt;0,TEXT('הדבקת לידים'!A91,REPT("0",הגדרות!$E$2)),TEXT('הדבקת לידים'!A91,"0")),TRIM('הדבקת לידים'!A91)))</f>
        <v/>
      </c>
      <c r="B91" s="0" t="str">
        <f aca="false">IF('הדבקת לידים'!B91="","",IF(ISNUMBER('הדבקת לידים'!B91),IF(הגדרות!$E$3&gt;0,TEXT('הדבקת לידים'!B91,REPT("0",הגדרות!$E$3)),TEXT('הדבקת לידים'!B91,"0")),TRIM('הדבקת לידים'!B91)))</f>
        <v/>
      </c>
      <c r="C91" s="0" t="n">
        <f aca="false">IF(OR(A91&lt;&gt;"",B91&lt;&gt;""),1,0)</f>
        <v>0</v>
      </c>
      <c r="D91" s="0" t="str">
        <f aca="false">IF(C91=1,MOD(ABS(SIN(ROW()*12.9898+'הדבקת לידים'!$F$2*78.233+IFERROR(--RIGHT(A91,6),LEN(A91))*0.0137+IFERROR(--RIGHT(B91,6),LEN(B91))*0.0071))*43758.5453,1),"")</f>
        <v/>
      </c>
      <c r="E91" s="0" t="str">
        <f aca="false">IF(C91=1,INT(MOD(ABS(SIN(D91*7919.123+ROW()*0.618+'הדבקת לידים'!$F$2*1.3))*43758.5453,1)*1000000)*10000+ROW(),"")</f>
        <v/>
      </c>
      <c r="F91" s="0" t="str">
        <f aca="false">IF(E91="","",RANK(E91,$E$2:$E$5001,1))</f>
        <v/>
      </c>
      <c r="G91" s="0" t="n">
        <f aca="false">IF(A91="",0,IF(SUMPRODUCT(--($A$2:$A$5001=A91))&gt;1,1,0))</f>
        <v>0</v>
      </c>
      <c r="H91" s="0" t="n">
        <f aca="false">ROW()-1</f>
        <v>90</v>
      </c>
      <c r="I91" s="0" t="str">
        <f aca="false">IF(OR(הגדרות!$E$6=0,H91&gt;הגדרות!$E$5),"",IF(H91-1&lt;הגדרות!$E$8*(הגדרות!$E$7+1),INT((H91-1)/(הגדרות!$E$7+1)),הגדרות!$E$8+INT((H91-1-הגדרות!$E$8*(הגדרות!$E$7+1))/הגדרות!$E$7)))</f>
        <v/>
      </c>
      <c r="J91" s="0" t="str">
        <f aca="false">IF(I91="","",IF(H91-1&lt;הגדרות!$E$8*(הגדרות!$E$7+1),MOD(H91-1,הגדרות!$E$7+1),MOD(H91-1-הגדרות!$E$8*(הגדרות!$E$7+1),הגדרות!$E$7)))</f>
        <v/>
      </c>
      <c r="K91" s="0" t="str">
        <f aca="false">IF(I91="","",J91*הגדרות!$E$6+I91+1)</f>
        <v/>
      </c>
      <c r="L91" s="0" t="str">
        <f aca="false">IF(K91="","",MATCH(K91,$F$2:$F$5001,0))</f>
        <v/>
      </c>
      <c r="M91" s="0" t="str">
        <f aca="false">IF(I91="","",INDEX(הגדרות!$A$2:$A$21,MOD(I91+הגדרות!$E$9,הגדרות!$E$6)+1))</f>
        <v/>
      </c>
    </row>
    <row r="92" customFormat="false" ht="15" hidden="false" customHeight="false" outlineLevel="0" collapsed="false">
      <c r="A92" s="0" t="str">
        <f aca="false">IF('הדבקת לידים'!A92="","",IF(ISNUMBER('הדבקת לידים'!A92),IF(הגדרות!$E$2&gt;0,TEXT('הדבקת לידים'!A92,REPT("0",הגדרות!$E$2)),TEXT('הדבקת לידים'!A92,"0")),TRIM('הדבקת לידים'!A92)))</f>
        <v/>
      </c>
      <c r="B92" s="0" t="str">
        <f aca="false">IF('הדבקת לידים'!B92="","",IF(ISNUMBER('הדבקת לידים'!B92),IF(הגדרות!$E$3&gt;0,TEXT('הדבקת לידים'!B92,REPT("0",הגדרות!$E$3)),TEXT('הדבקת לידים'!B92,"0")),TRIM('הדבקת לידים'!B92)))</f>
        <v/>
      </c>
      <c r="C92" s="0" t="n">
        <f aca="false">IF(OR(A92&lt;&gt;"",B92&lt;&gt;""),1,0)</f>
        <v>0</v>
      </c>
      <c r="D92" s="0" t="str">
        <f aca="false">IF(C92=1,MOD(ABS(SIN(ROW()*12.9898+'הדבקת לידים'!$F$2*78.233+IFERROR(--RIGHT(A92,6),LEN(A92))*0.0137+IFERROR(--RIGHT(B92,6),LEN(B92))*0.0071))*43758.5453,1),"")</f>
        <v/>
      </c>
      <c r="E92" s="0" t="str">
        <f aca="false">IF(C92=1,INT(MOD(ABS(SIN(D92*7919.123+ROW()*0.618+'הדבקת לידים'!$F$2*1.3))*43758.5453,1)*1000000)*10000+ROW(),"")</f>
        <v/>
      </c>
      <c r="F92" s="0" t="str">
        <f aca="false">IF(E92="","",RANK(E92,$E$2:$E$5001,1))</f>
        <v/>
      </c>
      <c r="G92" s="0" t="n">
        <f aca="false">IF(A92="",0,IF(SUMPRODUCT(--($A$2:$A$5001=A92))&gt;1,1,0))</f>
        <v>0</v>
      </c>
      <c r="H92" s="0" t="n">
        <f aca="false">ROW()-1</f>
        <v>91</v>
      </c>
      <c r="I92" s="0" t="str">
        <f aca="false">IF(OR(הגדרות!$E$6=0,H92&gt;הגדרות!$E$5),"",IF(H92-1&lt;הגדרות!$E$8*(הגדרות!$E$7+1),INT((H92-1)/(הגדרות!$E$7+1)),הגדרות!$E$8+INT((H92-1-הגדרות!$E$8*(הגדרות!$E$7+1))/הגדרות!$E$7)))</f>
        <v/>
      </c>
      <c r="J92" s="0" t="str">
        <f aca="false">IF(I92="","",IF(H92-1&lt;הגדרות!$E$8*(הגדרות!$E$7+1),MOD(H92-1,הגדרות!$E$7+1),MOD(H92-1-הגדרות!$E$8*(הגדרות!$E$7+1),הגדרות!$E$7)))</f>
        <v/>
      </c>
      <c r="K92" s="0" t="str">
        <f aca="false">IF(I92="","",J92*הגדרות!$E$6+I92+1)</f>
        <v/>
      </c>
      <c r="L92" s="0" t="str">
        <f aca="false">IF(K92="","",MATCH(K92,$F$2:$F$5001,0))</f>
        <v/>
      </c>
      <c r="M92" s="0" t="str">
        <f aca="false">IF(I92="","",INDEX(הגדרות!$A$2:$A$21,MOD(I92+הגדרות!$E$9,הגדרות!$E$6)+1))</f>
        <v/>
      </c>
    </row>
    <row r="93" customFormat="false" ht="15" hidden="false" customHeight="false" outlineLevel="0" collapsed="false">
      <c r="A93" s="0" t="str">
        <f aca="false">IF('הדבקת לידים'!A93="","",IF(ISNUMBER('הדבקת לידים'!A93),IF(הגדרות!$E$2&gt;0,TEXT('הדבקת לידים'!A93,REPT("0",הגדרות!$E$2)),TEXT('הדבקת לידים'!A93,"0")),TRIM('הדבקת לידים'!A93)))</f>
        <v/>
      </c>
      <c r="B93" s="0" t="str">
        <f aca="false">IF('הדבקת לידים'!B93="","",IF(ISNUMBER('הדבקת לידים'!B93),IF(הגדרות!$E$3&gt;0,TEXT('הדבקת לידים'!B93,REPT("0",הגדרות!$E$3)),TEXT('הדבקת לידים'!B93,"0")),TRIM('הדבקת לידים'!B93)))</f>
        <v/>
      </c>
      <c r="C93" s="0" t="n">
        <f aca="false">IF(OR(A93&lt;&gt;"",B93&lt;&gt;""),1,0)</f>
        <v>0</v>
      </c>
      <c r="D93" s="0" t="str">
        <f aca="false">IF(C93=1,MOD(ABS(SIN(ROW()*12.9898+'הדבקת לידים'!$F$2*78.233+IFERROR(--RIGHT(A93,6),LEN(A93))*0.0137+IFERROR(--RIGHT(B93,6),LEN(B93))*0.0071))*43758.5453,1),"")</f>
        <v/>
      </c>
      <c r="E93" s="0" t="str">
        <f aca="false">IF(C93=1,INT(MOD(ABS(SIN(D93*7919.123+ROW()*0.618+'הדבקת לידים'!$F$2*1.3))*43758.5453,1)*1000000)*10000+ROW(),"")</f>
        <v/>
      </c>
      <c r="F93" s="0" t="str">
        <f aca="false">IF(E93="","",RANK(E93,$E$2:$E$5001,1))</f>
        <v/>
      </c>
      <c r="G93" s="0" t="n">
        <f aca="false">IF(A93="",0,IF(SUMPRODUCT(--($A$2:$A$5001=A93))&gt;1,1,0))</f>
        <v>0</v>
      </c>
      <c r="H93" s="0" t="n">
        <f aca="false">ROW()-1</f>
        <v>92</v>
      </c>
      <c r="I93" s="0" t="str">
        <f aca="false">IF(OR(הגדרות!$E$6=0,H93&gt;הגדרות!$E$5),"",IF(H93-1&lt;הגדרות!$E$8*(הגדרות!$E$7+1),INT((H93-1)/(הגדרות!$E$7+1)),הגדרות!$E$8+INT((H93-1-הגדרות!$E$8*(הגדרות!$E$7+1))/הגדרות!$E$7)))</f>
        <v/>
      </c>
      <c r="J93" s="0" t="str">
        <f aca="false">IF(I93="","",IF(H93-1&lt;הגדרות!$E$8*(הגדרות!$E$7+1),MOD(H93-1,הגדרות!$E$7+1),MOD(H93-1-הגדרות!$E$8*(הגדרות!$E$7+1),הגדרות!$E$7)))</f>
        <v/>
      </c>
      <c r="K93" s="0" t="str">
        <f aca="false">IF(I93="","",J93*הגדרות!$E$6+I93+1)</f>
        <v/>
      </c>
      <c r="L93" s="0" t="str">
        <f aca="false">IF(K93="","",MATCH(K93,$F$2:$F$5001,0))</f>
        <v/>
      </c>
      <c r="M93" s="0" t="str">
        <f aca="false">IF(I93="","",INDEX(הגדרות!$A$2:$A$21,MOD(I93+הגדרות!$E$9,הגדרות!$E$6)+1))</f>
        <v/>
      </c>
    </row>
    <row r="94" customFormat="false" ht="15" hidden="false" customHeight="false" outlineLevel="0" collapsed="false">
      <c r="A94" s="0" t="str">
        <f aca="false">IF('הדבקת לידים'!A94="","",IF(ISNUMBER('הדבקת לידים'!A94),IF(הגדרות!$E$2&gt;0,TEXT('הדבקת לידים'!A94,REPT("0",הגדרות!$E$2)),TEXT('הדבקת לידים'!A94,"0")),TRIM('הדבקת לידים'!A94)))</f>
        <v/>
      </c>
      <c r="B94" s="0" t="str">
        <f aca="false">IF('הדבקת לידים'!B94="","",IF(ISNUMBER('הדבקת לידים'!B94),IF(הגדרות!$E$3&gt;0,TEXT('הדבקת לידים'!B94,REPT("0",הגדרות!$E$3)),TEXT('הדבקת לידים'!B94,"0")),TRIM('הדבקת לידים'!B94)))</f>
        <v/>
      </c>
      <c r="C94" s="0" t="n">
        <f aca="false">IF(OR(A94&lt;&gt;"",B94&lt;&gt;""),1,0)</f>
        <v>0</v>
      </c>
      <c r="D94" s="0" t="str">
        <f aca="false">IF(C94=1,MOD(ABS(SIN(ROW()*12.9898+'הדבקת לידים'!$F$2*78.233+IFERROR(--RIGHT(A94,6),LEN(A94))*0.0137+IFERROR(--RIGHT(B94,6),LEN(B94))*0.0071))*43758.5453,1),"")</f>
        <v/>
      </c>
      <c r="E94" s="0" t="str">
        <f aca="false">IF(C94=1,INT(MOD(ABS(SIN(D94*7919.123+ROW()*0.618+'הדבקת לידים'!$F$2*1.3))*43758.5453,1)*1000000)*10000+ROW(),"")</f>
        <v/>
      </c>
      <c r="F94" s="0" t="str">
        <f aca="false">IF(E94="","",RANK(E94,$E$2:$E$5001,1))</f>
        <v/>
      </c>
      <c r="G94" s="0" t="n">
        <f aca="false">IF(A94="",0,IF(SUMPRODUCT(--($A$2:$A$5001=A94))&gt;1,1,0))</f>
        <v>0</v>
      </c>
      <c r="H94" s="0" t="n">
        <f aca="false">ROW()-1</f>
        <v>93</v>
      </c>
      <c r="I94" s="0" t="str">
        <f aca="false">IF(OR(הגדרות!$E$6=0,H94&gt;הגדרות!$E$5),"",IF(H94-1&lt;הגדרות!$E$8*(הגדרות!$E$7+1),INT((H94-1)/(הגדרות!$E$7+1)),הגדרות!$E$8+INT((H94-1-הגדרות!$E$8*(הגדרות!$E$7+1))/הגדרות!$E$7)))</f>
        <v/>
      </c>
      <c r="J94" s="0" t="str">
        <f aca="false">IF(I94="","",IF(H94-1&lt;הגדרות!$E$8*(הגדרות!$E$7+1),MOD(H94-1,הגדרות!$E$7+1),MOD(H94-1-הגדרות!$E$8*(הגדרות!$E$7+1),הגדרות!$E$7)))</f>
        <v/>
      </c>
      <c r="K94" s="0" t="str">
        <f aca="false">IF(I94="","",J94*הגדרות!$E$6+I94+1)</f>
        <v/>
      </c>
      <c r="L94" s="0" t="str">
        <f aca="false">IF(K94="","",MATCH(K94,$F$2:$F$5001,0))</f>
        <v/>
      </c>
      <c r="M94" s="0" t="str">
        <f aca="false">IF(I94="","",INDEX(הגדרות!$A$2:$A$21,MOD(I94+הגדרות!$E$9,הגדרות!$E$6)+1))</f>
        <v/>
      </c>
    </row>
    <row r="95" customFormat="false" ht="15" hidden="false" customHeight="false" outlineLevel="0" collapsed="false">
      <c r="A95" s="0" t="str">
        <f aca="false">IF('הדבקת לידים'!A95="","",IF(ISNUMBER('הדבקת לידים'!A95),IF(הגדרות!$E$2&gt;0,TEXT('הדבקת לידים'!A95,REPT("0",הגדרות!$E$2)),TEXT('הדבקת לידים'!A95,"0")),TRIM('הדבקת לידים'!A95)))</f>
        <v/>
      </c>
      <c r="B95" s="0" t="str">
        <f aca="false">IF('הדבקת לידים'!B95="","",IF(ISNUMBER('הדבקת לידים'!B95),IF(הגדרות!$E$3&gt;0,TEXT('הדבקת לידים'!B95,REPT("0",הגדרות!$E$3)),TEXT('הדבקת לידים'!B95,"0")),TRIM('הדבקת לידים'!B95)))</f>
        <v/>
      </c>
      <c r="C95" s="0" t="n">
        <f aca="false">IF(OR(A95&lt;&gt;"",B95&lt;&gt;""),1,0)</f>
        <v>0</v>
      </c>
      <c r="D95" s="0" t="str">
        <f aca="false">IF(C95=1,MOD(ABS(SIN(ROW()*12.9898+'הדבקת לידים'!$F$2*78.233+IFERROR(--RIGHT(A95,6),LEN(A95))*0.0137+IFERROR(--RIGHT(B95,6),LEN(B95))*0.0071))*43758.5453,1),"")</f>
        <v/>
      </c>
      <c r="E95" s="0" t="str">
        <f aca="false">IF(C95=1,INT(MOD(ABS(SIN(D95*7919.123+ROW()*0.618+'הדבקת לידים'!$F$2*1.3))*43758.5453,1)*1000000)*10000+ROW(),"")</f>
        <v/>
      </c>
      <c r="F95" s="0" t="str">
        <f aca="false">IF(E95="","",RANK(E95,$E$2:$E$5001,1))</f>
        <v/>
      </c>
      <c r="G95" s="0" t="n">
        <f aca="false">IF(A95="",0,IF(SUMPRODUCT(--($A$2:$A$5001=A95))&gt;1,1,0))</f>
        <v>0</v>
      </c>
      <c r="H95" s="0" t="n">
        <f aca="false">ROW()-1</f>
        <v>94</v>
      </c>
      <c r="I95" s="0" t="str">
        <f aca="false">IF(OR(הגדרות!$E$6=0,H95&gt;הגדרות!$E$5),"",IF(H95-1&lt;הגדרות!$E$8*(הגדרות!$E$7+1),INT((H95-1)/(הגדרות!$E$7+1)),הגדרות!$E$8+INT((H95-1-הגדרות!$E$8*(הגדרות!$E$7+1))/הגדרות!$E$7)))</f>
        <v/>
      </c>
      <c r="J95" s="0" t="str">
        <f aca="false">IF(I95="","",IF(H95-1&lt;הגדרות!$E$8*(הגדרות!$E$7+1),MOD(H95-1,הגדרות!$E$7+1),MOD(H95-1-הגדרות!$E$8*(הגדרות!$E$7+1),הגדרות!$E$7)))</f>
        <v/>
      </c>
      <c r="K95" s="0" t="str">
        <f aca="false">IF(I95="","",J95*הגדרות!$E$6+I95+1)</f>
        <v/>
      </c>
      <c r="L95" s="0" t="str">
        <f aca="false">IF(K95="","",MATCH(K95,$F$2:$F$5001,0))</f>
        <v/>
      </c>
      <c r="M95" s="0" t="str">
        <f aca="false">IF(I95="","",INDEX(הגדרות!$A$2:$A$21,MOD(I95+הגדרות!$E$9,הגדרות!$E$6)+1))</f>
        <v/>
      </c>
    </row>
    <row r="96" customFormat="false" ht="15" hidden="false" customHeight="false" outlineLevel="0" collapsed="false">
      <c r="A96" s="0" t="str">
        <f aca="false">IF('הדבקת לידים'!A96="","",IF(ISNUMBER('הדבקת לידים'!A96),IF(הגדרות!$E$2&gt;0,TEXT('הדבקת לידים'!A96,REPT("0",הגדרות!$E$2)),TEXT('הדבקת לידים'!A96,"0")),TRIM('הדבקת לידים'!A96)))</f>
        <v/>
      </c>
      <c r="B96" s="0" t="str">
        <f aca="false">IF('הדבקת לידים'!B96="","",IF(ISNUMBER('הדבקת לידים'!B96),IF(הגדרות!$E$3&gt;0,TEXT('הדבקת לידים'!B96,REPT("0",הגדרות!$E$3)),TEXT('הדבקת לידים'!B96,"0")),TRIM('הדבקת לידים'!B96)))</f>
        <v/>
      </c>
      <c r="C96" s="0" t="n">
        <f aca="false">IF(OR(A96&lt;&gt;"",B96&lt;&gt;""),1,0)</f>
        <v>0</v>
      </c>
      <c r="D96" s="0" t="str">
        <f aca="false">IF(C96=1,MOD(ABS(SIN(ROW()*12.9898+'הדבקת לידים'!$F$2*78.233+IFERROR(--RIGHT(A96,6),LEN(A96))*0.0137+IFERROR(--RIGHT(B96,6),LEN(B96))*0.0071))*43758.5453,1),"")</f>
        <v/>
      </c>
      <c r="E96" s="0" t="str">
        <f aca="false">IF(C96=1,INT(MOD(ABS(SIN(D96*7919.123+ROW()*0.618+'הדבקת לידים'!$F$2*1.3))*43758.5453,1)*1000000)*10000+ROW(),"")</f>
        <v/>
      </c>
      <c r="F96" s="0" t="str">
        <f aca="false">IF(E96="","",RANK(E96,$E$2:$E$5001,1))</f>
        <v/>
      </c>
      <c r="G96" s="0" t="n">
        <f aca="false">IF(A96="",0,IF(SUMPRODUCT(--($A$2:$A$5001=A96))&gt;1,1,0))</f>
        <v>0</v>
      </c>
      <c r="H96" s="0" t="n">
        <f aca="false">ROW()-1</f>
        <v>95</v>
      </c>
      <c r="I96" s="0" t="str">
        <f aca="false">IF(OR(הגדרות!$E$6=0,H96&gt;הגדרות!$E$5),"",IF(H96-1&lt;הגדרות!$E$8*(הגדרות!$E$7+1),INT((H96-1)/(הגדרות!$E$7+1)),הגדרות!$E$8+INT((H96-1-הגדרות!$E$8*(הגדרות!$E$7+1))/הגדרות!$E$7)))</f>
        <v/>
      </c>
      <c r="J96" s="0" t="str">
        <f aca="false">IF(I96="","",IF(H96-1&lt;הגדרות!$E$8*(הגדרות!$E$7+1),MOD(H96-1,הגדרות!$E$7+1),MOD(H96-1-הגדרות!$E$8*(הגדרות!$E$7+1),הגדרות!$E$7)))</f>
        <v/>
      </c>
      <c r="K96" s="0" t="str">
        <f aca="false">IF(I96="","",J96*הגדרות!$E$6+I96+1)</f>
        <v/>
      </c>
      <c r="L96" s="0" t="str">
        <f aca="false">IF(K96="","",MATCH(K96,$F$2:$F$5001,0))</f>
        <v/>
      </c>
      <c r="M96" s="0" t="str">
        <f aca="false">IF(I96="","",INDEX(הגדרות!$A$2:$A$21,MOD(I96+הגדרות!$E$9,הגדרות!$E$6)+1))</f>
        <v/>
      </c>
    </row>
    <row r="97" customFormat="false" ht="15" hidden="false" customHeight="false" outlineLevel="0" collapsed="false">
      <c r="A97" s="0" t="str">
        <f aca="false">IF('הדבקת לידים'!A97="","",IF(ISNUMBER('הדבקת לידים'!A97),IF(הגדרות!$E$2&gt;0,TEXT('הדבקת לידים'!A97,REPT("0",הגדרות!$E$2)),TEXT('הדבקת לידים'!A97,"0")),TRIM('הדבקת לידים'!A97)))</f>
        <v/>
      </c>
      <c r="B97" s="0" t="str">
        <f aca="false">IF('הדבקת לידים'!B97="","",IF(ISNUMBER('הדבקת לידים'!B97),IF(הגדרות!$E$3&gt;0,TEXT('הדבקת לידים'!B97,REPT("0",הגדרות!$E$3)),TEXT('הדבקת לידים'!B97,"0")),TRIM('הדבקת לידים'!B97)))</f>
        <v/>
      </c>
      <c r="C97" s="0" t="n">
        <f aca="false">IF(OR(A97&lt;&gt;"",B97&lt;&gt;""),1,0)</f>
        <v>0</v>
      </c>
      <c r="D97" s="0" t="str">
        <f aca="false">IF(C97=1,MOD(ABS(SIN(ROW()*12.9898+'הדבקת לידים'!$F$2*78.233+IFERROR(--RIGHT(A97,6),LEN(A97))*0.0137+IFERROR(--RIGHT(B97,6),LEN(B97))*0.0071))*43758.5453,1),"")</f>
        <v/>
      </c>
      <c r="E97" s="0" t="str">
        <f aca="false">IF(C97=1,INT(MOD(ABS(SIN(D97*7919.123+ROW()*0.618+'הדבקת לידים'!$F$2*1.3))*43758.5453,1)*1000000)*10000+ROW(),"")</f>
        <v/>
      </c>
      <c r="F97" s="0" t="str">
        <f aca="false">IF(E97="","",RANK(E97,$E$2:$E$5001,1))</f>
        <v/>
      </c>
      <c r="G97" s="0" t="n">
        <f aca="false">IF(A97="",0,IF(SUMPRODUCT(--($A$2:$A$5001=A97))&gt;1,1,0))</f>
        <v>0</v>
      </c>
      <c r="H97" s="0" t="n">
        <f aca="false">ROW()-1</f>
        <v>96</v>
      </c>
      <c r="I97" s="0" t="str">
        <f aca="false">IF(OR(הגדרות!$E$6=0,H97&gt;הגדרות!$E$5),"",IF(H97-1&lt;הגדרות!$E$8*(הגדרות!$E$7+1),INT((H97-1)/(הגדרות!$E$7+1)),הגדרות!$E$8+INT((H97-1-הגדרות!$E$8*(הגדרות!$E$7+1))/הגדרות!$E$7)))</f>
        <v/>
      </c>
      <c r="J97" s="0" t="str">
        <f aca="false">IF(I97="","",IF(H97-1&lt;הגדרות!$E$8*(הגדרות!$E$7+1),MOD(H97-1,הגדרות!$E$7+1),MOD(H97-1-הגדרות!$E$8*(הגדרות!$E$7+1),הגדרות!$E$7)))</f>
        <v/>
      </c>
      <c r="K97" s="0" t="str">
        <f aca="false">IF(I97="","",J97*הגדרות!$E$6+I97+1)</f>
        <v/>
      </c>
      <c r="L97" s="0" t="str">
        <f aca="false">IF(K97="","",MATCH(K97,$F$2:$F$5001,0))</f>
        <v/>
      </c>
      <c r="M97" s="0" t="str">
        <f aca="false">IF(I97="","",INDEX(הגדרות!$A$2:$A$21,MOD(I97+הגדרות!$E$9,הגדרות!$E$6)+1))</f>
        <v/>
      </c>
    </row>
    <row r="98" customFormat="false" ht="15" hidden="false" customHeight="false" outlineLevel="0" collapsed="false">
      <c r="A98" s="0" t="str">
        <f aca="false">IF('הדבקת לידים'!A98="","",IF(ISNUMBER('הדבקת לידים'!A98),IF(הגדרות!$E$2&gt;0,TEXT('הדבקת לידים'!A98,REPT("0",הגדרות!$E$2)),TEXT('הדבקת לידים'!A98,"0")),TRIM('הדבקת לידים'!A98)))</f>
        <v/>
      </c>
      <c r="B98" s="0" t="str">
        <f aca="false">IF('הדבקת לידים'!B98="","",IF(ISNUMBER('הדבקת לידים'!B98),IF(הגדרות!$E$3&gt;0,TEXT('הדבקת לידים'!B98,REPT("0",הגדרות!$E$3)),TEXT('הדבקת לידים'!B98,"0")),TRIM('הדבקת לידים'!B98)))</f>
        <v/>
      </c>
      <c r="C98" s="0" t="n">
        <f aca="false">IF(OR(A98&lt;&gt;"",B98&lt;&gt;""),1,0)</f>
        <v>0</v>
      </c>
      <c r="D98" s="0" t="str">
        <f aca="false">IF(C98=1,MOD(ABS(SIN(ROW()*12.9898+'הדבקת לידים'!$F$2*78.233+IFERROR(--RIGHT(A98,6),LEN(A98))*0.0137+IFERROR(--RIGHT(B98,6),LEN(B98))*0.0071))*43758.5453,1),"")</f>
        <v/>
      </c>
      <c r="E98" s="0" t="str">
        <f aca="false">IF(C98=1,INT(MOD(ABS(SIN(D98*7919.123+ROW()*0.618+'הדבקת לידים'!$F$2*1.3))*43758.5453,1)*1000000)*10000+ROW(),"")</f>
        <v/>
      </c>
      <c r="F98" s="0" t="str">
        <f aca="false">IF(E98="","",RANK(E98,$E$2:$E$5001,1))</f>
        <v/>
      </c>
      <c r="G98" s="0" t="n">
        <f aca="false">IF(A98="",0,IF(SUMPRODUCT(--($A$2:$A$5001=A98))&gt;1,1,0))</f>
        <v>0</v>
      </c>
      <c r="H98" s="0" t="n">
        <f aca="false">ROW()-1</f>
        <v>97</v>
      </c>
      <c r="I98" s="0" t="str">
        <f aca="false">IF(OR(הגדרות!$E$6=0,H98&gt;הגדרות!$E$5),"",IF(H98-1&lt;הגדרות!$E$8*(הגדרות!$E$7+1),INT((H98-1)/(הגדרות!$E$7+1)),הגדרות!$E$8+INT((H98-1-הגדרות!$E$8*(הגדרות!$E$7+1))/הגדרות!$E$7)))</f>
        <v/>
      </c>
      <c r="J98" s="0" t="str">
        <f aca="false">IF(I98="","",IF(H98-1&lt;הגדרות!$E$8*(הגדרות!$E$7+1),MOD(H98-1,הגדרות!$E$7+1),MOD(H98-1-הגדרות!$E$8*(הגדרות!$E$7+1),הגדרות!$E$7)))</f>
        <v/>
      </c>
      <c r="K98" s="0" t="str">
        <f aca="false">IF(I98="","",J98*הגדרות!$E$6+I98+1)</f>
        <v/>
      </c>
      <c r="L98" s="0" t="str">
        <f aca="false">IF(K98="","",MATCH(K98,$F$2:$F$5001,0))</f>
        <v/>
      </c>
      <c r="M98" s="0" t="str">
        <f aca="false">IF(I98="","",INDEX(הגדרות!$A$2:$A$21,MOD(I98+הגדרות!$E$9,הגדרות!$E$6)+1))</f>
        <v/>
      </c>
    </row>
    <row r="99" customFormat="false" ht="15" hidden="false" customHeight="false" outlineLevel="0" collapsed="false">
      <c r="A99" s="0" t="str">
        <f aca="false">IF('הדבקת לידים'!A99="","",IF(ISNUMBER('הדבקת לידים'!A99),IF(הגדרות!$E$2&gt;0,TEXT('הדבקת לידים'!A99,REPT("0",הגדרות!$E$2)),TEXT('הדבקת לידים'!A99,"0")),TRIM('הדבקת לידים'!A99)))</f>
        <v/>
      </c>
      <c r="B99" s="0" t="str">
        <f aca="false">IF('הדבקת לידים'!B99="","",IF(ISNUMBER('הדבקת לידים'!B99),IF(הגדרות!$E$3&gt;0,TEXT('הדבקת לידים'!B99,REPT("0",הגדרות!$E$3)),TEXT('הדבקת לידים'!B99,"0")),TRIM('הדבקת לידים'!B99)))</f>
        <v/>
      </c>
      <c r="C99" s="0" t="n">
        <f aca="false">IF(OR(A99&lt;&gt;"",B99&lt;&gt;""),1,0)</f>
        <v>0</v>
      </c>
      <c r="D99" s="0" t="str">
        <f aca="false">IF(C99=1,MOD(ABS(SIN(ROW()*12.9898+'הדבקת לידים'!$F$2*78.233+IFERROR(--RIGHT(A99,6),LEN(A99))*0.0137+IFERROR(--RIGHT(B99,6),LEN(B99))*0.0071))*43758.5453,1),"")</f>
        <v/>
      </c>
      <c r="E99" s="0" t="str">
        <f aca="false">IF(C99=1,INT(MOD(ABS(SIN(D99*7919.123+ROW()*0.618+'הדבקת לידים'!$F$2*1.3))*43758.5453,1)*1000000)*10000+ROW(),"")</f>
        <v/>
      </c>
      <c r="F99" s="0" t="str">
        <f aca="false">IF(E99="","",RANK(E99,$E$2:$E$5001,1))</f>
        <v/>
      </c>
      <c r="G99" s="0" t="n">
        <f aca="false">IF(A99="",0,IF(SUMPRODUCT(--($A$2:$A$5001=A99))&gt;1,1,0))</f>
        <v>0</v>
      </c>
      <c r="H99" s="0" t="n">
        <f aca="false">ROW()-1</f>
        <v>98</v>
      </c>
      <c r="I99" s="0" t="str">
        <f aca="false">IF(OR(הגדרות!$E$6=0,H99&gt;הגדרות!$E$5),"",IF(H99-1&lt;הגדרות!$E$8*(הגדרות!$E$7+1),INT((H99-1)/(הגדרות!$E$7+1)),הגדרות!$E$8+INT((H99-1-הגדרות!$E$8*(הגדרות!$E$7+1))/הגדרות!$E$7)))</f>
        <v/>
      </c>
      <c r="J99" s="0" t="str">
        <f aca="false">IF(I99="","",IF(H99-1&lt;הגדרות!$E$8*(הגדרות!$E$7+1),MOD(H99-1,הגדרות!$E$7+1),MOD(H99-1-הגדרות!$E$8*(הגדרות!$E$7+1),הגדרות!$E$7)))</f>
        <v/>
      </c>
      <c r="K99" s="0" t="str">
        <f aca="false">IF(I99="","",J99*הגדרות!$E$6+I99+1)</f>
        <v/>
      </c>
      <c r="L99" s="0" t="str">
        <f aca="false">IF(K99="","",MATCH(K99,$F$2:$F$5001,0))</f>
        <v/>
      </c>
      <c r="M99" s="0" t="str">
        <f aca="false">IF(I99="","",INDEX(הגדרות!$A$2:$A$21,MOD(I99+הגדרות!$E$9,הגדרות!$E$6)+1))</f>
        <v/>
      </c>
    </row>
    <row r="100" customFormat="false" ht="15" hidden="false" customHeight="false" outlineLevel="0" collapsed="false">
      <c r="A100" s="0" t="str">
        <f aca="false">IF('הדבקת לידים'!A100="","",IF(ISNUMBER('הדבקת לידים'!A100),IF(הגדרות!$E$2&gt;0,TEXT('הדבקת לידים'!A100,REPT("0",הגדרות!$E$2)),TEXT('הדבקת לידים'!A100,"0")),TRIM('הדבקת לידים'!A100)))</f>
        <v/>
      </c>
      <c r="B100" s="0" t="str">
        <f aca="false">IF('הדבקת לידים'!B100="","",IF(ISNUMBER('הדבקת לידים'!B100),IF(הגדרות!$E$3&gt;0,TEXT('הדבקת לידים'!B100,REPT("0",הגדרות!$E$3)),TEXT('הדבקת לידים'!B100,"0")),TRIM('הדבקת לידים'!B100)))</f>
        <v/>
      </c>
      <c r="C100" s="0" t="n">
        <f aca="false">IF(OR(A100&lt;&gt;"",B100&lt;&gt;""),1,0)</f>
        <v>0</v>
      </c>
      <c r="D100" s="0" t="str">
        <f aca="false">IF(C100=1,MOD(ABS(SIN(ROW()*12.9898+'הדבקת לידים'!$F$2*78.233+IFERROR(--RIGHT(A100,6),LEN(A100))*0.0137+IFERROR(--RIGHT(B100,6),LEN(B100))*0.0071))*43758.5453,1),"")</f>
        <v/>
      </c>
      <c r="E100" s="0" t="str">
        <f aca="false">IF(C100=1,INT(MOD(ABS(SIN(D100*7919.123+ROW()*0.618+'הדבקת לידים'!$F$2*1.3))*43758.5453,1)*1000000)*10000+ROW(),"")</f>
        <v/>
      </c>
      <c r="F100" s="0" t="str">
        <f aca="false">IF(E100="","",RANK(E100,$E$2:$E$5001,1))</f>
        <v/>
      </c>
      <c r="G100" s="0" t="n">
        <f aca="false">IF(A100="",0,IF(SUMPRODUCT(--($A$2:$A$5001=A100))&gt;1,1,0))</f>
        <v>0</v>
      </c>
      <c r="H100" s="0" t="n">
        <f aca="false">ROW()-1</f>
        <v>99</v>
      </c>
      <c r="I100" s="0" t="str">
        <f aca="false">IF(OR(הגדרות!$E$6=0,H100&gt;הגדרות!$E$5),"",IF(H100-1&lt;הגדרות!$E$8*(הגדרות!$E$7+1),INT((H100-1)/(הגדרות!$E$7+1)),הגדרות!$E$8+INT((H100-1-הגדרות!$E$8*(הגדרות!$E$7+1))/הגדרות!$E$7)))</f>
        <v/>
      </c>
      <c r="J100" s="0" t="str">
        <f aca="false">IF(I100="","",IF(H100-1&lt;הגדרות!$E$8*(הגדרות!$E$7+1),MOD(H100-1,הגדרות!$E$7+1),MOD(H100-1-הגדרות!$E$8*(הגדרות!$E$7+1),הגדרות!$E$7)))</f>
        <v/>
      </c>
      <c r="K100" s="0" t="str">
        <f aca="false">IF(I100="","",J100*הגדרות!$E$6+I100+1)</f>
        <v/>
      </c>
      <c r="L100" s="0" t="str">
        <f aca="false">IF(K100="","",MATCH(K100,$F$2:$F$5001,0))</f>
        <v/>
      </c>
      <c r="M100" s="0" t="str">
        <f aca="false">IF(I100="","",INDEX(הגדרות!$A$2:$A$21,MOD(I100+הגדרות!$E$9,הגדרות!$E$6)+1))</f>
        <v/>
      </c>
    </row>
    <row r="101" customFormat="false" ht="15" hidden="false" customHeight="false" outlineLevel="0" collapsed="false">
      <c r="A101" s="0" t="str">
        <f aca="false">IF('הדבקת לידים'!A101="","",IF(ISNUMBER('הדבקת לידים'!A101),IF(הגדרות!$E$2&gt;0,TEXT('הדבקת לידים'!A101,REPT("0",הגדרות!$E$2)),TEXT('הדבקת לידים'!A101,"0")),TRIM('הדבקת לידים'!A101)))</f>
        <v/>
      </c>
      <c r="B101" s="0" t="str">
        <f aca="false">IF('הדבקת לידים'!B101="","",IF(ISNUMBER('הדבקת לידים'!B101),IF(הגדרות!$E$3&gt;0,TEXT('הדבקת לידים'!B101,REPT("0",הגדרות!$E$3)),TEXT('הדבקת לידים'!B101,"0")),TRIM('הדבקת לידים'!B101)))</f>
        <v/>
      </c>
      <c r="C101" s="0" t="n">
        <f aca="false">IF(OR(A101&lt;&gt;"",B101&lt;&gt;""),1,0)</f>
        <v>0</v>
      </c>
      <c r="D101" s="0" t="str">
        <f aca="false">IF(C101=1,MOD(ABS(SIN(ROW()*12.9898+'הדבקת לידים'!$F$2*78.233+IFERROR(--RIGHT(A101,6),LEN(A101))*0.0137+IFERROR(--RIGHT(B101,6),LEN(B101))*0.0071))*43758.5453,1),"")</f>
        <v/>
      </c>
      <c r="E101" s="0" t="str">
        <f aca="false">IF(C101=1,INT(MOD(ABS(SIN(D101*7919.123+ROW()*0.618+'הדבקת לידים'!$F$2*1.3))*43758.5453,1)*1000000)*10000+ROW(),"")</f>
        <v/>
      </c>
      <c r="F101" s="0" t="str">
        <f aca="false">IF(E101="","",RANK(E101,$E$2:$E$5001,1))</f>
        <v/>
      </c>
      <c r="G101" s="0" t="n">
        <f aca="false">IF(A101="",0,IF(SUMPRODUCT(--($A$2:$A$5001=A101))&gt;1,1,0))</f>
        <v>0</v>
      </c>
      <c r="H101" s="0" t="n">
        <f aca="false">ROW()-1</f>
        <v>100</v>
      </c>
      <c r="I101" s="0" t="str">
        <f aca="false">IF(OR(הגדרות!$E$6=0,H101&gt;הגדרות!$E$5),"",IF(H101-1&lt;הגדרות!$E$8*(הגדרות!$E$7+1),INT((H101-1)/(הגדרות!$E$7+1)),הגדרות!$E$8+INT((H101-1-הגדרות!$E$8*(הגדרות!$E$7+1))/הגדרות!$E$7)))</f>
        <v/>
      </c>
      <c r="J101" s="0" t="str">
        <f aca="false">IF(I101="","",IF(H101-1&lt;הגדרות!$E$8*(הגדרות!$E$7+1),MOD(H101-1,הגדרות!$E$7+1),MOD(H101-1-הגדרות!$E$8*(הגדרות!$E$7+1),הגדרות!$E$7)))</f>
        <v/>
      </c>
      <c r="K101" s="0" t="str">
        <f aca="false">IF(I101="","",J101*הגדרות!$E$6+I101+1)</f>
        <v/>
      </c>
      <c r="L101" s="0" t="str">
        <f aca="false">IF(K101="","",MATCH(K101,$F$2:$F$5001,0))</f>
        <v/>
      </c>
      <c r="M101" s="0" t="str">
        <f aca="false">IF(I101="","",INDEX(הגדרות!$A$2:$A$21,MOD(I101+הגדרות!$E$9,הגדרות!$E$6)+1))</f>
        <v/>
      </c>
    </row>
    <row r="102" customFormat="false" ht="15" hidden="false" customHeight="false" outlineLevel="0" collapsed="false">
      <c r="A102" s="0" t="str">
        <f aca="false">IF('הדבקת לידים'!A102="","",IF(ISNUMBER('הדבקת לידים'!A102),IF(הגדרות!$E$2&gt;0,TEXT('הדבקת לידים'!A102,REPT("0",הגדרות!$E$2)),TEXT('הדבקת לידים'!A102,"0")),TRIM('הדבקת לידים'!A102)))</f>
        <v/>
      </c>
      <c r="B102" s="0" t="str">
        <f aca="false">IF('הדבקת לידים'!B102="","",IF(ISNUMBER('הדבקת לידים'!B102),IF(הגדרות!$E$3&gt;0,TEXT('הדבקת לידים'!B102,REPT("0",הגדרות!$E$3)),TEXT('הדבקת לידים'!B102,"0")),TRIM('הדבקת לידים'!B102)))</f>
        <v/>
      </c>
      <c r="C102" s="0" t="n">
        <f aca="false">IF(OR(A102&lt;&gt;"",B102&lt;&gt;""),1,0)</f>
        <v>0</v>
      </c>
      <c r="D102" s="0" t="str">
        <f aca="false">IF(C102=1,MOD(ABS(SIN(ROW()*12.9898+'הדבקת לידים'!$F$2*78.233+IFERROR(--RIGHT(A102,6),LEN(A102))*0.0137+IFERROR(--RIGHT(B102,6),LEN(B102))*0.0071))*43758.5453,1),"")</f>
        <v/>
      </c>
      <c r="E102" s="0" t="str">
        <f aca="false">IF(C102=1,INT(MOD(ABS(SIN(D102*7919.123+ROW()*0.618+'הדבקת לידים'!$F$2*1.3))*43758.5453,1)*1000000)*10000+ROW(),"")</f>
        <v/>
      </c>
      <c r="F102" s="0" t="str">
        <f aca="false">IF(E102="","",RANK(E102,$E$2:$E$5001,1))</f>
        <v/>
      </c>
      <c r="G102" s="0" t="n">
        <f aca="false">IF(A102="",0,IF(SUMPRODUCT(--($A$2:$A$5001=A102))&gt;1,1,0))</f>
        <v>0</v>
      </c>
      <c r="H102" s="0" t="n">
        <f aca="false">ROW()-1</f>
        <v>101</v>
      </c>
      <c r="I102" s="0" t="str">
        <f aca="false">IF(OR(הגדרות!$E$6=0,H102&gt;הגדרות!$E$5),"",IF(H102-1&lt;הגדרות!$E$8*(הגדרות!$E$7+1),INT((H102-1)/(הגדרות!$E$7+1)),הגדרות!$E$8+INT((H102-1-הגדרות!$E$8*(הגדרות!$E$7+1))/הגדרות!$E$7)))</f>
        <v/>
      </c>
      <c r="J102" s="0" t="str">
        <f aca="false">IF(I102="","",IF(H102-1&lt;הגדרות!$E$8*(הגדרות!$E$7+1),MOD(H102-1,הגדרות!$E$7+1),MOD(H102-1-הגדרות!$E$8*(הגדרות!$E$7+1),הגדרות!$E$7)))</f>
        <v/>
      </c>
      <c r="K102" s="0" t="str">
        <f aca="false">IF(I102="","",J102*הגדרות!$E$6+I102+1)</f>
        <v/>
      </c>
      <c r="L102" s="0" t="str">
        <f aca="false">IF(K102="","",MATCH(K102,$F$2:$F$5001,0))</f>
        <v/>
      </c>
      <c r="M102" s="0" t="str">
        <f aca="false">IF(I102="","",INDEX(הגדרות!$A$2:$A$21,MOD(I102+הגדרות!$E$9,הגדרות!$E$6)+1))</f>
        <v/>
      </c>
    </row>
    <row r="103" customFormat="false" ht="15" hidden="false" customHeight="false" outlineLevel="0" collapsed="false">
      <c r="A103" s="0" t="str">
        <f aca="false">IF('הדבקת לידים'!A103="","",IF(ISNUMBER('הדבקת לידים'!A103),IF(הגדרות!$E$2&gt;0,TEXT('הדבקת לידים'!A103,REPT("0",הגדרות!$E$2)),TEXT('הדבקת לידים'!A103,"0")),TRIM('הדבקת לידים'!A103)))</f>
        <v/>
      </c>
      <c r="B103" s="0" t="str">
        <f aca="false">IF('הדבקת לידים'!B103="","",IF(ISNUMBER('הדבקת לידים'!B103),IF(הגדרות!$E$3&gt;0,TEXT('הדבקת לידים'!B103,REPT("0",הגדרות!$E$3)),TEXT('הדבקת לידים'!B103,"0")),TRIM('הדבקת לידים'!B103)))</f>
        <v/>
      </c>
      <c r="C103" s="0" t="n">
        <f aca="false">IF(OR(A103&lt;&gt;"",B103&lt;&gt;""),1,0)</f>
        <v>0</v>
      </c>
      <c r="D103" s="0" t="str">
        <f aca="false">IF(C103=1,MOD(ABS(SIN(ROW()*12.9898+'הדבקת לידים'!$F$2*78.233+IFERROR(--RIGHT(A103,6),LEN(A103))*0.0137+IFERROR(--RIGHT(B103,6),LEN(B103))*0.0071))*43758.5453,1),"")</f>
        <v/>
      </c>
      <c r="E103" s="0" t="str">
        <f aca="false">IF(C103=1,INT(MOD(ABS(SIN(D103*7919.123+ROW()*0.618+'הדבקת לידים'!$F$2*1.3))*43758.5453,1)*1000000)*10000+ROW(),"")</f>
        <v/>
      </c>
      <c r="F103" s="0" t="str">
        <f aca="false">IF(E103="","",RANK(E103,$E$2:$E$5001,1))</f>
        <v/>
      </c>
      <c r="G103" s="0" t="n">
        <f aca="false">IF(A103="",0,IF(SUMPRODUCT(--($A$2:$A$5001=A103))&gt;1,1,0))</f>
        <v>0</v>
      </c>
      <c r="H103" s="0" t="n">
        <f aca="false">ROW()-1</f>
        <v>102</v>
      </c>
      <c r="I103" s="0" t="str">
        <f aca="false">IF(OR(הגדרות!$E$6=0,H103&gt;הגדרות!$E$5),"",IF(H103-1&lt;הגדרות!$E$8*(הגדרות!$E$7+1),INT((H103-1)/(הגדרות!$E$7+1)),הגדרות!$E$8+INT((H103-1-הגדרות!$E$8*(הגדרות!$E$7+1))/הגדרות!$E$7)))</f>
        <v/>
      </c>
      <c r="J103" s="0" t="str">
        <f aca="false">IF(I103="","",IF(H103-1&lt;הגדרות!$E$8*(הגדרות!$E$7+1),MOD(H103-1,הגדרות!$E$7+1),MOD(H103-1-הגדרות!$E$8*(הגדרות!$E$7+1),הגדרות!$E$7)))</f>
        <v/>
      </c>
      <c r="K103" s="0" t="str">
        <f aca="false">IF(I103="","",J103*הגדרות!$E$6+I103+1)</f>
        <v/>
      </c>
      <c r="L103" s="0" t="str">
        <f aca="false">IF(K103="","",MATCH(K103,$F$2:$F$5001,0))</f>
        <v/>
      </c>
      <c r="M103" s="0" t="str">
        <f aca="false">IF(I103="","",INDEX(הגדרות!$A$2:$A$21,MOD(I103+הגדרות!$E$9,הגדרות!$E$6)+1))</f>
        <v/>
      </c>
    </row>
    <row r="104" customFormat="false" ht="15" hidden="false" customHeight="false" outlineLevel="0" collapsed="false">
      <c r="A104" s="0" t="str">
        <f aca="false">IF('הדבקת לידים'!A104="","",IF(ISNUMBER('הדבקת לידים'!A104),IF(הגדרות!$E$2&gt;0,TEXT('הדבקת לידים'!A104,REPT("0",הגדרות!$E$2)),TEXT('הדבקת לידים'!A104,"0")),TRIM('הדבקת לידים'!A104)))</f>
        <v/>
      </c>
      <c r="B104" s="0" t="str">
        <f aca="false">IF('הדבקת לידים'!B104="","",IF(ISNUMBER('הדבקת לידים'!B104),IF(הגדרות!$E$3&gt;0,TEXT('הדבקת לידים'!B104,REPT("0",הגדרות!$E$3)),TEXT('הדבקת לידים'!B104,"0")),TRIM('הדבקת לידים'!B104)))</f>
        <v/>
      </c>
      <c r="C104" s="0" t="n">
        <f aca="false">IF(OR(A104&lt;&gt;"",B104&lt;&gt;""),1,0)</f>
        <v>0</v>
      </c>
      <c r="D104" s="0" t="str">
        <f aca="false">IF(C104=1,MOD(ABS(SIN(ROW()*12.9898+'הדבקת לידים'!$F$2*78.233+IFERROR(--RIGHT(A104,6),LEN(A104))*0.0137+IFERROR(--RIGHT(B104,6),LEN(B104))*0.0071))*43758.5453,1),"")</f>
        <v/>
      </c>
      <c r="E104" s="0" t="str">
        <f aca="false">IF(C104=1,INT(MOD(ABS(SIN(D104*7919.123+ROW()*0.618+'הדבקת לידים'!$F$2*1.3))*43758.5453,1)*1000000)*10000+ROW(),"")</f>
        <v/>
      </c>
      <c r="F104" s="0" t="str">
        <f aca="false">IF(E104="","",RANK(E104,$E$2:$E$5001,1))</f>
        <v/>
      </c>
      <c r="G104" s="0" t="n">
        <f aca="false">IF(A104="",0,IF(SUMPRODUCT(--($A$2:$A$5001=A104))&gt;1,1,0))</f>
        <v>0</v>
      </c>
      <c r="H104" s="0" t="n">
        <f aca="false">ROW()-1</f>
        <v>103</v>
      </c>
      <c r="I104" s="0" t="str">
        <f aca="false">IF(OR(הגדרות!$E$6=0,H104&gt;הגדרות!$E$5),"",IF(H104-1&lt;הגדרות!$E$8*(הגדרות!$E$7+1),INT((H104-1)/(הגדרות!$E$7+1)),הגדרות!$E$8+INT((H104-1-הגדרות!$E$8*(הגדרות!$E$7+1))/הגדרות!$E$7)))</f>
        <v/>
      </c>
      <c r="J104" s="0" t="str">
        <f aca="false">IF(I104="","",IF(H104-1&lt;הגדרות!$E$8*(הגדרות!$E$7+1),MOD(H104-1,הגדרות!$E$7+1),MOD(H104-1-הגדרות!$E$8*(הגדרות!$E$7+1),הגדרות!$E$7)))</f>
        <v/>
      </c>
      <c r="K104" s="0" t="str">
        <f aca="false">IF(I104="","",J104*הגדרות!$E$6+I104+1)</f>
        <v/>
      </c>
      <c r="L104" s="0" t="str">
        <f aca="false">IF(K104="","",MATCH(K104,$F$2:$F$5001,0))</f>
        <v/>
      </c>
      <c r="M104" s="0" t="str">
        <f aca="false">IF(I104="","",INDEX(הגדרות!$A$2:$A$21,MOD(I104+הגדרות!$E$9,הגדרות!$E$6)+1))</f>
        <v/>
      </c>
    </row>
    <row r="105" customFormat="false" ht="15" hidden="false" customHeight="false" outlineLevel="0" collapsed="false">
      <c r="A105" s="0" t="str">
        <f aca="false">IF('הדבקת לידים'!A105="","",IF(ISNUMBER('הדבקת לידים'!A105),IF(הגדרות!$E$2&gt;0,TEXT('הדבקת לידים'!A105,REPT("0",הגדרות!$E$2)),TEXT('הדבקת לידים'!A105,"0")),TRIM('הדבקת לידים'!A105)))</f>
        <v/>
      </c>
      <c r="B105" s="0" t="str">
        <f aca="false">IF('הדבקת לידים'!B105="","",IF(ISNUMBER('הדבקת לידים'!B105),IF(הגדרות!$E$3&gt;0,TEXT('הדבקת לידים'!B105,REPT("0",הגדרות!$E$3)),TEXT('הדבקת לידים'!B105,"0")),TRIM('הדבקת לידים'!B105)))</f>
        <v/>
      </c>
      <c r="C105" s="0" t="n">
        <f aca="false">IF(OR(A105&lt;&gt;"",B105&lt;&gt;""),1,0)</f>
        <v>0</v>
      </c>
      <c r="D105" s="0" t="str">
        <f aca="false">IF(C105=1,MOD(ABS(SIN(ROW()*12.9898+'הדבקת לידים'!$F$2*78.233+IFERROR(--RIGHT(A105,6),LEN(A105))*0.0137+IFERROR(--RIGHT(B105,6),LEN(B105))*0.0071))*43758.5453,1),"")</f>
        <v/>
      </c>
      <c r="E105" s="0" t="str">
        <f aca="false">IF(C105=1,INT(MOD(ABS(SIN(D105*7919.123+ROW()*0.618+'הדבקת לידים'!$F$2*1.3))*43758.5453,1)*1000000)*10000+ROW(),"")</f>
        <v/>
      </c>
      <c r="F105" s="0" t="str">
        <f aca="false">IF(E105="","",RANK(E105,$E$2:$E$5001,1))</f>
        <v/>
      </c>
      <c r="G105" s="0" t="n">
        <f aca="false">IF(A105="",0,IF(SUMPRODUCT(--($A$2:$A$5001=A105))&gt;1,1,0))</f>
        <v>0</v>
      </c>
      <c r="H105" s="0" t="n">
        <f aca="false">ROW()-1</f>
        <v>104</v>
      </c>
      <c r="I105" s="0" t="str">
        <f aca="false">IF(OR(הגדרות!$E$6=0,H105&gt;הגדרות!$E$5),"",IF(H105-1&lt;הגדרות!$E$8*(הגדרות!$E$7+1),INT((H105-1)/(הגדרות!$E$7+1)),הגדרות!$E$8+INT((H105-1-הגדרות!$E$8*(הגדרות!$E$7+1))/הגדרות!$E$7)))</f>
        <v/>
      </c>
      <c r="J105" s="0" t="str">
        <f aca="false">IF(I105="","",IF(H105-1&lt;הגדרות!$E$8*(הגדרות!$E$7+1),MOD(H105-1,הגדרות!$E$7+1),MOD(H105-1-הגדרות!$E$8*(הגדרות!$E$7+1),הגדרות!$E$7)))</f>
        <v/>
      </c>
      <c r="K105" s="0" t="str">
        <f aca="false">IF(I105="","",J105*הגדרות!$E$6+I105+1)</f>
        <v/>
      </c>
      <c r="L105" s="0" t="str">
        <f aca="false">IF(K105="","",MATCH(K105,$F$2:$F$5001,0))</f>
        <v/>
      </c>
      <c r="M105" s="0" t="str">
        <f aca="false">IF(I105="","",INDEX(הגדרות!$A$2:$A$21,MOD(I105+הגדרות!$E$9,הגדרות!$E$6)+1))</f>
        <v/>
      </c>
    </row>
    <row r="106" customFormat="false" ht="15" hidden="false" customHeight="false" outlineLevel="0" collapsed="false">
      <c r="A106" s="0" t="str">
        <f aca="false">IF('הדבקת לידים'!A106="","",IF(ISNUMBER('הדבקת לידים'!A106),IF(הגדרות!$E$2&gt;0,TEXT('הדבקת לידים'!A106,REPT("0",הגדרות!$E$2)),TEXT('הדבקת לידים'!A106,"0")),TRIM('הדבקת לידים'!A106)))</f>
        <v/>
      </c>
      <c r="B106" s="0" t="str">
        <f aca="false">IF('הדבקת לידים'!B106="","",IF(ISNUMBER('הדבקת לידים'!B106),IF(הגדרות!$E$3&gt;0,TEXT('הדבקת לידים'!B106,REPT("0",הגדרות!$E$3)),TEXT('הדבקת לידים'!B106,"0")),TRIM('הדבקת לידים'!B106)))</f>
        <v/>
      </c>
      <c r="C106" s="0" t="n">
        <f aca="false">IF(OR(A106&lt;&gt;"",B106&lt;&gt;""),1,0)</f>
        <v>0</v>
      </c>
      <c r="D106" s="0" t="str">
        <f aca="false">IF(C106=1,MOD(ABS(SIN(ROW()*12.9898+'הדבקת לידים'!$F$2*78.233+IFERROR(--RIGHT(A106,6),LEN(A106))*0.0137+IFERROR(--RIGHT(B106,6),LEN(B106))*0.0071))*43758.5453,1),"")</f>
        <v/>
      </c>
      <c r="E106" s="0" t="str">
        <f aca="false">IF(C106=1,INT(MOD(ABS(SIN(D106*7919.123+ROW()*0.618+'הדבקת לידים'!$F$2*1.3))*43758.5453,1)*1000000)*10000+ROW(),"")</f>
        <v/>
      </c>
      <c r="F106" s="0" t="str">
        <f aca="false">IF(E106="","",RANK(E106,$E$2:$E$5001,1))</f>
        <v/>
      </c>
      <c r="G106" s="0" t="n">
        <f aca="false">IF(A106="",0,IF(SUMPRODUCT(--($A$2:$A$5001=A106))&gt;1,1,0))</f>
        <v>0</v>
      </c>
      <c r="H106" s="0" t="n">
        <f aca="false">ROW()-1</f>
        <v>105</v>
      </c>
      <c r="I106" s="0" t="str">
        <f aca="false">IF(OR(הגדרות!$E$6=0,H106&gt;הגדרות!$E$5),"",IF(H106-1&lt;הגדרות!$E$8*(הגדרות!$E$7+1),INT((H106-1)/(הגדרות!$E$7+1)),הגדרות!$E$8+INT((H106-1-הגדרות!$E$8*(הגדרות!$E$7+1))/הגדרות!$E$7)))</f>
        <v/>
      </c>
      <c r="J106" s="0" t="str">
        <f aca="false">IF(I106="","",IF(H106-1&lt;הגדרות!$E$8*(הגדרות!$E$7+1),MOD(H106-1,הגדרות!$E$7+1),MOD(H106-1-הגדרות!$E$8*(הגדרות!$E$7+1),הגדרות!$E$7)))</f>
        <v/>
      </c>
      <c r="K106" s="0" t="str">
        <f aca="false">IF(I106="","",J106*הגדרות!$E$6+I106+1)</f>
        <v/>
      </c>
      <c r="L106" s="0" t="str">
        <f aca="false">IF(K106="","",MATCH(K106,$F$2:$F$5001,0))</f>
        <v/>
      </c>
      <c r="M106" s="0" t="str">
        <f aca="false">IF(I106="","",INDEX(הגדרות!$A$2:$A$21,MOD(I106+הגדרות!$E$9,הגדרות!$E$6)+1))</f>
        <v/>
      </c>
    </row>
    <row r="107" customFormat="false" ht="15" hidden="false" customHeight="false" outlineLevel="0" collapsed="false">
      <c r="A107" s="0" t="str">
        <f aca="false">IF('הדבקת לידים'!A107="","",IF(ISNUMBER('הדבקת לידים'!A107),IF(הגדרות!$E$2&gt;0,TEXT('הדבקת לידים'!A107,REPT("0",הגדרות!$E$2)),TEXT('הדבקת לידים'!A107,"0")),TRIM('הדבקת לידים'!A107)))</f>
        <v/>
      </c>
      <c r="B107" s="0" t="str">
        <f aca="false">IF('הדבקת לידים'!B107="","",IF(ISNUMBER('הדבקת לידים'!B107),IF(הגדרות!$E$3&gt;0,TEXT('הדבקת לידים'!B107,REPT("0",הגדרות!$E$3)),TEXT('הדבקת לידים'!B107,"0")),TRIM('הדבקת לידים'!B107)))</f>
        <v/>
      </c>
      <c r="C107" s="0" t="n">
        <f aca="false">IF(OR(A107&lt;&gt;"",B107&lt;&gt;""),1,0)</f>
        <v>0</v>
      </c>
      <c r="D107" s="0" t="str">
        <f aca="false">IF(C107=1,MOD(ABS(SIN(ROW()*12.9898+'הדבקת לידים'!$F$2*78.233+IFERROR(--RIGHT(A107,6),LEN(A107))*0.0137+IFERROR(--RIGHT(B107,6),LEN(B107))*0.0071))*43758.5453,1),"")</f>
        <v/>
      </c>
      <c r="E107" s="0" t="str">
        <f aca="false">IF(C107=1,INT(MOD(ABS(SIN(D107*7919.123+ROW()*0.618+'הדבקת לידים'!$F$2*1.3))*43758.5453,1)*1000000)*10000+ROW(),"")</f>
        <v/>
      </c>
      <c r="F107" s="0" t="str">
        <f aca="false">IF(E107="","",RANK(E107,$E$2:$E$5001,1))</f>
        <v/>
      </c>
      <c r="G107" s="0" t="n">
        <f aca="false">IF(A107="",0,IF(SUMPRODUCT(--($A$2:$A$5001=A107))&gt;1,1,0))</f>
        <v>0</v>
      </c>
      <c r="H107" s="0" t="n">
        <f aca="false">ROW()-1</f>
        <v>106</v>
      </c>
      <c r="I107" s="0" t="str">
        <f aca="false">IF(OR(הגדרות!$E$6=0,H107&gt;הגדרות!$E$5),"",IF(H107-1&lt;הגדרות!$E$8*(הגדרות!$E$7+1),INT((H107-1)/(הגדרות!$E$7+1)),הגדרות!$E$8+INT((H107-1-הגדרות!$E$8*(הגדרות!$E$7+1))/הגדרות!$E$7)))</f>
        <v/>
      </c>
      <c r="J107" s="0" t="str">
        <f aca="false">IF(I107="","",IF(H107-1&lt;הגדרות!$E$8*(הגדרות!$E$7+1),MOD(H107-1,הגדרות!$E$7+1),MOD(H107-1-הגדרות!$E$8*(הגדרות!$E$7+1),הגדרות!$E$7)))</f>
        <v/>
      </c>
      <c r="K107" s="0" t="str">
        <f aca="false">IF(I107="","",J107*הגדרות!$E$6+I107+1)</f>
        <v/>
      </c>
      <c r="L107" s="0" t="str">
        <f aca="false">IF(K107="","",MATCH(K107,$F$2:$F$5001,0))</f>
        <v/>
      </c>
      <c r="M107" s="0" t="str">
        <f aca="false">IF(I107="","",INDEX(הגדרות!$A$2:$A$21,MOD(I107+הגדרות!$E$9,הגדרות!$E$6)+1))</f>
        <v/>
      </c>
    </row>
    <row r="108" customFormat="false" ht="15" hidden="false" customHeight="false" outlineLevel="0" collapsed="false">
      <c r="A108" s="0" t="str">
        <f aca="false">IF('הדבקת לידים'!A108="","",IF(ISNUMBER('הדבקת לידים'!A108),IF(הגדרות!$E$2&gt;0,TEXT('הדבקת לידים'!A108,REPT("0",הגדרות!$E$2)),TEXT('הדבקת לידים'!A108,"0")),TRIM('הדבקת לידים'!A108)))</f>
        <v/>
      </c>
      <c r="B108" s="0" t="str">
        <f aca="false">IF('הדבקת לידים'!B108="","",IF(ISNUMBER('הדבקת לידים'!B108),IF(הגדרות!$E$3&gt;0,TEXT('הדבקת לידים'!B108,REPT("0",הגדרות!$E$3)),TEXT('הדבקת לידים'!B108,"0")),TRIM('הדבקת לידים'!B108)))</f>
        <v/>
      </c>
      <c r="C108" s="0" t="n">
        <f aca="false">IF(OR(A108&lt;&gt;"",B108&lt;&gt;""),1,0)</f>
        <v>0</v>
      </c>
      <c r="D108" s="0" t="str">
        <f aca="false">IF(C108=1,MOD(ABS(SIN(ROW()*12.9898+'הדבקת לידים'!$F$2*78.233+IFERROR(--RIGHT(A108,6),LEN(A108))*0.0137+IFERROR(--RIGHT(B108,6),LEN(B108))*0.0071))*43758.5453,1),"")</f>
        <v/>
      </c>
      <c r="E108" s="0" t="str">
        <f aca="false">IF(C108=1,INT(MOD(ABS(SIN(D108*7919.123+ROW()*0.618+'הדבקת לידים'!$F$2*1.3))*43758.5453,1)*1000000)*10000+ROW(),"")</f>
        <v/>
      </c>
      <c r="F108" s="0" t="str">
        <f aca="false">IF(E108="","",RANK(E108,$E$2:$E$5001,1))</f>
        <v/>
      </c>
      <c r="G108" s="0" t="n">
        <f aca="false">IF(A108="",0,IF(SUMPRODUCT(--($A$2:$A$5001=A108))&gt;1,1,0))</f>
        <v>0</v>
      </c>
      <c r="H108" s="0" t="n">
        <f aca="false">ROW()-1</f>
        <v>107</v>
      </c>
      <c r="I108" s="0" t="str">
        <f aca="false">IF(OR(הגדרות!$E$6=0,H108&gt;הגדרות!$E$5),"",IF(H108-1&lt;הגדרות!$E$8*(הגדרות!$E$7+1),INT((H108-1)/(הגדרות!$E$7+1)),הגדרות!$E$8+INT((H108-1-הגדרות!$E$8*(הגדרות!$E$7+1))/הגדרות!$E$7)))</f>
        <v/>
      </c>
      <c r="J108" s="0" t="str">
        <f aca="false">IF(I108="","",IF(H108-1&lt;הגדרות!$E$8*(הגדרות!$E$7+1),MOD(H108-1,הגדרות!$E$7+1),MOD(H108-1-הגדרות!$E$8*(הגדרות!$E$7+1),הגדרות!$E$7)))</f>
        <v/>
      </c>
      <c r="K108" s="0" t="str">
        <f aca="false">IF(I108="","",J108*הגדרות!$E$6+I108+1)</f>
        <v/>
      </c>
      <c r="L108" s="0" t="str">
        <f aca="false">IF(K108="","",MATCH(K108,$F$2:$F$5001,0))</f>
        <v/>
      </c>
      <c r="M108" s="0" t="str">
        <f aca="false">IF(I108="","",INDEX(הגדרות!$A$2:$A$21,MOD(I108+הגדרות!$E$9,הגדרות!$E$6)+1))</f>
        <v/>
      </c>
    </row>
    <row r="109" customFormat="false" ht="15" hidden="false" customHeight="false" outlineLevel="0" collapsed="false">
      <c r="A109" s="0" t="str">
        <f aca="false">IF('הדבקת לידים'!A109="","",IF(ISNUMBER('הדבקת לידים'!A109),IF(הגדרות!$E$2&gt;0,TEXT('הדבקת לידים'!A109,REPT("0",הגדרות!$E$2)),TEXT('הדבקת לידים'!A109,"0")),TRIM('הדבקת לידים'!A109)))</f>
        <v/>
      </c>
      <c r="B109" s="0" t="str">
        <f aca="false">IF('הדבקת לידים'!B109="","",IF(ISNUMBER('הדבקת לידים'!B109),IF(הגדרות!$E$3&gt;0,TEXT('הדבקת לידים'!B109,REPT("0",הגדרות!$E$3)),TEXT('הדבקת לידים'!B109,"0")),TRIM('הדבקת לידים'!B109)))</f>
        <v/>
      </c>
      <c r="C109" s="0" t="n">
        <f aca="false">IF(OR(A109&lt;&gt;"",B109&lt;&gt;""),1,0)</f>
        <v>0</v>
      </c>
      <c r="D109" s="0" t="str">
        <f aca="false">IF(C109=1,MOD(ABS(SIN(ROW()*12.9898+'הדבקת לידים'!$F$2*78.233+IFERROR(--RIGHT(A109,6),LEN(A109))*0.0137+IFERROR(--RIGHT(B109,6),LEN(B109))*0.0071))*43758.5453,1),"")</f>
        <v/>
      </c>
      <c r="E109" s="0" t="str">
        <f aca="false">IF(C109=1,INT(MOD(ABS(SIN(D109*7919.123+ROW()*0.618+'הדבקת לידים'!$F$2*1.3))*43758.5453,1)*1000000)*10000+ROW(),"")</f>
        <v/>
      </c>
      <c r="F109" s="0" t="str">
        <f aca="false">IF(E109="","",RANK(E109,$E$2:$E$5001,1))</f>
        <v/>
      </c>
      <c r="G109" s="0" t="n">
        <f aca="false">IF(A109="",0,IF(SUMPRODUCT(--($A$2:$A$5001=A109))&gt;1,1,0))</f>
        <v>0</v>
      </c>
      <c r="H109" s="0" t="n">
        <f aca="false">ROW()-1</f>
        <v>108</v>
      </c>
      <c r="I109" s="0" t="str">
        <f aca="false">IF(OR(הגדרות!$E$6=0,H109&gt;הגדרות!$E$5),"",IF(H109-1&lt;הגדרות!$E$8*(הגדרות!$E$7+1),INT((H109-1)/(הגדרות!$E$7+1)),הגדרות!$E$8+INT((H109-1-הגדרות!$E$8*(הגדרות!$E$7+1))/הגדרות!$E$7)))</f>
        <v/>
      </c>
      <c r="J109" s="0" t="str">
        <f aca="false">IF(I109="","",IF(H109-1&lt;הגדרות!$E$8*(הגדרות!$E$7+1),MOD(H109-1,הגדרות!$E$7+1),MOD(H109-1-הגדרות!$E$8*(הגדרות!$E$7+1),הגדרות!$E$7)))</f>
        <v/>
      </c>
      <c r="K109" s="0" t="str">
        <f aca="false">IF(I109="","",J109*הגדרות!$E$6+I109+1)</f>
        <v/>
      </c>
      <c r="L109" s="0" t="str">
        <f aca="false">IF(K109="","",MATCH(K109,$F$2:$F$5001,0))</f>
        <v/>
      </c>
      <c r="M109" s="0" t="str">
        <f aca="false">IF(I109="","",INDEX(הגדרות!$A$2:$A$21,MOD(I109+הגדרות!$E$9,הגדרות!$E$6)+1))</f>
        <v/>
      </c>
    </row>
    <row r="110" customFormat="false" ht="15" hidden="false" customHeight="false" outlineLevel="0" collapsed="false">
      <c r="A110" s="0" t="str">
        <f aca="false">IF('הדבקת לידים'!A110="","",IF(ISNUMBER('הדבקת לידים'!A110),IF(הגדרות!$E$2&gt;0,TEXT('הדבקת לידים'!A110,REPT("0",הגדרות!$E$2)),TEXT('הדבקת לידים'!A110,"0")),TRIM('הדבקת לידים'!A110)))</f>
        <v/>
      </c>
      <c r="B110" s="0" t="str">
        <f aca="false">IF('הדבקת לידים'!B110="","",IF(ISNUMBER('הדבקת לידים'!B110),IF(הגדרות!$E$3&gt;0,TEXT('הדבקת לידים'!B110,REPT("0",הגדרות!$E$3)),TEXT('הדבקת לידים'!B110,"0")),TRIM('הדבקת לידים'!B110)))</f>
        <v/>
      </c>
      <c r="C110" s="0" t="n">
        <f aca="false">IF(OR(A110&lt;&gt;"",B110&lt;&gt;""),1,0)</f>
        <v>0</v>
      </c>
      <c r="D110" s="0" t="str">
        <f aca="false">IF(C110=1,MOD(ABS(SIN(ROW()*12.9898+'הדבקת לידים'!$F$2*78.233+IFERROR(--RIGHT(A110,6),LEN(A110))*0.0137+IFERROR(--RIGHT(B110,6),LEN(B110))*0.0071))*43758.5453,1),"")</f>
        <v/>
      </c>
      <c r="E110" s="0" t="str">
        <f aca="false">IF(C110=1,INT(MOD(ABS(SIN(D110*7919.123+ROW()*0.618+'הדבקת לידים'!$F$2*1.3))*43758.5453,1)*1000000)*10000+ROW(),"")</f>
        <v/>
      </c>
      <c r="F110" s="0" t="str">
        <f aca="false">IF(E110="","",RANK(E110,$E$2:$E$5001,1))</f>
        <v/>
      </c>
      <c r="G110" s="0" t="n">
        <f aca="false">IF(A110="",0,IF(SUMPRODUCT(--($A$2:$A$5001=A110))&gt;1,1,0))</f>
        <v>0</v>
      </c>
      <c r="H110" s="0" t="n">
        <f aca="false">ROW()-1</f>
        <v>109</v>
      </c>
      <c r="I110" s="0" t="str">
        <f aca="false">IF(OR(הגדרות!$E$6=0,H110&gt;הגדרות!$E$5),"",IF(H110-1&lt;הגדרות!$E$8*(הגדרות!$E$7+1),INT((H110-1)/(הגדרות!$E$7+1)),הגדרות!$E$8+INT((H110-1-הגדרות!$E$8*(הגדרות!$E$7+1))/הגדרות!$E$7)))</f>
        <v/>
      </c>
      <c r="J110" s="0" t="str">
        <f aca="false">IF(I110="","",IF(H110-1&lt;הגדרות!$E$8*(הגדרות!$E$7+1),MOD(H110-1,הגדרות!$E$7+1),MOD(H110-1-הגדרות!$E$8*(הגדרות!$E$7+1),הגדרות!$E$7)))</f>
        <v/>
      </c>
      <c r="K110" s="0" t="str">
        <f aca="false">IF(I110="","",J110*הגדרות!$E$6+I110+1)</f>
        <v/>
      </c>
      <c r="L110" s="0" t="str">
        <f aca="false">IF(K110="","",MATCH(K110,$F$2:$F$5001,0))</f>
        <v/>
      </c>
      <c r="M110" s="0" t="str">
        <f aca="false">IF(I110="","",INDEX(הגדרות!$A$2:$A$21,MOD(I110+הגדרות!$E$9,הגדרות!$E$6)+1))</f>
        <v/>
      </c>
    </row>
    <row r="111" customFormat="false" ht="15" hidden="false" customHeight="false" outlineLevel="0" collapsed="false">
      <c r="A111" s="0" t="str">
        <f aca="false">IF('הדבקת לידים'!A111="","",IF(ISNUMBER('הדבקת לידים'!A111),IF(הגדרות!$E$2&gt;0,TEXT('הדבקת לידים'!A111,REPT("0",הגדרות!$E$2)),TEXT('הדבקת לידים'!A111,"0")),TRIM('הדבקת לידים'!A111)))</f>
        <v/>
      </c>
      <c r="B111" s="0" t="str">
        <f aca="false">IF('הדבקת לידים'!B111="","",IF(ISNUMBER('הדבקת לידים'!B111),IF(הגדרות!$E$3&gt;0,TEXT('הדבקת לידים'!B111,REPT("0",הגדרות!$E$3)),TEXT('הדבקת לידים'!B111,"0")),TRIM('הדבקת לידים'!B111)))</f>
        <v/>
      </c>
      <c r="C111" s="0" t="n">
        <f aca="false">IF(OR(A111&lt;&gt;"",B111&lt;&gt;""),1,0)</f>
        <v>0</v>
      </c>
      <c r="D111" s="0" t="str">
        <f aca="false">IF(C111=1,MOD(ABS(SIN(ROW()*12.9898+'הדבקת לידים'!$F$2*78.233+IFERROR(--RIGHT(A111,6),LEN(A111))*0.0137+IFERROR(--RIGHT(B111,6),LEN(B111))*0.0071))*43758.5453,1),"")</f>
        <v/>
      </c>
      <c r="E111" s="0" t="str">
        <f aca="false">IF(C111=1,INT(MOD(ABS(SIN(D111*7919.123+ROW()*0.618+'הדבקת לידים'!$F$2*1.3))*43758.5453,1)*1000000)*10000+ROW(),"")</f>
        <v/>
      </c>
      <c r="F111" s="0" t="str">
        <f aca="false">IF(E111="","",RANK(E111,$E$2:$E$5001,1))</f>
        <v/>
      </c>
      <c r="G111" s="0" t="n">
        <f aca="false">IF(A111="",0,IF(SUMPRODUCT(--($A$2:$A$5001=A111))&gt;1,1,0))</f>
        <v>0</v>
      </c>
      <c r="H111" s="0" t="n">
        <f aca="false">ROW()-1</f>
        <v>110</v>
      </c>
      <c r="I111" s="0" t="str">
        <f aca="false">IF(OR(הגדרות!$E$6=0,H111&gt;הגדרות!$E$5),"",IF(H111-1&lt;הגדרות!$E$8*(הגדרות!$E$7+1),INT((H111-1)/(הגדרות!$E$7+1)),הגדרות!$E$8+INT((H111-1-הגדרות!$E$8*(הגדרות!$E$7+1))/הגדרות!$E$7)))</f>
        <v/>
      </c>
      <c r="J111" s="0" t="str">
        <f aca="false">IF(I111="","",IF(H111-1&lt;הגדרות!$E$8*(הגדרות!$E$7+1),MOD(H111-1,הגדרות!$E$7+1),MOD(H111-1-הגדרות!$E$8*(הגדרות!$E$7+1),הגדרות!$E$7)))</f>
        <v/>
      </c>
      <c r="K111" s="0" t="str">
        <f aca="false">IF(I111="","",J111*הגדרות!$E$6+I111+1)</f>
        <v/>
      </c>
      <c r="L111" s="0" t="str">
        <f aca="false">IF(K111="","",MATCH(K111,$F$2:$F$5001,0))</f>
        <v/>
      </c>
      <c r="M111" s="0" t="str">
        <f aca="false">IF(I111="","",INDEX(הגדרות!$A$2:$A$21,MOD(I111+הגדרות!$E$9,הגדרות!$E$6)+1))</f>
        <v/>
      </c>
    </row>
    <row r="112" customFormat="false" ht="15" hidden="false" customHeight="false" outlineLevel="0" collapsed="false">
      <c r="A112" s="0" t="str">
        <f aca="false">IF('הדבקת לידים'!A112="","",IF(ISNUMBER('הדבקת לידים'!A112),IF(הגדרות!$E$2&gt;0,TEXT('הדבקת לידים'!A112,REPT("0",הגדרות!$E$2)),TEXT('הדבקת לידים'!A112,"0")),TRIM('הדבקת לידים'!A112)))</f>
        <v/>
      </c>
      <c r="B112" s="0" t="str">
        <f aca="false">IF('הדבקת לידים'!B112="","",IF(ISNUMBER('הדבקת לידים'!B112),IF(הגדרות!$E$3&gt;0,TEXT('הדבקת לידים'!B112,REPT("0",הגדרות!$E$3)),TEXT('הדבקת לידים'!B112,"0")),TRIM('הדבקת לידים'!B112)))</f>
        <v/>
      </c>
      <c r="C112" s="0" t="n">
        <f aca="false">IF(OR(A112&lt;&gt;"",B112&lt;&gt;""),1,0)</f>
        <v>0</v>
      </c>
      <c r="D112" s="0" t="str">
        <f aca="false">IF(C112=1,MOD(ABS(SIN(ROW()*12.9898+'הדבקת לידים'!$F$2*78.233+IFERROR(--RIGHT(A112,6),LEN(A112))*0.0137+IFERROR(--RIGHT(B112,6),LEN(B112))*0.0071))*43758.5453,1),"")</f>
        <v/>
      </c>
      <c r="E112" s="0" t="str">
        <f aca="false">IF(C112=1,INT(MOD(ABS(SIN(D112*7919.123+ROW()*0.618+'הדבקת לידים'!$F$2*1.3))*43758.5453,1)*1000000)*10000+ROW(),"")</f>
        <v/>
      </c>
      <c r="F112" s="0" t="str">
        <f aca="false">IF(E112="","",RANK(E112,$E$2:$E$5001,1))</f>
        <v/>
      </c>
      <c r="G112" s="0" t="n">
        <f aca="false">IF(A112="",0,IF(SUMPRODUCT(--($A$2:$A$5001=A112))&gt;1,1,0))</f>
        <v>0</v>
      </c>
      <c r="H112" s="0" t="n">
        <f aca="false">ROW()-1</f>
        <v>111</v>
      </c>
      <c r="I112" s="0" t="str">
        <f aca="false">IF(OR(הגדרות!$E$6=0,H112&gt;הגדרות!$E$5),"",IF(H112-1&lt;הגדרות!$E$8*(הגדרות!$E$7+1),INT((H112-1)/(הגדרות!$E$7+1)),הגדרות!$E$8+INT((H112-1-הגדרות!$E$8*(הגדרות!$E$7+1))/הגדרות!$E$7)))</f>
        <v/>
      </c>
      <c r="J112" s="0" t="str">
        <f aca="false">IF(I112="","",IF(H112-1&lt;הגדרות!$E$8*(הגדרות!$E$7+1),MOD(H112-1,הגדרות!$E$7+1),MOD(H112-1-הגדרות!$E$8*(הגדרות!$E$7+1),הגדרות!$E$7)))</f>
        <v/>
      </c>
      <c r="K112" s="0" t="str">
        <f aca="false">IF(I112="","",J112*הגדרות!$E$6+I112+1)</f>
        <v/>
      </c>
      <c r="L112" s="0" t="str">
        <f aca="false">IF(K112="","",MATCH(K112,$F$2:$F$5001,0))</f>
        <v/>
      </c>
      <c r="M112" s="0" t="str">
        <f aca="false">IF(I112="","",INDEX(הגדרות!$A$2:$A$21,MOD(I112+הגדרות!$E$9,הגדרות!$E$6)+1))</f>
        <v/>
      </c>
    </row>
    <row r="113" customFormat="false" ht="15" hidden="false" customHeight="false" outlineLevel="0" collapsed="false">
      <c r="A113" s="0" t="str">
        <f aca="false">IF('הדבקת לידים'!A113="","",IF(ISNUMBER('הדבקת לידים'!A113),IF(הגדרות!$E$2&gt;0,TEXT('הדבקת לידים'!A113,REPT("0",הגדרות!$E$2)),TEXT('הדבקת לידים'!A113,"0")),TRIM('הדבקת לידים'!A113)))</f>
        <v/>
      </c>
      <c r="B113" s="0" t="str">
        <f aca="false">IF('הדבקת לידים'!B113="","",IF(ISNUMBER('הדבקת לידים'!B113),IF(הגדרות!$E$3&gt;0,TEXT('הדבקת לידים'!B113,REPT("0",הגדרות!$E$3)),TEXT('הדבקת לידים'!B113,"0")),TRIM('הדבקת לידים'!B113)))</f>
        <v/>
      </c>
      <c r="C113" s="0" t="n">
        <f aca="false">IF(OR(A113&lt;&gt;"",B113&lt;&gt;""),1,0)</f>
        <v>0</v>
      </c>
      <c r="D113" s="0" t="str">
        <f aca="false">IF(C113=1,MOD(ABS(SIN(ROW()*12.9898+'הדבקת לידים'!$F$2*78.233+IFERROR(--RIGHT(A113,6),LEN(A113))*0.0137+IFERROR(--RIGHT(B113,6),LEN(B113))*0.0071))*43758.5453,1),"")</f>
        <v/>
      </c>
      <c r="E113" s="0" t="str">
        <f aca="false">IF(C113=1,INT(MOD(ABS(SIN(D113*7919.123+ROW()*0.618+'הדבקת לידים'!$F$2*1.3))*43758.5453,1)*1000000)*10000+ROW(),"")</f>
        <v/>
      </c>
      <c r="F113" s="0" t="str">
        <f aca="false">IF(E113="","",RANK(E113,$E$2:$E$5001,1))</f>
        <v/>
      </c>
      <c r="G113" s="0" t="n">
        <f aca="false">IF(A113="",0,IF(SUMPRODUCT(--($A$2:$A$5001=A113))&gt;1,1,0))</f>
        <v>0</v>
      </c>
      <c r="H113" s="0" t="n">
        <f aca="false">ROW()-1</f>
        <v>112</v>
      </c>
      <c r="I113" s="0" t="str">
        <f aca="false">IF(OR(הגדרות!$E$6=0,H113&gt;הגדרות!$E$5),"",IF(H113-1&lt;הגדרות!$E$8*(הגדרות!$E$7+1),INT((H113-1)/(הגדרות!$E$7+1)),הגדרות!$E$8+INT((H113-1-הגדרות!$E$8*(הגדרות!$E$7+1))/הגדרות!$E$7)))</f>
        <v/>
      </c>
      <c r="J113" s="0" t="str">
        <f aca="false">IF(I113="","",IF(H113-1&lt;הגדרות!$E$8*(הגדרות!$E$7+1),MOD(H113-1,הגדרות!$E$7+1),MOD(H113-1-הגדרות!$E$8*(הגדרות!$E$7+1),הגדרות!$E$7)))</f>
        <v/>
      </c>
      <c r="K113" s="0" t="str">
        <f aca="false">IF(I113="","",J113*הגדרות!$E$6+I113+1)</f>
        <v/>
      </c>
      <c r="L113" s="0" t="str">
        <f aca="false">IF(K113="","",MATCH(K113,$F$2:$F$5001,0))</f>
        <v/>
      </c>
      <c r="M113" s="0" t="str">
        <f aca="false">IF(I113="","",INDEX(הגדרות!$A$2:$A$21,MOD(I113+הגדרות!$E$9,הגדרות!$E$6)+1))</f>
        <v/>
      </c>
    </row>
    <row r="114" customFormat="false" ht="15" hidden="false" customHeight="false" outlineLevel="0" collapsed="false">
      <c r="A114" s="0" t="str">
        <f aca="false">IF('הדבקת לידים'!A114="","",IF(ISNUMBER('הדבקת לידים'!A114),IF(הגדרות!$E$2&gt;0,TEXT('הדבקת לידים'!A114,REPT("0",הגדרות!$E$2)),TEXT('הדבקת לידים'!A114,"0")),TRIM('הדבקת לידים'!A114)))</f>
        <v/>
      </c>
      <c r="B114" s="0" t="str">
        <f aca="false">IF('הדבקת לידים'!B114="","",IF(ISNUMBER('הדבקת לידים'!B114),IF(הגדרות!$E$3&gt;0,TEXT('הדבקת לידים'!B114,REPT("0",הגדרות!$E$3)),TEXT('הדבקת לידים'!B114,"0")),TRIM('הדבקת לידים'!B114)))</f>
        <v/>
      </c>
      <c r="C114" s="0" t="n">
        <f aca="false">IF(OR(A114&lt;&gt;"",B114&lt;&gt;""),1,0)</f>
        <v>0</v>
      </c>
      <c r="D114" s="0" t="str">
        <f aca="false">IF(C114=1,MOD(ABS(SIN(ROW()*12.9898+'הדבקת לידים'!$F$2*78.233+IFERROR(--RIGHT(A114,6),LEN(A114))*0.0137+IFERROR(--RIGHT(B114,6),LEN(B114))*0.0071))*43758.5453,1),"")</f>
        <v/>
      </c>
      <c r="E114" s="0" t="str">
        <f aca="false">IF(C114=1,INT(MOD(ABS(SIN(D114*7919.123+ROW()*0.618+'הדבקת לידים'!$F$2*1.3))*43758.5453,1)*1000000)*10000+ROW(),"")</f>
        <v/>
      </c>
      <c r="F114" s="0" t="str">
        <f aca="false">IF(E114="","",RANK(E114,$E$2:$E$5001,1))</f>
        <v/>
      </c>
      <c r="G114" s="0" t="n">
        <f aca="false">IF(A114="",0,IF(SUMPRODUCT(--($A$2:$A$5001=A114))&gt;1,1,0))</f>
        <v>0</v>
      </c>
      <c r="H114" s="0" t="n">
        <f aca="false">ROW()-1</f>
        <v>113</v>
      </c>
      <c r="I114" s="0" t="str">
        <f aca="false">IF(OR(הגדרות!$E$6=0,H114&gt;הגדרות!$E$5),"",IF(H114-1&lt;הגדרות!$E$8*(הגדרות!$E$7+1),INT((H114-1)/(הגדרות!$E$7+1)),הגדרות!$E$8+INT((H114-1-הגדרות!$E$8*(הגדרות!$E$7+1))/הגדרות!$E$7)))</f>
        <v/>
      </c>
      <c r="J114" s="0" t="str">
        <f aca="false">IF(I114="","",IF(H114-1&lt;הגדרות!$E$8*(הגדרות!$E$7+1),MOD(H114-1,הגדרות!$E$7+1),MOD(H114-1-הגדרות!$E$8*(הגדרות!$E$7+1),הגדרות!$E$7)))</f>
        <v/>
      </c>
      <c r="K114" s="0" t="str">
        <f aca="false">IF(I114="","",J114*הגדרות!$E$6+I114+1)</f>
        <v/>
      </c>
      <c r="L114" s="0" t="str">
        <f aca="false">IF(K114="","",MATCH(K114,$F$2:$F$5001,0))</f>
        <v/>
      </c>
      <c r="M114" s="0" t="str">
        <f aca="false">IF(I114="","",INDEX(הגדרות!$A$2:$A$21,MOD(I114+הגדרות!$E$9,הגדרות!$E$6)+1))</f>
        <v/>
      </c>
    </row>
    <row r="115" customFormat="false" ht="15" hidden="false" customHeight="false" outlineLevel="0" collapsed="false">
      <c r="A115" s="0" t="str">
        <f aca="false">IF('הדבקת לידים'!A115="","",IF(ISNUMBER('הדבקת לידים'!A115),IF(הגדרות!$E$2&gt;0,TEXT('הדבקת לידים'!A115,REPT("0",הגדרות!$E$2)),TEXT('הדבקת לידים'!A115,"0")),TRIM('הדבקת לידים'!A115)))</f>
        <v/>
      </c>
      <c r="B115" s="0" t="str">
        <f aca="false">IF('הדבקת לידים'!B115="","",IF(ISNUMBER('הדבקת לידים'!B115),IF(הגדרות!$E$3&gt;0,TEXT('הדבקת לידים'!B115,REPT("0",הגדרות!$E$3)),TEXT('הדבקת לידים'!B115,"0")),TRIM('הדבקת לידים'!B115)))</f>
        <v/>
      </c>
      <c r="C115" s="0" t="n">
        <f aca="false">IF(OR(A115&lt;&gt;"",B115&lt;&gt;""),1,0)</f>
        <v>0</v>
      </c>
      <c r="D115" s="0" t="str">
        <f aca="false">IF(C115=1,MOD(ABS(SIN(ROW()*12.9898+'הדבקת לידים'!$F$2*78.233+IFERROR(--RIGHT(A115,6),LEN(A115))*0.0137+IFERROR(--RIGHT(B115,6),LEN(B115))*0.0071))*43758.5453,1),"")</f>
        <v/>
      </c>
      <c r="E115" s="0" t="str">
        <f aca="false">IF(C115=1,INT(MOD(ABS(SIN(D115*7919.123+ROW()*0.618+'הדבקת לידים'!$F$2*1.3))*43758.5453,1)*1000000)*10000+ROW(),"")</f>
        <v/>
      </c>
      <c r="F115" s="0" t="str">
        <f aca="false">IF(E115="","",RANK(E115,$E$2:$E$5001,1))</f>
        <v/>
      </c>
      <c r="G115" s="0" t="n">
        <f aca="false">IF(A115="",0,IF(SUMPRODUCT(--($A$2:$A$5001=A115))&gt;1,1,0))</f>
        <v>0</v>
      </c>
      <c r="H115" s="0" t="n">
        <f aca="false">ROW()-1</f>
        <v>114</v>
      </c>
      <c r="I115" s="0" t="str">
        <f aca="false">IF(OR(הגדרות!$E$6=0,H115&gt;הגדרות!$E$5),"",IF(H115-1&lt;הגדרות!$E$8*(הגדרות!$E$7+1),INT((H115-1)/(הגדרות!$E$7+1)),הגדרות!$E$8+INT((H115-1-הגדרות!$E$8*(הגדרות!$E$7+1))/הגדרות!$E$7)))</f>
        <v/>
      </c>
      <c r="J115" s="0" t="str">
        <f aca="false">IF(I115="","",IF(H115-1&lt;הגדרות!$E$8*(הגדרות!$E$7+1),MOD(H115-1,הגדרות!$E$7+1),MOD(H115-1-הגדרות!$E$8*(הגדרות!$E$7+1),הגדרות!$E$7)))</f>
        <v/>
      </c>
      <c r="K115" s="0" t="str">
        <f aca="false">IF(I115="","",J115*הגדרות!$E$6+I115+1)</f>
        <v/>
      </c>
      <c r="L115" s="0" t="str">
        <f aca="false">IF(K115="","",MATCH(K115,$F$2:$F$5001,0))</f>
        <v/>
      </c>
      <c r="M115" s="0" t="str">
        <f aca="false">IF(I115="","",INDEX(הגדרות!$A$2:$A$21,MOD(I115+הגדרות!$E$9,הגדרות!$E$6)+1))</f>
        <v/>
      </c>
    </row>
    <row r="116" customFormat="false" ht="15" hidden="false" customHeight="false" outlineLevel="0" collapsed="false">
      <c r="A116" s="0" t="str">
        <f aca="false">IF('הדבקת לידים'!A116="","",IF(ISNUMBER('הדבקת לידים'!A116),IF(הגדרות!$E$2&gt;0,TEXT('הדבקת לידים'!A116,REPT("0",הגדרות!$E$2)),TEXT('הדבקת לידים'!A116,"0")),TRIM('הדבקת לידים'!A116)))</f>
        <v/>
      </c>
      <c r="B116" s="0" t="str">
        <f aca="false">IF('הדבקת לידים'!B116="","",IF(ISNUMBER('הדבקת לידים'!B116),IF(הגדרות!$E$3&gt;0,TEXT('הדבקת לידים'!B116,REPT("0",הגדרות!$E$3)),TEXT('הדבקת לידים'!B116,"0")),TRIM('הדבקת לידים'!B116)))</f>
        <v/>
      </c>
      <c r="C116" s="0" t="n">
        <f aca="false">IF(OR(A116&lt;&gt;"",B116&lt;&gt;""),1,0)</f>
        <v>0</v>
      </c>
      <c r="D116" s="0" t="str">
        <f aca="false">IF(C116=1,MOD(ABS(SIN(ROW()*12.9898+'הדבקת לידים'!$F$2*78.233+IFERROR(--RIGHT(A116,6),LEN(A116))*0.0137+IFERROR(--RIGHT(B116,6),LEN(B116))*0.0071))*43758.5453,1),"")</f>
        <v/>
      </c>
      <c r="E116" s="0" t="str">
        <f aca="false">IF(C116=1,INT(MOD(ABS(SIN(D116*7919.123+ROW()*0.618+'הדבקת לידים'!$F$2*1.3))*43758.5453,1)*1000000)*10000+ROW(),"")</f>
        <v/>
      </c>
      <c r="F116" s="0" t="str">
        <f aca="false">IF(E116="","",RANK(E116,$E$2:$E$5001,1))</f>
        <v/>
      </c>
      <c r="G116" s="0" t="n">
        <f aca="false">IF(A116="",0,IF(SUMPRODUCT(--($A$2:$A$5001=A116))&gt;1,1,0))</f>
        <v>0</v>
      </c>
      <c r="H116" s="0" t="n">
        <f aca="false">ROW()-1</f>
        <v>115</v>
      </c>
      <c r="I116" s="0" t="str">
        <f aca="false">IF(OR(הגדרות!$E$6=0,H116&gt;הגדרות!$E$5),"",IF(H116-1&lt;הגדרות!$E$8*(הגדרות!$E$7+1),INT((H116-1)/(הגדרות!$E$7+1)),הגדרות!$E$8+INT((H116-1-הגדרות!$E$8*(הגדרות!$E$7+1))/הגדרות!$E$7)))</f>
        <v/>
      </c>
      <c r="J116" s="0" t="str">
        <f aca="false">IF(I116="","",IF(H116-1&lt;הגדרות!$E$8*(הגדרות!$E$7+1),MOD(H116-1,הגדרות!$E$7+1),MOD(H116-1-הגדרות!$E$8*(הגדרות!$E$7+1),הגדרות!$E$7)))</f>
        <v/>
      </c>
      <c r="K116" s="0" t="str">
        <f aca="false">IF(I116="","",J116*הגדרות!$E$6+I116+1)</f>
        <v/>
      </c>
      <c r="L116" s="0" t="str">
        <f aca="false">IF(K116="","",MATCH(K116,$F$2:$F$5001,0))</f>
        <v/>
      </c>
      <c r="M116" s="0" t="str">
        <f aca="false">IF(I116="","",INDEX(הגדרות!$A$2:$A$21,MOD(I116+הגדרות!$E$9,הגדרות!$E$6)+1))</f>
        <v/>
      </c>
    </row>
    <row r="117" customFormat="false" ht="15" hidden="false" customHeight="false" outlineLevel="0" collapsed="false">
      <c r="A117" s="0" t="str">
        <f aca="false">IF('הדבקת לידים'!A117="","",IF(ISNUMBER('הדבקת לידים'!A117),IF(הגדרות!$E$2&gt;0,TEXT('הדבקת לידים'!A117,REPT("0",הגדרות!$E$2)),TEXT('הדבקת לידים'!A117,"0")),TRIM('הדבקת לידים'!A117)))</f>
        <v/>
      </c>
      <c r="B117" s="0" t="str">
        <f aca="false">IF('הדבקת לידים'!B117="","",IF(ISNUMBER('הדבקת לידים'!B117),IF(הגדרות!$E$3&gt;0,TEXT('הדבקת לידים'!B117,REPT("0",הגדרות!$E$3)),TEXT('הדבקת לידים'!B117,"0")),TRIM('הדבקת לידים'!B117)))</f>
        <v/>
      </c>
      <c r="C117" s="0" t="n">
        <f aca="false">IF(OR(A117&lt;&gt;"",B117&lt;&gt;""),1,0)</f>
        <v>0</v>
      </c>
      <c r="D117" s="0" t="str">
        <f aca="false">IF(C117=1,MOD(ABS(SIN(ROW()*12.9898+'הדבקת לידים'!$F$2*78.233+IFERROR(--RIGHT(A117,6),LEN(A117))*0.0137+IFERROR(--RIGHT(B117,6),LEN(B117))*0.0071))*43758.5453,1),"")</f>
        <v/>
      </c>
      <c r="E117" s="0" t="str">
        <f aca="false">IF(C117=1,INT(MOD(ABS(SIN(D117*7919.123+ROW()*0.618+'הדבקת לידים'!$F$2*1.3))*43758.5453,1)*1000000)*10000+ROW(),"")</f>
        <v/>
      </c>
      <c r="F117" s="0" t="str">
        <f aca="false">IF(E117="","",RANK(E117,$E$2:$E$5001,1))</f>
        <v/>
      </c>
      <c r="G117" s="0" t="n">
        <f aca="false">IF(A117="",0,IF(SUMPRODUCT(--($A$2:$A$5001=A117))&gt;1,1,0))</f>
        <v>0</v>
      </c>
      <c r="H117" s="0" t="n">
        <f aca="false">ROW()-1</f>
        <v>116</v>
      </c>
      <c r="I117" s="0" t="str">
        <f aca="false">IF(OR(הגדרות!$E$6=0,H117&gt;הגדרות!$E$5),"",IF(H117-1&lt;הגדרות!$E$8*(הגדרות!$E$7+1),INT((H117-1)/(הגדרות!$E$7+1)),הגדרות!$E$8+INT((H117-1-הגדרות!$E$8*(הגדרות!$E$7+1))/הגדרות!$E$7)))</f>
        <v/>
      </c>
      <c r="J117" s="0" t="str">
        <f aca="false">IF(I117="","",IF(H117-1&lt;הגדרות!$E$8*(הגדרות!$E$7+1),MOD(H117-1,הגדרות!$E$7+1),MOD(H117-1-הגדרות!$E$8*(הגדרות!$E$7+1),הגדרות!$E$7)))</f>
        <v/>
      </c>
      <c r="K117" s="0" t="str">
        <f aca="false">IF(I117="","",J117*הגדרות!$E$6+I117+1)</f>
        <v/>
      </c>
      <c r="L117" s="0" t="str">
        <f aca="false">IF(K117="","",MATCH(K117,$F$2:$F$5001,0))</f>
        <v/>
      </c>
      <c r="M117" s="0" t="str">
        <f aca="false">IF(I117="","",INDEX(הגדרות!$A$2:$A$21,MOD(I117+הגדרות!$E$9,הגדרות!$E$6)+1))</f>
        <v/>
      </c>
    </row>
    <row r="118" customFormat="false" ht="15" hidden="false" customHeight="false" outlineLevel="0" collapsed="false">
      <c r="A118" s="0" t="str">
        <f aca="false">IF('הדבקת לידים'!A118="","",IF(ISNUMBER('הדבקת לידים'!A118),IF(הגדרות!$E$2&gt;0,TEXT('הדבקת לידים'!A118,REPT("0",הגדרות!$E$2)),TEXT('הדבקת לידים'!A118,"0")),TRIM('הדבקת לידים'!A118)))</f>
        <v/>
      </c>
      <c r="B118" s="0" t="str">
        <f aca="false">IF('הדבקת לידים'!B118="","",IF(ISNUMBER('הדבקת לידים'!B118),IF(הגדרות!$E$3&gt;0,TEXT('הדבקת לידים'!B118,REPT("0",הגדרות!$E$3)),TEXT('הדבקת לידים'!B118,"0")),TRIM('הדבקת לידים'!B118)))</f>
        <v/>
      </c>
      <c r="C118" s="0" t="n">
        <f aca="false">IF(OR(A118&lt;&gt;"",B118&lt;&gt;""),1,0)</f>
        <v>0</v>
      </c>
      <c r="D118" s="0" t="str">
        <f aca="false">IF(C118=1,MOD(ABS(SIN(ROW()*12.9898+'הדבקת לידים'!$F$2*78.233+IFERROR(--RIGHT(A118,6),LEN(A118))*0.0137+IFERROR(--RIGHT(B118,6),LEN(B118))*0.0071))*43758.5453,1),"")</f>
        <v/>
      </c>
      <c r="E118" s="0" t="str">
        <f aca="false">IF(C118=1,INT(MOD(ABS(SIN(D118*7919.123+ROW()*0.618+'הדבקת לידים'!$F$2*1.3))*43758.5453,1)*1000000)*10000+ROW(),"")</f>
        <v/>
      </c>
      <c r="F118" s="0" t="str">
        <f aca="false">IF(E118="","",RANK(E118,$E$2:$E$5001,1))</f>
        <v/>
      </c>
      <c r="G118" s="0" t="n">
        <f aca="false">IF(A118="",0,IF(SUMPRODUCT(--($A$2:$A$5001=A118))&gt;1,1,0))</f>
        <v>0</v>
      </c>
      <c r="H118" s="0" t="n">
        <f aca="false">ROW()-1</f>
        <v>117</v>
      </c>
      <c r="I118" s="0" t="str">
        <f aca="false">IF(OR(הגדרות!$E$6=0,H118&gt;הגדרות!$E$5),"",IF(H118-1&lt;הגדרות!$E$8*(הגדרות!$E$7+1),INT((H118-1)/(הגדרות!$E$7+1)),הגדרות!$E$8+INT((H118-1-הגדרות!$E$8*(הגדרות!$E$7+1))/הגדרות!$E$7)))</f>
        <v/>
      </c>
      <c r="J118" s="0" t="str">
        <f aca="false">IF(I118="","",IF(H118-1&lt;הגדרות!$E$8*(הגדרות!$E$7+1),MOD(H118-1,הגדרות!$E$7+1),MOD(H118-1-הגדרות!$E$8*(הגדרות!$E$7+1),הגדרות!$E$7)))</f>
        <v/>
      </c>
      <c r="K118" s="0" t="str">
        <f aca="false">IF(I118="","",J118*הגדרות!$E$6+I118+1)</f>
        <v/>
      </c>
      <c r="L118" s="0" t="str">
        <f aca="false">IF(K118="","",MATCH(K118,$F$2:$F$5001,0))</f>
        <v/>
      </c>
      <c r="M118" s="0" t="str">
        <f aca="false">IF(I118="","",INDEX(הגדרות!$A$2:$A$21,MOD(I118+הגדרות!$E$9,הגדרות!$E$6)+1))</f>
        <v/>
      </c>
    </row>
    <row r="119" customFormat="false" ht="15" hidden="false" customHeight="false" outlineLevel="0" collapsed="false">
      <c r="A119" s="0" t="str">
        <f aca="false">IF('הדבקת לידים'!A119="","",IF(ISNUMBER('הדבקת לידים'!A119),IF(הגדרות!$E$2&gt;0,TEXT('הדבקת לידים'!A119,REPT("0",הגדרות!$E$2)),TEXT('הדבקת לידים'!A119,"0")),TRIM('הדבקת לידים'!A119)))</f>
        <v/>
      </c>
      <c r="B119" s="0" t="str">
        <f aca="false">IF('הדבקת לידים'!B119="","",IF(ISNUMBER('הדבקת לידים'!B119),IF(הגדרות!$E$3&gt;0,TEXT('הדבקת לידים'!B119,REPT("0",הגדרות!$E$3)),TEXT('הדבקת לידים'!B119,"0")),TRIM('הדבקת לידים'!B119)))</f>
        <v/>
      </c>
      <c r="C119" s="0" t="n">
        <f aca="false">IF(OR(A119&lt;&gt;"",B119&lt;&gt;""),1,0)</f>
        <v>0</v>
      </c>
      <c r="D119" s="0" t="str">
        <f aca="false">IF(C119=1,MOD(ABS(SIN(ROW()*12.9898+'הדבקת לידים'!$F$2*78.233+IFERROR(--RIGHT(A119,6),LEN(A119))*0.0137+IFERROR(--RIGHT(B119,6),LEN(B119))*0.0071))*43758.5453,1),"")</f>
        <v/>
      </c>
      <c r="E119" s="0" t="str">
        <f aca="false">IF(C119=1,INT(MOD(ABS(SIN(D119*7919.123+ROW()*0.618+'הדבקת לידים'!$F$2*1.3))*43758.5453,1)*1000000)*10000+ROW(),"")</f>
        <v/>
      </c>
      <c r="F119" s="0" t="str">
        <f aca="false">IF(E119="","",RANK(E119,$E$2:$E$5001,1))</f>
        <v/>
      </c>
      <c r="G119" s="0" t="n">
        <f aca="false">IF(A119="",0,IF(SUMPRODUCT(--($A$2:$A$5001=A119))&gt;1,1,0))</f>
        <v>0</v>
      </c>
      <c r="H119" s="0" t="n">
        <f aca="false">ROW()-1</f>
        <v>118</v>
      </c>
      <c r="I119" s="0" t="str">
        <f aca="false">IF(OR(הגדרות!$E$6=0,H119&gt;הגדרות!$E$5),"",IF(H119-1&lt;הגדרות!$E$8*(הגדרות!$E$7+1),INT((H119-1)/(הגדרות!$E$7+1)),הגדרות!$E$8+INT((H119-1-הגדרות!$E$8*(הגדרות!$E$7+1))/הגדרות!$E$7)))</f>
        <v/>
      </c>
      <c r="J119" s="0" t="str">
        <f aca="false">IF(I119="","",IF(H119-1&lt;הגדרות!$E$8*(הגדרות!$E$7+1),MOD(H119-1,הגדרות!$E$7+1),MOD(H119-1-הגדרות!$E$8*(הגדרות!$E$7+1),הגדרות!$E$7)))</f>
        <v/>
      </c>
      <c r="K119" s="0" t="str">
        <f aca="false">IF(I119="","",J119*הגדרות!$E$6+I119+1)</f>
        <v/>
      </c>
      <c r="L119" s="0" t="str">
        <f aca="false">IF(K119="","",MATCH(K119,$F$2:$F$5001,0))</f>
        <v/>
      </c>
      <c r="M119" s="0" t="str">
        <f aca="false">IF(I119="","",INDEX(הגדרות!$A$2:$A$21,MOD(I119+הגדרות!$E$9,הגדרות!$E$6)+1))</f>
        <v/>
      </c>
    </row>
    <row r="120" customFormat="false" ht="15" hidden="false" customHeight="false" outlineLevel="0" collapsed="false">
      <c r="A120" s="0" t="str">
        <f aca="false">IF('הדבקת לידים'!A120="","",IF(ISNUMBER('הדבקת לידים'!A120),IF(הגדרות!$E$2&gt;0,TEXT('הדבקת לידים'!A120,REPT("0",הגדרות!$E$2)),TEXT('הדבקת לידים'!A120,"0")),TRIM('הדבקת לידים'!A120)))</f>
        <v/>
      </c>
      <c r="B120" s="0" t="str">
        <f aca="false">IF('הדבקת לידים'!B120="","",IF(ISNUMBER('הדבקת לידים'!B120),IF(הגדרות!$E$3&gt;0,TEXT('הדבקת לידים'!B120,REPT("0",הגדרות!$E$3)),TEXT('הדבקת לידים'!B120,"0")),TRIM('הדבקת לידים'!B120)))</f>
        <v/>
      </c>
      <c r="C120" s="0" t="n">
        <f aca="false">IF(OR(A120&lt;&gt;"",B120&lt;&gt;""),1,0)</f>
        <v>0</v>
      </c>
      <c r="D120" s="0" t="str">
        <f aca="false">IF(C120=1,MOD(ABS(SIN(ROW()*12.9898+'הדבקת לידים'!$F$2*78.233+IFERROR(--RIGHT(A120,6),LEN(A120))*0.0137+IFERROR(--RIGHT(B120,6),LEN(B120))*0.0071))*43758.5453,1),"")</f>
        <v/>
      </c>
      <c r="E120" s="0" t="str">
        <f aca="false">IF(C120=1,INT(MOD(ABS(SIN(D120*7919.123+ROW()*0.618+'הדבקת לידים'!$F$2*1.3))*43758.5453,1)*1000000)*10000+ROW(),"")</f>
        <v/>
      </c>
      <c r="F120" s="0" t="str">
        <f aca="false">IF(E120="","",RANK(E120,$E$2:$E$5001,1))</f>
        <v/>
      </c>
      <c r="G120" s="0" t="n">
        <f aca="false">IF(A120="",0,IF(SUMPRODUCT(--($A$2:$A$5001=A120))&gt;1,1,0))</f>
        <v>0</v>
      </c>
      <c r="H120" s="0" t="n">
        <f aca="false">ROW()-1</f>
        <v>119</v>
      </c>
      <c r="I120" s="0" t="str">
        <f aca="false">IF(OR(הגדרות!$E$6=0,H120&gt;הגדרות!$E$5),"",IF(H120-1&lt;הגדרות!$E$8*(הגדרות!$E$7+1),INT((H120-1)/(הגדרות!$E$7+1)),הגדרות!$E$8+INT((H120-1-הגדרות!$E$8*(הגדרות!$E$7+1))/הגדרות!$E$7)))</f>
        <v/>
      </c>
      <c r="J120" s="0" t="str">
        <f aca="false">IF(I120="","",IF(H120-1&lt;הגדרות!$E$8*(הגדרות!$E$7+1),MOD(H120-1,הגדרות!$E$7+1),MOD(H120-1-הגדרות!$E$8*(הגדרות!$E$7+1),הגדרות!$E$7)))</f>
        <v/>
      </c>
      <c r="K120" s="0" t="str">
        <f aca="false">IF(I120="","",J120*הגדרות!$E$6+I120+1)</f>
        <v/>
      </c>
      <c r="L120" s="0" t="str">
        <f aca="false">IF(K120="","",MATCH(K120,$F$2:$F$5001,0))</f>
        <v/>
      </c>
      <c r="M120" s="0" t="str">
        <f aca="false">IF(I120="","",INDEX(הגדרות!$A$2:$A$21,MOD(I120+הגדרות!$E$9,הגדרות!$E$6)+1))</f>
        <v/>
      </c>
    </row>
    <row r="121" customFormat="false" ht="15" hidden="false" customHeight="false" outlineLevel="0" collapsed="false">
      <c r="A121" s="0" t="str">
        <f aca="false">IF('הדבקת לידים'!A121="","",IF(ISNUMBER('הדבקת לידים'!A121),IF(הגדרות!$E$2&gt;0,TEXT('הדבקת לידים'!A121,REPT("0",הגדרות!$E$2)),TEXT('הדבקת לידים'!A121,"0")),TRIM('הדבקת לידים'!A121)))</f>
        <v/>
      </c>
      <c r="B121" s="0" t="str">
        <f aca="false">IF('הדבקת לידים'!B121="","",IF(ISNUMBER('הדבקת לידים'!B121),IF(הגדרות!$E$3&gt;0,TEXT('הדבקת לידים'!B121,REPT("0",הגדרות!$E$3)),TEXT('הדבקת לידים'!B121,"0")),TRIM('הדבקת לידים'!B121)))</f>
        <v/>
      </c>
      <c r="C121" s="0" t="n">
        <f aca="false">IF(OR(A121&lt;&gt;"",B121&lt;&gt;""),1,0)</f>
        <v>0</v>
      </c>
      <c r="D121" s="0" t="str">
        <f aca="false">IF(C121=1,MOD(ABS(SIN(ROW()*12.9898+'הדבקת לידים'!$F$2*78.233+IFERROR(--RIGHT(A121,6),LEN(A121))*0.0137+IFERROR(--RIGHT(B121,6),LEN(B121))*0.0071))*43758.5453,1),"")</f>
        <v/>
      </c>
      <c r="E121" s="0" t="str">
        <f aca="false">IF(C121=1,INT(MOD(ABS(SIN(D121*7919.123+ROW()*0.618+'הדבקת לידים'!$F$2*1.3))*43758.5453,1)*1000000)*10000+ROW(),"")</f>
        <v/>
      </c>
      <c r="F121" s="0" t="str">
        <f aca="false">IF(E121="","",RANK(E121,$E$2:$E$5001,1))</f>
        <v/>
      </c>
      <c r="G121" s="0" t="n">
        <f aca="false">IF(A121="",0,IF(SUMPRODUCT(--($A$2:$A$5001=A121))&gt;1,1,0))</f>
        <v>0</v>
      </c>
      <c r="H121" s="0" t="n">
        <f aca="false">ROW()-1</f>
        <v>120</v>
      </c>
      <c r="I121" s="0" t="str">
        <f aca="false">IF(OR(הגדרות!$E$6=0,H121&gt;הגדרות!$E$5),"",IF(H121-1&lt;הגדרות!$E$8*(הגדרות!$E$7+1),INT((H121-1)/(הגדרות!$E$7+1)),הגדרות!$E$8+INT((H121-1-הגדרות!$E$8*(הגדרות!$E$7+1))/הגדרות!$E$7)))</f>
        <v/>
      </c>
      <c r="J121" s="0" t="str">
        <f aca="false">IF(I121="","",IF(H121-1&lt;הגדרות!$E$8*(הגדרות!$E$7+1),MOD(H121-1,הגדרות!$E$7+1),MOD(H121-1-הגדרות!$E$8*(הגדרות!$E$7+1),הגדרות!$E$7)))</f>
        <v/>
      </c>
      <c r="K121" s="0" t="str">
        <f aca="false">IF(I121="","",J121*הגדרות!$E$6+I121+1)</f>
        <v/>
      </c>
      <c r="L121" s="0" t="str">
        <f aca="false">IF(K121="","",MATCH(K121,$F$2:$F$5001,0))</f>
        <v/>
      </c>
      <c r="M121" s="0" t="str">
        <f aca="false">IF(I121="","",INDEX(הגדרות!$A$2:$A$21,MOD(I121+הגדרות!$E$9,הגדרות!$E$6)+1))</f>
        <v/>
      </c>
    </row>
    <row r="122" customFormat="false" ht="15" hidden="false" customHeight="false" outlineLevel="0" collapsed="false">
      <c r="A122" s="0" t="str">
        <f aca="false">IF('הדבקת לידים'!A122="","",IF(ISNUMBER('הדבקת לידים'!A122),IF(הגדרות!$E$2&gt;0,TEXT('הדבקת לידים'!A122,REPT("0",הגדרות!$E$2)),TEXT('הדבקת לידים'!A122,"0")),TRIM('הדבקת לידים'!A122)))</f>
        <v/>
      </c>
      <c r="B122" s="0" t="str">
        <f aca="false">IF('הדבקת לידים'!B122="","",IF(ISNUMBER('הדבקת לידים'!B122),IF(הגדרות!$E$3&gt;0,TEXT('הדבקת לידים'!B122,REPT("0",הגדרות!$E$3)),TEXT('הדבקת לידים'!B122,"0")),TRIM('הדבקת לידים'!B122)))</f>
        <v/>
      </c>
      <c r="C122" s="0" t="n">
        <f aca="false">IF(OR(A122&lt;&gt;"",B122&lt;&gt;""),1,0)</f>
        <v>0</v>
      </c>
      <c r="D122" s="0" t="str">
        <f aca="false">IF(C122=1,MOD(ABS(SIN(ROW()*12.9898+'הדבקת לידים'!$F$2*78.233+IFERROR(--RIGHT(A122,6),LEN(A122))*0.0137+IFERROR(--RIGHT(B122,6),LEN(B122))*0.0071))*43758.5453,1),"")</f>
        <v/>
      </c>
      <c r="E122" s="0" t="str">
        <f aca="false">IF(C122=1,INT(MOD(ABS(SIN(D122*7919.123+ROW()*0.618+'הדבקת לידים'!$F$2*1.3))*43758.5453,1)*1000000)*10000+ROW(),"")</f>
        <v/>
      </c>
      <c r="F122" s="0" t="str">
        <f aca="false">IF(E122="","",RANK(E122,$E$2:$E$5001,1))</f>
        <v/>
      </c>
      <c r="G122" s="0" t="n">
        <f aca="false">IF(A122="",0,IF(SUMPRODUCT(--($A$2:$A$5001=A122))&gt;1,1,0))</f>
        <v>0</v>
      </c>
      <c r="H122" s="0" t="n">
        <f aca="false">ROW()-1</f>
        <v>121</v>
      </c>
      <c r="I122" s="0" t="str">
        <f aca="false">IF(OR(הגדרות!$E$6=0,H122&gt;הגדרות!$E$5),"",IF(H122-1&lt;הגדרות!$E$8*(הגדרות!$E$7+1),INT((H122-1)/(הגדרות!$E$7+1)),הגדרות!$E$8+INT((H122-1-הגדרות!$E$8*(הגדרות!$E$7+1))/הגדרות!$E$7)))</f>
        <v/>
      </c>
      <c r="J122" s="0" t="str">
        <f aca="false">IF(I122="","",IF(H122-1&lt;הגדרות!$E$8*(הגדרות!$E$7+1),MOD(H122-1,הגדרות!$E$7+1),MOD(H122-1-הגדרות!$E$8*(הגדרות!$E$7+1),הגדרות!$E$7)))</f>
        <v/>
      </c>
      <c r="K122" s="0" t="str">
        <f aca="false">IF(I122="","",J122*הגדרות!$E$6+I122+1)</f>
        <v/>
      </c>
      <c r="L122" s="0" t="str">
        <f aca="false">IF(K122="","",MATCH(K122,$F$2:$F$5001,0))</f>
        <v/>
      </c>
      <c r="M122" s="0" t="str">
        <f aca="false">IF(I122="","",INDEX(הגדרות!$A$2:$A$21,MOD(I122+הגדרות!$E$9,הגדרות!$E$6)+1))</f>
        <v/>
      </c>
    </row>
    <row r="123" customFormat="false" ht="15" hidden="false" customHeight="false" outlineLevel="0" collapsed="false">
      <c r="A123" s="0" t="str">
        <f aca="false">IF('הדבקת לידים'!A123="","",IF(ISNUMBER('הדבקת לידים'!A123),IF(הגדרות!$E$2&gt;0,TEXT('הדבקת לידים'!A123,REPT("0",הגדרות!$E$2)),TEXT('הדבקת לידים'!A123,"0")),TRIM('הדבקת לידים'!A123)))</f>
        <v/>
      </c>
      <c r="B123" s="0" t="str">
        <f aca="false">IF('הדבקת לידים'!B123="","",IF(ISNUMBER('הדבקת לידים'!B123),IF(הגדרות!$E$3&gt;0,TEXT('הדבקת לידים'!B123,REPT("0",הגדרות!$E$3)),TEXT('הדבקת לידים'!B123,"0")),TRIM('הדבקת לידים'!B123)))</f>
        <v/>
      </c>
      <c r="C123" s="0" t="n">
        <f aca="false">IF(OR(A123&lt;&gt;"",B123&lt;&gt;""),1,0)</f>
        <v>0</v>
      </c>
      <c r="D123" s="0" t="str">
        <f aca="false">IF(C123=1,MOD(ABS(SIN(ROW()*12.9898+'הדבקת לידים'!$F$2*78.233+IFERROR(--RIGHT(A123,6),LEN(A123))*0.0137+IFERROR(--RIGHT(B123,6),LEN(B123))*0.0071))*43758.5453,1),"")</f>
        <v/>
      </c>
      <c r="E123" s="0" t="str">
        <f aca="false">IF(C123=1,INT(MOD(ABS(SIN(D123*7919.123+ROW()*0.618+'הדבקת לידים'!$F$2*1.3))*43758.5453,1)*1000000)*10000+ROW(),"")</f>
        <v/>
      </c>
      <c r="F123" s="0" t="str">
        <f aca="false">IF(E123="","",RANK(E123,$E$2:$E$5001,1))</f>
        <v/>
      </c>
      <c r="G123" s="0" t="n">
        <f aca="false">IF(A123="",0,IF(SUMPRODUCT(--($A$2:$A$5001=A123))&gt;1,1,0))</f>
        <v>0</v>
      </c>
      <c r="H123" s="0" t="n">
        <f aca="false">ROW()-1</f>
        <v>122</v>
      </c>
      <c r="I123" s="0" t="str">
        <f aca="false">IF(OR(הגדרות!$E$6=0,H123&gt;הגדרות!$E$5),"",IF(H123-1&lt;הגדרות!$E$8*(הגדרות!$E$7+1),INT((H123-1)/(הגדרות!$E$7+1)),הגדרות!$E$8+INT((H123-1-הגדרות!$E$8*(הגדרות!$E$7+1))/הגדרות!$E$7)))</f>
        <v/>
      </c>
      <c r="J123" s="0" t="str">
        <f aca="false">IF(I123="","",IF(H123-1&lt;הגדרות!$E$8*(הגדרות!$E$7+1),MOD(H123-1,הגדרות!$E$7+1),MOD(H123-1-הגדרות!$E$8*(הגדרות!$E$7+1),הגדרות!$E$7)))</f>
        <v/>
      </c>
      <c r="K123" s="0" t="str">
        <f aca="false">IF(I123="","",J123*הגדרות!$E$6+I123+1)</f>
        <v/>
      </c>
      <c r="L123" s="0" t="str">
        <f aca="false">IF(K123="","",MATCH(K123,$F$2:$F$5001,0))</f>
        <v/>
      </c>
      <c r="M123" s="0" t="str">
        <f aca="false">IF(I123="","",INDEX(הגדרות!$A$2:$A$21,MOD(I123+הגדרות!$E$9,הגדרות!$E$6)+1))</f>
        <v/>
      </c>
    </row>
    <row r="124" customFormat="false" ht="15" hidden="false" customHeight="false" outlineLevel="0" collapsed="false">
      <c r="A124" s="0" t="str">
        <f aca="false">IF('הדבקת לידים'!A124="","",IF(ISNUMBER('הדבקת לידים'!A124),IF(הגדרות!$E$2&gt;0,TEXT('הדבקת לידים'!A124,REPT("0",הגדרות!$E$2)),TEXT('הדבקת לידים'!A124,"0")),TRIM('הדבקת לידים'!A124)))</f>
        <v/>
      </c>
      <c r="B124" s="0" t="str">
        <f aca="false">IF('הדבקת לידים'!B124="","",IF(ISNUMBER('הדבקת לידים'!B124),IF(הגדרות!$E$3&gt;0,TEXT('הדבקת לידים'!B124,REPT("0",הגדרות!$E$3)),TEXT('הדבקת לידים'!B124,"0")),TRIM('הדבקת לידים'!B124)))</f>
        <v/>
      </c>
      <c r="C124" s="0" t="n">
        <f aca="false">IF(OR(A124&lt;&gt;"",B124&lt;&gt;""),1,0)</f>
        <v>0</v>
      </c>
      <c r="D124" s="0" t="str">
        <f aca="false">IF(C124=1,MOD(ABS(SIN(ROW()*12.9898+'הדבקת לידים'!$F$2*78.233+IFERROR(--RIGHT(A124,6),LEN(A124))*0.0137+IFERROR(--RIGHT(B124,6),LEN(B124))*0.0071))*43758.5453,1),"")</f>
        <v/>
      </c>
      <c r="E124" s="0" t="str">
        <f aca="false">IF(C124=1,INT(MOD(ABS(SIN(D124*7919.123+ROW()*0.618+'הדבקת לידים'!$F$2*1.3))*43758.5453,1)*1000000)*10000+ROW(),"")</f>
        <v/>
      </c>
      <c r="F124" s="0" t="str">
        <f aca="false">IF(E124="","",RANK(E124,$E$2:$E$5001,1))</f>
        <v/>
      </c>
      <c r="G124" s="0" t="n">
        <f aca="false">IF(A124="",0,IF(SUMPRODUCT(--($A$2:$A$5001=A124))&gt;1,1,0))</f>
        <v>0</v>
      </c>
      <c r="H124" s="0" t="n">
        <f aca="false">ROW()-1</f>
        <v>123</v>
      </c>
      <c r="I124" s="0" t="str">
        <f aca="false">IF(OR(הגדרות!$E$6=0,H124&gt;הגדרות!$E$5),"",IF(H124-1&lt;הגדרות!$E$8*(הגדרות!$E$7+1),INT((H124-1)/(הגדרות!$E$7+1)),הגדרות!$E$8+INT((H124-1-הגדרות!$E$8*(הגדרות!$E$7+1))/הגדרות!$E$7)))</f>
        <v/>
      </c>
      <c r="J124" s="0" t="str">
        <f aca="false">IF(I124="","",IF(H124-1&lt;הגדרות!$E$8*(הגדרות!$E$7+1),MOD(H124-1,הגדרות!$E$7+1),MOD(H124-1-הגדרות!$E$8*(הגדרות!$E$7+1),הגדרות!$E$7)))</f>
        <v/>
      </c>
      <c r="K124" s="0" t="str">
        <f aca="false">IF(I124="","",J124*הגדרות!$E$6+I124+1)</f>
        <v/>
      </c>
      <c r="L124" s="0" t="str">
        <f aca="false">IF(K124="","",MATCH(K124,$F$2:$F$5001,0))</f>
        <v/>
      </c>
      <c r="M124" s="0" t="str">
        <f aca="false">IF(I124="","",INDEX(הגדרות!$A$2:$A$21,MOD(I124+הגדרות!$E$9,הגדרות!$E$6)+1))</f>
        <v/>
      </c>
    </row>
    <row r="125" customFormat="false" ht="15" hidden="false" customHeight="false" outlineLevel="0" collapsed="false">
      <c r="A125" s="0" t="str">
        <f aca="false">IF('הדבקת לידים'!A125="","",IF(ISNUMBER('הדבקת לידים'!A125),IF(הגדרות!$E$2&gt;0,TEXT('הדבקת לידים'!A125,REPT("0",הגדרות!$E$2)),TEXT('הדבקת לידים'!A125,"0")),TRIM('הדבקת לידים'!A125)))</f>
        <v/>
      </c>
      <c r="B125" s="0" t="str">
        <f aca="false">IF('הדבקת לידים'!B125="","",IF(ISNUMBER('הדבקת לידים'!B125),IF(הגדרות!$E$3&gt;0,TEXT('הדבקת לידים'!B125,REPT("0",הגדרות!$E$3)),TEXT('הדבקת לידים'!B125,"0")),TRIM('הדבקת לידים'!B125)))</f>
        <v/>
      </c>
      <c r="C125" s="0" t="n">
        <f aca="false">IF(OR(A125&lt;&gt;"",B125&lt;&gt;""),1,0)</f>
        <v>0</v>
      </c>
      <c r="D125" s="0" t="str">
        <f aca="false">IF(C125=1,MOD(ABS(SIN(ROW()*12.9898+'הדבקת לידים'!$F$2*78.233+IFERROR(--RIGHT(A125,6),LEN(A125))*0.0137+IFERROR(--RIGHT(B125,6),LEN(B125))*0.0071))*43758.5453,1),"")</f>
        <v/>
      </c>
      <c r="E125" s="0" t="str">
        <f aca="false">IF(C125=1,INT(MOD(ABS(SIN(D125*7919.123+ROW()*0.618+'הדבקת לידים'!$F$2*1.3))*43758.5453,1)*1000000)*10000+ROW(),"")</f>
        <v/>
      </c>
      <c r="F125" s="0" t="str">
        <f aca="false">IF(E125="","",RANK(E125,$E$2:$E$5001,1))</f>
        <v/>
      </c>
      <c r="G125" s="0" t="n">
        <f aca="false">IF(A125="",0,IF(SUMPRODUCT(--($A$2:$A$5001=A125))&gt;1,1,0))</f>
        <v>0</v>
      </c>
      <c r="H125" s="0" t="n">
        <f aca="false">ROW()-1</f>
        <v>124</v>
      </c>
      <c r="I125" s="0" t="str">
        <f aca="false">IF(OR(הגדרות!$E$6=0,H125&gt;הגדרות!$E$5),"",IF(H125-1&lt;הגדרות!$E$8*(הגדרות!$E$7+1),INT((H125-1)/(הגדרות!$E$7+1)),הגדרות!$E$8+INT((H125-1-הגדרות!$E$8*(הגדרות!$E$7+1))/הגדרות!$E$7)))</f>
        <v/>
      </c>
      <c r="J125" s="0" t="str">
        <f aca="false">IF(I125="","",IF(H125-1&lt;הגדרות!$E$8*(הגדרות!$E$7+1),MOD(H125-1,הגדרות!$E$7+1),MOD(H125-1-הגדרות!$E$8*(הגדרות!$E$7+1),הגדרות!$E$7)))</f>
        <v/>
      </c>
      <c r="K125" s="0" t="str">
        <f aca="false">IF(I125="","",J125*הגדרות!$E$6+I125+1)</f>
        <v/>
      </c>
      <c r="L125" s="0" t="str">
        <f aca="false">IF(K125="","",MATCH(K125,$F$2:$F$5001,0))</f>
        <v/>
      </c>
      <c r="M125" s="0" t="str">
        <f aca="false">IF(I125="","",INDEX(הגדרות!$A$2:$A$21,MOD(I125+הגדרות!$E$9,הגדרות!$E$6)+1))</f>
        <v/>
      </c>
    </row>
    <row r="126" customFormat="false" ht="15" hidden="false" customHeight="false" outlineLevel="0" collapsed="false">
      <c r="A126" s="0" t="str">
        <f aca="false">IF('הדבקת לידים'!A126="","",IF(ISNUMBER('הדבקת לידים'!A126),IF(הגדרות!$E$2&gt;0,TEXT('הדבקת לידים'!A126,REPT("0",הגדרות!$E$2)),TEXT('הדבקת לידים'!A126,"0")),TRIM('הדבקת לידים'!A126)))</f>
        <v/>
      </c>
      <c r="B126" s="0" t="str">
        <f aca="false">IF('הדבקת לידים'!B126="","",IF(ISNUMBER('הדבקת לידים'!B126),IF(הגדרות!$E$3&gt;0,TEXT('הדבקת לידים'!B126,REPT("0",הגדרות!$E$3)),TEXT('הדבקת לידים'!B126,"0")),TRIM('הדבקת לידים'!B126)))</f>
        <v/>
      </c>
      <c r="C126" s="0" t="n">
        <f aca="false">IF(OR(A126&lt;&gt;"",B126&lt;&gt;""),1,0)</f>
        <v>0</v>
      </c>
      <c r="D126" s="0" t="str">
        <f aca="false">IF(C126=1,MOD(ABS(SIN(ROW()*12.9898+'הדבקת לידים'!$F$2*78.233+IFERROR(--RIGHT(A126,6),LEN(A126))*0.0137+IFERROR(--RIGHT(B126,6),LEN(B126))*0.0071))*43758.5453,1),"")</f>
        <v/>
      </c>
      <c r="E126" s="0" t="str">
        <f aca="false">IF(C126=1,INT(MOD(ABS(SIN(D126*7919.123+ROW()*0.618+'הדבקת לידים'!$F$2*1.3))*43758.5453,1)*1000000)*10000+ROW(),"")</f>
        <v/>
      </c>
      <c r="F126" s="0" t="str">
        <f aca="false">IF(E126="","",RANK(E126,$E$2:$E$5001,1))</f>
        <v/>
      </c>
      <c r="G126" s="0" t="n">
        <f aca="false">IF(A126="",0,IF(SUMPRODUCT(--($A$2:$A$5001=A126))&gt;1,1,0))</f>
        <v>0</v>
      </c>
      <c r="H126" s="0" t="n">
        <f aca="false">ROW()-1</f>
        <v>125</v>
      </c>
      <c r="I126" s="0" t="str">
        <f aca="false">IF(OR(הגדרות!$E$6=0,H126&gt;הגדרות!$E$5),"",IF(H126-1&lt;הגדרות!$E$8*(הגדרות!$E$7+1),INT((H126-1)/(הגדרות!$E$7+1)),הגדרות!$E$8+INT((H126-1-הגדרות!$E$8*(הגדרות!$E$7+1))/הגדרות!$E$7)))</f>
        <v/>
      </c>
      <c r="J126" s="0" t="str">
        <f aca="false">IF(I126="","",IF(H126-1&lt;הגדרות!$E$8*(הגדרות!$E$7+1),MOD(H126-1,הגדרות!$E$7+1),MOD(H126-1-הגדרות!$E$8*(הגדרות!$E$7+1),הגדרות!$E$7)))</f>
        <v/>
      </c>
      <c r="K126" s="0" t="str">
        <f aca="false">IF(I126="","",J126*הגדרות!$E$6+I126+1)</f>
        <v/>
      </c>
      <c r="L126" s="0" t="str">
        <f aca="false">IF(K126="","",MATCH(K126,$F$2:$F$5001,0))</f>
        <v/>
      </c>
      <c r="M126" s="0" t="str">
        <f aca="false">IF(I126="","",INDEX(הגדרות!$A$2:$A$21,MOD(I126+הגדרות!$E$9,הגדרות!$E$6)+1))</f>
        <v/>
      </c>
    </row>
    <row r="127" customFormat="false" ht="15" hidden="false" customHeight="false" outlineLevel="0" collapsed="false">
      <c r="A127" s="0" t="str">
        <f aca="false">IF('הדבקת לידים'!A127="","",IF(ISNUMBER('הדבקת לידים'!A127),IF(הגדרות!$E$2&gt;0,TEXT('הדבקת לידים'!A127,REPT("0",הגדרות!$E$2)),TEXT('הדבקת לידים'!A127,"0")),TRIM('הדבקת לידים'!A127)))</f>
        <v/>
      </c>
      <c r="B127" s="0" t="str">
        <f aca="false">IF('הדבקת לידים'!B127="","",IF(ISNUMBER('הדבקת לידים'!B127),IF(הגדרות!$E$3&gt;0,TEXT('הדבקת לידים'!B127,REPT("0",הגדרות!$E$3)),TEXT('הדבקת לידים'!B127,"0")),TRIM('הדבקת לידים'!B127)))</f>
        <v/>
      </c>
      <c r="C127" s="0" t="n">
        <f aca="false">IF(OR(A127&lt;&gt;"",B127&lt;&gt;""),1,0)</f>
        <v>0</v>
      </c>
      <c r="D127" s="0" t="str">
        <f aca="false">IF(C127=1,MOD(ABS(SIN(ROW()*12.9898+'הדבקת לידים'!$F$2*78.233+IFERROR(--RIGHT(A127,6),LEN(A127))*0.0137+IFERROR(--RIGHT(B127,6),LEN(B127))*0.0071))*43758.5453,1),"")</f>
        <v/>
      </c>
      <c r="E127" s="0" t="str">
        <f aca="false">IF(C127=1,INT(MOD(ABS(SIN(D127*7919.123+ROW()*0.618+'הדבקת לידים'!$F$2*1.3))*43758.5453,1)*1000000)*10000+ROW(),"")</f>
        <v/>
      </c>
      <c r="F127" s="0" t="str">
        <f aca="false">IF(E127="","",RANK(E127,$E$2:$E$5001,1))</f>
        <v/>
      </c>
      <c r="G127" s="0" t="n">
        <f aca="false">IF(A127="",0,IF(SUMPRODUCT(--($A$2:$A$5001=A127))&gt;1,1,0))</f>
        <v>0</v>
      </c>
      <c r="H127" s="0" t="n">
        <f aca="false">ROW()-1</f>
        <v>126</v>
      </c>
      <c r="I127" s="0" t="str">
        <f aca="false">IF(OR(הגדרות!$E$6=0,H127&gt;הגדרות!$E$5),"",IF(H127-1&lt;הגדרות!$E$8*(הגדרות!$E$7+1),INT((H127-1)/(הגדרות!$E$7+1)),הגדרות!$E$8+INT((H127-1-הגדרות!$E$8*(הגדרות!$E$7+1))/הגדרות!$E$7)))</f>
        <v/>
      </c>
      <c r="J127" s="0" t="str">
        <f aca="false">IF(I127="","",IF(H127-1&lt;הגדרות!$E$8*(הגדרות!$E$7+1),MOD(H127-1,הגדרות!$E$7+1),MOD(H127-1-הגדרות!$E$8*(הגדרות!$E$7+1),הגדרות!$E$7)))</f>
        <v/>
      </c>
      <c r="K127" s="0" t="str">
        <f aca="false">IF(I127="","",J127*הגדרות!$E$6+I127+1)</f>
        <v/>
      </c>
      <c r="L127" s="0" t="str">
        <f aca="false">IF(K127="","",MATCH(K127,$F$2:$F$5001,0))</f>
        <v/>
      </c>
      <c r="M127" s="0" t="str">
        <f aca="false">IF(I127="","",INDEX(הגדרות!$A$2:$A$21,MOD(I127+הגדרות!$E$9,הגדרות!$E$6)+1))</f>
        <v/>
      </c>
    </row>
    <row r="128" customFormat="false" ht="15" hidden="false" customHeight="false" outlineLevel="0" collapsed="false">
      <c r="A128" s="0" t="str">
        <f aca="false">IF('הדבקת לידים'!A128="","",IF(ISNUMBER('הדבקת לידים'!A128),IF(הגדרות!$E$2&gt;0,TEXT('הדבקת לידים'!A128,REPT("0",הגדרות!$E$2)),TEXT('הדבקת לידים'!A128,"0")),TRIM('הדבקת לידים'!A128)))</f>
        <v/>
      </c>
      <c r="B128" s="0" t="str">
        <f aca="false">IF('הדבקת לידים'!B128="","",IF(ISNUMBER('הדבקת לידים'!B128),IF(הגדרות!$E$3&gt;0,TEXT('הדבקת לידים'!B128,REPT("0",הגדרות!$E$3)),TEXT('הדבקת לידים'!B128,"0")),TRIM('הדבקת לידים'!B128)))</f>
        <v/>
      </c>
      <c r="C128" s="0" t="n">
        <f aca="false">IF(OR(A128&lt;&gt;"",B128&lt;&gt;""),1,0)</f>
        <v>0</v>
      </c>
      <c r="D128" s="0" t="str">
        <f aca="false">IF(C128=1,MOD(ABS(SIN(ROW()*12.9898+'הדבקת לידים'!$F$2*78.233+IFERROR(--RIGHT(A128,6),LEN(A128))*0.0137+IFERROR(--RIGHT(B128,6),LEN(B128))*0.0071))*43758.5453,1),"")</f>
        <v/>
      </c>
      <c r="E128" s="0" t="str">
        <f aca="false">IF(C128=1,INT(MOD(ABS(SIN(D128*7919.123+ROW()*0.618+'הדבקת לידים'!$F$2*1.3))*43758.5453,1)*1000000)*10000+ROW(),"")</f>
        <v/>
      </c>
      <c r="F128" s="0" t="str">
        <f aca="false">IF(E128="","",RANK(E128,$E$2:$E$5001,1))</f>
        <v/>
      </c>
      <c r="G128" s="0" t="n">
        <f aca="false">IF(A128="",0,IF(SUMPRODUCT(--($A$2:$A$5001=A128))&gt;1,1,0))</f>
        <v>0</v>
      </c>
      <c r="H128" s="0" t="n">
        <f aca="false">ROW()-1</f>
        <v>127</v>
      </c>
      <c r="I128" s="0" t="str">
        <f aca="false">IF(OR(הגדרות!$E$6=0,H128&gt;הגדרות!$E$5),"",IF(H128-1&lt;הגדרות!$E$8*(הגדרות!$E$7+1),INT((H128-1)/(הגדרות!$E$7+1)),הגדרות!$E$8+INT((H128-1-הגדרות!$E$8*(הגדרות!$E$7+1))/הגדרות!$E$7)))</f>
        <v/>
      </c>
      <c r="J128" s="0" t="str">
        <f aca="false">IF(I128="","",IF(H128-1&lt;הגדרות!$E$8*(הגדרות!$E$7+1),MOD(H128-1,הגדרות!$E$7+1),MOD(H128-1-הגדרות!$E$8*(הגדרות!$E$7+1),הגדרות!$E$7)))</f>
        <v/>
      </c>
      <c r="K128" s="0" t="str">
        <f aca="false">IF(I128="","",J128*הגדרות!$E$6+I128+1)</f>
        <v/>
      </c>
      <c r="L128" s="0" t="str">
        <f aca="false">IF(K128="","",MATCH(K128,$F$2:$F$5001,0))</f>
        <v/>
      </c>
      <c r="M128" s="0" t="str">
        <f aca="false">IF(I128="","",INDEX(הגדרות!$A$2:$A$21,MOD(I128+הגדרות!$E$9,הגדרות!$E$6)+1))</f>
        <v/>
      </c>
    </row>
    <row r="129" customFormat="false" ht="15" hidden="false" customHeight="false" outlineLevel="0" collapsed="false">
      <c r="A129" s="0" t="str">
        <f aca="false">IF('הדבקת לידים'!A129="","",IF(ISNUMBER('הדבקת לידים'!A129),IF(הגדרות!$E$2&gt;0,TEXT('הדבקת לידים'!A129,REPT("0",הגדרות!$E$2)),TEXT('הדבקת לידים'!A129,"0")),TRIM('הדבקת לידים'!A129)))</f>
        <v/>
      </c>
      <c r="B129" s="0" t="str">
        <f aca="false">IF('הדבקת לידים'!B129="","",IF(ISNUMBER('הדבקת לידים'!B129),IF(הגדרות!$E$3&gt;0,TEXT('הדבקת לידים'!B129,REPT("0",הגדרות!$E$3)),TEXT('הדבקת לידים'!B129,"0")),TRIM('הדבקת לידים'!B129)))</f>
        <v/>
      </c>
      <c r="C129" s="0" t="n">
        <f aca="false">IF(OR(A129&lt;&gt;"",B129&lt;&gt;""),1,0)</f>
        <v>0</v>
      </c>
      <c r="D129" s="0" t="str">
        <f aca="false">IF(C129=1,MOD(ABS(SIN(ROW()*12.9898+'הדבקת לידים'!$F$2*78.233+IFERROR(--RIGHT(A129,6),LEN(A129))*0.0137+IFERROR(--RIGHT(B129,6),LEN(B129))*0.0071))*43758.5453,1),"")</f>
        <v/>
      </c>
      <c r="E129" s="0" t="str">
        <f aca="false">IF(C129=1,INT(MOD(ABS(SIN(D129*7919.123+ROW()*0.618+'הדבקת לידים'!$F$2*1.3))*43758.5453,1)*1000000)*10000+ROW(),"")</f>
        <v/>
      </c>
      <c r="F129" s="0" t="str">
        <f aca="false">IF(E129="","",RANK(E129,$E$2:$E$5001,1))</f>
        <v/>
      </c>
      <c r="G129" s="0" t="n">
        <f aca="false">IF(A129="",0,IF(SUMPRODUCT(--($A$2:$A$5001=A129))&gt;1,1,0))</f>
        <v>0</v>
      </c>
      <c r="H129" s="0" t="n">
        <f aca="false">ROW()-1</f>
        <v>128</v>
      </c>
      <c r="I129" s="0" t="str">
        <f aca="false">IF(OR(הגדרות!$E$6=0,H129&gt;הגדרות!$E$5),"",IF(H129-1&lt;הגדרות!$E$8*(הגדרות!$E$7+1),INT((H129-1)/(הגדרות!$E$7+1)),הגדרות!$E$8+INT((H129-1-הגדרות!$E$8*(הגדרות!$E$7+1))/הגדרות!$E$7)))</f>
        <v/>
      </c>
      <c r="J129" s="0" t="str">
        <f aca="false">IF(I129="","",IF(H129-1&lt;הגדרות!$E$8*(הגדרות!$E$7+1),MOD(H129-1,הגדרות!$E$7+1),MOD(H129-1-הגדרות!$E$8*(הגדרות!$E$7+1),הגדרות!$E$7)))</f>
        <v/>
      </c>
      <c r="K129" s="0" t="str">
        <f aca="false">IF(I129="","",J129*הגדרות!$E$6+I129+1)</f>
        <v/>
      </c>
      <c r="L129" s="0" t="str">
        <f aca="false">IF(K129="","",MATCH(K129,$F$2:$F$5001,0))</f>
        <v/>
      </c>
      <c r="M129" s="0" t="str">
        <f aca="false">IF(I129="","",INDEX(הגדרות!$A$2:$A$21,MOD(I129+הגדרות!$E$9,הגדרות!$E$6)+1))</f>
        <v/>
      </c>
    </row>
    <row r="130" customFormat="false" ht="15" hidden="false" customHeight="false" outlineLevel="0" collapsed="false">
      <c r="A130" s="0" t="str">
        <f aca="false">IF('הדבקת לידים'!A130="","",IF(ISNUMBER('הדבקת לידים'!A130),IF(הגדרות!$E$2&gt;0,TEXT('הדבקת לידים'!A130,REPT("0",הגדרות!$E$2)),TEXT('הדבקת לידים'!A130,"0")),TRIM('הדבקת לידים'!A130)))</f>
        <v/>
      </c>
      <c r="B130" s="0" t="str">
        <f aca="false">IF('הדבקת לידים'!B130="","",IF(ISNUMBER('הדבקת לידים'!B130),IF(הגדרות!$E$3&gt;0,TEXT('הדבקת לידים'!B130,REPT("0",הגדרות!$E$3)),TEXT('הדבקת לידים'!B130,"0")),TRIM('הדבקת לידים'!B130)))</f>
        <v/>
      </c>
      <c r="C130" s="0" t="n">
        <f aca="false">IF(OR(A130&lt;&gt;"",B130&lt;&gt;""),1,0)</f>
        <v>0</v>
      </c>
      <c r="D130" s="0" t="str">
        <f aca="false">IF(C130=1,MOD(ABS(SIN(ROW()*12.9898+'הדבקת לידים'!$F$2*78.233+IFERROR(--RIGHT(A130,6),LEN(A130))*0.0137+IFERROR(--RIGHT(B130,6),LEN(B130))*0.0071))*43758.5453,1),"")</f>
        <v/>
      </c>
      <c r="E130" s="0" t="str">
        <f aca="false">IF(C130=1,INT(MOD(ABS(SIN(D130*7919.123+ROW()*0.618+'הדבקת לידים'!$F$2*1.3))*43758.5453,1)*1000000)*10000+ROW(),"")</f>
        <v/>
      </c>
      <c r="F130" s="0" t="str">
        <f aca="false">IF(E130="","",RANK(E130,$E$2:$E$5001,1))</f>
        <v/>
      </c>
      <c r="G130" s="0" t="n">
        <f aca="false">IF(A130="",0,IF(SUMPRODUCT(--($A$2:$A$5001=A130))&gt;1,1,0))</f>
        <v>0</v>
      </c>
      <c r="H130" s="0" t="n">
        <f aca="false">ROW()-1</f>
        <v>129</v>
      </c>
      <c r="I130" s="0" t="str">
        <f aca="false">IF(OR(הגדרות!$E$6=0,H130&gt;הגדרות!$E$5),"",IF(H130-1&lt;הגדרות!$E$8*(הגדרות!$E$7+1),INT((H130-1)/(הגדרות!$E$7+1)),הגדרות!$E$8+INT((H130-1-הגדרות!$E$8*(הגדרות!$E$7+1))/הגדרות!$E$7)))</f>
        <v/>
      </c>
      <c r="J130" s="0" t="str">
        <f aca="false">IF(I130="","",IF(H130-1&lt;הגדרות!$E$8*(הגדרות!$E$7+1),MOD(H130-1,הגדרות!$E$7+1),MOD(H130-1-הגדרות!$E$8*(הגדרות!$E$7+1),הגדרות!$E$7)))</f>
        <v/>
      </c>
      <c r="K130" s="0" t="str">
        <f aca="false">IF(I130="","",J130*הגדרות!$E$6+I130+1)</f>
        <v/>
      </c>
      <c r="L130" s="0" t="str">
        <f aca="false">IF(K130="","",MATCH(K130,$F$2:$F$5001,0))</f>
        <v/>
      </c>
      <c r="M130" s="0" t="str">
        <f aca="false">IF(I130="","",INDEX(הגדרות!$A$2:$A$21,MOD(I130+הגדרות!$E$9,הגדרות!$E$6)+1))</f>
        <v/>
      </c>
    </row>
    <row r="131" customFormat="false" ht="15" hidden="false" customHeight="false" outlineLevel="0" collapsed="false">
      <c r="A131" s="0" t="str">
        <f aca="false">IF('הדבקת לידים'!A131="","",IF(ISNUMBER('הדבקת לידים'!A131),IF(הגדרות!$E$2&gt;0,TEXT('הדבקת לידים'!A131,REPT("0",הגדרות!$E$2)),TEXT('הדבקת לידים'!A131,"0")),TRIM('הדבקת לידים'!A131)))</f>
        <v/>
      </c>
      <c r="B131" s="0" t="str">
        <f aca="false">IF('הדבקת לידים'!B131="","",IF(ISNUMBER('הדבקת לידים'!B131),IF(הגדרות!$E$3&gt;0,TEXT('הדבקת לידים'!B131,REPT("0",הגדרות!$E$3)),TEXT('הדבקת לידים'!B131,"0")),TRIM('הדבקת לידים'!B131)))</f>
        <v/>
      </c>
      <c r="C131" s="0" t="n">
        <f aca="false">IF(OR(A131&lt;&gt;"",B131&lt;&gt;""),1,0)</f>
        <v>0</v>
      </c>
      <c r="D131" s="0" t="str">
        <f aca="false">IF(C131=1,MOD(ABS(SIN(ROW()*12.9898+'הדבקת לידים'!$F$2*78.233+IFERROR(--RIGHT(A131,6),LEN(A131))*0.0137+IFERROR(--RIGHT(B131,6),LEN(B131))*0.0071))*43758.5453,1),"")</f>
        <v/>
      </c>
      <c r="E131" s="0" t="str">
        <f aca="false">IF(C131=1,INT(MOD(ABS(SIN(D131*7919.123+ROW()*0.618+'הדבקת לידים'!$F$2*1.3))*43758.5453,1)*1000000)*10000+ROW(),"")</f>
        <v/>
      </c>
      <c r="F131" s="0" t="str">
        <f aca="false">IF(E131="","",RANK(E131,$E$2:$E$5001,1))</f>
        <v/>
      </c>
      <c r="G131" s="0" t="n">
        <f aca="false">IF(A131="",0,IF(SUMPRODUCT(--($A$2:$A$5001=A131))&gt;1,1,0))</f>
        <v>0</v>
      </c>
      <c r="H131" s="0" t="n">
        <f aca="false">ROW()-1</f>
        <v>130</v>
      </c>
      <c r="I131" s="0" t="str">
        <f aca="false">IF(OR(הגדרות!$E$6=0,H131&gt;הגדרות!$E$5),"",IF(H131-1&lt;הגדרות!$E$8*(הגדרות!$E$7+1),INT((H131-1)/(הגדרות!$E$7+1)),הגדרות!$E$8+INT((H131-1-הגדרות!$E$8*(הגדרות!$E$7+1))/הגדרות!$E$7)))</f>
        <v/>
      </c>
      <c r="J131" s="0" t="str">
        <f aca="false">IF(I131="","",IF(H131-1&lt;הגדרות!$E$8*(הגדרות!$E$7+1),MOD(H131-1,הגדרות!$E$7+1),MOD(H131-1-הגדרות!$E$8*(הגדרות!$E$7+1),הגדרות!$E$7)))</f>
        <v/>
      </c>
      <c r="K131" s="0" t="str">
        <f aca="false">IF(I131="","",J131*הגדרות!$E$6+I131+1)</f>
        <v/>
      </c>
      <c r="L131" s="0" t="str">
        <f aca="false">IF(K131="","",MATCH(K131,$F$2:$F$5001,0))</f>
        <v/>
      </c>
      <c r="M131" s="0" t="str">
        <f aca="false">IF(I131="","",INDEX(הגדרות!$A$2:$A$21,MOD(I131+הגדרות!$E$9,הגדרות!$E$6)+1))</f>
        <v/>
      </c>
    </row>
    <row r="132" customFormat="false" ht="15" hidden="false" customHeight="false" outlineLevel="0" collapsed="false">
      <c r="A132" s="0" t="str">
        <f aca="false">IF('הדבקת לידים'!A132="","",IF(ISNUMBER('הדבקת לידים'!A132),IF(הגדרות!$E$2&gt;0,TEXT('הדבקת לידים'!A132,REPT("0",הגדרות!$E$2)),TEXT('הדבקת לידים'!A132,"0")),TRIM('הדבקת לידים'!A132)))</f>
        <v/>
      </c>
      <c r="B132" s="0" t="str">
        <f aca="false">IF('הדבקת לידים'!B132="","",IF(ISNUMBER('הדבקת לידים'!B132),IF(הגדרות!$E$3&gt;0,TEXT('הדבקת לידים'!B132,REPT("0",הגדרות!$E$3)),TEXT('הדבקת לידים'!B132,"0")),TRIM('הדבקת לידים'!B132)))</f>
        <v/>
      </c>
      <c r="C132" s="0" t="n">
        <f aca="false">IF(OR(A132&lt;&gt;"",B132&lt;&gt;""),1,0)</f>
        <v>0</v>
      </c>
      <c r="D132" s="0" t="str">
        <f aca="false">IF(C132=1,MOD(ABS(SIN(ROW()*12.9898+'הדבקת לידים'!$F$2*78.233+IFERROR(--RIGHT(A132,6),LEN(A132))*0.0137+IFERROR(--RIGHT(B132,6),LEN(B132))*0.0071))*43758.5453,1),"")</f>
        <v/>
      </c>
      <c r="E132" s="0" t="str">
        <f aca="false">IF(C132=1,INT(MOD(ABS(SIN(D132*7919.123+ROW()*0.618+'הדבקת לידים'!$F$2*1.3))*43758.5453,1)*1000000)*10000+ROW(),"")</f>
        <v/>
      </c>
      <c r="F132" s="0" t="str">
        <f aca="false">IF(E132="","",RANK(E132,$E$2:$E$5001,1))</f>
        <v/>
      </c>
      <c r="G132" s="0" t="n">
        <f aca="false">IF(A132="",0,IF(SUMPRODUCT(--($A$2:$A$5001=A132))&gt;1,1,0))</f>
        <v>0</v>
      </c>
      <c r="H132" s="0" t="n">
        <f aca="false">ROW()-1</f>
        <v>131</v>
      </c>
      <c r="I132" s="0" t="str">
        <f aca="false">IF(OR(הגדרות!$E$6=0,H132&gt;הגדרות!$E$5),"",IF(H132-1&lt;הגדרות!$E$8*(הגדרות!$E$7+1),INT((H132-1)/(הגדרות!$E$7+1)),הגדרות!$E$8+INT((H132-1-הגדרות!$E$8*(הגדרות!$E$7+1))/הגדרות!$E$7)))</f>
        <v/>
      </c>
      <c r="J132" s="0" t="str">
        <f aca="false">IF(I132="","",IF(H132-1&lt;הגדרות!$E$8*(הגדרות!$E$7+1),MOD(H132-1,הגדרות!$E$7+1),MOD(H132-1-הגדרות!$E$8*(הגדרות!$E$7+1),הגדרות!$E$7)))</f>
        <v/>
      </c>
      <c r="K132" s="0" t="str">
        <f aca="false">IF(I132="","",J132*הגדרות!$E$6+I132+1)</f>
        <v/>
      </c>
      <c r="L132" s="0" t="str">
        <f aca="false">IF(K132="","",MATCH(K132,$F$2:$F$5001,0))</f>
        <v/>
      </c>
      <c r="M132" s="0" t="str">
        <f aca="false">IF(I132="","",INDEX(הגדרות!$A$2:$A$21,MOD(I132+הגדרות!$E$9,הגדרות!$E$6)+1))</f>
        <v/>
      </c>
    </row>
    <row r="133" customFormat="false" ht="15" hidden="false" customHeight="false" outlineLevel="0" collapsed="false">
      <c r="A133" s="0" t="str">
        <f aca="false">IF('הדבקת לידים'!A133="","",IF(ISNUMBER('הדבקת לידים'!A133),IF(הגדרות!$E$2&gt;0,TEXT('הדבקת לידים'!A133,REPT("0",הגדרות!$E$2)),TEXT('הדבקת לידים'!A133,"0")),TRIM('הדבקת לידים'!A133)))</f>
        <v/>
      </c>
      <c r="B133" s="0" t="str">
        <f aca="false">IF('הדבקת לידים'!B133="","",IF(ISNUMBER('הדבקת לידים'!B133),IF(הגדרות!$E$3&gt;0,TEXT('הדבקת לידים'!B133,REPT("0",הגדרות!$E$3)),TEXT('הדבקת לידים'!B133,"0")),TRIM('הדבקת לידים'!B133)))</f>
        <v/>
      </c>
      <c r="C133" s="0" t="n">
        <f aca="false">IF(OR(A133&lt;&gt;"",B133&lt;&gt;""),1,0)</f>
        <v>0</v>
      </c>
      <c r="D133" s="0" t="str">
        <f aca="false">IF(C133=1,MOD(ABS(SIN(ROW()*12.9898+'הדבקת לידים'!$F$2*78.233+IFERROR(--RIGHT(A133,6),LEN(A133))*0.0137+IFERROR(--RIGHT(B133,6),LEN(B133))*0.0071))*43758.5453,1),"")</f>
        <v/>
      </c>
      <c r="E133" s="0" t="str">
        <f aca="false">IF(C133=1,INT(MOD(ABS(SIN(D133*7919.123+ROW()*0.618+'הדבקת לידים'!$F$2*1.3))*43758.5453,1)*1000000)*10000+ROW(),"")</f>
        <v/>
      </c>
      <c r="F133" s="0" t="str">
        <f aca="false">IF(E133="","",RANK(E133,$E$2:$E$5001,1))</f>
        <v/>
      </c>
      <c r="G133" s="0" t="n">
        <f aca="false">IF(A133="",0,IF(SUMPRODUCT(--($A$2:$A$5001=A133))&gt;1,1,0))</f>
        <v>0</v>
      </c>
      <c r="H133" s="0" t="n">
        <f aca="false">ROW()-1</f>
        <v>132</v>
      </c>
      <c r="I133" s="0" t="str">
        <f aca="false">IF(OR(הגדרות!$E$6=0,H133&gt;הגדרות!$E$5),"",IF(H133-1&lt;הגדרות!$E$8*(הגדרות!$E$7+1),INT((H133-1)/(הגדרות!$E$7+1)),הגדרות!$E$8+INT((H133-1-הגדרות!$E$8*(הגדרות!$E$7+1))/הגדרות!$E$7)))</f>
        <v/>
      </c>
      <c r="J133" s="0" t="str">
        <f aca="false">IF(I133="","",IF(H133-1&lt;הגדרות!$E$8*(הגדרות!$E$7+1),MOD(H133-1,הגדרות!$E$7+1),MOD(H133-1-הגדרות!$E$8*(הגדרות!$E$7+1),הגדרות!$E$7)))</f>
        <v/>
      </c>
      <c r="K133" s="0" t="str">
        <f aca="false">IF(I133="","",J133*הגדרות!$E$6+I133+1)</f>
        <v/>
      </c>
      <c r="L133" s="0" t="str">
        <f aca="false">IF(K133="","",MATCH(K133,$F$2:$F$5001,0))</f>
        <v/>
      </c>
      <c r="M133" s="0" t="str">
        <f aca="false">IF(I133="","",INDEX(הגדרות!$A$2:$A$21,MOD(I133+הגדרות!$E$9,הגדרות!$E$6)+1))</f>
        <v/>
      </c>
    </row>
    <row r="134" customFormat="false" ht="15" hidden="false" customHeight="false" outlineLevel="0" collapsed="false">
      <c r="A134" s="0" t="str">
        <f aca="false">IF('הדבקת לידים'!A134="","",IF(ISNUMBER('הדבקת לידים'!A134),IF(הגדרות!$E$2&gt;0,TEXT('הדבקת לידים'!A134,REPT("0",הגדרות!$E$2)),TEXT('הדבקת לידים'!A134,"0")),TRIM('הדבקת לידים'!A134)))</f>
        <v/>
      </c>
      <c r="B134" s="0" t="str">
        <f aca="false">IF('הדבקת לידים'!B134="","",IF(ISNUMBER('הדבקת לידים'!B134),IF(הגדרות!$E$3&gt;0,TEXT('הדבקת לידים'!B134,REPT("0",הגדרות!$E$3)),TEXT('הדבקת לידים'!B134,"0")),TRIM('הדבקת לידים'!B134)))</f>
        <v/>
      </c>
      <c r="C134" s="0" t="n">
        <f aca="false">IF(OR(A134&lt;&gt;"",B134&lt;&gt;""),1,0)</f>
        <v>0</v>
      </c>
      <c r="D134" s="0" t="str">
        <f aca="false">IF(C134=1,MOD(ABS(SIN(ROW()*12.9898+'הדבקת לידים'!$F$2*78.233+IFERROR(--RIGHT(A134,6),LEN(A134))*0.0137+IFERROR(--RIGHT(B134,6),LEN(B134))*0.0071))*43758.5453,1),"")</f>
        <v/>
      </c>
      <c r="E134" s="0" t="str">
        <f aca="false">IF(C134=1,INT(MOD(ABS(SIN(D134*7919.123+ROW()*0.618+'הדבקת לידים'!$F$2*1.3))*43758.5453,1)*1000000)*10000+ROW(),"")</f>
        <v/>
      </c>
      <c r="F134" s="0" t="str">
        <f aca="false">IF(E134="","",RANK(E134,$E$2:$E$5001,1))</f>
        <v/>
      </c>
      <c r="G134" s="0" t="n">
        <f aca="false">IF(A134="",0,IF(SUMPRODUCT(--($A$2:$A$5001=A134))&gt;1,1,0))</f>
        <v>0</v>
      </c>
      <c r="H134" s="0" t="n">
        <f aca="false">ROW()-1</f>
        <v>133</v>
      </c>
      <c r="I134" s="0" t="str">
        <f aca="false">IF(OR(הגדרות!$E$6=0,H134&gt;הגדרות!$E$5),"",IF(H134-1&lt;הגדרות!$E$8*(הגדרות!$E$7+1),INT((H134-1)/(הגדרות!$E$7+1)),הגדרות!$E$8+INT((H134-1-הגדרות!$E$8*(הגדרות!$E$7+1))/הגדרות!$E$7)))</f>
        <v/>
      </c>
      <c r="J134" s="0" t="str">
        <f aca="false">IF(I134="","",IF(H134-1&lt;הגדרות!$E$8*(הגדרות!$E$7+1),MOD(H134-1,הגדרות!$E$7+1),MOD(H134-1-הגדרות!$E$8*(הגדרות!$E$7+1),הגדרות!$E$7)))</f>
        <v/>
      </c>
      <c r="K134" s="0" t="str">
        <f aca="false">IF(I134="","",J134*הגדרות!$E$6+I134+1)</f>
        <v/>
      </c>
      <c r="L134" s="0" t="str">
        <f aca="false">IF(K134="","",MATCH(K134,$F$2:$F$5001,0))</f>
        <v/>
      </c>
      <c r="M134" s="0" t="str">
        <f aca="false">IF(I134="","",INDEX(הגדרות!$A$2:$A$21,MOD(I134+הגדרות!$E$9,הגדרות!$E$6)+1))</f>
        <v/>
      </c>
    </row>
    <row r="135" customFormat="false" ht="15" hidden="false" customHeight="false" outlineLevel="0" collapsed="false">
      <c r="A135" s="0" t="str">
        <f aca="false">IF('הדבקת לידים'!A135="","",IF(ISNUMBER('הדבקת לידים'!A135),IF(הגדרות!$E$2&gt;0,TEXT('הדבקת לידים'!A135,REPT("0",הגדרות!$E$2)),TEXT('הדבקת לידים'!A135,"0")),TRIM('הדבקת לידים'!A135)))</f>
        <v/>
      </c>
      <c r="B135" s="0" t="str">
        <f aca="false">IF('הדבקת לידים'!B135="","",IF(ISNUMBER('הדבקת לידים'!B135),IF(הגדרות!$E$3&gt;0,TEXT('הדבקת לידים'!B135,REPT("0",הגדרות!$E$3)),TEXT('הדבקת לידים'!B135,"0")),TRIM('הדבקת לידים'!B135)))</f>
        <v/>
      </c>
      <c r="C135" s="0" t="n">
        <f aca="false">IF(OR(A135&lt;&gt;"",B135&lt;&gt;""),1,0)</f>
        <v>0</v>
      </c>
      <c r="D135" s="0" t="str">
        <f aca="false">IF(C135=1,MOD(ABS(SIN(ROW()*12.9898+'הדבקת לידים'!$F$2*78.233+IFERROR(--RIGHT(A135,6),LEN(A135))*0.0137+IFERROR(--RIGHT(B135,6),LEN(B135))*0.0071))*43758.5453,1),"")</f>
        <v/>
      </c>
      <c r="E135" s="0" t="str">
        <f aca="false">IF(C135=1,INT(MOD(ABS(SIN(D135*7919.123+ROW()*0.618+'הדבקת לידים'!$F$2*1.3))*43758.5453,1)*1000000)*10000+ROW(),"")</f>
        <v/>
      </c>
      <c r="F135" s="0" t="str">
        <f aca="false">IF(E135="","",RANK(E135,$E$2:$E$5001,1))</f>
        <v/>
      </c>
      <c r="G135" s="0" t="n">
        <f aca="false">IF(A135="",0,IF(SUMPRODUCT(--($A$2:$A$5001=A135))&gt;1,1,0))</f>
        <v>0</v>
      </c>
      <c r="H135" s="0" t="n">
        <f aca="false">ROW()-1</f>
        <v>134</v>
      </c>
      <c r="I135" s="0" t="str">
        <f aca="false">IF(OR(הגדרות!$E$6=0,H135&gt;הגדרות!$E$5),"",IF(H135-1&lt;הגדרות!$E$8*(הגדרות!$E$7+1),INT((H135-1)/(הגדרות!$E$7+1)),הגדרות!$E$8+INT((H135-1-הגדרות!$E$8*(הגדרות!$E$7+1))/הגדרות!$E$7)))</f>
        <v/>
      </c>
      <c r="J135" s="0" t="str">
        <f aca="false">IF(I135="","",IF(H135-1&lt;הגדרות!$E$8*(הגדרות!$E$7+1),MOD(H135-1,הגדרות!$E$7+1),MOD(H135-1-הגדרות!$E$8*(הגדרות!$E$7+1),הגדרות!$E$7)))</f>
        <v/>
      </c>
      <c r="K135" s="0" t="str">
        <f aca="false">IF(I135="","",J135*הגדרות!$E$6+I135+1)</f>
        <v/>
      </c>
      <c r="L135" s="0" t="str">
        <f aca="false">IF(K135="","",MATCH(K135,$F$2:$F$5001,0))</f>
        <v/>
      </c>
      <c r="M135" s="0" t="str">
        <f aca="false">IF(I135="","",INDEX(הגדרות!$A$2:$A$21,MOD(I135+הגדרות!$E$9,הגדרות!$E$6)+1))</f>
        <v/>
      </c>
    </row>
    <row r="136" customFormat="false" ht="15" hidden="false" customHeight="false" outlineLevel="0" collapsed="false">
      <c r="A136" s="0" t="str">
        <f aca="false">IF('הדבקת לידים'!A136="","",IF(ISNUMBER('הדבקת לידים'!A136),IF(הגדרות!$E$2&gt;0,TEXT('הדבקת לידים'!A136,REPT("0",הגדרות!$E$2)),TEXT('הדבקת לידים'!A136,"0")),TRIM('הדבקת לידים'!A136)))</f>
        <v/>
      </c>
      <c r="B136" s="0" t="str">
        <f aca="false">IF('הדבקת לידים'!B136="","",IF(ISNUMBER('הדבקת לידים'!B136),IF(הגדרות!$E$3&gt;0,TEXT('הדבקת לידים'!B136,REPT("0",הגדרות!$E$3)),TEXT('הדבקת לידים'!B136,"0")),TRIM('הדבקת לידים'!B136)))</f>
        <v/>
      </c>
      <c r="C136" s="0" t="n">
        <f aca="false">IF(OR(A136&lt;&gt;"",B136&lt;&gt;""),1,0)</f>
        <v>0</v>
      </c>
      <c r="D136" s="0" t="str">
        <f aca="false">IF(C136=1,MOD(ABS(SIN(ROW()*12.9898+'הדבקת לידים'!$F$2*78.233+IFERROR(--RIGHT(A136,6),LEN(A136))*0.0137+IFERROR(--RIGHT(B136,6),LEN(B136))*0.0071))*43758.5453,1),"")</f>
        <v/>
      </c>
      <c r="E136" s="0" t="str">
        <f aca="false">IF(C136=1,INT(MOD(ABS(SIN(D136*7919.123+ROW()*0.618+'הדבקת לידים'!$F$2*1.3))*43758.5453,1)*1000000)*10000+ROW(),"")</f>
        <v/>
      </c>
      <c r="F136" s="0" t="str">
        <f aca="false">IF(E136="","",RANK(E136,$E$2:$E$5001,1))</f>
        <v/>
      </c>
      <c r="G136" s="0" t="n">
        <f aca="false">IF(A136="",0,IF(SUMPRODUCT(--($A$2:$A$5001=A136))&gt;1,1,0))</f>
        <v>0</v>
      </c>
      <c r="H136" s="0" t="n">
        <f aca="false">ROW()-1</f>
        <v>135</v>
      </c>
      <c r="I136" s="0" t="str">
        <f aca="false">IF(OR(הגדרות!$E$6=0,H136&gt;הגדרות!$E$5),"",IF(H136-1&lt;הגדרות!$E$8*(הגדרות!$E$7+1),INT((H136-1)/(הגדרות!$E$7+1)),הגדרות!$E$8+INT((H136-1-הגדרות!$E$8*(הגדרות!$E$7+1))/הגדרות!$E$7)))</f>
        <v/>
      </c>
      <c r="J136" s="0" t="str">
        <f aca="false">IF(I136="","",IF(H136-1&lt;הגדרות!$E$8*(הגדרות!$E$7+1),MOD(H136-1,הגדרות!$E$7+1),MOD(H136-1-הגדרות!$E$8*(הגדרות!$E$7+1),הגדרות!$E$7)))</f>
        <v/>
      </c>
      <c r="K136" s="0" t="str">
        <f aca="false">IF(I136="","",J136*הגדרות!$E$6+I136+1)</f>
        <v/>
      </c>
      <c r="L136" s="0" t="str">
        <f aca="false">IF(K136="","",MATCH(K136,$F$2:$F$5001,0))</f>
        <v/>
      </c>
      <c r="M136" s="0" t="str">
        <f aca="false">IF(I136="","",INDEX(הגדרות!$A$2:$A$21,MOD(I136+הגדרות!$E$9,הגדרות!$E$6)+1))</f>
        <v/>
      </c>
    </row>
    <row r="137" customFormat="false" ht="15" hidden="false" customHeight="false" outlineLevel="0" collapsed="false">
      <c r="A137" s="0" t="str">
        <f aca="false">IF('הדבקת לידים'!A137="","",IF(ISNUMBER('הדבקת לידים'!A137),IF(הגדרות!$E$2&gt;0,TEXT('הדבקת לידים'!A137,REPT("0",הגדרות!$E$2)),TEXT('הדבקת לידים'!A137,"0")),TRIM('הדבקת לידים'!A137)))</f>
        <v/>
      </c>
      <c r="B137" s="0" t="str">
        <f aca="false">IF('הדבקת לידים'!B137="","",IF(ISNUMBER('הדבקת לידים'!B137),IF(הגדרות!$E$3&gt;0,TEXT('הדבקת לידים'!B137,REPT("0",הגדרות!$E$3)),TEXT('הדבקת לידים'!B137,"0")),TRIM('הדבקת לידים'!B137)))</f>
        <v/>
      </c>
      <c r="C137" s="0" t="n">
        <f aca="false">IF(OR(A137&lt;&gt;"",B137&lt;&gt;""),1,0)</f>
        <v>0</v>
      </c>
      <c r="D137" s="0" t="str">
        <f aca="false">IF(C137=1,MOD(ABS(SIN(ROW()*12.9898+'הדבקת לידים'!$F$2*78.233+IFERROR(--RIGHT(A137,6),LEN(A137))*0.0137+IFERROR(--RIGHT(B137,6),LEN(B137))*0.0071))*43758.5453,1),"")</f>
        <v/>
      </c>
      <c r="E137" s="0" t="str">
        <f aca="false">IF(C137=1,INT(MOD(ABS(SIN(D137*7919.123+ROW()*0.618+'הדבקת לידים'!$F$2*1.3))*43758.5453,1)*1000000)*10000+ROW(),"")</f>
        <v/>
      </c>
      <c r="F137" s="0" t="str">
        <f aca="false">IF(E137="","",RANK(E137,$E$2:$E$5001,1))</f>
        <v/>
      </c>
      <c r="G137" s="0" t="n">
        <f aca="false">IF(A137="",0,IF(SUMPRODUCT(--($A$2:$A$5001=A137))&gt;1,1,0))</f>
        <v>0</v>
      </c>
      <c r="H137" s="0" t="n">
        <f aca="false">ROW()-1</f>
        <v>136</v>
      </c>
      <c r="I137" s="0" t="str">
        <f aca="false">IF(OR(הגדרות!$E$6=0,H137&gt;הגדרות!$E$5),"",IF(H137-1&lt;הגדרות!$E$8*(הגדרות!$E$7+1),INT((H137-1)/(הגדרות!$E$7+1)),הגדרות!$E$8+INT((H137-1-הגדרות!$E$8*(הגדרות!$E$7+1))/הגדרות!$E$7)))</f>
        <v/>
      </c>
      <c r="J137" s="0" t="str">
        <f aca="false">IF(I137="","",IF(H137-1&lt;הגדרות!$E$8*(הגדרות!$E$7+1),MOD(H137-1,הגדרות!$E$7+1),MOD(H137-1-הגדרות!$E$8*(הגדרות!$E$7+1),הגדרות!$E$7)))</f>
        <v/>
      </c>
      <c r="K137" s="0" t="str">
        <f aca="false">IF(I137="","",J137*הגדרות!$E$6+I137+1)</f>
        <v/>
      </c>
      <c r="L137" s="0" t="str">
        <f aca="false">IF(K137="","",MATCH(K137,$F$2:$F$5001,0))</f>
        <v/>
      </c>
      <c r="M137" s="0" t="str">
        <f aca="false">IF(I137="","",INDEX(הגדרות!$A$2:$A$21,MOD(I137+הגדרות!$E$9,הגדרות!$E$6)+1))</f>
        <v/>
      </c>
    </row>
    <row r="138" customFormat="false" ht="15" hidden="false" customHeight="false" outlineLevel="0" collapsed="false">
      <c r="A138" s="0" t="str">
        <f aca="false">IF('הדבקת לידים'!A138="","",IF(ISNUMBER('הדבקת לידים'!A138),IF(הגדרות!$E$2&gt;0,TEXT('הדבקת לידים'!A138,REPT("0",הגדרות!$E$2)),TEXT('הדבקת לידים'!A138,"0")),TRIM('הדבקת לידים'!A138)))</f>
        <v/>
      </c>
      <c r="B138" s="0" t="str">
        <f aca="false">IF('הדבקת לידים'!B138="","",IF(ISNUMBER('הדבקת לידים'!B138),IF(הגדרות!$E$3&gt;0,TEXT('הדבקת לידים'!B138,REPT("0",הגדרות!$E$3)),TEXT('הדבקת לידים'!B138,"0")),TRIM('הדבקת לידים'!B138)))</f>
        <v/>
      </c>
      <c r="C138" s="0" t="n">
        <f aca="false">IF(OR(A138&lt;&gt;"",B138&lt;&gt;""),1,0)</f>
        <v>0</v>
      </c>
      <c r="D138" s="0" t="str">
        <f aca="false">IF(C138=1,MOD(ABS(SIN(ROW()*12.9898+'הדבקת לידים'!$F$2*78.233+IFERROR(--RIGHT(A138,6),LEN(A138))*0.0137+IFERROR(--RIGHT(B138,6),LEN(B138))*0.0071))*43758.5453,1),"")</f>
        <v/>
      </c>
      <c r="E138" s="0" t="str">
        <f aca="false">IF(C138=1,INT(MOD(ABS(SIN(D138*7919.123+ROW()*0.618+'הדבקת לידים'!$F$2*1.3))*43758.5453,1)*1000000)*10000+ROW(),"")</f>
        <v/>
      </c>
      <c r="F138" s="0" t="str">
        <f aca="false">IF(E138="","",RANK(E138,$E$2:$E$5001,1))</f>
        <v/>
      </c>
      <c r="G138" s="0" t="n">
        <f aca="false">IF(A138="",0,IF(SUMPRODUCT(--($A$2:$A$5001=A138))&gt;1,1,0))</f>
        <v>0</v>
      </c>
      <c r="H138" s="0" t="n">
        <f aca="false">ROW()-1</f>
        <v>137</v>
      </c>
      <c r="I138" s="0" t="str">
        <f aca="false">IF(OR(הגדרות!$E$6=0,H138&gt;הגדרות!$E$5),"",IF(H138-1&lt;הגדרות!$E$8*(הגדרות!$E$7+1),INT((H138-1)/(הגדרות!$E$7+1)),הגדרות!$E$8+INT((H138-1-הגדרות!$E$8*(הגדרות!$E$7+1))/הגדרות!$E$7)))</f>
        <v/>
      </c>
      <c r="J138" s="0" t="str">
        <f aca="false">IF(I138="","",IF(H138-1&lt;הגדרות!$E$8*(הגדרות!$E$7+1),MOD(H138-1,הגדרות!$E$7+1),MOD(H138-1-הגדרות!$E$8*(הגדרות!$E$7+1),הגדרות!$E$7)))</f>
        <v/>
      </c>
      <c r="K138" s="0" t="str">
        <f aca="false">IF(I138="","",J138*הגדרות!$E$6+I138+1)</f>
        <v/>
      </c>
      <c r="L138" s="0" t="str">
        <f aca="false">IF(K138="","",MATCH(K138,$F$2:$F$5001,0))</f>
        <v/>
      </c>
      <c r="M138" s="0" t="str">
        <f aca="false">IF(I138="","",INDEX(הגדרות!$A$2:$A$21,MOD(I138+הגדרות!$E$9,הגדרות!$E$6)+1))</f>
        <v/>
      </c>
    </row>
    <row r="139" customFormat="false" ht="15" hidden="false" customHeight="false" outlineLevel="0" collapsed="false">
      <c r="A139" s="0" t="str">
        <f aca="false">IF('הדבקת לידים'!A139="","",IF(ISNUMBER('הדבקת לידים'!A139),IF(הגדרות!$E$2&gt;0,TEXT('הדבקת לידים'!A139,REPT("0",הגדרות!$E$2)),TEXT('הדבקת לידים'!A139,"0")),TRIM('הדבקת לידים'!A139)))</f>
        <v/>
      </c>
      <c r="B139" s="0" t="str">
        <f aca="false">IF('הדבקת לידים'!B139="","",IF(ISNUMBER('הדבקת לידים'!B139),IF(הגדרות!$E$3&gt;0,TEXT('הדבקת לידים'!B139,REPT("0",הגדרות!$E$3)),TEXT('הדבקת לידים'!B139,"0")),TRIM('הדבקת לידים'!B139)))</f>
        <v/>
      </c>
      <c r="C139" s="0" t="n">
        <f aca="false">IF(OR(A139&lt;&gt;"",B139&lt;&gt;""),1,0)</f>
        <v>0</v>
      </c>
      <c r="D139" s="0" t="str">
        <f aca="false">IF(C139=1,MOD(ABS(SIN(ROW()*12.9898+'הדבקת לידים'!$F$2*78.233+IFERROR(--RIGHT(A139,6),LEN(A139))*0.0137+IFERROR(--RIGHT(B139,6),LEN(B139))*0.0071))*43758.5453,1),"")</f>
        <v/>
      </c>
      <c r="E139" s="0" t="str">
        <f aca="false">IF(C139=1,INT(MOD(ABS(SIN(D139*7919.123+ROW()*0.618+'הדבקת לידים'!$F$2*1.3))*43758.5453,1)*1000000)*10000+ROW(),"")</f>
        <v/>
      </c>
      <c r="F139" s="0" t="str">
        <f aca="false">IF(E139="","",RANK(E139,$E$2:$E$5001,1))</f>
        <v/>
      </c>
      <c r="G139" s="0" t="n">
        <f aca="false">IF(A139="",0,IF(SUMPRODUCT(--($A$2:$A$5001=A139))&gt;1,1,0))</f>
        <v>0</v>
      </c>
      <c r="H139" s="0" t="n">
        <f aca="false">ROW()-1</f>
        <v>138</v>
      </c>
      <c r="I139" s="0" t="str">
        <f aca="false">IF(OR(הגדרות!$E$6=0,H139&gt;הגדרות!$E$5),"",IF(H139-1&lt;הגדרות!$E$8*(הגדרות!$E$7+1),INT((H139-1)/(הגדרות!$E$7+1)),הגדרות!$E$8+INT((H139-1-הגדרות!$E$8*(הגדרות!$E$7+1))/הגדרות!$E$7)))</f>
        <v/>
      </c>
      <c r="J139" s="0" t="str">
        <f aca="false">IF(I139="","",IF(H139-1&lt;הגדרות!$E$8*(הגדרות!$E$7+1),MOD(H139-1,הגדרות!$E$7+1),MOD(H139-1-הגדרות!$E$8*(הגדרות!$E$7+1),הגדרות!$E$7)))</f>
        <v/>
      </c>
      <c r="K139" s="0" t="str">
        <f aca="false">IF(I139="","",J139*הגדרות!$E$6+I139+1)</f>
        <v/>
      </c>
      <c r="L139" s="0" t="str">
        <f aca="false">IF(K139="","",MATCH(K139,$F$2:$F$5001,0))</f>
        <v/>
      </c>
      <c r="M139" s="0" t="str">
        <f aca="false">IF(I139="","",INDEX(הגדרות!$A$2:$A$21,MOD(I139+הגדרות!$E$9,הגדרות!$E$6)+1))</f>
        <v/>
      </c>
    </row>
    <row r="140" customFormat="false" ht="15" hidden="false" customHeight="false" outlineLevel="0" collapsed="false">
      <c r="A140" s="0" t="str">
        <f aca="false">IF('הדבקת לידים'!A140="","",IF(ISNUMBER('הדבקת לידים'!A140),IF(הגדרות!$E$2&gt;0,TEXT('הדבקת לידים'!A140,REPT("0",הגדרות!$E$2)),TEXT('הדבקת לידים'!A140,"0")),TRIM('הדבקת לידים'!A140)))</f>
        <v/>
      </c>
      <c r="B140" s="0" t="str">
        <f aca="false">IF('הדבקת לידים'!B140="","",IF(ISNUMBER('הדבקת לידים'!B140),IF(הגדרות!$E$3&gt;0,TEXT('הדבקת לידים'!B140,REPT("0",הגדרות!$E$3)),TEXT('הדבקת לידים'!B140,"0")),TRIM('הדבקת לידים'!B140)))</f>
        <v/>
      </c>
      <c r="C140" s="0" t="n">
        <f aca="false">IF(OR(A140&lt;&gt;"",B140&lt;&gt;""),1,0)</f>
        <v>0</v>
      </c>
      <c r="D140" s="0" t="str">
        <f aca="false">IF(C140=1,MOD(ABS(SIN(ROW()*12.9898+'הדבקת לידים'!$F$2*78.233+IFERROR(--RIGHT(A140,6),LEN(A140))*0.0137+IFERROR(--RIGHT(B140,6),LEN(B140))*0.0071))*43758.5453,1),"")</f>
        <v/>
      </c>
      <c r="E140" s="0" t="str">
        <f aca="false">IF(C140=1,INT(MOD(ABS(SIN(D140*7919.123+ROW()*0.618+'הדבקת לידים'!$F$2*1.3))*43758.5453,1)*1000000)*10000+ROW(),"")</f>
        <v/>
      </c>
      <c r="F140" s="0" t="str">
        <f aca="false">IF(E140="","",RANK(E140,$E$2:$E$5001,1))</f>
        <v/>
      </c>
      <c r="G140" s="0" t="n">
        <f aca="false">IF(A140="",0,IF(SUMPRODUCT(--($A$2:$A$5001=A140))&gt;1,1,0))</f>
        <v>0</v>
      </c>
      <c r="H140" s="0" t="n">
        <f aca="false">ROW()-1</f>
        <v>139</v>
      </c>
      <c r="I140" s="0" t="str">
        <f aca="false">IF(OR(הגדרות!$E$6=0,H140&gt;הגדרות!$E$5),"",IF(H140-1&lt;הגדרות!$E$8*(הגדרות!$E$7+1),INT((H140-1)/(הגדרות!$E$7+1)),הגדרות!$E$8+INT((H140-1-הגדרות!$E$8*(הגדרות!$E$7+1))/הגדרות!$E$7)))</f>
        <v/>
      </c>
      <c r="J140" s="0" t="str">
        <f aca="false">IF(I140="","",IF(H140-1&lt;הגדרות!$E$8*(הגדרות!$E$7+1),MOD(H140-1,הגדרות!$E$7+1),MOD(H140-1-הגדרות!$E$8*(הגדרות!$E$7+1),הגדרות!$E$7)))</f>
        <v/>
      </c>
      <c r="K140" s="0" t="str">
        <f aca="false">IF(I140="","",J140*הגדרות!$E$6+I140+1)</f>
        <v/>
      </c>
      <c r="L140" s="0" t="str">
        <f aca="false">IF(K140="","",MATCH(K140,$F$2:$F$5001,0))</f>
        <v/>
      </c>
      <c r="M140" s="0" t="str">
        <f aca="false">IF(I140="","",INDEX(הגדרות!$A$2:$A$21,MOD(I140+הגדרות!$E$9,הגדרות!$E$6)+1))</f>
        <v/>
      </c>
    </row>
    <row r="141" customFormat="false" ht="15" hidden="false" customHeight="false" outlineLevel="0" collapsed="false">
      <c r="A141" s="0" t="str">
        <f aca="false">IF('הדבקת לידים'!A141="","",IF(ISNUMBER('הדבקת לידים'!A141),IF(הגדרות!$E$2&gt;0,TEXT('הדבקת לידים'!A141,REPT("0",הגדרות!$E$2)),TEXT('הדבקת לידים'!A141,"0")),TRIM('הדבקת לידים'!A141)))</f>
        <v/>
      </c>
      <c r="B141" s="0" t="str">
        <f aca="false">IF('הדבקת לידים'!B141="","",IF(ISNUMBER('הדבקת לידים'!B141),IF(הגדרות!$E$3&gt;0,TEXT('הדבקת לידים'!B141,REPT("0",הגדרות!$E$3)),TEXT('הדבקת לידים'!B141,"0")),TRIM('הדבקת לידים'!B141)))</f>
        <v/>
      </c>
      <c r="C141" s="0" t="n">
        <f aca="false">IF(OR(A141&lt;&gt;"",B141&lt;&gt;""),1,0)</f>
        <v>0</v>
      </c>
      <c r="D141" s="0" t="str">
        <f aca="false">IF(C141=1,MOD(ABS(SIN(ROW()*12.9898+'הדבקת לידים'!$F$2*78.233+IFERROR(--RIGHT(A141,6),LEN(A141))*0.0137+IFERROR(--RIGHT(B141,6),LEN(B141))*0.0071))*43758.5453,1),"")</f>
        <v/>
      </c>
      <c r="E141" s="0" t="str">
        <f aca="false">IF(C141=1,INT(MOD(ABS(SIN(D141*7919.123+ROW()*0.618+'הדבקת לידים'!$F$2*1.3))*43758.5453,1)*1000000)*10000+ROW(),"")</f>
        <v/>
      </c>
      <c r="F141" s="0" t="str">
        <f aca="false">IF(E141="","",RANK(E141,$E$2:$E$5001,1))</f>
        <v/>
      </c>
      <c r="G141" s="0" t="n">
        <f aca="false">IF(A141="",0,IF(SUMPRODUCT(--($A$2:$A$5001=A141))&gt;1,1,0))</f>
        <v>0</v>
      </c>
      <c r="H141" s="0" t="n">
        <f aca="false">ROW()-1</f>
        <v>140</v>
      </c>
      <c r="I141" s="0" t="str">
        <f aca="false">IF(OR(הגדרות!$E$6=0,H141&gt;הגדרות!$E$5),"",IF(H141-1&lt;הגדרות!$E$8*(הגדרות!$E$7+1),INT((H141-1)/(הגדרות!$E$7+1)),הגדרות!$E$8+INT((H141-1-הגדרות!$E$8*(הגדרות!$E$7+1))/הגדרות!$E$7)))</f>
        <v/>
      </c>
      <c r="J141" s="0" t="str">
        <f aca="false">IF(I141="","",IF(H141-1&lt;הגדרות!$E$8*(הגדרות!$E$7+1),MOD(H141-1,הגדרות!$E$7+1),MOD(H141-1-הגדרות!$E$8*(הגדרות!$E$7+1),הגדרות!$E$7)))</f>
        <v/>
      </c>
      <c r="K141" s="0" t="str">
        <f aca="false">IF(I141="","",J141*הגדרות!$E$6+I141+1)</f>
        <v/>
      </c>
      <c r="L141" s="0" t="str">
        <f aca="false">IF(K141="","",MATCH(K141,$F$2:$F$5001,0))</f>
        <v/>
      </c>
      <c r="M141" s="0" t="str">
        <f aca="false">IF(I141="","",INDEX(הגדרות!$A$2:$A$21,MOD(I141+הגדרות!$E$9,הגדרות!$E$6)+1))</f>
        <v/>
      </c>
    </row>
    <row r="142" customFormat="false" ht="15" hidden="false" customHeight="false" outlineLevel="0" collapsed="false">
      <c r="A142" s="0" t="str">
        <f aca="false">IF('הדבקת לידים'!A142="","",IF(ISNUMBER('הדבקת לידים'!A142),IF(הגדרות!$E$2&gt;0,TEXT('הדבקת לידים'!A142,REPT("0",הגדרות!$E$2)),TEXT('הדבקת לידים'!A142,"0")),TRIM('הדבקת לידים'!A142)))</f>
        <v/>
      </c>
      <c r="B142" s="0" t="str">
        <f aca="false">IF('הדבקת לידים'!B142="","",IF(ISNUMBER('הדבקת לידים'!B142),IF(הגדרות!$E$3&gt;0,TEXT('הדבקת לידים'!B142,REPT("0",הגדרות!$E$3)),TEXT('הדבקת לידים'!B142,"0")),TRIM('הדבקת לידים'!B142)))</f>
        <v/>
      </c>
      <c r="C142" s="0" t="n">
        <f aca="false">IF(OR(A142&lt;&gt;"",B142&lt;&gt;""),1,0)</f>
        <v>0</v>
      </c>
      <c r="D142" s="0" t="str">
        <f aca="false">IF(C142=1,MOD(ABS(SIN(ROW()*12.9898+'הדבקת לידים'!$F$2*78.233+IFERROR(--RIGHT(A142,6),LEN(A142))*0.0137+IFERROR(--RIGHT(B142,6),LEN(B142))*0.0071))*43758.5453,1),"")</f>
        <v/>
      </c>
      <c r="E142" s="0" t="str">
        <f aca="false">IF(C142=1,INT(MOD(ABS(SIN(D142*7919.123+ROW()*0.618+'הדבקת לידים'!$F$2*1.3))*43758.5453,1)*1000000)*10000+ROW(),"")</f>
        <v/>
      </c>
      <c r="F142" s="0" t="str">
        <f aca="false">IF(E142="","",RANK(E142,$E$2:$E$5001,1))</f>
        <v/>
      </c>
      <c r="G142" s="0" t="n">
        <f aca="false">IF(A142="",0,IF(SUMPRODUCT(--($A$2:$A$5001=A142))&gt;1,1,0))</f>
        <v>0</v>
      </c>
      <c r="H142" s="0" t="n">
        <f aca="false">ROW()-1</f>
        <v>141</v>
      </c>
      <c r="I142" s="0" t="str">
        <f aca="false">IF(OR(הגדרות!$E$6=0,H142&gt;הגדרות!$E$5),"",IF(H142-1&lt;הגדרות!$E$8*(הגדרות!$E$7+1),INT((H142-1)/(הגדרות!$E$7+1)),הגדרות!$E$8+INT((H142-1-הגדרות!$E$8*(הגדרות!$E$7+1))/הגדרות!$E$7)))</f>
        <v/>
      </c>
      <c r="J142" s="0" t="str">
        <f aca="false">IF(I142="","",IF(H142-1&lt;הגדרות!$E$8*(הגדרות!$E$7+1),MOD(H142-1,הגדרות!$E$7+1),MOD(H142-1-הגדרות!$E$8*(הגדרות!$E$7+1),הגדרות!$E$7)))</f>
        <v/>
      </c>
      <c r="K142" s="0" t="str">
        <f aca="false">IF(I142="","",J142*הגדרות!$E$6+I142+1)</f>
        <v/>
      </c>
      <c r="L142" s="0" t="str">
        <f aca="false">IF(K142="","",MATCH(K142,$F$2:$F$5001,0))</f>
        <v/>
      </c>
      <c r="M142" s="0" t="str">
        <f aca="false">IF(I142="","",INDEX(הגדרות!$A$2:$A$21,MOD(I142+הגדרות!$E$9,הגדרות!$E$6)+1))</f>
        <v/>
      </c>
    </row>
    <row r="143" customFormat="false" ht="15" hidden="false" customHeight="false" outlineLevel="0" collapsed="false">
      <c r="A143" s="0" t="str">
        <f aca="false">IF('הדבקת לידים'!A143="","",IF(ISNUMBER('הדבקת לידים'!A143),IF(הגדרות!$E$2&gt;0,TEXT('הדבקת לידים'!A143,REPT("0",הגדרות!$E$2)),TEXT('הדבקת לידים'!A143,"0")),TRIM('הדבקת לידים'!A143)))</f>
        <v/>
      </c>
      <c r="B143" s="0" t="str">
        <f aca="false">IF('הדבקת לידים'!B143="","",IF(ISNUMBER('הדבקת לידים'!B143),IF(הגדרות!$E$3&gt;0,TEXT('הדבקת לידים'!B143,REPT("0",הגדרות!$E$3)),TEXT('הדבקת לידים'!B143,"0")),TRIM('הדבקת לידים'!B143)))</f>
        <v/>
      </c>
      <c r="C143" s="0" t="n">
        <f aca="false">IF(OR(A143&lt;&gt;"",B143&lt;&gt;""),1,0)</f>
        <v>0</v>
      </c>
      <c r="D143" s="0" t="str">
        <f aca="false">IF(C143=1,MOD(ABS(SIN(ROW()*12.9898+'הדבקת לידים'!$F$2*78.233+IFERROR(--RIGHT(A143,6),LEN(A143))*0.0137+IFERROR(--RIGHT(B143,6),LEN(B143))*0.0071))*43758.5453,1),"")</f>
        <v/>
      </c>
      <c r="E143" s="0" t="str">
        <f aca="false">IF(C143=1,INT(MOD(ABS(SIN(D143*7919.123+ROW()*0.618+'הדבקת לידים'!$F$2*1.3))*43758.5453,1)*1000000)*10000+ROW(),"")</f>
        <v/>
      </c>
      <c r="F143" s="0" t="str">
        <f aca="false">IF(E143="","",RANK(E143,$E$2:$E$5001,1))</f>
        <v/>
      </c>
      <c r="G143" s="0" t="n">
        <f aca="false">IF(A143="",0,IF(SUMPRODUCT(--($A$2:$A$5001=A143))&gt;1,1,0))</f>
        <v>0</v>
      </c>
      <c r="H143" s="0" t="n">
        <f aca="false">ROW()-1</f>
        <v>142</v>
      </c>
      <c r="I143" s="0" t="str">
        <f aca="false">IF(OR(הגדרות!$E$6=0,H143&gt;הגדרות!$E$5),"",IF(H143-1&lt;הגדרות!$E$8*(הגדרות!$E$7+1),INT((H143-1)/(הגדרות!$E$7+1)),הגדרות!$E$8+INT((H143-1-הגדרות!$E$8*(הגדרות!$E$7+1))/הגדרות!$E$7)))</f>
        <v/>
      </c>
      <c r="J143" s="0" t="str">
        <f aca="false">IF(I143="","",IF(H143-1&lt;הגדרות!$E$8*(הגדרות!$E$7+1),MOD(H143-1,הגדרות!$E$7+1),MOD(H143-1-הגדרות!$E$8*(הגדרות!$E$7+1),הגדרות!$E$7)))</f>
        <v/>
      </c>
      <c r="K143" s="0" t="str">
        <f aca="false">IF(I143="","",J143*הגדרות!$E$6+I143+1)</f>
        <v/>
      </c>
      <c r="L143" s="0" t="str">
        <f aca="false">IF(K143="","",MATCH(K143,$F$2:$F$5001,0))</f>
        <v/>
      </c>
      <c r="M143" s="0" t="str">
        <f aca="false">IF(I143="","",INDEX(הגדרות!$A$2:$A$21,MOD(I143+הגדרות!$E$9,הגדרות!$E$6)+1))</f>
        <v/>
      </c>
    </row>
    <row r="144" customFormat="false" ht="15" hidden="false" customHeight="false" outlineLevel="0" collapsed="false">
      <c r="A144" s="0" t="str">
        <f aca="false">IF('הדבקת לידים'!A144="","",IF(ISNUMBER('הדבקת לידים'!A144),IF(הגדרות!$E$2&gt;0,TEXT('הדבקת לידים'!A144,REPT("0",הגדרות!$E$2)),TEXT('הדבקת לידים'!A144,"0")),TRIM('הדבקת לידים'!A144)))</f>
        <v/>
      </c>
      <c r="B144" s="0" t="str">
        <f aca="false">IF('הדבקת לידים'!B144="","",IF(ISNUMBER('הדבקת לידים'!B144),IF(הגדרות!$E$3&gt;0,TEXT('הדבקת לידים'!B144,REPT("0",הגדרות!$E$3)),TEXT('הדבקת לידים'!B144,"0")),TRIM('הדבקת לידים'!B144)))</f>
        <v/>
      </c>
      <c r="C144" s="0" t="n">
        <f aca="false">IF(OR(A144&lt;&gt;"",B144&lt;&gt;""),1,0)</f>
        <v>0</v>
      </c>
      <c r="D144" s="0" t="str">
        <f aca="false">IF(C144=1,MOD(ABS(SIN(ROW()*12.9898+'הדבקת לידים'!$F$2*78.233+IFERROR(--RIGHT(A144,6),LEN(A144))*0.0137+IFERROR(--RIGHT(B144,6),LEN(B144))*0.0071))*43758.5453,1),"")</f>
        <v/>
      </c>
      <c r="E144" s="0" t="str">
        <f aca="false">IF(C144=1,INT(MOD(ABS(SIN(D144*7919.123+ROW()*0.618+'הדבקת לידים'!$F$2*1.3))*43758.5453,1)*1000000)*10000+ROW(),"")</f>
        <v/>
      </c>
      <c r="F144" s="0" t="str">
        <f aca="false">IF(E144="","",RANK(E144,$E$2:$E$5001,1))</f>
        <v/>
      </c>
      <c r="G144" s="0" t="n">
        <f aca="false">IF(A144="",0,IF(SUMPRODUCT(--($A$2:$A$5001=A144))&gt;1,1,0))</f>
        <v>0</v>
      </c>
      <c r="H144" s="0" t="n">
        <f aca="false">ROW()-1</f>
        <v>143</v>
      </c>
      <c r="I144" s="0" t="str">
        <f aca="false">IF(OR(הגדרות!$E$6=0,H144&gt;הגדרות!$E$5),"",IF(H144-1&lt;הגדרות!$E$8*(הגדרות!$E$7+1),INT((H144-1)/(הגדרות!$E$7+1)),הגדרות!$E$8+INT((H144-1-הגדרות!$E$8*(הגדרות!$E$7+1))/הגדרות!$E$7)))</f>
        <v/>
      </c>
      <c r="J144" s="0" t="str">
        <f aca="false">IF(I144="","",IF(H144-1&lt;הגדרות!$E$8*(הגדרות!$E$7+1),MOD(H144-1,הגדרות!$E$7+1),MOD(H144-1-הגדרות!$E$8*(הגדרות!$E$7+1),הגדרות!$E$7)))</f>
        <v/>
      </c>
      <c r="K144" s="0" t="str">
        <f aca="false">IF(I144="","",J144*הגדרות!$E$6+I144+1)</f>
        <v/>
      </c>
      <c r="L144" s="0" t="str">
        <f aca="false">IF(K144="","",MATCH(K144,$F$2:$F$5001,0))</f>
        <v/>
      </c>
      <c r="M144" s="0" t="str">
        <f aca="false">IF(I144="","",INDEX(הגדרות!$A$2:$A$21,MOD(I144+הגדרות!$E$9,הגדרות!$E$6)+1))</f>
        <v/>
      </c>
    </row>
    <row r="145" customFormat="false" ht="15" hidden="false" customHeight="false" outlineLevel="0" collapsed="false">
      <c r="A145" s="0" t="str">
        <f aca="false">IF('הדבקת לידים'!A145="","",IF(ISNUMBER('הדבקת לידים'!A145),IF(הגדרות!$E$2&gt;0,TEXT('הדבקת לידים'!A145,REPT("0",הגדרות!$E$2)),TEXT('הדבקת לידים'!A145,"0")),TRIM('הדבקת לידים'!A145)))</f>
        <v/>
      </c>
      <c r="B145" s="0" t="str">
        <f aca="false">IF('הדבקת לידים'!B145="","",IF(ISNUMBER('הדבקת לידים'!B145),IF(הגדרות!$E$3&gt;0,TEXT('הדבקת לידים'!B145,REPT("0",הגדרות!$E$3)),TEXT('הדבקת לידים'!B145,"0")),TRIM('הדבקת לידים'!B145)))</f>
        <v/>
      </c>
      <c r="C145" s="0" t="n">
        <f aca="false">IF(OR(A145&lt;&gt;"",B145&lt;&gt;""),1,0)</f>
        <v>0</v>
      </c>
      <c r="D145" s="0" t="str">
        <f aca="false">IF(C145=1,MOD(ABS(SIN(ROW()*12.9898+'הדבקת לידים'!$F$2*78.233+IFERROR(--RIGHT(A145,6),LEN(A145))*0.0137+IFERROR(--RIGHT(B145,6),LEN(B145))*0.0071))*43758.5453,1),"")</f>
        <v/>
      </c>
      <c r="E145" s="0" t="str">
        <f aca="false">IF(C145=1,INT(MOD(ABS(SIN(D145*7919.123+ROW()*0.618+'הדבקת לידים'!$F$2*1.3))*43758.5453,1)*1000000)*10000+ROW(),"")</f>
        <v/>
      </c>
      <c r="F145" s="0" t="str">
        <f aca="false">IF(E145="","",RANK(E145,$E$2:$E$5001,1))</f>
        <v/>
      </c>
      <c r="G145" s="0" t="n">
        <f aca="false">IF(A145="",0,IF(SUMPRODUCT(--($A$2:$A$5001=A145))&gt;1,1,0))</f>
        <v>0</v>
      </c>
      <c r="H145" s="0" t="n">
        <f aca="false">ROW()-1</f>
        <v>144</v>
      </c>
      <c r="I145" s="0" t="str">
        <f aca="false">IF(OR(הגדרות!$E$6=0,H145&gt;הגדרות!$E$5),"",IF(H145-1&lt;הגדרות!$E$8*(הגדרות!$E$7+1),INT((H145-1)/(הגדרות!$E$7+1)),הגדרות!$E$8+INT((H145-1-הגדרות!$E$8*(הגדרות!$E$7+1))/הגדרות!$E$7)))</f>
        <v/>
      </c>
      <c r="J145" s="0" t="str">
        <f aca="false">IF(I145="","",IF(H145-1&lt;הגדרות!$E$8*(הגדרות!$E$7+1),MOD(H145-1,הגדרות!$E$7+1),MOD(H145-1-הגדרות!$E$8*(הגדרות!$E$7+1),הגדרות!$E$7)))</f>
        <v/>
      </c>
      <c r="K145" s="0" t="str">
        <f aca="false">IF(I145="","",J145*הגדרות!$E$6+I145+1)</f>
        <v/>
      </c>
      <c r="L145" s="0" t="str">
        <f aca="false">IF(K145="","",MATCH(K145,$F$2:$F$5001,0))</f>
        <v/>
      </c>
      <c r="M145" s="0" t="str">
        <f aca="false">IF(I145="","",INDEX(הגדרות!$A$2:$A$21,MOD(I145+הגדרות!$E$9,הגדרות!$E$6)+1))</f>
        <v/>
      </c>
    </row>
    <row r="146" customFormat="false" ht="15" hidden="false" customHeight="false" outlineLevel="0" collapsed="false">
      <c r="A146" s="0" t="str">
        <f aca="false">IF('הדבקת לידים'!A146="","",IF(ISNUMBER('הדבקת לידים'!A146),IF(הגדרות!$E$2&gt;0,TEXT('הדבקת לידים'!A146,REPT("0",הגדרות!$E$2)),TEXT('הדבקת לידים'!A146,"0")),TRIM('הדבקת לידים'!A146)))</f>
        <v/>
      </c>
      <c r="B146" s="0" t="str">
        <f aca="false">IF('הדבקת לידים'!B146="","",IF(ISNUMBER('הדבקת לידים'!B146),IF(הגדרות!$E$3&gt;0,TEXT('הדבקת לידים'!B146,REPT("0",הגדרות!$E$3)),TEXT('הדבקת לידים'!B146,"0")),TRIM('הדבקת לידים'!B146)))</f>
        <v/>
      </c>
      <c r="C146" s="0" t="n">
        <f aca="false">IF(OR(A146&lt;&gt;"",B146&lt;&gt;""),1,0)</f>
        <v>0</v>
      </c>
      <c r="D146" s="0" t="str">
        <f aca="false">IF(C146=1,MOD(ABS(SIN(ROW()*12.9898+'הדבקת לידים'!$F$2*78.233+IFERROR(--RIGHT(A146,6),LEN(A146))*0.0137+IFERROR(--RIGHT(B146,6),LEN(B146))*0.0071))*43758.5453,1),"")</f>
        <v/>
      </c>
      <c r="E146" s="0" t="str">
        <f aca="false">IF(C146=1,INT(MOD(ABS(SIN(D146*7919.123+ROW()*0.618+'הדבקת לידים'!$F$2*1.3))*43758.5453,1)*1000000)*10000+ROW(),"")</f>
        <v/>
      </c>
      <c r="F146" s="0" t="str">
        <f aca="false">IF(E146="","",RANK(E146,$E$2:$E$5001,1))</f>
        <v/>
      </c>
      <c r="G146" s="0" t="n">
        <f aca="false">IF(A146="",0,IF(SUMPRODUCT(--($A$2:$A$5001=A146))&gt;1,1,0))</f>
        <v>0</v>
      </c>
      <c r="H146" s="0" t="n">
        <f aca="false">ROW()-1</f>
        <v>145</v>
      </c>
      <c r="I146" s="0" t="str">
        <f aca="false">IF(OR(הגדרות!$E$6=0,H146&gt;הגדרות!$E$5),"",IF(H146-1&lt;הגדרות!$E$8*(הגדרות!$E$7+1),INT((H146-1)/(הגדרות!$E$7+1)),הגדרות!$E$8+INT((H146-1-הגדרות!$E$8*(הגדרות!$E$7+1))/הגדרות!$E$7)))</f>
        <v/>
      </c>
      <c r="J146" s="0" t="str">
        <f aca="false">IF(I146="","",IF(H146-1&lt;הגדרות!$E$8*(הגדרות!$E$7+1),MOD(H146-1,הגדרות!$E$7+1),MOD(H146-1-הגדרות!$E$8*(הגדרות!$E$7+1),הגדרות!$E$7)))</f>
        <v/>
      </c>
      <c r="K146" s="0" t="str">
        <f aca="false">IF(I146="","",J146*הגדרות!$E$6+I146+1)</f>
        <v/>
      </c>
      <c r="L146" s="0" t="str">
        <f aca="false">IF(K146="","",MATCH(K146,$F$2:$F$5001,0))</f>
        <v/>
      </c>
      <c r="M146" s="0" t="str">
        <f aca="false">IF(I146="","",INDEX(הגדרות!$A$2:$A$21,MOD(I146+הגדרות!$E$9,הגדרות!$E$6)+1))</f>
        <v/>
      </c>
    </row>
    <row r="147" customFormat="false" ht="15" hidden="false" customHeight="false" outlineLevel="0" collapsed="false">
      <c r="A147" s="0" t="str">
        <f aca="false">IF('הדבקת לידים'!A147="","",IF(ISNUMBER('הדבקת לידים'!A147),IF(הגדרות!$E$2&gt;0,TEXT('הדבקת לידים'!A147,REPT("0",הגדרות!$E$2)),TEXT('הדבקת לידים'!A147,"0")),TRIM('הדבקת לידים'!A147)))</f>
        <v/>
      </c>
      <c r="B147" s="0" t="str">
        <f aca="false">IF('הדבקת לידים'!B147="","",IF(ISNUMBER('הדבקת לידים'!B147),IF(הגדרות!$E$3&gt;0,TEXT('הדבקת לידים'!B147,REPT("0",הגדרות!$E$3)),TEXT('הדבקת לידים'!B147,"0")),TRIM('הדבקת לידים'!B147)))</f>
        <v/>
      </c>
      <c r="C147" s="0" t="n">
        <f aca="false">IF(OR(A147&lt;&gt;"",B147&lt;&gt;""),1,0)</f>
        <v>0</v>
      </c>
      <c r="D147" s="0" t="str">
        <f aca="false">IF(C147=1,MOD(ABS(SIN(ROW()*12.9898+'הדבקת לידים'!$F$2*78.233+IFERROR(--RIGHT(A147,6),LEN(A147))*0.0137+IFERROR(--RIGHT(B147,6),LEN(B147))*0.0071))*43758.5453,1),"")</f>
        <v/>
      </c>
      <c r="E147" s="0" t="str">
        <f aca="false">IF(C147=1,INT(MOD(ABS(SIN(D147*7919.123+ROW()*0.618+'הדבקת לידים'!$F$2*1.3))*43758.5453,1)*1000000)*10000+ROW(),"")</f>
        <v/>
      </c>
      <c r="F147" s="0" t="str">
        <f aca="false">IF(E147="","",RANK(E147,$E$2:$E$5001,1))</f>
        <v/>
      </c>
      <c r="G147" s="0" t="n">
        <f aca="false">IF(A147="",0,IF(SUMPRODUCT(--($A$2:$A$5001=A147))&gt;1,1,0))</f>
        <v>0</v>
      </c>
      <c r="H147" s="0" t="n">
        <f aca="false">ROW()-1</f>
        <v>146</v>
      </c>
      <c r="I147" s="0" t="str">
        <f aca="false">IF(OR(הגדרות!$E$6=0,H147&gt;הגדרות!$E$5),"",IF(H147-1&lt;הגדרות!$E$8*(הגדרות!$E$7+1),INT((H147-1)/(הגדרות!$E$7+1)),הגדרות!$E$8+INT((H147-1-הגדרות!$E$8*(הגדרות!$E$7+1))/הגדרות!$E$7)))</f>
        <v/>
      </c>
      <c r="J147" s="0" t="str">
        <f aca="false">IF(I147="","",IF(H147-1&lt;הגדרות!$E$8*(הגדרות!$E$7+1),MOD(H147-1,הגדרות!$E$7+1),MOD(H147-1-הגדרות!$E$8*(הגדרות!$E$7+1),הגדרות!$E$7)))</f>
        <v/>
      </c>
      <c r="K147" s="0" t="str">
        <f aca="false">IF(I147="","",J147*הגדרות!$E$6+I147+1)</f>
        <v/>
      </c>
      <c r="L147" s="0" t="str">
        <f aca="false">IF(K147="","",MATCH(K147,$F$2:$F$5001,0))</f>
        <v/>
      </c>
      <c r="M147" s="0" t="str">
        <f aca="false">IF(I147="","",INDEX(הגדרות!$A$2:$A$21,MOD(I147+הגדרות!$E$9,הגדרות!$E$6)+1))</f>
        <v/>
      </c>
    </row>
    <row r="148" customFormat="false" ht="15" hidden="false" customHeight="false" outlineLevel="0" collapsed="false">
      <c r="A148" s="0" t="str">
        <f aca="false">IF('הדבקת לידים'!A148="","",IF(ISNUMBER('הדבקת לידים'!A148),IF(הגדרות!$E$2&gt;0,TEXT('הדבקת לידים'!A148,REPT("0",הגדרות!$E$2)),TEXT('הדבקת לידים'!A148,"0")),TRIM('הדבקת לידים'!A148)))</f>
        <v/>
      </c>
      <c r="B148" s="0" t="str">
        <f aca="false">IF('הדבקת לידים'!B148="","",IF(ISNUMBER('הדבקת לידים'!B148),IF(הגדרות!$E$3&gt;0,TEXT('הדבקת לידים'!B148,REPT("0",הגדרות!$E$3)),TEXT('הדבקת לידים'!B148,"0")),TRIM('הדבקת לידים'!B148)))</f>
        <v/>
      </c>
      <c r="C148" s="0" t="n">
        <f aca="false">IF(OR(A148&lt;&gt;"",B148&lt;&gt;""),1,0)</f>
        <v>0</v>
      </c>
      <c r="D148" s="0" t="str">
        <f aca="false">IF(C148=1,MOD(ABS(SIN(ROW()*12.9898+'הדבקת לידים'!$F$2*78.233+IFERROR(--RIGHT(A148,6),LEN(A148))*0.0137+IFERROR(--RIGHT(B148,6),LEN(B148))*0.0071))*43758.5453,1),"")</f>
        <v/>
      </c>
      <c r="E148" s="0" t="str">
        <f aca="false">IF(C148=1,INT(MOD(ABS(SIN(D148*7919.123+ROW()*0.618+'הדבקת לידים'!$F$2*1.3))*43758.5453,1)*1000000)*10000+ROW(),"")</f>
        <v/>
      </c>
      <c r="F148" s="0" t="str">
        <f aca="false">IF(E148="","",RANK(E148,$E$2:$E$5001,1))</f>
        <v/>
      </c>
      <c r="G148" s="0" t="n">
        <f aca="false">IF(A148="",0,IF(SUMPRODUCT(--($A$2:$A$5001=A148))&gt;1,1,0))</f>
        <v>0</v>
      </c>
      <c r="H148" s="0" t="n">
        <f aca="false">ROW()-1</f>
        <v>147</v>
      </c>
      <c r="I148" s="0" t="str">
        <f aca="false">IF(OR(הגדרות!$E$6=0,H148&gt;הגדרות!$E$5),"",IF(H148-1&lt;הגדרות!$E$8*(הגדרות!$E$7+1),INT((H148-1)/(הגדרות!$E$7+1)),הגדרות!$E$8+INT((H148-1-הגדרות!$E$8*(הגדרות!$E$7+1))/הגדרות!$E$7)))</f>
        <v/>
      </c>
      <c r="J148" s="0" t="str">
        <f aca="false">IF(I148="","",IF(H148-1&lt;הגדרות!$E$8*(הגדרות!$E$7+1),MOD(H148-1,הגדרות!$E$7+1),MOD(H148-1-הגדרות!$E$8*(הגדרות!$E$7+1),הגדרות!$E$7)))</f>
        <v/>
      </c>
      <c r="K148" s="0" t="str">
        <f aca="false">IF(I148="","",J148*הגדרות!$E$6+I148+1)</f>
        <v/>
      </c>
      <c r="L148" s="0" t="str">
        <f aca="false">IF(K148="","",MATCH(K148,$F$2:$F$5001,0))</f>
        <v/>
      </c>
      <c r="M148" s="0" t="str">
        <f aca="false">IF(I148="","",INDEX(הגדרות!$A$2:$A$21,MOD(I148+הגדרות!$E$9,הגדרות!$E$6)+1))</f>
        <v/>
      </c>
    </row>
    <row r="149" customFormat="false" ht="15" hidden="false" customHeight="false" outlineLevel="0" collapsed="false">
      <c r="A149" s="0" t="str">
        <f aca="false">IF('הדבקת לידים'!A149="","",IF(ISNUMBER('הדבקת לידים'!A149),IF(הגדרות!$E$2&gt;0,TEXT('הדבקת לידים'!A149,REPT("0",הגדרות!$E$2)),TEXT('הדבקת לידים'!A149,"0")),TRIM('הדבקת לידים'!A149)))</f>
        <v/>
      </c>
      <c r="B149" s="0" t="str">
        <f aca="false">IF('הדבקת לידים'!B149="","",IF(ISNUMBER('הדבקת לידים'!B149),IF(הגדרות!$E$3&gt;0,TEXT('הדבקת לידים'!B149,REPT("0",הגדרות!$E$3)),TEXT('הדבקת לידים'!B149,"0")),TRIM('הדבקת לידים'!B149)))</f>
        <v/>
      </c>
      <c r="C149" s="0" t="n">
        <f aca="false">IF(OR(A149&lt;&gt;"",B149&lt;&gt;""),1,0)</f>
        <v>0</v>
      </c>
      <c r="D149" s="0" t="str">
        <f aca="false">IF(C149=1,MOD(ABS(SIN(ROW()*12.9898+'הדבקת לידים'!$F$2*78.233+IFERROR(--RIGHT(A149,6),LEN(A149))*0.0137+IFERROR(--RIGHT(B149,6),LEN(B149))*0.0071))*43758.5453,1),"")</f>
        <v/>
      </c>
      <c r="E149" s="0" t="str">
        <f aca="false">IF(C149=1,INT(MOD(ABS(SIN(D149*7919.123+ROW()*0.618+'הדבקת לידים'!$F$2*1.3))*43758.5453,1)*1000000)*10000+ROW(),"")</f>
        <v/>
      </c>
      <c r="F149" s="0" t="str">
        <f aca="false">IF(E149="","",RANK(E149,$E$2:$E$5001,1))</f>
        <v/>
      </c>
      <c r="G149" s="0" t="n">
        <f aca="false">IF(A149="",0,IF(SUMPRODUCT(--($A$2:$A$5001=A149))&gt;1,1,0))</f>
        <v>0</v>
      </c>
      <c r="H149" s="0" t="n">
        <f aca="false">ROW()-1</f>
        <v>148</v>
      </c>
      <c r="I149" s="0" t="str">
        <f aca="false">IF(OR(הגדרות!$E$6=0,H149&gt;הגדרות!$E$5),"",IF(H149-1&lt;הגדרות!$E$8*(הגדרות!$E$7+1),INT((H149-1)/(הגדרות!$E$7+1)),הגדרות!$E$8+INT((H149-1-הגדרות!$E$8*(הגדרות!$E$7+1))/הגדרות!$E$7)))</f>
        <v/>
      </c>
      <c r="J149" s="0" t="str">
        <f aca="false">IF(I149="","",IF(H149-1&lt;הגדרות!$E$8*(הגדרות!$E$7+1),MOD(H149-1,הגדרות!$E$7+1),MOD(H149-1-הגדרות!$E$8*(הגדרות!$E$7+1),הגדרות!$E$7)))</f>
        <v/>
      </c>
      <c r="K149" s="0" t="str">
        <f aca="false">IF(I149="","",J149*הגדרות!$E$6+I149+1)</f>
        <v/>
      </c>
      <c r="L149" s="0" t="str">
        <f aca="false">IF(K149="","",MATCH(K149,$F$2:$F$5001,0))</f>
        <v/>
      </c>
      <c r="M149" s="0" t="str">
        <f aca="false">IF(I149="","",INDEX(הגדרות!$A$2:$A$21,MOD(I149+הגדרות!$E$9,הגדרות!$E$6)+1))</f>
        <v/>
      </c>
    </row>
    <row r="150" customFormat="false" ht="15" hidden="false" customHeight="false" outlineLevel="0" collapsed="false">
      <c r="A150" s="0" t="str">
        <f aca="false">IF('הדבקת לידים'!A150="","",IF(ISNUMBER('הדבקת לידים'!A150),IF(הגדרות!$E$2&gt;0,TEXT('הדבקת לידים'!A150,REPT("0",הגדרות!$E$2)),TEXT('הדבקת לידים'!A150,"0")),TRIM('הדבקת לידים'!A150)))</f>
        <v/>
      </c>
      <c r="B150" s="0" t="str">
        <f aca="false">IF('הדבקת לידים'!B150="","",IF(ISNUMBER('הדבקת לידים'!B150),IF(הגדרות!$E$3&gt;0,TEXT('הדבקת לידים'!B150,REPT("0",הגדרות!$E$3)),TEXT('הדבקת לידים'!B150,"0")),TRIM('הדבקת לידים'!B150)))</f>
        <v/>
      </c>
      <c r="C150" s="0" t="n">
        <f aca="false">IF(OR(A150&lt;&gt;"",B150&lt;&gt;""),1,0)</f>
        <v>0</v>
      </c>
      <c r="D150" s="0" t="str">
        <f aca="false">IF(C150=1,MOD(ABS(SIN(ROW()*12.9898+'הדבקת לידים'!$F$2*78.233+IFERROR(--RIGHT(A150,6),LEN(A150))*0.0137+IFERROR(--RIGHT(B150,6),LEN(B150))*0.0071))*43758.5453,1),"")</f>
        <v/>
      </c>
      <c r="E150" s="0" t="str">
        <f aca="false">IF(C150=1,INT(MOD(ABS(SIN(D150*7919.123+ROW()*0.618+'הדבקת לידים'!$F$2*1.3))*43758.5453,1)*1000000)*10000+ROW(),"")</f>
        <v/>
      </c>
      <c r="F150" s="0" t="str">
        <f aca="false">IF(E150="","",RANK(E150,$E$2:$E$5001,1))</f>
        <v/>
      </c>
      <c r="G150" s="0" t="n">
        <f aca="false">IF(A150="",0,IF(SUMPRODUCT(--($A$2:$A$5001=A150))&gt;1,1,0))</f>
        <v>0</v>
      </c>
      <c r="H150" s="0" t="n">
        <f aca="false">ROW()-1</f>
        <v>149</v>
      </c>
      <c r="I150" s="0" t="str">
        <f aca="false">IF(OR(הגדרות!$E$6=0,H150&gt;הגדרות!$E$5),"",IF(H150-1&lt;הגדרות!$E$8*(הגדרות!$E$7+1),INT((H150-1)/(הגדרות!$E$7+1)),הגדרות!$E$8+INT((H150-1-הגדרות!$E$8*(הגדרות!$E$7+1))/הגדרות!$E$7)))</f>
        <v/>
      </c>
      <c r="J150" s="0" t="str">
        <f aca="false">IF(I150="","",IF(H150-1&lt;הגדרות!$E$8*(הגדרות!$E$7+1),MOD(H150-1,הגדרות!$E$7+1),MOD(H150-1-הגדרות!$E$8*(הגדרות!$E$7+1),הגדרות!$E$7)))</f>
        <v/>
      </c>
      <c r="K150" s="0" t="str">
        <f aca="false">IF(I150="","",J150*הגדרות!$E$6+I150+1)</f>
        <v/>
      </c>
      <c r="L150" s="0" t="str">
        <f aca="false">IF(K150="","",MATCH(K150,$F$2:$F$5001,0))</f>
        <v/>
      </c>
      <c r="M150" s="0" t="str">
        <f aca="false">IF(I150="","",INDEX(הגדרות!$A$2:$A$21,MOD(I150+הגדרות!$E$9,הגדרות!$E$6)+1))</f>
        <v/>
      </c>
    </row>
    <row r="151" customFormat="false" ht="15" hidden="false" customHeight="false" outlineLevel="0" collapsed="false">
      <c r="A151" s="0" t="str">
        <f aca="false">IF('הדבקת לידים'!A151="","",IF(ISNUMBER('הדבקת לידים'!A151),IF(הגדרות!$E$2&gt;0,TEXT('הדבקת לידים'!A151,REPT("0",הגדרות!$E$2)),TEXT('הדבקת לידים'!A151,"0")),TRIM('הדבקת לידים'!A151)))</f>
        <v/>
      </c>
      <c r="B151" s="0" t="str">
        <f aca="false">IF('הדבקת לידים'!B151="","",IF(ISNUMBER('הדבקת לידים'!B151),IF(הגדרות!$E$3&gt;0,TEXT('הדבקת לידים'!B151,REPT("0",הגדרות!$E$3)),TEXT('הדבקת לידים'!B151,"0")),TRIM('הדבקת לידים'!B151)))</f>
        <v/>
      </c>
      <c r="C151" s="0" t="n">
        <f aca="false">IF(OR(A151&lt;&gt;"",B151&lt;&gt;""),1,0)</f>
        <v>0</v>
      </c>
      <c r="D151" s="0" t="str">
        <f aca="false">IF(C151=1,MOD(ABS(SIN(ROW()*12.9898+'הדבקת לידים'!$F$2*78.233+IFERROR(--RIGHT(A151,6),LEN(A151))*0.0137+IFERROR(--RIGHT(B151,6),LEN(B151))*0.0071))*43758.5453,1),"")</f>
        <v/>
      </c>
      <c r="E151" s="0" t="str">
        <f aca="false">IF(C151=1,INT(MOD(ABS(SIN(D151*7919.123+ROW()*0.618+'הדבקת לידים'!$F$2*1.3))*43758.5453,1)*1000000)*10000+ROW(),"")</f>
        <v/>
      </c>
      <c r="F151" s="0" t="str">
        <f aca="false">IF(E151="","",RANK(E151,$E$2:$E$5001,1))</f>
        <v/>
      </c>
      <c r="G151" s="0" t="n">
        <f aca="false">IF(A151="",0,IF(SUMPRODUCT(--($A$2:$A$5001=A151))&gt;1,1,0))</f>
        <v>0</v>
      </c>
      <c r="H151" s="0" t="n">
        <f aca="false">ROW()-1</f>
        <v>150</v>
      </c>
      <c r="I151" s="0" t="str">
        <f aca="false">IF(OR(הגדרות!$E$6=0,H151&gt;הגדרות!$E$5),"",IF(H151-1&lt;הגדרות!$E$8*(הגדרות!$E$7+1),INT((H151-1)/(הגדרות!$E$7+1)),הגדרות!$E$8+INT((H151-1-הגדרות!$E$8*(הגדרות!$E$7+1))/הגדרות!$E$7)))</f>
        <v/>
      </c>
      <c r="J151" s="0" t="str">
        <f aca="false">IF(I151="","",IF(H151-1&lt;הגדרות!$E$8*(הגדרות!$E$7+1),MOD(H151-1,הגדרות!$E$7+1),MOD(H151-1-הגדרות!$E$8*(הגדרות!$E$7+1),הגדרות!$E$7)))</f>
        <v/>
      </c>
      <c r="K151" s="0" t="str">
        <f aca="false">IF(I151="","",J151*הגדרות!$E$6+I151+1)</f>
        <v/>
      </c>
      <c r="L151" s="0" t="str">
        <f aca="false">IF(K151="","",MATCH(K151,$F$2:$F$5001,0))</f>
        <v/>
      </c>
      <c r="M151" s="0" t="str">
        <f aca="false">IF(I151="","",INDEX(הגדרות!$A$2:$A$21,MOD(I151+הגדרות!$E$9,הגדרות!$E$6)+1))</f>
        <v/>
      </c>
    </row>
    <row r="152" customFormat="false" ht="15" hidden="false" customHeight="false" outlineLevel="0" collapsed="false">
      <c r="A152" s="0" t="str">
        <f aca="false">IF('הדבקת לידים'!A152="","",IF(ISNUMBER('הדבקת לידים'!A152),IF(הגדרות!$E$2&gt;0,TEXT('הדבקת לידים'!A152,REPT("0",הגדרות!$E$2)),TEXT('הדבקת לידים'!A152,"0")),TRIM('הדבקת לידים'!A152)))</f>
        <v/>
      </c>
      <c r="B152" s="0" t="str">
        <f aca="false">IF('הדבקת לידים'!B152="","",IF(ISNUMBER('הדבקת לידים'!B152),IF(הגדרות!$E$3&gt;0,TEXT('הדבקת לידים'!B152,REPT("0",הגדרות!$E$3)),TEXT('הדבקת לידים'!B152,"0")),TRIM('הדבקת לידים'!B152)))</f>
        <v/>
      </c>
      <c r="C152" s="0" t="n">
        <f aca="false">IF(OR(A152&lt;&gt;"",B152&lt;&gt;""),1,0)</f>
        <v>0</v>
      </c>
      <c r="D152" s="0" t="str">
        <f aca="false">IF(C152=1,MOD(ABS(SIN(ROW()*12.9898+'הדבקת לידים'!$F$2*78.233+IFERROR(--RIGHT(A152,6),LEN(A152))*0.0137+IFERROR(--RIGHT(B152,6),LEN(B152))*0.0071))*43758.5453,1),"")</f>
        <v/>
      </c>
      <c r="E152" s="0" t="str">
        <f aca="false">IF(C152=1,INT(MOD(ABS(SIN(D152*7919.123+ROW()*0.618+'הדבקת לידים'!$F$2*1.3))*43758.5453,1)*1000000)*10000+ROW(),"")</f>
        <v/>
      </c>
      <c r="F152" s="0" t="str">
        <f aca="false">IF(E152="","",RANK(E152,$E$2:$E$5001,1))</f>
        <v/>
      </c>
      <c r="G152" s="0" t="n">
        <f aca="false">IF(A152="",0,IF(SUMPRODUCT(--($A$2:$A$5001=A152))&gt;1,1,0))</f>
        <v>0</v>
      </c>
      <c r="H152" s="0" t="n">
        <f aca="false">ROW()-1</f>
        <v>151</v>
      </c>
      <c r="I152" s="0" t="str">
        <f aca="false">IF(OR(הגדרות!$E$6=0,H152&gt;הגדרות!$E$5),"",IF(H152-1&lt;הגדרות!$E$8*(הגדרות!$E$7+1),INT((H152-1)/(הגדרות!$E$7+1)),הגדרות!$E$8+INT((H152-1-הגדרות!$E$8*(הגדרות!$E$7+1))/הגדרות!$E$7)))</f>
        <v/>
      </c>
      <c r="J152" s="0" t="str">
        <f aca="false">IF(I152="","",IF(H152-1&lt;הגדרות!$E$8*(הגדרות!$E$7+1),MOD(H152-1,הגדרות!$E$7+1),MOD(H152-1-הגדרות!$E$8*(הגדרות!$E$7+1),הגדרות!$E$7)))</f>
        <v/>
      </c>
      <c r="K152" s="0" t="str">
        <f aca="false">IF(I152="","",J152*הגדרות!$E$6+I152+1)</f>
        <v/>
      </c>
      <c r="L152" s="0" t="str">
        <f aca="false">IF(K152="","",MATCH(K152,$F$2:$F$5001,0))</f>
        <v/>
      </c>
      <c r="M152" s="0" t="str">
        <f aca="false">IF(I152="","",INDEX(הגדרות!$A$2:$A$21,MOD(I152+הגדרות!$E$9,הגדרות!$E$6)+1))</f>
        <v/>
      </c>
    </row>
    <row r="153" customFormat="false" ht="15" hidden="false" customHeight="false" outlineLevel="0" collapsed="false">
      <c r="A153" s="0" t="str">
        <f aca="false">IF('הדבקת לידים'!A153="","",IF(ISNUMBER('הדבקת לידים'!A153),IF(הגדרות!$E$2&gt;0,TEXT('הדבקת לידים'!A153,REPT("0",הגדרות!$E$2)),TEXT('הדבקת לידים'!A153,"0")),TRIM('הדבקת לידים'!A153)))</f>
        <v/>
      </c>
      <c r="B153" s="0" t="str">
        <f aca="false">IF('הדבקת לידים'!B153="","",IF(ISNUMBER('הדבקת לידים'!B153),IF(הגדרות!$E$3&gt;0,TEXT('הדבקת לידים'!B153,REPT("0",הגדרות!$E$3)),TEXT('הדבקת לידים'!B153,"0")),TRIM('הדבקת לידים'!B153)))</f>
        <v/>
      </c>
      <c r="C153" s="0" t="n">
        <f aca="false">IF(OR(A153&lt;&gt;"",B153&lt;&gt;""),1,0)</f>
        <v>0</v>
      </c>
      <c r="D153" s="0" t="str">
        <f aca="false">IF(C153=1,MOD(ABS(SIN(ROW()*12.9898+'הדבקת לידים'!$F$2*78.233+IFERROR(--RIGHT(A153,6),LEN(A153))*0.0137+IFERROR(--RIGHT(B153,6),LEN(B153))*0.0071))*43758.5453,1),"")</f>
        <v/>
      </c>
      <c r="E153" s="0" t="str">
        <f aca="false">IF(C153=1,INT(MOD(ABS(SIN(D153*7919.123+ROW()*0.618+'הדבקת לידים'!$F$2*1.3))*43758.5453,1)*1000000)*10000+ROW(),"")</f>
        <v/>
      </c>
      <c r="F153" s="0" t="str">
        <f aca="false">IF(E153="","",RANK(E153,$E$2:$E$5001,1))</f>
        <v/>
      </c>
      <c r="G153" s="0" t="n">
        <f aca="false">IF(A153="",0,IF(SUMPRODUCT(--($A$2:$A$5001=A153))&gt;1,1,0))</f>
        <v>0</v>
      </c>
      <c r="H153" s="0" t="n">
        <f aca="false">ROW()-1</f>
        <v>152</v>
      </c>
      <c r="I153" s="0" t="str">
        <f aca="false">IF(OR(הגדרות!$E$6=0,H153&gt;הגדרות!$E$5),"",IF(H153-1&lt;הגדרות!$E$8*(הגדרות!$E$7+1),INT((H153-1)/(הגדרות!$E$7+1)),הגדרות!$E$8+INT((H153-1-הגדרות!$E$8*(הגדרות!$E$7+1))/הגדרות!$E$7)))</f>
        <v/>
      </c>
      <c r="J153" s="0" t="str">
        <f aca="false">IF(I153="","",IF(H153-1&lt;הגדרות!$E$8*(הגדרות!$E$7+1),MOD(H153-1,הגדרות!$E$7+1),MOD(H153-1-הגדרות!$E$8*(הגדרות!$E$7+1),הגדרות!$E$7)))</f>
        <v/>
      </c>
      <c r="K153" s="0" t="str">
        <f aca="false">IF(I153="","",J153*הגדרות!$E$6+I153+1)</f>
        <v/>
      </c>
      <c r="L153" s="0" t="str">
        <f aca="false">IF(K153="","",MATCH(K153,$F$2:$F$5001,0))</f>
        <v/>
      </c>
      <c r="M153" s="0" t="str">
        <f aca="false">IF(I153="","",INDEX(הגדרות!$A$2:$A$21,MOD(I153+הגדרות!$E$9,הגדרות!$E$6)+1))</f>
        <v/>
      </c>
    </row>
    <row r="154" customFormat="false" ht="15" hidden="false" customHeight="false" outlineLevel="0" collapsed="false">
      <c r="A154" s="0" t="str">
        <f aca="false">IF('הדבקת לידים'!A154="","",IF(ISNUMBER('הדבקת לידים'!A154),IF(הגדרות!$E$2&gt;0,TEXT('הדבקת לידים'!A154,REPT("0",הגדרות!$E$2)),TEXT('הדבקת לידים'!A154,"0")),TRIM('הדבקת לידים'!A154)))</f>
        <v/>
      </c>
      <c r="B154" s="0" t="str">
        <f aca="false">IF('הדבקת לידים'!B154="","",IF(ISNUMBER('הדבקת לידים'!B154),IF(הגדרות!$E$3&gt;0,TEXT('הדבקת לידים'!B154,REPT("0",הגדרות!$E$3)),TEXT('הדבקת לידים'!B154,"0")),TRIM('הדבקת לידים'!B154)))</f>
        <v/>
      </c>
      <c r="C154" s="0" t="n">
        <f aca="false">IF(OR(A154&lt;&gt;"",B154&lt;&gt;""),1,0)</f>
        <v>0</v>
      </c>
      <c r="D154" s="0" t="str">
        <f aca="false">IF(C154=1,MOD(ABS(SIN(ROW()*12.9898+'הדבקת לידים'!$F$2*78.233+IFERROR(--RIGHT(A154,6),LEN(A154))*0.0137+IFERROR(--RIGHT(B154,6),LEN(B154))*0.0071))*43758.5453,1),"")</f>
        <v/>
      </c>
      <c r="E154" s="0" t="str">
        <f aca="false">IF(C154=1,INT(MOD(ABS(SIN(D154*7919.123+ROW()*0.618+'הדבקת לידים'!$F$2*1.3))*43758.5453,1)*1000000)*10000+ROW(),"")</f>
        <v/>
      </c>
      <c r="F154" s="0" t="str">
        <f aca="false">IF(E154="","",RANK(E154,$E$2:$E$5001,1))</f>
        <v/>
      </c>
      <c r="G154" s="0" t="n">
        <f aca="false">IF(A154="",0,IF(SUMPRODUCT(--($A$2:$A$5001=A154))&gt;1,1,0))</f>
        <v>0</v>
      </c>
      <c r="H154" s="0" t="n">
        <f aca="false">ROW()-1</f>
        <v>153</v>
      </c>
      <c r="I154" s="0" t="str">
        <f aca="false">IF(OR(הגדרות!$E$6=0,H154&gt;הגדרות!$E$5),"",IF(H154-1&lt;הגדרות!$E$8*(הגדרות!$E$7+1),INT((H154-1)/(הגדרות!$E$7+1)),הגדרות!$E$8+INT((H154-1-הגדרות!$E$8*(הגדרות!$E$7+1))/הגדרות!$E$7)))</f>
        <v/>
      </c>
      <c r="J154" s="0" t="str">
        <f aca="false">IF(I154="","",IF(H154-1&lt;הגדרות!$E$8*(הגדרות!$E$7+1),MOD(H154-1,הגדרות!$E$7+1),MOD(H154-1-הגדרות!$E$8*(הגדרות!$E$7+1),הגדרות!$E$7)))</f>
        <v/>
      </c>
      <c r="K154" s="0" t="str">
        <f aca="false">IF(I154="","",J154*הגדרות!$E$6+I154+1)</f>
        <v/>
      </c>
      <c r="L154" s="0" t="str">
        <f aca="false">IF(K154="","",MATCH(K154,$F$2:$F$5001,0))</f>
        <v/>
      </c>
      <c r="M154" s="0" t="str">
        <f aca="false">IF(I154="","",INDEX(הגדרות!$A$2:$A$21,MOD(I154+הגדרות!$E$9,הגדרות!$E$6)+1))</f>
        <v/>
      </c>
    </row>
    <row r="155" customFormat="false" ht="15" hidden="false" customHeight="false" outlineLevel="0" collapsed="false">
      <c r="A155" s="0" t="str">
        <f aca="false">IF('הדבקת לידים'!A155="","",IF(ISNUMBER('הדבקת לידים'!A155),IF(הגדרות!$E$2&gt;0,TEXT('הדבקת לידים'!A155,REPT("0",הגדרות!$E$2)),TEXT('הדבקת לידים'!A155,"0")),TRIM('הדבקת לידים'!A155)))</f>
        <v/>
      </c>
      <c r="B155" s="0" t="str">
        <f aca="false">IF('הדבקת לידים'!B155="","",IF(ISNUMBER('הדבקת לידים'!B155),IF(הגדרות!$E$3&gt;0,TEXT('הדבקת לידים'!B155,REPT("0",הגדרות!$E$3)),TEXT('הדבקת לידים'!B155,"0")),TRIM('הדבקת לידים'!B155)))</f>
        <v/>
      </c>
      <c r="C155" s="0" t="n">
        <f aca="false">IF(OR(A155&lt;&gt;"",B155&lt;&gt;""),1,0)</f>
        <v>0</v>
      </c>
      <c r="D155" s="0" t="str">
        <f aca="false">IF(C155=1,MOD(ABS(SIN(ROW()*12.9898+'הדבקת לידים'!$F$2*78.233+IFERROR(--RIGHT(A155,6),LEN(A155))*0.0137+IFERROR(--RIGHT(B155,6),LEN(B155))*0.0071))*43758.5453,1),"")</f>
        <v/>
      </c>
      <c r="E155" s="0" t="str">
        <f aca="false">IF(C155=1,INT(MOD(ABS(SIN(D155*7919.123+ROW()*0.618+'הדבקת לידים'!$F$2*1.3))*43758.5453,1)*1000000)*10000+ROW(),"")</f>
        <v/>
      </c>
      <c r="F155" s="0" t="str">
        <f aca="false">IF(E155="","",RANK(E155,$E$2:$E$5001,1))</f>
        <v/>
      </c>
      <c r="G155" s="0" t="n">
        <f aca="false">IF(A155="",0,IF(SUMPRODUCT(--($A$2:$A$5001=A155))&gt;1,1,0))</f>
        <v>0</v>
      </c>
      <c r="H155" s="0" t="n">
        <f aca="false">ROW()-1</f>
        <v>154</v>
      </c>
      <c r="I155" s="0" t="str">
        <f aca="false">IF(OR(הגדרות!$E$6=0,H155&gt;הגדרות!$E$5),"",IF(H155-1&lt;הגדרות!$E$8*(הגדרות!$E$7+1),INT((H155-1)/(הגדרות!$E$7+1)),הגדרות!$E$8+INT((H155-1-הגדרות!$E$8*(הגדרות!$E$7+1))/הגדרות!$E$7)))</f>
        <v/>
      </c>
      <c r="J155" s="0" t="str">
        <f aca="false">IF(I155="","",IF(H155-1&lt;הגדרות!$E$8*(הגדרות!$E$7+1),MOD(H155-1,הגדרות!$E$7+1),MOD(H155-1-הגדרות!$E$8*(הגדרות!$E$7+1),הגדרות!$E$7)))</f>
        <v/>
      </c>
      <c r="K155" s="0" t="str">
        <f aca="false">IF(I155="","",J155*הגדרות!$E$6+I155+1)</f>
        <v/>
      </c>
      <c r="L155" s="0" t="str">
        <f aca="false">IF(K155="","",MATCH(K155,$F$2:$F$5001,0))</f>
        <v/>
      </c>
      <c r="M155" s="0" t="str">
        <f aca="false">IF(I155="","",INDEX(הגדרות!$A$2:$A$21,MOD(I155+הגדרות!$E$9,הגדרות!$E$6)+1))</f>
        <v/>
      </c>
    </row>
    <row r="156" customFormat="false" ht="15" hidden="false" customHeight="false" outlineLevel="0" collapsed="false">
      <c r="A156" s="0" t="str">
        <f aca="false">IF('הדבקת לידים'!A156="","",IF(ISNUMBER('הדבקת לידים'!A156),IF(הגדרות!$E$2&gt;0,TEXT('הדבקת לידים'!A156,REPT("0",הגדרות!$E$2)),TEXT('הדבקת לידים'!A156,"0")),TRIM('הדבקת לידים'!A156)))</f>
        <v/>
      </c>
      <c r="B156" s="0" t="str">
        <f aca="false">IF('הדבקת לידים'!B156="","",IF(ISNUMBER('הדבקת לידים'!B156),IF(הגדרות!$E$3&gt;0,TEXT('הדבקת לידים'!B156,REPT("0",הגדרות!$E$3)),TEXT('הדבקת לידים'!B156,"0")),TRIM('הדבקת לידים'!B156)))</f>
        <v/>
      </c>
      <c r="C156" s="0" t="n">
        <f aca="false">IF(OR(A156&lt;&gt;"",B156&lt;&gt;""),1,0)</f>
        <v>0</v>
      </c>
      <c r="D156" s="0" t="str">
        <f aca="false">IF(C156=1,MOD(ABS(SIN(ROW()*12.9898+'הדבקת לידים'!$F$2*78.233+IFERROR(--RIGHT(A156,6),LEN(A156))*0.0137+IFERROR(--RIGHT(B156,6),LEN(B156))*0.0071))*43758.5453,1),"")</f>
        <v/>
      </c>
      <c r="E156" s="0" t="str">
        <f aca="false">IF(C156=1,INT(MOD(ABS(SIN(D156*7919.123+ROW()*0.618+'הדבקת לידים'!$F$2*1.3))*43758.5453,1)*1000000)*10000+ROW(),"")</f>
        <v/>
      </c>
      <c r="F156" s="0" t="str">
        <f aca="false">IF(E156="","",RANK(E156,$E$2:$E$5001,1))</f>
        <v/>
      </c>
      <c r="G156" s="0" t="n">
        <f aca="false">IF(A156="",0,IF(SUMPRODUCT(--($A$2:$A$5001=A156))&gt;1,1,0))</f>
        <v>0</v>
      </c>
      <c r="H156" s="0" t="n">
        <f aca="false">ROW()-1</f>
        <v>155</v>
      </c>
      <c r="I156" s="0" t="str">
        <f aca="false">IF(OR(הגדרות!$E$6=0,H156&gt;הגדרות!$E$5),"",IF(H156-1&lt;הגדרות!$E$8*(הגדרות!$E$7+1),INT((H156-1)/(הגדרות!$E$7+1)),הגדרות!$E$8+INT((H156-1-הגדרות!$E$8*(הגדרות!$E$7+1))/הגדרות!$E$7)))</f>
        <v/>
      </c>
      <c r="J156" s="0" t="str">
        <f aca="false">IF(I156="","",IF(H156-1&lt;הגדרות!$E$8*(הגדרות!$E$7+1),MOD(H156-1,הגדרות!$E$7+1),MOD(H156-1-הגדרות!$E$8*(הגדרות!$E$7+1),הגדרות!$E$7)))</f>
        <v/>
      </c>
      <c r="K156" s="0" t="str">
        <f aca="false">IF(I156="","",J156*הגדרות!$E$6+I156+1)</f>
        <v/>
      </c>
      <c r="L156" s="0" t="str">
        <f aca="false">IF(K156="","",MATCH(K156,$F$2:$F$5001,0))</f>
        <v/>
      </c>
      <c r="M156" s="0" t="str">
        <f aca="false">IF(I156="","",INDEX(הגדרות!$A$2:$A$21,MOD(I156+הגדרות!$E$9,הגדרות!$E$6)+1))</f>
        <v/>
      </c>
    </row>
    <row r="157" customFormat="false" ht="15" hidden="false" customHeight="false" outlineLevel="0" collapsed="false">
      <c r="A157" s="0" t="str">
        <f aca="false">IF('הדבקת לידים'!A157="","",IF(ISNUMBER('הדבקת לידים'!A157),IF(הגדרות!$E$2&gt;0,TEXT('הדבקת לידים'!A157,REPT("0",הגדרות!$E$2)),TEXT('הדבקת לידים'!A157,"0")),TRIM('הדבקת לידים'!A157)))</f>
        <v/>
      </c>
      <c r="B157" s="0" t="str">
        <f aca="false">IF('הדבקת לידים'!B157="","",IF(ISNUMBER('הדבקת לידים'!B157),IF(הגדרות!$E$3&gt;0,TEXT('הדבקת לידים'!B157,REPT("0",הגדרות!$E$3)),TEXT('הדבקת לידים'!B157,"0")),TRIM('הדבקת לידים'!B157)))</f>
        <v/>
      </c>
      <c r="C157" s="0" t="n">
        <f aca="false">IF(OR(A157&lt;&gt;"",B157&lt;&gt;""),1,0)</f>
        <v>0</v>
      </c>
      <c r="D157" s="0" t="str">
        <f aca="false">IF(C157=1,MOD(ABS(SIN(ROW()*12.9898+'הדבקת לידים'!$F$2*78.233+IFERROR(--RIGHT(A157,6),LEN(A157))*0.0137+IFERROR(--RIGHT(B157,6),LEN(B157))*0.0071))*43758.5453,1),"")</f>
        <v/>
      </c>
      <c r="E157" s="0" t="str">
        <f aca="false">IF(C157=1,INT(MOD(ABS(SIN(D157*7919.123+ROW()*0.618+'הדבקת לידים'!$F$2*1.3))*43758.5453,1)*1000000)*10000+ROW(),"")</f>
        <v/>
      </c>
      <c r="F157" s="0" t="str">
        <f aca="false">IF(E157="","",RANK(E157,$E$2:$E$5001,1))</f>
        <v/>
      </c>
      <c r="G157" s="0" t="n">
        <f aca="false">IF(A157="",0,IF(SUMPRODUCT(--($A$2:$A$5001=A157))&gt;1,1,0))</f>
        <v>0</v>
      </c>
      <c r="H157" s="0" t="n">
        <f aca="false">ROW()-1</f>
        <v>156</v>
      </c>
      <c r="I157" s="0" t="str">
        <f aca="false">IF(OR(הגדרות!$E$6=0,H157&gt;הגדרות!$E$5),"",IF(H157-1&lt;הגדרות!$E$8*(הגדרות!$E$7+1),INT((H157-1)/(הגדרות!$E$7+1)),הגדרות!$E$8+INT((H157-1-הגדרות!$E$8*(הגדרות!$E$7+1))/הגדרות!$E$7)))</f>
        <v/>
      </c>
      <c r="J157" s="0" t="str">
        <f aca="false">IF(I157="","",IF(H157-1&lt;הגדרות!$E$8*(הגדרות!$E$7+1),MOD(H157-1,הגדרות!$E$7+1),MOD(H157-1-הגדרות!$E$8*(הגדרות!$E$7+1),הגדרות!$E$7)))</f>
        <v/>
      </c>
      <c r="K157" s="0" t="str">
        <f aca="false">IF(I157="","",J157*הגדרות!$E$6+I157+1)</f>
        <v/>
      </c>
      <c r="L157" s="0" t="str">
        <f aca="false">IF(K157="","",MATCH(K157,$F$2:$F$5001,0))</f>
        <v/>
      </c>
      <c r="M157" s="0" t="str">
        <f aca="false">IF(I157="","",INDEX(הגדרות!$A$2:$A$21,MOD(I157+הגדרות!$E$9,הגדרות!$E$6)+1))</f>
        <v/>
      </c>
    </row>
    <row r="158" customFormat="false" ht="15" hidden="false" customHeight="false" outlineLevel="0" collapsed="false">
      <c r="A158" s="0" t="str">
        <f aca="false">IF('הדבקת לידים'!A158="","",IF(ISNUMBER('הדבקת לידים'!A158),IF(הגדרות!$E$2&gt;0,TEXT('הדבקת לידים'!A158,REPT("0",הגדרות!$E$2)),TEXT('הדבקת לידים'!A158,"0")),TRIM('הדבקת לידים'!A158)))</f>
        <v/>
      </c>
      <c r="B158" s="0" t="str">
        <f aca="false">IF('הדבקת לידים'!B158="","",IF(ISNUMBER('הדבקת לידים'!B158),IF(הגדרות!$E$3&gt;0,TEXT('הדבקת לידים'!B158,REPT("0",הגדרות!$E$3)),TEXT('הדבקת לידים'!B158,"0")),TRIM('הדבקת לידים'!B158)))</f>
        <v/>
      </c>
      <c r="C158" s="0" t="n">
        <f aca="false">IF(OR(A158&lt;&gt;"",B158&lt;&gt;""),1,0)</f>
        <v>0</v>
      </c>
      <c r="D158" s="0" t="str">
        <f aca="false">IF(C158=1,MOD(ABS(SIN(ROW()*12.9898+'הדבקת לידים'!$F$2*78.233+IFERROR(--RIGHT(A158,6),LEN(A158))*0.0137+IFERROR(--RIGHT(B158,6),LEN(B158))*0.0071))*43758.5453,1),"")</f>
        <v/>
      </c>
      <c r="E158" s="0" t="str">
        <f aca="false">IF(C158=1,INT(MOD(ABS(SIN(D158*7919.123+ROW()*0.618+'הדבקת לידים'!$F$2*1.3))*43758.5453,1)*1000000)*10000+ROW(),"")</f>
        <v/>
      </c>
      <c r="F158" s="0" t="str">
        <f aca="false">IF(E158="","",RANK(E158,$E$2:$E$5001,1))</f>
        <v/>
      </c>
      <c r="G158" s="0" t="n">
        <f aca="false">IF(A158="",0,IF(SUMPRODUCT(--($A$2:$A$5001=A158))&gt;1,1,0))</f>
        <v>0</v>
      </c>
      <c r="H158" s="0" t="n">
        <f aca="false">ROW()-1</f>
        <v>157</v>
      </c>
      <c r="I158" s="0" t="str">
        <f aca="false">IF(OR(הגדרות!$E$6=0,H158&gt;הגדרות!$E$5),"",IF(H158-1&lt;הגדרות!$E$8*(הגדרות!$E$7+1),INT((H158-1)/(הגדרות!$E$7+1)),הגדרות!$E$8+INT((H158-1-הגדרות!$E$8*(הגדרות!$E$7+1))/הגדרות!$E$7)))</f>
        <v/>
      </c>
      <c r="J158" s="0" t="str">
        <f aca="false">IF(I158="","",IF(H158-1&lt;הגדרות!$E$8*(הגדרות!$E$7+1),MOD(H158-1,הגדרות!$E$7+1),MOD(H158-1-הגדרות!$E$8*(הגדרות!$E$7+1),הגדרות!$E$7)))</f>
        <v/>
      </c>
      <c r="K158" s="0" t="str">
        <f aca="false">IF(I158="","",J158*הגדרות!$E$6+I158+1)</f>
        <v/>
      </c>
      <c r="L158" s="0" t="str">
        <f aca="false">IF(K158="","",MATCH(K158,$F$2:$F$5001,0))</f>
        <v/>
      </c>
      <c r="M158" s="0" t="str">
        <f aca="false">IF(I158="","",INDEX(הגדרות!$A$2:$A$21,MOD(I158+הגדרות!$E$9,הגדרות!$E$6)+1))</f>
        <v/>
      </c>
    </row>
    <row r="159" customFormat="false" ht="15" hidden="false" customHeight="false" outlineLevel="0" collapsed="false">
      <c r="A159" s="0" t="str">
        <f aca="false">IF('הדבקת לידים'!A159="","",IF(ISNUMBER('הדבקת לידים'!A159),IF(הגדרות!$E$2&gt;0,TEXT('הדבקת לידים'!A159,REPT("0",הגדרות!$E$2)),TEXT('הדבקת לידים'!A159,"0")),TRIM('הדבקת לידים'!A159)))</f>
        <v/>
      </c>
      <c r="B159" s="0" t="str">
        <f aca="false">IF('הדבקת לידים'!B159="","",IF(ISNUMBER('הדבקת לידים'!B159),IF(הגדרות!$E$3&gt;0,TEXT('הדבקת לידים'!B159,REPT("0",הגדרות!$E$3)),TEXT('הדבקת לידים'!B159,"0")),TRIM('הדבקת לידים'!B159)))</f>
        <v/>
      </c>
      <c r="C159" s="0" t="n">
        <f aca="false">IF(OR(A159&lt;&gt;"",B159&lt;&gt;""),1,0)</f>
        <v>0</v>
      </c>
      <c r="D159" s="0" t="str">
        <f aca="false">IF(C159=1,MOD(ABS(SIN(ROW()*12.9898+'הדבקת לידים'!$F$2*78.233+IFERROR(--RIGHT(A159,6),LEN(A159))*0.0137+IFERROR(--RIGHT(B159,6),LEN(B159))*0.0071))*43758.5453,1),"")</f>
        <v/>
      </c>
      <c r="E159" s="0" t="str">
        <f aca="false">IF(C159=1,INT(MOD(ABS(SIN(D159*7919.123+ROW()*0.618+'הדבקת לידים'!$F$2*1.3))*43758.5453,1)*1000000)*10000+ROW(),"")</f>
        <v/>
      </c>
      <c r="F159" s="0" t="str">
        <f aca="false">IF(E159="","",RANK(E159,$E$2:$E$5001,1))</f>
        <v/>
      </c>
      <c r="G159" s="0" t="n">
        <f aca="false">IF(A159="",0,IF(SUMPRODUCT(--($A$2:$A$5001=A159))&gt;1,1,0))</f>
        <v>0</v>
      </c>
      <c r="H159" s="0" t="n">
        <f aca="false">ROW()-1</f>
        <v>158</v>
      </c>
      <c r="I159" s="0" t="str">
        <f aca="false">IF(OR(הגדרות!$E$6=0,H159&gt;הגדרות!$E$5),"",IF(H159-1&lt;הגדרות!$E$8*(הגדרות!$E$7+1),INT((H159-1)/(הגדרות!$E$7+1)),הגדרות!$E$8+INT((H159-1-הגדרות!$E$8*(הגדרות!$E$7+1))/הגדרות!$E$7)))</f>
        <v/>
      </c>
      <c r="J159" s="0" t="str">
        <f aca="false">IF(I159="","",IF(H159-1&lt;הגדרות!$E$8*(הגדרות!$E$7+1),MOD(H159-1,הגדרות!$E$7+1),MOD(H159-1-הגדרות!$E$8*(הגדרות!$E$7+1),הגדרות!$E$7)))</f>
        <v/>
      </c>
      <c r="K159" s="0" t="str">
        <f aca="false">IF(I159="","",J159*הגדרות!$E$6+I159+1)</f>
        <v/>
      </c>
      <c r="L159" s="0" t="str">
        <f aca="false">IF(K159="","",MATCH(K159,$F$2:$F$5001,0))</f>
        <v/>
      </c>
      <c r="M159" s="0" t="str">
        <f aca="false">IF(I159="","",INDEX(הגדרות!$A$2:$A$21,MOD(I159+הגדרות!$E$9,הגדרות!$E$6)+1))</f>
        <v/>
      </c>
    </row>
    <row r="160" customFormat="false" ht="15" hidden="false" customHeight="false" outlineLevel="0" collapsed="false">
      <c r="A160" s="0" t="str">
        <f aca="false">IF('הדבקת לידים'!A160="","",IF(ISNUMBER('הדבקת לידים'!A160),IF(הגדרות!$E$2&gt;0,TEXT('הדבקת לידים'!A160,REPT("0",הגדרות!$E$2)),TEXT('הדבקת לידים'!A160,"0")),TRIM('הדבקת לידים'!A160)))</f>
        <v/>
      </c>
      <c r="B160" s="0" t="str">
        <f aca="false">IF('הדבקת לידים'!B160="","",IF(ISNUMBER('הדבקת לידים'!B160),IF(הגדרות!$E$3&gt;0,TEXT('הדבקת לידים'!B160,REPT("0",הגדרות!$E$3)),TEXT('הדבקת לידים'!B160,"0")),TRIM('הדבקת לידים'!B160)))</f>
        <v/>
      </c>
      <c r="C160" s="0" t="n">
        <f aca="false">IF(OR(A160&lt;&gt;"",B160&lt;&gt;""),1,0)</f>
        <v>0</v>
      </c>
      <c r="D160" s="0" t="str">
        <f aca="false">IF(C160=1,MOD(ABS(SIN(ROW()*12.9898+'הדבקת לידים'!$F$2*78.233+IFERROR(--RIGHT(A160,6),LEN(A160))*0.0137+IFERROR(--RIGHT(B160,6),LEN(B160))*0.0071))*43758.5453,1),"")</f>
        <v/>
      </c>
      <c r="E160" s="0" t="str">
        <f aca="false">IF(C160=1,INT(MOD(ABS(SIN(D160*7919.123+ROW()*0.618+'הדבקת לידים'!$F$2*1.3))*43758.5453,1)*1000000)*10000+ROW(),"")</f>
        <v/>
      </c>
      <c r="F160" s="0" t="str">
        <f aca="false">IF(E160="","",RANK(E160,$E$2:$E$5001,1))</f>
        <v/>
      </c>
      <c r="G160" s="0" t="n">
        <f aca="false">IF(A160="",0,IF(SUMPRODUCT(--($A$2:$A$5001=A160))&gt;1,1,0))</f>
        <v>0</v>
      </c>
      <c r="H160" s="0" t="n">
        <f aca="false">ROW()-1</f>
        <v>159</v>
      </c>
      <c r="I160" s="0" t="str">
        <f aca="false">IF(OR(הגדרות!$E$6=0,H160&gt;הגדרות!$E$5),"",IF(H160-1&lt;הגדרות!$E$8*(הגדרות!$E$7+1),INT((H160-1)/(הגדרות!$E$7+1)),הגדרות!$E$8+INT((H160-1-הגדרות!$E$8*(הגדרות!$E$7+1))/הגדרות!$E$7)))</f>
        <v/>
      </c>
      <c r="J160" s="0" t="str">
        <f aca="false">IF(I160="","",IF(H160-1&lt;הגדרות!$E$8*(הגדרות!$E$7+1),MOD(H160-1,הגדרות!$E$7+1),MOD(H160-1-הגדרות!$E$8*(הגדרות!$E$7+1),הגדרות!$E$7)))</f>
        <v/>
      </c>
      <c r="K160" s="0" t="str">
        <f aca="false">IF(I160="","",J160*הגדרות!$E$6+I160+1)</f>
        <v/>
      </c>
      <c r="L160" s="0" t="str">
        <f aca="false">IF(K160="","",MATCH(K160,$F$2:$F$5001,0))</f>
        <v/>
      </c>
      <c r="M160" s="0" t="str">
        <f aca="false">IF(I160="","",INDEX(הגדרות!$A$2:$A$21,MOD(I160+הגדרות!$E$9,הגדרות!$E$6)+1))</f>
        <v/>
      </c>
    </row>
    <row r="161" customFormat="false" ht="15" hidden="false" customHeight="false" outlineLevel="0" collapsed="false">
      <c r="A161" s="0" t="str">
        <f aca="false">IF('הדבקת לידים'!A161="","",IF(ISNUMBER('הדבקת לידים'!A161),IF(הגדרות!$E$2&gt;0,TEXT('הדבקת לידים'!A161,REPT("0",הגדרות!$E$2)),TEXT('הדבקת לידים'!A161,"0")),TRIM('הדבקת לידים'!A161)))</f>
        <v/>
      </c>
      <c r="B161" s="0" t="str">
        <f aca="false">IF('הדבקת לידים'!B161="","",IF(ISNUMBER('הדבקת לידים'!B161),IF(הגדרות!$E$3&gt;0,TEXT('הדבקת לידים'!B161,REPT("0",הגדרות!$E$3)),TEXT('הדבקת לידים'!B161,"0")),TRIM('הדבקת לידים'!B161)))</f>
        <v/>
      </c>
      <c r="C161" s="0" t="n">
        <f aca="false">IF(OR(A161&lt;&gt;"",B161&lt;&gt;""),1,0)</f>
        <v>0</v>
      </c>
      <c r="D161" s="0" t="str">
        <f aca="false">IF(C161=1,MOD(ABS(SIN(ROW()*12.9898+'הדבקת לידים'!$F$2*78.233+IFERROR(--RIGHT(A161,6),LEN(A161))*0.0137+IFERROR(--RIGHT(B161,6),LEN(B161))*0.0071))*43758.5453,1),"")</f>
        <v/>
      </c>
      <c r="E161" s="0" t="str">
        <f aca="false">IF(C161=1,INT(MOD(ABS(SIN(D161*7919.123+ROW()*0.618+'הדבקת לידים'!$F$2*1.3))*43758.5453,1)*1000000)*10000+ROW(),"")</f>
        <v/>
      </c>
      <c r="F161" s="0" t="str">
        <f aca="false">IF(E161="","",RANK(E161,$E$2:$E$5001,1))</f>
        <v/>
      </c>
      <c r="G161" s="0" t="n">
        <f aca="false">IF(A161="",0,IF(SUMPRODUCT(--($A$2:$A$5001=A161))&gt;1,1,0))</f>
        <v>0</v>
      </c>
      <c r="H161" s="0" t="n">
        <f aca="false">ROW()-1</f>
        <v>160</v>
      </c>
      <c r="I161" s="0" t="str">
        <f aca="false">IF(OR(הגדרות!$E$6=0,H161&gt;הגדרות!$E$5),"",IF(H161-1&lt;הגדרות!$E$8*(הגדרות!$E$7+1),INT((H161-1)/(הגדרות!$E$7+1)),הגדרות!$E$8+INT((H161-1-הגדרות!$E$8*(הגדרות!$E$7+1))/הגדרות!$E$7)))</f>
        <v/>
      </c>
      <c r="J161" s="0" t="str">
        <f aca="false">IF(I161="","",IF(H161-1&lt;הגדרות!$E$8*(הגדרות!$E$7+1),MOD(H161-1,הגדרות!$E$7+1),MOD(H161-1-הגדרות!$E$8*(הגדרות!$E$7+1),הגדרות!$E$7)))</f>
        <v/>
      </c>
      <c r="K161" s="0" t="str">
        <f aca="false">IF(I161="","",J161*הגדרות!$E$6+I161+1)</f>
        <v/>
      </c>
      <c r="L161" s="0" t="str">
        <f aca="false">IF(K161="","",MATCH(K161,$F$2:$F$5001,0))</f>
        <v/>
      </c>
      <c r="M161" s="0" t="str">
        <f aca="false">IF(I161="","",INDEX(הגדרות!$A$2:$A$21,MOD(I161+הגדרות!$E$9,הגדרות!$E$6)+1))</f>
        <v/>
      </c>
    </row>
    <row r="162" customFormat="false" ht="15" hidden="false" customHeight="false" outlineLevel="0" collapsed="false">
      <c r="A162" s="0" t="str">
        <f aca="false">IF('הדבקת לידים'!A162="","",IF(ISNUMBER('הדבקת לידים'!A162),IF(הגדרות!$E$2&gt;0,TEXT('הדבקת לידים'!A162,REPT("0",הגדרות!$E$2)),TEXT('הדבקת לידים'!A162,"0")),TRIM('הדבקת לידים'!A162)))</f>
        <v/>
      </c>
      <c r="B162" s="0" t="str">
        <f aca="false">IF('הדבקת לידים'!B162="","",IF(ISNUMBER('הדבקת לידים'!B162),IF(הגדרות!$E$3&gt;0,TEXT('הדבקת לידים'!B162,REPT("0",הגדרות!$E$3)),TEXT('הדבקת לידים'!B162,"0")),TRIM('הדבקת לידים'!B162)))</f>
        <v/>
      </c>
      <c r="C162" s="0" t="n">
        <f aca="false">IF(OR(A162&lt;&gt;"",B162&lt;&gt;""),1,0)</f>
        <v>0</v>
      </c>
      <c r="D162" s="0" t="str">
        <f aca="false">IF(C162=1,MOD(ABS(SIN(ROW()*12.9898+'הדבקת לידים'!$F$2*78.233+IFERROR(--RIGHT(A162,6),LEN(A162))*0.0137+IFERROR(--RIGHT(B162,6),LEN(B162))*0.0071))*43758.5453,1),"")</f>
        <v/>
      </c>
      <c r="E162" s="0" t="str">
        <f aca="false">IF(C162=1,INT(MOD(ABS(SIN(D162*7919.123+ROW()*0.618+'הדבקת לידים'!$F$2*1.3))*43758.5453,1)*1000000)*10000+ROW(),"")</f>
        <v/>
      </c>
      <c r="F162" s="0" t="str">
        <f aca="false">IF(E162="","",RANK(E162,$E$2:$E$5001,1))</f>
        <v/>
      </c>
      <c r="G162" s="0" t="n">
        <f aca="false">IF(A162="",0,IF(SUMPRODUCT(--($A$2:$A$5001=A162))&gt;1,1,0))</f>
        <v>0</v>
      </c>
      <c r="H162" s="0" t="n">
        <f aca="false">ROW()-1</f>
        <v>161</v>
      </c>
      <c r="I162" s="0" t="str">
        <f aca="false">IF(OR(הגדרות!$E$6=0,H162&gt;הגדרות!$E$5),"",IF(H162-1&lt;הגדרות!$E$8*(הגדרות!$E$7+1),INT((H162-1)/(הגדרות!$E$7+1)),הגדרות!$E$8+INT((H162-1-הגדרות!$E$8*(הגדרות!$E$7+1))/הגדרות!$E$7)))</f>
        <v/>
      </c>
      <c r="J162" s="0" t="str">
        <f aca="false">IF(I162="","",IF(H162-1&lt;הגדרות!$E$8*(הגדרות!$E$7+1),MOD(H162-1,הגדרות!$E$7+1),MOD(H162-1-הגדרות!$E$8*(הגדרות!$E$7+1),הגדרות!$E$7)))</f>
        <v/>
      </c>
      <c r="K162" s="0" t="str">
        <f aca="false">IF(I162="","",J162*הגדרות!$E$6+I162+1)</f>
        <v/>
      </c>
      <c r="L162" s="0" t="str">
        <f aca="false">IF(K162="","",MATCH(K162,$F$2:$F$5001,0))</f>
        <v/>
      </c>
      <c r="M162" s="0" t="str">
        <f aca="false">IF(I162="","",INDEX(הגדרות!$A$2:$A$21,MOD(I162+הגדרות!$E$9,הגדרות!$E$6)+1))</f>
        <v/>
      </c>
    </row>
    <row r="163" customFormat="false" ht="15" hidden="false" customHeight="false" outlineLevel="0" collapsed="false">
      <c r="A163" s="0" t="str">
        <f aca="false">IF('הדבקת לידים'!A163="","",IF(ISNUMBER('הדבקת לידים'!A163),IF(הגדרות!$E$2&gt;0,TEXT('הדבקת לידים'!A163,REPT("0",הגדרות!$E$2)),TEXT('הדבקת לידים'!A163,"0")),TRIM('הדבקת לידים'!A163)))</f>
        <v/>
      </c>
      <c r="B163" s="0" t="str">
        <f aca="false">IF('הדבקת לידים'!B163="","",IF(ISNUMBER('הדבקת לידים'!B163),IF(הגדרות!$E$3&gt;0,TEXT('הדבקת לידים'!B163,REPT("0",הגדרות!$E$3)),TEXT('הדבקת לידים'!B163,"0")),TRIM('הדבקת לידים'!B163)))</f>
        <v/>
      </c>
      <c r="C163" s="0" t="n">
        <f aca="false">IF(OR(A163&lt;&gt;"",B163&lt;&gt;""),1,0)</f>
        <v>0</v>
      </c>
      <c r="D163" s="0" t="str">
        <f aca="false">IF(C163=1,MOD(ABS(SIN(ROW()*12.9898+'הדבקת לידים'!$F$2*78.233+IFERROR(--RIGHT(A163,6),LEN(A163))*0.0137+IFERROR(--RIGHT(B163,6),LEN(B163))*0.0071))*43758.5453,1),"")</f>
        <v/>
      </c>
      <c r="E163" s="0" t="str">
        <f aca="false">IF(C163=1,INT(MOD(ABS(SIN(D163*7919.123+ROW()*0.618+'הדבקת לידים'!$F$2*1.3))*43758.5453,1)*1000000)*10000+ROW(),"")</f>
        <v/>
      </c>
      <c r="F163" s="0" t="str">
        <f aca="false">IF(E163="","",RANK(E163,$E$2:$E$5001,1))</f>
        <v/>
      </c>
      <c r="G163" s="0" t="n">
        <f aca="false">IF(A163="",0,IF(SUMPRODUCT(--($A$2:$A$5001=A163))&gt;1,1,0))</f>
        <v>0</v>
      </c>
      <c r="H163" s="0" t="n">
        <f aca="false">ROW()-1</f>
        <v>162</v>
      </c>
      <c r="I163" s="0" t="str">
        <f aca="false">IF(OR(הגדרות!$E$6=0,H163&gt;הגדרות!$E$5),"",IF(H163-1&lt;הגדרות!$E$8*(הגדרות!$E$7+1),INT((H163-1)/(הגדרות!$E$7+1)),הגדרות!$E$8+INT((H163-1-הגדרות!$E$8*(הגדרות!$E$7+1))/הגדרות!$E$7)))</f>
        <v/>
      </c>
      <c r="J163" s="0" t="str">
        <f aca="false">IF(I163="","",IF(H163-1&lt;הגדרות!$E$8*(הגדרות!$E$7+1),MOD(H163-1,הגדרות!$E$7+1),MOD(H163-1-הגדרות!$E$8*(הגדרות!$E$7+1),הגדרות!$E$7)))</f>
        <v/>
      </c>
      <c r="K163" s="0" t="str">
        <f aca="false">IF(I163="","",J163*הגדרות!$E$6+I163+1)</f>
        <v/>
      </c>
      <c r="L163" s="0" t="str">
        <f aca="false">IF(K163="","",MATCH(K163,$F$2:$F$5001,0))</f>
        <v/>
      </c>
      <c r="M163" s="0" t="str">
        <f aca="false">IF(I163="","",INDEX(הגדרות!$A$2:$A$21,MOD(I163+הגדרות!$E$9,הגדרות!$E$6)+1))</f>
        <v/>
      </c>
    </row>
    <row r="164" customFormat="false" ht="15" hidden="false" customHeight="false" outlineLevel="0" collapsed="false">
      <c r="A164" s="0" t="str">
        <f aca="false">IF('הדבקת לידים'!A164="","",IF(ISNUMBER('הדבקת לידים'!A164),IF(הגדרות!$E$2&gt;0,TEXT('הדבקת לידים'!A164,REPT("0",הגדרות!$E$2)),TEXT('הדבקת לידים'!A164,"0")),TRIM('הדבקת לידים'!A164)))</f>
        <v/>
      </c>
      <c r="B164" s="0" t="str">
        <f aca="false">IF('הדבקת לידים'!B164="","",IF(ISNUMBER('הדבקת לידים'!B164),IF(הגדרות!$E$3&gt;0,TEXT('הדבקת לידים'!B164,REPT("0",הגדרות!$E$3)),TEXT('הדבקת לידים'!B164,"0")),TRIM('הדבקת לידים'!B164)))</f>
        <v/>
      </c>
      <c r="C164" s="0" t="n">
        <f aca="false">IF(OR(A164&lt;&gt;"",B164&lt;&gt;""),1,0)</f>
        <v>0</v>
      </c>
      <c r="D164" s="0" t="str">
        <f aca="false">IF(C164=1,MOD(ABS(SIN(ROW()*12.9898+'הדבקת לידים'!$F$2*78.233+IFERROR(--RIGHT(A164,6),LEN(A164))*0.0137+IFERROR(--RIGHT(B164,6),LEN(B164))*0.0071))*43758.5453,1),"")</f>
        <v/>
      </c>
      <c r="E164" s="0" t="str">
        <f aca="false">IF(C164=1,INT(MOD(ABS(SIN(D164*7919.123+ROW()*0.618+'הדבקת לידים'!$F$2*1.3))*43758.5453,1)*1000000)*10000+ROW(),"")</f>
        <v/>
      </c>
      <c r="F164" s="0" t="str">
        <f aca="false">IF(E164="","",RANK(E164,$E$2:$E$5001,1))</f>
        <v/>
      </c>
      <c r="G164" s="0" t="n">
        <f aca="false">IF(A164="",0,IF(SUMPRODUCT(--($A$2:$A$5001=A164))&gt;1,1,0))</f>
        <v>0</v>
      </c>
      <c r="H164" s="0" t="n">
        <f aca="false">ROW()-1</f>
        <v>163</v>
      </c>
      <c r="I164" s="0" t="str">
        <f aca="false">IF(OR(הגדרות!$E$6=0,H164&gt;הגדרות!$E$5),"",IF(H164-1&lt;הגדרות!$E$8*(הגדרות!$E$7+1),INT((H164-1)/(הגדרות!$E$7+1)),הגדרות!$E$8+INT((H164-1-הגדרות!$E$8*(הגדרות!$E$7+1))/הגדרות!$E$7)))</f>
        <v/>
      </c>
      <c r="J164" s="0" t="str">
        <f aca="false">IF(I164="","",IF(H164-1&lt;הגדרות!$E$8*(הגדרות!$E$7+1),MOD(H164-1,הגדרות!$E$7+1),MOD(H164-1-הגדרות!$E$8*(הגדרות!$E$7+1),הגדרות!$E$7)))</f>
        <v/>
      </c>
      <c r="K164" s="0" t="str">
        <f aca="false">IF(I164="","",J164*הגדרות!$E$6+I164+1)</f>
        <v/>
      </c>
      <c r="L164" s="0" t="str">
        <f aca="false">IF(K164="","",MATCH(K164,$F$2:$F$5001,0))</f>
        <v/>
      </c>
      <c r="M164" s="0" t="str">
        <f aca="false">IF(I164="","",INDEX(הגדרות!$A$2:$A$21,MOD(I164+הגדרות!$E$9,הגדרות!$E$6)+1))</f>
        <v/>
      </c>
    </row>
    <row r="165" customFormat="false" ht="15" hidden="false" customHeight="false" outlineLevel="0" collapsed="false">
      <c r="A165" s="0" t="str">
        <f aca="false">IF('הדבקת לידים'!A165="","",IF(ISNUMBER('הדבקת לידים'!A165),IF(הגדרות!$E$2&gt;0,TEXT('הדבקת לידים'!A165,REPT("0",הגדרות!$E$2)),TEXT('הדבקת לידים'!A165,"0")),TRIM('הדבקת לידים'!A165)))</f>
        <v/>
      </c>
      <c r="B165" s="0" t="str">
        <f aca="false">IF('הדבקת לידים'!B165="","",IF(ISNUMBER('הדבקת לידים'!B165),IF(הגדרות!$E$3&gt;0,TEXT('הדבקת לידים'!B165,REPT("0",הגדרות!$E$3)),TEXT('הדבקת לידים'!B165,"0")),TRIM('הדבקת לידים'!B165)))</f>
        <v/>
      </c>
      <c r="C165" s="0" t="n">
        <f aca="false">IF(OR(A165&lt;&gt;"",B165&lt;&gt;""),1,0)</f>
        <v>0</v>
      </c>
      <c r="D165" s="0" t="str">
        <f aca="false">IF(C165=1,MOD(ABS(SIN(ROW()*12.9898+'הדבקת לידים'!$F$2*78.233+IFERROR(--RIGHT(A165,6),LEN(A165))*0.0137+IFERROR(--RIGHT(B165,6),LEN(B165))*0.0071))*43758.5453,1),"")</f>
        <v/>
      </c>
      <c r="E165" s="0" t="str">
        <f aca="false">IF(C165=1,INT(MOD(ABS(SIN(D165*7919.123+ROW()*0.618+'הדבקת לידים'!$F$2*1.3))*43758.5453,1)*1000000)*10000+ROW(),"")</f>
        <v/>
      </c>
      <c r="F165" s="0" t="str">
        <f aca="false">IF(E165="","",RANK(E165,$E$2:$E$5001,1))</f>
        <v/>
      </c>
      <c r="G165" s="0" t="n">
        <f aca="false">IF(A165="",0,IF(SUMPRODUCT(--($A$2:$A$5001=A165))&gt;1,1,0))</f>
        <v>0</v>
      </c>
      <c r="H165" s="0" t="n">
        <f aca="false">ROW()-1</f>
        <v>164</v>
      </c>
      <c r="I165" s="0" t="str">
        <f aca="false">IF(OR(הגדרות!$E$6=0,H165&gt;הגדרות!$E$5),"",IF(H165-1&lt;הגדרות!$E$8*(הגדרות!$E$7+1),INT((H165-1)/(הגדרות!$E$7+1)),הגדרות!$E$8+INT((H165-1-הגדרות!$E$8*(הגדרות!$E$7+1))/הגדרות!$E$7)))</f>
        <v/>
      </c>
      <c r="J165" s="0" t="str">
        <f aca="false">IF(I165="","",IF(H165-1&lt;הגדרות!$E$8*(הגדרות!$E$7+1),MOD(H165-1,הגדרות!$E$7+1),MOD(H165-1-הגדרות!$E$8*(הגדרות!$E$7+1),הגדרות!$E$7)))</f>
        <v/>
      </c>
      <c r="K165" s="0" t="str">
        <f aca="false">IF(I165="","",J165*הגדרות!$E$6+I165+1)</f>
        <v/>
      </c>
      <c r="L165" s="0" t="str">
        <f aca="false">IF(K165="","",MATCH(K165,$F$2:$F$5001,0))</f>
        <v/>
      </c>
      <c r="M165" s="0" t="str">
        <f aca="false">IF(I165="","",INDEX(הגדרות!$A$2:$A$21,MOD(I165+הגדרות!$E$9,הגדרות!$E$6)+1))</f>
        <v/>
      </c>
    </row>
    <row r="166" customFormat="false" ht="15" hidden="false" customHeight="false" outlineLevel="0" collapsed="false">
      <c r="A166" s="0" t="str">
        <f aca="false">IF('הדבקת לידים'!A166="","",IF(ISNUMBER('הדבקת לידים'!A166),IF(הגדרות!$E$2&gt;0,TEXT('הדבקת לידים'!A166,REPT("0",הגדרות!$E$2)),TEXT('הדבקת לידים'!A166,"0")),TRIM('הדבקת לידים'!A166)))</f>
        <v/>
      </c>
      <c r="B166" s="0" t="str">
        <f aca="false">IF('הדבקת לידים'!B166="","",IF(ISNUMBER('הדבקת לידים'!B166),IF(הגדרות!$E$3&gt;0,TEXT('הדבקת לידים'!B166,REPT("0",הגדרות!$E$3)),TEXT('הדבקת לידים'!B166,"0")),TRIM('הדבקת לידים'!B166)))</f>
        <v/>
      </c>
      <c r="C166" s="0" t="n">
        <f aca="false">IF(OR(A166&lt;&gt;"",B166&lt;&gt;""),1,0)</f>
        <v>0</v>
      </c>
      <c r="D166" s="0" t="str">
        <f aca="false">IF(C166=1,MOD(ABS(SIN(ROW()*12.9898+'הדבקת לידים'!$F$2*78.233+IFERROR(--RIGHT(A166,6),LEN(A166))*0.0137+IFERROR(--RIGHT(B166,6),LEN(B166))*0.0071))*43758.5453,1),"")</f>
        <v/>
      </c>
      <c r="E166" s="0" t="str">
        <f aca="false">IF(C166=1,INT(MOD(ABS(SIN(D166*7919.123+ROW()*0.618+'הדבקת לידים'!$F$2*1.3))*43758.5453,1)*1000000)*10000+ROW(),"")</f>
        <v/>
      </c>
      <c r="F166" s="0" t="str">
        <f aca="false">IF(E166="","",RANK(E166,$E$2:$E$5001,1))</f>
        <v/>
      </c>
      <c r="G166" s="0" t="n">
        <f aca="false">IF(A166="",0,IF(SUMPRODUCT(--($A$2:$A$5001=A166))&gt;1,1,0))</f>
        <v>0</v>
      </c>
      <c r="H166" s="0" t="n">
        <f aca="false">ROW()-1</f>
        <v>165</v>
      </c>
      <c r="I166" s="0" t="str">
        <f aca="false">IF(OR(הגדרות!$E$6=0,H166&gt;הגדרות!$E$5),"",IF(H166-1&lt;הגדרות!$E$8*(הגדרות!$E$7+1),INT((H166-1)/(הגדרות!$E$7+1)),הגדרות!$E$8+INT((H166-1-הגדרות!$E$8*(הגדרות!$E$7+1))/הגדרות!$E$7)))</f>
        <v/>
      </c>
      <c r="J166" s="0" t="str">
        <f aca="false">IF(I166="","",IF(H166-1&lt;הגדרות!$E$8*(הגדרות!$E$7+1),MOD(H166-1,הגדרות!$E$7+1),MOD(H166-1-הגדרות!$E$8*(הגדרות!$E$7+1),הגדרות!$E$7)))</f>
        <v/>
      </c>
      <c r="K166" s="0" t="str">
        <f aca="false">IF(I166="","",J166*הגדרות!$E$6+I166+1)</f>
        <v/>
      </c>
      <c r="L166" s="0" t="str">
        <f aca="false">IF(K166="","",MATCH(K166,$F$2:$F$5001,0))</f>
        <v/>
      </c>
      <c r="M166" s="0" t="str">
        <f aca="false">IF(I166="","",INDEX(הגדרות!$A$2:$A$21,MOD(I166+הגדרות!$E$9,הגדרות!$E$6)+1))</f>
        <v/>
      </c>
    </row>
    <row r="167" customFormat="false" ht="15" hidden="false" customHeight="false" outlineLevel="0" collapsed="false">
      <c r="A167" s="0" t="str">
        <f aca="false">IF('הדבקת לידים'!A167="","",IF(ISNUMBER('הדבקת לידים'!A167),IF(הגדרות!$E$2&gt;0,TEXT('הדבקת לידים'!A167,REPT("0",הגדרות!$E$2)),TEXT('הדבקת לידים'!A167,"0")),TRIM('הדבקת לידים'!A167)))</f>
        <v/>
      </c>
      <c r="B167" s="0" t="str">
        <f aca="false">IF('הדבקת לידים'!B167="","",IF(ISNUMBER('הדבקת לידים'!B167),IF(הגדרות!$E$3&gt;0,TEXT('הדבקת לידים'!B167,REPT("0",הגדרות!$E$3)),TEXT('הדבקת לידים'!B167,"0")),TRIM('הדבקת לידים'!B167)))</f>
        <v/>
      </c>
      <c r="C167" s="0" t="n">
        <f aca="false">IF(OR(A167&lt;&gt;"",B167&lt;&gt;""),1,0)</f>
        <v>0</v>
      </c>
      <c r="D167" s="0" t="str">
        <f aca="false">IF(C167=1,MOD(ABS(SIN(ROW()*12.9898+'הדבקת לידים'!$F$2*78.233+IFERROR(--RIGHT(A167,6),LEN(A167))*0.0137+IFERROR(--RIGHT(B167,6),LEN(B167))*0.0071))*43758.5453,1),"")</f>
        <v/>
      </c>
      <c r="E167" s="0" t="str">
        <f aca="false">IF(C167=1,INT(MOD(ABS(SIN(D167*7919.123+ROW()*0.618+'הדבקת לידים'!$F$2*1.3))*43758.5453,1)*1000000)*10000+ROW(),"")</f>
        <v/>
      </c>
      <c r="F167" s="0" t="str">
        <f aca="false">IF(E167="","",RANK(E167,$E$2:$E$5001,1))</f>
        <v/>
      </c>
      <c r="G167" s="0" t="n">
        <f aca="false">IF(A167="",0,IF(SUMPRODUCT(--($A$2:$A$5001=A167))&gt;1,1,0))</f>
        <v>0</v>
      </c>
      <c r="H167" s="0" t="n">
        <f aca="false">ROW()-1</f>
        <v>166</v>
      </c>
      <c r="I167" s="0" t="str">
        <f aca="false">IF(OR(הגדרות!$E$6=0,H167&gt;הגדרות!$E$5),"",IF(H167-1&lt;הגדרות!$E$8*(הגדרות!$E$7+1),INT((H167-1)/(הגדרות!$E$7+1)),הגדרות!$E$8+INT((H167-1-הגדרות!$E$8*(הגדרות!$E$7+1))/הגדרות!$E$7)))</f>
        <v/>
      </c>
      <c r="J167" s="0" t="str">
        <f aca="false">IF(I167="","",IF(H167-1&lt;הגדרות!$E$8*(הגדרות!$E$7+1),MOD(H167-1,הגדרות!$E$7+1),MOD(H167-1-הגדרות!$E$8*(הגדרות!$E$7+1),הגדרות!$E$7)))</f>
        <v/>
      </c>
      <c r="K167" s="0" t="str">
        <f aca="false">IF(I167="","",J167*הגדרות!$E$6+I167+1)</f>
        <v/>
      </c>
      <c r="L167" s="0" t="str">
        <f aca="false">IF(K167="","",MATCH(K167,$F$2:$F$5001,0))</f>
        <v/>
      </c>
      <c r="M167" s="0" t="str">
        <f aca="false">IF(I167="","",INDEX(הגדרות!$A$2:$A$21,MOD(I167+הגדרות!$E$9,הגדרות!$E$6)+1))</f>
        <v/>
      </c>
    </row>
    <row r="168" customFormat="false" ht="15" hidden="false" customHeight="false" outlineLevel="0" collapsed="false">
      <c r="A168" s="0" t="str">
        <f aca="false">IF('הדבקת לידים'!A168="","",IF(ISNUMBER('הדבקת לידים'!A168),IF(הגדרות!$E$2&gt;0,TEXT('הדבקת לידים'!A168,REPT("0",הגדרות!$E$2)),TEXT('הדבקת לידים'!A168,"0")),TRIM('הדבקת לידים'!A168)))</f>
        <v/>
      </c>
      <c r="B168" s="0" t="str">
        <f aca="false">IF('הדבקת לידים'!B168="","",IF(ISNUMBER('הדבקת לידים'!B168),IF(הגדרות!$E$3&gt;0,TEXT('הדבקת לידים'!B168,REPT("0",הגדרות!$E$3)),TEXT('הדבקת לידים'!B168,"0")),TRIM('הדבקת לידים'!B168)))</f>
        <v/>
      </c>
      <c r="C168" s="0" t="n">
        <f aca="false">IF(OR(A168&lt;&gt;"",B168&lt;&gt;""),1,0)</f>
        <v>0</v>
      </c>
      <c r="D168" s="0" t="str">
        <f aca="false">IF(C168=1,MOD(ABS(SIN(ROW()*12.9898+'הדבקת לידים'!$F$2*78.233+IFERROR(--RIGHT(A168,6),LEN(A168))*0.0137+IFERROR(--RIGHT(B168,6),LEN(B168))*0.0071))*43758.5453,1),"")</f>
        <v/>
      </c>
      <c r="E168" s="0" t="str">
        <f aca="false">IF(C168=1,INT(MOD(ABS(SIN(D168*7919.123+ROW()*0.618+'הדבקת לידים'!$F$2*1.3))*43758.5453,1)*1000000)*10000+ROW(),"")</f>
        <v/>
      </c>
      <c r="F168" s="0" t="str">
        <f aca="false">IF(E168="","",RANK(E168,$E$2:$E$5001,1))</f>
        <v/>
      </c>
      <c r="G168" s="0" t="n">
        <f aca="false">IF(A168="",0,IF(SUMPRODUCT(--($A$2:$A$5001=A168))&gt;1,1,0))</f>
        <v>0</v>
      </c>
      <c r="H168" s="0" t="n">
        <f aca="false">ROW()-1</f>
        <v>167</v>
      </c>
      <c r="I168" s="0" t="str">
        <f aca="false">IF(OR(הגדרות!$E$6=0,H168&gt;הגדרות!$E$5),"",IF(H168-1&lt;הגדרות!$E$8*(הגדרות!$E$7+1),INT((H168-1)/(הגדרות!$E$7+1)),הגדרות!$E$8+INT((H168-1-הגדרות!$E$8*(הגדרות!$E$7+1))/הגדרות!$E$7)))</f>
        <v/>
      </c>
      <c r="J168" s="0" t="str">
        <f aca="false">IF(I168="","",IF(H168-1&lt;הגדרות!$E$8*(הגדרות!$E$7+1),MOD(H168-1,הגדרות!$E$7+1),MOD(H168-1-הגדרות!$E$8*(הגדרות!$E$7+1),הגדרות!$E$7)))</f>
        <v/>
      </c>
      <c r="K168" s="0" t="str">
        <f aca="false">IF(I168="","",J168*הגדרות!$E$6+I168+1)</f>
        <v/>
      </c>
      <c r="L168" s="0" t="str">
        <f aca="false">IF(K168="","",MATCH(K168,$F$2:$F$5001,0))</f>
        <v/>
      </c>
      <c r="M168" s="0" t="str">
        <f aca="false">IF(I168="","",INDEX(הגדרות!$A$2:$A$21,MOD(I168+הגדרות!$E$9,הגדרות!$E$6)+1))</f>
        <v/>
      </c>
    </row>
    <row r="169" customFormat="false" ht="15" hidden="false" customHeight="false" outlineLevel="0" collapsed="false">
      <c r="A169" s="0" t="str">
        <f aca="false">IF('הדבקת לידים'!A169="","",IF(ISNUMBER('הדבקת לידים'!A169),IF(הגדרות!$E$2&gt;0,TEXT('הדבקת לידים'!A169,REPT("0",הגדרות!$E$2)),TEXT('הדבקת לידים'!A169,"0")),TRIM('הדבקת לידים'!A169)))</f>
        <v/>
      </c>
      <c r="B169" s="0" t="str">
        <f aca="false">IF('הדבקת לידים'!B169="","",IF(ISNUMBER('הדבקת לידים'!B169),IF(הגדרות!$E$3&gt;0,TEXT('הדבקת לידים'!B169,REPT("0",הגדרות!$E$3)),TEXT('הדבקת לידים'!B169,"0")),TRIM('הדבקת לידים'!B169)))</f>
        <v/>
      </c>
      <c r="C169" s="0" t="n">
        <f aca="false">IF(OR(A169&lt;&gt;"",B169&lt;&gt;""),1,0)</f>
        <v>0</v>
      </c>
      <c r="D169" s="0" t="str">
        <f aca="false">IF(C169=1,MOD(ABS(SIN(ROW()*12.9898+'הדבקת לידים'!$F$2*78.233+IFERROR(--RIGHT(A169,6),LEN(A169))*0.0137+IFERROR(--RIGHT(B169,6),LEN(B169))*0.0071))*43758.5453,1),"")</f>
        <v/>
      </c>
      <c r="E169" s="0" t="str">
        <f aca="false">IF(C169=1,INT(MOD(ABS(SIN(D169*7919.123+ROW()*0.618+'הדבקת לידים'!$F$2*1.3))*43758.5453,1)*1000000)*10000+ROW(),"")</f>
        <v/>
      </c>
      <c r="F169" s="0" t="str">
        <f aca="false">IF(E169="","",RANK(E169,$E$2:$E$5001,1))</f>
        <v/>
      </c>
      <c r="G169" s="0" t="n">
        <f aca="false">IF(A169="",0,IF(SUMPRODUCT(--($A$2:$A$5001=A169))&gt;1,1,0))</f>
        <v>0</v>
      </c>
      <c r="H169" s="0" t="n">
        <f aca="false">ROW()-1</f>
        <v>168</v>
      </c>
      <c r="I169" s="0" t="str">
        <f aca="false">IF(OR(הגדרות!$E$6=0,H169&gt;הגדרות!$E$5),"",IF(H169-1&lt;הגדרות!$E$8*(הגדרות!$E$7+1),INT((H169-1)/(הגדרות!$E$7+1)),הגדרות!$E$8+INT((H169-1-הגדרות!$E$8*(הגדרות!$E$7+1))/הגדרות!$E$7)))</f>
        <v/>
      </c>
      <c r="J169" s="0" t="str">
        <f aca="false">IF(I169="","",IF(H169-1&lt;הגדרות!$E$8*(הגדרות!$E$7+1),MOD(H169-1,הגדרות!$E$7+1),MOD(H169-1-הגדרות!$E$8*(הגדרות!$E$7+1),הגדרות!$E$7)))</f>
        <v/>
      </c>
      <c r="K169" s="0" t="str">
        <f aca="false">IF(I169="","",J169*הגדרות!$E$6+I169+1)</f>
        <v/>
      </c>
      <c r="L169" s="0" t="str">
        <f aca="false">IF(K169="","",MATCH(K169,$F$2:$F$5001,0))</f>
        <v/>
      </c>
      <c r="M169" s="0" t="str">
        <f aca="false">IF(I169="","",INDEX(הגדרות!$A$2:$A$21,MOD(I169+הגדרות!$E$9,הגדרות!$E$6)+1))</f>
        <v/>
      </c>
    </row>
    <row r="170" customFormat="false" ht="15" hidden="false" customHeight="false" outlineLevel="0" collapsed="false">
      <c r="A170" s="0" t="str">
        <f aca="false">IF('הדבקת לידים'!A170="","",IF(ISNUMBER('הדבקת לידים'!A170),IF(הגדרות!$E$2&gt;0,TEXT('הדבקת לידים'!A170,REPT("0",הגדרות!$E$2)),TEXT('הדבקת לידים'!A170,"0")),TRIM('הדבקת לידים'!A170)))</f>
        <v/>
      </c>
      <c r="B170" s="0" t="str">
        <f aca="false">IF('הדבקת לידים'!B170="","",IF(ISNUMBER('הדבקת לידים'!B170),IF(הגדרות!$E$3&gt;0,TEXT('הדבקת לידים'!B170,REPT("0",הגדרות!$E$3)),TEXT('הדבקת לידים'!B170,"0")),TRIM('הדבקת לידים'!B170)))</f>
        <v/>
      </c>
      <c r="C170" s="0" t="n">
        <f aca="false">IF(OR(A170&lt;&gt;"",B170&lt;&gt;""),1,0)</f>
        <v>0</v>
      </c>
      <c r="D170" s="0" t="str">
        <f aca="false">IF(C170=1,MOD(ABS(SIN(ROW()*12.9898+'הדבקת לידים'!$F$2*78.233+IFERROR(--RIGHT(A170,6),LEN(A170))*0.0137+IFERROR(--RIGHT(B170,6),LEN(B170))*0.0071))*43758.5453,1),"")</f>
        <v/>
      </c>
      <c r="E170" s="0" t="str">
        <f aca="false">IF(C170=1,INT(MOD(ABS(SIN(D170*7919.123+ROW()*0.618+'הדבקת לידים'!$F$2*1.3))*43758.5453,1)*1000000)*10000+ROW(),"")</f>
        <v/>
      </c>
      <c r="F170" s="0" t="str">
        <f aca="false">IF(E170="","",RANK(E170,$E$2:$E$5001,1))</f>
        <v/>
      </c>
      <c r="G170" s="0" t="n">
        <f aca="false">IF(A170="",0,IF(SUMPRODUCT(--($A$2:$A$5001=A170))&gt;1,1,0))</f>
        <v>0</v>
      </c>
      <c r="H170" s="0" t="n">
        <f aca="false">ROW()-1</f>
        <v>169</v>
      </c>
      <c r="I170" s="0" t="str">
        <f aca="false">IF(OR(הגדרות!$E$6=0,H170&gt;הגדרות!$E$5),"",IF(H170-1&lt;הגדרות!$E$8*(הגדרות!$E$7+1),INT((H170-1)/(הגדרות!$E$7+1)),הגדרות!$E$8+INT((H170-1-הגדרות!$E$8*(הגדרות!$E$7+1))/הגדרות!$E$7)))</f>
        <v/>
      </c>
      <c r="J170" s="0" t="str">
        <f aca="false">IF(I170="","",IF(H170-1&lt;הגדרות!$E$8*(הגדרות!$E$7+1),MOD(H170-1,הגדרות!$E$7+1),MOD(H170-1-הגדרות!$E$8*(הגדרות!$E$7+1),הגדרות!$E$7)))</f>
        <v/>
      </c>
      <c r="K170" s="0" t="str">
        <f aca="false">IF(I170="","",J170*הגדרות!$E$6+I170+1)</f>
        <v/>
      </c>
      <c r="L170" s="0" t="str">
        <f aca="false">IF(K170="","",MATCH(K170,$F$2:$F$5001,0))</f>
        <v/>
      </c>
      <c r="M170" s="0" t="str">
        <f aca="false">IF(I170="","",INDEX(הגדרות!$A$2:$A$21,MOD(I170+הגדרות!$E$9,הגדרות!$E$6)+1))</f>
        <v/>
      </c>
    </row>
    <row r="171" customFormat="false" ht="15" hidden="false" customHeight="false" outlineLevel="0" collapsed="false">
      <c r="A171" s="0" t="str">
        <f aca="false">IF('הדבקת לידים'!A171="","",IF(ISNUMBER('הדבקת לידים'!A171),IF(הגדרות!$E$2&gt;0,TEXT('הדבקת לידים'!A171,REPT("0",הגדרות!$E$2)),TEXT('הדבקת לידים'!A171,"0")),TRIM('הדבקת לידים'!A171)))</f>
        <v/>
      </c>
      <c r="B171" s="0" t="str">
        <f aca="false">IF('הדבקת לידים'!B171="","",IF(ISNUMBER('הדבקת לידים'!B171),IF(הגדרות!$E$3&gt;0,TEXT('הדבקת לידים'!B171,REPT("0",הגדרות!$E$3)),TEXT('הדבקת לידים'!B171,"0")),TRIM('הדבקת לידים'!B171)))</f>
        <v/>
      </c>
      <c r="C171" s="0" t="n">
        <f aca="false">IF(OR(A171&lt;&gt;"",B171&lt;&gt;""),1,0)</f>
        <v>0</v>
      </c>
      <c r="D171" s="0" t="str">
        <f aca="false">IF(C171=1,MOD(ABS(SIN(ROW()*12.9898+'הדבקת לידים'!$F$2*78.233+IFERROR(--RIGHT(A171,6),LEN(A171))*0.0137+IFERROR(--RIGHT(B171,6),LEN(B171))*0.0071))*43758.5453,1),"")</f>
        <v/>
      </c>
      <c r="E171" s="0" t="str">
        <f aca="false">IF(C171=1,INT(MOD(ABS(SIN(D171*7919.123+ROW()*0.618+'הדבקת לידים'!$F$2*1.3))*43758.5453,1)*1000000)*10000+ROW(),"")</f>
        <v/>
      </c>
      <c r="F171" s="0" t="str">
        <f aca="false">IF(E171="","",RANK(E171,$E$2:$E$5001,1))</f>
        <v/>
      </c>
      <c r="G171" s="0" t="n">
        <f aca="false">IF(A171="",0,IF(SUMPRODUCT(--($A$2:$A$5001=A171))&gt;1,1,0))</f>
        <v>0</v>
      </c>
      <c r="H171" s="0" t="n">
        <f aca="false">ROW()-1</f>
        <v>170</v>
      </c>
      <c r="I171" s="0" t="str">
        <f aca="false">IF(OR(הגדרות!$E$6=0,H171&gt;הגדרות!$E$5),"",IF(H171-1&lt;הגדרות!$E$8*(הגדרות!$E$7+1),INT((H171-1)/(הגדרות!$E$7+1)),הגדרות!$E$8+INT((H171-1-הגדרות!$E$8*(הגדרות!$E$7+1))/הגדרות!$E$7)))</f>
        <v/>
      </c>
      <c r="J171" s="0" t="str">
        <f aca="false">IF(I171="","",IF(H171-1&lt;הגדרות!$E$8*(הגדרות!$E$7+1),MOD(H171-1,הגדרות!$E$7+1),MOD(H171-1-הגדרות!$E$8*(הגדרות!$E$7+1),הגדרות!$E$7)))</f>
        <v/>
      </c>
      <c r="K171" s="0" t="str">
        <f aca="false">IF(I171="","",J171*הגדרות!$E$6+I171+1)</f>
        <v/>
      </c>
      <c r="L171" s="0" t="str">
        <f aca="false">IF(K171="","",MATCH(K171,$F$2:$F$5001,0))</f>
        <v/>
      </c>
      <c r="M171" s="0" t="str">
        <f aca="false">IF(I171="","",INDEX(הגדרות!$A$2:$A$21,MOD(I171+הגדרות!$E$9,הגדרות!$E$6)+1))</f>
        <v/>
      </c>
    </row>
    <row r="172" customFormat="false" ht="15" hidden="false" customHeight="false" outlineLevel="0" collapsed="false">
      <c r="A172" s="0" t="str">
        <f aca="false">IF('הדבקת לידים'!A172="","",IF(ISNUMBER('הדבקת לידים'!A172),IF(הגדרות!$E$2&gt;0,TEXT('הדבקת לידים'!A172,REPT("0",הגדרות!$E$2)),TEXT('הדבקת לידים'!A172,"0")),TRIM('הדבקת לידים'!A172)))</f>
        <v/>
      </c>
      <c r="B172" s="0" t="str">
        <f aca="false">IF('הדבקת לידים'!B172="","",IF(ISNUMBER('הדבקת לידים'!B172),IF(הגדרות!$E$3&gt;0,TEXT('הדבקת לידים'!B172,REPT("0",הגדרות!$E$3)),TEXT('הדבקת לידים'!B172,"0")),TRIM('הדבקת לידים'!B172)))</f>
        <v/>
      </c>
      <c r="C172" s="0" t="n">
        <f aca="false">IF(OR(A172&lt;&gt;"",B172&lt;&gt;""),1,0)</f>
        <v>0</v>
      </c>
      <c r="D172" s="0" t="str">
        <f aca="false">IF(C172=1,MOD(ABS(SIN(ROW()*12.9898+'הדבקת לידים'!$F$2*78.233+IFERROR(--RIGHT(A172,6),LEN(A172))*0.0137+IFERROR(--RIGHT(B172,6),LEN(B172))*0.0071))*43758.5453,1),"")</f>
        <v/>
      </c>
      <c r="E172" s="0" t="str">
        <f aca="false">IF(C172=1,INT(MOD(ABS(SIN(D172*7919.123+ROW()*0.618+'הדבקת לידים'!$F$2*1.3))*43758.5453,1)*1000000)*10000+ROW(),"")</f>
        <v/>
      </c>
      <c r="F172" s="0" t="str">
        <f aca="false">IF(E172="","",RANK(E172,$E$2:$E$5001,1))</f>
        <v/>
      </c>
      <c r="G172" s="0" t="n">
        <f aca="false">IF(A172="",0,IF(SUMPRODUCT(--($A$2:$A$5001=A172))&gt;1,1,0))</f>
        <v>0</v>
      </c>
      <c r="H172" s="0" t="n">
        <f aca="false">ROW()-1</f>
        <v>171</v>
      </c>
      <c r="I172" s="0" t="str">
        <f aca="false">IF(OR(הגדרות!$E$6=0,H172&gt;הגדרות!$E$5),"",IF(H172-1&lt;הגדרות!$E$8*(הגדרות!$E$7+1),INT((H172-1)/(הגדרות!$E$7+1)),הגדרות!$E$8+INT((H172-1-הגדרות!$E$8*(הגדרות!$E$7+1))/הגדרות!$E$7)))</f>
        <v/>
      </c>
      <c r="J172" s="0" t="str">
        <f aca="false">IF(I172="","",IF(H172-1&lt;הגדרות!$E$8*(הגדרות!$E$7+1),MOD(H172-1,הגדרות!$E$7+1),MOD(H172-1-הגדרות!$E$8*(הגדרות!$E$7+1),הגדרות!$E$7)))</f>
        <v/>
      </c>
      <c r="K172" s="0" t="str">
        <f aca="false">IF(I172="","",J172*הגדרות!$E$6+I172+1)</f>
        <v/>
      </c>
      <c r="L172" s="0" t="str">
        <f aca="false">IF(K172="","",MATCH(K172,$F$2:$F$5001,0))</f>
        <v/>
      </c>
      <c r="M172" s="0" t="str">
        <f aca="false">IF(I172="","",INDEX(הגדרות!$A$2:$A$21,MOD(I172+הגדרות!$E$9,הגדרות!$E$6)+1))</f>
        <v/>
      </c>
    </row>
    <row r="173" customFormat="false" ht="15" hidden="false" customHeight="false" outlineLevel="0" collapsed="false">
      <c r="A173" s="0" t="str">
        <f aca="false">IF('הדבקת לידים'!A173="","",IF(ISNUMBER('הדבקת לידים'!A173),IF(הגדרות!$E$2&gt;0,TEXT('הדבקת לידים'!A173,REPT("0",הגדרות!$E$2)),TEXT('הדבקת לידים'!A173,"0")),TRIM('הדבקת לידים'!A173)))</f>
        <v/>
      </c>
      <c r="B173" s="0" t="str">
        <f aca="false">IF('הדבקת לידים'!B173="","",IF(ISNUMBER('הדבקת לידים'!B173),IF(הגדרות!$E$3&gt;0,TEXT('הדבקת לידים'!B173,REPT("0",הגדרות!$E$3)),TEXT('הדבקת לידים'!B173,"0")),TRIM('הדבקת לידים'!B173)))</f>
        <v/>
      </c>
      <c r="C173" s="0" t="n">
        <f aca="false">IF(OR(A173&lt;&gt;"",B173&lt;&gt;""),1,0)</f>
        <v>0</v>
      </c>
      <c r="D173" s="0" t="str">
        <f aca="false">IF(C173=1,MOD(ABS(SIN(ROW()*12.9898+'הדבקת לידים'!$F$2*78.233+IFERROR(--RIGHT(A173,6),LEN(A173))*0.0137+IFERROR(--RIGHT(B173,6),LEN(B173))*0.0071))*43758.5453,1),"")</f>
        <v/>
      </c>
      <c r="E173" s="0" t="str">
        <f aca="false">IF(C173=1,INT(MOD(ABS(SIN(D173*7919.123+ROW()*0.618+'הדבקת לידים'!$F$2*1.3))*43758.5453,1)*1000000)*10000+ROW(),"")</f>
        <v/>
      </c>
      <c r="F173" s="0" t="str">
        <f aca="false">IF(E173="","",RANK(E173,$E$2:$E$5001,1))</f>
        <v/>
      </c>
      <c r="G173" s="0" t="n">
        <f aca="false">IF(A173="",0,IF(SUMPRODUCT(--($A$2:$A$5001=A173))&gt;1,1,0))</f>
        <v>0</v>
      </c>
      <c r="H173" s="0" t="n">
        <f aca="false">ROW()-1</f>
        <v>172</v>
      </c>
      <c r="I173" s="0" t="str">
        <f aca="false">IF(OR(הגדרות!$E$6=0,H173&gt;הגדרות!$E$5),"",IF(H173-1&lt;הגדרות!$E$8*(הגדרות!$E$7+1),INT((H173-1)/(הגדרות!$E$7+1)),הגדרות!$E$8+INT((H173-1-הגדרות!$E$8*(הגדרות!$E$7+1))/הגדרות!$E$7)))</f>
        <v/>
      </c>
      <c r="J173" s="0" t="str">
        <f aca="false">IF(I173="","",IF(H173-1&lt;הגדרות!$E$8*(הגדרות!$E$7+1),MOD(H173-1,הגדרות!$E$7+1),MOD(H173-1-הגדרות!$E$8*(הגדרות!$E$7+1),הגדרות!$E$7)))</f>
        <v/>
      </c>
      <c r="K173" s="0" t="str">
        <f aca="false">IF(I173="","",J173*הגדרות!$E$6+I173+1)</f>
        <v/>
      </c>
      <c r="L173" s="0" t="str">
        <f aca="false">IF(K173="","",MATCH(K173,$F$2:$F$5001,0))</f>
        <v/>
      </c>
      <c r="M173" s="0" t="str">
        <f aca="false">IF(I173="","",INDEX(הגדרות!$A$2:$A$21,MOD(I173+הגדרות!$E$9,הגדרות!$E$6)+1))</f>
        <v/>
      </c>
    </row>
    <row r="174" customFormat="false" ht="15" hidden="false" customHeight="false" outlineLevel="0" collapsed="false">
      <c r="A174" s="0" t="str">
        <f aca="false">IF('הדבקת לידים'!A174="","",IF(ISNUMBER('הדבקת לידים'!A174),IF(הגדרות!$E$2&gt;0,TEXT('הדבקת לידים'!A174,REPT("0",הגדרות!$E$2)),TEXT('הדבקת לידים'!A174,"0")),TRIM('הדבקת לידים'!A174)))</f>
        <v/>
      </c>
      <c r="B174" s="0" t="str">
        <f aca="false">IF('הדבקת לידים'!B174="","",IF(ISNUMBER('הדבקת לידים'!B174),IF(הגדרות!$E$3&gt;0,TEXT('הדבקת לידים'!B174,REPT("0",הגדרות!$E$3)),TEXT('הדבקת לידים'!B174,"0")),TRIM('הדבקת לידים'!B174)))</f>
        <v/>
      </c>
      <c r="C174" s="0" t="n">
        <f aca="false">IF(OR(A174&lt;&gt;"",B174&lt;&gt;""),1,0)</f>
        <v>0</v>
      </c>
      <c r="D174" s="0" t="str">
        <f aca="false">IF(C174=1,MOD(ABS(SIN(ROW()*12.9898+'הדבקת לידים'!$F$2*78.233+IFERROR(--RIGHT(A174,6),LEN(A174))*0.0137+IFERROR(--RIGHT(B174,6),LEN(B174))*0.0071))*43758.5453,1),"")</f>
        <v/>
      </c>
      <c r="E174" s="0" t="str">
        <f aca="false">IF(C174=1,INT(MOD(ABS(SIN(D174*7919.123+ROW()*0.618+'הדבקת לידים'!$F$2*1.3))*43758.5453,1)*1000000)*10000+ROW(),"")</f>
        <v/>
      </c>
      <c r="F174" s="0" t="str">
        <f aca="false">IF(E174="","",RANK(E174,$E$2:$E$5001,1))</f>
        <v/>
      </c>
      <c r="G174" s="0" t="n">
        <f aca="false">IF(A174="",0,IF(SUMPRODUCT(--($A$2:$A$5001=A174))&gt;1,1,0))</f>
        <v>0</v>
      </c>
      <c r="H174" s="0" t="n">
        <f aca="false">ROW()-1</f>
        <v>173</v>
      </c>
      <c r="I174" s="0" t="str">
        <f aca="false">IF(OR(הגדרות!$E$6=0,H174&gt;הגדרות!$E$5),"",IF(H174-1&lt;הגדרות!$E$8*(הגדרות!$E$7+1),INT((H174-1)/(הגדרות!$E$7+1)),הגדרות!$E$8+INT((H174-1-הגדרות!$E$8*(הגדרות!$E$7+1))/הגדרות!$E$7)))</f>
        <v/>
      </c>
      <c r="J174" s="0" t="str">
        <f aca="false">IF(I174="","",IF(H174-1&lt;הגדרות!$E$8*(הגדרות!$E$7+1),MOD(H174-1,הגדרות!$E$7+1),MOD(H174-1-הגדרות!$E$8*(הגדרות!$E$7+1),הגדרות!$E$7)))</f>
        <v/>
      </c>
      <c r="K174" s="0" t="str">
        <f aca="false">IF(I174="","",J174*הגדרות!$E$6+I174+1)</f>
        <v/>
      </c>
      <c r="L174" s="0" t="str">
        <f aca="false">IF(K174="","",MATCH(K174,$F$2:$F$5001,0))</f>
        <v/>
      </c>
      <c r="M174" s="0" t="str">
        <f aca="false">IF(I174="","",INDEX(הגדרות!$A$2:$A$21,MOD(I174+הגדרות!$E$9,הגדרות!$E$6)+1))</f>
        <v/>
      </c>
    </row>
    <row r="175" customFormat="false" ht="15" hidden="false" customHeight="false" outlineLevel="0" collapsed="false">
      <c r="A175" s="0" t="str">
        <f aca="false">IF('הדבקת לידים'!A175="","",IF(ISNUMBER('הדבקת לידים'!A175),IF(הגדרות!$E$2&gt;0,TEXT('הדבקת לידים'!A175,REPT("0",הגדרות!$E$2)),TEXT('הדבקת לידים'!A175,"0")),TRIM('הדבקת לידים'!A175)))</f>
        <v/>
      </c>
      <c r="B175" s="0" t="str">
        <f aca="false">IF('הדבקת לידים'!B175="","",IF(ISNUMBER('הדבקת לידים'!B175),IF(הגדרות!$E$3&gt;0,TEXT('הדבקת לידים'!B175,REPT("0",הגדרות!$E$3)),TEXT('הדבקת לידים'!B175,"0")),TRIM('הדבקת לידים'!B175)))</f>
        <v/>
      </c>
      <c r="C175" s="0" t="n">
        <f aca="false">IF(OR(A175&lt;&gt;"",B175&lt;&gt;""),1,0)</f>
        <v>0</v>
      </c>
      <c r="D175" s="0" t="str">
        <f aca="false">IF(C175=1,MOD(ABS(SIN(ROW()*12.9898+'הדבקת לידים'!$F$2*78.233+IFERROR(--RIGHT(A175,6),LEN(A175))*0.0137+IFERROR(--RIGHT(B175,6),LEN(B175))*0.0071))*43758.5453,1),"")</f>
        <v/>
      </c>
      <c r="E175" s="0" t="str">
        <f aca="false">IF(C175=1,INT(MOD(ABS(SIN(D175*7919.123+ROW()*0.618+'הדבקת לידים'!$F$2*1.3))*43758.5453,1)*1000000)*10000+ROW(),"")</f>
        <v/>
      </c>
      <c r="F175" s="0" t="str">
        <f aca="false">IF(E175="","",RANK(E175,$E$2:$E$5001,1))</f>
        <v/>
      </c>
      <c r="G175" s="0" t="n">
        <f aca="false">IF(A175="",0,IF(SUMPRODUCT(--($A$2:$A$5001=A175))&gt;1,1,0))</f>
        <v>0</v>
      </c>
      <c r="H175" s="0" t="n">
        <f aca="false">ROW()-1</f>
        <v>174</v>
      </c>
      <c r="I175" s="0" t="str">
        <f aca="false">IF(OR(הגדרות!$E$6=0,H175&gt;הגדרות!$E$5),"",IF(H175-1&lt;הגדרות!$E$8*(הגדרות!$E$7+1),INT((H175-1)/(הגדרות!$E$7+1)),הגדרות!$E$8+INT((H175-1-הגדרות!$E$8*(הגדרות!$E$7+1))/הגדרות!$E$7)))</f>
        <v/>
      </c>
      <c r="J175" s="0" t="str">
        <f aca="false">IF(I175="","",IF(H175-1&lt;הגדרות!$E$8*(הגדרות!$E$7+1),MOD(H175-1,הגדרות!$E$7+1),MOD(H175-1-הגדרות!$E$8*(הגדרות!$E$7+1),הגדרות!$E$7)))</f>
        <v/>
      </c>
      <c r="K175" s="0" t="str">
        <f aca="false">IF(I175="","",J175*הגדרות!$E$6+I175+1)</f>
        <v/>
      </c>
      <c r="L175" s="0" t="str">
        <f aca="false">IF(K175="","",MATCH(K175,$F$2:$F$5001,0))</f>
        <v/>
      </c>
      <c r="M175" s="0" t="str">
        <f aca="false">IF(I175="","",INDEX(הגדרות!$A$2:$A$21,MOD(I175+הגדרות!$E$9,הגדרות!$E$6)+1))</f>
        <v/>
      </c>
    </row>
    <row r="176" customFormat="false" ht="15" hidden="false" customHeight="false" outlineLevel="0" collapsed="false">
      <c r="A176" s="0" t="str">
        <f aca="false">IF('הדבקת לידים'!A176="","",IF(ISNUMBER('הדבקת לידים'!A176),IF(הגדרות!$E$2&gt;0,TEXT('הדבקת לידים'!A176,REPT("0",הגדרות!$E$2)),TEXT('הדבקת לידים'!A176,"0")),TRIM('הדבקת לידים'!A176)))</f>
        <v/>
      </c>
      <c r="B176" s="0" t="str">
        <f aca="false">IF('הדבקת לידים'!B176="","",IF(ISNUMBER('הדבקת לידים'!B176),IF(הגדרות!$E$3&gt;0,TEXT('הדבקת לידים'!B176,REPT("0",הגדרות!$E$3)),TEXT('הדבקת לידים'!B176,"0")),TRIM('הדבקת לידים'!B176)))</f>
        <v/>
      </c>
      <c r="C176" s="0" t="n">
        <f aca="false">IF(OR(A176&lt;&gt;"",B176&lt;&gt;""),1,0)</f>
        <v>0</v>
      </c>
      <c r="D176" s="0" t="str">
        <f aca="false">IF(C176=1,MOD(ABS(SIN(ROW()*12.9898+'הדבקת לידים'!$F$2*78.233+IFERROR(--RIGHT(A176,6),LEN(A176))*0.0137+IFERROR(--RIGHT(B176,6),LEN(B176))*0.0071))*43758.5453,1),"")</f>
        <v/>
      </c>
      <c r="E176" s="0" t="str">
        <f aca="false">IF(C176=1,INT(MOD(ABS(SIN(D176*7919.123+ROW()*0.618+'הדבקת לידים'!$F$2*1.3))*43758.5453,1)*1000000)*10000+ROW(),"")</f>
        <v/>
      </c>
      <c r="F176" s="0" t="str">
        <f aca="false">IF(E176="","",RANK(E176,$E$2:$E$5001,1))</f>
        <v/>
      </c>
      <c r="G176" s="0" t="n">
        <f aca="false">IF(A176="",0,IF(SUMPRODUCT(--($A$2:$A$5001=A176))&gt;1,1,0))</f>
        <v>0</v>
      </c>
      <c r="H176" s="0" t="n">
        <f aca="false">ROW()-1</f>
        <v>175</v>
      </c>
      <c r="I176" s="0" t="str">
        <f aca="false">IF(OR(הגדרות!$E$6=0,H176&gt;הגדרות!$E$5),"",IF(H176-1&lt;הגדרות!$E$8*(הגדרות!$E$7+1),INT((H176-1)/(הגדרות!$E$7+1)),הגדרות!$E$8+INT((H176-1-הגדרות!$E$8*(הגדרות!$E$7+1))/הגדרות!$E$7)))</f>
        <v/>
      </c>
      <c r="J176" s="0" t="str">
        <f aca="false">IF(I176="","",IF(H176-1&lt;הגדרות!$E$8*(הגדרות!$E$7+1),MOD(H176-1,הגדרות!$E$7+1),MOD(H176-1-הגדרות!$E$8*(הגדרות!$E$7+1),הגדרות!$E$7)))</f>
        <v/>
      </c>
      <c r="K176" s="0" t="str">
        <f aca="false">IF(I176="","",J176*הגדרות!$E$6+I176+1)</f>
        <v/>
      </c>
      <c r="L176" s="0" t="str">
        <f aca="false">IF(K176="","",MATCH(K176,$F$2:$F$5001,0))</f>
        <v/>
      </c>
      <c r="M176" s="0" t="str">
        <f aca="false">IF(I176="","",INDEX(הגדרות!$A$2:$A$21,MOD(I176+הגדרות!$E$9,הגדרות!$E$6)+1))</f>
        <v/>
      </c>
    </row>
    <row r="177" customFormat="false" ht="15" hidden="false" customHeight="false" outlineLevel="0" collapsed="false">
      <c r="A177" s="0" t="str">
        <f aca="false">IF('הדבקת לידים'!A177="","",IF(ISNUMBER('הדבקת לידים'!A177),IF(הגדרות!$E$2&gt;0,TEXT('הדבקת לידים'!A177,REPT("0",הגדרות!$E$2)),TEXT('הדבקת לידים'!A177,"0")),TRIM('הדבקת לידים'!A177)))</f>
        <v/>
      </c>
      <c r="B177" s="0" t="str">
        <f aca="false">IF('הדבקת לידים'!B177="","",IF(ISNUMBER('הדבקת לידים'!B177),IF(הגדרות!$E$3&gt;0,TEXT('הדבקת לידים'!B177,REPT("0",הגדרות!$E$3)),TEXT('הדבקת לידים'!B177,"0")),TRIM('הדבקת לידים'!B177)))</f>
        <v/>
      </c>
      <c r="C177" s="0" t="n">
        <f aca="false">IF(OR(A177&lt;&gt;"",B177&lt;&gt;""),1,0)</f>
        <v>0</v>
      </c>
      <c r="D177" s="0" t="str">
        <f aca="false">IF(C177=1,MOD(ABS(SIN(ROW()*12.9898+'הדבקת לידים'!$F$2*78.233+IFERROR(--RIGHT(A177,6),LEN(A177))*0.0137+IFERROR(--RIGHT(B177,6),LEN(B177))*0.0071))*43758.5453,1),"")</f>
        <v/>
      </c>
      <c r="E177" s="0" t="str">
        <f aca="false">IF(C177=1,INT(MOD(ABS(SIN(D177*7919.123+ROW()*0.618+'הדבקת לידים'!$F$2*1.3))*43758.5453,1)*1000000)*10000+ROW(),"")</f>
        <v/>
      </c>
      <c r="F177" s="0" t="str">
        <f aca="false">IF(E177="","",RANK(E177,$E$2:$E$5001,1))</f>
        <v/>
      </c>
      <c r="G177" s="0" t="n">
        <f aca="false">IF(A177="",0,IF(SUMPRODUCT(--($A$2:$A$5001=A177))&gt;1,1,0))</f>
        <v>0</v>
      </c>
      <c r="H177" s="0" t="n">
        <f aca="false">ROW()-1</f>
        <v>176</v>
      </c>
      <c r="I177" s="0" t="str">
        <f aca="false">IF(OR(הגדרות!$E$6=0,H177&gt;הגדרות!$E$5),"",IF(H177-1&lt;הגדרות!$E$8*(הגדרות!$E$7+1),INT((H177-1)/(הגדרות!$E$7+1)),הגדרות!$E$8+INT((H177-1-הגדרות!$E$8*(הגדרות!$E$7+1))/הגדרות!$E$7)))</f>
        <v/>
      </c>
      <c r="J177" s="0" t="str">
        <f aca="false">IF(I177="","",IF(H177-1&lt;הגדרות!$E$8*(הגדרות!$E$7+1),MOD(H177-1,הגדרות!$E$7+1),MOD(H177-1-הגדרות!$E$8*(הגדרות!$E$7+1),הגדרות!$E$7)))</f>
        <v/>
      </c>
      <c r="K177" s="0" t="str">
        <f aca="false">IF(I177="","",J177*הגדרות!$E$6+I177+1)</f>
        <v/>
      </c>
      <c r="L177" s="0" t="str">
        <f aca="false">IF(K177="","",MATCH(K177,$F$2:$F$5001,0))</f>
        <v/>
      </c>
      <c r="M177" s="0" t="str">
        <f aca="false">IF(I177="","",INDEX(הגדרות!$A$2:$A$21,MOD(I177+הגדרות!$E$9,הגדרות!$E$6)+1))</f>
        <v/>
      </c>
    </row>
    <row r="178" customFormat="false" ht="15" hidden="false" customHeight="false" outlineLevel="0" collapsed="false">
      <c r="A178" s="0" t="str">
        <f aca="false">IF('הדבקת לידים'!A178="","",IF(ISNUMBER('הדבקת לידים'!A178),IF(הגדרות!$E$2&gt;0,TEXT('הדבקת לידים'!A178,REPT("0",הגדרות!$E$2)),TEXT('הדבקת לידים'!A178,"0")),TRIM('הדבקת לידים'!A178)))</f>
        <v/>
      </c>
      <c r="B178" s="0" t="str">
        <f aca="false">IF('הדבקת לידים'!B178="","",IF(ISNUMBER('הדבקת לידים'!B178),IF(הגדרות!$E$3&gt;0,TEXT('הדבקת לידים'!B178,REPT("0",הגדרות!$E$3)),TEXT('הדבקת לידים'!B178,"0")),TRIM('הדבקת לידים'!B178)))</f>
        <v/>
      </c>
      <c r="C178" s="0" t="n">
        <f aca="false">IF(OR(A178&lt;&gt;"",B178&lt;&gt;""),1,0)</f>
        <v>0</v>
      </c>
      <c r="D178" s="0" t="str">
        <f aca="false">IF(C178=1,MOD(ABS(SIN(ROW()*12.9898+'הדבקת לידים'!$F$2*78.233+IFERROR(--RIGHT(A178,6),LEN(A178))*0.0137+IFERROR(--RIGHT(B178,6),LEN(B178))*0.0071))*43758.5453,1),"")</f>
        <v/>
      </c>
      <c r="E178" s="0" t="str">
        <f aca="false">IF(C178=1,INT(MOD(ABS(SIN(D178*7919.123+ROW()*0.618+'הדבקת לידים'!$F$2*1.3))*43758.5453,1)*1000000)*10000+ROW(),"")</f>
        <v/>
      </c>
      <c r="F178" s="0" t="str">
        <f aca="false">IF(E178="","",RANK(E178,$E$2:$E$5001,1))</f>
        <v/>
      </c>
      <c r="G178" s="0" t="n">
        <f aca="false">IF(A178="",0,IF(SUMPRODUCT(--($A$2:$A$5001=A178))&gt;1,1,0))</f>
        <v>0</v>
      </c>
      <c r="H178" s="0" t="n">
        <f aca="false">ROW()-1</f>
        <v>177</v>
      </c>
      <c r="I178" s="0" t="str">
        <f aca="false">IF(OR(הגדרות!$E$6=0,H178&gt;הגדרות!$E$5),"",IF(H178-1&lt;הגדרות!$E$8*(הגדרות!$E$7+1),INT((H178-1)/(הגדרות!$E$7+1)),הגדרות!$E$8+INT((H178-1-הגדרות!$E$8*(הגדרות!$E$7+1))/הגדרות!$E$7)))</f>
        <v/>
      </c>
      <c r="J178" s="0" t="str">
        <f aca="false">IF(I178="","",IF(H178-1&lt;הגדרות!$E$8*(הגדרות!$E$7+1),MOD(H178-1,הגדרות!$E$7+1),MOD(H178-1-הגדרות!$E$8*(הגדרות!$E$7+1),הגדרות!$E$7)))</f>
        <v/>
      </c>
      <c r="K178" s="0" t="str">
        <f aca="false">IF(I178="","",J178*הגדרות!$E$6+I178+1)</f>
        <v/>
      </c>
      <c r="L178" s="0" t="str">
        <f aca="false">IF(K178="","",MATCH(K178,$F$2:$F$5001,0))</f>
        <v/>
      </c>
      <c r="M178" s="0" t="str">
        <f aca="false">IF(I178="","",INDEX(הגדרות!$A$2:$A$21,MOD(I178+הגדרות!$E$9,הגדרות!$E$6)+1))</f>
        <v/>
      </c>
    </row>
    <row r="179" customFormat="false" ht="15" hidden="false" customHeight="false" outlineLevel="0" collapsed="false">
      <c r="A179" s="0" t="str">
        <f aca="false">IF('הדבקת לידים'!A179="","",IF(ISNUMBER('הדבקת לידים'!A179),IF(הגדרות!$E$2&gt;0,TEXT('הדבקת לידים'!A179,REPT("0",הגדרות!$E$2)),TEXT('הדבקת לידים'!A179,"0")),TRIM('הדבקת לידים'!A179)))</f>
        <v/>
      </c>
      <c r="B179" s="0" t="str">
        <f aca="false">IF('הדבקת לידים'!B179="","",IF(ISNUMBER('הדבקת לידים'!B179),IF(הגדרות!$E$3&gt;0,TEXT('הדבקת לידים'!B179,REPT("0",הגדרות!$E$3)),TEXT('הדבקת לידים'!B179,"0")),TRIM('הדבקת לידים'!B179)))</f>
        <v/>
      </c>
      <c r="C179" s="0" t="n">
        <f aca="false">IF(OR(A179&lt;&gt;"",B179&lt;&gt;""),1,0)</f>
        <v>0</v>
      </c>
      <c r="D179" s="0" t="str">
        <f aca="false">IF(C179=1,MOD(ABS(SIN(ROW()*12.9898+'הדבקת לידים'!$F$2*78.233+IFERROR(--RIGHT(A179,6),LEN(A179))*0.0137+IFERROR(--RIGHT(B179,6),LEN(B179))*0.0071))*43758.5453,1),"")</f>
        <v/>
      </c>
      <c r="E179" s="0" t="str">
        <f aca="false">IF(C179=1,INT(MOD(ABS(SIN(D179*7919.123+ROW()*0.618+'הדבקת לידים'!$F$2*1.3))*43758.5453,1)*1000000)*10000+ROW(),"")</f>
        <v/>
      </c>
      <c r="F179" s="0" t="str">
        <f aca="false">IF(E179="","",RANK(E179,$E$2:$E$5001,1))</f>
        <v/>
      </c>
      <c r="G179" s="0" t="n">
        <f aca="false">IF(A179="",0,IF(SUMPRODUCT(--($A$2:$A$5001=A179))&gt;1,1,0))</f>
        <v>0</v>
      </c>
      <c r="H179" s="0" t="n">
        <f aca="false">ROW()-1</f>
        <v>178</v>
      </c>
      <c r="I179" s="0" t="str">
        <f aca="false">IF(OR(הגדרות!$E$6=0,H179&gt;הגדרות!$E$5),"",IF(H179-1&lt;הגדרות!$E$8*(הגדרות!$E$7+1),INT((H179-1)/(הגדרות!$E$7+1)),הגדרות!$E$8+INT((H179-1-הגדרות!$E$8*(הגדרות!$E$7+1))/הגדרות!$E$7)))</f>
        <v/>
      </c>
      <c r="J179" s="0" t="str">
        <f aca="false">IF(I179="","",IF(H179-1&lt;הגדרות!$E$8*(הגדרות!$E$7+1),MOD(H179-1,הגדרות!$E$7+1),MOD(H179-1-הגדרות!$E$8*(הגדרות!$E$7+1),הגדרות!$E$7)))</f>
        <v/>
      </c>
      <c r="K179" s="0" t="str">
        <f aca="false">IF(I179="","",J179*הגדרות!$E$6+I179+1)</f>
        <v/>
      </c>
      <c r="L179" s="0" t="str">
        <f aca="false">IF(K179="","",MATCH(K179,$F$2:$F$5001,0))</f>
        <v/>
      </c>
      <c r="M179" s="0" t="str">
        <f aca="false">IF(I179="","",INDEX(הגדרות!$A$2:$A$21,MOD(I179+הגדרות!$E$9,הגדרות!$E$6)+1))</f>
        <v/>
      </c>
    </row>
    <row r="180" customFormat="false" ht="15" hidden="false" customHeight="false" outlineLevel="0" collapsed="false">
      <c r="A180" s="0" t="str">
        <f aca="false">IF('הדבקת לידים'!A180="","",IF(ISNUMBER('הדבקת לידים'!A180),IF(הגדרות!$E$2&gt;0,TEXT('הדבקת לידים'!A180,REPT("0",הגדרות!$E$2)),TEXT('הדבקת לידים'!A180,"0")),TRIM('הדבקת לידים'!A180)))</f>
        <v/>
      </c>
      <c r="B180" s="0" t="str">
        <f aca="false">IF('הדבקת לידים'!B180="","",IF(ISNUMBER('הדבקת לידים'!B180),IF(הגדרות!$E$3&gt;0,TEXT('הדבקת לידים'!B180,REPT("0",הגדרות!$E$3)),TEXT('הדבקת לידים'!B180,"0")),TRIM('הדבקת לידים'!B180)))</f>
        <v/>
      </c>
      <c r="C180" s="0" t="n">
        <f aca="false">IF(OR(A180&lt;&gt;"",B180&lt;&gt;""),1,0)</f>
        <v>0</v>
      </c>
      <c r="D180" s="0" t="str">
        <f aca="false">IF(C180=1,MOD(ABS(SIN(ROW()*12.9898+'הדבקת לידים'!$F$2*78.233+IFERROR(--RIGHT(A180,6),LEN(A180))*0.0137+IFERROR(--RIGHT(B180,6),LEN(B180))*0.0071))*43758.5453,1),"")</f>
        <v/>
      </c>
      <c r="E180" s="0" t="str">
        <f aca="false">IF(C180=1,INT(MOD(ABS(SIN(D180*7919.123+ROW()*0.618+'הדבקת לידים'!$F$2*1.3))*43758.5453,1)*1000000)*10000+ROW(),"")</f>
        <v/>
      </c>
      <c r="F180" s="0" t="str">
        <f aca="false">IF(E180="","",RANK(E180,$E$2:$E$5001,1))</f>
        <v/>
      </c>
      <c r="G180" s="0" t="n">
        <f aca="false">IF(A180="",0,IF(SUMPRODUCT(--($A$2:$A$5001=A180))&gt;1,1,0))</f>
        <v>0</v>
      </c>
      <c r="H180" s="0" t="n">
        <f aca="false">ROW()-1</f>
        <v>179</v>
      </c>
      <c r="I180" s="0" t="str">
        <f aca="false">IF(OR(הגדרות!$E$6=0,H180&gt;הגדרות!$E$5),"",IF(H180-1&lt;הגדרות!$E$8*(הגדרות!$E$7+1),INT((H180-1)/(הגדרות!$E$7+1)),הגדרות!$E$8+INT((H180-1-הגדרות!$E$8*(הגדרות!$E$7+1))/הגדרות!$E$7)))</f>
        <v/>
      </c>
      <c r="J180" s="0" t="str">
        <f aca="false">IF(I180="","",IF(H180-1&lt;הגדרות!$E$8*(הגדרות!$E$7+1),MOD(H180-1,הגדרות!$E$7+1),MOD(H180-1-הגדרות!$E$8*(הגדרות!$E$7+1),הגדרות!$E$7)))</f>
        <v/>
      </c>
      <c r="K180" s="0" t="str">
        <f aca="false">IF(I180="","",J180*הגדרות!$E$6+I180+1)</f>
        <v/>
      </c>
      <c r="L180" s="0" t="str">
        <f aca="false">IF(K180="","",MATCH(K180,$F$2:$F$5001,0))</f>
        <v/>
      </c>
      <c r="M180" s="0" t="str">
        <f aca="false">IF(I180="","",INDEX(הגדרות!$A$2:$A$21,MOD(I180+הגדרות!$E$9,הגדרות!$E$6)+1))</f>
        <v/>
      </c>
    </row>
    <row r="181" customFormat="false" ht="15" hidden="false" customHeight="false" outlineLevel="0" collapsed="false">
      <c r="A181" s="0" t="str">
        <f aca="false">IF('הדבקת לידים'!A181="","",IF(ISNUMBER('הדבקת לידים'!A181),IF(הגדרות!$E$2&gt;0,TEXT('הדבקת לידים'!A181,REPT("0",הגדרות!$E$2)),TEXT('הדבקת לידים'!A181,"0")),TRIM('הדבקת לידים'!A181)))</f>
        <v/>
      </c>
      <c r="B181" s="0" t="str">
        <f aca="false">IF('הדבקת לידים'!B181="","",IF(ISNUMBER('הדבקת לידים'!B181),IF(הגדרות!$E$3&gt;0,TEXT('הדבקת לידים'!B181,REPT("0",הגדרות!$E$3)),TEXT('הדבקת לידים'!B181,"0")),TRIM('הדבקת לידים'!B181)))</f>
        <v/>
      </c>
      <c r="C181" s="0" t="n">
        <f aca="false">IF(OR(A181&lt;&gt;"",B181&lt;&gt;""),1,0)</f>
        <v>0</v>
      </c>
      <c r="D181" s="0" t="str">
        <f aca="false">IF(C181=1,MOD(ABS(SIN(ROW()*12.9898+'הדבקת לידים'!$F$2*78.233+IFERROR(--RIGHT(A181,6),LEN(A181))*0.0137+IFERROR(--RIGHT(B181,6),LEN(B181))*0.0071))*43758.5453,1),"")</f>
        <v/>
      </c>
      <c r="E181" s="0" t="str">
        <f aca="false">IF(C181=1,INT(MOD(ABS(SIN(D181*7919.123+ROW()*0.618+'הדבקת לידים'!$F$2*1.3))*43758.5453,1)*1000000)*10000+ROW(),"")</f>
        <v/>
      </c>
      <c r="F181" s="0" t="str">
        <f aca="false">IF(E181="","",RANK(E181,$E$2:$E$5001,1))</f>
        <v/>
      </c>
      <c r="G181" s="0" t="n">
        <f aca="false">IF(A181="",0,IF(SUMPRODUCT(--($A$2:$A$5001=A181))&gt;1,1,0))</f>
        <v>0</v>
      </c>
      <c r="H181" s="0" t="n">
        <f aca="false">ROW()-1</f>
        <v>180</v>
      </c>
      <c r="I181" s="0" t="str">
        <f aca="false">IF(OR(הגדרות!$E$6=0,H181&gt;הגדרות!$E$5),"",IF(H181-1&lt;הגדרות!$E$8*(הגדרות!$E$7+1),INT((H181-1)/(הגדרות!$E$7+1)),הגדרות!$E$8+INT((H181-1-הגדרות!$E$8*(הגדרות!$E$7+1))/הגדרות!$E$7)))</f>
        <v/>
      </c>
      <c r="J181" s="0" t="str">
        <f aca="false">IF(I181="","",IF(H181-1&lt;הגדרות!$E$8*(הגדרות!$E$7+1),MOD(H181-1,הגדרות!$E$7+1),MOD(H181-1-הגדרות!$E$8*(הגדרות!$E$7+1),הגדרות!$E$7)))</f>
        <v/>
      </c>
      <c r="K181" s="0" t="str">
        <f aca="false">IF(I181="","",J181*הגדרות!$E$6+I181+1)</f>
        <v/>
      </c>
      <c r="L181" s="0" t="str">
        <f aca="false">IF(K181="","",MATCH(K181,$F$2:$F$5001,0))</f>
        <v/>
      </c>
      <c r="M181" s="0" t="str">
        <f aca="false">IF(I181="","",INDEX(הגדרות!$A$2:$A$21,MOD(I181+הגדרות!$E$9,הגדרות!$E$6)+1))</f>
        <v/>
      </c>
    </row>
    <row r="182" customFormat="false" ht="15" hidden="false" customHeight="false" outlineLevel="0" collapsed="false">
      <c r="A182" s="0" t="str">
        <f aca="false">IF('הדבקת לידים'!A182="","",IF(ISNUMBER('הדבקת לידים'!A182),IF(הגדרות!$E$2&gt;0,TEXT('הדבקת לידים'!A182,REPT("0",הגדרות!$E$2)),TEXT('הדבקת לידים'!A182,"0")),TRIM('הדבקת לידים'!A182)))</f>
        <v/>
      </c>
      <c r="B182" s="0" t="str">
        <f aca="false">IF('הדבקת לידים'!B182="","",IF(ISNUMBER('הדבקת לידים'!B182),IF(הגדרות!$E$3&gt;0,TEXT('הדבקת לידים'!B182,REPT("0",הגדרות!$E$3)),TEXT('הדבקת לידים'!B182,"0")),TRIM('הדבקת לידים'!B182)))</f>
        <v/>
      </c>
      <c r="C182" s="0" t="n">
        <f aca="false">IF(OR(A182&lt;&gt;"",B182&lt;&gt;""),1,0)</f>
        <v>0</v>
      </c>
      <c r="D182" s="0" t="str">
        <f aca="false">IF(C182=1,MOD(ABS(SIN(ROW()*12.9898+'הדבקת לידים'!$F$2*78.233+IFERROR(--RIGHT(A182,6),LEN(A182))*0.0137+IFERROR(--RIGHT(B182,6),LEN(B182))*0.0071))*43758.5453,1),"")</f>
        <v/>
      </c>
      <c r="E182" s="0" t="str">
        <f aca="false">IF(C182=1,INT(MOD(ABS(SIN(D182*7919.123+ROW()*0.618+'הדבקת לידים'!$F$2*1.3))*43758.5453,1)*1000000)*10000+ROW(),"")</f>
        <v/>
      </c>
      <c r="F182" s="0" t="str">
        <f aca="false">IF(E182="","",RANK(E182,$E$2:$E$5001,1))</f>
        <v/>
      </c>
      <c r="G182" s="0" t="n">
        <f aca="false">IF(A182="",0,IF(SUMPRODUCT(--($A$2:$A$5001=A182))&gt;1,1,0))</f>
        <v>0</v>
      </c>
      <c r="H182" s="0" t="n">
        <f aca="false">ROW()-1</f>
        <v>181</v>
      </c>
      <c r="I182" s="0" t="str">
        <f aca="false">IF(OR(הגדרות!$E$6=0,H182&gt;הגדרות!$E$5),"",IF(H182-1&lt;הגדרות!$E$8*(הגדרות!$E$7+1),INT((H182-1)/(הגדרות!$E$7+1)),הגדרות!$E$8+INT((H182-1-הגדרות!$E$8*(הגדרות!$E$7+1))/הגדרות!$E$7)))</f>
        <v/>
      </c>
      <c r="J182" s="0" t="str">
        <f aca="false">IF(I182="","",IF(H182-1&lt;הגדרות!$E$8*(הגדרות!$E$7+1),MOD(H182-1,הגדרות!$E$7+1),MOD(H182-1-הגדרות!$E$8*(הגדרות!$E$7+1),הגדרות!$E$7)))</f>
        <v/>
      </c>
      <c r="K182" s="0" t="str">
        <f aca="false">IF(I182="","",J182*הגדרות!$E$6+I182+1)</f>
        <v/>
      </c>
      <c r="L182" s="0" t="str">
        <f aca="false">IF(K182="","",MATCH(K182,$F$2:$F$5001,0))</f>
        <v/>
      </c>
      <c r="M182" s="0" t="str">
        <f aca="false">IF(I182="","",INDEX(הגדרות!$A$2:$A$21,MOD(I182+הגדרות!$E$9,הגדרות!$E$6)+1))</f>
        <v/>
      </c>
    </row>
    <row r="183" customFormat="false" ht="15" hidden="false" customHeight="false" outlineLevel="0" collapsed="false">
      <c r="A183" s="0" t="str">
        <f aca="false">IF('הדבקת לידים'!A183="","",IF(ISNUMBER('הדבקת לידים'!A183),IF(הגדרות!$E$2&gt;0,TEXT('הדבקת לידים'!A183,REPT("0",הגדרות!$E$2)),TEXT('הדבקת לידים'!A183,"0")),TRIM('הדבקת לידים'!A183)))</f>
        <v/>
      </c>
      <c r="B183" s="0" t="str">
        <f aca="false">IF('הדבקת לידים'!B183="","",IF(ISNUMBER('הדבקת לידים'!B183),IF(הגדרות!$E$3&gt;0,TEXT('הדבקת לידים'!B183,REPT("0",הגדרות!$E$3)),TEXT('הדבקת לידים'!B183,"0")),TRIM('הדבקת לידים'!B183)))</f>
        <v/>
      </c>
      <c r="C183" s="0" t="n">
        <f aca="false">IF(OR(A183&lt;&gt;"",B183&lt;&gt;""),1,0)</f>
        <v>0</v>
      </c>
      <c r="D183" s="0" t="str">
        <f aca="false">IF(C183=1,MOD(ABS(SIN(ROW()*12.9898+'הדבקת לידים'!$F$2*78.233+IFERROR(--RIGHT(A183,6),LEN(A183))*0.0137+IFERROR(--RIGHT(B183,6),LEN(B183))*0.0071))*43758.5453,1),"")</f>
        <v/>
      </c>
      <c r="E183" s="0" t="str">
        <f aca="false">IF(C183=1,INT(MOD(ABS(SIN(D183*7919.123+ROW()*0.618+'הדבקת לידים'!$F$2*1.3))*43758.5453,1)*1000000)*10000+ROW(),"")</f>
        <v/>
      </c>
      <c r="F183" s="0" t="str">
        <f aca="false">IF(E183="","",RANK(E183,$E$2:$E$5001,1))</f>
        <v/>
      </c>
      <c r="G183" s="0" t="n">
        <f aca="false">IF(A183="",0,IF(SUMPRODUCT(--($A$2:$A$5001=A183))&gt;1,1,0))</f>
        <v>0</v>
      </c>
      <c r="H183" s="0" t="n">
        <f aca="false">ROW()-1</f>
        <v>182</v>
      </c>
      <c r="I183" s="0" t="str">
        <f aca="false">IF(OR(הגדרות!$E$6=0,H183&gt;הגדרות!$E$5),"",IF(H183-1&lt;הגדרות!$E$8*(הגדרות!$E$7+1),INT((H183-1)/(הגדרות!$E$7+1)),הגדרות!$E$8+INT((H183-1-הגדרות!$E$8*(הגדרות!$E$7+1))/הגדרות!$E$7)))</f>
        <v/>
      </c>
      <c r="J183" s="0" t="str">
        <f aca="false">IF(I183="","",IF(H183-1&lt;הגדרות!$E$8*(הגדרות!$E$7+1),MOD(H183-1,הגדרות!$E$7+1),MOD(H183-1-הגדרות!$E$8*(הגדרות!$E$7+1),הגדרות!$E$7)))</f>
        <v/>
      </c>
      <c r="K183" s="0" t="str">
        <f aca="false">IF(I183="","",J183*הגדרות!$E$6+I183+1)</f>
        <v/>
      </c>
      <c r="L183" s="0" t="str">
        <f aca="false">IF(K183="","",MATCH(K183,$F$2:$F$5001,0))</f>
        <v/>
      </c>
      <c r="M183" s="0" t="str">
        <f aca="false">IF(I183="","",INDEX(הגדרות!$A$2:$A$21,MOD(I183+הגדרות!$E$9,הגדרות!$E$6)+1))</f>
        <v/>
      </c>
    </row>
    <row r="184" customFormat="false" ht="15" hidden="false" customHeight="false" outlineLevel="0" collapsed="false">
      <c r="A184" s="0" t="str">
        <f aca="false">IF('הדבקת לידים'!A184="","",IF(ISNUMBER('הדבקת לידים'!A184),IF(הגדרות!$E$2&gt;0,TEXT('הדבקת לידים'!A184,REPT("0",הגדרות!$E$2)),TEXT('הדבקת לידים'!A184,"0")),TRIM('הדבקת לידים'!A184)))</f>
        <v/>
      </c>
      <c r="B184" s="0" t="str">
        <f aca="false">IF('הדבקת לידים'!B184="","",IF(ISNUMBER('הדבקת לידים'!B184),IF(הגדרות!$E$3&gt;0,TEXT('הדבקת לידים'!B184,REPT("0",הגדרות!$E$3)),TEXT('הדבקת לידים'!B184,"0")),TRIM('הדבקת לידים'!B184)))</f>
        <v/>
      </c>
      <c r="C184" s="0" t="n">
        <f aca="false">IF(OR(A184&lt;&gt;"",B184&lt;&gt;""),1,0)</f>
        <v>0</v>
      </c>
      <c r="D184" s="0" t="str">
        <f aca="false">IF(C184=1,MOD(ABS(SIN(ROW()*12.9898+'הדבקת לידים'!$F$2*78.233+IFERROR(--RIGHT(A184,6),LEN(A184))*0.0137+IFERROR(--RIGHT(B184,6),LEN(B184))*0.0071))*43758.5453,1),"")</f>
        <v/>
      </c>
      <c r="E184" s="0" t="str">
        <f aca="false">IF(C184=1,INT(MOD(ABS(SIN(D184*7919.123+ROW()*0.618+'הדבקת לידים'!$F$2*1.3))*43758.5453,1)*1000000)*10000+ROW(),"")</f>
        <v/>
      </c>
      <c r="F184" s="0" t="str">
        <f aca="false">IF(E184="","",RANK(E184,$E$2:$E$5001,1))</f>
        <v/>
      </c>
      <c r="G184" s="0" t="n">
        <f aca="false">IF(A184="",0,IF(SUMPRODUCT(--($A$2:$A$5001=A184))&gt;1,1,0))</f>
        <v>0</v>
      </c>
      <c r="H184" s="0" t="n">
        <f aca="false">ROW()-1</f>
        <v>183</v>
      </c>
      <c r="I184" s="0" t="str">
        <f aca="false">IF(OR(הגדרות!$E$6=0,H184&gt;הגדרות!$E$5),"",IF(H184-1&lt;הגדרות!$E$8*(הגדרות!$E$7+1),INT((H184-1)/(הגדרות!$E$7+1)),הגדרות!$E$8+INT((H184-1-הגדרות!$E$8*(הגדרות!$E$7+1))/הגדרות!$E$7)))</f>
        <v/>
      </c>
      <c r="J184" s="0" t="str">
        <f aca="false">IF(I184="","",IF(H184-1&lt;הגדרות!$E$8*(הגדרות!$E$7+1),MOD(H184-1,הגדרות!$E$7+1),MOD(H184-1-הגדרות!$E$8*(הגדרות!$E$7+1),הגדרות!$E$7)))</f>
        <v/>
      </c>
      <c r="K184" s="0" t="str">
        <f aca="false">IF(I184="","",J184*הגדרות!$E$6+I184+1)</f>
        <v/>
      </c>
      <c r="L184" s="0" t="str">
        <f aca="false">IF(K184="","",MATCH(K184,$F$2:$F$5001,0))</f>
        <v/>
      </c>
      <c r="M184" s="0" t="str">
        <f aca="false">IF(I184="","",INDEX(הגדרות!$A$2:$A$21,MOD(I184+הגדרות!$E$9,הגדרות!$E$6)+1))</f>
        <v/>
      </c>
    </row>
    <row r="185" customFormat="false" ht="15" hidden="false" customHeight="false" outlineLevel="0" collapsed="false">
      <c r="A185" s="0" t="str">
        <f aca="false">IF('הדבקת לידים'!A185="","",IF(ISNUMBER('הדבקת לידים'!A185),IF(הגדרות!$E$2&gt;0,TEXT('הדבקת לידים'!A185,REPT("0",הגדרות!$E$2)),TEXT('הדבקת לידים'!A185,"0")),TRIM('הדבקת לידים'!A185)))</f>
        <v/>
      </c>
      <c r="B185" s="0" t="str">
        <f aca="false">IF('הדבקת לידים'!B185="","",IF(ISNUMBER('הדבקת לידים'!B185),IF(הגדרות!$E$3&gt;0,TEXT('הדבקת לידים'!B185,REPT("0",הגדרות!$E$3)),TEXT('הדבקת לידים'!B185,"0")),TRIM('הדבקת לידים'!B185)))</f>
        <v/>
      </c>
      <c r="C185" s="0" t="n">
        <f aca="false">IF(OR(A185&lt;&gt;"",B185&lt;&gt;""),1,0)</f>
        <v>0</v>
      </c>
      <c r="D185" s="0" t="str">
        <f aca="false">IF(C185=1,MOD(ABS(SIN(ROW()*12.9898+'הדבקת לידים'!$F$2*78.233+IFERROR(--RIGHT(A185,6),LEN(A185))*0.0137+IFERROR(--RIGHT(B185,6),LEN(B185))*0.0071))*43758.5453,1),"")</f>
        <v/>
      </c>
      <c r="E185" s="0" t="str">
        <f aca="false">IF(C185=1,INT(MOD(ABS(SIN(D185*7919.123+ROW()*0.618+'הדבקת לידים'!$F$2*1.3))*43758.5453,1)*1000000)*10000+ROW(),"")</f>
        <v/>
      </c>
      <c r="F185" s="0" t="str">
        <f aca="false">IF(E185="","",RANK(E185,$E$2:$E$5001,1))</f>
        <v/>
      </c>
      <c r="G185" s="0" t="n">
        <f aca="false">IF(A185="",0,IF(SUMPRODUCT(--($A$2:$A$5001=A185))&gt;1,1,0))</f>
        <v>0</v>
      </c>
      <c r="H185" s="0" t="n">
        <f aca="false">ROW()-1</f>
        <v>184</v>
      </c>
      <c r="I185" s="0" t="str">
        <f aca="false">IF(OR(הגדרות!$E$6=0,H185&gt;הגדרות!$E$5),"",IF(H185-1&lt;הגדרות!$E$8*(הגדרות!$E$7+1),INT((H185-1)/(הגדרות!$E$7+1)),הגדרות!$E$8+INT((H185-1-הגדרות!$E$8*(הגדרות!$E$7+1))/הגדרות!$E$7)))</f>
        <v/>
      </c>
      <c r="J185" s="0" t="str">
        <f aca="false">IF(I185="","",IF(H185-1&lt;הגדרות!$E$8*(הגדרות!$E$7+1),MOD(H185-1,הגדרות!$E$7+1),MOD(H185-1-הגדרות!$E$8*(הגדרות!$E$7+1),הגדרות!$E$7)))</f>
        <v/>
      </c>
      <c r="K185" s="0" t="str">
        <f aca="false">IF(I185="","",J185*הגדרות!$E$6+I185+1)</f>
        <v/>
      </c>
      <c r="L185" s="0" t="str">
        <f aca="false">IF(K185="","",MATCH(K185,$F$2:$F$5001,0))</f>
        <v/>
      </c>
      <c r="M185" s="0" t="str">
        <f aca="false">IF(I185="","",INDEX(הגדרות!$A$2:$A$21,MOD(I185+הגדרות!$E$9,הגדרות!$E$6)+1))</f>
        <v/>
      </c>
    </row>
    <row r="186" customFormat="false" ht="15" hidden="false" customHeight="false" outlineLevel="0" collapsed="false">
      <c r="A186" s="0" t="str">
        <f aca="false">IF('הדבקת לידים'!A186="","",IF(ISNUMBER('הדבקת לידים'!A186),IF(הגדרות!$E$2&gt;0,TEXT('הדבקת לידים'!A186,REPT("0",הגדרות!$E$2)),TEXT('הדבקת לידים'!A186,"0")),TRIM('הדבקת לידים'!A186)))</f>
        <v/>
      </c>
      <c r="B186" s="0" t="str">
        <f aca="false">IF('הדבקת לידים'!B186="","",IF(ISNUMBER('הדבקת לידים'!B186),IF(הגדרות!$E$3&gt;0,TEXT('הדבקת לידים'!B186,REPT("0",הגדרות!$E$3)),TEXT('הדבקת לידים'!B186,"0")),TRIM('הדבקת לידים'!B186)))</f>
        <v/>
      </c>
      <c r="C186" s="0" t="n">
        <f aca="false">IF(OR(A186&lt;&gt;"",B186&lt;&gt;""),1,0)</f>
        <v>0</v>
      </c>
      <c r="D186" s="0" t="str">
        <f aca="false">IF(C186=1,MOD(ABS(SIN(ROW()*12.9898+'הדבקת לידים'!$F$2*78.233+IFERROR(--RIGHT(A186,6),LEN(A186))*0.0137+IFERROR(--RIGHT(B186,6),LEN(B186))*0.0071))*43758.5453,1),"")</f>
        <v/>
      </c>
      <c r="E186" s="0" t="str">
        <f aca="false">IF(C186=1,INT(MOD(ABS(SIN(D186*7919.123+ROW()*0.618+'הדבקת לידים'!$F$2*1.3))*43758.5453,1)*1000000)*10000+ROW(),"")</f>
        <v/>
      </c>
      <c r="F186" s="0" t="str">
        <f aca="false">IF(E186="","",RANK(E186,$E$2:$E$5001,1))</f>
        <v/>
      </c>
      <c r="G186" s="0" t="n">
        <f aca="false">IF(A186="",0,IF(SUMPRODUCT(--($A$2:$A$5001=A186))&gt;1,1,0))</f>
        <v>0</v>
      </c>
      <c r="H186" s="0" t="n">
        <f aca="false">ROW()-1</f>
        <v>185</v>
      </c>
      <c r="I186" s="0" t="str">
        <f aca="false">IF(OR(הגדרות!$E$6=0,H186&gt;הגדרות!$E$5),"",IF(H186-1&lt;הגדרות!$E$8*(הגדרות!$E$7+1),INT((H186-1)/(הגדרות!$E$7+1)),הגדרות!$E$8+INT((H186-1-הגדרות!$E$8*(הגדרות!$E$7+1))/הגדרות!$E$7)))</f>
        <v/>
      </c>
      <c r="J186" s="0" t="str">
        <f aca="false">IF(I186="","",IF(H186-1&lt;הגדרות!$E$8*(הגדרות!$E$7+1),MOD(H186-1,הגדרות!$E$7+1),MOD(H186-1-הגדרות!$E$8*(הגדרות!$E$7+1),הגדרות!$E$7)))</f>
        <v/>
      </c>
      <c r="K186" s="0" t="str">
        <f aca="false">IF(I186="","",J186*הגדרות!$E$6+I186+1)</f>
        <v/>
      </c>
      <c r="L186" s="0" t="str">
        <f aca="false">IF(K186="","",MATCH(K186,$F$2:$F$5001,0))</f>
        <v/>
      </c>
      <c r="M186" s="0" t="str">
        <f aca="false">IF(I186="","",INDEX(הגדרות!$A$2:$A$21,MOD(I186+הגדרות!$E$9,הגדרות!$E$6)+1))</f>
        <v/>
      </c>
    </row>
    <row r="187" customFormat="false" ht="15" hidden="false" customHeight="false" outlineLevel="0" collapsed="false">
      <c r="A187" s="0" t="str">
        <f aca="false">IF('הדבקת לידים'!A187="","",IF(ISNUMBER('הדבקת לידים'!A187),IF(הגדרות!$E$2&gt;0,TEXT('הדבקת לידים'!A187,REPT("0",הגדרות!$E$2)),TEXT('הדבקת לידים'!A187,"0")),TRIM('הדבקת לידים'!A187)))</f>
        <v/>
      </c>
      <c r="B187" s="0" t="str">
        <f aca="false">IF('הדבקת לידים'!B187="","",IF(ISNUMBER('הדבקת לידים'!B187),IF(הגדרות!$E$3&gt;0,TEXT('הדבקת לידים'!B187,REPT("0",הגדרות!$E$3)),TEXT('הדבקת לידים'!B187,"0")),TRIM('הדבקת לידים'!B187)))</f>
        <v/>
      </c>
      <c r="C187" s="0" t="n">
        <f aca="false">IF(OR(A187&lt;&gt;"",B187&lt;&gt;""),1,0)</f>
        <v>0</v>
      </c>
      <c r="D187" s="0" t="str">
        <f aca="false">IF(C187=1,MOD(ABS(SIN(ROW()*12.9898+'הדבקת לידים'!$F$2*78.233+IFERROR(--RIGHT(A187,6),LEN(A187))*0.0137+IFERROR(--RIGHT(B187,6),LEN(B187))*0.0071))*43758.5453,1),"")</f>
        <v/>
      </c>
      <c r="E187" s="0" t="str">
        <f aca="false">IF(C187=1,INT(MOD(ABS(SIN(D187*7919.123+ROW()*0.618+'הדבקת לידים'!$F$2*1.3))*43758.5453,1)*1000000)*10000+ROW(),"")</f>
        <v/>
      </c>
      <c r="F187" s="0" t="str">
        <f aca="false">IF(E187="","",RANK(E187,$E$2:$E$5001,1))</f>
        <v/>
      </c>
      <c r="G187" s="0" t="n">
        <f aca="false">IF(A187="",0,IF(SUMPRODUCT(--($A$2:$A$5001=A187))&gt;1,1,0))</f>
        <v>0</v>
      </c>
      <c r="H187" s="0" t="n">
        <f aca="false">ROW()-1</f>
        <v>186</v>
      </c>
      <c r="I187" s="0" t="str">
        <f aca="false">IF(OR(הגדרות!$E$6=0,H187&gt;הגדרות!$E$5),"",IF(H187-1&lt;הגדרות!$E$8*(הגדרות!$E$7+1),INT((H187-1)/(הגדרות!$E$7+1)),הגדרות!$E$8+INT((H187-1-הגדרות!$E$8*(הגדרות!$E$7+1))/הגדרות!$E$7)))</f>
        <v/>
      </c>
      <c r="J187" s="0" t="str">
        <f aca="false">IF(I187="","",IF(H187-1&lt;הגדרות!$E$8*(הגדרות!$E$7+1),MOD(H187-1,הגדרות!$E$7+1),MOD(H187-1-הגדרות!$E$8*(הגדרות!$E$7+1),הגדרות!$E$7)))</f>
        <v/>
      </c>
      <c r="K187" s="0" t="str">
        <f aca="false">IF(I187="","",J187*הגדרות!$E$6+I187+1)</f>
        <v/>
      </c>
      <c r="L187" s="0" t="str">
        <f aca="false">IF(K187="","",MATCH(K187,$F$2:$F$5001,0))</f>
        <v/>
      </c>
      <c r="M187" s="0" t="str">
        <f aca="false">IF(I187="","",INDEX(הגדרות!$A$2:$A$21,MOD(I187+הגדרות!$E$9,הגדרות!$E$6)+1))</f>
        <v/>
      </c>
    </row>
    <row r="188" customFormat="false" ht="15" hidden="false" customHeight="false" outlineLevel="0" collapsed="false">
      <c r="A188" s="0" t="str">
        <f aca="false">IF('הדבקת לידים'!A188="","",IF(ISNUMBER('הדבקת לידים'!A188),IF(הגדרות!$E$2&gt;0,TEXT('הדבקת לידים'!A188,REPT("0",הגדרות!$E$2)),TEXT('הדבקת לידים'!A188,"0")),TRIM('הדבקת לידים'!A188)))</f>
        <v/>
      </c>
      <c r="B188" s="0" t="str">
        <f aca="false">IF('הדבקת לידים'!B188="","",IF(ISNUMBER('הדבקת לידים'!B188),IF(הגדרות!$E$3&gt;0,TEXT('הדבקת לידים'!B188,REPT("0",הגדרות!$E$3)),TEXT('הדבקת לידים'!B188,"0")),TRIM('הדבקת לידים'!B188)))</f>
        <v/>
      </c>
      <c r="C188" s="0" t="n">
        <f aca="false">IF(OR(A188&lt;&gt;"",B188&lt;&gt;""),1,0)</f>
        <v>0</v>
      </c>
      <c r="D188" s="0" t="str">
        <f aca="false">IF(C188=1,MOD(ABS(SIN(ROW()*12.9898+'הדבקת לידים'!$F$2*78.233+IFERROR(--RIGHT(A188,6),LEN(A188))*0.0137+IFERROR(--RIGHT(B188,6),LEN(B188))*0.0071))*43758.5453,1),"")</f>
        <v/>
      </c>
      <c r="E188" s="0" t="str">
        <f aca="false">IF(C188=1,INT(MOD(ABS(SIN(D188*7919.123+ROW()*0.618+'הדבקת לידים'!$F$2*1.3))*43758.5453,1)*1000000)*10000+ROW(),"")</f>
        <v/>
      </c>
      <c r="F188" s="0" t="str">
        <f aca="false">IF(E188="","",RANK(E188,$E$2:$E$5001,1))</f>
        <v/>
      </c>
      <c r="G188" s="0" t="n">
        <f aca="false">IF(A188="",0,IF(SUMPRODUCT(--($A$2:$A$5001=A188))&gt;1,1,0))</f>
        <v>0</v>
      </c>
      <c r="H188" s="0" t="n">
        <f aca="false">ROW()-1</f>
        <v>187</v>
      </c>
      <c r="I188" s="0" t="str">
        <f aca="false">IF(OR(הגדרות!$E$6=0,H188&gt;הגדרות!$E$5),"",IF(H188-1&lt;הגדרות!$E$8*(הגדרות!$E$7+1),INT((H188-1)/(הגדרות!$E$7+1)),הגדרות!$E$8+INT((H188-1-הגדרות!$E$8*(הגדרות!$E$7+1))/הגדרות!$E$7)))</f>
        <v/>
      </c>
      <c r="J188" s="0" t="str">
        <f aca="false">IF(I188="","",IF(H188-1&lt;הגדרות!$E$8*(הגדרות!$E$7+1),MOD(H188-1,הגדרות!$E$7+1),MOD(H188-1-הגדרות!$E$8*(הגדרות!$E$7+1),הגדרות!$E$7)))</f>
        <v/>
      </c>
      <c r="K188" s="0" t="str">
        <f aca="false">IF(I188="","",J188*הגדרות!$E$6+I188+1)</f>
        <v/>
      </c>
      <c r="L188" s="0" t="str">
        <f aca="false">IF(K188="","",MATCH(K188,$F$2:$F$5001,0))</f>
        <v/>
      </c>
      <c r="M188" s="0" t="str">
        <f aca="false">IF(I188="","",INDEX(הגדרות!$A$2:$A$21,MOD(I188+הגדרות!$E$9,הגדרות!$E$6)+1))</f>
        <v/>
      </c>
    </row>
    <row r="189" customFormat="false" ht="15" hidden="false" customHeight="false" outlineLevel="0" collapsed="false">
      <c r="A189" s="0" t="str">
        <f aca="false">IF('הדבקת לידים'!A189="","",IF(ISNUMBER('הדבקת לידים'!A189),IF(הגדרות!$E$2&gt;0,TEXT('הדבקת לידים'!A189,REPT("0",הגדרות!$E$2)),TEXT('הדבקת לידים'!A189,"0")),TRIM('הדבקת לידים'!A189)))</f>
        <v/>
      </c>
      <c r="B189" s="0" t="str">
        <f aca="false">IF('הדבקת לידים'!B189="","",IF(ISNUMBER('הדבקת לידים'!B189),IF(הגדרות!$E$3&gt;0,TEXT('הדבקת לידים'!B189,REPT("0",הגדרות!$E$3)),TEXT('הדבקת לידים'!B189,"0")),TRIM('הדבקת לידים'!B189)))</f>
        <v/>
      </c>
      <c r="C189" s="0" t="n">
        <f aca="false">IF(OR(A189&lt;&gt;"",B189&lt;&gt;""),1,0)</f>
        <v>0</v>
      </c>
      <c r="D189" s="0" t="str">
        <f aca="false">IF(C189=1,MOD(ABS(SIN(ROW()*12.9898+'הדבקת לידים'!$F$2*78.233+IFERROR(--RIGHT(A189,6),LEN(A189))*0.0137+IFERROR(--RIGHT(B189,6),LEN(B189))*0.0071))*43758.5453,1),"")</f>
        <v/>
      </c>
      <c r="E189" s="0" t="str">
        <f aca="false">IF(C189=1,INT(MOD(ABS(SIN(D189*7919.123+ROW()*0.618+'הדבקת לידים'!$F$2*1.3))*43758.5453,1)*1000000)*10000+ROW(),"")</f>
        <v/>
      </c>
      <c r="F189" s="0" t="str">
        <f aca="false">IF(E189="","",RANK(E189,$E$2:$E$5001,1))</f>
        <v/>
      </c>
      <c r="G189" s="0" t="n">
        <f aca="false">IF(A189="",0,IF(SUMPRODUCT(--($A$2:$A$5001=A189))&gt;1,1,0))</f>
        <v>0</v>
      </c>
      <c r="H189" s="0" t="n">
        <f aca="false">ROW()-1</f>
        <v>188</v>
      </c>
      <c r="I189" s="0" t="str">
        <f aca="false">IF(OR(הגדרות!$E$6=0,H189&gt;הגדרות!$E$5),"",IF(H189-1&lt;הגדרות!$E$8*(הגדרות!$E$7+1),INT((H189-1)/(הגדרות!$E$7+1)),הגדרות!$E$8+INT((H189-1-הגדרות!$E$8*(הגדרות!$E$7+1))/הגדרות!$E$7)))</f>
        <v/>
      </c>
      <c r="J189" s="0" t="str">
        <f aca="false">IF(I189="","",IF(H189-1&lt;הגדרות!$E$8*(הגדרות!$E$7+1),MOD(H189-1,הגדרות!$E$7+1),MOD(H189-1-הגדרות!$E$8*(הגדרות!$E$7+1),הגדרות!$E$7)))</f>
        <v/>
      </c>
      <c r="K189" s="0" t="str">
        <f aca="false">IF(I189="","",J189*הגדרות!$E$6+I189+1)</f>
        <v/>
      </c>
      <c r="L189" s="0" t="str">
        <f aca="false">IF(K189="","",MATCH(K189,$F$2:$F$5001,0))</f>
        <v/>
      </c>
      <c r="M189" s="0" t="str">
        <f aca="false">IF(I189="","",INDEX(הגדרות!$A$2:$A$21,MOD(I189+הגדרות!$E$9,הגדרות!$E$6)+1))</f>
        <v/>
      </c>
    </row>
    <row r="190" customFormat="false" ht="15" hidden="false" customHeight="false" outlineLevel="0" collapsed="false">
      <c r="A190" s="0" t="str">
        <f aca="false">IF('הדבקת לידים'!A190="","",IF(ISNUMBER('הדבקת לידים'!A190),IF(הגדרות!$E$2&gt;0,TEXT('הדבקת לידים'!A190,REPT("0",הגדרות!$E$2)),TEXT('הדבקת לידים'!A190,"0")),TRIM('הדבקת לידים'!A190)))</f>
        <v/>
      </c>
      <c r="B190" s="0" t="str">
        <f aca="false">IF('הדבקת לידים'!B190="","",IF(ISNUMBER('הדבקת לידים'!B190),IF(הגדרות!$E$3&gt;0,TEXT('הדבקת לידים'!B190,REPT("0",הגדרות!$E$3)),TEXT('הדבקת לידים'!B190,"0")),TRIM('הדבקת לידים'!B190)))</f>
        <v/>
      </c>
      <c r="C190" s="0" t="n">
        <f aca="false">IF(OR(A190&lt;&gt;"",B190&lt;&gt;""),1,0)</f>
        <v>0</v>
      </c>
      <c r="D190" s="0" t="str">
        <f aca="false">IF(C190=1,MOD(ABS(SIN(ROW()*12.9898+'הדבקת לידים'!$F$2*78.233+IFERROR(--RIGHT(A190,6),LEN(A190))*0.0137+IFERROR(--RIGHT(B190,6),LEN(B190))*0.0071))*43758.5453,1),"")</f>
        <v/>
      </c>
      <c r="E190" s="0" t="str">
        <f aca="false">IF(C190=1,INT(MOD(ABS(SIN(D190*7919.123+ROW()*0.618+'הדבקת לידים'!$F$2*1.3))*43758.5453,1)*1000000)*10000+ROW(),"")</f>
        <v/>
      </c>
      <c r="F190" s="0" t="str">
        <f aca="false">IF(E190="","",RANK(E190,$E$2:$E$5001,1))</f>
        <v/>
      </c>
      <c r="G190" s="0" t="n">
        <f aca="false">IF(A190="",0,IF(SUMPRODUCT(--($A$2:$A$5001=A190))&gt;1,1,0))</f>
        <v>0</v>
      </c>
      <c r="H190" s="0" t="n">
        <f aca="false">ROW()-1</f>
        <v>189</v>
      </c>
      <c r="I190" s="0" t="str">
        <f aca="false">IF(OR(הגדרות!$E$6=0,H190&gt;הגדרות!$E$5),"",IF(H190-1&lt;הגדרות!$E$8*(הגדרות!$E$7+1),INT((H190-1)/(הגדרות!$E$7+1)),הגדרות!$E$8+INT((H190-1-הגדרות!$E$8*(הגדרות!$E$7+1))/הגדרות!$E$7)))</f>
        <v/>
      </c>
      <c r="J190" s="0" t="str">
        <f aca="false">IF(I190="","",IF(H190-1&lt;הגדרות!$E$8*(הגדרות!$E$7+1),MOD(H190-1,הגדרות!$E$7+1),MOD(H190-1-הגדרות!$E$8*(הגדרות!$E$7+1),הגדרות!$E$7)))</f>
        <v/>
      </c>
      <c r="K190" s="0" t="str">
        <f aca="false">IF(I190="","",J190*הגדרות!$E$6+I190+1)</f>
        <v/>
      </c>
      <c r="L190" s="0" t="str">
        <f aca="false">IF(K190="","",MATCH(K190,$F$2:$F$5001,0))</f>
        <v/>
      </c>
      <c r="M190" s="0" t="str">
        <f aca="false">IF(I190="","",INDEX(הגדרות!$A$2:$A$21,MOD(I190+הגדרות!$E$9,הגדרות!$E$6)+1))</f>
        <v/>
      </c>
    </row>
    <row r="191" customFormat="false" ht="15" hidden="false" customHeight="false" outlineLevel="0" collapsed="false">
      <c r="A191" s="0" t="str">
        <f aca="false">IF('הדבקת לידים'!A191="","",IF(ISNUMBER('הדבקת לידים'!A191),IF(הגדרות!$E$2&gt;0,TEXT('הדבקת לידים'!A191,REPT("0",הגדרות!$E$2)),TEXT('הדבקת לידים'!A191,"0")),TRIM('הדבקת לידים'!A191)))</f>
        <v/>
      </c>
      <c r="B191" s="0" t="str">
        <f aca="false">IF('הדבקת לידים'!B191="","",IF(ISNUMBER('הדבקת לידים'!B191),IF(הגדרות!$E$3&gt;0,TEXT('הדבקת לידים'!B191,REPT("0",הגדרות!$E$3)),TEXT('הדבקת לידים'!B191,"0")),TRIM('הדבקת לידים'!B191)))</f>
        <v/>
      </c>
      <c r="C191" s="0" t="n">
        <f aca="false">IF(OR(A191&lt;&gt;"",B191&lt;&gt;""),1,0)</f>
        <v>0</v>
      </c>
      <c r="D191" s="0" t="str">
        <f aca="false">IF(C191=1,MOD(ABS(SIN(ROW()*12.9898+'הדבקת לידים'!$F$2*78.233+IFERROR(--RIGHT(A191,6),LEN(A191))*0.0137+IFERROR(--RIGHT(B191,6),LEN(B191))*0.0071))*43758.5453,1),"")</f>
        <v/>
      </c>
      <c r="E191" s="0" t="str">
        <f aca="false">IF(C191=1,INT(MOD(ABS(SIN(D191*7919.123+ROW()*0.618+'הדבקת לידים'!$F$2*1.3))*43758.5453,1)*1000000)*10000+ROW(),"")</f>
        <v/>
      </c>
      <c r="F191" s="0" t="str">
        <f aca="false">IF(E191="","",RANK(E191,$E$2:$E$5001,1))</f>
        <v/>
      </c>
      <c r="G191" s="0" t="n">
        <f aca="false">IF(A191="",0,IF(SUMPRODUCT(--($A$2:$A$5001=A191))&gt;1,1,0))</f>
        <v>0</v>
      </c>
      <c r="H191" s="0" t="n">
        <f aca="false">ROW()-1</f>
        <v>190</v>
      </c>
      <c r="I191" s="0" t="str">
        <f aca="false">IF(OR(הגדרות!$E$6=0,H191&gt;הגדרות!$E$5),"",IF(H191-1&lt;הגדרות!$E$8*(הגדרות!$E$7+1),INT((H191-1)/(הגדרות!$E$7+1)),הגדרות!$E$8+INT((H191-1-הגדרות!$E$8*(הגדרות!$E$7+1))/הגדרות!$E$7)))</f>
        <v/>
      </c>
      <c r="J191" s="0" t="str">
        <f aca="false">IF(I191="","",IF(H191-1&lt;הגדרות!$E$8*(הגדרות!$E$7+1),MOD(H191-1,הגדרות!$E$7+1),MOD(H191-1-הגדרות!$E$8*(הגדרות!$E$7+1),הגדרות!$E$7)))</f>
        <v/>
      </c>
      <c r="K191" s="0" t="str">
        <f aca="false">IF(I191="","",J191*הגדרות!$E$6+I191+1)</f>
        <v/>
      </c>
      <c r="L191" s="0" t="str">
        <f aca="false">IF(K191="","",MATCH(K191,$F$2:$F$5001,0))</f>
        <v/>
      </c>
      <c r="M191" s="0" t="str">
        <f aca="false">IF(I191="","",INDEX(הגדרות!$A$2:$A$21,MOD(I191+הגדרות!$E$9,הגדרות!$E$6)+1))</f>
        <v/>
      </c>
    </row>
    <row r="192" customFormat="false" ht="15" hidden="false" customHeight="false" outlineLevel="0" collapsed="false">
      <c r="A192" s="0" t="str">
        <f aca="false">IF('הדבקת לידים'!A192="","",IF(ISNUMBER('הדבקת לידים'!A192),IF(הגדרות!$E$2&gt;0,TEXT('הדבקת לידים'!A192,REPT("0",הגדרות!$E$2)),TEXT('הדבקת לידים'!A192,"0")),TRIM('הדבקת לידים'!A192)))</f>
        <v/>
      </c>
      <c r="B192" s="0" t="str">
        <f aca="false">IF('הדבקת לידים'!B192="","",IF(ISNUMBER('הדבקת לידים'!B192),IF(הגדרות!$E$3&gt;0,TEXT('הדבקת לידים'!B192,REPT("0",הגדרות!$E$3)),TEXT('הדבקת לידים'!B192,"0")),TRIM('הדבקת לידים'!B192)))</f>
        <v/>
      </c>
      <c r="C192" s="0" t="n">
        <f aca="false">IF(OR(A192&lt;&gt;"",B192&lt;&gt;""),1,0)</f>
        <v>0</v>
      </c>
      <c r="D192" s="0" t="str">
        <f aca="false">IF(C192=1,MOD(ABS(SIN(ROW()*12.9898+'הדבקת לידים'!$F$2*78.233+IFERROR(--RIGHT(A192,6),LEN(A192))*0.0137+IFERROR(--RIGHT(B192,6),LEN(B192))*0.0071))*43758.5453,1),"")</f>
        <v/>
      </c>
      <c r="E192" s="0" t="str">
        <f aca="false">IF(C192=1,INT(MOD(ABS(SIN(D192*7919.123+ROW()*0.618+'הדבקת לידים'!$F$2*1.3))*43758.5453,1)*1000000)*10000+ROW(),"")</f>
        <v/>
      </c>
      <c r="F192" s="0" t="str">
        <f aca="false">IF(E192="","",RANK(E192,$E$2:$E$5001,1))</f>
        <v/>
      </c>
      <c r="G192" s="0" t="n">
        <f aca="false">IF(A192="",0,IF(SUMPRODUCT(--($A$2:$A$5001=A192))&gt;1,1,0))</f>
        <v>0</v>
      </c>
      <c r="H192" s="0" t="n">
        <f aca="false">ROW()-1</f>
        <v>191</v>
      </c>
      <c r="I192" s="0" t="str">
        <f aca="false">IF(OR(הגדרות!$E$6=0,H192&gt;הגדרות!$E$5),"",IF(H192-1&lt;הגדרות!$E$8*(הגדרות!$E$7+1),INT((H192-1)/(הגדרות!$E$7+1)),הגדרות!$E$8+INT((H192-1-הגדרות!$E$8*(הגדרות!$E$7+1))/הגדרות!$E$7)))</f>
        <v/>
      </c>
      <c r="J192" s="0" t="str">
        <f aca="false">IF(I192="","",IF(H192-1&lt;הגדרות!$E$8*(הגדרות!$E$7+1),MOD(H192-1,הגדרות!$E$7+1),MOD(H192-1-הגדרות!$E$8*(הגדרות!$E$7+1),הגדרות!$E$7)))</f>
        <v/>
      </c>
      <c r="K192" s="0" t="str">
        <f aca="false">IF(I192="","",J192*הגדרות!$E$6+I192+1)</f>
        <v/>
      </c>
      <c r="L192" s="0" t="str">
        <f aca="false">IF(K192="","",MATCH(K192,$F$2:$F$5001,0))</f>
        <v/>
      </c>
      <c r="M192" s="0" t="str">
        <f aca="false">IF(I192="","",INDEX(הגדרות!$A$2:$A$21,MOD(I192+הגדרות!$E$9,הגדרות!$E$6)+1))</f>
        <v/>
      </c>
    </row>
    <row r="193" customFormat="false" ht="15" hidden="false" customHeight="false" outlineLevel="0" collapsed="false">
      <c r="A193" s="0" t="str">
        <f aca="false">IF('הדבקת לידים'!A193="","",IF(ISNUMBER('הדבקת לידים'!A193),IF(הגדרות!$E$2&gt;0,TEXT('הדבקת לידים'!A193,REPT("0",הגדרות!$E$2)),TEXT('הדבקת לידים'!A193,"0")),TRIM('הדבקת לידים'!A193)))</f>
        <v/>
      </c>
      <c r="B193" s="0" t="str">
        <f aca="false">IF('הדבקת לידים'!B193="","",IF(ISNUMBER('הדבקת לידים'!B193),IF(הגדרות!$E$3&gt;0,TEXT('הדבקת לידים'!B193,REPT("0",הגדרות!$E$3)),TEXT('הדבקת לידים'!B193,"0")),TRIM('הדבקת לידים'!B193)))</f>
        <v/>
      </c>
      <c r="C193" s="0" t="n">
        <f aca="false">IF(OR(A193&lt;&gt;"",B193&lt;&gt;""),1,0)</f>
        <v>0</v>
      </c>
      <c r="D193" s="0" t="str">
        <f aca="false">IF(C193=1,MOD(ABS(SIN(ROW()*12.9898+'הדבקת לידים'!$F$2*78.233+IFERROR(--RIGHT(A193,6),LEN(A193))*0.0137+IFERROR(--RIGHT(B193,6),LEN(B193))*0.0071))*43758.5453,1),"")</f>
        <v/>
      </c>
      <c r="E193" s="0" t="str">
        <f aca="false">IF(C193=1,INT(MOD(ABS(SIN(D193*7919.123+ROW()*0.618+'הדבקת לידים'!$F$2*1.3))*43758.5453,1)*1000000)*10000+ROW(),"")</f>
        <v/>
      </c>
      <c r="F193" s="0" t="str">
        <f aca="false">IF(E193="","",RANK(E193,$E$2:$E$5001,1))</f>
        <v/>
      </c>
      <c r="G193" s="0" t="n">
        <f aca="false">IF(A193="",0,IF(SUMPRODUCT(--($A$2:$A$5001=A193))&gt;1,1,0))</f>
        <v>0</v>
      </c>
      <c r="H193" s="0" t="n">
        <f aca="false">ROW()-1</f>
        <v>192</v>
      </c>
      <c r="I193" s="0" t="str">
        <f aca="false">IF(OR(הגדרות!$E$6=0,H193&gt;הגדרות!$E$5),"",IF(H193-1&lt;הגדרות!$E$8*(הגדרות!$E$7+1),INT((H193-1)/(הגדרות!$E$7+1)),הגדרות!$E$8+INT((H193-1-הגדרות!$E$8*(הגדרות!$E$7+1))/הגדרות!$E$7)))</f>
        <v/>
      </c>
      <c r="J193" s="0" t="str">
        <f aca="false">IF(I193="","",IF(H193-1&lt;הגדרות!$E$8*(הגדרות!$E$7+1),MOD(H193-1,הגדרות!$E$7+1),MOD(H193-1-הגדרות!$E$8*(הגדרות!$E$7+1),הגדרות!$E$7)))</f>
        <v/>
      </c>
      <c r="K193" s="0" t="str">
        <f aca="false">IF(I193="","",J193*הגדרות!$E$6+I193+1)</f>
        <v/>
      </c>
      <c r="L193" s="0" t="str">
        <f aca="false">IF(K193="","",MATCH(K193,$F$2:$F$5001,0))</f>
        <v/>
      </c>
      <c r="M193" s="0" t="str">
        <f aca="false">IF(I193="","",INDEX(הגדרות!$A$2:$A$21,MOD(I193+הגדרות!$E$9,הגדרות!$E$6)+1))</f>
        <v/>
      </c>
    </row>
    <row r="194" customFormat="false" ht="15" hidden="false" customHeight="false" outlineLevel="0" collapsed="false">
      <c r="A194" s="0" t="str">
        <f aca="false">IF('הדבקת לידים'!A194="","",IF(ISNUMBER('הדבקת לידים'!A194),IF(הגדרות!$E$2&gt;0,TEXT('הדבקת לידים'!A194,REPT("0",הגדרות!$E$2)),TEXT('הדבקת לידים'!A194,"0")),TRIM('הדבקת לידים'!A194)))</f>
        <v/>
      </c>
      <c r="B194" s="0" t="str">
        <f aca="false">IF('הדבקת לידים'!B194="","",IF(ISNUMBER('הדבקת לידים'!B194),IF(הגדרות!$E$3&gt;0,TEXT('הדבקת לידים'!B194,REPT("0",הגדרות!$E$3)),TEXT('הדבקת לידים'!B194,"0")),TRIM('הדבקת לידים'!B194)))</f>
        <v/>
      </c>
      <c r="C194" s="0" t="n">
        <f aca="false">IF(OR(A194&lt;&gt;"",B194&lt;&gt;""),1,0)</f>
        <v>0</v>
      </c>
      <c r="D194" s="0" t="str">
        <f aca="false">IF(C194=1,MOD(ABS(SIN(ROW()*12.9898+'הדבקת לידים'!$F$2*78.233+IFERROR(--RIGHT(A194,6),LEN(A194))*0.0137+IFERROR(--RIGHT(B194,6),LEN(B194))*0.0071))*43758.5453,1),"")</f>
        <v/>
      </c>
      <c r="E194" s="0" t="str">
        <f aca="false">IF(C194=1,INT(MOD(ABS(SIN(D194*7919.123+ROW()*0.618+'הדבקת לידים'!$F$2*1.3))*43758.5453,1)*1000000)*10000+ROW(),"")</f>
        <v/>
      </c>
      <c r="F194" s="0" t="str">
        <f aca="false">IF(E194="","",RANK(E194,$E$2:$E$5001,1))</f>
        <v/>
      </c>
      <c r="G194" s="0" t="n">
        <f aca="false">IF(A194="",0,IF(SUMPRODUCT(--($A$2:$A$5001=A194))&gt;1,1,0))</f>
        <v>0</v>
      </c>
      <c r="H194" s="0" t="n">
        <f aca="false">ROW()-1</f>
        <v>193</v>
      </c>
      <c r="I194" s="0" t="str">
        <f aca="false">IF(OR(הגדרות!$E$6=0,H194&gt;הגדרות!$E$5),"",IF(H194-1&lt;הגדרות!$E$8*(הגדרות!$E$7+1),INT((H194-1)/(הגדרות!$E$7+1)),הגדרות!$E$8+INT((H194-1-הגדרות!$E$8*(הגדרות!$E$7+1))/הגדרות!$E$7)))</f>
        <v/>
      </c>
      <c r="J194" s="0" t="str">
        <f aca="false">IF(I194="","",IF(H194-1&lt;הגדרות!$E$8*(הגדרות!$E$7+1),MOD(H194-1,הגדרות!$E$7+1),MOD(H194-1-הגדרות!$E$8*(הגדרות!$E$7+1),הגדרות!$E$7)))</f>
        <v/>
      </c>
      <c r="K194" s="0" t="str">
        <f aca="false">IF(I194="","",J194*הגדרות!$E$6+I194+1)</f>
        <v/>
      </c>
      <c r="L194" s="0" t="str">
        <f aca="false">IF(K194="","",MATCH(K194,$F$2:$F$5001,0))</f>
        <v/>
      </c>
      <c r="M194" s="0" t="str">
        <f aca="false">IF(I194="","",INDEX(הגדרות!$A$2:$A$21,MOD(I194+הגדרות!$E$9,הגדרות!$E$6)+1))</f>
        <v/>
      </c>
    </row>
    <row r="195" customFormat="false" ht="15" hidden="false" customHeight="false" outlineLevel="0" collapsed="false">
      <c r="A195" s="0" t="str">
        <f aca="false">IF('הדבקת לידים'!A195="","",IF(ISNUMBER('הדבקת לידים'!A195),IF(הגדרות!$E$2&gt;0,TEXT('הדבקת לידים'!A195,REPT("0",הגדרות!$E$2)),TEXT('הדבקת לידים'!A195,"0")),TRIM('הדבקת לידים'!A195)))</f>
        <v/>
      </c>
      <c r="B195" s="0" t="str">
        <f aca="false">IF('הדבקת לידים'!B195="","",IF(ISNUMBER('הדבקת לידים'!B195),IF(הגדרות!$E$3&gt;0,TEXT('הדבקת לידים'!B195,REPT("0",הגדרות!$E$3)),TEXT('הדבקת לידים'!B195,"0")),TRIM('הדבקת לידים'!B195)))</f>
        <v/>
      </c>
      <c r="C195" s="0" t="n">
        <f aca="false">IF(OR(A195&lt;&gt;"",B195&lt;&gt;""),1,0)</f>
        <v>0</v>
      </c>
      <c r="D195" s="0" t="str">
        <f aca="false">IF(C195=1,MOD(ABS(SIN(ROW()*12.9898+'הדבקת לידים'!$F$2*78.233+IFERROR(--RIGHT(A195,6),LEN(A195))*0.0137+IFERROR(--RIGHT(B195,6),LEN(B195))*0.0071))*43758.5453,1),"")</f>
        <v/>
      </c>
      <c r="E195" s="0" t="str">
        <f aca="false">IF(C195=1,INT(MOD(ABS(SIN(D195*7919.123+ROW()*0.618+'הדבקת לידים'!$F$2*1.3))*43758.5453,1)*1000000)*10000+ROW(),"")</f>
        <v/>
      </c>
      <c r="F195" s="0" t="str">
        <f aca="false">IF(E195="","",RANK(E195,$E$2:$E$5001,1))</f>
        <v/>
      </c>
      <c r="G195" s="0" t="n">
        <f aca="false">IF(A195="",0,IF(SUMPRODUCT(--($A$2:$A$5001=A195))&gt;1,1,0))</f>
        <v>0</v>
      </c>
      <c r="H195" s="0" t="n">
        <f aca="false">ROW()-1</f>
        <v>194</v>
      </c>
      <c r="I195" s="0" t="str">
        <f aca="false">IF(OR(הגדרות!$E$6=0,H195&gt;הגדרות!$E$5),"",IF(H195-1&lt;הגדרות!$E$8*(הגדרות!$E$7+1),INT((H195-1)/(הגדרות!$E$7+1)),הגדרות!$E$8+INT((H195-1-הגדרות!$E$8*(הגדרות!$E$7+1))/הגדרות!$E$7)))</f>
        <v/>
      </c>
      <c r="J195" s="0" t="str">
        <f aca="false">IF(I195="","",IF(H195-1&lt;הגדרות!$E$8*(הגדרות!$E$7+1),MOD(H195-1,הגדרות!$E$7+1),MOD(H195-1-הגדרות!$E$8*(הגדרות!$E$7+1),הגדרות!$E$7)))</f>
        <v/>
      </c>
      <c r="K195" s="0" t="str">
        <f aca="false">IF(I195="","",J195*הגדרות!$E$6+I195+1)</f>
        <v/>
      </c>
      <c r="L195" s="0" t="str">
        <f aca="false">IF(K195="","",MATCH(K195,$F$2:$F$5001,0))</f>
        <v/>
      </c>
      <c r="M195" s="0" t="str">
        <f aca="false">IF(I195="","",INDEX(הגדרות!$A$2:$A$21,MOD(I195+הגדרות!$E$9,הגדרות!$E$6)+1))</f>
        <v/>
      </c>
    </row>
    <row r="196" customFormat="false" ht="15" hidden="false" customHeight="false" outlineLevel="0" collapsed="false">
      <c r="A196" s="0" t="str">
        <f aca="false">IF('הדבקת לידים'!A196="","",IF(ISNUMBER('הדבקת לידים'!A196),IF(הגדרות!$E$2&gt;0,TEXT('הדבקת לידים'!A196,REPT("0",הגדרות!$E$2)),TEXT('הדבקת לידים'!A196,"0")),TRIM('הדבקת לידים'!A196)))</f>
        <v/>
      </c>
      <c r="B196" s="0" t="str">
        <f aca="false">IF('הדבקת לידים'!B196="","",IF(ISNUMBER('הדבקת לידים'!B196),IF(הגדרות!$E$3&gt;0,TEXT('הדבקת לידים'!B196,REPT("0",הגדרות!$E$3)),TEXT('הדבקת לידים'!B196,"0")),TRIM('הדבקת לידים'!B196)))</f>
        <v/>
      </c>
      <c r="C196" s="0" t="n">
        <f aca="false">IF(OR(A196&lt;&gt;"",B196&lt;&gt;""),1,0)</f>
        <v>0</v>
      </c>
      <c r="D196" s="0" t="str">
        <f aca="false">IF(C196=1,MOD(ABS(SIN(ROW()*12.9898+'הדבקת לידים'!$F$2*78.233+IFERROR(--RIGHT(A196,6),LEN(A196))*0.0137+IFERROR(--RIGHT(B196,6),LEN(B196))*0.0071))*43758.5453,1),"")</f>
        <v/>
      </c>
      <c r="E196" s="0" t="str">
        <f aca="false">IF(C196=1,INT(MOD(ABS(SIN(D196*7919.123+ROW()*0.618+'הדבקת לידים'!$F$2*1.3))*43758.5453,1)*1000000)*10000+ROW(),"")</f>
        <v/>
      </c>
      <c r="F196" s="0" t="str">
        <f aca="false">IF(E196="","",RANK(E196,$E$2:$E$5001,1))</f>
        <v/>
      </c>
      <c r="G196" s="0" t="n">
        <f aca="false">IF(A196="",0,IF(SUMPRODUCT(--($A$2:$A$5001=A196))&gt;1,1,0))</f>
        <v>0</v>
      </c>
      <c r="H196" s="0" t="n">
        <f aca="false">ROW()-1</f>
        <v>195</v>
      </c>
      <c r="I196" s="0" t="str">
        <f aca="false">IF(OR(הגדרות!$E$6=0,H196&gt;הגדרות!$E$5),"",IF(H196-1&lt;הגדרות!$E$8*(הגדרות!$E$7+1),INT((H196-1)/(הגדרות!$E$7+1)),הגדרות!$E$8+INT((H196-1-הגדרות!$E$8*(הגדרות!$E$7+1))/הגדרות!$E$7)))</f>
        <v/>
      </c>
      <c r="J196" s="0" t="str">
        <f aca="false">IF(I196="","",IF(H196-1&lt;הגדרות!$E$8*(הגדרות!$E$7+1),MOD(H196-1,הגדרות!$E$7+1),MOD(H196-1-הגדרות!$E$8*(הגדרות!$E$7+1),הגדרות!$E$7)))</f>
        <v/>
      </c>
      <c r="K196" s="0" t="str">
        <f aca="false">IF(I196="","",J196*הגדרות!$E$6+I196+1)</f>
        <v/>
      </c>
      <c r="L196" s="0" t="str">
        <f aca="false">IF(K196="","",MATCH(K196,$F$2:$F$5001,0))</f>
        <v/>
      </c>
      <c r="M196" s="0" t="str">
        <f aca="false">IF(I196="","",INDEX(הגדרות!$A$2:$A$21,MOD(I196+הגדרות!$E$9,הגדרות!$E$6)+1))</f>
        <v/>
      </c>
    </row>
    <row r="197" customFormat="false" ht="15" hidden="false" customHeight="false" outlineLevel="0" collapsed="false">
      <c r="A197" s="0" t="str">
        <f aca="false">IF('הדבקת לידים'!A197="","",IF(ISNUMBER('הדבקת לידים'!A197),IF(הגדרות!$E$2&gt;0,TEXT('הדבקת לידים'!A197,REPT("0",הגדרות!$E$2)),TEXT('הדבקת לידים'!A197,"0")),TRIM('הדבקת לידים'!A197)))</f>
        <v/>
      </c>
      <c r="B197" s="0" t="str">
        <f aca="false">IF('הדבקת לידים'!B197="","",IF(ISNUMBER('הדבקת לידים'!B197),IF(הגדרות!$E$3&gt;0,TEXT('הדבקת לידים'!B197,REPT("0",הגדרות!$E$3)),TEXT('הדבקת לידים'!B197,"0")),TRIM('הדבקת לידים'!B197)))</f>
        <v/>
      </c>
      <c r="C197" s="0" t="n">
        <f aca="false">IF(OR(A197&lt;&gt;"",B197&lt;&gt;""),1,0)</f>
        <v>0</v>
      </c>
      <c r="D197" s="0" t="str">
        <f aca="false">IF(C197=1,MOD(ABS(SIN(ROW()*12.9898+'הדבקת לידים'!$F$2*78.233+IFERROR(--RIGHT(A197,6),LEN(A197))*0.0137+IFERROR(--RIGHT(B197,6),LEN(B197))*0.0071))*43758.5453,1),"")</f>
        <v/>
      </c>
      <c r="E197" s="0" t="str">
        <f aca="false">IF(C197=1,INT(MOD(ABS(SIN(D197*7919.123+ROW()*0.618+'הדבקת לידים'!$F$2*1.3))*43758.5453,1)*1000000)*10000+ROW(),"")</f>
        <v/>
      </c>
      <c r="F197" s="0" t="str">
        <f aca="false">IF(E197="","",RANK(E197,$E$2:$E$5001,1))</f>
        <v/>
      </c>
      <c r="G197" s="0" t="n">
        <f aca="false">IF(A197="",0,IF(SUMPRODUCT(--($A$2:$A$5001=A197))&gt;1,1,0))</f>
        <v>0</v>
      </c>
      <c r="H197" s="0" t="n">
        <f aca="false">ROW()-1</f>
        <v>196</v>
      </c>
      <c r="I197" s="0" t="str">
        <f aca="false">IF(OR(הגדרות!$E$6=0,H197&gt;הגדרות!$E$5),"",IF(H197-1&lt;הגדרות!$E$8*(הגדרות!$E$7+1),INT((H197-1)/(הגדרות!$E$7+1)),הגדרות!$E$8+INT((H197-1-הגדרות!$E$8*(הגדרות!$E$7+1))/הגדרות!$E$7)))</f>
        <v/>
      </c>
      <c r="J197" s="0" t="str">
        <f aca="false">IF(I197="","",IF(H197-1&lt;הגדרות!$E$8*(הגדרות!$E$7+1),MOD(H197-1,הגדרות!$E$7+1),MOD(H197-1-הגדרות!$E$8*(הגדרות!$E$7+1),הגדרות!$E$7)))</f>
        <v/>
      </c>
      <c r="K197" s="0" t="str">
        <f aca="false">IF(I197="","",J197*הגדרות!$E$6+I197+1)</f>
        <v/>
      </c>
      <c r="L197" s="0" t="str">
        <f aca="false">IF(K197="","",MATCH(K197,$F$2:$F$5001,0))</f>
        <v/>
      </c>
      <c r="M197" s="0" t="str">
        <f aca="false">IF(I197="","",INDEX(הגדרות!$A$2:$A$21,MOD(I197+הגדרות!$E$9,הגדרות!$E$6)+1))</f>
        <v/>
      </c>
    </row>
    <row r="198" customFormat="false" ht="15" hidden="false" customHeight="false" outlineLevel="0" collapsed="false">
      <c r="A198" s="0" t="str">
        <f aca="false">IF('הדבקת לידים'!A198="","",IF(ISNUMBER('הדבקת לידים'!A198),IF(הגדרות!$E$2&gt;0,TEXT('הדבקת לידים'!A198,REPT("0",הגדרות!$E$2)),TEXT('הדבקת לידים'!A198,"0")),TRIM('הדבקת לידים'!A198)))</f>
        <v/>
      </c>
      <c r="B198" s="0" t="str">
        <f aca="false">IF('הדבקת לידים'!B198="","",IF(ISNUMBER('הדבקת לידים'!B198),IF(הגדרות!$E$3&gt;0,TEXT('הדבקת לידים'!B198,REPT("0",הגדרות!$E$3)),TEXT('הדבקת לידים'!B198,"0")),TRIM('הדבקת לידים'!B198)))</f>
        <v/>
      </c>
      <c r="C198" s="0" t="n">
        <f aca="false">IF(OR(A198&lt;&gt;"",B198&lt;&gt;""),1,0)</f>
        <v>0</v>
      </c>
      <c r="D198" s="0" t="str">
        <f aca="false">IF(C198=1,MOD(ABS(SIN(ROW()*12.9898+'הדבקת לידים'!$F$2*78.233+IFERROR(--RIGHT(A198,6),LEN(A198))*0.0137+IFERROR(--RIGHT(B198,6),LEN(B198))*0.0071))*43758.5453,1),"")</f>
        <v/>
      </c>
      <c r="E198" s="0" t="str">
        <f aca="false">IF(C198=1,INT(MOD(ABS(SIN(D198*7919.123+ROW()*0.618+'הדבקת לידים'!$F$2*1.3))*43758.5453,1)*1000000)*10000+ROW(),"")</f>
        <v/>
      </c>
      <c r="F198" s="0" t="str">
        <f aca="false">IF(E198="","",RANK(E198,$E$2:$E$5001,1))</f>
        <v/>
      </c>
      <c r="G198" s="0" t="n">
        <f aca="false">IF(A198="",0,IF(SUMPRODUCT(--($A$2:$A$5001=A198))&gt;1,1,0))</f>
        <v>0</v>
      </c>
      <c r="H198" s="0" t="n">
        <f aca="false">ROW()-1</f>
        <v>197</v>
      </c>
      <c r="I198" s="0" t="str">
        <f aca="false">IF(OR(הגדרות!$E$6=0,H198&gt;הגדרות!$E$5),"",IF(H198-1&lt;הגדרות!$E$8*(הגדרות!$E$7+1),INT((H198-1)/(הגדרות!$E$7+1)),הגדרות!$E$8+INT((H198-1-הגדרות!$E$8*(הגדרות!$E$7+1))/הגדרות!$E$7)))</f>
        <v/>
      </c>
      <c r="J198" s="0" t="str">
        <f aca="false">IF(I198="","",IF(H198-1&lt;הגדרות!$E$8*(הגדרות!$E$7+1),MOD(H198-1,הגדרות!$E$7+1),MOD(H198-1-הגדרות!$E$8*(הגדרות!$E$7+1),הגדרות!$E$7)))</f>
        <v/>
      </c>
      <c r="K198" s="0" t="str">
        <f aca="false">IF(I198="","",J198*הגדרות!$E$6+I198+1)</f>
        <v/>
      </c>
      <c r="L198" s="0" t="str">
        <f aca="false">IF(K198="","",MATCH(K198,$F$2:$F$5001,0))</f>
        <v/>
      </c>
      <c r="M198" s="0" t="str">
        <f aca="false">IF(I198="","",INDEX(הגדרות!$A$2:$A$21,MOD(I198+הגדרות!$E$9,הגדרות!$E$6)+1))</f>
        <v/>
      </c>
    </row>
    <row r="199" customFormat="false" ht="15" hidden="false" customHeight="false" outlineLevel="0" collapsed="false">
      <c r="A199" s="0" t="str">
        <f aca="false">IF('הדבקת לידים'!A199="","",IF(ISNUMBER('הדבקת לידים'!A199),IF(הגדרות!$E$2&gt;0,TEXT('הדבקת לידים'!A199,REPT("0",הגדרות!$E$2)),TEXT('הדבקת לידים'!A199,"0")),TRIM('הדבקת לידים'!A199)))</f>
        <v/>
      </c>
      <c r="B199" s="0" t="str">
        <f aca="false">IF('הדבקת לידים'!B199="","",IF(ISNUMBER('הדבקת לידים'!B199),IF(הגדרות!$E$3&gt;0,TEXT('הדבקת לידים'!B199,REPT("0",הגדרות!$E$3)),TEXT('הדבקת לידים'!B199,"0")),TRIM('הדבקת לידים'!B199)))</f>
        <v/>
      </c>
      <c r="C199" s="0" t="n">
        <f aca="false">IF(OR(A199&lt;&gt;"",B199&lt;&gt;""),1,0)</f>
        <v>0</v>
      </c>
      <c r="D199" s="0" t="str">
        <f aca="false">IF(C199=1,MOD(ABS(SIN(ROW()*12.9898+'הדבקת לידים'!$F$2*78.233+IFERROR(--RIGHT(A199,6),LEN(A199))*0.0137+IFERROR(--RIGHT(B199,6),LEN(B199))*0.0071))*43758.5453,1),"")</f>
        <v/>
      </c>
      <c r="E199" s="0" t="str">
        <f aca="false">IF(C199=1,INT(MOD(ABS(SIN(D199*7919.123+ROW()*0.618+'הדבקת לידים'!$F$2*1.3))*43758.5453,1)*1000000)*10000+ROW(),"")</f>
        <v/>
      </c>
      <c r="F199" s="0" t="str">
        <f aca="false">IF(E199="","",RANK(E199,$E$2:$E$5001,1))</f>
        <v/>
      </c>
      <c r="G199" s="0" t="n">
        <f aca="false">IF(A199="",0,IF(SUMPRODUCT(--($A$2:$A$5001=A199))&gt;1,1,0))</f>
        <v>0</v>
      </c>
      <c r="H199" s="0" t="n">
        <f aca="false">ROW()-1</f>
        <v>198</v>
      </c>
      <c r="I199" s="0" t="str">
        <f aca="false">IF(OR(הגדרות!$E$6=0,H199&gt;הגדרות!$E$5),"",IF(H199-1&lt;הגדרות!$E$8*(הגדרות!$E$7+1),INT((H199-1)/(הגדרות!$E$7+1)),הגדרות!$E$8+INT((H199-1-הגדרות!$E$8*(הגדרות!$E$7+1))/הגדרות!$E$7)))</f>
        <v/>
      </c>
      <c r="J199" s="0" t="str">
        <f aca="false">IF(I199="","",IF(H199-1&lt;הגדרות!$E$8*(הגדרות!$E$7+1),MOD(H199-1,הגדרות!$E$7+1),MOD(H199-1-הגדרות!$E$8*(הגדרות!$E$7+1),הגדרות!$E$7)))</f>
        <v/>
      </c>
      <c r="K199" s="0" t="str">
        <f aca="false">IF(I199="","",J199*הגדרות!$E$6+I199+1)</f>
        <v/>
      </c>
      <c r="L199" s="0" t="str">
        <f aca="false">IF(K199="","",MATCH(K199,$F$2:$F$5001,0))</f>
        <v/>
      </c>
      <c r="M199" s="0" t="str">
        <f aca="false">IF(I199="","",INDEX(הגדרות!$A$2:$A$21,MOD(I199+הגדרות!$E$9,הגדרות!$E$6)+1))</f>
        <v/>
      </c>
    </row>
    <row r="200" customFormat="false" ht="15" hidden="false" customHeight="false" outlineLevel="0" collapsed="false">
      <c r="A200" s="0" t="str">
        <f aca="false">IF('הדבקת לידים'!A200="","",IF(ISNUMBER('הדבקת לידים'!A200),IF(הגדרות!$E$2&gt;0,TEXT('הדבקת לידים'!A200,REPT("0",הגדרות!$E$2)),TEXT('הדבקת לידים'!A200,"0")),TRIM('הדבקת לידים'!A200)))</f>
        <v/>
      </c>
      <c r="B200" s="0" t="str">
        <f aca="false">IF('הדבקת לידים'!B200="","",IF(ISNUMBER('הדבקת לידים'!B200),IF(הגדרות!$E$3&gt;0,TEXT('הדבקת לידים'!B200,REPT("0",הגדרות!$E$3)),TEXT('הדבקת לידים'!B200,"0")),TRIM('הדבקת לידים'!B200)))</f>
        <v/>
      </c>
      <c r="C200" s="0" t="n">
        <f aca="false">IF(OR(A200&lt;&gt;"",B200&lt;&gt;""),1,0)</f>
        <v>0</v>
      </c>
      <c r="D200" s="0" t="str">
        <f aca="false">IF(C200=1,MOD(ABS(SIN(ROW()*12.9898+'הדבקת לידים'!$F$2*78.233+IFERROR(--RIGHT(A200,6),LEN(A200))*0.0137+IFERROR(--RIGHT(B200,6),LEN(B200))*0.0071))*43758.5453,1),"")</f>
        <v/>
      </c>
      <c r="E200" s="0" t="str">
        <f aca="false">IF(C200=1,INT(MOD(ABS(SIN(D200*7919.123+ROW()*0.618+'הדבקת לידים'!$F$2*1.3))*43758.5453,1)*1000000)*10000+ROW(),"")</f>
        <v/>
      </c>
      <c r="F200" s="0" t="str">
        <f aca="false">IF(E200="","",RANK(E200,$E$2:$E$5001,1))</f>
        <v/>
      </c>
      <c r="G200" s="0" t="n">
        <f aca="false">IF(A200="",0,IF(SUMPRODUCT(--($A$2:$A$5001=A200))&gt;1,1,0))</f>
        <v>0</v>
      </c>
      <c r="H200" s="0" t="n">
        <f aca="false">ROW()-1</f>
        <v>199</v>
      </c>
      <c r="I200" s="0" t="str">
        <f aca="false">IF(OR(הגדרות!$E$6=0,H200&gt;הגדרות!$E$5),"",IF(H200-1&lt;הגדרות!$E$8*(הגדרות!$E$7+1),INT((H200-1)/(הגדרות!$E$7+1)),הגדרות!$E$8+INT((H200-1-הגדרות!$E$8*(הגדרות!$E$7+1))/הגדרות!$E$7)))</f>
        <v/>
      </c>
      <c r="J200" s="0" t="str">
        <f aca="false">IF(I200="","",IF(H200-1&lt;הגדרות!$E$8*(הגדרות!$E$7+1),MOD(H200-1,הגדרות!$E$7+1),MOD(H200-1-הגדרות!$E$8*(הגדרות!$E$7+1),הגדרות!$E$7)))</f>
        <v/>
      </c>
      <c r="K200" s="0" t="str">
        <f aca="false">IF(I200="","",J200*הגדרות!$E$6+I200+1)</f>
        <v/>
      </c>
      <c r="L200" s="0" t="str">
        <f aca="false">IF(K200="","",MATCH(K200,$F$2:$F$5001,0))</f>
        <v/>
      </c>
      <c r="M200" s="0" t="str">
        <f aca="false">IF(I200="","",INDEX(הגדרות!$A$2:$A$21,MOD(I200+הגדרות!$E$9,הגדרות!$E$6)+1))</f>
        <v/>
      </c>
    </row>
    <row r="201" customFormat="false" ht="15" hidden="false" customHeight="false" outlineLevel="0" collapsed="false">
      <c r="A201" s="0" t="str">
        <f aca="false">IF('הדבקת לידים'!A201="","",IF(ISNUMBER('הדבקת לידים'!A201),IF(הגדרות!$E$2&gt;0,TEXT('הדבקת לידים'!A201,REPT("0",הגדרות!$E$2)),TEXT('הדבקת לידים'!A201,"0")),TRIM('הדבקת לידים'!A201)))</f>
        <v/>
      </c>
      <c r="B201" s="0" t="str">
        <f aca="false">IF('הדבקת לידים'!B201="","",IF(ISNUMBER('הדבקת לידים'!B201),IF(הגדרות!$E$3&gt;0,TEXT('הדבקת לידים'!B201,REPT("0",הגדרות!$E$3)),TEXT('הדבקת לידים'!B201,"0")),TRIM('הדבקת לידים'!B201)))</f>
        <v/>
      </c>
      <c r="C201" s="0" t="n">
        <f aca="false">IF(OR(A201&lt;&gt;"",B201&lt;&gt;""),1,0)</f>
        <v>0</v>
      </c>
      <c r="D201" s="0" t="str">
        <f aca="false">IF(C201=1,MOD(ABS(SIN(ROW()*12.9898+'הדבקת לידים'!$F$2*78.233+IFERROR(--RIGHT(A201,6),LEN(A201))*0.0137+IFERROR(--RIGHT(B201,6),LEN(B201))*0.0071))*43758.5453,1),"")</f>
        <v/>
      </c>
      <c r="E201" s="0" t="str">
        <f aca="false">IF(C201=1,INT(MOD(ABS(SIN(D201*7919.123+ROW()*0.618+'הדבקת לידים'!$F$2*1.3))*43758.5453,1)*1000000)*10000+ROW(),"")</f>
        <v/>
      </c>
      <c r="F201" s="0" t="str">
        <f aca="false">IF(E201="","",RANK(E201,$E$2:$E$5001,1))</f>
        <v/>
      </c>
      <c r="G201" s="0" t="n">
        <f aca="false">IF(A201="",0,IF(SUMPRODUCT(--($A$2:$A$5001=A201))&gt;1,1,0))</f>
        <v>0</v>
      </c>
      <c r="H201" s="0" t="n">
        <f aca="false">ROW()-1</f>
        <v>200</v>
      </c>
      <c r="I201" s="0" t="str">
        <f aca="false">IF(OR(הגדרות!$E$6=0,H201&gt;הגדרות!$E$5),"",IF(H201-1&lt;הגדרות!$E$8*(הגדרות!$E$7+1),INT((H201-1)/(הגדרות!$E$7+1)),הגדרות!$E$8+INT((H201-1-הגדרות!$E$8*(הגדרות!$E$7+1))/הגדרות!$E$7)))</f>
        <v/>
      </c>
      <c r="J201" s="0" t="str">
        <f aca="false">IF(I201="","",IF(H201-1&lt;הגדרות!$E$8*(הגדרות!$E$7+1),MOD(H201-1,הגדרות!$E$7+1),MOD(H201-1-הגדרות!$E$8*(הגדרות!$E$7+1),הגדרות!$E$7)))</f>
        <v/>
      </c>
      <c r="K201" s="0" t="str">
        <f aca="false">IF(I201="","",J201*הגדרות!$E$6+I201+1)</f>
        <v/>
      </c>
      <c r="L201" s="0" t="str">
        <f aca="false">IF(K201="","",MATCH(K201,$F$2:$F$5001,0))</f>
        <v/>
      </c>
      <c r="M201" s="0" t="str">
        <f aca="false">IF(I201="","",INDEX(הגדרות!$A$2:$A$21,MOD(I201+הגדרות!$E$9,הגדרות!$E$6)+1))</f>
        <v/>
      </c>
    </row>
    <row r="202" customFormat="false" ht="15" hidden="false" customHeight="false" outlineLevel="0" collapsed="false">
      <c r="A202" s="0" t="str">
        <f aca="false">IF('הדבקת לידים'!A202="","",IF(ISNUMBER('הדבקת לידים'!A202),IF(הגדרות!$E$2&gt;0,TEXT('הדבקת לידים'!A202,REPT("0",הגדרות!$E$2)),TEXT('הדבקת לידים'!A202,"0")),TRIM('הדבקת לידים'!A202)))</f>
        <v/>
      </c>
      <c r="B202" s="0" t="str">
        <f aca="false">IF('הדבקת לידים'!B202="","",IF(ISNUMBER('הדבקת לידים'!B202),IF(הגדרות!$E$3&gt;0,TEXT('הדבקת לידים'!B202,REPT("0",הגדרות!$E$3)),TEXT('הדבקת לידים'!B202,"0")),TRIM('הדבקת לידים'!B202)))</f>
        <v/>
      </c>
      <c r="C202" s="0" t="n">
        <f aca="false">IF(OR(A202&lt;&gt;"",B202&lt;&gt;""),1,0)</f>
        <v>0</v>
      </c>
      <c r="D202" s="0" t="str">
        <f aca="false">IF(C202=1,MOD(ABS(SIN(ROW()*12.9898+'הדבקת לידים'!$F$2*78.233+IFERROR(--RIGHT(A202,6),LEN(A202))*0.0137+IFERROR(--RIGHT(B202,6),LEN(B202))*0.0071))*43758.5453,1),"")</f>
        <v/>
      </c>
      <c r="E202" s="0" t="str">
        <f aca="false">IF(C202=1,INT(MOD(ABS(SIN(D202*7919.123+ROW()*0.618+'הדבקת לידים'!$F$2*1.3))*43758.5453,1)*1000000)*10000+ROW(),"")</f>
        <v/>
      </c>
      <c r="F202" s="0" t="str">
        <f aca="false">IF(E202="","",RANK(E202,$E$2:$E$5001,1))</f>
        <v/>
      </c>
      <c r="G202" s="0" t="n">
        <f aca="false">IF(A202="",0,IF(SUMPRODUCT(--($A$2:$A$5001=A202))&gt;1,1,0))</f>
        <v>0</v>
      </c>
      <c r="H202" s="0" t="n">
        <f aca="false">ROW()-1</f>
        <v>201</v>
      </c>
      <c r="I202" s="0" t="str">
        <f aca="false">IF(OR(הגדרות!$E$6=0,H202&gt;הגדרות!$E$5),"",IF(H202-1&lt;הגדרות!$E$8*(הגדרות!$E$7+1),INT((H202-1)/(הגדרות!$E$7+1)),הגדרות!$E$8+INT((H202-1-הגדרות!$E$8*(הגדרות!$E$7+1))/הגדרות!$E$7)))</f>
        <v/>
      </c>
      <c r="J202" s="0" t="str">
        <f aca="false">IF(I202="","",IF(H202-1&lt;הגדרות!$E$8*(הגדרות!$E$7+1),MOD(H202-1,הגדרות!$E$7+1),MOD(H202-1-הגדרות!$E$8*(הגדרות!$E$7+1),הגדרות!$E$7)))</f>
        <v/>
      </c>
      <c r="K202" s="0" t="str">
        <f aca="false">IF(I202="","",J202*הגדרות!$E$6+I202+1)</f>
        <v/>
      </c>
      <c r="L202" s="0" t="str">
        <f aca="false">IF(K202="","",MATCH(K202,$F$2:$F$5001,0))</f>
        <v/>
      </c>
      <c r="M202" s="0" t="str">
        <f aca="false">IF(I202="","",INDEX(הגדרות!$A$2:$A$21,MOD(I202+הגדרות!$E$9,הגדרות!$E$6)+1))</f>
        <v/>
      </c>
    </row>
    <row r="203" customFormat="false" ht="15" hidden="false" customHeight="false" outlineLevel="0" collapsed="false">
      <c r="A203" s="0" t="str">
        <f aca="false">IF('הדבקת לידים'!A203="","",IF(ISNUMBER('הדבקת לידים'!A203),IF(הגדרות!$E$2&gt;0,TEXT('הדבקת לידים'!A203,REPT("0",הגדרות!$E$2)),TEXT('הדבקת לידים'!A203,"0")),TRIM('הדבקת לידים'!A203)))</f>
        <v/>
      </c>
      <c r="B203" s="0" t="str">
        <f aca="false">IF('הדבקת לידים'!B203="","",IF(ISNUMBER('הדבקת לידים'!B203),IF(הגדרות!$E$3&gt;0,TEXT('הדבקת לידים'!B203,REPT("0",הגדרות!$E$3)),TEXT('הדבקת לידים'!B203,"0")),TRIM('הדבקת לידים'!B203)))</f>
        <v/>
      </c>
      <c r="C203" s="0" t="n">
        <f aca="false">IF(OR(A203&lt;&gt;"",B203&lt;&gt;""),1,0)</f>
        <v>0</v>
      </c>
      <c r="D203" s="0" t="str">
        <f aca="false">IF(C203=1,MOD(ABS(SIN(ROW()*12.9898+'הדבקת לידים'!$F$2*78.233+IFERROR(--RIGHT(A203,6),LEN(A203))*0.0137+IFERROR(--RIGHT(B203,6),LEN(B203))*0.0071))*43758.5453,1),"")</f>
        <v/>
      </c>
      <c r="E203" s="0" t="str">
        <f aca="false">IF(C203=1,INT(MOD(ABS(SIN(D203*7919.123+ROW()*0.618+'הדבקת לידים'!$F$2*1.3))*43758.5453,1)*1000000)*10000+ROW(),"")</f>
        <v/>
      </c>
      <c r="F203" s="0" t="str">
        <f aca="false">IF(E203="","",RANK(E203,$E$2:$E$5001,1))</f>
        <v/>
      </c>
      <c r="G203" s="0" t="n">
        <f aca="false">IF(A203="",0,IF(SUMPRODUCT(--($A$2:$A$5001=A203))&gt;1,1,0))</f>
        <v>0</v>
      </c>
      <c r="H203" s="0" t="n">
        <f aca="false">ROW()-1</f>
        <v>202</v>
      </c>
      <c r="I203" s="0" t="str">
        <f aca="false">IF(OR(הגדרות!$E$6=0,H203&gt;הגדרות!$E$5),"",IF(H203-1&lt;הגדרות!$E$8*(הגדרות!$E$7+1),INT((H203-1)/(הגדרות!$E$7+1)),הגדרות!$E$8+INT((H203-1-הגדרות!$E$8*(הגדרות!$E$7+1))/הגדרות!$E$7)))</f>
        <v/>
      </c>
      <c r="J203" s="0" t="str">
        <f aca="false">IF(I203="","",IF(H203-1&lt;הגדרות!$E$8*(הגדרות!$E$7+1),MOD(H203-1,הגדרות!$E$7+1),MOD(H203-1-הגדרות!$E$8*(הגדרות!$E$7+1),הגדרות!$E$7)))</f>
        <v/>
      </c>
      <c r="K203" s="0" t="str">
        <f aca="false">IF(I203="","",J203*הגדרות!$E$6+I203+1)</f>
        <v/>
      </c>
      <c r="L203" s="0" t="str">
        <f aca="false">IF(K203="","",MATCH(K203,$F$2:$F$5001,0))</f>
        <v/>
      </c>
      <c r="M203" s="0" t="str">
        <f aca="false">IF(I203="","",INDEX(הגדרות!$A$2:$A$21,MOD(I203+הגדרות!$E$9,הגדרות!$E$6)+1))</f>
        <v/>
      </c>
    </row>
    <row r="204" customFormat="false" ht="15" hidden="false" customHeight="false" outlineLevel="0" collapsed="false">
      <c r="A204" s="0" t="str">
        <f aca="false">IF('הדבקת לידים'!A204="","",IF(ISNUMBER('הדבקת לידים'!A204),IF(הגדרות!$E$2&gt;0,TEXT('הדבקת לידים'!A204,REPT("0",הגדרות!$E$2)),TEXT('הדבקת לידים'!A204,"0")),TRIM('הדבקת לידים'!A204)))</f>
        <v/>
      </c>
      <c r="B204" s="0" t="str">
        <f aca="false">IF('הדבקת לידים'!B204="","",IF(ISNUMBER('הדבקת לידים'!B204),IF(הגדרות!$E$3&gt;0,TEXT('הדבקת לידים'!B204,REPT("0",הגדרות!$E$3)),TEXT('הדבקת לידים'!B204,"0")),TRIM('הדבקת לידים'!B204)))</f>
        <v/>
      </c>
      <c r="C204" s="0" t="n">
        <f aca="false">IF(OR(A204&lt;&gt;"",B204&lt;&gt;""),1,0)</f>
        <v>0</v>
      </c>
      <c r="D204" s="0" t="str">
        <f aca="false">IF(C204=1,MOD(ABS(SIN(ROW()*12.9898+'הדבקת לידים'!$F$2*78.233+IFERROR(--RIGHT(A204,6),LEN(A204))*0.0137+IFERROR(--RIGHT(B204,6),LEN(B204))*0.0071))*43758.5453,1),"")</f>
        <v/>
      </c>
      <c r="E204" s="0" t="str">
        <f aca="false">IF(C204=1,INT(MOD(ABS(SIN(D204*7919.123+ROW()*0.618+'הדבקת לידים'!$F$2*1.3))*43758.5453,1)*1000000)*10000+ROW(),"")</f>
        <v/>
      </c>
      <c r="F204" s="0" t="str">
        <f aca="false">IF(E204="","",RANK(E204,$E$2:$E$5001,1))</f>
        <v/>
      </c>
      <c r="G204" s="0" t="n">
        <f aca="false">IF(A204="",0,IF(SUMPRODUCT(--($A$2:$A$5001=A204))&gt;1,1,0))</f>
        <v>0</v>
      </c>
      <c r="H204" s="0" t="n">
        <f aca="false">ROW()-1</f>
        <v>203</v>
      </c>
      <c r="I204" s="0" t="str">
        <f aca="false">IF(OR(הגדרות!$E$6=0,H204&gt;הגדרות!$E$5),"",IF(H204-1&lt;הגדרות!$E$8*(הגדרות!$E$7+1),INT((H204-1)/(הגדרות!$E$7+1)),הגדרות!$E$8+INT((H204-1-הגדרות!$E$8*(הגדרות!$E$7+1))/הגדרות!$E$7)))</f>
        <v/>
      </c>
      <c r="J204" s="0" t="str">
        <f aca="false">IF(I204="","",IF(H204-1&lt;הגדרות!$E$8*(הגדרות!$E$7+1),MOD(H204-1,הגדרות!$E$7+1),MOD(H204-1-הגדרות!$E$8*(הגדרות!$E$7+1),הגדרות!$E$7)))</f>
        <v/>
      </c>
      <c r="K204" s="0" t="str">
        <f aca="false">IF(I204="","",J204*הגדרות!$E$6+I204+1)</f>
        <v/>
      </c>
      <c r="L204" s="0" t="str">
        <f aca="false">IF(K204="","",MATCH(K204,$F$2:$F$5001,0))</f>
        <v/>
      </c>
      <c r="M204" s="0" t="str">
        <f aca="false">IF(I204="","",INDEX(הגדרות!$A$2:$A$21,MOD(I204+הגדרות!$E$9,הגדרות!$E$6)+1))</f>
        <v/>
      </c>
    </row>
    <row r="205" customFormat="false" ht="15" hidden="false" customHeight="false" outlineLevel="0" collapsed="false">
      <c r="A205" s="0" t="str">
        <f aca="false">IF('הדבקת לידים'!A205="","",IF(ISNUMBER('הדבקת לידים'!A205),IF(הגדרות!$E$2&gt;0,TEXT('הדבקת לידים'!A205,REPT("0",הגדרות!$E$2)),TEXT('הדבקת לידים'!A205,"0")),TRIM('הדבקת לידים'!A205)))</f>
        <v/>
      </c>
      <c r="B205" s="0" t="str">
        <f aca="false">IF('הדבקת לידים'!B205="","",IF(ISNUMBER('הדבקת לידים'!B205),IF(הגדרות!$E$3&gt;0,TEXT('הדבקת לידים'!B205,REPT("0",הגדרות!$E$3)),TEXT('הדבקת לידים'!B205,"0")),TRIM('הדבקת לידים'!B205)))</f>
        <v/>
      </c>
      <c r="C205" s="0" t="n">
        <f aca="false">IF(OR(A205&lt;&gt;"",B205&lt;&gt;""),1,0)</f>
        <v>0</v>
      </c>
      <c r="D205" s="0" t="str">
        <f aca="false">IF(C205=1,MOD(ABS(SIN(ROW()*12.9898+'הדבקת לידים'!$F$2*78.233+IFERROR(--RIGHT(A205,6),LEN(A205))*0.0137+IFERROR(--RIGHT(B205,6),LEN(B205))*0.0071))*43758.5453,1),"")</f>
        <v/>
      </c>
      <c r="E205" s="0" t="str">
        <f aca="false">IF(C205=1,INT(MOD(ABS(SIN(D205*7919.123+ROW()*0.618+'הדבקת לידים'!$F$2*1.3))*43758.5453,1)*1000000)*10000+ROW(),"")</f>
        <v/>
      </c>
      <c r="F205" s="0" t="str">
        <f aca="false">IF(E205="","",RANK(E205,$E$2:$E$5001,1))</f>
        <v/>
      </c>
      <c r="G205" s="0" t="n">
        <f aca="false">IF(A205="",0,IF(SUMPRODUCT(--($A$2:$A$5001=A205))&gt;1,1,0))</f>
        <v>0</v>
      </c>
      <c r="H205" s="0" t="n">
        <f aca="false">ROW()-1</f>
        <v>204</v>
      </c>
      <c r="I205" s="0" t="str">
        <f aca="false">IF(OR(הגדרות!$E$6=0,H205&gt;הגדרות!$E$5),"",IF(H205-1&lt;הגדרות!$E$8*(הגדרות!$E$7+1),INT((H205-1)/(הגדרות!$E$7+1)),הגדרות!$E$8+INT((H205-1-הגדרות!$E$8*(הגדרות!$E$7+1))/הגדרות!$E$7)))</f>
        <v/>
      </c>
      <c r="J205" s="0" t="str">
        <f aca="false">IF(I205="","",IF(H205-1&lt;הגדרות!$E$8*(הגדרות!$E$7+1),MOD(H205-1,הגדרות!$E$7+1),MOD(H205-1-הגדרות!$E$8*(הגדרות!$E$7+1),הגדרות!$E$7)))</f>
        <v/>
      </c>
      <c r="K205" s="0" t="str">
        <f aca="false">IF(I205="","",J205*הגדרות!$E$6+I205+1)</f>
        <v/>
      </c>
      <c r="L205" s="0" t="str">
        <f aca="false">IF(K205="","",MATCH(K205,$F$2:$F$5001,0))</f>
        <v/>
      </c>
      <c r="M205" s="0" t="str">
        <f aca="false">IF(I205="","",INDEX(הגדרות!$A$2:$A$21,MOD(I205+הגדרות!$E$9,הגדרות!$E$6)+1))</f>
        <v/>
      </c>
    </row>
    <row r="206" customFormat="false" ht="15" hidden="false" customHeight="false" outlineLevel="0" collapsed="false">
      <c r="A206" s="0" t="str">
        <f aca="false">IF('הדבקת לידים'!A206="","",IF(ISNUMBER('הדבקת לידים'!A206),IF(הגדרות!$E$2&gt;0,TEXT('הדבקת לידים'!A206,REPT("0",הגדרות!$E$2)),TEXT('הדבקת לידים'!A206,"0")),TRIM('הדבקת לידים'!A206)))</f>
        <v/>
      </c>
      <c r="B206" s="0" t="str">
        <f aca="false">IF('הדבקת לידים'!B206="","",IF(ISNUMBER('הדבקת לידים'!B206),IF(הגדרות!$E$3&gt;0,TEXT('הדבקת לידים'!B206,REPT("0",הגדרות!$E$3)),TEXT('הדבקת לידים'!B206,"0")),TRIM('הדבקת לידים'!B206)))</f>
        <v/>
      </c>
      <c r="C206" s="0" t="n">
        <f aca="false">IF(OR(A206&lt;&gt;"",B206&lt;&gt;""),1,0)</f>
        <v>0</v>
      </c>
      <c r="D206" s="0" t="str">
        <f aca="false">IF(C206=1,MOD(ABS(SIN(ROW()*12.9898+'הדבקת לידים'!$F$2*78.233+IFERROR(--RIGHT(A206,6),LEN(A206))*0.0137+IFERROR(--RIGHT(B206,6),LEN(B206))*0.0071))*43758.5453,1),"")</f>
        <v/>
      </c>
      <c r="E206" s="0" t="str">
        <f aca="false">IF(C206=1,INT(MOD(ABS(SIN(D206*7919.123+ROW()*0.618+'הדבקת לידים'!$F$2*1.3))*43758.5453,1)*1000000)*10000+ROW(),"")</f>
        <v/>
      </c>
      <c r="F206" s="0" t="str">
        <f aca="false">IF(E206="","",RANK(E206,$E$2:$E$5001,1))</f>
        <v/>
      </c>
      <c r="G206" s="0" t="n">
        <f aca="false">IF(A206="",0,IF(SUMPRODUCT(--($A$2:$A$5001=A206))&gt;1,1,0))</f>
        <v>0</v>
      </c>
      <c r="H206" s="0" t="n">
        <f aca="false">ROW()-1</f>
        <v>205</v>
      </c>
      <c r="I206" s="0" t="str">
        <f aca="false">IF(OR(הגדרות!$E$6=0,H206&gt;הגדרות!$E$5),"",IF(H206-1&lt;הגדרות!$E$8*(הגדרות!$E$7+1),INT((H206-1)/(הגדרות!$E$7+1)),הגדרות!$E$8+INT((H206-1-הגדרות!$E$8*(הגדרות!$E$7+1))/הגדרות!$E$7)))</f>
        <v/>
      </c>
      <c r="J206" s="0" t="str">
        <f aca="false">IF(I206="","",IF(H206-1&lt;הגדרות!$E$8*(הגדרות!$E$7+1),MOD(H206-1,הגדרות!$E$7+1),MOD(H206-1-הגדרות!$E$8*(הגדרות!$E$7+1),הגדרות!$E$7)))</f>
        <v/>
      </c>
      <c r="K206" s="0" t="str">
        <f aca="false">IF(I206="","",J206*הגדרות!$E$6+I206+1)</f>
        <v/>
      </c>
      <c r="L206" s="0" t="str">
        <f aca="false">IF(K206="","",MATCH(K206,$F$2:$F$5001,0))</f>
        <v/>
      </c>
      <c r="M206" s="0" t="str">
        <f aca="false">IF(I206="","",INDEX(הגדרות!$A$2:$A$21,MOD(I206+הגדרות!$E$9,הגדרות!$E$6)+1))</f>
        <v/>
      </c>
    </row>
    <row r="207" customFormat="false" ht="15" hidden="false" customHeight="false" outlineLevel="0" collapsed="false">
      <c r="A207" s="0" t="str">
        <f aca="false">IF('הדבקת לידים'!A207="","",IF(ISNUMBER('הדבקת לידים'!A207),IF(הגדרות!$E$2&gt;0,TEXT('הדבקת לידים'!A207,REPT("0",הגדרות!$E$2)),TEXT('הדבקת לידים'!A207,"0")),TRIM('הדבקת לידים'!A207)))</f>
        <v/>
      </c>
      <c r="B207" s="0" t="str">
        <f aca="false">IF('הדבקת לידים'!B207="","",IF(ISNUMBER('הדבקת לידים'!B207),IF(הגדרות!$E$3&gt;0,TEXT('הדבקת לידים'!B207,REPT("0",הגדרות!$E$3)),TEXT('הדבקת לידים'!B207,"0")),TRIM('הדבקת לידים'!B207)))</f>
        <v/>
      </c>
      <c r="C207" s="0" t="n">
        <f aca="false">IF(OR(A207&lt;&gt;"",B207&lt;&gt;""),1,0)</f>
        <v>0</v>
      </c>
      <c r="D207" s="0" t="str">
        <f aca="false">IF(C207=1,MOD(ABS(SIN(ROW()*12.9898+'הדבקת לידים'!$F$2*78.233+IFERROR(--RIGHT(A207,6),LEN(A207))*0.0137+IFERROR(--RIGHT(B207,6),LEN(B207))*0.0071))*43758.5453,1),"")</f>
        <v/>
      </c>
      <c r="E207" s="0" t="str">
        <f aca="false">IF(C207=1,INT(MOD(ABS(SIN(D207*7919.123+ROW()*0.618+'הדבקת לידים'!$F$2*1.3))*43758.5453,1)*1000000)*10000+ROW(),"")</f>
        <v/>
      </c>
      <c r="F207" s="0" t="str">
        <f aca="false">IF(E207="","",RANK(E207,$E$2:$E$5001,1))</f>
        <v/>
      </c>
      <c r="G207" s="0" t="n">
        <f aca="false">IF(A207="",0,IF(SUMPRODUCT(--($A$2:$A$5001=A207))&gt;1,1,0))</f>
        <v>0</v>
      </c>
      <c r="H207" s="0" t="n">
        <f aca="false">ROW()-1</f>
        <v>206</v>
      </c>
      <c r="I207" s="0" t="str">
        <f aca="false">IF(OR(הגדרות!$E$6=0,H207&gt;הגדרות!$E$5),"",IF(H207-1&lt;הגדרות!$E$8*(הגדרות!$E$7+1),INT((H207-1)/(הגדרות!$E$7+1)),הגדרות!$E$8+INT((H207-1-הגדרות!$E$8*(הגדרות!$E$7+1))/הגדרות!$E$7)))</f>
        <v/>
      </c>
      <c r="J207" s="0" t="str">
        <f aca="false">IF(I207="","",IF(H207-1&lt;הגדרות!$E$8*(הגדרות!$E$7+1),MOD(H207-1,הגדרות!$E$7+1),MOD(H207-1-הגדרות!$E$8*(הגדרות!$E$7+1),הגדרות!$E$7)))</f>
        <v/>
      </c>
      <c r="K207" s="0" t="str">
        <f aca="false">IF(I207="","",J207*הגדרות!$E$6+I207+1)</f>
        <v/>
      </c>
      <c r="L207" s="0" t="str">
        <f aca="false">IF(K207="","",MATCH(K207,$F$2:$F$5001,0))</f>
        <v/>
      </c>
      <c r="M207" s="0" t="str">
        <f aca="false">IF(I207="","",INDEX(הגדרות!$A$2:$A$21,MOD(I207+הגדרות!$E$9,הגדרות!$E$6)+1))</f>
        <v/>
      </c>
    </row>
    <row r="208" customFormat="false" ht="15" hidden="false" customHeight="false" outlineLevel="0" collapsed="false">
      <c r="A208" s="0" t="str">
        <f aca="false">IF('הדבקת לידים'!A208="","",IF(ISNUMBER('הדבקת לידים'!A208),IF(הגדרות!$E$2&gt;0,TEXT('הדבקת לידים'!A208,REPT("0",הגדרות!$E$2)),TEXT('הדבקת לידים'!A208,"0")),TRIM('הדבקת לידים'!A208)))</f>
        <v/>
      </c>
      <c r="B208" s="0" t="str">
        <f aca="false">IF('הדבקת לידים'!B208="","",IF(ISNUMBER('הדבקת לידים'!B208),IF(הגדרות!$E$3&gt;0,TEXT('הדבקת לידים'!B208,REPT("0",הגדרות!$E$3)),TEXT('הדבקת לידים'!B208,"0")),TRIM('הדבקת לידים'!B208)))</f>
        <v/>
      </c>
      <c r="C208" s="0" t="n">
        <f aca="false">IF(OR(A208&lt;&gt;"",B208&lt;&gt;""),1,0)</f>
        <v>0</v>
      </c>
      <c r="D208" s="0" t="str">
        <f aca="false">IF(C208=1,MOD(ABS(SIN(ROW()*12.9898+'הדבקת לידים'!$F$2*78.233+IFERROR(--RIGHT(A208,6),LEN(A208))*0.0137+IFERROR(--RIGHT(B208,6),LEN(B208))*0.0071))*43758.5453,1),"")</f>
        <v/>
      </c>
      <c r="E208" s="0" t="str">
        <f aca="false">IF(C208=1,INT(MOD(ABS(SIN(D208*7919.123+ROW()*0.618+'הדבקת לידים'!$F$2*1.3))*43758.5453,1)*1000000)*10000+ROW(),"")</f>
        <v/>
      </c>
      <c r="F208" s="0" t="str">
        <f aca="false">IF(E208="","",RANK(E208,$E$2:$E$5001,1))</f>
        <v/>
      </c>
      <c r="G208" s="0" t="n">
        <f aca="false">IF(A208="",0,IF(SUMPRODUCT(--($A$2:$A$5001=A208))&gt;1,1,0))</f>
        <v>0</v>
      </c>
      <c r="H208" s="0" t="n">
        <f aca="false">ROW()-1</f>
        <v>207</v>
      </c>
      <c r="I208" s="0" t="str">
        <f aca="false">IF(OR(הגדרות!$E$6=0,H208&gt;הגדרות!$E$5),"",IF(H208-1&lt;הגדרות!$E$8*(הגדרות!$E$7+1),INT((H208-1)/(הגדרות!$E$7+1)),הגדרות!$E$8+INT((H208-1-הגדרות!$E$8*(הגדרות!$E$7+1))/הגדרות!$E$7)))</f>
        <v/>
      </c>
      <c r="J208" s="0" t="str">
        <f aca="false">IF(I208="","",IF(H208-1&lt;הגדרות!$E$8*(הגדרות!$E$7+1),MOD(H208-1,הגדרות!$E$7+1),MOD(H208-1-הגדרות!$E$8*(הגדרות!$E$7+1),הגדרות!$E$7)))</f>
        <v/>
      </c>
      <c r="K208" s="0" t="str">
        <f aca="false">IF(I208="","",J208*הגדרות!$E$6+I208+1)</f>
        <v/>
      </c>
      <c r="L208" s="0" t="str">
        <f aca="false">IF(K208="","",MATCH(K208,$F$2:$F$5001,0))</f>
        <v/>
      </c>
      <c r="M208" s="0" t="str">
        <f aca="false">IF(I208="","",INDEX(הגדרות!$A$2:$A$21,MOD(I208+הגדרות!$E$9,הגדרות!$E$6)+1))</f>
        <v/>
      </c>
    </row>
    <row r="209" customFormat="false" ht="15" hidden="false" customHeight="false" outlineLevel="0" collapsed="false">
      <c r="A209" s="0" t="str">
        <f aca="false">IF('הדבקת לידים'!A209="","",IF(ISNUMBER('הדבקת לידים'!A209),IF(הגדרות!$E$2&gt;0,TEXT('הדבקת לידים'!A209,REPT("0",הגדרות!$E$2)),TEXT('הדבקת לידים'!A209,"0")),TRIM('הדבקת לידים'!A209)))</f>
        <v/>
      </c>
      <c r="B209" s="0" t="str">
        <f aca="false">IF('הדבקת לידים'!B209="","",IF(ISNUMBER('הדבקת לידים'!B209),IF(הגדרות!$E$3&gt;0,TEXT('הדבקת לידים'!B209,REPT("0",הגדרות!$E$3)),TEXT('הדבקת לידים'!B209,"0")),TRIM('הדבקת לידים'!B209)))</f>
        <v/>
      </c>
      <c r="C209" s="0" t="n">
        <f aca="false">IF(OR(A209&lt;&gt;"",B209&lt;&gt;""),1,0)</f>
        <v>0</v>
      </c>
      <c r="D209" s="0" t="str">
        <f aca="false">IF(C209=1,MOD(ABS(SIN(ROW()*12.9898+'הדבקת לידים'!$F$2*78.233+IFERROR(--RIGHT(A209,6),LEN(A209))*0.0137+IFERROR(--RIGHT(B209,6),LEN(B209))*0.0071))*43758.5453,1),"")</f>
        <v/>
      </c>
      <c r="E209" s="0" t="str">
        <f aca="false">IF(C209=1,INT(MOD(ABS(SIN(D209*7919.123+ROW()*0.618+'הדבקת לידים'!$F$2*1.3))*43758.5453,1)*1000000)*10000+ROW(),"")</f>
        <v/>
      </c>
      <c r="F209" s="0" t="str">
        <f aca="false">IF(E209="","",RANK(E209,$E$2:$E$5001,1))</f>
        <v/>
      </c>
      <c r="G209" s="0" t="n">
        <f aca="false">IF(A209="",0,IF(SUMPRODUCT(--($A$2:$A$5001=A209))&gt;1,1,0))</f>
        <v>0</v>
      </c>
      <c r="H209" s="0" t="n">
        <f aca="false">ROW()-1</f>
        <v>208</v>
      </c>
      <c r="I209" s="0" t="str">
        <f aca="false">IF(OR(הגדרות!$E$6=0,H209&gt;הגדרות!$E$5),"",IF(H209-1&lt;הגדרות!$E$8*(הגדרות!$E$7+1),INT((H209-1)/(הגדרות!$E$7+1)),הגדרות!$E$8+INT((H209-1-הגדרות!$E$8*(הגדרות!$E$7+1))/הגדרות!$E$7)))</f>
        <v/>
      </c>
      <c r="J209" s="0" t="str">
        <f aca="false">IF(I209="","",IF(H209-1&lt;הגדרות!$E$8*(הגדרות!$E$7+1),MOD(H209-1,הגדרות!$E$7+1),MOD(H209-1-הגדרות!$E$8*(הגדרות!$E$7+1),הגדרות!$E$7)))</f>
        <v/>
      </c>
      <c r="K209" s="0" t="str">
        <f aca="false">IF(I209="","",J209*הגדרות!$E$6+I209+1)</f>
        <v/>
      </c>
      <c r="L209" s="0" t="str">
        <f aca="false">IF(K209="","",MATCH(K209,$F$2:$F$5001,0))</f>
        <v/>
      </c>
      <c r="M209" s="0" t="str">
        <f aca="false">IF(I209="","",INDEX(הגדרות!$A$2:$A$21,MOD(I209+הגדרות!$E$9,הגדרות!$E$6)+1))</f>
        <v/>
      </c>
    </row>
    <row r="210" customFormat="false" ht="15" hidden="false" customHeight="false" outlineLevel="0" collapsed="false">
      <c r="A210" s="0" t="str">
        <f aca="false">IF('הדבקת לידים'!A210="","",IF(ISNUMBER('הדבקת לידים'!A210),IF(הגדרות!$E$2&gt;0,TEXT('הדבקת לידים'!A210,REPT("0",הגדרות!$E$2)),TEXT('הדבקת לידים'!A210,"0")),TRIM('הדבקת לידים'!A210)))</f>
        <v/>
      </c>
      <c r="B210" s="0" t="str">
        <f aca="false">IF('הדבקת לידים'!B210="","",IF(ISNUMBER('הדבקת לידים'!B210),IF(הגדרות!$E$3&gt;0,TEXT('הדבקת לידים'!B210,REPT("0",הגדרות!$E$3)),TEXT('הדבקת לידים'!B210,"0")),TRIM('הדבקת לידים'!B210)))</f>
        <v/>
      </c>
      <c r="C210" s="0" t="n">
        <f aca="false">IF(OR(A210&lt;&gt;"",B210&lt;&gt;""),1,0)</f>
        <v>0</v>
      </c>
      <c r="D210" s="0" t="str">
        <f aca="false">IF(C210=1,MOD(ABS(SIN(ROW()*12.9898+'הדבקת לידים'!$F$2*78.233+IFERROR(--RIGHT(A210,6),LEN(A210))*0.0137+IFERROR(--RIGHT(B210,6),LEN(B210))*0.0071))*43758.5453,1),"")</f>
        <v/>
      </c>
      <c r="E210" s="0" t="str">
        <f aca="false">IF(C210=1,INT(MOD(ABS(SIN(D210*7919.123+ROW()*0.618+'הדבקת לידים'!$F$2*1.3))*43758.5453,1)*1000000)*10000+ROW(),"")</f>
        <v/>
      </c>
      <c r="F210" s="0" t="str">
        <f aca="false">IF(E210="","",RANK(E210,$E$2:$E$5001,1))</f>
        <v/>
      </c>
      <c r="G210" s="0" t="n">
        <f aca="false">IF(A210="",0,IF(SUMPRODUCT(--($A$2:$A$5001=A210))&gt;1,1,0))</f>
        <v>0</v>
      </c>
      <c r="H210" s="0" t="n">
        <f aca="false">ROW()-1</f>
        <v>209</v>
      </c>
      <c r="I210" s="0" t="str">
        <f aca="false">IF(OR(הגדרות!$E$6=0,H210&gt;הגדרות!$E$5),"",IF(H210-1&lt;הגדרות!$E$8*(הגדרות!$E$7+1),INT((H210-1)/(הגדרות!$E$7+1)),הגדרות!$E$8+INT((H210-1-הגדרות!$E$8*(הגדרות!$E$7+1))/הגדרות!$E$7)))</f>
        <v/>
      </c>
      <c r="J210" s="0" t="str">
        <f aca="false">IF(I210="","",IF(H210-1&lt;הגדרות!$E$8*(הגדרות!$E$7+1),MOD(H210-1,הגדרות!$E$7+1),MOD(H210-1-הגדרות!$E$8*(הגדרות!$E$7+1),הגדרות!$E$7)))</f>
        <v/>
      </c>
      <c r="K210" s="0" t="str">
        <f aca="false">IF(I210="","",J210*הגדרות!$E$6+I210+1)</f>
        <v/>
      </c>
      <c r="L210" s="0" t="str">
        <f aca="false">IF(K210="","",MATCH(K210,$F$2:$F$5001,0))</f>
        <v/>
      </c>
      <c r="M210" s="0" t="str">
        <f aca="false">IF(I210="","",INDEX(הגדרות!$A$2:$A$21,MOD(I210+הגדרות!$E$9,הגדרות!$E$6)+1))</f>
        <v/>
      </c>
    </row>
    <row r="211" customFormat="false" ht="15" hidden="false" customHeight="false" outlineLevel="0" collapsed="false">
      <c r="A211" s="0" t="str">
        <f aca="false">IF('הדבקת לידים'!A211="","",IF(ISNUMBER('הדבקת לידים'!A211),IF(הגדרות!$E$2&gt;0,TEXT('הדבקת לידים'!A211,REPT("0",הגדרות!$E$2)),TEXT('הדבקת לידים'!A211,"0")),TRIM('הדבקת לידים'!A211)))</f>
        <v/>
      </c>
      <c r="B211" s="0" t="str">
        <f aca="false">IF('הדבקת לידים'!B211="","",IF(ISNUMBER('הדבקת לידים'!B211),IF(הגדרות!$E$3&gt;0,TEXT('הדבקת לידים'!B211,REPT("0",הגדרות!$E$3)),TEXT('הדבקת לידים'!B211,"0")),TRIM('הדבקת לידים'!B211)))</f>
        <v/>
      </c>
      <c r="C211" s="0" t="n">
        <f aca="false">IF(OR(A211&lt;&gt;"",B211&lt;&gt;""),1,0)</f>
        <v>0</v>
      </c>
      <c r="D211" s="0" t="str">
        <f aca="false">IF(C211=1,MOD(ABS(SIN(ROW()*12.9898+'הדבקת לידים'!$F$2*78.233+IFERROR(--RIGHT(A211,6),LEN(A211))*0.0137+IFERROR(--RIGHT(B211,6),LEN(B211))*0.0071))*43758.5453,1),"")</f>
        <v/>
      </c>
      <c r="E211" s="0" t="str">
        <f aca="false">IF(C211=1,INT(MOD(ABS(SIN(D211*7919.123+ROW()*0.618+'הדבקת לידים'!$F$2*1.3))*43758.5453,1)*1000000)*10000+ROW(),"")</f>
        <v/>
      </c>
      <c r="F211" s="0" t="str">
        <f aca="false">IF(E211="","",RANK(E211,$E$2:$E$5001,1))</f>
        <v/>
      </c>
      <c r="G211" s="0" t="n">
        <f aca="false">IF(A211="",0,IF(SUMPRODUCT(--($A$2:$A$5001=A211))&gt;1,1,0))</f>
        <v>0</v>
      </c>
      <c r="H211" s="0" t="n">
        <f aca="false">ROW()-1</f>
        <v>210</v>
      </c>
      <c r="I211" s="0" t="str">
        <f aca="false">IF(OR(הגדרות!$E$6=0,H211&gt;הגדרות!$E$5),"",IF(H211-1&lt;הגדרות!$E$8*(הגדרות!$E$7+1),INT((H211-1)/(הגדרות!$E$7+1)),הגדרות!$E$8+INT((H211-1-הגדרות!$E$8*(הגדרות!$E$7+1))/הגדרות!$E$7)))</f>
        <v/>
      </c>
      <c r="J211" s="0" t="str">
        <f aca="false">IF(I211="","",IF(H211-1&lt;הגדרות!$E$8*(הגדרות!$E$7+1),MOD(H211-1,הגדרות!$E$7+1),MOD(H211-1-הגדרות!$E$8*(הגדרות!$E$7+1),הגדרות!$E$7)))</f>
        <v/>
      </c>
      <c r="K211" s="0" t="str">
        <f aca="false">IF(I211="","",J211*הגדרות!$E$6+I211+1)</f>
        <v/>
      </c>
      <c r="L211" s="0" t="str">
        <f aca="false">IF(K211="","",MATCH(K211,$F$2:$F$5001,0))</f>
        <v/>
      </c>
      <c r="M211" s="0" t="str">
        <f aca="false">IF(I211="","",INDEX(הגדרות!$A$2:$A$21,MOD(I211+הגדרות!$E$9,הגדרות!$E$6)+1))</f>
        <v/>
      </c>
    </row>
    <row r="212" customFormat="false" ht="15" hidden="false" customHeight="false" outlineLevel="0" collapsed="false">
      <c r="A212" s="0" t="str">
        <f aca="false">IF('הדבקת לידים'!A212="","",IF(ISNUMBER('הדבקת לידים'!A212),IF(הגדרות!$E$2&gt;0,TEXT('הדבקת לידים'!A212,REPT("0",הגדרות!$E$2)),TEXT('הדבקת לידים'!A212,"0")),TRIM('הדבקת לידים'!A212)))</f>
        <v/>
      </c>
      <c r="B212" s="0" t="str">
        <f aca="false">IF('הדבקת לידים'!B212="","",IF(ISNUMBER('הדבקת לידים'!B212),IF(הגדרות!$E$3&gt;0,TEXT('הדבקת לידים'!B212,REPT("0",הגדרות!$E$3)),TEXT('הדבקת לידים'!B212,"0")),TRIM('הדבקת לידים'!B212)))</f>
        <v/>
      </c>
      <c r="C212" s="0" t="n">
        <f aca="false">IF(OR(A212&lt;&gt;"",B212&lt;&gt;""),1,0)</f>
        <v>0</v>
      </c>
      <c r="D212" s="0" t="str">
        <f aca="false">IF(C212=1,MOD(ABS(SIN(ROW()*12.9898+'הדבקת לידים'!$F$2*78.233+IFERROR(--RIGHT(A212,6),LEN(A212))*0.0137+IFERROR(--RIGHT(B212,6),LEN(B212))*0.0071))*43758.5453,1),"")</f>
        <v/>
      </c>
      <c r="E212" s="0" t="str">
        <f aca="false">IF(C212=1,INT(MOD(ABS(SIN(D212*7919.123+ROW()*0.618+'הדבקת לידים'!$F$2*1.3))*43758.5453,1)*1000000)*10000+ROW(),"")</f>
        <v/>
      </c>
      <c r="F212" s="0" t="str">
        <f aca="false">IF(E212="","",RANK(E212,$E$2:$E$5001,1))</f>
        <v/>
      </c>
      <c r="G212" s="0" t="n">
        <f aca="false">IF(A212="",0,IF(SUMPRODUCT(--($A$2:$A$5001=A212))&gt;1,1,0))</f>
        <v>0</v>
      </c>
      <c r="H212" s="0" t="n">
        <f aca="false">ROW()-1</f>
        <v>211</v>
      </c>
      <c r="I212" s="0" t="str">
        <f aca="false">IF(OR(הגדרות!$E$6=0,H212&gt;הגדרות!$E$5),"",IF(H212-1&lt;הגדרות!$E$8*(הגדרות!$E$7+1),INT((H212-1)/(הגדרות!$E$7+1)),הגדרות!$E$8+INT((H212-1-הגדרות!$E$8*(הגדרות!$E$7+1))/הגדרות!$E$7)))</f>
        <v/>
      </c>
      <c r="J212" s="0" t="str">
        <f aca="false">IF(I212="","",IF(H212-1&lt;הגדרות!$E$8*(הגדרות!$E$7+1),MOD(H212-1,הגדרות!$E$7+1),MOD(H212-1-הגדרות!$E$8*(הגדרות!$E$7+1),הגדרות!$E$7)))</f>
        <v/>
      </c>
      <c r="K212" s="0" t="str">
        <f aca="false">IF(I212="","",J212*הגדרות!$E$6+I212+1)</f>
        <v/>
      </c>
      <c r="L212" s="0" t="str">
        <f aca="false">IF(K212="","",MATCH(K212,$F$2:$F$5001,0))</f>
        <v/>
      </c>
      <c r="M212" s="0" t="str">
        <f aca="false">IF(I212="","",INDEX(הגדרות!$A$2:$A$21,MOD(I212+הגדרות!$E$9,הגדרות!$E$6)+1))</f>
        <v/>
      </c>
    </row>
    <row r="213" customFormat="false" ht="15" hidden="false" customHeight="false" outlineLevel="0" collapsed="false">
      <c r="A213" s="0" t="str">
        <f aca="false">IF('הדבקת לידים'!A213="","",IF(ISNUMBER('הדבקת לידים'!A213),IF(הגדרות!$E$2&gt;0,TEXT('הדבקת לידים'!A213,REPT("0",הגדרות!$E$2)),TEXT('הדבקת לידים'!A213,"0")),TRIM('הדבקת לידים'!A213)))</f>
        <v/>
      </c>
      <c r="B213" s="0" t="str">
        <f aca="false">IF('הדבקת לידים'!B213="","",IF(ISNUMBER('הדבקת לידים'!B213),IF(הגדרות!$E$3&gt;0,TEXT('הדבקת לידים'!B213,REPT("0",הגדרות!$E$3)),TEXT('הדבקת לידים'!B213,"0")),TRIM('הדבקת לידים'!B213)))</f>
        <v/>
      </c>
      <c r="C213" s="0" t="n">
        <f aca="false">IF(OR(A213&lt;&gt;"",B213&lt;&gt;""),1,0)</f>
        <v>0</v>
      </c>
      <c r="D213" s="0" t="str">
        <f aca="false">IF(C213=1,MOD(ABS(SIN(ROW()*12.9898+'הדבקת לידים'!$F$2*78.233+IFERROR(--RIGHT(A213,6),LEN(A213))*0.0137+IFERROR(--RIGHT(B213,6),LEN(B213))*0.0071))*43758.5453,1),"")</f>
        <v/>
      </c>
      <c r="E213" s="0" t="str">
        <f aca="false">IF(C213=1,INT(MOD(ABS(SIN(D213*7919.123+ROW()*0.618+'הדבקת לידים'!$F$2*1.3))*43758.5453,1)*1000000)*10000+ROW(),"")</f>
        <v/>
      </c>
      <c r="F213" s="0" t="str">
        <f aca="false">IF(E213="","",RANK(E213,$E$2:$E$5001,1))</f>
        <v/>
      </c>
      <c r="G213" s="0" t="n">
        <f aca="false">IF(A213="",0,IF(SUMPRODUCT(--($A$2:$A$5001=A213))&gt;1,1,0))</f>
        <v>0</v>
      </c>
      <c r="H213" s="0" t="n">
        <f aca="false">ROW()-1</f>
        <v>212</v>
      </c>
      <c r="I213" s="0" t="str">
        <f aca="false">IF(OR(הגדרות!$E$6=0,H213&gt;הגדרות!$E$5),"",IF(H213-1&lt;הגדרות!$E$8*(הגדרות!$E$7+1),INT((H213-1)/(הגדרות!$E$7+1)),הגדרות!$E$8+INT((H213-1-הגדרות!$E$8*(הגדרות!$E$7+1))/הגדרות!$E$7)))</f>
        <v/>
      </c>
      <c r="J213" s="0" t="str">
        <f aca="false">IF(I213="","",IF(H213-1&lt;הגדרות!$E$8*(הגדרות!$E$7+1),MOD(H213-1,הגדרות!$E$7+1),MOD(H213-1-הגדרות!$E$8*(הגדרות!$E$7+1),הגדרות!$E$7)))</f>
        <v/>
      </c>
      <c r="K213" s="0" t="str">
        <f aca="false">IF(I213="","",J213*הגדרות!$E$6+I213+1)</f>
        <v/>
      </c>
      <c r="L213" s="0" t="str">
        <f aca="false">IF(K213="","",MATCH(K213,$F$2:$F$5001,0))</f>
        <v/>
      </c>
      <c r="M213" s="0" t="str">
        <f aca="false">IF(I213="","",INDEX(הגדרות!$A$2:$A$21,MOD(I213+הגדרות!$E$9,הגדרות!$E$6)+1))</f>
        <v/>
      </c>
    </row>
    <row r="214" customFormat="false" ht="15" hidden="false" customHeight="false" outlineLevel="0" collapsed="false">
      <c r="A214" s="0" t="str">
        <f aca="false">IF('הדבקת לידים'!A214="","",IF(ISNUMBER('הדבקת לידים'!A214),IF(הגדרות!$E$2&gt;0,TEXT('הדבקת לידים'!A214,REPT("0",הגדרות!$E$2)),TEXT('הדבקת לידים'!A214,"0")),TRIM('הדבקת לידים'!A214)))</f>
        <v/>
      </c>
      <c r="B214" s="0" t="str">
        <f aca="false">IF('הדבקת לידים'!B214="","",IF(ISNUMBER('הדבקת לידים'!B214),IF(הגדרות!$E$3&gt;0,TEXT('הדבקת לידים'!B214,REPT("0",הגדרות!$E$3)),TEXT('הדבקת לידים'!B214,"0")),TRIM('הדבקת לידים'!B214)))</f>
        <v/>
      </c>
      <c r="C214" s="0" t="n">
        <f aca="false">IF(OR(A214&lt;&gt;"",B214&lt;&gt;""),1,0)</f>
        <v>0</v>
      </c>
      <c r="D214" s="0" t="str">
        <f aca="false">IF(C214=1,MOD(ABS(SIN(ROW()*12.9898+'הדבקת לידים'!$F$2*78.233+IFERROR(--RIGHT(A214,6),LEN(A214))*0.0137+IFERROR(--RIGHT(B214,6),LEN(B214))*0.0071))*43758.5453,1),"")</f>
        <v/>
      </c>
      <c r="E214" s="0" t="str">
        <f aca="false">IF(C214=1,INT(MOD(ABS(SIN(D214*7919.123+ROW()*0.618+'הדבקת לידים'!$F$2*1.3))*43758.5453,1)*1000000)*10000+ROW(),"")</f>
        <v/>
      </c>
      <c r="F214" s="0" t="str">
        <f aca="false">IF(E214="","",RANK(E214,$E$2:$E$5001,1))</f>
        <v/>
      </c>
      <c r="G214" s="0" t="n">
        <f aca="false">IF(A214="",0,IF(SUMPRODUCT(--($A$2:$A$5001=A214))&gt;1,1,0))</f>
        <v>0</v>
      </c>
      <c r="H214" s="0" t="n">
        <f aca="false">ROW()-1</f>
        <v>213</v>
      </c>
      <c r="I214" s="0" t="str">
        <f aca="false">IF(OR(הגדרות!$E$6=0,H214&gt;הגדרות!$E$5),"",IF(H214-1&lt;הגדרות!$E$8*(הגדרות!$E$7+1),INT((H214-1)/(הגדרות!$E$7+1)),הגדרות!$E$8+INT((H214-1-הגדרות!$E$8*(הגדרות!$E$7+1))/הגדרות!$E$7)))</f>
        <v/>
      </c>
      <c r="J214" s="0" t="str">
        <f aca="false">IF(I214="","",IF(H214-1&lt;הגדרות!$E$8*(הגדרות!$E$7+1),MOD(H214-1,הגדרות!$E$7+1),MOD(H214-1-הגדרות!$E$8*(הגדרות!$E$7+1),הגדרות!$E$7)))</f>
        <v/>
      </c>
      <c r="K214" s="0" t="str">
        <f aca="false">IF(I214="","",J214*הגדרות!$E$6+I214+1)</f>
        <v/>
      </c>
      <c r="L214" s="0" t="str">
        <f aca="false">IF(K214="","",MATCH(K214,$F$2:$F$5001,0))</f>
        <v/>
      </c>
      <c r="M214" s="0" t="str">
        <f aca="false">IF(I214="","",INDEX(הגדרות!$A$2:$A$21,MOD(I214+הגדרות!$E$9,הגדרות!$E$6)+1))</f>
        <v/>
      </c>
    </row>
    <row r="215" customFormat="false" ht="15" hidden="false" customHeight="false" outlineLevel="0" collapsed="false">
      <c r="A215" s="0" t="str">
        <f aca="false">IF('הדבקת לידים'!A215="","",IF(ISNUMBER('הדבקת לידים'!A215),IF(הגדרות!$E$2&gt;0,TEXT('הדבקת לידים'!A215,REPT("0",הגדרות!$E$2)),TEXT('הדבקת לידים'!A215,"0")),TRIM('הדבקת לידים'!A215)))</f>
        <v/>
      </c>
      <c r="B215" s="0" t="str">
        <f aca="false">IF('הדבקת לידים'!B215="","",IF(ISNUMBER('הדבקת לידים'!B215),IF(הגדרות!$E$3&gt;0,TEXT('הדבקת לידים'!B215,REPT("0",הגדרות!$E$3)),TEXT('הדבקת לידים'!B215,"0")),TRIM('הדבקת לידים'!B215)))</f>
        <v/>
      </c>
      <c r="C215" s="0" t="n">
        <f aca="false">IF(OR(A215&lt;&gt;"",B215&lt;&gt;""),1,0)</f>
        <v>0</v>
      </c>
      <c r="D215" s="0" t="str">
        <f aca="false">IF(C215=1,MOD(ABS(SIN(ROW()*12.9898+'הדבקת לידים'!$F$2*78.233+IFERROR(--RIGHT(A215,6),LEN(A215))*0.0137+IFERROR(--RIGHT(B215,6),LEN(B215))*0.0071))*43758.5453,1),"")</f>
        <v/>
      </c>
      <c r="E215" s="0" t="str">
        <f aca="false">IF(C215=1,INT(MOD(ABS(SIN(D215*7919.123+ROW()*0.618+'הדבקת לידים'!$F$2*1.3))*43758.5453,1)*1000000)*10000+ROW(),"")</f>
        <v/>
      </c>
      <c r="F215" s="0" t="str">
        <f aca="false">IF(E215="","",RANK(E215,$E$2:$E$5001,1))</f>
        <v/>
      </c>
      <c r="G215" s="0" t="n">
        <f aca="false">IF(A215="",0,IF(SUMPRODUCT(--($A$2:$A$5001=A215))&gt;1,1,0))</f>
        <v>0</v>
      </c>
      <c r="H215" s="0" t="n">
        <f aca="false">ROW()-1</f>
        <v>214</v>
      </c>
      <c r="I215" s="0" t="str">
        <f aca="false">IF(OR(הגדרות!$E$6=0,H215&gt;הגדרות!$E$5),"",IF(H215-1&lt;הגדרות!$E$8*(הגדרות!$E$7+1),INT((H215-1)/(הגדרות!$E$7+1)),הגדרות!$E$8+INT((H215-1-הגדרות!$E$8*(הגדרות!$E$7+1))/הגדרות!$E$7)))</f>
        <v/>
      </c>
      <c r="J215" s="0" t="str">
        <f aca="false">IF(I215="","",IF(H215-1&lt;הגדרות!$E$8*(הגדרות!$E$7+1),MOD(H215-1,הגדרות!$E$7+1),MOD(H215-1-הגדרות!$E$8*(הגדרות!$E$7+1),הגדרות!$E$7)))</f>
        <v/>
      </c>
      <c r="K215" s="0" t="str">
        <f aca="false">IF(I215="","",J215*הגדרות!$E$6+I215+1)</f>
        <v/>
      </c>
      <c r="L215" s="0" t="str">
        <f aca="false">IF(K215="","",MATCH(K215,$F$2:$F$5001,0))</f>
        <v/>
      </c>
      <c r="M215" s="0" t="str">
        <f aca="false">IF(I215="","",INDEX(הגדרות!$A$2:$A$21,MOD(I215+הגדרות!$E$9,הגדרות!$E$6)+1))</f>
        <v/>
      </c>
    </row>
    <row r="216" customFormat="false" ht="15" hidden="false" customHeight="false" outlineLevel="0" collapsed="false">
      <c r="A216" s="0" t="str">
        <f aca="false">IF('הדבקת לידים'!A216="","",IF(ISNUMBER('הדבקת לידים'!A216),IF(הגדרות!$E$2&gt;0,TEXT('הדבקת לידים'!A216,REPT("0",הגדרות!$E$2)),TEXT('הדבקת לידים'!A216,"0")),TRIM('הדבקת לידים'!A216)))</f>
        <v/>
      </c>
      <c r="B216" s="0" t="str">
        <f aca="false">IF('הדבקת לידים'!B216="","",IF(ISNUMBER('הדבקת לידים'!B216),IF(הגדרות!$E$3&gt;0,TEXT('הדבקת לידים'!B216,REPT("0",הגדרות!$E$3)),TEXT('הדבקת לידים'!B216,"0")),TRIM('הדבקת לידים'!B216)))</f>
        <v/>
      </c>
      <c r="C216" s="0" t="n">
        <f aca="false">IF(OR(A216&lt;&gt;"",B216&lt;&gt;""),1,0)</f>
        <v>0</v>
      </c>
      <c r="D216" s="0" t="str">
        <f aca="false">IF(C216=1,MOD(ABS(SIN(ROW()*12.9898+'הדבקת לידים'!$F$2*78.233+IFERROR(--RIGHT(A216,6),LEN(A216))*0.0137+IFERROR(--RIGHT(B216,6),LEN(B216))*0.0071))*43758.5453,1),"")</f>
        <v/>
      </c>
      <c r="E216" s="0" t="str">
        <f aca="false">IF(C216=1,INT(MOD(ABS(SIN(D216*7919.123+ROW()*0.618+'הדבקת לידים'!$F$2*1.3))*43758.5453,1)*1000000)*10000+ROW(),"")</f>
        <v/>
      </c>
      <c r="F216" s="0" t="str">
        <f aca="false">IF(E216="","",RANK(E216,$E$2:$E$5001,1))</f>
        <v/>
      </c>
      <c r="G216" s="0" t="n">
        <f aca="false">IF(A216="",0,IF(SUMPRODUCT(--($A$2:$A$5001=A216))&gt;1,1,0))</f>
        <v>0</v>
      </c>
      <c r="H216" s="0" t="n">
        <f aca="false">ROW()-1</f>
        <v>215</v>
      </c>
      <c r="I216" s="0" t="str">
        <f aca="false">IF(OR(הגדרות!$E$6=0,H216&gt;הגדרות!$E$5),"",IF(H216-1&lt;הגדרות!$E$8*(הגדרות!$E$7+1),INT((H216-1)/(הגדרות!$E$7+1)),הגדרות!$E$8+INT((H216-1-הגדרות!$E$8*(הגדרות!$E$7+1))/הגדרות!$E$7)))</f>
        <v/>
      </c>
      <c r="J216" s="0" t="str">
        <f aca="false">IF(I216="","",IF(H216-1&lt;הגדרות!$E$8*(הגדרות!$E$7+1),MOD(H216-1,הגדרות!$E$7+1),MOD(H216-1-הגדרות!$E$8*(הגדרות!$E$7+1),הגדרות!$E$7)))</f>
        <v/>
      </c>
      <c r="K216" s="0" t="str">
        <f aca="false">IF(I216="","",J216*הגדרות!$E$6+I216+1)</f>
        <v/>
      </c>
      <c r="L216" s="0" t="str">
        <f aca="false">IF(K216="","",MATCH(K216,$F$2:$F$5001,0))</f>
        <v/>
      </c>
      <c r="M216" s="0" t="str">
        <f aca="false">IF(I216="","",INDEX(הגדרות!$A$2:$A$21,MOD(I216+הגדרות!$E$9,הגדרות!$E$6)+1))</f>
        <v/>
      </c>
    </row>
    <row r="217" customFormat="false" ht="15" hidden="false" customHeight="false" outlineLevel="0" collapsed="false">
      <c r="A217" s="0" t="str">
        <f aca="false">IF('הדבקת לידים'!A217="","",IF(ISNUMBER('הדבקת לידים'!A217),IF(הגדרות!$E$2&gt;0,TEXT('הדבקת לידים'!A217,REPT("0",הגדרות!$E$2)),TEXT('הדבקת לידים'!A217,"0")),TRIM('הדבקת לידים'!A217)))</f>
        <v/>
      </c>
      <c r="B217" s="0" t="str">
        <f aca="false">IF('הדבקת לידים'!B217="","",IF(ISNUMBER('הדבקת לידים'!B217),IF(הגדרות!$E$3&gt;0,TEXT('הדבקת לידים'!B217,REPT("0",הגדרות!$E$3)),TEXT('הדבקת לידים'!B217,"0")),TRIM('הדבקת לידים'!B217)))</f>
        <v/>
      </c>
      <c r="C217" s="0" t="n">
        <f aca="false">IF(OR(A217&lt;&gt;"",B217&lt;&gt;""),1,0)</f>
        <v>0</v>
      </c>
      <c r="D217" s="0" t="str">
        <f aca="false">IF(C217=1,MOD(ABS(SIN(ROW()*12.9898+'הדבקת לידים'!$F$2*78.233+IFERROR(--RIGHT(A217,6),LEN(A217))*0.0137+IFERROR(--RIGHT(B217,6),LEN(B217))*0.0071))*43758.5453,1),"")</f>
        <v/>
      </c>
      <c r="E217" s="0" t="str">
        <f aca="false">IF(C217=1,INT(MOD(ABS(SIN(D217*7919.123+ROW()*0.618+'הדבקת לידים'!$F$2*1.3))*43758.5453,1)*1000000)*10000+ROW(),"")</f>
        <v/>
      </c>
      <c r="F217" s="0" t="str">
        <f aca="false">IF(E217="","",RANK(E217,$E$2:$E$5001,1))</f>
        <v/>
      </c>
      <c r="G217" s="0" t="n">
        <f aca="false">IF(A217="",0,IF(SUMPRODUCT(--($A$2:$A$5001=A217))&gt;1,1,0))</f>
        <v>0</v>
      </c>
      <c r="H217" s="0" t="n">
        <f aca="false">ROW()-1</f>
        <v>216</v>
      </c>
      <c r="I217" s="0" t="str">
        <f aca="false">IF(OR(הגדרות!$E$6=0,H217&gt;הגדרות!$E$5),"",IF(H217-1&lt;הגדרות!$E$8*(הגדרות!$E$7+1),INT((H217-1)/(הגדרות!$E$7+1)),הגדרות!$E$8+INT((H217-1-הגדרות!$E$8*(הגדרות!$E$7+1))/הגדרות!$E$7)))</f>
        <v/>
      </c>
      <c r="J217" s="0" t="str">
        <f aca="false">IF(I217="","",IF(H217-1&lt;הגדרות!$E$8*(הגדרות!$E$7+1),MOD(H217-1,הגדרות!$E$7+1),MOD(H217-1-הגדרות!$E$8*(הגדרות!$E$7+1),הגדרות!$E$7)))</f>
        <v/>
      </c>
      <c r="K217" s="0" t="str">
        <f aca="false">IF(I217="","",J217*הגדרות!$E$6+I217+1)</f>
        <v/>
      </c>
      <c r="L217" s="0" t="str">
        <f aca="false">IF(K217="","",MATCH(K217,$F$2:$F$5001,0))</f>
        <v/>
      </c>
      <c r="M217" s="0" t="str">
        <f aca="false">IF(I217="","",INDEX(הגדרות!$A$2:$A$21,MOD(I217+הגדרות!$E$9,הגדרות!$E$6)+1))</f>
        <v/>
      </c>
    </row>
    <row r="218" customFormat="false" ht="15" hidden="false" customHeight="false" outlineLevel="0" collapsed="false">
      <c r="A218" s="0" t="str">
        <f aca="false">IF('הדבקת לידים'!A218="","",IF(ISNUMBER('הדבקת לידים'!A218),IF(הגדרות!$E$2&gt;0,TEXT('הדבקת לידים'!A218,REPT("0",הגדרות!$E$2)),TEXT('הדבקת לידים'!A218,"0")),TRIM('הדבקת לידים'!A218)))</f>
        <v/>
      </c>
      <c r="B218" s="0" t="str">
        <f aca="false">IF('הדבקת לידים'!B218="","",IF(ISNUMBER('הדבקת לידים'!B218),IF(הגדרות!$E$3&gt;0,TEXT('הדבקת לידים'!B218,REPT("0",הגדרות!$E$3)),TEXT('הדבקת לידים'!B218,"0")),TRIM('הדבקת לידים'!B218)))</f>
        <v/>
      </c>
      <c r="C218" s="0" t="n">
        <f aca="false">IF(OR(A218&lt;&gt;"",B218&lt;&gt;""),1,0)</f>
        <v>0</v>
      </c>
      <c r="D218" s="0" t="str">
        <f aca="false">IF(C218=1,MOD(ABS(SIN(ROW()*12.9898+'הדבקת לידים'!$F$2*78.233+IFERROR(--RIGHT(A218,6),LEN(A218))*0.0137+IFERROR(--RIGHT(B218,6),LEN(B218))*0.0071))*43758.5453,1),"")</f>
        <v/>
      </c>
      <c r="E218" s="0" t="str">
        <f aca="false">IF(C218=1,INT(MOD(ABS(SIN(D218*7919.123+ROW()*0.618+'הדבקת לידים'!$F$2*1.3))*43758.5453,1)*1000000)*10000+ROW(),"")</f>
        <v/>
      </c>
      <c r="F218" s="0" t="str">
        <f aca="false">IF(E218="","",RANK(E218,$E$2:$E$5001,1))</f>
        <v/>
      </c>
      <c r="G218" s="0" t="n">
        <f aca="false">IF(A218="",0,IF(SUMPRODUCT(--($A$2:$A$5001=A218))&gt;1,1,0))</f>
        <v>0</v>
      </c>
      <c r="H218" s="0" t="n">
        <f aca="false">ROW()-1</f>
        <v>217</v>
      </c>
      <c r="I218" s="0" t="str">
        <f aca="false">IF(OR(הגדרות!$E$6=0,H218&gt;הגדרות!$E$5),"",IF(H218-1&lt;הגדרות!$E$8*(הגדרות!$E$7+1),INT((H218-1)/(הגדרות!$E$7+1)),הגדרות!$E$8+INT((H218-1-הגדרות!$E$8*(הגדרות!$E$7+1))/הגדרות!$E$7)))</f>
        <v/>
      </c>
      <c r="J218" s="0" t="str">
        <f aca="false">IF(I218="","",IF(H218-1&lt;הגדרות!$E$8*(הגדרות!$E$7+1),MOD(H218-1,הגדרות!$E$7+1),MOD(H218-1-הגדרות!$E$8*(הגדרות!$E$7+1),הגדרות!$E$7)))</f>
        <v/>
      </c>
      <c r="K218" s="0" t="str">
        <f aca="false">IF(I218="","",J218*הגדרות!$E$6+I218+1)</f>
        <v/>
      </c>
      <c r="L218" s="0" t="str">
        <f aca="false">IF(K218="","",MATCH(K218,$F$2:$F$5001,0))</f>
        <v/>
      </c>
      <c r="M218" s="0" t="str">
        <f aca="false">IF(I218="","",INDEX(הגדרות!$A$2:$A$21,MOD(I218+הגדרות!$E$9,הגדרות!$E$6)+1))</f>
        <v/>
      </c>
    </row>
    <row r="219" customFormat="false" ht="15" hidden="false" customHeight="false" outlineLevel="0" collapsed="false">
      <c r="A219" s="0" t="str">
        <f aca="false">IF('הדבקת לידים'!A219="","",IF(ISNUMBER('הדבקת לידים'!A219),IF(הגדרות!$E$2&gt;0,TEXT('הדבקת לידים'!A219,REPT("0",הגדרות!$E$2)),TEXT('הדבקת לידים'!A219,"0")),TRIM('הדבקת לידים'!A219)))</f>
        <v/>
      </c>
      <c r="B219" s="0" t="str">
        <f aca="false">IF('הדבקת לידים'!B219="","",IF(ISNUMBER('הדבקת לידים'!B219),IF(הגדרות!$E$3&gt;0,TEXT('הדבקת לידים'!B219,REPT("0",הגדרות!$E$3)),TEXT('הדבקת לידים'!B219,"0")),TRIM('הדבקת לידים'!B219)))</f>
        <v/>
      </c>
      <c r="C219" s="0" t="n">
        <f aca="false">IF(OR(A219&lt;&gt;"",B219&lt;&gt;""),1,0)</f>
        <v>0</v>
      </c>
      <c r="D219" s="0" t="str">
        <f aca="false">IF(C219=1,MOD(ABS(SIN(ROW()*12.9898+'הדבקת לידים'!$F$2*78.233+IFERROR(--RIGHT(A219,6),LEN(A219))*0.0137+IFERROR(--RIGHT(B219,6),LEN(B219))*0.0071))*43758.5453,1),"")</f>
        <v/>
      </c>
      <c r="E219" s="0" t="str">
        <f aca="false">IF(C219=1,INT(MOD(ABS(SIN(D219*7919.123+ROW()*0.618+'הדבקת לידים'!$F$2*1.3))*43758.5453,1)*1000000)*10000+ROW(),"")</f>
        <v/>
      </c>
      <c r="F219" s="0" t="str">
        <f aca="false">IF(E219="","",RANK(E219,$E$2:$E$5001,1))</f>
        <v/>
      </c>
      <c r="G219" s="0" t="n">
        <f aca="false">IF(A219="",0,IF(SUMPRODUCT(--($A$2:$A$5001=A219))&gt;1,1,0))</f>
        <v>0</v>
      </c>
      <c r="H219" s="0" t="n">
        <f aca="false">ROW()-1</f>
        <v>218</v>
      </c>
      <c r="I219" s="0" t="str">
        <f aca="false">IF(OR(הגדרות!$E$6=0,H219&gt;הגדרות!$E$5),"",IF(H219-1&lt;הגדרות!$E$8*(הגדרות!$E$7+1),INT((H219-1)/(הגדרות!$E$7+1)),הגדרות!$E$8+INT((H219-1-הגדרות!$E$8*(הגדרות!$E$7+1))/הגדרות!$E$7)))</f>
        <v/>
      </c>
      <c r="J219" s="0" t="str">
        <f aca="false">IF(I219="","",IF(H219-1&lt;הגדרות!$E$8*(הגדרות!$E$7+1),MOD(H219-1,הגדרות!$E$7+1),MOD(H219-1-הגדרות!$E$8*(הגדרות!$E$7+1),הגדרות!$E$7)))</f>
        <v/>
      </c>
      <c r="K219" s="0" t="str">
        <f aca="false">IF(I219="","",J219*הגדרות!$E$6+I219+1)</f>
        <v/>
      </c>
      <c r="L219" s="0" t="str">
        <f aca="false">IF(K219="","",MATCH(K219,$F$2:$F$5001,0))</f>
        <v/>
      </c>
      <c r="M219" s="0" t="str">
        <f aca="false">IF(I219="","",INDEX(הגדרות!$A$2:$A$21,MOD(I219+הגדרות!$E$9,הגדרות!$E$6)+1))</f>
        <v/>
      </c>
    </row>
    <row r="220" customFormat="false" ht="15" hidden="false" customHeight="false" outlineLevel="0" collapsed="false">
      <c r="A220" s="0" t="str">
        <f aca="false">IF('הדבקת לידים'!A220="","",IF(ISNUMBER('הדבקת לידים'!A220),IF(הגדרות!$E$2&gt;0,TEXT('הדבקת לידים'!A220,REPT("0",הגדרות!$E$2)),TEXT('הדבקת לידים'!A220,"0")),TRIM('הדבקת לידים'!A220)))</f>
        <v/>
      </c>
      <c r="B220" s="0" t="str">
        <f aca="false">IF('הדבקת לידים'!B220="","",IF(ISNUMBER('הדבקת לידים'!B220),IF(הגדרות!$E$3&gt;0,TEXT('הדבקת לידים'!B220,REPT("0",הגדרות!$E$3)),TEXT('הדבקת לידים'!B220,"0")),TRIM('הדבקת לידים'!B220)))</f>
        <v/>
      </c>
      <c r="C220" s="0" t="n">
        <f aca="false">IF(OR(A220&lt;&gt;"",B220&lt;&gt;""),1,0)</f>
        <v>0</v>
      </c>
      <c r="D220" s="0" t="str">
        <f aca="false">IF(C220=1,MOD(ABS(SIN(ROW()*12.9898+'הדבקת לידים'!$F$2*78.233+IFERROR(--RIGHT(A220,6),LEN(A220))*0.0137+IFERROR(--RIGHT(B220,6),LEN(B220))*0.0071))*43758.5453,1),"")</f>
        <v/>
      </c>
      <c r="E220" s="0" t="str">
        <f aca="false">IF(C220=1,INT(MOD(ABS(SIN(D220*7919.123+ROW()*0.618+'הדבקת לידים'!$F$2*1.3))*43758.5453,1)*1000000)*10000+ROW(),"")</f>
        <v/>
      </c>
      <c r="F220" s="0" t="str">
        <f aca="false">IF(E220="","",RANK(E220,$E$2:$E$5001,1))</f>
        <v/>
      </c>
      <c r="G220" s="0" t="n">
        <f aca="false">IF(A220="",0,IF(SUMPRODUCT(--($A$2:$A$5001=A220))&gt;1,1,0))</f>
        <v>0</v>
      </c>
      <c r="H220" s="0" t="n">
        <f aca="false">ROW()-1</f>
        <v>219</v>
      </c>
      <c r="I220" s="0" t="str">
        <f aca="false">IF(OR(הגדרות!$E$6=0,H220&gt;הגדרות!$E$5),"",IF(H220-1&lt;הגדרות!$E$8*(הגדרות!$E$7+1),INT((H220-1)/(הגדרות!$E$7+1)),הגדרות!$E$8+INT((H220-1-הגדרות!$E$8*(הגדרות!$E$7+1))/הגדרות!$E$7)))</f>
        <v/>
      </c>
      <c r="J220" s="0" t="str">
        <f aca="false">IF(I220="","",IF(H220-1&lt;הגדרות!$E$8*(הגדרות!$E$7+1),MOD(H220-1,הגדרות!$E$7+1),MOD(H220-1-הגדרות!$E$8*(הגדרות!$E$7+1),הגדרות!$E$7)))</f>
        <v/>
      </c>
      <c r="K220" s="0" t="str">
        <f aca="false">IF(I220="","",J220*הגדרות!$E$6+I220+1)</f>
        <v/>
      </c>
      <c r="L220" s="0" t="str">
        <f aca="false">IF(K220="","",MATCH(K220,$F$2:$F$5001,0))</f>
        <v/>
      </c>
      <c r="M220" s="0" t="str">
        <f aca="false">IF(I220="","",INDEX(הגדרות!$A$2:$A$21,MOD(I220+הגדרות!$E$9,הגדרות!$E$6)+1))</f>
        <v/>
      </c>
    </row>
    <row r="221" customFormat="false" ht="15" hidden="false" customHeight="false" outlineLevel="0" collapsed="false">
      <c r="A221" s="0" t="str">
        <f aca="false">IF('הדבקת לידים'!A221="","",IF(ISNUMBER('הדבקת לידים'!A221),IF(הגדרות!$E$2&gt;0,TEXT('הדבקת לידים'!A221,REPT("0",הגדרות!$E$2)),TEXT('הדבקת לידים'!A221,"0")),TRIM('הדבקת לידים'!A221)))</f>
        <v/>
      </c>
      <c r="B221" s="0" t="str">
        <f aca="false">IF('הדבקת לידים'!B221="","",IF(ISNUMBER('הדבקת לידים'!B221),IF(הגדרות!$E$3&gt;0,TEXT('הדבקת לידים'!B221,REPT("0",הגדרות!$E$3)),TEXT('הדבקת לידים'!B221,"0")),TRIM('הדבקת לידים'!B221)))</f>
        <v/>
      </c>
      <c r="C221" s="0" t="n">
        <f aca="false">IF(OR(A221&lt;&gt;"",B221&lt;&gt;""),1,0)</f>
        <v>0</v>
      </c>
      <c r="D221" s="0" t="str">
        <f aca="false">IF(C221=1,MOD(ABS(SIN(ROW()*12.9898+'הדבקת לידים'!$F$2*78.233+IFERROR(--RIGHT(A221,6),LEN(A221))*0.0137+IFERROR(--RIGHT(B221,6),LEN(B221))*0.0071))*43758.5453,1),"")</f>
        <v/>
      </c>
      <c r="E221" s="0" t="str">
        <f aca="false">IF(C221=1,INT(MOD(ABS(SIN(D221*7919.123+ROW()*0.618+'הדבקת לידים'!$F$2*1.3))*43758.5453,1)*1000000)*10000+ROW(),"")</f>
        <v/>
      </c>
      <c r="F221" s="0" t="str">
        <f aca="false">IF(E221="","",RANK(E221,$E$2:$E$5001,1))</f>
        <v/>
      </c>
      <c r="G221" s="0" t="n">
        <f aca="false">IF(A221="",0,IF(SUMPRODUCT(--($A$2:$A$5001=A221))&gt;1,1,0))</f>
        <v>0</v>
      </c>
      <c r="H221" s="0" t="n">
        <f aca="false">ROW()-1</f>
        <v>220</v>
      </c>
      <c r="I221" s="0" t="str">
        <f aca="false">IF(OR(הגדרות!$E$6=0,H221&gt;הגדרות!$E$5),"",IF(H221-1&lt;הגדרות!$E$8*(הגדרות!$E$7+1),INT((H221-1)/(הגדרות!$E$7+1)),הגדרות!$E$8+INT((H221-1-הגדרות!$E$8*(הגדרות!$E$7+1))/הגדרות!$E$7)))</f>
        <v/>
      </c>
      <c r="J221" s="0" t="str">
        <f aca="false">IF(I221="","",IF(H221-1&lt;הגדרות!$E$8*(הגדרות!$E$7+1),MOD(H221-1,הגדרות!$E$7+1),MOD(H221-1-הגדרות!$E$8*(הגדרות!$E$7+1),הגדרות!$E$7)))</f>
        <v/>
      </c>
      <c r="K221" s="0" t="str">
        <f aca="false">IF(I221="","",J221*הגדרות!$E$6+I221+1)</f>
        <v/>
      </c>
      <c r="L221" s="0" t="str">
        <f aca="false">IF(K221="","",MATCH(K221,$F$2:$F$5001,0))</f>
        <v/>
      </c>
      <c r="M221" s="0" t="str">
        <f aca="false">IF(I221="","",INDEX(הגדרות!$A$2:$A$21,MOD(I221+הגדרות!$E$9,הגדרות!$E$6)+1))</f>
        <v/>
      </c>
    </row>
    <row r="222" customFormat="false" ht="15" hidden="false" customHeight="false" outlineLevel="0" collapsed="false">
      <c r="A222" s="0" t="str">
        <f aca="false">IF('הדבקת לידים'!A222="","",IF(ISNUMBER('הדבקת לידים'!A222),IF(הגדרות!$E$2&gt;0,TEXT('הדבקת לידים'!A222,REPT("0",הגדרות!$E$2)),TEXT('הדבקת לידים'!A222,"0")),TRIM('הדבקת לידים'!A222)))</f>
        <v/>
      </c>
      <c r="B222" s="0" t="str">
        <f aca="false">IF('הדבקת לידים'!B222="","",IF(ISNUMBER('הדבקת לידים'!B222),IF(הגדרות!$E$3&gt;0,TEXT('הדבקת לידים'!B222,REPT("0",הגדרות!$E$3)),TEXT('הדבקת לידים'!B222,"0")),TRIM('הדבקת לידים'!B222)))</f>
        <v/>
      </c>
      <c r="C222" s="0" t="n">
        <f aca="false">IF(OR(A222&lt;&gt;"",B222&lt;&gt;""),1,0)</f>
        <v>0</v>
      </c>
      <c r="D222" s="0" t="str">
        <f aca="false">IF(C222=1,MOD(ABS(SIN(ROW()*12.9898+'הדבקת לידים'!$F$2*78.233+IFERROR(--RIGHT(A222,6),LEN(A222))*0.0137+IFERROR(--RIGHT(B222,6),LEN(B222))*0.0071))*43758.5453,1),"")</f>
        <v/>
      </c>
      <c r="E222" s="0" t="str">
        <f aca="false">IF(C222=1,INT(MOD(ABS(SIN(D222*7919.123+ROW()*0.618+'הדבקת לידים'!$F$2*1.3))*43758.5453,1)*1000000)*10000+ROW(),"")</f>
        <v/>
      </c>
      <c r="F222" s="0" t="str">
        <f aca="false">IF(E222="","",RANK(E222,$E$2:$E$5001,1))</f>
        <v/>
      </c>
      <c r="G222" s="0" t="n">
        <f aca="false">IF(A222="",0,IF(SUMPRODUCT(--($A$2:$A$5001=A222))&gt;1,1,0))</f>
        <v>0</v>
      </c>
      <c r="H222" s="0" t="n">
        <f aca="false">ROW()-1</f>
        <v>221</v>
      </c>
      <c r="I222" s="0" t="str">
        <f aca="false">IF(OR(הגדרות!$E$6=0,H222&gt;הגדרות!$E$5),"",IF(H222-1&lt;הגדרות!$E$8*(הגדרות!$E$7+1),INT((H222-1)/(הגדרות!$E$7+1)),הגדרות!$E$8+INT((H222-1-הגדרות!$E$8*(הגדרות!$E$7+1))/הגדרות!$E$7)))</f>
        <v/>
      </c>
      <c r="J222" s="0" t="str">
        <f aca="false">IF(I222="","",IF(H222-1&lt;הגדרות!$E$8*(הגדרות!$E$7+1),MOD(H222-1,הגדרות!$E$7+1),MOD(H222-1-הגדרות!$E$8*(הגדרות!$E$7+1),הגדרות!$E$7)))</f>
        <v/>
      </c>
      <c r="K222" s="0" t="str">
        <f aca="false">IF(I222="","",J222*הגדרות!$E$6+I222+1)</f>
        <v/>
      </c>
      <c r="L222" s="0" t="str">
        <f aca="false">IF(K222="","",MATCH(K222,$F$2:$F$5001,0))</f>
        <v/>
      </c>
      <c r="M222" s="0" t="str">
        <f aca="false">IF(I222="","",INDEX(הגדרות!$A$2:$A$21,MOD(I222+הגדרות!$E$9,הגדרות!$E$6)+1))</f>
        <v/>
      </c>
    </row>
    <row r="223" customFormat="false" ht="15" hidden="false" customHeight="false" outlineLevel="0" collapsed="false">
      <c r="A223" s="0" t="str">
        <f aca="false">IF('הדבקת לידים'!A223="","",IF(ISNUMBER('הדבקת לידים'!A223),IF(הגדרות!$E$2&gt;0,TEXT('הדבקת לידים'!A223,REPT("0",הגדרות!$E$2)),TEXT('הדבקת לידים'!A223,"0")),TRIM('הדבקת לידים'!A223)))</f>
        <v/>
      </c>
      <c r="B223" s="0" t="str">
        <f aca="false">IF('הדבקת לידים'!B223="","",IF(ISNUMBER('הדבקת לידים'!B223),IF(הגדרות!$E$3&gt;0,TEXT('הדבקת לידים'!B223,REPT("0",הגדרות!$E$3)),TEXT('הדבקת לידים'!B223,"0")),TRIM('הדבקת לידים'!B223)))</f>
        <v/>
      </c>
      <c r="C223" s="0" t="n">
        <f aca="false">IF(OR(A223&lt;&gt;"",B223&lt;&gt;""),1,0)</f>
        <v>0</v>
      </c>
      <c r="D223" s="0" t="str">
        <f aca="false">IF(C223=1,MOD(ABS(SIN(ROW()*12.9898+'הדבקת לידים'!$F$2*78.233+IFERROR(--RIGHT(A223,6),LEN(A223))*0.0137+IFERROR(--RIGHT(B223,6),LEN(B223))*0.0071))*43758.5453,1),"")</f>
        <v/>
      </c>
      <c r="E223" s="0" t="str">
        <f aca="false">IF(C223=1,INT(MOD(ABS(SIN(D223*7919.123+ROW()*0.618+'הדבקת לידים'!$F$2*1.3))*43758.5453,1)*1000000)*10000+ROW(),"")</f>
        <v/>
      </c>
      <c r="F223" s="0" t="str">
        <f aca="false">IF(E223="","",RANK(E223,$E$2:$E$5001,1))</f>
        <v/>
      </c>
      <c r="G223" s="0" t="n">
        <f aca="false">IF(A223="",0,IF(SUMPRODUCT(--($A$2:$A$5001=A223))&gt;1,1,0))</f>
        <v>0</v>
      </c>
      <c r="H223" s="0" t="n">
        <f aca="false">ROW()-1</f>
        <v>222</v>
      </c>
      <c r="I223" s="0" t="str">
        <f aca="false">IF(OR(הגדרות!$E$6=0,H223&gt;הגדרות!$E$5),"",IF(H223-1&lt;הגדרות!$E$8*(הגדרות!$E$7+1),INT((H223-1)/(הגדרות!$E$7+1)),הגדרות!$E$8+INT((H223-1-הגדרות!$E$8*(הגדרות!$E$7+1))/הגדרות!$E$7)))</f>
        <v/>
      </c>
      <c r="J223" s="0" t="str">
        <f aca="false">IF(I223="","",IF(H223-1&lt;הגדרות!$E$8*(הגדרות!$E$7+1),MOD(H223-1,הגדרות!$E$7+1),MOD(H223-1-הגדרות!$E$8*(הגדרות!$E$7+1),הגדרות!$E$7)))</f>
        <v/>
      </c>
      <c r="K223" s="0" t="str">
        <f aca="false">IF(I223="","",J223*הגדרות!$E$6+I223+1)</f>
        <v/>
      </c>
      <c r="L223" s="0" t="str">
        <f aca="false">IF(K223="","",MATCH(K223,$F$2:$F$5001,0))</f>
        <v/>
      </c>
      <c r="M223" s="0" t="str">
        <f aca="false">IF(I223="","",INDEX(הגדרות!$A$2:$A$21,MOD(I223+הגדרות!$E$9,הגדרות!$E$6)+1))</f>
        <v/>
      </c>
    </row>
    <row r="224" customFormat="false" ht="15" hidden="false" customHeight="false" outlineLevel="0" collapsed="false">
      <c r="A224" s="0" t="str">
        <f aca="false">IF('הדבקת לידים'!A224="","",IF(ISNUMBER('הדבקת לידים'!A224),IF(הגדרות!$E$2&gt;0,TEXT('הדבקת לידים'!A224,REPT("0",הגדרות!$E$2)),TEXT('הדבקת לידים'!A224,"0")),TRIM('הדבקת לידים'!A224)))</f>
        <v/>
      </c>
      <c r="B224" s="0" t="str">
        <f aca="false">IF('הדבקת לידים'!B224="","",IF(ISNUMBER('הדבקת לידים'!B224),IF(הגדרות!$E$3&gt;0,TEXT('הדבקת לידים'!B224,REPT("0",הגדרות!$E$3)),TEXT('הדבקת לידים'!B224,"0")),TRIM('הדבקת לידים'!B224)))</f>
        <v/>
      </c>
      <c r="C224" s="0" t="n">
        <f aca="false">IF(OR(A224&lt;&gt;"",B224&lt;&gt;""),1,0)</f>
        <v>0</v>
      </c>
      <c r="D224" s="0" t="str">
        <f aca="false">IF(C224=1,MOD(ABS(SIN(ROW()*12.9898+'הדבקת לידים'!$F$2*78.233+IFERROR(--RIGHT(A224,6),LEN(A224))*0.0137+IFERROR(--RIGHT(B224,6),LEN(B224))*0.0071))*43758.5453,1),"")</f>
        <v/>
      </c>
      <c r="E224" s="0" t="str">
        <f aca="false">IF(C224=1,INT(MOD(ABS(SIN(D224*7919.123+ROW()*0.618+'הדבקת לידים'!$F$2*1.3))*43758.5453,1)*1000000)*10000+ROW(),"")</f>
        <v/>
      </c>
      <c r="F224" s="0" t="str">
        <f aca="false">IF(E224="","",RANK(E224,$E$2:$E$5001,1))</f>
        <v/>
      </c>
      <c r="G224" s="0" t="n">
        <f aca="false">IF(A224="",0,IF(SUMPRODUCT(--($A$2:$A$5001=A224))&gt;1,1,0))</f>
        <v>0</v>
      </c>
      <c r="H224" s="0" t="n">
        <f aca="false">ROW()-1</f>
        <v>223</v>
      </c>
      <c r="I224" s="0" t="str">
        <f aca="false">IF(OR(הגדרות!$E$6=0,H224&gt;הגדרות!$E$5),"",IF(H224-1&lt;הגדרות!$E$8*(הגדרות!$E$7+1),INT((H224-1)/(הגדרות!$E$7+1)),הגדרות!$E$8+INT((H224-1-הגדרות!$E$8*(הגדרות!$E$7+1))/הגדרות!$E$7)))</f>
        <v/>
      </c>
      <c r="J224" s="0" t="str">
        <f aca="false">IF(I224="","",IF(H224-1&lt;הגדרות!$E$8*(הגדרות!$E$7+1),MOD(H224-1,הגדרות!$E$7+1),MOD(H224-1-הגדרות!$E$8*(הגדרות!$E$7+1),הגדרות!$E$7)))</f>
        <v/>
      </c>
      <c r="K224" s="0" t="str">
        <f aca="false">IF(I224="","",J224*הגדרות!$E$6+I224+1)</f>
        <v/>
      </c>
      <c r="L224" s="0" t="str">
        <f aca="false">IF(K224="","",MATCH(K224,$F$2:$F$5001,0))</f>
        <v/>
      </c>
      <c r="M224" s="0" t="str">
        <f aca="false">IF(I224="","",INDEX(הגדרות!$A$2:$A$21,MOD(I224+הגדרות!$E$9,הגדרות!$E$6)+1))</f>
        <v/>
      </c>
    </row>
    <row r="225" customFormat="false" ht="15" hidden="false" customHeight="false" outlineLevel="0" collapsed="false">
      <c r="A225" s="0" t="str">
        <f aca="false">IF('הדבקת לידים'!A225="","",IF(ISNUMBER('הדבקת לידים'!A225),IF(הגדרות!$E$2&gt;0,TEXT('הדבקת לידים'!A225,REPT("0",הגדרות!$E$2)),TEXT('הדבקת לידים'!A225,"0")),TRIM('הדבקת לידים'!A225)))</f>
        <v/>
      </c>
      <c r="B225" s="0" t="str">
        <f aca="false">IF('הדבקת לידים'!B225="","",IF(ISNUMBER('הדבקת לידים'!B225),IF(הגדרות!$E$3&gt;0,TEXT('הדבקת לידים'!B225,REPT("0",הגדרות!$E$3)),TEXT('הדבקת לידים'!B225,"0")),TRIM('הדבקת לידים'!B225)))</f>
        <v/>
      </c>
      <c r="C225" s="0" t="n">
        <f aca="false">IF(OR(A225&lt;&gt;"",B225&lt;&gt;""),1,0)</f>
        <v>0</v>
      </c>
      <c r="D225" s="0" t="str">
        <f aca="false">IF(C225=1,MOD(ABS(SIN(ROW()*12.9898+'הדבקת לידים'!$F$2*78.233+IFERROR(--RIGHT(A225,6),LEN(A225))*0.0137+IFERROR(--RIGHT(B225,6),LEN(B225))*0.0071))*43758.5453,1),"")</f>
        <v/>
      </c>
      <c r="E225" s="0" t="str">
        <f aca="false">IF(C225=1,INT(MOD(ABS(SIN(D225*7919.123+ROW()*0.618+'הדבקת לידים'!$F$2*1.3))*43758.5453,1)*1000000)*10000+ROW(),"")</f>
        <v/>
      </c>
      <c r="F225" s="0" t="str">
        <f aca="false">IF(E225="","",RANK(E225,$E$2:$E$5001,1))</f>
        <v/>
      </c>
      <c r="G225" s="0" t="n">
        <f aca="false">IF(A225="",0,IF(SUMPRODUCT(--($A$2:$A$5001=A225))&gt;1,1,0))</f>
        <v>0</v>
      </c>
      <c r="H225" s="0" t="n">
        <f aca="false">ROW()-1</f>
        <v>224</v>
      </c>
      <c r="I225" s="0" t="str">
        <f aca="false">IF(OR(הגדרות!$E$6=0,H225&gt;הגדרות!$E$5),"",IF(H225-1&lt;הגדרות!$E$8*(הגדרות!$E$7+1),INT((H225-1)/(הגדרות!$E$7+1)),הגדרות!$E$8+INT((H225-1-הגדרות!$E$8*(הגדרות!$E$7+1))/הגדרות!$E$7)))</f>
        <v/>
      </c>
      <c r="J225" s="0" t="str">
        <f aca="false">IF(I225="","",IF(H225-1&lt;הגדרות!$E$8*(הגדרות!$E$7+1),MOD(H225-1,הגדרות!$E$7+1),MOD(H225-1-הגדרות!$E$8*(הגדרות!$E$7+1),הגדרות!$E$7)))</f>
        <v/>
      </c>
      <c r="K225" s="0" t="str">
        <f aca="false">IF(I225="","",J225*הגדרות!$E$6+I225+1)</f>
        <v/>
      </c>
      <c r="L225" s="0" t="str">
        <f aca="false">IF(K225="","",MATCH(K225,$F$2:$F$5001,0))</f>
        <v/>
      </c>
      <c r="M225" s="0" t="str">
        <f aca="false">IF(I225="","",INDEX(הגדרות!$A$2:$A$21,MOD(I225+הגדרות!$E$9,הגדרות!$E$6)+1))</f>
        <v/>
      </c>
    </row>
    <row r="226" customFormat="false" ht="15" hidden="false" customHeight="false" outlineLevel="0" collapsed="false">
      <c r="A226" s="0" t="str">
        <f aca="false">IF('הדבקת לידים'!A226="","",IF(ISNUMBER('הדבקת לידים'!A226),IF(הגדרות!$E$2&gt;0,TEXT('הדבקת לידים'!A226,REPT("0",הגדרות!$E$2)),TEXT('הדבקת לידים'!A226,"0")),TRIM('הדבקת לידים'!A226)))</f>
        <v/>
      </c>
      <c r="B226" s="0" t="str">
        <f aca="false">IF('הדבקת לידים'!B226="","",IF(ISNUMBER('הדבקת לידים'!B226),IF(הגדרות!$E$3&gt;0,TEXT('הדבקת לידים'!B226,REPT("0",הגדרות!$E$3)),TEXT('הדבקת לידים'!B226,"0")),TRIM('הדבקת לידים'!B226)))</f>
        <v/>
      </c>
      <c r="C226" s="0" t="n">
        <f aca="false">IF(OR(A226&lt;&gt;"",B226&lt;&gt;""),1,0)</f>
        <v>0</v>
      </c>
      <c r="D226" s="0" t="str">
        <f aca="false">IF(C226=1,MOD(ABS(SIN(ROW()*12.9898+'הדבקת לידים'!$F$2*78.233+IFERROR(--RIGHT(A226,6),LEN(A226))*0.0137+IFERROR(--RIGHT(B226,6),LEN(B226))*0.0071))*43758.5453,1),"")</f>
        <v/>
      </c>
      <c r="E226" s="0" t="str">
        <f aca="false">IF(C226=1,INT(MOD(ABS(SIN(D226*7919.123+ROW()*0.618+'הדבקת לידים'!$F$2*1.3))*43758.5453,1)*1000000)*10000+ROW(),"")</f>
        <v/>
      </c>
      <c r="F226" s="0" t="str">
        <f aca="false">IF(E226="","",RANK(E226,$E$2:$E$5001,1))</f>
        <v/>
      </c>
      <c r="G226" s="0" t="n">
        <f aca="false">IF(A226="",0,IF(SUMPRODUCT(--($A$2:$A$5001=A226))&gt;1,1,0))</f>
        <v>0</v>
      </c>
      <c r="H226" s="0" t="n">
        <f aca="false">ROW()-1</f>
        <v>225</v>
      </c>
      <c r="I226" s="0" t="str">
        <f aca="false">IF(OR(הגדרות!$E$6=0,H226&gt;הגדרות!$E$5),"",IF(H226-1&lt;הגדרות!$E$8*(הגדרות!$E$7+1),INT((H226-1)/(הגדרות!$E$7+1)),הגדרות!$E$8+INT((H226-1-הגדרות!$E$8*(הגדרות!$E$7+1))/הגדרות!$E$7)))</f>
        <v/>
      </c>
      <c r="J226" s="0" t="str">
        <f aca="false">IF(I226="","",IF(H226-1&lt;הגדרות!$E$8*(הגדרות!$E$7+1),MOD(H226-1,הגדרות!$E$7+1),MOD(H226-1-הגדרות!$E$8*(הגדרות!$E$7+1),הגדרות!$E$7)))</f>
        <v/>
      </c>
      <c r="K226" s="0" t="str">
        <f aca="false">IF(I226="","",J226*הגדרות!$E$6+I226+1)</f>
        <v/>
      </c>
      <c r="L226" s="0" t="str">
        <f aca="false">IF(K226="","",MATCH(K226,$F$2:$F$5001,0))</f>
        <v/>
      </c>
      <c r="M226" s="0" t="str">
        <f aca="false">IF(I226="","",INDEX(הגדרות!$A$2:$A$21,MOD(I226+הגדרות!$E$9,הגדרות!$E$6)+1))</f>
        <v/>
      </c>
    </row>
    <row r="227" customFormat="false" ht="15" hidden="false" customHeight="false" outlineLevel="0" collapsed="false">
      <c r="A227" s="0" t="str">
        <f aca="false">IF('הדבקת לידים'!A227="","",IF(ISNUMBER('הדבקת לידים'!A227),IF(הגדרות!$E$2&gt;0,TEXT('הדבקת לידים'!A227,REPT("0",הגדרות!$E$2)),TEXT('הדבקת לידים'!A227,"0")),TRIM('הדבקת לידים'!A227)))</f>
        <v/>
      </c>
      <c r="B227" s="0" t="str">
        <f aca="false">IF('הדבקת לידים'!B227="","",IF(ISNUMBER('הדבקת לידים'!B227),IF(הגדרות!$E$3&gt;0,TEXT('הדבקת לידים'!B227,REPT("0",הגדרות!$E$3)),TEXT('הדבקת לידים'!B227,"0")),TRIM('הדבקת לידים'!B227)))</f>
        <v/>
      </c>
      <c r="C227" s="0" t="n">
        <f aca="false">IF(OR(A227&lt;&gt;"",B227&lt;&gt;""),1,0)</f>
        <v>0</v>
      </c>
      <c r="D227" s="0" t="str">
        <f aca="false">IF(C227=1,MOD(ABS(SIN(ROW()*12.9898+'הדבקת לידים'!$F$2*78.233+IFERROR(--RIGHT(A227,6),LEN(A227))*0.0137+IFERROR(--RIGHT(B227,6),LEN(B227))*0.0071))*43758.5453,1),"")</f>
        <v/>
      </c>
      <c r="E227" s="0" t="str">
        <f aca="false">IF(C227=1,INT(MOD(ABS(SIN(D227*7919.123+ROW()*0.618+'הדבקת לידים'!$F$2*1.3))*43758.5453,1)*1000000)*10000+ROW(),"")</f>
        <v/>
      </c>
      <c r="F227" s="0" t="str">
        <f aca="false">IF(E227="","",RANK(E227,$E$2:$E$5001,1))</f>
        <v/>
      </c>
      <c r="G227" s="0" t="n">
        <f aca="false">IF(A227="",0,IF(SUMPRODUCT(--($A$2:$A$5001=A227))&gt;1,1,0))</f>
        <v>0</v>
      </c>
      <c r="H227" s="0" t="n">
        <f aca="false">ROW()-1</f>
        <v>226</v>
      </c>
      <c r="I227" s="0" t="str">
        <f aca="false">IF(OR(הגדרות!$E$6=0,H227&gt;הגדרות!$E$5),"",IF(H227-1&lt;הגדרות!$E$8*(הגדרות!$E$7+1),INT((H227-1)/(הגדרות!$E$7+1)),הגדרות!$E$8+INT((H227-1-הגדרות!$E$8*(הגדרות!$E$7+1))/הגדרות!$E$7)))</f>
        <v/>
      </c>
      <c r="J227" s="0" t="str">
        <f aca="false">IF(I227="","",IF(H227-1&lt;הגדרות!$E$8*(הגדרות!$E$7+1),MOD(H227-1,הגדרות!$E$7+1),MOD(H227-1-הגדרות!$E$8*(הגדרות!$E$7+1),הגדרות!$E$7)))</f>
        <v/>
      </c>
      <c r="K227" s="0" t="str">
        <f aca="false">IF(I227="","",J227*הגדרות!$E$6+I227+1)</f>
        <v/>
      </c>
      <c r="L227" s="0" t="str">
        <f aca="false">IF(K227="","",MATCH(K227,$F$2:$F$5001,0))</f>
        <v/>
      </c>
      <c r="M227" s="0" t="str">
        <f aca="false">IF(I227="","",INDEX(הגדרות!$A$2:$A$21,MOD(I227+הגדרות!$E$9,הגדרות!$E$6)+1))</f>
        <v/>
      </c>
    </row>
    <row r="228" customFormat="false" ht="15" hidden="false" customHeight="false" outlineLevel="0" collapsed="false">
      <c r="A228" s="0" t="str">
        <f aca="false">IF('הדבקת לידים'!A228="","",IF(ISNUMBER('הדבקת לידים'!A228),IF(הגדרות!$E$2&gt;0,TEXT('הדבקת לידים'!A228,REPT("0",הגדרות!$E$2)),TEXT('הדבקת לידים'!A228,"0")),TRIM('הדבקת לידים'!A228)))</f>
        <v/>
      </c>
      <c r="B228" s="0" t="str">
        <f aca="false">IF('הדבקת לידים'!B228="","",IF(ISNUMBER('הדבקת לידים'!B228),IF(הגדרות!$E$3&gt;0,TEXT('הדבקת לידים'!B228,REPT("0",הגדרות!$E$3)),TEXT('הדבקת לידים'!B228,"0")),TRIM('הדבקת לידים'!B228)))</f>
        <v/>
      </c>
      <c r="C228" s="0" t="n">
        <f aca="false">IF(OR(A228&lt;&gt;"",B228&lt;&gt;""),1,0)</f>
        <v>0</v>
      </c>
      <c r="D228" s="0" t="str">
        <f aca="false">IF(C228=1,MOD(ABS(SIN(ROW()*12.9898+'הדבקת לידים'!$F$2*78.233+IFERROR(--RIGHT(A228,6),LEN(A228))*0.0137+IFERROR(--RIGHT(B228,6),LEN(B228))*0.0071))*43758.5453,1),"")</f>
        <v/>
      </c>
      <c r="E228" s="0" t="str">
        <f aca="false">IF(C228=1,INT(MOD(ABS(SIN(D228*7919.123+ROW()*0.618+'הדבקת לידים'!$F$2*1.3))*43758.5453,1)*1000000)*10000+ROW(),"")</f>
        <v/>
      </c>
      <c r="F228" s="0" t="str">
        <f aca="false">IF(E228="","",RANK(E228,$E$2:$E$5001,1))</f>
        <v/>
      </c>
      <c r="G228" s="0" t="n">
        <f aca="false">IF(A228="",0,IF(SUMPRODUCT(--($A$2:$A$5001=A228))&gt;1,1,0))</f>
        <v>0</v>
      </c>
      <c r="H228" s="0" t="n">
        <f aca="false">ROW()-1</f>
        <v>227</v>
      </c>
      <c r="I228" s="0" t="str">
        <f aca="false">IF(OR(הגדרות!$E$6=0,H228&gt;הגדרות!$E$5),"",IF(H228-1&lt;הגדרות!$E$8*(הגדרות!$E$7+1),INT((H228-1)/(הגדרות!$E$7+1)),הגדרות!$E$8+INT((H228-1-הגדרות!$E$8*(הגדרות!$E$7+1))/הגדרות!$E$7)))</f>
        <v/>
      </c>
      <c r="J228" s="0" t="str">
        <f aca="false">IF(I228="","",IF(H228-1&lt;הגדרות!$E$8*(הגדרות!$E$7+1),MOD(H228-1,הגדרות!$E$7+1),MOD(H228-1-הגדרות!$E$8*(הגדרות!$E$7+1),הגדרות!$E$7)))</f>
        <v/>
      </c>
      <c r="K228" s="0" t="str">
        <f aca="false">IF(I228="","",J228*הגדרות!$E$6+I228+1)</f>
        <v/>
      </c>
      <c r="L228" s="0" t="str">
        <f aca="false">IF(K228="","",MATCH(K228,$F$2:$F$5001,0))</f>
        <v/>
      </c>
      <c r="M228" s="0" t="str">
        <f aca="false">IF(I228="","",INDEX(הגדרות!$A$2:$A$21,MOD(I228+הגדרות!$E$9,הגדרות!$E$6)+1))</f>
        <v/>
      </c>
    </row>
    <row r="229" customFormat="false" ht="15" hidden="false" customHeight="false" outlineLevel="0" collapsed="false">
      <c r="A229" s="0" t="str">
        <f aca="false">IF('הדבקת לידים'!A229="","",IF(ISNUMBER('הדבקת לידים'!A229),IF(הגדרות!$E$2&gt;0,TEXT('הדבקת לידים'!A229,REPT("0",הגדרות!$E$2)),TEXT('הדבקת לידים'!A229,"0")),TRIM('הדבקת לידים'!A229)))</f>
        <v/>
      </c>
      <c r="B229" s="0" t="str">
        <f aca="false">IF('הדבקת לידים'!B229="","",IF(ISNUMBER('הדבקת לידים'!B229),IF(הגדרות!$E$3&gt;0,TEXT('הדבקת לידים'!B229,REPT("0",הגדרות!$E$3)),TEXT('הדבקת לידים'!B229,"0")),TRIM('הדבקת לידים'!B229)))</f>
        <v/>
      </c>
      <c r="C229" s="0" t="n">
        <f aca="false">IF(OR(A229&lt;&gt;"",B229&lt;&gt;""),1,0)</f>
        <v>0</v>
      </c>
      <c r="D229" s="0" t="str">
        <f aca="false">IF(C229=1,MOD(ABS(SIN(ROW()*12.9898+'הדבקת לידים'!$F$2*78.233+IFERROR(--RIGHT(A229,6),LEN(A229))*0.0137+IFERROR(--RIGHT(B229,6),LEN(B229))*0.0071))*43758.5453,1),"")</f>
        <v/>
      </c>
      <c r="E229" s="0" t="str">
        <f aca="false">IF(C229=1,INT(MOD(ABS(SIN(D229*7919.123+ROW()*0.618+'הדבקת לידים'!$F$2*1.3))*43758.5453,1)*1000000)*10000+ROW(),"")</f>
        <v/>
      </c>
      <c r="F229" s="0" t="str">
        <f aca="false">IF(E229="","",RANK(E229,$E$2:$E$5001,1))</f>
        <v/>
      </c>
      <c r="G229" s="0" t="n">
        <f aca="false">IF(A229="",0,IF(SUMPRODUCT(--($A$2:$A$5001=A229))&gt;1,1,0))</f>
        <v>0</v>
      </c>
      <c r="H229" s="0" t="n">
        <f aca="false">ROW()-1</f>
        <v>228</v>
      </c>
      <c r="I229" s="0" t="str">
        <f aca="false">IF(OR(הגדרות!$E$6=0,H229&gt;הגדרות!$E$5),"",IF(H229-1&lt;הגדרות!$E$8*(הגדרות!$E$7+1),INT((H229-1)/(הגדרות!$E$7+1)),הגדרות!$E$8+INT((H229-1-הגדרות!$E$8*(הגדרות!$E$7+1))/הגדרות!$E$7)))</f>
        <v/>
      </c>
      <c r="J229" s="0" t="str">
        <f aca="false">IF(I229="","",IF(H229-1&lt;הגדרות!$E$8*(הגדרות!$E$7+1),MOD(H229-1,הגדרות!$E$7+1),MOD(H229-1-הגדרות!$E$8*(הגדרות!$E$7+1),הגדרות!$E$7)))</f>
        <v/>
      </c>
      <c r="K229" s="0" t="str">
        <f aca="false">IF(I229="","",J229*הגדרות!$E$6+I229+1)</f>
        <v/>
      </c>
      <c r="L229" s="0" t="str">
        <f aca="false">IF(K229="","",MATCH(K229,$F$2:$F$5001,0))</f>
        <v/>
      </c>
      <c r="M229" s="0" t="str">
        <f aca="false">IF(I229="","",INDEX(הגדרות!$A$2:$A$21,MOD(I229+הגדרות!$E$9,הגדרות!$E$6)+1))</f>
        <v/>
      </c>
    </row>
    <row r="230" customFormat="false" ht="15" hidden="false" customHeight="false" outlineLevel="0" collapsed="false">
      <c r="A230" s="0" t="str">
        <f aca="false">IF('הדבקת לידים'!A230="","",IF(ISNUMBER('הדבקת לידים'!A230),IF(הגדרות!$E$2&gt;0,TEXT('הדבקת לידים'!A230,REPT("0",הגדרות!$E$2)),TEXT('הדבקת לידים'!A230,"0")),TRIM('הדבקת לידים'!A230)))</f>
        <v/>
      </c>
      <c r="B230" s="0" t="str">
        <f aca="false">IF('הדבקת לידים'!B230="","",IF(ISNUMBER('הדבקת לידים'!B230),IF(הגדרות!$E$3&gt;0,TEXT('הדבקת לידים'!B230,REPT("0",הגדרות!$E$3)),TEXT('הדבקת לידים'!B230,"0")),TRIM('הדבקת לידים'!B230)))</f>
        <v/>
      </c>
      <c r="C230" s="0" t="n">
        <f aca="false">IF(OR(A230&lt;&gt;"",B230&lt;&gt;""),1,0)</f>
        <v>0</v>
      </c>
      <c r="D230" s="0" t="str">
        <f aca="false">IF(C230=1,MOD(ABS(SIN(ROW()*12.9898+'הדבקת לידים'!$F$2*78.233+IFERROR(--RIGHT(A230,6),LEN(A230))*0.0137+IFERROR(--RIGHT(B230,6),LEN(B230))*0.0071))*43758.5453,1),"")</f>
        <v/>
      </c>
      <c r="E230" s="0" t="str">
        <f aca="false">IF(C230=1,INT(MOD(ABS(SIN(D230*7919.123+ROW()*0.618+'הדבקת לידים'!$F$2*1.3))*43758.5453,1)*1000000)*10000+ROW(),"")</f>
        <v/>
      </c>
      <c r="F230" s="0" t="str">
        <f aca="false">IF(E230="","",RANK(E230,$E$2:$E$5001,1))</f>
        <v/>
      </c>
      <c r="G230" s="0" t="n">
        <f aca="false">IF(A230="",0,IF(SUMPRODUCT(--($A$2:$A$5001=A230))&gt;1,1,0))</f>
        <v>0</v>
      </c>
      <c r="H230" s="0" t="n">
        <f aca="false">ROW()-1</f>
        <v>229</v>
      </c>
      <c r="I230" s="0" t="str">
        <f aca="false">IF(OR(הגדרות!$E$6=0,H230&gt;הגדרות!$E$5),"",IF(H230-1&lt;הגדרות!$E$8*(הגדרות!$E$7+1),INT((H230-1)/(הגדרות!$E$7+1)),הגדרות!$E$8+INT((H230-1-הגדרות!$E$8*(הגדרות!$E$7+1))/הגדרות!$E$7)))</f>
        <v/>
      </c>
      <c r="J230" s="0" t="str">
        <f aca="false">IF(I230="","",IF(H230-1&lt;הגדרות!$E$8*(הגדרות!$E$7+1),MOD(H230-1,הגדרות!$E$7+1),MOD(H230-1-הגדרות!$E$8*(הגדרות!$E$7+1),הגדרות!$E$7)))</f>
        <v/>
      </c>
      <c r="K230" s="0" t="str">
        <f aca="false">IF(I230="","",J230*הגדרות!$E$6+I230+1)</f>
        <v/>
      </c>
      <c r="L230" s="0" t="str">
        <f aca="false">IF(K230="","",MATCH(K230,$F$2:$F$5001,0))</f>
        <v/>
      </c>
      <c r="M230" s="0" t="str">
        <f aca="false">IF(I230="","",INDEX(הגדרות!$A$2:$A$21,MOD(I230+הגדרות!$E$9,הגדרות!$E$6)+1))</f>
        <v/>
      </c>
    </row>
    <row r="231" customFormat="false" ht="15" hidden="false" customHeight="false" outlineLevel="0" collapsed="false">
      <c r="A231" s="0" t="str">
        <f aca="false">IF('הדבקת לידים'!A231="","",IF(ISNUMBER('הדבקת לידים'!A231),IF(הגדרות!$E$2&gt;0,TEXT('הדבקת לידים'!A231,REPT("0",הגדרות!$E$2)),TEXT('הדבקת לידים'!A231,"0")),TRIM('הדבקת לידים'!A231)))</f>
        <v/>
      </c>
      <c r="B231" s="0" t="str">
        <f aca="false">IF('הדבקת לידים'!B231="","",IF(ISNUMBER('הדבקת לידים'!B231),IF(הגדרות!$E$3&gt;0,TEXT('הדבקת לידים'!B231,REPT("0",הגדרות!$E$3)),TEXT('הדבקת לידים'!B231,"0")),TRIM('הדבקת לידים'!B231)))</f>
        <v/>
      </c>
      <c r="C231" s="0" t="n">
        <f aca="false">IF(OR(A231&lt;&gt;"",B231&lt;&gt;""),1,0)</f>
        <v>0</v>
      </c>
      <c r="D231" s="0" t="str">
        <f aca="false">IF(C231=1,MOD(ABS(SIN(ROW()*12.9898+'הדבקת לידים'!$F$2*78.233+IFERROR(--RIGHT(A231,6),LEN(A231))*0.0137+IFERROR(--RIGHT(B231,6),LEN(B231))*0.0071))*43758.5453,1),"")</f>
        <v/>
      </c>
      <c r="E231" s="0" t="str">
        <f aca="false">IF(C231=1,INT(MOD(ABS(SIN(D231*7919.123+ROW()*0.618+'הדבקת לידים'!$F$2*1.3))*43758.5453,1)*1000000)*10000+ROW(),"")</f>
        <v/>
      </c>
      <c r="F231" s="0" t="str">
        <f aca="false">IF(E231="","",RANK(E231,$E$2:$E$5001,1))</f>
        <v/>
      </c>
      <c r="G231" s="0" t="n">
        <f aca="false">IF(A231="",0,IF(SUMPRODUCT(--($A$2:$A$5001=A231))&gt;1,1,0))</f>
        <v>0</v>
      </c>
      <c r="H231" s="0" t="n">
        <f aca="false">ROW()-1</f>
        <v>230</v>
      </c>
      <c r="I231" s="0" t="str">
        <f aca="false">IF(OR(הגדרות!$E$6=0,H231&gt;הגדרות!$E$5),"",IF(H231-1&lt;הגדרות!$E$8*(הגדרות!$E$7+1),INT((H231-1)/(הגדרות!$E$7+1)),הגדרות!$E$8+INT((H231-1-הגדרות!$E$8*(הגדרות!$E$7+1))/הגדרות!$E$7)))</f>
        <v/>
      </c>
      <c r="J231" s="0" t="str">
        <f aca="false">IF(I231="","",IF(H231-1&lt;הגדרות!$E$8*(הגדרות!$E$7+1),MOD(H231-1,הגדרות!$E$7+1),MOD(H231-1-הגדרות!$E$8*(הגדרות!$E$7+1),הגדרות!$E$7)))</f>
        <v/>
      </c>
      <c r="K231" s="0" t="str">
        <f aca="false">IF(I231="","",J231*הגדרות!$E$6+I231+1)</f>
        <v/>
      </c>
      <c r="L231" s="0" t="str">
        <f aca="false">IF(K231="","",MATCH(K231,$F$2:$F$5001,0))</f>
        <v/>
      </c>
      <c r="M231" s="0" t="str">
        <f aca="false">IF(I231="","",INDEX(הגדרות!$A$2:$A$21,MOD(I231+הגדרות!$E$9,הגדרות!$E$6)+1))</f>
        <v/>
      </c>
    </row>
    <row r="232" customFormat="false" ht="15" hidden="false" customHeight="false" outlineLevel="0" collapsed="false">
      <c r="A232" s="0" t="str">
        <f aca="false">IF('הדבקת לידים'!A232="","",IF(ISNUMBER('הדבקת לידים'!A232),IF(הגדרות!$E$2&gt;0,TEXT('הדבקת לידים'!A232,REPT("0",הגדרות!$E$2)),TEXT('הדבקת לידים'!A232,"0")),TRIM('הדבקת לידים'!A232)))</f>
        <v/>
      </c>
      <c r="B232" s="0" t="str">
        <f aca="false">IF('הדבקת לידים'!B232="","",IF(ISNUMBER('הדבקת לידים'!B232),IF(הגדרות!$E$3&gt;0,TEXT('הדבקת לידים'!B232,REPT("0",הגדרות!$E$3)),TEXT('הדבקת לידים'!B232,"0")),TRIM('הדבקת לידים'!B232)))</f>
        <v/>
      </c>
      <c r="C232" s="0" t="n">
        <f aca="false">IF(OR(A232&lt;&gt;"",B232&lt;&gt;""),1,0)</f>
        <v>0</v>
      </c>
      <c r="D232" s="0" t="str">
        <f aca="false">IF(C232=1,MOD(ABS(SIN(ROW()*12.9898+'הדבקת לידים'!$F$2*78.233+IFERROR(--RIGHT(A232,6),LEN(A232))*0.0137+IFERROR(--RIGHT(B232,6),LEN(B232))*0.0071))*43758.5453,1),"")</f>
        <v/>
      </c>
      <c r="E232" s="0" t="str">
        <f aca="false">IF(C232=1,INT(MOD(ABS(SIN(D232*7919.123+ROW()*0.618+'הדבקת לידים'!$F$2*1.3))*43758.5453,1)*1000000)*10000+ROW(),"")</f>
        <v/>
      </c>
      <c r="F232" s="0" t="str">
        <f aca="false">IF(E232="","",RANK(E232,$E$2:$E$5001,1))</f>
        <v/>
      </c>
      <c r="G232" s="0" t="n">
        <f aca="false">IF(A232="",0,IF(SUMPRODUCT(--($A$2:$A$5001=A232))&gt;1,1,0))</f>
        <v>0</v>
      </c>
      <c r="H232" s="0" t="n">
        <f aca="false">ROW()-1</f>
        <v>231</v>
      </c>
      <c r="I232" s="0" t="str">
        <f aca="false">IF(OR(הגדרות!$E$6=0,H232&gt;הגדרות!$E$5),"",IF(H232-1&lt;הגדרות!$E$8*(הגדרות!$E$7+1),INT((H232-1)/(הגדרות!$E$7+1)),הגדרות!$E$8+INT((H232-1-הגדרות!$E$8*(הגדרות!$E$7+1))/הגדרות!$E$7)))</f>
        <v/>
      </c>
      <c r="J232" s="0" t="str">
        <f aca="false">IF(I232="","",IF(H232-1&lt;הגדרות!$E$8*(הגדרות!$E$7+1),MOD(H232-1,הגדרות!$E$7+1),MOD(H232-1-הגדרות!$E$8*(הגדרות!$E$7+1),הגדרות!$E$7)))</f>
        <v/>
      </c>
      <c r="K232" s="0" t="str">
        <f aca="false">IF(I232="","",J232*הגדרות!$E$6+I232+1)</f>
        <v/>
      </c>
      <c r="L232" s="0" t="str">
        <f aca="false">IF(K232="","",MATCH(K232,$F$2:$F$5001,0))</f>
        <v/>
      </c>
      <c r="M232" s="0" t="str">
        <f aca="false">IF(I232="","",INDEX(הגדרות!$A$2:$A$21,MOD(I232+הגדרות!$E$9,הגדרות!$E$6)+1))</f>
        <v/>
      </c>
    </row>
    <row r="233" customFormat="false" ht="15" hidden="false" customHeight="false" outlineLevel="0" collapsed="false">
      <c r="A233" s="0" t="str">
        <f aca="false">IF('הדבקת לידים'!A233="","",IF(ISNUMBER('הדבקת לידים'!A233),IF(הגדרות!$E$2&gt;0,TEXT('הדבקת לידים'!A233,REPT("0",הגדרות!$E$2)),TEXT('הדבקת לידים'!A233,"0")),TRIM('הדבקת לידים'!A233)))</f>
        <v/>
      </c>
      <c r="B233" s="0" t="str">
        <f aca="false">IF('הדבקת לידים'!B233="","",IF(ISNUMBER('הדבקת לידים'!B233),IF(הגדרות!$E$3&gt;0,TEXT('הדבקת לידים'!B233,REPT("0",הגדרות!$E$3)),TEXT('הדבקת לידים'!B233,"0")),TRIM('הדבקת לידים'!B233)))</f>
        <v/>
      </c>
      <c r="C233" s="0" t="n">
        <f aca="false">IF(OR(A233&lt;&gt;"",B233&lt;&gt;""),1,0)</f>
        <v>0</v>
      </c>
      <c r="D233" s="0" t="str">
        <f aca="false">IF(C233=1,MOD(ABS(SIN(ROW()*12.9898+'הדבקת לידים'!$F$2*78.233+IFERROR(--RIGHT(A233,6),LEN(A233))*0.0137+IFERROR(--RIGHT(B233,6),LEN(B233))*0.0071))*43758.5453,1),"")</f>
        <v/>
      </c>
      <c r="E233" s="0" t="str">
        <f aca="false">IF(C233=1,INT(MOD(ABS(SIN(D233*7919.123+ROW()*0.618+'הדבקת לידים'!$F$2*1.3))*43758.5453,1)*1000000)*10000+ROW(),"")</f>
        <v/>
      </c>
      <c r="F233" s="0" t="str">
        <f aca="false">IF(E233="","",RANK(E233,$E$2:$E$5001,1))</f>
        <v/>
      </c>
      <c r="G233" s="0" t="n">
        <f aca="false">IF(A233="",0,IF(SUMPRODUCT(--($A$2:$A$5001=A233))&gt;1,1,0))</f>
        <v>0</v>
      </c>
      <c r="H233" s="0" t="n">
        <f aca="false">ROW()-1</f>
        <v>232</v>
      </c>
      <c r="I233" s="0" t="str">
        <f aca="false">IF(OR(הגדרות!$E$6=0,H233&gt;הגדרות!$E$5),"",IF(H233-1&lt;הגדרות!$E$8*(הגדרות!$E$7+1),INT((H233-1)/(הגדרות!$E$7+1)),הגדרות!$E$8+INT((H233-1-הגדרות!$E$8*(הגדרות!$E$7+1))/הגדרות!$E$7)))</f>
        <v/>
      </c>
      <c r="J233" s="0" t="str">
        <f aca="false">IF(I233="","",IF(H233-1&lt;הגדרות!$E$8*(הגדרות!$E$7+1),MOD(H233-1,הגדרות!$E$7+1),MOD(H233-1-הגדרות!$E$8*(הגדרות!$E$7+1),הגדרות!$E$7)))</f>
        <v/>
      </c>
      <c r="K233" s="0" t="str">
        <f aca="false">IF(I233="","",J233*הגדרות!$E$6+I233+1)</f>
        <v/>
      </c>
      <c r="L233" s="0" t="str">
        <f aca="false">IF(K233="","",MATCH(K233,$F$2:$F$5001,0))</f>
        <v/>
      </c>
      <c r="M233" s="0" t="str">
        <f aca="false">IF(I233="","",INDEX(הגדרות!$A$2:$A$21,MOD(I233+הגדרות!$E$9,הגדרות!$E$6)+1))</f>
        <v/>
      </c>
    </row>
    <row r="234" customFormat="false" ht="15" hidden="false" customHeight="false" outlineLevel="0" collapsed="false">
      <c r="A234" s="0" t="str">
        <f aca="false">IF('הדבקת לידים'!A234="","",IF(ISNUMBER('הדבקת לידים'!A234),IF(הגדרות!$E$2&gt;0,TEXT('הדבקת לידים'!A234,REPT("0",הגדרות!$E$2)),TEXT('הדבקת לידים'!A234,"0")),TRIM('הדבקת לידים'!A234)))</f>
        <v/>
      </c>
      <c r="B234" s="0" t="str">
        <f aca="false">IF('הדבקת לידים'!B234="","",IF(ISNUMBER('הדבקת לידים'!B234),IF(הגדרות!$E$3&gt;0,TEXT('הדבקת לידים'!B234,REPT("0",הגדרות!$E$3)),TEXT('הדבקת לידים'!B234,"0")),TRIM('הדבקת לידים'!B234)))</f>
        <v/>
      </c>
      <c r="C234" s="0" t="n">
        <f aca="false">IF(OR(A234&lt;&gt;"",B234&lt;&gt;""),1,0)</f>
        <v>0</v>
      </c>
      <c r="D234" s="0" t="str">
        <f aca="false">IF(C234=1,MOD(ABS(SIN(ROW()*12.9898+'הדבקת לידים'!$F$2*78.233+IFERROR(--RIGHT(A234,6),LEN(A234))*0.0137+IFERROR(--RIGHT(B234,6),LEN(B234))*0.0071))*43758.5453,1),"")</f>
        <v/>
      </c>
      <c r="E234" s="0" t="str">
        <f aca="false">IF(C234=1,INT(MOD(ABS(SIN(D234*7919.123+ROW()*0.618+'הדבקת לידים'!$F$2*1.3))*43758.5453,1)*1000000)*10000+ROW(),"")</f>
        <v/>
      </c>
      <c r="F234" s="0" t="str">
        <f aca="false">IF(E234="","",RANK(E234,$E$2:$E$5001,1))</f>
        <v/>
      </c>
      <c r="G234" s="0" t="n">
        <f aca="false">IF(A234="",0,IF(SUMPRODUCT(--($A$2:$A$5001=A234))&gt;1,1,0))</f>
        <v>0</v>
      </c>
      <c r="H234" s="0" t="n">
        <f aca="false">ROW()-1</f>
        <v>233</v>
      </c>
      <c r="I234" s="0" t="str">
        <f aca="false">IF(OR(הגדרות!$E$6=0,H234&gt;הגדרות!$E$5),"",IF(H234-1&lt;הגדרות!$E$8*(הגדרות!$E$7+1),INT((H234-1)/(הגדרות!$E$7+1)),הגדרות!$E$8+INT((H234-1-הגדרות!$E$8*(הגדרות!$E$7+1))/הגדרות!$E$7)))</f>
        <v/>
      </c>
      <c r="J234" s="0" t="str">
        <f aca="false">IF(I234="","",IF(H234-1&lt;הגדרות!$E$8*(הגדרות!$E$7+1),MOD(H234-1,הגדרות!$E$7+1),MOD(H234-1-הגדרות!$E$8*(הגדרות!$E$7+1),הגדרות!$E$7)))</f>
        <v/>
      </c>
      <c r="K234" s="0" t="str">
        <f aca="false">IF(I234="","",J234*הגדרות!$E$6+I234+1)</f>
        <v/>
      </c>
      <c r="L234" s="0" t="str">
        <f aca="false">IF(K234="","",MATCH(K234,$F$2:$F$5001,0))</f>
        <v/>
      </c>
      <c r="M234" s="0" t="str">
        <f aca="false">IF(I234="","",INDEX(הגדרות!$A$2:$A$21,MOD(I234+הגדרות!$E$9,הגדרות!$E$6)+1))</f>
        <v/>
      </c>
    </row>
    <row r="235" customFormat="false" ht="15" hidden="false" customHeight="false" outlineLevel="0" collapsed="false">
      <c r="A235" s="0" t="str">
        <f aca="false">IF('הדבקת לידים'!A235="","",IF(ISNUMBER('הדבקת לידים'!A235),IF(הגדרות!$E$2&gt;0,TEXT('הדבקת לידים'!A235,REPT("0",הגדרות!$E$2)),TEXT('הדבקת לידים'!A235,"0")),TRIM('הדבקת לידים'!A235)))</f>
        <v/>
      </c>
      <c r="B235" s="0" t="str">
        <f aca="false">IF('הדבקת לידים'!B235="","",IF(ISNUMBER('הדבקת לידים'!B235),IF(הגדרות!$E$3&gt;0,TEXT('הדבקת לידים'!B235,REPT("0",הגדרות!$E$3)),TEXT('הדבקת לידים'!B235,"0")),TRIM('הדבקת לידים'!B235)))</f>
        <v/>
      </c>
      <c r="C235" s="0" t="n">
        <f aca="false">IF(OR(A235&lt;&gt;"",B235&lt;&gt;""),1,0)</f>
        <v>0</v>
      </c>
      <c r="D235" s="0" t="str">
        <f aca="false">IF(C235=1,MOD(ABS(SIN(ROW()*12.9898+'הדבקת לידים'!$F$2*78.233+IFERROR(--RIGHT(A235,6),LEN(A235))*0.0137+IFERROR(--RIGHT(B235,6),LEN(B235))*0.0071))*43758.5453,1),"")</f>
        <v/>
      </c>
      <c r="E235" s="0" t="str">
        <f aca="false">IF(C235=1,INT(MOD(ABS(SIN(D235*7919.123+ROW()*0.618+'הדבקת לידים'!$F$2*1.3))*43758.5453,1)*1000000)*10000+ROW(),"")</f>
        <v/>
      </c>
      <c r="F235" s="0" t="str">
        <f aca="false">IF(E235="","",RANK(E235,$E$2:$E$5001,1))</f>
        <v/>
      </c>
      <c r="G235" s="0" t="n">
        <f aca="false">IF(A235="",0,IF(SUMPRODUCT(--($A$2:$A$5001=A235))&gt;1,1,0))</f>
        <v>0</v>
      </c>
      <c r="H235" s="0" t="n">
        <f aca="false">ROW()-1</f>
        <v>234</v>
      </c>
      <c r="I235" s="0" t="str">
        <f aca="false">IF(OR(הגדרות!$E$6=0,H235&gt;הגדרות!$E$5),"",IF(H235-1&lt;הגדרות!$E$8*(הגדרות!$E$7+1),INT((H235-1)/(הגדרות!$E$7+1)),הגדרות!$E$8+INT((H235-1-הגדרות!$E$8*(הגדרות!$E$7+1))/הגדרות!$E$7)))</f>
        <v/>
      </c>
      <c r="J235" s="0" t="str">
        <f aca="false">IF(I235="","",IF(H235-1&lt;הגדרות!$E$8*(הגדרות!$E$7+1),MOD(H235-1,הגדרות!$E$7+1),MOD(H235-1-הגדרות!$E$8*(הגדרות!$E$7+1),הגדרות!$E$7)))</f>
        <v/>
      </c>
      <c r="K235" s="0" t="str">
        <f aca="false">IF(I235="","",J235*הגדרות!$E$6+I235+1)</f>
        <v/>
      </c>
      <c r="L235" s="0" t="str">
        <f aca="false">IF(K235="","",MATCH(K235,$F$2:$F$5001,0))</f>
        <v/>
      </c>
      <c r="M235" s="0" t="str">
        <f aca="false">IF(I235="","",INDEX(הגדרות!$A$2:$A$21,MOD(I235+הגדרות!$E$9,הגדרות!$E$6)+1))</f>
        <v/>
      </c>
    </row>
    <row r="236" customFormat="false" ht="15" hidden="false" customHeight="false" outlineLevel="0" collapsed="false">
      <c r="A236" s="0" t="str">
        <f aca="false">IF('הדבקת לידים'!A236="","",IF(ISNUMBER('הדבקת לידים'!A236),IF(הגדרות!$E$2&gt;0,TEXT('הדבקת לידים'!A236,REPT("0",הגדרות!$E$2)),TEXT('הדבקת לידים'!A236,"0")),TRIM('הדבקת לידים'!A236)))</f>
        <v/>
      </c>
      <c r="B236" s="0" t="str">
        <f aca="false">IF('הדבקת לידים'!B236="","",IF(ISNUMBER('הדבקת לידים'!B236),IF(הגדרות!$E$3&gt;0,TEXT('הדבקת לידים'!B236,REPT("0",הגדרות!$E$3)),TEXT('הדבקת לידים'!B236,"0")),TRIM('הדבקת לידים'!B236)))</f>
        <v/>
      </c>
      <c r="C236" s="0" t="n">
        <f aca="false">IF(OR(A236&lt;&gt;"",B236&lt;&gt;""),1,0)</f>
        <v>0</v>
      </c>
      <c r="D236" s="0" t="str">
        <f aca="false">IF(C236=1,MOD(ABS(SIN(ROW()*12.9898+'הדבקת לידים'!$F$2*78.233+IFERROR(--RIGHT(A236,6),LEN(A236))*0.0137+IFERROR(--RIGHT(B236,6),LEN(B236))*0.0071))*43758.5453,1),"")</f>
        <v/>
      </c>
      <c r="E236" s="0" t="str">
        <f aca="false">IF(C236=1,INT(MOD(ABS(SIN(D236*7919.123+ROW()*0.618+'הדבקת לידים'!$F$2*1.3))*43758.5453,1)*1000000)*10000+ROW(),"")</f>
        <v/>
      </c>
      <c r="F236" s="0" t="str">
        <f aca="false">IF(E236="","",RANK(E236,$E$2:$E$5001,1))</f>
        <v/>
      </c>
      <c r="G236" s="0" t="n">
        <f aca="false">IF(A236="",0,IF(SUMPRODUCT(--($A$2:$A$5001=A236))&gt;1,1,0))</f>
        <v>0</v>
      </c>
      <c r="H236" s="0" t="n">
        <f aca="false">ROW()-1</f>
        <v>235</v>
      </c>
      <c r="I236" s="0" t="str">
        <f aca="false">IF(OR(הגדרות!$E$6=0,H236&gt;הגדרות!$E$5),"",IF(H236-1&lt;הגדרות!$E$8*(הגדרות!$E$7+1),INT((H236-1)/(הגדרות!$E$7+1)),הגדרות!$E$8+INT((H236-1-הגדרות!$E$8*(הגדרות!$E$7+1))/הגדרות!$E$7)))</f>
        <v/>
      </c>
      <c r="J236" s="0" t="str">
        <f aca="false">IF(I236="","",IF(H236-1&lt;הגדרות!$E$8*(הגדרות!$E$7+1),MOD(H236-1,הגדרות!$E$7+1),MOD(H236-1-הגדרות!$E$8*(הגדרות!$E$7+1),הגדרות!$E$7)))</f>
        <v/>
      </c>
      <c r="K236" s="0" t="str">
        <f aca="false">IF(I236="","",J236*הגדרות!$E$6+I236+1)</f>
        <v/>
      </c>
      <c r="L236" s="0" t="str">
        <f aca="false">IF(K236="","",MATCH(K236,$F$2:$F$5001,0))</f>
        <v/>
      </c>
      <c r="M236" s="0" t="str">
        <f aca="false">IF(I236="","",INDEX(הגדרות!$A$2:$A$21,MOD(I236+הגדרות!$E$9,הגדרות!$E$6)+1))</f>
        <v/>
      </c>
    </row>
    <row r="237" customFormat="false" ht="15" hidden="false" customHeight="false" outlineLevel="0" collapsed="false">
      <c r="A237" s="0" t="str">
        <f aca="false">IF('הדבקת לידים'!A237="","",IF(ISNUMBER('הדבקת לידים'!A237),IF(הגדרות!$E$2&gt;0,TEXT('הדבקת לידים'!A237,REPT("0",הגדרות!$E$2)),TEXT('הדבקת לידים'!A237,"0")),TRIM('הדבקת לידים'!A237)))</f>
        <v/>
      </c>
      <c r="B237" s="0" t="str">
        <f aca="false">IF('הדבקת לידים'!B237="","",IF(ISNUMBER('הדבקת לידים'!B237),IF(הגדרות!$E$3&gt;0,TEXT('הדבקת לידים'!B237,REPT("0",הגדרות!$E$3)),TEXT('הדבקת לידים'!B237,"0")),TRIM('הדבקת לידים'!B237)))</f>
        <v/>
      </c>
      <c r="C237" s="0" t="n">
        <f aca="false">IF(OR(A237&lt;&gt;"",B237&lt;&gt;""),1,0)</f>
        <v>0</v>
      </c>
      <c r="D237" s="0" t="str">
        <f aca="false">IF(C237=1,MOD(ABS(SIN(ROW()*12.9898+'הדבקת לידים'!$F$2*78.233+IFERROR(--RIGHT(A237,6),LEN(A237))*0.0137+IFERROR(--RIGHT(B237,6),LEN(B237))*0.0071))*43758.5453,1),"")</f>
        <v/>
      </c>
      <c r="E237" s="0" t="str">
        <f aca="false">IF(C237=1,INT(MOD(ABS(SIN(D237*7919.123+ROW()*0.618+'הדבקת לידים'!$F$2*1.3))*43758.5453,1)*1000000)*10000+ROW(),"")</f>
        <v/>
      </c>
      <c r="F237" s="0" t="str">
        <f aca="false">IF(E237="","",RANK(E237,$E$2:$E$5001,1))</f>
        <v/>
      </c>
      <c r="G237" s="0" t="n">
        <f aca="false">IF(A237="",0,IF(SUMPRODUCT(--($A$2:$A$5001=A237))&gt;1,1,0))</f>
        <v>0</v>
      </c>
      <c r="H237" s="0" t="n">
        <f aca="false">ROW()-1</f>
        <v>236</v>
      </c>
      <c r="I237" s="0" t="str">
        <f aca="false">IF(OR(הגדרות!$E$6=0,H237&gt;הגדרות!$E$5),"",IF(H237-1&lt;הגדרות!$E$8*(הגדרות!$E$7+1),INT((H237-1)/(הגדרות!$E$7+1)),הגדרות!$E$8+INT((H237-1-הגדרות!$E$8*(הגדרות!$E$7+1))/הגדרות!$E$7)))</f>
        <v/>
      </c>
      <c r="J237" s="0" t="str">
        <f aca="false">IF(I237="","",IF(H237-1&lt;הגדרות!$E$8*(הגדרות!$E$7+1),MOD(H237-1,הגדרות!$E$7+1),MOD(H237-1-הגדרות!$E$8*(הגדרות!$E$7+1),הגדרות!$E$7)))</f>
        <v/>
      </c>
      <c r="K237" s="0" t="str">
        <f aca="false">IF(I237="","",J237*הגדרות!$E$6+I237+1)</f>
        <v/>
      </c>
      <c r="L237" s="0" t="str">
        <f aca="false">IF(K237="","",MATCH(K237,$F$2:$F$5001,0))</f>
        <v/>
      </c>
      <c r="M237" s="0" t="str">
        <f aca="false">IF(I237="","",INDEX(הגדרות!$A$2:$A$21,MOD(I237+הגדרות!$E$9,הגדרות!$E$6)+1))</f>
        <v/>
      </c>
    </row>
    <row r="238" customFormat="false" ht="15" hidden="false" customHeight="false" outlineLevel="0" collapsed="false">
      <c r="A238" s="0" t="str">
        <f aca="false">IF('הדבקת לידים'!A238="","",IF(ISNUMBER('הדבקת לידים'!A238),IF(הגדרות!$E$2&gt;0,TEXT('הדבקת לידים'!A238,REPT("0",הגדרות!$E$2)),TEXT('הדבקת לידים'!A238,"0")),TRIM('הדבקת לידים'!A238)))</f>
        <v/>
      </c>
      <c r="B238" s="0" t="str">
        <f aca="false">IF('הדבקת לידים'!B238="","",IF(ISNUMBER('הדבקת לידים'!B238),IF(הגדרות!$E$3&gt;0,TEXT('הדבקת לידים'!B238,REPT("0",הגדרות!$E$3)),TEXT('הדבקת לידים'!B238,"0")),TRIM('הדבקת לידים'!B238)))</f>
        <v/>
      </c>
      <c r="C238" s="0" t="n">
        <f aca="false">IF(OR(A238&lt;&gt;"",B238&lt;&gt;""),1,0)</f>
        <v>0</v>
      </c>
      <c r="D238" s="0" t="str">
        <f aca="false">IF(C238=1,MOD(ABS(SIN(ROW()*12.9898+'הדבקת לידים'!$F$2*78.233+IFERROR(--RIGHT(A238,6),LEN(A238))*0.0137+IFERROR(--RIGHT(B238,6),LEN(B238))*0.0071))*43758.5453,1),"")</f>
        <v/>
      </c>
      <c r="E238" s="0" t="str">
        <f aca="false">IF(C238=1,INT(MOD(ABS(SIN(D238*7919.123+ROW()*0.618+'הדבקת לידים'!$F$2*1.3))*43758.5453,1)*1000000)*10000+ROW(),"")</f>
        <v/>
      </c>
      <c r="F238" s="0" t="str">
        <f aca="false">IF(E238="","",RANK(E238,$E$2:$E$5001,1))</f>
        <v/>
      </c>
      <c r="G238" s="0" t="n">
        <f aca="false">IF(A238="",0,IF(SUMPRODUCT(--($A$2:$A$5001=A238))&gt;1,1,0))</f>
        <v>0</v>
      </c>
      <c r="H238" s="0" t="n">
        <f aca="false">ROW()-1</f>
        <v>237</v>
      </c>
      <c r="I238" s="0" t="str">
        <f aca="false">IF(OR(הגדרות!$E$6=0,H238&gt;הגדרות!$E$5),"",IF(H238-1&lt;הגדרות!$E$8*(הגדרות!$E$7+1),INT((H238-1)/(הגדרות!$E$7+1)),הגדרות!$E$8+INT((H238-1-הגדרות!$E$8*(הגדרות!$E$7+1))/הגדרות!$E$7)))</f>
        <v/>
      </c>
      <c r="J238" s="0" t="str">
        <f aca="false">IF(I238="","",IF(H238-1&lt;הגדרות!$E$8*(הגדרות!$E$7+1),MOD(H238-1,הגדרות!$E$7+1),MOD(H238-1-הגדרות!$E$8*(הגדרות!$E$7+1),הגדרות!$E$7)))</f>
        <v/>
      </c>
      <c r="K238" s="0" t="str">
        <f aca="false">IF(I238="","",J238*הגדרות!$E$6+I238+1)</f>
        <v/>
      </c>
      <c r="L238" s="0" t="str">
        <f aca="false">IF(K238="","",MATCH(K238,$F$2:$F$5001,0))</f>
        <v/>
      </c>
      <c r="M238" s="0" t="str">
        <f aca="false">IF(I238="","",INDEX(הגדרות!$A$2:$A$21,MOD(I238+הגדרות!$E$9,הגדרות!$E$6)+1))</f>
        <v/>
      </c>
    </row>
    <row r="239" customFormat="false" ht="15" hidden="false" customHeight="false" outlineLevel="0" collapsed="false">
      <c r="A239" s="0" t="str">
        <f aca="false">IF('הדבקת לידים'!A239="","",IF(ISNUMBER('הדבקת לידים'!A239),IF(הגדרות!$E$2&gt;0,TEXT('הדבקת לידים'!A239,REPT("0",הגדרות!$E$2)),TEXT('הדבקת לידים'!A239,"0")),TRIM('הדבקת לידים'!A239)))</f>
        <v/>
      </c>
      <c r="B239" s="0" t="str">
        <f aca="false">IF('הדבקת לידים'!B239="","",IF(ISNUMBER('הדבקת לידים'!B239),IF(הגדרות!$E$3&gt;0,TEXT('הדבקת לידים'!B239,REPT("0",הגדרות!$E$3)),TEXT('הדבקת לידים'!B239,"0")),TRIM('הדבקת לידים'!B239)))</f>
        <v/>
      </c>
      <c r="C239" s="0" t="n">
        <f aca="false">IF(OR(A239&lt;&gt;"",B239&lt;&gt;""),1,0)</f>
        <v>0</v>
      </c>
      <c r="D239" s="0" t="str">
        <f aca="false">IF(C239=1,MOD(ABS(SIN(ROW()*12.9898+'הדבקת לידים'!$F$2*78.233+IFERROR(--RIGHT(A239,6),LEN(A239))*0.0137+IFERROR(--RIGHT(B239,6),LEN(B239))*0.0071))*43758.5453,1),"")</f>
        <v/>
      </c>
      <c r="E239" s="0" t="str">
        <f aca="false">IF(C239=1,INT(MOD(ABS(SIN(D239*7919.123+ROW()*0.618+'הדבקת לידים'!$F$2*1.3))*43758.5453,1)*1000000)*10000+ROW(),"")</f>
        <v/>
      </c>
      <c r="F239" s="0" t="str">
        <f aca="false">IF(E239="","",RANK(E239,$E$2:$E$5001,1))</f>
        <v/>
      </c>
      <c r="G239" s="0" t="n">
        <f aca="false">IF(A239="",0,IF(SUMPRODUCT(--($A$2:$A$5001=A239))&gt;1,1,0))</f>
        <v>0</v>
      </c>
      <c r="H239" s="0" t="n">
        <f aca="false">ROW()-1</f>
        <v>238</v>
      </c>
      <c r="I239" s="0" t="str">
        <f aca="false">IF(OR(הגדרות!$E$6=0,H239&gt;הגדרות!$E$5),"",IF(H239-1&lt;הגדרות!$E$8*(הגדרות!$E$7+1),INT((H239-1)/(הגדרות!$E$7+1)),הגדרות!$E$8+INT((H239-1-הגדרות!$E$8*(הגדרות!$E$7+1))/הגדרות!$E$7)))</f>
        <v/>
      </c>
      <c r="J239" s="0" t="str">
        <f aca="false">IF(I239="","",IF(H239-1&lt;הגדרות!$E$8*(הגדרות!$E$7+1),MOD(H239-1,הגדרות!$E$7+1),MOD(H239-1-הגדרות!$E$8*(הגדרות!$E$7+1),הגדרות!$E$7)))</f>
        <v/>
      </c>
      <c r="K239" s="0" t="str">
        <f aca="false">IF(I239="","",J239*הגדרות!$E$6+I239+1)</f>
        <v/>
      </c>
      <c r="L239" s="0" t="str">
        <f aca="false">IF(K239="","",MATCH(K239,$F$2:$F$5001,0))</f>
        <v/>
      </c>
      <c r="M239" s="0" t="str">
        <f aca="false">IF(I239="","",INDEX(הגדרות!$A$2:$A$21,MOD(I239+הגדרות!$E$9,הגדרות!$E$6)+1))</f>
        <v/>
      </c>
    </row>
    <row r="240" customFormat="false" ht="15" hidden="false" customHeight="false" outlineLevel="0" collapsed="false">
      <c r="A240" s="0" t="str">
        <f aca="false">IF('הדבקת לידים'!A240="","",IF(ISNUMBER('הדבקת לידים'!A240),IF(הגדרות!$E$2&gt;0,TEXT('הדבקת לידים'!A240,REPT("0",הגדרות!$E$2)),TEXT('הדבקת לידים'!A240,"0")),TRIM('הדבקת לידים'!A240)))</f>
        <v/>
      </c>
      <c r="B240" s="0" t="str">
        <f aca="false">IF('הדבקת לידים'!B240="","",IF(ISNUMBER('הדבקת לידים'!B240),IF(הגדרות!$E$3&gt;0,TEXT('הדבקת לידים'!B240,REPT("0",הגדרות!$E$3)),TEXT('הדבקת לידים'!B240,"0")),TRIM('הדבקת לידים'!B240)))</f>
        <v/>
      </c>
      <c r="C240" s="0" t="n">
        <f aca="false">IF(OR(A240&lt;&gt;"",B240&lt;&gt;""),1,0)</f>
        <v>0</v>
      </c>
      <c r="D240" s="0" t="str">
        <f aca="false">IF(C240=1,MOD(ABS(SIN(ROW()*12.9898+'הדבקת לידים'!$F$2*78.233+IFERROR(--RIGHT(A240,6),LEN(A240))*0.0137+IFERROR(--RIGHT(B240,6),LEN(B240))*0.0071))*43758.5453,1),"")</f>
        <v/>
      </c>
      <c r="E240" s="0" t="str">
        <f aca="false">IF(C240=1,INT(MOD(ABS(SIN(D240*7919.123+ROW()*0.618+'הדבקת לידים'!$F$2*1.3))*43758.5453,1)*1000000)*10000+ROW(),"")</f>
        <v/>
      </c>
      <c r="F240" s="0" t="str">
        <f aca="false">IF(E240="","",RANK(E240,$E$2:$E$5001,1))</f>
        <v/>
      </c>
      <c r="G240" s="0" t="n">
        <f aca="false">IF(A240="",0,IF(SUMPRODUCT(--($A$2:$A$5001=A240))&gt;1,1,0))</f>
        <v>0</v>
      </c>
      <c r="H240" s="0" t="n">
        <f aca="false">ROW()-1</f>
        <v>239</v>
      </c>
      <c r="I240" s="0" t="str">
        <f aca="false">IF(OR(הגדרות!$E$6=0,H240&gt;הגדרות!$E$5),"",IF(H240-1&lt;הגדרות!$E$8*(הגדרות!$E$7+1),INT((H240-1)/(הגדרות!$E$7+1)),הגדרות!$E$8+INT((H240-1-הגדרות!$E$8*(הגדרות!$E$7+1))/הגדרות!$E$7)))</f>
        <v/>
      </c>
      <c r="J240" s="0" t="str">
        <f aca="false">IF(I240="","",IF(H240-1&lt;הגדרות!$E$8*(הגדרות!$E$7+1),MOD(H240-1,הגדרות!$E$7+1),MOD(H240-1-הגדרות!$E$8*(הגדרות!$E$7+1),הגדרות!$E$7)))</f>
        <v/>
      </c>
      <c r="K240" s="0" t="str">
        <f aca="false">IF(I240="","",J240*הגדרות!$E$6+I240+1)</f>
        <v/>
      </c>
      <c r="L240" s="0" t="str">
        <f aca="false">IF(K240="","",MATCH(K240,$F$2:$F$5001,0))</f>
        <v/>
      </c>
      <c r="M240" s="0" t="str">
        <f aca="false">IF(I240="","",INDEX(הגדרות!$A$2:$A$21,MOD(I240+הגדרות!$E$9,הגדרות!$E$6)+1))</f>
        <v/>
      </c>
    </row>
    <row r="241" customFormat="false" ht="15" hidden="false" customHeight="false" outlineLevel="0" collapsed="false">
      <c r="A241" s="0" t="str">
        <f aca="false">IF('הדבקת לידים'!A241="","",IF(ISNUMBER('הדבקת לידים'!A241),IF(הגדרות!$E$2&gt;0,TEXT('הדבקת לידים'!A241,REPT("0",הגדרות!$E$2)),TEXT('הדבקת לידים'!A241,"0")),TRIM('הדבקת לידים'!A241)))</f>
        <v/>
      </c>
      <c r="B241" s="0" t="str">
        <f aca="false">IF('הדבקת לידים'!B241="","",IF(ISNUMBER('הדבקת לידים'!B241),IF(הגדרות!$E$3&gt;0,TEXT('הדבקת לידים'!B241,REPT("0",הגדרות!$E$3)),TEXT('הדבקת לידים'!B241,"0")),TRIM('הדבקת לידים'!B241)))</f>
        <v/>
      </c>
      <c r="C241" s="0" t="n">
        <f aca="false">IF(OR(A241&lt;&gt;"",B241&lt;&gt;""),1,0)</f>
        <v>0</v>
      </c>
      <c r="D241" s="0" t="str">
        <f aca="false">IF(C241=1,MOD(ABS(SIN(ROW()*12.9898+'הדבקת לידים'!$F$2*78.233+IFERROR(--RIGHT(A241,6),LEN(A241))*0.0137+IFERROR(--RIGHT(B241,6),LEN(B241))*0.0071))*43758.5453,1),"")</f>
        <v/>
      </c>
      <c r="E241" s="0" t="str">
        <f aca="false">IF(C241=1,INT(MOD(ABS(SIN(D241*7919.123+ROW()*0.618+'הדבקת לידים'!$F$2*1.3))*43758.5453,1)*1000000)*10000+ROW(),"")</f>
        <v/>
      </c>
      <c r="F241" s="0" t="str">
        <f aca="false">IF(E241="","",RANK(E241,$E$2:$E$5001,1))</f>
        <v/>
      </c>
      <c r="G241" s="0" t="n">
        <f aca="false">IF(A241="",0,IF(SUMPRODUCT(--($A$2:$A$5001=A241))&gt;1,1,0))</f>
        <v>0</v>
      </c>
      <c r="H241" s="0" t="n">
        <f aca="false">ROW()-1</f>
        <v>240</v>
      </c>
      <c r="I241" s="0" t="str">
        <f aca="false">IF(OR(הגדרות!$E$6=0,H241&gt;הגדרות!$E$5),"",IF(H241-1&lt;הגדרות!$E$8*(הגדרות!$E$7+1),INT((H241-1)/(הגדרות!$E$7+1)),הגדרות!$E$8+INT((H241-1-הגדרות!$E$8*(הגדרות!$E$7+1))/הגדרות!$E$7)))</f>
        <v/>
      </c>
      <c r="J241" s="0" t="str">
        <f aca="false">IF(I241="","",IF(H241-1&lt;הגדרות!$E$8*(הגדרות!$E$7+1),MOD(H241-1,הגדרות!$E$7+1),MOD(H241-1-הגדרות!$E$8*(הגדרות!$E$7+1),הגדרות!$E$7)))</f>
        <v/>
      </c>
      <c r="K241" s="0" t="str">
        <f aca="false">IF(I241="","",J241*הגדרות!$E$6+I241+1)</f>
        <v/>
      </c>
      <c r="L241" s="0" t="str">
        <f aca="false">IF(K241="","",MATCH(K241,$F$2:$F$5001,0))</f>
        <v/>
      </c>
      <c r="M241" s="0" t="str">
        <f aca="false">IF(I241="","",INDEX(הגדרות!$A$2:$A$21,MOD(I241+הגדרות!$E$9,הגדרות!$E$6)+1))</f>
        <v/>
      </c>
    </row>
    <row r="242" customFormat="false" ht="15" hidden="false" customHeight="false" outlineLevel="0" collapsed="false">
      <c r="A242" s="0" t="str">
        <f aca="false">IF('הדבקת לידים'!A242="","",IF(ISNUMBER('הדבקת לידים'!A242),IF(הגדרות!$E$2&gt;0,TEXT('הדבקת לידים'!A242,REPT("0",הגדרות!$E$2)),TEXT('הדבקת לידים'!A242,"0")),TRIM('הדבקת לידים'!A242)))</f>
        <v/>
      </c>
      <c r="B242" s="0" t="str">
        <f aca="false">IF('הדבקת לידים'!B242="","",IF(ISNUMBER('הדבקת לידים'!B242),IF(הגדרות!$E$3&gt;0,TEXT('הדבקת לידים'!B242,REPT("0",הגדרות!$E$3)),TEXT('הדבקת לידים'!B242,"0")),TRIM('הדבקת לידים'!B242)))</f>
        <v/>
      </c>
      <c r="C242" s="0" t="n">
        <f aca="false">IF(OR(A242&lt;&gt;"",B242&lt;&gt;""),1,0)</f>
        <v>0</v>
      </c>
      <c r="D242" s="0" t="str">
        <f aca="false">IF(C242=1,MOD(ABS(SIN(ROW()*12.9898+'הדבקת לידים'!$F$2*78.233+IFERROR(--RIGHT(A242,6),LEN(A242))*0.0137+IFERROR(--RIGHT(B242,6),LEN(B242))*0.0071))*43758.5453,1),"")</f>
        <v/>
      </c>
      <c r="E242" s="0" t="str">
        <f aca="false">IF(C242=1,INT(MOD(ABS(SIN(D242*7919.123+ROW()*0.618+'הדבקת לידים'!$F$2*1.3))*43758.5453,1)*1000000)*10000+ROW(),"")</f>
        <v/>
      </c>
      <c r="F242" s="0" t="str">
        <f aca="false">IF(E242="","",RANK(E242,$E$2:$E$5001,1))</f>
        <v/>
      </c>
      <c r="G242" s="0" t="n">
        <f aca="false">IF(A242="",0,IF(SUMPRODUCT(--($A$2:$A$5001=A242))&gt;1,1,0))</f>
        <v>0</v>
      </c>
      <c r="H242" s="0" t="n">
        <f aca="false">ROW()-1</f>
        <v>241</v>
      </c>
      <c r="I242" s="0" t="str">
        <f aca="false">IF(OR(הגדרות!$E$6=0,H242&gt;הגדרות!$E$5),"",IF(H242-1&lt;הגדרות!$E$8*(הגדרות!$E$7+1),INT((H242-1)/(הגדרות!$E$7+1)),הגדרות!$E$8+INT((H242-1-הגדרות!$E$8*(הגדרות!$E$7+1))/הגדרות!$E$7)))</f>
        <v/>
      </c>
      <c r="J242" s="0" t="str">
        <f aca="false">IF(I242="","",IF(H242-1&lt;הגדרות!$E$8*(הגדרות!$E$7+1),MOD(H242-1,הגדרות!$E$7+1),MOD(H242-1-הגדרות!$E$8*(הגדרות!$E$7+1),הגדרות!$E$7)))</f>
        <v/>
      </c>
      <c r="K242" s="0" t="str">
        <f aca="false">IF(I242="","",J242*הגדרות!$E$6+I242+1)</f>
        <v/>
      </c>
      <c r="L242" s="0" t="str">
        <f aca="false">IF(K242="","",MATCH(K242,$F$2:$F$5001,0))</f>
        <v/>
      </c>
      <c r="M242" s="0" t="str">
        <f aca="false">IF(I242="","",INDEX(הגדרות!$A$2:$A$21,MOD(I242+הגדרות!$E$9,הגדרות!$E$6)+1))</f>
        <v/>
      </c>
    </row>
    <row r="243" customFormat="false" ht="15" hidden="false" customHeight="false" outlineLevel="0" collapsed="false">
      <c r="A243" s="0" t="str">
        <f aca="false">IF('הדבקת לידים'!A243="","",IF(ISNUMBER('הדבקת לידים'!A243),IF(הגדרות!$E$2&gt;0,TEXT('הדבקת לידים'!A243,REPT("0",הגדרות!$E$2)),TEXT('הדבקת לידים'!A243,"0")),TRIM('הדבקת לידים'!A243)))</f>
        <v/>
      </c>
      <c r="B243" s="0" t="str">
        <f aca="false">IF('הדבקת לידים'!B243="","",IF(ISNUMBER('הדבקת לידים'!B243),IF(הגדרות!$E$3&gt;0,TEXT('הדבקת לידים'!B243,REPT("0",הגדרות!$E$3)),TEXT('הדבקת לידים'!B243,"0")),TRIM('הדבקת לידים'!B243)))</f>
        <v/>
      </c>
      <c r="C243" s="0" t="n">
        <f aca="false">IF(OR(A243&lt;&gt;"",B243&lt;&gt;""),1,0)</f>
        <v>0</v>
      </c>
      <c r="D243" s="0" t="str">
        <f aca="false">IF(C243=1,MOD(ABS(SIN(ROW()*12.9898+'הדבקת לידים'!$F$2*78.233+IFERROR(--RIGHT(A243,6),LEN(A243))*0.0137+IFERROR(--RIGHT(B243,6),LEN(B243))*0.0071))*43758.5453,1),"")</f>
        <v/>
      </c>
      <c r="E243" s="0" t="str">
        <f aca="false">IF(C243=1,INT(MOD(ABS(SIN(D243*7919.123+ROW()*0.618+'הדבקת לידים'!$F$2*1.3))*43758.5453,1)*1000000)*10000+ROW(),"")</f>
        <v/>
      </c>
      <c r="F243" s="0" t="str">
        <f aca="false">IF(E243="","",RANK(E243,$E$2:$E$5001,1))</f>
        <v/>
      </c>
      <c r="G243" s="0" t="n">
        <f aca="false">IF(A243="",0,IF(SUMPRODUCT(--($A$2:$A$5001=A243))&gt;1,1,0))</f>
        <v>0</v>
      </c>
      <c r="H243" s="0" t="n">
        <f aca="false">ROW()-1</f>
        <v>242</v>
      </c>
      <c r="I243" s="0" t="str">
        <f aca="false">IF(OR(הגדרות!$E$6=0,H243&gt;הגדרות!$E$5),"",IF(H243-1&lt;הגדרות!$E$8*(הגדרות!$E$7+1),INT((H243-1)/(הגדרות!$E$7+1)),הגדרות!$E$8+INT((H243-1-הגדרות!$E$8*(הגדרות!$E$7+1))/הגדרות!$E$7)))</f>
        <v/>
      </c>
      <c r="J243" s="0" t="str">
        <f aca="false">IF(I243="","",IF(H243-1&lt;הגדרות!$E$8*(הגדרות!$E$7+1),MOD(H243-1,הגדרות!$E$7+1),MOD(H243-1-הגדרות!$E$8*(הגדרות!$E$7+1),הגדרות!$E$7)))</f>
        <v/>
      </c>
      <c r="K243" s="0" t="str">
        <f aca="false">IF(I243="","",J243*הגדרות!$E$6+I243+1)</f>
        <v/>
      </c>
      <c r="L243" s="0" t="str">
        <f aca="false">IF(K243="","",MATCH(K243,$F$2:$F$5001,0))</f>
        <v/>
      </c>
      <c r="M243" s="0" t="str">
        <f aca="false">IF(I243="","",INDEX(הגדרות!$A$2:$A$21,MOD(I243+הגדרות!$E$9,הגדרות!$E$6)+1))</f>
        <v/>
      </c>
    </row>
    <row r="244" customFormat="false" ht="15" hidden="false" customHeight="false" outlineLevel="0" collapsed="false">
      <c r="A244" s="0" t="str">
        <f aca="false">IF('הדבקת לידים'!A244="","",IF(ISNUMBER('הדבקת לידים'!A244),IF(הגדרות!$E$2&gt;0,TEXT('הדבקת לידים'!A244,REPT("0",הגדרות!$E$2)),TEXT('הדבקת לידים'!A244,"0")),TRIM('הדבקת לידים'!A244)))</f>
        <v/>
      </c>
      <c r="B244" s="0" t="str">
        <f aca="false">IF('הדבקת לידים'!B244="","",IF(ISNUMBER('הדבקת לידים'!B244),IF(הגדרות!$E$3&gt;0,TEXT('הדבקת לידים'!B244,REPT("0",הגדרות!$E$3)),TEXT('הדבקת לידים'!B244,"0")),TRIM('הדבקת לידים'!B244)))</f>
        <v/>
      </c>
      <c r="C244" s="0" t="n">
        <f aca="false">IF(OR(A244&lt;&gt;"",B244&lt;&gt;""),1,0)</f>
        <v>0</v>
      </c>
      <c r="D244" s="0" t="str">
        <f aca="false">IF(C244=1,MOD(ABS(SIN(ROW()*12.9898+'הדבקת לידים'!$F$2*78.233+IFERROR(--RIGHT(A244,6),LEN(A244))*0.0137+IFERROR(--RIGHT(B244,6),LEN(B244))*0.0071))*43758.5453,1),"")</f>
        <v/>
      </c>
      <c r="E244" s="0" t="str">
        <f aca="false">IF(C244=1,INT(MOD(ABS(SIN(D244*7919.123+ROW()*0.618+'הדבקת לידים'!$F$2*1.3))*43758.5453,1)*1000000)*10000+ROW(),"")</f>
        <v/>
      </c>
      <c r="F244" s="0" t="str">
        <f aca="false">IF(E244="","",RANK(E244,$E$2:$E$5001,1))</f>
        <v/>
      </c>
      <c r="G244" s="0" t="n">
        <f aca="false">IF(A244="",0,IF(SUMPRODUCT(--($A$2:$A$5001=A244))&gt;1,1,0))</f>
        <v>0</v>
      </c>
      <c r="H244" s="0" t="n">
        <f aca="false">ROW()-1</f>
        <v>243</v>
      </c>
      <c r="I244" s="0" t="str">
        <f aca="false">IF(OR(הגדרות!$E$6=0,H244&gt;הגדרות!$E$5),"",IF(H244-1&lt;הגדרות!$E$8*(הגדרות!$E$7+1),INT((H244-1)/(הגדרות!$E$7+1)),הגדרות!$E$8+INT((H244-1-הגדרות!$E$8*(הגדרות!$E$7+1))/הגדרות!$E$7)))</f>
        <v/>
      </c>
      <c r="J244" s="0" t="str">
        <f aca="false">IF(I244="","",IF(H244-1&lt;הגדרות!$E$8*(הגדרות!$E$7+1),MOD(H244-1,הגדרות!$E$7+1),MOD(H244-1-הגדרות!$E$8*(הגדרות!$E$7+1),הגדרות!$E$7)))</f>
        <v/>
      </c>
      <c r="K244" s="0" t="str">
        <f aca="false">IF(I244="","",J244*הגדרות!$E$6+I244+1)</f>
        <v/>
      </c>
      <c r="L244" s="0" t="str">
        <f aca="false">IF(K244="","",MATCH(K244,$F$2:$F$5001,0))</f>
        <v/>
      </c>
      <c r="M244" s="0" t="str">
        <f aca="false">IF(I244="","",INDEX(הגדרות!$A$2:$A$21,MOD(I244+הגדרות!$E$9,הגדרות!$E$6)+1))</f>
        <v/>
      </c>
    </row>
    <row r="245" customFormat="false" ht="15" hidden="false" customHeight="false" outlineLevel="0" collapsed="false">
      <c r="A245" s="0" t="str">
        <f aca="false">IF('הדבקת לידים'!A245="","",IF(ISNUMBER('הדבקת לידים'!A245),IF(הגדרות!$E$2&gt;0,TEXT('הדבקת לידים'!A245,REPT("0",הגדרות!$E$2)),TEXT('הדבקת לידים'!A245,"0")),TRIM('הדבקת לידים'!A245)))</f>
        <v/>
      </c>
      <c r="B245" s="0" t="str">
        <f aca="false">IF('הדבקת לידים'!B245="","",IF(ISNUMBER('הדבקת לידים'!B245),IF(הגדרות!$E$3&gt;0,TEXT('הדבקת לידים'!B245,REPT("0",הגדרות!$E$3)),TEXT('הדבקת לידים'!B245,"0")),TRIM('הדבקת לידים'!B245)))</f>
        <v/>
      </c>
      <c r="C245" s="0" t="n">
        <f aca="false">IF(OR(A245&lt;&gt;"",B245&lt;&gt;""),1,0)</f>
        <v>0</v>
      </c>
      <c r="D245" s="0" t="str">
        <f aca="false">IF(C245=1,MOD(ABS(SIN(ROW()*12.9898+'הדבקת לידים'!$F$2*78.233+IFERROR(--RIGHT(A245,6),LEN(A245))*0.0137+IFERROR(--RIGHT(B245,6),LEN(B245))*0.0071))*43758.5453,1),"")</f>
        <v/>
      </c>
      <c r="E245" s="0" t="str">
        <f aca="false">IF(C245=1,INT(MOD(ABS(SIN(D245*7919.123+ROW()*0.618+'הדבקת לידים'!$F$2*1.3))*43758.5453,1)*1000000)*10000+ROW(),"")</f>
        <v/>
      </c>
      <c r="F245" s="0" t="str">
        <f aca="false">IF(E245="","",RANK(E245,$E$2:$E$5001,1))</f>
        <v/>
      </c>
      <c r="G245" s="0" t="n">
        <f aca="false">IF(A245="",0,IF(SUMPRODUCT(--($A$2:$A$5001=A245))&gt;1,1,0))</f>
        <v>0</v>
      </c>
      <c r="H245" s="0" t="n">
        <f aca="false">ROW()-1</f>
        <v>244</v>
      </c>
      <c r="I245" s="0" t="str">
        <f aca="false">IF(OR(הגדרות!$E$6=0,H245&gt;הגדרות!$E$5),"",IF(H245-1&lt;הגדרות!$E$8*(הגדרות!$E$7+1),INT((H245-1)/(הגדרות!$E$7+1)),הגדרות!$E$8+INT((H245-1-הגדרות!$E$8*(הגדרות!$E$7+1))/הגדרות!$E$7)))</f>
        <v/>
      </c>
      <c r="J245" s="0" t="str">
        <f aca="false">IF(I245="","",IF(H245-1&lt;הגדרות!$E$8*(הגדרות!$E$7+1),MOD(H245-1,הגדרות!$E$7+1),MOD(H245-1-הגדרות!$E$8*(הגדרות!$E$7+1),הגדרות!$E$7)))</f>
        <v/>
      </c>
      <c r="K245" s="0" t="str">
        <f aca="false">IF(I245="","",J245*הגדרות!$E$6+I245+1)</f>
        <v/>
      </c>
      <c r="L245" s="0" t="str">
        <f aca="false">IF(K245="","",MATCH(K245,$F$2:$F$5001,0))</f>
        <v/>
      </c>
      <c r="M245" s="0" t="str">
        <f aca="false">IF(I245="","",INDEX(הגדרות!$A$2:$A$21,MOD(I245+הגדרות!$E$9,הגדרות!$E$6)+1))</f>
        <v/>
      </c>
    </row>
    <row r="246" customFormat="false" ht="15" hidden="false" customHeight="false" outlineLevel="0" collapsed="false">
      <c r="A246" s="0" t="str">
        <f aca="false">IF('הדבקת לידים'!A246="","",IF(ISNUMBER('הדבקת לידים'!A246),IF(הגדרות!$E$2&gt;0,TEXT('הדבקת לידים'!A246,REPT("0",הגדרות!$E$2)),TEXT('הדבקת לידים'!A246,"0")),TRIM('הדבקת לידים'!A246)))</f>
        <v/>
      </c>
      <c r="B246" s="0" t="str">
        <f aca="false">IF('הדבקת לידים'!B246="","",IF(ISNUMBER('הדבקת לידים'!B246),IF(הגדרות!$E$3&gt;0,TEXT('הדבקת לידים'!B246,REPT("0",הגדרות!$E$3)),TEXT('הדבקת לידים'!B246,"0")),TRIM('הדבקת לידים'!B246)))</f>
        <v/>
      </c>
      <c r="C246" s="0" t="n">
        <f aca="false">IF(OR(A246&lt;&gt;"",B246&lt;&gt;""),1,0)</f>
        <v>0</v>
      </c>
      <c r="D246" s="0" t="str">
        <f aca="false">IF(C246=1,MOD(ABS(SIN(ROW()*12.9898+'הדבקת לידים'!$F$2*78.233+IFERROR(--RIGHT(A246,6),LEN(A246))*0.0137+IFERROR(--RIGHT(B246,6),LEN(B246))*0.0071))*43758.5453,1),"")</f>
        <v/>
      </c>
      <c r="E246" s="0" t="str">
        <f aca="false">IF(C246=1,INT(MOD(ABS(SIN(D246*7919.123+ROW()*0.618+'הדבקת לידים'!$F$2*1.3))*43758.5453,1)*1000000)*10000+ROW(),"")</f>
        <v/>
      </c>
      <c r="F246" s="0" t="str">
        <f aca="false">IF(E246="","",RANK(E246,$E$2:$E$5001,1))</f>
        <v/>
      </c>
      <c r="G246" s="0" t="n">
        <f aca="false">IF(A246="",0,IF(SUMPRODUCT(--($A$2:$A$5001=A246))&gt;1,1,0))</f>
        <v>0</v>
      </c>
      <c r="H246" s="0" t="n">
        <f aca="false">ROW()-1</f>
        <v>245</v>
      </c>
      <c r="I246" s="0" t="str">
        <f aca="false">IF(OR(הגדרות!$E$6=0,H246&gt;הגדרות!$E$5),"",IF(H246-1&lt;הגדרות!$E$8*(הגדרות!$E$7+1),INT((H246-1)/(הגדרות!$E$7+1)),הגדרות!$E$8+INT((H246-1-הגדרות!$E$8*(הגדרות!$E$7+1))/הגדרות!$E$7)))</f>
        <v/>
      </c>
      <c r="J246" s="0" t="str">
        <f aca="false">IF(I246="","",IF(H246-1&lt;הגדרות!$E$8*(הגדרות!$E$7+1),MOD(H246-1,הגדרות!$E$7+1),MOD(H246-1-הגדרות!$E$8*(הגדרות!$E$7+1),הגדרות!$E$7)))</f>
        <v/>
      </c>
      <c r="K246" s="0" t="str">
        <f aca="false">IF(I246="","",J246*הגדרות!$E$6+I246+1)</f>
        <v/>
      </c>
      <c r="L246" s="0" t="str">
        <f aca="false">IF(K246="","",MATCH(K246,$F$2:$F$5001,0))</f>
        <v/>
      </c>
      <c r="M246" s="0" t="str">
        <f aca="false">IF(I246="","",INDEX(הגדרות!$A$2:$A$21,MOD(I246+הגדרות!$E$9,הגדרות!$E$6)+1))</f>
        <v/>
      </c>
    </row>
    <row r="247" customFormat="false" ht="15" hidden="false" customHeight="false" outlineLevel="0" collapsed="false">
      <c r="A247" s="0" t="str">
        <f aca="false">IF('הדבקת לידים'!A247="","",IF(ISNUMBER('הדבקת לידים'!A247),IF(הגדרות!$E$2&gt;0,TEXT('הדבקת לידים'!A247,REPT("0",הגדרות!$E$2)),TEXT('הדבקת לידים'!A247,"0")),TRIM('הדבקת לידים'!A247)))</f>
        <v/>
      </c>
      <c r="B247" s="0" t="str">
        <f aca="false">IF('הדבקת לידים'!B247="","",IF(ISNUMBER('הדבקת לידים'!B247),IF(הגדרות!$E$3&gt;0,TEXT('הדבקת לידים'!B247,REPT("0",הגדרות!$E$3)),TEXT('הדבקת לידים'!B247,"0")),TRIM('הדבקת לידים'!B247)))</f>
        <v/>
      </c>
      <c r="C247" s="0" t="n">
        <f aca="false">IF(OR(A247&lt;&gt;"",B247&lt;&gt;""),1,0)</f>
        <v>0</v>
      </c>
      <c r="D247" s="0" t="str">
        <f aca="false">IF(C247=1,MOD(ABS(SIN(ROW()*12.9898+'הדבקת לידים'!$F$2*78.233+IFERROR(--RIGHT(A247,6),LEN(A247))*0.0137+IFERROR(--RIGHT(B247,6),LEN(B247))*0.0071))*43758.5453,1),"")</f>
        <v/>
      </c>
      <c r="E247" s="0" t="str">
        <f aca="false">IF(C247=1,INT(MOD(ABS(SIN(D247*7919.123+ROW()*0.618+'הדבקת לידים'!$F$2*1.3))*43758.5453,1)*1000000)*10000+ROW(),"")</f>
        <v/>
      </c>
      <c r="F247" s="0" t="str">
        <f aca="false">IF(E247="","",RANK(E247,$E$2:$E$5001,1))</f>
        <v/>
      </c>
      <c r="G247" s="0" t="n">
        <f aca="false">IF(A247="",0,IF(SUMPRODUCT(--($A$2:$A$5001=A247))&gt;1,1,0))</f>
        <v>0</v>
      </c>
      <c r="H247" s="0" t="n">
        <f aca="false">ROW()-1</f>
        <v>246</v>
      </c>
      <c r="I247" s="0" t="str">
        <f aca="false">IF(OR(הגדרות!$E$6=0,H247&gt;הגדרות!$E$5),"",IF(H247-1&lt;הגדרות!$E$8*(הגדרות!$E$7+1),INT((H247-1)/(הגדרות!$E$7+1)),הגדרות!$E$8+INT((H247-1-הגדרות!$E$8*(הגדרות!$E$7+1))/הגדרות!$E$7)))</f>
        <v/>
      </c>
      <c r="J247" s="0" t="str">
        <f aca="false">IF(I247="","",IF(H247-1&lt;הגדרות!$E$8*(הגדרות!$E$7+1),MOD(H247-1,הגדרות!$E$7+1),MOD(H247-1-הגדרות!$E$8*(הגדרות!$E$7+1),הגדרות!$E$7)))</f>
        <v/>
      </c>
      <c r="K247" s="0" t="str">
        <f aca="false">IF(I247="","",J247*הגדרות!$E$6+I247+1)</f>
        <v/>
      </c>
      <c r="L247" s="0" t="str">
        <f aca="false">IF(K247="","",MATCH(K247,$F$2:$F$5001,0))</f>
        <v/>
      </c>
      <c r="M247" s="0" t="str">
        <f aca="false">IF(I247="","",INDEX(הגדרות!$A$2:$A$21,MOD(I247+הגדרות!$E$9,הגדרות!$E$6)+1))</f>
        <v/>
      </c>
    </row>
    <row r="248" customFormat="false" ht="15" hidden="false" customHeight="false" outlineLevel="0" collapsed="false">
      <c r="A248" s="0" t="str">
        <f aca="false">IF('הדבקת לידים'!A248="","",IF(ISNUMBER('הדבקת לידים'!A248),IF(הגדרות!$E$2&gt;0,TEXT('הדבקת לידים'!A248,REPT("0",הגדרות!$E$2)),TEXT('הדבקת לידים'!A248,"0")),TRIM('הדבקת לידים'!A248)))</f>
        <v/>
      </c>
      <c r="B248" s="0" t="str">
        <f aca="false">IF('הדבקת לידים'!B248="","",IF(ISNUMBER('הדבקת לידים'!B248),IF(הגדרות!$E$3&gt;0,TEXT('הדבקת לידים'!B248,REPT("0",הגדרות!$E$3)),TEXT('הדבקת לידים'!B248,"0")),TRIM('הדבקת לידים'!B248)))</f>
        <v/>
      </c>
      <c r="C248" s="0" t="n">
        <f aca="false">IF(OR(A248&lt;&gt;"",B248&lt;&gt;""),1,0)</f>
        <v>0</v>
      </c>
      <c r="D248" s="0" t="str">
        <f aca="false">IF(C248=1,MOD(ABS(SIN(ROW()*12.9898+'הדבקת לידים'!$F$2*78.233+IFERROR(--RIGHT(A248,6),LEN(A248))*0.0137+IFERROR(--RIGHT(B248,6),LEN(B248))*0.0071))*43758.5453,1),"")</f>
        <v/>
      </c>
      <c r="E248" s="0" t="str">
        <f aca="false">IF(C248=1,INT(MOD(ABS(SIN(D248*7919.123+ROW()*0.618+'הדבקת לידים'!$F$2*1.3))*43758.5453,1)*1000000)*10000+ROW(),"")</f>
        <v/>
      </c>
      <c r="F248" s="0" t="str">
        <f aca="false">IF(E248="","",RANK(E248,$E$2:$E$5001,1))</f>
        <v/>
      </c>
      <c r="G248" s="0" t="n">
        <f aca="false">IF(A248="",0,IF(SUMPRODUCT(--($A$2:$A$5001=A248))&gt;1,1,0))</f>
        <v>0</v>
      </c>
      <c r="H248" s="0" t="n">
        <f aca="false">ROW()-1</f>
        <v>247</v>
      </c>
      <c r="I248" s="0" t="str">
        <f aca="false">IF(OR(הגדרות!$E$6=0,H248&gt;הגדרות!$E$5),"",IF(H248-1&lt;הגדרות!$E$8*(הגדרות!$E$7+1),INT((H248-1)/(הגדרות!$E$7+1)),הגדרות!$E$8+INT((H248-1-הגדרות!$E$8*(הגדרות!$E$7+1))/הגדרות!$E$7)))</f>
        <v/>
      </c>
      <c r="J248" s="0" t="str">
        <f aca="false">IF(I248="","",IF(H248-1&lt;הגדרות!$E$8*(הגדרות!$E$7+1),MOD(H248-1,הגדרות!$E$7+1),MOD(H248-1-הגדרות!$E$8*(הגדרות!$E$7+1),הגדרות!$E$7)))</f>
        <v/>
      </c>
      <c r="K248" s="0" t="str">
        <f aca="false">IF(I248="","",J248*הגדרות!$E$6+I248+1)</f>
        <v/>
      </c>
      <c r="L248" s="0" t="str">
        <f aca="false">IF(K248="","",MATCH(K248,$F$2:$F$5001,0))</f>
        <v/>
      </c>
      <c r="M248" s="0" t="str">
        <f aca="false">IF(I248="","",INDEX(הגדרות!$A$2:$A$21,MOD(I248+הגדרות!$E$9,הגדרות!$E$6)+1))</f>
        <v/>
      </c>
    </row>
    <row r="249" customFormat="false" ht="15" hidden="false" customHeight="false" outlineLevel="0" collapsed="false">
      <c r="A249" s="0" t="str">
        <f aca="false">IF('הדבקת לידים'!A249="","",IF(ISNUMBER('הדבקת לידים'!A249),IF(הגדרות!$E$2&gt;0,TEXT('הדבקת לידים'!A249,REPT("0",הגדרות!$E$2)),TEXT('הדבקת לידים'!A249,"0")),TRIM('הדבקת לידים'!A249)))</f>
        <v/>
      </c>
      <c r="B249" s="0" t="str">
        <f aca="false">IF('הדבקת לידים'!B249="","",IF(ISNUMBER('הדבקת לידים'!B249),IF(הגדרות!$E$3&gt;0,TEXT('הדבקת לידים'!B249,REPT("0",הגדרות!$E$3)),TEXT('הדבקת לידים'!B249,"0")),TRIM('הדבקת לידים'!B249)))</f>
        <v/>
      </c>
      <c r="C249" s="0" t="n">
        <f aca="false">IF(OR(A249&lt;&gt;"",B249&lt;&gt;""),1,0)</f>
        <v>0</v>
      </c>
      <c r="D249" s="0" t="str">
        <f aca="false">IF(C249=1,MOD(ABS(SIN(ROW()*12.9898+'הדבקת לידים'!$F$2*78.233+IFERROR(--RIGHT(A249,6),LEN(A249))*0.0137+IFERROR(--RIGHT(B249,6),LEN(B249))*0.0071))*43758.5453,1),"")</f>
        <v/>
      </c>
      <c r="E249" s="0" t="str">
        <f aca="false">IF(C249=1,INT(MOD(ABS(SIN(D249*7919.123+ROW()*0.618+'הדבקת לידים'!$F$2*1.3))*43758.5453,1)*1000000)*10000+ROW(),"")</f>
        <v/>
      </c>
      <c r="F249" s="0" t="str">
        <f aca="false">IF(E249="","",RANK(E249,$E$2:$E$5001,1))</f>
        <v/>
      </c>
      <c r="G249" s="0" t="n">
        <f aca="false">IF(A249="",0,IF(SUMPRODUCT(--($A$2:$A$5001=A249))&gt;1,1,0))</f>
        <v>0</v>
      </c>
      <c r="H249" s="0" t="n">
        <f aca="false">ROW()-1</f>
        <v>248</v>
      </c>
      <c r="I249" s="0" t="str">
        <f aca="false">IF(OR(הגדרות!$E$6=0,H249&gt;הגדרות!$E$5),"",IF(H249-1&lt;הגדרות!$E$8*(הגדרות!$E$7+1),INT((H249-1)/(הגדרות!$E$7+1)),הגדרות!$E$8+INT((H249-1-הגדרות!$E$8*(הגדרות!$E$7+1))/הגדרות!$E$7)))</f>
        <v/>
      </c>
      <c r="J249" s="0" t="str">
        <f aca="false">IF(I249="","",IF(H249-1&lt;הגדרות!$E$8*(הגדרות!$E$7+1),MOD(H249-1,הגדרות!$E$7+1),MOD(H249-1-הגדרות!$E$8*(הגדרות!$E$7+1),הגדרות!$E$7)))</f>
        <v/>
      </c>
      <c r="K249" s="0" t="str">
        <f aca="false">IF(I249="","",J249*הגדרות!$E$6+I249+1)</f>
        <v/>
      </c>
      <c r="L249" s="0" t="str">
        <f aca="false">IF(K249="","",MATCH(K249,$F$2:$F$5001,0))</f>
        <v/>
      </c>
      <c r="M249" s="0" t="str">
        <f aca="false">IF(I249="","",INDEX(הגדרות!$A$2:$A$21,MOD(I249+הגדרות!$E$9,הגדרות!$E$6)+1))</f>
        <v/>
      </c>
    </row>
    <row r="250" customFormat="false" ht="15" hidden="false" customHeight="false" outlineLevel="0" collapsed="false">
      <c r="A250" s="0" t="str">
        <f aca="false">IF('הדבקת לידים'!A250="","",IF(ISNUMBER('הדבקת לידים'!A250),IF(הגדרות!$E$2&gt;0,TEXT('הדבקת לידים'!A250,REPT("0",הגדרות!$E$2)),TEXT('הדבקת לידים'!A250,"0")),TRIM('הדבקת לידים'!A250)))</f>
        <v/>
      </c>
      <c r="B250" s="0" t="str">
        <f aca="false">IF('הדבקת לידים'!B250="","",IF(ISNUMBER('הדבקת לידים'!B250),IF(הגדרות!$E$3&gt;0,TEXT('הדבקת לידים'!B250,REPT("0",הגדרות!$E$3)),TEXT('הדבקת לידים'!B250,"0")),TRIM('הדבקת לידים'!B250)))</f>
        <v/>
      </c>
      <c r="C250" s="0" t="n">
        <f aca="false">IF(OR(A250&lt;&gt;"",B250&lt;&gt;""),1,0)</f>
        <v>0</v>
      </c>
      <c r="D250" s="0" t="str">
        <f aca="false">IF(C250=1,MOD(ABS(SIN(ROW()*12.9898+'הדבקת לידים'!$F$2*78.233+IFERROR(--RIGHT(A250,6),LEN(A250))*0.0137+IFERROR(--RIGHT(B250,6),LEN(B250))*0.0071))*43758.5453,1),"")</f>
        <v/>
      </c>
      <c r="E250" s="0" t="str">
        <f aca="false">IF(C250=1,INT(MOD(ABS(SIN(D250*7919.123+ROW()*0.618+'הדבקת לידים'!$F$2*1.3))*43758.5453,1)*1000000)*10000+ROW(),"")</f>
        <v/>
      </c>
      <c r="F250" s="0" t="str">
        <f aca="false">IF(E250="","",RANK(E250,$E$2:$E$5001,1))</f>
        <v/>
      </c>
      <c r="G250" s="0" t="n">
        <f aca="false">IF(A250="",0,IF(SUMPRODUCT(--($A$2:$A$5001=A250))&gt;1,1,0))</f>
        <v>0</v>
      </c>
      <c r="H250" s="0" t="n">
        <f aca="false">ROW()-1</f>
        <v>249</v>
      </c>
      <c r="I250" s="0" t="str">
        <f aca="false">IF(OR(הגדרות!$E$6=0,H250&gt;הגדרות!$E$5),"",IF(H250-1&lt;הגדרות!$E$8*(הגדרות!$E$7+1),INT((H250-1)/(הגדרות!$E$7+1)),הגדרות!$E$8+INT((H250-1-הגדרות!$E$8*(הגדרות!$E$7+1))/הגדרות!$E$7)))</f>
        <v/>
      </c>
      <c r="J250" s="0" t="str">
        <f aca="false">IF(I250="","",IF(H250-1&lt;הגדרות!$E$8*(הגדרות!$E$7+1),MOD(H250-1,הגדרות!$E$7+1),MOD(H250-1-הגדרות!$E$8*(הגדרות!$E$7+1),הגדרות!$E$7)))</f>
        <v/>
      </c>
      <c r="K250" s="0" t="str">
        <f aca="false">IF(I250="","",J250*הגדרות!$E$6+I250+1)</f>
        <v/>
      </c>
      <c r="L250" s="0" t="str">
        <f aca="false">IF(K250="","",MATCH(K250,$F$2:$F$5001,0))</f>
        <v/>
      </c>
      <c r="M250" s="0" t="str">
        <f aca="false">IF(I250="","",INDEX(הגדרות!$A$2:$A$21,MOD(I250+הגדרות!$E$9,הגדרות!$E$6)+1))</f>
        <v/>
      </c>
    </row>
    <row r="251" customFormat="false" ht="15" hidden="false" customHeight="false" outlineLevel="0" collapsed="false">
      <c r="A251" s="0" t="str">
        <f aca="false">IF('הדבקת לידים'!A251="","",IF(ISNUMBER('הדבקת לידים'!A251),IF(הגדרות!$E$2&gt;0,TEXT('הדבקת לידים'!A251,REPT("0",הגדרות!$E$2)),TEXT('הדבקת לידים'!A251,"0")),TRIM('הדבקת לידים'!A251)))</f>
        <v/>
      </c>
      <c r="B251" s="0" t="str">
        <f aca="false">IF('הדבקת לידים'!B251="","",IF(ISNUMBER('הדבקת לידים'!B251),IF(הגדרות!$E$3&gt;0,TEXT('הדבקת לידים'!B251,REPT("0",הגדרות!$E$3)),TEXT('הדבקת לידים'!B251,"0")),TRIM('הדבקת לידים'!B251)))</f>
        <v/>
      </c>
      <c r="C251" s="0" t="n">
        <f aca="false">IF(OR(A251&lt;&gt;"",B251&lt;&gt;""),1,0)</f>
        <v>0</v>
      </c>
      <c r="D251" s="0" t="str">
        <f aca="false">IF(C251=1,MOD(ABS(SIN(ROW()*12.9898+'הדבקת לידים'!$F$2*78.233+IFERROR(--RIGHT(A251,6),LEN(A251))*0.0137+IFERROR(--RIGHT(B251,6),LEN(B251))*0.0071))*43758.5453,1),"")</f>
        <v/>
      </c>
      <c r="E251" s="0" t="str">
        <f aca="false">IF(C251=1,INT(MOD(ABS(SIN(D251*7919.123+ROW()*0.618+'הדבקת לידים'!$F$2*1.3))*43758.5453,1)*1000000)*10000+ROW(),"")</f>
        <v/>
      </c>
      <c r="F251" s="0" t="str">
        <f aca="false">IF(E251="","",RANK(E251,$E$2:$E$5001,1))</f>
        <v/>
      </c>
      <c r="G251" s="0" t="n">
        <f aca="false">IF(A251="",0,IF(SUMPRODUCT(--($A$2:$A$5001=A251))&gt;1,1,0))</f>
        <v>0</v>
      </c>
      <c r="H251" s="0" t="n">
        <f aca="false">ROW()-1</f>
        <v>250</v>
      </c>
      <c r="I251" s="0" t="str">
        <f aca="false">IF(OR(הגדרות!$E$6=0,H251&gt;הגדרות!$E$5),"",IF(H251-1&lt;הגדרות!$E$8*(הגדרות!$E$7+1),INT((H251-1)/(הגדרות!$E$7+1)),הגדרות!$E$8+INT((H251-1-הגדרות!$E$8*(הגדרות!$E$7+1))/הגדרות!$E$7)))</f>
        <v/>
      </c>
      <c r="J251" s="0" t="str">
        <f aca="false">IF(I251="","",IF(H251-1&lt;הגדרות!$E$8*(הגדרות!$E$7+1),MOD(H251-1,הגדרות!$E$7+1),MOD(H251-1-הגדרות!$E$8*(הגדרות!$E$7+1),הגדרות!$E$7)))</f>
        <v/>
      </c>
      <c r="K251" s="0" t="str">
        <f aca="false">IF(I251="","",J251*הגדרות!$E$6+I251+1)</f>
        <v/>
      </c>
      <c r="L251" s="0" t="str">
        <f aca="false">IF(K251="","",MATCH(K251,$F$2:$F$5001,0))</f>
        <v/>
      </c>
      <c r="M251" s="0" t="str">
        <f aca="false">IF(I251="","",INDEX(הגדרות!$A$2:$A$21,MOD(I251+הגדרות!$E$9,הגדרות!$E$6)+1))</f>
        <v/>
      </c>
    </row>
    <row r="252" customFormat="false" ht="15" hidden="false" customHeight="false" outlineLevel="0" collapsed="false">
      <c r="A252" s="0" t="str">
        <f aca="false">IF('הדבקת לידים'!A252="","",IF(ISNUMBER('הדבקת לידים'!A252),IF(הגדרות!$E$2&gt;0,TEXT('הדבקת לידים'!A252,REPT("0",הגדרות!$E$2)),TEXT('הדבקת לידים'!A252,"0")),TRIM('הדבקת לידים'!A252)))</f>
        <v/>
      </c>
      <c r="B252" s="0" t="str">
        <f aca="false">IF('הדבקת לידים'!B252="","",IF(ISNUMBER('הדבקת לידים'!B252),IF(הגדרות!$E$3&gt;0,TEXT('הדבקת לידים'!B252,REPT("0",הגדרות!$E$3)),TEXT('הדבקת לידים'!B252,"0")),TRIM('הדבקת לידים'!B252)))</f>
        <v/>
      </c>
      <c r="C252" s="0" t="n">
        <f aca="false">IF(OR(A252&lt;&gt;"",B252&lt;&gt;""),1,0)</f>
        <v>0</v>
      </c>
      <c r="D252" s="0" t="str">
        <f aca="false">IF(C252=1,MOD(ABS(SIN(ROW()*12.9898+'הדבקת לידים'!$F$2*78.233+IFERROR(--RIGHT(A252,6),LEN(A252))*0.0137+IFERROR(--RIGHT(B252,6),LEN(B252))*0.0071))*43758.5453,1),"")</f>
        <v/>
      </c>
      <c r="E252" s="0" t="str">
        <f aca="false">IF(C252=1,INT(MOD(ABS(SIN(D252*7919.123+ROW()*0.618+'הדבקת לידים'!$F$2*1.3))*43758.5453,1)*1000000)*10000+ROW(),"")</f>
        <v/>
      </c>
      <c r="F252" s="0" t="str">
        <f aca="false">IF(E252="","",RANK(E252,$E$2:$E$5001,1))</f>
        <v/>
      </c>
      <c r="G252" s="0" t="n">
        <f aca="false">IF(A252="",0,IF(SUMPRODUCT(--($A$2:$A$5001=A252))&gt;1,1,0))</f>
        <v>0</v>
      </c>
      <c r="H252" s="0" t="n">
        <f aca="false">ROW()-1</f>
        <v>251</v>
      </c>
      <c r="I252" s="0" t="str">
        <f aca="false">IF(OR(הגדרות!$E$6=0,H252&gt;הגדרות!$E$5),"",IF(H252-1&lt;הגדרות!$E$8*(הגדרות!$E$7+1),INT((H252-1)/(הגדרות!$E$7+1)),הגדרות!$E$8+INT((H252-1-הגדרות!$E$8*(הגדרות!$E$7+1))/הגדרות!$E$7)))</f>
        <v/>
      </c>
      <c r="J252" s="0" t="str">
        <f aca="false">IF(I252="","",IF(H252-1&lt;הגדרות!$E$8*(הגדרות!$E$7+1),MOD(H252-1,הגדרות!$E$7+1),MOD(H252-1-הגדרות!$E$8*(הגדרות!$E$7+1),הגדרות!$E$7)))</f>
        <v/>
      </c>
      <c r="K252" s="0" t="str">
        <f aca="false">IF(I252="","",J252*הגדרות!$E$6+I252+1)</f>
        <v/>
      </c>
      <c r="L252" s="0" t="str">
        <f aca="false">IF(K252="","",MATCH(K252,$F$2:$F$5001,0))</f>
        <v/>
      </c>
      <c r="M252" s="0" t="str">
        <f aca="false">IF(I252="","",INDEX(הגדרות!$A$2:$A$21,MOD(I252+הגדרות!$E$9,הגדרות!$E$6)+1))</f>
        <v/>
      </c>
    </row>
    <row r="253" customFormat="false" ht="15" hidden="false" customHeight="false" outlineLevel="0" collapsed="false">
      <c r="A253" s="0" t="str">
        <f aca="false">IF('הדבקת לידים'!A253="","",IF(ISNUMBER('הדבקת לידים'!A253),IF(הגדרות!$E$2&gt;0,TEXT('הדבקת לידים'!A253,REPT("0",הגדרות!$E$2)),TEXT('הדבקת לידים'!A253,"0")),TRIM('הדבקת לידים'!A253)))</f>
        <v/>
      </c>
      <c r="B253" s="0" t="str">
        <f aca="false">IF('הדבקת לידים'!B253="","",IF(ISNUMBER('הדבקת לידים'!B253),IF(הגדרות!$E$3&gt;0,TEXT('הדבקת לידים'!B253,REPT("0",הגדרות!$E$3)),TEXT('הדבקת לידים'!B253,"0")),TRIM('הדבקת לידים'!B253)))</f>
        <v/>
      </c>
      <c r="C253" s="0" t="n">
        <f aca="false">IF(OR(A253&lt;&gt;"",B253&lt;&gt;""),1,0)</f>
        <v>0</v>
      </c>
      <c r="D253" s="0" t="str">
        <f aca="false">IF(C253=1,MOD(ABS(SIN(ROW()*12.9898+'הדבקת לידים'!$F$2*78.233+IFERROR(--RIGHT(A253,6),LEN(A253))*0.0137+IFERROR(--RIGHT(B253,6),LEN(B253))*0.0071))*43758.5453,1),"")</f>
        <v/>
      </c>
      <c r="E253" s="0" t="str">
        <f aca="false">IF(C253=1,INT(MOD(ABS(SIN(D253*7919.123+ROW()*0.618+'הדבקת לידים'!$F$2*1.3))*43758.5453,1)*1000000)*10000+ROW(),"")</f>
        <v/>
      </c>
      <c r="F253" s="0" t="str">
        <f aca="false">IF(E253="","",RANK(E253,$E$2:$E$5001,1))</f>
        <v/>
      </c>
      <c r="G253" s="0" t="n">
        <f aca="false">IF(A253="",0,IF(SUMPRODUCT(--($A$2:$A$5001=A253))&gt;1,1,0))</f>
        <v>0</v>
      </c>
      <c r="H253" s="0" t="n">
        <f aca="false">ROW()-1</f>
        <v>252</v>
      </c>
      <c r="I253" s="0" t="str">
        <f aca="false">IF(OR(הגדרות!$E$6=0,H253&gt;הגדרות!$E$5),"",IF(H253-1&lt;הגדרות!$E$8*(הגדרות!$E$7+1),INT((H253-1)/(הגדרות!$E$7+1)),הגדרות!$E$8+INT((H253-1-הגדרות!$E$8*(הגדרות!$E$7+1))/הגדרות!$E$7)))</f>
        <v/>
      </c>
      <c r="J253" s="0" t="str">
        <f aca="false">IF(I253="","",IF(H253-1&lt;הגדרות!$E$8*(הגדרות!$E$7+1),MOD(H253-1,הגדרות!$E$7+1),MOD(H253-1-הגדרות!$E$8*(הגדרות!$E$7+1),הגדרות!$E$7)))</f>
        <v/>
      </c>
      <c r="K253" s="0" t="str">
        <f aca="false">IF(I253="","",J253*הגדרות!$E$6+I253+1)</f>
        <v/>
      </c>
      <c r="L253" s="0" t="str">
        <f aca="false">IF(K253="","",MATCH(K253,$F$2:$F$5001,0))</f>
        <v/>
      </c>
      <c r="M253" s="0" t="str">
        <f aca="false">IF(I253="","",INDEX(הגדרות!$A$2:$A$21,MOD(I253+הגדרות!$E$9,הגדרות!$E$6)+1))</f>
        <v/>
      </c>
    </row>
    <row r="254" customFormat="false" ht="15" hidden="false" customHeight="false" outlineLevel="0" collapsed="false">
      <c r="A254" s="0" t="str">
        <f aca="false">IF('הדבקת לידים'!A254="","",IF(ISNUMBER('הדבקת לידים'!A254),IF(הגדרות!$E$2&gt;0,TEXT('הדבקת לידים'!A254,REPT("0",הגדרות!$E$2)),TEXT('הדבקת לידים'!A254,"0")),TRIM('הדבקת לידים'!A254)))</f>
        <v/>
      </c>
      <c r="B254" s="0" t="str">
        <f aca="false">IF('הדבקת לידים'!B254="","",IF(ISNUMBER('הדבקת לידים'!B254),IF(הגדרות!$E$3&gt;0,TEXT('הדבקת לידים'!B254,REPT("0",הגדרות!$E$3)),TEXT('הדבקת לידים'!B254,"0")),TRIM('הדבקת לידים'!B254)))</f>
        <v/>
      </c>
      <c r="C254" s="0" t="n">
        <f aca="false">IF(OR(A254&lt;&gt;"",B254&lt;&gt;""),1,0)</f>
        <v>0</v>
      </c>
      <c r="D254" s="0" t="str">
        <f aca="false">IF(C254=1,MOD(ABS(SIN(ROW()*12.9898+'הדבקת לידים'!$F$2*78.233+IFERROR(--RIGHT(A254,6),LEN(A254))*0.0137+IFERROR(--RIGHT(B254,6),LEN(B254))*0.0071))*43758.5453,1),"")</f>
        <v/>
      </c>
      <c r="E254" s="0" t="str">
        <f aca="false">IF(C254=1,INT(MOD(ABS(SIN(D254*7919.123+ROW()*0.618+'הדבקת לידים'!$F$2*1.3))*43758.5453,1)*1000000)*10000+ROW(),"")</f>
        <v/>
      </c>
      <c r="F254" s="0" t="str">
        <f aca="false">IF(E254="","",RANK(E254,$E$2:$E$5001,1))</f>
        <v/>
      </c>
      <c r="G254" s="0" t="n">
        <f aca="false">IF(A254="",0,IF(SUMPRODUCT(--($A$2:$A$5001=A254))&gt;1,1,0))</f>
        <v>0</v>
      </c>
      <c r="H254" s="0" t="n">
        <f aca="false">ROW()-1</f>
        <v>253</v>
      </c>
      <c r="I254" s="0" t="str">
        <f aca="false">IF(OR(הגדרות!$E$6=0,H254&gt;הגדרות!$E$5),"",IF(H254-1&lt;הגדרות!$E$8*(הגדרות!$E$7+1),INT((H254-1)/(הגדרות!$E$7+1)),הגדרות!$E$8+INT((H254-1-הגדרות!$E$8*(הגדרות!$E$7+1))/הגדרות!$E$7)))</f>
        <v/>
      </c>
      <c r="J254" s="0" t="str">
        <f aca="false">IF(I254="","",IF(H254-1&lt;הגדרות!$E$8*(הגדרות!$E$7+1),MOD(H254-1,הגדרות!$E$7+1),MOD(H254-1-הגדרות!$E$8*(הגדרות!$E$7+1),הגדרות!$E$7)))</f>
        <v/>
      </c>
      <c r="K254" s="0" t="str">
        <f aca="false">IF(I254="","",J254*הגדרות!$E$6+I254+1)</f>
        <v/>
      </c>
      <c r="L254" s="0" t="str">
        <f aca="false">IF(K254="","",MATCH(K254,$F$2:$F$5001,0))</f>
        <v/>
      </c>
      <c r="M254" s="0" t="str">
        <f aca="false">IF(I254="","",INDEX(הגדרות!$A$2:$A$21,MOD(I254+הגדרות!$E$9,הגדרות!$E$6)+1))</f>
        <v/>
      </c>
    </row>
    <row r="255" customFormat="false" ht="15" hidden="false" customHeight="false" outlineLevel="0" collapsed="false">
      <c r="A255" s="0" t="str">
        <f aca="false">IF('הדבקת לידים'!A255="","",IF(ISNUMBER('הדבקת לידים'!A255),IF(הגדרות!$E$2&gt;0,TEXT('הדבקת לידים'!A255,REPT("0",הגדרות!$E$2)),TEXT('הדבקת לידים'!A255,"0")),TRIM('הדבקת לידים'!A255)))</f>
        <v/>
      </c>
      <c r="B255" s="0" t="str">
        <f aca="false">IF('הדבקת לידים'!B255="","",IF(ISNUMBER('הדבקת לידים'!B255),IF(הגדרות!$E$3&gt;0,TEXT('הדבקת לידים'!B255,REPT("0",הגדרות!$E$3)),TEXT('הדבקת לידים'!B255,"0")),TRIM('הדבקת לידים'!B255)))</f>
        <v/>
      </c>
      <c r="C255" s="0" t="n">
        <f aca="false">IF(OR(A255&lt;&gt;"",B255&lt;&gt;""),1,0)</f>
        <v>0</v>
      </c>
      <c r="D255" s="0" t="str">
        <f aca="false">IF(C255=1,MOD(ABS(SIN(ROW()*12.9898+'הדבקת לידים'!$F$2*78.233+IFERROR(--RIGHT(A255,6),LEN(A255))*0.0137+IFERROR(--RIGHT(B255,6),LEN(B255))*0.0071))*43758.5453,1),"")</f>
        <v/>
      </c>
      <c r="E255" s="0" t="str">
        <f aca="false">IF(C255=1,INT(MOD(ABS(SIN(D255*7919.123+ROW()*0.618+'הדבקת לידים'!$F$2*1.3))*43758.5453,1)*1000000)*10000+ROW(),"")</f>
        <v/>
      </c>
      <c r="F255" s="0" t="str">
        <f aca="false">IF(E255="","",RANK(E255,$E$2:$E$5001,1))</f>
        <v/>
      </c>
      <c r="G255" s="0" t="n">
        <f aca="false">IF(A255="",0,IF(SUMPRODUCT(--($A$2:$A$5001=A255))&gt;1,1,0))</f>
        <v>0</v>
      </c>
      <c r="H255" s="0" t="n">
        <f aca="false">ROW()-1</f>
        <v>254</v>
      </c>
      <c r="I255" s="0" t="str">
        <f aca="false">IF(OR(הגדרות!$E$6=0,H255&gt;הגדרות!$E$5),"",IF(H255-1&lt;הגדרות!$E$8*(הגדרות!$E$7+1),INT((H255-1)/(הגדרות!$E$7+1)),הגדרות!$E$8+INT((H255-1-הגדרות!$E$8*(הגדרות!$E$7+1))/הגדרות!$E$7)))</f>
        <v/>
      </c>
      <c r="J255" s="0" t="str">
        <f aca="false">IF(I255="","",IF(H255-1&lt;הגדרות!$E$8*(הגדרות!$E$7+1),MOD(H255-1,הגדרות!$E$7+1),MOD(H255-1-הגדרות!$E$8*(הגדרות!$E$7+1),הגדרות!$E$7)))</f>
        <v/>
      </c>
      <c r="K255" s="0" t="str">
        <f aca="false">IF(I255="","",J255*הגדרות!$E$6+I255+1)</f>
        <v/>
      </c>
      <c r="L255" s="0" t="str">
        <f aca="false">IF(K255="","",MATCH(K255,$F$2:$F$5001,0))</f>
        <v/>
      </c>
      <c r="M255" s="0" t="str">
        <f aca="false">IF(I255="","",INDEX(הגדרות!$A$2:$A$21,MOD(I255+הגדרות!$E$9,הגדרות!$E$6)+1))</f>
        <v/>
      </c>
    </row>
    <row r="256" customFormat="false" ht="15" hidden="false" customHeight="false" outlineLevel="0" collapsed="false">
      <c r="A256" s="0" t="str">
        <f aca="false">IF('הדבקת לידים'!A256="","",IF(ISNUMBER('הדבקת לידים'!A256),IF(הגדרות!$E$2&gt;0,TEXT('הדבקת לידים'!A256,REPT("0",הגדרות!$E$2)),TEXT('הדבקת לידים'!A256,"0")),TRIM('הדבקת לידים'!A256)))</f>
        <v/>
      </c>
      <c r="B256" s="0" t="str">
        <f aca="false">IF('הדבקת לידים'!B256="","",IF(ISNUMBER('הדבקת לידים'!B256),IF(הגדרות!$E$3&gt;0,TEXT('הדבקת לידים'!B256,REPT("0",הגדרות!$E$3)),TEXT('הדבקת לידים'!B256,"0")),TRIM('הדבקת לידים'!B256)))</f>
        <v/>
      </c>
      <c r="C256" s="0" t="n">
        <f aca="false">IF(OR(A256&lt;&gt;"",B256&lt;&gt;""),1,0)</f>
        <v>0</v>
      </c>
      <c r="D256" s="0" t="str">
        <f aca="false">IF(C256=1,MOD(ABS(SIN(ROW()*12.9898+'הדבקת לידים'!$F$2*78.233+IFERROR(--RIGHT(A256,6),LEN(A256))*0.0137+IFERROR(--RIGHT(B256,6),LEN(B256))*0.0071))*43758.5453,1),"")</f>
        <v/>
      </c>
      <c r="E256" s="0" t="str">
        <f aca="false">IF(C256=1,INT(MOD(ABS(SIN(D256*7919.123+ROW()*0.618+'הדבקת לידים'!$F$2*1.3))*43758.5453,1)*1000000)*10000+ROW(),"")</f>
        <v/>
      </c>
      <c r="F256" s="0" t="str">
        <f aca="false">IF(E256="","",RANK(E256,$E$2:$E$5001,1))</f>
        <v/>
      </c>
      <c r="G256" s="0" t="n">
        <f aca="false">IF(A256="",0,IF(SUMPRODUCT(--($A$2:$A$5001=A256))&gt;1,1,0))</f>
        <v>0</v>
      </c>
      <c r="H256" s="0" t="n">
        <f aca="false">ROW()-1</f>
        <v>255</v>
      </c>
      <c r="I256" s="0" t="str">
        <f aca="false">IF(OR(הגדרות!$E$6=0,H256&gt;הגדרות!$E$5),"",IF(H256-1&lt;הגדרות!$E$8*(הגדרות!$E$7+1),INT((H256-1)/(הגדרות!$E$7+1)),הגדרות!$E$8+INT((H256-1-הגדרות!$E$8*(הגדרות!$E$7+1))/הגדרות!$E$7)))</f>
        <v/>
      </c>
      <c r="J256" s="0" t="str">
        <f aca="false">IF(I256="","",IF(H256-1&lt;הגדרות!$E$8*(הגדרות!$E$7+1),MOD(H256-1,הגדרות!$E$7+1),MOD(H256-1-הגדרות!$E$8*(הגדרות!$E$7+1),הגדרות!$E$7)))</f>
        <v/>
      </c>
      <c r="K256" s="0" t="str">
        <f aca="false">IF(I256="","",J256*הגדרות!$E$6+I256+1)</f>
        <v/>
      </c>
      <c r="L256" s="0" t="str">
        <f aca="false">IF(K256="","",MATCH(K256,$F$2:$F$5001,0))</f>
        <v/>
      </c>
      <c r="M256" s="0" t="str">
        <f aca="false">IF(I256="","",INDEX(הגדרות!$A$2:$A$21,MOD(I256+הגדרות!$E$9,הגדרות!$E$6)+1))</f>
        <v/>
      </c>
    </row>
    <row r="257" customFormat="false" ht="15" hidden="false" customHeight="false" outlineLevel="0" collapsed="false">
      <c r="A257" s="0" t="str">
        <f aca="false">IF('הדבקת לידים'!A257="","",IF(ISNUMBER('הדבקת לידים'!A257),IF(הגדרות!$E$2&gt;0,TEXT('הדבקת לידים'!A257,REPT("0",הגדרות!$E$2)),TEXT('הדבקת לידים'!A257,"0")),TRIM('הדבקת לידים'!A257)))</f>
        <v/>
      </c>
      <c r="B257" s="0" t="str">
        <f aca="false">IF('הדבקת לידים'!B257="","",IF(ISNUMBER('הדבקת לידים'!B257),IF(הגדרות!$E$3&gt;0,TEXT('הדבקת לידים'!B257,REPT("0",הגדרות!$E$3)),TEXT('הדבקת לידים'!B257,"0")),TRIM('הדבקת לידים'!B257)))</f>
        <v/>
      </c>
      <c r="C257" s="0" t="n">
        <f aca="false">IF(OR(A257&lt;&gt;"",B257&lt;&gt;""),1,0)</f>
        <v>0</v>
      </c>
      <c r="D257" s="0" t="str">
        <f aca="false">IF(C257=1,MOD(ABS(SIN(ROW()*12.9898+'הדבקת לידים'!$F$2*78.233+IFERROR(--RIGHT(A257,6),LEN(A257))*0.0137+IFERROR(--RIGHT(B257,6),LEN(B257))*0.0071))*43758.5453,1),"")</f>
        <v/>
      </c>
      <c r="E257" s="0" t="str">
        <f aca="false">IF(C257=1,INT(MOD(ABS(SIN(D257*7919.123+ROW()*0.618+'הדבקת לידים'!$F$2*1.3))*43758.5453,1)*1000000)*10000+ROW(),"")</f>
        <v/>
      </c>
      <c r="F257" s="0" t="str">
        <f aca="false">IF(E257="","",RANK(E257,$E$2:$E$5001,1))</f>
        <v/>
      </c>
      <c r="G257" s="0" t="n">
        <f aca="false">IF(A257="",0,IF(SUMPRODUCT(--($A$2:$A$5001=A257))&gt;1,1,0))</f>
        <v>0</v>
      </c>
      <c r="H257" s="0" t="n">
        <f aca="false">ROW()-1</f>
        <v>256</v>
      </c>
      <c r="I257" s="0" t="str">
        <f aca="false">IF(OR(הגדרות!$E$6=0,H257&gt;הגדרות!$E$5),"",IF(H257-1&lt;הגדרות!$E$8*(הגדרות!$E$7+1),INT((H257-1)/(הגדרות!$E$7+1)),הגדרות!$E$8+INT((H257-1-הגדרות!$E$8*(הגדרות!$E$7+1))/הגדרות!$E$7)))</f>
        <v/>
      </c>
      <c r="J257" s="0" t="str">
        <f aca="false">IF(I257="","",IF(H257-1&lt;הגדרות!$E$8*(הגדרות!$E$7+1),MOD(H257-1,הגדרות!$E$7+1),MOD(H257-1-הגדרות!$E$8*(הגדרות!$E$7+1),הגדרות!$E$7)))</f>
        <v/>
      </c>
      <c r="K257" s="0" t="str">
        <f aca="false">IF(I257="","",J257*הגדרות!$E$6+I257+1)</f>
        <v/>
      </c>
      <c r="L257" s="0" t="str">
        <f aca="false">IF(K257="","",MATCH(K257,$F$2:$F$5001,0))</f>
        <v/>
      </c>
      <c r="M257" s="0" t="str">
        <f aca="false">IF(I257="","",INDEX(הגדרות!$A$2:$A$21,MOD(I257+הגדרות!$E$9,הגדרות!$E$6)+1))</f>
        <v/>
      </c>
    </row>
    <row r="258" customFormat="false" ht="15" hidden="false" customHeight="false" outlineLevel="0" collapsed="false">
      <c r="A258" s="0" t="str">
        <f aca="false">IF('הדבקת לידים'!A258="","",IF(ISNUMBER('הדבקת לידים'!A258),IF(הגדרות!$E$2&gt;0,TEXT('הדבקת לידים'!A258,REPT("0",הגדרות!$E$2)),TEXT('הדבקת לידים'!A258,"0")),TRIM('הדבקת לידים'!A258)))</f>
        <v/>
      </c>
      <c r="B258" s="0" t="str">
        <f aca="false">IF('הדבקת לידים'!B258="","",IF(ISNUMBER('הדבקת לידים'!B258),IF(הגדרות!$E$3&gt;0,TEXT('הדבקת לידים'!B258,REPT("0",הגדרות!$E$3)),TEXT('הדבקת לידים'!B258,"0")),TRIM('הדבקת לידים'!B258)))</f>
        <v/>
      </c>
      <c r="C258" s="0" t="n">
        <f aca="false">IF(OR(A258&lt;&gt;"",B258&lt;&gt;""),1,0)</f>
        <v>0</v>
      </c>
      <c r="D258" s="0" t="str">
        <f aca="false">IF(C258=1,MOD(ABS(SIN(ROW()*12.9898+'הדבקת לידים'!$F$2*78.233+IFERROR(--RIGHT(A258,6),LEN(A258))*0.0137+IFERROR(--RIGHT(B258,6),LEN(B258))*0.0071))*43758.5453,1),"")</f>
        <v/>
      </c>
      <c r="E258" s="0" t="str">
        <f aca="false">IF(C258=1,INT(MOD(ABS(SIN(D258*7919.123+ROW()*0.618+'הדבקת לידים'!$F$2*1.3))*43758.5453,1)*1000000)*10000+ROW(),"")</f>
        <v/>
      </c>
      <c r="F258" s="0" t="str">
        <f aca="false">IF(E258="","",RANK(E258,$E$2:$E$5001,1))</f>
        <v/>
      </c>
      <c r="G258" s="0" t="n">
        <f aca="false">IF(A258="",0,IF(SUMPRODUCT(--($A$2:$A$5001=A258))&gt;1,1,0))</f>
        <v>0</v>
      </c>
      <c r="H258" s="0" t="n">
        <f aca="false">ROW()-1</f>
        <v>257</v>
      </c>
      <c r="I258" s="0" t="str">
        <f aca="false">IF(OR(הגדרות!$E$6=0,H258&gt;הגדרות!$E$5),"",IF(H258-1&lt;הגדרות!$E$8*(הגדרות!$E$7+1),INT((H258-1)/(הגדרות!$E$7+1)),הגדרות!$E$8+INT((H258-1-הגדרות!$E$8*(הגדרות!$E$7+1))/הגדרות!$E$7)))</f>
        <v/>
      </c>
      <c r="J258" s="0" t="str">
        <f aca="false">IF(I258="","",IF(H258-1&lt;הגדרות!$E$8*(הגדרות!$E$7+1),MOD(H258-1,הגדרות!$E$7+1),MOD(H258-1-הגדרות!$E$8*(הגדרות!$E$7+1),הגדרות!$E$7)))</f>
        <v/>
      </c>
      <c r="K258" s="0" t="str">
        <f aca="false">IF(I258="","",J258*הגדרות!$E$6+I258+1)</f>
        <v/>
      </c>
      <c r="L258" s="0" t="str">
        <f aca="false">IF(K258="","",MATCH(K258,$F$2:$F$5001,0))</f>
        <v/>
      </c>
      <c r="M258" s="0" t="str">
        <f aca="false">IF(I258="","",INDEX(הגדרות!$A$2:$A$21,MOD(I258+הגדרות!$E$9,הגדרות!$E$6)+1))</f>
        <v/>
      </c>
    </row>
    <row r="259" customFormat="false" ht="15" hidden="false" customHeight="false" outlineLevel="0" collapsed="false">
      <c r="A259" s="0" t="str">
        <f aca="false">IF('הדבקת לידים'!A259="","",IF(ISNUMBER('הדבקת לידים'!A259),IF(הגדרות!$E$2&gt;0,TEXT('הדבקת לידים'!A259,REPT("0",הגדרות!$E$2)),TEXT('הדבקת לידים'!A259,"0")),TRIM('הדבקת לידים'!A259)))</f>
        <v/>
      </c>
      <c r="B259" s="0" t="str">
        <f aca="false">IF('הדבקת לידים'!B259="","",IF(ISNUMBER('הדבקת לידים'!B259),IF(הגדרות!$E$3&gt;0,TEXT('הדבקת לידים'!B259,REPT("0",הגדרות!$E$3)),TEXT('הדבקת לידים'!B259,"0")),TRIM('הדבקת לידים'!B259)))</f>
        <v/>
      </c>
      <c r="C259" s="0" t="n">
        <f aca="false">IF(OR(A259&lt;&gt;"",B259&lt;&gt;""),1,0)</f>
        <v>0</v>
      </c>
      <c r="D259" s="0" t="str">
        <f aca="false">IF(C259=1,MOD(ABS(SIN(ROW()*12.9898+'הדבקת לידים'!$F$2*78.233+IFERROR(--RIGHT(A259,6),LEN(A259))*0.0137+IFERROR(--RIGHT(B259,6),LEN(B259))*0.0071))*43758.5453,1),"")</f>
        <v/>
      </c>
      <c r="E259" s="0" t="str">
        <f aca="false">IF(C259=1,INT(MOD(ABS(SIN(D259*7919.123+ROW()*0.618+'הדבקת לידים'!$F$2*1.3))*43758.5453,1)*1000000)*10000+ROW(),"")</f>
        <v/>
      </c>
      <c r="F259" s="0" t="str">
        <f aca="false">IF(E259="","",RANK(E259,$E$2:$E$5001,1))</f>
        <v/>
      </c>
      <c r="G259" s="0" t="n">
        <f aca="false">IF(A259="",0,IF(SUMPRODUCT(--($A$2:$A$5001=A259))&gt;1,1,0))</f>
        <v>0</v>
      </c>
      <c r="H259" s="0" t="n">
        <f aca="false">ROW()-1</f>
        <v>258</v>
      </c>
      <c r="I259" s="0" t="str">
        <f aca="false">IF(OR(הגדרות!$E$6=0,H259&gt;הגדרות!$E$5),"",IF(H259-1&lt;הגדרות!$E$8*(הגדרות!$E$7+1),INT((H259-1)/(הגדרות!$E$7+1)),הגדרות!$E$8+INT((H259-1-הגדרות!$E$8*(הגדרות!$E$7+1))/הגדרות!$E$7)))</f>
        <v/>
      </c>
      <c r="J259" s="0" t="str">
        <f aca="false">IF(I259="","",IF(H259-1&lt;הגדרות!$E$8*(הגדרות!$E$7+1),MOD(H259-1,הגדרות!$E$7+1),MOD(H259-1-הגדרות!$E$8*(הגדרות!$E$7+1),הגדרות!$E$7)))</f>
        <v/>
      </c>
      <c r="K259" s="0" t="str">
        <f aca="false">IF(I259="","",J259*הגדרות!$E$6+I259+1)</f>
        <v/>
      </c>
      <c r="L259" s="0" t="str">
        <f aca="false">IF(K259="","",MATCH(K259,$F$2:$F$5001,0))</f>
        <v/>
      </c>
      <c r="M259" s="0" t="str">
        <f aca="false">IF(I259="","",INDEX(הגדרות!$A$2:$A$21,MOD(I259+הגדרות!$E$9,הגדרות!$E$6)+1))</f>
        <v/>
      </c>
    </row>
    <row r="260" customFormat="false" ht="15" hidden="false" customHeight="false" outlineLevel="0" collapsed="false">
      <c r="A260" s="0" t="str">
        <f aca="false">IF('הדבקת לידים'!A260="","",IF(ISNUMBER('הדבקת לידים'!A260),IF(הגדרות!$E$2&gt;0,TEXT('הדבקת לידים'!A260,REPT("0",הגדרות!$E$2)),TEXT('הדבקת לידים'!A260,"0")),TRIM('הדבקת לידים'!A260)))</f>
        <v/>
      </c>
      <c r="B260" s="0" t="str">
        <f aca="false">IF('הדבקת לידים'!B260="","",IF(ISNUMBER('הדבקת לידים'!B260),IF(הגדרות!$E$3&gt;0,TEXT('הדבקת לידים'!B260,REPT("0",הגדרות!$E$3)),TEXT('הדבקת לידים'!B260,"0")),TRIM('הדבקת לידים'!B260)))</f>
        <v/>
      </c>
      <c r="C260" s="0" t="n">
        <f aca="false">IF(OR(A260&lt;&gt;"",B260&lt;&gt;""),1,0)</f>
        <v>0</v>
      </c>
      <c r="D260" s="0" t="str">
        <f aca="false">IF(C260=1,MOD(ABS(SIN(ROW()*12.9898+'הדבקת לידים'!$F$2*78.233+IFERROR(--RIGHT(A260,6),LEN(A260))*0.0137+IFERROR(--RIGHT(B260,6),LEN(B260))*0.0071))*43758.5453,1),"")</f>
        <v/>
      </c>
      <c r="E260" s="0" t="str">
        <f aca="false">IF(C260=1,INT(MOD(ABS(SIN(D260*7919.123+ROW()*0.618+'הדבקת לידים'!$F$2*1.3))*43758.5453,1)*1000000)*10000+ROW(),"")</f>
        <v/>
      </c>
      <c r="F260" s="0" t="str">
        <f aca="false">IF(E260="","",RANK(E260,$E$2:$E$5001,1))</f>
        <v/>
      </c>
      <c r="G260" s="0" t="n">
        <f aca="false">IF(A260="",0,IF(SUMPRODUCT(--($A$2:$A$5001=A260))&gt;1,1,0))</f>
        <v>0</v>
      </c>
      <c r="H260" s="0" t="n">
        <f aca="false">ROW()-1</f>
        <v>259</v>
      </c>
      <c r="I260" s="0" t="str">
        <f aca="false">IF(OR(הגדרות!$E$6=0,H260&gt;הגדרות!$E$5),"",IF(H260-1&lt;הגדרות!$E$8*(הגדרות!$E$7+1),INT((H260-1)/(הגדרות!$E$7+1)),הגדרות!$E$8+INT((H260-1-הגדרות!$E$8*(הגדרות!$E$7+1))/הגדרות!$E$7)))</f>
        <v/>
      </c>
      <c r="J260" s="0" t="str">
        <f aca="false">IF(I260="","",IF(H260-1&lt;הגדרות!$E$8*(הגדרות!$E$7+1),MOD(H260-1,הגדרות!$E$7+1),MOD(H260-1-הגדרות!$E$8*(הגדרות!$E$7+1),הגדרות!$E$7)))</f>
        <v/>
      </c>
      <c r="K260" s="0" t="str">
        <f aca="false">IF(I260="","",J260*הגדרות!$E$6+I260+1)</f>
        <v/>
      </c>
      <c r="L260" s="0" t="str">
        <f aca="false">IF(K260="","",MATCH(K260,$F$2:$F$5001,0))</f>
        <v/>
      </c>
      <c r="M260" s="0" t="str">
        <f aca="false">IF(I260="","",INDEX(הגדרות!$A$2:$A$21,MOD(I260+הגדרות!$E$9,הגדרות!$E$6)+1))</f>
        <v/>
      </c>
    </row>
    <row r="261" customFormat="false" ht="15" hidden="false" customHeight="false" outlineLevel="0" collapsed="false">
      <c r="A261" s="0" t="str">
        <f aca="false">IF('הדבקת לידים'!A261="","",IF(ISNUMBER('הדבקת לידים'!A261),IF(הגדרות!$E$2&gt;0,TEXT('הדבקת לידים'!A261,REPT("0",הגדרות!$E$2)),TEXT('הדבקת לידים'!A261,"0")),TRIM('הדבקת לידים'!A261)))</f>
        <v/>
      </c>
      <c r="B261" s="0" t="str">
        <f aca="false">IF('הדבקת לידים'!B261="","",IF(ISNUMBER('הדבקת לידים'!B261),IF(הגדרות!$E$3&gt;0,TEXT('הדבקת לידים'!B261,REPT("0",הגדרות!$E$3)),TEXT('הדבקת לידים'!B261,"0")),TRIM('הדבקת לידים'!B261)))</f>
        <v/>
      </c>
      <c r="C261" s="0" t="n">
        <f aca="false">IF(OR(A261&lt;&gt;"",B261&lt;&gt;""),1,0)</f>
        <v>0</v>
      </c>
      <c r="D261" s="0" t="str">
        <f aca="false">IF(C261=1,MOD(ABS(SIN(ROW()*12.9898+'הדבקת לידים'!$F$2*78.233+IFERROR(--RIGHT(A261,6),LEN(A261))*0.0137+IFERROR(--RIGHT(B261,6),LEN(B261))*0.0071))*43758.5453,1),"")</f>
        <v/>
      </c>
      <c r="E261" s="0" t="str">
        <f aca="false">IF(C261=1,INT(MOD(ABS(SIN(D261*7919.123+ROW()*0.618+'הדבקת לידים'!$F$2*1.3))*43758.5453,1)*1000000)*10000+ROW(),"")</f>
        <v/>
      </c>
      <c r="F261" s="0" t="str">
        <f aca="false">IF(E261="","",RANK(E261,$E$2:$E$5001,1))</f>
        <v/>
      </c>
      <c r="G261" s="0" t="n">
        <f aca="false">IF(A261="",0,IF(SUMPRODUCT(--($A$2:$A$5001=A261))&gt;1,1,0))</f>
        <v>0</v>
      </c>
      <c r="H261" s="0" t="n">
        <f aca="false">ROW()-1</f>
        <v>260</v>
      </c>
      <c r="I261" s="0" t="str">
        <f aca="false">IF(OR(הגדרות!$E$6=0,H261&gt;הגדרות!$E$5),"",IF(H261-1&lt;הגדרות!$E$8*(הגדרות!$E$7+1),INT((H261-1)/(הגדרות!$E$7+1)),הגדרות!$E$8+INT((H261-1-הגדרות!$E$8*(הגדרות!$E$7+1))/הגדרות!$E$7)))</f>
        <v/>
      </c>
      <c r="J261" s="0" t="str">
        <f aca="false">IF(I261="","",IF(H261-1&lt;הגדרות!$E$8*(הגדרות!$E$7+1),MOD(H261-1,הגדרות!$E$7+1),MOD(H261-1-הגדרות!$E$8*(הגדרות!$E$7+1),הגדרות!$E$7)))</f>
        <v/>
      </c>
      <c r="K261" s="0" t="str">
        <f aca="false">IF(I261="","",J261*הגדרות!$E$6+I261+1)</f>
        <v/>
      </c>
      <c r="L261" s="0" t="str">
        <f aca="false">IF(K261="","",MATCH(K261,$F$2:$F$5001,0))</f>
        <v/>
      </c>
      <c r="M261" s="0" t="str">
        <f aca="false">IF(I261="","",INDEX(הגדרות!$A$2:$A$21,MOD(I261+הגדרות!$E$9,הגדרות!$E$6)+1))</f>
        <v/>
      </c>
    </row>
    <row r="262" customFormat="false" ht="15" hidden="false" customHeight="false" outlineLevel="0" collapsed="false">
      <c r="A262" s="0" t="str">
        <f aca="false">IF('הדבקת לידים'!A262="","",IF(ISNUMBER('הדבקת לידים'!A262),IF(הגדרות!$E$2&gt;0,TEXT('הדבקת לידים'!A262,REPT("0",הגדרות!$E$2)),TEXT('הדבקת לידים'!A262,"0")),TRIM('הדבקת לידים'!A262)))</f>
        <v/>
      </c>
      <c r="B262" s="0" t="str">
        <f aca="false">IF('הדבקת לידים'!B262="","",IF(ISNUMBER('הדבקת לידים'!B262),IF(הגדרות!$E$3&gt;0,TEXT('הדבקת לידים'!B262,REPT("0",הגדרות!$E$3)),TEXT('הדבקת לידים'!B262,"0")),TRIM('הדבקת לידים'!B262)))</f>
        <v/>
      </c>
      <c r="C262" s="0" t="n">
        <f aca="false">IF(OR(A262&lt;&gt;"",B262&lt;&gt;""),1,0)</f>
        <v>0</v>
      </c>
      <c r="D262" s="0" t="str">
        <f aca="false">IF(C262=1,MOD(ABS(SIN(ROW()*12.9898+'הדבקת לידים'!$F$2*78.233+IFERROR(--RIGHT(A262,6),LEN(A262))*0.0137+IFERROR(--RIGHT(B262,6),LEN(B262))*0.0071))*43758.5453,1),"")</f>
        <v/>
      </c>
      <c r="E262" s="0" t="str">
        <f aca="false">IF(C262=1,INT(MOD(ABS(SIN(D262*7919.123+ROW()*0.618+'הדבקת לידים'!$F$2*1.3))*43758.5453,1)*1000000)*10000+ROW(),"")</f>
        <v/>
      </c>
      <c r="F262" s="0" t="str">
        <f aca="false">IF(E262="","",RANK(E262,$E$2:$E$5001,1))</f>
        <v/>
      </c>
      <c r="G262" s="0" t="n">
        <f aca="false">IF(A262="",0,IF(SUMPRODUCT(--($A$2:$A$5001=A262))&gt;1,1,0))</f>
        <v>0</v>
      </c>
      <c r="H262" s="0" t="n">
        <f aca="false">ROW()-1</f>
        <v>261</v>
      </c>
      <c r="I262" s="0" t="str">
        <f aca="false">IF(OR(הגדרות!$E$6=0,H262&gt;הגדרות!$E$5),"",IF(H262-1&lt;הגדרות!$E$8*(הגדרות!$E$7+1),INT((H262-1)/(הגדרות!$E$7+1)),הגדרות!$E$8+INT((H262-1-הגדרות!$E$8*(הגדרות!$E$7+1))/הגדרות!$E$7)))</f>
        <v/>
      </c>
      <c r="J262" s="0" t="str">
        <f aca="false">IF(I262="","",IF(H262-1&lt;הגדרות!$E$8*(הגדרות!$E$7+1),MOD(H262-1,הגדרות!$E$7+1),MOD(H262-1-הגדרות!$E$8*(הגדרות!$E$7+1),הגדרות!$E$7)))</f>
        <v/>
      </c>
      <c r="K262" s="0" t="str">
        <f aca="false">IF(I262="","",J262*הגדרות!$E$6+I262+1)</f>
        <v/>
      </c>
      <c r="L262" s="0" t="str">
        <f aca="false">IF(K262="","",MATCH(K262,$F$2:$F$5001,0))</f>
        <v/>
      </c>
      <c r="M262" s="0" t="str">
        <f aca="false">IF(I262="","",INDEX(הגדרות!$A$2:$A$21,MOD(I262+הגדרות!$E$9,הגדרות!$E$6)+1))</f>
        <v/>
      </c>
    </row>
    <row r="263" customFormat="false" ht="15" hidden="false" customHeight="false" outlineLevel="0" collapsed="false">
      <c r="A263" s="0" t="str">
        <f aca="false">IF('הדבקת לידים'!A263="","",IF(ISNUMBER('הדבקת לידים'!A263),IF(הגדרות!$E$2&gt;0,TEXT('הדבקת לידים'!A263,REPT("0",הגדרות!$E$2)),TEXT('הדבקת לידים'!A263,"0")),TRIM('הדבקת לידים'!A263)))</f>
        <v/>
      </c>
      <c r="B263" s="0" t="str">
        <f aca="false">IF('הדבקת לידים'!B263="","",IF(ISNUMBER('הדבקת לידים'!B263),IF(הגדרות!$E$3&gt;0,TEXT('הדבקת לידים'!B263,REPT("0",הגדרות!$E$3)),TEXT('הדבקת לידים'!B263,"0")),TRIM('הדבקת לידים'!B263)))</f>
        <v/>
      </c>
      <c r="C263" s="0" t="n">
        <f aca="false">IF(OR(A263&lt;&gt;"",B263&lt;&gt;""),1,0)</f>
        <v>0</v>
      </c>
      <c r="D263" s="0" t="str">
        <f aca="false">IF(C263=1,MOD(ABS(SIN(ROW()*12.9898+'הדבקת לידים'!$F$2*78.233+IFERROR(--RIGHT(A263,6),LEN(A263))*0.0137+IFERROR(--RIGHT(B263,6),LEN(B263))*0.0071))*43758.5453,1),"")</f>
        <v/>
      </c>
      <c r="E263" s="0" t="str">
        <f aca="false">IF(C263=1,INT(MOD(ABS(SIN(D263*7919.123+ROW()*0.618+'הדבקת לידים'!$F$2*1.3))*43758.5453,1)*1000000)*10000+ROW(),"")</f>
        <v/>
      </c>
      <c r="F263" s="0" t="str">
        <f aca="false">IF(E263="","",RANK(E263,$E$2:$E$5001,1))</f>
        <v/>
      </c>
      <c r="G263" s="0" t="n">
        <f aca="false">IF(A263="",0,IF(SUMPRODUCT(--($A$2:$A$5001=A263))&gt;1,1,0))</f>
        <v>0</v>
      </c>
      <c r="H263" s="0" t="n">
        <f aca="false">ROW()-1</f>
        <v>262</v>
      </c>
      <c r="I263" s="0" t="str">
        <f aca="false">IF(OR(הגדרות!$E$6=0,H263&gt;הגדרות!$E$5),"",IF(H263-1&lt;הגדרות!$E$8*(הגדרות!$E$7+1),INT((H263-1)/(הגדרות!$E$7+1)),הגדרות!$E$8+INT((H263-1-הגדרות!$E$8*(הגדרות!$E$7+1))/הגדרות!$E$7)))</f>
        <v/>
      </c>
      <c r="J263" s="0" t="str">
        <f aca="false">IF(I263="","",IF(H263-1&lt;הגדרות!$E$8*(הגדרות!$E$7+1),MOD(H263-1,הגדרות!$E$7+1),MOD(H263-1-הגדרות!$E$8*(הגדרות!$E$7+1),הגדרות!$E$7)))</f>
        <v/>
      </c>
      <c r="K263" s="0" t="str">
        <f aca="false">IF(I263="","",J263*הגדרות!$E$6+I263+1)</f>
        <v/>
      </c>
      <c r="L263" s="0" t="str">
        <f aca="false">IF(K263="","",MATCH(K263,$F$2:$F$5001,0))</f>
        <v/>
      </c>
      <c r="M263" s="0" t="str">
        <f aca="false">IF(I263="","",INDEX(הגדרות!$A$2:$A$21,MOD(I263+הגדרות!$E$9,הגדרות!$E$6)+1))</f>
        <v/>
      </c>
    </row>
    <row r="264" customFormat="false" ht="15" hidden="false" customHeight="false" outlineLevel="0" collapsed="false">
      <c r="A264" s="0" t="str">
        <f aca="false">IF('הדבקת לידים'!A264="","",IF(ISNUMBER('הדבקת לידים'!A264),IF(הגדרות!$E$2&gt;0,TEXT('הדבקת לידים'!A264,REPT("0",הגדרות!$E$2)),TEXT('הדבקת לידים'!A264,"0")),TRIM('הדבקת לידים'!A264)))</f>
        <v/>
      </c>
      <c r="B264" s="0" t="str">
        <f aca="false">IF('הדבקת לידים'!B264="","",IF(ISNUMBER('הדבקת לידים'!B264),IF(הגדרות!$E$3&gt;0,TEXT('הדבקת לידים'!B264,REPT("0",הגדרות!$E$3)),TEXT('הדבקת לידים'!B264,"0")),TRIM('הדבקת לידים'!B264)))</f>
        <v/>
      </c>
      <c r="C264" s="0" t="n">
        <f aca="false">IF(OR(A264&lt;&gt;"",B264&lt;&gt;""),1,0)</f>
        <v>0</v>
      </c>
      <c r="D264" s="0" t="str">
        <f aca="false">IF(C264=1,MOD(ABS(SIN(ROW()*12.9898+'הדבקת לידים'!$F$2*78.233+IFERROR(--RIGHT(A264,6),LEN(A264))*0.0137+IFERROR(--RIGHT(B264,6),LEN(B264))*0.0071))*43758.5453,1),"")</f>
        <v/>
      </c>
      <c r="E264" s="0" t="str">
        <f aca="false">IF(C264=1,INT(MOD(ABS(SIN(D264*7919.123+ROW()*0.618+'הדבקת לידים'!$F$2*1.3))*43758.5453,1)*1000000)*10000+ROW(),"")</f>
        <v/>
      </c>
      <c r="F264" s="0" t="str">
        <f aca="false">IF(E264="","",RANK(E264,$E$2:$E$5001,1))</f>
        <v/>
      </c>
      <c r="G264" s="0" t="n">
        <f aca="false">IF(A264="",0,IF(SUMPRODUCT(--($A$2:$A$5001=A264))&gt;1,1,0))</f>
        <v>0</v>
      </c>
      <c r="H264" s="0" t="n">
        <f aca="false">ROW()-1</f>
        <v>263</v>
      </c>
      <c r="I264" s="0" t="str">
        <f aca="false">IF(OR(הגדרות!$E$6=0,H264&gt;הגדרות!$E$5),"",IF(H264-1&lt;הגדרות!$E$8*(הגדרות!$E$7+1),INT((H264-1)/(הגדרות!$E$7+1)),הגדרות!$E$8+INT((H264-1-הגדרות!$E$8*(הגדרות!$E$7+1))/הגדרות!$E$7)))</f>
        <v/>
      </c>
      <c r="J264" s="0" t="str">
        <f aca="false">IF(I264="","",IF(H264-1&lt;הגדרות!$E$8*(הגדרות!$E$7+1),MOD(H264-1,הגדרות!$E$7+1),MOD(H264-1-הגדרות!$E$8*(הגדרות!$E$7+1),הגדרות!$E$7)))</f>
        <v/>
      </c>
      <c r="K264" s="0" t="str">
        <f aca="false">IF(I264="","",J264*הגדרות!$E$6+I264+1)</f>
        <v/>
      </c>
      <c r="L264" s="0" t="str">
        <f aca="false">IF(K264="","",MATCH(K264,$F$2:$F$5001,0))</f>
        <v/>
      </c>
      <c r="M264" s="0" t="str">
        <f aca="false">IF(I264="","",INDEX(הגדרות!$A$2:$A$21,MOD(I264+הגדרות!$E$9,הגדרות!$E$6)+1))</f>
        <v/>
      </c>
    </row>
    <row r="265" customFormat="false" ht="15" hidden="false" customHeight="false" outlineLevel="0" collapsed="false">
      <c r="A265" s="0" t="str">
        <f aca="false">IF('הדבקת לידים'!A265="","",IF(ISNUMBER('הדבקת לידים'!A265),IF(הגדרות!$E$2&gt;0,TEXT('הדבקת לידים'!A265,REPT("0",הגדרות!$E$2)),TEXT('הדבקת לידים'!A265,"0")),TRIM('הדבקת לידים'!A265)))</f>
        <v/>
      </c>
      <c r="B265" s="0" t="str">
        <f aca="false">IF('הדבקת לידים'!B265="","",IF(ISNUMBER('הדבקת לידים'!B265),IF(הגדרות!$E$3&gt;0,TEXT('הדבקת לידים'!B265,REPT("0",הגדרות!$E$3)),TEXT('הדבקת לידים'!B265,"0")),TRIM('הדבקת לידים'!B265)))</f>
        <v/>
      </c>
      <c r="C265" s="0" t="n">
        <f aca="false">IF(OR(A265&lt;&gt;"",B265&lt;&gt;""),1,0)</f>
        <v>0</v>
      </c>
      <c r="D265" s="0" t="str">
        <f aca="false">IF(C265=1,MOD(ABS(SIN(ROW()*12.9898+'הדבקת לידים'!$F$2*78.233+IFERROR(--RIGHT(A265,6),LEN(A265))*0.0137+IFERROR(--RIGHT(B265,6),LEN(B265))*0.0071))*43758.5453,1),"")</f>
        <v/>
      </c>
      <c r="E265" s="0" t="str">
        <f aca="false">IF(C265=1,INT(MOD(ABS(SIN(D265*7919.123+ROW()*0.618+'הדבקת לידים'!$F$2*1.3))*43758.5453,1)*1000000)*10000+ROW(),"")</f>
        <v/>
      </c>
      <c r="F265" s="0" t="str">
        <f aca="false">IF(E265="","",RANK(E265,$E$2:$E$5001,1))</f>
        <v/>
      </c>
      <c r="G265" s="0" t="n">
        <f aca="false">IF(A265="",0,IF(SUMPRODUCT(--($A$2:$A$5001=A265))&gt;1,1,0))</f>
        <v>0</v>
      </c>
      <c r="H265" s="0" t="n">
        <f aca="false">ROW()-1</f>
        <v>264</v>
      </c>
      <c r="I265" s="0" t="str">
        <f aca="false">IF(OR(הגדרות!$E$6=0,H265&gt;הגדרות!$E$5),"",IF(H265-1&lt;הגדרות!$E$8*(הגדרות!$E$7+1),INT((H265-1)/(הגדרות!$E$7+1)),הגדרות!$E$8+INT((H265-1-הגדרות!$E$8*(הגדרות!$E$7+1))/הגדרות!$E$7)))</f>
        <v/>
      </c>
      <c r="J265" s="0" t="str">
        <f aca="false">IF(I265="","",IF(H265-1&lt;הגדרות!$E$8*(הגדרות!$E$7+1),MOD(H265-1,הגדרות!$E$7+1),MOD(H265-1-הגדרות!$E$8*(הגדרות!$E$7+1),הגדרות!$E$7)))</f>
        <v/>
      </c>
      <c r="K265" s="0" t="str">
        <f aca="false">IF(I265="","",J265*הגדרות!$E$6+I265+1)</f>
        <v/>
      </c>
      <c r="L265" s="0" t="str">
        <f aca="false">IF(K265="","",MATCH(K265,$F$2:$F$5001,0))</f>
        <v/>
      </c>
      <c r="M265" s="0" t="str">
        <f aca="false">IF(I265="","",INDEX(הגדרות!$A$2:$A$21,MOD(I265+הגדרות!$E$9,הגדרות!$E$6)+1))</f>
        <v/>
      </c>
    </row>
    <row r="266" customFormat="false" ht="15" hidden="false" customHeight="false" outlineLevel="0" collapsed="false">
      <c r="A266" s="0" t="str">
        <f aca="false">IF('הדבקת לידים'!A266="","",IF(ISNUMBER('הדבקת לידים'!A266),IF(הגדרות!$E$2&gt;0,TEXT('הדבקת לידים'!A266,REPT("0",הגדרות!$E$2)),TEXT('הדבקת לידים'!A266,"0")),TRIM('הדבקת לידים'!A266)))</f>
        <v/>
      </c>
      <c r="B266" s="0" t="str">
        <f aca="false">IF('הדבקת לידים'!B266="","",IF(ISNUMBER('הדבקת לידים'!B266),IF(הגדרות!$E$3&gt;0,TEXT('הדבקת לידים'!B266,REPT("0",הגדרות!$E$3)),TEXT('הדבקת לידים'!B266,"0")),TRIM('הדבקת לידים'!B266)))</f>
        <v/>
      </c>
      <c r="C266" s="0" t="n">
        <f aca="false">IF(OR(A266&lt;&gt;"",B266&lt;&gt;""),1,0)</f>
        <v>0</v>
      </c>
      <c r="D266" s="0" t="str">
        <f aca="false">IF(C266=1,MOD(ABS(SIN(ROW()*12.9898+'הדבקת לידים'!$F$2*78.233+IFERROR(--RIGHT(A266,6),LEN(A266))*0.0137+IFERROR(--RIGHT(B266,6),LEN(B266))*0.0071))*43758.5453,1),"")</f>
        <v/>
      </c>
      <c r="E266" s="0" t="str">
        <f aca="false">IF(C266=1,INT(MOD(ABS(SIN(D266*7919.123+ROW()*0.618+'הדבקת לידים'!$F$2*1.3))*43758.5453,1)*1000000)*10000+ROW(),"")</f>
        <v/>
      </c>
      <c r="F266" s="0" t="str">
        <f aca="false">IF(E266="","",RANK(E266,$E$2:$E$5001,1))</f>
        <v/>
      </c>
      <c r="G266" s="0" t="n">
        <f aca="false">IF(A266="",0,IF(SUMPRODUCT(--($A$2:$A$5001=A266))&gt;1,1,0))</f>
        <v>0</v>
      </c>
      <c r="H266" s="0" t="n">
        <f aca="false">ROW()-1</f>
        <v>265</v>
      </c>
      <c r="I266" s="0" t="str">
        <f aca="false">IF(OR(הגדרות!$E$6=0,H266&gt;הגדרות!$E$5),"",IF(H266-1&lt;הגדרות!$E$8*(הגדרות!$E$7+1),INT((H266-1)/(הגדרות!$E$7+1)),הגדרות!$E$8+INT((H266-1-הגדרות!$E$8*(הגדרות!$E$7+1))/הגדרות!$E$7)))</f>
        <v/>
      </c>
      <c r="J266" s="0" t="str">
        <f aca="false">IF(I266="","",IF(H266-1&lt;הגדרות!$E$8*(הגדרות!$E$7+1),MOD(H266-1,הגדרות!$E$7+1),MOD(H266-1-הגדרות!$E$8*(הגדרות!$E$7+1),הגדרות!$E$7)))</f>
        <v/>
      </c>
      <c r="K266" s="0" t="str">
        <f aca="false">IF(I266="","",J266*הגדרות!$E$6+I266+1)</f>
        <v/>
      </c>
      <c r="L266" s="0" t="str">
        <f aca="false">IF(K266="","",MATCH(K266,$F$2:$F$5001,0))</f>
        <v/>
      </c>
      <c r="M266" s="0" t="str">
        <f aca="false">IF(I266="","",INDEX(הגדרות!$A$2:$A$21,MOD(I266+הגדרות!$E$9,הגדרות!$E$6)+1))</f>
        <v/>
      </c>
    </row>
    <row r="267" customFormat="false" ht="15" hidden="false" customHeight="false" outlineLevel="0" collapsed="false">
      <c r="A267" s="0" t="str">
        <f aca="false">IF('הדבקת לידים'!A267="","",IF(ISNUMBER('הדבקת לידים'!A267),IF(הגדרות!$E$2&gt;0,TEXT('הדבקת לידים'!A267,REPT("0",הגדרות!$E$2)),TEXT('הדבקת לידים'!A267,"0")),TRIM('הדבקת לידים'!A267)))</f>
        <v/>
      </c>
      <c r="B267" s="0" t="str">
        <f aca="false">IF('הדבקת לידים'!B267="","",IF(ISNUMBER('הדבקת לידים'!B267),IF(הגדרות!$E$3&gt;0,TEXT('הדבקת לידים'!B267,REPT("0",הגדרות!$E$3)),TEXT('הדבקת לידים'!B267,"0")),TRIM('הדבקת לידים'!B267)))</f>
        <v/>
      </c>
      <c r="C267" s="0" t="n">
        <f aca="false">IF(OR(A267&lt;&gt;"",B267&lt;&gt;""),1,0)</f>
        <v>0</v>
      </c>
      <c r="D267" s="0" t="str">
        <f aca="false">IF(C267=1,MOD(ABS(SIN(ROW()*12.9898+'הדבקת לידים'!$F$2*78.233+IFERROR(--RIGHT(A267,6),LEN(A267))*0.0137+IFERROR(--RIGHT(B267,6),LEN(B267))*0.0071))*43758.5453,1),"")</f>
        <v/>
      </c>
      <c r="E267" s="0" t="str">
        <f aca="false">IF(C267=1,INT(MOD(ABS(SIN(D267*7919.123+ROW()*0.618+'הדבקת לידים'!$F$2*1.3))*43758.5453,1)*1000000)*10000+ROW(),"")</f>
        <v/>
      </c>
      <c r="F267" s="0" t="str">
        <f aca="false">IF(E267="","",RANK(E267,$E$2:$E$5001,1))</f>
        <v/>
      </c>
      <c r="G267" s="0" t="n">
        <f aca="false">IF(A267="",0,IF(SUMPRODUCT(--($A$2:$A$5001=A267))&gt;1,1,0))</f>
        <v>0</v>
      </c>
      <c r="H267" s="0" t="n">
        <f aca="false">ROW()-1</f>
        <v>266</v>
      </c>
      <c r="I267" s="0" t="str">
        <f aca="false">IF(OR(הגדרות!$E$6=0,H267&gt;הגדרות!$E$5),"",IF(H267-1&lt;הגדרות!$E$8*(הגדרות!$E$7+1),INT((H267-1)/(הגדרות!$E$7+1)),הגדרות!$E$8+INT((H267-1-הגדרות!$E$8*(הגדרות!$E$7+1))/הגדרות!$E$7)))</f>
        <v/>
      </c>
      <c r="J267" s="0" t="str">
        <f aca="false">IF(I267="","",IF(H267-1&lt;הגדרות!$E$8*(הגדרות!$E$7+1),MOD(H267-1,הגדרות!$E$7+1),MOD(H267-1-הגדרות!$E$8*(הגדרות!$E$7+1),הגדרות!$E$7)))</f>
        <v/>
      </c>
      <c r="K267" s="0" t="str">
        <f aca="false">IF(I267="","",J267*הגדרות!$E$6+I267+1)</f>
        <v/>
      </c>
      <c r="L267" s="0" t="str">
        <f aca="false">IF(K267="","",MATCH(K267,$F$2:$F$5001,0))</f>
        <v/>
      </c>
      <c r="M267" s="0" t="str">
        <f aca="false">IF(I267="","",INDEX(הגדרות!$A$2:$A$21,MOD(I267+הגדרות!$E$9,הגדרות!$E$6)+1))</f>
        <v/>
      </c>
    </row>
    <row r="268" customFormat="false" ht="15" hidden="false" customHeight="false" outlineLevel="0" collapsed="false">
      <c r="A268" s="0" t="str">
        <f aca="false">IF('הדבקת לידים'!A268="","",IF(ISNUMBER('הדבקת לידים'!A268),IF(הגדרות!$E$2&gt;0,TEXT('הדבקת לידים'!A268,REPT("0",הגדרות!$E$2)),TEXT('הדבקת לידים'!A268,"0")),TRIM('הדבקת לידים'!A268)))</f>
        <v/>
      </c>
      <c r="B268" s="0" t="str">
        <f aca="false">IF('הדבקת לידים'!B268="","",IF(ISNUMBER('הדבקת לידים'!B268),IF(הגדרות!$E$3&gt;0,TEXT('הדבקת לידים'!B268,REPT("0",הגדרות!$E$3)),TEXT('הדבקת לידים'!B268,"0")),TRIM('הדבקת לידים'!B268)))</f>
        <v/>
      </c>
      <c r="C268" s="0" t="n">
        <f aca="false">IF(OR(A268&lt;&gt;"",B268&lt;&gt;""),1,0)</f>
        <v>0</v>
      </c>
      <c r="D268" s="0" t="str">
        <f aca="false">IF(C268=1,MOD(ABS(SIN(ROW()*12.9898+'הדבקת לידים'!$F$2*78.233+IFERROR(--RIGHT(A268,6),LEN(A268))*0.0137+IFERROR(--RIGHT(B268,6),LEN(B268))*0.0071))*43758.5453,1),"")</f>
        <v/>
      </c>
      <c r="E268" s="0" t="str">
        <f aca="false">IF(C268=1,INT(MOD(ABS(SIN(D268*7919.123+ROW()*0.618+'הדבקת לידים'!$F$2*1.3))*43758.5453,1)*1000000)*10000+ROW(),"")</f>
        <v/>
      </c>
      <c r="F268" s="0" t="str">
        <f aca="false">IF(E268="","",RANK(E268,$E$2:$E$5001,1))</f>
        <v/>
      </c>
      <c r="G268" s="0" t="n">
        <f aca="false">IF(A268="",0,IF(SUMPRODUCT(--($A$2:$A$5001=A268))&gt;1,1,0))</f>
        <v>0</v>
      </c>
      <c r="H268" s="0" t="n">
        <f aca="false">ROW()-1</f>
        <v>267</v>
      </c>
      <c r="I268" s="0" t="str">
        <f aca="false">IF(OR(הגדרות!$E$6=0,H268&gt;הגדרות!$E$5),"",IF(H268-1&lt;הגדרות!$E$8*(הגדרות!$E$7+1),INT((H268-1)/(הגדרות!$E$7+1)),הגדרות!$E$8+INT((H268-1-הגדרות!$E$8*(הגדרות!$E$7+1))/הגדרות!$E$7)))</f>
        <v/>
      </c>
      <c r="J268" s="0" t="str">
        <f aca="false">IF(I268="","",IF(H268-1&lt;הגדרות!$E$8*(הגדרות!$E$7+1),MOD(H268-1,הגדרות!$E$7+1),MOD(H268-1-הגדרות!$E$8*(הגדרות!$E$7+1),הגדרות!$E$7)))</f>
        <v/>
      </c>
      <c r="K268" s="0" t="str">
        <f aca="false">IF(I268="","",J268*הגדרות!$E$6+I268+1)</f>
        <v/>
      </c>
      <c r="L268" s="0" t="str">
        <f aca="false">IF(K268="","",MATCH(K268,$F$2:$F$5001,0))</f>
        <v/>
      </c>
      <c r="M268" s="0" t="str">
        <f aca="false">IF(I268="","",INDEX(הגדרות!$A$2:$A$21,MOD(I268+הגדרות!$E$9,הגדרות!$E$6)+1))</f>
        <v/>
      </c>
    </row>
    <row r="269" customFormat="false" ht="15" hidden="false" customHeight="false" outlineLevel="0" collapsed="false">
      <c r="A269" s="0" t="str">
        <f aca="false">IF('הדבקת לידים'!A269="","",IF(ISNUMBER('הדבקת לידים'!A269),IF(הגדרות!$E$2&gt;0,TEXT('הדבקת לידים'!A269,REPT("0",הגדרות!$E$2)),TEXT('הדבקת לידים'!A269,"0")),TRIM('הדבקת לידים'!A269)))</f>
        <v/>
      </c>
      <c r="B269" s="0" t="str">
        <f aca="false">IF('הדבקת לידים'!B269="","",IF(ISNUMBER('הדבקת לידים'!B269),IF(הגדרות!$E$3&gt;0,TEXT('הדבקת לידים'!B269,REPT("0",הגדרות!$E$3)),TEXT('הדבקת לידים'!B269,"0")),TRIM('הדבקת לידים'!B269)))</f>
        <v/>
      </c>
      <c r="C269" s="0" t="n">
        <f aca="false">IF(OR(A269&lt;&gt;"",B269&lt;&gt;""),1,0)</f>
        <v>0</v>
      </c>
      <c r="D269" s="0" t="str">
        <f aca="false">IF(C269=1,MOD(ABS(SIN(ROW()*12.9898+'הדבקת לידים'!$F$2*78.233+IFERROR(--RIGHT(A269,6),LEN(A269))*0.0137+IFERROR(--RIGHT(B269,6),LEN(B269))*0.0071))*43758.5453,1),"")</f>
        <v/>
      </c>
      <c r="E269" s="0" t="str">
        <f aca="false">IF(C269=1,INT(MOD(ABS(SIN(D269*7919.123+ROW()*0.618+'הדבקת לידים'!$F$2*1.3))*43758.5453,1)*1000000)*10000+ROW(),"")</f>
        <v/>
      </c>
      <c r="F269" s="0" t="str">
        <f aca="false">IF(E269="","",RANK(E269,$E$2:$E$5001,1))</f>
        <v/>
      </c>
      <c r="G269" s="0" t="n">
        <f aca="false">IF(A269="",0,IF(SUMPRODUCT(--($A$2:$A$5001=A269))&gt;1,1,0))</f>
        <v>0</v>
      </c>
      <c r="H269" s="0" t="n">
        <f aca="false">ROW()-1</f>
        <v>268</v>
      </c>
      <c r="I269" s="0" t="str">
        <f aca="false">IF(OR(הגדרות!$E$6=0,H269&gt;הגדרות!$E$5),"",IF(H269-1&lt;הגדרות!$E$8*(הגדרות!$E$7+1),INT((H269-1)/(הגדרות!$E$7+1)),הגדרות!$E$8+INT((H269-1-הגדרות!$E$8*(הגדרות!$E$7+1))/הגדרות!$E$7)))</f>
        <v/>
      </c>
      <c r="J269" s="0" t="str">
        <f aca="false">IF(I269="","",IF(H269-1&lt;הגדרות!$E$8*(הגדרות!$E$7+1),MOD(H269-1,הגדרות!$E$7+1),MOD(H269-1-הגדרות!$E$8*(הגדרות!$E$7+1),הגדרות!$E$7)))</f>
        <v/>
      </c>
      <c r="K269" s="0" t="str">
        <f aca="false">IF(I269="","",J269*הגדרות!$E$6+I269+1)</f>
        <v/>
      </c>
      <c r="L269" s="0" t="str">
        <f aca="false">IF(K269="","",MATCH(K269,$F$2:$F$5001,0))</f>
        <v/>
      </c>
      <c r="M269" s="0" t="str">
        <f aca="false">IF(I269="","",INDEX(הגדרות!$A$2:$A$21,MOD(I269+הגדרות!$E$9,הגדרות!$E$6)+1))</f>
        <v/>
      </c>
    </row>
    <row r="270" customFormat="false" ht="15" hidden="false" customHeight="false" outlineLevel="0" collapsed="false">
      <c r="A270" s="0" t="str">
        <f aca="false">IF('הדבקת לידים'!A270="","",IF(ISNUMBER('הדבקת לידים'!A270),IF(הגדרות!$E$2&gt;0,TEXT('הדבקת לידים'!A270,REPT("0",הגדרות!$E$2)),TEXT('הדבקת לידים'!A270,"0")),TRIM('הדבקת לידים'!A270)))</f>
        <v/>
      </c>
      <c r="B270" s="0" t="str">
        <f aca="false">IF('הדבקת לידים'!B270="","",IF(ISNUMBER('הדבקת לידים'!B270),IF(הגדרות!$E$3&gt;0,TEXT('הדבקת לידים'!B270,REPT("0",הגדרות!$E$3)),TEXT('הדבקת לידים'!B270,"0")),TRIM('הדבקת לידים'!B270)))</f>
        <v/>
      </c>
      <c r="C270" s="0" t="n">
        <f aca="false">IF(OR(A270&lt;&gt;"",B270&lt;&gt;""),1,0)</f>
        <v>0</v>
      </c>
      <c r="D270" s="0" t="str">
        <f aca="false">IF(C270=1,MOD(ABS(SIN(ROW()*12.9898+'הדבקת לידים'!$F$2*78.233+IFERROR(--RIGHT(A270,6),LEN(A270))*0.0137+IFERROR(--RIGHT(B270,6),LEN(B270))*0.0071))*43758.5453,1),"")</f>
        <v/>
      </c>
      <c r="E270" s="0" t="str">
        <f aca="false">IF(C270=1,INT(MOD(ABS(SIN(D270*7919.123+ROW()*0.618+'הדבקת לידים'!$F$2*1.3))*43758.5453,1)*1000000)*10000+ROW(),"")</f>
        <v/>
      </c>
      <c r="F270" s="0" t="str">
        <f aca="false">IF(E270="","",RANK(E270,$E$2:$E$5001,1))</f>
        <v/>
      </c>
      <c r="G270" s="0" t="n">
        <f aca="false">IF(A270="",0,IF(SUMPRODUCT(--($A$2:$A$5001=A270))&gt;1,1,0))</f>
        <v>0</v>
      </c>
      <c r="H270" s="0" t="n">
        <f aca="false">ROW()-1</f>
        <v>269</v>
      </c>
      <c r="I270" s="0" t="str">
        <f aca="false">IF(OR(הגדרות!$E$6=0,H270&gt;הגדרות!$E$5),"",IF(H270-1&lt;הגדרות!$E$8*(הגדרות!$E$7+1),INT((H270-1)/(הגדרות!$E$7+1)),הגדרות!$E$8+INT((H270-1-הגדרות!$E$8*(הגדרות!$E$7+1))/הגדרות!$E$7)))</f>
        <v/>
      </c>
      <c r="J270" s="0" t="str">
        <f aca="false">IF(I270="","",IF(H270-1&lt;הגדרות!$E$8*(הגדרות!$E$7+1),MOD(H270-1,הגדרות!$E$7+1),MOD(H270-1-הגדרות!$E$8*(הגדרות!$E$7+1),הגדרות!$E$7)))</f>
        <v/>
      </c>
      <c r="K270" s="0" t="str">
        <f aca="false">IF(I270="","",J270*הגדרות!$E$6+I270+1)</f>
        <v/>
      </c>
      <c r="L270" s="0" t="str">
        <f aca="false">IF(K270="","",MATCH(K270,$F$2:$F$5001,0))</f>
        <v/>
      </c>
      <c r="M270" s="0" t="str">
        <f aca="false">IF(I270="","",INDEX(הגדרות!$A$2:$A$21,MOD(I270+הגדרות!$E$9,הגדרות!$E$6)+1))</f>
        <v/>
      </c>
    </row>
    <row r="271" customFormat="false" ht="15" hidden="false" customHeight="false" outlineLevel="0" collapsed="false">
      <c r="A271" s="0" t="str">
        <f aca="false">IF('הדבקת לידים'!A271="","",IF(ISNUMBER('הדבקת לידים'!A271),IF(הגדרות!$E$2&gt;0,TEXT('הדבקת לידים'!A271,REPT("0",הגדרות!$E$2)),TEXT('הדבקת לידים'!A271,"0")),TRIM('הדבקת לידים'!A271)))</f>
        <v/>
      </c>
      <c r="B271" s="0" t="str">
        <f aca="false">IF('הדבקת לידים'!B271="","",IF(ISNUMBER('הדבקת לידים'!B271),IF(הגדרות!$E$3&gt;0,TEXT('הדבקת לידים'!B271,REPT("0",הגדרות!$E$3)),TEXT('הדבקת לידים'!B271,"0")),TRIM('הדבקת לידים'!B271)))</f>
        <v/>
      </c>
      <c r="C271" s="0" t="n">
        <f aca="false">IF(OR(A271&lt;&gt;"",B271&lt;&gt;""),1,0)</f>
        <v>0</v>
      </c>
      <c r="D271" s="0" t="str">
        <f aca="false">IF(C271=1,MOD(ABS(SIN(ROW()*12.9898+'הדבקת לידים'!$F$2*78.233+IFERROR(--RIGHT(A271,6),LEN(A271))*0.0137+IFERROR(--RIGHT(B271,6),LEN(B271))*0.0071))*43758.5453,1),"")</f>
        <v/>
      </c>
      <c r="E271" s="0" t="str">
        <f aca="false">IF(C271=1,INT(MOD(ABS(SIN(D271*7919.123+ROW()*0.618+'הדבקת לידים'!$F$2*1.3))*43758.5453,1)*1000000)*10000+ROW(),"")</f>
        <v/>
      </c>
      <c r="F271" s="0" t="str">
        <f aca="false">IF(E271="","",RANK(E271,$E$2:$E$5001,1))</f>
        <v/>
      </c>
      <c r="G271" s="0" t="n">
        <f aca="false">IF(A271="",0,IF(SUMPRODUCT(--($A$2:$A$5001=A271))&gt;1,1,0))</f>
        <v>0</v>
      </c>
      <c r="H271" s="0" t="n">
        <f aca="false">ROW()-1</f>
        <v>270</v>
      </c>
      <c r="I271" s="0" t="str">
        <f aca="false">IF(OR(הגדרות!$E$6=0,H271&gt;הגדרות!$E$5),"",IF(H271-1&lt;הגדרות!$E$8*(הגדרות!$E$7+1),INT((H271-1)/(הגדרות!$E$7+1)),הגדרות!$E$8+INT((H271-1-הגדרות!$E$8*(הגדרות!$E$7+1))/הגדרות!$E$7)))</f>
        <v/>
      </c>
      <c r="J271" s="0" t="str">
        <f aca="false">IF(I271="","",IF(H271-1&lt;הגדרות!$E$8*(הגדרות!$E$7+1),MOD(H271-1,הגדרות!$E$7+1),MOD(H271-1-הגדרות!$E$8*(הגדרות!$E$7+1),הגדרות!$E$7)))</f>
        <v/>
      </c>
      <c r="K271" s="0" t="str">
        <f aca="false">IF(I271="","",J271*הגדרות!$E$6+I271+1)</f>
        <v/>
      </c>
      <c r="L271" s="0" t="str">
        <f aca="false">IF(K271="","",MATCH(K271,$F$2:$F$5001,0))</f>
        <v/>
      </c>
      <c r="M271" s="0" t="str">
        <f aca="false">IF(I271="","",INDEX(הגדרות!$A$2:$A$21,MOD(I271+הגדרות!$E$9,הגדרות!$E$6)+1))</f>
        <v/>
      </c>
    </row>
    <row r="272" customFormat="false" ht="15" hidden="false" customHeight="false" outlineLevel="0" collapsed="false">
      <c r="A272" s="0" t="str">
        <f aca="false">IF('הדבקת לידים'!A272="","",IF(ISNUMBER('הדבקת לידים'!A272),IF(הגדרות!$E$2&gt;0,TEXT('הדבקת לידים'!A272,REPT("0",הגדרות!$E$2)),TEXT('הדבקת לידים'!A272,"0")),TRIM('הדבקת לידים'!A272)))</f>
        <v/>
      </c>
      <c r="B272" s="0" t="str">
        <f aca="false">IF('הדבקת לידים'!B272="","",IF(ISNUMBER('הדבקת לידים'!B272),IF(הגדרות!$E$3&gt;0,TEXT('הדבקת לידים'!B272,REPT("0",הגדרות!$E$3)),TEXT('הדבקת לידים'!B272,"0")),TRIM('הדבקת לידים'!B272)))</f>
        <v/>
      </c>
      <c r="C272" s="0" t="n">
        <f aca="false">IF(OR(A272&lt;&gt;"",B272&lt;&gt;""),1,0)</f>
        <v>0</v>
      </c>
      <c r="D272" s="0" t="str">
        <f aca="false">IF(C272=1,MOD(ABS(SIN(ROW()*12.9898+'הדבקת לידים'!$F$2*78.233+IFERROR(--RIGHT(A272,6),LEN(A272))*0.0137+IFERROR(--RIGHT(B272,6),LEN(B272))*0.0071))*43758.5453,1),"")</f>
        <v/>
      </c>
      <c r="E272" s="0" t="str">
        <f aca="false">IF(C272=1,INT(MOD(ABS(SIN(D272*7919.123+ROW()*0.618+'הדבקת לידים'!$F$2*1.3))*43758.5453,1)*1000000)*10000+ROW(),"")</f>
        <v/>
      </c>
      <c r="F272" s="0" t="str">
        <f aca="false">IF(E272="","",RANK(E272,$E$2:$E$5001,1))</f>
        <v/>
      </c>
      <c r="G272" s="0" t="n">
        <f aca="false">IF(A272="",0,IF(SUMPRODUCT(--($A$2:$A$5001=A272))&gt;1,1,0))</f>
        <v>0</v>
      </c>
      <c r="H272" s="0" t="n">
        <f aca="false">ROW()-1</f>
        <v>271</v>
      </c>
      <c r="I272" s="0" t="str">
        <f aca="false">IF(OR(הגדרות!$E$6=0,H272&gt;הגדרות!$E$5),"",IF(H272-1&lt;הגדרות!$E$8*(הגדרות!$E$7+1),INT((H272-1)/(הגדרות!$E$7+1)),הגדרות!$E$8+INT((H272-1-הגדרות!$E$8*(הגדרות!$E$7+1))/הגדרות!$E$7)))</f>
        <v/>
      </c>
      <c r="J272" s="0" t="str">
        <f aca="false">IF(I272="","",IF(H272-1&lt;הגדרות!$E$8*(הגדרות!$E$7+1),MOD(H272-1,הגדרות!$E$7+1),MOD(H272-1-הגדרות!$E$8*(הגדרות!$E$7+1),הגדרות!$E$7)))</f>
        <v/>
      </c>
      <c r="K272" s="0" t="str">
        <f aca="false">IF(I272="","",J272*הגדרות!$E$6+I272+1)</f>
        <v/>
      </c>
      <c r="L272" s="0" t="str">
        <f aca="false">IF(K272="","",MATCH(K272,$F$2:$F$5001,0))</f>
        <v/>
      </c>
      <c r="M272" s="0" t="str">
        <f aca="false">IF(I272="","",INDEX(הגדרות!$A$2:$A$21,MOD(I272+הגדרות!$E$9,הגדרות!$E$6)+1))</f>
        <v/>
      </c>
    </row>
    <row r="273" customFormat="false" ht="15" hidden="false" customHeight="false" outlineLevel="0" collapsed="false">
      <c r="A273" s="0" t="str">
        <f aca="false">IF('הדבקת לידים'!A273="","",IF(ISNUMBER('הדבקת לידים'!A273),IF(הגדרות!$E$2&gt;0,TEXT('הדבקת לידים'!A273,REPT("0",הגדרות!$E$2)),TEXT('הדבקת לידים'!A273,"0")),TRIM('הדבקת לידים'!A273)))</f>
        <v/>
      </c>
      <c r="B273" s="0" t="str">
        <f aca="false">IF('הדבקת לידים'!B273="","",IF(ISNUMBER('הדבקת לידים'!B273),IF(הגדרות!$E$3&gt;0,TEXT('הדבקת לידים'!B273,REPT("0",הגדרות!$E$3)),TEXT('הדבקת לידים'!B273,"0")),TRIM('הדבקת לידים'!B273)))</f>
        <v/>
      </c>
      <c r="C273" s="0" t="n">
        <f aca="false">IF(OR(A273&lt;&gt;"",B273&lt;&gt;""),1,0)</f>
        <v>0</v>
      </c>
      <c r="D273" s="0" t="str">
        <f aca="false">IF(C273=1,MOD(ABS(SIN(ROW()*12.9898+'הדבקת לידים'!$F$2*78.233+IFERROR(--RIGHT(A273,6),LEN(A273))*0.0137+IFERROR(--RIGHT(B273,6),LEN(B273))*0.0071))*43758.5453,1),"")</f>
        <v/>
      </c>
      <c r="E273" s="0" t="str">
        <f aca="false">IF(C273=1,INT(MOD(ABS(SIN(D273*7919.123+ROW()*0.618+'הדבקת לידים'!$F$2*1.3))*43758.5453,1)*1000000)*10000+ROW(),"")</f>
        <v/>
      </c>
      <c r="F273" s="0" t="str">
        <f aca="false">IF(E273="","",RANK(E273,$E$2:$E$5001,1))</f>
        <v/>
      </c>
      <c r="G273" s="0" t="n">
        <f aca="false">IF(A273="",0,IF(SUMPRODUCT(--($A$2:$A$5001=A273))&gt;1,1,0))</f>
        <v>0</v>
      </c>
      <c r="H273" s="0" t="n">
        <f aca="false">ROW()-1</f>
        <v>272</v>
      </c>
      <c r="I273" s="0" t="str">
        <f aca="false">IF(OR(הגדרות!$E$6=0,H273&gt;הגדרות!$E$5),"",IF(H273-1&lt;הגדרות!$E$8*(הגדרות!$E$7+1),INT((H273-1)/(הגדרות!$E$7+1)),הגדרות!$E$8+INT((H273-1-הגדרות!$E$8*(הגדרות!$E$7+1))/הגדרות!$E$7)))</f>
        <v/>
      </c>
      <c r="J273" s="0" t="str">
        <f aca="false">IF(I273="","",IF(H273-1&lt;הגדרות!$E$8*(הגדרות!$E$7+1),MOD(H273-1,הגדרות!$E$7+1),MOD(H273-1-הגדרות!$E$8*(הגדרות!$E$7+1),הגדרות!$E$7)))</f>
        <v/>
      </c>
      <c r="K273" s="0" t="str">
        <f aca="false">IF(I273="","",J273*הגדרות!$E$6+I273+1)</f>
        <v/>
      </c>
      <c r="L273" s="0" t="str">
        <f aca="false">IF(K273="","",MATCH(K273,$F$2:$F$5001,0))</f>
        <v/>
      </c>
      <c r="M273" s="0" t="str">
        <f aca="false">IF(I273="","",INDEX(הגדרות!$A$2:$A$21,MOD(I273+הגדרות!$E$9,הגדרות!$E$6)+1))</f>
        <v/>
      </c>
    </row>
    <row r="274" customFormat="false" ht="15" hidden="false" customHeight="false" outlineLevel="0" collapsed="false">
      <c r="A274" s="0" t="str">
        <f aca="false">IF('הדבקת לידים'!A274="","",IF(ISNUMBER('הדבקת לידים'!A274),IF(הגדרות!$E$2&gt;0,TEXT('הדבקת לידים'!A274,REPT("0",הגדרות!$E$2)),TEXT('הדבקת לידים'!A274,"0")),TRIM('הדבקת לידים'!A274)))</f>
        <v/>
      </c>
      <c r="B274" s="0" t="str">
        <f aca="false">IF('הדבקת לידים'!B274="","",IF(ISNUMBER('הדבקת לידים'!B274),IF(הגדרות!$E$3&gt;0,TEXT('הדבקת לידים'!B274,REPT("0",הגדרות!$E$3)),TEXT('הדבקת לידים'!B274,"0")),TRIM('הדבקת לידים'!B274)))</f>
        <v/>
      </c>
      <c r="C274" s="0" t="n">
        <f aca="false">IF(OR(A274&lt;&gt;"",B274&lt;&gt;""),1,0)</f>
        <v>0</v>
      </c>
      <c r="D274" s="0" t="str">
        <f aca="false">IF(C274=1,MOD(ABS(SIN(ROW()*12.9898+'הדבקת לידים'!$F$2*78.233+IFERROR(--RIGHT(A274,6),LEN(A274))*0.0137+IFERROR(--RIGHT(B274,6),LEN(B274))*0.0071))*43758.5453,1),"")</f>
        <v/>
      </c>
      <c r="E274" s="0" t="str">
        <f aca="false">IF(C274=1,INT(MOD(ABS(SIN(D274*7919.123+ROW()*0.618+'הדבקת לידים'!$F$2*1.3))*43758.5453,1)*1000000)*10000+ROW(),"")</f>
        <v/>
      </c>
      <c r="F274" s="0" t="str">
        <f aca="false">IF(E274="","",RANK(E274,$E$2:$E$5001,1))</f>
        <v/>
      </c>
      <c r="G274" s="0" t="n">
        <f aca="false">IF(A274="",0,IF(SUMPRODUCT(--($A$2:$A$5001=A274))&gt;1,1,0))</f>
        <v>0</v>
      </c>
      <c r="H274" s="0" t="n">
        <f aca="false">ROW()-1</f>
        <v>273</v>
      </c>
      <c r="I274" s="0" t="str">
        <f aca="false">IF(OR(הגדרות!$E$6=0,H274&gt;הגדרות!$E$5),"",IF(H274-1&lt;הגדרות!$E$8*(הגדרות!$E$7+1),INT((H274-1)/(הגדרות!$E$7+1)),הגדרות!$E$8+INT((H274-1-הגדרות!$E$8*(הגדרות!$E$7+1))/הגדרות!$E$7)))</f>
        <v/>
      </c>
      <c r="J274" s="0" t="str">
        <f aca="false">IF(I274="","",IF(H274-1&lt;הגדרות!$E$8*(הגדרות!$E$7+1),MOD(H274-1,הגדרות!$E$7+1),MOD(H274-1-הגדרות!$E$8*(הגדרות!$E$7+1),הגדרות!$E$7)))</f>
        <v/>
      </c>
      <c r="K274" s="0" t="str">
        <f aca="false">IF(I274="","",J274*הגדרות!$E$6+I274+1)</f>
        <v/>
      </c>
      <c r="L274" s="0" t="str">
        <f aca="false">IF(K274="","",MATCH(K274,$F$2:$F$5001,0))</f>
        <v/>
      </c>
      <c r="M274" s="0" t="str">
        <f aca="false">IF(I274="","",INDEX(הגדרות!$A$2:$A$21,MOD(I274+הגדרות!$E$9,הגדרות!$E$6)+1))</f>
        <v/>
      </c>
    </row>
    <row r="275" customFormat="false" ht="15" hidden="false" customHeight="false" outlineLevel="0" collapsed="false">
      <c r="A275" s="0" t="str">
        <f aca="false">IF('הדבקת לידים'!A275="","",IF(ISNUMBER('הדבקת לידים'!A275),IF(הגדרות!$E$2&gt;0,TEXT('הדבקת לידים'!A275,REPT("0",הגדרות!$E$2)),TEXT('הדבקת לידים'!A275,"0")),TRIM('הדבקת לידים'!A275)))</f>
        <v/>
      </c>
      <c r="B275" s="0" t="str">
        <f aca="false">IF('הדבקת לידים'!B275="","",IF(ISNUMBER('הדבקת לידים'!B275),IF(הגדרות!$E$3&gt;0,TEXT('הדבקת לידים'!B275,REPT("0",הגדרות!$E$3)),TEXT('הדבקת לידים'!B275,"0")),TRIM('הדבקת לידים'!B275)))</f>
        <v/>
      </c>
      <c r="C275" s="0" t="n">
        <f aca="false">IF(OR(A275&lt;&gt;"",B275&lt;&gt;""),1,0)</f>
        <v>0</v>
      </c>
      <c r="D275" s="0" t="str">
        <f aca="false">IF(C275=1,MOD(ABS(SIN(ROW()*12.9898+'הדבקת לידים'!$F$2*78.233+IFERROR(--RIGHT(A275,6),LEN(A275))*0.0137+IFERROR(--RIGHT(B275,6),LEN(B275))*0.0071))*43758.5453,1),"")</f>
        <v/>
      </c>
      <c r="E275" s="0" t="str">
        <f aca="false">IF(C275=1,INT(MOD(ABS(SIN(D275*7919.123+ROW()*0.618+'הדבקת לידים'!$F$2*1.3))*43758.5453,1)*1000000)*10000+ROW(),"")</f>
        <v/>
      </c>
      <c r="F275" s="0" t="str">
        <f aca="false">IF(E275="","",RANK(E275,$E$2:$E$5001,1))</f>
        <v/>
      </c>
      <c r="G275" s="0" t="n">
        <f aca="false">IF(A275="",0,IF(SUMPRODUCT(--($A$2:$A$5001=A275))&gt;1,1,0))</f>
        <v>0</v>
      </c>
      <c r="H275" s="0" t="n">
        <f aca="false">ROW()-1</f>
        <v>274</v>
      </c>
      <c r="I275" s="0" t="str">
        <f aca="false">IF(OR(הגדרות!$E$6=0,H275&gt;הגדרות!$E$5),"",IF(H275-1&lt;הגדרות!$E$8*(הגדרות!$E$7+1),INT((H275-1)/(הגדרות!$E$7+1)),הגדרות!$E$8+INT((H275-1-הגדרות!$E$8*(הגדרות!$E$7+1))/הגדרות!$E$7)))</f>
        <v/>
      </c>
      <c r="J275" s="0" t="str">
        <f aca="false">IF(I275="","",IF(H275-1&lt;הגדרות!$E$8*(הגדרות!$E$7+1),MOD(H275-1,הגדרות!$E$7+1),MOD(H275-1-הגדרות!$E$8*(הגדרות!$E$7+1),הגדרות!$E$7)))</f>
        <v/>
      </c>
      <c r="K275" s="0" t="str">
        <f aca="false">IF(I275="","",J275*הגדרות!$E$6+I275+1)</f>
        <v/>
      </c>
      <c r="L275" s="0" t="str">
        <f aca="false">IF(K275="","",MATCH(K275,$F$2:$F$5001,0))</f>
        <v/>
      </c>
      <c r="M275" s="0" t="str">
        <f aca="false">IF(I275="","",INDEX(הגדרות!$A$2:$A$21,MOD(I275+הגדרות!$E$9,הגדרות!$E$6)+1))</f>
        <v/>
      </c>
    </row>
    <row r="276" customFormat="false" ht="15" hidden="false" customHeight="false" outlineLevel="0" collapsed="false">
      <c r="A276" s="0" t="str">
        <f aca="false">IF('הדבקת לידים'!A276="","",IF(ISNUMBER('הדבקת לידים'!A276),IF(הגדרות!$E$2&gt;0,TEXT('הדבקת לידים'!A276,REPT("0",הגדרות!$E$2)),TEXT('הדבקת לידים'!A276,"0")),TRIM('הדבקת לידים'!A276)))</f>
        <v/>
      </c>
      <c r="B276" s="0" t="str">
        <f aca="false">IF('הדבקת לידים'!B276="","",IF(ISNUMBER('הדבקת לידים'!B276),IF(הגדרות!$E$3&gt;0,TEXT('הדבקת לידים'!B276,REPT("0",הגדרות!$E$3)),TEXT('הדבקת לידים'!B276,"0")),TRIM('הדבקת לידים'!B276)))</f>
        <v/>
      </c>
      <c r="C276" s="0" t="n">
        <f aca="false">IF(OR(A276&lt;&gt;"",B276&lt;&gt;""),1,0)</f>
        <v>0</v>
      </c>
      <c r="D276" s="0" t="str">
        <f aca="false">IF(C276=1,MOD(ABS(SIN(ROW()*12.9898+'הדבקת לידים'!$F$2*78.233+IFERROR(--RIGHT(A276,6),LEN(A276))*0.0137+IFERROR(--RIGHT(B276,6),LEN(B276))*0.0071))*43758.5453,1),"")</f>
        <v/>
      </c>
      <c r="E276" s="0" t="str">
        <f aca="false">IF(C276=1,INT(MOD(ABS(SIN(D276*7919.123+ROW()*0.618+'הדבקת לידים'!$F$2*1.3))*43758.5453,1)*1000000)*10000+ROW(),"")</f>
        <v/>
      </c>
      <c r="F276" s="0" t="str">
        <f aca="false">IF(E276="","",RANK(E276,$E$2:$E$5001,1))</f>
        <v/>
      </c>
      <c r="G276" s="0" t="n">
        <f aca="false">IF(A276="",0,IF(SUMPRODUCT(--($A$2:$A$5001=A276))&gt;1,1,0))</f>
        <v>0</v>
      </c>
      <c r="H276" s="0" t="n">
        <f aca="false">ROW()-1</f>
        <v>275</v>
      </c>
      <c r="I276" s="0" t="str">
        <f aca="false">IF(OR(הגדרות!$E$6=0,H276&gt;הגדרות!$E$5),"",IF(H276-1&lt;הגדרות!$E$8*(הגדרות!$E$7+1),INT((H276-1)/(הגדרות!$E$7+1)),הגדרות!$E$8+INT((H276-1-הגדרות!$E$8*(הגדרות!$E$7+1))/הגדרות!$E$7)))</f>
        <v/>
      </c>
      <c r="J276" s="0" t="str">
        <f aca="false">IF(I276="","",IF(H276-1&lt;הגדרות!$E$8*(הגדרות!$E$7+1),MOD(H276-1,הגדרות!$E$7+1),MOD(H276-1-הגדרות!$E$8*(הגדרות!$E$7+1),הגדרות!$E$7)))</f>
        <v/>
      </c>
      <c r="K276" s="0" t="str">
        <f aca="false">IF(I276="","",J276*הגדרות!$E$6+I276+1)</f>
        <v/>
      </c>
      <c r="L276" s="0" t="str">
        <f aca="false">IF(K276="","",MATCH(K276,$F$2:$F$5001,0))</f>
        <v/>
      </c>
      <c r="M276" s="0" t="str">
        <f aca="false">IF(I276="","",INDEX(הגדרות!$A$2:$A$21,MOD(I276+הגדרות!$E$9,הגדרות!$E$6)+1))</f>
        <v/>
      </c>
    </row>
    <row r="277" customFormat="false" ht="15" hidden="false" customHeight="false" outlineLevel="0" collapsed="false">
      <c r="A277" s="0" t="str">
        <f aca="false">IF('הדבקת לידים'!A277="","",IF(ISNUMBER('הדבקת לידים'!A277),IF(הגדרות!$E$2&gt;0,TEXT('הדבקת לידים'!A277,REPT("0",הגדרות!$E$2)),TEXT('הדבקת לידים'!A277,"0")),TRIM('הדבקת לידים'!A277)))</f>
        <v/>
      </c>
      <c r="B277" s="0" t="str">
        <f aca="false">IF('הדבקת לידים'!B277="","",IF(ISNUMBER('הדבקת לידים'!B277),IF(הגדרות!$E$3&gt;0,TEXT('הדבקת לידים'!B277,REPT("0",הגדרות!$E$3)),TEXT('הדבקת לידים'!B277,"0")),TRIM('הדבקת לידים'!B277)))</f>
        <v/>
      </c>
      <c r="C277" s="0" t="n">
        <f aca="false">IF(OR(A277&lt;&gt;"",B277&lt;&gt;""),1,0)</f>
        <v>0</v>
      </c>
      <c r="D277" s="0" t="str">
        <f aca="false">IF(C277=1,MOD(ABS(SIN(ROW()*12.9898+'הדבקת לידים'!$F$2*78.233+IFERROR(--RIGHT(A277,6),LEN(A277))*0.0137+IFERROR(--RIGHT(B277,6),LEN(B277))*0.0071))*43758.5453,1),"")</f>
        <v/>
      </c>
      <c r="E277" s="0" t="str">
        <f aca="false">IF(C277=1,INT(MOD(ABS(SIN(D277*7919.123+ROW()*0.618+'הדבקת לידים'!$F$2*1.3))*43758.5453,1)*1000000)*10000+ROW(),"")</f>
        <v/>
      </c>
      <c r="F277" s="0" t="str">
        <f aca="false">IF(E277="","",RANK(E277,$E$2:$E$5001,1))</f>
        <v/>
      </c>
      <c r="G277" s="0" t="n">
        <f aca="false">IF(A277="",0,IF(SUMPRODUCT(--($A$2:$A$5001=A277))&gt;1,1,0))</f>
        <v>0</v>
      </c>
      <c r="H277" s="0" t="n">
        <f aca="false">ROW()-1</f>
        <v>276</v>
      </c>
      <c r="I277" s="0" t="str">
        <f aca="false">IF(OR(הגדרות!$E$6=0,H277&gt;הגדרות!$E$5),"",IF(H277-1&lt;הגדרות!$E$8*(הגדרות!$E$7+1),INT((H277-1)/(הגדרות!$E$7+1)),הגדרות!$E$8+INT((H277-1-הגדרות!$E$8*(הגדרות!$E$7+1))/הגדרות!$E$7)))</f>
        <v/>
      </c>
      <c r="J277" s="0" t="str">
        <f aca="false">IF(I277="","",IF(H277-1&lt;הגדרות!$E$8*(הגדרות!$E$7+1),MOD(H277-1,הגדרות!$E$7+1),MOD(H277-1-הגדרות!$E$8*(הגדרות!$E$7+1),הגדרות!$E$7)))</f>
        <v/>
      </c>
      <c r="K277" s="0" t="str">
        <f aca="false">IF(I277="","",J277*הגדרות!$E$6+I277+1)</f>
        <v/>
      </c>
      <c r="L277" s="0" t="str">
        <f aca="false">IF(K277="","",MATCH(K277,$F$2:$F$5001,0))</f>
        <v/>
      </c>
      <c r="M277" s="0" t="str">
        <f aca="false">IF(I277="","",INDEX(הגדרות!$A$2:$A$21,MOD(I277+הגדרות!$E$9,הגדרות!$E$6)+1))</f>
        <v/>
      </c>
    </row>
    <row r="278" customFormat="false" ht="15" hidden="false" customHeight="false" outlineLevel="0" collapsed="false">
      <c r="A278" s="0" t="str">
        <f aca="false">IF('הדבקת לידים'!A278="","",IF(ISNUMBER('הדבקת לידים'!A278),IF(הגדרות!$E$2&gt;0,TEXT('הדבקת לידים'!A278,REPT("0",הגדרות!$E$2)),TEXT('הדבקת לידים'!A278,"0")),TRIM('הדבקת לידים'!A278)))</f>
        <v/>
      </c>
      <c r="B278" s="0" t="str">
        <f aca="false">IF('הדבקת לידים'!B278="","",IF(ISNUMBER('הדבקת לידים'!B278),IF(הגדרות!$E$3&gt;0,TEXT('הדבקת לידים'!B278,REPT("0",הגדרות!$E$3)),TEXT('הדבקת לידים'!B278,"0")),TRIM('הדבקת לידים'!B278)))</f>
        <v/>
      </c>
      <c r="C278" s="0" t="n">
        <f aca="false">IF(OR(A278&lt;&gt;"",B278&lt;&gt;""),1,0)</f>
        <v>0</v>
      </c>
      <c r="D278" s="0" t="str">
        <f aca="false">IF(C278=1,MOD(ABS(SIN(ROW()*12.9898+'הדבקת לידים'!$F$2*78.233+IFERROR(--RIGHT(A278,6),LEN(A278))*0.0137+IFERROR(--RIGHT(B278,6),LEN(B278))*0.0071))*43758.5453,1),"")</f>
        <v/>
      </c>
      <c r="E278" s="0" t="str">
        <f aca="false">IF(C278=1,INT(MOD(ABS(SIN(D278*7919.123+ROW()*0.618+'הדבקת לידים'!$F$2*1.3))*43758.5453,1)*1000000)*10000+ROW(),"")</f>
        <v/>
      </c>
      <c r="F278" s="0" t="str">
        <f aca="false">IF(E278="","",RANK(E278,$E$2:$E$5001,1))</f>
        <v/>
      </c>
      <c r="G278" s="0" t="n">
        <f aca="false">IF(A278="",0,IF(SUMPRODUCT(--($A$2:$A$5001=A278))&gt;1,1,0))</f>
        <v>0</v>
      </c>
      <c r="H278" s="0" t="n">
        <f aca="false">ROW()-1</f>
        <v>277</v>
      </c>
      <c r="I278" s="0" t="str">
        <f aca="false">IF(OR(הגדרות!$E$6=0,H278&gt;הגדרות!$E$5),"",IF(H278-1&lt;הגדרות!$E$8*(הגדרות!$E$7+1),INT((H278-1)/(הגדרות!$E$7+1)),הגדרות!$E$8+INT((H278-1-הגדרות!$E$8*(הגדרות!$E$7+1))/הגדרות!$E$7)))</f>
        <v/>
      </c>
      <c r="J278" s="0" t="str">
        <f aca="false">IF(I278="","",IF(H278-1&lt;הגדרות!$E$8*(הגדרות!$E$7+1),MOD(H278-1,הגדרות!$E$7+1),MOD(H278-1-הגדרות!$E$8*(הגדרות!$E$7+1),הגדרות!$E$7)))</f>
        <v/>
      </c>
      <c r="K278" s="0" t="str">
        <f aca="false">IF(I278="","",J278*הגדרות!$E$6+I278+1)</f>
        <v/>
      </c>
      <c r="L278" s="0" t="str">
        <f aca="false">IF(K278="","",MATCH(K278,$F$2:$F$5001,0))</f>
        <v/>
      </c>
      <c r="M278" s="0" t="str">
        <f aca="false">IF(I278="","",INDEX(הגדרות!$A$2:$A$21,MOD(I278+הגדרות!$E$9,הגדרות!$E$6)+1))</f>
        <v/>
      </c>
    </row>
    <row r="279" customFormat="false" ht="15" hidden="false" customHeight="false" outlineLevel="0" collapsed="false">
      <c r="A279" s="0" t="str">
        <f aca="false">IF('הדבקת לידים'!A279="","",IF(ISNUMBER('הדבקת לידים'!A279),IF(הגדרות!$E$2&gt;0,TEXT('הדבקת לידים'!A279,REPT("0",הגדרות!$E$2)),TEXT('הדבקת לידים'!A279,"0")),TRIM('הדבקת לידים'!A279)))</f>
        <v/>
      </c>
      <c r="B279" s="0" t="str">
        <f aca="false">IF('הדבקת לידים'!B279="","",IF(ISNUMBER('הדבקת לידים'!B279),IF(הגדרות!$E$3&gt;0,TEXT('הדבקת לידים'!B279,REPT("0",הגדרות!$E$3)),TEXT('הדבקת לידים'!B279,"0")),TRIM('הדבקת לידים'!B279)))</f>
        <v/>
      </c>
      <c r="C279" s="0" t="n">
        <f aca="false">IF(OR(A279&lt;&gt;"",B279&lt;&gt;""),1,0)</f>
        <v>0</v>
      </c>
      <c r="D279" s="0" t="str">
        <f aca="false">IF(C279=1,MOD(ABS(SIN(ROW()*12.9898+'הדבקת לידים'!$F$2*78.233+IFERROR(--RIGHT(A279,6),LEN(A279))*0.0137+IFERROR(--RIGHT(B279,6),LEN(B279))*0.0071))*43758.5453,1),"")</f>
        <v/>
      </c>
      <c r="E279" s="0" t="str">
        <f aca="false">IF(C279=1,INT(MOD(ABS(SIN(D279*7919.123+ROW()*0.618+'הדבקת לידים'!$F$2*1.3))*43758.5453,1)*1000000)*10000+ROW(),"")</f>
        <v/>
      </c>
      <c r="F279" s="0" t="str">
        <f aca="false">IF(E279="","",RANK(E279,$E$2:$E$5001,1))</f>
        <v/>
      </c>
      <c r="G279" s="0" t="n">
        <f aca="false">IF(A279="",0,IF(SUMPRODUCT(--($A$2:$A$5001=A279))&gt;1,1,0))</f>
        <v>0</v>
      </c>
      <c r="H279" s="0" t="n">
        <f aca="false">ROW()-1</f>
        <v>278</v>
      </c>
      <c r="I279" s="0" t="str">
        <f aca="false">IF(OR(הגדרות!$E$6=0,H279&gt;הגדרות!$E$5),"",IF(H279-1&lt;הגדרות!$E$8*(הגדרות!$E$7+1),INT((H279-1)/(הגדרות!$E$7+1)),הגדרות!$E$8+INT((H279-1-הגדרות!$E$8*(הגדרות!$E$7+1))/הגדרות!$E$7)))</f>
        <v/>
      </c>
      <c r="J279" s="0" t="str">
        <f aca="false">IF(I279="","",IF(H279-1&lt;הגדרות!$E$8*(הגדרות!$E$7+1),MOD(H279-1,הגדרות!$E$7+1),MOD(H279-1-הגדרות!$E$8*(הגדרות!$E$7+1),הגדרות!$E$7)))</f>
        <v/>
      </c>
      <c r="K279" s="0" t="str">
        <f aca="false">IF(I279="","",J279*הגדרות!$E$6+I279+1)</f>
        <v/>
      </c>
      <c r="L279" s="0" t="str">
        <f aca="false">IF(K279="","",MATCH(K279,$F$2:$F$5001,0))</f>
        <v/>
      </c>
      <c r="M279" s="0" t="str">
        <f aca="false">IF(I279="","",INDEX(הגדרות!$A$2:$A$21,MOD(I279+הגדרות!$E$9,הגדרות!$E$6)+1))</f>
        <v/>
      </c>
    </row>
    <row r="280" customFormat="false" ht="15" hidden="false" customHeight="false" outlineLevel="0" collapsed="false">
      <c r="A280" s="0" t="str">
        <f aca="false">IF('הדבקת לידים'!A280="","",IF(ISNUMBER('הדבקת לידים'!A280),IF(הגדרות!$E$2&gt;0,TEXT('הדבקת לידים'!A280,REPT("0",הגדרות!$E$2)),TEXT('הדבקת לידים'!A280,"0")),TRIM('הדבקת לידים'!A280)))</f>
        <v/>
      </c>
      <c r="B280" s="0" t="str">
        <f aca="false">IF('הדבקת לידים'!B280="","",IF(ISNUMBER('הדבקת לידים'!B280),IF(הגדרות!$E$3&gt;0,TEXT('הדבקת לידים'!B280,REPT("0",הגדרות!$E$3)),TEXT('הדבקת לידים'!B280,"0")),TRIM('הדבקת לידים'!B280)))</f>
        <v/>
      </c>
      <c r="C280" s="0" t="n">
        <f aca="false">IF(OR(A280&lt;&gt;"",B280&lt;&gt;""),1,0)</f>
        <v>0</v>
      </c>
      <c r="D280" s="0" t="str">
        <f aca="false">IF(C280=1,MOD(ABS(SIN(ROW()*12.9898+'הדבקת לידים'!$F$2*78.233+IFERROR(--RIGHT(A280,6),LEN(A280))*0.0137+IFERROR(--RIGHT(B280,6),LEN(B280))*0.0071))*43758.5453,1),"")</f>
        <v/>
      </c>
      <c r="E280" s="0" t="str">
        <f aca="false">IF(C280=1,INT(MOD(ABS(SIN(D280*7919.123+ROW()*0.618+'הדבקת לידים'!$F$2*1.3))*43758.5453,1)*1000000)*10000+ROW(),"")</f>
        <v/>
      </c>
      <c r="F280" s="0" t="str">
        <f aca="false">IF(E280="","",RANK(E280,$E$2:$E$5001,1))</f>
        <v/>
      </c>
      <c r="G280" s="0" t="n">
        <f aca="false">IF(A280="",0,IF(SUMPRODUCT(--($A$2:$A$5001=A280))&gt;1,1,0))</f>
        <v>0</v>
      </c>
      <c r="H280" s="0" t="n">
        <f aca="false">ROW()-1</f>
        <v>279</v>
      </c>
      <c r="I280" s="0" t="str">
        <f aca="false">IF(OR(הגדרות!$E$6=0,H280&gt;הגדרות!$E$5),"",IF(H280-1&lt;הגדרות!$E$8*(הגדרות!$E$7+1),INT((H280-1)/(הגדרות!$E$7+1)),הגדרות!$E$8+INT((H280-1-הגדרות!$E$8*(הגדרות!$E$7+1))/הגדרות!$E$7)))</f>
        <v/>
      </c>
      <c r="J280" s="0" t="str">
        <f aca="false">IF(I280="","",IF(H280-1&lt;הגדרות!$E$8*(הגדרות!$E$7+1),MOD(H280-1,הגדרות!$E$7+1),MOD(H280-1-הגדרות!$E$8*(הגדרות!$E$7+1),הגדרות!$E$7)))</f>
        <v/>
      </c>
      <c r="K280" s="0" t="str">
        <f aca="false">IF(I280="","",J280*הגדרות!$E$6+I280+1)</f>
        <v/>
      </c>
      <c r="L280" s="0" t="str">
        <f aca="false">IF(K280="","",MATCH(K280,$F$2:$F$5001,0))</f>
        <v/>
      </c>
      <c r="M280" s="0" t="str">
        <f aca="false">IF(I280="","",INDEX(הגדרות!$A$2:$A$21,MOD(I280+הגדרות!$E$9,הגדרות!$E$6)+1))</f>
        <v/>
      </c>
    </row>
    <row r="281" customFormat="false" ht="15" hidden="false" customHeight="false" outlineLevel="0" collapsed="false">
      <c r="A281" s="0" t="str">
        <f aca="false">IF('הדבקת לידים'!A281="","",IF(ISNUMBER('הדבקת לידים'!A281),IF(הגדרות!$E$2&gt;0,TEXT('הדבקת לידים'!A281,REPT("0",הגדרות!$E$2)),TEXT('הדבקת לידים'!A281,"0")),TRIM('הדבקת לידים'!A281)))</f>
        <v/>
      </c>
      <c r="B281" s="0" t="str">
        <f aca="false">IF('הדבקת לידים'!B281="","",IF(ISNUMBER('הדבקת לידים'!B281),IF(הגדרות!$E$3&gt;0,TEXT('הדבקת לידים'!B281,REPT("0",הגדרות!$E$3)),TEXT('הדבקת לידים'!B281,"0")),TRIM('הדבקת לידים'!B281)))</f>
        <v/>
      </c>
      <c r="C281" s="0" t="n">
        <f aca="false">IF(OR(A281&lt;&gt;"",B281&lt;&gt;""),1,0)</f>
        <v>0</v>
      </c>
      <c r="D281" s="0" t="str">
        <f aca="false">IF(C281=1,MOD(ABS(SIN(ROW()*12.9898+'הדבקת לידים'!$F$2*78.233+IFERROR(--RIGHT(A281,6),LEN(A281))*0.0137+IFERROR(--RIGHT(B281,6),LEN(B281))*0.0071))*43758.5453,1),"")</f>
        <v/>
      </c>
      <c r="E281" s="0" t="str">
        <f aca="false">IF(C281=1,INT(MOD(ABS(SIN(D281*7919.123+ROW()*0.618+'הדבקת לידים'!$F$2*1.3))*43758.5453,1)*1000000)*10000+ROW(),"")</f>
        <v/>
      </c>
      <c r="F281" s="0" t="str">
        <f aca="false">IF(E281="","",RANK(E281,$E$2:$E$5001,1))</f>
        <v/>
      </c>
      <c r="G281" s="0" t="n">
        <f aca="false">IF(A281="",0,IF(SUMPRODUCT(--($A$2:$A$5001=A281))&gt;1,1,0))</f>
        <v>0</v>
      </c>
      <c r="H281" s="0" t="n">
        <f aca="false">ROW()-1</f>
        <v>280</v>
      </c>
      <c r="I281" s="0" t="str">
        <f aca="false">IF(OR(הגדרות!$E$6=0,H281&gt;הגדרות!$E$5),"",IF(H281-1&lt;הגדרות!$E$8*(הגדרות!$E$7+1),INT((H281-1)/(הגדרות!$E$7+1)),הגדרות!$E$8+INT((H281-1-הגדרות!$E$8*(הגדרות!$E$7+1))/הגדרות!$E$7)))</f>
        <v/>
      </c>
      <c r="J281" s="0" t="str">
        <f aca="false">IF(I281="","",IF(H281-1&lt;הגדרות!$E$8*(הגדרות!$E$7+1),MOD(H281-1,הגדרות!$E$7+1),MOD(H281-1-הגדרות!$E$8*(הגדרות!$E$7+1),הגדרות!$E$7)))</f>
        <v/>
      </c>
      <c r="K281" s="0" t="str">
        <f aca="false">IF(I281="","",J281*הגדרות!$E$6+I281+1)</f>
        <v/>
      </c>
      <c r="L281" s="0" t="str">
        <f aca="false">IF(K281="","",MATCH(K281,$F$2:$F$5001,0))</f>
        <v/>
      </c>
      <c r="M281" s="0" t="str">
        <f aca="false">IF(I281="","",INDEX(הגדרות!$A$2:$A$21,MOD(I281+הגדרות!$E$9,הגדרות!$E$6)+1))</f>
        <v/>
      </c>
    </row>
    <row r="282" customFormat="false" ht="15" hidden="false" customHeight="false" outlineLevel="0" collapsed="false">
      <c r="A282" s="0" t="str">
        <f aca="false">IF('הדבקת לידים'!A282="","",IF(ISNUMBER('הדבקת לידים'!A282),IF(הגדרות!$E$2&gt;0,TEXT('הדבקת לידים'!A282,REPT("0",הגדרות!$E$2)),TEXT('הדבקת לידים'!A282,"0")),TRIM('הדבקת לידים'!A282)))</f>
        <v/>
      </c>
      <c r="B282" s="0" t="str">
        <f aca="false">IF('הדבקת לידים'!B282="","",IF(ISNUMBER('הדבקת לידים'!B282),IF(הגדרות!$E$3&gt;0,TEXT('הדבקת לידים'!B282,REPT("0",הגדרות!$E$3)),TEXT('הדבקת לידים'!B282,"0")),TRIM('הדבקת לידים'!B282)))</f>
        <v/>
      </c>
      <c r="C282" s="0" t="n">
        <f aca="false">IF(OR(A282&lt;&gt;"",B282&lt;&gt;""),1,0)</f>
        <v>0</v>
      </c>
      <c r="D282" s="0" t="str">
        <f aca="false">IF(C282=1,MOD(ABS(SIN(ROW()*12.9898+'הדבקת לידים'!$F$2*78.233+IFERROR(--RIGHT(A282,6),LEN(A282))*0.0137+IFERROR(--RIGHT(B282,6),LEN(B282))*0.0071))*43758.5453,1),"")</f>
        <v/>
      </c>
      <c r="E282" s="0" t="str">
        <f aca="false">IF(C282=1,INT(MOD(ABS(SIN(D282*7919.123+ROW()*0.618+'הדבקת לידים'!$F$2*1.3))*43758.5453,1)*1000000)*10000+ROW(),"")</f>
        <v/>
      </c>
      <c r="F282" s="0" t="str">
        <f aca="false">IF(E282="","",RANK(E282,$E$2:$E$5001,1))</f>
        <v/>
      </c>
      <c r="G282" s="0" t="n">
        <f aca="false">IF(A282="",0,IF(SUMPRODUCT(--($A$2:$A$5001=A282))&gt;1,1,0))</f>
        <v>0</v>
      </c>
      <c r="H282" s="0" t="n">
        <f aca="false">ROW()-1</f>
        <v>281</v>
      </c>
      <c r="I282" s="0" t="str">
        <f aca="false">IF(OR(הגדרות!$E$6=0,H282&gt;הגדרות!$E$5),"",IF(H282-1&lt;הגדרות!$E$8*(הגדרות!$E$7+1),INT((H282-1)/(הגדרות!$E$7+1)),הגדרות!$E$8+INT((H282-1-הגדרות!$E$8*(הגדרות!$E$7+1))/הגדרות!$E$7)))</f>
        <v/>
      </c>
      <c r="J282" s="0" t="str">
        <f aca="false">IF(I282="","",IF(H282-1&lt;הגדרות!$E$8*(הגדרות!$E$7+1),MOD(H282-1,הגדרות!$E$7+1),MOD(H282-1-הגדרות!$E$8*(הגדרות!$E$7+1),הגדרות!$E$7)))</f>
        <v/>
      </c>
      <c r="K282" s="0" t="str">
        <f aca="false">IF(I282="","",J282*הגדרות!$E$6+I282+1)</f>
        <v/>
      </c>
      <c r="L282" s="0" t="str">
        <f aca="false">IF(K282="","",MATCH(K282,$F$2:$F$5001,0))</f>
        <v/>
      </c>
      <c r="M282" s="0" t="str">
        <f aca="false">IF(I282="","",INDEX(הגדרות!$A$2:$A$21,MOD(I282+הגדרות!$E$9,הגדרות!$E$6)+1))</f>
        <v/>
      </c>
    </row>
    <row r="283" customFormat="false" ht="15" hidden="false" customHeight="false" outlineLevel="0" collapsed="false">
      <c r="A283" s="0" t="str">
        <f aca="false">IF('הדבקת לידים'!A283="","",IF(ISNUMBER('הדבקת לידים'!A283),IF(הגדרות!$E$2&gt;0,TEXT('הדבקת לידים'!A283,REPT("0",הגדרות!$E$2)),TEXT('הדבקת לידים'!A283,"0")),TRIM('הדבקת לידים'!A283)))</f>
        <v/>
      </c>
      <c r="B283" s="0" t="str">
        <f aca="false">IF('הדבקת לידים'!B283="","",IF(ISNUMBER('הדבקת לידים'!B283),IF(הגדרות!$E$3&gt;0,TEXT('הדבקת לידים'!B283,REPT("0",הגדרות!$E$3)),TEXT('הדבקת לידים'!B283,"0")),TRIM('הדבקת לידים'!B283)))</f>
        <v/>
      </c>
      <c r="C283" s="0" t="n">
        <f aca="false">IF(OR(A283&lt;&gt;"",B283&lt;&gt;""),1,0)</f>
        <v>0</v>
      </c>
      <c r="D283" s="0" t="str">
        <f aca="false">IF(C283=1,MOD(ABS(SIN(ROW()*12.9898+'הדבקת לידים'!$F$2*78.233+IFERROR(--RIGHT(A283,6),LEN(A283))*0.0137+IFERROR(--RIGHT(B283,6),LEN(B283))*0.0071))*43758.5453,1),"")</f>
        <v/>
      </c>
      <c r="E283" s="0" t="str">
        <f aca="false">IF(C283=1,INT(MOD(ABS(SIN(D283*7919.123+ROW()*0.618+'הדבקת לידים'!$F$2*1.3))*43758.5453,1)*1000000)*10000+ROW(),"")</f>
        <v/>
      </c>
      <c r="F283" s="0" t="str">
        <f aca="false">IF(E283="","",RANK(E283,$E$2:$E$5001,1))</f>
        <v/>
      </c>
      <c r="G283" s="0" t="n">
        <f aca="false">IF(A283="",0,IF(SUMPRODUCT(--($A$2:$A$5001=A283))&gt;1,1,0))</f>
        <v>0</v>
      </c>
      <c r="H283" s="0" t="n">
        <f aca="false">ROW()-1</f>
        <v>282</v>
      </c>
      <c r="I283" s="0" t="str">
        <f aca="false">IF(OR(הגדרות!$E$6=0,H283&gt;הגדרות!$E$5),"",IF(H283-1&lt;הגדרות!$E$8*(הגדרות!$E$7+1),INT((H283-1)/(הגדרות!$E$7+1)),הגדרות!$E$8+INT((H283-1-הגדרות!$E$8*(הגדרות!$E$7+1))/הגדרות!$E$7)))</f>
        <v/>
      </c>
      <c r="J283" s="0" t="str">
        <f aca="false">IF(I283="","",IF(H283-1&lt;הגדרות!$E$8*(הגדרות!$E$7+1),MOD(H283-1,הגדרות!$E$7+1),MOD(H283-1-הגדרות!$E$8*(הגדרות!$E$7+1),הגדרות!$E$7)))</f>
        <v/>
      </c>
      <c r="K283" s="0" t="str">
        <f aca="false">IF(I283="","",J283*הגדרות!$E$6+I283+1)</f>
        <v/>
      </c>
      <c r="L283" s="0" t="str">
        <f aca="false">IF(K283="","",MATCH(K283,$F$2:$F$5001,0))</f>
        <v/>
      </c>
      <c r="M283" s="0" t="str">
        <f aca="false">IF(I283="","",INDEX(הגדרות!$A$2:$A$21,MOD(I283+הגדרות!$E$9,הגדרות!$E$6)+1))</f>
        <v/>
      </c>
    </row>
    <row r="284" customFormat="false" ht="15" hidden="false" customHeight="false" outlineLevel="0" collapsed="false">
      <c r="A284" s="0" t="str">
        <f aca="false">IF('הדבקת לידים'!A284="","",IF(ISNUMBER('הדבקת לידים'!A284),IF(הגדרות!$E$2&gt;0,TEXT('הדבקת לידים'!A284,REPT("0",הגדרות!$E$2)),TEXT('הדבקת לידים'!A284,"0")),TRIM('הדבקת לידים'!A284)))</f>
        <v/>
      </c>
      <c r="B284" s="0" t="str">
        <f aca="false">IF('הדבקת לידים'!B284="","",IF(ISNUMBER('הדבקת לידים'!B284),IF(הגדרות!$E$3&gt;0,TEXT('הדבקת לידים'!B284,REPT("0",הגדרות!$E$3)),TEXT('הדבקת לידים'!B284,"0")),TRIM('הדבקת לידים'!B284)))</f>
        <v/>
      </c>
      <c r="C284" s="0" t="n">
        <f aca="false">IF(OR(A284&lt;&gt;"",B284&lt;&gt;""),1,0)</f>
        <v>0</v>
      </c>
      <c r="D284" s="0" t="str">
        <f aca="false">IF(C284=1,MOD(ABS(SIN(ROW()*12.9898+'הדבקת לידים'!$F$2*78.233+IFERROR(--RIGHT(A284,6),LEN(A284))*0.0137+IFERROR(--RIGHT(B284,6),LEN(B284))*0.0071))*43758.5453,1),"")</f>
        <v/>
      </c>
      <c r="E284" s="0" t="str">
        <f aca="false">IF(C284=1,INT(MOD(ABS(SIN(D284*7919.123+ROW()*0.618+'הדבקת לידים'!$F$2*1.3))*43758.5453,1)*1000000)*10000+ROW(),"")</f>
        <v/>
      </c>
      <c r="F284" s="0" t="str">
        <f aca="false">IF(E284="","",RANK(E284,$E$2:$E$5001,1))</f>
        <v/>
      </c>
      <c r="G284" s="0" t="n">
        <f aca="false">IF(A284="",0,IF(SUMPRODUCT(--($A$2:$A$5001=A284))&gt;1,1,0))</f>
        <v>0</v>
      </c>
      <c r="H284" s="0" t="n">
        <f aca="false">ROW()-1</f>
        <v>283</v>
      </c>
      <c r="I284" s="0" t="str">
        <f aca="false">IF(OR(הגדרות!$E$6=0,H284&gt;הגדרות!$E$5),"",IF(H284-1&lt;הגדרות!$E$8*(הגדרות!$E$7+1),INT((H284-1)/(הגדרות!$E$7+1)),הגדרות!$E$8+INT((H284-1-הגדרות!$E$8*(הגדרות!$E$7+1))/הגדרות!$E$7)))</f>
        <v/>
      </c>
      <c r="J284" s="0" t="str">
        <f aca="false">IF(I284="","",IF(H284-1&lt;הגדרות!$E$8*(הגדרות!$E$7+1),MOD(H284-1,הגדרות!$E$7+1),MOD(H284-1-הגדרות!$E$8*(הגדרות!$E$7+1),הגדרות!$E$7)))</f>
        <v/>
      </c>
      <c r="K284" s="0" t="str">
        <f aca="false">IF(I284="","",J284*הגדרות!$E$6+I284+1)</f>
        <v/>
      </c>
      <c r="L284" s="0" t="str">
        <f aca="false">IF(K284="","",MATCH(K284,$F$2:$F$5001,0))</f>
        <v/>
      </c>
      <c r="M284" s="0" t="str">
        <f aca="false">IF(I284="","",INDEX(הגדרות!$A$2:$A$21,MOD(I284+הגדרות!$E$9,הגדרות!$E$6)+1))</f>
        <v/>
      </c>
    </row>
    <row r="285" customFormat="false" ht="15" hidden="false" customHeight="false" outlineLevel="0" collapsed="false">
      <c r="A285" s="0" t="str">
        <f aca="false">IF('הדבקת לידים'!A285="","",IF(ISNUMBER('הדבקת לידים'!A285),IF(הגדרות!$E$2&gt;0,TEXT('הדבקת לידים'!A285,REPT("0",הגדרות!$E$2)),TEXT('הדבקת לידים'!A285,"0")),TRIM('הדבקת לידים'!A285)))</f>
        <v/>
      </c>
      <c r="B285" s="0" t="str">
        <f aca="false">IF('הדבקת לידים'!B285="","",IF(ISNUMBER('הדבקת לידים'!B285),IF(הגדרות!$E$3&gt;0,TEXT('הדבקת לידים'!B285,REPT("0",הגדרות!$E$3)),TEXT('הדבקת לידים'!B285,"0")),TRIM('הדבקת לידים'!B285)))</f>
        <v/>
      </c>
      <c r="C285" s="0" t="n">
        <f aca="false">IF(OR(A285&lt;&gt;"",B285&lt;&gt;""),1,0)</f>
        <v>0</v>
      </c>
      <c r="D285" s="0" t="str">
        <f aca="false">IF(C285=1,MOD(ABS(SIN(ROW()*12.9898+'הדבקת לידים'!$F$2*78.233+IFERROR(--RIGHT(A285,6),LEN(A285))*0.0137+IFERROR(--RIGHT(B285,6),LEN(B285))*0.0071))*43758.5453,1),"")</f>
        <v/>
      </c>
      <c r="E285" s="0" t="str">
        <f aca="false">IF(C285=1,INT(MOD(ABS(SIN(D285*7919.123+ROW()*0.618+'הדבקת לידים'!$F$2*1.3))*43758.5453,1)*1000000)*10000+ROW(),"")</f>
        <v/>
      </c>
      <c r="F285" s="0" t="str">
        <f aca="false">IF(E285="","",RANK(E285,$E$2:$E$5001,1))</f>
        <v/>
      </c>
      <c r="G285" s="0" t="n">
        <f aca="false">IF(A285="",0,IF(SUMPRODUCT(--($A$2:$A$5001=A285))&gt;1,1,0))</f>
        <v>0</v>
      </c>
      <c r="H285" s="0" t="n">
        <f aca="false">ROW()-1</f>
        <v>284</v>
      </c>
      <c r="I285" s="0" t="str">
        <f aca="false">IF(OR(הגדרות!$E$6=0,H285&gt;הגדרות!$E$5),"",IF(H285-1&lt;הגדרות!$E$8*(הגדרות!$E$7+1),INT((H285-1)/(הגדרות!$E$7+1)),הגדרות!$E$8+INT((H285-1-הגדרות!$E$8*(הגדרות!$E$7+1))/הגדרות!$E$7)))</f>
        <v/>
      </c>
      <c r="J285" s="0" t="str">
        <f aca="false">IF(I285="","",IF(H285-1&lt;הגדרות!$E$8*(הגדרות!$E$7+1),MOD(H285-1,הגדרות!$E$7+1),MOD(H285-1-הגדרות!$E$8*(הגדרות!$E$7+1),הגדרות!$E$7)))</f>
        <v/>
      </c>
      <c r="K285" s="0" t="str">
        <f aca="false">IF(I285="","",J285*הגדרות!$E$6+I285+1)</f>
        <v/>
      </c>
      <c r="L285" s="0" t="str">
        <f aca="false">IF(K285="","",MATCH(K285,$F$2:$F$5001,0))</f>
        <v/>
      </c>
      <c r="M285" s="0" t="str">
        <f aca="false">IF(I285="","",INDEX(הגדרות!$A$2:$A$21,MOD(I285+הגדרות!$E$9,הגדרות!$E$6)+1))</f>
        <v/>
      </c>
    </row>
    <row r="286" customFormat="false" ht="15" hidden="false" customHeight="false" outlineLevel="0" collapsed="false">
      <c r="A286" s="0" t="str">
        <f aca="false">IF('הדבקת לידים'!A286="","",IF(ISNUMBER('הדבקת לידים'!A286),IF(הגדרות!$E$2&gt;0,TEXT('הדבקת לידים'!A286,REPT("0",הגדרות!$E$2)),TEXT('הדבקת לידים'!A286,"0")),TRIM('הדבקת לידים'!A286)))</f>
        <v/>
      </c>
      <c r="B286" s="0" t="str">
        <f aca="false">IF('הדבקת לידים'!B286="","",IF(ISNUMBER('הדבקת לידים'!B286),IF(הגדרות!$E$3&gt;0,TEXT('הדבקת לידים'!B286,REPT("0",הגדרות!$E$3)),TEXT('הדבקת לידים'!B286,"0")),TRIM('הדבקת לידים'!B286)))</f>
        <v/>
      </c>
      <c r="C286" s="0" t="n">
        <f aca="false">IF(OR(A286&lt;&gt;"",B286&lt;&gt;""),1,0)</f>
        <v>0</v>
      </c>
      <c r="D286" s="0" t="str">
        <f aca="false">IF(C286=1,MOD(ABS(SIN(ROW()*12.9898+'הדבקת לידים'!$F$2*78.233+IFERROR(--RIGHT(A286,6),LEN(A286))*0.0137+IFERROR(--RIGHT(B286,6),LEN(B286))*0.0071))*43758.5453,1),"")</f>
        <v/>
      </c>
      <c r="E286" s="0" t="str">
        <f aca="false">IF(C286=1,INT(MOD(ABS(SIN(D286*7919.123+ROW()*0.618+'הדבקת לידים'!$F$2*1.3))*43758.5453,1)*1000000)*10000+ROW(),"")</f>
        <v/>
      </c>
      <c r="F286" s="0" t="str">
        <f aca="false">IF(E286="","",RANK(E286,$E$2:$E$5001,1))</f>
        <v/>
      </c>
      <c r="G286" s="0" t="n">
        <f aca="false">IF(A286="",0,IF(SUMPRODUCT(--($A$2:$A$5001=A286))&gt;1,1,0))</f>
        <v>0</v>
      </c>
      <c r="H286" s="0" t="n">
        <f aca="false">ROW()-1</f>
        <v>285</v>
      </c>
      <c r="I286" s="0" t="str">
        <f aca="false">IF(OR(הגדרות!$E$6=0,H286&gt;הגדרות!$E$5),"",IF(H286-1&lt;הגדרות!$E$8*(הגדרות!$E$7+1),INT((H286-1)/(הגדרות!$E$7+1)),הגדרות!$E$8+INT((H286-1-הגדרות!$E$8*(הגדרות!$E$7+1))/הגדרות!$E$7)))</f>
        <v/>
      </c>
      <c r="J286" s="0" t="str">
        <f aca="false">IF(I286="","",IF(H286-1&lt;הגדרות!$E$8*(הגדרות!$E$7+1),MOD(H286-1,הגדרות!$E$7+1),MOD(H286-1-הגדרות!$E$8*(הגדרות!$E$7+1),הגדרות!$E$7)))</f>
        <v/>
      </c>
      <c r="K286" s="0" t="str">
        <f aca="false">IF(I286="","",J286*הגדרות!$E$6+I286+1)</f>
        <v/>
      </c>
      <c r="L286" s="0" t="str">
        <f aca="false">IF(K286="","",MATCH(K286,$F$2:$F$5001,0))</f>
        <v/>
      </c>
      <c r="M286" s="0" t="str">
        <f aca="false">IF(I286="","",INDEX(הגדרות!$A$2:$A$21,MOD(I286+הגדרות!$E$9,הגדרות!$E$6)+1))</f>
        <v/>
      </c>
    </row>
    <row r="287" customFormat="false" ht="15" hidden="false" customHeight="false" outlineLevel="0" collapsed="false">
      <c r="A287" s="0" t="str">
        <f aca="false">IF('הדבקת לידים'!A287="","",IF(ISNUMBER('הדבקת לידים'!A287),IF(הגדרות!$E$2&gt;0,TEXT('הדבקת לידים'!A287,REPT("0",הגדרות!$E$2)),TEXT('הדבקת לידים'!A287,"0")),TRIM('הדבקת לידים'!A287)))</f>
        <v/>
      </c>
      <c r="B287" s="0" t="str">
        <f aca="false">IF('הדבקת לידים'!B287="","",IF(ISNUMBER('הדבקת לידים'!B287),IF(הגדרות!$E$3&gt;0,TEXT('הדבקת לידים'!B287,REPT("0",הגדרות!$E$3)),TEXT('הדבקת לידים'!B287,"0")),TRIM('הדבקת לידים'!B287)))</f>
        <v/>
      </c>
      <c r="C287" s="0" t="n">
        <f aca="false">IF(OR(A287&lt;&gt;"",B287&lt;&gt;""),1,0)</f>
        <v>0</v>
      </c>
      <c r="D287" s="0" t="str">
        <f aca="false">IF(C287=1,MOD(ABS(SIN(ROW()*12.9898+'הדבקת לידים'!$F$2*78.233+IFERROR(--RIGHT(A287,6),LEN(A287))*0.0137+IFERROR(--RIGHT(B287,6),LEN(B287))*0.0071))*43758.5453,1),"")</f>
        <v/>
      </c>
      <c r="E287" s="0" t="str">
        <f aca="false">IF(C287=1,INT(MOD(ABS(SIN(D287*7919.123+ROW()*0.618+'הדבקת לידים'!$F$2*1.3))*43758.5453,1)*1000000)*10000+ROW(),"")</f>
        <v/>
      </c>
      <c r="F287" s="0" t="str">
        <f aca="false">IF(E287="","",RANK(E287,$E$2:$E$5001,1))</f>
        <v/>
      </c>
      <c r="G287" s="0" t="n">
        <f aca="false">IF(A287="",0,IF(SUMPRODUCT(--($A$2:$A$5001=A287))&gt;1,1,0))</f>
        <v>0</v>
      </c>
      <c r="H287" s="0" t="n">
        <f aca="false">ROW()-1</f>
        <v>286</v>
      </c>
      <c r="I287" s="0" t="str">
        <f aca="false">IF(OR(הגדרות!$E$6=0,H287&gt;הגדרות!$E$5),"",IF(H287-1&lt;הגדרות!$E$8*(הגדרות!$E$7+1),INT((H287-1)/(הגדרות!$E$7+1)),הגדרות!$E$8+INT((H287-1-הגדרות!$E$8*(הגדרות!$E$7+1))/הגדרות!$E$7)))</f>
        <v/>
      </c>
      <c r="J287" s="0" t="str">
        <f aca="false">IF(I287="","",IF(H287-1&lt;הגדרות!$E$8*(הגדרות!$E$7+1),MOD(H287-1,הגדרות!$E$7+1),MOD(H287-1-הגדרות!$E$8*(הגדרות!$E$7+1),הגדרות!$E$7)))</f>
        <v/>
      </c>
      <c r="K287" s="0" t="str">
        <f aca="false">IF(I287="","",J287*הגדרות!$E$6+I287+1)</f>
        <v/>
      </c>
      <c r="L287" s="0" t="str">
        <f aca="false">IF(K287="","",MATCH(K287,$F$2:$F$5001,0))</f>
        <v/>
      </c>
      <c r="M287" s="0" t="str">
        <f aca="false">IF(I287="","",INDEX(הגדרות!$A$2:$A$21,MOD(I287+הגדרות!$E$9,הגדרות!$E$6)+1))</f>
        <v/>
      </c>
    </row>
    <row r="288" customFormat="false" ht="15" hidden="false" customHeight="false" outlineLevel="0" collapsed="false">
      <c r="A288" s="0" t="str">
        <f aca="false">IF('הדבקת לידים'!A288="","",IF(ISNUMBER('הדבקת לידים'!A288),IF(הגדרות!$E$2&gt;0,TEXT('הדבקת לידים'!A288,REPT("0",הגדרות!$E$2)),TEXT('הדבקת לידים'!A288,"0")),TRIM('הדבקת לידים'!A288)))</f>
        <v/>
      </c>
      <c r="B288" s="0" t="str">
        <f aca="false">IF('הדבקת לידים'!B288="","",IF(ISNUMBER('הדבקת לידים'!B288),IF(הגדרות!$E$3&gt;0,TEXT('הדבקת לידים'!B288,REPT("0",הגדרות!$E$3)),TEXT('הדבקת לידים'!B288,"0")),TRIM('הדבקת לידים'!B288)))</f>
        <v/>
      </c>
      <c r="C288" s="0" t="n">
        <f aca="false">IF(OR(A288&lt;&gt;"",B288&lt;&gt;""),1,0)</f>
        <v>0</v>
      </c>
      <c r="D288" s="0" t="str">
        <f aca="false">IF(C288=1,MOD(ABS(SIN(ROW()*12.9898+'הדבקת לידים'!$F$2*78.233+IFERROR(--RIGHT(A288,6),LEN(A288))*0.0137+IFERROR(--RIGHT(B288,6),LEN(B288))*0.0071))*43758.5453,1),"")</f>
        <v/>
      </c>
      <c r="E288" s="0" t="str">
        <f aca="false">IF(C288=1,INT(MOD(ABS(SIN(D288*7919.123+ROW()*0.618+'הדבקת לידים'!$F$2*1.3))*43758.5453,1)*1000000)*10000+ROW(),"")</f>
        <v/>
      </c>
      <c r="F288" s="0" t="str">
        <f aca="false">IF(E288="","",RANK(E288,$E$2:$E$5001,1))</f>
        <v/>
      </c>
      <c r="G288" s="0" t="n">
        <f aca="false">IF(A288="",0,IF(SUMPRODUCT(--($A$2:$A$5001=A288))&gt;1,1,0))</f>
        <v>0</v>
      </c>
      <c r="H288" s="0" t="n">
        <f aca="false">ROW()-1</f>
        <v>287</v>
      </c>
      <c r="I288" s="0" t="str">
        <f aca="false">IF(OR(הגדרות!$E$6=0,H288&gt;הגדרות!$E$5),"",IF(H288-1&lt;הגדרות!$E$8*(הגדרות!$E$7+1),INT((H288-1)/(הגדרות!$E$7+1)),הגדרות!$E$8+INT((H288-1-הגדרות!$E$8*(הגדרות!$E$7+1))/הגדרות!$E$7)))</f>
        <v/>
      </c>
      <c r="J288" s="0" t="str">
        <f aca="false">IF(I288="","",IF(H288-1&lt;הגדרות!$E$8*(הגדרות!$E$7+1),MOD(H288-1,הגדרות!$E$7+1),MOD(H288-1-הגדרות!$E$8*(הגדרות!$E$7+1),הגדרות!$E$7)))</f>
        <v/>
      </c>
      <c r="K288" s="0" t="str">
        <f aca="false">IF(I288="","",J288*הגדרות!$E$6+I288+1)</f>
        <v/>
      </c>
      <c r="L288" s="0" t="str">
        <f aca="false">IF(K288="","",MATCH(K288,$F$2:$F$5001,0))</f>
        <v/>
      </c>
      <c r="M288" s="0" t="str">
        <f aca="false">IF(I288="","",INDEX(הגדרות!$A$2:$A$21,MOD(I288+הגדרות!$E$9,הגדרות!$E$6)+1))</f>
        <v/>
      </c>
    </row>
    <row r="289" customFormat="false" ht="15" hidden="false" customHeight="false" outlineLevel="0" collapsed="false">
      <c r="A289" s="0" t="str">
        <f aca="false">IF('הדבקת לידים'!A289="","",IF(ISNUMBER('הדבקת לידים'!A289),IF(הגדרות!$E$2&gt;0,TEXT('הדבקת לידים'!A289,REPT("0",הגדרות!$E$2)),TEXT('הדבקת לידים'!A289,"0")),TRIM('הדבקת לידים'!A289)))</f>
        <v/>
      </c>
      <c r="B289" s="0" t="str">
        <f aca="false">IF('הדבקת לידים'!B289="","",IF(ISNUMBER('הדבקת לידים'!B289),IF(הגדרות!$E$3&gt;0,TEXT('הדבקת לידים'!B289,REPT("0",הגדרות!$E$3)),TEXT('הדבקת לידים'!B289,"0")),TRIM('הדבקת לידים'!B289)))</f>
        <v/>
      </c>
      <c r="C289" s="0" t="n">
        <f aca="false">IF(OR(A289&lt;&gt;"",B289&lt;&gt;""),1,0)</f>
        <v>0</v>
      </c>
      <c r="D289" s="0" t="str">
        <f aca="false">IF(C289=1,MOD(ABS(SIN(ROW()*12.9898+'הדבקת לידים'!$F$2*78.233+IFERROR(--RIGHT(A289,6),LEN(A289))*0.0137+IFERROR(--RIGHT(B289,6),LEN(B289))*0.0071))*43758.5453,1),"")</f>
        <v/>
      </c>
      <c r="E289" s="0" t="str">
        <f aca="false">IF(C289=1,INT(MOD(ABS(SIN(D289*7919.123+ROW()*0.618+'הדבקת לידים'!$F$2*1.3))*43758.5453,1)*1000000)*10000+ROW(),"")</f>
        <v/>
      </c>
      <c r="F289" s="0" t="str">
        <f aca="false">IF(E289="","",RANK(E289,$E$2:$E$5001,1))</f>
        <v/>
      </c>
      <c r="G289" s="0" t="n">
        <f aca="false">IF(A289="",0,IF(SUMPRODUCT(--($A$2:$A$5001=A289))&gt;1,1,0))</f>
        <v>0</v>
      </c>
      <c r="H289" s="0" t="n">
        <f aca="false">ROW()-1</f>
        <v>288</v>
      </c>
      <c r="I289" s="0" t="str">
        <f aca="false">IF(OR(הגדרות!$E$6=0,H289&gt;הגדרות!$E$5),"",IF(H289-1&lt;הגדרות!$E$8*(הגדרות!$E$7+1),INT((H289-1)/(הגדרות!$E$7+1)),הגדרות!$E$8+INT((H289-1-הגדרות!$E$8*(הגדרות!$E$7+1))/הגדרות!$E$7)))</f>
        <v/>
      </c>
      <c r="J289" s="0" t="str">
        <f aca="false">IF(I289="","",IF(H289-1&lt;הגדרות!$E$8*(הגדרות!$E$7+1),MOD(H289-1,הגדרות!$E$7+1),MOD(H289-1-הגדרות!$E$8*(הגדרות!$E$7+1),הגדרות!$E$7)))</f>
        <v/>
      </c>
      <c r="K289" s="0" t="str">
        <f aca="false">IF(I289="","",J289*הגדרות!$E$6+I289+1)</f>
        <v/>
      </c>
      <c r="L289" s="0" t="str">
        <f aca="false">IF(K289="","",MATCH(K289,$F$2:$F$5001,0))</f>
        <v/>
      </c>
      <c r="M289" s="0" t="str">
        <f aca="false">IF(I289="","",INDEX(הגדרות!$A$2:$A$21,MOD(I289+הגדרות!$E$9,הגדרות!$E$6)+1))</f>
        <v/>
      </c>
    </row>
    <row r="290" customFormat="false" ht="15" hidden="false" customHeight="false" outlineLevel="0" collapsed="false">
      <c r="A290" s="0" t="str">
        <f aca="false">IF('הדבקת לידים'!A290="","",IF(ISNUMBER('הדבקת לידים'!A290),IF(הגדרות!$E$2&gt;0,TEXT('הדבקת לידים'!A290,REPT("0",הגדרות!$E$2)),TEXT('הדבקת לידים'!A290,"0")),TRIM('הדבקת לידים'!A290)))</f>
        <v/>
      </c>
      <c r="B290" s="0" t="str">
        <f aca="false">IF('הדבקת לידים'!B290="","",IF(ISNUMBER('הדבקת לידים'!B290),IF(הגדרות!$E$3&gt;0,TEXT('הדבקת לידים'!B290,REPT("0",הגדרות!$E$3)),TEXT('הדבקת לידים'!B290,"0")),TRIM('הדבקת לידים'!B290)))</f>
        <v/>
      </c>
      <c r="C290" s="0" t="n">
        <f aca="false">IF(OR(A290&lt;&gt;"",B290&lt;&gt;""),1,0)</f>
        <v>0</v>
      </c>
      <c r="D290" s="0" t="str">
        <f aca="false">IF(C290=1,MOD(ABS(SIN(ROW()*12.9898+'הדבקת לידים'!$F$2*78.233+IFERROR(--RIGHT(A290,6),LEN(A290))*0.0137+IFERROR(--RIGHT(B290,6),LEN(B290))*0.0071))*43758.5453,1),"")</f>
        <v/>
      </c>
      <c r="E290" s="0" t="str">
        <f aca="false">IF(C290=1,INT(MOD(ABS(SIN(D290*7919.123+ROW()*0.618+'הדבקת לידים'!$F$2*1.3))*43758.5453,1)*1000000)*10000+ROW(),"")</f>
        <v/>
      </c>
      <c r="F290" s="0" t="str">
        <f aca="false">IF(E290="","",RANK(E290,$E$2:$E$5001,1))</f>
        <v/>
      </c>
      <c r="G290" s="0" t="n">
        <f aca="false">IF(A290="",0,IF(SUMPRODUCT(--($A$2:$A$5001=A290))&gt;1,1,0))</f>
        <v>0</v>
      </c>
      <c r="H290" s="0" t="n">
        <f aca="false">ROW()-1</f>
        <v>289</v>
      </c>
      <c r="I290" s="0" t="str">
        <f aca="false">IF(OR(הגדרות!$E$6=0,H290&gt;הגדרות!$E$5),"",IF(H290-1&lt;הגדרות!$E$8*(הגדרות!$E$7+1),INT((H290-1)/(הגדרות!$E$7+1)),הגדרות!$E$8+INT((H290-1-הגדרות!$E$8*(הגדרות!$E$7+1))/הגדרות!$E$7)))</f>
        <v/>
      </c>
      <c r="J290" s="0" t="str">
        <f aca="false">IF(I290="","",IF(H290-1&lt;הגדרות!$E$8*(הגדרות!$E$7+1),MOD(H290-1,הגדרות!$E$7+1),MOD(H290-1-הגדרות!$E$8*(הגדרות!$E$7+1),הגדרות!$E$7)))</f>
        <v/>
      </c>
      <c r="K290" s="0" t="str">
        <f aca="false">IF(I290="","",J290*הגדרות!$E$6+I290+1)</f>
        <v/>
      </c>
      <c r="L290" s="0" t="str">
        <f aca="false">IF(K290="","",MATCH(K290,$F$2:$F$5001,0))</f>
        <v/>
      </c>
      <c r="M290" s="0" t="str">
        <f aca="false">IF(I290="","",INDEX(הגדרות!$A$2:$A$21,MOD(I290+הגדרות!$E$9,הגדרות!$E$6)+1))</f>
        <v/>
      </c>
    </row>
    <row r="291" customFormat="false" ht="15" hidden="false" customHeight="false" outlineLevel="0" collapsed="false">
      <c r="A291" s="0" t="str">
        <f aca="false">IF('הדבקת לידים'!A291="","",IF(ISNUMBER('הדבקת לידים'!A291),IF(הגדרות!$E$2&gt;0,TEXT('הדבקת לידים'!A291,REPT("0",הגדרות!$E$2)),TEXT('הדבקת לידים'!A291,"0")),TRIM('הדבקת לידים'!A291)))</f>
        <v/>
      </c>
      <c r="B291" s="0" t="str">
        <f aca="false">IF('הדבקת לידים'!B291="","",IF(ISNUMBER('הדבקת לידים'!B291),IF(הגדרות!$E$3&gt;0,TEXT('הדבקת לידים'!B291,REPT("0",הגדרות!$E$3)),TEXT('הדבקת לידים'!B291,"0")),TRIM('הדבקת לידים'!B291)))</f>
        <v/>
      </c>
      <c r="C291" s="0" t="n">
        <f aca="false">IF(OR(A291&lt;&gt;"",B291&lt;&gt;""),1,0)</f>
        <v>0</v>
      </c>
      <c r="D291" s="0" t="str">
        <f aca="false">IF(C291=1,MOD(ABS(SIN(ROW()*12.9898+'הדבקת לידים'!$F$2*78.233+IFERROR(--RIGHT(A291,6),LEN(A291))*0.0137+IFERROR(--RIGHT(B291,6),LEN(B291))*0.0071))*43758.5453,1),"")</f>
        <v/>
      </c>
      <c r="E291" s="0" t="str">
        <f aca="false">IF(C291=1,INT(MOD(ABS(SIN(D291*7919.123+ROW()*0.618+'הדבקת לידים'!$F$2*1.3))*43758.5453,1)*1000000)*10000+ROW(),"")</f>
        <v/>
      </c>
      <c r="F291" s="0" t="str">
        <f aca="false">IF(E291="","",RANK(E291,$E$2:$E$5001,1))</f>
        <v/>
      </c>
      <c r="G291" s="0" t="n">
        <f aca="false">IF(A291="",0,IF(SUMPRODUCT(--($A$2:$A$5001=A291))&gt;1,1,0))</f>
        <v>0</v>
      </c>
      <c r="H291" s="0" t="n">
        <f aca="false">ROW()-1</f>
        <v>290</v>
      </c>
      <c r="I291" s="0" t="str">
        <f aca="false">IF(OR(הגדרות!$E$6=0,H291&gt;הגדרות!$E$5),"",IF(H291-1&lt;הגדרות!$E$8*(הגדרות!$E$7+1),INT((H291-1)/(הגדרות!$E$7+1)),הגדרות!$E$8+INT((H291-1-הגדרות!$E$8*(הגדרות!$E$7+1))/הגדרות!$E$7)))</f>
        <v/>
      </c>
      <c r="J291" s="0" t="str">
        <f aca="false">IF(I291="","",IF(H291-1&lt;הגדרות!$E$8*(הגדרות!$E$7+1),MOD(H291-1,הגדרות!$E$7+1),MOD(H291-1-הגדרות!$E$8*(הגדרות!$E$7+1),הגדרות!$E$7)))</f>
        <v/>
      </c>
      <c r="K291" s="0" t="str">
        <f aca="false">IF(I291="","",J291*הגדרות!$E$6+I291+1)</f>
        <v/>
      </c>
      <c r="L291" s="0" t="str">
        <f aca="false">IF(K291="","",MATCH(K291,$F$2:$F$5001,0))</f>
        <v/>
      </c>
      <c r="M291" s="0" t="str">
        <f aca="false">IF(I291="","",INDEX(הגדרות!$A$2:$A$21,MOD(I291+הגדרות!$E$9,הגדרות!$E$6)+1))</f>
        <v/>
      </c>
    </row>
    <row r="292" customFormat="false" ht="15" hidden="false" customHeight="false" outlineLevel="0" collapsed="false">
      <c r="A292" s="0" t="str">
        <f aca="false">IF('הדבקת לידים'!A292="","",IF(ISNUMBER('הדבקת לידים'!A292),IF(הגדרות!$E$2&gt;0,TEXT('הדבקת לידים'!A292,REPT("0",הגדרות!$E$2)),TEXT('הדבקת לידים'!A292,"0")),TRIM('הדבקת לידים'!A292)))</f>
        <v/>
      </c>
      <c r="B292" s="0" t="str">
        <f aca="false">IF('הדבקת לידים'!B292="","",IF(ISNUMBER('הדבקת לידים'!B292),IF(הגדרות!$E$3&gt;0,TEXT('הדבקת לידים'!B292,REPT("0",הגדרות!$E$3)),TEXT('הדבקת לידים'!B292,"0")),TRIM('הדבקת לידים'!B292)))</f>
        <v/>
      </c>
      <c r="C292" s="0" t="n">
        <f aca="false">IF(OR(A292&lt;&gt;"",B292&lt;&gt;""),1,0)</f>
        <v>0</v>
      </c>
      <c r="D292" s="0" t="str">
        <f aca="false">IF(C292=1,MOD(ABS(SIN(ROW()*12.9898+'הדבקת לידים'!$F$2*78.233+IFERROR(--RIGHT(A292,6),LEN(A292))*0.0137+IFERROR(--RIGHT(B292,6),LEN(B292))*0.0071))*43758.5453,1),"")</f>
        <v/>
      </c>
      <c r="E292" s="0" t="str">
        <f aca="false">IF(C292=1,INT(MOD(ABS(SIN(D292*7919.123+ROW()*0.618+'הדבקת לידים'!$F$2*1.3))*43758.5453,1)*1000000)*10000+ROW(),"")</f>
        <v/>
      </c>
      <c r="F292" s="0" t="str">
        <f aca="false">IF(E292="","",RANK(E292,$E$2:$E$5001,1))</f>
        <v/>
      </c>
      <c r="G292" s="0" t="n">
        <f aca="false">IF(A292="",0,IF(SUMPRODUCT(--($A$2:$A$5001=A292))&gt;1,1,0))</f>
        <v>0</v>
      </c>
      <c r="H292" s="0" t="n">
        <f aca="false">ROW()-1</f>
        <v>291</v>
      </c>
      <c r="I292" s="0" t="str">
        <f aca="false">IF(OR(הגדרות!$E$6=0,H292&gt;הגדרות!$E$5),"",IF(H292-1&lt;הגדרות!$E$8*(הגדרות!$E$7+1),INT((H292-1)/(הגדרות!$E$7+1)),הגדרות!$E$8+INT((H292-1-הגדרות!$E$8*(הגדרות!$E$7+1))/הגדרות!$E$7)))</f>
        <v/>
      </c>
      <c r="J292" s="0" t="str">
        <f aca="false">IF(I292="","",IF(H292-1&lt;הגדרות!$E$8*(הגדרות!$E$7+1),MOD(H292-1,הגדרות!$E$7+1),MOD(H292-1-הגדרות!$E$8*(הגדרות!$E$7+1),הגדרות!$E$7)))</f>
        <v/>
      </c>
      <c r="K292" s="0" t="str">
        <f aca="false">IF(I292="","",J292*הגדרות!$E$6+I292+1)</f>
        <v/>
      </c>
      <c r="L292" s="0" t="str">
        <f aca="false">IF(K292="","",MATCH(K292,$F$2:$F$5001,0))</f>
        <v/>
      </c>
      <c r="M292" s="0" t="str">
        <f aca="false">IF(I292="","",INDEX(הגדרות!$A$2:$A$21,MOD(I292+הגדרות!$E$9,הגדרות!$E$6)+1))</f>
        <v/>
      </c>
    </row>
    <row r="293" customFormat="false" ht="15" hidden="false" customHeight="false" outlineLevel="0" collapsed="false">
      <c r="A293" s="0" t="str">
        <f aca="false">IF('הדבקת לידים'!A293="","",IF(ISNUMBER('הדבקת לידים'!A293),IF(הגדרות!$E$2&gt;0,TEXT('הדבקת לידים'!A293,REPT("0",הגדרות!$E$2)),TEXT('הדבקת לידים'!A293,"0")),TRIM('הדבקת לידים'!A293)))</f>
        <v/>
      </c>
      <c r="B293" s="0" t="str">
        <f aca="false">IF('הדבקת לידים'!B293="","",IF(ISNUMBER('הדבקת לידים'!B293),IF(הגדרות!$E$3&gt;0,TEXT('הדבקת לידים'!B293,REPT("0",הגדרות!$E$3)),TEXT('הדבקת לידים'!B293,"0")),TRIM('הדבקת לידים'!B293)))</f>
        <v/>
      </c>
      <c r="C293" s="0" t="n">
        <f aca="false">IF(OR(A293&lt;&gt;"",B293&lt;&gt;""),1,0)</f>
        <v>0</v>
      </c>
      <c r="D293" s="0" t="str">
        <f aca="false">IF(C293=1,MOD(ABS(SIN(ROW()*12.9898+'הדבקת לידים'!$F$2*78.233+IFERROR(--RIGHT(A293,6),LEN(A293))*0.0137+IFERROR(--RIGHT(B293,6),LEN(B293))*0.0071))*43758.5453,1),"")</f>
        <v/>
      </c>
      <c r="E293" s="0" t="str">
        <f aca="false">IF(C293=1,INT(MOD(ABS(SIN(D293*7919.123+ROW()*0.618+'הדבקת לידים'!$F$2*1.3))*43758.5453,1)*1000000)*10000+ROW(),"")</f>
        <v/>
      </c>
      <c r="F293" s="0" t="str">
        <f aca="false">IF(E293="","",RANK(E293,$E$2:$E$5001,1))</f>
        <v/>
      </c>
      <c r="G293" s="0" t="n">
        <f aca="false">IF(A293="",0,IF(SUMPRODUCT(--($A$2:$A$5001=A293))&gt;1,1,0))</f>
        <v>0</v>
      </c>
      <c r="H293" s="0" t="n">
        <f aca="false">ROW()-1</f>
        <v>292</v>
      </c>
      <c r="I293" s="0" t="str">
        <f aca="false">IF(OR(הגדרות!$E$6=0,H293&gt;הגדרות!$E$5),"",IF(H293-1&lt;הגדרות!$E$8*(הגדרות!$E$7+1),INT((H293-1)/(הגדרות!$E$7+1)),הגדרות!$E$8+INT((H293-1-הגדרות!$E$8*(הגדרות!$E$7+1))/הגדרות!$E$7)))</f>
        <v/>
      </c>
      <c r="J293" s="0" t="str">
        <f aca="false">IF(I293="","",IF(H293-1&lt;הגדרות!$E$8*(הגדרות!$E$7+1),MOD(H293-1,הגדרות!$E$7+1),MOD(H293-1-הגדרות!$E$8*(הגדרות!$E$7+1),הגדרות!$E$7)))</f>
        <v/>
      </c>
      <c r="K293" s="0" t="str">
        <f aca="false">IF(I293="","",J293*הגדרות!$E$6+I293+1)</f>
        <v/>
      </c>
      <c r="L293" s="0" t="str">
        <f aca="false">IF(K293="","",MATCH(K293,$F$2:$F$5001,0))</f>
        <v/>
      </c>
      <c r="M293" s="0" t="str">
        <f aca="false">IF(I293="","",INDEX(הגדרות!$A$2:$A$21,MOD(I293+הגדרות!$E$9,הגדרות!$E$6)+1))</f>
        <v/>
      </c>
    </row>
    <row r="294" customFormat="false" ht="15" hidden="false" customHeight="false" outlineLevel="0" collapsed="false">
      <c r="A294" s="0" t="str">
        <f aca="false">IF('הדבקת לידים'!A294="","",IF(ISNUMBER('הדבקת לידים'!A294),IF(הגדרות!$E$2&gt;0,TEXT('הדבקת לידים'!A294,REPT("0",הגדרות!$E$2)),TEXT('הדבקת לידים'!A294,"0")),TRIM('הדבקת לידים'!A294)))</f>
        <v/>
      </c>
      <c r="B294" s="0" t="str">
        <f aca="false">IF('הדבקת לידים'!B294="","",IF(ISNUMBER('הדבקת לידים'!B294),IF(הגדרות!$E$3&gt;0,TEXT('הדבקת לידים'!B294,REPT("0",הגדרות!$E$3)),TEXT('הדבקת לידים'!B294,"0")),TRIM('הדבקת לידים'!B294)))</f>
        <v/>
      </c>
      <c r="C294" s="0" t="n">
        <f aca="false">IF(OR(A294&lt;&gt;"",B294&lt;&gt;""),1,0)</f>
        <v>0</v>
      </c>
      <c r="D294" s="0" t="str">
        <f aca="false">IF(C294=1,MOD(ABS(SIN(ROW()*12.9898+'הדבקת לידים'!$F$2*78.233+IFERROR(--RIGHT(A294,6),LEN(A294))*0.0137+IFERROR(--RIGHT(B294,6),LEN(B294))*0.0071))*43758.5453,1),"")</f>
        <v/>
      </c>
      <c r="E294" s="0" t="str">
        <f aca="false">IF(C294=1,INT(MOD(ABS(SIN(D294*7919.123+ROW()*0.618+'הדבקת לידים'!$F$2*1.3))*43758.5453,1)*1000000)*10000+ROW(),"")</f>
        <v/>
      </c>
      <c r="F294" s="0" t="str">
        <f aca="false">IF(E294="","",RANK(E294,$E$2:$E$5001,1))</f>
        <v/>
      </c>
      <c r="G294" s="0" t="n">
        <f aca="false">IF(A294="",0,IF(SUMPRODUCT(--($A$2:$A$5001=A294))&gt;1,1,0))</f>
        <v>0</v>
      </c>
      <c r="H294" s="0" t="n">
        <f aca="false">ROW()-1</f>
        <v>293</v>
      </c>
      <c r="I294" s="0" t="str">
        <f aca="false">IF(OR(הגדרות!$E$6=0,H294&gt;הגדרות!$E$5),"",IF(H294-1&lt;הגדרות!$E$8*(הגדרות!$E$7+1),INT((H294-1)/(הגדרות!$E$7+1)),הגדרות!$E$8+INT((H294-1-הגדרות!$E$8*(הגדרות!$E$7+1))/הגדרות!$E$7)))</f>
        <v/>
      </c>
      <c r="J294" s="0" t="str">
        <f aca="false">IF(I294="","",IF(H294-1&lt;הגדרות!$E$8*(הגדרות!$E$7+1),MOD(H294-1,הגדרות!$E$7+1),MOD(H294-1-הגדרות!$E$8*(הגדרות!$E$7+1),הגדרות!$E$7)))</f>
        <v/>
      </c>
      <c r="K294" s="0" t="str">
        <f aca="false">IF(I294="","",J294*הגדרות!$E$6+I294+1)</f>
        <v/>
      </c>
      <c r="L294" s="0" t="str">
        <f aca="false">IF(K294="","",MATCH(K294,$F$2:$F$5001,0))</f>
        <v/>
      </c>
      <c r="M294" s="0" t="str">
        <f aca="false">IF(I294="","",INDEX(הגדרות!$A$2:$A$21,MOD(I294+הגדרות!$E$9,הגדרות!$E$6)+1))</f>
        <v/>
      </c>
    </row>
    <row r="295" customFormat="false" ht="15" hidden="false" customHeight="false" outlineLevel="0" collapsed="false">
      <c r="A295" s="0" t="str">
        <f aca="false">IF('הדבקת לידים'!A295="","",IF(ISNUMBER('הדבקת לידים'!A295),IF(הגדרות!$E$2&gt;0,TEXT('הדבקת לידים'!A295,REPT("0",הגדרות!$E$2)),TEXT('הדבקת לידים'!A295,"0")),TRIM('הדבקת לידים'!A295)))</f>
        <v/>
      </c>
      <c r="B295" s="0" t="str">
        <f aca="false">IF('הדבקת לידים'!B295="","",IF(ISNUMBER('הדבקת לידים'!B295),IF(הגדרות!$E$3&gt;0,TEXT('הדבקת לידים'!B295,REPT("0",הגדרות!$E$3)),TEXT('הדבקת לידים'!B295,"0")),TRIM('הדבקת לידים'!B295)))</f>
        <v/>
      </c>
      <c r="C295" s="0" t="n">
        <f aca="false">IF(OR(A295&lt;&gt;"",B295&lt;&gt;""),1,0)</f>
        <v>0</v>
      </c>
      <c r="D295" s="0" t="str">
        <f aca="false">IF(C295=1,MOD(ABS(SIN(ROW()*12.9898+'הדבקת לידים'!$F$2*78.233+IFERROR(--RIGHT(A295,6),LEN(A295))*0.0137+IFERROR(--RIGHT(B295,6),LEN(B295))*0.0071))*43758.5453,1),"")</f>
        <v/>
      </c>
      <c r="E295" s="0" t="str">
        <f aca="false">IF(C295=1,INT(MOD(ABS(SIN(D295*7919.123+ROW()*0.618+'הדבקת לידים'!$F$2*1.3))*43758.5453,1)*1000000)*10000+ROW(),"")</f>
        <v/>
      </c>
      <c r="F295" s="0" t="str">
        <f aca="false">IF(E295="","",RANK(E295,$E$2:$E$5001,1))</f>
        <v/>
      </c>
      <c r="G295" s="0" t="n">
        <f aca="false">IF(A295="",0,IF(SUMPRODUCT(--($A$2:$A$5001=A295))&gt;1,1,0))</f>
        <v>0</v>
      </c>
      <c r="H295" s="0" t="n">
        <f aca="false">ROW()-1</f>
        <v>294</v>
      </c>
      <c r="I295" s="0" t="str">
        <f aca="false">IF(OR(הגדרות!$E$6=0,H295&gt;הגדרות!$E$5),"",IF(H295-1&lt;הגדרות!$E$8*(הגדרות!$E$7+1),INT((H295-1)/(הגדרות!$E$7+1)),הגדרות!$E$8+INT((H295-1-הגדרות!$E$8*(הגדרות!$E$7+1))/הגדרות!$E$7)))</f>
        <v/>
      </c>
      <c r="J295" s="0" t="str">
        <f aca="false">IF(I295="","",IF(H295-1&lt;הגדרות!$E$8*(הגדרות!$E$7+1),MOD(H295-1,הגדרות!$E$7+1),MOD(H295-1-הגדרות!$E$8*(הגדרות!$E$7+1),הגדרות!$E$7)))</f>
        <v/>
      </c>
      <c r="K295" s="0" t="str">
        <f aca="false">IF(I295="","",J295*הגדרות!$E$6+I295+1)</f>
        <v/>
      </c>
      <c r="L295" s="0" t="str">
        <f aca="false">IF(K295="","",MATCH(K295,$F$2:$F$5001,0))</f>
        <v/>
      </c>
      <c r="M295" s="0" t="str">
        <f aca="false">IF(I295="","",INDEX(הגדרות!$A$2:$A$21,MOD(I295+הגדרות!$E$9,הגדרות!$E$6)+1))</f>
        <v/>
      </c>
    </row>
    <row r="296" customFormat="false" ht="15" hidden="false" customHeight="false" outlineLevel="0" collapsed="false">
      <c r="A296" s="0" t="str">
        <f aca="false">IF('הדבקת לידים'!A296="","",IF(ISNUMBER('הדבקת לידים'!A296),IF(הגדרות!$E$2&gt;0,TEXT('הדבקת לידים'!A296,REPT("0",הגדרות!$E$2)),TEXT('הדבקת לידים'!A296,"0")),TRIM('הדבקת לידים'!A296)))</f>
        <v/>
      </c>
      <c r="B296" s="0" t="str">
        <f aca="false">IF('הדבקת לידים'!B296="","",IF(ISNUMBER('הדבקת לידים'!B296),IF(הגדרות!$E$3&gt;0,TEXT('הדבקת לידים'!B296,REPT("0",הגדרות!$E$3)),TEXT('הדבקת לידים'!B296,"0")),TRIM('הדבקת לידים'!B296)))</f>
        <v/>
      </c>
      <c r="C296" s="0" t="n">
        <f aca="false">IF(OR(A296&lt;&gt;"",B296&lt;&gt;""),1,0)</f>
        <v>0</v>
      </c>
      <c r="D296" s="0" t="str">
        <f aca="false">IF(C296=1,MOD(ABS(SIN(ROW()*12.9898+'הדבקת לידים'!$F$2*78.233+IFERROR(--RIGHT(A296,6),LEN(A296))*0.0137+IFERROR(--RIGHT(B296,6),LEN(B296))*0.0071))*43758.5453,1),"")</f>
        <v/>
      </c>
      <c r="E296" s="0" t="str">
        <f aca="false">IF(C296=1,INT(MOD(ABS(SIN(D296*7919.123+ROW()*0.618+'הדבקת לידים'!$F$2*1.3))*43758.5453,1)*1000000)*10000+ROW(),"")</f>
        <v/>
      </c>
      <c r="F296" s="0" t="str">
        <f aca="false">IF(E296="","",RANK(E296,$E$2:$E$5001,1))</f>
        <v/>
      </c>
      <c r="G296" s="0" t="n">
        <f aca="false">IF(A296="",0,IF(SUMPRODUCT(--($A$2:$A$5001=A296))&gt;1,1,0))</f>
        <v>0</v>
      </c>
      <c r="H296" s="0" t="n">
        <f aca="false">ROW()-1</f>
        <v>295</v>
      </c>
      <c r="I296" s="0" t="str">
        <f aca="false">IF(OR(הגדרות!$E$6=0,H296&gt;הגדרות!$E$5),"",IF(H296-1&lt;הגדרות!$E$8*(הגדרות!$E$7+1),INT((H296-1)/(הגדרות!$E$7+1)),הגדרות!$E$8+INT((H296-1-הגדרות!$E$8*(הגדרות!$E$7+1))/הגדרות!$E$7)))</f>
        <v/>
      </c>
      <c r="J296" s="0" t="str">
        <f aca="false">IF(I296="","",IF(H296-1&lt;הגדרות!$E$8*(הגדרות!$E$7+1),MOD(H296-1,הגדרות!$E$7+1),MOD(H296-1-הגדרות!$E$8*(הגדרות!$E$7+1),הגדרות!$E$7)))</f>
        <v/>
      </c>
      <c r="K296" s="0" t="str">
        <f aca="false">IF(I296="","",J296*הגדרות!$E$6+I296+1)</f>
        <v/>
      </c>
      <c r="L296" s="0" t="str">
        <f aca="false">IF(K296="","",MATCH(K296,$F$2:$F$5001,0))</f>
        <v/>
      </c>
      <c r="M296" s="0" t="str">
        <f aca="false">IF(I296="","",INDEX(הגדרות!$A$2:$A$21,MOD(I296+הגדרות!$E$9,הגדרות!$E$6)+1))</f>
        <v/>
      </c>
    </row>
    <row r="297" customFormat="false" ht="15" hidden="false" customHeight="false" outlineLevel="0" collapsed="false">
      <c r="A297" s="0" t="str">
        <f aca="false">IF('הדבקת לידים'!A297="","",IF(ISNUMBER('הדבקת לידים'!A297),IF(הגדרות!$E$2&gt;0,TEXT('הדבקת לידים'!A297,REPT("0",הגדרות!$E$2)),TEXT('הדבקת לידים'!A297,"0")),TRIM('הדבקת לידים'!A297)))</f>
        <v/>
      </c>
      <c r="B297" s="0" t="str">
        <f aca="false">IF('הדבקת לידים'!B297="","",IF(ISNUMBER('הדבקת לידים'!B297),IF(הגדרות!$E$3&gt;0,TEXT('הדבקת לידים'!B297,REPT("0",הגדרות!$E$3)),TEXT('הדבקת לידים'!B297,"0")),TRIM('הדבקת לידים'!B297)))</f>
        <v/>
      </c>
      <c r="C297" s="0" t="n">
        <f aca="false">IF(OR(A297&lt;&gt;"",B297&lt;&gt;""),1,0)</f>
        <v>0</v>
      </c>
      <c r="D297" s="0" t="str">
        <f aca="false">IF(C297=1,MOD(ABS(SIN(ROW()*12.9898+'הדבקת לידים'!$F$2*78.233+IFERROR(--RIGHT(A297,6),LEN(A297))*0.0137+IFERROR(--RIGHT(B297,6),LEN(B297))*0.0071))*43758.5453,1),"")</f>
        <v/>
      </c>
      <c r="E297" s="0" t="str">
        <f aca="false">IF(C297=1,INT(MOD(ABS(SIN(D297*7919.123+ROW()*0.618+'הדבקת לידים'!$F$2*1.3))*43758.5453,1)*1000000)*10000+ROW(),"")</f>
        <v/>
      </c>
      <c r="F297" s="0" t="str">
        <f aca="false">IF(E297="","",RANK(E297,$E$2:$E$5001,1))</f>
        <v/>
      </c>
      <c r="G297" s="0" t="n">
        <f aca="false">IF(A297="",0,IF(SUMPRODUCT(--($A$2:$A$5001=A297))&gt;1,1,0))</f>
        <v>0</v>
      </c>
      <c r="H297" s="0" t="n">
        <f aca="false">ROW()-1</f>
        <v>296</v>
      </c>
      <c r="I297" s="0" t="str">
        <f aca="false">IF(OR(הגדרות!$E$6=0,H297&gt;הגדרות!$E$5),"",IF(H297-1&lt;הגדרות!$E$8*(הגדרות!$E$7+1),INT((H297-1)/(הגדרות!$E$7+1)),הגדרות!$E$8+INT((H297-1-הגדרות!$E$8*(הגדרות!$E$7+1))/הגדרות!$E$7)))</f>
        <v/>
      </c>
      <c r="J297" s="0" t="str">
        <f aca="false">IF(I297="","",IF(H297-1&lt;הגדרות!$E$8*(הגדרות!$E$7+1),MOD(H297-1,הגדרות!$E$7+1),MOD(H297-1-הגדרות!$E$8*(הגדרות!$E$7+1),הגדרות!$E$7)))</f>
        <v/>
      </c>
      <c r="K297" s="0" t="str">
        <f aca="false">IF(I297="","",J297*הגדרות!$E$6+I297+1)</f>
        <v/>
      </c>
      <c r="L297" s="0" t="str">
        <f aca="false">IF(K297="","",MATCH(K297,$F$2:$F$5001,0))</f>
        <v/>
      </c>
      <c r="M297" s="0" t="str">
        <f aca="false">IF(I297="","",INDEX(הגדרות!$A$2:$A$21,MOD(I297+הגדרות!$E$9,הגדרות!$E$6)+1))</f>
        <v/>
      </c>
    </row>
    <row r="298" customFormat="false" ht="15" hidden="false" customHeight="false" outlineLevel="0" collapsed="false">
      <c r="A298" s="0" t="str">
        <f aca="false">IF('הדבקת לידים'!A298="","",IF(ISNUMBER('הדבקת לידים'!A298),IF(הגדרות!$E$2&gt;0,TEXT('הדבקת לידים'!A298,REPT("0",הגדרות!$E$2)),TEXT('הדבקת לידים'!A298,"0")),TRIM('הדבקת לידים'!A298)))</f>
        <v/>
      </c>
      <c r="B298" s="0" t="str">
        <f aca="false">IF('הדבקת לידים'!B298="","",IF(ISNUMBER('הדבקת לידים'!B298),IF(הגדרות!$E$3&gt;0,TEXT('הדבקת לידים'!B298,REPT("0",הגדרות!$E$3)),TEXT('הדבקת לידים'!B298,"0")),TRIM('הדבקת לידים'!B298)))</f>
        <v/>
      </c>
      <c r="C298" s="0" t="n">
        <f aca="false">IF(OR(A298&lt;&gt;"",B298&lt;&gt;""),1,0)</f>
        <v>0</v>
      </c>
      <c r="D298" s="0" t="str">
        <f aca="false">IF(C298=1,MOD(ABS(SIN(ROW()*12.9898+'הדבקת לידים'!$F$2*78.233+IFERROR(--RIGHT(A298,6),LEN(A298))*0.0137+IFERROR(--RIGHT(B298,6),LEN(B298))*0.0071))*43758.5453,1),"")</f>
        <v/>
      </c>
      <c r="E298" s="0" t="str">
        <f aca="false">IF(C298=1,INT(MOD(ABS(SIN(D298*7919.123+ROW()*0.618+'הדבקת לידים'!$F$2*1.3))*43758.5453,1)*1000000)*10000+ROW(),"")</f>
        <v/>
      </c>
      <c r="F298" s="0" t="str">
        <f aca="false">IF(E298="","",RANK(E298,$E$2:$E$5001,1))</f>
        <v/>
      </c>
      <c r="G298" s="0" t="n">
        <f aca="false">IF(A298="",0,IF(SUMPRODUCT(--($A$2:$A$5001=A298))&gt;1,1,0))</f>
        <v>0</v>
      </c>
      <c r="H298" s="0" t="n">
        <f aca="false">ROW()-1</f>
        <v>297</v>
      </c>
      <c r="I298" s="0" t="str">
        <f aca="false">IF(OR(הגדרות!$E$6=0,H298&gt;הגדרות!$E$5),"",IF(H298-1&lt;הגדרות!$E$8*(הגדרות!$E$7+1),INT((H298-1)/(הגדרות!$E$7+1)),הגדרות!$E$8+INT((H298-1-הגדרות!$E$8*(הגדרות!$E$7+1))/הגדרות!$E$7)))</f>
        <v/>
      </c>
      <c r="J298" s="0" t="str">
        <f aca="false">IF(I298="","",IF(H298-1&lt;הגדרות!$E$8*(הגדרות!$E$7+1),MOD(H298-1,הגדרות!$E$7+1),MOD(H298-1-הגדרות!$E$8*(הגדרות!$E$7+1),הגדרות!$E$7)))</f>
        <v/>
      </c>
      <c r="K298" s="0" t="str">
        <f aca="false">IF(I298="","",J298*הגדרות!$E$6+I298+1)</f>
        <v/>
      </c>
      <c r="L298" s="0" t="str">
        <f aca="false">IF(K298="","",MATCH(K298,$F$2:$F$5001,0))</f>
        <v/>
      </c>
      <c r="M298" s="0" t="str">
        <f aca="false">IF(I298="","",INDEX(הגדרות!$A$2:$A$21,MOD(I298+הגדרות!$E$9,הגדרות!$E$6)+1))</f>
        <v/>
      </c>
    </row>
    <row r="299" customFormat="false" ht="15" hidden="false" customHeight="false" outlineLevel="0" collapsed="false">
      <c r="A299" s="0" t="str">
        <f aca="false">IF('הדבקת לידים'!A299="","",IF(ISNUMBER('הדבקת לידים'!A299),IF(הגדרות!$E$2&gt;0,TEXT('הדבקת לידים'!A299,REPT("0",הגדרות!$E$2)),TEXT('הדבקת לידים'!A299,"0")),TRIM('הדבקת לידים'!A299)))</f>
        <v/>
      </c>
      <c r="B299" s="0" t="str">
        <f aca="false">IF('הדבקת לידים'!B299="","",IF(ISNUMBER('הדבקת לידים'!B299),IF(הגדרות!$E$3&gt;0,TEXT('הדבקת לידים'!B299,REPT("0",הגדרות!$E$3)),TEXT('הדבקת לידים'!B299,"0")),TRIM('הדבקת לידים'!B299)))</f>
        <v/>
      </c>
      <c r="C299" s="0" t="n">
        <f aca="false">IF(OR(A299&lt;&gt;"",B299&lt;&gt;""),1,0)</f>
        <v>0</v>
      </c>
      <c r="D299" s="0" t="str">
        <f aca="false">IF(C299=1,MOD(ABS(SIN(ROW()*12.9898+'הדבקת לידים'!$F$2*78.233+IFERROR(--RIGHT(A299,6),LEN(A299))*0.0137+IFERROR(--RIGHT(B299,6),LEN(B299))*0.0071))*43758.5453,1),"")</f>
        <v/>
      </c>
      <c r="E299" s="0" t="str">
        <f aca="false">IF(C299=1,INT(MOD(ABS(SIN(D299*7919.123+ROW()*0.618+'הדבקת לידים'!$F$2*1.3))*43758.5453,1)*1000000)*10000+ROW(),"")</f>
        <v/>
      </c>
      <c r="F299" s="0" t="str">
        <f aca="false">IF(E299="","",RANK(E299,$E$2:$E$5001,1))</f>
        <v/>
      </c>
      <c r="G299" s="0" t="n">
        <f aca="false">IF(A299="",0,IF(SUMPRODUCT(--($A$2:$A$5001=A299))&gt;1,1,0))</f>
        <v>0</v>
      </c>
      <c r="H299" s="0" t="n">
        <f aca="false">ROW()-1</f>
        <v>298</v>
      </c>
      <c r="I299" s="0" t="str">
        <f aca="false">IF(OR(הגדרות!$E$6=0,H299&gt;הגדרות!$E$5),"",IF(H299-1&lt;הגדרות!$E$8*(הגדרות!$E$7+1),INT((H299-1)/(הגדרות!$E$7+1)),הגדרות!$E$8+INT((H299-1-הגדרות!$E$8*(הגדרות!$E$7+1))/הגדרות!$E$7)))</f>
        <v/>
      </c>
      <c r="J299" s="0" t="str">
        <f aca="false">IF(I299="","",IF(H299-1&lt;הגדרות!$E$8*(הגדרות!$E$7+1),MOD(H299-1,הגדרות!$E$7+1),MOD(H299-1-הגדרות!$E$8*(הגדרות!$E$7+1),הגדרות!$E$7)))</f>
        <v/>
      </c>
      <c r="K299" s="0" t="str">
        <f aca="false">IF(I299="","",J299*הגדרות!$E$6+I299+1)</f>
        <v/>
      </c>
      <c r="L299" s="0" t="str">
        <f aca="false">IF(K299="","",MATCH(K299,$F$2:$F$5001,0))</f>
        <v/>
      </c>
      <c r="M299" s="0" t="str">
        <f aca="false">IF(I299="","",INDEX(הגדרות!$A$2:$A$21,MOD(I299+הגדרות!$E$9,הגדרות!$E$6)+1))</f>
        <v/>
      </c>
    </row>
    <row r="300" customFormat="false" ht="15" hidden="false" customHeight="false" outlineLevel="0" collapsed="false">
      <c r="A300" s="0" t="str">
        <f aca="false">IF('הדבקת לידים'!A300="","",IF(ISNUMBER('הדבקת לידים'!A300),IF(הגדרות!$E$2&gt;0,TEXT('הדבקת לידים'!A300,REPT("0",הגדרות!$E$2)),TEXT('הדבקת לידים'!A300,"0")),TRIM('הדבקת לידים'!A300)))</f>
        <v/>
      </c>
      <c r="B300" s="0" t="str">
        <f aca="false">IF('הדבקת לידים'!B300="","",IF(ISNUMBER('הדבקת לידים'!B300),IF(הגדרות!$E$3&gt;0,TEXT('הדבקת לידים'!B300,REPT("0",הגדרות!$E$3)),TEXT('הדבקת לידים'!B300,"0")),TRIM('הדבקת לידים'!B300)))</f>
        <v/>
      </c>
      <c r="C300" s="0" t="n">
        <f aca="false">IF(OR(A300&lt;&gt;"",B300&lt;&gt;""),1,0)</f>
        <v>0</v>
      </c>
      <c r="D300" s="0" t="str">
        <f aca="false">IF(C300=1,MOD(ABS(SIN(ROW()*12.9898+'הדבקת לידים'!$F$2*78.233+IFERROR(--RIGHT(A300,6),LEN(A300))*0.0137+IFERROR(--RIGHT(B300,6),LEN(B300))*0.0071))*43758.5453,1),"")</f>
        <v/>
      </c>
      <c r="E300" s="0" t="str">
        <f aca="false">IF(C300=1,INT(MOD(ABS(SIN(D300*7919.123+ROW()*0.618+'הדבקת לידים'!$F$2*1.3))*43758.5453,1)*1000000)*10000+ROW(),"")</f>
        <v/>
      </c>
      <c r="F300" s="0" t="str">
        <f aca="false">IF(E300="","",RANK(E300,$E$2:$E$5001,1))</f>
        <v/>
      </c>
      <c r="G300" s="0" t="n">
        <f aca="false">IF(A300="",0,IF(SUMPRODUCT(--($A$2:$A$5001=A300))&gt;1,1,0))</f>
        <v>0</v>
      </c>
      <c r="H300" s="0" t="n">
        <f aca="false">ROW()-1</f>
        <v>299</v>
      </c>
      <c r="I300" s="0" t="str">
        <f aca="false">IF(OR(הגדרות!$E$6=0,H300&gt;הגדרות!$E$5),"",IF(H300-1&lt;הגדרות!$E$8*(הגדרות!$E$7+1),INT((H300-1)/(הגדרות!$E$7+1)),הגדרות!$E$8+INT((H300-1-הגדרות!$E$8*(הגדרות!$E$7+1))/הגדרות!$E$7)))</f>
        <v/>
      </c>
      <c r="J300" s="0" t="str">
        <f aca="false">IF(I300="","",IF(H300-1&lt;הגדרות!$E$8*(הגדרות!$E$7+1),MOD(H300-1,הגדרות!$E$7+1),MOD(H300-1-הגדרות!$E$8*(הגדרות!$E$7+1),הגדרות!$E$7)))</f>
        <v/>
      </c>
      <c r="K300" s="0" t="str">
        <f aca="false">IF(I300="","",J300*הגדרות!$E$6+I300+1)</f>
        <v/>
      </c>
      <c r="L300" s="0" t="str">
        <f aca="false">IF(K300="","",MATCH(K300,$F$2:$F$5001,0))</f>
        <v/>
      </c>
      <c r="M300" s="0" t="str">
        <f aca="false">IF(I300="","",INDEX(הגדרות!$A$2:$A$21,MOD(I300+הגדרות!$E$9,הגדרות!$E$6)+1))</f>
        <v/>
      </c>
    </row>
    <row r="301" customFormat="false" ht="15" hidden="false" customHeight="false" outlineLevel="0" collapsed="false">
      <c r="A301" s="0" t="str">
        <f aca="false">IF('הדבקת לידים'!A301="","",IF(ISNUMBER('הדבקת לידים'!A301),IF(הגדרות!$E$2&gt;0,TEXT('הדבקת לידים'!A301,REPT("0",הגדרות!$E$2)),TEXT('הדבקת לידים'!A301,"0")),TRIM('הדבקת לידים'!A301)))</f>
        <v/>
      </c>
      <c r="B301" s="0" t="str">
        <f aca="false">IF('הדבקת לידים'!B301="","",IF(ISNUMBER('הדבקת לידים'!B301),IF(הגדרות!$E$3&gt;0,TEXT('הדבקת לידים'!B301,REPT("0",הגדרות!$E$3)),TEXT('הדבקת לידים'!B301,"0")),TRIM('הדבקת לידים'!B301)))</f>
        <v/>
      </c>
      <c r="C301" s="0" t="n">
        <f aca="false">IF(OR(A301&lt;&gt;"",B301&lt;&gt;""),1,0)</f>
        <v>0</v>
      </c>
      <c r="D301" s="0" t="str">
        <f aca="false">IF(C301=1,MOD(ABS(SIN(ROW()*12.9898+'הדבקת לידים'!$F$2*78.233+IFERROR(--RIGHT(A301,6),LEN(A301))*0.0137+IFERROR(--RIGHT(B301,6),LEN(B301))*0.0071))*43758.5453,1),"")</f>
        <v/>
      </c>
      <c r="E301" s="0" t="str">
        <f aca="false">IF(C301=1,INT(MOD(ABS(SIN(D301*7919.123+ROW()*0.618+'הדבקת לידים'!$F$2*1.3))*43758.5453,1)*1000000)*10000+ROW(),"")</f>
        <v/>
      </c>
      <c r="F301" s="0" t="str">
        <f aca="false">IF(E301="","",RANK(E301,$E$2:$E$5001,1))</f>
        <v/>
      </c>
      <c r="G301" s="0" t="n">
        <f aca="false">IF(A301="",0,IF(SUMPRODUCT(--($A$2:$A$5001=A301))&gt;1,1,0))</f>
        <v>0</v>
      </c>
      <c r="H301" s="0" t="n">
        <f aca="false">ROW()-1</f>
        <v>300</v>
      </c>
      <c r="I301" s="0" t="str">
        <f aca="false">IF(OR(הגדרות!$E$6=0,H301&gt;הגדרות!$E$5),"",IF(H301-1&lt;הגדרות!$E$8*(הגדרות!$E$7+1),INT((H301-1)/(הגדרות!$E$7+1)),הגדרות!$E$8+INT((H301-1-הגדרות!$E$8*(הגדרות!$E$7+1))/הגדרות!$E$7)))</f>
        <v/>
      </c>
      <c r="J301" s="0" t="str">
        <f aca="false">IF(I301="","",IF(H301-1&lt;הגדרות!$E$8*(הגדרות!$E$7+1),MOD(H301-1,הגדרות!$E$7+1),MOD(H301-1-הגדרות!$E$8*(הגדרות!$E$7+1),הגדרות!$E$7)))</f>
        <v/>
      </c>
      <c r="K301" s="0" t="str">
        <f aca="false">IF(I301="","",J301*הגדרות!$E$6+I301+1)</f>
        <v/>
      </c>
      <c r="L301" s="0" t="str">
        <f aca="false">IF(K301="","",MATCH(K301,$F$2:$F$5001,0))</f>
        <v/>
      </c>
      <c r="M301" s="0" t="str">
        <f aca="false">IF(I301="","",INDEX(הגדרות!$A$2:$A$21,MOD(I301+הגדרות!$E$9,הגדרות!$E$6)+1))</f>
        <v/>
      </c>
    </row>
    <row r="302" customFormat="false" ht="15" hidden="false" customHeight="false" outlineLevel="0" collapsed="false">
      <c r="A302" s="0" t="str">
        <f aca="false">IF('הדבקת לידים'!A302="","",IF(ISNUMBER('הדבקת לידים'!A302),IF(הגדרות!$E$2&gt;0,TEXT('הדבקת לידים'!A302,REPT("0",הגדרות!$E$2)),TEXT('הדבקת לידים'!A302,"0")),TRIM('הדבקת לידים'!A302)))</f>
        <v/>
      </c>
      <c r="B302" s="0" t="str">
        <f aca="false">IF('הדבקת לידים'!B302="","",IF(ISNUMBER('הדבקת לידים'!B302),IF(הגדרות!$E$3&gt;0,TEXT('הדבקת לידים'!B302,REPT("0",הגדרות!$E$3)),TEXT('הדבקת לידים'!B302,"0")),TRIM('הדבקת לידים'!B302)))</f>
        <v/>
      </c>
      <c r="C302" s="0" t="n">
        <f aca="false">IF(OR(A302&lt;&gt;"",B302&lt;&gt;""),1,0)</f>
        <v>0</v>
      </c>
      <c r="D302" s="0" t="str">
        <f aca="false">IF(C302=1,MOD(ABS(SIN(ROW()*12.9898+'הדבקת לידים'!$F$2*78.233+IFERROR(--RIGHT(A302,6),LEN(A302))*0.0137+IFERROR(--RIGHT(B302,6),LEN(B302))*0.0071))*43758.5453,1),"")</f>
        <v/>
      </c>
      <c r="E302" s="0" t="str">
        <f aca="false">IF(C302=1,INT(MOD(ABS(SIN(D302*7919.123+ROW()*0.618+'הדבקת לידים'!$F$2*1.3))*43758.5453,1)*1000000)*10000+ROW(),"")</f>
        <v/>
      </c>
      <c r="F302" s="0" t="str">
        <f aca="false">IF(E302="","",RANK(E302,$E$2:$E$5001,1))</f>
        <v/>
      </c>
      <c r="G302" s="0" t="n">
        <f aca="false">IF(A302="",0,IF(SUMPRODUCT(--($A$2:$A$5001=A302))&gt;1,1,0))</f>
        <v>0</v>
      </c>
      <c r="H302" s="0" t="n">
        <f aca="false">ROW()-1</f>
        <v>301</v>
      </c>
      <c r="I302" s="0" t="str">
        <f aca="false">IF(OR(הגדרות!$E$6=0,H302&gt;הגדרות!$E$5),"",IF(H302-1&lt;הגדרות!$E$8*(הגדרות!$E$7+1),INT((H302-1)/(הגדרות!$E$7+1)),הגדרות!$E$8+INT((H302-1-הגדרות!$E$8*(הגדרות!$E$7+1))/הגדרות!$E$7)))</f>
        <v/>
      </c>
      <c r="J302" s="0" t="str">
        <f aca="false">IF(I302="","",IF(H302-1&lt;הגדרות!$E$8*(הגדרות!$E$7+1),MOD(H302-1,הגדרות!$E$7+1),MOD(H302-1-הגדרות!$E$8*(הגדרות!$E$7+1),הגדרות!$E$7)))</f>
        <v/>
      </c>
      <c r="K302" s="0" t="str">
        <f aca="false">IF(I302="","",J302*הגדרות!$E$6+I302+1)</f>
        <v/>
      </c>
      <c r="L302" s="0" t="str">
        <f aca="false">IF(K302="","",MATCH(K302,$F$2:$F$5001,0))</f>
        <v/>
      </c>
      <c r="M302" s="0" t="str">
        <f aca="false">IF(I302="","",INDEX(הגדרות!$A$2:$A$21,MOD(I302+הגדרות!$E$9,הגדרות!$E$6)+1))</f>
        <v/>
      </c>
    </row>
    <row r="303" customFormat="false" ht="15" hidden="false" customHeight="false" outlineLevel="0" collapsed="false">
      <c r="A303" s="0" t="str">
        <f aca="false">IF('הדבקת לידים'!A303="","",IF(ISNUMBER('הדבקת לידים'!A303),IF(הגדרות!$E$2&gt;0,TEXT('הדבקת לידים'!A303,REPT("0",הגדרות!$E$2)),TEXT('הדבקת לידים'!A303,"0")),TRIM('הדבקת לידים'!A303)))</f>
        <v/>
      </c>
      <c r="B303" s="0" t="str">
        <f aca="false">IF('הדבקת לידים'!B303="","",IF(ISNUMBER('הדבקת לידים'!B303),IF(הגדרות!$E$3&gt;0,TEXT('הדבקת לידים'!B303,REPT("0",הגדרות!$E$3)),TEXT('הדבקת לידים'!B303,"0")),TRIM('הדבקת לידים'!B303)))</f>
        <v/>
      </c>
      <c r="C303" s="0" t="n">
        <f aca="false">IF(OR(A303&lt;&gt;"",B303&lt;&gt;""),1,0)</f>
        <v>0</v>
      </c>
      <c r="D303" s="0" t="str">
        <f aca="false">IF(C303=1,MOD(ABS(SIN(ROW()*12.9898+'הדבקת לידים'!$F$2*78.233+IFERROR(--RIGHT(A303,6),LEN(A303))*0.0137+IFERROR(--RIGHT(B303,6),LEN(B303))*0.0071))*43758.5453,1),"")</f>
        <v/>
      </c>
      <c r="E303" s="0" t="str">
        <f aca="false">IF(C303=1,INT(MOD(ABS(SIN(D303*7919.123+ROW()*0.618+'הדבקת לידים'!$F$2*1.3))*43758.5453,1)*1000000)*10000+ROW(),"")</f>
        <v/>
      </c>
      <c r="F303" s="0" t="str">
        <f aca="false">IF(E303="","",RANK(E303,$E$2:$E$5001,1))</f>
        <v/>
      </c>
      <c r="G303" s="0" t="n">
        <f aca="false">IF(A303="",0,IF(SUMPRODUCT(--($A$2:$A$5001=A303))&gt;1,1,0))</f>
        <v>0</v>
      </c>
      <c r="H303" s="0" t="n">
        <f aca="false">ROW()-1</f>
        <v>302</v>
      </c>
      <c r="I303" s="0" t="str">
        <f aca="false">IF(OR(הגדרות!$E$6=0,H303&gt;הגדרות!$E$5),"",IF(H303-1&lt;הגדרות!$E$8*(הגדרות!$E$7+1),INT((H303-1)/(הגדרות!$E$7+1)),הגדרות!$E$8+INT((H303-1-הגדרות!$E$8*(הגדרות!$E$7+1))/הגדרות!$E$7)))</f>
        <v/>
      </c>
      <c r="J303" s="0" t="str">
        <f aca="false">IF(I303="","",IF(H303-1&lt;הגדרות!$E$8*(הגדרות!$E$7+1),MOD(H303-1,הגדרות!$E$7+1),MOD(H303-1-הגדרות!$E$8*(הגדרות!$E$7+1),הגדרות!$E$7)))</f>
        <v/>
      </c>
      <c r="K303" s="0" t="str">
        <f aca="false">IF(I303="","",J303*הגדרות!$E$6+I303+1)</f>
        <v/>
      </c>
      <c r="L303" s="0" t="str">
        <f aca="false">IF(K303="","",MATCH(K303,$F$2:$F$5001,0))</f>
        <v/>
      </c>
      <c r="M303" s="0" t="str">
        <f aca="false">IF(I303="","",INDEX(הגדרות!$A$2:$A$21,MOD(I303+הגדרות!$E$9,הגדרות!$E$6)+1))</f>
        <v/>
      </c>
    </row>
    <row r="304" customFormat="false" ht="15" hidden="false" customHeight="false" outlineLevel="0" collapsed="false">
      <c r="A304" s="0" t="str">
        <f aca="false">IF('הדבקת לידים'!A304="","",IF(ISNUMBER('הדבקת לידים'!A304),IF(הגדרות!$E$2&gt;0,TEXT('הדבקת לידים'!A304,REPT("0",הגדרות!$E$2)),TEXT('הדבקת לידים'!A304,"0")),TRIM('הדבקת לידים'!A304)))</f>
        <v/>
      </c>
      <c r="B304" s="0" t="str">
        <f aca="false">IF('הדבקת לידים'!B304="","",IF(ISNUMBER('הדבקת לידים'!B304),IF(הגדרות!$E$3&gt;0,TEXT('הדבקת לידים'!B304,REPT("0",הגדרות!$E$3)),TEXT('הדבקת לידים'!B304,"0")),TRIM('הדבקת לידים'!B304)))</f>
        <v/>
      </c>
      <c r="C304" s="0" t="n">
        <f aca="false">IF(OR(A304&lt;&gt;"",B304&lt;&gt;""),1,0)</f>
        <v>0</v>
      </c>
      <c r="D304" s="0" t="str">
        <f aca="false">IF(C304=1,MOD(ABS(SIN(ROW()*12.9898+'הדבקת לידים'!$F$2*78.233+IFERROR(--RIGHT(A304,6),LEN(A304))*0.0137+IFERROR(--RIGHT(B304,6),LEN(B304))*0.0071))*43758.5453,1),"")</f>
        <v/>
      </c>
      <c r="E304" s="0" t="str">
        <f aca="false">IF(C304=1,INT(MOD(ABS(SIN(D304*7919.123+ROW()*0.618+'הדבקת לידים'!$F$2*1.3))*43758.5453,1)*1000000)*10000+ROW(),"")</f>
        <v/>
      </c>
      <c r="F304" s="0" t="str">
        <f aca="false">IF(E304="","",RANK(E304,$E$2:$E$5001,1))</f>
        <v/>
      </c>
      <c r="G304" s="0" t="n">
        <f aca="false">IF(A304="",0,IF(SUMPRODUCT(--($A$2:$A$5001=A304))&gt;1,1,0))</f>
        <v>0</v>
      </c>
      <c r="H304" s="0" t="n">
        <f aca="false">ROW()-1</f>
        <v>303</v>
      </c>
      <c r="I304" s="0" t="str">
        <f aca="false">IF(OR(הגדרות!$E$6=0,H304&gt;הגדרות!$E$5),"",IF(H304-1&lt;הגדרות!$E$8*(הגדרות!$E$7+1),INT((H304-1)/(הגדרות!$E$7+1)),הגדרות!$E$8+INT((H304-1-הגדרות!$E$8*(הגדרות!$E$7+1))/הגדרות!$E$7)))</f>
        <v/>
      </c>
      <c r="J304" s="0" t="str">
        <f aca="false">IF(I304="","",IF(H304-1&lt;הגדרות!$E$8*(הגדרות!$E$7+1),MOD(H304-1,הגדרות!$E$7+1),MOD(H304-1-הגדרות!$E$8*(הגדרות!$E$7+1),הגדרות!$E$7)))</f>
        <v/>
      </c>
      <c r="K304" s="0" t="str">
        <f aca="false">IF(I304="","",J304*הגדרות!$E$6+I304+1)</f>
        <v/>
      </c>
      <c r="L304" s="0" t="str">
        <f aca="false">IF(K304="","",MATCH(K304,$F$2:$F$5001,0))</f>
        <v/>
      </c>
      <c r="M304" s="0" t="str">
        <f aca="false">IF(I304="","",INDEX(הגדרות!$A$2:$A$21,MOD(I304+הגדרות!$E$9,הגדרות!$E$6)+1))</f>
        <v/>
      </c>
    </row>
    <row r="305" customFormat="false" ht="15" hidden="false" customHeight="false" outlineLevel="0" collapsed="false">
      <c r="A305" s="0" t="str">
        <f aca="false">IF('הדבקת לידים'!A305="","",IF(ISNUMBER('הדבקת לידים'!A305),IF(הגדרות!$E$2&gt;0,TEXT('הדבקת לידים'!A305,REPT("0",הגדרות!$E$2)),TEXT('הדבקת לידים'!A305,"0")),TRIM('הדבקת לידים'!A305)))</f>
        <v/>
      </c>
      <c r="B305" s="0" t="str">
        <f aca="false">IF('הדבקת לידים'!B305="","",IF(ISNUMBER('הדבקת לידים'!B305),IF(הגדרות!$E$3&gt;0,TEXT('הדבקת לידים'!B305,REPT("0",הגדרות!$E$3)),TEXT('הדבקת לידים'!B305,"0")),TRIM('הדבקת לידים'!B305)))</f>
        <v/>
      </c>
      <c r="C305" s="0" t="n">
        <f aca="false">IF(OR(A305&lt;&gt;"",B305&lt;&gt;""),1,0)</f>
        <v>0</v>
      </c>
      <c r="D305" s="0" t="str">
        <f aca="false">IF(C305=1,MOD(ABS(SIN(ROW()*12.9898+'הדבקת לידים'!$F$2*78.233+IFERROR(--RIGHT(A305,6),LEN(A305))*0.0137+IFERROR(--RIGHT(B305,6),LEN(B305))*0.0071))*43758.5453,1),"")</f>
        <v/>
      </c>
      <c r="E305" s="0" t="str">
        <f aca="false">IF(C305=1,INT(MOD(ABS(SIN(D305*7919.123+ROW()*0.618+'הדבקת לידים'!$F$2*1.3))*43758.5453,1)*1000000)*10000+ROW(),"")</f>
        <v/>
      </c>
      <c r="F305" s="0" t="str">
        <f aca="false">IF(E305="","",RANK(E305,$E$2:$E$5001,1))</f>
        <v/>
      </c>
      <c r="G305" s="0" t="n">
        <f aca="false">IF(A305="",0,IF(SUMPRODUCT(--($A$2:$A$5001=A305))&gt;1,1,0))</f>
        <v>0</v>
      </c>
      <c r="H305" s="0" t="n">
        <f aca="false">ROW()-1</f>
        <v>304</v>
      </c>
      <c r="I305" s="0" t="str">
        <f aca="false">IF(OR(הגדרות!$E$6=0,H305&gt;הגדרות!$E$5),"",IF(H305-1&lt;הגדרות!$E$8*(הגדרות!$E$7+1),INT((H305-1)/(הגדרות!$E$7+1)),הגדרות!$E$8+INT((H305-1-הגדרות!$E$8*(הגדרות!$E$7+1))/הגדרות!$E$7)))</f>
        <v/>
      </c>
      <c r="J305" s="0" t="str">
        <f aca="false">IF(I305="","",IF(H305-1&lt;הגדרות!$E$8*(הגדרות!$E$7+1),MOD(H305-1,הגדרות!$E$7+1),MOD(H305-1-הגדרות!$E$8*(הגדרות!$E$7+1),הגדרות!$E$7)))</f>
        <v/>
      </c>
      <c r="K305" s="0" t="str">
        <f aca="false">IF(I305="","",J305*הגדרות!$E$6+I305+1)</f>
        <v/>
      </c>
      <c r="L305" s="0" t="str">
        <f aca="false">IF(K305="","",MATCH(K305,$F$2:$F$5001,0))</f>
        <v/>
      </c>
      <c r="M305" s="0" t="str">
        <f aca="false">IF(I305="","",INDEX(הגדרות!$A$2:$A$21,MOD(I305+הגדרות!$E$9,הגדרות!$E$6)+1))</f>
        <v/>
      </c>
    </row>
    <row r="306" customFormat="false" ht="15" hidden="false" customHeight="false" outlineLevel="0" collapsed="false">
      <c r="A306" s="0" t="str">
        <f aca="false">IF('הדבקת לידים'!A306="","",IF(ISNUMBER('הדבקת לידים'!A306),IF(הגדרות!$E$2&gt;0,TEXT('הדבקת לידים'!A306,REPT("0",הגדרות!$E$2)),TEXT('הדבקת לידים'!A306,"0")),TRIM('הדבקת לידים'!A306)))</f>
        <v/>
      </c>
      <c r="B306" s="0" t="str">
        <f aca="false">IF('הדבקת לידים'!B306="","",IF(ISNUMBER('הדבקת לידים'!B306),IF(הגדרות!$E$3&gt;0,TEXT('הדבקת לידים'!B306,REPT("0",הגדרות!$E$3)),TEXT('הדבקת לידים'!B306,"0")),TRIM('הדבקת לידים'!B306)))</f>
        <v/>
      </c>
      <c r="C306" s="0" t="n">
        <f aca="false">IF(OR(A306&lt;&gt;"",B306&lt;&gt;""),1,0)</f>
        <v>0</v>
      </c>
      <c r="D306" s="0" t="str">
        <f aca="false">IF(C306=1,MOD(ABS(SIN(ROW()*12.9898+'הדבקת לידים'!$F$2*78.233+IFERROR(--RIGHT(A306,6),LEN(A306))*0.0137+IFERROR(--RIGHT(B306,6),LEN(B306))*0.0071))*43758.5453,1),"")</f>
        <v/>
      </c>
      <c r="E306" s="0" t="str">
        <f aca="false">IF(C306=1,INT(MOD(ABS(SIN(D306*7919.123+ROW()*0.618+'הדבקת לידים'!$F$2*1.3))*43758.5453,1)*1000000)*10000+ROW(),"")</f>
        <v/>
      </c>
      <c r="F306" s="0" t="str">
        <f aca="false">IF(E306="","",RANK(E306,$E$2:$E$5001,1))</f>
        <v/>
      </c>
      <c r="G306" s="0" t="n">
        <f aca="false">IF(A306="",0,IF(SUMPRODUCT(--($A$2:$A$5001=A306))&gt;1,1,0))</f>
        <v>0</v>
      </c>
      <c r="H306" s="0" t="n">
        <f aca="false">ROW()-1</f>
        <v>305</v>
      </c>
      <c r="I306" s="0" t="str">
        <f aca="false">IF(OR(הגדרות!$E$6=0,H306&gt;הגדרות!$E$5),"",IF(H306-1&lt;הגדרות!$E$8*(הגדרות!$E$7+1),INT((H306-1)/(הגדרות!$E$7+1)),הגדרות!$E$8+INT((H306-1-הגדרות!$E$8*(הגדרות!$E$7+1))/הגדרות!$E$7)))</f>
        <v/>
      </c>
      <c r="J306" s="0" t="str">
        <f aca="false">IF(I306="","",IF(H306-1&lt;הגדרות!$E$8*(הגדרות!$E$7+1),MOD(H306-1,הגדרות!$E$7+1),MOD(H306-1-הגדרות!$E$8*(הגדרות!$E$7+1),הגדרות!$E$7)))</f>
        <v/>
      </c>
      <c r="K306" s="0" t="str">
        <f aca="false">IF(I306="","",J306*הגדרות!$E$6+I306+1)</f>
        <v/>
      </c>
      <c r="L306" s="0" t="str">
        <f aca="false">IF(K306="","",MATCH(K306,$F$2:$F$5001,0))</f>
        <v/>
      </c>
      <c r="M306" s="0" t="str">
        <f aca="false">IF(I306="","",INDEX(הגדרות!$A$2:$A$21,MOD(I306+הגדרות!$E$9,הגדרות!$E$6)+1))</f>
        <v/>
      </c>
    </row>
    <row r="307" customFormat="false" ht="15" hidden="false" customHeight="false" outlineLevel="0" collapsed="false">
      <c r="A307" s="0" t="str">
        <f aca="false">IF('הדבקת לידים'!A307="","",IF(ISNUMBER('הדבקת לידים'!A307),IF(הגדרות!$E$2&gt;0,TEXT('הדבקת לידים'!A307,REPT("0",הגדרות!$E$2)),TEXT('הדבקת לידים'!A307,"0")),TRIM('הדבקת לידים'!A307)))</f>
        <v/>
      </c>
      <c r="B307" s="0" t="str">
        <f aca="false">IF('הדבקת לידים'!B307="","",IF(ISNUMBER('הדבקת לידים'!B307),IF(הגדרות!$E$3&gt;0,TEXT('הדבקת לידים'!B307,REPT("0",הגדרות!$E$3)),TEXT('הדבקת לידים'!B307,"0")),TRIM('הדבקת לידים'!B307)))</f>
        <v/>
      </c>
      <c r="C307" s="0" t="n">
        <f aca="false">IF(OR(A307&lt;&gt;"",B307&lt;&gt;""),1,0)</f>
        <v>0</v>
      </c>
      <c r="D307" s="0" t="str">
        <f aca="false">IF(C307=1,MOD(ABS(SIN(ROW()*12.9898+'הדבקת לידים'!$F$2*78.233+IFERROR(--RIGHT(A307,6),LEN(A307))*0.0137+IFERROR(--RIGHT(B307,6),LEN(B307))*0.0071))*43758.5453,1),"")</f>
        <v/>
      </c>
      <c r="E307" s="0" t="str">
        <f aca="false">IF(C307=1,INT(MOD(ABS(SIN(D307*7919.123+ROW()*0.618+'הדבקת לידים'!$F$2*1.3))*43758.5453,1)*1000000)*10000+ROW(),"")</f>
        <v/>
      </c>
      <c r="F307" s="0" t="str">
        <f aca="false">IF(E307="","",RANK(E307,$E$2:$E$5001,1))</f>
        <v/>
      </c>
      <c r="G307" s="0" t="n">
        <f aca="false">IF(A307="",0,IF(SUMPRODUCT(--($A$2:$A$5001=A307))&gt;1,1,0))</f>
        <v>0</v>
      </c>
      <c r="H307" s="0" t="n">
        <f aca="false">ROW()-1</f>
        <v>306</v>
      </c>
      <c r="I307" s="0" t="str">
        <f aca="false">IF(OR(הגדרות!$E$6=0,H307&gt;הגדרות!$E$5),"",IF(H307-1&lt;הגדרות!$E$8*(הגדרות!$E$7+1),INT((H307-1)/(הגדרות!$E$7+1)),הגדרות!$E$8+INT((H307-1-הגדרות!$E$8*(הגדרות!$E$7+1))/הגדרות!$E$7)))</f>
        <v/>
      </c>
      <c r="J307" s="0" t="str">
        <f aca="false">IF(I307="","",IF(H307-1&lt;הגדרות!$E$8*(הגדרות!$E$7+1),MOD(H307-1,הגדרות!$E$7+1),MOD(H307-1-הגדרות!$E$8*(הגדרות!$E$7+1),הגדרות!$E$7)))</f>
        <v/>
      </c>
      <c r="K307" s="0" t="str">
        <f aca="false">IF(I307="","",J307*הגדרות!$E$6+I307+1)</f>
        <v/>
      </c>
      <c r="L307" s="0" t="str">
        <f aca="false">IF(K307="","",MATCH(K307,$F$2:$F$5001,0))</f>
        <v/>
      </c>
      <c r="M307" s="0" t="str">
        <f aca="false">IF(I307="","",INDEX(הגדרות!$A$2:$A$21,MOD(I307+הגדרות!$E$9,הגדרות!$E$6)+1))</f>
        <v/>
      </c>
    </row>
    <row r="308" customFormat="false" ht="15" hidden="false" customHeight="false" outlineLevel="0" collapsed="false">
      <c r="A308" s="0" t="str">
        <f aca="false">IF('הדבקת לידים'!A308="","",IF(ISNUMBER('הדבקת לידים'!A308),IF(הגדרות!$E$2&gt;0,TEXT('הדבקת לידים'!A308,REPT("0",הגדרות!$E$2)),TEXT('הדבקת לידים'!A308,"0")),TRIM('הדבקת לידים'!A308)))</f>
        <v/>
      </c>
      <c r="B308" s="0" t="str">
        <f aca="false">IF('הדבקת לידים'!B308="","",IF(ISNUMBER('הדבקת לידים'!B308),IF(הגדרות!$E$3&gt;0,TEXT('הדבקת לידים'!B308,REPT("0",הגדרות!$E$3)),TEXT('הדבקת לידים'!B308,"0")),TRIM('הדבקת לידים'!B308)))</f>
        <v/>
      </c>
      <c r="C308" s="0" t="n">
        <f aca="false">IF(OR(A308&lt;&gt;"",B308&lt;&gt;""),1,0)</f>
        <v>0</v>
      </c>
      <c r="D308" s="0" t="str">
        <f aca="false">IF(C308=1,MOD(ABS(SIN(ROW()*12.9898+'הדבקת לידים'!$F$2*78.233+IFERROR(--RIGHT(A308,6),LEN(A308))*0.0137+IFERROR(--RIGHT(B308,6),LEN(B308))*0.0071))*43758.5453,1),"")</f>
        <v/>
      </c>
      <c r="E308" s="0" t="str">
        <f aca="false">IF(C308=1,INT(MOD(ABS(SIN(D308*7919.123+ROW()*0.618+'הדבקת לידים'!$F$2*1.3))*43758.5453,1)*1000000)*10000+ROW(),"")</f>
        <v/>
      </c>
      <c r="F308" s="0" t="str">
        <f aca="false">IF(E308="","",RANK(E308,$E$2:$E$5001,1))</f>
        <v/>
      </c>
      <c r="G308" s="0" t="n">
        <f aca="false">IF(A308="",0,IF(SUMPRODUCT(--($A$2:$A$5001=A308))&gt;1,1,0))</f>
        <v>0</v>
      </c>
      <c r="H308" s="0" t="n">
        <f aca="false">ROW()-1</f>
        <v>307</v>
      </c>
      <c r="I308" s="0" t="str">
        <f aca="false">IF(OR(הגדרות!$E$6=0,H308&gt;הגדרות!$E$5),"",IF(H308-1&lt;הגדרות!$E$8*(הגדרות!$E$7+1),INT((H308-1)/(הגדרות!$E$7+1)),הגדרות!$E$8+INT((H308-1-הגדרות!$E$8*(הגדרות!$E$7+1))/הגדרות!$E$7)))</f>
        <v/>
      </c>
      <c r="J308" s="0" t="str">
        <f aca="false">IF(I308="","",IF(H308-1&lt;הגדרות!$E$8*(הגדרות!$E$7+1),MOD(H308-1,הגדרות!$E$7+1),MOD(H308-1-הגדרות!$E$8*(הגדרות!$E$7+1),הגדרות!$E$7)))</f>
        <v/>
      </c>
      <c r="K308" s="0" t="str">
        <f aca="false">IF(I308="","",J308*הגדרות!$E$6+I308+1)</f>
        <v/>
      </c>
      <c r="L308" s="0" t="str">
        <f aca="false">IF(K308="","",MATCH(K308,$F$2:$F$5001,0))</f>
        <v/>
      </c>
      <c r="M308" s="0" t="str">
        <f aca="false">IF(I308="","",INDEX(הגדרות!$A$2:$A$21,MOD(I308+הגדרות!$E$9,הגדרות!$E$6)+1))</f>
        <v/>
      </c>
    </row>
    <row r="309" customFormat="false" ht="15" hidden="false" customHeight="false" outlineLevel="0" collapsed="false">
      <c r="A309" s="0" t="str">
        <f aca="false">IF('הדבקת לידים'!A309="","",IF(ISNUMBER('הדבקת לידים'!A309),IF(הגדרות!$E$2&gt;0,TEXT('הדבקת לידים'!A309,REPT("0",הגדרות!$E$2)),TEXT('הדבקת לידים'!A309,"0")),TRIM('הדבקת לידים'!A309)))</f>
        <v/>
      </c>
      <c r="B309" s="0" t="str">
        <f aca="false">IF('הדבקת לידים'!B309="","",IF(ISNUMBER('הדבקת לידים'!B309),IF(הגדרות!$E$3&gt;0,TEXT('הדבקת לידים'!B309,REPT("0",הגדרות!$E$3)),TEXT('הדבקת לידים'!B309,"0")),TRIM('הדבקת לידים'!B309)))</f>
        <v/>
      </c>
      <c r="C309" s="0" t="n">
        <f aca="false">IF(OR(A309&lt;&gt;"",B309&lt;&gt;""),1,0)</f>
        <v>0</v>
      </c>
      <c r="D309" s="0" t="str">
        <f aca="false">IF(C309=1,MOD(ABS(SIN(ROW()*12.9898+'הדבקת לידים'!$F$2*78.233+IFERROR(--RIGHT(A309,6),LEN(A309))*0.0137+IFERROR(--RIGHT(B309,6),LEN(B309))*0.0071))*43758.5453,1),"")</f>
        <v/>
      </c>
      <c r="E309" s="0" t="str">
        <f aca="false">IF(C309=1,INT(MOD(ABS(SIN(D309*7919.123+ROW()*0.618+'הדבקת לידים'!$F$2*1.3))*43758.5453,1)*1000000)*10000+ROW(),"")</f>
        <v/>
      </c>
      <c r="F309" s="0" t="str">
        <f aca="false">IF(E309="","",RANK(E309,$E$2:$E$5001,1))</f>
        <v/>
      </c>
      <c r="G309" s="0" t="n">
        <f aca="false">IF(A309="",0,IF(SUMPRODUCT(--($A$2:$A$5001=A309))&gt;1,1,0))</f>
        <v>0</v>
      </c>
      <c r="H309" s="0" t="n">
        <f aca="false">ROW()-1</f>
        <v>308</v>
      </c>
      <c r="I309" s="0" t="str">
        <f aca="false">IF(OR(הגדרות!$E$6=0,H309&gt;הגדרות!$E$5),"",IF(H309-1&lt;הגדרות!$E$8*(הגדרות!$E$7+1),INT((H309-1)/(הגדרות!$E$7+1)),הגדרות!$E$8+INT((H309-1-הגדרות!$E$8*(הגדרות!$E$7+1))/הגדרות!$E$7)))</f>
        <v/>
      </c>
      <c r="J309" s="0" t="str">
        <f aca="false">IF(I309="","",IF(H309-1&lt;הגדרות!$E$8*(הגדרות!$E$7+1),MOD(H309-1,הגדרות!$E$7+1),MOD(H309-1-הגדרות!$E$8*(הגדרות!$E$7+1),הגדרות!$E$7)))</f>
        <v/>
      </c>
      <c r="K309" s="0" t="str">
        <f aca="false">IF(I309="","",J309*הגדרות!$E$6+I309+1)</f>
        <v/>
      </c>
      <c r="L309" s="0" t="str">
        <f aca="false">IF(K309="","",MATCH(K309,$F$2:$F$5001,0))</f>
        <v/>
      </c>
      <c r="M309" s="0" t="str">
        <f aca="false">IF(I309="","",INDEX(הגדרות!$A$2:$A$21,MOD(I309+הגדרות!$E$9,הגדרות!$E$6)+1))</f>
        <v/>
      </c>
    </row>
    <row r="310" customFormat="false" ht="15" hidden="false" customHeight="false" outlineLevel="0" collapsed="false">
      <c r="A310" s="0" t="str">
        <f aca="false">IF('הדבקת לידים'!A310="","",IF(ISNUMBER('הדבקת לידים'!A310),IF(הגדרות!$E$2&gt;0,TEXT('הדבקת לידים'!A310,REPT("0",הגדרות!$E$2)),TEXT('הדבקת לידים'!A310,"0")),TRIM('הדבקת לידים'!A310)))</f>
        <v/>
      </c>
      <c r="B310" s="0" t="str">
        <f aca="false">IF('הדבקת לידים'!B310="","",IF(ISNUMBER('הדבקת לידים'!B310),IF(הגדרות!$E$3&gt;0,TEXT('הדבקת לידים'!B310,REPT("0",הגדרות!$E$3)),TEXT('הדבקת לידים'!B310,"0")),TRIM('הדבקת לידים'!B310)))</f>
        <v/>
      </c>
      <c r="C310" s="0" t="n">
        <f aca="false">IF(OR(A310&lt;&gt;"",B310&lt;&gt;""),1,0)</f>
        <v>0</v>
      </c>
      <c r="D310" s="0" t="str">
        <f aca="false">IF(C310=1,MOD(ABS(SIN(ROW()*12.9898+'הדבקת לידים'!$F$2*78.233+IFERROR(--RIGHT(A310,6),LEN(A310))*0.0137+IFERROR(--RIGHT(B310,6),LEN(B310))*0.0071))*43758.5453,1),"")</f>
        <v/>
      </c>
      <c r="E310" s="0" t="str">
        <f aca="false">IF(C310=1,INT(MOD(ABS(SIN(D310*7919.123+ROW()*0.618+'הדבקת לידים'!$F$2*1.3))*43758.5453,1)*1000000)*10000+ROW(),"")</f>
        <v/>
      </c>
      <c r="F310" s="0" t="str">
        <f aca="false">IF(E310="","",RANK(E310,$E$2:$E$5001,1))</f>
        <v/>
      </c>
      <c r="G310" s="0" t="n">
        <f aca="false">IF(A310="",0,IF(SUMPRODUCT(--($A$2:$A$5001=A310))&gt;1,1,0))</f>
        <v>0</v>
      </c>
      <c r="H310" s="0" t="n">
        <f aca="false">ROW()-1</f>
        <v>309</v>
      </c>
      <c r="I310" s="0" t="str">
        <f aca="false">IF(OR(הגדרות!$E$6=0,H310&gt;הגדרות!$E$5),"",IF(H310-1&lt;הגדרות!$E$8*(הגדרות!$E$7+1),INT((H310-1)/(הגדרות!$E$7+1)),הגדרות!$E$8+INT((H310-1-הגדרות!$E$8*(הגדרות!$E$7+1))/הגדרות!$E$7)))</f>
        <v/>
      </c>
      <c r="J310" s="0" t="str">
        <f aca="false">IF(I310="","",IF(H310-1&lt;הגדרות!$E$8*(הגדרות!$E$7+1),MOD(H310-1,הגדרות!$E$7+1),MOD(H310-1-הגדרות!$E$8*(הגדרות!$E$7+1),הגדרות!$E$7)))</f>
        <v/>
      </c>
      <c r="K310" s="0" t="str">
        <f aca="false">IF(I310="","",J310*הגדרות!$E$6+I310+1)</f>
        <v/>
      </c>
      <c r="L310" s="0" t="str">
        <f aca="false">IF(K310="","",MATCH(K310,$F$2:$F$5001,0))</f>
        <v/>
      </c>
      <c r="M310" s="0" t="str">
        <f aca="false">IF(I310="","",INDEX(הגדרות!$A$2:$A$21,MOD(I310+הגדרות!$E$9,הגדרות!$E$6)+1))</f>
        <v/>
      </c>
    </row>
    <row r="311" customFormat="false" ht="15" hidden="false" customHeight="false" outlineLevel="0" collapsed="false">
      <c r="A311" s="0" t="str">
        <f aca="false">IF('הדבקת לידים'!A311="","",IF(ISNUMBER('הדבקת לידים'!A311),IF(הגדרות!$E$2&gt;0,TEXT('הדבקת לידים'!A311,REPT("0",הגדרות!$E$2)),TEXT('הדבקת לידים'!A311,"0")),TRIM('הדבקת לידים'!A311)))</f>
        <v/>
      </c>
      <c r="B311" s="0" t="str">
        <f aca="false">IF('הדבקת לידים'!B311="","",IF(ISNUMBER('הדבקת לידים'!B311),IF(הגדרות!$E$3&gt;0,TEXT('הדבקת לידים'!B311,REPT("0",הגדרות!$E$3)),TEXT('הדבקת לידים'!B311,"0")),TRIM('הדבקת לידים'!B311)))</f>
        <v/>
      </c>
      <c r="C311" s="0" t="n">
        <f aca="false">IF(OR(A311&lt;&gt;"",B311&lt;&gt;""),1,0)</f>
        <v>0</v>
      </c>
      <c r="D311" s="0" t="str">
        <f aca="false">IF(C311=1,MOD(ABS(SIN(ROW()*12.9898+'הדבקת לידים'!$F$2*78.233+IFERROR(--RIGHT(A311,6),LEN(A311))*0.0137+IFERROR(--RIGHT(B311,6),LEN(B311))*0.0071))*43758.5453,1),"")</f>
        <v/>
      </c>
      <c r="E311" s="0" t="str">
        <f aca="false">IF(C311=1,INT(MOD(ABS(SIN(D311*7919.123+ROW()*0.618+'הדבקת לידים'!$F$2*1.3))*43758.5453,1)*1000000)*10000+ROW(),"")</f>
        <v/>
      </c>
      <c r="F311" s="0" t="str">
        <f aca="false">IF(E311="","",RANK(E311,$E$2:$E$5001,1))</f>
        <v/>
      </c>
      <c r="G311" s="0" t="n">
        <f aca="false">IF(A311="",0,IF(SUMPRODUCT(--($A$2:$A$5001=A311))&gt;1,1,0))</f>
        <v>0</v>
      </c>
      <c r="H311" s="0" t="n">
        <f aca="false">ROW()-1</f>
        <v>310</v>
      </c>
      <c r="I311" s="0" t="str">
        <f aca="false">IF(OR(הגדרות!$E$6=0,H311&gt;הגדרות!$E$5),"",IF(H311-1&lt;הגדרות!$E$8*(הגדרות!$E$7+1),INT((H311-1)/(הגדרות!$E$7+1)),הגדרות!$E$8+INT((H311-1-הגדרות!$E$8*(הגדרות!$E$7+1))/הגדרות!$E$7)))</f>
        <v/>
      </c>
      <c r="J311" s="0" t="str">
        <f aca="false">IF(I311="","",IF(H311-1&lt;הגדרות!$E$8*(הגדרות!$E$7+1),MOD(H311-1,הגדרות!$E$7+1),MOD(H311-1-הגדרות!$E$8*(הגדרות!$E$7+1),הגדרות!$E$7)))</f>
        <v/>
      </c>
      <c r="K311" s="0" t="str">
        <f aca="false">IF(I311="","",J311*הגדרות!$E$6+I311+1)</f>
        <v/>
      </c>
      <c r="L311" s="0" t="str">
        <f aca="false">IF(K311="","",MATCH(K311,$F$2:$F$5001,0))</f>
        <v/>
      </c>
      <c r="M311" s="0" t="str">
        <f aca="false">IF(I311="","",INDEX(הגדרות!$A$2:$A$21,MOD(I311+הגדרות!$E$9,הגדרות!$E$6)+1))</f>
        <v/>
      </c>
    </row>
    <row r="312" customFormat="false" ht="15" hidden="false" customHeight="false" outlineLevel="0" collapsed="false">
      <c r="A312" s="0" t="str">
        <f aca="false">IF('הדבקת לידים'!A312="","",IF(ISNUMBER('הדבקת לידים'!A312),IF(הגדרות!$E$2&gt;0,TEXT('הדבקת לידים'!A312,REPT("0",הגדרות!$E$2)),TEXT('הדבקת לידים'!A312,"0")),TRIM('הדבקת לידים'!A312)))</f>
        <v/>
      </c>
      <c r="B312" s="0" t="str">
        <f aca="false">IF('הדבקת לידים'!B312="","",IF(ISNUMBER('הדבקת לידים'!B312),IF(הגדרות!$E$3&gt;0,TEXT('הדבקת לידים'!B312,REPT("0",הגדרות!$E$3)),TEXT('הדבקת לידים'!B312,"0")),TRIM('הדבקת לידים'!B312)))</f>
        <v/>
      </c>
      <c r="C312" s="0" t="n">
        <f aca="false">IF(OR(A312&lt;&gt;"",B312&lt;&gt;""),1,0)</f>
        <v>0</v>
      </c>
      <c r="D312" s="0" t="str">
        <f aca="false">IF(C312=1,MOD(ABS(SIN(ROW()*12.9898+'הדבקת לידים'!$F$2*78.233+IFERROR(--RIGHT(A312,6),LEN(A312))*0.0137+IFERROR(--RIGHT(B312,6),LEN(B312))*0.0071))*43758.5453,1),"")</f>
        <v/>
      </c>
      <c r="E312" s="0" t="str">
        <f aca="false">IF(C312=1,INT(MOD(ABS(SIN(D312*7919.123+ROW()*0.618+'הדבקת לידים'!$F$2*1.3))*43758.5453,1)*1000000)*10000+ROW(),"")</f>
        <v/>
      </c>
      <c r="F312" s="0" t="str">
        <f aca="false">IF(E312="","",RANK(E312,$E$2:$E$5001,1))</f>
        <v/>
      </c>
      <c r="G312" s="0" t="n">
        <f aca="false">IF(A312="",0,IF(SUMPRODUCT(--($A$2:$A$5001=A312))&gt;1,1,0))</f>
        <v>0</v>
      </c>
      <c r="H312" s="0" t="n">
        <f aca="false">ROW()-1</f>
        <v>311</v>
      </c>
      <c r="I312" s="0" t="str">
        <f aca="false">IF(OR(הגדרות!$E$6=0,H312&gt;הגדרות!$E$5),"",IF(H312-1&lt;הגדרות!$E$8*(הגדרות!$E$7+1),INT((H312-1)/(הגדרות!$E$7+1)),הגדרות!$E$8+INT((H312-1-הגדרות!$E$8*(הגדרות!$E$7+1))/הגדרות!$E$7)))</f>
        <v/>
      </c>
      <c r="J312" s="0" t="str">
        <f aca="false">IF(I312="","",IF(H312-1&lt;הגדרות!$E$8*(הגדרות!$E$7+1),MOD(H312-1,הגדרות!$E$7+1),MOD(H312-1-הגדרות!$E$8*(הגדרות!$E$7+1),הגדרות!$E$7)))</f>
        <v/>
      </c>
      <c r="K312" s="0" t="str">
        <f aca="false">IF(I312="","",J312*הגדרות!$E$6+I312+1)</f>
        <v/>
      </c>
      <c r="L312" s="0" t="str">
        <f aca="false">IF(K312="","",MATCH(K312,$F$2:$F$5001,0))</f>
        <v/>
      </c>
      <c r="M312" s="0" t="str">
        <f aca="false">IF(I312="","",INDEX(הגדרות!$A$2:$A$21,MOD(I312+הגדרות!$E$9,הגדרות!$E$6)+1))</f>
        <v/>
      </c>
    </row>
    <row r="313" customFormat="false" ht="15" hidden="false" customHeight="false" outlineLevel="0" collapsed="false">
      <c r="A313" s="0" t="str">
        <f aca="false">IF('הדבקת לידים'!A313="","",IF(ISNUMBER('הדבקת לידים'!A313),IF(הגדרות!$E$2&gt;0,TEXT('הדבקת לידים'!A313,REPT("0",הגדרות!$E$2)),TEXT('הדבקת לידים'!A313,"0")),TRIM('הדבקת לידים'!A313)))</f>
        <v/>
      </c>
      <c r="B313" s="0" t="str">
        <f aca="false">IF('הדבקת לידים'!B313="","",IF(ISNUMBER('הדבקת לידים'!B313),IF(הגדרות!$E$3&gt;0,TEXT('הדבקת לידים'!B313,REPT("0",הגדרות!$E$3)),TEXT('הדבקת לידים'!B313,"0")),TRIM('הדבקת לידים'!B313)))</f>
        <v/>
      </c>
      <c r="C313" s="0" t="n">
        <f aca="false">IF(OR(A313&lt;&gt;"",B313&lt;&gt;""),1,0)</f>
        <v>0</v>
      </c>
      <c r="D313" s="0" t="str">
        <f aca="false">IF(C313=1,MOD(ABS(SIN(ROW()*12.9898+'הדבקת לידים'!$F$2*78.233+IFERROR(--RIGHT(A313,6),LEN(A313))*0.0137+IFERROR(--RIGHT(B313,6),LEN(B313))*0.0071))*43758.5453,1),"")</f>
        <v/>
      </c>
      <c r="E313" s="0" t="str">
        <f aca="false">IF(C313=1,INT(MOD(ABS(SIN(D313*7919.123+ROW()*0.618+'הדבקת לידים'!$F$2*1.3))*43758.5453,1)*1000000)*10000+ROW(),"")</f>
        <v/>
      </c>
      <c r="F313" s="0" t="str">
        <f aca="false">IF(E313="","",RANK(E313,$E$2:$E$5001,1))</f>
        <v/>
      </c>
      <c r="G313" s="0" t="n">
        <f aca="false">IF(A313="",0,IF(SUMPRODUCT(--($A$2:$A$5001=A313))&gt;1,1,0))</f>
        <v>0</v>
      </c>
      <c r="H313" s="0" t="n">
        <f aca="false">ROW()-1</f>
        <v>312</v>
      </c>
      <c r="I313" s="0" t="str">
        <f aca="false">IF(OR(הגדרות!$E$6=0,H313&gt;הגדרות!$E$5),"",IF(H313-1&lt;הגדרות!$E$8*(הגדרות!$E$7+1),INT((H313-1)/(הגדרות!$E$7+1)),הגדרות!$E$8+INT((H313-1-הגדרות!$E$8*(הגדרות!$E$7+1))/הגדרות!$E$7)))</f>
        <v/>
      </c>
      <c r="J313" s="0" t="str">
        <f aca="false">IF(I313="","",IF(H313-1&lt;הגדרות!$E$8*(הגדרות!$E$7+1),MOD(H313-1,הגדרות!$E$7+1),MOD(H313-1-הגדרות!$E$8*(הגדרות!$E$7+1),הגדרות!$E$7)))</f>
        <v/>
      </c>
      <c r="K313" s="0" t="str">
        <f aca="false">IF(I313="","",J313*הגדרות!$E$6+I313+1)</f>
        <v/>
      </c>
      <c r="L313" s="0" t="str">
        <f aca="false">IF(K313="","",MATCH(K313,$F$2:$F$5001,0))</f>
        <v/>
      </c>
      <c r="M313" s="0" t="str">
        <f aca="false">IF(I313="","",INDEX(הגדרות!$A$2:$A$21,MOD(I313+הגדרות!$E$9,הגדרות!$E$6)+1))</f>
        <v/>
      </c>
    </row>
    <row r="314" customFormat="false" ht="15" hidden="false" customHeight="false" outlineLevel="0" collapsed="false">
      <c r="A314" s="0" t="str">
        <f aca="false">IF('הדבקת לידים'!A314="","",IF(ISNUMBER('הדבקת לידים'!A314),IF(הגדרות!$E$2&gt;0,TEXT('הדבקת לידים'!A314,REPT("0",הגדרות!$E$2)),TEXT('הדבקת לידים'!A314,"0")),TRIM('הדבקת לידים'!A314)))</f>
        <v/>
      </c>
      <c r="B314" s="0" t="str">
        <f aca="false">IF('הדבקת לידים'!B314="","",IF(ISNUMBER('הדבקת לידים'!B314),IF(הגדרות!$E$3&gt;0,TEXT('הדבקת לידים'!B314,REPT("0",הגדרות!$E$3)),TEXT('הדבקת לידים'!B314,"0")),TRIM('הדבקת לידים'!B314)))</f>
        <v/>
      </c>
      <c r="C314" s="0" t="n">
        <f aca="false">IF(OR(A314&lt;&gt;"",B314&lt;&gt;""),1,0)</f>
        <v>0</v>
      </c>
      <c r="D314" s="0" t="str">
        <f aca="false">IF(C314=1,MOD(ABS(SIN(ROW()*12.9898+'הדבקת לידים'!$F$2*78.233+IFERROR(--RIGHT(A314,6),LEN(A314))*0.0137+IFERROR(--RIGHT(B314,6),LEN(B314))*0.0071))*43758.5453,1),"")</f>
        <v/>
      </c>
      <c r="E314" s="0" t="str">
        <f aca="false">IF(C314=1,INT(MOD(ABS(SIN(D314*7919.123+ROW()*0.618+'הדבקת לידים'!$F$2*1.3))*43758.5453,1)*1000000)*10000+ROW(),"")</f>
        <v/>
      </c>
      <c r="F314" s="0" t="str">
        <f aca="false">IF(E314="","",RANK(E314,$E$2:$E$5001,1))</f>
        <v/>
      </c>
      <c r="G314" s="0" t="n">
        <f aca="false">IF(A314="",0,IF(SUMPRODUCT(--($A$2:$A$5001=A314))&gt;1,1,0))</f>
        <v>0</v>
      </c>
      <c r="H314" s="0" t="n">
        <f aca="false">ROW()-1</f>
        <v>313</v>
      </c>
      <c r="I314" s="0" t="str">
        <f aca="false">IF(OR(הגדרות!$E$6=0,H314&gt;הגדרות!$E$5),"",IF(H314-1&lt;הגדרות!$E$8*(הגדרות!$E$7+1),INT((H314-1)/(הגדרות!$E$7+1)),הגדרות!$E$8+INT((H314-1-הגדרות!$E$8*(הגדרות!$E$7+1))/הגדרות!$E$7)))</f>
        <v/>
      </c>
      <c r="J314" s="0" t="str">
        <f aca="false">IF(I314="","",IF(H314-1&lt;הגדרות!$E$8*(הגדרות!$E$7+1),MOD(H314-1,הגדרות!$E$7+1),MOD(H314-1-הגדרות!$E$8*(הגדרות!$E$7+1),הגדרות!$E$7)))</f>
        <v/>
      </c>
      <c r="K314" s="0" t="str">
        <f aca="false">IF(I314="","",J314*הגדרות!$E$6+I314+1)</f>
        <v/>
      </c>
      <c r="L314" s="0" t="str">
        <f aca="false">IF(K314="","",MATCH(K314,$F$2:$F$5001,0))</f>
        <v/>
      </c>
      <c r="M314" s="0" t="str">
        <f aca="false">IF(I314="","",INDEX(הגדרות!$A$2:$A$21,MOD(I314+הגדרות!$E$9,הגדרות!$E$6)+1))</f>
        <v/>
      </c>
    </row>
    <row r="315" customFormat="false" ht="15" hidden="false" customHeight="false" outlineLevel="0" collapsed="false">
      <c r="A315" s="0" t="str">
        <f aca="false">IF('הדבקת לידים'!A315="","",IF(ISNUMBER('הדבקת לידים'!A315),IF(הגדרות!$E$2&gt;0,TEXT('הדבקת לידים'!A315,REPT("0",הגדרות!$E$2)),TEXT('הדבקת לידים'!A315,"0")),TRIM('הדבקת לידים'!A315)))</f>
        <v/>
      </c>
      <c r="B315" s="0" t="str">
        <f aca="false">IF('הדבקת לידים'!B315="","",IF(ISNUMBER('הדבקת לידים'!B315),IF(הגדרות!$E$3&gt;0,TEXT('הדבקת לידים'!B315,REPT("0",הגדרות!$E$3)),TEXT('הדבקת לידים'!B315,"0")),TRIM('הדבקת לידים'!B315)))</f>
        <v/>
      </c>
      <c r="C315" s="0" t="n">
        <f aca="false">IF(OR(A315&lt;&gt;"",B315&lt;&gt;""),1,0)</f>
        <v>0</v>
      </c>
      <c r="D315" s="0" t="str">
        <f aca="false">IF(C315=1,MOD(ABS(SIN(ROW()*12.9898+'הדבקת לידים'!$F$2*78.233+IFERROR(--RIGHT(A315,6),LEN(A315))*0.0137+IFERROR(--RIGHT(B315,6),LEN(B315))*0.0071))*43758.5453,1),"")</f>
        <v/>
      </c>
      <c r="E315" s="0" t="str">
        <f aca="false">IF(C315=1,INT(MOD(ABS(SIN(D315*7919.123+ROW()*0.618+'הדבקת לידים'!$F$2*1.3))*43758.5453,1)*1000000)*10000+ROW(),"")</f>
        <v/>
      </c>
      <c r="F315" s="0" t="str">
        <f aca="false">IF(E315="","",RANK(E315,$E$2:$E$5001,1))</f>
        <v/>
      </c>
      <c r="G315" s="0" t="n">
        <f aca="false">IF(A315="",0,IF(SUMPRODUCT(--($A$2:$A$5001=A315))&gt;1,1,0))</f>
        <v>0</v>
      </c>
      <c r="H315" s="0" t="n">
        <f aca="false">ROW()-1</f>
        <v>314</v>
      </c>
      <c r="I315" s="0" t="str">
        <f aca="false">IF(OR(הגדרות!$E$6=0,H315&gt;הגדרות!$E$5),"",IF(H315-1&lt;הגדרות!$E$8*(הגדרות!$E$7+1),INT((H315-1)/(הגדרות!$E$7+1)),הגדרות!$E$8+INT((H315-1-הגדרות!$E$8*(הגדרות!$E$7+1))/הגדרות!$E$7)))</f>
        <v/>
      </c>
      <c r="J315" s="0" t="str">
        <f aca="false">IF(I315="","",IF(H315-1&lt;הגדרות!$E$8*(הגדרות!$E$7+1),MOD(H315-1,הגדרות!$E$7+1),MOD(H315-1-הגדרות!$E$8*(הגדרות!$E$7+1),הגדרות!$E$7)))</f>
        <v/>
      </c>
      <c r="K315" s="0" t="str">
        <f aca="false">IF(I315="","",J315*הגדרות!$E$6+I315+1)</f>
        <v/>
      </c>
      <c r="L315" s="0" t="str">
        <f aca="false">IF(K315="","",MATCH(K315,$F$2:$F$5001,0))</f>
        <v/>
      </c>
      <c r="M315" s="0" t="str">
        <f aca="false">IF(I315="","",INDEX(הגדרות!$A$2:$A$21,MOD(I315+הגדרות!$E$9,הגדרות!$E$6)+1))</f>
        <v/>
      </c>
    </row>
    <row r="316" customFormat="false" ht="15" hidden="false" customHeight="false" outlineLevel="0" collapsed="false">
      <c r="A316" s="0" t="str">
        <f aca="false">IF('הדבקת לידים'!A316="","",IF(ISNUMBER('הדבקת לידים'!A316),IF(הגדרות!$E$2&gt;0,TEXT('הדבקת לידים'!A316,REPT("0",הגדרות!$E$2)),TEXT('הדבקת לידים'!A316,"0")),TRIM('הדבקת לידים'!A316)))</f>
        <v/>
      </c>
      <c r="B316" s="0" t="str">
        <f aca="false">IF('הדבקת לידים'!B316="","",IF(ISNUMBER('הדבקת לידים'!B316),IF(הגדרות!$E$3&gt;0,TEXT('הדבקת לידים'!B316,REPT("0",הגדרות!$E$3)),TEXT('הדבקת לידים'!B316,"0")),TRIM('הדבקת לידים'!B316)))</f>
        <v/>
      </c>
      <c r="C316" s="0" t="n">
        <f aca="false">IF(OR(A316&lt;&gt;"",B316&lt;&gt;""),1,0)</f>
        <v>0</v>
      </c>
      <c r="D316" s="0" t="str">
        <f aca="false">IF(C316=1,MOD(ABS(SIN(ROW()*12.9898+'הדבקת לידים'!$F$2*78.233+IFERROR(--RIGHT(A316,6),LEN(A316))*0.0137+IFERROR(--RIGHT(B316,6),LEN(B316))*0.0071))*43758.5453,1),"")</f>
        <v/>
      </c>
      <c r="E316" s="0" t="str">
        <f aca="false">IF(C316=1,INT(MOD(ABS(SIN(D316*7919.123+ROW()*0.618+'הדבקת לידים'!$F$2*1.3))*43758.5453,1)*1000000)*10000+ROW(),"")</f>
        <v/>
      </c>
      <c r="F316" s="0" t="str">
        <f aca="false">IF(E316="","",RANK(E316,$E$2:$E$5001,1))</f>
        <v/>
      </c>
      <c r="G316" s="0" t="n">
        <f aca="false">IF(A316="",0,IF(SUMPRODUCT(--($A$2:$A$5001=A316))&gt;1,1,0))</f>
        <v>0</v>
      </c>
      <c r="H316" s="0" t="n">
        <f aca="false">ROW()-1</f>
        <v>315</v>
      </c>
      <c r="I316" s="0" t="str">
        <f aca="false">IF(OR(הגדרות!$E$6=0,H316&gt;הגדרות!$E$5),"",IF(H316-1&lt;הגדרות!$E$8*(הגדרות!$E$7+1),INT((H316-1)/(הגדרות!$E$7+1)),הגדרות!$E$8+INT((H316-1-הגדרות!$E$8*(הגדרות!$E$7+1))/הגדרות!$E$7)))</f>
        <v/>
      </c>
      <c r="J316" s="0" t="str">
        <f aca="false">IF(I316="","",IF(H316-1&lt;הגדרות!$E$8*(הגדרות!$E$7+1),MOD(H316-1,הגדרות!$E$7+1),MOD(H316-1-הגדרות!$E$8*(הגדרות!$E$7+1),הגדרות!$E$7)))</f>
        <v/>
      </c>
      <c r="K316" s="0" t="str">
        <f aca="false">IF(I316="","",J316*הגדרות!$E$6+I316+1)</f>
        <v/>
      </c>
      <c r="L316" s="0" t="str">
        <f aca="false">IF(K316="","",MATCH(K316,$F$2:$F$5001,0))</f>
        <v/>
      </c>
      <c r="M316" s="0" t="str">
        <f aca="false">IF(I316="","",INDEX(הגדרות!$A$2:$A$21,MOD(I316+הגדרות!$E$9,הגדרות!$E$6)+1))</f>
        <v/>
      </c>
    </row>
    <row r="317" customFormat="false" ht="15" hidden="false" customHeight="false" outlineLevel="0" collapsed="false">
      <c r="A317" s="0" t="str">
        <f aca="false">IF('הדבקת לידים'!A317="","",IF(ISNUMBER('הדבקת לידים'!A317),IF(הגדרות!$E$2&gt;0,TEXT('הדבקת לידים'!A317,REPT("0",הגדרות!$E$2)),TEXT('הדבקת לידים'!A317,"0")),TRIM('הדבקת לידים'!A317)))</f>
        <v/>
      </c>
      <c r="B317" s="0" t="str">
        <f aca="false">IF('הדבקת לידים'!B317="","",IF(ISNUMBER('הדבקת לידים'!B317),IF(הגדרות!$E$3&gt;0,TEXT('הדבקת לידים'!B317,REPT("0",הגדרות!$E$3)),TEXT('הדבקת לידים'!B317,"0")),TRIM('הדבקת לידים'!B317)))</f>
        <v/>
      </c>
      <c r="C317" s="0" t="n">
        <f aca="false">IF(OR(A317&lt;&gt;"",B317&lt;&gt;""),1,0)</f>
        <v>0</v>
      </c>
      <c r="D317" s="0" t="str">
        <f aca="false">IF(C317=1,MOD(ABS(SIN(ROW()*12.9898+'הדבקת לידים'!$F$2*78.233+IFERROR(--RIGHT(A317,6),LEN(A317))*0.0137+IFERROR(--RIGHT(B317,6),LEN(B317))*0.0071))*43758.5453,1),"")</f>
        <v/>
      </c>
      <c r="E317" s="0" t="str">
        <f aca="false">IF(C317=1,INT(MOD(ABS(SIN(D317*7919.123+ROW()*0.618+'הדבקת לידים'!$F$2*1.3))*43758.5453,1)*1000000)*10000+ROW(),"")</f>
        <v/>
      </c>
      <c r="F317" s="0" t="str">
        <f aca="false">IF(E317="","",RANK(E317,$E$2:$E$5001,1))</f>
        <v/>
      </c>
      <c r="G317" s="0" t="n">
        <f aca="false">IF(A317="",0,IF(SUMPRODUCT(--($A$2:$A$5001=A317))&gt;1,1,0))</f>
        <v>0</v>
      </c>
      <c r="H317" s="0" t="n">
        <f aca="false">ROW()-1</f>
        <v>316</v>
      </c>
      <c r="I317" s="0" t="str">
        <f aca="false">IF(OR(הגדרות!$E$6=0,H317&gt;הגדרות!$E$5),"",IF(H317-1&lt;הגדרות!$E$8*(הגדרות!$E$7+1),INT((H317-1)/(הגדרות!$E$7+1)),הגדרות!$E$8+INT((H317-1-הגדרות!$E$8*(הגדרות!$E$7+1))/הגדרות!$E$7)))</f>
        <v/>
      </c>
      <c r="J317" s="0" t="str">
        <f aca="false">IF(I317="","",IF(H317-1&lt;הגדרות!$E$8*(הגדרות!$E$7+1),MOD(H317-1,הגדרות!$E$7+1),MOD(H317-1-הגדרות!$E$8*(הגדרות!$E$7+1),הגדרות!$E$7)))</f>
        <v/>
      </c>
      <c r="K317" s="0" t="str">
        <f aca="false">IF(I317="","",J317*הגדרות!$E$6+I317+1)</f>
        <v/>
      </c>
      <c r="L317" s="0" t="str">
        <f aca="false">IF(K317="","",MATCH(K317,$F$2:$F$5001,0))</f>
        <v/>
      </c>
      <c r="M317" s="0" t="str">
        <f aca="false">IF(I317="","",INDEX(הגדרות!$A$2:$A$21,MOD(I317+הגדרות!$E$9,הגדרות!$E$6)+1))</f>
        <v/>
      </c>
    </row>
    <row r="318" customFormat="false" ht="15" hidden="false" customHeight="false" outlineLevel="0" collapsed="false">
      <c r="A318" s="0" t="str">
        <f aca="false">IF('הדבקת לידים'!A318="","",IF(ISNUMBER('הדבקת לידים'!A318),IF(הגדרות!$E$2&gt;0,TEXT('הדבקת לידים'!A318,REPT("0",הגדרות!$E$2)),TEXT('הדבקת לידים'!A318,"0")),TRIM('הדבקת לידים'!A318)))</f>
        <v/>
      </c>
      <c r="B318" s="0" t="str">
        <f aca="false">IF('הדבקת לידים'!B318="","",IF(ISNUMBER('הדבקת לידים'!B318),IF(הגדרות!$E$3&gt;0,TEXT('הדבקת לידים'!B318,REPT("0",הגדרות!$E$3)),TEXT('הדבקת לידים'!B318,"0")),TRIM('הדבקת לידים'!B318)))</f>
        <v/>
      </c>
      <c r="C318" s="0" t="n">
        <f aca="false">IF(OR(A318&lt;&gt;"",B318&lt;&gt;""),1,0)</f>
        <v>0</v>
      </c>
      <c r="D318" s="0" t="str">
        <f aca="false">IF(C318=1,MOD(ABS(SIN(ROW()*12.9898+'הדבקת לידים'!$F$2*78.233+IFERROR(--RIGHT(A318,6),LEN(A318))*0.0137+IFERROR(--RIGHT(B318,6),LEN(B318))*0.0071))*43758.5453,1),"")</f>
        <v/>
      </c>
      <c r="E318" s="0" t="str">
        <f aca="false">IF(C318=1,INT(MOD(ABS(SIN(D318*7919.123+ROW()*0.618+'הדבקת לידים'!$F$2*1.3))*43758.5453,1)*1000000)*10000+ROW(),"")</f>
        <v/>
      </c>
      <c r="F318" s="0" t="str">
        <f aca="false">IF(E318="","",RANK(E318,$E$2:$E$5001,1))</f>
        <v/>
      </c>
      <c r="G318" s="0" t="n">
        <f aca="false">IF(A318="",0,IF(SUMPRODUCT(--($A$2:$A$5001=A318))&gt;1,1,0))</f>
        <v>0</v>
      </c>
      <c r="H318" s="0" t="n">
        <f aca="false">ROW()-1</f>
        <v>317</v>
      </c>
      <c r="I318" s="0" t="str">
        <f aca="false">IF(OR(הגדרות!$E$6=0,H318&gt;הגדרות!$E$5),"",IF(H318-1&lt;הגדרות!$E$8*(הגדרות!$E$7+1),INT((H318-1)/(הגדרות!$E$7+1)),הגדרות!$E$8+INT((H318-1-הגדרות!$E$8*(הגדרות!$E$7+1))/הגדרות!$E$7)))</f>
        <v/>
      </c>
      <c r="J318" s="0" t="str">
        <f aca="false">IF(I318="","",IF(H318-1&lt;הגדרות!$E$8*(הגדרות!$E$7+1),MOD(H318-1,הגדרות!$E$7+1),MOD(H318-1-הגדרות!$E$8*(הגדרות!$E$7+1),הגדרות!$E$7)))</f>
        <v/>
      </c>
      <c r="K318" s="0" t="str">
        <f aca="false">IF(I318="","",J318*הגדרות!$E$6+I318+1)</f>
        <v/>
      </c>
      <c r="L318" s="0" t="str">
        <f aca="false">IF(K318="","",MATCH(K318,$F$2:$F$5001,0))</f>
        <v/>
      </c>
      <c r="M318" s="0" t="str">
        <f aca="false">IF(I318="","",INDEX(הגדרות!$A$2:$A$21,MOD(I318+הגדרות!$E$9,הגדרות!$E$6)+1))</f>
        <v/>
      </c>
    </row>
    <row r="319" customFormat="false" ht="15" hidden="false" customHeight="false" outlineLevel="0" collapsed="false">
      <c r="A319" s="0" t="str">
        <f aca="false">IF('הדבקת לידים'!A319="","",IF(ISNUMBER('הדבקת לידים'!A319),IF(הגדרות!$E$2&gt;0,TEXT('הדבקת לידים'!A319,REPT("0",הגדרות!$E$2)),TEXT('הדבקת לידים'!A319,"0")),TRIM('הדבקת לידים'!A319)))</f>
        <v/>
      </c>
      <c r="B319" s="0" t="str">
        <f aca="false">IF('הדבקת לידים'!B319="","",IF(ISNUMBER('הדבקת לידים'!B319),IF(הגדרות!$E$3&gt;0,TEXT('הדבקת לידים'!B319,REPT("0",הגדרות!$E$3)),TEXT('הדבקת לידים'!B319,"0")),TRIM('הדבקת לידים'!B319)))</f>
        <v/>
      </c>
      <c r="C319" s="0" t="n">
        <f aca="false">IF(OR(A319&lt;&gt;"",B319&lt;&gt;""),1,0)</f>
        <v>0</v>
      </c>
      <c r="D319" s="0" t="str">
        <f aca="false">IF(C319=1,MOD(ABS(SIN(ROW()*12.9898+'הדבקת לידים'!$F$2*78.233+IFERROR(--RIGHT(A319,6),LEN(A319))*0.0137+IFERROR(--RIGHT(B319,6),LEN(B319))*0.0071))*43758.5453,1),"")</f>
        <v/>
      </c>
      <c r="E319" s="0" t="str">
        <f aca="false">IF(C319=1,INT(MOD(ABS(SIN(D319*7919.123+ROW()*0.618+'הדבקת לידים'!$F$2*1.3))*43758.5453,1)*1000000)*10000+ROW(),"")</f>
        <v/>
      </c>
      <c r="F319" s="0" t="str">
        <f aca="false">IF(E319="","",RANK(E319,$E$2:$E$5001,1))</f>
        <v/>
      </c>
      <c r="G319" s="0" t="n">
        <f aca="false">IF(A319="",0,IF(SUMPRODUCT(--($A$2:$A$5001=A319))&gt;1,1,0))</f>
        <v>0</v>
      </c>
      <c r="H319" s="0" t="n">
        <f aca="false">ROW()-1</f>
        <v>318</v>
      </c>
      <c r="I319" s="0" t="str">
        <f aca="false">IF(OR(הגדרות!$E$6=0,H319&gt;הגדרות!$E$5),"",IF(H319-1&lt;הגדרות!$E$8*(הגדרות!$E$7+1),INT((H319-1)/(הגדרות!$E$7+1)),הגדרות!$E$8+INT((H319-1-הגדרות!$E$8*(הגדרות!$E$7+1))/הגדרות!$E$7)))</f>
        <v/>
      </c>
      <c r="J319" s="0" t="str">
        <f aca="false">IF(I319="","",IF(H319-1&lt;הגדרות!$E$8*(הגדרות!$E$7+1),MOD(H319-1,הגדרות!$E$7+1),MOD(H319-1-הגדרות!$E$8*(הגדרות!$E$7+1),הגדרות!$E$7)))</f>
        <v/>
      </c>
      <c r="K319" s="0" t="str">
        <f aca="false">IF(I319="","",J319*הגדרות!$E$6+I319+1)</f>
        <v/>
      </c>
      <c r="L319" s="0" t="str">
        <f aca="false">IF(K319="","",MATCH(K319,$F$2:$F$5001,0))</f>
        <v/>
      </c>
      <c r="M319" s="0" t="str">
        <f aca="false">IF(I319="","",INDEX(הגדרות!$A$2:$A$21,MOD(I319+הגדרות!$E$9,הגדרות!$E$6)+1))</f>
        <v/>
      </c>
    </row>
    <row r="320" customFormat="false" ht="15" hidden="false" customHeight="false" outlineLevel="0" collapsed="false">
      <c r="A320" s="0" t="str">
        <f aca="false">IF('הדבקת לידים'!A320="","",IF(ISNUMBER('הדבקת לידים'!A320),IF(הגדרות!$E$2&gt;0,TEXT('הדבקת לידים'!A320,REPT("0",הגדרות!$E$2)),TEXT('הדבקת לידים'!A320,"0")),TRIM('הדבקת לידים'!A320)))</f>
        <v/>
      </c>
      <c r="B320" s="0" t="str">
        <f aca="false">IF('הדבקת לידים'!B320="","",IF(ISNUMBER('הדבקת לידים'!B320),IF(הגדרות!$E$3&gt;0,TEXT('הדבקת לידים'!B320,REPT("0",הגדרות!$E$3)),TEXT('הדבקת לידים'!B320,"0")),TRIM('הדבקת לידים'!B320)))</f>
        <v/>
      </c>
      <c r="C320" s="0" t="n">
        <f aca="false">IF(OR(A320&lt;&gt;"",B320&lt;&gt;""),1,0)</f>
        <v>0</v>
      </c>
      <c r="D320" s="0" t="str">
        <f aca="false">IF(C320=1,MOD(ABS(SIN(ROW()*12.9898+'הדבקת לידים'!$F$2*78.233+IFERROR(--RIGHT(A320,6),LEN(A320))*0.0137+IFERROR(--RIGHT(B320,6),LEN(B320))*0.0071))*43758.5453,1),"")</f>
        <v/>
      </c>
      <c r="E320" s="0" t="str">
        <f aca="false">IF(C320=1,INT(MOD(ABS(SIN(D320*7919.123+ROW()*0.618+'הדבקת לידים'!$F$2*1.3))*43758.5453,1)*1000000)*10000+ROW(),"")</f>
        <v/>
      </c>
      <c r="F320" s="0" t="str">
        <f aca="false">IF(E320="","",RANK(E320,$E$2:$E$5001,1))</f>
        <v/>
      </c>
      <c r="G320" s="0" t="n">
        <f aca="false">IF(A320="",0,IF(SUMPRODUCT(--($A$2:$A$5001=A320))&gt;1,1,0))</f>
        <v>0</v>
      </c>
      <c r="H320" s="0" t="n">
        <f aca="false">ROW()-1</f>
        <v>319</v>
      </c>
      <c r="I320" s="0" t="str">
        <f aca="false">IF(OR(הגדרות!$E$6=0,H320&gt;הגדרות!$E$5),"",IF(H320-1&lt;הגדרות!$E$8*(הגדרות!$E$7+1),INT((H320-1)/(הגדרות!$E$7+1)),הגדרות!$E$8+INT((H320-1-הגדרות!$E$8*(הגדרות!$E$7+1))/הגדרות!$E$7)))</f>
        <v/>
      </c>
      <c r="J320" s="0" t="str">
        <f aca="false">IF(I320="","",IF(H320-1&lt;הגדרות!$E$8*(הגדרות!$E$7+1),MOD(H320-1,הגדרות!$E$7+1),MOD(H320-1-הגדרות!$E$8*(הגדרות!$E$7+1),הגדרות!$E$7)))</f>
        <v/>
      </c>
      <c r="K320" s="0" t="str">
        <f aca="false">IF(I320="","",J320*הגדרות!$E$6+I320+1)</f>
        <v/>
      </c>
      <c r="L320" s="0" t="str">
        <f aca="false">IF(K320="","",MATCH(K320,$F$2:$F$5001,0))</f>
        <v/>
      </c>
      <c r="M320" s="0" t="str">
        <f aca="false">IF(I320="","",INDEX(הגדרות!$A$2:$A$21,MOD(I320+הגדרות!$E$9,הגדרות!$E$6)+1))</f>
        <v/>
      </c>
    </row>
    <row r="321" customFormat="false" ht="15" hidden="false" customHeight="false" outlineLevel="0" collapsed="false">
      <c r="A321" s="0" t="str">
        <f aca="false">IF('הדבקת לידים'!A321="","",IF(ISNUMBER('הדבקת לידים'!A321),IF(הגדרות!$E$2&gt;0,TEXT('הדבקת לידים'!A321,REPT("0",הגדרות!$E$2)),TEXT('הדבקת לידים'!A321,"0")),TRIM('הדבקת לידים'!A321)))</f>
        <v/>
      </c>
      <c r="B321" s="0" t="str">
        <f aca="false">IF('הדבקת לידים'!B321="","",IF(ISNUMBER('הדבקת לידים'!B321),IF(הגדרות!$E$3&gt;0,TEXT('הדבקת לידים'!B321,REPT("0",הגדרות!$E$3)),TEXT('הדבקת לידים'!B321,"0")),TRIM('הדבקת לידים'!B321)))</f>
        <v/>
      </c>
      <c r="C321" s="0" t="n">
        <f aca="false">IF(OR(A321&lt;&gt;"",B321&lt;&gt;""),1,0)</f>
        <v>0</v>
      </c>
      <c r="D321" s="0" t="str">
        <f aca="false">IF(C321=1,MOD(ABS(SIN(ROW()*12.9898+'הדבקת לידים'!$F$2*78.233+IFERROR(--RIGHT(A321,6),LEN(A321))*0.0137+IFERROR(--RIGHT(B321,6),LEN(B321))*0.0071))*43758.5453,1),"")</f>
        <v/>
      </c>
      <c r="E321" s="0" t="str">
        <f aca="false">IF(C321=1,INT(MOD(ABS(SIN(D321*7919.123+ROW()*0.618+'הדבקת לידים'!$F$2*1.3))*43758.5453,1)*1000000)*10000+ROW(),"")</f>
        <v/>
      </c>
      <c r="F321" s="0" t="str">
        <f aca="false">IF(E321="","",RANK(E321,$E$2:$E$5001,1))</f>
        <v/>
      </c>
      <c r="G321" s="0" t="n">
        <f aca="false">IF(A321="",0,IF(SUMPRODUCT(--($A$2:$A$5001=A321))&gt;1,1,0))</f>
        <v>0</v>
      </c>
      <c r="H321" s="0" t="n">
        <f aca="false">ROW()-1</f>
        <v>320</v>
      </c>
      <c r="I321" s="0" t="str">
        <f aca="false">IF(OR(הגדרות!$E$6=0,H321&gt;הגדרות!$E$5),"",IF(H321-1&lt;הגדרות!$E$8*(הגדרות!$E$7+1),INT((H321-1)/(הגדרות!$E$7+1)),הגדרות!$E$8+INT((H321-1-הגדרות!$E$8*(הגדרות!$E$7+1))/הגדרות!$E$7)))</f>
        <v/>
      </c>
      <c r="J321" s="0" t="str">
        <f aca="false">IF(I321="","",IF(H321-1&lt;הגדרות!$E$8*(הגדרות!$E$7+1),MOD(H321-1,הגדרות!$E$7+1),MOD(H321-1-הגדרות!$E$8*(הגדרות!$E$7+1),הגדרות!$E$7)))</f>
        <v/>
      </c>
      <c r="K321" s="0" t="str">
        <f aca="false">IF(I321="","",J321*הגדרות!$E$6+I321+1)</f>
        <v/>
      </c>
      <c r="L321" s="0" t="str">
        <f aca="false">IF(K321="","",MATCH(K321,$F$2:$F$5001,0))</f>
        <v/>
      </c>
      <c r="M321" s="0" t="str">
        <f aca="false">IF(I321="","",INDEX(הגדרות!$A$2:$A$21,MOD(I321+הגדרות!$E$9,הגדרות!$E$6)+1))</f>
        <v/>
      </c>
    </row>
    <row r="322" customFormat="false" ht="15" hidden="false" customHeight="false" outlineLevel="0" collapsed="false">
      <c r="A322" s="0" t="str">
        <f aca="false">IF('הדבקת לידים'!A322="","",IF(ISNUMBER('הדבקת לידים'!A322),IF(הגדרות!$E$2&gt;0,TEXT('הדבקת לידים'!A322,REPT("0",הגדרות!$E$2)),TEXT('הדבקת לידים'!A322,"0")),TRIM('הדבקת לידים'!A322)))</f>
        <v/>
      </c>
      <c r="B322" s="0" t="str">
        <f aca="false">IF('הדבקת לידים'!B322="","",IF(ISNUMBER('הדבקת לידים'!B322),IF(הגדרות!$E$3&gt;0,TEXT('הדבקת לידים'!B322,REPT("0",הגדרות!$E$3)),TEXT('הדבקת לידים'!B322,"0")),TRIM('הדבקת לידים'!B322)))</f>
        <v/>
      </c>
      <c r="C322" s="0" t="n">
        <f aca="false">IF(OR(A322&lt;&gt;"",B322&lt;&gt;""),1,0)</f>
        <v>0</v>
      </c>
      <c r="D322" s="0" t="str">
        <f aca="false">IF(C322=1,MOD(ABS(SIN(ROW()*12.9898+'הדבקת לידים'!$F$2*78.233+IFERROR(--RIGHT(A322,6),LEN(A322))*0.0137+IFERROR(--RIGHT(B322,6),LEN(B322))*0.0071))*43758.5453,1),"")</f>
        <v/>
      </c>
      <c r="E322" s="0" t="str">
        <f aca="false">IF(C322=1,INT(MOD(ABS(SIN(D322*7919.123+ROW()*0.618+'הדבקת לידים'!$F$2*1.3))*43758.5453,1)*1000000)*10000+ROW(),"")</f>
        <v/>
      </c>
      <c r="F322" s="0" t="str">
        <f aca="false">IF(E322="","",RANK(E322,$E$2:$E$5001,1))</f>
        <v/>
      </c>
      <c r="G322" s="0" t="n">
        <f aca="false">IF(A322="",0,IF(SUMPRODUCT(--($A$2:$A$5001=A322))&gt;1,1,0))</f>
        <v>0</v>
      </c>
      <c r="H322" s="0" t="n">
        <f aca="false">ROW()-1</f>
        <v>321</v>
      </c>
      <c r="I322" s="0" t="str">
        <f aca="false">IF(OR(הגדרות!$E$6=0,H322&gt;הגדרות!$E$5),"",IF(H322-1&lt;הגדרות!$E$8*(הגדרות!$E$7+1),INT((H322-1)/(הגדרות!$E$7+1)),הגדרות!$E$8+INT((H322-1-הגדרות!$E$8*(הגדרות!$E$7+1))/הגדרות!$E$7)))</f>
        <v/>
      </c>
      <c r="J322" s="0" t="str">
        <f aca="false">IF(I322="","",IF(H322-1&lt;הגדרות!$E$8*(הגדרות!$E$7+1),MOD(H322-1,הגדרות!$E$7+1),MOD(H322-1-הגדרות!$E$8*(הגדרות!$E$7+1),הגדרות!$E$7)))</f>
        <v/>
      </c>
      <c r="K322" s="0" t="str">
        <f aca="false">IF(I322="","",J322*הגדרות!$E$6+I322+1)</f>
        <v/>
      </c>
      <c r="L322" s="0" t="str">
        <f aca="false">IF(K322="","",MATCH(K322,$F$2:$F$5001,0))</f>
        <v/>
      </c>
      <c r="M322" s="0" t="str">
        <f aca="false">IF(I322="","",INDEX(הגדרות!$A$2:$A$21,MOD(I322+הגדרות!$E$9,הגדרות!$E$6)+1))</f>
        <v/>
      </c>
    </row>
    <row r="323" customFormat="false" ht="15" hidden="false" customHeight="false" outlineLevel="0" collapsed="false">
      <c r="A323" s="0" t="str">
        <f aca="false">IF('הדבקת לידים'!A323="","",IF(ISNUMBER('הדבקת לידים'!A323),IF(הגדרות!$E$2&gt;0,TEXT('הדבקת לידים'!A323,REPT("0",הגדרות!$E$2)),TEXT('הדבקת לידים'!A323,"0")),TRIM('הדבקת לידים'!A323)))</f>
        <v/>
      </c>
      <c r="B323" s="0" t="str">
        <f aca="false">IF('הדבקת לידים'!B323="","",IF(ISNUMBER('הדבקת לידים'!B323),IF(הגדרות!$E$3&gt;0,TEXT('הדבקת לידים'!B323,REPT("0",הגדרות!$E$3)),TEXT('הדבקת לידים'!B323,"0")),TRIM('הדבקת לידים'!B323)))</f>
        <v/>
      </c>
      <c r="C323" s="0" t="n">
        <f aca="false">IF(OR(A323&lt;&gt;"",B323&lt;&gt;""),1,0)</f>
        <v>0</v>
      </c>
      <c r="D323" s="0" t="str">
        <f aca="false">IF(C323=1,MOD(ABS(SIN(ROW()*12.9898+'הדבקת לידים'!$F$2*78.233+IFERROR(--RIGHT(A323,6),LEN(A323))*0.0137+IFERROR(--RIGHT(B323,6),LEN(B323))*0.0071))*43758.5453,1),"")</f>
        <v/>
      </c>
      <c r="E323" s="0" t="str">
        <f aca="false">IF(C323=1,INT(MOD(ABS(SIN(D323*7919.123+ROW()*0.618+'הדבקת לידים'!$F$2*1.3))*43758.5453,1)*1000000)*10000+ROW(),"")</f>
        <v/>
      </c>
      <c r="F323" s="0" t="str">
        <f aca="false">IF(E323="","",RANK(E323,$E$2:$E$5001,1))</f>
        <v/>
      </c>
      <c r="G323" s="0" t="n">
        <f aca="false">IF(A323="",0,IF(SUMPRODUCT(--($A$2:$A$5001=A323))&gt;1,1,0))</f>
        <v>0</v>
      </c>
      <c r="H323" s="0" t="n">
        <f aca="false">ROW()-1</f>
        <v>322</v>
      </c>
      <c r="I323" s="0" t="str">
        <f aca="false">IF(OR(הגדרות!$E$6=0,H323&gt;הגדרות!$E$5),"",IF(H323-1&lt;הגדרות!$E$8*(הגדרות!$E$7+1),INT((H323-1)/(הגדרות!$E$7+1)),הגדרות!$E$8+INT((H323-1-הגדרות!$E$8*(הגדרות!$E$7+1))/הגדרות!$E$7)))</f>
        <v/>
      </c>
      <c r="J323" s="0" t="str">
        <f aca="false">IF(I323="","",IF(H323-1&lt;הגדרות!$E$8*(הגדרות!$E$7+1),MOD(H323-1,הגדרות!$E$7+1),MOD(H323-1-הגדרות!$E$8*(הגדרות!$E$7+1),הגדרות!$E$7)))</f>
        <v/>
      </c>
      <c r="K323" s="0" t="str">
        <f aca="false">IF(I323="","",J323*הגדרות!$E$6+I323+1)</f>
        <v/>
      </c>
      <c r="L323" s="0" t="str">
        <f aca="false">IF(K323="","",MATCH(K323,$F$2:$F$5001,0))</f>
        <v/>
      </c>
      <c r="M323" s="0" t="str">
        <f aca="false">IF(I323="","",INDEX(הגדרות!$A$2:$A$21,MOD(I323+הגדרות!$E$9,הגדרות!$E$6)+1))</f>
        <v/>
      </c>
    </row>
    <row r="324" customFormat="false" ht="15" hidden="false" customHeight="false" outlineLevel="0" collapsed="false">
      <c r="A324" s="0" t="str">
        <f aca="false">IF('הדבקת לידים'!A324="","",IF(ISNUMBER('הדבקת לידים'!A324),IF(הגדרות!$E$2&gt;0,TEXT('הדבקת לידים'!A324,REPT("0",הגדרות!$E$2)),TEXT('הדבקת לידים'!A324,"0")),TRIM('הדבקת לידים'!A324)))</f>
        <v/>
      </c>
      <c r="B324" s="0" t="str">
        <f aca="false">IF('הדבקת לידים'!B324="","",IF(ISNUMBER('הדבקת לידים'!B324),IF(הגדרות!$E$3&gt;0,TEXT('הדבקת לידים'!B324,REPT("0",הגדרות!$E$3)),TEXT('הדבקת לידים'!B324,"0")),TRIM('הדבקת לידים'!B324)))</f>
        <v/>
      </c>
      <c r="C324" s="0" t="n">
        <f aca="false">IF(OR(A324&lt;&gt;"",B324&lt;&gt;""),1,0)</f>
        <v>0</v>
      </c>
      <c r="D324" s="0" t="str">
        <f aca="false">IF(C324=1,MOD(ABS(SIN(ROW()*12.9898+'הדבקת לידים'!$F$2*78.233+IFERROR(--RIGHT(A324,6),LEN(A324))*0.0137+IFERROR(--RIGHT(B324,6),LEN(B324))*0.0071))*43758.5453,1),"")</f>
        <v/>
      </c>
      <c r="E324" s="0" t="str">
        <f aca="false">IF(C324=1,INT(MOD(ABS(SIN(D324*7919.123+ROW()*0.618+'הדבקת לידים'!$F$2*1.3))*43758.5453,1)*1000000)*10000+ROW(),"")</f>
        <v/>
      </c>
      <c r="F324" s="0" t="str">
        <f aca="false">IF(E324="","",RANK(E324,$E$2:$E$5001,1))</f>
        <v/>
      </c>
      <c r="G324" s="0" t="n">
        <f aca="false">IF(A324="",0,IF(SUMPRODUCT(--($A$2:$A$5001=A324))&gt;1,1,0))</f>
        <v>0</v>
      </c>
      <c r="H324" s="0" t="n">
        <f aca="false">ROW()-1</f>
        <v>323</v>
      </c>
      <c r="I324" s="0" t="str">
        <f aca="false">IF(OR(הגדרות!$E$6=0,H324&gt;הגדרות!$E$5),"",IF(H324-1&lt;הגדרות!$E$8*(הגדרות!$E$7+1),INT((H324-1)/(הגדרות!$E$7+1)),הגדרות!$E$8+INT((H324-1-הגדרות!$E$8*(הגדרות!$E$7+1))/הגדרות!$E$7)))</f>
        <v/>
      </c>
      <c r="J324" s="0" t="str">
        <f aca="false">IF(I324="","",IF(H324-1&lt;הגדרות!$E$8*(הגדרות!$E$7+1),MOD(H324-1,הגדרות!$E$7+1),MOD(H324-1-הגדרות!$E$8*(הגדרות!$E$7+1),הגדרות!$E$7)))</f>
        <v/>
      </c>
      <c r="K324" s="0" t="str">
        <f aca="false">IF(I324="","",J324*הגדרות!$E$6+I324+1)</f>
        <v/>
      </c>
      <c r="L324" s="0" t="str">
        <f aca="false">IF(K324="","",MATCH(K324,$F$2:$F$5001,0))</f>
        <v/>
      </c>
      <c r="M324" s="0" t="str">
        <f aca="false">IF(I324="","",INDEX(הגדרות!$A$2:$A$21,MOD(I324+הגדרות!$E$9,הגדרות!$E$6)+1))</f>
        <v/>
      </c>
    </row>
    <row r="325" customFormat="false" ht="15" hidden="false" customHeight="false" outlineLevel="0" collapsed="false">
      <c r="A325" s="0" t="str">
        <f aca="false">IF('הדבקת לידים'!A325="","",IF(ISNUMBER('הדבקת לידים'!A325),IF(הגדרות!$E$2&gt;0,TEXT('הדבקת לידים'!A325,REPT("0",הגדרות!$E$2)),TEXT('הדבקת לידים'!A325,"0")),TRIM('הדבקת לידים'!A325)))</f>
        <v/>
      </c>
      <c r="B325" s="0" t="str">
        <f aca="false">IF('הדבקת לידים'!B325="","",IF(ISNUMBER('הדבקת לידים'!B325),IF(הגדרות!$E$3&gt;0,TEXT('הדבקת לידים'!B325,REPT("0",הגדרות!$E$3)),TEXT('הדבקת לידים'!B325,"0")),TRIM('הדבקת לידים'!B325)))</f>
        <v/>
      </c>
      <c r="C325" s="0" t="n">
        <f aca="false">IF(OR(A325&lt;&gt;"",B325&lt;&gt;""),1,0)</f>
        <v>0</v>
      </c>
      <c r="D325" s="0" t="str">
        <f aca="false">IF(C325=1,MOD(ABS(SIN(ROW()*12.9898+'הדבקת לידים'!$F$2*78.233+IFERROR(--RIGHT(A325,6),LEN(A325))*0.0137+IFERROR(--RIGHT(B325,6),LEN(B325))*0.0071))*43758.5453,1),"")</f>
        <v/>
      </c>
      <c r="E325" s="0" t="str">
        <f aca="false">IF(C325=1,INT(MOD(ABS(SIN(D325*7919.123+ROW()*0.618+'הדבקת לידים'!$F$2*1.3))*43758.5453,1)*1000000)*10000+ROW(),"")</f>
        <v/>
      </c>
      <c r="F325" s="0" t="str">
        <f aca="false">IF(E325="","",RANK(E325,$E$2:$E$5001,1))</f>
        <v/>
      </c>
      <c r="G325" s="0" t="n">
        <f aca="false">IF(A325="",0,IF(SUMPRODUCT(--($A$2:$A$5001=A325))&gt;1,1,0))</f>
        <v>0</v>
      </c>
      <c r="H325" s="0" t="n">
        <f aca="false">ROW()-1</f>
        <v>324</v>
      </c>
      <c r="I325" s="0" t="str">
        <f aca="false">IF(OR(הגדרות!$E$6=0,H325&gt;הגדרות!$E$5),"",IF(H325-1&lt;הגדרות!$E$8*(הגדרות!$E$7+1),INT((H325-1)/(הגדרות!$E$7+1)),הגדרות!$E$8+INT((H325-1-הגדרות!$E$8*(הגדרות!$E$7+1))/הגדרות!$E$7)))</f>
        <v/>
      </c>
      <c r="J325" s="0" t="str">
        <f aca="false">IF(I325="","",IF(H325-1&lt;הגדרות!$E$8*(הגדרות!$E$7+1),MOD(H325-1,הגדרות!$E$7+1),MOD(H325-1-הגדרות!$E$8*(הגדרות!$E$7+1),הגדרות!$E$7)))</f>
        <v/>
      </c>
      <c r="K325" s="0" t="str">
        <f aca="false">IF(I325="","",J325*הגדרות!$E$6+I325+1)</f>
        <v/>
      </c>
      <c r="L325" s="0" t="str">
        <f aca="false">IF(K325="","",MATCH(K325,$F$2:$F$5001,0))</f>
        <v/>
      </c>
      <c r="M325" s="0" t="str">
        <f aca="false">IF(I325="","",INDEX(הגדרות!$A$2:$A$21,MOD(I325+הגדרות!$E$9,הגדרות!$E$6)+1))</f>
        <v/>
      </c>
    </row>
    <row r="326" customFormat="false" ht="15" hidden="false" customHeight="false" outlineLevel="0" collapsed="false">
      <c r="A326" s="0" t="str">
        <f aca="false">IF('הדבקת לידים'!A326="","",IF(ISNUMBER('הדבקת לידים'!A326),IF(הגדרות!$E$2&gt;0,TEXT('הדבקת לידים'!A326,REPT("0",הגדרות!$E$2)),TEXT('הדבקת לידים'!A326,"0")),TRIM('הדבקת לידים'!A326)))</f>
        <v/>
      </c>
      <c r="B326" s="0" t="str">
        <f aca="false">IF('הדבקת לידים'!B326="","",IF(ISNUMBER('הדבקת לידים'!B326),IF(הגדרות!$E$3&gt;0,TEXT('הדבקת לידים'!B326,REPT("0",הגדרות!$E$3)),TEXT('הדבקת לידים'!B326,"0")),TRIM('הדבקת לידים'!B326)))</f>
        <v/>
      </c>
      <c r="C326" s="0" t="n">
        <f aca="false">IF(OR(A326&lt;&gt;"",B326&lt;&gt;""),1,0)</f>
        <v>0</v>
      </c>
      <c r="D326" s="0" t="str">
        <f aca="false">IF(C326=1,MOD(ABS(SIN(ROW()*12.9898+'הדבקת לידים'!$F$2*78.233+IFERROR(--RIGHT(A326,6),LEN(A326))*0.0137+IFERROR(--RIGHT(B326,6),LEN(B326))*0.0071))*43758.5453,1),"")</f>
        <v/>
      </c>
      <c r="E326" s="0" t="str">
        <f aca="false">IF(C326=1,INT(MOD(ABS(SIN(D326*7919.123+ROW()*0.618+'הדבקת לידים'!$F$2*1.3))*43758.5453,1)*1000000)*10000+ROW(),"")</f>
        <v/>
      </c>
      <c r="F326" s="0" t="str">
        <f aca="false">IF(E326="","",RANK(E326,$E$2:$E$5001,1))</f>
        <v/>
      </c>
      <c r="G326" s="0" t="n">
        <f aca="false">IF(A326="",0,IF(SUMPRODUCT(--($A$2:$A$5001=A326))&gt;1,1,0))</f>
        <v>0</v>
      </c>
      <c r="H326" s="0" t="n">
        <f aca="false">ROW()-1</f>
        <v>325</v>
      </c>
      <c r="I326" s="0" t="str">
        <f aca="false">IF(OR(הגדרות!$E$6=0,H326&gt;הגדרות!$E$5),"",IF(H326-1&lt;הגדרות!$E$8*(הגדרות!$E$7+1),INT((H326-1)/(הגדרות!$E$7+1)),הגדרות!$E$8+INT((H326-1-הגדרות!$E$8*(הגדרות!$E$7+1))/הגדרות!$E$7)))</f>
        <v/>
      </c>
      <c r="J326" s="0" t="str">
        <f aca="false">IF(I326="","",IF(H326-1&lt;הגדרות!$E$8*(הגדרות!$E$7+1),MOD(H326-1,הגדרות!$E$7+1),MOD(H326-1-הגדרות!$E$8*(הגדרות!$E$7+1),הגדרות!$E$7)))</f>
        <v/>
      </c>
      <c r="K326" s="0" t="str">
        <f aca="false">IF(I326="","",J326*הגדרות!$E$6+I326+1)</f>
        <v/>
      </c>
      <c r="L326" s="0" t="str">
        <f aca="false">IF(K326="","",MATCH(K326,$F$2:$F$5001,0))</f>
        <v/>
      </c>
      <c r="M326" s="0" t="str">
        <f aca="false">IF(I326="","",INDEX(הגדרות!$A$2:$A$21,MOD(I326+הגדרות!$E$9,הגדרות!$E$6)+1))</f>
        <v/>
      </c>
    </row>
    <row r="327" customFormat="false" ht="15" hidden="false" customHeight="false" outlineLevel="0" collapsed="false">
      <c r="A327" s="0" t="str">
        <f aca="false">IF('הדבקת לידים'!A327="","",IF(ISNUMBER('הדבקת לידים'!A327),IF(הגדרות!$E$2&gt;0,TEXT('הדבקת לידים'!A327,REPT("0",הגדרות!$E$2)),TEXT('הדבקת לידים'!A327,"0")),TRIM('הדבקת לידים'!A327)))</f>
        <v/>
      </c>
      <c r="B327" s="0" t="str">
        <f aca="false">IF('הדבקת לידים'!B327="","",IF(ISNUMBER('הדבקת לידים'!B327),IF(הגדרות!$E$3&gt;0,TEXT('הדבקת לידים'!B327,REPT("0",הגדרות!$E$3)),TEXT('הדבקת לידים'!B327,"0")),TRIM('הדבקת לידים'!B327)))</f>
        <v/>
      </c>
      <c r="C327" s="0" t="n">
        <f aca="false">IF(OR(A327&lt;&gt;"",B327&lt;&gt;""),1,0)</f>
        <v>0</v>
      </c>
      <c r="D327" s="0" t="str">
        <f aca="false">IF(C327=1,MOD(ABS(SIN(ROW()*12.9898+'הדבקת לידים'!$F$2*78.233+IFERROR(--RIGHT(A327,6),LEN(A327))*0.0137+IFERROR(--RIGHT(B327,6),LEN(B327))*0.0071))*43758.5453,1),"")</f>
        <v/>
      </c>
      <c r="E327" s="0" t="str">
        <f aca="false">IF(C327=1,INT(MOD(ABS(SIN(D327*7919.123+ROW()*0.618+'הדבקת לידים'!$F$2*1.3))*43758.5453,1)*1000000)*10000+ROW(),"")</f>
        <v/>
      </c>
      <c r="F327" s="0" t="str">
        <f aca="false">IF(E327="","",RANK(E327,$E$2:$E$5001,1))</f>
        <v/>
      </c>
      <c r="G327" s="0" t="n">
        <f aca="false">IF(A327="",0,IF(SUMPRODUCT(--($A$2:$A$5001=A327))&gt;1,1,0))</f>
        <v>0</v>
      </c>
      <c r="H327" s="0" t="n">
        <f aca="false">ROW()-1</f>
        <v>326</v>
      </c>
      <c r="I327" s="0" t="str">
        <f aca="false">IF(OR(הגדרות!$E$6=0,H327&gt;הגדרות!$E$5),"",IF(H327-1&lt;הגדרות!$E$8*(הגדרות!$E$7+1),INT((H327-1)/(הגדרות!$E$7+1)),הגדרות!$E$8+INT((H327-1-הגדרות!$E$8*(הגדרות!$E$7+1))/הגדרות!$E$7)))</f>
        <v/>
      </c>
      <c r="J327" s="0" t="str">
        <f aca="false">IF(I327="","",IF(H327-1&lt;הגדרות!$E$8*(הגדרות!$E$7+1),MOD(H327-1,הגדרות!$E$7+1),MOD(H327-1-הגדרות!$E$8*(הגדרות!$E$7+1),הגדרות!$E$7)))</f>
        <v/>
      </c>
      <c r="K327" s="0" t="str">
        <f aca="false">IF(I327="","",J327*הגדרות!$E$6+I327+1)</f>
        <v/>
      </c>
      <c r="L327" s="0" t="str">
        <f aca="false">IF(K327="","",MATCH(K327,$F$2:$F$5001,0))</f>
        <v/>
      </c>
      <c r="M327" s="0" t="str">
        <f aca="false">IF(I327="","",INDEX(הגדרות!$A$2:$A$21,MOD(I327+הגדרות!$E$9,הגדרות!$E$6)+1))</f>
        <v/>
      </c>
    </row>
    <row r="328" customFormat="false" ht="15" hidden="false" customHeight="false" outlineLevel="0" collapsed="false">
      <c r="A328" s="0" t="str">
        <f aca="false">IF('הדבקת לידים'!A328="","",IF(ISNUMBER('הדבקת לידים'!A328),IF(הגדרות!$E$2&gt;0,TEXT('הדבקת לידים'!A328,REPT("0",הגדרות!$E$2)),TEXT('הדבקת לידים'!A328,"0")),TRIM('הדבקת לידים'!A328)))</f>
        <v/>
      </c>
      <c r="B328" s="0" t="str">
        <f aca="false">IF('הדבקת לידים'!B328="","",IF(ISNUMBER('הדבקת לידים'!B328),IF(הגדרות!$E$3&gt;0,TEXT('הדבקת לידים'!B328,REPT("0",הגדרות!$E$3)),TEXT('הדבקת לידים'!B328,"0")),TRIM('הדבקת לידים'!B328)))</f>
        <v/>
      </c>
      <c r="C328" s="0" t="n">
        <f aca="false">IF(OR(A328&lt;&gt;"",B328&lt;&gt;""),1,0)</f>
        <v>0</v>
      </c>
      <c r="D328" s="0" t="str">
        <f aca="false">IF(C328=1,MOD(ABS(SIN(ROW()*12.9898+'הדבקת לידים'!$F$2*78.233+IFERROR(--RIGHT(A328,6),LEN(A328))*0.0137+IFERROR(--RIGHT(B328,6),LEN(B328))*0.0071))*43758.5453,1),"")</f>
        <v/>
      </c>
      <c r="E328" s="0" t="str">
        <f aca="false">IF(C328=1,INT(MOD(ABS(SIN(D328*7919.123+ROW()*0.618+'הדבקת לידים'!$F$2*1.3))*43758.5453,1)*1000000)*10000+ROW(),"")</f>
        <v/>
      </c>
      <c r="F328" s="0" t="str">
        <f aca="false">IF(E328="","",RANK(E328,$E$2:$E$5001,1))</f>
        <v/>
      </c>
      <c r="G328" s="0" t="n">
        <f aca="false">IF(A328="",0,IF(SUMPRODUCT(--($A$2:$A$5001=A328))&gt;1,1,0))</f>
        <v>0</v>
      </c>
      <c r="H328" s="0" t="n">
        <f aca="false">ROW()-1</f>
        <v>327</v>
      </c>
      <c r="I328" s="0" t="str">
        <f aca="false">IF(OR(הגדרות!$E$6=0,H328&gt;הגדרות!$E$5),"",IF(H328-1&lt;הגדרות!$E$8*(הגדרות!$E$7+1),INT((H328-1)/(הגדרות!$E$7+1)),הגדרות!$E$8+INT((H328-1-הגדרות!$E$8*(הגדרות!$E$7+1))/הגדרות!$E$7)))</f>
        <v/>
      </c>
      <c r="J328" s="0" t="str">
        <f aca="false">IF(I328="","",IF(H328-1&lt;הגדרות!$E$8*(הגדרות!$E$7+1),MOD(H328-1,הגדרות!$E$7+1),MOD(H328-1-הגדרות!$E$8*(הגדרות!$E$7+1),הגדרות!$E$7)))</f>
        <v/>
      </c>
      <c r="K328" s="0" t="str">
        <f aca="false">IF(I328="","",J328*הגדרות!$E$6+I328+1)</f>
        <v/>
      </c>
      <c r="L328" s="0" t="str">
        <f aca="false">IF(K328="","",MATCH(K328,$F$2:$F$5001,0))</f>
        <v/>
      </c>
      <c r="M328" s="0" t="str">
        <f aca="false">IF(I328="","",INDEX(הגדרות!$A$2:$A$21,MOD(I328+הגדרות!$E$9,הגדרות!$E$6)+1))</f>
        <v/>
      </c>
    </row>
    <row r="329" customFormat="false" ht="15" hidden="false" customHeight="false" outlineLevel="0" collapsed="false">
      <c r="A329" s="0" t="str">
        <f aca="false">IF('הדבקת לידים'!A329="","",IF(ISNUMBER('הדבקת לידים'!A329),IF(הגדרות!$E$2&gt;0,TEXT('הדבקת לידים'!A329,REPT("0",הגדרות!$E$2)),TEXT('הדבקת לידים'!A329,"0")),TRIM('הדבקת לידים'!A329)))</f>
        <v/>
      </c>
      <c r="B329" s="0" t="str">
        <f aca="false">IF('הדבקת לידים'!B329="","",IF(ISNUMBER('הדבקת לידים'!B329),IF(הגדרות!$E$3&gt;0,TEXT('הדבקת לידים'!B329,REPT("0",הגדרות!$E$3)),TEXT('הדבקת לידים'!B329,"0")),TRIM('הדבקת לידים'!B329)))</f>
        <v/>
      </c>
      <c r="C329" s="0" t="n">
        <f aca="false">IF(OR(A329&lt;&gt;"",B329&lt;&gt;""),1,0)</f>
        <v>0</v>
      </c>
      <c r="D329" s="0" t="str">
        <f aca="false">IF(C329=1,MOD(ABS(SIN(ROW()*12.9898+'הדבקת לידים'!$F$2*78.233+IFERROR(--RIGHT(A329,6),LEN(A329))*0.0137+IFERROR(--RIGHT(B329,6),LEN(B329))*0.0071))*43758.5453,1),"")</f>
        <v/>
      </c>
      <c r="E329" s="0" t="str">
        <f aca="false">IF(C329=1,INT(MOD(ABS(SIN(D329*7919.123+ROW()*0.618+'הדבקת לידים'!$F$2*1.3))*43758.5453,1)*1000000)*10000+ROW(),"")</f>
        <v/>
      </c>
      <c r="F329" s="0" t="str">
        <f aca="false">IF(E329="","",RANK(E329,$E$2:$E$5001,1))</f>
        <v/>
      </c>
      <c r="G329" s="0" t="n">
        <f aca="false">IF(A329="",0,IF(SUMPRODUCT(--($A$2:$A$5001=A329))&gt;1,1,0))</f>
        <v>0</v>
      </c>
      <c r="H329" s="0" t="n">
        <f aca="false">ROW()-1</f>
        <v>328</v>
      </c>
      <c r="I329" s="0" t="str">
        <f aca="false">IF(OR(הגדרות!$E$6=0,H329&gt;הגדרות!$E$5),"",IF(H329-1&lt;הגדרות!$E$8*(הגדרות!$E$7+1),INT((H329-1)/(הגדרות!$E$7+1)),הגדרות!$E$8+INT((H329-1-הגדרות!$E$8*(הגדרות!$E$7+1))/הגדרות!$E$7)))</f>
        <v/>
      </c>
      <c r="J329" s="0" t="str">
        <f aca="false">IF(I329="","",IF(H329-1&lt;הגדרות!$E$8*(הגדרות!$E$7+1),MOD(H329-1,הגדרות!$E$7+1),MOD(H329-1-הגדרות!$E$8*(הגדרות!$E$7+1),הגדרות!$E$7)))</f>
        <v/>
      </c>
      <c r="K329" s="0" t="str">
        <f aca="false">IF(I329="","",J329*הגדרות!$E$6+I329+1)</f>
        <v/>
      </c>
      <c r="L329" s="0" t="str">
        <f aca="false">IF(K329="","",MATCH(K329,$F$2:$F$5001,0))</f>
        <v/>
      </c>
      <c r="M329" s="0" t="str">
        <f aca="false">IF(I329="","",INDEX(הגדרות!$A$2:$A$21,MOD(I329+הגדרות!$E$9,הגדרות!$E$6)+1))</f>
        <v/>
      </c>
    </row>
    <row r="330" customFormat="false" ht="15" hidden="false" customHeight="false" outlineLevel="0" collapsed="false">
      <c r="A330" s="0" t="str">
        <f aca="false">IF('הדבקת לידים'!A330="","",IF(ISNUMBER('הדבקת לידים'!A330),IF(הגדרות!$E$2&gt;0,TEXT('הדבקת לידים'!A330,REPT("0",הגדרות!$E$2)),TEXT('הדבקת לידים'!A330,"0")),TRIM('הדבקת לידים'!A330)))</f>
        <v/>
      </c>
      <c r="B330" s="0" t="str">
        <f aca="false">IF('הדבקת לידים'!B330="","",IF(ISNUMBER('הדבקת לידים'!B330),IF(הגדרות!$E$3&gt;0,TEXT('הדבקת לידים'!B330,REPT("0",הגדרות!$E$3)),TEXT('הדבקת לידים'!B330,"0")),TRIM('הדבקת לידים'!B330)))</f>
        <v/>
      </c>
      <c r="C330" s="0" t="n">
        <f aca="false">IF(OR(A330&lt;&gt;"",B330&lt;&gt;""),1,0)</f>
        <v>0</v>
      </c>
      <c r="D330" s="0" t="str">
        <f aca="false">IF(C330=1,MOD(ABS(SIN(ROW()*12.9898+'הדבקת לידים'!$F$2*78.233+IFERROR(--RIGHT(A330,6),LEN(A330))*0.0137+IFERROR(--RIGHT(B330,6),LEN(B330))*0.0071))*43758.5453,1),"")</f>
        <v/>
      </c>
      <c r="E330" s="0" t="str">
        <f aca="false">IF(C330=1,INT(MOD(ABS(SIN(D330*7919.123+ROW()*0.618+'הדבקת לידים'!$F$2*1.3))*43758.5453,1)*1000000)*10000+ROW(),"")</f>
        <v/>
      </c>
      <c r="F330" s="0" t="str">
        <f aca="false">IF(E330="","",RANK(E330,$E$2:$E$5001,1))</f>
        <v/>
      </c>
      <c r="G330" s="0" t="n">
        <f aca="false">IF(A330="",0,IF(SUMPRODUCT(--($A$2:$A$5001=A330))&gt;1,1,0))</f>
        <v>0</v>
      </c>
      <c r="H330" s="0" t="n">
        <f aca="false">ROW()-1</f>
        <v>329</v>
      </c>
      <c r="I330" s="0" t="str">
        <f aca="false">IF(OR(הגדרות!$E$6=0,H330&gt;הגדרות!$E$5),"",IF(H330-1&lt;הגדרות!$E$8*(הגדרות!$E$7+1),INT((H330-1)/(הגדרות!$E$7+1)),הגדרות!$E$8+INT((H330-1-הגדרות!$E$8*(הגדרות!$E$7+1))/הגדרות!$E$7)))</f>
        <v/>
      </c>
      <c r="J330" s="0" t="str">
        <f aca="false">IF(I330="","",IF(H330-1&lt;הגדרות!$E$8*(הגדרות!$E$7+1),MOD(H330-1,הגדרות!$E$7+1),MOD(H330-1-הגדרות!$E$8*(הגדרות!$E$7+1),הגדרות!$E$7)))</f>
        <v/>
      </c>
      <c r="K330" s="0" t="str">
        <f aca="false">IF(I330="","",J330*הגדרות!$E$6+I330+1)</f>
        <v/>
      </c>
      <c r="L330" s="0" t="str">
        <f aca="false">IF(K330="","",MATCH(K330,$F$2:$F$5001,0))</f>
        <v/>
      </c>
      <c r="M330" s="0" t="str">
        <f aca="false">IF(I330="","",INDEX(הגדרות!$A$2:$A$21,MOD(I330+הגדרות!$E$9,הגדרות!$E$6)+1))</f>
        <v/>
      </c>
    </row>
    <row r="331" customFormat="false" ht="15" hidden="false" customHeight="false" outlineLevel="0" collapsed="false">
      <c r="A331" s="0" t="str">
        <f aca="false">IF('הדבקת לידים'!A331="","",IF(ISNUMBER('הדבקת לידים'!A331),IF(הגדרות!$E$2&gt;0,TEXT('הדבקת לידים'!A331,REPT("0",הגדרות!$E$2)),TEXT('הדבקת לידים'!A331,"0")),TRIM('הדבקת לידים'!A331)))</f>
        <v/>
      </c>
      <c r="B331" s="0" t="str">
        <f aca="false">IF('הדבקת לידים'!B331="","",IF(ISNUMBER('הדבקת לידים'!B331),IF(הגדרות!$E$3&gt;0,TEXT('הדבקת לידים'!B331,REPT("0",הגדרות!$E$3)),TEXT('הדבקת לידים'!B331,"0")),TRIM('הדבקת לידים'!B331)))</f>
        <v/>
      </c>
      <c r="C331" s="0" t="n">
        <f aca="false">IF(OR(A331&lt;&gt;"",B331&lt;&gt;""),1,0)</f>
        <v>0</v>
      </c>
      <c r="D331" s="0" t="str">
        <f aca="false">IF(C331=1,MOD(ABS(SIN(ROW()*12.9898+'הדבקת לידים'!$F$2*78.233+IFERROR(--RIGHT(A331,6),LEN(A331))*0.0137+IFERROR(--RIGHT(B331,6),LEN(B331))*0.0071))*43758.5453,1),"")</f>
        <v/>
      </c>
      <c r="E331" s="0" t="str">
        <f aca="false">IF(C331=1,INT(MOD(ABS(SIN(D331*7919.123+ROW()*0.618+'הדבקת לידים'!$F$2*1.3))*43758.5453,1)*1000000)*10000+ROW(),"")</f>
        <v/>
      </c>
      <c r="F331" s="0" t="str">
        <f aca="false">IF(E331="","",RANK(E331,$E$2:$E$5001,1))</f>
        <v/>
      </c>
      <c r="G331" s="0" t="n">
        <f aca="false">IF(A331="",0,IF(SUMPRODUCT(--($A$2:$A$5001=A331))&gt;1,1,0))</f>
        <v>0</v>
      </c>
      <c r="H331" s="0" t="n">
        <f aca="false">ROW()-1</f>
        <v>330</v>
      </c>
      <c r="I331" s="0" t="str">
        <f aca="false">IF(OR(הגדרות!$E$6=0,H331&gt;הגדרות!$E$5),"",IF(H331-1&lt;הגדרות!$E$8*(הגדרות!$E$7+1),INT((H331-1)/(הגדרות!$E$7+1)),הגדרות!$E$8+INT((H331-1-הגדרות!$E$8*(הגדרות!$E$7+1))/הגדרות!$E$7)))</f>
        <v/>
      </c>
      <c r="J331" s="0" t="str">
        <f aca="false">IF(I331="","",IF(H331-1&lt;הגדרות!$E$8*(הגדרות!$E$7+1),MOD(H331-1,הגדרות!$E$7+1),MOD(H331-1-הגדרות!$E$8*(הגדרות!$E$7+1),הגדרות!$E$7)))</f>
        <v/>
      </c>
      <c r="K331" s="0" t="str">
        <f aca="false">IF(I331="","",J331*הגדרות!$E$6+I331+1)</f>
        <v/>
      </c>
      <c r="L331" s="0" t="str">
        <f aca="false">IF(K331="","",MATCH(K331,$F$2:$F$5001,0))</f>
        <v/>
      </c>
      <c r="M331" s="0" t="str">
        <f aca="false">IF(I331="","",INDEX(הגדרות!$A$2:$A$21,MOD(I331+הגדרות!$E$9,הגדרות!$E$6)+1))</f>
        <v/>
      </c>
    </row>
    <row r="332" customFormat="false" ht="15" hidden="false" customHeight="false" outlineLevel="0" collapsed="false">
      <c r="A332" s="0" t="str">
        <f aca="false">IF('הדבקת לידים'!A332="","",IF(ISNUMBER('הדבקת לידים'!A332),IF(הגדרות!$E$2&gt;0,TEXT('הדבקת לידים'!A332,REPT("0",הגדרות!$E$2)),TEXT('הדבקת לידים'!A332,"0")),TRIM('הדבקת לידים'!A332)))</f>
        <v/>
      </c>
      <c r="B332" s="0" t="str">
        <f aca="false">IF('הדבקת לידים'!B332="","",IF(ISNUMBER('הדבקת לידים'!B332),IF(הגדרות!$E$3&gt;0,TEXT('הדבקת לידים'!B332,REPT("0",הגדרות!$E$3)),TEXT('הדבקת לידים'!B332,"0")),TRIM('הדבקת לידים'!B332)))</f>
        <v/>
      </c>
      <c r="C332" s="0" t="n">
        <f aca="false">IF(OR(A332&lt;&gt;"",B332&lt;&gt;""),1,0)</f>
        <v>0</v>
      </c>
      <c r="D332" s="0" t="str">
        <f aca="false">IF(C332=1,MOD(ABS(SIN(ROW()*12.9898+'הדבקת לידים'!$F$2*78.233+IFERROR(--RIGHT(A332,6),LEN(A332))*0.0137+IFERROR(--RIGHT(B332,6),LEN(B332))*0.0071))*43758.5453,1),"")</f>
        <v/>
      </c>
      <c r="E332" s="0" t="str">
        <f aca="false">IF(C332=1,INT(MOD(ABS(SIN(D332*7919.123+ROW()*0.618+'הדבקת לידים'!$F$2*1.3))*43758.5453,1)*1000000)*10000+ROW(),"")</f>
        <v/>
      </c>
      <c r="F332" s="0" t="str">
        <f aca="false">IF(E332="","",RANK(E332,$E$2:$E$5001,1))</f>
        <v/>
      </c>
      <c r="G332" s="0" t="n">
        <f aca="false">IF(A332="",0,IF(SUMPRODUCT(--($A$2:$A$5001=A332))&gt;1,1,0))</f>
        <v>0</v>
      </c>
      <c r="H332" s="0" t="n">
        <f aca="false">ROW()-1</f>
        <v>331</v>
      </c>
      <c r="I332" s="0" t="str">
        <f aca="false">IF(OR(הגדרות!$E$6=0,H332&gt;הגדרות!$E$5),"",IF(H332-1&lt;הגדרות!$E$8*(הגדרות!$E$7+1),INT((H332-1)/(הגדרות!$E$7+1)),הגדרות!$E$8+INT((H332-1-הגדרות!$E$8*(הגדרות!$E$7+1))/הגדרות!$E$7)))</f>
        <v/>
      </c>
      <c r="J332" s="0" t="str">
        <f aca="false">IF(I332="","",IF(H332-1&lt;הגדרות!$E$8*(הגדרות!$E$7+1),MOD(H332-1,הגדרות!$E$7+1),MOD(H332-1-הגדרות!$E$8*(הגדרות!$E$7+1),הגדרות!$E$7)))</f>
        <v/>
      </c>
      <c r="K332" s="0" t="str">
        <f aca="false">IF(I332="","",J332*הגדרות!$E$6+I332+1)</f>
        <v/>
      </c>
      <c r="L332" s="0" t="str">
        <f aca="false">IF(K332="","",MATCH(K332,$F$2:$F$5001,0))</f>
        <v/>
      </c>
      <c r="M332" s="0" t="str">
        <f aca="false">IF(I332="","",INDEX(הגדרות!$A$2:$A$21,MOD(I332+הגדרות!$E$9,הגדרות!$E$6)+1))</f>
        <v/>
      </c>
    </row>
    <row r="333" customFormat="false" ht="15" hidden="false" customHeight="false" outlineLevel="0" collapsed="false">
      <c r="A333" s="0" t="str">
        <f aca="false">IF('הדבקת לידים'!A333="","",IF(ISNUMBER('הדבקת לידים'!A333),IF(הגדרות!$E$2&gt;0,TEXT('הדבקת לידים'!A333,REPT("0",הגדרות!$E$2)),TEXT('הדבקת לידים'!A333,"0")),TRIM('הדבקת לידים'!A333)))</f>
        <v/>
      </c>
      <c r="B333" s="0" t="str">
        <f aca="false">IF('הדבקת לידים'!B333="","",IF(ISNUMBER('הדבקת לידים'!B333),IF(הגדרות!$E$3&gt;0,TEXT('הדבקת לידים'!B333,REPT("0",הגדרות!$E$3)),TEXT('הדבקת לידים'!B333,"0")),TRIM('הדבקת לידים'!B333)))</f>
        <v/>
      </c>
      <c r="C333" s="0" t="n">
        <f aca="false">IF(OR(A333&lt;&gt;"",B333&lt;&gt;""),1,0)</f>
        <v>0</v>
      </c>
      <c r="D333" s="0" t="str">
        <f aca="false">IF(C333=1,MOD(ABS(SIN(ROW()*12.9898+'הדבקת לידים'!$F$2*78.233+IFERROR(--RIGHT(A333,6),LEN(A333))*0.0137+IFERROR(--RIGHT(B333,6),LEN(B333))*0.0071))*43758.5453,1),"")</f>
        <v/>
      </c>
      <c r="E333" s="0" t="str">
        <f aca="false">IF(C333=1,INT(MOD(ABS(SIN(D333*7919.123+ROW()*0.618+'הדבקת לידים'!$F$2*1.3))*43758.5453,1)*1000000)*10000+ROW(),"")</f>
        <v/>
      </c>
      <c r="F333" s="0" t="str">
        <f aca="false">IF(E333="","",RANK(E333,$E$2:$E$5001,1))</f>
        <v/>
      </c>
      <c r="G333" s="0" t="n">
        <f aca="false">IF(A333="",0,IF(SUMPRODUCT(--($A$2:$A$5001=A333))&gt;1,1,0))</f>
        <v>0</v>
      </c>
      <c r="H333" s="0" t="n">
        <f aca="false">ROW()-1</f>
        <v>332</v>
      </c>
      <c r="I333" s="0" t="str">
        <f aca="false">IF(OR(הגדרות!$E$6=0,H333&gt;הגדרות!$E$5),"",IF(H333-1&lt;הגדרות!$E$8*(הגדרות!$E$7+1),INT((H333-1)/(הגדרות!$E$7+1)),הגדרות!$E$8+INT((H333-1-הגדרות!$E$8*(הגדרות!$E$7+1))/הגדרות!$E$7)))</f>
        <v/>
      </c>
      <c r="J333" s="0" t="str">
        <f aca="false">IF(I333="","",IF(H333-1&lt;הגדרות!$E$8*(הגדרות!$E$7+1),MOD(H333-1,הגדרות!$E$7+1),MOD(H333-1-הגדרות!$E$8*(הגדרות!$E$7+1),הגדרות!$E$7)))</f>
        <v/>
      </c>
      <c r="K333" s="0" t="str">
        <f aca="false">IF(I333="","",J333*הגדרות!$E$6+I333+1)</f>
        <v/>
      </c>
      <c r="L333" s="0" t="str">
        <f aca="false">IF(K333="","",MATCH(K333,$F$2:$F$5001,0))</f>
        <v/>
      </c>
      <c r="M333" s="0" t="str">
        <f aca="false">IF(I333="","",INDEX(הגדרות!$A$2:$A$21,MOD(I333+הגדרות!$E$9,הגדרות!$E$6)+1))</f>
        <v/>
      </c>
    </row>
    <row r="334" customFormat="false" ht="15" hidden="false" customHeight="false" outlineLevel="0" collapsed="false">
      <c r="A334" s="0" t="str">
        <f aca="false">IF('הדבקת לידים'!A334="","",IF(ISNUMBER('הדבקת לידים'!A334),IF(הגדרות!$E$2&gt;0,TEXT('הדבקת לידים'!A334,REPT("0",הגדרות!$E$2)),TEXT('הדבקת לידים'!A334,"0")),TRIM('הדבקת לידים'!A334)))</f>
        <v/>
      </c>
      <c r="B334" s="0" t="str">
        <f aca="false">IF('הדבקת לידים'!B334="","",IF(ISNUMBER('הדבקת לידים'!B334),IF(הגדרות!$E$3&gt;0,TEXT('הדבקת לידים'!B334,REPT("0",הגדרות!$E$3)),TEXT('הדבקת לידים'!B334,"0")),TRIM('הדבקת לידים'!B334)))</f>
        <v/>
      </c>
      <c r="C334" s="0" t="n">
        <f aca="false">IF(OR(A334&lt;&gt;"",B334&lt;&gt;""),1,0)</f>
        <v>0</v>
      </c>
      <c r="D334" s="0" t="str">
        <f aca="false">IF(C334=1,MOD(ABS(SIN(ROW()*12.9898+'הדבקת לידים'!$F$2*78.233+IFERROR(--RIGHT(A334,6),LEN(A334))*0.0137+IFERROR(--RIGHT(B334,6),LEN(B334))*0.0071))*43758.5453,1),"")</f>
        <v/>
      </c>
      <c r="E334" s="0" t="str">
        <f aca="false">IF(C334=1,INT(MOD(ABS(SIN(D334*7919.123+ROW()*0.618+'הדבקת לידים'!$F$2*1.3))*43758.5453,1)*1000000)*10000+ROW(),"")</f>
        <v/>
      </c>
      <c r="F334" s="0" t="str">
        <f aca="false">IF(E334="","",RANK(E334,$E$2:$E$5001,1))</f>
        <v/>
      </c>
      <c r="G334" s="0" t="n">
        <f aca="false">IF(A334="",0,IF(SUMPRODUCT(--($A$2:$A$5001=A334))&gt;1,1,0))</f>
        <v>0</v>
      </c>
      <c r="H334" s="0" t="n">
        <f aca="false">ROW()-1</f>
        <v>333</v>
      </c>
      <c r="I334" s="0" t="str">
        <f aca="false">IF(OR(הגדרות!$E$6=0,H334&gt;הגדרות!$E$5),"",IF(H334-1&lt;הגדרות!$E$8*(הגדרות!$E$7+1),INT((H334-1)/(הגדרות!$E$7+1)),הגדרות!$E$8+INT((H334-1-הגדרות!$E$8*(הגדרות!$E$7+1))/הגדרות!$E$7)))</f>
        <v/>
      </c>
      <c r="J334" s="0" t="str">
        <f aca="false">IF(I334="","",IF(H334-1&lt;הגדרות!$E$8*(הגדרות!$E$7+1),MOD(H334-1,הגדרות!$E$7+1),MOD(H334-1-הגדרות!$E$8*(הגדרות!$E$7+1),הגדרות!$E$7)))</f>
        <v/>
      </c>
      <c r="K334" s="0" t="str">
        <f aca="false">IF(I334="","",J334*הגדרות!$E$6+I334+1)</f>
        <v/>
      </c>
      <c r="L334" s="0" t="str">
        <f aca="false">IF(K334="","",MATCH(K334,$F$2:$F$5001,0))</f>
        <v/>
      </c>
      <c r="M334" s="0" t="str">
        <f aca="false">IF(I334="","",INDEX(הגדרות!$A$2:$A$21,MOD(I334+הגדרות!$E$9,הגדרות!$E$6)+1))</f>
        <v/>
      </c>
    </row>
    <row r="335" customFormat="false" ht="15" hidden="false" customHeight="false" outlineLevel="0" collapsed="false">
      <c r="A335" s="0" t="str">
        <f aca="false">IF('הדבקת לידים'!A335="","",IF(ISNUMBER('הדבקת לידים'!A335),IF(הגדרות!$E$2&gt;0,TEXT('הדבקת לידים'!A335,REPT("0",הגדרות!$E$2)),TEXT('הדבקת לידים'!A335,"0")),TRIM('הדבקת לידים'!A335)))</f>
        <v/>
      </c>
      <c r="B335" s="0" t="str">
        <f aca="false">IF('הדבקת לידים'!B335="","",IF(ISNUMBER('הדבקת לידים'!B335),IF(הגדרות!$E$3&gt;0,TEXT('הדבקת לידים'!B335,REPT("0",הגדרות!$E$3)),TEXT('הדבקת לידים'!B335,"0")),TRIM('הדבקת לידים'!B335)))</f>
        <v/>
      </c>
      <c r="C335" s="0" t="n">
        <f aca="false">IF(OR(A335&lt;&gt;"",B335&lt;&gt;""),1,0)</f>
        <v>0</v>
      </c>
      <c r="D335" s="0" t="str">
        <f aca="false">IF(C335=1,MOD(ABS(SIN(ROW()*12.9898+'הדבקת לידים'!$F$2*78.233+IFERROR(--RIGHT(A335,6),LEN(A335))*0.0137+IFERROR(--RIGHT(B335,6),LEN(B335))*0.0071))*43758.5453,1),"")</f>
        <v/>
      </c>
      <c r="E335" s="0" t="str">
        <f aca="false">IF(C335=1,INT(MOD(ABS(SIN(D335*7919.123+ROW()*0.618+'הדבקת לידים'!$F$2*1.3))*43758.5453,1)*1000000)*10000+ROW(),"")</f>
        <v/>
      </c>
      <c r="F335" s="0" t="str">
        <f aca="false">IF(E335="","",RANK(E335,$E$2:$E$5001,1))</f>
        <v/>
      </c>
      <c r="G335" s="0" t="n">
        <f aca="false">IF(A335="",0,IF(SUMPRODUCT(--($A$2:$A$5001=A335))&gt;1,1,0))</f>
        <v>0</v>
      </c>
      <c r="H335" s="0" t="n">
        <f aca="false">ROW()-1</f>
        <v>334</v>
      </c>
      <c r="I335" s="0" t="str">
        <f aca="false">IF(OR(הגדרות!$E$6=0,H335&gt;הגדרות!$E$5),"",IF(H335-1&lt;הגדרות!$E$8*(הגדרות!$E$7+1),INT((H335-1)/(הגדרות!$E$7+1)),הגדרות!$E$8+INT((H335-1-הגדרות!$E$8*(הגדרות!$E$7+1))/הגדרות!$E$7)))</f>
        <v/>
      </c>
      <c r="J335" s="0" t="str">
        <f aca="false">IF(I335="","",IF(H335-1&lt;הגדרות!$E$8*(הגדרות!$E$7+1),MOD(H335-1,הגדרות!$E$7+1),MOD(H335-1-הגדרות!$E$8*(הגדרות!$E$7+1),הגדרות!$E$7)))</f>
        <v/>
      </c>
      <c r="K335" s="0" t="str">
        <f aca="false">IF(I335="","",J335*הגדרות!$E$6+I335+1)</f>
        <v/>
      </c>
      <c r="L335" s="0" t="str">
        <f aca="false">IF(K335="","",MATCH(K335,$F$2:$F$5001,0))</f>
        <v/>
      </c>
      <c r="M335" s="0" t="str">
        <f aca="false">IF(I335="","",INDEX(הגדרות!$A$2:$A$21,MOD(I335+הגדרות!$E$9,הגדרות!$E$6)+1))</f>
        <v/>
      </c>
    </row>
    <row r="336" customFormat="false" ht="15" hidden="false" customHeight="false" outlineLevel="0" collapsed="false">
      <c r="A336" s="0" t="str">
        <f aca="false">IF('הדבקת לידים'!A336="","",IF(ISNUMBER('הדבקת לידים'!A336),IF(הגדרות!$E$2&gt;0,TEXT('הדבקת לידים'!A336,REPT("0",הגדרות!$E$2)),TEXT('הדבקת לידים'!A336,"0")),TRIM('הדבקת לידים'!A336)))</f>
        <v/>
      </c>
      <c r="B336" s="0" t="str">
        <f aca="false">IF('הדבקת לידים'!B336="","",IF(ISNUMBER('הדבקת לידים'!B336),IF(הגדרות!$E$3&gt;0,TEXT('הדבקת לידים'!B336,REPT("0",הגדרות!$E$3)),TEXT('הדבקת לידים'!B336,"0")),TRIM('הדבקת לידים'!B336)))</f>
        <v/>
      </c>
      <c r="C336" s="0" t="n">
        <f aca="false">IF(OR(A336&lt;&gt;"",B336&lt;&gt;""),1,0)</f>
        <v>0</v>
      </c>
      <c r="D336" s="0" t="str">
        <f aca="false">IF(C336=1,MOD(ABS(SIN(ROW()*12.9898+'הדבקת לידים'!$F$2*78.233+IFERROR(--RIGHT(A336,6),LEN(A336))*0.0137+IFERROR(--RIGHT(B336,6),LEN(B336))*0.0071))*43758.5453,1),"")</f>
        <v/>
      </c>
      <c r="E336" s="0" t="str">
        <f aca="false">IF(C336=1,INT(MOD(ABS(SIN(D336*7919.123+ROW()*0.618+'הדבקת לידים'!$F$2*1.3))*43758.5453,1)*1000000)*10000+ROW(),"")</f>
        <v/>
      </c>
      <c r="F336" s="0" t="str">
        <f aca="false">IF(E336="","",RANK(E336,$E$2:$E$5001,1))</f>
        <v/>
      </c>
      <c r="G336" s="0" t="n">
        <f aca="false">IF(A336="",0,IF(SUMPRODUCT(--($A$2:$A$5001=A336))&gt;1,1,0))</f>
        <v>0</v>
      </c>
      <c r="H336" s="0" t="n">
        <f aca="false">ROW()-1</f>
        <v>335</v>
      </c>
      <c r="I336" s="0" t="str">
        <f aca="false">IF(OR(הגדרות!$E$6=0,H336&gt;הגדרות!$E$5),"",IF(H336-1&lt;הגדרות!$E$8*(הגדרות!$E$7+1),INT((H336-1)/(הגדרות!$E$7+1)),הגדרות!$E$8+INT((H336-1-הגדרות!$E$8*(הגדרות!$E$7+1))/הגדרות!$E$7)))</f>
        <v/>
      </c>
      <c r="J336" s="0" t="str">
        <f aca="false">IF(I336="","",IF(H336-1&lt;הגדרות!$E$8*(הגדרות!$E$7+1),MOD(H336-1,הגדרות!$E$7+1),MOD(H336-1-הגדרות!$E$8*(הגדרות!$E$7+1),הגדרות!$E$7)))</f>
        <v/>
      </c>
      <c r="K336" s="0" t="str">
        <f aca="false">IF(I336="","",J336*הגדרות!$E$6+I336+1)</f>
        <v/>
      </c>
      <c r="L336" s="0" t="str">
        <f aca="false">IF(K336="","",MATCH(K336,$F$2:$F$5001,0))</f>
        <v/>
      </c>
      <c r="M336" s="0" t="str">
        <f aca="false">IF(I336="","",INDEX(הגדרות!$A$2:$A$21,MOD(I336+הגדרות!$E$9,הגדרות!$E$6)+1))</f>
        <v/>
      </c>
    </row>
    <row r="337" customFormat="false" ht="15" hidden="false" customHeight="false" outlineLevel="0" collapsed="false">
      <c r="A337" s="0" t="str">
        <f aca="false">IF('הדבקת לידים'!A337="","",IF(ISNUMBER('הדבקת לידים'!A337),IF(הגדרות!$E$2&gt;0,TEXT('הדבקת לידים'!A337,REPT("0",הגדרות!$E$2)),TEXT('הדבקת לידים'!A337,"0")),TRIM('הדבקת לידים'!A337)))</f>
        <v/>
      </c>
      <c r="B337" s="0" t="str">
        <f aca="false">IF('הדבקת לידים'!B337="","",IF(ISNUMBER('הדבקת לידים'!B337),IF(הגדרות!$E$3&gt;0,TEXT('הדבקת לידים'!B337,REPT("0",הגדרות!$E$3)),TEXT('הדבקת לידים'!B337,"0")),TRIM('הדבקת לידים'!B337)))</f>
        <v/>
      </c>
      <c r="C337" s="0" t="n">
        <f aca="false">IF(OR(A337&lt;&gt;"",B337&lt;&gt;""),1,0)</f>
        <v>0</v>
      </c>
      <c r="D337" s="0" t="str">
        <f aca="false">IF(C337=1,MOD(ABS(SIN(ROW()*12.9898+'הדבקת לידים'!$F$2*78.233+IFERROR(--RIGHT(A337,6),LEN(A337))*0.0137+IFERROR(--RIGHT(B337,6),LEN(B337))*0.0071))*43758.5453,1),"")</f>
        <v/>
      </c>
      <c r="E337" s="0" t="str">
        <f aca="false">IF(C337=1,INT(MOD(ABS(SIN(D337*7919.123+ROW()*0.618+'הדבקת לידים'!$F$2*1.3))*43758.5453,1)*1000000)*10000+ROW(),"")</f>
        <v/>
      </c>
      <c r="F337" s="0" t="str">
        <f aca="false">IF(E337="","",RANK(E337,$E$2:$E$5001,1))</f>
        <v/>
      </c>
      <c r="G337" s="0" t="n">
        <f aca="false">IF(A337="",0,IF(SUMPRODUCT(--($A$2:$A$5001=A337))&gt;1,1,0))</f>
        <v>0</v>
      </c>
      <c r="H337" s="0" t="n">
        <f aca="false">ROW()-1</f>
        <v>336</v>
      </c>
      <c r="I337" s="0" t="str">
        <f aca="false">IF(OR(הגדרות!$E$6=0,H337&gt;הגדרות!$E$5),"",IF(H337-1&lt;הגדרות!$E$8*(הגדרות!$E$7+1),INT((H337-1)/(הגדרות!$E$7+1)),הגדרות!$E$8+INT((H337-1-הגדרות!$E$8*(הגדרות!$E$7+1))/הגדרות!$E$7)))</f>
        <v/>
      </c>
      <c r="J337" s="0" t="str">
        <f aca="false">IF(I337="","",IF(H337-1&lt;הגדרות!$E$8*(הגדרות!$E$7+1),MOD(H337-1,הגדרות!$E$7+1),MOD(H337-1-הגדרות!$E$8*(הגדרות!$E$7+1),הגדרות!$E$7)))</f>
        <v/>
      </c>
      <c r="K337" s="0" t="str">
        <f aca="false">IF(I337="","",J337*הגדרות!$E$6+I337+1)</f>
        <v/>
      </c>
      <c r="L337" s="0" t="str">
        <f aca="false">IF(K337="","",MATCH(K337,$F$2:$F$5001,0))</f>
        <v/>
      </c>
      <c r="M337" s="0" t="str">
        <f aca="false">IF(I337="","",INDEX(הגדרות!$A$2:$A$21,MOD(I337+הגדרות!$E$9,הגדרות!$E$6)+1))</f>
        <v/>
      </c>
    </row>
    <row r="338" customFormat="false" ht="15" hidden="false" customHeight="false" outlineLevel="0" collapsed="false">
      <c r="A338" s="0" t="str">
        <f aca="false">IF('הדבקת לידים'!A338="","",IF(ISNUMBER('הדבקת לידים'!A338),IF(הגדרות!$E$2&gt;0,TEXT('הדבקת לידים'!A338,REPT("0",הגדרות!$E$2)),TEXT('הדבקת לידים'!A338,"0")),TRIM('הדבקת לידים'!A338)))</f>
        <v/>
      </c>
      <c r="B338" s="0" t="str">
        <f aca="false">IF('הדבקת לידים'!B338="","",IF(ISNUMBER('הדבקת לידים'!B338),IF(הגדרות!$E$3&gt;0,TEXT('הדבקת לידים'!B338,REPT("0",הגדרות!$E$3)),TEXT('הדבקת לידים'!B338,"0")),TRIM('הדבקת לידים'!B338)))</f>
        <v/>
      </c>
      <c r="C338" s="0" t="n">
        <f aca="false">IF(OR(A338&lt;&gt;"",B338&lt;&gt;""),1,0)</f>
        <v>0</v>
      </c>
      <c r="D338" s="0" t="str">
        <f aca="false">IF(C338=1,MOD(ABS(SIN(ROW()*12.9898+'הדבקת לידים'!$F$2*78.233+IFERROR(--RIGHT(A338,6),LEN(A338))*0.0137+IFERROR(--RIGHT(B338,6),LEN(B338))*0.0071))*43758.5453,1),"")</f>
        <v/>
      </c>
      <c r="E338" s="0" t="str">
        <f aca="false">IF(C338=1,INT(MOD(ABS(SIN(D338*7919.123+ROW()*0.618+'הדבקת לידים'!$F$2*1.3))*43758.5453,1)*1000000)*10000+ROW(),"")</f>
        <v/>
      </c>
      <c r="F338" s="0" t="str">
        <f aca="false">IF(E338="","",RANK(E338,$E$2:$E$5001,1))</f>
        <v/>
      </c>
      <c r="G338" s="0" t="n">
        <f aca="false">IF(A338="",0,IF(SUMPRODUCT(--($A$2:$A$5001=A338))&gt;1,1,0))</f>
        <v>0</v>
      </c>
      <c r="H338" s="0" t="n">
        <f aca="false">ROW()-1</f>
        <v>337</v>
      </c>
      <c r="I338" s="0" t="str">
        <f aca="false">IF(OR(הגדרות!$E$6=0,H338&gt;הגדרות!$E$5),"",IF(H338-1&lt;הגדרות!$E$8*(הגדרות!$E$7+1),INT((H338-1)/(הגדרות!$E$7+1)),הגדרות!$E$8+INT((H338-1-הגדרות!$E$8*(הגדרות!$E$7+1))/הגדרות!$E$7)))</f>
        <v/>
      </c>
      <c r="J338" s="0" t="str">
        <f aca="false">IF(I338="","",IF(H338-1&lt;הגדרות!$E$8*(הגדרות!$E$7+1),MOD(H338-1,הגדרות!$E$7+1),MOD(H338-1-הגדרות!$E$8*(הגדרות!$E$7+1),הגדרות!$E$7)))</f>
        <v/>
      </c>
      <c r="K338" s="0" t="str">
        <f aca="false">IF(I338="","",J338*הגדרות!$E$6+I338+1)</f>
        <v/>
      </c>
      <c r="L338" s="0" t="str">
        <f aca="false">IF(K338="","",MATCH(K338,$F$2:$F$5001,0))</f>
        <v/>
      </c>
      <c r="M338" s="0" t="str">
        <f aca="false">IF(I338="","",INDEX(הגדרות!$A$2:$A$21,MOD(I338+הגדרות!$E$9,הגדרות!$E$6)+1))</f>
        <v/>
      </c>
    </row>
    <row r="339" customFormat="false" ht="15" hidden="false" customHeight="false" outlineLevel="0" collapsed="false">
      <c r="A339" s="0" t="str">
        <f aca="false">IF('הדבקת לידים'!A339="","",IF(ISNUMBER('הדבקת לידים'!A339),IF(הגדרות!$E$2&gt;0,TEXT('הדבקת לידים'!A339,REPT("0",הגדרות!$E$2)),TEXT('הדבקת לידים'!A339,"0")),TRIM('הדבקת לידים'!A339)))</f>
        <v/>
      </c>
      <c r="B339" s="0" t="str">
        <f aca="false">IF('הדבקת לידים'!B339="","",IF(ISNUMBER('הדבקת לידים'!B339),IF(הגדרות!$E$3&gt;0,TEXT('הדבקת לידים'!B339,REPT("0",הגדרות!$E$3)),TEXT('הדבקת לידים'!B339,"0")),TRIM('הדבקת לידים'!B339)))</f>
        <v/>
      </c>
      <c r="C339" s="0" t="n">
        <f aca="false">IF(OR(A339&lt;&gt;"",B339&lt;&gt;""),1,0)</f>
        <v>0</v>
      </c>
      <c r="D339" s="0" t="str">
        <f aca="false">IF(C339=1,MOD(ABS(SIN(ROW()*12.9898+'הדבקת לידים'!$F$2*78.233+IFERROR(--RIGHT(A339,6),LEN(A339))*0.0137+IFERROR(--RIGHT(B339,6),LEN(B339))*0.0071))*43758.5453,1),"")</f>
        <v/>
      </c>
      <c r="E339" s="0" t="str">
        <f aca="false">IF(C339=1,INT(MOD(ABS(SIN(D339*7919.123+ROW()*0.618+'הדבקת לידים'!$F$2*1.3))*43758.5453,1)*1000000)*10000+ROW(),"")</f>
        <v/>
      </c>
      <c r="F339" s="0" t="str">
        <f aca="false">IF(E339="","",RANK(E339,$E$2:$E$5001,1))</f>
        <v/>
      </c>
      <c r="G339" s="0" t="n">
        <f aca="false">IF(A339="",0,IF(SUMPRODUCT(--($A$2:$A$5001=A339))&gt;1,1,0))</f>
        <v>0</v>
      </c>
      <c r="H339" s="0" t="n">
        <f aca="false">ROW()-1</f>
        <v>338</v>
      </c>
      <c r="I339" s="0" t="str">
        <f aca="false">IF(OR(הגדרות!$E$6=0,H339&gt;הגדרות!$E$5),"",IF(H339-1&lt;הגדרות!$E$8*(הגדרות!$E$7+1),INT((H339-1)/(הגדרות!$E$7+1)),הגדרות!$E$8+INT((H339-1-הגדרות!$E$8*(הגדרות!$E$7+1))/הגדרות!$E$7)))</f>
        <v/>
      </c>
      <c r="J339" s="0" t="str">
        <f aca="false">IF(I339="","",IF(H339-1&lt;הגדרות!$E$8*(הגדרות!$E$7+1),MOD(H339-1,הגדרות!$E$7+1),MOD(H339-1-הגדרות!$E$8*(הגדרות!$E$7+1),הגדרות!$E$7)))</f>
        <v/>
      </c>
      <c r="K339" s="0" t="str">
        <f aca="false">IF(I339="","",J339*הגדרות!$E$6+I339+1)</f>
        <v/>
      </c>
      <c r="L339" s="0" t="str">
        <f aca="false">IF(K339="","",MATCH(K339,$F$2:$F$5001,0))</f>
        <v/>
      </c>
      <c r="M339" s="0" t="str">
        <f aca="false">IF(I339="","",INDEX(הגדרות!$A$2:$A$21,MOD(I339+הגדרות!$E$9,הגדרות!$E$6)+1))</f>
        <v/>
      </c>
    </row>
    <row r="340" customFormat="false" ht="15" hidden="false" customHeight="false" outlineLevel="0" collapsed="false">
      <c r="A340" s="0" t="str">
        <f aca="false">IF('הדבקת לידים'!A340="","",IF(ISNUMBER('הדבקת לידים'!A340),IF(הגדרות!$E$2&gt;0,TEXT('הדבקת לידים'!A340,REPT("0",הגדרות!$E$2)),TEXT('הדבקת לידים'!A340,"0")),TRIM('הדבקת לידים'!A340)))</f>
        <v/>
      </c>
      <c r="B340" s="0" t="str">
        <f aca="false">IF('הדבקת לידים'!B340="","",IF(ISNUMBER('הדבקת לידים'!B340),IF(הגדרות!$E$3&gt;0,TEXT('הדבקת לידים'!B340,REPT("0",הגדרות!$E$3)),TEXT('הדבקת לידים'!B340,"0")),TRIM('הדבקת לידים'!B340)))</f>
        <v/>
      </c>
      <c r="C340" s="0" t="n">
        <f aca="false">IF(OR(A340&lt;&gt;"",B340&lt;&gt;""),1,0)</f>
        <v>0</v>
      </c>
      <c r="D340" s="0" t="str">
        <f aca="false">IF(C340=1,MOD(ABS(SIN(ROW()*12.9898+'הדבקת לידים'!$F$2*78.233+IFERROR(--RIGHT(A340,6),LEN(A340))*0.0137+IFERROR(--RIGHT(B340,6),LEN(B340))*0.0071))*43758.5453,1),"")</f>
        <v/>
      </c>
      <c r="E340" s="0" t="str">
        <f aca="false">IF(C340=1,INT(MOD(ABS(SIN(D340*7919.123+ROW()*0.618+'הדבקת לידים'!$F$2*1.3))*43758.5453,1)*1000000)*10000+ROW(),"")</f>
        <v/>
      </c>
      <c r="F340" s="0" t="str">
        <f aca="false">IF(E340="","",RANK(E340,$E$2:$E$5001,1))</f>
        <v/>
      </c>
      <c r="G340" s="0" t="n">
        <f aca="false">IF(A340="",0,IF(SUMPRODUCT(--($A$2:$A$5001=A340))&gt;1,1,0))</f>
        <v>0</v>
      </c>
      <c r="H340" s="0" t="n">
        <f aca="false">ROW()-1</f>
        <v>339</v>
      </c>
      <c r="I340" s="0" t="str">
        <f aca="false">IF(OR(הגדרות!$E$6=0,H340&gt;הגדרות!$E$5),"",IF(H340-1&lt;הגדרות!$E$8*(הגדרות!$E$7+1),INT((H340-1)/(הגדרות!$E$7+1)),הגדרות!$E$8+INT((H340-1-הגדרות!$E$8*(הגדרות!$E$7+1))/הגדרות!$E$7)))</f>
        <v/>
      </c>
      <c r="J340" s="0" t="str">
        <f aca="false">IF(I340="","",IF(H340-1&lt;הגדרות!$E$8*(הגדרות!$E$7+1),MOD(H340-1,הגדרות!$E$7+1),MOD(H340-1-הגדרות!$E$8*(הגדרות!$E$7+1),הגדרות!$E$7)))</f>
        <v/>
      </c>
      <c r="K340" s="0" t="str">
        <f aca="false">IF(I340="","",J340*הגדרות!$E$6+I340+1)</f>
        <v/>
      </c>
      <c r="L340" s="0" t="str">
        <f aca="false">IF(K340="","",MATCH(K340,$F$2:$F$5001,0))</f>
        <v/>
      </c>
      <c r="M340" s="0" t="str">
        <f aca="false">IF(I340="","",INDEX(הגדרות!$A$2:$A$21,MOD(I340+הגדרות!$E$9,הגדרות!$E$6)+1))</f>
        <v/>
      </c>
    </row>
    <row r="341" customFormat="false" ht="15" hidden="false" customHeight="false" outlineLevel="0" collapsed="false">
      <c r="A341" s="0" t="str">
        <f aca="false">IF('הדבקת לידים'!A341="","",IF(ISNUMBER('הדבקת לידים'!A341),IF(הגדרות!$E$2&gt;0,TEXT('הדבקת לידים'!A341,REPT("0",הגדרות!$E$2)),TEXT('הדבקת לידים'!A341,"0")),TRIM('הדבקת לידים'!A341)))</f>
        <v/>
      </c>
      <c r="B341" s="0" t="str">
        <f aca="false">IF('הדבקת לידים'!B341="","",IF(ISNUMBER('הדבקת לידים'!B341),IF(הגדרות!$E$3&gt;0,TEXT('הדבקת לידים'!B341,REPT("0",הגדרות!$E$3)),TEXT('הדבקת לידים'!B341,"0")),TRIM('הדבקת לידים'!B341)))</f>
        <v/>
      </c>
      <c r="C341" s="0" t="n">
        <f aca="false">IF(OR(A341&lt;&gt;"",B341&lt;&gt;""),1,0)</f>
        <v>0</v>
      </c>
      <c r="D341" s="0" t="str">
        <f aca="false">IF(C341=1,MOD(ABS(SIN(ROW()*12.9898+'הדבקת לידים'!$F$2*78.233+IFERROR(--RIGHT(A341,6),LEN(A341))*0.0137+IFERROR(--RIGHT(B341,6),LEN(B341))*0.0071))*43758.5453,1),"")</f>
        <v/>
      </c>
      <c r="E341" s="0" t="str">
        <f aca="false">IF(C341=1,INT(MOD(ABS(SIN(D341*7919.123+ROW()*0.618+'הדבקת לידים'!$F$2*1.3))*43758.5453,1)*1000000)*10000+ROW(),"")</f>
        <v/>
      </c>
      <c r="F341" s="0" t="str">
        <f aca="false">IF(E341="","",RANK(E341,$E$2:$E$5001,1))</f>
        <v/>
      </c>
      <c r="G341" s="0" t="n">
        <f aca="false">IF(A341="",0,IF(SUMPRODUCT(--($A$2:$A$5001=A341))&gt;1,1,0))</f>
        <v>0</v>
      </c>
      <c r="H341" s="0" t="n">
        <f aca="false">ROW()-1</f>
        <v>340</v>
      </c>
      <c r="I341" s="0" t="str">
        <f aca="false">IF(OR(הגדרות!$E$6=0,H341&gt;הגדרות!$E$5),"",IF(H341-1&lt;הגדרות!$E$8*(הגדרות!$E$7+1),INT((H341-1)/(הגדרות!$E$7+1)),הגדרות!$E$8+INT((H341-1-הגדרות!$E$8*(הגדרות!$E$7+1))/הגדרות!$E$7)))</f>
        <v/>
      </c>
      <c r="J341" s="0" t="str">
        <f aca="false">IF(I341="","",IF(H341-1&lt;הגדרות!$E$8*(הגדרות!$E$7+1),MOD(H341-1,הגדרות!$E$7+1),MOD(H341-1-הגדרות!$E$8*(הגדרות!$E$7+1),הגדרות!$E$7)))</f>
        <v/>
      </c>
      <c r="K341" s="0" t="str">
        <f aca="false">IF(I341="","",J341*הגדרות!$E$6+I341+1)</f>
        <v/>
      </c>
      <c r="L341" s="0" t="str">
        <f aca="false">IF(K341="","",MATCH(K341,$F$2:$F$5001,0))</f>
        <v/>
      </c>
      <c r="M341" s="0" t="str">
        <f aca="false">IF(I341="","",INDEX(הגדרות!$A$2:$A$21,MOD(I341+הגדרות!$E$9,הגדרות!$E$6)+1))</f>
        <v/>
      </c>
    </row>
    <row r="342" customFormat="false" ht="15" hidden="false" customHeight="false" outlineLevel="0" collapsed="false">
      <c r="A342" s="0" t="str">
        <f aca="false">IF('הדבקת לידים'!A342="","",IF(ISNUMBER('הדבקת לידים'!A342),IF(הגדרות!$E$2&gt;0,TEXT('הדבקת לידים'!A342,REPT("0",הגדרות!$E$2)),TEXT('הדבקת לידים'!A342,"0")),TRIM('הדבקת לידים'!A342)))</f>
        <v/>
      </c>
      <c r="B342" s="0" t="str">
        <f aca="false">IF('הדבקת לידים'!B342="","",IF(ISNUMBER('הדבקת לידים'!B342),IF(הגדרות!$E$3&gt;0,TEXT('הדבקת לידים'!B342,REPT("0",הגדרות!$E$3)),TEXT('הדבקת לידים'!B342,"0")),TRIM('הדבקת לידים'!B342)))</f>
        <v/>
      </c>
      <c r="C342" s="0" t="n">
        <f aca="false">IF(OR(A342&lt;&gt;"",B342&lt;&gt;""),1,0)</f>
        <v>0</v>
      </c>
      <c r="D342" s="0" t="str">
        <f aca="false">IF(C342=1,MOD(ABS(SIN(ROW()*12.9898+'הדבקת לידים'!$F$2*78.233+IFERROR(--RIGHT(A342,6),LEN(A342))*0.0137+IFERROR(--RIGHT(B342,6),LEN(B342))*0.0071))*43758.5453,1),"")</f>
        <v/>
      </c>
      <c r="E342" s="0" t="str">
        <f aca="false">IF(C342=1,INT(MOD(ABS(SIN(D342*7919.123+ROW()*0.618+'הדבקת לידים'!$F$2*1.3))*43758.5453,1)*1000000)*10000+ROW(),"")</f>
        <v/>
      </c>
      <c r="F342" s="0" t="str">
        <f aca="false">IF(E342="","",RANK(E342,$E$2:$E$5001,1))</f>
        <v/>
      </c>
      <c r="G342" s="0" t="n">
        <f aca="false">IF(A342="",0,IF(SUMPRODUCT(--($A$2:$A$5001=A342))&gt;1,1,0))</f>
        <v>0</v>
      </c>
      <c r="H342" s="0" t="n">
        <f aca="false">ROW()-1</f>
        <v>341</v>
      </c>
      <c r="I342" s="0" t="str">
        <f aca="false">IF(OR(הגדרות!$E$6=0,H342&gt;הגדרות!$E$5),"",IF(H342-1&lt;הגדרות!$E$8*(הגדרות!$E$7+1),INT((H342-1)/(הגדרות!$E$7+1)),הגדרות!$E$8+INT((H342-1-הגדרות!$E$8*(הגדרות!$E$7+1))/הגדרות!$E$7)))</f>
        <v/>
      </c>
      <c r="J342" s="0" t="str">
        <f aca="false">IF(I342="","",IF(H342-1&lt;הגדרות!$E$8*(הגדרות!$E$7+1),MOD(H342-1,הגדרות!$E$7+1),MOD(H342-1-הגדרות!$E$8*(הגדרות!$E$7+1),הגדרות!$E$7)))</f>
        <v/>
      </c>
      <c r="K342" s="0" t="str">
        <f aca="false">IF(I342="","",J342*הגדרות!$E$6+I342+1)</f>
        <v/>
      </c>
      <c r="L342" s="0" t="str">
        <f aca="false">IF(K342="","",MATCH(K342,$F$2:$F$5001,0))</f>
        <v/>
      </c>
      <c r="M342" s="0" t="str">
        <f aca="false">IF(I342="","",INDEX(הגדרות!$A$2:$A$21,MOD(I342+הגדרות!$E$9,הגדרות!$E$6)+1))</f>
        <v/>
      </c>
    </row>
    <row r="343" customFormat="false" ht="15" hidden="false" customHeight="false" outlineLevel="0" collapsed="false">
      <c r="A343" s="0" t="str">
        <f aca="false">IF('הדבקת לידים'!A343="","",IF(ISNUMBER('הדבקת לידים'!A343),IF(הגדרות!$E$2&gt;0,TEXT('הדבקת לידים'!A343,REPT("0",הגדרות!$E$2)),TEXT('הדבקת לידים'!A343,"0")),TRIM('הדבקת לידים'!A343)))</f>
        <v/>
      </c>
      <c r="B343" s="0" t="str">
        <f aca="false">IF('הדבקת לידים'!B343="","",IF(ISNUMBER('הדבקת לידים'!B343),IF(הגדרות!$E$3&gt;0,TEXT('הדבקת לידים'!B343,REPT("0",הגדרות!$E$3)),TEXT('הדבקת לידים'!B343,"0")),TRIM('הדבקת לידים'!B343)))</f>
        <v/>
      </c>
      <c r="C343" s="0" t="n">
        <f aca="false">IF(OR(A343&lt;&gt;"",B343&lt;&gt;""),1,0)</f>
        <v>0</v>
      </c>
      <c r="D343" s="0" t="str">
        <f aca="false">IF(C343=1,MOD(ABS(SIN(ROW()*12.9898+'הדבקת לידים'!$F$2*78.233+IFERROR(--RIGHT(A343,6),LEN(A343))*0.0137+IFERROR(--RIGHT(B343,6),LEN(B343))*0.0071))*43758.5453,1),"")</f>
        <v/>
      </c>
      <c r="E343" s="0" t="str">
        <f aca="false">IF(C343=1,INT(MOD(ABS(SIN(D343*7919.123+ROW()*0.618+'הדבקת לידים'!$F$2*1.3))*43758.5453,1)*1000000)*10000+ROW(),"")</f>
        <v/>
      </c>
      <c r="F343" s="0" t="str">
        <f aca="false">IF(E343="","",RANK(E343,$E$2:$E$5001,1))</f>
        <v/>
      </c>
      <c r="G343" s="0" t="n">
        <f aca="false">IF(A343="",0,IF(SUMPRODUCT(--($A$2:$A$5001=A343))&gt;1,1,0))</f>
        <v>0</v>
      </c>
      <c r="H343" s="0" t="n">
        <f aca="false">ROW()-1</f>
        <v>342</v>
      </c>
      <c r="I343" s="0" t="str">
        <f aca="false">IF(OR(הגדרות!$E$6=0,H343&gt;הגדרות!$E$5),"",IF(H343-1&lt;הגדרות!$E$8*(הגדרות!$E$7+1),INT((H343-1)/(הגדרות!$E$7+1)),הגדרות!$E$8+INT((H343-1-הגדרות!$E$8*(הגדרות!$E$7+1))/הגדרות!$E$7)))</f>
        <v/>
      </c>
      <c r="J343" s="0" t="str">
        <f aca="false">IF(I343="","",IF(H343-1&lt;הגדרות!$E$8*(הגדרות!$E$7+1),MOD(H343-1,הגדרות!$E$7+1),MOD(H343-1-הגדרות!$E$8*(הגדרות!$E$7+1),הגדרות!$E$7)))</f>
        <v/>
      </c>
      <c r="K343" s="0" t="str">
        <f aca="false">IF(I343="","",J343*הגדרות!$E$6+I343+1)</f>
        <v/>
      </c>
      <c r="L343" s="0" t="str">
        <f aca="false">IF(K343="","",MATCH(K343,$F$2:$F$5001,0))</f>
        <v/>
      </c>
      <c r="M343" s="0" t="str">
        <f aca="false">IF(I343="","",INDEX(הגדרות!$A$2:$A$21,MOD(I343+הגדרות!$E$9,הגדרות!$E$6)+1))</f>
        <v/>
      </c>
    </row>
    <row r="344" customFormat="false" ht="15" hidden="false" customHeight="false" outlineLevel="0" collapsed="false">
      <c r="A344" s="0" t="str">
        <f aca="false">IF('הדבקת לידים'!A344="","",IF(ISNUMBER('הדבקת לידים'!A344),IF(הגדרות!$E$2&gt;0,TEXT('הדבקת לידים'!A344,REPT("0",הגדרות!$E$2)),TEXT('הדבקת לידים'!A344,"0")),TRIM('הדבקת לידים'!A344)))</f>
        <v/>
      </c>
      <c r="B344" s="0" t="str">
        <f aca="false">IF('הדבקת לידים'!B344="","",IF(ISNUMBER('הדבקת לידים'!B344),IF(הגדרות!$E$3&gt;0,TEXT('הדבקת לידים'!B344,REPT("0",הגדרות!$E$3)),TEXT('הדבקת לידים'!B344,"0")),TRIM('הדבקת לידים'!B344)))</f>
        <v/>
      </c>
      <c r="C344" s="0" t="n">
        <f aca="false">IF(OR(A344&lt;&gt;"",B344&lt;&gt;""),1,0)</f>
        <v>0</v>
      </c>
      <c r="D344" s="0" t="str">
        <f aca="false">IF(C344=1,MOD(ABS(SIN(ROW()*12.9898+'הדבקת לידים'!$F$2*78.233+IFERROR(--RIGHT(A344,6),LEN(A344))*0.0137+IFERROR(--RIGHT(B344,6),LEN(B344))*0.0071))*43758.5453,1),"")</f>
        <v/>
      </c>
      <c r="E344" s="0" t="str">
        <f aca="false">IF(C344=1,INT(MOD(ABS(SIN(D344*7919.123+ROW()*0.618+'הדבקת לידים'!$F$2*1.3))*43758.5453,1)*1000000)*10000+ROW(),"")</f>
        <v/>
      </c>
      <c r="F344" s="0" t="str">
        <f aca="false">IF(E344="","",RANK(E344,$E$2:$E$5001,1))</f>
        <v/>
      </c>
      <c r="G344" s="0" t="n">
        <f aca="false">IF(A344="",0,IF(SUMPRODUCT(--($A$2:$A$5001=A344))&gt;1,1,0))</f>
        <v>0</v>
      </c>
      <c r="H344" s="0" t="n">
        <f aca="false">ROW()-1</f>
        <v>343</v>
      </c>
      <c r="I344" s="0" t="str">
        <f aca="false">IF(OR(הגדרות!$E$6=0,H344&gt;הגדרות!$E$5),"",IF(H344-1&lt;הגדרות!$E$8*(הגדרות!$E$7+1),INT((H344-1)/(הגדרות!$E$7+1)),הגדרות!$E$8+INT((H344-1-הגדרות!$E$8*(הגדרות!$E$7+1))/הגדרות!$E$7)))</f>
        <v/>
      </c>
      <c r="J344" s="0" t="str">
        <f aca="false">IF(I344="","",IF(H344-1&lt;הגדרות!$E$8*(הגדרות!$E$7+1),MOD(H344-1,הגדרות!$E$7+1),MOD(H344-1-הגדרות!$E$8*(הגדרות!$E$7+1),הגדרות!$E$7)))</f>
        <v/>
      </c>
      <c r="K344" s="0" t="str">
        <f aca="false">IF(I344="","",J344*הגדרות!$E$6+I344+1)</f>
        <v/>
      </c>
      <c r="L344" s="0" t="str">
        <f aca="false">IF(K344="","",MATCH(K344,$F$2:$F$5001,0))</f>
        <v/>
      </c>
      <c r="M344" s="0" t="str">
        <f aca="false">IF(I344="","",INDEX(הגדרות!$A$2:$A$21,MOD(I344+הגדרות!$E$9,הגדרות!$E$6)+1))</f>
        <v/>
      </c>
    </row>
    <row r="345" customFormat="false" ht="15" hidden="false" customHeight="false" outlineLevel="0" collapsed="false">
      <c r="A345" s="0" t="str">
        <f aca="false">IF('הדבקת לידים'!A345="","",IF(ISNUMBER('הדבקת לידים'!A345),IF(הגדרות!$E$2&gt;0,TEXT('הדבקת לידים'!A345,REPT("0",הגדרות!$E$2)),TEXT('הדבקת לידים'!A345,"0")),TRIM('הדבקת לידים'!A345)))</f>
        <v/>
      </c>
      <c r="B345" s="0" t="str">
        <f aca="false">IF('הדבקת לידים'!B345="","",IF(ISNUMBER('הדבקת לידים'!B345),IF(הגדרות!$E$3&gt;0,TEXT('הדבקת לידים'!B345,REPT("0",הגדרות!$E$3)),TEXT('הדבקת לידים'!B345,"0")),TRIM('הדבקת לידים'!B345)))</f>
        <v/>
      </c>
      <c r="C345" s="0" t="n">
        <f aca="false">IF(OR(A345&lt;&gt;"",B345&lt;&gt;""),1,0)</f>
        <v>0</v>
      </c>
      <c r="D345" s="0" t="str">
        <f aca="false">IF(C345=1,MOD(ABS(SIN(ROW()*12.9898+'הדבקת לידים'!$F$2*78.233+IFERROR(--RIGHT(A345,6),LEN(A345))*0.0137+IFERROR(--RIGHT(B345,6),LEN(B345))*0.0071))*43758.5453,1),"")</f>
        <v/>
      </c>
      <c r="E345" s="0" t="str">
        <f aca="false">IF(C345=1,INT(MOD(ABS(SIN(D345*7919.123+ROW()*0.618+'הדבקת לידים'!$F$2*1.3))*43758.5453,1)*1000000)*10000+ROW(),"")</f>
        <v/>
      </c>
      <c r="F345" s="0" t="str">
        <f aca="false">IF(E345="","",RANK(E345,$E$2:$E$5001,1))</f>
        <v/>
      </c>
      <c r="G345" s="0" t="n">
        <f aca="false">IF(A345="",0,IF(SUMPRODUCT(--($A$2:$A$5001=A345))&gt;1,1,0))</f>
        <v>0</v>
      </c>
      <c r="H345" s="0" t="n">
        <f aca="false">ROW()-1</f>
        <v>344</v>
      </c>
      <c r="I345" s="0" t="str">
        <f aca="false">IF(OR(הגדרות!$E$6=0,H345&gt;הגדרות!$E$5),"",IF(H345-1&lt;הגדרות!$E$8*(הגדרות!$E$7+1),INT((H345-1)/(הגדרות!$E$7+1)),הגדרות!$E$8+INT((H345-1-הגדרות!$E$8*(הגדרות!$E$7+1))/הגדרות!$E$7)))</f>
        <v/>
      </c>
      <c r="J345" s="0" t="str">
        <f aca="false">IF(I345="","",IF(H345-1&lt;הגדרות!$E$8*(הגדרות!$E$7+1),MOD(H345-1,הגדרות!$E$7+1),MOD(H345-1-הגדרות!$E$8*(הגדרות!$E$7+1),הגדרות!$E$7)))</f>
        <v/>
      </c>
      <c r="K345" s="0" t="str">
        <f aca="false">IF(I345="","",J345*הגדרות!$E$6+I345+1)</f>
        <v/>
      </c>
      <c r="L345" s="0" t="str">
        <f aca="false">IF(K345="","",MATCH(K345,$F$2:$F$5001,0))</f>
        <v/>
      </c>
      <c r="M345" s="0" t="str">
        <f aca="false">IF(I345="","",INDEX(הגדרות!$A$2:$A$21,MOD(I345+הגדרות!$E$9,הגדרות!$E$6)+1))</f>
        <v/>
      </c>
    </row>
    <row r="346" customFormat="false" ht="15" hidden="false" customHeight="false" outlineLevel="0" collapsed="false">
      <c r="A346" s="0" t="str">
        <f aca="false">IF('הדבקת לידים'!A346="","",IF(ISNUMBER('הדבקת לידים'!A346),IF(הגדרות!$E$2&gt;0,TEXT('הדבקת לידים'!A346,REPT("0",הגדרות!$E$2)),TEXT('הדבקת לידים'!A346,"0")),TRIM('הדבקת לידים'!A346)))</f>
        <v/>
      </c>
      <c r="B346" s="0" t="str">
        <f aca="false">IF('הדבקת לידים'!B346="","",IF(ISNUMBER('הדבקת לידים'!B346),IF(הגדרות!$E$3&gt;0,TEXT('הדבקת לידים'!B346,REPT("0",הגדרות!$E$3)),TEXT('הדבקת לידים'!B346,"0")),TRIM('הדבקת לידים'!B346)))</f>
        <v/>
      </c>
      <c r="C346" s="0" t="n">
        <f aca="false">IF(OR(A346&lt;&gt;"",B346&lt;&gt;""),1,0)</f>
        <v>0</v>
      </c>
      <c r="D346" s="0" t="str">
        <f aca="false">IF(C346=1,MOD(ABS(SIN(ROW()*12.9898+'הדבקת לידים'!$F$2*78.233+IFERROR(--RIGHT(A346,6),LEN(A346))*0.0137+IFERROR(--RIGHT(B346,6),LEN(B346))*0.0071))*43758.5453,1),"")</f>
        <v/>
      </c>
      <c r="E346" s="0" t="str">
        <f aca="false">IF(C346=1,INT(MOD(ABS(SIN(D346*7919.123+ROW()*0.618+'הדבקת לידים'!$F$2*1.3))*43758.5453,1)*1000000)*10000+ROW(),"")</f>
        <v/>
      </c>
      <c r="F346" s="0" t="str">
        <f aca="false">IF(E346="","",RANK(E346,$E$2:$E$5001,1))</f>
        <v/>
      </c>
      <c r="G346" s="0" t="n">
        <f aca="false">IF(A346="",0,IF(SUMPRODUCT(--($A$2:$A$5001=A346))&gt;1,1,0))</f>
        <v>0</v>
      </c>
      <c r="H346" s="0" t="n">
        <f aca="false">ROW()-1</f>
        <v>345</v>
      </c>
      <c r="I346" s="0" t="str">
        <f aca="false">IF(OR(הגדרות!$E$6=0,H346&gt;הגדרות!$E$5),"",IF(H346-1&lt;הגדרות!$E$8*(הגדרות!$E$7+1),INT((H346-1)/(הגדרות!$E$7+1)),הגדרות!$E$8+INT((H346-1-הגדרות!$E$8*(הגדרות!$E$7+1))/הגדרות!$E$7)))</f>
        <v/>
      </c>
      <c r="J346" s="0" t="str">
        <f aca="false">IF(I346="","",IF(H346-1&lt;הגדרות!$E$8*(הגדרות!$E$7+1),MOD(H346-1,הגדרות!$E$7+1),MOD(H346-1-הגדרות!$E$8*(הגדרות!$E$7+1),הגדרות!$E$7)))</f>
        <v/>
      </c>
      <c r="K346" s="0" t="str">
        <f aca="false">IF(I346="","",J346*הגדרות!$E$6+I346+1)</f>
        <v/>
      </c>
      <c r="L346" s="0" t="str">
        <f aca="false">IF(K346="","",MATCH(K346,$F$2:$F$5001,0))</f>
        <v/>
      </c>
      <c r="M346" s="0" t="str">
        <f aca="false">IF(I346="","",INDEX(הגדרות!$A$2:$A$21,MOD(I346+הגדרות!$E$9,הגדרות!$E$6)+1))</f>
        <v/>
      </c>
    </row>
    <row r="347" customFormat="false" ht="15" hidden="false" customHeight="false" outlineLevel="0" collapsed="false">
      <c r="A347" s="0" t="str">
        <f aca="false">IF('הדבקת לידים'!A347="","",IF(ISNUMBER('הדבקת לידים'!A347),IF(הגדרות!$E$2&gt;0,TEXT('הדבקת לידים'!A347,REPT("0",הגדרות!$E$2)),TEXT('הדבקת לידים'!A347,"0")),TRIM('הדבקת לידים'!A347)))</f>
        <v/>
      </c>
      <c r="B347" s="0" t="str">
        <f aca="false">IF('הדבקת לידים'!B347="","",IF(ISNUMBER('הדבקת לידים'!B347),IF(הגדרות!$E$3&gt;0,TEXT('הדבקת לידים'!B347,REPT("0",הגדרות!$E$3)),TEXT('הדבקת לידים'!B347,"0")),TRIM('הדבקת לידים'!B347)))</f>
        <v/>
      </c>
      <c r="C347" s="0" t="n">
        <f aca="false">IF(OR(A347&lt;&gt;"",B347&lt;&gt;""),1,0)</f>
        <v>0</v>
      </c>
      <c r="D347" s="0" t="str">
        <f aca="false">IF(C347=1,MOD(ABS(SIN(ROW()*12.9898+'הדבקת לידים'!$F$2*78.233+IFERROR(--RIGHT(A347,6),LEN(A347))*0.0137+IFERROR(--RIGHT(B347,6),LEN(B347))*0.0071))*43758.5453,1),"")</f>
        <v/>
      </c>
      <c r="E347" s="0" t="str">
        <f aca="false">IF(C347=1,INT(MOD(ABS(SIN(D347*7919.123+ROW()*0.618+'הדבקת לידים'!$F$2*1.3))*43758.5453,1)*1000000)*10000+ROW(),"")</f>
        <v/>
      </c>
      <c r="F347" s="0" t="str">
        <f aca="false">IF(E347="","",RANK(E347,$E$2:$E$5001,1))</f>
        <v/>
      </c>
      <c r="G347" s="0" t="n">
        <f aca="false">IF(A347="",0,IF(SUMPRODUCT(--($A$2:$A$5001=A347))&gt;1,1,0))</f>
        <v>0</v>
      </c>
      <c r="H347" s="0" t="n">
        <f aca="false">ROW()-1</f>
        <v>346</v>
      </c>
      <c r="I347" s="0" t="str">
        <f aca="false">IF(OR(הגדרות!$E$6=0,H347&gt;הגדרות!$E$5),"",IF(H347-1&lt;הגדרות!$E$8*(הגדרות!$E$7+1),INT((H347-1)/(הגדרות!$E$7+1)),הגדרות!$E$8+INT((H347-1-הגדרות!$E$8*(הגדרות!$E$7+1))/הגדרות!$E$7)))</f>
        <v/>
      </c>
      <c r="J347" s="0" t="str">
        <f aca="false">IF(I347="","",IF(H347-1&lt;הגדרות!$E$8*(הגדרות!$E$7+1),MOD(H347-1,הגדרות!$E$7+1),MOD(H347-1-הגדרות!$E$8*(הגדרות!$E$7+1),הגדרות!$E$7)))</f>
        <v/>
      </c>
      <c r="K347" s="0" t="str">
        <f aca="false">IF(I347="","",J347*הגדרות!$E$6+I347+1)</f>
        <v/>
      </c>
      <c r="L347" s="0" t="str">
        <f aca="false">IF(K347="","",MATCH(K347,$F$2:$F$5001,0))</f>
        <v/>
      </c>
      <c r="M347" s="0" t="str">
        <f aca="false">IF(I347="","",INDEX(הגדרות!$A$2:$A$21,MOD(I347+הגדרות!$E$9,הגדרות!$E$6)+1))</f>
        <v/>
      </c>
    </row>
    <row r="348" customFormat="false" ht="15" hidden="false" customHeight="false" outlineLevel="0" collapsed="false">
      <c r="A348" s="0" t="str">
        <f aca="false">IF('הדבקת לידים'!A348="","",IF(ISNUMBER('הדבקת לידים'!A348),IF(הגדרות!$E$2&gt;0,TEXT('הדבקת לידים'!A348,REPT("0",הגדרות!$E$2)),TEXT('הדבקת לידים'!A348,"0")),TRIM('הדבקת לידים'!A348)))</f>
        <v/>
      </c>
      <c r="B348" s="0" t="str">
        <f aca="false">IF('הדבקת לידים'!B348="","",IF(ISNUMBER('הדבקת לידים'!B348),IF(הגדרות!$E$3&gt;0,TEXT('הדבקת לידים'!B348,REPT("0",הגדרות!$E$3)),TEXT('הדבקת לידים'!B348,"0")),TRIM('הדבקת לידים'!B348)))</f>
        <v/>
      </c>
      <c r="C348" s="0" t="n">
        <f aca="false">IF(OR(A348&lt;&gt;"",B348&lt;&gt;""),1,0)</f>
        <v>0</v>
      </c>
      <c r="D348" s="0" t="str">
        <f aca="false">IF(C348=1,MOD(ABS(SIN(ROW()*12.9898+'הדבקת לידים'!$F$2*78.233+IFERROR(--RIGHT(A348,6),LEN(A348))*0.0137+IFERROR(--RIGHT(B348,6),LEN(B348))*0.0071))*43758.5453,1),"")</f>
        <v/>
      </c>
      <c r="E348" s="0" t="str">
        <f aca="false">IF(C348=1,INT(MOD(ABS(SIN(D348*7919.123+ROW()*0.618+'הדבקת לידים'!$F$2*1.3))*43758.5453,1)*1000000)*10000+ROW(),"")</f>
        <v/>
      </c>
      <c r="F348" s="0" t="str">
        <f aca="false">IF(E348="","",RANK(E348,$E$2:$E$5001,1))</f>
        <v/>
      </c>
      <c r="G348" s="0" t="n">
        <f aca="false">IF(A348="",0,IF(SUMPRODUCT(--($A$2:$A$5001=A348))&gt;1,1,0))</f>
        <v>0</v>
      </c>
      <c r="H348" s="0" t="n">
        <f aca="false">ROW()-1</f>
        <v>347</v>
      </c>
      <c r="I348" s="0" t="str">
        <f aca="false">IF(OR(הגדרות!$E$6=0,H348&gt;הגדרות!$E$5),"",IF(H348-1&lt;הגדרות!$E$8*(הגדרות!$E$7+1),INT((H348-1)/(הגדרות!$E$7+1)),הגדרות!$E$8+INT((H348-1-הגדרות!$E$8*(הגדרות!$E$7+1))/הגדרות!$E$7)))</f>
        <v/>
      </c>
      <c r="J348" s="0" t="str">
        <f aca="false">IF(I348="","",IF(H348-1&lt;הגדרות!$E$8*(הגדרות!$E$7+1),MOD(H348-1,הגדרות!$E$7+1),MOD(H348-1-הגדרות!$E$8*(הגדרות!$E$7+1),הגדרות!$E$7)))</f>
        <v/>
      </c>
      <c r="K348" s="0" t="str">
        <f aca="false">IF(I348="","",J348*הגדרות!$E$6+I348+1)</f>
        <v/>
      </c>
      <c r="L348" s="0" t="str">
        <f aca="false">IF(K348="","",MATCH(K348,$F$2:$F$5001,0))</f>
        <v/>
      </c>
      <c r="M348" s="0" t="str">
        <f aca="false">IF(I348="","",INDEX(הגדרות!$A$2:$A$21,MOD(I348+הגדרות!$E$9,הגדרות!$E$6)+1))</f>
        <v/>
      </c>
    </row>
    <row r="349" customFormat="false" ht="15" hidden="false" customHeight="false" outlineLevel="0" collapsed="false">
      <c r="A349" s="0" t="str">
        <f aca="false">IF('הדבקת לידים'!A349="","",IF(ISNUMBER('הדבקת לידים'!A349),IF(הגדרות!$E$2&gt;0,TEXT('הדבקת לידים'!A349,REPT("0",הגדרות!$E$2)),TEXT('הדבקת לידים'!A349,"0")),TRIM('הדבקת לידים'!A349)))</f>
        <v/>
      </c>
      <c r="B349" s="0" t="str">
        <f aca="false">IF('הדבקת לידים'!B349="","",IF(ISNUMBER('הדבקת לידים'!B349),IF(הגדרות!$E$3&gt;0,TEXT('הדבקת לידים'!B349,REPT("0",הגדרות!$E$3)),TEXT('הדבקת לידים'!B349,"0")),TRIM('הדבקת לידים'!B349)))</f>
        <v/>
      </c>
      <c r="C349" s="0" t="n">
        <f aca="false">IF(OR(A349&lt;&gt;"",B349&lt;&gt;""),1,0)</f>
        <v>0</v>
      </c>
      <c r="D349" s="0" t="str">
        <f aca="false">IF(C349=1,MOD(ABS(SIN(ROW()*12.9898+'הדבקת לידים'!$F$2*78.233+IFERROR(--RIGHT(A349,6),LEN(A349))*0.0137+IFERROR(--RIGHT(B349,6),LEN(B349))*0.0071))*43758.5453,1),"")</f>
        <v/>
      </c>
      <c r="E349" s="0" t="str">
        <f aca="false">IF(C349=1,INT(MOD(ABS(SIN(D349*7919.123+ROW()*0.618+'הדבקת לידים'!$F$2*1.3))*43758.5453,1)*1000000)*10000+ROW(),"")</f>
        <v/>
      </c>
      <c r="F349" s="0" t="str">
        <f aca="false">IF(E349="","",RANK(E349,$E$2:$E$5001,1))</f>
        <v/>
      </c>
      <c r="G349" s="0" t="n">
        <f aca="false">IF(A349="",0,IF(SUMPRODUCT(--($A$2:$A$5001=A349))&gt;1,1,0))</f>
        <v>0</v>
      </c>
      <c r="H349" s="0" t="n">
        <f aca="false">ROW()-1</f>
        <v>348</v>
      </c>
      <c r="I349" s="0" t="str">
        <f aca="false">IF(OR(הגדרות!$E$6=0,H349&gt;הגדרות!$E$5),"",IF(H349-1&lt;הגדרות!$E$8*(הגדרות!$E$7+1),INT((H349-1)/(הגדרות!$E$7+1)),הגדרות!$E$8+INT((H349-1-הגדרות!$E$8*(הגדרות!$E$7+1))/הגדרות!$E$7)))</f>
        <v/>
      </c>
      <c r="J349" s="0" t="str">
        <f aca="false">IF(I349="","",IF(H349-1&lt;הגדרות!$E$8*(הגדרות!$E$7+1),MOD(H349-1,הגדרות!$E$7+1),MOD(H349-1-הגדרות!$E$8*(הגדרות!$E$7+1),הגדרות!$E$7)))</f>
        <v/>
      </c>
      <c r="K349" s="0" t="str">
        <f aca="false">IF(I349="","",J349*הגדרות!$E$6+I349+1)</f>
        <v/>
      </c>
      <c r="L349" s="0" t="str">
        <f aca="false">IF(K349="","",MATCH(K349,$F$2:$F$5001,0))</f>
        <v/>
      </c>
      <c r="M349" s="0" t="str">
        <f aca="false">IF(I349="","",INDEX(הגדרות!$A$2:$A$21,MOD(I349+הגדרות!$E$9,הגדרות!$E$6)+1))</f>
        <v/>
      </c>
    </row>
    <row r="350" customFormat="false" ht="15" hidden="false" customHeight="false" outlineLevel="0" collapsed="false">
      <c r="A350" s="0" t="str">
        <f aca="false">IF('הדבקת לידים'!A350="","",IF(ISNUMBER('הדבקת לידים'!A350),IF(הגדרות!$E$2&gt;0,TEXT('הדבקת לידים'!A350,REPT("0",הגדרות!$E$2)),TEXT('הדבקת לידים'!A350,"0")),TRIM('הדבקת לידים'!A350)))</f>
        <v/>
      </c>
      <c r="B350" s="0" t="str">
        <f aca="false">IF('הדבקת לידים'!B350="","",IF(ISNUMBER('הדבקת לידים'!B350),IF(הגדרות!$E$3&gt;0,TEXT('הדבקת לידים'!B350,REPT("0",הגדרות!$E$3)),TEXT('הדבקת לידים'!B350,"0")),TRIM('הדבקת לידים'!B350)))</f>
        <v/>
      </c>
      <c r="C350" s="0" t="n">
        <f aca="false">IF(OR(A350&lt;&gt;"",B350&lt;&gt;""),1,0)</f>
        <v>0</v>
      </c>
      <c r="D350" s="0" t="str">
        <f aca="false">IF(C350=1,MOD(ABS(SIN(ROW()*12.9898+'הדבקת לידים'!$F$2*78.233+IFERROR(--RIGHT(A350,6),LEN(A350))*0.0137+IFERROR(--RIGHT(B350,6),LEN(B350))*0.0071))*43758.5453,1),"")</f>
        <v/>
      </c>
      <c r="E350" s="0" t="str">
        <f aca="false">IF(C350=1,INT(MOD(ABS(SIN(D350*7919.123+ROW()*0.618+'הדבקת לידים'!$F$2*1.3))*43758.5453,1)*1000000)*10000+ROW(),"")</f>
        <v/>
      </c>
      <c r="F350" s="0" t="str">
        <f aca="false">IF(E350="","",RANK(E350,$E$2:$E$5001,1))</f>
        <v/>
      </c>
      <c r="G350" s="0" t="n">
        <f aca="false">IF(A350="",0,IF(SUMPRODUCT(--($A$2:$A$5001=A350))&gt;1,1,0))</f>
        <v>0</v>
      </c>
      <c r="H350" s="0" t="n">
        <f aca="false">ROW()-1</f>
        <v>349</v>
      </c>
      <c r="I350" s="0" t="str">
        <f aca="false">IF(OR(הגדרות!$E$6=0,H350&gt;הגדרות!$E$5),"",IF(H350-1&lt;הגדרות!$E$8*(הגדרות!$E$7+1),INT((H350-1)/(הגדרות!$E$7+1)),הגדרות!$E$8+INT((H350-1-הגדרות!$E$8*(הגדרות!$E$7+1))/הגדרות!$E$7)))</f>
        <v/>
      </c>
      <c r="J350" s="0" t="str">
        <f aca="false">IF(I350="","",IF(H350-1&lt;הגדרות!$E$8*(הגדרות!$E$7+1),MOD(H350-1,הגדרות!$E$7+1),MOD(H350-1-הגדרות!$E$8*(הגדרות!$E$7+1),הגדרות!$E$7)))</f>
        <v/>
      </c>
      <c r="K350" s="0" t="str">
        <f aca="false">IF(I350="","",J350*הגדרות!$E$6+I350+1)</f>
        <v/>
      </c>
      <c r="L350" s="0" t="str">
        <f aca="false">IF(K350="","",MATCH(K350,$F$2:$F$5001,0))</f>
        <v/>
      </c>
      <c r="M350" s="0" t="str">
        <f aca="false">IF(I350="","",INDEX(הגדרות!$A$2:$A$21,MOD(I350+הגדרות!$E$9,הגדרות!$E$6)+1))</f>
        <v/>
      </c>
    </row>
    <row r="351" customFormat="false" ht="15" hidden="false" customHeight="false" outlineLevel="0" collapsed="false">
      <c r="A351" s="0" t="str">
        <f aca="false">IF('הדבקת לידים'!A351="","",IF(ISNUMBER('הדבקת לידים'!A351),IF(הגדרות!$E$2&gt;0,TEXT('הדבקת לידים'!A351,REPT("0",הגדרות!$E$2)),TEXT('הדבקת לידים'!A351,"0")),TRIM('הדבקת לידים'!A351)))</f>
        <v/>
      </c>
      <c r="B351" s="0" t="str">
        <f aca="false">IF('הדבקת לידים'!B351="","",IF(ISNUMBER('הדבקת לידים'!B351),IF(הגדרות!$E$3&gt;0,TEXT('הדבקת לידים'!B351,REPT("0",הגדרות!$E$3)),TEXT('הדבקת לידים'!B351,"0")),TRIM('הדבקת לידים'!B351)))</f>
        <v/>
      </c>
      <c r="C351" s="0" t="n">
        <f aca="false">IF(OR(A351&lt;&gt;"",B351&lt;&gt;""),1,0)</f>
        <v>0</v>
      </c>
      <c r="D351" s="0" t="str">
        <f aca="false">IF(C351=1,MOD(ABS(SIN(ROW()*12.9898+'הדבקת לידים'!$F$2*78.233+IFERROR(--RIGHT(A351,6),LEN(A351))*0.0137+IFERROR(--RIGHT(B351,6),LEN(B351))*0.0071))*43758.5453,1),"")</f>
        <v/>
      </c>
      <c r="E351" s="0" t="str">
        <f aca="false">IF(C351=1,INT(MOD(ABS(SIN(D351*7919.123+ROW()*0.618+'הדבקת לידים'!$F$2*1.3))*43758.5453,1)*1000000)*10000+ROW(),"")</f>
        <v/>
      </c>
      <c r="F351" s="0" t="str">
        <f aca="false">IF(E351="","",RANK(E351,$E$2:$E$5001,1))</f>
        <v/>
      </c>
      <c r="G351" s="0" t="n">
        <f aca="false">IF(A351="",0,IF(SUMPRODUCT(--($A$2:$A$5001=A351))&gt;1,1,0))</f>
        <v>0</v>
      </c>
      <c r="H351" s="0" t="n">
        <f aca="false">ROW()-1</f>
        <v>350</v>
      </c>
      <c r="I351" s="0" t="str">
        <f aca="false">IF(OR(הגדרות!$E$6=0,H351&gt;הגדרות!$E$5),"",IF(H351-1&lt;הגדרות!$E$8*(הגדרות!$E$7+1),INT((H351-1)/(הגדרות!$E$7+1)),הגדרות!$E$8+INT((H351-1-הגדרות!$E$8*(הגדרות!$E$7+1))/הגדרות!$E$7)))</f>
        <v/>
      </c>
      <c r="J351" s="0" t="str">
        <f aca="false">IF(I351="","",IF(H351-1&lt;הגדרות!$E$8*(הגדרות!$E$7+1),MOD(H351-1,הגדרות!$E$7+1),MOD(H351-1-הגדרות!$E$8*(הגדרות!$E$7+1),הגדרות!$E$7)))</f>
        <v/>
      </c>
      <c r="K351" s="0" t="str">
        <f aca="false">IF(I351="","",J351*הגדרות!$E$6+I351+1)</f>
        <v/>
      </c>
      <c r="L351" s="0" t="str">
        <f aca="false">IF(K351="","",MATCH(K351,$F$2:$F$5001,0))</f>
        <v/>
      </c>
      <c r="M351" s="0" t="str">
        <f aca="false">IF(I351="","",INDEX(הגדרות!$A$2:$A$21,MOD(I351+הגדרות!$E$9,הגדרות!$E$6)+1))</f>
        <v/>
      </c>
    </row>
    <row r="352" customFormat="false" ht="15" hidden="false" customHeight="false" outlineLevel="0" collapsed="false">
      <c r="A352" s="0" t="str">
        <f aca="false">IF('הדבקת לידים'!A352="","",IF(ISNUMBER('הדבקת לידים'!A352),IF(הגדרות!$E$2&gt;0,TEXT('הדבקת לידים'!A352,REPT("0",הגדרות!$E$2)),TEXT('הדבקת לידים'!A352,"0")),TRIM('הדבקת לידים'!A352)))</f>
        <v/>
      </c>
      <c r="B352" s="0" t="str">
        <f aca="false">IF('הדבקת לידים'!B352="","",IF(ISNUMBER('הדבקת לידים'!B352),IF(הגדרות!$E$3&gt;0,TEXT('הדבקת לידים'!B352,REPT("0",הגדרות!$E$3)),TEXT('הדבקת לידים'!B352,"0")),TRIM('הדבקת לידים'!B352)))</f>
        <v/>
      </c>
      <c r="C352" s="0" t="n">
        <f aca="false">IF(OR(A352&lt;&gt;"",B352&lt;&gt;""),1,0)</f>
        <v>0</v>
      </c>
      <c r="D352" s="0" t="str">
        <f aca="false">IF(C352=1,MOD(ABS(SIN(ROW()*12.9898+'הדבקת לידים'!$F$2*78.233+IFERROR(--RIGHT(A352,6),LEN(A352))*0.0137+IFERROR(--RIGHT(B352,6),LEN(B352))*0.0071))*43758.5453,1),"")</f>
        <v/>
      </c>
      <c r="E352" s="0" t="str">
        <f aca="false">IF(C352=1,INT(MOD(ABS(SIN(D352*7919.123+ROW()*0.618+'הדבקת לידים'!$F$2*1.3))*43758.5453,1)*1000000)*10000+ROW(),"")</f>
        <v/>
      </c>
      <c r="F352" s="0" t="str">
        <f aca="false">IF(E352="","",RANK(E352,$E$2:$E$5001,1))</f>
        <v/>
      </c>
      <c r="G352" s="0" t="n">
        <f aca="false">IF(A352="",0,IF(SUMPRODUCT(--($A$2:$A$5001=A352))&gt;1,1,0))</f>
        <v>0</v>
      </c>
      <c r="H352" s="0" t="n">
        <f aca="false">ROW()-1</f>
        <v>351</v>
      </c>
      <c r="I352" s="0" t="str">
        <f aca="false">IF(OR(הגדרות!$E$6=0,H352&gt;הגדרות!$E$5),"",IF(H352-1&lt;הגדרות!$E$8*(הגדרות!$E$7+1),INT((H352-1)/(הגדרות!$E$7+1)),הגדרות!$E$8+INT((H352-1-הגדרות!$E$8*(הגדרות!$E$7+1))/הגדרות!$E$7)))</f>
        <v/>
      </c>
      <c r="J352" s="0" t="str">
        <f aca="false">IF(I352="","",IF(H352-1&lt;הגדרות!$E$8*(הגדרות!$E$7+1),MOD(H352-1,הגדרות!$E$7+1),MOD(H352-1-הגדרות!$E$8*(הגדרות!$E$7+1),הגדרות!$E$7)))</f>
        <v/>
      </c>
      <c r="K352" s="0" t="str">
        <f aca="false">IF(I352="","",J352*הגדרות!$E$6+I352+1)</f>
        <v/>
      </c>
      <c r="L352" s="0" t="str">
        <f aca="false">IF(K352="","",MATCH(K352,$F$2:$F$5001,0))</f>
        <v/>
      </c>
      <c r="M352" s="0" t="str">
        <f aca="false">IF(I352="","",INDEX(הגדרות!$A$2:$A$21,MOD(I352+הגדרות!$E$9,הגדרות!$E$6)+1))</f>
        <v/>
      </c>
    </row>
    <row r="353" customFormat="false" ht="15" hidden="false" customHeight="false" outlineLevel="0" collapsed="false">
      <c r="A353" s="0" t="str">
        <f aca="false">IF('הדבקת לידים'!A353="","",IF(ISNUMBER('הדבקת לידים'!A353),IF(הגדרות!$E$2&gt;0,TEXT('הדבקת לידים'!A353,REPT("0",הגדרות!$E$2)),TEXT('הדבקת לידים'!A353,"0")),TRIM('הדבקת לידים'!A353)))</f>
        <v/>
      </c>
      <c r="B353" s="0" t="str">
        <f aca="false">IF('הדבקת לידים'!B353="","",IF(ISNUMBER('הדבקת לידים'!B353),IF(הגדרות!$E$3&gt;0,TEXT('הדבקת לידים'!B353,REPT("0",הגדרות!$E$3)),TEXT('הדבקת לידים'!B353,"0")),TRIM('הדבקת לידים'!B353)))</f>
        <v/>
      </c>
      <c r="C353" s="0" t="n">
        <f aca="false">IF(OR(A353&lt;&gt;"",B353&lt;&gt;""),1,0)</f>
        <v>0</v>
      </c>
      <c r="D353" s="0" t="str">
        <f aca="false">IF(C353=1,MOD(ABS(SIN(ROW()*12.9898+'הדבקת לידים'!$F$2*78.233+IFERROR(--RIGHT(A353,6),LEN(A353))*0.0137+IFERROR(--RIGHT(B353,6),LEN(B353))*0.0071))*43758.5453,1),"")</f>
        <v/>
      </c>
      <c r="E353" s="0" t="str">
        <f aca="false">IF(C353=1,INT(MOD(ABS(SIN(D353*7919.123+ROW()*0.618+'הדבקת לידים'!$F$2*1.3))*43758.5453,1)*1000000)*10000+ROW(),"")</f>
        <v/>
      </c>
      <c r="F353" s="0" t="str">
        <f aca="false">IF(E353="","",RANK(E353,$E$2:$E$5001,1))</f>
        <v/>
      </c>
      <c r="G353" s="0" t="n">
        <f aca="false">IF(A353="",0,IF(SUMPRODUCT(--($A$2:$A$5001=A353))&gt;1,1,0))</f>
        <v>0</v>
      </c>
      <c r="H353" s="0" t="n">
        <f aca="false">ROW()-1</f>
        <v>352</v>
      </c>
      <c r="I353" s="0" t="str">
        <f aca="false">IF(OR(הגדרות!$E$6=0,H353&gt;הגדרות!$E$5),"",IF(H353-1&lt;הגדרות!$E$8*(הגדרות!$E$7+1),INT((H353-1)/(הגדרות!$E$7+1)),הגדרות!$E$8+INT((H353-1-הגדרות!$E$8*(הגדרות!$E$7+1))/הגדרות!$E$7)))</f>
        <v/>
      </c>
      <c r="J353" s="0" t="str">
        <f aca="false">IF(I353="","",IF(H353-1&lt;הגדרות!$E$8*(הגדרות!$E$7+1),MOD(H353-1,הגדרות!$E$7+1),MOD(H353-1-הגדרות!$E$8*(הגדרות!$E$7+1),הגדרות!$E$7)))</f>
        <v/>
      </c>
      <c r="K353" s="0" t="str">
        <f aca="false">IF(I353="","",J353*הגדרות!$E$6+I353+1)</f>
        <v/>
      </c>
      <c r="L353" s="0" t="str">
        <f aca="false">IF(K353="","",MATCH(K353,$F$2:$F$5001,0))</f>
        <v/>
      </c>
      <c r="M353" s="0" t="str">
        <f aca="false">IF(I353="","",INDEX(הגדרות!$A$2:$A$21,MOD(I353+הגדרות!$E$9,הגדרות!$E$6)+1))</f>
        <v/>
      </c>
    </row>
    <row r="354" customFormat="false" ht="15" hidden="false" customHeight="false" outlineLevel="0" collapsed="false">
      <c r="A354" s="0" t="str">
        <f aca="false">IF('הדבקת לידים'!A354="","",IF(ISNUMBER('הדבקת לידים'!A354),IF(הגדרות!$E$2&gt;0,TEXT('הדבקת לידים'!A354,REPT("0",הגדרות!$E$2)),TEXT('הדבקת לידים'!A354,"0")),TRIM('הדבקת לידים'!A354)))</f>
        <v/>
      </c>
      <c r="B354" s="0" t="str">
        <f aca="false">IF('הדבקת לידים'!B354="","",IF(ISNUMBER('הדבקת לידים'!B354),IF(הגדרות!$E$3&gt;0,TEXT('הדבקת לידים'!B354,REPT("0",הגדרות!$E$3)),TEXT('הדבקת לידים'!B354,"0")),TRIM('הדבקת לידים'!B354)))</f>
        <v/>
      </c>
      <c r="C354" s="0" t="n">
        <f aca="false">IF(OR(A354&lt;&gt;"",B354&lt;&gt;""),1,0)</f>
        <v>0</v>
      </c>
      <c r="D354" s="0" t="str">
        <f aca="false">IF(C354=1,MOD(ABS(SIN(ROW()*12.9898+'הדבקת לידים'!$F$2*78.233+IFERROR(--RIGHT(A354,6),LEN(A354))*0.0137+IFERROR(--RIGHT(B354,6),LEN(B354))*0.0071))*43758.5453,1),"")</f>
        <v/>
      </c>
      <c r="E354" s="0" t="str">
        <f aca="false">IF(C354=1,INT(MOD(ABS(SIN(D354*7919.123+ROW()*0.618+'הדבקת לידים'!$F$2*1.3))*43758.5453,1)*1000000)*10000+ROW(),"")</f>
        <v/>
      </c>
      <c r="F354" s="0" t="str">
        <f aca="false">IF(E354="","",RANK(E354,$E$2:$E$5001,1))</f>
        <v/>
      </c>
      <c r="G354" s="0" t="n">
        <f aca="false">IF(A354="",0,IF(SUMPRODUCT(--($A$2:$A$5001=A354))&gt;1,1,0))</f>
        <v>0</v>
      </c>
      <c r="H354" s="0" t="n">
        <f aca="false">ROW()-1</f>
        <v>353</v>
      </c>
      <c r="I354" s="0" t="str">
        <f aca="false">IF(OR(הגדרות!$E$6=0,H354&gt;הגדרות!$E$5),"",IF(H354-1&lt;הגדרות!$E$8*(הגדרות!$E$7+1),INT((H354-1)/(הגדרות!$E$7+1)),הגדרות!$E$8+INT((H354-1-הגדרות!$E$8*(הגדרות!$E$7+1))/הגדרות!$E$7)))</f>
        <v/>
      </c>
      <c r="J354" s="0" t="str">
        <f aca="false">IF(I354="","",IF(H354-1&lt;הגדרות!$E$8*(הגדרות!$E$7+1),MOD(H354-1,הגדרות!$E$7+1),MOD(H354-1-הגדרות!$E$8*(הגדרות!$E$7+1),הגדרות!$E$7)))</f>
        <v/>
      </c>
      <c r="K354" s="0" t="str">
        <f aca="false">IF(I354="","",J354*הגדרות!$E$6+I354+1)</f>
        <v/>
      </c>
      <c r="L354" s="0" t="str">
        <f aca="false">IF(K354="","",MATCH(K354,$F$2:$F$5001,0))</f>
        <v/>
      </c>
      <c r="M354" s="0" t="str">
        <f aca="false">IF(I354="","",INDEX(הגדרות!$A$2:$A$21,MOD(I354+הגדרות!$E$9,הגדרות!$E$6)+1))</f>
        <v/>
      </c>
    </row>
    <row r="355" customFormat="false" ht="15" hidden="false" customHeight="false" outlineLevel="0" collapsed="false">
      <c r="A355" s="0" t="str">
        <f aca="false">IF('הדבקת לידים'!A355="","",IF(ISNUMBER('הדבקת לידים'!A355),IF(הגדרות!$E$2&gt;0,TEXT('הדבקת לידים'!A355,REPT("0",הגדרות!$E$2)),TEXT('הדבקת לידים'!A355,"0")),TRIM('הדבקת לידים'!A355)))</f>
        <v/>
      </c>
      <c r="B355" s="0" t="str">
        <f aca="false">IF('הדבקת לידים'!B355="","",IF(ISNUMBER('הדבקת לידים'!B355),IF(הגדרות!$E$3&gt;0,TEXT('הדבקת לידים'!B355,REPT("0",הגדרות!$E$3)),TEXT('הדבקת לידים'!B355,"0")),TRIM('הדבקת לידים'!B355)))</f>
        <v/>
      </c>
      <c r="C355" s="0" t="n">
        <f aca="false">IF(OR(A355&lt;&gt;"",B355&lt;&gt;""),1,0)</f>
        <v>0</v>
      </c>
      <c r="D355" s="0" t="str">
        <f aca="false">IF(C355=1,MOD(ABS(SIN(ROW()*12.9898+'הדבקת לידים'!$F$2*78.233+IFERROR(--RIGHT(A355,6),LEN(A355))*0.0137+IFERROR(--RIGHT(B355,6),LEN(B355))*0.0071))*43758.5453,1),"")</f>
        <v/>
      </c>
      <c r="E355" s="0" t="str">
        <f aca="false">IF(C355=1,INT(MOD(ABS(SIN(D355*7919.123+ROW()*0.618+'הדבקת לידים'!$F$2*1.3))*43758.5453,1)*1000000)*10000+ROW(),"")</f>
        <v/>
      </c>
      <c r="F355" s="0" t="str">
        <f aca="false">IF(E355="","",RANK(E355,$E$2:$E$5001,1))</f>
        <v/>
      </c>
      <c r="G355" s="0" t="n">
        <f aca="false">IF(A355="",0,IF(SUMPRODUCT(--($A$2:$A$5001=A355))&gt;1,1,0))</f>
        <v>0</v>
      </c>
      <c r="H355" s="0" t="n">
        <f aca="false">ROW()-1</f>
        <v>354</v>
      </c>
      <c r="I355" s="0" t="str">
        <f aca="false">IF(OR(הגדרות!$E$6=0,H355&gt;הגדרות!$E$5),"",IF(H355-1&lt;הגדרות!$E$8*(הגדרות!$E$7+1),INT((H355-1)/(הגדרות!$E$7+1)),הגדרות!$E$8+INT((H355-1-הגדרות!$E$8*(הגדרות!$E$7+1))/הגדרות!$E$7)))</f>
        <v/>
      </c>
      <c r="J355" s="0" t="str">
        <f aca="false">IF(I355="","",IF(H355-1&lt;הגדרות!$E$8*(הגדרות!$E$7+1),MOD(H355-1,הגדרות!$E$7+1),MOD(H355-1-הגדרות!$E$8*(הגדרות!$E$7+1),הגדרות!$E$7)))</f>
        <v/>
      </c>
      <c r="K355" s="0" t="str">
        <f aca="false">IF(I355="","",J355*הגדרות!$E$6+I355+1)</f>
        <v/>
      </c>
      <c r="L355" s="0" t="str">
        <f aca="false">IF(K355="","",MATCH(K355,$F$2:$F$5001,0))</f>
        <v/>
      </c>
      <c r="M355" s="0" t="str">
        <f aca="false">IF(I355="","",INDEX(הגדרות!$A$2:$A$21,MOD(I355+הגדרות!$E$9,הגדרות!$E$6)+1))</f>
        <v/>
      </c>
    </row>
    <row r="356" customFormat="false" ht="15" hidden="false" customHeight="false" outlineLevel="0" collapsed="false">
      <c r="A356" s="0" t="str">
        <f aca="false">IF('הדבקת לידים'!A356="","",IF(ISNUMBER('הדבקת לידים'!A356),IF(הגדרות!$E$2&gt;0,TEXT('הדבקת לידים'!A356,REPT("0",הגדרות!$E$2)),TEXT('הדבקת לידים'!A356,"0")),TRIM('הדבקת לידים'!A356)))</f>
        <v/>
      </c>
      <c r="B356" s="0" t="str">
        <f aca="false">IF('הדבקת לידים'!B356="","",IF(ISNUMBER('הדבקת לידים'!B356),IF(הגדרות!$E$3&gt;0,TEXT('הדבקת לידים'!B356,REPT("0",הגדרות!$E$3)),TEXT('הדבקת לידים'!B356,"0")),TRIM('הדבקת לידים'!B356)))</f>
        <v/>
      </c>
      <c r="C356" s="0" t="n">
        <f aca="false">IF(OR(A356&lt;&gt;"",B356&lt;&gt;""),1,0)</f>
        <v>0</v>
      </c>
      <c r="D356" s="0" t="str">
        <f aca="false">IF(C356=1,MOD(ABS(SIN(ROW()*12.9898+'הדבקת לידים'!$F$2*78.233+IFERROR(--RIGHT(A356,6),LEN(A356))*0.0137+IFERROR(--RIGHT(B356,6),LEN(B356))*0.0071))*43758.5453,1),"")</f>
        <v/>
      </c>
      <c r="E356" s="0" t="str">
        <f aca="false">IF(C356=1,INT(MOD(ABS(SIN(D356*7919.123+ROW()*0.618+'הדבקת לידים'!$F$2*1.3))*43758.5453,1)*1000000)*10000+ROW(),"")</f>
        <v/>
      </c>
      <c r="F356" s="0" t="str">
        <f aca="false">IF(E356="","",RANK(E356,$E$2:$E$5001,1))</f>
        <v/>
      </c>
      <c r="G356" s="0" t="n">
        <f aca="false">IF(A356="",0,IF(SUMPRODUCT(--($A$2:$A$5001=A356))&gt;1,1,0))</f>
        <v>0</v>
      </c>
      <c r="H356" s="0" t="n">
        <f aca="false">ROW()-1</f>
        <v>355</v>
      </c>
      <c r="I356" s="0" t="str">
        <f aca="false">IF(OR(הגדרות!$E$6=0,H356&gt;הגדרות!$E$5),"",IF(H356-1&lt;הגדרות!$E$8*(הגדרות!$E$7+1),INT((H356-1)/(הגדרות!$E$7+1)),הגדרות!$E$8+INT((H356-1-הגדרות!$E$8*(הגדרות!$E$7+1))/הגדרות!$E$7)))</f>
        <v/>
      </c>
      <c r="J356" s="0" t="str">
        <f aca="false">IF(I356="","",IF(H356-1&lt;הגדרות!$E$8*(הגדרות!$E$7+1),MOD(H356-1,הגדרות!$E$7+1),MOD(H356-1-הגדרות!$E$8*(הגדרות!$E$7+1),הגדרות!$E$7)))</f>
        <v/>
      </c>
      <c r="K356" s="0" t="str">
        <f aca="false">IF(I356="","",J356*הגדרות!$E$6+I356+1)</f>
        <v/>
      </c>
      <c r="L356" s="0" t="str">
        <f aca="false">IF(K356="","",MATCH(K356,$F$2:$F$5001,0))</f>
        <v/>
      </c>
      <c r="M356" s="0" t="str">
        <f aca="false">IF(I356="","",INDEX(הגדרות!$A$2:$A$21,MOD(I356+הגדרות!$E$9,הגדרות!$E$6)+1))</f>
        <v/>
      </c>
    </row>
    <row r="357" customFormat="false" ht="15" hidden="false" customHeight="false" outlineLevel="0" collapsed="false">
      <c r="A357" s="0" t="str">
        <f aca="false">IF('הדבקת לידים'!A357="","",IF(ISNUMBER('הדבקת לידים'!A357),IF(הגדרות!$E$2&gt;0,TEXT('הדבקת לידים'!A357,REPT("0",הגדרות!$E$2)),TEXT('הדבקת לידים'!A357,"0")),TRIM('הדבקת לידים'!A357)))</f>
        <v/>
      </c>
      <c r="B357" s="0" t="str">
        <f aca="false">IF('הדבקת לידים'!B357="","",IF(ISNUMBER('הדבקת לידים'!B357),IF(הגדרות!$E$3&gt;0,TEXT('הדבקת לידים'!B357,REPT("0",הגדרות!$E$3)),TEXT('הדבקת לידים'!B357,"0")),TRIM('הדבקת לידים'!B357)))</f>
        <v/>
      </c>
      <c r="C357" s="0" t="n">
        <f aca="false">IF(OR(A357&lt;&gt;"",B357&lt;&gt;""),1,0)</f>
        <v>0</v>
      </c>
      <c r="D357" s="0" t="str">
        <f aca="false">IF(C357=1,MOD(ABS(SIN(ROW()*12.9898+'הדבקת לידים'!$F$2*78.233+IFERROR(--RIGHT(A357,6),LEN(A357))*0.0137+IFERROR(--RIGHT(B357,6),LEN(B357))*0.0071))*43758.5453,1),"")</f>
        <v/>
      </c>
      <c r="E357" s="0" t="str">
        <f aca="false">IF(C357=1,INT(MOD(ABS(SIN(D357*7919.123+ROW()*0.618+'הדבקת לידים'!$F$2*1.3))*43758.5453,1)*1000000)*10000+ROW(),"")</f>
        <v/>
      </c>
      <c r="F357" s="0" t="str">
        <f aca="false">IF(E357="","",RANK(E357,$E$2:$E$5001,1))</f>
        <v/>
      </c>
      <c r="G357" s="0" t="n">
        <f aca="false">IF(A357="",0,IF(SUMPRODUCT(--($A$2:$A$5001=A357))&gt;1,1,0))</f>
        <v>0</v>
      </c>
      <c r="H357" s="0" t="n">
        <f aca="false">ROW()-1</f>
        <v>356</v>
      </c>
      <c r="I357" s="0" t="str">
        <f aca="false">IF(OR(הגדרות!$E$6=0,H357&gt;הגדרות!$E$5),"",IF(H357-1&lt;הגדרות!$E$8*(הגדרות!$E$7+1),INT((H357-1)/(הגדרות!$E$7+1)),הגדרות!$E$8+INT((H357-1-הגדרות!$E$8*(הגדרות!$E$7+1))/הגדרות!$E$7)))</f>
        <v/>
      </c>
      <c r="J357" s="0" t="str">
        <f aca="false">IF(I357="","",IF(H357-1&lt;הגדרות!$E$8*(הגדרות!$E$7+1),MOD(H357-1,הגדרות!$E$7+1),MOD(H357-1-הגדרות!$E$8*(הגדרות!$E$7+1),הגדרות!$E$7)))</f>
        <v/>
      </c>
      <c r="K357" s="0" t="str">
        <f aca="false">IF(I357="","",J357*הגדרות!$E$6+I357+1)</f>
        <v/>
      </c>
      <c r="L357" s="0" t="str">
        <f aca="false">IF(K357="","",MATCH(K357,$F$2:$F$5001,0))</f>
        <v/>
      </c>
      <c r="M357" s="0" t="str">
        <f aca="false">IF(I357="","",INDEX(הגדרות!$A$2:$A$21,MOD(I357+הגדרות!$E$9,הגדרות!$E$6)+1))</f>
        <v/>
      </c>
    </row>
    <row r="358" customFormat="false" ht="15" hidden="false" customHeight="false" outlineLevel="0" collapsed="false">
      <c r="A358" s="0" t="str">
        <f aca="false">IF('הדבקת לידים'!A358="","",IF(ISNUMBER('הדבקת לידים'!A358),IF(הגדרות!$E$2&gt;0,TEXT('הדבקת לידים'!A358,REPT("0",הגדרות!$E$2)),TEXT('הדבקת לידים'!A358,"0")),TRIM('הדבקת לידים'!A358)))</f>
        <v/>
      </c>
      <c r="B358" s="0" t="str">
        <f aca="false">IF('הדבקת לידים'!B358="","",IF(ISNUMBER('הדבקת לידים'!B358),IF(הגדרות!$E$3&gt;0,TEXT('הדבקת לידים'!B358,REPT("0",הגדרות!$E$3)),TEXT('הדבקת לידים'!B358,"0")),TRIM('הדבקת לידים'!B358)))</f>
        <v/>
      </c>
      <c r="C358" s="0" t="n">
        <f aca="false">IF(OR(A358&lt;&gt;"",B358&lt;&gt;""),1,0)</f>
        <v>0</v>
      </c>
      <c r="D358" s="0" t="str">
        <f aca="false">IF(C358=1,MOD(ABS(SIN(ROW()*12.9898+'הדבקת לידים'!$F$2*78.233+IFERROR(--RIGHT(A358,6),LEN(A358))*0.0137+IFERROR(--RIGHT(B358,6),LEN(B358))*0.0071))*43758.5453,1),"")</f>
        <v/>
      </c>
      <c r="E358" s="0" t="str">
        <f aca="false">IF(C358=1,INT(MOD(ABS(SIN(D358*7919.123+ROW()*0.618+'הדבקת לידים'!$F$2*1.3))*43758.5453,1)*1000000)*10000+ROW(),"")</f>
        <v/>
      </c>
      <c r="F358" s="0" t="str">
        <f aca="false">IF(E358="","",RANK(E358,$E$2:$E$5001,1))</f>
        <v/>
      </c>
      <c r="G358" s="0" t="n">
        <f aca="false">IF(A358="",0,IF(SUMPRODUCT(--($A$2:$A$5001=A358))&gt;1,1,0))</f>
        <v>0</v>
      </c>
      <c r="H358" s="0" t="n">
        <f aca="false">ROW()-1</f>
        <v>357</v>
      </c>
      <c r="I358" s="0" t="str">
        <f aca="false">IF(OR(הגדרות!$E$6=0,H358&gt;הגדרות!$E$5),"",IF(H358-1&lt;הגדרות!$E$8*(הגדרות!$E$7+1),INT((H358-1)/(הגדרות!$E$7+1)),הגדרות!$E$8+INT((H358-1-הגדרות!$E$8*(הגדרות!$E$7+1))/הגדרות!$E$7)))</f>
        <v/>
      </c>
      <c r="J358" s="0" t="str">
        <f aca="false">IF(I358="","",IF(H358-1&lt;הגדרות!$E$8*(הגדרות!$E$7+1),MOD(H358-1,הגדרות!$E$7+1),MOD(H358-1-הגדרות!$E$8*(הגדרות!$E$7+1),הגדרות!$E$7)))</f>
        <v/>
      </c>
      <c r="K358" s="0" t="str">
        <f aca="false">IF(I358="","",J358*הגדרות!$E$6+I358+1)</f>
        <v/>
      </c>
      <c r="L358" s="0" t="str">
        <f aca="false">IF(K358="","",MATCH(K358,$F$2:$F$5001,0))</f>
        <v/>
      </c>
      <c r="M358" s="0" t="str">
        <f aca="false">IF(I358="","",INDEX(הגדרות!$A$2:$A$21,MOD(I358+הגדרות!$E$9,הגדרות!$E$6)+1))</f>
        <v/>
      </c>
    </row>
    <row r="359" customFormat="false" ht="15" hidden="false" customHeight="false" outlineLevel="0" collapsed="false">
      <c r="A359" s="0" t="str">
        <f aca="false">IF('הדבקת לידים'!A359="","",IF(ISNUMBER('הדבקת לידים'!A359),IF(הגדרות!$E$2&gt;0,TEXT('הדבקת לידים'!A359,REPT("0",הגדרות!$E$2)),TEXT('הדבקת לידים'!A359,"0")),TRIM('הדבקת לידים'!A359)))</f>
        <v/>
      </c>
      <c r="B359" s="0" t="str">
        <f aca="false">IF('הדבקת לידים'!B359="","",IF(ISNUMBER('הדבקת לידים'!B359),IF(הגדרות!$E$3&gt;0,TEXT('הדבקת לידים'!B359,REPT("0",הגדרות!$E$3)),TEXT('הדבקת לידים'!B359,"0")),TRIM('הדבקת לידים'!B359)))</f>
        <v/>
      </c>
      <c r="C359" s="0" t="n">
        <f aca="false">IF(OR(A359&lt;&gt;"",B359&lt;&gt;""),1,0)</f>
        <v>0</v>
      </c>
      <c r="D359" s="0" t="str">
        <f aca="false">IF(C359=1,MOD(ABS(SIN(ROW()*12.9898+'הדבקת לידים'!$F$2*78.233+IFERROR(--RIGHT(A359,6),LEN(A359))*0.0137+IFERROR(--RIGHT(B359,6),LEN(B359))*0.0071))*43758.5453,1),"")</f>
        <v/>
      </c>
      <c r="E359" s="0" t="str">
        <f aca="false">IF(C359=1,INT(MOD(ABS(SIN(D359*7919.123+ROW()*0.618+'הדבקת לידים'!$F$2*1.3))*43758.5453,1)*1000000)*10000+ROW(),"")</f>
        <v/>
      </c>
      <c r="F359" s="0" t="str">
        <f aca="false">IF(E359="","",RANK(E359,$E$2:$E$5001,1))</f>
        <v/>
      </c>
      <c r="G359" s="0" t="n">
        <f aca="false">IF(A359="",0,IF(SUMPRODUCT(--($A$2:$A$5001=A359))&gt;1,1,0))</f>
        <v>0</v>
      </c>
      <c r="H359" s="0" t="n">
        <f aca="false">ROW()-1</f>
        <v>358</v>
      </c>
      <c r="I359" s="0" t="str">
        <f aca="false">IF(OR(הגדרות!$E$6=0,H359&gt;הגדרות!$E$5),"",IF(H359-1&lt;הגדרות!$E$8*(הגדרות!$E$7+1),INT((H359-1)/(הגדרות!$E$7+1)),הגדרות!$E$8+INT((H359-1-הגדרות!$E$8*(הגדרות!$E$7+1))/הגדרות!$E$7)))</f>
        <v/>
      </c>
      <c r="J359" s="0" t="str">
        <f aca="false">IF(I359="","",IF(H359-1&lt;הגדרות!$E$8*(הגדרות!$E$7+1),MOD(H359-1,הגדרות!$E$7+1),MOD(H359-1-הגדרות!$E$8*(הגדרות!$E$7+1),הגדרות!$E$7)))</f>
        <v/>
      </c>
      <c r="K359" s="0" t="str">
        <f aca="false">IF(I359="","",J359*הגדרות!$E$6+I359+1)</f>
        <v/>
      </c>
      <c r="L359" s="0" t="str">
        <f aca="false">IF(K359="","",MATCH(K359,$F$2:$F$5001,0))</f>
        <v/>
      </c>
      <c r="M359" s="0" t="str">
        <f aca="false">IF(I359="","",INDEX(הגדרות!$A$2:$A$21,MOD(I359+הגדרות!$E$9,הגדרות!$E$6)+1))</f>
        <v/>
      </c>
    </row>
    <row r="360" customFormat="false" ht="15" hidden="false" customHeight="false" outlineLevel="0" collapsed="false">
      <c r="A360" s="0" t="str">
        <f aca="false">IF('הדבקת לידים'!A360="","",IF(ISNUMBER('הדבקת לידים'!A360),IF(הגדרות!$E$2&gt;0,TEXT('הדבקת לידים'!A360,REPT("0",הגדרות!$E$2)),TEXT('הדבקת לידים'!A360,"0")),TRIM('הדבקת לידים'!A360)))</f>
        <v/>
      </c>
      <c r="B360" s="0" t="str">
        <f aca="false">IF('הדבקת לידים'!B360="","",IF(ISNUMBER('הדבקת לידים'!B360),IF(הגדרות!$E$3&gt;0,TEXT('הדבקת לידים'!B360,REPT("0",הגדרות!$E$3)),TEXT('הדבקת לידים'!B360,"0")),TRIM('הדבקת לידים'!B360)))</f>
        <v/>
      </c>
      <c r="C360" s="0" t="n">
        <f aca="false">IF(OR(A360&lt;&gt;"",B360&lt;&gt;""),1,0)</f>
        <v>0</v>
      </c>
      <c r="D360" s="0" t="str">
        <f aca="false">IF(C360=1,MOD(ABS(SIN(ROW()*12.9898+'הדבקת לידים'!$F$2*78.233+IFERROR(--RIGHT(A360,6),LEN(A360))*0.0137+IFERROR(--RIGHT(B360,6),LEN(B360))*0.0071))*43758.5453,1),"")</f>
        <v/>
      </c>
      <c r="E360" s="0" t="str">
        <f aca="false">IF(C360=1,INT(MOD(ABS(SIN(D360*7919.123+ROW()*0.618+'הדבקת לידים'!$F$2*1.3))*43758.5453,1)*1000000)*10000+ROW(),"")</f>
        <v/>
      </c>
      <c r="F360" s="0" t="str">
        <f aca="false">IF(E360="","",RANK(E360,$E$2:$E$5001,1))</f>
        <v/>
      </c>
      <c r="G360" s="0" t="n">
        <f aca="false">IF(A360="",0,IF(SUMPRODUCT(--($A$2:$A$5001=A360))&gt;1,1,0))</f>
        <v>0</v>
      </c>
      <c r="H360" s="0" t="n">
        <f aca="false">ROW()-1</f>
        <v>359</v>
      </c>
      <c r="I360" s="0" t="str">
        <f aca="false">IF(OR(הגדרות!$E$6=0,H360&gt;הגדרות!$E$5),"",IF(H360-1&lt;הגדרות!$E$8*(הגדרות!$E$7+1),INT((H360-1)/(הגדרות!$E$7+1)),הגדרות!$E$8+INT((H360-1-הגדרות!$E$8*(הגדרות!$E$7+1))/הגדרות!$E$7)))</f>
        <v/>
      </c>
      <c r="J360" s="0" t="str">
        <f aca="false">IF(I360="","",IF(H360-1&lt;הגדרות!$E$8*(הגדרות!$E$7+1),MOD(H360-1,הגדרות!$E$7+1),MOD(H360-1-הגדרות!$E$8*(הגדרות!$E$7+1),הגדרות!$E$7)))</f>
        <v/>
      </c>
      <c r="K360" s="0" t="str">
        <f aca="false">IF(I360="","",J360*הגדרות!$E$6+I360+1)</f>
        <v/>
      </c>
      <c r="L360" s="0" t="str">
        <f aca="false">IF(K360="","",MATCH(K360,$F$2:$F$5001,0))</f>
        <v/>
      </c>
      <c r="M360" s="0" t="str">
        <f aca="false">IF(I360="","",INDEX(הגדרות!$A$2:$A$21,MOD(I360+הגדרות!$E$9,הגדרות!$E$6)+1))</f>
        <v/>
      </c>
    </row>
    <row r="361" customFormat="false" ht="15" hidden="false" customHeight="false" outlineLevel="0" collapsed="false">
      <c r="A361" s="0" t="str">
        <f aca="false">IF('הדבקת לידים'!A361="","",IF(ISNUMBER('הדבקת לידים'!A361),IF(הגדרות!$E$2&gt;0,TEXT('הדבקת לידים'!A361,REPT("0",הגדרות!$E$2)),TEXT('הדבקת לידים'!A361,"0")),TRIM('הדבקת לידים'!A361)))</f>
        <v/>
      </c>
      <c r="B361" s="0" t="str">
        <f aca="false">IF('הדבקת לידים'!B361="","",IF(ISNUMBER('הדבקת לידים'!B361),IF(הגדרות!$E$3&gt;0,TEXT('הדבקת לידים'!B361,REPT("0",הגדרות!$E$3)),TEXT('הדבקת לידים'!B361,"0")),TRIM('הדבקת לידים'!B361)))</f>
        <v/>
      </c>
      <c r="C361" s="0" t="n">
        <f aca="false">IF(OR(A361&lt;&gt;"",B361&lt;&gt;""),1,0)</f>
        <v>0</v>
      </c>
      <c r="D361" s="0" t="str">
        <f aca="false">IF(C361=1,MOD(ABS(SIN(ROW()*12.9898+'הדבקת לידים'!$F$2*78.233+IFERROR(--RIGHT(A361,6),LEN(A361))*0.0137+IFERROR(--RIGHT(B361,6),LEN(B361))*0.0071))*43758.5453,1),"")</f>
        <v/>
      </c>
      <c r="E361" s="0" t="str">
        <f aca="false">IF(C361=1,INT(MOD(ABS(SIN(D361*7919.123+ROW()*0.618+'הדבקת לידים'!$F$2*1.3))*43758.5453,1)*1000000)*10000+ROW(),"")</f>
        <v/>
      </c>
      <c r="F361" s="0" t="str">
        <f aca="false">IF(E361="","",RANK(E361,$E$2:$E$5001,1))</f>
        <v/>
      </c>
      <c r="G361" s="0" t="n">
        <f aca="false">IF(A361="",0,IF(SUMPRODUCT(--($A$2:$A$5001=A361))&gt;1,1,0))</f>
        <v>0</v>
      </c>
      <c r="H361" s="0" t="n">
        <f aca="false">ROW()-1</f>
        <v>360</v>
      </c>
      <c r="I361" s="0" t="str">
        <f aca="false">IF(OR(הגדרות!$E$6=0,H361&gt;הגדרות!$E$5),"",IF(H361-1&lt;הגדרות!$E$8*(הגדרות!$E$7+1),INT((H361-1)/(הגדרות!$E$7+1)),הגדרות!$E$8+INT((H361-1-הגדרות!$E$8*(הגדרות!$E$7+1))/הגדרות!$E$7)))</f>
        <v/>
      </c>
      <c r="J361" s="0" t="str">
        <f aca="false">IF(I361="","",IF(H361-1&lt;הגדרות!$E$8*(הגדרות!$E$7+1),MOD(H361-1,הגדרות!$E$7+1),MOD(H361-1-הגדרות!$E$8*(הגדרות!$E$7+1),הגדרות!$E$7)))</f>
        <v/>
      </c>
      <c r="K361" s="0" t="str">
        <f aca="false">IF(I361="","",J361*הגדרות!$E$6+I361+1)</f>
        <v/>
      </c>
      <c r="L361" s="0" t="str">
        <f aca="false">IF(K361="","",MATCH(K361,$F$2:$F$5001,0))</f>
        <v/>
      </c>
      <c r="M361" s="0" t="str">
        <f aca="false">IF(I361="","",INDEX(הגדרות!$A$2:$A$21,MOD(I361+הגדרות!$E$9,הגדרות!$E$6)+1))</f>
        <v/>
      </c>
    </row>
    <row r="362" customFormat="false" ht="15" hidden="false" customHeight="false" outlineLevel="0" collapsed="false">
      <c r="A362" s="0" t="str">
        <f aca="false">IF('הדבקת לידים'!A362="","",IF(ISNUMBER('הדבקת לידים'!A362),IF(הגדרות!$E$2&gt;0,TEXT('הדבקת לידים'!A362,REPT("0",הגדרות!$E$2)),TEXT('הדבקת לידים'!A362,"0")),TRIM('הדבקת לידים'!A362)))</f>
        <v/>
      </c>
      <c r="B362" s="0" t="str">
        <f aca="false">IF('הדבקת לידים'!B362="","",IF(ISNUMBER('הדבקת לידים'!B362),IF(הגדרות!$E$3&gt;0,TEXT('הדבקת לידים'!B362,REPT("0",הגדרות!$E$3)),TEXT('הדבקת לידים'!B362,"0")),TRIM('הדבקת לידים'!B362)))</f>
        <v/>
      </c>
      <c r="C362" s="0" t="n">
        <f aca="false">IF(OR(A362&lt;&gt;"",B362&lt;&gt;""),1,0)</f>
        <v>0</v>
      </c>
      <c r="D362" s="0" t="str">
        <f aca="false">IF(C362=1,MOD(ABS(SIN(ROW()*12.9898+'הדבקת לידים'!$F$2*78.233+IFERROR(--RIGHT(A362,6),LEN(A362))*0.0137+IFERROR(--RIGHT(B362,6),LEN(B362))*0.0071))*43758.5453,1),"")</f>
        <v/>
      </c>
      <c r="E362" s="0" t="str">
        <f aca="false">IF(C362=1,INT(MOD(ABS(SIN(D362*7919.123+ROW()*0.618+'הדבקת לידים'!$F$2*1.3))*43758.5453,1)*1000000)*10000+ROW(),"")</f>
        <v/>
      </c>
      <c r="F362" s="0" t="str">
        <f aca="false">IF(E362="","",RANK(E362,$E$2:$E$5001,1))</f>
        <v/>
      </c>
      <c r="G362" s="0" t="n">
        <f aca="false">IF(A362="",0,IF(SUMPRODUCT(--($A$2:$A$5001=A362))&gt;1,1,0))</f>
        <v>0</v>
      </c>
      <c r="H362" s="0" t="n">
        <f aca="false">ROW()-1</f>
        <v>361</v>
      </c>
      <c r="I362" s="0" t="str">
        <f aca="false">IF(OR(הגדרות!$E$6=0,H362&gt;הגדרות!$E$5),"",IF(H362-1&lt;הגדרות!$E$8*(הגדרות!$E$7+1),INT((H362-1)/(הגדרות!$E$7+1)),הגדרות!$E$8+INT((H362-1-הגדרות!$E$8*(הגדרות!$E$7+1))/הגדרות!$E$7)))</f>
        <v/>
      </c>
      <c r="J362" s="0" t="str">
        <f aca="false">IF(I362="","",IF(H362-1&lt;הגדרות!$E$8*(הגדרות!$E$7+1),MOD(H362-1,הגדרות!$E$7+1),MOD(H362-1-הגדרות!$E$8*(הגדרות!$E$7+1),הגדרות!$E$7)))</f>
        <v/>
      </c>
      <c r="K362" s="0" t="str">
        <f aca="false">IF(I362="","",J362*הגדרות!$E$6+I362+1)</f>
        <v/>
      </c>
      <c r="L362" s="0" t="str">
        <f aca="false">IF(K362="","",MATCH(K362,$F$2:$F$5001,0))</f>
        <v/>
      </c>
      <c r="M362" s="0" t="str">
        <f aca="false">IF(I362="","",INDEX(הגדרות!$A$2:$A$21,MOD(I362+הגדרות!$E$9,הגדרות!$E$6)+1))</f>
        <v/>
      </c>
    </row>
    <row r="363" customFormat="false" ht="15" hidden="false" customHeight="false" outlineLevel="0" collapsed="false">
      <c r="A363" s="0" t="str">
        <f aca="false">IF('הדבקת לידים'!A363="","",IF(ISNUMBER('הדבקת לידים'!A363),IF(הגדרות!$E$2&gt;0,TEXT('הדבקת לידים'!A363,REPT("0",הגדרות!$E$2)),TEXT('הדבקת לידים'!A363,"0")),TRIM('הדבקת לידים'!A363)))</f>
        <v/>
      </c>
      <c r="B363" s="0" t="str">
        <f aca="false">IF('הדבקת לידים'!B363="","",IF(ISNUMBER('הדבקת לידים'!B363),IF(הגדרות!$E$3&gt;0,TEXT('הדבקת לידים'!B363,REPT("0",הגדרות!$E$3)),TEXT('הדבקת לידים'!B363,"0")),TRIM('הדבקת לידים'!B363)))</f>
        <v/>
      </c>
      <c r="C363" s="0" t="n">
        <f aca="false">IF(OR(A363&lt;&gt;"",B363&lt;&gt;""),1,0)</f>
        <v>0</v>
      </c>
      <c r="D363" s="0" t="str">
        <f aca="false">IF(C363=1,MOD(ABS(SIN(ROW()*12.9898+'הדבקת לידים'!$F$2*78.233+IFERROR(--RIGHT(A363,6),LEN(A363))*0.0137+IFERROR(--RIGHT(B363,6),LEN(B363))*0.0071))*43758.5453,1),"")</f>
        <v/>
      </c>
      <c r="E363" s="0" t="str">
        <f aca="false">IF(C363=1,INT(MOD(ABS(SIN(D363*7919.123+ROW()*0.618+'הדבקת לידים'!$F$2*1.3))*43758.5453,1)*1000000)*10000+ROW(),"")</f>
        <v/>
      </c>
      <c r="F363" s="0" t="str">
        <f aca="false">IF(E363="","",RANK(E363,$E$2:$E$5001,1))</f>
        <v/>
      </c>
      <c r="G363" s="0" t="n">
        <f aca="false">IF(A363="",0,IF(SUMPRODUCT(--($A$2:$A$5001=A363))&gt;1,1,0))</f>
        <v>0</v>
      </c>
      <c r="H363" s="0" t="n">
        <f aca="false">ROW()-1</f>
        <v>362</v>
      </c>
      <c r="I363" s="0" t="str">
        <f aca="false">IF(OR(הגדרות!$E$6=0,H363&gt;הגדרות!$E$5),"",IF(H363-1&lt;הגדרות!$E$8*(הגדרות!$E$7+1),INT((H363-1)/(הגדרות!$E$7+1)),הגדרות!$E$8+INT((H363-1-הגדרות!$E$8*(הגדרות!$E$7+1))/הגדרות!$E$7)))</f>
        <v/>
      </c>
      <c r="J363" s="0" t="str">
        <f aca="false">IF(I363="","",IF(H363-1&lt;הגדרות!$E$8*(הגדרות!$E$7+1),MOD(H363-1,הגדרות!$E$7+1),MOD(H363-1-הגדרות!$E$8*(הגדרות!$E$7+1),הגדרות!$E$7)))</f>
        <v/>
      </c>
      <c r="K363" s="0" t="str">
        <f aca="false">IF(I363="","",J363*הגדרות!$E$6+I363+1)</f>
        <v/>
      </c>
      <c r="L363" s="0" t="str">
        <f aca="false">IF(K363="","",MATCH(K363,$F$2:$F$5001,0))</f>
        <v/>
      </c>
      <c r="M363" s="0" t="str">
        <f aca="false">IF(I363="","",INDEX(הגדרות!$A$2:$A$21,MOD(I363+הגדרות!$E$9,הגדרות!$E$6)+1))</f>
        <v/>
      </c>
    </row>
    <row r="364" customFormat="false" ht="15" hidden="false" customHeight="false" outlineLevel="0" collapsed="false">
      <c r="A364" s="0" t="str">
        <f aca="false">IF('הדבקת לידים'!A364="","",IF(ISNUMBER('הדבקת לידים'!A364),IF(הגדרות!$E$2&gt;0,TEXT('הדבקת לידים'!A364,REPT("0",הגדרות!$E$2)),TEXT('הדבקת לידים'!A364,"0")),TRIM('הדבקת לידים'!A364)))</f>
        <v/>
      </c>
      <c r="B364" s="0" t="str">
        <f aca="false">IF('הדבקת לידים'!B364="","",IF(ISNUMBER('הדבקת לידים'!B364),IF(הגדרות!$E$3&gt;0,TEXT('הדבקת לידים'!B364,REPT("0",הגדרות!$E$3)),TEXT('הדבקת לידים'!B364,"0")),TRIM('הדבקת לידים'!B364)))</f>
        <v/>
      </c>
      <c r="C364" s="0" t="n">
        <f aca="false">IF(OR(A364&lt;&gt;"",B364&lt;&gt;""),1,0)</f>
        <v>0</v>
      </c>
      <c r="D364" s="0" t="str">
        <f aca="false">IF(C364=1,MOD(ABS(SIN(ROW()*12.9898+'הדבקת לידים'!$F$2*78.233+IFERROR(--RIGHT(A364,6),LEN(A364))*0.0137+IFERROR(--RIGHT(B364,6),LEN(B364))*0.0071))*43758.5453,1),"")</f>
        <v/>
      </c>
      <c r="E364" s="0" t="str">
        <f aca="false">IF(C364=1,INT(MOD(ABS(SIN(D364*7919.123+ROW()*0.618+'הדבקת לידים'!$F$2*1.3))*43758.5453,1)*1000000)*10000+ROW(),"")</f>
        <v/>
      </c>
      <c r="F364" s="0" t="str">
        <f aca="false">IF(E364="","",RANK(E364,$E$2:$E$5001,1))</f>
        <v/>
      </c>
      <c r="G364" s="0" t="n">
        <f aca="false">IF(A364="",0,IF(SUMPRODUCT(--($A$2:$A$5001=A364))&gt;1,1,0))</f>
        <v>0</v>
      </c>
      <c r="H364" s="0" t="n">
        <f aca="false">ROW()-1</f>
        <v>363</v>
      </c>
      <c r="I364" s="0" t="str">
        <f aca="false">IF(OR(הגדרות!$E$6=0,H364&gt;הגדרות!$E$5),"",IF(H364-1&lt;הגדרות!$E$8*(הגדרות!$E$7+1),INT((H364-1)/(הגדרות!$E$7+1)),הגדרות!$E$8+INT((H364-1-הגדרות!$E$8*(הגדרות!$E$7+1))/הגדרות!$E$7)))</f>
        <v/>
      </c>
      <c r="J364" s="0" t="str">
        <f aca="false">IF(I364="","",IF(H364-1&lt;הגדרות!$E$8*(הגדרות!$E$7+1),MOD(H364-1,הגדרות!$E$7+1),MOD(H364-1-הגדרות!$E$8*(הגדרות!$E$7+1),הגדרות!$E$7)))</f>
        <v/>
      </c>
      <c r="K364" s="0" t="str">
        <f aca="false">IF(I364="","",J364*הגדרות!$E$6+I364+1)</f>
        <v/>
      </c>
      <c r="L364" s="0" t="str">
        <f aca="false">IF(K364="","",MATCH(K364,$F$2:$F$5001,0))</f>
        <v/>
      </c>
      <c r="M364" s="0" t="str">
        <f aca="false">IF(I364="","",INDEX(הגדרות!$A$2:$A$21,MOD(I364+הגדרות!$E$9,הגדרות!$E$6)+1))</f>
        <v/>
      </c>
    </row>
    <row r="365" customFormat="false" ht="15" hidden="false" customHeight="false" outlineLevel="0" collapsed="false">
      <c r="A365" s="0" t="str">
        <f aca="false">IF('הדבקת לידים'!A365="","",IF(ISNUMBER('הדבקת לידים'!A365),IF(הגדרות!$E$2&gt;0,TEXT('הדבקת לידים'!A365,REPT("0",הגדרות!$E$2)),TEXT('הדבקת לידים'!A365,"0")),TRIM('הדבקת לידים'!A365)))</f>
        <v/>
      </c>
      <c r="B365" s="0" t="str">
        <f aca="false">IF('הדבקת לידים'!B365="","",IF(ISNUMBER('הדבקת לידים'!B365),IF(הגדרות!$E$3&gt;0,TEXT('הדבקת לידים'!B365,REPT("0",הגדרות!$E$3)),TEXT('הדבקת לידים'!B365,"0")),TRIM('הדבקת לידים'!B365)))</f>
        <v/>
      </c>
      <c r="C365" s="0" t="n">
        <f aca="false">IF(OR(A365&lt;&gt;"",B365&lt;&gt;""),1,0)</f>
        <v>0</v>
      </c>
      <c r="D365" s="0" t="str">
        <f aca="false">IF(C365=1,MOD(ABS(SIN(ROW()*12.9898+'הדבקת לידים'!$F$2*78.233+IFERROR(--RIGHT(A365,6),LEN(A365))*0.0137+IFERROR(--RIGHT(B365,6),LEN(B365))*0.0071))*43758.5453,1),"")</f>
        <v/>
      </c>
      <c r="E365" s="0" t="str">
        <f aca="false">IF(C365=1,INT(MOD(ABS(SIN(D365*7919.123+ROW()*0.618+'הדבקת לידים'!$F$2*1.3))*43758.5453,1)*1000000)*10000+ROW(),"")</f>
        <v/>
      </c>
      <c r="F365" s="0" t="str">
        <f aca="false">IF(E365="","",RANK(E365,$E$2:$E$5001,1))</f>
        <v/>
      </c>
      <c r="G365" s="0" t="n">
        <f aca="false">IF(A365="",0,IF(SUMPRODUCT(--($A$2:$A$5001=A365))&gt;1,1,0))</f>
        <v>0</v>
      </c>
      <c r="H365" s="0" t="n">
        <f aca="false">ROW()-1</f>
        <v>364</v>
      </c>
      <c r="I365" s="0" t="str">
        <f aca="false">IF(OR(הגדרות!$E$6=0,H365&gt;הגדרות!$E$5),"",IF(H365-1&lt;הגדרות!$E$8*(הגדרות!$E$7+1),INT((H365-1)/(הגדרות!$E$7+1)),הגדרות!$E$8+INT((H365-1-הגדרות!$E$8*(הגדרות!$E$7+1))/הגדרות!$E$7)))</f>
        <v/>
      </c>
      <c r="J365" s="0" t="str">
        <f aca="false">IF(I365="","",IF(H365-1&lt;הגדרות!$E$8*(הגדרות!$E$7+1),MOD(H365-1,הגדרות!$E$7+1),MOD(H365-1-הגדרות!$E$8*(הגדרות!$E$7+1),הגדרות!$E$7)))</f>
        <v/>
      </c>
      <c r="K365" s="0" t="str">
        <f aca="false">IF(I365="","",J365*הגדרות!$E$6+I365+1)</f>
        <v/>
      </c>
      <c r="L365" s="0" t="str">
        <f aca="false">IF(K365="","",MATCH(K365,$F$2:$F$5001,0))</f>
        <v/>
      </c>
      <c r="M365" s="0" t="str">
        <f aca="false">IF(I365="","",INDEX(הגדרות!$A$2:$A$21,MOD(I365+הגדרות!$E$9,הגדרות!$E$6)+1))</f>
        <v/>
      </c>
    </row>
    <row r="366" customFormat="false" ht="15" hidden="false" customHeight="false" outlineLevel="0" collapsed="false">
      <c r="A366" s="0" t="str">
        <f aca="false">IF('הדבקת לידים'!A366="","",IF(ISNUMBER('הדבקת לידים'!A366),IF(הגדרות!$E$2&gt;0,TEXT('הדבקת לידים'!A366,REPT("0",הגדרות!$E$2)),TEXT('הדבקת לידים'!A366,"0")),TRIM('הדבקת לידים'!A366)))</f>
        <v/>
      </c>
      <c r="B366" s="0" t="str">
        <f aca="false">IF('הדבקת לידים'!B366="","",IF(ISNUMBER('הדבקת לידים'!B366),IF(הגדרות!$E$3&gt;0,TEXT('הדבקת לידים'!B366,REPT("0",הגדרות!$E$3)),TEXT('הדבקת לידים'!B366,"0")),TRIM('הדבקת לידים'!B366)))</f>
        <v/>
      </c>
      <c r="C366" s="0" t="n">
        <f aca="false">IF(OR(A366&lt;&gt;"",B366&lt;&gt;""),1,0)</f>
        <v>0</v>
      </c>
      <c r="D366" s="0" t="str">
        <f aca="false">IF(C366=1,MOD(ABS(SIN(ROW()*12.9898+'הדבקת לידים'!$F$2*78.233+IFERROR(--RIGHT(A366,6),LEN(A366))*0.0137+IFERROR(--RIGHT(B366,6),LEN(B366))*0.0071))*43758.5453,1),"")</f>
        <v/>
      </c>
      <c r="E366" s="0" t="str">
        <f aca="false">IF(C366=1,INT(MOD(ABS(SIN(D366*7919.123+ROW()*0.618+'הדבקת לידים'!$F$2*1.3))*43758.5453,1)*1000000)*10000+ROW(),"")</f>
        <v/>
      </c>
      <c r="F366" s="0" t="str">
        <f aca="false">IF(E366="","",RANK(E366,$E$2:$E$5001,1))</f>
        <v/>
      </c>
      <c r="G366" s="0" t="n">
        <f aca="false">IF(A366="",0,IF(SUMPRODUCT(--($A$2:$A$5001=A366))&gt;1,1,0))</f>
        <v>0</v>
      </c>
      <c r="H366" s="0" t="n">
        <f aca="false">ROW()-1</f>
        <v>365</v>
      </c>
      <c r="I366" s="0" t="str">
        <f aca="false">IF(OR(הגדרות!$E$6=0,H366&gt;הגדרות!$E$5),"",IF(H366-1&lt;הגדרות!$E$8*(הגדרות!$E$7+1),INT((H366-1)/(הגדרות!$E$7+1)),הגדרות!$E$8+INT((H366-1-הגדרות!$E$8*(הגדרות!$E$7+1))/הגדרות!$E$7)))</f>
        <v/>
      </c>
      <c r="J366" s="0" t="str">
        <f aca="false">IF(I366="","",IF(H366-1&lt;הגדרות!$E$8*(הגדרות!$E$7+1),MOD(H366-1,הגדרות!$E$7+1),MOD(H366-1-הגדרות!$E$8*(הגדרות!$E$7+1),הגדרות!$E$7)))</f>
        <v/>
      </c>
      <c r="K366" s="0" t="str">
        <f aca="false">IF(I366="","",J366*הגדרות!$E$6+I366+1)</f>
        <v/>
      </c>
      <c r="L366" s="0" t="str">
        <f aca="false">IF(K366="","",MATCH(K366,$F$2:$F$5001,0))</f>
        <v/>
      </c>
      <c r="M366" s="0" t="str">
        <f aca="false">IF(I366="","",INDEX(הגדרות!$A$2:$A$21,MOD(I366+הגדרות!$E$9,הגדרות!$E$6)+1))</f>
        <v/>
      </c>
    </row>
    <row r="367" customFormat="false" ht="15" hidden="false" customHeight="false" outlineLevel="0" collapsed="false">
      <c r="A367" s="0" t="str">
        <f aca="false">IF('הדבקת לידים'!A367="","",IF(ISNUMBER('הדבקת לידים'!A367),IF(הגדרות!$E$2&gt;0,TEXT('הדבקת לידים'!A367,REPT("0",הגדרות!$E$2)),TEXT('הדבקת לידים'!A367,"0")),TRIM('הדבקת לידים'!A367)))</f>
        <v/>
      </c>
      <c r="B367" s="0" t="str">
        <f aca="false">IF('הדבקת לידים'!B367="","",IF(ISNUMBER('הדבקת לידים'!B367),IF(הגדרות!$E$3&gt;0,TEXT('הדבקת לידים'!B367,REPT("0",הגדרות!$E$3)),TEXT('הדבקת לידים'!B367,"0")),TRIM('הדבקת לידים'!B367)))</f>
        <v/>
      </c>
      <c r="C367" s="0" t="n">
        <f aca="false">IF(OR(A367&lt;&gt;"",B367&lt;&gt;""),1,0)</f>
        <v>0</v>
      </c>
      <c r="D367" s="0" t="str">
        <f aca="false">IF(C367=1,MOD(ABS(SIN(ROW()*12.9898+'הדבקת לידים'!$F$2*78.233+IFERROR(--RIGHT(A367,6),LEN(A367))*0.0137+IFERROR(--RIGHT(B367,6),LEN(B367))*0.0071))*43758.5453,1),"")</f>
        <v/>
      </c>
      <c r="E367" s="0" t="str">
        <f aca="false">IF(C367=1,INT(MOD(ABS(SIN(D367*7919.123+ROW()*0.618+'הדבקת לידים'!$F$2*1.3))*43758.5453,1)*1000000)*10000+ROW(),"")</f>
        <v/>
      </c>
      <c r="F367" s="0" t="str">
        <f aca="false">IF(E367="","",RANK(E367,$E$2:$E$5001,1))</f>
        <v/>
      </c>
      <c r="G367" s="0" t="n">
        <f aca="false">IF(A367="",0,IF(SUMPRODUCT(--($A$2:$A$5001=A367))&gt;1,1,0))</f>
        <v>0</v>
      </c>
      <c r="H367" s="0" t="n">
        <f aca="false">ROW()-1</f>
        <v>366</v>
      </c>
      <c r="I367" s="0" t="str">
        <f aca="false">IF(OR(הגדרות!$E$6=0,H367&gt;הגדרות!$E$5),"",IF(H367-1&lt;הגדרות!$E$8*(הגדרות!$E$7+1),INT((H367-1)/(הגדרות!$E$7+1)),הגדרות!$E$8+INT((H367-1-הגדרות!$E$8*(הגדרות!$E$7+1))/הגדרות!$E$7)))</f>
        <v/>
      </c>
      <c r="J367" s="0" t="str">
        <f aca="false">IF(I367="","",IF(H367-1&lt;הגדרות!$E$8*(הגדרות!$E$7+1),MOD(H367-1,הגדרות!$E$7+1),MOD(H367-1-הגדרות!$E$8*(הגדרות!$E$7+1),הגדרות!$E$7)))</f>
        <v/>
      </c>
      <c r="K367" s="0" t="str">
        <f aca="false">IF(I367="","",J367*הגדרות!$E$6+I367+1)</f>
        <v/>
      </c>
      <c r="L367" s="0" t="str">
        <f aca="false">IF(K367="","",MATCH(K367,$F$2:$F$5001,0))</f>
        <v/>
      </c>
      <c r="M367" s="0" t="str">
        <f aca="false">IF(I367="","",INDEX(הגדרות!$A$2:$A$21,MOD(I367+הגדרות!$E$9,הגדרות!$E$6)+1))</f>
        <v/>
      </c>
    </row>
    <row r="368" customFormat="false" ht="15" hidden="false" customHeight="false" outlineLevel="0" collapsed="false">
      <c r="A368" s="0" t="str">
        <f aca="false">IF('הדבקת לידים'!A368="","",IF(ISNUMBER('הדבקת לידים'!A368),IF(הגדרות!$E$2&gt;0,TEXT('הדבקת לידים'!A368,REPT("0",הגדרות!$E$2)),TEXT('הדבקת לידים'!A368,"0")),TRIM('הדבקת לידים'!A368)))</f>
        <v/>
      </c>
      <c r="B368" s="0" t="str">
        <f aca="false">IF('הדבקת לידים'!B368="","",IF(ISNUMBER('הדבקת לידים'!B368),IF(הגדרות!$E$3&gt;0,TEXT('הדבקת לידים'!B368,REPT("0",הגדרות!$E$3)),TEXT('הדבקת לידים'!B368,"0")),TRIM('הדבקת לידים'!B368)))</f>
        <v/>
      </c>
      <c r="C368" s="0" t="n">
        <f aca="false">IF(OR(A368&lt;&gt;"",B368&lt;&gt;""),1,0)</f>
        <v>0</v>
      </c>
      <c r="D368" s="0" t="str">
        <f aca="false">IF(C368=1,MOD(ABS(SIN(ROW()*12.9898+'הדבקת לידים'!$F$2*78.233+IFERROR(--RIGHT(A368,6),LEN(A368))*0.0137+IFERROR(--RIGHT(B368,6),LEN(B368))*0.0071))*43758.5453,1),"")</f>
        <v/>
      </c>
      <c r="E368" s="0" t="str">
        <f aca="false">IF(C368=1,INT(MOD(ABS(SIN(D368*7919.123+ROW()*0.618+'הדבקת לידים'!$F$2*1.3))*43758.5453,1)*1000000)*10000+ROW(),"")</f>
        <v/>
      </c>
      <c r="F368" s="0" t="str">
        <f aca="false">IF(E368="","",RANK(E368,$E$2:$E$5001,1))</f>
        <v/>
      </c>
      <c r="G368" s="0" t="n">
        <f aca="false">IF(A368="",0,IF(SUMPRODUCT(--($A$2:$A$5001=A368))&gt;1,1,0))</f>
        <v>0</v>
      </c>
      <c r="H368" s="0" t="n">
        <f aca="false">ROW()-1</f>
        <v>367</v>
      </c>
      <c r="I368" s="0" t="str">
        <f aca="false">IF(OR(הגדרות!$E$6=0,H368&gt;הגדרות!$E$5),"",IF(H368-1&lt;הגדרות!$E$8*(הגדרות!$E$7+1),INT((H368-1)/(הגדרות!$E$7+1)),הגדרות!$E$8+INT((H368-1-הגדרות!$E$8*(הגדרות!$E$7+1))/הגדרות!$E$7)))</f>
        <v/>
      </c>
      <c r="J368" s="0" t="str">
        <f aca="false">IF(I368="","",IF(H368-1&lt;הגדרות!$E$8*(הגדרות!$E$7+1),MOD(H368-1,הגדרות!$E$7+1),MOD(H368-1-הגדרות!$E$8*(הגדרות!$E$7+1),הגדרות!$E$7)))</f>
        <v/>
      </c>
      <c r="K368" s="0" t="str">
        <f aca="false">IF(I368="","",J368*הגדרות!$E$6+I368+1)</f>
        <v/>
      </c>
      <c r="L368" s="0" t="str">
        <f aca="false">IF(K368="","",MATCH(K368,$F$2:$F$5001,0))</f>
        <v/>
      </c>
      <c r="M368" s="0" t="str">
        <f aca="false">IF(I368="","",INDEX(הגדרות!$A$2:$A$21,MOD(I368+הגדרות!$E$9,הגדרות!$E$6)+1))</f>
        <v/>
      </c>
    </row>
    <row r="369" customFormat="false" ht="15" hidden="false" customHeight="false" outlineLevel="0" collapsed="false">
      <c r="A369" s="0" t="str">
        <f aca="false">IF('הדבקת לידים'!A369="","",IF(ISNUMBER('הדבקת לידים'!A369),IF(הגדרות!$E$2&gt;0,TEXT('הדבקת לידים'!A369,REPT("0",הגדרות!$E$2)),TEXT('הדבקת לידים'!A369,"0")),TRIM('הדבקת לידים'!A369)))</f>
        <v/>
      </c>
      <c r="B369" s="0" t="str">
        <f aca="false">IF('הדבקת לידים'!B369="","",IF(ISNUMBER('הדבקת לידים'!B369),IF(הגדרות!$E$3&gt;0,TEXT('הדבקת לידים'!B369,REPT("0",הגדרות!$E$3)),TEXT('הדבקת לידים'!B369,"0")),TRIM('הדבקת לידים'!B369)))</f>
        <v/>
      </c>
      <c r="C369" s="0" t="n">
        <f aca="false">IF(OR(A369&lt;&gt;"",B369&lt;&gt;""),1,0)</f>
        <v>0</v>
      </c>
      <c r="D369" s="0" t="str">
        <f aca="false">IF(C369=1,MOD(ABS(SIN(ROW()*12.9898+'הדבקת לידים'!$F$2*78.233+IFERROR(--RIGHT(A369,6),LEN(A369))*0.0137+IFERROR(--RIGHT(B369,6),LEN(B369))*0.0071))*43758.5453,1),"")</f>
        <v/>
      </c>
      <c r="E369" s="0" t="str">
        <f aca="false">IF(C369=1,INT(MOD(ABS(SIN(D369*7919.123+ROW()*0.618+'הדבקת לידים'!$F$2*1.3))*43758.5453,1)*1000000)*10000+ROW(),"")</f>
        <v/>
      </c>
      <c r="F369" s="0" t="str">
        <f aca="false">IF(E369="","",RANK(E369,$E$2:$E$5001,1))</f>
        <v/>
      </c>
      <c r="G369" s="0" t="n">
        <f aca="false">IF(A369="",0,IF(SUMPRODUCT(--($A$2:$A$5001=A369))&gt;1,1,0))</f>
        <v>0</v>
      </c>
      <c r="H369" s="0" t="n">
        <f aca="false">ROW()-1</f>
        <v>368</v>
      </c>
      <c r="I369" s="0" t="str">
        <f aca="false">IF(OR(הגדרות!$E$6=0,H369&gt;הגדרות!$E$5),"",IF(H369-1&lt;הגדרות!$E$8*(הגדרות!$E$7+1),INT((H369-1)/(הגדרות!$E$7+1)),הגדרות!$E$8+INT((H369-1-הגדרות!$E$8*(הגדרות!$E$7+1))/הגדרות!$E$7)))</f>
        <v/>
      </c>
      <c r="J369" s="0" t="str">
        <f aca="false">IF(I369="","",IF(H369-1&lt;הגדרות!$E$8*(הגדרות!$E$7+1),MOD(H369-1,הגדרות!$E$7+1),MOD(H369-1-הגדרות!$E$8*(הגדרות!$E$7+1),הגדרות!$E$7)))</f>
        <v/>
      </c>
      <c r="K369" s="0" t="str">
        <f aca="false">IF(I369="","",J369*הגדרות!$E$6+I369+1)</f>
        <v/>
      </c>
      <c r="L369" s="0" t="str">
        <f aca="false">IF(K369="","",MATCH(K369,$F$2:$F$5001,0))</f>
        <v/>
      </c>
      <c r="M369" s="0" t="str">
        <f aca="false">IF(I369="","",INDEX(הגדרות!$A$2:$A$21,MOD(I369+הגדרות!$E$9,הגדרות!$E$6)+1))</f>
        <v/>
      </c>
    </row>
    <row r="370" customFormat="false" ht="15" hidden="false" customHeight="false" outlineLevel="0" collapsed="false">
      <c r="A370" s="0" t="str">
        <f aca="false">IF('הדבקת לידים'!A370="","",IF(ISNUMBER('הדבקת לידים'!A370),IF(הגדרות!$E$2&gt;0,TEXT('הדבקת לידים'!A370,REPT("0",הגדרות!$E$2)),TEXT('הדבקת לידים'!A370,"0")),TRIM('הדבקת לידים'!A370)))</f>
        <v/>
      </c>
      <c r="B370" s="0" t="str">
        <f aca="false">IF('הדבקת לידים'!B370="","",IF(ISNUMBER('הדבקת לידים'!B370),IF(הגדרות!$E$3&gt;0,TEXT('הדבקת לידים'!B370,REPT("0",הגדרות!$E$3)),TEXT('הדבקת לידים'!B370,"0")),TRIM('הדבקת לידים'!B370)))</f>
        <v/>
      </c>
      <c r="C370" s="0" t="n">
        <f aca="false">IF(OR(A370&lt;&gt;"",B370&lt;&gt;""),1,0)</f>
        <v>0</v>
      </c>
      <c r="D370" s="0" t="str">
        <f aca="false">IF(C370=1,MOD(ABS(SIN(ROW()*12.9898+'הדבקת לידים'!$F$2*78.233+IFERROR(--RIGHT(A370,6),LEN(A370))*0.0137+IFERROR(--RIGHT(B370,6),LEN(B370))*0.0071))*43758.5453,1),"")</f>
        <v/>
      </c>
      <c r="E370" s="0" t="str">
        <f aca="false">IF(C370=1,INT(MOD(ABS(SIN(D370*7919.123+ROW()*0.618+'הדבקת לידים'!$F$2*1.3))*43758.5453,1)*1000000)*10000+ROW(),"")</f>
        <v/>
      </c>
      <c r="F370" s="0" t="str">
        <f aca="false">IF(E370="","",RANK(E370,$E$2:$E$5001,1))</f>
        <v/>
      </c>
      <c r="G370" s="0" t="n">
        <f aca="false">IF(A370="",0,IF(SUMPRODUCT(--($A$2:$A$5001=A370))&gt;1,1,0))</f>
        <v>0</v>
      </c>
      <c r="H370" s="0" t="n">
        <f aca="false">ROW()-1</f>
        <v>369</v>
      </c>
      <c r="I370" s="0" t="str">
        <f aca="false">IF(OR(הגדרות!$E$6=0,H370&gt;הגדרות!$E$5),"",IF(H370-1&lt;הגדרות!$E$8*(הגדרות!$E$7+1),INT((H370-1)/(הגדרות!$E$7+1)),הגדרות!$E$8+INT((H370-1-הגדרות!$E$8*(הגדרות!$E$7+1))/הגדרות!$E$7)))</f>
        <v/>
      </c>
      <c r="J370" s="0" t="str">
        <f aca="false">IF(I370="","",IF(H370-1&lt;הגדרות!$E$8*(הגדרות!$E$7+1),MOD(H370-1,הגדרות!$E$7+1),MOD(H370-1-הגדרות!$E$8*(הגדרות!$E$7+1),הגדרות!$E$7)))</f>
        <v/>
      </c>
      <c r="K370" s="0" t="str">
        <f aca="false">IF(I370="","",J370*הגדרות!$E$6+I370+1)</f>
        <v/>
      </c>
      <c r="L370" s="0" t="str">
        <f aca="false">IF(K370="","",MATCH(K370,$F$2:$F$5001,0))</f>
        <v/>
      </c>
      <c r="M370" s="0" t="str">
        <f aca="false">IF(I370="","",INDEX(הגדרות!$A$2:$A$21,MOD(I370+הגדרות!$E$9,הגדרות!$E$6)+1))</f>
        <v/>
      </c>
    </row>
    <row r="371" customFormat="false" ht="15" hidden="false" customHeight="false" outlineLevel="0" collapsed="false">
      <c r="A371" s="0" t="str">
        <f aca="false">IF('הדבקת לידים'!A371="","",IF(ISNUMBER('הדבקת לידים'!A371),IF(הגדרות!$E$2&gt;0,TEXT('הדבקת לידים'!A371,REPT("0",הגדרות!$E$2)),TEXT('הדבקת לידים'!A371,"0")),TRIM('הדבקת לידים'!A371)))</f>
        <v/>
      </c>
      <c r="B371" s="0" t="str">
        <f aca="false">IF('הדבקת לידים'!B371="","",IF(ISNUMBER('הדבקת לידים'!B371),IF(הגדרות!$E$3&gt;0,TEXT('הדבקת לידים'!B371,REPT("0",הגדרות!$E$3)),TEXT('הדבקת לידים'!B371,"0")),TRIM('הדבקת לידים'!B371)))</f>
        <v/>
      </c>
      <c r="C371" s="0" t="n">
        <f aca="false">IF(OR(A371&lt;&gt;"",B371&lt;&gt;""),1,0)</f>
        <v>0</v>
      </c>
      <c r="D371" s="0" t="str">
        <f aca="false">IF(C371=1,MOD(ABS(SIN(ROW()*12.9898+'הדבקת לידים'!$F$2*78.233+IFERROR(--RIGHT(A371,6),LEN(A371))*0.0137+IFERROR(--RIGHT(B371,6),LEN(B371))*0.0071))*43758.5453,1),"")</f>
        <v/>
      </c>
      <c r="E371" s="0" t="str">
        <f aca="false">IF(C371=1,INT(MOD(ABS(SIN(D371*7919.123+ROW()*0.618+'הדבקת לידים'!$F$2*1.3))*43758.5453,1)*1000000)*10000+ROW(),"")</f>
        <v/>
      </c>
      <c r="F371" s="0" t="str">
        <f aca="false">IF(E371="","",RANK(E371,$E$2:$E$5001,1))</f>
        <v/>
      </c>
      <c r="G371" s="0" t="n">
        <f aca="false">IF(A371="",0,IF(SUMPRODUCT(--($A$2:$A$5001=A371))&gt;1,1,0))</f>
        <v>0</v>
      </c>
      <c r="H371" s="0" t="n">
        <f aca="false">ROW()-1</f>
        <v>370</v>
      </c>
      <c r="I371" s="0" t="str">
        <f aca="false">IF(OR(הגדרות!$E$6=0,H371&gt;הגדרות!$E$5),"",IF(H371-1&lt;הגדרות!$E$8*(הגדרות!$E$7+1),INT((H371-1)/(הגדרות!$E$7+1)),הגדרות!$E$8+INT((H371-1-הגדרות!$E$8*(הגדרות!$E$7+1))/הגדרות!$E$7)))</f>
        <v/>
      </c>
      <c r="J371" s="0" t="str">
        <f aca="false">IF(I371="","",IF(H371-1&lt;הגדרות!$E$8*(הגדרות!$E$7+1),MOD(H371-1,הגדרות!$E$7+1),MOD(H371-1-הגדרות!$E$8*(הגדרות!$E$7+1),הגדרות!$E$7)))</f>
        <v/>
      </c>
      <c r="K371" s="0" t="str">
        <f aca="false">IF(I371="","",J371*הגדרות!$E$6+I371+1)</f>
        <v/>
      </c>
      <c r="L371" s="0" t="str">
        <f aca="false">IF(K371="","",MATCH(K371,$F$2:$F$5001,0))</f>
        <v/>
      </c>
      <c r="M371" s="0" t="str">
        <f aca="false">IF(I371="","",INDEX(הגדרות!$A$2:$A$21,MOD(I371+הגדרות!$E$9,הגדרות!$E$6)+1))</f>
        <v/>
      </c>
    </row>
    <row r="372" customFormat="false" ht="15" hidden="false" customHeight="false" outlineLevel="0" collapsed="false">
      <c r="A372" s="0" t="str">
        <f aca="false">IF('הדבקת לידים'!A372="","",IF(ISNUMBER('הדבקת לידים'!A372),IF(הגדרות!$E$2&gt;0,TEXT('הדבקת לידים'!A372,REPT("0",הגדרות!$E$2)),TEXT('הדבקת לידים'!A372,"0")),TRIM('הדבקת לידים'!A372)))</f>
        <v/>
      </c>
      <c r="B372" s="0" t="str">
        <f aca="false">IF('הדבקת לידים'!B372="","",IF(ISNUMBER('הדבקת לידים'!B372),IF(הגדרות!$E$3&gt;0,TEXT('הדבקת לידים'!B372,REPT("0",הגדרות!$E$3)),TEXT('הדבקת לידים'!B372,"0")),TRIM('הדבקת לידים'!B372)))</f>
        <v/>
      </c>
      <c r="C372" s="0" t="n">
        <f aca="false">IF(OR(A372&lt;&gt;"",B372&lt;&gt;""),1,0)</f>
        <v>0</v>
      </c>
      <c r="D372" s="0" t="str">
        <f aca="false">IF(C372=1,MOD(ABS(SIN(ROW()*12.9898+'הדבקת לידים'!$F$2*78.233+IFERROR(--RIGHT(A372,6),LEN(A372))*0.0137+IFERROR(--RIGHT(B372,6),LEN(B372))*0.0071))*43758.5453,1),"")</f>
        <v/>
      </c>
      <c r="E372" s="0" t="str">
        <f aca="false">IF(C372=1,INT(MOD(ABS(SIN(D372*7919.123+ROW()*0.618+'הדבקת לידים'!$F$2*1.3))*43758.5453,1)*1000000)*10000+ROW(),"")</f>
        <v/>
      </c>
      <c r="F372" s="0" t="str">
        <f aca="false">IF(E372="","",RANK(E372,$E$2:$E$5001,1))</f>
        <v/>
      </c>
      <c r="G372" s="0" t="n">
        <f aca="false">IF(A372="",0,IF(SUMPRODUCT(--($A$2:$A$5001=A372))&gt;1,1,0))</f>
        <v>0</v>
      </c>
      <c r="H372" s="0" t="n">
        <f aca="false">ROW()-1</f>
        <v>371</v>
      </c>
      <c r="I372" s="0" t="str">
        <f aca="false">IF(OR(הגדרות!$E$6=0,H372&gt;הגדרות!$E$5),"",IF(H372-1&lt;הגדרות!$E$8*(הגדרות!$E$7+1),INT((H372-1)/(הגדרות!$E$7+1)),הגדרות!$E$8+INT((H372-1-הגדרות!$E$8*(הגדרות!$E$7+1))/הגדרות!$E$7)))</f>
        <v/>
      </c>
      <c r="J372" s="0" t="str">
        <f aca="false">IF(I372="","",IF(H372-1&lt;הגדרות!$E$8*(הגדרות!$E$7+1),MOD(H372-1,הגדרות!$E$7+1),MOD(H372-1-הגדרות!$E$8*(הגדרות!$E$7+1),הגדרות!$E$7)))</f>
        <v/>
      </c>
      <c r="K372" s="0" t="str">
        <f aca="false">IF(I372="","",J372*הגדרות!$E$6+I372+1)</f>
        <v/>
      </c>
      <c r="L372" s="0" t="str">
        <f aca="false">IF(K372="","",MATCH(K372,$F$2:$F$5001,0))</f>
        <v/>
      </c>
      <c r="M372" s="0" t="str">
        <f aca="false">IF(I372="","",INDEX(הגדרות!$A$2:$A$21,MOD(I372+הגדרות!$E$9,הגדרות!$E$6)+1))</f>
        <v/>
      </c>
    </row>
    <row r="373" customFormat="false" ht="15" hidden="false" customHeight="false" outlineLevel="0" collapsed="false">
      <c r="A373" s="0" t="str">
        <f aca="false">IF('הדבקת לידים'!A373="","",IF(ISNUMBER('הדבקת לידים'!A373),IF(הגדרות!$E$2&gt;0,TEXT('הדבקת לידים'!A373,REPT("0",הגדרות!$E$2)),TEXT('הדבקת לידים'!A373,"0")),TRIM('הדבקת לידים'!A373)))</f>
        <v/>
      </c>
      <c r="B373" s="0" t="str">
        <f aca="false">IF('הדבקת לידים'!B373="","",IF(ISNUMBER('הדבקת לידים'!B373),IF(הגדרות!$E$3&gt;0,TEXT('הדבקת לידים'!B373,REPT("0",הגדרות!$E$3)),TEXT('הדבקת לידים'!B373,"0")),TRIM('הדבקת לידים'!B373)))</f>
        <v/>
      </c>
      <c r="C373" s="0" t="n">
        <f aca="false">IF(OR(A373&lt;&gt;"",B373&lt;&gt;""),1,0)</f>
        <v>0</v>
      </c>
      <c r="D373" s="0" t="str">
        <f aca="false">IF(C373=1,MOD(ABS(SIN(ROW()*12.9898+'הדבקת לידים'!$F$2*78.233+IFERROR(--RIGHT(A373,6),LEN(A373))*0.0137+IFERROR(--RIGHT(B373,6),LEN(B373))*0.0071))*43758.5453,1),"")</f>
        <v/>
      </c>
      <c r="E373" s="0" t="str">
        <f aca="false">IF(C373=1,INT(MOD(ABS(SIN(D373*7919.123+ROW()*0.618+'הדבקת לידים'!$F$2*1.3))*43758.5453,1)*1000000)*10000+ROW(),"")</f>
        <v/>
      </c>
      <c r="F373" s="0" t="str">
        <f aca="false">IF(E373="","",RANK(E373,$E$2:$E$5001,1))</f>
        <v/>
      </c>
      <c r="G373" s="0" t="n">
        <f aca="false">IF(A373="",0,IF(SUMPRODUCT(--($A$2:$A$5001=A373))&gt;1,1,0))</f>
        <v>0</v>
      </c>
      <c r="H373" s="0" t="n">
        <f aca="false">ROW()-1</f>
        <v>372</v>
      </c>
      <c r="I373" s="0" t="str">
        <f aca="false">IF(OR(הגדרות!$E$6=0,H373&gt;הגדרות!$E$5),"",IF(H373-1&lt;הגדרות!$E$8*(הגדרות!$E$7+1),INT((H373-1)/(הגדרות!$E$7+1)),הגדרות!$E$8+INT((H373-1-הגדרות!$E$8*(הגדרות!$E$7+1))/הגדרות!$E$7)))</f>
        <v/>
      </c>
      <c r="J373" s="0" t="str">
        <f aca="false">IF(I373="","",IF(H373-1&lt;הגדרות!$E$8*(הגדרות!$E$7+1),MOD(H373-1,הגדרות!$E$7+1),MOD(H373-1-הגדרות!$E$8*(הגדרות!$E$7+1),הגדרות!$E$7)))</f>
        <v/>
      </c>
      <c r="K373" s="0" t="str">
        <f aca="false">IF(I373="","",J373*הגדרות!$E$6+I373+1)</f>
        <v/>
      </c>
      <c r="L373" s="0" t="str">
        <f aca="false">IF(K373="","",MATCH(K373,$F$2:$F$5001,0))</f>
        <v/>
      </c>
      <c r="M373" s="0" t="str">
        <f aca="false">IF(I373="","",INDEX(הגדרות!$A$2:$A$21,MOD(I373+הגדרות!$E$9,הגדרות!$E$6)+1))</f>
        <v/>
      </c>
    </row>
    <row r="374" customFormat="false" ht="15" hidden="false" customHeight="false" outlineLevel="0" collapsed="false">
      <c r="A374" s="0" t="str">
        <f aca="false">IF('הדבקת לידים'!A374="","",IF(ISNUMBER('הדבקת לידים'!A374),IF(הגדרות!$E$2&gt;0,TEXT('הדבקת לידים'!A374,REPT("0",הגדרות!$E$2)),TEXT('הדבקת לידים'!A374,"0")),TRIM('הדבקת לידים'!A374)))</f>
        <v/>
      </c>
      <c r="B374" s="0" t="str">
        <f aca="false">IF('הדבקת לידים'!B374="","",IF(ISNUMBER('הדבקת לידים'!B374),IF(הגדרות!$E$3&gt;0,TEXT('הדבקת לידים'!B374,REPT("0",הגדרות!$E$3)),TEXT('הדבקת לידים'!B374,"0")),TRIM('הדבקת לידים'!B374)))</f>
        <v/>
      </c>
      <c r="C374" s="0" t="n">
        <f aca="false">IF(OR(A374&lt;&gt;"",B374&lt;&gt;""),1,0)</f>
        <v>0</v>
      </c>
      <c r="D374" s="0" t="str">
        <f aca="false">IF(C374=1,MOD(ABS(SIN(ROW()*12.9898+'הדבקת לידים'!$F$2*78.233+IFERROR(--RIGHT(A374,6),LEN(A374))*0.0137+IFERROR(--RIGHT(B374,6),LEN(B374))*0.0071))*43758.5453,1),"")</f>
        <v/>
      </c>
      <c r="E374" s="0" t="str">
        <f aca="false">IF(C374=1,INT(MOD(ABS(SIN(D374*7919.123+ROW()*0.618+'הדבקת לידים'!$F$2*1.3))*43758.5453,1)*1000000)*10000+ROW(),"")</f>
        <v/>
      </c>
      <c r="F374" s="0" t="str">
        <f aca="false">IF(E374="","",RANK(E374,$E$2:$E$5001,1))</f>
        <v/>
      </c>
      <c r="G374" s="0" t="n">
        <f aca="false">IF(A374="",0,IF(SUMPRODUCT(--($A$2:$A$5001=A374))&gt;1,1,0))</f>
        <v>0</v>
      </c>
      <c r="H374" s="0" t="n">
        <f aca="false">ROW()-1</f>
        <v>373</v>
      </c>
      <c r="I374" s="0" t="str">
        <f aca="false">IF(OR(הגדרות!$E$6=0,H374&gt;הגדרות!$E$5),"",IF(H374-1&lt;הגדרות!$E$8*(הגדרות!$E$7+1),INT((H374-1)/(הגדרות!$E$7+1)),הגדרות!$E$8+INT((H374-1-הגדרות!$E$8*(הגדרות!$E$7+1))/הגדרות!$E$7)))</f>
        <v/>
      </c>
      <c r="J374" s="0" t="str">
        <f aca="false">IF(I374="","",IF(H374-1&lt;הגדרות!$E$8*(הגדרות!$E$7+1),MOD(H374-1,הגדרות!$E$7+1),MOD(H374-1-הגדרות!$E$8*(הגדרות!$E$7+1),הגדרות!$E$7)))</f>
        <v/>
      </c>
      <c r="K374" s="0" t="str">
        <f aca="false">IF(I374="","",J374*הגדרות!$E$6+I374+1)</f>
        <v/>
      </c>
      <c r="L374" s="0" t="str">
        <f aca="false">IF(K374="","",MATCH(K374,$F$2:$F$5001,0))</f>
        <v/>
      </c>
      <c r="M374" s="0" t="str">
        <f aca="false">IF(I374="","",INDEX(הגדרות!$A$2:$A$21,MOD(I374+הגדרות!$E$9,הגדרות!$E$6)+1))</f>
        <v/>
      </c>
    </row>
    <row r="375" customFormat="false" ht="15" hidden="false" customHeight="false" outlineLevel="0" collapsed="false">
      <c r="A375" s="0" t="str">
        <f aca="false">IF('הדבקת לידים'!A375="","",IF(ISNUMBER('הדבקת לידים'!A375),IF(הגדרות!$E$2&gt;0,TEXT('הדבקת לידים'!A375,REPT("0",הגדרות!$E$2)),TEXT('הדבקת לידים'!A375,"0")),TRIM('הדבקת לידים'!A375)))</f>
        <v/>
      </c>
      <c r="B375" s="0" t="str">
        <f aca="false">IF('הדבקת לידים'!B375="","",IF(ISNUMBER('הדבקת לידים'!B375),IF(הגדרות!$E$3&gt;0,TEXT('הדבקת לידים'!B375,REPT("0",הגדרות!$E$3)),TEXT('הדבקת לידים'!B375,"0")),TRIM('הדבקת לידים'!B375)))</f>
        <v/>
      </c>
      <c r="C375" s="0" t="n">
        <f aca="false">IF(OR(A375&lt;&gt;"",B375&lt;&gt;""),1,0)</f>
        <v>0</v>
      </c>
      <c r="D375" s="0" t="str">
        <f aca="false">IF(C375=1,MOD(ABS(SIN(ROW()*12.9898+'הדבקת לידים'!$F$2*78.233+IFERROR(--RIGHT(A375,6),LEN(A375))*0.0137+IFERROR(--RIGHT(B375,6),LEN(B375))*0.0071))*43758.5453,1),"")</f>
        <v/>
      </c>
      <c r="E375" s="0" t="str">
        <f aca="false">IF(C375=1,INT(MOD(ABS(SIN(D375*7919.123+ROW()*0.618+'הדבקת לידים'!$F$2*1.3))*43758.5453,1)*1000000)*10000+ROW(),"")</f>
        <v/>
      </c>
      <c r="F375" s="0" t="str">
        <f aca="false">IF(E375="","",RANK(E375,$E$2:$E$5001,1))</f>
        <v/>
      </c>
      <c r="G375" s="0" t="n">
        <f aca="false">IF(A375="",0,IF(SUMPRODUCT(--($A$2:$A$5001=A375))&gt;1,1,0))</f>
        <v>0</v>
      </c>
      <c r="H375" s="0" t="n">
        <f aca="false">ROW()-1</f>
        <v>374</v>
      </c>
      <c r="I375" s="0" t="str">
        <f aca="false">IF(OR(הגדרות!$E$6=0,H375&gt;הגדרות!$E$5),"",IF(H375-1&lt;הגדרות!$E$8*(הגדרות!$E$7+1),INT((H375-1)/(הגדרות!$E$7+1)),הגדרות!$E$8+INT((H375-1-הגדרות!$E$8*(הגדרות!$E$7+1))/הגדרות!$E$7)))</f>
        <v/>
      </c>
      <c r="J375" s="0" t="str">
        <f aca="false">IF(I375="","",IF(H375-1&lt;הגדרות!$E$8*(הגדרות!$E$7+1),MOD(H375-1,הגדרות!$E$7+1),MOD(H375-1-הגדרות!$E$8*(הגדרות!$E$7+1),הגדרות!$E$7)))</f>
        <v/>
      </c>
      <c r="K375" s="0" t="str">
        <f aca="false">IF(I375="","",J375*הגדרות!$E$6+I375+1)</f>
        <v/>
      </c>
      <c r="L375" s="0" t="str">
        <f aca="false">IF(K375="","",MATCH(K375,$F$2:$F$5001,0))</f>
        <v/>
      </c>
      <c r="M375" s="0" t="str">
        <f aca="false">IF(I375="","",INDEX(הגדרות!$A$2:$A$21,MOD(I375+הגדרות!$E$9,הגדרות!$E$6)+1))</f>
        <v/>
      </c>
    </row>
    <row r="376" customFormat="false" ht="15" hidden="false" customHeight="false" outlineLevel="0" collapsed="false">
      <c r="A376" s="0" t="str">
        <f aca="false">IF('הדבקת לידים'!A376="","",IF(ISNUMBER('הדבקת לידים'!A376),IF(הגדרות!$E$2&gt;0,TEXT('הדבקת לידים'!A376,REPT("0",הגדרות!$E$2)),TEXT('הדבקת לידים'!A376,"0")),TRIM('הדבקת לידים'!A376)))</f>
        <v/>
      </c>
      <c r="B376" s="0" t="str">
        <f aca="false">IF('הדבקת לידים'!B376="","",IF(ISNUMBER('הדבקת לידים'!B376),IF(הגדרות!$E$3&gt;0,TEXT('הדבקת לידים'!B376,REPT("0",הגדרות!$E$3)),TEXT('הדבקת לידים'!B376,"0")),TRIM('הדבקת לידים'!B376)))</f>
        <v/>
      </c>
      <c r="C376" s="0" t="n">
        <f aca="false">IF(OR(A376&lt;&gt;"",B376&lt;&gt;""),1,0)</f>
        <v>0</v>
      </c>
      <c r="D376" s="0" t="str">
        <f aca="false">IF(C376=1,MOD(ABS(SIN(ROW()*12.9898+'הדבקת לידים'!$F$2*78.233+IFERROR(--RIGHT(A376,6),LEN(A376))*0.0137+IFERROR(--RIGHT(B376,6),LEN(B376))*0.0071))*43758.5453,1),"")</f>
        <v/>
      </c>
      <c r="E376" s="0" t="str">
        <f aca="false">IF(C376=1,INT(MOD(ABS(SIN(D376*7919.123+ROW()*0.618+'הדבקת לידים'!$F$2*1.3))*43758.5453,1)*1000000)*10000+ROW(),"")</f>
        <v/>
      </c>
      <c r="F376" s="0" t="str">
        <f aca="false">IF(E376="","",RANK(E376,$E$2:$E$5001,1))</f>
        <v/>
      </c>
      <c r="G376" s="0" t="n">
        <f aca="false">IF(A376="",0,IF(SUMPRODUCT(--($A$2:$A$5001=A376))&gt;1,1,0))</f>
        <v>0</v>
      </c>
      <c r="H376" s="0" t="n">
        <f aca="false">ROW()-1</f>
        <v>375</v>
      </c>
      <c r="I376" s="0" t="str">
        <f aca="false">IF(OR(הגדרות!$E$6=0,H376&gt;הגדרות!$E$5),"",IF(H376-1&lt;הגדרות!$E$8*(הגדרות!$E$7+1),INT((H376-1)/(הגדרות!$E$7+1)),הגדרות!$E$8+INT((H376-1-הגדרות!$E$8*(הגדרות!$E$7+1))/הגדרות!$E$7)))</f>
        <v/>
      </c>
      <c r="J376" s="0" t="str">
        <f aca="false">IF(I376="","",IF(H376-1&lt;הגדרות!$E$8*(הגדרות!$E$7+1),MOD(H376-1,הגדרות!$E$7+1),MOD(H376-1-הגדרות!$E$8*(הגדרות!$E$7+1),הגדרות!$E$7)))</f>
        <v/>
      </c>
      <c r="K376" s="0" t="str">
        <f aca="false">IF(I376="","",J376*הגדרות!$E$6+I376+1)</f>
        <v/>
      </c>
      <c r="L376" s="0" t="str">
        <f aca="false">IF(K376="","",MATCH(K376,$F$2:$F$5001,0))</f>
        <v/>
      </c>
      <c r="M376" s="0" t="str">
        <f aca="false">IF(I376="","",INDEX(הגדרות!$A$2:$A$21,MOD(I376+הגדרות!$E$9,הגדרות!$E$6)+1))</f>
        <v/>
      </c>
    </row>
    <row r="377" customFormat="false" ht="15" hidden="false" customHeight="false" outlineLevel="0" collapsed="false">
      <c r="A377" s="0" t="str">
        <f aca="false">IF('הדבקת לידים'!A377="","",IF(ISNUMBER('הדבקת לידים'!A377),IF(הגדרות!$E$2&gt;0,TEXT('הדבקת לידים'!A377,REPT("0",הגדרות!$E$2)),TEXT('הדבקת לידים'!A377,"0")),TRIM('הדבקת לידים'!A377)))</f>
        <v/>
      </c>
      <c r="B377" s="0" t="str">
        <f aca="false">IF('הדבקת לידים'!B377="","",IF(ISNUMBER('הדבקת לידים'!B377),IF(הגדרות!$E$3&gt;0,TEXT('הדבקת לידים'!B377,REPT("0",הגדרות!$E$3)),TEXT('הדבקת לידים'!B377,"0")),TRIM('הדבקת לידים'!B377)))</f>
        <v/>
      </c>
      <c r="C377" s="0" t="n">
        <f aca="false">IF(OR(A377&lt;&gt;"",B377&lt;&gt;""),1,0)</f>
        <v>0</v>
      </c>
      <c r="D377" s="0" t="str">
        <f aca="false">IF(C377=1,MOD(ABS(SIN(ROW()*12.9898+'הדבקת לידים'!$F$2*78.233+IFERROR(--RIGHT(A377,6),LEN(A377))*0.0137+IFERROR(--RIGHT(B377,6),LEN(B377))*0.0071))*43758.5453,1),"")</f>
        <v/>
      </c>
      <c r="E377" s="0" t="str">
        <f aca="false">IF(C377=1,INT(MOD(ABS(SIN(D377*7919.123+ROW()*0.618+'הדבקת לידים'!$F$2*1.3))*43758.5453,1)*1000000)*10000+ROW(),"")</f>
        <v/>
      </c>
      <c r="F377" s="0" t="str">
        <f aca="false">IF(E377="","",RANK(E377,$E$2:$E$5001,1))</f>
        <v/>
      </c>
      <c r="G377" s="0" t="n">
        <f aca="false">IF(A377="",0,IF(SUMPRODUCT(--($A$2:$A$5001=A377))&gt;1,1,0))</f>
        <v>0</v>
      </c>
      <c r="H377" s="0" t="n">
        <f aca="false">ROW()-1</f>
        <v>376</v>
      </c>
      <c r="I377" s="0" t="str">
        <f aca="false">IF(OR(הגדרות!$E$6=0,H377&gt;הגדרות!$E$5),"",IF(H377-1&lt;הגדרות!$E$8*(הגדרות!$E$7+1),INT((H377-1)/(הגדרות!$E$7+1)),הגדרות!$E$8+INT((H377-1-הגדרות!$E$8*(הגדרות!$E$7+1))/הגדרות!$E$7)))</f>
        <v/>
      </c>
      <c r="J377" s="0" t="str">
        <f aca="false">IF(I377="","",IF(H377-1&lt;הגדרות!$E$8*(הגדרות!$E$7+1),MOD(H377-1,הגדרות!$E$7+1),MOD(H377-1-הגדרות!$E$8*(הגדרות!$E$7+1),הגדרות!$E$7)))</f>
        <v/>
      </c>
      <c r="K377" s="0" t="str">
        <f aca="false">IF(I377="","",J377*הגדרות!$E$6+I377+1)</f>
        <v/>
      </c>
      <c r="L377" s="0" t="str">
        <f aca="false">IF(K377="","",MATCH(K377,$F$2:$F$5001,0))</f>
        <v/>
      </c>
      <c r="M377" s="0" t="str">
        <f aca="false">IF(I377="","",INDEX(הגדרות!$A$2:$A$21,MOD(I377+הגדרות!$E$9,הגדרות!$E$6)+1))</f>
        <v/>
      </c>
    </row>
    <row r="378" customFormat="false" ht="15" hidden="false" customHeight="false" outlineLevel="0" collapsed="false">
      <c r="A378" s="0" t="str">
        <f aca="false">IF('הדבקת לידים'!A378="","",IF(ISNUMBER('הדבקת לידים'!A378),IF(הגדרות!$E$2&gt;0,TEXT('הדבקת לידים'!A378,REPT("0",הגדרות!$E$2)),TEXT('הדבקת לידים'!A378,"0")),TRIM('הדבקת לידים'!A378)))</f>
        <v/>
      </c>
      <c r="B378" s="0" t="str">
        <f aca="false">IF('הדבקת לידים'!B378="","",IF(ISNUMBER('הדבקת לידים'!B378),IF(הגדרות!$E$3&gt;0,TEXT('הדבקת לידים'!B378,REPT("0",הגדרות!$E$3)),TEXT('הדבקת לידים'!B378,"0")),TRIM('הדבקת לידים'!B378)))</f>
        <v/>
      </c>
      <c r="C378" s="0" t="n">
        <f aca="false">IF(OR(A378&lt;&gt;"",B378&lt;&gt;""),1,0)</f>
        <v>0</v>
      </c>
      <c r="D378" s="0" t="str">
        <f aca="false">IF(C378=1,MOD(ABS(SIN(ROW()*12.9898+'הדבקת לידים'!$F$2*78.233+IFERROR(--RIGHT(A378,6),LEN(A378))*0.0137+IFERROR(--RIGHT(B378,6),LEN(B378))*0.0071))*43758.5453,1),"")</f>
        <v/>
      </c>
      <c r="E378" s="0" t="str">
        <f aca="false">IF(C378=1,INT(MOD(ABS(SIN(D378*7919.123+ROW()*0.618+'הדבקת לידים'!$F$2*1.3))*43758.5453,1)*1000000)*10000+ROW(),"")</f>
        <v/>
      </c>
      <c r="F378" s="0" t="str">
        <f aca="false">IF(E378="","",RANK(E378,$E$2:$E$5001,1))</f>
        <v/>
      </c>
      <c r="G378" s="0" t="n">
        <f aca="false">IF(A378="",0,IF(SUMPRODUCT(--($A$2:$A$5001=A378))&gt;1,1,0))</f>
        <v>0</v>
      </c>
      <c r="H378" s="0" t="n">
        <f aca="false">ROW()-1</f>
        <v>377</v>
      </c>
      <c r="I378" s="0" t="str">
        <f aca="false">IF(OR(הגדרות!$E$6=0,H378&gt;הגדרות!$E$5),"",IF(H378-1&lt;הגדרות!$E$8*(הגדרות!$E$7+1),INT((H378-1)/(הגדרות!$E$7+1)),הגדרות!$E$8+INT((H378-1-הגדרות!$E$8*(הגדרות!$E$7+1))/הגדרות!$E$7)))</f>
        <v/>
      </c>
      <c r="J378" s="0" t="str">
        <f aca="false">IF(I378="","",IF(H378-1&lt;הגדרות!$E$8*(הגדרות!$E$7+1),MOD(H378-1,הגדרות!$E$7+1),MOD(H378-1-הגדרות!$E$8*(הגדרות!$E$7+1),הגדרות!$E$7)))</f>
        <v/>
      </c>
      <c r="K378" s="0" t="str">
        <f aca="false">IF(I378="","",J378*הגדרות!$E$6+I378+1)</f>
        <v/>
      </c>
      <c r="L378" s="0" t="str">
        <f aca="false">IF(K378="","",MATCH(K378,$F$2:$F$5001,0))</f>
        <v/>
      </c>
      <c r="M378" s="0" t="str">
        <f aca="false">IF(I378="","",INDEX(הגדרות!$A$2:$A$21,MOD(I378+הגדרות!$E$9,הגדרות!$E$6)+1))</f>
        <v/>
      </c>
    </row>
    <row r="379" customFormat="false" ht="15" hidden="false" customHeight="false" outlineLevel="0" collapsed="false">
      <c r="A379" s="0" t="str">
        <f aca="false">IF('הדבקת לידים'!A379="","",IF(ISNUMBER('הדבקת לידים'!A379),IF(הגדרות!$E$2&gt;0,TEXT('הדבקת לידים'!A379,REPT("0",הגדרות!$E$2)),TEXT('הדבקת לידים'!A379,"0")),TRIM('הדבקת לידים'!A379)))</f>
        <v/>
      </c>
      <c r="B379" s="0" t="str">
        <f aca="false">IF('הדבקת לידים'!B379="","",IF(ISNUMBER('הדבקת לידים'!B379),IF(הגדרות!$E$3&gt;0,TEXT('הדבקת לידים'!B379,REPT("0",הגדרות!$E$3)),TEXT('הדבקת לידים'!B379,"0")),TRIM('הדבקת לידים'!B379)))</f>
        <v/>
      </c>
      <c r="C379" s="0" t="n">
        <f aca="false">IF(OR(A379&lt;&gt;"",B379&lt;&gt;""),1,0)</f>
        <v>0</v>
      </c>
      <c r="D379" s="0" t="str">
        <f aca="false">IF(C379=1,MOD(ABS(SIN(ROW()*12.9898+'הדבקת לידים'!$F$2*78.233+IFERROR(--RIGHT(A379,6),LEN(A379))*0.0137+IFERROR(--RIGHT(B379,6),LEN(B379))*0.0071))*43758.5453,1),"")</f>
        <v/>
      </c>
      <c r="E379" s="0" t="str">
        <f aca="false">IF(C379=1,INT(MOD(ABS(SIN(D379*7919.123+ROW()*0.618+'הדבקת לידים'!$F$2*1.3))*43758.5453,1)*1000000)*10000+ROW(),"")</f>
        <v/>
      </c>
      <c r="F379" s="0" t="str">
        <f aca="false">IF(E379="","",RANK(E379,$E$2:$E$5001,1))</f>
        <v/>
      </c>
      <c r="G379" s="0" t="n">
        <f aca="false">IF(A379="",0,IF(SUMPRODUCT(--($A$2:$A$5001=A379))&gt;1,1,0))</f>
        <v>0</v>
      </c>
      <c r="H379" s="0" t="n">
        <f aca="false">ROW()-1</f>
        <v>378</v>
      </c>
      <c r="I379" s="0" t="str">
        <f aca="false">IF(OR(הגדרות!$E$6=0,H379&gt;הגדרות!$E$5),"",IF(H379-1&lt;הגדרות!$E$8*(הגדרות!$E$7+1),INT((H379-1)/(הגדרות!$E$7+1)),הגדרות!$E$8+INT((H379-1-הגדרות!$E$8*(הגדרות!$E$7+1))/הגדרות!$E$7)))</f>
        <v/>
      </c>
      <c r="J379" s="0" t="str">
        <f aca="false">IF(I379="","",IF(H379-1&lt;הגדרות!$E$8*(הגדרות!$E$7+1),MOD(H379-1,הגדרות!$E$7+1),MOD(H379-1-הגדרות!$E$8*(הגדרות!$E$7+1),הגדרות!$E$7)))</f>
        <v/>
      </c>
      <c r="K379" s="0" t="str">
        <f aca="false">IF(I379="","",J379*הגדרות!$E$6+I379+1)</f>
        <v/>
      </c>
      <c r="L379" s="0" t="str">
        <f aca="false">IF(K379="","",MATCH(K379,$F$2:$F$5001,0))</f>
        <v/>
      </c>
      <c r="M379" s="0" t="str">
        <f aca="false">IF(I379="","",INDEX(הגדרות!$A$2:$A$21,MOD(I379+הגדרות!$E$9,הגדרות!$E$6)+1))</f>
        <v/>
      </c>
    </row>
    <row r="380" customFormat="false" ht="15" hidden="false" customHeight="false" outlineLevel="0" collapsed="false">
      <c r="A380" s="0" t="str">
        <f aca="false">IF('הדבקת לידים'!A380="","",IF(ISNUMBER('הדבקת לידים'!A380),IF(הגדרות!$E$2&gt;0,TEXT('הדבקת לידים'!A380,REPT("0",הגדרות!$E$2)),TEXT('הדבקת לידים'!A380,"0")),TRIM('הדבקת לידים'!A380)))</f>
        <v/>
      </c>
      <c r="B380" s="0" t="str">
        <f aca="false">IF('הדבקת לידים'!B380="","",IF(ISNUMBER('הדבקת לידים'!B380),IF(הגדרות!$E$3&gt;0,TEXT('הדבקת לידים'!B380,REPT("0",הגדרות!$E$3)),TEXT('הדבקת לידים'!B380,"0")),TRIM('הדבקת לידים'!B380)))</f>
        <v/>
      </c>
      <c r="C380" s="0" t="n">
        <f aca="false">IF(OR(A380&lt;&gt;"",B380&lt;&gt;""),1,0)</f>
        <v>0</v>
      </c>
      <c r="D380" s="0" t="str">
        <f aca="false">IF(C380=1,MOD(ABS(SIN(ROW()*12.9898+'הדבקת לידים'!$F$2*78.233+IFERROR(--RIGHT(A380,6),LEN(A380))*0.0137+IFERROR(--RIGHT(B380,6),LEN(B380))*0.0071))*43758.5453,1),"")</f>
        <v/>
      </c>
      <c r="E380" s="0" t="str">
        <f aca="false">IF(C380=1,INT(MOD(ABS(SIN(D380*7919.123+ROW()*0.618+'הדבקת לידים'!$F$2*1.3))*43758.5453,1)*1000000)*10000+ROW(),"")</f>
        <v/>
      </c>
      <c r="F380" s="0" t="str">
        <f aca="false">IF(E380="","",RANK(E380,$E$2:$E$5001,1))</f>
        <v/>
      </c>
      <c r="G380" s="0" t="n">
        <f aca="false">IF(A380="",0,IF(SUMPRODUCT(--($A$2:$A$5001=A380))&gt;1,1,0))</f>
        <v>0</v>
      </c>
      <c r="H380" s="0" t="n">
        <f aca="false">ROW()-1</f>
        <v>379</v>
      </c>
      <c r="I380" s="0" t="str">
        <f aca="false">IF(OR(הגדרות!$E$6=0,H380&gt;הגדרות!$E$5),"",IF(H380-1&lt;הגדרות!$E$8*(הגדרות!$E$7+1),INT((H380-1)/(הגדרות!$E$7+1)),הגדרות!$E$8+INT((H380-1-הגדרות!$E$8*(הגדרות!$E$7+1))/הגדרות!$E$7)))</f>
        <v/>
      </c>
      <c r="J380" s="0" t="str">
        <f aca="false">IF(I380="","",IF(H380-1&lt;הגדרות!$E$8*(הגדרות!$E$7+1),MOD(H380-1,הגדרות!$E$7+1),MOD(H380-1-הגדרות!$E$8*(הגדרות!$E$7+1),הגדרות!$E$7)))</f>
        <v/>
      </c>
      <c r="K380" s="0" t="str">
        <f aca="false">IF(I380="","",J380*הגדרות!$E$6+I380+1)</f>
        <v/>
      </c>
      <c r="L380" s="0" t="str">
        <f aca="false">IF(K380="","",MATCH(K380,$F$2:$F$5001,0))</f>
        <v/>
      </c>
      <c r="M380" s="0" t="str">
        <f aca="false">IF(I380="","",INDEX(הגדרות!$A$2:$A$21,MOD(I380+הגדרות!$E$9,הגדרות!$E$6)+1))</f>
        <v/>
      </c>
    </row>
    <row r="381" customFormat="false" ht="15" hidden="false" customHeight="false" outlineLevel="0" collapsed="false">
      <c r="A381" s="0" t="str">
        <f aca="false">IF('הדבקת לידים'!A381="","",IF(ISNUMBER('הדבקת לידים'!A381),IF(הגדרות!$E$2&gt;0,TEXT('הדבקת לידים'!A381,REPT("0",הגדרות!$E$2)),TEXT('הדבקת לידים'!A381,"0")),TRIM('הדבקת לידים'!A381)))</f>
        <v/>
      </c>
      <c r="B381" s="0" t="str">
        <f aca="false">IF('הדבקת לידים'!B381="","",IF(ISNUMBER('הדבקת לידים'!B381),IF(הגדרות!$E$3&gt;0,TEXT('הדבקת לידים'!B381,REPT("0",הגדרות!$E$3)),TEXT('הדבקת לידים'!B381,"0")),TRIM('הדבקת לידים'!B381)))</f>
        <v/>
      </c>
      <c r="C381" s="0" t="n">
        <f aca="false">IF(OR(A381&lt;&gt;"",B381&lt;&gt;""),1,0)</f>
        <v>0</v>
      </c>
      <c r="D381" s="0" t="str">
        <f aca="false">IF(C381=1,MOD(ABS(SIN(ROW()*12.9898+'הדבקת לידים'!$F$2*78.233+IFERROR(--RIGHT(A381,6),LEN(A381))*0.0137+IFERROR(--RIGHT(B381,6),LEN(B381))*0.0071))*43758.5453,1),"")</f>
        <v/>
      </c>
      <c r="E381" s="0" t="str">
        <f aca="false">IF(C381=1,INT(MOD(ABS(SIN(D381*7919.123+ROW()*0.618+'הדבקת לידים'!$F$2*1.3))*43758.5453,1)*1000000)*10000+ROW(),"")</f>
        <v/>
      </c>
      <c r="F381" s="0" t="str">
        <f aca="false">IF(E381="","",RANK(E381,$E$2:$E$5001,1))</f>
        <v/>
      </c>
      <c r="G381" s="0" t="n">
        <f aca="false">IF(A381="",0,IF(SUMPRODUCT(--($A$2:$A$5001=A381))&gt;1,1,0))</f>
        <v>0</v>
      </c>
      <c r="H381" s="0" t="n">
        <f aca="false">ROW()-1</f>
        <v>380</v>
      </c>
      <c r="I381" s="0" t="str">
        <f aca="false">IF(OR(הגדרות!$E$6=0,H381&gt;הגדרות!$E$5),"",IF(H381-1&lt;הגדרות!$E$8*(הגדרות!$E$7+1),INT((H381-1)/(הגדרות!$E$7+1)),הגדרות!$E$8+INT((H381-1-הגדרות!$E$8*(הגדרות!$E$7+1))/הגדרות!$E$7)))</f>
        <v/>
      </c>
      <c r="J381" s="0" t="str">
        <f aca="false">IF(I381="","",IF(H381-1&lt;הגדרות!$E$8*(הגדרות!$E$7+1),MOD(H381-1,הגדרות!$E$7+1),MOD(H381-1-הגדרות!$E$8*(הגדרות!$E$7+1),הגדרות!$E$7)))</f>
        <v/>
      </c>
      <c r="K381" s="0" t="str">
        <f aca="false">IF(I381="","",J381*הגדרות!$E$6+I381+1)</f>
        <v/>
      </c>
      <c r="L381" s="0" t="str">
        <f aca="false">IF(K381="","",MATCH(K381,$F$2:$F$5001,0))</f>
        <v/>
      </c>
      <c r="M381" s="0" t="str">
        <f aca="false">IF(I381="","",INDEX(הגדרות!$A$2:$A$21,MOD(I381+הגדרות!$E$9,הגדרות!$E$6)+1))</f>
        <v/>
      </c>
    </row>
    <row r="382" customFormat="false" ht="15" hidden="false" customHeight="false" outlineLevel="0" collapsed="false">
      <c r="A382" s="0" t="str">
        <f aca="false">IF('הדבקת לידים'!A382="","",IF(ISNUMBER('הדבקת לידים'!A382),IF(הגדרות!$E$2&gt;0,TEXT('הדבקת לידים'!A382,REPT("0",הגדרות!$E$2)),TEXT('הדבקת לידים'!A382,"0")),TRIM('הדבקת לידים'!A382)))</f>
        <v/>
      </c>
      <c r="B382" s="0" t="str">
        <f aca="false">IF('הדבקת לידים'!B382="","",IF(ISNUMBER('הדבקת לידים'!B382),IF(הגדרות!$E$3&gt;0,TEXT('הדבקת לידים'!B382,REPT("0",הגדרות!$E$3)),TEXT('הדבקת לידים'!B382,"0")),TRIM('הדבקת לידים'!B382)))</f>
        <v/>
      </c>
      <c r="C382" s="0" t="n">
        <f aca="false">IF(OR(A382&lt;&gt;"",B382&lt;&gt;""),1,0)</f>
        <v>0</v>
      </c>
      <c r="D382" s="0" t="str">
        <f aca="false">IF(C382=1,MOD(ABS(SIN(ROW()*12.9898+'הדבקת לידים'!$F$2*78.233+IFERROR(--RIGHT(A382,6),LEN(A382))*0.0137+IFERROR(--RIGHT(B382,6),LEN(B382))*0.0071))*43758.5453,1),"")</f>
        <v/>
      </c>
      <c r="E382" s="0" t="str">
        <f aca="false">IF(C382=1,INT(MOD(ABS(SIN(D382*7919.123+ROW()*0.618+'הדבקת לידים'!$F$2*1.3))*43758.5453,1)*1000000)*10000+ROW(),"")</f>
        <v/>
      </c>
      <c r="F382" s="0" t="str">
        <f aca="false">IF(E382="","",RANK(E382,$E$2:$E$5001,1))</f>
        <v/>
      </c>
      <c r="G382" s="0" t="n">
        <f aca="false">IF(A382="",0,IF(SUMPRODUCT(--($A$2:$A$5001=A382))&gt;1,1,0))</f>
        <v>0</v>
      </c>
      <c r="H382" s="0" t="n">
        <f aca="false">ROW()-1</f>
        <v>381</v>
      </c>
      <c r="I382" s="0" t="str">
        <f aca="false">IF(OR(הגדרות!$E$6=0,H382&gt;הגדרות!$E$5),"",IF(H382-1&lt;הגדרות!$E$8*(הגדרות!$E$7+1),INT((H382-1)/(הגדרות!$E$7+1)),הגדרות!$E$8+INT((H382-1-הגדרות!$E$8*(הגדרות!$E$7+1))/הגדרות!$E$7)))</f>
        <v/>
      </c>
      <c r="J382" s="0" t="str">
        <f aca="false">IF(I382="","",IF(H382-1&lt;הגדרות!$E$8*(הגדרות!$E$7+1),MOD(H382-1,הגדרות!$E$7+1),MOD(H382-1-הגדרות!$E$8*(הגדרות!$E$7+1),הגדרות!$E$7)))</f>
        <v/>
      </c>
      <c r="K382" s="0" t="str">
        <f aca="false">IF(I382="","",J382*הגדרות!$E$6+I382+1)</f>
        <v/>
      </c>
      <c r="L382" s="0" t="str">
        <f aca="false">IF(K382="","",MATCH(K382,$F$2:$F$5001,0))</f>
        <v/>
      </c>
      <c r="M382" s="0" t="str">
        <f aca="false">IF(I382="","",INDEX(הגדרות!$A$2:$A$21,MOD(I382+הגדרות!$E$9,הגדרות!$E$6)+1))</f>
        <v/>
      </c>
    </row>
    <row r="383" customFormat="false" ht="15" hidden="false" customHeight="false" outlineLevel="0" collapsed="false">
      <c r="A383" s="0" t="str">
        <f aca="false">IF('הדבקת לידים'!A383="","",IF(ISNUMBER('הדבקת לידים'!A383),IF(הגדרות!$E$2&gt;0,TEXT('הדבקת לידים'!A383,REPT("0",הגדרות!$E$2)),TEXT('הדבקת לידים'!A383,"0")),TRIM('הדבקת לידים'!A383)))</f>
        <v/>
      </c>
      <c r="B383" s="0" t="str">
        <f aca="false">IF('הדבקת לידים'!B383="","",IF(ISNUMBER('הדבקת לידים'!B383),IF(הגדרות!$E$3&gt;0,TEXT('הדבקת לידים'!B383,REPT("0",הגדרות!$E$3)),TEXT('הדבקת לידים'!B383,"0")),TRIM('הדבקת לידים'!B383)))</f>
        <v/>
      </c>
      <c r="C383" s="0" t="n">
        <f aca="false">IF(OR(A383&lt;&gt;"",B383&lt;&gt;""),1,0)</f>
        <v>0</v>
      </c>
      <c r="D383" s="0" t="str">
        <f aca="false">IF(C383=1,MOD(ABS(SIN(ROW()*12.9898+'הדבקת לידים'!$F$2*78.233+IFERROR(--RIGHT(A383,6),LEN(A383))*0.0137+IFERROR(--RIGHT(B383,6),LEN(B383))*0.0071))*43758.5453,1),"")</f>
        <v/>
      </c>
      <c r="E383" s="0" t="str">
        <f aca="false">IF(C383=1,INT(MOD(ABS(SIN(D383*7919.123+ROW()*0.618+'הדבקת לידים'!$F$2*1.3))*43758.5453,1)*1000000)*10000+ROW(),"")</f>
        <v/>
      </c>
      <c r="F383" s="0" t="str">
        <f aca="false">IF(E383="","",RANK(E383,$E$2:$E$5001,1))</f>
        <v/>
      </c>
      <c r="G383" s="0" t="n">
        <f aca="false">IF(A383="",0,IF(SUMPRODUCT(--($A$2:$A$5001=A383))&gt;1,1,0))</f>
        <v>0</v>
      </c>
      <c r="H383" s="0" t="n">
        <f aca="false">ROW()-1</f>
        <v>382</v>
      </c>
      <c r="I383" s="0" t="str">
        <f aca="false">IF(OR(הגדרות!$E$6=0,H383&gt;הגדרות!$E$5),"",IF(H383-1&lt;הגדרות!$E$8*(הגדרות!$E$7+1),INT((H383-1)/(הגדרות!$E$7+1)),הגדרות!$E$8+INT((H383-1-הגדרות!$E$8*(הגדרות!$E$7+1))/הגדרות!$E$7)))</f>
        <v/>
      </c>
      <c r="J383" s="0" t="str">
        <f aca="false">IF(I383="","",IF(H383-1&lt;הגדרות!$E$8*(הגדרות!$E$7+1),MOD(H383-1,הגדרות!$E$7+1),MOD(H383-1-הגדרות!$E$8*(הגדרות!$E$7+1),הגדרות!$E$7)))</f>
        <v/>
      </c>
      <c r="K383" s="0" t="str">
        <f aca="false">IF(I383="","",J383*הגדרות!$E$6+I383+1)</f>
        <v/>
      </c>
      <c r="L383" s="0" t="str">
        <f aca="false">IF(K383="","",MATCH(K383,$F$2:$F$5001,0))</f>
        <v/>
      </c>
      <c r="M383" s="0" t="str">
        <f aca="false">IF(I383="","",INDEX(הגדרות!$A$2:$A$21,MOD(I383+הגדרות!$E$9,הגדרות!$E$6)+1))</f>
        <v/>
      </c>
    </row>
    <row r="384" customFormat="false" ht="15" hidden="false" customHeight="false" outlineLevel="0" collapsed="false">
      <c r="A384" s="0" t="str">
        <f aca="false">IF('הדבקת לידים'!A384="","",IF(ISNUMBER('הדבקת לידים'!A384),IF(הגדרות!$E$2&gt;0,TEXT('הדבקת לידים'!A384,REPT("0",הגדרות!$E$2)),TEXT('הדבקת לידים'!A384,"0")),TRIM('הדבקת לידים'!A384)))</f>
        <v/>
      </c>
      <c r="B384" s="0" t="str">
        <f aca="false">IF('הדבקת לידים'!B384="","",IF(ISNUMBER('הדבקת לידים'!B384),IF(הגדרות!$E$3&gt;0,TEXT('הדבקת לידים'!B384,REPT("0",הגדרות!$E$3)),TEXT('הדבקת לידים'!B384,"0")),TRIM('הדבקת לידים'!B384)))</f>
        <v/>
      </c>
      <c r="C384" s="0" t="n">
        <f aca="false">IF(OR(A384&lt;&gt;"",B384&lt;&gt;""),1,0)</f>
        <v>0</v>
      </c>
      <c r="D384" s="0" t="str">
        <f aca="false">IF(C384=1,MOD(ABS(SIN(ROW()*12.9898+'הדבקת לידים'!$F$2*78.233+IFERROR(--RIGHT(A384,6),LEN(A384))*0.0137+IFERROR(--RIGHT(B384,6),LEN(B384))*0.0071))*43758.5453,1),"")</f>
        <v/>
      </c>
      <c r="E384" s="0" t="str">
        <f aca="false">IF(C384=1,INT(MOD(ABS(SIN(D384*7919.123+ROW()*0.618+'הדבקת לידים'!$F$2*1.3))*43758.5453,1)*1000000)*10000+ROW(),"")</f>
        <v/>
      </c>
      <c r="F384" s="0" t="str">
        <f aca="false">IF(E384="","",RANK(E384,$E$2:$E$5001,1))</f>
        <v/>
      </c>
      <c r="G384" s="0" t="n">
        <f aca="false">IF(A384="",0,IF(SUMPRODUCT(--($A$2:$A$5001=A384))&gt;1,1,0))</f>
        <v>0</v>
      </c>
      <c r="H384" s="0" t="n">
        <f aca="false">ROW()-1</f>
        <v>383</v>
      </c>
      <c r="I384" s="0" t="str">
        <f aca="false">IF(OR(הגדרות!$E$6=0,H384&gt;הגדרות!$E$5),"",IF(H384-1&lt;הגדרות!$E$8*(הגדרות!$E$7+1),INT((H384-1)/(הגדרות!$E$7+1)),הגדרות!$E$8+INT((H384-1-הגדרות!$E$8*(הגדרות!$E$7+1))/הגדרות!$E$7)))</f>
        <v/>
      </c>
      <c r="J384" s="0" t="str">
        <f aca="false">IF(I384="","",IF(H384-1&lt;הגדרות!$E$8*(הגדרות!$E$7+1),MOD(H384-1,הגדרות!$E$7+1),MOD(H384-1-הגדרות!$E$8*(הגדרות!$E$7+1),הגדרות!$E$7)))</f>
        <v/>
      </c>
      <c r="K384" s="0" t="str">
        <f aca="false">IF(I384="","",J384*הגדרות!$E$6+I384+1)</f>
        <v/>
      </c>
      <c r="L384" s="0" t="str">
        <f aca="false">IF(K384="","",MATCH(K384,$F$2:$F$5001,0))</f>
        <v/>
      </c>
      <c r="M384" s="0" t="str">
        <f aca="false">IF(I384="","",INDEX(הגדרות!$A$2:$A$21,MOD(I384+הגדרות!$E$9,הגדרות!$E$6)+1))</f>
        <v/>
      </c>
    </row>
    <row r="385" customFormat="false" ht="15" hidden="false" customHeight="false" outlineLevel="0" collapsed="false">
      <c r="A385" s="0" t="str">
        <f aca="false">IF('הדבקת לידים'!A385="","",IF(ISNUMBER('הדבקת לידים'!A385),IF(הגדרות!$E$2&gt;0,TEXT('הדבקת לידים'!A385,REPT("0",הגדרות!$E$2)),TEXT('הדבקת לידים'!A385,"0")),TRIM('הדבקת לידים'!A385)))</f>
        <v/>
      </c>
      <c r="B385" s="0" t="str">
        <f aca="false">IF('הדבקת לידים'!B385="","",IF(ISNUMBER('הדבקת לידים'!B385),IF(הגדרות!$E$3&gt;0,TEXT('הדבקת לידים'!B385,REPT("0",הגדרות!$E$3)),TEXT('הדבקת לידים'!B385,"0")),TRIM('הדבקת לידים'!B385)))</f>
        <v/>
      </c>
      <c r="C385" s="0" t="n">
        <f aca="false">IF(OR(A385&lt;&gt;"",B385&lt;&gt;""),1,0)</f>
        <v>0</v>
      </c>
      <c r="D385" s="0" t="str">
        <f aca="false">IF(C385=1,MOD(ABS(SIN(ROW()*12.9898+'הדבקת לידים'!$F$2*78.233+IFERROR(--RIGHT(A385,6),LEN(A385))*0.0137+IFERROR(--RIGHT(B385,6),LEN(B385))*0.0071))*43758.5453,1),"")</f>
        <v/>
      </c>
      <c r="E385" s="0" t="str">
        <f aca="false">IF(C385=1,INT(MOD(ABS(SIN(D385*7919.123+ROW()*0.618+'הדבקת לידים'!$F$2*1.3))*43758.5453,1)*1000000)*10000+ROW(),"")</f>
        <v/>
      </c>
      <c r="F385" s="0" t="str">
        <f aca="false">IF(E385="","",RANK(E385,$E$2:$E$5001,1))</f>
        <v/>
      </c>
      <c r="G385" s="0" t="n">
        <f aca="false">IF(A385="",0,IF(SUMPRODUCT(--($A$2:$A$5001=A385))&gt;1,1,0))</f>
        <v>0</v>
      </c>
      <c r="H385" s="0" t="n">
        <f aca="false">ROW()-1</f>
        <v>384</v>
      </c>
      <c r="I385" s="0" t="str">
        <f aca="false">IF(OR(הגדרות!$E$6=0,H385&gt;הגדרות!$E$5),"",IF(H385-1&lt;הגדרות!$E$8*(הגדרות!$E$7+1),INT((H385-1)/(הגדרות!$E$7+1)),הגדרות!$E$8+INT((H385-1-הגדרות!$E$8*(הגדרות!$E$7+1))/הגדרות!$E$7)))</f>
        <v/>
      </c>
      <c r="J385" s="0" t="str">
        <f aca="false">IF(I385="","",IF(H385-1&lt;הגדרות!$E$8*(הגדרות!$E$7+1),MOD(H385-1,הגדרות!$E$7+1),MOD(H385-1-הגדרות!$E$8*(הגדרות!$E$7+1),הגדרות!$E$7)))</f>
        <v/>
      </c>
      <c r="K385" s="0" t="str">
        <f aca="false">IF(I385="","",J385*הגדרות!$E$6+I385+1)</f>
        <v/>
      </c>
      <c r="L385" s="0" t="str">
        <f aca="false">IF(K385="","",MATCH(K385,$F$2:$F$5001,0))</f>
        <v/>
      </c>
      <c r="M385" s="0" t="str">
        <f aca="false">IF(I385="","",INDEX(הגדרות!$A$2:$A$21,MOD(I385+הגדרות!$E$9,הגדרות!$E$6)+1))</f>
        <v/>
      </c>
    </row>
    <row r="386" customFormat="false" ht="15" hidden="false" customHeight="false" outlineLevel="0" collapsed="false">
      <c r="A386" s="0" t="str">
        <f aca="false">IF('הדבקת לידים'!A386="","",IF(ISNUMBER('הדבקת לידים'!A386),IF(הגדרות!$E$2&gt;0,TEXT('הדבקת לידים'!A386,REPT("0",הגדרות!$E$2)),TEXT('הדבקת לידים'!A386,"0")),TRIM('הדבקת לידים'!A386)))</f>
        <v/>
      </c>
      <c r="B386" s="0" t="str">
        <f aca="false">IF('הדבקת לידים'!B386="","",IF(ISNUMBER('הדבקת לידים'!B386),IF(הגדרות!$E$3&gt;0,TEXT('הדבקת לידים'!B386,REPT("0",הגדרות!$E$3)),TEXT('הדבקת לידים'!B386,"0")),TRIM('הדבקת לידים'!B386)))</f>
        <v/>
      </c>
      <c r="C386" s="0" t="n">
        <f aca="false">IF(OR(A386&lt;&gt;"",B386&lt;&gt;""),1,0)</f>
        <v>0</v>
      </c>
      <c r="D386" s="0" t="str">
        <f aca="false">IF(C386=1,MOD(ABS(SIN(ROW()*12.9898+'הדבקת לידים'!$F$2*78.233+IFERROR(--RIGHT(A386,6),LEN(A386))*0.0137+IFERROR(--RIGHT(B386,6),LEN(B386))*0.0071))*43758.5453,1),"")</f>
        <v/>
      </c>
      <c r="E386" s="0" t="str">
        <f aca="false">IF(C386=1,INT(MOD(ABS(SIN(D386*7919.123+ROW()*0.618+'הדבקת לידים'!$F$2*1.3))*43758.5453,1)*1000000)*10000+ROW(),"")</f>
        <v/>
      </c>
      <c r="F386" s="0" t="str">
        <f aca="false">IF(E386="","",RANK(E386,$E$2:$E$5001,1))</f>
        <v/>
      </c>
      <c r="G386" s="0" t="n">
        <f aca="false">IF(A386="",0,IF(SUMPRODUCT(--($A$2:$A$5001=A386))&gt;1,1,0))</f>
        <v>0</v>
      </c>
      <c r="H386" s="0" t="n">
        <f aca="false">ROW()-1</f>
        <v>385</v>
      </c>
      <c r="I386" s="0" t="str">
        <f aca="false">IF(OR(הגדרות!$E$6=0,H386&gt;הגדרות!$E$5),"",IF(H386-1&lt;הגדרות!$E$8*(הגדרות!$E$7+1),INT((H386-1)/(הגדרות!$E$7+1)),הגדרות!$E$8+INT((H386-1-הגדרות!$E$8*(הגדרות!$E$7+1))/הגדרות!$E$7)))</f>
        <v/>
      </c>
      <c r="J386" s="0" t="str">
        <f aca="false">IF(I386="","",IF(H386-1&lt;הגדרות!$E$8*(הגדרות!$E$7+1),MOD(H386-1,הגדרות!$E$7+1),MOD(H386-1-הגדרות!$E$8*(הגדרות!$E$7+1),הגדרות!$E$7)))</f>
        <v/>
      </c>
      <c r="K386" s="0" t="str">
        <f aca="false">IF(I386="","",J386*הגדרות!$E$6+I386+1)</f>
        <v/>
      </c>
      <c r="L386" s="0" t="str">
        <f aca="false">IF(K386="","",MATCH(K386,$F$2:$F$5001,0))</f>
        <v/>
      </c>
      <c r="M386" s="0" t="str">
        <f aca="false">IF(I386="","",INDEX(הגדרות!$A$2:$A$21,MOD(I386+הגדרות!$E$9,הגדרות!$E$6)+1))</f>
        <v/>
      </c>
    </row>
    <row r="387" customFormat="false" ht="15" hidden="false" customHeight="false" outlineLevel="0" collapsed="false">
      <c r="A387" s="0" t="str">
        <f aca="false">IF('הדבקת לידים'!A387="","",IF(ISNUMBER('הדבקת לידים'!A387),IF(הגדרות!$E$2&gt;0,TEXT('הדבקת לידים'!A387,REPT("0",הגדרות!$E$2)),TEXT('הדבקת לידים'!A387,"0")),TRIM('הדבקת לידים'!A387)))</f>
        <v/>
      </c>
      <c r="B387" s="0" t="str">
        <f aca="false">IF('הדבקת לידים'!B387="","",IF(ISNUMBER('הדבקת לידים'!B387),IF(הגדרות!$E$3&gt;0,TEXT('הדבקת לידים'!B387,REPT("0",הגדרות!$E$3)),TEXT('הדבקת לידים'!B387,"0")),TRIM('הדבקת לידים'!B387)))</f>
        <v/>
      </c>
      <c r="C387" s="0" t="n">
        <f aca="false">IF(OR(A387&lt;&gt;"",B387&lt;&gt;""),1,0)</f>
        <v>0</v>
      </c>
      <c r="D387" s="0" t="str">
        <f aca="false">IF(C387=1,MOD(ABS(SIN(ROW()*12.9898+'הדבקת לידים'!$F$2*78.233+IFERROR(--RIGHT(A387,6),LEN(A387))*0.0137+IFERROR(--RIGHT(B387,6),LEN(B387))*0.0071))*43758.5453,1),"")</f>
        <v/>
      </c>
      <c r="E387" s="0" t="str">
        <f aca="false">IF(C387=1,INT(MOD(ABS(SIN(D387*7919.123+ROW()*0.618+'הדבקת לידים'!$F$2*1.3))*43758.5453,1)*1000000)*10000+ROW(),"")</f>
        <v/>
      </c>
      <c r="F387" s="0" t="str">
        <f aca="false">IF(E387="","",RANK(E387,$E$2:$E$5001,1))</f>
        <v/>
      </c>
      <c r="G387" s="0" t="n">
        <f aca="false">IF(A387="",0,IF(SUMPRODUCT(--($A$2:$A$5001=A387))&gt;1,1,0))</f>
        <v>0</v>
      </c>
      <c r="H387" s="0" t="n">
        <f aca="false">ROW()-1</f>
        <v>386</v>
      </c>
      <c r="I387" s="0" t="str">
        <f aca="false">IF(OR(הגדרות!$E$6=0,H387&gt;הגדרות!$E$5),"",IF(H387-1&lt;הגדרות!$E$8*(הגדרות!$E$7+1),INT((H387-1)/(הגדרות!$E$7+1)),הגדרות!$E$8+INT((H387-1-הגדרות!$E$8*(הגדרות!$E$7+1))/הגדרות!$E$7)))</f>
        <v/>
      </c>
      <c r="J387" s="0" t="str">
        <f aca="false">IF(I387="","",IF(H387-1&lt;הגדרות!$E$8*(הגדרות!$E$7+1),MOD(H387-1,הגדרות!$E$7+1),MOD(H387-1-הגדרות!$E$8*(הגדרות!$E$7+1),הגדרות!$E$7)))</f>
        <v/>
      </c>
      <c r="K387" s="0" t="str">
        <f aca="false">IF(I387="","",J387*הגדרות!$E$6+I387+1)</f>
        <v/>
      </c>
      <c r="L387" s="0" t="str">
        <f aca="false">IF(K387="","",MATCH(K387,$F$2:$F$5001,0))</f>
        <v/>
      </c>
      <c r="M387" s="0" t="str">
        <f aca="false">IF(I387="","",INDEX(הגדרות!$A$2:$A$21,MOD(I387+הגדרות!$E$9,הגדרות!$E$6)+1))</f>
        <v/>
      </c>
    </row>
    <row r="388" customFormat="false" ht="15" hidden="false" customHeight="false" outlineLevel="0" collapsed="false">
      <c r="A388" s="0" t="str">
        <f aca="false">IF('הדבקת לידים'!A388="","",IF(ISNUMBER('הדבקת לידים'!A388),IF(הגדרות!$E$2&gt;0,TEXT('הדבקת לידים'!A388,REPT("0",הגדרות!$E$2)),TEXT('הדבקת לידים'!A388,"0")),TRIM('הדבקת לידים'!A388)))</f>
        <v/>
      </c>
      <c r="B388" s="0" t="str">
        <f aca="false">IF('הדבקת לידים'!B388="","",IF(ISNUMBER('הדבקת לידים'!B388),IF(הגדרות!$E$3&gt;0,TEXT('הדבקת לידים'!B388,REPT("0",הגדרות!$E$3)),TEXT('הדבקת לידים'!B388,"0")),TRIM('הדבקת לידים'!B388)))</f>
        <v/>
      </c>
      <c r="C388" s="0" t="n">
        <f aca="false">IF(OR(A388&lt;&gt;"",B388&lt;&gt;""),1,0)</f>
        <v>0</v>
      </c>
      <c r="D388" s="0" t="str">
        <f aca="false">IF(C388=1,MOD(ABS(SIN(ROW()*12.9898+'הדבקת לידים'!$F$2*78.233+IFERROR(--RIGHT(A388,6),LEN(A388))*0.0137+IFERROR(--RIGHT(B388,6),LEN(B388))*0.0071))*43758.5453,1),"")</f>
        <v/>
      </c>
      <c r="E388" s="0" t="str">
        <f aca="false">IF(C388=1,INT(MOD(ABS(SIN(D388*7919.123+ROW()*0.618+'הדבקת לידים'!$F$2*1.3))*43758.5453,1)*1000000)*10000+ROW(),"")</f>
        <v/>
      </c>
      <c r="F388" s="0" t="str">
        <f aca="false">IF(E388="","",RANK(E388,$E$2:$E$5001,1))</f>
        <v/>
      </c>
      <c r="G388" s="0" t="n">
        <f aca="false">IF(A388="",0,IF(SUMPRODUCT(--($A$2:$A$5001=A388))&gt;1,1,0))</f>
        <v>0</v>
      </c>
      <c r="H388" s="0" t="n">
        <f aca="false">ROW()-1</f>
        <v>387</v>
      </c>
      <c r="I388" s="0" t="str">
        <f aca="false">IF(OR(הגדרות!$E$6=0,H388&gt;הגדרות!$E$5),"",IF(H388-1&lt;הגדרות!$E$8*(הגדרות!$E$7+1),INT((H388-1)/(הגדרות!$E$7+1)),הגדרות!$E$8+INT((H388-1-הגדרות!$E$8*(הגדרות!$E$7+1))/הגדרות!$E$7)))</f>
        <v/>
      </c>
      <c r="J388" s="0" t="str">
        <f aca="false">IF(I388="","",IF(H388-1&lt;הגדרות!$E$8*(הגדרות!$E$7+1),MOD(H388-1,הגדרות!$E$7+1),MOD(H388-1-הגדרות!$E$8*(הגדרות!$E$7+1),הגדרות!$E$7)))</f>
        <v/>
      </c>
      <c r="K388" s="0" t="str">
        <f aca="false">IF(I388="","",J388*הגדרות!$E$6+I388+1)</f>
        <v/>
      </c>
      <c r="L388" s="0" t="str">
        <f aca="false">IF(K388="","",MATCH(K388,$F$2:$F$5001,0))</f>
        <v/>
      </c>
      <c r="M388" s="0" t="str">
        <f aca="false">IF(I388="","",INDEX(הגדרות!$A$2:$A$21,MOD(I388+הגדרות!$E$9,הגדרות!$E$6)+1))</f>
        <v/>
      </c>
    </row>
    <row r="389" customFormat="false" ht="15" hidden="false" customHeight="false" outlineLevel="0" collapsed="false">
      <c r="A389" s="0" t="str">
        <f aca="false">IF('הדבקת לידים'!A389="","",IF(ISNUMBER('הדבקת לידים'!A389),IF(הגדרות!$E$2&gt;0,TEXT('הדבקת לידים'!A389,REPT("0",הגדרות!$E$2)),TEXT('הדבקת לידים'!A389,"0")),TRIM('הדבקת לידים'!A389)))</f>
        <v/>
      </c>
      <c r="B389" s="0" t="str">
        <f aca="false">IF('הדבקת לידים'!B389="","",IF(ISNUMBER('הדבקת לידים'!B389),IF(הגדרות!$E$3&gt;0,TEXT('הדבקת לידים'!B389,REPT("0",הגדרות!$E$3)),TEXT('הדבקת לידים'!B389,"0")),TRIM('הדבקת לידים'!B389)))</f>
        <v/>
      </c>
      <c r="C389" s="0" t="n">
        <f aca="false">IF(OR(A389&lt;&gt;"",B389&lt;&gt;""),1,0)</f>
        <v>0</v>
      </c>
      <c r="D389" s="0" t="str">
        <f aca="false">IF(C389=1,MOD(ABS(SIN(ROW()*12.9898+'הדבקת לידים'!$F$2*78.233+IFERROR(--RIGHT(A389,6),LEN(A389))*0.0137+IFERROR(--RIGHT(B389,6),LEN(B389))*0.0071))*43758.5453,1),"")</f>
        <v/>
      </c>
      <c r="E389" s="0" t="str">
        <f aca="false">IF(C389=1,INT(MOD(ABS(SIN(D389*7919.123+ROW()*0.618+'הדבקת לידים'!$F$2*1.3))*43758.5453,1)*1000000)*10000+ROW(),"")</f>
        <v/>
      </c>
      <c r="F389" s="0" t="str">
        <f aca="false">IF(E389="","",RANK(E389,$E$2:$E$5001,1))</f>
        <v/>
      </c>
      <c r="G389" s="0" t="n">
        <f aca="false">IF(A389="",0,IF(SUMPRODUCT(--($A$2:$A$5001=A389))&gt;1,1,0))</f>
        <v>0</v>
      </c>
      <c r="H389" s="0" t="n">
        <f aca="false">ROW()-1</f>
        <v>388</v>
      </c>
      <c r="I389" s="0" t="str">
        <f aca="false">IF(OR(הגדרות!$E$6=0,H389&gt;הגדרות!$E$5),"",IF(H389-1&lt;הגדרות!$E$8*(הגדרות!$E$7+1),INT((H389-1)/(הגדרות!$E$7+1)),הגדרות!$E$8+INT((H389-1-הגדרות!$E$8*(הגדרות!$E$7+1))/הגדרות!$E$7)))</f>
        <v/>
      </c>
      <c r="J389" s="0" t="str">
        <f aca="false">IF(I389="","",IF(H389-1&lt;הגדרות!$E$8*(הגדרות!$E$7+1),MOD(H389-1,הגדרות!$E$7+1),MOD(H389-1-הגדרות!$E$8*(הגדרות!$E$7+1),הגדרות!$E$7)))</f>
        <v/>
      </c>
      <c r="K389" s="0" t="str">
        <f aca="false">IF(I389="","",J389*הגדרות!$E$6+I389+1)</f>
        <v/>
      </c>
      <c r="L389" s="0" t="str">
        <f aca="false">IF(K389="","",MATCH(K389,$F$2:$F$5001,0))</f>
        <v/>
      </c>
      <c r="M389" s="0" t="str">
        <f aca="false">IF(I389="","",INDEX(הגדרות!$A$2:$A$21,MOD(I389+הגדרות!$E$9,הגדרות!$E$6)+1))</f>
        <v/>
      </c>
    </row>
    <row r="390" customFormat="false" ht="15" hidden="false" customHeight="false" outlineLevel="0" collapsed="false">
      <c r="A390" s="0" t="str">
        <f aca="false">IF('הדבקת לידים'!A390="","",IF(ISNUMBER('הדבקת לידים'!A390),IF(הגדרות!$E$2&gt;0,TEXT('הדבקת לידים'!A390,REPT("0",הגדרות!$E$2)),TEXT('הדבקת לידים'!A390,"0")),TRIM('הדבקת לידים'!A390)))</f>
        <v/>
      </c>
      <c r="B390" s="0" t="str">
        <f aca="false">IF('הדבקת לידים'!B390="","",IF(ISNUMBER('הדבקת לידים'!B390),IF(הגדרות!$E$3&gt;0,TEXT('הדבקת לידים'!B390,REPT("0",הגדרות!$E$3)),TEXT('הדבקת לידים'!B390,"0")),TRIM('הדבקת לידים'!B390)))</f>
        <v/>
      </c>
      <c r="C390" s="0" t="n">
        <f aca="false">IF(OR(A390&lt;&gt;"",B390&lt;&gt;""),1,0)</f>
        <v>0</v>
      </c>
      <c r="D390" s="0" t="str">
        <f aca="false">IF(C390=1,MOD(ABS(SIN(ROW()*12.9898+'הדבקת לידים'!$F$2*78.233+IFERROR(--RIGHT(A390,6),LEN(A390))*0.0137+IFERROR(--RIGHT(B390,6),LEN(B390))*0.0071))*43758.5453,1),"")</f>
        <v/>
      </c>
      <c r="E390" s="0" t="str">
        <f aca="false">IF(C390=1,INT(MOD(ABS(SIN(D390*7919.123+ROW()*0.618+'הדבקת לידים'!$F$2*1.3))*43758.5453,1)*1000000)*10000+ROW(),"")</f>
        <v/>
      </c>
      <c r="F390" s="0" t="str">
        <f aca="false">IF(E390="","",RANK(E390,$E$2:$E$5001,1))</f>
        <v/>
      </c>
      <c r="G390" s="0" t="n">
        <f aca="false">IF(A390="",0,IF(SUMPRODUCT(--($A$2:$A$5001=A390))&gt;1,1,0))</f>
        <v>0</v>
      </c>
      <c r="H390" s="0" t="n">
        <f aca="false">ROW()-1</f>
        <v>389</v>
      </c>
      <c r="I390" s="0" t="str">
        <f aca="false">IF(OR(הגדרות!$E$6=0,H390&gt;הגדרות!$E$5),"",IF(H390-1&lt;הגדרות!$E$8*(הגדרות!$E$7+1),INT((H390-1)/(הגדרות!$E$7+1)),הגדרות!$E$8+INT((H390-1-הגדרות!$E$8*(הגדרות!$E$7+1))/הגדרות!$E$7)))</f>
        <v/>
      </c>
      <c r="J390" s="0" t="str">
        <f aca="false">IF(I390="","",IF(H390-1&lt;הגדרות!$E$8*(הגדרות!$E$7+1),MOD(H390-1,הגדרות!$E$7+1),MOD(H390-1-הגדרות!$E$8*(הגדרות!$E$7+1),הגדרות!$E$7)))</f>
        <v/>
      </c>
      <c r="K390" s="0" t="str">
        <f aca="false">IF(I390="","",J390*הגדרות!$E$6+I390+1)</f>
        <v/>
      </c>
      <c r="L390" s="0" t="str">
        <f aca="false">IF(K390="","",MATCH(K390,$F$2:$F$5001,0))</f>
        <v/>
      </c>
      <c r="M390" s="0" t="str">
        <f aca="false">IF(I390="","",INDEX(הגדרות!$A$2:$A$21,MOD(I390+הגדרות!$E$9,הגדרות!$E$6)+1))</f>
        <v/>
      </c>
    </row>
    <row r="391" customFormat="false" ht="15" hidden="false" customHeight="false" outlineLevel="0" collapsed="false">
      <c r="A391" s="0" t="str">
        <f aca="false">IF('הדבקת לידים'!A391="","",IF(ISNUMBER('הדבקת לידים'!A391),IF(הגדרות!$E$2&gt;0,TEXT('הדבקת לידים'!A391,REPT("0",הגדרות!$E$2)),TEXT('הדבקת לידים'!A391,"0")),TRIM('הדבקת לידים'!A391)))</f>
        <v/>
      </c>
      <c r="B391" s="0" t="str">
        <f aca="false">IF('הדבקת לידים'!B391="","",IF(ISNUMBER('הדבקת לידים'!B391),IF(הגדרות!$E$3&gt;0,TEXT('הדבקת לידים'!B391,REPT("0",הגדרות!$E$3)),TEXT('הדבקת לידים'!B391,"0")),TRIM('הדבקת לידים'!B391)))</f>
        <v/>
      </c>
      <c r="C391" s="0" t="n">
        <f aca="false">IF(OR(A391&lt;&gt;"",B391&lt;&gt;""),1,0)</f>
        <v>0</v>
      </c>
      <c r="D391" s="0" t="str">
        <f aca="false">IF(C391=1,MOD(ABS(SIN(ROW()*12.9898+'הדבקת לידים'!$F$2*78.233+IFERROR(--RIGHT(A391,6),LEN(A391))*0.0137+IFERROR(--RIGHT(B391,6),LEN(B391))*0.0071))*43758.5453,1),"")</f>
        <v/>
      </c>
      <c r="E391" s="0" t="str">
        <f aca="false">IF(C391=1,INT(MOD(ABS(SIN(D391*7919.123+ROW()*0.618+'הדבקת לידים'!$F$2*1.3))*43758.5453,1)*1000000)*10000+ROW(),"")</f>
        <v/>
      </c>
      <c r="F391" s="0" t="str">
        <f aca="false">IF(E391="","",RANK(E391,$E$2:$E$5001,1))</f>
        <v/>
      </c>
      <c r="G391" s="0" t="n">
        <f aca="false">IF(A391="",0,IF(SUMPRODUCT(--($A$2:$A$5001=A391))&gt;1,1,0))</f>
        <v>0</v>
      </c>
      <c r="H391" s="0" t="n">
        <f aca="false">ROW()-1</f>
        <v>390</v>
      </c>
      <c r="I391" s="0" t="str">
        <f aca="false">IF(OR(הגדרות!$E$6=0,H391&gt;הגדרות!$E$5),"",IF(H391-1&lt;הגדרות!$E$8*(הגדרות!$E$7+1),INT((H391-1)/(הגדרות!$E$7+1)),הגדרות!$E$8+INT((H391-1-הגדרות!$E$8*(הגדרות!$E$7+1))/הגדרות!$E$7)))</f>
        <v/>
      </c>
      <c r="J391" s="0" t="str">
        <f aca="false">IF(I391="","",IF(H391-1&lt;הגדרות!$E$8*(הגדרות!$E$7+1),MOD(H391-1,הגדרות!$E$7+1),MOD(H391-1-הגדרות!$E$8*(הגדרות!$E$7+1),הגדרות!$E$7)))</f>
        <v/>
      </c>
      <c r="K391" s="0" t="str">
        <f aca="false">IF(I391="","",J391*הגדרות!$E$6+I391+1)</f>
        <v/>
      </c>
      <c r="L391" s="0" t="str">
        <f aca="false">IF(K391="","",MATCH(K391,$F$2:$F$5001,0))</f>
        <v/>
      </c>
      <c r="M391" s="0" t="str">
        <f aca="false">IF(I391="","",INDEX(הגדרות!$A$2:$A$21,MOD(I391+הגדרות!$E$9,הגדרות!$E$6)+1))</f>
        <v/>
      </c>
    </row>
    <row r="392" customFormat="false" ht="15" hidden="false" customHeight="false" outlineLevel="0" collapsed="false">
      <c r="A392" s="0" t="str">
        <f aca="false">IF('הדבקת לידים'!A392="","",IF(ISNUMBER('הדבקת לידים'!A392),IF(הגדרות!$E$2&gt;0,TEXT('הדבקת לידים'!A392,REPT("0",הגדרות!$E$2)),TEXT('הדבקת לידים'!A392,"0")),TRIM('הדבקת לידים'!A392)))</f>
        <v/>
      </c>
      <c r="B392" s="0" t="str">
        <f aca="false">IF('הדבקת לידים'!B392="","",IF(ISNUMBER('הדבקת לידים'!B392),IF(הגדרות!$E$3&gt;0,TEXT('הדבקת לידים'!B392,REPT("0",הגדרות!$E$3)),TEXT('הדבקת לידים'!B392,"0")),TRIM('הדבקת לידים'!B392)))</f>
        <v/>
      </c>
      <c r="C392" s="0" t="n">
        <f aca="false">IF(OR(A392&lt;&gt;"",B392&lt;&gt;""),1,0)</f>
        <v>0</v>
      </c>
      <c r="D392" s="0" t="str">
        <f aca="false">IF(C392=1,MOD(ABS(SIN(ROW()*12.9898+'הדבקת לידים'!$F$2*78.233+IFERROR(--RIGHT(A392,6),LEN(A392))*0.0137+IFERROR(--RIGHT(B392,6),LEN(B392))*0.0071))*43758.5453,1),"")</f>
        <v/>
      </c>
      <c r="E392" s="0" t="str">
        <f aca="false">IF(C392=1,INT(MOD(ABS(SIN(D392*7919.123+ROW()*0.618+'הדבקת לידים'!$F$2*1.3))*43758.5453,1)*1000000)*10000+ROW(),"")</f>
        <v/>
      </c>
      <c r="F392" s="0" t="str">
        <f aca="false">IF(E392="","",RANK(E392,$E$2:$E$5001,1))</f>
        <v/>
      </c>
      <c r="G392" s="0" t="n">
        <f aca="false">IF(A392="",0,IF(SUMPRODUCT(--($A$2:$A$5001=A392))&gt;1,1,0))</f>
        <v>0</v>
      </c>
      <c r="H392" s="0" t="n">
        <f aca="false">ROW()-1</f>
        <v>391</v>
      </c>
      <c r="I392" s="0" t="str">
        <f aca="false">IF(OR(הגדרות!$E$6=0,H392&gt;הגדרות!$E$5),"",IF(H392-1&lt;הגדרות!$E$8*(הגדרות!$E$7+1),INT((H392-1)/(הגדרות!$E$7+1)),הגדרות!$E$8+INT((H392-1-הגדרות!$E$8*(הגדרות!$E$7+1))/הגדרות!$E$7)))</f>
        <v/>
      </c>
      <c r="J392" s="0" t="str">
        <f aca="false">IF(I392="","",IF(H392-1&lt;הגדרות!$E$8*(הגדרות!$E$7+1),MOD(H392-1,הגדרות!$E$7+1),MOD(H392-1-הגדרות!$E$8*(הגדרות!$E$7+1),הגדרות!$E$7)))</f>
        <v/>
      </c>
      <c r="K392" s="0" t="str">
        <f aca="false">IF(I392="","",J392*הגדרות!$E$6+I392+1)</f>
        <v/>
      </c>
      <c r="L392" s="0" t="str">
        <f aca="false">IF(K392="","",MATCH(K392,$F$2:$F$5001,0))</f>
        <v/>
      </c>
      <c r="M392" s="0" t="str">
        <f aca="false">IF(I392="","",INDEX(הגדרות!$A$2:$A$21,MOD(I392+הגדרות!$E$9,הגדרות!$E$6)+1))</f>
        <v/>
      </c>
    </row>
    <row r="393" customFormat="false" ht="15" hidden="false" customHeight="false" outlineLevel="0" collapsed="false">
      <c r="A393" s="0" t="str">
        <f aca="false">IF('הדבקת לידים'!A393="","",IF(ISNUMBER('הדבקת לידים'!A393),IF(הגדרות!$E$2&gt;0,TEXT('הדבקת לידים'!A393,REPT("0",הגדרות!$E$2)),TEXT('הדבקת לידים'!A393,"0")),TRIM('הדבקת לידים'!A393)))</f>
        <v/>
      </c>
      <c r="B393" s="0" t="str">
        <f aca="false">IF('הדבקת לידים'!B393="","",IF(ISNUMBER('הדבקת לידים'!B393),IF(הגדרות!$E$3&gt;0,TEXT('הדבקת לידים'!B393,REPT("0",הגדרות!$E$3)),TEXT('הדבקת לידים'!B393,"0")),TRIM('הדבקת לידים'!B393)))</f>
        <v/>
      </c>
      <c r="C393" s="0" t="n">
        <f aca="false">IF(OR(A393&lt;&gt;"",B393&lt;&gt;""),1,0)</f>
        <v>0</v>
      </c>
      <c r="D393" s="0" t="str">
        <f aca="false">IF(C393=1,MOD(ABS(SIN(ROW()*12.9898+'הדבקת לידים'!$F$2*78.233+IFERROR(--RIGHT(A393,6),LEN(A393))*0.0137+IFERROR(--RIGHT(B393,6),LEN(B393))*0.0071))*43758.5453,1),"")</f>
        <v/>
      </c>
      <c r="E393" s="0" t="str">
        <f aca="false">IF(C393=1,INT(MOD(ABS(SIN(D393*7919.123+ROW()*0.618+'הדבקת לידים'!$F$2*1.3))*43758.5453,1)*1000000)*10000+ROW(),"")</f>
        <v/>
      </c>
      <c r="F393" s="0" t="str">
        <f aca="false">IF(E393="","",RANK(E393,$E$2:$E$5001,1))</f>
        <v/>
      </c>
      <c r="G393" s="0" t="n">
        <f aca="false">IF(A393="",0,IF(SUMPRODUCT(--($A$2:$A$5001=A393))&gt;1,1,0))</f>
        <v>0</v>
      </c>
      <c r="H393" s="0" t="n">
        <f aca="false">ROW()-1</f>
        <v>392</v>
      </c>
      <c r="I393" s="0" t="str">
        <f aca="false">IF(OR(הגדרות!$E$6=0,H393&gt;הגדרות!$E$5),"",IF(H393-1&lt;הגדרות!$E$8*(הגדרות!$E$7+1),INT((H393-1)/(הגדרות!$E$7+1)),הגדרות!$E$8+INT((H393-1-הגדרות!$E$8*(הגדרות!$E$7+1))/הגדרות!$E$7)))</f>
        <v/>
      </c>
      <c r="J393" s="0" t="str">
        <f aca="false">IF(I393="","",IF(H393-1&lt;הגדרות!$E$8*(הגדרות!$E$7+1),MOD(H393-1,הגדרות!$E$7+1),MOD(H393-1-הגדרות!$E$8*(הגדרות!$E$7+1),הגדרות!$E$7)))</f>
        <v/>
      </c>
      <c r="K393" s="0" t="str">
        <f aca="false">IF(I393="","",J393*הגדרות!$E$6+I393+1)</f>
        <v/>
      </c>
      <c r="L393" s="0" t="str">
        <f aca="false">IF(K393="","",MATCH(K393,$F$2:$F$5001,0))</f>
        <v/>
      </c>
      <c r="M393" s="0" t="str">
        <f aca="false">IF(I393="","",INDEX(הגדרות!$A$2:$A$21,MOD(I393+הגדרות!$E$9,הגדרות!$E$6)+1))</f>
        <v/>
      </c>
    </row>
    <row r="394" customFormat="false" ht="15" hidden="false" customHeight="false" outlineLevel="0" collapsed="false">
      <c r="A394" s="0" t="str">
        <f aca="false">IF('הדבקת לידים'!A394="","",IF(ISNUMBER('הדבקת לידים'!A394),IF(הגדרות!$E$2&gt;0,TEXT('הדבקת לידים'!A394,REPT("0",הגדרות!$E$2)),TEXT('הדבקת לידים'!A394,"0")),TRIM('הדבקת לידים'!A394)))</f>
        <v/>
      </c>
      <c r="B394" s="0" t="str">
        <f aca="false">IF('הדבקת לידים'!B394="","",IF(ISNUMBER('הדבקת לידים'!B394),IF(הגדרות!$E$3&gt;0,TEXT('הדבקת לידים'!B394,REPT("0",הגדרות!$E$3)),TEXT('הדבקת לידים'!B394,"0")),TRIM('הדבקת לידים'!B394)))</f>
        <v/>
      </c>
      <c r="C394" s="0" t="n">
        <f aca="false">IF(OR(A394&lt;&gt;"",B394&lt;&gt;""),1,0)</f>
        <v>0</v>
      </c>
      <c r="D394" s="0" t="str">
        <f aca="false">IF(C394=1,MOD(ABS(SIN(ROW()*12.9898+'הדבקת לידים'!$F$2*78.233+IFERROR(--RIGHT(A394,6),LEN(A394))*0.0137+IFERROR(--RIGHT(B394,6),LEN(B394))*0.0071))*43758.5453,1),"")</f>
        <v/>
      </c>
      <c r="E394" s="0" t="str">
        <f aca="false">IF(C394=1,INT(MOD(ABS(SIN(D394*7919.123+ROW()*0.618+'הדבקת לידים'!$F$2*1.3))*43758.5453,1)*1000000)*10000+ROW(),"")</f>
        <v/>
      </c>
      <c r="F394" s="0" t="str">
        <f aca="false">IF(E394="","",RANK(E394,$E$2:$E$5001,1))</f>
        <v/>
      </c>
      <c r="G394" s="0" t="n">
        <f aca="false">IF(A394="",0,IF(SUMPRODUCT(--($A$2:$A$5001=A394))&gt;1,1,0))</f>
        <v>0</v>
      </c>
      <c r="H394" s="0" t="n">
        <f aca="false">ROW()-1</f>
        <v>393</v>
      </c>
      <c r="I394" s="0" t="str">
        <f aca="false">IF(OR(הגדרות!$E$6=0,H394&gt;הגדרות!$E$5),"",IF(H394-1&lt;הגדרות!$E$8*(הגדרות!$E$7+1),INT((H394-1)/(הגדרות!$E$7+1)),הגדרות!$E$8+INT((H394-1-הגדרות!$E$8*(הגדרות!$E$7+1))/הגדרות!$E$7)))</f>
        <v/>
      </c>
      <c r="J394" s="0" t="str">
        <f aca="false">IF(I394="","",IF(H394-1&lt;הגדרות!$E$8*(הגדרות!$E$7+1),MOD(H394-1,הגדרות!$E$7+1),MOD(H394-1-הגדרות!$E$8*(הגדרות!$E$7+1),הגדרות!$E$7)))</f>
        <v/>
      </c>
      <c r="K394" s="0" t="str">
        <f aca="false">IF(I394="","",J394*הגדרות!$E$6+I394+1)</f>
        <v/>
      </c>
      <c r="L394" s="0" t="str">
        <f aca="false">IF(K394="","",MATCH(K394,$F$2:$F$5001,0))</f>
        <v/>
      </c>
      <c r="M394" s="0" t="str">
        <f aca="false">IF(I394="","",INDEX(הגדרות!$A$2:$A$21,MOD(I394+הגדרות!$E$9,הגדרות!$E$6)+1))</f>
        <v/>
      </c>
    </row>
    <row r="395" customFormat="false" ht="15" hidden="false" customHeight="false" outlineLevel="0" collapsed="false">
      <c r="A395" s="0" t="str">
        <f aca="false">IF('הדבקת לידים'!A395="","",IF(ISNUMBER('הדבקת לידים'!A395),IF(הגדרות!$E$2&gt;0,TEXT('הדבקת לידים'!A395,REPT("0",הגדרות!$E$2)),TEXT('הדבקת לידים'!A395,"0")),TRIM('הדבקת לידים'!A395)))</f>
        <v/>
      </c>
      <c r="B395" s="0" t="str">
        <f aca="false">IF('הדבקת לידים'!B395="","",IF(ISNUMBER('הדבקת לידים'!B395),IF(הגדרות!$E$3&gt;0,TEXT('הדבקת לידים'!B395,REPT("0",הגדרות!$E$3)),TEXT('הדבקת לידים'!B395,"0")),TRIM('הדבקת לידים'!B395)))</f>
        <v/>
      </c>
      <c r="C395" s="0" t="n">
        <f aca="false">IF(OR(A395&lt;&gt;"",B395&lt;&gt;""),1,0)</f>
        <v>0</v>
      </c>
      <c r="D395" s="0" t="str">
        <f aca="false">IF(C395=1,MOD(ABS(SIN(ROW()*12.9898+'הדבקת לידים'!$F$2*78.233+IFERROR(--RIGHT(A395,6),LEN(A395))*0.0137+IFERROR(--RIGHT(B395,6),LEN(B395))*0.0071))*43758.5453,1),"")</f>
        <v/>
      </c>
      <c r="E395" s="0" t="str">
        <f aca="false">IF(C395=1,INT(MOD(ABS(SIN(D395*7919.123+ROW()*0.618+'הדבקת לידים'!$F$2*1.3))*43758.5453,1)*1000000)*10000+ROW(),"")</f>
        <v/>
      </c>
      <c r="F395" s="0" t="str">
        <f aca="false">IF(E395="","",RANK(E395,$E$2:$E$5001,1))</f>
        <v/>
      </c>
      <c r="G395" s="0" t="n">
        <f aca="false">IF(A395="",0,IF(SUMPRODUCT(--($A$2:$A$5001=A395))&gt;1,1,0))</f>
        <v>0</v>
      </c>
      <c r="H395" s="0" t="n">
        <f aca="false">ROW()-1</f>
        <v>394</v>
      </c>
      <c r="I395" s="0" t="str">
        <f aca="false">IF(OR(הגדרות!$E$6=0,H395&gt;הגדרות!$E$5),"",IF(H395-1&lt;הגדרות!$E$8*(הגדרות!$E$7+1),INT((H395-1)/(הגדרות!$E$7+1)),הגדרות!$E$8+INT((H395-1-הגדרות!$E$8*(הגדרות!$E$7+1))/הגדרות!$E$7)))</f>
        <v/>
      </c>
      <c r="J395" s="0" t="str">
        <f aca="false">IF(I395="","",IF(H395-1&lt;הגדרות!$E$8*(הגדרות!$E$7+1),MOD(H395-1,הגדרות!$E$7+1),MOD(H395-1-הגדרות!$E$8*(הגדרות!$E$7+1),הגדרות!$E$7)))</f>
        <v/>
      </c>
      <c r="K395" s="0" t="str">
        <f aca="false">IF(I395="","",J395*הגדרות!$E$6+I395+1)</f>
        <v/>
      </c>
      <c r="L395" s="0" t="str">
        <f aca="false">IF(K395="","",MATCH(K395,$F$2:$F$5001,0))</f>
        <v/>
      </c>
      <c r="M395" s="0" t="str">
        <f aca="false">IF(I395="","",INDEX(הגדרות!$A$2:$A$21,MOD(I395+הגדרות!$E$9,הגדרות!$E$6)+1))</f>
        <v/>
      </c>
    </row>
    <row r="396" customFormat="false" ht="15" hidden="false" customHeight="false" outlineLevel="0" collapsed="false">
      <c r="A396" s="0" t="str">
        <f aca="false">IF('הדבקת לידים'!A396="","",IF(ISNUMBER('הדבקת לידים'!A396),IF(הגדרות!$E$2&gt;0,TEXT('הדבקת לידים'!A396,REPT("0",הגדרות!$E$2)),TEXT('הדבקת לידים'!A396,"0")),TRIM('הדבקת לידים'!A396)))</f>
        <v/>
      </c>
      <c r="B396" s="0" t="str">
        <f aca="false">IF('הדבקת לידים'!B396="","",IF(ISNUMBER('הדבקת לידים'!B396),IF(הגדרות!$E$3&gt;0,TEXT('הדבקת לידים'!B396,REPT("0",הגדרות!$E$3)),TEXT('הדבקת לידים'!B396,"0")),TRIM('הדבקת לידים'!B396)))</f>
        <v/>
      </c>
      <c r="C396" s="0" t="n">
        <f aca="false">IF(OR(A396&lt;&gt;"",B396&lt;&gt;""),1,0)</f>
        <v>0</v>
      </c>
      <c r="D396" s="0" t="str">
        <f aca="false">IF(C396=1,MOD(ABS(SIN(ROW()*12.9898+'הדבקת לידים'!$F$2*78.233+IFERROR(--RIGHT(A396,6),LEN(A396))*0.0137+IFERROR(--RIGHT(B396,6),LEN(B396))*0.0071))*43758.5453,1),"")</f>
        <v/>
      </c>
      <c r="E396" s="0" t="str">
        <f aca="false">IF(C396=1,INT(MOD(ABS(SIN(D396*7919.123+ROW()*0.618+'הדבקת לידים'!$F$2*1.3))*43758.5453,1)*1000000)*10000+ROW(),"")</f>
        <v/>
      </c>
      <c r="F396" s="0" t="str">
        <f aca="false">IF(E396="","",RANK(E396,$E$2:$E$5001,1))</f>
        <v/>
      </c>
      <c r="G396" s="0" t="n">
        <f aca="false">IF(A396="",0,IF(SUMPRODUCT(--($A$2:$A$5001=A396))&gt;1,1,0))</f>
        <v>0</v>
      </c>
      <c r="H396" s="0" t="n">
        <f aca="false">ROW()-1</f>
        <v>395</v>
      </c>
      <c r="I396" s="0" t="str">
        <f aca="false">IF(OR(הגדרות!$E$6=0,H396&gt;הגדרות!$E$5),"",IF(H396-1&lt;הגדרות!$E$8*(הגדרות!$E$7+1),INT((H396-1)/(הגדרות!$E$7+1)),הגדרות!$E$8+INT((H396-1-הגדרות!$E$8*(הגדרות!$E$7+1))/הגדרות!$E$7)))</f>
        <v/>
      </c>
      <c r="J396" s="0" t="str">
        <f aca="false">IF(I396="","",IF(H396-1&lt;הגדרות!$E$8*(הגדרות!$E$7+1),MOD(H396-1,הגדרות!$E$7+1),MOD(H396-1-הגדרות!$E$8*(הגדרות!$E$7+1),הגדרות!$E$7)))</f>
        <v/>
      </c>
      <c r="K396" s="0" t="str">
        <f aca="false">IF(I396="","",J396*הגדרות!$E$6+I396+1)</f>
        <v/>
      </c>
      <c r="L396" s="0" t="str">
        <f aca="false">IF(K396="","",MATCH(K396,$F$2:$F$5001,0))</f>
        <v/>
      </c>
      <c r="M396" s="0" t="str">
        <f aca="false">IF(I396="","",INDEX(הגדרות!$A$2:$A$21,MOD(I396+הגדרות!$E$9,הגדרות!$E$6)+1))</f>
        <v/>
      </c>
    </row>
    <row r="397" customFormat="false" ht="15" hidden="false" customHeight="false" outlineLevel="0" collapsed="false">
      <c r="A397" s="0" t="str">
        <f aca="false">IF('הדבקת לידים'!A397="","",IF(ISNUMBER('הדבקת לידים'!A397),IF(הגדרות!$E$2&gt;0,TEXT('הדבקת לידים'!A397,REPT("0",הגדרות!$E$2)),TEXT('הדבקת לידים'!A397,"0")),TRIM('הדבקת לידים'!A397)))</f>
        <v/>
      </c>
      <c r="B397" s="0" t="str">
        <f aca="false">IF('הדבקת לידים'!B397="","",IF(ISNUMBER('הדבקת לידים'!B397),IF(הגדרות!$E$3&gt;0,TEXT('הדבקת לידים'!B397,REPT("0",הגדרות!$E$3)),TEXT('הדבקת לידים'!B397,"0")),TRIM('הדבקת לידים'!B397)))</f>
        <v/>
      </c>
      <c r="C397" s="0" t="n">
        <f aca="false">IF(OR(A397&lt;&gt;"",B397&lt;&gt;""),1,0)</f>
        <v>0</v>
      </c>
      <c r="D397" s="0" t="str">
        <f aca="false">IF(C397=1,MOD(ABS(SIN(ROW()*12.9898+'הדבקת לידים'!$F$2*78.233+IFERROR(--RIGHT(A397,6),LEN(A397))*0.0137+IFERROR(--RIGHT(B397,6),LEN(B397))*0.0071))*43758.5453,1),"")</f>
        <v/>
      </c>
      <c r="E397" s="0" t="str">
        <f aca="false">IF(C397=1,INT(MOD(ABS(SIN(D397*7919.123+ROW()*0.618+'הדבקת לידים'!$F$2*1.3))*43758.5453,1)*1000000)*10000+ROW(),"")</f>
        <v/>
      </c>
      <c r="F397" s="0" t="str">
        <f aca="false">IF(E397="","",RANK(E397,$E$2:$E$5001,1))</f>
        <v/>
      </c>
      <c r="G397" s="0" t="n">
        <f aca="false">IF(A397="",0,IF(SUMPRODUCT(--($A$2:$A$5001=A397))&gt;1,1,0))</f>
        <v>0</v>
      </c>
      <c r="H397" s="0" t="n">
        <f aca="false">ROW()-1</f>
        <v>396</v>
      </c>
      <c r="I397" s="0" t="str">
        <f aca="false">IF(OR(הגדרות!$E$6=0,H397&gt;הגדרות!$E$5),"",IF(H397-1&lt;הגדרות!$E$8*(הגדרות!$E$7+1),INT((H397-1)/(הגדרות!$E$7+1)),הגדרות!$E$8+INT((H397-1-הגדרות!$E$8*(הגדרות!$E$7+1))/הגדרות!$E$7)))</f>
        <v/>
      </c>
      <c r="J397" s="0" t="str">
        <f aca="false">IF(I397="","",IF(H397-1&lt;הגדרות!$E$8*(הגדרות!$E$7+1),MOD(H397-1,הגדרות!$E$7+1),MOD(H397-1-הגדרות!$E$8*(הגדרות!$E$7+1),הגדרות!$E$7)))</f>
        <v/>
      </c>
      <c r="K397" s="0" t="str">
        <f aca="false">IF(I397="","",J397*הגדרות!$E$6+I397+1)</f>
        <v/>
      </c>
      <c r="L397" s="0" t="str">
        <f aca="false">IF(K397="","",MATCH(K397,$F$2:$F$5001,0))</f>
        <v/>
      </c>
      <c r="M397" s="0" t="str">
        <f aca="false">IF(I397="","",INDEX(הגדרות!$A$2:$A$21,MOD(I397+הגדרות!$E$9,הגדרות!$E$6)+1))</f>
        <v/>
      </c>
    </row>
    <row r="398" customFormat="false" ht="15" hidden="false" customHeight="false" outlineLevel="0" collapsed="false">
      <c r="A398" s="0" t="str">
        <f aca="false">IF('הדבקת לידים'!A398="","",IF(ISNUMBER('הדבקת לידים'!A398),IF(הגדרות!$E$2&gt;0,TEXT('הדבקת לידים'!A398,REPT("0",הגדרות!$E$2)),TEXT('הדבקת לידים'!A398,"0")),TRIM('הדבקת לידים'!A398)))</f>
        <v/>
      </c>
      <c r="B398" s="0" t="str">
        <f aca="false">IF('הדבקת לידים'!B398="","",IF(ISNUMBER('הדבקת לידים'!B398),IF(הגדרות!$E$3&gt;0,TEXT('הדבקת לידים'!B398,REPT("0",הגדרות!$E$3)),TEXT('הדבקת לידים'!B398,"0")),TRIM('הדבקת לידים'!B398)))</f>
        <v/>
      </c>
      <c r="C398" s="0" t="n">
        <f aca="false">IF(OR(A398&lt;&gt;"",B398&lt;&gt;""),1,0)</f>
        <v>0</v>
      </c>
      <c r="D398" s="0" t="str">
        <f aca="false">IF(C398=1,MOD(ABS(SIN(ROW()*12.9898+'הדבקת לידים'!$F$2*78.233+IFERROR(--RIGHT(A398,6),LEN(A398))*0.0137+IFERROR(--RIGHT(B398,6),LEN(B398))*0.0071))*43758.5453,1),"")</f>
        <v/>
      </c>
      <c r="E398" s="0" t="str">
        <f aca="false">IF(C398=1,INT(MOD(ABS(SIN(D398*7919.123+ROW()*0.618+'הדבקת לידים'!$F$2*1.3))*43758.5453,1)*1000000)*10000+ROW(),"")</f>
        <v/>
      </c>
      <c r="F398" s="0" t="str">
        <f aca="false">IF(E398="","",RANK(E398,$E$2:$E$5001,1))</f>
        <v/>
      </c>
      <c r="G398" s="0" t="n">
        <f aca="false">IF(A398="",0,IF(SUMPRODUCT(--($A$2:$A$5001=A398))&gt;1,1,0))</f>
        <v>0</v>
      </c>
      <c r="H398" s="0" t="n">
        <f aca="false">ROW()-1</f>
        <v>397</v>
      </c>
      <c r="I398" s="0" t="str">
        <f aca="false">IF(OR(הגדרות!$E$6=0,H398&gt;הגדרות!$E$5),"",IF(H398-1&lt;הגדרות!$E$8*(הגדרות!$E$7+1),INT((H398-1)/(הגדרות!$E$7+1)),הגדרות!$E$8+INT((H398-1-הגדרות!$E$8*(הגדרות!$E$7+1))/הגדרות!$E$7)))</f>
        <v/>
      </c>
      <c r="J398" s="0" t="str">
        <f aca="false">IF(I398="","",IF(H398-1&lt;הגדרות!$E$8*(הגדרות!$E$7+1),MOD(H398-1,הגדרות!$E$7+1),MOD(H398-1-הגדרות!$E$8*(הגדרות!$E$7+1),הגדרות!$E$7)))</f>
        <v/>
      </c>
      <c r="K398" s="0" t="str">
        <f aca="false">IF(I398="","",J398*הגדרות!$E$6+I398+1)</f>
        <v/>
      </c>
      <c r="L398" s="0" t="str">
        <f aca="false">IF(K398="","",MATCH(K398,$F$2:$F$5001,0))</f>
        <v/>
      </c>
      <c r="M398" s="0" t="str">
        <f aca="false">IF(I398="","",INDEX(הגדרות!$A$2:$A$21,MOD(I398+הגדרות!$E$9,הגדרות!$E$6)+1))</f>
        <v/>
      </c>
    </row>
    <row r="399" customFormat="false" ht="15" hidden="false" customHeight="false" outlineLevel="0" collapsed="false">
      <c r="A399" s="0" t="str">
        <f aca="false">IF('הדבקת לידים'!A399="","",IF(ISNUMBER('הדבקת לידים'!A399),IF(הגדרות!$E$2&gt;0,TEXT('הדבקת לידים'!A399,REPT("0",הגדרות!$E$2)),TEXT('הדבקת לידים'!A399,"0")),TRIM('הדבקת לידים'!A399)))</f>
        <v/>
      </c>
      <c r="B399" s="0" t="str">
        <f aca="false">IF('הדבקת לידים'!B399="","",IF(ISNUMBER('הדבקת לידים'!B399),IF(הגדרות!$E$3&gt;0,TEXT('הדבקת לידים'!B399,REPT("0",הגדרות!$E$3)),TEXT('הדבקת לידים'!B399,"0")),TRIM('הדבקת לידים'!B399)))</f>
        <v/>
      </c>
      <c r="C399" s="0" t="n">
        <f aca="false">IF(OR(A399&lt;&gt;"",B399&lt;&gt;""),1,0)</f>
        <v>0</v>
      </c>
      <c r="D399" s="0" t="str">
        <f aca="false">IF(C399=1,MOD(ABS(SIN(ROW()*12.9898+'הדבקת לידים'!$F$2*78.233+IFERROR(--RIGHT(A399,6),LEN(A399))*0.0137+IFERROR(--RIGHT(B399,6),LEN(B399))*0.0071))*43758.5453,1),"")</f>
        <v/>
      </c>
      <c r="E399" s="0" t="str">
        <f aca="false">IF(C399=1,INT(MOD(ABS(SIN(D399*7919.123+ROW()*0.618+'הדבקת לידים'!$F$2*1.3))*43758.5453,1)*1000000)*10000+ROW(),"")</f>
        <v/>
      </c>
      <c r="F399" s="0" t="str">
        <f aca="false">IF(E399="","",RANK(E399,$E$2:$E$5001,1))</f>
        <v/>
      </c>
      <c r="G399" s="0" t="n">
        <f aca="false">IF(A399="",0,IF(SUMPRODUCT(--($A$2:$A$5001=A399))&gt;1,1,0))</f>
        <v>0</v>
      </c>
      <c r="H399" s="0" t="n">
        <f aca="false">ROW()-1</f>
        <v>398</v>
      </c>
      <c r="I399" s="0" t="str">
        <f aca="false">IF(OR(הגדרות!$E$6=0,H399&gt;הגדרות!$E$5),"",IF(H399-1&lt;הגדרות!$E$8*(הגדרות!$E$7+1),INT((H399-1)/(הגדרות!$E$7+1)),הגדרות!$E$8+INT((H399-1-הגדרות!$E$8*(הגדרות!$E$7+1))/הגדרות!$E$7)))</f>
        <v/>
      </c>
      <c r="J399" s="0" t="str">
        <f aca="false">IF(I399="","",IF(H399-1&lt;הגדרות!$E$8*(הגדרות!$E$7+1),MOD(H399-1,הגדרות!$E$7+1),MOD(H399-1-הגדרות!$E$8*(הגדרות!$E$7+1),הגדרות!$E$7)))</f>
        <v/>
      </c>
      <c r="K399" s="0" t="str">
        <f aca="false">IF(I399="","",J399*הגדרות!$E$6+I399+1)</f>
        <v/>
      </c>
      <c r="L399" s="0" t="str">
        <f aca="false">IF(K399="","",MATCH(K399,$F$2:$F$5001,0))</f>
        <v/>
      </c>
      <c r="M399" s="0" t="str">
        <f aca="false">IF(I399="","",INDEX(הגדרות!$A$2:$A$21,MOD(I399+הגדרות!$E$9,הגדרות!$E$6)+1))</f>
        <v/>
      </c>
    </row>
    <row r="400" customFormat="false" ht="15" hidden="false" customHeight="false" outlineLevel="0" collapsed="false">
      <c r="A400" s="0" t="str">
        <f aca="false">IF('הדבקת לידים'!A400="","",IF(ISNUMBER('הדבקת לידים'!A400),IF(הגדרות!$E$2&gt;0,TEXT('הדבקת לידים'!A400,REPT("0",הגדרות!$E$2)),TEXT('הדבקת לידים'!A400,"0")),TRIM('הדבקת לידים'!A400)))</f>
        <v/>
      </c>
      <c r="B400" s="0" t="str">
        <f aca="false">IF('הדבקת לידים'!B400="","",IF(ISNUMBER('הדבקת לידים'!B400),IF(הגדרות!$E$3&gt;0,TEXT('הדבקת לידים'!B400,REPT("0",הגדרות!$E$3)),TEXT('הדבקת לידים'!B400,"0")),TRIM('הדבקת לידים'!B400)))</f>
        <v/>
      </c>
      <c r="C400" s="0" t="n">
        <f aca="false">IF(OR(A400&lt;&gt;"",B400&lt;&gt;""),1,0)</f>
        <v>0</v>
      </c>
      <c r="D400" s="0" t="str">
        <f aca="false">IF(C400=1,MOD(ABS(SIN(ROW()*12.9898+'הדבקת לידים'!$F$2*78.233+IFERROR(--RIGHT(A400,6),LEN(A400))*0.0137+IFERROR(--RIGHT(B400,6),LEN(B400))*0.0071))*43758.5453,1),"")</f>
        <v/>
      </c>
      <c r="E400" s="0" t="str">
        <f aca="false">IF(C400=1,INT(MOD(ABS(SIN(D400*7919.123+ROW()*0.618+'הדבקת לידים'!$F$2*1.3))*43758.5453,1)*1000000)*10000+ROW(),"")</f>
        <v/>
      </c>
      <c r="F400" s="0" t="str">
        <f aca="false">IF(E400="","",RANK(E400,$E$2:$E$5001,1))</f>
        <v/>
      </c>
      <c r="G400" s="0" t="n">
        <f aca="false">IF(A400="",0,IF(SUMPRODUCT(--($A$2:$A$5001=A400))&gt;1,1,0))</f>
        <v>0</v>
      </c>
      <c r="H400" s="0" t="n">
        <f aca="false">ROW()-1</f>
        <v>399</v>
      </c>
      <c r="I400" s="0" t="str">
        <f aca="false">IF(OR(הגדרות!$E$6=0,H400&gt;הגדרות!$E$5),"",IF(H400-1&lt;הגדרות!$E$8*(הגדרות!$E$7+1),INT((H400-1)/(הגדרות!$E$7+1)),הגדרות!$E$8+INT((H400-1-הגדרות!$E$8*(הגדרות!$E$7+1))/הגדרות!$E$7)))</f>
        <v/>
      </c>
      <c r="J400" s="0" t="str">
        <f aca="false">IF(I400="","",IF(H400-1&lt;הגדרות!$E$8*(הגדרות!$E$7+1),MOD(H400-1,הגדרות!$E$7+1),MOD(H400-1-הגדרות!$E$8*(הגדרות!$E$7+1),הגדרות!$E$7)))</f>
        <v/>
      </c>
      <c r="K400" s="0" t="str">
        <f aca="false">IF(I400="","",J400*הגדרות!$E$6+I400+1)</f>
        <v/>
      </c>
      <c r="L400" s="0" t="str">
        <f aca="false">IF(K400="","",MATCH(K400,$F$2:$F$5001,0))</f>
        <v/>
      </c>
      <c r="M400" s="0" t="str">
        <f aca="false">IF(I400="","",INDEX(הגדרות!$A$2:$A$21,MOD(I400+הגדרות!$E$9,הגדרות!$E$6)+1))</f>
        <v/>
      </c>
    </row>
    <row r="401" customFormat="false" ht="15" hidden="false" customHeight="false" outlineLevel="0" collapsed="false">
      <c r="A401" s="0" t="str">
        <f aca="false">IF('הדבקת לידים'!A401="","",IF(ISNUMBER('הדבקת לידים'!A401),IF(הגדרות!$E$2&gt;0,TEXT('הדבקת לידים'!A401,REPT("0",הגדרות!$E$2)),TEXT('הדבקת לידים'!A401,"0")),TRIM('הדבקת לידים'!A401)))</f>
        <v/>
      </c>
      <c r="B401" s="0" t="str">
        <f aca="false">IF('הדבקת לידים'!B401="","",IF(ISNUMBER('הדבקת לידים'!B401),IF(הגדרות!$E$3&gt;0,TEXT('הדבקת לידים'!B401,REPT("0",הגדרות!$E$3)),TEXT('הדבקת לידים'!B401,"0")),TRIM('הדבקת לידים'!B401)))</f>
        <v/>
      </c>
      <c r="C401" s="0" t="n">
        <f aca="false">IF(OR(A401&lt;&gt;"",B401&lt;&gt;""),1,0)</f>
        <v>0</v>
      </c>
      <c r="D401" s="0" t="str">
        <f aca="false">IF(C401=1,MOD(ABS(SIN(ROW()*12.9898+'הדבקת לידים'!$F$2*78.233+IFERROR(--RIGHT(A401,6),LEN(A401))*0.0137+IFERROR(--RIGHT(B401,6),LEN(B401))*0.0071))*43758.5453,1),"")</f>
        <v/>
      </c>
      <c r="E401" s="0" t="str">
        <f aca="false">IF(C401=1,INT(MOD(ABS(SIN(D401*7919.123+ROW()*0.618+'הדבקת לידים'!$F$2*1.3))*43758.5453,1)*1000000)*10000+ROW(),"")</f>
        <v/>
      </c>
      <c r="F401" s="0" t="str">
        <f aca="false">IF(E401="","",RANK(E401,$E$2:$E$5001,1))</f>
        <v/>
      </c>
      <c r="G401" s="0" t="n">
        <f aca="false">IF(A401="",0,IF(SUMPRODUCT(--($A$2:$A$5001=A401))&gt;1,1,0))</f>
        <v>0</v>
      </c>
      <c r="H401" s="0" t="n">
        <f aca="false">ROW()-1</f>
        <v>400</v>
      </c>
      <c r="I401" s="0" t="str">
        <f aca="false">IF(OR(הגדרות!$E$6=0,H401&gt;הגדרות!$E$5),"",IF(H401-1&lt;הגדרות!$E$8*(הגדרות!$E$7+1),INT((H401-1)/(הגדרות!$E$7+1)),הגדרות!$E$8+INT((H401-1-הגדרות!$E$8*(הגדרות!$E$7+1))/הגדרות!$E$7)))</f>
        <v/>
      </c>
      <c r="J401" s="0" t="str">
        <f aca="false">IF(I401="","",IF(H401-1&lt;הגדרות!$E$8*(הגדרות!$E$7+1),MOD(H401-1,הגדרות!$E$7+1),MOD(H401-1-הגדרות!$E$8*(הגדרות!$E$7+1),הגדרות!$E$7)))</f>
        <v/>
      </c>
      <c r="K401" s="0" t="str">
        <f aca="false">IF(I401="","",J401*הגדרות!$E$6+I401+1)</f>
        <v/>
      </c>
      <c r="L401" s="0" t="str">
        <f aca="false">IF(K401="","",MATCH(K401,$F$2:$F$5001,0))</f>
        <v/>
      </c>
      <c r="M401" s="0" t="str">
        <f aca="false">IF(I401="","",INDEX(הגדרות!$A$2:$A$21,MOD(I401+הגדרות!$E$9,הגדרות!$E$6)+1))</f>
        <v/>
      </c>
    </row>
    <row r="402" customFormat="false" ht="15" hidden="false" customHeight="false" outlineLevel="0" collapsed="false">
      <c r="A402" s="0" t="str">
        <f aca="false">IF('הדבקת לידים'!A402="","",IF(ISNUMBER('הדבקת לידים'!A402),IF(הגדרות!$E$2&gt;0,TEXT('הדבקת לידים'!A402,REPT("0",הגדרות!$E$2)),TEXT('הדבקת לידים'!A402,"0")),TRIM('הדבקת לידים'!A402)))</f>
        <v/>
      </c>
      <c r="B402" s="0" t="str">
        <f aca="false">IF('הדבקת לידים'!B402="","",IF(ISNUMBER('הדבקת לידים'!B402),IF(הגדרות!$E$3&gt;0,TEXT('הדבקת לידים'!B402,REPT("0",הגדרות!$E$3)),TEXT('הדבקת לידים'!B402,"0")),TRIM('הדבקת לידים'!B402)))</f>
        <v/>
      </c>
      <c r="C402" s="0" t="n">
        <f aca="false">IF(OR(A402&lt;&gt;"",B402&lt;&gt;""),1,0)</f>
        <v>0</v>
      </c>
      <c r="D402" s="0" t="str">
        <f aca="false">IF(C402=1,MOD(ABS(SIN(ROW()*12.9898+'הדבקת לידים'!$F$2*78.233+IFERROR(--RIGHT(A402,6),LEN(A402))*0.0137+IFERROR(--RIGHT(B402,6),LEN(B402))*0.0071))*43758.5453,1),"")</f>
        <v/>
      </c>
      <c r="E402" s="0" t="str">
        <f aca="false">IF(C402=1,INT(MOD(ABS(SIN(D402*7919.123+ROW()*0.618+'הדבקת לידים'!$F$2*1.3))*43758.5453,1)*1000000)*10000+ROW(),"")</f>
        <v/>
      </c>
      <c r="F402" s="0" t="str">
        <f aca="false">IF(E402="","",RANK(E402,$E$2:$E$5001,1))</f>
        <v/>
      </c>
      <c r="G402" s="0" t="n">
        <f aca="false">IF(A402="",0,IF(SUMPRODUCT(--($A$2:$A$5001=A402))&gt;1,1,0))</f>
        <v>0</v>
      </c>
      <c r="H402" s="0" t="n">
        <f aca="false">ROW()-1</f>
        <v>401</v>
      </c>
      <c r="I402" s="0" t="str">
        <f aca="false">IF(OR(הגדרות!$E$6=0,H402&gt;הגדרות!$E$5),"",IF(H402-1&lt;הגדרות!$E$8*(הגדרות!$E$7+1),INT((H402-1)/(הגדרות!$E$7+1)),הגדרות!$E$8+INT((H402-1-הגדרות!$E$8*(הגדרות!$E$7+1))/הגדרות!$E$7)))</f>
        <v/>
      </c>
      <c r="J402" s="0" t="str">
        <f aca="false">IF(I402="","",IF(H402-1&lt;הגדרות!$E$8*(הגדרות!$E$7+1),MOD(H402-1,הגדרות!$E$7+1),MOD(H402-1-הגדרות!$E$8*(הגדרות!$E$7+1),הגדרות!$E$7)))</f>
        <v/>
      </c>
      <c r="K402" s="0" t="str">
        <f aca="false">IF(I402="","",J402*הגדרות!$E$6+I402+1)</f>
        <v/>
      </c>
      <c r="L402" s="0" t="str">
        <f aca="false">IF(K402="","",MATCH(K402,$F$2:$F$5001,0))</f>
        <v/>
      </c>
      <c r="M402" s="0" t="str">
        <f aca="false">IF(I402="","",INDEX(הגדרות!$A$2:$A$21,MOD(I402+הגדרות!$E$9,הגדרות!$E$6)+1))</f>
        <v/>
      </c>
    </row>
    <row r="403" customFormat="false" ht="15" hidden="false" customHeight="false" outlineLevel="0" collapsed="false">
      <c r="A403" s="0" t="str">
        <f aca="false">IF('הדבקת לידים'!A403="","",IF(ISNUMBER('הדבקת לידים'!A403),IF(הגדרות!$E$2&gt;0,TEXT('הדבקת לידים'!A403,REPT("0",הגדרות!$E$2)),TEXT('הדבקת לידים'!A403,"0")),TRIM('הדבקת לידים'!A403)))</f>
        <v/>
      </c>
      <c r="B403" s="0" t="str">
        <f aca="false">IF('הדבקת לידים'!B403="","",IF(ISNUMBER('הדבקת לידים'!B403),IF(הגדרות!$E$3&gt;0,TEXT('הדבקת לידים'!B403,REPT("0",הגדרות!$E$3)),TEXT('הדבקת לידים'!B403,"0")),TRIM('הדבקת לידים'!B403)))</f>
        <v/>
      </c>
      <c r="C403" s="0" t="n">
        <f aca="false">IF(OR(A403&lt;&gt;"",B403&lt;&gt;""),1,0)</f>
        <v>0</v>
      </c>
      <c r="D403" s="0" t="str">
        <f aca="false">IF(C403=1,MOD(ABS(SIN(ROW()*12.9898+'הדבקת לידים'!$F$2*78.233+IFERROR(--RIGHT(A403,6),LEN(A403))*0.0137+IFERROR(--RIGHT(B403,6),LEN(B403))*0.0071))*43758.5453,1),"")</f>
        <v/>
      </c>
      <c r="E403" s="0" t="str">
        <f aca="false">IF(C403=1,INT(MOD(ABS(SIN(D403*7919.123+ROW()*0.618+'הדבקת לידים'!$F$2*1.3))*43758.5453,1)*1000000)*10000+ROW(),"")</f>
        <v/>
      </c>
      <c r="F403" s="0" t="str">
        <f aca="false">IF(E403="","",RANK(E403,$E$2:$E$5001,1))</f>
        <v/>
      </c>
      <c r="G403" s="0" t="n">
        <f aca="false">IF(A403="",0,IF(SUMPRODUCT(--($A$2:$A$5001=A403))&gt;1,1,0))</f>
        <v>0</v>
      </c>
      <c r="H403" s="0" t="n">
        <f aca="false">ROW()-1</f>
        <v>402</v>
      </c>
      <c r="I403" s="0" t="str">
        <f aca="false">IF(OR(הגדרות!$E$6=0,H403&gt;הגדרות!$E$5),"",IF(H403-1&lt;הגדרות!$E$8*(הגדרות!$E$7+1),INT((H403-1)/(הגדרות!$E$7+1)),הגדרות!$E$8+INT((H403-1-הגדרות!$E$8*(הגדרות!$E$7+1))/הגדרות!$E$7)))</f>
        <v/>
      </c>
      <c r="J403" s="0" t="str">
        <f aca="false">IF(I403="","",IF(H403-1&lt;הגדרות!$E$8*(הגדרות!$E$7+1),MOD(H403-1,הגדרות!$E$7+1),MOD(H403-1-הגדרות!$E$8*(הגדרות!$E$7+1),הגדרות!$E$7)))</f>
        <v/>
      </c>
      <c r="K403" s="0" t="str">
        <f aca="false">IF(I403="","",J403*הגדרות!$E$6+I403+1)</f>
        <v/>
      </c>
      <c r="L403" s="0" t="str">
        <f aca="false">IF(K403="","",MATCH(K403,$F$2:$F$5001,0))</f>
        <v/>
      </c>
      <c r="M403" s="0" t="str">
        <f aca="false">IF(I403="","",INDEX(הגדרות!$A$2:$A$21,MOD(I403+הגדרות!$E$9,הגדרות!$E$6)+1))</f>
        <v/>
      </c>
    </row>
    <row r="404" customFormat="false" ht="15" hidden="false" customHeight="false" outlineLevel="0" collapsed="false">
      <c r="A404" s="0" t="str">
        <f aca="false">IF('הדבקת לידים'!A404="","",IF(ISNUMBER('הדבקת לידים'!A404),IF(הגדרות!$E$2&gt;0,TEXT('הדבקת לידים'!A404,REPT("0",הגדרות!$E$2)),TEXT('הדבקת לידים'!A404,"0")),TRIM('הדבקת לידים'!A404)))</f>
        <v/>
      </c>
      <c r="B404" s="0" t="str">
        <f aca="false">IF('הדבקת לידים'!B404="","",IF(ISNUMBER('הדבקת לידים'!B404),IF(הגדרות!$E$3&gt;0,TEXT('הדבקת לידים'!B404,REPT("0",הגדרות!$E$3)),TEXT('הדבקת לידים'!B404,"0")),TRIM('הדבקת לידים'!B404)))</f>
        <v/>
      </c>
      <c r="C404" s="0" t="n">
        <f aca="false">IF(OR(A404&lt;&gt;"",B404&lt;&gt;""),1,0)</f>
        <v>0</v>
      </c>
      <c r="D404" s="0" t="str">
        <f aca="false">IF(C404=1,MOD(ABS(SIN(ROW()*12.9898+'הדבקת לידים'!$F$2*78.233+IFERROR(--RIGHT(A404,6),LEN(A404))*0.0137+IFERROR(--RIGHT(B404,6),LEN(B404))*0.0071))*43758.5453,1),"")</f>
        <v/>
      </c>
      <c r="E404" s="0" t="str">
        <f aca="false">IF(C404=1,INT(MOD(ABS(SIN(D404*7919.123+ROW()*0.618+'הדבקת לידים'!$F$2*1.3))*43758.5453,1)*1000000)*10000+ROW(),"")</f>
        <v/>
      </c>
      <c r="F404" s="0" t="str">
        <f aca="false">IF(E404="","",RANK(E404,$E$2:$E$5001,1))</f>
        <v/>
      </c>
      <c r="G404" s="0" t="n">
        <f aca="false">IF(A404="",0,IF(SUMPRODUCT(--($A$2:$A$5001=A404))&gt;1,1,0))</f>
        <v>0</v>
      </c>
      <c r="H404" s="0" t="n">
        <f aca="false">ROW()-1</f>
        <v>403</v>
      </c>
      <c r="I404" s="0" t="str">
        <f aca="false">IF(OR(הגדרות!$E$6=0,H404&gt;הגדרות!$E$5),"",IF(H404-1&lt;הגדרות!$E$8*(הגדרות!$E$7+1),INT((H404-1)/(הגדרות!$E$7+1)),הגדרות!$E$8+INT((H404-1-הגדרות!$E$8*(הגדרות!$E$7+1))/הגדרות!$E$7)))</f>
        <v/>
      </c>
      <c r="J404" s="0" t="str">
        <f aca="false">IF(I404="","",IF(H404-1&lt;הגדרות!$E$8*(הגדרות!$E$7+1),MOD(H404-1,הגדרות!$E$7+1),MOD(H404-1-הגדרות!$E$8*(הגדרות!$E$7+1),הגדרות!$E$7)))</f>
        <v/>
      </c>
      <c r="K404" s="0" t="str">
        <f aca="false">IF(I404="","",J404*הגדרות!$E$6+I404+1)</f>
        <v/>
      </c>
      <c r="L404" s="0" t="str">
        <f aca="false">IF(K404="","",MATCH(K404,$F$2:$F$5001,0))</f>
        <v/>
      </c>
      <c r="M404" s="0" t="str">
        <f aca="false">IF(I404="","",INDEX(הגדרות!$A$2:$A$21,MOD(I404+הגדרות!$E$9,הגדרות!$E$6)+1))</f>
        <v/>
      </c>
    </row>
    <row r="405" customFormat="false" ht="15" hidden="false" customHeight="false" outlineLevel="0" collapsed="false">
      <c r="A405" s="0" t="str">
        <f aca="false">IF('הדבקת לידים'!A405="","",IF(ISNUMBER('הדבקת לידים'!A405),IF(הגדרות!$E$2&gt;0,TEXT('הדבקת לידים'!A405,REPT("0",הגדרות!$E$2)),TEXT('הדבקת לידים'!A405,"0")),TRIM('הדבקת לידים'!A405)))</f>
        <v/>
      </c>
      <c r="B405" s="0" t="str">
        <f aca="false">IF('הדבקת לידים'!B405="","",IF(ISNUMBER('הדבקת לידים'!B405),IF(הגדרות!$E$3&gt;0,TEXT('הדבקת לידים'!B405,REPT("0",הגדרות!$E$3)),TEXT('הדבקת לידים'!B405,"0")),TRIM('הדבקת לידים'!B405)))</f>
        <v/>
      </c>
      <c r="C405" s="0" t="n">
        <f aca="false">IF(OR(A405&lt;&gt;"",B405&lt;&gt;""),1,0)</f>
        <v>0</v>
      </c>
      <c r="D405" s="0" t="str">
        <f aca="false">IF(C405=1,MOD(ABS(SIN(ROW()*12.9898+'הדבקת לידים'!$F$2*78.233+IFERROR(--RIGHT(A405,6),LEN(A405))*0.0137+IFERROR(--RIGHT(B405,6),LEN(B405))*0.0071))*43758.5453,1),"")</f>
        <v/>
      </c>
      <c r="E405" s="0" t="str">
        <f aca="false">IF(C405=1,INT(MOD(ABS(SIN(D405*7919.123+ROW()*0.618+'הדבקת לידים'!$F$2*1.3))*43758.5453,1)*1000000)*10000+ROW(),"")</f>
        <v/>
      </c>
      <c r="F405" s="0" t="str">
        <f aca="false">IF(E405="","",RANK(E405,$E$2:$E$5001,1))</f>
        <v/>
      </c>
      <c r="G405" s="0" t="n">
        <f aca="false">IF(A405="",0,IF(SUMPRODUCT(--($A$2:$A$5001=A405))&gt;1,1,0))</f>
        <v>0</v>
      </c>
      <c r="H405" s="0" t="n">
        <f aca="false">ROW()-1</f>
        <v>404</v>
      </c>
      <c r="I405" s="0" t="str">
        <f aca="false">IF(OR(הגדרות!$E$6=0,H405&gt;הגדרות!$E$5),"",IF(H405-1&lt;הגדרות!$E$8*(הגדרות!$E$7+1),INT((H405-1)/(הגדרות!$E$7+1)),הגדרות!$E$8+INT((H405-1-הגדרות!$E$8*(הגדרות!$E$7+1))/הגדרות!$E$7)))</f>
        <v/>
      </c>
      <c r="J405" s="0" t="str">
        <f aca="false">IF(I405="","",IF(H405-1&lt;הגדרות!$E$8*(הגדרות!$E$7+1),MOD(H405-1,הגדרות!$E$7+1),MOD(H405-1-הגדרות!$E$8*(הגדרות!$E$7+1),הגדרות!$E$7)))</f>
        <v/>
      </c>
      <c r="K405" s="0" t="str">
        <f aca="false">IF(I405="","",J405*הגדרות!$E$6+I405+1)</f>
        <v/>
      </c>
      <c r="L405" s="0" t="str">
        <f aca="false">IF(K405="","",MATCH(K405,$F$2:$F$5001,0))</f>
        <v/>
      </c>
      <c r="M405" s="0" t="str">
        <f aca="false">IF(I405="","",INDEX(הגדרות!$A$2:$A$21,MOD(I405+הגדרות!$E$9,הגדרות!$E$6)+1))</f>
        <v/>
      </c>
    </row>
    <row r="406" customFormat="false" ht="15" hidden="false" customHeight="false" outlineLevel="0" collapsed="false">
      <c r="A406" s="0" t="str">
        <f aca="false">IF('הדבקת לידים'!A406="","",IF(ISNUMBER('הדבקת לידים'!A406),IF(הגדרות!$E$2&gt;0,TEXT('הדבקת לידים'!A406,REPT("0",הגדרות!$E$2)),TEXT('הדבקת לידים'!A406,"0")),TRIM('הדבקת לידים'!A406)))</f>
        <v/>
      </c>
      <c r="B406" s="0" t="str">
        <f aca="false">IF('הדבקת לידים'!B406="","",IF(ISNUMBER('הדבקת לידים'!B406),IF(הגדרות!$E$3&gt;0,TEXT('הדבקת לידים'!B406,REPT("0",הגדרות!$E$3)),TEXT('הדבקת לידים'!B406,"0")),TRIM('הדבקת לידים'!B406)))</f>
        <v/>
      </c>
      <c r="C406" s="0" t="n">
        <f aca="false">IF(OR(A406&lt;&gt;"",B406&lt;&gt;""),1,0)</f>
        <v>0</v>
      </c>
      <c r="D406" s="0" t="str">
        <f aca="false">IF(C406=1,MOD(ABS(SIN(ROW()*12.9898+'הדבקת לידים'!$F$2*78.233+IFERROR(--RIGHT(A406,6),LEN(A406))*0.0137+IFERROR(--RIGHT(B406,6),LEN(B406))*0.0071))*43758.5453,1),"")</f>
        <v/>
      </c>
      <c r="E406" s="0" t="str">
        <f aca="false">IF(C406=1,INT(MOD(ABS(SIN(D406*7919.123+ROW()*0.618+'הדבקת לידים'!$F$2*1.3))*43758.5453,1)*1000000)*10000+ROW(),"")</f>
        <v/>
      </c>
      <c r="F406" s="0" t="str">
        <f aca="false">IF(E406="","",RANK(E406,$E$2:$E$5001,1))</f>
        <v/>
      </c>
      <c r="G406" s="0" t="n">
        <f aca="false">IF(A406="",0,IF(SUMPRODUCT(--($A$2:$A$5001=A406))&gt;1,1,0))</f>
        <v>0</v>
      </c>
      <c r="H406" s="0" t="n">
        <f aca="false">ROW()-1</f>
        <v>405</v>
      </c>
      <c r="I406" s="0" t="str">
        <f aca="false">IF(OR(הגדרות!$E$6=0,H406&gt;הגדרות!$E$5),"",IF(H406-1&lt;הגדרות!$E$8*(הגדרות!$E$7+1),INT((H406-1)/(הגדרות!$E$7+1)),הגדרות!$E$8+INT((H406-1-הגדרות!$E$8*(הגדרות!$E$7+1))/הגדרות!$E$7)))</f>
        <v/>
      </c>
      <c r="J406" s="0" t="str">
        <f aca="false">IF(I406="","",IF(H406-1&lt;הגדרות!$E$8*(הגדרות!$E$7+1),MOD(H406-1,הגדרות!$E$7+1),MOD(H406-1-הגדרות!$E$8*(הגדרות!$E$7+1),הגדרות!$E$7)))</f>
        <v/>
      </c>
      <c r="K406" s="0" t="str">
        <f aca="false">IF(I406="","",J406*הגדרות!$E$6+I406+1)</f>
        <v/>
      </c>
      <c r="L406" s="0" t="str">
        <f aca="false">IF(K406="","",MATCH(K406,$F$2:$F$5001,0))</f>
        <v/>
      </c>
      <c r="M406" s="0" t="str">
        <f aca="false">IF(I406="","",INDEX(הגדרות!$A$2:$A$21,MOD(I406+הגדרות!$E$9,הגדרות!$E$6)+1))</f>
        <v/>
      </c>
    </row>
    <row r="407" customFormat="false" ht="15" hidden="false" customHeight="false" outlineLevel="0" collapsed="false">
      <c r="A407" s="0" t="str">
        <f aca="false">IF('הדבקת לידים'!A407="","",IF(ISNUMBER('הדבקת לידים'!A407),IF(הגדרות!$E$2&gt;0,TEXT('הדבקת לידים'!A407,REPT("0",הגדרות!$E$2)),TEXT('הדבקת לידים'!A407,"0")),TRIM('הדבקת לידים'!A407)))</f>
        <v/>
      </c>
      <c r="B407" s="0" t="str">
        <f aca="false">IF('הדבקת לידים'!B407="","",IF(ISNUMBER('הדבקת לידים'!B407),IF(הגדרות!$E$3&gt;0,TEXT('הדבקת לידים'!B407,REPT("0",הגדרות!$E$3)),TEXT('הדבקת לידים'!B407,"0")),TRIM('הדבקת לידים'!B407)))</f>
        <v/>
      </c>
      <c r="C407" s="0" t="n">
        <f aca="false">IF(OR(A407&lt;&gt;"",B407&lt;&gt;""),1,0)</f>
        <v>0</v>
      </c>
      <c r="D407" s="0" t="str">
        <f aca="false">IF(C407=1,MOD(ABS(SIN(ROW()*12.9898+'הדבקת לידים'!$F$2*78.233+IFERROR(--RIGHT(A407,6),LEN(A407))*0.0137+IFERROR(--RIGHT(B407,6),LEN(B407))*0.0071))*43758.5453,1),"")</f>
        <v/>
      </c>
      <c r="E407" s="0" t="str">
        <f aca="false">IF(C407=1,INT(MOD(ABS(SIN(D407*7919.123+ROW()*0.618+'הדבקת לידים'!$F$2*1.3))*43758.5453,1)*1000000)*10000+ROW(),"")</f>
        <v/>
      </c>
      <c r="F407" s="0" t="str">
        <f aca="false">IF(E407="","",RANK(E407,$E$2:$E$5001,1))</f>
        <v/>
      </c>
      <c r="G407" s="0" t="n">
        <f aca="false">IF(A407="",0,IF(SUMPRODUCT(--($A$2:$A$5001=A407))&gt;1,1,0))</f>
        <v>0</v>
      </c>
      <c r="H407" s="0" t="n">
        <f aca="false">ROW()-1</f>
        <v>406</v>
      </c>
      <c r="I407" s="0" t="str">
        <f aca="false">IF(OR(הגדרות!$E$6=0,H407&gt;הגדרות!$E$5),"",IF(H407-1&lt;הגדרות!$E$8*(הגדרות!$E$7+1),INT((H407-1)/(הגדרות!$E$7+1)),הגדרות!$E$8+INT((H407-1-הגדרות!$E$8*(הגדרות!$E$7+1))/הגדרות!$E$7)))</f>
        <v/>
      </c>
      <c r="J407" s="0" t="str">
        <f aca="false">IF(I407="","",IF(H407-1&lt;הגדרות!$E$8*(הגדרות!$E$7+1),MOD(H407-1,הגדרות!$E$7+1),MOD(H407-1-הגדרות!$E$8*(הגדרות!$E$7+1),הגדרות!$E$7)))</f>
        <v/>
      </c>
      <c r="K407" s="0" t="str">
        <f aca="false">IF(I407="","",J407*הגדרות!$E$6+I407+1)</f>
        <v/>
      </c>
      <c r="L407" s="0" t="str">
        <f aca="false">IF(K407="","",MATCH(K407,$F$2:$F$5001,0))</f>
        <v/>
      </c>
      <c r="M407" s="0" t="str">
        <f aca="false">IF(I407="","",INDEX(הגדרות!$A$2:$A$21,MOD(I407+הגדרות!$E$9,הגדרות!$E$6)+1))</f>
        <v/>
      </c>
    </row>
    <row r="408" customFormat="false" ht="15" hidden="false" customHeight="false" outlineLevel="0" collapsed="false">
      <c r="A408" s="0" t="str">
        <f aca="false">IF('הדבקת לידים'!A408="","",IF(ISNUMBER('הדבקת לידים'!A408),IF(הגדרות!$E$2&gt;0,TEXT('הדבקת לידים'!A408,REPT("0",הגדרות!$E$2)),TEXT('הדבקת לידים'!A408,"0")),TRIM('הדבקת לידים'!A408)))</f>
        <v/>
      </c>
      <c r="B408" s="0" t="str">
        <f aca="false">IF('הדבקת לידים'!B408="","",IF(ISNUMBER('הדבקת לידים'!B408),IF(הגדרות!$E$3&gt;0,TEXT('הדבקת לידים'!B408,REPT("0",הגדרות!$E$3)),TEXT('הדבקת לידים'!B408,"0")),TRIM('הדבקת לידים'!B408)))</f>
        <v/>
      </c>
      <c r="C408" s="0" t="n">
        <f aca="false">IF(OR(A408&lt;&gt;"",B408&lt;&gt;""),1,0)</f>
        <v>0</v>
      </c>
      <c r="D408" s="0" t="str">
        <f aca="false">IF(C408=1,MOD(ABS(SIN(ROW()*12.9898+'הדבקת לידים'!$F$2*78.233+IFERROR(--RIGHT(A408,6),LEN(A408))*0.0137+IFERROR(--RIGHT(B408,6),LEN(B408))*0.0071))*43758.5453,1),"")</f>
        <v/>
      </c>
      <c r="E408" s="0" t="str">
        <f aca="false">IF(C408=1,INT(MOD(ABS(SIN(D408*7919.123+ROW()*0.618+'הדבקת לידים'!$F$2*1.3))*43758.5453,1)*1000000)*10000+ROW(),"")</f>
        <v/>
      </c>
      <c r="F408" s="0" t="str">
        <f aca="false">IF(E408="","",RANK(E408,$E$2:$E$5001,1))</f>
        <v/>
      </c>
      <c r="G408" s="0" t="n">
        <f aca="false">IF(A408="",0,IF(SUMPRODUCT(--($A$2:$A$5001=A408))&gt;1,1,0))</f>
        <v>0</v>
      </c>
      <c r="H408" s="0" t="n">
        <f aca="false">ROW()-1</f>
        <v>407</v>
      </c>
      <c r="I408" s="0" t="str">
        <f aca="false">IF(OR(הגדרות!$E$6=0,H408&gt;הגדרות!$E$5),"",IF(H408-1&lt;הגדרות!$E$8*(הגדרות!$E$7+1),INT((H408-1)/(הגדרות!$E$7+1)),הגדרות!$E$8+INT((H408-1-הגדרות!$E$8*(הגדרות!$E$7+1))/הגדרות!$E$7)))</f>
        <v/>
      </c>
      <c r="J408" s="0" t="str">
        <f aca="false">IF(I408="","",IF(H408-1&lt;הגדרות!$E$8*(הגדרות!$E$7+1),MOD(H408-1,הגדרות!$E$7+1),MOD(H408-1-הגדרות!$E$8*(הגדרות!$E$7+1),הגדרות!$E$7)))</f>
        <v/>
      </c>
      <c r="K408" s="0" t="str">
        <f aca="false">IF(I408="","",J408*הגדרות!$E$6+I408+1)</f>
        <v/>
      </c>
      <c r="L408" s="0" t="str">
        <f aca="false">IF(K408="","",MATCH(K408,$F$2:$F$5001,0))</f>
        <v/>
      </c>
      <c r="M408" s="0" t="str">
        <f aca="false">IF(I408="","",INDEX(הגדרות!$A$2:$A$21,MOD(I408+הגדרות!$E$9,הגדרות!$E$6)+1))</f>
        <v/>
      </c>
    </row>
    <row r="409" customFormat="false" ht="15" hidden="false" customHeight="false" outlineLevel="0" collapsed="false">
      <c r="A409" s="0" t="str">
        <f aca="false">IF('הדבקת לידים'!A409="","",IF(ISNUMBER('הדבקת לידים'!A409),IF(הגדרות!$E$2&gt;0,TEXT('הדבקת לידים'!A409,REPT("0",הגדרות!$E$2)),TEXT('הדבקת לידים'!A409,"0")),TRIM('הדבקת לידים'!A409)))</f>
        <v/>
      </c>
      <c r="B409" s="0" t="str">
        <f aca="false">IF('הדבקת לידים'!B409="","",IF(ISNUMBER('הדבקת לידים'!B409),IF(הגדרות!$E$3&gt;0,TEXT('הדבקת לידים'!B409,REPT("0",הגדרות!$E$3)),TEXT('הדבקת לידים'!B409,"0")),TRIM('הדבקת לידים'!B409)))</f>
        <v/>
      </c>
      <c r="C409" s="0" t="n">
        <f aca="false">IF(OR(A409&lt;&gt;"",B409&lt;&gt;""),1,0)</f>
        <v>0</v>
      </c>
      <c r="D409" s="0" t="str">
        <f aca="false">IF(C409=1,MOD(ABS(SIN(ROW()*12.9898+'הדבקת לידים'!$F$2*78.233+IFERROR(--RIGHT(A409,6),LEN(A409))*0.0137+IFERROR(--RIGHT(B409,6),LEN(B409))*0.0071))*43758.5453,1),"")</f>
        <v/>
      </c>
      <c r="E409" s="0" t="str">
        <f aca="false">IF(C409=1,INT(MOD(ABS(SIN(D409*7919.123+ROW()*0.618+'הדבקת לידים'!$F$2*1.3))*43758.5453,1)*1000000)*10000+ROW(),"")</f>
        <v/>
      </c>
      <c r="F409" s="0" t="str">
        <f aca="false">IF(E409="","",RANK(E409,$E$2:$E$5001,1))</f>
        <v/>
      </c>
      <c r="G409" s="0" t="n">
        <f aca="false">IF(A409="",0,IF(SUMPRODUCT(--($A$2:$A$5001=A409))&gt;1,1,0))</f>
        <v>0</v>
      </c>
      <c r="H409" s="0" t="n">
        <f aca="false">ROW()-1</f>
        <v>408</v>
      </c>
      <c r="I409" s="0" t="str">
        <f aca="false">IF(OR(הגדרות!$E$6=0,H409&gt;הגדרות!$E$5),"",IF(H409-1&lt;הגדרות!$E$8*(הגדרות!$E$7+1),INT((H409-1)/(הגדרות!$E$7+1)),הגדרות!$E$8+INT((H409-1-הגדרות!$E$8*(הגדרות!$E$7+1))/הגדרות!$E$7)))</f>
        <v/>
      </c>
      <c r="J409" s="0" t="str">
        <f aca="false">IF(I409="","",IF(H409-1&lt;הגדרות!$E$8*(הגדרות!$E$7+1),MOD(H409-1,הגדרות!$E$7+1),MOD(H409-1-הגדרות!$E$8*(הגדרות!$E$7+1),הגדרות!$E$7)))</f>
        <v/>
      </c>
      <c r="K409" s="0" t="str">
        <f aca="false">IF(I409="","",J409*הגדרות!$E$6+I409+1)</f>
        <v/>
      </c>
      <c r="L409" s="0" t="str">
        <f aca="false">IF(K409="","",MATCH(K409,$F$2:$F$5001,0))</f>
        <v/>
      </c>
      <c r="M409" s="0" t="str">
        <f aca="false">IF(I409="","",INDEX(הגדרות!$A$2:$A$21,MOD(I409+הגדרות!$E$9,הגדרות!$E$6)+1))</f>
        <v/>
      </c>
    </row>
    <row r="410" customFormat="false" ht="15" hidden="false" customHeight="false" outlineLevel="0" collapsed="false">
      <c r="A410" s="0" t="str">
        <f aca="false">IF('הדבקת לידים'!A410="","",IF(ISNUMBER('הדבקת לידים'!A410),IF(הגדרות!$E$2&gt;0,TEXT('הדבקת לידים'!A410,REPT("0",הגדרות!$E$2)),TEXT('הדבקת לידים'!A410,"0")),TRIM('הדבקת לידים'!A410)))</f>
        <v/>
      </c>
      <c r="B410" s="0" t="str">
        <f aca="false">IF('הדבקת לידים'!B410="","",IF(ISNUMBER('הדבקת לידים'!B410),IF(הגדרות!$E$3&gt;0,TEXT('הדבקת לידים'!B410,REPT("0",הגדרות!$E$3)),TEXT('הדבקת לידים'!B410,"0")),TRIM('הדבקת לידים'!B410)))</f>
        <v/>
      </c>
      <c r="C410" s="0" t="n">
        <f aca="false">IF(OR(A410&lt;&gt;"",B410&lt;&gt;""),1,0)</f>
        <v>0</v>
      </c>
      <c r="D410" s="0" t="str">
        <f aca="false">IF(C410=1,MOD(ABS(SIN(ROW()*12.9898+'הדבקת לידים'!$F$2*78.233+IFERROR(--RIGHT(A410,6),LEN(A410))*0.0137+IFERROR(--RIGHT(B410,6),LEN(B410))*0.0071))*43758.5453,1),"")</f>
        <v/>
      </c>
      <c r="E410" s="0" t="str">
        <f aca="false">IF(C410=1,INT(MOD(ABS(SIN(D410*7919.123+ROW()*0.618+'הדבקת לידים'!$F$2*1.3))*43758.5453,1)*1000000)*10000+ROW(),"")</f>
        <v/>
      </c>
      <c r="F410" s="0" t="str">
        <f aca="false">IF(E410="","",RANK(E410,$E$2:$E$5001,1))</f>
        <v/>
      </c>
      <c r="G410" s="0" t="n">
        <f aca="false">IF(A410="",0,IF(SUMPRODUCT(--($A$2:$A$5001=A410))&gt;1,1,0))</f>
        <v>0</v>
      </c>
      <c r="H410" s="0" t="n">
        <f aca="false">ROW()-1</f>
        <v>409</v>
      </c>
      <c r="I410" s="0" t="str">
        <f aca="false">IF(OR(הגדרות!$E$6=0,H410&gt;הגדרות!$E$5),"",IF(H410-1&lt;הגדרות!$E$8*(הגדרות!$E$7+1),INT((H410-1)/(הגדרות!$E$7+1)),הגדרות!$E$8+INT((H410-1-הגדרות!$E$8*(הגדרות!$E$7+1))/הגדרות!$E$7)))</f>
        <v/>
      </c>
      <c r="J410" s="0" t="str">
        <f aca="false">IF(I410="","",IF(H410-1&lt;הגדרות!$E$8*(הגדרות!$E$7+1),MOD(H410-1,הגדרות!$E$7+1),MOD(H410-1-הגדרות!$E$8*(הגדרות!$E$7+1),הגדרות!$E$7)))</f>
        <v/>
      </c>
      <c r="K410" s="0" t="str">
        <f aca="false">IF(I410="","",J410*הגדרות!$E$6+I410+1)</f>
        <v/>
      </c>
      <c r="L410" s="0" t="str">
        <f aca="false">IF(K410="","",MATCH(K410,$F$2:$F$5001,0))</f>
        <v/>
      </c>
      <c r="M410" s="0" t="str">
        <f aca="false">IF(I410="","",INDEX(הגדרות!$A$2:$A$21,MOD(I410+הגדרות!$E$9,הגדרות!$E$6)+1))</f>
        <v/>
      </c>
    </row>
    <row r="411" customFormat="false" ht="15" hidden="false" customHeight="false" outlineLevel="0" collapsed="false">
      <c r="A411" s="0" t="str">
        <f aca="false">IF('הדבקת לידים'!A411="","",IF(ISNUMBER('הדבקת לידים'!A411),IF(הגדרות!$E$2&gt;0,TEXT('הדבקת לידים'!A411,REPT("0",הגדרות!$E$2)),TEXT('הדבקת לידים'!A411,"0")),TRIM('הדבקת לידים'!A411)))</f>
        <v/>
      </c>
      <c r="B411" s="0" t="str">
        <f aca="false">IF('הדבקת לידים'!B411="","",IF(ISNUMBER('הדבקת לידים'!B411),IF(הגדרות!$E$3&gt;0,TEXT('הדבקת לידים'!B411,REPT("0",הגדרות!$E$3)),TEXT('הדבקת לידים'!B411,"0")),TRIM('הדבקת לידים'!B411)))</f>
        <v/>
      </c>
      <c r="C411" s="0" t="n">
        <f aca="false">IF(OR(A411&lt;&gt;"",B411&lt;&gt;""),1,0)</f>
        <v>0</v>
      </c>
      <c r="D411" s="0" t="str">
        <f aca="false">IF(C411=1,MOD(ABS(SIN(ROW()*12.9898+'הדבקת לידים'!$F$2*78.233+IFERROR(--RIGHT(A411,6),LEN(A411))*0.0137+IFERROR(--RIGHT(B411,6),LEN(B411))*0.0071))*43758.5453,1),"")</f>
        <v/>
      </c>
      <c r="E411" s="0" t="str">
        <f aca="false">IF(C411=1,INT(MOD(ABS(SIN(D411*7919.123+ROW()*0.618+'הדבקת לידים'!$F$2*1.3))*43758.5453,1)*1000000)*10000+ROW(),"")</f>
        <v/>
      </c>
      <c r="F411" s="0" t="str">
        <f aca="false">IF(E411="","",RANK(E411,$E$2:$E$5001,1))</f>
        <v/>
      </c>
      <c r="G411" s="0" t="n">
        <f aca="false">IF(A411="",0,IF(SUMPRODUCT(--($A$2:$A$5001=A411))&gt;1,1,0))</f>
        <v>0</v>
      </c>
      <c r="H411" s="0" t="n">
        <f aca="false">ROW()-1</f>
        <v>410</v>
      </c>
      <c r="I411" s="0" t="str">
        <f aca="false">IF(OR(הגדרות!$E$6=0,H411&gt;הגדרות!$E$5),"",IF(H411-1&lt;הגדרות!$E$8*(הגדרות!$E$7+1),INT((H411-1)/(הגדרות!$E$7+1)),הגדרות!$E$8+INT((H411-1-הגדרות!$E$8*(הגדרות!$E$7+1))/הגדרות!$E$7)))</f>
        <v/>
      </c>
      <c r="J411" s="0" t="str">
        <f aca="false">IF(I411="","",IF(H411-1&lt;הגדרות!$E$8*(הגדרות!$E$7+1),MOD(H411-1,הגדרות!$E$7+1),MOD(H411-1-הגדרות!$E$8*(הגדרות!$E$7+1),הגדרות!$E$7)))</f>
        <v/>
      </c>
      <c r="K411" s="0" t="str">
        <f aca="false">IF(I411="","",J411*הגדרות!$E$6+I411+1)</f>
        <v/>
      </c>
      <c r="L411" s="0" t="str">
        <f aca="false">IF(K411="","",MATCH(K411,$F$2:$F$5001,0))</f>
        <v/>
      </c>
      <c r="M411" s="0" t="str">
        <f aca="false">IF(I411="","",INDEX(הגדרות!$A$2:$A$21,MOD(I411+הגדרות!$E$9,הגדרות!$E$6)+1))</f>
        <v/>
      </c>
    </row>
    <row r="412" customFormat="false" ht="15" hidden="false" customHeight="false" outlineLevel="0" collapsed="false">
      <c r="A412" s="0" t="str">
        <f aca="false">IF('הדבקת לידים'!A412="","",IF(ISNUMBER('הדבקת לידים'!A412),IF(הגדרות!$E$2&gt;0,TEXT('הדבקת לידים'!A412,REPT("0",הגדרות!$E$2)),TEXT('הדבקת לידים'!A412,"0")),TRIM('הדבקת לידים'!A412)))</f>
        <v/>
      </c>
      <c r="B412" s="0" t="str">
        <f aca="false">IF('הדבקת לידים'!B412="","",IF(ISNUMBER('הדבקת לידים'!B412),IF(הגדרות!$E$3&gt;0,TEXT('הדבקת לידים'!B412,REPT("0",הגדרות!$E$3)),TEXT('הדבקת לידים'!B412,"0")),TRIM('הדבקת לידים'!B412)))</f>
        <v/>
      </c>
      <c r="C412" s="0" t="n">
        <f aca="false">IF(OR(A412&lt;&gt;"",B412&lt;&gt;""),1,0)</f>
        <v>0</v>
      </c>
      <c r="D412" s="0" t="str">
        <f aca="false">IF(C412=1,MOD(ABS(SIN(ROW()*12.9898+'הדבקת לידים'!$F$2*78.233+IFERROR(--RIGHT(A412,6),LEN(A412))*0.0137+IFERROR(--RIGHT(B412,6),LEN(B412))*0.0071))*43758.5453,1),"")</f>
        <v/>
      </c>
      <c r="E412" s="0" t="str">
        <f aca="false">IF(C412=1,INT(MOD(ABS(SIN(D412*7919.123+ROW()*0.618+'הדבקת לידים'!$F$2*1.3))*43758.5453,1)*1000000)*10000+ROW(),"")</f>
        <v/>
      </c>
      <c r="F412" s="0" t="str">
        <f aca="false">IF(E412="","",RANK(E412,$E$2:$E$5001,1))</f>
        <v/>
      </c>
      <c r="G412" s="0" t="n">
        <f aca="false">IF(A412="",0,IF(SUMPRODUCT(--($A$2:$A$5001=A412))&gt;1,1,0))</f>
        <v>0</v>
      </c>
      <c r="H412" s="0" t="n">
        <f aca="false">ROW()-1</f>
        <v>411</v>
      </c>
      <c r="I412" s="0" t="str">
        <f aca="false">IF(OR(הגדרות!$E$6=0,H412&gt;הגדרות!$E$5),"",IF(H412-1&lt;הגדרות!$E$8*(הגדרות!$E$7+1),INT((H412-1)/(הגדרות!$E$7+1)),הגדרות!$E$8+INT((H412-1-הגדרות!$E$8*(הגדרות!$E$7+1))/הגדרות!$E$7)))</f>
        <v/>
      </c>
      <c r="J412" s="0" t="str">
        <f aca="false">IF(I412="","",IF(H412-1&lt;הגדרות!$E$8*(הגדרות!$E$7+1),MOD(H412-1,הגדרות!$E$7+1),MOD(H412-1-הגדרות!$E$8*(הגדרות!$E$7+1),הגדרות!$E$7)))</f>
        <v/>
      </c>
      <c r="K412" s="0" t="str">
        <f aca="false">IF(I412="","",J412*הגדרות!$E$6+I412+1)</f>
        <v/>
      </c>
      <c r="L412" s="0" t="str">
        <f aca="false">IF(K412="","",MATCH(K412,$F$2:$F$5001,0))</f>
        <v/>
      </c>
      <c r="M412" s="0" t="str">
        <f aca="false">IF(I412="","",INDEX(הגדרות!$A$2:$A$21,MOD(I412+הגדרות!$E$9,הגדרות!$E$6)+1))</f>
        <v/>
      </c>
    </row>
    <row r="413" customFormat="false" ht="15" hidden="false" customHeight="false" outlineLevel="0" collapsed="false">
      <c r="A413" s="0" t="str">
        <f aca="false">IF('הדבקת לידים'!A413="","",IF(ISNUMBER('הדבקת לידים'!A413),IF(הגדרות!$E$2&gt;0,TEXT('הדבקת לידים'!A413,REPT("0",הגדרות!$E$2)),TEXT('הדבקת לידים'!A413,"0")),TRIM('הדבקת לידים'!A413)))</f>
        <v/>
      </c>
      <c r="B413" s="0" t="str">
        <f aca="false">IF('הדבקת לידים'!B413="","",IF(ISNUMBER('הדבקת לידים'!B413),IF(הגדרות!$E$3&gt;0,TEXT('הדבקת לידים'!B413,REPT("0",הגדרות!$E$3)),TEXT('הדבקת לידים'!B413,"0")),TRIM('הדבקת לידים'!B413)))</f>
        <v/>
      </c>
      <c r="C413" s="0" t="n">
        <f aca="false">IF(OR(A413&lt;&gt;"",B413&lt;&gt;""),1,0)</f>
        <v>0</v>
      </c>
      <c r="D413" s="0" t="str">
        <f aca="false">IF(C413=1,MOD(ABS(SIN(ROW()*12.9898+'הדבקת לידים'!$F$2*78.233+IFERROR(--RIGHT(A413,6),LEN(A413))*0.0137+IFERROR(--RIGHT(B413,6),LEN(B413))*0.0071))*43758.5453,1),"")</f>
        <v/>
      </c>
      <c r="E413" s="0" t="str">
        <f aca="false">IF(C413=1,INT(MOD(ABS(SIN(D413*7919.123+ROW()*0.618+'הדבקת לידים'!$F$2*1.3))*43758.5453,1)*1000000)*10000+ROW(),"")</f>
        <v/>
      </c>
      <c r="F413" s="0" t="str">
        <f aca="false">IF(E413="","",RANK(E413,$E$2:$E$5001,1))</f>
        <v/>
      </c>
      <c r="G413" s="0" t="n">
        <f aca="false">IF(A413="",0,IF(SUMPRODUCT(--($A$2:$A$5001=A413))&gt;1,1,0))</f>
        <v>0</v>
      </c>
      <c r="H413" s="0" t="n">
        <f aca="false">ROW()-1</f>
        <v>412</v>
      </c>
      <c r="I413" s="0" t="str">
        <f aca="false">IF(OR(הגדרות!$E$6=0,H413&gt;הגדרות!$E$5),"",IF(H413-1&lt;הגדרות!$E$8*(הגדרות!$E$7+1),INT((H413-1)/(הגדרות!$E$7+1)),הגדרות!$E$8+INT((H413-1-הגדרות!$E$8*(הגדרות!$E$7+1))/הגדרות!$E$7)))</f>
        <v/>
      </c>
      <c r="J413" s="0" t="str">
        <f aca="false">IF(I413="","",IF(H413-1&lt;הגדרות!$E$8*(הגדרות!$E$7+1),MOD(H413-1,הגדרות!$E$7+1),MOD(H413-1-הגדרות!$E$8*(הגדרות!$E$7+1),הגדרות!$E$7)))</f>
        <v/>
      </c>
      <c r="K413" s="0" t="str">
        <f aca="false">IF(I413="","",J413*הגדרות!$E$6+I413+1)</f>
        <v/>
      </c>
      <c r="L413" s="0" t="str">
        <f aca="false">IF(K413="","",MATCH(K413,$F$2:$F$5001,0))</f>
        <v/>
      </c>
      <c r="M413" s="0" t="str">
        <f aca="false">IF(I413="","",INDEX(הגדרות!$A$2:$A$21,MOD(I413+הגדרות!$E$9,הגדרות!$E$6)+1))</f>
        <v/>
      </c>
    </row>
    <row r="414" customFormat="false" ht="15" hidden="false" customHeight="false" outlineLevel="0" collapsed="false">
      <c r="A414" s="0" t="str">
        <f aca="false">IF('הדבקת לידים'!A414="","",IF(ISNUMBER('הדבקת לידים'!A414),IF(הגדרות!$E$2&gt;0,TEXT('הדבקת לידים'!A414,REPT("0",הגדרות!$E$2)),TEXT('הדבקת לידים'!A414,"0")),TRIM('הדבקת לידים'!A414)))</f>
        <v/>
      </c>
      <c r="B414" s="0" t="str">
        <f aca="false">IF('הדבקת לידים'!B414="","",IF(ISNUMBER('הדבקת לידים'!B414),IF(הגדרות!$E$3&gt;0,TEXT('הדבקת לידים'!B414,REPT("0",הגדרות!$E$3)),TEXT('הדבקת לידים'!B414,"0")),TRIM('הדבקת לידים'!B414)))</f>
        <v/>
      </c>
      <c r="C414" s="0" t="n">
        <f aca="false">IF(OR(A414&lt;&gt;"",B414&lt;&gt;""),1,0)</f>
        <v>0</v>
      </c>
      <c r="D414" s="0" t="str">
        <f aca="false">IF(C414=1,MOD(ABS(SIN(ROW()*12.9898+'הדבקת לידים'!$F$2*78.233+IFERROR(--RIGHT(A414,6),LEN(A414))*0.0137+IFERROR(--RIGHT(B414,6),LEN(B414))*0.0071))*43758.5453,1),"")</f>
        <v/>
      </c>
      <c r="E414" s="0" t="str">
        <f aca="false">IF(C414=1,INT(MOD(ABS(SIN(D414*7919.123+ROW()*0.618+'הדבקת לידים'!$F$2*1.3))*43758.5453,1)*1000000)*10000+ROW(),"")</f>
        <v/>
      </c>
      <c r="F414" s="0" t="str">
        <f aca="false">IF(E414="","",RANK(E414,$E$2:$E$5001,1))</f>
        <v/>
      </c>
      <c r="G414" s="0" t="n">
        <f aca="false">IF(A414="",0,IF(SUMPRODUCT(--($A$2:$A$5001=A414))&gt;1,1,0))</f>
        <v>0</v>
      </c>
      <c r="H414" s="0" t="n">
        <f aca="false">ROW()-1</f>
        <v>413</v>
      </c>
      <c r="I414" s="0" t="str">
        <f aca="false">IF(OR(הגדרות!$E$6=0,H414&gt;הגדרות!$E$5),"",IF(H414-1&lt;הגדרות!$E$8*(הגדרות!$E$7+1),INT((H414-1)/(הגדרות!$E$7+1)),הגדרות!$E$8+INT((H414-1-הגדרות!$E$8*(הגדרות!$E$7+1))/הגדרות!$E$7)))</f>
        <v/>
      </c>
      <c r="J414" s="0" t="str">
        <f aca="false">IF(I414="","",IF(H414-1&lt;הגדרות!$E$8*(הגדרות!$E$7+1),MOD(H414-1,הגדרות!$E$7+1),MOD(H414-1-הגדרות!$E$8*(הגדרות!$E$7+1),הגדרות!$E$7)))</f>
        <v/>
      </c>
      <c r="K414" s="0" t="str">
        <f aca="false">IF(I414="","",J414*הגדרות!$E$6+I414+1)</f>
        <v/>
      </c>
      <c r="L414" s="0" t="str">
        <f aca="false">IF(K414="","",MATCH(K414,$F$2:$F$5001,0))</f>
        <v/>
      </c>
      <c r="M414" s="0" t="str">
        <f aca="false">IF(I414="","",INDEX(הגדרות!$A$2:$A$21,MOD(I414+הגדרות!$E$9,הגדרות!$E$6)+1))</f>
        <v/>
      </c>
    </row>
    <row r="415" customFormat="false" ht="15" hidden="false" customHeight="false" outlineLevel="0" collapsed="false">
      <c r="A415" s="0" t="str">
        <f aca="false">IF('הדבקת לידים'!A415="","",IF(ISNUMBER('הדבקת לידים'!A415),IF(הגדרות!$E$2&gt;0,TEXT('הדבקת לידים'!A415,REPT("0",הגדרות!$E$2)),TEXT('הדבקת לידים'!A415,"0")),TRIM('הדבקת לידים'!A415)))</f>
        <v/>
      </c>
      <c r="B415" s="0" t="str">
        <f aca="false">IF('הדבקת לידים'!B415="","",IF(ISNUMBER('הדבקת לידים'!B415),IF(הגדרות!$E$3&gt;0,TEXT('הדבקת לידים'!B415,REPT("0",הגדרות!$E$3)),TEXT('הדבקת לידים'!B415,"0")),TRIM('הדבקת לידים'!B415)))</f>
        <v/>
      </c>
      <c r="C415" s="0" t="n">
        <f aca="false">IF(OR(A415&lt;&gt;"",B415&lt;&gt;""),1,0)</f>
        <v>0</v>
      </c>
      <c r="D415" s="0" t="str">
        <f aca="false">IF(C415=1,MOD(ABS(SIN(ROW()*12.9898+'הדבקת לידים'!$F$2*78.233+IFERROR(--RIGHT(A415,6),LEN(A415))*0.0137+IFERROR(--RIGHT(B415,6),LEN(B415))*0.0071))*43758.5453,1),"")</f>
        <v/>
      </c>
      <c r="E415" s="0" t="str">
        <f aca="false">IF(C415=1,INT(MOD(ABS(SIN(D415*7919.123+ROW()*0.618+'הדבקת לידים'!$F$2*1.3))*43758.5453,1)*1000000)*10000+ROW(),"")</f>
        <v/>
      </c>
      <c r="F415" s="0" t="str">
        <f aca="false">IF(E415="","",RANK(E415,$E$2:$E$5001,1))</f>
        <v/>
      </c>
      <c r="G415" s="0" t="n">
        <f aca="false">IF(A415="",0,IF(SUMPRODUCT(--($A$2:$A$5001=A415))&gt;1,1,0))</f>
        <v>0</v>
      </c>
      <c r="H415" s="0" t="n">
        <f aca="false">ROW()-1</f>
        <v>414</v>
      </c>
      <c r="I415" s="0" t="str">
        <f aca="false">IF(OR(הגדרות!$E$6=0,H415&gt;הגדרות!$E$5),"",IF(H415-1&lt;הגדרות!$E$8*(הגדרות!$E$7+1),INT((H415-1)/(הגדרות!$E$7+1)),הגדרות!$E$8+INT((H415-1-הגדרות!$E$8*(הגדרות!$E$7+1))/הגדרות!$E$7)))</f>
        <v/>
      </c>
      <c r="J415" s="0" t="str">
        <f aca="false">IF(I415="","",IF(H415-1&lt;הגדרות!$E$8*(הגדרות!$E$7+1),MOD(H415-1,הגדרות!$E$7+1),MOD(H415-1-הגדרות!$E$8*(הגדרות!$E$7+1),הגדרות!$E$7)))</f>
        <v/>
      </c>
      <c r="K415" s="0" t="str">
        <f aca="false">IF(I415="","",J415*הגדרות!$E$6+I415+1)</f>
        <v/>
      </c>
      <c r="L415" s="0" t="str">
        <f aca="false">IF(K415="","",MATCH(K415,$F$2:$F$5001,0))</f>
        <v/>
      </c>
      <c r="M415" s="0" t="str">
        <f aca="false">IF(I415="","",INDEX(הגדרות!$A$2:$A$21,MOD(I415+הגדרות!$E$9,הגדרות!$E$6)+1))</f>
        <v/>
      </c>
    </row>
    <row r="416" customFormat="false" ht="15" hidden="false" customHeight="false" outlineLevel="0" collapsed="false">
      <c r="A416" s="0" t="str">
        <f aca="false">IF('הדבקת לידים'!A416="","",IF(ISNUMBER('הדבקת לידים'!A416),IF(הגדרות!$E$2&gt;0,TEXT('הדבקת לידים'!A416,REPT("0",הגדרות!$E$2)),TEXT('הדבקת לידים'!A416,"0")),TRIM('הדבקת לידים'!A416)))</f>
        <v/>
      </c>
      <c r="B416" s="0" t="str">
        <f aca="false">IF('הדבקת לידים'!B416="","",IF(ISNUMBER('הדבקת לידים'!B416),IF(הגדרות!$E$3&gt;0,TEXT('הדבקת לידים'!B416,REPT("0",הגדרות!$E$3)),TEXT('הדבקת לידים'!B416,"0")),TRIM('הדבקת לידים'!B416)))</f>
        <v/>
      </c>
      <c r="C416" s="0" t="n">
        <f aca="false">IF(OR(A416&lt;&gt;"",B416&lt;&gt;""),1,0)</f>
        <v>0</v>
      </c>
      <c r="D416" s="0" t="str">
        <f aca="false">IF(C416=1,MOD(ABS(SIN(ROW()*12.9898+'הדבקת לידים'!$F$2*78.233+IFERROR(--RIGHT(A416,6),LEN(A416))*0.0137+IFERROR(--RIGHT(B416,6),LEN(B416))*0.0071))*43758.5453,1),"")</f>
        <v/>
      </c>
      <c r="E416" s="0" t="str">
        <f aca="false">IF(C416=1,INT(MOD(ABS(SIN(D416*7919.123+ROW()*0.618+'הדבקת לידים'!$F$2*1.3))*43758.5453,1)*1000000)*10000+ROW(),"")</f>
        <v/>
      </c>
      <c r="F416" s="0" t="str">
        <f aca="false">IF(E416="","",RANK(E416,$E$2:$E$5001,1))</f>
        <v/>
      </c>
      <c r="G416" s="0" t="n">
        <f aca="false">IF(A416="",0,IF(SUMPRODUCT(--($A$2:$A$5001=A416))&gt;1,1,0))</f>
        <v>0</v>
      </c>
      <c r="H416" s="0" t="n">
        <f aca="false">ROW()-1</f>
        <v>415</v>
      </c>
      <c r="I416" s="0" t="str">
        <f aca="false">IF(OR(הגדרות!$E$6=0,H416&gt;הגדרות!$E$5),"",IF(H416-1&lt;הגדרות!$E$8*(הגדרות!$E$7+1),INT((H416-1)/(הגדרות!$E$7+1)),הגדרות!$E$8+INT((H416-1-הגדרות!$E$8*(הגדרות!$E$7+1))/הגדרות!$E$7)))</f>
        <v/>
      </c>
      <c r="J416" s="0" t="str">
        <f aca="false">IF(I416="","",IF(H416-1&lt;הגדרות!$E$8*(הגדרות!$E$7+1),MOD(H416-1,הגדרות!$E$7+1),MOD(H416-1-הגדרות!$E$8*(הגדרות!$E$7+1),הגדרות!$E$7)))</f>
        <v/>
      </c>
      <c r="K416" s="0" t="str">
        <f aca="false">IF(I416="","",J416*הגדרות!$E$6+I416+1)</f>
        <v/>
      </c>
      <c r="L416" s="0" t="str">
        <f aca="false">IF(K416="","",MATCH(K416,$F$2:$F$5001,0))</f>
        <v/>
      </c>
      <c r="M416" s="0" t="str">
        <f aca="false">IF(I416="","",INDEX(הגדרות!$A$2:$A$21,MOD(I416+הגדרות!$E$9,הגדרות!$E$6)+1))</f>
        <v/>
      </c>
    </row>
    <row r="417" customFormat="false" ht="15" hidden="false" customHeight="false" outlineLevel="0" collapsed="false">
      <c r="A417" s="0" t="str">
        <f aca="false">IF('הדבקת לידים'!A417="","",IF(ISNUMBER('הדבקת לידים'!A417),IF(הגדרות!$E$2&gt;0,TEXT('הדבקת לידים'!A417,REPT("0",הגדרות!$E$2)),TEXT('הדבקת לידים'!A417,"0")),TRIM('הדבקת לידים'!A417)))</f>
        <v/>
      </c>
      <c r="B417" s="0" t="str">
        <f aca="false">IF('הדבקת לידים'!B417="","",IF(ISNUMBER('הדבקת לידים'!B417),IF(הגדרות!$E$3&gt;0,TEXT('הדבקת לידים'!B417,REPT("0",הגדרות!$E$3)),TEXT('הדבקת לידים'!B417,"0")),TRIM('הדבקת לידים'!B417)))</f>
        <v/>
      </c>
      <c r="C417" s="0" t="n">
        <f aca="false">IF(OR(A417&lt;&gt;"",B417&lt;&gt;""),1,0)</f>
        <v>0</v>
      </c>
      <c r="D417" s="0" t="str">
        <f aca="false">IF(C417=1,MOD(ABS(SIN(ROW()*12.9898+'הדבקת לידים'!$F$2*78.233+IFERROR(--RIGHT(A417,6),LEN(A417))*0.0137+IFERROR(--RIGHT(B417,6),LEN(B417))*0.0071))*43758.5453,1),"")</f>
        <v/>
      </c>
      <c r="E417" s="0" t="str">
        <f aca="false">IF(C417=1,INT(MOD(ABS(SIN(D417*7919.123+ROW()*0.618+'הדבקת לידים'!$F$2*1.3))*43758.5453,1)*1000000)*10000+ROW(),"")</f>
        <v/>
      </c>
      <c r="F417" s="0" t="str">
        <f aca="false">IF(E417="","",RANK(E417,$E$2:$E$5001,1))</f>
        <v/>
      </c>
      <c r="G417" s="0" t="n">
        <f aca="false">IF(A417="",0,IF(SUMPRODUCT(--($A$2:$A$5001=A417))&gt;1,1,0))</f>
        <v>0</v>
      </c>
      <c r="H417" s="0" t="n">
        <f aca="false">ROW()-1</f>
        <v>416</v>
      </c>
      <c r="I417" s="0" t="str">
        <f aca="false">IF(OR(הגדרות!$E$6=0,H417&gt;הגדרות!$E$5),"",IF(H417-1&lt;הגדרות!$E$8*(הגדרות!$E$7+1),INT((H417-1)/(הגדרות!$E$7+1)),הגדרות!$E$8+INT((H417-1-הגדרות!$E$8*(הגדרות!$E$7+1))/הגדרות!$E$7)))</f>
        <v/>
      </c>
      <c r="J417" s="0" t="str">
        <f aca="false">IF(I417="","",IF(H417-1&lt;הגדרות!$E$8*(הגדרות!$E$7+1),MOD(H417-1,הגדרות!$E$7+1),MOD(H417-1-הגדרות!$E$8*(הגדרות!$E$7+1),הגדרות!$E$7)))</f>
        <v/>
      </c>
      <c r="K417" s="0" t="str">
        <f aca="false">IF(I417="","",J417*הגדרות!$E$6+I417+1)</f>
        <v/>
      </c>
      <c r="L417" s="0" t="str">
        <f aca="false">IF(K417="","",MATCH(K417,$F$2:$F$5001,0))</f>
        <v/>
      </c>
      <c r="M417" s="0" t="str">
        <f aca="false">IF(I417="","",INDEX(הגדרות!$A$2:$A$21,MOD(I417+הגדרות!$E$9,הגדרות!$E$6)+1))</f>
        <v/>
      </c>
    </row>
    <row r="418" customFormat="false" ht="15" hidden="false" customHeight="false" outlineLevel="0" collapsed="false">
      <c r="A418" s="0" t="str">
        <f aca="false">IF('הדבקת לידים'!A418="","",IF(ISNUMBER('הדבקת לידים'!A418),IF(הגדרות!$E$2&gt;0,TEXT('הדבקת לידים'!A418,REPT("0",הגדרות!$E$2)),TEXT('הדבקת לידים'!A418,"0")),TRIM('הדבקת לידים'!A418)))</f>
        <v/>
      </c>
      <c r="B418" s="0" t="str">
        <f aca="false">IF('הדבקת לידים'!B418="","",IF(ISNUMBER('הדבקת לידים'!B418),IF(הגדרות!$E$3&gt;0,TEXT('הדבקת לידים'!B418,REPT("0",הגדרות!$E$3)),TEXT('הדבקת לידים'!B418,"0")),TRIM('הדבקת לידים'!B418)))</f>
        <v/>
      </c>
      <c r="C418" s="0" t="n">
        <f aca="false">IF(OR(A418&lt;&gt;"",B418&lt;&gt;""),1,0)</f>
        <v>0</v>
      </c>
      <c r="D418" s="0" t="str">
        <f aca="false">IF(C418=1,MOD(ABS(SIN(ROW()*12.9898+'הדבקת לידים'!$F$2*78.233+IFERROR(--RIGHT(A418,6),LEN(A418))*0.0137+IFERROR(--RIGHT(B418,6),LEN(B418))*0.0071))*43758.5453,1),"")</f>
        <v/>
      </c>
      <c r="E418" s="0" t="str">
        <f aca="false">IF(C418=1,INT(MOD(ABS(SIN(D418*7919.123+ROW()*0.618+'הדבקת לידים'!$F$2*1.3))*43758.5453,1)*1000000)*10000+ROW(),"")</f>
        <v/>
      </c>
      <c r="F418" s="0" t="str">
        <f aca="false">IF(E418="","",RANK(E418,$E$2:$E$5001,1))</f>
        <v/>
      </c>
      <c r="G418" s="0" t="n">
        <f aca="false">IF(A418="",0,IF(SUMPRODUCT(--($A$2:$A$5001=A418))&gt;1,1,0))</f>
        <v>0</v>
      </c>
      <c r="H418" s="0" t="n">
        <f aca="false">ROW()-1</f>
        <v>417</v>
      </c>
      <c r="I418" s="0" t="str">
        <f aca="false">IF(OR(הגדרות!$E$6=0,H418&gt;הגדרות!$E$5),"",IF(H418-1&lt;הגדרות!$E$8*(הגדרות!$E$7+1),INT((H418-1)/(הגדרות!$E$7+1)),הגדרות!$E$8+INT((H418-1-הגדרות!$E$8*(הגדרות!$E$7+1))/הגדרות!$E$7)))</f>
        <v/>
      </c>
      <c r="J418" s="0" t="str">
        <f aca="false">IF(I418="","",IF(H418-1&lt;הגדרות!$E$8*(הגדרות!$E$7+1),MOD(H418-1,הגדרות!$E$7+1),MOD(H418-1-הגדרות!$E$8*(הגדרות!$E$7+1),הגדרות!$E$7)))</f>
        <v/>
      </c>
      <c r="K418" s="0" t="str">
        <f aca="false">IF(I418="","",J418*הגדרות!$E$6+I418+1)</f>
        <v/>
      </c>
      <c r="L418" s="0" t="str">
        <f aca="false">IF(K418="","",MATCH(K418,$F$2:$F$5001,0))</f>
        <v/>
      </c>
      <c r="M418" s="0" t="str">
        <f aca="false">IF(I418="","",INDEX(הגדרות!$A$2:$A$21,MOD(I418+הגדרות!$E$9,הגדרות!$E$6)+1))</f>
        <v/>
      </c>
    </row>
    <row r="419" customFormat="false" ht="15" hidden="false" customHeight="false" outlineLevel="0" collapsed="false">
      <c r="A419" s="0" t="str">
        <f aca="false">IF('הדבקת לידים'!A419="","",IF(ISNUMBER('הדבקת לידים'!A419),IF(הגדרות!$E$2&gt;0,TEXT('הדבקת לידים'!A419,REPT("0",הגדרות!$E$2)),TEXT('הדבקת לידים'!A419,"0")),TRIM('הדבקת לידים'!A419)))</f>
        <v/>
      </c>
      <c r="B419" s="0" t="str">
        <f aca="false">IF('הדבקת לידים'!B419="","",IF(ISNUMBER('הדבקת לידים'!B419),IF(הגדרות!$E$3&gt;0,TEXT('הדבקת לידים'!B419,REPT("0",הגדרות!$E$3)),TEXT('הדבקת לידים'!B419,"0")),TRIM('הדבקת לידים'!B419)))</f>
        <v/>
      </c>
      <c r="C419" s="0" t="n">
        <f aca="false">IF(OR(A419&lt;&gt;"",B419&lt;&gt;""),1,0)</f>
        <v>0</v>
      </c>
      <c r="D419" s="0" t="str">
        <f aca="false">IF(C419=1,MOD(ABS(SIN(ROW()*12.9898+'הדבקת לידים'!$F$2*78.233+IFERROR(--RIGHT(A419,6),LEN(A419))*0.0137+IFERROR(--RIGHT(B419,6),LEN(B419))*0.0071))*43758.5453,1),"")</f>
        <v/>
      </c>
      <c r="E419" s="0" t="str">
        <f aca="false">IF(C419=1,INT(MOD(ABS(SIN(D419*7919.123+ROW()*0.618+'הדבקת לידים'!$F$2*1.3))*43758.5453,1)*1000000)*10000+ROW(),"")</f>
        <v/>
      </c>
      <c r="F419" s="0" t="str">
        <f aca="false">IF(E419="","",RANK(E419,$E$2:$E$5001,1))</f>
        <v/>
      </c>
      <c r="G419" s="0" t="n">
        <f aca="false">IF(A419="",0,IF(SUMPRODUCT(--($A$2:$A$5001=A419))&gt;1,1,0))</f>
        <v>0</v>
      </c>
      <c r="H419" s="0" t="n">
        <f aca="false">ROW()-1</f>
        <v>418</v>
      </c>
      <c r="I419" s="0" t="str">
        <f aca="false">IF(OR(הגדרות!$E$6=0,H419&gt;הגדרות!$E$5),"",IF(H419-1&lt;הגדרות!$E$8*(הגדרות!$E$7+1),INT((H419-1)/(הגדרות!$E$7+1)),הגדרות!$E$8+INT((H419-1-הגדרות!$E$8*(הגדרות!$E$7+1))/הגדרות!$E$7)))</f>
        <v/>
      </c>
      <c r="J419" s="0" t="str">
        <f aca="false">IF(I419="","",IF(H419-1&lt;הגדרות!$E$8*(הגדרות!$E$7+1),MOD(H419-1,הגדרות!$E$7+1),MOD(H419-1-הגדרות!$E$8*(הגדרות!$E$7+1),הגדרות!$E$7)))</f>
        <v/>
      </c>
      <c r="K419" s="0" t="str">
        <f aca="false">IF(I419="","",J419*הגדרות!$E$6+I419+1)</f>
        <v/>
      </c>
      <c r="L419" s="0" t="str">
        <f aca="false">IF(K419="","",MATCH(K419,$F$2:$F$5001,0))</f>
        <v/>
      </c>
      <c r="M419" s="0" t="str">
        <f aca="false">IF(I419="","",INDEX(הגדרות!$A$2:$A$21,MOD(I419+הגדרות!$E$9,הגדרות!$E$6)+1))</f>
        <v/>
      </c>
    </row>
    <row r="420" customFormat="false" ht="15" hidden="false" customHeight="false" outlineLevel="0" collapsed="false">
      <c r="A420" s="0" t="str">
        <f aca="false">IF('הדבקת לידים'!A420="","",IF(ISNUMBER('הדבקת לידים'!A420),IF(הגדרות!$E$2&gt;0,TEXT('הדבקת לידים'!A420,REPT("0",הגדרות!$E$2)),TEXT('הדבקת לידים'!A420,"0")),TRIM('הדבקת לידים'!A420)))</f>
        <v/>
      </c>
      <c r="B420" s="0" t="str">
        <f aca="false">IF('הדבקת לידים'!B420="","",IF(ISNUMBER('הדבקת לידים'!B420),IF(הגדרות!$E$3&gt;0,TEXT('הדבקת לידים'!B420,REPT("0",הגדרות!$E$3)),TEXT('הדבקת לידים'!B420,"0")),TRIM('הדבקת לידים'!B420)))</f>
        <v/>
      </c>
      <c r="C420" s="0" t="n">
        <f aca="false">IF(OR(A420&lt;&gt;"",B420&lt;&gt;""),1,0)</f>
        <v>0</v>
      </c>
      <c r="D420" s="0" t="str">
        <f aca="false">IF(C420=1,MOD(ABS(SIN(ROW()*12.9898+'הדבקת לידים'!$F$2*78.233+IFERROR(--RIGHT(A420,6),LEN(A420))*0.0137+IFERROR(--RIGHT(B420,6),LEN(B420))*0.0071))*43758.5453,1),"")</f>
        <v/>
      </c>
      <c r="E420" s="0" t="str">
        <f aca="false">IF(C420=1,INT(MOD(ABS(SIN(D420*7919.123+ROW()*0.618+'הדבקת לידים'!$F$2*1.3))*43758.5453,1)*1000000)*10000+ROW(),"")</f>
        <v/>
      </c>
      <c r="F420" s="0" t="str">
        <f aca="false">IF(E420="","",RANK(E420,$E$2:$E$5001,1))</f>
        <v/>
      </c>
      <c r="G420" s="0" t="n">
        <f aca="false">IF(A420="",0,IF(SUMPRODUCT(--($A$2:$A$5001=A420))&gt;1,1,0))</f>
        <v>0</v>
      </c>
      <c r="H420" s="0" t="n">
        <f aca="false">ROW()-1</f>
        <v>419</v>
      </c>
      <c r="I420" s="0" t="str">
        <f aca="false">IF(OR(הגדרות!$E$6=0,H420&gt;הגדרות!$E$5),"",IF(H420-1&lt;הגדרות!$E$8*(הגדרות!$E$7+1),INT((H420-1)/(הגדרות!$E$7+1)),הגדרות!$E$8+INT((H420-1-הגדרות!$E$8*(הגדרות!$E$7+1))/הגדרות!$E$7)))</f>
        <v/>
      </c>
      <c r="J420" s="0" t="str">
        <f aca="false">IF(I420="","",IF(H420-1&lt;הגדרות!$E$8*(הגדרות!$E$7+1),MOD(H420-1,הגדרות!$E$7+1),MOD(H420-1-הגדרות!$E$8*(הגדרות!$E$7+1),הגדרות!$E$7)))</f>
        <v/>
      </c>
      <c r="K420" s="0" t="str">
        <f aca="false">IF(I420="","",J420*הגדרות!$E$6+I420+1)</f>
        <v/>
      </c>
      <c r="L420" s="0" t="str">
        <f aca="false">IF(K420="","",MATCH(K420,$F$2:$F$5001,0))</f>
        <v/>
      </c>
      <c r="M420" s="0" t="str">
        <f aca="false">IF(I420="","",INDEX(הגדרות!$A$2:$A$21,MOD(I420+הגדרות!$E$9,הגדרות!$E$6)+1))</f>
        <v/>
      </c>
    </row>
    <row r="421" customFormat="false" ht="15" hidden="false" customHeight="false" outlineLevel="0" collapsed="false">
      <c r="A421" s="0" t="str">
        <f aca="false">IF('הדבקת לידים'!A421="","",IF(ISNUMBER('הדבקת לידים'!A421),IF(הגדרות!$E$2&gt;0,TEXT('הדבקת לידים'!A421,REPT("0",הגדרות!$E$2)),TEXT('הדבקת לידים'!A421,"0")),TRIM('הדבקת לידים'!A421)))</f>
        <v/>
      </c>
      <c r="B421" s="0" t="str">
        <f aca="false">IF('הדבקת לידים'!B421="","",IF(ISNUMBER('הדבקת לידים'!B421),IF(הגדרות!$E$3&gt;0,TEXT('הדבקת לידים'!B421,REPT("0",הגדרות!$E$3)),TEXT('הדבקת לידים'!B421,"0")),TRIM('הדבקת לידים'!B421)))</f>
        <v/>
      </c>
      <c r="C421" s="0" t="n">
        <f aca="false">IF(OR(A421&lt;&gt;"",B421&lt;&gt;""),1,0)</f>
        <v>0</v>
      </c>
      <c r="D421" s="0" t="str">
        <f aca="false">IF(C421=1,MOD(ABS(SIN(ROW()*12.9898+'הדבקת לידים'!$F$2*78.233+IFERROR(--RIGHT(A421,6),LEN(A421))*0.0137+IFERROR(--RIGHT(B421,6),LEN(B421))*0.0071))*43758.5453,1),"")</f>
        <v/>
      </c>
      <c r="E421" s="0" t="str">
        <f aca="false">IF(C421=1,INT(MOD(ABS(SIN(D421*7919.123+ROW()*0.618+'הדבקת לידים'!$F$2*1.3))*43758.5453,1)*1000000)*10000+ROW(),"")</f>
        <v/>
      </c>
      <c r="F421" s="0" t="str">
        <f aca="false">IF(E421="","",RANK(E421,$E$2:$E$5001,1))</f>
        <v/>
      </c>
      <c r="G421" s="0" t="n">
        <f aca="false">IF(A421="",0,IF(SUMPRODUCT(--($A$2:$A$5001=A421))&gt;1,1,0))</f>
        <v>0</v>
      </c>
      <c r="H421" s="0" t="n">
        <f aca="false">ROW()-1</f>
        <v>420</v>
      </c>
      <c r="I421" s="0" t="str">
        <f aca="false">IF(OR(הגדרות!$E$6=0,H421&gt;הגדרות!$E$5),"",IF(H421-1&lt;הגדרות!$E$8*(הגדרות!$E$7+1),INT((H421-1)/(הגדרות!$E$7+1)),הגדרות!$E$8+INT((H421-1-הגדרות!$E$8*(הגדרות!$E$7+1))/הגדרות!$E$7)))</f>
        <v/>
      </c>
      <c r="J421" s="0" t="str">
        <f aca="false">IF(I421="","",IF(H421-1&lt;הגדרות!$E$8*(הגדרות!$E$7+1),MOD(H421-1,הגדרות!$E$7+1),MOD(H421-1-הגדרות!$E$8*(הגדרות!$E$7+1),הגדרות!$E$7)))</f>
        <v/>
      </c>
      <c r="K421" s="0" t="str">
        <f aca="false">IF(I421="","",J421*הגדרות!$E$6+I421+1)</f>
        <v/>
      </c>
      <c r="L421" s="0" t="str">
        <f aca="false">IF(K421="","",MATCH(K421,$F$2:$F$5001,0))</f>
        <v/>
      </c>
      <c r="M421" s="0" t="str">
        <f aca="false">IF(I421="","",INDEX(הגדרות!$A$2:$A$21,MOD(I421+הגדרות!$E$9,הגדרות!$E$6)+1))</f>
        <v/>
      </c>
    </row>
    <row r="422" customFormat="false" ht="15" hidden="false" customHeight="false" outlineLevel="0" collapsed="false">
      <c r="A422" s="0" t="str">
        <f aca="false">IF('הדבקת לידים'!A422="","",IF(ISNUMBER('הדבקת לידים'!A422),IF(הגדרות!$E$2&gt;0,TEXT('הדבקת לידים'!A422,REPT("0",הגדרות!$E$2)),TEXT('הדבקת לידים'!A422,"0")),TRIM('הדבקת לידים'!A422)))</f>
        <v/>
      </c>
      <c r="B422" s="0" t="str">
        <f aca="false">IF('הדבקת לידים'!B422="","",IF(ISNUMBER('הדבקת לידים'!B422),IF(הגדרות!$E$3&gt;0,TEXT('הדבקת לידים'!B422,REPT("0",הגדרות!$E$3)),TEXT('הדבקת לידים'!B422,"0")),TRIM('הדבקת לידים'!B422)))</f>
        <v/>
      </c>
      <c r="C422" s="0" t="n">
        <f aca="false">IF(OR(A422&lt;&gt;"",B422&lt;&gt;""),1,0)</f>
        <v>0</v>
      </c>
      <c r="D422" s="0" t="str">
        <f aca="false">IF(C422=1,MOD(ABS(SIN(ROW()*12.9898+'הדבקת לידים'!$F$2*78.233+IFERROR(--RIGHT(A422,6),LEN(A422))*0.0137+IFERROR(--RIGHT(B422,6),LEN(B422))*0.0071))*43758.5453,1),"")</f>
        <v/>
      </c>
      <c r="E422" s="0" t="str">
        <f aca="false">IF(C422=1,INT(MOD(ABS(SIN(D422*7919.123+ROW()*0.618+'הדבקת לידים'!$F$2*1.3))*43758.5453,1)*1000000)*10000+ROW(),"")</f>
        <v/>
      </c>
      <c r="F422" s="0" t="str">
        <f aca="false">IF(E422="","",RANK(E422,$E$2:$E$5001,1))</f>
        <v/>
      </c>
      <c r="G422" s="0" t="n">
        <f aca="false">IF(A422="",0,IF(SUMPRODUCT(--($A$2:$A$5001=A422))&gt;1,1,0))</f>
        <v>0</v>
      </c>
      <c r="H422" s="0" t="n">
        <f aca="false">ROW()-1</f>
        <v>421</v>
      </c>
      <c r="I422" s="0" t="str">
        <f aca="false">IF(OR(הגדרות!$E$6=0,H422&gt;הגדרות!$E$5),"",IF(H422-1&lt;הגדרות!$E$8*(הגדרות!$E$7+1),INT((H422-1)/(הגדרות!$E$7+1)),הגדרות!$E$8+INT((H422-1-הגדרות!$E$8*(הגדרות!$E$7+1))/הגדרות!$E$7)))</f>
        <v/>
      </c>
      <c r="J422" s="0" t="str">
        <f aca="false">IF(I422="","",IF(H422-1&lt;הגדרות!$E$8*(הגדרות!$E$7+1),MOD(H422-1,הגדרות!$E$7+1),MOD(H422-1-הגדרות!$E$8*(הגדרות!$E$7+1),הגדרות!$E$7)))</f>
        <v/>
      </c>
      <c r="K422" s="0" t="str">
        <f aca="false">IF(I422="","",J422*הגדרות!$E$6+I422+1)</f>
        <v/>
      </c>
      <c r="L422" s="0" t="str">
        <f aca="false">IF(K422="","",MATCH(K422,$F$2:$F$5001,0))</f>
        <v/>
      </c>
      <c r="M422" s="0" t="str">
        <f aca="false">IF(I422="","",INDEX(הגדרות!$A$2:$A$21,MOD(I422+הגדרות!$E$9,הגדרות!$E$6)+1))</f>
        <v/>
      </c>
    </row>
    <row r="423" customFormat="false" ht="15" hidden="false" customHeight="false" outlineLevel="0" collapsed="false">
      <c r="A423" s="0" t="str">
        <f aca="false">IF('הדבקת לידים'!A423="","",IF(ISNUMBER('הדבקת לידים'!A423),IF(הגדרות!$E$2&gt;0,TEXT('הדבקת לידים'!A423,REPT("0",הגדרות!$E$2)),TEXT('הדבקת לידים'!A423,"0")),TRIM('הדבקת לידים'!A423)))</f>
        <v/>
      </c>
      <c r="B423" s="0" t="str">
        <f aca="false">IF('הדבקת לידים'!B423="","",IF(ISNUMBER('הדבקת לידים'!B423),IF(הגדרות!$E$3&gt;0,TEXT('הדבקת לידים'!B423,REPT("0",הגדרות!$E$3)),TEXT('הדבקת לידים'!B423,"0")),TRIM('הדבקת לידים'!B423)))</f>
        <v/>
      </c>
      <c r="C423" s="0" t="n">
        <f aca="false">IF(OR(A423&lt;&gt;"",B423&lt;&gt;""),1,0)</f>
        <v>0</v>
      </c>
      <c r="D423" s="0" t="str">
        <f aca="false">IF(C423=1,MOD(ABS(SIN(ROW()*12.9898+'הדבקת לידים'!$F$2*78.233+IFERROR(--RIGHT(A423,6),LEN(A423))*0.0137+IFERROR(--RIGHT(B423,6),LEN(B423))*0.0071))*43758.5453,1),"")</f>
        <v/>
      </c>
      <c r="E423" s="0" t="str">
        <f aca="false">IF(C423=1,INT(MOD(ABS(SIN(D423*7919.123+ROW()*0.618+'הדבקת לידים'!$F$2*1.3))*43758.5453,1)*1000000)*10000+ROW(),"")</f>
        <v/>
      </c>
      <c r="F423" s="0" t="str">
        <f aca="false">IF(E423="","",RANK(E423,$E$2:$E$5001,1))</f>
        <v/>
      </c>
      <c r="G423" s="0" t="n">
        <f aca="false">IF(A423="",0,IF(SUMPRODUCT(--($A$2:$A$5001=A423))&gt;1,1,0))</f>
        <v>0</v>
      </c>
      <c r="H423" s="0" t="n">
        <f aca="false">ROW()-1</f>
        <v>422</v>
      </c>
      <c r="I423" s="0" t="str">
        <f aca="false">IF(OR(הגדרות!$E$6=0,H423&gt;הגדרות!$E$5),"",IF(H423-1&lt;הגדרות!$E$8*(הגדרות!$E$7+1),INT((H423-1)/(הגדרות!$E$7+1)),הגדרות!$E$8+INT((H423-1-הגדרות!$E$8*(הגדרות!$E$7+1))/הגדרות!$E$7)))</f>
        <v/>
      </c>
      <c r="J423" s="0" t="str">
        <f aca="false">IF(I423="","",IF(H423-1&lt;הגדרות!$E$8*(הגדרות!$E$7+1),MOD(H423-1,הגדרות!$E$7+1),MOD(H423-1-הגדרות!$E$8*(הגדרות!$E$7+1),הגדרות!$E$7)))</f>
        <v/>
      </c>
      <c r="K423" s="0" t="str">
        <f aca="false">IF(I423="","",J423*הגדרות!$E$6+I423+1)</f>
        <v/>
      </c>
      <c r="L423" s="0" t="str">
        <f aca="false">IF(K423="","",MATCH(K423,$F$2:$F$5001,0))</f>
        <v/>
      </c>
      <c r="M423" s="0" t="str">
        <f aca="false">IF(I423="","",INDEX(הגדרות!$A$2:$A$21,MOD(I423+הגדרות!$E$9,הגדרות!$E$6)+1))</f>
        <v/>
      </c>
    </row>
    <row r="424" customFormat="false" ht="15" hidden="false" customHeight="false" outlineLevel="0" collapsed="false">
      <c r="A424" s="0" t="str">
        <f aca="false">IF('הדבקת לידים'!A424="","",IF(ISNUMBER('הדבקת לידים'!A424),IF(הגדרות!$E$2&gt;0,TEXT('הדבקת לידים'!A424,REPT("0",הגדרות!$E$2)),TEXT('הדבקת לידים'!A424,"0")),TRIM('הדבקת לידים'!A424)))</f>
        <v/>
      </c>
      <c r="B424" s="0" t="str">
        <f aca="false">IF('הדבקת לידים'!B424="","",IF(ISNUMBER('הדבקת לידים'!B424),IF(הגדרות!$E$3&gt;0,TEXT('הדבקת לידים'!B424,REPT("0",הגדרות!$E$3)),TEXT('הדבקת לידים'!B424,"0")),TRIM('הדבקת לידים'!B424)))</f>
        <v/>
      </c>
      <c r="C424" s="0" t="n">
        <f aca="false">IF(OR(A424&lt;&gt;"",B424&lt;&gt;""),1,0)</f>
        <v>0</v>
      </c>
      <c r="D424" s="0" t="str">
        <f aca="false">IF(C424=1,MOD(ABS(SIN(ROW()*12.9898+'הדבקת לידים'!$F$2*78.233+IFERROR(--RIGHT(A424,6),LEN(A424))*0.0137+IFERROR(--RIGHT(B424,6),LEN(B424))*0.0071))*43758.5453,1),"")</f>
        <v/>
      </c>
      <c r="E424" s="0" t="str">
        <f aca="false">IF(C424=1,INT(MOD(ABS(SIN(D424*7919.123+ROW()*0.618+'הדבקת לידים'!$F$2*1.3))*43758.5453,1)*1000000)*10000+ROW(),"")</f>
        <v/>
      </c>
      <c r="F424" s="0" t="str">
        <f aca="false">IF(E424="","",RANK(E424,$E$2:$E$5001,1))</f>
        <v/>
      </c>
      <c r="G424" s="0" t="n">
        <f aca="false">IF(A424="",0,IF(SUMPRODUCT(--($A$2:$A$5001=A424))&gt;1,1,0))</f>
        <v>0</v>
      </c>
      <c r="H424" s="0" t="n">
        <f aca="false">ROW()-1</f>
        <v>423</v>
      </c>
      <c r="I424" s="0" t="str">
        <f aca="false">IF(OR(הגדרות!$E$6=0,H424&gt;הגדרות!$E$5),"",IF(H424-1&lt;הגדרות!$E$8*(הגדרות!$E$7+1),INT((H424-1)/(הגדרות!$E$7+1)),הגדרות!$E$8+INT((H424-1-הגדרות!$E$8*(הגדרות!$E$7+1))/הגדרות!$E$7)))</f>
        <v/>
      </c>
      <c r="J424" s="0" t="str">
        <f aca="false">IF(I424="","",IF(H424-1&lt;הגדרות!$E$8*(הגדרות!$E$7+1),MOD(H424-1,הגדרות!$E$7+1),MOD(H424-1-הגדרות!$E$8*(הגדרות!$E$7+1),הגדרות!$E$7)))</f>
        <v/>
      </c>
      <c r="K424" s="0" t="str">
        <f aca="false">IF(I424="","",J424*הגדרות!$E$6+I424+1)</f>
        <v/>
      </c>
      <c r="L424" s="0" t="str">
        <f aca="false">IF(K424="","",MATCH(K424,$F$2:$F$5001,0))</f>
        <v/>
      </c>
      <c r="M424" s="0" t="str">
        <f aca="false">IF(I424="","",INDEX(הגדרות!$A$2:$A$21,MOD(I424+הגדרות!$E$9,הגדרות!$E$6)+1))</f>
        <v/>
      </c>
    </row>
    <row r="425" customFormat="false" ht="15" hidden="false" customHeight="false" outlineLevel="0" collapsed="false">
      <c r="A425" s="0" t="str">
        <f aca="false">IF('הדבקת לידים'!A425="","",IF(ISNUMBER('הדבקת לידים'!A425),IF(הגדרות!$E$2&gt;0,TEXT('הדבקת לידים'!A425,REPT("0",הגדרות!$E$2)),TEXT('הדבקת לידים'!A425,"0")),TRIM('הדבקת לידים'!A425)))</f>
        <v/>
      </c>
      <c r="B425" s="0" t="str">
        <f aca="false">IF('הדבקת לידים'!B425="","",IF(ISNUMBER('הדבקת לידים'!B425),IF(הגדרות!$E$3&gt;0,TEXT('הדבקת לידים'!B425,REPT("0",הגדרות!$E$3)),TEXT('הדבקת לידים'!B425,"0")),TRIM('הדבקת לידים'!B425)))</f>
        <v/>
      </c>
      <c r="C425" s="0" t="n">
        <f aca="false">IF(OR(A425&lt;&gt;"",B425&lt;&gt;""),1,0)</f>
        <v>0</v>
      </c>
      <c r="D425" s="0" t="str">
        <f aca="false">IF(C425=1,MOD(ABS(SIN(ROW()*12.9898+'הדבקת לידים'!$F$2*78.233+IFERROR(--RIGHT(A425,6),LEN(A425))*0.0137+IFERROR(--RIGHT(B425,6),LEN(B425))*0.0071))*43758.5453,1),"")</f>
        <v/>
      </c>
      <c r="E425" s="0" t="str">
        <f aca="false">IF(C425=1,INT(MOD(ABS(SIN(D425*7919.123+ROW()*0.618+'הדבקת לידים'!$F$2*1.3))*43758.5453,1)*1000000)*10000+ROW(),"")</f>
        <v/>
      </c>
      <c r="F425" s="0" t="str">
        <f aca="false">IF(E425="","",RANK(E425,$E$2:$E$5001,1))</f>
        <v/>
      </c>
      <c r="G425" s="0" t="n">
        <f aca="false">IF(A425="",0,IF(SUMPRODUCT(--($A$2:$A$5001=A425))&gt;1,1,0))</f>
        <v>0</v>
      </c>
      <c r="H425" s="0" t="n">
        <f aca="false">ROW()-1</f>
        <v>424</v>
      </c>
      <c r="I425" s="0" t="str">
        <f aca="false">IF(OR(הגדרות!$E$6=0,H425&gt;הגדרות!$E$5),"",IF(H425-1&lt;הגדרות!$E$8*(הגדרות!$E$7+1),INT((H425-1)/(הגדרות!$E$7+1)),הגדרות!$E$8+INT((H425-1-הגדרות!$E$8*(הגדרות!$E$7+1))/הגדרות!$E$7)))</f>
        <v/>
      </c>
      <c r="J425" s="0" t="str">
        <f aca="false">IF(I425="","",IF(H425-1&lt;הגדרות!$E$8*(הגדרות!$E$7+1),MOD(H425-1,הגדרות!$E$7+1),MOD(H425-1-הגדרות!$E$8*(הגדרות!$E$7+1),הגדרות!$E$7)))</f>
        <v/>
      </c>
      <c r="K425" s="0" t="str">
        <f aca="false">IF(I425="","",J425*הגדרות!$E$6+I425+1)</f>
        <v/>
      </c>
      <c r="L425" s="0" t="str">
        <f aca="false">IF(K425="","",MATCH(K425,$F$2:$F$5001,0))</f>
        <v/>
      </c>
      <c r="M425" s="0" t="str">
        <f aca="false">IF(I425="","",INDEX(הגדרות!$A$2:$A$21,MOD(I425+הגדרות!$E$9,הגדרות!$E$6)+1))</f>
        <v/>
      </c>
    </row>
    <row r="426" customFormat="false" ht="15" hidden="false" customHeight="false" outlineLevel="0" collapsed="false">
      <c r="A426" s="0" t="str">
        <f aca="false">IF('הדבקת לידים'!A426="","",IF(ISNUMBER('הדבקת לידים'!A426),IF(הגדרות!$E$2&gt;0,TEXT('הדבקת לידים'!A426,REPT("0",הגדרות!$E$2)),TEXT('הדבקת לידים'!A426,"0")),TRIM('הדבקת לידים'!A426)))</f>
        <v/>
      </c>
      <c r="B426" s="0" t="str">
        <f aca="false">IF('הדבקת לידים'!B426="","",IF(ISNUMBER('הדבקת לידים'!B426),IF(הגדרות!$E$3&gt;0,TEXT('הדבקת לידים'!B426,REPT("0",הגדרות!$E$3)),TEXT('הדבקת לידים'!B426,"0")),TRIM('הדבקת לידים'!B426)))</f>
        <v/>
      </c>
      <c r="C426" s="0" t="n">
        <f aca="false">IF(OR(A426&lt;&gt;"",B426&lt;&gt;""),1,0)</f>
        <v>0</v>
      </c>
      <c r="D426" s="0" t="str">
        <f aca="false">IF(C426=1,MOD(ABS(SIN(ROW()*12.9898+'הדבקת לידים'!$F$2*78.233+IFERROR(--RIGHT(A426,6),LEN(A426))*0.0137+IFERROR(--RIGHT(B426,6),LEN(B426))*0.0071))*43758.5453,1),"")</f>
        <v/>
      </c>
      <c r="E426" s="0" t="str">
        <f aca="false">IF(C426=1,INT(MOD(ABS(SIN(D426*7919.123+ROW()*0.618+'הדבקת לידים'!$F$2*1.3))*43758.5453,1)*1000000)*10000+ROW(),"")</f>
        <v/>
      </c>
      <c r="F426" s="0" t="str">
        <f aca="false">IF(E426="","",RANK(E426,$E$2:$E$5001,1))</f>
        <v/>
      </c>
      <c r="G426" s="0" t="n">
        <f aca="false">IF(A426="",0,IF(SUMPRODUCT(--($A$2:$A$5001=A426))&gt;1,1,0))</f>
        <v>0</v>
      </c>
      <c r="H426" s="0" t="n">
        <f aca="false">ROW()-1</f>
        <v>425</v>
      </c>
      <c r="I426" s="0" t="str">
        <f aca="false">IF(OR(הגדרות!$E$6=0,H426&gt;הגדרות!$E$5),"",IF(H426-1&lt;הגדרות!$E$8*(הגדרות!$E$7+1),INT((H426-1)/(הגדרות!$E$7+1)),הגדרות!$E$8+INT((H426-1-הגדרות!$E$8*(הגדרות!$E$7+1))/הגדרות!$E$7)))</f>
        <v/>
      </c>
      <c r="J426" s="0" t="str">
        <f aca="false">IF(I426="","",IF(H426-1&lt;הגדרות!$E$8*(הגדרות!$E$7+1),MOD(H426-1,הגדרות!$E$7+1),MOD(H426-1-הגדרות!$E$8*(הגדרות!$E$7+1),הגדרות!$E$7)))</f>
        <v/>
      </c>
      <c r="K426" s="0" t="str">
        <f aca="false">IF(I426="","",J426*הגדרות!$E$6+I426+1)</f>
        <v/>
      </c>
      <c r="L426" s="0" t="str">
        <f aca="false">IF(K426="","",MATCH(K426,$F$2:$F$5001,0))</f>
        <v/>
      </c>
      <c r="M426" s="0" t="str">
        <f aca="false">IF(I426="","",INDEX(הגדרות!$A$2:$A$21,MOD(I426+הגדרות!$E$9,הגדרות!$E$6)+1))</f>
        <v/>
      </c>
    </row>
    <row r="427" customFormat="false" ht="15" hidden="false" customHeight="false" outlineLevel="0" collapsed="false">
      <c r="A427" s="0" t="str">
        <f aca="false">IF('הדבקת לידים'!A427="","",IF(ISNUMBER('הדבקת לידים'!A427),IF(הגדרות!$E$2&gt;0,TEXT('הדבקת לידים'!A427,REPT("0",הגדרות!$E$2)),TEXT('הדבקת לידים'!A427,"0")),TRIM('הדבקת לידים'!A427)))</f>
        <v/>
      </c>
      <c r="B427" s="0" t="str">
        <f aca="false">IF('הדבקת לידים'!B427="","",IF(ISNUMBER('הדבקת לידים'!B427),IF(הגדרות!$E$3&gt;0,TEXT('הדבקת לידים'!B427,REPT("0",הגדרות!$E$3)),TEXT('הדבקת לידים'!B427,"0")),TRIM('הדבקת לידים'!B427)))</f>
        <v/>
      </c>
      <c r="C427" s="0" t="n">
        <f aca="false">IF(OR(A427&lt;&gt;"",B427&lt;&gt;""),1,0)</f>
        <v>0</v>
      </c>
      <c r="D427" s="0" t="str">
        <f aca="false">IF(C427=1,MOD(ABS(SIN(ROW()*12.9898+'הדבקת לידים'!$F$2*78.233+IFERROR(--RIGHT(A427,6),LEN(A427))*0.0137+IFERROR(--RIGHT(B427,6),LEN(B427))*0.0071))*43758.5453,1),"")</f>
        <v/>
      </c>
      <c r="E427" s="0" t="str">
        <f aca="false">IF(C427=1,INT(MOD(ABS(SIN(D427*7919.123+ROW()*0.618+'הדבקת לידים'!$F$2*1.3))*43758.5453,1)*1000000)*10000+ROW(),"")</f>
        <v/>
      </c>
      <c r="F427" s="0" t="str">
        <f aca="false">IF(E427="","",RANK(E427,$E$2:$E$5001,1))</f>
        <v/>
      </c>
      <c r="G427" s="0" t="n">
        <f aca="false">IF(A427="",0,IF(SUMPRODUCT(--($A$2:$A$5001=A427))&gt;1,1,0))</f>
        <v>0</v>
      </c>
      <c r="H427" s="0" t="n">
        <f aca="false">ROW()-1</f>
        <v>426</v>
      </c>
      <c r="I427" s="0" t="str">
        <f aca="false">IF(OR(הגדרות!$E$6=0,H427&gt;הגדרות!$E$5),"",IF(H427-1&lt;הגדרות!$E$8*(הגדרות!$E$7+1),INT((H427-1)/(הגדרות!$E$7+1)),הגדרות!$E$8+INT((H427-1-הגדרות!$E$8*(הגדרות!$E$7+1))/הגדרות!$E$7)))</f>
        <v/>
      </c>
      <c r="J427" s="0" t="str">
        <f aca="false">IF(I427="","",IF(H427-1&lt;הגדרות!$E$8*(הגדרות!$E$7+1),MOD(H427-1,הגדרות!$E$7+1),MOD(H427-1-הגדרות!$E$8*(הגדרות!$E$7+1),הגדרות!$E$7)))</f>
        <v/>
      </c>
      <c r="K427" s="0" t="str">
        <f aca="false">IF(I427="","",J427*הגדרות!$E$6+I427+1)</f>
        <v/>
      </c>
      <c r="L427" s="0" t="str">
        <f aca="false">IF(K427="","",MATCH(K427,$F$2:$F$5001,0))</f>
        <v/>
      </c>
      <c r="M427" s="0" t="str">
        <f aca="false">IF(I427="","",INDEX(הגדרות!$A$2:$A$21,MOD(I427+הגדרות!$E$9,הגדרות!$E$6)+1))</f>
        <v/>
      </c>
    </row>
    <row r="428" customFormat="false" ht="15" hidden="false" customHeight="false" outlineLevel="0" collapsed="false">
      <c r="A428" s="0" t="str">
        <f aca="false">IF('הדבקת לידים'!A428="","",IF(ISNUMBER('הדבקת לידים'!A428),IF(הגדרות!$E$2&gt;0,TEXT('הדבקת לידים'!A428,REPT("0",הגדרות!$E$2)),TEXT('הדבקת לידים'!A428,"0")),TRIM('הדבקת לידים'!A428)))</f>
        <v/>
      </c>
      <c r="B428" s="0" t="str">
        <f aca="false">IF('הדבקת לידים'!B428="","",IF(ISNUMBER('הדבקת לידים'!B428),IF(הגדרות!$E$3&gt;0,TEXT('הדבקת לידים'!B428,REPT("0",הגדרות!$E$3)),TEXT('הדבקת לידים'!B428,"0")),TRIM('הדבקת לידים'!B428)))</f>
        <v/>
      </c>
      <c r="C428" s="0" t="n">
        <f aca="false">IF(OR(A428&lt;&gt;"",B428&lt;&gt;""),1,0)</f>
        <v>0</v>
      </c>
      <c r="D428" s="0" t="str">
        <f aca="false">IF(C428=1,MOD(ABS(SIN(ROW()*12.9898+'הדבקת לידים'!$F$2*78.233+IFERROR(--RIGHT(A428,6),LEN(A428))*0.0137+IFERROR(--RIGHT(B428,6),LEN(B428))*0.0071))*43758.5453,1),"")</f>
        <v/>
      </c>
      <c r="E428" s="0" t="str">
        <f aca="false">IF(C428=1,INT(MOD(ABS(SIN(D428*7919.123+ROW()*0.618+'הדבקת לידים'!$F$2*1.3))*43758.5453,1)*1000000)*10000+ROW(),"")</f>
        <v/>
      </c>
      <c r="F428" s="0" t="str">
        <f aca="false">IF(E428="","",RANK(E428,$E$2:$E$5001,1))</f>
        <v/>
      </c>
      <c r="G428" s="0" t="n">
        <f aca="false">IF(A428="",0,IF(SUMPRODUCT(--($A$2:$A$5001=A428))&gt;1,1,0))</f>
        <v>0</v>
      </c>
      <c r="H428" s="0" t="n">
        <f aca="false">ROW()-1</f>
        <v>427</v>
      </c>
      <c r="I428" s="0" t="str">
        <f aca="false">IF(OR(הגדרות!$E$6=0,H428&gt;הגדרות!$E$5),"",IF(H428-1&lt;הגדרות!$E$8*(הגדרות!$E$7+1),INT((H428-1)/(הגדרות!$E$7+1)),הגדרות!$E$8+INT((H428-1-הגדרות!$E$8*(הגדרות!$E$7+1))/הגדרות!$E$7)))</f>
        <v/>
      </c>
      <c r="J428" s="0" t="str">
        <f aca="false">IF(I428="","",IF(H428-1&lt;הגדרות!$E$8*(הגדרות!$E$7+1),MOD(H428-1,הגדרות!$E$7+1),MOD(H428-1-הגדרות!$E$8*(הגדרות!$E$7+1),הגדרות!$E$7)))</f>
        <v/>
      </c>
      <c r="K428" s="0" t="str">
        <f aca="false">IF(I428="","",J428*הגדרות!$E$6+I428+1)</f>
        <v/>
      </c>
      <c r="L428" s="0" t="str">
        <f aca="false">IF(K428="","",MATCH(K428,$F$2:$F$5001,0))</f>
        <v/>
      </c>
      <c r="M428" s="0" t="str">
        <f aca="false">IF(I428="","",INDEX(הגדרות!$A$2:$A$21,MOD(I428+הגדרות!$E$9,הגדרות!$E$6)+1))</f>
        <v/>
      </c>
    </row>
    <row r="429" customFormat="false" ht="15" hidden="false" customHeight="false" outlineLevel="0" collapsed="false">
      <c r="A429" s="0" t="str">
        <f aca="false">IF('הדבקת לידים'!A429="","",IF(ISNUMBER('הדבקת לידים'!A429),IF(הגדרות!$E$2&gt;0,TEXT('הדבקת לידים'!A429,REPT("0",הגדרות!$E$2)),TEXT('הדבקת לידים'!A429,"0")),TRIM('הדבקת לידים'!A429)))</f>
        <v/>
      </c>
      <c r="B429" s="0" t="str">
        <f aca="false">IF('הדבקת לידים'!B429="","",IF(ISNUMBER('הדבקת לידים'!B429),IF(הגדרות!$E$3&gt;0,TEXT('הדבקת לידים'!B429,REPT("0",הגדרות!$E$3)),TEXT('הדבקת לידים'!B429,"0")),TRIM('הדבקת לידים'!B429)))</f>
        <v/>
      </c>
      <c r="C429" s="0" t="n">
        <f aca="false">IF(OR(A429&lt;&gt;"",B429&lt;&gt;""),1,0)</f>
        <v>0</v>
      </c>
      <c r="D429" s="0" t="str">
        <f aca="false">IF(C429=1,MOD(ABS(SIN(ROW()*12.9898+'הדבקת לידים'!$F$2*78.233+IFERROR(--RIGHT(A429,6),LEN(A429))*0.0137+IFERROR(--RIGHT(B429,6),LEN(B429))*0.0071))*43758.5453,1),"")</f>
        <v/>
      </c>
      <c r="E429" s="0" t="str">
        <f aca="false">IF(C429=1,INT(MOD(ABS(SIN(D429*7919.123+ROW()*0.618+'הדבקת לידים'!$F$2*1.3))*43758.5453,1)*1000000)*10000+ROW(),"")</f>
        <v/>
      </c>
      <c r="F429" s="0" t="str">
        <f aca="false">IF(E429="","",RANK(E429,$E$2:$E$5001,1))</f>
        <v/>
      </c>
      <c r="G429" s="0" t="n">
        <f aca="false">IF(A429="",0,IF(SUMPRODUCT(--($A$2:$A$5001=A429))&gt;1,1,0))</f>
        <v>0</v>
      </c>
      <c r="H429" s="0" t="n">
        <f aca="false">ROW()-1</f>
        <v>428</v>
      </c>
      <c r="I429" s="0" t="str">
        <f aca="false">IF(OR(הגדרות!$E$6=0,H429&gt;הגדרות!$E$5),"",IF(H429-1&lt;הגדרות!$E$8*(הגדרות!$E$7+1),INT((H429-1)/(הגדרות!$E$7+1)),הגדרות!$E$8+INT((H429-1-הגדרות!$E$8*(הגדרות!$E$7+1))/הגדרות!$E$7)))</f>
        <v/>
      </c>
      <c r="J429" s="0" t="str">
        <f aca="false">IF(I429="","",IF(H429-1&lt;הגדרות!$E$8*(הגדרות!$E$7+1),MOD(H429-1,הגדרות!$E$7+1),MOD(H429-1-הגדרות!$E$8*(הגדרות!$E$7+1),הגדרות!$E$7)))</f>
        <v/>
      </c>
      <c r="K429" s="0" t="str">
        <f aca="false">IF(I429="","",J429*הגדרות!$E$6+I429+1)</f>
        <v/>
      </c>
      <c r="L429" s="0" t="str">
        <f aca="false">IF(K429="","",MATCH(K429,$F$2:$F$5001,0))</f>
        <v/>
      </c>
      <c r="M429" s="0" t="str">
        <f aca="false">IF(I429="","",INDEX(הגדרות!$A$2:$A$21,MOD(I429+הגדרות!$E$9,הגדרות!$E$6)+1))</f>
        <v/>
      </c>
    </row>
    <row r="430" customFormat="false" ht="15" hidden="false" customHeight="false" outlineLevel="0" collapsed="false">
      <c r="A430" s="0" t="str">
        <f aca="false">IF('הדבקת לידים'!A430="","",IF(ISNUMBER('הדבקת לידים'!A430),IF(הגדרות!$E$2&gt;0,TEXT('הדבקת לידים'!A430,REPT("0",הגדרות!$E$2)),TEXT('הדבקת לידים'!A430,"0")),TRIM('הדבקת לידים'!A430)))</f>
        <v/>
      </c>
      <c r="B430" s="0" t="str">
        <f aca="false">IF('הדבקת לידים'!B430="","",IF(ISNUMBER('הדבקת לידים'!B430),IF(הגדרות!$E$3&gt;0,TEXT('הדבקת לידים'!B430,REPT("0",הגדרות!$E$3)),TEXT('הדבקת לידים'!B430,"0")),TRIM('הדבקת לידים'!B430)))</f>
        <v/>
      </c>
      <c r="C430" s="0" t="n">
        <f aca="false">IF(OR(A430&lt;&gt;"",B430&lt;&gt;""),1,0)</f>
        <v>0</v>
      </c>
      <c r="D430" s="0" t="str">
        <f aca="false">IF(C430=1,MOD(ABS(SIN(ROW()*12.9898+'הדבקת לידים'!$F$2*78.233+IFERROR(--RIGHT(A430,6),LEN(A430))*0.0137+IFERROR(--RIGHT(B430,6),LEN(B430))*0.0071))*43758.5453,1),"")</f>
        <v/>
      </c>
      <c r="E430" s="0" t="str">
        <f aca="false">IF(C430=1,INT(MOD(ABS(SIN(D430*7919.123+ROW()*0.618+'הדבקת לידים'!$F$2*1.3))*43758.5453,1)*1000000)*10000+ROW(),"")</f>
        <v/>
      </c>
      <c r="F430" s="0" t="str">
        <f aca="false">IF(E430="","",RANK(E430,$E$2:$E$5001,1))</f>
        <v/>
      </c>
      <c r="G430" s="0" t="n">
        <f aca="false">IF(A430="",0,IF(SUMPRODUCT(--($A$2:$A$5001=A430))&gt;1,1,0))</f>
        <v>0</v>
      </c>
      <c r="H430" s="0" t="n">
        <f aca="false">ROW()-1</f>
        <v>429</v>
      </c>
      <c r="I430" s="0" t="str">
        <f aca="false">IF(OR(הגדרות!$E$6=0,H430&gt;הגדרות!$E$5),"",IF(H430-1&lt;הגדרות!$E$8*(הגדרות!$E$7+1),INT((H430-1)/(הגדרות!$E$7+1)),הגדרות!$E$8+INT((H430-1-הגדרות!$E$8*(הגדרות!$E$7+1))/הגדרות!$E$7)))</f>
        <v/>
      </c>
      <c r="J430" s="0" t="str">
        <f aca="false">IF(I430="","",IF(H430-1&lt;הגדרות!$E$8*(הגדרות!$E$7+1),MOD(H430-1,הגדרות!$E$7+1),MOD(H430-1-הגדרות!$E$8*(הגדרות!$E$7+1),הגדרות!$E$7)))</f>
        <v/>
      </c>
      <c r="K430" s="0" t="str">
        <f aca="false">IF(I430="","",J430*הגדרות!$E$6+I430+1)</f>
        <v/>
      </c>
      <c r="L430" s="0" t="str">
        <f aca="false">IF(K430="","",MATCH(K430,$F$2:$F$5001,0))</f>
        <v/>
      </c>
      <c r="M430" s="0" t="str">
        <f aca="false">IF(I430="","",INDEX(הגדרות!$A$2:$A$21,MOD(I430+הגדרות!$E$9,הגדרות!$E$6)+1))</f>
        <v/>
      </c>
    </row>
    <row r="431" customFormat="false" ht="15" hidden="false" customHeight="false" outlineLevel="0" collapsed="false">
      <c r="A431" s="0" t="str">
        <f aca="false">IF('הדבקת לידים'!A431="","",IF(ISNUMBER('הדבקת לידים'!A431),IF(הגדרות!$E$2&gt;0,TEXT('הדבקת לידים'!A431,REPT("0",הגדרות!$E$2)),TEXT('הדבקת לידים'!A431,"0")),TRIM('הדבקת לידים'!A431)))</f>
        <v/>
      </c>
      <c r="B431" s="0" t="str">
        <f aca="false">IF('הדבקת לידים'!B431="","",IF(ISNUMBER('הדבקת לידים'!B431),IF(הגדרות!$E$3&gt;0,TEXT('הדבקת לידים'!B431,REPT("0",הגדרות!$E$3)),TEXT('הדבקת לידים'!B431,"0")),TRIM('הדבקת לידים'!B431)))</f>
        <v/>
      </c>
      <c r="C431" s="0" t="n">
        <f aca="false">IF(OR(A431&lt;&gt;"",B431&lt;&gt;""),1,0)</f>
        <v>0</v>
      </c>
      <c r="D431" s="0" t="str">
        <f aca="false">IF(C431=1,MOD(ABS(SIN(ROW()*12.9898+'הדבקת לידים'!$F$2*78.233+IFERROR(--RIGHT(A431,6),LEN(A431))*0.0137+IFERROR(--RIGHT(B431,6),LEN(B431))*0.0071))*43758.5453,1),"")</f>
        <v/>
      </c>
      <c r="E431" s="0" t="str">
        <f aca="false">IF(C431=1,INT(MOD(ABS(SIN(D431*7919.123+ROW()*0.618+'הדבקת לידים'!$F$2*1.3))*43758.5453,1)*1000000)*10000+ROW(),"")</f>
        <v/>
      </c>
      <c r="F431" s="0" t="str">
        <f aca="false">IF(E431="","",RANK(E431,$E$2:$E$5001,1))</f>
        <v/>
      </c>
      <c r="G431" s="0" t="n">
        <f aca="false">IF(A431="",0,IF(SUMPRODUCT(--($A$2:$A$5001=A431))&gt;1,1,0))</f>
        <v>0</v>
      </c>
      <c r="H431" s="0" t="n">
        <f aca="false">ROW()-1</f>
        <v>430</v>
      </c>
      <c r="I431" s="0" t="str">
        <f aca="false">IF(OR(הגדרות!$E$6=0,H431&gt;הגדרות!$E$5),"",IF(H431-1&lt;הגדרות!$E$8*(הגדרות!$E$7+1),INT((H431-1)/(הגדרות!$E$7+1)),הגדרות!$E$8+INT((H431-1-הגדרות!$E$8*(הגדרות!$E$7+1))/הגדרות!$E$7)))</f>
        <v/>
      </c>
      <c r="J431" s="0" t="str">
        <f aca="false">IF(I431="","",IF(H431-1&lt;הגדרות!$E$8*(הגדרות!$E$7+1),MOD(H431-1,הגדרות!$E$7+1),MOD(H431-1-הגדרות!$E$8*(הגדרות!$E$7+1),הגדרות!$E$7)))</f>
        <v/>
      </c>
      <c r="K431" s="0" t="str">
        <f aca="false">IF(I431="","",J431*הגדרות!$E$6+I431+1)</f>
        <v/>
      </c>
      <c r="L431" s="0" t="str">
        <f aca="false">IF(K431="","",MATCH(K431,$F$2:$F$5001,0))</f>
        <v/>
      </c>
      <c r="M431" s="0" t="str">
        <f aca="false">IF(I431="","",INDEX(הגדרות!$A$2:$A$21,MOD(I431+הגדרות!$E$9,הגדרות!$E$6)+1))</f>
        <v/>
      </c>
    </row>
    <row r="432" customFormat="false" ht="15" hidden="false" customHeight="false" outlineLevel="0" collapsed="false">
      <c r="A432" s="0" t="str">
        <f aca="false">IF('הדבקת לידים'!A432="","",IF(ISNUMBER('הדבקת לידים'!A432),IF(הגדרות!$E$2&gt;0,TEXT('הדבקת לידים'!A432,REPT("0",הגדרות!$E$2)),TEXT('הדבקת לידים'!A432,"0")),TRIM('הדבקת לידים'!A432)))</f>
        <v/>
      </c>
      <c r="B432" s="0" t="str">
        <f aca="false">IF('הדבקת לידים'!B432="","",IF(ISNUMBER('הדבקת לידים'!B432),IF(הגדרות!$E$3&gt;0,TEXT('הדבקת לידים'!B432,REPT("0",הגדרות!$E$3)),TEXT('הדבקת לידים'!B432,"0")),TRIM('הדבקת לידים'!B432)))</f>
        <v/>
      </c>
      <c r="C432" s="0" t="n">
        <f aca="false">IF(OR(A432&lt;&gt;"",B432&lt;&gt;""),1,0)</f>
        <v>0</v>
      </c>
      <c r="D432" s="0" t="str">
        <f aca="false">IF(C432=1,MOD(ABS(SIN(ROW()*12.9898+'הדבקת לידים'!$F$2*78.233+IFERROR(--RIGHT(A432,6),LEN(A432))*0.0137+IFERROR(--RIGHT(B432,6),LEN(B432))*0.0071))*43758.5453,1),"")</f>
        <v/>
      </c>
      <c r="E432" s="0" t="str">
        <f aca="false">IF(C432=1,INT(MOD(ABS(SIN(D432*7919.123+ROW()*0.618+'הדבקת לידים'!$F$2*1.3))*43758.5453,1)*1000000)*10000+ROW(),"")</f>
        <v/>
      </c>
      <c r="F432" s="0" t="str">
        <f aca="false">IF(E432="","",RANK(E432,$E$2:$E$5001,1))</f>
        <v/>
      </c>
      <c r="G432" s="0" t="n">
        <f aca="false">IF(A432="",0,IF(SUMPRODUCT(--($A$2:$A$5001=A432))&gt;1,1,0))</f>
        <v>0</v>
      </c>
      <c r="H432" s="0" t="n">
        <f aca="false">ROW()-1</f>
        <v>431</v>
      </c>
      <c r="I432" s="0" t="str">
        <f aca="false">IF(OR(הגדרות!$E$6=0,H432&gt;הגדרות!$E$5),"",IF(H432-1&lt;הגדרות!$E$8*(הגדרות!$E$7+1),INT((H432-1)/(הגדרות!$E$7+1)),הגדרות!$E$8+INT((H432-1-הגדרות!$E$8*(הגדרות!$E$7+1))/הגדרות!$E$7)))</f>
        <v/>
      </c>
      <c r="J432" s="0" t="str">
        <f aca="false">IF(I432="","",IF(H432-1&lt;הגדרות!$E$8*(הגדרות!$E$7+1),MOD(H432-1,הגדרות!$E$7+1),MOD(H432-1-הגדרות!$E$8*(הגדרות!$E$7+1),הגדרות!$E$7)))</f>
        <v/>
      </c>
      <c r="K432" s="0" t="str">
        <f aca="false">IF(I432="","",J432*הגדרות!$E$6+I432+1)</f>
        <v/>
      </c>
      <c r="L432" s="0" t="str">
        <f aca="false">IF(K432="","",MATCH(K432,$F$2:$F$5001,0))</f>
        <v/>
      </c>
      <c r="M432" s="0" t="str">
        <f aca="false">IF(I432="","",INDEX(הגדרות!$A$2:$A$21,MOD(I432+הגדרות!$E$9,הגדרות!$E$6)+1))</f>
        <v/>
      </c>
    </row>
    <row r="433" customFormat="false" ht="15" hidden="false" customHeight="false" outlineLevel="0" collapsed="false">
      <c r="A433" s="0" t="str">
        <f aca="false">IF('הדבקת לידים'!A433="","",IF(ISNUMBER('הדבקת לידים'!A433),IF(הגדרות!$E$2&gt;0,TEXT('הדבקת לידים'!A433,REPT("0",הגדרות!$E$2)),TEXT('הדבקת לידים'!A433,"0")),TRIM('הדבקת לידים'!A433)))</f>
        <v/>
      </c>
      <c r="B433" s="0" t="str">
        <f aca="false">IF('הדבקת לידים'!B433="","",IF(ISNUMBER('הדבקת לידים'!B433),IF(הגדרות!$E$3&gt;0,TEXT('הדבקת לידים'!B433,REPT("0",הגדרות!$E$3)),TEXT('הדבקת לידים'!B433,"0")),TRIM('הדבקת לידים'!B433)))</f>
        <v/>
      </c>
      <c r="C433" s="0" t="n">
        <f aca="false">IF(OR(A433&lt;&gt;"",B433&lt;&gt;""),1,0)</f>
        <v>0</v>
      </c>
      <c r="D433" s="0" t="str">
        <f aca="false">IF(C433=1,MOD(ABS(SIN(ROW()*12.9898+'הדבקת לידים'!$F$2*78.233+IFERROR(--RIGHT(A433,6),LEN(A433))*0.0137+IFERROR(--RIGHT(B433,6),LEN(B433))*0.0071))*43758.5453,1),"")</f>
        <v/>
      </c>
      <c r="E433" s="0" t="str">
        <f aca="false">IF(C433=1,INT(MOD(ABS(SIN(D433*7919.123+ROW()*0.618+'הדבקת לידים'!$F$2*1.3))*43758.5453,1)*1000000)*10000+ROW(),"")</f>
        <v/>
      </c>
      <c r="F433" s="0" t="str">
        <f aca="false">IF(E433="","",RANK(E433,$E$2:$E$5001,1))</f>
        <v/>
      </c>
      <c r="G433" s="0" t="n">
        <f aca="false">IF(A433="",0,IF(SUMPRODUCT(--($A$2:$A$5001=A433))&gt;1,1,0))</f>
        <v>0</v>
      </c>
      <c r="H433" s="0" t="n">
        <f aca="false">ROW()-1</f>
        <v>432</v>
      </c>
      <c r="I433" s="0" t="str">
        <f aca="false">IF(OR(הגדרות!$E$6=0,H433&gt;הגדרות!$E$5),"",IF(H433-1&lt;הגדרות!$E$8*(הגדרות!$E$7+1),INT((H433-1)/(הגדרות!$E$7+1)),הגדרות!$E$8+INT((H433-1-הגדרות!$E$8*(הגדרות!$E$7+1))/הגדרות!$E$7)))</f>
        <v/>
      </c>
      <c r="J433" s="0" t="str">
        <f aca="false">IF(I433="","",IF(H433-1&lt;הגדרות!$E$8*(הגדרות!$E$7+1),MOD(H433-1,הגדרות!$E$7+1),MOD(H433-1-הגדרות!$E$8*(הגדרות!$E$7+1),הגדרות!$E$7)))</f>
        <v/>
      </c>
      <c r="K433" s="0" t="str">
        <f aca="false">IF(I433="","",J433*הגדרות!$E$6+I433+1)</f>
        <v/>
      </c>
      <c r="L433" s="0" t="str">
        <f aca="false">IF(K433="","",MATCH(K433,$F$2:$F$5001,0))</f>
        <v/>
      </c>
      <c r="M433" s="0" t="str">
        <f aca="false">IF(I433="","",INDEX(הגדרות!$A$2:$A$21,MOD(I433+הגדרות!$E$9,הגדרות!$E$6)+1))</f>
        <v/>
      </c>
    </row>
    <row r="434" customFormat="false" ht="15" hidden="false" customHeight="false" outlineLevel="0" collapsed="false">
      <c r="A434" s="0" t="str">
        <f aca="false">IF('הדבקת לידים'!A434="","",IF(ISNUMBER('הדבקת לידים'!A434),IF(הגדרות!$E$2&gt;0,TEXT('הדבקת לידים'!A434,REPT("0",הגדרות!$E$2)),TEXT('הדבקת לידים'!A434,"0")),TRIM('הדבקת לידים'!A434)))</f>
        <v/>
      </c>
      <c r="B434" s="0" t="str">
        <f aca="false">IF('הדבקת לידים'!B434="","",IF(ISNUMBER('הדבקת לידים'!B434),IF(הגדרות!$E$3&gt;0,TEXT('הדבקת לידים'!B434,REPT("0",הגדרות!$E$3)),TEXT('הדבקת לידים'!B434,"0")),TRIM('הדבקת לידים'!B434)))</f>
        <v/>
      </c>
      <c r="C434" s="0" t="n">
        <f aca="false">IF(OR(A434&lt;&gt;"",B434&lt;&gt;""),1,0)</f>
        <v>0</v>
      </c>
      <c r="D434" s="0" t="str">
        <f aca="false">IF(C434=1,MOD(ABS(SIN(ROW()*12.9898+'הדבקת לידים'!$F$2*78.233+IFERROR(--RIGHT(A434,6),LEN(A434))*0.0137+IFERROR(--RIGHT(B434,6),LEN(B434))*0.0071))*43758.5453,1),"")</f>
        <v/>
      </c>
      <c r="E434" s="0" t="str">
        <f aca="false">IF(C434=1,INT(MOD(ABS(SIN(D434*7919.123+ROW()*0.618+'הדבקת לידים'!$F$2*1.3))*43758.5453,1)*1000000)*10000+ROW(),"")</f>
        <v/>
      </c>
      <c r="F434" s="0" t="str">
        <f aca="false">IF(E434="","",RANK(E434,$E$2:$E$5001,1))</f>
        <v/>
      </c>
      <c r="G434" s="0" t="n">
        <f aca="false">IF(A434="",0,IF(SUMPRODUCT(--($A$2:$A$5001=A434))&gt;1,1,0))</f>
        <v>0</v>
      </c>
      <c r="H434" s="0" t="n">
        <f aca="false">ROW()-1</f>
        <v>433</v>
      </c>
      <c r="I434" s="0" t="str">
        <f aca="false">IF(OR(הגדרות!$E$6=0,H434&gt;הגדרות!$E$5),"",IF(H434-1&lt;הגדרות!$E$8*(הגדרות!$E$7+1),INT((H434-1)/(הגדרות!$E$7+1)),הגדרות!$E$8+INT((H434-1-הגדרות!$E$8*(הגדרות!$E$7+1))/הגדרות!$E$7)))</f>
        <v/>
      </c>
      <c r="J434" s="0" t="str">
        <f aca="false">IF(I434="","",IF(H434-1&lt;הגדרות!$E$8*(הגדרות!$E$7+1),MOD(H434-1,הגדרות!$E$7+1),MOD(H434-1-הגדרות!$E$8*(הגדרות!$E$7+1),הגדרות!$E$7)))</f>
        <v/>
      </c>
      <c r="K434" s="0" t="str">
        <f aca="false">IF(I434="","",J434*הגדרות!$E$6+I434+1)</f>
        <v/>
      </c>
      <c r="L434" s="0" t="str">
        <f aca="false">IF(K434="","",MATCH(K434,$F$2:$F$5001,0))</f>
        <v/>
      </c>
      <c r="M434" s="0" t="str">
        <f aca="false">IF(I434="","",INDEX(הגדרות!$A$2:$A$21,MOD(I434+הגדרות!$E$9,הגדרות!$E$6)+1))</f>
        <v/>
      </c>
    </row>
    <row r="435" customFormat="false" ht="15" hidden="false" customHeight="false" outlineLevel="0" collapsed="false">
      <c r="A435" s="0" t="str">
        <f aca="false">IF('הדבקת לידים'!A435="","",IF(ISNUMBER('הדבקת לידים'!A435),IF(הגדרות!$E$2&gt;0,TEXT('הדבקת לידים'!A435,REPT("0",הגדרות!$E$2)),TEXT('הדבקת לידים'!A435,"0")),TRIM('הדבקת לידים'!A435)))</f>
        <v/>
      </c>
      <c r="B435" s="0" t="str">
        <f aca="false">IF('הדבקת לידים'!B435="","",IF(ISNUMBER('הדבקת לידים'!B435),IF(הגדרות!$E$3&gt;0,TEXT('הדבקת לידים'!B435,REPT("0",הגדרות!$E$3)),TEXT('הדבקת לידים'!B435,"0")),TRIM('הדבקת לידים'!B435)))</f>
        <v/>
      </c>
      <c r="C435" s="0" t="n">
        <f aca="false">IF(OR(A435&lt;&gt;"",B435&lt;&gt;""),1,0)</f>
        <v>0</v>
      </c>
      <c r="D435" s="0" t="str">
        <f aca="false">IF(C435=1,MOD(ABS(SIN(ROW()*12.9898+'הדבקת לידים'!$F$2*78.233+IFERROR(--RIGHT(A435,6),LEN(A435))*0.0137+IFERROR(--RIGHT(B435,6),LEN(B435))*0.0071))*43758.5453,1),"")</f>
        <v/>
      </c>
      <c r="E435" s="0" t="str">
        <f aca="false">IF(C435=1,INT(MOD(ABS(SIN(D435*7919.123+ROW()*0.618+'הדבקת לידים'!$F$2*1.3))*43758.5453,1)*1000000)*10000+ROW(),"")</f>
        <v/>
      </c>
      <c r="F435" s="0" t="str">
        <f aca="false">IF(E435="","",RANK(E435,$E$2:$E$5001,1))</f>
        <v/>
      </c>
      <c r="G435" s="0" t="n">
        <f aca="false">IF(A435="",0,IF(SUMPRODUCT(--($A$2:$A$5001=A435))&gt;1,1,0))</f>
        <v>0</v>
      </c>
      <c r="H435" s="0" t="n">
        <f aca="false">ROW()-1</f>
        <v>434</v>
      </c>
      <c r="I435" s="0" t="str">
        <f aca="false">IF(OR(הגדרות!$E$6=0,H435&gt;הגדרות!$E$5),"",IF(H435-1&lt;הגדרות!$E$8*(הגדרות!$E$7+1),INT((H435-1)/(הגדרות!$E$7+1)),הגדרות!$E$8+INT((H435-1-הגדרות!$E$8*(הגדרות!$E$7+1))/הגדרות!$E$7)))</f>
        <v/>
      </c>
      <c r="J435" s="0" t="str">
        <f aca="false">IF(I435="","",IF(H435-1&lt;הגדרות!$E$8*(הגדרות!$E$7+1),MOD(H435-1,הגדרות!$E$7+1),MOD(H435-1-הגדרות!$E$8*(הגדרות!$E$7+1),הגדרות!$E$7)))</f>
        <v/>
      </c>
      <c r="K435" s="0" t="str">
        <f aca="false">IF(I435="","",J435*הגדרות!$E$6+I435+1)</f>
        <v/>
      </c>
      <c r="L435" s="0" t="str">
        <f aca="false">IF(K435="","",MATCH(K435,$F$2:$F$5001,0))</f>
        <v/>
      </c>
      <c r="M435" s="0" t="str">
        <f aca="false">IF(I435="","",INDEX(הגדרות!$A$2:$A$21,MOD(I435+הגדרות!$E$9,הגדרות!$E$6)+1))</f>
        <v/>
      </c>
    </row>
    <row r="436" customFormat="false" ht="15" hidden="false" customHeight="false" outlineLevel="0" collapsed="false">
      <c r="A436" s="0" t="str">
        <f aca="false">IF('הדבקת לידים'!A436="","",IF(ISNUMBER('הדבקת לידים'!A436),IF(הגדרות!$E$2&gt;0,TEXT('הדבקת לידים'!A436,REPT("0",הגדרות!$E$2)),TEXT('הדבקת לידים'!A436,"0")),TRIM('הדבקת לידים'!A436)))</f>
        <v/>
      </c>
      <c r="B436" s="0" t="str">
        <f aca="false">IF('הדבקת לידים'!B436="","",IF(ISNUMBER('הדבקת לידים'!B436),IF(הגדרות!$E$3&gt;0,TEXT('הדבקת לידים'!B436,REPT("0",הגדרות!$E$3)),TEXT('הדבקת לידים'!B436,"0")),TRIM('הדבקת לידים'!B436)))</f>
        <v/>
      </c>
      <c r="C436" s="0" t="n">
        <f aca="false">IF(OR(A436&lt;&gt;"",B436&lt;&gt;""),1,0)</f>
        <v>0</v>
      </c>
      <c r="D436" s="0" t="str">
        <f aca="false">IF(C436=1,MOD(ABS(SIN(ROW()*12.9898+'הדבקת לידים'!$F$2*78.233+IFERROR(--RIGHT(A436,6),LEN(A436))*0.0137+IFERROR(--RIGHT(B436,6),LEN(B436))*0.0071))*43758.5453,1),"")</f>
        <v/>
      </c>
      <c r="E436" s="0" t="str">
        <f aca="false">IF(C436=1,INT(MOD(ABS(SIN(D436*7919.123+ROW()*0.618+'הדבקת לידים'!$F$2*1.3))*43758.5453,1)*1000000)*10000+ROW(),"")</f>
        <v/>
      </c>
      <c r="F436" s="0" t="str">
        <f aca="false">IF(E436="","",RANK(E436,$E$2:$E$5001,1))</f>
        <v/>
      </c>
      <c r="G436" s="0" t="n">
        <f aca="false">IF(A436="",0,IF(SUMPRODUCT(--($A$2:$A$5001=A436))&gt;1,1,0))</f>
        <v>0</v>
      </c>
      <c r="H436" s="0" t="n">
        <f aca="false">ROW()-1</f>
        <v>435</v>
      </c>
      <c r="I436" s="0" t="str">
        <f aca="false">IF(OR(הגדרות!$E$6=0,H436&gt;הגדרות!$E$5),"",IF(H436-1&lt;הגדרות!$E$8*(הגדרות!$E$7+1),INT((H436-1)/(הגדרות!$E$7+1)),הגדרות!$E$8+INT((H436-1-הגדרות!$E$8*(הגדרות!$E$7+1))/הגדרות!$E$7)))</f>
        <v/>
      </c>
      <c r="J436" s="0" t="str">
        <f aca="false">IF(I436="","",IF(H436-1&lt;הגדרות!$E$8*(הגדרות!$E$7+1),MOD(H436-1,הגדרות!$E$7+1),MOD(H436-1-הגדרות!$E$8*(הגדרות!$E$7+1),הגדרות!$E$7)))</f>
        <v/>
      </c>
      <c r="K436" s="0" t="str">
        <f aca="false">IF(I436="","",J436*הגדרות!$E$6+I436+1)</f>
        <v/>
      </c>
      <c r="L436" s="0" t="str">
        <f aca="false">IF(K436="","",MATCH(K436,$F$2:$F$5001,0))</f>
        <v/>
      </c>
      <c r="M436" s="0" t="str">
        <f aca="false">IF(I436="","",INDEX(הגדרות!$A$2:$A$21,MOD(I436+הגדרות!$E$9,הגדרות!$E$6)+1))</f>
        <v/>
      </c>
    </row>
    <row r="437" customFormat="false" ht="15" hidden="false" customHeight="false" outlineLevel="0" collapsed="false">
      <c r="A437" s="0" t="str">
        <f aca="false">IF('הדבקת לידים'!A437="","",IF(ISNUMBER('הדבקת לידים'!A437),IF(הגדרות!$E$2&gt;0,TEXT('הדבקת לידים'!A437,REPT("0",הגדרות!$E$2)),TEXT('הדבקת לידים'!A437,"0")),TRIM('הדבקת לידים'!A437)))</f>
        <v/>
      </c>
      <c r="B437" s="0" t="str">
        <f aca="false">IF('הדבקת לידים'!B437="","",IF(ISNUMBER('הדבקת לידים'!B437),IF(הגדרות!$E$3&gt;0,TEXT('הדבקת לידים'!B437,REPT("0",הגדרות!$E$3)),TEXT('הדבקת לידים'!B437,"0")),TRIM('הדבקת לידים'!B437)))</f>
        <v/>
      </c>
      <c r="C437" s="0" t="n">
        <f aca="false">IF(OR(A437&lt;&gt;"",B437&lt;&gt;""),1,0)</f>
        <v>0</v>
      </c>
      <c r="D437" s="0" t="str">
        <f aca="false">IF(C437=1,MOD(ABS(SIN(ROW()*12.9898+'הדבקת לידים'!$F$2*78.233+IFERROR(--RIGHT(A437,6),LEN(A437))*0.0137+IFERROR(--RIGHT(B437,6),LEN(B437))*0.0071))*43758.5453,1),"")</f>
        <v/>
      </c>
      <c r="E437" s="0" t="str">
        <f aca="false">IF(C437=1,INT(MOD(ABS(SIN(D437*7919.123+ROW()*0.618+'הדבקת לידים'!$F$2*1.3))*43758.5453,1)*1000000)*10000+ROW(),"")</f>
        <v/>
      </c>
      <c r="F437" s="0" t="str">
        <f aca="false">IF(E437="","",RANK(E437,$E$2:$E$5001,1))</f>
        <v/>
      </c>
      <c r="G437" s="0" t="n">
        <f aca="false">IF(A437="",0,IF(SUMPRODUCT(--($A$2:$A$5001=A437))&gt;1,1,0))</f>
        <v>0</v>
      </c>
      <c r="H437" s="0" t="n">
        <f aca="false">ROW()-1</f>
        <v>436</v>
      </c>
      <c r="I437" s="0" t="str">
        <f aca="false">IF(OR(הגדרות!$E$6=0,H437&gt;הגדרות!$E$5),"",IF(H437-1&lt;הגדרות!$E$8*(הגדרות!$E$7+1),INT((H437-1)/(הגדרות!$E$7+1)),הגדרות!$E$8+INT((H437-1-הגדרות!$E$8*(הגדרות!$E$7+1))/הגדרות!$E$7)))</f>
        <v/>
      </c>
      <c r="J437" s="0" t="str">
        <f aca="false">IF(I437="","",IF(H437-1&lt;הגדרות!$E$8*(הגדרות!$E$7+1),MOD(H437-1,הגדרות!$E$7+1),MOD(H437-1-הגדרות!$E$8*(הגדרות!$E$7+1),הגדרות!$E$7)))</f>
        <v/>
      </c>
      <c r="K437" s="0" t="str">
        <f aca="false">IF(I437="","",J437*הגדרות!$E$6+I437+1)</f>
        <v/>
      </c>
      <c r="L437" s="0" t="str">
        <f aca="false">IF(K437="","",MATCH(K437,$F$2:$F$5001,0))</f>
        <v/>
      </c>
      <c r="M437" s="0" t="str">
        <f aca="false">IF(I437="","",INDEX(הגדרות!$A$2:$A$21,MOD(I437+הגדרות!$E$9,הגדרות!$E$6)+1))</f>
        <v/>
      </c>
    </row>
    <row r="438" customFormat="false" ht="15" hidden="false" customHeight="false" outlineLevel="0" collapsed="false">
      <c r="A438" s="0" t="str">
        <f aca="false">IF('הדבקת לידים'!A438="","",IF(ISNUMBER('הדבקת לידים'!A438),IF(הגדרות!$E$2&gt;0,TEXT('הדבקת לידים'!A438,REPT("0",הגדרות!$E$2)),TEXT('הדבקת לידים'!A438,"0")),TRIM('הדבקת לידים'!A438)))</f>
        <v/>
      </c>
      <c r="B438" s="0" t="str">
        <f aca="false">IF('הדבקת לידים'!B438="","",IF(ISNUMBER('הדבקת לידים'!B438),IF(הגדרות!$E$3&gt;0,TEXT('הדבקת לידים'!B438,REPT("0",הגדרות!$E$3)),TEXT('הדבקת לידים'!B438,"0")),TRIM('הדבקת לידים'!B438)))</f>
        <v/>
      </c>
      <c r="C438" s="0" t="n">
        <f aca="false">IF(OR(A438&lt;&gt;"",B438&lt;&gt;""),1,0)</f>
        <v>0</v>
      </c>
      <c r="D438" s="0" t="str">
        <f aca="false">IF(C438=1,MOD(ABS(SIN(ROW()*12.9898+'הדבקת לידים'!$F$2*78.233+IFERROR(--RIGHT(A438,6),LEN(A438))*0.0137+IFERROR(--RIGHT(B438,6),LEN(B438))*0.0071))*43758.5453,1),"")</f>
        <v/>
      </c>
      <c r="E438" s="0" t="str">
        <f aca="false">IF(C438=1,INT(MOD(ABS(SIN(D438*7919.123+ROW()*0.618+'הדבקת לידים'!$F$2*1.3))*43758.5453,1)*1000000)*10000+ROW(),"")</f>
        <v/>
      </c>
      <c r="F438" s="0" t="str">
        <f aca="false">IF(E438="","",RANK(E438,$E$2:$E$5001,1))</f>
        <v/>
      </c>
      <c r="G438" s="0" t="n">
        <f aca="false">IF(A438="",0,IF(SUMPRODUCT(--($A$2:$A$5001=A438))&gt;1,1,0))</f>
        <v>0</v>
      </c>
      <c r="H438" s="0" t="n">
        <f aca="false">ROW()-1</f>
        <v>437</v>
      </c>
      <c r="I438" s="0" t="str">
        <f aca="false">IF(OR(הגדרות!$E$6=0,H438&gt;הגדרות!$E$5),"",IF(H438-1&lt;הגדרות!$E$8*(הגדרות!$E$7+1),INT((H438-1)/(הגדרות!$E$7+1)),הגדרות!$E$8+INT((H438-1-הגדרות!$E$8*(הגדרות!$E$7+1))/הגדרות!$E$7)))</f>
        <v/>
      </c>
      <c r="J438" s="0" t="str">
        <f aca="false">IF(I438="","",IF(H438-1&lt;הגדרות!$E$8*(הגדרות!$E$7+1),MOD(H438-1,הגדרות!$E$7+1),MOD(H438-1-הגדרות!$E$8*(הגדרות!$E$7+1),הגדרות!$E$7)))</f>
        <v/>
      </c>
      <c r="K438" s="0" t="str">
        <f aca="false">IF(I438="","",J438*הגדרות!$E$6+I438+1)</f>
        <v/>
      </c>
      <c r="L438" s="0" t="str">
        <f aca="false">IF(K438="","",MATCH(K438,$F$2:$F$5001,0))</f>
        <v/>
      </c>
      <c r="M438" s="0" t="str">
        <f aca="false">IF(I438="","",INDEX(הגדרות!$A$2:$A$21,MOD(I438+הגדרות!$E$9,הגדרות!$E$6)+1))</f>
        <v/>
      </c>
    </row>
    <row r="439" customFormat="false" ht="15" hidden="false" customHeight="false" outlineLevel="0" collapsed="false">
      <c r="A439" s="0" t="str">
        <f aca="false">IF('הדבקת לידים'!A439="","",IF(ISNUMBER('הדבקת לידים'!A439),IF(הגדרות!$E$2&gt;0,TEXT('הדבקת לידים'!A439,REPT("0",הגדרות!$E$2)),TEXT('הדבקת לידים'!A439,"0")),TRIM('הדבקת לידים'!A439)))</f>
        <v/>
      </c>
      <c r="B439" s="0" t="str">
        <f aca="false">IF('הדבקת לידים'!B439="","",IF(ISNUMBER('הדבקת לידים'!B439),IF(הגדרות!$E$3&gt;0,TEXT('הדבקת לידים'!B439,REPT("0",הגדרות!$E$3)),TEXT('הדבקת לידים'!B439,"0")),TRIM('הדבקת לידים'!B439)))</f>
        <v/>
      </c>
      <c r="C439" s="0" t="n">
        <f aca="false">IF(OR(A439&lt;&gt;"",B439&lt;&gt;""),1,0)</f>
        <v>0</v>
      </c>
      <c r="D439" s="0" t="str">
        <f aca="false">IF(C439=1,MOD(ABS(SIN(ROW()*12.9898+'הדבקת לידים'!$F$2*78.233+IFERROR(--RIGHT(A439,6),LEN(A439))*0.0137+IFERROR(--RIGHT(B439,6),LEN(B439))*0.0071))*43758.5453,1),"")</f>
        <v/>
      </c>
      <c r="E439" s="0" t="str">
        <f aca="false">IF(C439=1,INT(MOD(ABS(SIN(D439*7919.123+ROW()*0.618+'הדבקת לידים'!$F$2*1.3))*43758.5453,1)*1000000)*10000+ROW(),"")</f>
        <v/>
      </c>
      <c r="F439" s="0" t="str">
        <f aca="false">IF(E439="","",RANK(E439,$E$2:$E$5001,1))</f>
        <v/>
      </c>
      <c r="G439" s="0" t="n">
        <f aca="false">IF(A439="",0,IF(SUMPRODUCT(--($A$2:$A$5001=A439))&gt;1,1,0))</f>
        <v>0</v>
      </c>
      <c r="H439" s="0" t="n">
        <f aca="false">ROW()-1</f>
        <v>438</v>
      </c>
      <c r="I439" s="0" t="str">
        <f aca="false">IF(OR(הגדרות!$E$6=0,H439&gt;הגדרות!$E$5),"",IF(H439-1&lt;הגדרות!$E$8*(הגדרות!$E$7+1),INT((H439-1)/(הגדרות!$E$7+1)),הגדרות!$E$8+INT((H439-1-הגדרות!$E$8*(הגדרות!$E$7+1))/הגדרות!$E$7)))</f>
        <v/>
      </c>
      <c r="J439" s="0" t="str">
        <f aca="false">IF(I439="","",IF(H439-1&lt;הגדרות!$E$8*(הגדרות!$E$7+1),MOD(H439-1,הגדרות!$E$7+1),MOD(H439-1-הגדרות!$E$8*(הגדרות!$E$7+1),הגדרות!$E$7)))</f>
        <v/>
      </c>
      <c r="K439" s="0" t="str">
        <f aca="false">IF(I439="","",J439*הגדרות!$E$6+I439+1)</f>
        <v/>
      </c>
      <c r="L439" s="0" t="str">
        <f aca="false">IF(K439="","",MATCH(K439,$F$2:$F$5001,0))</f>
        <v/>
      </c>
      <c r="M439" s="0" t="str">
        <f aca="false">IF(I439="","",INDEX(הגדרות!$A$2:$A$21,MOD(I439+הגדרות!$E$9,הגדרות!$E$6)+1))</f>
        <v/>
      </c>
    </row>
    <row r="440" customFormat="false" ht="15" hidden="false" customHeight="false" outlineLevel="0" collapsed="false">
      <c r="A440" s="0" t="str">
        <f aca="false">IF('הדבקת לידים'!A440="","",IF(ISNUMBER('הדבקת לידים'!A440),IF(הגדרות!$E$2&gt;0,TEXT('הדבקת לידים'!A440,REPT("0",הגדרות!$E$2)),TEXT('הדבקת לידים'!A440,"0")),TRIM('הדבקת לידים'!A440)))</f>
        <v/>
      </c>
      <c r="B440" s="0" t="str">
        <f aca="false">IF('הדבקת לידים'!B440="","",IF(ISNUMBER('הדבקת לידים'!B440),IF(הגדרות!$E$3&gt;0,TEXT('הדבקת לידים'!B440,REPT("0",הגדרות!$E$3)),TEXT('הדבקת לידים'!B440,"0")),TRIM('הדבקת לידים'!B440)))</f>
        <v/>
      </c>
      <c r="C440" s="0" t="n">
        <f aca="false">IF(OR(A440&lt;&gt;"",B440&lt;&gt;""),1,0)</f>
        <v>0</v>
      </c>
      <c r="D440" s="0" t="str">
        <f aca="false">IF(C440=1,MOD(ABS(SIN(ROW()*12.9898+'הדבקת לידים'!$F$2*78.233+IFERROR(--RIGHT(A440,6),LEN(A440))*0.0137+IFERROR(--RIGHT(B440,6),LEN(B440))*0.0071))*43758.5453,1),"")</f>
        <v/>
      </c>
      <c r="E440" s="0" t="str">
        <f aca="false">IF(C440=1,INT(MOD(ABS(SIN(D440*7919.123+ROW()*0.618+'הדבקת לידים'!$F$2*1.3))*43758.5453,1)*1000000)*10000+ROW(),"")</f>
        <v/>
      </c>
      <c r="F440" s="0" t="str">
        <f aca="false">IF(E440="","",RANK(E440,$E$2:$E$5001,1))</f>
        <v/>
      </c>
      <c r="G440" s="0" t="n">
        <f aca="false">IF(A440="",0,IF(SUMPRODUCT(--($A$2:$A$5001=A440))&gt;1,1,0))</f>
        <v>0</v>
      </c>
      <c r="H440" s="0" t="n">
        <f aca="false">ROW()-1</f>
        <v>439</v>
      </c>
      <c r="I440" s="0" t="str">
        <f aca="false">IF(OR(הגדרות!$E$6=0,H440&gt;הגדרות!$E$5),"",IF(H440-1&lt;הגדרות!$E$8*(הגדרות!$E$7+1),INT((H440-1)/(הגדרות!$E$7+1)),הגדרות!$E$8+INT((H440-1-הגדרות!$E$8*(הגדרות!$E$7+1))/הגדרות!$E$7)))</f>
        <v/>
      </c>
      <c r="J440" s="0" t="str">
        <f aca="false">IF(I440="","",IF(H440-1&lt;הגדרות!$E$8*(הגדרות!$E$7+1),MOD(H440-1,הגדרות!$E$7+1),MOD(H440-1-הגדרות!$E$8*(הגדרות!$E$7+1),הגדרות!$E$7)))</f>
        <v/>
      </c>
      <c r="K440" s="0" t="str">
        <f aca="false">IF(I440="","",J440*הגדרות!$E$6+I440+1)</f>
        <v/>
      </c>
      <c r="L440" s="0" t="str">
        <f aca="false">IF(K440="","",MATCH(K440,$F$2:$F$5001,0))</f>
        <v/>
      </c>
      <c r="M440" s="0" t="str">
        <f aca="false">IF(I440="","",INDEX(הגדרות!$A$2:$A$21,MOD(I440+הגדרות!$E$9,הגדרות!$E$6)+1))</f>
        <v/>
      </c>
    </row>
    <row r="441" customFormat="false" ht="15" hidden="false" customHeight="false" outlineLevel="0" collapsed="false">
      <c r="A441" s="0" t="str">
        <f aca="false">IF('הדבקת לידים'!A441="","",IF(ISNUMBER('הדבקת לידים'!A441),IF(הגדרות!$E$2&gt;0,TEXT('הדבקת לידים'!A441,REPT("0",הגדרות!$E$2)),TEXT('הדבקת לידים'!A441,"0")),TRIM('הדבקת לידים'!A441)))</f>
        <v/>
      </c>
      <c r="B441" s="0" t="str">
        <f aca="false">IF('הדבקת לידים'!B441="","",IF(ISNUMBER('הדבקת לידים'!B441),IF(הגדרות!$E$3&gt;0,TEXT('הדבקת לידים'!B441,REPT("0",הגדרות!$E$3)),TEXT('הדבקת לידים'!B441,"0")),TRIM('הדבקת לידים'!B441)))</f>
        <v/>
      </c>
      <c r="C441" s="0" t="n">
        <f aca="false">IF(OR(A441&lt;&gt;"",B441&lt;&gt;""),1,0)</f>
        <v>0</v>
      </c>
      <c r="D441" s="0" t="str">
        <f aca="false">IF(C441=1,MOD(ABS(SIN(ROW()*12.9898+'הדבקת לידים'!$F$2*78.233+IFERROR(--RIGHT(A441,6),LEN(A441))*0.0137+IFERROR(--RIGHT(B441,6),LEN(B441))*0.0071))*43758.5453,1),"")</f>
        <v/>
      </c>
      <c r="E441" s="0" t="str">
        <f aca="false">IF(C441=1,INT(MOD(ABS(SIN(D441*7919.123+ROW()*0.618+'הדבקת לידים'!$F$2*1.3))*43758.5453,1)*1000000)*10000+ROW(),"")</f>
        <v/>
      </c>
      <c r="F441" s="0" t="str">
        <f aca="false">IF(E441="","",RANK(E441,$E$2:$E$5001,1))</f>
        <v/>
      </c>
      <c r="G441" s="0" t="n">
        <f aca="false">IF(A441="",0,IF(SUMPRODUCT(--($A$2:$A$5001=A441))&gt;1,1,0))</f>
        <v>0</v>
      </c>
      <c r="H441" s="0" t="n">
        <f aca="false">ROW()-1</f>
        <v>440</v>
      </c>
      <c r="I441" s="0" t="str">
        <f aca="false">IF(OR(הגדרות!$E$6=0,H441&gt;הגדרות!$E$5),"",IF(H441-1&lt;הגדרות!$E$8*(הגדרות!$E$7+1),INT((H441-1)/(הגדרות!$E$7+1)),הגדרות!$E$8+INT((H441-1-הגדרות!$E$8*(הגדרות!$E$7+1))/הגדרות!$E$7)))</f>
        <v/>
      </c>
      <c r="J441" s="0" t="str">
        <f aca="false">IF(I441="","",IF(H441-1&lt;הגדרות!$E$8*(הגדרות!$E$7+1),MOD(H441-1,הגדרות!$E$7+1),MOD(H441-1-הגדרות!$E$8*(הגדרות!$E$7+1),הגדרות!$E$7)))</f>
        <v/>
      </c>
      <c r="K441" s="0" t="str">
        <f aca="false">IF(I441="","",J441*הגדרות!$E$6+I441+1)</f>
        <v/>
      </c>
      <c r="L441" s="0" t="str">
        <f aca="false">IF(K441="","",MATCH(K441,$F$2:$F$5001,0))</f>
        <v/>
      </c>
      <c r="M441" s="0" t="str">
        <f aca="false">IF(I441="","",INDEX(הגדרות!$A$2:$A$21,MOD(I441+הגדרות!$E$9,הגדרות!$E$6)+1))</f>
        <v/>
      </c>
    </row>
    <row r="442" customFormat="false" ht="15" hidden="false" customHeight="false" outlineLevel="0" collapsed="false">
      <c r="A442" s="0" t="str">
        <f aca="false">IF('הדבקת לידים'!A442="","",IF(ISNUMBER('הדבקת לידים'!A442),IF(הגדרות!$E$2&gt;0,TEXT('הדבקת לידים'!A442,REPT("0",הגדרות!$E$2)),TEXT('הדבקת לידים'!A442,"0")),TRIM('הדבקת לידים'!A442)))</f>
        <v/>
      </c>
      <c r="B442" s="0" t="str">
        <f aca="false">IF('הדבקת לידים'!B442="","",IF(ISNUMBER('הדבקת לידים'!B442),IF(הגדרות!$E$3&gt;0,TEXT('הדבקת לידים'!B442,REPT("0",הגדרות!$E$3)),TEXT('הדבקת לידים'!B442,"0")),TRIM('הדבקת לידים'!B442)))</f>
        <v/>
      </c>
      <c r="C442" s="0" t="n">
        <f aca="false">IF(OR(A442&lt;&gt;"",B442&lt;&gt;""),1,0)</f>
        <v>0</v>
      </c>
      <c r="D442" s="0" t="str">
        <f aca="false">IF(C442=1,MOD(ABS(SIN(ROW()*12.9898+'הדבקת לידים'!$F$2*78.233+IFERROR(--RIGHT(A442,6),LEN(A442))*0.0137+IFERROR(--RIGHT(B442,6),LEN(B442))*0.0071))*43758.5453,1),"")</f>
        <v/>
      </c>
      <c r="E442" s="0" t="str">
        <f aca="false">IF(C442=1,INT(MOD(ABS(SIN(D442*7919.123+ROW()*0.618+'הדבקת לידים'!$F$2*1.3))*43758.5453,1)*1000000)*10000+ROW(),"")</f>
        <v/>
      </c>
      <c r="F442" s="0" t="str">
        <f aca="false">IF(E442="","",RANK(E442,$E$2:$E$5001,1))</f>
        <v/>
      </c>
      <c r="G442" s="0" t="n">
        <f aca="false">IF(A442="",0,IF(SUMPRODUCT(--($A$2:$A$5001=A442))&gt;1,1,0))</f>
        <v>0</v>
      </c>
      <c r="H442" s="0" t="n">
        <f aca="false">ROW()-1</f>
        <v>441</v>
      </c>
      <c r="I442" s="0" t="str">
        <f aca="false">IF(OR(הגדרות!$E$6=0,H442&gt;הגדרות!$E$5),"",IF(H442-1&lt;הגדרות!$E$8*(הגדרות!$E$7+1),INT((H442-1)/(הגדרות!$E$7+1)),הגדרות!$E$8+INT((H442-1-הגדרות!$E$8*(הגדרות!$E$7+1))/הגדרות!$E$7)))</f>
        <v/>
      </c>
      <c r="J442" s="0" t="str">
        <f aca="false">IF(I442="","",IF(H442-1&lt;הגדרות!$E$8*(הגדרות!$E$7+1),MOD(H442-1,הגדרות!$E$7+1),MOD(H442-1-הגדרות!$E$8*(הגדרות!$E$7+1),הגדרות!$E$7)))</f>
        <v/>
      </c>
      <c r="K442" s="0" t="str">
        <f aca="false">IF(I442="","",J442*הגדרות!$E$6+I442+1)</f>
        <v/>
      </c>
      <c r="L442" s="0" t="str">
        <f aca="false">IF(K442="","",MATCH(K442,$F$2:$F$5001,0))</f>
        <v/>
      </c>
      <c r="M442" s="0" t="str">
        <f aca="false">IF(I442="","",INDEX(הגדרות!$A$2:$A$21,MOD(I442+הגדרות!$E$9,הגדרות!$E$6)+1))</f>
        <v/>
      </c>
    </row>
    <row r="443" customFormat="false" ht="15" hidden="false" customHeight="false" outlineLevel="0" collapsed="false">
      <c r="A443" s="0" t="str">
        <f aca="false">IF('הדבקת לידים'!A443="","",IF(ISNUMBER('הדבקת לידים'!A443),IF(הגדרות!$E$2&gt;0,TEXT('הדבקת לידים'!A443,REPT("0",הגדרות!$E$2)),TEXT('הדבקת לידים'!A443,"0")),TRIM('הדבקת לידים'!A443)))</f>
        <v/>
      </c>
      <c r="B443" s="0" t="str">
        <f aca="false">IF('הדבקת לידים'!B443="","",IF(ISNUMBER('הדבקת לידים'!B443),IF(הגדרות!$E$3&gt;0,TEXT('הדבקת לידים'!B443,REPT("0",הגדרות!$E$3)),TEXT('הדבקת לידים'!B443,"0")),TRIM('הדבקת לידים'!B443)))</f>
        <v/>
      </c>
      <c r="C443" s="0" t="n">
        <f aca="false">IF(OR(A443&lt;&gt;"",B443&lt;&gt;""),1,0)</f>
        <v>0</v>
      </c>
      <c r="D443" s="0" t="str">
        <f aca="false">IF(C443=1,MOD(ABS(SIN(ROW()*12.9898+'הדבקת לידים'!$F$2*78.233+IFERROR(--RIGHT(A443,6),LEN(A443))*0.0137+IFERROR(--RIGHT(B443,6),LEN(B443))*0.0071))*43758.5453,1),"")</f>
        <v/>
      </c>
      <c r="E443" s="0" t="str">
        <f aca="false">IF(C443=1,INT(MOD(ABS(SIN(D443*7919.123+ROW()*0.618+'הדבקת לידים'!$F$2*1.3))*43758.5453,1)*1000000)*10000+ROW(),"")</f>
        <v/>
      </c>
      <c r="F443" s="0" t="str">
        <f aca="false">IF(E443="","",RANK(E443,$E$2:$E$5001,1))</f>
        <v/>
      </c>
      <c r="G443" s="0" t="n">
        <f aca="false">IF(A443="",0,IF(SUMPRODUCT(--($A$2:$A$5001=A443))&gt;1,1,0))</f>
        <v>0</v>
      </c>
      <c r="H443" s="0" t="n">
        <f aca="false">ROW()-1</f>
        <v>442</v>
      </c>
      <c r="I443" s="0" t="str">
        <f aca="false">IF(OR(הגדרות!$E$6=0,H443&gt;הגדרות!$E$5),"",IF(H443-1&lt;הגדרות!$E$8*(הגדרות!$E$7+1),INT((H443-1)/(הגדרות!$E$7+1)),הגדרות!$E$8+INT((H443-1-הגדרות!$E$8*(הגדרות!$E$7+1))/הגדרות!$E$7)))</f>
        <v/>
      </c>
      <c r="J443" s="0" t="str">
        <f aca="false">IF(I443="","",IF(H443-1&lt;הגדרות!$E$8*(הגדרות!$E$7+1),MOD(H443-1,הגדרות!$E$7+1),MOD(H443-1-הגדרות!$E$8*(הגדרות!$E$7+1),הגדרות!$E$7)))</f>
        <v/>
      </c>
      <c r="K443" s="0" t="str">
        <f aca="false">IF(I443="","",J443*הגדרות!$E$6+I443+1)</f>
        <v/>
      </c>
      <c r="L443" s="0" t="str">
        <f aca="false">IF(K443="","",MATCH(K443,$F$2:$F$5001,0))</f>
        <v/>
      </c>
      <c r="M443" s="0" t="str">
        <f aca="false">IF(I443="","",INDEX(הגדרות!$A$2:$A$21,MOD(I443+הגדרות!$E$9,הגדרות!$E$6)+1))</f>
        <v/>
      </c>
    </row>
    <row r="444" customFormat="false" ht="15" hidden="false" customHeight="false" outlineLevel="0" collapsed="false">
      <c r="A444" s="0" t="str">
        <f aca="false">IF('הדבקת לידים'!A444="","",IF(ISNUMBER('הדבקת לידים'!A444),IF(הגדרות!$E$2&gt;0,TEXT('הדבקת לידים'!A444,REPT("0",הגדרות!$E$2)),TEXT('הדבקת לידים'!A444,"0")),TRIM('הדבקת לידים'!A444)))</f>
        <v/>
      </c>
      <c r="B444" s="0" t="str">
        <f aca="false">IF('הדבקת לידים'!B444="","",IF(ISNUMBER('הדבקת לידים'!B444),IF(הגדרות!$E$3&gt;0,TEXT('הדבקת לידים'!B444,REPT("0",הגדרות!$E$3)),TEXT('הדבקת לידים'!B444,"0")),TRIM('הדבקת לידים'!B444)))</f>
        <v/>
      </c>
      <c r="C444" s="0" t="n">
        <f aca="false">IF(OR(A444&lt;&gt;"",B444&lt;&gt;""),1,0)</f>
        <v>0</v>
      </c>
      <c r="D444" s="0" t="str">
        <f aca="false">IF(C444=1,MOD(ABS(SIN(ROW()*12.9898+'הדבקת לידים'!$F$2*78.233+IFERROR(--RIGHT(A444,6),LEN(A444))*0.0137+IFERROR(--RIGHT(B444,6),LEN(B444))*0.0071))*43758.5453,1),"")</f>
        <v/>
      </c>
      <c r="E444" s="0" t="str">
        <f aca="false">IF(C444=1,INT(MOD(ABS(SIN(D444*7919.123+ROW()*0.618+'הדבקת לידים'!$F$2*1.3))*43758.5453,1)*1000000)*10000+ROW(),"")</f>
        <v/>
      </c>
      <c r="F444" s="0" t="str">
        <f aca="false">IF(E444="","",RANK(E444,$E$2:$E$5001,1))</f>
        <v/>
      </c>
      <c r="G444" s="0" t="n">
        <f aca="false">IF(A444="",0,IF(SUMPRODUCT(--($A$2:$A$5001=A444))&gt;1,1,0))</f>
        <v>0</v>
      </c>
      <c r="H444" s="0" t="n">
        <f aca="false">ROW()-1</f>
        <v>443</v>
      </c>
      <c r="I444" s="0" t="str">
        <f aca="false">IF(OR(הגדרות!$E$6=0,H444&gt;הגדרות!$E$5),"",IF(H444-1&lt;הגדרות!$E$8*(הגדרות!$E$7+1),INT((H444-1)/(הגדרות!$E$7+1)),הגדרות!$E$8+INT((H444-1-הגדרות!$E$8*(הגדרות!$E$7+1))/הגדרות!$E$7)))</f>
        <v/>
      </c>
      <c r="J444" s="0" t="str">
        <f aca="false">IF(I444="","",IF(H444-1&lt;הגדרות!$E$8*(הגדרות!$E$7+1),MOD(H444-1,הגדרות!$E$7+1),MOD(H444-1-הגדרות!$E$8*(הגדרות!$E$7+1),הגדרות!$E$7)))</f>
        <v/>
      </c>
      <c r="K444" s="0" t="str">
        <f aca="false">IF(I444="","",J444*הגדרות!$E$6+I444+1)</f>
        <v/>
      </c>
      <c r="L444" s="0" t="str">
        <f aca="false">IF(K444="","",MATCH(K444,$F$2:$F$5001,0))</f>
        <v/>
      </c>
      <c r="M444" s="0" t="str">
        <f aca="false">IF(I444="","",INDEX(הגדרות!$A$2:$A$21,MOD(I444+הגדרות!$E$9,הגדרות!$E$6)+1))</f>
        <v/>
      </c>
    </row>
    <row r="445" customFormat="false" ht="15" hidden="false" customHeight="false" outlineLevel="0" collapsed="false">
      <c r="A445" s="0" t="str">
        <f aca="false">IF('הדבקת לידים'!A445="","",IF(ISNUMBER('הדבקת לידים'!A445),IF(הגדרות!$E$2&gt;0,TEXT('הדבקת לידים'!A445,REPT("0",הגדרות!$E$2)),TEXT('הדבקת לידים'!A445,"0")),TRIM('הדבקת לידים'!A445)))</f>
        <v/>
      </c>
      <c r="B445" s="0" t="str">
        <f aca="false">IF('הדבקת לידים'!B445="","",IF(ISNUMBER('הדבקת לידים'!B445),IF(הגדרות!$E$3&gt;0,TEXT('הדבקת לידים'!B445,REPT("0",הגדרות!$E$3)),TEXT('הדבקת לידים'!B445,"0")),TRIM('הדבקת לידים'!B445)))</f>
        <v/>
      </c>
      <c r="C445" s="0" t="n">
        <f aca="false">IF(OR(A445&lt;&gt;"",B445&lt;&gt;""),1,0)</f>
        <v>0</v>
      </c>
      <c r="D445" s="0" t="str">
        <f aca="false">IF(C445=1,MOD(ABS(SIN(ROW()*12.9898+'הדבקת לידים'!$F$2*78.233+IFERROR(--RIGHT(A445,6),LEN(A445))*0.0137+IFERROR(--RIGHT(B445,6),LEN(B445))*0.0071))*43758.5453,1),"")</f>
        <v/>
      </c>
      <c r="E445" s="0" t="str">
        <f aca="false">IF(C445=1,INT(MOD(ABS(SIN(D445*7919.123+ROW()*0.618+'הדבקת לידים'!$F$2*1.3))*43758.5453,1)*1000000)*10000+ROW(),"")</f>
        <v/>
      </c>
      <c r="F445" s="0" t="str">
        <f aca="false">IF(E445="","",RANK(E445,$E$2:$E$5001,1))</f>
        <v/>
      </c>
      <c r="G445" s="0" t="n">
        <f aca="false">IF(A445="",0,IF(SUMPRODUCT(--($A$2:$A$5001=A445))&gt;1,1,0))</f>
        <v>0</v>
      </c>
      <c r="H445" s="0" t="n">
        <f aca="false">ROW()-1</f>
        <v>444</v>
      </c>
      <c r="I445" s="0" t="str">
        <f aca="false">IF(OR(הגדרות!$E$6=0,H445&gt;הגדרות!$E$5),"",IF(H445-1&lt;הגדרות!$E$8*(הגדרות!$E$7+1),INT((H445-1)/(הגדרות!$E$7+1)),הגדרות!$E$8+INT((H445-1-הגדרות!$E$8*(הגדרות!$E$7+1))/הגדרות!$E$7)))</f>
        <v/>
      </c>
      <c r="J445" s="0" t="str">
        <f aca="false">IF(I445="","",IF(H445-1&lt;הגדרות!$E$8*(הגדרות!$E$7+1),MOD(H445-1,הגדרות!$E$7+1),MOD(H445-1-הגדרות!$E$8*(הגדרות!$E$7+1),הגדרות!$E$7)))</f>
        <v/>
      </c>
      <c r="K445" s="0" t="str">
        <f aca="false">IF(I445="","",J445*הגדרות!$E$6+I445+1)</f>
        <v/>
      </c>
      <c r="L445" s="0" t="str">
        <f aca="false">IF(K445="","",MATCH(K445,$F$2:$F$5001,0))</f>
        <v/>
      </c>
      <c r="M445" s="0" t="str">
        <f aca="false">IF(I445="","",INDEX(הגדרות!$A$2:$A$21,MOD(I445+הגדרות!$E$9,הגדרות!$E$6)+1))</f>
        <v/>
      </c>
    </row>
    <row r="446" customFormat="false" ht="15" hidden="false" customHeight="false" outlineLevel="0" collapsed="false">
      <c r="A446" s="0" t="str">
        <f aca="false">IF('הדבקת לידים'!A446="","",IF(ISNUMBER('הדבקת לידים'!A446),IF(הגדרות!$E$2&gt;0,TEXT('הדבקת לידים'!A446,REPT("0",הגדרות!$E$2)),TEXT('הדבקת לידים'!A446,"0")),TRIM('הדבקת לידים'!A446)))</f>
        <v/>
      </c>
      <c r="B446" s="0" t="str">
        <f aca="false">IF('הדבקת לידים'!B446="","",IF(ISNUMBER('הדבקת לידים'!B446),IF(הגדרות!$E$3&gt;0,TEXT('הדבקת לידים'!B446,REPT("0",הגדרות!$E$3)),TEXT('הדבקת לידים'!B446,"0")),TRIM('הדבקת לידים'!B446)))</f>
        <v/>
      </c>
      <c r="C446" s="0" t="n">
        <f aca="false">IF(OR(A446&lt;&gt;"",B446&lt;&gt;""),1,0)</f>
        <v>0</v>
      </c>
      <c r="D446" s="0" t="str">
        <f aca="false">IF(C446=1,MOD(ABS(SIN(ROW()*12.9898+'הדבקת לידים'!$F$2*78.233+IFERROR(--RIGHT(A446,6),LEN(A446))*0.0137+IFERROR(--RIGHT(B446,6),LEN(B446))*0.0071))*43758.5453,1),"")</f>
        <v/>
      </c>
      <c r="E446" s="0" t="str">
        <f aca="false">IF(C446=1,INT(MOD(ABS(SIN(D446*7919.123+ROW()*0.618+'הדבקת לידים'!$F$2*1.3))*43758.5453,1)*1000000)*10000+ROW(),"")</f>
        <v/>
      </c>
      <c r="F446" s="0" t="str">
        <f aca="false">IF(E446="","",RANK(E446,$E$2:$E$5001,1))</f>
        <v/>
      </c>
      <c r="G446" s="0" t="n">
        <f aca="false">IF(A446="",0,IF(SUMPRODUCT(--($A$2:$A$5001=A446))&gt;1,1,0))</f>
        <v>0</v>
      </c>
      <c r="H446" s="0" t="n">
        <f aca="false">ROW()-1</f>
        <v>445</v>
      </c>
      <c r="I446" s="0" t="str">
        <f aca="false">IF(OR(הגדרות!$E$6=0,H446&gt;הגדרות!$E$5),"",IF(H446-1&lt;הגדרות!$E$8*(הגדרות!$E$7+1),INT((H446-1)/(הגדרות!$E$7+1)),הגדרות!$E$8+INT((H446-1-הגדרות!$E$8*(הגדרות!$E$7+1))/הגדרות!$E$7)))</f>
        <v/>
      </c>
      <c r="J446" s="0" t="str">
        <f aca="false">IF(I446="","",IF(H446-1&lt;הגדרות!$E$8*(הגדרות!$E$7+1),MOD(H446-1,הגדרות!$E$7+1),MOD(H446-1-הגדרות!$E$8*(הגדרות!$E$7+1),הגדרות!$E$7)))</f>
        <v/>
      </c>
      <c r="K446" s="0" t="str">
        <f aca="false">IF(I446="","",J446*הגדרות!$E$6+I446+1)</f>
        <v/>
      </c>
      <c r="L446" s="0" t="str">
        <f aca="false">IF(K446="","",MATCH(K446,$F$2:$F$5001,0))</f>
        <v/>
      </c>
      <c r="M446" s="0" t="str">
        <f aca="false">IF(I446="","",INDEX(הגדרות!$A$2:$A$21,MOD(I446+הגדרות!$E$9,הגדרות!$E$6)+1))</f>
        <v/>
      </c>
    </row>
    <row r="447" customFormat="false" ht="15" hidden="false" customHeight="false" outlineLevel="0" collapsed="false">
      <c r="A447" s="0" t="str">
        <f aca="false">IF('הדבקת לידים'!A447="","",IF(ISNUMBER('הדבקת לידים'!A447),IF(הגדרות!$E$2&gt;0,TEXT('הדבקת לידים'!A447,REPT("0",הגדרות!$E$2)),TEXT('הדבקת לידים'!A447,"0")),TRIM('הדבקת לידים'!A447)))</f>
        <v/>
      </c>
      <c r="B447" s="0" t="str">
        <f aca="false">IF('הדבקת לידים'!B447="","",IF(ISNUMBER('הדבקת לידים'!B447),IF(הגדרות!$E$3&gt;0,TEXT('הדבקת לידים'!B447,REPT("0",הגדרות!$E$3)),TEXT('הדבקת לידים'!B447,"0")),TRIM('הדבקת לידים'!B447)))</f>
        <v/>
      </c>
      <c r="C447" s="0" t="n">
        <f aca="false">IF(OR(A447&lt;&gt;"",B447&lt;&gt;""),1,0)</f>
        <v>0</v>
      </c>
      <c r="D447" s="0" t="str">
        <f aca="false">IF(C447=1,MOD(ABS(SIN(ROW()*12.9898+'הדבקת לידים'!$F$2*78.233+IFERROR(--RIGHT(A447,6),LEN(A447))*0.0137+IFERROR(--RIGHT(B447,6),LEN(B447))*0.0071))*43758.5453,1),"")</f>
        <v/>
      </c>
      <c r="E447" s="0" t="str">
        <f aca="false">IF(C447=1,INT(MOD(ABS(SIN(D447*7919.123+ROW()*0.618+'הדבקת לידים'!$F$2*1.3))*43758.5453,1)*1000000)*10000+ROW(),"")</f>
        <v/>
      </c>
      <c r="F447" s="0" t="str">
        <f aca="false">IF(E447="","",RANK(E447,$E$2:$E$5001,1))</f>
        <v/>
      </c>
      <c r="G447" s="0" t="n">
        <f aca="false">IF(A447="",0,IF(SUMPRODUCT(--($A$2:$A$5001=A447))&gt;1,1,0))</f>
        <v>0</v>
      </c>
      <c r="H447" s="0" t="n">
        <f aca="false">ROW()-1</f>
        <v>446</v>
      </c>
      <c r="I447" s="0" t="str">
        <f aca="false">IF(OR(הגדרות!$E$6=0,H447&gt;הגדרות!$E$5),"",IF(H447-1&lt;הגדרות!$E$8*(הגדרות!$E$7+1),INT((H447-1)/(הגדרות!$E$7+1)),הגדרות!$E$8+INT((H447-1-הגדרות!$E$8*(הגדרות!$E$7+1))/הגדרות!$E$7)))</f>
        <v/>
      </c>
      <c r="J447" s="0" t="str">
        <f aca="false">IF(I447="","",IF(H447-1&lt;הגדרות!$E$8*(הגדרות!$E$7+1),MOD(H447-1,הגדרות!$E$7+1),MOD(H447-1-הגדרות!$E$8*(הגדרות!$E$7+1),הגדרות!$E$7)))</f>
        <v/>
      </c>
      <c r="K447" s="0" t="str">
        <f aca="false">IF(I447="","",J447*הגדרות!$E$6+I447+1)</f>
        <v/>
      </c>
      <c r="L447" s="0" t="str">
        <f aca="false">IF(K447="","",MATCH(K447,$F$2:$F$5001,0))</f>
        <v/>
      </c>
      <c r="M447" s="0" t="str">
        <f aca="false">IF(I447="","",INDEX(הגדרות!$A$2:$A$21,MOD(I447+הגדרות!$E$9,הגדרות!$E$6)+1))</f>
        <v/>
      </c>
    </row>
    <row r="448" customFormat="false" ht="15" hidden="false" customHeight="false" outlineLevel="0" collapsed="false">
      <c r="A448" s="0" t="str">
        <f aca="false">IF('הדבקת לידים'!A448="","",IF(ISNUMBER('הדבקת לידים'!A448),IF(הגדרות!$E$2&gt;0,TEXT('הדבקת לידים'!A448,REPT("0",הגדרות!$E$2)),TEXT('הדבקת לידים'!A448,"0")),TRIM('הדבקת לידים'!A448)))</f>
        <v/>
      </c>
      <c r="B448" s="0" t="str">
        <f aca="false">IF('הדבקת לידים'!B448="","",IF(ISNUMBER('הדבקת לידים'!B448),IF(הגדרות!$E$3&gt;0,TEXT('הדבקת לידים'!B448,REPT("0",הגדרות!$E$3)),TEXT('הדבקת לידים'!B448,"0")),TRIM('הדבקת לידים'!B448)))</f>
        <v/>
      </c>
      <c r="C448" s="0" t="n">
        <f aca="false">IF(OR(A448&lt;&gt;"",B448&lt;&gt;""),1,0)</f>
        <v>0</v>
      </c>
      <c r="D448" s="0" t="str">
        <f aca="false">IF(C448=1,MOD(ABS(SIN(ROW()*12.9898+'הדבקת לידים'!$F$2*78.233+IFERROR(--RIGHT(A448,6),LEN(A448))*0.0137+IFERROR(--RIGHT(B448,6),LEN(B448))*0.0071))*43758.5453,1),"")</f>
        <v/>
      </c>
      <c r="E448" s="0" t="str">
        <f aca="false">IF(C448=1,INT(MOD(ABS(SIN(D448*7919.123+ROW()*0.618+'הדבקת לידים'!$F$2*1.3))*43758.5453,1)*1000000)*10000+ROW(),"")</f>
        <v/>
      </c>
      <c r="F448" s="0" t="str">
        <f aca="false">IF(E448="","",RANK(E448,$E$2:$E$5001,1))</f>
        <v/>
      </c>
      <c r="G448" s="0" t="n">
        <f aca="false">IF(A448="",0,IF(SUMPRODUCT(--($A$2:$A$5001=A448))&gt;1,1,0))</f>
        <v>0</v>
      </c>
      <c r="H448" s="0" t="n">
        <f aca="false">ROW()-1</f>
        <v>447</v>
      </c>
      <c r="I448" s="0" t="str">
        <f aca="false">IF(OR(הגדרות!$E$6=0,H448&gt;הגדרות!$E$5),"",IF(H448-1&lt;הגדרות!$E$8*(הגדרות!$E$7+1),INT((H448-1)/(הגדרות!$E$7+1)),הגדרות!$E$8+INT((H448-1-הגדרות!$E$8*(הגדרות!$E$7+1))/הגדרות!$E$7)))</f>
        <v/>
      </c>
      <c r="J448" s="0" t="str">
        <f aca="false">IF(I448="","",IF(H448-1&lt;הגדרות!$E$8*(הגדרות!$E$7+1),MOD(H448-1,הגדרות!$E$7+1),MOD(H448-1-הגדרות!$E$8*(הגדרות!$E$7+1),הגדרות!$E$7)))</f>
        <v/>
      </c>
      <c r="K448" s="0" t="str">
        <f aca="false">IF(I448="","",J448*הגדרות!$E$6+I448+1)</f>
        <v/>
      </c>
      <c r="L448" s="0" t="str">
        <f aca="false">IF(K448="","",MATCH(K448,$F$2:$F$5001,0))</f>
        <v/>
      </c>
      <c r="M448" s="0" t="str">
        <f aca="false">IF(I448="","",INDEX(הגדרות!$A$2:$A$21,MOD(I448+הגדרות!$E$9,הגדרות!$E$6)+1))</f>
        <v/>
      </c>
    </row>
    <row r="449" customFormat="false" ht="15" hidden="false" customHeight="false" outlineLevel="0" collapsed="false">
      <c r="A449" s="0" t="str">
        <f aca="false">IF('הדבקת לידים'!A449="","",IF(ISNUMBER('הדבקת לידים'!A449),IF(הגדרות!$E$2&gt;0,TEXT('הדבקת לידים'!A449,REPT("0",הגדרות!$E$2)),TEXT('הדבקת לידים'!A449,"0")),TRIM('הדבקת לידים'!A449)))</f>
        <v/>
      </c>
      <c r="B449" s="0" t="str">
        <f aca="false">IF('הדבקת לידים'!B449="","",IF(ISNUMBER('הדבקת לידים'!B449),IF(הגדרות!$E$3&gt;0,TEXT('הדבקת לידים'!B449,REPT("0",הגדרות!$E$3)),TEXT('הדבקת לידים'!B449,"0")),TRIM('הדבקת לידים'!B449)))</f>
        <v/>
      </c>
      <c r="C449" s="0" t="n">
        <f aca="false">IF(OR(A449&lt;&gt;"",B449&lt;&gt;""),1,0)</f>
        <v>0</v>
      </c>
      <c r="D449" s="0" t="str">
        <f aca="false">IF(C449=1,MOD(ABS(SIN(ROW()*12.9898+'הדבקת לידים'!$F$2*78.233+IFERROR(--RIGHT(A449,6),LEN(A449))*0.0137+IFERROR(--RIGHT(B449,6),LEN(B449))*0.0071))*43758.5453,1),"")</f>
        <v/>
      </c>
      <c r="E449" s="0" t="str">
        <f aca="false">IF(C449=1,INT(MOD(ABS(SIN(D449*7919.123+ROW()*0.618+'הדבקת לידים'!$F$2*1.3))*43758.5453,1)*1000000)*10000+ROW(),"")</f>
        <v/>
      </c>
      <c r="F449" s="0" t="str">
        <f aca="false">IF(E449="","",RANK(E449,$E$2:$E$5001,1))</f>
        <v/>
      </c>
      <c r="G449" s="0" t="n">
        <f aca="false">IF(A449="",0,IF(SUMPRODUCT(--($A$2:$A$5001=A449))&gt;1,1,0))</f>
        <v>0</v>
      </c>
      <c r="H449" s="0" t="n">
        <f aca="false">ROW()-1</f>
        <v>448</v>
      </c>
      <c r="I449" s="0" t="str">
        <f aca="false">IF(OR(הגדרות!$E$6=0,H449&gt;הגדרות!$E$5),"",IF(H449-1&lt;הגדרות!$E$8*(הגדרות!$E$7+1),INT((H449-1)/(הגדרות!$E$7+1)),הגדרות!$E$8+INT((H449-1-הגדרות!$E$8*(הגדרות!$E$7+1))/הגדרות!$E$7)))</f>
        <v/>
      </c>
      <c r="J449" s="0" t="str">
        <f aca="false">IF(I449="","",IF(H449-1&lt;הגדרות!$E$8*(הגדרות!$E$7+1),MOD(H449-1,הגדרות!$E$7+1),MOD(H449-1-הגדרות!$E$8*(הגדרות!$E$7+1),הגדרות!$E$7)))</f>
        <v/>
      </c>
      <c r="K449" s="0" t="str">
        <f aca="false">IF(I449="","",J449*הגדרות!$E$6+I449+1)</f>
        <v/>
      </c>
      <c r="L449" s="0" t="str">
        <f aca="false">IF(K449="","",MATCH(K449,$F$2:$F$5001,0))</f>
        <v/>
      </c>
      <c r="M449" s="0" t="str">
        <f aca="false">IF(I449="","",INDEX(הגדרות!$A$2:$A$21,MOD(I449+הגדרות!$E$9,הגדרות!$E$6)+1))</f>
        <v/>
      </c>
    </row>
    <row r="450" customFormat="false" ht="15" hidden="false" customHeight="false" outlineLevel="0" collapsed="false">
      <c r="A450" s="0" t="str">
        <f aca="false">IF('הדבקת לידים'!A450="","",IF(ISNUMBER('הדבקת לידים'!A450),IF(הגדרות!$E$2&gt;0,TEXT('הדבקת לידים'!A450,REPT("0",הגדרות!$E$2)),TEXT('הדבקת לידים'!A450,"0")),TRIM('הדבקת לידים'!A450)))</f>
        <v/>
      </c>
      <c r="B450" s="0" t="str">
        <f aca="false">IF('הדבקת לידים'!B450="","",IF(ISNUMBER('הדבקת לידים'!B450),IF(הגדרות!$E$3&gt;0,TEXT('הדבקת לידים'!B450,REPT("0",הגדרות!$E$3)),TEXT('הדבקת לידים'!B450,"0")),TRIM('הדבקת לידים'!B450)))</f>
        <v/>
      </c>
      <c r="C450" s="0" t="n">
        <f aca="false">IF(OR(A450&lt;&gt;"",B450&lt;&gt;""),1,0)</f>
        <v>0</v>
      </c>
      <c r="D450" s="0" t="str">
        <f aca="false">IF(C450=1,MOD(ABS(SIN(ROW()*12.9898+'הדבקת לידים'!$F$2*78.233+IFERROR(--RIGHT(A450,6),LEN(A450))*0.0137+IFERROR(--RIGHT(B450,6),LEN(B450))*0.0071))*43758.5453,1),"")</f>
        <v/>
      </c>
      <c r="E450" s="0" t="str">
        <f aca="false">IF(C450=1,INT(MOD(ABS(SIN(D450*7919.123+ROW()*0.618+'הדבקת לידים'!$F$2*1.3))*43758.5453,1)*1000000)*10000+ROW(),"")</f>
        <v/>
      </c>
      <c r="F450" s="0" t="str">
        <f aca="false">IF(E450="","",RANK(E450,$E$2:$E$5001,1))</f>
        <v/>
      </c>
      <c r="G450" s="0" t="n">
        <f aca="false">IF(A450="",0,IF(SUMPRODUCT(--($A$2:$A$5001=A450))&gt;1,1,0))</f>
        <v>0</v>
      </c>
      <c r="H450" s="0" t="n">
        <f aca="false">ROW()-1</f>
        <v>449</v>
      </c>
      <c r="I450" s="0" t="str">
        <f aca="false">IF(OR(הגדרות!$E$6=0,H450&gt;הגדרות!$E$5),"",IF(H450-1&lt;הגדרות!$E$8*(הגדרות!$E$7+1),INT((H450-1)/(הגדרות!$E$7+1)),הגדרות!$E$8+INT((H450-1-הגדרות!$E$8*(הגדרות!$E$7+1))/הגדרות!$E$7)))</f>
        <v/>
      </c>
      <c r="J450" s="0" t="str">
        <f aca="false">IF(I450="","",IF(H450-1&lt;הגדרות!$E$8*(הגדרות!$E$7+1),MOD(H450-1,הגדרות!$E$7+1),MOD(H450-1-הגדרות!$E$8*(הגדרות!$E$7+1),הגדרות!$E$7)))</f>
        <v/>
      </c>
      <c r="K450" s="0" t="str">
        <f aca="false">IF(I450="","",J450*הגדרות!$E$6+I450+1)</f>
        <v/>
      </c>
      <c r="L450" s="0" t="str">
        <f aca="false">IF(K450="","",MATCH(K450,$F$2:$F$5001,0))</f>
        <v/>
      </c>
      <c r="M450" s="0" t="str">
        <f aca="false">IF(I450="","",INDEX(הגדרות!$A$2:$A$21,MOD(I450+הגדרות!$E$9,הגדרות!$E$6)+1))</f>
        <v/>
      </c>
    </row>
    <row r="451" customFormat="false" ht="15" hidden="false" customHeight="false" outlineLevel="0" collapsed="false">
      <c r="A451" s="0" t="str">
        <f aca="false">IF('הדבקת לידים'!A451="","",IF(ISNUMBER('הדבקת לידים'!A451),IF(הגדרות!$E$2&gt;0,TEXT('הדבקת לידים'!A451,REPT("0",הגדרות!$E$2)),TEXT('הדבקת לידים'!A451,"0")),TRIM('הדבקת לידים'!A451)))</f>
        <v/>
      </c>
      <c r="B451" s="0" t="str">
        <f aca="false">IF('הדבקת לידים'!B451="","",IF(ISNUMBER('הדבקת לידים'!B451),IF(הגדרות!$E$3&gt;0,TEXT('הדבקת לידים'!B451,REPT("0",הגדרות!$E$3)),TEXT('הדבקת לידים'!B451,"0")),TRIM('הדבקת לידים'!B451)))</f>
        <v/>
      </c>
      <c r="C451" s="0" t="n">
        <f aca="false">IF(OR(A451&lt;&gt;"",B451&lt;&gt;""),1,0)</f>
        <v>0</v>
      </c>
      <c r="D451" s="0" t="str">
        <f aca="false">IF(C451=1,MOD(ABS(SIN(ROW()*12.9898+'הדבקת לידים'!$F$2*78.233+IFERROR(--RIGHT(A451,6),LEN(A451))*0.0137+IFERROR(--RIGHT(B451,6),LEN(B451))*0.0071))*43758.5453,1),"")</f>
        <v/>
      </c>
      <c r="E451" s="0" t="str">
        <f aca="false">IF(C451=1,INT(MOD(ABS(SIN(D451*7919.123+ROW()*0.618+'הדבקת לידים'!$F$2*1.3))*43758.5453,1)*1000000)*10000+ROW(),"")</f>
        <v/>
      </c>
      <c r="F451" s="0" t="str">
        <f aca="false">IF(E451="","",RANK(E451,$E$2:$E$5001,1))</f>
        <v/>
      </c>
      <c r="G451" s="0" t="n">
        <f aca="false">IF(A451="",0,IF(SUMPRODUCT(--($A$2:$A$5001=A451))&gt;1,1,0))</f>
        <v>0</v>
      </c>
      <c r="H451" s="0" t="n">
        <f aca="false">ROW()-1</f>
        <v>450</v>
      </c>
      <c r="I451" s="0" t="str">
        <f aca="false">IF(OR(הגדרות!$E$6=0,H451&gt;הגדרות!$E$5),"",IF(H451-1&lt;הגדרות!$E$8*(הגדרות!$E$7+1),INT((H451-1)/(הגדרות!$E$7+1)),הגדרות!$E$8+INT((H451-1-הגדרות!$E$8*(הגדרות!$E$7+1))/הגדרות!$E$7)))</f>
        <v/>
      </c>
      <c r="J451" s="0" t="str">
        <f aca="false">IF(I451="","",IF(H451-1&lt;הגדרות!$E$8*(הגדרות!$E$7+1),MOD(H451-1,הגדרות!$E$7+1),MOD(H451-1-הגדרות!$E$8*(הגדרות!$E$7+1),הגדרות!$E$7)))</f>
        <v/>
      </c>
      <c r="K451" s="0" t="str">
        <f aca="false">IF(I451="","",J451*הגדרות!$E$6+I451+1)</f>
        <v/>
      </c>
      <c r="L451" s="0" t="str">
        <f aca="false">IF(K451="","",MATCH(K451,$F$2:$F$5001,0))</f>
        <v/>
      </c>
      <c r="M451" s="0" t="str">
        <f aca="false">IF(I451="","",INDEX(הגדרות!$A$2:$A$21,MOD(I451+הגדרות!$E$9,הגדרות!$E$6)+1))</f>
        <v/>
      </c>
    </row>
    <row r="452" customFormat="false" ht="15" hidden="false" customHeight="false" outlineLevel="0" collapsed="false">
      <c r="A452" s="0" t="str">
        <f aca="false">IF('הדבקת לידים'!A452="","",IF(ISNUMBER('הדבקת לידים'!A452),IF(הגדרות!$E$2&gt;0,TEXT('הדבקת לידים'!A452,REPT("0",הגדרות!$E$2)),TEXT('הדבקת לידים'!A452,"0")),TRIM('הדבקת לידים'!A452)))</f>
        <v/>
      </c>
      <c r="B452" s="0" t="str">
        <f aca="false">IF('הדבקת לידים'!B452="","",IF(ISNUMBER('הדבקת לידים'!B452),IF(הגדרות!$E$3&gt;0,TEXT('הדבקת לידים'!B452,REPT("0",הגדרות!$E$3)),TEXT('הדבקת לידים'!B452,"0")),TRIM('הדבקת לידים'!B452)))</f>
        <v/>
      </c>
      <c r="C452" s="0" t="n">
        <f aca="false">IF(OR(A452&lt;&gt;"",B452&lt;&gt;""),1,0)</f>
        <v>0</v>
      </c>
      <c r="D452" s="0" t="str">
        <f aca="false">IF(C452=1,MOD(ABS(SIN(ROW()*12.9898+'הדבקת לידים'!$F$2*78.233+IFERROR(--RIGHT(A452,6),LEN(A452))*0.0137+IFERROR(--RIGHT(B452,6),LEN(B452))*0.0071))*43758.5453,1),"")</f>
        <v/>
      </c>
      <c r="E452" s="0" t="str">
        <f aca="false">IF(C452=1,INT(MOD(ABS(SIN(D452*7919.123+ROW()*0.618+'הדבקת לידים'!$F$2*1.3))*43758.5453,1)*1000000)*10000+ROW(),"")</f>
        <v/>
      </c>
      <c r="F452" s="0" t="str">
        <f aca="false">IF(E452="","",RANK(E452,$E$2:$E$5001,1))</f>
        <v/>
      </c>
      <c r="G452" s="0" t="n">
        <f aca="false">IF(A452="",0,IF(SUMPRODUCT(--($A$2:$A$5001=A452))&gt;1,1,0))</f>
        <v>0</v>
      </c>
      <c r="H452" s="0" t="n">
        <f aca="false">ROW()-1</f>
        <v>451</v>
      </c>
      <c r="I452" s="0" t="str">
        <f aca="false">IF(OR(הגדרות!$E$6=0,H452&gt;הגדרות!$E$5),"",IF(H452-1&lt;הגדרות!$E$8*(הגדרות!$E$7+1),INT((H452-1)/(הגדרות!$E$7+1)),הגדרות!$E$8+INT((H452-1-הגדרות!$E$8*(הגדרות!$E$7+1))/הגדרות!$E$7)))</f>
        <v/>
      </c>
      <c r="J452" s="0" t="str">
        <f aca="false">IF(I452="","",IF(H452-1&lt;הגדרות!$E$8*(הגדרות!$E$7+1),MOD(H452-1,הגדרות!$E$7+1),MOD(H452-1-הגדרות!$E$8*(הגדרות!$E$7+1),הגדרות!$E$7)))</f>
        <v/>
      </c>
      <c r="K452" s="0" t="str">
        <f aca="false">IF(I452="","",J452*הגדרות!$E$6+I452+1)</f>
        <v/>
      </c>
      <c r="L452" s="0" t="str">
        <f aca="false">IF(K452="","",MATCH(K452,$F$2:$F$5001,0))</f>
        <v/>
      </c>
      <c r="M452" s="0" t="str">
        <f aca="false">IF(I452="","",INDEX(הגדרות!$A$2:$A$21,MOD(I452+הגדרות!$E$9,הגדרות!$E$6)+1))</f>
        <v/>
      </c>
    </row>
    <row r="453" customFormat="false" ht="15" hidden="false" customHeight="false" outlineLevel="0" collapsed="false">
      <c r="A453" s="0" t="str">
        <f aca="false">IF('הדבקת לידים'!A453="","",IF(ISNUMBER('הדבקת לידים'!A453),IF(הגדרות!$E$2&gt;0,TEXT('הדבקת לידים'!A453,REPT("0",הגדרות!$E$2)),TEXT('הדבקת לידים'!A453,"0")),TRIM('הדבקת לידים'!A453)))</f>
        <v/>
      </c>
      <c r="B453" s="0" t="str">
        <f aca="false">IF('הדבקת לידים'!B453="","",IF(ISNUMBER('הדבקת לידים'!B453),IF(הגדרות!$E$3&gt;0,TEXT('הדבקת לידים'!B453,REPT("0",הגדרות!$E$3)),TEXT('הדבקת לידים'!B453,"0")),TRIM('הדבקת לידים'!B453)))</f>
        <v/>
      </c>
      <c r="C453" s="0" t="n">
        <f aca="false">IF(OR(A453&lt;&gt;"",B453&lt;&gt;""),1,0)</f>
        <v>0</v>
      </c>
      <c r="D453" s="0" t="str">
        <f aca="false">IF(C453=1,MOD(ABS(SIN(ROW()*12.9898+'הדבקת לידים'!$F$2*78.233+IFERROR(--RIGHT(A453,6),LEN(A453))*0.0137+IFERROR(--RIGHT(B453,6),LEN(B453))*0.0071))*43758.5453,1),"")</f>
        <v/>
      </c>
      <c r="E453" s="0" t="str">
        <f aca="false">IF(C453=1,INT(MOD(ABS(SIN(D453*7919.123+ROW()*0.618+'הדבקת לידים'!$F$2*1.3))*43758.5453,1)*1000000)*10000+ROW(),"")</f>
        <v/>
      </c>
      <c r="F453" s="0" t="str">
        <f aca="false">IF(E453="","",RANK(E453,$E$2:$E$5001,1))</f>
        <v/>
      </c>
      <c r="G453" s="0" t="n">
        <f aca="false">IF(A453="",0,IF(SUMPRODUCT(--($A$2:$A$5001=A453))&gt;1,1,0))</f>
        <v>0</v>
      </c>
      <c r="H453" s="0" t="n">
        <f aca="false">ROW()-1</f>
        <v>452</v>
      </c>
      <c r="I453" s="0" t="str">
        <f aca="false">IF(OR(הגדרות!$E$6=0,H453&gt;הגדרות!$E$5),"",IF(H453-1&lt;הגדרות!$E$8*(הגדרות!$E$7+1),INT((H453-1)/(הגדרות!$E$7+1)),הגדרות!$E$8+INT((H453-1-הגדרות!$E$8*(הגדרות!$E$7+1))/הגדרות!$E$7)))</f>
        <v/>
      </c>
      <c r="J453" s="0" t="str">
        <f aca="false">IF(I453="","",IF(H453-1&lt;הגדרות!$E$8*(הגדרות!$E$7+1),MOD(H453-1,הגדרות!$E$7+1),MOD(H453-1-הגדרות!$E$8*(הגדרות!$E$7+1),הגדרות!$E$7)))</f>
        <v/>
      </c>
      <c r="K453" s="0" t="str">
        <f aca="false">IF(I453="","",J453*הגדרות!$E$6+I453+1)</f>
        <v/>
      </c>
      <c r="L453" s="0" t="str">
        <f aca="false">IF(K453="","",MATCH(K453,$F$2:$F$5001,0))</f>
        <v/>
      </c>
      <c r="M453" s="0" t="str">
        <f aca="false">IF(I453="","",INDEX(הגדרות!$A$2:$A$21,MOD(I453+הגדרות!$E$9,הגדרות!$E$6)+1))</f>
        <v/>
      </c>
    </row>
    <row r="454" customFormat="false" ht="15" hidden="false" customHeight="false" outlineLevel="0" collapsed="false">
      <c r="A454" s="0" t="str">
        <f aca="false">IF('הדבקת לידים'!A454="","",IF(ISNUMBER('הדבקת לידים'!A454),IF(הגדרות!$E$2&gt;0,TEXT('הדבקת לידים'!A454,REPT("0",הגדרות!$E$2)),TEXT('הדבקת לידים'!A454,"0")),TRIM('הדבקת לידים'!A454)))</f>
        <v/>
      </c>
      <c r="B454" s="0" t="str">
        <f aca="false">IF('הדבקת לידים'!B454="","",IF(ISNUMBER('הדבקת לידים'!B454),IF(הגדרות!$E$3&gt;0,TEXT('הדבקת לידים'!B454,REPT("0",הגדרות!$E$3)),TEXT('הדבקת לידים'!B454,"0")),TRIM('הדבקת לידים'!B454)))</f>
        <v/>
      </c>
      <c r="C454" s="0" t="n">
        <f aca="false">IF(OR(A454&lt;&gt;"",B454&lt;&gt;""),1,0)</f>
        <v>0</v>
      </c>
      <c r="D454" s="0" t="str">
        <f aca="false">IF(C454=1,MOD(ABS(SIN(ROW()*12.9898+'הדבקת לידים'!$F$2*78.233+IFERROR(--RIGHT(A454,6),LEN(A454))*0.0137+IFERROR(--RIGHT(B454,6),LEN(B454))*0.0071))*43758.5453,1),"")</f>
        <v/>
      </c>
      <c r="E454" s="0" t="str">
        <f aca="false">IF(C454=1,INT(MOD(ABS(SIN(D454*7919.123+ROW()*0.618+'הדבקת לידים'!$F$2*1.3))*43758.5453,1)*1000000)*10000+ROW(),"")</f>
        <v/>
      </c>
      <c r="F454" s="0" t="str">
        <f aca="false">IF(E454="","",RANK(E454,$E$2:$E$5001,1))</f>
        <v/>
      </c>
      <c r="G454" s="0" t="n">
        <f aca="false">IF(A454="",0,IF(SUMPRODUCT(--($A$2:$A$5001=A454))&gt;1,1,0))</f>
        <v>0</v>
      </c>
      <c r="H454" s="0" t="n">
        <f aca="false">ROW()-1</f>
        <v>453</v>
      </c>
      <c r="I454" s="0" t="str">
        <f aca="false">IF(OR(הגדרות!$E$6=0,H454&gt;הגדרות!$E$5),"",IF(H454-1&lt;הגדרות!$E$8*(הגדרות!$E$7+1),INT((H454-1)/(הגדרות!$E$7+1)),הגדרות!$E$8+INT((H454-1-הגדרות!$E$8*(הגדרות!$E$7+1))/הגדרות!$E$7)))</f>
        <v/>
      </c>
      <c r="J454" s="0" t="str">
        <f aca="false">IF(I454="","",IF(H454-1&lt;הגדרות!$E$8*(הגדרות!$E$7+1),MOD(H454-1,הגדרות!$E$7+1),MOD(H454-1-הגדרות!$E$8*(הגדרות!$E$7+1),הגדרות!$E$7)))</f>
        <v/>
      </c>
      <c r="K454" s="0" t="str">
        <f aca="false">IF(I454="","",J454*הגדרות!$E$6+I454+1)</f>
        <v/>
      </c>
      <c r="L454" s="0" t="str">
        <f aca="false">IF(K454="","",MATCH(K454,$F$2:$F$5001,0))</f>
        <v/>
      </c>
      <c r="M454" s="0" t="str">
        <f aca="false">IF(I454="","",INDEX(הגדרות!$A$2:$A$21,MOD(I454+הגדרות!$E$9,הגדרות!$E$6)+1))</f>
        <v/>
      </c>
    </row>
    <row r="455" customFormat="false" ht="15" hidden="false" customHeight="false" outlineLevel="0" collapsed="false">
      <c r="A455" s="0" t="str">
        <f aca="false">IF('הדבקת לידים'!A455="","",IF(ISNUMBER('הדבקת לידים'!A455),IF(הגדרות!$E$2&gt;0,TEXT('הדבקת לידים'!A455,REPT("0",הגדרות!$E$2)),TEXT('הדבקת לידים'!A455,"0")),TRIM('הדבקת לידים'!A455)))</f>
        <v/>
      </c>
      <c r="B455" s="0" t="str">
        <f aca="false">IF('הדבקת לידים'!B455="","",IF(ISNUMBER('הדבקת לידים'!B455),IF(הגדרות!$E$3&gt;0,TEXT('הדבקת לידים'!B455,REPT("0",הגדרות!$E$3)),TEXT('הדבקת לידים'!B455,"0")),TRIM('הדבקת לידים'!B455)))</f>
        <v/>
      </c>
      <c r="C455" s="0" t="n">
        <f aca="false">IF(OR(A455&lt;&gt;"",B455&lt;&gt;""),1,0)</f>
        <v>0</v>
      </c>
      <c r="D455" s="0" t="str">
        <f aca="false">IF(C455=1,MOD(ABS(SIN(ROW()*12.9898+'הדבקת לידים'!$F$2*78.233+IFERROR(--RIGHT(A455,6),LEN(A455))*0.0137+IFERROR(--RIGHT(B455,6),LEN(B455))*0.0071))*43758.5453,1),"")</f>
        <v/>
      </c>
      <c r="E455" s="0" t="str">
        <f aca="false">IF(C455=1,INT(MOD(ABS(SIN(D455*7919.123+ROW()*0.618+'הדבקת לידים'!$F$2*1.3))*43758.5453,1)*1000000)*10000+ROW(),"")</f>
        <v/>
      </c>
      <c r="F455" s="0" t="str">
        <f aca="false">IF(E455="","",RANK(E455,$E$2:$E$5001,1))</f>
        <v/>
      </c>
      <c r="G455" s="0" t="n">
        <f aca="false">IF(A455="",0,IF(SUMPRODUCT(--($A$2:$A$5001=A455))&gt;1,1,0))</f>
        <v>0</v>
      </c>
      <c r="H455" s="0" t="n">
        <f aca="false">ROW()-1</f>
        <v>454</v>
      </c>
      <c r="I455" s="0" t="str">
        <f aca="false">IF(OR(הגדרות!$E$6=0,H455&gt;הגדרות!$E$5),"",IF(H455-1&lt;הגדרות!$E$8*(הגדרות!$E$7+1),INT((H455-1)/(הגדרות!$E$7+1)),הגדרות!$E$8+INT((H455-1-הגדרות!$E$8*(הגדרות!$E$7+1))/הגדרות!$E$7)))</f>
        <v/>
      </c>
      <c r="J455" s="0" t="str">
        <f aca="false">IF(I455="","",IF(H455-1&lt;הגדרות!$E$8*(הגדרות!$E$7+1),MOD(H455-1,הגדרות!$E$7+1),MOD(H455-1-הגדרות!$E$8*(הגדרות!$E$7+1),הגדרות!$E$7)))</f>
        <v/>
      </c>
      <c r="K455" s="0" t="str">
        <f aca="false">IF(I455="","",J455*הגדרות!$E$6+I455+1)</f>
        <v/>
      </c>
      <c r="L455" s="0" t="str">
        <f aca="false">IF(K455="","",MATCH(K455,$F$2:$F$5001,0))</f>
        <v/>
      </c>
      <c r="M455" s="0" t="str">
        <f aca="false">IF(I455="","",INDEX(הגדרות!$A$2:$A$21,MOD(I455+הגדרות!$E$9,הגדרות!$E$6)+1))</f>
        <v/>
      </c>
    </row>
    <row r="456" customFormat="false" ht="15" hidden="false" customHeight="false" outlineLevel="0" collapsed="false">
      <c r="A456" s="0" t="str">
        <f aca="false">IF('הדבקת לידים'!A456="","",IF(ISNUMBER('הדבקת לידים'!A456),IF(הגדרות!$E$2&gt;0,TEXT('הדבקת לידים'!A456,REPT("0",הגדרות!$E$2)),TEXT('הדבקת לידים'!A456,"0")),TRIM('הדבקת לידים'!A456)))</f>
        <v/>
      </c>
      <c r="B456" s="0" t="str">
        <f aca="false">IF('הדבקת לידים'!B456="","",IF(ISNUMBER('הדבקת לידים'!B456),IF(הגדרות!$E$3&gt;0,TEXT('הדבקת לידים'!B456,REPT("0",הגדרות!$E$3)),TEXT('הדבקת לידים'!B456,"0")),TRIM('הדבקת לידים'!B456)))</f>
        <v/>
      </c>
      <c r="C456" s="0" t="n">
        <f aca="false">IF(OR(A456&lt;&gt;"",B456&lt;&gt;""),1,0)</f>
        <v>0</v>
      </c>
      <c r="D456" s="0" t="str">
        <f aca="false">IF(C456=1,MOD(ABS(SIN(ROW()*12.9898+'הדבקת לידים'!$F$2*78.233+IFERROR(--RIGHT(A456,6),LEN(A456))*0.0137+IFERROR(--RIGHT(B456,6),LEN(B456))*0.0071))*43758.5453,1),"")</f>
        <v/>
      </c>
      <c r="E456" s="0" t="str">
        <f aca="false">IF(C456=1,INT(MOD(ABS(SIN(D456*7919.123+ROW()*0.618+'הדבקת לידים'!$F$2*1.3))*43758.5453,1)*1000000)*10000+ROW(),"")</f>
        <v/>
      </c>
      <c r="F456" s="0" t="str">
        <f aca="false">IF(E456="","",RANK(E456,$E$2:$E$5001,1))</f>
        <v/>
      </c>
      <c r="G456" s="0" t="n">
        <f aca="false">IF(A456="",0,IF(SUMPRODUCT(--($A$2:$A$5001=A456))&gt;1,1,0))</f>
        <v>0</v>
      </c>
      <c r="H456" s="0" t="n">
        <f aca="false">ROW()-1</f>
        <v>455</v>
      </c>
      <c r="I456" s="0" t="str">
        <f aca="false">IF(OR(הגדרות!$E$6=0,H456&gt;הגדרות!$E$5),"",IF(H456-1&lt;הגדרות!$E$8*(הגדרות!$E$7+1),INT((H456-1)/(הגדרות!$E$7+1)),הגדרות!$E$8+INT((H456-1-הגדרות!$E$8*(הגדרות!$E$7+1))/הגדרות!$E$7)))</f>
        <v/>
      </c>
      <c r="J456" s="0" t="str">
        <f aca="false">IF(I456="","",IF(H456-1&lt;הגדרות!$E$8*(הגדרות!$E$7+1),MOD(H456-1,הגדרות!$E$7+1),MOD(H456-1-הגדרות!$E$8*(הגדרות!$E$7+1),הגדרות!$E$7)))</f>
        <v/>
      </c>
      <c r="K456" s="0" t="str">
        <f aca="false">IF(I456="","",J456*הגדרות!$E$6+I456+1)</f>
        <v/>
      </c>
      <c r="L456" s="0" t="str">
        <f aca="false">IF(K456="","",MATCH(K456,$F$2:$F$5001,0))</f>
        <v/>
      </c>
      <c r="M456" s="0" t="str">
        <f aca="false">IF(I456="","",INDEX(הגדרות!$A$2:$A$21,MOD(I456+הגדרות!$E$9,הגדרות!$E$6)+1))</f>
        <v/>
      </c>
    </row>
    <row r="457" customFormat="false" ht="15" hidden="false" customHeight="false" outlineLevel="0" collapsed="false">
      <c r="A457" s="0" t="str">
        <f aca="false">IF('הדבקת לידים'!A457="","",IF(ISNUMBER('הדבקת לידים'!A457),IF(הגדרות!$E$2&gt;0,TEXT('הדבקת לידים'!A457,REPT("0",הגדרות!$E$2)),TEXT('הדבקת לידים'!A457,"0")),TRIM('הדבקת לידים'!A457)))</f>
        <v/>
      </c>
      <c r="B457" s="0" t="str">
        <f aca="false">IF('הדבקת לידים'!B457="","",IF(ISNUMBER('הדבקת לידים'!B457),IF(הגדרות!$E$3&gt;0,TEXT('הדבקת לידים'!B457,REPT("0",הגדרות!$E$3)),TEXT('הדבקת לידים'!B457,"0")),TRIM('הדבקת לידים'!B457)))</f>
        <v/>
      </c>
      <c r="C457" s="0" t="n">
        <f aca="false">IF(OR(A457&lt;&gt;"",B457&lt;&gt;""),1,0)</f>
        <v>0</v>
      </c>
      <c r="D457" s="0" t="str">
        <f aca="false">IF(C457=1,MOD(ABS(SIN(ROW()*12.9898+'הדבקת לידים'!$F$2*78.233+IFERROR(--RIGHT(A457,6),LEN(A457))*0.0137+IFERROR(--RIGHT(B457,6),LEN(B457))*0.0071))*43758.5453,1),"")</f>
        <v/>
      </c>
      <c r="E457" s="0" t="str">
        <f aca="false">IF(C457=1,INT(MOD(ABS(SIN(D457*7919.123+ROW()*0.618+'הדבקת לידים'!$F$2*1.3))*43758.5453,1)*1000000)*10000+ROW(),"")</f>
        <v/>
      </c>
      <c r="F457" s="0" t="str">
        <f aca="false">IF(E457="","",RANK(E457,$E$2:$E$5001,1))</f>
        <v/>
      </c>
      <c r="G457" s="0" t="n">
        <f aca="false">IF(A457="",0,IF(SUMPRODUCT(--($A$2:$A$5001=A457))&gt;1,1,0))</f>
        <v>0</v>
      </c>
      <c r="H457" s="0" t="n">
        <f aca="false">ROW()-1</f>
        <v>456</v>
      </c>
      <c r="I457" s="0" t="str">
        <f aca="false">IF(OR(הגדרות!$E$6=0,H457&gt;הגדרות!$E$5),"",IF(H457-1&lt;הגדרות!$E$8*(הגדרות!$E$7+1),INT((H457-1)/(הגדרות!$E$7+1)),הגדרות!$E$8+INT((H457-1-הגדרות!$E$8*(הגדרות!$E$7+1))/הגדרות!$E$7)))</f>
        <v/>
      </c>
      <c r="J457" s="0" t="str">
        <f aca="false">IF(I457="","",IF(H457-1&lt;הגדרות!$E$8*(הגדרות!$E$7+1),MOD(H457-1,הגדרות!$E$7+1),MOD(H457-1-הגדרות!$E$8*(הגדרות!$E$7+1),הגדרות!$E$7)))</f>
        <v/>
      </c>
      <c r="K457" s="0" t="str">
        <f aca="false">IF(I457="","",J457*הגדרות!$E$6+I457+1)</f>
        <v/>
      </c>
      <c r="L457" s="0" t="str">
        <f aca="false">IF(K457="","",MATCH(K457,$F$2:$F$5001,0))</f>
        <v/>
      </c>
      <c r="M457" s="0" t="str">
        <f aca="false">IF(I457="","",INDEX(הגדרות!$A$2:$A$21,MOD(I457+הגדרות!$E$9,הגדרות!$E$6)+1))</f>
        <v/>
      </c>
    </row>
    <row r="458" customFormat="false" ht="15" hidden="false" customHeight="false" outlineLevel="0" collapsed="false">
      <c r="A458" s="0" t="str">
        <f aca="false">IF('הדבקת לידים'!A458="","",IF(ISNUMBER('הדבקת לידים'!A458),IF(הגדרות!$E$2&gt;0,TEXT('הדבקת לידים'!A458,REPT("0",הגדרות!$E$2)),TEXT('הדבקת לידים'!A458,"0")),TRIM('הדבקת לידים'!A458)))</f>
        <v/>
      </c>
      <c r="B458" s="0" t="str">
        <f aca="false">IF('הדבקת לידים'!B458="","",IF(ISNUMBER('הדבקת לידים'!B458),IF(הגדרות!$E$3&gt;0,TEXT('הדבקת לידים'!B458,REPT("0",הגדרות!$E$3)),TEXT('הדבקת לידים'!B458,"0")),TRIM('הדבקת לידים'!B458)))</f>
        <v/>
      </c>
      <c r="C458" s="0" t="n">
        <f aca="false">IF(OR(A458&lt;&gt;"",B458&lt;&gt;""),1,0)</f>
        <v>0</v>
      </c>
      <c r="D458" s="0" t="str">
        <f aca="false">IF(C458=1,MOD(ABS(SIN(ROW()*12.9898+'הדבקת לידים'!$F$2*78.233+IFERROR(--RIGHT(A458,6),LEN(A458))*0.0137+IFERROR(--RIGHT(B458,6),LEN(B458))*0.0071))*43758.5453,1),"")</f>
        <v/>
      </c>
      <c r="E458" s="0" t="str">
        <f aca="false">IF(C458=1,INT(MOD(ABS(SIN(D458*7919.123+ROW()*0.618+'הדבקת לידים'!$F$2*1.3))*43758.5453,1)*1000000)*10000+ROW(),"")</f>
        <v/>
      </c>
      <c r="F458" s="0" t="str">
        <f aca="false">IF(E458="","",RANK(E458,$E$2:$E$5001,1))</f>
        <v/>
      </c>
      <c r="G458" s="0" t="n">
        <f aca="false">IF(A458="",0,IF(SUMPRODUCT(--($A$2:$A$5001=A458))&gt;1,1,0))</f>
        <v>0</v>
      </c>
      <c r="H458" s="0" t="n">
        <f aca="false">ROW()-1</f>
        <v>457</v>
      </c>
      <c r="I458" s="0" t="str">
        <f aca="false">IF(OR(הגדרות!$E$6=0,H458&gt;הגדרות!$E$5),"",IF(H458-1&lt;הגדרות!$E$8*(הגדרות!$E$7+1),INT((H458-1)/(הגדרות!$E$7+1)),הגדרות!$E$8+INT((H458-1-הגדרות!$E$8*(הגדרות!$E$7+1))/הגדרות!$E$7)))</f>
        <v/>
      </c>
      <c r="J458" s="0" t="str">
        <f aca="false">IF(I458="","",IF(H458-1&lt;הגדרות!$E$8*(הגדרות!$E$7+1),MOD(H458-1,הגדרות!$E$7+1),MOD(H458-1-הגדרות!$E$8*(הגדרות!$E$7+1),הגדרות!$E$7)))</f>
        <v/>
      </c>
      <c r="K458" s="0" t="str">
        <f aca="false">IF(I458="","",J458*הגדרות!$E$6+I458+1)</f>
        <v/>
      </c>
      <c r="L458" s="0" t="str">
        <f aca="false">IF(K458="","",MATCH(K458,$F$2:$F$5001,0))</f>
        <v/>
      </c>
      <c r="M458" s="0" t="str">
        <f aca="false">IF(I458="","",INDEX(הגדרות!$A$2:$A$21,MOD(I458+הגדרות!$E$9,הגדרות!$E$6)+1))</f>
        <v/>
      </c>
    </row>
    <row r="459" customFormat="false" ht="15" hidden="false" customHeight="false" outlineLevel="0" collapsed="false">
      <c r="A459" s="0" t="str">
        <f aca="false">IF('הדבקת לידים'!A459="","",IF(ISNUMBER('הדבקת לידים'!A459),IF(הגדרות!$E$2&gt;0,TEXT('הדבקת לידים'!A459,REPT("0",הגדרות!$E$2)),TEXT('הדבקת לידים'!A459,"0")),TRIM('הדבקת לידים'!A459)))</f>
        <v/>
      </c>
      <c r="B459" s="0" t="str">
        <f aca="false">IF('הדבקת לידים'!B459="","",IF(ISNUMBER('הדבקת לידים'!B459),IF(הגדרות!$E$3&gt;0,TEXT('הדבקת לידים'!B459,REPT("0",הגדרות!$E$3)),TEXT('הדבקת לידים'!B459,"0")),TRIM('הדבקת לידים'!B459)))</f>
        <v/>
      </c>
      <c r="C459" s="0" t="n">
        <f aca="false">IF(OR(A459&lt;&gt;"",B459&lt;&gt;""),1,0)</f>
        <v>0</v>
      </c>
      <c r="D459" s="0" t="str">
        <f aca="false">IF(C459=1,MOD(ABS(SIN(ROW()*12.9898+'הדבקת לידים'!$F$2*78.233+IFERROR(--RIGHT(A459,6),LEN(A459))*0.0137+IFERROR(--RIGHT(B459,6),LEN(B459))*0.0071))*43758.5453,1),"")</f>
        <v/>
      </c>
      <c r="E459" s="0" t="str">
        <f aca="false">IF(C459=1,INT(MOD(ABS(SIN(D459*7919.123+ROW()*0.618+'הדבקת לידים'!$F$2*1.3))*43758.5453,1)*1000000)*10000+ROW(),"")</f>
        <v/>
      </c>
      <c r="F459" s="0" t="str">
        <f aca="false">IF(E459="","",RANK(E459,$E$2:$E$5001,1))</f>
        <v/>
      </c>
      <c r="G459" s="0" t="n">
        <f aca="false">IF(A459="",0,IF(SUMPRODUCT(--($A$2:$A$5001=A459))&gt;1,1,0))</f>
        <v>0</v>
      </c>
      <c r="H459" s="0" t="n">
        <f aca="false">ROW()-1</f>
        <v>458</v>
      </c>
      <c r="I459" s="0" t="str">
        <f aca="false">IF(OR(הגדרות!$E$6=0,H459&gt;הגדרות!$E$5),"",IF(H459-1&lt;הגדרות!$E$8*(הגדרות!$E$7+1),INT((H459-1)/(הגדרות!$E$7+1)),הגדרות!$E$8+INT((H459-1-הגדרות!$E$8*(הגדרות!$E$7+1))/הגדרות!$E$7)))</f>
        <v/>
      </c>
      <c r="J459" s="0" t="str">
        <f aca="false">IF(I459="","",IF(H459-1&lt;הגדרות!$E$8*(הגדרות!$E$7+1),MOD(H459-1,הגדרות!$E$7+1),MOD(H459-1-הגדרות!$E$8*(הגדרות!$E$7+1),הגדרות!$E$7)))</f>
        <v/>
      </c>
      <c r="K459" s="0" t="str">
        <f aca="false">IF(I459="","",J459*הגדרות!$E$6+I459+1)</f>
        <v/>
      </c>
      <c r="L459" s="0" t="str">
        <f aca="false">IF(K459="","",MATCH(K459,$F$2:$F$5001,0))</f>
        <v/>
      </c>
      <c r="M459" s="0" t="str">
        <f aca="false">IF(I459="","",INDEX(הגדרות!$A$2:$A$21,MOD(I459+הגדרות!$E$9,הגדרות!$E$6)+1))</f>
        <v/>
      </c>
    </row>
    <row r="460" customFormat="false" ht="15" hidden="false" customHeight="false" outlineLevel="0" collapsed="false">
      <c r="A460" s="0" t="str">
        <f aca="false">IF('הדבקת לידים'!A460="","",IF(ISNUMBER('הדבקת לידים'!A460),IF(הגדרות!$E$2&gt;0,TEXT('הדבקת לידים'!A460,REPT("0",הגדרות!$E$2)),TEXT('הדבקת לידים'!A460,"0")),TRIM('הדבקת לידים'!A460)))</f>
        <v/>
      </c>
      <c r="B460" s="0" t="str">
        <f aca="false">IF('הדבקת לידים'!B460="","",IF(ISNUMBER('הדבקת לידים'!B460),IF(הגדרות!$E$3&gt;0,TEXT('הדבקת לידים'!B460,REPT("0",הגדרות!$E$3)),TEXT('הדבקת לידים'!B460,"0")),TRIM('הדבקת לידים'!B460)))</f>
        <v/>
      </c>
      <c r="C460" s="0" t="n">
        <f aca="false">IF(OR(A460&lt;&gt;"",B460&lt;&gt;""),1,0)</f>
        <v>0</v>
      </c>
      <c r="D460" s="0" t="str">
        <f aca="false">IF(C460=1,MOD(ABS(SIN(ROW()*12.9898+'הדבקת לידים'!$F$2*78.233+IFERROR(--RIGHT(A460,6),LEN(A460))*0.0137+IFERROR(--RIGHT(B460,6),LEN(B460))*0.0071))*43758.5453,1),"")</f>
        <v/>
      </c>
      <c r="E460" s="0" t="str">
        <f aca="false">IF(C460=1,INT(MOD(ABS(SIN(D460*7919.123+ROW()*0.618+'הדבקת לידים'!$F$2*1.3))*43758.5453,1)*1000000)*10000+ROW(),"")</f>
        <v/>
      </c>
      <c r="F460" s="0" t="str">
        <f aca="false">IF(E460="","",RANK(E460,$E$2:$E$5001,1))</f>
        <v/>
      </c>
      <c r="G460" s="0" t="n">
        <f aca="false">IF(A460="",0,IF(SUMPRODUCT(--($A$2:$A$5001=A460))&gt;1,1,0))</f>
        <v>0</v>
      </c>
      <c r="H460" s="0" t="n">
        <f aca="false">ROW()-1</f>
        <v>459</v>
      </c>
      <c r="I460" s="0" t="str">
        <f aca="false">IF(OR(הגדרות!$E$6=0,H460&gt;הגדרות!$E$5),"",IF(H460-1&lt;הגדרות!$E$8*(הגדרות!$E$7+1),INT((H460-1)/(הגדרות!$E$7+1)),הגדרות!$E$8+INT((H460-1-הגדרות!$E$8*(הגדרות!$E$7+1))/הגדרות!$E$7)))</f>
        <v/>
      </c>
      <c r="J460" s="0" t="str">
        <f aca="false">IF(I460="","",IF(H460-1&lt;הגדרות!$E$8*(הגדרות!$E$7+1),MOD(H460-1,הגדרות!$E$7+1),MOD(H460-1-הגדרות!$E$8*(הגדרות!$E$7+1),הגדרות!$E$7)))</f>
        <v/>
      </c>
      <c r="K460" s="0" t="str">
        <f aca="false">IF(I460="","",J460*הגדרות!$E$6+I460+1)</f>
        <v/>
      </c>
      <c r="L460" s="0" t="str">
        <f aca="false">IF(K460="","",MATCH(K460,$F$2:$F$5001,0))</f>
        <v/>
      </c>
      <c r="M460" s="0" t="str">
        <f aca="false">IF(I460="","",INDEX(הגדרות!$A$2:$A$21,MOD(I460+הגדרות!$E$9,הגדרות!$E$6)+1))</f>
        <v/>
      </c>
    </row>
    <row r="461" customFormat="false" ht="15" hidden="false" customHeight="false" outlineLevel="0" collapsed="false">
      <c r="A461" s="0" t="str">
        <f aca="false">IF('הדבקת לידים'!A461="","",IF(ISNUMBER('הדבקת לידים'!A461),IF(הגדרות!$E$2&gt;0,TEXT('הדבקת לידים'!A461,REPT("0",הגדרות!$E$2)),TEXT('הדבקת לידים'!A461,"0")),TRIM('הדבקת לידים'!A461)))</f>
        <v/>
      </c>
      <c r="B461" s="0" t="str">
        <f aca="false">IF('הדבקת לידים'!B461="","",IF(ISNUMBER('הדבקת לידים'!B461),IF(הגדרות!$E$3&gt;0,TEXT('הדבקת לידים'!B461,REPT("0",הגדרות!$E$3)),TEXT('הדבקת לידים'!B461,"0")),TRIM('הדבקת לידים'!B461)))</f>
        <v/>
      </c>
      <c r="C461" s="0" t="n">
        <f aca="false">IF(OR(A461&lt;&gt;"",B461&lt;&gt;""),1,0)</f>
        <v>0</v>
      </c>
      <c r="D461" s="0" t="str">
        <f aca="false">IF(C461=1,MOD(ABS(SIN(ROW()*12.9898+'הדבקת לידים'!$F$2*78.233+IFERROR(--RIGHT(A461,6),LEN(A461))*0.0137+IFERROR(--RIGHT(B461,6),LEN(B461))*0.0071))*43758.5453,1),"")</f>
        <v/>
      </c>
      <c r="E461" s="0" t="str">
        <f aca="false">IF(C461=1,INT(MOD(ABS(SIN(D461*7919.123+ROW()*0.618+'הדבקת לידים'!$F$2*1.3))*43758.5453,1)*1000000)*10000+ROW(),"")</f>
        <v/>
      </c>
      <c r="F461" s="0" t="str">
        <f aca="false">IF(E461="","",RANK(E461,$E$2:$E$5001,1))</f>
        <v/>
      </c>
      <c r="G461" s="0" t="n">
        <f aca="false">IF(A461="",0,IF(SUMPRODUCT(--($A$2:$A$5001=A461))&gt;1,1,0))</f>
        <v>0</v>
      </c>
      <c r="H461" s="0" t="n">
        <f aca="false">ROW()-1</f>
        <v>460</v>
      </c>
      <c r="I461" s="0" t="str">
        <f aca="false">IF(OR(הגדרות!$E$6=0,H461&gt;הגדרות!$E$5),"",IF(H461-1&lt;הגדרות!$E$8*(הגדרות!$E$7+1),INT((H461-1)/(הגדרות!$E$7+1)),הגדרות!$E$8+INT((H461-1-הגדרות!$E$8*(הגדרות!$E$7+1))/הגדרות!$E$7)))</f>
        <v/>
      </c>
      <c r="J461" s="0" t="str">
        <f aca="false">IF(I461="","",IF(H461-1&lt;הגדרות!$E$8*(הגדרות!$E$7+1),MOD(H461-1,הגדרות!$E$7+1),MOD(H461-1-הגדרות!$E$8*(הגדרות!$E$7+1),הגדרות!$E$7)))</f>
        <v/>
      </c>
      <c r="K461" s="0" t="str">
        <f aca="false">IF(I461="","",J461*הגדרות!$E$6+I461+1)</f>
        <v/>
      </c>
      <c r="L461" s="0" t="str">
        <f aca="false">IF(K461="","",MATCH(K461,$F$2:$F$5001,0))</f>
        <v/>
      </c>
      <c r="M461" s="0" t="str">
        <f aca="false">IF(I461="","",INDEX(הגדרות!$A$2:$A$21,MOD(I461+הגדרות!$E$9,הגדרות!$E$6)+1))</f>
        <v/>
      </c>
    </row>
    <row r="462" customFormat="false" ht="15" hidden="false" customHeight="false" outlineLevel="0" collapsed="false">
      <c r="A462" s="0" t="str">
        <f aca="false">IF('הדבקת לידים'!A462="","",IF(ISNUMBER('הדבקת לידים'!A462),IF(הגדרות!$E$2&gt;0,TEXT('הדבקת לידים'!A462,REPT("0",הגדרות!$E$2)),TEXT('הדבקת לידים'!A462,"0")),TRIM('הדבקת לידים'!A462)))</f>
        <v/>
      </c>
      <c r="B462" s="0" t="str">
        <f aca="false">IF('הדבקת לידים'!B462="","",IF(ISNUMBER('הדבקת לידים'!B462),IF(הגדרות!$E$3&gt;0,TEXT('הדבקת לידים'!B462,REPT("0",הגדרות!$E$3)),TEXT('הדבקת לידים'!B462,"0")),TRIM('הדבקת לידים'!B462)))</f>
        <v/>
      </c>
      <c r="C462" s="0" t="n">
        <f aca="false">IF(OR(A462&lt;&gt;"",B462&lt;&gt;""),1,0)</f>
        <v>0</v>
      </c>
      <c r="D462" s="0" t="str">
        <f aca="false">IF(C462=1,MOD(ABS(SIN(ROW()*12.9898+'הדבקת לידים'!$F$2*78.233+IFERROR(--RIGHT(A462,6),LEN(A462))*0.0137+IFERROR(--RIGHT(B462,6),LEN(B462))*0.0071))*43758.5453,1),"")</f>
        <v/>
      </c>
      <c r="E462" s="0" t="str">
        <f aca="false">IF(C462=1,INT(MOD(ABS(SIN(D462*7919.123+ROW()*0.618+'הדבקת לידים'!$F$2*1.3))*43758.5453,1)*1000000)*10000+ROW(),"")</f>
        <v/>
      </c>
      <c r="F462" s="0" t="str">
        <f aca="false">IF(E462="","",RANK(E462,$E$2:$E$5001,1))</f>
        <v/>
      </c>
      <c r="G462" s="0" t="n">
        <f aca="false">IF(A462="",0,IF(SUMPRODUCT(--($A$2:$A$5001=A462))&gt;1,1,0))</f>
        <v>0</v>
      </c>
      <c r="H462" s="0" t="n">
        <f aca="false">ROW()-1</f>
        <v>461</v>
      </c>
      <c r="I462" s="0" t="str">
        <f aca="false">IF(OR(הגדרות!$E$6=0,H462&gt;הגדרות!$E$5),"",IF(H462-1&lt;הגדרות!$E$8*(הגדרות!$E$7+1),INT((H462-1)/(הגדרות!$E$7+1)),הגדרות!$E$8+INT((H462-1-הגדרות!$E$8*(הגדרות!$E$7+1))/הגדרות!$E$7)))</f>
        <v/>
      </c>
      <c r="J462" s="0" t="str">
        <f aca="false">IF(I462="","",IF(H462-1&lt;הגדרות!$E$8*(הגדרות!$E$7+1),MOD(H462-1,הגדרות!$E$7+1),MOD(H462-1-הגדרות!$E$8*(הגדרות!$E$7+1),הגדרות!$E$7)))</f>
        <v/>
      </c>
      <c r="K462" s="0" t="str">
        <f aca="false">IF(I462="","",J462*הגדרות!$E$6+I462+1)</f>
        <v/>
      </c>
      <c r="L462" s="0" t="str">
        <f aca="false">IF(K462="","",MATCH(K462,$F$2:$F$5001,0))</f>
        <v/>
      </c>
      <c r="M462" s="0" t="str">
        <f aca="false">IF(I462="","",INDEX(הגדרות!$A$2:$A$21,MOD(I462+הגדרות!$E$9,הגדרות!$E$6)+1))</f>
        <v/>
      </c>
    </row>
    <row r="463" customFormat="false" ht="15" hidden="false" customHeight="false" outlineLevel="0" collapsed="false">
      <c r="A463" s="0" t="str">
        <f aca="false">IF('הדבקת לידים'!A463="","",IF(ISNUMBER('הדבקת לידים'!A463),IF(הגדרות!$E$2&gt;0,TEXT('הדבקת לידים'!A463,REPT("0",הגדרות!$E$2)),TEXT('הדבקת לידים'!A463,"0")),TRIM('הדבקת לידים'!A463)))</f>
        <v/>
      </c>
      <c r="B463" s="0" t="str">
        <f aca="false">IF('הדבקת לידים'!B463="","",IF(ISNUMBER('הדבקת לידים'!B463),IF(הגדרות!$E$3&gt;0,TEXT('הדבקת לידים'!B463,REPT("0",הגדרות!$E$3)),TEXT('הדבקת לידים'!B463,"0")),TRIM('הדבקת לידים'!B463)))</f>
        <v/>
      </c>
      <c r="C463" s="0" t="n">
        <f aca="false">IF(OR(A463&lt;&gt;"",B463&lt;&gt;""),1,0)</f>
        <v>0</v>
      </c>
      <c r="D463" s="0" t="str">
        <f aca="false">IF(C463=1,MOD(ABS(SIN(ROW()*12.9898+'הדבקת לידים'!$F$2*78.233+IFERROR(--RIGHT(A463,6),LEN(A463))*0.0137+IFERROR(--RIGHT(B463,6),LEN(B463))*0.0071))*43758.5453,1),"")</f>
        <v/>
      </c>
      <c r="E463" s="0" t="str">
        <f aca="false">IF(C463=1,INT(MOD(ABS(SIN(D463*7919.123+ROW()*0.618+'הדבקת לידים'!$F$2*1.3))*43758.5453,1)*1000000)*10000+ROW(),"")</f>
        <v/>
      </c>
      <c r="F463" s="0" t="str">
        <f aca="false">IF(E463="","",RANK(E463,$E$2:$E$5001,1))</f>
        <v/>
      </c>
      <c r="G463" s="0" t="n">
        <f aca="false">IF(A463="",0,IF(SUMPRODUCT(--($A$2:$A$5001=A463))&gt;1,1,0))</f>
        <v>0</v>
      </c>
      <c r="H463" s="0" t="n">
        <f aca="false">ROW()-1</f>
        <v>462</v>
      </c>
      <c r="I463" s="0" t="str">
        <f aca="false">IF(OR(הגדרות!$E$6=0,H463&gt;הגדרות!$E$5),"",IF(H463-1&lt;הגדרות!$E$8*(הגדרות!$E$7+1),INT((H463-1)/(הגדרות!$E$7+1)),הגדרות!$E$8+INT((H463-1-הגדרות!$E$8*(הגדרות!$E$7+1))/הגדרות!$E$7)))</f>
        <v/>
      </c>
      <c r="J463" s="0" t="str">
        <f aca="false">IF(I463="","",IF(H463-1&lt;הגדרות!$E$8*(הגדרות!$E$7+1),MOD(H463-1,הגדרות!$E$7+1),MOD(H463-1-הגדרות!$E$8*(הגדרות!$E$7+1),הגדרות!$E$7)))</f>
        <v/>
      </c>
      <c r="K463" s="0" t="str">
        <f aca="false">IF(I463="","",J463*הגדרות!$E$6+I463+1)</f>
        <v/>
      </c>
      <c r="L463" s="0" t="str">
        <f aca="false">IF(K463="","",MATCH(K463,$F$2:$F$5001,0))</f>
        <v/>
      </c>
      <c r="M463" s="0" t="str">
        <f aca="false">IF(I463="","",INDEX(הגדרות!$A$2:$A$21,MOD(I463+הגדרות!$E$9,הגדרות!$E$6)+1))</f>
        <v/>
      </c>
    </row>
    <row r="464" customFormat="false" ht="15" hidden="false" customHeight="false" outlineLevel="0" collapsed="false">
      <c r="A464" s="0" t="str">
        <f aca="false">IF('הדבקת לידים'!A464="","",IF(ISNUMBER('הדבקת לידים'!A464),IF(הגדרות!$E$2&gt;0,TEXT('הדבקת לידים'!A464,REPT("0",הגדרות!$E$2)),TEXT('הדבקת לידים'!A464,"0")),TRIM('הדבקת לידים'!A464)))</f>
        <v/>
      </c>
      <c r="B464" s="0" t="str">
        <f aca="false">IF('הדבקת לידים'!B464="","",IF(ISNUMBER('הדבקת לידים'!B464),IF(הגדרות!$E$3&gt;0,TEXT('הדבקת לידים'!B464,REPT("0",הגדרות!$E$3)),TEXT('הדבקת לידים'!B464,"0")),TRIM('הדבקת לידים'!B464)))</f>
        <v/>
      </c>
      <c r="C464" s="0" t="n">
        <f aca="false">IF(OR(A464&lt;&gt;"",B464&lt;&gt;""),1,0)</f>
        <v>0</v>
      </c>
      <c r="D464" s="0" t="str">
        <f aca="false">IF(C464=1,MOD(ABS(SIN(ROW()*12.9898+'הדבקת לידים'!$F$2*78.233+IFERROR(--RIGHT(A464,6),LEN(A464))*0.0137+IFERROR(--RIGHT(B464,6),LEN(B464))*0.0071))*43758.5453,1),"")</f>
        <v/>
      </c>
      <c r="E464" s="0" t="str">
        <f aca="false">IF(C464=1,INT(MOD(ABS(SIN(D464*7919.123+ROW()*0.618+'הדבקת לידים'!$F$2*1.3))*43758.5453,1)*1000000)*10000+ROW(),"")</f>
        <v/>
      </c>
      <c r="F464" s="0" t="str">
        <f aca="false">IF(E464="","",RANK(E464,$E$2:$E$5001,1))</f>
        <v/>
      </c>
      <c r="G464" s="0" t="n">
        <f aca="false">IF(A464="",0,IF(SUMPRODUCT(--($A$2:$A$5001=A464))&gt;1,1,0))</f>
        <v>0</v>
      </c>
      <c r="H464" s="0" t="n">
        <f aca="false">ROW()-1</f>
        <v>463</v>
      </c>
      <c r="I464" s="0" t="str">
        <f aca="false">IF(OR(הגדרות!$E$6=0,H464&gt;הגדרות!$E$5),"",IF(H464-1&lt;הגדרות!$E$8*(הגדרות!$E$7+1),INT((H464-1)/(הגדרות!$E$7+1)),הגדרות!$E$8+INT((H464-1-הגדרות!$E$8*(הגדרות!$E$7+1))/הגדרות!$E$7)))</f>
        <v/>
      </c>
      <c r="J464" s="0" t="str">
        <f aca="false">IF(I464="","",IF(H464-1&lt;הגדרות!$E$8*(הגדרות!$E$7+1),MOD(H464-1,הגדרות!$E$7+1),MOD(H464-1-הגדרות!$E$8*(הגדרות!$E$7+1),הגדרות!$E$7)))</f>
        <v/>
      </c>
      <c r="K464" s="0" t="str">
        <f aca="false">IF(I464="","",J464*הגדרות!$E$6+I464+1)</f>
        <v/>
      </c>
      <c r="L464" s="0" t="str">
        <f aca="false">IF(K464="","",MATCH(K464,$F$2:$F$5001,0))</f>
        <v/>
      </c>
      <c r="M464" s="0" t="str">
        <f aca="false">IF(I464="","",INDEX(הגדרות!$A$2:$A$21,MOD(I464+הגדרות!$E$9,הגדרות!$E$6)+1))</f>
        <v/>
      </c>
    </row>
    <row r="465" customFormat="false" ht="15" hidden="false" customHeight="false" outlineLevel="0" collapsed="false">
      <c r="A465" s="0" t="str">
        <f aca="false">IF('הדבקת לידים'!A465="","",IF(ISNUMBER('הדבקת לידים'!A465),IF(הגדרות!$E$2&gt;0,TEXT('הדבקת לידים'!A465,REPT("0",הגדרות!$E$2)),TEXT('הדבקת לידים'!A465,"0")),TRIM('הדבקת לידים'!A465)))</f>
        <v/>
      </c>
      <c r="B465" s="0" t="str">
        <f aca="false">IF('הדבקת לידים'!B465="","",IF(ISNUMBER('הדבקת לידים'!B465),IF(הגדרות!$E$3&gt;0,TEXT('הדבקת לידים'!B465,REPT("0",הגדרות!$E$3)),TEXT('הדבקת לידים'!B465,"0")),TRIM('הדבקת לידים'!B465)))</f>
        <v/>
      </c>
      <c r="C465" s="0" t="n">
        <f aca="false">IF(OR(A465&lt;&gt;"",B465&lt;&gt;""),1,0)</f>
        <v>0</v>
      </c>
      <c r="D465" s="0" t="str">
        <f aca="false">IF(C465=1,MOD(ABS(SIN(ROW()*12.9898+'הדבקת לידים'!$F$2*78.233+IFERROR(--RIGHT(A465,6),LEN(A465))*0.0137+IFERROR(--RIGHT(B465,6),LEN(B465))*0.0071))*43758.5453,1),"")</f>
        <v/>
      </c>
      <c r="E465" s="0" t="str">
        <f aca="false">IF(C465=1,INT(MOD(ABS(SIN(D465*7919.123+ROW()*0.618+'הדבקת לידים'!$F$2*1.3))*43758.5453,1)*1000000)*10000+ROW(),"")</f>
        <v/>
      </c>
      <c r="F465" s="0" t="str">
        <f aca="false">IF(E465="","",RANK(E465,$E$2:$E$5001,1))</f>
        <v/>
      </c>
      <c r="G465" s="0" t="n">
        <f aca="false">IF(A465="",0,IF(SUMPRODUCT(--($A$2:$A$5001=A465))&gt;1,1,0))</f>
        <v>0</v>
      </c>
      <c r="H465" s="0" t="n">
        <f aca="false">ROW()-1</f>
        <v>464</v>
      </c>
      <c r="I465" s="0" t="str">
        <f aca="false">IF(OR(הגדרות!$E$6=0,H465&gt;הגדרות!$E$5),"",IF(H465-1&lt;הגדרות!$E$8*(הגדרות!$E$7+1),INT((H465-1)/(הגדרות!$E$7+1)),הגדרות!$E$8+INT((H465-1-הגדרות!$E$8*(הגדרות!$E$7+1))/הגדרות!$E$7)))</f>
        <v/>
      </c>
      <c r="J465" s="0" t="str">
        <f aca="false">IF(I465="","",IF(H465-1&lt;הגדרות!$E$8*(הגדרות!$E$7+1),MOD(H465-1,הגדרות!$E$7+1),MOD(H465-1-הגדרות!$E$8*(הגדרות!$E$7+1),הגדרות!$E$7)))</f>
        <v/>
      </c>
      <c r="K465" s="0" t="str">
        <f aca="false">IF(I465="","",J465*הגדרות!$E$6+I465+1)</f>
        <v/>
      </c>
      <c r="L465" s="0" t="str">
        <f aca="false">IF(K465="","",MATCH(K465,$F$2:$F$5001,0))</f>
        <v/>
      </c>
      <c r="M465" s="0" t="str">
        <f aca="false">IF(I465="","",INDEX(הגדרות!$A$2:$A$21,MOD(I465+הגדרות!$E$9,הגדרות!$E$6)+1))</f>
        <v/>
      </c>
    </row>
    <row r="466" customFormat="false" ht="15" hidden="false" customHeight="false" outlineLevel="0" collapsed="false">
      <c r="A466" s="0" t="str">
        <f aca="false">IF('הדבקת לידים'!A466="","",IF(ISNUMBER('הדבקת לידים'!A466),IF(הגדרות!$E$2&gt;0,TEXT('הדבקת לידים'!A466,REPT("0",הגדרות!$E$2)),TEXT('הדבקת לידים'!A466,"0")),TRIM('הדבקת לידים'!A466)))</f>
        <v/>
      </c>
      <c r="B466" s="0" t="str">
        <f aca="false">IF('הדבקת לידים'!B466="","",IF(ISNUMBER('הדבקת לידים'!B466),IF(הגדרות!$E$3&gt;0,TEXT('הדבקת לידים'!B466,REPT("0",הגדרות!$E$3)),TEXT('הדבקת לידים'!B466,"0")),TRIM('הדבקת לידים'!B466)))</f>
        <v/>
      </c>
      <c r="C466" s="0" t="n">
        <f aca="false">IF(OR(A466&lt;&gt;"",B466&lt;&gt;""),1,0)</f>
        <v>0</v>
      </c>
      <c r="D466" s="0" t="str">
        <f aca="false">IF(C466=1,MOD(ABS(SIN(ROW()*12.9898+'הדבקת לידים'!$F$2*78.233+IFERROR(--RIGHT(A466,6),LEN(A466))*0.0137+IFERROR(--RIGHT(B466,6),LEN(B466))*0.0071))*43758.5453,1),"")</f>
        <v/>
      </c>
      <c r="E466" s="0" t="str">
        <f aca="false">IF(C466=1,INT(MOD(ABS(SIN(D466*7919.123+ROW()*0.618+'הדבקת לידים'!$F$2*1.3))*43758.5453,1)*1000000)*10000+ROW(),"")</f>
        <v/>
      </c>
      <c r="F466" s="0" t="str">
        <f aca="false">IF(E466="","",RANK(E466,$E$2:$E$5001,1))</f>
        <v/>
      </c>
      <c r="G466" s="0" t="n">
        <f aca="false">IF(A466="",0,IF(SUMPRODUCT(--($A$2:$A$5001=A466))&gt;1,1,0))</f>
        <v>0</v>
      </c>
      <c r="H466" s="0" t="n">
        <f aca="false">ROW()-1</f>
        <v>465</v>
      </c>
      <c r="I466" s="0" t="str">
        <f aca="false">IF(OR(הגדרות!$E$6=0,H466&gt;הגדרות!$E$5),"",IF(H466-1&lt;הגדרות!$E$8*(הגדרות!$E$7+1),INT((H466-1)/(הגדרות!$E$7+1)),הגדרות!$E$8+INT((H466-1-הגדרות!$E$8*(הגדרות!$E$7+1))/הגדרות!$E$7)))</f>
        <v/>
      </c>
      <c r="J466" s="0" t="str">
        <f aca="false">IF(I466="","",IF(H466-1&lt;הגדרות!$E$8*(הגדרות!$E$7+1),MOD(H466-1,הגדרות!$E$7+1),MOD(H466-1-הגדרות!$E$8*(הגדרות!$E$7+1),הגדרות!$E$7)))</f>
        <v/>
      </c>
      <c r="K466" s="0" t="str">
        <f aca="false">IF(I466="","",J466*הגדרות!$E$6+I466+1)</f>
        <v/>
      </c>
      <c r="L466" s="0" t="str">
        <f aca="false">IF(K466="","",MATCH(K466,$F$2:$F$5001,0))</f>
        <v/>
      </c>
      <c r="M466" s="0" t="str">
        <f aca="false">IF(I466="","",INDEX(הגדרות!$A$2:$A$21,MOD(I466+הגדרות!$E$9,הגדרות!$E$6)+1))</f>
        <v/>
      </c>
    </row>
    <row r="467" customFormat="false" ht="15" hidden="false" customHeight="false" outlineLevel="0" collapsed="false">
      <c r="A467" s="0" t="str">
        <f aca="false">IF('הדבקת לידים'!A467="","",IF(ISNUMBER('הדבקת לידים'!A467),IF(הגדרות!$E$2&gt;0,TEXT('הדבקת לידים'!A467,REPT("0",הגדרות!$E$2)),TEXT('הדבקת לידים'!A467,"0")),TRIM('הדבקת לידים'!A467)))</f>
        <v/>
      </c>
      <c r="B467" s="0" t="str">
        <f aca="false">IF('הדבקת לידים'!B467="","",IF(ISNUMBER('הדבקת לידים'!B467),IF(הגדרות!$E$3&gt;0,TEXT('הדבקת לידים'!B467,REPT("0",הגדרות!$E$3)),TEXT('הדבקת לידים'!B467,"0")),TRIM('הדבקת לידים'!B467)))</f>
        <v/>
      </c>
      <c r="C467" s="0" t="n">
        <f aca="false">IF(OR(A467&lt;&gt;"",B467&lt;&gt;""),1,0)</f>
        <v>0</v>
      </c>
      <c r="D467" s="0" t="str">
        <f aca="false">IF(C467=1,MOD(ABS(SIN(ROW()*12.9898+'הדבקת לידים'!$F$2*78.233+IFERROR(--RIGHT(A467,6),LEN(A467))*0.0137+IFERROR(--RIGHT(B467,6),LEN(B467))*0.0071))*43758.5453,1),"")</f>
        <v/>
      </c>
      <c r="E467" s="0" t="str">
        <f aca="false">IF(C467=1,INT(MOD(ABS(SIN(D467*7919.123+ROW()*0.618+'הדבקת לידים'!$F$2*1.3))*43758.5453,1)*1000000)*10000+ROW(),"")</f>
        <v/>
      </c>
      <c r="F467" s="0" t="str">
        <f aca="false">IF(E467="","",RANK(E467,$E$2:$E$5001,1))</f>
        <v/>
      </c>
      <c r="G467" s="0" t="n">
        <f aca="false">IF(A467="",0,IF(SUMPRODUCT(--($A$2:$A$5001=A467))&gt;1,1,0))</f>
        <v>0</v>
      </c>
      <c r="H467" s="0" t="n">
        <f aca="false">ROW()-1</f>
        <v>466</v>
      </c>
      <c r="I467" s="0" t="str">
        <f aca="false">IF(OR(הגדרות!$E$6=0,H467&gt;הגדרות!$E$5),"",IF(H467-1&lt;הגדרות!$E$8*(הגדרות!$E$7+1),INT((H467-1)/(הגדרות!$E$7+1)),הגדרות!$E$8+INT((H467-1-הגדרות!$E$8*(הגדרות!$E$7+1))/הגדרות!$E$7)))</f>
        <v/>
      </c>
      <c r="J467" s="0" t="str">
        <f aca="false">IF(I467="","",IF(H467-1&lt;הגדרות!$E$8*(הגדרות!$E$7+1),MOD(H467-1,הגדרות!$E$7+1),MOD(H467-1-הגדרות!$E$8*(הגדרות!$E$7+1),הגדרות!$E$7)))</f>
        <v/>
      </c>
      <c r="K467" s="0" t="str">
        <f aca="false">IF(I467="","",J467*הגדרות!$E$6+I467+1)</f>
        <v/>
      </c>
      <c r="L467" s="0" t="str">
        <f aca="false">IF(K467="","",MATCH(K467,$F$2:$F$5001,0))</f>
        <v/>
      </c>
      <c r="M467" s="0" t="str">
        <f aca="false">IF(I467="","",INDEX(הגדרות!$A$2:$A$21,MOD(I467+הגדרות!$E$9,הגדרות!$E$6)+1))</f>
        <v/>
      </c>
    </row>
    <row r="468" customFormat="false" ht="15" hidden="false" customHeight="false" outlineLevel="0" collapsed="false">
      <c r="A468" s="0" t="str">
        <f aca="false">IF('הדבקת לידים'!A468="","",IF(ISNUMBER('הדבקת לידים'!A468),IF(הגדרות!$E$2&gt;0,TEXT('הדבקת לידים'!A468,REPT("0",הגדרות!$E$2)),TEXT('הדבקת לידים'!A468,"0")),TRIM('הדבקת לידים'!A468)))</f>
        <v/>
      </c>
      <c r="B468" s="0" t="str">
        <f aca="false">IF('הדבקת לידים'!B468="","",IF(ISNUMBER('הדבקת לידים'!B468),IF(הגדרות!$E$3&gt;0,TEXT('הדבקת לידים'!B468,REPT("0",הגדרות!$E$3)),TEXT('הדבקת לידים'!B468,"0")),TRIM('הדבקת לידים'!B468)))</f>
        <v/>
      </c>
      <c r="C468" s="0" t="n">
        <f aca="false">IF(OR(A468&lt;&gt;"",B468&lt;&gt;""),1,0)</f>
        <v>0</v>
      </c>
      <c r="D468" s="0" t="str">
        <f aca="false">IF(C468=1,MOD(ABS(SIN(ROW()*12.9898+'הדבקת לידים'!$F$2*78.233+IFERROR(--RIGHT(A468,6),LEN(A468))*0.0137+IFERROR(--RIGHT(B468,6),LEN(B468))*0.0071))*43758.5453,1),"")</f>
        <v/>
      </c>
      <c r="E468" s="0" t="str">
        <f aca="false">IF(C468=1,INT(MOD(ABS(SIN(D468*7919.123+ROW()*0.618+'הדבקת לידים'!$F$2*1.3))*43758.5453,1)*1000000)*10000+ROW(),"")</f>
        <v/>
      </c>
      <c r="F468" s="0" t="str">
        <f aca="false">IF(E468="","",RANK(E468,$E$2:$E$5001,1))</f>
        <v/>
      </c>
      <c r="G468" s="0" t="n">
        <f aca="false">IF(A468="",0,IF(SUMPRODUCT(--($A$2:$A$5001=A468))&gt;1,1,0))</f>
        <v>0</v>
      </c>
      <c r="H468" s="0" t="n">
        <f aca="false">ROW()-1</f>
        <v>467</v>
      </c>
      <c r="I468" s="0" t="str">
        <f aca="false">IF(OR(הגדרות!$E$6=0,H468&gt;הגדרות!$E$5),"",IF(H468-1&lt;הגדרות!$E$8*(הגדרות!$E$7+1),INT((H468-1)/(הגדרות!$E$7+1)),הגדרות!$E$8+INT((H468-1-הגדרות!$E$8*(הגדרות!$E$7+1))/הגדרות!$E$7)))</f>
        <v/>
      </c>
      <c r="J468" s="0" t="str">
        <f aca="false">IF(I468="","",IF(H468-1&lt;הגדרות!$E$8*(הגדרות!$E$7+1),MOD(H468-1,הגדרות!$E$7+1),MOD(H468-1-הגדרות!$E$8*(הגדרות!$E$7+1),הגדרות!$E$7)))</f>
        <v/>
      </c>
      <c r="K468" s="0" t="str">
        <f aca="false">IF(I468="","",J468*הגדרות!$E$6+I468+1)</f>
        <v/>
      </c>
      <c r="L468" s="0" t="str">
        <f aca="false">IF(K468="","",MATCH(K468,$F$2:$F$5001,0))</f>
        <v/>
      </c>
      <c r="M468" s="0" t="str">
        <f aca="false">IF(I468="","",INDEX(הגדרות!$A$2:$A$21,MOD(I468+הגדרות!$E$9,הגדרות!$E$6)+1))</f>
        <v/>
      </c>
    </row>
    <row r="469" customFormat="false" ht="15" hidden="false" customHeight="false" outlineLevel="0" collapsed="false">
      <c r="A469" s="0" t="str">
        <f aca="false">IF('הדבקת לידים'!A469="","",IF(ISNUMBER('הדבקת לידים'!A469),IF(הגדרות!$E$2&gt;0,TEXT('הדבקת לידים'!A469,REPT("0",הגדרות!$E$2)),TEXT('הדבקת לידים'!A469,"0")),TRIM('הדבקת לידים'!A469)))</f>
        <v/>
      </c>
      <c r="B469" s="0" t="str">
        <f aca="false">IF('הדבקת לידים'!B469="","",IF(ISNUMBER('הדבקת לידים'!B469),IF(הגדרות!$E$3&gt;0,TEXT('הדבקת לידים'!B469,REPT("0",הגדרות!$E$3)),TEXT('הדבקת לידים'!B469,"0")),TRIM('הדבקת לידים'!B469)))</f>
        <v/>
      </c>
      <c r="C469" s="0" t="n">
        <f aca="false">IF(OR(A469&lt;&gt;"",B469&lt;&gt;""),1,0)</f>
        <v>0</v>
      </c>
      <c r="D469" s="0" t="str">
        <f aca="false">IF(C469=1,MOD(ABS(SIN(ROW()*12.9898+'הדבקת לידים'!$F$2*78.233+IFERROR(--RIGHT(A469,6),LEN(A469))*0.0137+IFERROR(--RIGHT(B469,6),LEN(B469))*0.0071))*43758.5453,1),"")</f>
        <v/>
      </c>
      <c r="E469" s="0" t="str">
        <f aca="false">IF(C469=1,INT(MOD(ABS(SIN(D469*7919.123+ROW()*0.618+'הדבקת לידים'!$F$2*1.3))*43758.5453,1)*1000000)*10000+ROW(),"")</f>
        <v/>
      </c>
      <c r="F469" s="0" t="str">
        <f aca="false">IF(E469="","",RANK(E469,$E$2:$E$5001,1))</f>
        <v/>
      </c>
      <c r="G469" s="0" t="n">
        <f aca="false">IF(A469="",0,IF(SUMPRODUCT(--($A$2:$A$5001=A469))&gt;1,1,0))</f>
        <v>0</v>
      </c>
      <c r="H469" s="0" t="n">
        <f aca="false">ROW()-1</f>
        <v>468</v>
      </c>
      <c r="I469" s="0" t="str">
        <f aca="false">IF(OR(הגדרות!$E$6=0,H469&gt;הגדרות!$E$5),"",IF(H469-1&lt;הגדרות!$E$8*(הגדרות!$E$7+1),INT((H469-1)/(הגדרות!$E$7+1)),הגדרות!$E$8+INT((H469-1-הגדרות!$E$8*(הגדרות!$E$7+1))/הגדרות!$E$7)))</f>
        <v/>
      </c>
      <c r="J469" s="0" t="str">
        <f aca="false">IF(I469="","",IF(H469-1&lt;הגדרות!$E$8*(הגדרות!$E$7+1),MOD(H469-1,הגדרות!$E$7+1),MOD(H469-1-הגדרות!$E$8*(הגדרות!$E$7+1),הגדרות!$E$7)))</f>
        <v/>
      </c>
      <c r="K469" s="0" t="str">
        <f aca="false">IF(I469="","",J469*הגדרות!$E$6+I469+1)</f>
        <v/>
      </c>
      <c r="L469" s="0" t="str">
        <f aca="false">IF(K469="","",MATCH(K469,$F$2:$F$5001,0))</f>
        <v/>
      </c>
      <c r="M469" s="0" t="str">
        <f aca="false">IF(I469="","",INDEX(הגדרות!$A$2:$A$21,MOD(I469+הגדרות!$E$9,הגדרות!$E$6)+1))</f>
        <v/>
      </c>
    </row>
    <row r="470" customFormat="false" ht="15" hidden="false" customHeight="false" outlineLevel="0" collapsed="false">
      <c r="A470" s="0" t="str">
        <f aca="false">IF('הדבקת לידים'!A470="","",IF(ISNUMBER('הדבקת לידים'!A470),IF(הגדרות!$E$2&gt;0,TEXT('הדבקת לידים'!A470,REPT("0",הגדרות!$E$2)),TEXT('הדבקת לידים'!A470,"0")),TRIM('הדבקת לידים'!A470)))</f>
        <v/>
      </c>
      <c r="B470" s="0" t="str">
        <f aca="false">IF('הדבקת לידים'!B470="","",IF(ISNUMBER('הדבקת לידים'!B470),IF(הגדרות!$E$3&gt;0,TEXT('הדבקת לידים'!B470,REPT("0",הגדרות!$E$3)),TEXT('הדבקת לידים'!B470,"0")),TRIM('הדבקת לידים'!B470)))</f>
        <v/>
      </c>
      <c r="C470" s="0" t="n">
        <f aca="false">IF(OR(A470&lt;&gt;"",B470&lt;&gt;""),1,0)</f>
        <v>0</v>
      </c>
      <c r="D470" s="0" t="str">
        <f aca="false">IF(C470=1,MOD(ABS(SIN(ROW()*12.9898+'הדבקת לידים'!$F$2*78.233+IFERROR(--RIGHT(A470,6),LEN(A470))*0.0137+IFERROR(--RIGHT(B470,6),LEN(B470))*0.0071))*43758.5453,1),"")</f>
        <v/>
      </c>
      <c r="E470" s="0" t="str">
        <f aca="false">IF(C470=1,INT(MOD(ABS(SIN(D470*7919.123+ROW()*0.618+'הדבקת לידים'!$F$2*1.3))*43758.5453,1)*1000000)*10000+ROW(),"")</f>
        <v/>
      </c>
      <c r="F470" s="0" t="str">
        <f aca="false">IF(E470="","",RANK(E470,$E$2:$E$5001,1))</f>
        <v/>
      </c>
      <c r="G470" s="0" t="n">
        <f aca="false">IF(A470="",0,IF(SUMPRODUCT(--($A$2:$A$5001=A470))&gt;1,1,0))</f>
        <v>0</v>
      </c>
      <c r="H470" s="0" t="n">
        <f aca="false">ROW()-1</f>
        <v>469</v>
      </c>
      <c r="I470" s="0" t="str">
        <f aca="false">IF(OR(הגדרות!$E$6=0,H470&gt;הגדרות!$E$5),"",IF(H470-1&lt;הגדרות!$E$8*(הגדרות!$E$7+1),INT((H470-1)/(הגדרות!$E$7+1)),הגדרות!$E$8+INT((H470-1-הגדרות!$E$8*(הגדרות!$E$7+1))/הגדרות!$E$7)))</f>
        <v/>
      </c>
      <c r="J470" s="0" t="str">
        <f aca="false">IF(I470="","",IF(H470-1&lt;הגדרות!$E$8*(הגדרות!$E$7+1),MOD(H470-1,הגדרות!$E$7+1),MOD(H470-1-הגדרות!$E$8*(הגדרות!$E$7+1),הגדרות!$E$7)))</f>
        <v/>
      </c>
      <c r="K470" s="0" t="str">
        <f aca="false">IF(I470="","",J470*הגדרות!$E$6+I470+1)</f>
        <v/>
      </c>
      <c r="L470" s="0" t="str">
        <f aca="false">IF(K470="","",MATCH(K470,$F$2:$F$5001,0))</f>
        <v/>
      </c>
      <c r="M470" s="0" t="str">
        <f aca="false">IF(I470="","",INDEX(הגדרות!$A$2:$A$21,MOD(I470+הגדרות!$E$9,הגדרות!$E$6)+1))</f>
        <v/>
      </c>
    </row>
    <row r="471" customFormat="false" ht="15" hidden="false" customHeight="false" outlineLevel="0" collapsed="false">
      <c r="A471" s="0" t="str">
        <f aca="false">IF('הדבקת לידים'!A471="","",IF(ISNUMBER('הדבקת לידים'!A471),IF(הגדרות!$E$2&gt;0,TEXT('הדבקת לידים'!A471,REPT("0",הגדרות!$E$2)),TEXT('הדבקת לידים'!A471,"0")),TRIM('הדבקת לידים'!A471)))</f>
        <v/>
      </c>
      <c r="B471" s="0" t="str">
        <f aca="false">IF('הדבקת לידים'!B471="","",IF(ISNUMBER('הדבקת לידים'!B471),IF(הגדרות!$E$3&gt;0,TEXT('הדבקת לידים'!B471,REPT("0",הגדרות!$E$3)),TEXT('הדבקת לידים'!B471,"0")),TRIM('הדבקת לידים'!B471)))</f>
        <v/>
      </c>
      <c r="C471" s="0" t="n">
        <f aca="false">IF(OR(A471&lt;&gt;"",B471&lt;&gt;""),1,0)</f>
        <v>0</v>
      </c>
      <c r="D471" s="0" t="str">
        <f aca="false">IF(C471=1,MOD(ABS(SIN(ROW()*12.9898+'הדבקת לידים'!$F$2*78.233+IFERROR(--RIGHT(A471,6),LEN(A471))*0.0137+IFERROR(--RIGHT(B471,6),LEN(B471))*0.0071))*43758.5453,1),"")</f>
        <v/>
      </c>
      <c r="E471" s="0" t="str">
        <f aca="false">IF(C471=1,INT(MOD(ABS(SIN(D471*7919.123+ROW()*0.618+'הדבקת לידים'!$F$2*1.3))*43758.5453,1)*1000000)*10000+ROW(),"")</f>
        <v/>
      </c>
      <c r="F471" s="0" t="str">
        <f aca="false">IF(E471="","",RANK(E471,$E$2:$E$5001,1))</f>
        <v/>
      </c>
      <c r="G471" s="0" t="n">
        <f aca="false">IF(A471="",0,IF(SUMPRODUCT(--($A$2:$A$5001=A471))&gt;1,1,0))</f>
        <v>0</v>
      </c>
      <c r="H471" s="0" t="n">
        <f aca="false">ROW()-1</f>
        <v>470</v>
      </c>
      <c r="I471" s="0" t="str">
        <f aca="false">IF(OR(הגדרות!$E$6=0,H471&gt;הגדרות!$E$5),"",IF(H471-1&lt;הגדרות!$E$8*(הגדרות!$E$7+1),INT((H471-1)/(הגדרות!$E$7+1)),הגדרות!$E$8+INT((H471-1-הגדרות!$E$8*(הגדרות!$E$7+1))/הגדרות!$E$7)))</f>
        <v/>
      </c>
      <c r="J471" s="0" t="str">
        <f aca="false">IF(I471="","",IF(H471-1&lt;הגדרות!$E$8*(הגדרות!$E$7+1),MOD(H471-1,הגדרות!$E$7+1),MOD(H471-1-הגדרות!$E$8*(הגדרות!$E$7+1),הגדרות!$E$7)))</f>
        <v/>
      </c>
      <c r="K471" s="0" t="str">
        <f aca="false">IF(I471="","",J471*הגדרות!$E$6+I471+1)</f>
        <v/>
      </c>
      <c r="L471" s="0" t="str">
        <f aca="false">IF(K471="","",MATCH(K471,$F$2:$F$5001,0))</f>
        <v/>
      </c>
      <c r="M471" s="0" t="str">
        <f aca="false">IF(I471="","",INDEX(הגדרות!$A$2:$A$21,MOD(I471+הגדרות!$E$9,הגדרות!$E$6)+1))</f>
        <v/>
      </c>
    </row>
    <row r="472" customFormat="false" ht="15" hidden="false" customHeight="false" outlineLevel="0" collapsed="false">
      <c r="A472" s="0" t="str">
        <f aca="false">IF('הדבקת לידים'!A472="","",IF(ISNUMBER('הדבקת לידים'!A472),IF(הגדרות!$E$2&gt;0,TEXT('הדבקת לידים'!A472,REPT("0",הגדרות!$E$2)),TEXT('הדבקת לידים'!A472,"0")),TRIM('הדבקת לידים'!A472)))</f>
        <v/>
      </c>
      <c r="B472" s="0" t="str">
        <f aca="false">IF('הדבקת לידים'!B472="","",IF(ISNUMBER('הדבקת לידים'!B472),IF(הגדרות!$E$3&gt;0,TEXT('הדבקת לידים'!B472,REPT("0",הגדרות!$E$3)),TEXT('הדבקת לידים'!B472,"0")),TRIM('הדבקת לידים'!B472)))</f>
        <v/>
      </c>
      <c r="C472" s="0" t="n">
        <f aca="false">IF(OR(A472&lt;&gt;"",B472&lt;&gt;""),1,0)</f>
        <v>0</v>
      </c>
      <c r="D472" s="0" t="str">
        <f aca="false">IF(C472=1,MOD(ABS(SIN(ROW()*12.9898+'הדבקת לידים'!$F$2*78.233+IFERROR(--RIGHT(A472,6),LEN(A472))*0.0137+IFERROR(--RIGHT(B472,6),LEN(B472))*0.0071))*43758.5453,1),"")</f>
        <v/>
      </c>
      <c r="E472" s="0" t="str">
        <f aca="false">IF(C472=1,INT(MOD(ABS(SIN(D472*7919.123+ROW()*0.618+'הדבקת לידים'!$F$2*1.3))*43758.5453,1)*1000000)*10000+ROW(),"")</f>
        <v/>
      </c>
      <c r="F472" s="0" t="str">
        <f aca="false">IF(E472="","",RANK(E472,$E$2:$E$5001,1))</f>
        <v/>
      </c>
      <c r="G472" s="0" t="n">
        <f aca="false">IF(A472="",0,IF(SUMPRODUCT(--($A$2:$A$5001=A472))&gt;1,1,0))</f>
        <v>0</v>
      </c>
      <c r="H472" s="0" t="n">
        <f aca="false">ROW()-1</f>
        <v>471</v>
      </c>
      <c r="I472" s="0" t="str">
        <f aca="false">IF(OR(הגדרות!$E$6=0,H472&gt;הגדרות!$E$5),"",IF(H472-1&lt;הגדרות!$E$8*(הגדרות!$E$7+1),INT((H472-1)/(הגדרות!$E$7+1)),הגדרות!$E$8+INT((H472-1-הגדרות!$E$8*(הגדרות!$E$7+1))/הגדרות!$E$7)))</f>
        <v/>
      </c>
      <c r="J472" s="0" t="str">
        <f aca="false">IF(I472="","",IF(H472-1&lt;הגדרות!$E$8*(הגדרות!$E$7+1),MOD(H472-1,הגדרות!$E$7+1),MOD(H472-1-הגדרות!$E$8*(הגדרות!$E$7+1),הגדרות!$E$7)))</f>
        <v/>
      </c>
      <c r="K472" s="0" t="str">
        <f aca="false">IF(I472="","",J472*הגדרות!$E$6+I472+1)</f>
        <v/>
      </c>
      <c r="L472" s="0" t="str">
        <f aca="false">IF(K472="","",MATCH(K472,$F$2:$F$5001,0))</f>
        <v/>
      </c>
      <c r="M472" s="0" t="str">
        <f aca="false">IF(I472="","",INDEX(הגדרות!$A$2:$A$21,MOD(I472+הגדרות!$E$9,הגדרות!$E$6)+1))</f>
        <v/>
      </c>
    </row>
    <row r="473" customFormat="false" ht="15" hidden="false" customHeight="false" outlineLevel="0" collapsed="false">
      <c r="A473" s="0" t="str">
        <f aca="false">IF('הדבקת לידים'!A473="","",IF(ISNUMBER('הדבקת לידים'!A473),IF(הגדרות!$E$2&gt;0,TEXT('הדבקת לידים'!A473,REPT("0",הגדרות!$E$2)),TEXT('הדבקת לידים'!A473,"0")),TRIM('הדבקת לידים'!A473)))</f>
        <v/>
      </c>
      <c r="B473" s="0" t="str">
        <f aca="false">IF('הדבקת לידים'!B473="","",IF(ISNUMBER('הדבקת לידים'!B473),IF(הגדרות!$E$3&gt;0,TEXT('הדבקת לידים'!B473,REPT("0",הגדרות!$E$3)),TEXT('הדבקת לידים'!B473,"0")),TRIM('הדבקת לידים'!B473)))</f>
        <v/>
      </c>
      <c r="C473" s="0" t="n">
        <f aca="false">IF(OR(A473&lt;&gt;"",B473&lt;&gt;""),1,0)</f>
        <v>0</v>
      </c>
      <c r="D473" s="0" t="str">
        <f aca="false">IF(C473=1,MOD(ABS(SIN(ROW()*12.9898+'הדבקת לידים'!$F$2*78.233+IFERROR(--RIGHT(A473,6),LEN(A473))*0.0137+IFERROR(--RIGHT(B473,6),LEN(B473))*0.0071))*43758.5453,1),"")</f>
        <v/>
      </c>
      <c r="E473" s="0" t="str">
        <f aca="false">IF(C473=1,INT(MOD(ABS(SIN(D473*7919.123+ROW()*0.618+'הדבקת לידים'!$F$2*1.3))*43758.5453,1)*1000000)*10000+ROW(),"")</f>
        <v/>
      </c>
      <c r="F473" s="0" t="str">
        <f aca="false">IF(E473="","",RANK(E473,$E$2:$E$5001,1))</f>
        <v/>
      </c>
      <c r="G473" s="0" t="n">
        <f aca="false">IF(A473="",0,IF(SUMPRODUCT(--($A$2:$A$5001=A473))&gt;1,1,0))</f>
        <v>0</v>
      </c>
      <c r="H473" s="0" t="n">
        <f aca="false">ROW()-1</f>
        <v>472</v>
      </c>
      <c r="I473" s="0" t="str">
        <f aca="false">IF(OR(הגדרות!$E$6=0,H473&gt;הגדרות!$E$5),"",IF(H473-1&lt;הגדרות!$E$8*(הגדרות!$E$7+1),INT((H473-1)/(הגדרות!$E$7+1)),הגדרות!$E$8+INT((H473-1-הגדרות!$E$8*(הגדרות!$E$7+1))/הגדרות!$E$7)))</f>
        <v/>
      </c>
      <c r="J473" s="0" t="str">
        <f aca="false">IF(I473="","",IF(H473-1&lt;הגדרות!$E$8*(הגדרות!$E$7+1),MOD(H473-1,הגדרות!$E$7+1),MOD(H473-1-הגדרות!$E$8*(הגדרות!$E$7+1),הגדרות!$E$7)))</f>
        <v/>
      </c>
      <c r="K473" s="0" t="str">
        <f aca="false">IF(I473="","",J473*הגדרות!$E$6+I473+1)</f>
        <v/>
      </c>
      <c r="L473" s="0" t="str">
        <f aca="false">IF(K473="","",MATCH(K473,$F$2:$F$5001,0))</f>
        <v/>
      </c>
      <c r="M473" s="0" t="str">
        <f aca="false">IF(I473="","",INDEX(הגדרות!$A$2:$A$21,MOD(I473+הגדרות!$E$9,הגדרות!$E$6)+1))</f>
        <v/>
      </c>
    </row>
    <row r="474" customFormat="false" ht="15" hidden="false" customHeight="false" outlineLevel="0" collapsed="false">
      <c r="A474" s="0" t="str">
        <f aca="false">IF('הדבקת לידים'!A474="","",IF(ISNUMBER('הדבקת לידים'!A474),IF(הגדרות!$E$2&gt;0,TEXT('הדבקת לידים'!A474,REPT("0",הגדרות!$E$2)),TEXT('הדבקת לידים'!A474,"0")),TRIM('הדבקת לידים'!A474)))</f>
        <v/>
      </c>
      <c r="B474" s="0" t="str">
        <f aca="false">IF('הדבקת לידים'!B474="","",IF(ISNUMBER('הדבקת לידים'!B474),IF(הגדרות!$E$3&gt;0,TEXT('הדבקת לידים'!B474,REPT("0",הגדרות!$E$3)),TEXT('הדבקת לידים'!B474,"0")),TRIM('הדבקת לידים'!B474)))</f>
        <v/>
      </c>
      <c r="C474" s="0" t="n">
        <f aca="false">IF(OR(A474&lt;&gt;"",B474&lt;&gt;""),1,0)</f>
        <v>0</v>
      </c>
      <c r="D474" s="0" t="str">
        <f aca="false">IF(C474=1,MOD(ABS(SIN(ROW()*12.9898+'הדבקת לידים'!$F$2*78.233+IFERROR(--RIGHT(A474,6),LEN(A474))*0.0137+IFERROR(--RIGHT(B474,6),LEN(B474))*0.0071))*43758.5453,1),"")</f>
        <v/>
      </c>
      <c r="E474" s="0" t="str">
        <f aca="false">IF(C474=1,INT(MOD(ABS(SIN(D474*7919.123+ROW()*0.618+'הדבקת לידים'!$F$2*1.3))*43758.5453,1)*1000000)*10000+ROW(),"")</f>
        <v/>
      </c>
      <c r="F474" s="0" t="str">
        <f aca="false">IF(E474="","",RANK(E474,$E$2:$E$5001,1))</f>
        <v/>
      </c>
      <c r="G474" s="0" t="n">
        <f aca="false">IF(A474="",0,IF(SUMPRODUCT(--($A$2:$A$5001=A474))&gt;1,1,0))</f>
        <v>0</v>
      </c>
      <c r="H474" s="0" t="n">
        <f aca="false">ROW()-1</f>
        <v>473</v>
      </c>
      <c r="I474" s="0" t="str">
        <f aca="false">IF(OR(הגדרות!$E$6=0,H474&gt;הגדרות!$E$5),"",IF(H474-1&lt;הגדרות!$E$8*(הגדרות!$E$7+1),INT((H474-1)/(הגדרות!$E$7+1)),הגדרות!$E$8+INT((H474-1-הגדרות!$E$8*(הגדרות!$E$7+1))/הגדרות!$E$7)))</f>
        <v/>
      </c>
      <c r="J474" s="0" t="str">
        <f aca="false">IF(I474="","",IF(H474-1&lt;הגדרות!$E$8*(הגדרות!$E$7+1),MOD(H474-1,הגדרות!$E$7+1),MOD(H474-1-הגדרות!$E$8*(הגדרות!$E$7+1),הגדרות!$E$7)))</f>
        <v/>
      </c>
      <c r="K474" s="0" t="str">
        <f aca="false">IF(I474="","",J474*הגדרות!$E$6+I474+1)</f>
        <v/>
      </c>
      <c r="L474" s="0" t="str">
        <f aca="false">IF(K474="","",MATCH(K474,$F$2:$F$5001,0))</f>
        <v/>
      </c>
      <c r="M474" s="0" t="str">
        <f aca="false">IF(I474="","",INDEX(הגדרות!$A$2:$A$21,MOD(I474+הגדרות!$E$9,הגדרות!$E$6)+1))</f>
        <v/>
      </c>
    </row>
    <row r="475" customFormat="false" ht="15" hidden="false" customHeight="false" outlineLevel="0" collapsed="false">
      <c r="A475" s="0" t="str">
        <f aca="false">IF('הדבקת לידים'!A475="","",IF(ISNUMBER('הדבקת לידים'!A475),IF(הגדרות!$E$2&gt;0,TEXT('הדבקת לידים'!A475,REPT("0",הגדרות!$E$2)),TEXT('הדבקת לידים'!A475,"0")),TRIM('הדבקת לידים'!A475)))</f>
        <v/>
      </c>
      <c r="B475" s="0" t="str">
        <f aca="false">IF('הדבקת לידים'!B475="","",IF(ISNUMBER('הדבקת לידים'!B475),IF(הגדרות!$E$3&gt;0,TEXT('הדבקת לידים'!B475,REPT("0",הגדרות!$E$3)),TEXT('הדבקת לידים'!B475,"0")),TRIM('הדבקת לידים'!B475)))</f>
        <v/>
      </c>
      <c r="C475" s="0" t="n">
        <f aca="false">IF(OR(A475&lt;&gt;"",B475&lt;&gt;""),1,0)</f>
        <v>0</v>
      </c>
      <c r="D475" s="0" t="str">
        <f aca="false">IF(C475=1,MOD(ABS(SIN(ROW()*12.9898+'הדבקת לידים'!$F$2*78.233+IFERROR(--RIGHT(A475,6),LEN(A475))*0.0137+IFERROR(--RIGHT(B475,6),LEN(B475))*0.0071))*43758.5453,1),"")</f>
        <v/>
      </c>
      <c r="E475" s="0" t="str">
        <f aca="false">IF(C475=1,INT(MOD(ABS(SIN(D475*7919.123+ROW()*0.618+'הדבקת לידים'!$F$2*1.3))*43758.5453,1)*1000000)*10000+ROW(),"")</f>
        <v/>
      </c>
      <c r="F475" s="0" t="str">
        <f aca="false">IF(E475="","",RANK(E475,$E$2:$E$5001,1))</f>
        <v/>
      </c>
      <c r="G475" s="0" t="n">
        <f aca="false">IF(A475="",0,IF(SUMPRODUCT(--($A$2:$A$5001=A475))&gt;1,1,0))</f>
        <v>0</v>
      </c>
      <c r="H475" s="0" t="n">
        <f aca="false">ROW()-1</f>
        <v>474</v>
      </c>
      <c r="I475" s="0" t="str">
        <f aca="false">IF(OR(הגדרות!$E$6=0,H475&gt;הגדרות!$E$5),"",IF(H475-1&lt;הגדרות!$E$8*(הגדרות!$E$7+1),INT((H475-1)/(הגדרות!$E$7+1)),הגדרות!$E$8+INT((H475-1-הגדרות!$E$8*(הגדרות!$E$7+1))/הגדרות!$E$7)))</f>
        <v/>
      </c>
      <c r="J475" s="0" t="str">
        <f aca="false">IF(I475="","",IF(H475-1&lt;הגדרות!$E$8*(הגדרות!$E$7+1),MOD(H475-1,הגדרות!$E$7+1),MOD(H475-1-הגדרות!$E$8*(הגדרות!$E$7+1),הגדרות!$E$7)))</f>
        <v/>
      </c>
      <c r="K475" s="0" t="str">
        <f aca="false">IF(I475="","",J475*הגדרות!$E$6+I475+1)</f>
        <v/>
      </c>
      <c r="L475" s="0" t="str">
        <f aca="false">IF(K475="","",MATCH(K475,$F$2:$F$5001,0))</f>
        <v/>
      </c>
      <c r="M475" s="0" t="str">
        <f aca="false">IF(I475="","",INDEX(הגדרות!$A$2:$A$21,MOD(I475+הגדרות!$E$9,הגדרות!$E$6)+1))</f>
        <v/>
      </c>
    </row>
    <row r="476" customFormat="false" ht="15" hidden="false" customHeight="false" outlineLevel="0" collapsed="false">
      <c r="A476" s="0" t="str">
        <f aca="false">IF('הדבקת לידים'!A476="","",IF(ISNUMBER('הדבקת לידים'!A476),IF(הגדרות!$E$2&gt;0,TEXT('הדבקת לידים'!A476,REPT("0",הגדרות!$E$2)),TEXT('הדבקת לידים'!A476,"0")),TRIM('הדבקת לידים'!A476)))</f>
        <v/>
      </c>
      <c r="B476" s="0" t="str">
        <f aca="false">IF('הדבקת לידים'!B476="","",IF(ISNUMBER('הדבקת לידים'!B476),IF(הגדרות!$E$3&gt;0,TEXT('הדבקת לידים'!B476,REPT("0",הגדרות!$E$3)),TEXT('הדבקת לידים'!B476,"0")),TRIM('הדבקת לידים'!B476)))</f>
        <v/>
      </c>
      <c r="C476" s="0" t="n">
        <f aca="false">IF(OR(A476&lt;&gt;"",B476&lt;&gt;""),1,0)</f>
        <v>0</v>
      </c>
      <c r="D476" s="0" t="str">
        <f aca="false">IF(C476=1,MOD(ABS(SIN(ROW()*12.9898+'הדבקת לידים'!$F$2*78.233+IFERROR(--RIGHT(A476,6),LEN(A476))*0.0137+IFERROR(--RIGHT(B476,6),LEN(B476))*0.0071))*43758.5453,1),"")</f>
        <v/>
      </c>
      <c r="E476" s="0" t="str">
        <f aca="false">IF(C476=1,INT(MOD(ABS(SIN(D476*7919.123+ROW()*0.618+'הדבקת לידים'!$F$2*1.3))*43758.5453,1)*1000000)*10000+ROW(),"")</f>
        <v/>
      </c>
      <c r="F476" s="0" t="str">
        <f aca="false">IF(E476="","",RANK(E476,$E$2:$E$5001,1))</f>
        <v/>
      </c>
      <c r="G476" s="0" t="n">
        <f aca="false">IF(A476="",0,IF(SUMPRODUCT(--($A$2:$A$5001=A476))&gt;1,1,0))</f>
        <v>0</v>
      </c>
      <c r="H476" s="0" t="n">
        <f aca="false">ROW()-1</f>
        <v>475</v>
      </c>
      <c r="I476" s="0" t="str">
        <f aca="false">IF(OR(הגדרות!$E$6=0,H476&gt;הגדרות!$E$5),"",IF(H476-1&lt;הגדרות!$E$8*(הגדרות!$E$7+1),INT((H476-1)/(הגדרות!$E$7+1)),הגדרות!$E$8+INT((H476-1-הגדרות!$E$8*(הגדרות!$E$7+1))/הגדרות!$E$7)))</f>
        <v/>
      </c>
      <c r="J476" s="0" t="str">
        <f aca="false">IF(I476="","",IF(H476-1&lt;הגדרות!$E$8*(הגדרות!$E$7+1),MOD(H476-1,הגדרות!$E$7+1),MOD(H476-1-הגדרות!$E$8*(הגדרות!$E$7+1),הגדרות!$E$7)))</f>
        <v/>
      </c>
      <c r="K476" s="0" t="str">
        <f aca="false">IF(I476="","",J476*הגדרות!$E$6+I476+1)</f>
        <v/>
      </c>
      <c r="L476" s="0" t="str">
        <f aca="false">IF(K476="","",MATCH(K476,$F$2:$F$5001,0))</f>
        <v/>
      </c>
      <c r="M476" s="0" t="str">
        <f aca="false">IF(I476="","",INDEX(הגדרות!$A$2:$A$21,MOD(I476+הגדרות!$E$9,הגדרות!$E$6)+1))</f>
        <v/>
      </c>
    </row>
    <row r="477" customFormat="false" ht="15" hidden="false" customHeight="false" outlineLevel="0" collapsed="false">
      <c r="A477" s="0" t="str">
        <f aca="false">IF('הדבקת לידים'!A477="","",IF(ISNUMBER('הדבקת לידים'!A477),IF(הגדרות!$E$2&gt;0,TEXT('הדבקת לידים'!A477,REPT("0",הגדרות!$E$2)),TEXT('הדבקת לידים'!A477,"0")),TRIM('הדבקת לידים'!A477)))</f>
        <v/>
      </c>
      <c r="B477" s="0" t="str">
        <f aca="false">IF('הדבקת לידים'!B477="","",IF(ISNUMBER('הדבקת לידים'!B477),IF(הגדרות!$E$3&gt;0,TEXT('הדבקת לידים'!B477,REPT("0",הגדרות!$E$3)),TEXT('הדבקת לידים'!B477,"0")),TRIM('הדבקת לידים'!B477)))</f>
        <v/>
      </c>
      <c r="C477" s="0" t="n">
        <f aca="false">IF(OR(A477&lt;&gt;"",B477&lt;&gt;""),1,0)</f>
        <v>0</v>
      </c>
      <c r="D477" s="0" t="str">
        <f aca="false">IF(C477=1,MOD(ABS(SIN(ROW()*12.9898+'הדבקת לידים'!$F$2*78.233+IFERROR(--RIGHT(A477,6),LEN(A477))*0.0137+IFERROR(--RIGHT(B477,6),LEN(B477))*0.0071))*43758.5453,1),"")</f>
        <v/>
      </c>
      <c r="E477" s="0" t="str">
        <f aca="false">IF(C477=1,INT(MOD(ABS(SIN(D477*7919.123+ROW()*0.618+'הדבקת לידים'!$F$2*1.3))*43758.5453,1)*1000000)*10000+ROW(),"")</f>
        <v/>
      </c>
      <c r="F477" s="0" t="str">
        <f aca="false">IF(E477="","",RANK(E477,$E$2:$E$5001,1))</f>
        <v/>
      </c>
      <c r="G477" s="0" t="n">
        <f aca="false">IF(A477="",0,IF(SUMPRODUCT(--($A$2:$A$5001=A477))&gt;1,1,0))</f>
        <v>0</v>
      </c>
      <c r="H477" s="0" t="n">
        <f aca="false">ROW()-1</f>
        <v>476</v>
      </c>
      <c r="I477" s="0" t="str">
        <f aca="false">IF(OR(הגדרות!$E$6=0,H477&gt;הגדרות!$E$5),"",IF(H477-1&lt;הגדרות!$E$8*(הגדרות!$E$7+1),INT((H477-1)/(הגדרות!$E$7+1)),הגדרות!$E$8+INT((H477-1-הגדרות!$E$8*(הגדרות!$E$7+1))/הגדרות!$E$7)))</f>
        <v/>
      </c>
      <c r="J477" s="0" t="str">
        <f aca="false">IF(I477="","",IF(H477-1&lt;הגדרות!$E$8*(הגדרות!$E$7+1),MOD(H477-1,הגדרות!$E$7+1),MOD(H477-1-הגדרות!$E$8*(הגדרות!$E$7+1),הגדרות!$E$7)))</f>
        <v/>
      </c>
      <c r="K477" s="0" t="str">
        <f aca="false">IF(I477="","",J477*הגדרות!$E$6+I477+1)</f>
        <v/>
      </c>
      <c r="L477" s="0" t="str">
        <f aca="false">IF(K477="","",MATCH(K477,$F$2:$F$5001,0))</f>
        <v/>
      </c>
      <c r="M477" s="0" t="str">
        <f aca="false">IF(I477="","",INDEX(הגדרות!$A$2:$A$21,MOD(I477+הגדרות!$E$9,הגדרות!$E$6)+1))</f>
        <v/>
      </c>
    </row>
    <row r="478" customFormat="false" ht="15" hidden="false" customHeight="false" outlineLevel="0" collapsed="false">
      <c r="A478" s="0" t="str">
        <f aca="false">IF('הדבקת לידים'!A478="","",IF(ISNUMBER('הדבקת לידים'!A478),IF(הגדרות!$E$2&gt;0,TEXT('הדבקת לידים'!A478,REPT("0",הגדרות!$E$2)),TEXT('הדבקת לידים'!A478,"0")),TRIM('הדבקת לידים'!A478)))</f>
        <v/>
      </c>
      <c r="B478" s="0" t="str">
        <f aca="false">IF('הדבקת לידים'!B478="","",IF(ISNUMBER('הדבקת לידים'!B478),IF(הגדרות!$E$3&gt;0,TEXT('הדבקת לידים'!B478,REPT("0",הגדרות!$E$3)),TEXT('הדבקת לידים'!B478,"0")),TRIM('הדבקת לידים'!B478)))</f>
        <v/>
      </c>
      <c r="C478" s="0" t="n">
        <f aca="false">IF(OR(A478&lt;&gt;"",B478&lt;&gt;""),1,0)</f>
        <v>0</v>
      </c>
      <c r="D478" s="0" t="str">
        <f aca="false">IF(C478=1,MOD(ABS(SIN(ROW()*12.9898+'הדבקת לידים'!$F$2*78.233+IFERROR(--RIGHT(A478,6),LEN(A478))*0.0137+IFERROR(--RIGHT(B478,6),LEN(B478))*0.0071))*43758.5453,1),"")</f>
        <v/>
      </c>
      <c r="E478" s="0" t="str">
        <f aca="false">IF(C478=1,INT(MOD(ABS(SIN(D478*7919.123+ROW()*0.618+'הדבקת לידים'!$F$2*1.3))*43758.5453,1)*1000000)*10000+ROW(),"")</f>
        <v/>
      </c>
      <c r="F478" s="0" t="str">
        <f aca="false">IF(E478="","",RANK(E478,$E$2:$E$5001,1))</f>
        <v/>
      </c>
      <c r="G478" s="0" t="n">
        <f aca="false">IF(A478="",0,IF(SUMPRODUCT(--($A$2:$A$5001=A478))&gt;1,1,0))</f>
        <v>0</v>
      </c>
      <c r="H478" s="0" t="n">
        <f aca="false">ROW()-1</f>
        <v>477</v>
      </c>
      <c r="I478" s="0" t="str">
        <f aca="false">IF(OR(הגדרות!$E$6=0,H478&gt;הגדרות!$E$5),"",IF(H478-1&lt;הגדרות!$E$8*(הגדרות!$E$7+1),INT((H478-1)/(הגדרות!$E$7+1)),הגדרות!$E$8+INT((H478-1-הגדרות!$E$8*(הגדרות!$E$7+1))/הגדרות!$E$7)))</f>
        <v/>
      </c>
      <c r="J478" s="0" t="str">
        <f aca="false">IF(I478="","",IF(H478-1&lt;הגדרות!$E$8*(הגדרות!$E$7+1),MOD(H478-1,הגדרות!$E$7+1),MOD(H478-1-הגדרות!$E$8*(הגדרות!$E$7+1),הגדרות!$E$7)))</f>
        <v/>
      </c>
      <c r="K478" s="0" t="str">
        <f aca="false">IF(I478="","",J478*הגדרות!$E$6+I478+1)</f>
        <v/>
      </c>
      <c r="L478" s="0" t="str">
        <f aca="false">IF(K478="","",MATCH(K478,$F$2:$F$5001,0))</f>
        <v/>
      </c>
      <c r="M478" s="0" t="str">
        <f aca="false">IF(I478="","",INDEX(הגדרות!$A$2:$A$21,MOD(I478+הגדרות!$E$9,הגדרות!$E$6)+1))</f>
        <v/>
      </c>
    </row>
    <row r="479" customFormat="false" ht="15" hidden="false" customHeight="false" outlineLevel="0" collapsed="false">
      <c r="A479" s="0" t="str">
        <f aca="false">IF('הדבקת לידים'!A479="","",IF(ISNUMBER('הדבקת לידים'!A479),IF(הגדרות!$E$2&gt;0,TEXT('הדבקת לידים'!A479,REPT("0",הגדרות!$E$2)),TEXT('הדבקת לידים'!A479,"0")),TRIM('הדבקת לידים'!A479)))</f>
        <v/>
      </c>
      <c r="B479" s="0" t="str">
        <f aca="false">IF('הדבקת לידים'!B479="","",IF(ISNUMBER('הדבקת לידים'!B479),IF(הגדרות!$E$3&gt;0,TEXT('הדבקת לידים'!B479,REPT("0",הגדרות!$E$3)),TEXT('הדבקת לידים'!B479,"0")),TRIM('הדבקת לידים'!B479)))</f>
        <v/>
      </c>
      <c r="C479" s="0" t="n">
        <f aca="false">IF(OR(A479&lt;&gt;"",B479&lt;&gt;""),1,0)</f>
        <v>0</v>
      </c>
      <c r="D479" s="0" t="str">
        <f aca="false">IF(C479=1,MOD(ABS(SIN(ROW()*12.9898+'הדבקת לידים'!$F$2*78.233+IFERROR(--RIGHT(A479,6),LEN(A479))*0.0137+IFERROR(--RIGHT(B479,6),LEN(B479))*0.0071))*43758.5453,1),"")</f>
        <v/>
      </c>
      <c r="E479" s="0" t="str">
        <f aca="false">IF(C479=1,INT(MOD(ABS(SIN(D479*7919.123+ROW()*0.618+'הדבקת לידים'!$F$2*1.3))*43758.5453,1)*1000000)*10000+ROW(),"")</f>
        <v/>
      </c>
      <c r="F479" s="0" t="str">
        <f aca="false">IF(E479="","",RANK(E479,$E$2:$E$5001,1))</f>
        <v/>
      </c>
      <c r="G479" s="0" t="n">
        <f aca="false">IF(A479="",0,IF(SUMPRODUCT(--($A$2:$A$5001=A479))&gt;1,1,0))</f>
        <v>0</v>
      </c>
      <c r="H479" s="0" t="n">
        <f aca="false">ROW()-1</f>
        <v>478</v>
      </c>
      <c r="I479" s="0" t="str">
        <f aca="false">IF(OR(הגדרות!$E$6=0,H479&gt;הגדרות!$E$5),"",IF(H479-1&lt;הגדרות!$E$8*(הגדרות!$E$7+1),INT((H479-1)/(הגדרות!$E$7+1)),הגדרות!$E$8+INT((H479-1-הגדרות!$E$8*(הגדרות!$E$7+1))/הגדרות!$E$7)))</f>
        <v/>
      </c>
      <c r="J479" s="0" t="str">
        <f aca="false">IF(I479="","",IF(H479-1&lt;הגדרות!$E$8*(הגדרות!$E$7+1),MOD(H479-1,הגדרות!$E$7+1),MOD(H479-1-הגדרות!$E$8*(הגדרות!$E$7+1),הגדרות!$E$7)))</f>
        <v/>
      </c>
      <c r="K479" s="0" t="str">
        <f aca="false">IF(I479="","",J479*הגדרות!$E$6+I479+1)</f>
        <v/>
      </c>
      <c r="L479" s="0" t="str">
        <f aca="false">IF(K479="","",MATCH(K479,$F$2:$F$5001,0))</f>
        <v/>
      </c>
      <c r="M479" s="0" t="str">
        <f aca="false">IF(I479="","",INDEX(הגדרות!$A$2:$A$21,MOD(I479+הגדרות!$E$9,הגדרות!$E$6)+1))</f>
        <v/>
      </c>
    </row>
    <row r="480" customFormat="false" ht="15" hidden="false" customHeight="false" outlineLevel="0" collapsed="false">
      <c r="A480" s="0" t="str">
        <f aca="false">IF('הדבקת לידים'!A480="","",IF(ISNUMBER('הדבקת לידים'!A480),IF(הגדרות!$E$2&gt;0,TEXT('הדבקת לידים'!A480,REPT("0",הגדרות!$E$2)),TEXT('הדבקת לידים'!A480,"0")),TRIM('הדבקת לידים'!A480)))</f>
        <v/>
      </c>
      <c r="B480" s="0" t="str">
        <f aca="false">IF('הדבקת לידים'!B480="","",IF(ISNUMBER('הדבקת לידים'!B480),IF(הגדרות!$E$3&gt;0,TEXT('הדבקת לידים'!B480,REPT("0",הגדרות!$E$3)),TEXT('הדבקת לידים'!B480,"0")),TRIM('הדבקת לידים'!B480)))</f>
        <v/>
      </c>
      <c r="C480" s="0" t="n">
        <f aca="false">IF(OR(A480&lt;&gt;"",B480&lt;&gt;""),1,0)</f>
        <v>0</v>
      </c>
      <c r="D480" s="0" t="str">
        <f aca="false">IF(C480=1,MOD(ABS(SIN(ROW()*12.9898+'הדבקת לידים'!$F$2*78.233+IFERROR(--RIGHT(A480,6),LEN(A480))*0.0137+IFERROR(--RIGHT(B480,6),LEN(B480))*0.0071))*43758.5453,1),"")</f>
        <v/>
      </c>
      <c r="E480" s="0" t="str">
        <f aca="false">IF(C480=1,INT(MOD(ABS(SIN(D480*7919.123+ROW()*0.618+'הדבקת לידים'!$F$2*1.3))*43758.5453,1)*1000000)*10000+ROW(),"")</f>
        <v/>
      </c>
      <c r="F480" s="0" t="str">
        <f aca="false">IF(E480="","",RANK(E480,$E$2:$E$5001,1))</f>
        <v/>
      </c>
      <c r="G480" s="0" t="n">
        <f aca="false">IF(A480="",0,IF(SUMPRODUCT(--($A$2:$A$5001=A480))&gt;1,1,0))</f>
        <v>0</v>
      </c>
      <c r="H480" s="0" t="n">
        <f aca="false">ROW()-1</f>
        <v>479</v>
      </c>
      <c r="I480" s="0" t="str">
        <f aca="false">IF(OR(הגדרות!$E$6=0,H480&gt;הגדרות!$E$5),"",IF(H480-1&lt;הגדרות!$E$8*(הגדרות!$E$7+1),INT((H480-1)/(הגדרות!$E$7+1)),הגדרות!$E$8+INT((H480-1-הגדרות!$E$8*(הגדרות!$E$7+1))/הגדרות!$E$7)))</f>
        <v/>
      </c>
      <c r="J480" s="0" t="str">
        <f aca="false">IF(I480="","",IF(H480-1&lt;הגדרות!$E$8*(הגדרות!$E$7+1),MOD(H480-1,הגדרות!$E$7+1),MOD(H480-1-הגדרות!$E$8*(הגדרות!$E$7+1),הגדרות!$E$7)))</f>
        <v/>
      </c>
      <c r="K480" s="0" t="str">
        <f aca="false">IF(I480="","",J480*הגדרות!$E$6+I480+1)</f>
        <v/>
      </c>
      <c r="L480" s="0" t="str">
        <f aca="false">IF(K480="","",MATCH(K480,$F$2:$F$5001,0))</f>
        <v/>
      </c>
      <c r="M480" s="0" t="str">
        <f aca="false">IF(I480="","",INDEX(הגדרות!$A$2:$A$21,MOD(I480+הגדרות!$E$9,הגדרות!$E$6)+1))</f>
        <v/>
      </c>
    </row>
    <row r="481" customFormat="false" ht="15" hidden="false" customHeight="false" outlineLevel="0" collapsed="false">
      <c r="A481" s="0" t="str">
        <f aca="false">IF('הדבקת לידים'!A481="","",IF(ISNUMBER('הדבקת לידים'!A481),IF(הגדרות!$E$2&gt;0,TEXT('הדבקת לידים'!A481,REPT("0",הגדרות!$E$2)),TEXT('הדבקת לידים'!A481,"0")),TRIM('הדבקת לידים'!A481)))</f>
        <v/>
      </c>
      <c r="B481" s="0" t="str">
        <f aca="false">IF('הדבקת לידים'!B481="","",IF(ISNUMBER('הדבקת לידים'!B481),IF(הגדרות!$E$3&gt;0,TEXT('הדבקת לידים'!B481,REPT("0",הגדרות!$E$3)),TEXT('הדבקת לידים'!B481,"0")),TRIM('הדבקת לידים'!B481)))</f>
        <v/>
      </c>
      <c r="C481" s="0" t="n">
        <f aca="false">IF(OR(A481&lt;&gt;"",B481&lt;&gt;""),1,0)</f>
        <v>0</v>
      </c>
      <c r="D481" s="0" t="str">
        <f aca="false">IF(C481=1,MOD(ABS(SIN(ROW()*12.9898+'הדבקת לידים'!$F$2*78.233+IFERROR(--RIGHT(A481,6),LEN(A481))*0.0137+IFERROR(--RIGHT(B481,6),LEN(B481))*0.0071))*43758.5453,1),"")</f>
        <v/>
      </c>
      <c r="E481" s="0" t="str">
        <f aca="false">IF(C481=1,INT(MOD(ABS(SIN(D481*7919.123+ROW()*0.618+'הדבקת לידים'!$F$2*1.3))*43758.5453,1)*1000000)*10000+ROW(),"")</f>
        <v/>
      </c>
      <c r="F481" s="0" t="str">
        <f aca="false">IF(E481="","",RANK(E481,$E$2:$E$5001,1))</f>
        <v/>
      </c>
      <c r="G481" s="0" t="n">
        <f aca="false">IF(A481="",0,IF(SUMPRODUCT(--($A$2:$A$5001=A481))&gt;1,1,0))</f>
        <v>0</v>
      </c>
      <c r="H481" s="0" t="n">
        <f aca="false">ROW()-1</f>
        <v>480</v>
      </c>
      <c r="I481" s="0" t="str">
        <f aca="false">IF(OR(הגדרות!$E$6=0,H481&gt;הגדרות!$E$5),"",IF(H481-1&lt;הגדרות!$E$8*(הגדרות!$E$7+1),INT((H481-1)/(הגדרות!$E$7+1)),הגדרות!$E$8+INT((H481-1-הגדרות!$E$8*(הגדרות!$E$7+1))/הגדרות!$E$7)))</f>
        <v/>
      </c>
      <c r="J481" s="0" t="str">
        <f aca="false">IF(I481="","",IF(H481-1&lt;הגדרות!$E$8*(הגדרות!$E$7+1),MOD(H481-1,הגדרות!$E$7+1),MOD(H481-1-הגדרות!$E$8*(הגדרות!$E$7+1),הגדרות!$E$7)))</f>
        <v/>
      </c>
      <c r="K481" s="0" t="str">
        <f aca="false">IF(I481="","",J481*הגדרות!$E$6+I481+1)</f>
        <v/>
      </c>
      <c r="L481" s="0" t="str">
        <f aca="false">IF(K481="","",MATCH(K481,$F$2:$F$5001,0))</f>
        <v/>
      </c>
      <c r="M481" s="0" t="str">
        <f aca="false">IF(I481="","",INDEX(הגדרות!$A$2:$A$21,MOD(I481+הגדרות!$E$9,הגדרות!$E$6)+1))</f>
        <v/>
      </c>
    </row>
    <row r="482" customFormat="false" ht="15" hidden="false" customHeight="false" outlineLevel="0" collapsed="false">
      <c r="A482" s="0" t="str">
        <f aca="false">IF('הדבקת לידים'!A482="","",IF(ISNUMBER('הדבקת לידים'!A482),IF(הגדרות!$E$2&gt;0,TEXT('הדבקת לידים'!A482,REPT("0",הגדרות!$E$2)),TEXT('הדבקת לידים'!A482,"0")),TRIM('הדבקת לידים'!A482)))</f>
        <v/>
      </c>
      <c r="B482" s="0" t="str">
        <f aca="false">IF('הדבקת לידים'!B482="","",IF(ISNUMBER('הדבקת לידים'!B482),IF(הגדרות!$E$3&gt;0,TEXT('הדבקת לידים'!B482,REPT("0",הגדרות!$E$3)),TEXT('הדבקת לידים'!B482,"0")),TRIM('הדבקת לידים'!B482)))</f>
        <v/>
      </c>
      <c r="C482" s="0" t="n">
        <f aca="false">IF(OR(A482&lt;&gt;"",B482&lt;&gt;""),1,0)</f>
        <v>0</v>
      </c>
      <c r="D482" s="0" t="str">
        <f aca="false">IF(C482=1,MOD(ABS(SIN(ROW()*12.9898+'הדבקת לידים'!$F$2*78.233+IFERROR(--RIGHT(A482,6),LEN(A482))*0.0137+IFERROR(--RIGHT(B482,6),LEN(B482))*0.0071))*43758.5453,1),"")</f>
        <v/>
      </c>
      <c r="E482" s="0" t="str">
        <f aca="false">IF(C482=1,INT(MOD(ABS(SIN(D482*7919.123+ROW()*0.618+'הדבקת לידים'!$F$2*1.3))*43758.5453,1)*1000000)*10000+ROW(),"")</f>
        <v/>
      </c>
      <c r="F482" s="0" t="str">
        <f aca="false">IF(E482="","",RANK(E482,$E$2:$E$5001,1))</f>
        <v/>
      </c>
      <c r="G482" s="0" t="n">
        <f aca="false">IF(A482="",0,IF(SUMPRODUCT(--($A$2:$A$5001=A482))&gt;1,1,0))</f>
        <v>0</v>
      </c>
      <c r="H482" s="0" t="n">
        <f aca="false">ROW()-1</f>
        <v>481</v>
      </c>
      <c r="I482" s="0" t="str">
        <f aca="false">IF(OR(הגדרות!$E$6=0,H482&gt;הגדרות!$E$5),"",IF(H482-1&lt;הגדרות!$E$8*(הגדרות!$E$7+1),INT((H482-1)/(הגדרות!$E$7+1)),הגדרות!$E$8+INT((H482-1-הגדרות!$E$8*(הגדרות!$E$7+1))/הגדרות!$E$7)))</f>
        <v/>
      </c>
      <c r="J482" s="0" t="str">
        <f aca="false">IF(I482="","",IF(H482-1&lt;הגדרות!$E$8*(הגדרות!$E$7+1),MOD(H482-1,הגדרות!$E$7+1),MOD(H482-1-הגדרות!$E$8*(הגדרות!$E$7+1),הגדרות!$E$7)))</f>
        <v/>
      </c>
      <c r="K482" s="0" t="str">
        <f aca="false">IF(I482="","",J482*הגדרות!$E$6+I482+1)</f>
        <v/>
      </c>
      <c r="L482" s="0" t="str">
        <f aca="false">IF(K482="","",MATCH(K482,$F$2:$F$5001,0))</f>
        <v/>
      </c>
      <c r="M482" s="0" t="str">
        <f aca="false">IF(I482="","",INDEX(הגדרות!$A$2:$A$21,MOD(I482+הגדרות!$E$9,הגדרות!$E$6)+1))</f>
        <v/>
      </c>
    </row>
    <row r="483" customFormat="false" ht="15" hidden="false" customHeight="false" outlineLevel="0" collapsed="false">
      <c r="A483" s="0" t="str">
        <f aca="false">IF('הדבקת לידים'!A483="","",IF(ISNUMBER('הדבקת לידים'!A483),IF(הגדרות!$E$2&gt;0,TEXT('הדבקת לידים'!A483,REPT("0",הגדרות!$E$2)),TEXT('הדבקת לידים'!A483,"0")),TRIM('הדבקת לידים'!A483)))</f>
        <v/>
      </c>
      <c r="B483" s="0" t="str">
        <f aca="false">IF('הדבקת לידים'!B483="","",IF(ISNUMBER('הדבקת לידים'!B483),IF(הגדרות!$E$3&gt;0,TEXT('הדבקת לידים'!B483,REPT("0",הגדרות!$E$3)),TEXT('הדבקת לידים'!B483,"0")),TRIM('הדבקת לידים'!B483)))</f>
        <v/>
      </c>
      <c r="C483" s="0" t="n">
        <f aca="false">IF(OR(A483&lt;&gt;"",B483&lt;&gt;""),1,0)</f>
        <v>0</v>
      </c>
      <c r="D483" s="0" t="str">
        <f aca="false">IF(C483=1,MOD(ABS(SIN(ROW()*12.9898+'הדבקת לידים'!$F$2*78.233+IFERROR(--RIGHT(A483,6),LEN(A483))*0.0137+IFERROR(--RIGHT(B483,6),LEN(B483))*0.0071))*43758.5453,1),"")</f>
        <v/>
      </c>
      <c r="E483" s="0" t="str">
        <f aca="false">IF(C483=1,INT(MOD(ABS(SIN(D483*7919.123+ROW()*0.618+'הדבקת לידים'!$F$2*1.3))*43758.5453,1)*1000000)*10000+ROW(),"")</f>
        <v/>
      </c>
      <c r="F483" s="0" t="str">
        <f aca="false">IF(E483="","",RANK(E483,$E$2:$E$5001,1))</f>
        <v/>
      </c>
      <c r="G483" s="0" t="n">
        <f aca="false">IF(A483="",0,IF(SUMPRODUCT(--($A$2:$A$5001=A483))&gt;1,1,0))</f>
        <v>0</v>
      </c>
      <c r="H483" s="0" t="n">
        <f aca="false">ROW()-1</f>
        <v>482</v>
      </c>
      <c r="I483" s="0" t="str">
        <f aca="false">IF(OR(הגדרות!$E$6=0,H483&gt;הגדרות!$E$5),"",IF(H483-1&lt;הגדרות!$E$8*(הגדרות!$E$7+1),INT((H483-1)/(הגדרות!$E$7+1)),הגדרות!$E$8+INT((H483-1-הגדרות!$E$8*(הגדרות!$E$7+1))/הגדרות!$E$7)))</f>
        <v/>
      </c>
      <c r="J483" s="0" t="str">
        <f aca="false">IF(I483="","",IF(H483-1&lt;הגדרות!$E$8*(הגדרות!$E$7+1),MOD(H483-1,הגדרות!$E$7+1),MOD(H483-1-הגדרות!$E$8*(הגדרות!$E$7+1),הגדרות!$E$7)))</f>
        <v/>
      </c>
      <c r="K483" s="0" t="str">
        <f aca="false">IF(I483="","",J483*הגדרות!$E$6+I483+1)</f>
        <v/>
      </c>
      <c r="L483" s="0" t="str">
        <f aca="false">IF(K483="","",MATCH(K483,$F$2:$F$5001,0))</f>
        <v/>
      </c>
      <c r="M483" s="0" t="str">
        <f aca="false">IF(I483="","",INDEX(הגדרות!$A$2:$A$21,MOD(I483+הגדרות!$E$9,הגדרות!$E$6)+1))</f>
        <v/>
      </c>
    </row>
    <row r="484" customFormat="false" ht="15" hidden="false" customHeight="false" outlineLevel="0" collapsed="false">
      <c r="A484" s="0" t="str">
        <f aca="false">IF('הדבקת לידים'!A484="","",IF(ISNUMBER('הדבקת לידים'!A484),IF(הגדרות!$E$2&gt;0,TEXT('הדבקת לידים'!A484,REPT("0",הגדרות!$E$2)),TEXT('הדבקת לידים'!A484,"0")),TRIM('הדבקת לידים'!A484)))</f>
        <v/>
      </c>
      <c r="B484" s="0" t="str">
        <f aca="false">IF('הדבקת לידים'!B484="","",IF(ISNUMBER('הדבקת לידים'!B484),IF(הגדרות!$E$3&gt;0,TEXT('הדבקת לידים'!B484,REPT("0",הגדרות!$E$3)),TEXT('הדבקת לידים'!B484,"0")),TRIM('הדבקת לידים'!B484)))</f>
        <v/>
      </c>
      <c r="C484" s="0" t="n">
        <f aca="false">IF(OR(A484&lt;&gt;"",B484&lt;&gt;""),1,0)</f>
        <v>0</v>
      </c>
      <c r="D484" s="0" t="str">
        <f aca="false">IF(C484=1,MOD(ABS(SIN(ROW()*12.9898+'הדבקת לידים'!$F$2*78.233+IFERROR(--RIGHT(A484,6),LEN(A484))*0.0137+IFERROR(--RIGHT(B484,6),LEN(B484))*0.0071))*43758.5453,1),"")</f>
        <v/>
      </c>
      <c r="E484" s="0" t="str">
        <f aca="false">IF(C484=1,INT(MOD(ABS(SIN(D484*7919.123+ROW()*0.618+'הדבקת לידים'!$F$2*1.3))*43758.5453,1)*1000000)*10000+ROW(),"")</f>
        <v/>
      </c>
      <c r="F484" s="0" t="str">
        <f aca="false">IF(E484="","",RANK(E484,$E$2:$E$5001,1))</f>
        <v/>
      </c>
      <c r="G484" s="0" t="n">
        <f aca="false">IF(A484="",0,IF(SUMPRODUCT(--($A$2:$A$5001=A484))&gt;1,1,0))</f>
        <v>0</v>
      </c>
      <c r="H484" s="0" t="n">
        <f aca="false">ROW()-1</f>
        <v>483</v>
      </c>
      <c r="I484" s="0" t="str">
        <f aca="false">IF(OR(הגדרות!$E$6=0,H484&gt;הגדרות!$E$5),"",IF(H484-1&lt;הגדרות!$E$8*(הגדרות!$E$7+1),INT((H484-1)/(הגדרות!$E$7+1)),הגדרות!$E$8+INT((H484-1-הגדרות!$E$8*(הגדרות!$E$7+1))/הגדרות!$E$7)))</f>
        <v/>
      </c>
      <c r="J484" s="0" t="str">
        <f aca="false">IF(I484="","",IF(H484-1&lt;הגדרות!$E$8*(הגדרות!$E$7+1),MOD(H484-1,הגדרות!$E$7+1),MOD(H484-1-הגדרות!$E$8*(הגדרות!$E$7+1),הגדרות!$E$7)))</f>
        <v/>
      </c>
      <c r="K484" s="0" t="str">
        <f aca="false">IF(I484="","",J484*הגדרות!$E$6+I484+1)</f>
        <v/>
      </c>
      <c r="L484" s="0" t="str">
        <f aca="false">IF(K484="","",MATCH(K484,$F$2:$F$5001,0))</f>
        <v/>
      </c>
      <c r="M484" s="0" t="str">
        <f aca="false">IF(I484="","",INDEX(הגדרות!$A$2:$A$21,MOD(I484+הגדרות!$E$9,הגדרות!$E$6)+1))</f>
        <v/>
      </c>
    </row>
    <row r="485" customFormat="false" ht="15" hidden="false" customHeight="false" outlineLevel="0" collapsed="false">
      <c r="A485" s="0" t="str">
        <f aca="false">IF('הדבקת לידים'!A485="","",IF(ISNUMBER('הדבקת לידים'!A485),IF(הגדרות!$E$2&gt;0,TEXT('הדבקת לידים'!A485,REPT("0",הגדרות!$E$2)),TEXT('הדבקת לידים'!A485,"0")),TRIM('הדבקת לידים'!A485)))</f>
        <v/>
      </c>
      <c r="B485" s="0" t="str">
        <f aca="false">IF('הדבקת לידים'!B485="","",IF(ISNUMBER('הדבקת לידים'!B485),IF(הגדרות!$E$3&gt;0,TEXT('הדבקת לידים'!B485,REPT("0",הגדרות!$E$3)),TEXT('הדבקת לידים'!B485,"0")),TRIM('הדבקת לידים'!B485)))</f>
        <v/>
      </c>
      <c r="C485" s="0" t="n">
        <f aca="false">IF(OR(A485&lt;&gt;"",B485&lt;&gt;""),1,0)</f>
        <v>0</v>
      </c>
      <c r="D485" s="0" t="str">
        <f aca="false">IF(C485=1,MOD(ABS(SIN(ROW()*12.9898+'הדבקת לידים'!$F$2*78.233+IFERROR(--RIGHT(A485,6),LEN(A485))*0.0137+IFERROR(--RIGHT(B485,6),LEN(B485))*0.0071))*43758.5453,1),"")</f>
        <v/>
      </c>
      <c r="E485" s="0" t="str">
        <f aca="false">IF(C485=1,INT(MOD(ABS(SIN(D485*7919.123+ROW()*0.618+'הדבקת לידים'!$F$2*1.3))*43758.5453,1)*1000000)*10000+ROW(),"")</f>
        <v/>
      </c>
      <c r="F485" s="0" t="str">
        <f aca="false">IF(E485="","",RANK(E485,$E$2:$E$5001,1))</f>
        <v/>
      </c>
      <c r="G485" s="0" t="n">
        <f aca="false">IF(A485="",0,IF(SUMPRODUCT(--($A$2:$A$5001=A485))&gt;1,1,0))</f>
        <v>0</v>
      </c>
      <c r="H485" s="0" t="n">
        <f aca="false">ROW()-1</f>
        <v>484</v>
      </c>
      <c r="I485" s="0" t="str">
        <f aca="false">IF(OR(הגדרות!$E$6=0,H485&gt;הגדרות!$E$5),"",IF(H485-1&lt;הגדרות!$E$8*(הגדרות!$E$7+1),INT((H485-1)/(הגדרות!$E$7+1)),הגדרות!$E$8+INT((H485-1-הגדרות!$E$8*(הגדרות!$E$7+1))/הגדרות!$E$7)))</f>
        <v/>
      </c>
      <c r="J485" s="0" t="str">
        <f aca="false">IF(I485="","",IF(H485-1&lt;הגדרות!$E$8*(הגדרות!$E$7+1),MOD(H485-1,הגדרות!$E$7+1),MOD(H485-1-הגדרות!$E$8*(הגדרות!$E$7+1),הגדרות!$E$7)))</f>
        <v/>
      </c>
      <c r="K485" s="0" t="str">
        <f aca="false">IF(I485="","",J485*הגדרות!$E$6+I485+1)</f>
        <v/>
      </c>
      <c r="L485" s="0" t="str">
        <f aca="false">IF(K485="","",MATCH(K485,$F$2:$F$5001,0))</f>
        <v/>
      </c>
      <c r="M485" s="0" t="str">
        <f aca="false">IF(I485="","",INDEX(הגדרות!$A$2:$A$21,MOD(I485+הגדרות!$E$9,הגדרות!$E$6)+1))</f>
        <v/>
      </c>
    </row>
    <row r="486" customFormat="false" ht="15" hidden="false" customHeight="false" outlineLevel="0" collapsed="false">
      <c r="A486" s="0" t="str">
        <f aca="false">IF('הדבקת לידים'!A486="","",IF(ISNUMBER('הדבקת לידים'!A486),IF(הגדרות!$E$2&gt;0,TEXT('הדבקת לידים'!A486,REPT("0",הגדרות!$E$2)),TEXT('הדבקת לידים'!A486,"0")),TRIM('הדבקת לידים'!A486)))</f>
        <v/>
      </c>
      <c r="B486" s="0" t="str">
        <f aca="false">IF('הדבקת לידים'!B486="","",IF(ISNUMBER('הדבקת לידים'!B486),IF(הגדרות!$E$3&gt;0,TEXT('הדבקת לידים'!B486,REPT("0",הגדרות!$E$3)),TEXT('הדבקת לידים'!B486,"0")),TRIM('הדבקת לידים'!B486)))</f>
        <v/>
      </c>
      <c r="C486" s="0" t="n">
        <f aca="false">IF(OR(A486&lt;&gt;"",B486&lt;&gt;""),1,0)</f>
        <v>0</v>
      </c>
      <c r="D486" s="0" t="str">
        <f aca="false">IF(C486=1,MOD(ABS(SIN(ROW()*12.9898+'הדבקת לידים'!$F$2*78.233+IFERROR(--RIGHT(A486,6),LEN(A486))*0.0137+IFERROR(--RIGHT(B486,6),LEN(B486))*0.0071))*43758.5453,1),"")</f>
        <v/>
      </c>
      <c r="E486" s="0" t="str">
        <f aca="false">IF(C486=1,INT(MOD(ABS(SIN(D486*7919.123+ROW()*0.618+'הדבקת לידים'!$F$2*1.3))*43758.5453,1)*1000000)*10000+ROW(),"")</f>
        <v/>
      </c>
      <c r="F486" s="0" t="str">
        <f aca="false">IF(E486="","",RANK(E486,$E$2:$E$5001,1))</f>
        <v/>
      </c>
      <c r="G486" s="0" t="n">
        <f aca="false">IF(A486="",0,IF(SUMPRODUCT(--($A$2:$A$5001=A486))&gt;1,1,0))</f>
        <v>0</v>
      </c>
      <c r="H486" s="0" t="n">
        <f aca="false">ROW()-1</f>
        <v>485</v>
      </c>
      <c r="I486" s="0" t="str">
        <f aca="false">IF(OR(הגדרות!$E$6=0,H486&gt;הגדרות!$E$5),"",IF(H486-1&lt;הגדרות!$E$8*(הגדרות!$E$7+1),INT((H486-1)/(הגדרות!$E$7+1)),הגדרות!$E$8+INT((H486-1-הגדרות!$E$8*(הגדרות!$E$7+1))/הגדרות!$E$7)))</f>
        <v/>
      </c>
      <c r="J486" s="0" t="str">
        <f aca="false">IF(I486="","",IF(H486-1&lt;הגדרות!$E$8*(הגדרות!$E$7+1),MOD(H486-1,הגדרות!$E$7+1),MOD(H486-1-הגדרות!$E$8*(הגדרות!$E$7+1),הגדרות!$E$7)))</f>
        <v/>
      </c>
      <c r="K486" s="0" t="str">
        <f aca="false">IF(I486="","",J486*הגדרות!$E$6+I486+1)</f>
        <v/>
      </c>
      <c r="L486" s="0" t="str">
        <f aca="false">IF(K486="","",MATCH(K486,$F$2:$F$5001,0))</f>
        <v/>
      </c>
      <c r="M486" s="0" t="str">
        <f aca="false">IF(I486="","",INDEX(הגדרות!$A$2:$A$21,MOD(I486+הגדרות!$E$9,הגדרות!$E$6)+1))</f>
        <v/>
      </c>
    </row>
    <row r="487" customFormat="false" ht="15" hidden="false" customHeight="false" outlineLevel="0" collapsed="false">
      <c r="A487" s="0" t="str">
        <f aca="false">IF('הדבקת לידים'!A487="","",IF(ISNUMBER('הדבקת לידים'!A487),IF(הגדרות!$E$2&gt;0,TEXT('הדבקת לידים'!A487,REPT("0",הגדרות!$E$2)),TEXT('הדבקת לידים'!A487,"0")),TRIM('הדבקת לידים'!A487)))</f>
        <v/>
      </c>
      <c r="B487" s="0" t="str">
        <f aca="false">IF('הדבקת לידים'!B487="","",IF(ISNUMBER('הדבקת לידים'!B487),IF(הגדרות!$E$3&gt;0,TEXT('הדבקת לידים'!B487,REPT("0",הגדרות!$E$3)),TEXT('הדבקת לידים'!B487,"0")),TRIM('הדבקת לידים'!B487)))</f>
        <v/>
      </c>
      <c r="C487" s="0" t="n">
        <f aca="false">IF(OR(A487&lt;&gt;"",B487&lt;&gt;""),1,0)</f>
        <v>0</v>
      </c>
      <c r="D487" s="0" t="str">
        <f aca="false">IF(C487=1,MOD(ABS(SIN(ROW()*12.9898+'הדבקת לידים'!$F$2*78.233+IFERROR(--RIGHT(A487,6),LEN(A487))*0.0137+IFERROR(--RIGHT(B487,6),LEN(B487))*0.0071))*43758.5453,1),"")</f>
        <v/>
      </c>
      <c r="E487" s="0" t="str">
        <f aca="false">IF(C487=1,INT(MOD(ABS(SIN(D487*7919.123+ROW()*0.618+'הדבקת לידים'!$F$2*1.3))*43758.5453,1)*1000000)*10000+ROW(),"")</f>
        <v/>
      </c>
      <c r="F487" s="0" t="str">
        <f aca="false">IF(E487="","",RANK(E487,$E$2:$E$5001,1))</f>
        <v/>
      </c>
      <c r="G487" s="0" t="n">
        <f aca="false">IF(A487="",0,IF(SUMPRODUCT(--($A$2:$A$5001=A487))&gt;1,1,0))</f>
        <v>0</v>
      </c>
      <c r="H487" s="0" t="n">
        <f aca="false">ROW()-1</f>
        <v>486</v>
      </c>
      <c r="I487" s="0" t="str">
        <f aca="false">IF(OR(הגדרות!$E$6=0,H487&gt;הגדרות!$E$5),"",IF(H487-1&lt;הגדרות!$E$8*(הגדרות!$E$7+1),INT((H487-1)/(הגדרות!$E$7+1)),הגדרות!$E$8+INT((H487-1-הגדרות!$E$8*(הגדרות!$E$7+1))/הגדרות!$E$7)))</f>
        <v/>
      </c>
      <c r="J487" s="0" t="str">
        <f aca="false">IF(I487="","",IF(H487-1&lt;הגדרות!$E$8*(הגדרות!$E$7+1),MOD(H487-1,הגדרות!$E$7+1),MOD(H487-1-הגדרות!$E$8*(הגדרות!$E$7+1),הגדרות!$E$7)))</f>
        <v/>
      </c>
      <c r="K487" s="0" t="str">
        <f aca="false">IF(I487="","",J487*הגדרות!$E$6+I487+1)</f>
        <v/>
      </c>
      <c r="L487" s="0" t="str">
        <f aca="false">IF(K487="","",MATCH(K487,$F$2:$F$5001,0))</f>
        <v/>
      </c>
      <c r="M487" s="0" t="str">
        <f aca="false">IF(I487="","",INDEX(הגדרות!$A$2:$A$21,MOD(I487+הגדרות!$E$9,הגדרות!$E$6)+1))</f>
        <v/>
      </c>
    </row>
    <row r="488" customFormat="false" ht="15" hidden="false" customHeight="false" outlineLevel="0" collapsed="false">
      <c r="A488" s="0" t="str">
        <f aca="false">IF('הדבקת לידים'!A488="","",IF(ISNUMBER('הדבקת לידים'!A488),IF(הגדרות!$E$2&gt;0,TEXT('הדבקת לידים'!A488,REPT("0",הגדרות!$E$2)),TEXT('הדבקת לידים'!A488,"0")),TRIM('הדבקת לידים'!A488)))</f>
        <v/>
      </c>
      <c r="B488" s="0" t="str">
        <f aca="false">IF('הדבקת לידים'!B488="","",IF(ISNUMBER('הדבקת לידים'!B488),IF(הגדרות!$E$3&gt;0,TEXT('הדבקת לידים'!B488,REPT("0",הגדרות!$E$3)),TEXT('הדבקת לידים'!B488,"0")),TRIM('הדבקת לידים'!B488)))</f>
        <v/>
      </c>
      <c r="C488" s="0" t="n">
        <f aca="false">IF(OR(A488&lt;&gt;"",B488&lt;&gt;""),1,0)</f>
        <v>0</v>
      </c>
      <c r="D488" s="0" t="str">
        <f aca="false">IF(C488=1,MOD(ABS(SIN(ROW()*12.9898+'הדבקת לידים'!$F$2*78.233+IFERROR(--RIGHT(A488,6),LEN(A488))*0.0137+IFERROR(--RIGHT(B488,6),LEN(B488))*0.0071))*43758.5453,1),"")</f>
        <v/>
      </c>
      <c r="E488" s="0" t="str">
        <f aca="false">IF(C488=1,INT(MOD(ABS(SIN(D488*7919.123+ROW()*0.618+'הדבקת לידים'!$F$2*1.3))*43758.5453,1)*1000000)*10000+ROW(),"")</f>
        <v/>
      </c>
      <c r="F488" s="0" t="str">
        <f aca="false">IF(E488="","",RANK(E488,$E$2:$E$5001,1))</f>
        <v/>
      </c>
      <c r="G488" s="0" t="n">
        <f aca="false">IF(A488="",0,IF(SUMPRODUCT(--($A$2:$A$5001=A488))&gt;1,1,0))</f>
        <v>0</v>
      </c>
      <c r="H488" s="0" t="n">
        <f aca="false">ROW()-1</f>
        <v>487</v>
      </c>
      <c r="I488" s="0" t="str">
        <f aca="false">IF(OR(הגדרות!$E$6=0,H488&gt;הגדרות!$E$5),"",IF(H488-1&lt;הגדרות!$E$8*(הגדרות!$E$7+1),INT((H488-1)/(הגדרות!$E$7+1)),הגדרות!$E$8+INT((H488-1-הגדרות!$E$8*(הגדרות!$E$7+1))/הגדרות!$E$7)))</f>
        <v/>
      </c>
      <c r="J488" s="0" t="str">
        <f aca="false">IF(I488="","",IF(H488-1&lt;הגדרות!$E$8*(הגדרות!$E$7+1),MOD(H488-1,הגדרות!$E$7+1),MOD(H488-1-הגדרות!$E$8*(הגדרות!$E$7+1),הגדרות!$E$7)))</f>
        <v/>
      </c>
      <c r="K488" s="0" t="str">
        <f aca="false">IF(I488="","",J488*הגדרות!$E$6+I488+1)</f>
        <v/>
      </c>
      <c r="L488" s="0" t="str">
        <f aca="false">IF(K488="","",MATCH(K488,$F$2:$F$5001,0))</f>
        <v/>
      </c>
      <c r="M488" s="0" t="str">
        <f aca="false">IF(I488="","",INDEX(הגדרות!$A$2:$A$21,MOD(I488+הגדרות!$E$9,הגדרות!$E$6)+1))</f>
        <v/>
      </c>
    </row>
    <row r="489" customFormat="false" ht="15" hidden="false" customHeight="false" outlineLevel="0" collapsed="false">
      <c r="A489" s="0" t="str">
        <f aca="false">IF('הדבקת לידים'!A489="","",IF(ISNUMBER('הדבקת לידים'!A489),IF(הגדרות!$E$2&gt;0,TEXT('הדבקת לידים'!A489,REPT("0",הגדרות!$E$2)),TEXT('הדבקת לידים'!A489,"0")),TRIM('הדבקת לידים'!A489)))</f>
        <v/>
      </c>
      <c r="B489" s="0" t="str">
        <f aca="false">IF('הדבקת לידים'!B489="","",IF(ISNUMBER('הדבקת לידים'!B489),IF(הגדרות!$E$3&gt;0,TEXT('הדבקת לידים'!B489,REPT("0",הגדרות!$E$3)),TEXT('הדבקת לידים'!B489,"0")),TRIM('הדבקת לידים'!B489)))</f>
        <v/>
      </c>
      <c r="C489" s="0" t="n">
        <f aca="false">IF(OR(A489&lt;&gt;"",B489&lt;&gt;""),1,0)</f>
        <v>0</v>
      </c>
      <c r="D489" s="0" t="str">
        <f aca="false">IF(C489=1,MOD(ABS(SIN(ROW()*12.9898+'הדבקת לידים'!$F$2*78.233+IFERROR(--RIGHT(A489,6),LEN(A489))*0.0137+IFERROR(--RIGHT(B489,6),LEN(B489))*0.0071))*43758.5453,1),"")</f>
        <v/>
      </c>
      <c r="E489" s="0" t="str">
        <f aca="false">IF(C489=1,INT(MOD(ABS(SIN(D489*7919.123+ROW()*0.618+'הדבקת לידים'!$F$2*1.3))*43758.5453,1)*1000000)*10000+ROW(),"")</f>
        <v/>
      </c>
      <c r="F489" s="0" t="str">
        <f aca="false">IF(E489="","",RANK(E489,$E$2:$E$5001,1))</f>
        <v/>
      </c>
      <c r="G489" s="0" t="n">
        <f aca="false">IF(A489="",0,IF(SUMPRODUCT(--($A$2:$A$5001=A489))&gt;1,1,0))</f>
        <v>0</v>
      </c>
      <c r="H489" s="0" t="n">
        <f aca="false">ROW()-1</f>
        <v>488</v>
      </c>
      <c r="I489" s="0" t="str">
        <f aca="false">IF(OR(הגדרות!$E$6=0,H489&gt;הגדרות!$E$5),"",IF(H489-1&lt;הגדרות!$E$8*(הגדרות!$E$7+1),INT((H489-1)/(הגדרות!$E$7+1)),הגדרות!$E$8+INT((H489-1-הגדרות!$E$8*(הגדרות!$E$7+1))/הגדרות!$E$7)))</f>
        <v/>
      </c>
      <c r="J489" s="0" t="str">
        <f aca="false">IF(I489="","",IF(H489-1&lt;הגדרות!$E$8*(הגדרות!$E$7+1),MOD(H489-1,הגדרות!$E$7+1),MOD(H489-1-הגדרות!$E$8*(הגדרות!$E$7+1),הגדרות!$E$7)))</f>
        <v/>
      </c>
      <c r="K489" s="0" t="str">
        <f aca="false">IF(I489="","",J489*הגדרות!$E$6+I489+1)</f>
        <v/>
      </c>
      <c r="L489" s="0" t="str">
        <f aca="false">IF(K489="","",MATCH(K489,$F$2:$F$5001,0))</f>
        <v/>
      </c>
      <c r="M489" s="0" t="str">
        <f aca="false">IF(I489="","",INDEX(הגדרות!$A$2:$A$21,MOD(I489+הגדרות!$E$9,הגדרות!$E$6)+1))</f>
        <v/>
      </c>
    </row>
    <row r="490" customFormat="false" ht="15" hidden="false" customHeight="false" outlineLevel="0" collapsed="false">
      <c r="A490" s="0" t="str">
        <f aca="false">IF('הדבקת לידים'!A490="","",IF(ISNUMBER('הדבקת לידים'!A490),IF(הגדרות!$E$2&gt;0,TEXT('הדבקת לידים'!A490,REPT("0",הגדרות!$E$2)),TEXT('הדבקת לידים'!A490,"0")),TRIM('הדבקת לידים'!A490)))</f>
        <v/>
      </c>
      <c r="B490" s="0" t="str">
        <f aca="false">IF('הדבקת לידים'!B490="","",IF(ISNUMBER('הדבקת לידים'!B490),IF(הגדרות!$E$3&gt;0,TEXT('הדבקת לידים'!B490,REPT("0",הגדרות!$E$3)),TEXT('הדבקת לידים'!B490,"0")),TRIM('הדבקת לידים'!B490)))</f>
        <v/>
      </c>
      <c r="C490" s="0" t="n">
        <f aca="false">IF(OR(A490&lt;&gt;"",B490&lt;&gt;""),1,0)</f>
        <v>0</v>
      </c>
      <c r="D490" s="0" t="str">
        <f aca="false">IF(C490=1,MOD(ABS(SIN(ROW()*12.9898+'הדבקת לידים'!$F$2*78.233+IFERROR(--RIGHT(A490,6),LEN(A490))*0.0137+IFERROR(--RIGHT(B490,6),LEN(B490))*0.0071))*43758.5453,1),"")</f>
        <v/>
      </c>
      <c r="E490" s="0" t="str">
        <f aca="false">IF(C490=1,INT(MOD(ABS(SIN(D490*7919.123+ROW()*0.618+'הדבקת לידים'!$F$2*1.3))*43758.5453,1)*1000000)*10000+ROW(),"")</f>
        <v/>
      </c>
      <c r="F490" s="0" t="str">
        <f aca="false">IF(E490="","",RANK(E490,$E$2:$E$5001,1))</f>
        <v/>
      </c>
      <c r="G490" s="0" t="n">
        <f aca="false">IF(A490="",0,IF(SUMPRODUCT(--($A$2:$A$5001=A490))&gt;1,1,0))</f>
        <v>0</v>
      </c>
      <c r="H490" s="0" t="n">
        <f aca="false">ROW()-1</f>
        <v>489</v>
      </c>
      <c r="I490" s="0" t="str">
        <f aca="false">IF(OR(הגדרות!$E$6=0,H490&gt;הגדרות!$E$5),"",IF(H490-1&lt;הגדרות!$E$8*(הגדרות!$E$7+1),INT((H490-1)/(הגדרות!$E$7+1)),הגדרות!$E$8+INT((H490-1-הגדרות!$E$8*(הגדרות!$E$7+1))/הגדרות!$E$7)))</f>
        <v/>
      </c>
      <c r="J490" s="0" t="str">
        <f aca="false">IF(I490="","",IF(H490-1&lt;הגדרות!$E$8*(הגדרות!$E$7+1),MOD(H490-1,הגדרות!$E$7+1),MOD(H490-1-הגדרות!$E$8*(הגדרות!$E$7+1),הגדרות!$E$7)))</f>
        <v/>
      </c>
      <c r="K490" s="0" t="str">
        <f aca="false">IF(I490="","",J490*הגדרות!$E$6+I490+1)</f>
        <v/>
      </c>
      <c r="L490" s="0" t="str">
        <f aca="false">IF(K490="","",MATCH(K490,$F$2:$F$5001,0))</f>
        <v/>
      </c>
      <c r="M490" s="0" t="str">
        <f aca="false">IF(I490="","",INDEX(הגדרות!$A$2:$A$21,MOD(I490+הגדרות!$E$9,הגדרות!$E$6)+1))</f>
        <v/>
      </c>
    </row>
    <row r="491" customFormat="false" ht="15" hidden="false" customHeight="false" outlineLevel="0" collapsed="false">
      <c r="A491" s="0" t="str">
        <f aca="false">IF('הדבקת לידים'!A491="","",IF(ISNUMBER('הדבקת לידים'!A491),IF(הגדרות!$E$2&gt;0,TEXT('הדבקת לידים'!A491,REPT("0",הגדרות!$E$2)),TEXT('הדבקת לידים'!A491,"0")),TRIM('הדבקת לידים'!A491)))</f>
        <v/>
      </c>
      <c r="B491" s="0" t="str">
        <f aca="false">IF('הדבקת לידים'!B491="","",IF(ISNUMBER('הדבקת לידים'!B491),IF(הגדרות!$E$3&gt;0,TEXT('הדבקת לידים'!B491,REPT("0",הגדרות!$E$3)),TEXT('הדבקת לידים'!B491,"0")),TRIM('הדבקת לידים'!B491)))</f>
        <v/>
      </c>
      <c r="C491" s="0" t="n">
        <f aca="false">IF(OR(A491&lt;&gt;"",B491&lt;&gt;""),1,0)</f>
        <v>0</v>
      </c>
      <c r="D491" s="0" t="str">
        <f aca="false">IF(C491=1,MOD(ABS(SIN(ROW()*12.9898+'הדבקת לידים'!$F$2*78.233+IFERROR(--RIGHT(A491,6),LEN(A491))*0.0137+IFERROR(--RIGHT(B491,6),LEN(B491))*0.0071))*43758.5453,1),"")</f>
        <v/>
      </c>
      <c r="E491" s="0" t="str">
        <f aca="false">IF(C491=1,INT(MOD(ABS(SIN(D491*7919.123+ROW()*0.618+'הדבקת לידים'!$F$2*1.3))*43758.5453,1)*1000000)*10000+ROW(),"")</f>
        <v/>
      </c>
      <c r="F491" s="0" t="str">
        <f aca="false">IF(E491="","",RANK(E491,$E$2:$E$5001,1))</f>
        <v/>
      </c>
      <c r="G491" s="0" t="n">
        <f aca="false">IF(A491="",0,IF(SUMPRODUCT(--($A$2:$A$5001=A491))&gt;1,1,0))</f>
        <v>0</v>
      </c>
      <c r="H491" s="0" t="n">
        <f aca="false">ROW()-1</f>
        <v>490</v>
      </c>
      <c r="I491" s="0" t="str">
        <f aca="false">IF(OR(הגדרות!$E$6=0,H491&gt;הגדרות!$E$5),"",IF(H491-1&lt;הגדרות!$E$8*(הגדרות!$E$7+1),INT((H491-1)/(הגדרות!$E$7+1)),הגדרות!$E$8+INT((H491-1-הגדרות!$E$8*(הגדרות!$E$7+1))/הגדרות!$E$7)))</f>
        <v/>
      </c>
      <c r="J491" s="0" t="str">
        <f aca="false">IF(I491="","",IF(H491-1&lt;הגדרות!$E$8*(הגדרות!$E$7+1),MOD(H491-1,הגדרות!$E$7+1),MOD(H491-1-הגדרות!$E$8*(הגדרות!$E$7+1),הגדרות!$E$7)))</f>
        <v/>
      </c>
      <c r="K491" s="0" t="str">
        <f aca="false">IF(I491="","",J491*הגדרות!$E$6+I491+1)</f>
        <v/>
      </c>
      <c r="L491" s="0" t="str">
        <f aca="false">IF(K491="","",MATCH(K491,$F$2:$F$5001,0))</f>
        <v/>
      </c>
      <c r="M491" s="0" t="str">
        <f aca="false">IF(I491="","",INDEX(הגדרות!$A$2:$A$21,MOD(I491+הגדרות!$E$9,הגדרות!$E$6)+1))</f>
        <v/>
      </c>
    </row>
    <row r="492" customFormat="false" ht="15" hidden="false" customHeight="false" outlineLevel="0" collapsed="false">
      <c r="A492" s="0" t="str">
        <f aca="false">IF('הדבקת לידים'!A492="","",IF(ISNUMBER('הדבקת לידים'!A492),IF(הגדרות!$E$2&gt;0,TEXT('הדבקת לידים'!A492,REPT("0",הגדרות!$E$2)),TEXT('הדבקת לידים'!A492,"0")),TRIM('הדבקת לידים'!A492)))</f>
        <v/>
      </c>
      <c r="B492" s="0" t="str">
        <f aca="false">IF('הדבקת לידים'!B492="","",IF(ISNUMBER('הדבקת לידים'!B492),IF(הגדרות!$E$3&gt;0,TEXT('הדבקת לידים'!B492,REPT("0",הגדרות!$E$3)),TEXT('הדבקת לידים'!B492,"0")),TRIM('הדבקת לידים'!B492)))</f>
        <v/>
      </c>
      <c r="C492" s="0" t="n">
        <f aca="false">IF(OR(A492&lt;&gt;"",B492&lt;&gt;""),1,0)</f>
        <v>0</v>
      </c>
      <c r="D492" s="0" t="str">
        <f aca="false">IF(C492=1,MOD(ABS(SIN(ROW()*12.9898+'הדבקת לידים'!$F$2*78.233+IFERROR(--RIGHT(A492,6),LEN(A492))*0.0137+IFERROR(--RIGHT(B492,6),LEN(B492))*0.0071))*43758.5453,1),"")</f>
        <v/>
      </c>
      <c r="E492" s="0" t="str">
        <f aca="false">IF(C492=1,INT(MOD(ABS(SIN(D492*7919.123+ROW()*0.618+'הדבקת לידים'!$F$2*1.3))*43758.5453,1)*1000000)*10000+ROW(),"")</f>
        <v/>
      </c>
      <c r="F492" s="0" t="str">
        <f aca="false">IF(E492="","",RANK(E492,$E$2:$E$5001,1))</f>
        <v/>
      </c>
      <c r="G492" s="0" t="n">
        <f aca="false">IF(A492="",0,IF(SUMPRODUCT(--($A$2:$A$5001=A492))&gt;1,1,0))</f>
        <v>0</v>
      </c>
      <c r="H492" s="0" t="n">
        <f aca="false">ROW()-1</f>
        <v>491</v>
      </c>
      <c r="I492" s="0" t="str">
        <f aca="false">IF(OR(הגדרות!$E$6=0,H492&gt;הגדרות!$E$5),"",IF(H492-1&lt;הגדרות!$E$8*(הגדרות!$E$7+1),INT((H492-1)/(הגדרות!$E$7+1)),הגדרות!$E$8+INT((H492-1-הגדרות!$E$8*(הגדרות!$E$7+1))/הגדרות!$E$7)))</f>
        <v/>
      </c>
      <c r="J492" s="0" t="str">
        <f aca="false">IF(I492="","",IF(H492-1&lt;הגדרות!$E$8*(הגדרות!$E$7+1),MOD(H492-1,הגדרות!$E$7+1),MOD(H492-1-הגדרות!$E$8*(הגדרות!$E$7+1),הגדרות!$E$7)))</f>
        <v/>
      </c>
      <c r="K492" s="0" t="str">
        <f aca="false">IF(I492="","",J492*הגדרות!$E$6+I492+1)</f>
        <v/>
      </c>
      <c r="L492" s="0" t="str">
        <f aca="false">IF(K492="","",MATCH(K492,$F$2:$F$5001,0))</f>
        <v/>
      </c>
      <c r="M492" s="0" t="str">
        <f aca="false">IF(I492="","",INDEX(הגדרות!$A$2:$A$21,MOD(I492+הגדרות!$E$9,הגדרות!$E$6)+1))</f>
        <v/>
      </c>
    </row>
    <row r="493" customFormat="false" ht="15" hidden="false" customHeight="false" outlineLevel="0" collapsed="false">
      <c r="A493" s="0" t="str">
        <f aca="false">IF('הדבקת לידים'!A493="","",IF(ISNUMBER('הדבקת לידים'!A493),IF(הגדרות!$E$2&gt;0,TEXT('הדבקת לידים'!A493,REPT("0",הגדרות!$E$2)),TEXT('הדבקת לידים'!A493,"0")),TRIM('הדבקת לידים'!A493)))</f>
        <v/>
      </c>
      <c r="B493" s="0" t="str">
        <f aca="false">IF('הדבקת לידים'!B493="","",IF(ISNUMBER('הדבקת לידים'!B493),IF(הגדרות!$E$3&gt;0,TEXT('הדבקת לידים'!B493,REPT("0",הגדרות!$E$3)),TEXT('הדבקת לידים'!B493,"0")),TRIM('הדבקת לידים'!B493)))</f>
        <v/>
      </c>
      <c r="C493" s="0" t="n">
        <f aca="false">IF(OR(A493&lt;&gt;"",B493&lt;&gt;""),1,0)</f>
        <v>0</v>
      </c>
      <c r="D493" s="0" t="str">
        <f aca="false">IF(C493=1,MOD(ABS(SIN(ROW()*12.9898+'הדבקת לידים'!$F$2*78.233+IFERROR(--RIGHT(A493,6),LEN(A493))*0.0137+IFERROR(--RIGHT(B493,6),LEN(B493))*0.0071))*43758.5453,1),"")</f>
        <v/>
      </c>
      <c r="E493" s="0" t="str">
        <f aca="false">IF(C493=1,INT(MOD(ABS(SIN(D493*7919.123+ROW()*0.618+'הדבקת לידים'!$F$2*1.3))*43758.5453,1)*1000000)*10000+ROW(),"")</f>
        <v/>
      </c>
      <c r="F493" s="0" t="str">
        <f aca="false">IF(E493="","",RANK(E493,$E$2:$E$5001,1))</f>
        <v/>
      </c>
      <c r="G493" s="0" t="n">
        <f aca="false">IF(A493="",0,IF(SUMPRODUCT(--($A$2:$A$5001=A493))&gt;1,1,0))</f>
        <v>0</v>
      </c>
      <c r="H493" s="0" t="n">
        <f aca="false">ROW()-1</f>
        <v>492</v>
      </c>
      <c r="I493" s="0" t="str">
        <f aca="false">IF(OR(הגדרות!$E$6=0,H493&gt;הגדרות!$E$5),"",IF(H493-1&lt;הגדרות!$E$8*(הגדרות!$E$7+1),INT((H493-1)/(הגדרות!$E$7+1)),הגדרות!$E$8+INT((H493-1-הגדרות!$E$8*(הגדרות!$E$7+1))/הגדרות!$E$7)))</f>
        <v/>
      </c>
      <c r="J493" s="0" t="str">
        <f aca="false">IF(I493="","",IF(H493-1&lt;הגדרות!$E$8*(הגדרות!$E$7+1),MOD(H493-1,הגדרות!$E$7+1),MOD(H493-1-הגדרות!$E$8*(הגדרות!$E$7+1),הגדרות!$E$7)))</f>
        <v/>
      </c>
      <c r="K493" s="0" t="str">
        <f aca="false">IF(I493="","",J493*הגדרות!$E$6+I493+1)</f>
        <v/>
      </c>
      <c r="L493" s="0" t="str">
        <f aca="false">IF(K493="","",MATCH(K493,$F$2:$F$5001,0))</f>
        <v/>
      </c>
      <c r="M493" s="0" t="str">
        <f aca="false">IF(I493="","",INDEX(הגדרות!$A$2:$A$21,MOD(I493+הגדרות!$E$9,הגדרות!$E$6)+1))</f>
        <v/>
      </c>
    </row>
    <row r="494" customFormat="false" ht="15" hidden="false" customHeight="false" outlineLevel="0" collapsed="false">
      <c r="A494" s="0" t="str">
        <f aca="false">IF('הדבקת לידים'!A494="","",IF(ISNUMBER('הדבקת לידים'!A494),IF(הגדרות!$E$2&gt;0,TEXT('הדבקת לידים'!A494,REPT("0",הגדרות!$E$2)),TEXT('הדבקת לידים'!A494,"0")),TRIM('הדבקת לידים'!A494)))</f>
        <v/>
      </c>
      <c r="B494" s="0" t="str">
        <f aca="false">IF('הדבקת לידים'!B494="","",IF(ISNUMBER('הדבקת לידים'!B494),IF(הגדרות!$E$3&gt;0,TEXT('הדבקת לידים'!B494,REPT("0",הגדרות!$E$3)),TEXT('הדבקת לידים'!B494,"0")),TRIM('הדבקת לידים'!B494)))</f>
        <v/>
      </c>
      <c r="C494" s="0" t="n">
        <f aca="false">IF(OR(A494&lt;&gt;"",B494&lt;&gt;""),1,0)</f>
        <v>0</v>
      </c>
      <c r="D494" s="0" t="str">
        <f aca="false">IF(C494=1,MOD(ABS(SIN(ROW()*12.9898+'הדבקת לידים'!$F$2*78.233+IFERROR(--RIGHT(A494,6),LEN(A494))*0.0137+IFERROR(--RIGHT(B494,6),LEN(B494))*0.0071))*43758.5453,1),"")</f>
        <v/>
      </c>
      <c r="E494" s="0" t="str">
        <f aca="false">IF(C494=1,INT(MOD(ABS(SIN(D494*7919.123+ROW()*0.618+'הדבקת לידים'!$F$2*1.3))*43758.5453,1)*1000000)*10000+ROW(),"")</f>
        <v/>
      </c>
      <c r="F494" s="0" t="str">
        <f aca="false">IF(E494="","",RANK(E494,$E$2:$E$5001,1))</f>
        <v/>
      </c>
      <c r="G494" s="0" t="n">
        <f aca="false">IF(A494="",0,IF(SUMPRODUCT(--($A$2:$A$5001=A494))&gt;1,1,0))</f>
        <v>0</v>
      </c>
      <c r="H494" s="0" t="n">
        <f aca="false">ROW()-1</f>
        <v>493</v>
      </c>
      <c r="I494" s="0" t="str">
        <f aca="false">IF(OR(הגדרות!$E$6=0,H494&gt;הגדרות!$E$5),"",IF(H494-1&lt;הגדרות!$E$8*(הגדרות!$E$7+1),INT((H494-1)/(הגדרות!$E$7+1)),הגדרות!$E$8+INT((H494-1-הגדרות!$E$8*(הגדרות!$E$7+1))/הגדרות!$E$7)))</f>
        <v/>
      </c>
      <c r="J494" s="0" t="str">
        <f aca="false">IF(I494="","",IF(H494-1&lt;הגדרות!$E$8*(הגדרות!$E$7+1),MOD(H494-1,הגדרות!$E$7+1),MOD(H494-1-הגדרות!$E$8*(הגדרות!$E$7+1),הגדרות!$E$7)))</f>
        <v/>
      </c>
      <c r="K494" s="0" t="str">
        <f aca="false">IF(I494="","",J494*הגדרות!$E$6+I494+1)</f>
        <v/>
      </c>
      <c r="L494" s="0" t="str">
        <f aca="false">IF(K494="","",MATCH(K494,$F$2:$F$5001,0))</f>
        <v/>
      </c>
      <c r="M494" s="0" t="str">
        <f aca="false">IF(I494="","",INDEX(הגדרות!$A$2:$A$21,MOD(I494+הגדרות!$E$9,הגדרות!$E$6)+1))</f>
        <v/>
      </c>
    </row>
    <row r="495" customFormat="false" ht="15" hidden="false" customHeight="false" outlineLevel="0" collapsed="false">
      <c r="A495" s="0" t="str">
        <f aca="false">IF('הדבקת לידים'!A495="","",IF(ISNUMBER('הדבקת לידים'!A495),IF(הגדרות!$E$2&gt;0,TEXT('הדבקת לידים'!A495,REPT("0",הגדרות!$E$2)),TEXT('הדבקת לידים'!A495,"0")),TRIM('הדבקת לידים'!A495)))</f>
        <v/>
      </c>
      <c r="B495" s="0" t="str">
        <f aca="false">IF('הדבקת לידים'!B495="","",IF(ISNUMBER('הדבקת לידים'!B495),IF(הגדרות!$E$3&gt;0,TEXT('הדבקת לידים'!B495,REPT("0",הגדרות!$E$3)),TEXT('הדבקת לידים'!B495,"0")),TRIM('הדבקת לידים'!B495)))</f>
        <v/>
      </c>
      <c r="C495" s="0" t="n">
        <f aca="false">IF(OR(A495&lt;&gt;"",B495&lt;&gt;""),1,0)</f>
        <v>0</v>
      </c>
      <c r="D495" s="0" t="str">
        <f aca="false">IF(C495=1,MOD(ABS(SIN(ROW()*12.9898+'הדבקת לידים'!$F$2*78.233+IFERROR(--RIGHT(A495,6),LEN(A495))*0.0137+IFERROR(--RIGHT(B495,6),LEN(B495))*0.0071))*43758.5453,1),"")</f>
        <v/>
      </c>
      <c r="E495" s="0" t="str">
        <f aca="false">IF(C495=1,INT(MOD(ABS(SIN(D495*7919.123+ROW()*0.618+'הדבקת לידים'!$F$2*1.3))*43758.5453,1)*1000000)*10000+ROW(),"")</f>
        <v/>
      </c>
      <c r="F495" s="0" t="str">
        <f aca="false">IF(E495="","",RANK(E495,$E$2:$E$5001,1))</f>
        <v/>
      </c>
      <c r="G495" s="0" t="n">
        <f aca="false">IF(A495="",0,IF(SUMPRODUCT(--($A$2:$A$5001=A495))&gt;1,1,0))</f>
        <v>0</v>
      </c>
      <c r="H495" s="0" t="n">
        <f aca="false">ROW()-1</f>
        <v>494</v>
      </c>
      <c r="I495" s="0" t="str">
        <f aca="false">IF(OR(הגדרות!$E$6=0,H495&gt;הגדרות!$E$5),"",IF(H495-1&lt;הגדרות!$E$8*(הגדרות!$E$7+1),INT((H495-1)/(הגדרות!$E$7+1)),הגדרות!$E$8+INT((H495-1-הגדרות!$E$8*(הגדרות!$E$7+1))/הגדרות!$E$7)))</f>
        <v/>
      </c>
      <c r="J495" s="0" t="str">
        <f aca="false">IF(I495="","",IF(H495-1&lt;הגדרות!$E$8*(הגדרות!$E$7+1),MOD(H495-1,הגדרות!$E$7+1),MOD(H495-1-הגדרות!$E$8*(הגדרות!$E$7+1),הגדרות!$E$7)))</f>
        <v/>
      </c>
      <c r="K495" s="0" t="str">
        <f aca="false">IF(I495="","",J495*הגדרות!$E$6+I495+1)</f>
        <v/>
      </c>
      <c r="L495" s="0" t="str">
        <f aca="false">IF(K495="","",MATCH(K495,$F$2:$F$5001,0))</f>
        <v/>
      </c>
      <c r="M495" s="0" t="str">
        <f aca="false">IF(I495="","",INDEX(הגדרות!$A$2:$A$21,MOD(I495+הגדרות!$E$9,הגדרות!$E$6)+1))</f>
        <v/>
      </c>
    </row>
    <row r="496" customFormat="false" ht="15" hidden="false" customHeight="false" outlineLevel="0" collapsed="false">
      <c r="A496" s="0" t="str">
        <f aca="false">IF('הדבקת לידים'!A496="","",IF(ISNUMBER('הדבקת לידים'!A496),IF(הגדרות!$E$2&gt;0,TEXT('הדבקת לידים'!A496,REPT("0",הגדרות!$E$2)),TEXT('הדבקת לידים'!A496,"0")),TRIM('הדבקת לידים'!A496)))</f>
        <v/>
      </c>
      <c r="B496" s="0" t="str">
        <f aca="false">IF('הדבקת לידים'!B496="","",IF(ISNUMBER('הדבקת לידים'!B496),IF(הגדרות!$E$3&gt;0,TEXT('הדבקת לידים'!B496,REPT("0",הגדרות!$E$3)),TEXT('הדבקת לידים'!B496,"0")),TRIM('הדבקת לידים'!B496)))</f>
        <v/>
      </c>
      <c r="C496" s="0" t="n">
        <f aca="false">IF(OR(A496&lt;&gt;"",B496&lt;&gt;""),1,0)</f>
        <v>0</v>
      </c>
      <c r="D496" s="0" t="str">
        <f aca="false">IF(C496=1,MOD(ABS(SIN(ROW()*12.9898+'הדבקת לידים'!$F$2*78.233+IFERROR(--RIGHT(A496,6),LEN(A496))*0.0137+IFERROR(--RIGHT(B496,6),LEN(B496))*0.0071))*43758.5453,1),"")</f>
        <v/>
      </c>
      <c r="E496" s="0" t="str">
        <f aca="false">IF(C496=1,INT(MOD(ABS(SIN(D496*7919.123+ROW()*0.618+'הדבקת לידים'!$F$2*1.3))*43758.5453,1)*1000000)*10000+ROW(),"")</f>
        <v/>
      </c>
      <c r="F496" s="0" t="str">
        <f aca="false">IF(E496="","",RANK(E496,$E$2:$E$5001,1))</f>
        <v/>
      </c>
      <c r="G496" s="0" t="n">
        <f aca="false">IF(A496="",0,IF(SUMPRODUCT(--($A$2:$A$5001=A496))&gt;1,1,0))</f>
        <v>0</v>
      </c>
      <c r="H496" s="0" t="n">
        <f aca="false">ROW()-1</f>
        <v>495</v>
      </c>
      <c r="I496" s="0" t="str">
        <f aca="false">IF(OR(הגדרות!$E$6=0,H496&gt;הגדרות!$E$5),"",IF(H496-1&lt;הגדרות!$E$8*(הגדרות!$E$7+1),INT((H496-1)/(הגדרות!$E$7+1)),הגדרות!$E$8+INT((H496-1-הגדרות!$E$8*(הגדרות!$E$7+1))/הגדרות!$E$7)))</f>
        <v/>
      </c>
      <c r="J496" s="0" t="str">
        <f aca="false">IF(I496="","",IF(H496-1&lt;הגדרות!$E$8*(הגדרות!$E$7+1),MOD(H496-1,הגדרות!$E$7+1),MOD(H496-1-הגדרות!$E$8*(הגדרות!$E$7+1),הגדרות!$E$7)))</f>
        <v/>
      </c>
      <c r="K496" s="0" t="str">
        <f aca="false">IF(I496="","",J496*הגדרות!$E$6+I496+1)</f>
        <v/>
      </c>
      <c r="L496" s="0" t="str">
        <f aca="false">IF(K496="","",MATCH(K496,$F$2:$F$5001,0))</f>
        <v/>
      </c>
      <c r="M496" s="0" t="str">
        <f aca="false">IF(I496="","",INDEX(הגדרות!$A$2:$A$21,MOD(I496+הגדרות!$E$9,הגדרות!$E$6)+1))</f>
        <v/>
      </c>
    </row>
    <row r="497" customFormat="false" ht="15" hidden="false" customHeight="false" outlineLevel="0" collapsed="false">
      <c r="A497" s="0" t="str">
        <f aca="false">IF('הדבקת לידים'!A497="","",IF(ISNUMBER('הדבקת לידים'!A497),IF(הגדרות!$E$2&gt;0,TEXT('הדבקת לידים'!A497,REPT("0",הגדרות!$E$2)),TEXT('הדבקת לידים'!A497,"0")),TRIM('הדבקת לידים'!A497)))</f>
        <v/>
      </c>
      <c r="B497" s="0" t="str">
        <f aca="false">IF('הדבקת לידים'!B497="","",IF(ISNUMBER('הדבקת לידים'!B497),IF(הגדרות!$E$3&gt;0,TEXT('הדבקת לידים'!B497,REPT("0",הגדרות!$E$3)),TEXT('הדבקת לידים'!B497,"0")),TRIM('הדבקת לידים'!B497)))</f>
        <v/>
      </c>
      <c r="C497" s="0" t="n">
        <f aca="false">IF(OR(A497&lt;&gt;"",B497&lt;&gt;""),1,0)</f>
        <v>0</v>
      </c>
      <c r="D497" s="0" t="str">
        <f aca="false">IF(C497=1,MOD(ABS(SIN(ROW()*12.9898+'הדבקת לידים'!$F$2*78.233+IFERROR(--RIGHT(A497,6),LEN(A497))*0.0137+IFERROR(--RIGHT(B497,6),LEN(B497))*0.0071))*43758.5453,1),"")</f>
        <v/>
      </c>
      <c r="E497" s="0" t="str">
        <f aca="false">IF(C497=1,INT(MOD(ABS(SIN(D497*7919.123+ROW()*0.618+'הדבקת לידים'!$F$2*1.3))*43758.5453,1)*1000000)*10000+ROW(),"")</f>
        <v/>
      </c>
      <c r="F497" s="0" t="str">
        <f aca="false">IF(E497="","",RANK(E497,$E$2:$E$5001,1))</f>
        <v/>
      </c>
      <c r="G497" s="0" t="n">
        <f aca="false">IF(A497="",0,IF(SUMPRODUCT(--($A$2:$A$5001=A497))&gt;1,1,0))</f>
        <v>0</v>
      </c>
      <c r="H497" s="0" t="n">
        <f aca="false">ROW()-1</f>
        <v>496</v>
      </c>
      <c r="I497" s="0" t="str">
        <f aca="false">IF(OR(הגדרות!$E$6=0,H497&gt;הגדרות!$E$5),"",IF(H497-1&lt;הגדרות!$E$8*(הגדרות!$E$7+1),INT((H497-1)/(הגדרות!$E$7+1)),הגדרות!$E$8+INT((H497-1-הגדרות!$E$8*(הגדרות!$E$7+1))/הגדרות!$E$7)))</f>
        <v/>
      </c>
      <c r="J497" s="0" t="str">
        <f aca="false">IF(I497="","",IF(H497-1&lt;הגדרות!$E$8*(הגדרות!$E$7+1),MOD(H497-1,הגדרות!$E$7+1),MOD(H497-1-הגדרות!$E$8*(הגדרות!$E$7+1),הגדרות!$E$7)))</f>
        <v/>
      </c>
      <c r="K497" s="0" t="str">
        <f aca="false">IF(I497="","",J497*הגדרות!$E$6+I497+1)</f>
        <v/>
      </c>
      <c r="L497" s="0" t="str">
        <f aca="false">IF(K497="","",MATCH(K497,$F$2:$F$5001,0))</f>
        <v/>
      </c>
      <c r="M497" s="0" t="str">
        <f aca="false">IF(I497="","",INDEX(הגדרות!$A$2:$A$21,MOD(I497+הגדרות!$E$9,הגדרות!$E$6)+1))</f>
        <v/>
      </c>
    </row>
    <row r="498" customFormat="false" ht="15" hidden="false" customHeight="false" outlineLevel="0" collapsed="false">
      <c r="A498" s="0" t="str">
        <f aca="false">IF('הדבקת לידים'!A498="","",IF(ISNUMBER('הדבקת לידים'!A498),IF(הגדרות!$E$2&gt;0,TEXT('הדבקת לידים'!A498,REPT("0",הגדרות!$E$2)),TEXT('הדבקת לידים'!A498,"0")),TRIM('הדבקת לידים'!A498)))</f>
        <v/>
      </c>
      <c r="B498" s="0" t="str">
        <f aca="false">IF('הדבקת לידים'!B498="","",IF(ISNUMBER('הדבקת לידים'!B498),IF(הגדרות!$E$3&gt;0,TEXT('הדבקת לידים'!B498,REPT("0",הגדרות!$E$3)),TEXT('הדבקת לידים'!B498,"0")),TRIM('הדבקת לידים'!B498)))</f>
        <v/>
      </c>
      <c r="C498" s="0" t="n">
        <f aca="false">IF(OR(A498&lt;&gt;"",B498&lt;&gt;""),1,0)</f>
        <v>0</v>
      </c>
      <c r="D498" s="0" t="str">
        <f aca="false">IF(C498=1,MOD(ABS(SIN(ROW()*12.9898+'הדבקת לידים'!$F$2*78.233+IFERROR(--RIGHT(A498,6),LEN(A498))*0.0137+IFERROR(--RIGHT(B498,6),LEN(B498))*0.0071))*43758.5453,1),"")</f>
        <v/>
      </c>
      <c r="E498" s="0" t="str">
        <f aca="false">IF(C498=1,INT(MOD(ABS(SIN(D498*7919.123+ROW()*0.618+'הדבקת לידים'!$F$2*1.3))*43758.5453,1)*1000000)*10000+ROW(),"")</f>
        <v/>
      </c>
      <c r="F498" s="0" t="str">
        <f aca="false">IF(E498="","",RANK(E498,$E$2:$E$5001,1))</f>
        <v/>
      </c>
      <c r="G498" s="0" t="n">
        <f aca="false">IF(A498="",0,IF(SUMPRODUCT(--($A$2:$A$5001=A498))&gt;1,1,0))</f>
        <v>0</v>
      </c>
      <c r="H498" s="0" t="n">
        <f aca="false">ROW()-1</f>
        <v>497</v>
      </c>
      <c r="I498" s="0" t="str">
        <f aca="false">IF(OR(הגדרות!$E$6=0,H498&gt;הגדרות!$E$5),"",IF(H498-1&lt;הגדרות!$E$8*(הגדרות!$E$7+1),INT((H498-1)/(הגדרות!$E$7+1)),הגדרות!$E$8+INT((H498-1-הגדרות!$E$8*(הגדרות!$E$7+1))/הגדרות!$E$7)))</f>
        <v/>
      </c>
      <c r="J498" s="0" t="str">
        <f aca="false">IF(I498="","",IF(H498-1&lt;הגדרות!$E$8*(הגדרות!$E$7+1),MOD(H498-1,הגדרות!$E$7+1),MOD(H498-1-הגדרות!$E$8*(הגדרות!$E$7+1),הגדרות!$E$7)))</f>
        <v/>
      </c>
      <c r="K498" s="0" t="str">
        <f aca="false">IF(I498="","",J498*הגדרות!$E$6+I498+1)</f>
        <v/>
      </c>
      <c r="L498" s="0" t="str">
        <f aca="false">IF(K498="","",MATCH(K498,$F$2:$F$5001,0))</f>
        <v/>
      </c>
      <c r="M498" s="0" t="str">
        <f aca="false">IF(I498="","",INDEX(הגדרות!$A$2:$A$21,MOD(I498+הגדרות!$E$9,הגדרות!$E$6)+1))</f>
        <v/>
      </c>
    </row>
    <row r="499" customFormat="false" ht="15" hidden="false" customHeight="false" outlineLevel="0" collapsed="false">
      <c r="A499" s="0" t="str">
        <f aca="false">IF('הדבקת לידים'!A499="","",IF(ISNUMBER('הדבקת לידים'!A499),IF(הגדרות!$E$2&gt;0,TEXT('הדבקת לידים'!A499,REPT("0",הגדרות!$E$2)),TEXT('הדבקת לידים'!A499,"0")),TRIM('הדבקת לידים'!A499)))</f>
        <v/>
      </c>
      <c r="B499" s="0" t="str">
        <f aca="false">IF('הדבקת לידים'!B499="","",IF(ISNUMBER('הדבקת לידים'!B499),IF(הגדרות!$E$3&gt;0,TEXT('הדבקת לידים'!B499,REPT("0",הגדרות!$E$3)),TEXT('הדבקת לידים'!B499,"0")),TRIM('הדבקת לידים'!B499)))</f>
        <v/>
      </c>
      <c r="C499" s="0" t="n">
        <f aca="false">IF(OR(A499&lt;&gt;"",B499&lt;&gt;""),1,0)</f>
        <v>0</v>
      </c>
      <c r="D499" s="0" t="str">
        <f aca="false">IF(C499=1,MOD(ABS(SIN(ROW()*12.9898+'הדבקת לידים'!$F$2*78.233+IFERROR(--RIGHT(A499,6),LEN(A499))*0.0137+IFERROR(--RIGHT(B499,6),LEN(B499))*0.0071))*43758.5453,1),"")</f>
        <v/>
      </c>
      <c r="E499" s="0" t="str">
        <f aca="false">IF(C499=1,INT(MOD(ABS(SIN(D499*7919.123+ROW()*0.618+'הדבקת לידים'!$F$2*1.3))*43758.5453,1)*1000000)*10000+ROW(),"")</f>
        <v/>
      </c>
      <c r="F499" s="0" t="str">
        <f aca="false">IF(E499="","",RANK(E499,$E$2:$E$5001,1))</f>
        <v/>
      </c>
      <c r="G499" s="0" t="n">
        <f aca="false">IF(A499="",0,IF(SUMPRODUCT(--($A$2:$A$5001=A499))&gt;1,1,0))</f>
        <v>0</v>
      </c>
      <c r="H499" s="0" t="n">
        <f aca="false">ROW()-1</f>
        <v>498</v>
      </c>
      <c r="I499" s="0" t="str">
        <f aca="false">IF(OR(הגדרות!$E$6=0,H499&gt;הגדרות!$E$5),"",IF(H499-1&lt;הגדרות!$E$8*(הגדרות!$E$7+1),INT((H499-1)/(הגדרות!$E$7+1)),הגדרות!$E$8+INT((H499-1-הגדרות!$E$8*(הגדרות!$E$7+1))/הגדרות!$E$7)))</f>
        <v/>
      </c>
      <c r="J499" s="0" t="str">
        <f aca="false">IF(I499="","",IF(H499-1&lt;הגדרות!$E$8*(הגדרות!$E$7+1),MOD(H499-1,הגדרות!$E$7+1),MOD(H499-1-הגדרות!$E$8*(הגדרות!$E$7+1),הגדרות!$E$7)))</f>
        <v/>
      </c>
      <c r="K499" s="0" t="str">
        <f aca="false">IF(I499="","",J499*הגדרות!$E$6+I499+1)</f>
        <v/>
      </c>
      <c r="L499" s="0" t="str">
        <f aca="false">IF(K499="","",MATCH(K499,$F$2:$F$5001,0))</f>
        <v/>
      </c>
      <c r="M499" s="0" t="str">
        <f aca="false">IF(I499="","",INDEX(הגדרות!$A$2:$A$21,MOD(I499+הגדרות!$E$9,הגדרות!$E$6)+1))</f>
        <v/>
      </c>
    </row>
    <row r="500" customFormat="false" ht="15" hidden="false" customHeight="false" outlineLevel="0" collapsed="false">
      <c r="A500" s="0" t="str">
        <f aca="false">IF('הדבקת לידים'!A500="","",IF(ISNUMBER('הדבקת לידים'!A500),IF(הגדרות!$E$2&gt;0,TEXT('הדבקת לידים'!A500,REPT("0",הגדרות!$E$2)),TEXT('הדבקת לידים'!A500,"0")),TRIM('הדבקת לידים'!A500)))</f>
        <v/>
      </c>
      <c r="B500" s="0" t="str">
        <f aca="false">IF('הדבקת לידים'!B500="","",IF(ISNUMBER('הדבקת לידים'!B500),IF(הגדרות!$E$3&gt;0,TEXT('הדבקת לידים'!B500,REPT("0",הגדרות!$E$3)),TEXT('הדבקת לידים'!B500,"0")),TRIM('הדבקת לידים'!B500)))</f>
        <v/>
      </c>
      <c r="C500" s="0" t="n">
        <f aca="false">IF(OR(A500&lt;&gt;"",B500&lt;&gt;""),1,0)</f>
        <v>0</v>
      </c>
      <c r="D500" s="0" t="str">
        <f aca="false">IF(C500=1,MOD(ABS(SIN(ROW()*12.9898+'הדבקת לידים'!$F$2*78.233+IFERROR(--RIGHT(A500,6),LEN(A500))*0.0137+IFERROR(--RIGHT(B500,6),LEN(B500))*0.0071))*43758.5453,1),"")</f>
        <v/>
      </c>
      <c r="E500" s="0" t="str">
        <f aca="false">IF(C500=1,INT(MOD(ABS(SIN(D500*7919.123+ROW()*0.618+'הדבקת לידים'!$F$2*1.3))*43758.5453,1)*1000000)*10000+ROW(),"")</f>
        <v/>
      </c>
      <c r="F500" s="0" t="str">
        <f aca="false">IF(E500="","",RANK(E500,$E$2:$E$5001,1))</f>
        <v/>
      </c>
      <c r="G500" s="0" t="n">
        <f aca="false">IF(A500="",0,IF(SUMPRODUCT(--($A$2:$A$5001=A500))&gt;1,1,0))</f>
        <v>0</v>
      </c>
      <c r="H500" s="0" t="n">
        <f aca="false">ROW()-1</f>
        <v>499</v>
      </c>
      <c r="I500" s="0" t="str">
        <f aca="false">IF(OR(הגדרות!$E$6=0,H500&gt;הגדרות!$E$5),"",IF(H500-1&lt;הגדרות!$E$8*(הגדרות!$E$7+1),INT((H500-1)/(הגדרות!$E$7+1)),הגדרות!$E$8+INT((H500-1-הגדרות!$E$8*(הגדרות!$E$7+1))/הגדרות!$E$7)))</f>
        <v/>
      </c>
      <c r="J500" s="0" t="str">
        <f aca="false">IF(I500="","",IF(H500-1&lt;הגדרות!$E$8*(הגדרות!$E$7+1),MOD(H500-1,הגדרות!$E$7+1),MOD(H500-1-הגדרות!$E$8*(הגדרות!$E$7+1),הגדרות!$E$7)))</f>
        <v/>
      </c>
      <c r="K500" s="0" t="str">
        <f aca="false">IF(I500="","",J500*הגדרות!$E$6+I500+1)</f>
        <v/>
      </c>
      <c r="L500" s="0" t="str">
        <f aca="false">IF(K500="","",MATCH(K500,$F$2:$F$5001,0))</f>
        <v/>
      </c>
      <c r="M500" s="0" t="str">
        <f aca="false">IF(I500="","",INDEX(הגדרות!$A$2:$A$21,MOD(I500+הגדרות!$E$9,הגדרות!$E$6)+1))</f>
        <v/>
      </c>
    </row>
    <row r="501" customFormat="false" ht="15" hidden="false" customHeight="false" outlineLevel="0" collapsed="false">
      <c r="A501" s="0" t="str">
        <f aca="false">IF('הדבקת לידים'!A501="","",IF(ISNUMBER('הדבקת לידים'!A501),IF(הגדרות!$E$2&gt;0,TEXT('הדבקת לידים'!A501,REPT("0",הגדרות!$E$2)),TEXT('הדבקת לידים'!A501,"0")),TRIM('הדבקת לידים'!A501)))</f>
        <v/>
      </c>
      <c r="B501" s="0" t="str">
        <f aca="false">IF('הדבקת לידים'!B501="","",IF(ISNUMBER('הדבקת לידים'!B501),IF(הגדרות!$E$3&gt;0,TEXT('הדבקת לידים'!B501,REPT("0",הגדרות!$E$3)),TEXT('הדבקת לידים'!B501,"0")),TRIM('הדבקת לידים'!B501)))</f>
        <v/>
      </c>
      <c r="C501" s="0" t="n">
        <f aca="false">IF(OR(A501&lt;&gt;"",B501&lt;&gt;""),1,0)</f>
        <v>0</v>
      </c>
      <c r="D501" s="0" t="str">
        <f aca="false">IF(C501=1,MOD(ABS(SIN(ROW()*12.9898+'הדבקת לידים'!$F$2*78.233+IFERROR(--RIGHT(A501,6),LEN(A501))*0.0137+IFERROR(--RIGHT(B501,6),LEN(B501))*0.0071))*43758.5453,1),"")</f>
        <v/>
      </c>
      <c r="E501" s="0" t="str">
        <f aca="false">IF(C501=1,INT(MOD(ABS(SIN(D501*7919.123+ROW()*0.618+'הדבקת לידים'!$F$2*1.3))*43758.5453,1)*1000000)*10000+ROW(),"")</f>
        <v/>
      </c>
      <c r="F501" s="0" t="str">
        <f aca="false">IF(E501="","",RANK(E501,$E$2:$E$5001,1))</f>
        <v/>
      </c>
      <c r="G501" s="0" t="n">
        <f aca="false">IF(A501="",0,IF(SUMPRODUCT(--($A$2:$A$5001=A501))&gt;1,1,0))</f>
        <v>0</v>
      </c>
      <c r="H501" s="0" t="n">
        <f aca="false">ROW()-1</f>
        <v>500</v>
      </c>
      <c r="I501" s="0" t="str">
        <f aca="false">IF(OR(הגדרות!$E$6=0,H501&gt;הגדרות!$E$5),"",IF(H501-1&lt;הגדרות!$E$8*(הגדרות!$E$7+1),INT((H501-1)/(הגדרות!$E$7+1)),הגדרות!$E$8+INT((H501-1-הגדרות!$E$8*(הגדרות!$E$7+1))/הגדרות!$E$7)))</f>
        <v/>
      </c>
      <c r="J501" s="0" t="str">
        <f aca="false">IF(I501="","",IF(H501-1&lt;הגדרות!$E$8*(הגדרות!$E$7+1),MOD(H501-1,הגדרות!$E$7+1),MOD(H501-1-הגדרות!$E$8*(הגדרות!$E$7+1),הגדרות!$E$7)))</f>
        <v/>
      </c>
      <c r="K501" s="0" t="str">
        <f aca="false">IF(I501="","",J501*הגדרות!$E$6+I501+1)</f>
        <v/>
      </c>
      <c r="L501" s="0" t="str">
        <f aca="false">IF(K501="","",MATCH(K501,$F$2:$F$5001,0))</f>
        <v/>
      </c>
      <c r="M501" s="0" t="str">
        <f aca="false">IF(I501="","",INDEX(הגדרות!$A$2:$A$21,MOD(I501+הגדרות!$E$9,הגדרות!$E$6)+1))</f>
        <v/>
      </c>
    </row>
    <row r="502" customFormat="false" ht="15" hidden="false" customHeight="false" outlineLevel="0" collapsed="false">
      <c r="A502" s="0" t="str">
        <f aca="false">IF('הדבקת לידים'!A502="","",IF(ISNUMBER('הדבקת לידים'!A502),IF(הגדרות!$E$2&gt;0,TEXT('הדבקת לידים'!A502,REPT("0",הגדרות!$E$2)),TEXT('הדבקת לידים'!A502,"0")),TRIM('הדבקת לידים'!A502)))</f>
        <v/>
      </c>
      <c r="B502" s="0" t="str">
        <f aca="false">IF('הדבקת לידים'!B502="","",IF(ISNUMBER('הדבקת לידים'!B502),IF(הגדרות!$E$3&gt;0,TEXT('הדבקת לידים'!B502,REPT("0",הגדרות!$E$3)),TEXT('הדבקת לידים'!B502,"0")),TRIM('הדבקת לידים'!B502)))</f>
        <v/>
      </c>
      <c r="C502" s="0" t="n">
        <f aca="false">IF(OR(A502&lt;&gt;"",B502&lt;&gt;""),1,0)</f>
        <v>0</v>
      </c>
      <c r="D502" s="0" t="str">
        <f aca="false">IF(C502=1,MOD(ABS(SIN(ROW()*12.9898+'הדבקת לידים'!$F$2*78.233+IFERROR(--RIGHT(A502,6),LEN(A502))*0.0137+IFERROR(--RIGHT(B502,6),LEN(B502))*0.0071))*43758.5453,1),"")</f>
        <v/>
      </c>
      <c r="E502" s="0" t="str">
        <f aca="false">IF(C502=1,INT(MOD(ABS(SIN(D502*7919.123+ROW()*0.618+'הדבקת לידים'!$F$2*1.3))*43758.5453,1)*1000000)*10000+ROW(),"")</f>
        <v/>
      </c>
      <c r="F502" s="0" t="str">
        <f aca="false">IF(E502="","",RANK(E502,$E$2:$E$5001,1))</f>
        <v/>
      </c>
      <c r="G502" s="0" t="n">
        <f aca="false">IF(A502="",0,IF(SUMPRODUCT(--($A$2:$A$5001=A502))&gt;1,1,0))</f>
        <v>0</v>
      </c>
      <c r="H502" s="0" t="n">
        <f aca="false">ROW()-1</f>
        <v>501</v>
      </c>
      <c r="I502" s="0" t="str">
        <f aca="false">IF(OR(הגדרות!$E$6=0,H502&gt;הגדרות!$E$5),"",IF(H502-1&lt;הגדרות!$E$8*(הגדרות!$E$7+1),INT((H502-1)/(הגדרות!$E$7+1)),הגדרות!$E$8+INT((H502-1-הגדרות!$E$8*(הגדרות!$E$7+1))/הגדרות!$E$7)))</f>
        <v/>
      </c>
      <c r="J502" s="0" t="str">
        <f aca="false">IF(I502="","",IF(H502-1&lt;הגדרות!$E$8*(הגדרות!$E$7+1),MOD(H502-1,הגדרות!$E$7+1),MOD(H502-1-הגדרות!$E$8*(הגדרות!$E$7+1),הגדרות!$E$7)))</f>
        <v/>
      </c>
      <c r="K502" s="0" t="str">
        <f aca="false">IF(I502="","",J502*הגדרות!$E$6+I502+1)</f>
        <v/>
      </c>
      <c r="L502" s="0" t="str">
        <f aca="false">IF(K502="","",MATCH(K502,$F$2:$F$5001,0))</f>
        <v/>
      </c>
      <c r="M502" s="0" t="str">
        <f aca="false">IF(I502="","",INDEX(הגדרות!$A$2:$A$21,MOD(I502+הגדרות!$E$9,הגדרות!$E$6)+1))</f>
        <v/>
      </c>
    </row>
    <row r="503" customFormat="false" ht="15" hidden="false" customHeight="false" outlineLevel="0" collapsed="false">
      <c r="A503" s="0" t="str">
        <f aca="false">IF('הדבקת לידים'!A503="","",IF(ISNUMBER('הדבקת לידים'!A503),IF(הגדרות!$E$2&gt;0,TEXT('הדבקת לידים'!A503,REPT("0",הגדרות!$E$2)),TEXT('הדבקת לידים'!A503,"0")),TRIM('הדבקת לידים'!A503)))</f>
        <v/>
      </c>
      <c r="B503" s="0" t="str">
        <f aca="false">IF('הדבקת לידים'!B503="","",IF(ISNUMBER('הדבקת לידים'!B503),IF(הגדרות!$E$3&gt;0,TEXT('הדבקת לידים'!B503,REPT("0",הגדרות!$E$3)),TEXT('הדבקת לידים'!B503,"0")),TRIM('הדבקת לידים'!B503)))</f>
        <v/>
      </c>
      <c r="C503" s="0" t="n">
        <f aca="false">IF(OR(A503&lt;&gt;"",B503&lt;&gt;""),1,0)</f>
        <v>0</v>
      </c>
      <c r="D503" s="0" t="str">
        <f aca="false">IF(C503=1,MOD(ABS(SIN(ROW()*12.9898+'הדבקת לידים'!$F$2*78.233+IFERROR(--RIGHT(A503,6),LEN(A503))*0.0137+IFERROR(--RIGHT(B503,6),LEN(B503))*0.0071))*43758.5453,1),"")</f>
        <v/>
      </c>
      <c r="E503" s="0" t="str">
        <f aca="false">IF(C503=1,INT(MOD(ABS(SIN(D503*7919.123+ROW()*0.618+'הדבקת לידים'!$F$2*1.3))*43758.5453,1)*1000000)*10000+ROW(),"")</f>
        <v/>
      </c>
      <c r="F503" s="0" t="str">
        <f aca="false">IF(E503="","",RANK(E503,$E$2:$E$5001,1))</f>
        <v/>
      </c>
      <c r="G503" s="0" t="n">
        <f aca="false">IF(A503="",0,IF(SUMPRODUCT(--($A$2:$A$5001=A503))&gt;1,1,0))</f>
        <v>0</v>
      </c>
      <c r="H503" s="0" t="n">
        <f aca="false">ROW()-1</f>
        <v>502</v>
      </c>
      <c r="I503" s="0" t="str">
        <f aca="false">IF(OR(הגדרות!$E$6=0,H503&gt;הגדרות!$E$5),"",IF(H503-1&lt;הגדרות!$E$8*(הגדרות!$E$7+1),INT((H503-1)/(הגדרות!$E$7+1)),הגדרות!$E$8+INT((H503-1-הגדרות!$E$8*(הגדרות!$E$7+1))/הגדרות!$E$7)))</f>
        <v/>
      </c>
      <c r="J503" s="0" t="str">
        <f aca="false">IF(I503="","",IF(H503-1&lt;הגדרות!$E$8*(הגדרות!$E$7+1),MOD(H503-1,הגדרות!$E$7+1),MOD(H503-1-הגדרות!$E$8*(הגדרות!$E$7+1),הגדרות!$E$7)))</f>
        <v/>
      </c>
      <c r="K503" s="0" t="str">
        <f aca="false">IF(I503="","",J503*הגדרות!$E$6+I503+1)</f>
        <v/>
      </c>
      <c r="L503" s="0" t="str">
        <f aca="false">IF(K503="","",MATCH(K503,$F$2:$F$5001,0))</f>
        <v/>
      </c>
      <c r="M503" s="0" t="str">
        <f aca="false">IF(I503="","",INDEX(הגדרות!$A$2:$A$21,MOD(I503+הגדרות!$E$9,הגדרות!$E$6)+1))</f>
        <v/>
      </c>
    </row>
    <row r="504" customFormat="false" ht="15" hidden="false" customHeight="false" outlineLevel="0" collapsed="false">
      <c r="A504" s="0" t="str">
        <f aca="false">IF('הדבקת לידים'!A504="","",IF(ISNUMBER('הדבקת לידים'!A504),IF(הגדרות!$E$2&gt;0,TEXT('הדבקת לידים'!A504,REPT("0",הגדרות!$E$2)),TEXT('הדבקת לידים'!A504,"0")),TRIM('הדבקת לידים'!A504)))</f>
        <v/>
      </c>
      <c r="B504" s="0" t="str">
        <f aca="false">IF('הדבקת לידים'!B504="","",IF(ISNUMBER('הדבקת לידים'!B504),IF(הגדרות!$E$3&gt;0,TEXT('הדבקת לידים'!B504,REPT("0",הגדרות!$E$3)),TEXT('הדבקת לידים'!B504,"0")),TRIM('הדבקת לידים'!B504)))</f>
        <v/>
      </c>
      <c r="C504" s="0" t="n">
        <f aca="false">IF(OR(A504&lt;&gt;"",B504&lt;&gt;""),1,0)</f>
        <v>0</v>
      </c>
      <c r="D504" s="0" t="str">
        <f aca="false">IF(C504=1,MOD(ABS(SIN(ROW()*12.9898+'הדבקת לידים'!$F$2*78.233+IFERROR(--RIGHT(A504,6),LEN(A504))*0.0137+IFERROR(--RIGHT(B504,6),LEN(B504))*0.0071))*43758.5453,1),"")</f>
        <v/>
      </c>
      <c r="E504" s="0" t="str">
        <f aca="false">IF(C504=1,INT(MOD(ABS(SIN(D504*7919.123+ROW()*0.618+'הדבקת לידים'!$F$2*1.3))*43758.5453,1)*1000000)*10000+ROW(),"")</f>
        <v/>
      </c>
      <c r="F504" s="0" t="str">
        <f aca="false">IF(E504="","",RANK(E504,$E$2:$E$5001,1))</f>
        <v/>
      </c>
      <c r="G504" s="0" t="n">
        <f aca="false">IF(A504="",0,IF(SUMPRODUCT(--($A$2:$A$5001=A504))&gt;1,1,0))</f>
        <v>0</v>
      </c>
      <c r="H504" s="0" t="n">
        <f aca="false">ROW()-1</f>
        <v>503</v>
      </c>
      <c r="I504" s="0" t="str">
        <f aca="false">IF(OR(הגדרות!$E$6=0,H504&gt;הגדרות!$E$5),"",IF(H504-1&lt;הגדרות!$E$8*(הגדרות!$E$7+1),INT((H504-1)/(הגדרות!$E$7+1)),הגדרות!$E$8+INT((H504-1-הגדרות!$E$8*(הגדרות!$E$7+1))/הגדרות!$E$7)))</f>
        <v/>
      </c>
      <c r="J504" s="0" t="str">
        <f aca="false">IF(I504="","",IF(H504-1&lt;הגדרות!$E$8*(הגדרות!$E$7+1),MOD(H504-1,הגדרות!$E$7+1),MOD(H504-1-הגדרות!$E$8*(הגדרות!$E$7+1),הגדרות!$E$7)))</f>
        <v/>
      </c>
      <c r="K504" s="0" t="str">
        <f aca="false">IF(I504="","",J504*הגדרות!$E$6+I504+1)</f>
        <v/>
      </c>
      <c r="L504" s="0" t="str">
        <f aca="false">IF(K504="","",MATCH(K504,$F$2:$F$5001,0))</f>
        <v/>
      </c>
      <c r="M504" s="0" t="str">
        <f aca="false">IF(I504="","",INDEX(הגדרות!$A$2:$A$21,MOD(I504+הגדרות!$E$9,הגדרות!$E$6)+1))</f>
        <v/>
      </c>
    </row>
    <row r="505" customFormat="false" ht="15" hidden="false" customHeight="false" outlineLevel="0" collapsed="false">
      <c r="A505" s="0" t="str">
        <f aca="false">IF('הדבקת לידים'!A505="","",IF(ISNUMBER('הדבקת לידים'!A505),IF(הגדרות!$E$2&gt;0,TEXT('הדבקת לידים'!A505,REPT("0",הגדרות!$E$2)),TEXT('הדבקת לידים'!A505,"0")),TRIM('הדבקת לידים'!A505)))</f>
        <v/>
      </c>
      <c r="B505" s="0" t="str">
        <f aca="false">IF('הדבקת לידים'!B505="","",IF(ISNUMBER('הדבקת לידים'!B505),IF(הגדרות!$E$3&gt;0,TEXT('הדבקת לידים'!B505,REPT("0",הגדרות!$E$3)),TEXT('הדבקת לידים'!B505,"0")),TRIM('הדבקת לידים'!B505)))</f>
        <v/>
      </c>
      <c r="C505" s="0" t="n">
        <f aca="false">IF(OR(A505&lt;&gt;"",B505&lt;&gt;""),1,0)</f>
        <v>0</v>
      </c>
      <c r="D505" s="0" t="str">
        <f aca="false">IF(C505=1,MOD(ABS(SIN(ROW()*12.9898+'הדבקת לידים'!$F$2*78.233+IFERROR(--RIGHT(A505,6),LEN(A505))*0.0137+IFERROR(--RIGHT(B505,6),LEN(B505))*0.0071))*43758.5453,1),"")</f>
        <v/>
      </c>
      <c r="E505" s="0" t="str">
        <f aca="false">IF(C505=1,INT(MOD(ABS(SIN(D505*7919.123+ROW()*0.618+'הדבקת לידים'!$F$2*1.3))*43758.5453,1)*1000000)*10000+ROW(),"")</f>
        <v/>
      </c>
      <c r="F505" s="0" t="str">
        <f aca="false">IF(E505="","",RANK(E505,$E$2:$E$5001,1))</f>
        <v/>
      </c>
      <c r="G505" s="0" t="n">
        <f aca="false">IF(A505="",0,IF(SUMPRODUCT(--($A$2:$A$5001=A505))&gt;1,1,0))</f>
        <v>0</v>
      </c>
      <c r="H505" s="0" t="n">
        <f aca="false">ROW()-1</f>
        <v>504</v>
      </c>
      <c r="I505" s="0" t="str">
        <f aca="false">IF(OR(הגדרות!$E$6=0,H505&gt;הגדרות!$E$5),"",IF(H505-1&lt;הגדרות!$E$8*(הגדרות!$E$7+1),INT((H505-1)/(הגדרות!$E$7+1)),הגדרות!$E$8+INT((H505-1-הגדרות!$E$8*(הגדרות!$E$7+1))/הגדרות!$E$7)))</f>
        <v/>
      </c>
      <c r="J505" s="0" t="str">
        <f aca="false">IF(I505="","",IF(H505-1&lt;הגדרות!$E$8*(הגדרות!$E$7+1),MOD(H505-1,הגדרות!$E$7+1),MOD(H505-1-הגדרות!$E$8*(הגדרות!$E$7+1),הגדרות!$E$7)))</f>
        <v/>
      </c>
      <c r="K505" s="0" t="str">
        <f aca="false">IF(I505="","",J505*הגדרות!$E$6+I505+1)</f>
        <v/>
      </c>
      <c r="L505" s="0" t="str">
        <f aca="false">IF(K505="","",MATCH(K505,$F$2:$F$5001,0))</f>
        <v/>
      </c>
      <c r="M505" s="0" t="str">
        <f aca="false">IF(I505="","",INDEX(הגדרות!$A$2:$A$21,MOD(I505+הגדרות!$E$9,הגדרות!$E$6)+1))</f>
        <v/>
      </c>
    </row>
    <row r="506" customFormat="false" ht="15" hidden="false" customHeight="false" outlineLevel="0" collapsed="false">
      <c r="A506" s="0" t="str">
        <f aca="false">IF('הדבקת לידים'!A506="","",IF(ISNUMBER('הדבקת לידים'!A506),IF(הגדרות!$E$2&gt;0,TEXT('הדבקת לידים'!A506,REPT("0",הגדרות!$E$2)),TEXT('הדבקת לידים'!A506,"0")),TRIM('הדבקת לידים'!A506)))</f>
        <v/>
      </c>
      <c r="B506" s="0" t="str">
        <f aca="false">IF('הדבקת לידים'!B506="","",IF(ISNUMBER('הדבקת לידים'!B506),IF(הגדרות!$E$3&gt;0,TEXT('הדבקת לידים'!B506,REPT("0",הגדרות!$E$3)),TEXT('הדבקת לידים'!B506,"0")),TRIM('הדבקת לידים'!B506)))</f>
        <v/>
      </c>
      <c r="C506" s="0" t="n">
        <f aca="false">IF(OR(A506&lt;&gt;"",B506&lt;&gt;""),1,0)</f>
        <v>0</v>
      </c>
      <c r="D506" s="0" t="str">
        <f aca="false">IF(C506=1,MOD(ABS(SIN(ROW()*12.9898+'הדבקת לידים'!$F$2*78.233+IFERROR(--RIGHT(A506,6),LEN(A506))*0.0137+IFERROR(--RIGHT(B506,6),LEN(B506))*0.0071))*43758.5453,1),"")</f>
        <v/>
      </c>
      <c r="E506" s="0" t="str">
        <f aca="false">IF(C506=1,INT(MOD(ABS(SIN(D506*7919.123+ROW()*0.618+'הדבקת לידים'!$F$2*1.3))*43758.5453,1)*1000000)*10000+ROW(),"")</f>
        <v/>
      </c>
      <c r="F506" s="0" t="str">
        <f aca="false">IF(E506="","",RANK(E506,$E$2:$E$5001,1))</f>
        <v/>
      </c>
      <c r="G506" s="0" t="n">
        <f aca="false">IF(A506="",0,IF(SUMPRODUCT(--($A$2:$A$5001=A506))&gt;1,1,0))</f>
        <v>0</v>
      </c>
      <c r="H506" s="0" t="n">
        <f aca="false">ROW()-1</f>
        <v>505</v>
      </c>
      <c r="I506" s="0" t="str">
        <f aca="false">IF(OR(הגדרות!$E$6=0,H506&gt;הגדרות!$E$5),"",IF(H506-1&lt;הגדרות!$E$8*(הגדרות!$E$7+1),INT((H506-1)/(הגדרות!$E$7+1)),הגדרות!$E$8+INT((H506-1-הגדרות!$E$8*(הגדרות!$E$7+1))/הגדרות!$E$7)))</f>
        <v/>
      </c>
      <c r="J506" s="0" t="str">
        <f aca="false">IF(I506="","",IF(H506-1&lt;הגדרות!$E$8*(הגדרות!$E$7+1),MOD(H506-1,הגדרות!$E$7+1),MOD(H506-1-הגדרות!$E$8*(הגדרות!$E$7+1),הגדרות!$E$7)))</f>
        <v/>
      </c>
      <c r="K506" s="0" t="str">
        <f aca="false">IF(I506="","",J506*הגדרות!$E$6+I506+1)</f>
        <v/>
      </c>
      <c r="L506" s="0" t="str">
        <f aca="false">IF(K506="","",MATCH(K506,$F$2:$F$5001,0))</f>
        <v/>
      </c>
      <c r="M506" s="0" t="str">
        <f aca="false">IF(I506="","",INDEX(הגדרות!$A$2:$A$21,MOD(I506+הגדרות!$E$9,הגדרות!$E$6)+1))</f>
        <v/>
      </c>
    </row>
    <row r="507" customFormat="false" ht="15" hidden="false" customHeight="false" outlineLevel="0" collapsed="false">
      <c r="A507" s="0" t="str">
        <f aca="false">IF('הדבקת לידים'!A507="","",IF(ISNUMBER('הדבקת לידים'!A507),IF(הגדרות!$E$2&gt;0,TEXT('הדבקת לידים'!A507,REPT("0",הגדרות!$E$2)),TEXT('הדבקת לידים'!A507,"0")),TRIM('הדבקת לידים'!A507)))</f>
        <v/>
      </c>
      <c r="B507" s="0" t="str">
        <f aca="false">IF('הדבקת לידים'!B507="","",IF(ISNUMBER('הדבקת לידים'!B507),IF(הגדרות!$E$3&gt;0,TEXT('הדבקת לידים'!B507,REPT("0",הגדרות!$E$3)),TEXT('הדבקת לידים'!B507,"0")),TRIM('הדבקת לידים'!B507)))</f>
        <v/>
      </c>
      <c r="C507" s="0" t="n">
        <f aca="false">IF(OR(A507&lt;&gt;"",B507&lt;&gt;""),1,0)</f>
        <v>0</v>
      </c>
      <c r="D507" s="0" t="str">
        <f aca="false">IF(C507=1,MOD(ABS(SIN(ROW()*12.9898+'הדבקת לידים'!$F$2*78.233+IFERROR(--RIGHT(A507,6),LEN(A507))*0.0137+IFERROR(--RIGHT(B507,6),LEN(B507))*0.0071))*43758.5453,1),"")</f>
        <v/>
      </c>
      <c r="E507" s="0" t="str">
        <f aca="false">IF(C507=1,INT(MOD(ABS(SIN(D507*7919.123+ROW()*0.618+'הדבקת לידים'!$F$2*1.3))*43758.5453,1)*1000000)*10000+ROW(),"")</f>
        <v/>
      </c>
      <c r="F507" s="0" t="str">
        <f aca="false">IF(E507="","",RANK(E507,$E$2:$E$5001,1))</f>
        <v/>
      </c>
      <c r="G507" s="0" t="n">
        <f aca="false">IF(A507="",0,IF(SUMPRODUCT(--($A$2:$A$5001=A507))&gt;1,1,0))</f>
        <v>0</v>
      </c>
      <c r="H507" s="0" t="n">
        <f aca="false">ROW()-1</f>
        <v>506</v>
      </c>
      <c r="I507" s="0" t="str">
        <f aca="false">IF(OR(הגדרות!$E$6=0,H507&gt;הגדרות!$E$5),"",IF(H507-1&lt;הגדרות!$E$8*(הגדרות!$E$7+1),INT((H507-1)/(הגדרות!$E$7+1)),הגדרות!$E$8+INT((H507-1-הגדרות!$E$8*(הגדרות!$E$7+1))/הגדרות!$E$7)))</f>
        <v/>
      </c>
      <c r="J507" s="0" t="str">
        <f aca="false">IF(I507="","",IF(H507-1&lt;הגדרות!$E$8*(הגדרות!$E$7+1),MOD(H507-1,הגדרות!$E$7+1),MOD(H507-1-הגדרות!$E$8*(הגדרות!$E$7+1),הגדרות!$E$7)))</f>
        <v/>
      </c>
      <c r="K507" s="0" t="str">
        <f aca="false">IF(I507="","",J507*הגדרות!$E$6+I507+1)</f>
        <v/>
      </c>
      <c r="L507" s="0" t="str">
        <f aca="false">IF(K507="","",MATCH(K507,$F$2:$F$5001,0))</f>
        <v/>
      </c>
      <c r="M507" s="0" t="str">
        <f aca="false">IF(I507="","",INDEX(הגדרות!$A$2:$A$21,MOD(I507+הגדרות!$E$9,הגדרות!$E$6)+1))</f>
        <v/>
      </c>
    </row>
    <row r="508" customFormat="false" ht="15" hidden="false" customHeight="false" outlineLevel="0" collapsed="false">
      <c r="A508" s="0" t="str">
        <f aca="false">IF('הדבקת לידים'!A508="","",IF(ISNUMBER('הדבקת לידים'!A508),IF(הגדרות!$E$2&gt;0,TEXT('הדבקת לידים'!A508,REPT("0",הגדרות!$E$2)),TEXT('הדבקת לידים'!A508,"0")),TRIM('הדבקת לידים'!A508)))</f>
        <v/>
      </c>
      <c r="B508" s="0" t="str">
        <f aca="false">IF('הדבקת לידים'!B508="","",IF(ISNUMBER('הדבקת לידים'!B508),IF(הגדרות!$E$3&gt;0,TEXT('הדבקת לידים'!B508,REPT("0",הגדרות!$E$3)),TEXT('הדבקת לידים'!B508,"0")),TRIM('הדבקת לידים'!B508)))</f>
        <v/>
      </c>
      <c r="C508" s="0" t="n">
        <f aca="false">IF(OR(A508&lt;&gt;"",B508&lt;&gt;""),1,0)</f>
        <v>0</v>
      </c>
      <c r="D508" s="0" t="str">
        <f aca="false">IF(C508=1,MOD(ABS(SIN(ROW()*12.9898+'הדבקת לידים'!$F$2*78.233+IFERROR(--RIGHT(A508,6),LEN(A508))*0.0137+IFERROR(--RIGHT(B508,6),LEN(B508))*0.0071))*43758.5453,1),"")</f>
        <v/>
      </c>
      <c r="E508" s="0" t="str">
        <f aca="false">IF(C508=1,INT(MOD(ABS(SIN(D508*7919.123+ROW()*0.618+'הדבקת לידים'!$F$2*1.3))*43758.5453,1)*1000000)*10000+ROW(),"")</f>
        <v/>
      </c>
      <c r="F508" s="0" t="str">
        <f aca="false">IF(E508="","",RANK(E508,$E$2:$E$5001,1))</f>
        <v/>
      </c>
      <c r="G508" s="0" t="n">
        <f aca="false">IF(A508="",0,IF(SUMPRODUCT(--($A$2:$A$5001=A508))&gt;1,1,0))</f>
        <v>0</v>
      </c>
      <c r="H508" s="0" t="n">
        <f aca="false">ROW()-1</f>
        <v>507</v>
      </c>
      <c r="I508" s="0" t="str">
        <f aca="false">IF(OR(הגדרות!$E$6=0,H508&gt;הגדרות!$E$5),"",IF(H508-1&lt;הגדרות!$E$8*(הגדרות!$E$7+1),INT((H508-1)/(הגדרות!$E$7+1)),הגדרות!$E$8+INT((H508-1-הגדרות!$E$8*(הגדרות!$E$7+1))/הגדרות!$E$7)))</f>
        <v/>
      </c>
      <c r="J508" s="0" t="str">
        <f aca="false">IF(I508="","",IF(H508-1&lt;הגדרות!$E$8*(הגדרות!$E$7+1),MOD(H508-1,הגדרות!$E$7+1),MOD(H508-1-הגדרות!$E$8*(הגדרות!$E$7+1),הגדרות!$E$7)))</f>
        <v/>
      </c>
      <c r="K508" s="0" t="str">
        <f aca="false">IF(I508="","",J508*הגדרות!$E$6+I508+1)</f>
        <v/>
      </c>
      <c r="L508" s="0" t="str">
        <f aca="false">IF(K508="","",MATCH(K508,$F$2:$F$5001,0))</f>
        <v/>
      </c>
      <c r="M508" s="0" t="str">
        <f aca="false">IF(I508="","",INDEX(הגדרות!$A$2:$A$21,MOD(I508+הגדרות!$E$9,הגדרות!$E$6)+1))</f>
        <v/>
      </c>
    </row>
    <row r="509" customFormat="false" ht="15" hidden="false" customHeight="false" outlineLevel="0" collapsed="false">
      <c r="A509" s="0" t="str">
        <f aca="false">IF('הדבקת לידים'!A509="","",IF(ISNUMBER('הדבקת לידים'!A509),IF(הגדרות!$E$2&gt;0,TEXT('הדבקת לידים'!A509,REPT("0",הגדרות!$E$2)),TEXT('הדבקת לידים'!A509,"0")),TRIM('הדבקת לידים'!A509)))</f>
        <v/>
      </c>
      <c r="B509" s="0" t="str">
        <f aca="false">IF('הדבקת לידים'!B509="","",IF(ISNUMBER('הדבקת לידים'!B509),IF(הגדרות!$E$3&gt;0,TEXT('הדבקת לידים'!B509,REPT("0",הגדרות!$E$3)),TEXT('הדבקת לידים'!B509,"0")),TRIM('הדבקת לידים'!B509)))</f>
        <v/>
      </c>
      <c r="C509" s="0" t="n">
        <f aca="false">IF(OR(A509&lt;&gt;"",B509&lt;&gt;""),1,0)</f>
        <v>0</v>
      </c>
      <c r="D509" s="0" t="str">
        <f aca="false">IF(C509=1,MOD(ABS(SIN(ROW()*12.9898+'הדבקת לידים'!$F$2*78.233+IFERROR(--RIGHT(A509,6),LEN(A509))*0.0137+IFERROR(--RIGHT(B509,6),LEN(B509))*0.0071))*43758.5453,1),"")</f>
        <v/>
      </c>
      <c r="E509" s="0" t="str">
        <f aca="false">IF(C509=1,INT(MOD(ABS(SIN(D509*7919.123+ROW()*0.618+'הדבקת לידים'!$F$2*1.3))*43758.5453,1)*1000000)*10000+ROW(),"")</f>
        <v/>
      </c>
      <c r="F509" s="0" t="str">
        <f aca="false">IF(E509="","",RANK(E509,$E$2:$E$5001,1))</f>
        <v/>
      </c>
      <c r="G509" s="0" t="n">
        <f aca="false">IF(A509="",0,IF(SUMPRODUCT(--($A$2:$A$5001=A509))&gt;1,1,0))</f>
        <v>0</v>
      </c>
      <c r="H509" s="0" t="n">
        <f aca="false">ROW()-1</f>
        <v>508</v>
      </c>
      <c r="I509" s="0" t="str">
        <f aca="false">IF(OR(הגדרות!$E$6=0,H509&gt;הגדרות!$E$5),"",IF(H509-1&lt;הגדרות!$E$8*(הגדרות!$E$7+1),INT((H509-1)/(הגדרות!$E$7+1)),הגדרות!$E$8+INT((H509-1-הגדרות!$E$8*(הגדרות!$E$7+1))/הגדרות!$E$7)))</f>
        <v/>
      </c>
      <c r="J509" s="0" t="str">
        <f aca="false">IF(I509="","",IF(H509-1&lt;הגדרות!$E$8*(הגדרות!$E$7+1),MOD(H509-1,הגדרות!$E$7+1),MOD(H509-1-הגדרות!$E$8*(הגדרות!$E$7+1),הגדרות!$E$7)))</f>
        <v/>
      </c>
      <c r="K509" s="0" t="str">
        <f aca="false">IF(I509="","",J509*הגדרות!$E$6+I509+1)</f>
        <v/>
      </c>
      <c r="L509" s="0" t="str">
        <f aca="false">IF(K509="","",MATCH(K509,$F$2:$F$5001,0))</f>
        <v/>
      </c>
      <c r="M509" s="0" t="str">
        <f aca="false">IF(I509="","",INDEX(הגדרות!$A$2:$A$21,MOD(I509+הגדרות!$E$9,הגדרות!$E$6)+1))</f>
        <v/>
      </c>
    </row>
    <row r="510" customFormat="false" ht="15" hidden="false" customHeight="false" outlineLevel="0" collapsed="false">
      <c r="A510" s="0" t="str">
        <f aca="false">IF('הדבקת לידים'!A510="","",IF(ISNUMBER('הדבקת לידים'!A510),IF(הגדרות!$E$2&gt;0,TEXT('הדבקת לידים'!A510,REPT("0",הגדרות!$E$2)),TEXT('הדבקת לידים'!A510,"0")),TRIM('הדבקת לידים'!A510)))</f>
        <v/>
      </c>
      <c r="B510" s="0" t="str">
        <f aca="false">IF('הדבקת לידים'!B510="","",IF(ISNUMBER('הדבקת לידים'!B510),IF(הגדרות!$E$3&gt;0,TEXT('הדבקת לידים'!B510,REPT("0",הגדרות!$E$3)),TEXT('הדבקת לידים'!B510,"0")),TRIM('הדבקת לידים'!B510)))</f>
        <v/>
      </c>
      <c r="C510" s="0" t="n">
        <f aca="false">IF(OR(A510&lt;&gt;"",B510&lt;&gt;""),1,0)</f>
        <v>0</v>
      </c>
      <c r="D510" s="0" t="str">
        <f aca="false">IF(C510=1,MOD(ABS(SIN(ROW()*12.9898+'הדבקת לידים'!$F$2*78.233+IFERROR(--RIGHT(A510,6),LEN(A510))*0.0137+IFERROR(--RIGHT(B510,6),LEN(B510))*0.0071))*43758.5453,1),"")</f>
        <v/>
      </c>
      <c r="E510" s="0" t="str">
        <f aca="false">IF(C510=1,INT(MOD(ABS(SIN(D510*7919.123+ROW()*0.618+'הדבקת לידים'!$F$2*1.3))*43758.5453,1)*1000000)*10000+ROW(),"")</f>
        <v/>
      </c>
      <c r="F510" s="0" t="str">
        <f aca="false">IF(E510="","",RANK(E510,$E$2:$E$5001,1))</f>
        <v/>
      </c>
      <c r="G510" s="0" t="n">
        <f aca="false">IF(A510="",0,IF(SUMPRODUCT(--($A$2:$A$5001=A510))&gt;1,1,0))</f>
        <v>0</v>
      </c>
      <c r="H510" s="0" t="n">
        <f aca="false">ROW()-1</f>
        <v>509</v>
      </c>
      <c r="I510" s="0" t="str">
        <f aca="false">IF(OR(הגדרות!$E$6=0,H510&gt;הגדרות!$E$5),"",IF(H510-1&lt;הגדרות!$E$8*(הגדרות!$E$7+1),INT((H510-1)/(הגדרות!$E$7+1)),הגדרות!$E$8+INT((H510-1-הגדרות!$E$8*(הגדרות!$E$7+1))/הגדרות!$E$7)))</f>
        <v/>
      </c>
      <c r="J510" s="0" t="str">
        <f aca="false">IF(I510="","",IF(H510-1&lt;הגדרות!$E$8*(הגדרות!$E$7+1),MOD(H510-1,הגדרות!$E$7+1),MOD(H510-1-הגדרות!$E$8*(הגדרות!$E$7+1),הגדרות!$E$7)))</f>
        <v/>
      </c>
      <c r="K510" s="0" t="str">
        <f aca="false">IF(I510="","",J510*הגדרות!$E$6+I510+1)</f>
        <v/>
      </c>
      <c r="L510" s="0" t="str">
        <f aca="false">IF(K510="","",MATCH(K510,$F$2:$F$5001,0))</f>
        <v/>
      </c>
      <c r="M510" s="0" t="str">
        <f aca="false">IF(I510="","",INDEX(הגדרות!$A$2:$A$21,MOD(I510+הגדרות!$E$9,הגדרות!$E$6)+1))</f>
        <v/>
      </c>
    </row>
    <row r="511" customFormat="false" ht="15" hidden="false" customHeight="false" outlineLevel="0" collapsed="false">
      <c r="A511" s="0" t="str">
        <f aca="false">IF('הדבקת לידים'!A511="","",IF(ISNUMBER('הדבקת לידים'!A511),IF(הגדרות!$E$2&gt;0,TEXT('הדבקת לידים'!A511,REPT("0",הגדרות!$E$2)),TEXT('הדבקת לידים'!A511,"0")),TRIM('הדבקת לידים'!A511)))</f>
        <v/>
      </c>
      <c r="B511" s="0" t="str">
        <f aca="false">IF('הדבקת לידים'!B511="","",IF(ISNUMBER('הדבקת לידים'!B511),IF(הגדרות!$E$3&gt;0,TEXT('הדבקת לידים'!B511,REPT("0",הגדרות!$E$3)),TEXT('הדבקת לידים'!B511,"0")),TRIM('הדבקת לידים'!B511)))</f>
        <v/>
      </c>
      <c r="C511" s="0" t="n">
        <f aca="false">IF(OR(A511&lt;&gt;"",B511&lt;&gt;""),1,0)</f>
        <v>0</v>
      </c>
      <c r="D511" s="0" t="str">
        <f aca="false">IF(C511=1,MOD(ABS(SIN(ROW()*12.9898+'הדבקת לידים'!$F$2*78.233+IFERROR(--RIGHT(A511,6),LEN(A511))*0.0137+IFERROR(--RIGHT(B511,6),LEN(B511))*0.0071))*43758.5453,1),"")</f>
        <v/>
      </c>
      <c r="E511" s="0" t="str">
        <f aca="false">IF(C511=1,INT(MOD(ABS(SIN(D511*7919.123+ROW()*0.618+'הדבקת לידים'!$F$2*1.3))*43758.5453,1)*1000000)*10000+ROW(),"")</f>
        <v/>
      </c>
      <c r="F511" s="0" t="str">
        <f aca="false">IF(E511="","",RANK(E511,$E$2:$E$5001,1))</f>
        <v/>
      </c>
      <c r="G511" s="0" t="n">
        <f aca="false">IF(A511="",0,IF(SUMPRODUCT(--($A$2:$A$5001=A511))&gt;1,1,0))</f>
        <v>0</v>
      </c>
      <c r="H511" s="0" t="n">
        <f aca="false">ROW()-1</f>
        <v>510</v>
      </c>
      <c r="I511" s="0" t="str">
        <f aca="false">IF(OR(הגדרות!$E$6=0,H511&gt;הגדרות!$E$5),"",IF(H511-1&lt;הגדרות!$E$8*(הגדרות!$E$7+1),INT((H511-1)/(הגדרות!$E$7+1)),הגדרות!$E$8+INT((H511-1-הגדרות!$E$8*(הגדרות!$E$7+1))/הגדרות!$E$7)))</f>
        <v/>
      </c>
      <c r="J511" s="0" t="str">
        <f aca="false">IF(I511="","",IF(H511-1&lt;הגדרות!$E$8*(הגדרות!$E$7+1),MOD(H511-1,הגדרות!$E$7+1),MOD(H511-1-הגדרות!$E$8*(הגדרות!$E$7+1),הגדרות!$E$7)))</f>
        <v/>
      </c>
      <c r="K511" s="0" t="str">
        <f aca="false">IF(I511="","",J511*הגדרות!$E$6+I511+1)</f>
        <v/>
      </c>
      <c r="L511" s="0" t="str">
        <f aca="false">IF(K511="","",MATCH(K511,$F$2:$F$5001,0))</f>
        <v/>
      </c>
      <c r="M511" s="0" t="str">
        <f aca="false">IF(I511="","",INDEX(הגדרות!$A$2:$A$21,MOD(I511+הגדרות!$E$9,הגדרות!$E$6)+1))</f>
        <v/>
      </c>
    </row>
    <row r="512" customFormat="false" ht="15" hidden="false" customHeight="false" outlineLevel="0" collapsed="false">
      <c r="A512" s="0" t="str">
        <f aca="false">IF('הדבקת לידים'!A512="","",IF(ISNUMBER('הדבקת לידים'!A512),IF(הגדרות!$E$2&gt;0,TEXT('הדבקת לידים'!A512,REPT("0",הגדרות!$E$2)),TEXT('הדבקת לידים'!A512,"0")),TRIM('הדבקת לידים'!A512)))</f>
        <v/>
      </c>
      <c r="B512" s="0" t="str">
        <f aca="false">IF('הדבקת לידים'!B512="","",IF(ISNUMBER('הדבקת לידים'!B512),IF(הגדרות!$E$3&gt;0,TEXT('הדבקת לידים'!B512,REPT("0",הגדרות!$E$3)),TEXT('הדבקת לידים'!B512,"0")),TRIM('הדבקת לידים'!B512)))</f>
        <v/>
      </c>
      <c r="C512" s="0" t="n">
        <f aca="false">IF(OR(A512&lt;&gt;"",B512&lt;&gt;""),1,0)</f>
        <v>0</v>
      </c>
      <c r="D512" s="0" t="str">
        <f aca="false">IF(C512=1,MOD(ABS(SIN(ROW()*12.9898+'הדבקת לידים'!$F$2*78.233+IFERROR(--RIGHT(A512,6),LEN(A512))*0.0137+IFERROR(--RIGHT(B512,6),LEN(B512))*0.0071))*43758.5453,1),"")</f>
        <v/>
      </c>
      <c r="E512" s="0" t="str">
        <f aca="false">IF(C512=1,INT(MOD(ABS(SIN(D512*7919.123+ROW()*0.618+'הדבקת לידים'!$F$2*1.3))*43758.5453,1)*1000000)*10000+ROW(),"")</f>
        <v/>
      </c>
      <c r="F512" s="0" t="str">
        <f aca="false">IF(E512="","",RANK(E512,$E$2:$E$5001,1))</f>
        <v/>
      </c>
      <c r="G512" s="0" t="n">
        <f aca="false">IF(A512="",0,IF(SUMPRODUCT(--($A$2:$A$5001=A512))&gt;1,1,0))</f>
        <v>0</v>
      </c>
      <c r="H512" s="0" t="n">
        <f aca="false">ROW()-1</f>
        <v>511</v>
      </c>
      <c r="I512" s="0" t="str">
        <f aca="false">IF(OR(הגדרות!$E$6=0,H512&gt;הגדרות!$E$5),"",IF(H512-1&lt;הגדרות!$E$8*(הגדרות!$E$7+1),INT((H512-1)/(הגדרות!$E$7+1)),הגדרות!$E$8+INT((H512-1-הגדרות!$E$8*(הגדרות!$E$7+1))/הגדרות!$E$7)))</f>
        <v/>
      </c>
      <c r="J512" s="0" t="str">
        <f aca="false">IF(I512="","",IF(H512-1&lt;הגדרות!$E$8*(הגדרות!$E$7+1),MOD(H512-1,הגדרות!$E$7+1),MOD(H512-1-הגדרות!$E$8*(הגדרות!$E$7+1),הגדרות!$E$7)))</f>
        <v/>
      </c>
      <c r="K512" s="0" t="str">
        <f aca="false">IF(I512="","",J512*הגדרות!$E$6+I512+1)</f>
        <v/>
      </c>
      <c r="L512" s="0" t="str">
        <f aca="false">IF(K512="","",MATCH(K512,$F$2:$F$5001,0))</f>
        <v/>
      </c>
      <c r="M512" s="0" t="str">
        <f aca="false">IF(I512="","",INDEX(הגדרות!$A$2:$A$21,MOD(I512+הגדרות!$E$9,הגדרות!$E$6)+1))</f>
        <v/>
      </c>
    </row>
    <row r="513" customFormat="false" ht="15" hidden="false" customHeight="false" outlineLevel="0" collapsed="false">
      <c r="A513" s="0" t="str">
        <f aca="false">IF('הדבקת לידים'!A513="","",IF(ISNUMBER('הדבקת לידים'!A513),IF(הגדרות!$E$2&gt;0,TEXT('הדבקת לידים'!A513,REPT("0",הגדרות!$E$2)),TEXT('הדבקת לידים'!A513,"0")),TRIM('הדבקת לידים'!A513)))</f>
        <v/>
      </c>
      <c r="B513" s="0" t="str">
        <f aca="false">IF('הדבקת לידים'!B513="","",IF(ISNUMBER('הדבקת לידים'!B513),IF(הגדרות!$E$3&gt;0,TEXT('הדבקת לידים'!B513,REPT("0",הגדרות!$E$3)),TEXT('הדבקת לידים'!B513,"0")),TRIM('הדבקת לידים'!B513)))</f>
        <v/>
      </c>
      <c r="C513" s="0" t="n">
        <f aca="false">IF(OR(A513&lt;&gt;"",B513&lt;&gt;""),1,0)</f>
        <v>0</v>
      </c>
      <c r="D513" s="0" t="str">
        <f aca="false">IF(C513=1,MOD(ABS(SIN(ROW()*12.9898+'הדבקת לידים'!$F$2*78.233+IFERROR(--RIGHT(A513,6),LEN(A513))*0.0137+IFERROR(--RIGHT(B513,6),LEN(B513))*0.0071))*43758.5453,1),"")</f>
        <v/>
      </c>
      <c r="E513" s="0" t="str">
        <f aca="false">IF(C513=1,INT(MOD(ABS(SIN(D513*7919.123+ROW()*0.618+'הדבקת לידים'!$F$2*1.3))*43758.5453,1)*1000000)*10000+ROW(),"")</f>
        <v/>
      </c>
      <c r="F513" s="0" t="str">
        <f aca="false">IF(E513="","",RANK(E513,$E$2:$E$5001,1))</f>
        <v/>
      </c>
      <c r="G513" s="0" t="n">
        <f aca="false">IF(A513="",0,IF(SUMPRODUCT(--($A$2:$A$5001=A513))&gt;1,1,0))</f>
        <v>0</v>
      </c>
      <c r="H513" s="0" t="n">
        <f aca="false">ROW()-1</f>
        <v>512</v>
      </c>
      <c r="I513" s="0" t="str">
        <f aca="false">IF(OR(הגדרות!$E$6=0,H513&gt;הגדרות!$E$5),"",IF(H513-1&lt;הגדרות!$E$8*(הגדרות!$E$7+1),INT((H513-1)/(הגדרות!$E$7+1)),הגדרות!$E$8+INT((H513-1-הגדרות!$E$8*(הגדרות!$E$7+1))/הגדרות!$E$7)))</f>
        <v/>
      </c>
      <c r="J513" s="0" t="str">
        <f aca="false">IF(I513="","",IF(H513-1&lt;הגדרות!$E$8*(הגדרות!$E$7+1),MOD(H513-1,הגדרות!$E$7+1),MOD(H513-1-הגדרות!$E$8*(הגדרות!$E$7+1),הגדרות!$E$7)))</f>
        <v/>
      </c>
      <c r="K513" s="0" t="str">
        <f aca="false">IF(I513="","",J513*הגדרות!$E$6+I513+1)</f>
        <v/>
      </c>
      <c r="L513" s="0" t="str">
        <f aca="false">IF(K513="","",MATCH(K513,$F$2:$F$5001,0))</f>
        <v/>
      </c>
      <c r="M513" s="0" t="str">
        <f aca="false">IF(I513="","",INDEX(הגדרות!$A$2:$A$21,MOD(I513+הגדרות!$E$9,הגדרות!$E$6)+1))</f>
        <v/>
      </c>
    </row>
    <row r="514" customFormat="false" ht="15" hidden="false" customHeight="false" outlineLevel="0" collapsed="false">
      <c r="A514" s="0" t="str">
        <f aca="false">IF('הדבקת לידים'!A514="","",IF(ISNUMBER('הדבקת לידים'!A514),IF(הגדרות!$E$2&gt;0,TEXT('הדבקת לידים'!A514,REPT("0",הגדרות!$E$2)),TEXT('הדבקת לידים'!A514,"0")),TRIM('הדבקת לידים'!A514)))</f>
        <v/>
      </c>
      <c r="B514" s="0" t="str">
        <f aca="false">IF('הדבקת לידים'!B514="","",IF(ISNUMBER('הדבקת לידים'!B514),IF(הגדרות!$E$3&gt;0,TEXT('הדבקת לידים'!B514,REPT("0",הגדרות!$E$3)),TEXT('הדבקת לידים'!B514,"0")),TRIM('הדבקת לידים'!B514)))</f>
        <v/>
      </c>
      <c r="C514" s="0" t="n">
        <f aca="false">IF(OR(A514&lt;&gt;"",B514&lt;&gt;""),1,0)</f>
        <v>0</v>
      </c>
      <c r="D514" s="0" t="str">
        <f aca="false">IF(C514=1,MOD(ABS(SIN(ROW()*12.9898+'הדבקת לידים'!$F$2*78.233+IFERROR(--RIGHT(A514,6),LEN(A514))*0.0137+IFERROR(--RIGHT(B514,6),LEN(B514))*0.0071))*43758.5453,1),"")</f>
        <v/>
      </c>
      <c r="E514" s="0" t="str">
        <f aca="false">IF(C514=1,INT(MOD(ABS(SIN(D514*7919.123+ROW()*0.618+'הדבקת לידים'!$F$2*1.3))*43758.5453,1)*1000000)*10000+ROW(),"")</f>
        <v/>
      </c>
      <c r="F514" s="0" t="str">
        <f aca="false">IF(E514="","",RANK(E514,$E$2:$E$5001,1))</f>
        <v/>
      </c>
      <c r="G514" s="0" t="n">
        <f aca="false">IF(A514="",0,IF(SUMPRODUCT(--($A$2:$A$5001=A514))&gt;1,1,0))</f>
        <v>0</v>
      </c>
      <c r="H514" s="0" t="n">
        <f aca="false">ROW()-1</f>
        <v>513</v>
      </c>
      <c r="I514" s="0" t="str">
        <f aca="false">IF(OR(הגדרות!$E$6=0,H514&gt;הגדרות!$E$5),"",IF(H514-1&lt;הגדרות!$E$8*(הגדרות!$E$7+1),INT((H514-1)/(הגדרות!$E$7+1)),הגדרות!$E$8+INT((H514-1-הגדרות!$E$8*(הגדרות!$E$7+1))/הגדרות!$E$7)))</f>
        <v/>
      </c>
      <c r="J514" s="0" t="str">
        <f aca="false">IF(I514="","",IF(H514-1&lt;הגדרות!$E$8*(הגדרות!$E$7+1),MOD(H514-1,הגדרות!$E$7+1),MOD(H514-1-הגדרות!$E$8*(הגדרות!$E$7+1),הגדרות!$E$7)))</f>
        <v/>
      </c>
      <c r="K514" s="0" t="str">
        <f aca="false">IF(I514="","",J514*הגדרות!$E$6+I514+1)</f>
        <v/>
      </c>
      <c r="L514" s="0" t="str">
        <f aca="false">IF(K514="","",MATCH(K514,$F$2:$F$5001,0))</f>
        <v/>
      </c>
      <c r="M514" s="0" t="str">
        <f aca="false">IF(I514="","",INDEX(הגדרות!$A$2:$A$21,MOD(I514+הגדרות!$E$9,הגדרות!$E$6)+1))</f>
        <v/>
      </c>
    </row>
    <row r="515" customFormat="false" ht="15" hidden="false" customHeight="false" outlineLevel="0" collapsed="false">
      <c r="A515" s="0" t="str">
        <f aca="false">IF('הדבקת לידים'!A515="","",IF(ISNUMBER('הדבקת לידים'!A515),IF(הגדרות!$E$2&gt;0,TEXT('הדבקת לידים'!A515,REPT("0",הגדרות!$E$2)),TEXT('הדבקת לידים'!A515,"0")),TRIM('הדבקת לידים'!A515)))</f>
        <v/>
      </c>
      <c r="B515" s="0" t="str">
        <f aca="false">IF('הדבקת לידים'!B515="","",IF(ISNUMBER('הדבקת לידים'!B515),IF(הגדרות!$E$3&gt;0,TEXT('הדבקת לידים'!B515,REPT("0",הגדרות!$E$3)),TEXT('הדבקת לידים'!B515,"0")),TRIM('הדבקת לידים'!B515)))</f>
        <v/>
      </c>
      <c r="C515" s="0" t="n">
        <f aca="false">IF(OR(A515&lt;&gt;"",B515&lt;&gt;""),1,0)</f>
        <v>0</v>
      </c>
      <c r="D515" s="0" t="str">
        <f aca="false">IF(C515=1,MOD(ABS(SIN(ROW()*12.9898+'הדבקת לידים'!$F$2*78.233+IFERROR(--RIGHT(A515,6),LEN(A515))*0.0137+IFERROR(--RIGHT(B515,6),LEN(B515))*0.0071))*43758.5453,1),"")</f>
        <v/>
      </c>
      <c r="E515" s="0" t="str">
        <f aca="false">IF(C515=1,INT(MOD(ABS(SIN(D515*7919.123+ROW()*0.618+'הדבקת לידים'!$F$2*1.3))*43758.5453,1)*1000000)*10000+ROW(),"")</f>
        <v/>
      </c>
      <c r="F515" s="0" t="str">
        <f aca="false">IF(E515="","",RANK(E515,$E$2:$E$5001,1))</f>
        <v/>
      </c>
      <c r="G515" s="0" t="n">
        <f aca="false">IF(A515="",0,IF(SUMPRODUCT(--($A$2:$A$5001=A515))&gt;1,1,0))</f>
        <v>0</v>
      </c>
      <c r="H515" s="0" t="n">
        <f aca="false">ROW()-1</f>
        <v>514</v>
      </c>
      <c r="I515" s="0" t="str">
        <f aca="false">IF(OR(הגדרות!$E$6=0,H515&gt;הגדרות!$E$5),"",IF(H515-1&lt;הגדרות!$E$8*(הגדרות!$E$7+1),INT((H515-1)/(הגדרות!$E$7+1)),הגדרות!$E$8+INT((H515-1-הגדרות!$E$8*(הגדרות!$E$7+1))/הגדרות!$E$7)))</f>
        <v/>
      </c>
      <c r="J515" s="0" t="str">
        <f aca="false">IF(I515="","",IF(H515-1&lt;הגדרות!$E$8*(הגדרות!$E$7+1),MOD(H515-1,הגדרות!$E$7+1),MOD(H515-1-הגדרות!$E$8*(הגדרות!$E$7+1),הגדרות!$E$7)))</f>
        <v/>
      </c>
      <c r="K515" s="0" t="str">
        <f aca="false">IF(I515="","",J515*הגדרות!$E$6+I515+1)</f>
        <v/>
      </c>
      <c r="L515" s="0" t="str">
        <f aca="false">IF(K515="","",MATCH(K515,$F$2:$F$5001,0))</f>
        <v/>
      </c>
      <c r="M515" s="0" t="str">
        <f aca="false">IF(I515="","",INDEX(הגדרות!$A$2:$A$21,MOD(I515+הגדרות!$E$9,הגדרות!$E$6)+1))</f>
        <v/>
      </c>
    </row>
    <row r="516" customFormat="false" ht="15" hidden="false" customHeight="false" outlineLevel="0" collapsed="false">
      <c r="A516" s="0" t="str">
        <f aca="false">IF('הדבקת לידים'!A516="","",IF(ISNUMBER('הדבקת לידים'!A516),IF(הגדרות!$E$2&gt;0,TEXT('הדבקת לידים'!A516,REPT("0",הגדרות!$E$2)),TEXT('הדבקת לידים'!A516,"0")),TRIM('הדבקת לידים'!A516)))</f>
        <v/>
      </c>
      <c r="B516" s="0" t="str">
        <f aca="false">IF('הדבקת לידים'!B516="","",IF(ISNUMBER('הדבקת לידים'!B516),IF(הגדרות!$E$3&gt;0,TEXT('הדבקת לידים'!B516,REPT("0",הגדרות!$E$3)),TEXT('הדבקת לידים'!B516,"0")),TRIM('הדבקת לידים'!B516)))</f>
        <v/>
      </c>
      <c r="C516" s="0" t="n">
        <f aca="false">IF(OR(A516&lt;&gt;"",B516&lt;&gt;""),1,0)</f>
        <v>0</v>
      </c>
      <c r="D516" s="0" t="str">
        <f aca="false">IF(C516=1,MOD(ABS(SIN(ROW()*12.9898+'הדבקת לידים'!$F$2*78.233+IFERROR(--RIGHT(A516,6),LEN(A516))*0.0137+IFERROR(--RIGHT(B516,6),LEN(B516))*0.0071))*43758.5453,1),"")</f>
        <v/>
      </c>
      <c r="E516" s="0" t="str">
        <f aca="false">IF(C516=1,INT(MOD(ABS(SIN(D516*7919.123+ROW()*0.618+'הדבקת לידים'!$F$2*1.3))*43758.5453,1)*1000000)*10000+ROW(),"")</f>
        <v/>
      </c>
      <c r="F516" s="0" t="str">
        <f aca="false">IF(E516="","",RANK(E516,$E$2:$E$5001,1))</f>
        <v/>
      </c>
      <c r="G516" s="0" t="n">
        <f aca="false">IF(A516="",0,IF(SUMPRODUCT(--($A$2:$A$5001=A516))&gt;1,1,0))</f>
        <v>0</v>
      </c>
      <c r="H516" s="0" t="n">
        <f aca="false">ROW()-1</f>
        <v>515</v>
      </c>
      <c r="I516" s="0" t="str">
        <f aca="false">IF(OR(הגדרות!$E$6=0,H516&gt;הגדרות!$E$5),"",IF(H516-1&lt;הגדרות!$E$8*(הגדרות!$E$7+1),INT((H516-1)/(הגדרות!$E$7+1)),הגדרות!$E$8+INT((H516-1-הגדרות!$E$8*(הגדרות!$E$7+1))/הגדרות!$E$7)))</f>
        <v/>
      </c>
      <c r="J516" s="0" t="str">
        <f aca="false">IF(I516="","",IF(H516-1&lt;הגדרות!$E$8*(הגדרות!$E$7+1),MOD(H516-1,הגדרות!$E$7+1),MOD(H516-1-הגדרות!$E$8*(הגדרות!$E$7+1),הגדרות!$E$7)))</f>
        <v/>
      </c>
      <c r="K516" s="0" t="str">
        <f aca="false">IF(I516="","",J516*הגדרות!$E$6+I516+1)</f>
        <v/>
      </c>
      <c r="L516" s="0" t="str">
        <f aca="false">IF(K516="","",MATCH(K516,$F$2:$F$5001,0))</f>
        <v/>
      </c>
      <c r="M516" s="0" t="str">
        <f aca="false">IF(I516="","",INDEX(הגדרות!$A$2:$A$21,MOD(I516+הגדרות!$E$9,הגדרות!$E$6)+1))</f>
        <v/>
      </c>
    </row>
    <row r="517" customFormat="false" ht="15" hidden="false" customHeight="false" outlineLevel="0" collapsed="false">
      <c r="A517" s="0" t="str">
        <f aca="false">IF('הדבקת לידים'!A517="","",IF(ISNUMBER('הדבקת לידים'!A517),IF(הגדרות!$E$2&gt;0,TEXT('הדבקת לידים'!A517,REPT("0",הגדרות!$E$2)),TEXT('הדבקת לידים'!A517,"0")),TRIM('הדבקת לידים'!A517)))</f>
        <v/>
      </c>
      <c r="B517" s="0" t="str">
        <f aca="false">IF('הדבקת לידים'!B517="","",IF(ISNUMBER('הדבקת לידים'!B517),IF(הגדרות!$E$3&gt;0,TEXT('הדבקת לידים'!B517,REPT("0",הגדרות!$E$3)),TEXT('הדבקת לידים'!B517,"0")),TRIM('הדבקת לידים'!B517)))</f>
        <v/>
      </c>
      <c r="C517" s="0" t="n">
        <f aca="false">IF(OR(A517&lt;&gt;"",B517&lt;&gt;""),1,0)</f>
        <v>0</v>
      </c>
      <c r="D517" s="0" t="str">
        <f aca="false">IF(C517=1,MOD(ABS(SIN(ROW()*12.9898+'הדבקת לידים'!$F$2*78.233+IFERROR(--RIGHT(A517,6),LEN(A517))*0.0137+IFERROR(--RIGHT(B517,6),LEN(B517))*0.0071))*43758.5453,1),"")</f>
        <v/>
      </c>
      <c r="E517" s="0" t="str">
        <f aca="false">IF(C517=1,INT(MOD(ABS(SIN(D517*7919.123+ROW()*0.618+'הדבקת לידים'!$F$2*1.3))*43758.5453,1)*1000000)*10000+ROW(),"")</f>
        <v/>
      </c>
      <c r="F517" s="0" t="str">
        <f aca="false">IF(E517="","",RANK(E517,$E$2:$E$5001,1))</f>
        <v/>
      </c>
      <c r="G517" s="0" t="n">
        <f aca="false">IF(A517="",0,IF(SUMPRODUCT(--($A$2:$A$5001=A517))&gt;1,1,0))</f>
        <v>0</v>
      </c>
      <c r="H517" s="0" t="n">
        <f aca="false">ROW()-1</f>
        <v>516</v>
      </c>
      <c r="I517" s="0" t="str">
        <f aca="false">IF(OR(הגדרות!$E$6=0,H517&gt;הגדרות!$E$5),"",IF(H517-1&lt;הגדרות!$E$8*(הגדרות!$E$7+1),INT((H517-1)/(הגדרות!$E$7+1)),הגדרות!$E$8+INT((H517-1-הגדרות!$E$8*(הגדרות!$E$7+1))/הגדרות!$E$7)))</f>
        <v/>
      </c>
      <c r="J517" s="0" t="str">
        <f aca="false">IF(I517="","",IF(H517-1&lt;הגדרות!$E$8*(הגדרות!$E$7+1),MOD(H517-1,הגדרות!$E$7+1),MOD(H517-1-הגדרות!$E$8*(הגדרות!$E$7+1),הגדרות!$E$7)))</f>
        <v/>
      </c>
      <c r="K517" s="0" t="str">
        <f aca="false">IF(I517="","",J517*הגדרות!$E$6+I517+1)</f>
        <v/>
      </c>
      <c r="L517" s="0" t="str">
        <f aca="false">IF(K517="","",MATCH(K517,$F$2:$F$5001,0))</f>
        <v/>
      </c>
      <c r="M517" s="0" t="str">
        <f aca="false">IF(I517="","",INDEX(הגדרות!$A$2:$A$21,MOD(I517+הגדרות!$E$9,הגדרות!$E$6)+1))</f>
        <v/>
      </c>
    </row>
    <row r="518" customFormat="false" ht="15" hidden="false" customHeight="false" outlineLevel="0" collapsed="false">
      <c r="A518" s="0" t="str">
        <f aca="false">IF('הדבקת לידים'!A518="","",IF(ISNUMBER('הדבקת לידים'!A518),IF(הגדרות!$E$2&gt;0,TEXT('הדבקת לידים'!A518,REPT("0",הגדרות!$E$2)),TEXT('הדבקת לידים'!A518,"0")),TRIM('הדבקת לידים'!A518)))</f>
        <v/>
      </c>
      <c r="B518" s="0" t="str">
        <f aca="false">IF('הדבקת לידים'!B518="","",IF(ISNUMBER('הדבקת לידים'!B518),IF(הגדרות!$E$3&gt;0,TEXT('הדבקת לידים'!B518,REPT("0",הגדרות!$E$3)),TEXT('הדבקת לידים'!B518,"0")),TRIM('הדבקת לידים'!B518)))</f>
        <v/>
      </c>
      <c r="C518" s="0" t="n">
        <f aca="false">IF(OR(A518&lt;&gt;"",B518&lt;&gt;""),1,0)</f>
        <v>0</v>
      </c>
      <c r="D518" s="0" t="str">
        <f aca="false">IF(C518=1,MOD(ABS(SIN(ROW()*12.9898+'הדבקת לידים'!$F$2*78.233+IFERROR(--RIGHT(A518,6),LEN(A518))*0.0137+IFERROR(--RIGHT(B518,6),LEN(B518))*0.0071))*43758.5453,1),"")</f>
        <v/>
      </c>
      <c r="E518" s="0" t="str">
        <f aca="false">IF(C518=1,INT(MOD(ABS(SIN(D518*7919.123+ROW()*0.618+'הדבקת לידים'!$F$2*1.3))*43758.5453,1)*1000000)*10000+ROW(),"")</f>
        <v/>
      </c>
      <c r="F518" s="0" t="str">
        <f aca="false">IF(E518="","",RANK(E518,$E$2:$E$5001,1))</f>
        <v/>
      </c>
      <c r="G518" s="0" t="n">
        <f aca="false">IF(A518="",0,IF(SUMPRODUCT(--($A$2:$A$5001=A518))&gt;1,1,0))</f>
        <v>0</v>
      </c>
      <c r="H518" s="0" t="n">
        <f aca="false">ROW()-1</f>
        <v>517</v>
      </c>
      <c r="I518" s="0" t="str">
        <f aca="false">IF(OR(הגדרות!$E$6=0,H518&gt;הגדרות!$E$5),"",IF(H518-1&lt;הגדרות!$E$8*(הגדרות!$E$7+1),INT((H518-1)/(הגדרות!$E$7+1)),הגדרות!$E$8+INT((H518-1-הגדרות!$E$8*(הגדרות!$E$7+1))/הגדרות!$E$7)))</f>
        <v/>
      </c>
      <c r="J518" s="0" t="str">
        <f aca="false">IF(I518="","",IF(H518-1&lt;הגדרות!$E$8*(הגדרות!$E$7+1),MOD(H518-1,הגדרות!$E$7+1),MOD(H518-1-הגדרות!$E$8*(הגדרות!$E$7+1),הגדרות!$E$7)))</f>
        <v/>
      </c>
      <c r="K518" s="0" t="str">
        <f aca="false">IF(I518="","",J518*הגדרות!$E$6+I518+1)</f>
        <v/>
      </c>
      <c r="L518" s="0" t="str">
        <f aca="false">IF(K518="","",MATCH(K518,$F$2:$F$5001,0))</f>
        <v/>
      </c>
      <c r="M518" s="0" t="str">
        <f aca="false">IF(I518="","",INDEX(הגדרות!$A$2:$A$21,MOD(I518+הגדרות!$E$9,הגדרות!$E$6)+1))</f>
        <v/>
      </c>
    </row>
    <row r="519" customFormat="false" ht="15" hidden="false" customHeight="false" outlineLevel="0" collapsed="false">
      <c r="A519" s="0" t="str">
        <f aca="false">IF('הדבקת לידים'!A519="","",IF(ISNUMBER('הדבקת לידים'!A519),IF(הגדרות!$E$2&gt;0,TEXT('הדבקת לידים'!A519,REPT("0",הגדרות!$E$2)),TEXT('הדבקת לידים'!A519,"0")),TRIM('הדבקת לידים'!A519)))</f>
        <v/>
      </c>
      <c r="B519" s="0" t="str">
        <f aca="false">IF('הדבקת לידים'!B519="","",IF(ISNUMBER('הדבקת לידים'!B519),IF(הגדרות!$E$3&gt;0,TEXT('הדבקת לידים'!B519,REPT("0",הגדרות!$E$3)),TEXT('הדבקת לידים'!B519,"0")),TRIM('הדבקת לידים'!B519)))</f>
        <v/>
      </c>
      <c r="C519" s="0" t="n">
        <f aca="false">IF(OR(A519&lt;&gt;"",B519&lt;&gt;""),1,0)</f>
        <v>0</v>
      </c>
      <c r="D519" s="0" t="str">
        <f aca="false">IF(C519=1,MOD(ABS(SIN(ROW()*12.9898+'הדבקת לידים'!$F$2*78.233+IFERROR(--RIGHT(A519,6),LEN(A519))*0.0137+IFERROR(--RIGHT(B519,6),LEN(B519))*0.0071))*43758.5453,1),"")</f>
        <v/>
      </c>
      <c r="E519" s="0" t="str">
        <f aca="false">IF(C519=1,INT(MOD(ABS(SIN(D519*7919.123+ROW()*0.618+'הדבקת לידים'!$F$2*1.3))*43758.5453,1)*1000000)*10000+ROW(),"")</f>
        <v/>
      </c>
      <c r="F519" s="0" t="str">
        <f aca="false">IF(E519="","",RANK(E519,$E$2:$E$5001,1))</f>
        <v/>
      </c>
      <c r="G519" s="0" t="n">
        <f aca="false">IF(A519="",0,IF(SUMPRODUCT(--($A$2:$A$5001=A519))&gt;1,1,0))</f>
        <v>0</v>
      </c>
      <c r="H519" s="0" t="n">
        <f aca="false">ROW()-1</f>
        <v>518</v>
      </c>
      <c r="I519" s="0" t="str">
        <f aca="false">IF(OR(הגדרות!$E$6=0,H519&gt;הגדרות!$E$5),"",IF(H519-1&lt;הגדרות!$E$8*(הגדרות!$E$7+1),INT((H519-1)/(הגדרות!$E$7+1)),הגדרות!$E$8+INT((H519-1-הגדרות!$E$8*(הגדרות!$E$7+1))/הגדרות!$E$7)))</f>
        <v/>
      </c>
      <c r="J519" s="0" t="str">
        <f aca="false">IF(I519="","",IF(H519-1&lt;הגדרות!$E$8*(הגדרות!$E$7+1),MOD(H519-1,הגדרות!$E$7+1),MOD(H519-1-הגדרות!$E$8*(הגדרות!$E$7+1),הגדרות!$E$7)))</f>
        <v/>
      </c>
      <c r="K519" s="0" t="str">
        <f aca="false">IF(I519="","",J519*הגדרות!$E$6+I519+1)</f>
        <v/>
      </c>
      <c r="L519" s="0" t="str">
        <f aca="false">IF(K519="","",MATCH(K519,$F$2:$F$5001,0))</f>
        <v/>
      </c>
      <c r="M519" s="0" t="str">
        <f aca="false">IF(I519="","",INDEX(הגדרות!$A$2:$A$21,MOD(I519+הגדרות!$E$9,הגדרות!$E$6)+1))</f>
        <v/>
      </c>
    </row>
    <row r="520" customFormat="false" ht="15" hidden="false" customHeight="false" outlineLevel="0" collapsed="false">
      <c r="A520" s="0" t="str">
        <f aca="false">IF('הדבקת לידים'!A520="","",IF(ISNUMBER('הדבקת לידים'!A520),IF(הגדרות!$E$2&gt;0,TEXT('הדבקת לידים'!A520,REPT("0",הגדרות!$E$2)),TEXT('הדבקת לידים'!A520,"0")),TRIM('הדבקת לידים'!A520)))</f>
        <v/>
      </c>
      <c r="B520" s="0" t="str">
        <f aca="false">IF('הדבקת לידים'!B520="","",IF(ISNUMBER('הדבקת לידים'!B520),IF(הגדרות!$E$3&gt;0,TEXT('הדבקת לידים'!B520,REPT("0",הגדרות!$E$3)),TEXT('הדבקת לידים'!B520,"0")),TRIM('הדבקת לידים'!B520)))</f>
        <v/>
      </c>
      <c r="C520" s="0" t="n">
        <f aca="false">IF(OR(A520&lt;&gt;"",B520&lt;&gt;""),1,0)</f>
        <v>0</v>
      </c>
      <c r="D520" s="0" t="str">
        <f aca="false">IF(C520=1,MOD(ABS(SIN(ROW()*12.9898+'הדבקת לידים'!$F$2*78.233+IFERROR(--RIGHT(A520,6),LEN(A520))*0.0137+IFERROR(--RIGHT(B520,6),LEN(B520))*0.0071))*43758.5453,1),"")</f>
        <v/>
      </c>
      <c r="E520" s="0" t="str">
        <f aca="false">IF(C520=1,INT(MOD(ABS(SIN(D520*7919.123+ROW()*0.618+'הדבקת לידים'!$F$2*1.3))*43758.5453,1)*1000000)*10000+ROW(),"")</f>
        <v/>
      </c>
      <c r="F520" s="0" t="str">
        <f aca="false">IF(E520="","",RANK(E520,$E$2:$E$5001,1))</f>
        <v/>
      </c>
      <c r="G520" s="0" t="n">
        <f aca="false">IF(A520="",0,IF(SUMPRODUCT(--($A$2:$A$5001=A520))&gt;1,1,0))</f>
        <v>0</v>
      </c>
      <c r="H520" s="0" t="n">
        <f aca="false">ROW()-1</f>
        <v>519</v>
      </c>
      <c r="I520" s="0" t="str">
        <f aca="false">IF(OR(הגדרות!$E$6=0,H520&gt;הגדרות!$E$5),"",IF(H520-1&lt;הגדרות!$E$8*(הגדרות!$E$7+1),INT((H520-1)/(הגדרות!$E$7+1)),הגדרות!$E$8+INT((H520-1-הגדרות!$E$8*(הגדרות!$E$7+1))/הגדרות!$E$7)))</f>
        <v/>
      </c>
      <c r="J520" s="0" t="str">
        <f aca="false">IF(I520="","",IF(H520-1&lt;הגדרות!$E$8*(הגדרות!$E$7+1),MOD(H520-1,הגדרות!$E$7+1),MOD(H520-1-הגדרות!$E$8*(הגדרות!$E$7+1),הגדרות!$E$7)))</f>
        <v/>
      </c>
      <c r="K520" s="0" t="str">
        <f aca="false">IF(I520="","",J520*הגדרות!$E$6+I520+1)</f>
        <v/>
      </c>
      <c r="L520" s="0" t="str">
        <f aca="false">IF(K520="","",MATCH(K520,$F$2:$F$5001,0))</f>
        <v/>
      </c>
      <c r="M520" s="0" t="str">
        <f aca="false">IF(I520="","",INDEX(הגדרות!$A$2:$A$21,MOD(I520+הגדרות!$E$9,הגדרות!$E$6)+1))</f>
        <v/>
      </c>
    </row>
    <row r="521" customFormat="false" ht="15" hidden="false" customHeight="false" outlineLevel="0" collapsed="false">
      <c r="A521" s="0" t="str">
        <f aca="false">IF('הדבקת לידים'!A521="","",IF(ISNUMBER('הדבקת לידים'!A521),IF(הגדרות!$E$2&gt;0,TEXT('הדבקת לידים'!A521,REPT("0",הגדרות!$E$2)),TEXT('הדבקת לידים'!A521,"0")),TRIM('הדבקת לידים'!A521)))</f>
        <v/>
      </c>
      <c r="B521" s="0" t="str">
        <f aca="false">IF('הדבקת לידים'!B521="","",IF(ISNUMBER('הדבקת לידים'!B521),IF(הגדרות!$E$3&gt;0,TEXT('הדבקת לידים'!B521,REPT("0",הגדרות!$E$3)),TEXT('הדבקת לידים'!B521,"0")),TRIM('הדבקת לידים'!B521)))</f>
        <v/>
      </c>
      <c r="C521" s="0" t="n">
        <f aca="false">IF(OR(A521&lt;&gt;"",B521&lt;&gt;""),1,0)</f>
        <v>0</v>
      </c>
      <c r="D521" s="0" t="str">
        <f aca="false">IF(C521=1,MOD(ABS(SIN(ROW()*12.9898+'הדבקת לידים'!$F$2*78.233+IFERROR(--RIGHT(A521,6),LEN(A521))*0.0137+IFERROR(--RIGHT(B521,6),LEN(B521))*0.0071))*43758.5453,1),"")</f>
        <v/>
      </c>
      <c r="E521" s="0" t="str">
        <f aca="false">IF(C521=1,INT(MOD(ABS(SIN(D521*7919.123+ROW()*0.618+'הדבקת לידים'!$F$2*1.3))*43758.5453,1)*1000000)*10000+ROW(),"")</f>
        <v/>
      </c>
      <c r="F521" s="0" t="str">
        <f aca="false">IF(E521="","",RANK(E521,$E$2:$E$5001,1))</f>
        <v/>
      </c>
      <c r="G521" s="0" t="n">
        <f aca="false">IF(A521="",0,IF(SUMPRODUCT(--($A$2:$A$5001=A521))&gt;1,1,0))</f>
        <v>0</v>
      </c>
      <c r="H521" s="0" t="n">
        <f aca="false">ROW()-1</f>
        <v>520</v>
      </c>
      <c r="I521" s="0" t="str">
        <f aca="false">IF(OR(הגדרות!$E$6=0,H521&gt;הגדרות!$E$5),"",IF(H521-1&lt;הגדרות!$E$8*(הגדרות!$E$7+1),INT((H521-1)/(הגדרות!$E$7+1)),הגדרות!$E$8+INT((H521-1-הגדרות!$E$8*(הגדרות!$E$7+1))/הגדרות!$E$7)))</f>
        <v/>
      </c>
      <c r="J521" s="0" t="str">
        <f aca="false">IF(I521="","",IF(H521-1&lt;הגדרות!$E$8*(הגדרות!$E$7+1),MOD(H521-1,הגדרות!$E$7+1),MOD(H521-1-הגדרות!$E$8*(הגדרות!$E$7+1),הגדרות!$E$7)))</f>
        <v/>
      </c>
      <c r="K521" s="0" t="str">
        <f aca="false">IF(I521="","",J521*הגדרות!$E$6+I521+1)</f>
        <v/>
      </c>
      <c r="L521" s="0" t="str">
        <f aca="false">IF(K521="","",MATCH(K521,$F$2:$F$5001,0))</f>
        <v/>
      </c>
      <c r="M521" s="0" t="str">
        <f aca="false">IF(I521="","",INDEX(הגדרות!$A$2:$A$21,MOD(I521+הגדרות!$E$9,הגדרות!$E$6)+1))</f>
        <v/>
      </c>
    </row>
    <row r="522" customFormat="false" ht="15" hidden="false" customHeight="false" outlineLevel="0" collapsed="false">
      <c r="A522" s="0" t="str">
        <f aca="false">IF('הדבקת לידים'!A522="","",IF(ISNUMBER('הדבקת לידים'!A522),IF(הגדרות!$E$2&gt;0,TEXT('הדבקת לידים'!A522,REPT("0",הגדרות!$E$2)),TEXT('הדבקת לידים'!A522,"0")),TRIM('הדבקת לידים'!A522)))</f>
        <v/>
      </c>
      <c r="B522" s="0" t="str">
        <f aca="false">IF('הדבקת לידים'!B522="","",IF(ISNUMBER('הדבקת לידים'!B522),IF(הגדרות!$E$3&gt;0,TEXT('הדבקת לידים'!B522,REPT("0",הגדרות!$E$3)),TEXT('הדבקת לידים'!B522,"0")),TRIM('הדבקת לידים'!B522)))</f>
        <v/>
      </c>
      <c r="C522" s="0" t="n">
        <f aca="false">IF(OR(A522&lt;&gt;"",B522&lt;&gt;""),1,0)</f>
        <v>0</v>
      </c>
      <c r="D522" s="0" t="str">
        <f aca="false">IF(C522=1,MOD(ABS(SIN(ROW()*12.9898+'הדבקת לידים'!$F$2*78.233+IFERROR(--RIGHT(A522,6),LEN(A522))*0.0137+IFERROR(--RIGHT(B522,6),LEN(B522))*0.0071))*43758.5453,1),"")</f>
        <v/>
      </c>
      <c r="E522" s="0" t="str">
        <f aca="false">IF(C522=1,INT(MOD(ABS(SIN(D522*7919.123+ROW()*0.618+'הדבקת לידים'!$F$2*1.3))*43758.5453,1)*1000000)*10000+ROW(),"")</f>
        <v/>
      </c>
      <c r="F522" s="0" t="str">
        <f aca="false">IF(E522="","",RANK(E522,$E$2:$E$5001,1))</f>
        <v/>
      </c>
      <c r="G522" s="0" t="n">
        <f aca="false">IF(A522="",0,IF(SUMPRODUCT(--($A$2:$A$5001=A522))&gt;1,1,0))</f>
        <v>0</v>
      </c>
      <c r="H522" s="0" t="n">
        <f aca="false">ROW()-1</f>
        <v>521</v>
      </c>
      <c r="I522" s="0" t="str">
        <f aca="false">IF(OR(הגדרות!$E$6=0,H522&gt;הגדרות!$E$5),"",IF(H522-1&lt;הגדרות!$E$8*(הגדרות!$E$7+1),INT((H522-1)/(הגדרות!$E$7+1)),הגדרות!$E$8+INT((H522-1-הגדרות!$E$8*(הגדרות!$E$7+1))/הגדרות!$E$7)))</f>
        <v/>
      </c>
      <c r="J522" s="0" t="str">
        <f aca="false">IF(I522="","",IF(H522-1&lt;הגדרות!$E$8*(הגדרות!$E$7+1),MOD(H522-1,הגדרות!$E$7+1),MOD(H522-1-הגדרות!$E$8*(הגדרות!$E$7+1),הגדרות!$E$7)))</f>
        <v/>
      </c>
      <c r="K522" s="0" t="str">
        <f aca="false">IF(I522="","",J522*הגדרות!$E$6+I522+1)</f>
        <v/>
      </c>
      <c r="L522" s="0" t="str">
        <f aca="false">IF(K522="","",MATCH(K522,$F$2:$F$5001,0))</f>
        <v/>
      </c>
      <c r="M522" s="0" t="str">
        <f aca="false">IF(I522="","",INDEX(הגדרות!$A$2:$A$21,MOD(I522+הגדרות!$E$9,הגדרות!$E$6)+1))</f>
        <v/>
      </c>
    </row>
    <row r="523" customFormat="false" ht="15" hidden="false" customHeight="false" outlineLevel="0" collapsed="false">
      <c r="A523" s="0" t="str">
        <f aca="false">IF('הדבקת לידים'!A523="","",IF(ISNUMBER('הדבקת לידים'!A523),IF(הגדרות!$E$2&gt;0,TEXT('הדבקת לידים'!A523,REPT("0",הגדרות!$E$2)),TEXT('הדבקת לידים'!A523,"0")),TRIM('הדבקת לידים'!A523)))</f>
        <v/>
      </c>
      <c r="B523" s="0" t="str">
        <f aca="false">IF('הדבקת לידים'!B523="","",IF(ISNUMBER('הדבקת לידים'!B523),IF(הגדרות!$E$3&gt;0,TEXT('הדבקת לידים'!B523,REPT("0",הגדרות!$E$3)),TEXT('הדבקת לידים'!B523,"0")),TRIM('הדבקת לידים'!B523)))</f>
        <v/>
      </c>
      <c r="C523" s="0" t="n">
        <f aca="false">IF(OR(A523&lt;&gt;"",B523&lt;&gt;""),1,0)</f>
        <v>0</v>
      </c>
      <c r="D523" s="0" t="str">
        <f aca="false">IF(C523=1,MOD(ABS(SIN(ROW()*12.9898+'הדבקת לידים'!$F$2*78.233+IFERROR(--RIGHT(A523,6),LEN(A523))*0.0137+IFERROR(--RIGHT(B523,6),LEN(B523))*0.0071))*43758.5453,1),"")</f>
        <v/>
      </c>
      <c r="E523" s="0" t="str">
        <f aca="false">IF(C523=1,INT(MOD(ABS(SIN(D523*7919.123+ROW()*0.618+'הדבקת לידים'!$F$2*1.3))*43758.5453,1)*1000000)*10000+ROW(),"")</f>
        <v/>
      </c>
      <c r="F523" s="0" t="str">
        <f aca="false">IF(E523="","",RANK(E523,$E$2:$E$5001,1))</f>
        <v/>
      </c>
      <c r="G523" s="0" t="n">
        <f aca="false">IF(A523="",0,IF(SUMPRODUCT(--($A$2:$A$5001=A523))&gt;1,1,0))</f>
        <v>0</v>
      </c>
      <c r="H523" s="0" t="n">
        <f aca="false">ROW()-1</f>
        <v>522</v>
      </c>
      <c r="I523" s="0" t="str">
        <f aca="false">IF(OR(הגדרות!$E$6=0,H523&gt;הגדרות!$E$5),"",IF(H523-1&lt;הגדרות!$E$8*(הגדרות!$E$7+1),INT((H523-1)/(הגדרות!$E$7+1)),הגדרות!$E$8+INT((H523-1-הגדרות!$E$8*(הגדרות!$E$7+1))/הגדרות!$E$7)))</f>
        <v/>
      </c>
      <c r="J523" s="0" t="str">
        <f aca="false">IF(I523="","",IF(H523-1&lt;הגדרות!$E$8*(הגדרות!$E$7+1),MOD(H523-1,הגדרות!$E$7+1),MOD(H523-1-הגדרות!$E$8*(הגדרות!$E$7+1),הגדרות!$E$7)))</f>
        <v/>
      </c>
      <c r="K523" s="0" t="str">
        <f aca="false">IF(I523="","",J523*הגדרות!$E$6+I523+1)</f>
        <v/>
      </c>
      <c r="L523" s="0" t="str">
        <f aca="false">IF(K523="","",MATCH(K523,$F$2:$F$5001,0))</f>
        <v/>
      </c>
      <c r="M523" s="0" t="str">
        <f aca="false">IF(I523="","",INDEX(הגדרות!$A$2:$A$21,MOD(I523+הגדרות!$E$9,הגדרות!$E$6)+1))</f>
        <v/>
      </c>
    </row>
    <row r="524" customFormat="false" ht="15" hidden="false" customHeight="false" outlineLevel="0" collapsed="false">
      <c r="A524" s="0" t="str">
        <f aca="false">IF('הדבקת לידים'!A524="","",IF(ISNUMBER('הדבקת לידים'!A524),IF(הגדרות!$E$2&gt;0,TEXT('הדבקת לידים'!A524,REPT("0",הגדרות!$E$2)),TEXT('הדבקת לידים'!A524,"0")),TRIM('הדבקת לידים'!A524)))</f>
        <v/>
      </c>
      <c r="B524" s="0" t="str">
        <f aca="false">IF('הדבקת לידים'!B524="","",IF(ISNUMBER('הדבקת לידים'!B524),IF(הגדרות!$E$3&gt;0,TEXT('הדבקת לידים'!B524,REPT("0",הגדרות!$E$3)),TEXT('הדבקת לידים'!B524,"0")),TRIM('הדבקת לידים'!B524)))</f>
        <v/>
      </c>
      <c r="C524" s="0" t="n">
        <f aca="false">IF(OR(A524&lt;&gt;"",B524&lt;&gt;""),1,0)</f>
        <v>0</v>
      </c>
      <c r="D524" s="0" t="str">
        <f aca="false">IF(C524=1,MOD(ABS(SIN(ROW()*12.9898+'הדבקת לידים'!$F$2*78.233+IFERROR(--RIGHT(A524,6),LEN(A524))*0.0137+IFERROR(--RIGHT(B524,6),LEN(B524))*0.0071))*43758.5453,1),"")</f>
        <v/>
      </c>
      <c r="E524" s="0" t="str">
        <f aca="false">IF(C524=1,INT(MOD(ABS(SIN(D524*7919.123+ROW()*0.618+'הדבקת לידים'!$F$2*1.3))*43758.5453,1)*1000000)*10000+ROW(),"")</f>
        <v/>
      </c>
      <c r="F524" s="0" t="str">
        <f aca="false">IF(E524="","",RANK(E524,$E$2:$E$5001,1))</f>
        <v/>
      </c>
      <c r="G524" s="0" t="n">
        <f aca="false">IF(A524="",0,IF(SUMPRODUCT(--($A$2:$A$5001=A524))&gt;1,1,0))</f>
        <v>0</v>
      </c>
      <c r="H524" s="0" t="n">
        <f aca="false">ROW()-1</f>
        <v>523</v>
      </c>
      <c r="I524" s="0" t="str">
        <f aca="false">IF(OR(הגדרות!$E$6=0,H524&gt;הגדרות!$E$5),"",IF(H524-1&lt;הגדרות!$E$8*(הגדרות!$E$7+1),INT((H524-1)/(הגדרות!$E$7+1)),הגדרות!$E$8+INT((H524-1-הגדרות!$E$8*(הגדרות!$E$7+1))/הגדרות!$E$7)))</f>
        <v/>
      </c>
      <c r="J524" s="0" t="str">
        <f aca="false">IF(I524="","",IF(H524-1&lt;הגדרות!$E$8*(הגדרות!$E$7+1),MOD(H524-1,הגדרות!$E$7+1),MOD(H524-1-הגדרות!$E$8*(הגדרות!$E$7+1),הגדרות!$E$7)))</f>
        <v/>
      </c>
      <c r="K524" s="0" t="str">
        <f aca="false">IF(I524="","",J524*הגדרות!$E$6+I524+1)</f>
        <v/>
      </c>
      <c r="L524" s="0" t="str">
        <f aca="false">IF(K524="","",MATCH(K524,$F$2:$F$5001,0))</f>
        <v/>
      </c>
      <c r="M524" s="0" t="str">
        <f aca="false">IF(I524="","",INDEX(הגדרות!$A$2:$A$21,MOD(I524+הגדרות!$E$9,הגדרות!$E$6)+1))</f>
        <v/>
      </c>
    </row>
    <row r="525" customFormat="false" ht="15" hidden="false" customHeight="false" outlineLevel="0" collapsed="false">
      <c r="A525" s="0" t="str">
        <f aca="false">IF('הדבקת לידים'!A525="","",IF(ISNUMBER('הדבקת לידים'!A525),IF(הגדרות!$E$2&gt;0,TEXT('הדבקת לידים'!A525,REPT("0",הגדרות!$E$2)),TEXT('הדבקת לידים'!A525,"0")),TRIM('הדבקת לידים'!A525)))</f>
        <v/>
      </c>
      <c r="B525" s="0" t="str">
        <f aca="false">IF('הדבקת לידים'!B525="","",IF(ISNUMBER('הדבקת לידים'!B525),IF(הגדרות!$E$3&gt;0,TEXT('הדבקת לידים'!B525,REPT("0",הגדרות!$E$3)),TEXT('הדבקת לידים'!B525,"0")),TRIM('הדבקת לידים'!B525)))</f>
        <v/>
      </c>
      <c r="C525" s="0" t="n">
        <f aca="false">IF(OR(A525&lt;&gt;"",B525&lt;&gt;""),1,0)</f>
        <v>0</v>
      </c>
      <c r="D525" s="0" t="str">
        <f aca="false">IF(C525=1,MOD(ABS(SIN(ROW()*12.9898+'הדבקת לידים'!$F$2*78.233+IFERROR(--RIGHT(A525,6),LEN(A525))*0.0137+IFERROR(--RIGHT(B525,6),LEN(B525))*0.0071))*43758.5453,1),"")</f>
        <v/>
      </c>
      <c r="E525" s="0" t="str">
        <f aca="false">IF(C525=1,INT(MOD(ABS(SIN(D525*7919.123+ROW()*0.618+'הדבקת לידים'!$F$2*1.3))*43758.5453,1)*1000000)*10000+ROW(),"")</f>
        <v/>
      </c>
      <c r="F525" s="0" t="str">
        <f aca="false">IF(E525="","",RANK(E525,$E$2:$E$5001,1))</f>
        <v/>
      </c>
      <c r="G525" s="0" t="n">
        <f aca="false">IF(A525="",0,IF(SUMPRODUCT(--($A$2:$A$5001=A525))&gt;1,1,0))</f>
        <v>0</v>
      </c>
      <c r="H525" s="0" t="n">
        <f aca="false">ROW()-1</f>
        <v>524</v>
      </c>
      <c r="I525" s="0" t="str">
        <f aca="false">IF(OR(הגדרות!$E$6=0,H525&gt;הגדרות!$E$5),"",IF(H525-1&lt;הגדרות!$E$8*(הגדרות!$E$7+1),INT((H525-1)/(הגדרות!$E$7+1)),הגדרות!$E$8+INT((H525-1-הגדרות!$E$8*(הגדרות!$E$7+1))/הגדרות!$E$7)))</f>
        <v/>
      </c>
      <c r="J525" s="0" t="str">
        <f aca="false">IF(I525="","",IF(H525-1&lt;הגדרות!$E$8*(הגדרות!$E$7+1),MOD(H525-1,הגדרות!$E$7+1),MOD(H525-1-הגדרות!$E$8*(הגדרות!$E$7+1),הגדרות!$E$7)))</f>
        <v/>
      </c>
      <c r="K525" s="0" t="str">
        <f aca="false">IF(I525="","",J525*הגדרות!$E$6+I525+1)</f>
        <v/>
      </c>
      <c r="L525" s="0" t="str">
        <f aca="false">IF(K525="","",MATCH(K525,$F$2:$F$5001,0))</f>
        <v/>
      </c>
      <c r="M525" s="0" t="str">
        <f aca="false">IF(I525="","",INDEX(הגדרות!$A$2:$A$21,MOD(I525+הגדרות!$E$9,הגדרות!$E$6)+1))</f>
        <v/>
      </c>
    </row>
    <row r="526" customFormat="false" ht="15" hidden="false" customHeight="false" outlineLevel="0" collapsed="false">
      <c r="A526" s="0" t="str">
        <f aca="false">IF('הדבקת לידים'!A526="","",IF(ISNUMBER('הדבקת לידים'!A526),IF(הגדרות!$E$2&gt;0,TEXT('הדבקת לידים'!A526,REPT("0",הגדרות!$E$2)),TEXT('הדבקת לידים'!A526,"0")),TRIM('הדבקת לידים'!A526)))</f>
        <v/>
      </c>
      <c r="B526" s="0" t="str">
        <f aca="false">IF('הדבקת לידים'!B526="","",IF(ISNUMBER('הדבקת לידים'!B526),IF(הגדרות!$E$3&gt;0,TEXT('הדבקת לידים'!B526,REPT("0",הגדרות!$E$3)),TEXT('הדבקת לידים'!B526,"0")),TRIM('הדבקת לידים'!B526)))</f>
        <v/>
      </c>
      <c r="C526" s="0" t="n">
        <f aca="false">IF(OR(A526&lt;&gt;"",B526&lt;&gt;""),1,0)</f>
        <v>0</v>
      </c>
      <c r="D526" s="0" t="str">
        <f aca="false">IF(C526=1,MOD(ABS(SIN(ROW()*12.9898+'הדבקת לידים'!$F$2*78.233+IFERROR(--RIGHT(A526,6),LEN(A526))*0.0137+IFERROR(--RIGHT(B526,6),LEN(B526))*0.0071))*43758.5453,1),"")</f>
        <v/>
      </c>
      <c r="E526" s="0" t="str">
        <f aca="false">IF(C526=1,INT(MOD(ABS(SIN(D526*7919.123+ROW()*0.618+'הדבקת לידים'!$F$2*1.3))*43758.5453,1)*1000000)*10000+ROW(),"")</f>
        <v/>
      </c>
      <c r="F526" s="0" t="str">
        <f aca="false">IF(E526="","",RANK(E526,$E$2:$E$5001,1))</f>
        <v/>
      </c>
      <c r="G526" s="0" t="n">
        <f aca="false">IF(A526="",0,IF(SUMPRODUCT(--($A$2:$A$5001=A526))&gt;1,1,0))</f>
        <v>0</v>
      </c>
      <c r="H526" s="0" t="n">
        <f aca="false">ROW()-1</f>
        <v>525</v>
      </c>
      <c r="I526" s="0" t="str">
        <f aca="false">IF(OR(הגדרות!$E$6=0,H526&gt;הגדרות!$E$5),"",IF(H526-1&lt;הגדרות!$E$8*(הגדרות!$E$7+1),INT((H526-1)/(הגדרות!$E$7+1)),הגדרות!$E$8+INT((H526-1-הגדרות!$E$8*(הגדרות!$E$7+1))/הגדרות!$E$7)))</f>
        <v/>
      </c>
      <c r="J526" s="0" t="str">
        <f aca="false">IF(I526="","",IF(H526-1&lt;הגדרות!$E$8*(הגדרות!$E$7+1),MOD(H526-1,הגדרות!$E$7+1),MOD(H526-1-הגדרות!$E$8*(הגדרות!$E$7+1),הגדרות!$E$7)))</f>
        <v/>
      </c>
      <c r="K526" s="0" t="str">
        <f aca="false">IF(I526="","",J526*הגדרות!$E$6+I526+1)</f>
        <v/>
      </c>
      <c r="L526" s="0" t="str">
        <f aca="false">IF(K526="","",MATCH(K526,$F$2:$F$5001,0))</f>
        <v/>
      </c>
      <c r="M526" s="0" t="str">
        <f aca="false">IF(I526="","",INDEX(הגדרות!$A$2:$A$21,MOD(I526+הגדרות!$E$9,הגדרות!$E$6)+1))</f>
        <v/>
      </c>
    </row>
    <row r="527" customFormat="false" ht="15" hidden="false" customHeight="false" outlineLevel="0" collapsed="false">
      <c r="A527" s="0" t="str">
        <f aca="false">IF('הדבקת לידים'!A527="","",IF(ISNUMBER('הדבקת לידים'!A527),IF(הגדרות!$E$2&gt;0,TEXT('הדבקת לידים'!A527,REPT("0",הגדרות!$E$2)),TEXT('הדבקת לידים'!A527,"0")),TRIM('הדבקת לידים'!A527)))</f>
        <v/>
      </c>
      <c r="B527" s="0" t="str">
        <f aca="false">IF('הדבקת לידים'!B527="","",IF(ISNUMBER('הדבקת לידים'!B527),IF(הגדרות!$E$3&gt;0,TEXT('הדבקת לידים'!B527,REPT("0",הגדרות!$E$3)),TEXT('הדבקת לידים'!B527,"0")),TRIM('הדבקת לידים'!B527)))</f>
        <v/>
      </c>
      <c r="C527" s="0" t="n">
        <f aca="false">IF(OR(A527&lt;&gt;"",B527&lt;&gt;""),1,0)</f>
        <v>0</v>
      </c>
      <c r="D527" s="0" t="str">
        <f aca="false">IF(C527=1,MOD(ABS(SIN(ROW()*12.9898+'הדבקת לידים'!$F$2*78.233+IFERROR(--RIGHT(A527,6),LEN(A527))*0.0137+IFERROR(--RIGHT(B527,6),LEN(B527))*0.0071))*43758.5453,1),"")</f>
        <v/>
      </c>
      <c r="E527" s="0" t="str">
        <f aca="false">IF(C527=1,INT(MOD(ABS(SIN(D527*7919.123+ROW()*0.618+'הדבקת לידים'!$F$2*1.3))*43758.5453,1)*1000000)*10000+ROW(),"")</f>
        <v/>
      </c>
      <c r="F527" s="0" t="str">
        <f aca="false">IF(E527="","",RANK(E527,$E$2:$E$5001,1))</f>
        <v/>
      </c>
      <c r="G527" s="0" t="n">
        <f aca="false">IF(A527="",0,IF(SUMPRODUCT(--($A$2:$A$5001=A527))&gt;1,1,0))</f>
        <v>0</v>
      </c>
      <c r="H527" s="0" t="n">
        <f aca="false">ROW()-1</f>
        <v>526</v>
      </c>
      <c r="I527" s="0" t="str">
        <f aca="false">IF(OR(הגדרות!$E$6=0,H527&gt;הגדרות!$E$5),"",IF(H527-1&lt;הגדרות!$E$8*(הגדרות!$E$7+1),INT((H527-1)/(הגדרות!$E$7+1)),הגדרות!$E$8+INT((H527-1-הגדרות!$E$8*(הגדרות!$E$7+1))/הגדרות!$E$7)))</f>
        <v/>
      </c>
      <c r="J527" s="0" t="str">
        <f aca="false">IF(I527="","",IF(H527-1&lt;הגדרות!$E$8*(הגדרות!$E$7+1),MOD(H527-1,הגדרות!$E$7+1),MOD(H527-1-הגדרות!$E$8*(הגדרות!$E$7+1),הגדרות!$E$7)))</f>
        <v/>
      </c>
      <c r="K527" s="0" t="str">
        <f aca="false">IF(I527="","",J527*הגדרות!$E$6+I527+1)</f>
        <v/>
      </c>
      <c r="L527" s="0" t="str">
        <f aca="false">IF(K527="","",MATCH(K527,$F$2:$F$5001,0))</f>
        <v/>
      </c>
      <c r="M527" s="0" t="str">
        <f aca="false">IF(I527="","",INDEX(הגדרות!$A$2:$A$21,MOD(I527+הגדרות!$E$9,הגדרות!$E$6)+1))</f>
        <v/>
      </c>
    </row>
    <row r="528" customFormat="false" ht="15" hidden="false" customHeight="false" outlineLevel="0" collapsed="false">
      <c r="A528" s="0" t="str">
        <f aca="false">IF('הדבקת לידים'!A528="","",IF(ISNUMBER('הדבקת לידים'!A528),IF(הגדרות!$E$2&gt;0,TEXT('הדבקת לידים'!A528,REPT("0",הגדרות!$E$2)),TEXT('הדבקת לידים'!A528,"0")),TRIM('הדבקת לידים'!A528)))</f>
        <v/>
      </c>
      <c r="B528" s="0" t="str">
        <f aca="false">IF('הדבקת לידים'!B528="","",IF(ISNUMBER('הדבקת לידים'!B528),IF(הגדרות!$E$3&gt;0,TEXT('הדבקת לידים'!B528,REPT("0",הגדרות!$E$3)),TEXT('הדבקת לידים'!B528,"0")),TRIM('הדבקת לידים'!B528)))</f>
        <v/>
      </c>
      <c r="C528" s="0" t="n">
        <f aca="false">IF(OR(A528&lt;&gt;"",B528&lt;&gt;""),1,0)</f>
        <v>0</v>
      </c>
      <c r="D528" s="0" t="str">
        <f aca="false">IF(C528=1,MOD(ABS(SIN(ROW()*12.9898+'הדבקת לידים'!$F$2*78.233+IFERROR(--RIGHT(A528,6),LEN(A528))*0.0137+IFERROR(--RIGHT(B528,6),LEN(B528))*0.0071))*43758.5453,1),"")</f>
        <v/>
      </c>
      <c r="E528" s="0" t="str">
        <f aca="false">IF(C528=1,INT(MOD(ABS(SIN(D528*7919.123+ROW()*0.618+'הדבקת לידים'!$F$2*1.3))*43758.5453,1)*1000000)*10000+ROW(),"")</f>
        <v/>
      </c>
      <c r="F528" s="0" t="str">
        <f aca="false">IF(E528="","",RANK(E528,$E$2:$E$5001,1))</f>
        <v/>
      </c>
      <c r="G528" s="0" t="n">
        <f aca="false">IF(A528="",0,IF(SUMPRODUCT(--($A$2:$A$5001=A528))&gt;1,1,0))</f>
        <v>0</v>
      </c>
      <c r="H528" s="0" t="n">
        <f aca="false">ROW()-1</f>
        <v>527</v>
      </c>
      <c r="I528" s="0" t="str">
        <f aca="false">IF(OR(הגדרות!$E$6=0,H528&gt;הגדרות!$E$5),"",IF(H528-1&lt;הגדרות!$E$8*(הגדרות!$E$7+1),INT((H528-1)/(הגדרות!$E$7+1)),הגדרות!$E$8+INT((H528-1-הגדרות!$E$8*(הגדרות!$E$7+1))/הגדרות!$E$7)))</f>
        <v/>
      </c>
      <c r="J528" s="0" t="str">
        <f aca="false">IF(I528="","",IF(H528-1&lt;הגדרות!$E$8*(הגדרות!$E$7+1),MOD(H528-1,הגדרות!$E$7+1),MOD(H528-1-הגדרות!$E$8*(הגדרות!$E$7+1),הגדרות!$E$7)))</f>
        <v/>
      </c>
      <c r="K528" s="0" t="str">
        <f aca="false">IF(I528="","",J528*הגדרות!$E$6+I528+1)</f>
        <v/>
      </c>
      <c r="L528" s="0" t="str">
        <f aca="false">IF(K528="","",MATCH(K528,$F$2:$F$5001,0))</f>
        <v/>
      </c>
      <c r="M528" s="0" t="str">
        <f aca="false">IF(I528="","",INDEX(הגדרות!$A$2:$A$21,MOD(I528+הגדרות!$E$9,הגדרות!$E$6)+1))</f>
        <v/>
      </c>
    </row>
    <row r="529" customFormat="false" ht="15" hidden="false" customHeight="false" outlineLevel="0" collapsed="false">
      <c r="A529" s="0" t="str">
        <f aca="false">IF('הדבקת לידים'!A529="","",IF(ISNUMBER('הדבקת לידים'!A529),IF(הגדרות!$E$2&gt;0,TEXT('הדבקת לידים'!A529,REPT("0",הגדרות!$E$2)),TEXT('הדבקת לידים'!A529,"0")),TRIM('הדבקת לידים'!A529)))</f>
        <v/>
      </c>
      <c r="B529" s="0" t="str">
        <f aca="false">IF('הדבקת לידים'!B529="","",IF(ISNUMBER('הדבקת לידים'!B529),IF(הגדרות!$E$3&gt;0,TEXT('הדבקת לידים'!B529,REPT("0",הגדרות!$E$3)),TEXT('הדבקת לידים'!B529,"0")),TRIM('הדבקת לידים'!B529)))</f>
        <v/>
      </c>
      <c r="C529" s="0" t="n">
        <f aca="false">IF(OR(A529&lt;&gt;"",B529&lt;&gt;""),1,0)</f>
        <v>0</v>
      </c>
      <c r="D529" s="0" t="str">
        <f aca="false">IF(C529=1,MOD(ABS(SIN(ROW()*12.9898+'הדבקת לידים'!$F$2*78.233+IFERROR(--RIGHT(A529,6),LEN(A529))*0.0137+IFERROR(--RIGHT(B529,6),LEN(B529))*0.0071))*43758.5453,1),"")</f>
        <v/>
      </c>
      <c r="E529" s="0" t="str">
        <f aca="false">IF(C529=1,INT(MOD(ABS(SIN(D529*7919.123+ROW()*0.618+'הדבקת לידים'!$F$2*1.3))*43758.5453,1)*1000000)*10000+ROW(),"")</f>
        <v/>
      </c>
      <c r="F529" s="0" t="str">
        <f aca="false">IF(E529="","",RANK(E529,$E$2:$E$5001,1))</f>
        <v/>
      </c>
      <c r="G529" s="0" t="n">
        <f aca="false">IF(A529="",0,IF(SUMPRODUCT(--($A$2:$A$5001=A529))&gt;1,1,0))</f>
        <v>0</v>
      </c>
      <c r="H529" s="0" t="n">
        <f aca="false">ROW()-1</f>
        <v>528</v>
      </c>
      <c r="I529" s="0" t="str">
        <f aca="false">IF(OR(הגדרות!$E$6=0,H529&gt;הגדרות!$E$5),"",IF(H529-1&lt;הגדרות!$E$8*(הגדרות!$E$7+1),INT((H529-1)/(הגדרות!$E$7+1)),הגדרות!$E$8+INT((H529-1-הגדרות!$E$8*(הגדרות!$E$7+1))/הגדרות!$E$7)))</f>
        <v/>
      </c>
      <c r="J529" s="0" t="str">
        <f aca="false">IF(I529="","",IF(H529-1&lt;הגדרות!$E$8*(הגדרות!$E$7+1),MOD(H529-1,הגדרות!$E$7+1),MOD(H529-1-הגדרות!$E$8*(הגדרות!$E$7+1),הגדרות!$E$7)))</f>
        <v/>
      </c>
      <c r="K529" s="0" t="str">
        <f aca="false">IF(I529="","",J529*הגדרות!$E$6+I529+1)</f>
        <v/>
      </c>
      <c r="L529" s="0" t="str">
        <f aca="false">IF(K529="","",MATCH(K529,$F$2:$F$5001,0))</f>
        <v/>
      </c>
      <c r="M529" s="0" t="str">
        <f aca="false">IF(I529="","",INDEX(הגדרות!$A$2:$A$21,MOD(I529+הגדרות!$E$9,הגדרות!$E$6)+1))</f>
        <v/>
      </c>
    </row>
    <row r="530" customFormat="false" ht="15" hidden="false" customHeight="false" outlineLevel="0" collapsed="false">
      <c r="A530" s="0" t="str">
        <f aca="false">IF('הדבקת לידים'!A530="","",IF(ISNUMBER('הדבקת לידים'!A530),IF(הגדרות!$E$2&gt;0,TEXT('הדבקת לידים'!A530,REPT("0",הגדרות!$E$2)),TEXT('הדבקת לידים'!A530,"0")),TRIM('הדבקת לידים'!A530)))</f>
        <v/>
      </c>
      <c r="B530" s="0" t="str">
        <f aca="false">IF('הדבקת לידים'!B530="","",IF(ISNUMBER('הדבקת לידים'!B530),IF(הגדרות!$E$3&gt;0,TEXT('הדבקת לידים'!B530,REPT("0",הגדרות!$E$3)),TEXT('הדבקת לידים'!B530,"0")),TRIM('הדבקת לידים'!B530)))</f>
        <v/>
      </c>
      <c r="C530" s="0" t="n">
        <f aca="false">IF(OR(A530&lt;&gt;"",B530&lt;&gt;""),1,0)</f>
        <v>0</v>
      </c>
      <c r="D530" s="0" t="str">
        <f aca="false">IF(C530=1,MOD(ABS(SIN(ROW()*12.9898+'הדבקת לידים'!$F$2*78.233+IFERROR(--RIGHT(A530,6),LEN(A530))*0.0137+IFERROR(--RIGHT(B530,6),LEN(B530))*0.0071))*43758.5453,1),"")</f>
        <v/>
      </c>
      <c r="E530" s="0" t="str">
        <f aca="false">IF(C530=1,INT(MOD(ABS(SIN(D530*7919.123+ROW()*0.618+'הדבקת לידים'!$F$2*1.3))*43758.5453,1)*1000000)*10000+ROW(),"")</f>
        <v/>
      </c>
      <c r="F530" s="0" t="str">
        <f aca="false">IF(E530="","",RANK(E530,$E$2:$E$5001,1))</f>
        <v/>
      </c>
      <c r="G530" s="0" t="n">
        <f aca="false">IF(A530="",0,IF(SUMPRODUCT(--($A$2:$A$5001=A530))&gt;1,1,0))</f>
        <v>0</v>
      </c>
      <c r="H530" s="0" t="n">
        <f aca="false">ROW()-1</f>
        <v>529</v>
      </c>
      <c r="I530" s="0" t="str">
        <f aca="false">IF(OR(הגדרות!$E$6=0,H530&gt;הגדרות!$E$5),"",IF(H530-1&lt;הגדרות!$E$8*(הגדרות!$E$7+1),INT((H530-1)/(הגדרות!$E$7+1)),הגדרות!$E$8+INT((H530-1-הגדרות!$E$8*(הגדרות!$E$7+1))/הגדרות!$E$7)))</f>
        <v/>
      </c>
      <c r="J530" s="0" t="str">
        <f aca="false">IF(I530="","",IF(H530-1&lt;הגדרות!$E$8*(הגדרות!$E$7+1),MOD(H530-1,הגדרות!$E$7+1),MOD(H530-1-הגדרות!$E$8*(הגדרות!$E$7+1),הגדרות!$E$7)))</f>
        <v/>
      </c>
      <c r="K530" s="0" t="str">
        <f aca="false">IF(I530="","",J530*הגדרות!$E$6+I530+1)</f>
        <v/>
      </c>
      <c r="L530" s="0" t="str">
        <f aca="false">IF(K530="","",MATCH(K530,$F$2:$F$5001,0))</f>
        <v/>
      </c>
      <c r="M530" s="0" t="str">
        <f aca="false">IF(I530="","",INDEX(הגדרות!$A$2:$A$21,MOD(I530+הגדרות!$E$9,הגדרות!$E$6)+1))</f>
        <v/>
      </c>
    </row>
    <row r="531" customFormat="false" ht="15" hidden="false" customHeight="false" outlineLevel="0" collapsed="false">
      <c r="A531" s="0" t="str">
        <f aca="false">IF('הדבקת לידים'!A531="","",IF(ISNUMBER('הדבקת לידים'!A531),IF(הגדרות!$E$2&gt;0,TEXT('הדבקת לידים'!A531,REPT("0",הגדרות!$E$2)),TEXT('הדבקת לידים'!A531,"0")),TRIM('הדבקת לידים'!A531)))</f>
        <v/>
      </c>
      <c r="B531" s="0" t="str">
        <f aca="false">IF('הדבקת לידים'!B531="","",IF(ISNUMBER('הדבקת לידים'!B531),IF(הגדרות!$E$3&gt;0,TEXT('הדבקת לידים'!B531,REPT("0",הגדרות!$E$3)),TEXT('הדבקת לידים'!B531,"0")),TRIM('הדבקת לידים'!B531)))</f>
        <v/>
      </c>
      <c r="C531" s="0" t="n">
        <f aca="false">IF(OR(A531&lt;&gt;"",B531&lt;&gt;""),1,0)</f>
        <v>0</v>
      </c>
      <c r="D531" s="0" t="str">
        <f aca="false">IF(C531=1,MOD(ABS(SIN(ROW()*12.9898+'הדבקת לידים'!$F$2*78.233+IFERROR(--RIGHT(A531,6),LEN(A531))*0.0137+IFERROR(--RIGHT(B531,6),LEN(B531))*0.0071))*43758.5453,1),"")</f>
        <v/>
      </c>
      <c r="E531" s="0" t="str">
        <f aca="false">IF(C531=1,INT(MOD(ABS(SIN(D531*7919.123+ROW()*0.618+'הדבקת לידים'!$F$2*1.3))*43758.5453,1)*1000000)*10000+ROW(),"")</f>
        <v/>
      </c>
      <c r="F531" s="0" t="str">
        <f aca="false">IF(E531="","",RANK(E531,$E$2:$E$5001,1))</f>
        <v/>
      </c>
      <c r="G531" s="0" t="n">
        <f aca="false">IF(A531="",0,IF(SUMPRODUCT(--($A$2:$A$5001=A531))&gt;1,1,0))</f>
        <v>0</v>
      </c>
      <c r="H531" s="0" t="n">
        <f aca="false">ROW()-1</f>
        <v>530</v>
      </c>
      <c r="I531" s="0" t="str">
        <f aca="false">IF(OR(הגדרות!$E$6=0,H531&gt;הגדרות!$E$5),"",IF(H531-1&lt;הגדרות!$E$8*(הגדרות!$E$7+1),INT((H531-1)/(הגדרות!$E$7+1)),הגדרות!$E$8+INT((H531-1-הגדרות!$E$8*(הגדרות!$E$7+1))/הגדרות!$E$7)))</f>
        <v/>
      </c>
      <c r="J531" s="0" t="str">
        <f aca="false">IF(I531="","",IF(H531-1&lt;הגדרות!$E$8*(הגדרות!$E$7+1),MOD(H531-1,הגדרות!$E$7+1),MOD(H531-1-הגדרות!$E$8*(הגדרות!$E$7+1),הגדרות!$E$7)))</f>
        <v/>
      </c>
      <c r="K531" s="0" t="str">
        <f aca="false">IF(I531="","",J531*הגדרות!$E$6+I531+1)</f>
        <v/>
      </c>
      <c r="L531" s="0" t="str">
        <f aca="false">IF(K531="","",MATCH(K531,$F$2:$F$5001,0))</f>
        <v/>
      </c>
      <c r="M531" s="0" t="str">
        <f aca="false">IF(I531="","",INDEX(הגדרות!$A$2:$A$21,MOD(I531+הגדרות!$E$9,הגדרות!$E$6)+1))</f>
        <v/>
      </c>
    </row>
    <row r="532" customFormat="false" ht="15" hidden="false" customHeight="false" outlineLevel="0" collapsed="false">
      <c r="A532" s="0" t="str">
        <f aca="false">IF('הדבקת לידים'!A532="","",IF(ISNUMBER('הדבקת לידים'!A532),IF(הגדרות!$E$2&gt;0,TEXT('הדבקת לידים'!A532,REPT("0",הגדרות!$E$2)),TEXT('הדבקת לידים'!A532,"0")),TRIM('הדבקת לידים'!A532)))</f>
        <v/>
      </c>
      <c r="B532" s="0" t="str">
        <f aca="false">IF('הדבקת לידים'!B532="","",IF(ISNUMBER('הדבקת לידים'!B532),IF(הגדרות!$E$3&gt;0,TEXT('הדבקת לידים'!B532,REPT("0",הגדרות!$E$3)),TEXT('הדבקת לידים'!B532,"0")),TRIM('הדבקת לידים'!B532)))</f>
        <v/>
      </c>
      <c r="C532" s="0" t="n">
        <f aca="false">IF(OR(A532&lt;&gt;"",B532&lt;&gt;""),1,0)</f>
        <v>0</v>
      </c>
      <c r="D532" s="0" t="str">
        <f aca="false">IF(C532=1,MOD(ABS(SIN(ROW()*12.9898+'הדבקת לידים'!$F$2*78.233+IFERROR(--RIGHT(A532,6),LEN(A532))*0.0137+IFERROR(--RIGHT(B532,6),LEN(B532))*0.0071))*43758.5453,1),"")</f>
        <v/>
      </c>
      <c r="E532" s="0" t="str">
        <f aca="false">IF(C532=1,INT(MOD(ABS(SIN(D532*7919.123+ROW()*0.618+'הדבקת לידים'!$F$2*1.3))*43758.5453,1)*1000000)*10000+ROW(),"")</f>
        <v/>
      </c>
      <c r="F532" s="0" t="str">
        <f aca="false">IF(E532="","",RANK(E532,$E$2:$E$5001,1))</f>
        <v/>
      </c>
      <c r="G532" s="0" t="n">
        <f aca="false">IF(A532="",0,IF(SUMPRODUCT(--($A$2:$A$5001=A532))&gt;1,1,0))</f>
        <v>0</v>
      </c>
      <c r="H532" s="0" t="n">
        <f aca="false">ROW()-1</f>
        <v>531</v>
      </c>
      <c r="I532" s="0" t="str">
        <f aca="false">IF(OR(הגדרות!$E$6=0,H532&gt;הגדרות!$E$5),"",IF(H532-1&lt;הגדרות!$E$8*(הגדרות!$E$7+1),INT((H532-1)/(הגדרות!$E$7+1)),הגדרות!$E$8+INT((H532-1-הגדרות!$E$8*(הגדרות!$E$7+1))/הגדרות!$E$7)))</f>
        <v/>
      </c>
      <c r="J532" s="0" t="str">
        <f aca="false">IF(I532="","",IF(H532-1&lt;הגדרות!$E$8*(הגדרות!$E$7+1),MOD(H532-1,הגדרות!$E$7+1),MOD(H532-1-הגדרות!$E$8*(הגדרות!$E$7+1),הגדרות!$E$7)))</f>
        <v/>
      </c>
      <c r="K532" s="0" t="str">
        <f aca="false">IF(I532="","",J532*הגדרות!$E$6+I532+1)</f>
        <v/>
      </c>
      <c r="L532" s="0" t="str">
        <f aca="false">IF(K532="","",MATCH(K532,$F$2:$F$5001,0))</f>
        <v/>
      </c>
      <c r="M532" s="0" t="str">
        <f aca="false">IF(I532="","",INDEX(הגדרות!$A$2:$A$21,MOD(I532+הגדרות!$E$9,הגדרות!$E$6)+1))</f>
        <v/>
      </c>
    </row>
    <row r="533" customFormat="false" ht="15" hidden="false" customHeight="false" outlineLevel="0" collapsed="false">
      <c r="A533" s="0" t="str">
        <f aca="false">IF('הדבקת לידים'!A533="","",IF(ISNUMBER('הדבקת לידים'!A533),IF(הגדרות!$E$2&gt;0,TEXT('הדבקת לידים'!A533,REPT("0",הגדרות!$E$2)),TEXT('הדבקת לידים'!A533,"0")),TRIM('הדבקת לידים'!A533)))</f>
        <v/>
      </c>
      <c r="B533" s="0" t="str">
        <f aca="false">IF('הדבקת לידים'!B533="","",IF(ISNUMBER('הדבקת לידים'!B533),IF(הגדרות!$E$3&gt;0,TEXT('הדבקת לידים'!B533,REPT("0",הגדרות!$E$3)),TEXT('הדבקת לידים'!B533,"0")),TRIM('הדבקת לידים'!B533)))</f>
        <v/>
      </c>
      <c r="C533" s="0" t="n">
        <f aca="false">IF(OR(A533&lt;&gt;"",B533&lt;&gt;""),1,0)</f>
        <v>0</v>
      </c>
      <c r="D533" s="0" t="str">
        <f aca="false">IF(C533=1,MOD(ABS(SIN(ROW()*12.9898+'הדבקת לידים'!$F$2*78.233+IFERROR(--RIGHT(A533,6),LEN(A533))*0.0137+IFERROR(--RIGHT(B533,6),LEN(B533))*0.0071))*43758.5453,1),"")</f>
        <v/>
      </c>
      <c r="E533" s="0" t="str">
        <f aca="false">IF(C533=1,INT(MOD(ABS(SIN(D533*7919.123+ROW()*0.618+'הדבקת לידים'!$F$2*1.3))*43758.5453,1)*1000000)*10000+ROW(),"")</f>
        <v/>
      </c>
      <c r="F533" s="0" t="str">
        <f aca="false">IF(E533="","",RANK(E533,$E$2:$E$5001,1))</f>
        <v/>
      </c>
      <c r="G533" s="0" t="n">
        <f aca="false">IF(A533="",0,IF(SUMPRODUCT(--($A$2:$A$5001=A533))&gt;1,1,0))</f>
        <v>0</v>
      </c>
      <c r="H533" s="0" t="n">
        <f aca="false">ROW()-1</f>
        <v>532</v>
      </c>
      <c r="I533" s="0" t="str">
        <f aca="false">IF(OR(הגדרות!$E$6=0,H533&gt;הגדרות!$E$5),"",IF(H533-1&lt;הגדרות!$E$8*(הגדרות!$E$7+1),INT((H533-1)/(הגדרות!$E$7+1)),הגדרות!$E$8+INT((H533-1-הגדרות!$E$8*(הגדרות!$E$7+1))/הגדרות!$E$7)))</f>
        <v/>
      </c>
      <c r="J533" s="0" t="str">
        <f aca="false">IF(I533="","",IF(H533-1&lt;הגדרות!$E$8*(הגדרות!$E$7+1),MOD(H533-1,הגדרות!$E$7+1),MOD(H533-1-הגדרות!$E$8*(הגדרות!$E$7+1),הגדרות!$E$7)))</f>
        <v/>
      </c>
      <c r="K533" s="0" t="str">
        <f aca="false">IF(I533="","",J533*הגדרות!$E$6+I533+1)</f>
        <v/>
      </c>
      <c r="L533" s="0" t="str">
        <f aca="false">IF(K533="","",MATCH(K533,$F$2:$F$5001,0))</f>
        <v/>
      </c>
      <c r="M533" s="0" t="str">
        <f aca="false">IF(I533="","",INDEX(הגדרות!$A$2:$A$21,MOD(I533+הגדרות!$E$9,הגדרות!$E$6)+1))</f>
        <v/>
      </c>
    </row>
    <row r="534" customFormat="false" ht="15" hidden="false" customHeight="false" outlineLevel="0" collapsed="false">
      <c r="A534" s="0" t="str">
        <f aca="false">IF('הדבקת לידים'!A534="","",IF(ISNUMBER('הדבקת לידים'!A534),IF(הגדרות!$E$2&gt;0,TEXT('הדבקת לידים'!A534,REPT("0",הגדרות!$E$2)),TEXT('הדבקת לידים'!A534,"0")),TRIM('הדבקת לידים'!A534)))</f>
        <v/>
      </c>
      <c r="B534" s="0" t="str">
        <f aca="false">IF('הדבקת לידים'!B534="","",IF(ISNUMBER('הדבקת לידים'!B534),IF(הגדרות!$E$3&gt;0,TEXT('הדבקת לידים'!B534,REPT("0",הגדרות!$E$3)),TEXT('הדבקת לידים'!B534,"0")),TRIM('הדבקת לידים'!B534)))</f>
        <v/>
      </c>
      <c r="C534" s="0" t="n">
        <f aca="false">IF(OR(A534&lt;&gt;"",B534&lt;&gt;""),1,0)</f>
        <v>0</v>
      </c>
      <c r="D534" s="0" t="str">
        <f aca="false">IF(C534=1,MOD(ABS(SIN(ROW()*12.9898+'הדבקת לידים'!$F$2*78.233+IFERROR(--RIGHT(A534,6),LEN(A534))*0.0137+IFERROR(--RIGHT(B534,6),LEN(B534))*0.0071))*43758.5453,1),"")</f>
        <v/>
      </c>
      <c r="E534" s="0" t="str">
        <f aca="false">IF(C534=1,INT(MOD(ABS(SIN(D534*7919.123+ROW()*0.618+'הדבקת לידים'!$F$2*1.3))*43758.5453,1)*1000000)*10000+ROW(),"")</f>
        <v/>
      </c>
      <c r="F534" s="0" t="str">
        <f aca="false">IF(E534="","",RANK(E534,$E$2:$E$5001,1))</f>
        <v/>
      </c>
      <c r="G534" s="0" t="n">
        <f aca="false">IF(A534="",0,IF(SUMPRODUCT(--($A$2:$A$5001=A534))&gt;1,1,0))</f>
        <v>0</v>
      </c>
      <c r="H534" s="0" t="n">
        <f aca="false">ROW()-1</f>
        <v>533</v>
      </c>
      <c r="I534" s="0" t="str">
        <f aca="false">IF(OR(הגדרות!$E$6=0,H534&gt;הגדרות!$E$5),"",IF(H534-1&lt;הגדרות!$E$8*(הגדרות!$E$7+1),INT((H534-1)/(הגדרות!$E$7+1)),הגדרות!$E$8+INT((H534-1-הגדרות!$E$8*(הגדרות!$E$7+1))/הגדרות!$E$7)))</f>
        <v/>
      </c>
      <c r="J534" s="0" t="str">
        <f aca="false">IF(I534="","",IF(H534-1&lt;הגדרות!$E$8*(הגדרות!$E$7+1),MOD(H534-1,הגדרות!$E$7+1),MOD(H534-1-הגדרות!$E$8*(הגדרות!$E$7+1),הגדרות!$E$7)))</f>
        <v/>
      </c>
      <c r="K534" s="0" t="str">
        <f aca="false">IF(I534="","",J534*הגדרות!$E$6+I534+1)</f>
        <v/>
      </c>
      <c r="L534" s="0" t="str">
        <f aca="false">IF(K534="","",MATCH(K534,$F$2:$F$5001,0))</f>
        <v/>
      </c>
      <c r="M534" s="0" t="str">
        <f aca="false">IF(I534="","",INDEX(הגדרות!$A$2:$A$21,MOD(I534+הגדרות!$E$9,הגדרות!$E$6)+1))</f>
        <v/>
      </c>
    </row>
    <row r="535" customFormat="false" ht="15" hidden="false" customHeight="false" outlineLevel="0" collapsed="false">
      <c r="A535" s="0" t="str">
        <f aca="false">IF('הדבקת לידים'!A535="","",IF(ISNUMBER('הדבקת לידים'!A535),IF(הגדרות!$E$2&gt;0,TEXT('הדבקת לידים'!A535,REPT("0",הגדרות!$E$2)),TEXT('הדבקת לידים'!A535,"0")),TRIM('הדבקת לידים'!A535)))</f>
        <v/>
      </c>
      <c r="B535" s="0" t="str">
        <f aca="false">IF('הדבקת לידים'!B535="","",IF(ISNUMBER('הדבקת לידים'!B535),IF(הגדרות!$E$3&gt;0,TEXT('הדבקת לידים'!B535,REPT("0",הגדרות!$E$3)),TEXT('הדבקת לידים'!B535,"0")),TRIM('הדבקת לידים'!B535)))</f>
        <v/>
      </c>
      <c r="C535" s="0" t="n">
        <f aca="false">IF(OR(A535&lt;&gt;"",B535&lt;&gt;""),1,0)</f>
        <v>0</v>
      </c>
      <c r="D535" s="0" t="str">
        <f aca="false">IF(C535=1,MOD(ABS(SIN(ROW()*12.9898+'הדבקת לידים'!$F$2*78.233+IFERROR(--RIGHT(A535,6),LEN(A535))*0.0137+IFERROR(--RIGHT(B535,6),LEN(B535))*0.0071))*43758.5453,1),"")</f>
        <v/>
      </c>
      <c r="E535" s="0" t="str">
        <f aca="false">IF(C535=1,INT(MOD(ABS(SIN(D535*7919.123+ROW()*0.618+'הדבקת לידים'!$F$2*1.3))*43758.5453,1)*1000000)*10000+ROW(),"")</f>
        <v/>
      </c>
      <c r="F535" s="0" t="str">
        <f aca="false">IF(E535="","",RANK(E535,$E$2:$E$5001,1))</f>
        <v/>
      </c>
      <c r="G535" s="0" t="n">
        <f aca="false">IF(A535="",0,IF(SUMPRODUCT(--($A$2:$A$5001=A535))&gt;1,1,0))</f>
        <v>0</v>
      </c>
      <c r="H535" s="0" t="n">
        <f aca="false">ROW()-1</f>
        <v>534</v>
      </c>
      <c r="I535" s="0" t="str">
        <f aca="false">IF(OR(הגדרות!$E$6=0,H535&gt;הגדרות!$E$5),"",IF(H535-1&lt;הגדרות!$E$8*(הגדרות!$E$7+1),INT((H535-1)/(הגדרות!$E$7+1)),הגדרות!$E$8+INT((H535-1-הגדרות!$E$8*(הגדרות!$E$7+1))/הגדרות!$E$7)))</f>
        <v/>
      </c>
      <c r="J535" s="0" t="str">
        <f aca="false">IF(I535="","",IF(H535-1&lt;הגדרות!$E$8*(הגדרות!$E$7+1),MOD(H535-1,הגדרות!$E$7+1),MOD(H535-1-הגדרות!$E$8*(הגדרות!$E$7+1),הגדרות!$E$7)))</f>
        <v/>
      </c>
      <c r="K535" s="0" t="str">
        <f aca="false">IF(I535="","",J535*הגדרות!$E$6+I535+1)</f>
        <v/>
      </c>
      <c r="L535" s="0" t="str">
        <f aca="false">IF(K535="","",MATCH(K535,$F$2:$F$5001,0))</f>
        <v/>
      </c>
      <c r="M535" s="0" t="str">
        <f aca="false">IF(I535="","",INDEX(הגדרות!$A$2:$A$21,MOD(I535+הגדרות!$E$9,הגדרות!$E$6)+1))</f>
        <v/>
      </c>
    </row>
    <row r="536" customFormat="false" ht="15" hidden="false" customHeight="false" outlineLevel="0" collapsed="false">
      <c r="A536" s="0" t="str">
        <f aca="false">IF('הדבקת לידים'!A536="","",IF(ISNUMBER('הדבקת לידים'!A536),IF(הגדרות!$E$2&gt;0,TEXT('הדבקת לידים'!A536,REPT("0",הגדרות!$E$2)),TEXT('הדבקת לידים'!A536,"0")),TRIM('הדבקת לידים'!A536)))</f>
        <v/>
      </c>
      <c r="B536" s="0" t="str">
        <f aca="false">IF('הדבקת לידים'!B536="","",IF(ISNUMBER('הדבקת לידים'!B536),IF(הגדרות!$E$3&gt;0,TEXT('הדבקת לידים'!B536,REPT("0",הגדרות!$E$3)),TEXT('הדבקת לידים'!B536,"0")),TRIM('הדבקת לידים'!B536)))</f>
        <v/>
      </c>
      <c r="C536" s="0" t="n">
        <f aca="false">IF(OR(A536&lt;&gt;"",B536&lt;&gt;""),1,0)</f>
        <v>0</v>
      </c>
      <c r="D536" s="0" t="str">
        <f aca="false">IF(C536=1,MOD(ABS(SIN(ROW()*12.9898+'הדבקת לידים'!$F$2*78.233+IFERROR(--RIGHT(A536,6),LEN(A536))*0.0137+IFERROR(--RIGHT(B536,6),LEN(B536))*0.0071))*43758.5453,1),"")</f>
        <v/>
      </c>
      <c r="E536" s="0" t="str">
        <f aca="false">IF(C536=1,INT(MOD(ABS(SIN(D536*7919.123+ROW()*0.618+'הדבקת לידים'!$F$2*1.3))*43758.5453,1)*1000000)*10000+ROW(),"")</f>
        <v/>
      </c>
      <c r="F536" s="0" t="str">
        <f aca="false">IF(E536="","",RANK(E536,$E$2:$E$5001,1))</f>
        <v/>
      </c>
      <c r="G536" s="0" t="n">
        <f aca="false">IF(A536="",0,IF(SUMPRODUCT(--($A$2:$A$5001=A536))&gt;1,1,0))</f>
        <v>0</v>
      </c>
      <c r="H536" s="0" t="n">
        <f aca="false">ROW()-1</f>
        <v>535</v>
      </c>
      <c r="I536" s="0" t="str">
        <f aca="false">IF(OR(הגדרות!$E$6=0,H536&gt;הגדרות!$E$5),"",IF(H536-1&lt;הגדרות!$E$8*(הגדרות!$E$7+1),INT((H536-1)/(הגדרות!$E$7+1)),הגדרות!$E$8+INT((H536-1-הגדרות!$E$8*(הגדרות!$E$7+1))/הגדרות!$E$7)))</f>
        <v/>
      </c>
      <c r="J536" s="0" t="str">
        <f aca="false">IF(I536="","",IF(H536-1&lt;הגדרות!$E$8*(הגדרות!$E$7+1),MOD(H536-1,הגדרות!$E$7+1),MOD(H536-1-הגדרות!$E$8*(הגדרות!$E$7+1),הגדרות!$E$7)))</f>
        <v/>
      </c>
      <c r="K536" s="0" t="str">
        <f aca="false">IF(I536="","",J536*הגדרות!$E$6+I536+1)</f>
        <v/>
      </c>
      <c r="L536" s="0" t="str">
        <f aca="false">IF(K536="","",MATCH(K536,$F$2:$F$5001,0))</f>
        <v/>
      </c>
      <c r="M536" s="0" t="str">
        <f aca="false">IF(I536="","",INDEX(הגדרות!$A$2:$A$21,MOD(I536+הגדרות!$E$9,הגדרות!$E$6)+1))</f>
        <v/>
      </c>
    </row>
    <row r="537" customFormat="false" ht="15" hidden="false" customHeight="false" outlineLevel="0" collapsed="false">
      <c r="A537" s="0" t="str">
        <f aca="false">IF('הדבקת לידים'!A537="","",IF(ISNUMBER('הדבקת לידים'!A537),IF(הגדרות!$E$2&gt;0,TEXT('הדבקת לידים'!A537,REPT("0",הגדרות!$E$2)),TEXT('הדבקת לידים'!A537,"0")),TRIM('הדבקת לידים'!A537)))</f>
        <v/>
      </c>
      <c r="B537" s="0" t="str">
        <f aca="false">IF('הדבקת לידים'!B537="","",IF(ISNUMBER('הדבקת לידים'!B537),IF(הגדרות!$E$3&gt;0,TEXT('הדבקת לידים'!B537,REPT("0",הגדרות!$E$3)),TEXT('הדבקת לידים'!B537,"0")),TRIM('הדבקת לידים'!B537)))</f>
        <v/>
      </c>
      <c r="C537" s="0" t="n">
        <f aca="false">IF(OR(A537&lt;&gt;"",B537&lt;&gt;""),1,0)</f>
        <v>0</v>
      </c>
      <c r="D537" s="0" t="str">
        <f aca="false">IF(C537=1,MOD(ABS(SIN(ROW()*12.9898+'הדבקת לידים'!$F$2*78.233+IFERROR(--RIGHT(A537,6),LEN(A537))*0.0137+IFERROR(--RIGHT(B537,6),LEN(B537))*0.0071))*43758.5453,1),"")</f>
        <v/>
      </c>
      <c r="E537" s="0" t="str">
        <f aca="false">IF(C537=1,INT(MOD(ABS(SIN(D537*7919.123+ROW()*0.618+'הדבקת לידים'!$F$2*1.3))*43758.5453,1)*1000000)*10000+ROW(),"")</f>
        <v/>
      </c>
      <c r="F537" s="0" t="str">
        <f aca="false">IF(E537="","",RANK(E537,$E$2:$E$5001,1))</f>
        <v/>
      </c>
      <c r="G537" s="0" t="n">
        <f aca="false">IF(A537="",0,IF(SUMPRODUCT(--($A$2:$A$5001=A537))&gt;1,1,0))</f>
        <v>0</v>
      </c>
      <c r="H537" s="0" t="n">
        <f aca="false">ROW()-1</f>
        <v>536</v>
      </c>
      <c r="I537" s="0" t="str">
        <f aca="false">IF(OR(הגדרות!$E$6=0,H537&gt;הגדרות!$E$5),"",IF(H537-1&lt;הגדרות!$E$8*(הגדרות!$E$7+1),INT((H537-1)/(הגדרות!$E$7+1)),הגדרות!$E$8+INT((H537-1-הגדרות!$E$8*(הגדרות!$E$7+1))/הגדרות!$E$7)))</f>
        <v/>
      </c>
      <c r="J537" s="0" t="str">
        <f aca="false">IF(I537="","",IF(H537-1&lt;הגדרות!$E$8*(הגדרות!$E$7+1),MOD(H537-1,הגדרות!$E$7+1),MOD(H537-1-הגדרות!$E$8*(הגדרות!$E$7+1),הגדרות!$E$7)))</f>
        <v/>
      </c>
      <c r="K537" s="0" t="str">
        <f aca="false">IF(I537="","",J537*הגדרות!$E$6+I537+1)</f>
        <v/>
      </c>
      <c r="L537" s="0" t="str">
        <f aca="false">IF(K537="","",MATCH(K537,$F$2:$F$5001,0))</f>
        <v/>
      </c>
      <c r="M537" s="0" t="str">
        <f aca="false">IF(I537="","",INDEX(הגדרות!$A$2:$A$21,MOD(I537+הגדרות!$E$9,הגדרות!$E$6)+1))</f>
        <v/>
      </c>
    </row>
    <row r="538" customFormat="false" ht="15" hidden="false" customHeight="false" outlineLevel="0" collapsed="false">
      <c r="A538" s="0" t="str">
        <f aca="false">IF('הדבקת לידים'!A538="","",IF(ISNUMBER('הדבקת לידים'!A538),IF(הגדרות!$E$2&gt;0,TEXT('הדבקת לידים'!A538,REPT("0",הגדרות!$E$2)),TEXT('הדבקת לידים'!A538,"0")),TRIM('הדבקת לידים'!A538)))</f>
        <v/>
      </c>
      <c r="B538" s="0" t="str">
        <f aca="false">IF('הדבקת לידים'!B538="","",IF(ISNUMBER('הדבקת לידים'!B538),IF(הגדרות!$E$3&gt;0,TEXT('הדבקת לידים'!B538,REPT("0",הגדרות!$E$3)),TEXT('הדבקת לידים'!B538,"0")),TRIM('הדבקת לידים'!B538)))</f>
        <v/>
      </c>
      <c r="C538" s="0" t="n">
        <f aca="false">IF(OR(A538&lt;&gt;"",B538&lt;&gt;""),1,0)</f>
        <v>0</v>
      </c>
      <c r="D538" s="0" t="str">
        <f aca="false">IF(C538=1,MOD(ABS(SIN(ROW()*12.9898+'הדבקת לידים'!$F$2*78.233+IFERROR(--RIGHT(A538,6),LEN(A538))*0.0137+IFERROR(--RIGHT(B538,6),LEN(B538))*0.0071))*43758.5453,1),"")</f>
        <v/>
      </c>
      <c r="E538" s="0" t="str">
        <f aca="false">IF(C538=1,INT(MOD(ABS(SIN(D538*7919.123+ROW()*0.618+'הדבקת לידים'!$F$2*1.3))*43758.5453,1)*1000000)*10000+ROW(),"")</f>
        <v/>
      </c>
      <c r="F538" s="0" t="str">
        <f aca="false">IF(E538="","",RANK(E538,$E$2:$E$5001,1))</f>
        <v/>
      </c>
      <c r="G538" s="0" t="n">
        <f aca="false">IF(A538="",0,IF(SUMPRODUCT(--($A$2:$A$5001=A538))&gt;1,1,0))</f>
        <v>0</v>
      </c>
      <c r="H538" s="0" t="n">
        <f aca="false">ROW()-1</f>
        <v>537</v>
      </c>
      <c r="I538" s="0" t="str">
        <f aca="false">IF(OR(הגדרות!$E$6=0,H538&gt;הגדרות!$E$5),"",IF(H538-1&lt;הגדרות!$E$8*(הגדרות!$E$7+1),INT((H538-1)/(הגדרות!$E$7+1)),הגדרות!$E$8+INT((H538-1-הגדרות!$E$8*(הגדרות!$E$7+1))/הגדרות!$E$7)))</f>
        <v/>
      </c>
      <c r="J538" s="0" t="str">
        <f aca="false">IF(I538="","",IF(H538-1&lt;הגדרות!$E$8*(הגדרות!$E$7+1),MOD(H538-1,הגדרות!$E$7+1),MOD(H538-1-הגדרות!$E$8*(הגדרות!$E$7+1),הגדרות!$E$7)))</f>
        <v/>
      </c>
      <c r="K538" s="0" t="str">
        <f aca="false">IF(I538="","",J538*הגדרות!$E$6+I538+1)</f>
        <v/>
      </c>
      <c r="L538" s="0" t="str">
        <f aca="false">IF(K538="","",MATCH(K538,$F$2:$F$5001,0))</f>
        <v/>
      </c>
      <c r="M538" s="0" t="str">
        <f aca="false">IF(I538="","",INDEX(הגדרות!$A$2:$A$21,MOD(I538+הגדרות!$E$9,הגדרות!$E$6)+1))</f>
        <v/>
      </c>
    </row>
    <row r="539" customFormat="false" ht="15" hidden="false" customHeight="false" outlineLevel="0" collapsed="false">
      <c r="A539" s="0" t="str">
        <f aca="false">IF('הדבקת לידים'!A539="","",IF(ISNUMBER('הדבקת לידים'!A539),IF(הגדרות!$E$2&gt;0,TEXT('הדבקת לידים'!A539,REPT("0",הגדרות!$E$2)),TEXT('הדבקת לידים'!A539,"0")),TRIM('הדבקת לידים'!A539)))</f>
        <v/>
      </c>
      <c r="B539" s="0" t="str">
        <f aca="false">IF('הדבקת לידים'!B539="","",IF(ISNUMBER('הדבקת לידים'!B539),IF(הגדרות!$E$3&gt;0,TEXT('הדבקת לידים'!B539,REPT("0",הגדרות!$E$3)),TEXT('הדבקת לידים'!B539,"0")),TRIM('הדבקת לידים'!B539)))</f>
        <v/>
      </c>
      <c r="C539" s="0" t="n">
        <f aca="false">IF(OR(A539&lt;&gt;"",B539&lt;&gt;""),1,0)</f>
        <v>0</v>
      </c>
      <c r="D539" s="0" t="str">
        <f aca="false">IF(C539=1,MOD(ABS(SIN(ROW()*12.9898+'הדבקת לידים'!$F$2*78.233+IFERROR(--RIGHT(A539,6),LEN(A539))*0.0137+IFERROR(--RIGHT(B539,6),LEN(B539))*0.0071))*43758.5453,1),"")</f>
        <v/>
      </c>
      <c r="E539" s="0" t="str">
        <f aca="false">IF(C539=1,INT(MOD(ABS(SIN(D539*7919.123+ROW()*0.618+'הדבקת לידים'!$F$2*1.3))*43758.5453,1)*1000000)*10000+ROW(),"")</f>
        <v/>
      </c>
      <c r="F539" s="0" t="str">
        <f aca="false">IF(E539="","",RANK(E539,$E$2:$E$5001,1))</f>
        <v/>
      </c>
      <c r="G539" s="0" t="n">
        <f aca="false">IF(A539="",0,IF(SUMPRODUCT(--($A$2:$A$5001=A539))&gt;1,1,0))</f>
        <v>0</v>
      </c>
      <c r="H539" s="0" t="n">
        <f aca="false">ROW()-1</f>
        <v>538</v>
      </c>
      <c r="I539" s="0" t="str">
        <f aca="false">IF(OR(הגדרות!$E$6=0,H539&gt;הגדרות!$E$5),"",IF(H539-1&lt;הגדרות!$E$8*(הגדרות!$E$7+1),INT((H539-1)/(הגדרות!$E$7+1)),הגדרות!$E$8+INT((H539-1-הגדרות!$E$8*(הגדרות!$E$7+1))/הגדרות!$E$7)))</f>
        <v/>
      </c>
      <c r="J539" s="0" t="str">
        <f aca="false">IF(I539="","",IF(H539-1&lt;הגדרות!$E$8*(הגדרות!$E$7+1),MOD(H539-1,הגדרות!$E$7+1),MOD(H539-1-הגדרות!$E$8*(הגדרות!$E$7+1),הגדרות!$E$7)))</f>
        <v/>
      </c>
      <c r="K539" s="0" t="str">
        <f aca="false">IF(I539="","",J539*הגדרות!$E$6+I539+1)</f>
        <v/>
      </c>
      <c r="L539" s="0" t="str">
        <f aca="false">IF(K539="","",MATCH(K539,$F$2:$F$5001,0))</f>
        <v/>
      </c>
      <c r="M539" s="0" t="str">
        <f aca="false">IF(I539="","",INDEX(הגדרות!$A$2:$A$21,MOD(I539+הגדרות!$E$9,הגדרות!$E$6)+1))</f>
        <v/>
      </c>
    </row>
    <row r="540" customFormat="false" ht="15" hidden="false" customHeight="false" outlineLevel="0" collapsed="false">
      <c r="A540" s="0" t="str">
        <f aca="false">IF('הדבקת לידים'!A540="","",IF(ISNUMBER('הדבקת לידים'!A540),IF(הגדרות!$E$2&gt;0,TEXT('הדבקת לידים'!A540,REPT("0",הגדרות!$E$2)),TEXT('הדבקת לידים'!A540,"0")),TRIM('הדבקת לידים'!A540)))</f>
        <v/>
      </c>
      <c r="B540" s="0" t="str">
        <f aca="false">IF('הדבקת לידים'!B540="","",IF(ISNUMBER('הדבקת לידים'!B540),IF(הגדרות!$E$3&gt;0,TEXT('הדבקת לידים'!B540,REPT("0",הגדרות!$E$3)),TEXT('הדבקת לידים'!B540,"0")),TRIM('הדבקת לידים'!B540)))</f>
        <v/>
      </c>
      <c r="C540" s="0" t="n">
        <f aca="false">IF(OR(A540&lt;&gt;"",B540&lt;&gt;""),1,0)</f>
        <v>0</v>
      </c>
      <c r="D540" s="0" t="str">
        <f aca="false">IF(C540=1,MOD(ABS(SIN(ROW()*12.9898+'הדבקת לידים'!$F$2*78.233+IFERROR(--RIGHT(A540,6),LEN(A540))*0.0137+IFERROR(--RIGHT(B540,6),LEN(B540))*0.0071))*43758.5453,1),"")</f>
        <v/>
      </c>
      <c r="E540" s="0" t="str">
        <f aca="false">IF(C540=1,INT(MOD(ABS(SIN(D540*7919.123+ROW()*0.618+'הדבקת לידים'!$F$2*1.3))*43758.5453,1)*1000000)*10000+ROW(),"")</f>
        <v/>
      </c>
      <c r="F540" s="0" t="str">
        <f aca="false">IF(E540="","",RANK(E540,$E$2:$E$5001,1))</f>
        <v/>
      </c>
      <c r="G540" s="0" t="n">
        <f aca="false">IF(A540="",0,IF(SUMPRODUCT(--($A$2:$A$5001=A540))&gt;1,1,0))</f>
        <v>0</v>
      </c>
      <c r="H540" s="0" t="n">
        <f aca="false">ROW()-1</f>
        <v>539</v>
      </c>
      <c r="I540" s="0" t="str">
        <f aca="false">IF(OR(הגדרות!$E$6=0,H540&gt;הגדרות!$E$5),"",IF(H540-1&lt;הגדרות!$E$8*(הגדרות!$E$7+1),INT((H540-1)/(הגדרות!$E$7+1)),הגדרות!$E$8+INT((H540-1-הגדרות!$E$8*(הגדרות!$E$7+1))/הגדרות!$E$7)))</f>
        <v/>
      </c>
      <c r="J540" s="0" t="str">
        <f aca="false">IF(I540="","",IF(H540-1&lt;הגדרות!$E$8*(הגדרות!$E$7+1),MOD(H540-1,הגדרות!$E$7+1),MOD(H540-1-הגדרות!$E$8*(הגדרות!$E$7+1),הגדרות!$E$7)))</f>
        <v/>
      </c>
      <c r="K540" s="0" t="str">
        <f aca="false">IF(I540="","",J540*הגדרות!$E$6+I540+1)</f>
        <v/>
      </c>
      <c r="L540" s="0" t="str">
        <f aca="false">IF(K540="","",MATCH(K540,$F$2:$F$5001,0))</f>
        <v/>
      </c>
      <c r="M540" s="0" t="str">
        <f aca="false">IF(I540="","",INDEX(הגדרות!$A$2:$A$21,MOD(I540+הגדרות!$E$9,הגדרות!$E$6)+1))</f>
        <v/>
      </c>
    </row>
    <row r="541" customFormat="false" ht="15" hidden="false" customHeight="false" outlineLevel="0" collapsed="false">
      <c r="A541" s="0" t="str">
        <f aca="false">IF('הדבקת לידים'!A541="","",IF(ISNUMBER('הדבקת לידים'!A541),IF(הגדרות!$E$2&gt;0,TEXT('הדבקת לידים'!A541,REPT("0",הגדרות!$E$2)),TEXT('הדבקת לידים'!A541,"0")),TRIM('הדבקת לידים'!A541)))</f>
        <v/>
      </c>
      <c r="B541" s="0" t="str">
        <f aca="false">IF('הדבקת לידים'!B541="","",IF(ISNUMBER('הדבקת לידים'!B541),IF(הגדרות!$E$3&gt;0,TEXT('הדבקת לידים'!B541,REPT("0",הגדרות!$E$3)),TEXT('הדבקת לידים'!B541,"0")),TRIM('הדבקת לידים'!B541)))</f>
        <v/>
      </c>
      <c r="C541" s="0" t="n">
        <f aca="false">IF(OR(A541&lt;&gt;"",B541&lt;&gt;""),1,0)</f>
        <v>0</v>
      </c>
      <c r="D541" s="0" t="str">
        <f aca="false">IF(C541=1,MOD(ABS(SIN(ROW()*12.9898+'הדבקת לידים'!$F$2*78.233+IFERROR(--RIGHT(A541,6),LEN(A541))*0.0137+IFERROR(--RIGHT(B541,6),LEN(B541))*0.0071))*43758.5453,1),"")</f>
        <v/>
      </c>
      <c r="E541" s="0" t="str">
        <f aca="false">IF(C541=1,INT(MOD(ABS(SIN(D541*7919.123+ROW()*0.618+'הדבקת לידים'!$F$2*1.3))*43758.5453,1)*1000000)*10000+ROW(),"")</f>
        <v/>
      </c>
      <c r="F541" s="0" t="str">
        <f aca="false">IF(E541="","",RANK(E541,$E$2:$E$5001,1))</f>
        <v/>
      </c>
      <c r="G541" s="0" t="n">
        <f aca="false">IF(A541="",0,IF(SUMPRODUCT(--($A$2:$A$5001=A541))&gt;1,1,0))</f>
        <v>0</v>
      </c>
      <c r="H541" s="0" t="n">
        <f aca="false">ROW()-1</f>
        <v>540</v>
      </c>
      <c r="I541" s="0" t="str">
        <f aca="false">IF(OR(הגדרות!$E$6=0,H541&gt;הגדרות!$E$5),"",IF(H541-1&lt;הגדרות!$E$8*(הגדרות!$E$7+1),INT((H541-1)/(הגדרות!$E$7+1)),הגדרות!$E$8+INT((H541-1-הגדרות!$E$8*(הגדרות!$E$7+1))/הגדרות!$E$7)))</f>
        <v/>
      </c>
      <c r="J541" s="0" t="str">
        <f aca="false">IF(I541="","",IF(H541-1&lt;הגדרות!$E$8*(הגדרות!$E$7+1),MOD(H541-1,הגדרות!$E$7+1),MOD(H541-1-הגדרות!$E$8*(הגדרות!$E$7+1),הגדרות!$E$7)))</f>
        <v/>
      </c>
      <c r="K541" s="0" t="str">
        <f aca="false">IF(I541="","",J541*הגדרות!$E$6+I541+1)</f>
        <v/>
      </c>
      <c r="L541" s="0" t="str">
        <f aca="false">IF(K541="","",MATCH(K541,$F$2:$F$5001,0))</f>
        <v/>
      </c>
      <c r="M541" s="0" t="str">
        <f aca="false">IF(I541="","",INDEX(הגדרות!$A$2:$A$21,MOD(I541+הגדרות!$E$9,הגדרות!$E$6)+1))</f>
        <v/>
      </c>
    </row>
    <row r="542" customFormat="false" ht="15" hidden="false" customHeight="false" outlineLevel="0" collapsed="false">
      <c r="A542" s="0" t="str">
        <f aca="false">IF('הדבקת לידים'!A542="","",IF(ISNUMBER('הדבקת לידים'!A542),IF(הגדרות!$E$2&gt;0,TEXT('הדבקת לידים'!A542,REPT("0",הגדרות!$E$2)),TEXT('הדבקת לידים'!A542,"0")),TRIM('הדבקת לידים'!A542)))</f>
        <v/>
      </c>
      <c r="B542" s="0" t="str">
        <f aca="false">IF('הדבקת לידים'!B542="","",IF(ISNUMBER('הדבקת לידים'!B542),IF(הגדרות!$E$3&gt;0,TEXT('הדבקת לידים'!B542,REPT("0",הגדרות!$E$3)),TEXT('הדבקת לידים'!B542,"0")),TRIM('הדבקת לידים'!B542)))</f>
        <v/>
      </c>
      <c r="C542" s="0" t="n">
        <f aca="false">IF(OR(A542&lt;&gt;"",B542&lt;&gt;""),1,0)</f>
        <v>0</v>
      </c>
      <c r="D542" s="0" t="str">
        <f aca="false">IF(C542=1,MOD(ABS(SIN(ROW()*12.9898+'הדבקת לידים'!$F$2*78.233+IFERROR(--RIGHT(A542,6),LEN(A542))*0.0137+IFERROR(--RIGHT(B542,6),LEN(B542))*0.0071))*43758.5453,1),"")</f>
        <v/>
      </c>
      <c r="E542" s="0" t="str">
        <f aca="false">IF(C542=1,INT(MOD(ABS(SIN(D542*7919.123+ROW()*0.618+'הדבקת לידים'!$F$2*1.3))*43758.5453,1)*1000000)*10000+ROW(),"")</f>
        <v/>
      </c>
      <c r="F542" s="0" t="str">
        <f aca="false">IF(E542="","",RANK(E542,$E$2:$E$5001,1))</f>
        <v/>
      </c>
      <c r="G542" s="0" t="n">
        <f aca="false">IF(A542="",0,IF(SUMPRODUCT(--($A$2:$A$5001=A542))&gt;1,1,0))</f>
        <v>0</v>
      </c>
      <c r="H542" s="0" t="n">
        <f aca="false">ROW()-1</f>
        <v>541</v>
      </c>
      <c r="I542" s="0" t="str">
        <f aca="false">IF(OR(הגדרות!$E$6=0,H542&gt;הגדרות!$E$5),"",IF(H542-1&lt;הגדרות!$E$8*(הגדרות!$E$7+1),INT((H542-1)/(הגדרות!$E$7+1)),הגדרות!$E$8+INT((H542-1-הגדרות!$E$8*(הגדרות!$E$7+1))/הגדרות!$E$7)))</f>
        <v/>
      </c>
      <c r="J542" s="0" t="str">
        <f aca="false">IF(I542="","",IF(H542-1&lt;הגדרות!$E$8*(הגדרות!$E$7+1),MOD(H542-1,הגדרות!$E$7+1),MOD(H542-1-הגדרות!$E$8*(הגדרות!$E$7+1),הגדרות!$E$7)))</f>
        <v/>
      </c>
      <c r="K542" s="0" t="str">
        <f aca="false">IF(I542="","",J542*הגדרות!$E$6+I542+1)</f>
        <v/>
      </c>
      <c r="L542" s="0" t="str">
        <f aca="false">IF(K542="","",MATCH(K542,$F$2:$F$5001,0))</f>
        <v/>
      </c>
      <c r="M542" s="0" t="str">
        <f aca="false">IF(I542="","",INDEX(הגדרות!$A$2:$A$21,MOD(I542+הגדרות!$E$9,הגדרות!$E$6)+1))</f>
        <v/>
      </c>
    </row>
    <row r="543" customFormat="false" ht="15" hidden="false" customHeight="false" outlineLevel="0" collapsed="false">
      <c r="A543" s="0" t="str">
        <f aca="false">IF('הדבקת לידים'!A543="","",IF(ISNUMBER('הדבקת לידים'!A543),IF(הגדרות!$E$2&gt;0,TEXT('הדבקת לידים'!A543,REPT("0",הגדרות!$E$2)),TEXT('הדבקת לידים'!A543,"0")),TRIM('הדבקת לידים'!A543)))</f>
        <v/>
      </c>
      <c r="B543" s="0" t="str">
        <f aca="false">IF('הדבקת לידים'!B543="","",IF(ISNUMBER('הדבקת לידים'!B543),IF(הגדרות!$E$3&gt;0,TEXT('הדבקת לידים'!B543,REPT("0",הגדרות!$E$3)),TEXT('הדבקת לידים'!B543,"0")),TRIM('הדבקת לידים'!B543)))</f>
        <v/>
      </c>
      <c r="C543" s="0" t="n">
        <f aca="false">IF(OR(A543&lt;&gt;"",B543&lt;&gt;""),1,0)</f>
        <v>0</v>
      </c>
      <c r="D543" s="0" t="str">
        <f aca="false">IF(C543=1,MOD(ABS(SIN(ROW()*12.9898+'הדבקת לידים'!$F$2*78.233+IFERROR(--RIGHT(A543,6),LEN(A543))*0.0137+IFERROR(--RIGHT(B543,6),LEN(B543))*0.0071))*43758.5453,1),"")</f>
        <v/>
      </c>
      <c r="E543" s="0" t="str">
        <f aca="false">IF(C543=1,INT(MOD(ABS(SIN(D543*7919.123+ROW()*0.618+'הדבקת לידים'!$F$2*1.3))*43758.5453,1)*1000000)*10000+ROW(),"")</f>
        <v/>
      </c>
      <c r="F543" s="0" t="str">
        <f aca="false">IF(E543="","",RANK(E543,$E$2:$E$5001,1))</f>
        <v/>
      </c>
      <c r="G543" s="0" t="n">
        <f aca="false">IF(A543="",0,IF(SUMPRODUCT(--($A$2:$A$5001=A543))&gt;1,1,0))</f>
        <v>0</v>
      </c>
      <c r="H543" s="0" t="n">
        <f aca="false">ROW()-1</f>
        <v>542</v>
      </c>
      <c r="I543" s="0" t="str">
        <f aca="false">IF(OR(הגדרות!$E$6=0,H543&gt;הגדרות!$E$5),"",IF(H543-1&lt;הגדרות!$E$8*(הגדרות!$E$7+1),INT((H543-1)/(הגדרות!$E$7+1)),הגדרות!$E$8+INT((H543-1-הגדרות!$E$8*(הגדרות!$E$7+1))/הגדרות!$E$7)))</f>
        <v/>
      </c>
      <c r="J543" s="0" t="str">
        <f aca="false">IF(I543="","",IF(H543-1&lt;הגדרות!$E$8*(הגדרות!$E$7+1),MOD(H543-1,הגדרות!$E$7+1),MOD(H543-1-הגדרות!$E$8*(הגדרות!$E$7+1),הגדרות!$E$7)))</f>
        <v/>
      </c>
      <c r="K543" s="0" t="str">
        <f aca="false">IF(I543="","",J543*הגדרות!$E$6+I543+1)</f>
        <v/>
      </c>
      <c r="L543" s="0" t="str">
        <f aca="false">IF(K543="","",MATCH(K543,$F$2:$F$5001,0))</f>
        <v/>
      </c>
      <c r="M543" s="0" t="str">
        <f aca="false">IF(I543="","",INDEX(הגדרות!$A$2:$A$21,MOD(I543+הגדרות!$E$9,הגדרות!$E$6)+1))</f>
        <v/>
      </c>
    </row>
    <row r="544" customFormat="false" ht="15" hidden="false" customHeight="false" outlineLevel="0" collapsed="false">
      <c r="A544" s="0" t="str">
        <f aca="false">IF('הדבקת לידים'!A544="","",IF(ISNUMBER('הדבקת לידים'!A544),IF(הגדרות!$E$2&gt;0,TEXT('הדבקת לידים'!A544,REPT("0",הגדרות!$E$2)),TEXT('הדבקת לידים'!A544,"0")),TRIM('הדבקת לידים'!A544)))</f>
        <v/>
      </c>
      <c r="B544" s="0" t="str">
        <f aca="false">IF('הדבקת לידים'!B544="","",IF(ISNUMBER('הדבקת לידים'!B544),IF(הגדרות!$E$3&gt;0,TEXT('הדבקת לידים'!B544,REPT("0",הגדרות!$E$3)),TEXT('הדבקת לידים'!B544,"0")),TRIM('הדבקת לידים'!B544)))</f>
        <v/>
      </c>
      <c r="C544" s="0" t="n">
        <f aca="false">IF(OR(A544&lt;&gt;"",B544&lt;&gt;""),1,0)</f>
        <v>0</v>
      </c>
      <c r="D544" s="0" t="str">
        <f aca="false">IF(C544=1,MOD(ABS(SIN(ROW()*12.9898+'הדבקת לידים'!$F$2*78.233+IFERROR(--RIGHT(A544,6),LEN(A544))*0.0137+IFERROR(--RIGHT(B544,6),LEN(B544))*0.0071))*43758.5453,1),"")</f>
        <v/>
      </c>
      <c r="E544" s="0" t="str">
        <f aca="false">IF(C544=1,INT(MOD(ABS(SIN(D544*7919.123+ROW()*0.618+'הדבקת לידים'!$F$2*1.3))*43758.5453,1)*1000000)*10000+ROW(),"")</f>
        <v/>
      </c>
      <c r="F544" s="0" t="str">
        <f aca="false">IF(E544="","",RANK(E544,$E$2:$E$5001,1))</f>
        <v/>
      </c>
      <c r="G544" s="0" t="n">
        <f aca="false">IF(A544="",0,IF(SUMPRODUCT(--($A$2:$A$5001=A544))&gt;1,1,0))</f>
        <v>0</v>
      </c>
      <c r="H544" s="0" t="n">
        <f aca="false">ROW()-1</f>
        <v>543</v>
      </c>
      <c r="I544" s="0" t="str">
        <f aca="false">IF(OR(הגדרות!$E$6=0,H544&gt;הגדרות!$E$5),"",IF(H544-1&lt;הגדרות!$E$8*(הגדרות!$E$7+1),INT((H544-1)/(הגדרות!$E$7+1)),הגדרות!$E$8+INT((H544-1-הגדרות!$E$8*(הגדרות!$E$7+1))/הגדרות!$E$7)))</f>
        <v/>
      </c>
      <c r="J544" s="0" t="str">
        <f aca="false">IF(I544="","",IF(H544-1&lt;הגדרות!$E$8*(הגדרות!$E$7+1),MOD(H544-1,הגדרות!$E$7+1),MOD(H544-1-הגדרות!$E$8*(הגדרות!$E$7+1),הגדרות!$E$7)))</f>
        <v/>
      </c>
      <c r="K544" s="0" t="str">
        <f aca="false">IF(I544="","",J544*הגדרות!$E$6+I544+1)</f>
        <v/>
      </c>
      <c r="L544" s="0" t="str">
        <f aca="false">IF(K544="","",MATCH(K544,$F$2:$F$5001,0))</f>
        <v/>
      </c>
      <c r="M544" s="0" t="str">
        <f aca="false">IF(I544="","",INDEX(הגדרות!$A$2:$A$21,MOD(I544+הגדרות!$E$9,הגדרות!$E$6)+1))</f>
        <v/>
      </c>
    </row>
    <row r="545" customFormat="false" ht="15" hidden="false" customHeight="false" outlineLevel="0" collapsed="false">
      <c r="A545" s="0" t="str">
        <f aca="false">IF('הדבקת לידים'!A545="","",IF(ISNUMBER('הדבקת לידים'!A545),IF(הגדרות!$E$2&gt;0,TEXT('הדבקת לידים'!A545,REPT("0",הגדרות!$E$2)),TEXT('הדבקת לידים'!A545,"0")),TRIM('הדבקת לידים'!A545)))</f>
        <v/>
      </c>
      <c r="B545" s="0" t="str">
        <f aca="false">IF('הדבקת לידים'!B545="","",IF(ISNUMBER('הדבקת לידים'!B545),IF(הגדרות!$E$3&gt;0,TEXT('הדבקת לידים'!B545,REPT("0",הגדרות!$E$3)),TEXT('הדבקת לידים'!B545,"0")),TRIM('הדבקת לידים'!B545)))</f>
        <v/>
      </c>
      <c r="C545" s="0" t="n">
        <f aca="false">IF(OR(A545&lt;&gt;"",B545&lt;&gt;""),1,0)</f>
        <v>0</v>
      </c>
      <c r="D545" s="0" t="str">
        <f aca="false">IF(C545=1,MOD(ABS(SIN(ROW()*12.9898+'הדבקת לידים'!$F$2*78.233+IFERROR(--RIGHT(A545,6),LEN(A545))*0.0137+IFERROR(--RIGHT(B545,6),LEN(B545))*0.0071))*43758.5453,1),"")</f>
        <v/>
      </c>
      <c r="E545" s="0" t="str">
        <f aca="false">IF(C545=1,INT(MOD(ABS(SIN(D545*7919.123+ROW()*0.618+'הדבקת לידים'!$F$2*1.3))*43758.5453,1)*1000000)*10000+ROW(),"")</f>
        <v/>
      </c>
      <c r="F545" s="0" t="str">
        <f aca="false">IF(E545="","",RANK(E545,$E$2:$E$5001,1))</f>
        <v/>
      </c>
      <c r="G545" s="0" t="n">
        <f aca="false">IF(A545="",0,IF(SUMPRODUCT(--($A$2:$A$5001=A545))&gt;1,1,0))</f>
        <v>0</v>
      </c>
      <c r="H545" s="0" t="n">
        <f aca="false">ROW()-1</f>
        <v>544</v>
      </c>
      <c r="I545" s="0" t="str">
        <f aca="false">IF(OR(הגדרות!$E$6=0,H545&gt;הגדרות!$E$5),"",IF(H545-1&lt;הגדרות!$E$8*(הגדרות!$E$7+1),INT((H545-1)/(הגדרות!$E$7+1)),הגדרות!$E$8+INT((H545-1-הגדרות!$E$8*(הגדרות!$E$7+1))/הגדרות!$E$7)))</f>
        <v/>
      </c>
      <c r="J545" s="0" t="str">
        <f aca="false">IF(I545="","",IF(H545-1&lt;הגדרות!$E$8*(הגדרות!$E$7+1),MOD(H545-1,הגדרות!$E$7+1),MOD(H545-1-הגדרות!$E$8*(הגדרות!$E$7+1),הגדרות!$E$7)))</f>
        <v/>
      </c>
      <c r="K545" s="0" t="str">
        <f aca="false">IF(I545="","",J545*הגדרות!$E$6+I545+1)</f>
        <v/>
      </c>
      <c r="L545" s="0" t="str">
        <f aca="false">IF(K545="","",MATCH(K545,$F$2:$F$5001,0))</f>
        <v/>
      </c>
      <c r="M545" s="0" t="str">
        <f aca="false">IF(I545="","",INDEX(הגדרות!$A$2:$A$21,MOD(I545+הגדרות!$E$9,הגדרות!$E$6)+1))</f>
        <v/>
      </c>
    </row>
    <row r="546" customFormat="false" ht="15" hidden="false" customHeight="false" outlineLevel="0" collapsed="false">
      <c r="A546" s="0" t="str">
        <f aca="false">IF('הדבקת לידים'!A546="","",IF(ISNUMBER('הדבקת לידים'!A546),IF(הגדרות!$E$2&gt;0,TEXT('הדבקת לידים'!A546,REPT("0",הגדרות!$E$2)),TEXT('הדבקת לידים'!A546,"0")),TRIM('הדבקת לידים'!A546)))</f>
        <v/>
      </c>
      <c r="B546" s="0" t="str">
        <f aca="false">IF('הדבקת לידים'!B546="","",IF(ISNUMBER('הדבקת לידים'!B546),IF(הגדרות!$E$3&gt;0,TEXT('הדבקת לידים'!B546,REPT("0",הגדרות!$E$3)),TEXT('הדבקת לידים'!B546,"0")),TRIM('הדבקת לידים'!B546)))</f>
        <v/>
      </c>
      <c r="C546" s="0" t="n">
        <f aca="false">IF(OR(A546&lt;&gt;"",B546&lt;&gt;""),1,0)</f>
        <v>0</v>
      </c>
      <c r="D546" s="0" t="str">
        <f aca="false">IF(C546=1,MOD(ABS(SIN(ROW()*12.9898+'הדבקת לידים'!$F$2*78.233+IFERROR(--RIGHT(A546,6),LEN(A546))*0.0137+IFERROR(--RIGHT(B546,6),LEN(B546))*0.0071))*43758.5453,1),"")</f>
        <v/>
      </c>
      <c r="E546" s="0" t="str">
        <f aca="false">IF(C546=1,INT(MOD(ABS(SIN(D546*7919.123+ROW()*0.618+'הדבקת לידים'!$F$2*1.3))*43758.5453,1)*1000000)*10000+ROW(),"")</f>
        <v/>
      </c>
      <c r="F546" s="0" t="str">
        <f aca="false">IF(E546="","",RANK(E546,$E$2:$E$5001,1))</f>
        <v/>
      </c>
      <c r="G546" s="0" t="n">
        <f aca="false">IF(A546="",0,IF(SUMPRODUCT(--($A$2:$A$5001=A546))&gt;1,1,0))</f>
        <v>0</v>
      </c>
      <c r="H546" s="0" t="n">
        <f aca="false">ROW()-1</f>
        <v>545</v>
      </c>
      <c r="I546" s="0" t="str">
        <f aca="false">IF(OR(הגדרות!$E$6=0,H546&gt;הגדרות!$E$5),"",IF(H546-1&lt;הגדרות!$E$8*(הגדרות!$E$7+1),INT((H546-1)/(הגדרות!$E$7+1)),הגדרות!$E$8+INT((H546-1-הגדרות!$E$8*(הגדרות!$E$7+1))/הגדרות!$E$7)))</f>
        <v/>
      </c>
      <c r="J546" s="0" t="str">
        <f aca="false">IF(I546="","",IF(H546-1&lt;הגדרות!$E$8*(הגדרות!$E$7+1),MOD(H546-1,הגדרות!$E$7+1),MOD(H546-1-הגדרות!$E$8*(הגדרות!$E$7+1),הגדרות!$E$7)))</f>
        <v/>
      </c>
      <c r="K546" s="0" t="str">
        <f aca="false">IF(I546="","",J546*הגדרות!$E$6+I546+1)</f>
        <v/>
      </c>
      <c r="L546" s="0" t="str">
        <f aca="false">IF(K546="","",MATCH(K546,$F$2:$F$5001,0))</f>
        <v/>
      </c>
      <c r="M546" s="0" t="str">
        <f aca="false">IF(I546="","",INDEX(הגדרות!$A$2:$A$21,MOD(I546+הגדרות!$E$9,הגדרות!$E$6)+1))</f>
        <v/>
      </c>
    </row>
    <row r="547" customFormat="false" ht="15" hidden="false" customHeight="false" outlineLevel="0" collapsed="false">
      <c r="A547" s="0" t="str">
        <f aca="false">IF('הדבקת לידים'!A547="","",IF(ISNUMBER('הדבקת לידים'!A547),IF(הגדרות!$E$2&gt;0,TEXT('הדבקת לידים'!A547,REPT("0",הגדרות!$E$2)),TEXT('הדבקת לידים'!A547,"0")),TRIM('הדבקת לידים'!A547)))</f>
        <v/>
      </c>
      <c r="B547" s="0" t="str">
        <f aca="false">IF('הדבקת לידים'!B547="","",IF(ISNUMBER('הדבקת לידים'!B547),IF(הגדרות!$E$3&gt;0,TEXT('הדבקת לידים'!B547,REPT("0",הגדרות!$E$3)),TEXT('הדבקת לידים'!B547,"0")),TRIM('הדבקת לידים'!B547)))</f>
        <v/>
      </c>
      <c r="C547" s="0" t="n">
        <f aca="false">IF(OR(A547&lt;&gt;"",B547&lt;&gt;""),1,0)</f>
        <v>0</v>
      </c>
      <c r="D547" s="0" t="str">
        <f aca="false">IF(C547=1,MOD(ABS(SIN(ROW()*12.9898+'הדבקת לידים'!$F$2*78.233+IFERROR(--RIGHT(A547,6),LEN(A547))*0.0137+IFERROR(--RIGHT(B547,6),LEN(B547))*0.0071))*43758.5453,1),"")</f>
        <v/>
      </c>
      <c r="E547" s="0" t="str">
        <f aca="false">IF(C547=1,INT(MOD(ABS(SIN(D547*7919.123+ROW()*0.618+'הדבקת לידים'!$F$2*1.3))*43758.5453,1)*1000000)*10000+ROW(),"")</f>
        <v/>
      </c>
      <c r="F547" s="0" t="str">
        <f aca="false">IF(E547="","",RANK(E547,$E$2:$E$5001,1))</f>
        <v/>
      </c>
      <c r="G547" s="0" t="n">
        <f aca="false">IF(A547="",0,IF(SUMPRODUCT(--($A$2:$A$5001=A547))&gt;1,1,0))</f>
        <v>0</v>
      </c>
      <c r="H547" s="0" t="n">
        <f aca="false">ROW()-1</f>
        <v>546</v>
      </c>
      <c r="I547" s="0" t="str">
        <f aca="false">IF(OR(הגדרות!$E$6=0,H547&gt;הגדרות!$E$5),"",IF(H547-1&lt;הגדרות!$E$8*(הגדרות!$E$7+1),INT((H547-1)/(הגדרות!$E$7+1)),הגדרות!$E$8+INT((H547-1-הגדרות!$E$8*(הגדרות!$E$7+1))/הגדרות!$E$7)))</f>
        <v/>
      </c>
      <c r="J547" s="0" t="str">
        <f aca="false">IF(I547="","",IF(H547-1&lt;הגדרות!$E$8*(הגדרות!$E$7+1),MOD(H547-1,הגדרות!$E$7+1),MOD(H547-1-הגדרות!$E$8*(הגדרות!$E$7+1),הגדרות!$E$7)))</f>
        <v/>
      </c>
      <c r="K547" s="0" t="str">
        <f aca="false">IF(I547="","",J547*הגדרות!$E$6+I547+1)</f>
        <v/>
      </c>
      <c r="L547" s="0" t="str">
        <f aca="false">IF(K547="","",MATCH(K547,$F$2:$F$5001,0))</f>
        <v/>
      </c>
      <c r="M547" s="0" t="str">
        <f aca="false">IF(I547="","",INDEX(הגדרות!$A$2:$A$21,MOD(I547+הגדרות!$E$9,הגדרות!$E$6)+1))</f>
        <v/>
      </c>
    </row>
    <row r="548" customFormat="false" ht="15" hidden="false" customHeight="false" outlineLevel="0" collapsed="false">
      <c r="A548" s="0" t="str">
        <f aca="false">IF('הדבקת לידים'!A548="","",IF(ISNUMBER('הדבקת לידים'!A548),IF(הגדרות!$E$2&gt;0,TEXT('הדבקת לידים'!A548,REPT("0",הגדרות!$E$2)),TEXT('הדבקת לידים'!A548,"0")),TRIM('הדבקת לידים'!A548)))</f>
        <v/>
      </c>
      <c r="B548" s="0" t="str">
        <f aca="false">IF('הדבקת לידים'!B548="","",IF(ISNUMBER('הדבקת לידים'!B548),IF(הגדרות!$E$3&gt;0,TEXT('הדבקת לידים'!B548,REPT("0",הגדרות!$E$3)),TEXT('הדבקת לידים'!B548,"0")),TRIM('הדבקת לידים'!B548)))</f>
        <v/>
      </c>
      <c r="C548" s="0" t="n">
        <f aca="false">IF(OR(A548&lt;&gt;"",B548&lt;&gt;""),1,0)</f>
        <v>0</v>
      </c>
      <c r="D548" s="0" t="str">
        <f aca="false">IF(C548=1,MOD(ABS(SIN(ROW()*12.9898+'הדבקת לידים'!$F$2*78.233+IFERROR(--RIGHT(A548,6),LEN(A548))*0.0137+IFERROR(--RIGHT(B548,6),LEN(B548))*0.0071))*43758.5453,1),"")</f>
        <v/>
      </c>
      <c r="E548" s="0" t="str">
        <f aca="false">IF(C548=1,INT(MOD(ABS(SIN(D548*7919.123+ROW()*0.618+'הדבקת לידים'!$F$2*1.3))*43758.5453,1)*1000000)*10000+ROW(),"")</f>
        <v/>
      </c>
      <c r="F548" s="0" t="str">
        <f aca="false">IF(E548="","",RANK(E548,$E$2:$E$5001,1))</f>
        <v/>
      </c>
      <c r="G548" s="0" t="n">
        <f aca="false">IF(A548="",0,IF(SUMPRODUCT(--($A$2:$A$5001=A548))&gt;1,1,0))</f>
        <v>0</v>
      </c>
      <c r="H548" s="0" t="n">
        <f aca="false">ROW()-1</f>
        <v>547</v>
      </c>
      <c r="I548" s="0" t="str">
        <f aca="false">IF(OR(הגדרות!$E$6=0,H548&gt;הגדרות!$E$5),"",IF(H548-1&lt;הגדרות!$E$8*(הגדרות!$E$7+1),INT((H548-1)/(הגדרות!$E$7+1)),הגדרות!$E$8+INT((H548-1-הגדרות!$E$8*(הגדרות!$E$7+1))/הגדרות!$E$7)))</f>
        <v/>
      </c>
      <c r="J548" s="0" t="str">
        <f aca="false">IF(I548="","",IF(H548-1&lt;הגדרות!$E$8*(הגדרות!$E$7+1),MOD(H548-1,הגדרות!$E$7+1),MOD(H548-1-הגדרות!$E$8*(הגדרות!$E$7+1),הגדרות!$E$7)))</f>
        <v/>
      </c>
      <c r="K548" s="0" t="str">
        <f aca="false">IF(I548="","",J548*הגדרות!$E$6+I548+1)</f>
        <v/>
      </c>
      <c r="L548" s="0" t="str">
        <f aca="false">IF(K548="","",MATCH(K548,$F$2:$F$5001,0))</f>
        <v/>
      </c>
      <c r="M548" s="0" t="str">
        <f aca="false">IF(I548="","",INDEX(הגדרות!$A$2:$A$21,MOD(I548+הגדרות!$E$9,הגדרות!$E$6)+1))</f>
        <v/>
      </c>
    </row>
    <row r="549" customFormat="false" ht="15" hidden="false" customHeight="false" outlineLevel="0" collapsed="false">
      <c r="A549" s="0" t="str">
        <f aca="false">IF('הדבקת לידים'!A549="","",IF(ISNUMBER('הדבקת לידים'!A549),IF(הגדרות!$E$2&gt;0,TEXT('הדבקת לידים'!A549,REPT("0",הגדרות!$E$2)),TEXT('הדבקת לידים'!A549,"0")),TRIM('הדבקת לידים'!A549)))</f>
        <v/>
      </c>
      <c r="B549" s="0" t="str">
        <f aca="false">IF('הדבקת לידים'!B549="","",IF(ISNUMBER('הדבקת לידים'!B549),IF(הגדרות!$E$3&gt;0,TEXT('הדבקת לידים'!B549,REPT("0",הגדרות!$E$3)),TEXT('הדבקת לידים'!B549,"0")),TRIM('הדבקת לידים'!B549)))</f>
        <v/>
      </c>
      <c r="C549" s="0" t="n">
        <f aca="false">IF(OR(A549&lt;&gt;"",B549&lt;&gt;""),1,0)</f>
        <v>0</v>
      </c>
      <c r="D549" s="0" t="str">
        <f aca="false">IF(C549=1,MOD(ABS(SIN(ROW()*12.9898+'הדבקת לידים'!$F$2*78.233+IFERROR(--RIGHT(A549,6),LEN(A549))*0.0137+IFERROR(--RIGHT(B549,6),LEN(B549))*0.0071))*43758.5453,1),"")</f>
        <v/>
      </c>
      <c r="E549" s="0" t="str">
        <f aca="false">IF(C549=1,INT(MOD(ABS(SIN(D549*7919.123+ROW()*0.618+'הדבקת לידים'!$F$2*1.3))*43758.5453,1)*1000000)*10000+ROW(),"")</f>
        <v/>
      </c>
      <c r="F549" s="0" t="str">
        <f aca="false">IF(E549="","",RANK(E549,$E$2:$E$5001,1))</f>
        <v/>
      </c>
      <c r="G549" s="0" t="n">
        <f aca="false">IF(A549="",0,IF(SUMPRODUCT(--($A$2:$A$5001=A549))&gt;1,1,0))</f>
        <v>0</v>
      </c>
      <c r="H549" s="0" t="n">
        <f aca="false">ROW()-1</f>
        <v>548</v>
      </c>
      <c r="I549" s="0" t="str">
        <f aca="false">IF(OR(הגדרות!$E$6=0,H549&gt;הגדרות!$E$5),"",IF(H549-1&lt;הגדרות!$E$8*(הגדרות!$E$7+1),INT((H549-1)/(הגדרות!$E$7+1)),הגדרות!$E$8+INT((H549-1-הגדרות!$E$8*(הגדרות!$E$7+1))/הגדרות!$E$7)))</f>
        <v/>
      </c>
      <c r="J549" s="0" t="str">
        <f aca="false">IF(I549="","",IF(H549-1&lt;הגדרות!$E$8*(הגדרות!$E$7+1),MOD(H549-1,הגדרות!$E$7+1),MOD(H549-1-הגדרות!$E$8*(הגדרות!$E$7+1),הגדרות!$E$7)))</f>
        <v/>
      </c>
      <c r="K549" s="0" t="str">
        <f aca="false">IF(I549="","",J549*הגדרות!$E$6+I549+1)</f>
        <v/>
      </c>
      <c r="L549" s="0" t="str">
        <f aca="false">IF(K549="","",MATCH(K549,$F$2:$F$5001,0))</f>
        <v/>
      </c>
      <c r="M549" s="0" t="str">
        <f aca="false">IF(I549="","",INDEX(הגדרות!$A$2:$A$21,MOD(I549+הגדרות!$E$9,הגדרות!$E$6)+1))</f>
        <v/>
      </c>
    </row>
    <row r="550" customFormat="false" ht="15" hidden="false" customHeight="false" outlineLevel="0" collapsed="false">
      <c r="A550" s="0" t="str">
        <f aca="false">IF('הדבקת לידים'!A550="","",IF(ISNUMBER('הדבקת לידים'!A550),IF(הגדרות!$E$2&gt;0,TEXT('הדבקת לידים'!A550,REPT("0",הגדרות!$E$2)),TEXT('הדבקת לידים'!A550,"0")),TRIM('הדבקת לידים'!A550)))</f>
        <v/>
      </c>
      <c r="B550" s="0" t="str">
        <f aca="false">IF('הדבקת לידים'!B550="","",IF(ISNUMBER('הדבקת לידים'!B550),IF(הגדרות!$E$3&gt;0,TEXT('הדבקת לידים'!B550,REPT("0",הגדרות!$E$3)),TEXT('הדבקת לידים'!B550,"0")),TRIM('הדבקת לידים'!B550)))</f>
        <v/>
      </c>
      <c r="C550" s="0" t="n">
        <f aca="false">IF(OR(A550&lt;&gt;"",B550&lt;&gt;""),1,0)</f>
        <v>0</v>
      </c>
      <c r="D550" s="0" t="str">
        <f aca="false">IF(C550=1,MOD(ABS(SIN(ROW()*12.9898+'הדבקת לידים'!$F$2*78.233+IFERROR(--RIGHT(A550,6),LEN(A550))*0.0137+IFERROR(--RIGHT(B550,6),LEN(B550))*0.0071))*43758.5453,1),"")</f>
        <v/>
      </c>
      <c r="E550" s="0" t="str">
        <f aca="false">IF(C550=1,INT(MOD(ABS(SIN(D550*7919.123+ROW()*0.618+'הדבקת לידים'!$F$2*1.3))*43758.5453,1)*1000000)*10000+ROW(),"")</f>
        <v/>
      </c>
      <c r="F550" s="0" t="str">
        <f aca="false">IF(E550="","",RANK(E550,$E$2:$E$5001,1))</f>
        <v/>
      </c>
      <c r="G550" s="0" t="n">
        <f aca="false">IF(A550="",0,IF(SUMPRODUCT(--($A$2:$A$5001=A550))&gt;1,1,0))</f>
        <v>0</v>
      </c>
      <c r="H550" s="0" t="n">
        <f aca="false">ROW()-1</f>
        <v>549</v>
      </c>
      <c r="I550" s="0" t="str">
        <f aca="false">IF(OR(הגדרות!$E$6=0,H550&gt;הגדרות!$E$5),"",IF(H550-1&lt;הגדרות!$E$8*(הגדרות!$E$7+1),INT((H550-1)/(הגדרות!$E$7+1)),הגדרות!$E$8+INT((H550-1-הגדרות!$E$8*(הגדרות!$E$7+1))/הגדרות!$E$7)))</f>
        <v/>
      </c>
      <c r="J550" s="0" t="str">
        <f aca="false">IF(I550="","",IF(H550-1&lt;הגדרות!$E$8*(הגדרות!$E$7+1),MOD(H550-1,הגדרות!$E$7+1),MOD(H550-1-הגדרות!$E$8*(הגדרות!$E$7+1),הגדרות!$E$7)))</f>
        <v/>
      </c>
      <c r="K550" s="0" t="str">
        <f aca="false">IF(I550="","",J550*הגדרות!$E$6+I550+1)</f>
        <v/>
      </c>
      <c r="L550" s="0" t="str">
        <f aca="false">IF(K550="","",MATCH(K550,$F$2:$F$5001,0))</f>
        <v/>
      </c>
      <c r="M550" s="0" t="str">
        <f aca="false">IF(I550="","",INDEX(הגדרות!$A$2:$A$21,MOD(I550+הגדרות!$E$9,הגדרות!$E$6)+1))</f>
        <v/>
      </c>
    </row>
    <row r="551" customFormat="false" ht="15" hidden="false" customHeight="false" outlineLevel="0" collapsed="false">
      <c r="A551" s="0" t="str">
        <f aca="false">IF('הדבקת לידים'!A551="","",IF(ISNUMBER('הדבקת לידים'!A551),IF(הגדרות!$E$2&gt;0,TEXT('הדבקת לידים'!A551,REPT("0",הגדרות!$E$2)),TEXT('הדבקת לידים'!A551,"0")),TRIM('הדבקת לידים'!A551)))</f>
        <v/>
      </c>
      <c r="B551" s="0" t="str">
        <f aca="false">IF('הדבקת לידים'!B551="","",IF(ISNUMBER('הדבקת לידים'!B551),IF(הגדרות!$E$3&gt;0,TEXT('הדבקת לידים'!B551,REPT("0",הגדרות!$E$3)),TEXT('הדבקת לידים'!B551,"0")),TRIM('הדבקת לידים'!B551)))</f>
        <v/>
      </c>
      <c r="C551" s="0" t="n">
        <f aca="false">IF(OR(A551&lt;&gt;"",B551&lt;&gt;""),1,0)</f>
        <v>0</v>
      </c>
      <c r="D551" s="0" t="str">
        <f aca="false">IF(C551=1,MOD(ABS(SIN(ROW()*12.9898+'הדבקת לידים'!$F$2*78.233+IFERROR(--RIGHT(A551,6),LEN(A551))*0.0137+IFERROR(--RIGHT(B551,6),LEN(B551))*0.0071))*43758.5453,1),"")</f>
        <v/>
      </c>
      <c r="E551" s="0" t="str">
        <f aca="false">IF(C551=1,INT(MOD(ABS(SIN(D551*7919.123+ROW()*0.618+'הדבקת לידים'!$F$2*1.3))*43758.5453,1)*1000000)*10000+ROW(),"")</f>
        <v/>
      </c>
      <c r="F551" s="0" t="str">
        <f aca="false">IF(E551="","",RANK(E551,$E$2:$E$5001,1))</f>
        <v/>
      </c>
      <c r="G551" s="0" t="n">
        <f aca="false">IF(A551="",0,IF(SUMPRODUCT(--($A$2:$A$5001=A551))&gt;1,1,0))</f>
        <v>0</v>
      </c>
      <c r="H551" s="0" t="n">
        <f aca="false">ROW()-1</f>
        <v>550</v>
      </c>
      <c r="I551" s="0" t="str">
        <f aca="false">IF(OR(הגדרות!$E$6=0,H551&gt;הגדרות!$E$5),"",IF(H551-1&lt;הגדרות!$E$8*(הגדרות!$E$7+1),INT((H551-1)/(הגדרות!$E$7+1)),הגדרות!$E$8+INT((H551-1-הגדרות!$E$8*(הגדרות!$E$7+1))/הגדרות!$E$7)))</f>
        <v/>
      </c>
      <c r="J551" s="0" t="str">
        <f aca="false">IF(I551="","",IF(H551-1&lt;הגדרות!$E$8*(הגדרות!$E$7+1),MOD(H551-1,הגדרות!$E$7+1),MOD(H551-1-הגדרות!$E$8*(הגדרות!$E$7+1),הגדרות!$E$7)))</f>
        <v/>
      </c>
      <c r="K551" s="0" t="str">
        <f aca="false">IF(I551="","",J551*הגדרות!$E$6+I551+1)</f>
        <v/>
      </c>
      <c r="L551" s="0" t="str">
        <f aca="false">IF(K551="","",MATCH(K551,$F$2:$F$5001,0))</f>
        <v/>
      </c>
      <c r="M551" s="0" t="str">
        <f aca="false">IF(I551="","",INDEX(הגדרות!$A$2:$A$21,MOD(I551+הגדרות!$E$9,הגדרות!$E$6)+1))</f>
        <v/>
      </c>
    </row>
    <row r="552" customFormat="false" ht="15" hidden="false" customHeight="false" outlineLevel="0" collapsed="false">
      <c r="A552" s="0" t="str">
        <f aca="false">IF('הדבקת לידים'!A552="","",IF(ISNUMBER('הדבקת לידים'!A552),IF(הגדרות!$E$2&gt;0,TEXT('הדבקת לידים'!A552,REPT("0",הגדרות!$E$2)),TEXT('הדבקת לידים'!A552,"0")),TRIM('הדבקת לידים'!A552)))</f>
        <v/>
      </c>
      <c r="B552" s="0" t="str">
        <f aca="false">IF('הדבקת לידים'!B552="","",IF(ISNUMBER('הדבקת לידים'!B552),IF(הגדרות!$E$3&gt;0,TEXT('הדבקת לידים'!B552,REPT("0",הגדרות!$E$3)),TEXT('הדבקת לידים'!B552,"0")),TRIM('הדבקת לידים'!B552)))</f>
        <v/>
      </c>
      <c r="C552" s="0" t="n">
        <f aca="false">IF(OR(A552&lt;&gt;"",B552&lt;&gt;""),1,0)</f>
        <v>0</v>
      </c>
      <c r="D552" s="0" t="str">
        <f aca="false">IF(C552=1,MOD(ABS(SIN(ROW()*12.9898+'הדבקת לידים'!$F$2*78.233+IFERROR(--RIGHT(A552,6),LEN(A552))*0.0137+IFERROR(--RIGHT(B552,6),LEN(B552))*0.0071))*43758.5453,1),"")</f>
        <v/>
      </c>
      <c r="E552" s="0" t="str">
        <f aca="false">IF(C552=1,INT(MOD(ABS(SIN(D552*7919.123+ROW()*0.618+'הדבקת לידים'!$F$2*1.3))*43758.5453,1)*1000000)*10000+ROW(),"")</f>
        <v/>
      </c>
      <c r="F552" s="0" t="str">
        <f aca="false">IF(E552="","",RANK(E552,$E$2:$E$5001,1))</f>
        <v/>
      </c>
      <c r="G552" s="0" t="n">
        <f aca="false">IF(A552="",0,IF(SUMPRODUCT(--($A$2:$A$5001=A552))&gt;1,1,0))</f>
        <v>0</v>
      </c>
      <c r="H552" s="0" t="n">
        <f aca="false">ROW()-1</f>
        <v>551</v>
      </c>
      <c r="I552" s="0" t="str">
        <f aca="false">IF(OR(הגדרות!$E$6=0,H552&gt;הגדרות!$E$5),"",IF(H552-1&lt;הגדרות!$E$8*(הגדרות!$E$7+1),INT((H552-1)/(הגדרות!$E$7+1)),הגדרות!$E$8+INT((H552-1-הגדרות!$E$8*(הגדרות!$E$7+1))/הגדרות!$E$7)))</f>
        <v/>
      </c>
      <c r="J552" s="0" t="str">
        <f aca="false">IF(I552="","",IF(H552-1&lt;הגדרות!$E$8*(הגדרות!$E$7+1),MOD(H552-1,הגדרות!$E$7+1),MOD(H552-1-הגדרות!$E$8*(הגדרות!$E$7+1),הגדרות!$E$7)))</f>
        <v/>
      </c>
      <c r="K552" s="0" t="str">
        <f aca="false">IF(I552="","",J552*הגדרות!$E$6+I552+1)</f>
        <v/>
      </c>
      <c r="L552" s="0" t="str">
        <f aca="false">IF(K552="","",MATCH(K552,$F$2:$F$5001,0))</f>
        <v/>
      </c>
      <c r="M552" s="0" t="str">
        <f aca="false">IF(I552="","",INDEX(הגדרות!$A$2:$A$21,MOD(I552+הגדרות!$E$9,הגדרות!$E$6)+1))</f>
        <v/>
      </c>
    </row>
    <row r="553" customFormat="false" ht="15" hidden="false" customHeight="false" outlineLevel="0" collapsed="false">
      <c r="A553" s="0" t="str">
        <f aca="false">IF('הדבקת לידים'!A553="","",IF(ISNUMBER('הדבקת לידים'!A553),IF(הגדרות!$E$2&gt;0,TEXT('הדבקת לידים'!A553,REPT("0",הגדרות!$E$2)),TEXT('הדבקת לידים'!A553,"0")),TRIM('הדבקת לידים'!A553)))</f>
        <v/>
      </c>
      <c r="B553" s="0" t="str">
        <f aca="false">IF('הדבקת לידים'!B553="","",IF(ISNUMBER('הדבקת לידים'!B553),IF(הגדרות!$E$3&gt;0,TEXT('הדבקת לידים'!B553,REPT("0",הגדרות!$E$3)),TEXT('הדבקת לידים'!B553,"0")),TRIM('הדבקת לידים'!B553)))</f>
        <v/>
      </c>
      <c r="C553" s="0" t="n">
        <f aca="false">IF(OR(A553&lt;&gt;"",B553&lt;&gt;""),1,0)</f>
        <v>0</v>
      </c>
      <c r="D553" s="0" t="str">
        <f aca="false">IF(C553=1,MOD(ABS(SIN(ROW()*12.9898+'הדבקת לידים'!$F$2*78.233+IFERROR(--RIGHT(A553,6),LEN(A553))*0.0137+IFERROR(--RIGHT(B553,6),LEN(B553))*0.0071))*43758.5453,1),"")</f>
        <v/>
      </c>
      <c r="E553" s="0" t="str">
        <f aca="false">IF(C553=1,INT(MOD(ABS(SIN(D553*7919.123+ROW()*0.618+'הדבקת לידים'!$F$2*1.3))*43758.5453,1)*1000000)*10000+ROW(),"")</f>
        <v/>
      </c>
      <c r="F553" s="0" t="str">
        <f aca="false">IF(E553="","",RANK(E553,$E$2:$E$5001,1))</f>
        <v/>
      </c>
      <c r="G553" s="0" t="n">
        <f aca="false">IF(A553="",0,IF(SUMPRODUCT(--($A$2:$A$5001=A553))&gt;1,1,0))</f>
        <v>0</v>
      </c>
      <c r="H553" s="0" t="n">
        <f aca="false">ROW()-1</f>
        <v>552</v>
      </c>
      <c r="I553" s="0" t="str">
        <f aca="false">IF(OR(הגדרות!$E$6=0,H553&gt;הגדרות!$E$5),"",IF(H553-1&lt;הגדרות!$E$8*(הגדרות!$E$7+1),INT((H553-1)/(הגדרות!$E$7+1)),הגדרות!$E$8+INT((H553-1-הגדרות!$E$8*(הגדרות!$E$7+1))/הגדרות!$E$7)))</f>
        <v/>
      </c>
      <c r="J553" s="0" t="str">
        <f aca="false">IF(I553="","",IF(H553-1&lt;הגדרות!$E$8*(הגדרות!$E$7+1),MOD(H553-1,הגדרות!$E$7+1),MOD(H553-1-הגדרות!$E$8*(הגדרות!$E$7+1),הגדרות!$E$7)))</f>
        <v/>
      </c>
      <c r="K553" s="0" t="str">
        <f aca="false">IF(I553="","",J553*הגדרות!$E$6+I553+1)</f>
        <v/>
      </c>
      <c r="L553" s="0" t="str">
        <f aca="false">IF(K553="","",MATCH(K553,$F$2:$F$5001,0))</f>
        <v/>
      </c>
      <c r="M553" s="0" t="str">
        <f aca="false">IF(I553="","",INDEX(הגדרות!$A$2:$A$21,MOD(I553+הגדרות!$E$9,הגדרות!$E$6)+1))</f>
        <v/>
      </c>
    </row>
    <row r="554" customFormat="false" ht="15" hidden="false" customHeight="false" outlineLevel="0" collapsed="false">
      <c r="A554" s="0" t="str">
        <f aca="false">IF('הדבקת לידים'!A554="","",IF(ISNUMBER('הדבקת לידים'!A554),IF(הגדרות!$E$2&gt;0,TEXT('הדבקת לידים'!A554,REPT("0",הגדרות!$E$2)),TEXT('הדבקת לידים'!A554,"0")),TRIM('הדבקת לידים'!A554)))</f>
        <v/>
      </c>
      <c r="B554" s="0" t="str">
        <f aca="false">IF('הדבקת לידים'!B554="","",IF(ISNUMBER('הדבקת לידים'!B554),IF(הגדרות!$E$3&gt;0,TEXT('הדבקת לידים'!B554,REPT("0",הגדרות!$E$3)),TEXT('הדבקת לידים'!B554,"0")),TRIM('הדבקת לידים'!B554)))</f>
        <v/>
      </c>
      <c r="C554" s="0" t="n">
        <f aca="false">IF(OR(A554&lt;&gt;"",B554&lt;&gt;""),1,0)</f>
        <v>0</v>
      </c>
      <c r="D554" s="0" t="str">
        <f aca="false">IF(C554=1,MOD(ABS(SIN(ROW()*12.9898+'הדבקת לידים'!$F$2*78.233+IFERROR(--RIGHT(A554,6),LEN(A554))*0.0137+IFERROR(--RIGHT(B554,6),LEN(B554))*0.0071))*43758.5453,1),"")</f>
        <v/>
      </c>
      <c r="E554" s="0" t="str">
        <f aca="false">IF(C554=1,INT(MOD(ABS(SIN(D554*7919.123+ROW()*0.618+'הדבקת לידים'!$F$2*1.3))*43758.5453,1)*1000000)*10000+ROW(),"")</f>
        <v/>
      </c>
      <c r="F554" s="0" t="str">
        <f aca="false">IF(E554="","",RANK(E554,$E$2:$E$5001,1))</f>
        <v/>
      </c>
      <c r="G554" s="0" t="n">
        <f aca="false">IF(A554="",0,IF(SUMPRODUCT(--($A$2:$A$5001=A554))&gt;1,1,0))</f>
        <v>0</v>
      </c>
      <c r="H554" s="0" t="n">
        <f aca="false">ROW()-1</f>
        <v>553</v>
      </c>
      <c r="I554" s="0" t="str">
        <f aca="false">IF(OR(הגדרות!$E$6=0,H554&gt;הגדרות!$E$5),"",IF(H554-1&lt;הגדרות!$E$8*(הגדרות!$E$7+1),INT((H554-1)/(הגדרות!$E$7+1)),הגדרות!$E$8+INT((H554-1-הגדרות!$E$8*(הגדרות!$E$7+1))/הגדרות!$E$7)))</f>
        <v/>
      </c>
      <c r="J554" s="0" t="str">
        <f aca="false">IF(I554="","",IF(H554-1&lt;הגדרות!$E$8*(הגדרות!$E$7+1),MOD(H554-1,הגדרות!$E$7+1),MOD(H554-1-הגדרות!$E$8*(הגדרות!$E$7+1),הגדרות!$E$7)))</f>
        <v/>
      </c>
      <c r="K554" s="0" t="str">
        <f aca="false">IF(I554="","",J554*הגדרות!$E$6+I554+1)</f>
        <v/>
      </c>
      <c r="L554" s="0" t="str">
        <f aca="false">IF(K554="","",MATCH(K554,$F$2:$F$5001,0))</f>
        <v/>
      </c>
      <c r="M554" s="0" t="str">
        <f aca="false">IF(I554="","",INDEX(הגדרות!$A$2:$A$21,MOD(I554+הגדרות!$E$9,הגדרות!$E$6)+1))</f>
        <v/>
      </c>
    </row>
    <row r="555" customFormat="false" ht="15" hidden="false" customHeight="false" outlineLevel="0" collapsed="false">
      <c r="A555" s="0" t="str">
        <f aca="false">IF('הדבקת לידים'!A555="","",IF(ISNUMBER('הדבקת לידים'!A555),IF(הגדרות!$E$2&gt;0,TEXT('הדבקת לידים'!A555,REPT("0",הגדרות!$E$2)),TEXT('הדבקת לידים'!A555,"0")),TRIM('הדבקת לידים'!A555)))</f>
        <v/>
      </c>
      <c r="B555" s="0" t="str">
        <f aca="false">IF('הדבקת לידים'!B555="","",IF(ISNUMBER('הדבקת לידים'!B555),IF(הגדרות!$E$3&gt;0,TEXT('הדבקת לידים'!B555,REPT("0",הגדרות!$E$3)),TEXT('הדבקת לידים'!B555,"0")),TRIM('הדבקת לידים'!B555)))</f>
        <v/>
      </c>
      <c r="C555" s="0" t="n">
        <f aca="false">IF(OR(A555&lt;&gt;"",B555&lt;&gt;""),1,0)</f>
        <v>0</v>
      </c>
      <c r="D555" s="0" t="str">
        <f aca="false">IF(C555=1,MOD(ABS(SIN(ROW()*12.9898+'הדבקת לידים'!$F$2*78.233+IFERROR(--RIGHT(A555,6),LEN(A555))*0.0137+IFERROR(--RIGHT(B555,6),LEN(B555))*0.0071))*43758.5453,1),"")</f>
        <v/>
      </c>
      <c r="E555" s="0" t="str">
        <f aca="false">IF(C555=1,INT(MOD(ABS(SIN(D555*7919.123+ROW()*0.618+'הדבקת לידים'!$F$2*1.3))*43758.5453,1)*1000000)*10000+ROW(),"")</f>
        <v/>
      </c>
      <c r="F555" s="0" t="str">
        <f aca="false">IF(E555="","",RANK(E555,$E$2:$E$5001,1))</f>
        <v/>
      </c>
      <c r="G555" s="0" t="n">
        <f aca="false">IF(A555="",0,IF(SUMPRODUCT(--($A$2:$A$5001=A555))&gt;1,1,0))</f>
        <v>0</v>
      </c>
      <c r="H555" s="0" t="n">
        <f aca="false">ROW()-1</f>
        <v>554</v>
      </c>
      <c r="I555" s="0" t="str">
        <f aca="false">IF(OR(הגדרות!$E$6=0,H555&gt;הגדרות!$E$5),"",IF(H555-1&lt;הגדרות!$E$8*(הגדרות!$E$7+1),INT((H555-1)/(הגדרות!$E$7+1)),הגדרות!$E$8+INT((H555-1-הגדרות!$E$8*(הגדרות!$E$7+1))/הגדרות!$E$7)))</f>
        <v/>
      </c>
      <c r="J555" s="0" t="str">
        <f aca="false">IF(I555="","",IF(H555-1&lt;הגדרות!$E$8*(הגדרות!$E$7+1),MOD(H555-1,הגדרות!$E$7+1),MOD(H555-1-הגדרות!$E$8*(הגדרות!$E$7+1),הגדרות!$E$7)))</f>
        <v/>
      </c>
      <c r="K555" s="0" t="str">
        <f aca="false">IF(I555="","",J555*הגדרות!$E$6+I555+1)</f>
        <v/>
      </c>
      <c r="L555" s="0" t="str">
        <f aca="false">IF(K555="","",MATCH(K555,$F$2:$F$5001,0))</f>
        <v/>
      </c>
      <c r="M555" s="0" t="str">
        <f aca="false">IF(I555="","",INDEX(הגדרות!$A$2:$A$21,MOD(I555+הגדרות!$E$9,הגדרות!$E$6)+1))</f>
        <v/>
      </c>
    </row>
    <row r="556" customFormat="false" ht="15" hidden="false" customHeight="false" outlineLevel="0" collapsed="false">
      <c r="A556" s="0" t="str">
        <f aca="false">IF('הדבקת לידים'!A556="","",IF(ISNUMBER('הדבקת לידים'!A556),IF(הגדרות!$E$2&gt;0,TEXT('הדבקת לידים'!A556,REPT("0",הגדרות!$E$2)),TEXT('הדבקת לידים'!A556,"0")),TRIM('הדבקת לידים'!A556)))</f>
        <v/>
      </c>
      <c r="B556" s="0" t="str">
        <f aca="false">IF('הדבקת לידים'!B556="","",IF(ISNUMBER('הדבקת לידים'!B556),IF(הגדרות!$E$3&gt;0,TEXT('הדבקת לידים'!B556,REPT("0",הגדרות!$E$3)),TEXT('הדבקת לידים'!B556,"0")),TRIM('הדבקת לידים'!B556)))</f>
        <v/>
      </c>
      <c r="C556" s="0" t="n">
        <f aca="false">IF(OR(A556&lt;&gt;"",B556&lt;&gt;""),1,0)</f>
        <v>0</v>
      </c>
      <c r="D556" s="0" t="str">
        <f aca="false">IF(C556=1,MOD(ABS(SIN(ROW()*12.9898+'הדבקת לידים'!$F$2*78.233+IFERROR(--RIGHT(A556,6),LEN(A556))*0.0137+IFERROR(--RIGHT(B556,6),LEN(B556))*0.0071))*43758.5453,1),"")</f>
        <v/>
      </c>
      <c r="E556" s="0" t="str">
        <f aca="false">IF(C556=1,INT(MOD(ABS(SIN(D556*7919.123+ROW()*0.618+'הדבקת לידים'!$F$2*1.3))*43758.5453,1)*1000000)*10000+ROW(),"")</f>
        <v/>
      </c>
      <c r="F556" s="0" t="str">
        <f aca="false">IF(E556="","",RANK(E556,$E$2:$E$5001,1))</f>
        <v/>
      </c>
      <c r="G556" s="0" t="n">
        <f aca="false">IF(A556="",0,IF(SUMPRODUCT(--($A$2:$A$5001=A556))&gt;1,1,0))</f>
        <v>0</v>
      </c>
      <c r="H556" s="0" t="n">
        <f aca="false">ROW()-1</f>
        <v>555</v>
      </c>
      <c r="I556" s="0" t="str">
        <f aca="false">IF(OR(הגדרות!$E$6=0,H556&gt;הגדרות!$E$5),"",IF(H556-1&lt;הגדרות!$E$8*(הגדרות!$E$7+1),INT((H556-1)/(הגדרות!$E$7+1)),הגדרות!$E$8+INT((H556-1-הגדרות!$E$8*(הגדרות!$E$7+1))/הגדרות!$E$7)))</f>
        <v/>
      </c>
      <c r="J556" s="0" t="str">
        <f aca="false">IF(I556="","",IF(H556-1&lt;הגדרות!$E$8*(הגדרות!$E$7+1),MOD(H556-1,הגדרות!$E$7+1),MOD(H556-1-הגדרות!$E$8*(הגדרות!$E$7+1),הגדרות!$E$7)))</f>
        <v/>
      </c>
      <c r="K556" s="0" t="str">
        <f aca="false">IF(I556="","",J556*הגדרות!$E$6+I556+1)</f>
        <v/>
      </c>
      <c r="L556" s="0" t="str">
        <f aca="false">IF(K556="","",MATCH(K556,$F$2:$F$5001,0))</f>
        <v/>
      </c>
      <c r="M556" s="0" t="str">
        <f aca="false">IF(I556="","",INDEX(הגדרות!$A$2:$A$21,MOD(I556+הגדרות!$E$9,הגדרות!$E$6)+1))</f>
        <v/>
      </c>
    </row>
    <row r="557" customFormat="false" ht="15" hidden="false" customHeight="false" outlineLevel="0" collapsed="false">
      <c r="A557" s="0" t="str">
        <f aca="false">IF('הדבקת לידים'!A557="","",IF(ISNUMBER('הדבקת לידים'!A557),IF(הגדרות!$E$2&gt;0,TEXT('הדבקת לידים'!A557,REPT("0",הגדרות!$E$2)),TEXT('הדבקת לידים'!A557,"0")),TRIM('הדבקת לידים'!A557)))</f>
        <v/>
      </c>
      <c r="B557" s="0" t="str">
        <f aca="false">IF('הדבקת לידים'!B557="","",IF(ISNUMBER('הדבקת לידים'!B557),IF(הגדרות!$E$3&gt;0,TEXT('הדבקת לידים'!B557,REPT("0",הגדרות!$E$3)),TEXT('הדבקת לידים'!B557,"0")),TRIM('הדבקת לידים'!B557)))</f>
        <v/>
      </c>
      <c r="C557" s="0" t="n">
        <f aca="false">IF(OR(A557&lt;&gt;"",B557&lt;&gt;""),1,0)</f>
        <v>0</v>
      </c>
      <c r="D557" s="0" t="str">
        <f aca="false">IF(C557=1,MOD(ABS(SIN(ROW()*12.9898+'הדבקת לידים'!$F$2*78.233+IFERROR(--RIGHT(A557,6),LEN(A557))*0.0137+IFERROR(--RIGHT(B557,6),LEN(B557))*0.0071))*43758.5453,1),"")</f>
        <v/>
      </c>
      <c r="E557" s="0" t="str">
        <f aca="false">IF(C557=1,INT(MOD(ABS(SIN(D557*7919.123+ROW()*0.618+'הדבקת לידים'!$F$2*1.3))*43758.5453,1)*1000000)*10000+ROW(),"")</f>
        <v/>
      </c>
      <c r="F557" s="0" t="str">
        <f aca="false">IF(E557="","",RANK(E557,$E$2:$E$5001,1))</f>
        <v/>
      </c>
      <c r="G557" s="0" t="n">
        <f aca="false">IF(A557="",0,IF(SUMPRODUCT(--($A$2:$A$5001=A557))&gt;1,1,0))</f>
        <v>0</v>
      </c>
      <c r="H557" s="0" t="n">
        <f aca="false">ROW()-1</f>
        <v>556</v>
      </c>
      <c r="I557" s="0" t="str">
        <f aca="false">IF(OR(הגדרות!$E$6=0,H557&gt;הגדרות!$E$5),"",IF(H557-1&lt;הגדרות!$E$8*(הגדרות!$E$7+1),INT((H557-1)/(הגדרות!$E$7+1)),הגדרות!$E$8+INT((H557-1-הגדרות!$E$8*(הגדרות!$E$7+1))/הגדרות!$E$7)))</f>
        <v/>
      </c>
      <c r="J557" s="0" t="str">
        <f aca="false">IF(I557="","",IF(H557-1&lt;הגדרות!$E$8*(הגדרות!$E$7+1),MOD(H557-1,הגדרות!$E$7+1),MOD(H557-1-הגדרות!$E$8*(הגדרות!$E$7+1),הגדרות!$E$7)))</f>
        <v/>
      </c>
      <c r="K557" s="0" t="str">
        <f aca="false">IF(I557="","",J557*הגדרות!$E$6+I557+1)</f>
        <v/>
      </c>
      <c r="L557" s="0" t="str">
        <f aca="false">IF(K557="","",MATCH(K557,$F$2:$F$5001,0))</f>
        <v/>
      </c>
      <c r="M557" s="0" t="str">
        <f aca="false">IF(I557="","",INDEX(הגדרות!$A$2:$A$21,MOD(I557+הגדרות!$E$9,הגדרות!$E$6)+1))</f>
        <v/>
      </c>
    </row>
    <row r="558" customFormat="false" ht="15" hidden="false" customHeight="false" outlineLevel="0" collapsed="false">
      <c r="A558" s="0" t="str">
        <f aca="false">IF('הדבקת לידים'!A558="","",IF(ISNUMBER('הדבקת לידים'!A558),IF(הגדרות!$E$2&gt;0,TEXT('הדבקת לידים'!A558,REPT("0",הגדרות!$E$2)),TEXT('הדבקת לידים'!A558,"0")),TRIM('הדבקת לידים'!A558)))</f>
        <v/>
      </c>
      <c r="B558" s="0" t="str">
        <f aca="false">IF('הדבקת לידים'!B558="","",IF(ISNUMBER('הדבקת לידים'!B558),IF(הגדרות!$E$3&gt;0,TEXT('הדבקת לידים'!B558,REPT("0",הגדרות!$E$3)),TEXT('הדבקת לידים'!B558,"0")),TRIM('הדבקת לידים'!B558)))</f>
        <v/>
      </c>
      <c r="C558" s="0" t="n">
        <f aca="false">IF(OR(A558&lt;&gt;"",B558&lt;&gt;""),1,0)</f>
        <v>0</v>
      </c>
      <c r="D558" s="0" t="str">
        <f aca="false">IF(C558=1,MOD(ABS(SIN(ROW()*12.9898+'הדבקת לידים'!$F$2*78.233+IFERROR(--RIGHT(A558,6),LEN(A558))*0.0137+IFERROR(--RIGHT(B558,6),LEN(B558))*0.0071))*43758.5453,1),"")</f>
        <v/>
      </c>
      <c r="E558" s="0" t="str">
        <f aca="false">IF(C558=1,INT(MOD(ABS(SIN(D558*7919.123+ROW()*0.618+'הדבקת לידים'!$F$2*1.3))*43758.5453,1)*1000000)*10000+ROW(),"")</f>
        <v/>
      </c>
      <c r="F558" s="0" t="str">
        <f aca="false">IF(E558="","",RANK(E558,$E$2:$E$5001,1))</f>
        <v/>
      </c>
      <c r="G558" s="0" t="n">
        <f aca="false">IF(A558="",0,IF(SUMPRODUCT(--($A$2:$A$5001=A558))&gt;1,1,0))</f>
        <v>0</v>
      </c>
      <c r="H558" s="0" t="n">
        <f aca="false">ROW()-1</f>
        <v>557</v>
      </c>
      <c r="I558" s="0" t="str">
        <f aca="false">IF(OR(הגדרות!$E$6=0,H558&gt;הגדרות!$E$5),"",IF(H558-1&lt;הגדרות!$E$8*(הגדרות!$E$7+1),INT((H558-1)/(הגדרות!$E$7+1)),הגדרות!$E$8+INT((H558-1-הגדרות!$E$8*(הגדרות!$E$7+1))/הגדרות!$E$7)))</f>
        <v/>
      </c>
      <c r="J558" s="0" t="str">
        <f aca="false">IF(I558="","",IF(H558-1&lt;הגדרות!$E$8*(הגדרות!$E$7+1),MOD(H558-1,הגדרות!$E$7+1),MOD(H558-1-הגדרות!$E$8*(הגדרות!$E$7+1),הגדרות!$E$7)))</f>
        <v/>
      </c>
      <c r="K558" s="0" t="str">
        <f aca="false">IF(I558="","",J558*הגדרות!$E$6+I558+1)</f>
        <v/>
      </c>
      <c r="L558" s="0" t="str">
        <f aca="false">IF(K558="","",MATCH(K558,$F$2:$F$5001,0))</f>
        <v/>
      </c>
      <c r="M558" s="0" t="str">
        <f aca="false">IF(I558="","",INDEX(הגדרות!$A$2:$A$21,MOD(I558+הגדרות!$E$9,הגדרות!$E$6)+1))</f>
        <v/>
      </c>
    </row>
    <row r="559" customFormat="false" ht="15" hidden="false" customHeight="false" outlineLevel="0" collapsed="false">
      <c r="A559" s="0" t="str">
        <f aca="false">IF('הדבקת לידים'!A559="","",IF(ISNUMBER('הדבקת לידים'!A559),IF(הגדרות!$E$2&gt;0,TEXT('הדבקת לידים'!A559,REPT("0",הגדרות!$E$2)),TEXT('הדבקת לידים'!A559,"0")),TRIM('הדבקת לידים'!A559)))</f>
        <v/>
      </c>
      <c r="B559" s="0" t="str">
        <f aca="false">IF('הדבקת לידים'!B559="","",IF(ISNUMBER('הדבקת לידים'!B559),IF(הגדרות!$E$3&gt;0,TEXT('הדבקת לידים'!B559,REPT("0",הגדרות!$E$3)),TEXT('הדבקת לידים'!B559,"0")),TRIM('הדבקת לידים'!B559)))</f>
        <v/>
      </c>
      <c r="C559" s="0" t="n">
        <f aca="false">IF(OR(A559&lt;&gt;"",B559&lt;&gt;""),1,0)</f>
        <v>0</v>
      </c>
      <c r="D559" s="0" t="str">
        <f aca="false">IF(C559=1,MOD(ABS(SIN(ROW()*12.9898+'הדבקת לידים'!$F$2*78.233+IFERROR(--RIGHT(A559,6),LEN(A559))*0.0137+IFERROR(--RIGHT(B559,6),LEN(B559))*0.0071))*43758.5453,1),"")</f>
        <v/>
      </c>
      <c r="E559" s="0" t="str">
        <f aca="false">IF(C559=1,INT(MOD(ABS(SIN(D559*7919.123+ROW()*0.618+'הדבקת לידים'!$F$2*1.3))*43758.5453,1)*1000000)*10000+ROW(),"")</f>
        <v/>
      </c>
      <c r="F559" s="0" t="str">
        <f aca="false">IF(E559="","",RANK(E559,$E$2:$E$5001,1))</f>
        <v/>
      </c>
      <c r="G559" s="0" t="n">
        <f aca="false">IF(A559="",0,IF(SUMPRODUCT(--($A$2:$A$5001=A559))&gt;1,1,0))</f>
        <v>0</v>
      </c>
      <c r="H559" s="0" t="n">
        <f aca="false">ROW()-1</f>
        <v>558</v>
      </c>
      <c r="I559" s="0" t="str">
        <f aca="false">IF(OR(הגדרות!$E$6=0,H559&gt;הגדרות!$E$5),"",IF(H559-1&lt;הגדרות!$E$8*(הגדרות!$E$7+1),INT((H559-1)/(הגדרות!$E$7+1)),הגדרות!$E$8+INT((H559-1-הגדרות!$E$8*(הגדרות!$E$7+1))/הגדרות!$E$7)))</f>
        <v/>
      </c>
      <c r="J559" s="0" t="str">
        <f aca="false">IF(I559="","",IF(H559-1&lt;הגדרות!$E$8*(הגדרות!$E$7+1),MOD(H559-1,הגדרות!$E$7+1),MOD(H559-1-הגדרות!$E$8*(הגדרות!$E$7+1),הגדרות!$E$7)))</f>
        <v/>
      </c>
      <c r="K559" s="0" t="str">
        <f aca="false">IF(I559="","",J559*הגדרות!$E$6+I559+1)</f>
        <v/>
      </c>
      <c r="L559" s="0" t="str">
        <f aca="false">IF(K559="","",MATCH(K559,$F$2:$F$5001,0))</f>
        <v/>
      </c>
      <c r="M559" s="0" t="str">
        <f aca="false">IF(I559="","",INDEX(הגדרות!$A$2:$A$21,MOD(I559+הגדרות!$E$9,הגדרות!$E$6)+1))</f>
        <v/>
      </c>
    </row>
    <row r="560" customFormat="false" ht="15" hidden="false" customHeight="false" outlineLevel="0" collapsed="false">
      <c r="A560" s="0" t="str">
        <f aca="false">IF('הדבקת לידים'!A560="","",IF(ISNUMBER('הדבקת לידים'!A560),IF(הגדרות!$E$2&gt;0,TEXT('הדבקת לידים'!A560,REPT("0",הגדרות!$E$2)),TEXT('הדבקת לידים'!A560,"0")),TRIM('הדבקת לידים'!A560)))</f>
        <v/>
      </c>
      <c r="B560" s="0" t="str">
        <f aca="false">IF('הדבקת לידים'!B560="","",IF(ISNUMBER('הדבקת לידים'!B560),IF(הגדרות!$E$3&gt;0,TEXT('הדבקת לידים'!B560,REPT("0",הגדרות!$E$3)),TEXT('הדבקת לידים'!B560,"0")),TRIM('הדבקת לידים'!B560)))</f>
        <v/>
      </c>
      <c r="C560" s="0" t="n">
        <f aca="false">IF(OR(A560&lt;&gt;"",B560&lt;&gt;""),1,0)</f>
        <v>0</v>
      </c>
      <c r="D560" s="0" t="str">
        <f aca="false">IF(C560=1,MOD(ABS(SIN(ROW()*12.9898+'הדבקת לידים'!$F$2*78.233+IFERROR(--RIGHT(A560,6),LEN(A560))*0.0137+IFERROR(--RIGHT(B560,6),LEN(B560))*0.0071))*43758.5453,1),"")</f>
        <v/>
      </c>
      <c r="E560" s="0" t="str">
        <f aca="false">IF(C560=1,INT(MOD(ABS(SIN(D560*7919.123+ROW()*0.618+'הדבקת לידים'!$F$2*1.3))*43758.5453,1)*1000000)*10000+ROW(),"")</f>
        <v/>
      </c>
      <c r="F560" s="0" t="str">
        <f aca="false">IF(E560="","",RANK(E560,$E$2:$E$5001,1))</f>
        <v/>
      </c>
      <c r="G560" s="0" t="n">
        <f aca="false">IF(A560="",0,IF(SUMPRODUCT(--($A$2:$A$5001=A560))&gt;1,1,0))</f>
        <v>0</v>
      </c>
      <c r="H560" s="0" t="n">
        <f aca="false">ROW()-1</f>
        <v>559</v>
      </c>
      <c r="I560" s="0" t="str">
        <f aca="false">IF(OR(הגדרות!$E$6=0,H560&gt;הגדרות!$E$5),"",IF(H560-1&lt;הגדרות!$E$8*(הגדרות!$E$7+1),INT((H560-1)/(הגדרות!$E$7+1)),הגדרות!$E$8+INT((H560-1-הגדרות!$E$8*(הגדרות!$E$7+1))/הגדרות!$E$7)))</f>
        <v/>
      </c>
      <c r="J560" s="0" t="str">
        <f aca="false">IF(I560="","",IF(H560-1&lt;הגדרות!$E$8*(הגדרות!$E$7+1),MOD(H560-1,הגדרות!$E$7+1),MOD(H560-1-הגדרות!$E$8*(הגדרות!$E$7+1),הגדרות!$E$7)))</f>
        <v/>
      </c>
      <c r="K560" s="0" t="str">
        <f aca="false">IF(I560="","",J560*הגדרות!$E$6+I560+1)</f>
        <v/>
      </c>
      <c r="L560" s="0" t="str">
        <f aca="false">IF(K560="","",MATCH(K560,$F$2:$F$5001,0))</f>
        <v/>
      </c>
      <c r="M560" s="0" t="str">
        <f aca="false">IF(I560="","",INDEX(הגדרות!$A$2:$A$21,MOD(I560+הגדרות!$E$9,הגדרות!$E$6)+1))</f>
        <v/>
      </c>
    </row>
    <row r="561" customFormat="false" ht="15" hidden="false" customHeight="false" outlineLevel="0" collapsed="false">
      <c r="A561" s="0" t="str">
        <f aca="false">IF('הדבקת לידים'!A561="","",IF(ISNUMBER('הדבקת לידים'!A561),IF(הגדרות!$E$2&gt;0,TEXT('הדבקת לידים'!A561,REPT("0",הגדרות!$E$2)),TEXT('הדבקת לידים'!A561,"0")),TRIM('הדבקת לידים'!A561)))</f>
        <v/>
      </c>
      <c r="B561" s="0" t="str">
        <f aca="false">IF('הדבקת לידים'!B561="","",IF(ISNUMBER('הדבקת לידים'!B561),IF(הגדרות!$E$3&gt;0,TEXT('הדבקת לידים'!B561,REPT("0",הגדרות!$E$3)),TEXT('הדבקת לידים'!B561,"0")),TRIM('הדבקת לידים'!B561)))</f>
        <v/>
      </c>
      <c r="C561" s="0" t="n">
        <f aca="false">IF(OR(A561&lt;&gt;"",B561&lt;&gt;""),1,0)</f>
        <v>0</v>
      </c>
      <c r="D561" s="0" t="str">
        <f aca="false">IF(C561=1,MOD(ABS(SIN(ROW()*12.9898+'הדבקת לידים'!$F$2*78.233+IFERROR(--RIGHT(A561,6),LEN(A561))*0.0137+IFERROR(--RIGHT(B561,6),LEN(B561))*0.0071))*43758.5453,1),"")</f>
        <v/>
      </c>
      <c r="E561" s="0" t="str">
        <f aca="false">IF(C561=1,INT(MOD(ABS(SIN(D561*7919.123+ROW()*0.618+'הדבקת לידים'!$F$2*1.3))*43758.5453,1)*1000000)*10000+ROW(),"")</f>
        <v/>
      </c>
      <c r="F561" s="0" t="str">
        <f aca="false">IF(E561="","",RANK(E561,$E$2:$E$5001,1))</f>
        <v/>
      </c>
      <c r="G561" s="0" t="n">
        <f aca="false">IF(A561="",0,IF(SUMPRODUCT(--($A$2:$A$5001=A561))&gt;1,1,0))</f>
        <v>0</v>
      </c>
      <c r="H561" s="0" t="n">
        <f aca="false">ROW()-1</f>
        <v>560</v>
      </c>
      <c r="I561" s="0" t="str">
        <f aca="false">IF(OR(הגדרות!$E$6=0,H561&gt;הגדרות!$E$5),"",IF(H561-1&lt;הגדרות!$E$8*(הגדרות!$E$7+1),INT((H561-1)/(הגדרות!$E$7+1)),הגדרות!$E$8+INT((H561-1-הגדרות!$E$8*(הגדרות!$E$7+1))/הגדרות!$E$7)))</f>
        <v/>
      </c>
      <c r="J561" s="0" t="str">
        <f aca="false">IF(I561="","",IF(H561-1&lt;הגדרות!$E$8*(הגדרות!$E$7+1),MOD(H561-1,הגדרות!$E$7+1),MOD(H561-1-הגדרות!$E$8*(הגדרות!$E$7+1),הגדרות!$E$7)))</f>
        <v/>
      </c>
      <c r="K561" s="0" t="str">
        <f aca="false">IF(I561="","",J561*הגדרות!$E$6+I561+1)</f>
        <v/>
      </c>
      <c r="L561" s="0" t="str">
        <f aca="false">IF(K561="","",MATCH(K561,$F$2:$F$5001,0))</f>
        <v/>
      </c>
      <c r="M561" s="0" t="str">
        <f aca="false">IF(I561="","",INDEX(הגדרות!$A$2:$A$21,MOD(I561+הגדרות!$E$9,הגדרות!$E$6)+1))</f>
        <v/>
      </c>
    </row>
    <row r="562" customFormat="false" ht="15" hidden="false" customHeight="false" outlineLevel="0" collapsed="false">
      <c r="A562" s="0" t="str">
        <f aca="false">IF('הדבקת לידים'!A562="","",IF(ISNUMBER('הדבקת לידים'!A562),IF(הגדרות!$E$2&gt;0,TEXT('הדבקת לידים'!A562,REPT("0",הגדרות!$E$2)),TEXT('הדבקת לידים'!A562,"0")),TRIM('הדבקת לידים'!A562)))</f>
        <v/>
      </c>
      <c r="B562" s="0" t="str">
        <f aca="false">IF('הדבקת לידים'!B562="","",IF(ISNUMBER('הדבקת לידים'!B562),IF(הגדרות!$E$3&gt;0,TEXT('הדבקת לידים'!B562,REPT("0",הגדרות!$E$3)),TEXT('הדבקת לידים'!B562,"0")),TRIM('הדבקת לידים'!B562)))</f>
        <v/>
      </c>
      <c r="C562" s="0" t="n">
        <f aca="false">IF(OR(A562&lt;&gt;"",B562&lt;&gt;""),1,0)</f>
        <v>0</v>
      </c>
      <c r="D562" s="0" t="str">
        <f aca="false">IF(C562=1,MOD(ABS(SIN(ROW()*12.9898+'הדבקת לידים'!$F$2*78.233+IFERROR(--RIGHT(A562,6),LEN(A562))*0.0137+IFERROR(--RIGHT(B562,6),LEN(B562))*0.0071))*43758.5453,1),"")</f>
        <v/>
      </c>
      <c r="E562" s="0" t="str">
        <f aca="false">IF(C562=1,INT(MOD(ABS(SIN(D562*7919.123+ROW()*0.618+'הדבקת לידים'!$F$2*1.3))*43758.5453,1)*1000000)*10000+ROW(),"")</f>
        <v/>
      </c>
      <c r="F562" s="0" t="str">
        <f aca="false">IF(E562="","",RANK(E562,$E$2:$E$5001,1))</f>
        <v/>
      </c>
      <c r="G562" s="0" t="n">
        <f aca="false">IF(A562="",0,IF(SUMPRODUCT(--($A$2:$A$5001=A562))&gt;1,1,0))</f>
        <v>0</v>
      </c>
      <c r="H562" s="0" t="n">
        <f aca="false">ROW()-1</f>
        <v>561</v>
      </c>
      <c r="I562" s="0" t="str">
        <f aca="false">IF(OR(הגדרות!$E$6=0,H562&gt;הגדרות!$E$5),"",IF(H562-1&lt;הגדרות!$E$8*(הגדרות!$E$7+1),INT((H562-1)/(הגדרות!$E$7+1)),הגדרות!$E$8+INT((H562-1-הגדרות!$E$8*(הגדרות!$E$7+1))/הגדרות!$E$7)))</f>
        <v/>
      </c>
      <c r="J562" s="0" t="str">
        <f aca="false">IF(I562="","",IF(H562-1&lt;הגדרות!$E$8*(הגדרות!$E$7+1),MOD(H562-1,הגדרות!$E$7+1),MOD(H562-1-הגדרות!$E$8*(הגדרות!$E$7+1),הגדרות!$E$7)))</f>
        <v/>
      </c>
      <c r="K562" s="0" t="str">
        <f aca="false">IF(I562="","",J562*הגדרות!$E$6+I562+1)</f>
        <v/>
      </c>
      <c r="L562" s="0" t="str">
        <f aca="false">IF(K562="","",MATCH(K562,$F$2:$F$5001,0))</f>
        <v/>
      </c>
      <c r="M562" s="0" t="str">
        <f aca="false">IF(I562="","",INDEX(הגדרות!$A$2:$A$21,MOD(I562+הגדרות!$E$9,הגדרות!$E$6)+1))</f>
        <v/>
      </c>
    </row>
    <row r="563" customFormat="false" ht="15" hidden="false" customHeight="false" outlineLevel="0" collapsed="false">
      <c r="A563" s="0" t="str">
        <f aca="false">IF('הדבקת לידים'!A563="","",IF(ISNUMBER('הדבקת לידים'!A563),IF(הגדרות!$E$2&gt;0,TEXT('הדבקת לידים'!A563,REPT("0",הגדרות!$E$2)),TEXT('הדבקת לידים'!A563,"0")),TRIM('הדבקת לידים'!A563)))</f>
        <v/>
      </c>
      <c r="B563" s="0" t="str">
        <f aca="false">IF('הדבקת לידים'!B563="","",IF(ISNUMBER('הדבקת לידים'!B563),IF(הגדרות!$E$3&gt;0,TEXT('הדבקת לידים'!B563,REPT("0",הגדרות!$E$3)),TEXT('הדבקת לידים'!B563,"0")),TRIM('הדבקת לידים'!B563)))</f>
        <v/>
      </c>
      <c r="C563" s="0" t="n">
        <f aca="false">IF(OR(A563&lt;&gt;"",B563&lt;&gt;""),1,0)</f>
        <v>0</v>
      </c>
      <c r="D563" s="0" t="str">
        <f aca="false">IF(C563=1,MOD(ABS(SIN(ROW()*12.9898+'הדבקת לידים'!$F$2*78.233+IFERROR(--RIGHT(A563,6),LEN(A563))*0.0137+IFERROR(--RIGHT(B563,6),LEN(B563))*0.0071))*43758.5453,1),"")</f>
        <v/>
      </c>
      <c r="E563" s="0" t="str">
        <f aca="false">IF(C563=1,INT(MOD(ABS(SIN(D563*7919.123+ROW()*0.618+'הדבקת לידים'!$F$2*1.3))*43758.5453,1)*1000000)*10000+ROW(),"")</f>
        <v/>
      </c>
      <c r="F563" s="0" t="str">
        <f aca="false">IF(E563="","",RANK(E563,$E$2:$E$5001,1))</f>
        <v/>
      </c>
      <c r="G563" s="0" t="n">
        <f aca="false">IF(A563="",0,IF(SUMPRODUCT(--($A$2:$A$5001=A563))&gt;1,1,0))</f>
        <v>0</v>
      </c>
      <c r="H563" s="0" t="n">
        <f aca="false">ROW()-1</f>
        <v>562</v>
      </c>
      <c r="I563" s="0" t="str">
        <f aca="false">IF(OR(הגדרות!$E$6=0,H563&gt;הגדרות!$E$5),"",IF(H563-1&lt;הגדרות!$E$8*(הגדרות!$E$7+1),INT((H563-1)/(הגדרות!$E$7+1)),הגדרות!$E$8+INT((H563-1-הגדרות!$E$8*(הגדרות!$E$7+1))/הגדרות!$E$7)))</f>
        <v/>
      </c>
      <c r="J563" s="0" t="str">
        <f aca="false">IF(I563="","",IF(H563-1&lt;הגדרות!$E$8*(הגדרות!$E$7+1),MOD(H563-1,הגדרות!$E$7+1),MOD(H563-1-הגדרות!$E$8*(הגדרות!$E$7+1),הגדרות!$E$7)))</f>
        <v/>
      </c>
      <c r="K563" s="0" t="str">
        <f aca="false">IF(I563="","",J563*הגדרות!$E$6+I563+1)</f>
        <v/>
      </c>
      <c r="L563" s="0" t="str">
        <f aca="false">IF(K563="","",MATCH(K563,$F$2:$F$5001,0))</f>
        <v/>
      </c>
      <c r="M563" s="0" t="str">
        <f aca="false">IF(I563="","",INDEX(הגדרות!$A$2:$A$21,MOD(I563+הגדרות!$E$9,הגדרות!$E$6)+1))</f>
        <v/>
      </c>
    </row>
    <row r="564" customFormat="false" ht="15" hidden="false" customHeight="false" outlineLevel="0" collapsed="false">
      <c r="A564" s="0" t="str">
        <f aca="false">IF('הדבקת לידים'!A564="","",IF(ISNUMBER('הדבקת לידים'!A564),IF(הגדרות!$E$2&gt;0,TEXT('הדבקת לידים'!A564,REPT("0",הגדרות!$E$2)),TEXT('הדבקת לידים'!A564,"0")),TRIM('הדבקת לידים'!A564)))</f>
        <v/>
      </c>
      <c r="B564" s="0" t="str">
        <f aca="false">IF('הדבקת לידים'!B564="","",IF(ISNUMBER('הדבקת לידים'!B564),IF(הגדרות!$E$3&gt;0,TEXT('הדבקת לידים'!B564,REPT("0",הגדרות!$E$3)),TEXT('הדבקת לידים'!B564,"0")),TRIM('הדבקת לידים'!B564)))</f>
        <v/>
      </c>
      <c r="C564" s="0" t="n">
        <f aca="false">IF(OR(A564&lt;&gt;"",B564&lt;&gt;""),1,0)</f>
        <v>0</v>
      </c>
      <c r="D564" s="0" t="str">
        <f aca="false">IF(C564=1,MOD(ABS(SIN(ROW()*12.9898+'הדבקת לידים'!$F$2*78.233+IFERROR(--RIGHT(A564,6),LEN(A564))*0.0137+IFERROR(--RIGHT(B564,6),LEN(B564))*0.0071))*43758.5453,1),"")</f>
        <v/>
      </c>
      <c r="E564" s="0" t="str">
        <f aca="false">IF(C564=1,INT(MOD(ABS(SIN(D564*7919.123+ROW()*0.618+'הדבקת לידים'!$F$2*1.3))*43758.5453,1)*1000000)*10000+ROW(),"")</f>
        <v/>
      </c>
      <c r="F564" s="0" t="str">
        <f aca="false">IF(E564="","",RANK(E564,$E$2:$E$5001,1))</f>
        <v/>
      </c>
      <c r="G564" s="0" t="n">
        <f aca="false">IF(A564="",0,IF(SUMPRODUCT(--($A$2:$A$5001=A564))&gt;1,1,0))</f>
        <v>0</v>
      </c>
      <c r="H564" s="0" t="n">
        <f aca="false">ROW()-1</f>
        <v>563</v>
      </c>
      <c r="I564" s="0" t="str">
        <f aca="false">IF(OR(הגדרות!$E$6=0,H564&gt;הגדרות!$E$5),"",IF(H564-1&lt;הגדרות!$E$8*(הגדרות!$E$7+1),INT((H564-1)/(הגדרות!$E$7+1)),הגדרות!$E$8+INT((H564-1-הגדרות!$E$8*(הגדרות!$E$7+1))/הגדרות!$E$7)))</f>
        <v/>
      </c>
      <c r="J564" s="0" t="str">
        <f aca="false">IF(I564="","",IF(H564-1&lt;הגדרות!$E$8*(הגדרות!$E$7+1),MOD(H564-1,הגדרות!$E$7+1),MOD(H564-1-הגדרות!$E$8*(הגדרות!$E$7+1),הגדרות!$E$7)))</f>
        <v/>
      </c>
      <c r="K564" s="0" t="str">
        <f aca="false">IF(I564="","",J564*הגדרות!$E$6+I564+1)</f>
        <v/>
      </c>
      <c r="L564" s="0" t="str">
        <f aca="false">IF(K564="","",MATCH(K564,$F$2:$F$5001,0))</f>
        <v/>
      </c>
      <c r="M564" s="0" t="str">
        <f aca="false">IF(I564="","",INDEX(הגדרות!$A$2:$A$21,MOD(I564+הגדרות!$E$9,הגדרות!$E$6)+1))</f>
        <v/>
      </c>
    </row>
    <row r="565" customFormat="false" ht="15" hidden="false" customHeight="false" outlineLevel="0" collapsed="false">
      <c r="A565" s="0" t="str">
        <f aca="false">IF('הדבקת לידים'!A565="","",IF(ISNUMBER('הדבקת לידים'!A565),IF(הגדרות!$E$2&gt;0,TEXT('הדבקת לידים'!A565,REPT("0",הגדרות!$E$2)),TEXT('הדבקת לידים'!A565,"0")),TRIM('הדבקת לידים'!A565)))</f>
        <v/>
      </c>
      <c r="B565" s="0" t="str">
        <f aca="false">IF('הדבקת לידים'!B565="","",IF(ISNUMBER('הדבקת לידים'!B565),IF(הגדרות!$E$3&gt;0,TEXT('הדבקת לידים'!B565,REPT("0",הגדרות!$E$3)),TEXT('הדבקת לידים'!B565,"0")),TRIM('הדבקת לידים'!B565)))</f>
        <v/>
      </c>
      <c r="C565" s="0" t="n">
        <f aca="false">IF(OR(A565&lt;&gt;"",B565&lt;&gt;""),1,0)</f>
        <v>0</v>
      </c>
      <c r="D565" s="0" t="str">
        <f aca="false">IF(C565=1,MOD(ABS(SIN(ROW()*12.9898+'הדבקת לידים'!$F$2*78.233+IFERROR(--RIGHT(A565,6),LEN(A565))*0.0137+IFERROR(--RIGHT(B565,6),LEN(B565))*0.0071))*43758.5453,1),"")</f>
        <v/>
      </c>
      <c r="E565" s="0" t="str">
        <f aca="false">IF(C565=1,INT(MOD(ABS(SIN(D565*7919.123+ROW()*0.618+'הדבקת לידים'!$F$2*1.3))*43758.5453,1)*1000000)*10000+ROW(),"")</f>
        <v/>
      </c>
      <c r="F565" s="0" t="str">
        <f aca="false">IF(E565="","",RANK(E565,$E$2:$E$5001,1))</f>
        <v/>
      </c>
      <c r="G565" s="0" t="n">
        <f aca="false">IF(A565="",0,IF(SUMPRODUCT(--($A$2:$A$5001=A565))&gt;1,1,0))</f>
        <v>0</v>
      </c>
      <c r="H565" s="0" t="n">
        <f aca="false">ROW()-1</f>
        <v>564</v>
      </c>
      <c r="I565" s="0" t="str">
        <f aca="false">IF(OR(הגדרות!$E$6=0,H565&gt;הגדרות!$E$5),"",IF(H565-1&lt;הגדרות!$E$8*(הגדרות!$E$7+1),INT((H565-1)/(הגדרות!$E$7+1)),הגדרות!$E$8+INT((H565-1-הגדרות!$E$8*(הגדרות!$E$7+1))/הגדרות!$E$7)))</f>
        <v/>
      </c>
      <c r="J565" s="0" t="str">
        <f aca="false">IF(I565="","",IF(H565-1&lt;הגדרות!$E$8*(הגדרות!$E$7+1),MOD(H565-1,הגדרות!$E$7+1),MOD(H565-1-הגדרות!$E$8*(הגדרות!$E$7+1),הגדרות!$E$7)))</f>
        <v/>
      </c>
      <c r="K565" s="0" t="str">
        <f aca="false">IF(I565="","",J565*הגדרות!$E$6+I565+1)</f>
        <v/>
      </c>
      <c r="L565" s="0" t="str">
        <f aca="false">IF(K565="","",MATCH(K565,$F$2:$F$5001,0))</f>
        <v/>
      </c>
      <c r="M565" s="0" t="str">
        <f aca="false">IF(I565="","",INDEX(הגדרות!$A$2:$A$21,MOD(I565+הגדרות!$E$9,הגדרות!$E$6)+1))</f>
        <v/>
      </c>
    </row>
    <row r="566" customFormat="false" ht="15" hidden="false" customHeight="false" outlineLevel="0" collapsed="false">
      <c r="A566" s="0" t="str">
        <f aca="false">IF('הדבקת לידים'!A566="","",IF(ISNUMBER('הדבקת לידים'!A566),IF(הגדרות!$E$2&gt;0,TEXT('הדבקת לידים'!A566,REPT("0",הגדרות!$E$2)),TEXT('הדבקת לידים'!A566,"0")),TRIM('הדבקת לידים'!A566)))</f>
        <v/>
      </c>
      <c r="B566" s="0" t="str">
        <f aca="false">IF('הדבקת לידים'!B566="","",IF(ISNUMBER('הדבקת לידים'!B566),IF(הגדרות!$E$3&gt;0,TEXT('הדבקת לידים'!B566,REPT("0",הגדרות!$E$3)),TEXT('הדבקת לידים'!B566,"0")),TRIM('הדבקת לידים'!B566)))</f>
        <v/>
      </c>
      <c r="C566" s="0" t="n">
        <f aca="false">IF(OR(A566&lt;&gt;"",B566&lt;&gt;""),1,0)</f>
        <v>0</v>
      </c>
      <c r="D566" s="0" t="str">
        <f aca="false">IF(C566=1,MOD(ABS(SIN(ROW()*12.9898+'הדבקת לידים'!$F$2*78.233+IFERROR(--RIGHT(A566,6),LEN(A566))*0.0137+IFERROR(--RIGHT(B566,6),LEN(B566))*0.0071))*43758.5453,1),"")</f>
        <v/>
      </c>
      <c r="E566" s="0" t="str">
        <f aca="false">IF(C566=1,INT(MOD(ABS(SIN(D566*7919.123+ROW()*0.618+'הדבקת לידים'!$F$2*1.3))*43758.5453,1)*1000000)*10000+ROW(),"")</f>
        <v/>
      </c>
      <c r="F566" s="0" t="str">
        <f aca="false">IF(E566="","",RANK(E566,$E$2:$E$5001,1))</f>
        <v/>
      </c>
      <c r="G566" s="0" t="n">
        <f aca="false">IF(A566="",0,IF(SUMPRODUCT(--($A$2:$A$5001=A566))&gt;1,1,0))</f>
        <v>0</v>
      </c>
      <c r="H566" s="0" t="n">
        <f aca="false">ROW()-1</f>
        <v>565</v>
      </c>
      <c r="I566" s="0" t="str">
        <f aca="false">IF(OR(הגדרות!$E$6=0,H566&gt;הגדרות!$E$5),"",IF(H566-1&lt;הגדרות!$E$8*(הגדרות!$E$7+1),INT((H566-1)/(הגדרות!$E$7+1)),הגדרות!$E$8+INT((H566-1-הגדרות!$E$8*(הגדרות!$E$7+1))/הגדרות!$E$7)))</f>
        <v/>
      </c>
      <c r="J566" s="0" t="str">
        <f aca="false">IF(I566="","",IF(H566-1&lt;הגדרות!$E$8*(הגדרות!$E$7+1),MOD(H566-1,הגדרות!$E$7+1),MOD(H566-1-הגדרות!$E$8*(הגדרות!$E$7+1),הגדרות!$E$7)))</f>
        <v/>
      </c>
      <c r="K566" s="0" t="str">
        <f aca="false">IF(I566="","",J566*הגדרות!$E$6+I566+1)</f>
        <v/>
      </c>
      <c r="L566" s="0" t="str">
        <f aca="false">IF(K566="","",MATCH(K566,$F$2:$F$5001,0))</f>
        <v/>
      </c>
      <c r="M566" s="0" t="str">
        <f aca="false">IF(I566="","",INDEX(הגדרות!$A$2:$A$21,MOD(I566+הגדרות!$E$9,הגדרות!$E$6)+1))</f>
        <v/>
      </c>
    </row>
    <row r="567" customFormat="false" ht="15" hidden="false" customHeight="false" outlineLevel="0" collapsed="false">
      <c r="A567" s="0" t="str">
        <f aca="false">IF('הדבקת לידים'!A567="","",IF(ISNUMBER('הדבקת לידים'!A567),IF(הגדרות!$E$2&gt;0,TEXT('הדבקת לידים'!A567,REPT("0",הגדרות!$E$2)),TEXT('הדבקת לידים'!A567,"0")),TRIM('הדבקת לידים'!A567)))</f>
        <v/>
      </c>
      <c r="B567" s="0" t="str">
        <f aca="false">IF('הדבקת לידים'!B567="","",IF(ISNUMBER('הדבקת לידים'!B567),IF(הגדרות!$E$3&gt;0,TEXT('הדבקת לידים'!B567,REPT("0",הגדרות!$E$3)),TEXT('הדבקת לידים'!B567,"0")),TRIM('הדבקת לידים'!B567)))</f>
        <v/>
      </c>
      <c r="C567" s="0" t="n">
        <f aca="false">IF(OR(A567&lt;&gt;"",B567&lt;&gt;""),1,0)</f>
        <v>0</v>
      </c>
      <c r="D567" s="0" t="str">
        <f aca="false">IF(C567=1,MOD(ABS(SIN(ROW()*12.9898+'הדבקת לידים'!$F$2*78.233+IFERROR(--RIGHT(A567,6),LEN(A567))*0.0137+IFERROR(--RIGHT(B567,6),LEN(B567))*0.0071))*43758.5453,1),"")</f>
        <v/>
      </c>
      <c r="E567" s="0" t="str">
        <f aca="false">IF(C567=1,INT(MOD(ABS(SIN(D567*7919.123+ROW()*0.618+'הדבקת לידים'!$F$2*1.3))*43758.5453,1)*1000000)*10000+ROW(),"")</f>
        <v/>
      </c>
      <c r="F567" s="0" t="str">
        <f aca="false">IF(E567="","",RANK(E567,$E$2:$E$5001,1))</f>
        <v/>
      </c>
      <c r="G567" s="0" t="n">
        <f aca="false">IF(A567="",0,IF(SUMPRODUCT(--($A$2:$A$5001=A567))&gt;1,1,0))</f>
        <v>0</v>
      </c>
      <c r="H567" s="0" t="n">
        <f aca="false">ROW()-1</f>
        <v>566</v>
      </c>
      <c r="I567" s="0" t="str">
        <f aca="false">IF(OR(הגדרות!$E$6=0,H567&gt;הגדרות!$E$5),"",IF(H567-1&lt;הגדרות!$E$8*(הגדרות!$E$7+1),INT((H567-1)/(הגדרות!$E$7+1)),הגדרות!$E$8+INT((H567-1-הגדרות!$E$8*(הגדרות!$E$7+1))/הגדרות!$E$7)))</f>
        <v/>
      </c>
      <c r="J567" s="0" t="str">
        <f aca="false">IF(I567="","",IF(H567-1&lt;הגדרות!$E$8*(הגדרות!$E$7+1),MOD(H567-1,הגדרות!$E$7+1),MOD(H567-1-הגדרות!$E$8*(הגדרות!$E$7+1),הגדרות!$E$7)))</f>
        <v/>
      </c>
      <c r="K567" s="0" t="str">
        <f aca="false">IF(I567="","",J567*הגדרות!$E$6+I567+1)</f>
        <v/>
      </c>
      <c r="L567" s="0" t="str">
        <f aca="false">IF(K567="","",MATCH(K567,$F$2:$F$5001,0))</f>
        <v/>
      </c>
      <c r="M567" s="0" t="str">
        <f aca="false">IF(I567="","",INDEX(הגדרות!$A$2:$A$21,MOD(I567+הגדרות!$E$9,הגדרות!$E$6)+1))</f>
        <v/>
      </c>
    </row>
    <row r="568" customFormat="false" ht="15" hidden="false" customHeight="false" outlineLevel="0" collapsed="false">
      <c r="A568" s="0" t="str">
        <f aca="false">IF('הדבקת לידים'!A568="","",IF(ISNUMBER('הדבקת לידים'!A568),IF(הגדרות!$E$2&gt;0,TEXT('הדבקת לידים'!A568,REPT("0",הגדרות!$E$2)),TEXT('הדבקת לידים'!A568,"0")),TRIM('הדבקת לידים'!A568)))</f>
        <v/>
      </c>
      <c r="B568" s="0" t="str">
        <f aca="false">IF('הדבקת לידים'!B568="","",IF(ISNUMBER('הדבקת לידים'!B568),IF(הגדרות!$E$3&gt;0,TEXT('הדבקת לידים'!B568,REPT("0",הגדרות!$E$3)),TEXT('הדבקת לידים'!B568,"0")),TRIM('הדבקת לידים'!B568)))</f>
        <v/>
      </c>
      <c r="C568" s="0" t="n">
        <f aca="false">IF(OR(A568&lt;&gt;"",B568&lt;&gt;""),1,0)</f>
        <v>0</v>
      </c>
      <c r="D568" s="0" t="str">
        <f aca="false">IF(C568=1,MOD(ABS(SIN(ROW()*12.9898+'הדבקת לידים'!$F$2*78.233+IFERROR(--RIGHT(A568,6),LEN(A568))*0.0137+IFERROR(--RIGHT(B568,6),LEN(B568))*0.0071))*43758.5453,1),"")</f>
        <v/>
      </c>
      <c r="E568" s="0" t="str">
        <f aca="false">IF(C568=1,INT(MOD(ABS(SIN(D568*7919.123+ROW()*0.618+'הדבקת לידים'!$F$2*1.3))*43758.5453,1)*1000000)*10000+ROW(),"")</f>
        <v/>
      </c>
      <c r="F568" s="0" t="str">
        <f aca="false">IF(E568="","",RANK(E568,$E$2:$E$5001,1))</f>
        <v/>
      </c>
      <c r="G568" s="0" t="n">
        <f aca="false">IF(A568="",0,IF(SUMPRODUCT(--($A$2:$A$5001=A568))&gt;1,1,0))</f>
        <v>0</v>
      </c>
      <c r="H568" s="0" t="n">
        <f aca="false">ROW()-1</f>
        <v>567</v>
      </c>
      <c r="I568" s="0" t="str">
        <f aca="false">IF(OR(הגדרות!$E$6=0,H568&gt;הגדרות!$E$5),"",IF(H568-1&lt;הגדרות!$E$8*(הגדרות!$E$7+1),INT((H568-1)/(הגדרות!$E$7+1)),הגדרות!$E$8+INT((H568-1-הגדרות!$E$8*(הגדרות!$E$7+1))/הגדרות!$E$7)))</f>
        <v/>
      </c>
      <c r="J568" s="0" t="str">
        <f aca="false">IF(I568="","",IF(H568-1&lt;הגדרות!$E$8*(הגדרות!$E$7+1),MOD(H568-1,הגדרות!$E$7+1),MOD(H568-1-הגדרות!$E$8*(הגדרות!$E$7+1),הגדרות!$E$7)))</f>
        <v/>
      </c>
      <c r="K568" s="0" t="str">
        <f aca="false">IF(I568="","",J568*הגדרות!$E$6+I568+1)</f>
        <v/>
      </c>
      <c r="L568" s="0" t="str">
        <f aca="false">IF(K568="","",MATCH(K568,$F$2:$F$5001,0))</f>
        <v/>
      </c>
      <c r="M568" s="0" t="str">
        <f aca="false">IF(I568="","",INDEX(הגדרות!$A$2:$A$21,MOD(I568+הגדרות!$E$9,הגדרות!$E$6)+1))</f>
        <v/>
      </c>
    </row>
    <row r="569" customFormat="false" ht="15" hidden="false" customHeight="false" outlineLevel="0" collapsed="false">
      <c r="A569" s="0" t="str">
        <f aca="false">IF('הדבקת לידים'!A569="","",IF(ISNUMBER('הדבקת לידים'!A569),IF(הגדרות!$E$2&gt;0,TEXT('הדבקת לידים'!A569,REPT("0",הגדרות!$E$2)),TEXT('הדבקת לידים'!A569,"0")),TRIM('הדבקת לידים'!A569)))</f>
        <v/>
      </c>
      <c r="B569" s="0" t="str">
        <f aca="false">IF('הדבקת לידים'!B569="","",IF(ISNUMBER('הדבקת לידים'!B569),IF(הגדרות!$E$3&gt;0,TEXT('הדבקת לידים'!B569,REPT("0",הגדרות!$E$3)),TEXT('הדבקת לידים'!B569,"0")),TRIM('הדבקת לידים'!B569)))</f>
        <v/>
      </c>
      <c r="C569" s="0" t="n">
        <f aca="false">IF(OR(A569&lt;&gt;"",B569&lt;&gt;""),1,0)</f>
        <v>0</v>
      </c>
      <c r="D569" s="0" t="str">
        <f aca="false">IF(C569=1,MOD(ABS(SIN(ROW()*12.9898+'הדבקת לידים'!$F$2*78.233+IFERROR(--RIGHT(A569,6),LEN(A569))*0.0137+IFERROR(--RIGHT(B569,6),LEN(B569))*0.0071))*43758.5453,1),"")</f>
        <v/>
      </c>
      <c r="E569" s="0" t="str">
        <f aca="false">IF(C569=1,INT(MOD(ABS(SIN(D569*7919.123+ROW()*0.618+'הדבקת לידים'!$F$2*1.3))*43758.5453,1)*1000000)*10000+ROW(),"")</f>
        <v/>
      </c>
      <c r="F569" s="0" t="str">
        <f aca="false">IF(E569="","",RANK(E569,$E$2:$E$5001,1))</f>
        <v/>
      </c>
      <c r="G569" s="0" t="n">
        <f aca="false">IF(A569="",0,IF(SUMPRODUCT(--($A$2:$A$5001=A569))&gt;1,1,0))</f>
        <v>0</v>
      </c>
      <c r="H569" s="0" t="n">
        <f aca="false">ROW()-1</f>
        <v>568</v>
      </c>
      <c r="I569" s="0" t="str">
        <f aca="false">IF(OR(הגדרות!$E$6=0,H569&gt;הגדרות!$E$5),"",IF(H569-1&lt;הגדרות!$E$8*(הגדרות!$E$7+1),INT((H569-1)/(הגדרות!$E$7+1)),הגדרות!$E$8+INT((H569-1-הגדרות!$E$8*(הגדרות!$E$7+1))/הגדרות!$E$7)))</f>
        <v/>
      </c>
      <c r="J569" s="0" t="str">
        <f aca="false">IF(I569="","",IF(H569-1&lt;הגדרות!$E$8*(הגדרות!$E$7+1),MOD(H569-1,הגדרות!$E$7+1),MOD(H569-1-הגדרות!$E$8*(הגדרות!$E$7+1),הגדרות!$E$7)))</f>
        <v/>
      </c>
      <c r="K569" s="0" t="str">
        <f aca="false">IF(I569="","",J569*הגדרות!$E$6+I569+1)</f>
        <v/>
      </c>
      <c r="L569" s="0" t="str">
        <f aca="false">IF(K569="","",MATCH(K569,$F$2:$F$5001,0))</f>
        <v/>
      </c>
      <c r="M569" s="0" t="str">
        <f aca="false">IF(I569="","",INDEX(הגדרות!$A$2:$A$21,MOD(I569+הגדרות!$E$9,הגדרות!$E$6)+1))</f>
        <v/>
      </c>
    </row>
    <row r="570" customFormat="false" ht="15" hidden="false" customHeight="false" outlineLevel="0" collapsed="false">
      <c r="A570" s="0" t="str">
        <f aca="false">IF('הדבקת לידים'!A570="","",IF(ISNUMBER('הדבקת לידים'!A570),IF(הגדרות!$E$2&gt;0,TEXT('הדבקת לידים'!A570,REPT("0",הגדרות!$E$2)),TEXT('הדבקת לידים'!A570,"0")),TRIM('הדבקת לידים'!A570)))</f>
        <v/>
      </c>
      <c r="B570" s="0" t="str">
        <f aca="false">IF('הדבקת לידים'!B570="","",IF(ISNUMBER('הדבקת לידים'!B570),IF(הגדרות!$E$3&gt;0,TEXT('הדבקת לידים'!B570,REPT("0",הגדרות!$E$3)),TEXT('הדבקת לידים'!B570,"0")),TRIM('הדבקת לידים'!B570)))</f>
        <v/>
      </c>
      <c r="C570" s="0" t="n">
        <f aca="false">IF(OR(A570&lt;&gt;"",B570&lt;&gt;""),1,0)</f>
        <v>0</v>
      </c>
      <c r="D570" s="0" t="str">
        <f aca="false">IF(C570=1,MOD(ABS(SIN(ROW()*12.9898+'הדבקת לידים'!$F$2*78.233+IFERROR(--RIGHT(A570,6),LEN(A570))*0.0137+IFERROR(--RIGHT(B570,6),LEN(B570))*0.0071))*43758.5453,1),"")</f>
        <v/>
      </c>
      <c r="E570" s="0" t="str">
        <f aca="false">IF(C570=1,INT(MOD(ABS(SIN(D570*7919.123+ROW()*0.618+'הדבקת לידים'!$F$2*1.3))*43758.5453,1)*1000000)*10000+ROW(),"")</f>
        <v/>
      </c>
      <c r="F570" s="0" t="str">
        <f aca="false">IF(E570="","",RANK(E570,$E$2:$E$5001,1))</f>
        <v/>
      </c>
      <c r="G570" s="0" t="n">
        <f aca="false">IF(A570="",0,IF(SUMPRODUCT(--($A$2:$A$5001=A570))&gt;1,1,0))</f>
        <v>0</v>
      </c>
      <c r="H570" s="0" t="n">
        <f aca="false">ROW()-1</f>
        <v>569</v>
      </c>
      <c r="I570" s="0" t="str">
        <f aca="false">IF(OR(הגדרות!$E$6=0,H570&gt;הגדרות!$E$5),"",IF(H570-1&lt;הגדרות!$E$8*(הגדרות!$E$7+1),INT((H570-1)/(הגדרות!$E$7+1)),הגדרות!$E$8+INT((H570-1-הגדרות!$E$8*(הגדרות!$E$7+1))/הגדרות!$E$7)))</f>
        <v/>
      </c>
      <c r="J570" s="0" t="str">
        <f aca="false">IF(I570="","",IF(H570-1&lt;הגדרות!$E$8*(הגדרות!$E$7+1),MOD(H570-1,הגדרות!$E$7+1),MOD(H570-1-הגדרות!$E$8*(הגדרות!$E$7+1),הגדרות!$E$7)))</f>
        <v/>
      </c>
      <c r="K570" s="0" t="str">
        <f aca="false">IF(I570="","",J570*הגדרות!$E$6+I570+1)</f>
        <v/>
      </c>
      <c r="L570" s="0" t="str">
        <f aca="false">IF(K570="","",MATCH(K570,$F$2:$F$5001,0))</f>
        <v/>
      </c>
      <c r="M570" s="0" t="str">
        <f aca="false">IF(I570="","",INDEX(הגדרות!$A$2:$A$21,MOD(I570+הגדרות!$E$9,הגדרות!$E$6)+1))</f>
        <v/>
      </c>
    </row>
    <row r="571" customFormat="false" ht="15" hidden="false" customHeight="false" outlineLevel="0" collapsed="false">
      <c r="A571" s="0" t="str">
        <f aca="false">IF('הדבקת לידים'!A571="","",IF(ISNUMBER('הדבקת לידים'!A571),IF(הגדרות!$E$2&gt;0,TEXT('הדבקת לידים'!A571,REPT("0",הגדרות!$E$2)),TEXT('הדבקת לידים'!A571,"0")),TRIM('הדבקת לידים'!A571)))</f>
        <v/>
      </c>
      <c r="B571" s="0" t="str">
        <f aca="false">IF('הדבקת לידים'!B571="","",IF(ISNUMBER('הדבקת לידים'!B571),IF(הגדרות!$E$3&gt;0,TEXT('הדבקת לידים'!B571,REPT("0",הגדרות!$E$3)),TEXT('הדבקת לידים'!B571,"0")),TRIM('הדבקת לידים'!B571)))</f>
        <v/>
      </c>
      <c r="C571" s="0" t="n">
        <f aca="false">IF(OR(A571&lt;&gt;"",B571&lt;&gt;""),1,0)</f>
        <v>0</v>
      </c>
      <c r="D571" s="0" t="str">
        <f aca="false">IF(C571=1,MOD(ABS(SIN(ROW()*12.9898+'הדבקת לידים'!$F$2*78.233+IFERROR(--RIGHT(A571,6),LEN(A571))*0.0137+IFERROR(--RIGHT(B571,6),LEN(B571))*0.0071))*43758.5453,1),"")</f>
        <v/>
      </c>
      <c r="E571" s="0" t="str">
        <f aca="false">IF(C571=1,INT(MOD(ABS(SIN(D571*7919.123+ROW()*0.618+'הדבקת לידים'!$F$2*1.3))*43758.5453,1)*1000000)*10000+ROW(),"")</f>
        <v/>
      </c>
      <c r="F571" s="0" t="str">
        <f aca="false">IF(E571="","",RANK(E571,$E$2:$E$5001,1))</f>
        <v/>
      </c>
      <c r="G571" s="0" t="n">
        <f aca="false">IF(A571="",0,IF(SUMPRODUCT(--($A$2:$A$5001=A571))&gt;1,1,0))</f>
        <v>0</v>
      </c>
      <c r="H571" s="0" t="n">
        <f aca="false">ROW()-1</f>
        <v>570</v>
      </c>
      <c r="I571" s="0" t="str">
        <f aca="false">IF(OR(הגדרות!$E$6=0,H571&gt;הגדרות!$E$5),"",IF(H571-1&lt;הגדרות!$E$8*(הגדרות!$E$7+1),INT((H571-1)/(הגדרות!$E$7+1)),הגדרות!$E$8+INT((H571-1-הגדרות!$E$8*(הגדרות!$E$7+1))/הגדרות!$E$7)))</f>
        <v/>
      </c>
      <c r="J571" s="0" t="str">
        <f aca="false">IF(I571="","",IF(H571-1&lt;הגדרות!$E$8*(הגדרות!$E$7+1),MOD(H571-1,הגדרות!$E$7+1),MOD(H571-1-הגדרות!$E$8*(הגדרות!$E$7+1),הגדרות!$E$7)))</f>
        <v/>
      </c>
      <c r="K571" s="0" t="str">
        <f aca="false">IF(I571="","",J571*הגדרות!$E$6+I571+1)</f>
        <v/>
      </c>
      <c r="L571" s="0" t="str">
        <f aca="false">IF(K571="","",MATCH(K571,$F$2:$F$5001,0))</f>
        <v/>
      </c>
      <c r="M571" s="0" t="str">
        <f aca="false">IF(I571="","",INDEX(הגדרות!$A$2:$A$21,MOD(I571+הגדרות!$E$9,הגדרות!$E$6)+1))</f>
        <v/>
      </c>
    </row>
    <row r="572" customFormat="false" ht="15" hidden="false" customHeight="false" outlineLevel="0" collapsed="false">
      <c r="A572" s="0" t="str">
        <f aca="false">IF('הדבקת לידים'!A572="","",IF(ISNUMBER('הדבקת לידים'!A572),IF(הגדרות!$E$2&gt;0,TEXT('הדבקת לידים'!A572,REPT("0",הגדרות!$E$2)),TEXT('הדבקת לידים'!A572,"0")),TRIM('הדבקת לידים'!A572)))</f>
        <v/>
      </c>
      <c r="B572" s="0" t="str">
        <f aca="false">IF('הדבקת לידים'!B572="","",IF(ISNUMBER('הדבקת לידים'!B572),IF(הגדרות!$E$3&gt;0,TEXT('הדבקת לידים'!B572,REPT("0",הגדרות!$E$3)),TEXT('הדבקת לידים'!B572,"0")),TRIM('הדבקת לידים'!B572)))</f>
        <v/>
      </c>
      <c r="C572" s="0" t="n">
        <f aca="false">IF(OR(A572&lt;&gt;"",B572&lt;&gt;""),1,0)</f>
        <v>0</v>
      </c>
      <c r="D572" s="0" t="str">
        <f aca="false">IF(C572=1,MOD(ABS(SIN(ROW()*12.9898+'הדבקת לידים'!$F$2*78.233+IFERROR(--RIGHT(A572,6),LEN(A572))*0.0137+IFERROR(--RIGHT(B572,6),LEN(B572))*0.0071))*43758.5453,1),"")</f>
        <v/>
      </c>
      <c r="E572" s="0" t="str">
        <f aca="false">IF(C572=1,INT(MOD(ABS(SIN(D572*7919.123+ROW()*0.618+'הדבקת לידים'!$F$2*1.3))*43758.5453,1)*1000000)*10000+ROW(),"")</f>
        <v/>
      </c>
      <c r="F572" s="0" t="str">
        <f aca="false">IF(E572="","",RANK(E572,$E$2:$E$5001,1))</f>
        <v/>
      </c>
      <c r="G572" s="0" t="n">
        <f aca="false">IF(A572="",0,IF(SUMPRODUCT(--($A$2:$A$5001=A572))&gt;1,1,0))</f>
        <v>0</v>
      </c>
      <c r="H572" s="0" t="n">
        <f aca="false">ROW()-1</f>
        <v>571</v>
      </c>
      <c r="I572" s="0" t="str">
        <f aca="false">IF(OR(הגדרות!$E$6=0,H572&gt;הגדרות!$E$5),"",IF(H572-1&lt;הגדרות!$E$8*(הגדרות!$E$7+1),INT((H572-1)/(הגדרות!$E$7+1)),הגדרות!$E$8+INT((H572-1-הגדרות!$E$8*(הגדרות!$E$7+1))/הגדרות!$E$7)))</f>
        <v/>
      </c>
      <c r="J572" s="0" t="str">
        <f aca="false">IF(I572="","",IF(H572-1&lt;הגדרות!$E$8*(הגדרות!$E$7+1),MOD(H572-1,הגדרות!$E$7+1),MOD(H572-1-הגדרות!$E$8*(הגדרות!$E$7+1),הגדרות!$E$7)))</f>
        <v/>
      </c>
      <c r="K572" s="0" t="str">
        <f aca="false">IF(I572="","",J572*הגדרות!$E$6+I572+1)</f>
        <v/>
      </c>
      <c r="L572" s="0" t="str">
        <f aca="false">IF(K572="","",MATCH(K572,$F$2:$F$5001,0))</f>
        <v/>
      </c>
      <c r="M572" s="0" t="str">
        <f aca="false">IF(I572="","",INDEX(הגדרות!$A$2:$A$21,MOD(I572+הגדרות!$E$9,הגדרות!$E$6)+1))</f>
        <v/>
      </c>
    </row>
    <row r="573" customFormat="false" ht="15" hidden="false" customHeight="false" outlineLevel="0" collapsed="false">
      <c r="A573" s="0" t="str">
        <f aca="false">IF('הדבקת לידים'!A573="","",IF(ISNUMBER('הדבקת לידים'!A573),IF(הגדרות!$E$2&gt;0,TEXT('הדבקת לידים'!A573,REPT("0",הגדרות!$E$2)),TEXT('הדבקת לידים'!A573,"0")),TRIM('הדבקת לידים'!A573)))</f>
        <v/>
      </c>
      <c r="B573" s="0" t="str">
        <f aca="false">IF('הדבקת לידים'!B573="","",IF(ISNUMBER('הדבקת לידים'!B573),IF(הגדרות!$E$3&gt;0,TEXT('הדבקת לידים'!B573,REPT("0",הגדרות!$E$3)),TEXT('הדבקת לידים'!B573,"0")),TRIM('הדבקת לידים'!B573)))</f>
        <v/>
      </c>
      <c r="C573" s="0" t="n">
        <f aca="false">IF(OR(A573&lt;&gt;"",B573&lt;&gt;""),1,0)</f>
        <v>0</v>
      </c>
      <c r="D573" s="0" t="str">
        <f aca="false">IF(C573=1,MOD(ABS(SIN(ROW()*12.9898+'הדבקת לידים'!$F$2*78.233+IFERROR(--RIGHT(A573,6),LEN(A573))*0.0137+IFERROR(--RIGHT(B573,6),LEN(B573))*0.0071))*43758.5453,1),"")</f>
        <v/>
      </c>
      <c r="E573" s="0" t="str">
        <f aca="false">IF(C573=1,INT(MOD(ABS(SIN(D573*7919.123+ROW()*0.618+'הדבקת לידים'!$F$2*1.3))*43758.5453,1)*1000000)*10000+ROW(),"")</f>
        <v/>
      </c>
      <c r="F573" s="0" t="str">
        <f aca="false">IF(E573="","",RANK(E573,$E$2:$E$5001,1))</f>
        <v/>
      </c>
      <c r="G573" s="0" t="n">
        <f aca="false">IF(A573="",0,IF(SUMPRODUCT(--($A$2:$A$5001=A573))&gt;1,1,0))</f>
        <v>0</v>
      </c>
      <c r="H573" s="0" t="n">
        <f aca="false">ROW()-1</f>
        <v>572</v>
      </c>
      <c r="I573" s="0" t="str">
        <f aca="false">IF(OR(הגדרות!$E$6=0,H573&gt;הגדרות!$E$5),"",IF(H573-1&lt;הגדרות!$E$8*(הגדרות!$E$7+1),INT((H573-1)/(הגדרות!$E$7+1)),הגדרות!$E$8+INT((H573-1-הגדרות!$E$8*(הגדרות!$E$7+1))/הגדרות!$E$7)))</f>
        <v/>
      </c>
      <c r="J573" s="0" t="str">
        <f aca="false">IF(I573="","",IF(H573-1&lt;הגדרות!$E$8*(הגדרות!$E$7+1),MOD(H573-1,הגדרות!$E$7+1),MOD(H573-1-הגדרות!$E$8*(הגדרות!$E$7+1),הגדרות!$E$7)))</f>
        <v/>
      </c>
      <c r="K573" s="0" t="str">
        <f aca="false">IF(I573="","",J573*הגדרות!$E$6+I573+1)</f>
        <v/>
      </c>
      <c r="L573" s="0" t="str">
        <f aca="false">IF(K573="","",MATCH(K573,$F$2:$F$5001,0))</f>
        <v/>
      </c>
      <c r="M573" s="0" t="str">
        <f aca="false">IF(I573="","",INDEX(הגדרות!$A$2:$A$21,MOD(I573+הגדרות!$E$9,הגדרות!$E$6)+1))</f>
        <v/>
      </c>
    </row>
    <row r="574" customFormat="false" ht="15" hidden="false" customHeight="false" outlineLevel="0" collapsed="false">
      <c r="A574" s="0" t="str">
        <f aca="false">IF('הדבקת לידים'!A574="","",IF(ISNUMBER('הדבקת לידים'!A574),IF(הגדרות!$E$2&gt;0,TEXT('הדבקת לידים'!A574,REPT("0",הגדרות!$E$2)),TEXT('הדבקת לידים'!A574,"0")),TRIM('הדבקת לידים'!A574)))</f>
        <v/>
      </c>
      <c r="B574" s="0" t="str">
        <f aca="false">IF('הדבקת לידים'!B574="","",IF(ISNUMBER('הדבקת לידים'!B574),IF(הגדרות!$E$3&gt;0,TEXT('הדבקת לידים'!B574,REPT("0",הגדרות!$E$3)),TEXT('הדבקת לידים'!B574,"0")),TRIM('הדבקת לידים'!B574)))</f>
        <v/>
      </c>
      <c r="C574" s="0" t="n">
        <f aca="false">IF(OR(A574&lt;&gt;"",B574&lt;&gt;""),1,0)</f>
        <v>0</v>
      </c>
      <c r="D574" s="0" t="str">
        <f aca="false">IF(C574=1,MOD(ABS(SIN(ROW()*12.9898+'הדבקת לידים'!$F$2*78.233+IFERROR(--RIGHT(A574,6),LEN(A574))*0.0137+IFERROR(--RIGHT(B574,6),LEN(B574))*0.0071))*43758.5453,1),"")</f>
        <v/>
      </c>
      <c r="E574" s="0" t="str">
        <f aca="false">IF(C574=1,INT(MOD(ABS(SIN(D574*7919.123+ROW()*0.618+'הדבקת לידים'!$F$2*1.3))*43758.5453,1)*1000000)*10000+ROW(),"")</f>
        <v/>
      </c>
      <c r="F574" s="0" t="str">
        <f aca="false">IF(E574="","",RANK(E574,$E$2:$E$5001,1))</f>
        <v/>
      </c>
      <c r="G574" s="0" t="n">
        <f aca="false">IF(A574="",0,IF(SUMPRODUCT(--($A$2:$A$5001=A574))&gt;1,1,0))</f>
        <v>0</v>
      </c>
      <c r="H574" s="0" t="n">
        <f aca="false">ROW()-1</f>
        <v>573</v>
      </c>
      <c r="I574" s="0" t="str">
        <f aca="false">IF(OR(הגדרות!$E$6=0,H574&gt;הגדרות!$E$5),"",IF(H574-1&lt;הגדרות!$E$8*(הגדרות!$E$7+1),INT((H574-1)/(הגדרות!$E$7+1)),הגדרות!$E$8+INT((H574-1-הגדרות!$E$8*(הגדרות!$E$7+1))/הגדרות!$E$7)))</f>
        <v/>
      </c>
      <c r="J574" s="0" t="str">
        <f aca="false">IF(I574="","",IF(H574-1&lt;הגדרות!$E$8*(הגדרות!$E$7+1),MOD(H574-1,הגדרות!$E$7+1),MOD(H574-1-הגדרות!$E$8*(הגדרות!$E$7+1),הגדרות!$E$7)))</f>
        <v/>
      </c>
      <c r="K574" s="0" t="str">
        <f aca="false">IF(I574="","",J574*הגדרות!$E$6+I574+1)</f>
        <v/>
      </c>
      <c r="L574" s="0" t="str">
        <f aca="false">IF(K574="","",MATCH(K574,$F$2:$F$5001,0))</f>
        <v/>
      </c>
      <c r="M574" s="0" t="str">
        <f aca="false">IF(I574="","",INDEX(הגדרות!$A$2:$A$21,MOD(I574+הגדרות!$E$9,הגדרות!$E$6)+1))</f>
        <v/>
      </c>
    </row>
    <row r="575" customFormat="false" ht="15" hidden="false" customHeight="false" outlineLevel="0" collapsed="false">
      <c r="A575" s="0" t="str">
        <f aca="false">IF('הדבקת לידים'!A575="","",IF(ISNUMBER('הדבקת לידים'!A575),IF(הגדרות!$E$2&gt;0,TEXT('הדבקת לידים'!A575,REPT("0",הגדרות!$E$2)),TEXT('הדבקת לידים'!A575,"0")),TRIM('הדבקת לידים'!A575)))</f>
        <v/>
      </c>
      <c r="B575" s="0" t="str">
        <f aca="false">IF('הדבקת לידים'!B575="","",IF(ISNUMBER('הדבקת לידים'!B575),IF(הגדרות!$E$3&gt;0,TEXT('הדבקת לידים'!B575,REPT("0",הגדרות!$E$3)),TEXT('הדבקת לידים'!B575,"0")),TRIM('הדבקת לידים'!B575)))</f>
        <v/>
      </c>
      <c r="C575" s="0" t="n">
        <f aca="false">IF(OR(A575&lt;&gt;"",B575&lt;&gt;""),1,0)</f>
        <v>0</v>
      </c>
      <c r="D575" s="0" t="str">
        <f aca="false">IF(C575=1,MOD(ABS(SIN(ROW()*12.9898+'הדבקת לידים'!$F$2*78.233+IFERROR(--RIGHT(A575,6),LEN(A575))*0.0137+IFERROR(--RIGHT(B575,6),LEN(B575))*0.0071))*43758.5453,1),"")</f>
        <v/>
      </c>
      <c r="E575" s="0" t="str">
        <f aca="false">IF(C575=1,INT(MOD(ABS(SIN(D575*7919.123+ROW()*0.618+'הדבקת לידים'!$F$2*1.3))*43758.5453,1)*1000000)*10000+ROW(),"")</f>
        <v/>
      </c>
      <c r="F575" s="0" t="str">
        <f aca="false">IF(E575="","",RANK(E575,$E$2:$E$5001,1))</f>
        <v/>
      </c>
      <c r="G575" s="0" t="n">
        <f aca="false">IF(A575="",0,IF(SUMPRODUCT(--($A$2:$A$5001=A575))&gt;1,1,0))</f>
        <v>0</v>
      </c>
      <c r="H575" s="0" t="n">
        <f aca="false">ROW()-1</f>
        <v>574</v>
      </c>
      <c r="I575" s="0" t="str">
        <f aca="false">IF(OR(הגדרות!$E$6=0,H575&gt;הגדרות!$E$5),"",IF(H575-1&lt;הגדרות!$E$8*(הגדרות!$E$7+1),INT((H575-1)/(הגדרות!$E$7+1)),הגדרות!$E$8+INT((H575-1-הגדרות!$E$8*(הגדרות!$E$7+1))/הגדרות!$E$7)))</f>
        <v/>
      </c>
      <c r="J575" s="0" t="str">
        <f aca="false">IF(I575="","",IF(H575-1&lt;הגדרות!$E$8*(הגדרות!$E$7+1),MOD(H575-1,הגדרות!$E$7+1),MOD(H575-1-הגדרות!$E$8*(הגדרות!$E$7+1),הגדרות!$E$7)))</f>
        <v/>
      </c>
      <c r="K575" s="0" t="str">
        <f aca="false">IF(I575="","",J575*הגדרות!$E$6+I575+1)</f>
        <v/>
      </c>
      <c r="L575" s="0" t="str">
        <f aca="false">IF(K575="","",MATCH(K575,$F$2:$F$5001,0))</f>
        <v/>
      </c>
      <c r="M575" s="0" t="str">
        <f aca="false">IF(I575="","",INDEX(הגדרות!$A$2:$A$21,MOD(I575+הגדרות!$E$9,הגדרות!$E$6)+1))</f>
        <v/>
      </c>
    </row>
    <row r="576" customFormat="false" ht="15" hidden="false" customHeight="false" outlineLevel="0" collapsed="false">
      <c r="A576" s="0" t="str">
        <f aca="false">IF('הדבקת לידים'!A576="","",IF(ISNUMBER('הדבקת לידים'!A576),IF(הגדרות!$E$2&gt;0,TEXT('הדבקת לידים'!A576,REPT("0",הגדרות!$E$2)),TEXT('הדבקת לידים'!A576,"0")),TRIM('הדבקת לידים'!A576)))</f>
        <v/>
      </c>
      <c r="B576" s="0" t="str">
        <f aca="false">IF('הדבקת לידים'!B576="","",IF(ISNUMBER('הדבקת לידים'!B576),IF(הגדרות!$E$3&gt;0,TEXT('הדבקת לידים'!B576,REPT("0",הגדרות!$E$3)),TEXT('הדבקת לידים'!B576,"0")),TRIM('הדבקת לידים'!B576)))</f>
        <v/>
      </c>
      <c r="C576" s="0" t="n">
        <f aca="false">IF(OR(A576&lt;&gt;"",B576&lt;&gt;""),1,0)</f>
        <v>0</v>
      </c>
      <c r="D576" s="0" t="str">
        <f aca="false">IF(C576=1,MOD(ABS(SIN(ROW()*12.9898+'הדבקת לידים'!$F$2*78.233+IFERROR(--RIGHT(A576,6),LEN(A576))*0.0137+IFERROR(--RIGHT(B576,6),LEN(B576))*0.0071))*43758.5453,1),"")</f>
        <v/>
      </c>
      <c r="E576" s="0" t="str">
        <f aca="false">IF(C576=1,INT(MOD(ABS(SIN(D576*7919.123+ROW()*0.618+'הדבקת לידים'!$F$2*1.3))*43758.5453,1)*1000000)*10000+ROW(),"")</f>
        <v/>
      </c>
      <c r="F576" s="0" t="str">
        <f aca="false">IF(E576="","",RANK(E576,$E$2:$E$5001,1))</f>
        <v/>
      </c>
      <c r="G576" s="0" t="n">
        <f aca="false">IF(A576="",0,IF(SUMPRODUCT(--($A$2:$A$5001=A576))&gt;1,1,0))</f>
        <v>0</v>
      </c>
      <c r="H576" s="0" t="n">
        <f aca="false">ROW()-1</f>
        <v>575</v>
      </c>
      <c r="I576" s="0" t="str">
        <f aca="false">IF(OR(הגדרות!$E$6=0,H576&gt;הגדרות!$E$5),"",IF(H576-1&lt;הגדרות!$E$8*(הגדרות!$E$7+1),INT((H576-1)/(הגדרות!$E$7+1)),הגדרות!$E$8+INT((H576-1-הגדרות!$E$8*(הגדרות!$E$7+1))/הגדרות!$E$7)))</f>
        <v/>
      </c>
      <c r="J576" s="0" t="str">
        <f aca="false">IF(I576="","",IF(H576-1&lt;הגדרות!$E$8*(הגדרות!$E$7+1),MOD(H576-1,הגדרות!$E$7+1),MOD(H576-1-הגדרות!$E$8*(הגדרות!$E$7+1),הגדרות!$E$7)))</f>
        <v/>
      </c>
      <c r="K576" s="0" t="str">
        <f aca="false">IF(I576="","",J576*הגדרות!$E$6+I576+1)</f>
        <v/>
      </c>
      <c r="L576" s="0" t="str">
        <f aca="false">IF(K576="","",MATCH(K576,$F$2:$F$5001,0))</f>
        <v/>
      </c>
      <c r="M576" s="0" t="str">
        <f aca="false">IF(I576="","",INDEX(הגדרות!$A$2:$A$21,MOD(I576+הגדרות!$E$9,הגדרות!$E$6)+1))</f>
        <v/>
      </c>
    </row>
    <row r="577" customFormat="false" ht="15" hidden="false" customHeight="false" outlineLevel="0" collapsed="false">
      <c r="A577" s="0" t="str">
        <f aca="false">IF('הדבקת לידים'!A577="","",IF(ISNUMBER('הדבקת לידים'!A577),IF(הגדרות!$E$2&gt;0,TEXT('הדבקת לידים'!A577,REPT("0",הגדרות!$E$2)),TEXT('הדבקת לידים'!A577,"0")),TRIM('הדבקת לידים'!A577)))</f>
        <v/>
      </c>
      <c r="B577" s="0" t="str">
        <f aca="false">IF('הדבקת לידים'!B577="","",IF(ISNUMBER('הדבקת לידים'!B577),IF(הגדרות!$E$3&gt;0,TEXT('הדבקת לידים'!B577,REPT("0",הגדרות!$E$3)),TEXT('הדבקת לידים'!B577,"0")),TRIM('הדבקת לידים'!B577)))</f>
        <v/>
      </c>
      <c r="C577" s="0" t="n">
        <f aca="false">IF(OR(A577&lt;&gt;"",B577&lt;&gt;""),1,0)</f>
        <v>0</v>
      </c>
      <c r="D577" s="0" t="str">
        <f aca="false">IF(C577=1,MOD(ABS(SIN(ROW()*12.9898+'הדבקת לידים'!$F$2*78.233+IFERROR(--RIGHT(A577,6),LEN(A577))*0.0137+IFERROR(--RIGHT(B577,6),LEN(B577))*0.0071))*43758.5453,1),"")</f>
        <v/>
      </c>
      <c r="E577" s="0" t="str">
        <f aca="false">IF(C577=1,INT(MOD(ABS(SIN(D577*7919.123+ROW()*0.618+'הדבקת לידים'!$F$2*1.3))*43758.5453,1)*1000000)*10000+ROW(),"")</f>
        <v/>
      </c>
      <c r="F577" s="0" t="str">
        <f aca="false">IF(E577="","",RANK(E577,$E$2:$E$5001,1))</f>
        <v/>
      </c>
      <c r="G577" s="0" t="n">
        <f aca="false">IF(A577="",0,IF(SUMPRODUCT(--($A$2:$A$5001=A577))&gt;1,1,0))</f>
        <v>0</v>
      </c>
      <c r="H577" s="0" t="n">
        <f aca="false">ROW()-1</f>
        <v>576</v>
      </c>
      <c r="I577" s="0" t="str">
        <f aca="false">IF(OR(הגדרות!$E$6=0,H577&gt;הגדרות!$E$5),"",IF(H577-1&lt;הגדרות!$E$8*(הגדרות!$E$7+1),INT((H577-1)/(הגדרות!$E$7+1)),הגדרות!$E$8+INT((H577-1-הגדרות!$E$8*(הגדרות!$E$7+1))/הגדרות!$E$7)))</f>
        <v/>
      </c>
      <c r="J577" s="0" t="str">
        <f aca="false">IF(I577="","",IF(H577-1&lt;הגדרות!$E$8*(הגדרות!$E$7+1),MOD(H577-1,הגדרות!$E$7+1),MOD(H577-1-הגדרות!$E$8*(הגדרות!$E$7+1),הגדרות!$E$7)))</f>
        <v/>
      </c>
      <c r="K577" s="0" t="str">
        <f aca="false">IF(I577="","",J577*הגדרות!$E$6+I577+1)</f>
        <v/>
      </c>
      <c r="L577" s="0" t="str">
        <f aca="false">IF(K577="","",MATCH(K577,$F$2:$F$5001,0))</f>
        <v/>
      </c>
      <c r="M577" s="0" t="str">
        <f aca="false">IF(I577="","",INDEX(הגדרות!$A$2:$A$21,MOD(I577+הגדרות!$E$9,הגדרות!$E$6)+1))</f>
        <v/>
      </c>
    </row>
    <row r="578" customFormat="false" ht="15" hidden="false" customHeight="false" outlineLevel="0" collapsed="false">
      <c r="A578" s="0" t="str">
        <f aca="false">IF('הדבקת לידים'!A578="","",IF(ISNUMBER('הדבקת לידים'!A578),IF(הגדרות!$E$2&gt;0,TEXT('הדבקת לידים'!A578,REPT("0",הגדרות!$E$2)),TEXT('הדבקת לידים'!A578,"0")),TRIM('הדבקת לידים'!A578)))</f>
        <v/>
      </c>
      <c r="B578" s="0" t="str">
        <f aca="false">IF('הדבקת לידים'!B578="","",IF(ISNUMBER('הדבקת לידים'!B578),IF(הגדרות!$E$3&gt;0,TEXT('הדבקת לידים'!B578,REPT("0",הגדרות!$E$3)),TEXT('הדבקת לידים'!B578,"0")),TRIM('הדבקת לידים'!B578)))</f>
        <v/>
      </c>
      <c r="C578" s="0" t="n">
        <f aca="false">IF(OR(A578&lt;&gt;"",B578&lt;&gt;""),1,0)</f>
        <v>0</v>
      </c>
      <c r="D578" s="0" t="str">
        <f aca="false">IF(C578=1,MOD(ABS(SIN(ROW()*12.9898+'הדבקת לידים'!$F$2*78.233+IFERROR(--RIGHT(A578,6),LEN(A578))*0.0137+IFERROR(--RIGHT(B578,6),LEN(B578))*0.0071))*43758.5453,1),"")</f>
        <v/>
      </c>
      <c r="E578" s="0" t="str">
        <f aca="false">IF(C578=1,INT(MOD(ABS(SIN(D578*7919.123+ROW()*0.618+'הדבקת לידים'!$F$2*1.3))*43758.5453,1)*1000000)*10000+ROW(),"")</f>
        <v/>
      </c>
      <c r="F578" s="0" t="str">
        <f aca="false">IF(E578="","",RANK(E578,$E$2:$E$5001,1))</f>
        <v/>
      </c>
      <c r="G578" s="0" t="n">
        <f aca="false">IF(A578="",0,IF(SUMPRODUCT(--($A$2:$A$5001=A578))&gt;1,1,0))</f>
        <v>0</v>
      </c>
      <c r="H578" s="0" t="n">
        <f aca="false">ROW()-1</f>
        <v>577</v>
      </c>
      <c r="I578" s="0" t="str">
        <f aca="false">IF(OR(הגדרות!$E$6=0,H578&gt;הגדרות!$E$5),"",IF(H578-1&lt;הגדרות!$E$8*(הגדרות!$E$7+1),INT((H578-1)/(הגדרות!$E$7+1)),הגדרות!$E$8+INT((H578-1-הגדרות!$E$8*(הגדרות!$E$7+1))/הגדרות!$E$7)))</f>
        <v/>
      </c>
      <c r="J578" s="0" t="str">
        <f aca="false">IF(I578="","",IF(H578-1&lt;הגדרות!$E$8*(הגדרות!$E$7+1),MOD(H578-1,הגדרות!$E$7+1),MOD(H578-1-הגדרות!$E$8*(הגדרות!$E$7+1),הגדרות!$E$7)))</f>
        <v/>
      </c>
      <c r="K578" s="0" t="str">
        <f aca="false">IF(I578="","",J578*הגדרות!$E$6+I578+1)</f>
        <v/>
      </c>
      <c r="L578" s="0" t="str">
        <f aca="false">IF(K578="","",MATCH(K578,$F$2:$F$5001,0))</f>
        <v/>
      </c>
      <c r="M578" s="0" t="str">
        <f aca="false">IF(I578="","",INDEX(הגדרות!$A$2:$A$21,MOD(I578+הגדרות!$E$9,הגדרות!$E$6)+1))</f>
        <v/>
      </c>
    </row>
    <row r="579" customFormat="false" ht="15" hidden="false" customHeight="false" outlineLevel="0" collapsed="false">
      <c r="A579" s="0" t="str">
        <f aca="false">IF('הדבקת לידים'!A579="","",IF(ISNUMBER('הדבקת לידים'!A579),IF(הגדרות!$E$2&gt;0,TEXT('הדבקת לידים'!A579,REPT("0",הגדרות!$E$2)),TEXT('הדבקת לידים'!A579,"0")),TRIM('הדבקת לידים'!A579)))</f>
        <v/>
      </c>
      <c r="B579" s="0" t="str">
        <f aca="false">IF('הדבקת לידים'!B579="","",IF(ISNUMBER('הדבקת לידים'!B579),IF(הגדרות!$E$3&gt;0,TEXT('הדבקת לידים'!B579,REPT("0",הגדרות!$E$3)),TEXT('הדבקת לידים'!B579,"0")),TRIM('הדבקת לידים'!B579)))</f>
        <v/>
      </c>
      <c r="C579" s="0" t="n">
        <f aca="false">IF(OR(A579&lt;&gt;"",B579&lt;&gt;""),1,0)</f>
        <v>0</v>
      </c>
      <c r="D579" s="0" t="str">
        <f aca="false">IF(C579=1,MOD(ABS(SIN(ROW()*12.9898+'הדבקת לידים'!$F$2*78.233+IFERROR(--RIGHT(A579,6),LEN(A579))*0.0137+IFERROR(--RIGHT(B579,6),LEN(B579))*0.0071))*43758.5453,1),"")</f>
        <v/>
      </c>
      <c r="E579" s="0" t="str">
        <f aca="false">IF(C579=1,INT(MOD(ABS(SIN(D579*7919.123+ROW()*0.618+'הדבקת לידים'!$F$2*1.3))*43758.5453,1)*1000000)*10000+ROW(),"")</f>
        <v/>
      </c>
      <c r="F579" s="0" t="str">
        <f aca="false">IF(E579="","",RANK(E579,$E$2:$E$5001,1))</f>
        <v/>
      </c>
      <c r="G579" s="0" t="n">
        <f aca="false">IF(A579="",0,IF(SUMPRODUCT(--($A$2:$A$5001=A579))&gt;1,1,0))</f>
        <v>0</v>
      </c>
      <c r="H579" s="0" t="n">
        <f aca="false">ROW()-1</f>
        <v>578</v>
      </c>
      <c r="I579" s="0" t="str">
        <f aca="false">IF(OR(הגדרות!$E$6=0,H579&gt;הגדרות!$E$5),"",IF(H579-1&lt;הגדרות!$E$8*(הגדרות!$E$7+1),INT((H579-1)/(הגדרות!$E$7+1)),הגדרות!$E$8+INT((H579-1-הגדרות!$E$8*(הגדרות!$E$7+1))/הגדרות!$E$7)))</f>
        <v/>
      </c>
      <c r="J579" s="0" t="str">
        <f aca="false">IF(I579="","",IF(H579-1&lt;הגדרות!$E$8*(הגדרות!$E$7+1),MOD(H579-1,הגדרות!$E$7+1),MOD(H579-1-הגדרות!$E$8*(הגדרות!$E$7+1),הגדרות!$E$7)))</f>
        <v/>
      </c>
      <c r="K579" s="0" t="str">
        <f aca="false">IF(I579="","",J579*הגדרות!$E$6+I579+1)</f>
        <v/>
      </c>
      <c r="L579" s="0" t="str">
        <f aca="false">IF(K579="","",MATCH(K579,$F$2:$F$5001,0))</f>
        <v/>
      </c>
      <c r="M579" s="0" t="str">
        <f aca="false">IF(I579="","",INDEX(הגדרות!$A$2:$A$21,MOD(I579+הגדרות!$E$9,הגדרות!$E$6)+1))</f>
        <v/>
      </c>
    </row>
    <row r="580" customFormat="false" ht="15" hidden="false" customHeight="false" outlineLevel="0" collapsed="false">
      <c r="A580" s="0" t="str">
        <f aca="false">IF('הדבקת לידים'!A580="","",IF(ISNUMBER('הדבקת לידים'!A580),IF(הגדרות!$E$2&gt;0,TEXT('הדבקת לידים'!A580,REPT("0",הגדרות!$E$2)),TEXT('הדבקת לידים'!A580,"0")),TRIM('הדבקת לידים'!A580)))</f>
        <v/>
      </c>
      <c r="B580" s="0" t="str">
        <f aca="false">IF('הדבקת לידים'!B580="","",IF(ISNUMBER('הדבקת לידים'!B580),IF(הגדרות!$E$3&gt;0,TEXT('הדבקת לידים'!B580,REPT("0",הגדרות!$E$3)),TEXT('הדבקת לידים'!B580,"0")),TRIM('הדבקת לידים'!B580)))</f>
        <v/>
      </c>
      <c r="C580" s="0" t="n">
        <f aca="false">IF(OR(A580&lt;&gt;"",B580&lt;&gt;""),1,0)</f>
        <v>0</v>
      </c>
      <c r="D580" s="0" t="str">
        <f aca="false">IF(C580=1,MOD(ABS(SIN(ROW()*12.9898+'הדבקת לידים'!$F$2*78.233+IFERROR(--RIGHT(A580,6),LEN(A580))*0.0137+IFERROR(--RIGHT(B580,6),LEN(B580))*0.0071))*43758.5453,1),"")</f>
        <v/>
      </c>
      <c r="E580" s="0" t="str">
        <f aca="false">IF(C580=1,INT(MOD(ABS(SIN(D580*7919.123+ROW()*0.618+'הדבקת לידים'!$F$2*1.3))*43758.5453,1)*1000000)*10000+ROW(),"")</f>
        <v/>
      </c>
      <c r="F580" s="0" t="str">
        <f aca="false">IF(E580="","",RANK(E580,$E$2:$E$5001,1))</f>
        <v/>
      </c>
      <c r="G580" s="0" t="n">
        <f aca="false">IF(A580="",0,IF(SUMPRODUCT(--($A$2:$A$5001=A580))&gt;1,1,0))</f>
        <v>0</v>
      </c>
      <c r="H580" s="0" t="n">
        <f aca="false">ROW()-1</f>
        <v>579</v>
      </c>
      <c r="I580" s="0" t="str">
        <f aca="false">IF(OR(הגדרות!$E$6=0,H580&gt;הגדרות!$E$5),"",IF(H580-1&lt;הגדרות!$E$8*(הגדרות!$E$7+1),INT((H580-1)/(הגדרות!$E$7+1)),הגדרות!$E$8+INT((H580-1-הגדרות!$E$8*(הגדרות!$E$7+1))/הגדרות!$E$7)))</f>
        <v/>
      </c>
      <c r="J580" s="0" t="str">
        <f aca="false">IF(I580="","",IF(H580-1&lt;הגדרות!$E$8*(הגדרות!$E$7+1),MOD(H580-1,הגדרות!$E$7+1),MOD(H580-1-הגדרות!$E$8*(הגדרות!$E$7+1),הגדרות!$E$7)))</f>
        <v/>
      </c>
      <c r="K580" s="0" t="str">
        <f aca="false">IF(I580="","",J580*הגדרות!$E$6+I580+1)</f>
        <v/>
      </c>
      <c r="L580" s="0" t="str">
        <f aca="false">IF(K580="","",MATCH(K580,$F$2:$F$5001,0))</f>
        <v/>
      </c>
      <c r="M580" s="0" t="str">
        <f aca="false">IF(I580="","",INDEX(הגדרות!$A$2:$A$21,MOD(I580+הגדרות!$E$9,הגדרות!$E$6)+1))</f>
        <v/>
      </c>
    </row>
    <row r="581" customFormat="false" ht="15" hidden="false" customHeight="false" outlineLevel="0" collapsed="false">
      <c r="A581" s="0" t="str">
        <f aca="false">IF('הדבקת לידים'!A581="","",IF(ISNUMBER('הדבקת לידים'!A581),IF(הגדרות!$E$2&gt;0,TEXT('הדבקת לידים'!A581,REPT("0",הגדרות!$E$2)),TEXT('הדבקת לידים'!A581,"0")),TRIM('הדבקת לידים'!A581)))</f>
        <v/>
      </c>
      <c r="B581" s="0" t="str">
        <f aca="false">IF('הדבקת לידים'!B581="","",IF(ISNUMBER('הדבקת לידים'!B581),IF(הגדרות!$E$3&gt;0,TEXT('הדבקת לידים'!B581,REPT("0",הגדרות!$E$3)),TEXT('הדבקת לידים'!B581,"0")),TRIM('הדבקת לידים'!B581)))</f>
        <v/>
      </c>
      <c r="C581" s="0" t="n">
        <f aca="false">IF(OR(A581&lt;&gt;"",B581&lt;&gt;""),1,0)</f>
        <v>0</v>
      </c>
      <c r="D581" s="0" t="str">
        <f aca="false">IF(C581=1,MOD(ABS(SIN(ROW()*12.9898+'הדבקת לידים'!$F$2*78.233+IFERROR(--RIGHT(A581,6),LEN(A581))*0.0137+IFERROR(--RIGHT(B581,6),LEN(B581))*0.0071))*43758.5453,1),"")</f>
        <v/>
      </c>
      <c r="E581" s="0" t="str">
        <f aca="false">IF(C581=1,INT(MOD(ABS(SIN(D581*7919.123+ROW()*0.618+'הדבקת לידים'!$F$2*1.3))*43758.5453,1)*1000000)*10000+ROW(),"")</f>
        <v/>
      </c>
      <c r="F581" s="0" t="str">
        <f aca="false">IF(E581="","",RANK(E581,$E$2:$E$5001,1))</f>
        <v/>
      </c>
      <c r="G581" s="0" t="n">
        <f aca="false">IF(A581="",0,IF(SUMPRODUCT(--($A$2:$A$5001=A581))&gt;1,1,0))</f>
        <v>0</v>
      </c>
      <c r="H581" s="0" t="n">
        <f aca="false">ROW()-1</f>
        <v>580</v>
      </c>
      <c r="I581" s="0" t="str">
        <f aca="false">IF(OR(הגדרות!$E$6=0,H581&gt;הגדרות!$E$5),"",IF(H581-1&lt;הגדרות!$E$8*(הגדרות!$E$7+1),INT((H581-1)/(הגדרות!$E$7+1)),הגדרות!$E$8+INT((H581-1-הגדרות!$E$8*(הגדרות!$E$7+1))/הגדרות!$E$7)))</f>
        <v/>
      </c>
      <c r="J581" s="0" t="str">
        <f aca="false">IF(I581="","",IF(H581-1&lt;הגדרות!$E$8*(הגדרות!$E$7+1),MOD(H581-1,הגדרות!$E$7+1),MOD(H581-1-הגדרות!$E$8*(הגדרות!$E$7+1),הגדרות!$E$7)))</f>
        <v/>
      </c>
      <c r="K581" s="0" t="str">
        <f aca="false">IF(I581="","",J581*הגדרות!$E$6+I581+1)</f>
        <v/>
      </c>
      <c r="L581" s="0" t="str">
        <f aca="false">IF(K581="","",MATCH(K581,$F$2:$F$5001,0))</f>
        <v/>
      </c>
      <c r="M581" s="0" t="str">
        <f aca="false">IF(I581="","",INDEX(הגדרות!$A$2:$A$21,MOD(I581+הגדרות!$E$9,הגדרות!$E$6)+1))</f>
        <v/>
      </c>
    </row>
    <row r="582" customFormat="false" ht="15" hidden="false" customHeight="false" outlineLevel="0" collapsed="false">
      <c r="A582" s="0" t="str">
        <f aca="false">IF('הדבקת לידים'!A582="","",IF(ISNUMBER('הדבקת לידים'!A582),IF(הגדרות!$E$2&gt;0,TEXT('הדבקת לידים'!A582,REPT("0",הגדרות!$E$2)),TEXT('הדבקת לידים'!A582,"0")),TRIM('הדבקת לידים'!A582)))</f>
        <v/>
      </c>
      <c r="B582" s="0" t="str">
        <f aca="false">IF('הדבקת לידים'!B582="","",IF(ISNUMBER('הדבקת לידים'!B582),IF(הגדרות!$E$3&gt;0,TEXT('הדבקת לידים'!B582,REPT("0",הגדרות!$E$3)),TEXT('הדבקת לידים'!B582,"0")),TRIM('הדבקת לידים'!B582)))</f>
        <v/>
      </c>
      <c r="C582" s="0" t="n">
        <f aca="false">IF(OR(A582&lt;&gt;"",B582&lt;&gt;""),1,0)</f>
        <v>0</v>
      </c>
      <c r="D582" s="0" t="str">
        <f aca="false">IF(C582=1,MOD(ABS(SIN(ROW()*12.9898+'הדבקת לידים'!$F$2*78.233+IFERROR(--RIGHT(A582,6),LEN(A582))*0.0137+IFERROR(--RIGHT(B582,6),LEN(B582))*0.0071))*43758.5453,1),"")</f>
        <v/>
      </c>
      <c r="E582" s="0" t="str">
        <f aca="false">IF(C582=1,INT(MOD(ABS(SIN(D582*7919.123+ROW()*0.618+'הדבקת לידים'!$F$2*1.3))*43758.5453,1)*1000000)*10000+ROW(),"")</f>
        <v/>
      </c>
      <c r="F582" s="0" t="str">
        <f aca="false">IF(E582="","",RANK(E582,$E$2:$E$5001,1))</f>
        <v/>
      </c>
      <c r="G582" s="0" t="n">
        <f aca="false">IF(A582="",0,IF(SUMPRODUCT(--($A$2:$A$5001=A582))&gt;1,1,0))</f>
        <v>0</v>
      </c>
      <c r="H582" s="0" t="n">
        <f aca="false">ROW()-1</f>
        <v>581</v>
      </c>
      <c r="I582" s="0" t="str">
        <f aca="false">IF(OR(הגדרות!$E$6=0,H582&gt;הגדרות!$E$5),"",IF(H582-1&lt;הגדרות!$E$8*(הגדרות!$E$7+1),INT((H582-1)/(הגדרות!$E$7+1)),הגדרות!$E$8+INT((H582-1-הגדרות!$E$8*(הגדרות!$E$7+1))/הגדרות!$E$7)))</f>
        <v/>
      </c>
      <c r="J582" s="0" t="str">
        <f aca="false">IF(I582="","",IF(H582-1&lt;הגדרות!$E$8*(הגדרות!$E$7+1),MOD(H582-1,הגדרות!$E$7+1),MOD(H582-1-הגדרות!$E$8*(הגדרות!$E$7+1),הגדרות!$E$7)))</f>
        <v/>
      </c>
      <c r="K582" s="0" t="str">
        <f aca="false">IF(I582="","",J582*הגדרות!$E$6+I582+1)</f>
        <v/>
      </c>
      <c r="L582" s="0" t="str">
        <f aca="false">IF(K582="","",MATCH(K582,$F$2:$F$5001,0))</f>
        <v/>
      </c>
      <c r="M582" s="0" t="str">
        <f aca="false">IF(I582="","",INDEX(הגדרות!$A$2:$A$21,MOD(I582+הגדרות!$E$9,הגדרות!$E$6)+1))</f>
        <v/>
      </c>
    </row>
    <row r="583" customFormat="false" ht="15" hidden="false" customHeight="false" outlineLevel="0" collapsed="false">
      <c r="A583" s="0" t="str">
        <f aca="false">IF('הדבקת לידים'!A583="","",IF(ISNUMBER('הדבקת לידים'!A583),IF(הגדרות!$E$2&gt;0,TEXT('הדבקת לידים'!A583,REPT("0",הגדרות!$E$2)),TEXT('הדבקת לידים'!A583,"0")),TRIM('הדבקת לידים'!A583)))</f>
        <v/>
      </c>
      <c r="B583" s="0" t="str">
        <f aca="false">IF('הדבקת לידים'!B583="","",IF(ISNUMBER('הדבקת לידים'!B583),IF(הגדרות!$E$3&gt;0,TEXT('הדבקת לידים'!B583,REPT("0",הגדרות!$E$3)),TEXT('הדבקת לידים'!B583,"0")),TRIM('הדבקת לידים'!B583)))</f>
        <v/>
      </c>
      <c r="C583" s="0" t="n">
        <f aca="false">IF(OR(A583&lt;&gt;"",B583&lt;&gt;""),1,0)</f>
        <v>0</v>
      </c>
      <c r="D583" s="0" t="str">
        <f aca="false">IF(C583=1,MOD(ABS(SIN(ROW()*12.9898+'הדבקת לידים'!$F$2*78.233+IFERROR(--RIGHT(A583,6),LEN(A583))*0.0137+IFERROR(--RIGHT(B583,6),LEN(B583))*0.0071))*43758.5453,1),"")</f>
        <v/>
      </c>
      <c r="E583" s="0" t="str">
        <f aca="false">IF(C583=1,INT(MOD(ABS(SIN(D583*7919.123+ROW()*0.618+'הדבקת לידים'!$F$2*1.3))*43758.5453,1)*1000000)*10000+ROW(),"")</f>
        <v/>
      </c>
      <c r="F583" s="0" t="str">
        <f aca="false">IF(E583="","",RANK(E583,$E$2:$E$5001,1))</f>
        <v/>
      </c>
      <c r="G583" s="0" t="n">
        <f aca="false">IF(A583="",0,IF(SUMPRODUCT(--($A$2:$A$5001=A583))&gt;1,1,0))</f>
        <v>0</v>
      </c>
      <c r="H583" s="0" t="n">
        <f aca="false">ROW()-1</f>
        <v>582</v>
      </c>
      <c r="I583" s="0" t="str">
        <f aca="false">IF(OR(הגדרות!$E$6=0,H583&gt;הגדרות!$E$5),"",IF(H583-1&lt;הגדרות!$E$8*(הגדרות!$E$7+1),INT((H583-1)/(הגדרות!$E$7+1)),הגדרות!$E$8+INT((H583-1-הגדרות!$E$8*(הגדרות!$E$7+1))/הגדרות!$E$7)))</f>
        <v/>
      </c>
      <c r="J583" s="0" t="str">
        <f aca="false">IF(I583="","",IF(H583-1&lt;הגדרות!$E$8*(הגדרות!$E$7+1),MOD(H583-1,הגדרות!$E$7+1),MOD(H583-1-הגדרות!$E$8*(הגדרות!$E$7+1),הגדרות!$E$7)))</f>
        <v/>
      </c>
      <c r="K583" s="0" t="str">
        <f aca="false">IF(I583="","",J583*הגדרות!$E$6+I583+1)</f>
        <v/>
      </c>
      <c r="L583" s="0" t="str">
        <f aca="false">IF(K583="","",MATCH(K583,$F$2:$F$5001,0))</f>
        <v/>
      </c>
      <c r="M583" s="0" t="str">
        <f aca="false">IF(I583="","",INDEX(הגדרות!$A$2:$A$21,MOD(I583+הגדרות!$E$9,הגדרות!$E$6)+1))</f>
        <v/>
      </c>
    </row>
    <row r="584" customFormat="false" ht="15" hidden="false" customHeight="false" outlineLevel="0" collapsed="false">
      <c r="A584" s="0" t="str">
        <f aca="false">IF('הדבקת לידים'!A584="","",IF(ISNUMBER('הדבקת לידים'!A584),IF(הגדרות!$E$2&gt;0,TEXT('הדבקת לידים'!A584,REPT("0",הגדרות!$E$2)),TEXT('הדבקת לידים'!A584,"0")),TRIM('הדבקת לידים'!A584)))</f>
        <v/>
      </c>
      <c r="B584" s="0" t="str">
        <f aca="false">IF('הדבקת לידים'!B584="","",IF(ISNUMBER('הדבקת לידים'!B584),IF(הגדרות!$E$3&gt;0,TEXT('הדבקת לידים'!B584,REPT("0",הגדרות!$E$3)),TEXT('הדבקת לידים'!B584,"0")),TRIM('הדבקת לידים'!B584)))</f>
        <v/>
      </c>
      <c r="C584" s="0" t="n">
        <f aca="false">IF(OR(A584&lt;&gt;"",B584&lt;&gt;""),1,0)</f>
        <v>0</v>
      </c>
      <c r="D584" s="0" t="str">
        <f aca="false">IF(C584=1,MOD(ABS(SIN(ROW()*12.9898+'הדבקת לידים'!$F$2*78.233+IFERROR(--RIGHT(A584,6),LEN(A584))*0.0137+IFERROR(--RIGHT(B584,6),LEN(B584))*0.0071))*43758.5453,1),"")</f>
        <v/>
      </c>
      <c r="E584" s="0" t="str">
        <f aca="false">IF(C584=1,INT(MOD(ABS(SIN(D584*7919.123+ROW()*0.618+'הדבקת לידים'!$F$2*1.3))*43758.5453,1)*1000000)*10000+ROW(),"")</f>
        <v/>
      </c>
      <c r="F584" s="0" t="str">
        <f aca="false">IF(E584="","",RANK(E584,$E$2:$E$5001,1))</f>
        <v/>
      </c>
      <c r="G584" s="0" t="n">
        <f aca="false">IF(A584="",0,IF(SUMPRODUCT(--($A$2:$A$5001=A584))&gt;1,1,0))</f>
        <v>0</v>
      </c>
      <c r="H584" s="0" t="n">
        <f aca="false">ROW()-1</f>
        <v>583</v>
      </c>
      <c r="I584" s="0" t="str">
        <f aca="false">IF(OR(הגדרות!$E$6=0,H584&gt;הגדרות!$E$5),"",IF(H584-1&lt;הגדרות!$E$8*(הגדרות!$E$7+1),INT((H584-1)/(הגדרות!$E$7+1)),הגדרות!$E$8+INT((H584-1-הגדרות!$E$8*(הגדרות!$E$7+1))/הגדרות!$E$7)))</f>
        <v/>
      </c>
      <c r="J584" s="0" t="str">
        <f aca="false">IF(I584="","",IF(H584-1&lt;הגדרות!$E$8*(הגדרות!$E$7+1),MOD(H584-1,הגדרות!$E$7+1),MOD(H584-1-הגדרות!$E$8*(הגדרות!$E$7+1),הגדרות!$E$7)))</f>
        <v/>
      </c>
      <c r="K584" s="0" t="str">
        <f aca="false">IF(I584="","",J584*הגדרות!$E$6+I584+1)</f>
        <v/>
      </c>
      <c r="L584" s="0" t="str">
        <f aca="false">IF(K584="","",MATCH(K584,$F$2:$F$5001,0))</f>
        <v/>
      </c>
      <c r="M584" s="0" t="str">
        <f aca="false">IF(I584="","",INDEX(הגדרות!$A$2:$A$21,MOD(I584+הגדרות!$E$9,הגדרות!$E$6)+1))</f>
        <v/>
      </c>
    </row>
    <row r="585" customFormat="false" ht="15" hidden="false" customHeight="false" outlineLevel="0" collapsed="false">
      <c r="A585" s="0" t="str">
        <f aca="false">IF('הדבקת לידים'!A585="","",IF(ISNUMBER('הדבקת לידים'!A585),IF(הגדרות!$E$2&gt;0,TEXT('הדבקת לידים'!A585,REPT("0",הגדרות!$E$2)),TEXT('הדבקת לידים'!A585,"0")),TRIM('הדבקת לידים'!A585)))</f>
        <v/>
      </c>
      <c r="B585" s="0" t="str">
        <f aca="false">IF('הדבקת לידים'!B585="","",IF(ISNUMBER('הדבקת לידים'!B585),IF(הגדרות!$E$3&gt;0,TEXT('הדבקת לידים'!B585,REPT("0",הגדרות!$E$3)),TEXT('הדבקת לידים'!B585,"0")),TRIM('הדבקת לידים'!B585)))</f>
        <v/>
      </c>
      <c r="C585" s="0" t="n">
        <f aca="false">IF(OR(A585&lt;&gt;"",B585&lt;&gt;""),1,0)</f>
        <v>0</v>
      </c>
      <c r="D585" s="0" t="str">
        <f aca="false">IF(C585=1,MOD(ABS(SIN(ROW()*12.9898+'הדבקת לידים'!$F$2*78.233+IFERROR(--RIGHT(A585,6),LEN(A585))*0.0137+IFERROR(--RIGHT(B585,6),LEN(B585))*0.0071))*43758.5453,1),"")</f>
        <v/>
      </c>
      <c r="E585" s="0" t="str">
        <f aca="false">IF(C585=1,INT(MOD(ABS(SIN(D585*7919.123+ROW()*0.618+'הדבקת לידים'!$F$2*1.3))*43758.5453,1)*1000000)*10000+ROW(),"")</f>
        <v/>
      </c>
      <c r="F585" s="0" t="str">
        <f aca="false">IF(E585="","",RANK(E585,$E$2:$E$5001,1))</f>
        <v/>
      </c>
      <c r="G585" s="0" t="n">
        <f aca="false">IF(A585="",0,IF(SUMPRODUCT(--($A$2:$A$5001=A585))&gt;1,1,0))</f>
        <v>0</v>
      </c>
      <c r="H585" s="0" t="n">
        <f aca="false">ROW()-1</f>
        <v>584</v>
      </c>
      <c r="I585" s="0" t="str">
        <f aca="false">IF(OR(הגדרות!$E$6=0,H585&gt;הגדרות!$E$5),"",IF(H585-1&lt;הגדרות!$E$8*(הגדרות!$E$7+1),INT((H585-1)/(הגדרות!$E$7+1)),הגדרות!$E$8+INT((H585-1-הגדרות!$E$8*(הגדרות!$E$7+1))/הגדרות!$E$7)))</f>
        <v/>
      </c>
      <c r="J585" s="0" t="str">
        <f aca="false">IF(I585="","",IF(H585-1&lt;הגדרות!$E$8*(הגדרות!$E$7+1),MOD(H585-1,הגדרות!$E$7+1),MOD(H585-1-הגדרות!$E$8*(הגדרות!$E$7+1),הגדרות!$E$7)))</f>
        <v/>
      </c>
      <c r="K585" s="0" t="str">
        <f aca="false">IF(I585="","",J585*הגדרות!$E$6+I585+1)</f>
        <v/>
      </c>
      <c r="L585" s="0" t="str">
        <f aca="false">IF(K585="","",MATCH(K585,$F$2:$F$5001,0))</f>
        <v/>
      </c>
      <c r="M585" s="0" t="str">
        <f aca="false">IF(I585="","",INDEX(הגדרות!$A$2:$A$21,MOD(I585+הגדרות!$E$9,הגדרות!$E$6)+1))</f>
        <v/>
      </c>
    </row>
    <row r="586" customFormat="false" ht="15" hidden="false" customHeight="false" outlineLevel="0" collapsed="false">
      <c r="A586" s="0" t="str">
        <f aca="false">IF('הדבקת לידים'!A586="","",IF(ISNUMBER('הדבקת לידים'!A586),IF(הגדרות!$E$2&gt;0,TEXT('הדבקת לידים'!A586,REPT("0",הגדרות!$E$2)),TEXT('הדבקת לידים'!A586,"0")),TRIM('הדבקת לידים'!A586)))</f>
        <v/>
      </c>
      <c r="B586" s="0" t="str">
        <f aca="false">IF('הדבקת לידים'!B586="","",IF(ISNUMBER('הדבקת לידים'!B586),IF(הגדרות!$E$3&gt;0,TEXT('הדבקת לידים'!B586,REPT("0",הגדרות!$E$3)),TEXT('הדבקת לידים'!B586,"0")),TRIM('הדבקת לידים'!B586)))</f>
        <v/>
      </c>
      <c r="C586" s="0" t="n">
        <f aca="false">IF(OR(A586&lt;&gt;"",B586&lt;&gt;""),1,0)</f>
        <v>0</v>
      </c>
      <c r="D586" s="0" t="str">
        <f aca="false">IF(C586=1,MOD(ABS(SIN(ROW()*12.9898+'הדבקת לידים'!$F$2*78.233+IFERROR(--RIGHT(A586,6),LEN(A586))*0.0137+IFERROR(--RIGHT(B586,6),LEN(B586))*0.0071))*43758.5453,1),"")</f>
        <v/>
      </c>
      <c r="E586" s="0" t="str">
        <f aca="false">IF(C586=1,INT(MOD(ABS(SIN(D586*7919.123+ROW()*0.618+'הדבקת לידים'!$F$2*1.3))*43758.5453,1)*1000000)*10000+ROW(),"")</f>
        <v/>
      </c>
      <c r="F586" s="0" t="str">
        <f aca="false">IF(E586="","",RANK(E586,$E$2:$E$5001,1))</f>
        <v/>
      </c>
      <c r="G586" s="0" t="n">
        <f aca="false">IF(A586="",0,IF(SUMPRODUCT(--($A$2:$A$5001=A586))&gt;1,1,0))</f>
        <v>0</v>
      </c>
      <c r="H586" s="0" t="n">
        <f aca="false">ROW()-1</f>
        <v>585</v>
      </c>
      <c r="I586" s="0" t="str">
        <f aca="false">IF(OR(הגדרות!$E$6=0,H586&gt;הגדרות!$E$5),"",IF(H586-1&lt;הגדרות!$E$8*(הגדרות!$E$7+1),INT((H586-1)/(הגדרות!$E$7+1)),הגדרות!$E$8+INT((H586-1-הגדרות!$E$8*(הגדרות!$E$7+1))/הגדרות!$E$7)))</f>
        <v/>
      </c>
      <c r="J586" s="0" t="str">
        <f aca="false">IF(I586="","",IF(H586-1&lt;הגדרות!$E$8*(הגדרות!$E$7+1),MOD(H586-1,הגדרות!$E$7+1),MOD(H586-1-הגדרות!$E$8*(הגדרות!$E$7+1),הגדרות!$E$7)))</f>
        <v/>
      </c>
      <c r="K586" s="0" t="str">
        <f aca="false">IF(I586="","",J586*הגדרות!$E$6+I586+1)</f>
        <v/>
      </c>
      <c r="L586" s="0" t="str">
        <f aca="false">IF(K586="","",MATCH(K586,$F$2:$F$5001,0))</f>
        <v/>
      </c>
      <c r="M586" s="0" t="str">
        <f aca="false">IF(I586="","",INDEX(הגדרות!$A$2:$A$21,MOD(I586+הגדרות!$E$9,הגדרות!$E$6)+1))</f>
        <v/>
      </c>
    </row>
    <row r="587" customFormat="false" ht="15" hidden="false" customHeight="false" outlineLevel="0" collapsed="false">
      <c r="A587" s="0" t="str">
        <f aca="false">IF('הדבקת לידים'!A587="","",IF(ISNUMBER('הדבקת לידים'!A587),IF(הגדרות!$E$2&gt;0,TEXT('הדבקת לידים'!A587,REPT("0",הגדרות!$E$2)),TEXT('הדבקת לידים'!A587,"0")),TRIM('הדבקת לידים'!A587)))</f>
        <v/>
      </c>
      <c r="B587" s="0" t="str">
        <f aca="false">IF('הדבקת לידים'!B587="","",IF(ISNUMBER('הדבקת לידים'!B587),IF(הגדרות!$E$3&gt;0,TEXT('הדבקת לידים'!B587,REPT("0",הגדרות!$E$3)),TEXT('הדבקת לידים'!B587,"0")),TRIM('הדבקת לידים'!B587)))</f>
        <v/>
      </c>
      <c r="C587" s="0" t="n">
        <f aca="false">IF(OR(A587&lt;&gt;"",B587&lt;&gt;""),1,0)</f>
        <v>0</v>
      </c>
      <c r="D587" s="0" t="str">
        <f aca="false">IF(C587=1,MOD(ABS(SIN(ROW()*12.9898+'הדבקת לידים'!$F$2*78.233+IFERROR(--RIGHT(A587,6),LEN(A587))*0.0137+IFERROR(--RIGHT(B587,6),LEN(B587))*0.0071))*43758.5453,1),"")</f>
        <v/>
      </c>
      <c r="E587" s="0" t="str">
        <f aca="false">IF(C587=1,INT(MOD(ABS(SIN(D587*7919.123+ROW()*0.618+'הדבקת לידים'!$F$2*1.3))*43758.5453,1)*1000000)*10000+ROW(),"")</f>
        <v/>
      </c>
      <c r="F587" s="0" t="str">
        <f aca="false">IF(E587="","",RANK(E587,$E$2:$E$5001,1))</f>
        <v/>
      </c>
      <c r="G587" s="0" t="n">
        <f aca="false">IF(A587="",0,IF(SUMPRODUCT(--($A$2:$A$5001=A587))&gt;1,1,0))</f>
        <v>0</v>
      </c>
      <c r="H587" s="0" t="n">
        <f aca="false">ROW()-1</f>
        <v>586</v>
      </c>
      <c r="I587" s="0" t="str">
        <f aca="false">IF(OR(הגדרות!$E$6=0,H587&gt;הגדרות!$E$5),"",IF(H587-1&lt;הגדרות!$E$8*(הגדרות!$E$7+1),INT((H587-1)/(הגדרות!$E$7+1)),הגדרות!$E$8+INT((H587-1-הגדרות!$E$8*(הגדרות!$E$7+1))/הגדרות!$E$7)))</f>
        <v/>
      </c>
      <c r="J587" s="0" t="str">
        <f aca="false">IF(I587="","",IF(H587-1&lt;הגדרות!$E$8*(הגדרות!$E$7+1),MOD(H587-1,הגדרות!$E$7+1),MOD(H587-1-הגדרות!$E$8*(הגדרות!$E$7+1),הגדרות!$E$7)))</f>
        <v/>
      </c>
      <c r="K587" s="0" t="str">
        <f aca="false">IF(I587="","",J587*הגדרות!$E$6+I587+1)</f>
        <v/>
      </c>
      <c r="L587" s="0" t="str">
        <f aca="false">IF(K587="","",MATCH(K587,$F$2:$F$5001,0))</f>
        <v/>
      </c>
      <c r="M587" s="0" t="str">
        <f aca="false">IF(I587="","",INDEX(הגדרות!$A$2:$A$21,MOD(I587+הגדרות!$E$9,הגדרות!$E$6)+1))</f>
        <v/>
      </c>
    </row>
    <row r="588" customFormat="false" ht="15" hidden="false" customHeight="false" outlineLevel="0" collapsed="false">
      <c r="A588" s="0" t="str">
        <f aca="false">IF('הדבקת לידים'!A588="","",IF(ISNUMBER('הדבקת לידים'!A588),IF(הגדרות!$E$2&gt;0,TEXT('הדבקת לידים'!A588,REPT("0",הגדרות!$E$2)),TEXT('הדבקת לידים'!A588,"0")),TRIM('הדבקת לידים'!A588)))</f>
        <v/>
      </c>
      <c r="B588" s="0" t="str">
        <f aca="false">IF('הדבקת לידים'!B588="","",IF(ISNUMBER('הדבקת לידים'!B588),IF(הגדרות!$E$3&gt;0,TEXT('הדבקת לידים'!B588,REPT("0",הגדרות!$E$3)),TEXT('הדבקת לידים'!B588,"0")),TRIM('הדבקת לידים'!B588)))</f>
        <v/>
      </c>
      <c r="C588" s="0" t="n">
        <f aca="false">IF(OR(A588&lt;&gt;"",B588&lt;&gt;""),1,0)</f>
        <v>0</v>
      </c>
      <c r="D588" s="0" t="str">
        <f aca="false">IF(C588=1,MOD(ABS(SIN(ROW()*12.9898+'הדבקת לידים'!$F$2*78.233+IFERROR(--RIGHT(A588,6),LEN(A588))*0.0137+IFERROR(--RIGHT(B588,6),LEN(B588))*0.0071))*43758.5453,1),"")</f>
        <v/>
      </c>
      <c r="E588" s="0" t="str">
        <f aca="false">IF(C588=1,INT(MOD(ABS(SIN(D588*7919.123+ROW()*0.618+'הדבקת לידים'!$F$2*1.3))*43758.5453,1)*1000000)*10000+ROW(),"")</f>
        <v/>
      </c>
      <c r="F588" s="0" t="str">
        <f aca="false">IF(E588="","",RANK(E588,$E$2:$E$5001,1))</f>
        <v/>
      </c>
      <c r="G588" s="0" t="n">
        <f aca="false">IF(A588="",0,IF(SUMPRODUCT(--($A$2:$A$5001=A588))&gt;1,1,0))</f>
        <v>0</v>
      </c>
      <c r="H588" s="0" t="n">
        <f aca="false">ROW()-1</f>
        <v>587</v>
      </c>
      <c r="I588" s="0" t="str">
        <f aca="false">IF(OR(הגדרות!$E$6=0,H588&gt;הגדרות!$E$5),"",IF(H588-1&lt;הגדרות!$E$8*(הגדרות!$E$7+1),INT((H588-1)/(הגדרות!$E$7+1)),הגדרות!$E$8+INT((H588-1-הגדרות!$E$8*(הגדרות!$E$7+1))/הגדרות!$E$7)))</f>
        <v/>
      </c>
      <c r="J588" s="0" t="str">
        <f aca="false">IF(I588="","",IF(H588-1&lt;הגדרות!$E$8*(הגדרות!$E$7+1),MOD(H588-1,הגדרות!$E$7+1),MOD(H588-1-הגדרות!$E$8*(הגדרות!$E$7+1),הגדרות!$E$7)))</f>
        <v/>
      </c>
      <c r="K588" s="0" t="str">
        <f aca="false">IF(I588="","",J588*הגדרות!$E$6+I588+1)</f>
        <v/>
      </c>
      <c r="L588" s="0" t="str">
        <f aca="false">IF(K588="","",MATCH(K588,$F$2:$F$5001,0))</f>
        <v/>
      </c>
      <c r="M588" s="0" t="str">
        <f aca="false">IF(I588="","",INDEX(הגדרות!$A$2:$A$21,MOD(I588+הגדרות!$E$9,הגדרות!$E$6)+1))</f>
        <v/>
      </c>
    </row>
    <row r="589" customFormat="false" ht="15" hidden="false" customHeight="false" outlineLevel="0" collapsed="false">
      <c r="A589" s="0" t="str">
        <f aca="false">IF('הדבקת לידים'!A589="","",IF(ISNUMBER('הדבקת לידים'!A589),IF(הגדרות!$E$2&gt;0,TEXT('הדבקת לידים'!A589,REPT("0",הגדרות!$E$2)),TEXT('הדבקת לידים'!A589,"0")),TRIM('הדבקת לידים'!A589)))</f>
        <v/>
      </c>
      <c r="B589" s="0" t="str">
        <f aca="false">IF('הדבקת לידים'!B589="","",IF(ISNUMBER('הדבקת לידים'!B589),IF(הגדרות!$E$3&gt;0,TEXT('הדבקת לידים'!B589,REPT("0",הגדרות!$E$3)),TEXT('הדבקת לידים'!B589,"0")),TRIM('הדבקת לידים'!B589)))</f>
        <v/>
      </c>
      <c r="C589" s="0" t="n">
        <f aca="false">IF(OR(A589&lt;&gt;"",B589&lt;&gt;""),1,0)</f>
        <v>0</v>
      </c>
      <c r="D589" s="0" t="str">
        <f aca="false">IF(C589=1,MOD(ABS(SIN(ROW()*12.9898+'הדבקת לידים'!$F$2*78.233+IFERROR(--RIGHT(A589,6),LEN(A589))*0.0137+IFERROR(--RIGHT(B589,6),LEN(B589))*0.0071))*43758.5453,1),"")</f>
        <v/>
      </c>
      <c r="E589" s="0" t="str">
        <f aca="false">IF(C589=1,INT(MOD(ABS(SIN(D589*7919.123+ROW()*0.618+'הדבקת לידים'!$F$2*1.3))*43758.5453,1)*1000000)*10000+ROW(),"")</f>
        <v/>
      </c>
      <c r="F589" s="0" t="str">
        <f aca="false">IF(E589="","",RANK(E589,$E$2:$E$5001,1))</f>
        <v/>
      </c>
      <c r="G589" s="0" t="n">
        <f aca="false">IF(A589="",0,IF(SUMPRODUCT(--($A$2:$A$5001=A589))&gt;1,1,0))</f>
        <v>0</v>
      </c>
      <c r="H589" s="0" t="n">
        <f aca="false">ROW()-1</f>
        <v>588</v>
      </c>
      <c r="I589" s="0" t="str">
        <f aca="false">IF(OR(הגדרות!$E$6=0,H589&gt;הגדרות!$E$5),"",IF(H589-1&lt;הגדרות!$E$8*(הגדרות!$E$7+1),INT((H589-1)/(הגדרות!$E$7+1)),הגדרות!$E$8+INT((H589-1-הגדרות!$E$8*(הגדרות!$E$7+1))/הגדרות!$E$7)))</f>
        <v/>
      </c>
      <c r="J589" s="0" t="str">
        <f aca="false">IF(I589="","",IF(H589-1&lt;הגדרות!$E$8*(הגדרות!$E$7+1),MOD(H589-1,הגדרות!$E$7+1),MOD(H589-1-הגדרות!$E$8*(הגדרות!$E$7+1),הגדרות!$E$7)))</f>
        <v/>
      </c>
      <c r="K589" s="0" t="str">
        <f aca="false">IF(I589="","",J589*הגדרות!$E$6+I589+1)</f>
        <v/>
      </c>
      <c r="L589" s="0" t="str">
        <f aca="false">IF(K589="","",MATCH(K589,$F$2:$F$5001,0))</f>
        <v/>
      </c>
      <c r="M589" s="0" t="str">
        <f aca="false">IF(I589="","",INDEX(הגדרות!$A$2:$A$21,MOD(I589+הגדרות!$E$9,הגדרות!$E$6)+1))</f>
        <v/>
      </c>
    </row>
    <row r="590" customFormat="false" ht="15" hidden="false" customHeight="false" outlineLevel="0" collapsed="false">
      <c r="A590" s="0" t="str">
        <f aca="false">IF('הדבקת לידים'!A590="","",IF(ISNUMBER('הדבקת לידים'!A590),IF(הגדרות!$E$2&gt;0,TEXT('הדבקת לידים'!A590,REPT("0",הגדרות!$E$2)),TEXT('הדבקת לידים'!A590,"0")),TRIM('הדבקת לידים'!A590)))</f>
        <v/>
      </c>
      <c r="B590" s="0" t="str">
        <f aca="false">IF('הדבקת לידים'!B590="","",IF(ISNUMBER('הדבקת לידים'!B590),IF(הגדרות!$E$3&gt;0,TEXT('הדבקת לידים'!B590,REPT("0",הגדרות!$E$3)),TEXT('הדבקת לידים'!B590,"0")),TRIM('הדבקת לידים'!B590)))</f>
        <v/>
      </c>
      <c r="C590" s="0" t="n">
        <f aca="false">IF(OR(A590&lt;&gt;"",B590&lt;&gt;""),1,0)</f>
        <v>0</v>
      </c>
      <c r="D590" s="0" t="str">
        <f aca="false">IF(C590=1,MOD(ABS(SIN(ROW()*12.9898+'הדבקת לידים'!$F$2*78.233+IFERROR(--RIGHT(A590,6),LEN(A590))*0.0137+IFERROR(--RIGHT(B590,6),LEN(B590))*0.0071))*43758.5453,1),"")</f>
        <v/>
      </c>
      <c r="E590" s="0" t="str">
        <f aca="false">IF(C590=1,INT(MOD(ABS(SIN(D590*7919.123+ROW()*0.618+'הדבקת לידים'!$F$2*1.3))*43758.5453,1)*1000000)*10000+ROW(),"")</f>
        <v/>
      </c>
      <c r="F590" s="0" t="str">
        <f aca="false">IF(E590="","",RANK(E590,$E$2:$E$5001,1))</f>
        <v/>
      </c>
      <c r="G590" s="0" t="n">
        <f aca="false">IF(A590="",0,IF(SUMPRODUCT(--($A$2:$A$5001=A590))&gt;1,1,0))</f>
        <v>0</v>
      </c>
      <c r="H590" s="0" t="n">
        <f aca="false">ROW()-1</f>
        <v>589</v>
      </c>
      <c r="I590" s="0" t="str">
        <f aca="false">IF(OR(הגדרות!$E$6=0,H590&gt;הגדרות!$E$5),"",IF(H590-1&lt;הגדרות!$E$8*(הגדרות!$E$7+1),INT((H590-1)/(הגדרות!$E$7+1)),הגדרות!$E$8+INT((H590-1-הגדרות!$E$8*(הגדרות!$E$7+1))/הגדרות!$E$7)))</f>
        <v/>
      </c>
      <c r="J590" s="0" t="str">
        <f aca="false">IF(I590="","",IF(H590-1&lt;הגדרות!$E$8*(הגדרות!$E$7+1),MOD(H590-1,הגדרות!$E$7+1),MOD(H590-1-הגדרות!$E$8*(הגדרות!$E$7+1),הגדרות!$E$7)))</f>
        <v/>
      </c>
      <c r="K590" s="0" t="str">
        <f aca="false">IF(I590="","",J590*הגדרות!$E$6+I590+1)</f>
        <v/>
      </c>
      <c r="L590" s="0" t="str">
        <f aca="false">IF(K590="","",MATCH(K590,$F$2:$F$5001,0))</f>
        <v/>
      </c>
      <c r="M590" s="0" t="str">
        <f aca="false">IF(I590="","",INDEX(הגדרות!$A$2:$A$21,MOD(I590+הגדרות!$E$9,הגדרות!$E$6)+1))</f>
        <v/>
      </c>
    </row>
    <row r="591" customFormat="false" ht="15" hidden="false" customHeight="false" outlineLevel="0" collapsed="false">
      <c r="A591" s="0" t="str">
        <f aca="false">IF('הדבקת לידים'!A591="","",IF(ISNUMBER('הדבקת לידים'!A591),IF(הגדרות!$E$2&gt;0,TEXT('הדבקת לידים'!A591,REPT("0",הגדרות!$E$2)),TEXT('הדבקת לידים'!A591,"0")),TRIM('הדבקת לידים'!A591)))</f>
        <v/>
      </c>
      <c r="B591" s="0" t="str">
        <f aca="false">IF('הדבקת לידים'!B591="","",IF(ISNUMBER('הדבקת לידים'!B591),IF(הגדרות!$E$3&gt;0,TEXT('הדבקת לידים'!B591,REPT("0",הגדרות!$E$3)),TEXT('הדבקת לידים'!B591,"0")),TRIM('הדבקת לידים'!B591)))</f>
        <v/>
      </c>
      <c r="C591" s="0" t="n">
        <f aca="false">IF(OR(A591&lt;&gt;"",B591&lt;&gt;""),1,0)</f>
        <v>0</v>
      </c>
      <c r="D591" s="0" t="str">
        <f aca="false">IF(C591=1,MOD(ABS(SIN(ROW()*12.9898+'הדבקת לידים'!$F$2*78.233+IFERROR(--RIGHT(A591,6),LEN(A591))*0.0137+IFERROR(--RIGHT(B591,6),LEN(B591))*0.0071))*43758.5453,1),"")</f>
        <v/>
      </c>
      <c r="E591" s="0" t="str">
        <f aca="false">IF(C591=1,INT(MOD(ABS(SIN(D591*7919.123+ROW()*0.618+'הדבקת לידים'!$F$2*1.3))*43758.5453,1)*1000000)*10000+ROW(),"")</f>
        <v/>
      </c>
      <c r="F591" s="0" t="str">
        <f aca="false">IF(E591="","",RANK(E591,$E$2:$E$5001,1))</f>
        <v/>
      </c>
      <c r="G591" s="0" t="n">
        <f aca="false">IF(A591="",0,IF(SUMPRODUCT(--($A$2:$A$5001=A591))&gt;1,1,0))</f>
        <v>0</v>
      </c>
      <c r="H591" s="0" t="n">
        <f aca="false">ROW()-1</f>
        <v>590</v>
      </c>
      <c r="I591" s="0" t="str">
        <f aca="false">IF(OR(הגדרות!$E$6=0,H591&gt;הגדרות!$E$5),"",IF(H591-1&lt;הגדרות!$E$8*(הגדרות!$E$7+1),INT((H591-1)/(הגדרות!$E$7+1)),הגדרות!$E$8+INT((H591-1-הגדרות!$E$8*(הגדרות!$E$7+1))/הגדרות!$E$7)))</f>
        <v/>
      </c>
      <c r="J591" s="0" t="str">
        <f aca="false">IF(I591="","",IF(H591-1&lt;הגדרות!$E$8*(הגדרות!$E$7+1),MOD(H591-1,הגדרות!$E$7+1),MOD(H591-1-הגדרות!$E$8*(הגדרות!$E$7+1),הגדרות!$E$7)))</f>
        <v/>
      </c>
      <c r="K591" s="0" t="str">
        <f aca="false">IF(I591="","",J591*הגדרות!$E$6+I591+1)</f>
        <v/>
      </c>
      <c r="L591" s="0" t="str">
        <f aca="false">IF(K591="","",MATCH(K591,$F$2:$F$5001,0))</f>
        <v/>
      </c>
      <c r="M591" s="0" t="str">
        <f aca="false">IF(I591="","",INDEX(הגדרות!$A$2:$A$21,MOD(I591+הגדרות!$E$9,הגדרות!$E$6)+1))</f>
        <v/>
      </c>
    </row>
    <row r="592" customFormat="false" ht="15" hidden="false" customHeight="false" outlineLevel="0" collapsed="false">
      <c r="A592" s="0" t="str">
        <f aca="false">IF('הדבקת לידים'!A592="","",IF(ISNUMBER('הדבקת לידים'!A592),IF(הגדרות!$E$2&gt;0,TEXT('הדבקת לידים'!A592,REPT("0",הגדרות!$E$2)),TEXT('הדבקת לידים'!A592,"0")),TRIM('הדבקת לידים'!A592)))</f>
        <v/>
      </c>
      <c r="B592" s="0" t="str">
        <f aca="false">IF('הדבקת לידים'!B592="","",IF(ISNUMBER('הדבקת לידים'!B592),IF(הגדרות!$E$3&gt;0,TEXT('הדבקת לידים'!B592,REPT("0",הגדרות!$E$3)),TEXT('הדבקת לידים'!B592,"0")),TRIM('הדבקת לידים'!B592)))</f>
        <v/>
      </c>
      <c r="C592" s="0" t="n">
        <f aca="false">IF(OR(A592&lt;&gt;"",B592&lt;&gt;""),1,0)</f>
        <v>0</v>
      </c>
      <c r="D592" s="0" t="str">
        <f aca="false">IF(C592=1,MOD(ABS(SIN(ROW()*12.9898+'הדבקת לידים'!$F$2*78.233+IFERROR(--RIGHT(A592,6),LEN(A592))*0.0137+IFERROR(--RIGHT(B592,6),LEN(B592))*0.0071))*43758.5453,1),"")</f>
        <v/>
      </c>
      <c r="E592" s="0" t="str">
        <f aca="false">IF(C592=1,INT(MOD(ABS(SIN(D592*7919.123+ROW()*0.618+'הדבקת לידים'!$F$2*1.3))*43758.5453,1)*1000000)*10000+ROW(),"")</f>
        <v/>
      </c>
      <c r="F592" s="0" t="str">
        <f aca="false">IF(E592="","",RANK(E592,$E$2:$E$5001,1))</f>
        <v/>
      </c>
      <c r="G592" s="0" t="n">
        <f aca="false">IF(A592="",0,IF(SUMPRODUCT(--($A$2:$A$5001=A592))&gt;1,1,0))</f>
        <v>0</v>
      </c>
      <c r="H592" s="0" t="n">
        <f aca="false">ROW()-1</f>
        <v>591</v>
      </c>
      <c r="I592" s="0" t="str">
        <f aca="false">IF(OR(הגדרות!$E$6=0,H592&gt;הגדרות!$E$5),"",IF(H592-1&lt;הגדרות!$E$8*(הגדרות!$E$7+1),INT((H592-1)/(הגדרות!$E$7+1)),הגדרות!$E$8+INT((H592-1-הגדרות!$E$8*(הגדרות!$E$7+1))/הגדרות!$E$7)))</f>
        <v/>
      </c>
      <c r="J592" s="0" t="str">
        <f aca="false">IF(I592="","",IF(H592-1&lt;הגדרות!$E$8*(הגדרות!$E$7+1),MOD(H592-1,הגדרות!$E$7+1),MOD(H592-1-הגדרות!$E$8*(הגדרות!$E$7+1),הגדרות!$E$7)))</f>
        <v/>
      </c>
      <c r="K592" s="0" t="str">
        <f aca="false">IF(I592="","",J592*הגדרות!$E$6+I592+1)</f>
        <v/>
      </c>
      <c r="L592" s="0" t="str">
        <f aca="false">IF(K592="","",MATCH(K592,$F$2:$F$5001,0))</f>
        <v/>
      </c>
      <c r="M592" s="0" t="str">
        <f aca="false">IF(I592="","",INDEX(הגדרות!$A$2:$A$21,MOD(I592+הגדרות!$E$9,הגדרות!$E$6)+1))</f>
        <v/>
      </c>
    </row>
    <row r="593" customFormat="false" ht="15" hidden="false" customHeight="false" outlineLevel="0" collapsed="false">
      <c r="A593" s="0" t="str">
        <f aca="false">IF('הדבקת לידים'!A593="","",IF(ISNUMBER('הדבקת לידים'!A593),IF(הגדרות!$E$2&gt;0,TEXT('הדבקת לידים'!A593,REPT("0",הגדרות!$E$2)),TEXT('הדבקת לידים'!A593,"0")),TRIM('הדבקת לידים'!A593)))</f>
        <v/>
      </c>
      <c r="B593" s="0" t="str">
        <f aca="false">IF('הדבקת לידים'!B593="","",IF(ISNUMBER('הדבקת לידים'!B593),IF(הגדרות!$E$3&gt;0,TEXT('הדבקת לידים'!B593,REPT("0",הגדרות!$E$3)),TEXT('הדבקת לידים'!B593,"0")),TRIM('הדבקת לידים'!B593)))</f>
        <v/>
      </c>
      <c r="C593" s="0" t="n">
        <f aca="false">IF(OR(A593&lt;&gt;"",B593&lt;&gt;""),1,0)</f>
        <v>0</v>
      </c>
      <c r="D593" s="0" t="str">
        <f aca="false">IF(C593=1,MOD(ABS(SIN(ROW()*12.9898+'הדבקת לידים'!$F$2*78.233+IFERROR(--RIGHT(A593,6),LEN(A593))*0.0137+IFERROR(--RIGHT(B593,6),LEN(B593))*0.0071))*43758.5453,1),"")</f>
        <v/>
      </c>
      <c r="E593" s="0" t="str">
        <f aca="false">IF(C593=1,INT(MOD(ABS(SIN(D593*7919.123+ROW()*0.618+'הדבקת לידים'!$F$2*1.3))*43758.5453,1)*1000000)*10000+ROW(),"")</f>
        <v/>
      </c>
      <c r="F593" s="0" t="str">
        <f aca="false">IF(E593="","",RANK(E593,$E$2:$E$5001,1))</f>
        <v/>
      </c>
      <c r="G593" s="0" t="n">
        <f aca="false">IF(A593="",0,IF(SUMPRODUCT(--($A$2:$A$5001=A593))&gt;1,1,0))</f>
        <v>0</v>
      </c>
      <c r="H593" s="0" t="n">
        <f aca="false">ROW()-1</f>
        <v>592</v>
      </c>
      <c r="I593" s="0" t="str">
        <f aca="false">IF(OR(הגדרות!$E$6=0,H593&gt;הגדרות!$E$5),"",IF(H593-1&lt;הגדרות!$E$8*(הגדרות!$E$7+1),INT((H593-1)/(הגדרות!$E$7+1)),הגדרות!$E$8+INT((H593-1-הגדרות!$E$8*(הגדרות!$E$7+1))/הגדרות!$E$7)))</f>
        <v/>
      </c>
      <c r="J593" s="0" t="str">
        <f aca="false">IF(I593="","",IF(H593-1&lt;הגדרות!$E$8*(הגדרות!$E$7+1),MOD(H593-1,הגדרות!$E$7+1),MOD(H593-1-הגדרות!$E$8*(הגדרות!$E$7+1),הגדרות!$E$7)))</f>
        <v/>
      </c>
      <c r="K593" s="0" t="str">
        <f aca="false">IF(I593="","",J593*הגדרות!$E$6+I593+1)</f>
        <v/>
      </c>
      <c r="L593" s="0" t="str">
        <f aca="false">IF(K593="","",MATCH(K593,$F$2:$F$5001,0))</f>
        <v/>
      </c>
      <c r="M593" s="0" t="str">
        <f aca="false">IF(I593="","",INDEX(הגדרות!$A$2:$A$21,MOD(I593+הגדרות!$E$9,הגדרות!$E$6)+1))</f>
        <v/>
      </c>
    </row>
    <row r="594" customFormat="false" ht="15" hidden="false" customHeight="false" outlineLevel="0" collapsed="false">
      <c r="A594" s="0" t="str">
        <f aca="false">IF('הדבקת לידים'!A594="","",IF(ISNUMBER('הדבקת לידים'!A594),IF(הגדרות!$E$2&gt;0,TEXT('הדבקת לידים'!A594,REPT("0",הגדרות!$E$2)),TEXT('הדבקת לידים'!A594,"0")),TRIM('הדבקת לידים'!A594)))</f>
        <v/>
      </c>
      <c r="B594" s="0" t="str">
        <f aca="false">IF('הדבקת לידים'!B594="","",IF(ISNUMBER('הדבקת לידים'!B594),IF(הגדרות!$E$3&gt;0,TEXT('הדבקת לידים'!B594,REPT("0",הגדרות!$E$3)),TEXT('הדבקת לידים'!B594,"0")),TRIM('הדבקת לידים'!B594)))</f>
        <v/>
      </c>
      <c r="C594" s="0" t="n">
        <f aca="false">IF(OR(A594&lt;&gt;"",B594&lt;&gt;""),1,0)</f>
        <v>0</v>
      </c>
      <c r="D594" s="0" t="str">
        <f aca="false">IF(C594=1,MOD(ABS(SIN(ROW()*12.9898+'הדבקת לידים'!$F$2*78.233+IFERROR(--RIGHT(A594,6),LEN(A594))*0.0137+IFERROR(--RIGHT(B594,6),LEN(B594))*0.0071))*43758.5453,1),"")</f>
        <v/>
      </c>
      <c r="E594" s="0" t="str">
        <f aca="false">IF(C594=1,INT(MOD(ABS(SIN(D594*7919.123+ROW()*0.618+'הדבקת לידים'!$F$2*1.3))*43758.5453,1)*1000000)*10000+ROW(),"")</f>
        <v/>
      </c>
      <c r="F594" s="0" t="str">
        <f aca="false">IF(E594="","",RANK(E594,$E$2:$E$5001,1))</f>
        <v/>
      </c>
      <c r="G594" s="0" t="n">
        <f aca="false">IF(A594="",0,IF(SUMPRODUCT(--($A$2:$A$5001=A594))&gt;1,1,0))</f>
        <v>0</v>
      </c>
      <c r="H594" s="0" t="n">
        <f aca="false">ROW()-1</f>
        <v>593</v>
      </c>
      <c r="I594" s="0" t="str">
        <f aca="false">IF(OR(הגדרות!$E$6=0,H594&gt;הגדרות!$E$5),"",IF(H594-1&lt;הגדרות!$E$8*(הגדרות!$E$7+1),INT((H594-1)/(הגדרות!$E$7+1)),הגדרות!$E$8+INT((H594-1-הגדרות!$E$8*(הגדרות!$E$7+1))/הגדרות!$E$7)))</f>
        <v/>
      </c>
      <c r="J594" s="0" t="str">
        <f aca="false">IF(I594="","",IF(H594-1&lt;הגדרות!$E$8*(הגדרות!$E$7+1),MOD(H594-1,הגדרות!$E$7+1),MOD(H594-1-הגדרות!$E$8*(הגדרות!$E$7+1),הגדרות!$E$7)))</f>
        <v/>
      </c>
      <c r="K594" s="0" t="str">
        <f aca="false">IF(I594="","",J594*הגדרות!$E$6+I594+1)</f>
        <v/>
      </c>
      <c r="L594" s="0" t="str">
        <f aca="false">IF(K594="","",MATCH(K594,$F$2:$F$5001,0))</f>
        <v/>
      </c>
      <c r="M594" s="0" t="str">
        <f aca="false">IF(I594="","",INDEX(הגדרות!$A$2:$A$21,MOD(I594+הגדרות!$E$9,הגדרות!$E$6)+1))</f>
        <v/>
      </c>
    </row>
    <row r="595" customFormat="false" ht="15" hidden="false" customHeight="false" outlineLevel="0" collapsed="false">
      <c r="A595" s="0" t="str">
        <f aca="false">IF('הדבקת לידים'!A595="","",IF(ISNUMBER('הדבקת לידים'!A595),IF(הגדרות!$E$2&gt;0,TEXT('הדבקת לידים'!A595,REPT("0",הגדרות!$E$2)),TEXT('הדבקת לידים'!A595,"0")),TRIM('הדבקת לידים'!A595)))</f>
        <v/>
      </c>
      <c r="B595" s="0" t="str">
        <f aca="false">IF('הדבקת לידים'!B595="","",IF(ISNUMBER('הדבקת לידים'!B595),IF(הגדרות!$E$3&gt;0,TEXT('הדבקת לידים'!B595,REPT("0",הגדרות!$E$3)),TEXT('הדבקת לידים'!B595,"0")),TRIM('הדבקת לידים'!B595)))</f>
        <v/>
      </c>
      <c r="C595" s="0" t="n">
        <f aca="false">IF(OR(A595&lt;&gt;"",B595&lt;&gt;""),1,0)</f>
        <v>0</v>
      </c>
      <c r="D595" s="0" t="str">
        <f aca="false">IF(C595=1,MOD(ABS(SIN(ROW()*12.9898+'הדבקת לידים'!$F$2*78.233+IFERROR(--RIGHT(A595,6),LEN(A595))*0.0137+IFERROR(--RIGHT(B595,6),LEN(B595))*0.0071))*43758.5453,1),"")</f>
        <v/>
      </c>
      <c r="E595" s="0" t="str">
        <f aca="false">IF(C595=1,INT(MOD(ABS(SIN(D595*7919.123+ROW()*0.618+'הדבקת לידים'!$F$2*1.3))*43758.5453,1)*1000000)*10000+ROW(),"")</f>
        <v/>
      </c>
      <c r="F595" s="0" t="str">
        <f aca="false">IF(E595="","",RANK(E595,$E$2:$E$5001,1))</f>
        <v/>
      </c>
      <c r="G595" s="0" t="n">
        <f aca="false">IF(A595="",0,IF(SUMPRODUCT(--($A$2:$A$5001=A595))&gt;1,1,0))</f>
        <v>0</v>
      </c>
      <c r="H595" s="0" t="n">
        <f aca="false">ROW()-1</f>
        <v>594</v>
      </c>
      <c r="I595" s="0" t="str">
        <f aca="false">IF(OR(הגדרות!$E$6=0,H595&gt;הגדרות!$E$5),"",IF(H595-1&lt;הגדרות!$E$8*(הגדרות!$E$7+1),INT((H595-1)/(הגדרות!$E$7+1)),הגדרות!$E$8+INT((H595-1-הגדרות!$E$8*(הגדרות!$E$7+1))/הגדרות!$E$7)))</f>
        <v/>
      </c>
      <c r="J595" s="0" t="str">
        <f aca="false">IF(I595="","",IF(H595-1&lt;הגדרות!$E$8*(הגדרות!$E$7+1),MOD(H595-1,הגדרות!$E$7+1),MOD(H595-1-הגדרות!$E$8*(הגדרות!$E$7+1),הגדרות!$E$7)))</f>
        <v/>
      </c>
      <c r="K595" s="0" t="str">
        <f aca="false">IF(I595="","",J595*הגדרות!$E$6+I595+1)</f>
        <v/>
      </c>
      <c r="L595" s="0" t="str">
        <f aca="false">IF(K595="","",MATCH(K595,$F$2:$F$5001,0))</f>
        <v/>
      </c>
      <c r="M595" s="0" t="str">
        <f aca="false">IF(I595="","",INDEX(הגדרות!$A$2:$A$21,MOD(I595+הגדרות!$E$9,הגדרות!$E$6)+1))</f>
        <v/>
      </c>
    </row>
    <row r="596" customFormat="false" ht="15" hidden="false" customHeight="false" outlineLevel="0" collapsed="false">
      <c r="A596" s="0" t="str">
        <f aca="false">IF('הדבקת לידים'!A596="","",IF(ISNUMBER('הדבקת לידים'!A596),IF(הגדרות!$E$2&gt;0,TEXT('הדבקת לידים'!A596,REPT("0",הגדרות!$E$2)),TEXT('הדבקת לידים'!A596,"0")),TRIM('הדבקת לידים'!A596)))</f>
        <v/>
      </c>
      <c r="B596" s="0" t="str">
        <f aca="false">IF('הדבקת לידים'!B596="","",IF(ISNUMBER('הדבקת לידים'!B596),IF(הגדרות!$E$3&gt;0,TEXT('הדבקת לידים'!B596,REPT("0",הגדרות!$E$3)),TEXT('הדבקת לידים'!B596,"0")),TRIM('הדבקת לידים'!B596)))</f>
        <v/>
      </c>
      <c r="C596" s="0" t="n">
        <f aca="false">IF(OR(A596&lt;&gt;"",B596&lt;&gt;""),1,0)</f>
        <v>0</v>
      </c>
      <c r="D596" s="0" t="str">
        <f aca="false">IF(C596=1,MOD(ABS(SIN(ROW()*12.9898+'הדבקת לידים'!$F$2*78.233+IFERROR(--RIGHT(A596,6),LEN(A596))*0.0137+IFERROR(--RIGHT(B596,6),LEN(B596))*0.0071))*43758.5453,1),"")</f>
        <v/>
      </c>
      <c r="E596" s="0" t="str">
        <f aca="false">IF(C596=1,INT(MOD(ABS(SIN(D596*7919.123+ROW()*0.618+'הדבקת לידים'!$F$2*1.3))*43758.5453,1)*1000000)*10000+ROW(),"")</f>
        <v/>
      </c>
      <c r="F596" s="0" t="str">
        <f aca="false">IF(E596="","",RANK(E596,$E$2:$E$5001,1))</f>
        <v/>
      </c>
      <c r="G596" s="0" t="n">
        <f aca="false">IF(A596="",0,IF(SUMPRODUCT(--($A$2:$A$5001=A596))&gt;1,1,0))</f>
        <v>0</v>
      </c>
      <c r="H596" s="0" t="n">
        <f aca="false">ROW()-1</f>
        <v>595</v>
      </c>
      <c r="I596" s="0" t="str">
        <f aca="false">IF(OR(הגדרות!$E$6=0,H596&gt;הגדרות!$E$5),"",IF(H596-1&lt;הגדרות!$E$8*(הגדרות!$E$7+1),INT((H596-1)/(הגדרות!$E$7+1)),הגדרות!$E$8+INT((H596-1-הגדרות!$E$8*(הגדרות!$E$7+1))/הגדרות!$E$7)))</f>
        <v/>
      </c>
      <c r="J596" s="0" t="str">
        <f aca="false">IF(I596="","",IF(H596-1&lt;הגדרות!$E$8*(הגדרות!$E$7+1),MOD(H596-1,הגדרות!$E$7+1),MOD(H596-1-הגדרות!$E$8*(הגדרות!$E$7+1),הגדרות!$E$7)))</f>
        <v/>
      </c>
      <c r="K596" s="0" t="str">
        <f aca="false">IF(I596="","",J596*הגדרות!$E$6+I596+1)</f>
        <v/>
      </c>
      <c r="L596" s="0" t="str">
        <f aca="false">IF(K596="","",MATCH(K596,$F$2:$F$5001,0))</f>
        <v/>
      </c>
      <c r="M596" s="0" t="str">
        <f aca="false">IF(I596="","",INDEX(הגדרות!$A$2:$A$21,MOD(I596+הגדרות!$E$9,הגדרות!$E$6)+1))</f>
        <v/>
      </c>
    </row>
    <row r="597" customFormat="false" ht="15" hidden="false" customHeight="false" outlineLevel="0" collapsed="false">
      <c r="A597" s="0" t="str">
        <f aca="false">IF('הדבקת לידים'!A597="","",IF(ISNUMBER('הדבקת לידים'!A597),IF(הגדרות!$E$2&gt;0,TEXT('הדבקת לידים'!A597,REPT("0",הגדרות!$E$2)),TEXT('הדבקת לידים'!A597,"0")),TRIM('הדבקת לידים'!A597)))</f>
        <v/>
      </c>
      <c r="B597" s="0" t="str">
        <f aca="false">IF('הדבקת לידים'!B597="","",IF(ISNUMBER('הדבקת לידים'!B597),IF(הגדרות!$E$3&gt;0,TEXT('הדבקת לידים'!B597,REPT("0",הגדרות!$E$3)),TEXT('הדבקת לידים'!B597,"0")),TRIM('הדבקת לידים'!B597)))</f>
        <v/>
      </c>
      <c r="C597" s="0" t="n">
        <f aca="false">IF(OR(A597&lt;&gt;"",B597&lt;&gt;""),1,0)</f>
        <v>0</v>
      </c>
      <c r="D597" s="0" t="str">
        <f aca="false">IF(C597=1,MOD(ABS(SIN(ROW()*12.9898+'הדבקת לידים'!$F$2*78.233+IFERROR(--RIGHT(A597,6),LEN(A597))*0.0137+IFERROR(--RIGHT(B597,6),LEN(B597))*0.0071))*43758.5453,1),"")</f>
        <v/>
      </c>
      <c r="E597" s="0" t="str">
        <f aca="false">IF(C597=1,INT(MOD(ABS(SIN(D597*7919.123+ROW()*0.618+'הדבקת לידים'!$F$2*1.3))*43758.5453,1)*1000000)*10000+ROW(),"")</f>
        <v/>
      </c>
      <c r="F597" s="0" t="str">
        <f aca="false">IF(E597="","",RANK(E597,$E$2:$E$5001,1))</f>
        <v/>
      </c>
      <c r="G597" s="0" t="n">
        <f aca="false">IF(A597="",0,IF(SUMPRODUCT(--($A$2:$A$5001=A597))&gt;1,1,0))</f>
        <v>0</v>
      </c>
      <c r="H597" s="0" t="n">
        <f aca="false">ROW()-1</f>
        <v>596</v>
      </c>
      <c r="I597" s="0" t="str">
        <f aca="false">IF(OR(הגדרות!$E$6=0,H597&gt;הגדרות!$E$5),"",IF(H597-1&lt;הגדרות!$E$8*(הגדרות!$E$7+1),INT((H597-1)/(הגדרות!$E$7+1)),הגדרות!$E$8+INT((H597-1-הגדרות!$E$8*(הגדרות!$E$7+1))/הגדרות!$E$7)))</f>
        <v/>
      </c>
      <c r="J597" s="0" t="str">
        <f aca="false">IF(I597="","",IF(H597-1&lt;הגדרות!$E$8*(הגדרות!$E$7+1),MOD(H597-1,הגדרות!$E$7+1),MOD(H597-1-הגדרות!$E$8*(הגדרות!$E$7+1),הגדרות!$E$7)))</f>
        <v/>
      </c>
      <c r="K597" s="0" t="str">
        <f aca="false">IF(I597="","",J597*הגדרות!$E$6+I597+1)</f>
        <v/>
      </c>
      <c r="L597" s="0" t="str">
        <f aca="false">IF(K597="","",MATCH(K597,$F$2:$F$5001,0))</f>
        <v/>
      </c>
      <c r="M597" s="0" t="str">
        <f aca="false">IF(I597="","",INDEX(הגדרות!$A$2:$A$21,MOD(I597+הגדרות!$E$9,הגדרות!$E$6)+1))</f>
        <v/>
      </c>
    </row>
    <row r="598" customFormat="false" ht="15" hidden="false" customHeight="false" outlineLevel="0" collapsed="false">
      <c r="A598" s="0" t="str">
        <f aca="false">IF('הדבקת לידים'!A598="","",IF(ISNUMBER('הדבקת לידים'!A598),IF(הגדרות!$E$2&gt;0,TEXT('הדבקת לידים'!A598,REPT("0",הגדרות!$E$2)),TEXT('הדבקת לידים'!A598,"0")),TRIM('הדבקת לידים'!A598)))</f>
        <v/>
      </c>
      <c r="B598" s="0" t="str">
        <f aca="false">IF('הדבקת לידים'!B598="","",IF(ISNUMBER('הדבקת לידים'!B598),IF(הגדרות!$E$3&gt;0,TEXT('הדבקת לידים'!B598,REPT("0",הגדרות!$E$3)),TEXT('הדבקת לידים'!B598,"0")),TRIM('הדבקת לידים'!B598)))</f>
        <v/>
      </c>
      <c r="C598" s="0" t="n">
        <f aca="false">IF(OR(A598&lt;&gt;"",B598&lt;&gt;""),1,0)</f>
        <v>0</v>
      </c>
      <c r="D598" s="0" t="str">
        <f aca="false">IF(C598=1,MOD(ABS(SIN(ROW()*12.9898+'הדבקת לידים'!$F$2*78.233+IFERROR(--RIGHT(A598,6),LEN(A598))*0.0137+IFERROR(--RIGHT(B598,6),LEN(B598))*0.0071))*43758.5453,1),"")</f>
        <v/>
      </c>
      <c r="E598" s="0" t="str">
        <f aca="false">IF(C598=1,INT(MOD(ABS(SIN(D598*7919.123+ROW()*0.618+'הדבקת לידים'!$F$2*1.3))*43758.5453,1)*1000000)*10000+ROW(),"")</f>
        <v/>
      </c>
      <c r="F598" s="0" t="str">
        <f aca="false">IF(E598="","",RANK(E598,$E$2:$E$5001,1))</f>
        <v/>
      </c>
      <c r="G598" s="0" t="n">
        <f aca="false">IF(A598="",0,IF(SUMPRODUCT(--($A$2:$A$5001=A598))&gt;1,1,0))</f>
        <v>0</v>
      </c>
      <c r="H598" s="0" t="n">
        <f aca="false">ROW()-1</f>
        <v>597</v>
      </c>
      <c r="I598" s="0" t="str">
        <f aca="false">IF(OR(הגדרות!$E$6=0,H598&gt;הגדרות!$E$5),"",IF(H598-1&lt;הגדרות!$E$8*(הגדרות!$E$7+1),INT((H598-1)/(הגדרות!$E$7+1)),הגדרות!$E$8+INT((H598-1-הגדרות!$E$8*(הגדרות!$E$7+1))/הגדרות!$E$7)))</f>
        <v/>
      </c>
      <c r="J598" s="0" t="str">
        <f aca="false">IF(I598="","",IF(H598-1&lt;הגדרות!$E$8*(הגדרות!$E$7+1),MOD(H598-1,הגדרות!$E$7+1),MOD(H598-1-הגדרות!$E$8*(הגדרות!$E$7+1),הגדרות!$E$7)))</f>
        <v/>
      </c>
      <c r="K598" s="0" t="str">
        <f aca="false">IF(I598="","",J598*הגדרות!$E$6+I598+1)</f>
        <v/>
      </c>
      <c r="L598" s="0" t="str">
        <f aca="false">IF(K598="","",MATCH(K598,$F$2:$F$5001,0))</f>
        <v/>
      </c>
      <c r="M598" s="0" t="str">
        <f aca="false">IF(I598="","",INDEX(הגדרות!$A$2:$A$21,MOD(I598+הגדרות!$E$9,הגדרות!$E$6)+1))</f>
        <v/>
      </c>
    </row>
    <row r="599" customFormat="false" ht="15" hidden="false" customHeight="false" outlineLevel="0" collapsed="false">
      <c r="A599" s="0" t="str">
        <f aca="false">IF('הדבקת לידים'!A599="","",IF(ISNUMBER('הדבקת לידים'!A599),IF(הגדרות!$E$2&gt;0,TEXT('הדבקת לידים'!A599,REPT("0",הגדרות!$E$2)),TEXT('הדבקת לידים'!A599,"0")),TRIM('הדבקת לידים'!A599)))</f>
        <v/>
      </c>
      <c r="B599" s="0" t="str">
        <f aca="false">IF('הדבקת לידים'!B599="","",IF(ISNUMBER('הדבקת לידים'!B599),IF(הגדרות!$E$3&gt;0,TEXT('הדבקת לידים'!B599,REPT("0",הגדרות!$E$3)),TEXT('הדבקת לידים'!B599,"0")),TRIM('הדבקת לידים'!B599)))</f>
        <v/>
      </c>
      <c r="C599" s="0" t="n">
        <f aca="false">IF(OR(A599&lt;&gt;"",B599&lt;&gt;""),1,0)</f>
        <v>0</v>
      </c>
      <c r="D599" s="0" t="str">
        <f aca="false">IF(C599=1,MOD(ABS(SIN(ROW()*12.9898+'הדבקת לידים'!$F$2*78.233+IFERROR(--RIGHT(A599,6),LEN(A599))*0.0137+IFERROR(--RIGHT(B599,6),LEN(B599))*0.0071))*43758.5453,1),"")</f>
        <v/>
      </c>
      <c r="E599" s="0" t="str">
        <f aca="false">IF(C599=1,INT(MOD(ABS(SIN(D599*7919.123+ROW()*0.618+'הדבקת לידים'!$F$2*1.3))*43758.5453,1)*1000000)*10000+ROW(),"")</f>
        <v/>
      </c>
      <c r="F599" s="0" t="str">
        <f aca="false">IF(E599="","",RANK(E599,$E$2:$E$5001,1))</f>
        <v/>
      </c>
      <c r="G599" s="0" t="n">
        <f aca="false">IF(A599="",0,IF(SUMPRODUCT(--($A$2:$A$5001=A599))&gt;1,1,0))</f>
        <v>0</v>
      </c>
      <c r="H599" s="0" t="n">
        <f aca="false">ROW()-1</f>
        <v>598</v>
      </c>
      <c r="I599" s="0" t="str">
        <f aca="false">IF(OR(הגדרות!$E$6=0,H599&gt;הגדרות!$E$5),"",IF(H599-1&lt;הגדרות!$E$8*(הגדרות!$E$7+1),INT((H599-1)/(הגדרות!$E$7+1)),הגדרות!$E$8+INT((H599-1-הגדרות!$E$8*(הגדרות!$E$7+1))/הגדרות!$E$7)))</f>
        <v/>
      </c>
      <c r="J599" s="0" t="str">
        <f aca="false">IF(I599="","",IF(H599-1&lt;הגדרות!$E$8*(הגדרות!$E$7+1),MOD(H599-1,הגדרות!$E$7+1),MOD(H599-1-הגדרות!$E$8*(הגדרות!$E$7+1),הגדרות!$E$7)))</f>
        <v/>
      </c>
      <c r="K599" s="0" t="str">
        <f aca="false">IF(I599="","",J599*הגדרות!$E$6+I599+1)</f>
        <v/>
      </c>
      <c r="L599" s="0" t="str">
        <f aca="false">IF(K599="","",MATCH(K599,$F$2:$F$5001,0))</f>
        <v/>
      </c>
      <c r="M599" s="0" t="str">
        <f aca="false">IF(I599="","",INDEX(הגדרות!$A$2:$A$21,MOD(I599+הגדרות!$E$9,הגדרות!$E$6)+1))</f>
        <v/>
      </c>
    </row>
    <row r="600" customFormat="false" ht="15" hidden="false" customHeight="false" outlineLevel="0" collapsed="false">
      <c r="A600" s="0" t="str">
        <f aca="false">IF('הדבקת לידים'!A600="","",IF(ISNUMBER('הדבקת לידים'!A600),IF(הגדרות!$E$2&gt;0,TEXT('הדבקת לידים'!A600,REPT("0",הגדרות!$E$2)),TEXT('הדבקת לידים'!A600,"0")),TRIM('הדבקת לידים'!A600)))</f>
        <v/>
      </c>
      <c r="B600" s="0" t="str">
        <f aca="false">IF('הדבקת לידים'!B600="","",IF(ISNUMBER('הדבקת לידים'!B600),IF(הגדרות!$E$3&gt;0,TEXT('הדבקת לידים'!B600,REPT("0",הגדרות!$E$3)),TEXT('הדבקת לידים'!B600,"0")),TRIM('הדבקת לידים'!B600)))</f>
        <v/>
      </c>
      <c r="C600" s="0" t="n">
        <f aca="false">IF(OR(A600&lt;&gt;"",B600&lt;&gt;""),1,0)</f>
        <v>0</v>
      </c>
      <c r="D600" s="0" t="str">
        <f aca="false">IF(C600=1,MOD(ABS(SIN(ROW()*12.9898+'הדבקת לידים'!$F$2*78.233+IFERROR(--RIGHT(A600,6),LEN(A600))*0.0137+IFERROR(--RIGHT(B600,6),LEN(B600))*0.0071))*43758.5453,1),"")</f>
        <v/>
      </c>
      <c r="E600" s="0" t="str">
        <f aca="false">IF(C600=1,INT(MOD(ABS(SIN(D600*7919.123+ROW()*0.618+'הדבקת לידים'!$F$2*1.3))*43758.5453,1)*1000000)*10000+ROW(),"")</f>
        <v/>
      </c>
      <c r="F600" s="0" t="str">
        <f aca="false">IF(E600="","",RANK(E600,$E$2:$E$5001,1))</f>
        <v/>
      </c>
      <c r="G600" s="0" t="n">
        <f aca="false">IF(A600="",0,IF(SUMPRODUCT(--($A$2:$A$5001=A600))&gt;1,1,0))</f>
        <v>0</v>
      </c>
      <c r="H600" s="0" t="n">
        <f aca="false">ROW()-1</f>
        <v>599</v>
      </c>
      <c r="I600" s="0" t="str">
        <f aca="false">IF(OR(הגדרות!$E$6=0,H600&gt;הגדרות!$E$5),"",IF(H600-1&lt;הגדרות!$E$8*(הגדרות!$E$7+1),INT((H600-1)/(הגדרות!$E$7+1)),הגדרות!$E$8+INT((H600-1-הגדרות!$E$8*(הגדרות!$E$7+1))/הגדרות!$E$7)))</f>
        <v/>
      </c>
      <c r="J600" s="0" t="str">
        <f aca="false">IF(I600="","",IF(H600-1&lt;הגדרות!$E$8*(הגדרות!$E$7+1),MOD(H600-1,הגדרות!$E$7+1),MOD(H600-1-הגדרות!$E$8*(הגדרות!$E$7+1),הגדרות!$E$7)))</f>
        <v/>
      </c>
      <c r="K600" s="0" t="str">
        <f aca="false">IF(I600="","",J600*הגדרות!$E$6+I600+1)</f>
        <v/>
      </c>
      <c r="L600" s="0" t="str">
        <f aca="false">IF(K600="","",MATCH(K600,$F$2:$F$5001,0))</f>
        <v/>
      </c>
      <c r="M600" s="0" t="str">
        <f aca="false">IF(I600="","",INDEX(הגדרות!$A$2:$A$21,MOD(I600+הגדרות!$E$9,הגדרות!$E$6)+1))</f>
        <v/>
      </c>
    </row>
    <row r="601" customFormat="false" ht="15" hidden="false" customHeight="false" outlineLevel="0" collapsed="false">
      <c r="A601" s="0" t="str">
        <f aca="false">IF('הדבקת לידים'!A601="","",IF(ISNUMBER('הדבקת לידים'!A601),IF(הגדרות!$E$2&gt;0,TEXT('הדבקת לידים'!A601,REPT("0",הגדרות!$E$2)),TEXT('הדבקת לידים'!A601,"0")),TRIM('הדבקת לידים'!A601)))</f>
        <v/>
      </c>
      <c r="B601" s="0" t="str">
        <f aca="false">IF('הדבקת לידים'!B601="","",IF(ISNUMBER('הדבקת לידים'!B601),IF(הגדרות!$E$3&gt;0,TEXT('הדבקת לידים'!B601,REPT("0",הגדרות!$E$3)),TEXT('הדבקת לידים'!B601,"0")),TRIM('הדבקת לידים'!B601)))</f>
        <v/>
      </c>
      <c r="C601" s="0" t="n">
        <f aca="false">IF(OR(A601&lt;&gt;"",B601&lt;&gt;""),1,0)</f>
        <v>0</v>
      </c>
      <c r="D601" s="0" t="str">
        <f aca="false">IF(C601=1,MOD(ABS(SIN(ROW()*12.9898+'הדבקת לידים'!$F$2*78.233+IFERROR(--RIGHT(A601,6),LEN(A601))*0.0137+IFERROR(--RIGHT(B601,6),LEN(B601))*0.0071))*43758.5453,1),"")</f>
        <v/>
      </c>
      <c r="E601" s="0" t="str">
        <f aca="false">IF(C601=1,INT(MOD(ABS(SIN(D601*7919.123+ROW()*0.618+'הדבקת לידים'!$F$2*1.3))*43758.5453,1)*1000000)*10000+ROW(),"")</f>
        <v/>
      </c>
      <c r="F601" s="0" t="str">
        <f aca="false">IF(E601="","",RANK(E601,$E$2:$E$5001,1))</f>
        <v/>
      </c>
      <c r="G601" s="0" t="n">
        <f aca="false">IF(A601="",0,IF(SUMPRODUCT(--($A$2:$A$5001=A601))&gt;1,1,0))</f>
        <v>0</v>
      </c>
      <c r="H601" s="0" t="n">
        <f aca="false">ROW()-1</f>
        <v>600</v>
      </c>
      <c r="I601" s="0" t="str">
        <f aca="false">IF(OR(הגדרות!$E$6=0,H601&gt;הגדרות!$E$5),"",IF(H601-1&lt;הגדרות!$E$8*(הגדרות!$E$7+1),INT((H601-1)/(הגדרות!$E$7+1)),הגדרות!$E$8+INT((H601-1-הגדרות!$E$8*(הגדרות!$E$7+1))/הגדרות!$E$7)))</f>
        <v/>
      </c>
      <c r="J601" s="0" t="str">
        <f aca="false">IF(I601="","",IF(H601-1&lt;הגדרות!$E$8*(הגדרות!$E$7+1),MOD(H601-1,הגדרות!$E$7+1),MOD(H601-1-הגדרות!$E$8*(הגדרות!$E$7+1),הגדרות!$E$7)))</f>
        <v/>
      </c>
      <c r="K601" s="0" t="str">
        <f aca="false">IF(I601="","",J601*הגדרות!$E$6+I601+1)</f>
        <v/>
      </c>
      <c r="L601" s="0" t="str">
        <f aca="false">IF(K601="","",MATCH(K601,$F$2:$F$5001,0))</f>
        <v/>
      </c>
      <c r="M601" s="0" t="str">
        <f aca="false">IF(I601="","",INDEX(הגדרות!$A$2:$A$21,MOD(I601+הגדרות!$E$9,הגדרות!$E$6)+1))</f>
        <v/>
      </c>
    </row>
    <row r="602" customFormat="false" ht="15" hidden="false" customHeight="false" outlineLevel="0" collapsed="false">
      <c r="A602" s="0" t="str">
        <f aca="false">IF('הדבקת לידים'!A602="","",IF(ISNUMBER('הדבקת לידים'!A602),IF(הגדרות!$E$2&gt;0,TEXT('הדבקת לידים'!A602,REPT("0",הגדרות!$E$2)),TEXT('הדבקת לידים'!A602,"0")),TRIM('הדבקת לידים'!A602)))</f>
        <v/>
      </c>
      <c r="B602" s="0" t="str">
        <f aca="false">IF('הדבקת לידים'!B602="","",IF(ISNUMBER('הדבקת לידים'!B602),IF(הגדרות!$E$3&gt;0,TEXT('הדבקת לידים'!B602,REPT("0",הגדרות!$E$3)),TEXT('הדבקת לידים'!B602,"0")),TRIM('הדבקת לידים'!B602)))</f>
        <v/>
      </c>
      <c r="C602" s="0" t="n">
        <f aca="false">IF(OR(A602&lt;&gt;"",B602&lt;&gt;""),1,0)</f>
        <v>0</v>
      </c>
      <c r="D602" s="0" t="str">
        <f aca="false">IF(C602=1,MOD(ABS(SIN(ROW()*12.9898+'הדבקת לידים'!$F$2*78.233+IFERROR(--RIGHT(A602,6),LEN(A602))*0.0137+IFERROR(--RIGHT(B602,6),LEN(B602))*0.0071))*43758.5453,1),"")</f>
        <v/>
      </c>
      <c r="E602" s="0" t="str">
        <f aca="false">IF(C602=1,INT(MOD(ABS(SIN(D602*7919.123+ROW()*0.618+'הדבקת לידים'!$F$2*1.3))*43758.5453,1)*1000000)*10000+ROW(),"")</f>
        <v/>
      </c>
      <c r="F602" s="0" t="str">
        <f aca="false">IF(E602="","",RANK(E602,$E$2:$E$5001,1))</f>
        <v/>
      </c>
      <c r="G602" s="0" t="n">
        <f aca="false">IF(A602="",0,IF(SUMPRODUCT(--($A$2:$A$5001=A602))&gt;1,1,0))</f>
        <v>0</v>
      </c>
      <c r="H602" s="0" t="n">
        <f aca="false">ROW()-1</f>
        <v>601</v>
      </c>
      <c r="I602" s="0" t="str">
        <f aca="false">IF(OR(הגדרות!$E$6=0,H602&gt;הגדרות!$E$5),"",IF(H602-1&lt;הגדרות!$E$8*(הגדרות!$E$7+1),INT((H602-1)/(הגדרות!$E$7+1)),הגדרות!$E$8+INT((H602-1-הגדרות!$E$8*(הגדרות!$E$7+1))/הגדרות!$E$7)))</f>
        <v/>
      </c>
      <c r="J602" s="0" t="str">
        <f aca="false">IF(I602="","",IF(H602-1&lt;הגדרות!$E$8*(הגדרות!$E$7+1),MOD(H602-1,הגדרות!$E$7+1),MOD(H602-1-הגדרות!$E$8*(הגדרות!$E$7+1),הגדרות!$E$7)))</f>
        <v/>
      </c>
      <c r="K602" s="0" t="str">
        <f aca="false">IF(I602="","",J602*הגדרות!$E$6+I602+1)</f>
        <v/>
      </c>
      <c r="L602" s="0" t="str">
        <f aca="false">IF(K602="","",MATCH(K602,$F$2:$F$5001,0))</f>
        <v/>
      </c>
      <c r="M602" s="0" t="str">
        <f aca="false">IF(I602="","",INDEX(הגדרות!$A$2:$A$21,MOD(I602+הגדרות!$E$9,הגדרות!$E$6)+1))</f>
        <v/>
      </c>
    </row>
    <row r="603" customFormat="false" ht="15" hidden="false" customHeight="false" outlineLevel="0" collapsed="false">
      <c r="A603" s="0" t="str">
        <f aca="false">IF('הדבקת לידים'!A603="","",IF(ISNUMBER('הדבקת לידים'!A603),IF(הגדרות!$E$2&gt;0,TEXT('הדבקת לידים'!A603,REPT("0",הגדרות!$E$2)),TEXT('הדבקת לידים'!A603,"0")),TRIM('הדבקת לידים'!A603)))</f>
        <v/>
      </c>
      <c r="B603" s="0" t="str">
        <f aca="false">IF('הדבקת לידים'!B603="","",IF(ISNUMBER('הדבקת לידים'!B603),IF(הגדרות!$E$3&gt;0,TEXT('הדבקת לידים'!B603,REPT("0",הגדרות!$E$3)),TEXT('הדבקת לידים'!B603,"0")),TRIM('הדבקת לידים'!B603)))</f>
        <v/>
      </c>
      <c r="C603" s="0" t="n">
        <f aca="false">IF(OR(A603&lt;&gt;"",B603&lt;&gt;""),1,0)</f>
        <v>0</v>
      </c>
      <c r="D603" s="0" t="str">
        <f aca="false">IF(C603=1,MOD(ABS(SIN(ROW()*12.9898+'הדבקת לידים'!$F$2*78.233+IFERROR(--RIGHT(A603,6),LEN(A603))*0.0137+IFERROR(--RIGHT(B603,6),LEN(B603))*0.0071))*43758.5453,1),"")</f>
        <v/>
      </c>
      <c r="E603" s="0" t="str">
        <f aca="false">IF(C603=1,INT(MOD(ABS(SIN(D603*7919.123+ROW()*0.618+'הדבקת לידים'!$F$2*1.3))*43758.5453,1)*1000000)*10000+ROW(),"")</f>
        <v/>
      </c>
      <c r="F603" s="0" t="str">
        <f aca="false">IF(E603="","",RANK(E603,$E$2:$E$5001,1))</f>
        <v/>
      </c>
      <c r="G603" s="0" t="n">
        <f aca="false">IF(A603="",0,IF(SUMPRODUCT(--($A$2:$A$5001=A603))&gt;1,1,0))</f>
        <v>0</v>
      </c>
      <c r="H603" s="0" t="n">
        <f aca="false">ROW()-1</f>
        <v>602</v>
      </c>
      <c r="I603" s="0" t="str">
        <f aca="false">IF(OR(הגדרות!$E$6=0,H603&gt;הגדרות!$E$5),"",IF(H603-1&lt;הגדרות!$E$8*(הגדרות!$E$7+1),INT((H603-1)/(הגדרות!$E$7+1)),הגדרות!$E$8+INT((H603-1-הגדרות!$E$8*(הגדרות!$E$7+1))/הגדרות!$E$7)))</f>
        <v/>
      </c>
      <c r="J603" s="0" t="str">
        <f aca="false">IF(I603="","",IF(H603-1&lt;הגדרות!$E$8*(הגדרות!$E$7+1),MOD(H603-1,הגדרות!$E$7+1),MOD(H603-1-הגדרות!$E$8*(הגדרות!$E$7+1),הגדרות!$E$7)))</f>
        <v/>
      </c>
      <c r="K603" s="0" t="str">
        <f aca="false">IF(I603="","",J603*הגדרות!$E$6+I603+1)</f>
        <v/>
      </c>
      <c r="L603" s="0" t="str">
        <f aca="false">IF(K603="","",MATCH(K603,$F$2:$F$5001,0))</f>
        <v/>
      </c>
      <c r="M603" s="0" t="str">
        <f aca="false">IF(I603="","",INDEX(הגדרות!$A$2:$A$21,MOD(I603+הגדרות!$E$9,הגדרות!$E$6)+1))</f>
        <v/>
      </c>
    </row>
    <row r="604" customFormat="false" ht="15" hidden="false" customHeight="false" outlineLevel="0" collapsed="false">
      <c r="A604" s="0" t="str">
        <f aca="false">IF('הדבקת לידים'!A604="","",IF(ISNUMBER('הדבקת לידים'!A604),IF(הגדרות!$E$2&gt;0,TEXT('הדבקת לידים'!A604,REPT("0",הגדרות!$E$2)),TEXT('הדבקת לידים'!A604,"0")),TRIM('הדבקת לידים'!A604)))</f>
        <v/>
      </c>
      <c r="B604" s="0" t="str">
        <f aca="false">IF('הדבקת לידים'!B604="","",IF(ISNUMBER('הדבקת לידים'!B604),IF(הגדרות!$E$3&gt;0,TEXT('הדבקת לידים'!B604,REPT("0",הגדרות!$E$3)),TEXT('הדבקת לידים'!B604,"0")),TRIM('הדבקת לידים'!B604)))</f>
        <v/>
      </c>
      <c r="C604" s="0" t="n">
        <f aca="false">IF(OR(A604&lt;&gt;"",B604&lt;&gt;""),1,0)</f>
        <v>0</v>
      </c>
      <c r="D604" s="0" t="str">
        <f aca="false">IF(C604=1,MOD(ABS(SIN(ROW()*12.9898+'הדבקת לידים'!$F$2*78.233+IFERROR(--RIGHT(A604,6),LEN(A604))*0.0137+IFERROR(--RIGHT(B604,6),LEN(B604))*0.0071))*43758.5453,1),"")</f>
        <v/>
      </c>
      <c r="E604" s="0" t="str">
        <f aca="false">IF(C604=1,INT(MOD(ABS(SIN(D604*7919.123+ROW()*0.618+'הדבקת לידים'!$F$2*1.3))*43758.5453,1)*1000000)*10000+ROW(),"")</f>
        <v/>
      </c>
      <c r="F604" s="0" t="str">
        <f aca="false">IF(E604="","",RANK(E604,$E$2:$E$5001,1))</f>
        <v/>
      </c>
      <c r="G604" s="0" t="n">
        <f aca="false">IF(A604="",0,IF(SUMPRODUCT(--($A$2:$A$5001=A604))&gt;1,1,0))</f>
        <v>0</v>
      </c>
      <c r="H604" s="0" t="n">
        <f aca="false">ROW()-1</f>
        <v>603</v>
      </c>
      <c r="I604" s="0" t="str">
        <f aca="false">IF(OR(הגדרות!$E$6=0,H604&gt;הגדרות!$E$5),"",IF(H604-1&lt;הגדרות!$E$8*(הגדרות!$E$7+1),INT((H604-1)/(הגדרות!$E$7+1)),הגדרות!$E$8+INT((H604-1-הגדרות!$E$8*(הגדרות!$E$7+1))/הגדרות!$E$7)))</f>
        <v/>
      </c>
      <c r="J604" s="0" t="str">
        <f aca="false">IF(I604="","",IF(H604-1&lt;הגדרות!$E$8*(הגדרות!$E$7+1),MOD(H604-1,הגדרות!$E$7+1),MOD(H604-1-הגדרות!$E$8*(הגדרות!$E$7+1),הגדרות!$E$7)))</f>
        <v/>
      </c>
      <c r="K604" s="0" t="str">
        <f aca="false">IF(I604="","",J604*הגדרות!$E$6+I604+1)</f>
        <v/>
      </c>
      <c r="L604" s="0" t="str">
        <f aca="false">IF(K604="","",MATCH(K604,$F$2:$F$5001,0))</f>
        <v/>
      </c>
      <c r="M604" s="0" t="str">
        <f aca="false">IF(I604="","",INDEX(הגדרות!$A$2:$A$21,MOD(I604+הגדרות!$E$9,הגדרות!$E$6)+1))</f>
        <v/>
      </c>
    </row>
    <row r="605" customFormat="false" ht="15" hidden="false" customHeight="false" outlineLevel="0" collapsed="false">
      <c r="A605" s="0" t="str">
        <f aca="false">IF('הדבקת לידים'!A605="","",IF(ISNUMBER('הדבקת לידים'!A605),IF(הגדרות!$E$2&gt;0,TEXT('הדבקת לידים'!A605,REPT("0",הגדרות!$E$2)),TEXT('הדבקת לידים'!A605,"0")),TRIM('הדבקת לידים'!A605)))</f>
        <v/>
      </c>
      <c r="B605" s="0" t="str">
        <f aca="false">IF('הדבקת לידים'!B605="","",IF(ISNUMBER('הדבקת לידים'!B605),IF(הגדרות!$E$3&gt;0,TEXT('הדבקת לידים'!B605,REPT("0",הגדרות!$E$3)),TEXT('הדבקת לידים'!B605,"0")),TRIM('הדבקת לידים'!B605)))</f>
        <v/>
      </c>
      <c r="C605" s="0" t="n">
        <f aca="false">IF(OR(A605&lt;&gt;"",B605&lt;&gt;""),1,0)</f>
        <v>0</v>
      </c>
      <c r="D605" s="0" t="str">
        <f aca="false">IF(C605=1,MOD(ABS(SIN(ROW()*12.9898+'הדבקת לידים'!$F$2*78.233+IFERROR(--RIGHT(A605,6),LEN(A605))*0.0137+IFERROR(--RIGHT(B605,6),LEN(B605))*0.0071))*43758.5453,1),"")</f>
        <v/>
      </c>
      <c r="E605" s="0" t="str">
        <f aca="false">IF(C605=1,INT(MOD(ABS(SIN(D605*7919.123+ROW()*0.618+'הדבקת לידים'!$F$2*1.3))*43758.5453,1)*1000000)*10000+ROW(),"")</f>
        <v/>
      </c>
      <c r="F605" s="0" t="str">
        <f aca="false">IF(E605="","",RANK(E605,$E$2:$E$5001,1))</f>
        <v/>
      </c>
      <c r="G605" s="0" t="n">
        <f aca="false">IF(A605="",0,IF(SUMPRODUCT(--($A$2:$A$5001=A605))&gt;1,1,0))</f>
        <v>0</v>
      </c>
      <c r="H605" s="0" t="n">
        <f aca="false">ROW()-1</f>
        <v>604</v>
      </c>
      <c r="I605" s="0" t="str">
        <f aca="false">IF(OR(הגדרות!$E$6=0,H605&gt;הגדרות!$E$5),"",IF(H605-1&lt;הגדרות!$E$8*(הגדרות!$E$7+1),INT((H605-1)/(הגדרות!$E$7+1)),הגדרות!$E$8+INT((H605-1-הגדרות!$E$8*(הגדרות!$E$7+1))/הגדרות!$E$7)))</f>
        <v/>
      </c>
      <c r="J605" s="0" t="str">
        <f aca="false">IF(I605="","",IF(H605-1&lt;הגדרות!$E$8*(הגדרות!$E$7+1),MOD(H605-1,הגדרות!$E$7+1),MOD(H605-1-הגדרות!$E$8*(הגדרות!$E$7+1),הגדרות!$E$7)))</f>
        <v/>
      </c>
      <c r="K605" s="0" t="str">
        <f aca="false">IF(I605="","",J605*הגדרות!$E$6+I605+1)</f>
        <v/>
      </c>
      <c r="L605" s="0" t="str">
        <f aca="false">IF(K605="","",MATCH(K605,$F$2:$F$5001,0))</f>
        <v/>
      </c>
      <c r="M605" s="0" t="str">
        <f aca="false">IF(I605="","",INDEX(הגדרות!$A$2:$A$21,MOD(I605+הגדרות!$E$9,הגדרות!$E$6)+1))</f>
        <v/>
      </c>
    </row>
    <row r="606" customFormat="false" ht="15" hidden="false" customHeight="false" outlineLevel="0" collapsed="false">
      <c r="A606" s="0" t="str">
        <f aca="false">IF('הדבקת לידים'!A606="","",IF(ISNUMBER('הדבקת לידים'!A606),IF(הגדרות!$E$2&gt;0,TEXT('הדבקת לידים'!A606,REPT("0",הגדרות!$E$2)),TEXT('הדבקת לידים'!A606,"0")),TRIM('הדבקת לידים'!A606)))</f>
        <v/>
      </c>
      <c r="B606" s="0" t="str">
        <f aca="false">IF('הדבקת לידים'!B606="","",IF(ISNUMBER('הדבקת לידים'!B606),IF(הגדרות!$E$3&gt;0,TEXT('הדבקת לידים'!B606,REPT("0",הגדרות!$E$3)),TEXT('הדבקת לידים'!B606,"0")),TRIM('הדבקת לידים'!B606)))</f>
        <v/>
      </c>
      <c r="C606" s="0" t="n">
        <f aca="false">IF(OR(A606&lt;&gt;"",B606&lt;&gt;""),1,0)</f>
        <v>0</v>
      </c>
      <c r="D606" s="0" t="str">
        <f aca="false">IF(C606=1,MOD(ABS(SIN(ROW()*12.9898+'הדבקת לידים'!$F$2*78.233+IFERROR(--RIGHT(A606,6),LEN(A606))*0.0137+IFERROR(--RIGHT(B606,6),LEN(B606))*0.0071))*43758.5453,1),"")</f>
        <v/>
      </c>
      <c r="E606" s="0" t="str">
        <f aca="false">IF(C606=1,INT(MOD(ABS(SIN(D606*7919.123+ROW()*0.618+'הדבקת לידים'!$F$2*1.3))*43758.5453,1)*1000000)*10000+ROW(),"")</f>
        <v/>
      </c>
      <c r="F606" s="0" t="str">
        <f aca="false">IF(E606="","",RANK(E606,$E$2:$E$5001,1))</f>
        <v/>
      </c>
      <c r="G606" s="0" t="n">
        <f aca="false">IF(A606="",0,IF(SUMPRODUCT(--($A$2:$A$5001=A606))&gt;1,1,0))</f>
        <v>0</v>
      </c>
      <c r="H606" s="0" t="n">
        <f aca="false">ROW()-1</f>
        <v>605</v>
      </c>
      <c r="I606" s="0" t="str">
        <f aca="false">IF(OR(הגדרות!$E$6=0,H606&gt;הגדרות!$E$5),"",IF(H606-1&lt;הגדרות!$E$8*(הגדרות!$E$7+1),INT((H606-1)/(הגדרות!$E$7+1)),הגדרות!$E$8+INT((H606-1-הגדרות!$E$8*(הגדרות!$E$7+1))/הגדרות!$E$7)))</f>
        <v/>
      </c>
      <c r="J606" s="0" t="str">
        <f aca="false">IF(I606="","",IF(H606-1&lt;הגדרות!$E$8*(הגדרות!$E$7+1),MOD(H606-1,הגדרות!$E$7+1),MOD(H606-1-הגדרות!$E$8*(הגדרות!$E$7+1),הגדרות!$E$7)))</f>
        <v/>
      </c>
      <c r="K606" s="0" t="str">
        <f aca="false">IF(I606="","",J606*הגדרות!$E$6+I606+1)</f>
        <v/>
      </c>
      <c r="L606" s="0" t="str">
        <f aca="false">IF(K606="","",MATCH(K606,$F$2:$F$5001,0))</f>
        <v/>
      </c>
      <c r="M606" s="0" t="str">
        <f aca="false">IF(I606="","",INDEX(הגדרות!$A$2:$A$21,MOD(I606+הגדרות!$E$9,הגדרות!$E$6)+1))</f>
        <v/>
      </c>
    </row>
    <row r="607" customFormat="false" ht="15" hidden="false" customHeight="false" outlineLevel="0" collapsed="false">
      <c r="A607" s="0" t="str">
        <f aca="false">IF('הדבקת לידים'!A607="","",IF(ISNUMBER('הדבקת לידים'!A607),IF(הגדרות!$E$2&gt;0,TEXT('הדבקת לידים'!A607,REPT("0",הגדרות!$E$2)),TEXT('הדבקת לידים'!A607,"0")),TRIM('הדבקת לידים'!A607)))</f>
        <v/>
      </c>
      <c r="B607" s="0" t="str">
        <f aca="false">IF('הדבקת לידים'!B607="","",IF(ISNUMBER('הדבקת לידים'!B607),IF(הגדרות!$E$3&gt;0,TEXT('הדבקת לידים'!B607,REPT("0",הגדרות!$E$3)),TEXT('הדבקת לידים'!B607,"0")),TRIM('הדבקת לידים'!B607)))</f>
        <v/>
      </c>
      <c r="C607" s="0" t="n">
        <f aca="false">IF(OR(A607&lt;&gt;"",B607&lt;&gt;""),1,0)</f>
        <v>0</v>
      </c>
      <c r="D607" s="0" t="str">
        <f aca="false">IF(C607=1,MOD(ABS(SIN(ROW()*12.9898+'הדבקת לידים'!$F$2*78.233+IFERROR(--RIGHT(A607,6),LEN(A607))*0.0137+IFERROR(--RIGHT(B607,6),LEN(B607))*0.0071))*43758.5453,1),"")</f>
        <v/>
      </c>
      <c r="E607" s="0" t="str">
        <f aca="false">IF(C607=1,INT(MOD(ABS(SIN(D607*7919.123+ROW()*0.618+'הדבקת לידים'!$F$2*1.3))*43758.5453,1)*1000000)*10000+ROW(),"")</f>
        <v/>
      </c>
      <c r="F607" s="0" t="str">
        <f aca="false">IF(E607="","",RANK(E607,$E$2:$E$5001,1))</f>
        <v/>
      </c>
      <c r="G607" s="0" t="n">
        <f aca="false">IF(A607="",0,IF(SUMPRODUCT(--($A$2:$A$5001=A607))&gt;1,1,0))</f>
        <v>0</v>
      </c>
      <c r="H607" s="0" t="n">
        <f aca="false">ROW()-1</f>
        <v>606</v>
      </c>
      <c r="I607" s="0" t="str">
        <f aca="false">IF(OR(הגדרות!$E$6=0,H607&gt;הגדרות!$E$5),"",IF(H607-1&lt;הגדרות!$E$8*(הגדרות!$E$7+1),INT((H607-1)/(הגדרות!$E$7+1)),הגדרות!$E$8+INT((H607-1-הגדרות!$E$8*(הגדרות!$E$7+1))/הגדרות!$E$7)))</f>
        <v/>
      </c>
      <c r="J607" s="0" t="str">
        <f aca="false">IF(I607="","",IF(H607-1&lt;הגדרות!$E$8*(הגדרות!$E$7+1),MOD(H607-1,הגדרות!$E$7+1),MOD(H607-1-הגדרות!$E$8*(הגדרות!$E$7+1),הגדרות!$E$7)))</f>
        <v/>
      </c>
      <c r="K607" s="0" t="str">
        <f aca="false">IF(I607="","",J607*הגדרות!$E$6+I607+1)</f>
        <v/>
      </c>
      <c r="L607" s="0" t="str">
        <f aca="false">IF(K607="","",MATCH(K607,$F$2:$F$5001,0))</f>
        <v/>
      </c>
      <c r="M607" s="0" t="str">
        <f aca="false">IF(I607="","",INDEX(הגדרות!$A$2:$A$21,MOD(I607+הגדרות!$E$9,הגדרות!$E$6)+1))</f>
        <v/>
      </c>
    </row>
    <row r="608" customFormat="false" ht="15" hidden="false" customHeight="false" outlineLevel="0" collapsed="false">
      <c r="A608" s="0" t="str">
        <f aca="false">IF('הדבקת לידים'!A608="","",IF(ISNUMBER('הדבקת לידים'!A608),IF(הגדרות!$E$2&gt;0,TEXT('הדבקת לידים'!A608,REPT("0",הגדרות!$E$2)),TEXT('הדבקת לידים'!A608,"0")),TRIM('הדבקת לידים'!A608)))</f>
        <v/>
      </c>
      <c r="B608" s="0" t="str">
        <f aca="false">IF('הדבקת לידים'!B608="","",IF(ISNUMBER('הדבקת לידים'!B608),IF(הגדרות!$E$3&gt;0,TEXT('הדבקת לידים'!B608,REPT("0",הגדרות!$E$3)),TEXT('הדבקת לידים'!B608,"0")),TRIM('הדבקת לידים'!B608)))</f>
        <v/>
      </c>
      <c r="C608" s="0" t="n">
        <f aca="false">IF(OR(A608&lt;&gt;"",B608&lt;&gt;""),1,0)</f>
        <v>0</v>
      </c>
      <c r="D608" s="0" t="str">
        <f aca="false">IF(C608=1,MOD(ABS(SIN(ROW()*12.9898+'הדבקת לידים'!$F$2*78.233+IFERROR(--RIGHT(A608,6),LEN(A608))*0.0137+IFERROR(--RIGHT(B608,6),LEN(B608))*0.0071))*43758.5453,1),"")</f>
        <v/>
      </c>
      <c r="E608" s="0" t="str">
        <f aca="false">IF(C608=1,INT(MOD(ABS(SIN(D608*7919.123+ROW()*0.618+'הדבקת לידים'!$F$2*1.3))*43758.5453,1)*1000000)*10000+ROW(),"")</f>
        <v/>
      </c>
      <c r="F608" s="0" t="str">
        <f aca="false">IF(E608="","",RANK(E608,$E$2:$E$5001,1))</f>
        <v/>
      </c>
      <c r="G608" s="0" t="n">
        <f aca="false">IF(A608="",0,IF(SUMPRODUCT(--($A$2:$A$5001=A608))&gt;1,1,0))</f>
        <v>0</v>
      </c>
      <c r="H608" s="0" t="n">
        <f aca="false">ROW()-1</f>
        <v>607</v>
      </c>
      <c r="I608" s="0" t="str">
        <f aca="false">IF(OR(הגדרות!$E$6=0,H608&gt;הגדרות!$E$5),"",IF(H608-1&lt;הגדרות!$E$8*(הגדרות!$E$7+1),INT((H608-1)/(הגדרות!$E$7+1)),הגדרות!$E$8+INT((H608-1-הגדרות!$E$8*(הגדרות!$E$7+1))/הגדרות!$E$7)))</f>
        <v/>
      </c>
      <c r="J608" s="0" t="str">
        <f aca="false">IF(I608="","",IF(H608-1&lt;הגדרות!$E$8*(הגדרות!$E$7+1),MOD(H608-1,הגדרות!$E$7+1),MOD(H608-1-הגדרות!$E$8*(הגדרות!$E$7+1),הגדרות!$E$7)))</f>
        <v/>
      </c>
      <c r="K608" s="0" t="str">
        <f aca="false">IF(I608="","",J608*הגדרות!$E$6+I608+1)</f>
        <v/>
      </c>
      <c r="L608" s="0" t="str">
        <f aca="false">IF(K608="","",MATCH(K608,$F$2:$F$5001,0))</f>
        <v/>
      </c>
      <c r="M608" s="0" t="str">
        <f aca="false">IF(I608="","",INDEX(הגדרות!$A$2:$A$21,MOD(I608+הגדרות!$E$9,הגדרות!$E$6)+1))</f>
        <v/>
      </c>
    </row>
    <row r="609" customFormat="false" ht="15" hidden="false" customHeight="false" outlineLevel="0" collapsed="false">
      <c r="A609" s="0" t="str">
        <f aca="false">IF('הדבקת לידים'!A609="","",IF(ISNUMBER('הדבקת לידים'!A609),IF(הגדרות!$E$2&gt;0,TEXT('הדבקת לידים'!A609,REPT("0",הגדרות!$E$2)),TEXT('הדבקת לידים'!A609,"0")),TRIM('הדבקת לידים'!A609)))</f>
        <v/>
      </c>
      <c r="B609" s="0" t="str">
        <f aca="false">IF('הדבקת לידים'!B609="","",IF(ISNUMBER('הדבקת לידים'!B609),IF(הגדרות!$E$3&gt;0,TEXT('הדבקת לידים'!B609,REPT("0",הגדרות!$E$3)),TEXT('הדבקת לידים'!B609,"0")),TRIM('הדבקת לידים'!B609)))</f>
        <v/>
      </c>
      <c r="C609" s="0" t="n">
        <f aca="false">IF(OR(A609&lt;&gt;"",B609&lt;&gt;""),1,0)</f>
        <v>0</v>
      </c>
      <c r="D609" s="0" t="str">
        <f aca="false">IF(C609=1,MOD(ABS(SIN(ROW()*12.9898+'הדבקת לידים'!$F$2*78.233+IFERROR(--RIGHT(A609,6),LEN(A609))*0.0137+IFERROR(--RIGHT(B609,6),LEN(B609))*0.0071))*43758.5453,1),"")</f>
        <v/>
      </c>
      <c r="E609" s="0" t="str">
        <f aca="false">IF(C609=1,INT(MOD(ABS(SIN(D609*7919.123+ROW()*0.618+'הדבקת לידים'!$F$2*1.3))*43758.5453,1)*1000000)*10000+ROW(),"")</f>
        <v/>
      </c>
      <c r="F609" s="0" t="str">
        <f aca="false">IF(E609="","",RANK(E609,$E$2:$E$5001,1))</f>
        <v/>
      </c>
      <c r="G609" s="0" t="n">
        <f aca="false">IF(A609="",0,IF(SUMPRODUCT(--($A$2:$A$5001=A609))&gt;1,1,0))</f>
        <v>0</v>
      </c>
      <c r="H609" s="0" t="n">
        <f aca="false">ROW()-1</f>
        <v>608</v>
      </c>
      <c r="I609" s="0" t="str">
        <f aca="false">IF(OR(הגדרות!$E$6=0,H609&gt;הגדרות!$E$5),"",IF(H609-1&lt;הגדרות!$E$8*(הגדרות!$E$7+1),INT((H609-1)/(הגדרות!$E$7+1)),הגדרות!$E$8+INT((H609-1-הגדרות!$E$8*(הגדרות!$E$7+1))/הגדרות!$E$7)))</f>
        <v/>
      </c>
      <c r="J609" s="0" t="str">
        <f aca="false">IF(I609="","",IF(H609-1&lt;הגדרות!$E$8*(הגדרות!$E$7+1),MOD(H609-1,הגדרות!$E$7+1),MOD(H609-1-הגדרות!$E$8*(הגדרות!$E$7+1),הגדרות!$E$7)))</f>
        <v/>
      </c>
      <c r="K609" s="0" t="str">
        <f aca="false">IF(I609="","",J609*הגדרות!$E$6+I609+1)</f>
        <v/>
      </c>
      <c r="L609" s="0" t="str">
        <f aca="false">IF(K609="","",MATCH(K609,$F$2:$F$5001,0))</f>
        <v/>
      </c>
      <c r="M609" s="0" t="str">
        <f aca="false">IF(I609="","",INDEX(הגדרות!$A$2:$A$21,MOD(I609+הגדרות!$E$9,הגדרות!$E$6)+1))</f>
        <v/>
      </c>
    </row>
    <row r="610" customFormat="false" ht="15" hidden="false" customHeight="false" outlineLevel="0" collapsed="false">
      <c r="A610" s="0" t="str">
        <f aca="false">IF('הדבקת לידים'!A610="","",IF(ISNUMBER('הדבקת לידים'!A610),IF(הגדרות!$E$2&gt;0,TEXT('הדבקת לידים'!A610,REPT("0",הגדרות!$E$2)),TEXT('הדבקת לידים'!A610,"0")),TRIM('הדבקת לידים'!A610)))</f>
        <v/>
      </c>
      <c r="B610" s="0" t="str">
        <f aca="false">IF('הדבקת לידים'!B610="","",IF(ISNUMBER('הדבקת לידים'!B610),IF(הגדרות!$E$3&gt;0,TEXT('הדבקת לידים'!B610,REPT("0",הגדרות!$E$3)),TEXT('הדבקת לידים'!B610,"0")),TRIM('הדבקת לידים'!B610)))</f>
        <v/>
      </c>
      <c r="C610" s="0" t="n">
        <f aca="false">IF(OR(A610&lt;&gt;"",B610&lt;&gt;""),1,0)</f>
        <v>0</v>
      </c>
      <c r="D610" s="0" t="str">
        <f aca="false">IF(C610=1,MOD(ABS(SIN(ROW()*12.9898+'הדבקת לידים'!$F$2*78.233+IFERROR(--RIGHT(A610,6),LEN(A610))*0.0137+IFERROR(--RIGHT(B610,6),LEN(B610))*0.0071))*43758.5453,1),"")</f>
        <v/>
      </c>
      <c r="E610" s="0" t="str">
        <f aca="false">IF(C610=1,INT(MOD(ABS(SIN(D610*7919.123+ROW()*0.618+'הדבקת לידים'!$F$2*1.3))*43758.5453,1)*1000000)*10000+ROW(),"")</f>
        <v/>
      </c>
      <c r="F610" s="0" t="str">
        <f aca="false">IF(E610="","",RANK(E610,$E$2:$E$5001,1))</f>
        <v/>
      </c>
      <c r="G610" s="0" t="n">
        <f aca="false">IF(A610="",0,IF(SUMPRODUCT(--($A$2:$A$5001=A610))&gt;1,1,0))</f>
        <v>0</v>
      </c>
      <c r="H610" s="0" t="n">
        <f aca="false">ROW()-1</f>
        <v>609</v>
      </c>
      <c r="I610" s="0" t="str">
        <f aca="false">IF(OR(הגדרות!$E$6=0,H610&gt;הגדרות!$E$5),"",IF(H610-1&lt;הגדרות!$E$8*(הגדרות!$E$7+1),INT((H610-1)/(הגדרות!$E$7+1)),הגדרות!$E$8+INT((H610-1-הגדרות!$E$8*(הגדרות!$E$7+1))/הגדרות!$E$7)))</f>
        <v/>
      </c>
      <c r="J610" s="0" t="str">
        <f aca="false">IF(I610="","",IF(H610-1&lt;הגדרות!$E$8*(הגדרות!$E$7+1),MOD(H610-1,הגדרות!$E$7+1),MOD(H610-1-הגדרות!$E$8*(הגדרות!$E$7+1),הגדרות!$E$7)))</f>
        <v/>
      </c>
      <c r="K610" s="0" t="str">
        <f aca="false">IF(I610="","",J610*הגדרות!$E$6+I610+1)</f>
        <v/>
      </c>
      <c r="L610" s="0" t="str">
        <f aca="false">IF(K610="","",MATCH(K610,$F$2:$F$5001,0))</f>
        <v/>
      </c>
      <c r="M610" s="0" t="str">
        <f aca="false">IF(I610="","",INDEX(הגדרות!$A$2:$A$21,MOD(I610+הגדרות!$E$9,הגדרות!$E$6)+1))</f>
        <v/>
      </c>
    </row>
    <row r="611" customFormat="false" ht="15" hidden="false" customHeight="false" outlineLevel="0" collapsed="false">
      <c r="A611" s="0" t="str">
        <f aca="false">IF('הדבקת לידים'!A611="","",IF(ISNUMBER('הדבקת לידים'!A611),IF(הגדרות!$E$2&gt;0,TEXT('הדבקת לידים'!A611,REPT("0",הגדרות!$E$2)),TEXT('הדבקת לידים'!A611,"0")),TRIM('הדבקת לידים'!A611)))</f>
        <v/>
      </c>
      <c r="B611" s="0" t="str">
        <f aca="false">IF('הדבקת לידים'!B611="","",IF(ISNUMBER('הדבקת לידים'!B611),IF(הגדרות!$E$3&gt;0,TEXT('הדבקת לידים'!B611,REPT("0",הגדרות!$E$3)),TEXT('הדבקת לידים'!B611,"0")),TRIM('הדבקת לידים'!B611)))</f>
        <v/>
      </c>
      <c r="C611" s="0" t="n">
        <f aca="false">IF(OR(A611&lt;&gt;"",B611&lt;&gt;""),1,0)</f>
        <v>0</v>
      </c>
      <c r="D611" s="0" t="str">
        <f aca="false">IF(C611=1,MOD(ABS(SIN(ROW()*12.9898+'הדבקת לידים'!$F$2*78.233+IFERROR(--RIGHT(A611,6),LEN(A611))*0.0137+IFERROR(--RIGHT(B611,6),LEN(B611))*0.0071))*43758.5453,1),"")</f>
        <v/>
      </c>
      <c r="E611" s="0" t="str">
        <f aca="false">IF(C611=1,INT(MOD(ABS(SIN(D611*7919.123+ROW()*0.618+'הדבקת לידים'!$F$2*1.3))*43758.5453,1)*1000000)*10000+ROW(),"")</f>
        <v/>
      </c>
      <c r="F611" s="0" t="str">
        <f aca="false">IF(E611="","",RANK(E611,$E$2:$E$5001,1))</f>
        <v/>
      </c>
      <c r="G611" s="0" t="n">
        <f aca="false">IF(A611="",0,IF(SUMPRODUCT(--($A$2:$A$5001=A611))&gt;1,1,0))</f>
        <v>0</v>
      </c>
      <c r="H611" s="0" t="n">
        <f aca="false">ROW()-1</f>
        <v>610</v>
      </c>
      <c r="I611" s="0" t="str">
        <f aca="false">IF(OR(הגדרות!$E$6=0,H611&gt;הגדרות!$E$5),"",IF(H611-1&lt;הגדרות!$E$8*(הגדרות!$E$7+1),INT((H611-1)/(הגדרות!$E$7+1)),הגדרות!$E$8+INT((H611-1-הגדרות!$E$8*(הגדרות!$E$7+1))/הגדרות!$E$7)))</f>
        <v/>
      </c>
      <c r="J611" s="0" t="str">
        <f aca="false">IF(I611="","",IF(H611-1&lt;הגדרות!$E$8*(הגדרות!$E$7+1),MOD(H611-1,הגדרות!$E$7+1),MOD(H611-1-הגדרות!$E$8*(הגדרות!$E$7+1),הגדרות!$E$7)))</f>
        <v/>
      </c>
      <c r="K611" s="0" t="str">
        <f aca="false">IF(I611="","",J611*הגדרות!$E$6+I611+1)</f>
        <v/>
      </c>
      <c r="L611" s="0" t="str">
        <f aca="false">IF(K611="","",MATCH(K611,$F$2:$F$5001,0))</f>
        <v/>
      </c>
      <c r="M611" s="0" t="str">
        <f aca="false">IF(I611="","",INDEX(הגדרות!$A$2:$A$21,MOD(I611+הגדרות!$E$9,הגדרות!$E$6)+1))</f>
        <v/>
      </c>
    </row>
    <row r="612" customFormat="false" ht="15" hidden="false" customHeight="false" outlineLevel="0" collapsed="false">
      <c r="A612" s="0" t="str">
        <f aca="false">IF('הדבקת לידים'!A612="","",IF(ISNUMBER('הדבקת לידים'!A612),IF(הגדרות!$E$2&gt;0,TEXT('הדבקת לידים'!A612,REPT("0",הגדרות!$E$2)),TEXT('הדבקת לידים'!A612,"0")),TRIM('הדבקת לידים'!A612)))</f>
        <v/>
      </c>
      <c r="B612" s="0" t="str">
        <f aca="false">IF('הדבקת לידים'!B612="","",IF(ISNUMBER('הדבקת לידים'!B612),IF(הגדרות!$E$3&gt;0,TEXT('הדבקת לידים'!B612,REPT("0",הגדרות!$E$3)),TEXT('הדבקת לידים'!B612,"0")),TRIM('הדבקת לידים'!B612)))</f>
        <v/>
      </c>
      <c r="C612" s="0" t="n">
        <f aca="false">IF(OR(A612&lt;&gt;"",B612&lt;&gt;""),1,0)</f>
        <v>0</v>
      </c>
      <c r="D612" s="0" t="str">
        <f aca="false">IF(C612=1,MOD(ABS(SIN(ROW()*12.9898+'הדבקת לידים'!$F$2*78.233+IFERROR(--RIGHT(A612,6),LEN(A612))*0.0137+IFERROR(--RIGHT(B612,6),LEN(B612))*0.0071))*43758.5453,1),"")</f>
        <v/>
      </c>
      <c r="E612" s="0" t="str">
        <f aca="false">IF(C612=1,INT(MOD(ABS(SIN(D612*7919.123+ROW()*0.618+'הדבקת לידים'!$F$2*1.3))*43758.5453,1)*1000000)*10000+ROW(),"")</f>
        <v/>
      </c>
      <c r="F612" s="0" t="str">
        <f aca="false">IF(E612="","",RANK(E612,$E$2:$E$5001,1))</f>
        <v/>
      </c>
      <c r="G612" s="0" t="n">
        <f aca="false">IF(A612="",0,IF(SUMPRODUCT(--($A$2:$A$5001=A612))&gt;1,1,0))</f>
        <v>0</v>
      </c>
      <c r="H612" s="0" t="n">
        <f aca="false">ROW()-1</f>
        <v>611</v>
      </c>
      <c r="I612" s="0" t="str">
        <f aca="false">IF(OR(הגדרות!$E$6=0,H612&gt;הגדרות!$E$5),"",IF(H612-1&lt;הגדרות!$E$8*(הגדרות!$E$7+1),INT((H612-1)/(הגדרות!$E$7+1)),הגדרות!$E$8+INT((H612-1-הגדרות!$E$8*(הגדרות!$E$7+1))/הגדרות!$E$7)))</f>
        <v/>
      </c>
      <c r="J612" s="0" t="str">
        <f aca="false">IF(I612="","",IF(H612-1&lt;הגדרות!$E$8*(הגדרות!$E$7+1),MOD(H612-1,הגדרות!$E$7+1),MOD(H612-1-הגדרות!$E$8*(הגדרות!$E$7+1),הגדרות!$E$7)))</f>
        <v/>
      </c>
      <c r="K612" s="0" t="str">
        <f aca="false">IF(I612="","",J612*הגדרות!$E$6+I612+1)</f>
        <v/>
      </c>
      <c r="L612" s="0" t="str">
        <f aca="false">IF(K612="","",MATCH(K612,$F$2:$F$5001,0))</f>
        <v/>
      </c>
      <c r="M612" s="0" t="str">
        <f aca="false">IF(I612="","",INDEX(הגדרות!$A$2:$A$21,MOD(I612+הגדרות!$E$9,הגדרות!$E$6)+1))</f>
        <v/>
      </c>
    </row>
    <row r="613" customFormat="false" ht="15" hidden="false" customHeight="false" outlineLevel="0" collapsed="false">
      <c r="A613" s="0" t="str">
        <f aca="false">IF('הדבקת לידים'!A613="","",IF(ISNUMBER('הדבקת לידים'!A613),IF(הגדרות!$E$2&gt;0,TEXT('הדבקת לידים'!A613,REPT("0",הגדרות!$E$2)),TEXT('הדבקת לידים'!A613,"0")),TRIM('הדבקת לידים'!A613)))</f>
        <v/>
      </c>
      <c r="B613" s="0" t="str">
        <f aca="false">IF('הדבקת לידים'!B613="","",IF(ISNUMBER('הדבקת לידים'!B613),IF(הגדרות!$E$3&gt;0,TEXT('הדבקת לידים'!B613,REPT("0",הגדרות!$E$3)),TEXT('הדבקת לידים'!B613,"0")),TRIM('הדבקת לידים'!B613)))</f>
        <v/>
      </c>
      <c r="C613" s="0" t="n">
        <f aca="false">IF(OR(A613&lt;&gt;"",B613&lt;&gt;""),1,0)</f>
        <v>0</v>
      </c>
      <c r="D613" s="0" t="str">
        <f aca="false">IF(C613=1,MOD(ABS(SIN(ROW()*12.9898+'הדבקת לידים'!$F$2*78.233+IFERROR(--RIGHT(A613,6),LEN(A613))*0.0137+IFERROR(--RIGHT(B613,6),LEN(B613))*0.0071))*43758.5453,1),"")</f>
        <v/>
      </c>
      <c r="E613" s="0" t="str">
        <f aca="false">IF(C613=1,INT(MOD(ABS(SIN(D613*7919.123+ROW()*0.618+'הדבקת לידים'!$F$2*1.3))*43758.5453,1)*1000000)*10000+ROW(),"")</f>
        <v/>
      </c>
      <c r="F613" s="0" t="str">
        <f aca="false">IF(E613="","",RANK(E613,$E$2:$E$5001,1))</f>
        <v/>
      </c>
      <c r="G613" s="0" t="n">
        <f aca="false">IF(A613="",0,IF(SUMPRODUCT(--($A$2:$A$5001=A613))&gt;1,1,0))</f>
        <v>0</v>
      </c>
      <c r="H613" s="0" t="n">
        <f aca="false">ROW()-1</f>
        <v>612</v>
      </c>
      <c r="I613" s="0" t="str">
        <f aca="false">IF(OR(הגדרות!$E$6=0,H613&gt;הגדרות!$E$5),"",IF(H613-1&lt;הגדרות!$E$8*(הגדרות!$E$7+1),INT((H613-1)/(הגדרות!$E$7+1)),הגדרות!$E$8+INT((H613-1-הגדרות!$E$8*(הגדרות!$E$7+1))/הגדרות!$E$7)))</f>
        <v/>
      </c>
      <c r="J613" s="0" t="str">
        <f aca="false">IF(I613="","",IF(H613-1&lt;הגדרות!$E$8*(הגדרות!$E$7+1),MOD(H613-1,הגדרות!$E$7+1),MOD(H613-1-הגדרות!$E$8*(הגדרות!$E$7+1),הגדרות!$E$7)))</f>
        <v/>
      </c>
      <c r="K613" s="0" t="str">
        <f aca="false">IF(I613="","",J613*הגדרות!$E$6+I613+1)</f>
        <v/>
      </c>
      <c r="L613" s="0" t="str">
        <f aca="false">IF(K613="","",MATCH(K613,$F$2:$F$5001,0))</f>
        <v/>
      </c>
      <c r="M613" s="0" t="str">
        <f aca="false">IF(I613="","",INDEX(הגדרות!$A$2:$A$21,MOD(I613+הגדרות!$E$9,הגדרות!$E$6)+1))</f>
        <v/>
      </c>
    </row>
    <row r="614" customFormat="false" ht="15" hidden="false" customHeight="false" outlineLevel="0" collapsed="false">
      <c r="A614" s="0" t="str">
        <f aca="false">IF('הדבקת לידים'!A614="","",IF(ISNUMBER('הדבקת לידים'!A614),IF(הגדרות!$E$2&gt;0,TEXT('הדבקת לידים'!A614,REPT("0",הגדרות!$E$2)),TEXT('הדבקת לידים'!A614,"0")),TRIM('הדבקת לידים'!A614)))</f>
        <v/>
      </c>
      <c r="B614" s="0" t="str">
        <f aca="false">IF('הדבקת לידים'!B614="","",IF(ISNUMBER('הדבקת לידים'!B614),IF(הגדרות!$E$3&gt;0,TEXT('הדבקת לידים'!B614,REPT("0",הגדרות!$E$3)),TEXT('הדבקת לידים'!B614,"0")),TRIM('הדבקת לידים'!B614)))</f>
        <v/>
      </c>
      <c r="C614" s="0" t="n">
        <f aca="false">IF(OR(A614&lt;&gt;"",B614&lt;&gt;""),1,0)</f>
        <v>0</v>
      </c>
      <c r="D614" s="0" t="str">
        <f aca="false">IF(C614=1,MOD(ABS(SIN(ROW()*12.9898+'הדבקת לידים'!$F$2*78.233+IFERROR(--RIGHT(A614,6),LEN(A614))*0.0137+IFERROR(--RIGHT(B614,6),LEN(B614))*0.0071))*43758.5453,1),"")</f>
        <v/>
      </c>
      <c r="E614" s="0" t="str">
        <f aca="false">IF(C614=1,INT(MOD(ABS(SIN(D614*7919.123+ROW()*0.618+'הדבקת לידים'!$F$2*1.3))*43758.5453,1)*1000000)*10000+ROW(),"")</f>
        <v/>
      </c>
      <c r="F614" s="0" t="str">
        <f aca="false">IF(E614="","",RANK(E614,$E$2:$E$5001,1))</f>
        <v/>
      </c>
      <c r="G614" s="0" t="n">
        <f aca="false">IF(A614="",0,IF(SUMPRODUCT(--($A$2:$A$5001=A614))&gt;1,1,0))</f>
        <v>0</v>
      </c>
      <c r="H614" s="0" t="n">
        <f aca="false">ROW()-1</f>
        <v>613</v>
      </c>
      <c r="I614" s="0" t="str">
        <f aca="false">IF(OR(הגדרות!$E$6=0,H614&gt;הגדרות!$E$5),"",IF(H614-1&lt;הגדרות!$E$8*(הגדרות!$E$7+1),INT((H614-1)/(הגדרות!$E$7+1)),הגדרות!$E$8+INT((H614-1-הגדרות!$E$8*(הגדרות!$E$7+1))/הגדרות!$E$7)))</f>
        <v/>
      </c>
      <c r="J614" s="0" t="str">
        <f aca="false">IF(I614="","",IF(H614-1&lt;הגדרות!$E$8*(הגדרות!$E$7+1),MOD(H614-1,הגדרות!$E$7+1),MOD(H614-1-הגדרות!$E$8*(הגדרות!$E$7+1),הגדרות!$E$7)))</f>
        <v/>
      </c>
      <c r="K614" s="0" t="str">
        <f aca="false">IF(I614="","",J614*הגדרות!$E$6+I614+1)</f>
        <v/>
      </c>
      <c r="L614" s="0" t="str">
        <f aca="false">IF(K614="","",MATCH(K614,$F$2:$F$5001,0))</f>
        <v/>
      </c>
      <c r="M614" s="0" t="str">
        <f aca="false">IF(I614="","",INDEX(הגדרות!$A$2:$A$21,MOD(I614+הגדרות!$E$9,הגדרות!$E$6)+1))</f>
        <v/>
      </c>
    </row>
    <row r="615" customFormat="false" ht="15" hidden="false" customHeight="false" outlineLevel="0" collapsed="false">
      <c r="A615" s="0" t="str">
        <f aca="false">IF('הדבקת לידים'!A615="","",IF(ISNUMBER('הדבקת לידים'!A615),IF(הגדרות!$E$2&gt;0,TEXT('הדבקת לידים'!A615,REPT("0",הגדרות!$E$2)),TEXT('הדבקת לידים'!A615,"0")),TRIM('הדבקת לידים'!A615)))</f>
        <v/>
      </c>
      <c r="B615" s="0" t="str">
        <f aca="false">IF('הדבקת לידים'!B615="","",IF(ISNUMBER('הדבקת לידים'!B615),IF(הגדרות!$E$3&gt;0,TEXT('הדבקת לידים'!B615,REPT("0",הגדרות!$E$3)),TEXT('הדבקת לידים'!B615,"0")),TRIM('הדבקת לידים'!B615)))</f>
        <v/>
      </c>
      <c r="C615" s="0" t="n">
        <f aca="false">IF(OR(A615&lt;&gt;"",B615&lt;&gt;""),1,0)</f>
        <v>0</v>
      </c>
      <c r="D615" s="0" t="str">
        <f aca="false">IF(C615=1,MOD(ABS(SIN(ROW()*12.9898+'הדבקת לידים'!$F$2*78.233+IFERROR(--RIGHT(A615,6),LEN(A615))*0.0137+IFERROR(--RIGHT(B615,6),LEN(B615))*0.0071))*43758.5453,1),"")</f>
        <v/>
      </c>
      <c r="E615" s="0" t="str">
        <f aca="false">IF(C615=1,INT(MOD(ABS(SIN(D615*7919.123+ROW()*0.618+'הדבקת לידים'!$F$2*1.3))*43758.5453,1)*1000000)*10000+ROW(),"")</f>
        <v/>
      </c>
      <c r="F615" s="0" t="str">
        <f aca="false">IF(E615="","",RANK(E615,$E$2:$E$5001,1))</f>
        <v/>
      </c>
      <c r="G615" s="0" t="n">
        <f aca="false">IF(A615="",0,IF(SUMPRODUCT(--($A$2:$A$5001=A615))&gt;1,1,0))</f>
        <v>0</v>
      </c>
      <c r="H615" s="0" t="n">
        <f aca="false">ROW()-1</f>
        <v>614</v>
      </c>
      <c r="I615" s="0" t="str">
        <f aca="false">IF(OR(הגדרות!$E$6=0,H615&gt;הגדרות!$E$5),"",IF(H615-1&lt;הגדרות!$E$8*(הגדרות!$E$7+1),INT((H615-1)/(הגדרות!$E$7+1)),הגדרות!$E$8+INT((H615-1-הגדרות!$E$8*(הגדרות!$E$7+1))/הגדרות!$E$7)))</f>
        <v/>
      </c>
      <c r="J615" s="0" t="str">
        <f aca="false">IF(I615="","",IF(H615-1&lt;הגדרות!$E$8*(הגדרות!$E$7+1),MOD(H615-1,הגדרות!$E$7+1),MOD(H615-1-הגדרות!$E$8*(הגדרות!$E$7+1),הגדרות!$E$7)))</f>
        <v/>
      </c>
      <c r="K615" s="0" t="str">
        <f aca="false">IF(I615="","",J615*הגדרות!$E$6+I615+1)</f>
        <v/>
      </c>
      <c r="L615" s="0" t="str">
        <f aca="false">IF(K615="","",MATCH(K615,$F$2:$F$5001,0))</f>
        <v/>
      </c>
      <c r="M615" s="0" t="str">
        <f aca="false">IF(I615="","",INDEX(הגדרות!$A$2:$A$21,MOD(I615+הגדרות!$E$9,הגדרות!$E$6)+1))</f>
        <v/>
      </c>
    </row>
    <row r="616" customFormat="false" ht="15" hidden="false" customHeight="false" outlineLevel="0" collapsed="false">
      <c r="A616" s="0" t="str">
        <f aca="false">IF('הדבקת לידים'!A616="","",IF(ISNUMBER('הדבקת לידים'!A616),IF(הגדרות!$E$2&gt;0,TEXT('הדבקת לידים'!A616,REPT("0",הגדרות!$E$2)),TEXT('הדבקת לידים'!A616,"0")),TRIM('הדבקת לידים'!A616)))</f>
        <v/>
      </c>
      <c r="B616" s="0" t="str">
        <f aca="false">IF('הדבקת לידים'!B616="","",IF(ISNUMBER('הדבקת לידים'!B616),IF(הגדרות!$E$3&gt;0,TEXT('הדבקת לידים'!B616,REPT("0",הגדרות!$E$3)),TEXT('הדבקת לידים'!B616,"0")),TRIM('הדבקת לידים'!B616)))</f>
        <v/>
      </c>
      <c r="C616" s="0" t="n">
        <f aca="false">IF(OR(A616&lt;&gt;"",B616&lt;&gt;""),1,0)</f>
        <v>0</v>
      </c>
      <c r="D616" s="0" t="str">
        <f aca="false">IF(C616=1,MOD(ABS(SIN(ROW()*12.9898+'הדבקת לידים'!$F$2*78.233+IFERROR(--RIGHT(A616,6),LEN(A616))*0.0137+IFERROR(--RIGHT(B616,6),LEN(B616))*0.0071))*43758.5453,1),"")</f>
        <v/>
      </c>
      <c r="E616" s="0" t="str">
        <f aca="false">IF(C616=1,INT(MOD(ABS(SIN(D616*7919.123+ROW()*0.618+'הדבקת לידים'!$F$2*1.3))*43758.5453,1)*1000000)*10000+ROW(),"")</f>
        <v/>
      </c>
      <c r="F616" s="0" t="str">
        <f aca="false">IF(E616="","",RANK(E616,$E$2:$E$5001,1))</f>
        <v/>
      </c>
      <c r="G616" s="0" t="n">
        <f aca="false">IF(A616="",0,IF(SUMPRODUCT(--($A$2:$A$5001=A616))&gt;1,1,0))</f>
        <v>0</v>
      </c>
      <c r="H616" s="0" t="n">
        <f aca="false">ROW()-1</f>
        <v>615</v>
      </c>
      <c r="I616" s="0" t="str">
        <f aca="false">IF(OR(הגדרות!$E$6=0,H616&gt;הגדרות!$E$5),"",IF(H616-1&lt;הגדרות!$E$8*(הגדרות!$E$7+1),INT((H616-1)/(הגדרות!$E$7+1)),הגדרות!$E$8+INT((H616-1-הגדרות!$E$8*(הגדרות!$E$7+1))/הגדרות!$E$7)))</f>
        <v/>
      </c>
      <c r="J616" s="0" t="str">
        <f aca="false">IF(I616="","",IF(H616-1&lt;הגדרות!$E$8*(הגדרות!$E$7+1),MOD(H616-1,הגדרות!$E$7+1),MOD(H616-1-הגדרות!$E$8*(הגדרות!$E$7+1),הגדרות!$E$7)))</f>
        <v/>
      </c>
      <c r="K616" s="0" t="str">
        <f aca="false">IF(I616="","",J616*הגדרות!$E$6+I616+1)</f>
        <v/>
      </c>
      <c r="L616" s="0" t="str">
        <f aca="false">IF(K616="","",MATCH(K616,$F$2:$F$5001,0))</f>
        <v/>
      </c>
      <c r="M616" s="0" t="str">
        <f aca="false">IF(I616="","",INDEX(הגדרות!$A$2:$A$21,MOD(I616+הגדרות!$E$9,הגדרות!$E$6)+1))</f>
        <v/>
      </c>
    </row>
    <row r="617" customFormat="false" ht="15" hidden="false" customHeight="false" outlineLevel="0" collapsed="false">
      <c r="A617" s="0" t="str">
        <f aca="false">IF('הדבקת לידים'!A617="","",IF(ISNUMBER('הדבקת לידים'!A617),IF(הגדרות!$E$2&gt;0,TEXT('הדבקת לידים'!A617,REPT("0",הגדרות!$E$2)),TEXT('הדבקת לידים'!A617,"0")),TRIM('הדבקת לידים'!A617)))</f>
        <v/>
      </c>
      <c r="B617" s="0" t="str">
        <f aca="false">IF('הדבקת לידים'!B617="","",IF(ISNUMBER('הדבקת לידים'!B617),IF(הגדרות!$E$3&gt;0,TEXT('הדבקת לידים'!B617,REPT("0",הגדרות!$E$3)),TEXT('הדבקת לידים'!B617,"0")),TRIM('הדבקת לידים'!B617)))</f>
        <v/>
      </c>
      <c r="C617" s="0" t="n">
        <f aca="false">IF(OR(A617&lt;&gt;"",B617&lt;&gt;""),1,0)</f>
        <v>0</v>
      </c>
      <c r="D617" s="0" t="str">
        <f aca="false">IF(C617=1,MOD(ABS(SIN(ROW()*12.9898+'הדבקת לידים'!$F$2*78.233+IFERROR(--RIGHT(A617,6),LEN(A617))*0.0137+IFERROR(--RIGHT(B617,6),LEN(B617))*0.0071))*43758.5453,1),"")</f>
        <v/>
      </c>
      <c r="E617" s="0" t="str">
        <f aca="false">IF(C617=1,INT(MOD(ABS(SIN(D617*7919.123+ROW()*0.618+'הדבקת לידים'!$F$2*1.3))*43758.5453,1)*1000000)*10000+ROW(),"")</f>
        <v/>
      </c>
      <c r="F617" s="0" t="str">
        <f aca="false">IF(E617="","",RANK(E617,$E$2:$E$5001,1))</f>
        <v/>
      </c>
      <c r="G617" s="0" t="n">
        <f aca="false">IF(A617="",0,IF(SUMPRODUCT(--($A$2:$A$5001=A617))&gt;1,1,0))</f>
        <v>0</v>
      </c>
      <c r="H617" s="0" t="n">
        <f aca="false">ROW()-1</f>
        <v>616</v>
      </c>
      <c r="I617" s="0" t="str">
        <f aca="false">IF(OR(הגדרות!$E$6=0,H617&gt;הגדרות!$E$5),"",IF(H617-1&lt;הגדרות!$E$8*(הגדרות!$E$7+1),INT((H617-1)/(הגדרות!$E$7+1)),הגדרות!$E$8+INT((H617-1-הגדרות!$E$8*(הגדרות!$E$7+1))/הגדרות!$E$7)))</f>
        <v/>
      </c>
      <c r="J617" s="0" t="str">
        <f aca="false">IF(I617="","",IF(H617-1&lt;הגדרות!$E$8*(הגדרות!$E$7+1),MOD(H617-1,הגדרות!$E$7+1),MOD(H617-1-הגדרות!$E$8*(הגדרות!$E$7+1),הגדרות!$E$7)))</f>
        <v/>
      </c>
      <c r="K617" s="0" t="str">
        <f aca="false">IF(I617="","",J617*הגדרות!$E$6+I617+1)</f>
        <v/>
      </c>
      <c r="L617" s="0" t="str">
        <f aca="false">IF(K617="","",MATCH(K617,$F$2:$F$5001,0))</f>
        <v/>
      </c>
      <c r="M617" s="0" t="str">
        <f aca="false">IF(I617="","",INDEX(הגדרות!$A$2:$A$21,MOD(I617+הגדרות!$E$9,הגדרות!$E$6)+1))</f>
        <v/>
      </c>
    </row>
    <row r="618" customFormat="false" ht="15" hidden="false" customHeight="false" outlineLevel="0" collapsed="false">
      <c r="A618" s="0" t="str">
        <f aca="false">IF('הדבקת לידים'!A618="","",IF(ISNUMBER('הדבקת לידים'!A618),IF(הגדרות!$E$2&gt;0,TEXT('הדבקת לידים'!A618,REPT("0",הגדרות!$E$2)),TEXT('הדבקת לידים'!A618,"0")),TRIM('הדבקת לידים'!A618)))</f>
        <v/>
      </c>
      <c r="B618" s="0" t="str">
        <f aca="false">IF('הדבקת לידים'!B618="","",IF(ISNUMBER('הדבקת לידים'!B618),IF(הגדרות!$E$3&gt;0,TEXT('הדבקת לידים'!B618,REPT("0",הגדרות!$E$3)),TEXT('הדבקת לידים'!B618,"0")),TRIM('הדבקת לידים'!B618)))</f>
        <v/>
      </c>
      <c r="C618" s="0" t="n">
        <f aca="false">IF(OR(A618&lt;&gt;"",B618&lt;&gt;""),1,0)</f>
        <v>0</v>
      </c>
      <c r="D618" s="0" t="str">
        <f aca="false">IF(C618=1,MOD(ABS(SIN(ROW()*12.9898+'הדבקת לידים'!$F$2*78.233+IFERROR(--RIGHT(A618,6),LEN(A618))*0.0137+IFERROR(--RIGHT(B618,6),LEN(B618))*0.0071))*43758.5453,1),"")</f>
        <v/>
      </c>
      <c r="E618" s="0" t="str">
        <f aca="false">IF(C618=1,INT(MOD(ABS(SIN(D618*7919.123+ROW()*0.618+'הדבקת לידים'!$F$2*1.3))*43758.5453,1)*1000000)*10000+ROW(),"")</f>
        <v/>
      </c>
      <c r="F618" s="0" t="str">
        <f aca="false">IF(E618="","",RANK(E618,$E$2:$E$5001,1))</f>
        <v/>
      </c>
      <c r="G618" s="0" t="n">
        <f aca="false">IF(A618="",0,IF(SUMPRODUCT(--($A$2:$A$5001=A618))&gt;1,1,0))</f>
        <v>0</v>
      </c>
      <c r="H618" s="0" t="n">
        <f aca="false">ROW()-1</f>
        <v>617</v>
      </c>
      <c r="I618" s="0" t="str">
        <f aca="false">IF(OR(הגדרות!$E$6=0,H618&gt;הגדרות!$E$5),"",IF(H618-1&lt;הגדרות!$E$8*(הגדרות!$E$7+1),INT((H618-1)/(הגדרות!$E$7+1)),הגדרות!$E$8+INT((H618-1-הגדרות!$E$8*(הגדרות!$E$7+1))/הגדרות!$E$7)))</f>
        <v/>
      </c>
      <c r="J618" s="0" t="str">
        <f aca="false">IF(I618="","",IF(H618-1&lt;הגדרות!$E$8*(הגדרות!$E$7+1),MOD(H618-1,הגדרות!$E$7+1),MOD(H618-1-הגדרות!$E$8*(הגדרות!$E$7+1),הגדרות!$E$7)))</f>
        <v/>
      </c>
      <c r="K618" s="0" t="str">
        <f aca="false">IF(I618="","",J618*הגדרות!$E$6+I618+1)</f>
        <v/>
      </c>
      <c r="L618" s="0" t="str">
        <f aca="false">IF(K618="","",MATCH(K618,$F$2:$F$5001,0))</f>
        <v/>
      </c>
      <c r="M618" s="0" t="str">
        <f aca="false">IF(I618="","",INDEX(הגדרות!$A$2:$A$21,MOD(I618+הגדרות!$E$9,הגדרות!$E$6)+1))</f>
        <v/>
      </c>
    </row>
    <row r="619" customFormat="false" ht="15" hidden="false" customHeight="false" outlineLevel="0" collapsed="false">
      <c r="A619" s="0" t="str">
        <f aca="false">IF('הדבקת לידים'!A619="","",IF(ISNUMBER('הדבקת לידים'!A619),IF(הגדרות!$E$2&gt;0,TEXT('הדבקת לידים'!A619,REPT("0",הגדרות!$E$2)),TEXT('הדבקת לידים'!A619,"0")),TRIM('הדבקת לידים'!A619)))</f>
        <v/>
      </c>
      <c r="B619" s="0" t="str">
        <f aca="false">IF('הדבקת לידים'!B619="","",IF(ISNUMBER('הדבקת לידים'!B619),IF(הגדרות!$E$3&gt;0,TEXT('הדבקת לידים'!B619,REPT("0",הגדרות!$E$3)),TEXT('הדבקת לידים'!B619,"0")),TRIM('הדבקת לידים'!B619)))</f>
        <v/>
      </c>
      <c r="C619" s="0" t="n">
        <f aca="false">IF(OR(A619&lt;&gt;"",B619&lt;&gt;""),1,0)</f>
        <v>0</v>
      </c>
      <c r="D619" s="0" t="str">
        <f aca="false">IF(C619=1,MOD(ABS(SIN(ROW()*12.9898+'הדבקת לידים'!$F$2*78.233+IFERROR(--RIGHT(A619,6),LEN(A619))*0.0137+IFERROR(--RIGHT(B619,6),LEN(B619))*0.0071))*43758.5453,1),"")</f>
        <v/>
      </c>
      <c r="E619" s="0" t="str">
        <f aca="false">IF(C619=1,INT(MOD(ABS(SIN(D619*7919.123+ROW()*0.618+'הדבקת לידים'!$F$2*1.3))*43758.5453,1)*1000000)*10000+ROW(),"")</f>
        <v/>
      </c>
      <c r="F619" s="0" t="str">
        <f aca="false">IF(E619="","",RANK(E619,$E$2:$E$5001,1))</f>
        <v/>
      </c>
      <c r="G619" s="0" t="n">
        <f aca="false">IF(A619="",0,IF(SUMPRODUCT(--($A$2:$A$5001=A619))&gt;1,1,0))</f>
        <v>0</v>
      </c>
      <c r="H619" s="0" t="n">
        <f aca="false">ROW()-1</f>
        <v>618</v>
      </c>
      <c r="I619" s="0" t="str">
        <f aca="false">IF(OR(הגדרות!$E$6=0,H619&gt;הגדרות!$E$5),"",IF(H619-1&lt;הגדרות!$E$8*(הגדרות!$E$7+1),INT((H619-1)/(הגדרות!$E$7+1)),הגדרות!$E$8+INT((H619-1-הגדרות!$E$8*(הגדרות!$E$7+1))/הגדרות!$E$7)))</f>
        <v/>
      </c>
      <c r="J619" s="0" t="str">
        <f aca="false">IF(I619="","",IF(H619-1&lt;הגדרות!$E$8*(הגדרות!$E$7+1),MOD(H619-1,הגדרות!$E$7+1),MOD(H619-1-הגדרות!$E$8*(הגדרות!$E$7+1),הגדרות!$E$7)))</f>
        <v/>
      </c>
      <c r="K619" s="0" t="str">
        <f aca="false">IF(I619="","",J619*הגדרות!$E$6+I619+1)</f>
        <v/>
      </c>
      <c r="L619" s="0" t="str">
        <f aca="false">IF(K619="","",MATCH(K619,$F$2:$F$5001,0))</f>
        <v/>
      </c>
      <c r="M619" s="0" t="str">
        <f aca="false">IF(I619="","",INDEX(הגדרות!$A$2:$A$21,MOD(I619+הגדרות!$E$9,הגדרות!$E$6)+1))</f>
        <v/>
      </c>
    </row>
    <row r="620" customFormat="false" ht="15" hidden="false" customHeight="false" outlineLevel="0" collapsed="false">
      <c r="A620" s="0" t="str">
        <f aca="false">IF('הדבקת לידים'!A620="","",IF(ISNUMBER('הדבקת לידים'!A620),IF(הגדרות!$E$2&gt;0,TEXT('הדבקת לידים'!A620,REPT("0",הגדרות!$E$2)),TEXT('הדבקת לידים'!A620,"0")),TRIM('הדבקת לידים'!A620)))</f>
        <v/>
      </c>
      <c r="B620" s="0" t="str">
        <f aca="false">IF('הדבקת לידים'!B620="","",IF(ISNUMBER('הדבקת לידים'!B620),IF(הגדרות!$E$3&gt;0,TEXT('הדבקת לידים'!B620,REPT("0",הגדרות!$E$3)),TEXT('הדבקת לידים'!B620,"0")),TRIM('הדבקת לידים'!B620)))</f>
        <v/>
      </c>
      <c r="C620" s="0" t="n">
        <f aca="false">IF(OR(A620&lt;&gt;"",B620&lt;&gt;""),1,0)</f>
        <v>0</v>
      </c>
      <c r="D620" s="0" t="str">
        <f aca="false">IF(C620=1,MOD(ABS(SIN(ROW()*12.9898+'הדבקת לידים'!$F$2*78.233+IFERROR(--RIGHT(A620,6),LEN(A620))*0.0137+IFERROR(--RIGHT(B620,6),LEN(B620))*0.0071))*43758.5453,1),"")</f>
        <v/>
      </c>
      <c r="E620" s="0" t="str">
        <f aca="false">IF(C620=1,INT(MOD(ABS(SIN(D620*7919.123+ROW()*0.618+'הדבקת לידים'!$F$2*1.3))*43758.5453,1)*1000000)*10000+ROW(),"")</f>
        <v/>
      </c>
      <c r="F620" s="0" t="str">
        <f aca="false">IF(E620="","",RANK(E620,$E$2:$E$5001,1))</f>
        <v/>
      </c>
      <c r="G620" s="0" t="n">
        <f aca="false">IF(A620="",0,IF(SUMPRODUCT(--($A$2:$A$5001=A620))&gt;1,1,0))</f>
        <v>0</v>
      </c>
      <c r="H620" s="0" t="n">
        <f aca="false">ROW()-1</f>
        <v>619</v>
      </c>
      <c r="I620" s="0" t="str">
        <f aca="false">IF(OR(הגדרות!$E$6=0,H620&gt;הגדרות!$E$5),"",IF(H620-1&lt;הגדרות!$E$8*(הגדרות!$E$7+1),INT((H620-1)/(הגדרות!$E$7+1)),הגדרות!$E$8+INT((H620-1-הגדרות!$E$8*(הגדרות!$E$7+1))/הגדרות!$E$7)))</f>
        <v/>
      </c>
      <c r="J620" s="0" t="str">
        <f aca="false">IF(I620="","",IF(H620-1&lt;הגדרות!$E$8*(הגדרות!$E$7+1),MOD(H620-1,הגדרות!$E$7+1),MOD(H620-1-הגדרות!$E$8*(הגדרות!$E$7+1),הגדרות!$E$7)))</f>
        <v/>
      </c>
      <c r="K620" s="0" t="str">
        <f aca="false">IF(I620="","",J620*הגדרות!$E$6+I620+1)</f>
        <v/>
      </c>
      <c r="L620" s="0" t="str">
        <f aca="false">IF(K620="","",MATCH(K620,$F$2:$F$5001,0))</f>
        <v/>
      </c>
      <c r="M620" s="0" t="str">
        <f aca="false">IF(I620="","",INDEX(הגדרות!$A$2:$A$21,MOD(I620+הגדרות!$E$9,הגדרות!$E$6)+1))</f>
        <v/>
      </c>
    </row>
    <row r="621" customFormat="false" ht="15" hidden="false" customHeight="false" outlineLevel="0" collapsed="false">
      <c r="A621" s="0" t="str">
        <f aca="false">IF('הדבקת לידים'!A621="","",IF(ISNUMBER('הדבקת לידים'!A621),IF(הגדרות!$E$2&gt;0,TEXT('הדבקת לידים'!A621,REPT("0",הגדרות!$E$2)),TEXT('הדבקת לידים'!A621,"0")),TRIM('הדבקת לידים'!A621)))</f>
        <v/>
      </c>
      <c r="B621" s="0" t="str">
        <f aca="false">IF('הדבקת לידים'!B621="","",IF(ISNUMBER('הדבקת לידים'!B621),IF(הגדרות!$E$3&gt;0,TEXT('הדבקת לידים'!B621,REPT("0",הגדרות!$E$3)),TEXT('הדבקת לידים'!B621,"0")),TRIM('הדבקת לידים'!B621)))</f>
        <v/>
      </c>
      <c r="C621" s="0" t="n">
        <f aca="false">IF(OR(A621&lt;&gt;"",B621&lt;&gt;""),1,0)</f>
        <v>0</v>
      </c>
      <c r="D621" s="0" t="str">
        <f aca="false">IF(C621=1,MOD(ABS(SIN(ROW()*12.9898+'הדבקת לידים'!$F$2*78.233+IFERROR(--RIGHT(A621,6),LEN(A621))*0.0137+IFERROR(--RIGHT(B621,6),LEN(B621))*0.0071))*43758.5453,1),"")</f>
        <v/>
      </c>
      <c r="E621" s="0" t="str">
        <f aca="false">IF(C621=1,INT(MOD(ABS(SIN(D621*7919.123+ROW()*0.618+'הדבקת לידים'!$F$2*1.3))*43758.5453,1)*1000000)*10000+ROW(),"")</f>
        <v/>
      </c>
      <c r="F621" s="0" t="str">
        <f aca="false">IF(E621="","",RANK(E621,$E$2:$E$5001,1))</f>
        <v/>
      </c>
      <c r="G621" s="0" t="n">
        <f aca="false">IF(A621="",0,IF(SUMPRODUCT(--($A$2:$A$5001=A621))&gt;1,1,0))</f>
        <v>0</v>
      </c>
      <c r="H621" s="0" t="n">
        <f aca="false">ROW()-1</f>
        <v>620</v>
      </c>
      <c r="I621" s="0" t="str">
        <f aca="false">IF(OR(הגדרות!$E$6=0,H621&gt;הגדרות!$E$5),"",IF(H621-1&lt;הגדרות!$E$8*(הגדרות!$E$7+1),INT((H621-1)/(הגדרות!$E$7+1)),הגדרות!$E$8+INT((H621-1-הגדרות!$E$8*(הגדרות!$E$7+1))/הגדרות!$E$7)))</f>
        <v/>
      </c>
      <c r="J621" s="0" t="str">
        <f aca="false">IF(I621="","",IF(H621-1&lt;הגדרות!$E$8*(הגדרות!$E$7+1),MOD(H621-1,הגדרות!$E$7+1),MOD(H621-1-הגדרות!$E$8*(הגדרות!$E$7+1),הגדרות!$E$7)))</f>
        <v/>
      </c>
      <c r="K621" s="0" t="str">
        <f aca="false">IF(I621="","",J621*הגדרות!$E$6+I621+1)</f>
        <v/>
      </c>
      <c r="L621" s="0" t="str">
        <f aca="false">IF(K621="","",MATCH(K621,$F$2:$F$5001,0))</f>
        <v/>
      </c>
      <c r="M621" s="0" t="str">
        <f aca="false">IF(I621="","",INDEX(הגדרות!$A$2:$A$21,MOD(I621+הגדרות!$E$9,הגדרות!$E$6)+1))</f>
        <v/>
      </c>
    </row>
    <row r="622" customFormat="false" ht="15" hidden="false" customHeight="false" outlineLevel="0" collapsed="false">
      <c r="A622" s="0" t="str">
        <f aca="false">IF('הדבקת לידים'!A622="","",IF(ISNUMBER('הדבקת לידים'!A622),IF(הגדרות!$E$2&gt;0,TEXT('הדבקת לידים'!A622,REPT("0",הגדרות!$E$2)),TEXT('הדבקת לידים'!A622,"0")),TRIM('הדבקת לידים'!A622)))</f>
        <v/>
      </c>
      <c r="B622" s="0" t="str">
        <f aca="false">IF('הדבקת לידים'!B622="","",IF(ISNUMBER('הדבקת לידים'!B622),IF(הגדרות!$E$3&gt;0,TEXT('הדבקת לידים'!B622,REPT("0",הגדרות!$E$3)),TEXT('הדבקת לידים'!B622,"0")),TRIM('הדבקת לידים'!B622)))</f>
        <v/>
      </c>
      <c r="C622" s="0" t="n">
        <f aca="false">IF(OR(A622&lt;&gt;"",B622&lt;&gt;""),1,0)</f>
        <v>0</v>
      </c>
      <c r="D622" s="0" t="str">
        <f aca="false">IF(C622=1,MOD(ABS(SIN(ROW()*12.9898+'הדבקת לידים'!$F$2*78.233+IFERROR(--RIGHT(A622,6),LEN(A622))*0.0137+IFERROR(--RIGHT(B622,6),LEN(B622))*0.0071))*43758.5453,1),"")</f>
        <v/>
      </c>
      <c r="E622" s="0" t="str">
        <f aca="false">IF(C622=1,INT(MOD(ABS(SIN(D622*7919.123+ROW()*0.618+'הדבקת לידים'!$F$2*1.3))*43758.5453,1)*1000000)*10000+ROW(),"")</f>
        <v/>
      </c>
      <c r="F622" s="0" t="str">
        <f aca="false">IF(E622="","",RANK(E622,$E$2:$E$5001,1))</f>
        <v/>
      </c>
      <c r="G622" s="0" t="n">
        <f aca="false">IF(A622="",0,IF(SUMPRODUCT(--($A$2:$A$5001=A622))&gt;1,1,0))</f>
        <v>0</v>
      </c>
      <c r="H622" s="0" t="n">
        <f aca="false">ROW()-1</f>
        <v>621</v>
      </c>
      <c r="I622" s="0" t="str">
        <f aca="false">IF(OR(הגדרות!$E$6=0,H622&gt;הגדרות!$E$5),"",IF(H622-1&lt;הגדרות!$E$8*(הגדרות!$E$7+1),INT((H622-1)/(הגדרות!$E$7+1)),הגדרות!$E$8+INT((H622-1-הגדרות!$E$8*(הגדרות!$E$7+1))/הגדרות!$E$7)))</f>
        <v/>
      </c>
      <c r="J622" s="0" t="str">
        <f aca="false">IF(I622="","",IF(H622-1&lt;הגדרות!$E$8*(הגדרות!$E$7+1),MOD(H622-1,הגדרות!$E$7+1),MOD(H622-1-הגדרות!$E$8*(הגדרות!$E$7+1),הגדרות!$E$7)))</f>
        <v/>
      </c>
      <c r="K622" s="0" t="str">
        <f aca="false">IF(I622="","",J622*הגדרות!$E$6+I622+1)</f>
        <v/>
      </c>
      <c r="L622" s="0" t="str">
        <f aca="false">IF(K622="","",MATCH(K622,$F$2:$F$5001,0))</f>
        <v/>
      </c>
      <c r="M622" s="0" t="str">
        <f aca="false">IF(I622="","",INDEX(הגדרות!$A$2:$A$21,MOD(I622+הגדרות!$E$9,הגדרות!$E$6)+1))</f>
        <v/>
      </c>
    </row>
    <row r="623" customFormat="false" ht="15" hidden="false" customHeight="false" outlineLevel="0" collapsed="false">
      <c r="A623" s="0" t="str">
        <f aca="false">IF('הדבקת לידים'!A623="","",IF(ISNUMBER('הדבקת לידים'!A623),IF(הגדרות!$E$2&gt;0,TEXT('הדבקת לידים'!A623,REPT("0",הגדרות!$E$2)),TEXT('הדבקת לידים'!A623,"0")),TRIM('הדבקת לידים'!A623)))</f>
        <v/>
      </c>
      <c r="B623" s="0" t="str">
        <f aca="false">IF('הדבקת לידים'!B623="","",IF(ISNUMBER('הדבקת לידים'!B623),IF(הגדרות!$E$3&gt;0,TEXT('הדבקת לידים'!B623,REPT("0",הגדרות!$E$3)),TEXT('הדבקת לידים'!B623,"0")),TRIM('הדבקת לידים'!B623)))</f>
        <v/>
      </c>
      <c r="C623" s="0" t="n">
        <f aca="false">IF(OR(A623&lt;&gt;"",B623&lt;&gt;""),1,0)</f>
        <v>0</v>
      </c>
      <c r="D623" s="0" t="str">
        <f aca="false">IF(C623=1,MOD(ABS(SIN(ROW()*12.9898+'הדבקת לידים'!$F$2*78.233+IFERROR(--RIGHT(A623,6),LEN(A623))*0.0137+IFERROR(--RIGHT(B623,6),LEN(B623))*0.0071))*43758.5453,1),"")</f>
        <v/>
      </c>
      <c r="E623" s="0" t="str">
        <f aca="false">IF(C623=1,INT(MOD(ABS(SIN(D623*7919.123+ROW()*0.618+'הדבקת לידים'!$F$2*1.3))*43758.5453,1)*1000000)*10000+ROW(),"")</f>
        <v/>
      </c>
      <c r="F623" s="0" t="str">
        <f aca="false">IF(E623="","",RANK(E623,$E$2:$E$5001,1))</f>
        <v/>
      </c>
      <c r="G623" s="0" t="n">
        <f aca="false">IF(A623="",0,IF(SUMPRODUCT(--($A$2:$A$5001=A623))&gt;1,1,0))</f>
        <v>0</v>
      </c>
      <c r="H623" s="0" t="n">
        <f aca="false">ROW()-1</f>
        <v>622</v>
      </c>
      <c r="I623" s="0" t="str">
        <f aca="false">IF(OR(הגדרות!$E$6=0,H623&gt;הגדרות!$E$5),"",IF(H623-1&lt;הגדרות!$E$8*(הגדרות!$E$7+1),INT((H623-1)/(הגדרות!$E$7+1)),הגדרות!$E$8+INT((H623-1-הגדרות!$E$8*(הגדרות!$E$7+1))/הגדרות!$E$7)))</f>
        <v/>
      </c>
      <c r="J623" s="0" t="str">
        <f aca="false">IF(I623="","",IF(H623-1&lt;הגדרות!$E$8*(הגדרות!$E$7+1),MOD(H623-1,הגדרות!$E$7+1),MOD(H623-1-הגדרות!$E$8*(הגדרות!$E$7+1),הגדרות!$E$7)))</f>
        <v/>
      </c>
      <c r="K623" s="0" t="str">
        <f aca="false">IF(I623="","",J623*הגדרות!$E$6+I623+1)</f>
        <v/>
      </c>
      <c r="L623" s="0" t="str">
        <f aca="false">IF(K623="","",MATCH(K623,$F$2:$F$5001,0))</f>
        <v/>
      </c>
      <c r="M623" s="0" t="str">
        <f aca="false">IF(I623="","",INDEX(הגדרות!$A$2:$A$21,MOD(I623+הגדרות!$E$9,הגדרות!$E$6)+1))</f>
        <v/>
      </c>
    </row>
    <row r="624" customFormat="false" ht="15" hidden="false" customHeight="false" outlineLevel="0" collapsed="false">
      <c r="A624" s="0" t="str">
        <f aca="false">IF('הדבקת לידים'!A624="","",IF(ISNUMBER('הדבקת לידים'!A624),IF(הגדרות!$E$2&gt;0,TEXT('הדבקת לידים'!A624,REPT("0",הגדרות!$E$2)),TEXT('הדבקת לידים'!A624,"0")),TRIM('הדבקת לידים'!A624)))</f>
        <v/>
      </c>
      <c r="B624" s="0" t="str">
        <f aca="false">IF('הדבקת לידים'!B624="","",IF(ISNUMBER('הדבקת לידים'!B624),IF(הגדרות!$E$3&gt;0,TEXT('הדבקת לידים'!B624,REPT("0",הגדרות!$E$3)),TEXT('הדבקת לידים'!B624,"0")),TRIM('הדבקת לידים'!B624)))</f>
        <v/>
      </c>
      <c r="C624" s="0" t="n">
        <f aca="false">IF(OR(A624&lt;&gt;"",B624&lt;&gt;""),1,0)</f>
        <v>0</v>
      </c>
      <c r="D624" s="0" t="str">
        <f aca="false">IF(C624=1,MOD(ABS(SIN(ROW()*12.9898+'הדבקת לידים'!$F$2*78.233+IFERROR(--RIGHT(A624,6),LEN(A624))*0.0137+IFERROR(--RIGHT(B624,6),LEN(B624))*0.0071))*43758.5453,1),"")</f>
        <v/>
      </c>
      <c r="E624" s="0" t="str">
        <f aca="false">IF(C624=1,INT(MOD(ABS(SIN(D624*7919.123+ROW()*0.618+'הדבקת לידים'!$F$2*1.3))*43758.5453,1)*1000000)*10000+ROW(),"")</f>
        <v/>
      </c>
      <c r="F624" s="0" t="str">
        <f aca="false">IF(E624="","",RANK(E624,$E$2:$E$5001,1))</f>
        <v/>
      </c>
      <c r="G624" s="0" t="n">
        <f aca="false">IF(A624="",0,IF(SUMPRODUCT(--($A$2:$A$5001=A624))&gt;1,1,0))</f>
        <v>0</v>
      </c>
      <c r="H624" s="0" t="n">
        <f aca="false">ROW()-1</f>
        <v>623</v>
      </c>
      <c r="I624" s="0" t="str">
        <f aca="false">IF(OR(הגדרות!$E$6=0,H624&gt;הגדרות!$E$5),"",IF(H624-1&lt;הגדרות!$E$8*(הגדרות!$E$7+1),INT((H624-1)/(הגדרות!$E$7+1)),הגדרות!$E$8+INT((H624-1-הגדרות!$E$8*(הגדרות!$E$7+1))/הגדרות!$E$7)))</f>
        <v/>
      </c>
      <c r="J624" s="0" t="str">
        <f aca="false">IF(I624="","",IF(H624-1&lt;הגדרות!$E$8*(הגדרות!$E$7+1),MOD(H624-1,הגדרות!$E$7+1),MOD(H624-1-הגדרות!$E$8*(הגדרות!$E$7+1),הגדרות!$E$7)))</f>
        <v/>
      </c>
      <c r="K624" s="0" t="str">
        <f aca="false">IF(I624="","",J624*הגדרות!$E$6+I624+1)</f>
        <v/>
      </c>
      <c r="L624" s="0" t="str">
        <f aca="false">IF(K624="","",MATCH(K624,$F$2:$F$5001,0))</f>
        <v/>
      </c>
      <c r="M624" s="0" t="str">
        <f aca="false">IF(I624="","",INDEX(הגדרות!$A$2:$A$21,MOD(I624+הגדרות!$E$9,הגדרות!$E$6)+1))</f>
        <v/>
      </c>
    </row>
    <row r="625" customFormat="false" ht="15" hidden="false" customHeight="false" outlineLevel="0" collapsed="false">
      <c r="A625" s="0" t="str">
        <f aca="false">IF('הדבקת לידים'!A625="","",IF(ISNUMBER('הדבקת לידים'!A625),IF(הגדרות!$E$2&gt;0,TEXT('הדבקת לידים'!A625,REPT("0",הגדרות!$E$2)),TEXT('הדבקת לידים'!A625,"0")),TRIM('הדבקת לידים'!A625)))</f>
        <v/>
      </c>
      <c r="B625" s="0" t="str">
        <f aca="false">IF('הדבקת לידים'!B625="","",IF(ISNUMBER('הדבקת לידים'!B625),IF(הגדרות!$E$3&gt;0,TEXT('הדבקת לידים'!B625,REPT("0",הגדרות!$E$3)),TEXT('הדבקת לידים'!B625,"0")),TRIM('הדבקת לידים'!B625)))</f>
        <v/>
      </c>
      <c r="C625" s="0" t="n">
        <f aca="false">IF(OR(A625&lt;&gt;"",B625&lt;&gt;""),1,0)</f>
        <v>0</v>
      </c>
      <c r="D625" s="0" t="str">
        <f aca="false">IF(C625=1,MOD(ABS(SIN(ROW()*12.9898+'הדבקת לידים'!$F$2*78.233+IFERROR(--RIGHT(A625,6),LEN(A625))*0.0137+IFERROR(--RIGHT(B625,6),LEN(B625))*0.0071))*43758.5453,1),"")</f>
        <v/>
      </c>
      <c r="E625" s="0" t="str">
        <f aca="false">IF(C625=1,INT(MOD(ABS(SIN(D625*7919.123+ROW()*0.618+'הדבקת לידים'!$F$2*1.3))*43758.5453,1)*1000000)*10000+ROW(),"")</f>
        <v/>
      </c>
      <c r="F625" s="0" t="str">
        <f aca="false">IF(E625="","",RANK(E625,$E$2:$E$5001,1))</f>
        <v/>
      </c>
      <c r="G625" s="0" t="n">
        <f aca="false">IF(A625="",0,IF(SUMPRODUCT(--($A$2:$A$5001=A625))&gt;1,1,0))</f>
        <v>0</v>
      </c>
      <c r="H625" s="0" t="n">
        <f aca="false">ROW()-1</f>
        <v>624</v>
      </c>
      <c r="I625" s="0" t="str">
        <f aca="false">IF(OR(הגדרות!$E$6=0,H625&gt;הגדרות!$E$5),"",IF(H625-1&lt;הגדרות!$E$8*(הגדרות!$E$7+1),INT((H625-1)/(הגדרות!$E$7+1)),הגדרות!$E$8+INT((H625-1-הגדרות!$E$8*(הגדרות!$E$7+1))/הגדרות!$E$7)))</f>
        <v/>
      </c>
      <c r="J625" s="0" t="str">
        <f aca="false">IF(I625="","",IF(H625-1&lt;הגדרות!$E$8*(הגדרות!$E$7+1),MOD(H625-1,הגדרות!$E$7+1),MOD(H625-1-הגדרות!$E$8*(הגדרות!$E$7+1),הגדרות!$E$7)))</f>
        <v/>
      </c>
      <c r="K625" s="0" t="str">
        <f aca="false">IF(I625="","",J625*הגדרות!$E$6+I625+1)</f>
        <v/>
      </c>
      <c r="L625" s="0" t="str">
        <f aca="false">IF(K625="","",MATCH(K625,$F$2:$F$5001,0))</f>
        <v/>
      </c>
      <c r="M625" s="0" t="str">
        <f aca="false">IF(I625="","",INDEX(הגדרות!$A$2:$A$21,MOD(I625+הגדרות!$E$9,הגדרות!$E$6)+1))</f>
        <v/>
      </c>
    </row>
    <row r="626" customFormat="false" ht="15" hidden="false" customHeight="false" outlineLevel="0" collapsed="false">
      <c r="A626" s="0" t="str">
        <f aca="false">IF('הדבקת לידים'!A626="","",IF(ISNUMBER('הדבקת לידים'!A626),IF(הגדרות!$E$2&gt;0,TEXT('הדבקת לידים'!A626,REPT("0",הגדרות!$E$2)),TEXT('הדבקת לידים'!A626,"0")),TRIM('הדבקת לידים'!A626)))</f>
        <v/>
      </c>
      <c r="B626" s="0" t="str">
        <f aca="false">IF('הדבקת לידים'!B626="","",IF(ISNUMBER('הדבקת לידים'!B626),IF(הגדרות!$E$3&gt;0,TEXT('הדבקת לידים'!B626,REPT("0",הגדרות!$E$3)),TEXT('הדבקת לידים'!B626,"0")),TRIM('הדבקת לידים'!B626)))</f>
        <v/>
      </c>
      <c r="C626" s="0" t="n">
        <f aca="false">IF(OR(A626&lt;&gt;"",B626&lt;&gt;""),1,0)</f>
        <v>0</v>
      </c>
      <c r="D626" s="0" t="str">
        <f aca="false">IF(C626=1,MOD(ABS(SIN(ROW()*12.9898+'הדבקת לידים'!$F$2*78.233+IFERROR(--RIGHT(A626,6),LEN(A626))*0.0137+IFERROR(--RIGHT(B626,6),LEN(B626))*0.0071))*43758.5453,1),"")</f>
        <v/>
      </c>
      <c r="E626" s="0" t="str">
        <f aca="false">IF(C626=1,INT(MOD(ABS(SIN(D626*7919.123+ROW()*0.618+'הדבקת לידים'!$F$2*1.3))*43758.5453,1)*1000000)*10000+ROW(),"")</f>
        <v/>
      </c>
      <c r="F626" s="0" t="str">
        <f aca="false">IF(E626="","",RANK(E626,$E$2:$E$5001,1))</f>
        <v/>
      </c>
      <c r="G626" s="0" t="n">
        <f aca="false">IF(A626="",0,IF(SUMPRODUCT(--($A$2:$A$5001=A626))&gt;1,1,0))</f>
        <v>0</v>
      </c>
      <c r="H626" s="0" t="n">
        <f aca="false">ROW()-1</f>
        <v>625</v>
      </c>
      <c r="I626" s="0" t="str">
        <f aca="false">IF(OR(הגדרות!$E$6=0,H626&gt;הגדרות!$E$5),"",IF(H626-1&lt;הגדרות!$E$8*(הגדרות!$E$7+1),INT((H626-1)/(הגדרות!$E$7+1)),הגדרות!$E$8+INT((H626-1-הגדרות!$E$8*(הגדרות!$E$7+1))/הגדרות!$E$7)))</f>
        <v/>
      </c>
      <c r="J626" s="0" t="str">
        <f aca="false">IF(I626="","",IF(H626-1&lt;הגדרות!$E$8*(הגדרות!$E$7+1),MOD(H626-1,הגדרות!$E$7+1),MOD(H626-1-הגדרות!$E$8*(הגדרות!$E$7+1),הגדרות!$E$7)))</f>
        <v/>
      </c>
      <c r="K626" s="0" t="str">
        <f aca="false">IF(I626="","",J626*הגדרות!$E$6+I626+1)</f>
        <v/>
      </c>
      <c r="L626" s="0" t="str">
        <f aca="false">IF(K626="","",MATCH(K626,$F$2:$F$5001,0))</f>
        <v/>
      </c>
      <c r="M626" s="0" t="str">
        <f aca="false">IF(I626="","",INDEX(הגדרות!$A$2:$A$21,MOD(I626+הגדרות!$E$9,הגדרות!$E$6)+1))</f>
        <v/>
      </c>
    </row>
    <row r="627" customFormat="false" ht="15" hidden="false" customHeight="false" outlineLevel="0" collapsed="false">
      <c r="A627" s="0" t="str">
        <f aca="false">IF('הדבקת לידים'!A627="","",IF(ISNUMBER('הדבקת לידים'!A627),IF(הגדרות!$E$2&gt;0,TEXT('הדבקת לידים'!A627,REPT("0",הגדרות!$E$2)),TEXT('הדבקת לידים'!A627,"0")),TRIM('הדבקת לידים'!A627)))</f>
        <v/>
      </c>
      <c r="B627" s="0" t="str">
        <f aca="false">IF('הדבקת לידים'!B627="","",IF(ISNUMBER('הדבקת לידים'!B627),IF(הגדרות!$E$3&gt;0,TEXT('הדבקת לידים'!B627,REPT("0",הגדרות!$E$3)),TEXT('הדבקת לידים'!B627,"0")),TRIM('הדבקת לידים'!B627)))</f>
        <v/>
      </c>
      <c r="C627" s="0" t="n">
        <f aca="false">IF(OR(A627&lt;&gt;"",B627&lt;&gt;""),1,0)</f>
        <v>0</v>
      </c>
      <c r="D627" s="0" t="str">
        <f aca="false">IF(C627=1,MOD(ABS(SIN(ROW()*12.9898+'הדבקת לידים'!$F$2*78.233+IFERROR(--RIGHT(A627,6),LEN(A627))*0.0137+IFERROR(--RIGHT(B627,6),LEN(B627))*0.0071))*43758.5453,1),"")</f>
        <v/>
      </c>
      <c r="E627" s="0" t="str">
        <f aca="false">IF(C627=1,INT(MOD(ABS(SIN(D627*7919.123+ROW()*0.618+'הדבקת לידים'!$F$2*1.3))*43758.5453,1)*1000000)*10000+ROW(),"")</f>
        <v/>
      </c>
      <c r="F627" s="0" t="str">
        <f aca="false">IF(E627="","",RANK(E627,$E$2:$E$5001,1))</f>
        <v/>
      </c>
      <c r="G627" s="0" t="n">
        <f aca="false">IF(A627="",0,IF(SUMPRODUCT(--($A$2:$A$5001=A627))&gt;1,1,0))</f>
        <v>0</v>
      </c>
      <c r="H627" s="0" t="n">
        <f aca="false">ROW()-1</f>
        <v>626</v>
      </c>
      <c r="I627" s="0" t="str">
        <f aca="false">IF(OR(הגדרות!$E$6=0,H627&gt;הגדרות!$E$5),"",IF(H627-1&lt;הגדרות!$E$8*(הגדרות!$E$7+1),INT((H627-1)/(הגדרות!$E$7+1)),הגדרות!$E$8+INT((H627-1-הגדרות!$E$8*(הגדרות!$E$7+1))/הגדרות!$E$7)))</f>
        <v/>
      </c>
      <c r="J627" s="0" t="str">
        <f aca="false">IF(I627="","",IF(H627-1&lt;הגדרות!$E$8*(הגדרות!$E$7+1),MOD(H627-1,הגדרות!$E$7+1),MOD(H627-1-הגדרות!$E$8*(הגדרות!$E$7+1),הגדרות!$E$7)))</f>
        <v/>
      </c>
      <c r="K627" s="0" t="str">
        <f aca="false">IF(I627="","",J627*הגדרות!$E$6+I627+1)</f>
        <v/>
      </c>
      <c r="L627" s="0" t="str">
        <f aca="false">IF(K627="","",MATCH(K627,$F$2:$F$5001,0))</f>
        <v/>
      </c>
      <c r="M627" s="0" t="str">
        <f aca="false">IF(I627="","",INDEX(הגדרות!$A$2:$A$21,MOD(I627+הגדרות!$E$9,הגדרות!$E$6)+1))</f>
        <v/>
      </c>
    </row>
    <row r="628" customFormat="false" ht="15" hidden="false" customHeight="false" outlineLevel="0" collapsed="false">
      <c r="A628" s="0" t="str">
        <f aca="false">IF('הדבקת לידים'!A628="","",IF(ISNUMBER('הדבקת לידים'!A628),IF(הגדרות!$E$2&gt;0,TEXT('הדבקת לידים'!A628,REPT("0",הגדרות!$E$2)),TEXT('הדבקת לידים'!A628,"0")),TRIM('הדבקת לידים'!A628)))</f>
        <v/>
      </c>
      <c r="B628" s="0" t="str">
        <f aca="false">IF('הדבקת לידים'!B628="","",IF(ISNUMBER('הדבקת לידים'!B628),IF(הגדרות!$E$3&gt;0,TEXT('הדבקת לידים'!B628,REPT("0",הגדרות!$E$3)),TEXT('הדבקת לידים'!B628,"0")),TRIM('הדבקת לידים'!B628)))</f>
        <v/>
      </c>
      <c r="C628" s="0" t="n">
        <f aca="false">IF(OR(A628&lt;&gt;"",B628&lt;&gt;""),1,0)</f>
        <v>0</v>
      </c>
      <c r="D628" s="0" t="str">
        <f aca="false">IF(C628=1,MOD(ABS(SIN(ROW()*12.9898+'הדבקת לידים'!$F$2*78.233+IFERROR(--RIGHT(A628,6),LEN(A628))*0.0137+IFERROR(--RIGHT(B628,6),LEN(B628))*0.0071))*43758.5453,1),"")</f>
        <v/>
      </c>
      <c r="E628" s="0" t="str">
        <f aca="false">IF(C628=1,INT(MOD(ABS(SIN(D628*7919.123+ROW()*0.618+'הדבקת לידים'!$F$2*1.3))*43758.5453,1)*1000000)*10000+ROW(),"")</f>
        <v/>
      </c>
      <c r="F628" s="0" t="str">
        <f aca="false">IF(E628="","",RANK(E628,$E$2:$E$5001,1))</f>
        <v/>
      </c>
      <c r="G628" s="0" t="n">
        <f aca="false">IF(A628="",0,IF(SUMPRODUCT(--($A$2:$A$5001=A628))&gt;1,1,0))</f>
        <v>0</v>
      </c>
      <c r="H628" s="0" t="n">
        <f aca="false">ROW()-1</f>
        <v>627</v>
      </c>
      <c r="I628" s="0" t="str">
        <f aca="false">IF(OR(הגדרות!$E$6=0,H628&gt;הגדרות!$E$5),"",IF(H628-1&lt;הגדרות!$E$8*(הגדרות!$E$7+1),INT((H628-1)/(הגדרות!$E$7+1)),הגדרות!$E$8+INT((H628-1-הגדרות!$E$8*(הגדרות!$E$7+1))/הגדרות!$E$7)))</f>
        <v/>
      </c>
      <c r="J628" s="0" t="str">
        <f aca="false">IF(I628="","",IF(H628-1&lt;הגדרות!$E$8*(הגדרות!$E$7+1),MOD(H628-1,הגדרות!$E$7+1),MOD(H628-1-הגדרות!$E$8*(הגדרות!$E$7+1),הגדרות!$E$7)))</f>
        <v/>
      </c>
      <c r="K628" s="0" t="str">
        <f aca="false">IF(I628="","",J628*הגדרות!$E$6+I628+1)</f>
        <v/>
      </c>
      <c r="L628" s="0" t="str">
        <f aca="false">IF(K628="","",MATCH(K628,$F$2:$F$5001,0))</f>
        <v/>
      </c>
      <c r="M628" s="0" t="str">
        <f aca="false">IF(I628="","",INDEX(הגדרות!$A$2:$A$21,MOD(I628+הגדרות!$E$9,הגדרות!$E$6)+1))</f>
        <v/>
      </c>
    </row>
    <row r="629" customFormat="false" ht="15" hidden="false" customHeight="false" outlineLevel="0" collapsed="false">
      <c r="A629" s="0" t="str">
        <f aca="false">IF('הדבקת לידים'!A629="","",IF(ISNUMBER('הדבקת לידים'!A629),IF(הגדרות!$E$2&gt;0,TEXT('הדבקת לידים'!A629,REPT("0",הגדרות!$E$2)),TEXT('הדבקת לידים'!A629,"0")),TRIM('הדבקת לידים'!A629)))</f>
        <v/>
      </c>
      <c r="B629" s="0" t="str">
        <f aca="false">IF('הדבקת לידים'!B629="","",IF(ISNUMBER('הדבקת לידים'!B629),IF(הגדרות!$E$3&gt;0,TEXT('הדבקת לידים'!B629,REPT("0",הגדרות!$E$3)),TEXT('הדבקת לידים'!B629,"0")),TRIM('הדבקת לידים'!B629)))</f>
        <v/>
      </c>
      <c r="C629" s="0" t="n">
        <f aca="false">IF(OR(A629&lt;&gt;"",B629&lt;&gt;""),1,0)</f>
        <v>0</v>
      </c>
      <c r="D629" s="0" t="str">
        <f aca="false">IF(C629=1,MOD(ABS(SIN(ROW()*12.9898+'הדבקת לידים'!$F$2*78.233+IFERROR(--RIGHT(A629,6),LEN(A629))*0.0137+IFERROR(--RIGHT(B629,6),LEN(B629))*0.0071))*43758.5453,1),"")</f>
        <v/>
      </c>
      <c r="E629" s="0" t="str">
        <f aca="false">IF(C629=1,INT(MOD(ABS(SIN(D629*7919.123+ROW()*0.618+'הדבקת לידים'!$F$2*1.3))*43758.5453,1)*1000000)*10000+ROW(),"")</f>
        <v/>
      </c>
      <c r="F629" s="0" t="str">
        <f aca="false">IF(E629="","",RANK(E629,$E$2:$E$5001,1))</f>
        <v/>
      </c>
      <c r="G629" s="0" t="n">
        <f aca="false">IF(A629="",0,IF(SUMPRODUCT(--($A$2:$A$5001=A629))&gt;1,1,0))</f>
        <v>0</v>
      </c>
      <c r="H629" s="0" t="n">
        <f aca="false">ROW()-1</f>
        <v>628</v>
      </c>
      <c r="I629" s="0" t="str">
        <f aca="false">IF(OR(הגדרות!$E$6=0,H629&gt;הגדרות!$E$5),"",IF(H629-1&lt;הגדרות!$E$8*(הגדרות!$E$7+1),INT((H629-1)/(הגדרות!$E$7+1)),הגדרות!$E$8+INT((H629-1-הגדרות!$E$8*(הגדרות!$E$7+1))/הגדרות!$E$7)))</f>
        <v/>
      </c>
      <c r="J629" s="0" t="str">
        <f aca="false">IF(I629="","",IF(H629-1&lt;הגדרות!$E$8*(הגדרות!$E$7+1),MOD(H629-1,הגדרות!$E$7+1),MOD(H629-1-הגדרות!$E$8*(הגדרות!$E$7+1),הגדרות!$E$7)))</f>
        <v/>
      </c>
      <c r="K629" s="0" t="str">
        <f aca="false">IF(I629="","",J629*הגדרות!$E$6+I629+1)</f>
        <v/>
      </c>
      <c r="L629" s="0" t="str">
        <f aca="false">IF(K629="","",MATCH(K629,$F$2:$F$5001,0))</f>
        <v/>
      </c>
      <c r="M629" s="0" t="str">
        <f aca="false">IF(I629="","",INDEX(הגדרות!$A$2:$A$21,MOD(I629+הגדרות!$E$9,הגדרות!$E$6)+1))</f>
        <v/>
      </c>
    </row>
    <row r="630" customFormat="false" ht="15" hidden="false" customHeight="false" outlineLevel="0" collapsed="false">
      <c r="A630" s="0" t="str">
        <f aca="false">IF('הדבקת לידים'!A630="","",IF(ISNUMBER('הדבקת לידים'!A630),IF(הגדרות!$E$2&gt;0,TEXT('הדבקת לידים'!A630,REPT("0",הגדרות!$E$2)),TEXT('הדבקת לידים'!A630,"0")),TRIM('הדבקת לידים'!A630)))</f>
        <v/>
      </c>
      <c r="B630" s="0" t="str">
        <f aca="false">IF('הדבקת לידים'!B630="","",IF(ISNUMBER('הדבקת לידים'!B630),IF(הגדרות!$E$3&gt;0,TEXT('הדבקת לידים'!B630,REPT("0",הגדרות!$E$3)),TEXT('הדבקת לידים'!B630,"0")),TRIM('הדבקת לידים'!B630)))</f>
        <v/>
      </c>
      <c r="C630" s="0" t="n">
        <f aca="false">IF(OR(A630&lt;&gt;"",B630&lt;&gt;""),1,0)</f>
        <v>0</v>
      </c>
      <c r="D630" s="0" t="str">
        <f aca="false">IF(C630=1,MOD(ABS(SIN(ROW()*12.9898+'הדבקת לידים'!$F$2*78.233+IFERROR(--RIGHT(A630,6),LEN(A630))*0.0137+IFERROR(--RIGHT(B630,6),LEN(B630))*0.0071))*43758.5453,1),"")</f>
        <v/>
      </c>
      <c r="E630" s="0" t="str">
        <f aca="false">IF(C630=1,INT(MOD(ABS(SIN(D630*7919.123+ROW()*0.618+'הדבקת לידים'!$F$2*1.3))*43758.5453,1)*1000000)*10000+ROW(),"")</f>
        <v/>
      </c>
      <c r="F630" s="0" t="str">
        <f aca="false">IF(E630="","",RANK(E630,$E$2:$E$5001,1))</f>
        <v/>
      </c>
      <c r="G630" s="0" t="n">
        <f aca="false">IF(A630="",0,IF(SUMPRODUCT(--($A$2:$A$5001=A630))&gt;1,1,0))</f>
        <v>0</v>
      </c>
      <c r="H630" s="0" t="n">
        <f aca="false">ROW()-1</f>
        <v>629</v>
      </c>
      <c r="I630" s="0" t="str">
        <f aca="false">IF(OR(הגדרות!$E$6=0,H630&gt;הגדרות!$E$5),"",IF(H630-1&lt;הגדרות!$E$8*(הגדרות!$E$7+1),INT((H630-1)/(הגדרות!$E$7+1)),הגדרות!$E$8+INT((H630-1-הגדרות!$E$8*(הגדרות!$E$7+1))/הגדרות!$E$7)))</f>
        <v/>
      </c>
      <c r="J630" s="0" t="str">
        <f aca="false">IF(I630="","",IF(H630-1&lt;הגדרות!$E$8*(הגדרות!$E$7+1),MOD(H630-1,הגדרות!$E$7+1),MOD(H630-1-הגדרות!$E$8*(הגדרות!$E$7+1),הגדרות!$E$7)))</f>
        <v/>
      </c>
      <c r="K630" s="0" t="str">
        <f aca="false">IF(I630="","",J630*הגדרות!$E$6+I630+1)</f>
        <v/>
      </c>
      <c r="L630" s="0" t="str">
        <f aca="false">IF(K630="","",MATCH(K630,$F$2:$F$5001,0))</f>
        <v/>
      </c>
      <c r="M630" s="0" t="str">
        <f aca="false">IF(I630="","",INDEX(הגדרות!$A$2:$A$21,MOD(I630+הגדרות!$E$9,הגדרות!$E$6)+1))</f>
        <v/>
      </c>
    </row>
    <row r="631" customFormat="false" ht="15" hidden="false" customHeight="false" outlineLevel="0" collapsed="false">
      <c r="A631" s="0" t="str">
        <f aca="false">IF('הדבקת לידים'!A631="","",IF(ISNUMBER('הדבקת לידים'!A631),IF(הגדרות!$E$2&gt;0,TEXT('הדבקת לידים'!A631,REPT("0",הגדרות!$E$2)),TEXT('הדבקת לידים'!A631,"0")),TRIM('הדבקת לידים'!A631)))</f>
        <v/>
      </c>
      <c r="B631" s="0" t="str">
        <f aca="false">IF('הדבקת לידים'!B631="","",IF(ISNUMBER('הדבקת לידים'!B631),IF(הגדרות!$E$3&gt;0,TEXT('הדבקת לידים'!B631,REPT("0",הגדרות!$E$3)),TEXT('הדבקת לידים'!B631,"0")),TRIM('הדבקת לידים'!B631)))</f>
        <v/>
      </c>
      <c r="C631" s="0" t="n">
        <f aca="false">IF(OR(A631&lt;&gt;"",B631&lt;&gt;""),1,0)</f>
        <v>0</v>
      </c>
      <c r="D631" s="0" t="str">
        <f aca="false">IF(C631=1,MOD(ABS(SIN(ROW()*12.9898+'הדבקת לידים'!$F$2*78.233+IFERROR(--RIGHT(A631,6),LEN(A631))*0.0137+IFERROR(--RIGHT(B631,6),LEN(B631))*0.0071))*43758.5453,1),"")</f>
        <v/>
      </c>
      <c r="E631" s="0" t="str">
        <f aca="false">IF(C631=1,INT(MOD(ABS(SIN(D631*7919.123+ROW()*0.618+'הדבקת לידים'!$F$2*1.3))*43758.5453,1)*1000000)*10000+ROW(),"")</f>
        <v/>
      </c>
      <c r="F631" s="0" t="str">
        <f aca="false">IF(E631="","",RANK(E631,$E$2:$E$5001,1))</f>
        <v/>
      </c>
      <c r="G631" s="0" t="n">
        <f aca="false">IF(A631="",0,IF(SUMPRODUCT(--($A$2:$A$5001=A631))&gt;1,1,0))</f>
        <v>0</v>
      </c>
      <c r="H631" s="0" t="n">
        <f aca="false">ROW()-1</f>
        <v>630</v>
      </c>
      <c r="I631" s="0" t="str">
        <f aca="false">IF(OR(הגדרות!$E$6=0,H631&gt;הגדרות!$E$5),"",IF(H631-1&lt;הגדרות!$E$8*(הגדרות!$E$7+1),INT((H631-1)/(הגדרות!$E$7+1)),הגדרות!$E$8+INT((H631-1-הגדרות!$E$8*(הגדרות!$E$7+1))/הגדרות!$E$7)))</f>
        <v/>
      </c>
      <c r="J631" s="0" t="str">
        <f aca="false">IF(I631="","",IF(H631-1&lt;הגדרות!$E$8*(הגדרות!$E$7+1),MOD(H631-1,הגדרות!$E$7+1),MOD(H631-1-הגדרות!$E$8*(הגדרות!$E$7+1),הגדרות!$E$7)))</f>
        <v/>
      </c>
      <c r="K631" s="0" t="str">
        <f aca="false">IF(I631="","",J631*הגדרות!$E$6+I631+1)</f>
        <v/>
      </c>
      <c r="L631" s="0" t="str">
        <f aca="false">IF(K631="","",MATCH(K631,$F$2:$F$5001,0))</f>
        <v/>
      </c>
      <c r="M631" s="0" t="str">
        <f aca="false">IF(I631="","",INDEX(הגדרות!$A$2:$A$21,MOD(I631+הגדרות!$E$9,הגדרות!$E$6)+1))</f>
        <v/>
      </c>
    </row>
    <row r="632" customFormat="false" ht="15" hidden="false" customHeight="false" outlineLevel="0" collapsed="false">
      <c r="A632" s="0" t="str">
        <f aca="false">IF('הדבקת לידים'!A632="","",IF(ISNUMBER('הדבקת לידים'!A632),IF(הגדרות!$E$2&gt;0,TEXT('הדבקת לידים'!A632,REPT("0",הגדרות!$E$2)),TEXT('הדבקת לידים'!A632,"0")),TRIM('הדבקת לידים'!A632)))</f>
        <v/>
      </c>
      <c r="B632" s="0" t="str">
        <f aca="false">IF('הדבקת לידים'!B632="","",IF(ISNUMBER('הדבקת לידים'!B632),IF(הגדרות!$E$3&gt;0,TEXT('הדבקת לידים'!B632,REPT("0",הגדרות!$E$3)),TEXT('הדבקת לידים'!B632,"0")),TRIM('הדבקת לידים'!B632)))</f>
        <v/>
      </c>
      <c r="C632" s="0" t="n">
        <f aca="false">IF(OR(A632&lt;&gt;"",B632&lt;&gt;""),1,0)</f>
        <v>0</v>
      </c>
      <c r="D632" s="0" t="str">
        <f aca="false">IF(C632=1,MOD(ABS(SIN(ROW()*12.9898+'הדבקת לידים'!$F$2*78.233+IFERROR(--RIGHT(A632,6),LEN(A632))*0.0137+IFERROR(--RIGHT(B632,6),LEN(B632))*0.0071))*43758.5453,1),"")</f>
        <v/>
      </c>
      <c r="E632" s="0" t="str">
        <f aca="false">IF(C632=1,INT(MOD(ABS(SIN(D632*7919.123+ROW()*0.618+'הדבקת לידים'!$F$2*1.3))*43758.5453,1)*1000000)*10000+ROW(),"")</f>
        <v/>
      </c>
      <c r="F632" s="0" t="str">
        <f aca="false">IF(E632="","",RANK(E632,$E$2:$E$5001,1))</f>
        <v/>
      </c>
      <c r="G632" s="0" t="n">
        <f aca="false">IF(A632="",0,IF(SUMPRODUCT(--($A$2:$A$5001=A632))&gt;1,1,0))</f>
        <v>0</v>
      </c>
      <c r="H632" s="0" t="n">
        <f aca="false">ROW()-1</f>
        <v>631</v>
      </c>
      <c r="I632" s="0" t="str">
        <f aca="false">IF(OR(הגדרות!$E$6=0,H632&gt;הגדרות!$E$5),"",IF(H632-1&lt;הגדרות!$E$8*(הגדרות!$E$7+1),INT((H632-1)/(הגדרות!$E$7+1)),הגדרות!$E$8+INT((H632-1-הגדרות!$E$8*(הגדרות!$E$7+1))/הגדרות!$E$7)))</f>
        <v/>
      </c>
      <c r="J632" s="0" t="str">
        <f aca="false">IF(I632="","",IF(H632-1&lt;הגדרות!$E$8*(הגדרות!$E$7+1),MOD(H632-1,הגדרות!$E$7+1),MOD(H632-1-הגדרות!$E$8*(הגדרות!$E$7+1),הגדרות!$E$7)))</f>
        <v/>
      </c>
      <c r="K632" s="0" t="str">
        <f aca="false">IF(I632="","",J632*הגדרות!$E$6+I632+1)</f>
        <v/>
      </c>
      <c r="L632" s="0" t="str">
        <f aca="false">IF(K632="","",MATCH(K632,$F$2:$F$5001,0))</f>
        <v/>
      </c>
      <c r="M632" s="0" t="str">
        <f aca="false">IF(I632="","",INDEX(הגדרות!$A$2:$A$21,MOD(I632+הגדרות!$E$9,הגדרות!$E$6)+1))</f>
        <v/>
      </c>
    </row>
    <row r="633" customFormat="false" ht="15" hidden="false" customHeight="false" outlineLevel="0" collapsed="false">
      <c r="A633" s="0" t="str">
        <f aca="false">IF('הדבקת לידים'!A633="","",IF(ISNUMBER('הדבקת לידים'!A633),IF(הגדרות!$E$2&gt;0,TEXT('הדבקת לידים'!A633,REPT("0",הגדרות!$E$2)),TEXT('הדבקת לידים'!A633,"0")),TRIM('הדבקת לידים'!A633)))</f>
        <v/>
      </c>
      <c r="B633" s="0" t="str">
        <f aca="false">IF('הדבקת לידים'!B633="","",IF(ISNUMBER('הדבקת לידים'!B633),IF(הגדרות!$E$3&gt;0,TEXT('הדבקת לידים'!B633,REPT("0",הגדרות!$E$3)),TEXT('הדבקת לידים'!B633,"0")),TRIM('הדבקת לידים'!B633)))</f>
        <v/>
      </c>
      <c r="C633" s="0" t="n">
        <f aca="false">IF(OR(A633&lt;&gt;"",B633&lt;&gt;""),1,0)</f>
        <v>0</v>
      </c>
      <c r="D633" s="0" t="str">
        <f aca="false">IF(C633=1,MOD(ABS(SIN(ROW()*12.9898+'הדבקת לידים'!$F$2*78.233+IFERROR(--RIGHT(A633,6),LEN(A633))*0.0137+IFERROR(--RIGHT(B633,6),LEN(B633))*0.0071))*43758.5453,1),"")</f>
        <v/>
      </c>
      <c r="E633" s="0" t="str">
        <f aca="false">IF(C633=1,INT(MOD(ABS(SIN(D633*7919.123+ROW()*0.618+'הדבקת לידים'!$F$2*1.3))*43758.5453,1)*1000000)*10000+ROW(),"")</f>
        <v/>
      </c>
      <c r="F633" s="0" t="str">
        <f aca="false">IF(E633="","",RANK(E633,$E$2:$E$5001,1))</f>
        <v/>
      </c>
      <c r="G633" s="0" t="n">
        <f aca="false">IF(A633="",0,IF(SUMPRODUCT(--($A$2:$A$5001=A633))&gt;1,1,0))</f>
        <v>0</v>
      </c>
      <c r="H633" s="0" t="n">
        <f aca="false">ROW()-1</f>
        <v>632</v>
      </c>
      <c r="I633" s="0" t="str">
        <f aca="false">IF(OR(הגדרות!$E$6=0,H633&gt;הגדרות!$E$5),"",IF(H633-1&lt;הגדרות!$E$8*(הגדרות!$E$7+1),INT((H633-1)/(הגדרות!$E$7+1)),הגדרות!$E$8+INT((H633-1-הגדרות!$E$8*(הגדרות!$E$7+1))/הגדרות!$E$7)))</f>
        <v/>
      </c>
      <c r="J633" s="0" t="str">
        <f aca="false">IF(I633="","",IF(H633-1&lt;הגדרות!$E$8*(הגדרות!$E$7+1),MOD(H633-1,הגדרות!$E$7+1),MOD(H633-1-הגדרות!$E$8*(הגדרות!$E$7+1),הגדרות!$E$7)))</f>
        <v/>
      </c>
      <c r="K633" s="0" t="str">
        <f aca="false">IF(I633="","",J633*הגדרות!$E$6+I633+1)</f>
        <v/>
      </c>
      <c r="L633" s="0" t="str">
        <f aca="false">IF(K633="","",MATCH(K633,$F$2:$F$5001,0))</f>
        <v/>
      </c>
      <c r="M633" s="0" t="str">
        <f aca="false">IF(I633="","",INDEX(הגדרות!$A$2:$A$21,MOD(I633+הגדרות!$E$9,הגדרות!$E$6)+1))</f>
        <v/>
      </c>
    </row>
    <row r="634" customFormat="false" ht="15" hidden="false" customHeight="false" outlineLevel="0" collapsed="false">
      <c r="A634" s="0" t="str">
        <f aca="false">IF('הדבקת לידים'!A634="","",IF(ISNUMBER('הדבקת לידים'!A634),IF(הגדרות!$E$2&gt;0,TEXT('הדבקת לידים'!A634,REPT("0",הגדרות!$E$2)),TEXT('הדבקת לידים'!A634,"0")),TRIM('הדבקת לידים'!A634)))</f>
        <v/>
      </c>
      <c r="B634" s="0" t="str">
        <f aca="false">IF('הדבקת לידים'!B634="","",IF(ISNUMBER('הדבקת לידים'!B634),IF(הגדרות!$E$3&gt;0,TEXT('הדבקת לידים'!B634,REPT("0",הגדרות!$E$3)),TEXT('הדבקת לידים'!B634,"0")),TRIM('הדבקת לידים'!B634)))</f>
        <v/>
      </c>
      <c r="C634" s="0" t="n">
        <f aca="false">IF(OR(A634&lt;&gt;"",B634&lt;&gt;""),1,0)</f>
        <v>0</v>
      </c>
      <c r="D634" s="0" t="str">
        <f aca="false">IF(C634=1,MOD(ABS(SIN(ROW()*12.9898+'הדבקת לידים'!$F$2*78.233+IFERROR(--RIGHT(A634,6),LEN(A634))*0.0137+IFERROR(--RIGHT(B634,6),LEN(B634))*0.0071))*43758.5453,1),"")</f>
        <v/>
      </c>
      <c r="E634" s="0" t="str">
        <f aca="false">IF(C634=1,INT(MOD(ABS(SIN(D634*7919.123+ROW()*0.618+'הדבקת לידים'!$F$2*1.3))*43758.5453,1)*1000000)*10000+ROW(),"")</f>
        <v/>
      </c>
      <c r="F634" s="0" t="str">
        <f aca="false">IF(E634="","",RANK(E634,$E$2:$E$5001,1))</f>
        <v/>
      </c>
      <c r="G634" s="0" t="n">
        <f aca="false">IF(A634="",0,IF(SUMPRODUCT(--($A$2:$A$5001=A634))&gt;1,1,0))</f>
        <v>0</v>
      </c>
      <c r="H634" s="0" t="n">
        <f aca="false">ROW()-1</f>
        <v>633</v>
      </c>
      <c r="I634" s="0" t="str">
        <f aca="false">IF(OR(הגדרות!$E$6=0,H634&gt;הגדרות!$E$5),"",IF(H634-1&lt;הגדרות!$E$8*(הגדרות!$E$7+1),INT((H634-1)/(הגדרות!$E$7+1)),הגדרות!$E$8+INT((H634-1-הגדרות!$E$8*(הגדרות!$E$7+1))/הגדרות!$E$7)))</f>
        <v/>
      </c>
      <c r="J634" s="0" t="str">
        <f aca="false">IF(I634="","",IF(H634-1&lt;הגדרות!$E$8*(הגדרות!$E$7+1),MOD(H634-1,הגדרות!$E$7+1),MOD(H634-1-הגדרות!$E$8*(הגדרות!$E$7+1),הגדרות!$E$7)))</f>
        <v/>
      </c>
      <c r="K634" s="0" t="str">
        <f aca="false">IF(I634="","",J634*הגדרות!$E$6+I634+1)</f>
        <v/>
      </c>
      <c r="L634" s="0" t="str">
        <f aca="false">IF(K634="","",MATCH(K634,$F$2:$F$5001,0))</f>
        <v/>
      </c>
      <c r="M634" s="0" t="str">
        <f aca="false">IF(I634="","",INDEX(הגדרות!$A$2:$A$21,MOD(I634+הגדרות!$E$9,הגדרות!$E$6)+1))</f>
        <v/>
      </c>
    </row>
    <row r="635" customFormat="false" ht="15" hidden="false" customHeight="false" outlineLevel="0" collapsed="false">
      <c r="A635" s="0" t="str">
        <f aca="false">IF('הדבקת לידים'!A635="","",IF(ISNUMBER('הדבקת לידים'!A635),IF(הגדרות!$E$2&gt;0,TEXT('הדבקת לידים'!A635,REPT("0",הגדרות!$E$2)),TEXT('הדבקת לידים'!A635,"0")),TRIM('הדבקת לידים'!A635)))</f>
        <v/>
      </c>
      <c r="B635" s="0" t="str">
        <f aca="false">IF('הדבקת לידים'!B635="","",IF(ISNUMBER('הדבקת לידים'!B635),IF(הגדרות!$E$3&gt;0,TEXT('הדבקת לידים'!B635,REPT("0",הגדרות!$E$3)),TEXT('הדבקת לידים'!B635,"0")),TRIM('הדבקת לידים'!B635)))</f>
        <v/>
      </c>
      <c r="C635" s="0" t="n">
        <f aca="false">IF(OR(A635&lt;&gt;"",B635&lt;&gt;""),1,0)</f>
        <v>0</v>
      </c>
      <c r="D635" s="0" t="str">
        <f aca="false">IF(C635=1,MOD(ABS(SIN(ROW()*12.9898+'הדבקת לידים'!$F$2*78.233+IFERROR(--RIGHT(A635,6),LEN(A635))*0.0137+IFERROR(--RIGHT(B635,6),LEN(B635))*0.0071))*43758.5453,1),"")</f>
        <v/>
      </c>
      <c r="E635" s="0" t="str">
        <f aca="false">IF(C635=1,INT(MOD(ABS(SIN(D635*7919.123+ROW()*0.618+'הדבקת לידים'!$F$2*1.3))*43758.5453,1)*1000000)*10000+ROW(),"")</f>
        <v/>
      </c>
      <c r="F635" s="0" t="str">
        <f aca="false">IF(E635="","",RANK(E635,$E$2:$E$5001,1))</f>
        <v/>
      </c>
      <c r="G635" s="0" t="n">
        <f aca="false">IF(A635="",0,IF(SUMPRODUCT(--($A$2:$A$5001=A635))&gt;1,1,0))</f>
        <v>0</v>
      </c>
      <c r="H635" s="0" t="n">
        <f aca="false">ROW()-1</f>
        <v>634</v>
      </c>
      <c r="I635" s="0" t="str">
        <f aca="false">IF(OR(הגדרות!$E$6=0,H635&gt;הגדרות!$E$5),"",IF(H635-1&lt;הגדרות!$E$8*(הגדרות!$E$7+1),INT((H635-1)/(הגדרות!$E$7+1)),הגדרות!$E$8+INT((H635-1-הגדרות!$E$8*(הגדרות!$E$7+1))/הגדרות!$E$7)))</f>
        <v/>
      </c>
      <c r="J635" s="0" t="str">
        <f aca="false">IF(I635="","",IF(H635-1&lt;הגדרות!$E$8*(הגדרות!$E$7+1),MOD(H635-1,הגדרות!$E$7+1),MOD(H635-1-הגדרות!$E$8*(הגדרות!$E$7+1),הגדרות!$E$7)))</f>
        <v/>
      </c>
      <c r="K635" s="0" t="str">
        <f aca="false">IF(I635="","",J635*הגדרות!$E$6+I635+1)</f>
        <v/>
      </c>
      <c r="L635" s="0" t="str">
        <f aca="false">IF(K635="","",MATCH(K635,$F$2:$F$5001,0))</f>
        <v/>
      </c>
      <c r="M635" s="0" t="str">
        <f aca="false">IF(I635="","",INDEX(הגדרות!$A$2:$A$21,MOD(I635+הגדרות!$E$9,הגדרות!$E$6)+1))</f>
        <v/>
      </c>
    </row>
    <row r="636" customFormat="false" ht="15" hidden="false" customHeight="false" outlineLevel="0" collapsed="false">
      <c r="A636" s="0" t="str">
        <f aca="false">IF('הדבקת לידים'!A636="","",IF(ISNUMBER('הדבקת לידים'!A636),IF(הגדרות!$E$2&gt;0,TEXT('הדבקת לידים'!A636,REPT("0",הגדרות!$E$2)),TEXT('הדבקת לידים'!A636,"0")),TRIM('הדבקת לידים'!A636)))</f>
        <v/>
      </c>
      <c r="B636" s="0" t="str">
        <f aca="false">IF('הדבקת לידים'!B636="","",IF(ISNUMBER('הדבקת לידים'!B636),IF(הגדרות!$E$3&gt;0,TEXT('הדבקת לידים'!B636,REPT("0",הגדרות!$E$3)),TEXT('הדבקת לידים'!B636,"0")),TRIM('הדבקת לידים'!B636)))</f>
        <v/>
      </c>
      <c r="C636" s="0" t="n">
        <f aca="false">IF(OR(A636&lt;&gt;"",B636&lt;&gt;""),1,0)</f>
        <v>0</v>
      </c>
      <c r="D636" s="0" t="str">
        <f aca="false">IF(C636=1,MOD(ABS(SIN(ROW()*12.9898+'הדבקת לידים'!$F$2*78.233+IFERROR(--RIGHT(A636,6),LEN(A636))*0.0137+IFERROR(--RIGHT(B636,6),LEN(B636))*0.0071))*43758.5453,1),"")</f>
        <v/>
      </c>
      <c r="E636" s="0" t="str">
        <f aca="false">IF(C636=1,INT(MOD(ABS(SIN(D636*7919.123+ROW()*0.618+'הדבקת לידים'!$F$2*1.3))*43758.5453,1)*1000000)*10000+ROW(),"")</f>
        <v/>
      </c>
      <c r="F636" s="0" t="str">
        <f aca="false">IF(E636="","",RANK(E636,$E$2:$E$5001,1))</f>
        <v/>
      </c>
      <c r="G636" s="0" t="n">
        <f aca="false">IF(A636="",0,IF(SUMPRODUCT(--($A$2:$A$5001=A636))&gt;1,1,0))</f>
        <v>0</v>
      </c>
      <c r="H636" s="0" t="n">
        <f aca="false">ROW()-1</f>
        <v>635</v>
      </c>
      <c r="I636" s="0" t="str">
        <f aca="false">IF(OR(הגדרות!$E$6=0,H636&gt;הגדרות!$E$5),"",IF(H636-1&lt;הגדרות!$E$8*(הגדרות!$E$7+1),INT((H636-1)/(הגדרות!$E$7+1)),הגדרות!$E$8+INT((H636-1-הגדרות!$E$8*(הגדרות!$E$7+1))/הגדרות!$E$7)))</f>
        <v/>
      </c>
      <c r="J636" s="0" t="str">
        <f aca="false">IF(I636="","",IF(H636-1&lt;הגדרות!$E$8*(הגדרות!$E$7+1),MOD(H636-1,הגדרות!$E$7+1),MOD(H636-1-הגדרות!$E$8*(הגדרות!$E$7+1),הגדרות!$E$7)))</f>
        <v/>
      </c>
      <c r="K636" s="0" t="str">
        <f aca="false">IF(I636="","",J636*הגדרות!$E$6+I636+1)</f>
        <v/>
      </c>
      <c r="L636" s="0" t="str">
        <f aca="false">IF(K636="","",MATCH(K636,$F$2:$F$5001,0))</f>
        <v/>
      </c>
      <c r="M636" s="0" t="str">
        <f aca="false">IF(I636="","",INDEX(הגדרות!$A$2:$A$21,MOD(I636+הגדרות!$E$9,הגדרות!$E$6)+1))</f>
        <v/>
      </c>
    </row>
    <row r="637" customFormat="false" ht="15" hidden="false" customHeight="false" outlineLevel="0" collapsed="false">
      <c r="A637" s="0" t="str">
        <f aca="false">IF('הדבקת לידים'!A637="","",IF(ISNUMBER('הדבקת לידים'!A637),IF(הגדרות!$E$2&gt;0,TEXT('הדבקת לידים'!A637,REPT("0",הגדרות!$E$2)),TEXT('הדבקת לידים'!A637,"0")),TRIM('הדבקת לידים'!A637)))</f>
        <v/>
      </c>
      <c r="B637" s="0" t="str">
        <f aca="false">IF('הדבקת לידים'!B637="","",IF(ISNUMBER('הדבקת לידים'!B637),IF(הגדרות!$E$3&gt;0,TEXT('הדבקת לידים'!B637,REPT("0",הגדרות!$E$3)),TEXT('הדבקת לידים'!B637,"0")),TRIM('הדבקת לידים'!B637)))</f>
        <v/>
      </c>
      <c r="C637" s="0" t="n">
        <f aca="false">IF(OR(A637&lt;&gt;"",B637&lt;&gt;""),1,0)</f>
        <v>0</v>
      </c>
      <c r="D637" s="0" t="str">
        <f aca="false">IF(C637=1,MOD(ABS(SIN(ROW()*12.9898+'הדבקת לידים'!$F$2*78.233+IFERROR(--RIGHT(A637,6),LEN(A637))*0.0137+IFERROR(--RIGHT(B637,6),LEN(B637))*0.0071))*43758.5453,1),"")</f>
        <v/>
      </c>
      <c r="E637" s="0" t="str">
        <f aca="false">IF(C637=1,INT(MOD(ABS(SIN(D637*7919.123+ROW()*0.618+'הדבקת לידים'!$F$2*1.3))*43758.5453,1)*1000000)*10000+ROW(),"")</f>
        <v/>
      </c>
      <c r="F637" s="0" t="str">
        <f aca="false">IF(E637="","",RANK(E637,$E$2:$E$5001,1))</f>
        <v/>
      </c>
      <c r="G637" s="0" t="n">
        <f aca="false">IF(A637="",0,IF(SUMPRODUCT(--($A$2:$A$5001=A637))&gt;1,1,0))</f>
        <v>0</v>
      </c>
      <c r="H637" s="0" t="n">
        <f aca="false">ROW()-1</f>
        <v>636</v>
      </c>
      <c r="I637" s="0" t="str">
        <f aca="false">IF(OR(הגדרות!$E$6=0,H637&gt;הגדרות!$E$5),"",IF(H637-1&lt;הגדרות!$E$8*(הגדרות!$E$7+1),INT((H637-1)/(הגדרות!$E$7+1)),הגדרות!$E$8+INT((H637-1-הגדרות!$E$8*(הגדרות!$E$7+1))/הגדרות!$E$7)))</f>
        <v/>
      </c>
      <c r="J637" s="0" t="str">
        <f aca="false">IF(I637="","",IF(H637-1&lt;הגדרות!$E$8*(הגדרות!$E$7+1),MOD(H637-1,הגדרות!$E$7+1),MOD(H637-1-הגדרות!$E$8*(הגדרות!$E$7+1),הגדרות!$E$7)))</f>
        <v/>
      </c>
      <c r="K637" s="0" t="str">
        <f aca="false">IF(I637="","",J637*הגדרות!$E$6+I637+1)</f>
        <v/>
      </c>
      <c r="L637" s="0" t="str">
        <f aca="false">IF(K637="","",MATCH(K637,$F$2:$F$5001,0))</f>
        <v/>
      </c>
      <c r="M637" s="0" t="str">
        <f aca="false">IF(I637="","",INDEX(הגדרות!$A$2:$A$21,MOD(I637+הגדרות!$E$9,הגדרות!$E$6)+1))</f>
        <v/>
      </c>
    </row>
    <row r="638" customFormat="false" ht="15" hidden="false" customHeight="false" outlineLevel="0" collapsed="false">
      <c r="A638" s="0" t="str">
        <f aca="false">IF('הדבקת לידים'!A638="","",IF(ISNUMBER('הדבקת לידים'!A638),IF(הגדרות!$E$2&gt;0,TEXT('הדבקת לידים'!A638,REPT("0",הגדרות!$E$2)),TEXT('הדבקת לידים'!A638,"0")),TRIM('הדבקת לידים'!A638)))</f>
        <v/>
      </c>
      <c r="B638" s="0" t="str">
        <f aca="false">IF('הדבקת לידים'!B638="","",IF(ISNUMBER('הדבקת לידים'!B638),IF(הגדרות!$E$3&gt;0,TEXT('הדבקת לידים'!B638,REPT("0",הגדרות!$E$3)),TEXT('הדבקת לידים'!B638,"0")),TRIM('הדבקת לידים'!B638)))</f>
        <v/>
      </c>
      <c r="C638" s="0" t="n">
        <f aca="false">IF(OR(A638&lt;&gt;"",B638&lt;&gt;""),1,0)</f>
        <v>0</v>
      </c>
      <c r="D638" s="0" t="str">
        <f aca="false">IF(C638=1,MOD(ABS(SIN(ROW()*12.9898+'הדבקת לידים'!$F$2*78.233+IFERROR(--RIGHT(A638,6),LEN(A638))*0.0137+IFERROR(--RIGHT(B638,6),LEN(B638))*0.0071))*43758.5453,1),"")</f>
        <v/>
      </c>
      <c r="E638" s="0" t="str">
        <f aca="false">IF(C638=1,INT(MOD(ABS(SIN(D638*7919.123+ROW()*0.618+'הדבקת לידים'!$F$2*1.3))*43758.5453,1)*1000000)*10000+ROW(),"")</f>
        <v/>
      </c>
      <c r="F638" s="0" t="str">
        <f aca="false">IF(E638="","",RANK(E638,$E$2:$E$5001,1))</f>
        <v/>
      </c>
      <c r="G638" s="0" t="n">
        <f aca="false">IF(A638="",0,IF(SUMPRODUCT(--($A$2:$A$5001=A638))&gt;1,1,0))</f>
        <v>0</v>
      </c>
      <c r="H638" s="0" t="n">
        <f aca="false">ROW()-1</f>
        <v>637</v>
      </c>
      <c r="I638" s="0" t="str">
        <f aca="false">IF(OR(הגדרות!$E$6=0,H638&gt;הגדרות!$E$5),"",IF(H638-1&lt;הגדרות!$E$8*(הגדרות!$E$7+1),INT((H638-1)/(הגדרות!$E$7+1)),הגדרות!$E$8+INT((H638-1-הגדרות!$E$8*(הגדרות!$E$7+1))/הגדרות!$E$7)))</f>
        <v/>
      </c>
      <c r="J638" s="0" t="str">
        <f aca="false">IF(I638="","",IF(H638-1&lt;הגדרות!$E$8*(הגדרות!$E$7+1),MOD(H638-1,הגדרות!$E$7+1),MOD(H638-1-הגדרות!$E$8*(הגדרות!$E$7+1),הגדרות!$E$7)))</f>
        <v/>
      </c>
      <c r="K638" s="0" t="str">
        <f aca="false">IF(I638="","",J638*הגדרות!$E$6+I638+1)</f>
        <v/>
      </c>
      <c r="L638" s="0" t="str">
        <f aca="false">IF(K638="","",MATCH(K638,$F$2:$F$5001,0))</f>
        <v/>
      </c>
      <c r="M638" s="0" t="str">
        <f aca="false">IF(I638="","",INDEX(הגדרות!$A$2:$A$21,MOD(I638+הגדרות!$E$9,הגדרות!$E$6)+1))</f>
        <v/>
      </c>
    </row>
    <row r="639" customFormat="false" ht="15" hidden="false" customHeight="false" outlineLevel="0" collapsed="false">
      <c r="A639" s="0" t="str">
        <f aca="false">IF('הדבקת לידים'!A639="","",IF(ISNUMBER('הדבקת לידים'!A639),IF(הגדרות!$E$2&gt;0,TEXT('הדבקת לידים'!A639,REPT("0",הגדרות!$E$2)),TEXT('הדבקת לידים'!A639,"0")),TRIM('הדבקת לידים'!A639)))</f>
        <v/>
      </c>
      <c r="B639" s="0" t="str">
        <f aca="false">IF('הדבקת לידים'!B639="","",IF(ISNUMBER('הדבקת לידים'!B639),IF(הגדרות!$E$3&gt;0,TEXT('הדבקת לידים'!B639,REPT("0",הגדרות!$E$3)),TEXT('הדבקת לידים'!B639,"0")),TRIM('הדבקת לידים'!B639)))</f>
        <v/>
      </c>
      <c r="C639" s="0" t="n">
        <f aca="false">IF(OR(A639&lt;&gt;"",B639&lt;&gt;""),1,0)</f>
        <v>0</v>
      </c>
      <c r="D639" s="0" t="str">
        <f aca="false">IF(C639=1,MOD(ABS(SIN(ROW()*12.9898+'הדבקת לידים'!$F$2*78.233+IFERROR(--RIGHT(A639,6),LEN(A639))*0.0137+IFERROR(--RIGHT(B639,6),LEN(B639))*0.0071))*43758.5453,1),"")</f>
        <v/>
      </c>
      <c r="E639" s="0" t="str">
        <f aca="false">IF(C639=1,INT(MOD(ABS(SIN(D639*7919.123+ROW()*0.618+'הדבקת לידים'!$F$2*1.3))*43758.5453,1)*1000000)*10000+ROW(),"")</f>
        <v/>
      </c>
      <c r="F639" s="0" t="str">
        <f aca="false">IF(E639="","",RANK(E639,$E$2:$E$5001,1))</f>
        <v/>
      </c>
      <c r="G639" s="0" t="n">
        <f aca="false">IF(A639="",0,IF(SUMPRODUCT(--($A$2:$A$5001=A639))&gt;1,1,0))</f>
        <v>0</v>
      </c>
      <c r="H639" s="0" t="n">
        <f aca="false">ROW()-1</f>
        <v>638</v>
      </c>
      <c r="I639" s="0" t="str">
        <f aca="false">IF(OR(הגדרות!$E$6=0,H639&gt;הגדרות!$E$5),"",IF(H639-1&lt;הגדרות!$E$8*(הגדרות!$E$7+1),INT((H639-1)/(הגדרות!$E$7+1)),הגדרות!$E$8+INT((H639-1-הגדרות!$E$8*(הגדרות!$E$7+1))/הגדרות!$E$7)))</f>
        <v/>
      </c>
      <c r="J639" s="0" t="str">
        <f aca="false">IF(I639="","",IF(H639-1&lt;הגדרות!$E$8*(הגדרות!$E$7+1),MOD(H639-1,הגדרות!$E$7+1),MOD(H639-1-הגדרות!$E$8*(הגדרות!$E$7+1),הגדרות!$E$7)))</f>
        <v/>
      </c>
      <c r="K639" s="0" t="str">
        <f aca="false">IF(I639="","",J639*הגדרות!$E$6+I639+1)</f>
        <v/>
      </c>
      <c r="L639" s="0" t="str">
        <f aca="false">IF(K639="","",MATCH(K639,$F$2:$F$5001,0))</f>
        <v/>
      </c>
      <c r="M639" s="0" t="str">
        <f aca="false">IF(I639="","",INDEX(הגדרות!$A$2:$A$21,MOD(I639+הגדרות!$E$9,הגדרות!$E$6)+1))</f>
        <v/>
      </c>
    </row>
    <row r="640" customFormat="false" ht="15" hidden="false" customHeight="false" outlineLevel="0" collapsed="false">
      <c r="A640" s="0" t="str">
        <f aca="false">IF('הדבקת לידים'!A640="","",IF(ISNUMBER('הדבקת לידים'!A640),IF(הגדרות!$E$2&gt;0,TEXT('הדבקת לידים'!A640,REPT("0",הגדרות!$E$2)),TEXT('הדבקת לידים'!A640,"0")),TRIM('הדבקת לידים'!A640)))</f>
        <v/>
      </c>
      <c r="B640" s="0" t="str">
        <f aca="false">IF('הדבקת לידים'!B640="","",IF(ISNUMBER('הדבקת לידים'!B640),IF(הגדרות!$E$3&gt;0,TEXT('הדבקת לידים'!B640,REPT("0",הגדרות!$E$3)),TEXT('הדבקת לידים'!B640,"0")),TRIM('הדבקת לידים'!B640)))</f>
        <v/>
      </c>
      <c r="C640" s="0" t="n">
        <f aca="false">IF(OR(A640&lt;&gt;"",B640&lt;&gt;""),1,0)</f>
        <v>0</v>
      </c>
      <c r="D640" s="0" t="str">
        <f aca="false">IF(C640=1,MOD(ABS(SIN(ROW()*12.9898+'הדבקת לידים'!$F$2*78.233+IFERROR(--RIGHT(A640,6),LEN(A640))*0.0137+IFERROR(--RIGHT(B640,6),LEN(B640))*0.0071))*43758.5453,1),"")</f>
        <v/>
      </c>
      <c r="E640" s="0" t="str">
        <f aca="false">IF(C640=1,INT(MOD(ABS(SIN(D640*7919.123+ROW()*0.618+'הדבקת לידים'!$F$2*1.3))*43758.5453,1)*1000000)*10000+ROW(),"")</f>
        <v/>
      </c>
      <c r="F640" s="0" t="str">
        <f aca="false">IF(E640="","",RANK(E640,$E$2:$E$5001,1))</f>
        <v/>
      </c>
      <c r="G640" s="0" t="n">
        <f aca="false">IF(A640="",0,IF(SUMPRODUCT(--($A$2:$A$5001=A640))&gt;1,1,0))</f>
        <v>0</v>
      </c>
      <c r="H640" s="0" t="n">
        <f aca="false">ROW()-1</f>
        <v>639</v>
      </c>
      <c r="I640" s="0" t="str">
        <f aca="false">IF(OR(הגדרות!$E$6=0,H640&gt;הגדרות!$E$5),"",IF(H640-1&lt;הגדרות!$E$8*(הגדרות!$E$7+1),INT((H640-1)/(הגדרות!$E$7+1)),הגדרות!$E$8+INT((H640-1-הגדרות!$E$8*(הגדרות!$E$7+1))/הגדרות!$E$7)))</f>
        <v/>
      </c>
      <c r="J640" s="0" t="str">
        <f aca="false">IF(I640="","",IF(H640-1&lt;הגדרות!$E$8*(הגדרות!$E$7+1),MOD(H640-1,הגדרות!$E$7+1),MOD(H640-1-הגדרות!$E$8*(הגדרות!$E$7+1),הגדרות!$E$7)))</f>
        <v/>
      </c>
      <c r="K640" s="0" t="str">
        <f aca="false">IF(I640="","",J640*הגדרות!$E$6+I640+1)</f>
        <v/>
      </c>
      <c r="L640" s="0" t="str">
        <f aca="false">IF(K640="","",MATCH(K640,$F$2:$F$5001,0))</f>
        <v/>
      </c>
      <c r="M640" s="0" t="str">
        <f aca="false">IF(I640="","",INDEX(הגדרות!$A$2:$A$21,MOD(I640+הגדרות!$E$9,הגדרות!$E$6)+1))</f>
        <v/>
      </c>
    </row>
    <row r="641" customFormat="false" ht="15" hidden="false" customHeight="false" outlineLevel="0" collapsed="false">
      <c r="A641" s="0" t="str">
        <f aca="false">IF('הדבקת לידים'!A641="","",IF(ISNUMBER('הדבקת לידים'!A641),IF(הגדרות!$E$2&gt;0,TEXT('הדבקת לידים'!A641,REPT("0",הגדרות!$E$2)),TEXT('הדבקת לידים'!A641,"0")),TRIM('הדבקת לידים'!A641)))</f>
        <v/>
      </c>
      <c r="B641" s="0" t="str">
        <f aca="false">IF('הדבקת לידים'!B641="","",IF(ISNUMBER('הדבקת לידים'!B641),IF(הגדרות!$E$3&gt;0,TEXT('הדבקת לידים'!B641,REPT("0",הגדרות!$E$3)),TEXT('הדבקת לידים'!B641,"0")),TRIM('הדבקת לידים'!B641)))</f>
        <v/>
      </c>
      <c r="C641" s="0" t="n">
        <f aca="false">IF(OR(A641&lt;&gt;"",B641&lt;&gt;""),1,0)</f>
        <v>0</v>
      </c>
      <c r="D641" s="0" t="str">
        <f aca="false">IF(C641=1,MOD(ABS(SIN(ROW()*12.9898+'הדבקת לידים'!$F$2*78.233+IFERROR(--RIGHT(A641,6),LEN(A641))*0.0137+IFERROR(--RIGHT(B641,6),LEN(B641))*0.0071))*43758.5453,1),"")</f>
        <v/>
      </c>
      <c r="E641" s="0" t="str">
        <f aca="false">IF(C641=1,INT(MOD(ABS(SIN(D641*7919.123+ROW()*0.618+'הדבקת לידים'!$F$2*1.3))*43758.5453,1)*1000000)*10000+ROW(),"")</f>
        <v/>
      </c>
      <c r="F641" s="0" t="str">
        <f aca="false">IF(E641="","",RANK(E641,$E$2:$E$5001,1))</f>
        <v/>
      </c>
      <c r="G641" s="0" t="n">
        <f aca="false">IF(A641="",0,IF(SUMPRODUCT(--($A$2:$A$5001=A641))&gt;1,1,0))</f>
        <v>0</v>
      </c>
      <c r="H641" s="0" t="n">
        <f aca="false">ROW()-1</f>
        <v>640</v>
      </c>
      <c r="I641" s="0" t="str">
        <f aca="false">IF(OR(הגדרות!$E$6=0,H641&gt;הגדרות!$E$5),"",IF(H641-1&lt;הגדרות!$E$8*(הגדרות!$E$7+1),INT((H641-1)/(הגדרות!$E$7+1)),הגדרות!$E$8+INT((H641-1-הגדרות!$E$8*(הגדרות!$E$7+1))/הגדרות!$E$7)))</f>
        <v/>
      </c>
      <c r="J641" s="0" t="str">
        <f aca="false">IF(I641="","",IF(H641-1&lt;הגדרות!$E$8*(הגדרות!$E$7+1),MOD(H641-1,הגדרות!$E$7+1),MOD(H641-1-הגדרות!$E$8*(הגדרות!$E$7+1),הגדרות!$E$7)))</f>
        <v/>
      </c>
      <c r="K641" s="0" t="str">
        <f aca="false">IF(I641="","",J641*הגדרות!$E$6+I641+1)</f>
        <v/>
      </c>
      <c r="L641" s="0" t="str">
        <f aca="false">IF(K641="","",MATCH(K641,$F$2:$F$5001,0))</f>
        <v/>
      </c>
      <c r="M641" s="0" t="str">
        <f aca="false">IF(I641="","",INDEX(הגדרות!$A$2:$A$21,MOD(I641+הגדרות!$E$9,הגדרות!$E$6)+1))</f>
        <v/>
      </c>
    </row>
    <row r="642" customFormat="false" ht="15" hidden="false" customHeight="false" outlineLevel="0" collapsed="false">
      <c r="A642" s="0" t="str">
        <f aca="false">IF('הדבקת לידים'!A642="","",IF(ISNUMBER('הדבקת לידים'!A642),IF(הגדרות!$E$2&gt;0,TEXT('הדבקת לידים'!A642,REPT("0",הגדרות!$E$2)),TEXT('הדבקת לידים'!A642,"0")),TRIM('הדבקת לידים'!A642)))</f>
        <v/>
      </c>
      <c r="B642" s="0" t="str">
        <f aca="false">IF('הדבקת לידים'!B642="","",IF(ISNUMBER('הדבקת לידים'!B642),IF(הגדרות!$E$3&gt;0,TEXT('הדבקת לידים'!B642,REPT("0",הגדרות!$E$3)),TEXT('הדבקת לידים'!B642,"0")),TRIM('הדבקת לידים'!B642)))</f>
        <v/>
      </c>
      <c r="C642" s="0" t="n">
        <f aca="false">IF(OR(A642&lt;&gt;"",B642&lt;&gt;""),1,0)</f>
        <v>0</v>
      </c>
      <c r="D642" s="0" t="str">
        <f aca="false">IF(C642=1,MOD(ABS(SIN(ROW()*12.9898+'הדבקת לידים'!$F$2*78.233+IFERROR(--RIGHT(A642,6),LEN(A642))*0.0137+IFERROR(--RIGHT(B642,6),LEN(B642))*0.0071))*43758.5453,1),"")</f>
        <v/>
      </c>
      <c r="E642" s="0" t="str">
        <f aca="false">IF(C642=1,INT(MOD(ABS(SIN(D642*7919.123+ROW()*0.618+'הדבקת לידים'!$F$2*1.3))*43758.5453,1)*1000000)*10000+ROW(),"")</f>
        <v/>
      </c>
      <c r="F642" s="0" t="str">
        <f aca="false">IF(E642="","",RANK(E642,$E$2:$E$5001,1))</f>
        <v/>
      </c>
      <c r="G642" s="0" t="n">
        <f aca="false">IF(A642="",0,IF(SUMPRODUCT(--($A$2:$A$5001=A642))&gt;1,1,0))</f>
        <v>0</v>
      </c>
      <c r="H642" s="0" t="n">
        <f aca="false">ROW()-1</f>
        <v>641</v>
      </c>
      <c r="I642" s="0" t="str">
        <f aca="false">IF(OR(הגדרות!$E$6=0,H642&gt;הגדרות!$E$5),"",IF(H642-1&lt;הגדרות!$E$8*(הגדרות!$E$7+1),INT((H642-1)/(הגדרות!$E$7+1)),הגדרות!$E$8+INT((H642-1-הגדרות!$E$8*(הגדרות!$E$7+1))/הגדרות!$E$7)))</f>
        <v/>
      </c>
      <c r="J642" s="0" t="str">
        <f aca="false">IF(I642="","",IF(H642-1&lt;הגדרות!$E$8*(הגדרות!$E$7+1),MOD(H642-1,הגדרות!$E$7+1),MOD(H642-1-הגדרות!$E$8*(הגדרות!$E$7+1),הגדרות!$E$7)))</f>
        <v/>
      </c>
      <c r="K642" s="0" t="str">
        <f aca="false">IF(I642="","",J642*הגדרות!$E$6+I642+1)</f>
        <v/>
      </c>
      <c r="L642" s="0" t="str">
        <f aca="false">IF(K642="","",MATCH(K642,$F$2:$F$5001,0))</f>
        <v/>
      </c>
      <c r="M642" s="0" t="str">
        <f aca="false">IF(I642="","",INDEX(הגדרות!$A$2:$A$21,MOD(I642+הגדרות!$E$9,הגדרות!$E$6)+1))</f>
        <v/>
      </c>
    </row>
    <row r="643" customFormat="false" ht="15" hidden="false" customHeight="false" outlineLevel="0" collapsed="false">
      <c r="A643" s="0" t="str">
        <f aca="false">IF('הדבקת לידים'!A643="","",IF(ISNUMBER('הדבקת לידים'!A643),IF(הגדרות!$E$2&gt;0,TEXT('הדבקת לידים'!A643,REPT("0",הגדרות!$E$2)),TEXT('הדבקת לידים'!A643,"0")),TRIM('הדבקת לידים'!A643)))</f>
        <v/>
      </c>
      <c r="B643" s="0" t="str">
        <f aca="false">IF('הדבקת לידים'!B643="","",IF(ISNUMBER('הדבקת לידים'!B643),IF(הגדרות!$E$3&gt;0,TEXT('הדבקת לידים'!B643,REPT("0",הגדרות!$E$3)),TEXT('הדבקת לידים'!B643,"0")),TRIM('הדבקת לידים'!B643)))</f>
        <v/>
      </c>
      <c r="C643" s="0" t="n">
        <f aca="false">IF(OR(A643&lt;&gt;"",B643&lt;&gt;""),1,0)</f>
        <v>0</v>
      </c>
      <c r="D643" s="0" t="str">
        <f aca="false">IF(C643=1,MOD(ABS(SIN(ROW()*12.9898+'הדבקת לידים'!$F$2*78.233+IFERROR(--RIGHT(A643,6),LEN(A643))*0.0137+IFERROR(--RIGHT(B643,6),LEN(B643))*0.0071))*43758.5453,1),"")</f>
        <v/>
      </c>
      <c r="E643" s="0" t="str">
        <f aca="false">IF(C643=1,INT(MOD(ABS(SIN(D643*7919.123+ROW()*0.618+'הדבקת לידים'!$F$2*1.3))*43758.5453,1)*1000000)*10000+ROW(),"")</f>
        <v/>
      </c>
      <c r="F643" s="0" t="str">
        <f aca="false">IF(E643="","",RANK(E643,$E$2:$E$5001,1))</f>
        <v/>
      </c>
      <c r="G643" s="0" t="n">
        <f aca="false">IF(A643="",0,IF(SUMPRODUCT(--($A$2:$A$5001=A643))&gt;1,1,0))</f>
        <v>0</v>
      </c>
      <c r="H643" s="0" t="n">
        <f aca="false">ROW()-1</f>
        <v>642</v>
      </c>
      <c r="I643" s="0" t="str">
        <f aca="false">IF(OR(הגדרות!$E$6=0,H643&gt;הגדרות!$E$5),"",IF(H643-1&lt;הגדרות!$E$8*(הגדרות!$E$7+1),INT((H643-1)/(הגדרות!$E$7+1)),הגדרות!$E$8+INT((H643-1-הגדרות!$E$8*(הגדרות!$E$7+1))/הגדרות!$E$7)))</f>
        <v/>
      </c>
      <c r="J643" s="0" t="str">
        <f aca="false">IF(I643="","",IF(H643-1&lt;הגדרות!$E$8*(הגדרות!$E$7+1),MOD(H643-1,הגדרות!$E$7+1),MOD(H643-1-הגדרות!$E$8*(הגדרות!$E$7+1),הגדרות!$E$7)))</f>
        <v/>
      </c>
      <c r="K643" s="0" t="str">
        <f aca="false">IF(I643="","",J643*הגדרות!$E$6+I643+1)</f>
        <v/>
      </c>
      <c r="L643" s="0" t="str">
        <f aca="false">IF(K643="","",MATCH(K643,$F$2:$F$5001,0))</f>
        <v/>
      </c>
      <c r="M643" s="0" t="str">
        <f aca="false">IF(I643="","",INDEX(הגדרות!$A$2:$A$21,MOD(I643+הגדרות!$E$9,הגדרות!$E$6)+1))</f>
        <v/>
      </c>
    </row>
    <row r="644" customFormat="false" ht="15" hidden="false" customHeight="false" outlineLevel="0" collapsed="false">
      <c r="A644" s="0" t="str">
        <f aca="false">IF('הדבקת לידים'!A644="","",IF(ISNUMBER('הדבקת לידים'!A644),IF(הגדרות!$E$2&gt;0,TEXT('הדבקת לידים'!A644,REPT("0",הגדרות!$E$2)),TEXT('הדבקת לידים'!A644,"0")),TRIM('הדבקת לידים'!A644)))</f>
        <v/>
      </c>
      <c r="B644" s="0" t="str">
        <f aca="false">IF('הדבקת לידים'!B644="","",IF(ISNUMBER('הדבקת לידים'!B644),IF(הגדרות!$E$3&gt;0,TEXT('הדבקת לידים'!B644,REPT("0",הגדרות!$E$3)),TEXT('הדבקת לידים'!B644,"0")),TRIM('הדבקת לידים'!B644)))</f>
        <v/>
      </c>
      <c r="C644" s="0" t="n">
        <f aca="false">IF(OR(A644&lt;&gt;"",B644&lt;&gt;""),1,0)</f>
        <v>0</v>
      </c>
      <c r="D644" s="0" t="str">
        <f aca="false">IF(C644=1,MOD(ABS(SIN(ROW()*12.9898+'הדבקת לידים'!$F$2*78.233+IFERROR(--RIGHT(A644,6),LEN(A644))*0.0137+IFERROR(--RIGHT(B644,6),LEN(B644))*0.0071))*43758.5453,1),"")</f>
        <v/>
      </c>
      <c r="E644" s="0" t="str">
        <f aca="false">IF(C644=1,INT(MOD(ABS(SIN(D644*7919.123+ROW()*0.618+'הדבקת לידים'!$F$2*1.3))*43758.5453,1)*1000000)*10000+ROW(),"")</f>
        <v/>
      </c>
      <c r="F644" s="0" t="str">
        <f aca="false">IF(E644="","",RANK(E644,$E$2:$E$5001,1))</f>
        <v/>
      </c>
      <c r="G644" s="0" t="n">
        <f aca="false">IF(A644="",0,IF(SUMPRODUCT(--($A$2:$A$5001=A644))&gt;1,1,0))</f>
        <v>0</v>
      </c>
      <c r="H644" s="0" t="n">
        <f aca="false">ROW()-1</f>
        <v>643</v>
      </c>
      <c r="I644" s="0" t="str">
        <f aca="false">IF(OR(הגדרות!$E$6=0,H644&gt;הגדרות!$E$5),"",IF(H644-1&lt;הגדרות!$E$8*(הגדרות!$E$7+1),INT((H644-1)/(הגדרות!$E$7+1)),הגדרות!$E$8+INT((H644-1-הגדרות!$E$8*(הגדרות!$E$7+1))/הגדרות!$E$7)))</f>
        <v/>
      </c>
      <c r="J644" s="0" t="str">
        <f aca="false">IF(I644="","",IF(H644-1&lt;הגדרות!$E$8*(הגדרות!$E$7+1),MOD(H644-1,הגדרות!$E$7+1),MOD(H644-1-הגדרות!$E$8*(הגדרות!$E$7+1),הגדרות!$E$7)))</f>
        <v/>
      </c>
      <c r="K644" s="0" t="str">
        <f aca="false">IF(I644="","",J644*הגדרות!$E$6+I644+1)</f>
        <v/>
      </c>
      <c r="L644" s="0" t="str">
        <f aca="false">IF(K644="","",MATCH(K644,$F$2:$F$5001,0))</f>
        <v/>
      </c>
      <c r="M644" s="0" t="str">
        <f aca="false">IF(I644="","",INDEX(הגדרות!$A$2:$A$21,MOD(I644+הגדרות!$E$9,הגדרות!$E$6)+1))</f>
        <v/>
      </c>
    </row>
    <row r="645" customFormat="false" ht="15" hidden="false" customHeight="false" outlineLevel="0" collapsed="false">
      <c r="A645" s="0" t="str">
        <f aca="false">IF('הדבקת לידים'!A645="","",IF(ISNUMBER('הדבקת לידים'!A645),IF(הגדרות!$E$2&gt;0,TEXT('הדבקת לידים'!A645,REPT("0",הגדרות!$E$2)),TEXT('הדבקת לידים'!A645,"0")),TRIM('הדבקת לידים'!A645)))</f>
        <v/>
      </c>
      <c r="B645" s="0" t="str">
        <f aca="false">IF('הדבקת לידים'!B645="","",IF(ISNUMBER('הדבקת לידים'!B645),IF(הגדרות!$E$3&gt;0,TEXT('הדבקת לידים'!B645,REPT("0",הגדרות!$E$3)),TEXT('הדבקת לידים'!B645,"0")),TRIM('הדבקת לידים'!B645)))</f>
        <v/>
      </c>
      <c r="C645" s="0" t="n">
        <f aca="false">IF(OR(A645&lt;&gt;"",B645&lt;&gt;""),1,0)</f>
        <v>0</v>
      </c>
      <c r="D645" s="0" t="str">
        <f aca="false">IF(C645=1,MOD(ABS(SIN(ROW()*12.9898+'הדבקת לידים'!$F$2*78.233+IFERROR(--RIGHT(A645,6),LEN(A645))*0.0137+IFERROR(--RIGHT(B645,6),LEN(B645))*0.0071))*43758.5453,1),"")</f>
        <v/>
      </c>
      <c r="E645" s="0" t="str">
        <f aca="false">IF(C645=1,INT(MOD(ABS(SIN(D645*7919.123+ROW()*0.618+'הדבקת לידים'!$F$2*1.3))*43758.5453,1)*1000000)*10000+ROW(),"")</f>
        <v/>
      </c>
      <c r="F645" s="0" t="str">
        <f aca="false">IF(E645="","",RANK(E645,$E$2:$E$5001,1))</f>
        <v/>
      </c>
      <c r="G645" s="0" t="n">
        <f aca="false">IF(A645="",0,IF(SUMPRODUCT(--($A$2:$A$5001=A645))&gt;1,1,0))</f>
        <v>0</v>
      </c>
      <c r="H645" s="0" t="n">
        <f aca="false">ROW()-1</f>
        <v>644</v>
      </c>
      <c r="I645" s="0" t="str">
        <f aca="false">IF(OR(הגדרות!$E$6=0,H645&gt;הגדרות!$E$5),"",IF(H645-1&lt;הגדרות!$E$8*(הגדרות!$E$7+1),INT((H645-1)/(הגדרות!$E$7+1)),הגדרות!$E$8+INT((H645-1-הגדרות!$E$8*(הגדרות!$E$7+1))/הגדרות!$E$7)))</f>
        <v/>
      </c>
      <c r="J645" s="0" t="str">
        <f aca="false">IF(I645="","",IF(H645-1&lt;הגדרות!$E$8*(הגדרות!$E$7+1),MOD(H645-1,הגדרות!$E$7+1),MOD(H645-1-הגדרות!$E$8*(הגדרות!$E$7+1),הגדרות!$E$7)))</f>
        <v/>
      </c>
      <c r="K645" s="0" t="str">
        <f aca="false">IF(I645="","",J645*הגדרות!$E$6+I645+1)</f>
        <v/>
      </c>
      <c r="L645" s="0" t="str">
        <f aca="false">IF(K645="","",MATCH(K645,$F$2:$F$5001,0))</f>
        <v/>
      </c>
      <c r="M645" s="0" t="str">
        <f aca="false">IF(I645="","",INDEX(הגדרות!$A$2:$A$21,MOD(I645+הגדרות!$E$9,הגדרות!$E$6)+1))</f>
        <v/>
      </c>
    </row>
    <row r="646" customFormat="false" ht="15" hidden="false" customHeight="false" outlineLevel="0" collapsed="false">
      <c r="A646" s="0" t="str">
        <f aca="false">IF('הדבקת לידים'!A646="","",IF(ISNUMBER('הדבקת לידים'!A646),IF(הגדרות!$E$2&gt;0,TEXT('הדבקת לידים'!A646,REPT("0",הגדרות!$E$2)),TEXT('הדבקת לידים'!A646,"0")),TRIM('הדבקת לידים'!A646)))</f>
        <v/>
      </c>
      <c r="B646" s="0" t="str">
        <f aca="false">IF('הדבקת לידים'!B646="","",IF(ISNUMBER('הדבקת לידים'!B646),IF(הגדרות!$E$3&gt;0,TEXT('הדבקת לידים'!B646,REPT("0",הגדרות!$E$3)),TEXT('הדבקת לידים'!B646,"0")),TRIM('הדבקת לידים'!B646)))</f>
        <v/>
      </c>
      <c r="C646" s="0" t="n">
        <f aca="false">IF(OR(A646&lt;&gt;"",B646&lt;&gt;""),1,0)</f>
        <v>0</v>
      </c>
      <c r="D646" s="0" t="str">
        <f aca="false">IF(C646=1,MOD(ABS(SIN(ROW()*12.9898+'הדבקת לידים'!$F$2*78.233+IFERROR(--RIGHT(A646,6),LEN(A646))*0.0137+IFERROR(--RIGHT(B646,6),LEN(B646))*0.0071))*43758.5453,1),"")</f>
        <v/>
      </c>
      <c r="E646" s="0" t="str">
        <f aca="false">IF(C646=1,INT(MOD(ABS(SIN(D646*7919.123+ROW()*0.618+'הדבקת לידים'!$F$2*1.3))*43758.5453,1)*1000000)*10000+ROW(),"")</f>
        <v/>
      </c>
      <c r="F646" s="0" t="str">
        <f aca="false">IF(E646="","",RANK(E646,$E$2:$E$5001,1))</f>
        <v/>
      </c>
      <c r="G646" s="0" t="n">
        <f aca="false">IF(A646="",0,IF(SUMPRODUCT(--($A$2:$A$5001=A646))&gt;1,1,0))</f>
        <v>0</v>
      </c>
      <c r="H646" s="0" t="n">
        <f aca="false">ROW()-1</f>
        <v>645</v>
      </c>
      <c r="I646" s="0" t="str">
        <f aca="false">IF(OR(הגדרות!$E$6=0,H646&gt;הגדרות!$E$5),"",IF(H646-1&lt;הגדרות!$E$8*(הגדרות!$E$7+1),INT((H646-1)/(הגדרות!$E$7+1)),הגדרות!$E$8+INT((H646-1-הגדרות!$E$8*(הגדרות!$E$7+1))/הגדרות!$E$7)))</f>
        <v/>
      </c>
      <c r="J646" s="0" t="str">
        <f aca="false">IF(I646="","",IF(H646-1&lt;הגדרות!$E$8*(הגדרות!$E$7+1),MOD(H646-1,הגדרות!$E$7+1),MOD(H646-1-הגדרות!$E$8*(הגדרות!$E$7+1),הגדרות!$E$7)))</f>
        <v/>
      </c>
      <c r="K646" s="0" t="str">
        <f aca="false">IF(I646="","",J646*הגדרות!$E$6+I646+1)</f>
        <v/>
      </c>
      <c r="L646" s="0" t="str">
        <f aca="false">IF(K646="","",MATCH(K646,$F$2:$F$5001,0))</f>
        <v/>
      </c>
      <c r="M646" s="0" t="str">
        <f aca="false">IF(I646="","",INDEX(הגדרות!$A$2:$A$21,MOD(I646+הגדרות!$E$9,הגדרות!$E$6)+1))</f>
        <v/>
      </c>
    </row>
    <row r="647" customFormat="false" ht="15" hidden="false" customHeight="false" outlineLevel="0" collapsed="false">
      <c r="A647" s="0" t="str">
        <f aca="false">IF('הדבקת לידים'!A647="","",IF(ISNUMBER('הדבקת לידים'!A647),IF(הגדרות!$E$2&gt;0,TEXT('הדבקת לידים'!A647,REPT("0",הגדרות!$E$2)),TEXT('הדבקת לידים'!A647,"0")),TRIM('הדבקת לידים'!A647)))</f>
        <v/>
      </c>
      <c r="B647" s="0" t="str">
        <f aca="false">IF('הדבקת לידים'!B647="","",IF(ISNUMBER('הדבקת לידים'!B647),IF(הגדרות!$E$3&gt;0,TEXT('הדבקת לידים'!B647,REPT("0",הגדרות!$E$3)),TEXT('הדבקת לידים'!B647,"0")),TRIM('הדבקת לידים'!B647)))</f>
        <v/>
      </c>
      <c r="C647" s="0" t="n">
        <f aca="false">IF(OR(A647&lt;&gt;"",B647&lt;&gt;""),1,0)</f>
        <v>0</v>
      </c>
      <c r="D647" s="0" t="str">
        <f aca="false">IF(C647=1,MOD(ABS(SIN(ROW()*12.9898+'הדבקת לידים'!$F$2*78.233+IFERROR(--RIGHT(A647,6),LEN(A647))*0.0137+IFERROR(--RIGHT(B647,6),LEN(B647))*0.0071))*43758.5453,1),"")</f>
        <v/>
      </c>
      <c r="E647" s="0" t="str">
        <f aca="false">IF(C647=1,INT(MOD(ABS(SIN(D647*7919.123+ROW()*0.618+'הדבקת לידים'!$F$2*1.3))*43758.5453,1)*1000000)*10000+ROW(),"")</f>
        <v/>
      </c>
      <c r="F647" s="0" t="str">
        <f aca="false">IF(E647="","",RANK(E647,$E$2:$E$5001,1))</f>
        <v/>
      </c>
      <c r="G647" s="0" t="n">
        <f aca="false">IF(A647="",0,IF(SUMPRODUCT(--($A$2:$A$5001=A647))&gt;1,1,0))</f>
        <v>0</v>
      </c>
      <c r="H647" s="0" t="n">
        <f aca="false">ROW()-1</f>
        <v>646</v>
      </c>
      <c r="I647" s="0" t="str">
        <f aca="false">IF(OR(הגדרות!$E$6=0,H647&gt;הגדרות!$E$5),"",IF(H647-1&lt;הגדרות!$E$8*(הגדרות!$E$7+1),INT((H647-1)/(הגדרות!$E$7+1)),הגדרות!$E$8+INT((H647-1-הגדרות!$E$8*(הגדרות!$E$7+1))/הגדרות!$E$7)))</f>
        <v/>
      </c>
      <c r="J647" s="0" t="str">
        <f aca="false">IF(I647="","",IF(H647-1&lt;הגדרות!$E$8*(הגדרות!$E$7+1),MOD(H647-1,הגדרות!$E$7+1),MOD(H647-1-הגדרות!$E$8*(הגדרות!$E$7+1),הגדרות!$E$7)))</f>
        <v/>
      </c>
      <c r="K647" s="0" t="str">
        <f aca="false">IF(I647="","",J647*הגדרות!$E$6+I647+1)</f>
        <v/>
      </c>
      <c r="L647" s="0" t="str">
        <f aca="false">IF(K647="","",MATCH(K647,$F$2:$F$5001,0))</f>
        <v/>
      </c>
      <c r="M647" s="0" t="str">
        <f aca="false">IF(I647="","",INDEX(הגדרות!$A$2:$A$21,MOD(I647+הגדרות!$E$9,הגדרות!$E$6)+1))</f>
        <v/>
      </c>
    </row>
    <row r="648" customFormat="false" ht="15" hidden="false" customHeight="false" outlineLevel="0" collapsed="false">
      <c r="A648" s="0" t="str">
        <f aca="false">IF('הדבקת לידים'!A648="","",IF(ISNUMBER('הדבקת לידים'!A648),IF(הגדרות!$E$2&gt;0,TEXT('הדבקת לידים'!A648,REPT("0",הגדרות!$E$2)),TEXT('הדבקת לידים'!A648,"0")),TRIM('הדבקת לידים'!A648)))</f>
        <v/>
      </c>
      <c r="B648" s="0" t="str">
        <f aca="false">IF('הדבקת לידים'!B648="","",IF(ISNUMBER('הדבקת לידים'!B648),IF(הגדרות!$E$3&gt;0,TEXT('הדבקת לידים'!B648,REPT("0",הגדרות!$E$3)),TEXT('הדבקת לידים'!B648,"0")),TRIM('הדבקת לידים'!B648)))</f>
        <v/>
      </c>
      <c r="C648" s="0" t="n">
        <f aca="false">IF(OR(A648&lt;&gt;"",B648&lt;&gt;""),1,0)</f>
        <v>0</v>
      </c>
      <c r="D648" s="0" t="str">
        <f aca="false">IF(C648=1,MOD(ABS(SIN(ROW()*12.9898+'הדבקת לידים'!$F$2*78.233+IFERROR(--RIGHT(A648,6),LEN(A648))*0.0137+IFERROR(--RIGHT(B648,6),LEN(B648))*0.0071))*43758.5453,1),"")</f>
        <v/>
      </c>
      <c r="E648" s="0" t="str">
        <f aca="false">IF(C648=1,INT(MOD(ABS(SIN(D648*7919.123+ROW()*0.618+'הדבקת לידים'!$F$2*1.3))*43758.5453,1)*1000000)*10000+ROW(),"")</f>
        <v/>
      </c>
      <c r="F648" s="0" t="str">
        <f aca="false">IF(E648="","",RANK(E648,$E$2:$E$5001,1))</f>
        <v/>
      </c>
      <c r="G648" s="0" t="n">
        <f aca="false">IF(A648="",0,IF(SUMPRODUCT(--($A$2:$A$5001=A648))&gt;1,1,0))</f>
        <v>0</v>
      </c>
      <c r="H648" s="0" t="n">
        <f aca="false">ROW()-1</f>
        <v>647</v>
      </c>
      <c r="I648" s="0" t="str">
        <f aca="false">IF(OR(הגדרות!$E$6=0,H648&gt;הגדרות!$E$5),"",IF(H648-1&lt;הגדרות!$E$8*(הגדרות!$E$7+1),INT((H648-1)/(הגדרות!$E$7+1)),הגדרות!$E$8+INT((H648-1-הגדרות!$E$8*(הגדרות!$E$7+1))/הגדרות!$E$7)))</f>
        <v/>
      </c>
      <c r="J648" s="0" t="str">
        <f aca="false">IF(I648="","",IF(H648-1&lt;הגדרות!$E$8*(הגדרות!$E$7+1),MOD(H648-1,הגדרות!$E$7+1),MOD(H648-1-הגדרות!$E$8*(הגדרות!$E$7+1),הגדרות!$E$7)))</f>
        <v/>
      </c>
      <c r="K648" s="0" t="str">
        <f aca="false">IF(I648="","",J648*הגדרות!$E$6+I648+1)</f>
        <v/>
      </c>
      <c r="L648" s="0" t="str">
        <f aca="false">IF(K648="","",MATCH(K648,$F$2:$F$5001,0))</f>
        <v/>
      </c>
      <c r="M648" s="0" t="str">
        <f aca="false">IF(I648="","",INDEX(הגדרות!$A$2:$A$21,MOD(I648+הגדרות!$E$9,הגדרות!$E$6)+1))</f>
        <v/>
      </c>
    </row>
    <row r="649" customFormat="false" ht="15" hidden="false" customHeight="false" outlineLevel="0" collapsed="false">
      <c r="A649" s="0" t="str">
        <f aca="false">IF('הדבקת לידים'!A649="","",IF(ISNUMBER('הדבקת לידים'!A649),IF(הגדרות!$E$2&gt;0,TEXT('הדבקת לידים'!A649,REPT("0",הגדרות!$E$2)),TEXT('הדבקת לידים'!A649,"0")),TRIM('הדבקת לידים'!A649)))</f>
        <v/>
      </c>
      <c r="B649" s="0" t="str">
        <f aca="false">IF('הדבקת לידים'!B649="","",IF(ISNUMBER('הדבקת לידים'!B649),IF(הגדרות!$E$3&gt;0,TEXT('הדבקת לידים'!B649,REPT("0",הגדרות!$E$3)),TEXT('הדבקת לידים'!B649,"0")),TRIM('הדבקת לידים'!B649)))</f>
        <v/>
      </c>
      <c r="C649" s="0" t="n">
        <f aca="false">IF(OR(A649&lt;&gt;"",B649&lt;&gt;""),1,0)</f>
        <v>0</v>
      </c>
      <c r="D649" s="0" t="str">
        <f aca="false">IF(C649=1,MOD(ABS(SIN(ROW()*12.9898+'הדבקת לידים'!$F$2*78.233+IFERROR(--RIGHT(A649,6),LEN(A649))*0.0137+IFERROR(--RIGHT(B649,6),LEN(B649))*0.0071))*43758.5453,1),"")</f>
        <v/>
      </c>
      <c r="E649" s="0" t="str">
        <f aca="false">IF(C649=1,INT(MOD(ABS(SIN(D649*7919.123+ROW()*0.618+'הדבקת לידים'!$F$2*1.3))*43758.5453,1)*1000000)*10000+ROW(),"")</f>
        <v/>
      </c>
      <c r="F649" s="0" t="str">
        <f aca="false">IF(E649="","",RANK(E649,$E$2:$E$5001,1))</f>
        <v/>
      </c>
      <c r="G649" s="0" t="n">
        <f aca="false">IF(A649="",0,IF(SUMPRODUCT(--($A$2:$A$5001=A649))&gt;1,1,0))</f>
        <v>0</v>
      </c>
      <c r="H649" s="0" t="n">
        <f aca="false">ROW()-1</f>
        <v>648</v>
      </c>
      <c r="I649" s="0" t="str">
        <f aca="false">IF(OR(הגדרות!$E$6=0,H649&gt;הגדרות!$E$5),"",IF(H649-1&lt;הגדרות!$E$8*(הגדרות!$E$7+1),INT((H649-1)/(הגדרות!$E$7+1)),הגדרות!$E$8+INT((H649-1-הגדרות!$E$8*(הגדרות!$E$7+1))/הגדרות!$E$7)))</f>
        <v/>
      </c>
      <c r="J649" s="0" t="str">
        <f aca="false">IF(I649="","",IF(H649-1&lt;הגדרות!$E$8*(הגדרות!$E$7+1),MOD(H649-1,הגדרות!$E$7+1),MOD(H649-1-הגדרות!$E$8*(הגדרות!$E$7+1),הגדרות!$E$7)))</f>
        <v/>
      </c>
      <c r="K649" s="0" t="str">
        <f aca="false">IF(I649="","",J649*הגדרות!$E$6+I649+1)</f>
        <v/>
      </c>
      <c r="L649" s="0" t="str">
        <f aca="false">IF(K649="","",MATCH(K649,$F$2:$F$5001,0))</f>
        <v/>
      </c>
      <c r="M649" s="0" t="str">
        <f aca="false">IF(I649="","",INDEX(הגדרות!$A$2:$A$21,MOD(I649+הגדרות!$E$9,הגדרות!$E$6)+1))</f>
        <v/>
      </c>
    </row>
    <row r="650" customFormat="false" ht="15" hidden="false" customHeight="false" outlineLevel="0" collapsed="false">
      <c r="A650" s="0" t="str">
        <f aca="false">IF('הדבקת לידים'!A650="","",IF(ISNUMBER('הדבקת לידים'!A650),IF(הגדרות!$E$2&gt;0,TEXT('הדבקת לידים'!A650,REPT("0",הגדרות!$E$2)),TEXT('הדבקת לידים'!A650,"0")),TRIM('הדבקת לידים'!A650)))</f>
        <v/>
      </c>
      <c r="B650" s="0" t="str">
        <f aca="false">IF('הדבקת לידים'!B650="","",IF(ISNUMBER('הדבקת לידים'!B650),IF(הגדרות!$E$3&gt;0,TEXT('הדבקת לידים'!B650,REPT("0",הגדרות!$E$3)),TEXT('הדבקת לידים'!B650,"0")),TRIM('הדבקת לידים'!B650)))</f>
        <v/>
      </c>
      <c r="C650" s="0" t="n">
        <f aca="false">IF(OR(A650&lt;&gt;"",B650&lt;&gt;""),1,0)</f>
        <v>0</v>
      </c>
      <c r="D650" s="0" t="str">
        <f aca="false">IF(C650=1,MOD(ABS(SIN(ROW()*12.9898+'הדבקת לידים'!$F$2*78.233+IFERROR(--RIGHT(A650,6),LEN(A650))*0.0137+IFERROR(--RIGHT(B650,6),LEN(B650))*0.0071))*43758.5453,1),"")</f>
        <v/>
      </c>
      <c r="E650" s="0" t="str">
        <f aca="false">IF(C650=1,INT(MOD(ABS(SIN(D650*7919.123+ROW()*0.618+'הדבקת לידים'!$F$2*1.3))*43758.5453,1)*1000000)*10000+ROW(),"")</f>
        <v/>
      </c>
      <c r="F650" s="0" t="str">
        <f aca="false">IF(E650="","",RANK(E650,$E$2:$E$5001,1))</f>
        <v/>
      </c>
      <c r="G650" s="0" t="n">
        <f aca="false">IF(A650="",0,IF(SUMPRODUCT(--($A$2:$A$5001=A650))&gt;1,1,0))</f>
        <v>0</v>
      </c>
      <c r="H650" s="0" t="n">
        <f aca="false">ROW()-1</f>
        <v>649</v>
      </c>
      <c r="I650" s="0" t="str">
        <f aca="false">IF(OR(הגדרות!$E$6=0,H650&gt;הגדרות!$E$5),"",IF(H650-1&lt;הגדרות!$E$8*(הגדרות!$E$7+1),INT((H650-1)/(הגדרות!$E$7+1)),הגדרות!$E$8+INT((H650-1-הגדרות!$E$8*(הגדרות!$E$7+1))/הגדרות!$E$7)))</f>
        <v/>
      </c>
      <c r="J650" s="0" t="str">
        <f aca="false">IF(I650="","",IF(H650-1&lt;הגדרות!$E$8*(הגדרות!$E$7+1),MOD(H650-1,הגדרות!$E$7+1),MOD(H650-1-הגדרות!$E$8*(הגדרות!$E$7+1),הגדרות!$E$7)))</f>
        <v/>
      </c>
      <c r="K650" s="0" t="str">
        <f aca="false">IF(I650="","",J650*הגדרות!$E$6+I650+1)</f>
        <v/>
      </c>
      <c r="L650" s="0" t="str">
        <f aca="false">IF(K650="","",MATCH(K650,$F$2:$F$5001,0))</f>
        <v/>
      </c>
      <c r="M650" s="0" t="str">
        <f aca="false">IF(I650="","",INDEX(הגדרות!$A$2:$A$21,MOD(I650+הגדרות!$E$9,הגדרות!$E$6)+1))</f>
        <v/>
      </c>
    </row>
    <row r="651" customFormat="false" ht="15" hidden="false" customHeight="false" outlineLevel="0" collapsed="false">
      <c r="A651" s="0" t="str">
        <f aca="false">IF('הדבקת לידים'!A651="","",IF(ISNUMBER('הדבקת לידים'!A651),IF(הגדרות!$E$2&gt;0,TEXT('הדבקת לידים'!A651,REPT("0",הגדרות!$E$2)),TEXT('הדבקת לידים'!A651,"0")),TRIM('הדבקת לידים'!A651)))</f>
        <v/>
      </c>
      <c r="B651" s="0" t="str">
        <f aca="false">IF('הדבקת לידים'!B651="","",IF(ISNUMBER('הדבקת לידים'!B651),IF(הגדרות!$E$3&gt;0,TEXT('הדבקת לידים'!B651,REPT("0",הגדרות!$E$3)),TEXT('הדבקת לידים'!B651,"0")),TRIM('הדבקת לידים'!B651)))</f>
        <v/>
      </c>
      <c r="C651" s="0" t="n">
        <f aca="false">IF(OR(A651&lt;&gt;"",B651&lt;&gt;""),1,0)</f>
        <v>0</v>
      </c>
      <c r="D651" s="0" t="str">
        <f aca="false">IF(C651=1,MOD(ABS(SIN(ROW()*12.9898+'הדבקת לידים'!$F$2*78.233+IFERROR(--RIGHT(A651,6),LEN(A651))*0.0137+IFERROR(--RIGHT(B651,6),LEN(B651))*0.0071))*43758.5453,1),"")</f>
        <v/>
      </c>
      <c r="E651" s="0" t="str">
        <f aca="false">IF(C651=1,INT(MOD(ABS(SIN(D651*7919.123+ROW()*0.618+'הדבקת לידים'!$F$2*1.3))*43758.5453,1)*1000000)*10000+ROW(),"")</f>
        <v/>
      </c>
      <c r="F651" s="0" t="str">
        <f aca="false">IF(E651="","",RANK(E651,$E$2:$E$5001,1))</f>
        <v/>
      </c>
      <c r="G651" s="0" t="n">
        <f aca="false">IF(A651="",0,IF(SUMPRODUCT(--($A$2:$A$5001=A651))&gt;1,1,0))</f>
        <v>0</v>
      </c>
      <c r="H651" s="0" t="n">
        <f aca="false">ROW()-1</f>
        <v>650</v>
      </c>
      <c r="I651" s="0" t="str">
        <f aca="false">IF(OR(הגדרות!$E$6=0,H651&gt;הגדרות!$E$5),"",IF(H651-1&lt;הגדרות!$E$8*(הגדרות!$E$7+1),INT((H651-1)/(הגדרות!$E$7+1)),הגדרות!$E$8+INT((H651-1-הגדרות!$E$8*(הגדרות!$E$7+1))/הגדרות!$E$7)))</f>
        <v/>
      </c>
      <c r="J651" s="0" t="str">
        <f aca="false">IF(I651="","",IF(H651-1&lt;הגדרות!$E$8*(הגדרות!$E$7+1),MOD(H651-1,הגדרות!$E$7+1),MOD(H651-1-הגדרות!$E$8*(הגדרות!$E$7+1),הגדרות!$E$7)))</f>
        <v/>
      </c>
      <c r="K651" s="0" t="str">
        <f aca="false">IF(I651="","",J651*הגדרות!$E$6+I651+1)</f>
        <v/>
      </c>
      <c r="L651" s="0" t="str">
        <f aca="false">IF(K651="","",MATCH(K651,$F$2:$F$5001,0))</f>
        <v/>
      </c>
      <c r="M651" s="0" t="str">
        <f aca="false">IF(I651="","",INDEX(הגדרות!$A$2:$A$21,MOD(I651+הגדרות!$E$9,הגדרות!$E$6)+1))</f>
        <v/>
      </c>
    </row>
    <row r="652" customFormat="false" ht="15" hidden="false" customHeight="false" outlineLevel="0" collapsed="false">
      <c r="A652" s="0" t="str">
        <f aca="false">IF('הדבקת לידים'!A652="","",IF(ISNUMBER('הדבקת לידים'!A652),IF(הגדרות!$E$2&gt;0,TEXT('הדבקת לידים'!A652,REPT("0",הגדרות!$E$2)),TEXT('הדבקת לידים'!A652,"0")),TRIM('הדבקת לידים'!A652)))</f>
        <v/>
      </c>
      <c r="B652" s="0" t="str">
        <f aca="false">IF('הדבקת לידים'!B652="","",IF(ISNUMBER('הדבקת לידים'!B652),IF(הגדרות!$E$3&gt;0,TEXT('הדבקת לידים'!B652,REPT("0",הגדרות!$E$3)),TEXT('הדבקת לידים'!B652,"0")),TRIM('הדבקת לידים'!B652)))</f>
        <v/>
      </c>
      <c r="C652" s="0" t="n">
        <f aca="false">IF(OR(A652&lt;&gt;"",B652&lt;&gt;""),1,0)</f>
        <v>0</v>
      </c>
      <c r="D652" s="0" t="str">
        <f aca="false">IF(C652=1,MOD(ABS(SIN(ROW()*12.9898+'הדבקת לידים'!$F$2*78.233+IFERROR(--RIGHT(A652,6),LEN(A652))*0.0137+IFERROR(--RIGHT(B652,6),LEN(B652))*0.0071))*43758.5453,1),"")</f>
        <v/>
      </c>
      <c r="E652" s="0" t="str">
        <f aca="false">IF(C652=1,INT(MOD(ABS(SIN(D652*7919.123+ROW()*0.618+'הדבקת לידים'!$F$2*1.3))*43758.5453,1)*1000000)*10000+ROW(),"")</f>
        <v/>
      </c>
      <c r="F652" s="0" t="str">
        <f aca="false">IF(E652="","",RANK(E652,$E$2:$E$5001,1))</f>
        <v/>
      </c>
      <c r="G652" s="0" t="n">
        <f aca="false">IF(A652="",0,IF(SUMPRODUCT(--($A$2:$A$5001=A652))&gt;1,1,0))</f>
        <v>0</v>
      </c>
      <c r="H652" s="0" t="n">
        <f aca="false">ROW()-1</f>
        <v>651</v>
      </c>
      <c r="I652" s="0" t="str">
        <f aca="false">IF(OR(הגדרות!$E$6=0,H652&gt;הגדרות!$E$5),"",IF(H652-1&lt;הגדרות!$E$8*(הגדרות!$E$7+1),INT((H652-1)/(הגדרות!$E$7+1)),הגדרות!$E$8+INT((H652-1-הגדרות!$E$8*(הגדרות!$E$7+1))/הגדרות!$E$7)))</f>
        <v/>
      </c>
      <c r="J652" s="0" t="str">
        <f aca="false">IF(I652="","",IF(H652-1&lt;הגדרות!$E$8*(הגדרות!$E$7+1),MOD(H652-1,הגדרות!$E$7+1),MOD(H652-1-הגדרות!$E$8*(הגדרות!$E$7+1),הגדרות!$E$7)))</f>
        <v/>
      </c>
      <c r="K652" s="0" t="str">
        <f aca="false">IF(I652="","",J652*הגדרות!$E$6+I652+1)</f>
        <v/>
      </c>
      <c r="L652" s="0" t="str">
        <f aca="false">IF(K652="","",MATCH(K652,$F$2:$F$5001,0))</f>
        <v/>
      </c>
      <c r="M652" s="0" t="str">
        <f aca="false">IF(I652="","",INDEX(הגדרות!$A$2:$A$21,MOD(I652+הגדרות!$E$9,הגדרות!$E$6)+1))</f>
        <v/>
      </c>
    </row>
    <row r="653" customFormat="false" ht="15" hidden="false" customHeight="false" outlineLevel="0" collapsed="false">
      <c r="A653" s="0" t="str">
        <f aca="false">IF('הדבקת לידים'!A653="","",IF(ISNUMBER('הדבקת לידים'!A653),IF(הגדרות!$E$2&gt;0,TEXT('הדבקת לידים'!A653,REPT("0",הגדרות!$E$2)),TEXT('הדבקת לידים'!A653,"0")),TRIM('הדבקת לידים'!A653)))</f>
        <v/>
      </c>
      <c r="B653" s="0" t="str">
        <f aca="false">IF('הדבקת לידים'!B653="","",IF(ISNUMBER('הדבקת לידים'!B653),IF(הגדרות!$E$3&gt;0,TEXT('הדבקת לידים'!B653,REPT("0",הגדרות!$E$3)),TEXT('הדבקת לידים'!B653,"0")),TRIM('הדבקת לידים'!B653)))</f>
        <v/>
      </c>
      <c r="C653" s="0" t="n">
        <f aca="false">IF(OR(A653&lt;&gt;"",B653&lt;&gt;""),1,0)</f>
        <v>0</v>
      </c>
      <c r="D653" s="0" t="str">
        <f aca="false">IF(C653=1,MOD(ABS(SIN(ROW()*12.9898+'הדבקת לידים'!$F$2*78.233+IFERROR(--RIGHT(A653,6),LEN(A653))*0.0137+IFERROR(--RIGHT(B653,6),LEN(B653))*0.0071))*43758.5453,1),"")</f>
        <v/>
      </c>
      <c r="E653" s="0" t="str">
        <f aca="false">IF(C653=1,INT(MOD(ABS(SIN(D653*7919.123+ROW()*0.618+'הדבקת לידים'!$F$2*1.3))*43758.5453,1)*1000000)*10000+ROW(),"")</f>
        <v/>
      </c>
      <c r="F653" s="0" t="str">
        <f aca="false">IF(E653="","",RANK(E653,$E$2:$E$5001,1))</f>
        <v/>
      </c>
      <c r="G653" s="0" t="n">
        <f aca="false">IF(A653="",0,IF(SUMPRODUCT(--($A$2:$A$5001=A653))&gt;1,1,0))</f>
        <v>0</v>
      </c>
      <c r="H653" s="0" t="n">
        <f aca="false">ROW()-1</f>
        <v>652</v>
      </c>
      <c r="I653" s="0" t="str">
        <f aca="false">IF(OR(הגדרות!$E$6=0,H653&gt;הגדרות!$E$5),"",IF(H653-1&lt;הגדרות!$E$8*(הגדרות!$E$7+1),INT((H653-1)/(הגדרות!$E$7+1)),הגדרות!$E$8+INT((H653-1-הגדרות!$E$8*(הגדרות!$E$7+1))/הגדרות!$E$7)))</f>
        <v/>
      </c>
      <c r="J653" s="0" t="str">
        <f aca="false">IF(I653="","",IF(H653-1&lt;הגדרות!$E$8*(הגדרות!$E$7+1),MOD(H653-1,הגדרות!$E$7+1),MOD(H653-1-הגדרות!$E$8*(הגדרות!$E$7+1),הגדרות!$E$7)))</f>
        <v/>
      </c>
      <c r="K653" s="0" t="str">
        <f aca="false">IF(I653="","",J653*הגדרות!$E$6+I653+1)</f>
        <v/>
      </c>
      <c r="L653" s="0" t="str">
        <f aca="false">IF(K653="","",MATCH(K653,$F$2:$F$5001,0))</f>
        <v/>
      </c>
      <c r="M653" s="0" t="str">
        <f aca="false">IF(I653="","",INDEX(הגדרות!$A$2:$A$21,MOD(I653+הגדרות!$E$9,הגדרות!$E$6)+1))</f>
        <v/>
      </c>
    </row>
    <row r="654" customFormat="false" ht="15" hidden="false" customHeight="false" outlineLevel="0" collapsed="false">
      <c r="A654" s="0" t="str">
        <f aca="false">IF('הדבקת לידים'!A654="","",IF(ISNUMBER('הדבקת לידים'!A654),IF(הגדרות!$E$2&gt;0,TEXT('הדבקת לידים'!A654,REPT("0",הגדרות!$E$2)),TEXT('הדבקת לידים'!A654,"0")),TRIM('הדבקת לידים'!A654)))</f>
        <v/>
      </c>
      <c r="B654" s="0" t="str">
        <f aca="false">IF('הדבקת לידים'!B654="","",IF(ISNUMBER('הדבקת לידים'!B654),IF(הגדרות!$E$3&gt;0,TEXT('הדבקת לידים'!B654,REPT("0",הגדרות!$E$3)),TEXT('הדבקת לידים'!B654,"0")),TRIM('הדבקת לידים'!B654)))</f>
        <v/>
      </c>
      <c r="C654" s="0" t="n">
        <f aca="false">IF(OR(A654&lt;&gt;"",B654&lt;&gt;""),1,0)</f>
        <v>0</v>
      </c>
      <c r="D654" s="0" t="str">
        <f aca="false">IF(C654=1,MOD(ABS(SIN(ROW()*12.9898+'הדבקת לידים'!$F$2*78.233+IFERROR(--RIGHT(A654,6),LEN(A654))*0.0137+IFERROR(--RIGHT(B654,6),LEN(B654))*0.0071))*43758.5453,1),"")</f>
        <v/>
      </c>
      <c r="E654" s="0" t="str">
        <f aca="false">IF(C654=1,INT(MOD(ABS(SIN(D654*7919.123+ROW()*0.618+'הדבקת לידים'!$F$2*1.3))*43758.5453,1)*1000000)*10000+ROW(),"")</f>
        <v/>
      </c>
      <c r="F654" s="0" t="str">
        <f aca="false">IF(E654="","",RANK(E654,$E$2:$E$5001,1))</f>
        <v/>
      </c>
      <c r="G654" s="0" t="n">
        <f aca="false">IF(A654="",0,IF(SUMPRODUCT(--($A$2:$A$5001=A654))&gt;1,1,0))</f>
        <v>0</v>
      </c>
      <c r="H654" s="0" t="n">
        <f aca="false">ROW()-1</f>
        <v>653</v>
      </c>
      <c r="I654" s="0" t="str">
        <f aca="false">IF(OR(הגדרות!$E$6=0,H654&gt;הגדרות!$E$5),"",IF(H654-1&lt;הגדרות!$E$8*(הגדרות!$E$7+1),INT((H654-1)/(הגדרות!$E$7+1)),הגדרות!$E$8+INT((H654-1-הגדרות!$E$8*(הגדרות!$E$7+1))/הגדרות!$E$7)))</f>
        <v/>
      </c>
      <c r="J654" s="0" t="str">
        <f aca="false">IF(I654="","",IF(H654-1&lt;הגדרות!$E$8*(הגדרות!$E$7+1),MOD(H654-1,הגדרות!$E$7+1),MOD(H654-1-הגדרות!$E$8*(הגדרות!$E$7+1),הגדרות!$E$7)))</f>
        <v/>
      </c>
      <c r="K654" s="0" t="str">
        <f aca="false">IF(I654="","",J654*הגדרות!$E$6+I654+1)</f>
        <v/>
      </c>
      <c r="L654" s="0" t="str">
        <f aca="false">IF(K654="","",MATCH(K654,$F$2:$F$5001,0))</f>
        <v/>
      </c>
      <c r="M654" s="0" t="str">
        <f aca="false">IF(I654="","",INDEX(הגדרות!$A$2:$A$21,MOD(I654+הגדרות!$E$9,הגדרות!$E$6)+1))</f>
        <v/>
      </c>
    </row>
    <row r="655" customFormat="false" ht="15" hidden="false" customHeight="false" outlineLevel="0" collapsed="false">
      <c r="A655" s="0" t="str">
        <f aca="false">IF('הדבקת לידים'!A655="","",IF(ISNUMBER('הדבקת לידים'!A655),IF(הגדרות!$E$2&gt;0,TEXT('הדבקת לידים'!A655,REPT("0",הגדרות!$E$2)),TEXT('הדבקת לידים'!A655,"0")),TRIM('הדבקת לידים'!A655)))</f>
        <v/>
      </c>
      <c r="B655" s="0" t="str">
        <f aca="false">IF('הדבקת לידים'!B655="","",IF(ISNUMBER('הדבקת לידים'!B655),IF(הגדרות!$E$3&gt;0,TEXT('הדבקת לידים'!B655,REPT("0",הגדרות!$E$3)),TEXT('הדבקת לידים'!B655,"0")),TRIM('הדבקת לידים'!B655)))</f>
        <v/>
      </c>
      <c r="C655" s="0" t="n">
        <f aca="false">IF(OR(A655&lt;&gt;"",B655&lt;&gt;""),1,0)</f>
        <v>0</v>
      </c>
      <c r="D655" s="0" t="str">
        <f aca="false">IF(C655=1,MOD(ABS(SIN(ROW()*12.9898+'הדבקת לידים'!$F$2*78.233+IFERROR(--RIGHT(A655,6),LEN(A655))*0.0137+IFERROR(--RIGHT(B655,6),LEN(B655))*0.0071))*43758.5453,1),"")</f>
        <v/>
      </c>
      <c r="E655" s="0" t="str">
        <f aca="false">IF(C655=1,INT(MOD(ABS(SIN(D655*7919.123+ROW()*0.618+'הדבקת לידים'!$F$2*1.3))*43758.5453,1)*1000000)*10000+ROW(),"")</f>
        <v/>
      </c>
      <c r="F655" s="0" t="str">
        <f aca="false">IF(E655="","",RANK(E655,$E$2:$E$5001,1))</f>
        <v/>
      </c>
      <c r="G655" s="0" t="n">
        <f aca="false">IF(A655="",0,IF(SUMPRODUCT(--($A$2:$A$5001=A655))&gt;1,1,0))</f>
        <v>0</v>
      </c>
      <c r="H655" s="0" t="n">
        <f aca="false">ROW()-1</f>
        <v>654</v>
      </c>
      <c r="I655" s="0" t="str">
        <f aca="false">IF(OR(הגדרות!$E$6=0,H655&gt;הגדרות!$E$5),"",IF(H655-1&lt;הגדרות!$E$8*(הגדרות!$E$7+1),INT((H655-1)/(הגדרות!$E$7+1)),הגדרות!$E$8+INT((H655-1-הגדרות!$E$8*(הגדרות!$E$7+1))/הגדרות!$E$7)))</f>
        <v/>
      </c>
      <c r="J655" s="0" t="str">
        <f aca="false">IF(I655="","",IF(H655-1&lt;הגדרות!$E$8*(הגדרות!$E$7+1),MOD(H655-1,הגדרות!$E$7+1),MOD(H655-1-הגדרות!$E$8*(הגדרות!$E$7+1),הגדרות!$E$7)))</f>
        <v/>
      </c>
      <c r="K655" s="0" t="str">
        <f aca="false">IF(I655="","",J655*הגדרות!$E$6+I655+1)</f>
        <v/>
      </c>
      <c r="L655" s="0" t="str">
        <f aca="false">IF(K655="","",MATCH(K655,$F$2:$F$5001,0))</f>
        <v/>
      </c>
      <c r="M655" s="0" t="str">
        <f aca="false">IF(I655="","",INDEX(הגדרות!$A$2:$A$21,MOD(I655+הגדרות!$E$9,הגדרות!$E$6)+1))</f>
        <v/>
      </c>
    </row>
    <row r="656" customFormat="false" ht="15" hidden="false" customHeight="false" outlineLevel="0" collapsed="false">
      <c r="A656" s="0" t="str">
        <f aca="false">IF('הדבקת לידים'!A656="","",IF(ISNUMBER('הדבקת לידים'!A656),IF(הגדרות!$E$2&gt;0,TEXT('הדבקת לידים'!A656,REPT("0",הגדרות!$E$2)),TEXT('הדבקת לידים'!A656,"0")),TRIM('הדבקת לידים'!A656)))</f>
        <v/>
      </c>
      <c r="B656" s="0" t="str">
        <f aca="false">IF('הדבקת לידים'!B656="","",IF(ISNUMBER('הדבקת לידים'!B656),IF(הגדרות!$E$3&gt;0,TEXT('הדבקת לידים'!B656,REPT("0",הגדרות!$E$3)),TEXT('הדבקת לידים'!B656,"0")),TRIM('הדבקת לידים'!B656)))</f>
        <v/>
      </c>
      <c r="C656" s="0" t="n">
        <f aca="false">IF(OR(A656&lt;&gt;"",B656&lt;&gt;""),1,0)</f>
        <v>0</v>
      </c>
      <c r="D656" s="0" t="str">
        <f aca="false">IF(C656=1,MOD(ABS(SIN(ROW()*12.9898+'הדבקת לידים'!$F$2*78.233+IFERROR(--RIGHT(A656,6),LEN(A656))*0.0137+IFERROR(--RIGHT(B656,6),LEN(B656))*0.0071))*43758.5453,1),"")</f>
        <v/>
      </c>
      <c r="E656" s="0" t="str">
        <f aca="false">IF(C656=1,INT(MOD(ABS(SIN(D656*7919.123+ROW()*0.618+'הדבקת לידים'!$F$2*1.3))*43758.5453,1)*1000000)*10000+ROW(),"")</f>
        <v/>
      </c>
      <c r="F656" s="0" t="str">
        <f aca="false">IF(E656="","",RANK(E656,$E$2:$E$5001,1))</f>
        <v/>
      </c>
      <c r="G656" s="0" t="n">
        <f aca="false">IF(A656="",0,IF(SUMPRODUCT(--($A$2:$A$5001=A656))&gt;1,1,0))</f>
        <v>0</v>
      </c>
      <c r="H656" s="0" t="n">
        <f aca="false">ROW()-1</f>
        <v>655</v>
      </c>
      <c r="I656" s="0" t="str">
        <f aca="false">IF(OR(הגדרות!$E$6=0,H656&gt;הגדרות!$E$5),"",IF(H656-1&lt;הגדרות!$E$8*(הגדרות!$E$7+1),INT((H656-1)/(הגדרות!$E$7+1)),הגדרות!$E$8+INT((H656-1-הגדרות!$E$8*(הגדרות!$E$7+1))/הגדרות!$E$7)))</f>
        <v/>
      </c>
      <c r="J656" s="0" t="str">
        <f aca="false">IF(I656="","",IF(H656-1&lt;הגדרות!$E$8*(הגדרות!$E$7+1),MOD(H656-1,הגדרות!$E$7+1),MOD(H656-1-הגדרות!$E$8*(הגדרות!$E$7+1),הגדרות!$E$7)))</f>
        <v/>
      </c>
      <c r="K656" s="0" t="str">
        <f aca="false">IF(I656="","",J656*הגדרות!$E$6+I656+1)</f>
        <v/>
      </c>
      <c r="L656" s="0" t="str">
        <f aca="false">IF(K656="","",MATCH(K656,$F$2:$F$5001,0))</f>
        <v/>
      </c>
      <c r="M656" s="0" t="str">
        <f aca="false">IF(I656="","",INDEX(הגדרות!$A$2:$A$21,MOD(I656+הגדרות!$E$9,הגדרות!$E$6)+1))</f>
        <v/>
      </c>
    </row>
    <row r="657" customFormat="false" ht="15" hidden="false" customHeight="false" outlineLevel="0" collapsed="false">
      <c r="A657" s="0" t="str">
        <f aca="false">IF('הדבקת לידים'!A657="","",IF(ISNUMBER('הדבקת לידים'!A657),IF(הגדרות!$E$2&gt;0,TEXT('הדבקת לידים'!A657,REPT("0",הגדרות!$E$2)),TEXT('הדבקת לידים'!A657,"0")),TRIM('הדבקת לידים'!A657)))</f>
        <v/>
      </c>
      <c r="B657" s="0" t="str">
        <f aca="false">IF('הדבקת לידים'!B657="","",IF(ISNUMBER('הדבקת לידים'!B657),IF(הגדרות!$E$3&gt;0,TEXT('הדבקת לידים'!B657,REPT("0",הגדרות!$E$3)),TEXT('הדבקת לידים'!B657,"0")),TRIM('הדבקת לידים'!B657)))</f>
        <v/>
      </c>
      <c r="C657" s="0" t="n">
        <f aca="false">IF(OR(A657&lt;&gt;"",B657&lt;&gt;""),1,0)</f>
        <v>0</v>
      </c>
      <c r="D657" s="0" t="str">
        <f aca="false">IF(C657=1,MOD(ABS(SIN(ROW()*12.9898+'הדבקת לידים'!$F$2*78.233+IFERROR(--RIGHT(A657,6),LEN(A657))*0.0137+IFERROR(--RIGHT(B657,6),LEN(B657))*0.0071))*43758.5453,1),"")</f>
        <v/>
      </c>
      <c r="E657" s="0" t="str">
        <f aca="false">IF(C657=1,INT(MOD(ABS(SIN(D657*7919.123+ROW()*0.618+'הדבקת לידים'!$F$2*1.3))*43758.5453,1)*1000000)*10000+ROW(),"")</f>
        <v/>
      </c>
      <c r="F657" s="0" t="str">
        <f aca="false">IF(E657="","",RANK(E657,$E$2:$E$5001,1))</f>
        <v/>
      </c>
      <c r="G657" s="0" t="n">
        <f aca="false">IF(A657="",0,IF(SUMPRODUCT(--($A$2:$A$5001=A657))&gt;1,1,0))</f>
        <v>0</v>
      </c>
      <c r="H657" s="0" t="n">
        <f aca="false">ROW()-1</f>
        <v>656</v>
      </c>
      <c r="I657" s="0" t="str">
        <f aca="false">IF(OR(הגדרות!$E$6=0,H657&gt;הגדרות!$E$5),"",IF(H657-1&lt;הגדרות!$E$8*(הגדרות!$E$7+1),INT((H657-1)/(הגדרות!$E$7+1)),הגדרות!$E$8+INT((H657-1-הגדרות!$E$8*(הגדרות!$E$7+1))/הגדרות!$E$7)))</f>
        <v/>
      </c>
      <c r="J657" s="0" t="str">
        <f aca="false">IF(I657="","",IF(H657-1&lt;הגדרות!$E$8*(הגדרות!$E$7+1),MOD(H657-1,הגדרות!$E$7+1),MOD(H657-1-הגדרות!$E$8*(הגדרות!$E$7+1),הגדרות!$E$7)))</f>
        <v/>
      </c>
      <c r="K657" s="0" t="str">
        <f aca="false">IF(I657="","",J657*הגדרות!$E$6+I657+1)</f>
        <v/>
      </c>
      <c r="L657" s="0" t="str">
        <f aca="false">IF(K657="","",MATCH(K657,$F$2:$F$5001,0))</f>
        <v/>
      </c>
      <c r="M657" s="0" t="str">
        <f aca="false">IF(I657="","",INDEX(הגדרות!$A$2:$A$21,MOD(I657+הגדרות!$E$9,הגדרות!$E$6)+1))</f>
        <v/>
      </c>
    </row>
    <row r="658" customFormat="false" ht="15" hidden="false" customHeight="false" outlineLevel="0" collapsed="false">
      <c r="A658" s="0" t="str">
        <f aca="false">IF('הדבקת לידים'!A658="","",IF(ISNUMBER('הדבקת לידים'!A658),IF(הגדרות!$E$2&gt;0,TEXT('הדבקת לידים'!A658,REPT("0",הגדרות!$E$2)),TEXT('הדבקת לידים'!A658,"0")),TRIM('הדבקת לידים'!A658)))</f>
        <v/>
      </c>
      <c r="B658" s="0" t="str">
        <f aca="false">IF('הדבקת לידים'!B658="","",IF(ISNUMBER('הדבקת לידים'!B658),IF(הגדרות!$E$3&gt;0,TEXT('הדבקת לידים'!B658,REPT("0",הגדרות!$E$3)),TEXT('הדבקת לידים'!B658,"0")),TRIM('הדבקת לידים'!B658)))</f>
        <v/>
      </c>
      <c r="C658" s="0" t="n">
        <f aca="false">IF(OR(A658&lt;&gt;"",B658&lt;&gt;""),1,0)</f>
        <v>0</v>
      </c>
      <c r="D658" s="0" t="str">
        <f aca="false">IF(C658=1,MOD(ABS(SIN(ROW()*12.9898+'הדבקת לידים'!$F$2*78.233+IFERROR(--RIGHT(A658,6),LEN(A658))*0.0137+IFERROR(--RIGHT(B658,6),LEN(B658))*0.0071))*43758.5453,1),"")</f>
        <v/>
      </c>
      <c r="E658" s="0" t="str">
        <f aca="false">IF(C658=1,INT(MOD(ABS(SIN(D658*7919.123+ROW()*0.618+'הדבקת לידים'!$F$2*1.3))*43758.5453,1)*1000000)*10000+ROW(),"")</f>
        <v/>
      </c>
      <c r="F658" s="0" t="str">
        <f aca="false">IF(E658="","",RANK(E658,$E$2:$E$5001,1))</f>
        <v/>
      </c>
      <c r="G658" s="0" t="n">
        <f aca="false">IF(A658="",0,IF(SUMPRODUCT(--($A$2:$A$5001=A658))&gt;1,1,0))</f>
        <v>0</v>
      </c>
      <c r="H658" s="0" t="n">
        <f aca="false">ROW()-1</f>
        <v>657</v>
      </c>
      <c r="I658" s="0" t="str">
        <f aca="false">IF(OR(הגדרות!$E$6=0,H658&gt;הגדרות!$E$5),"",IF(H658-1&lt;הגדרות!$E$8*(הגדרות!$E$7+1),INT((H658-1)/(הגדרות!$E$7+1)),הגדרות!$E$8+INT((H658-1-הגדרות!$E$8*(הגדרות!$E$7+1))/הגדרות!$E$7)))</f>
        <v/>
      </c>
      <c r="J658" s="0" t="str">
        <f aca="false">IF(I658="","",IF(H658-1&lt;הגדרות!$E$8*(הגדרות!$E$7+1),MOD(H658-1,הגדרות!$E$7+1),MOD(H658-1-הגדרות!$E$8*(הגדרות!$E$7+1),הגדרות!$E$7)))</f>
        <v/>
      </c>
      <c r="K658" s="0" t="str">
        <f aca="false">IF(I658="","",J658*הגדרות!$E$6+I658+1)</f>
        <v/>
      </c>
      <c r="L658" s="0" t="str">
        <f aca="false">IF(K658="","",MATCH(K658,$F$2:$F$5001,0))</f>
        <v/>
      </c>
      <c r="M658" s="0" t="str">
        <f aca="false">IF(I658="","",INDEX(הגדרות!$A$2:$A$21,MOD(I658+הגדרות!$E$9,הגדרות!$E$6)+1))</f>
        <v/>
      </c>
    </row>
    <row r="659" customFormat="false" ht="15" hidden="false" customHeight="false" outlineLevel="0" collapsed="false">
      <c r="A659" s="0" t="str">
        <f aca="false">IF('הדבקת לידים'!A659="","",IF(ISNUMBER('הדבקת לידים'!A659),IF(הגדרות!$E$2&gt;0,TEXT('הדבקת לידים'!A659,REPT("0",הגדרות!$E$2)),TEXT('הדבקת לידים'!A659,"0")),TRIM('הדבקת לידים'!A659)))</f>
        <v/>
      </c>
      <c r="B659" s="0" t="str">
        <f aca="false">IF('הדבקת לידים'!B659="","",IF(ISNUMBER('הדבקת לידים'!B659),IF(הגדרות!$E$3&gt;0,TEXT('הדבקת לידים'!B659,REPT("0",הגדרות!$E$3)),TEXT('הדבקת לידים'!B659,"0")),TRIM('הדבקת לידים'!B659)))</f>
        <v/>
      </c>
      <c r="C659" s="0" t="n">
        <f aca="false">IF(OR(A659&lt;&gt;"",B659&lt;&gt;""),1,0)</f>
        <v>0</v>
      </c>
      <c r="D659" s="0" t="str">
        <f aca="false">IF(C659=1,MOD(ABS(SIN(ROW()*12.9898+'הדבקת לידים'!$F$2*78.233+IFERROR(--RIGHT(A659,6),LEN(A659))*0.0137+IFERROR(--RIGHT(B659,6),LEN(B659))*0.0071))*43758.5453,1),"")</f>
        <v/>
      </c>
      <c r="E659" s="0" t="str">
        <f aca="false">IF(C659=1,INT(MOD(ABS(SIN(D659*7919.123+ROW()*0.618+'הדבקת לידים'!$F$2*1.3))*43758.5453,1)*1000000)*10000+ROW(),"")</f>
        <v/>
      </c>
      <c r="F659" s="0" t="str">
        <f aca="false">IF(E659="","",RANK(E659,$E$2:$E$5001,1))</f>
        <v/>
      </c>
      <c r="G659" s="0" t="n">
        <f aca="false">IF(A659="",0,IF(SUMPRODUCT(--($A$2:$A$5001=A659))&gt;1,1,0))</f>
        <v>0</v>
      </c>
      <c r="H659" s="0" t="n">
        <f aca="false">ROW()-1</f>
        <v>658</v>
      </c>
      <c r="I659" s="0" t="str">
        <f aca="false">IF(OR(הגדרות!$E$6=0,H659&gt;הגדרות!$E$5),"",IF(H659-1&lt;הגדרות!$E$8*(הגדרות!$E$7+1),INT((H659-1)/(הגדרות!$E$7+1)),הגדרות!$E$8+INT((H659-1-הגדרות!$E$8*(הגדרות!$E$7+1))/הגדרות!$E$7)))</f>
        <v/>
      </c>
      <c r="J659" s="0" t="str">
        <f aca="false">IF(I659="","",IF(H659-1&lt;הגדרות!$E$8*(הגדרות!$E$7+1),MOD(H659-1,הגדרות!$E$7+1),MOD(H659-1-הגדרות!$E$8*(הגדרות!$E$7+1),הגדרות!$E$7)))</f>
        <v/>
      </c>
      <c r="K659" s="0" t="str">
        <f aca="false">IF(I659="","",J659*הגדרות!$E$6+I659+1)</f>
        <v/>
      </c>
      <c r="L659" s="0" t="str">
        <f aca="false">IF(K659="","",MATCH(K659,$F$2:$F$5001,0))</f>
        <v/>
      </c>
      <c r="M659" s="0" t="str">
        <f aca="false">IF(I659="","",INDEX(הגדרות!$A$2:$A$21,MOD(I659+הגדרות!$E$9,הגדרות!$E$6)+1))</f>
        <v/>
      </c>
    </row>
    <row r="660" customFormat="false" ht="15" hidden="false" customHeight="false" outlineLevel="0" collapsed="false">
      <c r="A660" s="0" t="str">
        <f aca="false">IF('הדבקת לידים'!A660="","",IF(ISNUMBER('הדבקת לידים'!A660),IF(הגדרות!$E$2&gt;0,TEXT('הדבקת לידים'!A660,REPT("0",הגדרות!$E$2)),TEXT('הדבקת לידים'!A660,"0")),TRIM('הדבקת לידים'!A660)))</f>
        <v/>
      </c>
      <c r="B660" s="0" t="str">
        <f aca="false">IF('הדבקת לידים'!B660="","",IF(ISNUMBER('הדבקת לידים'!B660),IF(הגדרות!$E$3&gt;0,TEXT('הדבקת לידים'!B660,REPT("0",הגדרות!$E$3)),TEXT('הדבקת לידים'!B660,"0")),TRIM('הדבקת לידים'!B660)))</f>
        <v/>
      </c>
      <c r="C660" s="0" t="n">
        <f aca="false">IF(OR(A660&lt;&gt;"",B660&lt;&gt;""),1,0)</f>
        <v>0</v>
      </c>
      <c r="D660" s="0" t="str">
        <f aca="false">IF(C660=1,MOD(ABS(SIN(ROW()*12.9898+'הדבקת לידים'!$F$2*78.233+IFERROR(--RIGHT(A660,6),LEN(A660))*0.0137+IFERROR(--RIGHT(B660,6),LEN(B660))*0.0071))*43758.5453,1),"")</f>
        <v/>
      </c>
      <c r="E660" s="0" t="str">
        <f aca="false">IF(C660=1,INT(MOD(ABS(SIN(D660*7919.123+ROW()*0.618+'הדבקת לידים'!$F$2*1.3))*43758.5453,1)*1000000)*10000+ROW(),"")</f>
        <v/>
      </c>
      <c r="F660" s="0" t="str">
        <f aca="false">IF(E660="","",RANK(E660,$E$2:$E$5001,1))</f>
        <v/>
      </c>
      <c r="G660" s="0" t="n">
        <f aca="false">IF(A660="",0,IF(SUMPRODUCT(--($A$2:$A$5001=A660))&gt;1,1,0))</f>
        <v>0</v>
      </c>
      <c r="H660" s="0" t="n">
        <f aca="false">ROW()-1</f>
        <v>659</v>
      </c>
      <c r="I660" s="0" t="str">
        <f aca="false">IF(OR(הגדרות!$E$6=0,H660&gt;הגדרות!$E$5),"",IF(H660-1&lt;הגדרות!$E$8*(הגדרות!$E$7+1),INT((H660-1)/(הגדרות!$E$7+1)),הגדרות!$E$8+INT((H660-1-הגדרות!$E$8*(הגדרות!$E$7+1))/הגדרות!$E$7)))</f>
        <v/>
      </c>
      <c r="J660" s="0" t="str">
        <f aca="false">IF(I660="","",IF(H660-1&lt;הגדרות!$E$8*(הגדרות!$E$7+1),MOD(H660-1,הגדרות!$E$7+1),MOD(H660-1-הגדרות!$E$8*(הגדרות!$E$7+1),הגדרות!$E$7)))</f>
        <v/>
      </c>
      <c r="K660" s="0" t="str">
        <f aca="false">IF(I660="","",J660*הגדרות!$E$6+I660+1)</f>
        <v/>
      </c>
      <c r="L660" s="0" t="str">
        <f aca="false">IF(K660="","",MATCH(K660,$F$2:$F$5001,0))</f>
        <v/>
      </c>
      <c r="M660" s="0" t="str">
        <f aca="false">IF(I660="","",INDEX(הגדרות!$A$2:$A$21,MOD(I660+הגדרות!$E$9,הגדרות!$E$6)+1))</f>
        <v/>
      </c>
    </row>
    <row r="661" customFormat="false" ht="15" hidden="false" customHeight="false" outlineLevel="0" collapsed="false">
      <c r="A661" s="0" t="str">
        <f aca="false">IF('הדבקת לידים'!A661="","",IF(ISNUMBER('הדבקת לידים'!A661),IF(הגדרות!$E$2&gt;0,TEXT('הדבקת לידים'!A661,REPT("0",הגדרות!$E$2)),TEXT('הדבקת לידים'!A661,"0")),TRIM('הדבקת לידים'!A661)))</f>
        <v/>
      </c>
      <c r="B661" s="0" t="str">
        <f aca="false">IF('הדבקת לידים'!B661="","",IF(ISNUMBER('הדבקת לידים'!B661),IF(הגדרות!$E$3&gt;0,TEXT('הדבקת לידים'!B661,REPT("0",הגדרות!$E$3)),TEXT('הדבקת לידים'!B661,"0")),TRIM('הדבקת לידים'!B661)))</f>
        <v/>
      </c>
      <c r="C661" s="0" t="n">
        <f aca="false">IF(OR(A661&lt;&gt;"",B661&lt;&gt;""),1,0)</f>
        <v>0</v>
      </c>
      <c r="D661" s="0" t="str">
        <f aca="false">IF(C661=1,MOD(ABS(SIN(ROW()*12.9898+'הדבקת לידים'!$F$2*78.233+IFERROR(--RIGHT(A661,6),LEN(A661))*0.0137+IFERROR(--RIGHT(B661,6),LEN(B661))*0.0071))*43758.5453,1),"")</f>
        <v/>
      </c>
      <c r="E661" s="0" t="str">
        <f aca="false">IF(C661=1,INT(MOD(ABS(SIN(D661*7919.123+ROW()*0.618+'הדבקת לידים'!$F$2*1.3))*43758.5453,1)*1000000)*10000+ROW(),"")</f>
        <v/>
      </c>
      <c r="F661" s="0" t="str">
        <f aca="false">IF(E661="","",RANK(E661,$E$2:$E$5001,1))</f>
        <v/>
      </c>
      <c r="G661" s="0" t="n">
        <f aca="false">IF(A661="",0,IF(SUMPRODUCT(--($A$2:$A$5001=A661))&gt;1,1,0))</f>
        <v>0</v>
      </c>
      <c r="H661" s="0" t="n">
        <f aca="false">ROW()-1</f>
        <v>660</v>
      </c>
      <c r="I661" s="0" t="str">
        <f aca="false">IF(OR(הגדרות!$E$6=0,H661&gt;הגדרות!$E$5),"",IF(H661-1&lt;הגדרות!$E$8*(הגדרות!$E$7+1),INT((H661-1)/(הגדרות!$E$7+1)),הגדרות!$E$8+INT((H661-1-הגדרות!$E$8*(הגדרות!$E$7+1))/הגדרות!$E$7)))</f>
        <v/>
      </c>
      <c r="J661" s="0" t="str">
        <f aca="false">IF(I661="","",IF(H661-1&lt;הגדרות!$E$8*(הגדרות!$E$7+1),MOD(H661-1,הגדרות!$E$7+1),MOD(H661-1-הגדרות!$E$8*(הגדרות!$E$7+1),הגדרות!$E$7)))</f>
        <v/>
      </c>
      <c r="K661" s="0" t="str">
        <f aca="false">IF(I661="","",J661*הגדרות!$E$6+I661+1)</f>
        <v/>
      </c>
      <c r="L661" s="0" t="str">
        <f aca="false">IF(K661="","",MATCH(K661,$F$2:$F$5001,0))</f>
        <v/>
      </c>
      <c r="M661" s="0" t="str">
        <f aca="false">IF(I661="","",INDEX(הגדרות!$A$2:$A$21,MOD(I661+הגדרות!$E$9,הגדרות!$E$6)+1))</f>
        <v/>
      </c>
    </row>
    <row r="662" customFormat="false" ht="15" hidden="false" customHeight="false" outlineLevel="0" collapsed="false">
      <c r="A662" s="0" t="str">
        <f aca="false">IF('הדבקת לידים'!A662="","",IF(ISNUMBER('הדבקת לידים'!A662),IF(הגדרות!$E$2&gt;0,TEXT('הדבקת לידים'!A662,REPT("0",הגדרות!$E$2)),TEXT('הדבקת לידים'!A662,"0")),TRIM('הדבקת לידים'!A662)))</f>
        <v/>
      </c>
      <c r="B662" s="0" t="str">
        <f aca="false">IF('הדבקת לידים'!B662="","",IF(ISNUMBER('הדבקת לידים'!B662),IF(הגדרות!$E$3&gt;0,TEXT('הדבקת לידים'!B662,REPT("0",הגדרות!$E$3)),TEXT('הדבקת לידים'!B662,"0")),TRIM('הדבקת לידים'!B662)))</f>
        <v/>
      </c>
      <c r="C662" s="0" t="n">
        <f aca="false">IF(OR(A662&lt;&gt;"",B662&lt;&gt;""),1,0)</f>
        <v>0</v>
      </c>
      <c r="D662" s="0" t="str">
        <f aca="false">IF(C662=1,MOD(ABS(SIN(ROW()*12.9898+'הדבקת לידים'!$F$2*78.233+IFERROR(--RIGHT(A662,6),LEN(A662))*0.0137+IFERROR(--RIGHT(B662,6),LEN(B662))*0.0071))*43758.5453,1),"")</f>
        <v/>
      </c>
      <c r="E662" s="0" t="str">
        <f aca="false">IF(C662=1,INT(MOD(ABS(SIN(D662*7919.123+ROW()*0.618+'הדבקת לידים'!$F$2*1.3))*43758.5453,1)*1000000)*10000+ROW(),"")</f>
        <v/>
      </c>
      <c r="F662" s="0" t="str">
        <f aca="false">IF(E662="","",RANK(E662,$E$2:$E$5001,1))</f>
        <v/>
      </c>
      <c r="G662" s="0" t="n">
        <f aca="false">IF(A662="",0,IF(SUMPRODUCT(--($A$2:$A$5001=A662))&gt;1,1,0))</f>
        <v>0</v>
      </c>
      <c r="H662" s="0" t="n">
        <f aca="false">ROW()-1</f>
        <v>661</v>
      </c>
      <c r="I662" s="0" t="str">
        <f aca="false">IF(OR(הגדרות!$E$6=0,H662&gt;הגדרות!$E$5),"",IF(H662-1&lt;הגדרות!$E$8*(הגדרות!$E$7+1),INT((H662-1)/(הגדרות!$E$7+1)),הגדרות!$E$8+INT((H662-1-הגדרות!$E$8*(הגדרות!$E$7+1))/הגדרות!$E$7)))</f>
        <v/>
      </c>
      <c r="J662" s="0" t="str">
        <f aca="false">IF(I662="","",IF(H662-1&lt;הגדרות!$E$8*(הגדרות!$E$7+1),MOD(H662-1,הגדרות!$E$7+1),MOD(H662-1-הגדרות!$E$8*(הגדרות!$E$7+1),הגדרות!$E$7)))</f>
        <v/>
      </c>
      <c r="K662" s="0" t="str">
        <f aca="false">IF(I662="","",J662*הגדרות!$E$6+I662+1)</f>
        <v/>
      </c>
      <c r="L662" s="0" t="str">
        <f aca="false">IF(K662="","",MATCH(K662,$F$2:$F$5001,0))</f>
        <v/>
      </c>
      <c r="M662" s="0" t="str">
        <f aca="false">IF(I662="","",INDEX(הגדרות!$A$2:$A$21,MOD(I662+הגדרות!$E$9,הגדרות!$E$6)+1))</f>
        <v/>
      </c>
    </row>
    <row r="663" customFormat="false" ht="15" hidden="false" customHeight="false" outlineLevel="0" collapsed="false">
      <c r="A663" s="0" t="str">
        <f aca="false">IF('הדבקת לידים'!A663="","",IF(ISNUMBER('הדבקת לידים'!A663),IF(הגדרות!$E$2&gt;0,TEXT('הדבקת לידים'!A663,REPT("0",הגדרות!$E$2)),TEXT('הדבקת לידים'!A663,"0")),TRIM('הדבקת לידים'!A663)))</f>
        <v/>
      </c>
      <c r="B663" s="0" t="str">
        <f aca="false">IF('הדבקת לידים'!B663="","",IF(ISNUMBER('הדבקת לידים'!B663),IF(הגדרות!$E$3&gt;0,TEXT('הדבקת לידים'!B663,REPT("0",הגדרות!$E$3)),TEXT('הדבקת לידים'!B663,"0")),TRIM('הדבקת לידים'!B663)))</f>
        <v/>
      </c>
      <c r="C663" s="0" t="n">
        <f aca="false">IF(OR(A663&lt;&gt;"",B663&lt;&gt;""),1,0)</f>
        <v>0</v>
      </c>
      <c r="D663" s="0" t="str">
        <f aca="false">IF(C663=1,MOD(ABS(SIN(ROW()*12.9898+'הדבקת לידים'!$F$2*78.233+IFERROR(--RIGHT(A663,6),LEN(A663))*0.0137+IFERROR(--RIGHT(B663,6),LEN(B663))*0.0071))*43758.5453,1),"")</f>
        <v/>
      </c>
      <c r="E663" s="0" t="str">
        <f aca="false">IF(C663=1,INT(MOD(ABS(SIN(D663*7919.123+ROW()*0.618+'הדבקת לידים'!$F$2*1.3))*43758.5453,1)*1000000)*10000+ROW(),"")</f>
        <v/>
      </c>
      <c r="F663" s="0" t="str">
        <f aca="false">IF(E663="","",RANK(E663,$E$2:$E$5001,1))</f>
        <v/>
      </c>
      <c r="G663" s="0" t="n">
        <f aca="false">IF(A663="",0,IF(SUMPRODUCT(--($A$2:$A$5001=A663))&gt;1,1,0))</f>
        <v>0</v>
      </c>
      <c r="H663" s="0" t="n">
        <f aca="false">ROW()-1</f>
        <v>662</v>
      </c>
      <c r="I663" s="0" t="str">
        <f aca="false">IF(OR(הגדרות!$E$6=0,H663&gt;הגדרות!$E$5),"",IF(H663-1&lt;הגדרות!$E$8*(הגדרות!$E$7+1),INT((H663-1)/(הגדרות!$E$7+1)),הגדרות!$E$8+INT((H663-1-הגדרות!$E$8*(הגדרות!$E$7+1))/הגדרות!$E$7)))</f>
        <v/>
      </c>
      <c r="J663" s="0" t="str">
        <f aca="false">IF(I663="","",IF(H663-1&lt;הגדרות!$E$8*(הגדרות!$E$7+1),MOD(H663-1,הגדרות!$E$7+1),MOD(H663-1-הגדרות!$E$8*(הגדרות!$E$7+1),הגדרות!$E$7)))</f>
        <v/>
      </c>
      <c r="K663" s="0" t="str">
        <f aca="false">IF(I663="","",J663*הגדרות!$E$6+I663+1)</f>
        <v/>
      </c>
      <c r="L663" s="0" t="str">
        <f aca="false">IF(K663="","",MATCH(K663,$F$2:$F$5001,0))</f>
        <v/>
      </c>
      <c r="M663" s="0" t="str">
        <f aca="false">IF(I663="","",INDEX(הגדרות!$A$2:$A$21,MOD(I663+הגדרות!$E$9,הגדרות!$E$6)+1))</f>
        <v/>
      </c>
    </row>
    <row r="664" customFormat="false" ht="15" hidden="false" customHeight="false" outlineLevel="0" collapsed="false">
      <c r="A664" s="0" t="str">
        <f aca="false">IF('הדבקת לידים'!A664="","",IF(ISNUMBER('הדבקת לידים'!A664),IF(הגדרות!$E$2&gt;0,TEXT('הדבקת לידים'!A664,REPT("0",הגדרות!$E$2)),TEXT('הדבקת לידים'!A664,"0")),TRIM('הדבקת לידים'!A664)))</f>
        <v/>
      </c>
      <c r="B664" s="0" t="str">
        <f aca="false">IF('הדבקת לידים'!B664="","",IF(ISNUMBER('הדבקת לידים'!B664),IF(הגדרות!$E$3&gt;0,TEXT('הדבקת לידים'!B664,REPT("0",הגדרות!$E$3)),TEXT('הדבקת לידים'!B664,"0")),TRIM('הדבקת לידים'!B664)))</f>
        <v/>
      </c>
      <c r="C664" s="0" t="n">
        <f aca="false">IF(OR(A664&lt;&gt;"",B664&lt;&gt;""),1,0)</f>
        <v>0</v>
      </c>
      <c r="D664" s="0" t="str">
        <f aca="false">IF(C664=1,MOD(ABS(SIN(ROW()*12.9898+'הדבקת לידים'!$F$2*78.233+IFERROR(--RIGHT(A664,6),LEN(A664))*0.0137+IFERROR(--RIGHT(B664,6),LEN(B664))*0.0071))*43758.5453,1),"")</f>
        <v/>
      </c>
      <c r="E664" s="0" t="str">
        <f aca="false">IF(C664=1,INT(MOD(ABS(SIN(D664*7919.123+ROW()*0.618+'הדבקת לידים'!$F$2*1.3))*43758.5453,1)*1000000)*10000+ROW(),"")</f>
        <v/>
      </c>
      <c r="F664" s="0" t="str">
        <f aca="false">IF(E664="","",RANK(E664,$E$2:$E$5001,1))</f>
        <v/>
      </c>
      <c r="G664" s="0" t="n">
        <f aca="false">IF(A664="",0,IF(SUMPRODUCT(--($A$2:$A$5001=A664))&gt;1,1,0))</f>
        <v>0</v>
      </c>
      <c r="H664" s="0" t="n">
        <f aca="false">ROW()-1</f>
        <v>663</v>
      </c>
      <c r="I664" s="0" t="str">
        <f aca="false">IF(OR(הגדרות!$E$6=0,H664&gt;הגדרות!$E$5),"",IF(H664-1&lt;הגדרות!$E$8*(הגדרות!$E$7+1),INT((H664-1)/(הגדרות!$E$7+1)),הגדרות!$E$8+INT((H664-1-הגדרות!$E$8*(הגדרות!$E$7+1))/הגדרות!$E$7)))</f>
        <v/>
      </c>
      <c r="J664" s="0" t="str">
        <f aca="false">IF(I664="","",IF(H664-1&lt;הגדרות!$E$8*(הגדרות!$E$7+1),MOD(H664-1,הגדרות!$E$7+1),MOD(H664-1-הגדרות!$E$8*(הגדרות!$E$7+1),הגדרות!$E$7)))</f>
        <v/>
      </c>
      <c r="K664" s="0" t="str">
        <f aca="false">IF(I664="","",J664*הגדרות!$E$6+I664+1)</f>
        <v/>
      </c>
      <c r="L664" s="0" t="str">
        <f aca="false">IF(K664="","",MATCH(K664,$F$2:$F$5001,0))</f>
        <v/>
      </c>
      <c r="M664" s="0" t="str">
        <f aca="false">IF(I664="","",INDEX(הגדרות!$A$2:$A$21,MOD(I664+הגדרות!$E$9,הגדרות!$E$6)+1))</f>
        <v/>
      </c>
    </row>
    <row r="665" customFormat="false" ht="15" hidden="false" customHeight="false" outlineLevel="0" collapsed="false">
      <c r="A665" s="0" t="str">
        <f aca="false">IF('הדבקת לידים'!A665="","",IF(ISNUMBER('הדבקת לידים'!A665),IF(הגדרות!$E$2&gt;0,TEXT('הדבקת לידים'!A665,REPT("0",הגדרות!$E$2)),TEXT('הדבקת לידים'!A665,"0")),TRIM('הדבקת לידים'!A665)))</f>
        <v/>
      </c>
      <c r="B665" s="0" t="str">
        <f aca="false">IF('הדבקת לידים'!B665="","",IF(ISNUMBER('הדבקת לידים'!B665),IF(הגדרות!$E$3&gt;0,TEXT('הדבקת לידים'!B665,REPT("0",הגדרות!$E$3)),TEXT('הדבקת לידים'!B665,"0")),TRIM('הדבקת לידים'!B665)))</f>
        <v/>
      </c>
      <c r="C665" s="0" t="n">
        <f aca="false">IF(OR(A665&lt;&gt;"",B665&lt;&gt;""),1,0)</f>
        <v>0</v>
      </c>
      <c r="D665" s="0" t="str">
        <f aca="false">IF(C665=1,MOD(ABS(SIN(ROW()*12.9898+'הדבקת לידים'!$F$2*78.233+IFERROR(--RIGHT(A665,6),LEN(A665))*0.0137+IFERROR(--RIGHT(B665,6),LEN(B665))*0.0071))*43758.5453,1),"")</f>
        <v/>
      </c>
      <c r="E665" s="0" t="str">
        <f aca="false">IF(C665=1,INT(MOD(ABS(SIN(D665*7919.123+ROW()*0.618+'הדבקת לידים'!$F$2*1.3))*43758.5453,1)*1000000)*10000+ROW(),"")</f>
        <v/>
      </c>
      <c r="F665" s="0" t="str">
        <f aca="false">IF(E665="","",RANK(E665,$E$2:$E$5001,1))</f>
        <v/>
      </c>
      <c r="G665" s="0" t="n">
        <f aca="false">IF(A665="",0,IF(SUMPRODUCT(--($A$2:$A$5001=A665))&gt;1,1,0))</f>
        <v>0</v>
      </c>
      <c r="H665" s="0" t="n">
        <f aca="false">ROW()-1</f>
        <v>664</v>
      </c>
      <c r="I665" s="0" t="str">
        <f aca="false">IF(OR(הגדרות!$E$6=0,H665&gt;הגדרות!$E$5),"",IF(H665-1&lt;הגדרות!$E$8*(הגדרות!$E$7+1),INT((H665-1)/(הגדרות!$E$7+1)),הגדרות!$E$8+INT((H665-1-הגדרות!$E$8*(הגדרות!$E$7+1))/הגדרות!$E$7)))</f>
        <v/>
      </c>
      <c r="J665" s="0" t="str">
        <f aca="false">IF(I665="","",IF(H665-1&lt;הגדרות!$E$8*(הגדרות!$E$7+1),MOD(H665-1,הגדרות!$E$7+1),MOD(H665-1-הגדרות!$E$8*(הגדרות!$E$7+1),הגדרות!$E$7)))</f>
        <v/>
      </c>
      <c r="K665" s="0" t="str">
        <f aca="false">IF(I665="","",J665*הגדרות!$E$6+I665+1)</f>
        <v/>
      </c>
      <c r="L665" s="0" t="str">
        <f aca="false">IF(K665="","",MATCH(K665,$F$2:$F$5001,0))</f>
        <v/>
      </c>
      <c r="M665" s="0" t="str">
        <f aca="false">IF(I665="","",INDEX(הגדרות!$A$2:$A$21,MOD(I665+הגדרות!$E$9,הגדרות!$E$6)+1))</f>
        <v/>
      </c>
    </row>
    <row r="666" customFormat="false" ht="15" hidden="false" customHeight="false" outlineLevel="0" collapsed="false">
      <c r="A666" s="0" t="str">
        <f aca="false">IF('הדבקת לידים'!A666="","",IF(ISNUMBER('הדבקת לידים'!A666),IF(הגדרות!$E$2&gt;0,TEXT('הדבקת לידים'!A666,REPT("0",הגדרות!$E$2)),TEXT('הדבקת לידים'!A666,"0")),TRIM('הדבקת לידים'!A666)))</f>
        <v/>
      </c>
      <c r="B666" s="0" t="str">
        <f aca="false">IF('הדבקת לידים'!B666="","",IF(ISNUMBER('הדבקת לידים'!B666),IF(הגדרות!$E$3&gt;0,TEXT('הדבקת לידים'!B666,REPT("0",הגדרות!$E$3)),TEXT('הדבקת לידים'!B666,"0")),TRIM('הדבקת לידים'!B666)))</f>
        <v/>
      </c>
      <c r="C666" s="0" t="n">
        <f aca="false">IF(OR(A666&lt;&gt;"",B666&lt;&gt;""),1,0)</f>
        <v>0</v>
      </c>
      <c r="D666" s="0" t="str">
        <f aca="false">IF(C666=1,MOD(ABS(SIN(ROW()*12.9898+'הדבקת לידים'!$F$2*78.233+IFERROR(--RIGHT(A666,6),LEN(A666))*0.0137+IFERROR(--RIGHT(B666,6),LEN(B666))*0.0071))*43758.5453,1),"")</f>
        <v/>
      </c>
      <c r="E666" s="0" t="str">
        <f aca="false">IF(C666=1,INT(MOD(ABS(SIN(D666*7919.123+ROW()*0.618+'הדבקת לידים'!$F$2*1.3))*43758.5453,1)*1000000)*10000+ROW(),"")</f>
        <v/>
      </c>
      <c r="F666" s="0" t="str">
        <f aca="false">IF(E666="","",RANK(E666,$E$2:$E$5001,1))</f>
        <v/>
      </c>
      <c r="G666" s="0" t="n">
        <f aca="false">IF(A666="",0,IF(SUMPRODUCT(--($A$2:$A$5001=A666))&gt;1,1,0))</f>
        <v>0</v>
      </c>
      <c r="H666" s="0" t="n">
        <f aca="false">ROW()-1</f>
        <v>665</v>
      </c>
      <c r="I666" s="0" t="str">
        <f aca="false">IF(OR(הגדרות!$E$6=0,H666&gt;הגדרות!$E$5),"",IF(H666-1&lt;הגדרות!$E$8*(הגדרות!$E$7+1),INT((H666-1)/(הגדרות!$E$7+1)),הגדרות!$E$8+INT((H666-1-הגדרות!$E$8*(הגדרות!$E$7+1))/הגדרות!$E$7)))</f>
        <v/>
      </c>
      <c r="J666" s="0" t="str">
        <f aca="false">IF(I666="","",IF(H666-1&lt;הגדרות!$E$8*(הגדרות!$E$7+1),MOD(H666-1,הגדרות!$E$7+1),MOD(H666-1-הגדרות!$E$8*(הגדרות!$E$7+1),הגדרות!$E$7)))</f>
        <v/>
      </c>
      <c r="K666" s="0" t="str">
        <f aca="false">IF(I666="","",J666*הגדרות!$E$6+I666+1)</f>
        <v/>
      </c>
      <c r="L666" s="0" t="str">
        <f aca="false">IF(K666="","",MATCH(K666,$F$2:$F$5001,0))</f>
        <v/>
      </c>
      <c r="M666" s="0" t="str">
        <f aca="false">IF(I666="","",INDEX(הגדרות!$A$2:$A$21,MOD(I666+הגדרות!$E$9,הגדרות!$E$6)+1))</f>
        <v/>
      </c>
    </row>
    <row r="667" customFormat="false" ht="15" hidden="false" customHeight="false" outlineLevel="0" collapsed="false">
      <c r="A667" s="0" t="str">
        <f aca="false">IF('הדבקת לידים'!A667="","",IF(ISNUMBER('הדבקת לידים'!A667),IF(הגדרות!$E$2&gt;0,TEXT('הדבקת לידים'!A667,REPT("0",הגדרות!$E$2)),TEXT('הדבקת לידים'!A667,"0")),TRIM('הדבקת לידים'!A667)))</f>
        <v/>
      </c>
      <c r="B667" s="0" t="str">
        <f aca="false">IF('הדבקת לידים'!B667="","",IF(ISNUMBER('הדבקת לידים'!B667),IF(הגדרות!$E$3&gt;0,TEXT('הדבקת לידים'!B667,REPT("0",הגדרות!$E$3)),TEXT('הדבקת לידים'!B667,"0")),TRIM('הדבקת לידים'!B667)))</f>
        <v/>
      </c>
      <c r="C667" s="0" t="n">
        <f aca="false">IF(OR(A667&lt;&gt;"",B667&lt;&gt;""),1,0)</f>
        <v>0</v>
      </c>
      <c r="D667" s="0" t="str">
        <f aca="false">IF(C667=1,MOD(ABS(SIN(ROW()*12.9898+'הדבקת לידים'!$F$2*78.233+IFERROR(--RIGHT(A667,6),LEN(A667))*0.0137+IFERROR(--RIGHT(B667,6),LEN(B667))*0.0071))*43758.5453,1),"")</f>
        <v/>
      </c>
      <c r="E667" s="0" t="str">
        <f aca="false">IF(C667=1,INT(MOD(ABS(SIN(D667*7919.123+ROW()*0.618+'הדבקת לידים'!$F$2*1.3))*43758.5453,1)*1000000)*10000+ROW(),"")</f>
        <v/>
      </c>
      <c r="F667" s="0" t="str">
        <f aca="false">IF(E667="","",RANK(E667,$E$2:$E$5001,1))</f>
        <v/>
      </c>
      <c r="G667" s="0" t="n">
        <f aca="false">IF(A667="",0,IF(SUMPRODUCT(--($A$2:$A$5001=A667))&gt;1,1,0))</f>
        <v>0</v>
      </c>
      <c r="H667" s="0" t="n">
        <f aca="false">ROW()-1</f>
        <v>666</v>
      </c>
      <c r="I667" s="0" t="str">
        <f aca="false">IF(OR(הגדרות!$E$6=0,H667&gt;הגדרות!$E$5),"",IF(H667-1&lt;הגדרות!$E$8*(הגדרות!$E$7+1),INT((H667-1)/(הגדרות!$E$7+1)),הגדרות!$E$8+INT((H667-1-הגדרות!$E$8*(הגדרות!$E$7+1))/הגדרות!$E$7)))</f>
        <v/>
      </c>
      <c r="J667" s="0" t="str">
        <f aca="false">IF(I667="","",IF(H667-1&lt;הגדרות!$E$8*(הגדרות!$E$7+1),MOD(H667-1,הגדרות!$E$7+1),MOD(H667-1-הגדרות!$E$8*(הגדרות!$E$7+1),הגדרות!$E$7)))</f>
        <v/>
      </c>
      <c r="K667" s="0" t="str">
        <f aca="false">IF(I667="","",J667*הגדרות!$E$6+I667+1)</f>
        <v/>
      </c>
      <c r="L667" s="0" t="str">
        <f aca="false">IF(K667="","",MATCH(K667,$F$2:$F$5001,0))</f>
        <v/>
      </c>
      <c r="M667" s="0" t="str">
        <f aca="false">IF(I667="","",INDEX(הגדרות!$A$2:$A$21,MOD(I667+הגדרות!$E$9,הגדרות!$E$6)+1))</f>
        <v/>
      </c>
    </row>
    <row r="668" customFormat="false" ht="15" hidden="false" customHeight="false" outlineLevel="0" collapsed="false">
      <c r="A668" s="0" t="str">
        <f aca="false">IF('הדבקת לידים'!A668="","",IF(ISNUMBER('הדבקת לידים'!A668),IF(הגדרות!$E$2&gt;0,TEXT('הדבקת לידים'!A668,REPT("0",הגדרות!$E$2)),TEXT('הדבקת לידים'!A668,"0")),TRIM('הדבקת לידים'!A668)))</f>
        <v/>
      </c>
      <c r="B668" s="0" t="str">
        <f aca="false">IF('הדבקת לידים'!B668="","",IF(ISNUMBER('הדבקת לידים'!B668),IF(הגדרות!$E$3&gt;0,TEXT('הדבקת לידים'!B668,REPT("0",הגדרות!$E$3)),TEXT('הדבקת לידים'!B668,"0")),TRIM('הדבקת לידים'!B668)))</f>
        <v/>
      </c>
      <c r="C668" s="0" t="n">
        <f aca="false">IF(OR(A668&lt;&gt;"",B668&lt;&gt;""),1,0)</f>
        <v>0</v>
      </c>
      <c r="D668" s="0" t="str">
        <f aca="false">IF(C668=1,MOD(ABS(SIN(ROW()*12.9898+'הדבקת לידים'!$F$2*78.233+IFERROR(--RIGHT(A668,6),LEN(A668))*0.0137+IFERROR(--RIGHT(B668,6),LEN(B668))*0.0071))*43758.5453,1),"")</f>
        <v/>
      </c>
      <c r="E668" s="0" t="str">
        <f aca="false">IF(C668=1,INT(MOD(ABS(SIN(D668*7919.123+ROW()*0.618+'הדבקת לידים'!$F$2*1.3))*43758.5453,1)*1000000)*10000+ROW(),"")</f>
        <v/>
      </c>
      <c r="F668" s="0" t="str">
        <f aca="false">IF(E668="","",RANK(E668,$E$2:$E$5001,1))</f>
        <v/>
      </c>
      <c r="G668" s="0" t="n">
        <f aca="false">IF(A668="",0,IF(SUMPRODUCT(--($A$2:$A$5001=A668))&gt;1,1,0))</f>
        <v>0</v>
      </c>
      <c r="H668" s="0" t="n">
        <f aca="false">ROW()-1</f>
        <v>667</v>
      </c>
      <c r="I668" s="0" t="str">
        <f aca="false">IF(OR(הגדרות!$E$6=0,H668&gt;הגדרות!$E$5),"",IF(H668-1&lt;הגדרות!$E$8*(הגדרות!$E$7+1),INT((H668-1)/(הגדרות!$E$7+1)),הגדרות!$E$8+INT((H668-1-הגדרות!$E$8*(הגדרות!$E$7+1))/הגדרות!$E$7)))</f>
        <v/>
      </c>
      <c r="J668" s="0" t="str">
        <f aca="false">IF(I668="","",IF(H668-1&lt;הגדרות!$E$8*(הגדרות!$E$7+1),MOD(H668-1,הגדרות!$E$7+1),MOD(H668-1-הגדרות!$E$8*(הגדרות!$E$7+1),הגדרות!$E$7)))</f>
        <v/>
      </c>
      <c r="K668" s="0" t="str">
        <f aca="false">IF(I668="","",J668*הגדרות!$E$6+I668+1)</f>
        <v/>
      </c>
      <c r="L668" s="0" t="str">
        <f aca="false">IF(K668="","",MATCH(K668,$F$2:$F$5001,0))</f>
        <v/>
      </c>
      <c r="M668" s="0" t="str">
        <f aca="false">IF(I668="","",INDEX(הגדרות!$A$2:$A$21,MOD(I668+הגדרות!$E$9,הגדרות!$E$6)+1))</f>
        <v/>
      </c>
    </row>
    <row r="669" customFormat="false" ht="15" hidden="false" customHeight="false" outlineLevel="0" collapsed="false">
      <c r="A669" s="0" t="str">
        <f aca="false">IF('הדבקת לידים'!A669="","",IF(ISNUMBER('הדבקת לידים'!A669),IF(הגדרות!$E$2&gt;0,TEXT('הדבקת לידים'!A669,REPT("0",הגדרות!$E$2)),TEXT('הדבקת לידים'!A669,"0")),TRIM('הדבקת לידים'!A669)))</f>
        <v/>
      </c>
      <c r="B669" s="0" t="str">
        <f aca="false">IF('הדבקת לידים'!B669="","",IF(ISNUMBER('הדבקת לידים'!B669),IF(הגדרות!$E$3&gt;0,TEXT('הדבקת לידים'!B669,REPT("0",הגדרות!$E$3)),TEXT('הדבקת לידים'!B669,"0")),TRIM('הדבקת לידים'!B669)))</f>
        <v/>
      </c>
      <c r="C669" s="0" t="n">
        <f aca="false">IF(OR(A669&lt;&gt;"",B669&lt;&gt;""),1,0)</f>
        <v>0</v>
      </c>
      <c r="D669" s="0" t="str">
        <f aca="false">IF(C669=1,MOD(ABS(SIN(ROW()*12.9898+'הדבקת לידים'!$F$2*78.233+IFERROR(--RIGHT(A669,6),LEN(A669))*0.0137+IFERROR(--RIGHT(B669,6),LEN(B669))*0.0071))*43758.5453,1),"")</f>
        <v/>
      </c>
      <c r="E669" s="0" t="str">
        <f aca="false">IF(C669=1,INT(MOD(ABS(SIN(D669*7919.123+ROW()*0.618+'הדבקת לידים'!$F$2*1.3))*43758.5453,1)*1000000)*10000+ROW(),"")</f>
        <v/>
      </c>
      <c r="F669" s="0" t="str">
        <f aca="false">IF(E669="","",RANK(E669,$E$2:$E$5001,1))</f>
        <v/>
      </c>
      <c r="G669" s="0" t="n">
        <f aca="false">IF(A669="",0,IF(SUMPRODUCT(--($A$2:$A$5001=A669))&gt;1,1,0))</f>
        <v>0</v>
      </c>
      <c r="H669" s="0" t="n">
        <f aca="false">ROW()-1</f>
        <v>668</v>
      </c>
      <c r="I669" s="0" t="str">
        <f aca="false">IF(OR(הגדרות!$E$6=0,H669&gt;הגדרות!$E$5),"",IF(H669-1&lt;הגדרות!$E$8*(הגדרות!$E$7+1),INT((H669-1)/(הגדרות!$E$7+1)),הגדרות!$E$8+INT((H669-1-הגדרות!$E$8*(הגדרות!$E$7+1))/הגדרות!$E$7)))</f>
        <v/>
      </c>
      <c r="J669" s="0" t="str">
        <f aca="false">IF(I669="","",IF(H669-1&lt;הגדרות!$E$8*(הגדרות!$E$7+1),MOD(H669-1,הגדרות!$E$7+1),MOD(H669-1-הגדרות!$E$8*(הגדרות!$E$7+1),הגדרות!$E$7)))</f>
        <v/>
      </c>
      <c r="K669" s="0" t="str">
        <f aca="false">IF(I669="","",J669*הגדרות!$E$6+I669+1)</f>
        <v/>
      </c>
      <c r="L669" s="0" t="str">
        <f aca="false">IF(K669="","",MATCH(K669,$F$2:$F$5001,0))</f>
        <v/>
      </c>
      <c r="M669" s="0" t="str">
        <f aca="false">IF(I669="","",INDEX(הגדרות!$A$2:$A$21,MOD(I669+הגדרות!$E$9,הגדרות!$E$6)+1))</f>
        <v/>
      </c>
    </row>
    <row r="670" customFormat="false" ht="15" hidden="false" customHeight="false" outlineLevel="0" collapsed="false">
      <c r="A670" s="0" t="str">
        <f aca="false">IF('הדבקת לידים'!A670="","",IF(ISNUMBER('הדבקת לידים'!A670),IF(הגדרות!$E$2&gt;0,TEXT('הדבקת לידים'!A670,REPT("0",הגדרות!$E$2)),TEXT('הדבקת לידים'!A670,"0")),TRIM('הדבקת לידים'!A670)))</f>
        <v/>
      </c>
      <c r="B670" s="0" t="str">
        <f aca="false">IF('הדבקת לידים'!B670="","",IF(ISNUMBER('הדבקת לידים'!B670),IF(הגדרות!$E$3&gt;0,TEXT('הדבקת לידים'!B670,REPT("0",הגדרות!$E$3)),TEXT('הדבקת לידים'!B670,"0")),TRIM('הדבקת לידים'!B670)))</f>
        <v/>
      </c>
      <c r="C670" s="0" t="n">
        <f aca="false">IF(OR(A670&lt;&gt;"",B670&lt;&gt;""),1,0)</f>
        <v>0</v>
      </c>
      <c r="D670" s="0" t="str">
        <f aca="false">IF(C670=1,MOD(ABS(SIN(ROW()*12.9898+'הדבקת לידים'!$F$2*78.233+IFERROR(--RIGHT(A670,6),LEN(A670))*0.0137+IFERROR(--RIGHT(B670,6),LEN(B670))*0.0071))*43758.5453,1),"")</f>
        <v/>
      </c>
      <c r="E670" s="0" t="str">
        <f aca="false">IF(C670=1,INT(MOD(ABS(SIN(D670*7919.123+ROW()*0.618+'הדבקת לידים'!$F$2*1.3))*43758.5453,1)*1000000)*10000+ROW(),"")</f>
        <v/>
      </c>
      <c r="F670" s="0" t="str">
        <f aca="false">IF(E670="","",RANK(E670,$E$2:$E$5001,1))</f>
        <v/>
      </c>
      <c r="G670" s="0" t="n">
        <f aca="false">IF(A670="",0,IF(SUMPRODUCT(--($A$2:$A$5001=A670))&gt;1,1,0))</f>
        <v>0</v>
      </c>
      <c r="H670" s="0" t="n">
        <f aca="false">ROW()-1</f>
        <v>669</v>
      </c>
      <c r="I670" s="0" t="str">
        <f aca="false">IF(OR(הגדרות!$E$6=0,H670&gt;הגדרות!$E$5),"",IF(H670-1&lt;הגדרות!$E$8*(הגדרות!$E$7+1),INT((H670-1)/(הגדרות!$E$7+1)),הגדרות!$E$8+INT((H670-1-הגדרות!$E$8*(הגדרות!$E$7+1))/הגדרות!$E$7)))</f>
        <v/>
      </c>
      <c r="J670" s="0" t="str">
        <f aca="false">IF(I670="","",IF(H670-1&lt;הגדרות!$E$8*(הגדרות!$E$7+1),MOD(H670-1,הגדרות!$E$7+1),MOD(H670-1-הגדרות!$E$8*(הגדרות!$E$7+1),הגדרות!$E$7)))</f>
        <v/>
      </c>
      <c r="K670" s="0" t="str">
        <f aca="false">IF(I670="","",J670*הגדרות!$E$6+I670+1)</f>
        <v/>
      </c>
      <c r="L670" s="0" t="str">
        <f aca="false">IF(K670="","",MATCH(K670,$F$2:$F$5001,0))</f>
        <v/>
      </c>
      <c r="M670" s="0" t="str">
        <f aca="false">IF(I670="","",INDEX(הגדרות!$A$2:$A$21,MOD(I670+הגדרות!$E$9,הגדרות!$E$6)+1))</f>
        <v/>
      </c>
    </row>
    <row r="671" customFormat="false" ht="15" hidden="false" customHeight="false" outlineLevel="0" collapsed="false">
      <c r="A671" s="0" t="str">
        <f aca="false">IF('הדבקת לידים'!A671="","",IF(ISNUMBER('הדבקת לידים'!A671),IF(הגדרות!$E$2&gt;0,TEXT('הדבקת לידים'!A671,REPT("0",הגדרות!$E$2)),TEXT('הדבקת לידים'!A671,"0")),TRIM('הדבקת לידים'!A671)))</f>
        <v/>
      </c>
      <c r="B671" s="0" t="str">
        <f aca="false">IF('הדבקת לידים'!B671="","",IF(ISNUMBER('הדבקת לידים'!B671),IF(הגדרות!$E$3&gt;0,TEXT('הדבקת לידים'!B671,REPT("0",הגדרות!$E$3)),TEXT('הדבקת לידים'!B671,"0")),TRIM('הדבקת לידים'!B671)))</f>
        <v/>
      </c>
      <c r="C671" s="0" t="n">
        <f aca="false">IF(OR(A671&lt;&gt;"",B671&lt;&gt;""),1,0)</f>
        <v>0</v>
      </c>
      <c r="D671" s="0" t="str">
        <f aca="false">IF(C671=1,MOD(ABS(SIN(ROW()*12.9898+'הדבקת לידים'!$F$2*78.233+IFERROR(--RIGHT(A671,6),LEN(A671))*0.0137+IFERROR(--RIGHT(B671,6),LEN(B671))*0.0071))*43758.5453,1),"")</f>
        <v/>
      </c>
      <c r="E671" s="0" t="str">
        <f aca="false">IF(C671=1,INT(MOD(ABS(SIN(D671*7919.123+ROW()*0.618+'הדבקת לידים'!$F$2*1.3))*43758.5453,1)*1000000)*10000+ROW(),"")</f>
        <v/>
      </c>
      <c r="F671" s="0" t="str">
        <f aca="false">IF(E671="","",RANK(E671,$E$2:$E$5001,1))</f>
        <v/>
      </c>
      <c r="G671" s="0" t="n">
        <f aca="false">IF(A671="",0,IF(SUMPRODUCT(--($A$2:$A$5001=A671))&gt;1,1,0))</f>
        <v>0</v>
      </c>
      <c r="H671" s="0" t="n">
        <f aca="false">ROW()-1</f>
        <v>670</v>
      </c>
      <c r="I671" s="0" t="str">
        <f aca="false">IF(OR(הגדרות!$E$6=0,H671&gt;הגדרות!$E$5),"",IF(H671-1&lt;הגדרות!$E$8*(הגדרות!$E$7+1),INT((H671-1)/(הגדרות!$E$7+1)),הגדרות!$E$8+INT((H671-1-הגדרות!$E$8*(הגדרות!$E$7+1))/הגדרות!$E$7)))</f>
        <v/>
      </c>
      <c r="J671" s="0" t="str">
        <f aca="false">IF(I671="","",IF(H671-1&lt;הגדרות!$E$8*(הגדרות!$E$7+1),MOD(H671-1,הגדרות!$E$7+1),MOD(H671-1-הגדרות!$E$8*(הגדרות!$E$7+1),הגדרות!$E$7)))</f>
        <v/>
      </c>
      <c r="K671" s="0" t="str">
        <f aca="false">IF(I671="","",J671*הגדרות!$E$6+I671+1)</f>
        <v/>
      </c>
      <c r="L671" s="0" t="str">
        <f aca="false">IF(K671="","",MATCH(K671,$F$2:$F$5001,0))</f>
        <v/>
      </c>
      <c r="M671" s="0" t="str">
        <f aca="false">IF(I671="","",INDEX(הגדרות!$A$2:$A$21,MOD(I671+הגדרות!$E$9,הגדרות!$E$6)+1))</f>
        <v/>
      </c>
    </row>
    <row r="672" customFormat="false" ht="15" hidden="false" customHeight="false" outlineLevel="0" collapsed="false">
      <c r="A672" s="0" t="str">
        <f aca="false">IF('הדבקת לידים'!A672="","",IF(ISNUMBER('הדבקת לידים'!A672),IF(הגדרות!$E$2&gt;0,TEXT('הדבקת לידים'!A672,REPT("0",הגדרות!$E$2)),TEXT('הדבקת לידים'!A672,"0")),TRIM('הדבקת לידים'!A672)))</f>
        <v/>
      </c>
      <c r="B672" s="0" t="str">
        <f aca="false">IF('הדבקת לידים'!B672="","",IF(ISNUMBER('הדבקת לידים'!B672),IF(הגדרות!$E$3&gt;0,TEXT('הדבקת לידים'!B672,REPT("0",הגדרות!$E$3)),TEXT('הדבקת לידים'!B672,"0")),TRIM('הדבקת לידים'!B672)))</f>
        <v/>
      </c>
      <c r="C672" s="0" t="n">
        <f aca="false">IF(OR(A672&lt;&gt;"",B672&lt;&gt;""),1,0)</f>
        <v>0</v>
      </c>
      <c r="D672" s="0" t="str">
        <f aca="false">IF(C672=1,MOD(ABS(SIN(ROW()*12.9898+'הדבקת לידים'!$F$2*78.233+IFERROR(--RIGHT(A672,6),LEN(A672))*0.0137+IFERROR(--RIGHT(B672,6),LEN(B672))*0.0071))*43758.5453,1),"")</f>
        <v/>
      </c>
      <c r="E672" s="0" t="str">
        <f aca="false">IF(C672=1,INT(MOD(ABS(SIN(D672*7919.123+ROW()*0.618+'הדבקת לידים'!$F$2*1.3))*43758.5453,1)*1000000)*10000+ROW(),"")</f>
        <v/>
      </c>
      <c r="F672" s="0" t="str">
        <f aca="false">IF(E672="","",RANK(E672,$E$2:$E$5001,1))</f>
        <v/>
      </c>
      <c r="G672" s="0" t="n">
        <f aca="false">IF(A672="",0,IF(SUMPRODUCT(--($A$2:$A$5001=A672))&gt;1,1,0))</f>
        <v>0</v>
      </c>
      <c r="H672" s="0" t="n">
        <f aca="false">ROW()-1</f>
        <v>671</v>
      </c>
      <c r="I672" s="0" t="str">
        <f aca="false">IF(OR(הגדרות!$E$6=0,H672&gt;הגדרות!$E$5),"",IF(H672-1&lt;הגדרות!$E$8*(הגדרות!$E$7+1),INT((H672-1)/(הגדרות!$E$7+1)),הגדרות!$E$8+INT((H672-1-הגדרות!$E$8*(הגדרות!$E$7+1))/הגדרות!$E$7)))</f>
        <v/>
      </c>
      <c r="J672" s="0" t="str">
        <f aca="false">IF(I672="","",IF(H672-1&lt;הגדרות!$E$8*(הגדרות!$E$7+1),MOD(H672-1,הגדרות!$E$7+1),MOD(H672-1-הגדרות!$E$8*(הגדרות!$E$7+1),הגדרות!$E$7)))</f>
        <v/>
      </c>
      <c r="K672" s="0" t="str">
        <f aca="false">IF(I672="","",J672*הגדרות!$E$6+I672+1)</f>
        <v/>
      </c>
      <c r="L672" s="0" t="str">
        <f aca="false">IF(K672="","",MATCH(K672,$F$2:$F$5001,0))</f>
        <v/>
      </c>
      <c r="M672" s="0" t="str">
        <f aca="false">IF(I672="","",INDEX(הגדרות!$A$2:$A$21,MOD(I672+הגדרות!$E$9,הגדרות!$E$6)+1))</f>
        <v/>
      </c>
    </row>
    <row r="673" customFormat="false" ht="15" hidden="false" customHeight="false" outlineLevel="0" collapsed="false">
      <c r="A673" s="0" t="str">
        <f aca="false">IF('הדבקת לידים'!A673="","",IF(ISNUMBER('הדבקת לידים'!A673),IF(הגדרות!$E$2&gt;0,TEXT('הדבקת לידים'!A673,REPT("0",הגדרות!$E$2)),TEXT('הדבקת לידים'!A673,"0")),TRIM('הדבקת לידים'!A673)))</f>
        <v/>
      </c>
      <c r="B673" s="0" t="str">
        <f aca="false">IF('הדבקת לידים'!B673="","",IF(ISNUMBER('הדבקת לידים'!B673),IF(הגדרות!$E$3&gt;0,TEXT('הדבקת לידים'!B673,REPT("0",הגדרות!$E$3)),TEXT('הדבקת לידים'!B673,"0")),TRIM('הדבקת לידים'!B673)))</f>
        <v/>
      </c>
      <c r="C673" s="0" t="n">
        <f aca="false">IF(OR(A673&lt;&gt;"",B673&lt;&gt;""),1,0)</f>
        <v>0</v>
      </c>
      <c r="D673" s="0" t="str">
        <f aca="false">IF(C673=1,MOD(ABS(SIN(ROW()*12.9898+'הדבקת לידים'!$F$2*78.233+IFERROR(--RIGHT(A673,6),LEN(A673))*0.0137+IFERROR(--RIGHT(B673,6),LEN(B673))*0.0071))*43758.5453,1),"")</f>
        <v/>
      </c>
      <c r="E673" s="0" t="str">
        <f aca="false">IF(C673=1,INT(MOD(ABS(SIN(D673*7919.123+ROW()*0.618+'הדבקת לידים'!$F$2*1.3))*43758.5453,1)*1000000)*10000+ROW(),"")</f>
        <v/>
      </c>
      <c r="F673" s="0" t="str">
        <f aca="false">IF(E673="","",RANK(E673,$E$2:$E$5001,1))</f>
        <v/>
      </c>
      <c r="G673" s="0" t="n">
        <f aca="false">IF(A673="",0,IF(SUMPRODUCT(--($A$2:$A$5001=A673))&gt;1,1,0))</f>
        <v>0</v>
      </c>
      <c r="H673" s="0" t="n">
        <f aca="false">ROW()-1</f>
        <v>672</v>
      </c>
      <c r="I673" s="0" t="str">
        <f aca="false">IF(OR(הגדרות!$E$6=0,H673&gt;הגדרות!$E$5),"",IF(H673-1&lt;הגדרות!$E$8*(הגדרות!$E$7+1),INT((H673-1)/(הגדרות!$E$7+1)),הגדרות!$E$8+INT((H673-1-הגדרות!$E$8*(הגדרות!$E$7+1))/הגדרות!$E$7)))</f>
        <v/>
      </c>
      <c r="J673" s="0" t="str">
        <f aca="false">IF(I673="","",IF(H673-1&lt;הגדרות!$E$8*(הגדרות!$E$7+1),MOD(H673-1,הגדרות!$E$7+1),MOD(H673-1-הגדרות!$E$8*(הגדרות!$E$7+1),הגדרות!$E$7)))</f>
        <v/>
      </c>
      <c r="K673" s="0" t="str">
        <f aca="false">IF(I673="","",J673*הגדרות!$E$6+I673+1)</f>
        <v/>
      </c>
      <c r="L673" s="0" t="str">
        <f aca="false">IF(K673="","",MATCH(K673,$F$2:$F$5001,0))</f>
        <v/>
      </c>
      <c r="M673" s="0" t="str">
        <f aca="false">IF(I673="","",INDEX(הגדרות!$A$2:$A$21,MOD(I673+הגדרות!$E$9,הגדרות!$E$6)+1))</f>
        <v/>
      </c>
    </row>
    <row r="674" customFormat="false" ht="15" hidden="false" customHeight="false" outlineLevel="0" collapsed="false">
      <c r="A674" s="0" t="str">
        <f aca="false">IF('הדבקת לידים'!A674="","",IF(ISNUMBER('הדבקת לידים'!A674),IF(הגדרות!$E$2&gt;0,TEXT('הדבקת לידים'!A674,REPT("0",הגדרות!$E$2)),TEXT('הדבקת לידים'!A674,"0")),TRIM('הדבקת לידים'!A674)))</f>
        <v/>
      </c>
      <c r="B674" s="0" t="str">
        <f aca="false">IF('הדבקת לידים'!B674="","",IF(ISNUMBER('הדבקת לידים'!B674),IF(הגדרות!$E$3&gt;0,TEXT('הדבקת לידים'!B674,REPT("0",הגדרות!$E$3)),TEXT('הדבקת לידים'!B674,"0")),TRIM('הדבקת לידים'!B674)))</f>
        <v/>
      </c>
      <c r="C674" s="0" t="n">
        <f aca="false">IF(OR(A674&lt;&gt;"",B674&lt;&gt;""),1,0)</f>
        <v>0</v>
      </c>
      <c r="D674" s="0" t="str">
        <f aca="false">IF(C674=1,MOD(ABS(SIN(ROW()*12.9898+'הדבקת לידים'!$F$2*78.233+IFERROR(--RIGHT(A674,6),LEN(A674))*0.0137+IFERROR(--RIGHT(B674,6),LEN(B674))*0.0071))*43758.5453,1),"")</f>
        <v/>
      </c>
      <c r="E674" s="0" t="str">
        <f aca="false">IF(C674=1,INT(MOD(ABS(SIN(D674*7919.123+ROW()*0.618+'הדבקת לידים'!$F$2*1.3))*43758.5453,1)*1000000)*10000+ROW(),"")</f>
        <v/>
      </c>
      <c r="F674" s="0" t="str">
        <f aca="false">IF(E674="","",RANK(E674,$E$2:$E$5001,1))</f>
        <v/>
      </c>
      <c r="G674" s="0" t="n">
        <f aca="false">IF(A674="",0,IF(SUMPRODUCT(--($A$2:$A$5001=A674))&gt;1,1,0))</f>
        <v>0</v>
      </c>
      <c r="H674" s="0" t="n">
        <f aca="false">ROW()-1</f>
        <v>673</v>
      </c>
      <c r="I674" s="0" t="str">
        <f aca="false">IF(OR(הגדרות!$E$6=0,H674&gt;הגדרות!$E$5),"",IF(H674-1&lt;הגדרות!$E$8*(הגדרות!$E$7+1),INT((H674-1)/(הגדרות!$E$7+1)),הגדרות!$E$8+INT((H674-1-הגדרות!$E$8*(הגדרות!$E$7+1))/הגדרות!$E$7)))</f>
        <v/>
      </c>
      <c r="J674" s="0" t="str">
        <f aca="false">IF(I674="","",IF(H674-1&lt;הגדרות!$E$8*(הגדרות!$E$7+1),MOD(H674-1,הגדרות!$E$7+1),MOD(H674-1-הגדרות!$E$8*(הגדרות!$E$7+1),הגדרות!$E$7)))</f>
        <v/>
      </c>
      <c r="K674" s="0" t="str">
        <f aca="false">IF(I674="","",J674*הגדרות!$E$6+I674+1)</f>
        <v/>
      </c>
      <c r="L674" s="0" t="str">
        <f aca="false">IF(K674="","",MATCH(K674,$F$2:$F$5001,0))</f>
        <v/>
      </c>
      <c r="M674" s="0" t="str">
        <f aca="false">IF(I674="","",INDEX(הגדרות!$A$2:$A$21,MOD(I674+הגדרות!$E$9,הגדרות!$E$6)+1))</f>
        <v/>
      </c>
    </row>
    <row r="675" customFormat="false" ht="15" hidden="false" customHeight="false" outlineLevel="0" collapsed="false">
      <c r="A675" s="0" t="str">
        <f aca="false">IF('הדבקת לידים'!A675="","",IF(ISNUMBER('הדבקת לידים'!A675),IF(הגדרות!$E$2&gt;0,TEXT('הדבקת לידים'!A675,REPT("0",הגדרות!$E$2)),TEXT('הדבקת לידים'!A675,"0")),TRIM('הדבקת לידים'!A675)))</f>
        <v/>
      </c>
      <c r="B675" s="0" t="str">
        <f aca="false">IF('הדבקת לידים'!B675="","",IF(ISNUMBER('הדבקת לידים'!B675),IF(הגדרות!$E$3&gt;0,TEXT('הדבקת לידים'!B675,REPT("0",הגדרות!$E$3)),TEXT('הדבקת לידים'!B675,"0")),TRIM('הדבקת לידים'!B675)))</f>
        <v/>
      </c>
      <c r="C675" s="0" t="n">
        <f aca="false">IF(OR(A675&lt;&gt;"",B675&lt;&gt;""),1,0)</f>
        <v>0</v>
      </c>
      <c r="D675" s="0" t="str">
        <f aca="false">IF(C675=1,MOD(ABS(SIN(ROW()*12.9898+'הדבקת לידים'!$F$2*78.233+IFERROR(--RIGHT(A675,6),LEN(A675))*0.0137+IFERROR(--RIGHT(B675,6),LEN(B675))*0.0071))*43758.5453,1),"")</f>
        <v/>
      </c>
      <c r="E675" s="0" t="str">
        <f aca="false">IF(C675=1,INT(MOD(ABS(SIN(D675*7919.123+ROW()*0.618+'הדבקת לידים'!$F$2*1.3))*43758.5453,1)*1000000)*10000+ROW(),"")</f>
        <v/>
      </c>
      <c r="F675" s="0" t="str">
        <f aca="false">IF(E675="","",RANK(E675,$E$2:$E$5001,1))</f>
        <v/>
      </c>
      <c r="G675" s="0" t="n">
        <f aca="false">IF(A675="",0,IF(SUMPRODUCT(--($A$2:$A$5001=A675))&gt;1,1,0))</f>
        <v>0</v>
      </c>
      <c r="H675" s="0" t="n">
        <f aca="false">ROW()-1</f>
        <v>674</v>
      </c>
      <c r="I675" s="0" t="str">
        <f aca="false">IF(OR(הגדרות!$E$6=0,H675&gt;הגדרות!$E$5),"",IF(H675-1&lt;הגדרות!$E$8*(הגדרות!$E$7+1),INT((H675-1)/(הגדרות!$E$7+1)),הגדרות!$E$8+INT((H675-1-הגדרות!$E$8*(הגדרות!$E$7+1))/הגדרות!$E$7)))</f>
        <v/>
      </c>
      <c r="J675" s="0" t="str">
        <f aca="false">IF(I675="","",IF(H675-1&lt;הגדרות!$E$8*(הגדרות!$E$7+1),MOD(H675-1,הגדרות!$E$7+1),MOD(H675-1-הגדרות!$E$8*(הגדרות!$E$7+1),הגדרות!$E$7)))</f>
        <v/>
      </c>
      <c r="K675" s="0" t="str">
        <f aca="false">IF(I675="","",J675*הגדרות!$E$6+I675+1)</f>
        <v/>
      </c>
      <c r="L675" s="0" t="str">
        <f aca="false">IF(K675="","",MATCH(K675,$F$2:$F$5001,0))</f>
        <v/>
      </c>
      <c r="M675" s="0" t="str">
        <f aca="false">IF(I675="","",INDEX(הגדרות!$A$2:$A$21,MOD(I675+הגדרות!$E$9,הגדרות!$E$6)+1))</f>
        <v/>
      </c>
    </row>
    <row r="676" customFormat="false" ht="15" hidden="false" customHeight="false" outlineLevel="0" collapsed="false">
      <c r="A676" s="0" t="str">
        <f aca="false">IF('הדבקת לידים'!A676="","",IF(ISNUMBER('הדבקת לידים'!A676),IF(הגדרות!$E$2&gt;0,TEXT('הדבקת לידים'!A676,REPT("0",הגדרות!$E$2)),TEXT('הדבקת לידים'!A676,"0")),TRIM('הדבקת לידים'!A676)))</f>
        <v/>
      </c>
      <c r="B676" s="0" t="str">
        <f aca="false">IF('הדבקת לידים'!B676="","",IF(ISNUMBER('הדבקת לידים'!B676),IF(הגדרות!$E$3&gt;0,TEXT('הדבקת לידים'!B676,REPT("0",הגדרות!$E$3)),TEXT('הדבקת לידים'!B676,"0")),TRIM('הדבקת לידים'!B676)))</f>
        <v/>
      </c>
      <c r="C676" s="0" t="n">
        <f aca="false">IF(OR(A676&lt;&gt;"",B676&lt;&gt;""),1,0)</f>
        <v>0</v>
      </c>
      <c r="D676" s="0" t="str">
        <f aca="false">IF(C676=1,MOD(ABS(SIN(ROW()*12.9898+'הדבקת לידים'!$F$2*78.233+IFERROR(--RIGHT(A676,6),LEN(A676))*0.0137+IFERROR(--RIGHT(B676,6),LEN(B676))*0.0071))*43758.5453,1),"")</f>
        <v/>
      </c>
      <c r="E676" s="0" t="str">
        <f aca="false">IF(C676=1,INT(MOD(ABS(SIN(D676*7919.123+ROW()*0.618+'הדבקת לידים'!$F$2*1.3))*43758.5453,1)*1000000)*10000+ROW(),"")</f>
        <v/>
      </c>
      <c r="F676" s="0" t="str">
        <f aca="false">IF(E676="","",RANK(E676,$E$2:$E$5001,1))</f>
        <v/>
      </c>
      <c r="G676" s="0" t="n">
        <f aca="false">IF(A676="",0,IF(SUMPRODUCT(--($A$2:$A$5001=A676))&gt;1,1,0))</f>
        <v>0</v>
      </c>
      <c r="H676" s="0" t="n">
        <f aca="false">ROW()-1</f>
        <v>675</v>
      </c>
      <c r="I676" s="0" t="str">
        <f aca="false">IF(OR(הגדרות!$E$6=0,H676&gt;הגדרות!$E$5),"",IF(H676-1&lt;הגדרות!$E$8*(הגדרות!$E$7+1),INT((H676-1)/(הגדרות!$E$7+1)),הגדרות!$E$8+INT((H676-1-הגדרות!$E$8*(הגדרות!$E$7+1))/הגדרות!$E$7)))</f>
        <v/>
      </c>
      <c r="J676" s="0" t="str">
        <f aca="false">IF(I676="","",IF(H676-1&lt;הגדרות!$E$8*(הגדרות!$E$7+1),MOD(H676-1,הגדרות!$E$7+1),MOD(H676-1-הגדרות!$E$8*(הגדרות!$E$7+1),הגדרות!$E$7)))</f>
        <v/>
      </c>
      <c r="K676" s="0" t="str">
        <f aca="false">IF(I676="","",J676*הגדרות!$E$6+I676+1)</f>
        <v/>
      </c>
      <c r="L676" s="0" t="str">
        <f aca="false">IF(K676="","",MATCH(K676,$F$2:$F$5001,0))</f>
        <v/>
      </c>
      <c r="M676" s="0" t="str">
        <f aca="false">IF(I676="","",INDEX(הגדרות!$A$2:$A$21,MOD(I676+הגדרות!$E$9,הגדרות!$E$6)+1))</f>
        <v/>
      </c>
    </row>
    <row r="677" customFormat="false" ht="15" hidden="false" customHeight="false" outlineLevel="0" collapsed="false">
      <c r="A677" s="0" t="str">
        <f aca="false">IF('הדבקת לידים'!A677="","",IF(ISNUMBER('הדבקת לידים'!A677),IF(הגדרות!$E$2&gt;0,TEXT('הדבקת לידים'!A677,REPT("0",הגדרות!$E$2)),TEXT('הדבקת לידים'!A677,"0")),TRIM('הדבקת לידים'!A677)))</f>
        <v/>
      </c>
      <c r="B677" s="0" t="str">
        <f aca="false">IF('הדבקת לידים'!B677="","",IF(ISNUMBER('הדבקת לידים'!B677),IF(הגדרות!$E$3&gt;0,TEXT('הדבקת לידים'!B677,REPT("0",הגדרות!$E$3)),TEXT('הדבקת לידים'!B677,"0")),TRIM('הדבקת לידים'!B677)))</f>
        <v/>
      </c>
      <c r="C677" s="0" t="n">
        <f aca="false">IF(OR(A677&lt;&gt;"",B677&lt;&gt;""),1,0)</f>
        <v>0</v>
      </c>
      <c r="D677" s="0" t="str">
        <f aca="false">IF(C677=1,MOD(ABS(SIN(ROW()*12.9898+'הדבקת לידים'!$F$2*78.233+IFERROR(--RIGHT(A677,6),LEN(A677))*0.0137+IFERROR(--RIGHT(B677,6),LEN(B677))*0.0071))*43758.5453,1),"")</f>
        <v/>
      </c>
      <c r="E677" s="0" t="str">
        <f aca="false">IF(C677=1,INT(MOD(ABS(SIN(D677*7919.123+ROW()*0.618+'הדבקת לידים'!$F$2*1.3))*43758.5453,1)*1000000)*10000+ROW(),"")</f>
        <v/>
      </c>
      <c r="F677" s="0" t="str">
        <f aca="false">IF(E677="","",RANK(E677,$E$2:$E$5001,1))</f>
        <v/>
      </c>
      <c r="G677" s="0" t="n">
        <f aca="false">IF(A677="",0,IF(SUMPRODUCT(--($A$2:$A$5001=A677))&gt;1,1,0))</f>
        <v>0</v>
      </c>
      <c r="H677" s="0" t="n">
        <f aca="false">ROW()-1</f>
        <v>676</v>
      </c>
      <c r="I677" s="0" t="str">
        <f aca="false">IF(OR(הגדרות!$E$6=0,H677&gt;הגדרות!$E$5),"",IF(H677-1&lt;הגדרות!$E$8*(הגדרות!$E$7+1),INT((H677-1)/(הגדרות!$E$7+1)),הגדרות!$E$8+INT((H677-1-הגדרות!$E$8*(הגדרות!$E$7+1))/הגדרות!$E$7)))</f>
        <v/>
      </c>
      <c r="J677" s="0" t="str">
        <f aca="false">IF(I677="","",IF(H677-1&lt;הגדרות!$E$8*(הגדרות!$E$7+1),MOD(H677-1,הגדרות!$E$7+1),MOD(H677-1-הגדרות!$E$8*(הגדרות!$E$7+1),הגדרות!$E$7)))</f>
        <v/>
      </c>
      <c r="K677" s="0" t="str">
        <f aca="false">IF(I677="","",J677*הגדרות!$E$6+I677+1)</f>
        <v/>
      </c>
      <c r="L677" s="0" t="str">
        <f aca="false">IF(K677="","",MATCH(K677,$F$2:$F$5001,0))</f>
        <v/>
      </c>
      <c r="M677" s="0" t="str">
        <f aca="false">IF(I677="","",INDEX(הגדרות!$A$2:$A$21,MOD(I677+הגדרות!$E$9,הגדרות!$E$6)+1))</f>
        <v/>
      </c>
    </row>
    <row r="678" customFormat="false" ht="15" hidden="false" customHeight="false" outlineLevel="0" collapsed="false">
      <c r="A678" s="0" t="str">
        <f aca="false">IF('הדבקת לידים'!A678="","",IF(ISNUMBER('הדבקת לידים'!A678),IF(הגדרות!$E$2&gt;0,TEXT('הדבקת לידים'!A678,REPT("0",הגדרות!$E$2)),TEXT('הדבקת לידים'!A678,"0")),TRIM('הדבקת לידים'!A678)))</f>
        <v/>
      </c>
      <c r="B678" s="0" t="str">
        <f aca="false">IF('הדבקת לידים'!B678="","",IF(ISNUMBER('הדבקת לידים'!B678),IF(הגדרות!$E$3&gt;0,TEXT('הדבקת לידים'!B678,REPT("0",הגדרות!$E$3)),TEXT('הדבקת לידים'!B678,"0")),TRIM('הדבקת לידים'!B678)))</f>
        <v/>
      </c>
      <c r="C678" s="0" t="n">
        <f aca="false">IF(OR(A678&lt;&gt;"",B678&lt;&gt;""),1,0)</f>
        <v>0</v>
      </c>
      <c r="D678" s="0" t="str">
        <f aca="false">IF(C678=1,MOD(ABS(SIN(ROW()*12.9898+'הדבקת לידים'!$F$2*78.233+IFERROR(--RIGHT(A678,6),LEN(A678))*0.0137+IFERROR(--RIGHT(B678,6),LEN(B678))*0.0071))*43758.5453,1),"")</f>
        <v/>
      </c>
      <c r="E678" s="0" t="str">
        <f aca="false">IF(C678=1,INT(MOD(ABS(SIN(D678*7919.123+ROW()*0.618+'הדבקת לידים'!$F$2*1.3))*43758.5453,1)*1000000)*10000+ROW(),"")</f>
        <v/>
      </c>
      <c r="F678" s="0" t="str">
        <f aca="false">IF(E678="","",RANK(E678,$E$2:$E$5001,1))</f>
        <v/>
      </c>
      <c r="G678" s="0" t="n">
        <f aca="false">IF(A678="",0,IF(SUMPRODUCT(--($A$2:$A$5001=A678))&gt;1,1,0))</f>
        <v>0</v>
      </c>
      <c r="H678" s="0" t="n">
        <f aca="false">ROW()-1</f>
        <v>677</v>
      </c>
      <c r="I678" s="0" t="str">
        <f aca="false">IF(OR(הגדרות!$E$6=0,H678&gt;הגדרות!$E$5),"",IF(H678-1&lt;הגדרות!$E$8*(הגדרות!$E$7+1),INT((H678-1)/(הגדרות!$E$7+1)),הגדרות!$E$8+INT((H678-1-הגדרות!$E$8*(הגדרות!$E$7+1))/הגדרות!$E$7)))</f>
        <v/>
      </c>
      <c r="J678" s="0" t="str">
        <f aca="false">IF(I678="","",IF(H678-1&lt;הגדרות!$E$8*(הגדרות!$E$7+1),MOD(H678-1,הגדרות!$E$7+1),MOD(H678-1-הגדרות!$E$8*(הגדרות!$E$7+1),הגדרות!$E$7)))</f>
        <v/>
      </c>
      <c r="K678" s="0" t="str">
        <f aca="false">IF(I678="","",J678*הגדרות!$E$6+I678+1)</f>
        <v/>
      </c>
      <c r="L678" s="0" t="str">
        <f aca="false">IF(K678="","",MATCH(K678,$F$2:$F$5001,0))</f>
        <v/>
      </c>
      <c r="M678" s="0" t="str">
        <f aca="false">IF(I678="","",INDEX(הגדרות!$A$2:$A$21,MOD(I678+הגדרות!$E$9,הגדרות!$E$6)+1))</f>
        <v/>
      </c>
    </row>
    <row r="679" customFormat="false" ht="15" hidden="false" customHeight="false" outlineLevel="0" collapsed="false">
      <c r="A679" s="0" t="str">
        <f aca="false">IF('הדבקת לידים'!A679="","",IF(ISNUMBER('הדבקת לידים'!A679),IF(הגדרות!$E$2&gt;0,TEXT('הדבקת לידים'!A679,REPT("0",הגדרות!$E$2)),TEXT('הדבקת לידים'!A679,"0")),TRIM('הדבקת לידים'!A679)))</f>
        <v/>
      </c>
      <c r="B679" s="0" t="str">
        <f aca="false">IF('הדבקת לידים'!B679="","",IF(ISNUMBER('הדבקת לידים'!B679),IF(הגדרות!$E$3&gt;0,TEXT('הדבקת לידים'!B679,REPT("0",הגדרות!$E$3)),TEXT('הדבקת לידים'!B679,"0")),TRIM('הדבקת לידים'!B679)))</f>
        <v/>
      </c>
      <c r="C679" s="0" t="n">
        <f aca="false">IF(OR(A679&lt;&gt;"",B679&lt;&gt;""),1,0)</f>
        <v>0</v>
      </c>
      <c r="D679" s="0" t="str">
        <f aca="false">IF(C679=1,MOD(ABS(SIN(ROW()*12.9898+'הדבקת לידים'!$F$2*78.233+IFERROR(--RIGHT(A679,6),LEN(A679))*0.0137+IFERROR(--RIGHT(B679,6),LEN(B679))*0.0071))*43758.5453,1),"")</f>
        <v/>
      </c>
      <c r="E679" s="0" t="str">
        <f aca="false">IF(C679=1,INT(MOD(ABS(SIN(D679*7919.123+ROW()*0.618+'הדבקת לידים'!$F$2*1.3))*43758.5453,1)*1000000)*10000+ROW(),"")</f>
        <v/>
      </c>
      <c r="F679" s="0" t="str">
        <f aca="false">IF(E679="","",RANK(E679,$E$2:$E$5001,1))</f>
        <v/>
      </c>
      <c r="G679" s="0" t="n">
        <f aca="false">IF(A679="",0,IF(SUMPRODUCT(--($A$2:$A$5001=A679))&gt;1,1,0))</f>
        <v>0</v>
      </c>
      <c r="H679" s="0" t="n">
        <f aca="false">ROW()-1</f>
        <v>678</v>
      </c>
      <c r="I679" s="0" t="str">
        <f aca="false">IF(OR(הגדרות!$E$6=0,H679&gt;הגדרות!$E$5),"",IF(H679-1&lt;הגדרות!$E$8*(הגדרות!$E$7+1),INT((H679-1)/(הגדרות!$E$7+1)),הגדרות!$E$8+INT((H679-1-הגדרות!$E$8*(הגדרות!$E$7+1))/הגדרות!$E$7)))</f>
        <v/>
      </c>
      <c r="J679" s="0" t="str">
        <f aca="false">IF(I679="","",IF(H679-1&lt;הגדרות!$E$8*(הגדרות!$E$7+1),MOD(H679-1,הגדרות!$E$7+1),MOD(H679-1-הגדרות!$E$8*(הגדרות!$E$7+1),הגדרות!$E$7)))</f>
        <v/>
      </c>
      <c r="K679" s="0" t="str">
        <f aca="false">IF(I679="","",J679*הגדרות!$E$6+I679+1)</f>
        <v/>
      </c>
      <c r="L679" s="0" t="str">
        <f aca="false">IF(K679="","",MATCH(K679,$F$2:$F$5001,0))</f>
        <v/>
      </c>
      <c r="M679" s="0" t="str">
        <f aca="false">IF(I679="","",INDEX(הגדרות!$A$2:$A$21,MOD(I679+הגדרות!$E$9,הגדרות!$E$6)+1))</f>
        <v/>
      </c>
    </row>
    <row r="680" customFormat="false" ht="15" hidden="false" customHeight="false" outlineLevel="0" collapsed="false">
      <c r="A680" s="0" t="str">
        <f aca="false">IF('הדבקת לידים'!A680="","",IF(ISNUMBER('הדבקת לידים'!A680),IF(הגדרות!$E$2&gt;0,TEXT('הדבקת לידים'!A680,REPT("0",הגדרות!$E$2)),TEXT('הדבקת לידים'!A680,"0")),TRIM('הדבקת לידים'!A680)))</f>
        <v/>
      </c>
      <c r="B680" s="0" t="str">
        <f aca="false">IF('הדבקת לידים'!B680="","",IF(ISNUMBER('הדבקת לידים'!B680),IF(הגדרות!$E$3&gt;0,TEXT('הדבקת לידים'!B680,REPT("0",הגדרות!$E$3)),TEXT('הדבקת לידים'!B680,"0")),TRIM('הדבקת לידים'!B680)))</f>
        <v/>
      </c>
      <c r="C680" s="0" t="n">
        <f aca="false">IF(OR(A680&lt;&gt;"",B680&lt;&gt;""),1,0)</f>
        <v>0</v>
      </c>
      <c r="D680" s="0" t="str">
        <f aca="false">IF(C680=1,MOD(ABS(SIN(ROW()*12.9898+'הדבקת לידים'!$F$2*78.233+IFERROR(--RIGHT(A680,6),LEN(A680))*0.0137+IFERROR(--RIGHT(B680,6),LEN(B680))*0.0071))*43758.5453,1),"")</f>
        <v/>
      </c>
      <c r="E680" s="0" t="str">
        <f aca="false">IF(C680=1,INT(MOD(ABS(SIN(D680*7919.123+ROW()*0.618+'הדבקת לידים'!$F$2*1.3))*43758.5453,1)*1000000)*10000+ROW(),"")</f>
        <v/>
      </c>
      <c r="F680" s="0" t="str">
        <f aca="false">IF(E680="","",RANK(E680,$E$2:$E$5001,1))</f>
        <v/>
      </c>
      <c r="G680" s="0" t="n">
        <f aca="false">IF(A680="",0,IF(SUMPRODUCT(--($A$2:$A$5001=A680))&gt;1,1,0))</f>
        <v>0</v>
      </c>
      <c r="H680" s="0" t="n">
        <f aca="false">ROW()-1</f>
        <v>679</v>
      </c>
      <c r="I680" s="0" t="str">
        <f aca="false">IF(OR(הגדרות!$E$6=0,H680&gt;הגדרות!$E$5),"",IF(H680-1&lt;הגדרות!$E$8*(הגדרות!$E$7+1),INT((H680-1)/(הגדרות!$E$7+1)),הגדרות!$E$8+INT((H680-1-הגדרות!$E$8*(הגדרות!$E$7+1))/הגדרות!$E$7)))</f>
        <v/>
      </c>
      <c r="J680" s="0" t="str">
        <f aca="false">IF(I680="","",IF(H680-1&lt;הגדרות!$E$8*(הגדרות!$E$7+1),MOD(H680-1,הגדרות!$E$7+1),MOD(H680-1-הגדרות!$E$8*(הגדרות!$E$7+1),הגדרות!$E$7)))</f>
        <v/>
      </c>
      <c r="K680" s="0" t="str">
        <f aca="false">IF(I680="","",J680*הגדרות!$E$6+I680+1)</f>
        <v/>
      </c>
      <c r="L680" s="0" t="str">
        <f aca="false">IF(K680="","",MATCH(K680,$F$2:$F$5001,0))</f>
        <v/>
      </c>
      <c r="M680" s="0" t="str">
        <f aca="false">IF(I680="","",INDEX(הגדרות!$A$2:$A$21,MOD(I680+הגדרות!$E$9,הגדרות!$E$6)+1))</f>
        <v/>
      </c>
    </row>
    <row r="681" customFormat="false" ht="15" hidden="false" customHeight="false" outlineLevel="0" collapsed="false">
      <c r="A681" s="0" t="str">
        <f aca="false">IF('הדבקת לידים'!A681="","",IF(ISNUMBER('הדבקת לידים'!A681),IF(הגדרות!$E$2&gt;0,TEXT('הדבקת לידים'!A681,REPT("0",הגדרות!$E$2)),TEXT('הדבקת לידים'!A681,"0")),TRIM('הדבקת לידים'!A681)))</f>
        <v/>
      </c>
      <c r="B681" s="0" t="str">
        <f aca="false">IF('הדבקת לידים'!B681="","",IF(ISNUMBER('הדבקת לידים'!B681),IF(הגדרות!$E$3&gt;0,TEXT('הדבקת לידים'!B681,REPT("0",הגדרות!$E$3)),TEXT('הדבקת לידים'!B681,"0")),TRIM('הדבקת לידים'!B681)))</f>
        <v/>
      </c>
      <c r="C681" s="0" t="n">
        <f aca="false">IF(OR(A681&lt;&gt;"",B681&lt;&gt;""),1,0)</f>
        <v>0</v>
      </c>
      <c r="D681" s="0" t="str">
        <f aca="false">IF(C681=1,MOD(ABS(SIN(ROW()*12.9898+'הדבקת לידים'!$F$2*78.233+IFERROR(--RIGHT(A681,6),LEN(A681))*0.0137+IFERROR(--RIGHT(B681,6),LEN(B681))*0.0071))*43758.5453,1),"")</f>
        <v/>
      </c>
      <c r="E681" s="0" t="str">
        <f aca="false">IF(C681=1,INT(MOD(ABS(SIN(D681*7919.123+ROW()*0.618+'הדבקת לידים'!$F$2*1.3))*43758.5453,1)*1000000)*10000+ROW(),"")</f>
        <v/>
      </c>
      <c r="F681" s="0" t="str">
        <f aca="false">IF(E681="","",RANK(E681,$E$2:$E$5001,1))</f>
        <v/>
      </c>
      <c r="G681" s="0" t="n">
        <f aca="false">IF(A681="",0,IF(SUMPRODUCT(--($A$2:$A$5001=A681))&gt;1,1,0))</f>
        <v>0</v>
      </c>
      <c r="H681" s="0" t="n">
        <f aca="false">ROW()-1</f>
        <v>680</v>
      </c>
      <c r="I681" s="0" t="str">
        <f aca="false">IF(OR(הגדרות!$E$6=0,H681&gt;הגדרות!$E$5),"",IF(H681-1&lt;הגדרות!$E$8*(הגדרות!$E$7+1),INT((H681-1)/(הגדרות!$E$7+1)),הגדרות!$E$8+INT((H681-1-הגדרות!$E$8*(הגדרות!$E$7+1))/הגדרות!$E$7)))</f>
        <v/>
      </c>
      <c r="J681" s="0" t="str">
        <f aca="false">IF(I681="","",IF(H681-1&lt;הגדרות!$E$8*(הגדרות!$E$7+1),MOD(H681-1,הגדרות!$E$7+1),MOD(H681-1-הגדרות!$E$8*(הגדרות!$E$7+1),הגדרות!$E$7)))</f>
        <v/>
      </c>
      <c r="K681" s="0" t="str">
        <f aca="false">IF(I681="","",J681*הגדרות!$E$6+I681+1)</f>
        <v/>
      </c>
      <c r="L681" s="0" t="str">
        <f aca="false">IF(K681="","",MATCH(K681,$F$2:$F$5001,0))</f>
        <v/>
      </c>
      <c r="M681" s="0" t="str">
        <f aca="false">IF(I681="","",INDEX(הגדרות!$A$2:$A$21,MOD(I681+הגדרות!$E$9,הגדרות!$E$6)+1))</f>
        <v/>
      </c>
    </row>
    <row r="682" customFormat="false" ht="15" hidden="false" customHeight="false" outlineLevel="0" collapsed="false">
      <c r="A682" s="0" t="str">
        <f aca="false">IF('הדבקת לידים'!A682="","",IF(ISNUMBER('הדבקת לידים'!A682),IF(הגדרות!$E$2&gt;0,TEXT('הדבקת לידים'!A682,REPT("0",הגדרות!$E$2)),TEXT('הדבקת לידים'!A682,"0")),TRIM('הדבקת לידים'!A682)))</f>
        <v/>
      </c>
      <c r="B682" s="0" t="str">
        <f aca="false">IF('הדבקת לידים'!B682="","",IF(ISNUMBER('הדבקת לידים'!B682),IF(הגדרות!$E$3&gt;0,TEXT('הדבקת לידים'!B682,REPT("0",הגדרות!$E$3)),TEXT('הדבקת לידים'!B682,"0")),TRIM('הדבקת לידים'!B682)))</f>
        <v/>
      </c>
      <c r="C682" s="0" t="n">
        <f aca="false">IF(OR(A682&lt;&gt;"",B682&lt;&gt;""),1,0)</f>
        <v>0</v>
      </c>
      <c r="D682" s="0" t="str">
        <f aca="false">IF(C682=1,MOD(ABS(SIN(ROW()*12.9898+'הדבקת לידים'!$F$2*78.233+IFERROR(--RIGHT(A682,6),LEN(A682))*0.0137+IFERROR(--RIGHT(B682,6),LEN(B682))*0.0071))*43758.5453,1),"")</f>
        <v/>
      </c>
      <c r="E682" s="0" t="str">
        <f aca="false">IF(C682=1,INT(MOD(ABS(SIN(D682*7919.123+ROW()*0.618+'הדבקת לידים'!$F$2*1.3))*43758.5453,1)*1000000)*10000+ROW(),"")</f>
        <v/>
      </c>
      <c r="F682" s="0" t="str">
        <f aca="false">IF(E682="","",RANK(E682,$E$2:$E$5001,1))</f>
        <v/>
      </c>
      <c r="G682" s="0" t="n">
        <f aca="false">IF(A682="",0,IF(SUMPRODUCT(--($A$2:$A$5001=A682))&gt;1,1,0))</f>
        <v>0</v>
      </c>
      <c r="H682" s="0" t="n">
        <f aca="false">ROW()-1</f>
        <v>681</v>
      </c>
      <c r="I682" s="0" t="str">
        <f aca="false">IF(OR(הגדרות!$E$6=0,H682&gt;הגדרות!$E$5),"",IF(H682-1&lt;הגדרות!$E$8*(הגדרות!$E$7+1),INT((H682-1)/(הגדרות!$E$7+1)),הגדרות!$E$8+INT((H682-1-הגדרות!$E$8*(הגדרות!$E$7+1))/הגדרות!$E$7)))</f>
        <v/>
      </c>
      <c r="J682" s="0" t="str">
        <f aca="false">IF(I682="","",IF(H682-1&lt;הגדרות!$E$8*(הגדרות!$E$7+1),MOD(H682-1,הגדרות!$E$7+1),MOD(H682-1-הגדרות!$E$8*(הגדרות!$E$7+1),הגדרות!$E$7)))</f>
        <v/>
      </c>
      <c r="K682" s="0" t="str">
        <f aca="false">IF(I682="","",J682*הגדרות!$E$6+I682+1)</f>
        <v/>
      </c>
      <c r="L682" s="0" t="str">
        <f aca="false">IF(K682="","",MATCH(K682,$F$2:$F$5001,0))</f>
        <v/>
      </c>
      <c r="M682" s="0" t="str">
        <f aca="false">IF(I682="","",INDEX(הגדרות!$A$2:$A$21,MOD(I682+הגדרות!$E$9,הגדרות!$E$6)+1))</f>
        <v/>
      </c>
    </row>
    <row r="683" customFormat="false" ht="15" hidden="false" customHeight="false" outlineLevel="0" collapsed="false">
      <c r="A683" s="0" t="str">
        <f aca="false">IF('הדבקת לידים'!A683="","",IF(ISNUMBER('הדבקת לידים'!A683),IF(הגדרות!$E$2&gt;0,TEXT('הדבקת לידים'!A683,REPT("0",הגדרות!$E$2)),TEXT('הדבקת לידים'!A683,"0")),TRIM('הדבקת לידים'!A683)))</f>
        <v/>
      </c>
      <c r="B683" s="0" t="str">
        <f aca="false">IF('הדבקת לידים'!B683="","",IF(ISNUMBER('הדבקת לידים'!B683),IF(הגדרות!$E$3&gt;0,TEXT('הדבקת לידים'!B683,REPT("0",הגדרות!$E$3)),TEXT('הדבקת לידים'!B683,"0")),TRIM('הדבקת לידים'!B683)))</f>
        <v/>
      </c>
      <c r="C683" s="0" t="n">
        <f aca="false">IF(OR(A683&lt;&gt;"",B683&lt;&gt;""),1,0)</f>
        <v>0</v>
      </c>
      <c r="D683" s="0" t="str">
        <f aca="false">IF(C683=1,MOD(ABS(SIN(ROW()*12.9898+'הדבקת לידים'!$F$2*78.233+IFERROR(--RIGHT(A683,6),LEN(A683))*0.0137+IFERROR(--RIGHT(B683,6),LEN(B683))*0.0071))*43758.5453,1),"")</f>
        <v/>
      </c>
      <c r="E683" s="0" t="str">
        <f aca="false">IF(C683=1,INT(MOD(ABS(SIN(D683*7919.123+ROW()*0.618+'הדבקת לידים'!$F$2*1.3))*43758.5453,1)*1000000)*10000+ROW(),"")</f>
        <v/>
      </c>
      <c r="F683" s="0" t="str">
        <f aca="false">IF(E683="","",RANK(E683,$E$2:$E$5001,1))</f>
        <v/>
      </c>
      <c r="G683" s="0" t="n">
        <f aca="false">IF(A683="",0,IF(SUMPRODUCT(--($A$2:$A$5001=A683))&gt;1,1,0))</f>
        <v>0</v>
      </c>
      <c r="H683" s="0" t="n">
        <f aca="false">ROW()-1</f>
        <v>682</v>
      </c>
      <c r="I683" s="0" t="str">
        <f aca="false">IF(OR(הגדרות!$E$6=0,H683&gt;הגדרות!$E$5),"",IF(H683-1&lt;הגדרות!$E$8*(הגדרות!$E$7+1),INT((H683-1)/(הגדרות!$E$7+1)),הגדרות!$E$8+INT((H683-1-הגדרות!$E$8*(הגדרות!$E$7+1))/הגדרות!$E$7)))</f>
        <v/>
      </c>
      <c r="J683" s="0" t="str">
        <f aca="false">IF(I683="","",IF(H683-1&lt;הגדרות!$E$8*(הגדרות!$E$7+1),MOD(H683-1,הגדרות!$E$7+1),MOD(H683-1-הגדרות!$E$8*(הגדרות!$E$7+1),הגדרות!$E$7)))</f>
        <v/>
      </c>
      <c r="K683" s="0" t="str">
        <f aca="false">IF(I683="","",J683*הגדרות!$E$6+I683+1)</f>
        <v/>
      </c>
      <c r="L683" s="0" t="str">
        <f aca="false">IF(K683="","",MATCH(K683,$F$2:$F$5001,0))</f>
        <v/>
      </c>
      <c r="M683" s="0" t="str">
        <f aca="false">IF(I683="","",INDEX(הגדרות!$A$2:$A$21,MOD(I683+הגדרות!$E$9,הגדרות!$E$6)+1))</f>
        <v/>
      </c>
    </row>
    <row r="684" customFormat="false" ht="15" hidden="false" customHeight="false" outlineLevel="0" collapsed="false">
      <c r="A684" s="0" t="str">
        <f aca="false">IF('הדבקת לידים'!A684="","",IF(ISNUMBER('הדבקת לידים'!A684),IF(הגדרות!$E$2&gt;0,TEXT('הדבקת לידים'!A684,REPT("0",הגדרות!$E$2)),TEXT('הדבקת לידים'!A684,"0")),TRIM('הדבקת לידים'!A684)))</f>
        <v/>
      </c>
      <c r="B684" s="0" t="str">
        <f aca="false">IF('הדבקת לידים'!B684="","",IF(ISNUMBER('הדבקת לידים'!B684),IF(הגדרות!$E$3&gt;0,TEXT('הדבקת לידים'!B684,REPT("0",הגדרות!$E$3)),TEXT('הדבקת לידים'!B684,"0")),TRIM('הדבקת לידים'!B684)))</f>
        <v/>
      </c>
      <c r="C684" s="0" t="n">
        <f aca="false">IF(OR(A684&lt;&gt;"",B684&lt;&gt;""),1,0)</f>
        <v>0</v>
      </c>
      <c r="D684" s="0" t="str">
        <f aca="false">IF(C684=1,MOD(ABS(SIN(ROW()*12.9898+'הדבקת לידים'!$F$2*78.233+IFERROR(--RIGHT(A684,6),LEN(A684))*0.0137+IFERROR(--RIGHT(B684,6),LEN(B684))*0.0071))*43758.5453,1),"")</f>
        <v/>
      </c>
      <c r="E684" s="0" t="str">
        <f aca="false">IF(C684=1,INT(MOD(ABS(SIN(D684*7919.123+ROW()*0.618+'הדבקת לידים'!$F$2*1.3))*43758.5453,1)*1000000)*10000+ROW(),"")</f>
        <v/>
      </c>
      <c r="F684" s="0" t="str">
        <f aca="false">IF(E684="","",RANK(E684,$E$2:$E$5001,1))</f>
        <v/>
      </c>
      <c r="G684" s="0" t="n">
        <f aca="false">IF(A684="",0,IF(SUMPRODUCT(--($A$2:$A$5001=A684))&gt;1,1,0))</f>
        <v>0</v>
      </c>
      <c r="H684" s="0" t="n">
        <f aca="false">ROW()-1</f>
        <v>683</v>
      </c>
      <c r="I684" s="0" t="str">
        <f aca="false">IF(OR(הגדרות!$E$6=0,H684&gt;הגדרות!$E$5),"",IF(H684-1&lt;הגדרות!$E$8*(הגדרות!$E$7+1),INT((H684-1)/(הגדרות!$E$7+1)),הגדרות!$E$8+INT((H684-1-הגדרות!$E$8*(הגדרות!$E$7+1))/הגדרות!$E$7)))</f>
        <v/>
      </c>
      <c r="J684" s="0" t="str">
        <f aca="false">IF(I684="","",IF(H684-1&lt;הגדרות!$E$8*(הגדרות!$E$7+1),MOD(H684-1,הגדרות!$E$7+1),MOD(H684-1-הגדרות!$E$8*(הגדרות!$E$7+1),הגדרות!$E$7)))</f>
        <v/>
      </c>
      <c r="K684" s="0" t="str">
        <f aca="false">IF(I684="","",J684*הגדרות!$E$6+I684+1)</f>
        <v/>
      </c>
      <c r="L684" s="0" t="str">
        <f aca="false">IF(K684="","",MATCH(K684,$F$2:$F$5001,0))</f>
        <v/>
      </c>
      <c r="M684" s="0" t="str">
        <f aca="false">IF(I684="","",INDEX(הגדרות!$A$2:$A$21,MOD(I684+הגדרות!$E$9,הגדרות!$E$6)+1))</f>
        <v/>
      </c>
    </row>
    <row r="685" customFormat="false" ht="15" hidden="false" customHeight="false" outlineLevel="0" collapsed="false">
      <c r="A685" s="0" t="str">
        <f aca="false">IF('הדבקת לידים'!A685="","",IF(ISNUMBER('הדבקת לידים'!A685),IF(הגדרות!$E$2&gt;0,TEXT('הדבקת לידים'!A685,REPT("0",הגדרות!$E$2)),TEXT('הדבקת לידים'!A685,"0")),TRIM('הדבקת לידים'!A685)))</f>
        <v/>
      </c>
      <c r="B685" s="0" t="str">
        <f aca="false">IF('הדבקת לידים'!B685="","",IF(ISNUMBER('הדבקת לידים'!B685),IF(הגדרות!$E$3&gt;0,TEXT('הדבקת לידים'!B685,REPT("0",הגדרות!$E$3)),TEXT('הדבקת לידים'!B685,"0")),TRIM('הדבקת לידים'!B685)))</f>
        <v/>
      </c>
      <c r="C685" s="0" t="n">
        <f aca="false">IF(OR(A685&lt;&gt;"",B685&lt;&gt;""),1,0)</f>
        <v>0</v>
      </c>
      <c r="D685" s="0" t="str">
        <f aca="false">IF(C685=1,MOD(ABS(SIN(ROW()*12.9898+'הדבקת לידים'!$F$2*78.233+IFERROR(--RIGHT(A685,6),LEN(A685))*0.0137+IFERROR(--RIGHT(B685,6),LEN(B685))*0.0071))*43758.5453,1),"")</f>
        <v/>
      </c>
      <c r="E685" s="0" t="str">
        <f aca="false">IF(C685=1,INT(MOD(ABS(SIN(D685*7919.123+ROW()*0.618+'הדבקת לידים'!$F$2*1.3))*43758.5453,1)*1000000)*10000+ROW(),"")</f>
        <v/>
      </c>
      <c r="F685" s="0" t="str">
        <f aca="false">IF(E685="","",RANK(E685,$E$2:$E$5001,1))</f>
        <v/>
      </c>
      <c r="G685" s="0" t="n">
        <f aca="false">IF(A685="",0,IF(SUMPRODUCT(--($A$2:$A$5001=A685))&gt;1,1,0))</f>
        <v>0</v>
      </c>
      <c r="H685" s="0" t="n">
        <f aca="false">ROW()-1</f>
        <v>684</v>
      </c>
      <c r="I685" s="0" t="str">
        <f aca="false">IF(OR(הגדרות!$E$6=0,H685&gt;הגדרות!$E$5),"",IF(H685-1&lt;הגדרות!$E$8*(הגדרות!$E$7+1),INT((H685-1)/(הגדרות!$E$7+1)),הגדרות!$E$8+INT((H685-1-הגדרות!$E$8*(הגדרות!$E$7+1))/הגדרות!$E$7)))</f>
        <v/>
      </c>
      <c r="J685" s="0" t="str">
        <f aca="false">IF(I685="","",IF(H685-1&lt;הגדרות!$E$8*(הגדרות!$E$7+1),MOD(H685-1,הגדרות!$E$7+1),MOD(H685-1-הגדרות!$E$8*(הגדרות!$E$7+1),הגדרות!$E$7)))</f>
        <v/>
      </c>
      <c r="K685" s="0" t="str">
        <f aca="false">IF(I685="","",J685*הגדרות!$E$6+I685+1)</f>
        <v/>
      </c>
      <c r="L685" s="0" t="str">
        <f aca="false">IF(K685="","",MATCH(K685,$F$2:$F$5001,0))</f>
        <v/>
      </c>
      <c r="M685" s="0" t="str">
        <f aca="false">IF(I685="","",INDEX(הגדרות!$A$2:$A$21,MOD(I685+הגדרות!$E$9,הגדרות!$E$6)+1))</f>
        <v/>
      </c>
    </row>
    <row r="686" customFormat="false" ht="15" hidden="false" customHeight="false" outlineLevel="0" collapsed="false">
      <c r="A686" s="0" t="str">
        <f aca="false">IF('הדבקת לידים'!A686="","",IF(ISNUMBER('הדבקת לידים'!A686),IF(הגדרות!$E$2&gt;0,TEXT('הדבקת לידים'!A686,REPT("0",הגדרות!$E$2)),TEXT('הדבקת לידים'!A686,"0")),TRIM('הדבקת לידים'!A686)))</f>
        <v/>
      </c>
      <c r="B686" s="0" t="str">
        <f aca="false">IF('הדבקת לידים'!B686="","",IF(ISNUMBER('הדבקת לידים'!B686),IF(הגדרות!$E$3&gt;0,TEXT('הדבקת לידים'!B686,REPT("0",הגדרות!$E$3)),TEXT('הדבקת לידים'!B686,"0")),TRIM('הדבקת לידים'!B686)))</f>
        <v/>
      </c>
      <c r="C686" s="0" t="n">
        <f aca="false">IF(OR(A686&lt;&gt;"",B686&lt;&gt;""),1,0)</f>
        <v>0</v>
      </c>
      <c r="D686" s="0" t="str">
        <f aca="false">IF(C686=1,MOD(ABS(SIN(ROW()*12.9898+'הדבקת לידים'!$F$2*78.233+IFERROR(--RIGHT(A686,6),LEN(A686))*0.0137+IFERROR(--RIGHT(B686,6),LEN(B686))*0.0071))*43758.5453,1),"")</f>
        <v/>
      </c>
      <c r="E686" s="0" t="str">
        <f aca="false">IF(C686=1,INT(MOD(ABS(SIN(D686*7919.123+ROW()*0.618+'הדבקת לידים'!$F$2*1.3))*43758.5453,1)*1000000)*10000+ROW(),"")</f>
        <v/>
      </c>
      <c r="F686" s="0" t="str">
        <f aca="false">IF(E686="","",RANK(E686,$E$2:$E$5001,1))</f>
        <v/>
      </c>
      <c r="G686" s="0" t="n">
        <f aca="false">IF(A686="",0,IF(SUMPRODUCT(--($A$2:$A$5001=A686))&gt;1,1,0))</f>
        <v>0</v>
      </c>
      <c r="H686" s="0" t="n">
        <f aca="false">ROW()-1</f>
        <v>685</v>
      </c>
      <c r="I686" s="0" t="str">
        <f aca="false">IF(OR(הגדרות!$E$6=0,H686&gt;הגדרות!$E$5),"",IF(H686-1&lt;הגדרות!$E$8*(הגדרות!$E$7+1),INT((H686-1)/(הגדרות!$E$7+1)),הגדרות!$E$8+INT((H686-1-הגדרות!$E$8*(הגדרות!$E$7+1))/הגדרות!$E$7)))</f>
        <v/>
      </c>
      <c r="J686" s="0" t="str">
        <f aca="false">IF(I686="","",IF(H686-1&lt;הגדרות!$E$8*(הגדרות!$E$7+1),MOD(H686-1,הגדרות!$E$7+1),MOD(H686-1-הגדרות!$E$8*(הגדרות!$E$7+1),הגדרות!$E$7)))</f>
        <v/>
      </c>
      <c r="K686" s="0" t="str">
        <f aca="false">IF(I686="","",J686*הגדרות!$E$6+I686+1)</f>
        <v/>
      </c>
      <c r="L686" s="0" t="str">
        <f aca="false">IF(K686="","",MATCH(K686,$F$2:$F$5001,0))</f>
        <v/>
      </c>
      <c r="M686" s="0" t="str">
        <f aca="false">IF(I686="","",INDEX(הגדרות!$A$2:$A$21,MOD(I686+הגדרות!$E$9,הגדרות!$E$6)+1))</f>
        <v/>
      </c>
    </row>
    <row r="687" customFormat="false" ht="15" hidden="false" customHeight="false" outlineLevel="0" collapsed="false">
      <c r="A687" s="0" t="str">
        <f aca="false">IF('הדבקת לידים'!A687="","",IF(ISNUMBER('הדבקת לידים'!A687),IF(הגדרות!$E$2&gt;0,TEXT('הדבקת לידים'!A687,REPT("0",הגדרות!$E$2)),TEXT('הדבקת לידים'!A687,"0")),TRIM('הדבקת לידים'!A687)))</f>
        <v/>
      </c>
      <c r="B687" s="0" t="str">
        <f aca="false">IF('הדבקת לידים'!B687="","",IF(ISNUMBER('הדבקת לידים'!B687),IF(הגדרות!$E$3&gt;0,TEXT('הדבקת לידים'!B687,REPT("0",הגדרות!$E$3)),TEXT('הדבקת לידים'!B687,"0")),TRIM('הדבקת לידים'!B687)))</f>
        <v/>
      </c>
      <c r="C687" s="0" t="n">
        <f aca="false">IF(OR(A687&lt;&gt;"",B687&lt;&gt;""),1,0)</f>
        <v>0</v>
      </c>
      <c r="D687" s="0" t="str">
        <f aca="false">IF(C687=1,MOD(ABS(SIN(ROW()*12.9898+'הדבקת לידים'!$F$2*78.233+IFERROR(--RIGHT(A687,6),LEN(A687))*0.0137+IFERROR(--RIGHT(B687,6),LEN(B687))*0.0071))*43758.5453,1),"")</f>
        <v/>
      </c>
      <c r="E687" s="0" t="str">
        <f aca="false">IF(C687=1,INT(MOD(ABS(SIN(D687*7919.123+ROW()*0.618+'הדבקת לידים'!$F$2*1.3))*43758.5453,1)*1000000)*10000+ROW(),"")</f>
        <v/>
      </c>
      <c r="F687" s="0" t="str">
        <f aca="false">IF(E687="","",RANK(E687,$E$2:$E$5001,1))</f>
        <v/>
      </c>
      <c r="G687" s="0" t="n">
        <f aca="false">IF(A687="",0,IF(SUMPRODUCT(--($A$2:$A$5001=A687))&gt;1,1,0))</f>
        <v>0</v>
      </c>
      <c r="H687" s="0" t="n">
        <f aca="false">ROW()-1</f>
        <v>686</v>
      </c>
      <c r="I687" s="0" t="str">
        <f aca="false">IF(OR(הגדרות!$E$6=0,H687&gt;הגדרות!$E$5),"",IF(H687-1&lt;הגדרות!$E$8*(הגדרות!$E$7+1),INT((H687-1)/(הגדרות!$E$7+1)),הגדרות!$E$8+INT((H687-1-הגדרות!$E$8*(הגדרות!$E$7+1))/הגדרות!$E$7)))</f>
        <v/>
      </c>
      <c r="J687" s="0" t="str">
        <f aca="false">IF(I687="","",IF(H687-1&lt;הגדרות!$E$8*(הגדרות!$E$7+1),MOD(H687-1,הגדרות!$E$7+1),MOD(H687-1-הגדרות!$E$8*(הגדרות!$E$7+1),הגדרות!$E$7)))</f>
        <v/>
      </c>
      <c r="K687" s="0" t="str">
        <f aca="false">IF(I687="","",J687*הגדרות!$E$6+I687+1)</f>
        <v/>
      </c>
      <c r="L687" s="0" t="str">
        <f aca="false">IF(K687="","",MATCH(K687,$F$2:$F$5001,0))</f>
        <v/>
      </c>
      <c r="M687" s="0" t="str">
        <f aca="false">IF(I687="","",INDEX(הגדרות!$A$2:$A$21,MOD(I687+הגדרות!$E$9,הגדרות!$E$6)+1))</f>
        <v/>
      </c>
    </row>
    <row r="688" customFormat="false" ht="15" hidden="false" customHeight="false" outlineLevel="0" collapsed="false">
      <c r="A688" s="0" t="str">
        <f aca="false">IF('הדבקת לידים'!A688="","",IF(ISNUMBER('הדבקת לידים'!A688),IF(הגדרות!$E$2&gt;0,TEXT('הדבקת לידים'!A688,REPT("0",הגדרות!$E$2)),TEXT('הדבקת לידים'!A688,"0")),TRIM('הדבקת לידים'!A688)))</f>
        <v/>
      </c>
      <c r="B688" s="0" t="str">
        <f aca="false">IF('הדבקת לידים'!B688="","",IF(ISNUMBER('הדבקת לידים'!B688),IF(הגדרות!$E$3&gt;0,TEXT('הדבקת לידים'!B688,REPT("0",הגדרות!$E$3)),TEXT('הדבקת לידים'!B688,"0")),TRIM('הדבקת לידים'!B688)))</f>
        <v/>
      </c>
      <c r="C688" s="0" t="n">
        <f aca="false">IF(OR(A688&lt;&gt;"",B688&lt;&gt;""),1,0)</f>
        <v>0</v>
      </c>
      <c r="D688" s="0" t="str">
        <f aca="false">IF(C688=1,MOD(ABS(SIN(ROW()*12.9898+'הדבקת לידים'!$F$2*78.233+IFERROR(--RIGHT(A688,6),LEN(A688))*0.0137+IFERROR(--RIGHT(B688,6),LEN(B688))*0.0071))*43758.5453,1),"")</f>
        <v/>
      </c>
      <c r="E688" s="0" t="str">
        <f aca="false">IF(C688=1,INT(MOD(ABS(SIN(D688*7919.123+ROW()*0.618+'הדבקת לידים'!$F$2*1.3))*43758.5453,1)*1000000)*10000+ROW(),"")</f>
        <v/>
      </c>
      <c r="F688" s="0" t="str">
        <f aca="false">IF(E688="","",RANK(E688,$E$2:$E$5001,1))</f>
        <v/>
      </c>
      <c r="G688" s="0" t="n">
        <f aca="false">IF(A688="",0,IF(SUMPRODUCT(--($A$2:$A$5001=A688))&gt;1,1,0))</f>
        <v>0</v>
      </c>
      <c r="H688" s="0" t="n">
        <f aca="false">ROW()-1</f>
        <v>687</v>
      </c>
      <c r="I688" s="0" t="str">
        <f aca="false">IF(OR(הגדרות!$E$6=0,H688&gt;הגדרות!$E$5),"",IF(H688-1&lt;הגדרות!$E$8*(הגדרות!$E$7+1),INT((H688-1)/(הגדרות!$E$7+1)),הגדרות!$E$8+INT((H688-1-הגדרות!$E$8*(הגדרות!$E$7+1))/הגדרות!$E$7)))</f>
        <v/>
      </c>
      <c r="J688" s="0" t="str">
        <f aca="false">IF(I688="","",IF(H688-1&lt;הגדרות!$E$8*(הגדרות!$E$7+1),MOD(H688-1,הגדרות!$E$7+1),MOD(H688-1-הגדרות!$E$8*(הגדרות!$E$7+1),הגדרות!$E$7)))</f>
        <v/>
      </c>
      <c r="K688" s="0" t="str">
        <f aca="false">IF(I688="","",J688*הגדרות!$E$6+I688+1)</f>
        <v/>
      </c>
      <c r="L688" s="0" t="str">
        <f aca="false">IF(K688="","",MATCH(K688,$F$2:$F$5001,0))</f>
        <v/>
      </c>
      <c r="M688" s="0" t="str">
        <f aca="false">IF(I688="","",INDEX(הגדרות!$A$2:$A$21,MOD(I688+הגדרות!$E$9,הגדרות!$E$6)+1))</f>
        <v/>
      </c>
    </row>
    <row r="689" customFormat="false" ht="15" hidden="false" customHeight="false" outlineLevel="0" collapsed="false">
      <c r="A689" s="0" t="str">
        <f aca="false">IF('הדבקת לידים'!A689="","",IF(ISNUMBER('הדבקת לידים'!A689),IF(הגדרות!$E$2&gt;0,TEXT('הדבקת לידים'!A689,REPT("0",הגדרות!$E$2)),TEXT('הדבקת לידים'!A689,"0")),TRIM('הדבקת לידים'!A689)))</f>
        <v/>
      </c>
      <c r="B689" s="0" t="str">
        <f aca="false">IF('הדבקת לידים'!B689="","",IF(ISNUMBER('הדבקת לידים'!B689),IF(הגדרות!$E$3&gt;0,TEXT('הדבקת לידים'!B689,REPT("0",הגדרות!$E$3)),TEXT('הדבקת לידים'!B689,"0")),TRIM('הדבקת לידים'!B689)))</f>
        <v/>
      </c>
      <c r="C689" s="0" t="n">
        <f aca="false">IF(OR(A689&lt;&gt;"",B689&lt;&gt;""),1,0)</f>
        <v>0</v>
      </c>
      <c r="D689" s="0" t="str">
        <f aca="false">IF(C689=1,MOD(ABS(SIN(ROW()*12.9898+'הדבקת לידים'!$F$2*78.233+IFERROR(--RIGHT(A689,6),LEN(A689))*0.0137+IFERROR(--RIGHT(B689,6),LEN(B689))*0.0071))*43758.5453,1),"")</f>
        <v/>
      </c>
      <c r="E689" s="0" t="str">
        <f aca="false">IF(C689=1,INT(MOD(ABS(SIN(D689*7919.123+ROW()*0.618+'הדבקת לידים'!$F$2*1.3))*43758.5453,1)*1000000)*10000+ROW(),"")</f>
        <v/>
      </c>
      <c r="F689" s="0" t="str">
        <f aca="false">IF(E689="","",RANK(E689,$E$2:$E$5001,1))</f>
        <v/>
      </c>
      <c r="G689" s="0" t="n">
        <f aca="false">IF(A689="",0,IF(SUMPRODUCT(--($A$2:$A$5001=A689))&gt;1,1,0))</f>
        <v>0</v>
      </c>
      <c r="H689" s="0" t="n">
        <f aca="false">ROW()-1</f>
        <v>688</v>
      </c>
      <c r="I689" s="0" t="str">
        <f aca="false">IF(OR(הגדרות!$E$6=0,H689&gt;הגדרות!$E$5),"",IF(H689-1&lt;הגדרות!$E$8*(הגדרות!$E$7+1),INT((H689-1)/(הגדרות!$E$7+1)),הגדרות!$E$8+INT((H689-1-הגדרות!$E$8*(הגדרות!$E$7+1))/הגדרות!$E$7)))</f>
        <v/>
      </c>
      <c r="J689" s="0" t="str">
        <f aca="false">IF(I689="","",IF(H689-1&lt;הגדרות!$E$8*(הגדרות!$E$7+1),MOD(H689-1,הגדרות!$E$7+1),MOD(H689-1-הגדרות!$E$8*(הגדרות!$E$7+1),הגדרות!$E$7)))</f>
        <v/>
      </c>
      <c r="K689" s="0" t="str">
        <f aca="false">IF(I689="","",J689*הגדרות!$E$6+I689+1)</f>
        <v/>
      </c>
      <c r="L689" s="0" t="str">
        <f aca="false">IF(K689="","",MATCH(K689,$F$2:$F$5001,0))</f>
        <v/>
      </c>
      <c r="M689" s="0" t="str">
        <f aca="false">IF(I689="","",INDEX(הגדרות!$A$2:$A$21,MOD(I689+הגדרות!$E$9,הגדרות!$E$6)+1))</f>
        <v/>
      </c>
    </row>
    <row r="690" customFormat="false" ht="15" hidden="false" customHeight="false" outlineLevel="0" collapsed="false">
      <c r="A690" s="0" t="str">
        <f aca="false">IF('הדבקת לידים'!A690="","",IF(ISNUMBER('הדבקת לידים'!A690),IF(הגדרות!$E$2&gt;0,TEXT('הדבקת לידים'!A690,REPT("0",הגדרות!$E$2)),TEXT('הדבקת לידים'!A690,"0")),TRIM('הדבקת לידים'!A690)))</f>
        <v/>
      </c>
      <c r="B690" s="0" t="str">
        <f aca="false">IF('הדבקת לידים'!B690="","",IF(ISNUMBER('הדבקת לידים'!B690),IF(הגדרות!$E$3&gt;0,TEXT('הדבקת לידים'!B690,REPT("0",הגדרות!$E$3)),TEXT('הדבקת לידים'!B690,"0")),TRIM('הדבקת לידים'!B690)))</f>
        <v/>
      </c>
      <c r="C690" s="0" t="n">
        <f aca="false">IF(OR(A690&lt;&gt;"",B690&lt;&gt;""),1,0)</f>
        <v>0</v>
      </c>
      <c r="D690" s="0" t="str">
        <f aca="false">IF(C690=1,MOD(ABS(SIN(ROW()*12.9898+'הדבקת לידים'!$F$2*78.233+IFERROR(--RIGHT(A690,6),LEN(A690))*0.0137+IFERROR(--RIGHT(B690,6),LEN(B690))*0.0071))*43758.5453,1),"")</f>
        <v/>
      </c>
      <c r="E690" s="0" t="str">
        <f aca="false">IF(C690=1,INT(MOD(ABS(SIN(D690*7919.123+ROW()*0.618+'הדבקת לידים'!$F$2*1.3))*43758.5453,1)*1000000)*10000+ROW(),"")</f>
        <v/>
      </c>
      <c r="F690" s="0" t="str">
        <f aca="false">IF(E690="","",RANK(E690,$E$2:$E$5001,1))</f>
        <v/>
      </c>
      <c r="G690" s="0" t="n">
        <f aca="false">IF(A690="",0,IF(SUMPRODUCT(--($A$2:$A$5001=A690))&gt;1,1,0))</f>
        <v>0</v>
      </c>
      <c r="H690" s="0" t="n">
        <f aca="false">ROW()-1</f>
        <v>689</v>
      </c>
      <c r="I690" s="0" t="str">
        <f aca="false">IF(OR(הגדרות!$E$6=0,H690&gt;הגדרות!$E$5),"",IF(H690-1&lt;הגדרות!$E$8*(הגדרות!$E$7+1),INT((H690-1)/(הגדרות!$E$7+1)),הגדרות!$E$8+INT((H690-1-הגדרות!$E$8*(הגדרות!$E$7+1))/הגדרות!$E$7)))</f>
        <v/>
      </c>
      <c r="J690" s="0" t="str">
        <f aca="false">IF(I690="","",IF(H690-1&lt;הגדרות!$E$8*(הגדרות!$E$7+1),MOD(H690-1,הגדרות!$E$7+1),MOD(H690-1-הגדרות!$E$8*(הגדרות!$E$7+1),הגדרות!$E$7)))</f>
        <v/>
      </c>
      <c r="K690" s="0" t="str">
        <f aca="false">IF(I690="","",J690*הגדרות!$E$6+I690+1)</f>
        <v/>
      </c>
      <c r="L690" s="0" t="str">
        <f aca="false">IF(K690="","",MATCH(K690,$F$2:$F$5001,0))</f>
        <v/>
      </c>
      <c r="M690" s="0" t="str">
        <f aca="false">IF(I690="","",INDEX(הגדרות!$A$2:$A$21,MOD(I690+הגדרות!$E$9,הגדרות!$E$6)+1))</f>
        <v/>
      </c>
    </row>
    <row r="691" customFormat="false" ht="15" hidden="false" customHeight="false" outlineLevel="0" collapsed="false">
      <c r="A691" s="0" t="str">
        <f aca="false">IF('הדבקת לידים'!A691="","",IF(ISNUMBER('הדבקת לידים'!A691),IF(הגדרות!$E$2&gt;0,TEXT('הדבקת לידים'!A691,REPT("0",הגדרות!$E$2)),TEXT('הדבקת לידים'!A691,"0")),TRIM('הדבקת לידים'!A691)))</f>
        <v/>
      </c>
      <c r="B691" s="0" t="str">
        <f aca="false">IF('הדבקת לידים'!B691="","",IF(ISNUMBER('הדבקת לידים'!B691),IF(הגדרות!$E$3&gt;0,TEXT('הדבקת לידים'!B691,REPT("0",הגדרות!$E$3)),TEXT('הדבקת לידים'!B691,"0")),TRIM('הדבקת לידים'!B691)))</f>
        <v/>
      </c>
      <c r="C691" s="0" t="n">
        <f aca="false">IF(OR(A691&lt;&gt;"",B691&lt;&gt;""),1,0)</f>
        <v>0</v>
      </c>
      <c r="D691" s="0" t="str">
        <f aca="false">IF(C691=1,MOD(ABS(SIN(ROW()*12.9898+'הדבקת לידים'!$F$2*78.233+IFERROR(--RIGHT(A691,6),LEN(A691))*0.0137+IFERROR(--RIGHT(B691,6),LEN(B691))*0.0071))*43758.5453,1),"")</f>
        <v/>
      </c>
      <c r="E691" s="0" t="str">
        <f aca="false">IF(C691=1,INT(MOD(ABS(SIN(D691*7919.123+ROW()*0.618+'הדבקת לידים'!$F$2*1.3))*43758.5453,1)*1000000)*10000+ROW(),"")</f>
        <v/>
      </c>
      <c r="F691" s="0" t="str">
        <f aca="false">IF(E691="","",RANK(E691,$E$2:$E$5001,1))</f>
        <v/>
      </c>
      <c r="G691" s="0" t="n">
        <f aca="false">IF(A691="",0,IF(SUMPRODUCT(--($A$2:$A$5001=A691))&gt;1,1,0))</f>
        <v>0</v>
      </c>
      <c r="H691" s="0" t="n">
        <f aca="false">ROW()-1</f>
        <v>690</v>
      </c>
      <c r="I691" s="0" t="str">
        <f aca="false">IF(OR(הגדרות!$E$6=0,H691&gt;הגדרות!$E$5),"",IF(H691-1&lt;הגדרות!$E$8*(הגדרות!$E$7+1),INT((H691-1)/(הגדרות!$E$7+1)),הגדרות!$E$8+INT((H691-1-הגדרות!$E$8*(הגדרות!$E$7+1))/הגדרות!$E$7)))</f>
        <v/>
      </c>
      <c r="J691" s="0" t="str">
        <f aca="false">IF(I691="","",IF(H691-1&lt;הגדרות!$E$8*(הגדרות!$E$7+1),MOD(H691-1,הגדרות!$E$7+1),MOD(H691-1-הגדרות!$E$8*(הגדרות!$E$7+1),הגדרות!$E$7)))</f>
        <v/>
      </c>
      <c r="K691" s="0" t="str">
        <f aca="false">IF(I691="","",J691*הגדרות!$E$6+I691+1)</f>
        <v/>
      </c>
      <c r="L691" s="0" t="str">
        <f aca="false">IF(K691="","",MATCH(K691,$F$2:$F$5001,0))</f>
        <v/>
      </c>
      <c r="M691" s="0" t="str">
        <f aca="false">IF(I691="","",INDEX(הגדרות!$A$2:$A$21,MOD(I691+הגדרות!$E$9,הגדרות!$E$6)+1))</f>
        <v/>
      </c>
    </row>
    <row r="692" customFormat="false" ht="15" hidden="false" customHeight="false" outlineLevel="0" collapsed="false">
      <c r="A692" s="0" t="str">
        <f aca="false">IF('הדבקת לידים'!A692="","",IF(ISNUMBER('הדבקת לידים'!A692),IF(הגדרות!$E$2&gt;0,TEXT('הדבקת לידים'!A692,REPT("0",הגדרות!$E$2)),TEXT('הדבקת לידים'!A692,"0")),TRIM('הדבקת לידים'!A692)))</f>
        <v/>
      </c>
      <c r="B692" s="0" t="str">
        <f aca="false">IF('הדבקת לידים'!B692="","",IF(ISNUMBER('הדבקת לידים'!B692),IF(הגדרות!$E$3&gt;0,TEXT('הדבקת לידים'!B692,REPT("0",הגדרות!$E$3)),TEXT('הדבקת לידים'!B692,"0")),TRIM('הדבקת לידים'!B692)))</f>
        <v/>
      </c>
      <c r="C692" s="0" t="n">
        <f aca="false">IF(OR(A692&lt;&gt;"",B692&lt;&gt;""),1,0)</f>
        <v>0</v>
      </c>
      <c r="D692" s="0" t="str">
        <f aca="false">IF(C692=1,MOD(ABS(SIN(ROW()*12.9898+'הדבקת לידים'!$F$2*78.233+IFERROR(--RIGHT(A692,6),LEN(A692))*0.0137+IFERROR(--RIGHT(B692,6),LEN(B692))*0.0071))*43758.5453,1),"")</f>
        <v/>
      </c>
      <c r="E692" s="0" t="str">
        <f aca="false">IF(C692=1,INT(MOD(ABS(SIN(D692*7919.123+ROW()*0.618+'הדבקת לידים'!$F$2*1.3))*43758.5453,1)*1000000)*10000+ROW(),"")</f>
        <v/>
      </c>
      <c r="F692" s="0" t="str">
        <f aca="false">IF(E692="","",RANK(E692,$E$2:$E$5001,1))</f>
        <v/>
      </c>
      <c r="G692" s="0" t="n">
        <f aca="false">IF(A692="",0,IF(SUMPRODUCT(--($A$2:$A$5001=A692))&gt;1,1,0))</f>
        <v>0</v>
      </c>
      <c r="H692" s="0" t="n">
        <f aca="false">ROW()-1</f>
        <v>691</v>
      </c>
      <c r="I692" s="0" t="str">
        <f aca="false">IF(OR(הגדרות!$E$6=0,H692&gt;הגדרות!$E$5),"",IF(H692-1&lt;הגדרות!$E$8*(הגדרות!$E$7+1),INT((H692-1)/(הגדרות!$E$7+1)),הגדרות!$E$8+INT((H692-1-הגדרות!$E$8*(הגדרות!$E$7+1))/הגדרות!$E$7)))</f>
        <v/>
      </c>
      <c r="J692" s="0" t="str">
        <f aca="false">IF(I692="","",IF(H692-1&lt;הגדרות!$E$8*(הגדרות!$E$7+1),MOD(H692-1,הגדרות!$E$7+1),MOD(H692-1-הגדרות!$E$8*(הגדרות!$E$7+1),הגדרות!$E$7)))</f>
        <v/>
      </c>
      <c r="K692" s="0" t="str">
        <f aca="false">IF(I692="","",J692*הגדרות!$E$6+I692+1)</f>
        <v/>
      </c>
      <c r="L692" s="0" t="str">
        <f aca="false">IF(K692="","",MATCH(K692,$F$2:$F$5001,0))</f>
        <v/>
      </c>
      <c r="M692" s="0" t="str">
        <f aca="false">IF(I692="","",INDEX(הגדרות!$A$2:$A$21,MOD(I692+הגדרות!$E$9,הגדרות!$E$6)+1))</f>
        <v/>
      </c>
    </row>
    <row r="693" customFormat="false" ht="15" hidden="false" customHeight="false" outlineLevel="0" collapsed="false">
      <c r="A693" s="0" t="str">
        <f aca="false">IF('הדבקת לידים'!A693="","",IF(ISNUMBER('הדבקת לידים'!A693),IF(הגדרות!$E$2&gt;0,TEXT('הדבקת לידים'!A693,REPT("0",הגדרות!$E$2)),TEXT('הדבקת לידים'!A693,"0")),TRIM('הדבקת לידים'!A693)))</f>
        <v/>
      </c>
      <c r="B693" s="0" t="str">
        <f aca="false">IF('הדבקת לידים'!B693="","",IF(ISNUMBER('הדבקת לידים'!B693),IF(הגדרות!$E$3&gt;0,TEXT('הדבקת לידים'!B693,REPT("0",הגדרות!$E$3)),TEXT('הדבקת לידים'!B693,"0")),TRIM('הדבקת לידים'!B693)))</f>
        <v/>
      </c>
      <c r="C693" s="0" t="n">
        <f aca="false">IF(OR(A693&lt;&gt;"",B693&lt;&gt;""),1,0)</f>
        <v>0</v>
      </c>
      <c r="D693" s="0" t="str">
        <f aca="false">IF(C693=1,MOD(ABS(SIN(ROW()*12.9898+'הדבקת לידים'!$F$2*78.233+IFERROR(--RIGHT(A693,6),LEN(A693))*0.0137+IFERROR(--RIGHT(B693,6),LEN(B693))*0.0071))*43758.5453,1),"")</f>
        <v/>
      </c>
      <c r="E693" s="0" t="str">
        <f aca="false">IF(C693=1,INT(MOD(ABS(SIN(D693*7919.123+ROW()*0.618+'הדבקת לידים'!$F$2*1.3))*43758.5453,1)*1000000)*10000+ROW(),"")</f>
        <v/>
      </c>
      <c r="F693" s="0" t="str">
        <f aca="false">IF(E693="","",RANK(E693,$E$2:$E$5001,1))</f>
        <v/>
      </c>
      <c r="G693" s="0" t="n">
        <f aca="false">IF(A693="",0,IF(SUMPRODUCT(--($A$2:$A$5001=A693))&gt;1,1,0))</f>
        <v>0</v>
      </c>
      <c r="H693" s="0" t="n">
        <f aca="false">ROW()-1</f>
        <v>692</v>
      </c>
      <c r="I693" s="0" t="str">
        <f aca="false">IF(OR(הגדרות!$E$6=0,H693&gt;הגדרות!$E$5),"",IF(H693-1&lt;הגדרות!$E$8*(הגדרות!$E$7+1),INT((H693-1)/(הגדרות!$E$7+1)),הגדרות!$E$8+INT((H693-1-הגדרות!$E$8*(הגדרות!$E$7+1))/הגדרות!$E$7)))</f>
        <v/>
      </c>
      <c r="J693" s="0" t="str">
        <f aca="false">IF(I693="","",IF(H693-1&lt;הגדרות!$E$8*(הגדרות!$E$7+1),MOD(H693-1,הגדרות!$E$7+1),MOD(H693-1-הגדרות!$E$8*(הגדרות!$E$7+1),הגדרות!$E$7)))</f>
        <v/>
      </c>
      <c r="K693" s="0" t="str">
        <f aca="false">IF(I693="","",J693*הגדרות!$E$6+I693+1)</f>
        <v/>
      </c>
      <c r="L693" s="0" t="str">
        <f aca="false">IF(K693="","",MATCH(K693,$F$2:$F$5001,0))</f>
        <v/>
      </c>
      <c r="M693" s="0" t="str">
        <f aca="false">IF(I693="","",INDEX(הגדרות!$A$2:$A$21,MOD(I693+הגדרות!$E$9,הגדרות!$E$6)+1))</f>
        <v/>
      </c>
    </row>
    <row r="694" customFormat="false" ht="15" hidden="false" customHeight="false" outlineLevel="0" collapsed="false">
      <c r="A694" s="0" t="str">
        <f aca="false">IF('הדבקת לידים'!A694="","",IF(ISNUMBER('הדבקת לידים'!A694),IF(הגדרות!$E$2&gt;0,TEXT('הדבקת לידים'!A694,REPT("0",הגדרות!$E$2)),TEXT('הדבקת לידים'!A694,"0")),TRIM('הדבקת לידים'!A694)))</f>
        <v/>
      </c>
      <c r="B694" s="0" t="str">
        <f aca="false">IF('הדבקת לידים'!B694="","",IF(ISNUMBER('הדבקת לידים'!B694),IF(הגדרות!$E$3&gt;0,TEXT('הדבקת לידים'!B694,REPT("0",הגדרות!$E$3)),TEXT('הדבקת לידים'!B694,"0")),TRIM('הדבקת לידים'!B694)))</f>
        <v/>
      </c>
      <c r="C694" s="0" t="n">
        <f aca="false">IF(OR(A694&lt;&gt;"",B694&lt;&gt;""),1,0)</f>
        <v>0</v>
      </c>
      <c r="D694" s="0" t="str">
        <f aca="false">IF(C694=1,MOD(ABS(SIN(ROW()*12.9898+'הדבקת לידים'!$F$2*78.233+IFERROR(--RIGHT(A694,6),LEN(A694))*0.0137+IFERROR(--RIGHT(B694,6),LEN(B694))*0.0071))*43758.5453,1),"")</f>
        <v/>
      </c>
      <c r="E694" s="0" t="str">
        <f aca="false">IF(C694=1,INT(MOD(ABS(SIN(D694*7919.123+ROW()*0.618+'הדבקת לידים'!$F$2*1.3))*43758.5453,1)*1000000)*10000+ROW(),"")</f>
        <v/>
      </c>
      <c r="F694" s="0" t="str">
        <f aca="false">IF(E694="","",RANK(E694,$E$2:$E$5001,1))</f>
        <v/>
      </c>
      <c r="G694" s="0" t="n">
        <f aca="false">IF(A694="",0,IF(SUMPRODUCT(--($A$2:$A$5001=A694))&gt;1,1,0))</f>
        <v>0</v>
      </c>
      <c r="H694" s="0" t="n">
        <f aca="false">ROW()-1</f>
        <v>693</v>
      </c>
      <c r="I694" s="0" t="str">
        <f aca="false">IF(OR(הגדרות!$E$6=0,H694&gt;הגדרות!$E$5),"",IF(H694-1&lt;הגדרות!$E$8*(הגדרות!$E$7+1),INT((H694-1)/(הגדרות!$E$7+1)),הגדרות!$E$8+INT((H694-1-הגדרות!$E$8*(הגדרות!$E$7+1))/הגדרות!$E$7)))</f>
        <v/>
      </c>
      <c r="J694" s="0" t="str">
        <f aca="false">IF(I694="","",IF(H694-1&lt;הגדרות!$E$8*(הגדרות!$E$7+1),MOD(H694-1,הגדרות!$E$7+1),MOD(H694-1-הגדרות!$E$8*(הגדרות!$E$7+1),הגדרות!$E$7)))</f>
        <v/>
      </c>
      <c r="K694" s="0" t="str">
        <f aca="false">IF(I694="","",J694*הגדרות!$E$6+I694+1)</f>
        <v/>
      </c>
      <c r="L694" s="0" t="str">
        <f aca="false">IF(K694="","",MATCH(K694,$F$2:$F$5001,0))</f>
        <v/>
      </c>
      <c r="M694" s="0" t="str">
        <f aca="false">IF(I694="","",INDEX(הגדרות!$A$2:$A$21,MOD(I694+הגדרות!$E$9,הגדרות!$E$6)+1))</f>
        <v/>
      </c>
    </row>
    <row r="695" customFormat="false" ht="15" hidden="false" customHeight="false" outlineLevel="0" collapsed="false">
      <c r="A695" s="0" t="str">
        <f aca="false">IF('הדבקת לידים'!A695="","",IF(ISNUMBER('הדבקת לידים'!A695),IF(הגדרות!$E$2&gt;0,TEXT('הדבקת לידים'!A695,REPT("0",הגדרות!$E$2)),TEXT('הדבקת לידים'!A695,"0")),TRIM('הדבקת לידים'!A695)))</f>
        <v/>
      </c>
      <c r="B695" s="0" t="str">
        <f aca="false">IF('הדבקת לידים'!B695="","",IF(ISNUMBER('הדבקת לידים'!B695),IF(הגדרות!$E$3&gt;0,TEXT('הדבקת לידים'!B695,REPT("0",הגדרות!$E$3)),TEXT('הדבקת לידים'!B695,"0")),TRIM('הדבקת לידים'!B695)))</f>
        <v/>
      </c>
      <c r="C695" s="0" t="n">
        <f aca="false">IF(OR(A695&lt;&gt;"",B695&lt;&gt;""),1,0)</f>
        <v>0</v>
      </c>
      <c r="D695" s="0" t="str">
        <f aca="false">IF(C695=1,MOD(ABS(SIN(ROW()*12.9898+'הדבקת לידים'!$F$2*78.233+IFERROR(--RIGHT(A695,6),LEN(A695))*0.0137+IFERROR(--RIGHT(B695,6),LEN(B695))*0.0071))*43758.5453,1),"")</f>
        <v/>
      </c>
      <c r="E695" s="0" t="str">
        <f aca="false">IF(C695=1,INT(MOD(ABS(SIN(D695*7919.123+ROW()*0.618+'הדבקת לידים'!$F$2*1.3))*43758.5453,1)*1000000)*10000+ROW(),"")</f>
        <v/>
      </c>
      <c r="F695" s="0" t="str">
        <f aca="false">IF(E695="","",RANK(E695,$E$2:$E$5001,1))</f>
        <v/>
      </c>
      <c r="G695" s="0" t="n">
        <f aca="false">IF(A695="",0,IF(SUMPRODUCT(--($A$2:$A$5001=A695))&gt;1,1,0))</f>
        <v>0</v>
      </c>
      <c r="H695" s="0" t="n">
        <f aca="false">ROW()-1</f>
        <v>694</v>
      </c>
      <c r="I695" s="0" t="str">
        <f aca="false">IF(OR(הגדרות!$E$6=0,H695&gt;הגדרות!$E$5),"",IF(H695-1&lt;הגדרות!$E$8*(הגדרות!$E$7+1),INT((H695-1)/(הגדרות!$E$7+1)),הגדרות!$E$8+INT((H695-1-הגדרות!$E$8*(הגדרות!$E$7+1))/הגדרות!$E$7)))</f>
        <v/>
      </c>
      <c r="J695" s="0" t="str">
        <f aca="false">IF(I695="","",IF(H695-1&lt;הגדרות!$E$8*(הגדרות!$E$7+1),MOD(H695-1,הגדרות!$E$7+1),MOD(H695-1-הגדרות!$E$8*(הגדרות!$E$7+1),הגדרות!$E$7)))</f>
        <v/>
      </c>
      <c r="K695" s="0" t="str">
        <f aca="false">IF(I695="","",J695*הגדרות!$E$6+I695+1)</f>
        <v/>
      </c>
      <c r="L695" s="0" t="str">
        <f aca="false">IF(K695="","",MATCH(K695,$F$2:$F$5001,0))</f>
        <v/>
      </c>
      <c r="M695" s="0" t="str">
        <f aca="false">IF(I695="","",INDEX(הגדרות!$A$2:$A$21,MOD(I695+הגדרות!$E$9,הגדרות!$E$6)+1))</f>
        <v/>
      </c>
    </row>
    <row r="696" customFormat="false" ht="15" hidden="false" customHeight="false" outlineLevel="0" collapsed="false">
      <c r="A696" s="0" t="str">
        <f aca="false">IF('הדבקת לידים'!A696="","",IF(ISNUMBER('הדבקת לידים'!A696),IF(הגדרות!$E$2&gt;0,TEXT('הדבקת לידים'!A696,REPT("0",הגדרות!$E$2)),TEXT('הדבקת לידים'!A696,"0")),TRIM('הדבקת לידים'!A696)))</f>
        <v/>
      </c>
      <c r="B696" s="0" t="str">
        <f aca="false">IF('הדבקת לידים'!B696="","",IF(ISNUMBER('הדבקת לידים'!B696),IF(הגדרות!$E$3&gt;0,TEXT('הדבקת לידים'!B696,REPT("0",הגדרות!$E$3)),TEXT('הדבקת לידים'!B696,"0")),TRIM('הדבקת לידים'!B696)))</f>
        <v/>
      </c>
      <c r="C696" s="0" t="n">
        <f aca="false">IF(OR(A696&lt;&gt;"",B696&lt;&gt;""),1,0)</f>
        <v>0</v>
      </c>
      <c r="D696" s="0" t="str">
        <f aca="false">IF(C696=1,MOD(ABS(SIN(ROW()*12.9898+'הדבקת לידים'!$F$2*78.233+IFERROR(--RIGHT(A696,6),LEN(A696))*0.0137+IFERROR(--RIGHT(B696,6),LEN(B696))*0.0071))*43758.5453,1),"")</f>
        <v/>
      </c>
      <c r="E696" s="0" t="str">
        <f aca="false">IF(C696=1,INT(MOD(ABS(SIN(D696*7919.123+ROW()*0.618+'הדבקת לידים'!$F$2*1.3))*43758.5453,1)*1000000)*10000+ROW(),"")</f>
        <v/>
      </c>
      <c r="F696" s="0" t="str">
        <f aca="false">IF(E696="","",RANK(E696,$E$2:$E$5001,1))</f>
        <v/>
      </c>
      <c r="G696" s="0" t="n">
        <f aca="false">IF(A696="",0,IF(SUMPRODUCT(--($A$2:$A$5001=A696))&gt;1,1,0))</f>
        <v>0</v>
      </c>
      <c r="H696" s="0" t="n">
        <f aca="false">ROW()-1</f>
        <v>695</v>
      </c>
      <c r="I696" s="0" t="str">
        <f aca="false">IF(OR(הגדרות!$E$6=0,H696&gt;הגדרות!$E$5),"",IF(H696-1&lt;הגדרות!$E$8*(הגדרות!$E$7+1),INT((H696-1)/(הגדרות!$E$7+1)),הגדרות!$E$8+INT((H696-1-הגדרות!$E$8*(הגדרות!$E$7+1))/הגדרות!$E$7)))</f>
        <v/>
      </c>
      <c r="J696" s="0" t="str">
        <f aca="false">IF(I696="","",IF(H696-1&lt;הגדרות!$E$8*(הגדרות!$E$7+1),MOD(H696-1,הגדרות!$E$7+1),MOD(H696-1-הגדרות!$E$8*(הגדרות!$E$7+1),הגדרות!$E$7)))</f>
        <v/>
      </c>
      <c r="K696" s="0" t="str">
        <f aca="false">IF(I696="","",J696*הגדרות!$E$6+I696+1)</f>
        <v/>
      </c>
      <c r="L696" s="0" t="str">
        <f aca="false">IF(K696="","",MATCH(K696,$F$2:$F$5001,0))</f>
        <v/>
      </c>
      <c r="M696" s="0" t="str">
        <f aca="false">IF(I696="","",INDEX(הגדרות!$A$2:$A$21,MOD(I696+הגדרות!$E$9,הגדרות!$E$6)+1))</f>
        <v/>
      </c>
    </row>
    <row r="697" customFormat="false" ht="15" hidden="false" customHeight="false" outlineLevel="0" collapsed="false">
      <c r="A697" s="0" t="str">
        <f aca="false">IF('הדבקת לידים'!A697="","",IF(ISNUMBER('הדבקת לידים'!A697),IF(הגדרות!$E$2&gt;0,TEXT('הדבקת לידים'!A697,REPT("0",הגדרות!$E$2)),TEXT('הדבקת לידים'!A697,"0")),TRIM('הדבקת לידים'!A697)))</f>
        <v/>
      </c>
      <c r="B697" s="0" t="str">
        <f aca="false">IF('הדבקת לידים'!B697="","",IF(ISNUMBER('הדבקת לידים'!B697),IF(הגדרות!$E$3&gt;0,TEXT('הדבקת לידים'!B697,REPT("0",הגדרות!$E$3)),TEXT('הדבקת לידים'!B697,"0")),TRIM('הדבקת לידים'!B697)))</f>
        <v/>
      </c>
      <c r="C697" s="0" t="n">
        <f aca="false">IF(OR(A697&lt;&gt;"",B697&lt;&gt;""),1,0)</f>
        <v>0</v>
      </c>
      <c r="D697" s="0" t="str">
        <f aca="false">IF(C697=1,MOD(ABS(SIN(ROW()*12.9898+'הדבקת לידים'!$F$2*78.233+IFERROR(--RIGHT(A697,6),LEN(A697))*0.0137+IFERROR(--RIGHT(B697,6),LEN(B697))*0.0071))*43758.5453,1),"")</f>
        <v/>
      </c>
      <c r="E697" s="0" t="str">
        <f aca="false">IF(C697=1,INT(MOD(ABS(SIN(D697*7919.123+ROW()*0.618+'הדבקת לידים'!$F$2*1.3))*43758.5453,1)*1000000)*10000+ROW(),"")</f>
        <v/>
      </c>
      <c r="F697" s="0" t="str">
        <f aca="false">IF(E697="","",RANK(E697,$E$2:$E$5001,1))</f>
        <v/>
      </c>
      <c r="G697" s="0" t="n">
        <f aca="false">IF(A697="",0,IF(SUMPRODUCT(--($A$2:$A$5001=A697))&gt;1,1,0))</f>
        <v>0</v>
      </c>
      <c r="H697" s="0" t="n">
        <f aca="false">ROW()-1</f>
        <v>696</v>
      </c>
      <c r="I697" s="0" t="str">
        <f aca="false">IF(OR(הגדרות!$E$6=0,H697&gt;הגדרות!$E$5),"",IF(H697-1&lt;הגדרות!$E$8*(הגדרות!$E$7+1),INT((H697-1)/(הגדרות!$E$7+1)),הגדרות!$E$8+INT((H697-1-הגדרות!$E$8*(הגדרות!$E$7+1))/הגדרות!$E$7)))</f>
        <v/>
      </c>
      <c r="J697" s="0" t="str">
        <f aca="false">IF(I697="","",IF(H697-1&lt;הגדרות!$E$8*(הגדרות!$E$7+1),MOD(H697-1,הגדרות!$E$7+1),MOD(H697-1-הגדרות!$E$8*(הגדרות!$E$7+1),הגדרות!$E$7)))</f>
        <v/>
      </c>
      <c r="K697" s="0" t="str">
        <f aca="false">IF(I697="","",J697*הגדרות!$E$6+I697+1)</f>
        <v/>
      </c>
      <c r="L697" s="0" t="str">
        <f aca="false">IF(K697="","",MATCH(K697,$F$2:$F$5001,0))</f>
        <v/>
      </c>
      <c r="M697" s="0" t="str">
        <f aca="false">IF(I697="","",INDEX(הגדרות!$A$2:$A$21,MOD(I697+הגדרות!$E$9,הגדרות!$E$6)+1))</f>
        <v/>
      </c>
    </row>
    <row r="698" customFormat="false" ht="15" hidden="false" customHeight="false" outlineLevel="0" collapsed="false">
      <c r="A698" s="0" t="str">
        <f aca="false">IF('הדבקת לידים'!A698="","",IF(ISNUMBER('הדבקת לידים'!A698),IF(הגדרות!$E$2&gt;0,TEXT('הדבקת לידים'!A698,REPT("0",הגדרות!$E$2)),TEXT('הדבקת לידים'!A698,"0")),TRIM('הדבקת לידים'!A698)))</f>
        <v/>
      </c>
      <c r="B698" s="0" t="str">
        <f aca="false">IF('הדבקת לידים'!B698="","",IF(ISNUMBER('הדבקת לידים'!B698),IF(הגדרות!$E$3&gt;0,TEXT('הדבקת לידים'!B698,REPT("0",הגדרות!$E$3)),TEXT('הדבקת לידים'!B698,"0")),TRIM('הדבקת לידים'!B698)))</f>
        <v/>
      </c>
      <c r="C698" s="0" t="n">
        <f aca="false">IF(OR(A698&lt;&gt;"",B698&lt;&gt;""),1,0)</f>
        <v>0</v>
      </c>
      <c r="D698" s="0" t="str">
        <f aca="false">IF(C698=1,MOD(ABS(SIN(ROW()*12.9898+'הדבקת לידים'!$F$2*78.233+IFERROR(--RIGHT(A698,6),LEN(A698))*0.0137+IFERROR(--RIGHT(B698,6),LEN(B698))*0.0071))*43758.5453,1),"")</f>
        <v/>
      </c>
      <c r="E698" s="0" t="str">
        <f aca="false">IF(C698=1,INT(MOD(ABS(SIN(D698*7919.123+ROW()*0.618+'הדבקת לידים'!$F$2*1.3))*43758.5453,1)*1000000)*10000+ROW(),"")</f>
        <v/>
      </c>
      <c r="F698" s="0" t="str">
        <f aca="false">IF(E698="","",RANK(E698,$E$2:$E$5001,1))</f>
        <v/>
      </c>
      <c r="G698" s="0" t="n">
        <f aca="false">IF(A698="",0,IF(SUMPRODUCT(--($A$2:$A$5001=A698))&gt;1,1,0))</f>
        <v>0</v>
      </c>
      <c r="H698" s="0" t="n">
        <f aca="false">ROW()-1</f>
        <v>697</v>
      </c>
      <c r="I698" s="0" t="str">
        <f aca="false">IF(OR(הגדרות!$E$6=0,H698&gt;הגדרות!$E$5),"",IF(H698-1&lt;הגדרות!$E$8*(הגדרות!$E$7+1),INT((H698-1)/(הגדרות!$E$7+1)),הגדרות!$E$8+INT((H698-1-הגדרות!$E$8*(הגדרות!$E$7+1))/הגדרות!$E$7)))</f>
        <v/>
      </c>
      <c r="J698" s="0" t="str">
        <f aca="false">IF(I698="","",IF(H698-1&lt;הגדרות!$E$8*(הגדרות!$E$7+1),MOD(H698-1,הגדרות!$E$7+1),MOD(H698-1-הגדרות!$E$8*(הגדרות!$E$7+1),הגדרות!$E$7)))</f>
        <v/>
      </c>
      <c r="K698" s="0" t="str">
        <f aca="false">IF(I698="","",J698*הגדרות!$E$6+I698+1)</f>
        <v/>
      </c>
      <c r="L698" s="0" t="str">
        <f aca="false">IF(K698="","",MATCH(K698,$F$2:$F$5001,0))</f>
        <v/>
      </c>
      <c r="M698" s="0" t="str">
        <f aca="false">IF(I698="","",INDEX(הגדרות!$A$2:$A$21,MOD(I698+הגדרות!$E$9,הגדרות!$E$6)+1))</f>
        <v/>
      </c>
    </row>
    <row r="699" customFormat="false" ht="15" hidden="false" customHeight="false" outlineLevel="0" collapsed="false">
      <c r="A699" s="0" t="str">
        <f aca="false">IF('הדבקת לידים'!A699="","",IF(ISNUMBER('הדבקת לידים'!A699),IF(הגדרות!$E$2&gt;0,TEXT('הדבקת לידים'!A699,REPT("0",הגדרות!$E$2)),TEXT('הדבקת לידים'!A699,"0")),TRIM('הדבקת לידים'!A699)))</f>
        <v/>
      </c>
      <c r="B699" s="0" t="str">
        <f aca="false">IF('הדבקת לידים'!B699="","",IF(ISNUMBER('הדבקת לידים'!B699),IF(הגדרות!$E$3&gt;0,TEXT('הדבקת לידים'!B699,REPT("0",הגדרות!$E$3)),TEXT('הדבקת לידים'!B699,"0")),TRIM('הדבקת לידים'!B699)))</f>
        <v/>
      </c>
      <c r="C699" s="0" t="n">
        <f aca="false">IF(OR(A699&lt;&gt;"",B699&lt;&gt;""),1,0)</f>
        <v>0</v>
      </c>
      <c r="D699" s="0" t="str">
        <f aca="false">IF(C699=1,MOD(ABS(SIN(ROW()*12.9898+'הדבקת לידים'!$F$2*78.233+IFERROR(--RIGHT(A699,6),LEN(A699))*0.0137+IFERROR(--RIGHT(B699,6),LEN(B699))*0.0071))*43758.5453,1),"")</f>
        <v/>
      </c>
      <c r="E699" s="0" t="str">
        <f aca="false">IF(C699=1,INT(MOD(ABS(SIN(D699*7919.123+ROW()*0.618+'הדבקת לידים'!$F$2*1.3))*43758.5453,1)*1000000)*10000+ROW(),"")</f>
        <v/>
      </c>
      <c r="F699" s="0" t="str">
        <f aca="false">IF(E699="","",RANK(E699,$E$2:$E$5001,1))</f>
        <v/>
      </c>
      <c r="G699" s="0" t="n">
        <f aca="false">IF(A699="",0,IF(SUMPRODUCT(--($A$2:$A$5001=A699))&gt;1,1,0))</f>
        <v>0</v>
      </c>
      <c r="H699" s="0" t="n">
        <f aca="false">ROW()-1</f>
        <v>698</v>
      </c>
      <c r="I699" s="0" t="str">
        <f aca="false">IF(OR(הגדרות!$E$6=0,H699&gt;הגדרות!$E$5),"",IF(H699-1&lt;הגדרות!$E$8*(הגדרות!$E$7+1),INT((H699-1)/(הגדרות!$E$7+1)),הגדרות!$E$8+INT((H699-1-הגדרות!$E$8*(הגדרות!$E$7+1))/הגדרות!$E$7)))</f>
        <v/>
      </c>
      <c r="J699" s="0" t="str">
        <f aca="false">IF(I699="","",IF(H699-1&lt;הגדרות!$E$8*(הגדרות!$E$7+1),MOD(H699-1,הגדרות!$E$7+1),MOD(H699-1-הגדרות!$E$8*(הגדרות!$E$7+1),הגדרות!$E$7)))</f>
        <v/>
      </c>
      <c r="K699" s="0" t="str">
        <f aca="false">IF(I699="","",J699*הגדרות!$E$6+I699+1)</f>
        <v/>
      </c>
      <c r="L699" s="0" t="str">
        <f aca="false">IF(K699="","",MATCH(K699,$F$2:$F$5001,0))</f>
        <v/>
      </c>
      <c r="M699" s="0" t="str">
        <f aca="false">IF(I699="","",INDEX(הגדרות!$A$2:$A$21,MOD(I699+הגדרות!$E$9,הגדרות!$E$6)+1))</f>
        <v/>
      </c>
    </row>
    <row r="700" customFormat="false" ht="15" hidden="false" customHeight="false" outlineLevel="0" collapsed="false">
      <c r="A700" s="0" t="str">
        <f aca="false">IF('הדבקת לידים'!A700="","",IF(ISNUMBER('הדבקת לידים'!A700),IF(הגדרות!$E$2&gt;0,TEXT('הדבקת לידים'!A700,REPT("0",הגדרות!$E$2)),TEXT('הדבקת לידים'!A700,"0")),TRIM('הדבקת לידים'!A700)))</f>
        <v/>
      </c>
      <c r="B700" s="0" t="str">
        <f aca="false">IF('הדבקת לידים'!B700="","",IF(ISNUMBER('הדבקת לידים'!B700),IF(הגדרות!$E$3&gt;0,TEXT('הדבקת לידים'!B700,REPT("0",הגדרות!$E$3)),TEXT('הדבקת לידים'!B700,"0")),TRIM('הדבקת לידים'!B700)))</f>
        <v/>
      </c>
      <c r="C700" s="0" t="n">
        <f aca="false">IF(OR(A700&lt;&gt;"",B700&lt;&gt;""),1,0)</f>
        <v>0</v>
      </c>
      <c r="D700" s="0" t="str">
        <f aca="false">IF(C700=1,MOD(ABS(SIN(ROW()*12.9898+'הדבקת לידים'!$F$2*78.233+IFERROR(--RIGHT(A700,6),LEN(A700))*0.0137+IFERROR(--RIGHT(B700,6),LEN(B700))*0.0071))*43758.5453,1),"")</f>
        <v/>
      </c>
      <c r="E700" s="0" t="str">
        <f aca="false">IF(C700=1,INT(MOD(ABS(SIN(D700*7919.123+ROW()*0.618+'הדבקת לידים'!$F$2*1.3))*43758.5453,1)*1000000)*10000+ROW(),"")</f>
        <v/>
      </c>
      <c r="F700" s="0" t="str">
        <f aca="false">IF(E700="","",RANK(E700,$E$2:$E$5001,1))</f>
        <v/>
      </c>
      <c r="G700" s="0" t="n">
        <f aca="false">IF(A700="",0,IF(SUMPRODUCT(--($A$2:$A$5001=A700))&gt;1,1,0))</f>
        <v>0</v>
      </c>
      <c r="H700" s="0" t="n">
        <f aca="false">ROW()-1</f>
        <v>699</v>
      </c>
      <c r="I700" s="0" t="str">
        <f aca="false">IF(OR(הגדרות!$E$6=0,H700&gt;הגדרות!$E$5),"",IF(H700-1&lt;הגדרות!$E$8*(הגדרות!$E$7+1),INT((H700-1)/(הגדרות!$E$7+1)),הגדרות!$E$8+INT((H700-1-הגדרות!$E$8*(הגדרות!$E$7+1))/הגדרות!$E$7)))</f>
        <v/>
      </c>
      <c r="J700" s="0" t="str">
        <f aca="false">IF(I700="","",IF(H700-1&lt;הגדרות!$E$8*(הגדרות!$E$7+1),MOD(H700-1,הגדרות!$E$7+1),MOD(H700-1-הגדרות!$E$8*(הגדרות!$E$7+1),הגדרות!$E$7)))</f>
        <v/>
      </c>
      <c r="K700" s="0" t="str">
        <f aca="false">IF(I700="","",J700*הגדרות!$E$6+I700+1)</f>
        <v/>
      </c>
      <c r="L700" s="0" t="str">
        <f aca="false">IF(K700="","",MATCH(K700,$F$2:$F$5001,0))</f>
        <v/>
      </c>
      <c r="M700" s="0" t="str">
        <f aca="false">IF(I700="","",INDEX(הגדרות!$A$2:$A$21,MOD(I700+הגדרות!$E$9,הגדרות!$E$6)+1))</f>
        <v/>
      </c>
    </row>
    <row r="701" customFormat="false" ht="15" hidden="false" customHeight="false" outlineLevel="0" collapsed="false">
      <c r="A701" s="0" t="str">
        <f aca="false">IF('הדבקת לידים'!A701="","",IF(ISNUMBER('הדבקת לידים'!A701),IF(הגדרות!$E$2&gt;0,TEXT('הדבקת לידים'!A701,REPT("0",הגדרות!$E$2)),TEXT('הדבקת לידים'!A701,"0")),TRIM('הדבקת לידים'!A701)))</f>
        <v/>
      </c>
      <c r="B701" s="0" t="str">
        <f aca="false">IF('הדבקת לידים'!B701="","",IF(ISNUMBER('הדבקת לידים'!B701),IF(הגדרות!$E$3&gt;0,TEXT('הדבקת לידים'!B701,REPT("0",הגדרות!$E$3)),TEXT('הדבקת לידים'!B701,"0")),TRIM('הדבקת לידים'!B701)))</f>
        <v/>
      </c>
      <c r="C701" s="0" t="n">
        <f aca="false">IF(OR(A701&lt;&gt;"",B701&lt;&gt;""),1,0)</f>
        <v>0</v>
      </c>
      <c r="D701" s="0" t="str">
        <f aca="false">IF(C701=1,MOD(ABS(SIN(ROW()*12.9898+'הדבקת לידים'!$F$2*78.233+IFERROR(--RIGHT(A701,6),LEN(A701))*0.0137+IFERROR(--RIGHT(B701,6),LEN(B701))*0.0071))*43758.5453,1),"")</f>
        <v/>
      </c>
      <c r="E701" s="0" t="str">
        <f aca="false">IF(C701=1,INT(MOD(ABS(SIN(D701*7919.123+ROW()*0.618+'הדבקת לידים'!$F$2*1.3))*43758.5453,1)*1000000)*10000+ROW(),"")</f>
        <v/>
      </c>
      <c r="F701" s="0" t="str">
        <f aca="false">IF(E701="","",RANK(E701,$E$2:$E$5001,1))</f>
        <v/>
      </c>
      <c r="G701" s="0" t="n">
        <f aca="false">IF(A701="",0,IF(SUMPRODUCT(--($A$2:$A$5001=A701))&gt;1,1,0))</f>
        <v>0</v>
      </c>
      <c r="H701" s="0" t="n">
        <f aca="false">ROW()-1</f>
        <v>700</v>
      </c>
      <c r="I701" s="0" t="str">
        <f aca="false">IF(OR(הגדרות!$E$6=0,H701&gt;הגדרות!$E$5),"",IF(H701-1&lt;הגדרות!$E$8*(הגדרות!$E$7+1),INT((H701-1)/(הגדרות!$E$7+1)),הגדרות!$E$8+INT((H701-1-הגדרות!$E$8*(הגדרות!$E$7+1))/הגדרות!$E$7)))</f>
        <v/>
      </c>
      <c r="J701" s="0" t="str">
        <f aca="false">IF(I701="","",IF(H701-1&lt;הגדרות!$E$8*(הגדרות!$E$7+1),MOD(H701-1,הגדרות!$E$7+1),MOD(H701-1-הגדרות!$E$8*(הגדרות!$E$7+1),הגדרות!$E$7)))</f>
        <v/>
      </c>
      <c r="K701" s="0" t="str">
        <f aca="false">IF(I701="","",J701*הגדרות!$E$6+I701+1)</f>
        <v/>
      </c>
      <c r="L701" s="0" t="str">
        <f aca="false">IF(K701="","",MATCH(K701,$F$2:$F$5001,0))</f>
        <v/>
      </c>
      <c r="M701" s="0" t="str">
        <f aca="false">IF(I701="","",INDEX(הגדרות!$A$2:$A$21,MOD(I701+הגדרות!$E$9,הגדרות!$E$6)+1))</f>
        <v/>
      </c>
    </row>
    <row r="702" customFormat="false" ht="15" hidden="false" customHeight="false" outlineLevel="0" collapsed="false">
      <c r="A702" s="0" t="str">
        <f aca="false">IF('הדבקת לידים'!A702="","",IF(ISNUMBER('הדבקת לידים'!A702),IF(הגדרות!$E$2&gt;0,TEXT('הדבקת לידים'!A702,REPT("0",הגדרות!$E$2)),TEXT('הדבקת לידים'!A702,"0")),TRIM('הדבקת לידים'!A702)))</f>
        <v/>
      </c>
      <c r="B702" s="0" t="str">
        <f aca="false">IF('הדבקת לידים'!B702="","",IF(ISNUMBER('הדבקת לידים'!B702),IF(הגדרות!$E$3&gt;0,TEXT('הדבקת לידים'!B702,REPT("0",הגדרות!$E$3)),TEXT('הדבקת לידים'!B702,"0")),TRIM('הדבקת לידים'!B702)))</f>
        <v/>
      </c>
      <c r="C702" s="0" t="n">
        <f aca="false">IF(OR(A702&lt;&gt;"",B702&lt;&gt;""),1,0)</f>
        <v>0</v>
      </c>
      <c r="D702" s="0" t="str">
        <f aca="false">IF(C702=1,MOD(ABS(SIN(ROW()*12.9898+'הדבקת לידים'!$F$2*78.233+IFERROR(--RIGHT(A702,6),LEN(A702))*0.0137+IFERROR(--RIGHT(B702,6),LEN(B702))*0.0071))*43758.5453,1),"")</f>
        <v/>
      </c>
      <c r="E702" s="0" t="str">
        <f aca="false">IF(C702=1,INT(MOD(ABS(SIN(D702*7919.123+ROW()*0.618+'הדבקת לידים'!$F$2*1.3))*43758.5453,1)*1000000)*10000+ROW(),"")</f>
        <v/>
      </c>
      <c r="F702" s="0" t="str">
        <f aca="false">IF(E702="","",RANK(E702,$E$2:$E$5001,1))</f>
        <v/>
      </c>
      <c r="G702" s="0" t="n">
        <f aca="false">IF(A702="",0,IF(SUMPRODUCT(--($A$2:$A$5001=A702))&gt;1,1,0))</f>
        <v>0</v>
      </c>
      <c r="H702" s="0" t="n">
        <f aca="false">ROW()-1</f>
        <v>701</v>
      </c>
      <c r="I702" s="0" t="str">
        <f aca="false">IF(OR(הגדרות!$E$6=0,H702&gt;הגדרות!$E$5),"",IF(H702-1&lt;הגדרות!$E$8*(הגדרות!$E$7+1),INT((H702-1)/(הגדרות!$E$7+1)),הגדרות!$E$8+INT((H702-1-הגדרות!$E$8*(הגדרות!$E$7+1))/הגדרות!$E$7)))</f>
        <v/>
      </c>
      <c r="J702" s="0" t="str">
        <f aca="false">IF(I702="","",IF(H702-1&lt;הגדרות!$E$8*(הגדרות!$E$7+1),MOD(H702-1,הגדרות!$E$7+1),MOD(H702-1-הגדרות!$E$8*(הגדרות!$E$7+1),הגדרות!$E$7)))</f>
        <v/>
      </c>
      <c r="K702" s="0" t="str">
        <f aca="false">IF(I702="","",J702*הגדרות!$E$6+I702+1)</f>
        <v/>
      </c>
      <c r="L702" s="0" t="str">
        <f aca="false">IF(K702="","",MATCH(K702,$F$2:$F$5001,0))</f>
        <v/>
      </c>
      <c r="M702" s="0" t="str">
        <f aca="false">IF(I702="","",INDEX(הגדרות!$A$2:$A$21,MOD(I702+הגדרות!$E$9,הגדרות!$E$6)+1))</f>
        <v/>
      </c>
    </row>
    <row r="703" customFormat="false" ht="15" hidden="false" customHeight="false" outlineLevel="0" collapsed="false">
      <c r="A703" s="0" t="str">
        <f aca="false">IF('הדבקת לידים'!A703="","",IF(ISNUMBER('הדבקת לידים'!A703),IF(הגדרות!$E$2&gt;0,TEXT('הדבקת לידים'!A703,REPT("0",הגדרות!$E$2)),TEXT('הדבקת לידים'!A703,"0")),TRIM('הדבקת לידים'!A703)))</f>
        <v/>
      </c>
      <c r="B703" s="0" t="str">
        <f aca="false">IF('הדבקת לידים'!B703="","",IF(ISNUMBER('הדבקת לידים'!B703),IF(הגדרות!$E$3&gt;0,TEXT('הדבקת לידים'!B703,REPT("0",הגדרות!$E$3)),TEXT('הדבקת לידים'!B703,"0")),TRIM('הדבקת לידים'!B703)))</f>
        <v/>
      </c>
      <c r="C703" s="0" t="n">
        <f aca="false">IF(OR(A703&lt;&gt;"",B703&lt;&gt;""),1,0)</f>
        <v>0</v>
      </c>
      <c r="D703" s="0" t="str">
        <f aca="false">IF(C703=1,MOD(ABS(SIN(ROW()*12.9898+'הדבקת לידים'!$F$2*78.233+IFERROR(--RIGHT(A703,6),LEN(A703))*0.0137+IFERROR(--RIGHT(B703,6),LEN(B703))*0.0071))*43758.5453,1),"")</f>
        <v/>
      </c>
      <c r="E703" s="0" t="str">
        <f aca="false">IF(C703=1,INT(MOD(ABS(SIN(D703*7919.123+ROW()*0.618+'הדבקת לידים'!$F$2*1.3))*43758.5453,1)*1000000)*10000+ROW(),"")</f>
        <v/>
      </c>
      <c r="F703" s="0" t="str">
        <f aca="false">IF(E703="","",RANK(E703,$E$2:$E$5001,1))</f>
        <v/>
      </c>
      <c r="G703" s="0" t="n">
        <f aca="false">IF(A703="",0,IF(SUMPRODUCT(--($A$2:$A$5001=A703))&gt;1,1,0))</f>
        <v>0</v>
      </c>
      <c r="H703" s="0" t="n">
        <f aca="false">ROW()-1</f>
        <v>702</v>
      </c>
      <c r="I703" s="0" t="str">
        <f aca="false">IF(OR(הגדרות!$E$6=0,H703&gt;הגדרות!$E$5),"",IF(H703-1&lt;הגדרות!$E$8*(הגדרות!$E$7+1),INT((H703-1)/(הגדרות!$E$7+1)),הגדרות!$E$8+INT((H703-1-הגדרות!$E$8*(הגדרות!$E$7+1))/הגדרות!$E$7)))</f>
        <v/>
      </c>
      <c r="J703" s="0" t="str">
        <f aca="false">IF(I703="","",IF(H703-1&lt;הגדרות!$E$8*(הגדרות!$E$7+1),MOD(H703-1,הגדרות!$E$7+1),MOD(H703-1-הגדרות!$E$8*(הגדרות!$E$7+1),הגדרות!$E$7)))</f>
        <v/>
      </c>
      <c r="K703" s="0" t="str">
        <f aca="false">IF(I703="","",J703*הגדרות!$E$6+I703+1)</f>
        <v/>
      </c>
      <c r="L703" s="0" t="str">
        <f aca="false">IF(K703="","",MATCH(K703,$F$2:$F$5001,0))</f>
        <v/>
      </c>
      <c r="M703" s="0" t="str">
        <f aca="false">IF(I703="","",INDEX(הגדרות!$A$2:$A$21,MOD(I703+הגדרות!$E$9,הגדרות!$E$6)+1))</f>
        <v/>
      </c>
    </row>
    <row r="704" customFormat="false" ht="15" hidden="false" customHeight="false" outlineLevel="0" collapsed="false">
      <c r="A704" s="0" t="str">
        <f aca="false">IF('הדבקת לידים'!A704="","",IF(ISNUMBER('הדבקת לידים'!A704),IF(הגדרות!$E$2&gt;0,TEXT('הדבקת לידים'!A704,REPT("0",הגדרות!$E$2)),TEXT('הדבקת לידים'!A704,"0")),TRIM('הדבקת לידים'!A704)))</f>
        <v/>
      </c>
      <c r="B704" s="0" t="str">
        <f aca="false">IF('הדבקת לידים'!B704="","",IF(ISNUMBER('הדבקת לידים'!B704),IF(הגדרות!$E$3&gt;0,TEXT('הדבקת לידים'!B704,REPT("0",הגדרות!$E$3)),TEXT('הדבקת לידים'!B704,"0")),TRIM('הדבקת לידים'!B704)))</f>
        <v/>
      </c>
      <c r="C704" s="0" t="n">
        <f aca="false">IF(OR(A704&lt;&gt;"",B704&lt;&gt;""),1,0)</f>
        <v>0</v>
      </c>
      <c r="D704" s="0" t="str">
        <f aca="false">IF(C704=1,MOD(ABS(SIN(ROW()*12.9898+'הדבקת לידים'!$F$2*78.233+IFERROR(--RIGHT(A704,6),LEN(A704))*0.0137+IFERROR(--RIGHT(B704,6),LEN(B704))*0.0071))*43758.5453,1),"")</f>
        <v/>
      </c>
      <c r="E704" s="0" t="str">
        <f aca="false">IF(C704=1,INT(MOD(ABS(SIN(D704*7919.123+ROW()*0.618+'הדבקת לידים'!$F$2*1.3))*43758.5453,1)*1000000)*10000+ROW(),"")</f>
        <v/>
      </c>
      <c r="F704" s="0" t="str">
        <f aca="false">IF(E704="","",RANK(E704,$E$2:$E$5001,1))</f>
        <v/>
      </c>
      <c r="G704" s="0" t="n">
        <f aca="false">IF(A704="",0,IF(SUMPRODUCT(--($A$2:$A$5001=A704))&gt;1,1,0))</f>
        <v>0</v>
      </c>
      <c r="H704" s="0" t="n">
        <f aca="false">ROW()-1</f>
        <v>703</v>
      </c>
      <c r="I704" s="0" t="str">
        <f aca="false">IF(OR(הגדרות!$E$6=0,H704&gt;הגדרות!$E$5),"",IF(H704-1&lt;הגדרות!$E$8*(הגדרות!$E$7+1),INT((H704-1)/(הגדרות!$E$7+1)),הגדרות!$E$8+INT((H704-1-הגדרות!$E$8*(הגדרות!$E$7+1))/הגדרות!$E$7)))</f>
        <v/>
      </c>
      <c r="J704" s="0" t="str">
        <f aca="false">IF(I704="","",IF(H704-1&lt;הגדרות!$E$8*(הגדרות!$E$7+1),MOD(H704-1,הגדרות!$E$7+1),MOD(H704-1-הגדרות!$E$8*(הגדרות!$E$7+1),הגדרות!$E$7)))</f>
        <v/>
      </c>
      <c r="K704" s="0" t="str">
        <f aca="false">IF(I704="","",J704*הגדרות!$E$6+I704+1)</f>
        <v/>
      </c>
      <c r="L704" s="0" t="str">
        <f aca="false">IF(K704="","",MATCH(K704,$F$2:$F$5001,0))</f>
        <v/>
      </c>
      <c r="M704" s="0" t="str">
        <f aca="false">IF(I704="","",INDEX(הגדרות!$A$2:$A$21,MOD(I704+הגדרות!$E$9,הגדרות!$E$6)+1))</f>
        <v/>
      </c>
    </row>
    <row r="705" customFormat="false" ht="15" hidden="false" customHeight="false" outlineLevel="0" collapsed="false">
      <c r="A705" s="0" t="str">
        <f aca="false">IF('הדבקת לידים'!A705="","",IF(ISNUMBER('הדבקת לידים'!A705),IF(הגדרות!$E$2&gt;0,TEXT('הדבקת לידים'!A705,REPT("0",הגדרות!$E$2)),TEXT('הדבקת לידים'!A705,"0")),TRIM('הדבקת לידים'!A705)))</f>
        <v/>
      </c>
      <c r="B705" s="0" t="str">
        <f aca="false">IF('הדבקת לידים'!B705="","",IF(ISNUMBER('הדבקת לידים'!B705),IF(הגדרות!$E$3&gt;0,TEXT('הדבקת לידים'!B705,REPT("0",הגדרות!$E$3)),TEXT('הדבקת לידים'!B705,"0")),TRIM('הדבקת לידים'!B705)))</f>
        <v/>
      </c>
      <c r="C705" s="0" t="n">
        <f aca="false">IF(OR(A705&lt;&gt;"",B705&lt;&gt;""),1,0)</f>
        <v>0</v>
      </c>
      <c r="D705" s="0" t="str">
        <f aca="false">IF(C705=1,MOD(ABS(SIN(ROW()*12.9898+'הדבקת לידים'!$F$2*78.233+IFERROR(--RIGHT(A705,6),LEN(A705))*0.0137+IFERROR(--RIGHT(B705,6),LEN(B705))*0.0071))*43758.5453,1),"")</f>
        <v/>
      </c>
      <c r="E705" s="0" t="str">
        <f aca="false">IF(C705=1,INT(MOD(ABS(SIN(D705*7919.123+ROW()*0.618+'הדבקת לידים'!$F$2*1.3))*43758.5453,1)*1000000)*10000+ROW(),"")</f>
        <v/>
      </c>
      <c r="F705" s="0" t="str">
        <f aca="false">IF(E705="","",RANK(E705,$E$2:$E$5001,1))</f>
        <v/>
      </c>
      <c r="G705" s="0" t="n">
        <f aca="false">IF(A705="",0,IF(SUMPRODUCT(--($A$2:$A$5001=A705))&gt;1,1,0))</f>
        <v>0</v>
      </c>
      <c r="H705" s="0" t="n">
        <f aca="false">ROW()-1</f>
        <v>704</v>
      </c>
      <c r="I705" s="0" t="str">
        <f aca="false">IF(OR(הגדרות!$E$6=0,H705&gt;הגדרות!$E$5),"",IF(H705-1&lt;הגדרות!$E$8*(הגדרות!$E$7+1),INT((H705-1)/(הגדרות!$E$7+1)),הגדרות!$E$8+INT((H705-1-הגדרות!$E$8*(הגדרות!$E$7+1))/הגדרות!$E$7)))</f>
        <v/>
      </c>
      <c r="J705" s="0" t="str">
        <f aca="false">IF(I705="","",IF(H705-1&lt;הגדרות!$E$8*(הגדרות!$E$7+1),MOD(H705-1,הגדרות!$E$7+1),MOD(H705-1-הגדרות!$E$8*(הגדרות!$E$7+1),הגדרות!$E$7)))</f>
        <v/>
      </c>
      <c r="K705" s="0" t="str">
        <f aca="false">IF(I705="","",J705*הגדרות!$E$6+I705+1)</f>
        <v/>
      </c>
      <c r="L705" s="0" t="str">
        <f aca="false">IF(K705="","",MATCH(K705,$F$2:$F$5001,0))</f>
        <v/>
      </c>
      <c r="M705" s="0" t="str">
        <f aca="false">IF(I705="","",INDEX(הגדרות!$A$2:$A$21,MOD(I705+הגדרות!$E$9,הגדרות!$E$6)+1))</f>
        <v/>
      </c>
    </row>
    <row r="706" customFormat="false" ht="15" hidden="false" customHeight="false" outlineLevel="0" collapsed="false">
      <c r="A706" s="0" t="str">
        <f aca="false">IF('הדבקת לידים'!A706="","",IF(ISNUMBER('הדבקת לידים'!A706),IF(הגדרות!$E$2&gt;0,TEXT('הדבקת לידים'!A706,REPT("0",הגדרות!$E$2)),TEXT('הדבקת לידים'!A706,"0")),TRIM('הדבקת לידים'!A706)))</f>
        <v/>
      </c>
      <c r="B706" s="0" t="str">
        <f aca="false">IF('הדבקת לידים'!B706="","",IF(ISNUMBER('הדבקת לידים'!B706),IF(הגדרות!$E$3&gt;0,TEXT('הדבקת לידים'!B706,REPT("0",הגדרות!$E$3)),TEXT('הדבקת לידים'!B706,"0")),TRIM('הדבקת לידים'!B706)))</f>
        <v/>
      </c>
      <c r="C706" s="0" t="n">
        <f aca="false">IF(OR(A706&lt;&gt;"",B706&lt;&gt;""),1,0)</f>
        <v>0</v>
      </c>
      <c r="D706" s="0" t="str">
        <f aca="false">IF(C706=1,MOD(ABS(SIN(ROW()*12.9898+'הדבקת לידים'!$F$2*78.233+IFERROR(--RIGHT(A706,6),LEN(A706))*0.0137+IFERROR(--RIGHT(B706,6),LEN(B706))*0.0071))*43758.5453,1),"")</f>
        <v/>
      </c>
      <c r="E706" s="0" t="str">
        <f aca="false">IF(C706=1,INT(MOD(ABS(SIN(D706*7919.123+ROW()*0.618+'הדבקת לידים'!$F$2*1.3))*43758.5453,1)*1000000)*10000+ROW(),"")</f>
        <v/>
      </c>
      <c r="F706" s="0" t="str">
        <f aca="false">IF(E706="","",RANK(E706,$E$2:$E$5001,1))</f>
        <v/>
      </c>
      <c r="G706" s="0" t="n">
        <f aca="false">IF(A706="",0,IF(SUMPRODUCT(--($A$2:$A$5001=A706))&gt;1,1,0))</f>
        <v>0</v>
      </c>
      <c r="H706" s="0" t="n">
        <f aca="false">ROW()-1</f>
        <v>705</v>
      </c>
      <c r="I706" s="0" t="str">
        <f aca="false">IF(OR(הגדרות!$E$6=0,H706&gt;הגדרות!$E$5),"",IF(H706-1&lt;הגדרות!$E$8*(הגדרות!$E$7+1),INT((H706-1)/(הגדרות!$E$7+1)),הגדרות!$E$8+INT((H706-1-הגדרות!$E$8*(הגדרות!$E$7+1))/הגדרות!$E$7)))</f>
        <v/>
      </c>
      <c r="J706" s="0" t="str">
        <f aca="false">IF(I706="","",IF(H706-1&lt;הגדרות!$E$8*(הגדרות!$E$7+1),MOD(H706-1,הגדרות!$E$7+1),MOD(H706-1-הגדרות!$E$8*(הגדרות!$E$7+1),הגדרות!$E$7)))</f>
        <v/>
      </c>
      <c r="K706" s="0" t="str">
        <f aca="false">IF(I706="","",J706*הגדרות!$E$6+I706+1)</f>
        <v/>
      </c>
      <c r="L706" s="0" t="str">
        <f aca="false">IF(K706="","",MATCH(K706,$F$2:$F$5001,0))</f>
        <v/>
      </c>
      <c r="M706" s="0" t="str">
        <f aca="false">IF(I706="","",INDEX(הגדרות!$A$2:$A$21,MOD(I706+הגדרות!$E$9,הגדרות!$E$6)+1))</f>
        <v/>
      </c>
    </row>
    <row r="707" customFormat="false" ht="15" hidden="false" customHeight="false" outlineLevel="0" collapsed="false">
      <c r="A707" s="0" t="str">
        <f aca="false">IF('הדבקת לידים'!A707="","",IF(ISNUMBER('הדבקת לידים'!A707),IF(הגדרות!$E$2&gt;0,TEXT('הדבקת לידים'!A707,REPT("0",הגדרות!$E$2)),TEXT('הדבקת לידים'!A707,"0")),TRIM('הדבקת לידים'!A707)))</f>
        <v/>
      </c>
      <c r="B707" s="0" t="str">
        <f aca="false">IF('הדבקת לידים'!B707="","",IF(ISNUMBER('הדבקת לידים'!B707),IF(הגדרות!$E$3&gt;0,TEXT('הדבקת לידים'!B707,REPT("0",הגדרות!$E$3)),TEXT('הדבקת לידים'!B707,"0")),TRIM('הדבקת לידים'!B707)))</f>
        <v/>
      </c>
      <c r="C707" s="0" t="n">
        <f aca="false">IF(OR(A707&lt;&gt;"",B707&lt;&gt;""),1,0)</f>
        <v>0</v>
      </c>
      <c r="D707" s="0" t="str">
        <f aca="false">IF(C707=1,MOD(ABS(SIN(ROW()*12.9898+'הדבקת לידים'!$F$2*78.233+IFERROR(--RIGHT(A707,6),LEN(A707))*0.0137+IFERROR(--RIGHT(B707,6),LEN(B707))*0.0071))*43758.5453,1),"")</f>
        <v/>
      </c>
      <c r="E707" s="0" t="str">
        <f aca="false">IF(C707=1,INT(MOD(ABS(SIN(D707*7919.123+ROW()*0.618+'הדבקת לידים'!$F$2*1.3))*43758.5453,1)*1000000)*10000+ROW(),"")</f>
        <v/>
      </c>
      <c r="F707" s="0" t="str">
        <f aca="false">IF(E707="","",RANK(E707,$E$2:$E$5001,1))</f>
        <v/>
      </c>
      <c r="G707" s="0" t="n">
        <f aca="false">IF(A707="",0,IF(SUMPRODUCT(--($A$2:$A$5001=A707))&gt;1,1,0))</f>
        <v>0</v>
      </c>
      <c r="H707" s="0" t="n">
        <f aca="false">ROW()-1</f>
        <v>706</v>
      </c>
      <c r="I707" s="0" t="str">
        <f aca="false">IF(OR(הגדרות!$E$6=0,H707&gt;הגדרות!$E$5),"",IF(H707-1&lt;הגדרות!$E$8*(הגדרות!$E$7+1),INT((H707-1)/(הגדרות!$E$7+1)),הגדרות!$E$8+INT((H707-1-הגדרות!$E$8*(הגדרות!$E$7+1))/הגדרות!$E$7)))</f>
        <v/>
      </c>
      <c r="J707" s="0" t="str">
        <f aca="false">IF(I707="","",IF(H707-1&lt;הגדרות!$E$8*(הגדרות!$E$7+1),MOD(H707-1,הגדרות!$E$7+1),MOD(H707-1-הגדרות!$E$8*(הגדרות!$E$7+1),הגדרות!$E$7)))</f>
        <v/>
      </c>
      <c r="K707" s="0" t="str">
        <f aca="false">IF(I707="","",J707*הגדרות!$E$6+I707+1)</f>
        <v/>
      </c>
      <c r="L707" s="0" t="str">
        <f aca="false">IF(K707="","",MATCH(K707,$F$2:$F$5001,0))</f>
        <v/>
      </c>
      <c r="M707" s="0" t="str">
        <f aca="false">IF(I707="","",INDEX(הגדרות!$A$2:$A$21,MOD(I707+הגדרות!$E$9,הגדרות!$E$6)+1))</f>
        <v/>
      </c>
    </row>
    <row r="708" customFormat="false" ht="15" hidden="false" customHeight="false" outlineLevel="0" collapsed="false">
      <c r="A708" s="0" t="str">
        <f aca="false">IF('הדבקת לידים'!A708="","",IF(ISNUMBER('הדבקת לידים'!A708),IF(הגדרות!$E$2&gt;0,TEXT('הדבקת לידים'!A708,REPT("0",הגדרות!$E$2)),TEXT('הדבקת לידים'!A708,"0")),TRIM('הדבקת לידים'!A708)))</f>
        <v/>
      </c>
      <c r="B708" s="0" t="str">
        <f aca="false">IF('הדבקת לידים'!B708="","",IF(ISNUMBER('הדבקת לידים'!B708),IF(הגדרות!$E$3&gt;0,TEXT('הדבקת לידים'!B708,REPT("0",הגדרות!$E$3)),TEXT('הדבקת לידים'!B708,"0")),TRIM('הדבקת לידים'!B708)))</f>
        <v/>
      </c>
      <c r="C708" s="0" t="n">
        <f aca="false">IF(OR(A708&lt;&gt;"",B708&lt;&gt;""),1,0)</f>
        <v>0</v>
      </c>
      <c r="D708" s="0" t="str">
        <f aca="false">IF(C708=1,MOD(ABS(SIN(ROW()*12.9898+'הדבקת לידים'!$F$2*78.233+IFERROR(--RIGHT(A708,6),LEN(A708))*0.0137+IFERROR(--RIGHT(B708,6),LEN(B708))*0.0071))*43758.5453,1),"")</f>
        <v/>
      </c>
      <c r="E708" s="0" t="str">
        <f aca="false">IF(C708=1,INT(MOD(ABS(SIN(D708*7919.123+ROW()*0.618+'הדבקת לידים'!$F$2*1.3))*43758.5453,1)*1000000)*10000+ROW(),"")</f>
        <v/>
      </c>
      <c r="F708" s="0" t="str">
        <f aca="false">IF(E708="","",RANK(E708,$E$2:$E$5001,1))</f>
        <v/>
      </c>
      <c r="G708" s="0" t="n">
        <f aca="false">IF(A708="",0,IF(SUMPRODUCT(--($A$2:$A$5001=A708))&gt;1,1,0))</f>
        <v>0</v>
      </c>
      <c r="H708" s="0" t="n">
        <f aca="false">ROW()-1</f>
        <v>707</v>
      </c>
      <c r="I708" s="0" t="str">
        <f aca="false">IF(OR(הגדרות!$E$6=0,H708&gt;הגדרות!$E$5),"",IF(H708-1&lt;הגדרות!$E$8*(הגדרות!$E$7+1),INT((H708-1)/(הגדרות!$E$7+1)),הגדרות!$E$8+INT((H708-1-הגדרות!$E$8*(הגדרות!$E$7+1))/הגדרות!$E$7)))</f>
        <v/>
      </c>
      <c r="J708" s="0" t="str">
        <f aca="false">IF(I708="","",IF(H708-1&lt;הגדרות!$E$8*(הגדרות!$E$7+1),MOD(H708-1,הגדרות!$E$7+1),MOD(H708-1-הגדרות!$E$8*(הגדרות!$E$7+1),הגדרות!$E$7)))</f>
        <v/>
      </c>
      <c r="K708" s="0" t="str">
        <f aca="false">IF(I708="","",J708*הגדרות!$E$6+I708+1)</f>
        <v/>
      </c>
      <c r="L708" s="0" t="str">
        <f aca="false">IF(K708="","",MATCH(K708,$F$2:$F$5001,0))</f>
        <v/>
      </c>
      <c r="M708" s="0" t="str">
        <f aca="false">IF(I708="","",INDEX(הגדרות!$A$2:$A$21,MOD(I708+הגדרות!$E$9,הגדרות!$E$6)+1))</f>
        <v/>
      </c>
    </row>
    <row r="709" customFormat="false" ht="15" hidden="false" customHeight="false" outlineLevel="0" collapsed="false">
      <c r="A709" s="0" t="str">
        <f aca="false">IF('הדבקת לידים'!A709="","",IF(ISNUMBER('הדבקת לידים'!A709),IF(הגדרות!$E$2&gt;0,TEXT('הדבקת לידים'!A709,REPT("0",הגדרות!$E$2)),TEXT('הדבקת לידים'!A709,"0")),TRIM('הדבקת לידים'!A709)))</f>
        <v/>
      </c>
      <c r="B709" s="0" t="str">
        <f aca="false">IF('הדבקת לידים'!B709="","",IF(ISNUMBER('הדבקת לידים'!B709),IF(הגדרות!$E$3&gt;0,TEXT('הדבקת לידים'!B709,REPT("0",הגדרות!$E$3)),TEXT('הדבקת לידים'!B709,"0")),TRIM('הדבקת לידים'!B709)))</f>
        <v/>
      </c>
      <c r="C709" s="0" t="n">
        <f aca="false">IF(OR(A709&lt;&gt;"",B709&lt;&gt;""),1,0)</f>
        <v>0</v>
      </c>
      <c r="D709" s="0" t="str">
        <f aca="false">IF(C709=1,MOD(ABS(SIN(ROW()*12.9898+'הדבקת לידים'!$F$2*78.233+IFERROR(--RIGHT(A709,6),LEN(A709))*0.0137+IFERROR(--RIGHT(B709,6),LEN(B709))*0.0071))*43758.5453,1),"")</f>
        <v/>
      </c>
      <c r="E709" s="0" t="str">
        <f aca="false">IF(C709=1,INT(MOD(ABS(SIN(D709*7919.123+ROW()*0.618+'הדבקת לידים'!$F$2*1.3))*43758.5453,1)*1000000)*10000+ROW(),"")</f>
        <v/>
      </c>
      <c r="F709" s="0" t="str">
        <f aca="false">IF(E709="","",RANK(E709,$E$2:$E$5001,1))</f>
        <v/>
      </c>
      <c r="G709" s="0" t="n">
        <f aca="false">IF(A709="",0,IF(SUMPRODUCT(--($A$2:$A$5001=A709))&gt;1,1,0))</f>
        <v>0</v>
      </c>
      <c r="H709" s="0" t="n">
        <f aca="false">ROW()-1</f>
        <v>708</v>
      </c>
      <c r="I709" s="0" t="str">
        <f aca="false">IF(OR(הגדרות!$E$6=0,H709&gt;הגדרות!$E$5),"",IF(H709-1&lt;הגדרות!$E$8*(הגדרות!$E$7+1),INT((H709-1)/(הגדרות!$E$7+1)),הגדרות!$E$8+INT((H709-1-הגדרות!$E$8*(הגדרות!$E$7+1))/הגדרות!$E$7)))</f>
        <v/>
      </c>
      <c r="J709" s="0" t="str">
        <f aca="false">IF(I709="","",IF(H709-1&lt;הגדרות!$E$8*(הגדרות!$E$7+1),MOD(H709-1,הגדרות!$E$7+1),MOD(H709-1-הגדרות!$E$8*(הגדרות!$E$7+1),הגדרות!$E$7)))</f>
        <v/>
      </c>
      <c r="K709" s="0" t="str">
        <f aca="false">IF(I709="","",J709*הגדרות!$E$6+I709+1)</f>
        <v/>
      </c>
      <c r="L709" s="0" t="str">
        <f aca="false">IF(K709="","",MATCH(K709,$F$2:$F$5001,0))</f>
        <v/>
      </c>
      <c r="M709" s="0" t="str">
        <f aca="false">IF(I709="","",INDEX(הגדרות!$A$2:$A$21,MOD(I709+הגדרות!$E$9,הגדרות!$E$6)+1))</f>
        <v/>
      </c>
    </row>
    <row r="710" customFormat="false" ht="15" hidden="false" customHeight="false" outlineLevel="0" collapsed="false">
      <c r="A710" s="0" t="str">
        <f aca="false">IF('הדבקת לידים'!A710="","",IF(ISNUMBER('הדבקת לידים'!A710),IF(הגדרות!$E$2&gt;0,TEXT('הדבקת לידים'!A710,REPT("0",הגדרות!$E$2)),TEXT('הדבקת לידים'!A710,"0")),TRIM('הדבקת לידים'!A710)))</f>
        <v/>
      </c>
      <c r="B710" s="0" t="str">
        <f aca="false">IF('הדבקת לידים'!B710="","",IF(ISNUMBER('הדבקת לידים'!B710),IF(הגדרות!$E$3&gt;0,TEXT('הדבקת לידים'!B710,REPT("0",הגדרות!$E$3)),TEXT('הדבקת לידים'!B710,"0")),TRIM('הדבקת לידים'!B710)))</f>
        <v/>
      </c>
      <c r="C710" s="0" t="n">
        <f aca="false">IF(OR(A710&lt;&gt;"",B710&lt;&gt;""),1,0)</f>
        <v>0</v>
      </c>
      <c r="D710" s="0" t="str">
        <f aca="false">IF(C710=1,MOD(ABS(SIN(ROW()*12.9898+'הדבקת לידים'!$F$2*78.233+IFERROR(--RIGHT(A710,6),LEN(A710))*0.0137+IFERROR(--RIGHT(B710,6),LEN(B710))*0.0071))*43758.5453,1),"")</f>
        <v/>
      </c>
      <c r="E710" s="0" t="str">
        <f aca="false">IF(C710=1,INT(MOD(ABS(SIN(D710*7919.123+ROW()*0.618+'הדבקת לידים'!$F$2*1.3))*43758.5453,1)*1000000)*10000+ROW(),"")</f>
        <v/>
      </c>
      <c r="F710" s="0" t="str">
        <f aca="false">IF(E710="","",RANK(E710,$E$2:$E$5001,1))</f>
        <v/>
      </c>
      <c r="G710" s="0" t="n">
        <f aca="false">IF(A710="",0,IF(SUMPRODUCT(--($A$2:$A$5001=A710))&gt;1,1,0))</f>
        <v>0</v>
      </c>
      <c r="H710" s="0" t="n">
        <f aca="false">ROW()-1</f>
        <v>709</v>
      </c>
      <c r="I710" s="0" t="str">
        <f aca="false">IF(OR(הגדרות!$E$6=0,H710&gt;הגדרות!$E$5),"",IF(H710-1&lt;הגדרות!$E$8*(הגדרות!$E$7+1),INT((H710-1)/(הגדרות!$E$7+1)),הגדרות!$E$8+INT((H710-1-הגדרות!$E$8*(הגדרות!$E$7+1))/הגדרות!$E$7)))</f>
        <v/>
      </c>
      <c r="J710" s="0" t="str">
        <f aca="false">IF(I710="","",IF(H710-1&lt;הגדרות!$E$8*(הגדרות!$E$7+1),MOD(H710-1,הגדרות!$E$7+1),MOD(H710-1-הגדרות!$E$8*(הגדרות!$E$7+1),הגדרות!$E$7)))</f>
        <v/>
      </c>
      <c r="K710" s="0" t="str">
        <f aca="false">IF(I710="","",J710*הגדרות!$E$6+I710+1)</f>
        <v/>
      </c>
      <c r="L710" s="0" t="str">
        <f aca="false">IF(K710="","",MATCH(K710,$F$2:$F$5001,0))</f>
        <v/>
      </c>
      <c r="M710" s="0" t="str">
        <f aca="false">IF(I710="","",INDEX(הגדרות!$A$2:$A$21,MOD(I710+הגדרות!$E$9,הגדרות!$E$6)+1))</f>
        <v/>
      </c>
    </row>
    <row r="711" customFormat="false" ht="15" hidden="false" customHeight="false" outlineLevel="0" collapsed="false">
      <c r="A711" s="0" t="str">
        <f aca="false">IF('הדבקת לידים'!A711="","",IF(ISNUMBER('הדבקת לידים'!A711),IF(הגדרות!$E$2&gt;0,TEXT('הדבקת לידים'!A711,REPT("0",הגדרות!$E$2)),TEXT('הדבקת לידים'!A711,"0")),TRIM('הדבקת לידים'!A711)))</f>
        <v/>
      </c>
      <c r="B711" s="0" t="str">
        <f aca="false">IF('הדבקת לידים'!B711="","",IF(ISNUMBER('הדבקת לידים'!B711),IF(הגדרות!$E$3&gt;0,TEXT('הדבקת לידים'!B711,REPT("0",הגדרות!$E$3)),TEXT('הדבקת לידים'!B711,"0")),TRIM('הדבקת לידים'!B711)))</f>
        <v/>
      </c>
      <c r="C711" s="0" t="n">
        <f aca="false">IF(OR(A711&lt;&gt;"",B711&lt;&gt;""),1,0)</f>
        <v>0</v>
      </c>
      <c r="D711" s="0" t="str">
        <f aca="false">IF(C711=1,MOD(ABS(SIN(ROW()*12.9898+'הדבקת לידים'!$F$2*78.233+IFERROR(--RIGHT(A711,6),LEN(A711))*0.0137+IFERROR(--RIGHT(B711,6),LEN(B711))*0.0071))*43758.5453,1),"")</f>
        <v/>
      </c>
      <c r="E711" s="0" t="str">
        <f aca="false">IF(C711=1,INT(MOD(ABS(SIN(D711*7919.123+ROW()*0.618+'הדבקת לידים'!$F$2*1.3))*43758.5453,1)*1000000)*10000+ROW(),"")</f>
        <v/>
      </c>
      <c r="F711" s="0" t="str">
        <f aca="false">IF(E711="","",RANK(E711,$E$2:$E$5001,1))</f>
        <v/>
      </c>
      <c r="G711" s="0" t="n">
        <f aca="false">IF(A711="",0,IF(SUMPRODUCT(--($A$2:$A$5001=A711))&gt;1,1,0))</f>
        <v>0</v>
      </c>
      <c r="H711" s="0" t="n">
        <f aca="false">ROW()-1</f>
        <v>710</v>
      </c>
      <c r="I711" s="0" t="str">
        <f aca="false">IF(OR(הגדרות!$E$6=0,H711&gt;הגדרות!$E$5),"",IF(H711-1&lt;הגדרות!$E$8*(הגדרות!$E$7+1),INT((H711-1)/(הגדרות!$E$7+1)),הגדרות!$E$8+INT((H711-1-הגדרות!$E$8*(הגדרות!$E$7+1))/הגדרות!$E$7)))</f>
        <v/>
      </c>
      <c r="J711" s="0" t="str">
        <f aca="false">IF(I711="","",IF(H711-1&lt;הגדרות!$E$8*(הגדרות!$E$7+1),MOD(H711-1,הגדרות!$E$7+1),MOD(H711-1-הגדרות!$E$8*(הגדרות!$E$7+1),הגדרות!$E$7)))</f>
        <v/>
      </c>
      <c r="K711" s="0" t="str">
        <f aca="false">IF(I711="","",J711*הגדרות!$E$6+I711+1)</f>
        <v/>
      </c>
      <c r="L711" s="0" t="str">
        <f aca="false">IF(K711="","",MATCH(K711,$F$2:$F$5001,0))</f>
        <v/>
      </c>
      <c r="M711" s="0" t="str">
        <f aca="false">IF(I711="","",INDEX(הגדרות!$A$2:$A$21,MOD(I711+הגדרות!$E$9,הגדרות!$E$6)+1))</f>
        <v/>
      </c>
    </row>
    <row r="712" customFormat="false" ht="15" hidden="false" customHeight="false" outlineLevel="0" collapsed="false">
      <c r="A712" s="0" t="str">
        <f aca="false">IF('הדבקת לידים'!A712="","",IF(ISNUMBER('הדבקת לידים'!A712),IF(הגדרות!$E$2&gt;0,TEXT('הדבקת לידים'!A712,REPT("0",הגדרות!$E$2)),TEXT('הדבקת לידים'!A712,"0")),TRIM('הדבקת לידים'!A712)))</f>
        <v/>
      </c>
      <c r="B712" s="0" t="str">
        <f aca="false">IF('הדבקת לידים'!B712="","",IF(ISNUMBER('הדבקת לידים'!B712),IF(הגדרות!$E$3&gt;0,TEXT('הדבקת לידים'!B712,REPT("0",הגדרות!$E$3)),TEXT('הדבקת לידים'!B712,"0")),TRIM('הדבקת לידים'!B712)))</f>
        <v/>
      </c>
      <c r="C712" s="0" t="n">
        <f aca="false">IF(OR(A712&lt;&gt;"",B712&lt;&gt;""),1,0)</f>
        <v>0</v>
      </c>
      <c r="D712" s="0" t="str">
        <f aca="false">IF(C712=1,MOD(ABS(SIN(ROW()*12.9898+'הדבקת לידים'!$F$2*78.233+IFERROR(--RIGHT(A712,6),LEN(A712))*0.0137+IFERROR(--RIGHT(B712,6),LEN(B712))*0.0071))*43758.5453,1),"")</f>
        <v/>
      </c>
      <c r="E712" s="0" t="str">
        <f aca="false">IF(C712=1,INT(MOD(ABS(SIN(D712*7919.123+ROW()*0.618+'הדבקת לידים'!$F$2*1.3))*43758.5453,1)*1000000)*10000+ROW(),"")</f>
        <v/>
      </c>
      <c r="F712" s="0" t="str">
        <f aca="false">IF(E712="","",RANK(E712,$E$2:$E$5001,1))</f>
        <v/>
      </c>
      <c r="G712" s="0" t="n">
        <f aca="false">IF(A712="",0,IF(SUMPRODUCT(--($A$2:$A$5001=A712))&gt;1,1,0))</f>
        <v>0</v>
      </c>
      <c r="H712" s="0" t="n">
        <f aca="false">ROW()-1</f>
        <v>711</v>
      </c>
      <c r="I712" s="0" t="str">
        <f aca="false">IF(OR(הגדרות!$E$6=0,H712&gt;הגדרות!$E$5),"",IF(H712-1&lt;הגדרות!$E$8*(הגדרות!$E$7+1),INT((H712-1)/(הגדרות!$E$7+1)),הגדרות!$E$8+INT((H712-1-הגדרות!$E$8*(הגדרות!$E$7+1))/הגדרות!$E$7)))</f>
        <v/>
      </c>
      <c r="J712" s="0" t="str">
        <f aca="false">IF(I712="","",IF(H712-1&lt;הגדרות!$E$8*(הגדרות!$E$7+1),MOD(H712-1,הגדרות!$E$7+1),MOD(H712-1-הגדרות!$E$8*(הגדרות!$E$7+1),הגדרות!$E$7)))</f>
        <v/>
      </c>
      <c r="K712" s="0" t="str">
        <f aca="false">IF(I712="","",J712*הגדרות!$E$6+I712+1)</f>
        <v/>
      </c>
      <c r="L712" s="0" t="str">
        <f aca="false">IF(K712="","",MATCH(K712,$F$2:$F$5001,0))</f>
        <v/>
      </c>
      <c r="M712" s="0" t="str">
        <f aca="false">IF(I712="","",INDEX(הגדרות!$A$2:$A$21,MOD(I712+הגדרות!$E$9,הגדרות!$E$6)+1))</f>
        <v/>
      </c>
    </row>
    <row r="713" customFormat="false" ht="15" hidden="false" customHeight="false" outlineLevel="0" collapsed="false">
      <c r="A713" s="0" t="str">
        <f aca="false">IF('הדבקת לידים'!A713="","",IF(ISNUMBER('הדבקת לידים'!A713),IF(הגדרות!$E$2&gt;0,TEXT('הדבקת לידים'!A713,REPT("0",הגדרות!$E$2)),TEXT('הדבקת לידים'!A713,"0")),TRIM('הדבקת לידים'!A713)))</f>
        <v/>
      </c>
      <c r="B713" s="0" t="str">
        <f aca="false">IF('הדבקת לידים'!B713="","",IF(ISNUMBER('הדבקת לידים'!B713),IF(הגדרות!$E$3&gt;0,TEXT('הדבקת לידים'!B713,REPT("0",הגדרות!$E$3)),TEXT('הדבקת לידים'!B713,"0")),TRIM('הדבקת לידים'!B713)))</f>
        <v/>
      </c>
      <c r="C713" s="0" t="n">
        <f aca="false">IF(OR(A713&lt;&gt;"",B713&lt;&gt;""),1,0)</f>
        <v>0</v>
      </c>
      <c r="D713" s="0" t="str">
        <f aca="false">IF(C713=1,MOD(ABS(SIN(ROW()*12.9898+'הדבקת לידים'!$F$2*78.233+IFERROR(--RIGHT(A713,6),LEN(A713))*0.0137+IFERROR(--RIGHT(B713,6),LEN(B713))*0.0071))*43758.5453,1),"")</f>
        <v/>
      </c>
      <c r="E713" s="0" t="str">
        <f aca="false">IF(C713=1,INT(MOD(ABS(SIN(D713*7919.123+ROW()*0.618+'הדבקת לידים'!$F$2*1.3))*43758.5453,1)*1000000)*10000+ROW(),"")</f>
        <v/>
      </c>
      <c r="F713" s="0" t="str">
        <f aca="false">IF(E713="","",RANK(E713,$E$2:$E$5001,1))</f>
        <v/>
      </c>
      <c r="G713" s="0" t="n">
        <f aca="false">IF(A713="",0,IF(SUMPRODUCT(--($A$2:$A$5001=A713))&gt;1,1,0))</f>
        <v>0</v>
      </c>
      <c r="H713" s="0" t="n">
        <f aca="false">ROW()-1</f>
        <v>712</v>
      </c>
      <c r="I713" s="0" t="str">
        <f aca="false">IF(OR(הגדרות!$E$6=0,H713&gt;הגדרות!$E$5),"",IF(H713-1&lt;הגדרות!$E$8*(הגדרות!$E$7+1),INT((H713-1)/(הגדרות!$E$7+1)),הגדרות!$E$8+INT((H713-1-הגדרות!$E$8*(הגדרות!$E$7+1))/הגדרות!$E$7)))</f>
        <v/>
      </c>
      <c r="J713" s="0" t="str">
        <f aca="false">IF(I713="","",IF(H713-1&lt;הגדרות!$E$8*(הגדרות!$E$7+1),MOD(H713-1,הגדרות!$E$7+1),MOD(H713-1-הגדרות!$E$8*(הגדרות!$E$7+1),הגדרות!$E$7)))</f>
        <v/>
      </c>
      <c r="K713" s="0" t="str">
        <f aca="false">IF(I713="","",J713*הגדרות!$E$6+I713+1)</f>
        <v/>
      </c>
      <c r="L713" s="0" t="str">
        <f aca="false">IF(K713="","",MATCH(K713,$F$2:$F$5001,0))</f>
        <v/>
      </c>
      <c r="M713" s="0" t="str">
        <f aca="false">IF(I713="","",INDEX(הגדרות!$A$2:$A$21,MOD(I713+הגדרות!$E$9,הגדרות!$E$6)+1))</f>
        <v/>
      </c>
    </row>
    <row r="714" customFormat="false" ht="15" hidden="false" customHeight="false" outlineLevel="0" collapsed="false">
      <c r="A714" s="0" t="str">
        <f aca="false">IF('הדבקת לידים'!A714="","",IF(ISNUMBER('הדבקת לידים'!A714),IF(הגדרות!$E$2&gt;0,TEXT('הדבקת לידים'!A714,REPT("0",הגדרות!$E$2)),TEXT('הדבקת לידים'!A714,"0")),TRIM('הדבקת לידים'!A714)))</f>
        <v/>
      </c>
      <c r="B714" s="0" t="str">
        <f aca="false">IF('הדבקת לידים'!B714="","",IF(ISNUMBER('הדבקת לידים'!B714),IF(הגדרות!$E$3&gt;0,TEXT('הדבקת לידים'!B714,REPT("0",הגדרות!$E$3)),TEXT('הדבקת לידים'!B714,"0")),TRIM('הדבקת לידים'!B714)))</f>
        <v/>
      </c>
      <c r="C714" s="0" t="n">
        <f aca="false">IF(OR(A714&lt;&gt;"",B714&lt;&gt;""),1,0)</f>
        <v>0</v>
      </c>
      <c r="D714" s="0" t="str">
        <f aca="false">IF(C714=1,MOD(ABS(SIN(ROW()*12.9898+'הדבקת לידים'!$F$2*78.233+IFERROR(--RIGHT(A714,6),LEN(A714))*0.0137+IFERROR(--RIGHT(B714,6),LEN(B714))*0.0071))*43758.5453,1),"")</f>
        <v/>
      </c>
      <c r="E714" s="0" t="str">
        <f aca="false">IF(C714=1,INT(MOD(ABS(SIN(D714*7919.123+ROW()*0.618+'הדבקת לידים'!$F$2*1.3))*43758.5453,1)*1000000)*10000+ROW(),"")</f>
        <v/>
      </c>
      <c r="F714" s="0" t="str">
        <f aca="false">IF(E714="","",RANK(E714,$E$2:$E$5001,1))</f>
        <v/>
      </c>
      <c r="G714" s="0" t="n">
        <f aca="false">IF(A714="",0,IF(SUMPRODUCT(--($A$2:$A$5001=A714))&gt;1,1,0))</f>
        <v>0</v>
      </c>
      <c r="H714" s="0" t="n">
        <f aca="false">ROW()-1</f>
        <v>713</v>
      </c>
      <c r="I714" s="0" t="str">
        <f aca="false">IF(OR(הגדרות!$E$6=0,H714&gt;הגדרות!$E$5),"",IF(H714-1&lt;הגדרות!$E$8*(הגדרות!$E$7+1),INT((H714-1)/(הגדרות!$E$7+1)),הגדרות!$E$8+INT((H714-1-הגדרות!$E$8*(הגדרות!$E$7+1))/הגדרות!$E$7)))</f>
        <v/>
      </c>
      <c r="J714" s="0" t="str">
        <f aca="false">IF(I714="","",IF(H714-1&lt;הגדרות!$E$8*(הגדרות!$E$7+1),MOD(H714-1,הגדרות!$E$7+1),MOD(H714-1-הגדרות!$E$8*(הגדרות!$E$7+1),הגדרות!$E$7)))</f>
        <v/>
      </c>
      <c r="K714" s="0" t="str">
        <f aca="false">IF(I714="","",J714*הגדרות!$E$6+I714+1)</f>
        <v/>
      </c>
      <c r="L714" s="0" t="str">
        <f aca="false">IF(K714="","",MATCH(K714,$F$2:$F$5001,0))</f>
        <v/>
      </c>
      <c r="M714" s="0" t="str">
        <f aca="false">IF(I714="","",INDEX(הגדרות!$A$2:$A$21,MOD(I714+הגדרות!$E$9,הגדרות!$E$6)+1))</f>
        <v/>
      </c>
    </row>
    <row r="715" customFormat="false" ht="15" hidden="false" customHeight="false" outlineLevel="0" collapsed="false">
      <c r="A715" s="0" t="str">
        <f aca="false">IF('הדבקת לידים'!A715="","",IF(ISNUMBER('הדבקת לידים'!A715),IF(הגדרות!$E$2&gt;0,TEXT('הדבקת לידים'!A715,REPT("0",הגדרות!$E$2)),TEXT('הדבקת לידים'!A715,"0")),TRIM('הדבקת לידים'!A715)))</f>
        <v/>
      </c>
      <c r="B715" s="0" t="str">
        <f aca="false">IF('הדבקת לידים'!B715="","",IF(ISNUMBER('הדבקת לידים'!B715),IF(הגדרות!$E$3&gt;0,TEXT('הדבקת לידים'!B715,REPT("0",הגדרות!$E$3)),TEXT('הדבקת לידים'!B715,"0")),TRIM('הדבקת לידים'!B715)))</f>
        <v/>
      </c>
      <c r="C715" s="0" t="n">
        <f aca="false">IF(OR(A715&lt;&gt;"",B715&lt;&gt;""),1,0)</f>
        <v>0</v>
      </c>
      <c r="D715" s="0" t="str">
        <f aca="false">IF(C715=1,MOD(ABS(SIN(ROW()*12.9898+'הדבקת לידים'!$F$2*78.233+IFERROR(--RIGHT(A715,6),LEN(A715))*0.0137+IFERROR(--RIGHT(B715,6),LEN(B715))*0.0071))*43758.5453,1),"")</f>
        <v/>
      </c>
      <c r="E715" s="0" t="str">
        <f aca="false">IF(C715=1,INT(MOD(ABS(SIN(D715*7919.123+ROW()*0.618+'הדבקת לידים'!$F$2*1.3))*43758.5453,1)*1000000)*10000+ROW(),"")</f>
        <v/>
      </c>
      <c r="F715" s="0" t="str">
        <f aca="false">IF(E715="","",RANK(E715,$E$2:$E$5001,1))</f>
        <v/>
      </c>
      <c r="G715" s="0" t="n">
        <f aca="false">IF(A715="",0,IF(SUMPRODUCT(--($A$2:$A$5001=A715))&gt;1,1,0))</f>
        <v>0</v>
      </c>
      <c r="H715" s="0" t="n">
        <f aca="false">ROW()-1</f>
        <v>714</v>
      </c>
      <c r="I715" s="0" t="str">
        <f aca="false">IF(OR(הגדרות!$E$6=0,H715&gt;הגדרות!$E$5),"",IF(H715-1&lt;הגדרות!$E$8*(הגדרות!$E$7+1),INT((H715-1)/(הגדרות!$E$7+1)),הגדרות!$E$8+INT((H715-1-הגדרות!$E$8*(הגדרות!$E$7+1))/הגדרות!$E$7)))</f>
        <v/>
      </c>
      <c r="J715" s="0" t="str">
        <f aca="false">IF(I715="","",IF(H715-1&lt;הגדרות!$E$8*(הגדרות!$E$7+1),MOD(H715-1,הגדרות!$E$7+1),MOD(H715-1-הגדרות!$E$8*(הגדרות!$E$7+1),הגדרות!$E$7)))</f>
        <v/>
      </c>
      <c r="K715" s="0" t="str">
        <f aca="false">IF(I715="","",J715*הגדרות!$E$6+I715+1)</f>
        <v/>
      </c>
      <c r="L715" s="0" t="str">
        <f aca="false">IF(K715="","",MATCH(K715,$F$2:$F$5001,0))</f>
        <v/>
      </c>
      <c r="M715" s="0" t="str">
        <f aca="false">IF(I715="","",INDEX(הגדרות!$A$2:$A$21,MOD(I715+הגדרות!$E$9,הגדרות!$E$6)+1))</f>
        <v/>
      </c>
    </row>
    <row r="716" customFormat="false" ht="15" hidden="false" customHeight="false" outlineLevel="0" collapsed="false">
      <c r="A716" s="0" t="str">
        <f aca="false">IF('הדבקת לידים'!A716="","",IF(ISNUMBER('הדבקת לידים'!A716),IF(הגדרות!$E$2&gt;0,TEXT('הדבקת לידים'!A716,REPT("0",הגדרות!$E$2)),TEXT('הדבקת לידים'!A716,"0")),TRIM('הדבקת לידים'!A716)))</f>
        <v/>
      </c>
      <c r="B716" s="0" t="str">
        <f aca="false">IF('הדבקת לידים'!B716="","",IF(ISNUMBER('הדבקת לידים'!B716),IF(הגדרות!$E$3&gt;0,TEXT('הדבקת לידים'!B716,REPT("0",הגדרות!$E$3)),TEXT('הדבקת לידים'!B716,"0")),TRIM('הדבקת לידים'!B716)))</f>
        <v/>
      </c>
      <c r="C716" s="0" t="n">
        <f aca="false">IF(OR(A716&lt;&gt;"",B716&lt;&gt;""),1,0)</f>
        <v>0</v>
      </c>
      <c r="D716" s="0" t="str">
        <f aca="false">IF(C716=1,MOD(ABS(SIN(ROW()*12.9898+'הדבקת לידים'!$F$2*78.233+IFERROR(--RIGHT(A716,6),LEN(A716))*0.0137+IFERROR(--RIGHT(B716,6),LEN(B716))*0.0071))*43758.5453,1),"")</f>
        <v/>
      </c>
      <c r="E716" s="0" t="str">
        <f aca="false">IF(C716=1,INT(MOD(ABS(SIN(D716*7919.123+ROW()*0.618+'הדבקת לידים'!$F$2*1.3))*43758.5453,1)*1000000)*10000+ROW(),"")</f>
        <v/>
      </c>
      <c r="F716" s="0" t="str">
        <f aca="false">IF(E716="","",RANK(E716,$E$2:$E$5001,1))</f>
        <v/>
      </c>
      <c r="G716" s="0" t="n">
        <f aca="false">IF(A716="",0,IF(SUMPRODUCT(--($A$2:$A$5001=A716))&gt;1,1,0))</f>
        <v>0</v>
      </c>
      <c r="H716" s="0" t="n">
        <f aca="false">ROW()-1</f>
        <v>715</v>
      </c>
      <c r="I716" s="0" t="str">
        <f aca="false">IF(OR(הגדרות!$E$6=0,H716&gt;הגדרות!$E$5),"",IF(H716-1&lt;הגדרות!$E$8*(הגדרות!$E$7+1),INT((H716-1)/(הגדרות!$E$7+1)),הגדרות!$E$8+INT((H716-1-הגדרות!$E$8*(הגדרות!$E$7+1))/הגדרות!$E$7)))</f>
        <v/>
      </c>
      <c r="J716" s="0" t="str">
        <f aca="false">IF(I716="","",IF(H716-1&lt;הגדרות!$E$8*(הגדרות!$E$7+1),MOD(H716-1,הגדרות!$E$7+1),MOD(H716-1-הגדרות!$E$8*(הגדרות!$E$7+1),הגדרות!$E$7)))</f>
        <v/>
      </c>
      <c r="K716" s="0" t="str">
        <f aca="false">IF(I716="","",J716*הגדרות!$E$6+I716+1)</f>
        <v/>
      </c>
      <c r="L716" s="0" t="str">
        <f aca="false">IF(K716="","",MATCH(K716,$F$2:$F$5001,0))</f>
        <v/>
      </c>
      <c r="M716" s="0" t="str">
        <f aca="false">IF(I716="","",INDEX(הגדרות!$A$2:$A$21,MOD(I716+הגדרות!$E$9,הגדרות!$E$6)+1))</f>
        <v/>
      </c>
    </row>
    <row r="717" customFormat="false" ht="15" hidden="false" customHeight="false" outlineLevel="0" collapsed="false">
      <c r="A717" s="0" t="str">
        <f aca="false">IF('הדבקת לידים'!A717="","",IF(ISNUMBER('הדבקת לידים'!A717),IF(הגדרות!$E$2&gt;0,TEXT('הדבקת לידים'!A717,REPT("0",הגדרות!$E$2)),TEXT('הדבקת לידים'!A717,"0")),TRIM('הדבקת לידים'!A717)))</f>
        <v/>
      </c>
      <c r="B717" s="0" t="str">
        <f aca="false">IF('הדבקת לידים'!B717="","",IF(ISNUMBER('הדבקת לידים'!B717),IF(הגדרות!$E$3&gt;0,TEXT('הדבקת לידים'!B717,REPT("0",הגדרות!$E$3)),TEXT('הדבקת לידים'!B717,"0")),TRIM('הדבקת לידים'!B717)))</f>
        <v/>
      </c>
      <c r="C717" s="0" t="n">
        <f aca="false">IF(OR(A717&lt;&gt;"",B717&lt;&gt;""),1,0)</f>
        <v>0</v>
      </c>
      <c r="D717" s="0" t="str">
        <f aca="false">IF(C717=1,MOD(ABS(SIN(ROW()*12.9898+'הדבקת לידים'!$F$2*78.233+IFERROR(--RIGHT(A717,6),LEN(A717))*0.0137+IFERROR(--RIGHT(B717,6),LEN(B717))*0.0071))*43758.5453,1),"")</f>
        <v/>
      </c>
      <c r="E717" s="0" t="str">
        <f aca="false">IF(C717=1,INT(MOD(ABS(SIN(D717*7919.123+ROW()*0.618+'הדבקת לידים'!$F$2*1.3))*43758.5453,1)*1000000)*10000+ROW(),"")</f>
        <v/>
      </c>
      <c r="F717" s="0" t="str">
        <f aca="false">IF(E717="","",RANK(E717,$E$2:$E$5001,1))</f>
        <v/>
      </c>
      <c r="G717" s="0" t="n">
        <f aca="false">IF(A717="",0,IF(SUMPRODUCT(--($A$2:$A$5001=A717))&gt;1,1,0))</f>
        <v>0</v>
      </c>
      <c r="H717" s="0" t="n">
        <f aca="false">ROW()-1</f>
        <v>716</v>
      </c>
      <c r="I717" s="0" t="str">
        <f aca="false">IF(OR(הגדרות!$E$6=0,H717&gt;הגדרות!$E$5),"",IF(H717-1&lt;הגדרות!$E$8*(הגדרות!$E$7+1),INT((H717-1)/(הגדרות!$E$7+1)),הגדרות!$E$8+INT((H717-1-הגדרות!$E$8*(הגדרות!$E$7+1))/הגדרות!$E$7)))</f>
        <v/>
      </c>
      <c r="J717" s="0" t="str">
        <f aca="false">IF(I717="","",IF(H717-1&lt;הגדרות!$E$8*(הגדרות!$E$7+1),MOD(H717-1,הגדרות!$E$7+1),MOD(H717-1-הגדרות!$E$8*(הגדרות!$E$7+1),הגדרות!$E$7)))</f>
        <v/>
      </c>
      <c r="K717" s="0" t="str">
        <f aca="false">IF(I717="","",J717*הגדרות!$E$6+I717+1)</f>
        <v/>
      </c>
      <c r="L717" s="0" t="str">
        <f aca="false">IF(K717="","",MATCH(K717,$F$2:$F$5001,0))</f>
        <v/>
      </c>
      <c r="M717" s="0" t="str">
        <f aca="false">IF(I717="","",INDEX(הגדרות!$A$2:$A$21,MOD(I717+הגדרות!$E$9,הגדרות!$E$6)+1))</f>
        <v/>
      </c>
    </row>
    <row r="718" customFormat="false" ht="15" hidden="false" customHeight="false" outlineLevel="0" collapsed="false">
      <c r="A718" s="0" t="str">
        <f aca="false">IF('הדבקת לידים'!A718="","",IF(ISNUMBER('הדבקת לידים'!A718),IF(הגדרות!$E$2&gt;0,TEXT('הדבקת לידים'!A718,REPT("0",הגדרות!$E$2)),TEXT('הדבקת לידים'!A718,"0")),TRIM('הדבקת לידים'!A718)))</f>
        <v/>
      </c>
      <c r="B718" s="0" t="str">
        <f aca="false">IF('הדבקת לידים'!B718="","",IF(ISNUMBER('הדבקת לידים'!B718),IF(הגדרות!$E$3&gt;0,TEXT('הדבקת לידים'!B718,REPT("0",הגדרות!$E$3)),TEXT('הדבקת לידים'!B718,"0")),TRIM('הדבקת לידים'!B718)))</f>
        <v/>
      </c>
      <c r="C718" s="0" t="n">
        <f aca="false">IF(OR(A718&lt;&gt;"",B718&lt;&gt;""),1,0)</f>
        <v>0</v>
      </c>
      <c r="D718" s="0" t="str">
        <f aca="false">IF(C718=1,MOD(ABS(SIN(ROW()*12.9898+'הדבקת לידים'!$F$2*78.233+IFERROR(--RIGHT(A718,6),LEN(A718))*0.0137+IFERROR(--RIGHT(B718,6),LEN(B718))*0.0071))*43758.5453,1),"")</f>
        <v/>
      </c>
      <c r="E718" s="0" t="str">
        <f aca="false">IF(C718=1,INT(MOD(ABS(SIN(D718*7919.123+ROW()*0.618+'הדבקת לידים'!$F$2*1.3))*43758.5453,1)*1000000)*10000+ROW(),"")</f>
        <v/>
      </c>
      <c r="F718" s="0" t="str">
        <f aca="false">IF(E718="","",RANK(E718,$E$2:$E$5001,1))</f>
        <v/>
      </c>
      <c r="G718" s="0" t="n">
        <f aca="false">IF(A718="",0,IF(SUMPRODUCT(--($A$2:$A$5001=A718))&gt;1,1,0))</f>
        <v>0</v>
      </c>
      <c r="H718" s="0" t="n">
        <f aca="false">ROW()-1</f>
        <v>717</v>
      </c>
      <c r="I718" s="0" t="str">
        <f aca="false">IF(OR(הגדרות!$E$6=0,H718&gt;הגדרות!$E$5),"",IF(H718-1&lt;הגדרות!$E$8*(הגדרות!$E$7+1),INT((H718-1)/(הגדרות!$E$7+1)),הגדרות!$E$8+INT((H718-1-הגדרות!$E$8*(הגדרות!$E$7+1))/הגדרות!$E$7)))</f>
        <v/>
      </c>
      <c r="J718" s="0" t="str">
        <f aca="false">IF(I718="","",IF(H718-1&lt;הגדרות!$E$8*(הגדרות!$E$7+1),MOD(H718-1,הגדרות!$E$7+1),MOD(H718-1-הגדרות!$E$8*(הגדרות!$E$7+1),הגדרות!$E$7)))</f>
        <v/>
      </c>
      <c r="K718" s="0" t="str">
        <f aca="false">IF(I718="","",J718*הגדרות!$E$6+I718+1)</f>
        <v/>
      </c>
      <c r="L718" s="0" t="str">
        <f aca="false">IF(K718="","",MATCH(K718,$F$2:$F$5001,0))</f>
        <v/>
      </c>
      <c r="M718" s="0" t="str">
        <f aca="false">IF(I718="","",INDEX(הגדרות!$A$2:$A$21,MOD(I718+הגדרות!$E$9,הגדרות!$E$6)+1))</f>
        <v/>
      </c>
    </row>
    <row r="719" customFormat="false" ht="15" hidden="false" customHeight="false" outlineLevel="0" collapsed="false">
      <c r="A719" s="0" t="str">
        <f aca="false">IF('הדבקת לידים'!A719="","",IF(ISNUMBER('הדבקת לידים'!A719),IF(הגדרות!$E$2&gt;0,TEXT('הדבקת לידים'!A719,REPT("0",הגדרות!$E$2)),TEXT('הדבקת לידים'!A719,"0")),TRIM('הדבקת לידים'!A719)))</f>
        <v/>
      </c>
      <c r="B719" s="0" t="str">
        <f aca="false">IF('הדבקת לידים'!B719="","",IF(ISNUMBER('הדבקת לידים'!B719),IF(הגדרות!$E$3&gt;0,TEXT('הדבקת לידים'!B719,REPT("0",הגדרות!$E$3)),TEXT('הדבקת לידים'!B719,"0")),TRIM('הדבקת לידים'!B719)))</f>
        <v/>
      </c>
      <c r="C719" s="0" t="n">
        <f aca="false">IF(OR(A719&lt;&gt;"",B719&lt;&gt;""),1,0)</f>
        <v>0</v>
      </c>
      <c r="D719" s="0" t="str">
        <f aca="false">IF(C719=1,MOD(ABS(SIN(ROW()*12.9898+'הדבקת לידים'!$F$2*78.233+IFERROR(--RIGHT(A719,6),LEN(A719))*0.0137+IFERROR(--RIGHT(B719,6),LEN(B719))*0.0071))*43758.5453,1),"")</f>
        <v/>
      </c>
      <c r="E719" s="0" t="str">
        <f aca="false">IF(C719=1,INT(MOD(ABS(SIN(D719*7919.123+ROW()*0.618+'הדבקת לידים'!$F$2*1.3))*43758.5453,1)*1000000)*10000+ROW(),"")</f>
        <v/>
      </c>
      <c r="F719" s="0" t="str">
        <f aca="false">IF(E719="","",RANK(E719,$E$2:$E$5001,1))</f>
        <v/>
      </c>
      <c r="G719" s="0" t="n">
        <f aca="false">IF(A719="",0,IF(SUMPRODUCT(--($A$2:$A$5001=A719))&gt;1,1,0))</f>
        <v>0</v>
      </c>
      <c r="H719" s="0" t="n">
        <f aca="false">ROW()-1</f>
        <v>718</v>
      </c>
      <c r="I719" s="0" t="str">
        <f aca="false">IF(OR(הגדרות!$E$6=0,H719&gt;הגדרות!$E$5),"",IF(H719-1&lt;הגדרות!$E$8*(הגדרות!$E$7+1),INT((H719-1)/(הגדרות!$E$7+1)),הגדרות!$E$8+INT((H719-1-הגדרות!$E$8*(הגדרות!$E$7+1))/הגדרות!$E$7)))</f>
        <v/>
      </c>
      <c r="J719" s="0" t="str">
        <f aca="false">IF(I719="","",IF(H719-1&lt;הגדרות!$E$8*(הגדרות!$E$7+1),MOD(H719-1,הגדרות!$E$7+1),MOD(H719-1-הגדרות!$E$8*(הגדרות!$E$7+1),הגדרות!$E$7)))</f>
        <v/>
      </c>
      <c r="K719" s="0" t="str">
        <f aca="false">IF(I719="","",J719*הגדרות!$E$6+I719+1)</f>
        <v/>
      </c>
      <c r="L719" s="0" t="str">
        <f aca="false">IF(K719="","",MATCH(K719,$F$2:$F$5001,0))</f>
        <v/>
      </c>
      <c r="M719" s="0" t="str">
        <f aca="false">IF(I719="","",INDEX(הגדרות!$A$2:$A$21,MOD(I719+הגדרות!$E$9,הגדרות!$E$6)+1))</f>
        <v/>
      </c>
    </row>
    <row r="720" customFormat="false" ht="15" hidden="false" customHeight="false" outlineLevel="0" collapsed="false">
      <c r="A720" s="0" t="str">
        <f aca="false">IF('הדבקת לידים'!A720="","",IF(ISNUMBER('הדבקת לידים'!A720),IF(הגדרות!$E$2&gt;0,TEXT('הדבקת לידים'!A720,REPT("0",הגדרות!$E$2)),TEXT('הדבקת לידים'!A720,"0")),TRIM('הדבקת לידים'!A720)))</f>
        <v/>
      </c>
      <c r="B720" s="0" t="str">
        <f aca="false">IF('הדבקת לידים'!B720="","",IF(ISNUMBER('הדבקת לידים'!B720),IF(הגדרות!$E$3&gt;0,TEXT('הדבקת לידים'!B720,REPT("0",הגדרות!$E$3)),TEXT('הדבקת לידים'!B720,"0")),TRIM('הדבקת לידים'!B720)))</f>
        <v/>
      </c>
      <c r="C720" s="0" t="n">
        <f aca="false">IF(OR(A720&lt;&gt;"",B720&lt;&gt;""),1,0)</f>
        <v>0</v>
      </c>
      <c r="D720" s="0" t="str">
        <f aca="false">IF(C720=1,MOD(ABS(SIN(ROW()*12.9898+'הדבקת לידים'!$F$2*78.233+IFERROR(--RIGHT(A720,6),LEN(A720))*0.0137+IFERROR(--RIGHT(B720,6),LEN(B720))*0.0071))*43758.5453,1),"")</f>
        <v/>
      </c>
      <c r="E720" s="0" t="str">
        <f aca="false">IF(C720=1,INT(MOD(ABS(SIN(D720*7919.123+ROW()*0.618+'הדבקת לידים'!$F$2*1.3))*43758.5453,1)*1000000)*10000+ROW(),"")</f>
        <v/>
      </c>
      <c r="F720" s="0" t="str">
        <f aca="false">IF(E720="","",RANK(E720,$E$2:$E$5001,1))</f>
        <v/>
      </c>
      <c r="G720" s="0" t="n">
        <f aca="false">IF(A720="",0,IF(SUMPRODUCT(--($A$2:$A$5001=A720))&gt;1,1,0))</f>
        <v>0</v>
      </c>
      <c r="H720" s="0" t="n">
        <f aca="false">ROW()-1</f>
        <v>719</v>
      </c>
      <c r="I720" s="0" t="str">
        <f aca="false">IF(OR(הגדרות!$E$6=0,H720&gt;הגדרות!$E$5),"",IF(H720-1&lt;הגדרות!$E$8*(הגדרות!$E$7+1),INT((H720-1)/(הגדרות!$E$7+1)),הגדרות!$E$8+INT((H720-1-הגדרות!$E$8*(הגדרות!$E$7+1))/הגדרות!$E$7)))</f>
        <v/>
      </c>
      <c r="J720" s="0" t="str">
        <f aca="false">IF(I720="","",IF(H720-1&lt;הגדרות!$E$8*(הגדרות!$E$7+1),MOD(H720-1,הגדרות!$E$7+1),MOD(H720-1-הגדרות!$E$8*(הגדרות!$E$7+1),הגדרות!$E$7)))</f>
        <v/>
      </c>
      <c r="K720" s="0" t="str">
        <f aca="false">IF(I720="","",J720*הגדרות!$E$6+I720+1)</f>
        <v/>
      </c>
      <c r="L720" s="0" t="str">
        <f aca="false">IF(K720="","",MATCH(K720,$F$2:$F$5001,0))</f>
        <v/>
      </c>
      <c r="M720" s="0" t="str">
        <f aca="false">IF(I720="","",INDEX(הגדרות!$A$2:$A$21,MOD(I720+הגדרות!$E$9,הגדרות!$E$6)+1))</f>
        <v/>
      </c>
    </row>
    <row r="721" customFormat="false" ht="15" hidden="false" customHeight="false" outlineLevel="0" collapsed="false">
      <c r="A721" s="0" t="str">
        <f aca="false">IF('הדבקת לידים'!A721="","",IF(ISNUMBER('הדבקת לידים'!A721),IF(הגדרות!$E$2&gt;0,TEXT('הדבקת לידים'!A721,REPT("0",הגדרות!$E$2)),TEXT('הדבקת לידים'!A721,"0")),TRIM('הדבקת לידים'!A721)))</f>
        <v/>
      </c>
      <c r="B721" s="0" t="str">
        <f aca="false">IF('הדבקת לידים'!B721="","",IF(ISNUMBER('הדבקת לידים'!B721),IF(הגדרות!$E$3&gt;0,TEXT('הדבקת לידים'!B721,REPT("0",הגדרות!$E$3)),TEXT('הדבקת לידים'!B721,"0")),TRIM('הדבקת לידים'!B721)))</f>
        <v/>
      </c>
      <c r="C721" s="0" t="n">
        <f aca="false">IF(OR(A721&lt;&gt;"",B721&lt;&gt;""),1,0)</f>
        <v>0</v>
      </c>
      <c r="D721" s="0" t="str">
        <f aca="false">IF(C721=1,MOD(ABS(SIN(ROW()*12.9898+'הדבקת לידים'!$F$2*78.233+IFERROR(--RIGHT(A721,6),LEN(A721))*0.0137+IFERROR(--RIGHT(B721,6),LEN(B721))*0.0071))*43758.5453,1),"")</f>
        <v/>
      </c>
      <c r="E721" s="0" t="str">
        <f aca="false">IF(C721=1,INT(MOD(ABS(SIN(D721*7919.123+ROW()*0.618+'הדבקת לידים'!$F$2*1.3))*43758.5453,1)*1000000)*10000+ROW(),"")</f>
        <v/>
      </c>
      <c r="F721" s="0" t="str">
        <f aca="false">IF(E721="","",RANK(E721,$E$2:$E$5001,1))</f>
        <v/>
      </c>
      <c r="G721" s="0" t="n">
        <f aca="false">IF(A721="",0,IF(SUMPRODUCT(--($A$2:$A$5001=A721))&gt;1,1,0))</f>
        <v>0</v>
      </c>
      <c r="H721" s="0" t="n">
        <f aca="false">ROW()-1</f>
        <v>720</v>
      </c>
      <c r="I721" s="0" t="str">
        <f aca="false">IF(OR(הגדרות!$E$6=0,H721&gt;הגדרות!$E$5),"",IF(H721-1&lt;הגדרות!$E$8*(הגדרות!$E$7+1),INT((H721-1)/(הגדרות!$E$7+1)),הגדרות!$E$8+INT((H721-1-הגדרות!$E$8*(הגדרות!$E$7+1))/הגדרות!$E$7)))</f>
        <v/>
      </c>
      <c r="J721" s="0" t="str">
        <f aca="false">IF(I721="","",IF(H721-1&lt;הגדרות!$E$8*(הגדרות!$E$7+1),MOD(H721-1,הגדרות!$E$7+1),MOD(H721-1-הגדרות!$E$8*(הגדרות!$E$7+1),הגדרות!$E$7)))</f>
        <v/>
      </c>
      <c r="K721" s="0" t="str">
        <f aca="false">IF(I721="","",J721*הגדרות!$E$6+I721+1)</f>
        <v/>
      </c>
      <c r="L721" s="0" t="str">
        <f aca="false">IF(K721="","",MATCH(K721,$F$2:$F$5001,0))</f>
        <v/>
      </c>
      <c r="M721" s="0" t="str">
        <f aca="false">IF(I721="","",INDEX(הגדרות!$A$2:$A$21,MOD(I721+הגדרות!$E$9,הגדרות!$E$6)+1))</f>
        <v/>
      </c>
    </row>
    <row r="722" customFormat="false" ht="15" hidden="false" customHeight="false" outlineLevel="0" collapsed="false">
      <c r="A722" s="0" t="str">
        <f aca="false">IF('הדבקת לידים'!A722="","",IF(ISNUMBER('הדבקת לידים'!A722),IF(הגדרות!$E$2&gt;0,TEXT('הדבקת לידים'!A722,REPT("0",הגדרות!$E$2)),TEXT('הדבקת לידים'!A722,"0")),TRIM('הדבקת לידים'!A722)))</f>
        <v/>
      </c>
      <c r="B722" s="0" t="str">
        <f aca="false">IF('הדבקת לידים'!B722="","",IF(ISNUMBER('הדבקת לידים'!B722),IF(הגדרות!$E$3&gt;0,TEXT('הדבקת לידים'!B722,REPT("0",הגדרות!$E$3)),TEXT('הדבקת לידים'!B722,"0")),TRIM('הדבקת לידים'!B722)))</f>
        <v/>
      </c>
      <c r="C722" s="0" t="n">
        <f aca="false">IF(OR(A722&lt;&gt;"",B722&lt;&gt;""),1,0)</f>
        <v>0</v>
      </c>
      <c r="D722" s="0" t="str">
        <f aca="false">IF(C722=1,MOD(ABS(SIN(ROW()*12.9898+'הדבקת לידים'!$F$2*78.233+IFERROR(--RIGHT(A722,6),LEN(A722))*0.0137+IFERROR(--RIGHT(B722,6),LEN(B722))*0.0071))*43758.5453,1),"")</f>
        <v/>
      </c>
      <c r="E722" s="0" t="str">
        <f aca="false">IF(C722=1,INT(MOD(ABS(SIN(D722*7919.123+ROW()*0.618+'הדבקת לידים'!$F$2*1.3))*43758.5453,1)*1000000)*10000+ROW(),"")</f>
        <v/>
      </c>
      <c r="F722" s="0" t="str">
        <f aca="false">IF(E722="","",RANK(E722,$E$2:$E$5001,1))</f>
        <v/>
      </c>
      <c r="G722" s="0" t="n">
        <f aca="false">IF(A722="",0,IF(SUMPRODUCT(--($A$2:$A$5001=A722))&gt;1,1,0))</f>
        <v>0</v>
      </c>
      <c r="H722" s="0" t="n">
        <f aca="false">ROW()-1</f>
        <v>721</v>
      </c>
      <c r="I722" s="0" t="str">
        <f aca="false">IF(OR(הגדרות!$E$6=0,H722&gt;הגדרות!$E$5),"",IF(H722-1&lt;הגדרות!$E$8*(הגדרות!$E$7+1),INT((H722-1)/(הגדרות!$E$7+1)),הגדרות!$E$8+INT((H722-1-הגדרות!$E$8*(הגדרות!$E$7+1))/הגדרות!$E$7)))</f>
        <v/>
      </c>
      <c r="J722" s="0" t="str">
        <f aca="false">IF(I722="","",IF(H722-1&lt;הגדרות!$E$8*(הגדרות!$E$7+1),MOD(H722-1,הגדרות!$E$7+1),MOD(H722-1-הגדרות!$E$8*(הגדרות!$E$7+1),הגדרות!$E$7)))</f>
        <v/>
      </c>
      <c r="K722" s="0" t="str">
        <f aca="false">IF(I722="","",J722*הגדרות!$E$6+I722+1)</f>
        <v/>
      </c>
      <c r="L722" s="0" t="str">
        <f aca="false">IF(K722="","",MATCH(K722,$F$2:$F$5001,0))</f>
        <v/>
      </c>
      <c r="M722" s="0" t="str">
        <f aca="false">IF(I722="","",INDEX(הגדרות!$A$2:$A$21,MOD(I722+הגדרות!$E$9,הגדרות!$E$6)+1))</f>
        <v/>
      </c>
    </row>
    <row r="723" customFormat="false" ht="15" hidden="false" customHeight="false" outlineLevel="0" collapsed="false">
      <c r="A723" s="0" t="str">
        <f aca="false">IF('הדבקת לידים'!A723="","",IF(ISNUMBER('הדבקת לידים'!A723),IF(הגדרות!$E$2&gt;0,TEXT('הדבקת לידים'!A723,REPT("0",הגדרות!$E$2)),TEXT('הדבקת לידים'!A723,"0")),TRIM('הדבקת לידים'!A723)))</f>
        <v/>
      </c>
      <c r="B723" s="0" t="str">
        <f aca="false">IF('הדבקת לידים'!B723="","",IF(ISNUMBER('הדבקת לידים'!B723),IF(הגדרות!$E$3&gt;0,TEXT('הדבקת לידים'!B723,REPT("0",הגדרות!$E$3)),TEXT('הדבקת לידים'!B723,"0")),TRIM('הדבקת לידים'!B723)))</f>
        <v/>
      </c>
      <c r="C723" s="0" t="n">
        <f aca="false">IF(OR(A723&lt;&gt;"",B723&lt;&gt;""),1,0)</f>
        <v>0</v>
      </c>
      <c r="D723" s="0" t="str">
        <f aca="false">IF(C723=1,MOD(ABS(SIN(ROW()*12.9898+'הדבקת לידים'!$F$2*78.233+IFERROR(--RIGHT(A723,6),LEN(A723))*0.0137+IFERROR(--RIGHT(B723,6),LEN(B723))*0.0071))*43758.5453,1),"")</f>
        <v/>
      </c>
      <c r="E723" s="0" t="str">
        <f aca="false">IF(C723=1,INT(MOD(ABS(SIN(D723*7919.123+ROW()*0.618+'הדבקת לידים'!$F$2*1.3))*43758.5453,1)*1000000)*10000+ROW(),"")</f>
        <v/>
      </c>
      <c r="F723" s="0" t="str">
        <f aca="false">IF(E723="","",RANK(E723,$E$2:$E$5001,1))</f>
        <v/>
      </c>
      <c r="G723" s="0" t="n">
        <f aca="false">IF(A723="",0,IF(SUMPRODUCT(--($A$2:$A$5001=A723))&gt;1,1,0))</f>
        <v>0</v>
      </c>
      <c r="H723" s="0" t="n">
        <f aca="false">ROW()-1</f>
        <v>722</v>
      </c>
      <c r="I723" s="0" t="str">
        <f aca="false">IF(OR(הגדרות!$E$6=0,H723&gt;הגדרות!$E$5),"",IF(H723-1&lt;הגדרות!$E$8*(הגדרות!$E$7+1),INT((H723-1)/(הגדרות!$E$7+1)),הגדרות!$E$8+INT((H723-1-הגדרות!$E$8*(הגדרות!$E$7+1))/הגדרות!$E$7)))</f>
        <v/>
      </c>
      <c r="J723" s="0" t="str">
        <f aca="false">IF(I723="","",IF(H723-1&lt;הגדרות!$E$8*(הגדרות!$E$7+1),MOD(H723-1,הגדרות!$E$7+1),MOD(H723-1-הגדרות!$E$8*(הגדרות!$E$7+1),הגדרות!$E$7)))</f>
        <v/>
      </c>
      <c r="K723" s="0" t="str">
        <f aca="false">IF(I723="","",J723*הגדרות!$E$6+I723+1)</f>
        <v/>
      </c>
      <c r="L723" s="0" t="str">
        <f aca="false">IF(K723="","",MATCH(K723,$F$2:$F$5001,0))</f>
        <v/>
      </c>
      <c r="M723" s="0" t="str">
        <f aca="false">IF(I723="","",INDEX(הגדרות!$A$2:$A$21,MOD(I723+הגדרות!$E$9,הגדרות!$E$6)+1))</f>
        <v/>
      </c>
    </row>
    <row r="724" customFormat="false" ht="15" hidden="false" customHeight="false" outlineLevel="0" collapsed="false">
      <c r="A724" s="0" t="str">
        <f aca="false">IF('הדבקת לידים'!A724="","",IF(ISNUMBER('הדבקת לידים'!A724),IF(הגדרות!$E$2&gt;0,TEXT('הדבקת לידים'!A724,REPT("0",הגדרות!$E$2)),TEXT('הדבקת לידים'!A724,"0")),TRIM('הדבקת לידים'!A724)))</f>
        <v/>
      </c>
      <c r="B724" s="0" t="str">
        <f aca="false">IF('הדבקת לידים'!B724="","",IF(ISNUMBER('הדבקת לידים'!B724),IF(הגדרות!$E$3&gt;0,TEXT('הדבקת לידים'!B724,REPT("0",הגדרות!$E$3)),TEXT('הדבקת לידים'!B724,"0")),TRIM('הדבקת לידים'!B724)))</f>
        <v/>
      </c>
      <c r="C724" s="0" t="n">
        <f aca="false">IF(OR(A724&lt;&gt;"",B724&lt;&gt;""),1,0)</f>
        <v>0</v>
      </c>
      <c r="D724" s="0" t="str">
        <f aca="false">IF(C724=1,MOD(ABS(SIN(ROW()*12.9898+'הדבקת לידים'!$F$2*78.233+IFERROR(--RIGHT(A724,6),LEN(A724))*0.0137+IFERROR(--RIGHT(B724,6),LEN(B724))*0.0071))*43758.5453,1),"")</f>
        <v/>
      </c>
      <c r="E724" s="0" t="str">
        <f aca="false">IF(C724=1,INT(MOD(ABS(SIN(D724*7919.123+ROW()*0.618+'הדבקת לידים'!$F$2*1.3))*43758.5453,1)*1000000)*10000+ROW(),"")</f>
        <v/>
      </c>
      <c r="F724" s="0" t="str">
        <f aca="false">IF(E724="","",RANK(E724,$E$2:$E$5001,1))</f>
        <v/>
      </c>
      <c r="G724" s="0" t="n">
        <f aca="false">IF(A724="",0,IF(SUMPRODUCT(--($A$2:$A$5001=A724))&gt;1,1,0))</f>
        <v>0</v>
      </c>
      <c r="H724" s="0" t="n">
        <f aca="false">ROW()-1</f>
        <v>723</v>
      </c>
      <c r="I724" s="0" t="str">
        <f aca="false">IF(OR(הגדרות!$E$6=0,H724&gt;הגדרות!$E$5),"",IF(H724-1&lt;הגדרות!$E$8*(הגדרות!$E$7+1),INT((H724-1)/(הגדרות!$E$7+1)),הגדרות!$E$8+INT((H724-1-הגדרות!$E$8*(הגדרות!$E$7+1))/הגדרות!$E$7)))</f>
        <v/>
      </c>
      <c r="J724" s="0" t="str">
        <f aca="false">IF(I724="","",IF(H724-1&lt;הגדרות!$E$8*(הגדרות!$E$7+1),MOD(H724-1,הגדרות!$E$7+1),MOD(H724-1-הגדרות!$E$8*(הגדרות!$E$7+1),הגדרות!$E$7)))</f>
        <v/>
      </c>
      <c r="K724" s="0" t="str">
        <f aca="false">IF(I724="","",J724*הגדרות!$E$6+I724+1)</f>
        <v/>
      </c>
      <c r="L724" s="0" t="str">
        <f aca="false">IF(K724="","",MATCH(K724,$F$2:$F$5001,0))</f>
        <v/>
      </c>
      <c r="M724" s="0" t="str">
        <f aca="false">IF(I724="","",INDEX(הגדרות!$A$2:$A$21,MOD(I724+הגדרות!$E$9,הגדרות!$E$6)+1))</f>
        <v/>
      </c>
    </row>
    <row r="725" customFormat="false" ht="15" hidden="false" customHeight="false" outlineLevel="0" collapsed="false">
      <c r="A725" s="0" t="str">
        <f aca="false">IF('הדבקת לידים'!A725="","",IF(ISNUMBER('הדבקת לידים'!A725),IF(הגדרות!$E$2&gt;0,TEXT('הדבקת לידים'!A725,REPT("0",הגדרות!$E$2)),TEXT('הדבקת לידים'!A725,"0")),TRIM('הדבקת לידים'!A725)))</f>
        <v/>
      </c>
      <c r="B725" s="0" t="str">
        <f aca="false">IF('הדבקת לידים'!B725="","",IF(ISNUMBER('הדבקת לידים'!B725),IF(הגדרות!$E$3&gt;0,TEXT('הדבקת לידים'!B725,REPT("0",הגדרות!$E$3)),TEXT('הדבקת לידים'!B725,"0")),TRIM('הדבקת לידים'!B725)))</f>
        <v/>
      </c>
      <c r="C725" s="0" t="n">
        <f aca="false">IF(OR(A725&lt;&gt;"",B725&lt;&gt;""),1,0)</f>
        <v>0</v>
      </c>
      <c r="D725" s="0" t="str">
        <f aca="false">IF(C725=1,MOD(ABS(SIN(ROW()*12.9898+'הדבקת לידים'!$F$2*78.233+IFERROR(--RIGHT(A725,6),LEN(A725))*0.0137+IFERROR(--RIGHT(B725,6),LEN(B725))*0.0071))*43758.5453,1),"")</f>
        <v/>
      </c>
      <c r="E725" s="0" t="str">
        <f aca="false">IF(C725=1,INT(MOD(ABS(SIN(D725*7919.123+ROW()*0.618+'הדבקת לידים'!$F$2*1.3))*43758.5453,1)*1000000)*10000+ROW(),"")</f>
        <v/>
      </c>
      <c r="F725" s="0" t="str">
        <f aca="false">IF(E725="","",RANK(E725,$E$2:$E$5001,1))</f>
        <v/>
      </c>
      <c r="G725" s="0" t="n">
        <f aca="false">IF(A725="",0,IF(SUMPRODUCT(--($A$2:$A$5001=A725))&gt;1,1,0))</f>
        <v>0</v>
      </c>
      <c r="H725" s="0" t="n">
        <f aca="false">ROW()-1</f>
        <v>724</v>
      </c>
      <c r="I725" s="0" t="str">
        <f aca="false">IF(OR(הגדרות!$E$6=0,H725&gt;הגדרות!$E$5),"",IF(H725-1&lt;הגדרות!$E$8*(הגדרות!$E$7+1),INT((H725-1)/(הגדרות!$E$7+1)),הגדרות!$E$8+INT((H725-1-הגדרות!$E$8*(הגדרות!$E$7+1))/הגדרות!$E$7)))</f>
        <v/>
      </c>
      <c r="J725" s="0" t="str">
        <f aca="false">IF(I725="","",IF(H725-1&lt;הגדרות!$E$8*(הגדרות!$E$7+1),MOD(H725-1,הגדרות!$E$7+1),MOD(H725-1-הגדרות!$E$8*(הגדרות!$E$7+1),הגדרות!$E$7)))</f>
        <v/>
      </c>
      <c r="K725" s="0" t="str">
        <f aca="false">IF(I725="","",J725*הגדרות!$E$6+I725+1)</f>
        <v/>
      </c>
      <c r="L725" s="0" t="str">
        <f aca="false">IF(K725="","",MATCH(K725,$F$2:$F$5001,0))</f>
        <v/>
      </c>
      <c r="M725" s="0" t="str">
        <f aca="false">IF(I725="","",INDEX(הגדרות!$A$2:$A$21,MOD(I725+הגדרות!$E$9,הגדרות!$E$6)+1))</f>
        <v/>
      </c>
    </row>
    <row r="726" customFormat="false" ht="15" hidden="false" customHeight="false" outlineLevel="0" collapsed="false">
      <c r="A726" s="0" t="str">
        <f aca="false">IF('הדבקת לידים'!A726="","",IF(ISNUMBER('הדבקת לידים'!A726),IF(הגדרות!$E$2&gt;0,TEXT('הדבקת לידים'!A726,REPT("0",הגדרות!$E$2)),TEXT('הדבקת לידים'!A726,"0")),TRIM('הדבקת לידים'!A726)))</f>
        <v/>
      </c>
      <c r="B726" s="0" t="str">
        <f aca="false">IF('הדבקת לידים'!B726="","",IF(ISNUMBER('הדבקת לידים'!B726),IF(הגדרות!$E$3&gt;0,TEXT('הדבקת לידים'!B726,REPT("0",הגדרות!$E$3)),TEXT('הדבקת לידים'!B726,"0")),TRIM('הדבקת לידים'!B726)))</f>
        <v/>
      </c>
      <c r="C726" s="0" t="n">
        <f aca="false">IF(OR(A726&lt;&gt;"",B726&lt;&gt;""),1,0)</f>
        <v>0</v>
      </c>
      <c r="D726" s="0" t="str">
        <f aca="false">IF(C726=1,MOD(ABS(SIN(ROW()*12.9898+'הדבקת לידים'!$F$2*78.233+IFERROR(--RIGHT(A726,6),LEN(A726))*0.0137+IFERROR(--RIGHT(B726,6),LEN(B726))*0.0071))*43758.5453,1),"")</f>
        <v/>
      </c>
      <c r="E726" s="0" t="str">
        <f aca="false">IF(C726=1,INT(MOD(ABS(SIN(D726*7919.123+ROW()*0.618+'הדבקת לידים'!$F$2*1.3))*43758.5453,1)*1000000)*10000+ROW(),"")</f>
        <v/>
      </c>
      <c r="F726" s="0" t="str">
        <f aca="false">IF(E726="","",RANK(E726,$E$2:$E$5001,1))</f>
        <v/>
      </c>
      <c r="G726" s="0" t="n">
        <f aca="false">IF(A726="",0,IF(SUMPRODUCT(--($A$2:$A$5001=A726))&gt;1,1,0))</f>
        <v>0</v>
      </c>
      <c r="H726" s="0" t="n">
        <f aca="false">ROW()-1</f>
        <v>725</v>
      </c>
      <c r="I726" s="0" t="str">
        <f aca="false">IF(OR(הגדרות!$E$6=0,H726&gt;הגדרות!$E$5),"",IF(H726-1&lt;הגדרות!$E$8*(הגדרות!$E$7+1),INT((H726-1)/(הגדרות!$E$7+1)),הגדרות!$E$8+INT((H726-1-הגדרות!$E$8*(הגדרות!$E$7+1))/הגדרות!$E$7)))</f>
        <v/>
      </c>
      <c r="J726" s="0" t="str">
        <f aca="false">IF(I726="","",IF(H726-1&lt;הגדרות!$E$8*(הגדרות!$E$7+1),MOD(H726-1,הגדרות!$E$7+1),MOD(H726-1-הגדרות!$E$8*(הגדרות!$E$7+1),הגדרות!$E$7)))</f>
        <v/>
      </c>
      <c r="K726" s="0" t="str">
        <f aca="false">IF(I726="","",J726*הגדרות!$E$6+I726+1)</f>
        <v/>
      </c>
      <c r="L726" s="0" t="str">
        <f aca="false">IF(K726="","",MATCH(K726,$F$2:$F$5001,0))</f>
        <v/>
      </c>
      <c r="M726" s="0" t="str">
        <f aca="false">IF(I726="","",INDEX(הגדרות!$A$2:$A$21,MOD(I726+הגדרות!$E$9,הגדרות!$E$6)+1))</f>
        <v/>
      </c>
    </row>
    <row r="727" customFormat="false" ht="15" hidden="false" customHeight="false" outlineLevel="0" collapsed="false">
      <c r="A727" s="0" t="str">
        <f aca="false">IF('הדבקת לידים'!A727="","",IF(ISNUMBER('הדבקת לידים'!A727),IF(הגדרות!$E$2&gt;0,TEXT('הדבקת לידים'!A727,REPT("0",הגדרות!$E$2)),TEXT('הדבקת לידים'!A727,"0")),TRIM('הדבקת לידים'!A727)))</f>
        <v/>
      </c>
      <c r="B727" s="0" t="str">
        <f aca="false">IF('הדבקת לידים'!B727="","",IF(ISNUMBER('הדבקת לידים'!B727),IF(הגדרות!$E$3&gt;0,TEXT('הדבקת לידים'!B727,REPT("0",הגדרות!$E$3)),TEXT('הדבקת לידים'!B727,"0")),TRIM('הדבקת לידים'!B727)))</f>
        <v/>
      </c>
      <c r="C727" s="0" t="n">
        <f aca="false">IF(OR(A727&lt;&gt;"",B727&lt;&gt;""),1,0)</f>
        <v>0</v>
      </c>
      <c r="D727" s="0" t="str">
        <f aca="false">IF(C727=1,MOD(ABS(SIN(ROW()*12.9898+'הדבקת לידים'!$F$2*78.233+IFERROR(--RIGHT(A727,6),LEN(A727))*0.0137+IFERROR(--RIGHT(B727,6),LEN(B727))*0.0071))*43758.5453,1),"")</f>
        <v/>
      </c>
      <c r="E727" s="0" t="str">
        <f aca="false">IF(C727=1,INT(MOD(ABS(SIN(D727*7919.123+ROW()*0.618+'הדבקת לידים'!$F$2*1.3))*43758.5453,1)*1000000)*10000+ROW(),"")</f>
        <v/>
      </c>
      <c r="F727" s="0" t="str">
        <f aca="false">IF(E727="","",RANK(E727,$E$2:$E$5001,1))</f>
        <v/>
      </c>
      <c r="G727" s="0" t="n">
        <f aca="false">IF(A727="",0,IF(SUMPRODUCT(--($A$2:$A$5001=A727))&gt;1,1,0))</f>
        <v>0</v>
      </c>
      <c r="H727" s="0" t="n">
        <f aca="false">ROW()-1</f>
        <v>726</v>
      </c>
      <c r="I727" s="0" t="str">
        <f aca="false">IF(OR(הגדרות!$E$6=0,H727&gt;הגדרות!$E$5),"",IF(H727-1&lt;הגדרות!$E$8*(הגדרות!$E$7+1),INT((H727-1)/(הגדרות!$E$7+1)),הגדרות!$E$8+INT((H727-1-הגדרות!$E$8*(הגדרות!$E$7+1))/הגדרות!$E$7)))</f>
        <v/>
      </c>
      <c r="J727" s="0" t="str">
        <f aca="false">IF(I727="","",IF(H727-1&lt;הגדרות!$E$8*(הגדרות!$E$7+1),MOD(H727-1,הגדרות!$E$7+1),MOD(H727-1-הגדרות!$E$8*(הגדרות!$E$7+1),הגדרות!$E$7)))</f>
        <v/>
      </c>
      <c r="K727" s="0" t="str">
        <f aca="false">IF(I727="","",J727*הגדרות!$E$6+I727+1)</f>
        <v/>
      </c>
      <c r="L727" s="0" t="str">
        <f aca="false">IF(K727="","",MATCH(K727,$F$2:$F$5001,0))</f>
        <v/>
      </c>
      <c r="M727" s="0" t="str">
        <f aca="false">IF(I727="","",INDEX(הגדרות!$A$2:$A$21,MOD(I727+הגדרות!$E$9,הגדרות!$E$6)+1))</f>
        <v/>
      </c>
    </row>
    <row r="728" customFormat="false" ht="15" hidden="false" customHeight="false" outlineLevel="0" collapsed="false">
      <c r="A728" s="0" t="str">
        <f aca="false">IF('הדבקת לידים'!A728="","",IF(ISNUMBER('הדבקת לידים'!A728),IF(הגדרות!$E$2&gt;0,TEXT('הדבקת לידים'!A728,REPT("0",הגדרות!$E$2)),TEXT('הדבקת לידים'!A728,"0")),TRIM('הדבקת לידים'!A728)))</f>
        <v/>
      </c>
      <c r="B728" s="0" t="str">
        <f aca="false">IF('הדבקת לידים'!B728="","",IF(ISNUMBER('הדבקת לידים'!B728),IF(הגדרות!$E$3&gt;0,TEXT('הדבקת לידים'!B728,REPT("0",הגדרות!$E$3)),TEXT('הדבקת לידים'!B728,"0")),TRIM('הדבקת לידים'!B728)))</f>
        <v/>
      </c>
      <c r="C728" s="0" t="n">
        <f aca="false">IF(OR(A728&lt;&gt;"",B728&lt;&gt;""),1,0)</f>
        <v>0</v>
      </c>
      <c r="D728" s="0" t="str">
        <f aca="false">IF(C728=1,MOD(ABS(SIN(ROW()*12.9898+'הדבקת לידים'!$F$2*78.233+IFERROR(--RIGHT(A728,6),LEN(A728))*0.0137+IFERROR(--RIGHT(B728,6),LEN(B728))*0.0071))*43758.5453,1),"")</f>
        <v/>
      </c>
      <c r="E728" s="0" t="str">
        <f aca="false">IF(C728=1,INT(MOD(ABS(SIN(D728*7919.123+ROW()*0.618+'הדבקת לידים'!$F$2*1.3))*43758.5453,1)*1000000)*10000+ROW(),"")</f>
        <v/>
      </c>
      <c r="F728" s="0" t="str">
        <f aca="false">IF(E728="","",RANK(E728,$E$2:$E$5001,1))</f>
        <v/>
      </c>
      <c r="G728" s="0" t="n">
        <f aca="false">IF(A728="",0,IF(SUMPRODUCT(--($A$2:$A$5001=A728))&gt;1,1,0))</f>
        <v>0</v>
      </c>
      <c r="H728" s="0" t="n">
        <f aca="false">ROW()-1</f>
        <v>727</v>
      </c>
      <c r="I728" s="0" t="str">
        <f aca="false">IF(OR(הגדרות!$E$6=0,H728&gt;הגדרות!$E$5),"",IF(H728-1&lt;הגדרות!$E$8*(הגדרות!$E$7+1),INT((H728-1)/(הגדרות!$E$7+1)),הגדרות!$E$8+INT((H728-1-הגדרות!$E$8*(הגדרות!$E$7+1))/הגדרות!$E$7)))</f>
        <v/>
      </c>
      <c r="J728" s="0" t="str">
        <f aca="false">IF(I728="","",IF(H728-1&lt;הגדרות!$E$8*(הגדרות!$E$7+1),MOD(H728-1,הגדרות!$E$7+1),MOD(H728-1-הגדרות!$E$8*(הגדרות!$E$7+1),הגדרות!$E$7)))</f>
        <v/>
      </c>
      <c r="K728" s="0" t="str">
        <f aca="false">IF(I728="","",J728*הגדרות!$E$6+I728+1)</f>
        <v/>
      </c>
      <c r="L728" s="0" t="str">
        <f aca="false">IF(K728="","",MATCH(K728,$F$2:$F$5001,0))</f>
        <v/>
      </c>
      <c r="M728" s="0" t="str">
        <f aca="false">IF(I728="","",INDEX(הגדרות!$A$2:$A$21,MOD(I728+הגדרות!$E$9,הגדרות!$E$6)+1))</f>
        <v/>
      </c>
    </row>
    <row r="729" customFormat="false" ht="15" hidden="false" customHeight="false" outlineLevel="0" collapsed="false">
      <c r="A729" s="0" t="str">
        <f aca="false">IF('הדבקת לידים'!A729="","",IF(ISNUMBER('הדבקת לידים'!A729),IF(הגדרות!$E$2&gt;0,TEXT('הדבקת לידים'!A729,REPT("0",הגדרות!$E$2)),TEXT('הדבקת לידים'!A729,"0")),TRIM('הדבקת לידים'!A729)))</f>
        <v/>
      </c>
      <c r="B729" s="0" t="str">
        <f aca="false">IF('הדבקת לידים'!B729="","",IF(ISNUMBER('הדבקת לידים'!B729),IF(הגדרות!$E$3&gt;0,TEXT('הדבקת לידים'!B729,REPT("0",הגדרות!$E$3)),TEXT('הדבקת לידים'!B729,"0")),TRIM('הדבקת לידים'!B729)))</f>
        <v/>
      </c>
      <c r="C729" s="0" t="n">
        <f aca="false">IF(OR(A729&lt;&gt;"",B729&lt;&gt;""),1,0)</f>
        <v>0</v>
      </c>
      <c r="D729" s="0" t="str">
        <f aca="false">IF(C729=1,MOD(ABS(SIN(ROW()*12.9898+'הדבקת לידים'!$F$2*78.233+IFERROR(--RIGHT(A729,6),LEN(A729))*0.0137+IFERROR(--RIGHT(B729,6),LEN(B729))*0.0071))*43758.5453,1),"")</f>
        <v/>
      </c>
      <c r="E729" s="0" t="str">
        <f aca="false">IF(C729=1,INT(MOD(ABS(SIN(D729*7919.123+ROW()*0.618+'הדבקת לידים'!$F$2*1.3))*43758.5453,1)*1000000)*10000+ROW(),"")</f>
        <v/>
      </c>
      <c r="F729" s="0" t="str">
        <f aca="false">IF(E729="","",RANK(E729,$E$2:$E$5001,1))</f>
        <v/>
      </c>
      <c r="G729" s="0" t="n">
        <f aca="false">IF(A729="",0,IF(SUMPRODUCT(--($A$2:$A$5001=A729))&gt;1,1,0))</f>
        <v>0</v>
      </c>
      <c r="H729" s="0" t="n">
        <f aca="false">ROW()-1</f>
        <v>728</v>
      </c>
      <c r="I729" s="0" t="str">
        <f aca="false">IF(OR(הגדרות!$E$6=0,H729&gt;הגדרות!$E$5),"",IF(H729-1&lt;הגדרות!$E$8*(הגדרות!$E$7+1),INT((H729-1)/(הגדרות!$E$7+1)),הגדרות!$E$8+INT((H729-1-הגדרות!$E$8*(הגדרות!$E$7+1))/הגדרות!$E$7)))</f>
        <v/>
      </c>
      <c r="J729" s="0" t="str">
        <f aca="false">IF(I729="","",IF(H729-1&lt;הגדרות!$E$8*(הגדרות!$E$7+1),MOD(H729-1,הגדרות!$E$7+1),MOD(H729-1-הגדרות!$E$8*(הגדרות!$E$7+1),הגדרות!$E$7)))</f>
        <v/>
      </c>
      <c r="K729" s="0" t="str">
        <f aca="false">IF(I729="","",J729*הגדרות!$E$6+I729+1)</f>
        <v/>
      </c>
      <c r="L729" s="0" t="str">
        <f aca="false">IF(K729="","",MATCH(K729,$F$2:$F$5001,0))</f>
        <v/>
      </c>
      <c r="M729" s="0" t="str">
        <f aca="false">IF(I729="","",INDEX(הגדרות!$A$2:$A$21,MOD(I729+הגדרות!$E$9,הגדרות!$E$6)+1))</f>
        <v/>
      </c>
    </row>
    <row r="730" customFormat="false" ht="15" hidden="false" customHeight="false" outlineLevel="0" collapsed="false">
      <c r="A730" s="0" t="str">
        <f aca="false">IF('הדבקת לידים'!A730="","",IF(ISNUMBER('הדבקת לידים'!A730),IF(הגדרות!$E$2&gt;0,TEXT('הדבקת לידים'!A730,REPT("0",הגדרות!$E$2)),TEXT('הדבקת לידים'!A730,"0")),TRIM('הדבקת לידים'!A730)))</f>
        <v/>
      </c>
      <c r="B730" s="0" t="str">
        <f aca="false">IF('הדבקת לידים'!B730="","",IF(ISNUMBER('הדבקת לידים'!B730),IF(הגדרות!$E$3&gt;0,TEXT('הדבקת לידים'!B730,REPT("0",הגדרות!$E$3)),TEXT('הדבקת לידים'!B730,"0")),TRIM('הדבקת לידים'!B730)))</f>
        <v/>
      </c>
      <c r="C730" s="0" t="n">
        <f aca="false">IF(OR(A730&lt;&gt;"",B730&lt;&gt;""),1,0)</f>
        <v>0</v>
      </c>
      <c r="D730" s="0" t="str">
        <f aca="false">IF(C730=1,MOD(ABS(SIN(ROW()*12.9898+'הדבקת לידים'!$F$2*78.233+IFERROR(--RIGHT(A730,6),LEN(A730))*0.0137+IFERROR(--RIGHT(B730,6),LEN(B730))*0.0071))*43758.5453,1),"")</f>
        <v/>
      </c>
      <c r="E730" s="0" t="str">
        <f aca="false">IF(C730=1,INT(MOD(ABS(SIN(D730*7919.123+ROW()*0.618+'הדבקת לידים'!$F$2*1.3))*43758.5453,1)*1000000)*10000+ROW(),"")</f>
        <v/>
      </c>
      <c r="F730" s="0" t="str">
        <f aca="false">IF(E730="","",RANK(E730,$E$2:$E$5001,1))</f>
        <v/>
      </c>
      <c r="G730" s="0" t="n">
        <f aca="false">IF(A730="",0,IF(SUMPRODUCT(--($A$2:$A$5001=A730))&gt;1,1,0))</f>
        <v>0</v>
      </c>
      <c r="H730" s="0" t="n">
        <f aca="false">ROW()-1</f>
        <v>729</v>
      </c>
      <c r="I730" s="0" t="str">
        <f aca="false">IF(OR(הגדרות!$E$6=0,H730&gt;הגדרות!$E$5),"",IF(H730-1&lt;הגדרות!$E$8*(הגדרות!$E$7+1),INT((H730-1)/(הגדרות!$E$7+1)),הגדרות!$E$8+INT((H730-1-הגדרות!$E$8*(הגדרות!$E$7+1))/הגדרות!$E$7)))</f>
        <v/>
      </c>
      <c r="J730" s="0" t="str">
        <f aca="false">IF(I730="","",IF(H730-1&lt;הגדרות!$E$8*(הגדרות!$E$7+1),MOD(H730-1,הגדרות!$E$7+1),MOD(H730-1-הגדרות!$E$8*(הגדרות!$E$7+1),הגדרות!$E$7)))</f>
        <v/>
      </c>
      <c r="K730" s="0" t="str">
        <f aca="false">IF(I730="","",J730*הגדרות!$E$6+I730+1)</f>
        <v/>
      </c>
      <c r="L730" s="0" t="str">
        <f aca="false">IF(K730="","",MATCH(K730,$F$2:$F$5001,0))</f>
        <v/>
      </c>
      <c r="M730" s="0" t="str">
        <f aca="false">IF(I730="","",INDEX(הגדרות!$A$2:$A$21,MOD(I730+הגדרות!$E$9,הגדרות!$E$6)+1))</f>
        <v/>
      </c>
    </row>
    <row r="731" customFormat="false" ht="15" hidden="false" customHeight="false" outlineLevel="0" collapsed="false">
      <c r="A731" s="0" t="str">
        <f aca="false">IF('הדבקת לידים'!A731="","",IF(ISNUMBER('הדבקת לידים'!A731),IF(הגדרות!$E$2&gt;0,TEXT('הדבקת לידים'!A731,REPT("0",הגדרות!$E$2)),TEXT('הדבקת לידים'!A731,"0")),TRIM('הדבקת לידים'!A731)))</f>
        <v/>
      </c>
      <c r="B731" s="0" t="str">
        <f aca="false">IF('הדבקת לידים'!B731="","",IF(ISNUMBER('הדבקת לידים'!B731),IF(הגדרות!$E$3&gt;0,TEXT('הדבקת לידים'!B731,REPT("0",הגדרות!$E$3)),TEXT('הדבקת לידים'!B731,"0")),TRIM('הדבקת לידים'!B731)))</f>
        <v/>
      </c>
      <c r="C731" s="0" t="n">
        <f aca="false">IF(OR(A731&lt;&gt;"",B731&lt;&gt;""),1,0)</f>
        <v>0</v>
      </c>
      <c r="D731" s="0" t="str">
        <f aca="false">IF(C731=1,MOD(ABS(SIN(ROW()*12.9898+'הדבקת לידים'!$F$2*78.233+IFERROR(--RIGHT(A731,6),LEN(A731))*0.0137+IFERROR(--RIGHT(B731,6),LEN(B731))*0.0071))*43758.5453,1),"")</f>
        <v/>
      </c>
      <c r="E731" s="0" t="str">
        <f aca="false">IF(C731=1,INT(MOD(ABS(SIN(D731*7919.123+ROW()*0.618+'הדבקת לידים'!$F$2*1.3))*43758.5453,1)*1000000)*10000+ROW(),"")</f>
        <v/>
      </c>
      <c r="F731" s="0" t="str">
        <f aca="false">IF(E731="","",RANK(E731,$E$2:$E$5001,1))</f>
        <v/>
      </c>
      <c r="G731" s="0" t="n">
        <f aca="false">IF(A731="",0,IF(SUMPRODUCT(--($A$2:$A$5001=A731))&gt;1,1,0))</f>
        <v>0</v>
      </c>
      <c r="H731" s="0" t="n">
        <f aca="false">ROW()-1</f>
        <v>730</v>
      </c>
      <c r="I731" s="0" t="str">
        <f aca="false">IF(OR(הגדרות!$E$6=0,H731&gt;הגדרות!$E$5),"",IF(H731-1&lt;הגדרות!$E$8*(הגדרות!$E$7+1),INT((H731-1)/(הגדרות!$E$7+1)),הגדרות!$E$8+INT((H731-1-הגדרות!$E$8*(הגדרות!$E$7+1))/הגדרות!$E$7)))</f>
        <v/>
      </c>
      <c r="J731" s="0" t="str">
        <f aca="false">IF(I731="","",IF(H731-1&lt;הגדרות!$E$8*(הגדרות!$E$7+1),MOD(H731-1,הגדרות!$E$7+1),MOD(H731-1-הגדרות!$E$8*(הגדרות!$E$7+1),הגדרות!$E$7)))</f>
        <v/>
      </c>
      <c r="K731" s="0" t="str">
        <f aca="false">IF(I731="","",J731*הגדרות!$E$6+I731+1)</f>
        <v/>
      </c>
      <c r="L731" s="0" t="str">
        <f aca="false">IF(K731="","",MATCH(K731,$F$2:$F$5001,0))</f>
        <v/>
      </c>
      <c r="M731" s="0" t="str">
        <f aca="false">IF(I731="","",INDEX(הגדרות!$A$2:$A$21,MOD(I731+הגדרות!$E$9,הגדרות!$E$6)+1))</f>
        <v/>
      </c>
    </row>
    <row r="732" customFormat="false" ht="15" hidden="false" customHeight="false" outlineLevel="0" collapsed="false">
      <c r="A732" s="0" t="str">
        <f aca="false">IF('הדבקת לידים'!A732="","",IF(ISNUMBER('הדבקת לידים'!A732),IF(הגדרות!$E$2&gt;0,TEXT('הדבקת לידים'!A732,REPT("0",הגדרות!$E$2)),TEXT('הדבקת לידים'!A732,"0")),TRIM('הדבקת לידים'!A732)))</f>
        <v/>
      </c>
      <c r="B732" s="0" t="str">
        <f aca="false">IF('הדבקת לידים'!B732="","",IF(ISNUMBER('הדבקת לידים'!B732),IF(הגדרות!$E$3&gt;0,TEXT('הדבקת לידים'!B732,REPT("0",הגדרות!$E$3)),TEXT('הדבקת לידים'!B732,"0")),TRIM('הדבקת לידים'!B732)))</f>
        <v/>
      </c>
      <c r="C732" s="0" t="n">
        <f aca="false">IF(OR(A732&lt;&gt;"",B732&lt;&gt;""),1,0)</f>
        <v>0</v>
      </c>
      <c r="D732" s="0" t="str">
        <f aca="false">IF(C732=1,MOD(ABS(SIN(ROW()*12.9898+'הדבקת לידים'!$F$2*78.233+IFERROR(--RIGHT(A732,6),LEN(A732))*0.0137+IFERROR(--RIGHT(B732,6),LEN(B732))*0.0071))*43758.5453,1),"")</f>
        <v/>
      </c>
      <c r="E732" s="0" t="str">
        <f aca="false">IF(C732=1,INT(MOD(ABS(SIN(D732*7919.123+ROW()*0.618+'הדבקת לידים'!$F$2*1.3))*43758.5453,1)*1000000)*10000+ROW(),"")</f>
        <v/>
      </c>
      <c r="F732" s="0" t="str">
        <f aca="false">IF(E732="","",RANK(E732,$E$2:$E$5001,1))</f>
        <v/>
      </c>
      <c r="G732" s="0" t="n">
        <f aca="false">IF(A732="",0,IF(SUMPRODUCT(--($A$2:$A$5001=A732))&gt;1,1,0))</f>
        <v>0</v>
      </c>
      <c r="H732" s="0" t="n">
        <f aca="false">ROW()-1</f>
        <v>731</v>
      </c>
      <c r="I732" s="0" t="str">
        <f aca="false">IF(OR(הגדרות!$E$6=0,H732&gt;הגדרות!$E$5),"",IF(H732-1&lt;הגדרות!$E$8*(הגדרות!$E$7+1),INT((H732-1)/(הגדרות!$E$7+1)),הגדרות!$E$8+INT((H732-1-הגדרות!$E$8*(הגדרות!$E$7+1))/הגדרות!$E$7)))</f>
        <v/>
      </c>
      <c r="J732" s="0" t="str">
        <f aca="false">IF(I732="","",IF(H732-1&lt;הגדרות!$E$8*(הגדרות!$E$7+1),MOD(H732-1,הגדרות!$E$7+1),MOD(H732-1-הגדרות!$E$8*(הגדרות!$E$7+1),הגדרות!$E$7)))</f>
        <v/>
      </c>
      <c r="K732" s="0" t="str">
        <f aca="false">IF(I732="","",J732*הגדרות!$E$6+I732+1)</f>
        <v/>
      </c>
      <c r="L732" s="0" t="str">
        <f aca="false">IF(K732="","",MATCH(K732,$F$2:$F$5001,0))</f>
        <v/>
      </c>
      <c r="M732" s="0" t="str">
        <f aca="false">IF(I732="","",INDEX(הגדרות!$A$2:$A$21,MOD(I732+הגדרות!$E$9,הגדרות!$E$6)+1))</f>
        <v/>
      </c>
    </row>
    <row r="733" customFormat="false" ht="15" hidden="false" customHeight="false" outlineLevel="0" collapsed="false">
      <c r="A733" s="0" t="str">
        <f aca="false">IF('הדבקת לידים'!A733="","",IF(ISNUMBER('הדבקת לידים'!A733),IF(הגדרות!$E$2&gt;0,TEXT('הדבקת לידים'!A733,REPT("0",הגדרות!$E$2)),TEXT('הדבקת לידים'!A733,"0")),TRIM('הדבקת לידים'!A733)))</f>
        <v/>
      </c>
      <c r="B733" s="0" t="str">
        <f aca="false">IF('הדבקת לידים'!B733="","",IF(ISNUMBER('הדבקת לידים'!B733),IF(הגדרות!$E$3&gt;0,TEXT('הדבקת לידים'!B733,REPT("0",הגדרות!$E$3)),TEXT('הדבקת לידים'!B733,"0")),TRIM('הדבקת לידים'!B733)))</f>
        <v/>
      </c>
      <c r="C733" s="0" t="n">
        <f aca="false">IF(OR(A733&lt;&gt;"",B733&lt;&gt;""),1,0)</f>
        <v>0</v>
      </c>
      <c r="D733" s="0" t="str">
        <f aca="false">IF(C733=1,MOD(ABS(SIN(ROW()*12.9898+'הדבקת לידים'!$F$2*78.233+IFERROR(--RIGHT(A733,6),LEN(A733))*0.0137+IFERROR(--RIGHT(B733,6),LEN(B733))*0.0071))*43758.5453,1),"")</f>
        <v/>
      </c>
      <c r="E733" s="0" t="str">
        <f aca="false">IF(C733=1,INT(MOD(ABS(SIN(D733*7919.123+ROW()*0.618+'הדבקת לידים'!$F$2*1.3))*43758.5453,1)*1000000)*10000+ROW(),"")</f>
        <v/>
      </c>
      <c r="F733" s="0" t="str">
        <f aca="false">IF(E733="","",RANK(E733,$E$2:$E$5001,1))</f>
        <v/>
      </c>
      <c r="G733" s="0" t="n">
        <f aca="false">IF(A733="",0,IF(SUMPRODUCT(--($A$2:$A$5001=A733))&gt;1,1,0))</f>
        <v>0</v>
      </c>
      <c r="H733" s="0" t="n">
        <f aca="false">ROW()-1</f>
        <v>732</v>
      </c>
      <c r="I733" s="0" t="str">
        <f aca="false">IF(OR(הגדרות!$E$6=0,H733&gt;הגדרות!$E$5),"",IF(H733-1&lt;הגדרות!$E$8*(הגדרות!$E$7+1),INT((H733-1)/(הגדרות!$E$7+1)),הגדרות!$E$8+INT((H733-1-הגדרות!$E$8*(הגדרות!$E$7+1))/הגדרות!$E$7)))</f>
        <v/>
      </c>
      <c r="J733" s="0" t="str">
        <f aca="false">IF(I733="","",IF(H733-1&lt;הגדרות!$E$8*(הגדרות!$E$7+1),MOD(H733-1,הגדרות!$E$7+1),MOD(H733-1-הגדרות!$E$8*(הגדרות!$E$7+1),הגדרות!$E$7)))</f>
        <v/>
      </c>
      <c r="K733" s="0" t="str">
        <f aca="false">IF(I733="","",J733*הגדרות!$E$6+I733+1)</f>
        <v/>
      </c>
      <c r="L733" s="0" t="str">
        <f aca="false">IF(K733="","",MATCH(K733,$F$2:$F$5001,0))</f>
        <v/>
      </c>
      <c r="M733" s="0" t="str">
        <f aca="false">IF(I733="","",INDEX(הגדרות!$A$2:$A$21,MOD(I733+הגדרות!$E$9,הגדרות!$E$6)+1))</f>
        <v/>
      </c>
    </row>
    <row r="734" customFormat="false" ht="15" hidden="false" customHeight="false" outlineLevel="0" collapsed="false">
      <c r="A734" s="0" t="str">
        <f aca="false">IF('הדבקת לידים'!A734="","",IF(ISNUMBER('הדבקת לידים'!A734),IF(הגדרות!$E$2&gt;0,TEXT('הדבקת לידים'!A734,REPT("0",הגדרות!$E$2)),TEXT('הדבקת לידים'!A734,"0")),TRIM('הדבקת לידים'!A734)))</f>
        <v/>
      </c>
      <c r="B734" s="0" t="str">
        <f aca="false">IF('הדבקת לידים'!B734="","",IF(ISNUMBER('הדבקת לידים'!B734),IF(הגדרות!$E$3&gt;0,TEXT('הדבקת לידים'!B734,REPT("0",הגדרות!$E$3)),TEXT('הדבקת לידים'!B734,"0")),TRIM('הדבקת לידים'!B734)))</f>
        <v/>
      </c>
      <c r="C734" s="0" t="n">
        <f aca="false">IF(OR(A734&lt;&gt;"",B734&lt;&gt;""),1,0)</f>
        <v>0</v>
      </c>
      <c r="D734" s="0" t="str">
        <f aca="false">IF(C734=1,MOD(ABS(SIN(ROW()*12.9898+'הדבקת לידים'!$F$2*78.233+IFERROR(--RIGHT(A734,6),LEN(A734))*0.0137+IFERROR(--RIGHT(B734,6),LEN(B734))*0.0071))*43758.5453,1),"")</f>
        <v/>
      </c>
      <c r="E734" s="0" t="str">
        <f aca="false">IF(C734=1,INT(MOD(ABS(SIN(D734*7919.123+ROW()*0.618+'הדבקת לידים'!$F$2*1.3))*43758.5453,1)*1000000)*10000+ROW(),"")</f>
        <v/>
      </c>
      <c r="F734" s="0" t="str">
        <f aca="false">IF(E734="","",RANK(E734,$E$2:$E$5001,1))</f>
        <v/>
      </c>
      <c r="G734" s="0" t="n">
        <f aca="false">IF(A734="",0,IF(SUMPRODUCT(--($A$2:$A$5001=A734))&gt;1,1,0))</f>
        <v>0</v>
      </c>
      <c r="H734" s="0" t="n">
        <f aca="false">ROW()-1</f>
        <v>733</v>
      </c>
      <c r="I734" s="0" t="str">
        <f aca="false">IF(OR(הגדרות!$E$6=0,H734&gt;הגדרות!$E$5),"",IF(H734-1&lt;הגדרות!$E$8*(הגדרות!$E$7+1),INT((H734-1)/(הגדרות!$E$7+1)),הגדרות!$E$8+INT((H734-1-הגדרות!$E$8*(הגדרות!$E$7+1))/הגדרות!$E$7)))</f>
        <v/>
      </c>
      <c r="J734" s="0" t="str">
        <f aca="false">IF(I734="","",IF(H734-1&lt;הגדרות!$E$8*(הגדרות!$E$7+1),MOD(H734-1,הגדרות!$E$7+1),MOD(H734-1-הגדרות!$E$8*(הגדרות!$E$7+1),הגדרות!$E$7)))</f>
        <v/>
      </c>
      <c r="K734" s="0" t="str">
        <f aca="false">IF(I734="","",J734*הגדרות!$E$6+I734+1)</f>
        <v/>
      </c>
      <c r="L734" s="0" t="str">
        <f aca="false">IF(K734="","",MATCH(K734,$F$2:$F$5001,0))</f>
        <v/>
      </c>
      <c r="M734" s="0" t="str">
        <f aca="false">IF(I734="","",INDEX(הגדרות!$A$2:$A$21,MOD(I734+הגדרות!$E$9,הגדרות!$E$6)+1))</f>
        <v/>
      </c>
    </row>
    <row r="735" customFormat="false" ht="15" hidden="false" customHeight="false" outlineLevel="0" collapsed="false">
      <c r="A735" s="0" t="str">
        <f aca="false">IF('הדבקת לידים'!A735="","",IF(ISNUMBER('הדבקת לידים'!A735),IF(הגדרות!$E$2&gt;0,TEXT('הדבקת לידים'!A735,REPT("0",הגדרות!$E$2)),TEXT('הדבקת לידים'!A735,"0")),TRIM('הדבקת לידים'!A735)))</f>
        <v/>
      </c>
      <c r="B735" s="0" t="str">
        <f aca="false">IF('הדבקת לידים'!B735="","",IF(ISNUMBER('הדבקת לידים'!B735),IF(הגדרות!$E$3&gt;0,TEXT('הדבקת לידים'!B735,REPT("0",הגדרות!$E$3)),TEXT('הדבקת לידים'!B735,"0")),TRIM('הדבקת לידים'!B735)))</f>
        <v/>
      </c>
      <c r="C735" s="0" t="n">
        <f aca="false">IF(OR(A735&lt;&gt;"",B735&lt;&gt;""),1,0)</f>
        <v>0</v>
      </c>
      <c r="D735" s="0" t="str">
        <f aca="false">IF(C735=1,MOD(ABS(SIN(ROW()*12.9898+'הדבקת לידים'!$F$2*78.233+IFERROR(--RIGHT(A735,6),LEN(A735))*0.0137+IFERROR(--RIGHT(B735,6),LEN(B735))*0.0071))*43758.5453,1),"")</f>
        <v/>
      </c>
      <c r="E735" s="0" t="str">
        <f aca="false">IF(C735=1,INT(MOD(ABS(SIN(D735*7919.123+ROW()*0.618+'הדבקת לידים'!$F$2*1.3))*43758.5453,1)*1000000)*10000+ROW(),"")</f>
        <v/>
      </c>
      <c r="F735" s="0" t="str">
        <f aca="false">IF(E735="","",RANK(E735,$E$2:$E$5001,1))</f>
        <v/>
      </c>
      <c r="G735" s="0" t="n">
        <f aca="false">IF(A735="",0,IF(SUMPRODUCT(--($A$2:$A$5001=A735))&gt;1,1,0))</f>
        <v>0</v>
      </c>
      <c r="H735" s="0" t="n">
        <f aca="false">ROW()-1</f>
        <v>734</v>
      </c>
      <c r="I735" s="0" t="str">
        <f aca="false">IF(OR(הגדרות!$E$6=0,H735&gt;הגדרות!$E$5),"",IF(H735-1&lt;הגדרות!$E$8*(הגדרות!$E$7+1),INT((H735-1)/(הגדרות!$E$7+1)),הגדרות!$E$8+INT((H735-1-הגדרות!$E$8*(הגדרות!$E$7+1))/הגדרות!$E$7)))</f>
        <v/>
      </c>
      <c r="J735" s="0" t="str">
        <f aca="false">IF(I735="","",IF(H735-1&lt;הגדרות!$E$8*(הגדרות!$E$7+1),MOD(H735-1,הגדרות!$E$7+1),MOD(H735-1-הגדרות!$E$8*(הגדרות!$E$7+1),הגדרות!$E$7)))</f>
        <v/>
      </c>
      <c r="K735" s="0" t="str">
        <f aca="false">IF(I735="","",J735*הגדרות!$E$6+I735+1)</f>
        <v/>
      </c>
      <c r="L735" s="0" t="str">
        <f aca="false">IF(K735="","",MATCH(K735,$F$2:$F$5001,0))</f>
        <v/>
      </c>
      <c r="M735" s="0" t="str">
        <f aca="false">IF(I735="","",INDEX(הגדרות!$A$2:$A$21,MOD(I735+הגדרות!$E$9,הגדרות!$E$6)+1))</f>
        <v/>
      </c>
    </row>
    <row r="736" customFormat="false" ht="15" hidden="false" customHeight="false" outlineLevel="0" collapsed="false">
      <c r="A736" s="0" t="str">
        <f aca="false">IF('הדבקת לידים'!A736="","",IF(ISNUMBER('הדבקת לידים'!A736),IF(הגדרות!$E$2&gt;0,TEXT('הדבקת לידים'!A736,REPT("0",הגדרות!$E$2)),TEXT('הדבקת לידים'!A736,"0")),TRIM('הדבקת לידים'!A736)))</f>
        <v/>
      </c>
      <c r="B736" s="0" t="str">
        <f aca="false">IF('הדבקת לידים'!B736="","",IF(ISNUMBER('הדבקת לידים'!B736),IF(הגדרות!$E$3&gt;0,TEXT('הדבקת לידים'!B736,REPT("0",הגדרות!$E$3)),TEXT('הדבקת לידים'!B736,"0")),TRIM('הדבקת לידים'!B736)))</f>
        <v/>
      </c>
      <c r="C736" s="0" t="n">
        <f aca="false">IF(OR(A736&lt;&gt;"",B736&lt;&gt;""),1,0)</f>
        <v>0</v>
      </c>
      <c r="D736" s="0" t="str">
        <f aca="false">IF(C736=1,MOD(ABS(SIN(ROW()*12.9898+'הדבקת לידים'!$F$2*78.233+IFERROR(--RIGHT(A736,6),LEN(A736))*0.0137+IFERROR(--RIGHT(B736,6),LEN(B736))*0.0071))*43758.5453,1),"")</f>
        <v/>
      </c>
      <c r="E736" s="0" t="str">
        <f aca="false">IF(C736=1,INT(MOD(ABS(SIN(D736*7919.123+ROW()*0.618+'הדבקת לידים'!$F$2*1.3))*43758.5453,1)*1000000)*10000+ROW(),"")</f>
        <v/>
      </c>
      <c r="F736" s="0" t="str">
        <f aca="false">IF(E736="","",RANK(E736,$E$2:$E$5001,1))</f>
        <v/>
      </c>
      <c r="G736" s="0" t="n">
        <f aca="false">IF(A736="",0,IF(SUMPRODUCT(--($A$2:$A$5001=A736))&gt;1,1,0))</f>
        <v>0</v>
      </c>
      <c r="H736" s="0" t="n">
        <f aca="false">ROW()-1</f>
        <v>735</v>
      </c>
      <c r="I736" s="0" t="str">
        <f aca="false">IF(OR(הגדרות!$E$6=0,H736&gt;הגדרות!$E$5),"",IF(H736-1&lt;הגדרות!$E$8*(הגדרות!$E$7+1),INT((H736-1)/(הגדרות!$E$7+1)),הגדרות!$E$8+INT((H736-1-הגדרות!$E$8*(הגדרות!$E$7+1))/הגדרות!$E$7)))</f>
        <v/>
      </c>
      <c r="J736" s="0" t="str">
        <f aca="false">IF(I736="","",IF(H736-1&lt;הגדרות!$E$8*(הגדרות!$E$7+1),MOD(H736-1,הגדרות!$E$7+1),MOD(H736-1-הגדרות!$E$8*(הגדרות!$E$7+1),הגדרות!$E$7)))</f>
        <v/>
      </c>
      <c r="K736" s="0" t="str">
        <f aca="false">IF(I736="","",J736*הגדרות!$E$6+I736+1)</f>
        <v/>
      </c>
      <c r="L736" s="0" t="str">
        <f aca="false">IF(K736="","",MATCH(K736,$F$2:$F$5001,0))</f>
        <v/>
      </c>
      <c r="M736" s="0" t="str">
        <f aca="false">IF(I736="","",INDEX(הגדרות!$A$2:$A$21,MOD(I736+הגדרות!$E$9,הגדרות!$E$6)+1))</f>
        <v/>
      </c>
    </row>
    <row r="737" customFormat="false" ht="15" hidden="false" customHeight="false" outlineLevel="0" collapsed="false">
      <c r="A737" s="0" t="str">
        <f aca="false">IF('הדבקת לידים'!A737="","",IF(ISNUMBER('הדבקת לידים'!A737),IF(הגדרות!$E$2&gt;0,TEXT('הדבקת לידים'!A737,REPT("0",הגדרות!$E$2)),TEXT('הדבקת לידים'!A737,"0")),TRIM('הדבקת לידים'!A737)))</f>
        <v/>
      </c>
      <c r="B737" s="0" t="str">
        <f aca="false">IF('הדבקת לידים'!B737="","",IF(ISNUMBER('הדבקת לידים'!B737),IF(הגדרות!$E$3&gt;0,TEXT('הדבקת לידים'!B737,REPT("0",הגדרות!$E$3)),TEXT('הדבקת לידים'!B737,"0")),TRIM('הדבקת לידים'!B737)))</f>
        <v/>
      </c>
      <c r="C737" s="0" t="n">
        <f aca="false">IF(OR(A737&lt;&gt;"",B737&lt;&gt;""),1,0)</f>
        <v>0</v>
      </c>
      <c r="D737" s="0" t="str">
        <f aca="false">IF(C737=1,MOD(ABS(SIN(ROW()*12.9898+'הדבקת לידים'!$F$2*78.233+IFERROR(--RIGHT(A737,6),LEN(A737))*0.0137+IFERROR(--RIGHT(B737,6),LEN(B737))*0.0071))*43758.5453,1),"")</f>
        <v/>
      </c>
      <c r="E737" s="0" t="str">
        <f aca="false">IF(C737=1,INT(MOD(ABS(SIN(D737*7919.123+ROW()*0.618+'הדבקת לידים'!$F$2*1.3))*43758.5453,1)*1000000)*10000+ROW(),"")</f>
        <v/>
      </c>
      <c r="F737" s="0" t="str">
        <f aca="false">IF(E737="","",RANK(E737,$E$2:$E$5001,1))</f>
        <v/>
      </c>
      <c r="G737" s="0" t="n">
        <f aca="false">IF(A737="",0,IF(SUMPRODUCT(--($A$2:$A$5001=A737))&gt;1,1,0))</f>
        <v>0</v>
      </c>
      <c r="H737" s="0" t="n">
        <f aca="false">ROW()-1</f>
        <v>736</v>
      </c>
      <c r="I737" s="0" t="str">
        <f aca="false">IF(OR(הגדרות!$E$6=0,H737&gt;הגדרות!$E$5),"",IF(H737-1&lt;הגדרות!$E$8*(הגדרות!$E$7+1),INT((H737-1)/(הגדרות!$E$7+1)),הגדרות!$E$8+INT((H737-1-הגדרות!$E$8*(הגדרות!$E$7+1))/הגדרות!$E$7)))</f>
        <v/>
      </c>
      <c r="J737" s="0" t="str">
        <f aca="false">IF(I737="","",IF(H737-1&lt;הגדרות!$E$8*(הגדרות!$E$7+1),MOD(H737-1,הגדרות!$E$7+1),MOD(H737-1-הגדרות!$E$8*(הגדרות!$E$7+1),הגדרות!$E$7)))</f>
        <v/>
      </c>
      <c r="K737" s="0" t="str">
        <f aca="false">IF(I737="","",J737*הגדרות!$E$6+I737+1)</f>
        <v/>
      </c>
      <c r="L737" s="0" t="str">
        <f aca="false">IF(K737="","",MATCH(K737,$F$2:$F$5001,0))</f>
        <v/>
      </c>
      <c r="M737" s="0" t="str">
        <f aca="false">IF(I737="","",INDEX(הגדרות!$A$2:$A$21,MOD(I737+הגדרות!$E$9,הגדרות!$E$6)+1))</f>
        <v/>
      </c>
    </row>
    <row r="738" customFormat="false" ht="15" hidden="false" customHeight="false" outlineLevel="0" collapsed="false">
      <c r="A738" s="0" t="str">
        <f aca="false">IF('הדבקת לידים'!A738="","",IF(ISNUMBER('הדבקת לידים'!A738),IF(הגדרות!$E$2&gt;0,TEXT('הדבקת לידים'!A738,REPT("0",הגדרות!$E$2)),TEXT('הדבקת לידים'!A738,"0")),TRIM('הדבקת לידים'!A738)))</f>
        <v/>
      </c>
      <c r="B738" s="0" t="str">
        <f aca="false">IF('הדבקת לידים'!B738="","",IF(ISNUMBER('הדבקת לידים'!B738),IF(הגדרות!$E$3&gt;0,TEXT('הדבקת לידים'!B738,REPT("0",הגדרות!$E$3)),TEXT('הדבקת לידים'!B738,"0")),TRIM('הדבקת לידים'!B738)))</f>
        <v/>
      </c>
      <c r="C738" s="0" t="n">
        <f aca="false">IF(OR(A738&lt;&gt;"",B738&lt;&gt;""),1,0)</f>
        <v>0</v>
      </c>
      <c r="D738" s="0" t="str">
        <f aca="false">IF(C738=1,MOD(ABS(SIN(ROW()*12.9898+'הדבקת לידים'!$F$2*78.233+IFERROR(--RIGHT(A738,6),LEN(A738))*0.0137+IFERROR(--RIGHT(B738,6),LEN(B738))*0.0071))*43758.5453,1),"")</f>
        <v/>
      </c>
      <c r="E738" s="0" t="str">
        <f aca="false">IF(C738=1,INT(MOD(ABS(SIN(D738*7919.123+ROW()*0.618+'הדבקת לידים'!$F$2*1.3))*43758.5453,1)*1000000)*10000+ROW(),"")</f>
        <v/>
      </c>
      <c r="F738" s="0" t="str">
        <f aca="false">IF(E738="","",RANK(E738,$E$2:$E$5001,1))</f>
        <v/>
      </c>
      <c r="G738" s="0" t="n">
        <f aca="false">IF(A738="",0,IF(SUMPRODUCT(--($A$2:$A$5001=A738))&gt;1,1,0))</f>
        <v>0</v>
      </c>
      <c r="H738" s="0" t="n">
        <f aca="false">ROW()-1</f>
        <v>737</v>
      </c>
      <c r="I738" s="0" t="str">
        <f aca="false">IF(OR(הגדרות!$E$6=0,H738&gt;הגדרות!$E$5),"",IF(H738-1&lt;הגדרות!$E$8*(הגדרות!$E$7+1),INT((H738-1)/(הגדרות!$E$7+1)),הגדרות!$E$8+INT((H738-1-הגדרות!$E$8*(הגדרות!$E$7+1))/הגדרות!$E$7)))</f>
        <v/>
      </c>
      <c r="J738" s="0" t="str">
        <f aca="false">IF(I738="","",IF(H738-1&lt;הגדרות!$E$8*(הגדרות!$E$7+1),MOD(H738-1,הגדרות!$E$7+1),MOD(H738-1-הגדרות!$E$8*(הגדרות!$E$7+1),הגדרות!$E$7)))</f>
        <v/>
      </c>
      <c r="K738" s="0" t="str">
        <f aca="false">IF(I738="","",J738*הגדרות!$E$6+I738+1)</f>
        <v/>
      </c>
      <c r="L738" s="0" t="str">
        <f aca="false">IF(K738="","",MATCH(K738,$F$2:$F$5001,0))</f>
        <v/>
      </c>
      <c r="M738" s="0" t="str">
        <f aca="false">IF(I738="","",INDEX(הגדרות!$A$2:$A$21,MOD(I738+הגדרות!$E$9,הגדרות!$E$6)+1))</f>
        <v/>
      </c>
    </row>
    <row r="739" customFormat="false" ht="15" hidden="false" customHeight="false" outlineLevel="0" collapsed="false">
      <c r="A739" s="0" t="str">
        <f aca="false">IF('הדבקת לידים'!A739="","",IF(ISNUMBER('הדבקת לידים'!A739),IF(הגדרות!$E$2&gt;0,TEXT('הדבקת לידים'!A739,REPT("0",הגדרות!$E$2)),TEXT('הדבקת לידים'!A739,"0")),TRIM('הדבקת לידים'!A739)))</f>
        <v/>
      </c>
      <c r="B739" s="0" t="str">
        <f aca="false">IF('הדבקת לידים'!B739="","",IF(ISNUMBER('הדבקת לידים'!B739),IF(הגדרות!$E$3&gt;0,TEXT('הדבקת לידים'!B739,REPT("0",הגדרות!$E$3)),TEXT('הדבקת לידים'!B739,"0")),TRIM('הדבקת לידים'!B739)))</f>
        <v/>
      </c>
      <c r="C739" s="0" t="n">
        <f aca="false">IF(OR(A739&lt;&gt;"",B739&lt;&gt;""),1,0)</f>
        <v>0</v>
      </c>
      <c r="D739" s="0" t="str">
        <f aca="false">IF(C739=1,MOD(ABS(SIN(ROW()*12.9898+'הדבקת לידים'!$F$2*78.233+IFERROR(--RIGHT(A739,6),LEN(A739))*0.0137+IFERROR(--RIGHT(B739,6),LEN(B739))*0.0071))*43758.5453,1),"")</f>
        <v/>
      </c>
      <c r="E739" s="0" t="str">
        <f aca="false">IF(C739=1,INT(MOD(ABS(SIN(D739*7919.123+ROW()*0.618+'הדבקת לידים'!$F$2*1.3))*43758.5453,1)*1000000)*10000+ROW(),"")</f>
        <v/>
      </c>
      <c r="F739" s="0" t="str">
        <f aca="false">IF(E739="","",RANK(E739,$E$2:$E$5001,1))</f>
        <v/>
      </c>
      <c r="G739" s="0" t="n">
        <f aca="false">IF(A739="",0,IF(SUMPRODUCT(--($A$2:$A$5001=A739))&gt;1,1,0))</f>
        <v>0</v>
      </c>
      <c r="H739" s="0" t="n">
        <f aca="false">ROW()-1</f>
        <v>738</v>
      </c>
      <c r="I739" s="0" t="str">
        <f aca="false">IF(OR(הגדרות!$E$6=0,H739&gt;הגדרות!$E$5),"",IF(H739-1&lt;הגדרות!$E$8*(הגדרות!$E$7+1),INT((H739-1)/(הגדרות!$E$7+1)),הגדרות!$E$8+INT((H739-1-הגדרות!$E$8*(הגדרות!$E$7+1))/הגדרות!$E$7)))</f>
        <v/>
      </c>
      <c r="J739" s="0" t="str">
        <f aca="false">IF(I739="","",IF(H739-1&lt;הגדרות!$E$8*(הגדרות!$E$7+1),MOD(H739-1,הגדרות!$E$7+1),MOD(H739-1-הגדרות!$E$8*(הגדרות!$E$7+1),הגדרות!$E$7)))</f>
        <v/>
      </c>
      <c r="K739" s="0" t="str">
        <f aca="false">IF(I739="","",J739*הגדרות!$E$6+I739+1)</f>
        <v/>
      </c>
      <c r="L739" s="0" t="str">
        <f aca="false">IF(K739="","",MATCH(K739,$F$2:$F$5001,0))</f>
        <v/>
      </c>
      <c r="M739" s="0" t="str">
        <f aca="false">IF(I739="","",INDEX(הגדרות!$A$2:$A$21,MOD(I739+הגדרות!$E$9,הגדרות!$E$6)+1))</f>
        <v/>
      </c>
    </row>
    <row r="740" customFormat="false" ht="15" hidden="false" customHeight="false" outlineLevel="0" collapsed="false">
      <c r="A740" s="0" t="str">
        <f aca="false">IF('הדבקת לידים'!A740="","",IF(ISNUMBER('הדבקת לידים'!A740),IF(הגדרות!$E$2&gt;0,TEXT('הדבקת לידים'!A740,REPT("0",הגדרות!$E$2)),TEXT('הדבקת לידים'!A740,"0")),TRIM('הדבקת לידים'!A740)))</f>
        <v/>
      </c>
      <c r="B740" s="0" t="str">
        <f aca="false">IF('הדבקת לידים'!B740="","",IF(ISNUMBER('הדבקת לידים'!B740),IF(הגדרות!$E$3&gt;0,TEXT('הדבקת לידים'!B740,REPT("0",הגדרות!$E$3)),TEXT('הדבקת לידים'!B740,"0")),TRIM('הדבקת לידים'!B740)))</f>
        <v/>
      </c>
      <c r="C740" s="0" t="n">
        <f aca="false">IF(OR(A740&lt;&gt;"",B740&lt;&gt;""),1,0)</f>
        <v>0</v>
      </c>
      <c r="D740" s="0" t="str">
        <f aca="false">IF(C740=1,MOD(ABS(SIN(ROW()*12.9898+'הדבקת לידים'!$F$2*78.233+IFERROR(--RIGHT(A740,6),LEN(A740))*0.0137+IFERROR(--RIGHT(B740,6),LEN(B740))*0.0071))*43758.5453,1),"")</f>
        <v/>
      </c>
      <c r="E740" s="0" t="str">
        <f aca="false">IF(C740=1,INT(MOD(ABS(SIN(D740*7919.123+ROW()*0.618+'הדבקת לידים'!$F$2*1.3))*43758.5453,1)*1000000)*10000+ROW(),"")</f>
        <v/>
      </c>
      <c r="F740" s="0" t="str">
        <f aca="false">IF(E740="","",RANK(E740,$E$2:$E$5001,1))</f>
        <v/>
      </c>
      <c r="G740" s="0" t="n">
        <f aca="false">IF(A740="",0,IF(SUMPRODUCT(--($A$2:$A$5001=A740))&gt;1,1,0))</f>
        <v>0</v>
      </c>
      <c r="H740" s="0" t="n">
        <f aca="false">ROW()-1</f>
        <v>739</v>
      </c>
      <c r="I740" s="0" t="str">
        <f aca="false">IF(OR(הגדרות!$E$6=0,H740&gt;הגדרות!$E$5),"",IF(H740-1&lt;הגדרות!$E$8*(הגדרות!$E$7+1),INT((H740-1)/(הגדרות!$E$7+1)),הגדרות!$E$8+INT((H740-1-הגדרות!$E$8*(הגדרות!$E$7+1))/הגדרות!$E$7)))</f>
        <v/>
      </c>
      <c r="J740" s="0" t="str">
        <f aca="false">IF(I740="","",IF(H740-1&lt;הגדרות!$E$8*(הגדרות!$E$7+1),MOD(H740-1,הגדרות!$E$7+1),MOD(H740-1-הגדרות!$E$8*(הגדרות!$E$7+1),הגדרות!$E$7)))</f>
        <v/>
      </c>
      <c r="K740" s="0" t="str">
        <f aca="false">IF(I740="","",J740*הגדרות!$E$6+I740+1)</f>
        <v/>
      </c>
      <c r="L740" s="0" t="str">
        <f aca="false">IF(K740="","",MATCH(K740,$F$2:$F$5001,0))</f>
        <v/>
      </c>
      <c r="M740" s="0" t="str">
        <f aca="false">IF(I740="","",INDEX(הגדרות!$A$2:$A$21,MOD(I740+הגדרות!$E$9,הגדרות!$E$6)+1))</f>
        <v/>
      </c>
    </row>
    <row r="741" customFormat="false" ht="15" hidden="false" customHeight="false" outlineLevel="0" collapsed="false">
      <c r="A741" s="0" t="str">
        <f aca="false">IF('הדבקת לידים'!A741="","",IF(ISNUMBER('הדבקת לידים'!A741),IF(הגדרות!$E$2&gt;0,TEXT('הדבקת לידים'!A741,REPT("0",הגדרות!$E$2)),TEXT('הדבקת לידים'!A741,"0")),TRIM('הדבקת לידים'!A741)))</f>
        <v/>
      </c>
      <c r="B741" s="0" t="str">
        <f aca="false">IF('הדבקת לידים'!B741="","",IF(ISNUMBER('הדבקת לידים'!B741),IF(הגדרות!$E$3&gt;0,TEXT('הדבקת לידים'!B741,REPT("0",הגדרות!$E$3)),TEXT('הדבקת לידים'!B741,"0")),TRIM('הדבקת לידים'!B741)))</f>
        <v/>
      </c>
      <c r="C741" s="0" t="n">
        <f aca="false">IF(OR(A741&lt;&gt;"",B741&lt;&gt;""),1,0)</f>
        <v>0</v>
      </c>
      <c r="D741" s="0" t="str">
        <f aca="false">IF(C741=1,MOD(ABS(SIN(ROW()*12.9898+'הדבקת לידים'!$F$2*78.233+IFERROR(--RIGHT(A741,6),LEN(A741))*0.0137+IFERROR(--RIGHT(B741,6),LEN(B741))*0.0071))*43758.5453,1),"")</f>
        <v/>
      </c>
      <c r="E741" s="0" t="str">
        <f aca="false">IF(C741=1,INT(MOD(ABS(SIN(D741*7919.123+ROW()*0.618+'הדבקת לידים'!$F$2*1.3))*43758.5453,1)*1000000)*10000+ROW(),"")</f>
        <v/>
      </c>
      <c r="F741" s="0" t="str">
        <f aca="false">IF(E741="","",RANK(E741,$E$2:$E$5001,1))</f>
        <v/>
      </c>
      <c r="G741" s="0" t="n">
        <f aca="false">IF(A741="",0,IF(SUMPRODUCT(--($A$2:$A$5001=A741))&gt;1,1,0))</f>
        <v>0</v>
      </c>
      <c r="H741" s="0" t="n">
        <f aca="false">ROW()-1</f>
        <v>740</v>
      </c>
      <c r="I741" s="0" t="str">
        <f aca="false">IF(OR(הגדרות!$E$6=0,H741&gt;הגדרות!$E$5),"",IF(H741-1&lt;הגדרות!$E$8*(הגדרות!$E$7+1),INT((H741-1)/(הגדרות!$E$7+1)),הגדרות!$E$8+INT((H741-1-הגדרות!$E$8*(הגדרות!$E$7+1))/הגדרות!$E$7)))</f>
        <v/>
      </c>
      <c r="J741" s="0" t="str">
        <f aca="false">IF(I741="","",IF(H741-1&lt;הגדרות!$E$8*(הגדרות!$E$7+1),MOD(H741-1,הגדרות!$E$7+1),MOD(H741-1-הגדרות!$E$8*(הגדרות!$E$7+1),הגדרות!$E$7)))</f>
        <v/>
      </c>
      <c r="K741" s="0" t="str">
        <f aca="false">IF(I741="","",J741*הגדרות!$E$6+I741+1)</f>
        <v/>
      </c>
      <c r="L741" s="0" t="str">
        <f aca="false">IF(K741="","",MATCH(K741,$F$2:$F$5001,0))</f>
        <v/>
      </c>
      <c r="M741" s="0" t="str">
        <f aca="false">IF(I741="","",INDEX(הגדרות!$A$2:$A$21,MOD(I741+הגדרות!$E$9,הגדרות!$E$6)+1))</f>
        <v/>
      </c>
    </row>
    <row r="742" customFormat="false" ht="15" hidden="false" customHeight="false" outlineLevel="0" collapsed="false">
      <c r="A742" s="0" t="str">
        <f aca="false">IF('הדבקת לידים'!A742="","",IF(ISNUMBER('הדבקת לידים'!A742),IF(הגדרות!$E$2&gt;0,TEXT('הדבקת לידים'!A742,REPT("0",הגדרות!$E$2)),TEXT('הדבקת לידים'!A742,"0")),TRIM('הדבקת לידים'!A742)))</f>
        <v/>
      </c>
      <c r="B742" s="0" t="str">
        <f aca="false">IF('הדבקת לידים'!B742="","",IF(ISNUMBER('הדבקת לידים'!B742),IF(הגדרות!$E$3&gt;0,TEXT('הדבקת לידים'!B742,REPT("0",הגדרות!$E$3)),TEXT('הדבקת לידים'!B742,"0")),TRIM('הדבקת לידים'!B742)))</f>
        <v/>
      </c>
      <c r="C742" s="0" t="n">
        <f aca="false">IF(OR(A742&lt;&gt;"",B742&lt;&gt;""),1,0)</f>
        <v>0</v>
      </c>
      <c r="D742" s="0" t="str">
        <f aca="false">IF(C742=1,MOD(ABS(SIN(ROW()*12.9898+'הדבקת לידים'!$F$2*78.233+IFERROR(--RIGHT(A742,6),LEN(A742))*0.0137+IFERROR(--RIGHT(B742,6),LEN(B742))*0.0071))*43758.5453,1),"")</f>
        <v/>
      </c>
      <c r="E742" s="0" t="str">
        <f aca="false">IF(C742=1,INT(MOD(ABS(SIN(D742*7919.123+ROW()*0.618+'הדבקת לידים'!$F$2*1.3))*43758.5453,1)*1000000)*10000+ROW(),"")</f>
        <v/>
      </c>
      <c r="F742" s="0" t="str">
        <f aca="false">IF(E742="","",RANK(E742,$E$2:$E$5001,1))</f>
        <v/>
      </c>
      <c r="G742" s="0" t="n">
        <f aca="false">IF(A742="",0,IF(SUMPRODUCT(--($A$2:$A$5001=A742))&gt;1,1,0))</f>
        <v>0</v>
      </c>
      <c r="H742" s="0" t="n">
        <f aca="false">ROW()-1</f>
        <v>741</v>
      </c>
      <c r="I742" s="0" t="str">
        <f aca="false">IF(OR(הגדרות!$E$6=0,H742&gt;הגדרות!$E$5),"",IF(H742-1&lt;הגדרות!$E$8*(הגדרות!$E$7+1),INT((H742-1)/(הגדרות!$E$7+1)),הגדרות!$E$8+INT((H742-1-הגדרות!$E$8*(הגדרות!$E$7+1))/הגדרות!$E$7)))</f>
        <v/>
      </c>
      <c r="J742" s="0" t="str">
        <f aca="false">IF(I742="","",IF(H742-1&lt;הגדרות!$E$8*(הגדרות!$E$7+1),MOD(H742-1,הגדרות!$E$7+1),MOD(H742-1-הגדרות!$E$8*(הגדרות!$E$7+1),הגדרות!$E$7)))</f>
        <v/>
      </c>
      <c r="K742" s="0" t="str">
        <f aca="false">IF(I742="","",J742*הגדרות!$E$6+I742+1)</f>
        <v/>
      </c>
      <c r="L742" s="0" t="str">
        <f aca="false">IF(K742="","",MATCH(K742,$F$2:$F$5001,0))</f>
        <v/>
      </c>
      <c r="M742" s="0" t="str">
        <f aca="false">IF(I742="","",INDEX(הגדרות!$A$2:$A$21,MOD(I742+הגדרות!$E$9,הגדרות!$E$6)+1))</f>
        <v/>
      </c>
    </row>
    <row r="743" customFormat="false" ht="15" hidden="false" customHeight="false" outlineLevel="0" collapsed="false">
      <c r="A743" s="0" t="str">
        <f aca="false">IF('הדבקת לידים'!A743="","",IF(ISNUMBER('הדבקת לידים'!A743),IF(הגדרות!$E$2&gt;0,TEXT('הדבקת לידים'!A743,REPT("0",הגדרות!$E$2)),TEXT('הדבקת לידים'!A743,"0")),TRIM('הדבקת לידים'!A743)))</f>
        <v/>
      </c>
      <c r="B743" s="0" t="str">
        <f aca="false">IF('הדבקת לידים'!B743="","",IF(ISNUMBER('הדבקת לידים'!B743),IF(הגדרות!$E$3&gt;0,TEXT('הדבקת לידים'!B743,REPT("0",הגדרות!$E$3)),TEXT('הדבקת לידים'!B743,"0")),TRIM('הדבקת לידים'!B743)))</f>
        <v/>
      </c>
      <c r="C743" s="0" t="n">
        <f aca="false">IF(OR(A743&lt;&gt;"",B743&lt;&gt;""),1,0)</f>
        <v>0</v>
      </c>
      <c r="D743" s="0" t="str">
        <f aca="false">IF(C743=1,MOD(ABS(SIN(ROW()*12.9898+'הדבקת לידים'!$F$2*78.233+IFERROR(--RIGHT(A743,6),LEN(A743))*0.0137+IFERROR(--RIGHT(B743,6),LEN(B743))*0.0071))*43758.5453,1),"")</f>
        <v/>
      </c>
      <c r="E743" s="0" t="str">
        <f aca="false">IF(C743=1,INT(MOD(ABS(SIN(D743*7919.123+ROW()*0.618+'הדבקת לידים'!$F$2*1.3))*43758.5453,1)*1000000)*10000+ROW(),"")</f>
        <v/>
      </c>
      <c r="F743" s="0" t="str">
        <f aca="false">IF(E743="","",RANK(E743,$E$2:$E$5001,1))</f>
        <v/>
      </c>
      <c r="G743" s="0" t="n">
        <f aca="false">IF(A743="",0,IF(SUMPRODUCT(--($A$2:$A$5001=A743))&gt;1,1,0))</f>
        <v>0</v>
      </c>
      <c r="H743" s="0" t="n">
        <f aca="false">ROW()-1</f>
        <v>742</v>
      </c>
      <c r="I743" s="0" t="str">
        <f aca="false">IF(OR(הגדרות!$E$6=0,H743&gt;הגדרות!$E$5),"",IF(H743-1&lt;הגדרות!$E$8*(הגדרות!$E$7+1),INT((H743-1)/(הגדרות!$E$7+1)),הגדרות!$E$8+INT((H743-1-הגדרות!$E$8*(הגדרות!$E$7+1))/הגדרות!$E$7)))</f>
        <v/>
      </c>
      <c r="J743" s="0" t="str">
        <f aca="false">IF(I743="","",IF(H743-1&lt;הגדרות!$E$8*(הגדרות!$E$7+1),MOD(H743-1,הגדרות!$E$7+1),MOD(H743-1-הגדרות!$E$8*(הגדרות!$E$7+1),הגדרות!$E$7)))</f>
        <v/>
      </c>
      <c r="K743" s="0" t="str">
        <f aca="false">IF(I743="","",J743*הגדרות!$E$6+I743+1)</f>
        <v/>
      </c>
      <c r="L743" s="0" t="str">
        <f aca="false">IF(K743="","",MATCH(K743,$F$2:$F$5001,0))</f>
        <v/>
      </c>
      <c r="M743" s="0" t="str">
        <f aca="false">IF(I743="","",INDEX(הגדרות!$A$2:$A$21,MOD(I743+הגדרות!$E$9,הגדרות!$E$6)+1))</f>
        <v/>
      </c>
    </row>
    <row r="744" customFormat="false" ht="15" hidden="false" customHeight="false" outlineLevel="0" collapsed="false">
      <c r="A744" s="0" t="str">
        <f aca="false">IF('הדבקת לידים'!A744="","",IF(ISNUMBER('הדבקת לידים'!A744),IF(הגדרות!$E$2&gt;0,TEXT('הדבקת לידים'!A744,REPT("0",הגדרות!$E$2)),TEXT('הדבקת לידים'!A744,"0")),TRIM('הדבקת לידים'!A744)))</f>
        <v/>
      </c>
      <c r="B744" s="0" t="str">
        <f aca="false">IF('הדבקת לידים'!B744="","",IF(ISNUMBER('הדבקת לידים'!B744),IF(הגדרות!$E$3&gt;0,TEXT('הדבקת לידים'!B744,REPT("0",הגדרות!$E$3)),TEXT('הדבקת לידים'!B744,"0")),TRIM('הדבקת לידים'!B744)))</f>
        <v/>
      </c>
      <c r="C744" s="0" t="n">
        <f aca="false">IF(OR(A744&lt;&gt;"",B744&lt;&gt;""),1,0)</f>
        <v>0</v>
      </c>
      <c r="D744" s="0" t="str">
        <f aca="false">IF(C744=1,MOD(ABS(SIN(ROW()*12.9898+'הדבקת לידים'!$F$2*78.233+IFERROR(--RIGHT(A744,6),LEN(A744))*0.0137+IFERROR(--RIGHT(B744,6),LEN(B744))*0.0071))*43758.5453,1),"")</f>
        <v/>
      </c>
      <c r="E744" s="0" t="str">
        <f aca="false">IF(C744=1,INT(MOD(ABS(SIN(D744*7919.123+ROW()*0.618+'הדבקת לידים'!$F$2*1.3))*43758.5453,1)*1000000)*10000+ROW(),"")</f>
        <v/>
      </c>
      <c r="F744" s="0" t="str">
        <f aca="false">IF(E744="","",RANK(E744,$E$2:$E$5001,1))</f>
        <v/>
      </c>
      <c r="G744" s="0" t="n">
        <f aca="false">IF(A744="",0,IF(SUMPRODUCT(--($A$2:$A$5001=A744))&gt;1,1,0))</f>
        <v>0</v>
      </c>
      <c r="H744" s="0" t="n">
        <f aca="false">ROW()-1</f>
        <v>743</v>
      </c>
      <c r="I744" s="0" t="str">
        <f aca="false">IF(OR(הגדרות!$E$6=0,H744&gt;הגדרות!$E$5),"",IF(H744-1&lt;הגדרות!$E$8*(הגדרות!$E$7+1),INT((H744-1)/(הגדרות!$E$7+1)),הגדרות!$E$8+INT((H744-1-הגדרות!$E$8*(הגדרות!$E$7+1))/הגדרות!$E$7)))</f>
        <v/>
      </c>
      <c r="J744" s="0" t="str">
        <f aca="false">IF(I744="","",IF(H744-1&lt;הגדרות!$E$8*(הגדרות!$E$7+1),MOD(H744-1,הגדרות!$E$7+1),MOD(H744-1-הגדרות!$E$8*(הגדרות!$E$7+1),הגדרות!$E$7)))</f>
        <v/>
      </c>
      <c r="K744" s="0" t="str">
        <f aca="false">IF(I744="","",J744*הגדרות!$E$6+I744+1)</f>
        <v/>
      </c>
      <c r="L744" s="0" t="str">
        <f aca="false">IF(K744="","",MATCH(K744,$F$2:$F$5001,0))</f>
        <v/>
      </c>
      <c r="M744" s="0" t="str">
        <f aca="false">IF(I744="","",INDEX(הגדרות!$A$2:$A$21,MOD(I744+הגדרות!$E$9,הגדרות!$E$6)+1))</f>
        <v/>
      </c>
    </row>
    <row r="745" customFormat="false" ht="15" hidden="false" customHeight="false" outlineLevel="0" collapsed="false">
      <c r="A745" s="0" t="str">
        <f aca="false">IF('הדבקת לידים'!A745="","",IF(ISNUMBER('הדבקת לידים'!A745),IF(הגדרות!$E$2&gt;0,TEXT('הדבקת לידים'!A745,REPT("0",הגדרות!$E$2)),TEXT('הדבקת לידים'!A745,"0")),TRIM('הדבקת לידים'!A745)))</f>
        <v/>
      </c>
      <c r="B745" s="0" t="str">
        <f aca="false">IF('הדבקת לידים'!B745="","",IF(ISNUMBER('הדבקת לידים'!B745),IF(הגדרות!$E$3&gt;0,TEXT('הדבקת לידים'!B745,REPT("0",הגדרות!$E$3)),TEXT('הדבקת לידים'!B745,"0")),TRIM('הדבקת לידים'!B745)))</f>
        <v/>
      </c>
      <c r="C745" s="0" t="n">
        <f aca="false">IF(OR(A745&lt;&gt;"",B745&lt;&gt;""),1,0)</f>
        <v>0</v>
      </c>
      <c r="D745" s="0" t="str">
        <f aca="false">IF(C745=1,MOD(ABS(SIN(ROW()*12.9898+'הדבקת לידים'!$F$2*78.233+IFERROR(--RIGHT(A745,6),LEN(A745))*0.0137+IFERROR(--RIGHT(B745,6),LEN(B745))*0.0071))*43758.5453,1),"")</f>
        <v/>
      </c>
      <c r="E745" s="0" t="str">
        <f aca="false">IF(C745=1,INT(MOD(ABS(SIN(D745*7919.123+ROW()*0.618+'הדבקת לידים'!$F$2*1.3))*43758.5453,1)*1000000)*10000+ROW(),"")</f>
        <v/>
      </c>
      <c r="F745" s="0" t="str">
        <f aca="false">IF(E745="","",RANK(E745,$E$2:$E$5001,1))</f>
        <v/>
      </c>
      <c r="G745" s="0" t="n">
        <f aca="false">IF(A745="",0,IF(SUMPRODUCT(--($A$2:$A$5001=A745))&gt;1,1,0))</f>
        <v>0</v>
      </c>
      <c r="H745" s="0" t="n">
        <f aca="false">ROW()-1</f>
        <v>744</v>
      </c>
      <c r="I745" s="0" t="str">
        <f aca="false">IF(OR(הגדרות!$E$6=0,H745&gt;הגדרות!$E$5),"",IF(H745-1&lt;הגדרות!$E$8*(הגדרות!$E$7+1),INT((H745-1)/(הגדרות!$E$7+1)),הגדרות!$E$8+INT((H745-1-הגדרות!$E$8*(הגדרות!$E$7+1))/הגדרות!$E$7)))</f>
        <v/>
      </c>
      <c r="J745" s="0" t="str">
        <f aca="false">IF(I745="","",IF(H745-1&lt;הגדרות!$E$8*(הגדרות!$E$7+1),MOD(H745-1,הגדרות!$E$7+1),MOD(H745-1-הגדרות!$E$8*(הגדרות!$E$7+1),הגדרות!$E$7)))</f>
        <v/>
      </c>
      <c r="K745" s="0" t="str">
        <f aca="false">IF(I745="","",J745*הגדרות!$E$6+I745+1)</f>
        <v/>
      </c>
      <c r="L745" s="0" t="str">
        <f aca="false">IF(K745="","",MATCH(K745,$F$2:$F$5001,0))</f>
        <v/>
      </c>
      <c r="M745" s="0" t="str">
        <f aca="false">IF(I745="","",INDEX(הגדרות!$A$2:$A$21,MOD(I745+הגדרות!$E$9,הגדרות!$E$6)+1))</f>
        <v/>
      </c>
    </row>
    <row r="746" customFormat="false" ht="15" hidden="false" customHeight="false" outlineLevel="0" collapsed="false">
      <c r="A746" s="0" t="str">
        <f aca="false">IF('הדבקת לידים'!A746="","",IF(ISNUMBER('הדבקת לידים'!A746),IF(הגדרות!$E$2&gt;0,TEXT('הדבקת לידים'!A746,REPT("0",הגדרות!$E$2)),TEXT('הדבקת לידים'!A746,"0")),TRIM('הדבקת לידים'!A746)))</f>
        <v/>
      </c>
      <c r="B746" s="0" t="str">
        <f aca="false">IF('הדבקת לידים'!B746="","",IF(ISNUMBER('הדבקת לידים'!B746),IF(הגדרות!$E$3&gt;0,TEXT('הדבקת לידים'!B746,REPT("0",הגדרות!$E$3)),TEXT('הדבקת לידים'!B746,"0")),TRIM('הדבקת לידים'!B746)))</f>
        <v/>
      </c>
      <c r="C746" s="0" t="n">
        <f aca="false">IF(OR(A746&lt;&gt;"",B746&lt;&gt;""),1,0)</f>
        <v>0</v>
      </c>
      <c r="D746" s="0" t="str">
        <f aca="false">IF(C746=1,MOD(ABS(SIN(ROW()*12.9898+'הדבקת לידים'!$F$2*78.233+IFERROR(--RIGHT(A746,6),LEN(A746))*0.0137+IFERROR(--RIGHT(B746,6),LEN(B746))*0.0071))*43758.5453,1),"")</f>
        <v/>
      </c>
      <c r="E746" s="0" t="str">
        <f aca="false">IF(C746=1,INT(MOD(ABS(SIN(D746*7919.123+ROW()*0.618+'הדבקת לידים'!$F$2*1.3))*43758.5453,1)*1000000)*10000+ROW(),"")</f>
        <v/>
      </c>
      <c r="F746" s="0" t="str">
        <f aca="false">IF(E746="","",RANK(E746,$E$2:$E$5001,1))</f>
        <v/>
      </c>
      <c r="G746" s="0" t="n">
        <f aca="false">IF(A746="",0,IF(SUMPRODUCT(--($A$2:$A$5001=A746))&gt;1,1,0))</f>
        <v>0</v>
      </c>
      <c r="H746" s="0" t="n">
        <f aca="false">ROW()-1</f>
        <v>745</v>
      </c>
      <c r="I746" s="0" t="str">
        <f aca="false">IF(OR(הגדרות!$E$6=0,H746&gt;הגדרות!$E$5),"",IF(H746-1&lt;הגדרות!$E$8*(הגדרות!$E$7+1),INT((H746-1)/(הגדרות!$E$7+1)),הגדרות!$E$8+INT((H746-1-הגדרות!$E$8*(הגדרות!$E$7+1))/הגדרות!$E$7)))</f>
        <v/>
      </c>
      <c r="J746" s="0" t="str">
        <f aca="false">IF(I746="","",IF(H746-1&lt;הגדרות!$E$8*(הגדרות!$E$7+1),MOD(H746-1,הגדרות!$E$7+1),MOD(H746-1-הגדרות!$E$8*(הגדרות!$E$7+1),הגדרות!$E$7)))</f>
        <v/>
      </c>
      <c r="K746" s="0" t="str">
        <f aca="false">IF(I746="","",J746*הגדרות!$E$6+I746+1)</f>
        <v/>
      </c>
      <c r="L746" s="0" t="str">
        <f aca="false">IF(K746="","",MATCH(K746,$F$2:$F$5001,0))</f>
        <v/>
      </c>
      <c r="M746" s="0" t="str">
        <f aca="false">IF(I746="","",INDEX(הגדרות!$A$2:$A$21,MOD(I746+הגדרות!$E$9,הגדרות!$E$6)+1))</f>
        <v/>
      </c>
    </row>
    <row r="747" customFormat="false" ht="15" hidden="false" customHeight="false" outlineLevel="0" collapsed="false">
      <c r="A747" s="0" t="str">
        <f aca="false">IF('הדבקת לידים'!A747="","",IF(ISNUMBER('הדבקת לידים'!A747),IF(הגדרות!$E$2&gt;0,TEXT('הדבקת לידים'!A747,REPT("0",הגדרות!$E$2)),TEXT('הדבקת לידים'!A747,"0")),TRIM('הדבקת לידים'!A747)))</f>
        <v/>
      </c>
      <c r="B747" s="0" t="str">
        <f aca="false">IF('הדבקת לידים'!B747="","",IF(ISNUMBER('הדבקת לידים'!B747),IF(הגדרות!$E$3&gt;0,TEXT('הדבקת לידים'!B747,REPT("0",הגדרות!$E$3)),TEXT('הדבקת לידים'!B747,"0")),TRIM('הדבקת לידים'!B747)))</f>
        <v/>
      </c>
      <c r="C747" s="0" t="n">
        <f aca="false">IF(OR(A747&lt;&gt;"",B747&lt;&gt;""),1,0)</f>
        <v>0</v>
      </c>
      <c r="D747" s="0" t="str">
        <f aca="false">IF(C747=1,MOD(ABS(SIN(ROW()*12.9898+'הדבקת לידים'!$F$2*78.233+IFERROR(--RIGHT(A747,6),LEN(A747))*0.0137+IFERROR(--RIGHT(B747,6),LEN(B747))*0.0071))*43758.5453,1),"")</f>
        <v/>
      </c>
      <c r="E747" s="0" t="str">
        <f aca="false">IF(C747=1,INT(MOD(ABS(SIN(D747*7919.123+ROW()*0.618+'הדבקת לידים'!$F$2*1.3))*43758.5453,1)*1000000)*10000+ROW(),"")</f>
        <v/>
      </c>
      <c r="F747" s="0" t="str">
        <f aca="false">IF(E747="","",RANK(E747,$E$2:$E$5001,1))</f>
        <v/>
      </c>
      <c r="G747" s="0" t="n">
        <f aca="false">IF(A747="",0,IF(SUMPRODUCT(--($A$2:$A$5001=A747))&gt;1,1,0))</f>
        <v>0</v>
      </c>
      <c r="H747" s="0" t="n">
        <f aca="false">ROW()-1</f>
        <v>746</v>
      </c>
      <c r="I747" s="0" t="str">
        <f aca="false">IF(OR(הגדרות!$E$6=0,H747&gt;הגדרות!$E$5),"",IF(H747-1&lt;הגדרות!$E$8*(הגדרות!$E$7+1),INT((H747-1)/(הגדרות!$E$7+1)),הגדרות!$E$8+INT((H747-1-הגדרות!$E$8*(הגדרות!$E$7+1))/הגדרות!$E$7)))</f>
        <v/>
      </c>
      <c r="J747" s="0" t="str">
        <f aca="false">IF(I747="","",IF(H747-1&lt;הגדרות!$E$8*(הגדרות!$E$7+1),MOD(H747-1,הגדרות!$E$7+1),MOD(H747-1-הגדרות!$E$8*(הגדרות!$E$7+1),הגדרות!$E$7)))</f>
        <v/>
      </c>
      <c r="K747" s="0" t="str">
        <f aca="false">IF(I747="","",J747*הגדרות!$E$6+I747+1)</f>
        <v/>
      </c>
      <c r="L747" s="0" t="str">
        <f aca="false">IF(K747="","",MATCH(K747,$F$2:$F$5001,0))</f>
        <v/>
      </c>
      <c r="M747" s="0" t="str">
        <f aca="false">IF(I747="","",INDEX(הגדרות!$A$2:$A$21,MOD(I747+הגדרות!$E$9,הגדרות!$E$6)+1))</f>
        <v/>
      </c>
    </row>
    <row r="748" customFormat="false" ht="15" hidden="false" customHeight="false" outlineLevel="0" collapsed="false">
      <c r="A748" s="0" t="str">
        <f aca="false">IF('הדבקת לידים'!A748="","",IF(ISNUMBER('הדבקת לידים'!A748),IF(הגדרות!$E$2&gt;0,TEXT('הדבקת לידים'!A748,REPT("0",הגדרות!$E$2)),TEXT('הדבקת לידים'!A748,"0")),TRIM('הדבקת לידים'!A748)))</f>
        <v/>
      </c>
      <c r="B748" s="0" t="str">
        <f aca="false">IF('הדבקת לידים'!B748="","",IF(ISNUMBER('הדבקת לידים'!B748),IF(הגדרות!$E$3&gt;0,TEXT('הדבקת לידים'!B748,REPT("0",הגדרות!$E$3)),TEXT('הדבקת לידים'!B748,"0")),TRIM('הדבקת לידים'!B748)))</f>
        <v/>
      </c>
      <c r="C748" s="0" t="n">
        <f aca="false">IF(OR(A748&lt;&gt;"",B748&lt;&gt;""),1,0)</f>
        <v>0</v>
      </c>
      <c r="D748" s="0" t="str">
        <f aca="false">IF(C748=1,MOD(ABS(SIN(ROW()*12.9898+'הדבקת לידים'!$F$2*78.233+IFERROR(--RIGHT(A748,6),LEN(A748))*0.0137+IFERROR(--RIGHT(B748,6),LEN(B748))*0.0071))*43758.5453,1),"")</f>
        <v/>
      </c>
      <c r="E748" s="0" t="str">
        <f aca="false">IF(C748=1,INT(MOD(ABS(SIN(D748*7919.123+ROW()*0.618+'הדבקת לידים'!$F$2*1.3))*43758.5453,1)*1000000)*10000+ROW(),"")</f>
        <v/>
      </c>
      <c r="F748" s="0" t="str">
        <f aca="false">IF(E748="","",RANK(E748,$E$2:$E$5001,1))</f>
        <v/>
      </c>
      <c r="G748" s="0" t="n">
        <f aca="false">IF(A748="",0,IF(SUMPRODUCT(--($A$2:$A$5001=A748))&gt;1,1,0))</f>
        <v>0</v>
      </c>
      <c r="H748" s="0" t="n">
        <f aca="false">ROW()-1</f>
        <v>747</v>
      </c>
      <c r="I748" s="0" t="str">
        <f aca="false">IF(OR(הגדרות!$E$6=0,H748&gt;הגדרות!$E$5),"",IF(H748-1&lt;הגדרות!$E$8*(הגדרות!$E$7+1),INT((H748-1)/(הגדרות!$E$7+1)),הגדרות!$E$8+INT((H748-1-הגדרות!$E$8*(הגדרות!$E$7+1))/הגדרות!$E$7)))</f>
        <v/>
      </c>
      <c r="J748" s="0" t="str">
        <f aca="false">IF(I748="","",IF(H748-1&lt;הגדרות!$E$8*(הגדרות!$E$7+1),MOD(H748-1,הגדרות!$E$7+1),MOD(H748-1-הגדרות!$E$8*(הגדרות!$E$7+1),הגדרות!$E$7)))</f>
        <v/>
      </c>
      <c r="K748" s="0" t="str">
        <f aca="false">IF(I748="","",J748*הגדרות!$E$6+I748+1)</f>
        <v/>
      </c>
      <c r="L748" s="0" t="str">
        <f aca="false">IF(K748="","",MATCH(K748,$F$2:$F$5001,0))</f>
        <v/>
      </c>
      <c r="M748" s="0" t="str">
        <f aca="false">IF(I748="","",INDEX(הגדרות!$A$2:$A$21,MOD(I748+הגדרות!$E$9,הגדרות!$E$6)+1))</f>
        <v/>
      </c>
    </row>
    <row r="749" customFormat="false" ht="15" hidden="false" customHeight="false" outlineLevel="0" collapsed="false">
      <c r="A749" s="0" t="str">
        <f aca="false">IF('הדבקת לידים'!A749="","",IF(ISNUMBER('הדבקת לידים'!A749),IF(הגדרות!$E$2&gt;0,TEXT('הדבקת לידים'!A749,REPT("0",הגדרות!$E$2)),TEXT('הדבקת לידים'!A749,"0")),TRIM('הדבקת לידים'!A749)))</f>
        <v/>
      </c>
      <c r="B749" s="0" t="str">
        <f aca="false">IF('הדבקת לידים'!B749="","",IF(ISNUMBER('הדבקת לידים'!B749),IF(הגדרות!$E$3&gt;0,TEXT('הדבקת לידים'!B749,REPT("0",הגדרות!$E$3)),TEXT('הדבקת לידים'!B749,"0")),TRIM('הדבקת לידים'!B749)))</f>
        <v/>
      </c>
      <c r="C749" s="0" t="n">
        <f aca="false">IF(OR(A749&lt;&gt;"",B749&lt;&gt;""),1,0)</f>
        <v>0</v>
      </c>
      <c r="D749" s="0" t="str">
        <f aca="false">IF(C749=1,MOD(ABS(SIN(ROW()*12.9898+'הדבקת לידים'!$F$2*78.233+IFERROR(--RIGHT(A749,6),LEN(A749))*0.0137+IFERROR(--RIGHT(B749,6),LEN(B749))*0.0071))*43758.5453,1),"")</f>
        <v/>
      </c>
      <c r="E749" s="0" t="str">
        <f aca="false">IF(C749=1,INT(MOD(ABS(SIN(D749*7919.123+ROW()*0.618+'הדבקת לידים'!$F$2*1.3))*43758.5453,1)*1000000)*10000+ROW(),"")</f>
        <v/>
      </c>
      <c r="F749" s="0" t="str">
        <f aca="false">IF(E749="","",RANK(E749,$E$2:$E$5001,1))</f>
        <v/>
      </c>
      <c r="G749" s="0" t="n">
        <f aca="false">IF(A749="",0,IF(SUMPRODUCT(--($A$2:$A$5001=A749))&gt;1,1,0))</f>
        <v>0</v>
      </c>
      <c r="H749" s="0" t="n">
        <f aca="false">ROW()-1</f>
        <v>748</v>
      </c>
      <c r="I749" s="0" t="str">
        <f aca="false">IF(OR(הגדרות!$E$6=0,H749&gt;הגדרות!$E$5),"",IF(H749-1&lt;הגדרות!$E$8*(הגדרות!$E$7+1),INT((H749-1)/(הגדרות!$E$7+1)),הגדרות!$E$8+INT((H749-1-הגדרות!$E$8*(הגדרות!$E$7+1))/הגדרות!$E$7)))</f>
        <v/>
      </c>
      <c r="J749" s="0" t="str">
        <f aca="false">IF(I749="","",IF(H749-1&lt;הגדרות!$E$8*(הגדרות!$E$7+1),MOD(H749-1,הגדרות!$E$7+1),MOD(H749-1-הגדרות!$E$8*(הגדרות!$E$7+1),הגדרות!$E$7)))</f>
        <v/>
      </c>
      <c r="K749" s="0" t="str">
        <f aca="false">IF(I749="","",J749*הגדרות!$E$6+I749+1)</f>
        <v/>
      </c>
      <c r="L749" s="0" t="str">
        <f aca="false">IF(K749="","",MATCH(K749,$F$2:$F$5001,0))</f>
        <v/>
      </c>
      <c r="M749" s="0" t="str">
        <f aca="false">IF(I749="","",INDEX(הגדרות!$A$2:$A$21,MOD(I749+הגדרות!$E$9,הגדרות!$E$6)+1))</f>
        <v/>
      </c>
    </row>
    <row r="750" customFormat="false" ht="15" hidden="false" customHeight="false" outlineLevel="0" collapsed="false">
      <c r="A750" s="0" t="str">
        <f aca="false">IF('הדבקת לידים'!A750="","",IF(ISNUMBER('הדבקת לידים'!A750),IF(הגדרות!$E$2&gt;0,TEXT('הדבקת לידים'!A750,REPT("0",הגדרות!$E$2)),TEXT('הדבקת לידים'!A750,"0")),TRIM('הדבקת לידים'!A750)))</f>
        <v/>
      </c>
      <c r="B750" s="0" t="str">
        <f aca="false">IF('הדבקת לידים'!B750="","",IF(ISNUMBER('הדבקת לידים'!B750),IF(הגדרות!$E$3&gt;0,TEXT('הדבקת לידים'!B750,REPT("0",הגדרות!$E$3)),TEXT('הדבקת לידים'!B750,"0")),TRIM('הדבקת לידים'!B750)))</f>
        <v/>
      </c>
      <c r="C750" s="0" t="n">
        <f aca="false">IF(OR(A750&lt;&gt;"",B750&lt;&gt;""),1,0)</f>
        <v>0</v>
      </c>
      <c r="D750" s="0" t="str">
        <f aca="false">IF(C750=1,MOD(ABS(SIN(ROW()*12.9898+'הדבקת לידים'!$F$2*78.233+IFERROR(--RIGHT(A750,6),LEN(A750))*0.0137+IFERROR(--RIGHT(B750,6),LEN(B750))*0.0071))*43758.5453,1),"")</f>
        <v/>
      </c>
      <c r="E750" s="0" t="str">
        <f aca="false">IF(C750=1,INT(MOD(ABS(SIN(D750*7919.123+ROW()*0.618+'הדבקת לידים'!$F$2*1.3))*43758.5453,1)*1000000)*10000+ROW(),"")</f>
        <v/>
      </c>
      <c r="F750" s="0" t="str">
        <f aca="false">IF(E750="","",RANK(E750,$E$2:$E$5001,1))</f>
        <v/>
      </c>
      <c r="G750" s="0" t="n">
        <f aca="false">IF(A750="",0,IF(SUMPRODUCT(--($A$2:$A$5001=A750))&gt;1,1,0))</f>
        <v>0</v>
      </c>
      <c r="H750" s="0" t="n">
        <f aca="false">ROW()-1</f>
        <v>749</v>
      </c>
      <c r="I750" s="0" t="str">
        <f aca="false">IF(OR(הגדרות!$E$6=0,H750&gt;הגדרות!$E$5),"",IF(H750-1&lt;הגדרות!$E$8*(הגדרות!$E$7+1),INT((H750-1)/(הגדרות!$E$7+1)),הגדרות!$E$8+INT((H750-1-הגדרות!$E$8*(הגדרות!$E$7+1))/הגדרות!$E$7)))</f>
        <v/>
      </c>
      <c r="J750" s="0" t="str">
        <f aca="false">IF(I750="","",IF(H750-1&lt;הגדרות!$E$8*(הגדרות!$E$7+1),MOD(H750-1,הגדרות!$E$7+1),MOD(H750-1-הגדרות!$E$8*(הגדרות!$E$7+1),הגדרות!$E$7)))</f>
        <v/>
      </c>
      <c r="K750" s="0" t="str">
        <f aca="false">IF(I750="","",J750*הגדרות!$E$6+I750+1)</f>
        <v/>
      </c>
      <c r="L750" s="0" t="str">
        <f aca="false">IF(K750="","",MATCH(K750,$F$2:$F$5001,0))</f>
        <v/>
      </c>
      <c r="M750" s="0" t="str">
        <f aca="false">IF(I750="","",INDEX(הגדרות!$A$2:$A$21,MOD(I750+הגדרות!$E$9,הגדרות!$E$6)+1))</f>
        <v/>
      </c>
    </row>
    <row r="751" customFormat="false" ht="15" hidden="false" customHeight="false" outlineLevel="0" collapsed="false">
      <c r="A751" s="0" t="str">
        <f aca="false">IF('הדבקת לידים'!A751="","",IF(ISNUMBER('הדבקת לידים'!A751),IF(הגדרות!$E$2&gt;0,TEXT('הדבקת לידים'!A751,REPT("0",הגדרות!$E$2)),TEXT('הדבקת לידים'!A751,"0")),TRIM('הדבקת לידים'!A751)))</f>
        <v/>
      </c>
      <c r="B751" s="0" t="str">
        <f aca="false">IF('הדבקת לידים'!B751="","",IF(ISNUMBER('הדבקת לידים'!B751),IF(הגדרות!$E$3&gt;0,TEXT('הדבקת לידים'!B751,REPT("0",הגדרות!$E$3)),TEXT('הדבקת לידים'!B751,"0")),TRIM('הדבקת לידים'!B751)))</f>
        <v/>
      </c>
      <c r="C751" s="0" t="n">
        <f aca="false">IF(OR(A751&lt;&gt;"",B751&lt;&gt;""),1,0)</f>
        <v>0</v>
      </c>
      <c r="D751" s="0" t="str">
        <f aca="false">IF(C751=1,MOD(ABS(SIN(ROW()*12.9898+'הדבקת לידים'!$F$2*78.233+IFERROR(--RIGHT(A751,6),LEN(A751))*0.0137+IFERROR(--RIGHT(B751,6),LEN(B751))*0.0071))*43758.5453,1),"")</f>
        <v/>
      </c>
      <c r="E751" s="0" t="str">
        <f aca="false">IF(C751=1,INT(MOD(ABS(SIN(D751*7919.123+ROW()*0.618+'הדבקת לידים'!$F$2*1.3))*43758.5453,1)*1000000)*10000+ROW(),"")</f>
        <v/>
      </c>
      <c r="F751" s="0" t="str">
        <f aca="false">IF(E751="","",RANK(E751,$E$2:$E$5001,1))</f>
        <v/>
      </c>
      <c r="G751" s="0" t="n">
        <f aca="false">IF(A751="",0,IF(SUMPRODUCT(--($A$2:$A$5001=A751))&gt;1,1,0))</f>
        <v>0</v>
      </c>
      <c r="H751" s="0" t="n">
        <f aca="false">ROW()-1</f>
        <v>750</v>
      </c>
      <c r="I751" s="0" t="str">
        <f aca="false">IF(OR(הגדרות!$E$6=0,H751&gt;הגדרות!$E$5),"",IF(H751-1&lt;הגדרות!$E$8*(הגדרות!$E$7+1),INT((H751-1)/(הגדרות!$E$7+1)),הגדרות!$E$8+INT((H751-1-הגדרות!$E$8*(הגדרות!$E$7+1))/הגדרות!$E$7)))</f>
        <v/>
      </c>
      <c r="J751" s="0" t="str">
        <f aca="false">IF(I751="","",IF(H751-1&lt;הגדרות!$E$8*(הגדרות!$E$7+1),MOD(H751-1,הגדרות!$E$7+1),MOD(H751-1-הגדרות!$E$8*(הגדרות!$E$7+1),הגדרות!$E$7)))</f>
        <v/>
      </c>
      <c r="K751" s="0" t="str">
        <f aca="false">IF(I751="","",J751*הגדרות!$E$6+I751+1)</f>
        <v/>
      </c>
      <c r="L751" s="0" t="str">
        <f aca="false">IF(K751="","",MATCH(K751,$F$2:$F$5001,0))</f>
        <v/>
      </c>
      <c r="M751" s="0" t="str">
        <f aca="false">IF(I751="","",INDEX(הגדרות!$A$2:$A$21,MOD(I751+הגדרות!$E$9,הגדרות!$E$6)+1))</f>
        <v/>
      </c>
    </row>
    <row r="752" customFormat="false" ht="15" hidden="false" customHeight="false" outlineLevel="0" collapsed="false">
      <c r="A752" s="0" t="str">
        <f aca="false">IF('הדבקת לידים'!A752="","",IF(ISNUMBER('הדבקת לידים'!A752),IF(הגדרות!$E$2&gt;0,TEXT('הדבקת לידים'!A752,REPT("0",הגדרות!$E$2)),TEXT('הדבקת לידים'!A752,"0")),TRIM('הדבקת לידים'!A752)))</f>
        <v/>
      </c>
      <c r="B752" s="0" t="str">
        <f aca="false">IF('הדבקת לידים'!B752="","",IF(ISNUMBER('הדבקת לידים'!B752),IF(הגדרות!$E$3&gt;0,TEXT('הדבקת לידים'!B752,REPT("0",הגדרות!$E$3)),TEXT('הדבקת לידים'!B752,"0")),TRIM('הדבקת לידים'!B752)))</f>
        <v/>
      </c>
      <c r="C752" s="0" t="n">
        <f aca="false">IF(OR(A752&lt;&gt;"",B752&lt;&gt;""),1,0)</f>
        <v>0</v>
      </c>
      <c r="D752" s="0" t="str">
        <f aca="false">IF(C752=1,MOD(ABS(SIN(ROW()*12.9898+'הדבקת לידים'!$F$2*78.233+IFERROR(--RIGHT(A752,6),LEN(A752))*0.0137+IFERROR(--RIGHT(B752,6),LEN(B752))*0.0071))*43758.5453,1),"")</f>
        <v/>
      </c>
      <c r="E752" s="0" t="str">
        <f aca="false">IF(C752=1,INT(MOD(ABS(SIN(D752*7919.123+ROW()*0.618+'הדבקת לידים'!$F$2*1.3))*43758.5453,1)*1000000)*10000+ROW(),"")</f>
        <v/>
      </c>
      <c r="F752" s="0" t="str">
        <f aca="false">IF(E752="","",RANK(E752,$E$2:$E$5001,1))</f>
        <v/>
      </c>
      <c r="G752" s="0" t="n">
        <f aca="false">IF(A752="",0,IF(SUMPRODUCT(--($A$2:$A$5001=A752))&gt;1,1,0))</f>
        <v>0</v>
      </c>
      <c r="H752" s="0" t="n">
        <f aca="false">ROW()-1</f>
        <v>751</v>
      </c>
      <c r="I752" s="0" t="str">
        <f aca="false">IF(OR(הגדרות!$E$6=0,H752&gt;הגדרות!$E$5),"",IF(H752-1&lt;הגדרות!$E$8*(הגדרות!$E$7+1),INT((H752-1)/(הגדרות!$E$7+1)),הגדרות!$E$8+INT((H752-1-הגדרות!$E$8*(הגדרות!$E$7+1))/הגדרות!$E$7)))</f>
        <v/>
      </c>
      <c r="J752" s="0" t="str">
        <f aca="false">IF(I752="","",IF(H752-1&lt;הגדרות!$E$8*(הגדרות!$E$7+1),MOD(H752-1,הגדרות!$E$7+1),MOD(H752-1-הגדרות!$E$8*(הגדרות!$E$7+1),הגדרות!$E$7)))</f>
        <v/>
      </c>
      <c r="K752" s="0" t="str">
        <f aca="false">IF(I752="","",J752*הגדרות!$E$6+I752+1)</f>
        <v/>
      </c>
      <c r="L752" s="0" t="str">
        <f aca="false">IF(K752="","",MATCH(K752,$F$2:$F$5001,0))</f>
        <v/>
      </c>
      <c r="M752" s="0" t="str">
        <f aca="false">IF(I752="","",INDEX(הגדרות!$A$2:$A$21,MOD(I752+הגדרות!$E$9,הגדרות!$E$6)+1))</f>
        <v/>
      </c>
    </row>
    <row r="753" customFormat="false" ht="15" hidden="false" customHeight="false" outlineLevel="0" collapsed="false">
      <c r="A753" s="0" t="str">
        <f aca="false">IF('הדבקת לידים'!A753="","",IF(ISNUMBER('הדבקת לידים'!A753),IF(הגדרות!$E$2&gt;0,TEXT('הדבקת לידים'!A753,REPT("0",הגדרות!$E$2)),TEXT('הדבקת לידים'!A753,"0")),TRIM('הדבקת לידים'!A753)))</f>
        <v/>
      </c>
      <c r="B753" s="0" t="str">
        <f aca="false">IF('הדבקת לידים'!B753="","",IF(ISNUMBER('הדבקת לידים'!B753),IF(הגדרות!$E$3&gt;0,TEXT('הדבקת לידים'!B753,REPT("0",הגדרות!$E$3)),TEXT('הדבקת לידים'!B753,"0")),TRIM('הדבקת לידים'!B753)))</f>
        <v/>
      </c>
      <c r="C753" s="0" t="n">
        <f aca="false">IF(OR(A753&lt;&gt;"",B753&lt;&gt;""),1,0)</f>
        <v>0</v>
      </c>
      <c r="D753" s="0" t="str">
        <f aca="false">IF(C753=1,MOD(ABS(SIN(ROW()*12.9898+'הדבקת לידים'!$F$2*78.233+IFERROR(--RIGHT(A753,6),LEN(A753))*0.0137+IFERROR(--RIGHT(B753,6),LEN(B753))*0.0071))*43758.5453,1),"")</f>
        <v/>
      </c>
      <c r="E753" s="0" t="str">
        <f aca="false">IF(C753=1,INT(MOD(ABS(SIN(D753*7919.123+ROW()*0.618+'הדבקת לידים'!$F$2*1.3))*43758.5453,1)*1000000)*10000+ROW(),"")</f>
        <v/>
      </c>
      <c r="F753" s="0" t="str">
        <f aca="false">IF(E753="","",RANK(E753,$E$2:$E$5001,1))</f>
        <v/>
      </c>
      <c r="G753" s="0" t="n">
        <f aca="false">IF(A753="",0,IF(SUMPRODUCT(--($A$2:$A$5001=A753))&gt;1,1,0))</f>
        <v>0</v>
      </c>
      <c r="H753" s="0" t="n">
        <f aca="false">ROW()-1</f>
        <v>752</v>
      </c>
      <c r="I753" s="0" t="str">
        <f aca="false">IF(OR(הגדרות!$E$6=0,H753&gt;הגדרות!$E$5),"",IF(H753-1&lt;הגדרות!$E$8*(הגדרות!$E$7+1),INT((H753-1)/(הגדרות!$E$7+1)),הגדרות!$E$8+INT((H753-1-הגדרות!$E$8*(הגדרות!$E$7+1))/הגדרות!$E$7)))</f>
        <v/>
      </c>
      <c r="J753" s="0" t="str">
        <f aca="false">IF(I753="","",IF(H753-1&lt;הגדרות!$E$8*(הגדרות!$E$7+1),MOD(H753-1,הגדרות!$E$7+1),MOD(H753-1-הגדרות!$E$8*(הגדרות!$E$7+1),הגדרות!$E$7)))</f>
        <v/>
      </c>
      <c r="K753" s="0" t="str">
        <f aca="false">IF(I753="","",J753*הגדרות!$E$6+I753+1)</f>
        <v/>
      </c>
      <c r="L753" s="0" t="str">
        <f aca="false">IF(K753="","",MATCH(K753,$F$2:$F$5001,0))</f>
        <v/>
      </c>
      <c r="M753" s="0" t="str">
        <f aca="false">IF(I753="","",INDEX(הגדרות!$A$2:$A$21,MOD(I753+הגדרות!$E$9,הגדרות!$E$6)+1))</f>
        <v/>
      </c>
    </row>
    <row r="754" customFormat="false" ht="15" hidden="false" customHeight="false" outlineLevel="0" collapsed="false">
      <c r="A754" s="0" t="str">
        <f aca="false">IF('הדבקת לידים'!A754="","",IF(ISNUMBER('הדבקת לידים'!A754),IF(הגדרות!$E$2&gt;0,TEXT('הדבקת לידים'!A754,REPT("0",הגדרות!$E$2)),TEXT('הדבקת לידים'!A754,"0")),TRIM('הדבקת לידים'!A754)))</f>
        <v/>
      </c>
      <c r="B754" s="0" t="str">
        <f aca="false">IF('הדבקת לידים'!B754="","",IF(ISNUMBER('הדבקת לידים'!B754),IF(הגדרות!$E$3&gt;0,TEXT('הדבקת לידים'!B754,REPT("0",הגדרות!$E$3)),TEXT('הדבקת לידים'!B754,"0")),TRIM('הדבקת לידים'!B754)))</f>
        <v/>
      </c>
      <c r="C754" s="0" t="n">
        <f aca="false">IF(OR(A754&lt;&gt;"",B754&lt;&gt;""),1,0)</f>
        <v>0</v>
      </c>
      <c r="D754" s="0" t="str">
        <f aca="false">IF(C754=1,MOD(ABS(SIN(ROW()*12.9898+'הדבקת לידים'!$F$2*78.233+IFERROR(--RIGHT(A754,6),LEN(A754))*0.0137+IFERROR(--RIGHT(B754,6),LEN(B754))*0.0071))*43758.5453,1),"")</f>
        <v/>
      </c>
      <c r="E754" s="0" t="str">
        <f aca="false">IF(C754=1,INT(MOD(ABS(SIN(D754*7919.123+ROW()*0.618+'הדבקת לידים'!$F$2*1.3))*43758.5453,1)*1000000)*10000+ROW(),"")</f>
        <v/>
      </c>
      <c r="F754" s="0" t="str">
        <f aca="false">IF(E754="","",RANK(E754,$E$2:$E$5001,1))</f>
        <v/>
      </c>
      <c r="G754" s="0" t="n">
        <f aca="false">IF(A754="",0,IF(SUMPRODUCT(--($A$2:$A$5001=A754))&gt;1,1,0))</f>
        <v>0</v>
      </c>
      <c r="H754" s="0" t="n">
        <f aca="false">ROW()-1</f>
        <v>753</v>
      </c>
      <c r="I754" s="0" t="str">
        <f aca="false">IF(OR(הגדרות!$E$6=0,H754&gt;הגדרות!$E$5),"",IF(H754-1&lt;הגדרות!$E$8*(הגדרות!$E$7+1),INT((H754-1)/(הגדרות!$E$7+1)),הגדרות!$E$8+INT((H754-1-הגדרות!$E$8*(הגדרות!$E$7+1))/הגדרות!$E$7)))</f>
        <v/>
      </c>
      <c r="J754" s="0" t="str">
        <f aca="false">IF(I754="","",IF(H754-1&lt;הגדרות!$E$8*(הגדרות!$E$7+1),MOD(H754-1,הגדרות!$E$7+1),MOD(H754-1-הגדרות!$E$8*(הגדרות!$E$7+1),הגדרות!$E$7)))</f>
        <v/>
      </c>
      <c r="K754" s="0" t="str">
        <f aca="false">IF(I754="","",J754*הגדרות!$E$6+I754+1)</f>
        <v/>
      </c>
      <c r="L754" s="0" t="str">
        <f aca="false">IF(K754="","",MATCH(K754,$F$2:$F$5001,0))</f>
        <v/>
      </c>
      <c r="M754" s="0" t="str">
        <f aca="false">IF(I754="","",INDEX(הגדרות!$A$2:$A$21,MOD(I754+הגדרות!$E$9,הגדרות!$E$6)+1))</f>
        <v/>
      </c>
    </row>
    <row r="755" customFormat="false" ht="15" hidden="false" customHeight="false" outlineLevel="0" collapsed="false">
      <c r="A755" s="0" t="str">
        <f aca="false">IF('הדבקת לידים'!A755="","",IF(ISNUMBER('הדבקת לידים'!A755),IF(הגדרות!$E$2&gt;0,TEXT('הדבקת לידים'!A755,REPT("0",הגדרות!$E$2)),TEXT('הדבקת לידים'!A755,"0")),TRIM('הדבקת לידים'!A755)))</f>
        <v/>
      </c>
      <c r="B755" s="0" t="str">
        <f aca="false">IF('הדבקת לידים'!B755="","",IF(ISNUMBER('הדבקת לידים'!B755),IF(הגדרות!$E$3&gt;0,TEXT('הדבקת לידים'!B755,REPT("0",הגדרות!$E$3)),TEXT('הדבקת לידים'!B755,"0")),TRIM('הדבקת לידים'!B755)))</f>
        <v/>
      </c>
      <c r="C755" s="0" t="n">
        <f aca="false">IF(OR(A755&lt;&gt;"",B755&lt;&gt;""),1,0)</f>
        <v>0</v>
      </c>
      <c r="D755" s="0" t="str">
        <f aca="false">IF(C755=1,MOD(ABS(SIN(ROW()*12.9898+'הדבקת לידים'!$F$2*78.233+IFERROR(--RIGHT(A755,6),LEN(A755))*0.0137+IFERROR(--RIGHT(B755,6),LEN(B755))*0.0071))*43758.5453,1),"")</f>
        <v/>
      </c>
      <c r="E755" s="0" t="str">
        <f aca="false">IF(C755=1,INT(MOD(ABS(SIN(D755*7919.123+ROW()*0.618+'הדבקת לידים'!$F$2*1.3))*43758.5453,1)*1000000)*10000+ROW(),"")</f>
        <v/>
      </c>
      <c r="F755" s="0" t="str">
        <f aca="false">IF(E755="","",RANK(E755,$E$2:$E$5001,1))</f>
        <v/>
      </c>
      <c r="G755" s="0" t="n">
        <f aca="false">IF(A755="",0,IF(SUMPRODUCT(--($A$2:$A$5001=A755))&gt;1,1,0))</f>
        <v>0</v>
      </c>
      <c r="H755" s="0" t="n">
        <f aca="false">ROW()-1</f>
        <v>754</v>
      </c>
      <c r="I755" s="0" t="str">
        <f aca="false">IF(OR(הגדרות!$E$6=0,H755&gt;הגדרות!$E$5),"",IF(H755-1&lt;הגדרות!$E$8*(הגדרות!$E$7+1),INT((H755-1)/(הגדרות!$E$7+1)),הגדרות!$E$8+INT((H755-1-הגדרות!$E$8*(הגדרות!$E$7+1))/הגדרות!$E$7)))</f>
        <v/>
      </c>
      <c r="J755" s="0" t="str">
        <f aca="false">IF(I755="","",IF(H755-1&lt;הגדרות!$E$8*(הגדרות!$E$7+1),MOD(H755-1,הגדרות!$E$7+1),MOD(H755-1-הגדרות!$E$8*(הגדרות!$E$7+1),הגדרות!$E$7)))</f>
        <v/>
      </c>
      <c r="K755" s="0" t="str">
        <f aca="false">IF(I755="","",J755*הגדרות!$E$6+I755+1)</f>
        <v/>
      </c>
      <c r="L755" s="0" t="str">
        <f aca="false">IF(K755="","",MATCH(K755,$F$2:$F$5001,0))</f>
        <v/>
      </c>
      <c r="M755" s="0" t="str">
        <f aca="false">IF(I755="","",INDEX(הגדרות!$A$2:$A$21,MOD(I755+הגדרות!$E$9,הגדרות!$E$6)+1))</f>
        <v/>
      </c>
    </row>
    <row r="756" customFormat="false" ht="15" hidden="false" customHeight="false" outlineLevel="0" collapsed="false">
      <c r="A756" s="0" t="str">
        <f aca="false">IF('הדבקת לידים'!A756="","",IF(ISNUMBER('הדבקת לידים'!A756),IF(הגדרות!$E$2&gt;0,TEXT('הדבקת לידים'!A756,REPT("0",הגדרות!$E$2)),TEXT('הדבקת לידים'!A756,"0")),TRIM('הדבקת לידים'!A756)))</f>
        <v/>
      </c>
      <c r="B756" s="0" t="str">
        <f aca="false">IF('הדבקת לידים'!B756="","",IF(ISNUMBER('הדבקת לידים'!B756),IF(הגדרות!$E$3&gt;0,TEXT('הדבקת לידים'!B756,REPT("0",הגדרות!$E$3)),TEXT('הדבקת לידים'!B756,"0")),TRIM('הדבקת לידים'!B756)))</f>
        <v/>
      </c>
      <c r="C756" s="0" t="n">
        <f aca="false">IF(OR(A756&lt;&gt;"",B756&lt;&gt;""),1,0)</f>
        <v>0</v>
      </c>
      <c r="D756" s="0" t="str">
        <f aca="false">IF(C756=1,MOD(ABS(SIN(ROW()*12.9898+'הדבקת לידים'!$F$2*78.233+IFERROR(--RIGHT(A756,6),LEN(A756))*0.0137+IFERROR(--RIGHT(B756,6),LEN(B756))*0.0071))*43758.5453,1),"")</f>
        <v/>
      </c>
      <c r="E756" s="0" t="str">
        <f aca="false">IF(C756=1,INT(MOD(ABS(SIN(D756*7919.123+ROW()*0.618+'הדבקת לידים'!$F$2*1.3))*43758.5453,1)*1000000)*10000+ROW(),"")</f>
        <v/>
      </c>
      <c r="F756" s="0" t="str">
        <f aca="false">IF(E756="","",RANK(E756,$E$2:$E$5001,1))</f>
        <v/>
      </c>
      <c r="G756" s="0" t="n">
        <f aca="false">IF(A756="",0,IF(SUMPRODUCT(--($A$2:$A$5001=A756))&gt;1,1,0))</f>
        <v>0</v>
      </c>
      <c r="H756" s="0" t="n">
        <f aca="false">ROW()-1</f>
        <v>755</v>
      </c>
      <c r="I756" s="0" t="str">
        <f aca="false">IF(OR(הגדרות!$E$6=0,H756&gt;הגדרות!$E$5),"",IF(H756-1&lt;הגדרות!$E$8*(הגדרות!$E$7+1),INT((H756-1)/(הגדרות!$E$7+1)),הגדרות!$E$8+INT((H756-1-הגדרות!$E$8*(הגדרות!$E$7+1))/הגדרות!$E$7)))</f>
        <v/>
      </c>
      <c r="J756" s="0" t="str">
        <f aca="false">IF(I756="","",IF(H756-1&lt;הגדרות!$E$8*(הגדרות!$E$7+1),MOD(H756-1,הגדרות!$E$7+1),MOD(H756-1-הגדרות!$E$8*(הגדרות!$E$7+1),הגדרות!$E$7)))</f>
        <v/>
      </c>
      <c r="K756" s="0" t="str">
        <f aca="false">IF(I756="","",J756*הגדרות!$E$6+I756+1)</f>
        <v/>
      </c>
      <c r="L756" s="0" t="str">
        <f aca="false">IF(K756="","",MATCH(K756,$F$2:$F$5001,0))</f>
        <v/>
      </c>
      <c r="M756" s="0" t="str">
        <f aca="false">IF(I756="","",INDEX(הגדרות!$A$2:$A$21,MOD(I756+הגדרות!$E$9,הגדרות!$E$6)+1))</f>
        <v/>
      </c>
    </row>
    <row r="757" customFormat="false" ht="15" hidden="false" customHeight="false" outlineLevel="0" collapsed="false">
      <c r="A757" s="0" t="str">
        <f aca="false">IF('הדבקת לידים'!A757="","",IF(ISNUMBER('הדבקת לידים'!A757),IF(הגדרות!$E$2&gt;0,TEXT('הדבקת לידים'!A757,REPT("0",הגדרות!$E$2)),TEXT('הדבקת לידים'!A757,"0")),TRIM('הדבקת לידים'!A757)))</f>
        <v/>
      </c>
      <c r="B757" s="0" t="str">
        <f aca="false">IF('הדבקת לידים'!B757="","",IF(ISNUMBER('הדבקת לידים'!B757),IF(הגדרות!$E$3&gt;0,TEXT('הדבקת לידים'!B757,REPT("0",הגדרות!$E$3)),TEXT('הדבקת לידים'!B757,"0")),TRIM('הדבקת לידים'!B757)))</f>
        <v/>
      </c>
      <c r="C757" s="0" t="n">
        <f aca="false">IF(OR(A757&lt;&gt;"",B757&lt;&gt;""),1,0)</f>
        <v>0</v>
      </c>
      <c r="D757" s="0" t="str">
        <f aca="false">IF(C757=1,MOD(ABS(SIN(ROW()*12.9898+'הדבקת לידים'!$F$2*78.233+IFERROR(--RIGHT(A757,6),LEN(A757))*0.0137+IFERROR(--RIGHT(B757,6),LEN(B757))*0.0071))*43758.5453,1),"")</f>
        <v/>
      </c>
      <c r="E757" s="0" t="str">
        <f aca="false">IF(C757=1,INT(MOD(ABS(SIN(D757*7919.123+ROW()*0.618+'הדבקת לידים'!$F$2*1.3))*43758.5453,1)*1000000)*10000+ROW(),"")</f>
        <v/>
      </c>
      <c r="F757" s="0" t="str">
        <f aca="false">IF(E757="","",RANK(E757,$E$2:$E$5001,1))</f>
        <v/>
      </c>
      <c r="G757" s="0" t="n">
        <f aca="false">IF(A757="",0,IF(SUMPRODUCT(--($A$2:$A$5001=A757))&gt;1,1,0))</f>
        <v>0</v>
      </c>
      <c r="H757" s="0" t="n">
        <f aca="false">ROW()-1</f>
        <v>756</v>
      </c>
      <c r="I757" s="0" t="str">
        <f aca="false">IF(OR(הגדרות!$E$6=0,H757&gt;הגדרות!$E$5),"",IF(H757-1&lt;הגדרות!$E$8*(הגדרות!$E$7+1),INT((H757-1)/(הגדרות!$E$7+1)),הגדרות!$E$8+INT((H757-1-הגדרות!$E$8*(הגדרות!$E$7+1))/הגדרות!$E$7)))</f>
        <v/>
      </c>
      <c r="J757" s="0" t="str">
        <f aca="false">IF(I757="","",IF(H757-1&lt;הגדרות!$E$8*(הגדרות!$E$7+1),MOD(H757-1,הגדרות!$E$7+1),MOD(H757-1-הגדרות!$E$8*(הגדרות!$E$7+1),הגדרות!$E$7)))</f>
        <v/>
      </c>
      <c r="K757" s="0" t="str">
        <f aca="false">IF(I757="","",J757*הגדרות!$E$6+I757+1)</f>
        <v/>
      </c>
      <c r="L757" s="0" t="str">
        <f aca="false">IF(K757="","",MATCH(K757,$F$2:$F$5001,0))</f>
        <v/>
      </c>
      <c r="M757" s="0" t="str">
        <f aca="false">IF(I757="","",INDEX(הגדרות!$A$2:$A$21,MOD(I757+הגדרות!$E$9,הגדרות!$E$6)+1))</f>
        <v/>
      </c>
    </row>
    <row r="758" customFormat="false" ht="15" hidden="false" customHeight="false" outlineLevel="0" collapsed="false">
      <c r="A758" s="0" t="str">
        <f aca="false">IF('הדבקת לידים'!A758="","",IF(ISNUMBER('הדבקת לידים'!A758),IF(הגדרות!$E$2&gt;0,TEXT('הדבקת לידים'!A758,REPT("0",הגדרות!$E$2)),TEXT('הדבקת לידים'!A758,"0")),TRIM('הדבקת לידים'!A758)))</f>
        <v/>
      </c>
      <c r="B758" s="0" t="str">
        <f aca="false">IF('הדבקת לידים'!B758="","",IF(ISNUMBER('הדבקת לידים'!B758),IF(הגדרות!$E$3&gt;0,TEXT('הדבקת לידים'!B758,REPT("0",הגדרות!$E$3)),TEXT('הדבקת לידים'!B758,"0")),TRIM('הדבקת לידים'!B758)))</f>
        <v/>
      </c>
      <c r="C758" s="0" t="n">
        <f aca="false">IF(OR(A758&lt;&gt;"",B758&lt;&gt;""),1,0)</f>
        <v>0</v>
      </c>
      <c r="D758" s="0" t="str">
        <f aca="false">IF(C758=1,MOD(ABS(SIN(ROW()*12.9898+'הדבקת לידים'!$F$2*78.233+IFERROR(--RIGHT(A758,6),LEN(A758))*0.0137+IFERROR(--RIGHT(B758,6),LEN(B758))*0.0071))*43758.5453,1),"")</f>
        <v/>
      </c>
      <c r="E758" s="0" t="str">
        <f aca="false">IF(C758=1,INT(MOD(ABS(SIN(D758*7919.123+ROW()*0.618+'הדבקת לידים'!$F$2*1.3))*43758.5453,1)*1000000)*10000+ROW(),"")</f>
        <v/>
      </c>
      <c r="F758" s="0" t="str">
        <f aca="false">IF(E758="","",RANK(E758,$E$2:$E$5001,1))</f>
        <v/>
      </c>
      <c r="G758" s="0" t="n">
        <f aca="false">IF(A758="",0,IF(SUMPRODUCT(--($A$2:$A$5001=A758))&gt;1,1,0))</f>
        <v>0</v>
      </c>
      <c r="H758" s="0" t="n">
        <f aca="false">ROW()-1</f>
        <v>757</v>
      </c>
      <c r="I758" s="0" t="str">
        <f aca="false">IF(OR(הגדרות!$E$6=0,H758&gt;הגדרות!$E$5),"",IF(H758-1&lt;הגדרות!$E$8*(הגדרות!$E$7+1),INT((H758-1)/(הגדרות!$E$7+1)),הגדרות!$E$8+INT((H758-1-הגדרות!$E$8*(הגדרות!$E$7+1))/הגדרות!$E$7)))</f>
        <v/>
      </c>
      <c r="J758" s="0" t="str">
        <f aca="false">IF(I758="","",IF(H758-1&lt;הגדרות!$E$8*(הגדרות!$E$7+1),MOD(H758-1,הגדרות!$E$7+1),MOD(H758-1-הגדרות!$E$8*(הגדרות!$E$7+1),הגדרות!$E$7)))</f>
        <v/>
      </c>
      <c r="K758" s="0" t="str">
        <f aca="false">IF(I758="","",J758*הגדרות!$E$6+I758+1)</f>
        <v/>
      </c>
      <c r="L758" s="0" t="str">
        <f aca="false">IF(K758="","",MATCH(K758,$F$2:$F$5001,0))</f>
        <v/>
      </c>
      <c r="M758" s="0" t="str">
        <f aca="false">IF(I758="","",INDEX(הגדרות!$A$2:$A$21,MOD(I758+הגדרות!$E$9,הגדרות!$E$6)+1))</f>
        <v/>
      </c>
    </row>
    <row r="759" customFormat="false" ht="15" hidden="false" customHeight="false" outlineLevel="0" collapsed="false">
      <c r="A759" s="0" t="str">
        <f aca="false">IF('הדבקת לידים'!A759="","",IF(ISNUMBER('הדבקת לידים'!A759),IF(הגדרות!$E$2&gt;0,TEXT('הדבקת לידים'!A759,REPT("0",הגדרות!$E$2)),TEXT('הדבקת לידים'!A759,"0")),TRIM('הדבקת לידים'!A759)))</f>
        <v/>
      </c>
      <c r="B759" s="0" t="str">
        <f aca="false">IF('הדבקת לידים'!B759="","",IF(ISNUMBER('הדבקת לידים'!B759),IF(הגדרות!$E$3&gt;0,TEXT('הדבקת לידים'!B759,REPT("0",הגדרות!$E$3)),TEXT('הדבקת לידים'!B759,"0")),TRIM('הדבקת לידים'!B759)))</f>
        <v/>
      </c>
      <c r="C759" s="0" t="n">
        <f aca="false">IF(OR(A759&lt;&gt;"",B759&lt;&gt;""),1,0)</f>
        <v>0</v>
      </c>
      <c r="D759" s="0" t="str">
        <f aca="false">IF(C759=1,MOD(ABS(SIN(ROW()*12.9898+'הדבקת לידים'!$F$2*78.233+IFERROR(--RIGHT(A759,6),LEN(A759))*0.0137+IFERROR(--RIGHT(B759,6),LEN(B759))*0.0071))*43758.5453,1),"")</f>
        <v/>
      </c>
      <c r="E759" s="0" t="str">
        <f aca="false">IF(C759=1,INT(MOD(ABS(SIN(D759*7919.123+ROW()*0.618+'הדבקת לידים'!$F$2*1.3))*43758.5453,1)*1000000)*10000+ROW(),"")</f>
        <v/>
      </c>
      <c r="F759" s="0" t="str">
        <f aca="false">IF(E759="","",RANK(E759,$E$2:$E$5001,1))</f>
        <v/>
      </c>
      <c r="G759" s="0" t="n">
        <f aca="false">IF(A759="",0,IF(SUMPRODUCT(--($A$2:$A$5001=A759))&gt;1,1,0))</f>
        <v>0</v>
      </c>
      <c r="H759" s="0" t="n">
        <f aca="false">ROW()-1</f>
        <v>758</v>
      </c>
      <c r="I759" s="0" t="str">
        <f aca="false">IF(OR(הגדרות!$E$6=0,H759&gt;הגדרות!$E$5),"",IF(H759-1&lt;הגדרות!$E$8*(הגדרות!$E$7+1),INT((H759-1)/(הגדרות!$E$7+1)),הגדרות!$E$8+INT((H759-1-הגדרות!$E$8*(הגדרות!$E$7+1))/הגדרות!$E$7)))</f>
        <v/>
      </c>
      <c r="J759" s="0" t="str">
        <f aca="false">IF(I759="","",IF(H759-1&lt;הגדרות!$E$8*(הגדרות!$E$7+1),MOD(H759-1,הגדרות!$E$7+1),MOD(H759-1-הגדרות!$E$8*(הגדרות!$E$7+1),הגדרות!$E$7)))</f>
        <v/>
      </c>
      <c r="K759" s="0" t="str">
        <f aca="false">IF(I759="","",J759*הגדרות!$E$6+I759+1)</f>
        <v/>
      </c>
      <c r="L759" s="0" t="str">
        <f aca="false">IF(K759="","",MATCH(K759,$F$2:$F$5001,0))</f>
        <v/>
      </c>
      <c r="M759" s="0" t="str">
        <f aca="false">IF(I759="","",INDEX(הגדרות!$A$2:$A$21,MOD(I759+הגדרות!$E$9,הגדרות!$E$6)+1))</f>
        <v/>
      </c>
    </row>
    <row r="760" customFormat="false" ht="15" hidden="false" customHeight="false" outlineLevel="0" collapsed="false">
      <c r="A760" s="0" t="str">
        <f aca="false">IF('הדבקת לידים'!A760="","",IF(ISNUMBER('הדבקת לידים'!A760),IF(הגדרות!$E$2&gt;0,TEXT('הדבקת לידים'!A760,REPT("0",הגדרות!$E$2)),TEXT('הדבקת לידים'!A760,"0")),TRIM('הדבקת לידים'!A760)))</f>
        <v/>
      </c>
      <c r="B760" s="0" t="str">
        <f aca="false">IF('הדבקת לידים'!B760="","",IF(ISNUMBER('הדבקת לידים'!B760),IF(הגדרות!$E$3&gt;0,TEXT('הדבקת לידים'!B760,REPT("0",הגדרות!$E$3)),TEXT('הדבקת לידים'!B760,"0")),TRIM('הדבקת לידים'!B760)))</f>
        <v/>
      </c>
      <c r="C760" s="0" t="n">
        <f aca="false">IF(OR(A760&lt;&gt;"",B760&lt;&gt;""),1,0)</f>
        <v>0</v>
      </c>
      <c r="D760" s="0" t="str">
        <f aca="false">IF(C760=1,MOD(ABS(SIN(ROW()*12.9898+'הדבקת לידים'!$F$2*78.233+IFERROR(--RIGHT(A760,6),LEN(A760))*0.0137+IFERROR(--RIGHT(B760,6),LEN(B760))*0.0071))*43758.5453,1),"")</f>
        <v/>
      </c>
      <c r="E760" s="0" t="str">
        <f aca="false">IF(C760=1,INT(MOD(ABS(SIN(D760*7919.123+ROW()*0.618+'הדבקת לידים'!$F$2*1.3))*43758.5453,1)*1000000)*10000+ROW(),"")</f>
        <v/>
      </c>
      <c r="F760" s="0" t="str">
        <f aca="false">IF(E760="","",RANK(E760,$E$2:$E$5001,1))</f>
        <v/>
      </c>
      <c r="G760" s="0" t="n">
        <f aca="false">IF(A760="",0,IF(SUMPRODUCT(--($A$2:$A$5001=A760))&gt;1,1,0))</f>
        <v>0</v>
      </c>
      <c r="H760" s="0" t="n">
        <f aca="false">ROW()-1</f>
        <v>759</v>
      </c>
      <c r="I760" s="0" t="str">
        <f aca="false">IF(OR(הגדרות!$E$6=0,H760&gt;הגדרות!$E$5),"",IF(H760-1&lt;הגדרות!$E$8*(הגדרות!$E$7+1),INT((H760-1)/(הגדרות!$E$7+1)),הגדרות!$E$8+INT((H760-1-הגדרות!$E$8*(הגדרות!$E$7+1))/הגדרות!$E$7)))</f>
        <v/>
      </c>
      <c r="J760" s="0" t="str">
        <f aca="false">IF(I760="","",IF(H760-1&lt;הגדרות!$E$8*(הגדרות!$E$7+1),MOD(H760-1,הגדרות!$E$7+1),MOD(H760-1-הגדרות!$E$8*(הגדרות!$E$7+1),הגדרות!$E$7)))</f>
        <v/>
      </c>
      <c r="K760" s="0" t="str">
        <f aca="false">IF(I760="","",J760*הגדרות!$E$6+I760+1)</f>
        <v/>
      </c>
      <c r="L760" s="0" t="str">
        <f aca="false">IF(K760="","",MATCH(K760,$F$2:$F$5001,0))</f>
        <v/>
      </c>
      <c r="M760" s="0" t="str">
        <f aca="false">IF(I760="","",INDEX(הגדרות!$A$2:$A$21,MOD(I760+הגדרות!$E$9,הגדרות!$E$6)+1))</f>
        <v/>
      </c>
    </row>
    <row r="761" customFormat="false" ht="15" hidden="false" customHeight="false" outlineLevel="0" collapsed="false">
      <c r="A761" s="0" t="str">
        <f aca="false">IF('הדבקת לידים'!A761="","",IF(ISNUMBER('הדבקת לידים'!A761),IF(הגדרות!$E$2&gt;0,TEXT('הדבקת לידים'!A761,REPT("0",הגדרות!$E$2)),TEXT('הדבקת לידים'!A761,"0")),TRIM('הדבקת לידים'!A761)))</f>
        <v/>
      </c>
      <c r="B761" s="0" t="str">
        <f aca="false">IF('הדבקת לידים'!B761="","",IF(ISNUMBER('הדבקת לידים'!B761),IF(הגדרות!$E$3&gt;0,TEXT('הדבקת לידים'!B761,REPT("0",הגדרות!$E$3)),TEXT('הדבקת לידים'!B761,"0")),TRIM('הדבקת לידים'!B761)))</f>
        <v/>
      </c>
      <c r="C761" s="0" t="n">
        <f aca="false">IF(OR(A761&lt;&gt;"",B761&lt;&gt;""),1,0)</f>
        <v>0</v>
      </c>
      <c r="D761" s="0" t="str">
        <f aca="false">IF(C761=1,MOD(ABS(SIN(ROW()*12.9898+'הדבקת לידים'!$F$2*78.233+IFERROR(--RIGHT(A761,6),LEN(A761))*0.0137+IFERROR(--RIGHT(B761,6),LEN(B761))*0.0071))*43758.5453,1),"")</f>
        <v/>
      </c>
      <c r="E761" s="0" t="str">
        <f aca="false">IF(C761=1,INT(MOD(ABS(SIN(D761*7919.123+ROW()*0.618+'הדבקת לידים'!$F$2*1.3))*43758.5453,1)*1000000)*10000+ROW(),"")</f>
        <v/>
      </c>
      <c r="F761" s="0" t="str">
        <f aca="false">IF(E761="","",RANK(E761,$E$2:$E$5001,1))</f>
        <v/>
      </c>
      <c r="G761" s="0" t="n">
        <f aca="false">IF(A761="",0,IF(SUMPRODUCT(--($A$2:$A$5001=A761))&gt;1,1,0))</f>
        <v>0</v>
      </c>
      <c r="H761" s="0" t="n">
        <f aca="false">ROW()-1</f>
        <v>760</v>
      </c>
      <c r="I761" s="0" t="str">
        <f aca="false">IF(OR(הגדרות!$E$6=0,H761&gt;הגדרות!$E$5),"",IF(H761-1&lt;הגדרות!$E$8*(הגדרות!$E$7+1),INT((H761-1)/(הגדרות!$E$7+1)),הגדרות!$E$8+INT((H761-1-הגדרות!$E$8*(הגדרות!$E$7+1))/הגדרות!$E$7)))</f>
        <v/>
      </c>
      <c r="J761" s="0" t="str">
        <f aca="false">IF(I761="","",IF(H761-1&lt;הגדרות!$E$8*(הגדרות!$E$7+1),MOD(H761-1,הגדרות!$E$7+1),MOD(H761-1-הגדרות!$E$8*(הגדרות!$E$7+1),הגדרות!$E$7)))</f>
        <v/>
      </c>
      <c r="K761" s="0" t="str">
        <f aca="false">IF(I761="","",J761*הגדרות!$E$6+I761+1)</f>
        <v/>
      </c>
      <c r="L761" s="0" t="str">
        <f aca="false">IF(K761="","",MATCH(K761,$F$2:$F$5001,0))</f>
        <v/>
      </c>
      <c r="M761" s="0" t="str">
        <f aca="false">IF(I761="","",INDEX(הגדרות!$A$2:$A$21,MOD(I761+הגדרות!$E$9,הגדרות!$E$6)+1))</f>
        <v/>
      </c>
    </row>
    <row r="762" customFormat="false" ht="15" hidden="false" customHeight="false" outlineLevel="0" collapsed="false">
      <c r="A762" s="0" t="str">
        <f aca="false">IF('הדבקת לידים'!A762="","",IF(ISNUMBER('הדבקת לידים'!A762),IF(הגדרות!$E$2&gt;0,TEXT('הדבקת לידים'!A762,REPT("0",הגדרות!$E$2)),TEXT('הדבקת לידים'!A762,"0")),TRIM('הדבקת לידים'!A762)))</f>
        <v/>
      </c>
      <c r="B762" s="0" t="str">
        <f aca="false">IF('הדבקת לידים'!B762="","",IF(ISNUMBER('הדבקת לידים'!B762),IF(הגדרות!$E$3&gt;0,TEXT('הדבקת לידים'!B762,REPT("0",הגדרות!$E$3)),TEXT('הדבקת לידים'!B762,"0")),TRIM('הדבקת לידים'!B762)))</f>
        <v/>
      </c>
      <c r="C762" s="0" t="n">
        <f aca="false">IF(OR(A762&lt;&gt;"",B762&lt;&gt;""),1,0)</f>
        <v>0</v>
      </c>
      <c r="D762" s="0" t="str">
        <f aca="false">IF(C762=1,MOD(ABS(SIN(ROW()*12.9898+'הדבקת לידים'!$F$2*78.233+IFERROR(--RIGHT(A762,6),LEN(A762))*0.0137+IFERROR(--RIGHT(B762,6),LEN(B762))*0.0071))*43758.5453,1),"")</f>
        <v/>
      </c>
      <c r="E762" s="0" t="str">
        <f aca="false">IF(C762=1,INT(MOD(ABS(SIN(D762*7919.123+ROW()*0.618+'הדבקת לידים'!$F$2*1.3))*43758.5453,1)*1000000)*10000+ROW(),"")</f>
        <v/>
      </c>
      <c r="F762" s="0" t="str">
        <f aca="false">IF(E762="","",RANK(E762,$E$2:$E$5001,1))</f>
        <v/>
      </c>
      <c r="G762" s="0" t="n">
        <f aca="false">IF(A762="",0,IF(SUMPRODUCT(--($A$2:$A$5001=A762))&gt;1,1,0))</f>
        <v>0</v>
      </c>
      <c r="H762" s="0" t="n">
        <f aca="false">ROW()-1</f>
        <v>761</v>
      </c>
      <c r="I762" s="0" t="str">
        <f aca="false">IF(OR(הגדרות!$E$6=0,H762&gt;הגדרות!$E$5),"",IF(H762-1&lt;הגדרות!$E$8*(הגדרות!$E$7+1),INT((H762-1)/(הגדרות!$E$7+1)),הגדרות!$E$8+INT((H762-1-הגדרות!$E$8*(הגדרות!$E$7+1))/הגדרות!$E$7)))</f>
        <v/>
      </c>
      <c r="J762" s="0" t="str">
        <f aca="false">IF(I762="","",IF(H762-1&lt;הגדרות!$E$8*(הגדרות!$E$7+1),MOD(H762-1,הגדרות!$E$7+1),MOD(H762-1-הגדרות!$E$8*(הגדרות!$E$7+1),הגדרות!$E$7)))</f>
        <v/>
      </c>
      <c r="K762" s="0" t="str">
        <f aca="false">IF(I762="","",J762*הגדרות!$E$6+I762+1)</f>
        <v/>
      </c>
      <c r="L762" s="0" t="str">
        <f aca="false">IF(K762="","",MATCH(K762,$F$2:$F$5001,0))</f>
        <v/>
      </c>
      <c r="M762" s="0" t="str">
        <f aca="false">IF(I762="","",INDEX(הגדרות!$A$2:$A$21,MOD(I762+הגדרות!$E$9,הגדרות!$E$6)+1))</f>
        <v/>
      </c>
    </row>
    <row r="763" customFormat="false" ht="15" hidden="false" customHeight="false" outlineLevel="0" collapsed="false">
      <c r="A763" s="0" t="str">
        <f aca="false">IF('הדבקת לידים'!A763="","",IF(ISNUMBER('הדבקת לידים'!A763),IF(הגדרות!$E$2&gt;0,TEXT('הדבקת לידים'!A763,REPT("0",הגדרות!$E$2)),TEXT('הדבקת לידים'!A763,"0")),TRIM('הדבקת לידים'!A763)))</f>
        <v/>
      </c>
      <c r="B763" s="0" t="str">
        <f aca="false">IF('הדבקת לידים'!B763="","",IF(ISNUMBER('הדבקת לידים'!B763),IF(הגדרות!$E$3&gt;0,TEXT('הדבקת לידים'!B763,REPT("0",הגדרות!$E$3)),TEXT('הדבקת לידים'!B763,"0")),TRIM('הדבקת לידים'!B763)))</f>
        <v/>
      </c>
      <c r="C763" s="0" t="n">
        <f aca="false">IF(OR(A763&lt;&gt;"",B763&lt;&gt;""),1,0)</f>
        <v>0</v>
      </c>
      <c r="D763" s="0" t="str">
        <f aca="false">IF(C763=1,MOD(ABS(SIN(ROW()*12.9898+'הדבקת לידים'!$F$2*78.233+IFERROR(--RIGHT(A763,6),LEN(A763))*0.0137+IFERROR(--RIGHT(B763,6),LEN(B763))*0.0071))*43758.5453,1),"")</f>
        <v/>
      </c>
      <c r="E763" s="0" t="str">
        <f aca="false">IF(C763=1,INT(MOD(ABS(SIN(D763*7919.123+ROW()*0.618+'הדבקת לידים'!$F$2*1.3))*43758.5453,1)*1000000)*10000+ROW(),"")</f>
        <v/>
      </c>
      <c r="F763" s="0" t="str">
        <f aca="false">IF(E763="","",RANK(E763,$E$2:$E$5001,1))</f>
        <v/>
      </c>
      <c r="G763" s="0" t="n">
        <f aca="false">IF(A763="",0,IF(SUMPRODUCT(--($A$2:$A$5001=A763))&gt;1,1,0))</f>
        <v>0</v>
      </c>
      <c r="H763" s="0" t="n">
        <f aca="false">ROW()-1</f>
        <v>762</v>
      </c>
      <c r="I763" s="0" t="str">
        <f aca="false">IF(OR(הגדרות!$E$6=0,H763&gt;הגדרות!$E$5),"",IF(H763-1&lt;הגדרות!$E$8*(הגדרות!$E$7+1),INT((H763-1)/(הגדרות!$E$7+1)),הגדרות!$E$8+INT((H763-1-הגדרות!$E$8*(הגדרות!$E$7+1))/הגדרות!$E$7)))</f>
        <v/>
      </c>
      <c r="J763" s="0" t="str">
        <f aca="false">IF(I763="","",IF(H763-1&lt;הגדרות!$E$8*(הגדרות!$E$7+1),MOD(H763-1,הגדרות!$E$7+1),MOD(H763-1-הגדרות!$E$8*(הגדרות!$E$7+1),הגדרות!$E$7)))</f>
        <v/>
      </c>
      <c r="K763" s="0" t="str">
        <f aca="false">IF(I763="","",J763*הגדרות!$E$6+I763+1)</f>
        <v/>
      </c>
      <c r="L763" s="0" t="str">
        <f aca="false">IF(K763="","",MATCH(K763,$F$2:$F$5001,0))</f>
        <v/>
      </c>
      <c r="M763" s="0" t="str">
        <f aca="false">IF(I763="","",INDEX(הגדרות!$A$2:$A$21,MOD(I763+הגדרות!$E$9,הגדרות!$E$6)+1))</f>
        <v/>
      </c>
    </row>
    <row r="764" customFormat="false" ht="15" hidden="false" customHeight="false" outlineLevel="0" collapsed="false">
      <c r="A764" s="0" t="str">
        <f aca="false">IF('הדבקת לידים'!A764="","",IF(ISNUMBER('הדבקת לידים'!A764),IF(הגדרות!$E$2&gt;0,TEXT('הדבקת לידים'!A764,REPT("0",הגדרות!$E$2)),TEXT('הדבקת לידים'!A764,"0")),TRIM('הדבקת לידים'!A764)))</f>
        <v/>
      </c>
      <c r="B764" s="0" t="str">
        <f aca="false">IF('הדבקת לידים'!B764="","",IF(ISNUMBER('הדבקת לידים'!B764),IF(הגדרות!$E$3&gt;0,TEXT('הדבקת לידים'!B764,REPT("0",הגדרות!$E$3)),TEXT('הדבקת לידים'!B764,"0")),TRIM('הדבקת לידים'!B764)))</f>
        <v/>
      </c>
      <c r="C764" s="0" t="n">
        <f aca="false">IF(OR(A764&lt;&gt;"",B764&lt;&gt;""),1,0)</f>
        <v>0</v>
      </c>
      <c r="D764" s="0" t="str">
        <f aca="false">IF(C764=1,MOD(ABS(SIN(ROW()*12.9898+'הדבקת לידים'!$F$2*78.233+IFERROR(--RIGHT(A764,6),LEN(A764))*0.0137+IFERROR(--RIGHT(B764,6),LEN(B764))*0.0071))*43758.5453,1),"")</f>
        <v/>
      </c>
      <c r="E764" s="0" t="str">
        <f aca="false">IF(C764=1,INT(MOD(ABS(SIN(D764*7919.123+ROW()*0.618+'הדבקת לידים'!$F$2*1.3))*43758.5453,1)*1000000)*10000+ROW(),"")</f>
        <v/>
      </c>
      <c r="F764" s="0" t="str">
        <f aca="false">IF(E764="","",RANK(E764,$E$2:$E$5001,1))</f>
        <v/>
      </c>
      <c r="G764" s="0" t="n">
        <f aca="false">IF(A764="",0,IF(SUMPRODUCT(--($A$2:$A$5001=A764))&gt;1,1,0))</f>
        <v>0</v>
      </c>
      <c r="H764" s="0" t="n">
        <f aca="false">ROW()-1</f>
        <v>763</v>
      </c>
      <c r="I764" s="0" t="str">
        <f aca="false">IF(OR(הגדרות!$E$6=0,H764&gt;הגדרות!$E$5),"",IF(H764-1&lt;הגדרות!$E$8*(הגדרות!$E$7+1),INT((H764-1)/(הגדרות!$E$7+1)),הגדרות!$E$8+INT((H764-1-הגדרות!$E$8*(הגדרות!$E$7+1))/הגדרות!$E$7)))</f>
        <v/>
      </c>
      <c r="J764" s="0" t="str">
        <f aca="false">IF(I764="","",IF(H764-1&lt;הגדרות!$E$8*(הגדרות!$E$7+1),MOD(H764-1,הגדרות!$E$7+1),MOD(H764-1-הגדרות!$E$8*(הגדרות!$E$7+1),הגדרות!$E$7)))</f>
        <v/>
      </c>
      <c r="K764" s="0" t="str">
        <f aca="false">IF(I764="","",J764*הגדרות!$E$6+I764+1)</f>
        <v/>
      </c>
      <c r="L764" s="0" t="str">
        <f aca="false">IF(K764="","",MATCH(K764,$F$2:$F$5001,0))</f>
        <v/>
      </c>
      <c r="M764" s="0" t="str">
        <f aca="false">IF(I764="","",INDEX(הגדרות!$A$2:$A$21,MOD(I764+הגדרות!$E$9,הגדרות!$E$6)+1))</f>
        <v/>
      </c>
    </row>
    <row r="765" customFormat="false" ht="15" hidden="false" customHeight="false" outlineLevel="0" collapsed="false">
      <c r="A765" s="0" t="str">
        <f aca="false">IF('הדבקת לידים'!A765="","",IF(ISNUMBER('הדבקת לידים'!A765),IF(הגדרות!$E$2&gt;0,TEXT('הדבקת לידים'!A765,REPT("0",הגדרות!$E$2)),TEXT('הדבקת לידים'!A765,"0")),TRIM('הדבקת לידים'!A765)))</f>
        <v/>
      </c>
      <c r="B765" s="0" t="str">
        <f aca="false">IF('הדבקת לידים'!B765="","",IF(ISNUMBER('הדבקת לידים'!B765),IF(הגדרות!$E$3&gt;0,TEXT('הדבקת לידים'!B765,REPT("0",הגדרות!$E$3)),TEXT('הדבקת לידים'!B765,"0")),TRIM('הדבקת לידים'!B765)))</f>
        <v/>
      </c>
      <c r="C765" s="0" t="n">
        <f aca="false">IF(OR(A765&lt;&gt;"",B765&lt;&gt;""),1,0)</f>
        <v>0</v>
      </c>
      <c r="D765" s="0" t="str">
        <f aca="false">IF(C765=1,MOD(ABS(SIN(ROW()*12.9898+'הדבקת לידים'!$F$2*78.233+IFERROR(--RIGHT(A765,6),LEN(A765))*0.0137+IFERROR(--RIGHT(B765,6),LEN(B765))*0.0071))*43758.5453,1),"")</f>
        <v/>
      </c>
      <c r="E765" s="0" t="str">
        <f aca="false">IF(C765=1,INT(MOD(ABS(SIN(D765*7919.123+ROW()*0.618+'הדבקת לידים'!$F$2*1.3))*43758.5453,1)*1000000)*10000+ROW(),"")</f>
        <v/>
      </c>
      <c r="F765" s="0" t="str">
        <f aca="false">IF(E765="","",RANK(E765,$E$2:$E$5001,1))</f>
        <v/>
      </c>
      <c r="G765" s="0" t="n">
        <f aca="false">IF(A765="",0,IF(SUMPRODUCT(--($A$2:$A$5001=A765))&gt;1,1,0))</f>
        <v>0</v>
      </c>
      <c r="H765" s="0" t="n">
        <f aca="false">ROW()-1</f>
        <v>764</v>
      </c>
      <c r="I765" s="0" t="str">
        <f aca="false">IF(OR(הגדרות!$E$6=0,H765&gt;הגדרות!$E$5),"",IF(H765-1&lt;הגדרות!$E$8*(הגדרות!$E$7+1),INT((H765-1)/(הגדרות!$E$7+1)),הגדרות!$E$8+INT((H765-1-הגדרות!$E$8*(הגדרות!$E$7+1))/הגדרות!$E$7)))</f>
        <v/>
      </c>
      <c r="J765" s="0" t="str">
        <f aca="false">IF(I765="","",IF(H765-1&lt;הגדרות!$E$8*(הגדרות!$E$7+1),MOD(H765-1,הגדרות!$E$7+1),MOD(H765-1-הגדרות!$E$8*(הגדרות!$E$7+1),הגדרות!$E$7)))</f>
        <v/>
      </c>
      <c r="K765" s="0" t="str">
        <f aca="false">IF(I765="","",J765*הגדרות!$E$6+I765+1)</f>
        <v/>
      </c>
      <c r="L765" s="0" t="str">
        <f aca="false">IF(K765="","",MATCH(K765,$F$2:$F$5001,0))</f>
        <v/>
      </c>
      <c r="M765" s="0" t="str">
        <f aca="false">IF(I765="","",INDEX(הגדרות!$A$2:$A$21,MOD(I765+הגדרות!$E$9,הגדרות!$E$6)+1))</f>
        <v/>
      </c>
    </row>
    <row r="766" customFormat="false" ht="15" hidden="false" customHeight="false" outlineLevel="0" collapsed="false">
      <c r="A766" s="0" t="str">
        <f aca="false">IF('הדבקת לידים'!A766="","",IF(ISNUMBER('הדבקת לידים'!A766),IF(הגדרות!$E$2&gt;0,TEXT('הדבקת לידים'!A766,REPT("0",הגדרות!$E$2)),TEXT('הדבקת לידים'!A766,"0")),TRIM('הדבקת לידים'!A766)))</f>
        <v/>
      </c>
      <c r="B766" s="0" t="str">
        <f aca="false">IF('הדבקת לידים'!B766="","",IF(ISNUMBER('הדבקת לידים'!B766),IF(הגדרות!$E$3&gt;0,TEXT('הדבקת לידים'!B766,REPT("0",הגדרות!$E$3)),TEXT('הדבקת לידים'!B766,"0")),TRIM('הדבקת לידים'!B766)))</f>
        <v/>
      </c>
      <c r="C766" s="0" t="n">
        <f aca="false">IF(OR(A766&lt;&gt;"",B766&lt;&gt;""),1,0)</f>
        <v>0</v>
      </c>
      <c r="D766" s="0" t="str">
        <f aca="false">IF(C766=1,MOD(ABS(SIN(ROW()*12.9898+'הדבקת לידים'!$F$2*78.233+IFERROR(--RIGHT(A766,6),LEN(A766))*0.0137+IFERROR(--RIGHT(B766,6),LEN(B766))*0.0071))*43758.5453,1),"")</f>
        <v/>
      </c>
      <c r="E766" s="0" t="str">
        <f aca="false">IF(C766=1,INT(MOD(ABS(SIN(D766*7919.123+ROW()*0.618+'הדבקת לידים'!$F$2*1.3))*43758.5453,1)*1000000)*10000+ROW(),"")</f>
        <v/>
      </c>
      <c r="F766" s="0" t="str">
        <f aca="false">IF(E766="","",RANK(E766,$E$2:$E$5001,1))</f>
        <v/>
      </c>
      <c r="G766" s="0" t="n">
        <f aca="false">IF(A766="",0,IF(SUMPRODUCT(--($A$2:$A$5001=A766))&gt;1,1,0))</f>
        <v>0</v>
      </c>
      <c r="H766" s="0" t="n">
        <f aca="false">ROW()-1</f>
        <v>765</v>
      </c>
      <c r="I766" s="0" t="str">
        <f aca="false">IF(OR(הגדרות!$E$6=0,H766&gt;הגדרות!$E$5),"",IF(H766-1&lt;הגדרות!$E$8*(הגדרות!$E$7+1),INT((H766-1)/(הגדרות!$E$7+1)),הגדרות!$E$8+INT((H766-1-הגדרות!$E$8*(הגדרות!$E$7+1))/הגדרות!$E$7)))</f>
        <v/>
      </c>
      <c r="J766" s="0" t="str">
        <f aca="false">IF(I766="","",IF(H766-1&lt;הגדרות!$E$8*(הגדרות!$E$7+1),MOD(H766-1,הגדרות!$E$7+1),MOD(H766-1-הגדרות!$E$8*(הגדרות!$E$7+1),הגדרות!$E$7)))</f>
        <v/>
      </c>
      <c r="K766" s="0" t="str">
        <f aca="false">IF(I766="","",J766*הגדרות!$E$6+I766+1)</f>
        <v/>
      </c>
      <c r="L766" s="0" t="str">
        <f aca="false">IF(K766="","",MATCH(K766,$F$2:$F$5001,0))</f>
        <v/>
      </c>
      <c r="M766" s="0" t="str">
        <f aca="false">IF(I766="","",INDEX(הגדרות!$A$2:$A$21,MOD(I766+הגדרות!$E$9,הגדרות!$E$6)+1))</f>
        <v/>
      </c>
    </row>
    <row r="767" customFormat="false" ht="15" hidden="false" customHeight="false" outlineLevel="0" collapsed="false">
      <c r="A767" s="0" t="str">
        <f aca="false">IF('הדבקת לידים'!A767="","",IF(ISNUMBER('הדבקת לידים'!A767),IF(הגדרות!$E$2&gt;0,TEXT('הדבקת לידים'!A767,REPT("0",הגדרות!$E$2)),TEXT('הדבקת לידים'!A767,"0")),TRIM('הדבקת לידים'!A767)))</f>
        <v/>
      </c>
      <c r="B767" s="0" t="str">
        <f aca="false">IF('הדבקת לידים'!B767="","",IF(ISNUMBER('הדבקת לידים'!B767),IF(הגדרות!$E$3&gt;0,TEXT('הדבקת לידים'!B767,REPT("0",הגדרות!$E$3)),TEXT('הדבקת לידים'!B767,"0")),TRIM('הדבקת לידים'!B767)))</f>
        <v/>
      </c>
      <c r="C767" s="0" t="n">
        <f aca="false">IF(OR(A767&lt;&gt;"",B767&lt;&gt;""),1,0)</f>
        <v>0</v>
      </c>
      <c r="D767" s="0" t="str">
        <f aca="false">IF(C767=1,MOD(ABS(SIN(ROW()*12.9898+'הדבקת לידים'!$F$2*78.233+IFERROR(--RIGHT(A767,6),LEN(A767))*0.0137+IFERROR(--RIGHT(B767,6),LEN(B767))*0.0071))*43758.5453,1),"")</f>
        <v/>
      </c>
      <c r="E767" s="0" t="str">
        <f aca="false">IF(C767=1,INT(MOD(ABS(SIN(D767*7919.123+ROW()*0.618+'הדבקת לידים'!$F$2*1.3))*43758.5453,1)*1000000)*10000+ROW(),"")</f>
        <v/>
      </c>
      <c r="F767" s="0" t="str">
        <f aca="false">IF(E767="","",RANK(E767,$E$2:$E$5001,1))</f>
        <v/>
      </c>
      <c r="G767" s="0" t="n">
        <f aca="false">IF(A767="",0,IF(SUMPRODUCT(--($A$2:$A$5001=A767))&gt;1,1,0))</f>
        <v>0</v>
      </c>
      <c r="H767" s="0" t="n">
        <f aca="false">ROW()-1</f>
        <v>766</v>
      </c>
      <c r="I767" s="0" t="str">
        <f aca="false">IF(OR(הגדרות!$E$6=0,H767&gt;הגדרות!$E$5),"",IF(H767-1&lt;הגדרות!$E$8*(הגדרות!$E$7+1),INT((H767-1)/(הגדרות!$E$7+1)),הגדרות!$E$8+INT((H767-1-הגדרות!$E$8*(הגדרות!$E$7+1))/הגדרות!$E$7)))</f>
        <v/>
      </c>
      <c r="J767" s="0" t="str">
        <f aca="false">IF(I767="","",IF(H767-1&lt;הגדרות!$E$8*(הגדרות!$E$7+1),MOD(H767-1,הגדרות!$E$7+1),MOD(H767-1-הגדרות!$E$8*(הגדרות!$E$7+1),הגדרות!$E$7)))</f>
        <v/>
      </c>
      <c r="K767" s="0" t="str">
        <f aca="false">IF(I767="","",J767*הגדרות!$E$6+I767+1)</f>
        <v/>
      </c>
      <c r="L767" s="0" t="str">
        <f aca="false">IF(K767="","",MATCH(K767,$F$2:$F$5001,0))</f>
        <v/>
      </c>
      <c r="M767" s="0" t="str">
        <f aca="false">IF(I767="","",INDEX(הגדרות!$A$2:$A$21,MOD(I767+הגדרות!$E$9,הגדרות!$E$6)+1))</f>
        <v/>
      </c>
    </row>
    <row r="768" customFormat="false" ht="15" hidden="false" customHeight="false" outlineLevel="0" collapsed="false">
      <c r="A768" s="0" t="str">
        <f aca="false">IF('הדבקת לידים'!A768="","",IF(ISNUMBER('הדבקת לידים'!A768),IF(הגדרות!$E$2&gt;0,TEXT('הדבקת לידים'!A768,REPT("0",הגדרות!$E$2)),TEXT('הדבקת לידים'!A768,"0")),TRIM('הדבקת לידים'!A768)))</f>
        <v/>
      </c>
      <c r="B768" s="0" t="str">
        <f aca="false">IF('הדבקת לידים'!B768="","",IF(ISNUMBER('הדבקת לידים'!B768),IF(הגדרות!$E$3&gt;0,TEXT('הדבקת לידים'!B768,REPT("0",הגדרות!$E$3)),TEXT('הדבקת לידים'!B768,"0")),TRIM('הדבקת לידים'!B768)))</f>
        <v/>
      </c>
      <c r="C768" s="0" t="n">
        <f aca="false">IF(OR(A768&lt;&gt;"",B768&lt;&gt;""),1,0)</f>
        <v>0</v>
      </c>
      <c r="D768" s="0" t="str">
        <f aca="false">IF(C768=1,MOD(ABS(SIN(ROW()*12.9898+'הדבקת לידים'!$F$2*78.233+IFERROR(--RIGHT(A768,6),LEN(A768))*0.0137+IFERROR(--RIGHT(B768,6),LEN(B768))*0.0071))*43758.5453,1),"")</f>
        <v/>
      </c>
      <c r="E768" s="0" t="str">
        <f aca="false">IF(C768=1,INT(MOD(ABS(SIN(D768*7919.123+ROW()*0.618+'הדבקת לידים'!$F$2*1.3))*43758.5453,1)*1000000)*10000+ROW(),"")</f>
        <v/>
      </c>
      <c r="F768" s="0" t="str">
        <f aca="false">IF(E768="","",RANK(E768,$E$2:$E$5001,1))</f>
        <v/>
      </c>
      <c r="G768" s="0" t="n">
        <f aca="false">IF(A768="",0,IF(SUMPRODUCT(--($A$2:$A$5001=A768))&gt;1,1,0))</f>
        <v>0</v>
      </c>
      <c r="H768" s="0" t="n">
        <f aca="false">ROW()-1</f>
        <v>767</v>
      </c>
      <c r="I768" s="0" t="str">
        <f aca="false">IF(OR(הגדרות!$E$6=0,H768&gt;הגדרות!$E$5),"",IF(H768-1&lt;הגדרות!$E$8*(הגדרות!$E$7+1),INT((H768-1)/(הגדרות!$E$7+1)),הגדרות!$E$8+INT((H768-1-הגדרות!$E$8*(הגדרות!$E$7+1))/הגדרות!$E$7)))</f>
        <v/>
      </c>
      <c r="J768" s="0" t="str">
        <f aca="false">IF(I768="","",IF(H768-1&lt;הגדרות!$E$8*(הגדרות!$E$7+1),MOD(H768-1,הגדרות!$E$7+1),MOD(H768-1-הגדרות!$E$8*(הגדרות!$E$7+1),הגדרות!$E$7)))</f>
        <v/>
      </c>
      <c r="K768" s="0" t="str">
        <f aca="false">IF(I768="","",J768*הגדרות!$E$6+I768+1)</f>
        <v/>
      </c>
      <c r="L768" s="0" t="str">
        <f aca="false">IF(K768="","",MATCH(K768,$F$2:$F$5001,0))</f>
        <v/>
      </c>
      <c r="M768" s="0" t="str">
        <f aca="false">IF(I768="","",INDEX(הגדרות!$A$2:$A$21,MOD(I768+הגדרות!$E$9,הגדרות!$E$6)+1))</f>
        <v/>
      </c>
    </row>
    <row r="769" customFormat="false" ht="15" hidden="false" customHeight="false" outlineLevel="0" collapsed="false">
      <c r="A769" s="0" t="str">
        <f aca="false">IF('הדבקת לידים'!A769="","",IF(ISNUMBER('הדבקת לידים'!A769),IF(הגדרות!$E$2&gt;0,TEXT('הדבקת לידים'!A769,REPT("0",הגדרות!$E$2)),TEXT('הדבקת לידים'!A769,"0")),TRIM('הדבקת לידים'!A769)))</f>
        <v/>
      </c>
      <c r="B769" s="0" t="str">
        <f aca="false">IF('הדבקת לידים'!B769="","",IF(ISNUMBER('הדבקת לידים'!B769),IF(הגדרות!$E$3&gt;0,TEXT('הדבקת לידים'!B769,REPT("0",הגדרות!$E$3)),TEXT('הדבקת לידים'!B769,"0")),TRIM('הדבקת לידים'!B769)))</f>
        <v/>
      </c>
      <c r="C769" s="0" t="n">
        <f aca="false">IF(OR(A769&lt;&gt;"",B769&lt;&gt;""),1,0)</f>
        <v>0</v>
      </c>
      <c r="D769" s="0" t="str">
        <f aca="false">IF(C769=1,MOD(ABS(SIN(ROW()*12.9898+'הדבקת לידים'!$F$2*78.233+IFERROR(--RIGHT(A769,6),LEN(A769))*0.0137+IFERROR(--RIGHT(B769,6),LEN(B769))*0.0071))*43758.5453,1),"")</f>
        <v/>
      </c>
      <c r="E769" s="0" t="str">
        <f aca="false">IF(C769=1,INT(MOD(ABS(SIN(D769*7919.123+ROW()*0.618+'הדבקת לידים'!$F$2*1.3))*43758.5453,1)*1000000)*10000+ROW(),"")</f>
        <v/>
      </c>
      <c r="F769" s="0" t="str">
        <f aca="false">IF(E769="","",RANK(E769,$E$2:$E$5001,1))</f>
        <v/>
      </c>
      <c r="G769" s="0" t="n">
        <f aca="false">IF(A769="",0,IF(SUMPRODUCT(--($A$2:$A$5001=A769))&gt;1,1,0))</f>
        <v>0</v>
      </c>
      <c r="H769" s="0" t="n">
        <f aca="false">ROW()-1</f>
        <v>768</v>
      </c>
      <c r="I769" s="0" t="str">
        <f aca="false">IF(OR(הגדרות!$E$6=0,H769&gt;הגדרות!$E$5),"",IF(H769-1&lt;הגדרות!$E$8*(הגדרות!$E$7+1),INT((H769-1)/(הגדרות!$E$7+1)),הגדרות!$E$8+INT((H769-1-הגדרות!$E$8*(הגדרות!$E$7+1))/הגדרות!$E$7)))</f>
        <v/>
      </c>
      <c r="J769" s="0" t="str">
        <f aca="false">IF(I769="","",IF(H769-1&lt;הגדרות!$E$8*(הגדרות!$E$7+1),MOD(H769-1,הגדרות!$E$7+1),MOD(H769-1-הגדרות!$E$8*(הגדרות!$E$7+1),הגדרות!$E$7)))</f>
        <v/>
      </c>
      <c r="K769" s="0" t="str">
        <f aca="false">IF(I769="","",J769*הגדרות!$E$6+I769+1)</f>
        <v/>
      </c>
      <c r="L769" s="0" t="str">
        <f aca="false">IF(K769="","",MATCH(K769,$F$2:$F$5001,0))</f>
        <v/>
      </c>
      <c r="M769" s="0" t="str">
        <f aca="false">IF(I769="","",INDEX(הגדרות!$A$2:$A$21,MOD(I769+הגדרות!$E$9,הגדרות!$E$6)+1))</f>
        <v/>
      </c>
    </row>
    <row r="770" customFormat="false" ht="15" hidden="false" customHeight="false" outlineLevel="0" collapsed="false">
      <c r="A770" s="0" t="str">
        <f aca="false">IF('הדבקת לידים'!A770="","",IF(ISNUMBER('הדבקת לידים'!A770),IF(הגדרות!$E$2&gt;0,TEXT('הדבקת לידים'!A770,REPT("0",הגדרות!$E$2)),TEXT('הדבקת לידים'!A770,"0")),TRIM('הדבקת לידים'!A770)))</f>
        <v/>
      </c>
      <c r="B770" s="0" t="str">
        <f aca="false">IF('הדבקת לידים'!B770="","",IF(ISNUMBER('הדבקת לידים'!B770),IF(הגדרות!$E$3&gt;0,TEXT('הדבקת לידים'!B770,REPT("0",הגדרות!$E$3)),TEXT('הדבקת לידים'!B770,"0")),TRIM('הדבקת לידים'!B770)))</f>
        <v/>
      </c>
      <c r="C770" s="0" t="n">
        <f aca="false">IF(OR(A770&lt;&gt;"",B770&lt;&gt;""),1,0)</f>
        <v>0</v>
      </c>
      <c r="D770" s="0" t="str">
        <f aca="false">IF(C770=1,MOD(ABS(SIN(ROW()*12.9898+'הדבקת לידים'!$F$2*78.233+IFERROR(--RIGHT(A770,6),LEN(A770))*0.0137+IFERROR(--RIGHT(B770,6),LEN(B770))*0.0071))*43758.5453,1),"")</f>
        <v/>
      </c>
      <c r="E770" s="0" t="str">
        <f aca="false">IF(C770=1,INT(MOD(ABS(SIN(D770*7919.123+ROW()*0.618+'הדבקת לידים'!$F$2*1.3))*43758.5453,1)*1000000)*10000+ROW(),"")</f>
        <v/>
      </c>
      <c r="F770" s="0" t="str">
        <f aca="false">IF(E770="","",RANK(E770,$E$2:$E$5001,1))</f>
        <v/>
      </c>
      <c r="G770" s="0" t="n">
        <f aca="false">IF(A770="",0,IF(SUMPRODUCT(--($A$2:$A$5001=A770))&gt;1,1,0))</f>
        <v>0</v>
      </c>
      <c r="H770" s="0" t="n">
        <f aca="false">ROW()-1</f>
        <v>769</v>
      </c>
      <c r="I770" s="0" t="str">
        <f aca="false">IF(OR(הגדרות!$E$6=0,H770&gt;הגדרות!$E$5),"",IF(H770-1&lt;הגדרות!$E$8*(הגדרות!$E$7+1),INT((H770-1)/(הגדרות!$E$7+1)),הגדרות!$E$8+INT((H770-1-הגדרות!$E$8*(הגדרות!$E$7+1))/הגדרות!$E$7)))</f>
        <v/>
      </c>
      <c r="J770" s="0" t="str">
        <f aca="false">IF(I770="","",IF(H770-1&lt;הגדרות!$E$8*(הגדרות!$E$7+1),MOD(H770-1,הגדרות!$E$7+1),MOD(H770-1-הגדרות!$E$8*(הגדרות!$E$7+1),הגדרות!$E$7)))</f>
        <v/>
      </c>
      <c r="K770" s="0" t="str">
        <f aca="false">IF(I770="","",J770*הגדרות!$E$6+I770+1)</f>
        <v/>
      </c>
      <c r="L770" s="0" t="str">
        <f aca="false">IF(K770="","",MATCH(K770,$F$2:$F$5001,0))</f>
        <v/>
      </c>
      <c r="M770" s="0" t="str">
        <f aca="false">IF(I770="","",INDEX(הגדרות!$A$2:$A$21,MOD(I770+הגדרות!$E$9,הגדרות!$E$6)+1))</f>
        <v/>
      </c>
    </row>
    <row r="771" customFormat="false" ht="15" hidden="false" customHeight="false" outlineLevel="0" collapsed="false">
      <c r="A771" s="0" t="str">
        <f aca="false">IF('הדבקת לידים'!A771="","",IF(ISNUMBER('הדבקת לידים'!A771),IF(הגדרות!$E$2&gt;0,TEXT('הדבקת לידים'!A771,REPT("0",הגדרות!$E$2)),TEXT('הדבקת לידים'!A771,"0")),TRIM('הדבקת לידים'!A771)))</f>
        <v/>
      </c>
      <c r="B771" s="0" t="str">
        <f aca="false">IF('הדבקת לידים'!B771="","",IF(ISNUMBER('הדבקת לידים'!B771),IF(הגדרות!$E$3&gt;0,TEXT('הדבקת לידים'!B771,REPT("0",הגדרות!$E$3)),TEXT('הדבקת לידים'!B771,"0")),TRIM('הדבקת לידים'!B771)))</f>
        <v/>
      </c>
      <c r="C771" s="0" t="n">
        <f aca="false">IF(OR(A771&lt;&gt;"",B771&lt;&gt;""),1,0)</f>
        <v>0</v>
      </c>
      <c r="D771" s="0" t="str">
        <f aca="false">IF(C771=1,MOD(ABS(SIN(ROW()*12.9898+'הדבקת לידים'!$F$2*78.233+IFERROR(--RIGHT(A771,6),LEN(A771))*0.0137+IFERROR(--RIGHT(B771,6),LEN(B771))*0.0071))*43758.5453,1),"")</f>
        <v/>
      </c>
      <c r="E771" s="0" t="str">
        <f aca="false">IF(C771=1,INT(MOD(ABS(SIN(D771*7919.123+ROW()*0.618+'הדבקת לידים'!$F$2*1.3))*43758.5453,1)*1000000)*10000+ROW(),"")</f>
        <v/>
      </c>
      <c r="F771" s="0" t="str">
        <f aca="false">IF(E771="","",RANK(E771,$E$2:$E$5001,1))</f>
        <v/>
      </c>
      <c r="G771" s="0" t="n">
        <f aca="false">IF(A771="",0,IF(SUMPRODUCT(--($A$2:$A$5001=A771))&gt;1,1,0))</f>
        <v>0</v>
      </c>
      <c r="H771" s="0" t="n">
        <f aca="false">ROW()-1</f>
        <v>770</v>
      </c>
      <c r="I771" s="0" t="str">
        <f aca="false">IF(OR(הגדרות!$E$6=0,H771&gt;הגדרות!$E$5),"",IF(H771-1&lt;הגדרות!$E$8*(הגדרות!$E$7+1),INT((H771-1)/(הגדרות!$E$7+1)),הגדרות!$E$8+INT((H771-1-הגדרות!$E$8*(הגדרות!$E$7+1))/הגדרות!$E$7)))</f>
        <v/>
      </c>
      <c r="J771" s="0" t="str">
        <f aca="false">IF(I771="","",IF(H771-1&lt;הגדרות!$E$8*(הגדרות!$E$7+1),MOD(H771-1,הגדרות!$E$7+1),MOD(H771-1-הגדרות!$E$8*(הגדרות!$E$7+1),הגדרות!$E$7)))</f>
        <v/>
      </c>
      <c r="K771" s="0" t="str">
        <f aca="false">IF(I771="","",J771*הגדרות!$E$6+I771+1)</f>
        <v/>
      </c>
      <c r="L771" s="0" t="str">
        <f aca="false">IF(K771="","",MATCH(K771,$F$2:$F$5001,0))</f>
        <v/>
      </c>
      <c r="M771" s="0" t="str">
        <f aca="false">IF(I771="","",INDEX(הגדרות!$A$2:$A$21,MOD(I771+הגדרות!$E$9,הגדרות!$E$6)+1))</f>
        <v/>
      </c>
    </row>
    <row r="772" customFormat="false" ht="15" hidden="false" customHeight="false" outlineLevel="0" collapsed="false">
      <c r="A772" s="0" t="str">
        <f aca="false">IF('הדבקת לידים'!A772="","",IF(ISNUMBER('הדבקת לידים'!A772),IF(הגדרות!$E$2&gt;0,TEXT('הדבקת לידים'!A772,REPT("0",הגדרות!$E$2)),TEXT('הדבקת לידים'!A772,"0")),TRIM('הדבקת לידים'!A772)))</f>
        <v/>
      </c>
      <c r="B772" s="0" t="str">
        <f aca="false">IF('הדבקת לידים'!B772="","",IF(ISNUMBER('הדבקת לידים'!B772),IF(הגדרות!$E$3&gt;0,TEXT('הדבקת לידים'!B772,REPT("0",הגדרות!$E$3)),TEXT('הדבקת לידים'!B772,"0")),TRIM('הדבקת לידים'!B772)))</f>
        <v/>
      </c>
      <c r="C772" s="0" t="n">
        <f aca="false">IF(OR(A772&lt;&gt;"",B772&lt;&gt;""),1,0)</f>
        <v>0</v>
      </c>
      <c r="D772" s="0" t="str">
        <f aca="false">IF(C772=1,MOD(ABS(SIN(ROW()*12.9898+'הדבקת לידים'!$F$2*78.233+IFERROR(--RIGHT(A772,6),LEN(A772))*0.0137+IFERROR(--RIGHT(B772,6),LEN(B772))*0.0071))*43758.5453,1),"")</f>
        <v/>
      </c>
      <c r="E772" s="0" t="str">
        <f aca="false">IF(C772=1,INT(MOD(ABS(SIN(D772*7919.123+ROW()*0.618+'הדבקת לידים'!$F$2*1.3))*43758.5453,1)*1000000)*10000+ROW(),"")</f>
        <v/>
      </c>
      <c r="F772" s="0" t="str">
        <f aca="false">IF(E772="","",RANK(E772,$E$2:$E$5001,1))</f>
        <v/>
      </c>
      <c r="G772" s="0" t="n">
        <f aca="false">IF(A772="",0,IF(SUMPRODUCT(--($A$2:$A$5001=A772))&gt;1,1,0))</f>
        <v>0</v>
      </c>
      <c r="H772" s="0" t="n">
        <f aca="false">ROW()-1</f>
        <v>771</v>
      </c>
      <c r="I772" s="0" t="str">
        <f aca="false">IF(OR(הגדרות!$E$6=0,H772&gt;הגדרות!$E$5),"",IF(H772-1&lt;הגדרות!$E$8*(הגדרות!$E$7+1),INT((H772-1)/(הגדרות!$E$7+1)),הגדרות!$E$8+INT((H772-1-הגדרות!$E$8*(הגדרות!$E$7+1))/הגדרות!$E$7)))</f>
        <v/>
      </c>
      <c r="J772" s="0" t="str">
        <f aca="false">IF(I772="","",IF(H772-1&lt;הגדרות!$E$8*(הגדרות!$E$7+1),MOD(H772-1,הגדרות!$E$7+1),MOD(H772-1-הגדרות!$E$8*(הגדרות!$E$7+1),הגדרות!$E$7)))</f>
        <v/>
      </c>
      <c r="K772" s="0" t="str">
        <f aca="false">IF(I772="","",J772*הגדרות!$E$6+I772+1)</f>
        <v/>
      </c>
      <c r="L772" s="0" t="str">
        <f aca="false">IF(K772="","",MATCH(K772,$F$2:$F$5001,0))</f>
        <v/>
      </c>
      <c r="M772" s="0" t="str">
        <f aca="false">IF(I772="","",INDEX(הגדרות!$A$2:$A$21,MOD(I772+הגדרות!$E$9,הגדרות!$E$6)+1))</f>
        <v/>
      </c>
    </row>
    <row r="773" customFormat="false" ht="15" hidden="false" customHeight="false" outlineLevel="0" collapsed="false">
      <c r="A773" s="0" t="str">
        <f aca="false">IF('הדבקת לידים'!A773="","",IF(ISNUMBER('הדבקת לידים'!A773),IF(הגדרות!$E$2&gt;0,TEXT('הדבקת לידים'!A773,REPT("0",הגדרות!$E$2)),TEXT('הדבקת לידים'!A773,"0")),TRIM('הדבקת לידים'!A773)))</f>
        <v/>
      </c>
      <c r="B773" s="0" t="str">
        <f aca="false">IF('הדבקת לידים'!B773="","",IF(ISNUMBER('הדבקת לידים'!B773),IF(הגדרות!$E$3&gt;0,TEXT('הדבקת לידים'!B773,REPT("0",הגדרות!$E$3)),TEXT('הדבקת לידים'!B773,"0")),TRIM('הדבקת לידים'!B773)))</f>
        <v/>
      </c>
      <c r="C773" s="0" t="n">
        <f aca="false">IF(OR(A773&lt;&gt;"",B773&lt;&gt;""),1,0)</f>
        <v>0</v>
      </c>
      <c r="D773" s="0" t="str">
        <f aca="false">IF(C773=1,MOD(ABS(SIN(ROW()*12.9898+'הדבקת לידים'!$F$2*78.233+IFERROR(--RIGHT(A773,6),LEN(A773))*0.0137+IFERROR(--RIGHT(B773,6),LEN(B773))*0.0071))*43758.5453,1),"")</f>
        <v/>
      </c>
      <c r="E773" s="0" t="str">
        <f aca="false">IF(C773=1,INT(MOD(ABS(SIN(D773*7919.123+ROW()*0.618+'הדבקת לידים'!$F$2*1.3))*43758.5453,1)*1000000)*10000+ROW(),"")</f>
        <v/>
      </c>
      <c r="F773" s="0" t="str">
        <f aca="false">IF(E773="","",RANK(E773,$E$2:$E$5001,1))</f>
        <v/>
      </c>
      <c r="G773" s="0" t="n">
        <f aca="false">IF(A773="",0,IF(SUMPRODUCT(--($A$2:$A$5001=A773))&gt;1,1,0))</f>
        <v>0</v>
      </c>
      <c r="H773" s="0" t="n">
        <f aca="false">ROW()-1</f>
        <v>772</v>
      </c>
      <c r="I773" s="0" t="str">
        <f aca="false">IF(OR(הגדרות!$E$6=0,H773&gt;הגדרות!$E$5),"",IF(H773-1&lt;הגדרות!$E$8*(הגדרות!$E$7+1),INT((H773-1)/(הגדרות!$E$7+1)),הגדרות!$E$8+INT((H773-1-הגדרות!$E$8*(הגדרות!$E$7+1))/הגדרות!$E$7)))</f>
        <v/>
      </c>
      <c r="J773" s="0" t="str">
        <f aca="false">IF(I773="","",IF(H773-1&lt;הגדרות!$E$8*(הגדרות!$E$7+1),MOD(H773-1,הגדרות!$E$7+1),MOD(H773-1-הגדרות!$E$8*(הגדרות!$E$7+1),הגדרות!$E$7)))</f>
        <v/>
      </c>
      <c r="K773" s="0" t="str">
        <f aca="false">IF(I773="","",J773*הגדרות!$E$6+I773+1)</f>
        <v/>
      </c>
      <c r="L773" s="0" t="str">
        <f aca="false">IF(K773="","",MATCH(K773,$F$2:$F$5001,0))</f>
        <v/>
      </c>
      <c r="M773" s="0" t="str">
        <f aca="false">IF(I773="","",INDEX(הגדרות!$A$2:$A$21,MOD(I773+הגדרות!$E$9,הגדרות!$E$6)+1))</f>
        <v/>
      </c>
    </row>
    <row r="774" customFormat="false" ht="15" hidden="false" customHeight="false" outlineLevel="0" collapsed="false">
      <c r="A774" s="0" t="str">
        <f aca="false">IF('הדבקת לידים'!A774="","",IF(ISNUMBER('הדבקת לידים'!A774),IF(הגדרות!$E$2&gt;0,TEXT('הדבקת לידים'!A774,REPT("0",הגדרות!$E$2)),TEXT('הדבקת לידים'!A774,"0")),TRIM('הדבקת לידים'!A774)))</f>
        <v/>
      </c>
      <c r="B774" s="0" t="str">
        <f aca="false">IF('הדבקת לידים'!B774="","",IF(ISNUMBER('הדבקת לידים'!B774),IF(הגדרות!$E$3&gt;0,TEXT('הדבקת לידים'!B774,REPT("0",הגדרות!$E$3)),TEXT('הדבקת לידים'!B774,"0")),TRIM('הדבקת לידים'!B774)))</f>
        <v/>
      </c>
      <c r="C774" s="0" t="n">
        <f aca="false">IF(OR(A774&lt;&gt;"",B774&lt;&gt;""),1,0)</f>
        <v>0</v>
      </c>
      <c r="D774" s="0" t="str">
        <f aca="false">IF(C774=1,MOD(ABS(SIN(ROW()*12.9898+'הדבקת לידים'!$F$2*78.233+IFERROR(--RIGHT(A774,6),LEN(A774))*0.0137+IFERROR(--RIGHT(B774,6),LEN(B774))*0.0071))*43758.5453,1),"")</f>
        <v/>
      </c>
      <c r="E774" s="0" t="str">
        <f aca="false">IF(C774=1,INT(MOD(ABS(SIN(D774*7919.123+ROW()*0.618+'הדבקת לידים'!$F$2*1.3))*43758.5453,1)*1000000)*10000+ROW(),"")</f>
        <v/>
      </c>
      <c r="F774" s="0" t="str">
        <f aca="false">IF(E774="","",RANK(E774,$E$2:$E$5001,1))</f>
        <v/>
      </c>
      <c r="G774" s="0" t="n">
        <f aca="false">IF(A774="",0,IF(SUMPRODUCT(--($A$2:$A$5001=A774))&gt;1,1,0))</f>
        <v>0</v>
      </c>
      <c r="H774" s="0" t="n">
        <f aca="false">ROW()-1</f>
        <v>773</v>
      </c>
      <c r="I774" s="0" t="str">
        <f aca="false">IF(OR(הגדרות!$E$6=0,H774&gt;הגדרות!$E$5),"",IF(H774-1&lt;הגדרות!$E$8*(הגדרות!$E$7+1),INT((H774-1)/(הגדרות!$E$7+1)),הגדרות!$E$8+INT((H774-1-הגדרות!$E$8*(הגדרות!$E$7+1))/הגדרות!$E$7)))</f>
        <v/>
      </c>
      <c r="J774" s="0" t="str">
        <f aca="false">IF(I774="","",IF(H774-1&lt;הגדרות!$E$8*(הגדרות!$E$7+1),MOD(H774-1,הגדרות!$E$7+1),MOD(H774-1-הגדרות!$E$8*(הגדרות!$E$7+1),הגדרות!$E$7)))</f>
        <v/>
      </c>
      <c r="K774" s="0" t="str">
        <f aca="false">IF(I774="","",J774*הגדרות!$E$6+I774+1)</f>
        <v/>
      </c>
      <c r="L774" s="0" t="str">
        <f aca="false">IF(K774="","",MATCH(K774,$F$2:$F$5001,0))</f>
        <v/>
      </c>
      <c r="M774" s="0" t="str">
        <f aca="false">IF(I774="","",INDEX(הגדרות!$A$2:$A$21,MOD(I774+הגדרות!$E$9,הגדרות!$E$6)+1))</f>
        <v/>
      </c>
    </row>
    <row r="775" customFormat="false" ht="15" hidden="false" customHeight="false" outlineLevel="0" collapsed="false">
      <c r="A775" s="0" t="str">
        <f aca="false">IF('הדבקת לידים'!A775="","",IF(ISNUMBER('הדבקת לידים'!A775),IF(הגדרות!$E$2&gt;0,TEXT('הדבקת לידים'!A775,REPT("0",הגדרות!$E$2)),TEXT('הדבקת לידים'!A775,"0")),TRIM('הדבקת לידים'!A775)))</f>
        <v/>
      </c>
      <c r="B775" s="0" t="str">
        <f aca="false">IF('הדבקת לידים'!B775="","",IF(ISNUMBER('הדבקת לידים'!B775),IF(הגדרות!$E$3&gt;0,TEXT('הדבקת לידים'!B775,REPT("0",הגדרות!$E$3)),TEXT('הדבקת לידים'!B775,"0")),TRIM('הדבקת לידים'!B775)))</f>
        <v/>
      </c>
      <c r="C775" s="0" t="n">
        <f aca="false">IF(OR(A775&lt;&gt;"",B775&lt;&gt;""),1,0)</f>
        <v>0</v>
      </c>
      <c r="D775" s="0" t="str">
        <f aca="false">IF(C775=1,MOD(ABS(SIN(ROW()*12.9898+'הדבקת לידים'!$F$2*78.233+IFERROR(--RIGHT(A775,6),LEN(A775))*0.0137+IFERROR(--RIGHT(B775,6),LEN(B775))*0.0071))*43758.5453,1),"")</f>
        <v/>
      </c>
      <c r="E775" s="0" t="str">
        <f aca="false">IF(C775=1,INT(MOD(ABS(SIN(D775*7919.123+ROW()*0.618+'הדבקת לידים'!$F$2*1.3))*43758.5453,1)*1000000)*10000+ROW(),"")</f>
        <v/>
      </c>
      <c r="F775" s="0" t="str">
        <f aca="false">IF(E775="","",RANK(E775,$E$2:$E$5001,1))</f>
        <v/>
      </c>
      <c r="G775" s="0" t="n">
        <f aca="false">IF(A775="",0,IF(SUMPRODUCT(--($A$2:$A$5001=A775))&gt;1,1,0))</f>
        <v>0</v>
      </c>
      <c r="H775" s="0" t="n">
        <f aca="false">ROW()-1</f>
        <v>774</v>
      </c>
      <c r="I775" s="0" t="str">
        <f aca="false">IF(OR(הגדרות!$E$6=0,H775&gt;הגדרות!$E$5),"",IF(H775-1&lt;הגדרות!$E$8*(הגדרות!$E$7+1),INT((H775-1)/(הגדרות!$E$7+1)),הגדרות!$E$8+INT((H775-1-הגדרות!$E$8*(הגדרות!$E$7+1))/הגדרות!$E$7)))</f>
        <v/>
      </c>
      <c r="J775" s="0" t="str">
        <f aca="false">IF(I775="","",IF(H775-1&lt;הגדרות!$E$8*(הגדרות!$E$7+1),MOD(H775-1,הגדרות!$E$7+1),MOD(H775-1-הגדרות!$E$8*(הגדרות!$E$7+1),הגדרות!$E$7)))</f>
        <v/>
      </c>
      <c r="K775" s="0" t="str">
        <f aca="false">IF(I775="","",J775*הגדרות!$E$6+I775+1)</f>
        <v/>
      </c>
      <c r="L775" s="0" t="str">
        <f aca="false">IF(K775="","",MATCH(K775,$F$2:$F$5001,0))</f>
        <v/>
      </c>
      <c r="M775" s="0" t="str">
        <f aca="false">IF(I775="","",INDEX(הגדרות!$A$2:$A$21,MOD(I775+הגדרות!$E$9,הגדרות!$E$6)+1))</f>
        <v/>
      </c>
    </row>
    <row r="776" customFormat="false" ht="15" hidden="false" customHeight="false" outlineLevel="0" collapsed="false">
      <c r="A776" s="0" t="str">
        <f aca="false">IF('הדבקת לידים'!A776="","",IF(ISNUMBER('הדבקת לידים'!A776),IF(הגדרות!$E$2&gt;0,TEXT('הדבקת לידים'!A776,REPT("0",הגדרות!$E$2)),TEXT('הדבקת לידים'!A776,"0")),TRIM('הדבקת לידים'!A776)))</f>
        <v/>
      </c>
      <c r="B776" s="0" t="str">
        <f aca="false">IF('הדבקת לידים'!B776="","",IF(ISNUMBER('הדבקת לידים'!B776),IF(הגדרות!$E$3&gt;0,TEXT('הדבקת לידים'!B776,REPT("0",הגדרות!$E$3)),TEXT('הדבקת לידים'!B776,"0")),TRIM('הדבקת לידים'!B776)))</f>
        <v/>
      </c>
      <c r="C776" s="0" t="n">
        <f aca="false">IF(OR(A776&lt;&gt;"",B776&lt;&gt;""),1,0)</f>
        <v>0</v>
      </c>
      <c r="D776" s="0" t="str">
        <f aca="false">IF(C776=1,MOD(ABS(SIN(ROW()*12.9898+'הדבקת לידים'!$F$2*78.233+IFERROR(--RIGHT(A776,6),LEN(A776))*0.0137+IFERROR(--RIGHT(B776,6),LEN(B776))*0.0071))*43758.5453,1),"")</f>
        <v/>
      </c>
      <c r="E776" s="0" t="str">
        <f aca="false">IF(C776=1,INT(MOD(ABS(SIN(D776*7919.123+ROW()*0.618+'הדבקת לידים'!$F$2*1.3))*43758.5453,1)*1000000)*10000+ROW(),"")</f>
        <v/>
      </c>
      <c r="F776" s="0" t="str">
        <f aca="false">IF(E776="","",RANK(E776,$E$2:$E$5001,1))</f>
        <v/>
      </c>
      <c r="G776" s="0" t="n">
        <f aca="false">IF(A776="",0,IF(SUMPRODUCT(--($A$2:$A$5001=A776))&gt;1,1,0))</f>
        <v>0</v>
      </c>
      <c r="H776" s="0" t="n">
        <f aca="false">ROW()-1</f>
        <v>775</v>
      </c>
      <c r="I776" s="0" t="str">
        <f aca="false">IF(OR(הגדרות!$E$6=0,H776&gt;הגדרות!$E$5),"",IF(H776-1&lt;הגדרות!$E$8*(הגדרות!$E$7+1),INT((H776-1)/(הגדרות!$E$7+1)),הגדרות!$E$8+INT((H776-1-הגדרות!$E$8*(הגדרות!$E$7+1))/הגדרות!$E$7)))</f>
        <v/>
      </c>
      <c r="J776" s="0" t="str">
        <f aca="false">IF(I776="","",IF(H776-1&lt;הגדרות!$E$8*(הגדרות!$E$7+1),MOD(H776-1,הגדרות!$E$7+1),MOD(H776-1-הגדרות!$E$8*(הגדרות!$E$7+1),הגדרות!$E$7)))</f>
        <v/>
      </c>
      <c r="K776" s="0" t="str">
        <f aca="false">IF(I776="","",J776*הגדרות!$E$6+I776+1)</f>
        <v/>
      </c>
      <c r="L776" s="0" t="str">
        <f aca="false">IF(K776="","",MATCH(K776,$F$2:$F$5001,0))</f>
        <v/>
      </c>
      <c r="M776" s="0" t="str">
        <f aca="false">IF(I776="","",INDEX(הגדרות!$A$2:$A$21,MOD(I776+הגדרות!$E$9,הגדרות!$E$6)+1))</f>
        <v/>
      </c>
    </row>
    <row r="777" customFormat="false" ht="15" hidden="false" customHeight="false" outlineLevel="0" collapsed="false">
      <c r="A777" s="0" t="str">
        <f aca="false">IF('הדבקת לידים'!A777="","",IF(ISNUMBER('הדבקת לידים'!A777),IF(הגדרות!$E$2&gt;0,TEXT('הדבקת לידים'!A777,REPT("0",הגדרות!$E$2)),TEXT('הדבקת לידים'!A777,"0")),TRIM('הדבקת לידים'!A777)))</f>
        <v/>
      </c>
      <c r="B777" s="0" t="str">
        <f aca="false">IF('הדבקת לידים'!B777="","",IF(ISNUMBER('הדבקת לידים'!B777),IF(הגדרות!$E$3&gt;0,TEXT('הדבקת לידים'!B777,REPT("0",הגדרות!$E$3)),TEXT('הדבקת לידים'!B777,"0")),TRIM('הדבקת לידים'!B777)))</f>
        <v/>
      </c>
      <c r="C777" s="0" t="n">
        <f aca="false">IF(OR(A777&lt;&gt;"",B777&lt;&gt;""),1,0)</f>
        <v>0</v>
      </c>
      <c r="D777" s="0" t="str">
        <f aca="false">IF(C777=1,MOD(ABS(SIN(ROW()*12.9898+'הדבקת לידים'!$F$2*78.233+IFERROR(--RIGHT(A777,6),LEN(A777))*0.0137+IFERROR(--RIGHT(B777,6),LEN(B777))*0.0071))*43758.5453,1),"")</f>
        <v/>
      </c>
      <c r="E777" s="0" t="str">
        <f aca="false">IF(C777=1,INT(MOD(ABS(SIN(D777*7919.123+ROW()*0.618+'הדבקת לידים'!$F$2*1.3))*43758.5453,1)*1000000)*10000+ROW(),"")</f>
        <v/>
      </c>
      <c r="F777" s="0" t="str">
        <f aca="false">IF(E777="","",RANK(E777,$E$2:$E$5001,1))</f>
        <v/>
      </c>
      <c r="G777" s="0" t="n">
        <f aca="false">IF(A777="",0,IF(SUMPRODUCT(--($A$2:$A$5001=A777))&gt;1,1,0))</f>
        <v>0</v>
      </c>
      <c r="H777" s="0" t="n">
        <f aca="false">ROW()-1</f>
        <v>776</v>
      </c>
      <c r="I777" s="0" t="str">
        <f aca="false">IF(OR(הגדרות!$E$6=0,H777&gt;הגדרות!$E$5),"",IF(H777-1&lt;הגדרות!$E$8*(הגדרות!$E$7+1),INT((H777-1)/(הגדרות!$E$7+1)),הגדרות!$E$8+INT((H777-1-הגדרות!$E$8*(הגדרות!$E$7+1))/הגדרות!$E$7)))</f>
        <v/>
      </c>
      <c r="J777" s="0" t="str">
        <f aca="false">IF(I777="","",IF(H777-1&lt;הגדרות!$E$8*(הגדרות!$E$7+1),MOD(H777-1,הגדרות!$E$7+1),MOD(H777-1-הגדרות!$E$8*(הגדרות!$E$7+1),הגדרות!$E$7)))</f>
        <v/>
      </c>
      <c r="K777" s="0" t="str">
        <f aca="false">IF(I777="","",J777*הגדרות!$E$6+I777+1)</f>
        <v/>
      </c>
      <c r="L777" s="0" t="str">
        <f aca="false">IF(K777="","",MATCH(K777,$F$2:$F$5001,0))</f>
        <v/>
      </c>
      <c r="M777" s="0" t="str">
        <f aca="false">IF(I777="","",INDEX(הגדרות!$A$2:$A$21,MOD(I777+הגדרות!$E$9,הגדרות!$E$6)+1))</f>
        <v/>
      </c>
    </row>
    <row r="778" customFormat="false" ht="15" hidden="false" customHeight="false" outlineLevel="0" collapsed="false">
      <c r="A778" s="0" t="str">
        <f aca="false">IF('הדבקת לידים'!A778="","",IF(ISNUMBER('הדבקת לידים'!A778),IF(הגדרות!$E$2&gt;0,TEXT('הדבקת לידים'!A778,REPT("0",הגדרות!$E$2)),TEXT('הדבקת לידים'!A778,"0")),TRIM('הדבקת לידים'!A778)))</f>
        <v/>
      </c>
      <c r="B778" s="0" t="str">
        <f aca="false">IF('הדבקת לידים'!B778="","",IF(ISNUMBER('הדבקת לידים'!B778),IF(הגדרות!$E$3&gt;0,TEXT('הדבקת לידים'!B778,REPT("0",הגדרות!$E$3)),TEXT('הדבקת לידים'!B778,"0")),TRIM('הדבקת לידים'!B778)))</f>
        <v/>
      </c>
      <c r="C778" s="0" t="n">
        <f aca="false">IF(OR(A778&lt;&gt;"",B778&lt;&gt;""),1,0)</f>
        <v>0</v>
      </c>
      <c r="D778" s="0" t="str">
        <f aca="false">IF(C778=1,MOD(ABS(SIN(ROW()*12.9898+'הדבקת לידים'!$F$2*78.233+IFERROR(--RIGHT(A778,6),LEN(A778))*0.0137+IFERROR(--RIGHT(B778,6),LEN(B778))*0.0071))*43758.5453,1),"")</f>
        <v/>
      </c>
      <c r="E778" s="0" t="str">
        <f aca="false">IF(C778=1,INT(MOD(ABS(SIN(D778*7919.123+ROW()*0.618+'הדבקת לידים'!$F$2*1.3))*43758.5453,1)*1000000)*10000+ROW(),"")</f>
        <v/>
      </c>
      <c r="F778" s="0" t="str">
        <f aca="false">IF(E778="","",RANK(E778,$E$2:$E$5001,1))</f>
        <v/>
      </c>
      <c r="G778" s="0" t="n">
        <f aca="false">IF(A778="",0,IF(SUMPRODUCT(--($A$2:$A$5001=A778))&gt;1,1,0))</f>
        <v>0</v>
      </c>
      <c r="H778" s="0" t="n">
        <f aca="false">ROW()-1</f>
        <v>777</v>
      </c>
      <c r="I778" s="0" t="str">
        <f aca="false">IF(OR(הגדרות!$E$6=0,H778&gt;הגדרות!$E$5),"",IF(H778-1&lt;הגדרות!$E$8*(הגדרות!$E$7+1),INT((H778-1)/(הגדרות!$E$7+1)),הגדרות!$E$8+INT((H778-1-הגדרות!$E$8*(הגדרות!$E$7+1))/הגדרות!$E$7)))</f>
        <v/>
      </c>
      <c r="J778" s="0" t="str">
        <f aca="false">IF(I778="","",IF(H778-1&lt;הגדרות!$E$8*(הגדרות!$E$7+1),MOD(H778-1,הגדרות!$E$7+1),MOD(H778-1-הגדרות!$E$8*(הגדרות!$E$7+1),הגדרות!$E$7)))</f>
        <v/>
      </c>
      <c r="K778" s="0" t="str">
        <f aca="false">IF(I778="","",J778*הגדרות!$E$6+I778+1)</f>
        <v/>
      </c>
      <c r="L778" s="0" t="str">
        <f aca="false">IF(K778="","",MATCH(K778,$F$2:$F$5001,0))</f>
        <v/>
      </c>
      <c r="M778" s="0" t="str">
        <f aca="false">IF(I778="","",INDEX(הגדרות!$A$2:$A$21,MOD(I778+הגדרות!$E$9,הגדרות!$E$6)+1))</f>
        <v/>
      </c>
    </row>
    <row r="779" customFormat="false" ht="15" hidden="false" customHeight="false" outlineLevel="0" collapsed="false">
      <c r="A779" s="0" t="str">
        <f aca="false">IF('הדבקת לידים'!A779="","",IF(ISNUMBER('הדבקת לידים'!A779),IF(הגדרות!$E$2&gt;0,TEXT('הדבקת לידים'!A779,REPT("0",הגדרות!$E$2)),TEXT('הדבקת לידים'!A779,"0")),TRIM('הדבקת לידים'!A779)))</f>
        <v/>
      </c>
      <c r="B779" s="0" t="str">
        <f aca="false">IF('הדבקת לידים'!B779="","",IF(ISNUMBER('הדבקת לידים'!B779),IF(הגדרות!$E$3&gt;0,TEXT('הדבקת לידים'!B779,REPT("0",הגדרות!$E$3)),TEXT('הדבקת לידים'!B779,"0")),TRIM('הדבקת לידים'!B779)))</f>
        <v/>
      </c>
      <c r="C779" s="0" t="n">
        <f aca="false">IF(OR(A779&lt;&gt;"",B779&lt;&gt;""),1,0)</f>
        <v>0</v>
      </c>
      <c r="D779" s="0" t="str">
        <f aca="false">IF(C779=1,MOD(ABS(SIN(ROW()*12.9898+'הדבקת לידים'!$F$2*78.233+IFERROR(--RIGHT(A779,6),LEN(A779))*0.0137+IFERROR(--RIGHT(B779,6),LEN(B779))*0.0071))*43758.5453,1),"")</f>
        <v/>
      </c>
      <c r="E779" s="0" t="str">
        <f aca="false">IF(C779=1,INT(MOD(ABS(SIN(D779*7919.123+ROW()*0.618+'הדבקת לידים'!$F$2*1.3))*43758.5453,1)*1000000)*10000+ROW(),"")</f>
        <v/>
      </c>
      <c r="F779" s="0" t="str">
        <f aca="false">IF(E779="","",RANK(E779,$E$2:$E$5001,1))</f>
        <v/>
      </c>
      <c r="G779" s="0" t="n">
        <f aca="false">IF(A779="",0,IF(SUMPRODUCT(--($A$2:$A$5001=A779))&gt;1,1,0))</f>
        <v>0</v>
      </c>
      <c r="H779" s="0" t="n">
        <f aca="false">ROW()-1</f>
        <v>778</v>
      </c>
      <c r="I779" s="0" t="str">
        <f aca="false">IF(OR(הגדרות!$E$6=0,H779&gt;הגדרות!$E$5),"",IF(H779-1&lt;הגדרות!$E$8*(הגדרות!$E$7+1),INT((H779-1)/(הגדרות!$E$7+1)),הגדרות!$E$8+INT((H779-1-הגדרות!$E$8*(הגדרות!$E$7+1))/הגדרות!$E$7)))</f>
        <v/>
      </c>
      <c r="J779" s="0" t="str">
        <f aca="false">IF(I779="","",IF(H779-1&lt;הגדרות!$E$8*(הגדרות!$E$7+1),MOD(H779-1,הגדרות!$E$7+1),MOD(H779-1-הגדרות!$E$8*(הגדרות!$E$7+1),הגדרות!$E$7)))</f>
        <v/>
      </c>
      <c r="K779" s="0" t="str">
        <f aca="false">IF(I779="","",J779*הגדרות!$E$6+I779+1)</f>
        <v/>
      </c>
      <c r="L779" s="0" t="str">
        <f aca="false">IF(K779="","",MATCH(K779,$F$2:$F$5001,0))</f>
        <v/>
      </c>
      <c r="M779" s="0" t="str">
        <f aca="false">IF(I779="","",INDEX(הגדרות!$A$2:$A$21,MOD(I779+הגדרות!$E$9,הגדרות!$E$6)+1))</f>
        <v/>
      </c>
    </row>
    <row r="780" customFormat="false" ht="15" hidden="false" customHeight="false" outlineLevel="0" collapsed="false">
      <c r="A780" s="0" t="str">
        <f aca="false">IF('הדבקת לידים'!A780="","",IF(ISNUMBER('הדבקת לידים'!A780),IF(הגדרות!$E$2&gt;0,TEXT('הדבקת לידים'!A780,REPT("0",הגדרות!$E$2)),TEXT('הדבקת לידים'!A780,"0")),TRIM('הדבקת לידים'!A780)))</f>
        <v/>
      </c>
      <c r="B780" s="0" t="str">
        <f aca="false">IF('הדבקת לידים'!B780="","",IF(ISNUMBER('הדבקת לידים'!B780),IF(הגדרות!$E$3&gt;0,TEXT('הדבקת לידים'!B780,REPT("0",הגדרות!$E$3)),TEXT('הדבקת לידים'!B780,"0")),TRIM('הדבקת לידים'!B780)))</f>
        <v/>
      </c>
      <c r="C780" s="0" t="n">
        <f aca="false">IF(OR(A780&lt;&gt;"",B780&lt;&gt;""),1,0)</f>
        <v>0</v>
      </c>
      <c r="D780" s="0" t="str">
        <f aca="false">IF(C780=1,MOD(ABS(SIN(ROW()*12.9898+'הדבקת לידים'!$F$2*78.233+IFERROR(--RIGHT(A780,6),LEN(A780))*0.0137+IFERROR(--RIGHT(B780,6),LEN(B780))*0.0071))*43758.5453,1),"")</f>
        <v/>
      </c>
      <c r="E780" s="0" t="str">
        <f aca="false">IF(C780=1,INT(MOD(ABS(SIN(D780*7919.123+ROW()*0.618+'הדבקת לידים'!$F$2*1.3))*43758.5453,1)*1000000)*10000+ROW(),"")</f>
        <v/>
      </c>
      <c r="F780" s="0" t="str">
        <f aca="false">IF(E780="","",RANK(E780,$E$2:$E$5001,1))</f>
        <v/>
      </c>
      <c r="G780" s="0" t="n">
        <f aca="false">IF(A780="",0,IF(SUMPRODUCT(--($A$2:$A$5001=A780))&gt;1,1,0))</f>
        <v>0</v>
      </c>
      <c r="H780" s="0" t="n">
        <f aca="false">ROW()-1</f>
        <v>779</v>
      </c>
      <c r="I780" s="0" t="str">
        <f aca="false">IF(OR(הגדרות!$E$6=0,H780&gt;הגדרות!$E$5),"",IF(H780-1&lt;הגדרות!$E$8*(הגדרות!$E$7+1),INT((H780-1)/(הגדרות!$E$7+1)),הגדרות!$E$8+INT((H780-1-הגדרות!$E$8*(הגדרות!$E$7+1))/הגדרות!$E$7)))</f>
        <v/>
      </c>
      <c r="J780" s="0" t="str">
        <f aca="false">IF(I780="","",IF(H780-1&lt;הגדרות!$E$8*(הגדרות!$E$7+1),MOD(H780-1,הגדרות!$E$7+1),MOD(H780-1-הגדרות!$E$8*(הגדרות!$E$7+1),הגדרות!$E$7)))</f>
        <v/>
      </c>
      <c r="K780" s="0" t="str">
        <f aca="false">IF(I780="","",J780*הגדרות!$E$6+I780+1)</f>
        <v/>
      </c>
      <c r="L780" s="0" t="str">
        <f aca="false">IF(K780="","",MATCH(K780,$F$2:$F$5001,0))</f>
        <v/>
      </c>
      <c r="M780" s="0" t="str">
        <f aca="false">IF(I780="","",INDEX(הגדרות!$A$2:$A$21,MOD(I780+הגדרות!$E$9,הגדרות!$E$6)+1))</f>
        <v/>
      </c>
    </row>
    <row r="781" customFormat="false" ht="15" hidden="false" customHeight="false" outlineLevel="0" collapsed="false">
      <c r="A781" s="0" t="str">
        <f aca="false">IF('הדבקת לידים'!A781="","",IF(ISNUMBER('הדבקת לידים'!A781),IF(הגדרות!$E$2&gt;0,TEXT('הדבקת לידים'!A781,REPT("0",הגדרות!$E$2)),TEXT('הדבקת לידים'!A781,"0")),TRIM('הדבקת לידים'!A781)))</f>
        <v/>
      </c>
      <c r="B781" s="0" t="str">
        <f aca="false">IF('הדבקת לידים'!B781="","",IF(ISNUMBER('הדבקת לידים'!B781),IF(הגדרות!$E$3&gt;0,TEXT('הדבקת לידים'!B781,REPT("0",הגדרות!$E$3)),TEXT('הדבקת לידים'!B781,"0")),TRIM('הדבקת לידים'!B781)))</f>
        <v/>
      </c>
      <c r="C781" s="0" t="n">
        <f aca="false">IF(OR(A781&lt;&gt;"",B781&lt;&gt;""),1,0)</f>
        <v>0</v>
      </c>
      <c r="D781" s="0" t="str">
        <f aca="false">IF(C781=1,MOD(ABS(SIN(ROW()*12.9898+'הדבקת לידים'!$F$2*78.233+IFERROR(--RIGHT(A781,6),LEN(A781))*0.0137+IFERROR(--RIGHT(B781,6),LEN(B781))*0.0071))*43758.5453,1),"")</f>
        <v/>
      </c>
      <c r="E781" s="0" t="str">
        <f aca="false">IF(C781=1,INT(MOD(ABS(SIN(D781*7919.123+ROW()*0.618+'הדבקת לידים'!$F$2*1.3))*43758.5453,1)*1000000)*10000+ROW(),"")</f>
        <v/>
      </c>
      <c r="F781" s="0" t="str">
        <f aca="false">IF(E781="","",RANK(E781,$E$2:$E$5001,1))</f>
        <v/>
      </c>
      <c r="G781" s="0" t="n">
        <f aca="false">IF(A781="",0,IF(SUMPRODUCT(--($A$2:$A$5001=A781))&gt;1,1,0))</f>
        <v>0</v>
      </c>
      <c r="H781" s="0" t="n">
        <f aca="false">ROW()-1</f>
        <v>780</v>
      </c>
      <c r="I781" s="0" t="str">
        <f aca="false">IF(OR(הגדרות!$E$6=0,H781&gt;הגדרות!$E$5),"",IF(H781-1&lt;הגדרות!$E$8*(הגדרות!$E$7+1),INT((H781-1)/(הגדרות!$E$7+1)),הגדרות!$E$8+INT((H781-1-הגדרות!$E$8*(הגדרות!$E$7+1))/הגדרות!$E$7)))</f>
        <v/>
      </c>
      <c r="J781" s="0" t="str">
        <f aca="false">IF(I781="","",IF(H781-1&lt;הגדרות!$E$8*(הגדרות!$E$7+1),MOD(H781-1,הגדרות!$E$7+1),MOD(H781-1-הגדרות!$E$8*(הגדרות!$E$7+1),הגדרות!$E$7)))</f>
        <v/>
      </c>
      <c r="K781" s="0" t="str">
        <f aca="false">IF(I781="","",J781*הגדרות!$E$6+I781+1)</f>
        <v/>
      </c>
      <c r="L781" s="0" t="str">
        <f aca="false">IF(K781="","",MATCH(K781,$F$2:$F$5001,0))</f>
        <v/>
      </c>
      <c r="M781" s="0" t="str">
        <f aca="false">IF(I781="","",INDEX(הגדרות!$A$2:$A$21,MOD(I781+הגדרות!$E$9,הגדרות!$E$6)+1))</f>
        <v/>
      </c>
    </row>
    <row r="782" customFormat="false" ht="15" hidden="false" customHeight="false" outlineLevel="0" collapsed="false">
      <c r="A782" s="0" t="str">
        <f aca="false">IF('הדבקת לידים'!A782="","",IF(ISNUMBER('הדבקת לידים'!A782),IF(הגדרות!$E$2&gt;0,TEXT('הדבקת לידים'!A782,REPT("0",הגדרות!$E$2)),TEXT('הדבקת לידים'!A782,"0")),TRIM('הדבקת לידים'!A782)))</f>
        <v/>
      </c>
      <c r="B782" s="0" t="str">
        <f aca="false">IF('הדבקת לידים'!B782="","",IF(ISNUMBER('הדבקת לידים'!B782),IF(הגדרות!$E$3&gt;0,TEXT('הדבקת לידים'!B782,REPT("0",הגדרות!$E$3)),TEXT('הדבקת לידים'!B782,"0")),TRIM('הדבקת לידים'!B782)))</f>
        <v/>
      </c>
      <c r="C782" s="0" t="n">
        <f aca="false">IF(OR(A782&lt;&gt;"",B782&lt;&gt;""),1,0)</f>
        <v>0</v>
      </c>
      <c r="D782" s="0" t="str">
        <f aca="false">IF(C782=1,MOD(ABS(SIN(ROW()*12.9898+'הדבקת לידים'!$F$2*78.233+IFERROR(--RIGHT(A782,6),LEN(A782))*0.0137+IFERROR(--RIGHT(B782,6),LEN(B782))*0.0071))*43758.5453,1),"")</f>
        <v/>
      </c>
      <c r="E782" s="0" t="str">
        <f aca="false">IF(C782=1,INT(MOD(ABS(SIN(D782*7919.123+ROW()*0.618+'הדבקת לידים'!$F$2*1.3))*43758.5453,1)*1000000)*10000+ROW(),"")</f>
        <v/>
      </c>
      <c r="F782" s="0" t="str">
        <f aca="false">IF(E782="","",RANK(E782,$E$2:$E$5001,1))</f>
        <v/>
      </c>
      <c r="G782" s="0" t="n">
        <f aca="false">IF(A782="",0,IF(SUMPRODUCT(--($A$2:$A$5001=A782))&gt;1,1,0))</f>
        <v>0</v>
      </c>
      <c r="H782" s="0" t="n">
        <f aca="false">ROW()-1</f>
        <v>781</v>
      </c>
      <c r="I782" s="0" t="str">
        <f aca="false">IF(OR(הגדרות!$E$6=0,H782&gt;הגדרות!$E$5),"",IF(H782-1&lt;הגדרות!$E$8*(הגדרות!$E$7+1),INT((H782-1)/(הגדרות!$E$7+1)),הגדרות!$E$8+INT((H782-1-הגדרות!$E$8*(הגדרות!$E$7+1))/הגדרות!$E$7)))</f>
        <v/>
      </c>
      <c r="J782" s="0" t="str">
        <f aca="false">IF(I782="","",IF(H782-1&lt;הגדרות!$E$8*(הגדרות!$E$7+1),MOD(H782-1,הגדרות!$E$7+1),MOD(H782-1-הגדרות!$E$8*(הגדרות!$E$7+1),הגדרות!$E$7)))</f>
        <v/>
      </c>
      <c r="K782" s="0" t="str">
        <f aca="false">IF(I782="","",J782*הגדרות!$E$6+I782+1)</f>
        <v/>
      </c>
      <c r="L782" s="0" t="str">
        <f aca="false">IF(K782="","",MATCH(K782,$F$2:$F$5001,0))</f>
        <v/>
      </c>
      <c r="M782" s="0" t="str">
        <f aca="false">IF(I782="","",INDEX(הגדרות!$A$2:$A$21,MOD(I782+הגדרות!$E$9,הגדרות!$E$6)+1))</f>
        <v/>
      </c>
    </row>
    <row r="783" customFormat="false" ht="15" hidden="false" customHeight="false" outlineLevel="0" collapsed="false">
      <c r="A783" s="0" t="str">
        <f aca="false">IF('הדבקת לידים'!A783="","",IF(ISNUMBER('הדבקת לידים'!A783),IF(הגדרות!$E$2&gt;0,TEXT('הדבקת לידים'!A783,REPT("0",הגדרות!$E$2)),TEXT('הדבקת לידים'!A783,"0")),TRIM('הדבקת לידים'!A783)))</f>
        <v/>
      </c>
      <c r="B783" s="0" t="str">
        <f aca="false">IF('הדבקת לידים'!B783="","",IF(ISNUMBER('הדבקת לידים'!B783),IF(הגדרות!$E$3&gt;0,TEXT('הדבקת לידים'!B783,REPT("0",הגדרות!$E$3)),TEXT('הדבקת לידים'!B783,"0")),TRIM('הדבקת לידים'!B783)))</f>
        <v/>
      </c>
      <c r="C783" s="0" t="n">
        <f aca="false">IF(OR(A783&lt;&gt;"",B783&lt;&gt;""),1,0)</f>
        <v>0</v>
      </c>
      <c r="D783" s="0" t="str">
        <f aca="false">IF(C783=1,MOD(ABS(SIN(ROW()*12.9898+'הדבקת לידים'!$F$2*78.233+IFERROR(--RIGHT(A783,6),LEN(A783))*0.0137+IFERROR(--RIGHT(B783,6),LEN(B783))*0.0071))*43758.5453,1),"")</f>
        <v/>
      </c>
      <c r="E783" s="0" t="str">
        <f aca="false">IF(C783=1,INT(MOD(ABS(SIN(D783*7919.123+ROW()*0.618+'הדבקת לידים'!$F$2*1.3))*43758.5453,1)*1000000)*10000+ROW(),"")</f>
        <v/>
      </c>
      <c r="F783" s="0" t="str">
        <f aca="false">IF(E783="","",RANK(E783,$E$2:$E$5001,1))</f>
        <v/>
      </c>
      <c r="G783" s="0" t="n">
        <f aca="false">IF(A783="",0,IF(SUMPRODUCT(--($A$2:$A$5001=A783))&gt;1,1,0))</f>
        <v>0</v>
      </c>
      <c r="H783" s="0" t="n">
        <f aca="false">ROW()-1</f>
        <v>782</v>
      </c>
      <c r="I783" s="0" t="str">
        <f aca="false">IF(OR(הגדרות!$E$6=0,H783&gt;הגדרות!$E$5),"",IF(H783-1&lt;הגדרות!$E$8*(הגדרות!$E$7+1),INT((H783-1)/(הגדרות!$E$7+1)),הגדרות!$E$8+INT((H783-1-הגדרות!$E$8*(הגדרות!$E$7+1))/הגדרות!$E$7)))</f>
        <v/>
      </c>
      <c r="J783" s="0" t="str">
        <f aca="false">IF(I783="","",IF(H783-1&lt;הגדרות!$E$8*(הגדרות!$E$7+1),MOD(H783-1,הגדרות!$E$7+1),MOD(H783-1-הגדרות!$E$8*(הגדרות!$E$7+1),הגדרות!$E$7)))</f>
        <v/>
      </c>
      <c r="K783" s="0" t="str">
        <f aca="false">IF(I783="","",J783*הגדרות!$E$6+I783+1)</f>
        <v/>
      </c>
      <c r="L783" s="0" t="str">
        <f aca="false">IF(K783="","",MATCH(K783,$F$2:$F$5001,0))</f>
        <v/>
      </c>
      <c r="M783" s="0" t="str">
        <f aca="false">IF(I783="","",INDEX(הגדרות!$A$2:$A$21,MOD(I783+הגדרות!$E$9,הגדרות!$E$6)+1))</f>
        <v/>
      </c>
    </row>
    <row r="784" customFormat="false" ht="15" hidden="false" customHeight="false" outlineLevel="0" collapsed="false">
      <c r="A784" s="0" t="str">
        <f aca="false">IF('הדבקת לידים'!A784="","",IF(ISNUMBER('הדבקת לידים'!A784),IF(הגדרות!$E$2&gt;0,TEXT('הדבקת לידים'!A784,REPT("0",הגדרות!$E$2)),TEXT('הדבקת לידים'!A784,"0")),TRIM('הדבקת לידים'!A784)))</f>
        <v/>
      </c>
      <c r="B784" s="0" t="str">
        <f aca="false">IF('הדבקת לידים'!B784="","",IF(ISNUMBER('הדבקת לידים'!B784),IF(הגדרות!$E$3&gt;0,TEXT('הדבקת לידים'!B784,REPT("0",הגדרות!$E$3)),TEXT('הדבקת לידים'!B784,"0")),TRIM('הדבקת לידים'!B784)))</f>
        <v/>
      </c>
      <c r="C784" s="0" t="n">
        <f aca="false">IF(OR(A784&lt;&gt;"",B784&lt;&gt;""),1,0)</f>
        <v>0</v>
      </c>
      <c r="D784" s="0" t="str">
        <f aca="false">IF(C784=1,MOD(ABS(SIN(ROW()*12.9898+'הדבקת לידים'!$F$2*78.233+IFERROR(--RIGHT(A784,6),LEN(A784))*0.0137+IFERROR(--RIGHT(B784,6),LEN(B784))*0.0071))*43758.5453,1),"")</f>
        <v/>
      </c>
      <c r="E784" s="0" t="str">
        <f aca="false">IF(C784=1,INT(MOD(ABS(SIN(D784*7919.123+ROW()*0.618+'הדבקת לידים'!$F$2*1.3))*43758.5453,1)*1000000)*10000+ROW(),"")</f>
        <v/>
      </c>
      <c r="F784" s="0" t="str">
        <f aca="false">IF(E784="","",RANK(E784,$E$2:$E$5001,1))</f>
        <v/>
      </c>
      <c r="G784" s="0" t="n">
        <f aca="false">IF(A784="",0,IF(SUMPRODUCT(--($A$2:$A$5001=A784))&gt;1,1,0))</f>
        <v>0</v>
      </c>
      <c r="H784" s="0" t="n">
        <f aca="false">ROW()-1</f>
        <v>783</v>
      </c>
      <c r="I784" s="0" t="str">
        <f aca="false">IF(OR(הגדרות!$E$6=0,H784&gt;הגדרות!$E$5),"",IF(H784-1&lt;הגדרות!$E$8*(הגדרות!$E$7+1),INT((H784-1)/(הגדרות!$E$7+1)),הגדרות!$E$8+INT((H784-1-הגדרות!$E$8*(הגדרות!$E$7+1))/הגדרות!$E$7)))</f>
        <v/>
      </c>
      <c r="J784" s="0" t="str">
        <f aca="false">IF(I784="","",IF(H784-1&lt;הגדרות!$E$8*(הגדרות!$E$7+1),MOD(H784-1,הגדרות!$E$7+1),MOD(H784-1-הגדרות!$E$8*(הגדרות!$E$7+1),הגדרות!$E$7)))</f>
        <v/>
      </c>
      <c r="K784" s="0" t="str">
        <f aca="false">IF(I784="","",J784*הגדרות!$E$6+I784+1)</f>
        <v/>
      </c>
      <c r="L784" s="0" t="str">
        <f aca="false">IF(K784="","",MATCH(K784,$F$2:$F$5001,0))</f>
        <v/>
      </c>
      <c r="M784" s="0" t="str">
        <f aca="false">IF(I784="","",INDEX(הגדרות!$A$2:$A$21,MOD(I784+הגדרות!$E$9,הגדרות!$E$6)+1))</f>
        <v/>
      </c>
    </row>
    <row r="785" customFormat="false" ht="15" hidden="false" customHeight="false" outlineLevel="0" collapsed="false">
      <c r="A785" s="0" t="str">
        <f aca="false">IF('הדבקת לידים'!A785="","",IF(ISNUMBER('הדבקת לידים'!A785),IF(הגדרות!$E$2&gt;0,TEXT('הדבקת לידים'!A785,REPT("0",הגדרות!$E$2)),TEXT('הדבקת לידים'!A785,"0")),TRIM('הדבקת לידים'!A785)))</f>
        <v/>
      </c>
      <c r="B785" s="0" t="str">
        <f aca="false">IF('הדבקת לידים'!B785="","",IF(ISNUMBER('הדבקת לידים'!B785),IF(הגדרות!$E$3&gt;0,TEXT('הדבקת לידים'!B785,REPT("0",הגדרות!$E$3)),TEXT('הדבקת לידים'!B785,"0")),TRIM('הדבקת לידים'!B785)))</f>
        <v/>
      </c>
      <c r="C785" s="0" t="n">
        <f aca="false">IF(OR(A785&lt;&gt;"",B785&lt;&gt;""),1,0)</f>
        <v>0</v>
      </c>
      <c r="D785" s="0" t="str">
        <f aca="false">IF(C785=1,MOD(ABS(SIN(ROW()*12.9898+'הדבקת לידים'!$F$2*78.233+IFERROR(--RIGHT(A785,6),LEN(A785))*0.0137+IFERROR(--RIGHT(B785,6),LEN(B785))*0.0071))*43758.5453,1),"")</f>
        <v/>
      </c>
      <c r="E785" s="0" t="str">
        <f aca="false">IF(C785=1,INT(MOD(ABS(SIN(D785*7919.123+ROW()*0.618+'הדבקת לידים'!$F$2*1.3))*43758.5453,1)*1000000)*10000+ROW(),"")</f>
        <v/>
      </c>
      <c r="F785" s="0" t="str">
        <f aca="false">IF(E785="","",RANK(E785,$E$2:$E$5001,1))</f>
        <v/>
      </c>
      <c r="G785" s="0" t="n">
        <f aca="false">IF(A785="",0,IF(SUMPRODUCT(--($A$2:$A$5001=A785))&gt;1,1,0))</f>
        <v>0</v>
      </c>
      <c r="H785" s="0" t="n">
        <f aca="false">ROW()-1</f>
        <v>784</v>
      </c>
      <c r="I785" s="0" t="str">
        <f aca="false">IF(OR(הגדרות!$E$6=0,H785&gt;הגדרות!$E$5),"",IF(H785-1&lt;הגדרות!$E$8*(הגדרות!$E$7+1),INT((H785-1)/(הגדרות!$E$7+1)),הגדרות!$E$8+INT((H785-1-הגדרות!$E$8*(הגדרות!$E$7+1))/הגדרות!$E$7)))</f>
        <v/>
      </c>
      <c r="J785" s="0" t="str">
        <f aca="false">IF(I785="","",IF(H785-1&lt;הגדרות!$E$8*(הגדרות!$E$7+1),MOD(H785-1,הגדרות!$E$7+1),MOD(H785-1-הגדרות!$E$8*(הגדרות!$E$7+1),הגדרות!$E$7)))</f>
        <v/>
      </c>
      <c r="K785" s="0" t="str">
        <f aca="false">IF(I785="","",J785*הגדרות!$E$6+I785+1)</f>
        <v/>
      </c>
      <c r="L785" s="0" t="str">
        <f aca="false">IF(K785="","",MATCH(K785,$F$2:$F$5001,0))</f>
        <v/>
      </c>
      <c r="M785" s="0" t="str">
        <f aca="false">IF(I785="","",INDEX(הגדרות!$A$2:$A$21,MOD(I785+הגדרות!$E$9,הגדרות!$E$6)+1))</f>
        <v/>
      </c>
    </row>
    <row r="786" customFormat="false" ht="15" hidden="false" customHeight="false" outlineLevel="0" collapsed="false">
      <c r="A786" s="0" t="str">
        <f aca="false">IF('הדבקת לידים'!A786="","",IF(ISNUMBER('הדבקת לידים'!A786),IF(הגדרות!$E$2&gt;0,TEXT('הדבקת לידים'!A786,REPT("0",הגדרות!$E$2)),TEXT('הדבקת לידים'!A786,"0")),TRIM('הדבקת לידים'!A786)))</f>
        <v/>
      </c>
      <c r="B786" s="0" t="str">
        <f aca="false">IF('הדבקת לידים'!B786="","",IF(ISNUMBER('הדבקת לידים'!B786),IF(הגדרות!$E$3&gt;0,TEXT('הדבקת לידים'!B786,REPT("0",הגדרות!$E$3)),TEXT('הדבקת לידים'!B786,"0")),TRIM('הדבקת לידים'!B786)))</f>
        <v/>
      </c>
      <c r="C786" s="0" t="n">
        <f aca="false">IF(OR(A786&lt;&gt;"",B786&lt;&gt;""),1,0)</f>
        <v>0</v>
      </c>
      <c r="D786" s="0" t="str">
        <f aca="false">IF(C786=1,MOD(ABS(SIN(ROW()*12.9898+'הדבקת לידים'!$F$2*78.233+IFERROR(--RIGHT(A786,6),LEN(A786))*0.0137+IFERROR(--RIGHT(B786,6),LEN(B786))*0.0071))*43758.5453,1),"")</f>
        <v/>
      </c>
      <c r="E786" s="0" t="str">
        <f aca="false">IF(C786=1,INT(MOD(ABS(SIN(D786*7919.123+ROW()*0.618+'הדבקת לידים'!$F$2*1.3))*43758.5453,1)*1000000)*10000+ROW(),"")</f>
        <v/>
      </c>
      <c r="F786" s="0" t="str">
        <f aca="false">IF(E786="","",RANK(E786,$E$2:$E$5001,1))</f>
        <v/>
      </c>
      <c r="G786" s="0" t="n">
        <f aca="false">IF(A786="",0,IF(SUMPRODUCT(--($A$2:$A$5001=A786))&gt;1,1,0))</f>
        <v>0</v>
      </c>
      <c r="H786" s="0" t="n">
        <f aca="false">ROW()-1</f>
        <v>785</v>
      </c>
      <c r="I786" s="0" t="str">
        <f aca="false">IF(OR(הגדרות!$E$6=0,H786&gt;הגדרות!$E$5),"",IF(H786-1&lt;הגדרות!$E$8*(הגדרות!$E$7+1),INT((H786-1)/(הגדרות!$E$7+1)),הגדרות!$E$8+INT((H786-1-הגדרות!$E$8*(הגדרות!$E$7+1))/הגדרות!$E$7)))</f>
        <v/>
      </c>
      <c r="J786" s="0" t="str">
        <f aca="false">IF(I786="","",IF(H786-1&lt;הגדרות!$E$8*(הגדרות!$E$7+1),MOD(H786-1,הגדרות!$E$7+1),MOD(H786-1-הגדרות!$E$8*(הגדרות!$E$7+1),הגדרות!$E$7)))</f>
        <v/>
      </c>
      <c r="K786" s="0" t="str">
        <f aca="false">IF(I786="","",J786*הגדרות!$E$6+I786+1)</f>
        <v/>
      </c>
      <c r="L786" s="0" t="str">
        <f aca="false">IF(K786="","",MATCH(K786,$F$2:$F$5001,0))</f>
        <v/>
      </c>
      <c r="M786" s="0" t="str">
        <f aca="false">IF(I786="","",INDEX(הגדרות!$A$2:$A$21,MOD(I786+הגדרות!$E$9,הגדרות!$E$6)+1))</f>
        <v/>
      </c>
    </row>
    <row r="787" customFormat="false" ht="15" hidden="false" customHeight="false" outlineLevel="0" collapsed="false">
      <c r="A787" s="0" t="str">
        <f aca="false">IF('הדבקת לידים'!A787="","",IF(ISNUMBER('הדבקת לידים'!A787),IF(הגדרות!$E$2&gt;0,TEXT('הדבקת לידים'!A787,REPT("0",הגדרות!$E$2)),TEXT('הדבקת לידים'!A787,"0")),TRIM('הדבקת לידים'!A787)))</f>
        <v/>
      </c>
      <c r="B787" s="0" t="str">
        <f aca="false">IF('הדבקת לידים'!B787="","",IF(ISNUMBER('הדבקת לידים'!B787),IF(הגדרות!$E$3&gt;0,TEXT('הדבקת לידים'!B787,REPT("0",הגדרות!$E$3)),TEXT('הדבקת לידים'!B787,"0")),TRIM('הדבקת לידים'!B787)))</f>
        <v/>
      </c>
      <c r="C787" s="0" t="n">
        <f aca="false">IF(OR(A787&lt;&gt;"",B787&lt;&gt;""),1,0)</f>
        <v>0</v>
      </c>
      <c r="D787" s="0" t="str">
        <f aca="false">IF(C787=1,MOD(ABS(SIN(ROW()*12.9898+'הדבקת לידים'!$F$2*78.233+IFERROR(--RIGHT(A787,6),LEN(A787))*0.0137+IFERROR(--RIGHT(B787,6),LEN(B787))*0.0071))*43758.5453,1),"")</f>
        <v/>
      </c>
      <c r="E787" s="0" t="str">
        <f aca="false">IF(C787=1,INT(MOD(ABS(SIN(D787*7919.123+ROW()*0.618+'הדבקת לידים'!$F$2*1.3))*43758.5453,1)*1000000)*10000+ROW(),"")</f>
        <v/>
      </c>
      <c r="F787" s="0" t="str">
        <f aca="false">IF(E787="","",RANK(E787,$E$2:$E$5001,1))</f>
        <v/>
      </c>
      <c r="G787" s="0" t="n">
        <f aca="false">IF(A787="",0,IF(SUMPRODUCT(--($A$2:$A$5001=A787))&gt;1,1,0))</f>
        <v>0</v>
      </c>
      <c r="H787" s="0" t="n">
        <f aca="false">ROW()-1</f>
        <v>786</v>
      </c>
      <c r="I787" s="0" t="str">
        <f aca="false">IF(OR(הגדרות!$E$6=0,H787&gt;הגדרות!$E$5),"",IF(H787-1&lt;הגדרות!$E$8*(הגדרות!$E$7+1),INT((H787-1)/(הגדרות!$E$7+1)),הגדרות!$E$8+INT((H787-1-הגדרות!$E$8*(הגדרות!$E$7+1))/הגדרות!$E$7)))</f>
        <v/>
      </c>
      <c r="J787" s="0" t="str">
        <f aca="false">IF(I787="","",IF(H787-1&lt;הגדרות!$E$8*(הגדרות!$E$7+1),MOD(H787-1,הגדרות!$E$7+1),MOD(H787-1-הגדרות!$E$8*(הגדרות!$E$7+1),הגדרות!$E$7)))</f>
        <v/>
      </c>
      <c r="K787" s="0" t="str">
        <f aca="false">IF(I787="","",J787*הגדרות!$E$6+I787+1)</f>
        <v/>
      </c>
      <c r="L787" s="0" t="str">
        <f aca="false">IF(K787="","",MATCH(K787,$F$2:$F$5001,0))</f>
        <v/>
      </c>
      <c r="M787" s="0" t="str">
        <f aca="false">IF(I787="","",INDEX(הגדרות!$A$2:$A$21,MOD(I787+הגדרות!$E$9,הגדרות!$E$6)+1))</f>
        <v/>
      </c>
    </row>
    <row r="788" customFormat="false" ht="15" hidden="false" customHeight="false" outlineLevel="0" collapsed="false">
      <c r="A788" s="0" t="str">
        <f aca="false">IF('הדבקת לידים'!A788="","",IF(ISNUMBER('הדבקת לידים'!A788),IF(הגדרות!$E$2&gt;0,TEXT('הדבקת לידים'!A788,REPT("0",הגדרות!$E$2)),TEXT('הדבקת לידים'!A788,"0")),TRIM('הדבקת לידים'!A788)))</f>
        <v/>
      </c>
      <c r="B788" s="0" t="str">
        <f aca="false">IF('הדבקת לידים'!B788="","",IF(ISNUMBER('הדבקת לידים'!B788),IF(הגדרות!$E$3&gt;0,TEXT('הדבקת לידים'!B788,REPT("0",הגדרות!$E$3)),TEXT('הדבקת לידים'!B788,"0")),TRIM('הדבקת לידים'!B788)))</f>
        <v/>
      </c>
      <c r="C788" s="0" t="n">
        <f aca="false">IF(OR(A788&lt;&gt;"",B788&lt;&gt;""),1,0)</f>
        <v>0</v>
      </c>
      <c r="D788" s="0" t="str">
        <f aca="false">IF(C788=1,MOD(ABS(SIN(ROW()*12.9898+'הדבקת לידים'!$F$2*78.233+IFERROR(--RIGHT(A788,6),LEN(A788))*0.0137+IFERROR(--RIGHT(B788,6),LEN(B788))*0.0071))*43758.5453,1),"")</f>
        <v/>
      </c>
      <c r="E788" s="0" t="str">
        <f aca="false">IF(C788=1,INT(MOD(ABS(SIN(D788*7919.123+ROW()*0.618+'הדבקת לידים'!$F$2*1.3))*43758.5453,1)*1000000)*10000+ROW(),"")</f>
        <v/>
      </c>
      <c r="F788" s="0" t="str">
        <f aca="false">IF(E788="","",RANK(E788,$E$2:$E$5001,1))</f>
        <v/>
      </c>
      <c r="G788" s="0" t="n">
        <f aca="false">IF(A788="",0,IF(SUMPRODUCT(--($A$2:$A$5001=A788))&gt;1,1,0))</f>
        <v>0</v>
      </c>
      <c r="H788" s="0" t="n">
        <f aca="false">ROW()-1</f>
        <v>787</v>
      </c>
      <c r="I788" s="0" t="str">
        <f aca="false">IF(OR(הגדרות!$E$6=0,H788&gt;הגדרות!$E$5),"",IF(H788-1&lt;הגדרות!$E$8*(הגדרות!$E$7+1),INT((H788-1)/(הגדרות!$E$7+1)),הגדרות!$E$8+INT((H788-1-הגדרות!$E$8*(הגדרות!$E$7+1))/הגדרות!$E$7)))</f>
        <v/>
      </c>
      <c r="J788" s="0" t="str">
        <f aca="false">IF(I788="","",IF(H788-1&lt;הגדרות!$E$8*(הגדרות!$E$7+1),MOD(H788-1,הגדרות!$E$7+1),MOD(H788-1-הגדרות!$E$8*(הגדרות!$E$7+1),הגדרות!$E$7)))</f>
        <v/>
      </c>
      <c r="K788" s="0" t="str">
        <f aca="false">IF(I788="","",J788*הגדרות!$E$6+I788+1)</f>
        <v/>
      </c>
      <c r="L788" s="0" t="str">
        <f aca="false">IF(K788="","",MATCH(K788,$F$2:$F$5001,0))</f>
        <v/>
      </c>
      <c r="M788" s="0" t="str">
        <f aca="false">IF(I788="","",INDEX(הגדרות!$A$2:$A$21,MOD(I788+הגדרות!$E$9,הגדרות!$E$6)+1))</f>
        <v/>
      </c>
    </row>
    <row r="789" customFormat="false" ht="15" hidden="false" customHeight="false" outlineLevel="0" collapsed="false">
      <c r="A789" s="0" t="str">
        <f aca="false">IF('הדבקת לידים'!A789="","",IF(ISNUMBER('הדבקת לידים'!A789),IF(הגדרות!$E$2&gt;0,TEXT('הדבקת לידים'!A789,REPT("0",הגדרות!$E$2)),TEXT('הדבקת לידים'!A789,"0")),TRIM('הדבקת לידים'!A789)))</f>
        <v/>
      </c>
      <c r="B789" s="0" t="str">
        <f aca="false">IF('הדבקת לידים'!B789="","",IF(ISNUMBER('הדבקת לידים'!B789),IF(הגדרות!$E$3&gt;0,TEXT('הדבקת לידים'!B789,REPT("0",הגדרות!$E$3)),TEXT('הדבקת לידים'!B789,"0")),TRIM('הדבקת לידים'!B789)))</f>
        <v/>
      </c>
      <c r="C789" s="0" t="n">
        <f aca="false">IF(OR(A789&lt;&gt;"",B789&lt;&gt;""),1,0)</f>
        <v>0</v>
      </c>
      <c r="D789" s="0" t="str">
        <f aca="false">IF(C789=1,MOD(ABS(SIN(ROW()*12.9898+'הדבקת לידים'!$F$2*78.233+IFERROR(--RIGHT(A789,6),LEN(A789))*0.0137+IFERROR(--RIGHT(B789,6),LEN(B789))*0.0071))*43758.5453,1),"")</f>
        <v/>
      </c>
      <c r="E789" s="0" t="str">
        <f aca="false">IF(C789=1,INT(MOD(ABS(SIN(D789*7919.123+ROW()*0.618+'הדבקת לידים'!$F$2*1.3))*43758.5453,1)*1000000)*10000+ROW(),"")</f>
        <v/>
      </c>
      <c r="F789" s="0" t="str">
        <f aca="false">IF(E789="","",RANK(E789,$E$2:$E$5001,1))</f>
        <v/>
      </c>
      <c r="G789" s="0" t="n">
        <f aca="false">IF(A789="",0,IF(SUMPRODUCT(--($A$2:$A$5001=A789))&gt;1,1,0))</f>
        <v>0</v>
      </c>
      <c r="H789" s="0" t="n">
        <f aca="false">ROW()-1</f>
        <v>788</v>
      </c>
      <c r="I789" s="0" t="str">
        <f aca="false">IF(OR(הגדרות!$E$6=0,H789&gt;הגדרות!$E$5),"",IF(H789-1&lt;הגדרות!$E$8*(הגדרות!$E$7+1),INT((H789-1)/(הגדרות!$E$7+1)),הגדרות!$E$8+INT((H789-1-הגדרות!$E$8*(הגדרות!$E$7+1))/הגדרות!$E$7)))</f>
        <v/>
      </c>
      <c r="J789" s="0" t="str">
        <f aca="false">IF(I789="","",IF(H789-1&lt;הגדרות!$E$8*(הגדרות!$E$7+1),MOD(H789-1,הגדרות!$E$7+1),MOD(H789-1-הגדרות!$E$8*(הגדרות!$E$7+1),הגדרות!$E$7)))</f>
        <v/>
      </c>
      <c r="K789" s="0" t="str">
        <f aca="false">IF(I789="","",J789*הגדרות!$E$6+I789+1)</f>
        <v/>
      </c>
      <c r="L789" s="0" t="str">
        <f aca="false">IF(K789="","",MATCH(K789,$F$2:$F$5001,0))</f>
        <v/>
      </c>
      <c r="M789" s="0" t="str">
        <f aca="false">IF(I789="","",INDEX(הגדרות!$A$2:$A$21,MOD(I789+הגדרות!$E$9,הגדרות!$E$6)+1))</f>
        <v/>
      </c>
    </row>
    <row r="790" customFormat="false" ht="15" hidden="false" customHeight="false" outlineLevel="0" collapsed="false">
      <c r="A790" s="0" t="str">
        <f aca="false">IF('הדבקת לידים'!A790="","",IF(ISNUMBER('הדבקת לידים'!A790),IF(הגדרות!$E$2&gt;0,TEXT('הדבקת לידים'!A790,REPT("0",הגדרות!$E$2)),TEXT('הדבקת לידים'!A790,"0")),TRIM('הדבקת לידים'!A790)))</f>
        <v/>
      </c>
      <c r="B790" s="0" t="str">
        <f aca="false">IF('הדבקת לידים'!B790="","",IF(ISNUMBER('הדבקת לידים'!B790),IF(הגדרות!$E$3&gt;0,TEXT('הדבקת לידים'!B790,REPT("0",הגדרות!$E$3)),TEXT('הדבקת לידים'!B790,"0")),TRIM('הדבקת לידים'!B790)))</f>
        <v/>
      </c>
      <c r="C790" s="0" t="n">
        <f aca="false">IF(OR(A790&lt;&gt;"",B790&lt;&gt;""),1,0)</f>
        <v>0</v>
      </c>
      <c r="D790" s="0" t="str">
        <f aca="false">IF(C790=1,MOD(ABS(SIN(ROW()*12.9898+'הדבקת לידים'!$F$2*78.233+IFERROR(--RIGHT(A790,6),LEN(A790))*0.0137+IFERROR(--RIGHT(B790,6),LEN(B790))*0.0071))*43758.5453,1),"")</f>
        <v/>
      </c>
      <c r="E790" s="0" t="str">
        <f aca="false">IF(C790=1,INT(MOD(ABS(SIN(D790*7919.123+ROW()*0.618+'הדבקת לידים'!$F$2*1.3))*43758.5453,1)*1000000)*10000+ROW(),"")</f>
        <v/>
      </c>
      <c r="F790" s="0" t="str">
        <f aca="false">IF(E790="","",RANK(E790,$E$2:$E$5001,1))</f>
        <v/>
      </c>
      <c r="G790" s="0" t="n">
        <f aca="false">IF(A790="",0,IF(SUMPRODUCT(--($A$2:$A$5001=A790))&gt;1,1,0))</f>
        <v>0</v>
      </c>
      <c r="H790" s="0" t="n">
        <f aca="false">ROW()-1</f>
        <v>789</v>
      </c>
      <c r="I790" s="0" t="str">
        <f aca="false">IF(OR(הגדרות!$E$6=0,H790&gt;הגדרות!$E$5),"",IF(H790-1&lt;הגדרות!$E$8*(הגדרות!$E$7+1),INT((H790-1)/(הגדרות!$E$7+1)),הגדרות!$E$8+INT((H790-1-הגדרות!$E$8*(הגדרות!$E$7+1))/הגדרות!$E$7)))</f>
        <v/>
      </c>
      <c r="J790" s="0" t="str">
        <f aca="false">IF(I790="","",IF(H790-1&lt;הגדרות!$E$8*(הגדרות!$E$7+1),MOD(H790-1,הגדרות!$E$7+1),MOD(H790-1-הגדרות!$E$8*(הגדרות!$E$7+1),הגדרות!$E$7)))</f>
        <v/>
      </c>
      <c r="K790" s="0" t="str">
        <f aca="false">IF(I790="","",J790*הגדרות!$E$6+I790+1)</f>
        <v/>
      </c>
      <c r="L790" s="0" t="str">
        <f aca="false">IF(K790="","",MATCH(K790,$F$2:$F$5001,0))</f>
        <v/>
      </c>
      <c r="M790" s="0" t="str">
        <f aca="false">IF(I790="","",INDEX(הגדרות!$A$2:$A$21,MOD(I790+הגדרות!$E$9,הגדרות!$E$6)+1))</f>
        <v/>
      </c>
    </row>
    <row r="791" customFormat="false" ht="15" hidden="false" customHeight="false" outlineLevel="0" collapsed="false">
      <c r="A791" s="0" t="str">
        <f aca="false">IF('הדבקת לידים'!A791="","",IF(ISNUMBER('הדבקת לידים'!A791),IF(הגדרות!$E$2&gt;0,TEXT('הדבקת לידים'!A791,REPT("0",הגדרות!$E$2)),TEXT('הדבקת לידים'!A791,"0")),TRIM('הדבקת לידים'!A791)))</f>
        <v/>
      </c>
      <c r="B791" s="0" t="str">
        <f aca="false">IF('הדבקת לידים'!B791="","",IF(ISNUMBER('הדבקת לידים'!B791),IF(הגדרות!$E$3&gt;0,TEXT('הדבקת לידים'!B791,REPT("0",הגדרות!$E$3)),TEXT('הדבקת לידים'!B791,"0")),TRIM('הדבקת לידים'!B791)))</f>
        <v/>
      </c>
      <c r="C791" s="0" t="n">
        <f aca="false">IF(OR(A791&lt;&gt;"",B791&lt;&gt;""),1,0)</f>
        <v>0</v>
      </c>
      <c r="D791" s="0" t="str">
        <f aca="false">IF(C791=1,MOD(ABS(SIN(ROW()*12.9898+'הדבקת לידים'!$F$2*78.233+IFERROR(--RIGHT(A791,6),LEN(A791))*0.0137+IFERROR(--RIGHT(B791,6),LEN(B791))*0.0071))*43758.5453,1),"")</f>
        <v/>
      </c>
      <c r="E791" s="0" t="str">
        <f aca="false">IF(C791=1,INT(MOD(ABS(SIN(D791*7919.123+ROW()*0.618+'הדבקת לידים'!$F$2*1.3))*43758.5453,1)*1000000)*10000+ROW(),"")</f>
        <v/>
      </c>
      <c r="F791" s="0" t="str">
        <f aca="false">IF(E791="","",RANK(E791,$E$2:$E$5001,1))</f>
        <v/>
      </c>
      <c r="G791" s="0" t="n">
        <f aca="false">IF(A791="",0,IF(SUMPRODUCT(--($A$2:$A$5001=A791))&gt;1,1,0))</f>
        <v>0</v>
      </c>
      <c r="H791" s="0" t="n">
        <f aca="false">ROW()-1</f>
        <v>790</v>
      </c>
      <c r="I791" s="0" t="str">
        <f aca="false">IF(OR(הגדרות!$E$6=0,H791&gt;הגדרות!$E$5),"",IF(H791-1&lt;הגדרות!$E$8*(הגדרות!$E$7+1),INT((H791-1)/(הגדרות!$E$7+1)),הגדרות!$E$8+INT((H791-1-הגדרות!$E$8*(הגדרות!$E$7+1))/הגדרות!$E$7)))</f>
        <v/>
      </c>
      <c r="J791" s="0" t="str">
        <f aca="false">IF(I791="","",IF(H791-1&lt;הגדרות!$E$8*(הגדרות!$E$7+1),MOD(H791-1,הגדרות!$E$7+1),MOD(H791-1-הגדרות!$E$8*(הגדרות!$E$7+1),הגדרות!$E$7)))</f>
        <v/>
      </c>
      <c r="K791" s="0" t="str">
        <f aca="false">IF(I791="","",J791*הגדרות!$E$6+I791+1)</f>
        <v/>
      </c>
      <c r="L791" s="0" t="str">
        <f aca="false">IF(K791="","",MATCH(K791,$F$2:$F$5001,0))</f>
        <v/>
      </c>
      <c r="M791" s="0" t="str">
        <f aca="false">IF(I791="","",INDEX(הגדרות!$A$2:$A$21,MOD(I791+הגדרות!$E$9,הגדרות!$E$6)+1))</f>
        <v/>
      </c>
    </row>
    <row r="792" customFormat="false" ht="15" hidden="false" customHeight="false" outlineLevel="0" collapsed="false">
      <c r="A792" s="0" t="str">
        <f aca="false">IF('הדבקת לידים'!A792="","",IF(ISNUMBER('הדבקת לידים'!A792),IF(הגדרות!$E$2&gt;0,TEXT('הדבקת לידים'!A792,REPT("0",הגדרות!$E$2)),TEXT('הדבקת לידים'!A792,"0")),TRIM('הדבקת לידים'!A792)))</f>
        <v/>
      </c>
      <c r="B792" s="0" t="str">
        <f aca="false">IF('הדבקת לידים'!B792="","",IF(ISNUMBER('הדבקת לידים'!B792),IF(הגדרות!$E$3&gt;0,TEXT('הדבקת לידים'!B792,REPT("0",הגדרות!$E$3)),TEXT('הדבקת לידים'!B792,"0")),TRIM('הדבקת לידים'!B792)))</f>
        <v/>
      </c>
      <c r="C792" s="0" t="n">
        <f aca="false">IF(OR(A792&lt;&gt;"",B792&lt;&gt;""),1,0)</f>
        <v>0</v>
      </c>
      <c r="D792" s="0" t="str">
        <f aca="false">IF(C792=1,MOD(ABS(SIN(ROW()*12.9898+'הדבקת לידים'!$F$2*78.233+IFERROR(--RIGHT(A792,6),LEN(A792))*0.0137+IFERROR(--RIGHT(B792,6),LEN(B792))*0.0071))*43758.5453,1),"")</f>
        <v/>
      </c>
      <c r="E792" s="0" t="str">
        <f aca="false">IF(C792=1,INT(MOD(ABS(SIN(D792*7919.123+ROW()*0.618+'הדבקת לידים'!$F$2*1.3))*43758.5453,1)*1000000)*10000+ROW(),"")</f>
        <v/>
      </c>
      <c r="F792" s="0" t="str">
        <f aca="false">IF(E792="","",RANK(E792,$E$2:$E$5001,1))</f>
        <v/>
      </c>
      <c r="G792" s="0" t="n">
        <f aca="false">IF(A792="",0,IF(SUMPRODUCT(--($A$2:$A$5001=A792))&gt;1,1,0))</f>
        <v>0</v>
      </c>
      <c r="H792" s="0" t="n">
        <f aca="false">ROW()-1</f>
        <v>791</v>
      </c>
      <c r="I792" s="0" t="str">
        <f aca="false">IF(OR(הגדרות!$E$6=0,H792&gt;הגדרות!$E$5),"",IF(H792-1&lt;הגדרות!$E$8*(הגדרות!$E$7+1),INT((H792-1)/(הגדרות!$E$7+1)),הגדרות!$E$8+INT((H792-1-הגדרות!$E$8*(הגדרות!$E$7+1))/הגדרות!$E$7)))</f>
        <v/>
      </c>
      <c r="J792" s="0" t="str">
        <f aca="false">IF(I792="","",IF(H792-1&lt;הגדרות!$E$8*(הגדרות!$E$7+1),MOD(H792-1,הגדרות!$E$7+1),MOD(H792-1-הגדרות!$E$8*(הגדרות!$E$7+1),הגדרות!$E$7)))</f>
        <v/>
      </c>
      <c r="K792" s="0" t="str">
        <f aca="false">IF(I792="","",J792*הגדרות!$E$6+I792+1)</f>
        <v/>
      </c>
      <c r="L792" s="0" t="str">
        <f aca="false">IF(K792="","",MATCH(K792,$F$2:$F$5001,0))</f>
        <v/>
      </c>
      <c r="M792" s="0" t="str">
        <f aca="false">IF(I792="","",INDEX(הגדרות!$A$2:$A$21,MOD(I792+הגדרות!$E$9,הגדרות!$E$6)+1))</f>
        <v/>
      </c>
    </row>
    <row r="793" customFormat="false" ht="15" hidden="false" customHeight="false" outlineLevel="0" collapsed="false">
      <c r="A793" s="0" t="str">
        <f aca="false">IF('הדבקת לידים'!A793="","",IF(ISNUMBER('הדבקת לידים'!A793),IF(הגדרות!$E$2&gt;0,TEXT('הדבקת לידים'!A793,REPT("0",הגדרות!$E$2)),TEXT('הדבקת לידים'!A793,"0")),TRIM('הדבקת לידים'!A793)))</f>
        <v/>
      </c>
      <c r="B793" s="0" t="str">
        <f aca="false">IF('הדבקת לידים'!B793="","",IF(ISNUMBER('הדבקת לידים'!B793),IF(הגדרות!$E$3&gt;0,TEXT('הדבקת לידים'!B793,REPT("0",הגדרות!$E$3)),TEXT('הדבקת לידים'!B793,"0")),TRIM('הדבקת לידים'!B793)))</f>
        <v/>
      </c>
      <c r="C793" s="0" t="n">
        <f aca="false">IF(OR(A793&lt;&gt;"",B793&lt;&gt;""),1,0)</f>
        <v>0</v>
      </c>
      <c r="D793" s="0" t="str">
        <f aca="false">IF(C793=1,MOD(ABS(SIN(ROW()*12.9898+'הדבקת לידים'!$F$2*78.233+IFERROR(--RIGHT(A793,6),LEN(A793))*0.0137+IFERROR(--RIGHT(B793,6),LEN(B793))*0.0071))*43758.5453,1),"")</f>
        <v/>
      </c>
      <c r="E793" s="0" t="str">
        <f aca="false">IF(C793=1,INT(MOD(ABS(SIN(D793*7919.123+ROW()*0.618+'הדבקת לידים'!$F$2*1.3))*43758.5453,1)*1000000)*10000+ROW(),"")</f>
        <v/>
      </c>
      <c r="F793" s="0" t="str">
        <f aca="false">IF(E793="","",RANK(E793,$E$2:$E$5001,1))</f>
        <v/>
      </c>
      <c r="G793" s="0" t="n">
        <f aca="false">IF(A793="",0,IF(SUMPRODUCT(--($A$2:$A$5001=A793))&gt;1,1,0))</f>
        <v>0</v>
      </c>
      <c r="H793" s="0" t="n">
        <f aca="false">ROW()-1</f>
        <v>792</v>
      </c>
      <c r="I793" s="0" t="str">
        <f aca="false">IF(OR(הגדרות!$E$6=0,H793&gt;הגדרות!$E$5),"",IF(H793-1&lt;הגדרות!$E$8*(הגדרות!$E$7+1),INT((H793-1)/(הגדרות!$E$7+1)),הגדרות!$E$8+INT((H793-1-הגדרות!$E$8*(הגדרות!$E$7+1))/הגדרות!$E$7)))</f>
        <v/>
      </c>
      <c r="J793" s="0" t="str">
        <f aca="false">IF(I793="","",IF(H793-1&lt;הגדרות!$E$8*(הגדרות!$E$7+1),MOD(H793-1,הגדרות!$E$7+1),MOD(H793-1-הגדרות!$E$8*(הגדרות!$E$7+1),הגדרות!$E$7)))</f>
        <v/>
      </c>
      <c r="K793" s="0" t="str">
        <f aca="false">IF(I793="","",J793*הגדרות!$E$6+I793+1)</f>
        <v/>
      </c>
      <c r="L793" s="0" t="str">
        <f aca="false">IF(K793="","",MATCH(K793,$F$2:$F$5001,0))</f>
        <v/>
      </c>
      <c r="M793" s="0" t="str">
        <f aca="false">IF(I793="","",INDEX(הגדרות!$A$2:$A$21,MOD(I793+הגדרות!$E$9,הגדרות!$E$6)+1))</f>
        <v/>
      </c>
    </row>
    <row r="794" customFormat="false" ht="15" hidden="false" customHeight="false" outlineLevel="0" collapsed="false">
      <c r="A794" s="0" t="str">
        <f aca="false">IF('הדבקת לידים'!A794="","",IF(ISNUMBER('הדבקת לידים'!A794),IF(הגדרות!$E$2&gt;0,TEXT('הדבקת לידים'!A794,REPT("0",הגדרות!$E$2)),TEXT('הדבקת לידים'!A794,"0")),TRIM('הדבקת לידים'!A794)))</f>
        <v/>
      </c>
      <c r="B794" s="0" t="str">
        <f aca="false">IF('הדבקת לידים'!B794="","",IF(ISNUMBER('הדבקת לידים'!B794),IF(הגדרות!$E$3&gt;0,TEXT('הדבקת לידים'!B794,REPT("0",הגדרות!$E$3)),TEXT('הדבקת לידים'!B794,"0")),TRIM('הדבקת לידים'!B794)))</f>
        <v/>
      </c>
      <c r="C794" s="0" t="n">
        <f aca="false">IF(OR(A794&lt;&gt;"",B794&lt;&gt;""),1,0)</f>
        <v>0</v>
      </c>
      <c r="D794" s="0" t="str">
        <f aca="false">IF(C794=1,MOD(ABS(SIN(ROW()*12.9898+'הדבקת לידים'!$F$2*78.233+IFERROR(--RIGHT(A794,6),LEN(A794))*0.0137+IFERROR(--RIGHT(B794,6),LEN(B794))*0.0071))*43758.5453,1),"")</f>
        <v/>
      </c>
      <c r="E794" s="0" t="str">
        <f aca="false">IF(C794=1,INT(MOD(ABS(SIN(D794*7919.123+ROW()*0.618+'הדבקת לידים'!$F$2*1.3))*43758.5453,1)*1000000)*10000+ROW(),"")</f>
        <v/>
      </c>
      <c r="F794" s="0" t="str">
        <f aca="false">IF(E794="","",RANK(E794,$E$2:$E$5001,1))</f>
        <v/>
      </c>
      <c r="G794" s="0" t="n">
        <f aca="false">IF(A794="",0,IF(SUMPRODUCT(--($A$2:$A$5001=A794))&gt;1,1,0))</f>
        <v>0</v>
      </c>
      <c r="H794" s="0" t="n">
        <f aca="false">ROW()-1</f>
        <v>793</v>
      </c>
      <c r="I794" s="0" t="str">
        <f aca="false">IF(OR(הגדרות!$E$6=0,H794&gt;הגדרות!$E$5),"",IF(H794-1&lt;הגדרות!$E$8*(הגדרות!$E$7+1),INT((H794-1)/(הגדרות!$E$7+1)),הגדרות!$E$8+INT((H794-1-הגדרות!$E$8*(הגדרות!$E$7+1))/הגדרות!$E$7)))</f>
        <v/>
      </c>
      <c r="J794" s="0" t="str">
        <f aca="false">IF(I794="","",IF(H794-1&lt;הגדרות!$E$8*(הגדרות!$E$7+1),MOD(H794-1,הגדרות!$E$7+1),MOD(H794-1-הגדרות!$E$8*(הגדרות!$E$7+1),הגדרות!$E$7)))</f>
        <v/>
      </c>
      <c r="K794" s="0" t="str">
        <f aca="false">IF(I794="","",J794*הגדרות!$E$6+I794+1)</f>
        <v/>
      </c>
      <c r="L794" s="0" t="str">
        <f aca="false">IF(K794="","",MATCH(K794,$F$2:$F$5001,0))</f>
        <v/>
      </c>
      <c r="M794" s="0" t="str">
        <f aca="false">IF(I794="","",INDEX(הגדרות!$A$2:$A$21,MOD(I794+הגדרות!$E$9,הגדרות!$E$6)+1))</f>
        <v/>
      </c>
    </row>
    <row r="795" customFormat="false" ht="15" hidden="false" customHeight="false" outlineLevel="0" collapsed="false">
      <c r="A795" s="0" t="str">
        <f aca="false">IF('הדבקת לידים'!A795="","",IF(ISNUMBER('הדבקת לידים'!A795),IF(הגדרות!$E$2&gt;0,TEXT('הדבקת לידים'!A795,REPT("0",הגדרות!$E$2)),TEXT('הדבקת לידים'!A795,"0")),TRIM('הדבקת לידים'!A795)))</f>
        <v/>
      </c>
      <c r="B795" s="0" t="str">
        <f aca="false">IF('הדבקת לידים'!B795="","",IF(ISNUMBER('הדבקת לידים'!B795),IF(הגדרות!$E$3&gt;0,TEXT('הדבקת לידים'!B795,REPT("0",הגדרות!$E$3)),TEXT('הדבקת לידים'!B795,"0")),TRIM('הדבקת לידים'!B795)))</f>
        <v/>
      </c>
      <c r="C795" s="0" t="n">
        <f aca="false">IF(OR(A795&lt;&gt;"",B795&lt;&gt;""),1,0)</f>
        <v>0</v>
      </c>
      <c r="D795" s="0" t="str">
        <f aca="false">IF(C795=1,MOD(ABS(SIN(ROW()*12.9898+'הדבקת לידים'!$F$2*78.233+IFERROR(--RIGHT(A795,6),LEN(A795))*0.0137+IFERROR(--RIGHT(B795,6),LEN(B795))*0.0071))*43758.5453,1),"")</f>
        <v/>
      </c>
      <c r="E795" s="0" t="str">
        <f aca="false">IF(C795=1,INT(MOD(ABS(SIN(D795*7919.123+ROW()*0.618+'הדבקת לידים'!$F$2*1.3))*43758.5453,1)*1000000)*10000+ROW(),"")</f>
        <v/>
      </c>
      <c r="F795" s="0" t="str">
        <f aca="false">IF(E795="","",RANK(E795,$E$2:$E$5001,1))</f>
        <v/>
      </c>
      <c r="G795" s="0" t="n">
        <f aca="false">IF(A795="",0,IF(SUMPRODUCT(--($A$2:$A$5001=A795))&gt;1,1,0))</f>
        <v>0</v>
      </c>
      <c r="H795" s="0" t="n">
        <f aca="false">ROW()-1</f>
        <v>794</v>
      </c>
      <c r="I795" s="0" t="str">
        <f aca="false">IF(OR(הגדרות!$E$6=0,H795&gt;הגדרות!$E$5),"",IF(H795-1&lt;הגדרות!$E$8*(הגדרות!$E$7+1),INT((H795-1)/(הגדרות!$E$7+1)),הגדרות!$E$8+INT((H795-1-הגדרות!$E$8*(הגדרות!$E$7+1))/הגדרות!$E$7)))</f>
        <v/>
      </c>
      <c r="J795" s="0" t="str">
        <f aca="false">IF(I795="","",IF(H795-1&lt;הגדרות!$E$8*(הגדרות!$E$7+1),MOD(H795-1,הגדרות!$E$7+1),MOD(H795-1-הגדרות!$E$8*(הגדרות!$E$7+1),הגדרות!$E$7)))</f>
        <v/>
      </c>
      <c r="K795" s="0" t="str">
        <f aca="false">IF(I795="","",J795*הגדרות!$E$6+I795+1)</f>
        <v/>
      </c>
      <c r="L795" s="0" t="str">
        <f aca="false">IF(K795="","",MATCH(K795,$F$2:$F$5001,0))</f>
        <v/>
      </c>
      <c r="M795" s="0" t="str">
        <f aca="false">IF(I795="","",INDEX(הגדרות!$A$2:$A$21,MOD(I795+הגדרות!$E$9,הגדרות!$E$6)+1))</f>
        <v/>
      </c>
    </row>
    <row r="796" customFormat="false" ht="15" hidden="false" customHeight="false" outlineLevel="0" collapsed="false">
      <c r="A796" s="0" t="str">
        <f aca="false">IF('הדבקת לידים'!A796="","",IF(ISNUMBER('הדבקת לידים'!A796),IF(הגדרות!$E$2&gt;0,TEXT('הדבקת לידים'!A796,REPT("0",הגדרות!$E$2)),TEXT('הדבקת לידים'!A796,"0")),TRIM('הדבקת לידים'!A796)))</f>
        <v/>
      </c>
      <c r="B796" s="0" t="str">
        <f aca="false">IF('הדבקת לידים'!B796="","",IF(ISNUMBER('הדבקת לידים'!B796),IF(הגדרות!$E$3&gt;0,TEXT('הדבקת לידים'!B796,REPT("0",הגדרות!$E$3)),TEXT('הדבקת לידים'!B796,"0")),TRIM('הדבקת לידים'!B796)))</f>
        <v/>
      </c>
      <c r="C796" s="0" t="n">
        <f aca="false">IF(OR(A796&lt;&gt;"",B796&lt;&gt;""),1,0)</f>
        <v>0</v>
      </c>
      <c r="D796" s="0" t="str">
        <f aca="false">IF(C796=1,MOD(ABS(SIN(ROW()*12.9898+'הדבקת לידים'!$F$2*78.233+IFERROR(--RIGHT(A796,6),LEN(A796))*0.0137+IFERROR(--RIGHT(B796,6),LEN(B796))*0.0071))*43758.5453,1),"")</f>
        <v/>
      </c>
      <c r="E796" s="0" t="str">
        <f aca="false">IF(C796=1,INT(MOD(ABS(SIN(D796*7919.123+ROW()*0.618+'הדבקת לידים'!$F$2*1.3))*43758.5453,1)*1000000)*10000+ROW(),"")</f>
        <v/>
      </c>
      <c r="F796" s="0" t="str">
        <f aca="false">IF(E796="","",RANK(E796,$E$2:$E$5001,1))</f>
        <v/>
      </c>
      <c r="G796" s="0" t="n">
        <f aca="false">IF(A796="",0,IF(SUMPRODUCT(--($A$2:$A$5001=A796))&gt;1,1,0))</f>
        <v>0</v>
      </c>
      <c r="H796" s="0" t="n">
        <f aca="false">ROW()-1</f>
        <v>795</v>
      </c>
      <c r="I796" s="0" t="str">
        <f aca="false">IF(OR(הגדרות!$E$6=0,H796&gt;הגדרות!$E$5),"",IF(H796-1&lt;הגדרות!$E$8*(הגדרות!$E$7+1),INT((H796-1)/(הגדרות!$E$7+1)),הגדרות!$E$8+INT((H796-1-הגדרות!$E$8*(הגדרות!$E$7+1))/הגדרות!$E$7)))</f>
        <v/>
      </c>
      <c r="J796" s="0" t="str">
        <f aca="false">IF(I796="","",IF(H796-1&lt;הגדרות!$E$8*(הגדרות!$E$7+1),MOD(H796-1,הגדרות!$E$7+1),MOD(H796-1-הגדרות!$E$8*(הגדרות!$E$7+1),הגדרות!$E$7)))</f>
        <v/>
      </c>
      <c r="K796" s="0" t="str">
        <f aca="false">IF(I796="","",J796*הגדרות!$E$6+I796+1)</f>
        <v/>
      </c>
      <c r="L796" s="0" t="str">
        <f aca="false">IF(K796="","",MATCH(K796,$F$2:$F$5001,0))</f>
        <v/>
      </c>
      <c r="M796" s="0" t="str">
        <f aca="false">IF(I796="","",INDEX(הגדרות!$A$2:$A$21,MOD(I796+הגדרות!$E$9,הגדרות!$E$6)+1))</f>
        <v/>
      </c>
    </row>
    <row r="797" customFormat="false" ht="15" hidden="false" customHeight="false" outlineLevel="0" collapsed="false">
      <c r="A797" s="0" t="str">
        <f aca="false">IF('הדבקת לידים'!A797="","",IF(ISNUMBER('הדבקת לידים'!A797),IF(הגדרות!$E$2&gt;0,TEXT('הדבקת לידים'!A797,REPT("0",הגדרות!$E$2)),TEXT('הדבקת לידים'!A797,"0")),TRIM('הדבקת לידים'!A797)))</f>
        <v/>
      </c>
      <c r="B797" s="0" t="str">
        <f aca="false">IF('הדבקת לידים'!B797="","",IF(ISNUMBER('הדבקת לידים'!B797),IF(הגדרות!$E$3&gt;0,TEXT('הדבקת לידים'!B797,REPT("0",הגדרות!$E$3)),TEXT('הדבקת לידים'!B797,"0")),TRIM('הדבקת לידים'!B797)))</f>
        <v/>
      </c>
      <c r="C797" s="0" t="n">
        <f aca="false">IF(OR(A797&lt;&gt;"",B797&lt;&gt;""),1,0)</f>
        <v>0</v>
      </c>
      <c r="D797" s="0" t="str">
        <f aca="false">IF(C797=1,MOD(ABS(SIN(ROW()*12.9898+'הדבקת לידים'!$F$2*78.233+IFERROR(--RIGHT(A797,6),LEN(A797))*0.0137+IFERROR(--RIGHT(B797,6),LEN(B797))*0.0071))*43758.5453,1),"")</f>
        <v/>
      </c>
      <c r="E797" s="0" t="str">
        <f aca="false">IF(C797=1,INT(MOD(ABS(SIN(D797*7919.123+ROW()*0.618+'הדבקת לידים'!$F$2*1.3))*43758.5453,1)*1000000)*10000+ROW(),"")</f>
        <v/>
      </c>
      <c r="F797" s="0" t="str">
        <f aca="false">IF(E797="","",RANK(E797,$E$2:$E$5001,1))</f>
        <v/>
      </c>
      <c r="G797" s="0" t="n">
        <f aca="false">IF(A797="",0,IF(SUMPRODUCT(--($A$2:$A$5001=A797))&gt;1,1,0))</f>
        <v>0</v>
      </c>
      <c r="H797" s="0" t="n">
        <f aca="false">ROW()-1</f>
        <v>796</v>
      </c>
      <c r="I797" s="0" t="str">
        <f aca="false">IF(OR(הגדרות!$E$6=0,H797&gt;הגדרות!$E$5),"",IF(H797-1&lt;הגדרות!$E$8*(הגדרות!$E$7+1),INT((H797-1)/(הגדרות!$E$7+1)),הגדרות!$E$8+INT((H797-1-הגדרות!$E$8*(הגדרות!$E$7+1))/הגדרות!$E$7)))</f>
        <v/>
      </c>
      <c r="J797" s="0" t="str">
        <f aca="false">IF(I797="","",IF(H797-1&lt;הגדרות!$E$8*(הגדרות!$E$7+1),MOD(H797-1,הגדרות!$E$7+1),MOD(H797-1-הגדרות!$E$8*(הגדרות!$E$7+1),הגדרות!$E$7)))</f>
        <v/>
      </c>
      <c r="K797" s="0" t="str">
        <f aca="false">IF(I797="","",J797*הגדרות!$E$6+I797+1)</f>
        <v/>
      </c>
      <c r="L797" s="0" t="str">
        <f aca="false">IF(K797="","",MATCH(K797,$F$2:$F$5001,0))</f>
        <v/>
      </c>
      <c r="M797" s="0" t="str">
        <f aca="false">IF(I797="","",INDEX(הגדרות!$A$2:$A$21,MOD(I797+הגדרות!$E$9,הגדרות!$E$6)+1))</f>
        <v/>
      </c>
    </row>
    <row r="798" customFormat="false" ht="15" hidden="false" customHeight="false" outlineLevel="0" collapsed="false">
      <c r="A798" s="0" t="str">
        <f aca="false">IF('הדבקת לידים'!A798="","",IF(ISNUMBER('הדבקת לידים'!A798),IF(הגדרות!$E$2&gt;0,TEXT('הדבקת לידים'!A798,REPT("0",הגדרות!$E$2)),TEXT('הדבקת לידים'!A798,"0")),TRIM('הדבקת לידים'!A798)))</f>
        <v/>
      </c>
      <c r="B798" s="0" t="str">
        <f aca="false">IF('הדבקת לידים'!B798="","",IF(ISNUMBER('הדבקת לידים'!B798),IF(הגדרות!$E$3&gt;0,TEXT('הדבקת לידים'!B798,REPT("0",הגדרות!$E$3)),TEXT('הדבקת לידים'!B798,"0")),TRIM('הדבקת לידים'!B798)))</f>
        <v/>
      </c>
      <c r="C798" s="0" t="n">
        <f aca="false">IF(OR(A798&lt;&gt;"",B798&lt;&gt;""),1,0)</f>
        <v>0</v>
      </c>
      <c r="D798" s="0" t="str">
        <f aca="false">IF(C798=1,MOD(ABS(SIN(ROW()*12.9898+'הדבקת לידים'!$F$2*78.233+IFERROR(--RIGHT(A798,6),LEN(A798))*0.0137+IFERROR(--RIGHT(B798,6),LEN(B798))*0.0071))*43758.5453,1),"")</f>
        <v/>
      </c>
      <c r="E798" s="0" t="str">
        <f aca="false">IF(C798=1,INT(MOD(ABS(SIN(D798*7919.123+ROW()*0.618+'הדבקת לידים'!$F$2*1.3))*43758.5453,1)*1000000)*10000+ROW(),"")</f>
        <v/>
      </c>
      <c r="F798" s="0" t="str">
        <f aca="false">IF(E798="","",RANK(E798,$E$2:$E$5001,1))</f>
        <v/>
      </c>
      <c r="G798" s="0" t="n">
        <f aca="false">IF(A798="",0,IF(SUMPRODUCT(--($A$2:$A$5001=A798))&gt;1,1,0))</f>
        <v>0</v>
      </c>
      <c r="H798" s="0" t="n">
        <f aca="false">ROW()-1</f>
        <v>797</v>
      </c>
      <c r="I798" s="0" t="str">
        <f aca="false">IF(OR(הגדרות!$E$6=0,H798&gt;הגדרות!$E$5),"",IF(H798-1&lt;הגדרות!$E$8*(הגדרות!$E$7+1),INT((H798-1)/(הגדרות!$E$7+1)),הגדרות!$E$8+INT((H798-1-הגדרות!$E$8*(הגדרות!$E$7+1))/הגדרות!$E$7)))</f>
        <v/>
      </c>
      <c r="J798" s="0" t="str">
        <f aca="false">IF(I798="","",IF(H798-1&lt;הגדרות!$E$8*(הגדרות!$E$7+1),MOD(H798-1,הגדרות!$E$7+1),MOD(H798-1-הגדרות!$E$8*(הגדרות!$E$7+1),הגדרות!$E$7)))</f>
        <v/>
      </c>
      <c r="K798" s="0" t="str">
        <f aca="false">IF(I798="","",J798*הגדרות!$E$6+I798+1)</f>
        <v/>
      </c>
      <c r="L798" s="0" t="str">
        <f aca="false">IF(K798="","",MATCH(K798,$F$2:$F$5001,0))</f>
        <v/>
      </c>
      <c r="M798" s="0" t="str">
        <f aca="false">IF(I798="","",INDEX(הגדרות!$A$2:$A$21,MOD(I798+הגדרות!$E$9,הגדרות!$E$6)+1))</f>
        <v/>
      </c>
    </row>
    <row r="799" customFormat="false" ht="15" hidden="false" customHeight="false" outlineLevel="0" collapsed="false">
      <c r="A799" s="0" t="str">
        <f aca="false">IF('הדבקת לידים'!A799="","",IF(ISNUMBER('הדבקת לידים'!A799),IF(הגדרות!$E$2&gt;0,TEXT('הדבקת לידים'!A799,REPT("0",הגדרות!$E$2)),TEXT('הדבקת לידים'!A799,"0")),TRIM('הדבקת לידים'!A799)))</f>
        <v/>
      </c>
      <c r="B799" s="0" t="str">
        <f aca="false">IF('הדבקת לידים'!B799="","",IF(ISNUMBER('הדבקת לידים'!B799),IF(הגדרות!$E$3&gt;0,TEXT('הדבקת לידים'!B799,REPT("0",הגדרות!$E$3)),TEXT('הדבקת לידים'!B799,"0")),TRIM('הדבקת לידים'!B799)))</f>
        <v/>
      </c>
      <c r="C799" s="0" t="n">
        <f aca="false">IF(OR(A799&lt;&gt;"",B799&lt;&gt;""),1,0)</f>
        <v>0</v>
      </c>
      <c r="D799" s="0" t="str">
        <f aca="false">IF(C799=1,MOD(ABS(SIN(ROW()*12.9898+'הדבקת לידים'!$F$2*78.233+IFERROR(--RIGHT(A799,6),LEN(A799))*0.0137+IFERROR(--RIGHT(B799,6),LEN(B799))*0.0071))*43758.5453,1),"")</f>
        <v/>
      </c>
      <c r="E799" s="0" t="str">
        <f aca="false">IF(C799=1,INT(MOD(ABS(SIN(D799*7919.123+ROW()*0.618+'הדבקת לידים'!$F$2*1.3))*43758.5453,1)*1000000)*10000+ROW(),"")</f>
        <v/>
      </c>
      <c r="F799" s="0" t="str">
        <f aca="false">IF(E799="","",RANK(E799,$E$2:$E$5001,1))</f>
        <v/>
      </c>
      <c r="G799" s="0" t="n">
        <f aca="false">IF(A799="",0,IF(SUMPRODUCT(--($A$2:$A$5001=A799))&gt;1,1,0))</f>
        <v>0</v>
      </c>
      <c r="H799" s="0" t="n">
        <f aca="false">ROW()-1</f>
        <v>798</v>
      </c>
      <c r="I799" s="0" t="str">
        <f aca="false">IF(OR(הגדרות!$E$6=0,H799&gt;הגדרות!$E$5),"",IF(H799-1&lt;הגדרות!$E$8*(הגדרות!$E$7+1),INT((H799-1)/(הגדרות!$E$7+1)),הגדרות!$E$8+INT((H799-1-הגדרות!$E$8*(הגדרות!$E$7+1))/הגדרות!$E$7)))</f>
        <v/>
      </c>
      <c r="J799" s="0" t="str">
        <f aca="false">IF(I799="","",IF(H799-1&lt;הגדרות!$E$8*(הגדרות!$E$7+1),MOD(H799-1,הגדרות!$E$7+1),MOD(H799-1-הגדרות!$E$8*(הגדרות!$E$7+1),הגדרות!$E$7)))</f>
        <v/>
      </c>
      <c r="K799" s="0" t="str">
        <f aca="false">IF(I799="","",J799*הגדרות!$E$6+I799+1)</f>
        <v/>
      </c>
      <c r="L799" s="0" t="str">
        <f aca="false">IF(K799="","",MATCH(K799,$F$2:$F$5001,0))</f>
        <v/>
      </c>
      <c r="M799" s="0" t="str">
        <f aca="false">IF(I799="","",INDEX(הגדרות!$A$2:$A$21,MOD(I799+הגדרות!$E$9,הגדרות!$E$6)+1))</f>
        <v/>
      </c>
    </row>
    <row r="800" customFormat="false" ht="15" hidden="false" customHeight="false" outlineLevel="0" collapsed="false">
      <c r="A800" s="0" t="str">
        <f aca="false">IF('הדבקת לידים'!A800="","",IF(ISNUMBER('הדבקת לידים'!A800),IF(הגדרות!$E$2&gt;0,TEXT('הדבקת לידים'!A800,REPT("0",הגדרות!$E$2)),TEXT('הדבקת לידים'!A800,"0")),TRIM('הדבקת לידים'!A800)))</f>
        <v/>
      </c>
      <c r="B800" s="0" t="str">
        <f aca="false">IF('הדבקת לידים'!B800="","",IF(ISNUMBER('הדבקת לידים'!B800),IF(הגדרות!$E$3&gt;0,TEXT('הדבקת לידים'!B800,REPT("0",הגדרות!$E$3)),TEXT('הדבקת לידים'!B800,"0")),TRIM('הדבקת לידים'!B800)))</f>
        <v/>
      </c>
      <c r="C800" s="0" t="n">
        <f aca="false">IF(OR(A800&lt;&gt;"",B800&lt;&gt;""),1,0)</f>
        <v>0</v>
      </c>
      <c r="D800" s="0" t="str">
        <f aca="false">IF(C800=1,MOD(ABS(SIN(ROW()*12.9898+'הדבקת לידים'!$F$2*78.233+IFERROR(--RIGHT(A800,6),LEN(A800))*0.0137+IFERROR(--RIGHT(B800,6),LEN(B800))*0.0071))*43758.5453,1),"")</f>
        <v/>
      </c>
      <c r="E800" s="0" t="str">
        <f aca="false">IF(C800=1,INT(MOD(ABS(SIN(D800*7919.123+ROW()*0.618+'הדבקת לידים'!$F$2*1.3))*43758.5453,1)*1000000)*10000+ROW(),"")</f>
        <v/>
      </c>
      <c r="F800" s="0" t="str">
        <f aca="false">IF(E800="","",RANK(E800,$E$2:$E$5001,1))</f>
        <v/>
      </c>
      <c r="G800" s="0" t="n">
        <f aca="false">IF(A800="",0,IF(SUMPRODUCT(--($A$2:$A$5001=A800))&gt;1,1,0))</f>
        <v>0</v>
      </c>
      <c r="H800" s="0" t="n">
        <f aca="false">ROW()-1</f>
        <v>799</v>
      </c>
      <c r="I800" s="0" t="str">
        <f aca="false">IF(OR(הגדרות!$E$6=0,H800&gt;הגדרות!$E$5),"",IF(H800-1&lt;הגדרות!$E$8*(הגדרות!$E$7+1),INT((H800-1)/(הגדרות!$E$7+1)),הגדרות!$E$8+INT((H800-1-הגדרות!$E$8*(הגדרות!$E$7+1))/הגדרות!$E$7)))</f>
        <v/>
      </c>
      <c r="J800" s="0" t="str">
        <f aca="false">IF(I800="","",IF(H800-1&lt;הגדרות!$E$8*(הגדרות!$E$7+1),MOD(H800-1,הגדרות!$E$7+1),MOD(H800-1-הגדרות!$E$8*(הגדרות!$E$7+1),הגדרות!$E$7)))</f>
        <v/>
      </c>
      <c r="K800" s="0" t="str">
        <f aca="false">IF(I800="","",J800*הגדרות!$E$6+I800+1)</f>
        <v/>
      </c>
      <c r="L800" s="0" t="str">
        <f aca="false">IF(K800="","",MATCH(K800,$F$2:$F$5001,0))</f>
        <v/>
      </c>
      <c r="M800" s="0" t="str">
        <f aca="false">IF(I800="","",INDEX(הגדרות!$A$2:$A$21,MOD(I800+הגדרות!$E$9,הגדרות!$E$6)+1))</f>
        <v/>
      </c>
    </row>
    <row r="801" customFormat="false" ht="15" hidden="false" customHeight="false" outlineLevel="0" collapsed="false">
      <c r="A801" s="0" t="str">
        <f aca="false">IF('הדבקת לידים'!A801="","",IF(ISNUMBER('הדבקת לידים'!A801),IF(הגדרות!$E$2&gt;0,TEXT('הדבקת לידים'!A801,REPT("0",הגדרות!$E$2)),TEXT('הדבקת לידים'!A801,"0")),TRIM('הדבקת לידים'!A801)))</f>
        <v/>
      </c>
      <c r="B801" s="0" t="str">
        <f aca="false">IF('הדבקת לידים'!B801="","",IF(ISNUMBER('הדבקת לידים'!B801),IF(הגדרות!$E$3&gt;0,TEXT('הדבקת לידים'!B801,REPT("0",הגדרות!$E$3)),TEXT('הדבקת לידים'!B801,"0")),TRIM('הדבקת לידים'!B801)))</f>
        <v/>
      </c>
      <c r="C801" s="0" t="n">
        <f aca="false">IF(OR(A801&lt;&gt;"",B801&lt;&gt;""),1,0)</f>
        <v>0</v>
      </c>
      <c r="D801" s="0" t="str">
        <f aca="false">IF(C801=1,MOD(ABS(SIN(ROW()*12.9898+'הדבקת לידים'!$F$2*78.233+IFERROR(--RIGHT(A801,6),LEN(A801))*0.0137+IFERROR(--RIGHT(B801,6),LEN(B801))*0.0071))*43758.5453,1),"")</f>
        <v/>
      </c>
      <c r="E801" s="0" t="str">
        <f aca="false">IF(C801=1,INT(MOD(ABS(SIN(D801*7919.123+ROW()*0.618+'הדבקת לידים'!$F$2*1.3))*43758.5453,1)*1000000)*10000+ROW(),"")</f>
        <v/>
      </c>
      <c r="F801" s="0" t="str">
        <f aca="false">IF(E801="","",RANK(E801,$E$2:$E$5001,1))</f>
        <v/>
      </c>
      <c r="G801" s="0" t="n">
        <f aca="false">IF(A801="",0,IF(SUMPRODUCT(--($A$2:$A$5001=A801))&gt;1,1,0))</f>
        <v>0</v>
      </c>
      <c r="H801" s="0" t="n">
        <f aca="false">ROW()-1</f>
        <v>800</v>
      </c>
      <c r="I801" s="0" t="str">
        <f aca="false">IF(OR(הגדרות!$E$6=0,H801&gt;הגדרות!$E$5),"",IF(H801-1&lt;הגדרות!$E$8*(הגדרות!$E$7+1),INT((H801-1)/(הגדרות!$E$7+1)),הגדרות!$E$8+INT((H801-1-הגדרות!$E$8*(הגדרות!$E$7+1))/הגדרות!$E$7)))</f>
        <v/>
      </c>
      <c r="J801" s="0" t="str">
        <f aca="false">IF(I801="","",IF(H801-1&lt;הגדרות!$E$8*(הגדרות!$E$7+1),MOD(H801-1,הגדרות!$E$7+1),MOD(H801-1-הגדרות!$E$8*(הגדרות!$E$7+1),הגדרות!$E$7)))</f>
        <v/>
      </c>
      <c r="K801" s="0" t="str">
        <f aca="false">IF(I801="","",J801*הגדרות!$E$6+I801+1)</f>
        <v/>
      </c>
      <c r="L801" s="0" t="str">
        <f aca="false">IF(K801="","",MATCH(K801,$F$2:$F$5001,0))</f>
        <v/>
      </c>
      <c r="M801" s="0" t="str">
        <f aca="false">IF(I801="","",INDEX(הגדרות!$A$2:$A$21,MOD(I801+הגדרות!$E$9,הגדרות!$E$6)+1))</f>
        <v/>
      </c>
    </row>
    <row r="802" customFormat="false" ht="15" hidden="false" customHeight="false" outlineLevel="0" collapsed="false">
      <c r="A802" s="0" t="str">
        <f aca="false">IF('הדבקת לידים'!A802="","",IF(ISNUMBER('הדבקת לידים'!A802),IF(הגדרות!$E$2&gt;0,TEXT('הדבקת לידים'!A802,REPT("0",הגדרות!$E$2)),TEXT('הדבקת לידים'!A802,"0")),TRIM('הדבקת לידים'!A802)))</f>
        <v/>
      </c>
      <c r="B802" s="0" t="str">
        <f aca="false">IF('הדבקת לידים'!B802="","",IF(ISNUMBER('הדבקת לידים'!B802),IF(הגדרות!$E$3&gt;0,TEXT('הדבקת לידים'!B802,REPT("0",הגדרות!$E$3)),TEXT('הדבקת לידים'!B802,"0")),TRIM('הדבקת לידים'!B802)))</f>
        <v/>
      </c>
      <c r="C802" s="0" t="n">
        <f aca="false">IF(OR(A802&lt;&gt;"",B802&lt;&gt;""),1,0)</f>
        <v>0</v>
      </c>
      <c r="D802" s="0" t="str">
        <f aca="false">IF(C802=1,MOD(ABS(SIN(ROW()*12.9898+'הדבקת לידים'!$F$2*78.233+IFERROR(--RIGHT(A802,6),LEN(A802))*0.0137+IFERROR(--RIGHT(B802,6),LEN(B802))*0.0071))*43758.5453,1),"")</f>
        <v/>
      </c>
      <c r="E802" s="0" t="str">
        <f aca="false">IF(C802=1,INT(MOD(ABS(SIN(D802*7919.123+ROW()*0.618+'הדבקת לידים'!$F$2*1.3))*43758.5453,1)*1000000)*10000+ROW(),"")</f>
        <v/>
      </c>
      <c r="F802" s="0" t="str">
        <f aca="false">IF(E802="","",RANK(E802,$E$2:$E$5001,1))</f>
        <v/>
      </c>
      <c r="G802" s="0" t="n">
        <f aca="false">IF(A802="",0,IF(SUMPRODUCT(--($A$2:$A$5001=A802))&gt;1,1,0))</f>
        <v>0</v>
      </c>
      <c r="H802" s="0" t="n">
        <f aca="false">ROW()-1</f>
        <v>801</v>
      </c>
      <c r="I802" s="0" t="str">
        <f aca="false">IF(OR(הגדרות!$E$6=0,H802&gt;הגדרות!$E$5),"",IF(H802-1&lt;הגדרות!$E$8*(הגדרות!$E$7+1),INT((H802-1)/(הגדרות!$E$7+1)),הגדרות!$E$8+INT((H802-1-הגדרות!$E$8*(הגדרות!$E$7+1))/הגדרות!$E$7)))</f>
        <v/>
      </c>
      <c r="J802" s="0" t="str">
        <f aca="false">IF(I802="","",IF(H802-1&lt;הגדרות!$E$8*(הגדרות!$E$7+1),MOD(H802-1,הגדרות!$E$7+1),MOD(H802-1-הגדרות!$E$8*(הגדרות!$E$7+1),הגדרות!$E$7)))</f>
        <v/>
      </c>
      <c r="K802" s="0" t="str">
        <f aca="false">IF(I802="","",J802*הגדרות!$E$6+I802+1)</f>
        <v/>
      </c>
      <c r="L802" s="0" t="str">
        <f aca="false">IF(K802="","",MATCH(K802,$F$2:$F$5001,0))</f>
        <v/>
      </c>
      <c r="M802" s="0" t="str">
        <f aca="false">IF(I802="","",INDEX(הגדרות!$A$2:$A$21,MOD(I802+הגדרות!$E$9,הגדרות!$E$6)+1))</f>
        <v/>
      </c>
    </row>
    <row r="803" customFormat="false" ht="15" hidden="false" customHeight="false" outlineLevel="0" collapsed="false">
      <c r="A803" s="0" t="str">
        <f aca="false">IF('הדבקת לידים'!A803="","",IF(ISNUMBER('הדבקת לידים'!A803),IF(הגדרות!$E$2&gt;0,TEXT('הדבקת לידים'!A803,REPT("0",הגדרות!$E$2)),TEXT('הדבקת לידים'!A803,"0")),TRIM('הדבקת לידים'!A803)))</f>
        <v/>
      </c>
      <c r="B803" s="0" t="str">
        <f aca="false">IF('הדבקת לידים'!B803="","",IF(ISNUMBER('הדבקת לידים'!B803),IF(הגדרות!$E$3&gt;0,TEXT('הדבקת לידים'!B803,REPT("0",הגדרות!$E$3)),TEXT('הדבקת לידים'!B803,"0")),TRIM('הדבקת לידים'!B803)))</f>
        <v/>
      </c>
      <c r="C803" s="0" t="n">
        <f aca="false">IF(OR(A803&lt;&gt;"",B803&lt;&gt;""),1,0)</f>
        <v>0</v>
      </c>
      <c r="D803" s="0" t="str">
        <f aca="false">IF(C803=1,MOD(ABS(SIN(ROW()*12.9898+'הדבקת לידים'!$F$2*78.233+IFERROR(--RIGHT(A803,6),LEN(A803))*0.0137+IFERROR(--RIGHT(B803,6),LEN(B803))*0.0071))*43758.5453,1),"")</f>
        <v/>
      </c>
      <c r="E803" s="0" t="str">
        <f aca="false">IF(C803=1,INT(MOD(ABS(SIN(D803*7919.123+ROW()*0.618+'הדבקת לידים'!$F$2*1.3))*43758.5453,1)*1000000)*10000+ROW(),"")</f>
        <v/>
      </c>
      <c r="F803" s="0" t="str">
        <f aca="false">IF(E803="","",RANK(E803,$E$2:$E$5001,1))</f>
        <v/>
      </c>
      <c r="G803" s="0" t="n">
        <f aca="false">IF(A803="",0,IF(SUMPRODUCT(--($A$2:$A$5001=A803))&gt;1,1,0))</f>
        <v>0</v>
      </c>
      <c r="H803" s="0" t="n">
        <f aca="false">ROW()-1</f>
        <v>802</v>
      </c>
      <c r="I803" s="0" t="str">
        <f aca="false">IF(OR(הגדרות!$E$6=0,H803&gt;הגדרות!$E$5),"",IF(H803-1&lt;הגדרות!$E$8*(הגדרות!$E$7+1),INT((H803-1)/(הגדרות!$E$7+1)),הגדרות!$E$8+INT((H803-1-הגדרות!$E$8*(הגדרות!$E$7+1))/הגדרות!$E$7)))</f>
        <v/>
      </c>
      <c r="J803" s="0" t="str">
        <f aca="false">IF(I803="","",IF(H803-1&lt;הגדרות!$E$8*(הגדרות!$E$7+1),MOD(H803-1,הגדרות!$E$7+1),MOD(H803-1-הגדרות!$E$8*(הגדרות!$E$7+1),הגדרות!$E$7)))</f>
        <v/>
      </c>
      <c r="K803" s="0" t="str">
        <f aca="false">IF(I803="","",J803*הגדרות!$E$6+I803+1)</f>
        <v/>
      </c>
      <c r="L803" s="0" t="str">
        <f aca="false">IF(K803="","",MATCH(K803,$F$2:$F$5001,0))</f>
        <v/>
      </c>
      <c r="M803" s="0" t="str">
        <f aca="false">IF(I803="","",INDEX(הגדרות!$A$2:$A$21,MOD(I803+הגדרות!$E$9,הגדרות!$E$6)+1))</f>
        <v/>
      </c>
    </row>
    <row r="804" customFormat="false" ht="15" hidden="false" customHeight="false" outlineLevel="0" collapsed="false">
      <c r="A804" s="0" t="str">
        <f aca="false">IF('הדבקת לידים'!A804="","",IF(ISNUMBER('הדבקת לידים'!A804),IF(הגדרות!$E$2&gt;0,TEXT('הדבקת לידים'!A804,REPT("0",הגדרות!$E$2)),TEXT('הדבקת לידים'!A804,"0")),TRIM('הדבקת לידים'!A804)))</f>
        <v/>
      </c>
      <c r="B804" s="0" t="str">
        <f aca="false">IF('הדבקת לידים'!B804="","",IF(ISNUMBER('הדבקת לידים'!B804),IF(הגדרות!$E$3&gt;0,TEXT('הדבקת לידים'!B804,REPT("0",הגדרות!$E$3)),TEXT('הדבקת לידים'!B804,"0")),TRIM('הדבקת לידים'!B804)))</f>
        <v/>
      </c>
      <c r="C804" s="0" t="n">
        <f aca="false">IF(OR(A804&lt;&gt;"",B804&lt;&gt;""),1,0)</f>
        <v>0</v>
      </c>
      <c r="D804" s="0" t="str">
        <f aca="false">IF(C804=1,MOD(ABS(SIN(ROW()*12.9898+'הדבקת לידים'!$F$2*78.233+IFERROR(--RIGHT(A804,6),LEN(A804))*0.0137+IFERROR(--RIGHT(B804,6),LEN(B804))*0.0071))*43758.5453,1),"")</f>
        <v/>
      </c>
      <c r="E804" s="0" t="str">
        <f aca="false">IF(C804=1,INT(MOD(ABS(SIN(D804*7919.123+ROW()*0.618+'הדבקת לידים'!$F$2*1.3))*43758.5453,1)*1000000)*10000+ROW(),"")</f>
        <v/>
      </c>
      <c r="F804" s="0" t="str">
        <f aca="false">IF(E804="","",RANK(E804,$E$2:$E$5001,1))</f>
        <v/>
      </c>
      <c r="G804" s="0" t="n">
        <f aca="false">IF(A804="",0,IF(SUMPRODUCT(--($A$2:$A$5001=A804))&gt;1,1,0))</f>
        <v>0</v>
      </c>
      <c r="H804" s="0" t="n">
        <f aca="false">ROW()-1</f>
        <v>803</v>
      </c>
      <c r="I804" s="0" t="str">
        <f aca="false">IF(OR(הגדרות!$E$6=0,H804&gt;הגדרות!$E$5),"",IF(H804-1&lt;הגדרות!$E$8*(הגדרות!$E$7+1),INT((H804-1)/(הגדרות!$E$7+1)),הגדרות!$E$8+INT((H804-1-הגדרות!$E$8*(הגדרות!$E$7+1))/הגדרות!$E$7)))</f>
        <v/>
      </c>
      <c r="J804" s="0" t="str">
        <f aca="false">IF(I804="","",IF(H804-1&lt;הגדרות!$E$8*(הגדרות!$E$7+1),MOD(H804-1,הגדרות!$E$7+1),MOD(H804-1-הגדרות!$E$8*(הגדרות!$E$7+1),הגדרות!$E$7)))</f>
        <v/>
      </c>
      <c r="K804" s="0" t="str">
        <f aca="false">IF(I804="","",J804*הגדרות!$E$6+I804+1)</f>
        <v/>
      </c>
      <c r="L804" s="0" t="str">
        <f aca="false">IF(K804="","",MATCH(K804,$F$2:$F$5001,0))</f>
        <v/>
      </c>
      <c r="M804" s="0" t="str">
        <f aca="false">IF(I804="","",INDEX(הגדרות!$A$2:$A$21,MOD(I804+הגדרות!$E$9,הגדרות!$E$6)+1))</f>
        <v/>
      </c>
    </row>
    <row r="805" customFormat="false" ht="15" hidden="false" customHeight="false" outlineLevel="0" collapsed="false">
      <c r="A805" s="0" t="str">
        <f aca="false">IF('הדבקת לידים'!A805="","",IF(ISNUMBER('הדבקת לידים'!A805),IF(הגדרות!$E$2&gt;0,TEXT('הדבקת לידים'!A805,REPT("0",הגדרות!$E$2)),TEXT('הדבקת לידים'!A805,"0")),TRIM('הדבקת לידים'!A805)))</f>
        <v/>
      </c>
      <c r="B805" s="0" t="str">
        <f aca="false">IF('הדבקת לידים'!B805="","",IF(ISNUMBER('הדבקת לידים'!B805),IF(הגדרות!$E$3&gt;0,TEXT('הדבקת לידים'!B805,REPT("0",הגדרות!$E$3)),TEXT('הדבקת לידים'!B805,"0")),TRIM('הדבקת לידים'!B805)))</f>
        <v/>
      </c>
      <c r="C805" s="0" t="n">
        <f aca="false">IF(OR(A805&lt;&gt;"",B805&lt;&gt;""),1,0)</f>
        <v>0</v>
      </c>
      <c r="D805" s="0" t="str">
        <f aca="false">IF(C805=1,MOD(ABS(SIN(ROW()*12.9898+'הדבקת לידים'!$F$2*78.233+IFERROR(--RIGHT(A805,6),LEN(A805))*0.0137+IFERROR(--RIGHT(B805,6),LEN(B805))*0.0071))*43758.5453,1),"")</f>
        <v/>
      </c>
      <c r="E805" s="0" t="str">
        <f aca="false">IF(C805=1,INT(MOD(ABS(SIN(D805*7919.123+ROW()*0.618+'הדבקת לידים'!$F$2*1.3))*43758.5453,1)*1000000)*10000+ROW(),"")</f>
        <v/>
      </c>
      <c r="F805" s="0" t="str">
        <f aca="false">IF(E805="","",RANK(E805,$E$2:$E$5001,1))</f>
        <v/>
      </c>
      <c r="G805" s="0" t="n">
        <f aca="false">IF(A805="",0,IF(SUMPRODUCT(--($A$2:$A$5001=A805))&gt;1,1,0))</f>
        <v>0</v>
      </c>
      <c r="H805" s="0" t="n">
        <f aca="false">ROW()-1</f>
        <v>804</v>
      </c>
      <c r="I805" s="0" t="str">
        <f aca="false">IF(OR(הגדרות!$E$6=0,H805&gt;הגדרות!$E$5),"",IF(H805-1&lt;הגדרות!$E$8*(הגדרות!$E$7+1),INT((H805-1)/(הגדרות!$E$7+1)),הגדרות!$E$8+INT((H805-1-הגדרות!$E$8*(הגדרות!$E$7+1))/הגדרות!$E$7)))</f>
        <v/>
      </c>
      <c r="J805" s="0" t="str">
        <f aca="false">IF(I805="","",IF(H805-1&lt;הגדרות!$E$8*(הגדרות!$E$7+1),MOD(H805-1,הגדרות!$E$7+1),MOD(H805-1-הגדרות!$E$8*(הגדרות!$E$7+1),הגדרות!$E$7)))</f>
        <v/>
      </c>
      <c r="K805" s="0" t="str">
        <f aca="false">IF(I805="","",J805*הגדרות!$E$6+I805+1)</f>
        <v/>
      </c>
      <c r="L805" s="0" t="str">
        <f aca="false">IF(K805="","",MATCH(K805,$F$2:$F$5001,0))</f>
        <v/>
      </c>
      <c r="M805" s="0" t="str">
        <f aca="false">IF(I805="","",INDEX(הגדרות!$A$2:$A$21,MOD(I805+הגדרות!$E$9,הגדרות!$E$6)+1))</f>
        <v/>
      </c>
    </row>
    <row r="806" customFormat="false" ht="15" hidden="false" customHeight="false" outlineLevel="0" collapsed="false">
      <c r="A806" s="0" t="str">
        <f aca="false">IF('הדבקת לידים'!A806="","",IF(ISNUMBER('הדבקת לידים'!A806),IF(הגדרות!$E$2&gt;0,TEXT('הדבקת לידים'!A806,REPT("0",הגדרות!$E$2)),TEXT('הדבקת לידים'!A806,"0")),TRIM('הדבקת לידים'!A806)))</f>
        <v/>
      </c>
      <c r="B806" s="0" t="str">
        <f aca="false">IF('הדבקת לידים'!B806="","",IF(ISNUMBER('הדבקת לידים'!B806),IF(הגדרות!$E$3&gt;0,TEXT('הדבקת לידים'!B806,REPT("0",הגדרות!$E$3)),TEXT('הדבקת לידים'!B806,"0")),TRIM('הדבקת לידים'!B806)))</f>
        <v/>
      </c>
      <c r="C806" s="0" t="n">
        <f aca="false">IF(OR(A806&lt;&gt;"",B806&lt;&gt;""),1,0)</f>
        <v>0</v>
      </c>
      <c r="D806" s="0" t="str">
        <f aca="false">IF(C806=1,MOD(ABS(SIN(ROW()*12.9898+'הדבקת לידים'!$F$2*78.233+IFERROR(--RIGHT(A806,6),LEN(A806))*0.0137+IFERROR(--RIGHT(B806,6),LEN(B806))*0.0071))*43758.5453,1),"")</f>
        <v/>
      </c>
      <c r="E806" s="0" t="str">
        <f aca="false">IF(C806=1,INT(MOD(ABS(SIN(D806*7919.123+ROW()*0.618+'הדבקת לידים'!$F$2*1.3))*43758.5453,1)*1000000)*10000+ROW(),"")</f>
        <v/>
      </c>
      <c r="F806" s="0" t="str">
        <f aca="false">IF(E806="","",RANK(E806,$E$2:$E$5001,1))</f>
        <v/>
      </c>
      <c r="G806" s="0" t="n">
        <f aca="false">IF(A806="",0,IF(SUMPRODUCT(--($A$2:$A$5001=A806))&gt;1,1,0))</f>
        <v>0</v>
      </c>
      <c r="H806" s="0" t="n">
        <f aca="false">ROW()-1</f>
        <v>805</v>
      </c>
      <c r="I806" s="0" t="str">
        <f aca="false">IF(OR(הגדרות!$E$6=0,H806&gt;הגדרות!$E$5),"",IF(H806-1&lt;הגדרות!$E$8*(הגדרות!$E$7+1),INT((H806-1)/(הגדרות!$E$7+1)),הגדרות!$E$8+INT((H806-1-הגדרות!$E$8*(הגדרות!$E$7+1))/הגדרות!$E$7)))</f>
        <v/>
      </c>
      <c r="J806" s="0" t="str">
        <f aca="false">IF(I806="","",IF(H806-1&lt;הגדרות!$E$8*(הגדרות!$E$7+1),MOD(H806-1,הגדרות!$E$7+1),MOD(H806-1-הגדרות!$E$8*(הגדרות!$E$7+1),הגדרות!$E$7)))</f>
        <v/>
      </c>
      <c r="K806" s="0" t="str">
        <f aca="false">IF(I806="","",J806*הגדרות!$E$6+I806+1)</f>
        <v/>
      </c>
      <c r="L806" s="0" t="str">
        <f aca="false">IF(K806="","",MATCH(K806,$F$2:$F$5001,0))</f>
        <v/>
      </c>
      <c r="M806" s="0" t="str">
        <f aca="false">IF(I806="","",INDEX(הגדרות!$A$2:$A$21,MOD(I806+הגדרות!$E$9,הגדרות!$E$6)+1))</f>
        <v/>
      </c>
    </row>
    <row r="807" customFormat="false" ht="15" hidden="false" customHeight="false" outlineLevel="0" collapsed="false">
      <c r="A807" s="0" t="str">
        <f aca="false">IF('הדבקת לידים'!A807="","",IF(ISNUMBER('הדבקת לידים'!A807),IF(הגדרות!$E$2&gt;0,TEXT('הדבקת לידים'!A807,REPT("0",הגדרות!$E$2)),TEXT('הדבקת לידים'!A807,"0")),TRIM('הדבקת לידים'!A807)))</f>
        <v/>
      </c>
      <c r="B807" s="0" t="str">
        <f aca="false">IF('הדבקת לידים'!B807="","",IF(ISNUMBER('הדבקת לידים'!B807),IF(הגדרות!$E$3&gt;0,TEXT('הדבקת לידים'!B807,REPT("0",הגדרות!$E$3)),TEXT('הדבקת לידים'!B807,"0")),TRIM('הדבקת לידים'!B807)))</f>
        <v/>
      </c>
      <c r="C807" s="0" t="n">
        <f aca="false">IF(OR(A807&lt;&gt;"",B807&lt;&gt;""),1,0)</f>
        <v>0</v>
      </c>
      <c r="D807" s="0" t="str">
        <f aca="false">IF(C807=1,MOD(ABS(SIN(ROW()*12.9898+'הדבקת לידים'!$F$2*78.233+IFERROR(--RIGHT(A807,6),LEN(A807))*0.0137+IFERROR(--RIGHT(B807,6),LEN(B807))*0.0071))*43758.5453,1),"")</f>
        <v/>
      </c>
      <c r="E807" s="0" t="str">
        <f aca="false">IF(C807=1,INT(MOD(ABS(SIN(D807*7919.123+ROW()*0.618+'הדבקת לידים'!$F$2*1.3))*43758.5453,1)*1000000)*10000+ROW(),"")</f>
        <v/>
      </c>
      <c r="F807" s="0" t="str">
        <f aca="false">IF(E807="","",RANK(E807,$E$2:$E$5001,1))</f>
        <v/>
      </c>
      <c r="G807" s="0" t="n">
        <f aca="false">IF(A807="",0,IF(SUMPRODUCT(--($A$2:$A$5001=A807))&gt;1,1,0))</f>
        <v>0</v>
      </c>
      <c r="H807" s="0" t="n">
        <f aca="false">ROW()-1</f>
        <v>806</v>
      </c>
      <c r="I807" s="0" t="str">
        <f aca="false">IF(OR(הגדרות!$E$6=0,H807&gt;הגדרות!$E$5),"",IF(H807-1&lt;הגדרות!$E$8*(הגדרות!$E$7+1),INT((H807-1)/(הגדרות!$E$7+1)),הגדרות!$E$8+INT((H807-1-הגדרות!$E$8*(הגדרות!$E$7+1))/הגדרות!$E$7)))</f>
        <v/>
      </c>
      <c r="J807" s="0" t="str">
        <f aca="false">IF(I807="","",IF(H807-1&lt;הגדרות!$E$8*(הגדרות!$E$7+1),MOD(H807-1,הגדרות!$E$7+1),MOD(H807-1-הגדרות!$E$8*(הגדרות!$E$7+1),הגדרות!$E$7)))</f>
        <v/>
      </c>
      <c r="K807" s="0" t="str">
        <f aca="false">IF(I807="","",J807*הגדרות!$E$6+I807+1)</f>
        <v/>
      </c>
      <c r="L807" s="0" t="str">
        <f aca="false">IF(K807="","",MATCH(K807,$F$2:$F$5001,0))</f>
        <v/>
      </c>
      <c r="M807" s="0" t="str">
        <f aca="false">IF(I807="","",INDEX(הגדרות!$A$2:$A$21,MOD(I807+הגדרות!$E$9,הגדרות!$E$6)+1))</f>
        <v/>
      </c>
    </row>
    <row r="808" customFormat="false" ht="15" hidden="false" customHeight="false" outlineLevel="0" collapsed="false">
      <c r="A808" s="0" t="str">
        <f aca="false">IF('הדבקת לידים'!A808="","",IF(ISNUMBER('הדבקת לידים'!A808),IF(הגדרות!$E$2&gt;0,TEXT('הדבקת לידים'!A808,REPT("0",הגדרות!$E$2)),TEXT('הדבקת לידים'!A808,"0")),TRIM('הדבקת לידים'!A808)))</f>
        <v/>
      </c>
      <c r="B808" s="0" t="str">
        <f aca="false">IF('הדבקת לידים'!B808="","",IF(ISNUMBER('הדבקת לידים'!B808),IF(הגדרות!$E$3&gt;0,TEXT('הדבקת לידים'!B808,REPT("0",הגדרות!$E$3)),TEXT('הדבקת לידים'!B808,"0")),TRIM('הדבקת לידים'!B808)))</f>
        <v/>
      </c>
      <c r="C808" s="0" t="n">
        <f aca="false">IF(OR(A808&lt;&gt;"",B808&lt;&gt;""),1,0)</f>
        <v>0</v>
      </c>
      <c r="D808" s="0" t="str">
        <f aca="false">IF(C808=1,MOD(ABS(SIN(ROW()*12.9898+'הדבקת לידים'!$F$2*78.233+IFERROR(--RIGHT(A808,6),LEN(A808))*0.0137+IFERROR(--RIGHT(B808,6),LEN(B808))*0.0071))*43758.5453,1),"")</f>
        <v/>
      </c>
      <c r="E808" s="0" t="str">
        <f aca="false">IF(C808=1,INT(MOD(ABS(SIN(D808*7919.123+ROW()*0.618+'הדבקת לידים'!$F$2*1.3))*43758.5453,1)*1000000)*10000+ROW(),"")</f>
        <v/>
      </c>
      <c r="F808" s="0" t="str">
        <f aca="false">IF(E808="","",RANK(E808,$E$2:$E$5001,1))</f>
        <v/>
      </c>
      <c r="G808" s="0" t="n">
        <f aca="false">IF(A808="",0,IF(SUMPRODUCT(--($A$2:$A$5001=A808))&gt;1,1,0))</f>
        <v>0</v>
      </c>
      <c r="H808" s="0" t="n">
        <f aca="false">ROW()-1</f>
        <v>807</v>
      </c>
      <c r="I808" s="0" t="str">
        <f aca="false">IF(OR(הגדרות!$E$6=0,H808&gt;הגדרות!$E$5),"",IF(H808-1&lt;הגדרות!$E$8*(הגדרות!$E$7+1),INT((H808-1)/(הגדרות!$E$7+1)),הגדרות!$E$8+INT((H808-1-הגדרות!$E$8*(הגדרות!$E$7+1))/הגדרות!$E$7)))</f>
        <v/>
      </c>
      <c r="J808" s="0" t="str">
        <f aca="false">IF(I808="","",IF(H808-1&lt;הגדרות!$E$8*(הגדרות!$E$7+1),MOD(H808-1,הגדרות!$E$7+1),MOD(H808-1-הגדרות!$E$8*(הגדרות!$E$7+1),הגדרות!$E$7)))</f>
        <v/>
      </c>
      <c r="K808" s="0" t="str">
        <f aca="false">IF(I808="","",J808*הגדרות!$E$6+I808+1)</f>
        <v/>
      </c>
      <c r="L808" s="0" t="str">
        <f aca="false">IF(K808="","",MATCH(K808,$F$2:$F$5001,0))</f>
        <v/>
      </c>
      <c r="M808" s="0" t="str">
        <f aca="false">IF(I808="","",INDEX(הגדרות!$A$2:$A$21,MOD(I808+הגדרות!$E$9,הגדרות!$E$6)+1))</f>
        <v/>
      </c>
    </row>
    <row r="809" customFormat="false" ht="15" hidden="false" customHeight="false" outlineLevel="0" collapsed="false">
      <c r="A809" s="0" t="str">
        <f aca="false">IF('הדבקת לידים'!A809="","",IF(ISNUMBER('הדבקת לידים'!A809),IF(הגדרות!$E$2&gt;0,TEXT('הדבקת לידים'!A809,REPT("0",הגדרות!$E$2)),TEXT('הדבקת לידים'!A809,"0")),TRIM('הדבקת לידים'!A809)))</f>
        <v/>
      </c>
      <c r="B809" s="0" t="str">
        <f aca="false">IF('הדבקת לידים'!B809="","",IF(ISNUMBER('הדבקת לידים'!B809),IF(הגדרות!$E$3&gt;0,TEXT('הדבקת לידים'!B809,REPT("0",הגדרות!$E$3)),TEXT('הדבקת לידים'!B809,"0")),TRIM('הדבקת לידים'!B809)))</f>
        <v/>
      </c>
      <c r="C809" s="0" t="n">
        <f aca="false">IF(OR(A809&lt;&gt;"",B809&lt;&gt;""),1,0)</f>
        <v>0</v>
      </c>
      <c r="D809" s="0" t="str">
        <f aca="false">IF(C809=1,MOD(ABS(SIN(ROW()*12.9898+'הדבקת לידים'!$F$2*78.233+IFERROR(--RIGHT(A809,6),LEN(A809))*0.0137+IFERROR(--RIGHT(B809,6),LEN(B809))*0.0071))*43758.5453,1),"")</f>
        <v/>
      </c>
      <c r="E809" s="0" t="str">
        <f aca="false">IF(C809=1,INT(MOD(ABS(SIN(D809*7919.123+ROW()*0.618+'הדבקת לידים'!$F$2*1.3))*43758.5453,1)*1000000)*10000+ROW(),"")</f>
        <v/>
      </c>
      <c r="F809" s="0" t="str">
        <f aca="false">IF(E809="","",RANK(E809,$E$2:$E$5001,1))</f>
        <v/>
      </c>
      <c r="G809" s="0" t="n">
        <f aca="false">IF(A809="",0,IF(SUMPRODUCT(--($A$2:$A$5001=A809))&gt;1,1,0))</f>
        <v>0</v>
      </c>
      <c r="H809" s="0" t="n">
        <f aca="false">ROW()-1</f>
        <v>808</v>
      </c>
      <c r="I809" s="0" t="str">
        <f aca="false">IF(OR(הגדרות!$E$6=0,H809&gt;הגדרות!$E$5),"",IF(H809-1&lt;הגדרות!$E$8*(הגדרות!$E$7+1),INT((H809-1)/(הגדרות!$E$7+1)),הגדרות!$E$8+INT((H809-1-הגדרות!$E$8*(הגדרות!$E$7+1))/הגדרות!$E$7)))</f>
        <v/>
      </c>
      <c r="J809" s="0" t="str">
        <f aca="false">IF(I809="","",IF(H809-1&lt;הגדרות!$E$8*(הגדרות!$E$7+1),MOD(H809-1,הגדרות!$E$7+1),MOD(H809-1-הגדרות!$E$8*(הגדרות!$E$7+1),הגדרות!$E$7)))</f>
        <v/>
      </c>
      <c r="K809" s="0" t="str">
        <f aca="false">IF(I809="","",J809*הגדרות!$E$6+I809+1)</f>
        <v/>
      </c>
      <c r="L809" s="0" t="str">
        <f aca="false">IF(K809="","",MATCH(K809,$F$2:$F$5001,0))</f>
        <v/>
      </c>
      <c r="M809" s="0" t="str">
        <f aca="false">IF(I809="","",INDEX(הגדרות!$A$2:$A$21,MOD(I809+הגדרות!$E$9,הגדרות!$E$6)+1))</f>
        <v/>
      </c>
    </row>
    <row r="810" customFormat="false" ht="15" hidden="false" customHeight="false" outlineLevel="0" collapsed="false">
      <c r="A810" s="0" t="str">
        <f aca="false">IF('הדבקת לידים'!A810="","",IF(ISNUMBER('הדבקת לידים'!A810),IF(הגדרות!$E$2&gt;0,TEXT('הדבקת לידים'!A810,REPT("0",הגדרות!$E$2)),TEXT('הדבקת לידים'!A810,"0")),TRIM('הדבקת לידים'!A810)))</f>
        <v/>
      </c>
      <c r="B810" s="0" t="str">
        <f aca="false">IF('הדבקת לידים'!B810="","",IF(ISNUMBER('הדבקת לידים'!B810),IF(הגדרות!$E$3&gt;0,TEXT('הדבקת לידים'!B810,REPT("0",הגדרות!$E$3)),TEXT('הדבקת לידים'!B810,"0")),TRIM('הדבקת לידים'!B810)))</f>
        <v/>
      </c>
      <c r="C810" s="0" t="n">
        <f aca="false">IF(OR(A810&lt;&gt;"",B810&lt;&gt;""),1,0)</f>
        <v>0</v>
      </c>
      <c r="D810" s="0" t="str">
        <f aca="false">IF(C810=1,MOD(ABS(SIN(ROW()*12.9898+'הדבקת לידים'!$F$2*78.233+IFERROR(--RIGHT(A810,6),LEN(A810))*0.0137+IFERROR(--RIGHT(B810,6),LEN(B810))*0.0071))*43758.5453,1),"")</f>
        <v/>
      </c>
      <c r="E810" s="0" t="str">
        <f aca="false">IF(C810=1,INT(MOD(ABS(SIN(D810*7919.123+ROW()*0.618+'הדבקת לידים'!$F$2*1.3))*43758.5453,1)*1000000)*10000+ROW(),"")</f>
        <v/>
      </c>
      <c r="F810" s="0" t="str">
        <f aca="false">IF(E810="","",RANK(E810,$E$2:$E$5001,1))</f>
        <v/>
      </c>
      <c r="G810" s="0" t="n">
        <f aca="false">IF(A810="",0,IF(SUMPRODUCT(--($A$2:$A$5001=A810))&gt;1,1,0))</f>
        <v>0</v>
      </c>
      <c r="H810" s="0" t="n">
        <f aca="false">ROW()-1</f>
        <v>809</v>
      </c>
      <c r="I810" s="0" t="str">
        <f aca="false">IF(OR(הגדרות!$E$6=0,H810&gt;הגדרות!$E$5),"",IF(H810-1&lt;הגדרות!$E$8*(הגדרות!$E$7+1),INT((H810-1)/(הגדרות!$E$7+1)),הגדרות!$E$8+INT((H810-1-הגדרות!$E$8*(הגדרות!$E$7+1))/הגדרות!$E$7)))</f>
        <v/>
      </c>
      <c r="J810" s="0" t="str">
        <f aca="false">IF(I810="","",IF(H810-1&lt;הגדרות!$E$8*(הגדרות!$E$7+1),MOD(H810-1,הגדרות!$E$7+1),MOD(H810-1-הגדרות!$E$8*(הגדרות!$E$7+1),הגדרות!$E$7)))</f>
        <v/>
      </c>
      <c r="K810" s="0" t="str">
        <f aca="false">IF(I810="","",J810*הגדרות!$E$6+I810+1)</f>
        <v/>
      </c>
      <c r="L810" s="0" t="str">
        <f aca="false">IF(K810="","",MATCH(K810,$F$2:$F$5001,0))</f>
        <v/>
      </c>
      <c r="M810" s="0" t="str">
        <f aca="false">IF(I810="","",INDEX(הגדרות!$A$2:$A$21,MOD(I810+הגדרות!$E$9,הגדרות!$E$6)+1))</f>
        <v/>
      </c>
    </row>
    <row r="811" customFormat="false" ht="15" hidden="false" customHeight="false" outlineLevel="0" collapsed="false">
      <c r="A811" s="0" t="str">
        <f aca="false">IF('הדבקת לידים'!A811="","",IF(ISNUMBER('הדבקת לידים'!A811),IF(הגדרות!$E$2&gt;0,TEXT('הדבקת לידים'!A811,REPT("0",הגדרות!$E$2)),TEXT('הדבקת לידים'!A811,"0")),TRIM('הדבקת לידים'!A811)))</f>
        <v/>
      </c>
      <c r="B811" s="0" t="str">
        <f aca="false">IF('הדבקת לידים'!B811="","",IF(ISNUMBER('הדבקת לידים'!B811),IF(הגדרות!$E$3&gt;0,TEXT('הדבקת לידים'!B811,REPT("0",הגדרות!$E$3)),TEXT('הדבקת לידים'!B811,"0")),TRIM('הדבקת לידים'!B811)))</f>
        <v/>
      </c>
      <c r="C811" s="0" t="n">
        <f aca="false">IF(OR(A811&lt;&gt;"",B811&lt;&gt;""),1,0)</f>
        <v>0</v>
      </c>
      <c r="D811" s="0" t="str">
        <f aca="false">IF(C811=1,MOD(ABS(SIN(ROW()*12.9898+'הדבקת לידים'!$F$2*78.233+IFERROR(--RIGHT(A811,6),LEN(A811))*0.0137+IFERROR(--RIGHT(B811,6),LEN(B811))*0.0071))*43758.5453,1),"")</f>
        <v/>
      </c>
      <c r="E811" s="0" t="str">
        <f aca="false">IF(C811=1,INT(MOD(ABS(SIN(D811*7919.123+ROW()*0.618+'הדבקת לידים'!$F$2*1.3))*43758.5453,1)*1000000)*10000+ROW(),"")</f>
        <v/>
      </c>
      <c r="F811" s="0" t="str">
        <f aca="false">IF(E811="","",RANK(E811,$E$2:$E$5001,1))</f>
        <v/>
      </c>
      <c r="G811" s="0" t="n">
        <f aca="false">IF(A811="",0,IF(SUMPRODUCT(--($A$2:$A$5001=A811))&gt;1,1,0))</f>
        <v>0</v>
      </c>
      <c r="H811" s="0" t="n">
        <f aca="false">ROW()-1</f>
        <v>810</v>
      </c>
      <c r="I811" s="0" t="str">
        <f aca="false">IF(OR(הגדרות!$E$6=0,H811&gt;הגדרות!$E$5),"",IF(H811-1&lt;הגדרות!$E$8*(הגדרות!$E$7+1),INT((H811-1)/(הגדרות!$E$7+1)),הגדרות!$E$8+INT((H811-1-הגדרות!$E$8*(הגדרות!$E$7+1))/הגדרות!$E$7)))</f>
        <v/>
      </c>
      <c r="J811" s="0" t="str">
        <f aca="false">IF(I811="","",IF(H811-1&lt;הגדרות!$E$8*(הגדרות!$E$7+1),MOD(H811-1,הגדרות!$E$7+1),MOD(H811-1-הגדרות!$E$8*(הגדרות!$E$7+1),הגדרות!$E$7)))</f>
        <v/>
      </c>
      <c r="K811" s="0" t="str">
        <f aca="false">IF(I811="","",J811*הגדרות!$E$6+I811+1)</f>
        <v/>
      </c>
      <c r="L811" s="0" t="str">
        <f aca="false">IF(K811="","",MATCH(K811,$F$2:$F$5001,0))</f>
        <v/>
      </c>
      <c r="M811" s="0" t="str">
        <f aca="false">IF(I811="","",INDEX(הגדרות!$A$2:$A$21,MOD(I811+הגדרות!$E$9,הגדרות!$E$6)+1))</f>
        <v/>
      </c>
    </row>
    <row r="812" customFormat="false" ht="15" hidden="false" customHeight="false" outlineLevel="0" collapsed="false">
      <c r="A812" s="0" t="str">
        <f aca="false">IF('הדבקת לידים'!A812="","",IF(ISNUMBER('הדבקת לידים'!A812),IF(הגדרות!$E$2&gt;0,TEXT('הדבקת לידים'!A812,REPT("0",הגדרות!$E$2)),TEXT('הדבקת לידים'!A812,"0")),TRIM('הדבקת לידים'!A812)))</f>
        <v/>
      </c>
      <c r="B812" s="0" t="str">
        <f aca="false">IF('הדבקת לידים'!B812="","",IF(ISNUMBER('הדבקת לידים'!B812),IF(הגדרות!$E$3&gt;0,TEXT('הדבקת לידים'!B812,REPT("0",הגדרות!$E$3)),TEXT('הדבקת לידים'!B812,"0")),TRIM('הדבקת לידים'!B812)))</f>
        <v/>
      </c>
      <c r="C812" s="0" t="n">
        <f aca="false">IF(OR(A812&lt;&gt;"",B812&lt;&gt;""),1,0)</f>
        <v>0</v>
      </c>
      <c r="D812" s="0" t="str">
        <f aca="false">IF(C812=1,MOD(ABS(SIN(ROW()*12.9898+'הדבקת לידים'!$F$2*78.233+IFERROR(--RIGHT(A812,6),LEN(A812))*0.0137+IFERROR(--RIGHT(B812,6),LEN(B812))*0.0071))*43758.5453,1),"")</f>
        <v/>
      </c>
      <c r="E812" s="0" t="str">
        <f aca="false">IF(C812=1,INT(MOD(ABS(SIN(D812*7919.123+ROW()*0.618+'הדבקת לידים'!$F$2*1.3))*43758.5453,1)*1000000)*10000+ROW(),"")</f>
        <v/>
      </c>
      <c r="F812" s="0" t="str">
        <f aca="false">IF(E812="","",RANK(E812,$E$2:$E$5001,1))</f>
        <v/>
      </c>
      <c r="G812" s="0" t="n">
        <f aca="false">IF(A812="",0,IF(SUMPRODUCT(--($A$2:$A$5001=A812))&gt;1,1,0))</f>
        <v>0</v>
      </c>
      <c r="H812" s="0" t="n">
        <f aca="false">ROW()-1</f>
        <v>811</v>
      </c>
      <c r="I812" s="0" t="str">
        <f aca="false">IF(OR(הגדרות!$E$6=0,H812&gt;הגדרות!$E$5),"",IF(H812-1&lt;הגדרות!$E$8*(הגדרות!$E$7+1),INT((H812-1)/(הגדרות!$E$7+1)),הגדרות!$E$8+INT((H812-1-הגדרות!$E$8*(הגדרות!$E$7+1))/הגדרות!$E$7)))</f>
        <v/>
      </c>
      <c r="J812" s="0" t="str">
        <f aca="false">IF(I812="","",IF(H812-1&lt;הגדרות!$E$8*(הגדרות!$E$7+1),MOD(H812-1,הגדרות!$E$7+1),MOD(H812-1-הגדרות!$E$8*(הגדרות!$E$7+1),הגדרות!$E$7)))</f>
        <v/>
      </c>
      <c r="K812" s="0" t="str">
        <f aca="false">IF(I812="","",J812*הגדרות!$E$6+I812+1)</f>
        <v/>
      </c>
      <c r="L812" s="0" t="str">
        <f aca="false">IF(K812="","",MATCH(K812,$F$2:$F$5001,0))</f>
        <v/>
      </c>
      <c r="M812" s="0" t="str">
        <f aca="false">IF(I812="","",INDEX(הגדרות!$A$2:$A$21,MOD(I812+הגדרות!$E$9,הגדרות!$E$6)+1))</f>
        <v/>
      </c>
    </row>
    <row r="813" customFormat="false" ht="15" hidden="false" customHeight="false" outlineLevel="0" collapsed="false">
      <c r="A813" s="0" t="str">
        <f aca="false">IF('הדבקת לידים'!A813="","",IF(ISNUMBER('הדבקת לידים'!A813),IF(הגדרות!$E$2&gt;0,TEXT('הדבקת לידים'!A813,REPT("0",הגדרות!$E$2)),TEXT('הדבקת לידים'!A813,"0")),TRIM('הדבקת לידים'!A813)))</f>
        <v/>
      </c>
      <c r="B813" s="0" t="str">
        <f aca="false">IF('הדבקת לידים'!B813="","",IF(ISNUMBER('הדבקת לידים'!B813),IF(הגדרות!$E$3&gt;0,TEXT('הדבקת לידים'!B813,REPT("0",הגדרות!$E$3)),TEXT('הדבקת לידים'!B813,"0")),TRIM('הדבקת לידים'!B813)))</f>
        <v/>
      </c>
      <c r="C813" s="0" t="n">
        <f aca="false">IF(OR(A813&lt;&gt;"",B813&lt;&gt;""),1,0)</f>
        <v>0</v>
      </c>
      <c r="D813" s="0" t="str">
        <f aca="false">IF(C813=1,MOD(ABS(SIN(ROW()*12.9898+'הדבקת לידים'!$F$2*78.233+IFERROR(--RIGHT(A813,6),LEN(A813))*0.0137+IFERROR(--RIGHT(B813,6),LEN(B813))*0.0071))*43758.5453,1),"")</f>
        <v/>
      </c>
      <c r="E813" s="0" t="str">
        <f aca="false">IF(C813=1,INT(MOD(ABS(SIN(D813*7919.123+ROW()*0.618+'הדבקת לידים'!$F$2*1.3))*43758.5453,1)*1000000)*10000+ROW(),"")</f>
        <v/>
      </c>
      <c r="F813" s="0" t="str">
        <f aca="false">IF(E813="","",RANK(E813,$E$2:$E$5001,1))</f>
        <v/>
      </c>
      <c r="G813" s="0" t="n">
        <f aca="false">IF(A813="",0,IF(SUMPRODUCT(--($A$2:$A$5001=A813))&gt;1,1,0))</f>
        <v>0</v>
      </c>
      <c r="H813" s="0" t="n">
        <f aca="false">ROW()-1</f>
        <v>812</v>
      </c>
      <c r="I813" s="0" t="str">
        <f aca="false">IF(OR(הגדרות!$E$6=0,H813&gt;הגדרות!$E$5),"",IF(H813-1&lt;הגדרות!$E$8*(הגדרות!$E$7+1),INT((H813-1)/(הגדרות!$E$7+1)),הגדרות!$E$8+INT((H813-1-הגדרות!$E$8*(הגדרות!$E$7+1))/הגדרות!$E$7)))</f>
        <v/>
      </c>
      <c r="J813" s="0" t="str">
        <f aca="false">IF(I813="","",IF(H813-1&lt;הגדרות!$E$8*(הגדרות!$E$7+1),MOD(H813-1,הגדרות!$E$7+1),MOD(H813-1-הגדרות!$E$8*(הגדרות!$E$7+1),הגדרות!$E$7)))</f>
        <v/>
      </c>
      <c r="K813" s="0" t="str">
        <f aca="false">IF(I813="","",J813*הגדרות!$E$6+I813+1)</f>
        <v/>
      </c>
      <c r="L813" s="0" t="str">
        <f aca="false">IF(K813="","",MATCH(K813,$F$2:$F$5001,0))</f>
        <v/>
      </c>
      <c r="M813" s="0" t="str">
        <f aca="false">IF(I813="","",INDEX(הגדרות!$A$2:$A$21,MOD(I813+הגדרות!$E$9,הגדרות!$E$6)+1))</f>
        <v/>
      </c>
    </row>
    <row r="814" customFormat="false" ht="15" hidden="false" customHeight="false" outlineLevel="0" collapsed="false">
      <c r="A814" s="0" t="str">
        <f aca="false">IF('הדבקת לידים'!A814="","",IF(ISNUMBER('הדבקת לידים'!A814),IF(הגדרות!$E$2&gt;0,TEXT('הדבקת לידים'!A814,REPT("0",הגדרות!$E$2)),TEXT('הדבקת לידים'!A814,"0")),TRIM('הדבקת לידים'!A814)))</f>
        <v/>
      </c>
      <c r="B814" s="0" t="str">
        <f aca="false">IF('הדבקת לידים'!B814="","",IF(ISNUMBER('הדבקת לידים'!B814),IF(הגדרות!$E$3&gt;0,TEXT('הדבקת לידים'!B814,REPT("0",הגדרות!$E$3)),TEXT('הדבקת לידים'!B814,"0")),TRIM('הדבקת לידים'!B814)))</f>
        <v/>
      </c>
      <c r="C814" s="0" t="n">
        <f aca="false">IF(OR(A814&lt;&gt;"",B814&lt;&gt;""),1,0)</f>
        <v>0</v>
      </c>
      <c r="D814" s="0" t="str">
        <f aca="false">IF(C814=1,MOD(ABS(SIN(ROW()*12.9898+'הדבקת לידים'!$F$2*78.233+IFERROR(--RIGHT(A814,6),LEN(A814))*0.0137+IFERROR(--RIGHT(B814,6),LEN(B814))*0.0071))*43758.5453,1),"")</f>
        <v/>
      </c>
      <c r="E814" s="0" t="str">
        <f aca="false">IF(C814=1,INT(MOD(ABS(SIN(D814*7919.123+ROW()*0.618+'הדבקת לידים'!$F$2*1.3))*43758.5453,1)*1000000)*10000+ROW(),"")</f>
        <v/>
      </c>
      <c r="F814" s="0" t="str">
        <f aca="false">IF(E814="","",RANK(E814,$E$2:$E$5001,1))</f>
        <v/>
      </c>
      <c r="G814" s="0" t="n">
        <f aca="false">IF(A814="",0,IF(SUMPRODUCT(--($A$2:$A$5001=A814))&gt;1,1,0))</f>
        <v>0</v>
      </c>
      <c r="H814" s="0" t="n">
        <f aca="false">ROW()-1</f>
        <v>813</v>
      </c>
      <c r="I814" s="0" t="str">
        <f aca="false">IF(OR(הגדרות!$E$6=0,H814&gt;הגדרות!$E$5),"",IF(H814-1&lt;הגדרות!$E$8*(הגדרות!$E$7+1),INT((H814-1)/(הגדרות!$E$7+1)),הגדרות!$E$8+INT((H814-1-הגדרות!$E$8*(הגדרות!$E$7+1))/הגדרות!$E$7)))</f>
        <v/>
      </c>
      <c r="J814" s="0" t="str">
        <f aca="false">IF(I814="","",IF(H814-1&lt;הגדרות!$E$8*(הגדרות!$E$7+1),MOD(H814-1,הגדרות!$E$7+1),MOD(H814-1-הגדרות!$E$8*(הגדרות!$E$7+1),הגדרות!$E$7)))</f>
        <v/>
      </c>
      <c r="K814" s="0" t="str">
        <f aca="false">IF(I814="","",J814*הגדרות!$E$6+I814+1)</f>
        <v/>
      </c>
      <c r="L814" s="0" t="str">
        <f aca="false">IF(K814="","",MATCH(K814,$F$2:$F$5001,0))</f>
        <v/>
      </c>
      <c r="M814" s="0" t="str">
        <f aca="false">IF(I814="","",INDEX(הגדרות!$A$2:$A$21,MOD(I814+הגדרות!$E$9,הגדרות!$E$6)+1))</f>
        <v/>
      </c>
    </row>
    <row r="815" customFormat="false" ht="15" hidden="false" customHeight="false" outlineLevel="0" collapsed="false">
      <c r="A815" s="0" t="str">
        <f aca="false">IF('הדבקת לידים'!A815="","",IF(ISNUMBER('הדבקת לידים'!A815),IF(הגדרות!$E$2&gt;0,TEXT('הדבקת לידים'!A815,REPT("0",הגדרות!$E$2)),TEXT('הדבקת לידים'!A815,"0")),TRIM('הדבקת לידים'!A815)))</f>
        <v/>
      </c>
      <c r="B815" s="0" t="str">
        <f aca="false">IF('הדבקת לידים'!B815="","",IF(ISNUMBER('הדבקת לידים'!B815),IF(הגדרות!$E$3&gt;0,TEXT('הדבקת לידים'!B815,REPT("0",הגדרות!$E$3)),TEXT('הדבקת לידים'!B815,"0")),TRIM('הדבקת לידים'!B815)))</f>
        <v/>
      </c>
      <c r="C815" s="0" t="n">
        <f aca="false">IF(OR(A815&lt;&gt;"",B815&lt;&gt;""),1,0)</f>
        <v>0</v>
      </c>
      <c r="D815" s="0" t="str">
        <f aca="false">IF(C815=1,MOD(ABS(SIN(ROW()*12.9898+'הדבקת לידים'!$F$2*78.233+IFERROR(--RIGHT(A815,6),LEN(A815))*0.0137+IFERROR(--RIGHT(B815,6),LEN(B815))*0.0071))*43758.5453,1),"")</f>
        <v/>
      </c>
      <c r="E815" s="0" t="str">
        <f aca="false">IF(C815=1,INT(MOD(ABS(SIN(D815*7919.123+ROW()*0.618+'הדבקת לידים'!$F$2*1.3))*43758.5453,1)*1000000)*10000+ROW(),"")</f>
        <v/>
      </c>
      <c r="F815" s="0" t="str">
        <f aca="false">IF(E815="","",RANK(E815,$E$2:$E$5001,1))</f>
        <v/>
      </c>
      <c r="G815" s="0" t="n">
        <f aca="false">IF(A815="",0,IF(SUMPRODUCT(--($A$2:$A$5001=A815))&gt;1,1,0))</f>
        <v>0</v>
      </c>
      <c r="H815" s="0" t="n">
        <f aca="false">ROW()-1</f>
        <v>814</v>
      </c>
      <c r="I815" s="0" t="str">
        <f aca="false">IF(OR(הגדרות!$E$6=0,H815&gt;הגדרות!$E$5),"",IF(H815-1&lt;הגדרות!$E$8*(הגדרות!$E$7+1),INT((H815-1)/(הגדרות!$E$7+1)),הגדרות!$E$8+INT((H815-1-הגדרות!$E$8*(הגדרות!$E$7+1))/הגדרות!$E$7)))</f>
        <v/>
      </c>
      <c r="J815" s="0" t="str">
        <f aca="false">IF(I815="","",IF(H815-1&lt;הגדרות!$E$8*(הגדרות!$E$7+1),MOD(H815-1,הגדרות!$E$7+1),MOD(H815-1-הגדרות!$E$8*(הגדרות!$E$7+1),הגדרות!$E$7)))</f>
        <v/>
      </c>
      <c r="K815" s="0" t="str">
        <f aca="false">IF(I815="","",J815*הגדרות!$E$6+I815+1)</f>
        <v/>
      </c>
      <c r="L815" s="0" t="str">
        <f aca="false">IF(K815="","",MATCH(K815,$F$2:$F$5001,0))</f>
        <v/>
      </c>
      <c r="M815" s="0" t="str">
        <f aca="false">IF(I815="","",INDEX(הגדרות!$A$2:$A$21,MOD(I815+הגדרות!$E$9,הגדרות!$E$6)+1))</f>
        <v/>
      </c>
    </row>
    <row r="816" customFormat="false" ht="15" hidden="false" customHeight="false" outlineLevel="0" collapsed="false">
      <c r="A816" s="0" t="str">
        <f aca="false">IF('הדבקת לידים'!A816="","",IF(ISNUMBER('הדבקת לידים'!A816),IF(הגדרות!$E$2&gt;0,TEXT('הדבקת לידים'!A816,REPT("0",הגדרות!$E$2)),TEXT('הדבקת לידים'!A816,"0")),TRIM('הדבקת לידים'!A816)))</f>
        <v/>
      </c>
      <c r="B816" s="0" t="str">
        <f aca="false">IF('הדבקת לידים'!B816="","",IF(ISNUMBER('הדבקת לידים'!B816),IF(הגדרות!$E$3&gt;0,TEXT('הדבקת לידים'!B816,REPT("0",הגדרות!$E$3)),TEXT('הדבקת לידים'!B816,"0")),TRIM('הדבקת לידים'!B816)))</f>
        <v/>
      </c>
      <c r="C816" s="0" t="n">
        <f aca="false">IF(OR(A816&lt;&gt;"",B816&lt;&gt;""),1,0)</f>
        <v>0</v>
      </c>
      <c r="D816" s="0" t="str">
        <f aca="false">IF(C816=1,MOD(ABS(SIN(ROW()*12.9898+'הדבקת לידים'!$F$2*78.233+IFERROR(--RIGHT(A816,6),LEN(A816))*0.0137+IFERROR(--RIGHT(B816,6),LEN(B816))*0.0071))*43758.5453,1),"")</f>
        <v/>
      </c>
      <c r="E816" s="0" t="str">
        <f aca="false">IF(C816=1,INT(MOD(ABS(SIN(D816*7919.123+ROW()*0.618+'הדבקת לידים'!$F$2*1.3))*43758.5453,1)*1000000)*10000+ROW(),"")</f>
        <v/>
      </c>
      <c r="F816" s="0" t="str">
        <f aca="false">IF(E816="","",RANK(E816,$E$2:$E$5001,1))</f>
        <v/>
      </c>
      <c r="G816" s="0" t="n">
        <f aca="false">IF(A816="",0,IF(SUMPRODUCT(--($A$2:$A$5001=A816))&gt;1,1,0))</f>
        <v>0</v>
      </c>
      <c r="H816" s="0" t="n">
        <f aca="false">ROW()-1</f>
        <v>815</v>
      </c>
      <c r="I816" s="0" t="str">
        <f aca="false">IF(OR(הגדרות!$E$6=0,H816&gt;הגדרות!$E$5),"",IF(H816-1&lt;הגדרות!$E$8*(הגדרות!$E$7+1),INT((H816-1)/(הגדרות!$E$7+1)),הגדרות!$E$8+INT((H816-1-הגדרות!$E$8*(הגדרות!$E$7+1))/הגדרות!$E$7)))</f>
        <v/>
      </c>
      <c r="J816" s="0" t="str">
        <f aca="false">IF(I816="","",IF(H816-1&lt;הגדרות!$E$8*(הגדרות!$E$7+1),MOD(H816-1,הגדרות!$E$7+1),MOD(H816-1-הגדרות!$E$8*(הגדרות!$E$7+1),הגדרות!$E$7)))</f>
        <v/>
      </c>
      <c r="K816" s="0" t="str">
        <f aca="false">IF(I816="","",J816*הגדרות!$E$6+I816+1)</f>
        <v/>
      </c>
      <c r="L816" s="0" t="str">
        <f aca="false">IF(K816="","",MATCH(K816,$F$2:$F$5001,0))</f>
        <v/>
      </c>
      <c r="M816" s="0" t="str">
        <f aca="false">IF(I816="","",INDEX(הגדרות!$A$2:$A$21,MOD(I816+הגדרות!$E$9,הגדרות!$E$6)+1))</f>
        <v/>
      </c>
    </row>
    <row r="817" customFormat="false" ht="15" hidden="false" customHeight="false" outlineLevel="0" collapsed="false">
      <c r="A817" s="0" t="str">
        <f aca="false">IF('הדבקת לידים'!A817="","",IF(ISNUMBER('הדבקת לידים'!A817),IF(הגדרות!$E$2&gt;0,TEXT('הדבקת לידים'!A817,REPT("0",הגדרות!$E$2)),TEXT('הדבקת לידים'!A817,"0")),TRIM('הדבקת לידים'!A817)))</f>
        <v/>
      </c>
      <c r="B817" s="0" t="str">
        <f aca="false">IF('הדבקת לידים'!B817="","",IF(ISNUMBER('הדבקת לידים'!B817),IF(הגדרות!$E$3&gt;0,TEXT('הדבקת לידים'!B817,REPT("0",הגדרות!$E$3)),TEXT('הדבקת לידים'!B817,"0")),TRIM('הדבקת לידים'!B817)))</f>
        <v/>
      </c>
      <c r="C817" s="0" t="n">
        <f aca="false">IF(OR(A817&lt;&gt;"",B817&lt;&gt;""),1,0)</f>
        <v>0</v>
      </c>
      <c r="D817" s="0" t="str">
        <f aca="false">IF(C817=1,MOD(ABS(SIN(ROW()*12.9898+'הדבקת לידים'!$F$2*78.233+IFERROR(--RIGHT(A817,6),LEN(A817))*0.0137+IFERROR(--RIGHT(B817,6),LEN(B817))*0.0071))*43758.5453,1),"")</f>
        <v/>
      </c>
      <c r="E817" s="0" t="str">
        <f aca="false">IF(C817=1,INT(MOD(ABS(SIN(D817*7919.123+ROW()*0.618+'הדבקת לידים'!$F$2*1.3))*43758.5453,1)*1000000)*10000+ROW(),"")</f>
        <v/>
      </c>
      <c r="F817" s="0" t="str">
        <f aca="false">IF(E817="","",RANK(E817,$E$2:$E$5001,1))</f>
        <v/>
      </c>
      <c r="G817" s="0" t="n">
        <f aca="false">IF(A817="",0,IF(SUMPRODUCT(--($A$2:$A$5001=A817))&gt;1,1,0))</f>
        <v>0</v>
      </c>
      <c r="H817" s="0" t="n">
        <f aca="false">ROW()-1</f>
        <v>816</v>
      </c>
      <c r="I817" s="0" t="str">
        <f aca="false">IF(OR(הגדרות!$E$6=0,H817&gt;הגדרות!$E$5),"",IF(H817-1&lt;הגדרות!$E$8*(הגדרות!$E$7+1),INT((H817-1)/(הגדרות!$E$7+1)),הגדרות!$E$8+INT((H817-1-הגדרות!$E$8*(הגדרות!$E$7+1))/הגדרות!$E$7)))</f>
        <v/>
      </c>
      <c r="J817" s="0" t="str">
        <f aca="false">IF(I817="","",IF(H817-1&lt;הגדרות!$E$8*(הגדרות!$E$7+1),MOD(H817-1,הגדרות!$E$7+1),MOD(H817-1-הגדרות!$E$8*(הגדרות!$E$7+1),הגדרות!$E$7)))</f>
        <v/>
      </c>
      <c r="K817" s="0" t="str">
        <f aca="false">IF(I817="","",J817*הגדרות!$E$6+I817+1)</f>
        <v/>
      </c>
      <c r="L817" s="0" t="str">
        <f aca="false">IF(K817="","",MATCH(K817,$F$2:$F$5001,0))</f>
        <v/>
      </c>
      <c r="M817" s="0" t="str">
        <f aca="false">IF(I817="","",INDEX(הגדרות!$A$2:$A$21,MOD(I817+הגדרות!$E$9,הגדרות!$E$6)+1))</f>
        <v/>
      </c>
    </row>
    <row r="818" customFormat="false" ht="15" hidden="false" customHeight="false" outlineLevel="0" collapsed="false">
      <c r="A818" s="0" t="str">
        <f aca="false">IF('הדבקת לידים'!A818="","",IF(ISNUMBER('הדבקת לידים'!A818),IF(הגדרות!$E$2&gt;0,TEXT('הדבקת לידים'!A818,REPT("0",הגדרות!$E$2)),TEXT('הדבקת לידים'!A818,"0")),TRIM('הדבקת לידים'!A818)))</f>
        <v/>
      </c>
      <c r="B818" s="0" t="str">
        <f aca="false">IF('הדבקת לידים'!B818="","",IF(ISNUMBER('הדבקת לידים'!B818),IF(הגדרות!$E$3&gt;0,TEXT('הדבקת לידים'!B818,REPT("0",הגדרות!$E$3)),TEXT('הדבקת לידים'!B818,"0")),TRIM('הדבקת לידים'!B818)))</f>
        <v/>
      </c>
      <c r="C818" s="0" t="n">
        <f aca="false">IF(OR(A818&lt;&gt;"",B818&lt;&gt;""),1,0)</f>
        <v>0</v>
      </c>
      <c r="D818" s="0" t="str">
        <f aca="false">IF(C818=1,MOD(ABS(SIN(ROW()*12.9898+'הדבקת לידים'!$F$2*78.233+IFERROR(--RIGHT(A818,6),LEN(A818))*0.0137+IFERROR(--RIGHT(B818,6),LEN(B818))*0.0071))*43758.5453,1),"")</f>
        <v/>
      </c>
      <c r="E818" s="0" t="str">
        <f aca="false">IF(C818=1,INT(MOD(ABS(SIN(D818*7919.123+ROW()*0.618+'הדבקת לידים'!$F$2*1.3))*43758.5453,1)*1000000)*10000+ROW(),"")</f>
        <v/>
      </c>
      <c r="F818" s="0" t="str">
        <f aca="false">IF(E818="","",RANK(E818,$E$2:$E$5001,1))</f>
        <v/>
      </c>
      <c r="G818" s="0" t="n">
        <f aca="false">IF(A818="",0,IF(SUMPRODUCT(--($A$2:$A$5001=A818))&gt;1,1,0))</f>
        <v>0</v>
      </c>
      <c r="H818" s="0" t="n">
        <f aca="false">ROW()-1</f>
        <v>817</v>
      </c>
      <c r="I818" s="0" t="str">
        <f aca="false">IF(OR(הגדרות!$E$6=0,H818&gt;הגדרות!$E$5),"",IF(H818-1&lt;הגדרות!$E$8*(הגדרות!$E$7+1),INT((H818-1)/(הגדרות!$E$7+1)),הגדרות!$E$8+INT((H818-1-הגדרות!$E$8*(הגדרות!$E$7+1))/הגדרות!$E$7)))</f>
        <v/>
      </c>
      <c r="J818" s="0" t="str">
        <f aca="false">IF(I818="","",IF(H818-1&lt;הגדרות!$E$8*(הגדרות!$E$7+1),MOD(H818-1,הגדרות!$E$7+1),MOD(H818-1-הגדרות!$E$8*(הגדרות!$E$7+1),הגדרות!$E$7)))</f>
        <v/>
      </c>
      <c r="K818" s="0" t="str">
        <f aca="false">IF(I818="","",J818*הגדרות!$E$6+I818+1)</f>
        <v/>
      </c>
      <c r="L818" s="0" t="str">
        <f aca="false">IF(K818="","",MATCH(K818,$F$2:$F$5001,0))</f>
        <v/>
      </c>
      <c r="M818" s="0" t="str">
        <f aca="false">IF(I818="","",INDEX(הגדרות!$A$2:$A$21,MOD(I818+הגדרות!$E$9,הגדרות!$E$6)+1))</f>
        <v/>
      </c>
    </row>
    <row r="819" customFormat="false" ht="15" hidden="false" customHeight="false" outlineLevel="0" collapsed="false">
      <c r="A819" s="0" t="str">
        <f aca="false">IF('הדבקת לידים'!A819="","",IF(ISNUMBER('הדבקת לידים'!A819),IF(הגדרות!$E$2&gt;0,TEXT('הדבקת לידים'!A819,REPT("0",הגדרות!$E$2)),TEXT('הדבקת לידים'!A819,"0")),TRIM('הדבקת לידים'!A819)))</f>
        <v/>
      </c>
      <c r="B819" s="0" t="str">
        <f aca="false">IF('הדבקת לידים'!B819="","",IF(ISNUMBER('הדבקת לידים'!B819),IF(הגדרות!$E$3&gt;0,TEXT('הדבקת לידים'!B819,REPT("0",הגדרות!$E$3)),TEXT('הדבקת לידים'!B819,"0")),TRIM('הדבקת לידים'!B819)))</f>
        <v/>
      </c>
      <c r="C819" s="0" t="n">
        <f aca="false">IF(OR(A819&lt;&gt;"",B819&lt;&gt;""),1,0)</f>
        <v>0</v>
      </c>
      <c r="D819" s="0" t="str">
        <f aca="false">IF(C819=1,MOD(ABS(SIN(ROW()*12.9898+'הדבקת לידים'!$F$2*78.233+IFERROR(--RIGHT(A819,6),LEN(A819))*0.0137+IFERROR(--RIGHT(B819,6),LEN(B819))*0.0071))*43758.5453,1),"")</f>
        <v/>
      </c>
      <c r="E819" s="0" t="str">
        <f aca="false">IF(C819=1,INT(MOD(ABS(SIN(D819*7919.123+ROW()*0.618+'הדבקת לידים'!$F$2*1.3))*43758.5453,1)*1000000)*10000+ROW(),"")</f>
        <v/>
      </c>
      <c r="F819" s="0" t="str">
        <f aca="false">IF(E819="","",RANK(E819,$E$2:$E$5001,1))</f>
        <v/>
      </c>
      <c r="G819" s="0" t="n">
        <f aca="false">IF(A819="",0,IF(SUMPRODUCT(--($A$2:$A$5001=A819))&gt;1,1,0))</f>
        <v>0</v>
      </c>
      <c r="H819" s="0" t="n">
        <f aca="false">ROW()-1</f>
        <v>818</v>
      </c>
      <c r="I819" s="0" t="str">
        <f aca="false">IF(OR(הגדרות!$E$6=0,H819&gt;הגדרות!$E$5),"",IF(H819-1&lt;הגדרות!$E$8*(הגדרות!$E$7+1),INT((H819-1)/(הגדרות!$E$7+1)),הגדרות!$E$8+INT((H819-1-הגדרות!$E$8*(הגדרות!$E$7+1))/הגדרות!$E$7)))</f>
        <v/>
      </c>
      <c r="J819" s="0" t="str">
        <f aca="false">IF(I819="","",IF(H819-1&lt;הגדרות!$E$8*(הגדרות!$E$7+1),MOD(H819-1,הגדרות!$E$7+1),MOD(H819-1-הגדרות!$E$8*(הגדרות!$E$7+1),הגדרות!$E$7)))</f>
        <v/>
      </c>
      <c r="K819" s="0" t="str">
        <f aca="false">IF(I819="","",J819*הגדרות!$E$6+I819+1)</f>
        <v/>
      </c>
      <c r="L819" s="0" t="str">
        <f aca="false">IF(K819="","",MATCH(K819,$F$2:$F$5001,0))</f>
        <v/>
      </c>
      <c r="M819" s="0" t="str">
        <f aca="false">IF(I819="","",INDEX(הגדרות!$A$2:$A$21,MOD(I819+הגדרות!$E$9,הגדרות!$E$6)+1))</f>
        <v/>
      </c>
    </row>
    <row r="820" customFormat="false" ht="15" hidden="false" customHeight="false" outlineLevel="0" collapsed="false">
      <c r="A820" s="0" t="str">
        <f aca="false">IF('הדבקת לידים'!A820="","",IF(ISNUMBER('הדבקת לידים'!A820),IF(הגדרות!$E$2&gt;0,TEXT('הדבקת לידים'!A820,REPT("0",הגדרות!$E$2)),TEXT('הדבקת לידים'!A820,"0")),TRIM('הדבקת לידים'!A820)))</f>
        <v/>
      </c>
      <c r="B820" s="0" t="str">
        <f aca="false">IF('הדבקת לידים'!B820="","",IF(ISNUMBER('הדבקת לידים'!B820),IF(הגדרות!$E$3&gt;0,TEXT('הדבקת לידים'!B820,REPT("0",הגדרות!$E$3)),TEXT('הדבקת לידים'!B820,"0")),TRIM('הדבקת לידים'!B820)))</f>
        <v/>
      </c>
      <c r="C820" s="0" t="n">
        <f aca="false">IF(OR(A820&lt;&gt;"",B820&lt;&gt;""),1,0)</f>
        <v>0</v>
      </c>
      <c r="D820" s="0" t="str">
        <f aca="false">IF(C820=1,MOD(ABS(SIN(ROW()*12.9898+'הדבקת לידים'!$F$2*78.233+IFERROR(--RIGHT(A820,6),LEN(A820))*0.0137+IFERROR(--RIGHT(B820,6),LEN(B820))*0.0071))*43758.5453,1),"")</f>
        <v/>
      </c>
      <c r="E820" s="0" t="str">
        <f aca="false">IF(C820=1,INT(MOD(ABS(SIN(D820*7919.123+ROW()*0.618+'הדבקת לידים'!$F$2*1.3))*43758.5453,1)*1000000)*10000+ROW(),"")</f>
        <v/>
      </c>
      <c r="F820" s="0" t="str">
        <f aca="false">IF(E820="","",RANK(E820,$E$2:$E$5001,1))</f>
        <v/>
      </c>
      <c r="G820" s="0" t="n">
        <f aca="false">IF(A820="",0,IF(SUMPRODUCT(--($A$2:$A$5001=A820))&gt;1,1,0))</f>
        <v>0</v>
      </c>
      <c r="H820" s="0" t="n">
        <f aca="false">ROW()-1</f>
        <v>819</v>
      </c>
      <c r="I820" s="0" t="str">
        <f aca="false">IF(OR(הגדרות!$E$6=0,H820&gt;הגדרות!$E$5),"",IF(H820-1&lt;הגדרות!$E$8*(הגדרות!$E$7+1),INT((H820-1)/(הגדרות!$E$7+1)),הגדרות!$E$8+INT((H820-1-הגדרות!$E$8*(הגדרות!$E$7+1))/הגדרות!$E$7)))</f>
        <v/>
      </c>
      <c r="J820" s="0" t="str">
        <f aca="false">IF(I820="","",IF(H820-1&lt;הגדרות!$E$8*(הגדרות!$E$7+1),MOD(H820-1,הגדרות!$E$7+1),MOD(H820-1-הגדרות!$E$8*(הגדרות!$E$7+1),הגדרות!$E$7)))</f>
        <v/>
      </c>
      <c r="K820" s="0" t="str">
        <f aca="false">IF(I820="","",J820*הגדרות!$E$6+I820+1)</f>
        <v/>
      </c>
      <c r="L820" s="0" t="str">
        <f aca="false">IF(K820="","",MATCH(K820,$F$2:$F$5001,0))</f>
        <v/>
      </c>
      <c r="M820" s="0" t="str">
        <f aca="false">IF(I820="","",INDEX(הגדרות!$A$2:$A$21,MOD(I820+הגדרות!$E$9,הגדרות!$E$6)+1))</f>
        <v/>
      </c>
    </row>
    <row r="821" customFormat="false" ht="15" hidden="false" customHeight="false" outlineLevel="0" collapsed="false">
      <c r="A821" s="0" t="str">
        <f aca="false">IF('הדבקת לידים'!A821="","",IF(ISNUMBER('הדבקת לידים'!A821),IF(הגדרות!$E$2&gt;0,TEXT('הדבקת לידים'!A821,REPT("0",הגדרות!$E$2)),TEXT('הדבקת לידים'!A821,"0")),TRIM('הדבקת לידים'!A821)))</f>
        <v/>
      </c>
      <c r="B821" s="0" t="str">
        <f aca="false">IF('הדבקת לידים'!B821="","",IF(ISNUMBER('הדבקת לידים'!B821),IF(הגדרות!$E$3&gt;0,TEXT('הדבקת לידים'!B821,REPT("0",הגדרות!$E$3)),TEXT('הדבקת לידים'!B821,"0")),TRIM('הדבקת לידים'!B821)))</f>
        <v/>
      </c>
      <c r="C821" s="0" t="n">
        <f aca="false">IF(OR(A821&lt;&gt;"",B821&lt;&gt;""),1,0)</f>
        <v>0</v>
      </c>
      <c r="D821" s="0" t="str">
        <f aca="false">IF(C821=1,MOD(ABS(SIN(ROW()*12.9898+'הדבקת לידים'!$F$2*78.233+IFERROR(--RIGHT(A821,6),LEN(A821))*0.0137+IFERROR(--RIGHT(B821,6),LEN(B821))*0.0071))*43758.5453,1),"")</f>
        <v/>
      </c>
      <c r="E821" s="0" t="str">
        <f aca="false">IF(C821=1,INT(MOD(ABS(SIN(D821*7919.123+ROW()*0.618+'הדבקת לידים'!$F$2*1.3))*43758.5453,1)*1000000)*10000+ROW(),"")</f>
        <v/>
      </c>
      <c r="F821" s="0" t="str">
        <f aca="false">IF(E821="","",RANK(E821,$E$2:$E$5001,1))</f>
        <v/>
      </c>
      <c r="G821" s="0" t="n">
        <f aca="false">IF(A821="",0,IF(SUMPRODUCT(--($A$2:$A$5001=A821))&gt;1,1,0))</f>
        <v>0</v>
      </c>
      <c r="H821" s="0" t="n">
        <f aca="false">ROW()-1</f>
        <v>820</v>
      </c>
      <c r="I821" s="0" t="str">
        <f aca="false">IF(OR(הגדרות!$E$6=0,H821&gt;הגדרות!$E$5),"",IF(H821-1&lt;הגדרות!$E$8*(הגדרות!$E$7+1),INT((H821-1)/(הגדרות!$E$7+1)),הגדרות!$E$8+INT((H821-1-הגדרות!$E$8*(הגדרות!$E$7+1))/הגדרות!$E$7)))</f>
        <v/>
      </c>
      <c r="J821" s="0" t="str">
        <f aca="false">IF(I821="","",IF(H821-1&lt;הגדרות!$E$8*(הגדרות!$E$7+1),MOD(H821-1,הגדרות!$E$7+1),MOD(H821-1-הגדרות!$E$8*(הגדרות!$E$7+1),הגדרות!$E$7)))</f>
        <v/>
      </c>
      <c r="K821" s="0" t="str">
        <f aca="false">IF(I821="","",J821*הגדרות!$E$6+I821+1)</f>
        <v/>
      </c>
      <c r="L821" s="0" t="str">
        <f aca="false">IF(K821="","",MATCH(K821,$F$2:$F$5001,0))</f>
        <v/>
      </c>
      <c r="M821" s="0" t="str">
        <f aca="false">IF(I821="","",INDEX(הגדרות!$A$2:$A$21,MOD(I821+הגדרות!$E$9,הגדרות!$E$6)+1))</f>
        <v/>
      </c>
    </row>
    <row r="822" customFormat="false" ht="15" hidden="false" customHeight="false" outlineLevel="0" collapsed="false">
      <c r="A822" s="0" t="str">
        <f aca="false">IF('הדבקת לידים'!A822="","",IF(ISNUMBER('הדבקת לידים'!A822),IF(הגדרות!$E$2&gt;0,TEXT('הדבקת לידים'!A822,REPT("0",הגדרות!$E$2)),TEXT('הדבקת לידים'!A822,"0")),TRIM('הדבקת לידים'!A822)))</f>
        <v/>
      </c>
      <c r="B822" s="0" t="str">
        <f aca="false">IF('הדבקת לידים'!B822="","",IF(ISNUMBER('הדבקת לידים'!B822),IF(הגדרות!$E$3&gt;0,TEXT('הדבקת לידים'!B822,REPT("0",הגדרות!$E$3)),TEXT('הדבקת לידים'!B822,"0")),TRIM('הדבקת לידים'!B822)))</f>
        <v/>
      </c>
      <c r="C822" s="0" t="n">
        <f aca="false">IF(OR(A822&lt;&gt;"",B822&lt;&gt;""),1,0)</f>
        <v>0</v>
      </c>
      <c r="D822" s="0" t="str">
        <f aca="false">IF(C822=1,MOD(ABS(SIN(ROW()*12.9898+'הדבקת לידים'!$F$2*78.233+IFERROR(--RIGHT(A822,6),LEN(A822))*0.0137+IFERROR(--RIGHT(B822,6),LEN(B822))*0.0071))*43758.5453,1),"")</f>
        <v/>
      </c>
      <c r="E822" s="0" t="str">
        <f aca="false">IF(C822=1,INT(MOD(ABS(SIN(D822*7919.123+ROW()*0.618+'הדבקת לידים'!$F$2*1.3))*43758.5453,1)*1000000)*10000+ROW(),"")</f>
        <v/>
      </c>
      <c r="F822" s="0" t="str">
        <f aca="false">IF(E822="","",RANK(E822,$E$2:$E$5001,1))</f>
        <v/>
      </c>
      <c r="G822" s="0" t="n">
        <f aca="false">IF(A822="",0,IF(SUMPRODUCT(--($A$2:$A$5001=A822))&gt;1,1,0))</f>
        <v>0</v>
      </c>
      <c r="H822" s="0" t="n">
        <f aca="false">ROW()-1</f>
        <v>821</v>
      </c>
      <c r="I822" s="0" t="str">
        <f aca="false">IF(OR(הגדרות!$E$6=0,H822&gt;הגדרות!$E$5),"",IF(H822-1&lt;הגדרות!$E$8*(הגדרות!$E$7+1),INT((H822-1)/(הגדרות!$E$7+1)),הגדרות!$E$8+INT((H822-1-הגדרות!$E$8*(הגדרות!$E$7+1))/הגדרות!$E$7)))</f>
        <v/>
      </c>
      <c r="J822" s="0" t="str">
        <f aca="false">IF(I822="","",IF(H822-1&lt;הגדרות!$E$8*(הגדרות!$E$7+1),MOD(H822-1,הגדרות!$E$7+1),MOD(H822-1-הגדרות!$E$8*(הגדרות!$E$7+1),הגדרות!$E$7)))</f>
        <v/>
      </c>
      <c r="K822" s="0" t="str">
        <f aca="false">IF(I822="","",J822*הגדרות!$E$6+I822+1)</f>
        <v/>
      </c>
      <c r="L822" s="0" t="str">
        <f aca="false">IF(K822="","",MATCH(K822,$F$2:$F$5001,0))</f>
        <v/>
      </c>
      <c r="M822" s="0" t="str">
        <f aca="false">IF(I822="","",INDEX(הגדרות!$A$2:$A$21,MOD(I822+הגדרות!$E$9,הגדרות!$E$6)+1))</f>
        <v/>
      </c>
    </row>
    <row r="823" customFormat="false" ht="15" hidden="false" customHeight="false" outlineLevel="0" collapsed="false">
      <c r="A823" s="0" t="str">
        <f aca="false">IF('הדבקת לידים'!A823="","",IF(ISNUMBER('הדבקת לידים'!A823),IF(הגדרות!$E$2&gt;0,TEXT('הדבקת לידים'!A823,REPT("0",הגדרות!$E$2)),TEXT('הדבקת לידים'!A823,"0")),TRIM('הדבקת לידים'!A823)))</f>
        <v/>
      </c>
      <c r="B823" s="0" t="str">
        <f aca="false">IF('הדבקת לידים'!B823="","",IF(ISNUMBER('הדבקת לידים'!B823),IF(הגדרות!$E$3&gt;0,TEXT('הדבקת לידים'!B823,REPT("0",הגדרות!$E$3)),TEXT('הדבקת לידים'!B823,"0")),TRIM('הדבקת לידים'!B823)))</f>
        <v/>
      </c>
      <c r="C823" s="0" t="n">
        <f aca="false">IF(OR(A823&lt;&gt;"",B823&lt;&gt;""),1,0)</f>
        <v>0</v>
      </c>
      <c r="D823" s="0" t="str">
        <f aca="false">IF(C823=1,MOD(ABS(SIN(ROW()*12.9898+'הדבקת לידים'!$F$2*78.233+IFERROR(--RIGHT(A823,6),LEN(A823))*0.0137+IFERROR(--RIGHT(B823,6),LEN(B823))*0.0071))*43758.5453,1),"")</f>
        <v/>
      </c>
      <c r="E823" s="0" t="str">
        <f aca="false">IF(C823=1,INT(MOD(ABS(SIN(D823*7919.123+ROW()*0.618+'הדבקת לידים'!$F$2*1.3))*43758.5453,1)*1000000)*10000+ROW(),"")</f>
        <v/>
      </c>
      <c r="F823" s="0" t="str">
        <f aca="false">IF(E823="","",RANK(E823,$E$2:$E$5001,1))</f>
        <v/>
      </c>
      <c r="G823" s="0" t="n">
        <f aca="false">IF(A823="",0,IF(SUMPRODUCT(--($A$2:$A$5001=A823))&gt;1,1,0))</f>
        <v>0</v>
      </c>
      <c r="H823" s="0" t="n">
        <f aca="false">ROW()-1</f>
        <v>822</v>
      </c>
      <c r="I823" s="0" t="str">
        <f aca="false">IF(OR(הגדרות!$E$6=0,H823&gt;הגדרות!$E$5),"",IF(H823-1&lt;הגדרות!$E$8*(הגדרות!$E$7+1),INT((H823-1)/(הגדרות!$E$7+1)),הגדרות!$E$8+INT((H823-1-הגדרות!$E$8*(הגדרות!$E$7+1))/הגדרות!$E$7)))</f>
        <v/>
      </c>
      <c r="J823" s="0" t="str">
        <f aca="false">IF(I823="","",IF(H823-1&lt;הגדרות!$E$8*(הגדרות!$E$7+1),MOD(H823-1,הגדרות!$E$7+1),MOD(H823-1-הגדרות!$E$8*(הגדרות!$E$7+1),הגדרות!$E$7)))</f>
        <v/>
      </c>
      <c r="K823" s="0" t="str">
        <f aca="false">IF(I823="","",J823*הגדרות!$E$6+I823+1)</f>
        <v/>
      </c>
      <c r="L823" s="0" t="str">
        <f aca="false">IF(K823="","",MATCH(K823,$F$2:$F$5001,0))</f>
        <v/>
      </c>
      <c r="M823" s="0" t="str">
        <f aca="false">IF(I823="","",INDEX(הגדרות!$A$2:$A$21,MOD(I823+הגדרות!$E$9,הגדרות!$E$6)+1))</f>
        <v/>
      </c>
    </row>
    <row r="824" customFormat="false" ht="15" hidden="false" customHeight="false" outlineLevel="0" collapsed="false">
      <c r="A824" s="0" t="str">
        <f aca="false">IF('הדבקת לידים'!A824="","",IF(ISNUMBER('הדבקת לידים'!A824),IF(הגדרות!$E$2&gt;0,TEXT('הדבקת לידים'!A824,REPT("0",הגדרות!$E$2)),TEXT('הדבקת לידים'!A824,"0")),TRIM('הדבקת לידים'!A824)))</f>
        <v/>
      </c>
      <c r="B824" s="0" t="str">
        <f aca="false">IF('הדבקת לידים'!B824="","",IF(ISNUMBER('הדבקת לידים'!B824),IF(הגדרות!$E$3&gt;0,TEXT('הדבקת לידים'!B824,REPT("0",הגדרות!$E$3)),TEXT('הדבקת לידים'!B824,"0")),TRIM('הדבקת לידים'!B824)))</f>
        <v/>
      </c>
      <c r="C824" s="0" t="n">
        <f aca="false">IF(OR(A824&lt;&gt;"",B824&lt;&gt;""),1,0)</f>
        <v>0</v>
      </c>
      <c r="D824" s="0" t="str">
        <f aca="false">IF(C824=1,MOD(ABS(SIN(ROW()*12.9898+'הדבקת לידים'!$F$2*78.233+IFERROR(--RIGHT(A824,6),LEN(A824))*0.0137+IFERROR(--RIGHT(B824,6),LEN(B824))*0.0071))*43758.5453,1),"")</f>
        <v/>
      </c>
      <c r="E824" s="0" t="str">
        <f aca="false">IF(C824=1,INT(MOD(ABS(SIN(D824*7919.123+ROW()*0.618+'הדבקת לידים'!$F$2*1.3))*43758.5453,1)*1000000)*10000+ROW(),"")</f>
        <v/>
      </c>
      <c r="F824" s="0" t="str">
        <f aca="false">IF(E824="","",RANK(E824,$E$2:$E$5001,1))</f>
        <v/>
      </c>
      <c r="G824" s="0" t="n">
        <f aca="false">IF(A824="",0,IF(SUMPRODUCT(--($A$2:$A$5001=A824))&gt;1,1,0))</f>
        <v>0</v>
      </c>
      <c r="H824" s="0" t="n">
        <f aca="false">ROW()-1</f>
        <v>823</v>
      </c>
      <c r="I824" s="0" t="str">
        <f aca="false">IF(OR(הגדרות!$E$6=0,H824&gt;הגדרות!$E$5),"",IF(H824-1&lt;הגדרות!$E$8*(הגדרות!$E$7+1),INT((H824-1)/(הגדרות!$E$7+1)),הגדרות!$E$8+INT((H824-1-הגדרות!$E$8*(הגדרות!$E$7+1))/הגדרות!$E$7)))</f>
        <v/>
      </c>
      <c r="J824" s="0" t="str">
        <f aca="false">IF(I824="","",IF(H824-1&lt;הגדרות!$E$8*(הגדרות!$E$7+1),MOD(H824-1,הגדרות!$E$7+1),MOD(H824-1-הגדרות!$E$8*(הגדרות!$E$7+1),הגדרות!$E$7)))</f>
        <v/>
      </c>
      <c r="K824" s="0" t="str">
        <f aca="false">IF(I824="","",J824*הגדרות!$E$6+I824+1)</f>
        <v/>
      </c>
      <c r="L824" s="0" t="str">
        <f aca="false">IF(K824="","",MATCH(K824,$F$2:$F$5001,0))</f>
        <v/>
      </c>
      <c r="M824" s="0" t="str">
        <f aca="false">IF(I824="","",INDEX(הגדרות!$A$2:$A$21,MOD(I824+הגדרות!$E$9,הגדרות!$E$6)+1))</f>
        <v/>
      </c>
    </row>
    <row r="825" customFormat="false" ht="15" hidden="false" customHeight="false" outlineLevel="0" collapsed="false">
      <c r="A825" s="0" t="str">
        <f aca="false">IF('הדבקת לידים'!A825="","",IF(ISNUMBER('הדבקת לידים'!A825),IF(הגדרות!$E$2&gt;0,TEXT('הדבקת לידים'!A825,REPT("0",הגדרות!$E$2)),TEXT('הדבקת לידים'!A825,"0")),TRIM('הדבקת לידים'!A825)))</f>
        <v/>
      </c>
      <c r="B825" s="0" t="str">
        <f aca="false">IF('הדבקת לידים'!B825="","",IF(ISNUMBER('הדבקת לידים'!B825),IF(הגדרות!$E$3&gt;0,TEXT('הדבקת לידים'!B825,REPT("0",הגדרות!$E$3)),TEXT('הדבקת לידים'!B825,"0")),TRIM('הדבקת לידים'!B825)))</f>
        <v/>
      </c>
      <c r="C825" s="0" t="n">
        <f aca="false">IF(OR(A825&lt;&gt;"",B825&lt;&gt;""),1,0)</f>
        <v>0</v>
      </c>
      <c r="D825" s="0" t="str">
        <f aca="false">IF(C825=1,MOD(ABS(SIN(ROW()*12.9898+'הדבקת לידים'!$F$2*78.233+IFERROR(--RIGHT(A825,6),LEN(A825))*0.0137+IFERROR(--RIGHT(B825,6),LEN(B825))*0.0071))*43758.5453,1),"")</f>
        <v/>
      </c>
      <c r="E825" s="0" t="str">
        <f aca="false">IF(C825=1,INT(MOD(ABS(SIN(D825*7919.123+ROW()*0.618+'הדבקת לידים'!$F$2*1.3))*43758.5453,1)*1000000)*10000+ROW(),"")</f>
        <v/>
      </c>
      <c r="F825" s="0" t="str">
        <f aca="false">IF(E825="","",RANK(E825,$E$2:$E$5001,1))</f>
        <v/>
      </c>
      <c r="G825" s="0" t="n">
        <f aca="false">IF(A825="",0,IF(SUMPRODUCT(--($A$2:$A$5001=A825))&gt;1,1,0))</f>
        <v>0</v>
      </c>
      <c r="H825" s="0" t="n">
        <f aca="false">ROW()-1</f>
        <v>824</v>
      </c>
      <c r="I825" s="0" t="str">
        <f aca="false">IF(OR(הגדרות!$E$6=0,H825&gt;הגדרות!$E$5),"",IF(H825-1&lt;הגדרות!$E$8*(הגדרות!$E$7+1),INT((H825-1)/(הגדרות!$E$7+1)),הגדרות!$E$8+INT((H825-1-הגדרות!$E$8*(הגדרות!$E$7+1))/הגדרות!$E$7)))</f>
        <v/>
      </c>
      <c r="J825" s="0" t="str">
        <f aca="false">IF(I825="","",IF(H825-1&lt;הגדרות!$E$8*(הגדרות!$E$7+1),MOD(H825-1,הגדרות!$E$7+1),MOD(H825-1-הגדרות!$E$8*(הגדרות!$E$7+1),הגדרות!$E$7)))</f>
        <v/>
      </c>
      <c r="K825" s="0" t="str">
        <f aca="false">IF(I825="","",J825*הגדרות!$E$6+I825+1)</f>
        <v/>
      </c>
      <c r="L825" s="0" t="str">
        <f aca="false">IF(K825="","",MATCH(K825,$F$2:$F$5001,0))</f>
        <v/>
      </c>
      <c r="M825" s="0" t="str">
        <f aca="false">IF(I825="","",INDEX(הגדרות!$A$2:$A$21,MOD(I825+הגדרות!$E$9,הגדרות!$E$6)+1))</f>
        <v/>
      </c>
    </row>
    <row r="826" customFormat="false" ht="15" hidden="false" customHeight="false" outlineLevel="0" collapsed="false">
      <c r="A826" s="0" t="str">
        <f aca="false">IF('הדבקת לידים'!A826="","",IF(ISNUMBER('הדבקת לידים'!A826),IF(הגדרות!$E$2&gt;0,TEXT('הדבקת לידים'!A826,REPT("0",הגדרות!$E$2)),TEXT('הדבקת לידים'!A826,"0")),TRIM('הדבקת לידים'!A826)))</f>
        <v/>
      </c>
      <c r="B826" s="0" t="str">
        <f aca="false">IF('הדבקת לידים'!B826="","",IF(ISNUMBER('הדבקת לידים'!B826),IF(הגדרות!$E$3&gt;0,TEXT('הדבקת לידים'!B826,REPT("0",הגדרות!$E$3)),TEXT('הדבקת לידים'!B826,"0")),TRIM('הדבקת לידים'!B826)))</f>
        <v/>
      </c>
      <c r="C826" s="0" t="n">
        <f aca="false">IF(OR(A826&lt;&gt;"",B826&lt;&gt;""),1,0)</f>
        <v>0</v>
      </c>
      <c r="D826" s="0" t="str">
        <f aca="false">IF(C826=1,MOD(ABS(SIN(ROW()*12.9898+'הדבקת לידים'!$F$2*78.233+IFERROR(--RIGHT(A826,6),LEN(A826))*0.0137+IFERROR(--RIGHT(B826,6),LEN(B826))*0.0071))*43758.5453,1),"")</f>
        <v/>
      </c>
      <c r="E826" s="0" t="str">
        <f aca="false">IF(C826=1,INT(MOD(ABS(SIN(D826*7919.123+ROW()*0.618+'הדבקת לידים'!$F$2*1.3))*43758.5453,1)*1000000)*10000+ROW(),"")</f>
        <v/>
      </c>
      <c r="F826" s="0" t="str">
        <f aca="false">IF(E826="","",RANK(E826,$E$2:$E$5001,1))</f>
        <v/>
      </c>
      <c r="G826" s="0" t="n">
        <f aca="false">IF(A826="",0,IF(SUMPRODUCT(--($A$2:$A$5001=A826))&gt;1,1,0))</f>
        <v>0</v>
      </c>
      <c r="H826" s="0" t="n">
        <f aca="false">ROW()-1</f>
        <v>825</v>
      </c>
      <c r="I826" s="0" t="str">
        <f aca="false">IF(OR(הגדרות!$E$6=0,H826&gt;הגדרות!$E$5),"",IF(H826-1&lt;הגדרות!$E$8*(הגדרות!$E$7+1),INT((H826-1)/(הגדרות!$E$7+1)),הגדרות!$E$8+INT((H826-1-הגדרות!$E$8*(הגדרות!$E$7+1))/הגדרות!$E$7)))</f>
        <v/>
      </c>
      <c r="J826" s="0" t="str">
        <f aca="false">IF(I826="","",IF(H826-1&lt;הגדרות!$E$8*(הגדרות!$E$7+1),MOD(H826-1,הגדרות!$E$7+1),MOD(H826-1-הגדרות!$E$8*(הגדרות!$E$7+1),הגדרות!$E$7)))</f>
        <v/>
      </c>
      <c r="K826" s="0" t="str">
        <f aca="false">IF(I826="","",J826*הגדרות!$E$6+I826+1)</f>
        <v/>
      </c>
      <c r="L826" s="0" t="str">
        <f aca="false">IF(K826="","",MATCH(K826,$F$2:$F$5001,0))</f>
        <v/>
      </c>
      <c r="M826" s="0" t="str">
        <f aca="false">IF(I826="","",INDEX(הגדרות!$A$2:$A$21,MOD(I826+הגדרות!$E$9,הגדרות!$E$6)+1))</f>
        <v/>
      </c>
    </row>
    <row r="827" customFormat="false" ht="15" hidden="false" customHeight="false" outlineLevel="0" collapsed="false">
      <c r="A827" s="0" t="str">
        <f aca="false">IF('הדבקת לידים'!A827="","",IF(ISNUMBER('הדבקת לידים'!A827),IF(הגדרות!$E$2&gt;0,TEXT('הדבקת לידים'!A827,REPT("0",הגדרות!$E$2)),TEXT('הדבקת לידים'!A827,"0")),TRIM('הדבקת לידים'!A827)))</f>
        <v/>
      </c>
      <c r="B827" s="0" t="str">
        <f aca="false">IF('הדבקת לידים'!B827="","",IF(ISNUMBER('הדבקת לידים'!B827),IF(הגדרות!$E$3&gt;0,TEXT('הדבקת לידים'!B827,REPT("0",הגדרות!$E$3)),TEXT('הדבקת לידים'!B827,"0")),TRIM('הדבקת לידים'!B827)))</f>
        <v/>
      </c>
      <c r="C827" s="0" t="n">
        <f aca="false">IF(OR(A827&lt;&gt;"",B827&lt;&gt;""),1,0)</f>
        <v>0</v>
      </c>
      <c r="D827" s="0" t="str">
        <f aca="false">IF(C827=1,MOD(ABS(SIN(ROW()*12.9898+'הדבקת לידים'!$F$2*78.233+IFERROR(--RIGHT(A827,6),LEN(A827))*0.0137+IFERROR(--RIGHT(B827,6),LEN(B827))*0.0071))*43758.5453,1),"")</f>
        <v/>
      </c>
      <c r="E827" s="0" t="str">
        <f aca="false">IF(C827=1,INT(MOD(ABS(SIN(D827*7919.123+ROW()*0.618+'הדבקת לידים'!$F$2*1.3))*43758.5453,1)*1000000)*10000+ROW(),"")</f>
        <v/>
      </c>
      <c r="F827" s="0" t="str">
        <f aca="false">IF(E827="","",RANK(E827,$E$2:$E$5001,1))</f>
        <v/>
      </c>
      <c r="G827" s="0" t="n">
        <f aca="false">IF(A827="",0,IF(SUMPRODUCT(--($A$2:$A$5001=A827))&gt;1,1,0))</f>
        <v>0</v>
      </c>
      <c r="H827" s="0" t="n">
        <f aca="false">ROW()-1</f>
        <v>826</v>
      </c>
      <c r="I827" s="0" t="str">
        <f aca="false">IF(OR(הגדרות!$E$6=0,H827&gt;הגדרות!$E$5),"",IF(H827-1&lt;הגדרות!$E$8*(הגדרות!$E$7+1),INT((H827-1)/(הגדרות!$E$7+1)),הגדרות!$E$8+INT((H827-1-הגדרות!$E$8*(הגדרות!$E$7+1))/הגדרות!$E$7)))</f>
        <v/>
      </c>
      <c r="J827" s="0" t="str">
        <f aca="false">IF(I827="","",IF(H827-1&lt;הגדרות!$E$8*(הגדרות!$E$7+1),MOD(H827-1,הגדרות!$E$7+1),MOD(H827-1-הגדרות!$E$8*(הגדרות!$E$7+1),הגדרות!$E$7)))</f>
        <v/>
      </c>
      <c r="K827" s="0" t="str">
        <f aca="false">IF(I827="","",J827*הגדרות!$E$6+I827+1)</f>
        <v/>
      </c>
      <c r="L827" s="0" t="str">
        <f aca="false">IF(K827="","",MATCH(K827,$F$2:$F$5001,0))</f>
        <v/>
      </c>
      <c r="M827" s="0" t="str">
        <f aca="false">IF(I827="","",INDEX(הגדרות!$A$2:$A$21,MOD(I827+הגדרות!$E$9,הגדרות!$E$6)+1))</f>
        <v/>
      </c>
    </row>
    <row r="828" customFormat="false" ht="15" hidden="false" customHeight="false" outlineLevel="0" collapsed="false">
      <c r="A828" s="0" t="str">
        <f aca="false">IF('הדבקת לידים'!A828="","",IF(ISNUMBER('הדבקת לידים'!A828),IF(הגדרות!$E$2&gt;0,TEXT('הדבקת לידים'!A828,REPT("0",הגדרות!$E$2)),TEXT('הדבקת לידים'!A828,"0")),TRIM('הדבקת לידים'!A828)))</f>
        <v/>
      </c>
      <c r="B828" s="0" t="str">
        <f aca="false">IF('הדבקת לידים'!B828="","",IF(ISNUMBER('הדבקת לידים'!B828),IF(הגדרות!$E$3&gt;0,TEXT('הדבקת לידים'!B828,REPT("0",הגדרות!$E$3)),TEXT('הדבקת לידים'!B828,"0")),TRIM('הדבקת לידים'!B828)))</f>
        <v/>
      </c>
      <c r="C828" s="0" t="n">
        <f aca="false">IF(OR(A828&lt;&gt;"",B828&lt;&gt;""),1,0)</f>
        <v>0</v>
      </c>
      <c r="D828" s="0" t="str">
        <f aca="false">IF(C828=1,MOD(ABS(SIN(ROW()*12.9898+'הדבקת לידים'!$F$2*78.233+IFERROR(--RIGHT(A828,6),LEN(A828))*0.0137+IFERROR(--RIGHT(B828,6),LEN(B828))*0.0071))*43758.5453,1),"")</f>
        <v/>
      </c>
      <c r="E828" s="0" t="str">
        <f aca="false">IF(C828=1,INT(MOD(ABS(SIN(D828*7919.123+ROW()*0.618+'הדבקת לידים'!$F$2*1.3))*43758.5453,1)*1000000)*10000+ROW(),"")</f>
        <v/>
      </c>
      <c r="F828" s="0" t="str">
        <f aca="false">IF(E828="","",RANK(E828,$E$2:$E$5001,1))</f>
        <v/>
      </c>
      <c r="G828" s="0" t="n">
        <f aca="false">IF(A828="",0,IF(SUMPRODUCT(--($A$2:$A$5001=A828))&gt;1,1,0))</f>
        <v>0</v>
      </c>
      <c r="H828" s="0" t="n">
        <f aca="false">ROW()-1</f>
        <v>827</v>
      </c>
      <c r="I828" s="0" t="str">
        <f aca="false">IF(OR(הגדרות!$E$6=0,H828&gt;הגדרות!$E$5),"",IF(H828-1&lt;הגדרות!$E$8*(הגדרות!$E$7+1),INT((H828-1)/(הגדרות!$E$7+1)),הגדרות!$E$8+INT((H828-1-הגדרות!$E$8*(הגדרות!$E$7+1))/הגדרות!$E$7)))</f>
        <v/>
      </c>
      <c r="J828" s="0" t="str">
        <f aca="false">IF(I828="","",IF(H828-1&lt;הגדרות!$E$8*(הגדרות!$E$7+1),MOD(H828-1,הגדרות!$E$7+1),MOD(H828-1-הגדרות!$E$8*(הגדרות!$E$7+1),הגדרות!$E$7)))</f>
        <v/>
      </c>
      <c r="K828" s="0" t="str">
        <f aca="false">IF(I828="","",J828*הגדרות!$E$6+I828+1)</f>
        <v/>
      </c>
      <c r="L828" s="0" t="str">
        <f aca="false">IF(K828="","",MATCH(K828,$F$2:$F$5001,0))</f>
        <v/>
      </c>
      <c r="M828" s="0" t="str">
        <f aca="false">IF(I828="","",INDEX(הגדרות!$A$2:$A$21,MOD(I828+הגדרות!$E$9,הגדרות!$E$6)+1))</f>
        <v/>
      </c>
    </row>
    <row r="829" customFormat="false" ht="15" hidden="false" customHeight="false" outlineLevel="0" collapsed="false">
      <c r="A829" s="0" t="str">
        <f aca="false">IF('הדבקת לידים'!A829="","",IF(ISNUMBER('הדבקת לידים'!A829),IF(הגדרות!$E$2&gt;0,TEXT('הדבקת לידים'!A829,REPT("0",הגדרות!$E$2)),TEXT('הדבקת לידים'!A829,"0")),TRIM('הדבקת לידים'!A829)))</f>
        <v/>
      </c>
      <c r="B829" s="0" t="str">
        <f aca="false">IF('הדבקת לידים'!B829="","",IF(ISNUMBER('הדבקת לידים'!B829),IF(הגדרות!$E$3&gt;0,TEXT('הדבקת לידים'!B829,REPT("0",הגדרות!$E$3)),TEXT('הדבקת לידים'!B829,"0")),TRIM('הדבקת לידים'!B829)))</f>
        <v/>
      </c>
      <c r="C829" s="0" t="n">
        <f aca="false">IF(OR(A829&lt;&gt;"",B829&lt;&gt;""),1,0)</f>
        <v>0</v>
      </c>
      <c r="D829" s="0" t="str">
        <f aca="false">IF(C829=1,MOD(ABS(SIN(ROW()*12.9898+'הדבקת לידים'!$F$2*78.233+IFERROR(--RIGHT(A829,6),LEN(A829))*0.0137+IFERROR(--RIGHT(B829,6),LEN(B829))*0.0071))*43758.5453,1),"")</f>
        <v/>
      </c>
      <c r="E829" s="0" t="str">
        <f aca="false">IF(C829=1,INT(MOD(ABS(SIN(D829*7919.123+ROW()*0.618+'הדבקת לידים'!$F$2*1.3))*43758.5453,1)*1000000)*10000+ROW(),"")</f>
        <v/>
      </c>
      <c r="F829" s="0" t="str">
        <f aca="false">IF(E829="","",RANK(E829,$E$2:$E$5001,1))</f>
        <v/>
      </c>
      <c r="G829" s="0" t="n">
        <f aca="false">IF(A829="",0,IF(SUMPRODUCT(--($A$2:$A$5001=A829))&gt;1,1,0))</f>
        <v>0</v>
      </c>
      <c r="H829" s="0" t="n">
        <f aca="false">ROW()-1</f>
        <v>828</v>
      </c>
      <c r="I829" s="0" t="str">
        <f aca="false">IF(OR(הגדרות!$E$6=0,H829&gt;הגדרות!$E$5),"",IF(H829-1&lt;הגדרות!$E$8*(הגדרות!$E$7+1),INT((H829-1)/(הגדרות!$E$7+1)),הגדרות!$E$8+INT((H829-1-הגדרות!$E$8*(הגדרות!$E$7+1))/הגדרות!$E$7)))</f>
        <v/>
      </c>
      <c r="J829" s="0" t="str">
        <f aca="false">IF(I829="","",IF(H829-1&lt;הגדרות!$E$8*(הגדרות!$E$7+1),MOD(H829-1,הגדרות!$E$7+1),MOD(H829-1-הגדרות!$E$8*(הגדרות!$E$7+1),הגדרות!$E$7)))</f>
        <v/>
      </c>
      <c r="K829" s="0" t="str">
        <f aca="false">IF(I829="","",J829*הגדרות!$E$6+I829+1)</f>
        <v/>
      </c>
      <c r="L829" s="0" t="str">
        <f aca="false">IF(K829="","",MATCH(K829,$F$2:$F$5001,0))</f>
        <v/>
      </c>
      <c r="M829" s="0" t="str">
        <f aca="false">IF(I829="","",INDEX(הגדרות!$A$2:$A$21,MOD(I829+הגדרות!$E$9,הגדרות!$E$6)+1))</f>
        <v/>
      </c>
    </row>
    <row r="830" customFormat="false" ht="15" hidden="false" customHeight="false" outlineLevel="0" collapsed="false">
      <c r="A830" s="0" t="str">
        <f aca="false">IF('הדבקת לידים'!A830="","",IF(ISNUMBER('הדבקת לידים'!A830),IF(הגדרות!$E$2&gt;0,TEXT('הדבקת לידים'!A830,REPT("0",הגדרות!$E$2)),TEXT('הדבקת לידים'!A830,"0")),TRIM('הדבקת לידים'!A830)))</f>
        <v/>
      </c>
      <c r="B830" s="0" t="str">
        <f aca="false">IF('הדבקת לידים'!B830="","",IF(ISNUMBER('הדבקת לידים'!B830),IF(הגדרות!$E$3&gt;0,TEXT('הדבקת לידים'!B830,REPT("0",הגדרות!$E$3)),TEXT('הדבקת לידים'!B830,"0")),TRIM('הדבקת לידים'!B830)))</f>
        <v/>
      </c>
      <c r="C830" s="0" t="n">
        <f aca="false">IF(OR(A830&lt;&gt;"",B830&lt;&gt;""),1,0)</f>
        <v>0</v>
      </c>
      <c r="D830" s="0" t="str">
        <f aca="false">IF(C830=1,MOD(ABS(SIN(ROW()*12.9898+'הדבקת לידים'!$F$2*78.233+IFERROR(--RIGHT(A830,6),LEN(A830))*0.0137+IFERROR(--RIGHT(B830,6),LEN(B830))*0.0071))*43758.5453,1),"")</f>
        <v/>
      </c>
      <c r="E830" s="0" t="str">
        <f aca="false">IF(C830=1,INT(MOD(ABS(SIN(D830*7919.123+ROW()*0.618+'הדבקת לידים'!$F$2*1.3))*43758.5453,1)*1000000)*10000+ROW(),"")</f>
        <v/>
      </c>
      <c r="F830" s="0" t="str">
        <f aca="false">IF(E830="","",RANK(E830,$E$2:$E$5001,1))</f>
        <v/>
      </c>
      <c r="G830" s="0" t="n">
        <f aca="false">IF(A830="",0,IF(SUMPRODUCT(--($A$2:$A$5001=A830))&gt;1,1,0))</f>
        <v>0</v>
      </c>
      <c r="H830" s="0" t="n">
        <f aca="false">ROW()-1</f>
        <v>829</v>
      </c>
      <c r="I830" s="0" t="str">
        <f aca="false">IF(OR(הגדרות!$E$6=0,H830&gt;הגדרות!$E$5),"",IF(H830-1&lt;הגדרות!$E$8*(הגדרות!$E$7+1),INT((H830-1)/(הגדרות!$E$7+1)),הגדרות!$E$8+INT((H830-1-הגדרות!$E$8*(הגדרות!$E$7+1))/הגדרות!$E$7)))</f>
        <v/>
      </c>
      <c r="J830" s="0" t="str">
        <f aca="false">IF(I830="","",IF(H830-1&lt;הגדרות!$E$8*(הגדרות!$E$7+1),MOD(H830-1,הגדרות!$E$7+1),MOD(H830-1-הגדרות!$E$8*(הגדרות!$E$7+1),הגדרות!$E$7)))</f>
        <v/>
      </c>
      <c r="K830" s="0" t="str">
        <f aca="false">IF(I830="","",J830*הגדרות!$E$6+I830+1)</f>
        <v/>
      </c>
      <c r="L830" s="0" t="str">
        <f aca="false">IF(K830="","",MATCH(K830,$F$2:$F$5001,0))</f>
        <v/>
      </c>
      <c r="M830" s="0" t="str">
        <f aca="false">IF(I830="","",INDEX(הגדרות!$A$2:$A$21,MOD(I830+הגדרות!$E$9,הגדרות!$E$6)+1))</f>
        <v/>
      </c>
    </row>
    <row r="831" customFormat="false" ht="15" hidden="false" customHeight="false" outlineLevel="0" collapsed="false">
      <c r="A831" s="0" t="str">
        <f aca="false">IF('הדבקת לידים'!A831="","",IF(ISNUMBER('הדבקת לידים'!A831),IF(הגדרות!$E$2&gt;0,TEXT('הדבקת לידים'!A831,REPT("0",הגדרות!$E$2)),TEXT('הדבקת לידים'!A831,"0")),TRIM('הדבקת לידים'!A831)))</f>
        <v/>
      </c>
      <c r="B831" s="0" t="str">
        <f aca="false">IF('הדבקת לידים'!B831="","",IF(ISNUMBER('הדבקת לידים'!B831),IF(הגדרות!$E$3&gt;0,TEXT('הדבקת לידים'!B831,REPT("0",הגדרות!$E$3)),TEXT('הדבקת לידים'!B831,"0")),TRIM('הדבקת לידים'!B831)))</f>
        <v/>
      </c>
      <c r="C831" s="0" t="n">
        <f aca="false">IF(OR(A831&lt;&gt;"",B831&lt;&gt;""),1,0)</f>
        <v>0</v>
      </c>
      <c r="D831" s="0" t="str">
        <f aca="false">IF(C831=1,MOD(ABS(SIN(ROW()*12.9898+'הדבקת לידים'!$F$2*78.233+IFERROR(--RIGHT(A831,6),LEN(A831))*0.0137+IFERROR(--RIGHT(B831,6),LEN(B831))*0.0071))*43758.5453,1),"")</f>
        <v/>
      </c>
      <c r="E831" s="0" t="str">
        <f aca="false">IF(C831=1,INT(MOD(ABS(SIN(D831*7919.123+ROW()*0.618+'הדבקת לידים'!$F$2*1.3))*43758.5453,1)*1000000)*10000+ROW(),"")</f>
        <v/>
      </c>
      <c r="F831" s="0" t="str">
        <f aca="false">IF(E831="","",RANK(E831,$E$2:$E$5001,1))</f>
        <v/>
      </c>
      <c r="G831" s="0" t="n">
        <f aca="false">IF(A831="",0,IF(SUMPRODUCT(--($A$2:$A$5001=A831))&gt;1,1,0))</f>
        <v>0</v>
      </c>
      <c r="H831" s="0" t="n">
        <f aca="false">ROW()-1</f>
        <v>830</v>
      </c>
      <c r="I831" s="0" t="str">
        <f aca="false">IF(OR(הגדרות!$E$6=0,H831&gt;הגדרות!$E$5),"",IF(H831-1&lt;הגדרות!$E$8*(הגדרות!$E$7+1),INT((H831-1)/(הגדרות!$E$7+1)),הגדרות!$E$8+INT((H831-1-הגדרות!$E$8*(הגדרות!$E$7+1))/הגדרות!$E$7)))</f>
        <v/>
      </c>
      <c r="J831" s="0" t="str">
        <f aca="false">IF(I831="","",IF(H831-1&lt;הגדרות!$E$8*(הגדרות!$E$7+1),MOD(H831-1,הגדרות!$E$7+1),MOD(H831-1-הגדרות!$E$8*(הגדרות!$E$7+1),הגדרות!$E$7)))</f>
        <v/>
      </c>
      <c r="K831" s="0" t="str">
        <f aca="false">IF(I831="","",J831*הגדרות!$E$6+I831+1)</f>
        <v/>
      </c>
      <c r="L831" s="0" t="str">
        <f aca="false">IF(K831="","",MATCH(K831,$F$2:$F$5001,0))</f>
        <v/>
      </c>
      <c r="M831" s="0" t="str">
        <f aca="false">IF(I831="","",INDEX(הגדרות!$A$2:$A$21,MOD(I831+הגדרות!$E$9,הגדרות!$E$6)+1))</f>
        <v/>
      </c>
    </row>
    <row r="832" customFormat="false" ht="15" hidden="false" customHeight="false" outlineLevel="0" collapsed="false">
      <c r="A832" s="0" t="str">
        <f aca="false">IF('הדבקת לידים'!A832="","",IF(ISNUMBER('הדבקת לידים'!A832),IF(הגדרות!$E$2&gt;0,TEXT('הדבקת לידים'!A832,REPT("0",הגדרות!$E$2)),TEXT('הדבקת לידים'!A832,"0")),TRIM('הדבקת לידים'!A832)))</f>
        <v/>
      </c>
      <c r="B832" s="0" t="str">
        <f aca="false">IF('הדבקת לידים'!B832="","",IF(ISNUMBER('הדבקת לידים'!B832),IF(הגדרות!$E$3&gt;0,TEXT('הדבקת לידים'!B832,REPT("0",הגדרות!$E$3)),TEXT('הדבקת לידים'!B832,"0")),TRIM('הדבקת לידים'!B832)))</f>
        <v/>
      </c>
      <c r="C832" s="0" t="n">
        <f aca="false">IF(OR(A832&lt;&gt;"",B832&lt;&gt;""),1,0)</f>
        <v>0</v>
      </c>
      <c r="D832" s="0" t="str">
        <f aca="false">IF(C832=1,MOD(ABS(SIN(ROW()*12.9898+'הדבקת לידים'!$F$2*78.233+IFERROR(--RIGHT(A832,6),LEN(A832))*0.0137+IFERROR(--RIGHT(B832,6),LEN(B832))*0.0071))*43758.5453,1),"")</f>
        <v/>
      </c>
      <c r="E832" s="0" t="str">
        <f aca="false">IF(C832=1,INT(MOD(ABS(SIN(D832*7919.123+ROW()*0.618+'הדבקת לידים'!$F$2*1.3))*43758.5453,1)*1000000)*10000+ROW(),"")</f>
        <v/>
      </c>
      <c r="F832" s="0" t="str">
        <f aca="false">IF(E832="","",RANK(E832,$E$2:$E$5001,1))</f>
        <v/>
      </c>
      <c r="G832" s="0" t="n">
        <f aca="false">IF(A832="",0,IF(SUMPRODUCT(--($A$2:$A$5001=A832))&gt;1,1,0))</f>
        <v>0</v>
      </c>
      <c r="H832" s="0" t="n">
        <f aca="false">ROW()-1</f>
        <v>831</v>
      </c>
      <c r="I832" s="0" t="str">
        <f aca="false">IF(OR(הגדרות!$E$6=0,H832&gt;הגדרות!$E$5),"",IF(H832-1&lt;הגדרות!$E$8*(הגדרות!$E$7+1),INT((H832-1)/(הגדרות!$E$7+1)),הגדרות!$E$8+INT((H832-1-הגדרות!$E$8*(הגדרות!$E$7+1))/הגדרות!$E$7)))</f>
        <v/>
      </c>
      <c r="J832" s="0" t="str">
        <f aca="false">IF(I832="","",IF(H832-1&lt;הגדרות!$E$8*(הגדרות!$E$7+1),MOD(H832-1,הגדרות!$E$7+1),MOD(H832-1-הגדרות!$E$8*(הגדרות!$E$7+1),הגדרות!$E$7)))</f>
        <v/>
      </c>
      <c r="K832" s="0" t="str">
        <f aca="false">IF(I832="","",J832*הגדרות!$E$6+I832+1)</f>
        <v/>
      </c>
      <c r="L832" s="0" t="str">
        <f aca="false">IF(K832="","",MATCH(K832,$F$2:$F$5001,0))</f>
        <v/>
      </c>
      <c r="M832" s="0" t="str">
        <f aca="false">IF(I832="","",INDEX(הגדרות!$A$2:$A$21,MOD(I832+הגדרות!$E$9,הגדרות!$E$6)+1))</f>
        <v/>
      </c>
    </row>
    <row r="833" customFormat="false" ht="15" hidden="false" customHeight="false" outlineLevel="0" collapsed="false">
      <c r="A833" s="0" t="str">
        <f aca="false">IF('הדבקת לידים'!A833="","",IF(ISNUMBER('הדבקת לידים'!A833),IF(הגדרות!$E$2&gt;0,TEXT('הדבקת לידים'!A833,REPT("0",הגדרות!$E$2)),TEXT('הדבקת לידים'!A833,"0")),TRIM('הדבקת לידים'!A833)))</f>
        <v/>
      </c>
      <c r="B833" s="0" t="str">
        <f aca="false">IF('הדבקת לידים'!B833="","",IF(ISNUMBER('הדבקת לידים'!B833),IF(הגדרות!$E$3&gt;0,TEXT('הדבקת לידים'!B833,REPT("0",הגדרות!$E$3)),TEXT('הדבקת לידים'!B833,"0")),TRIM('הדבקת לידים'!B833)))</f>
        <v/>
      </c>
      <c r="C833" s="0" t="n">
        <f aca="false">IF(OR(A833&lt;&gt;"",B833&lt;&gt;""),1,0)</f>
        <v>0</v>
      </c>
      <c r="D833" s="0" t="str">
        <f aca="false">IF(C833=1,MOD(ABS(SIN(ROW()*12.9898+'הדבקת לידים'!$F$2*78.233+IFERROR(--RIGHT(A833,6),LEN(A833))*0.0137+IFERROR(--RIGHT(B833,6),LEN(B833))*0.0071))*43758.5453,1),"")</f>
        <v/>
      </c>
      <c r="E833" s="0" t="str">
        <f aca="false">IF(C833=1,INT(MOD(ABS(SIN(D833*7919.123+ROW()*0.618+'הדבקת לידים'!$F$2*1.3))*43758.5453,1)*1000000)*10000+ROW(),"")</f>
        <v/>
      </c>
      <c r="F833" s="0" t="str">
        <f aca="false">IF(E833="","",RANK(E833,$E$2:$E$5001,1))</f>
        <v/>
      </c>
      <c r="G833" s="0" t="n">
        <f aca="false">IF(A833="",0,IF(SUMPRODUCT(--($A$2:$A$5001=A833))&gt;1,1,0))</f>
        <v>0</v>
      </c>
      <c r="H833" s="0" t="n">
        <f aca="false">ROW()-1</f>
        <v>832</v>
      </c>
      <c r="I833" s="0" t="str">
        <f aca="false">IF(OR(הגדרות!$E$6=0,H833&gt;הגדרות!$E$5),"",IF(H833-1&lt;הגדרות!$E$8*(הגדרות!$E$7+1),INT((H833-1)/(הגדרות!$E$7+1)),הגדרות!$E$8+INT((H833-1-הגדרות!$E$8*(הגדרות!$E$7+1))/הגדרות!$E$7)))</f>
        <v/>
      </c>
      <c r="J833" s="0" t="str">
        <f aca="false">IF(I833="","",IF(H833-1&lt;הגדרות!$E$8*(הגדרות!$E$7+1),MOD(H833-1,הגדרות!$E$7+1),MOD(H833-1-הגדרות!$E$8*(הגדרות!$E$7+1),הגדרות!$E$7)))</f>
        <v/>
      </c>
      <c r="K833" s="0" t="str">
        <f aca="false">IF(I833="","",J833*הגדרות!$E$6+I833+1)</f>
        <v/>
      </c>
      <c r="L833" s="0" t="str">
        <f aca="false">IF(K833="","",MATCH(K833,$F$2:$F$5001,0))</f>
        <v/>
      </c>
      <c r="M833" s="0" t="str">
        <f aca="false">IF(I833="","",INDEX(הגדרות!$A$2:$A$21,MOD(I833+הגדרות!$E$9,הגדרות!$E$6)+1))</f>
        <v/>
      </c>
    </row>
    <row r="834" customFormat="false" ht="15" hidden="false" customHeight="false" outlineLevel="0" collapsed="false">
      <c r="A834" s="0" t="str">
        <f aca="false">IF('הדבקת לידים'!A834="","",IF(ISNUMBER('הדבקת לידים'!A834),IF(הגדרות!$E$2&gt;0,TEXT('הדבקת לידים'!A834,REPT("0",הגדרות!$E$2)),TEXT('הדבקת לידים'!A834,"0")),TRIM('הדבקת לידים'!A834)))</f>
        <v/>
      </c>
      <c r="B834" s="0" t="str">
        <f aca="false">IF('הדבקת לידים'!B834="","",IF(ISNUMBER('הדבקת לידים'!B834),IF(הגדרות!$E$3&gt;0,TEXT('הדבקת לידים'!B834,REPT("0",הגדרות!$E$3)),TEXT('הדבקת לידים'!B834,"0")),TRIM('הדבקת לידים'!B834)))</f>
        <v/>
      </c>
      <c r="C834" s="0" t="n">
        <f aca="false">IF(OR(A834&lt;&gt;"",B834&lt;&gt;""),1,0)</f>
        <v>0</v>
      </c>
      <c r="D834" s="0" t="str">
        <f aca="false">IF(C834=1,MOD(ABS(SIN(ROW()*12.9898+'הדבקת לידים'!$F$2*78.233+IFERROR(--RIGHT(A834,6),LEN(A834))*0.0137+IFERROR(--RIGHT(B834,6),LEN(B834))*0.0071))*43758.5453,1),"")</f>
        <v/>
      </c>
      <c r="E834" s="0" t="str">
        <f aca="false">IF(C834=1,INT(MOD(ABS(SIN(D834*7919.123+ROW()*0.618+'הדבקת לידים'!$F$2*1.3))*43758.5453,1)*1000000)*10000+ROW(),"")</f>
        <v/>
      </c>
      <c r="F834" s="0" t="str">
        <f aca="false">IF(E834="","",RANK(E834,$E$2:$E$5001,1))</f>
        <v/>
      </c>
      <c r="G834" s="0" t="n">
        <f aca="false">IF(A834="",0,IF(SUMPRODUCT(--($A$2:$A$5001=A834))&gt;1,1,0))</f>
        <v>0</v>
      </c>
      <c r="H834" s="0" t="n">
        <f aca="false">ROW()-1</f>
        <v>833</v>
      </c>
      <c r="I834" s="0" t="str">
        <f aca="false">IF(OR(הגדרות!$E$6=0,H834&gt;הגדרות!$E$5),"",IF(H834-1&lt;הגדרות!$E$8*(הגדרות!$E$7+1),INT((H834-1)/(הגדרות!$E$7+1)),הגדרות!$E$8+INT((H834-1-הגדרות!$E$8*(הגדרות!$E$7+1))/הגדרות!$E$7)))</f>
        <v/>
      </c>
      <c r="J834" s="0" t="str">
        <f aca="false">IF(I834="","",IF(H834-1&lt;הגדרות!$E$8*(הגדרות!$E$7+1),MOD(H834-1,הגדרות!$E$7+1),MOD(H834-1-הגדרות!$E$8*(הגדרות!$E$7+1),הגדרות!$E$7)))</f>
        <v/>
      </c>
      <c r="K834" s="0" t="str">
        <f aca="false">IF(I834="","",J834*הגדרות!$E$6+I834+1)</f>
        <v/>
      </c>
      <c r="L834" s="0" t="str">
        <f aca="false">IF(K834="","",MATCH(K834,$F$2:$F$5001,0))</f>
        <v/>
      </c>
      <c r="M834" s="0" t="str">
        <f aca="false">IF(I834="","",INDEX(הגדרות!$A$2:$A$21,MOD(I834+הגדרות!$E$9,הגדרות!$E$6)+1))</f>
        <v/>
      </c>
    </row>
    <row r="835" customFormat="false" ht="15" hidden="false" customHeight="false" outlineLevel="0" collapsed="false">
      <c r="A835" s="0" t="str">
        <f aca="false">IF('הדבקת לידים'!A835="","",IF(ISNUMBER('הדבקת לידים'!A835),IF(הגדרות!$E$2&gt;0,TEXT('הדבקת לידים'!A835,REPT("0",הגדרות!$E$2)),TEXT('הדבקת לידים'!A835,"0")),TRIM('הדבקת לידים'!A835)))</f>
        <v/>
      </c>
      <c r="B835" s="0" t="str">
        <f aca="false">IF('הדבקת לידים'!B835="","",IF(ISNUMBER('הדבקת לידים'!B835),IF(הגדרות!$E$3&gt;0,TEXT('הדבקת לידים'!B835,REPT("0",הגדרות!$E$3)),TEXT('הדבקת לידים'!B835,"0")),TRIM('הדבקת לידים'!B835)))</f>
        <v/>
      </c>
      <c r="C835" s="0" t="n">
        <f aca="false">IF(OR(A835&lt;&gt;"",B835&lt;&gt;""),1,0)</f>
        <v>0</v>
      </c>
      <c r="D835" s="0" t="str">
        <f aca="false">IF(C835=1,MOD(ABS(SIN(ROW()*12.9898+'הדבקת לידים'!$F$2*78.233+IFERROR(--RIGHT(A835,6),LEN(A835))*0.0137+IFERROR(--RIGHT(B835,6),LEN(B835))*0.0071))*43758.5453,1),"")</f>
        <v/>
      </c>
      <c r="E835" s="0" t="str">
        <f aca="false">IF(C835=1,INT(MOD(ABS(SIN(D835*7919.123+ROW()*0.618+'הדבקת לידים'!$F$2*1.3))*43758.5453,1)*1000000)*10000+ROW(),"")</f>
        <v/>
      </c>
      <c r="F835" s="0" t="str">
        <f aca="false">IF(E835="","",RANK(E835,$E$2:$E$5001,1))</f>
        <v/>
      </c>
      <c r="G835" s="0" t="n">
        <f aca="false">IF(A835="",0,IF(SUMPRODUCT(--($A$2:$A$5001=A835))&gt;1,1,0))</f>
        <v>0</v>
      </c>
      <c r="H835" s="0" t="n">
        <f aca="false">ROW()-1</f>
        <v>834</v>
      </c>
      <c r="I835" s="0" t="str">
        <f aca="false">IF(OR(הגדרות!$E$6=0,H835&gt;הגדרות!$E$5),"",IF(H835-1&lt;הגדרות!$E$8*(הגדרות!$E$7+1),INT((H835-1)/(הגדרות!$E$7+1)),הגדרות!$E$8+INT((H835-1-הגדרות!$E$8*(הגדרות!$E$7+1))/הגדרות!$E$7)))</f>
        <v/>
      </c>
      <c r="J835" s="0" t="str">
        <f aca="false">IF(I835="","",IF(H835-1&lt;הגדרות!$E$8*(הגדרות!$E$7+1),MOD(H835-1,הגדרות!$E$7+1),MOD(H835-1-הגדרות!$E$8*(הגדרות!$E$7+1),הגדרות!$E$7)))</f>
        <v/>
      </c>
      <c r="K835" s="0" t="str">
        <f aca="false">IF(I835="","",J835*הגדרות!$E$6+I835+1)</f>
        <v/>
      </c>
      <c r="L835" s="0" t="str">
        <f aca="false">IF(K835="","",MATCH(K835,$F$2:$F$5001,0))</f>
        <v/>
      </c>
      <c r="M835" s="0" t="str">
        <f aca="false">IF(I835="","",INDEX(הגדרות!$A$2:$A$21,MOD(I835+הגדרות!$E$9,הגדרות!$E$6)+1))</f>
        <v/>
      </c>
    </row>
    <row r="836" customFormat="false" ht="15" hidden="false" customHeight="false" outlineLevel="0" collapsed="false">
      <c r="A836" s="0" t="str">
        <f aca="false">IF('הדבקת לידים'!A836="","",IF(ISNUMBER('הדבקת לידים'!A836),IF(הגדרות!$E$2&gt;0,TEXT('הדבקת לידים'!A836,REPT("0",הגדרות!$E$2)),TEXT('הדבקת לידים'!A836,"0")),TRIM('הדבקת לידים'!A836)))</f>
        <v/>
      </c>
      <c r="B836" s="0" t="str">
        <f aca="false">IF('הדבקת לידים'!B836="","",IF(ISNUMBER('הדבקת לידים'!B836),IF(הגדרות!$E$3&gt;0,TEXT('הדבקת לידים'!B836,REPT("0",הגדרות!$E$3)),TEXT('הדבקת לידים'!B836,"0")),TRIM('הדבקת לידים'!B836)))</f>
        <v/>
      </c>
      <c r="C836" s="0" t="n">
        <f aca="false">IF(OR(A836&lt;&gt;"",B836&lt;&gt;""),1,0)</f>
        <v>0</v>
      </c>
      <c r="D836" s="0" t="str">
        <f aca="false">IF(C836=1,MOD(ABS(SIN(ROW()*12.9898+'הדבקת לידים'!$F$2*78.233+IFERROR(--RIGHT(A836,6),LEN(A836))*0.0137+IFERROR(--RIGHT(B836,6),LEN(B836))*0.0071))*43758.5453,1),"")</f>
        <v/>
      </c>
      <c r="E836" s="0" t="str">
        <f aca="false">IF(C836=1,INT(MOD(ABS(SIN(D836*7919.123+ROW()*0.618+'הדבקת לידים'!$F$2*1.3))*43758.5453,1)*1000000)*10000+ROW(),"")</f>
        <v/>
      </c>
      <c r="F836" s="0" t="str">
        <f aca="false">IF(E836="","",RANK(E836,$E$2:$E$5001,1))</f>
        <v/>
      </c>
      <c r="G836" s="0" t="n">
        <f aca="false">IF(A836="",0,IF(SUMPRODUCT(--($A$2:$A$5001=A836))&gt;1,1,0))</f>
        <v>0</v>
      </c>
      <c r="H836" s="0" t="n">
        <f aca="false">ROW()-1</f>
        <v>835</v>
      </c>
      <c r="I836" s="0" t="str">
        <f aca="false">IF(OR(הגדרות!$E$6=0,H836&gt;הגדרות!$E$5),"",IF(H836-1&lt;הגדרות!$E$8*(הגדרות!$E$7+1),INT((H836-1)/(הגדרות!$E$7+1)),הגדרות!$E$8+INT((H836-1-הגדרות!$E$8*(הגדרות!$E$7+1))/הגדרות!$E$7)))</f>
        <v/>
      </c>
      <c r="J836" s="0" t="str">
        <f aca="false">IF(I836="","",IF(H836-1&lt;הגדרות!$E$8*(הגדרות!$E$7+1),MOD(H836-1,הגדרות!$E$7+1),MOD(H836-1-הגדרות!$E$8*(הגדרות!$E$7+1),הגדרות!$E$7)))</f>
        <v/>
      </c>
      <c r="K836" s="0" t="str">
        <f aca="false">IF(I836="","",J836*הגדרות!$E$6+I836+1)</f>
        <v/>
      </c>
      <c r="L836" s="0" t="str">
        <f aca="false">IF(K836="","",MATCH(K836,$F$2:$F$5001,0))</f>
        <v/>
      </c>
      <c r="M836" s="0" t="str">
        <f aca="false">IF(I836="","",INDEX(הגדרות!$A$2:$A$21,MOD(I836+הגדרות!$E$9,הגדרות!$E$6)+1))</f>
        <v/>
      </c>
    </row>
    <row r="837" customFormat="false" ht="15" hidden="false" customHeight="false" outlineLevel="0" collapsed="false">
      <c r="A837" s="0" t="str">
        <f aca="false">IF('הדבקת לידים'!A837="","",IF(ISNUMBER('הדבקת לידים'!A837),IF(הגדרות!$E$2&gt;0,TEXT('הדבקת לידים'!A837,REPT("0",הגדרות!$E$2)),TEXT('הדבקת לידים'!A837,"0")),TRIM('הדבקת לידים'!A837)))</f>
        <v/>
      </c>
      <c r="B837" s="0" t="str">
        <f aca="false">IF('הדבקת לידים'!B837="","",IF(ISNUMBER('הדבקת לידים'!B837),IF(הגדרות!$E$3&gt;0,TEXT('הדבקת לידים'!B837,REPT("0",הגדרות!$E$3)),TEXT('הדבקת לידים'!B837,"0")),TRIM('הדבקת לידים'!B837)))</f>
        <v/>
      </c>
      <c r="C837" s="0" t="n">
        <f aca="false">IF(OR(A837&lt;&gt;"",B837&lt;&gt;""),1,0)</f>
        <v>0</v>
      </c>
      <c r="D837" s="0" t="str">
        <f aca="false">IF(C837=1,MOD(ABS(SIN(ROW()*12.9898+'הדבקת לידים'!$F$2*78.233+IFERROR(--RIGHT(A837,6),LEN(A837))*0.0137+IFERROR(--RIGHT(B837,6),LEN(B837))*0.0071))*43758.5453,1),"")</f>
        <v/>
      </c>
      <c r="E837" s="0" t="str">
        <f aca="false">IF(C837=1,INT(MOD(ABS(SIN(D837*7919.123+ROW()*0.618+'הדבקת לידים'!$F$2*1.3))*43758.5453,1)*1000000)*10000+ROW(),"")</f>
        <v/>
      </c>
      <c r="F837" s="0" t="str">
        <f aca="false">IF(E837="","",RANK(E837,$E$2:$E$5001,1))</f>
        <v/>
      </c>
      <c r="G837" s="0" t="n">
        <f aca="false">IF(A837="",0,IF(SUMPRODUCT(--($A$2:$A$5001=A837))&gt;1,1,0))</f>
        <v>0</v>
      </c>
      <c r="H837" s="0" t="n">
        <f aca="false">ROW()-1</f>
        <v>836</v>
      </c>
      <c r="I837" s="0" t="str">
        <f aca="false">IF(OR(הגדרות!$E$6=0,H837&gt;הגדרות!$E$5),"",IF(H837-1&lt;הגדרות!$E$8*(הגדרות!$E$7+1),INT((H837-1)/(הגדרות!$E$7+1)),הגדרות!$E$8+INT((H837-1-הגדרות!$E$8*(הגדרות!$E$7+1))/הגדרות!$E$7)))</f>
        <v/>
      </c>
      <c r="J837" s="0" t="str">
        <f aca="false">IF(I837="","",IF(H837-1&lt;הגדרות!$E$8*(הגדרות!$E$7+1),MOD(H837-1,הגדרות!$E$7+1),MOD(H837-1-הגדרות!$E$8*(הגדרות!$E$7+1),הגדרות!$E$7)))</f>
        <v/>
      </c>
      <c r="K837" s="0" t="str">
        <f aca="false">IF(I837="","",J837*הגדרות!$E$6+I837+1)</f>
        <v/>
      </c>
      <c r="L837" s="0" t="str">
        <f aca="false">IF(K837="","",MATCH(K837,$F$2:$F$5001,0))</f>
        <v/>
      </c>
      <c r="M837" s="0" t="str">
        <f aca="false">IF(I837="","",INDEX(הגדרות!$A$2:$A$21,MOD(I837+הגדרות!$E$9,הגדרות!$E$6)+1))</f>
        <v/>
      </c>
    </row>
    <row r="838" customFormat="false" ht="15" hidden="false" customHeight="false" outlineLevel="0" collapsed="false">
      <c r="A838" s="0" t="str">
        <f aca="false">IF('הדבקת לידים'!A838="","",IF(ISNUMBER('הדבקת לידים'!A838),IF(הגדרות!$E$2&gt;0,TEXT('הדבקת לידים'!A838,REPT("0",הגדרות!$E$2)),TEXT('הדבקת לידים'!A838,"0")),TRIM('הדבקת לידים'!A838)))</f>
        <v/>
      </c>
      <c r="B838" s="0" t="str">
        <f aca="false">IF('הדבקת לידים'!B838="","",IF(ISNUMBER('הדבקת לידים'!B838),IF(הגדרות!$E$3&gt;0,TEXT('הדבקת לידים'!B838,REPT("0",הגדרות!$E$3)),TEXT('הדבקת לידים'!B838,"0")),TRIM('הדבקת לידים'!B838)))</f>
        <v/>
      </c>
      <c r="C838" s="0" t="n">
        <f aca="false">IF(OR(A838&lt;&gt;"",B838&lt;&gt;""),1,0)</f>
        <v>0</v>
      </c>
      <c r="D838" s="0" t="str">
        <f aca="false">IF(C838=1,MOD(ABS(SIN(ROW()*12.9898+'הדבקת לידים'!$F$2*78.233+IFERROR(--RIGHT(A838,6),LEN(A838))*0.0137+IFERROR(--RIGHT(B838,6),LEN(B838))*0.0071))*43758.5453,1),"")</f>
        <v/>
      </c>
      <c r="E838" s="0" t="str">
        <f aca="false">IF(C838=1,INT(MOD(ABS(SIN(D838*7919.123+ROW()*0.618+'הדבקת לידים'!$F$2*1.3))*43758.5453,1)*1000000)*10000+ROW(),"")</f>
        <v/>
      </c>
      <c r="F838" s="0" t="str">
        <f aca="false">IF(E838="","",RANK(E838,$E$2:$E$5001,1))</f>
        <v/>
      </c>
      <c r="G838" s="0" t="n">
        <f aca="false">IF(A838="",0,IF(SUMPRODUCT(--($A$2:$A$5001=A838))&gt;1,1,0))</f>
        <v>0</v>
      </c>
      <c r="H838" s="0" t="n">
        <f aca="false">ROW()-1</f>
        <v>837</v>
      </c>
      <c r="I838" s="0" t="str">
        <f aca="false">IF(OR(הגדרות!$E$6=0,H838&gt;הגדרות!$E$5),"",IF(H838-1&lt;הגדרות!$E$8*(הגדרות!$E$7+1),INT((H838-1)/(הגדרות!$E$7+1)),הגדרות!$E$8+INT((H838-1-הגדרות!$E$8*(הגדרות!$E$7+1))/הגדרות!$E$7)))</f>
        <v/>
      </c>
      <c r="J838" s="0" t="str">
        <f aca="false">IF(I838="","",IF(H838-1&lt;הגדרות!$E$8*(הגדרות!$E$7+1),MOD(H838-1,הגדרות!$E$7+1),MOD(H838-1-הגדרות!$E$8*(הגדרות!$E$7+1),הגדרות!$E$7)))</f>
        <v/>
      </c>
      <c r="K838" s="0" t="str">
        <f aca="false">IF(I838="","",J838*הגדרות!$E$6+I838+1)</f>
        <v/>
      </c>
      <c r="L838" s="0" t="str">
        <f aca="false">IF(K838="","",MATCH(K838,$F$2:$F$5001,0))</f>
        <v/>
      </c>
      <c r="M838" s="0" t="str">
        <f aca="false">IF(I838="","",INDEX(הגדרות!$A$2:$A$21,MOD(I838+הגדרות!$E$9,הגדרות!$E$6)+1))</f>
        <v/>
      </c>
    </row>
    <row r="839" customFormat="false" ht="15" hidden="false" customHeight="false" outlineLevel="0" collapsed="false">
      <c r="A839" s="0" t="str">
        <f aca="false">IF('הדבקת לידים'!A839="","",IF(ISNUMBER('הדבקת לידים'!A839),IF(הגדרות!$E$2&gt;0,TEXT('הדבקת לידים'!A839,REPT("0",הגדרות!$E$2)),TEXT('הדבקת לידים'!A839,"0")),TRIM('הדבקת לידים'!A839)))</f>
        <v/>
      </c>
      <c r="B839" s="0" t="str">
        <f aca="false">IF('הדבקת לידים'!B839="","",IF(ISNUMBER('הדבקת לידים'!B839),IF(הגדרות!$E$3&gt;0,TEXT('הדבקת לידים'!B839,REPT("0",הגדרות!$E$3)),TEXT('הדבקת לידים'!B839,"0")),TRIM('הדבקת לידים'!B839)))</f>
        <v/>
      </c>
      <c r="C839" s="0" t="n">
        <f aca="false">IF(OR(A839&lt;&gt;"",B839&lt;&gt;""),1,0)</f>
        <v>0</v>
      </c>
      <c r="D839" s="0" t="str">
        <f aca="false">IF(C839=1,MOD(ABS(SIN(ROW()*12.9898+'הדבקת לידים'!$F$2*78.233+IFERROR(--RIGHT(A839,6),LEN(A839))*0.0137+IFERROR(--RIGHT(B839,6),LEN(B839))*0.0071))*43758.5453,1),"")</f>
        <v/>
      </c>
      <c r="E839" s="0" t="str">
        <f aca="false">IF(C839=1,INT(MOD(ABS(SIN(D839*7919.123+ROW()*0.618+'הדבקת לידים'!$F$2*1.3))*43758.5453,1)*1000000)*10000+ROW(),"")</f>
        <v/>
      </c>
      <c r="F839" s="0" t="str">
        <f aca="false">IF(E839="","",RANK(E839,$E$2:$E$5001,1))</f>
        <v/>
      </c>
      <c r="G839" s="0" t="n">
        <f aca="false">IF(A839="",0,IF(SUMPRODUCT(--($A$2:$A$5001=A839))&gt;1,1,0))</f>
        <v>0</v>
      </c>
      <c r="H839" s="0" t="n">
        <f aca="false">ROW()-1</f>
        <v>838</v>
      </c>
      <c r="I839" s="0" t="str">
        <f aca="false">IF(OR(הגדרות!$E$6=0,H839&gt;הגדרות!$E$5),"",IF(H839-1&lt;הגדרות!$E$8*(הגדרות!$E$7+1),INT((H839-1)/(הגדרות!$E$7+1)),הגדרות!$E$8+INT((H839-1-הגדרות!$E$8*(הגדרות!$E$7+1))/הגדרות!$E$7)))</f>
        <v/>
      </c>
      <c r="J839" s="0" t="str">
        <f aca="false">IF(I839="","",IF(H839-1&lt;הגדרות!$E$8*(הגדרות!$E$7+1),MOD(H839-1,הגדרות!$E$7+1),MOD(H839-1-הגדרות!$E$8*(הגדרות!$E$7+1),הגדרות!$E$7)))</f>
        <v/>
      </c>
      <c r="K839" s="0" t="str">
        <f aca="false">IF(I839="","",J839*הגדרות!$E$6+I839+1)</f>
        <v/>
      </c>
      <c r="L839" s="0" t="str">
        <f aca="false">IF(K839="","",MATCH(K839,$F$2:$F$5001,0))</f>
        <v/>
      </c>
      <c r="M839" s="0" t="str">
        <f aca="false">IF(I839="","",INDEX(הגדרות!$A$2:$A$21,MOD(I839+הגדרות!$E$9,הגדרות!$E$6)+1))</f>
        <v/>
      </c>
    </row>
    <row r="840" customFormat="false" ht="15" hidden="false" customHeight="false" outlineLevel="0" collapsed="false">
      <c r="A840" s="0" t="str">
        <f aca="false">IF('הדבקת לידים'!A840="","",IF(ISNUMBER('הדבקת לידים'!A840),IF(הגדרות!$E$2&gt;0,TEXT('הדבקת לידים'!A840,REPT("0",הגדרות!$E$2)),TEXT('הדבקת לידים'!A840,"0")),TRIM('הדבקת לידים'!A840)))</f>
        <v/>
      </c>
      <c r="B840" s="0" t="str">
        <f aca="false">IF('הדבקת לידים'!B840="","",IF(ISNUMBER('הדבקת לידים'!B840),IF(הגדרות!$E$3&gt;0,TEXT('הדבקת לידים'!B840,REPT("0",הגדרות!$E$3)),TEXT('הדבקת לידים'!B840,"0")),TRIM('הדבקת לידים'!B840)))</f>
        <v/>
      </c>
      <c r="C840" s="0" t="n">
        <f aca="false">IF(OR(A840&lt;&gt;"",B840&lt;&gt;""),1,0)</f>
        <v>0</v>
      </c>
      <c r="D840" s="0" t="str">
        <f aca="false">IF(C840=1,MOD(ABS(SIN(ROW()*12.9898+'הדבקת לידים'!$F$2*78.233+IFERROR(--RIGHT(A840,6),LEN(A840))*0.0137+IFERROR(--RIGHT(B840,6),LEN(B840))*0.0071))*43758.5453,1),"")</f>
        <v/>
      </c>
      <c r="E840" s="0" t="str">
        <f aca="false">IF(C840=1,INT(MOD(ABS(SIN(D840*7919.123+ROW()*0.618+'הדבקת לידים'!$F$2*1.3))*43758.5453,1)*1000000)*10000+ROW(),"")</f>
        <v/>
      </c>
      <c r="F840" s="0" t="str">
        <f aca="false">IF(E840="","",RANK(E840,$E$2:$E$5001,1))</f>
        <v/>
      </c>
      <c r="G840" s="0" t="n">
        <f aca="false">IF(A840="",0,IF(SUMPRODUCT(--($A$2:$A$5001=A840))&gt;1,1,0))</f>
        <v>0</v>
      </c>
      <c r="H840" s="0" t="n">
        <f aca="false">ROW()-1</f>
        <v>839</v>
      </c>
      <c r="I840" s="0" t="str">
        <f aca="false">IF(OR(הגדרות!$E$6=0,H840&gt;הגדרות!$E$5),"",IF(H840-1&lt;הגדרות!$E$8*(הגדרות!$E$7+1),INT((H840-1)/(הגדרות!$E$7+1)),הגדרות!$E$8+INT((H840-1-הגדרות!$E$8*(הגדרות!$E$7+1))/הגדרות!$E$7)))</f>
        <v/>
      </c>
      <c r="J840" s="0" t="str">
        <f aca="false">IF(I840="","",IF(H840-1&lt;הגדרות!$E$8*(הגדרות!$E$7+1),MOD(H840-1,הגדרות!$E$7+1),MOD(H840-1-הגדרות!$E$8*(הגדרות!$E$7+1),הגדרות!$E$7)))</f>
        <v/>
      </c>
      <c r="K840" s="0" t="str">
        <f aca="false">IF(I840="","",J840*הגדרות!$E$6+I840+1)</f>
        <v/>
      </c>
      <c r="L840" s="0" t="str">
        <f aca="false">IF(K840="","",MATCH(K840,$F$2:$F$5001,0))</f>
        <v/>
      </c>
      <c r="M840" s="0" t="str">
        <f aca="false">IF(I840="","",INDEX(הגדרות!$A$2:$A$21,MOD(I840+הגדרות!$E$9,הגדרות!$E$6)+1))</f>
        <v/>
      </c>
    </row>
    <row r="841" customFormat="false" ht="15" hidden="false" customHeight="false" outlineLevel="0" collapsed="false">
      <c r="A841" s="0" t="str">
        <f aca="false">IF('הדבקת לידים'!A841="","",IF(ISNUMBER('הדבקת לידים'!A841),IF(הגדרות!$E$2&gt;0,TEXT('הדבקת לידים'!A841,REPT("0",הגדרות!$E$2)),TEXT('הדבקת לידים'!A841,"0")),TRIM('הדבקת לידים'!A841)))</f>
        <v/>
      </c>
      <c r="B841" s="0" t="str">
        <f aca="false">IF('הדבקת לידים'!B841="","",IF(ISNUMBER('הדבקת לידים'!B841),IF(הגדרות!$E$3&gt;0,TEXT('הדבקת לידים'!B841,REPT("0",הגדרות!$E$3)),TEXT('הדבקת לידים'!B841,"0")),TRIM('הדבקת לידים'!B841)))</f>
        <v/>
      </c>
      <c r="C841" s="0" t="n">
        <f aca="false">IF(OR(A841&lt;&gt;"",B841&lt;&gt;""),1,0)</f>
        <v>0</v>
      </c>
      <c r="D841" s="0" t="str">
        <f aca="false">IF(C841=1,MOD(ABS(SIN(ROW()*12.9898+'הדבקת לידים'!$F$2*78.233+IFERROR(--RIGHT(A841,6),LEN(A841))*0.0137+IFERROR(--RIGHT(B841,6),LEN(B841))*0.0071))*43758.5453,1),"")</f>
        <v/>
      </c>
      <c r="E841" s="0" t="str">
        <f aca="false">IF(C841=1,INT(MOD(ABS(SIN(D841*7919.123+ROW()*0.618+'הדבקת לידים'!$F$2*1.3))*43758.5453,1)*1000000)*10000+ROW(),"")</f>
        <v/>
      </c>
      <c r="F841" s="0" t="str">
        <f aca="false">IF(E841="","",RANK(E841,$E$2:$E$5001,1))</f>
        <v/>
      </c>
      <c r="G841" s="0" t="n">
        <f aca="false">IF(A841="",0,IF(SUMPRODUCT(--($A$2:$A$5001=A841))&gt;1,1,0))</f>
        <v>0</v>
      </c>
      <c r="H841" s="0" t="n">
        <f aca="false">ROW()-1</f>
        <v>840</v>
      </c>
      <c r="I841" s="0" t="str">
        <f aca="false">IF(OR(הגדרות!$E$6=0,H841&gt;הגדרות!$E$5),"",IF(H841-1&lt;הגדרות!$E$8*(הגדרות!$E$7+1),INT((H841-1)/(הגדרות!$E$7+1)),הגדרות!$E$8+INT((H841-1-הגדרות!$E$8*(הגדרות!$E$7+1))/הגדרות!$E$7)))</f>
        <v/>
      </c>
      <c r="J841" s="0" t="str">
        <f aca="false">IF(I841="","",IF(H841-1&lt;הגדרות!$E$8*(הגדרות!$E$7+1),MOD(H841-1,הגדרות!$E$7+1),MOD(H841-1-הגדרות!$E$8*(הגדרות!$E$7+1),הגדרות!$E$7)))</f>
        <v/>
      </c>
      <c r="K841" s="0" t="str">
        <f aca="false">IF(I841="","",J841*הגדרות!$E$6+I841+1)</f>
        <v/>
      </c>
      <c r="L841" s="0" t="str">
        <f aca="false">IF(K841="","",MATCH(K841,$F$2:$F$5001,0))</f>
        <v/>
      </c>
      <c r="M841" s="0" t="str">
        <f aca="false">IF(I841="","",INDEX(הגדרות!$A$2:$A$21,MOD(I841+הגדרות!$E$9,הגדרות!$E$6)+1))</f>
        <v/>
      </c>
    </row>
    <row r="842" customFormat="false" ht="15" hidden="false" customHeight="false" outlineLevel="0" collapsed="false">
      <c r="A842" s="0" t="str">
        <f aca="false">IF('הדבקת לידים'!A842="","",IF(ISNUMBER('הדבקת לידים'!A842),IF(הגדרות!$E$2&gt;0,TEXT('הדבקת לידים'!A842,REPT("0",הגדרות!$E$2)),TEXT('הדבקת לידים'!A842,"0")),TRIM('הדבקת לידים'!A842)))</f>
        <v/>
      </c>
      <c r="B842" s="0" t="str">
        <f aca="false">IF('הדבקת לידים'!B842="","",IF(ISNUMBER('הדבקת לידים'!B842),IF(הגדרות!$E$3&gt;0,TEXT('הדבקת לידים'!B842,REPT("0",הגדרות!$E$3)),TEXT('הדבקת לידים'!B842,"0")),TRIM('הדבקת לידים'!B842)))</f>
        <v/>
      </c>
      <c r="C842" s="0" t="n">
        <f aca="false">IF(OR(A842&lt;&gt;"",B842&lt;&gt;""),1,0)</f>
        <v>0</v>
      </c>
      <c r="D842" s="0" t="str">
        <f aca="false">IF(C842=1,MOD(ABS(SIN(ROW()*12.9898+'הדבקת לידים'!$F$2*78.233+IFERROR(--RIGHT(A842,6),LEN(A842))*0.0137+IFERROR(--RIGHT(B842,6),LEN(B842))*0.0071))*43758.5453,1),"")</f>
        <v/>
      </c>
      <c r="E842" s="0" t="str">
        <f aca="false">IF(C842=1,INT(MOD(ABS(SIN(D842*7919.123+ROW()*0.618+'הדבקת לידים'!$F$2*1.3))*43758.5453,1)*1000000)*10000+ROW(),"")</f>
        <v/>
      </c>
      <c r="F842" s="0" t="str">
        <f aca="false">IF(E842="","",RANK(E842,$E$2:$E$5001,1))</f>
        <v/>
      </c>
      <c r="G842" s="0" t="n">
        <f aca="false">IF(A842="",0,IF(SUMPRODUCT(--($A$2:$A$5001=A842))&gt;1,1,0))</f>
        <v>0</v>
      </c>
      <c r="H842" s="0" t="n">
        <f aca="false">ROW()-1</f>
        <v>841</v>
      </c>
      <c r="I842" s="0" t="str">
        <f aca="false">IF(OR(הגדרות!$E$6=0,H842&gt;הגדרות!$E$5),"",IF(H842-1&lt;הגדרות!$E$8*(הגדרות!$E$7+1),INT((H842-1)/(הגדרות!$E$7+1)),הגדרות!$E$8+INT((H842-1-הגדרות!$E$8*(הגדרות!$E$7+1))/הגדרות!$E$7)))</f>
        <v/>
      </c>
      <c r="J842" s="0" t="str">
        <f aca="false">IF(I842="","",IF(H842-1&lt;הגדרות!$E$8*(הגדרות!$E$7+1),MOD(H842-1,הגדרות!$E$7+1),MOD(H842-1-הגדרות!$E$8*(הגדרות!$E$7+1),הגדרות!$E$7)))</f>
        <v/>
      </c>
      <c r="K842" s="0" t="str">
        <f aca="false">IF(I842="","",J842*הגדרות!$E$6+I842+1)</f>
        <v/>
      </c>
      <c r="L842" s="0" t="str">
        <f aca="false">IF(K842="","",MATCH(K842,$F$2:$F$5001,0))</f>
        <v/>
      </c>
      <c r="M842" s="0" t="str">
        <f aca="false">IF(I842="","",INDEX(הגדרות!$A$2:$A$21,MOD(I842+הגדרות!$E$9,הגדרות!$E$6)+1))</f>
        <v/>
      </c>
    </row>
    <row r="843" customFormat="false" ht="15" hidden="false" customHeight="false" outlineLevel="0" collapsed="false">
      <c r="A843" s="0" t="str">
        <f aca="false">IF('הדבקת לידים'!A843="","",IF(ISNUMBER('הדבקת לידים'!A843),IF(הגדרות!$E$2&gt;0,TEXT('הדבקת לידים'!A843,REPT("0",הגדרות!$E$2)),TEXT('הדבקת לידים'!A843,"0")),TRIM('הדבקת לידים'!A843)))</f>
        <v/>
      </c>
      <c r="B843" s="0" t="str">
        <f aca="false">IF('הדבקת לידים'!B843="","",IF(ISNUMBER('הדבקת לידים'!B843),IF(הגדרות!$E$3&gt;0,TEXT('הדבקת לידים'!B843,REPT("0",הגדרות!$E$3)),TEXT('הדבקת לידים'!B843,"0")),TRIM('הדבקת לידים'!B843)))</f>
        <v/>
      </c>
      <c r="C843" s="0" t="n">
        <f aca="false">IF(OR(A843&lt;&gt;"",B843&lt;&gt;""),1,0)</f>
        <v>0</v>
      </c>
      <c r="D843" s="0" t="str">
        <f aca="false">IF(C843=1,MOD(ABS(SIN(ROW()*12.9898+'הדבקת לידים'!$F$2*78.233+IFERROR(--RIGHT(A843,6),LEN(A843))*0.0137+IFERROR(--RIGHT(B843,6),LEN(B843))*0.0071))*43758.5453,1),"")</f>
        <v/>
      </c>
      <c r="E843" s="0" t="str">
        <f aca="false">IF(C843=1,INT(MOD(ABS(SIN(D843*7919.123+ROW()*0.618+'הדבקת לידים'!$F$2*1.3))*43758.5453,1)*1000000)*10000+ROW(),"")</f>
        <v/>
      </c>
      <c r="F843" s="0" t="str">
        <f aca="false">IF(E843="","",RANK(E843,$E$2:$E$5001,1))</f>
        <v/>
      </c>
      <c r="G843" s="0" t="n">
        <f aca="false">IF(A843="",0,IF(SUMPRODUCT(--($A$2:$A$5001=A843))&gt;1,1,0))</f>
        <v>0</v>
      </c>
      <c r="H843" s="0" t="n">
        <f aca="false">ROW()-1</f>
        <v>842</v>
      </c>
      <c r="I843" s="0" t="str">
        <f aca="false">IF(OR(הגדרות!$E$6=0,H843&gt;הגדרות!$E$5),"",IF(H843-1&lt;הגדרות!$E$8*(הגדרות!$E$7+1),INT((H843-1)/(הגדרות!$E$7+1)),הגדרות!$E$8+INT((H843-1-הגדרות!$E$8*(הגדרות!$E$7+1))/הגדרות!$E$7)))</f>
        <v/>
      </c>
      <c r="J843" s="0" t="str">
        <f aca="false">IF(I843="","",IF(H843-1&lt;הגדרות!$E$8*(הגדרות!$E$7+1),MOD(H843-1,הגדרות!$E$7+1),MOD(H843-1-הגדרות!$E$8*(הגדרות!$E$7+1),הגדרות!$E$7)))</f>
        <v/>
      </c>
      <c r="K843" s="0" t="str">
        <f aca="false">IF(I843="","",J843*הגדרות!$E$6+I843+1)</f>
        <v/>
      </c>
      <c r="L843" s="0" t="str">
        <f aca="false">IF(K843="","",MATCH(K843,$F$2:$F$5001,0))</f>
        <v/>
      </c>
      <c r="M843" s="0" t="str">
        <f aca="false">IF(I843="","",INDEX(הגדרות!$A$2:$A$21,MOD(I843+הגדרות!$E$9,הגדרות!$E$6)+1))</f>
        <v/>
      </c>
    </row>
    <row r="844" customFormat="false" ht="15" hidden="false" customHeight="false" outlineLevel="0" collapsed="false">
      <c r="A844" s="0" t="str">
        <f aca="false">IF('הדבקת לידים'!A844="","",IF(ISNUMBER('הדבקת לידים'!A844),IF(הגדרות!$E$2&gt;0,TEXT('הדבקת לידים'!A844,REPT("0",הגדרות!$E$2)),TEXT('הדבקת לידים'!A844,"0")),TRIM('הדבקת לידים'!A844)))</f>
        <v/>
      </c>
      <c r="B844" s="0" t="str">
        <f aca="false">IF('הדבקת לידים'!B844="","",IF(ISNUMBER('הדבקת לידים'!B844),IF(הגדרות!$E$3&gt;0,TEXT('הדבקת לידים'!B844,REPT("0",הגדרות!$E$3)),TEXT('הדבקת לידים'!B844,"0")),TRIM('הדבקת לידים'!B844)))</f>
        <v/>
      </c>
      <c r="C844" s="0" t="n">
        <f aca="false">IF(OR(A844&lt;&gt;"",B844&lt;&gt;""),1,0)</f>
        <v>0</v>
      </c>
      <c r="D844" s="0" t="str">
        <f aca="false">IF(C844=1,MOD(ABS(SIN(ROW()*12.9898+'הדבקת לידים'!$F$2*78.233+IFERROR(--RIGHT(A844,6),LEN(A844))*0.0137+IFERROR(--RIGHT(B844,6),LEN(B844))*0.0071))*43758.5453,1),"")</f>
        <v/>
      </c>
      <c r="E844" s="0" t="str">
        <f aca="false">IF(C844=1,INT(MOD(ABS(SIN(D844*7919.123+ROW()*0.618+'הדבקת לידים'!$F$2*1.3))*43758.5453,1)*1000000)*10000+ROW(),"")</f>
        <v/>
      </c>
      <c r="F844" s="0" t="str">
        <f aca="false">IF(E844="","",RANK(E844,$E$2:$E$5001,1))</f>
        <v/>
      </c>
      <c r="G844" s="0" t="n">
        <f aca="false">IF(A844="",0,IF(SUMPRODUCT(--($A$2:$A$5001=A844))&gt;1,1,0))</f>
        <v>0</v>
      </c>
      <c r="H844" s="0" t="n">
        <f aca="false">ROW()-1</f>
        <v>843</v>
      </c>
      <c r="I844" s="0" t="str">
        <f aca="false">IF(OR(הגדרות!$E$6=0,H844&gt;הגדרות!$E$5),"",IF(H844-1&lt;הגדרות!$E$8*(הגדרות!$E$7+1),INT((H844-1)/(הגדרות!$E$7+1)),הגדרות!$E$8+INT((H844-1-הגדרות!$E$8*(הגדרות!$E$7+1))/הגדרות!$E$7)))</f>
        <v/>
      </c>
      <c r="J844" s="0" t="str">
        <f aca="false">IF(I844="","",IF(H844-1&lt;הגדרות!$E$8*(הגדרות!$E$7+1),MOD(H844-1,הגדרות!$E$7+1),MOD(H844-1-הגדרות!$E$8*(הגדרות!$E$7+1),הגדרות!$E$7)))</f>
        <v/>
      </c>
      <c r="K844" s="0" t="str">
        <f aca="false">IF(I844="","",J844*הגדרות!$E$6+I844+1)</f>
        <v/>
      </c>
      <c r="L844" s="0" t="str">
        <f aca="false">IF(K844="","",MATCH(K844,$F$2:$F$5001,0))</f>
        <v/>
      </c>
      <c r="M844" s="0" t="str">
        <f aca="false">IF(I844="","",INDEX(הגדרות!$A$2:$A$21,MOD(I844+הגדרות!$E$9,הגדרות!$E$6)+1))</f>
        <v/>
      </c>
    </row>
    <row r="845" customFormat="false" ht="15" hidden="false" customHeight="false" outlineLevel="0" collapsed="false">
      <c r="A845" s="0" t="str">
        <f aca="false">IF('הדבקת לידים'!A845="","",IF(ISNUMBER('הדבקת לידים'!A845),IF(הגדרות!$E$2&gt;0,TEXT('הדבקת לידים'!A845,REPT("0",הגדרות!$E$2)),TEXT('הדבקת לידים'!A845,"0")),TRIM('הדבקת לידים'!A845)))</f>
        <v/>
      </c>
      <c r="B845" s="0" t="str">
        <f aca="false">IF('הדבקת לידים'!B845="","",IF(ISNUMBER('הדבקת לידים'!B845),IF(הגדרות!$E$3&gt;0,TEXT('הדבקת לידים'!B845,REPT("0",הגדרות!$E$3)),TEXT('הדבקת לידים'!B845,"0")),TRIM('הדבקת לידים'!B845)))</f>
        <v/>
      </c>
      <c r="C845" s="0" t="n">
        <f aca="false">IF(OR(A845&lt;&gt;"",B845&lt;&gt;""),1,0)</f>
        <v>0</v>
      </c>
      <c r="D845" s="0" t="str">
        <f aca="false">IF(C845=1,MOD(ABS(SIN(ROW()*12.9898+'הדבקת לידים'!$F$2*78.233+IFERROR(--RIGHT(A845,6),LEN(A845))*0.0137+IFERROR(--RIGHT(B845,6),LEN(B845))*0.0071))*43758.5453,1),"")</f>
        <v/>
      </c>
      <c r="E845" s="0" t="str">
        <f aca="false">IF(C845=1,INT(MOD(ABS(SIN(D845*7919.123+ROW()*0.618+'הדבקת לידים'!$F$2*1.3))*43758.5453,1)*1000000)*10000+ROW(),"")</f>
        <v/>
      </c>
      <c r="F845" s="0" t="str">
        <f aca="false">IF(E845="","",RANK(E845,$E$2:$E$5001,1))</f>
        <v/>
      </c>
      <c r="G845" s="0" t="n">
        <f aca="false">IF(A845="",0,IF(SUMPRODUCT(--($A$2:$A$5001=A845))&gt;1,1,0))</f>
        <v>0</v>
      </c>
      <c r="H845" s="0" t="n">
        <f aca="false">ROW()-1</f>
        <v>844</v>
      </c>
      <c r="I845" s="0" t="str">
        <f aca="false">IF(OR(הגדרות!$E$6=0,H845&gt;הגדרות!$E$5),"",IF(H845-1&lt;הגדרות!$E$8*(הגדרות!$E$7+1),INT((H845-1)/(הגדרות!$E$7+1)),הגדרות!$E$8+INT((H845-1-הגדרות!$E$8*(הגדרות!$E$7+1))/הגדרות!$E$7)))</f>
        <v/>
      </c>
      <c r="J845" s="0" t="str">
        <f aca="false">IF(I845="","",IF(H845-1&lt;הגדרות!$E$8*(הגדרות!$E$7+1),MOD(H845-1,הגדרות!$E$7+1),MOD(H845-1-הגדרות!$E$8*(הגדרות!$E$7+1),הגדרות!$E$7)))</f>
        <v/>
      </c>
      <c r="K845" s="0" t="str">
        <f aca="false">IF(I845="","",J845*הגדרות!$E$6+I845+1)</f>
        <v/>
      </c>
      <c r="L845" s="0" t="str">
        <f aca="false">IF(K845="","",MATCH(K845,$F$2:$F$5001,0))</f>
        <v/>
      </c>
      <c r="M845" s="0" t="str">
        <f aca="false">IF(I845="","",INDEX(הגדרות!$A$2:$A$21,MOD(I845+הגדרות!$E$9,הגדרות!$E$6)+1))</f>
        <v/>
      </c>
    </row>
    <row r="846" customFormat="false" ht="15" hidden="false" customHeight="false" outlineLevel="0" collapsed="false">
      <c r="A846" s="0" t="str">
        <f aca="false">IF('הדבקת לידים'!A846="","",IF(ISNUMBER('הדבקת לידים'!A846),IF(הגדרות!$E$2&gt;0,TEXT('הדבקת לידים'!A846,REPT("0",הגדרות!$E$2)),TEXT('הדבקת לידים'!A846,"0")),TRIM('הדבקת לידים'!A846)))</f>
        <v/>
      </c>
      <c r="B846" s="0" t="str">
        <f aca="false">IF('הדבקת לידים'!B846="","",IF(ISNUMBER('הדבקת לידים'!B846),IF(הגדרות!$E$3&gt;0,TEXT('הדבקת לידים'!B846,REPT("0",הגדרות!$E$3)),TEXT('הדבקת לידים'!B846,"0")),TRIM('הדבקת לידים'!B846)))</f>
        <v/>
      </c>
      <c r="C846" s="0" t="n">
        <f aca="false">IF(OR(A846&lt;&gt;"",B846&lt;&gt;""),1,0)</f>
        <v>0</v>
      </c>
      <c r="D846" s="0" t="str">
        <f aca="false">IF(C846=1,MOD(ABS(SIN(ROW()*12.9898+'הדבקת לידים'!$F$2*78.233+IFERROR(--RIGHT(A846,6),LEN(A846))*0.0137+IFERROR(--RIGHT(B846,6),LEN(B846))*0.0071))*43758.5453,1),"")</f>
        <v/>
      </c>
      <c r="E846" s="0" t="str">
        <f aca="false">IF(C846=1,INT(MOD(ABS(SIN(D846*7919.123+ROW()*0.618+'הדבקת לידים'!$F$2*1.3))*43758.5453,1)*1000000)*10000+ROW(),"")</f>
        <v/>
      </c>
      <c r="F846" s="0" t="str">
        <f aca="false">IF(E846="","",RANK(E846,$E$2:$E$5001,1))</f>
        <v/>
      </c>
      <c r="G846" s="0" t="n">
        <f aca="false">IF(A846="",0,IF(SUMPRODUCT(--($A$2:$A$5001=A846))&gt;1,1,0))</f>
        <v>0</v>
      </c>
      <c r="H846" s="0" t="n">
        <f aca="false">ROW()-1</f>
        <v>845</v>
      </c>
      <c r="I846" s="0" t="str">
        <f aca="false">IF(OR(הגדרות!$E$6=0,H846&gt;הגדרות!$E$5),"",IF(H846-1&lt;הגדרות!$E$8*(הגדרות!$E$7+1),INT((H846-1)/(הגדרות!$E$7+1)),הגדרות!$E$8+INT((H846-1-הגדרות!$E$8*(הגדרות!$E$7+1))/הגדרות!$E$7)))</f>
        <v/>
      </c>
      <c r="J846" s="0" t="str">
        <f aca="false">IF(I846="","",IF(H846-1&lt;הגדרות!$E$8*(הגדרות!$E$7+1),MOD(H846-1,הגדרות!$E$7+1),MOD(H846-1-הגדרות!$E$8*(הגדרות!$E$7+1),הגדרות!$E$7)))</f>
        <v/>
      </c>
      <c r="K846" s="0" t="str">
        <f aca="false">IF(I846="","",J846*הגדרות!$E$6+I846+1)</f>
        <v/>
      </c>
      <c r="L846" s="0" t="str">
        <f aca="false">IF(K846="","",MATCH(K846,$F$2:$F$5001,0))</f>
        <v/>
      </c>
      <c r="M846" s="0" t="str">
        <f aca="false">IF(I846="","",INDEX(הגדרות!$A$2:$A$21,MOD(I846+הגדרות!$E$9,הגדרות!$E$6)+1))</f>
        <v/>
      </c>
    </row>
    <row r="847" customFormat="false" ht="15" hidden="false" customHeight="false" outlineLevel="0" collapsed="false">
      <c r="A847" s="0" t="str">
        <f aca="false">IF('הדבקת לידים'!A847="","",IF(ISNUMBER('הדבקת לידים'!A847),IF(הגדרות!$E$2&gt;0,TEXT('הדבקת לידים'!A847,REPT("0",הגדרות!$E$2)),TEXT('הדבקת לידים'!A847,"0")),TRIM('הדבקת לידים'!A847)))</f>
        <v/>
      </c>
      <c r="B847" s="0" t="str">
        <f aca="false">IF('הדבקת לידים'!B847="","",IF(ISNUMBER('הדבקת לידים'!B847),IF(הגדרות!$E$3&gt;0,TEXT('הדבקת לידים'!B847,REPT("0",הגדרות!$E$3)),TEXT('הדבקת לידים'!B847,"0")),TRIM('הדבקת לידים'!B847)))</f>
        <v/>
      </c>
      <c r="C847" s="0" t="n">
        <f aca="false">IF(OR(A847&lt;&gt;"",B847&lt;&gt;""),1,0)</f>
        <v>0</v>
      </c>
      <c r="D847" s="0" t="str">
        <f aca="false">IF(C847=1,MOD(ABS(SIN(ROW()*12.9898+'הדבקת לידים'!$F$2*78.233+IFERROR(--RIGHT(A847,6),LEN(A847))*0.0137+IFERROR(--RIGHT(B847,6),LEN(B847))*0.0071))*43758.5453,1),"")</f>
        <v/>
      </c>
      <c r="E847" s="0" t="str">
        <f aca="false">IF(C847=1,INT(MOD(ABS(SIN(D847*7919.123+ROW()*0.618+'הדבקת לידים'!$F$2*1.3))*43758.5453,1)*1000000)*10000+ROW(),"")</f>
        <v/>
      </c>
      <c r="F847" s="0" t="str">
        <f aca="false">IF(E847="","",RANK(E847,$E$2:$E$5001,1))</f>
        <v/>
      </c>
      <c r="G847" s="0" t="n">
        <f aca="false">IF(A847="",0,IF(SUMPRODUCT(--($A$2:$A$5001=A847))&gt;1,1,0))</f>
        <v>0</v>
      </c>
      <c r="H847" s="0" t="n">
        <f aca="false">ROW()-1</f>
        <v>846</v>
      </c>
      <c r="I847" s="0" t="str">
        <f aca="false">IF(OR(הגדרות!$E$6=0,H847&gt;הגדרות!$E$5),"",IF(H847-1&lt;הגדרות!$E$8*(הגדרות!$E$7+1),INT((H847-1)/(הגדרות!$E$7+1)),הגדרות!$E$8+INT((H847-1-הגדרות!$E$8*(הגדרות!$E$7+1))/הגדרות!$E$7)))</f>
        <v/>
      </c>
      <c r="J847" s="0" t="str">
        <f aca="false">IF(I847="","",IF(H847-1&lt;הגדרות!$E$8*(הגדרות!$E$7+1),MOD(H847-1,הגדרות!$E$7+1),MOD(H847-1-הגדרות!$E$8*(הגדרות!$E$7+1),הגדרות!$E$7)))</f>
        <v/>
      </c>
      <c r="K847" s="0" t="str">
        <f aca="false">IF(I847="","",J847*הגדרות!$E$6+I847+1)</f>
        <v/>
      </c>
      <c r="L847" s="0" t="str">
        <f aca="false">IF(K847="","",MATCH(K847,$F$2:$F$5001,0))</f>
        <v/>
      </c>
      <c r="M847" s="0" t="str">
        <f aca="false">IF(I847="","",INDEX(הגדרות!$A$2:$A$21,MOD(I847+הגדרות!$E$9,הגדרות!$E$6)+1))</f>
        <v/>
      </c>
    </row>
    <row r="848" customFormat="false" ht="15" hidden="false" customHeight="false" outlineLevel="0" collapsed="false">
      <c r="A848" s="0" t="str">
        <f aca="false">IF('הדבקת לידים'!A848="","",IF(ISNUMBER('הדבקת לידים'!A848),IF(הגדרות!$E$2&gt;0,TEXT('הדבקת לידים'!A848,REPT("0",הגדרות!$E$2)),TEXT('הדבקת לידים'!A848,"0")),TRIM('הדבקת לידים'!A848)))</f>
        <v/>
      </c>
      <c r="B848" s="0" t="str">
        <f aca="false">IF('הדבקת לידים'!B848="","",IF(ISNUMBER('הדבקת לידים'!B848),IF(הגדרות!$E$3&gt;0,TEXT('הדבקת לידים'!B848,REPT("0",הגדרות!$E$3)),TEXT('הדבקת לידים'!B848,"0")),TRIM('הדבקת לידים'!B848)))</f>
        <v/>
      </c>
      <c r="C848" s="0" t="n">
        <f aca="false">IF(OR(A848&lt;&gt;"",B848&lt;&gt;""),1,0)</f>
        <v>0</v>
      </c>
      <c r="D848" s="0" t="str">
        <f aca="false">IF(C848=1,MOD(ABS(SIN(ROW()*12.9898+'הדבקת לידים'!$F$2*78.233+IFERROR(--RIGHT(A848,6),LEN(A848))*0.0137+IFERROR(--RIGHT(B848,6),LEN(B848))*0.0071))*43758.5453,1),"")</f>
        <v/>
      </c>
      <c r="E848" s="0" t="str">
        <f aca="false">IF(C848=1,INT(MOD(ABS(SIN(D848*7919.123+ROW()*0.618+'הדבקת לידים'!$F$2*1.3))*43758.5453,1)*1000000)*10000+ROW(),"")</f>
        <v/>
      </c>
      <c r="F848" s="0" t="str">
        <f aca="false">IF(E848="","",RANK(E848,$E$2:$E$5001,1))</f>
        <v/>
      </c>
      <c r="G848" s="0" t="n">
        <f aca="false">IF(A848="",0,IF(SUMPRODUCT(--($A$2:$A$5001=A848))&gt;1,1,0))</f>
        <v>0</v>
      </c>
      <c r="H848" s="0" t="n">
        <f aca="false">ROW()-1</f>
        <v>847</v>
      </c>
      <c r="I848" s="0" t="str">
        <f aca="false">IF(OR(הגדרות!$E$6=0,H848&gt;הגדרות!$E$5),"",IF(H848-1&lt;הגדרות!$E$8*(הגדרות!$E$7+1),INT((H848-1)/(הגדרות!$E$7+1)),הגדרות!$E$8+INT((H848-1-הגדרות!$E$8*(הגדרות!$E$7+1))/הגדרות!$E$7)))</f>
        <v/>
      </c>
      <c r="J848" s="0" t="str">
        <f aca="false">IF(I848="","",IF(H848-1&lt;הגדרות!$E$8*(הגדרות!$E$7+1),MOD(H848-1,הגדרות!$E$7+1),MOD(H848-1-הגדרות!$E$8*(הגדרות!$E$7+1),הגדרות!$E$7)))</f>
        <v/>
      </c>
      <c r="K848" s="0" t="str">
        <f aca="false">IF(I848="","",J848*הגדרות!$E$6+I848+1)</f>
        <v/>
      </c>
      <c r="L848" s="0" t="str">
        <f aca="false">IF(K848="","",MATCH(K848,$F$2:$F$5001,0))</f>
        <v/>
      </c>
      <c r="M848" s="0" t="str">
        <f aca="false">IF(I848="","",INDEX(הגדרות!$A$2:$A$21,MOD(I848+הגדרות!$E$9,הגדרות!$E$6)+1))</f>
        <v/>
      </c>
    </row>
    <row r="849" customFormat="false" ht="15" hidden="false" customHeight="false" outlineLevel="0" collapsed="false">
      <c r="A849" s="0" t="str">
        <f aca="false">IF('הדבקת לידים'!A849="","",IF(ISNUMBER('הדבקת לידים'!A849),IF(הגדרות!$E$2&gt;0,TEXT('הדבקת לידים'!A849,REPT("0",הגדרות!$E$2)),TEXT('הדבקת לידים'!A849,"0")),TRIM('הדבקת לידים'!A849)))</f>
        <v/>
      </c>
      <c r="B849" s="0" t="str">
        <f aca="false">IF('הדבקת לידים'!B849="","",IF(ISNUMBER('הדבקת לידים'!B849),IF(הגדרות!$E$3&gt;0,TEXT('הדבקת לידים'!B849,REPT("0",הגדרות!$E$3)),TEXT('הדבקת לידים'!B849,"0")),TRIM('הדבקת לידים'!B849)))</f>
        <v/>
      </c>
      <c r="C849" s="0" t="n">
        <f aca="false">IF(OR(A849&lt;&gt;"",B849&lt;&gt;""),1,0)</f>
        <v>0</v>
      </c>
      <c r="D849" s="0" t="str">
        <f aca="false">IF(C849=1,MOD(ABS(SIN(ROW()*12.9898+'הדבקת לידים'!$F$2*78.233+IFERROR(--RIGHT(A849,6),LEN(A849))*0.0137+IFERROR(--RIGHT(B849,6),LEN(B849))*0.0071))*43758.5453,1),"")</f>
        <v/>
      </c>
      <c r="E849" s="0" t="str">
        <f aca="false">IF(C849=1,INT(MOD(ABS(SIN(D849*7919.123+ROW()*0.618+'הדבקת לידים'!$F$2*1.3))*43758.5453,1)*1000000)*10000+ROW(),"")</f>
        <v/>
      </c>
      <c r="F849" s="0" t="str">
        <f aca="false">IF(E849="","",RANK(E849,$E$2:$E$5001,1))</f>
        <v/>
      </c>
      <c r="G849" s="0" t="n">
        <f aca="false">IF(A849="",0,IF(SUMPRODUCT(--($A$2:$A$5001=A849))&gt;1,1,0))</f>
        <v>0</v>
      </c>
      <c r="H849" s="0" t="n">
        <f aca="false">ROW()-1</f>
        <v>848</v>
      </c>
      <c r="I849" s="0" t="str">
        <f aca="false">IF(OR(הגדרות!$E$6=0,H849&gt;הגדרות!$E$5),"",IF(H849-1&lt;הגדרות!$E$8*(הגדרות!$E$7+1),INT((H849-1)/(הגדרות!$E$7+1)),הגדרות!$E$8+INT((H849-1-הגדרות!$E$8*(הגדרות!$E$7+1))/הגדרות!$E$7)))</f>
        <v/>
      </c>
      <c r="J849" s="0" t="str">
        <f aca="false">IF(I849="","",IF(H849-1&lt;הגדרות!$E$8*(הגדרות!$E$7+1),MOD(H849-1,הגדרות!$E$7+1),MOD(H849-1-הגדרות!$E$8*(הגדרות!$E$7+1),הגדרות!$E$7)))</f>
        <v/>
      </c>
      <c r="K849" s="0" t="str">
        <f aca="false">IF(I849="","",J849*הגדרות!$E$6+I849+1)</f>
        <v/>
      </c>
      <c r="L849" s="0" t="str">
        <f aca="false">IF(K849="","",MATCH(K849,$F$2:$F$5001,0))</f>
        <v/>
      </c>
      <c r="M849" s="0" t="str">
        <f aca="false">IF(I849="","",INDEX(הגדרות!$A$2:$A$21,MOD(I849+הגדרות!$E$9,הגדרות!$E$6)+1))</f>
        <v/>
      </c>
    </row>
    <row r="850" customFormat="false" ht="15" hidden="false" customHeight="false" outlineLevel="0" collapsed="false">
      <c r="A850" s="0" t="str">
        <f aca="false">IF('הדבקת לידים'!A850="","",IF(ISNUMBER('הדבקת לידים'!A850),IF(הגדרות!$E$2&gt;0,TEXT('הדבקת לידים'!A850,REPT("0",הגדרות!$E$2)),TEXT('הדבקת לידים'!A850,"0")),TRIM('הדבקת לידים'!A850)))</f>
        <v/>
      </c>
      <c r="B850" s="0" t="str">
        <f aca="false">IF('הדבקת לידים'!B850="","",IF(ISNUMBER('הדבקת לידים'!B850),IF(הגדרות!$E$3&gt;0,TEXT('הדבקת לידים'!B850,REPT("0",הגדרות!$E$3)),TEXT('הדבקת לידים'!B850,"0")),TRIM('הדבקת לידים'!B850)))</f>
        <v/>
      </c>
      <c r="C850" s="0" t="n">
        <f aca="false">IF(OR(A850&lt;&gt;"",B850&lt;&gt;""),1,0)</f>
        <v>0</v>
      </c>
      <c r="D850" s="0" t="str">
        <f aca="false">IF(C850=1,MOD(ABS(SIN(ROW()*12.9898+'הדבקת לידים'!$F$2*78.233+IFERROR(--RIGHT(A850,6),LEN(A850))*0.0137+IFERROR(--RIGHT(B850,6),LEN(B850))*0.0071))*43758.5453,1),"")</f>
        <v/>
      </c>
      <c r="E850" s="0" t="str">
        <f aca="false">IF(C850=1,INT(MOD(ABS(SIN(D850*7919.123+ROW()*0.618+'הדבקת לידים'!$F$2*1.3))*43758.5453,1)*1000000)*10000+ROW(),"")</f>
        <v/>
      </c>
      <c r="F850" s="0" t="str">
        <f aca="false">IF(E850="","",RANK(E850,$E$2:$E$5001,1))</f>
        <v/>
      </c>
      <c r="G850" s="0" t="n">
        <f aca="false">IF(A850="",0,IF(SUMPRODUCT(--($A$2:$A$5001=A850))&gt;1,1,0))</f>
        <v>0</v>
      </c>
      <c r="H850" s="0" t="n">
        <f aca="false">ROW()-1</f>
        <v>849</v>
      </c>
      <c r="I850" s="0" t="str">
        <f aca="false">IF(OR(הגדרות!$E$6=0,H850&gt;הגדרות!$E$5),"",IF(H850-1&lt;הגדרות!$E$8*(הגדרות!$E$7+1),INT((H850-1)/(הגדרות!$E$7+1)),הגדרות!$E$8+INT((H850-1-הגדרות!$E$8*(הגדרות!$E$7+1))/הגדרות!$E$7)))</f>
        <v/>
      </c>
      <c r="J850" s="0" t="str">
        <f aca="false">IF(I850="","",IF(H850-1&lt;הגדרות!$E$8*(הגדרות!$E$7+1),MOD(H850-1,הגדרות!$E$7+1),MOD(H850-1-הגדרות!$E$8*(הגדרות!$E$7+1),הגדרות!$E$7)))</f>
        <v/>
      </c>
      <c r="K850" s="0" t="str">
        <f aca="false">IF(I850="","",J850*הגדרות!$E$6+I850+1)</f>
        <v/>
      </c>
      <c r="L850" s="0" t="str">
        <f aca="false">IF(K850="","",MATCH(K850,$F$2:$F$5001,0))</f>
        <v/>
      </c>
      <c r="M850" s="0" t="str">
        <f aca="false">IF(I850="","",INDEX(הגדרות!$A$2:$A$21,MOD(I850+הגדרות!$E$9,הגדרות!$E$6)+1))</f>
        <v/>
      </c>
    </row>
    <row r="851" customFormat="false" ht="15" hidden="false" customHeight="false" outlineLevel="0" collapsed="false">
      <c r="A851" s="0" t="str">
        <f aca="false">IF('הדבקת לידים'!A851="","",IF(ISNUMBER('הדבקת לידים'!A851),IF(הגדרות!$E$2&gt;0,TEXT('הדבקת לידים'!A851,REPT("0",הגדרות!$E$2)),TEXT('הדבקת לידים'!A851,"0")),TRIM('הדבקת לידים'!A851)))</f>
        <v/>
      </c>
      <c r="B851" s="0" t="str">
        <f aca="false">IF('הדבקת לידים'!B851="","",IF(ISNUMBER('הדבקת לידים'!B851),IF(הגדרות!$E$3&gt;0,TEXT('הדבקת לידים'!B851,REPT("0",הגדרות!$E$3)),TEXT('הדבקת לידים'!B851,"0")),TRIM('הדבקת לידים'!B851)))</f>
        <v/>
      </c>
      <c r="C851" s="0" t="n">
        <f aca="false">IF(OR(A851&lt;&gt;"",B851&lt;&gt;""),1,0)</f>
        <v>0</v>
      </c>
      <c r="D851" s="0" t="str">
        <f aca="false">IF(C851=1,MOD(ABS(SIN(ROW()*12.9898+'הדבקת לידים'!$F$2*78.233+IFERROR(--RIGHT(A851,6),LEN(A851))*0.0137+IFERROR(--RIGHT(B851,6),LEN(B851))*0.0071))*43758.5453,1),"")</f>
        <v/>
      </c>
      <c r="E851" s="0" t="str">
        <f aca="false">IF(C851=1,INT(MOD(ABS(SIN(D851*7919.123+ROW()*0.618+'הדבקת לידים'!$F$2*1.3))*43758.5453,1)*1000000)*10000+ROW(),"")</f>
        <v/>
      </c>
      <c r="F851" s="0" t="str">
        <f aca="false">IF(E851="","",RANK(E851,$E$2:$E$5001,1))</f>
        <v/>
      </c>
      <c r="G851" s="0" t="n">
        <f aca="false">IF(A851="",0,IF(SUMPRODUCT(--($A$2:$A$5001=A851))&gt;1,1,0))</f>
        <v>0</v>
      </c>
      <c r="H851" s="0" t="n">
        <f aca="false">ROW()-1</f>
        <v>850</v>
      </c>
      <c r="I851" s="0" t="str">
        <f aca="false">IF(OR(הגדרות!$E$6=0,H851&gt;הגדרות!$E$5),"",IF(H851-1&lt;הגדרות!$E$8*(הגדרות!$E$7+1),INT((H851-1)/(הגדרות!$E$7+1)),הגדרות!$E$8+INT((H851-1-הגדרות!$E$8*(הגדרות!$E$7+1))/הגדרות!$E$7)))</f>
        <v/>
      </c>
      <c r="J851" s="0" t="str">
        <f aca="false">IF(I851="","",IF(H851-1&lt;הגדרות!$E$8*(הגדרות!$E$7+1),MOD(H851-1,הגדרות!$E$7+1),MOD(H851-1-הגדרות!$E$8*(הגדרות!$E$7+1),הגדרות!$E$7)))</f>
        <v/>
      </c>
      <c r="K851" s="0" t="str">
        <f aca="false">IF(I851="","",J851*הגדרות!$E$6+I851+1)</f>
        <v/>
      </c>
      <c r="L851" s="0" t="str">
        <f aca="false">IF(K851="","",MATCH(K851,$F$2:$F$5001,0))</f>
        <v/>
      </c>
      <c r="M851" s="0" t="str">
        <f aca="false">IF(I851="","",INDEX(הגדרות!$A$2:$A$21,MOD(I851+הגדרות!$E$9,הגדרות!$E$6)+1))</f>
        <v/>
      </c>
    </row>
    <row r="852" customFormat="false" ht="15" hidden="false" customHeight="false" outlineLevel="0" collapsed="false">
      <c r="A852" s="0" t="str">
        <f aca="false">IF('הדבקת לידים'!A852="","",IF(ISNUMBER('הדבקת לידים'!A852),IF(הגדרות!$E$2&gt;0,TEXT('הדבקת לידים'!A852,REPT("0",הגדרות!$E$2)),TEXT('הדבקת לידים'!A852,"0")),TRIM('הדבקת לידים'!A852)))</f>
        <v/>
      </c>
      <c r="B852" s="0" t="str">
        <f aca="false">IF('הדבקת לידים'!B852="","",IF(ISNUMBER('הדבקת לידים'!B852),IF(הגדרות!$E$3&gt;0,TEXT('הדבקת לידים'!B852,REPT("0",הגדרות!$E$3)),TEXT('הדבקת לידים'!B852,"0")),TRIM('הדבקת לידים'!B852)))</f>
        <v/>
      </c>
      <c r="C852" s="0" t="n">
        <f aca="false">IF(OR(A852&lt;&gt;"",B852&lt;&gt;""),1,0)</f>
        <v>0</v>
      </c>
      <c r="D852" s="0" t="str">
        <f aca="false">IF(C852=1,MOD(ABS(SIN(ROW()*12.9898+'הדבקת לידים'!$F$2*78.233+IFERROR(--RIGHT(A852,6),LEN(A852))*0.0137+IFERROR(--RIGHT(B852,6),LEN(B852))*0.0071))*43758.5453,1),"")</f>
        <v/>
      </c>
      <c r="E852" s="0" t="str">
        <f aca="false">IF(C852=1,INT(MOD(ABS(SIN(D852*7919.123+ROW()*0.618+'הדבקת לידים'!$F$2*1.3))*43758.5453,1)*1000000)*10000+ROW(),"")</f>
        <v/>
      </c>
      <c r="F852" s="0" t="str">
        <f aca="false">IF(E852="","",RANK(E852,$E$2:$E$5001,1))</f>
        <v/>
      </c>
      <c r="G852" s="0" t="n">
        <f aca="false">IF(A852="",0,IF(SUMPRODUCT(--($A$2:$A$5001=A852))&gt;1,1,0))</f>
        <v>0</v>
      </c>
      <c r="H852" s="0" t="n">
        <f aca="false">ROW()-1</f>
        <v>851</v>
      </c>
      <c r="I852" s="0" t="str">
        <f aca="false">IF(OR(הגדרות!$E$6=0,H852&gt;הגדרות!$E$5),"",IF(H852-1&lt;הגדרות!$E$8*(הגדרות!$E$7+1),INT((H852-1)/(הגדרות!$E$7+1)),הגדרות!$E$8+INT((H852-1-הגדרות!$E$8*(הגדרות!$E$7+1))/הגדרות!$E$7)))</f>
        <v/>
      </c>
      <c r="J852" s="0" t="str">
        <f aca="false">IF(I852="","",IF(H852-1&lt;הגדרות!$E$8*(הגדרות!$E$7+1),MOD(H852-1,הגדרות!$E$7+1),MOD(H852-1-הגדרות!$E$8*(הגדרות!$E$7+1),הגדרות!$E$7)))</f>
        <v/>
      </c>
      <c r="K852" s="0" t="str">
        <f aca="false">IF(I852="","",J852*הגדרות!$E$6+I852+1)</f>
        <v/>
      </c>
      <c r="L852" s="0" t="str">
        <f aca="false">IF(K852="","",MATCH(K852,$F$2:$F$5001,0))</f>
        <v/>
      </c>
      <c r="M852" s="0" t="str">
        <f aca="false">IF(I852="","",INDEX(הגדרות!$A$2:$A$21,MOD(I852+הגדרות!$E$9,הגדרות!$E$6)+1))</f>
        <v/>
      </c>
    </row>
    <row r="853" customFormat="false" ht="15" hidden="false" customHeight="false" outlineLevel="0" collapsed="false">
      <c r="A853" s="0" t="str">
        <f aca="false">IF('הדבקת לידים'!A853="","",IF(ISNUMBER('הדבקת לידים'!A853),IF(הגדרות!$E$2&gt;0,TEXT('הדבקת לידים'!A853,REPT("0",הגדרות!$E$2)),TEXT('הדבקת לידים'!A853,"0")),TRIM('הדבקת לידים'!A853)))</f>
        <v/>
      </c>
      <c r="B853" s="0" t="str">
        <f aca="false">IF('הדבקת לידים'!B853="","",IF(ISNUMBER('הדבקת לידים'!B853),IF(הגדרות!$E$3&gt;0,TEXT('הדבקת לידים'!B853,REPT("0",הגדרות!$E$3)),TEXT('הדבקת לידים'!B853,"0")),TRIM('הדבקת לידים'!B853)))</f>
        <v/>
      </c>
      <c r="C853" s="0" t="n">
        <f aca="false">IF(OR(A853&lt;&gt;"",B853&lt;&gt;""),1,0)</f>
        <v>0</v>
      </c>
      <c r="D853" s="0" t="str">
        <f aca="false">IF(C853=1,MOD(ABS(SIN(ROW()*12.9898+'הדבקת לידים'!$F$2*78.233+IFERROR(--RIGHT(A853,6),LEN(A853))*0.0137+IFERROR(--RIGHT(B853,6),LEN(B853))*0.0071))*43758.5453,1),"")</f>
        <v/>
      </c>
      <c r="E853" s="0" t="str">
        <f aca="false">IF(C853=1,INT(MOD(ABS(SIN(D853*7919.123+ROW()*0.618+'הדבקת לידים'!$F$2*1.3))*43758.5453,1)*1000000)*10000+ROW(),"")</f>
        <v/>
      </c>
      <c r="F853" s="0" t="str">
        <f aca="false">IF(E853="","",RANK(E853,$E$2:$E$5001,1))</f>
        <v/>
      </c>
      <c r="G853" s="0" t="n">
        <f aca="false">IF(A853="",0,IF(SUMPRODUCT(--($A$2:$A$5001=A853))&gt;1,1,0))</f>
        <v>0</v>
      </c>
      <c r="H853" s="0" t="n">
        <f aca="false">ROW()-1</f>
        <v>852</v>
      </c>
      <c r="I853" s="0" t="str">
        <f aca="false">IF(OR(הגדרות!$E$6=0,H853&gt;הגדרות!$E$5),"",IF(H853-1&lt;הגדרות!$E$8*(הגדרות!$E$7+1),INT((H853-1)/(הגדרות!$E$7+1)),הגדרות!$E$8+INT((H853-1-הגדרות!$E$8*(הגדרות!$E$7+1))/הגדרות!$E$7)))</f>
        <v/>
      </c>
      <c r="J853" s="0" t="str">
        <f aca="false">IF(I853="","",IF(H853-1&lt;הגדרות!$E$8*(הגדרות!$E$7+1),MOD(H853-1,הגדרות!$E$7+1),MOD(H853-1-הגדרות!$E$8*(הגדרות!$E$7+1),הגדרות!$E$7)))</f>
        <v/>
      </c>
      <c r="K853" s="0" t="str">
        <f aca="false">IF(I853="","",J853*הגדרות!$E$6+I853+1)</f>
        <v/>
      </c>
      <c r="L853" s="0" t="str">
        <f aca="false">IF(K853="","",MATCH(K853,$F$2:$F$5001,0))</f>
        <v/>
      </c>
      <c r="M853" s="0" t="str">
        <f aca="false">IF(I853="","",INDEX(הגדרות!$A$2:$A$21,MOD(I853+הגדרות!$E$9,הגדרות!$E$6)+1))</f>
        <v/>
      </c>
    </row>
    <row r="854" customFormat="false" ht="15" hidden="false" customHeight="false" outlineLevel="0" collapsed="false">
      <c r="A854" s="0" t="str">
        <f aca="false">IF('הדבקת לידים'!A854="","",IF(ISNUMBER('הדבקת לידים'!A854),IF(הגדרות!$E$2&gt;0,TEXT('הדבקת לידים'!A854,REPT("0",הגדרות!$E$2)),TEXT('הדבקת לידים'!A854,"0")),TRIM('הדבקת לידים'!A854)))</f>
        <v/>
      </c>
      <c r="B854" s="0" t="str">
        <f aca="false">IF('הדבקת לידים'!B854="","",IF(ISNUMBER('הדבקת לידים'!B854),IF(הגדרות!$E$3&gt;0,TEXT('הדבקת לידים'!B854,REPT("0",הגדרות!$E$3)),TEXT('הדבקת לידים'!B854,"0")),TRIM('הדבקת לידים'!B854)))</f>
        <v/>
      </c>
      <c r="C854" s="0" t="n">
        <f aca="false">IF(OR(A854&lt;&gt;"",B854&lt;&gt;""),1,0)</f>
        <v>0</v>
      </c>
      <c r="D854" s="0" t="str">
        <f aca="false">IF(C854=1,MOD(ABS(SIN(ROW()*12.9898+'הדבקת לידים'!$F$2*78.233+IFERROR(--RIGHT(A854,6),LEN(A854))*0.0137+IFERROR(--RIGHT(B854,6),LEN(B854))*0.0071))*43758.5453,1),"")</f>
        <v/>
      </c>
      <c r="E854" s="0" t="str">
        <f aca="false">IF(C854=1,INT(MOD(ABS(SIN(D854*7919.123+ROW()*0.618+'הדבקת לידים'!$F$2*1.3))*43758.5453,1)*1000000)*10000+ROW(),"")</f>
        <v/>
      </c>
      <c r="F854" s="0" t="str">
        <f aca="false">IF(E854="","",RANK(E854,$E$2:$E$5001,1))</f>
        <v/>
      </c>
      <c r="G854" s="0" t="n">
        <f aca="false">IF(A854="",0,IF(SUMPRODUCT(--($A$2:$A$5001=A854))&gt;1,1,0))</f>
        <v>0</v>
      </c>
      <c r="H854" s="0" t="n">
        <f aca="false">ROW()-1</f>
        <v>853</v>
      </c>
      <c r="I854" s="0" t="str">
        <f aca="false">IF(OR(הגדרות!$E$6=0,H854&gt;הגדרות!$E$5),"",IF(H854-1&lt;הגדרות!$E$8*(הגדרות!$E$7+1),INT((H854-1)/(הגדרות!$E$7+1)),הגדרות!$E$8+INT((H854-1-הגדרות!$E$8*(הגדרות!$E$7+1))/הגדרות!$E$7)))</f>
        <v/>
      </c>
      <c r="J854" s="0" t="str">
        <f aca="false">IF(I854="","",IF(H854-1&lt;הגדרות!$E$8*(הגדרות!$E$7+1),MOD(H854-1,הגדרות!$E$7+1),MOD(H854-1-הגדרות!$E$8*(הגדרות!$E$7+1),הגדרות!$E$7)))</f>
        <v/>
      </c>
      <c r="K854" s="0" t="str">
        <f aca="false">IF(I854="","",J854*הגדרות!$E$6+I854+1)</f>
        <v/>
      </c>
      <c r="L854" s="0" t="str">
        <f aca="false">IF(K854="","",MATCH(K854,$F$2:$F$5001,0))</f>
        <v/>
      </c>
      <c r="M854" s="0" t="str">
        <f aca="false">IF(I854="","",INDEX(הגדרות!$A$2:$A$21,MOD(I854+הגדרות!$E$9,הגדרות!$E$6)+1))</f>
        <v/>
      </c>
    </row>
    <row r="855" customFormat="false" ht="15" hidden="false" customHeight="false" outlineLevel="0" collapsed="false">
      <c r="A855" s="0" t="str">
        <f aca="false">IF('הדבקת לידים'!A855="","",IF(ISNUMBER('הדבקת לידים'!A855),IF(הגדרות!$E$2&gt;0,TEXT('הדבקת לידים'!A855,REPT("0",הגדרות!$E$2)),TEXT('הדבקת לידים'!A855,"0")),TRIM('הדבקת לידים'!A855)))</f>
        <v/>
      </c>
      <c r="B855" s="0" t="str">
        <f aca="false">IF('הדבקת לידים'!B855="","",IF(ISNUMBER('הדבקת לידים'!B855),IF(הגדרות!$E$3&gt;0,TEXT('הדבקת לידים'!B855,REPT("0",הגדרות!$E$3)),TEXT('הדבקת לידים'!B855,"0")),TRIM('הדבקת לידים'!B855)))</f>
        <v/>
      </c>
      <c r="C855" s="0" t="n">
        <f aca="false">IF(OR(A855&lt;&gt;"",B855&lt;&gt;""),1,0)</f>
        <v>0</v>
      </c>
      <c r="D855" s="0" t="str">
        <f aca="false">IF(C855=1,MOD(ABS(SIN(ROW()*12.9898+'הדבקת לידים'!$F$2*78.233+IFERROR(--RIGHT(A855,6),LEN(A855))*0.0137+IFERROR(--RIGHT(B855,6),LEN(B855))*0.0071))*43758.5453,1),"")</f>
        <v/>
      </c>
      <c r="E855" s="0" t="str">
        <f aca="false">IF(C855=1,INT(MOD(ABS(SIN(D855*7919.123+ROW()*0.618+'הדבקת לידים'!$F$2*1.3))*43758.5453,1)*1000000)*10000+ROW(),"")</f>
        <v/>
      </c>
      <c r="F855" s="0" t="str">
        <f aca="false">IF(E855="","",RANK(E855,$E$2:$E$5001,1))</f>
        <v/>
      </c>
      <c r="G855" s="0" t="n">
        <f aca="false">IF(A855="",0,IF(SUMPRODUCT(--($A$2:$A$5001=A855))&gt;1,1,0))</f>
        <v>0</v>
      </c>
      <c r="H855" s="0" t="n">
        <f aca="false">ROW()-1</f>
        <v>854</v>
      </c>
      <c r="I855" s="0" t="str">
        <f aca="false">IF(OR(הגדרות!$E$6=0,H855&gt;הגדרות!$E$5),"",IF(H855-1&lt;הגדרות!$E$8*(הגדרות!$E$7+1),INT((H855-1)/(הגדרות!$E$7+1)),הגדרות!$E$8+INT((H855-1-הגדרות!$E$8*(הגדרות!$E$7+1))/הגדרות!$E$7)))</f>
        <v/>
      </c>
      <c r="J855" s="0" t="str">
        <f aca="false">IF(I855="","",IF(H855-1&lt;הגדרות!$E$8*(הגדרות!$E$7+1),MOD(H855-1,הגדרות!$E$7+1),MOD(H855-1-הגדרות!$E$8*(הגדרות!$E$7+1),הגדרות!$E$7)))</f>
        <v/>
      </c>
      <c r="K855" s="0" t="str">
        <f aca="false">IF(I855="","",J855*הגדרות!$E$6+I855+1)</f>
        <v/>
      </c>
      <c r="L855" s="0" t="str">
        <f aca="false">IF(K855="","",MATCH(K855,$F$2:$F$5001,0))</f>
        <v/>
      </c>
      <c r="M855" s="0" t="str">
        <f aca="false">IF(I855="","",INDEX(הגדרות!$A$2:$A$21,MOD(I855+הגדרות!$E$9,הגדרות!$E$6)+1))</f>
        <v/>
      </c>
    </row>
    <row r="856" customFormat="false" ht="15" hidden="false" customHeight="false" outlineLevel="0" collapsed="false">
      <c r="A856" s="0" t="str">
        <f aca="false">IF('הדבקת לידים'!A856="","",IF(ISNUMBER('הדבקת לידים'!A856),IF(הגדרות!$E$2&gt;0,TEXT('הדבקת לידים'!A856,REPT("0",הגדרות!$E$2)),TEXT('הדבקת לידים'!A856,"0")),TRIM('הדבקת לידים'!A856)))</f>
        <v/>
      </c>
      <c r="B856" s="0" t="str">
        <f aca="false">IF('הדבקת לידים'!B856="","",IF(ISNUMBER('הדבקת לידים'!B856),IF(הגדרות!$E$3&gt;0,TEXT('הדבקת לידים'!B856,REPT("0",הגדרות!$E$3)),TEXT('הדבקת לידים'!B856,"0")),TRIM('הדבקת לידים'!B856)))</f>
        <v/>
      </c>
      <c r="C856" s="0" t="n">
        <f aca="false">IF(OR(A856&lt;&gt;"",B856&lt;&gt;""),1,0)</f>
        <v>0</v>
      </c>
      <c r="D856" s="0" t="str">
        <f aca="false">IF(C856=1,MOD(ABS(SIN(ROW()*12.9898+'הדבקת לידים'!$F$2*78.233+IFERROR(--RIGHT(A856,6),LEN(A856))*0.0137+IFERROR(--RIGHT(B856,6),LEN(B856))*0.0071))*43758.5453,1),"")</f>
        <v/>
      </c>
      <c r="E856" s="0" t="str">
        <f aca="false">IF(C856=1,INT(MOD(ABS(SIN(D856*7919.123+ROW()*0.618+'הדבקת לידים'!$F$2*1.3))*43758.5453,1)*1000000)*10000+ROW(),"")</f>
        <v/>
      </c>
      <c r="F856" s="0" t="str">
        <f aca="false">IF(E856="","",RANK(E856,$E$2:$E$5001,1))</f>
        <v/>
      </c>
      <c r="G856" s="0" t="n">
        <f aca="false">IF(A856="",0,IF(SUMPRODUCT(--($A$2:$A$5001=A856))&gt;1,1,0))</f>
        <v>0</v>
      </c>
      <c r="H856" s="0" t="n">
        <f aca="false">ROW()-1</f>
        <v>855</v>
      </c>
      <c r="I856" s="0" t="str">
        <f aca="false">IF(OR(הגדרות!$E$6=0,H856&gt;הגדרות!$E$5),"",IF(H856-1&lt;הגדרות!$E$8*(הגדרות!$E$7+1),INT((H856-1)/(הגדרות!$E$7+1)),הגדרות!$E$8+INT((H856-1-הגדרות!$E$8*(הגדרות!$E$7+1))/הגדרות!$E$7)))</f>
        <v/>
      </c>
      <c r="J856" s="0" t="str">
        <f aca="false">IF(I856="","",IF(H856-1&lt;הגדרות!$E$8*(הגדרות!$E$7+1),MOD(H856-1,הגדרות!$E$7+1),MOD(H856-1-הגדרות!$E$8*(הגדרות!$E$7+1),הגדרות!$E$7)))</f>
        <v/>
      </c>
      <c r="K856" s="0" t="str">
        <f aca="false">IF(I856="","",J856*הגדרות!$E$6+I856+1)</f>
        <v/>
      </c>
      <c r="L856" s="0" t="str">
        <f aca="false">IF(K856="","",MATCH(K856,$F$2:$F$5001,0))</f>
        <v/>
      </c>
      <c r="M856" s="0" t="str">
        <f aca="false">IF(I856="","",INDEX(הגדרות!$A$2:$A$21,MOD(I856+הגדרות!$E$9,הגדרות!$E$6)+1))</f>
        <v/>
      </c>
    </row>
    <row r="857" customFormat="false" ht="15" hidden="false" customHeight="false" outlineLevel="0" collapsed="false">
      <c r="A857" s="0" t="str">
        <f aca="false">IF('הדבקת לידים'!A857="","",IF(ISNUMBER('הדבקת לידים'!A857),IF(הגדרות!$E$2&gt;0,TEXT('הדבקת לידים'!A857,REPT("0",הגדרות!$E$2)),TEXT('הדבקת לידים'!A857,"0")),TRIM('הדבקת לידים'!A857)))</f>
        <v/>
      </c>
      <c r="B857" s="0" t="str">
        <f aca="false">IF('הדבקת לידים'!B857="","",IF(ISNUMBER('הדבקת לידים'!B857),IF(הגדרות!$E$3&gt;0,TEXT('הדבקת לידים'!B857,REPT("0",הגדרות!$E$3)),TEXT('הדבקת לידים'!B857,"0")),TRIM('הדבקת לידים'!B857)))</f>
        <v/>
      </c>
      <c r="C857" s="0" t="n">
        <f aca="false">IF(OR(A857&lt;&gt;"",B857&lt;&gt;""),1,0)</f>
        <v>0</v>
      </c>
      <c r="D857" s="0" t="str">
        <f aca="false">IF(C857=1,MOD(ABS(SIN(ROW()*12.9898+'הדבקת לידים'!$F$2*78.233+IFERROR(--RIGHT(A857,6),LEN(A857))*0.0137+IFERROR(--RIGHT(B857,6),LEN(B857))*0.0071))*43758.5453,1),"")</f>
        <v/>
      </c>
      <c r="E857" s="0" t="str">
        <f aca="false">IF(C857=1,INT(MOD(ABS(SIN(D857*7919.123+ROW()*0.618+'הדבקת לידים'!$F$2*1.3))*43758.5453,1)*1000000)*10000+ROW(),"")</f>
        <v/>
      </c>
      <c r="F857" s="0" t="str">
        <f aca="false">IF(E857="","",RANK(E857,$E$2:$E$5001,1))</f>
        <v/>
      </c>
      <c r="G857" s="0" t="n">
        <f aca="false">IF(A857="",0,IF(SUMPRODUCT(--($A$2:$A$5001=A857))&gt;1,1,0))</f>
        <v>0</v>
      </c>
      <c r="H857" s="0" t="n">
        <f aca="false">ROW()-1</f>
        <v>856</v>
      </c>
      <c r="I857" s="0" t="str">
        <f aca="false">IF(OR(הגדרות!$E$6=0,H857&gt;הגדרות!$E$5),"",IF(H857-1&lt;הגדרות!$E$8*(הגדרות!$E$7+1),INT((H857-1)/(הגדרות!$E$7+1)),הגדרות!$E$8+INT((H857-1-הגדרות!$E$8*(הגדרות!$E$7+1))/הגדרות!$E$7)))</f>
        <v/>
      </c>
      <c r="J857" s="0" t="str">
        <f aca="false">IF(I857="","",IF(H857-1&lt;הגדרות!$E$8*(הגדרות!$E$7+1),MOD(H857-1,הגדרות!$E$7+1),MOD(H857-1-הגדרות!$E$8*(הגדרות!$E$7+1),הגדרות!$E$7)))</f>
        <v/>
      </c>
      <c r="K857" s="0" t="str">
        <f aca="false">IF(I857="","",J857*הגדרות!$E$6+I857+1)</f>
        <v/>
      </c>
      <c r="L857" s="0" t="str">
        <f aca="false">IF(K857="","",MATCH(K857,$F$2:$F$5001,0))</f>
        <v/>
      </c>
      <c r="M857" s="0" t="str">
        <f aca="false">IF(I857="","",INDEX(הגדרות!$A$2:$A$21,MOD(I857+הגדרות!$E$9,הגדרות!$E$6)+1))</f>
        <v/>
      </c>
    </row>
    <row r="858" customFormat="false" ht="15" hidden="false" customHeight="false" outlineLevel="0" collapsed="false">
      <c r="A858" s="0" t="str">
        <f aca="false">IF('הדבקת לידים'!A858="","",IF(ISNUMBER('הדבקת לידים'!A858),IF(הגדרות!$E$2&gt;0,TEXT('הדבקת לידים'!A858,REPT("0",הגדרות!$E$2)),TEXT('הדבקת לידים'!A858,"0")),TRIM('הדבקת לידים'!A858)))</f>
        <v/>
      </c>
      <c r="B858" s="0" t="str">
        <f aca="false">IF('הדבקת לידים'!B858="","",IF(ISNUMBER('הדבקת לידים'!B858),IF(הגדרות!$E$3&gt;0,TEXT('הדבקת לידים'!B858,REPT("0",הגדרות!$E$3)),TEXT('הדבקת לידים'!B858,"0")),TRIM('הדבקת לידים'!B858)))</f>
        <v/>
      </c>
      <c r="C858" s="0" t="n">
        <f aca="false">IF(OR(A858&lt;&gt;"",B858&lt;&gt;""),1,0)</f>
        <v>0</v>
      </c>
      <c r="D858" s="0" t="str">
        <f aca="false">IF(C858=1,MOD(ABS(SIN(ROW()*12.9898+'הדבקת לידים'!$F$2*78.233+IFERROR(--RIGHT(A858,6),LEN(A858))*0.0137+IFERROR(--RIGHT(B858,6),LEN(B858))*0.0071))*43758.5453,1),"")</f>
        <v/>
      </c>
      <c r="E858" s="0" t="str">
        <f aca="false">IF(C858=1,INT(MOD(ABS(SIN(D858*7919.123+ROW()*0.618+'הדבקת לידים'!$F$2*1.3))*43758.5453,1)*1000000)*10000+ROW(),"")</f>
        <v/>
      </c>
      <c r="F858" s="0" t="str">
        <f aca="false">IF(E858="","",RANK(E858,$E$2:$E$5001,1))</f>
        <v/>
      </c>
      <c r="G858" s="0" t="n">
        <f aca="false">IF(A858="",0,IF(SUMPRODUCT(--($A$2:$A$5001=A858))&gt;1,1,0))</f>
        <v>0</v>
      </c>
      <c r="H858" s="0" t="n">
        <f aca="false">ROW()-1</f>
        <v>857</v>
      </c>
      <c r="I858" s="0" t="str">
        <f aca="false">IF(OR(הגדרות!$E$6=0,H858&gt;הגדרות!$E$5),"",IF(H858-1&lt;הגדרות!$E$8*(הגדרות!$E$7+1),INT((H858-1)/(הגדרות!$E$7+1)),הגדרות!$E$8+INT((H858-1-הגדרות!$E$8*(הגדרות!$E$7+1))/הגדרות!$E$7)))</f>
        <v/>
      </c>
      <c r="J858" s="0" t="str">
        <f aca="false">IF(I858="","",IF(H858-1&lt;הגדרות!$E$8*(הגדרות!$E$7+1),MOD(H858-1,הגדרות!$E$7+1),MOD(H858-1-הגדרות!$E$8*(הגדרות!$E$7+1),הגדרות!$E$7)))</f>
        <v/>
      </c>
      <c r="K858" s="0" t="str">
        <f aca="false">IF(I858="","",J858*הגדרות!$E$6+I858+1)</f>
        <v/>
      </c>
      <c r="L858" s="0" t="str">
        <f aca="false">IF(K858="","",MATCH(K858,$F$2:$F$5001,0))</f>
        <v/>
      </c>
      <c r="M858" s="0" t="str">
        <f aca="false">IF(I858="","",INDEX(הגדרות!$A$2:$A$21,MOD(I858+הגדרות!$E$9,הגדרות!$E$6)+1))</f>
        <v/>
      </c>
    </row>
    <row r="859" customFormat="false" ht="15" hidden="false" customHeight="false" outlineLevel="0" collapsed="false">
      <c r="A859" s="0" t="str">
        <f aca="false">IF('הדבקת לידים'!A859="","",IF(ISNUMBER('הדבקת לידים'!A859),IF(הגדרות!$E$2&gt;0,TEXT('הדבקת לידים'!A859,REPT("0",הגדרות!$E$2)),TEXT('הדבקת לידים'!A859,"0")),TRIM('הדבקת לידים'!A859)))</f>
        <v/>
      </c>
      <c r="B859" s="0" t="str">
        <f aca="false">IF('הדבקת לידים'!B859="","",IF(ISNUMBER('הדבקת לידים'!B859),IF(הגדרות!$E$3&gt;0,TEXT('הדבקת לידים'!B859,REPT("0",הגדרות!$E$3)),TEXT('הדבקת לידים'!B859,"0")),TRIM('הדבקת לידים'!B859)))</f>
        <v/>
      </c>
      <c r="C859" s="0" t="n">
        <f aca="false">IF(OR(A859&lt;&gt;"",B859&lt;&gt;""),1,0)</f>
        <v>0</v>
      </c>
      <c r="D859" s="0" t="str">
        <f aca="false">IF(C859=1,MOD(ABS(SIN(ROW()*12.9898+'הדבקת לידים'!$F$2*78.233+IFERROR(--RIGHT(A859,6),LEN(A859))*0.0137+IFERROR(--RIGHT(B859,6),LEN(B859))*0.0071))*43758.5453,1),"")</f>
        <v/>
      </c>
      <c r="E859" s="0" t="str">
        <f aca="false">IF(C859=1,INT(MOD(ABS(SIN(D859*7919.123+ROW()*0.618+'הדבקת לידים'!$F$2*1.3))*43758.5453,1)*1000000)*10000+ROW(),"")</f>
        <v/>
      </c>
      <c r="F859" s="0" t="str">
        <f aca="false">IF(E859="","",RANK(E859,$E$2:$E$5001,1))</f>
        <v/>
      </c>
      <c r="G859" s="0" t="n">
        <f aca="false">IF(A859="",0,IF(SUMPRODUCT(--($A$2:$A$5001=A859))&gt;1,1,0))</f>
        <v>0</v>
      </c>
      <c r="H859" s="0" t="n">
        <f aca="false">ROW()-1</f>
        <v>858</v>
      </c>
      <c r="I859" s="0" t="str">
        <f aca="false">IF(OR(הגדרות!$E$6=0,H859&gt;הגדרות!$E$5),"",IF(H859-1&lt;הגדרות!$E$8*(הגדרות!$E$7+1),INT((H859-1)/(הגדרות!$E$7+1)),הגדרות!$E$8+INT((H859-1-הגדרות!$E$8*(הגדרות!$E$7+1))/הגדרות!$E$7)))</f>
        <v/>
      </c>
      <c r="J859" s="0" t="str">
        <f aca="false">IF(I859="","",IF(H859-1&lt;הגדרות!$E$8*(הגדרות!$E$7+1),MOD(H859-1,הגדרות!$E$7+1),MOD(H859-1-הגדרות!$E$8*(הגדרות!$E$7+1),הגדרות!$E$7)))</f>
        <v/>
      </c>
      <c r="K859" s="0" t="str">
        <f aca="false">IF(I859="","",J859*הגדרות!$E$6+I859+1)</f>
        <v/>
      </c>
      <c r="L859" s="0" t="str">
        <f aca="false">IF(K859="","",MATCH(K859,$F$2:$F$5001,0))</f>
        <v/>
      </c>
      <c r="M859" s="0" t="str">
        <f aca="false">IF(I859="","",INDEX(הגדרות!$A$2:$A$21,MOD(I859+הגדרות!$E$9,הגדרות!$E$6)+1))</f>
        <v/>
      </c>
    </row>
    <row r="860" customFormat="false" ht="15" hidden="false" customHeight="false" outlineLevel="0" collapsed="false">
      <c r="A860" s="0" t="str">
        <f aca="false">IF('הדבקת לידים'!A860="","",IF(ISNUMBER('הדבקת לידים'!A860),IF(הגדרות!$E$2&gt;0,TEXT('הדבקת לידים'!A860,REPT("0",הגדרות!$E$2)),TEXT('הדבקת לידים'!A860,"0")),TRIM('הדבקת לידים'!A860)))</f>
        <v/>
      </c>
      <c r="B860" s="0" t="str">
        <f aca="false">IF('הדבקת לידים'!B860="","",IF(ISNUMBER('הדבקת לידים'!B860),IF(הגדרות!$E$3&gt;0,TEXT('הדבקת לידים'!B860,REPT("0",הגדרות!$E$3)),TEXT('הדבקת לידים'!B860,"0")),TRIM('הדבקת לידים'!B860)))</f>
        <v/>
      </c>
      <c r="C860" s="0" t="n">
        <f aca="false">IF(OR(A860&lt;&gt;"",B860&lt;&gt;""),1,0)</f>
        <v>0</v>
      </c>
      <c r="D860" s="0" t="str">
        <f aca="false">IF(C860=1,MOD(ABS(SIN(ROW()*12.9898+'הדבקת לידים'!$F$2*78.233+IFERROR(--RIGHT(A860,6),LEN(A860))*0.0137+IFERROR(--RIGHT(B860,6),LEN(B860))*0.0071))*43758.5453,1),"")</f>
        <v/>
      </c>
      <c r="E860" s="0" t="str">
        <f aca="false">IF(C860=1,INT(MOD(ABS(SIN(D860*7919.123+ROW()*0.618+'הדבקת לידים'!$F$2*1.3))*43758.5453,1)*1000000)*10000+ROW(),"")</f>
        <v/>
      </c>
      <c r="F860" s="0" t="str">
        <f aca="false">IF(E860="","",RANK(E860,$E$2:$E$5001,1))</f>
        <v/>
      </c>
      <c r="G860" s="0" t="n">
        <f aca="false">IF(A860="",0,IF(SUMPRODUCT(--($A$2:$A$5001=A860))&gt;1,1,0))</f>
        <v>0</v>
      </c>
      <c r="H860" s="0" t="n">
        <f aca="false">ROW()-1</f>
        <v>859</v>
      </c>
      <c r="I860" s="0" t="str">
        <f aca="false">IF(OR(הגדרות!$E$6=0,H860&gt;הגדרות!$E$5),"",IF(H860-1&lt;הגדרות!$E$8*(הגדרות!$E$7+1),INT((H860-1)/(הגדרות!$E$7+1)),הגדרות!$E$8+INT((H860-1-הגדרות!$E$8*(הגדרות!$E$7+1))/הגדרות!$E$7)))</f>
        <v/>
      </c>
      <c r="J860" s="0" t="str">
        <f aca="false">IF(I860="","",IF(H860-1&lt;הגדרות!$E$8*(הגדרות!$E$7+1),MOD(H860-1,הגדרות!$E$7+1),MOD(H860-1-הגדרות!$E$8*(הגדרות!$E$7+1),הגדרות!$E$7)))</f>
        <v/>
      </c>
      <c r="K860" s="0" t="str">
        <f aca="false">IF(I860="","",J860*הגדרות!$E$6+I860+1)</f>
        <v/>
      </c>
      <c r="L860" s="0" t="str">
        <f aca="false">IF(K860="","",MATCH(K860,$F$2:$F$5001,0))</f>
        <v/>
      </c>
      <c r="M860" s="0" t="str">
        <f aca="false">IF(I860="","",INDEX(הגדרות!$A$2:$A$21,MOD(I860+הגדרות!$E$9,הגדרות!$E$6)+1))</f>
        <v/>
      </c>
    </row>
    <row r="861" customFormat="false" ht="15" hidden="false" customHeight="false" outlineLevel="0" collapsed="false">
      <c r="A861" s="0" t="str">
        <f aca="false">IF('הדבקת לידים'!A861="","",IF(ISNUMBER('הדבקת לידים'!A861),IF(הגדרות!$E$2&gt;0,TEXT('הדבקת לידים'!A861,REPT("0",הגדרות!$E$2)),TEXT('הדבקת לידים'!A861,"0")),TRIM('הדבקת לידים'!A861)))</f>
        <v/>
      </c>
      <c r="B861" s="0" t="str">
        <f aca="false">IF('הדבקת לידים'!B861="","",IF(ISNUMBER('הדבקת לידים'!B861),IF(הגדרות!$E$3&gt;0,TEXT('הדבקת לידים'!B861,REPT("0",הגדרות!$E$3)),TEXT('הדבקת לידים'!B861,"0")),TRIM('הדבקת לידים'!B861)))</f>
        <v/>
      </c>
      <c r="C861" s="0" t="n">
        <f aca="false">IF(OR(A861&lt;&gt;"",B861&lt;&gt;""),1,0)</f>
        <v>0</v>
      </c>
      <c r="D861" s="0" t="str">
        <f aca="false">IF(C861=1,MOD(ABS(SIN(ROW()*12.9898+'הדבקת לידים'!$F$2*78.233+IFERROR(--RIGHT(A861,6),LEN(A861))*0.0137+IFERROR(--RIGHT(B861,6),LEN(B861))*0.0071))*43758.5453,1),"")</f>
        <v/>
      </c>
      <c r="E861" s="0" t="str">
        <f aca="false">IF(C861=1,INT(MOD(ABS(SIN(D861*7919.123+ROW()*0.618+'הדבקת לידים'!$F$2*1.3))*43758.5453,1)*1000000)*10000+ROW(),"")</f>
        <v/>
      </c>
      <c r="F861" s="0" t="str">
        <f aca="false">IF(E861="","",RANK(E861,$E$2:$E$5001,1))</f>
        <v/>
      </c>
      <c r="G861" s="0" t="n">
        <f aca="false">IF(A861="",0,IF(SUMPRODUCT(--($A$2:$A$5001=A861))&gt;1,1,0))</f>
        <v>0</v>
      </c>
      <c r="H861" s="0" t="n">
        <f aca="false">ROW()-1</f>
        <v>860</v>
      </c>
      <c r="I861" s="0" t="str">
        <f aca="false">IF(OR(הגדרות!$E$6=0,H861&gt;הגדרות!$E$5),"",IF(H861-1&lt;הגדרות!$E$8*(הגדרות!$E$7+1),INT((H861-1)/(הגדרות!$E$7+1)),הגדרות!$E$8+INT((H861-1-הגדרות!$E$8*(הגדרות!$E$7+1))/הגדרות!$E$7)))</f>
        <v/>
      </c>
      <c r="J861" s="0" t="str">
        <f aca="false">IF(I861="","",IF(H861-1&lt;הגדרות!$E$8*(הגדרות!$E$7+1),MOD(H861-1,הגדרות!$E$7+1),MOD(H861-1-הגדרות!$E$8*(הגדרות!$E$7+1),הגדרות!$E$7)))</f>
        <v/>
      </c>
      <c r="K861" s="0" t="str">
        <f aca="false">IF(I861="","",J861*הגדרות!$E$6+I861+1)</f>
        <v/>
      </c>
      <c r="L861" s="0" t="str">
        <f aca="false">IF(K861="","",MATCH(K861,$F$2:$F$5001,0))</f>
        <v/>
      </c>
      <c r="M861" s="0" t="str">
        <f aca="false">IF(I861="","",INDEX(הגדרות!$A$2:$A$21,MOD(I861+הגדרות!$E$9,הגדרות!$E$6)+1))</f>
        <v/>
      </c>
    </row>
    <row r="862" customFormat="false" ht="15" hidden="false" customHeight="false" outlineLevel="0" collapsed="false">
      <c r="A862" s="0" t="str">
        <f aca="false">IF('הדבקת לידים'!A862="","",IF(ISNUMBER('הדבקת לידים'!A862),IF(הגדרות!$E$2&gt;0,TEXT('הדבקת לידים'!A862,REPT("0",הגדרות!$E$2)),TEXT('הדבקת לידים'!A862,"0")),TRIM('הדבקת לידים'!A862)))</f>
        <v/>
      </c>
      <c r="B862" s="0" t="str">
        <f aca="false">IF('הדבקת לידים'!B862="","",IF(ISNUMBER('הדבקת לידים'!B862),IF(הגדרות!$E$3&gt;0,TEXT('הדבקת לידים'!B862,REPT("0",הגדרות!$E$3)),TEXT('הדבקת לידים'!B862,"0")),TRIM('הדבקת לידים'!B862)))</f>
        <v/>
      </c>
      <c r="C862" s="0" t="n">
        <f aca="false">IF(OR(A862&lt;&gt;"",B862&lt;&gt;""),1,0)</f>
        <v>0</v>
      </c>
      <c r="D862" s="0" t="str">
        <f aca="false">IF(C862=1,MOD(ABS(SIN(ROW()*12.9898+'הדבקת לידים'!$F$2*78.233+IFERROR(--RIGHT(A862,6),LEN(A862))*0.0137+IFERROR(--RIGHT(B862,6),LEN(B862))*0.0071))*43758.5453,1),"")</f>
        <v/>
      </c>
      <c r="E862" s="0" t="str">
        <f aca="false">IF(C862=1,INT(MOD(ABS(SIN(D862*7919.123+ROW()*0.618+'הדבקת לידים'!$F$2*1.3))*43758.5453,1)*1000000)*10000+ROW(),"")</f>
        <v/>
      </c>
      <c r="F862" s="0" t="str">
        <f aca="false">IF(E862="","",RANK(E862,$E$2:$E$5001,1))</f>
        <v/>
      </c>
      <c r="G862" s="0" t="n">
        <f aca="false">IF(A862="",0,IF(SUMPRODUCT(--($A$2:$A$5001=A862))&gt;1,1,0))</f>
        <v>0</v>
      </c>
      <c r="H862" s="0" t="n">
        <f aca="false">ROW()-1</f>
        <v>861</v>
      </c>
      <c r="I862" s="0" t="str">
        <f aca="false">IF(OR(הגדרות!$E$6=0,H862&gt;הגדרות!$E$5),"",IF(H862-1&lt;הגדרות!$E$8*(הגדרות!$E$7+1),INT((H862-1)/(הגדרות!$E$7+1)),הגדרות!$E$8+INT((H862-1-הגדרות!$E$8*(הגדרות!$E$7+1))/הגדרות!$E$7)))</f>
        <v/>
      </c>
      <c r="J862" s="0" t="str">
        <f aca="false">IF(I862="","",IF(H862-1&lt;הגדרות!$E$8*(הגדרות!$E$7+1),MOD(H862-1,הגדרות!$E$7+1),MOD(H862-1-הגדרות!$E$8*(הגדרות!$E$7+1),הגדרות!$E$7)))</f>
        <v/>
      </c>
      <c r="K862" s="0" t="str">
        <f aca="false">IF(I862="","",J862*הגדרות!$E$6+I862+1)</f>
        <v/>
      </c>
      <c r="L862" s="0" t="str">
        <f aca="false">IF(K862="","",MATCH(K862,$F$2:$F$5001,0))</f>
        <v/>
      </c>
      <c r="M862" s="0" t="str">
        <f aca="false">IF(I862="","",INDEX(הגדרות!$A$2:$A$21,MOD(I862+הגדרות!$E$9,הגדרות!$E$6)+1))</f>
        <v/>
      </c>
    </row>
    <row r="863" customFormat="false" ht="15" hidden="false" customHeight="false" outlineLevel="0" collapsed="false">
      <c r="A863" s="0" t="str">
        <f aca="false">IF('הדבקת לידים'!A863="","",IF(ISNUMBER('הדבקת לידים'!A863),IF(הגדרות!$E$2&gt;0,TEXT('הדבקת לידים'!A863,REPT("0",הגדרות!$E$2)),TEXT('הדבקת לידים'!A863,"0")),TRIM('הדבקת לידים'!A863)))</f>
        <v/>
      </c>
      <c r="B863" s="0" t="str">
        <f aca="false">IF('הדבקת לידים'!B863="","",IF(ISNUMBER('הדבקת לידים'!B863),IF(הגדרות!$E$3&gt;0,TEXT('הדבקת לידים'!B863,REPT("0",הגדרות!$E$3)),TEXT('הדבקת לידים'!B863,"0")),TRIM('הדבקת לידים'!B863)))</f>
        <v/>
      </c>
      <c r="C863" s="0" t="n">
        <f aca="false">IF(OR(A863&lt;&gt;"",B863&lt;&gt;""),1,0)</f>
        <v>0</v>
      </c>
      <c r="D863" s="0" t="str">
        <f aca="false">IF(C863=1,MOD(ABS(SIN(ROW()*12.9898+'הדבקת לידים'!$F$2*78.233+IFERROR(--RIGHT(A863,6),LEN(A863))*0.0137+IFERROR(--RIGHT(B863,6),LEN(B863))*0.0071))*43758.5453,1),"")</f>
        <v/>
      </c>
      <c r="E863" s="0" t="str">
        <f aca="false">IF(C863=1,INT(MOD(ABS(SIN(D863*7919.123+ROW()*0.618+'הדבקת לידים'!$F$2*1.3))*43758.5453,1)*1000000)*10000+ROW(),"")</f>
        <v/>
      </c>
      <c r="F863" s="0" t="str">
        <f aca="false">IF(E863="","",RANK(E863,$E$2:$E$5001,1))</f>
        <v/>
      </c>
      <c r="G863" s="0" t="n">
        <f aca="false">IF(A863="",0,IF(SUMPRODUCT(--($A$2:$A$5001=A863))&gt;1,1,0))</f>
        <v>0</v>
      </c>
      <c r="H863" s="0" t="n">
        <f aca="false">ROW()-1</f>
        <v>862</v>
      </c>
      <c r="I863" s="0" t="str">
        <f aca="false">IF(OR(הגדרות!$E$6=0,H863&gt;הגדרות!$E$5),"",IF(H863-1&lt;הגדרות!$E$8*(הגדרות!$E$7+1),INT((H863-1)/(הגדרות!$E$7+1)),הגדרות!$E$8+INT((H863-1-הגדרות!$E$8*(הגדרות!$E$7+1))/הגדרות!$E$7)))</f>
        <v/>
      </c>
      <c r="J863" s="0" t="str">
        <f aca="false">IF(I863="","",IF(H863-1&lt;הגדרות!$E$8*(הגדרות!$E$7+1),MOD(H863-1,הגדרות!$E$7+1),MOD(H863-1-הגדרות!$E$8*(הגדרות!$E$7+1),הגדרות!$E$7)))</f>
        <v/>
      </c>
      <c r="K863" s="0" t="str">
        <f aca="false">IF(I863="","",J863*הגדרות!$E$6+I863+1)</f>
        <v/>
      </c>
      <c r="L863" s="0" t="str">
        <f aca="false">IF(K863="","",MATCH(K863,$F$2:$F$5001,0))</f>
        <v/>
      </c>
      <c r="M863" s="0" t="str">
        <f aca="false">IF(I863="","",INDEX(הגדרות!$A$2:$A$21,MOD(I863+הגדרות!$E$9,הגדרות!$E$6)+1))</f>
        <v/>
      </c>
    </row>
    <row r="864" customFormat="false" ht="15" hidden="false" customHeight="false" outlineLevel="0" collapsed="false">
      <c r="A864" s="0" t="str">
        <f aca="false">IF('הדבקת לידים'!A864="","",IF(ISNUMBER('הדבקת לידים'!A864),IF(הגדרות!$E$2&gt;0,TEXT('הדבקת לידים'!A864,REPT("0",הגדרות!$E$2)),TEXT('הדבקת לידים'!A864,"0")),TRIM('הדבקת לידים'!A864)))</f>
        <v/>
      </c>
      <c r="B864" s="0" t="str">
        <f aca="false">IF('הדבקת לידים'!B864="","",IF(ISNUMBER('הדבקת לידים'!B864),IF(הגדרות!$E$3&gt;0,TEXT('הדבקת לידים'!B864,REPT("0",הגדרות!$E$3)),TEXT('הדבקת לידים'!B864,"0")),TRIM('הדבקת לידים'!B864)))</f>
        <v/>
      </c>
      <c r="C864" s="0" t="n">
        <f aca="false">IF(OR(A864&lt;&gt;"",B864&lt;&gt;""),1,0)</f>
        <v>0</v>
      </c>
      <c r="D864" s="0" t="str">
        <f aca="false">IF(C864=1,MOD(ABS(SIN(ROW()*12.9898+'הדבקת לידים'!$F$2*78.233+IFERROR(--RIGHT(A864,6),LEN(A864))*0.0137+IFERROR(--RIGHT(B864,6),LEN(B864))*0.0071))*43758.5453,1),"")</f>
        <v/>
      </c>
      <c r="E864" s="0" t="str">
        <f aca="false">IF(C864=1,INT(MOD(ABS(SIN(D864*7919.123+ROW()*0.618+'הדבקת לידים'!$F$2*1.3))*43758.5453,1)*1000000)*10000+ROW(),"")</f>
        <v/>
      </c>
      <c r="F864" s="0" t="str">
        <f aca="false">IF(E864="","",RANK(E864,$E$2:$E$5001,1))</f>
        <v/>
      </c>
      <c r="G864" s="0" t="n">
        <f aca="false">IF(A864="",0,IF(SUMPRODUCT(--($A$2:$A$5001=A864))&gt;1,1,0))</f>
        <v>0</v>
      </c>
      <c r="H864" s="0" t="n">
        <f aca="false">ROW()-1</f>
        <v>863</v>
      </c>
      <c r="I864" s="0" t="str">
        <f aca="false">IF(OR(הגדרות!$E$6=0,H864&gt;הגדרות!$E$5),"",IF(H864-1&lt;הגדרות!$E$8*(הגדרות!$E$7+1),INT((H864-1)/(הגדרות!$E$7+1)),הגדרות!$E$8+INT((H864-1-הגדרות!$E$8*(הגדרות!$E$7+1))/הגדרות!$E$7)))</f>
        <v/>
      </c>
      <c r="J864" s="0" t="str">
        <f aca="false">IF(I864="","",IF(H864-1&lt;הגדרות!$E$8*(הגדרות!$E$7+1),MOD(H864-1,הגדרות!$E$7+1),MOD(H864-1-הגדרות!$E$8*(הגדרות!$E$7+1),הגדרות!$E$7)))</f>
        <v/>
      </c>
      <c r="K864" s="0" t="str">
        <f aca="false">IF(I864="","",J864*הגדרות!$E$6+I864+1)</f>
        <v/>
      </c>
      <c r="L864" s="0" t="str">
        <f aca="false">IF(K864="","",MATCH(K864,$F$2:$F$5001,0))</f>
        <v/>
      </c>
      <c r="M864" s="0" t="str">
        <f aca="false">IF(I864="","",INDEX(הגדרות!$A$2:$A$21,MOD(I864+הגדרות!$E$9,הגדרות!$E$6)+1))</f>
        <v/>
      </c>
    </row>
    <row r="865" customFormat="false" ht="15" hidden="false" customHeight="false" outlineLevel="0" collapsed="false">
      <c r="A865" s="0" t="str">
        <f aca="false">IF('הדבקת לידים'!A865="","",IF(ISNUMBER('הדבקת לידים'!A865),IF(הגדרות!$E$2&gt;0,TEXT('הדבקת לידים'!A865,REPT("0",הגדרות!$E$2)),TEXT('הדבקת לידים'!A865,"0")),TRIM('הדבקת לידים'!A865)))</f>
        <v/>
      </c>
      <c r="B865" s="0" t="str">
        <f aca="false">IF('הדבקת לידים'!B865="","",IF(ISNUMBER('הדבקת לידים'!B865),IF(הגדרות!$E$3&gt;0,TEXT('הדבקת לידים'!B865,REPT("0",הגדרות!$E$3)),TEXT('הדבקת לידים'!B865,"0")),TRIM('הדבקת לידים'!B865)))</f>
        <v/>
      </c>
      <c r="C865" s="0" t="n">
        <f aca="false">IF(OR(A865&lt;&gt;"",B865&lt;&gt;""),1,0)</f>
        <v>0</v>
      </c>
      <c r="D865" s="0" t="str">
        <f aca="false">IF(C865=1,MOD(ABS(SIN(ROW()*12.9898+'הדבקת לידים'!$F$2*78.233+IFERROR(--RIGHT(A865,6),LEN(A865))*0.0137+IFERROR(--RIGHT(B865,6),LEN(B865))*0.0071))*43758.5453,1),"")</f>
        <v/>
      </c>
      <c r="E865" s="0" t="str">
        <f aca="false">IF(C865=1,INT(MOD(ABS(SIN(D865*7919.123+ROW()*0.618+'הדבקת לידים'!$F$2*1.3))*43758.5453,1)*1000000)*10000+ROW(),"")</f>
        <v/>
      </c>
      <c r="F865" s="0" t="str">
        <f aca="false">IF(E865="","",RANK(E865,$E$2:$E$5001,1))</f>
        <v/>
      </c>
      <c r="G865" s="0" t="n">
        <f aca="false">IF(A865="",0,IF(SUMPRODUCT(--($A$2:$A$5001=A865))&gt;1,1,0))</f>
        <v>0</v>
      </c>
      <c r="H865" s="0" t="n">
        <f aca="false">ROW()-1</f>
        <v>864</v>
      </c>
      <c r="I865" s="0" t="str">
        <f aca="false">IF(OR(הגדרות!$E$6=0,H865&gt;הגדרות!$E$5),"",IF(H865-1&lt;הגדרות!$E$8*(הגדרות!$E$7+1),INT((H865-1)/(הגדרות!$E$7+1)),הגדרות!$E$8+INT((H865-1-הגדרות!$E$8*(הגדרות!$E$7+1))/הגדרות!$E$7)))</f>
        <v/>
      </c>
      <c r="J865" s="0" t="str">
        <f aca="false">IF(I865="","",IF(H865-1&lt;הגדרות!$E$8*(הגדרות!$E$7+1),MOD(H865-1,הגדרות!$E$7+1),MOD(H865-1-הגדרות!$E$8*(הגדרות!$E$7+1),הגדרות!$E$7)))</f>
        <v/>
      </c>
      <c r="K865" s="0" t="str">
        <f aca="false">IF(I865="","",J865*הגדרות!$E$6+I865+1)</f>
        <v/>
      </c>
      <c r="L865" s="0" t="str">
        <f aca="false">IF(K865="","",MATCH(K865,$F$2:$F$5001,0))</f>
        <v/>
      </c>
      <c r="M865" s="0" t="str">
        <f aca="false">IF(I865="","",INDEX(הגדרות!$A$2:$A$21,MOD(I865+הגדרות!$E$9,הגדרות!$E$6)+1))</f>
        <v/>
      </c>
    </row>
    <row r="866" customFormat="false" ht="15" hidden="false" customHeight="false" outlineLevel="0" collapsed="false">
      <c r="A866" s="0" t="str">
        <f aca="false">IF('הדבקת לידים'!A866="","",IF(ISNUMBER('הדבקת לידים'!A866),IF(הגדרות!$E$2&gt;0,TEXT('הדבקת לידים'!A866,REPT("0",הגדרות!$E$2)),TEXT('הדבקת לידים'!A866,"0")),TRIM('הדבקת לידים'!A866)))</f>
        <v/>
      </c>
      <c r="B866" s="0" t="str">
        <f aca="false">IF('הדבקת לידים'!B866="","",IF(ISNUMBER('הדבקת לידים'!B866),IF(הגדרות!$E$3&gt;0,TEXT('הדבקת לידים'!B866,REPT("0",הגדרות!$E$3)),TEXT('הדבקת לידים'!B866,"0")),TRIM('הדבקת לידים'!B866)))</f>
        <v/>
      </c>
      <c r="C866" s="0" t="n">
        <f aca="false">IF(OR(A866&lt;&gt;"",B866&lt;&gt;""),1,0)</f>
        <v>0</v>
      </c>
      <c r="D866" s="0" t="str">
        <f aca="false">IF(C866=1,MOD(ABS(SIN(ROW()*12.9898+'הדבקת לידים'!$F$2*78.233+IFERROR(--RIGHT(A866,6),LEN(A866))*0.0137+IFERROR(--RIGHT(B866,6),LEN(B866))*0.0071))*43758.5453,1),"")</f>
        <v/>
      </c>
      <c r="E866" s="0" t="str">
        <f aca="false">IF(C866=1,INT(MOD(ABS(SIN(D866*7919.123+ROW()*0.618+'הדבקת לידים'!$F$2*1.3))*43758.5453,1)*1000000)*10000+ROW(),"")</f>
        <v/>
      </c>
      <c r="F866" s="0" t="str">
        <f aca="false">IF(E866="","",RANK(E866,$E$2:$E$5001,1))</f>
        <v/>
      </c>
      <c r="G866" s="0" t="n">
        <f aca="false">IF(A866="",0,IF(SUMPRODUCT(--($A$2:$A$5001=A866))&gt;1,1,0))</f>
        <v>0</v>
      </c>
      <c r="H866" s="0" t="n">
        <f aca="false">ROW()-1</f>
        <v>865</v>
      </c>
      <c r="I866" s="0" t="str">
        <f aca="false">IF(OR(הגדרות!$E$6=0,H866&gt;הגדרות!$E$5),"",IF(H866-1&lt;הגדרות!$E$8*(הגדרות!$E$7+1),INT((H866-1)/(הגדרות!$E$7+1)),הגדרות!$E$8+INT((H866-1-הגדרות!$E$8*(הגדרות!$E$7+1))/הגדרות!$E$7)))</f>
        <v/>
      </c>
      <c r="J866" s="0" t="str">
        <f aca="false">IF(I866="","",IF(H866-1&lt;הגדרות!$E$8*(הגדרות!$E$7+1),MOD(H866-1,הגדרות!$E$7+1),MOD(H866-1-הגדרות!$E$8*(הגדרות!$E$7+1),הגדרות!$E$7)))</f>
        <v/>
      </c>
      <c r="K866" s="0" t="str">
        <f aca="false">IF(I866="","",J866*הגדרות!$E$6+I866+1)</f>
        <v/>
      </c>
      <c r="L866" s="0" t="str">
        <f aca="false">IF(K866="","",MATCH(K866,$F$2:$F$5001,0))</f>
        <v/>
      </c>
      <c r="M866" s="0" t="str">
        <f aca="false">IF(I866="","",INDEX(הגדרות!$A$2:$A$21,MOD(I866+הגדרות!$E$9,הגדרות!$E$6)+1))</f>
        <v/>
      </c>
    </row>
    <row r="867" customFormat="false" ht="15" hidden="false" customHeight="false" outlineLevel="0" collapsed="false">
      <c r="A867" s="0" t="str">
        <f aca="false">IF('הדבקת לידים'!A867="","",IF(ISNUMBER('הדבקת לידים'!A867),IF(הגדרות!$E$2&gt;0,TEXT('הדבקת לידים'!A867,REPT("0",הגדרות!$E$2)),TEXT('הדבקת לידים'!A867,"0")),TRIM('הדבקת לידים'!A867)))</f>
        <v/>
      </c>
      <c r="B867" s="0" t="str">
        <f aca="false">IF('הדבקת לידים'!B867="","",IF(ISNUMBER('הדבקת לידים'!B867),IF(הגדרות!$E$3&gt;0,TEXT('הדבקת לידים'!B867,REPT("0",הגדרות!$E$3)),TEXT('הדבקת לידים'!B867,"0")),TRIM('הדבקת לידים'!B867)))</f>
        <v/>
      </c>
      <c r="C867" s="0" t="n">
        <f aca="false">IF(OR(A867&lt;&gt;"",B867&lt;&gt;""),1,0)</f>
        <v>0</v>
      </c>
      <c r="D867" s="0" t="str">
        <f aca="false">IF(C867=1,MOD(ABS(SIN(ROW()*12.9898+'הדבקת לידים'!$F$2*78.233+IFERROR(--RIGHT(A867,6),LEN(A867))*0.0137+IFERROR(--RIGHT(B867,6),LEN(B867))*0.0071))*43758.5453,1),"")</f>
        <v/>
      </c>
      <c r="E867" s="0" t="str">
        <f aca="false">IF(C867=1,INT(MOD(ABS(SIN(D867*7919.123+ROW()*0.618+'הדבקת לידים'!$F$2*1.3))*43758.5453,1)*1000000)*10000+ROW(),"")</f>
        <v/>
      </c>
      <c r="F867" s="0" t="str">
        <f aca="false">IF(E867="","",RANK(E867,$E$2:$E$5001,1))</f>
        <v/>
      </c>
      <c r="G867" s="0" t="n">
        <f aca="false">IF(A867="",0,IF(SUMPRODUCT(--($A$2:$A$5001=A867))&gt;1,1,0))</f>
        <v>0</v>
      </c>
      <c r="H867" s="0" t="n">
        <f aca="false">ROW()-1</f>
        <v>866</v>
      </c>
      <c r="I867" s="0" t="str">
        <f aca="false">IF(OR(הגדרות!$E$6=0,H867&gt;הגדרות!$E$5),"",IF(H867-1&lt;הגדרות!$E$8*(הגדרות!$E$7+1),INT((H867-1)/(הגדרות!$E$7+1)),הגדרות!$E$8+INT((H867-1-הגדרות!$E$8*(הגדרות!$E$7+1))/הגדרות!$E$7)))</f>
        <v/>
      </c>
      <c r="J867" s="0" t="str">
        <f aca="false">IF(I867="","",IF(H867-1&lt;הגדרות!$E$8*(הגדרות!$E$7+1),MOD(H867-1,הגדרות!$E$7+1),MOD(H867-1-הגדרות!$E$8*(הגדרות!$E$7+1),הגדרות!$E$7)))</f>
        <v/>
      </c>
      <c r="K867" s="0" t="str">
        <f aca="false">IF(I867="","",J867*הגדרות!$E$6+I867+1)</f>
        <v/>
      </c>
      <c r="L867" s="0" t="str">
        <f aca="false">IF(K867="","",MATCH(K867,$F$2:$F$5001,0))</f>
        <v/>
      </c>
      <c r="M867" s="0" t="str">
        <f aca="false">IF(I867="","",INDEX(הגדרות!$A$2:$A$21,MOD(I867+הגדרות!$E$9,הגדרות!$E$6)+1))</f>
        <v/>
      </c>
    </row>
    <row r="868" customFormat="false" ht="15" hidden="false" customHeight="false" outlineLevel="0" collapsed="false">
      <c r="A868" s="0" t="str">
        <f aca="false">IF('הדבקת לידים'!A868="","",IF(ISNUMBER('הדבקת לידים'!A868),IF(הגדרות!$E$2&gt;0,TEXT('הדבקת לידים'!A868,REPT("0",הגדרות!$E$2)),TEXT('הדבקת לידים'!A868,"0")),TRIM('הדבקת לידים'!A868)))</f>
        <v/>
      </c>
      <c r="B868" s="0" t="str">
        <f aca="false">IF('הדבקת לידים'!B868="","",IF(ISNUMBER('הדבקת לידים'!B868),IF(הגדרות!$E$3&gt;0,TEXT('הדבקת לידים'!B868,REPT("0",הגדרות!$E$3)),TEXT('הדבקת לידים'!B868,"0")),TRIM('הדבקת לידים'!B868)))</f>
        <v/>
      </c>
      <c r="C868" s="0" t="n">
        <f aca="false">IF(OR(A868&lt;&gt;"",B868&lt;&gt;""),1,0)</f>
        <v>0</v>
      </c>
      <c r="D868" s="0" t="str">
        <f aca="false">IF(C868=1,MOD(ABS(SIN(ROW()*12.9898+'הדבקת לידים'!$F$2*78.233+IFERROR(--RIGHT(A868,6),LEN(A868))*0.0137+IFERROR(--RIGHT(B868,6),LEN(B868))*0.0071))*43758.5453,1),"")</f>
        <v/>
      </c>
      <c r="E868" s="0" t="str">
        <f aca="false">IF(C868=1,INT(MOD(ABS(SIN(D868*7919.123+ROW()*0.618+'הדבקת לידים'!$F$2*1.3))*43758.5453,1)*1000000)*10000+ROW(),"")</f>
        <v/>
      </c>
      <c r="F868" s="0" t="str">
        <f aca="false">IF(E868="","",RANK(E868,$E$2:$E$5001,1))</f>
        <v/>
      </c>
      <c r="G868" s="0" t="n">
        <f aca="false">IF(A868="",0,IF(SUMPRODUCT(--($A$2:$A$5001=A868))&gt;1,1,0))</f>
        <v>0</v>
      </c>
      <c r="H868" s="0" t="n">
        <f aca="false">ROW()-1</f>
        <v>867</v>
      </c>
      <c r="I868" s="0" t="str">
        <f aca="false">IF(OR(הגדרות!$E$6=0,H868&gt;הגדרות!$E$5),"",IF(H868-1&lt;הגדרות!$E$8*(הגדרות!$E$7+1),INT((H868-1)/(הגדרות!$E$7+1)),הגדרות!$E$8+INT((H868-1-הגדרות!$E$8*(הגדרות!$E$7+1))/הגדרות!$E$7)))</f>
        <v/>
      </c>
      <c r="J868" s="0" t="str">
        <f aca="false">IF(I868="","",IF(H868-1&lt;הגדרות!$E$8*(הגדרות!$E$7+1),MOD(H868-1,הגדרות!$E$7+1),MOD(H868-1-הגדרות!$E$8*(הגדרות!$E$7+1),הגדרות!$E$7)))</f>
        <v/>
      </c>
      <c r="K868" s="0" t="str">
        <f aca="false">IF(I868="","",J868*הגדרות!$E$6+I868+1)</f>
        <v/>
      </c>
      <c r="L868" s="0" t="str">
        <f aca="false">IF(K868="","",MATCH(K868,$F$2:$F$5001,0))</f>
        <v/>
      </c>
      <c r="M868" s="0" t="str">
        <f aca="false">IF(I868="","",INDEX(הגדרות!$A$2:$A$21,MOD(I868+הגדרות!$E$9,הגדרות!$E$6)+1))</f>
        <v/>
      </c>
    </row>
    <row r="869" customFormat="false" ht="15" hidden="false" customHeight="false" outlineLevel="0" collapsed="false">
      <c r="A869" s="0" t="str">
        <f aca="false">IF('הדבקת לידים'!A869="","",IF(ISNUMBER('הדבקת לידים'!A869),IF(הגדרות!$E$2&gt;0,TEXT('הדבקת לידים'!A869,REPT("0",הגדרות!$E$2)),TEXT('הדבקת לידים'!A869,"0")),TRIM('הדבקת לידים'!A869)))</f>
        <v/>
      </c>
      <c r="B869" s="0" t="str">
        <f aca="false">IF('הדבקת לידים'!B869="","",IF(ISNUMBER('הדבקת לידים'!B869),IF(הגדרות!$E$3&gt;0,TEXT('הדבקת לידים'!B869,REPT("0",הגדרות!$E$3)),TEXT('הדבקת לידים'!B869,"0")),TRIM('הדבקת לידים'!B869)))</f>
        <v/>
      </c>
      <c r="C869" s="0" t="n">
        <f aca="false">IF(OR(A869&lt;&gt;"",B869&lt;&gt;""),1,0)</f>
        <v>0</v>
      </c>
      <c r="D869" s="0" t="str">
        <f aca="false">IF(C869=1,MOD(ABS(SIN(ROW()*12.9898+'הדבקת לידים'!$F$2*78.233+IFERROR(--RIGHT(A869,6),LEN(A869))*0.0137+IFERROR(--RIGHT(B869,6),LEN(B869))*0.0071))*43758.5453,1),"")</f>
        <v/>
      </c>
      <c r="E869" s="0" t="str">
        <f aca="false">IF(C869=1,INT(MOD(ABS(SIN(D869*7919.123+ROW()*0.618+'הדבקת לידים'!$F$2*1.3))*43758.5453,1)*1000000)*10000+ROW(),"")</f>
        <v/>
      </c>
      <c r="F869" s="0" t="str">
        <f aca="false">IF(E869="","",RANK(E869,$E$2:$E$5001,1))</f>
        <v/>
      </c>
      <c r="G869" s="0" t="n">
        <f aca="false">IF(A869="",0,IF(SUMPRODUCT(--($A$2:$A$5001=A869))&gt;1,1,0))</f>
        <v>0</v>
      </c>
      <c r="H869" s="0" t="n">
        <f aca="false">ROW()-1</f>
        <v>868</v>
      </c>
      <c r="I869" s="0" t="str">
        <f aca="false">IF(OR(הגדרות!$E$6=0,H869&gt;הגדרות!$E$5),"",IF(H869-1&lt;הגדרות!$E$8*(הגדרות!$E$7+1),INT((H869-1)/(הגדרות!$E$7+1)),הגדרות!$E$8+INT((H869-1-הגדרות!$E$8*(הגדרות!$E$7+1))/הגדרות!$E$7)))</f>
        <v/>
      </c>
      <c r="J869" s="0" t="str">
        <f aca="false">IF(I869="","",IF(H869-1&lt;הגדרות!$E$8*(הגדרות!$E$7+1),MOD(H869-1,הגדרות!$E$7+1),MOD(H869-1-הגדרות!$E$8*(הגדרות!$E$7+1),הגדרות!$E$7)))</f>
        <v/>
      </c>
      <c r="K869" s="0" t="str">
        <f aca="false">IF(I869="","",J869*הגדרות!$E$6+I869+1)</f>
        <v/>
      </c>
      <c r="L869" s="0" t="str">
        <f aca="false">IF(K869="","",MATCH(K869,$F$2:$F$5001,0))</f>
        <v/>
      </c>
      <c r="M869" s="0" t="str">
        <f aca="false">IF(I869="","",INDEX(הגדרות!$A$2:$A$21,MOD(I869+הגדרות!$E$9,הגדרות!$E$6)+1))</f>
        <v/>
      </c>
    </row>
    <row r="870" customFormat="false" ht="15" hidden="false" customHeight="false" outlineLevel="0" collapsed="false">
      <c r="A870" s="0" t="str">
        <f aca="false">IF('הדבקת לידים'!A870="","",IF(ISNUMBER('הדבקת לידים'!A870),IF(הגדרות!$E$2&gt;0,TEXT('הדבקת לידים'!A870,REPT("0",הגדרות!$E$2)),TEXT('הדבקת לידים'!A870,"0")),TRIM('הדבקת לידים'!A870)))</f>
        <v/>
      </c>
      <c r="B870" s="0" t="str">
        <f aca="false">IF('הדבקת לידים'!B870="","",IF(ISNUMBER('הדבקת לידים'!B870),IF(הגדרות!$E$3&gt;0,TEXT('הדבקת לידים'!B870,REPT("0",הגדרות!$E$3)),TEXT('הדבקת לידים'!B870,"0")),TRIM('הדבקת לידים'!B870)))</f>
        <v/>
      </c>
      <c r="C870" s="0" t="n">
        <f aca="false">IF(OR(A870&lt;&gt;"",B870&lt;&gt;""),1,0)</f>
        <v>0</v>
      </c>
      <c r="D870" s="0" t="str">
        <f aca="false">IF(C870=1,MOD(ABS(SIN(ROW()*12.9898+'הדבקת לידים'!$F$2*78.233+IFERROR(--RIGHT(A870,6),LEN(A870))*0.0137+IFERROR(--RIGHT(B870,6),LEN(B870))*0.0071))*43758.5453,1),"")</f>
        <v/>
      </c>
      <c r="E870" s="0" t="str">
        <f aca="false">IF(C870=1,INT(MOD(ABS(SIN(D870*7919.123+ROW()*0.618+'הדבקת לידים'!$F$2*1.3))*43758.5453,1)*1000000)*10000+ROW(),"")</f>
        <v/>
      </c>
      <c r="F870" s="0" t="str">
        <f aca="false">IF(E870="","",RANK(E870,$E$2:$E$5001,1))</f>
        <v/>
      </c>
      <c r="G870" s="0" t="n">
        <f aca="false">IF(A870="",0,IF(SUMPRODUCT(--($A$2:$A$5001=A870))&gt;1,1,0))</f>
        <v>0</v>
      </c>
      <c r="H870" s="0" t="n">
        <f aca="false">ROW()-1</f>
        <v>869</v>
      </c>
      <c r="I870" s="0" t="str">
        <f aca="false">IF(OR(הגדרות!$E$6=0,H870&gt;הגדרות!$E$5),"",IF(H870-1&lt;הגדרות!$E$8*(הגדרות!$E$7+1),INT((H870-1)/(הגדרות!$E$7+1)),הגדרות!$E$8+INT((H870-1-הגדרות!$E$8*(הגדרות!$E$7+1))/הגדרות!$E$7)))</f>
        <v/>
      </c>
      <c r="J870" s="0" t="str">
        <f aca="false">IF(I870="","",IF(H870-1&lt;הגדרות!$E$8*(הגדרות!$E$7+1),MOD(H870-1,הגדרות!$E$7+1),MOD(H870-1-הגדרות!$E$8*(הגדרות!$E$7+1),הגדרות!$E$7)))</f>
        <v/>
      </c>
      <c r="K870" s="0" t="str">
        <f aca="false">IF(I870="","",J870*הגדרות!$E$6+I870+1)</f>
        <v/>
      </c>
      <c r="L870" s="0" t="str">
        <f aca="false">IF(K870="","",MATCH(K870,$F$2:$F$5001,0))</f>
        <v/>
      </c>
      <c r="M870" s="0" t="str">
        <f aca="false">IF(I870="","",INDEX(הגדרות!$A$2:$A$21,MOD(I870+הגדרות!$E$9,הגדרות!$E$6)+1))</f>
        <v/>
      </c>
    </row>
    <row r="871" customFormat="false" ht="15" hidden="false" customHeight="false" outlineLevel="0" collapsed="false">
      <c r="A871" s="0" t="str">
        <f aca="false">IF('הדבקת לידים'!A871="","",IF(ISNUMBER('הדבקת לידים'!A871),IF(הגדרות!$E$2&gt;0,TEXT('הדבקת לידים'!A871,REPT("0",הגדרות!$E$2)),TEXT('הדבקת לידים'!A871,"0")),TRIM('הדבקת לידים'!A871)))</f>
        <v/>
      </c>
      <c r="B871" s="0" t="str">
        <f aca="false">IF('הדבקת לידים'!B871="","",IF(ISNUMBER('הדבקת לידים'!B871),IF(הגדרות!$E$3&gt;0,TEXT('הדבקת לידים'!B871,REPT("0",הגדרות!$E$3)),TEXT('הדבקת לידים'!B871,"0")),TRIM('הדבקת לידים'!B871)))</f>
        <v/>
      </c>
      <c r="C871" s="0" t="n">
        <f aca="false">IF(OR(A871&lt;&gt;"",B871&lt;&gt;""),1,0)</f>
        <v>0</v>
      </c>
      <c r="D871" s="0" t="str">
        <f aca="false">IF(C871=1,MOD(ABS(SIN(ROW()*12.9898+'הדבקת לידים'!$F$2*78.233+IFERROR(--RIGHT(A871,6),LEN(A871))*0.0137+IFERROR(--RIGHT(B871,6),LEN(B871))*0.0071))*43758.5453,1),"")</f>
        <v/>
      </c>
      <c r="E871" s="0" t="str">
        <f aca="false">IF(C871=1,INT(MOD(ABS(SIN(D871*7919.123+ROW()*0.618+'הדבקת לידים'!$F$2*1.3))*43758.5453,1)*1000000)*10000+ROW(),"")</f>
        <v/>
      </c>
      <c r="F871" s="0" t="str">
        <f aca="false">IF(E871="","",RANK(E871,$E$2:$E$5001,1))</f>
        <v/>
      </c>
      <c r="G871" s="0" t="n">
        <f aca="false">IF(A871="",0,IF(SUMPRODUCT(--($A$2:$A$5001=A871))&gt;1,1,0))</f>
        <v>0</v>
      </c>
      <c r="H871" s="0" t="n">
        <f aca="false">ROW()-1</f>
        <v>870</v>
      </c>
      <c r="I871" s="0" t="str">
        <f aca="false">IF(OR(הגדרות!$E$6=0,H871&gt;הגדרות!$E$5),"",IF(H871-1&lt;הגדרות!$E$8*(הגדרות!$E$7+1),INT((H871-1)/(הגדרות!$E$7+1)),הגדרות!$E$8+INT((H871-1-הגדרות!$E$8*(הגדרות!$E$7+1))/הגדרות!$E$7)))</f>
        <v/>
      </c>
      <c r="J871" s="0" t="str">
        <f aca="false">IF(I871="","",IF(H871-1&lt;הגדרות!$E$8*(הגדרות!$E$7+1),MOD(H871-1,הגדרות!$E$7+1),MOD(H871-1-הגדרות!$E$8*(הגדרות!$E$7+1),הגדרות!$E$7)))</f>
        <v/>
      </c>
      <c r="K871" s="0" t="str">
        <f aca="false">IF(I871="","",J871*הגדרות!$E$6+I871+1)</f>
        <v/>
      </c>
      <c r="L871" s="0" t="str">
        <f aca="false">IF(K871="","",MATCH(K871,$F$2:$F$5001,0))</f>
        <v/>
      </c>
      <c r="M871" s="0" t="str">
        <f aca="false">IF(I871="","",INDEX(הגדרות!$A$2:$A$21,MOD(I871+הגדרות!$E$9,הגדרות!$E$6)+1))</f>
        <v/>
      </c>
    </row>
    <row r="872" customFormat="false" ht="15" hidden="false" customHeight="false" outlineLevel="0" collapsed="false">
      <c r="A872" s="0" t="str">
        <f aca="false">IF('הדבקת לידים'!A872="","",IF(ISNUMBER('הדבקת לידים'!A872),IF(הגדרות!$E$2&gt;0,TEXT('הדבקת לידים'!A872,REPT("0",הגדרות!$E$2)),TEXT('הדבקת לידים'!A872,"0")),TRIM('הדבקת לידים'!A872)))</f>
        <v/>
      </c>
      <c r="B872" s="0" t="str">
        <f aca="false">IF('הדבקת לידים'!B872="","",IF(ISNUMBER('הדבקת לידים'!B872),IF(הגדרות!$E$3&gt;0,TEXT('הדבקת לידים'!B872,REPT("0",הגדרות!$E$3)),TEXT('הדבקת לידים'!B872,"0")),TRIM('הדבקת לידים'!B872)))</f>
        <v/>
      </c>
      <c r="C872" s="0" t="n">
        <f aca="false">IF(OR(A872&lt;&gt;"",B872&lt;&gt;""),1,0)</f>
        <v>0</v>
      </c>
      <c r="D872" s="0" t="str">
        <f aca="false">IF(C872=1,MOD(ABS(SIN(ROW()*12.9898+'הדבקת לידים'!$F$2*78.233+IFERROR(--RIGHT(A872,6),LEN(A872))*0.0137+IFERROR(--RIGHT(B872,6),LEN(B872))*0.0071))*43758.5453,1),"")</f>
        <v/>
      </c>
      <c r="E872" s="0" t="str">
        <f aca="false">IF(C872=1,INT(MOD(ABS(SIN(D872*7919.123+ROW()*0.618+'הדבקת לידים'!$F$2*1.3))*43758.5453,1)*1000000)*10000+ROW(),"")</f>
        <v/>
      </c>
      <c r="F872" s="0" t="str">
        <f aca="false">IF(E872="","",RANK(E872,$E$2:$E$5001,1))</f>
        <v/>
      </c>
      <c r="G872" s="0" t="n">
        <f aca="false">IF(A872="",0,IF(SUMPRODUCT(--($A$2:$A$5001=A872))&gt;1,1,0))</f>
        <v>0</v>
      </c>
      <c r="H872" s="0" t="n">
        <f aca="false">ROW()-1</f>
        <v>871</v>
      </c>
      <c r="I872" s="0" t="str">
        <f aca="false">IF(OR(הגדרות!$E$6=0,H872&gt;הגדרות!$E$5),"",IF(H872-1&lt;הגדרות!$E$8*(הגדרות!$E$7+1),INT((H872-1)/(הגדרות!$E$7+1)),הגדרות!$E$8+INT((H872-1-הגדרות!$E$8*(הגדרות!$E$7+1))/הגדרות!$E$7)))</f>
        <v/>
      </c>
      <c r="J872" s="0" t="str">
        <f aca="false">IF(I872="","",IF(H872-1&lt;הגדרות!$E$8*(הגדרות!$E$7+1),MOD(H872-1,הגדרות!$E$7+1),MOD(H872-1-הגדרות!$E$8*(הגדרות!$E$7+1),הגדרות!$E$7)))</f>
        <v/>
      </c>
      <c r="K872" s="0" t="str">
        <f aca="false">IF(I872="","",J872*הגדרות!$E$6+I872+1)</f>
        <v/>
      </c>
      <c r="L872" s="0" t="str">
        <f aca="false">IF(K872="","",MATCH(K872,$F$2:$F$5001,0))</f>
        <v/>
      </c>
      <c r="M872" s="0" t="str">
        <f aca="false">IF(I872="","",INDEX(הגדרות!$A$2:$A$21,MOD(I872+הגדרות!$E$9,הגדרות!$E$6)+1))</f>
        <v/>
      </c>
    </row>
    <row r="873" customFormat="false" ht="15" hidden="false" customHeight="false" outlineLevel="0" collapsed="false">
      <c r="A873" s="0" t="str">
        <f aca="false">IF('הדבקת לידים'!A873="","",IF(ISNUMBER('הדבקת לידים'!A873),IF(הגדרות!$E$2&gt;0,TEXT('הדבקת לידים'!A873,REPT("0",הגדרות!$E$2)),TEXT('הדבקת לידים'!A873,"0")),TRIM('הדבקת לידים'!A873)))</f>
        <v/>
      </c>
      <c r="B873" s="0" t="str">
        <f aca="false">IF('הדבקת לידים'!B873="","",IF(ISNUMBER('הדבקת לידים'!B873),IF(הגדרות!$E$3&gt;0,TEXT('הדבקת לידים'!B873,REPT("0",הגדרות!$E$3)),TEXT('הדבקת לידים'!B873,"0")),TRIM('הדבקת לידים'!B873)))</f>
        <v/>
      </c>
      <c r="C873" s="0" t="n">
        <f aca="false">IF(OR(A873&lt;&gt;"",B873&lt;&gt;""),1,0)</f>
        <v>0</v>
      </c>
      <c r="D873" s="0" t="str">
        <f aca="false">IF(C873=1,MOD(ABS(SIN(ROW()*12.9898+'הדבקת לידים'!$F$2*78.233+IFERROR(--RIGHT(A873,6),LEN(A873))*0.0137+IFERROR(--RIGHT(B873,6),LEN(B873))*0.0071))*43758.5453,1),"")</f>
        <v/>
      </c>
      <c r="E873" s="0" t="str">
        <f aca="false">IF(C873=1,INT(MOD(ABS(SIN(D873*7919.123+ROW()*0.618+'הדבקת לידים'!$F$2*1.3))*43758.5453,1)*1000000)*10000+ROW(),"")</f>
        <v/>
      </c>
      <c r="F873" s="0" t="str">
        <f aca="false">IF(E873="","",RANK(E873,$E$2:$E$5001,1))</f>
        <v/>
      </c>
      <c r="G873" s="0" t="n">
        <f aca="false">IF(A873="",0,IF(SUMPRODUCT(--($A$2:$A$5001=A873))&gt;1,1,0))</f>
        <v>0</v>
      </c>
      <c r="H873" s="0" t="n">
        <f aca="false">ROW()-1</f>
        <v>872</v>
      </c>
      <c r="I873" s="0" t="str">
        <f aca="false">IF(OR(הגדרות!$E$6=0,H873&gt;הגדרות!$E$5),"",IF(H873-1&lt;הגדרות!$E$8*(הגדרות!$E$7+1),INT((H873-1)/(הגדרות!$E$7+1)),הגדרות!$E$8+INT((H873-1-הגדרות!$E$8*(הגדרות!$E$7+1))/הגדרות!$E$7)))</f>
        <v/>
      </c>
      <c r="J873" s="0" t="str">
        <f aca="false">IF(I873="","",IF(H873-1&lt;הגדרות!$E$8*(הגדרות!$E$7+1),MOD(H873-1,הגדרות!$E$7+1),MOD(H873-1-הגדרות!$E$8*(הגדרות!$E$7+1),הגדרות!$E$7)))</f>
        <v/>
      </c>
      <c r="K873" s="0" t="str">
        <f aca="false">IF(I873="","",J873*הגדרות!$E$6+I873+1)</f>
        <v/>
      </c>
      <c r="L873" s="0" t="str">
        <f aca="false">IF(K873="","",MATCH(K873,$F$2:$F$5001,0))</f>
        <v/>
      </c>
      <c r="M873" s="0" t="str">
        <f aca="false">IF(I873="","",INDEX(הגדרות!$A$2:$A$21,MOD(I873+הגדרות!$E$9,הגדרות!$E$6)+1))</f>
        <v/>
      </c>
    </row>
    <row r="874" customFormat="false" ht="15" hidden="false" customHeight="false" outlineLevel="0" collapsed="false">
      <c r="A874" s="0" t="str">
        <f aca="false">IF('הדבקת לידים'!A874="","",IF(ISNUMBER('הדבקת לידים'!A874),IF(הגדרות!$E$2&gt;0,TEXT('הדבקת לידים'!A874,REPT("0",הגדרות!$E$2)),TEXT('הדבקת לידים'!A874,"0")),TRIM('הדבקת לידים'!A874)))</f>
        <v/>
      </c>
      <c r="B874" s="0" t="str">
        <f aca="false">IF('הדבקת לידים'!B874="","",IF(ISNUMBER('הדבקת לידים'!B874),IF(הגדרות!$E$3&gt;0,TEXT('הדבקת לידים'!B874,REPT("0",הגדרות!$E$3)),TEXT('הדבקת לידים'!B874,"0")),TRIM('הדבקת לידים'!B874)))</f>
        <v/>
      </c>
      <c r="C874" s="0" t="n">
        <f aca="false">IF(OR(A874&lt;&gt;"",B874&lt;&gt;""),1,0)</f>
        <v>0</v>
      </c>
      <c r="D874" s="0" t="str">
        <f aca="false">IF(C874=1,MOD(ABS(SIN(ROW()*12.9898+'הדבקת לידים'!$F$2*78.233+IFERROR(--RIGHT(A874,6),LEN(A874))*0.0137+IFERROR(--RIGHT(B874,6),LEN(B874))*0.0071))*43758.5453,1),"")</f>
        <v/>
      </c>
      <c r="E874" s="0" t="str">
        <f aca="false">IF(C874=1,INT(MOD(ABS(SIN(D874*7919.123+ROW()*0.618+'הדבקת לידים'!$F$2*1.3))*43758.5453,1)*1000000)*10000+ROW(),"")</f>
        <v/>
      </c>
      <c r="F874" s="0" t="str">
        <f aca="false">IF(E874="","",RANK(E874,$E$2:$E$5001,1))</f>
        <v/>
      </c>
      <c r="G874" s="0" t="n">
        <f aca="false">IF(A874="",0,IF(SUMPRODUCT(--($A$2:$A$5001=A874))&gt;1,1,0))</f>
        <v>0</v>
      </c>
      <c r="H874" s="0" t="n">
        <f aca="false">ROW()-1</f>
        <v>873</v>
      </c>
      <c r="I874" s="0" t="str">
        <f aca="false">IF(OR(הגדרות!$E$6=0,H874&gt;הגדרות!$E$5),"",IF(H874-1&lt;הגדרות!$E$8*(הגדרות!$E$7+1),INT((H874-1)/(הגדרות!$E$7+1)),הגדרות!$E$8+INT((H874-1-הגדרות!$E$8*(הגדרות!$E$7+1))/הגדרות!$E$7)))</f>
        <v/>
      </c>
      <c r="J874" s="0" t="str">
        <f aca="false">IF(I874="","",IF(H874-1&lt;הגדרות!$E$8*(הגדרות!$E$7+1),MOD(H874-1,הגדרות!$E$7+1),MOD(H874-1-הגדרות!$E$8*(הגדרות!$E$7+1),הגדרות!$E$7)))</f>
        <v/>
      </c>
      <c r="K874" s="0" t="str">
        <f aca="false">IF(I874="","",J874*הגדרות!$E$6+I874+1)</f>
        <v/>
      </c>
      <c r="L874" s="0" t="str">
        <f aca="false">IF(K874="","",MATCH(K874,$F$2:$F$5001,0))</f>
        <v/>
      </c>
      <c r="M874" s="0" t="str">
        <f aca="false">IF(I874="","",INDEX(הגדרות!$A$2:$A$21,MOD(I874+הגדרות!$E$9,הגדרות!$E$6)+1))</f>
        <v/>
      </c>
    </row>
    <row r="875" customFormat="false" ht="15" hidden="false" customHeight="false" outlineLevel="0" collapsed="false">
      <c r="A875" s="0" t="str">
        <f aca="false">IF('הדבקת לידים'!A875="","",IF(ISNUMBER('הדבקת לידים'!A875),IF(הגדרות!$E$2&gt;0,TEXT('הדבקת לידים'!A875,REPT("0",הגדרות!$E$2)),TEXT('הדבקת לידים'!A875,"0")),TRIM('הדבקת לידים'!A875)))</f>
        <v/>
      </c>
      <c r="B875" s="0" t="str">
        <f aca="false">IF('הדבקת לידים'!B875="","",IF(ISNUMBER('הדבקת לידים'!B875),IF(הגדרות!$E$3&gt;0,TEXT('הדבקת לידים'!B875,REPT("0",הגדרות!$E$3)),TEXT('הדבקת לידים'!B875,"0")),TRIM('הדבקת לידים'!B875)))</f>
        <v/>
      </c>
      <c r="C875" s="0" t="n">
        <f aca="false">IF(OR(A875&lt;&gt;"",B875&lt;&gt;""),1,0)</f>
        <v>0</v>
      </c>
      <c r="D875" s="0" t="str">
        <f aca="false">IF(C875=1,MOD(ABS(SIN(ROW()*12.9898+'הדבקת לידים'!$F$2*78.233+IFERROR(--RIGHT(A875,6),LEN(A875))*0.0137+IFERROR(--RIGHT(B875,6),LEN(B875))*0.0071))*43758.5453,1),"")</f>
        <v/>
      </c>
      <c r="E875" s="0" t="str">
        <f aca="false">IF(C875=1,INT(MOD(ABS(SIN(D875*7919.123+ROW()*0.618+'הדבקת לידים'!$F$2*1.3))*43758.5453,1)*1000000)*10000+ROW(),"")</f>
        <v/>
      </c>
      <c r="F875" s="0" t="str">
        <f aca="false">IF(E875="","",RANK(E875,$E$2:$E$5001,1))</f>
        <v/>
      </c>
      <c r="G875" s="0" t="n">
        <f aca="false">IF(A875="",0,IF(SUMPRODUCT(--($A$2:$A$5001=A875))&gt;1,1,0))</f>
        <v>0</v>
      </c>
      <c r="H875" s="0" t="n">
        <f aca="false">ROW()-1</f>
        <v>874</v>
      </c>
      <c r="I875" s="0" t="str">
        <f aca="false">IF(OR(הגדרות!$E$6=0,H875&gt;הגדרות!$E$5),"",IF(H875-1&lt;הגדרות!$E$8*(הגדרות!$E$7+1),INT((H875-1)/(הגדרות!$E$7+1)),הגדרות!$E$8+INT((H875-1-הגדרות!$E$8*(הגדרות!$E$7+1))/הגדרות!$E$7)))</f>
        <v/>
      </c>
      <c r="J875" s="0" t="str">
        <f aca="false">IF(I875="","",IF(H875-1&lt;הגדרות!$E$8*(הגדרות!$E$7+1),MOD(H875-1,הגדרות!$E$7+1),MOD(H875-1-הגדרות!$E$8*(הגדרות!$E$7+1),הגדרות!$E$7)))</f>
        <v/>
      </c>
      <c r="K875" s="0" t="str">
        <f aca="false">IF(I875="","",J875*הגדרות!$E$6+I875+1)</f>
        <v/>
      </c>
      <c r="L875" s="0" t="str">
        <f aca="false">IF(K875="","",MATCH(K875,$F$2:$F$5001,0))</f>
        <v/>
      </c>
      <c r="M875" s="0" t="str">
        <f aca="false">IF(I875="","",INDEX(הגדרות!$A$2:$A$21,MOD(I875+הגדרות!$E$9,הגדרות!$E$6)+1))</f>
        <v/>
      </c>
    </row>
    <row r="876" customFormat="false" ht="15" hidden="false" customHeight="false" outlineLevel="0" collapsed="false">
      <c r="A876" s="0" t="str">
        <f aca="false">IF('הדבקת לידים'!A876="","",IF(ISNUMBER('הדבקת לידים'!A876),IF(הגדרות!$E$2&gt;0,TEXT('הדבקת לידים'!A876,REPT("0",הגדרות!$E$2)),TEXT('הדבקת לידים'!A876,"0")),TRIM('הדבקת לידים'!A876)))</f>
        <v/>
      </c>
      <c r="B876" s="0" t="str">
        <f aca="false">IF('הדבקת לידים'!B876="","",IF(ISNUMBER('הדבקת לידים'!B876),IF(הגדרות!$E$3&gt;0,TEXT('הדבקת לידים'!B876,REPT("0",הגדרות!$E$3)),TEXT('הדבקת לידים'!B876,"0")),TRIM('הדבקת לידים'!B876)))</f>
        <v/>
      </c>
      <c r="C876" s="0" t="n">
        <f aca="false">IF(OR(A876&lt;&gt;"",B876&lt;&gt;""),1,0)</f>
        <v>0</v>
      </c>
      <c r="D876" s="0" t="str">
        <f aca="false">IF(C876=1,MOD(ABS(SIN(ROW()*12.9898+'הדבקת לידים'!$F$2*78.233+IFERROR(--RIGHT(A876,6),LEN(A876))*0.0137+IFERROR(--RIGHT(B876,6),LEN(B876))*0.0071))*43758.5453,1),"")</f>
        <v/>
      </c>
      <c r="E876" s="0" t="str">
        <f aca="false">IF(C876=1,INT(MOD(ABS(SIN(D876*7919.123+ROW()*0.618+'הדבקת לידים'!$F$2*1.3))*43758.5453,1)*1000000)*10000+ROW(),"")</f>
        <v/>
      </c>
      <c r="F876" s="0" t="str">
        <f aca="false">IF(E876="","",RANK(E876,$E$2:$E$5001,1))</f>
        <v/>
      </c>
      <c r="G876" s="0" t="n">
        <f aca="false">IF(A876="",0,IF(SUMPRODUCT(--($A$2:$A$5001=A876))&gt;1,1,0))</f>
        <v>0</v>
      </c>
      <c r="H876" s="0" t="n">
        <f aca="false">ROW()-1</f>
        <v>875</v>
      </c>
      <c r="I876" s="0" t="str">
        <f aca="false">IF(OR(הגדרות!$E$6=0,H876&gt;הגדרות!$E$5),"",IF(H876-1&lt;הגדרות!$E$8*(הגדרות!$E$7+1),INT((H876-1)/(הגדרות!$E$7+1)),הגדרות!$E$8+INT((H876-1-הגדרות!$E$8*(הגדרות!$E$7+1))/הגדרות!$E$7)))</f>
        <v/>
      </c>
      <c r="J876" s="0" t="str">
        <f aca="false">IF(I876="","",IF(H876-1&lt;הגדרות!$E$8*(הגדרות!$E$7+1),MOD(H876-1,הגדרות!$E$7+1),MOD(H876-1-הגדרות!$E$8*(הגדרות!$E$7+1),הגדרות!$E$7)))</f>
        <v/>
      </c>
      <c r="K876" s="0" t="str">
        <f aca="false">IF(I876="","",J876*הגדרות!$E$6+I876+1)</f>
        <v/>
      </c>
      <c r="L876" s="0" t="str">
        <f aca="false">IF(K876="","",MATCH(K876,$F$2:$F$5001,0))</f>
        <v/>
      </c>
      <c r="M876" s="0" t="str">
        <f aca="false">IF(I876="","",INDEX(הגדרות!$A$2:$A$21,MOD(I876+הגדרות!$E$9,הגדרות!$E$6)+1))</f>
        <v/>
      </c>
    </row>
    <row r="877" customFormat="false" ht="15" hidden="false" customHeight="false" outlineLevel="0" collapsed="false">
      <c r="A877" s="0" t="str">
        <f aca="false">IF('הדבקת לידים'!A877="","",IF(ISNUMBER('הדבקת לידים'!A877),IF(הגדרות!$E$2&gt;0,TEXT('הדבקת לידים'!A877,REPT("0",הגדרות!$E$2)),TEXT('הדבקת לידים'!A877,"0")),TRIM('הדבקת לידים'!A877)))</f>
        <v/>
      </c>
      <c r="B877" s="0" t="str">
        <f aca="false">IF('הדבקת לידים'!B877="","",IF(ISNUMBER('הדבקת לידים'!B877),IF(הגדרות!$E$3&gt;0,TEXT('הדבקת לידים'!B877,REPT("0",הגדרות!$E$3)),TEXT('הדבקת לידים'!B877,"0")),TRIM('הדבקת לידים'!B877)))</f>
        <v/>
      </c>
      <c r="C877" s="0" t="n">
        <f aca="false">IF(OR(A877&lt;&gt;"",B877&lt;&gt;""),1,0)</f>
        <v>0</v>
      </c>
      <c r="D877" s="0" t="str">
        <f aca="false">IF(C877=1,MOD(ABS(SIN(ROW()*12.9898+'הדבקת לידים'!$F$2*78.233+IFERROR(--RIGHT(A877,6),LEN(A877))*0.0137+IFERROR(--RIGHT(B877,6),LEN(B877))*0.0071))*43758.5453,1),"")</f>
        <v/>
      </c>
      <c r="E877" s="0" t="str">
        <f aca="false">IF(C877=1,INT(MOD(ABS(SIN(D877*7919.123+ROW()*0.618+'הדבקת לידים'!$F$2*1.3))*43758.5453,1)*1000000)*10000+ROW(),"")</f>
        <v/>
      </c>
      <c r="F877" s="0" t="str">
        <f aca="false">IF(E877="","",RANK(E877,$E$2:$E$5001,1))</f>
        <v/>
      </c>
      <c r="G877" s="0" t="n">
        <f aca="false">IF(A877="",0,IF(SUMPRODUCT(--($A$2:$A$5001=A877))&gt;1,1,0))</f>
        <v>0</v>
      </c>
      <c r="H877" s="0" t="n">
        <f aca="false">ROW()-1</f>
        <v>876</v>
      </c>
      <c r="I877" s="0" t="str">
        <f aca="false">IF(OR(הגדרות!$E$6=0,H877&gt;הגדרות!$E$5),"",IF(H877-1&lt;הגדרות!$E$8*(הגדרות!$E$7+1),INT((H877-1)/(הגדרות!$E$7+1)),הגדרות!$E$8+INT((H877-1-הגדרות!$E$8*(הגדרות!$E$7+1))/הגדרות!$E$7)))</f>
        <v/>
      </c>
      <c r="J877" s="0" t="str">
        <f aca="false">IF(I877="","",IF(H877-1&lt;הגדרות!$E$8*(הגדרות!$E$7+1),MOD(H877-1,הגדרות!$E$7+1),MOD(H877-1-הגדרות!$E$8*(הגדרות!$E$7+1),הגדרות!$E$7)))</f>
        <v/>
      </c>
      <c r="K877" s="0" t="str">
        <f aca="false">IF(I877="","",J877*הגדרות!$E$6+I877+1)</f>
        <v/>
      </c>
      <c r="L877" s="0" t="str">
        <f aca="false">IF(K877="","",MATCH(K877,$F$2:$F$5001,0))</f>
        <v/>
      </c>
      <c r="M877" s="0" t="str">
        <f aca="false">IF(I877="","",INDEX(הגדרות!$A$2:$A$21,MOD(I877+הגדרות!$E$9,הגדרות!$E$6)+1))</f>
        <v/>
      </c>
    </row>
    <row r="878" customFormat="false" ht="15" hidden="false" customHeight="false" outlineLevel="0" collapsed="false">
      <c r="A878" s="0" t="str">
        <f aca="false">IF('הדבקת לידים'!A878="","",IF(ISNUMBER('הדבקת לידים'!A878),IF(הגדרות!$E$2&gt;0,TEXT('הדבקת לידים'!A878,REPT("0",הגדרות!$E$2)),TEXT('הדבקת לידים'!A878,"0")),TRIM('הדבקת לידים'!A878)))</f>
        <v/>
      </c>
      <c r="B878" s="0" t="str">
        <f aca="false">IF('הדבקת לידים'!B878="","",IF(ISNUMBER('הדבקת לידים'!B878),IF(הגדרות!$E$3&gt;0,TEXT('הדבקת לידים'!B878,REPT("0",הגדרות!$E$3)),TEXT('הדבקת לידים'!B878,"0")),TRIM('הדבקת לידים'!B878)))</f>
        <v/>
      </c>
      <c r="C878" s="0" t="n">
        <f aca="false">IF(OR(A878&lt;&gt;"",B878&lt;&gt;""),1,0)</f>
        <v>0</v>
      </c>
      <c r="D878" s="0" t="str">
        <f aca="false">IF(C878=1,MOD(ABS(SIN(ROW()*12.9898+'הדבקת לידים'!$F$2*78.233+IFERROR(--RIGHT(A878,6),LEN(A878))*0.0137+IFERROR(--RIGHT(B878,6),LEN(B878))*0.0071))*43758.5453,1),"")</f>
        <v/>
      </c>
      <c r="E878" s="0" t="str">
        <f aca="false">IF(C878=1,INT(MOD(ABS(SIN(D878*7919.123+ROW()*0.618+'הדבקת לידים'!$F$2*1.3))*43758.5453,1)*1000000)*10000+ROW(),"")</f>
        <v/>
      </c>
      <c r="F878" s="0" t="str">
        <f aca="false">IF(E878="","",RANK(E878,$E$2:$E$5001,1))</f>
        <v/>
      </c>
      <c r="G878" s="0" t="n">
        <f aca="false">IF(A878="",0,IF(SUMPRODUCT(--($A$2:$A$5001=A878))&gt;1,1,0))</f>
        <v>0</v>
      </c>
      <c r="H878" s="0" t="n">
        <f aca="false">ROW()-1</f>
        <v>877</v>
      </c>
      <c r="I878" s="0" t="str">
        <f aca="false">IF(OR(הגדרות!$E$6=0,H878&gt;הגדרות!$E$5),"",IF(H878-1&lt;הגדרות!$E$8*(הגדרות!$E$7+1),INT((H878-1)/(הגדרות!$E$7+1)),הגדרות!$E$8+INT((H878-1-הגדרות!$E$8*(הגדרות!$E$7+1))/הגדרות!$E$7)))</f>
        <v/>
      </c>
      <c r="J878" s="0" t="str">
        <f aca="false">IF(I878="","",IF(H878-1&lt;הגדרות!$E$8*(הגדרות!$E$7+1),MOD(H878-1,הגדרות!$E$7+1),MOD(H878-1-הגדרות!$E$8*(הגדרות!$E$7+1),הגדרות!$E$7)))</f>
        <v/>
      </c>
      <c r="K878" s="0" t="str">
        <f aca="false">IF(I878="","",J878*הגדרות!$E$6+I878+1)</f>
        <v/>
      </c>
      <c r="L878" s="0" t="str">
        <f aca="false">IF(K878="","",MATCH(K878,$F$2:$F$5001,0))</f>
        <v/>
      </c>
      <c r="M878" s="0" t="str">
        <f aca="false">IF(I878="","",INDEX(הגדרות!$A$2:$A$21,MOD(I878+הגדרות!$E$9,הגדרות!$E$6)+1))</f>
        <v/>
      </c>
    </row>
    <row r="879" customFormat="false" ht="15" hidden="false" customHeight="false" outlineLevel="0" collapsed="false">
      <c r="A879" s="0" t="str">
        <f aca="false">IF('הדבקת לידים'!A879="","",IF(ISNUMBER('הדבקת לידים'!A879),IF(הגדרות!$E$2&gt;0,TEXT('הדבקת לידים'!A879,REPT("0",הגדרות!$E$2)),TEXT('הדבקת לידים'!A879,"0")),TRIM('הדבקת לידים'!A879)))</f>
        <v/>
      </c>
      <c r="B879" s="0" t="str">
        <f aca="false">IF('הדבקת לידים'!B879="","",IF(ISNUMBER('הדבקת לידים'!B879),IF(הגדרות!$E$3&gt;0,TEXT('הדבקת לידים'!B879,REPT("0",הגדרות!$E$3)),TEXT('הדבקת לידים'!B879,"0")),TRIM('הדבקת לידים'!B879)))</f>
        <v/>
      </c>
      <c r="C879" s="0" t="n">
        <f aca="false">IF(OR(A879&lt;&gt;"",B879&lt;&gt;""),1,0)</f>
        <v>0</v>
      </c>
      <c r="D879" s="0" t="str">
        <f aca="false">IF(C879=1,MOD(ABS(SIN(ROW()*12.9898+'הדבקת לידים'!$F$2*78.233+IFERROR(--RIGHT(A879,6),LEN(A879))*0.0137+IFERROR(--RIGHT(B879,6),LEN(B879))*0.0071))*43758.5453,1),"")</f>
        <v/>
      </c>
      <c r="E879" s="0" t="str">
        <f aca="false">IF(C879=1,INT(MOD(ABS(SIN(D879*7919.123+ROW()*0.618+'הדבקת לידים'!$F$2*1.3))*43758.5453,1)*1000000)*10000+ROW(),"")</f>
        <v/>
      </c>
      <c r="F879" s="0" t="str">
        <f aca="false">IF(E879="","",RANK(E879,$E$2:$E$5001,1))</f>
        <v/>
      </c>
      <c r="G879" s="0" t="n">
        <f aca="false">IF(A879="",0,IF(SUMPRODUCT(--($A$2:$A$5001=A879))&gt;1,1,0))</f>
        <v>0</v>
      </c>
      <c r="H879" s="0" t="n">
        <f aca="false">ROW()-1</f>
        <v>878</v>
      </c>
      <c r="I879" s="0" t="str">
        <f aca="false">IF(OR(הגדרות!$E$6=0,H879&gt;הגדרות!$E$5),"",IF(H879-1&lt;הגדרות!$E$8*(הגדרות!$E$7+1),INT((H879-1)/(הגדרות!$E$7+1)),הגדרות!$E$8+INT((H879-1-הגדרות!$E$8*(הגדרות!$E$7+1))/הגדרות!$E$7)))</f>
        <v/>
      </c>
      <c r="J879" s="0" t="str">
        <f aca="false">IF(I879="","",IF(H879-1&lt;הגדרות!$E$8*(הגדרות!$E$7+1),MOD(H879-1,הגדרות!$E$7+1),MOD(H879-1-הגדרות!$E$8*(הגדרות!$E$7+1),הגדרות!$E$7)))</f>
        <v/>
      </c>
      <c r="K879" s="0" t="str">
        <f aca="false">IF(I879="","",J879*הגדרות!$E$6+I879+1)</f>
        <v/>
      </c>
      <c r="L879" s="0" t="str">
        <f aca="false">IF(K879="","",MATCH(K879,$F$2:$F$5001,0))</f>
        <v/>
      </c>
      <c r="M879" s="0" t="str">
        <f aca="false">IF(I879="","",INDEX(הגדרות!$A$2:$A$21,MOD(I879+הגדרות!$E$9,הגדרות!$E$6)+1))</f>
        <v/>
      </c>
    </row>
    <row r="880" customFormat="false" ht="15" hidden="false" customHeight="false" outlineLevel="0" collapsed="false">
      <c r="A880" s="0" t="str">
        <f aca="false">IF('הדבקת לידים'!A880="","",IF(ISNUMBER('הדבקת לידים'!A880),IF(הגדרות!$E$2&gt;0,TEXT('הדבקת לידים'!A880,REPT("0",הגדרות!$E$2)),TEXT('הדבקת לידים'!A880,"0")),TRIM('הדבקת לידים'!A880)))</f>
        <v/>
      </c>
      <c r="B880" s="0" t="str">
        <f aca="false">IF('הדבקת לידים'!B880="","",IF(ISNUMBER('הדבקת לידים'!B880),IF(הגדרות!$E$3&gt;0,TEXT('הדבקת לידים'!B880,REPT("0",הגדרות!$E$3)),TEXT('הדבקת לידים'!B880,"0")),TRIM('הדבקת לידים'!B880)))</f>
        <v/>
      </c>
      <c r="C880" s="0" t="n">
        <f aca="false">IF(OR(A880&lt;&gt;"",B880&lt;&gt;""),1,0)</f>
        <v>0</v>
      </c>
      <c r="D880" s="0" t="str">
        <f aca="false">IF(C880=1,MOD(ABS(SIN(ROW()*12.9898+'הדבקת לידים'!$F$2*78.233+IFERROR(--RIGHT(A880,6),LEN(A880))*0.0137+IFERROR(--RIGHT(B880,6),LEN(B880))*0.0071))*43758.5453,1),"")</f>
        <v/>
      </c>
      <c r="E880" s="0" t="str">
        <f aca="false">IF(C880=1,INT(MOD(ABS(SIN(D880*7919.123+ROW()*0.618+'הדבקת לידים'!$F$2*1.3))*43758.5453,1)*1000000)*10000+ROW(),"")</f>
        <v/>
      </c>
      <c r="F880" s="0" t="str">
        <f aca="false">IF(E880="","",RANK(E880,$E$2:$E$5001,1))</f>
        <v/>
      </c>
      <c r="G880" s="0" t="n">
        <f aca="false">IF(A880="",0,IF(SUMPRODUCT(--($A$2:$A$5001=A880))&gt;1,1,0))</f>
        <v>0</v>
      </c>
      <c r="H880" s="0" t="n">
        <f aca="false">ROW()-1</f>
        <v>879</v>
      </c>
      <c r="I880" s="0" t="str">
        <f aca="false">IF(OR(הגדרות!$E$6=0,H880&gt;הגדרות!$E$5),"",IF(H880-1&lt;הגדרות!$E$8*(הגדרות!$E$7+1),INT((H880-1)/(הגדרות!$E$7+1)),הגדרות!$E$8+INT((H880-1-הגדרות!$E$8*(הגדרות!$E$7+1))/הגדרות!$E$7)))</f>
        <v/>
      </c>
      <c r="J880" s="0" t="str">
        <f aca="false">IF(I880="","",IF(H880-1&lt;הגדרות!$E$8*(הגדרות!$E$7+1),MOD(H880-1,הגדרות!$E$7+1),MOD(H880-1-הגדרות!$E$8*(הגדרות!$E$7+1),הגדרות!$E$7)))</f>
        <v/>
      </c>
      <c r="K880" s="0" t="str">
        <f aca="false">IF(I880="","",J880*הגדרות!$E$6+I880+1)</f>
        <v/>
      </c>
      <c r="L880" s="0" t="str">
        <f aca="false">IF(K880="","",MATCH(K880,$F$2:$F$5001,0))</f>
        <v/>
      </c>
      <c r="M880" s="0" t="str">
        <f aca="false">IF(I880="","",INDEX(הגדרות!$A$2:$A$21,MOD(I880+הגדרות!$E$9,הגדרות!$E$6)+1))</f>
        <v/>
      </c>
    </row>
    <row r="881" customFormat="false" ht="15" hidden="false" customHeight="false" outlineLevel="0" collapsed="false">
      <c r="A881" s="0" t="str">
        <f aca="false">IF('הדבקת לידים'!A881="","",IF(ISNUMBER('הדבקת לידים'!A881),IF(הגדרות!$E$2&gt;0,TEXT('הדבקת לידים'!A881,REPT("0",הגדרות!$E$2)),TEXT('הדבקת לידים'!A881,"0")),TRIM('הדבקת לידים'!A881)))</f>
        <v/>
      </c>
      <c r="B881" s="0" t="str">
        <f aca="false">IF('הדבקת לידים'!B881="","",IF(ISNUMBER('הדבקת לידים'!B881),IF(הגדרות!$E$3&gt;0,TEXT('הדבקת לידים'!B881,REPT("0",הגדרות!$E$3)),TEXT('הדבקת לידים'!B881,"0")),TRIM('הדבקת לידים'!B881)))</f>
        <v/>
      </c>
      <c r="C881" s="0" t="n">
        <f aca="false">IF(OR(A881&lt;&gt;"",B881&lt;&gt;""),1,0)</f>
        <v>0</v>
      </c>
      <c r="D881" s="0" t="str">
        <f aca="false">IF(C881=1,MOD(ABS(SIN(ROW()*12.9898+'הדבקת לידים'!$F$2*78.233+IFERROR(--RIGHT(A881,6),LEN(A881))*0.0137+IFERROR(--RIGHT(B881,6),LEN(B881))*0.0071))*43758.5453,1),"")</f>
        <v/>
      </c>
      <c r="E881" s="0" t="str">
        <f aca="false">IF(C881=1,INT(MOD(ABS(SIN(D881*7919.123+ROW()*0.618+'הדבקת לידים'!$F$2*1.3))*43758.5453,1)*1000000)*10000+ROW(),"")</f>
        <v/>
      </c>
      <c r="F881" s="0" t="str">
        <f aca="false">IF(E881="","",RANK(E881,$E$2:$E$5001,1))</f>
        <v/>
      </c>
      <c r="G881" s="0" t="n">
        <f aca="false">IF(A881="",0,IF(SUMPRODUCT(--($A$2:$A$5001=A881))&gt;1,1,0))</f>
        <v>0</v>
      </c>
      <c r="H881" s="0" t="n">
        <f aca="false">ROW()-1</f>
        <v>880</v>
      </c>
      <c r="I881" s="0" t="str">
        <f aca="false">IF(OR(הגדרות!$E$6=0,H881&gt;הגדרות!$E$5),"",IF(H881-1&lt;הגדרות!$E$8*(הגדרות!$E$7+1),INT((H881-1)/(הגדרות!$E$7+1)),הגדרות!$E$8+INT((H881-1-הגדרות!$E$8*(הגדרות!$E$7+1))/הגדרות!$E$7)))</f>
        <v/>
      </c>
      <c r="J881" s="0" t="str">
        <f aca="false">IF(I881="","",IF(H881-1&lt;הגדרות!$E$8*(הגדרות!$E$7+1),MOD(H881-1,הגדרות!$E$7+1),MOD(H881-1-הגדרות!$E$8*(הגדרות!$E$7+1),הגדרות!$E$7)))</f>
        <v/>
      </c>
      <c r="K881" s="0" t="str">
        <f aca="false">IF(I881="","",J881*הגדרות!$E$6+I881+1)</f>
        <v/>
      </c>
      <c r="L881" s="0" t="str">
        <f aca="false">IF(K881="","",MATCH(K881,$F$2:$F$5001,0))</f>
        <v/>
      </c>
      <c r="M881" s="0" t="str">
        <f aca="false">IF(I881="","",INDEX(הגדרות!$A$2:$A$21,MOD(I881+הגדרות!$E$9,הגדרות!$E$6)+1))</f>
        <v/>
      </c>
    </row>
    <row r="882" customFormat="false" ht="15" hidden="false" customHeight="false" outlineLevel="0" collapsed="false">
      <c r="A882" s="0" t="str">
        <f aca="false">IF('הדבקת לידים'!A882="","",IF(ISNUMBER('הדבקת לידים'!A882),IF(הגדרות!$E$2&gt;0,TEXT('הדבקת לידים'!A882,REPT("0",הגדרות!$E$2)),TEXT('הדבקת לידים'!A882,"0")),TRIM('הדבקת לידים'!A882)))</f>
        <v/>
      </c>
      <c r="B882" s="0" t="str">
        <f aca="false">IF('הדבקת לידים'!B882="","",IF(ISNUMBER('הדבקת לידים'!B882),IF(הגדרות!$E$3&gt;0,TEXT('הדבקת לידים'!B882,REPT("0",הגדרות!$E$3)),TEXT('הדבקת לידים'!B882,"0")),TRIM('הדבקת לידים'!B882)))</f>
        <v/>
      </c>
      <c r="C882" s="0" t="n">
        <f aca="false">IF(OR(A882&lt;&gt;"",B882&lt;&gt;""),1,0)</f>
        <v>0</v>
      </c>
      <c r="D882" s="0" t="str">
        <f aca="false">IF(C882=1,MOD(ABS(SIN(ROW()*12.9898+'הדבקת לידים'!$F$2*78.233+IFERROR(--RIGHT(A882,6),LEN(A882))*0.0137+IFERROR(--RIGHT(B882,6),LEN(B882))*0.0071))*43758.5453,1),"")</f>
        <v/>
      </c>
      <c r="E882" s="0" t="str">
        <f aca="false">IF(C882=1,INT(MOD(ABS(SIN(D882*7919.123+ROW()*0.618+'הדבקת לידים'!$F$2*1.3))*43758.5453,1)*1000000)*10000+ROW(),"")</f>
        <v/>
      </c>
      <c r="F882" s="0" t="str">
        <f aca="false">IF(E882="","",RANK(E882,$E$2:$E$5001,1))</f>
        <v/>
      </c>
      <c r="G882" s="0" t="n">
        <f aca="false">IF(A882="",0,IF(SUMPRODUCT(--($A$2:$A$5001=A882))&gt;1,1,0))</f>
        <v>0</v>
      </c>
      <c r="H882" s="0" t="n">
        <f aca="false">ROW()-1</f>
        <v>881</v>
      </c>
      <c r="I882" s="0" t="str">
        <f aca="false">IF(OR(הגדרות!$E$6=0,H882&gt;הגדרות!$E$5),"",IF(H882-1&lt;הגדרות!$E$8*(הגדרות!$E$7+1),INT((H882-1)/(הגדרות!$E$7+1)),הגדרות!$E$8+INT((H882-1-הגדרות!$E$8*(הגדרות!$E$7+1))/הגדרות!$E$7)))</f>
        <v/>
      </c>
      <c r="J882" s="0" t="str">
        <f aca="false">IF(I882="","",IF(H882-1&lt;הגדרות!$E$8*(הגדרות!$E$7+1),MOD(H882-1,הגדרות!$E$7+1),MOD(H882-1-הגדרות!$E$8*(הגדרות!$E$7+1),הגדרות!$E$7)))</f>
        <v/>
      </c>
      <c r="K882" s="0" t="str">
        <f aca="false">IF(I882="","",J882*הגדרות!$E$6+I882+1)</f>
        <v/>
      </c>
      <c r="L882" s="0" t="str">
        <f aca="false">IF(K882="","",MATCH(K882,$F$2:$F$5001,0))</f>
        <v/>
      </c>
      <c r="M882" s="0" t="str">
        <f aca="false">IF(I882="","",INDEX(הגדרות!$A$2:$A$21,MOD(I882+הגדרות!$E$9,הגדרות!$E$6)+1))</f>
        <v/>
      </c>
    </row>
    <row r="883" customFormat="false" ht="15" hidden="false" customHeight="false" outlineLevel="0" collapsed="false">
      <c r="A883" s="0" t="str">
        <f aca="false">IF('הדבקת לידים'!A883="","",IF(ISNUMBER('הדבקת לידים'!A883),IF(הגדרות!$E$2&gt;0,TEXT('הדבקת לידים'!A883,REPT("0",הגדרות!$E$2)),TEXT('הדבקת לידים'!A883,"0")),TRIM('הדבקת לידים'!A883)))</f>
        <v/>
      </c>
      <c r="B883" s="0" t="str">
        <f aca="false">IF('הדבקת לידים'!B883="","",IF(ISNUMBER('הדבקת לידים'!B883),IF(הגדרות!$E$3&gt;0,TEXT('הדבקת לידים'!B883,REPT("0",הגדרות!$E$3)),TEXT('הדבקת לידים'!B883,"0")),TRIM('הדבקת לידים'!B883)))</f>
        <v/>
      </c>
      <c r="C883" s="0" t="n">
        <f aca="false">IF(OR(A883&lt;&gt;"",B883&lt;&gt;""),1,0)</f>
        <v>0</v>
      </c>
      <c r="D883" s="0" t="str">
        <f aca="false">IF(C883=1,MOD(ABS(SIN(ROW()*12.9898+'הדבקת לידים'!$F$2*78.233+IFERROR(--RIGHT(A883,6),LEN(A883))*0.0137+IFERROR(--RIGHT(B883,6),LEN(B883))*0.0071))*43758.5453,1),"")</f>
        <v/>
      </c>
      <c r="E883" s="0" t="str">
        <f aca="false">IF(C883=1,INT(MOD(ABS(SIN(D883*7919.123+ROW()*0.618+'הדבקת לידים'!$F$2*1.3))*43758.5453,1)*1000000)*10000+ROW(),"")</f>
        <v/>
      </c>
      <c r="F883" s="0" t="str">
        <f aca="false">IF(E883="","",RANK(E883,$E$2:$E$5001,1))</f>
        <v/>
      </c>
      <c r="G883" s="0" t="n">
        <f aca="false">IF(A883="",0,IF(SUMPRODUCT(--($A$2:$A$5001=A883))&gt;1,1,0))</f>
        <v>0</v>
      </c>
      <c r="H883" s="0" t="n">
        <f aca="false">ROW()-1</f>
        <v>882</v>
      </c>
      <c r="I883" s="0" t="str">
        <f aca="false">IF(OR(הגדרות!$E$6=0,H883&gt;הגדרות!$E$5),"",IF(H883-1&lt;הגדרות!$E$8*(הגדרות!$E$7+1),INT((H883-1)/(הגדרות!$E$7+1)),הגדרות!$E$8+INT((H883-1-הגדרות!$E$8*(הגדרות!$E$7+1))/הגדרות!$E$7)))</f>
        <v/>
      </c>
      <c r="J883" s="0" t="str">
        <f aca="false">IF(I883="","",IF(H883-1&lt;הגדרות!$E$8*(הגדרות!$E$7+1),MOD(H883-1,הגדרות!$E$7+1),MOD(H883-1-הגדרות!$E$8*(הגדרות!$E$7+1),הגדרות!$E$7)))</f>
        <v/>
      </c>
      <c r="K883" s="0" t="str">
        <f aca="false">IF(I883="","",J883*הגדרות!$E$6+I883+1)</f>
        <v/>
      </c>
      <c r="L883" s="0" t="str">
        <f aca="false">IF(K883="","",MATCH(K883,$F$2:$F$5001,0))</f>
        <v/>
      </c>
      <c r="M883" s="0" t="str">
        <f aca="false">IF(I883="","",INDEX(הגדרות!$A$2:$A$21,MOD(I883+הגדרות!$E$9,הגדרות!$E$6)+1))</f>
        <v/>
      </c>
    </row>
    <row r="884" customFormat="false" ht="15" hidden="false" customHeight="false" outlineLevel="0" collapsed="false">
      <c r="A884" s="0" t="str">
        <f aca="false">IF('הדבקת לידים'!A884="","",IF(ISNUMBER('הדבקת לידים'!A884),IF(הגדרות!$E$2&gt;0,TEXT('הדבקת לידים'!A884,REPT("0",הגדרות!$E$2)),TEXT('הדבקת לידים'!A884,"0")),TRIM('הדבקת לידים'!A884)))</f>
        <v/>
      </c>
      <c r="B884" s="0" t="str">
        <f aca="false">IF('הדבקת לידים'!B884="","",IF(ISNUMBER('הדבקת לידים'!B884),IF(הגדרות!$E$3&gt;0,TEXT('הדבקת לידים'!B884,REPT("0",הגדרות!$E$3)),TEXT('הדבקת לידים'!B884,"0")),TRIM('הדבקת לידים'!B884)))</f>
        <v/>
      </c>
      <c r="C884" s="0" t="n">
        <f aca="false">IF(OR(A884&lt;&gt;"",B884&lt;&gt;""),1,0)</f>
        <v>0</v>
      </c>
      <c r="D884" s="0" t="str">
        <f aca="false">IF(C884=1,MOD(ABS(SIN(ROW()*12.9898+'הדבקת לידים'!$F$2*78.233+IFERROR(--RIGHT(A884,6),LEN(A884))*0.0137+IFERROR(--RIGHT(B884,6),LEN(B884))*0.0071))*43758.5453,1),"")</f>
        <v/>
      </c>
      <c r="E884" s="0" t="str">
        <f aca="false">IF(C884=1,INT(MOD(ABS(SIN(D884*7919.123+ROW()*0.618+'הדבקת לידים'!$F$2*1.3))*43758.5453,1)*1000000)*10000+ROW(),"")</f>
        <v/>
      </c>
      <c r="F884" s="0" t="str">
        <f aca="false">IF(E884="","",RANK(E884,$E$2:$E$5001,1))</f>
        <v/>
      </c>
      <c r="G884" s="0" t="n">
        <f aca="false">IF(A884="",0,IF(SUMPRODUCT(--($A$2:$A$5001=A884))&gt;1,1,0))</f>
        <v>0</v>
      </c>
      <c r="H884" s="0" t="n">
        <f aca="false">ROW()-1</f>
        <v>883</v>
      </c>
      <c r="I884" s="0" t="str">
        <f aca="false">IF(OR(הגדרות!$E$6=0,H884&gt;הגדרות!$E$5),"",IF(H884-1&lt;הגדרות!$E$8*(הגדרות!$E$7+1),INT((H884-1)/(הגדרות!$E$7+1)),הגדרות!$E$8+INT((H884-1-הגדרות!$E$8*(הגדרות!$E$7+1))/הגדרות!$E$7)))</f>
        <v/>
      </c>
      <c r="J884" s="0" t="str">
        <f aca="false">IF(I884="","",IF(H884-1&lt;הגדרות!$E$8*(הגדרות!$E$7+1),MOD(H884-1,הגדרות!$E$7+1),MOD(H884-1-הגדרות!$E$8*(הגדרות!$E$7+1),הגדרות!$E$7)))</f>
        <v/>
      </c>
      <c r="K884" s="0" t="str">
        <f aca="false">IF(I884="","",J884*הגדרות!$E$6+I884+1)</f>
        <v/>
      </c>
      <c r="L884" s="0" t="str">
        <f aca="false">IF(K884="","",MATCH(K884,$F$2:$F$5001,0))</f>
        <v/>
      </c>
      <c r="M884" s="0" t="str">
        <f aca="false">IF(I884="","",INDEX(הגדרות!$A$2:$A$21,MOD(I884+הגדרות!$E$9,הגדרות!$E$6)+1))</f>
        <v/>
      </c>
    </row>
    <row r="885" customFormat="false" ht="15" hidden="false" customHeight="false" outlineLevel="0" collapsed="false">
      <c r="A885" s="0" t="str">
        <f aca="false">IF('הדבקת לידים'!A885="","",IF(ISNUMBER('הדבקת לידים'!A885),IF(הגדרות!$E$2&gt;0,TEXT('הדבקת לידים'!A885,REPT("0",הגדרות!$E$2)),TEXT('הדבקת לידים'!A885,"0")),TRIM('הדבקת לידים'!A885)))</f>
        <v/>
      </c>
      <c r="B885" s="0" t="str">
        <f aca="false">IF('הדבקת לידים'!B885="","",IF(ISNUMBER('הדבקת לידים'!B885),IF(הגדרות!$E$3&gt;0,TEXT('הדבקת לידים'!B885,REPT("0",הגדרות!$E$3)),TEXT('הדבקת לידים'!B885,"0")),TRIM('הדבקת לידים'!B885)))</f>
        <v/>
      </c>
      <c r="C885" s="0" t="n">
        <f aca="false">IF(OR(A885&lt;&gt;"",B885&lt;&gt;""),1,0)</f>
        <v>0</v>
      </c>
      <c r="D885" s="0" t="str">
        <f aca="false">IF(C885=1,MOD(ABS(SIN(ROW()*12.9898+'הדבקת לידים'!$F$2*78.233+IFERROR(--RIGHT(A885,6),LEN(A885))*0.0137+IFERROR(--RIGHT(B885,6),LEN(B885))*0.0071))*43758.5453,1),"")</f>
        <v/>
      </c>
      <c r="E885" s="0" t="str">
        <f aca="false">IF(C885=1,INT(MOD(ABS(SIN(D885*7919.123+ROW()*0.618+'הדבקת לידים'!$F$2*1.3))*43758.5453,1)*1000000)*10000+ROW(),"")</f>
        <v/>
      </c>
      <c r="F885" s="0" t="str">
        <f aca="false">IF(E885="","",RANK(E885,$E$2:$E$5001,1))</f>
        <v/>
      </c>
      <c r="G885" s="0" t="n">
        <f aca="false">IF(A885="",0,IF(SUMPRODUCT(--($A$2:$A$5001=A885))&gt;1,1,0))</f>
        <v>0</v>
      </c>
      <c r="H885" s="0" t="n">
        <f aca="false">ROW()-1</f>
        <v>884</v>
      </c>
      <c r="I885" s="0" t="str">
        <f aca="false">IF(OR(הגדרות!$E$6=0,H885&gt;הגדרות!$E$5),"",IF(H885-1&lt;הגדרות!$E$8*(הגדרות!$E$7+1),INT((H885-1)/(הגדרות!$E$7+1)),הגדרות!$E$8+INT((H885-1-הגדרות!$E$8*(הגדרות!$E$7+1))/הגדרות!$E$7)))</f>
        <v/>
      </c>
      <c r="J885" s="0" t="str">
        <f aca="false">IF(I885="","",IF(H885-1&lt;הגדרות!$E$8*(הגדרות!$E$7+1),MOD(H885-1,הגדרות!$E$7+1),MOD(H885-1-הגדרות!$E$8*(הגדרות!$E$7+1),הגדרות!$E$7)))</f>
        <v/>
      </c>
      <c r="K885" s="0" t="str">
        <f aca="false">IF(I885="","",J885*הגדרות!$E$6+I885+1)</f>
        <v/>
      </c>
      <c r="L885" s="0" t="str">
        <f aca="false">IF(K885="","",MATCH(K885,$F$2:$F$5001,0))</f>
        <v/>
      </c>
      <c r="M885" s="0" t="str">
        <f aca="false">IF(I885="","",INDEX(הגדרות!$A$2:$A$21,MOD(I885+הגדרות!$E$9,הגדרות!$E$6)+1))</f>
        <v/>
      </c>
    </row>
    <row r="886" customFormat="false" ht="15" hidden="false" customHeight="false" outlineLevel="0" collapsed="false">
      <c r="A886" s="0" t="str">
        <f aca="false">IF('הדבקת לידים'!A886="","",IF(ISNUMBER('הדבקת לידים'!A886),IF(הגדרות!$E$2&gt;0,TEXT('הדבקת לידים'!A886,REPT("0",הגדרות!$E$2)),TEXT('הדבקת לידים'!A886,"0")),TRIM('הדבקת לידים'!A886)))</f>
        <v/>
      </c>
      <c r="B886" s="0" t="str">
        <f aca="false">IF('הדבקת לידים'!B886="","",IF(ISNUMBER('הדבקת לידים'!B886),IF(הגדרות!$E$3&gt;0,TEXT('הדבקת לידים'!B886,REPT("0",הגדרות!$E$3)),TEXT('הדבקת לידים'!B886,"0")),TRIM('הדבקת לידים'!B886)))</f>
        <v/>
      </c>
      <c r="C886" s="0" t="n">
        <f aca="false">IF(OR(A886&lt;&gt;"",B886&lt;&gt;""),1,0)</f>
        <v>0</v>
      </c>
      <c r="D886" s="0" t="str">
        <f aca="false">IF(C886=1,MOD(ABS(SIN(ROW()*12.9898+'הדבקת לידים'!$F$2*78.233+IFERROR(--RIGHT(A886,6),LEN(A886))*0.0137+IFERROR(--RIGHT(B886,6),LEN(B886))*0.0071))*43758.5453,1),"")</f>
        <v/>
      </c>
      <c r="E886" s="0" t="str">
        <f aca="false">IF(C886=1,INT(MOD(ABS(SIN(D886*7919.123+ROW()*0.618+'הדבקת לידים'!$F$2*1.3))*43758.5453,1)*1000000)*10000+ROW(),"")</f>
        <v/>
      </c>
      <c r="F886" s="0" t="str">
        <f aca="false">IF(E886="","",RANK(E886,$E$2:$E$5001,1))</f>
        <v/>
      </c>
      <c r="G886" s="0" t="n">
        <f aca="false">IF(A886="",0,IF(SUMPRODUCT(--($A$2:$A$5001=A886))&gt;1,1,0))</f>
        <v>0</v>
      </c>
      <c r="H886" s="0" t="n">
        <f aca="false">ROW()-1</f>
        <v>885</v>
      </c>
      <c r="I886" s="0" t="str">
        <f aca="false">IF(OR(הגדרות!$E$6=0,H886&gt;הגדרות!$E$5),"",IF(H886-1&lt;הגדרות!$E$8*(הגדרות!$E$7+1),INT((H886-1)/(הגדרות!$E$7+1)),הגדרות!$E$8+INT((H886-1-הגדרות!$E$8*(הגדרות!$E$7+1))/הגדרות!$E$7)))</f>
        <v/>
      </c>
      <c r="J886" s="0" t="str">
        <f aca="false">IF(I886="","",IF(H886-1&lt;הגדרות!$E$8*(הגדרות!$E$7+1),MOD(H886-1,הגדרות!$E$7+1),MOD(H886-1-הגדרות!$E$8*(הגדרות!$E$7+1),הגדרות!$E$7)))</f>
        <v/>
      </c>
      <c r="K886" s="0" t="str">
        <f aca="false">IF(I886="","",J886*הגדרות!$E$6+I886+1)</f>
        <v/>
      </c>
      <c r="L886" s="0" t="str">
        <f aca="false">IF(K886="","",MATCH(K886,$F$2:$F$5001,0))</f>
        <v/>
      </c>
      <c r="M886" s="0" t="str">
        <f aca="false">IF(I886="","",INDEX(הגדרות!$A$2:$A$21,MOD(I886+הגדרות!$E$9,הגדרות!$E$6)+1))</f>
        <v/>
      </c>
    </row>
    <row r="887" customFormat="false" ht="15" hidden="false" customHeight="false" outlineLevel="0" collapsed="false">
      <c r="A887" s="0" t="str">
        <f aca="false">IF('הדבקת לידים'!A887="","",IF(ISNUMBER('הדבקת לידים'!A887),IF(הגדרות!$E$2&gt;0,TEXT('הדבקת לידים'!A887,REPT("0",הגדרות!$E$2)),TEXT('הדבקת לידים'!A887,"0")),TRIM('הדבקת לידים'!A887)))</f>
        <v/>
      </c>
      <c r="B887" s="0" t="str">
        <f aca="false">IF('הדבקת לידים'!B887="","",IF(ISNUMBER('הדבקת לידים'!B887),IF(הגדרות!$E$3&gt;0,TEXT('הדבקת לידים'!B887,REPT("0",הגדרות!$E$3)),TEXT('הדבקת לידים'!B887,"0")),TRIM('הדבקת לידים'!B887)))</f>
        <v/>
      </c>
      <c r="C887" s="0" t="n">
        <f aca="false">IF(OR(A887&lt;&gt;"",B887&lt;&gt;""),1,0)</f>
        <v>0</v>
      </c>
      <c r="D887" s="0" t="str">
        <f aca="false">IF(C887=1,MOD(ABS(SIN(ROW()*12.9898+'הדבקת לידים'!$F$2*78.233+IFERROR(--RIGHT(A887,6),LEN(A887))*0.0137+IFERROR(--RIGHT(B887,6),LEN(B887))*0.0071))*43758.5453,1),"")</f>
        <v/>
      </c>
      <c r="E887" s="0" t="str">
        <f aca="false">IF(C887=1,INT(MOD(ABS(SIN(D887*7919.123+ROW()*0.618+'הדבקת לידים'!$F$2*1.3))*43758.5453,1)*1000000)*10000+ROW(),"")</f>
        <v/>
      </c>
      <c r="F887" s="0" t="str">
        <f aca="false">IF(E887="","",RANK(E887,$E$2:$E$5001,1))</f>
        <v/>
      </c>
      <c r="G887" s="0" t="n">
        <f aca="false">IF(A887="",0,IF(SUMPRODUCT(--($A$2:$A$5001=A887))&gt;1,1,0))</f>
        <v>0</v>
      </c>
      <c r="H887" s="0" t="n">
        <f aca="false">ROW()-1</f>
        <v>886</v>
      </c>
      <c r="I887" s="0" t="str">
        <f aca="false">IF(OR(הגדרות!$E$6=0,H887&gt;הגדרות!$E$5),"",IF(H887-1&lt;הגדרות!$E$8*(הגדרות!$E$7+1),INT((H887-1)/(הגדרות!$E$7+1)),הגדרות!$E$8+INT((H887-1-הגדרות!$E$8*(הגדרות!$E$7+1))/הגדרות!$E$7)))</f>
        <v/>
      </c>
      <c r="J887" s="0" t="str">
        <f aca="false">IF(I887="","",IF(H887-1&lt;הגדרות!$E$8*(הגדרות!$E$7+1),MOD(H887-1,הגדרות!$E$7+1),MOD(H887-1-הגדרות!$E$8*(הגדרות!$E$7+1),הגדרות!$E$7)))</f>
        <v/>
      </c>
      <c r="K887" s="0" t="str">
        <f aca="false">IF(I887="","",J887*הגדרות!$E$6+I887+1)</f>
        <v/>
      </c>
      <c r="L887" s="0" t="str">
        <f aca="false">IF(K887="","",MATCH(K887,$F$2:$F$5001,0))</f>
        <v/>
      </c>
      <c r="M887" s="0" t="str">
        <f aca="false">IF(I887="","",INDEX(הגדרות!$A$2:$A$21,MOD(I887+הגדרות!$E$9,הגדרות!$E$6)+1))</f>
        <v/>
      </c>
    </row>
    <row r="888" customFormat="false" ht="15" hidden="false" customHeight="false" outlineLevel="0" collapsed="false">
      <c r="A888" s="0" t="str">
        <f aca="false">IF('הדבקת לידים'!A888="","",IF(ISNUMBER('הדבקת לידים'!A888),IF(הגדרות!$E$2&gt;0,TEXT('הדבקת לידים'!A888,REPT("0",הגדרות!$E$2)),TEXT('הדבקת לידים'!A888,"0")),TRIM('הדבקת לידים'!A888)))</f>
        <v/>
      </c>
      <c r="B888" s="0" t="str">
        <f aca="false">IF('הדבקת לידים'!B888="","",IF(ISNUMBER('הדבקת לידים'!B888),IF(הגדרות!$E$3&gt;0,TEXT('הדבקת לידים'!B888,REPT("0",הגדרות!$E$3)),TEXT('הדבקת לידים'!B888,"0")),TRIM('הדבקת לידים'!B888)))</f>
        <v/>
      </c>
      <c r="C888" s="0" t="n">
        <f aca="false">IF(OR(A888&lt;&gt;"",B888&lt;&gt;""),1,0)</f>
        <v>0</v>
      </c>
      <c r="D888" s="0" t="str">
        <f aca="false">IF(C888=1,MOD(ABS(SIN(ROW()*12.9898+'הדבקת לידים'!$F$2*78.233+IFERROR(--RIGHT(A888,6),LEN(A888))*0.0137+IFERROR(--RIGHT(B888,6),LEN(B888))*0.0071))*43758.5453,1),"")</f>
        <v/>
      </c>
      <c r="E888" s="0" t="str">
        <f aca="false">IF(C888=1,INT(MOD(ABS(SIN(D888*7919.123+ROW()*0.618+'הדבקת לידים'!$F$2*1.3))*43758.5453,1)*1000000)*10000+ROW(),"")</f>
        <v/>
      </c>
      <c r="F888" s="0" t="str">
        <f aca="false">IF(E888="","",RANK(E888,$E$2:$E$5001,1))</f>
        <v/>
      </c>
      <c r="G888" s="0" t="n">
        <f aca="false">IF(A888="",0,IF(SUMPRODUCT(--($A$2:$A$5001=A888))&gt;1,1,0))</f>
        <v>0</v>
      </c>
      <c r="H888" s="0" t="n">
        <f aca="false">ROW()-1</f>
        <v>887</v>
      </c>
      <c r="I888" s="0" t="str">
        <f aca="false">IF(OR(הגדרות!$E$6=0,H888&gt;הגדרות!$E$5),"",IF(H888-1&lt;הגדרות!$E$8*(הגדרות!$E$7+1),INT((H888-1)/(הגדרות!$E$7+1)),הגדרות!$E$8+INT((H888-1-הגדרות!$E$8*(הגדרות!$E$7+1))/הגדרות!$E$7)))</f>
        <v/>
      </c>
      <c r="J888" s="0" t="str">
        <f aca="false">IF(I888="","",IF(H888-1&lt;הגדרות!$E$8*(הגדרות!$E$7+1),MOD(H888-1,הגדרות!$E$7+1),MOD(H888-1-הגדרות!$E$8*(הגדרות!$E$7+1),הגדרות!$E$7)))</f>
        <v/>
      </c>
      <c r="K888" s="0" t="str">
        <f aca="false">IF(I888="","",J888*הגדרות!$E$6+I888+1)</f>
        <v/>
      </c>
      <c r="L888" s="0" t="str">
        <f aca="false">IF(K888="","",MATCH(K888,$F$2:$F$5001,0))</f>
        <v/>
      </c>
      <c r="M888" s="0" t="str">
        <f aca="false">IF(I888="","",INDEX(הגדרות!$A$2:$A$21,MOD(I888+הגדרות!$E$9,הגדרות!$E$6)+1))</f>
        <v/>
      </c>
    </row>
    <row r="889" customFormat="false" ht="15" hidden="false" customHeight="false" outlineLevel="0" collapsed="false">
      <c r="A889" s="0" t="str">
        <f aca="false">IF('הדבקת לידים'!A889="","",IF(ISNUMBER('הדבקת לידים'!A889),IF(הגדרות!$E$2&gt;0,TEXT('הדבקת לידים'!A889,REPT("0",הגדרות!$E$2)),TEXT('הדבקת לידים'!A889,"0")),TRIM('הדבקת לידים'!A889)))</f>
        <v/>
      </c>
      <c r="B889" s="0" t="str">
        <f aca="false">IF('הדבקת לידים'!B889="","",IF(ISNUMBER('הדבקת לידים'!B889),IF(הגדרות!$E$3&gt;0,TEXT('הדבקת לידים'!B889,REPT("0",הגדרות!$E$3)),TEXT('הדבקת לידים'!B889,"0")),TRIM('הדבקת לידים'!B889)))</f>
        <v/>
      </c>
      <c r="C889" s="0" t="n">
        <f aca="false">IF(OR(A889&lt;&gt;"",B889&lt;&gt;""),1,0)</f>
        <v>0</v>
      </c>
      <c r="D889" s="0" t="str">
        <f aca="false">IF(C889=1,MOD(ABS(SIN(ROW()*12.9898+'הדבקת לידים'!$F$2*78.233+IFERROR(--RIGHT(A889,6),LEN(A889))*0.0137+IFERROR(--RIGHT(B889,6),LEN(B889))*0.0071))*43758.5453,1),"")</f>
        <v/>
      </c>
      <c r="E889" s="0" t="str">
        <f aca="false">IF(C889=1,INT(MOD(ABS(SIN(D889*7919.123+ROW()*0.618+'הדבקת לידים'!$F$2*1.3))*43758.5453,1)*1000000)*10000+ROW(),"")</f>
        <v/>
      </c>
      <c r="F889" s="0" t="str">
        <f aca="false">IF(E889="","",RANK(E889,$E$2:$E$5001,1))</f>
        <v/>
      </c>
      <c r="G889" s="0" t="n">
        <f aca="false">IF(A889="",0,IF(SUMPRODUCT(--($A$2:$A$5001=A889))&gt;1,1,0))</f>
        <v>0</v>
      </c>
      <c r="H889" s="0" t="n">
        <f aca="false">ROW()-1</f>
        <v>888</v>
      </c>
      <c r="I889" s="0" t="str">
        <f aca="false">IF(OR(הגדרות!$E$6=0,H889&gt;הגדרות!$E$5),"",IF(H889-1&lt;הגדרות!$E$8*(הגדרות!$E$7+1),INT((H889-1)/(הגדרות!$E$7+1)),הגדרות!$E$8+INT((H889-1-הגדרות!$E$8*(הגדרות!$E$7+1))/הגדרות!$E$7)))</f>
        <v/>
      </c>
      <c r="J889" s="0" t="str">
        <f aca="false">IF(I889="","",IF(H889-1&lt;הגדרות!$E$8*(הגדרות!$E$7+1),MOD(H889-1,הגדרות!$E$7+1),MOD(H889-1-הגדרות!$E$8*(הגדרות!$E$7+1),הגדרות!$E$7)))</f>
        <v/>
      </c>
      <c r="K889" s="0" t="str">
        <f aca="false">IF(I889="","",J889*הגדרות!$E$6+I889+1)</f>
        <v/>
      </c>
      <c r="L889" s="0" t="str">
        <f aca="false">IF(K889="","",MATCH(K889,$F$2:$F$5001,0))</f>
        <v/>
      </c>
      <c r="M889" s="0" t="str">
        <f aca="false">IF(I889="","",INDEX(הגדרות!$A$2:$A$21,MOD(I889+הגדרות!$E$9,הגדרות!$E$6)+1))</f>
        <v/>
      </c>
    </row>
    <row r="890" customFormat="false" ht="15" hidden="false" customHeight="false" outlineLevel="0" collapsed="false">
      <c r="A890" s="0" t="str">
        <f aca="false">IF('הדבקת לידים'!A890="","",IF(ISNUMBER('הדבקת לידים'!A890),IF(הגדרות!$E$2&gt;0,TEXT('הדבקת לידים'!A890,REPT("0",הגדרות!$E$2)),TEXT('הדבקת לידים'!A890,"0")),TRIM('הדבקת לידים'!A890)))</f>
        <v/>
      </c>
      <c r="B890" s="0" t="str">
        <f aca="false">IF('הדבקת לידים'!B890="","",IF(ISNUMBER('הדבקת לידים'!B890),IF(הגדרות!$E$3&gt;0,TEXT('הדבקת לידים'!B890,REPT("0",הגדרות!$E$3)),TEXT('הדבקת לידים'!B890,"0")),TRIM('הדבקת לידים'!B890)))</f>
        <v/>
      </c>
      <c r="C890" s="0" t="n">
        <f aca="false">IF(OR(A890&lt;&gt;"",B890&lt;&gt;""),1,0)</f>
        <v>0</v>
      </c>
      <c r="D890" s="0" t="str">
        <f aca="false">IF(C890=1,MOD(ABS(SIN(ROW()*12.9898+'הדבקת לידים'!$F$2*78.233+IFERROR(--RIGHT(A890,6),LEN(A890))*0.0137+IFERROR(--RIGHT(B890,6),LEN(B890))*0.0071))*43758.5453,1),"")</f>
        <v/>
      </c>
      <c r="E890" s="0" t="str">
        <f aca="false">IF(C890=1,INT(MOD(ABS(SIN(D890*7919.123+ROW()*0.618+'הדבקת לידים'!$F$2*1.3))*43758.5453,1)*1000000)*10000+ROW(),"")</f>
        <v/>
      </c>
      <c r="F890" s="0" t="str">
        <f aca="false">IF(E890="","",RANK(E890,$E$2:$E$5001,1))</f>
        <v/>
      </c>
      <c r="G890" s="0" t="n">
        <f aca="false">IF(A890="",0,IF(SUMPRODUCT(--($A$2:$A$5001=A890))&gt;1,1,0))</f>
        <v>0</v>
      </c>
      <c r="H890" s="0" t="n">
        <f aca="false">ROW()-1</f>
        <v>889</v>
      </c>
      <c r="I890" s="0" t="str">
        <f aca="false">IF(OR(הגדרות!$E$6=0,H890&gt;הגדרות!$E$5),"",IF(H890-1&lt;הגדרות!$E$8*(הגדרות!$E$7+1),INT((H890-1)/(הגדרות!$E$7+1)),הגדרות!$E$8+INT((H890-1-הגדרות!$E$8*(הגדרות!$E$7+1))/הגדרות!$E$7)))</f>
        <v/>
      </c>
      <c r="J890" s="0" t="str">
        <f aca="false">IF(I890="","",IF(H890-1&lt;הגדרות!$E$8*(הגדרות!$E$7+1),MOD(H890-1,הגדרות!$E$7+1),MOD(H890-1-הגדרות!$E$8*(הגדרות!$E$7+1),הגדרות!$E$7)))</f>
        <v/>
      </c>
      <c r="K890" s="0" t="str">
        <f aca="false">IF(I890="","",J890*הגדרות!$E$6+I890+1)</f>
        <v/>
      </c>
      <c r="L890" s="0" t="str">
        <f aca="false">IF(K890="","",MATCH(K890,$F$2:$F$5001,0))</f>
        <v/>
      </c>
      <c r="M890" s="0" t="str">
        <f aca="false">IF(I890="","",INDEX(הגדרות!$A$2:$A$21,MOD(I890+הגדרות!$E$9,הגדרות!$E$6)+1))</f>
        <v/>
      </c>
    </row>
    <row r="891" customFormat="false" ht="15" hidden="false" customHeight="false" outlineLevel="0" collapsed="false">
      <c r="A891" s="0" t="str">
        <f aca="false">IF('הדבקת לידים'!A891="","",IF(ISNUMBER('הדבקת לידים'!A891),IF(הגדרות!$E$2&gt;0,TEXT('הדבקת לידים'!A891,REPT("0",הגדרות!$E$2)),TEXT('הדבקת לידים'!A891,"0")),TRIM('הדבקת לידים'!A891)))</f>
        <v/>
      </c>
      <c r="B891" s="0" t="str">
        <f aca="false">IF('הדבקת לידים'!B891="","",IF(ISNUMBER('הדבקת לידים'!B891),IF(הגדרות!$E$3&gt;0,TEXT('הדבקת לידים'!B891,REPT("0",הגדרות!$E$3)),TEXT('הדבקת לידים'!B891,"0")),TRIM('הדבקת לידים'!B891)))</f>
        <v/>
      </c>
      <c r="C891" s="0" t="n">
        <f aca="false">IF(OR(A891&lt;&gt;"",B891&lt;&gt;""),1,0)</f>
        <v>0</v>
      </c>
      <c r="D891" s="0" t="str">
        <f aca="false">IF(C891=1,MOD(ABS(SIN(ROW()*12.9898+'הדבקת לידים'!$F$2*78.233+IFERROR(--RIGHT(A891,6),LEN(A891))*0.0137+IFERROR(--RIGHT(B891,6),LEN(B891))*0.0071))*43758.5453,1),"")</f>
        <v/>
      </c>
      <c r="E891" s="0" t="str">
        <f aca="false">IF(C891=1,INT(MOD(ABS(SIN(D891*7919.123+ROW()*0.618+'הדבקת לידים'!$F$2*1.3))*43758.5453,1)*1000000)*10000+ROW(),"")</f>
        <v/>
      </c>
      <c r="F891" s="0" t="str">
        <f aca="false">IF(E891="","",RANK(E891,$E$2:$E$5001,1))</f>
        <v/>
      </c>
      <c r="G891" s="0" t="n">
        <f aca="false">IF(A891="",0,IF(SUMPRODUCT(--($A$2:$A$5001=A891))&gt;1,1,0))</f>
        <v>0</v>
      </c>
      <c r="H891" s="0" t="n">
        <f aca="false">ROW()-1</f>
        <v>890</v>
      </c>
      <c r="I891" s="0" t="str">
        <f aca="false">IF(OR(הגדרות!$E$6=0,H891&gt;הגדרות!$E$5),"",IF(H891-1&lt;הגדרות!$E$8*(הגדרות!$E$7+1),INT((H891-1)/(הגדרות!$E$7+1)),הגדרות!$E$8+INT((H891-1-הגדרות!$E$8*(הגדרות!$E$7+1))/הגדרות!$E$7)))</f>
        <v/>
      </c>
      <c r="J891" s="0" t="str">
        <f aca="false">IF(I891="","",IF(H891-1&lt;הגדרות!$E$8*(הגדרות!$E$7+1),MOD(H891-1,הגדרות!$E$7+1),MOD(H891-1-הגדרות!$E$8*(הגדרות!$E$7+1),הגדרות!$E$7)))</f>
        <v/>
      </c>
      <c r="K891" s="0" t="str">
        <f aca="false">IF(I891="","",J891*הגדרות!$E$6+I891+1)</f>
        <v/>
      </c>
      <c r="L891" s="0" t="str">
        <f aca="false">IF(K891="","",MATCH(K891,$F$2:$F$5001,0))</f>
        <v/>
      </c>
      <c r="M891" s="0" t="str">
        <f aca="false">IF(I891="","",INDEX(הגדרות!$A$2:$A$21,MOD(I891+הגדרות!$E$9,הגדרות!$E$6)+1))</f>
        <v/>
      </c>
    </row>
    <row r="892" customFormat="false" ht="15" hidden="false" customHeight="false" outlineLevel="0" collapsed="false">
      <c r="A892" s="0" t="str">
        <f aca="false">IF('הדבקת לידים'!A892="","",IF(ISNUMBER('הדבקת לידים'!A892),IF(הגדרות!$E$2&gt;0,TEXT('הדבקת לידים'!A892,REPT("0",הגדרות!$E$2)),TEXT('הדבקת לידים'!A892,"0")),TRIM('הדבקת לידים'!A892)))</f>
        <v/>
      </c>
      <c r="B892" s="0" t="str">
        <f aca="false">IF('הדבקת לידים'!B892="","",IF(ISNUMBER('הדבקת לידים'!B892),IF(הגדרות!$E$3&gt;0,TEXT('הדבקת לידים'!B892,REPT("0",הגדרות!$E$3)),TEXT('הדבקת לידים'!B892,"0")),TRIM('הדבקת לידים'!B892)))</f>
        <v/>
      </c>
      <c r="C892" s="0" t="n">
        <f aca="false">IF(OR(A892&lt;&gt;"",B892&lt;&gt;""),1,0)</f>
        <v>0</v>
      </c>
      <c r="D892" s="0" t="str">
        <f aca="false">IF(C892=1,MOD(ABS(SIN(ROW()*12.9898+'הדבקת לידים'!$F$2*78.233+IFERROR(--RIGHT(A892,6),LEN(A892))*0.0137+IFERROR(--RIGHT(B892,6),LEN(B892))*0.0071))*43758.5453,1),"")</f>
        <v/>
      </c>
      <c r="E892" s="0" t="str">
        <f aca="false">IF(C892=1,INT(MOD(ABS(SIN(D892*7919.123+ROW()*0.618+'הדבקת לידים'!$F$2*1.3))*43758.5453,1)*1000000)*10000+ROW(),"")</f>
        <v/>
      </c>
      <c r="F892" s="0" t="str">
        <f aca="false">IF(E892="","",RANK(E892,$E$2:$E$5001,1))</f>
        <v/>
      </c>
      <c r="G892" s="0" t="n">
        <f aca="false">IF(A892="",0,IF(SUMPRODUCT(--($A$2:$A$5001=A892))&gt;1,1,0))</f>
        <v>0</v>
      </c>
      <c r="H892" s="0" t="n">
        <f aca="false">ROW()-1</f>
        <v>891</v>
      </c>
      <c r="I892" s="0" t="str">
        <f aca="false">IF(OR(הגדרות!$E$6=0,H892&gt;הגדרות!$E$5),"",IF(H892-1&lt;הגדרות!$E$8*(הגדרות!$E$7+1),INT((H892-1)/(הגדרות!$E$7+1)),הגדרות!$E$8+INT((H892-1-הגדרות!$E$8*(הגדרות!$E$7+1))/הגדרות!$E$7)))</f>
        <v/>
      </c>
      <c r="J892" s="0" t="str">
        <f aca="false">IF(I892="","",IF(H892-1&lt;הגדרות!$E$8*(הגדרות!$E$7+1),MOD(H892-1,הגדרות!$E$7+1),MOD(H892-1-הגדרות!$E$8*(הגדרות!$E$7+1),הגדרות!$E$7)))</f>
        <v/>
      </c>
      <c r="K892" s="0" t="str">
        <f aca="false">IF(I892="","",J892*הגדרות!$E$6+I892+1)</f>
        <v/>
      </c>
      <c r="L892" s="0" t="str">
        <f aca="false">IF(K892="","",MATCH(K892,$F$2:$F$5001,0))</f>
        <v/>
      </c>
      <c r="M892" s="0" t="str">
        <f aca="false">IF(I892="","",INDEX(הגדרות!$A$2:$A$21,MOD(I892+הגדרות!$E$9,הגדרות!$E$6)+1))</f>
        <v/>
      </c>
    </row>
    <row r="893" customFormat="false" ht="15" hidden="false" customHeight="false" outlineLevel="0" collapsed="false">
      <c r="A893" s="0" t="str">
        <f aca="false">IF('הדבקת לידים'!A893="","",IF(ISNUMBER('הדבקת לידים'!A893),IF(הגדרות!$E$2&gt;0,TEXT('הדבקת לידים'!A893,REPT("0",הגדרות!$E$2)),TEXT('הדבקת לידים'!A893,"0")),TRIM('הדבקת לידים'!A893)))</f>
        <v/>
      </c>
      <c r="B893" s="0" t="str">
        <f aca="false">IF('הדבקת לידים'!B893="","",IF(ISNUMBER('הדבקת לידים'!B893),IF(הגדרות!$E$3&gt;0,TEXT('הדבקת לידים'!B893,REPT("0",הגדרות!$E$3)),TEXT('הדבקת לידים'!B893,"0")),TRIM('הדבקת לידים'!B893)))</f>
        <v/>
      </c>
      <c r="C893" s="0" t="n">
        <f aca="false">IF(OR(A893&lt;&gt;"",B893&lt;&gt;""),1,0)</f>
        <v>0</v>
      </c>
      <c r="D893" s="0" t="str">
        <f aca="false">IF(C893=1,MOD(ABS(SIN(ROW()*12.9898+'הדבקת לידים'!$F$2*78.233+IFERROR(--RIGHT(A893,6),LEN(A893))*0.0137+IFERROR(--RIGHT(B893,6),LEN(B893))*0.0071))*43758.5453,1),"")</f>
        <v/>
      </c>
      <c r="E893" s="0" t="str">
        <f aca="false">IF(C893=1,INT(MOD(ABS(SIN(D893*7919.123+ROW()*0.618+'הדבקת לידים'!$F$2*1.3))*43758.5453,1)*1000000)*10000+ROW(),"")</f>
        <v/>
      </c>
      <c r="F893" s="0" t="str">
        <f aca="false">IF(E893="","",RANK(E893,$E$2:$E$5001,1))</f>
        <v/>
      </c>
      <c r="G893" s="0" t="n">
        <f aca="false">IF(A893="",0,IF(SUMPRODUCT(--($A$2:$A$5001=A893))&gt;1,1,0))</f>
        <v>0</v>
      </c>
      <c r="H893" s="0" t="n">
        <f aca="false">ROW()-1</f>
        <v>892</v>
      </c>
      <c r="I893" s="0" t="str">
        <f aca="false">IF(OR(הגדרות!$E$6=0,H893&gt;הגדרות!$E$5),"",IF(H893-1&lt;הגדרות!$E$8*(הגדרות!$E$7+1),INT((H893-1)/(הגדרות!$E$7+1)),הגדרות!$E$8+INT((H893-1-הגדרות!$E$8*(הגדרות!$E$7+1))/הגדרות!$E$7)))</f>
        <v/>
      </c>
      <c r="J893" s="0" t="str">
        <f aca="false">IF(I893="","",IF(H893-1&lt;הגדרות!$E$8*(הגדרות!$E$7+1),MOD(H893-1,הגדרות!$E$7+1),MOD(H893-1-הגדרות!$E$8*(הגדרות!$E$7+1),הגדרות!$E$7)))</f>
        <v/>
      </c>
      <c r="K893" s="0" t="str">
        <f aca="false">IF(I893="","",J893*הגדרות!$E$6+I893+1)</f>
        <v/>
      </c>
      <c r="L893" s="0" t="str">
        <f aca="false">IF(K893="","",MATCH(K893,$F$2:$F$5001,0))</f>
        <v/>
      </c>
      <c r="M893" s="0" t="str">
        <f aca="false">IF(I893="","",INDEX(הגדרות!$A$2:$A$21,MOD(I893+הגדרות!$E$9,הגדרות!$E$6)+1))</f>
        <v/>
      </c>
    </row>
    <row r="894" customFormat="false" ht="15" hidden="false" customHeight="false" outlineLevel="0" collapsed="false">
      <c r="A894" s="0" t="str">
        <f aca="false">IF('הדבקת לידים'!A894="","",IF(ISNUMBER('הדבקת לידים'!A894),IF(הגדרות!$E$2&gt;0,TEXT('הדבקת לידים'!A894,REPT("0",הגדרות!$E$2)),TEXT('הדבקת לידים'!A894,"0")),TRIM('הדבקת לידים'!A894)))</f>
        <v/>
      </c>
      <c r="B894" s="0" t="str">
        <f aca="false">IF('הדבקת לידים'!B894="","",IF(ISNUMBER('הדבקת לידים'!B894),IF(הגדרות!$E$3&gt;0,TEXT('הדבקת לידים'!B894,REPT("0",הגדרות!$E$3)),TEXT('הדבקת לידים'!B894,"0")),TRIM('הדבקת לידים'!B894)))</f>
        <v/>
      </c>
      <c r="C894" s="0" t="n">
        <f aca="false">IF(OR(A894&lt;&gt;"",B894&lt;&gt;""),1,0)</f>
        <v>0</v>
      </c>
      <c r="D894" s="0" t="str">
        <f aca="false">IF(C894=1,MOD(ABS(SIN(ROW()*12.9898+'הדבקת לידים'!$F$2*78.233+IFERROR(--RIGHT(A894,6),LEN(A894))*0.0137+IFERROR(--RIGHT(B894,6),LEN(B894))*0.0071))*43758.5453,1),"")</f>
        <v/>
      </c>
      <c r="E894" s="0" t="str">
        <f aca="false">IF(C894=1,INT(MOD(ABS(SIN(D894*7919.123+ROW()*0.618+'הדבקת לידים'!$F$2*1.3))*43758.5453,1)*1000000)*10000+ROW(),"")</f>
        <v/>
      </c>
      <c r="F894" s="0" t="str">
        <f aca="false">IF(E894="","",RANK(E894,$E$2:$E$5001,1))</f>
        <v/>
      </c>
      <c r="G894" s="0" t="n">
        <f aca="false">IF(A894="",0,IF(SUMPRODUCT(--($A$2:$A$5001=A894))&gt;1,1,0))</f>
        <v>0</v>
      </c>
      <c r="H894" s="0" t="n">
        <f aca="false">ROW()-1</f>
        <v>893</v>
      </c>
      <c r="I894" s="0" t="str">
        <f aca="false">IF(OR(הגדרות!$E$6=0,H894&gt;הגדרות!$E$5),"",IF(H894-1&lt;הגדרות!$E$8*(הגדרות!$E$7+1),INT((H894-1)/(הגדרות!$E$7+1)),הגדרות!$E$8+INT((H894-1-הגדרות!$E$8*(הגדרות!$E$7+1))/הגדרות!$E$7)))</f>
        <v/>
      </c>
      <c r="J894" s="0" t="str">
        <f aca="false">IF(I894="","",IF(H894-1&lt;הגדרות!$E$8*(הגדרות!$E$7+1),MOD(H894-1,הגדרות!$E$7+1),MOD(H894-1-הגדרות!$E$8*(הגדרות!$E$7+1),הגדרות!$E$7)))</f>
        <v/>
      </c>
      <c r="K894" s="0" t="str">
        <f aca="false">IF(I894="","",J894*הגדרות!$E$6+I894+1)</f>
        <v/>
      </c>
      <c r="L894" s="0" t="str">
        <f aca="false">IF(K894="","",MATCH(K894,$F$2:$F$5001,0))</f>
        <v/>
      </c>
      <c r="M894" s="0" t="str">
        <f aca="false">IF(I894="","",INDEX(הגדרות!$A$2:$A$21,MOD(I894+הגדרות!$E$9,הגדרות!$E$6)+1))</f>
        <v/>
      </c>
    </row>
    <row r="895" customFormat="false" ht="15" hidden="false" customHeight="false" outlineLevel="0" collapsed="false">
      <c r="A895" s="0" t="str">
        <f aca="false">IF('הדבקת לידים'!A895="","",IF(ISNUMBER('הדבקת לידים'!A895),IF(הגדרות!$E$2&gt;0,TEXT('הדבקת לידים'!A895,REPT("0",הגדרות!$E$2)),TEXT('הדבקת לידים'!A895,"0")),TRIM('הדבקת לידים'!A895)))</f>
        <v/>
      </c>
      <c r="B895" s="0" t="str">
        <f aca="false">IF('הדבקת לידים'!B895="","",IF(ISNUMBER('הדבקת לידים'!B895),IF(הגדרות!$E$3&gt;0,TEXT('הדבקת לידים'!B895,REPT("0",הגדרות!$E$3)),TEXT('הדבקת לידים'!B895,"0")),TRIM('הדבקת לידים'!B895)))</f>
        <v/>
      </c>
      <c r="C895" s="0" t="n">
        <f aca="false">IF(OR(A895&lt;&gt;"",B895&lt;&gt;""),1,0)</f>
        <v>0</v>
      </c>
      <c r="D895" s="0" t="str">
        <f aca="false">IF(C895=1,MOD(ABS(SIN(ROW()*12.9898+'הדבקת לידים'!$F$2*78.233+IFERROR(--RIGHT(A895,6),LEN(A895))*0.0137+IFERROR(--RIGHT(B895,6),LEN(B895))*0.0071))*43758.5453,1),"")</f>
        <v/>
      </c>
      <c r="E895" s="0" t="str">
        <f aca="false">IF(C895=1,INT(MOD(ABS(SIN(D895*7919.123+ROW()*0.618+'הדבקת לידים'!$F$2*1.3))*43758.5453,1)*1000000)*10000+ROW(),"")</f>
        <v/>
      </c>
      <c r="F895" s="0" t="str">
        <f aca="false">IF(E895="","",RANK(E895,$E$2:$E$5001,1))</f>
        <v/>
      </c>
      <c r="G895" s="0" t="n">
        <f aca="false">IF(A895="",0,IF(SUMPRODUCT(--($A$2:$A$5001=A895))&gt;1,1,0))</f>
        <v>0</v>
      </c>
      <c r="H895" s="0" t="n">
        <f aca="false">ROW()-1</f>
        <v>894</v>
      </c>
      <c r="I895" s="0" t="str">
        <f aca="false">IF(OR(הגדרות!$E$6=0,H895&gt;הגדרות!$E$5),"",IF(H895-1&lt;הגדרות!$E$8*(הגדרות!$E$7+1),INT((H895-1)/(הגדרות!$E$7+1)),הגדרות!$E$8+INT((H895-1-הגדרות!$E$8*(הגדרות!$E$7+1))/הגדרות!$E$7)))</f>
        <v/>
      </c>
      <c r="J895" s="0" t="str">
        <f aca="false">IF(I895="","",IF(H895-1&lt;הגדרות!$E$8*(הגדרות!$E$7+1),MOD(H895-1,הגדרות!$E$7+1),MOD(H895-1-הגדרות!$E$8*(הגדרות!$E$7+1),הגדרות!$E$7)))</f>
        <v/>
      </c>
      <c r="K895" s="0" t="str">
        <f aca="false">IF(I895="","",J895*הגדרות!$E$6+I895+1)</f>
        <v/>
      </c>
      <c r="L895" s="0" t="str">
        <f aca="false">IF(K895="","",MATCH(K895,$F$2:$F$5001,0))</f>
        <v/>
      </c>
      <c r="M895" s="0" t="str">
        <f aca="false">IF(I895="","",INDEX(הגדרות!$A$2:$A$21,MOD(I895+הגדרות!$E$9,הגדרות!$E$6)+1))</f>
        <v/>
      </c>
    </row>
    <row r="896" customFormat="false" ht="15" hidden="false" customHeight="false" outlineLevel="0" collapsed="false">
      <c r="A896" s="0" t="str">
        <f aca="false">IF('הדבקת לידים'!A896="","",IF(ISNUMBER('הדבקת לידים'!A896),IF(הגדרות!$E$2&gt;0,TEXT('הדבקת לידים'!A896,REPT("0",הגדרות!$E$2)),TEXT('הדבקת לידים'!A896,"0")),TRIM('הדבקת לידים'!A896)))</f>
        <v/>
      </c>
      <c r="B896" s="0" t="str">
        <f aca="false">IF('הדבקת לידים'!B896="","",IF(ISNUMBER('הדבקת לידים'!B896),IF(הגדרות!$E$3&gt;0,TEXT('הדבקת לידים'!B896,REPT("0",הגדרות!$E$3)),TEXT('הדבקת לידים'!B896,"0")),TRIM('הדבקת לידים'!B896)))</f>
        <v/>
      </c>
      <c r="C896" s="0" t="n">
        <f aca="false">IF(OR(A896&lt;&gt;"",B896&lt;&gt;""),1,0)</f>
        <v>0</v>
      </c>
      <c r="D896" s="0" t="str">
        <f aca="false">IF(C896=1,MOD(ABS(SIN(ROW()*12.9898+'הדבקת לידים'!$F$2*78.233+IFERROR(--RIGHT(A896,6),LEN(A896))*0.0137+IFERROR(--RIGHT(B896,6),LEN(B896))*0.0071))*43758.5453,1),"")</f>
        <v/>
      </c>
      <c r="E896" s="0" t="str">
        <f aca="false">IF(C896=1,INT(MOD(ABS(SIN(D896*7919.123+ROW()*0.618+'הדבקת לידים'!$F$2*1.3))*43758.5453,1)*1000000)*10000+ROW(),"")</f>
        <v/>
      </c>
      <c r="F896" s="0" t="str">
        <f aca="false">IF(E896="","",RANK(E896,$E$2:$E$5001,1))</f>
        <v/>
      </c>
      <c r="G896" s="0" t="n">
        <f aca="false">IF(A896="",0,IF(SUMPRODUCT(--($A$2:$A$5001=A896))&gt;1,1,0))</f>
        <v>0</v>
      </c>
      <c r="H896" s="0" t="n">
        <f aca="false">ROW()-1</f>
        <v>895</v>
      </c>
      <c r="I896" s="0" t="str">
        <f aca="false">IF(OR(הגדרות!$E$6=0,H896&gt;הגדרות!$E$5),"",IF(H896-1&lt;הגדרות!$E$8*(הגדרות!$E$7+1),INT((H896-1)/(הגדרות!$E$7+1)),הגדרות!$E$8+INT((H896-1-הגדרות!$E$8*(הגדרות!$E$7+1))/הגדרות!$E$7)))</f>
        <v/>
      </c>
      <c r="J896" s="0" t="str">
        <f aca="false">IF(I896="","",IF(H896-1&lt;הגדרות!$E$8*(הגדרות!$E$7+1),MOD(H896-1,הגדרות!$E$7+1),MOD(H896-1-הגדרות!$E$8*(הגדרות!$E$7+1),הגדרות!$E$7)))</f>
        <v/>
      </c>
      <c r="K896" s="0" t="str">
        <f aca="false">IF(I896="","",J896*הגדרות!$E$6+I896+1)</f>
        <v/>
      </c>
      <c r="L896" s="0" t="str">
        <f aca="false">IF(K896="","",MATCH(K896,$F$2:$F$5001,0))</f>
        <v/>
      </c>
      <c r="M896" s="0" t="str">
        <f aca="false">IF(I896="","",INDEX(הגדרות!$A$2:$A$21,MOD(I896+הגדרות!$E$9,הגדרות!$E$6)+1))</f>
        <v/>
      </c>
    </row>
    <row r="897" customFormat="false" ht="15" hidden="false" customHeight="false" outlineLevel="0" collapsed="false">
      <c r="A897" s="0" t="str">
        <f aca="false">IF('הדבקת לידים'!A897="","",IF(ISNUMBER('הדבקת לידים'!A897),IF(הגדרות!$E$2&gt;0,TEXT('הדבקת לידים'!A897,REPT("0",הגדרות!$E$2)),TEXT('הדבקת לידים'!A897,"0")),TRIM('הדבקת לידים'!A897)))</f>
        <v/>
      </c>
      <c r="B897" s="0" t="str">
        <f aca="false">IF('הדבקת לידים'!B897="","",IF(ISNUMBER('הדבקת לידים'!B897),IF(הגדרות!$E$3&gt;0,TEXT('הדבקת לידים'!B897,REPT("0",הגדרות!$E$3)),TEXT('הדבקת לידים'!B897,"0")),TRIM('הדבקת לידים'!B897)))</f>
        <v/>
      </c>
      <c r="C897" s="0" t="n">
        <f aca="false">IF(OR(A897&lt;&gt;"",B897&lt;&gt;""),1,0)</f>
        <v>0</v>
      </c>
      <c r="D897" s="0" t="str">
        <f aca="false">IF(C897=1,MOD(ABS(SIN(ROW()*12.9898+'הדבקת לידים'!$F$2*78.233+IFERROR(--RIGHT(A897,6),LEN(A897))*0.0137+IFERROR(--RIGHT(B897,6),LEN(B897))*0.0071))*43758.5453,1),"")</f>
        <v/>
      </c>
      <c r="E897" s="0" t="str">
        <f aca="false">IF(C897=1,INT(MOD(ABS(SIN(D897*7919.123+ROW()*0.618+'הדבקת לידים'!$F$2*1.3))*43758.5453,1)*1000000)*10000+ROW(),"")</f>
        <v/>
      </c>
      <c r="F897" s="0" t="str">
        <f aca="false">IF(E897="","",RANK(E897,$E$2:$E$5001,1))</f>
        <v/>
      </c>
      <c r="G897" s="0" t="n">
        <f aca="false">IF(A897="",0,IF(SUMPRODUCT(--($A$2:$A$5001=A897))&gt;1,1,0))</f>
        <v>0</v>
      </c>
      <c r="H897" s="0" t="n">
        <f aca="false">ROW()-1</f>
        <v>896</v>
      </c>
      <c r="I897" s="0" t="str">
        <f aca="false">IF(OR(הגדרות!$E$6=0,H897&gt;הגדרות!$E$5),"",IF(H897-1&lt;הגדרות!$E$8*(הגדרות!$E$7+1),INT((H897-1)/(הגדרות!$E$7+1)),הגדרות!$E$8+INT((H897-1-הגדרות!$E$8*(הגדרות!$E$7+1))/הגדרות!$E$7)))</f>
        <v/>
      </c>
      <c r="J897" s="0" t="str">
        <f aca="false">IF(I897="","",IF(H897-1&lt;הגדרות!$E$8*(הגדרות!$E$7+1),MOD(H897-1,הגדרות!$E$7+1),MOD(H897-1-הגדרות!$E$8*(הגדרות!$E$7+1),הגדרות!$E$7)))</f>
        <v/>
      </c>
      <c r="K897" s="0" t="str">
        <f aca="false">IF(I897="","",J897*הגדרות!$E$6+I897+1)</f>
        <v/>
      </c>
      <c r="L897" s="0" t="str">
        <f aca="false">IF(K897="","",MATCH(K897,$F$2:$F$5001,0))</f>
        <v/>
      </c>
      <c r="M897" s="0" t="str">
        <f aca="false">IF(I897="","",INDEX(הגדרות!$A$2:$A$21,MOD(I897+הגדרות!$E$9,הגדרות!$E$6)+1))</f>
        <v/>
      </c>
    </row>
    <row r="898" customFormat="false" ht="15" hidden="false" customHeight="false" outlineLevel="0" collapsed="false">
      <c r="A898" s="0" t="str">
        <f aca="false">IF('הדבקת לידים'!A898="","",IF(ISNUMBER('הדבקת לידים'!A898),IF(הגדרות!$E$2&gt;0,TEXT('הדבקת לידים'!A898,REPT("0",הגדרות!$E$2)),TEXT('הדבקת לידים'!A898,"0")),TRIM('הדבקת לידים'!A898)))</f>
        <v/>
      </c>
      <c r="B898" s="0" t="str">
        <f aca="false">IF('הדבקת לידים'!B898="","",IF(ISNUMBER('הדבקת לידים'!B898),IF(הגדרות!$E$3&gt;0,TEXT('הדבקת לידים'!B898,REPT("0",הגדרות!$E$3)),TEXT('הדבקת לידים'!B898,"0")),TRIM('הדבקת לידים'!B898)))</f>
        <v/>
      </c>
      <c r="C898" s="0" t="n">
        <f aca="false">IF(OR(A898&lt;&gt;"",B898&lt;&gt;""),1,0)</f>
        <v>0</v>
      </c>
      <c r="D898" s="0" t="str">
        <f aca="false">IF(C898=1,MOD(ABS(SIN(ROW()*12.9898+'הדבקת לידים'!$F$2*78.233+IFERROR(--RIGHT(A898,6),LEN(A898))*0.0137+IFERROR(--RIGHT(B898,6),LEN(B898))*0.0071))*43758.5453,1),"")</f>
        <v/>
      </c>
      <c r="E898" s="0" t="str">
        <f aca="false">IF(C898=1,INT(MOD(ABS(SIN(D898*7919.123+ROW()*0.618+'הדבקת לידים'!$F$2*1.3))*43758.5453,1)*1000000)*10000+ROW(),"")</f>
        <v/>
      </c>
      <c r="F898" s="0" t="str">
        <f aca="false">IF(E898="","",RANK(E898,$E$2:$E$5001,1))</f>
        <v/>
      </c>
      <c r="G898" s="0" t="n">
        <f aca="false">IF(A898="",0,IF(SUMPRODUCT(--($A$2:$A$5001=A898))&gt;1,1,0))</f>
        <v>0</v>
      </c>
      <c r="H898" s="0" t="n">
        <f aca="false">ROW()-1</f>
        <v>897</v>
      </c>
      <c r="I898" s="0" t="str">
        <f aca="false">IF(OR(הגדרות!$E$6=0,H898&gt;הגדרות!$E$5),"",IF(H898-1&lt;הגדרות!$E$8*(הגדרות!$E$7+1),INT((H898-1)/(הגדרות!$E$7+1)),הגדרות!$E$8+INT((H898-1-הגדרות!$E$8*(הגדרות!$E$7+1))/הגדרות!$E$7)))</f>
        <v/>
      </c>
      <c r="J898" s="0" t="str">
        <f aca="false">IF(I898="","",IF(H898-1&lt;הגדרות!$E$8*(הגדרות!$E$7+1),MOD(H898-1,הגדרות!$E$7+1),MOD(H898-1-הגדרות!$E$8*(הגדרות!$E$7+1),הגדרות!$E$7)))</f>
        <v/>
      </c>
      <c r="K898" s="0" t="str">
        <f aca="false">IF(I898="","",J898*הגדרות!$E$6+I898+1)</f>
        <v/>
      </c>
      <c r="L898" s="0" t="str">
        <f aca="false">IF(K898="","",MATCH(K898,$F$2:$F$5001,0))</f>
        <v/>
      </c>
      <c r="M898" s="0" t="str">
        <f aca="false">IF(I898="","",INDEX(הגדרות!$A$2:$A$21,MOD(I898+הגדרות!$E$9,הגדרות!$E$6)+1))</f>
        <v/>
      </c>
    </row>
    <row r="899" customFormat="false" ht="15" hidden="false" customHeight="false" outlineLevel="0" collapsed="false">
      <c r="A899" s="0" t="str">
        <f aca="false">IF('הדבקת לידים'!A899="","",IF(ISNUMBER('הדבקת לידים'!A899),IF(הגדרות!$E$2&gt;0,TEXT('הדבקת לידים'!A899,REPT("0",הגדרות!$E$2)),TEXT('הדבקת לידים'!A899,"0")),TRIM('הדבקת לידים'!A899)))</f>
        <v/>
      </c>
      <c r="B899" s="0" t="str">
        <f aca="false">IF('הדבקת לידים'!B899="","",IF(ISNUMBER('הדבקת לידים'!B899),IF(הגדרות!$E$3&gt;0,TEXT('הדבקת לידים'!B899,REPT("0",הגדרות!$E$3)),TEXT('הדבקת לידים'!B899,"0")),TRIM('הדבקת לידים'!B899)))</f>
        <v/>
      </c>
      <c r="C899" s="0" t="n">
        <f aca="false">IF(OR(A899&lt;&gt;"",B899&lt;&gt;""),1,0)</f>
        <v>0</v>
      </c>
      <c r="D899" s="0" t="str">
        <f aca="false">IF(C899=1,MOD(ABS(SIN(ROW()*12.9898+'הדבקת לידים'!$F$2*78.233+IFERROR(--RIGHT(A899,6),LEN(A899))*0.0137+IFERROR(--RIGHT(B899,6),LEN(B899))*0.0071))*43758.5453,1),"")</f>
        <v/>
      </c>
      <c r="E899" s="0" t="str">
        <f aca="false">IF(C899=1,INT(MOD(ABS(SIN(D899*7919.123+ROW()*0.618+'הדבקת לידים'!$F$2*1.3))*43758.5453,1)*1000000)*10000+ROW(),"")</f>
        <v/>
      </c>
      <c r="F899" s="0" t="str">
        <f aca="false">IF(E899="","",RANK(E899,$E$2:$E$5001,1))</f>
        <v/>
      </c>
      <c r="G899" s="0" t="n">
        <f aca="false">IF(A899="",0,IF(SUMPRODUCT(--($A$2:$A$5001=A899))&gt;1,1,0))</f>
        <v>0</v>
      </c>
      <c r="H899" s="0" t="n">
        <f aca="false">ROW()-1</f>
        <v>898</v>
      </c>
      <c r="I899" s="0" t="str">
        <f aca="false">IF(OR(הגדרות!$E$6=0,H899&gt;הגדרות!$E$5),"",IF(H899-1&lt;הגדרות!$E$8*(הגדרות!$E$7+1),INT((H899-1)/(הגדרות!$E$7+1)),הגדרות!$E$8+INT((H899-1-הגדרות!$E$8*(הגדרות!$E$7+1))/הגדרות!$E$7)))</f>
        <v/>
      </c>
      <c r="J899" s="0" t="str">
        <f aca="false">IF(I899="","",IF(H899-1&lt;הגדרות!$E$8*(הגדרות!$E$7+1),MOD(H899-1,הגדרות!$E$7+1),MOD(H899-1-הגדרות!$E$8*(הגדרות!$E$7+1),הגדרות!$E$7)))</f>
        <v/>
      </c>
      <c r="K899" s="0" t="str">
        <f aca="false">IF(I899="","",J899*הגדרות!$E$6+I899+1)</f>
        <v/>
      </c>
      <c r="L899" s="0" t="str">
        <f aca="false">IF(K899="","",MATCH(K899,$F$2:$F$5001,0))</f>
        <v/>
      </c>
      <c r="M899" s="0" t="str">
        <f aca="false">IF(I899="","",INDEX(הגדרות!$A$2:$A$21,MOD(I899+הגדרות!$E$9,הגדרות!$E$6)+1))</f>
        <v/>
      </c>
    </row>
    <row r="900" customFormat="false" ht="15" hidden="false" customHeight="false" outlineLevel="0" collapsed="false">
      <c r="A900" s="0" t="str">
        <f aca="false">IF('הדבקת לידים'!A900="","",IF(ISNUMBER('הדבקת לידים'!A900),IF(הגדרות!$E$2&gt;0,TEXT('הדבקת לידים'!A900,REPT("0",הגדרות!$E$2)),TEXT('הדבקת לידים'!A900,"0")),TRIM('הדבקת לידים'!A900)))</f>
        <v/>
      </c>
      <c r="B900" s="0" t="str">
        <f aca="false">IF('הדבקת לידים'!B900="","",IF(ISNUMBER('הדבקת לידים'!B900),IF(הגדרות!$E$3&gt;0,TEXT('הדבקת לידים'!B900,REPT("0",הגדרות!$E$3)),TEXT('הדבקת לידים'!B900,"0")),TRIM('הדבקת לידים'!B900)))</f>
        <v/>
      </c>
      <c r="C900" s="0" t="n">
        <f aca="false">IF(OR(A900&lt;&gt;"",B900&lt;&gt;""),1,0)</f>
        <v>0</v>
      </c>
      <c r="D900" s="0" t="str">
        <f aca="false">IF(C900=1,MOD(ABS(SIN(ROW()*12.9898+'הדבקת לידים'!$F$2*78.233+IFERROR(--RIGHT(A900,6),LEN(A900))*0.0137+IFERROR(--RIGHT(B900,6),LEN(B900))*0.0071))*43758.5453,1),"")</f>
        <v/>
      </c>
      <c r="E900" s="0" t="str">
        <f aca="false">IF(C900=1,INT(MOD(ABS(SIN(D900*7919.123+ROW()*0.618+'הדבקת לידים'!$F$2*1.3))*43758.5453,1)*1000000)*10000+ROW(),"")</f>
        <v/>
      </c>
      <c r="F900" s="0" t="str">
        <f aca="false">IF(E900="","",RANK(E900,$E$2:$E$5001,1))</f>
        <v/>
      </c>
      <c r="G900" s="0" t="n">
        <f aca="false">IF(A900="",0,IF(SUMPRODUCT(--($A$2:$A$5001=A900))&gt;1,1,0))</f>
        <v>0</v>
      </c>
      <c r="H900" s="0" t="n">
        <f aca="false">ROW()-1</f>
        <v>899</v>
      </c>
      <c r="I900" s="0" t="str">
        <f aca="false">IF(OR(הגדרות!$E$6=0,H900&gt;הגדרות!$E$5),"",IF(H900-1&lt;הגדרות!$E$8*(הגדרות!$E$7+1),INT((H900-1)/(הגדרות!$E$7+1)),הגדרות!$E$8+INT((H900-1-הגדרות!$E$8*(הגדרות!$E$7+1))/הגדרות!$E$7)))</f>
        <v/>
      </c>
      <c r="J900" s="0" t="str">
        <f aca="false">IF(I900="","",IF(H900-1&lt;הגדרות!$E$8*(הגדרות!$E$7+1),MOD(H900-1,הגדרות!$E$7+1),MOD(H900-1-הגדרות!$E$8*(הגדרות!$E$7+1),הגדרות!$E$7)))</f>
        <v/>
      </c>
      <c r="K900" s="0" t="str">
        <f aca="false">IF(I900="","",J900*הגדרות!$E$6+I900+1)</f>
        <v/>
      </c>
      <c r="L900" s="0" t="str">
        <f aca="false">IF(K900="","",MATCH(K900,$F$2:$F$5001,0))</f>
        <v/>
      </c>
      <c r="M900" s="0" t="str">
        <f aca="false">IF(I900="","",INDEX(הגדרות!$A$2:$A$21,MOD(I900+הגדרות!$E$9,הגדרות!$E$6)+1))</f>
        <v/>
      </c>
    </row>
    <row r="901" customFormat="false" ht="15" hidden="false" customHeight="false" outlineLevel="0" collapsed="false">
      <c r="A901" s="0" t="str">
        <f aca="false">IF('הדבקת לידים'!A901="","",IF(ISNUMBER('הדבקת לידים'!A901),IF(הגדרות!$E$2&gt;0,TEXT('הדבקת לידים'!A901,REPT("0",הגדרות!$E$2)),TEXT('הדבקת לידים'!A901,"0")),TRIM('הדבקת לידים'!A901)))</f>
        <v/>
      </c>
      <c r="B901" s="0" t="str">
        <f aca="false">IF('הדבקת לידים'!B901="","",IF(ISNUMBER('הדבקת לידים'!B901),IF(הגדרות!$E$3&gt;0,TEXT('הדבקת לידים'!B901,REPT("0",הגדרות!$E$3)),TEXT('הדבקת לידים'!B901,"0")),TRIM('הדבקת לידים'!B901)))</f>
        <v/>
      </c>
      <c r="C901" s="0" t="n">
        <f aca="false">IF(OR(A901&lt;&gt;"",B901&lt;&gt;""),1,0)</f>
        <v>0</v>
      </c>
      <c r="D901" s="0" t="str">
        <f aca="false">IF(C901=1,MOD(ABS(SIN(ROW()*12.9898+'הדבקת לידים'!$F$2*78.233+IFERROR(--RIGHT(A901,6),LEN(A901))*0.0137+IFERROR(--RIGHT(B901,6),LEN(B901))*0.0071))*43758.5453,1),"")</f>
        <v/>
      </c>
      <c r="E901" s="0" t="str">
        <f aca="false">IF(C901=1,INT(MOD(ABS(SIN(D901*7919.123+ROW()*0.618+'הדבקת לידים'!$F$2*1.3))*43758.5453,1)*1000000)*10000+ROW(),"")</f>
        <v/>
      </c>
      <c r="F901" s="0" t="str">
        <f aca="false">IF(E901="","",RANK(E901,$E$2:$E$5001,1))</f>
        <v/>
      </c>
      <c r="G901" s="0" t="n">
        <f aca="false">IF(A901="",0,IF(SUMPRODUCT(--($A$2:$A$5001=A901))&gt;1,1,0))</f>
        <v>0</v>
      </c>
      <c r="H901" s="0" t="n">
        <f aca="false">ROW()-1</f>
        <v>900</v>
      </c>
      <c r="I901" s="0" t="str">
        <f aca="false">IF(OR(הגדרות!$E$6=0,H901&gt;הגדרות!$E$5),"",IF(H901-1&lt;הגדרות!$E$8*(הגדרות!$E$7+1),INT((H901-1)/(הגדרות!$E$7+1)),הגדרות!$E$8+INT((H901-1-הגדרות!$E$8*(הגדרות!$E$7+1))/הגדרות!$E$7)))</f>
        <v/>
      </c>
      <c r="J901" s="0" t="str">
        <f aca="false">IF(I901="","",IF(H901-1&lt;הגדרות!$E$8*(הגדרות!$E$7+1),MOD(H901-1,הגדרות!$E$7+1),MOD(H901-1-הגדרות!$E$8*(הגדרות!$E$7+1),הגדרות!$E$7)))</f>
        <v/>
      </c>
      <c r="K901" s="0" t="str">
        <f aca="false">IF(I901="","",J901*הגדרות!$E$6+I901+1)</f>
        <v/>
      </c>
      <c r="L901" s="0" t="str">
        <f aca="false">IF(K901="","",MATCH(K901,$F$2:$F$5001,0))</f>
        <v/>
      </c>
      <c r="M901" s="0" t="str">
        <f aca="false">IF(I901="","",INDEX(הגדרות!$A$2:$A$21,MOD(I901+הגדרות!$E$9,הגדרות!$E$6)+1))</f>
        <v/>
      </c>
    </row>
    <row r="902" customFormat="false" ht="15" hidden="false" customHeight="false" outlineLevel="0" collapsed="false">
      <c r="A902" s="0" t="str">
        <f aca="false">IF('הדבקת לידים'!A902="","",IF(ISNUMBER('הדבקת לידים'!A902),IF(הגדרות!$E$2&gt;0,TEXT('הדבקת לידים'!A902,REPT("0",הגדרות!$E$2)),TEXT('הדבקת לידים'!A902,"0")),TRIM('הדבקת לידים'!A902)))</f>
        <v/>
      </c>
      <c r="B902" s="0" t="str">
        <f aca="false">IF('הדבקת לידים'!B902="","",IF(ISNUMBER('הדבקת לידים'!B902),IF(הגדרות!$E$3&gt;0,TEXT('הדבקת לידים'!B902,REPT("0",הגדרות!$E$3)),TEXT('הדבקת לידים'!B902,"0")),TRIM('הדבקת לידים'!B902)))</f>
        <v/>
      </c>
      <c r="C902" s="0" t="n">
        <f aca="false">IF(OR(A902&lt;&gt;"",B902&lt;&gt;""),1,0)</f>
        <v>0</v>
      </c>
      <c r="D902" s="0" t="str">
        <f aca="false">IF(C902=1,MOD(ABS(SIN(ROW()*12.9898+'הדבקת לידים'!$F$2*78.233+IFERROR(--RIGHT(A902,6),LEN(A902))*0.0137+IFERROR(--RIGHT(B902,6),LEN(B902))*0.0071))*43758.5453,1),"")</f>
        <v/>
      </c>
      <c r="E902" s="0" t="str">
        <f aca="false">IF(C902=1,INT(MOD(ABS(SIN(D902*7919.123+ROW()*0.618+'הדבקת לידים'!$F$2*1.3))*43758.5453,1)*1000000)*10000+ROW(),"")</f>
        <v/>
      </c>
      <c r="F902" s="0" t="str">
        <f aca="false">IF(E902="","",RANK(E902,$E$2:$E$5001,1))</f>
        <v/>
      </c>
      <c r="G902" s="0" t="n">
        <f aca="false">IF(A902="",0,IF(SUMPRODUCT(--($A$2:$A$5001=A902))&gt;1,1,0))</f>
        <v>0</v>
      </c>
      <c r="H902" s="0" t="n">
        <f aca="false">ROW()-1</f>
        <v>901</v>
      </c>
      <c r="I902" s="0" t="str">
        <f aca="false">IF(OR(הגדרות!$E$6=0,H902&gt;הגדרות!$E$5),"",IF(H902-1&lt;הגדרות!$E$8*(הגדרות!$E$7+1),INT((H902-1)/(הגדרות!$E$7+1)),הגדרות!$E$8+INT((H902-1-הגדרות!$E$8*(הגדרות!$E$7+1))/הגדרות!$E$7)))</f>
        <v/>
      </c>
      <c r="J902" s="0" t="str">
        <f aca="false">IF(I902="","",IF(H902-1&lt;הגדרות!$E$8*(הגדרות!$E$7+1),MOD(H902-1,הגדרות!$E$7+1),MOD(H902-1-הגדרות!$E$8*(הגדרות!$E$7+1),הגדרות!$E$7)))</f>
        <v/>
      </c>
      <c r="K902" s="0" t="str">
        <f aca="false">IF(I902="","",J902*הגדרות!$E$6+I902+1)</f>
        <v/>
      </c>
      <c r="L902" s="0" t="str">
        <f aca="false">IF(K902="","",MATCH(K902,$F$2:$F$5001,0))</f>
        <v/>
      </c>
      <c r="M902" s="0" t="str">
        <f aca="false">IF(I902="","",INDEX(הגדרות!$A$2:$A$21,MOD(I902+הגדרות!$E$9,הגדרות!$E$6)+1))</f>
        <v/>
      </c>
    </row>
    <row r="903" customFormat="false" ht="15" hidden="false" customHeight="false" outlineLevel="0" collapsed="false">
      <c r="A903" s="0" t="str">
        <f aca="false">IF('הדבקת לידים'!A903="","",IF(ISNUMBER('הדבקת לידים'!A903),IF(הגדרות!$E$2&gt;0,TEXT('הדבקת לידים'!A903,REPT("0",הגדרות!$E$2)),TEXT('הדבקת לידים'!A903,"0")),TRIM('הדבקת לידים'!A903)))</f>
        <v/>
      </c>
      <c r="B903" s="0" t="str">
        <f aca="false">IF('הדבקת לידים'!B903="","",IF(ISNUMBER('הדבקת לידים'!B903),IF(הגדרות!$E$3&gt;0,TEXT('הדבקת לידים'!B903,REPT("0",הגדרות!$E$3)),TEXT('הדבקת לידים'!B903,"0")),TRIM('הדבקת לידים'!B903)))</f>
        <v/>
      </c>
      <c r="C903" s="0" t="n">
        <f aca="false">IF(OR(A903&lt;&gt;"",B903&lt;&gt;""),1,0)</f>
        <v>0</v>
      </c>
      <c r="D903" s="0" t="str">
        <f aca="false">IF(C903=1,MOD(ABS(SIN(ROW()*12.9898+'הדבקת לידים'!$F$2*78.233+IFERROR(--RIGHT(A903,6),LEN(A903))*0.0137+IFERROR(--RIGHT(B903,6),LEN(B903))*0.0071))*43758.5453,1),"")</f>
        <v/>
      </c>
      <c r="E903" s="0" t="str">
        <f aca="false">IF(C903=1,INT(MOD(ABS(SIN(D903*7919.123+ROW()*0.618+'הדבקת לידים'!$F$2*1.3))*43758.5453,1)*1000000)*10000+ROW(),"")</f>
        <v/>
      </c>
      <c r="F903" s="0" t="str">
        <f aca="false">IF(E903="","",RANK(E903,$E$2:$E$5001,1))</f>
        <v/>
      </c>
      <c r="G903" s="0" t="n">
        <f aca="false">IF(A903="",0,IF(SUMPRODUCT(--($A$2:$A$5001=A903))&gt;1,1,0))</f>
        <v>0</v>
      </c>
      <c r="H903" s="0" t="n">
        <f aca="false">ROW()-1</f>
        <v>902</v>
      </c>
      <c r="I903" s="0" t="str">
        <f aca="false">IF(OR(הגדרות!$E$6=0,H903&gt;הגדרות!$E$5),"",IF(H903-1&lt;הגדרות!$E$8*(הגדרות!$E$7+1),INT((H903-1)/(הגדרות!$E$7+1)),הגדרות!$E$8+INT((H903-1-הגדרות!$E$8*(הגדרות!$E$7+1))/הגדרות!$E$7)))</f>
        <v/>
      </c>
      <c r="J903" s="0" t="str">
        <f aca="false">IF(I903="","",IF(H903-1&lt;הגדרות!$E$8*(הגדרות!$E$7+1),MOD(H903-1,הגדרות!$E$7+1),MOD(H903-1-הגדרות!$E$8*(הגדרות!$E$7+1),הגדרות!$E$7)))</f>
        <v/>
      </c>
      <c r="K903" s="0" t="str">
        <f aca="false">IF(I903="","",J903*הגדרות!$E$6+I903+1)</f>
        <v/>
      </c>
      <c r="L903" s="0" t="str">
        <f aca="false">IF(K903="","",MATCH(K903,$F$2:$F$5001,0))</f>
        <v/>
      </c>
      <c r="M903" s="0" t="str">
        <f aca="false">IF(I903="","",INDEX(הגדרות!$A$2:$A$21,MOD(I903+הגדרות!$E$9,הגדרות!$E$6)+1))</f>
        <v/>
      </c>
    </row>
    <row r="904" customFormat="false" ht="15" hidden="false" customHeight="false" outlineLevel="0" collapsed="false">
      <c r="A904" s="0" t="str">
        <f aca="false">IF('הדבקת לידים'!A904="","",IF(ISNUMBER('הדבקת לידים'!A904),IF(הגדרות!$E$2&gt;0,TEXT('הדבקת לידים'!A904,REPT("0",הגדרות!$E$2)),TEXT('הדבקת לידים'!A904,"0")),TRIM('הדבקת לידים'!A904)))</f>
        <v/>
      </c>
      <c r="B904" s="0" t="str">
        <f aca="false">IF('הדבקת לידים'!B904="","",IF(ISNUMBER('הדבקת לידים'!B904),IF(הגדרות!$E$3&gt;0,TEXT('הדבקת לידים'!B904,REPT("0",הגדרות!$E$3)),TEXT('הדבקת לידים'!B904,"0")),TRIM('הדבקת לידים'!B904)))</f>
        <v/>
      </c>
      <c r="C904" s="0" t="n">
        <f aca="false">IF(OR(A904&lt;&gt;"",B904&lt;&gt;""),1,0)</f>
        <v>0</v>
      </c>
      <c r="D904" s="0" t="str">
        <f aca="false">IF(C904=1,MOD(ABS(SIN(ROW()*12.9898+'הדבקת לידים'!$F$2*78.233+IFERROR(--RIGHT(A904,6),LEN(A904))*0.0137+IFERROR(--RIGHT(B904,6),LEN(B904))*0.0071))*43758.5453,1),"")</f>
        <v/>
      </c>
      <c r="E904" s="0" t="str">
        <f aca="false">IF(C904=1,INT(MOD(ABS(SIN(D904*7919.123+ROW()*0.618+'הדבקת לידים'!$F$2*1.3))*43758.5453,1)*1000000)*10000+ROW(),"")</f>
        <v/>
      </c>
      <c r="F904" s="0" t="str">
        <f aca="false">IF(E904="","",RANK(E904,$E$2:$E$5001,1))</f>
        <v/>
      </c>
      <c r="G904" s="0" t="n">
        <f aca="false">IF(A904="",0,IF(SUMPRODUCT(--($A$2:$A$5001=A904))&gt;1,1,0))</f>
        <v>0</v>
      </c>
      <c r="H904" s="0" t="n">
        <f aca="false">ROW()-1</f>
        <v>903</v>
      </c>
      <c r="I904" s="0" t="str">
        <f aca="false">IF(OR(הגדרות!$E$6=0,H904&gt;הגדרות!$E$5),"",IF(H904-1&lt;הגדרות!$E$8*(הגדרות!$E$7+1),INT((H904-1)/(הגדרות!$E$7+1)),הגדרות!$E$8+INT((H904-1-הגדרות!$E$8*(הגדרות!$E$7+1))/הגדרות!$E$7)))</f>
        <v/>
      </c>
      <c r="J904" s="0" t="str">
        <f aca="false">IF(I904="","",IF(H904-1&lt;הגדרות!$E$8*(הגדרות!$E$7+1),MOD(H904-1,הגדרות!$E$7+1),MOD(H904-1-הגדרות!$E$8*(הגדרות!$E$7+1),הגדרות!$E$7)))</f>
        <v/>
      </c>
      <c r="K904" s="0" t="str">
        <f aca="false">IF(I904="","",J904*הגדרות!$E$6+I904+1)</f>
        <v/>
      </c>
      <c r="L904" s="0" t="str">
        <f aca="false">IF(K904="","",MATCH(K904,$F$2:$F$5001,0))</f>
        <v/>
      </c>
      <c r="M904" s="0" t="str">
        <f aca="false">IF(I904="","",INDEX(הגדרות!$A$2:$A$21,MOD(I904+הגדרות!$E$9,הגדרות!$E$6)+1))</f>
        <v/>
      </c>
    </row>
    <row r="905" customFormat="false" ht="15" hidden="false" customHeight="false" outlineLevel="0" collapsed="false">
      <c r="A905" s="0" t="str">
        <f aca="false">IF('הדבקת לידים'!A905="","",IF(ISNUMBER('הדבקת לידים'!A905),IF(הגדרות!$E$2&gt;0,TEXT('הדבקת לידים'!A905,REPT("0",הגדרות!$E$2)),TEXT('הדבקת לידים'!A905,"0")),TRIM('הדבקת לידים'!A905)))</f>
        <v/>
      </c>
      <c r="B905" s="0" t="str">
        <f aca="false">IF('הדבקת לידים'!B905="","",IF(ISNUMBER('הדבקת לידים'!B905),IF(הגדרות!$E$3&gt;0,TEXT('הדבקת לידים'!B905,REPT("0",הגדרות!$E$3)),TEXT('הדבקת לידים'!B905,"0")),TRIM('הדבקת לידים'!B905)))</f>
        <v/>
      </c>
      <c r="C905" s="0" t="n">
        <f aca="false">IF(OR(A905&lt;&gt;"",B905&lt;&gt;""),1,0)</f>
        <v>0</v>
      </c>
      <c r="D905" s="0" t="str">
        <f aca="false">IF(C905=1,MOD(ABS(SIN(ROW()*12.9898+'הדבקת לידים'!$F$2*78.233+IFERROR(--RIGHT(A905,6),LEN(A905))*0.0137+IFERROR(--RIGHT(B905,6),LEN(B905))*0.0071))*43758.5453,1),"")</f>
        <v/>
      </c>
      <c r="E905" s="0" t="str">
        <f aca="false">IF(C905=1,INT(MOD(ABS(SIN(D905*7919.123+ROW()*0.618+'הדבקת לידים'!$F$2*1.3))*43758.5453,1)*1000000)*10000+ROW(),"")</f>
        <v/>
      </c>
      <c r="F905" s="0" t="str">
        <f aca="false">IF(E905="","",RANK(E905,$E$2:$E$5001,1))</f>
        <v/>
      </c>
      <c r="G905" s="0" t="n">
        <f aca="false">IF(A905="",0,IF(SUMPRODUCT(--($A$2:$A$5001=A905))&gt;1,1,0))</f>
        <v>0</v>
      </c>
      <c r="H905" s="0" t="n">
        <f aca="false">ROW()-1</f>
        <v>904</v>
      </c>
      <c r="I905" s="0" t="str">
        <f aca="false">IF(OR(הגדרות!$E$6=0,H905&gt;הגדרות!$E$5),"",IF(H905-1&lt;הגדרות!$E$8*(הגדרות!$E$7+1),INT((H905-1)/(הגדרות!$E$7+1)),הגדרות!$E$8+INT((H905-1-הגדרות!$E$8*(הגדרות!$E$7+1))/הגדרות!$E$7)))</f>
        <v/>
      </c>
      <c r="J905" s="0" t="str">
        <f aca="false">IF(I905="","",IF(H905-1&lt;הגדרות!$E$8*(הגדרות!$E$7+1),MOD(H905-1,הגדרות!$E$7+1),MOD(H905-1-הגדרות!$E$8*(הגדרות!$E$7+1),הגדרות!$E$7)))</f>
        <v/>
      </c>
      <c r="K905" s="0" t="str">
        <f aca="false">IF(I905="","",J905*הגדרות!$E$6+I905+1)</f>
        <v/>
      </c>
      <c r="L905" s="0" t="str">
        <f aca="false">IF(K905="","",MATCH(K905,$F$2:$F$5001,0))</f>
        <v/>
      </c>
      <c r="M905" s="0" t="str">
        <f aca="false">IF(I905="","",INDEX(הגדרות!$A$2:$A$21,MOD(I905+הגדרות!$E$9,הגדרות!$E$6)+1))</f>
        <v/>
      </c>
    </row>
    <row r="906" customFormat="false" ht="15" hidden="false" customHeight="false" outlineLevel="0" collapsed="false">
      <c r="A906" s="0" t="str">
        <f aca="false">IF('הדבקת לידים'!A906="","",IF(ISNUMBER('הדבקת לידים'!A906),IF(הגדרות!$E$2&gt;0,TEXT('הדבקת לידים'!A906,REPT("0",הגדרות!$E$2)),TEXT('הדבקת לידים'!A906,"0")),TRIM('הדבקת לידים'!A906)))</f>
        <v/>
      </c>
      <c r="B906" s="0" t="str">
        <f aca="false">IF('הדבקת לידים'!B906="","",IF(ISNUMBER('הדבקת לידים'!B906),IF(הגדרות!$E$3&gt;0,TEXT('הדבקת לידים'!B906,REPT("0",הגדרות!$E$3)),TEXT('הדבקת לידים'!B906,"0")),TRIM('הדבקת לידים'!B906)))</f>
        <v/>
      </c>
      <c r="C906" s="0" t="n">
        <f aca="false">IF(OR(A906&lt;&gt;"",B906&lt;&gt;""),1,0)</f>
        <v>0</v>
      </c>
      <c r="D906" s="0" t="str">
        <f aca="false">IF(C906=1,MOD(ABS(SIN(ROW()*12.9898+'הדבקת לידים'!$F$2*78.233+IFERROR(--RIGHT(A906,6),LEN(A906))*0.0137+IFERROR(--RIGHT(B906,6),LEN(B906))*0.0071))*43758.5453,1),"")</f>
        <v/>
      </c>
      <c r="E906" s="0" t="str">
        <f aca="false">IF(C906=1,INT(MOD(ABS(SIN(D906*7919.123+ROW()*0.618+'הדבקת לידים'!$F$2*1.3))*43758.5453,1)*1000000)*10000+ROW(),"")</f>
        <v/>
      </c>
      <c r="F906" s="0" t="str">
        <f aca="false">IF(E906="","",RANK(E906,$E$2:$E$5001,1))</f>
        <v/>
      </c>
      <c r="G906" s="0" t="n">
        <f aca="false">IF(A906="",0,IF(SUMPRODUCT(--($A$2:$A$5001=A906))&gt;1,1,0))</f>
        <v>0</v>
      </c>
      <c r="H906" s="0" t="n">
        <f aca="false">ROW()-1</f>
        <v>905</v>
      </c>
      <c r="I906" s="0" t="str">
        <f aca="false">IF(OR(הגדרות!$E$6=0,H906&gt;הגדרות!$E$5),"",IF(H906-1&lt;הגדרות!$E$8*(הגדרות!$E$7+1),INT((H906-1)/(הגדרות!$E$7+1)),הגדרות!$E$8+INT((H906-1-הגדרות!$E$8*(הגדרות!$E$7+1))/הגדרות!$E$7)))</f>
        <v/>
      </c>
      <c r="J906" s="0" t="str">
        <f aca="false">IF(I906="","",IF(H906-1&lt;הגדרות!$E$8*(הגדרות!$E$7+1),MOD(H906-1,הגדרות!$E$7+1),MOD(H906-1-הגדרות!$E$8*(הגדרות!$E$7+1),הגדרות!$E$7)))</f>
        <v/>
      </c>
      <c r="K906" s="0" t="str">
        <f aca="false">IF(I906="","",J906*הגדרות!$E$6+I906+1)</f>
        <v/>
      </c>
      <c r="L906" s="0" t="str">
        <f aca="false">IF(K906="","",MATCH(K906,$F$2:$F$5001,0))</f>
        <v/>
      </c>
      <c r="M906" s="0" t="str">
        <f aca="false">IF(I906="","",INDEX(הגדרות!$A$2:$A$21,MOD(I906+הגדרות!$E$9,הגדרות!$E$6)+1))</f>
        <v/>
      </c>
    </row>
    <row r="907" customFormat="false" ht="15" hidden="false" customHeight="false" outlineLevel="0" collapsed="false">
      <c r="A907" s="0" t="str">
        <f aca="false">IF('הדבקת לידים'!A907="","",IF(ISNUMBER('הדבקת לידים'!A907),IF(הגדרות!$E$2&gt;0,TEXT('הדבקת לידים'!A907,REPT("0",הגדרות!$E$2)),TEXT('הדבקת לידים'!A907,"0")),TRIM('הדבקת לידים'!A907)))</f>
        <v/>
      </c>
      <c r="B907" s="0" t="str">
        <f aca="false">IF('הדבקת לידים'!B907="","",IF(ISNUMBER('הדבקת לידים'!B907),IF(הגדרות!$E$3&gt;0,TEXT('הדבקת לידים'!B907,REPT("0",הגדרות!$E$3)),TEXT('הדבקת לידים'!B907,"0")),TRIM('הדבקת לידים'!B907)))</f>
        <v/>
      </c>
      <c r="C907" s="0" t="n">
        <f aca="false">IF(OR(A907&lt;&gt;"",B907&lt;&gt;""),1,0)</f>
        <v>0</v>
      </c>
      <c r="D907" s="0" t="str">
        <f aca="false">IF(C907=1,MOD(ABS(SIN(ROW()*12.9898+'הדבקת לידים'!$F$2*78.233+IFERROR(--RIGHT(A907,6),LEN(A907))*0.0137+IFERROR(--RIGHT(B907,6),LEN(B907))*0.0071))*43758.5453,1),"")</f>
        <v/>
      </c>
      <c r="E907" s="0" t="str">
        <f aca="false">IF(C907=1,INT(MOD(ABS(SIN(D907*7919.123+ROW()*0.618+'הדבקת לידים'!$F$2*1.3))*43758.5453,1)*1000000)*10000+ROW(),"")</f>
        <v/>
      </c>
      <c r="F907" s="0" t="str">
        <f aca="false">IF(E907="","",RANK(E907,$E$2:$E$5001,1))</f>
        <v/>
      </c>
      <c r="G907" s="0" t="n">
        <f aca="false">IF(A907="",0,IF(SUMPRODUCT(--($A$2:$A$5001=A907))&gt;1,1,0))</f>
        <v>0</v>
      </c>
      <c r="H907" s="0" t="n">
        <f aca="false">ROW()-1</f>
        <v>906</v>
      </c>
      <c r="I907" s="0" t="str">
        <f aca="false">IF(OR(הגדרות!$E$6=0,H907&gt;הגדרות!$E$5),"",IF(H907-1&lt;הגדרות!$E$8*(הגדרות!$E$7+1),INT((H907-1)/(הגדרות!$E$7+1)),הגדרות!$E$8+INT((H907-1-הגדרות!$E$8*(הגדרות!$E$7+1))/הגדרות!$E$7)))</f>
        <v/>
      </c>
      <c r="J907" s="0" t="str">
        <f aca="false">IF(I907="","",IF(H907-1&lt;הגדרות!$E$8*(הגדרות!$E$7+1),MOD(H907-1,הגדרות!$E$7+1),MOD(H907-1-הגדרות!$E$8*(הגדרות!$E$7+1),הגדרות!$E$7)))</f>
        <v/>
      </c>
      <c r="K907" s="0" t="str">
        <f aca="false">IF(I907="","",J907*הגדרות!$E$6+I907+1)</f>
        <v/>
      </c>
      <c r="L907" s="0" t="str">
        <f aca="false">IF(K907="","",MATCH(K907,$F$2:$F$5001,0))</f>
        <v/>
      </c>
      <c r="M907" s="0" t="str">
        <f aca="false">IF(I907="","",INDEX(הגדרות!$A$2:$A$21,MOD(I907+הגדרות!$E$9,הגדרות!$E$6)+1))</f>
        <v/>
      </c>
    </row>
    <row r="908" customFormat="false" ht="15" hidden="false" customHeight="false" outlineLevel="0" collapsed="false">
      <c r="A908" s="0" t="str">
        <f aca="false">IF('הדבקת לידים'!A908="","",IF(ISNUMBER('הדבקת לידים'!A908),IF(הגדרות!$E$2&gt;0,TEXT('הדבקת לידים'!A908,REPT("0",הגדרות!$E$2)),TEXT('הדבקת לידים'!A908,"0")),TRIM('הדבקת לידים'!A908)))</f>
        <v/>
      </c>
      <c r="B908" s="0" t="str">
        <f aca="false">IF('הדבקת לידים'!B908="","",IF(ISNUMBER('הדבקת לידים'!B908),IF(הגדרות!$E$3&gt;0,TEXT('הדבקת לידים'!B908,REPT("0",הגדרות!$E$3)),TEXT('הדבקת לידים'!B908,"0")),TRIM('הדבקת לידים'!B908)))</f>
        <v/>
      </c>
      <c r="C908" s="0" t="n">
        <f aca="false">IF(OR(A908&lt;&gt;"",B908&lt;&gt;""),1,0)</f>
        <v>0</v>
      </c>
      <c r="D908" s="0" t="str">
        <f aca="false">IF(C908=1,MOD(ABS(SIN(ROW()*12.9898+'הדבקת לידים'!$F$2*78.233+IFERROR(--RIGHT(A908,6),LEN(A908))*0.0137+IFERROR(--RIGHT(B908,6),LEN(B908))*0.0071))*43758.5453,1),"")</f>
        <v/>
      </c>
      <c r="E908" s="0" t="str">
        <f aca="false">IF(C908=1,INT(MOD(ABS(SIN(D908*7919.123+ROW()*0.618+'הדבקת לידים'!$F$2*1.3))*43758.5453,1)*1000000)*10000+ROW(),"")</f>
        <v/>
      </c>
      <c r="F908" s="0" t="str">
        <f aca="false">IF(E908="","",RANK(E908,$E$2:$E$5001,1))</f>
        <v/>
      </c>
      <c r="G908" s="0" t="n">
        <f aca="false">IF(A908="",0,IF(SUMPRODUCT(--($A$2:$A$5001=A908))&gt;1,1,0))</f>
        <v>0</v>
      </c>
      <c r="H908" s="0" t="n">
        <f aca="false">ROW()-1</f>
        <v>907</v>
      </c>
      <c r="I908" s="0" t="str">
        <f aca="false">IF(OR(הגדרות!$E$6=0,H908&gt;הגדרות!$E$5),"",IF(H908-1&lt;הגדרות!$E$8*(הגדרות!$E$7+1),INT((H908-1)/(הגדרות!$E$7+1)),הגדרות!$E$8+INT((H908-1-הגדרות!$E$8*(הגדרות!$E$7+1))/הגדרות!$E$7)))</f>
        <v/>
      </c>
      <c r="J908" s="0" t="str">
        <f aca="false">IF(I908="","",IF(H908-1&lt;הגדרות!$E$8*(הגדרות!$E$7+1),MOD(H908-1,הגדרות!$E$7+1),MOD(H908-1-הגדרות!$E$8*(הגדרות!$E$7+1),הגדרות!$E$7)))</f>
        <v/>
      </c>
      <c r="K908" s="0" t="str">
        <f aca="false">IF(I908="","",J908*הגדרות!$E$6+I908+1)</f>
        <v/>
      </c>
      <c r="L908" s="0" t="str">
        <f aca="false">IF(K908="","",MATCH(K908,$F$2:$F$5001,0))</f>
        <v/>
      </c>
      <c r="M908" s="0" t="str">
        <f aca="false">IF(I908="","",INDEX(הגדרות!$A$2:$A$21,MOD(I908+הגדרות!$E$9,הגדרות!$E$6)+1))</f>
        <v/>
      </c>
    </row>
    <row r="909" customFormat="false" ht="15" hidden="false" customHeight="false" outlineLevel="0" collapsed="false">
      <c r="A909" s="0" t="str">
        <f aca="false">IF('הדבקת לידים'!A909="","",IF(ISNUMBER('הדבקת לידים'!A909),IF(הגדרות!$E$2&gt;0,TEXT('הדבקת לידים'!A909,REPT("0",הגדרות!$E$2)),TEXT('הדבקת לידים'!A909,"0")),TRIM('הדבקת לידים'!A909)))</f>
        <v/>
      </c>
      <c r="B909" s="0" t="str">
        <f aca="false">IF('הדבקת לידים'!B909="","",IF(ISNUMBER('הדבקת לידים'!B909),IF(הגדרות!$E$3&gt;0,TEXT('הדבקת לידים'!B909,REPT("0",הגדרות!$E$3)),TEXT('הדבקת לידים'!B909,"0")),TRIM('הדבקת לידים'!B909)))</f>
        <v/>
      </c>
      <c r="C909" s="0" t="n">
        <f aca="false">IF(OR(A909&lt;&gt;"",B909&lt;&gt;""),1,0)</f>
        <v>0</v>
      </c>
      <c r="D909" s="0" t="str">
        <f aca="false">IF(C909=1,MOD(ABS(SIN(ROW()*12.9898+'הדבקת לידים'!$F$2*78.233+IFERROR(--RIGHT(A909,6),LEN(A909))*0.0137+IFERROR(--RIGHT(B909,6),LEN(B909))*0.0071))*43758.5453,1),"")</f>
        <v/>
      </c>
      <c r="E909" s="0" t="str">
        <f aca="false">IF(C909=1,INT(MOD(ABS(SIN(D909*7919.123+ROW()*0.618+'הדבקת לידים'!$F$2*1.3))*43758.5453,1)*1000000)*10000+ROW(),"")</f>
        <v/>
      </c>
      <c r="F909" s="0" t="str">
        <f aca="false">IF(E909="","",RANK(E909,$E$2:$E$5001,1))</f>
        <v/>
      </c>
      <c r="G909" s="0" t="n">
        <f aca="false">IF(A909="",0,IF(SUMPRODUCT(--($A$2:$A$5001=A909))&gt;1,1,0))</f>
        <v>0</v>
      </c>
      <c r="H909" s="0" t="n">
        <f aca="false">ROW()-1</f>
        <v>908</v>
      </c>
      <c r="I909" s="0" t="str">
        <f aca="false">IF(OR(הגדרות!$E$6=0,H909&gt;הגדרות!$E$5),"",IF(H909-1&lt;הגדרות!$E$8*(הגדרות!$E$7+1),INT((H909-1)/(הגדרות!$E$7+1)),הגדרות!$E$8+INT((H909-1-הגדרות!$E$8*(הגדרות!$E$7+1))/הגדרות!$E$7)))</f>
        <v/>
      </c>
      <c r="J909" s="0" t="str">
        <f aca="false">IF(I909="","",IF(H909-1&lt;הגדרות!$E$8*(הגדרות!$E$7+1),MOD(H909-1,הגדרות!$E$7+1),MOD(H909-1-הגדרות!$E$8*(הגדרות!$E$7+1),הגדרות!$E$7)))</f>
        <v/>
      </c>
      <c r="K909" s="0" t="str">
        <f aca="false">IF(I909="","",J909*הגדרות!$E$6+I909+1)</f>
        <v/>
      </c>
      <c r="L909" s="0" t="str">
        <f aca="false">IF(K909="","",MATCH(K909,$F$2:$F$5001,0))</f>
        <v/>
      </c>
      <c r="M909" s="0" t="str">
        <f aca="false">IF(I909="","",INDEX(הגדרות!$A$2:$A$21,MOD(I909+הגדרות!$E$9,הגדרות!$E$6)+1))</f>
        <v/>
      </c>
    </row>
    <row r="910" customFormat="false" ht="15" hidden="false" customHeight="false" outlineLevel="0" collapsed="false">
      <c r="A910" s="0" t="str">
        <f aca="false">IF('הדבקת לידים'!A910="","",IF(ISNUMBER('הדבקת לידים'!A910),IF(הגדרות!$E$2&gt;0,TEXT('הדבקת לידים'!A910,REPT("0",הגדרות!$E$2)),TEXT('הדבקת לידים'!A910,"0")),TRIM('הדבקת לידים'!A910)))</f>
        <v/>
      </c>
      <c r="B910" s="0" t="str">
        <f aca="false">IF('הדבקת לידים'!B910="","",IF(ISNUMBER('הדבקת לידים'!B910),IF(הגדרות!$E$3&gt;0,TEXT('הדבקת לידים'!B910,REPT("0",הגדרות!$E$3)),TEXT('הדבקת לידים'!B910,"0")),TRIM('הדבקת לידים'!B910)))</f>
        <v/>
      </c>
      <c r="C910" s="0" t="n">
        <f aca="false">IF(OR(A910&lt;&gt;"",B910&lt;&gt;""),1,0)</f>
        <v>0</v>
      </c>
      <c r="D910" s="0" t="str">
        <f aca="false">IF(C910=1,MOD(ABS(SIN(ROW()*12.9898+'הדבקת לידים'!$F$2*78.233+IFERROR(--RIGHT(A910,6),LEN(A910))*0.0137+IFERROR(--RIGHT(B910,6),LEN(B910))*0.0071))*43758.5453,1),"")</f>
        <v/>
      </c>
      <c r="E910" s="0" t="str">
        <f aca="false">IF(C910=1,INT(MOD(ABS(SIN(D910*7919.123+ROW()*0.618+'הדבקת לידים'!$F$2*1.3))*43758.5453,1)*1000000)*10000+ROW(),"")</f>
        <v/>
      </c>
      <c r="F910" s="0" t="str">
        <f aca="false">IF(E910="","",RANK(E910,$E$2:$E$5001,1))</f>
        <v/>
      </c>
      <c r="G910" s="0" t="n">
        <f aca="false">IF(A910="",0,IF(SUMPRODUCT(--($A$2:$A$5001=A910))&gt;1,1,0))</f>
        <v>0</v>
      </c>
      <c r="H910" s="0" t="n">
        <f aca="false">ROW()-1</f>
        <v>909</v>
      </c>
      <c r="I910" s="0" t="str">
        <f aca="false">IF(OR(הגדרות!$E$6=0,H910&gt;הגדרות!$E$5),"",IF(H910-1&lt;הגדרות!$E$8*(הגדרות!$E$7+1),INT((H910-1)/(הגדרות!$E$7+1)),הגדרות!$E$8+INT((H910-1-הגדרות!$E$8*(הגדרות!$E$7+1))/הגדרות!$E$7)))</f>
        <v/>
      </c>
      <c r="J910" s="0" t="str">
        <f aca="false">IF(I910="","",IF(H910-1&lt;הגדרות!$E$8*(הגדרות!$E$7+1),MOD(H910-1,הגדרות!$E$7+1),MOD(H910-1-הגדרות!$E$8*(הגדרות!$E$7+1),הגדרות!$E$7)))</f>
        <v/>
      </c>
      <c r="K910" s="0" t="str">
        <f aca="false">IF(I910="","",J910*הגדרות!$E$6+I910+1)</f>
        <v/>
      </c>
      <c r="L910" s="0" t="str">
        <f aca="false">IF(K910="","",MATCH(K910,$F$2:$F$5001,0))</f>
        <v/>
      </c>
      <c r="M910" s="0" t="str">
        <f aca="false">IF(I910="","",INDEX(הגדרות!$A$2:$A$21,MOD(I910+הגדרות!$E$9,הגדרות!$E$6)+1))</f>
        <v/>
      </c>
    </row>
    <row r="911" customFormat="false" ht="15" hidden="false" customHeight="false" outlineLevel="0" collapsed="false">
      <c r="A911" s="0" t="str">
        <f aca="false">IF('הדבקת לידים'!A911="","",IF(ISNUMBER('הדבקת לידים'!A911),IF(הגדרות!$E$2&gt;0,TEXT('הדבקת לידים'!A911,REPT("0",הגדרות!$E$2)),TEXT('הדבקת לידים'!A911,"0")),TRIM('הדבקת לידים'!A911)))</f>
        <v/>
      </c>
      <c r="B911" s="0" t="str">
        <f aca="false">IF('הדבקת לידים'!B911="","",IF(ISNUMBER('הדבקת לידים'!B911),IF(הגדרות!$E$3&gt;0,TEXT('הדבקת לידים'!B911,REPT("0",הגדרות!$E$3)),TEXT('הדבקת לידים'!B911,"0")),TRIM('הדבקת לידים'!B911)))</f>
        <v/>
      </c>
      <c r="C911" s="0" t="n">
        <f aca="false">IF(OR(A911&lt;&gt;"",B911&lt;&gt;""),1,0)</f>
        <v>0</v>
      </c>
      <c r="D911" s="0" t="str">
        <f aca="false">IF(C911=1,MOD(ABS(SIN(ROW()*12.9898+'הדבקת לידים'!$F$2*78.233+IFERROR(--RIGHT(A911,6),LEN(A911))*0.0137+IFERROR(--RIGHT(B911,6),LEN(B911))*0.0071))*43758.5453,1),"")</f>
        <v/>
      </c>
      <c r="E911" s="0" t="str">
        <f aca="false">IF(C911=1,INT(MOD(ABS(SIN(D911*7919.123+ROW()*0.618+'הדבקת לידים'!$F$2*1.3))*43758.5453,1)*1000000)*10000+ROW(),"")</f>
        <v/>
      </c>
      <c r="F911" s="0" t="str">
        <f aca="false">IF(E911="","",RANK(E911,$E$2:$E$5001,1))</f>
        <v/>
      </c>
      <c r="G911" s="0" t="n">
        <f aca="false">IF(A911="",0,IF(SUMPRODUCT(--($A$2:$A$5001=A911))&gt;1,1,0))</f>
        <v>0</v>
      </c>
      <c r="H911" s="0" t="n">
        <f aca="false">ROW()-1</f>
        <v>910</v>
      </c>
      <c r="I911" s="0" t="str">
        <f aca="false">IF(OR(הגדרות!$E$6=0,H911&gt;הגדרות!$E$5),"",IF(H911-1&lt;הגדרות!$E$8*(הגדרות!$E$7+1),INT((H911-1)/(הגדרות!$E$7+1)),הגדרות!$E$8+INT((H911-1-הגדרות!$E$8*(הגדרות!$E$7+1))/הגדרות!$E$7)))</f>
        <v/>
      </c>
      <c r="J911" s="0" t="str">
        <f aca="false">IF(I911="","",IF(H911-1&lt;הגדרות!$E$8*(הגדרות!$E$7+1),MOD(H911-1,הגדרות!$E$7+1),MOD(H911-1-הגדרות!$E$8*(הגדרות!$E$7+1),הגדרות!$E$7)))</f>
        <v/>
      </c>
      <c r="K911" s="0" t="str">
        <f aca="false">IF(I911="","",J911*הגדרות!$E$6+I911+1)</f>
        <v/>
      </c>
      <c r="L911" s="0" t="str">
        <f aca="false">IF(K911="","",MATCH(K911,$F$2:$F$5001,0))</f>
        <v/>
      </c>
      <c r="M911" s="0" t="str">
        <f aca="false">IF(I911="","",INDEX(הגדרות!$A$2:$A$21,MOD(I911+הגדרות!$E$9,הגדרות!$E$6)+1))</f>
        <v/>
      </c>
    </row>
    <row r="912" customFormat="false" ht="15" hidden="false" customHeight="false" outlineLevel="0" collapsed="false">
      <c r="A912" s="0" t="str">
        <f aca="false">IF('הדבקת לידים'!A912="","",IF(ISNUMBER('הדבקת לידים'!A912),IF(הגדרות!$E$2&gt;0,TEXT('הדבקת לידים'!A912,REPT("0",הגדרות!$E$2)),TEXT('הדבקת לידים'!A912,"0")),TRIM('הדבקת לידים'!A912)))</f>
        <v/>
      </c>
      <c r="B912" s="0" t="str">
        <f aca="false">IF('הדבקת לידים'!B912="","",IF(ISNUMBER('הדבקת לידים'!B912),IF(הגדרות!$E$3&gt;0,TEXT('הדבקת לידים'!B912,REPT("0",הגדרות!$E$3)),TEXT('הדבקת לידים'!B912,"0")),TRIM('הדבקת לידים'!B912)))</f>
        <v/>
      </c>
      <c r="C912" s="0" t="n">
        <f aca="false">IF(OR(A912&lt;&gt;"",B912&lt;&gt;""),1,0)</f>
        <v>0</v>
      </c>
      <c r="D912" s="0" t="str">
        <f aca="false">IF(C912=1,MOD(ABS(SIN(ROW()*12.9898+'הדבקת לידים'!$F$2*78.233+IFERROR(--RIGHT(A912,6),LEN(A912))*0.0137+IFERROR(--RIGHT(B912,6),LEN(B912))*0.0071))*43758.5453,1),"")</f>
        <v/>
      </c>
      <c r="E912" s="0" t="str">
        <f aca="false">IF(C912=1,INT(MOD(ABS(SIN(D912*7919.123+ROW()*0.618+'הדבקת לידים'!$F$2*1.3))*43758.5453,1)*1000000)*10000+ROW(),"")</f>
        <v/>
      </c>
      <c r="F912" s="0" t="str">
        <f aca="false">IF(E912="","",RANK(E912,$E$2:$E$5001,1))</f>
        <v/>
      </c>
      <c r="G912" s="0" t="n">
        <f aca="false">IF(A912="",0,IF(SUMPRODUCT(--($A$2:$A$5001=A912))&gt;1,1,0))</f>
        <v>0</v>
      </c>
      <c r="H912" s="0" t="n">
        <f aca="false">ROW()-1</f>
        <v>911</v>
      </c>
      <c r="I912" s="0" t="str">
        <f aca="false">IF(OR(הגדרות!$E$6=0,H912&gt;הגדרות!$E$5),"",IF(H912-1&lt;הגדרות!$E$8*(הגדרות!$E$7+1),INT((H912-1)/(הגדרות!$E$7+1)),הגדרות!$E$8+INT((H912-1-הגדרות!$E$8*(הגדרות!$E$7+1))/הגדרות!$E$7)))</f>
        <v/>
      </c>
      <c r="J912" s="0" t="str">
        <f aca="false">IF(I912="","",IF(H912-1&lt;הגדרות!$E$8*(הגדרות!$E$7+1),MOD(H912-1,הגדרות!$E$7+1),MOD(H912-1-הגדרות!$E$8*(הגדרות!$E$7+1),הגדרות!$E$7)))</f>
        <v/>
      </c>
      <c r="K912" s="0" t="str">
        <f aca="false">IF(I912="","",J912*הגדרות!$E$6+I912+1)</f>
        <v/>
      </c>
      <c r="L912" s="0" t="str">
        <f aca="false">IF(K912="","",MATCH(K912,$F$2:$F$5001,0))</f>
        <v/>
      </c>
      <c r="M912" s="0" t="str">
        <f aca="false">IF(I912="","",INDEX(הגדרות!$A$2:$A$21,MOD(I912+הגדרות!$E$9,הגדרות!$E$6)+1))</f>
        <v/>
      </c>
    </row>
    <row r="913" customFormat="false" ht="15" hidden="false" customHeight="false" outlineLevel="0" collapsed="false">
      <c r="A913" s="0" t="str">
        <f aca="false">IF('הדבקת לידים'!A913="","",IF(ISNUMBER('הדבקת לידים'!A913),IF(הגדרות!$E$2&gt;0,TEXT('הדבקת לידים'!A913,REPT("0",הגדרות!$E$2)),TEXT('הדבקת לידים'!A913,"0")),TRIM('הדבקת לידים'!A913)))</f>
        <v/>
      </c>
      <c r="B913" s="0" t="str">
        <f aca="false">IF('הדבקת לידים'!B913="","",IF(ISNUMBER('הדבקת לידים'!B913),IF(הגדרות!$E$3&gt;0,TEXT('הדבקת לידים'!B913,REPT("0",הגדרות!$E$3)),TEXT('הדבקת לידים'!B913,"0")),TRIM('הדבקת לידים'!B913)))</f>
        <v/>
      </c>
      <c r="C913" s="0" t="n">
        <f aca="false">IF(OR(A913&lt;&gt;"",B913&lt;&gt;""),1,0)</f>
        <v>0</v>
      </c>
      <c r="D913" s="0" t="str">
        <f aca="false">IF(C913=1,MOD(ABS(SIN(ROW()*12.9898+'הדבקת לידים'!$F$2*78.233+IFERROR(--RIGHT(A913,6),LEN(A913))*0.0137+IFERROR(--RIGHT(B913,6),LEN(B913))*0.0071))*43758.5453,1),"")</f>
        <v/>
      </c>
      <c r="E913" s="0" t="str">
        <f aca="false">IF(C913=1,INT(MOD(ABS(SIN(D913*7919.123+ROW()*0.618+'הדבקת לידים'!$F$2*1.3))*43758.5453,1)*1000000)*10000+ROW(),"")</f>
        <v/>
      </c>
      <c r="F913" s="0" t="str">
        <f aca="false">IF(E913="","",RANK(E913,$E$2:$E$5001,1))</f>
        <v/>
      </c>
      <c r="G913" s="0" t="n">
        <f aca="false">IF(A913="",0,IF(SUMPRODUCT(--($A$2:$A$5001=A913))&gt;1,1,0))</f>
        <v>0</v>
      </c>
      <c r="H913" s="0" t="n">
        <f aca="false">ROW()-1</f>
        <v>912</v>
      </c>
      <c r="I913" s="0" t="str">
        <f aca="false">IF(OR(הגדרות!$E$6=0,H913&gt;הגדרות!$E$5),"",IF(H913-1&lt;הגדרות!$E$8*(הגדרות!$E$7+1),INT((H913-1)/(הגדרות!$E$7+1)),הגדרות!$E$8+INT((H913-1-הגדרות!$E$8*(הגדרות!$E$7+1))/הגדרות!$E$7)))</f>
        <v/>
      </c>
      <c r="J913" s="0" t="str">
        <f aca="false">IF(I913="","",IF(H913-1&lt;הגדרות!$E$8*(הגדרות!$E$7+1),MOD(H913-1,הגדרות!$E$7+1),MOD(H913-1-הגדרות!$E$8*(הגדרות!$E$7+1),הגדרות!$E$7)))</f>
        <v/>
      </c>
      <c r="K913" s="0" t="str">
        <f aca="false">IF(I913="","",J913*הגדרות!$E$6+I913+1)</f>
        <v/>
      </c>
      <c r="L913" s="0" t="str">
        <f aca="false">IF(K913="","",MATCH(K913,$F$2:$F$5001,0))</f>
        <v/>
      </c>
      <c r="M913" s="0" t="str">
        <f aca="false">IF(I913="","",INDEX(הגדרות!$A$2:$A$21,MOD(I913+הגדרות!$E$9,הגדרות!$E$6)+1))</f>
        <v/>
      </c>
    </row>
    <row r="914" customFormat="false" ht="15" hidden="false" customHeight="false" outlineLevel="0" collapsed="false">
      <c r="A914" s="0" t="str">
        <f aca="false">IF('הדבקת לידים'!A914="","",IF(ISNUMBER('הדבקת לידים'!A914),IF(הגדרות!$E$2&gt;0,TEXT('הדבקת לידים'!A914,REPT("0",הגדרות!$E$2)),TEXT('הדבקת לידים'!A914,"0")),TRIM('הדבקת לידים'!A914)))</f>
        <v/>
      </c>
      <c r="B914" s="0" t="str">
        <f aca="false">IF('הדבקת לידים'!B914="","",IF(ISNUMBER('הדבקת לידים'!B914),IF(הגדרות!$E$3&gt;0,TEXT('הדבקת לידים'!B914,REPT("0",הגדרות!$E$3)),TEXT('הדבקת לידים'!B914,"0")),TRIM('הדבקת לידים'!B914)))</f>
        <v/>
      </c>
      <c r="C914" s="0" t="n">
        <f aca="false">IF(OR(A914&lt;&gt;"",B914&lt;&gt;""),1,0)</f>
        <v>0</v>
      </c>
      <c r="D914" s="0" t="str">
        <f aca="false">IF(C914=1,MOD(ABS(SIN(ROW()*12.9898+'הדבקת לידים'!$F$2*78.233+IFERROR(--RIGHT(A914,6),LEN(A914))*0.0137+IFERROR(--RIGHT(B914,6),LEN(B914))*0.0071))*43758.5453,1),"")</f>
        <v/>
      </c>
      <c r="E914" s="0" t="str">
        <f aca="false">IF(C914=1,INT(MOD(ABS(SIN(D914*7919.123+ROW()*0.618+'הדבקת לידים'!$F$2*1.3))*43758.5453,1)*1000000)*10000+ROW(),"")</f>
        <v/>
      </c>
      <c r="F914" s="0" t="str">
        <f aca="false">IF(E914="","",RANK(E914,$E$2:$E$5001,1))</f>
        <v/>
      </c>
      <c r="G914" s="0" t="n">
        <f aca="false">IF(A914="",0,IF(SUMPRODUCT(--($A$2:$A$5001=A914))&gt;1,1,0))</f>
        <v>0</v>
      </c>
      <c r="H914" s="0" t="n">
        <f aca="false">ROW()-1</f>
        <v>913</v>
      </c>
      <c r="I914" s="0" t="str">
        <f aca="false">IF(OR(הגדרות!$E$6=0,H914&gt;הגדרות!$E$5),"",IF(H914-1&lt;הגדרות!$E$8*(הגדרות!$E$7+1),INT((H914-1)/(הגדרות!$E$7+1)),הגדרות!$E$8+INT((H914-1-הגדרות!$E$8*(הגדרות!$E$7+1))/הגדרות!$E$7)))</f>
        <v/>
      </c>
      <c r="J914" s="0" t="str">
        <f aca="false">IF(I914="","",IF(H914-1&lt;הגדרות!$E$8*(הגדרות!$E$7+1),MOD(H914-1,הגדרות!$E$7+1),MOD(H914-1-הגדרות!$E$8*(הגדרות!$E$7+1),הגדרות!$E$7)))</f>
        <v/>
      </c>
      <c r="K914" s="0" t="str">
        <f aca="false">IF(I914="","",J914*הגדרות!$E$6+I914+1)</f>
        <v/>
      </c>
      <c r="L914" s="0" t="str">
        <f aca="false">IF(K914="","",MATCH(K914,$F$2:$F$5001,0))</f>
        <v/>
      </c>
      <c r="M914" s="0" t="str">
        <f aca="false">IF(I914="","",INDEX(הגדרות!$A$2:$A$21,MOD(I914+הגדרות!$E$9,הגדרות!$E$6)+1))</f>
        <v/>
      </c>
    </row>
    <row r="915" customFormat="false" ht="15" hidden="false" customHeight="false" outlineLevel="0" collapsed="false">
      <c r="A915" s="0" t="str">
        <f aca="false">IF('הדבקת לידים'!A915="","",IF(ISNUMBER('הדבקת לידים'!A915),IF(הגדרות!$E$2&gt;0,TEXT('הדבקת לידים'!A915,REPT("0",הגדרות!$E$2)),TEXT('הדבקת לידים'!A915,"0")),TRIM('הדבקת לידים'!A915)))</f>
        <v/>
      </c>
      <c r="B915" s="0" t="str">
        <f aca="false">IF('הדבקת לידים'!B915="","",IF(ISNUMBER('הדבקת לידים'!B915),IF(הגדרות!$E$3&gt;0,TEXT('הדבקת לידים'!B915,REPT("0",הגדרות!$E$3)),TEXT('הדבקת לידים'!B915,"0")),TRIM('הדבקת לידים'!B915)))</f>
        <v/>
      </c>
      <c r="C915" s="0" t="n">
        <f aca="false">IF(OR(A915&lt;&gt;"",B915&lt;&gt;""),1,0)</f>
        <v>0</v>
      </c>
      <c r="D915" s="0" t="str">
        <f aca="false">IF(C915=1,MOD(ABS(SIN(ROW()*12.9898+'הדבקת לידים'!$F$2*78.233+IFERROR(--RIGHT(A915,6),LEN(A915))*0.0137+IFERROR(--RIGHT(B915,6),LEN(B915))*0.0071))*43758.5453,1),"")</f>
        <v/>
      </c>
      <c r="E915" s="0" t="str">
        <f aca="false">IF(C915=1,INT(MOD(ABS(SIN(D915*7919.123+ROW()*0.618+'הדבקת לידים'!$F$2*1.3))*43758.5453,1)*1000000)*10000+ROW(),"")</f>
        <v/>
      </c>
      <c r="F915" s="0" t="str">
        <f aca="false">IF(E915="","",RANK(E915,$E$2:$E$5001,1))</f>
        <v/>
      </c>
      <c r="G915" s="0" t="n">
        <f aca="false">IF(A915="",0,IF(SUMPRODUCT(--($A$2:$A$5001=A915))&gt;1,1,0))</f>
        <v>0</v>
      </c>
      <c r="H915" s="0" t="n">
        <f aca="false">ROW()-1</f>
        <v>914</v>
      </c>
      <c r="I915" s="0" t="str">
        <f aca="false">IF(OR(הגדרות!$E$6=0,H915&gt;הגדרות!$E$5),"",IF(H915-1&lt;הגדרות!$E$8*(הגדרות!$E$7+1),INT((H915-1)/(הגדרות!$E$7+1)),הגדרות!$E$8+INT((H915-1-הגדרות!$E$8*(הגדרות!$E$7+1))/הגדרות!$E$7)))</f>
        <v/>
      </c>
      <c r="J915" s="0" t="str">
        <f aca="false">IF(I915="","",IF(H915-1&lt;הגדרות!$E$8*(הגדרות!$E$7+1),MOD(H915-1,הגדרות!$E$7+1),MOD(H915-1-הגדרות!$E$8*(הגדרות!$E$7+1),הגדרות!$E$7)))</f>
        <v/>
      </c>
      <c r="K915" s="0" t="str">
        <f aca="false">IF(I915="","",J915*הגדרות!$E$6+I915+1)</f>
        <v/>
      </c>
      <c r="L915" s="0" t="str">
        <f aca="false">IF(K915="","",MATCH(K915,$F$2:$F$5001,0))</f>
        <v/>
      </c>
      <c r="M915" s="0" t="str">
        <f aca="false">IF(I915="","",INDEX(הגדרות!$A$2:$A$21,MOD(I915+הגדרות!$E$9,הגדרות!$E$6)+1))</f>
        <v/>
      </c>
    </row>
    <row r="916" customFormat="false" ht="15" hidden="false" customHeight="false" outlineLevel="0" collapsed="false">
      <c r="A916" s="0" t="str">
        <f aca="false">IF('הדבקת לידים'!A916="","",IF(ISNUMBER('הדבקת לידים'!A916),IF(הגדרות!$E$2&gt;0,TEXT('הדבקת לידים'!A916,REPT("0",הגדרות!$E$2)),TEXT('הדבקת לידים'!A916,"0")),TRIM('הדבקת לידים'!A916)))</f>
        <v/>
      </c>
      <c r="B916" s="0" t="str">
        <f aca="false">IF('הדבקת לידים'!B916="","",IF(ISNUMBER('הדבקת לידים'!B916),IF(הגדרות!$E$3&gt;0,TEXT('הדבקת לידים'!B916,REPT("0",הגדרות!$E$3)),TEXT('הדבקת לידים'!B916,"0")),TRIM('הדבקת לידים'!B916)))</f>
        <v/>
      </c>
      <c r="C916" s="0" t="n">
        <f aca="false">IF(OR(A916&lt;&gt;"",B916&lt;&gt;""),1,0)</f>
        <v>0</v>
      </c>
      <c r="D916" s="0" t="str">
        <f aca="false">IF(C916=1,MOD(ABS(SIN(ROW()*12.9898+'הדבקת לידים'!$F$2*78.233+IFERROR(--RIGHT(A916,6),LEN(A916))*0.0137+IFERROR(--RIGHT(B916,6),LEN(B916))*0.0071))*43758.5453,1),"")</f>
        <v/>
      </c>
      <c r="E916" s="0" t="str">
        <f aca="false">IF(C916=1,INT(MOD(ABS(SIN(D916*7919.123+ROW()*0.618+'הדבקת לידים'!$F$2*1.3))*43758.5453,1)*1000000)*10000+ROW(),"")</f>
        <v/>
      </c>
      <c r="F916" s="0" t="str">
        <f aca="false">IF(E916="","",RANK(E916,$E$2:$E$5001,1))</f>
        <v/>
      </c>
      <c r="G916" s="0" t="n">
        <f aca="false">IF(A916="",0,IF(SUMPRODUCT(--($A$2:$A$5001=A916))&gt;1,1,0))</f>
        <v>0</v>
      </c>
      <c r="H916" s="0" t="n">
        <f aca="false">ROW()-1</f>
        <v>915</v>
      </c>
      <c r="I916" s="0" t="str">
        <f aca="false">IF(OR(הגדרות!$E$6=0,H916&gt;הגדרות!$E$5),"",IF(H916-1&lt;הגדרות!$E$8*(הגדרות!$E$7+1),INT((H916-1)/(הגדרות!$E$7+1)),הגדרות!$E$8+INT((H916-1-הגדרות!$E$8*(הגדרות!$E$7+1))/הגדרות!$E$7)))</f>
        <v/>
      </c>
      <c r="J916" s="0" t="str">
        <f aca="false">IF(I916="","",IF(H916-1&lt;הגדרות!$E$8*(הגדרות!$E$7+1),MOD(H916-1,הגדרות!$E$7+1),MOD(H916-1-הגדרות!$E$8*(הגדרות!$E$7+1),הגדרות!$E$7)))</f>
        <v/>
      </c>
      <c r="K916" s="0" t="str">
        <f aca="false">IF(I916="","",J916*הגדרות!$E$6+I916+1)</f>
        <v/>
      </c>
      <c r="L916" s="0" t="str">
        <f aca="false">IF(K916="","",MATCH(K916,$F$2:$F$5001,0))</f>
        <v/>
      </c>
      <c r="M916" s="0" t="str">
        <f aca="false">IF(I916="","",INDEX(הגדרות!$A$2:$A$21,MOD(I916+הגדרות!$E$9,הגדרות!$E$6)+1))</f>
        <v/>
      </c>
    </row>
    <row r="917" customFormat="false" ht="15" hidden="false" customHeight="false" outlineLevel="0" collapsed="false">
      <c r="A917" s="0" t="str">
        <f aca="false">IF('הדבקת לידים'!A917="","",IF(ISNUMBER('הדבקת לידים'!A917),IF(הגדרות!$E$2&gt;0,TEXT('הדבקת לידים'!A917,REPT("0",הגדרות!$E$2)),TEXT('הדבקת לידים'!A917,"0")),TRIM('הדבקת לידים'!A917)))</f>
        <v/>
      </c>
      <c r="B917" s="0" t="str">
        <f aca="false">IF('הדבקת לידים'!B917="","",IF(ISNUMBER('הדבקת לידים'!B917),IF(הגדרות!$E$3&gt;0,TEXT('הדבקת לידים'!B917,REPT("0",הגדרות!$E$3)),TEXT('הדבקת לידים'!B917,"0")),TRIM('הדבקת לידים'!B917)))</f>
        <v/>
      </c>
      <c r="C917" s="0" t="n">
        <f aca="false">IF(OR(A917&lt;&gt;"",B917&lt;&gt;""),1,0)</f>
        <v>0</v>
      </c>
      <c r="D917" s="0" t="str">
        <f aca="false">IF(C917=1,MOD(ABS(SIN(ROW()*12.9898+'הדבקת לידים'!$F$2*78.233+IFERROR(--RIGHT(A917,6),LEN(A917))*0.0137+IFERROR(--RIGHT(B917,6),LEN(B917))*0.0071))*43758.5453,1),"")</f>
        <v/>
      </c>
      <c r="E917" s="0" t="str">
        <f aca="false">IF(C917=1,INT(MOD(ABS(SIN(D917*7919.123+ROW()*0.618+'הדבקת לידים'!$F$2*1.3))*43758.5453,1)*1000000)*10000+ROW(),"")</f>
        <v/>
      </c>
      <c r="F917" s="0" t="str">
        <f aca="false">IF(E917="","",RANK(E917,$E$2:$E$5001,1))</f>
        <v/>
      </c>
      <c r="G917" s="0" t="n">
        <f aca="false">IF(A917="",0,IF(SUMPRODUCT(--($A$2:$A$5001=A917))&gt;1,1,0))</f>
        <v>0</v>
      </c>
      <c r="H917" s="0" t="n">
        <f aca="false">ROW()-1</f>
        <v>916</v>
      </c>
      <c r="I917" s="0" t="str">
        <f aca="false">IF(OR(הגדרות!$E$6=0,H917&gt;הגדרות!$E$5),"",IF(H917-1&lt;הגדרות!$E$8*(הגדרות!$E$7+1),INT((H917-1)/(הגדרות!$E$7+1)),הגדרות!$E$8+INT((H917-1-הגדרות!$E$8*(הגדרות!$E$7+1))/הגדרות!$E$7)))</f>
        <v/>
      </c>
      <c r="J917" s="0" t="str">
        <f aca="false">IF(I917="","",IF(H917-1&lt;הגדרות!$E$8*(הגדרות!$E$7+1),MOD(H917-1,הגדרות!$E$7+1),MOD(H917-1-הגדרות!$E$8*(הגדרות!$E$7+1),הגדרות!$E$7)))</f>
        <v/>
      </c>
      <c r="K917" s="0" t="str">
        <f aca="false">IF(I917="","",J917*הגדרות!$E$6+I917+1)</f>
        <v/>
      </c>
      <c r="L917" s="0" t="str">
        <f aca="false">IF(K917="","",MATCH(K917,$F$2:$F$5001,0))</f>
        <v/>
      </c>
      <c r="M917" s="0" t="str">
        <f aca="false">IF(I917="","",INDEX(הגדרות!$A$2:$A$21,MOD(I917+הגדרות!$E$9,הגדרות!$E$6)+1))</f>
        <v/>
      </c>
    </row>
    <row r="918" customFormat="false" ht="15" hidden="false" customHeight="false" outlineLevel="0" collapsed="false">
      <c r="A918" s="0" t="str">
        <f aca="false">IF('הדבקת לידים'!A918="","",IF(ISNUMBER('הדבקת לידים'!A918),IF(הגדרות!$E$2&gt;0,TEXT('הדבקת לידים'!A918,REPT("0",הגדרות!$E$2)),TEXT('הדבקת לידים'!A918,"0")),TRIM('הדבקת לידים'!A918)))</f>
        <v/>
      </c>
      <c r="B918" s="0" t="str">
        <f aca="false">IF('הדבקת לידים'!B918="","",IF(ISNUMBER('הדבקת לידים'!B918),IF(הגדרות!$E$3&gt;0,TEXT('הדבקת לידים'!B918,REPT("0",הגדרות!$E$3)),TEXT('הדבקת לידים'!B918,"0")),TRIM('הדבקת לידים'!B918)))</f>
        <v/>
      </c>
      <c r="C918" s="0" t="n">
        <f aca="false">IF(OR(A918&lt;&gt;"",B918&lt;&gt;""),1,0)</f>
        <v>0</v>
      </c>
      <c r="D918" s="0" t="str">
        <f aca="false">IF(C918=1,MOD(ABS(SIN(ROW()*12.9898+'הדבקת לידים'!$F$2*78.233+IFERROR(--RIGHT(A918,6),LEN(A918))*0.0137+IFERROR(--RIGHT(B918,6),LEN(B918))*0.0071))*43758.5453,1),"")</f>
        <v/>
      </c>
      <c r="E918" s="0" t="str">
        <f aca="false">IF(C918=1,INT(MOD(ABS(SIN(D918*7919.123+ROW()*0.618+'הדבקת לידים'!$F$2*1.3))*43758.5453,1)*1000000)*10000+ROW(),"")</f>
        <v/>
      </c>
      <c r="F918" s="0" t="str">
        <f aca="false">IF(E918="","",RANK(E918,$E$2:$E$5001,1))</f>
        <v/>
      </c>
      <c r="G918" s="0" t="n">
        <f aca="false">IF(A918="",0,IF(SUMPRODUCT(--($A$2:$A$5001=A918))&gt;1,1,0))</f>
        <v>0</v>
      </c>
      <c r="H918" s="0" t="n">
        <f aca="false">ROW()-1</f>
        <v>917</v>
      </c>
      <c r="I918" s="0" t="str">
        <f aca="false">IF(OR(הגדרות!$E$6=0,H918&gt;הגדרות!$E$5),"",IF(H918-1&lt;הגדרות!$E$8*(הגדרות!$E$7+1),INT((H918-1)/(הגדרות!$E$7+1)),הגדרות!$E$8+INT((H918-1-הגדרות!$E$8*(הגדרות!$E$7+1))/הגדרות!$E$7)))</f>
        <v/>
      </c>
      <c r="J918" s="0" t="str">
        <f aca="false">IF(I918="","",IF(H918-1&lt;הגדרות!$E$8*(הגדרות!$E$7+1),MOD(H918-1,הגדרות!$E$7+1),MOD(H918-1-הגדרות!$E$8*(הגדרות!$E$7+1),הגדרות!$E$7)))</f>
        <v/>
      </c>
      <c r="K918" s="0" t="str">
        <f aca="false">IF(I918="","",J918*הגדרות!$E$6+I918+1)</f>
        <v/>
      </c>
      <c r="L918" s="0" t="str">
        <f aca="false">IF(K918="","",MATCH(K918,$F$2:$F$5001,0))</f>
        <v/>
      </c>
      <c r="M918" s="0" t="str">
        <f aca="false">IF(I918="","",INDEX(הגדרות!$A$2:$A$21,MOD(I918+הגדרות!$E$9,הגדרות!$E$6)+1))</f>
        <v/>
      </c>
    </row>
    <row r="919" customFormat="false" ht="15" hidden="false" customHeight="false" outlineLevel="0" collapsed="false">
      <c r="A919" s="0" t="str">
        <f aca="false">IF('הדבקת לידים'!A919="","",IF(ISNUMBER('הדבקת לידים'!A919),IF(הגדרות!$E$2&gt;0,TEXT('הדבקת לידים'!A919,REPT("0",הגדרות!$E$2)),TEXT('הדבקת לידים'!A919,"0")),TRIM('הדבקת לידים'!A919)))</f>
        <v/>
      </c>
      <c r="B919" s="0" t="str">
        <f aca="false">IF('הדבקת לידים'!B919="","",IF(ISNUMBER('הדבקת לידים'!B919),IF(הגדרות!$E$3&gt;0,TEXT('הדבקת לידים'!B919,REPT("0",הגדרות!$E$3)),TEXT('הדבקת לידים'!B919,"0")),TRIM('הדבקת לידים'!B919)))</f>
        <v/>
      </c>
      <c r="C919" s="0" t="n">
        <f aca="false">IF(OR(A919&lt;&gt;"",B919&lt;&gt;""),1,0)</f>
        <v>0</v>
      </c>
      <c r="D919" s="0" t="str">
        <f aca="false">IF(C919=1,MOD(ABS(SIN(ROW()*12.9898+'הדבקת לידים'!$F$2*78.233+IFERROR(--RIGHT(A919,6),LEN(A919))*0.0137+IFERROR(--RIGHT(B919,6),LEN(B919))*0.0071))*43758.5453,1),"")</f>
        <v/>
      </c>
      <c r="E919" s="0" t="str">
        <f aca="false">IF(C919=1,INT(MOD(ABS(SIN(D919*7919.123+ROW()*0.618+'הדבקת לידים'!$F$2*1.3))*43758.5453,1)*1000000)*10000+ROW(),"")</f>
        <v/>
      </c>
      <c r="F919" s="0" t="str">
        <f aca="false">IF(E919="","",RANK(E919,$E$2:$E$5001,1))</f>
        <v/>
      </c>
      <c r="G919" s="0" t="n">
        <f aca="false">IF(A919="",0,IF(SUMPRODUCT(--($A$2:$A$5001=A919))&gt;1,1,0))</f>
        <v>0</v>
      </c>
      <c r="H919" s="0" t="n">
        <f aca="false">ROW()-1</f>
        <v>918</v>
      </c>
      <c r="I919" s="0" t="str">
        <f aca="false">IF(OR(הגדרות!$E$6=0,H919&gt;הגדרות!$E$5),"",IF(H919-1&lt;הגדרות!$E$8*(הגדרות!$E$7+1),INT((H919-1)/(הגדרות!$E$7+1)),הגדרות!$E$8+INT((H919-1-הגדרות!$E$8*(הגדרות!$E$7+1))/הגדרות!$E$7)))</f>
        <v/>
      </c>
      <c r="J919" s="0" t="str">
        <f aca="false">IF(I919="","",IF(H919-1&lt;הגדרות!$E$8*(הגדרות!$E$7+1),MOD(H919-1,הגדרות!$E$7+1),MOD(H919-1-הגדרות!$E$8*(הגדרות!$E$7+1),הגדרות!$E$7)))</f>
        <v/>
      </c>
      <c r="K919" s="0" t="str">
        <f aca="false">IF(I919="","",J919*הגדרות!$E$6+I919+1)</f>
        <v/>
      </c>
      <c r="L919" s="0" t="str">
        <f aca="false">IF(K919="","",MATCH(K919,$F$2:$F$5001,0))</f>
        <v/>
      </c>
      <c r="M919" s="0" t="str">
        <f aca="false">IF(I919="","",INDEX(הגדרות!$A$2:$A$21,MOD(I919+הגדרות!$E$9,הגדרות!$E$6)+1))</f>
        <v/>
      </c>
    </row>
    <row r="920" customFormat="false" ht="15" hidden="false" customHeight="false" outlineLevel="0" collapsed="false">
      <c r="A920" s="0" t="str">
        <f aca="false">IF('הדבקת לידים'!A920="","",IF(ISNUMBER('הדבקת לידים'!A920),IF(הגדרות!$E$2&gt;0,TEXT('הדבקת לידים'!A920,REPT("0",הגדרות!$E$2)),TEXT('הדבקת לידים'!A920,"0")),TRIM('הדבקת לידים'!A920)))</f>
        <v/>
      </c>
      <c r="B920" s="0" t="str">
        <f aca="false">IF('הדבקת לידים'!B920="","",IF(ISNUMBER('הדבקת לידים'!B920),IF(הגדרות!$E$3&gt;0,TEXT('הדבקת לידים'!B920,REPT("0",הגדרות!$E$3)),TEXT('הדבקת לידים'!B920,"0")),TRIM('הדבקת לידים'!B920)))</f>
        <v/>
      </c>
      <c r="C920" s="0" t="n">
        <f aca="false">IF(OR(A920&lt;&gt;"",B920&lt;&gt;""),1,0)</f>
        <v>0</v>
      </c>
      <c r="D920" s="0" t="str">
        <f aca="false">IF(C920=1,MOD(ABS(SIN(ROW()*12.9898+'הדבקת לידים'!$F$2*78.233+IFERROR(--RIGHT(A920,6),LEN(A920))*0.0137+IFERROR(--RIGHT(B920,6),LEN(B920))*0.0071))*43758.5453,1),"")</f>
        <v/>
      </c>
      <c r="E920" s="0" t="str">
        <f aca="false">IF(C920=1,INT(MOD(ABS(SIN(D920*7919.123+ROW()*0.618+'הדבקת לידים'!$F$2*1.3))*43758.5453,1)*1000000)*10000+ROW(),"")</f>
        <v/>
      </c>
      <c r="F920" s="0" t="str">
        <f aca="false">IF(E920="","",RANK(E920,$E$2:$E$5001,1))</f>
        <v/>
      </c>
      <c r="G920" s="0" t="n">
        <f aca="false">IF(A920="",0,IF(SUMPRODUCT(--($A$2:$A$5001=A920))&gt;1,1,0))</f>
        <v>0</v>
      </c>
      <c r="H920" s="0" t="n">
        <f aca="false">ROW()-1</f>
        <v>919</v>
      </c>
      <c r="I920" s="0" t="str">
        <f aca="false">IF(OR(הגדרות!$E$6=0,H920&gt;הגדרות!$E$5),"",IF(H920-1&lt;הגדרות!$E$8*(הגדרות!$E$7+1),INT((H920-1)/(הגדרות!$E$7+1)),הגדרות!$E$8+INT((H920-1-הגדרות!$E$8*(הגדרות!$E$7+1))/הגדרות!$E$7)))</f>
        <v/>
      </c>
      <c r="J920" s="0" t="str">
        <f aca="false">IF(I920="","",IF(H920-1&lt;הגדרות!$E$8*(הגדרות!$E$7+1),MOD(H920-1,הגדרות!$E$7+1),MOD(H920-1-הגדרות!$E$8*(הגדרות!$E$7+1),הגדרות!$E$7)))</f>
        <v/>
      </c>
      <c r="K920" s="0" t="str">
        <f aca="false">IF(I920="","",J920*הגדרות!$E$6+I920+1)</f>
        <v/>
      </c>
      <c r="L920" s="0" t="str">
        <f aca="false">IF(K920="","",MATCH(K920,$F$2:$F$5001,0))</f>
        <v/>
      </c>
      <c r="M920" s="0" t="str">
        <f aca="false">IF(I920="","",INDEX(הגדרות!$A$2:$A$21,MOD(I920+הגדרות!$E$9,הגדרות!$E$6)+1))</f>
        <v/>
      </c>
    </row>
    <row r="921" customFormat="false" ht="15" hidden="false" customHeight="false" outlineLevel="0" collapsed="false">
      <c r="A921" s="0" t="str">
        <f aca="false">IF('הדבקת לידים'!A921="","",IF(ISNUMBER('הדבקת לידים'!A921),IF(הגדרות!$E$2&gt;0,TEXT('הדבקת לידים'!A921,REPT("0",הגדרות!$E$2)),TEXT('הדבקת לידים'!A921,"0")),TRIM('הדבקת לידים'!A921)))</f>
        <v/>
      </c>
      <c r="B921" s="0" t="str">
        <f aca="false">IF('הדבקת לידים'!B921="","",IF(ISNUMBER('הדבקת לידים'!B921),IF(הגדרות!$E$3&gt;0,TEXT('הדבקת לידים'!B921,REPT("0",הגדרות!$E$3)),TEXT('הדבקת לידים'!B921,"0")),TRIM('הדבקת לידים'!B921)))</f>
        <v/>
      </c>
      <c r="C921" s="0" t="n">
        <f aca="false">IF(OR(A921&lt;&gt;"",B921&lt;&gt;""),1,0)</f>
        <v>0</v>
      </c>
      <c r="D921" s="0" t="str">
        <f aca="false">IF(C921=1,MOD(ABS(SIN(ROW()*12.9898+'הדבקת לידים'!$F$2*78.233+IFERROR(--RIGHT(A921,6),LEN(A921))*0.0137+IFERROR(--RIGHT(B921,6),LEN(B921))*0.0071))*43758.5453,1),"")</f>
        <v/>
      </c>
      <c r="E921" s="0" t="str">
        <f aca="false">IF(C921=1,INT(MOD(ABS(SIN(D921*7919.123+ROW()*0.618+'הדבקת לידים'!$F$2*1.3))*43758.5453,1)*1000000)*10000+ROW(),"")</f>
        <v/>
      </c>
      <c r="F921" s="0" t="str">
        <f aca="false">IF(E921="","",RANK(E921,$E$2:$E$5001,1))</f>
        <v/>
      </c>
      <c r="G921" s="0" t="n">
        <f aca="false">IF(A921="",0,IF(SUMPRODUCT(--($A$2:$A$5001=A921))&gt;1,1,0))</f>
        <v>0</v>
      </c>
      <c r="H921" s="0" t="n">
        <f aca="false">ROW()-1</f>
        <v>920</v>
      </c>
      <c r="I921" s="0" t="str">
        <f aca="false">IF(OR(הגדרות!$E$6=0,H921&gt;הגדרות!$E$5),"",IF(H921-1&lt;הגדרות!$E$8*(הגדרות!$E$7+1),INT((H921-1)/(הגדרות!$E$7+1)),הגדרות!$E$8+INT((H921-1-הגדרות!$E$8*(הגדרות!$E$7+1))/הגדרות!$E$7)))</f>
        <v/>
      </c>
      <c r="J921" s="0" t="str">
        <f aca="false">IF(I921="","",IF(H921-1&lt;הגדרות!$E$8*(הגדרות!$E$7+1),MOD(H921-1,הגדרות!$E$7+1),MOD(H921-1-הגדרות!$E$8*(הגדרות!$E$7+1),הגדרות!$E$7)))</f>
        <v/>
      </c>
      <c r="K921" s="0" t="str">
        <f aca="false">IF(I921="","",J921*הגדרות!$E$6+I921+1)</f>
        <v/>
      </c>
      <c r="L921" s="0" t="str">
        <f aca="false">IF(K921="","",MATCH(K921,$F$2:$F$5001,0))</f>
        <v/>
      </c>
      <c r="M921" s="0" t="str">
        <f aca="false">IF(I921="","",INDEX(הגדרות!$A$2:$A$21,MOD(I921+הגדרות!$E$9,הגדרות!$E$6)+1))</f>
        <v/>
      </c>
    </row>
    <row r="922" customFormat="false" ht="15" hidden="false" customHeight="false" outlineLevel="0" collapsed="false">
      <c r="A922" s="0" t="str">
        <f aca="false">IF('הדבקת לידים'!A922="","",IF(ISNUMBER('הדבקת לידים'!A922),IF(הגדרות!$E$2&gt;0,TEXT('הדבקת לידים'!A922,REPT("0",הגדרות!$E$2)),TEXT('הדבקת לידים'!A922,"0")),TRIM('הדבקת לידים'!A922)))</f>
        <v/>
      </c>
      <c r="B922" s="0" t="str">
        <f aca="false">IF('הדבקת לידים'!B922="","",IF(ISNUMBER('הדבקת לידים'!B922),IF(הגדרות!$E$3&gt;0,TEXT('הדבקת לידים'!B922,REPT("0",הגדרות!$E$3)),TEXT('הדבקת לידים'!B922,"0")),TRIM('הדבקת לידים'!B922)))</f>
        <v/>
      </c>
      <c r="C922" s="0" t="n">
        <f aca="false">IF(OR(A922&lt;&gt;"",B922&lt;&gt;""),1,0)</f>
        <v>0</v>
      </c>
      <c r="D922" s="0" t="str">
        <f aca="false">IF(C922=1,MOD(ABS(SIN(ROW()*12.9898+'הדבקת לידים'!$F$2*78.233+IFERROR(--RIGHT(A922,6),LEN(A922))*0.0137+IFERROR(--RIGHT(B922,6),LEN(B922))*0.0071))*43758.5453,1),"")</f>
        <v/>
      </c>
      <c r="E922" s="0" t="str">
        <f aca="false">IF(C922=1,INT(MOD(ABS(SIN(D922*7919.123+ROW()*0.618+'הדבקת לידים'!$F$2*1.3))*43758.5453,1)*1000000)*10000+ROW(),"")</f>
        <v/>
      </c>
      <c r="F922" s="0" t="str">
        <f aca="false">IF(E922="","",RANK(E922,$E$2:$E$5001,1))</f>
        <v/>
      </c>
      <c r="G922" s="0" t="n">
        <f aca="false">IF(A922="",0,IF(SUMPRODUCT(--($A$2:$A$5001=A922))&gt;1,1,0))</f>
        <v>0</v>
      </c>
      <c r="H922" s="0" t="n">
        <f aca="false">ROW()-1</f>
        <v>921</v>
      </c>
      <c r="I922" s="0" t="str">
        <f aca="false">IF(OR(הגדרות!$E$6=0,H922&gt;הגדרות!$E$5),"",IF(H922-1&lt;הגדרות!$E$8*(הגדרות!$E$7+1),INT((H922-1)/(הגדרות!$E$7+1)),הגדרות!$E$8+INT((H922-1-הגדרות!$E$8*(הגדרות!$E$7+1))/הגדרות!$E$7)))</f>
        <v/>
      </c>
      <c r="J922" s="0" t="str">
        <f aca="false">IF(I922="","",IF(H922-1&lt;הגדרות!$E$8*(הגדרות!$E$7+1),MOD(H922-1,הגדרות!$E$7+1),MOD(H922-1-הגדרות!$E$8*(הגדרות!$E$7+1),הגדרות!$E$7)))</f>
        <v/>
      </c>
      <c r="K922" s="0" t="str">
        <f aca="false">IF(I922="","",J922*הגדרות!$E$6+I922+1)</f>
        <v/>
      </c>
      <c r="L922" s="0" t="str">
        <f aca="false">IF(K922="","",MATCH(K922,$F$2:$F$5001,0))</f>
        <v/>
      </c>
      <c r="M922" s="0" t="str">
        <f aca="false">IF(I922="","",INDEX(הגדרות!$A$2:$A$21,MOD(I922+הגדרות!$E$9,הגדרות!$E$6)+1))</f>
        <v/>
      </c>
    </row>
    <row r="923" customFormat="false" ht="15" hidden="false" customHeight="false" outlineLevel="0" collapsed="false">
      <c r="A923" s="0" t="str">
        <f aca="false">IF('הדבקת לידים'!A923="","",IF(ISNUMBER('הדבקת לידים'!A923),IF(הגדרות!$E$2&gt;0,TEXT('הדבקת לידים'!A923,REPT("0",הגדרות!$E$2)),TEXT('הדבקת לידים'!A923,"0")),TRIM('הדבקת לידים'!A923)))</f>
        <v/>
      </c>
      <c r="B923" s="0" t="str">
        <f aca="false">IF('הדבקת לידים'!B923="","",IF(ISNUMBER('הדבקת לידים'!B923),IF(הגדרות!$E$3&gt;0,TEXT('הדבקת לידים'!B923,REPT("0",הגדרות!$E$3)),TEXT('הדבקת לידים'!B923,"0")),TRIM('הדבקת לידים'!B923)))</f>
        <v/>
      </c>
      <c r="C923" s="0" t="n">
        <f aca="false">IF(OR(A923&lt;&gt;"",B923&lt;&gt;""),1,0)</f>
        <v>0</v>
      </c>
      <c r="D923" s="0" t="str">
        <f aca="false">IF(C923=1,MOD(ABS(SIN(ROW()*12.9898+'הדבקת לידים'!$F$2*78.233+IFERROR(--RIGHT(A923,6),LEN(A923))*0.0137+IFERROR(--RIGHT(B923,6),LEN(B923))*0.0071))*43758.5453,1),"")</f>
        <v/>
      </c>
      <c r="E923" s="0" t="str">
        <f aca="false">IF(C923=1,INT(MOD(ABS(SIN(D923*7919.123+ROW()*0.618+'הדבקת לידים'!$F$2*1.3))*43758.5453,1)*1000000)*10000+ROW(),"")</f>
        <v/>
      </c>
      <c r="F923" s="0" t="str">
        <f aca="false">IF(E923="","",RANK(E923,$E$2:$E$5001,1))</f>
        <v/>
      </c>
      <c r="G923" s="0" t="n">
        <f aca="false">IF(A923="",0,IF(SUMPRODUCT(--($A$2:$A$5001=A923))&gt;1,1,0))</f>
        <v>0</v>
      </c>
      <c r="H923" s="0" t="n">
        <f aca="false">ROW()-1</f>
        <v>922</v>
      </c>
      <c r="I923" s="0" t="str">
        <f aca="false">IF(OR(הגדרות!$E$6=0,H923&gt;הגדרות!$E$5),"",IF(H923-1&lt;הגדרות!$E$8*(הגדרות!$E$7+1),INT((H923-1)/(הגדרות!$E$7+1)),הגדרות!$E$8+INT((H923-1-הגדרות!$E$8*(הגדרות!$E$7+1))/הגדרות!$E$7)))</f>
        <v/>
      </c>
      <c r="J923" s="0" t="str">
        <f aca="false">IF(I923="","",IF(H923-1&lt;הגדרות!$E$8*(הגדרות!$E$7+1),MOD(H923-1,הגדרות!$E$7+1),MOD(H923-1-הגדרות!$E$8*(הגדרות!$E$7+1),הגדרות!$E$7)))</f>
        <v/>
      </c>
      <c r="K923" s="0" t="str">
        <f aca="false">IF(I923="","",J923*הגדרות!$E$6+I923+1)</f>
        <v/>
      </c>
      <c r="L923" s="0" t="str">
        <f aca="false">IF(K923="","",MATCH(K923,$F$2:$F$5001,0))</f>
        <v/>
      </c>
      <c r="M923" s="0" t="str">
        <f aca="false">IF(I923="","",INDEX(הגדרות!$A$2:$A$21,MOD(I923+הגדרות!$E$9,הגדרות!$E$6)+1))</f>
        <v/>
      </c>
    </row>
    <row r="924" customFormat="false" ht="15" hidden="false" customHeight="false" outlineLevel="0" collapsed="false">
      <c r="A924" s="0" t="str">
        <f aca="false">IF('הדבקת לידים'!A924="","",IF(ISNUMBER('הדבקת לידים'!A924),IF(הגדרות!$E$2&gt;0,TEXT('הדבקת לידים'!A924,REPT("0",הגדרות!$E$2)),TEXT('הדבקת לידים'!A924,"0")),TRIM('הדבקת לידים'!A924)))</f>
        <v/>
      </c>
      <c r="B924" s="0" t="str">
        <f aca="false">IF('הדבקת לידים'!B924="","",IF(ISNUMBER('הדבקת לידים'!B924),IF(הגדרות!$E$3&gt;0,TEXT('הדבקת לידים'!B924,REPT("0",הגדרות!$E$3)),TEXT('הדבקת לידים'!B924,"0")),TRIM('הדבקת לידים'!B924)))</f>
        <v/>
      </c>
      <c r="C924" s="0" t="n">
        <f aca="false">IF(OR(A924&lt;&gt;"",B924&lt;&gt;""),1,0)</f>
        <v>0</v>
      </c>
      <c r="D924" s="0" t="str">
        <f aca="false">IF(C924=1,MOD(ABS(SIN(ROW()*12.9898+'הדבקת לידים'!$F$2*78.233+IFERROR(--RIGHT(A924,6),LEN(A924))*0.0137+IFERROR(--RIGHT(B924,6),LEN(B924))*0.0071))*43758.5453,1),"")</f>
        <v/>
      </c>
      <c r="E924" s="0" t="str">
        <f aca="false">IF(C924=1,INT(MOD(ABS(SIN(D924*7919.123+ROW()*0.618+'הדבקת לידים'!$F$2*1.3))*43758.5453,1)*1000000)*10000+ROW(),"")</f>
        <v/>
      </c>
      <c r="F924" s="0" t="str">
        <f aca="false">IF(E924="","",RANK(E924,$E$2:$E$5001,1))</f>
        <v/>
      </c>
      <c r="G924" s="0" t="n">
        <f aca="false">IF(A924="",0,IF(SUMPRODUCT(--($A$2:$A$5001=A924))&gt;1,1,0))</f>
        <v>0</v>
      </c>
      <c r="H924" s="0" t="n">
        <f aca="false">ROW()-1</f>
        <v>923</v>
      </c>
      <c r="I924" s="0" t="str">
        <f aca="false">IF(OR(הגדרות!$E$6=0,H924&gt;הגדרות!$E$5),"",IF(H924-1&lt;הגדרות!$E$8*(הגדרות!$E$7+1),INT((H924-1)/(הגדרות!$E$7+1)),הגדרות!$E$8+INT((H924-1-הגדרות!$E$8*(הגדרות!$E$7+1))/הגדרות!$E$7)))</f>
        <v/>
      </c>
      <c r="J924" s="0" t="str">
        <f aca="false">IF(I924="","",IF(H924-1&lt;הגדרות!$E$8*(הגדרות!$E$7+1),MOD(H924-1,הגדרות!$E$7+1),MOD(H924-1-הגדרות!$E$8*(הגדרות!$E$7+1),הגדרות!$E$7)))</f>
        <v/>
      </c>
      <c r="K924" s="0" t="str">
        <f aca="false">IF(I924="","",J924*הגדרות!$E$6+I924+1)</f>
        <v/>
      </c>
      <c r="L924" s="0" t="str">
        <f aca="false">IF(K924="","",MATCH(K924,$F$2:$F$5001,0))</f>
        <v/>
      </c>
      <c r="M924" s="0" t="str">
        <f aca="false">IF(I924="","",INDEX(הגדרות!$A$2:$A$21,MOD(I924+הגדרות!$E$9,הגדרות!$E$6)+1))</f>
        <v/>
      </c>
    </row>
    <row r="925" customFormat="false" ht="15" hidden="false" customHeight="false" outlineLevel="0" collapsed="false">
      <c r="A925" s="0" t="str">
        <f aca="false">IF('הדבקת לידים'!A925="","",IF(ISNUMBER('הדבקת לידים'!A925),IF(הגדרות!$E$2&gt;0,TEXT('הדבקת לידים'!A925,REPT("0",הגדרות!$E$2)),TEXT('הדבקת לידים'!A925,"0")),TRIM('הדבקת לידים'!A925)))</f>
        <v/>
      </c>
      <c r="B925" s="0" t="str">
        <f aca="false">IF('הדבקת לידים'!B925="","",IF(ISNUMBER('הדבקת לידים'!B925),IF(הגדרות!$E$3&gt;0,TEXT('הדבקת לידים'!B925,REPT("0",הגדרות!$E$3)),TEXT('הדבקת לידים'!B925,"0")),TRIM('הדבקת לידים'!B925)))</f>
        <v/>
      </c>
      <c r="C925" s="0" t="n">
        <f aca="false">IF(OR(A925&lt;&gt;"",B925&lt;&gt;""),1,0)</f>
        <v>0</v>
      </c>
      <c r="D925" s="0" t="str">
        <f aca="false">IF(C925=1,MOD(ABS(SIN(ROW()*12.9898+'הדבקת לידים'!$F$2*78.233+IFERROR(--RIGHT(A925,6),LEN(A925))*0.0137+IFERROR(--RIGHT(B925,6),LEN(B925))*0.0071))*43758.5453,1),"")</f>
        <v/>
      </c>
      <c r="E925" s="0" t="str">
        <f aca="false">IF(C925=1,INT(MOD(ABS(SIN(D925*7919.123+ROW()*0.618+'הדבקת לידים'!$F$2*1.3))*43758.5453,1)*1000000)*10000+ROW(),"")</f>
        <v/>
      </c>
      <c r="F925" s="0" t="str">
        <f aca="false">IF(E925="","",RANK(E925,$E$2:$E$5001,1))</f>
        <v/>
      </c>
      <c r="G925" s="0" t="n">
        <f aca="false">IF(A925="",0,IF(SUMPRODUCT(--($A$2:$A$5001=A925))&gt;1,1,0))</f>
        <v>0</v>
      </c>
      <c r="H925" s="0" t="n">
        <f aca="false">ROW()-1</f>
        <v>924</v>
      </c>
      <c r="I925" s="0" t="str">
        <f aca="false">IF(OR(הגדרות!$E$6=0,H925&gt;הגדרות!$E$5),"",IF(H925-1&lt;הגדרות!$E$8*(הגדרות!$E$7+1),INT((H925-1)/(הגדרות!$E$7+1)),הגדרות!$E$8+INT((H925-1-הגדרות!$E$8*(הגדרות!$E$7+1))/הגדרות!$E$7)))</f>
        <v/>
      </c>
      <c r="J925" s="0" t="str">
        <f aca="false">IF(I925="","",IF(H925-1&lt;הגדרות!$E$8*(הגדרות!$E$7+1),MOD(H925-1,הגדרות!$E$7+1),MOD(H925-1-הגדרות!$E$8*(הגדרות!$E$7+1),הגדרות!$E$7)))</f>
        <v/>
      </c>
      <c r="K925" s="0" t="str">
        <f aca="false">IF(I925="","",J925*הגדרות!$E$6+I925+1)</f>
        <v/>
      </c>
      <c r="L925" s="0" t="str">
        <f aca="false">IF(K925="","",MATCH(K925,$F$2:$F$5001,0))</f>
        <v/>
      </c>
      <c r="M925" s="0" t="str">
        <f aca="false">IF(I925="","",INDEX(הגדרות!$A$2:$A$21,MOD(I925+הגדרות!$E$9,הגדרות!$E$6)+1))</f>
        <v/>
      </c>
    </row>
    <row r="926" customFormat="false" ht="15" hidden="false" customHeight="false" outlineLevel="0" collapsed="false">
      <c r="A926" s="0" t="str">
        <f aca="false">IF('הדבקת לידים'!A926="","",IF(ISNUMBER('הדבקת לידים'!A926),IF(הגדרות!$E$2&gt;0,TEXT('הדבקת לידים'!A926,REPT("0",הגדרות!$E$2)),TEXT('הדבקת לידים'!A926,"0")),TRIM('הדבקת לידים'!A926)))</f>
        <v/>
      </c>
      <c r="B926" s="0" t="str">
        <f aca="false">IF('הדבקת לידים'!B926="","",IF(ISNUMBER('הדבקת לידים'!B926),IF(הגדרות!$E$3&gt;0,TEXT('הדבקת לידים'!B926,REPT("0",הגדרות!$E$3)),TEXT('הדבקת לידים'!B926,"0")),TRIM('הדבקת לידים'!B926)))</f>
        <v/>
      </c>
      <c r="C926" s="0" t="n">
        <f aca="false">IF(OR(A926&lt;&gt;"",B926&lt;&gt;""),1,0)</f>
        <v>0</v>
      </c>
      <c r="D926" s="0" t="str">
        <f aca="false">IF(C926=1,MOD(ABS(SIN(ROW()*12.9898+'הדבקת לידים'!$F$2*78.233+IFERROR(--RIGHT(A926,6),LEN(A926))*0.0137+IFERROR(--RIGHT(B926,6),LEN(B926))*0.0071))*43758.5453,1),"")</f>
        <v/>
      </c>
      <c r="E926" s="0" t="str">
        <f aca="false">IF(C926=1,INT(MOD(ABS(SIN(D926*7919.123+ROW()*0.618+'הדבקת לידים'!$F$2*1.3))*43758.5453,1)*1000000)*10000+ROW(),"")</f>
        <v/>
      </c>
      <c r="F926" s="0" t="str">
        <f aca="false">IF(E926="","",RANK(E926,$E$2:$E$5001,1))</f>
        <v/>
      </c>
      <c r="G926" s="0" t="n">
        <f aca="false">IF(A926="",0,IF(SUMPRODUCT(--($A$2:$A$5001=A926))&gt;1,1,0))</f>
        <v>0</v>
      </c>
      <c r="H926" s="0" t="n">
        <f aca="false">ROW()-1</f>
        <v>925</v>
      </c>
      <c r="I926" s="0" t="str">
        <f aca="false">IF(OR(הגדרות!$E$6=0,H926&gt;הגדרות!$E$5),"",IF(H926-1&lt;הגדרות!$E$8*(הגדרות!$E$7+1),INT((H926-1)/(הגדרות!$E$7+1)),הגדרות!$E$8+INT((H926-1-הגדרות!$E$8*(הגדרות!$E$7+1))/הגדרות!$E$7)))</f>
        <v/>
      </c>
      <c r="J926" s="0" t="str">
        <f aca="false">IF(I926="","",IF(H926-1&lt;הגדרות!$E$8*(הגדרות!$E$7+1),MOD(H926-1,הגדרות!$E$7+1),MOD(H926-1-הגדרות!$E$8*(הגדרות!$E$7+1),הגדרות!$E$7)))</f>
        <v/>
      </c>
      <c r="K926" s="0" t="str">
        <f aca="false">IF(I926="","",J926*הגדרות!$E$6+I926+1)</f>
        <v/>
      </c>
      <c r="L926" s="0" t="str">
        <f aca="false">IF(K926="","",MATCH(K926,$F$2:$F$5001,0))</f>
        <v/>
      </c>
      <c r="M926" s="0" t="str">
        <f aca="false">IF(I926="","",INDEX(הגדרות!$A$2:$A$21,MOD(I926+הגדרות!$E$9,הגדרות!$E$6)+1))</f>
        <v/>
      </c>
    </row>
    <row r="927" customFormat="false" ht="15" hidden="false" customHeight="false" outlineLevel="0" collapsed="false">
      <c r="A927" s="0" t="str">
        <f aca="false">IF('הדבקת לידים'!A927="","",IF(ISNUMBER('הדבקת לידים'!A927),IF(הגדרות!$E$2&gt;0,TEXT('הדבקת לידים'!A927,REPT("0",הגדרות!$E$2)),TEXT('הדבקת לידים'!A927,"0")),TRIM('הדבקת לידים'!A927)))</f>
        <v/>
      </c>
      <c r="B927" s="0" t="str">
        <f aca="false">IF('הדבקת לידים'!B927="","",IF(ISNUMBER('הדבקת לידים'!B927),IF(הגדרות!$E$3&gt;0,TEXT('הדבקת לידים'!B927,REPT("0",הגדרות!$E$3)),TEXT('הדבקת לידים'!B927,"0")),TRIM('הדבקת לידים'!B927)))</f>
        <v/>
      </c>
      <c r="C927" s="0" t="n">
        <f aca="false">IF(OR(A927&lt;&gt;"",B927&lt;&gt;""),1,0)</f>
        <v>0</v>
      </c>
      <c r="D927" s="0" t="str">
        <f aca="false">IF(C927=1,MOD(ABS(SIN(ROW()*12.9898+'הדבקת לידים'!$F$2*78.233+IFERROR(--RIGHT(A927,6),LEN(A927))*0.0137+IFERROR(--RIGHT(B927,6),LEN(B927))*0.0071))*43758.5453,1),"")</f>
        <v/>
      </c>
      <c r="E927" s="0" t="str">
        <f aca="false">IF(C927=1,INT(MOD(ABS(SIN(D927*7919.123+ROW()*0.618+'הדבקת לידים'!$F$2*1.3))*43758.5453,1)*1000000)*10000+ROW(),"")</f>
        <v/>
      </c>
      <c r="F927" s="0" t="str">
        <f aca="false">IF(E927="","",RANK(E927,$E$2:$E$5001,1))</f>
        <v/>
      </c>
      <c r="G927" s="0" t="n">
        <f aca="false">IF(A927="",0,IF(SUMPRODUCT(--($A$2:$A$5001=A927))&gt;1,1,0))</f>
        <v>0</v>
      </c>
      <c r="H927" s="0" t="n">
        <f aca="false">ROW()-1</f>
        <v>926</v>
      </c>
      <c r="I927" s="0" t="str">
        <f aca="false">IF(OR(הגדרות!$E$6=0,H927&gt;הגדרות!$E$5),"",IF(H927-1&lt;הגדרות!$E$8*(הגדרות!$E$7+1),INT((H927-1)/(הגדרות!$E$7+1)),הגדרות!$E$8+INT((H927-1-הגדרות!$E$8*(הגדרות!$E$7+1))/הגדרות!$E$7)))</f>
        <v/>
      </c>
      <c r="J927" s="0" t="str">
        <f aca="false">IF(I927="","",IF(H927-1&lt;הגדרות!$E$8*(הגדרות!$E$7+1),MOD(H927-1,הגדרות!$E$7+1),MOD(H927-1-הגדרות!$E$8*(הגדרות!$E$7+1),הגדרות!$E$7)))</f>
        <v/>
      </c>
      <c r="K927" s="0" t="str">
        <f aca="false">IF(I927="","",J927*הגדרות!$E$6+I927+1)</f>
        <v/>
      </c>
      <c r="L927" s="0" t="str">
        <f aca="false">IF(K927="","",MATCH(K927,$F$2:$F$5001,0))</f>
        <v/>
      </c>
      <c r="M927" s="0" t="str">
        <f aca="false">IF(I927="","",INDEX(הגדרות!$A$2:$A$21,MOD(I927+הגדרות!$E$9,הגדרות!$E$6)+1))</f>
        <v/>
      </c>
    </row>
    <row r="928" customFormat="false" ht="15" hidden="false" customHeight="false" outlineLevel="0" collapsed="false">
      <c r="A928" s="0" t="str">
        <f aca="false">IF('הדבקת לידים'!A928="","",IF(ISNUMBER('הדבקת לידים'!A928),IF(הגדרות!$E$2&gt;0,TEXT('הדבקת לידים'!A928,REPT("0",הגדרות!$E$2)),TEXT('הדבקת לידים'!A928,"0")),TRIM('הדבקת לידים'!A928)))</f>
        <v/>
      </c>
      <c r="B928" s="0" t="str">
        <f aca="false">IF('הדבקת לידים'!B928="","",IF(ISNUMBER('הדבקת לידים'!B928),IF(הגדרות!$E$3&gt;0,TEXT('הדבקת לידים'!B928,REPT("0",הגדרות!$E$3)),TEXT('הדבקת לידים'!B928,"0")),TRIM('הדבקת לידים'!B928)))</f>
        <v/>
      </c>
      <c r="C928" s="0" t="n">
        <f aca="false">IF(OR(A928&lt;&gt;"",B928&lt;&gt;""),1,0)</f>
        <v>0</v>
      </c>
      <c r="D928" s="0" t="str">
        <f aca="false">IF(C928=1,MOD(ABS(SIN(ROW()*12.9898+'הדבקת לידים'!$F$2*78.233+IFERROR(--RIGHT(A928,6),LEN(A928))*0.0137+IFERROR(--RIGHT(B928,6),LEN(B928))*0.0071))*43758.5453,1),"")</f>
        <v/>
      </c>
      <c r="E928" s="0" t="str">
        <f aca="false">IF(C928=1,INT(MOD(ABS(SIN(D928*7919.123+ROW()*0.618+'הדבקת לידים'!$F$2*1.3))*43758.5453,1)*1000000)*10000+ROW(),"")</f>
        <v/>
      </c>
      <c r="F928" s="0" t="str">
        <f aca="false">IF(E928="","",RANK(E928,$E$2:$E$5001,1))</f>
        <v/>
      </c>
      <c r="G928" s="0" t="n">
        <f aca="false">IF(A928="",0,IF(SUMPRODUCT(--($A$2:$A$5001=A928))&gt;1,1,0))</f>
        <v>0</v>
      </c>
      <c r="H928" s="0" t="n">
        <f aca="false">ROW()-1</f>
        <v>927</v>
      </c>
      <c r="I928" s="0" t="str">
        <f aca="false">IF(OR(הגדרות!$E$6=0,H928&gt;הגדרות!$E$5),"",IF(H928-1&lt;הגדרות!$E$8*(הגדרות!$E$7+1),INT((H928-1)/(הגדרות!$E$7+1)),הגדרות!$E$8+INT((H928-1-הגדרות!$E$8*(הגדרות!$E$7+1))/הגדרות!$E$7)))</f>
        <v/>
      </c>
      <c r="J928" s="0" t="str">
        <f aca="false">IF(I928="","",IF(H928-1&lt;הגדרות!$E$8*(הגדרות!$E$7+1),MOD(H928-1,הגדרות!$E$7+1),MOD(H928-1-הגדרות!$E$8*(הגדרות!$E$7+1),הגדרות!$E$7)))</f>
        <v/>
      </c>
      <c r="K928" s="0" t="str">
        <f aca="false">IF(I928="","",J928*הגדרות!$E$6+I928+1)</f>
        <v/>
      </c>
      <c r="L928" s="0" t="str">
        <f aca="false">IF(K928="","",MATCH(K928,$F$2:$F$5001,0))</f>
        <v/>
      </c>
      <c r="M928" s="0" t="str">
        <f aca="false">IF(I928="","",INDEX(הגדרות!$A$2:$A$21,MOD(I928+הגדרות!$E$9,הגדרות!$E$6)+1))</f>
        <v/>
      </c>
    </row>
    <row r="929" customFormat="false" ht="15" hidden="false" customHeight="false" outlineLevel="0" collapsed="false">
      <c r="A929" s="0" t="str">
        <f aca="false">IF('הדבקת לידים'!A929="","",IF(ISNUMBER('הדבקת לידים'!A929),IF(הגדרות!$E$2&gt;0,TEXT('הדבקת לידים'!A929,REPT("0",הגדרות!$E$2)),TEXT('הדבקת לידים'!A929,"0")),TRIM('הדבקת לידים'!A929)))</f>
        <v/>
      </c>
      <c r="B929" s="0" t="str">
        <f aca="false">IF('הדבקת לידים'!B929="","",IF(ISNUMBER('הדבקת לידים'!B929),IF(הגדרות!$E$3&gt;0,TEXT('הדבקת לידים'!B929,REPT("0",הגדרות!$E$3)),TEXT('הדבקת לידים'!B929,"0")),TRIM('הדבקת לידים'!B929)))</f>
        <v/>
      </c>
      <c r="C929" s="0" t="n">
        <f aca="false">IF(OR(A929&lt;&gt;"",B929&lt;&gt;""),1,0)</f>
        <v>0</v>
      </c>
      <c r="D929" s="0" t="str">
        <f aca="false">IF(C929=1,MOD(ABS(SIN(ROW()*12.9898+'הדבקת לידים'!$F$2*78.233+IFERROR(--RIGHT(A929,6),LEN(A929))*0.0137+IFERROR(--RIGHT(B929,6),LEN(B929))*0.0071))*43758.5453,1),"")</f>
        <v/>
      </c>
      <c r="E929" s="0" t="str">
        <f aca="false">IF(C929=1,INT(MOD(ABS(SIN(D929*7919.123+ROW()*0.618+'הדבקת לידים'!$F$2*1.3))*43758.5453,1)*1000000)*10000+ROW(),"")</f>
        <v/>
      </c>
      <c r="F929" s="0" t="str">
        <f aca="false">IF(E929="","",RANK(E929,$E$2:$E$5001,1))</f>
        <v/>
      </c>
      <c r="G929" s="0" t="n">
        <f aca="false">IF(A929="",0,IF(SUMPRODUCT(--($A$2:$A$5001=A929))&gt;1,1,0))</f>
        <v>0</v>
      </c>
      <c r="H929" s="0" t="n">
        <f aca="false">ROW()-1</f>
        <v>928</v>
      </c>
      <c r="I929" s="0" t="str">
        <f aca="false">IF(OR(הגדרות!$E$6=0,H929&gt;הגדרות!$E$5),"",IF(H929-1&lt;הגדרות!$E$8*(הגדרות!$E$7+1),INT((H929-1)/(הגדרות!$E$7+1)),הגדרות!$E$8+INT((H929-1-הגדרות!$E$8*(הגדרות!$E$7+1))/הגדרות!$E$7)))</f>
        <v/>
      </c>
      <c r="J929" s="0" t="str">
        <f aca="false">IF(I929="","",IF(H929-1&lt;הגדרות!$E$8*(הגדרות!$E$7+1),MOD(H929-1,הגדרות!$E$7+1),MOD(H929-1-הגדרות!$E$8*(הגדרות!$E$7+1),הגדרות!$E$7)))</f>
        <v/>
      </c>
      <c r="K929" s="0" t="str">
        <f aca="false">IF(I929="","",J929*הגדרות!$E$6+I929+1)</f>
        <v/>
      </c>
      <c r="L929" s="0" t="str">
        <f aca="false">IF(K929="","",MATCH(K929,$F$2:$F$5001,0))</f>
        <v/>
      </c>
      <c r="M929" s="0" t="str">
        <f aca="false">IF(I929="","",INDEX(הגדרות!$A$2:$A$21,MOD(I929+הגדרות!$E$9,הגדרות!$E$6)+1))</f>
        <v/>
      </c>
    </row>
    <row r="930" customFormat="false" ht="15" hidden="false" customHeight="false" outlineLevel="0" collapsed="false">
      <c r="A930" s="0" t="str">
        <f aca="false">IF('הדבקת לידים'!A930="","",IF(ISNUMBER('הדבקת לידים'!A930),IF(הגדרות!$E$2&gt;0,TEXT('הדבקת לידים'!A930,REPT("0",הגדרות!$E$2)),TEXT('הדבקת לידים'!A930,"0")),TRIM('הדבקת לידים'!A930)))</f>
        <v/>
      </c>
      <c r="B930" s="0" t="str">
        <f aca="false">IF('הדבקת לידים'!B930="","",IF(ISNUMBER('הדבקת לידים'!B930),IF(הגדרות!$E$3&gt;0,TEXT('הדבקת לידים'!B930,REPT("0",הגדרות!$E$3)),TEXT('הדבקת לידים'!B930,"0")),TRIM('הדבקת לידים'!B930)))</f>
        <v/>
      </c>
      <c r="C930" s="0" t="n">
        <f aca="false">IF(OR(A930&lt;&gt;"",B930&lt;&gt;""),1,0)</f>
        <v>0</v>
      </c>
      <c r="D930" s="0" t="str">
        <f aca="false">IF(C930=1,MOD(ABS(SIN(ROW()*12.9898+'הדבקת לידים'!$F$2*78.233+IFERROR(--RIGHT(A930,6),LEN(A930))*0.0137+IFERROR(--RIGHT(B930,6),LEN(B930))*0.0071))*43758.5453,1),"")</f>
        <v/>
      </c>
      <c r="E930" s="0" t="str">
        <f aca="false">IF(C930=1,INT(MOD(ABS(SIN(D930*7919.123+ROW()*0.618+'הדבקת לידים'!$F$2*1.3))*43758.5453,1)*1000000)*10000+ROW(),"")</f>
        <v/>
      </c>
      <c r="F930" s="0" t="str">
        <f aca="false">IF(E930="","",RANK(E930,$E$2:$E$5001,1))</f>
        <v/>
      </c>
      <c r="G930" s="0" t="n">
        <f aca="false">IF(A930="",0,IF(SUMPRODUCT(--($A$2:$A$5001=A930))&gt;1,1,0))</f>
        <v>0</v>
      </c>
      <c r="H930" s="0" t="n">
        <f aca="false">ROW()-1</f>
        <v>929</v>
      </c>
      <c r="I930" s="0" t="str">
        <f aca="false">IF(OR(הגדרות!$E$6=0,H930&gt;הגדרות!$E$5),"",IF(H930-1&lt;הגדרות!$E$8*(הגדרות!$E$7+1),INT((H930-1)/(הגדרות!$E$7+1)),הגדרות!$E$8+INT((H930-1-הגדרות!$E$8*(הגדרות!$E$7+1))/הגדרות!$E$7)))</f>
        <v/>
      </c>
      <c r="J930" s="0" t="str">
        <f aca="false">IF(I930="","",IF(H930-1&lt;הגדרות!$E$8*(הגדרות!$E$7+1),MOD(H930-1,הגדרות!$E$7+1),MOD(H930-1-הגדרות!$E$8*(הגדרות!$E$7+1),הגדרות!$E$7)))</f>
        <v/>
      </c>
      <c r="K930" s="0" t="str">
        <f aca="false">IF(I930="","",J930*הגדרות!$E$6+I930+1)</f>
        <v/>
      </c>
      <c r="L930" s="0" t="str">
        <f aca="false">IF(K930="","",MATCH(K930,$F$2:$F$5001,0))</f>
        <v/>
      </c>
      <c r="M930" s="0" t="str">
        <f aca="false">IF(I930="","",INDEX(הגדרות!$A$2:$A$21,MOD(I930+הגדרות!$E$9,הגדרות!$E$6)+1))</f>
        <v/>
      </c>
    </row>
    <row r="931" customFormat="false" ht="15" hidden="false" customHeight="false" outlineLevel="0" collapsed="false">
      <c r="A931" s="0" t="str">
        <f aca="false">IF('הדבקת לידים'!A931="","",IF(ISNUMBER('הדבקת לידים'!A931),IF(הגדרות!$E$2&gt;0,TEXT('הדבקת לידים'!A931,REPT("0",הגדרות!$E$2)),TEXT('הדבקת לידים'!A931,"0")),TRIM('הדבקת לידים'!A931)))</f>
        <v/>
      </c>
      <c r="B931" s="0" t="str">
        <f aca="false">IF('הדבקת לידים'!B931="","",IF(ISNUMBER('הדבקת לידים'!B931),IF(הגדרות!$E$3&gt;0,TEXT('הדבקת לידים'!B931,REPT("0",הגדרות!$E$3)),TEXT('הדבקת לידים'!B931,"0")),TRIM('הדבקת לידים'!B931)))</f>
        <v/>
      </c>
      <c r="C931" s="0" t="n">
        <f aca="false">IF(OR(A931&lt;&gt;"",B931&lt;&gt;""),1,0)</f>
        <v>0</v>
      </c>
      <c r="D931" s="0" t="str">
        <f aca="false">IF(C931=1,MOD(ABS(SIN(ROW()*12.9898+'הדבקת לידים'!$F$2*78.233+IFERROR(--RIGHT(A931,6),LEN(A931))*0.0137+IFERROR(--RIGHT(B931,6),LEN(B931))*0.0071))*43758.5453,1),"")</f>
        <v/>
      </c>
      <c r="E931" s="0" t="str">
        <f aca="false">IF(C931=1,INT(MOD(ABS(SIN(D931*7919.123+ROW()*0.618+'הדבקת לידים'!$F$2*1.3))*43758.5453,1)*1000000)*10000+ROW(),"")</f>
        <v/>
      </c>
      <c r="F931" s="0" t="str">
        <f aca="false">IF(E931="","",RANK(E931,$E$2:$E$5001,1))</f>
        <v/>
      </c>
      <c r="G931" s="0" t="n">
        <f aca="false">IF(A931="",0,IF(SUMPRODUCT(--($A$2:$A$5001=A931))&gt;1,1,0))</f>
        <v>0</v>
      </c>
      <c r="H931" s="0" t="n">
        <f aca="false">ROW()-1</f>
        <v>930</v>
      </c>
      <c r="I931" s="0" t="str">
        <f aca="false">IF(OR(הגדרות!$E$6=0,H931&gt;הגדרות!$E$5),"",IF(H931-1&lt;הגדרות!$E$8*(הגדרות!$E$7+1),INT((H931-1)/(הגדרות!$E$7+1)),הגדרות!$E$8+INT((H931-1-הגדרות!$E$8*(הגדרות!$E$7+1))/הגדרות!$E$7)))</f>
        <v/>
      </c>
      <c r="J931" s="0" t="str">
        <f aca="false">IF(I931="","",IF(H931-1&lt;הגדרות!$E$8*(הגדרות!$E$7+1),MOD(H931-1,הגדרות!$E$7+1),MOD(H931-1-הגדרות!$E$8*(הגדרות!$E$7+1),הגדרות!$E$7)))</f>
        <v/>
      </c>
      <c r="K931" s="0" t="str">
        <f aca="false">IF(I931="","",J931*הגדרות!$E$6+I931+1)</f>
        <v/>
      </c>
      <c r="L931" s="0" t="str">
        <f aca="false">IF(K931="","",MATCH(K931,$F$2:$F$5001,0))</f>
        <v/>
      </c>
      <c r="M931" s="0" t="str">
        <f aca="false">IF(I931="","",INDEX(הגדרות!$A$2:$A$21,MOD(I931+הגדרות!$E$9,הגדרות!$E$6)+1))</f>
        <v/>
      </c>
    </row>
    <row r="932" customFormat="false" ht="15" hidden="false" customHeight="false" outlineLevel="0" collapsed="false">
      <c r="A932" s="0" t="str">
        <f aca="false">IF('הדבקת לידים'!A932="","",IF(ISNUMBER('הדבקת לידים'!A932),IF(הגדרות!$E$2&gt;0,TEXT('הדבקת לידים'!A932,REPT("0",הגדרות!$E$2)),TEXT('הדבקת לידים'!A932,"0")),TRIM('הדבקת לידים'!A932)))</f>
        <v/>
      </c>
      <c r="B932" s="0" t="str">
        <f aca="false">IF('הדבקת לידים'!B932="","",IF(ISNUMBER('הדבקת לידים'!B932),IF(הגדרות!$E$3&gt;0,TEXT('הדבקת לידים'!B932,REPT("0",הגדרות!$E$3)),TEXT('הדבקת לידים'!B932,"0")),TRIM('הדבקת לידים'!B932)))</f>
        <v/>
      </c>
      <c r="C932" s="0" t="n">
        <f aca="false">IF(OR(A932&lt;&gt;"",B932&lt;&gt;""),1,0)</f>
        <v>0</v>
      </c>
      <c r="D932" s="0" t="str">
        <f aca="false">IF(C932=1,MOD(ABS(SIN(ROW()*12.9898+'הדבקת לידים'!$F$2*78.233+IFERROR(--RIGHT(A932,6),LEN(A932))*0.0137+IFERROR(--RIGHT(B932,6),LEN(B932))*0.0071))*43758.5453,1),"")</f>
        <v/>
      </c>
      <c r="E932" s="0" t="str">
        <f aca="false">IF(C932=1,INT(MOD(ABS(SIN(D932*7919.123+ROW()*0.618+'הדבקת לידים'!$F$2*1.3))*43758.5453,1)*1000000)*10000+ROW(),"")</f>
        <v/>
      </c>
      <c r="F932" s="0" t="str">
        <f aca="false">IF(E932="","",RANK(E932,$E$2:$E$5001,1))</f>
        <v/>
      </c>
      <c r="G932" s="0" t="n">
        <f aca="false">IF(A932="",0,IF(SUMPRODUCT(--($A$2:$A$5001=A932))&gt;1,1,0))</f>
        <v>0</v>
      </c>
      <c r="H932" s="0" t="n">
        <f aca="false">ROW()-1</f>
        <v>931</v>
      </c>
      <c r="I932" s="0" t="str">
        <f aca="false">IF(OR(הגדרות!$E$6=0,H932&gt;הגדרות!$E$5),"",IF(H932-1&lt;הגדרות!$E$8*(הגדרות!$E$7+1),INT((H932-1)/(הגדרות!$E$7+1)),הגדרות!$E$8+INT((H932-1-הגדרות!$E$8*(הגדרות!$E$7+1))/הגדרות!$E$7)))</f>
        <v/>
      </c>
      <c r="J932" s="0" t="str">
        <f aca="false">IF(I932="","",IF(H932-1&lt;הגדרות!$E$8*(הגדרות!$E$7+1),MOD(H932-1,הגדרות!$E$7+1),MOD(H932-1-הגדרות!$E$8*(הגדרות!$E$7+1),הגדרות!$E$7)))</f>
        <v/>
      </c>
      <c r="K932" s="0" t="str">
        <f aca="false">IF(I932="","",J932*הגדרות!$E$6+I932+1)</f>
        <v/>
      </c>
      <c r="L932" s="0" t="str">
        <f aca="false">IF(K932="","",MATCH(K932,$F$2:$F$5001,0))</f>
        <v/>
      </c>
      <c r="M932" s="0" t="str">
        <f aca="false">IF(I932="","",INDEX(הגדרות!$A$2:$A$21,MOD(I932+הגדרות!$E$9,הגדרות!$E$6)+1))</f>
        <v/>
      </c>
    </row>
    <row r="933" customFormat="false" ht="15" hidden="false" customHeight="false" outlineLevel="0" collapsed="false">
      <c r="A933" s="0" t="str">
        <f aca="false">IF('הדבקת לידים'!A933="","",IF(ISNUMBER('הדבקת לידים'!A933),IF(הגדרות!$E$2&gt;0,TEXT('הדבקת לידים'!A933,REPT("0",הגדרות!$E$2)),TEXT('הדבקת לידים'!A933,"0")),TRIM('הדבקת לידים'!A933)))</f>
        <v/>
      </c>
      <c r="B933" s="0" t="str">
        <f aca="false">IF('הדבקת לידים'!B933="","",IF(ISNUMBER('הדבקת לידים'!B933),IF(הגדרות!$E$3&gt;0,TEXT('הדבקת לידים'!B933,REPT("0",הגדרות!$E$3)),TEXT('הדבקת לידים'!B933,"0")),TRIM('הדבקת לידים'!B933)))</f>
        <v/>
      </c>
      <c r="C933" s="0" t="n">
        <f aca="false">IF(OR(A933&lt;&gt;"",B933&lt;&gt;""),1,0)</f>
        <v>0</v>
      </c>
      <c r="D933" s="0" t="str">
        <f aca="false">IF(C933=1,MOD(ABS(SIN(ROW()*12.9898+'הדבקת לידים'!$F$2*78.233+IFERROR(--RIGHT(A933,6),LEN(A933))*0.0137+IFERROR(--RIGHT(B933,6),LEN(B933))*0.0071))*43758.5453,1),"")</f>
        <v/>
      </c>
      <c r="E933" s="0" t="str">
        <f aca="false">IF(C933=1,INT(MOD(ABS(SIN(D933*7919.123+ROW()*0.618+'הדבקת לידים'!$F$2*1.3))*43758.5453,1)*1000000)*10000+ROW(),"")</f>
        <v/>
      </c>
      <c r="F933" s="0" t="str">
        <f aca="false">IF(E933="","",RANK(E933,$E$2:$E$5001,1))</f>
        <v/>
      </c>
      <c r="G933" s="0" t="n">
        <f aca="false">IF(A933="",0,IF(SUMPRODUCT(--($A$2:$A$5001=A933))&gt;1,1,0))</f>
        <v>0</v>
      </c>
      <c r="H933" s="0" t="n">
        <f aca="false">ROW()-1</f>
        <v>932</v>
      </c>
      <c r="I933" s="0" t="str">
        <f aca="false">IF(OR(הגדרות!$E$6=0,H933&gt;הגדרות!$E$5),"",IF(H933-1&lt;הגדרות!$E$8*(הגדרות!$E$7+1),INT((H933-1)/(הגדרות!$E$7+1)),הגדרות!$E$8+INT((H933-1-הגדרות!$E$8*(הגדרות!$E$7+1))/הגדרות!$E$7)))</f>
        <v/>
      </c>
      <c r="J933" s="0" t="str">
        <f aca="false">IF(I933="","",IF(H933-1&lt;הגדרות!$E$8*(הגדרות!$E$7+1),MOD(H933-1,הגדרות!$E$7+1),MOD(H933-1-הגדרות!$E$8*(הגדרות!$E$7+1),הגדרות!$E$7)))</f>
        <v/>
      </c>
      <c r="K933" s="0" t="str">
        <f aca="false">IF(I933="","",J933*הגדרות!$E$6+I933+1)</f>
        <v/>
      </c>
      <c r="L933" s="0" t="str">
        <f aca="false">IF(K933="","",MATCH(K933,$F$2:$F$5001,0))</f>
        <v/>
      </c>
      <c r="M933" s="0" t="str">
        <f aca="false">IF(I933="","",INDEX(הגדרות!$A$2:$A$21,MOD(I933+הגדרות!$E$9,הגדרות!$E$6)+1))</f>
        <v/>
      </c>
    </row>
    <row r="934" customFormat="false" ht="15" hidden="false" customHeight="false" outlineLevel="0" collapsed="false">
      <c r="A934" s="0" t="str">
        <f aca="false">IF('הדבקת לידים'!A934="","",IF(ISNUMBER('הדבקת לידים'!A934),IF(הגדרות!$E$2&gt;0,TEXT('הדבקת לידים'!A934,REPT("0",הגדרות!$E$2)),TEXT('הדבקת לידים'!A934,"0")),TRIM('הדבקת לידים'!A934)))</f>
        <v/>
      </c>
      <c r="B934" s="0" t="str">
        <f aca="false">IF('הדבקת לידים'!B934="","",IF(ISNUMBER('הדבקת לידים'!B934),IF(הגדרות!$E$3&gt;0,TEXT('הדבקת לידים'!B934,REPT("0",הגדרות!$E$3)),TEXT('הדבקת לידים'!B934,"0")),TRIM('הדבקת לידים'!B934)))</f>
        <v/>
      </c>
      <c r="C934" s="0" t="n">
        <f aca="false">IF(OR(A934&lt;&gt;"",B934&lt;&gt;""),1,0)</f>
        <v>0</v>
      </c>
      <c r="D934" s="0" t="str">
        <f aca="false">IF(C934=1,MOD(ABS(SIN(ROW()*12.9898+'הדבקת לידים'!$F$2*78.233+IFERROR(--RIGHT(A934,6),LEN(A934))*0.0137+IFERROR(--RIGHT(B934,6),LEN(B934))*0.0071))*43758.5453,1),"")</f>
        <v/>
      </c>
      <c r="E934" s="0" t="str">
        <f aca="false">IF(C934=1,INT(MOD(ABS(SIN(D934*7919.123+ROW()*0.618+'הדבקת לידים'!$F$2*1.3))*43758.5453,1)*1000000)*10000+ROW(),"")</f>
        <v/>
      </c>
      <c r="F934" s="0" t="str">
        <f aca="false">IF(E934="","",RANK(E934,$E$2:$E$5001,1))</f>
        <v/>
      </c>
      <c r="G934" s="0" t="n">
        <f aca="false">IF(A934="",0,IF(SUMPRODUCT(--($A$2:$A$5001=A934))&gt;1,1,0))</f>
        <v>0</v>
      </c>
      <c r="H934" s="0" t="n">
        <f aca="false">ROW()-1</f>
        <v>933</v>
      </c>
      <c r="I934" s="0" t="str">
        <f aca="false">IF(OR(הגדרות!$E$6=0,H934&gt;הגדרות!$E$5),"",IF(H934-1&lt;הגדרות!$E$8*(הגדרות!$E$7+1),INT((H934-1)/(הגדרות!$E$7+1)),הגדרות!$E$8+INT((H934-1-הגדרות!$E$8*(הגדרות!$E$7+1))/הגדרות!$E$7)))</f>
        <v/>
      </c>
      <c r="J934" s="0" t="str">
        <f aca="false">IF(I934="","",IF(H934-1&lt;הגדרות!$E$8*(הגדרות!$E$7+1),MOD(H934-1,הגדרות!$E$7+1),MOD(H934-1-הגדרות!$E$8*(הגדרות!$E$7+1),הגדרות!$E$7)))</f>
        <v/>
      </c>
      <c r="K934" s="0" t="str">
        <f aca="false">IF(I934="","",J934*הגדרות!$E$6+I934+1)</f>
        <v/>
      </c>
      <c r="L934" s="0" t="str">
        <f aca="false">IF(K934="","",MATCH(K934,$F$2:$F$5001,0))</f>
        <v/>
      </c>
      <c r="M934" s="0" t="str">
        <f aca="false">IF(I934="","",INDEX(הגדרות!$A$2:$A$21,MOD(I934+הגדרות!$E$9,הגדרות!$E$6)+1))</f>
        <v/>
      </c>
    </row>
    <row r="935" customFormat="false" ht="15" hidden="false" customHeight="false" outlineLevel="0" collapsed="false">
      <c r="A935" s="0" t="str">
        <f aca="false">IF('הדבקת לידים'!A935="","",IF(ISNUMBER('הדבקת לידים'!A935),IF(הגדרות!$E$2&gt;0,TEXT('הדבקת לידים'!A935,REPT("0",הגדרות!$E$2)),TEXT('הדבקת לידים'!A935,"0")),TRIM('הדבקת לידים'!A935)))</f>
        <v/>
      </c>
      <c r="B935" s="0" t="str">
        <f aca="false">IF('הדבקת לידים'!B935="","",IF(ISNUMBER('הדבקת לידים'!B935),IF(הגדרות!$E$3&gt;0,TEXT('הדבקת לידים'!B935,REPT("0",הגדרות!$E$3)),TEXT('הדבקת לידים'!B935,"0")),TRIM('הדבקת לידים'!B935)))</f>
        <v/>
      </c>
      <c r="C935" s="0" t="n">
        <f aca="false">IF(OR(A935&lt;&gt;"",B935&lt;&gt;""),1,0)</f>
        <v>0</v>
      </c>
      <c r="D935" s="0" t="str">
        <f aca="false">IF(C935=1,MOD(ABS(SIN(ROW()*12.9898+'הדבקת לידים'!$F$2*78.233+IFERROR(--RIGHT(A935,6),LEN(A935))*0.0137+IFERROR(--RIGHT(B935,6),LEN(B935))*0.0071))*43758.5453,1),"")</f>
        <v/>
      </c>
      <c r="E935" s="0" t="str">
        <f aca="false">IF(C935=1,INT(MOD(ABS(SIN(D935*7919.123+ROW()*0.618+'הדבקת לידים'!$F$2*1.3))*43758.5453,1)*1000000)*10000+ROW(),"")</f>
        <v/>
      </c>
      <c r="F935" s="0" t="str">
        <f aca="false">IF(E935="","",RANK(E935,$E$2:$E$5001,1))</f>
        <v/>
      </c>
      <c r="G935" s="0" t="n">
        <f aca="false">IF(A935="",0,IF(SUMPRODUCT(--($A$2:$A$5001=A935))&gt;1,1,0))</f>
        <v>0</v>
      </c>
      <c r="H935" s="0" t="n">
        <f aca="false">ROW()-1</f>
        <v>934</v>
      </c>
      <c r="I935" s="0" t="str">
        <f aca="false">IF(OR(הגדרות!$E$6=0,H935&gt;הגדרות!$E$5),"",IF(H935-1&lt;הגדרות!$E$8*(הגדרות!$E$7+1),INT((H935-1)/(הגדרות!$E$7+1)),הגדרות!$E$8+INT((H935-1-הגדרות!$E$8*(הגדרות!$E$7+1))/הגדרות!$E$7)))</f>
        <v/>
      </c>
      <c r="J935" s="0" t="str">
        <f aca="false">IF(I935="","",IF(H935-1&lt;הגדרות!$E$8*(הגדרות!$E$7+1),MOD(H935-1,הגדרות!$E$7+1),MOD(H935-1-הגדרות!$E$8*(הגדרות!$E$7+1),הגדרות!$E$7)))</f>
        <v/>
      </c>
      <c r="K935" s="0" t="str">
        <f aca="false">IF(I935="","",J935*הגדרות!$E$6+I935+1)</f>
        <v/>
      </c>
      <c r="L935" s="0" t="str">
        <f aca="false">IF(K935="","",MATCH(K935,$F$2:$F$5001,0))</f>
        <v/>
      </c>
      <c r="M935" s="0" t="str">
        <f aca="false">IF(I935="","",INDEX(הגדרות!$A$2:$A$21,MOD(I935+הגדרות!$E$9,הגדרות!$E$6)+1))</f>
        <v/>
      </c>
    </row>
    <row r="936" customFormat="false" ht="15" hidden="false" customHeight="false" outlineLevel="0" collapsed="false">
      <c r="A936" s="0" t="str">
        <f aca="false">IF('הדבקת לידים'!A936="","",IF(ISNUMBER('הדבקת לידים'!A936),IF(הגדרות!$E$2&gt;0,TEXT('הדבקת לידים'!A936,REPT("0",הגדרות!$E$2)),TEXT('הדבקת לידים'!A936,"0")),TRIM('הדבקת לידים'!A936)))</f>
        <v/>
      </c>
      <c r="B936" s="0" t="str">
        <f aca="false">IF('הדבקת לידים'!B936="","",IF(ISNUMBER('הדבקת לידים'!B936),IF(הגדרות!$E$3&gt;0,TEXT('הדבקת לידים'!B936,REPT("0",הגדרות!$E$3)),TEXT('הדבקת לידים'!B936,"0")),TRIM('הדבקת לידים'!B936)))</f>
        <v/>
      </c>
      <c r="C936" s="0" t="n">
        <f aca="false">IF(OR(A936&lt;&gt;"",B936&lt;&gt;""),1,0)</f>
        <v>0</v>
      </c>
      <c r="D936" s="0" t="str">
        <f aca="false">IF(C936=1,MOD(ABS(SIN(ROW()*12.9898+'הדבקת לידים'!$F$2*78.233+IFERROR(--RIGHT(A936,6),LEN(A936))*0.0137+IFERROR(--RIGHT(B936,6),LEN(B936))*0.0071))*43758.5453,1),"")</f>
        <v/>
      </c>
      <c r="E936" s="0" t="str">
        <f aca="false">IF(C936=1,INT(MOD(ABS(SIN(D936*7919.123+ROW()*0.618+'הדבקת לידים'!$F$2*1.3))*43758.5453,1)*1000000)*10000+ROW(),"")</f>
        <v/>
      </c>
      <c r="F936" s="0" t="str">
        <f aca="false">IF(E936="","",RANK(E936,$E$2:$E$5001,1))</f>
        <v/>
      </c>
      <c r="G936" s="0" t="n">
        <f aca="false">IF(A936="",0,IF(SUMPRODUCT(--($A$2:$A$5001=A936))&gt;1,1,0))</f>
        <v>0</v>
      </c>
      <c r="H936" s="0" t="n">
        <f aca="false">ROW()-1</f>
        <v>935</v>
      </c>
      <c r="I936" s="0" t="str">
        <f aca="false">IF(OR(הגדרות!$E$6=0,H936&gt;הגדרות!$E$5),"",IF(H936-1&lt;הגדרות!$E$8*(הגדרות!$E$7+1),INT((H936-1)/(הגדרות!$E$7+1)),הגדרות!$E$8+INT((H936-1-הגדרות!$E$8*(הגדרות!$E$7+1))/הגדרות!$E$7)))</f>
        <v/>
      </c>
      <c r="J936" s="0" t="str">
        <f aca="false">IF(I936="","",IF(H936-1&lt;הגדרות!$E$8*(הגדרות!$E$7+1),MOD(H936-1,הגדרות!$E$7+1),MOD(H936-1-הגדרות!$E$8*(הגדרות!$E$7+1),הגדרות!$E$7)))</f>
        <v/>
      </c>
      <c r="K936" s="0" t="str">
        <f aca="false">IF(I936="","",J936*הגדרות!$E$6+I936+1)</f>
        <v/>
      </c>
      <c r="L936" s="0" t="str">
        <f aca="false">IF(K936="","",MATCH(K936,$F$2:$F$5001,0))</f>
        <v/>
      </c>
      <c r="M936" s="0" t="str">
        <f aca="false">IF(I936="","",INDEX(הגדרות!$A$2:$A$21,MOD(I936+הגדרות!$E$9,הגדרות!$E$6)+1))</f>
        <v/>
      </c>
    </row>
    <row r="937" customFormat="false" ht="15" hidden="false" customHeight="false" outlineLevel="0" collapsed="false">
      <c r="A937" s="0" t="str">
        <f aca="false">IF('הדבקת לידים'!A937="","",IF(ISNUMBER('הדבקת לידים'!A937),IF(הגדרות!$E$2&gt;0,TEXT('הדבקת לידים'!A937,REPT("0",הגדרות!$E$2)),TEXT('הדבקת לידים'!A937,"0")),TRIM('הדבקת לידים'!A937)))</f>
        <v/>
      </c>
      <c r="B937" s="0" t="str">
        <f aca="false">IF('הדבקת לידים'!B937="","",IF(ISNUMBER('הדבקת לידים'!B937),IF(הגדרות!$E$3&gt;0,TEXT('הדבקת לידים'!B937,REPT("0",הגדרות!$E$3)),TEXT('הדבקת לידים'!B937,"0")),TRIM('הדבקת לידים'!B937)))</f>
        <v/>
      </c>
      <c r="C937" s="0" t="n">
        <f aca="false">IF(OR(A937&lt;&gt;"",B937&lt;&gt;""),1,0)</f>
        <v>0</v>
      </c>
      <c r="D937" s="0" t="str">
        <f aca="false">IF(C937=1,MOD(ABS(SIN(ROW()*12.9898+'הדבקת לידים'!$F$2*78.233+IFERROR(--RIGHT(A937,6),LEN(A937))*0.0137+IFERROR(--RIGHT(B937,6),LEN(B937))*0.0071))*43758.5453,1),"")</f>
        <v/>
      </c>
      <c r="E937" s="0" t="str">
        <f aca="false">IF(C937=1,INT(MOD(ABS(SIN(D937*7919.123+ROW()*0.618+'הדבקת לידים'!$F$2*1.3))*43758.5453,1)*1000000)*10000+ROW(),"")</f>
        <v/>
      </c>
      <c r="F937" s="0" t="str">
        <f aca="false">IF(E937="","",RANK(E937,$E$2:$E$5001,1))</f>
        <v/>
      </c>
      <c r="G937" s="0" t="n">
        <f aca="false">IF(A937="",0,IF(SUMPRODUCT(--($A$2:$A$5001=A937))&gt;1,1,0))</f>
        <v>0</v>
      </c>
      <c r="H937" s="0" t="n">
        <f aca="false">ROW()-1</f>
        <v>936</v>
      </c>
      <c r="I937" s="0" t="str">
        <f aca="false">IF(OR(הגדרות!$E$6=0,H937&gt;הגדרות!$E$5),"",IF(H937-1&lt;הגדרות!$E$8*(הגדרות!$E$7+1),INT((H937-1)/(הגדרות!$E$7+1)),הגדרות!$E$8+INT((H937-1-הגדרות!$E$8*(הגדרות!$E$7+1))/הגדרות!$E$7)))</f>
        <v/>
      </c>
      <c r="J937" s="0" t="str">
        <f aca="false">IF(I937="","",IF(H937-1&lt;הגדרות!$E$8*(הגדרות!$E$7+1),MOD(H937-1,הגדרות!$E$7+1),MOD(H937-1-הגדרות!$E$8*(הגדרות!$E$7+1),הגדרות!$E$7)))</f>
        <v/>
      </c>
      <c r="K937" s="0" t="str">
        <f aca="false">IF(I937="","",J937*הגדרות!$E$6+I937+1)</f>
        <v/>
      </c>
      <c r="L937" s="0" t="str">
        <f aca="false">IF(K937="","",MATCH(K937,$F$2:$F$5001,0))</f>
        <v/>
      </c>
      <c r="M937" s="0" t="str">
        <f aca="false">IF(I937="","",INDEX(הגדרות!$A$2:$A$21,MOD(I937+הגדרות!$E$9,הגדרות!$E$6)+1))</f>
        <v/>
      </c>
    </row>
    <row r="938" customFormat="false" ht="15" hidden="false" customHeight="false" outlineLevel="0" collapsed="false">
      <c r="A938" s="0" t="str">
        <f aca="false">IF('הדבקת לידים'!A938="","",IF(ISNUMBER('הדבקת לידים'!A938),IF(הגדרות!$E$2&gt;0,TEXT('הדבקת לידים'!A938,REPT("0",הגדרות!$E$2)),TEXT('הדבקת לידים'!A938,"0")),TRIM('הדבקת לידים'!A938)))</f>
        <v/>
      </c>
      <c r="B938" s="0" t="str">
        <f aca="false">IF('הדבקת לידים'!B938="","",IF(ISNUMBER('הדבקת לידים'!B938),IF(הגדרות!$E$3&gt;0,TEXT('הדבקת לידים'!B938,REPT("0",הגדרות!$E$3)),TEXT('הדבקת לידים'!B938,"0")),TRIM('הדבקת לידים'!B938)))</f>
        <v/>
      </c>
      <c r="C938" s="0" t="n">
        <f aca="false">IF(OR(A938&lt;&gt;"",B938&lt;&gt;""),1,0)</f>
        <v>0</v>
      </c>
      <c r="D938" s="0" t="str">
        <f aca="false">IF(C938=1,MOD(ABS(SIN(ROW()*12.9898+'הדבקת לידים'!$F$2*78.233+IFERROR(--RIGHT(A938,6),LEN(A938))*0.0137+IFERROR(--RIGHT(B938,6),LEN(B938))*0.0071))*43758.5453,1),"")</f>
        <v/>
      </c>
      <c r="E938" s="0" t="str">
        <f aca="false">IF(C938=1,INT(MOD(ABS(SIN(D938*7919.123+ROW()*0.618+'הדבקת לידים'!$F$2*1.3))*43758.5453,1)*1000000)*10000+ROW(),"")</f>
        <v/>
      </c>
      <c r="F938" s="0" t="str">
        <f aca="false">IF(E938="","",RANK(E938,$E$2:$E$5001,1))</f>
        <v/>
      </c>
      <c r="G938" s="0" t="n">
        <f aca="false">IF(A938="",0,IF(SUMPRODUCT(--($A$2:$A$5001=A938))&gt;1,1,0))</f>
        <v>0</v>
      </c>
      <c r="H938" s="0" t="n">
        <f aca="false">ROW()-1</f>
        <v>937</v>
      </c>
      <c r="I938" s="0" t="str">
        <f aca="false">IF(OR(הגדרות!$E$6=0,H938&gt;הגדרות!$E$5),"",IF(H938-1&lt;הגדרות!$E$8*(הגדרות!$E$7+1),INT((H938-1)/(הגדרות!$E$7+1)),הגדרות!$E$8+INT((H938-1-הגדרות!$E$8*(הגדרות!$E$7+1))/הגדרות!$E$7)))</f>
        <v/>
      </c>
      <c r="J938" s="0" t="str">
        <f aca="false">IF(I938="","",IF(H938-1&lt;הגדרות!$E$8*(הגדרות!$E$7+1),MOD(H938-1,הגדרות!$E$7+1),MOD(H938-1-הגדרות!$E$8*(הגדרות!$E$7+1),הגדרות!$E$7)))</f>
        <v/>
      </c>
      <c r="K938" s="0" t="str">
        <f aca="false">IF(I938="","",J938*הגדרות!$E$6+I938+1)</f>
        <v/>
      </c>
      <c r="L938" s="0" t="str">
        <f aca="false">IF(K938="","",MATCH(K938,$F$2:$F$5001,0))</f>
        <v/>
      </c>
      <c r="M938" s="0" t="str">
        <f aca="false">IF(I938="","",INDEX(הגדרות!$A$2:$A$21,MOD(I938+הגדרות!$E$9,הגדרות!$E$6)+1))</f>
        <v/>
      </c>
    </row>
    <row r="939" customFormat="false" ht="15" hidden="false" customHeight="false" outlineLevel="0" collapsed="false">
      <c r="A939" s="0" t="str">
        <f aca="false">IF('הדבקת לידים'!A939="","",IF(ISNUMBER('הדבקת לידים'!A939),IF(הגדרות!$E$2&gt;0,TEXT('הדבקת לידים'!A939,REPT("0",הגדרות!$E$2)),TEXT('הדבקת לידים'!A939,"0")),TRIM('הדבקת לידים'!A939)))</f>
        <v/>
      </c>
      <c r="B939" s="0" t="str">
        <f aca="false">IF('הדבקת לידים'!B939="","",IF(ISNUMBER('הדבקת לידים'!B939),IF(הגדרות!$E$3&gt;0,TEXT('הדבקת לידים'!B939,REPT("0",הגדרות!$E$3)),TEXT('הדבקת לידים'!B939,"0")),TRIM('הדבקת לידים'!B939)))</f>
        <v/>
      </c>
      <c r="C939" s="0" t="n">
        <f aca="false">IF(OR(A939&lt;&gt;"",B939&lt;&gt;""),1,0)</f>
        <v>0</v>
      </c>
      <c r="D939" s="0" t="str">
        <f aca="false">IF(C939=1,MOD(ABS(SIN(ROW()*12.9898+'הדבקת לידים'!$F$2*78.233+IFERROR(--RIGHT(A939,6),LEN(A939))*0.0137+IFERROR(--RIGHT(B939,6),LEN(B939))*0.0071))*43758.5453,1),"")</f>
        <v/>
      </c>
      <c r="E939" s="0" t="str">
        <f aca="false">IF(C939=1,INT(MOD(ABS(SIN(D939*7919.123+ROW()*0.618+'הדבקת לידים'!$F$2*1.3))*43758.5453,1)*1000000)*10000+ROW(),"")</f>
        <v/>
      </c>
      <c r="F939" s="0" t="str">
        <f aca="false">IF(E939="","",RANK(E939,$E$2:$E$5001,1))</f>
        <v/>
      </c>
      <c r="G939" s="0" t="n">
        <f aca="false">IF(A939="",0,IF(SUMPRODUCT(--($A$2:$A$5001=A939))&gt;1,1,0))</f>
        <v>0</v>
      </c>
      <c r="H939" s="0" t="n">
        <f aca="false">ROW()-1</f>
        <v>938</v>
      </c>
      <c r="I939" s="0" t="str">
        <f aca="false">IF(OR(הגדרות!$E$6=0,H939&gt;הגדרות!$E$5),"",IF(H939-1&lt;הגדרות!$E$8*(הגדרות!$E$7+1),INT((H939-1)/(הגדרות!$E$7+1)),הגדרות!$E$8+INT((H939-1-הגדרות!$E$8*(הגדרות!$E$7+1))/הגדרות!$E$7)))</f>
        <v/>
      </c>
      <c r="J939" s="0" t="str">
        <f aca="false">IF(I939="","",IF(H939-1&lt;הגדרות!$E$8*(הגדרות!$E$7+1),MOD(H939-1,הגדרות!$E$7+1),MOD(H939-1-הגדרות!$E$8*(הגדרות!$E$7+1),הגדרות!$E$7)))</f>
        <v/>
      </c>
      <c r="K939" s="0" t="str">
        <f aca="false">IF(I939="","",J939*הגדרות!$E$6+I939+1)</f>
        <v/>
      </c>
      <c r="L939" s="0" t="str">
        <f aca="false">IF(K939="","",MATCH(K939,$F$2:$F$5001,0))</f>
        <v/>
      </c>
      <c r="M939" s="0" t="str">
        <f aca="false">IF(I939="","",INDEX(הגדרות!$A$2:$A$21,MOD(I939+הגדרות!$E$9,הגדרות!$E$6)+1))</f>
        <v/>
      </c>
    </row>
    <row r="940" customFormat="false" ht="15" hidden="false" customHeight="false" outlineLevel="0" collapsed="false">
      <c r="A940" s="0" t="str">
        <f aca="false">IF('הדבקת לידים'!A940="","",IF(ISNUMBER('הדבקת לידים'!A940),IF(הגדרות!$E$2&gt;0,TEXT('הדבקת לידים'!A940,REPT("0",הגדרות!$E$2)),TEXT('הדבקת לידים'!A940,"0")),TRIM('הדבקת לידים'!A940)))</f>
        <v/>
      </c>
      <c r="B940" s="0" t="str">
        <f aca="false">IF('הדבקת לידים'!B940="","",IF(ISNUMBER('הדבקת לידים'!B940),IF(הגדרות!$E$3&gt;0,TEXT('הדבקת לידים'!B940,REPT("0",הגדרות!$E$3)),TEXT('הדבקת לידים'!B940,"0")),TRIM('הדבקת לידים'!B940)))</f>
        <v/>
      </c>
      <c r="C940" s="0" t="n">
        <f aca="false">IF(OR(A940&lt;&gt;"",B940&lt;&gt;""),1,0)</f>
        <v>0</v>
      </c>
      <c r="D940" s="0" t="str">
        <f aca="false">IF(C940=1,MOD(ABS(SIN(ROW()*12.9898+'הדבקת לידים'!$F$2*78.233+IFERROR(--RIGHT(A940,6),LEN(A940))*0.0137+IFERROR(--RIGHT(B940,6),LEN(B940))*0.0071))*43758.5453,1),"")</f>
        <v/>
      </c>
      <c r="E940" s="0" t="str">
        <f aca="false">IF(C940=1,INT(MOD(ABS(SIN(D940*7919.123+ROW()*0.618+'הדבקת לידים'!$F$2*1.3))*43758.5453,1)*1000000)*10000+ROW(),"")</f>
        <v/>
      </c>
      <c r="F940" s="0" t="str">
        <f aca="false">IF(E940="","",RANK(E940,$E$2:$E$5001,1))</f>
        <v/>
      </c>
      <c r="G940" s="0" t="n">
        <f aca="false">IF(A940="",0,IF(SUMPRODUCT(--($A$2:$A$5001=A940))&gt;1,1,0))</f>
        <v>0</v>
      </c>
      <c r="H940" s="0" t="n">
        <f aca="false">ROW()-1</f>
        <v>939</v>
      </c>
      <c r="I940" s="0" t="str">
        <f aca="false">IF(OR(הגדרות!$E$6=0,H940&gt;הגדרות!$E$5),"",IF(H940-1&lt;הגדרות!$E$8*(הגדרות!$E$7+1),INT((H940-1)/(הגדרות!$E$7+1)),הגדרות!$E$8+INT((H940-1-הגדרות!$E$8*(הגדרות!$E$7+1))/הגדרות!$E$7)))</f>
        <v/>
      </c>
      <c r="J940" s="0" t="str">
        <f aca="false">IF(I940="","",IF(H940-1&lt;הגדרות!$E$8*(הגדרות!$E$7+1),MOD(H940-1,הגדרות!$E$7+1),MOD(H940-1-הגדרות!$E$8*(הגדרות!$E$7+1),הגדרות!$E$7)))</f>
        <v/>
      </c>
      <c r="K940" s="0" t="str">
        <f aca="false">IF(I940="","",J940*הגדרות!$E$6+I940+1)</f>
        <v/>
      </c>
      <c r="L940" s="0" t="str">
        <f aca="false">IF(K940="","",MATCH(K940,$F$2:$F$5001,0))</f>
        <v/>
      </c>
      <c r="M940" s="0" t="str">
        <f aca="false">IF(I940="","",INDEX(הגדרות!$A$2:$A$21,MOD(I940+הגדרות!$E$9,הגדרות!$E$6)+1))</f>
        <v/>
      </c>
    </row>
    <row r="941" customFormat="false" ht="15" hidden="false" customHeight="false" outlineLevel="0" collapsed="false">
      <c r="A941" s="0" t="str">
        <f aca="false">IF('הדבקת לידים'!A941="","",IF(ISNUMBER('הדבקת לידים'!A941),IF(הגדרות!$E$2&gt;0,TEXT('הדבקת לידים'!A941,REPT("0",הגדרות!$E$2)),TEXT('הדבקת לידים'!A941,"0")),TRIM('הדבקת לידים'!A941)))</f>
        <v/>
      </c>
      <c r="B941" s="0" t="str">
        <f aca="false">IF('הדבקת לידים'!B941="","",IF(ISNUMBER('הדבקת לידים'!B941),IF(הגדרות!$E$3&gt;0,TEXT('הדבקת לידים'!B941,REPT("0",הגדרות!$E$3)),TEXT('הדבקת לידים'!B941,"0")),TRIM('הדבקת לידים'!B941)))</f>
        <v/>
      </c>
      <c r="C941" s="0" t="n">
        <f aca="false">IF(OR(A941&lt;&gt;"",B941&lt;&gt;""),1,0)</f>
        <v>0</v>
      </c>
      <c r="D941" s="0" t="str">
        <f aca="false">IF(C941=1,MOD(ABS(SIN(ROW()*12.9898+'הדבקת לידים'!$F$2*78.233+IFERROR(--RIGHT(A941,6),LEN(A941))*0.0137+IFERROR(--RIGHT(B941,6),LEN(B941))*0.0071))*43758.5453,1),"")</f>
        <v/>
      </c>
      <c r="E941" s="0" t="str">
        <f aca="false">IF(C941=1,INT(MOD(ABS(SIN(D941*7919.123+ROW()*0.618+'הדבקת לידים'!$F$2*1.3))*43758.5453,1)*1000000)*10000+ROW(),"")</f>
        <v/>
      </c>
      <c r="F941" s="0" t="str">
        <f aca="false">IF(E941="","",RANK(E941,$E$2:$E$5001,1))</f>
        <v/>
      </c>
      <c r="G941" s="0" t="n">
        <f aca="false">IF(A941="",0,IF(SUMPRODUCT(--($A$2:$A$5001=A941))&gt;1,1,0))</f>
        <v>0</v>
      </c>
      <c r="H941" s="0" t="n">
        <f aca="false">ROW()-1</f>
        <v>940</v>
      </c>
      <c r="I941" s="0" t="str">
        <f aca="false">IF(OR(הגדרות!$E$6=0,H941&gt;הגדרות!$E$5),"",IF(H941-1&lt;הגדרות!$E$8*(הגדרות!$E$7+1),INT((H941-1)/(הגדרות!$E$7+1)),הגדרות!$E$8+INT((H941-1-הגדרות!$E$8*(הגדרות!$E$7+1))/הגדרות!$E$7)))</f>
        <v/>
      </c>
      <c r="J941" s="0" t="str">
        <f aca="false">IF(I941="","",IF(H941-1&lt;הגדרות!$E$8*(הגדרות!$E$7+1),MOD(H941-1,הגדרות!$E$7+1),MOD(H941-1-הגדרות!$E$8*(הגדרות!$E$7+1),הגדרות!$E$7)))</f>
        <v/>
      </c>
      <c r="K941" s="0" t="str">
        <f aca="false">IF(I941="","",J941*הגדרות!$E$6+I941+1)</f>
        <v/>
      </c>
      <c r="L941" s="0" t="str">
        <f aca="false">IF(K941="","",MATCH(K941,$F$2:$F$5001,0))</f>
        <v/>
      </c>
      <c r="M941" s="0" t="str">
        <f aca="false">IF(I941="","",INDEX(הגדרות!$A$2:$A$21,MOD(I941+הגדרות!$E$9,הגדרות!$E$6)+1))</f>
        <v/>
      </c>
    </row>
    <row r="942" customFormat="false" ht="15" hidden="false" customHeight="false" outlineLevel="0" collapsed="false">
      <c r="A942" s="0" t="str">
        <f aca="false">IF('הדבקת לידים'!A942="","",IF(ISNUMBER('הדבקת לידים'!A942),IF(הגדרות!$E$2&gt;0,TEXT('הדבקת לידים'!A942,REPT("0",הגדרות!$E$2)),TEXT('הדבקת לידים'!A942,"0")),TRIM('הדבקת לידים'!A942)))</f>
        <v/>
      </c>
      <c r="B942" s="0" t="str">
        <f aca="false">IF('הדבקת לידים'!B942="","",IF(ISNUMBER('הדבקת לידים'!B942),IF(הגדרות!$E$3&gt;0,TEXT('הדבקת לידים'!B942,REPT("0",הגדרות!$E$3)),TEXT('הדבקת לידים'!B942,"0")),TRIM('הדבקת לידים'!B942)))</f>
        <v/>
      </c>
      <c r="C942" s="0" t="n">
        <f aca="false">IF(OR(A942&lt;&gt;"",B942&lt;&gt;""),1,0)</f>
        <v>0</v>
      </c>
      <c r="D942" s="0" t="str">
        <f aca="false">IF(C942=1,MOD(ABS(SIN(ROW()*12.9898+'הדבקת לידים'!$F$2*78.233+IFERROR(--RIGHT(A942,6),LEN(A942))*0.0137+IFERROR(--RIGHT(B942,6),LEN(B942))*0.0071))*43758.5453,1),"")</f>
        <v/>
      </c>
      <c r="E942" s="0" t="str">
        <f aca="false">IF(C942=1,INT(MOD(ABS(SIN(D942*7919.123+ROW()*0.618+'הדבקת לידים'!$F$2*1.3))*43758.5453,1)*1000000)*10000+ROW(),"")</f>
        <v/>
      </c>
      <c r="F942" s="0" t="str">
        <f aca="false">IF(E942="","",RANK(E942,$E$2:$E$5001,1))</f>
        <v/>
      </c>
      <c r="G942" s="0" t="n">
        <f aca="false">IF(A942="",0,IF(SUMPRODUCT(--($A$2:$A$5001=A942))&gt;1,1,0))</f>
        <v>0</v>
      </c>
      <c r="H942" s="0" t="n">
        <f aca="false">ROW()-1</f>
        <v>941</v>
      </c>
      <c r="I942" s="0" t="str">
        <f aca="false">IF(OR(הגדרות!$E$6=0,H942&gt;הגדרות!$E$5),"",IF(H942-1&lt;הגדרות!$E$8*(הגדרות!$E$7+1),INT((H942-1)/(הגדרות!$E$7+1)),הגדרות!$E$8+INT((H942-1-הגדרות!$E$8*(הגדרות!$E$7+1))/הגדרות!$E$7)))</f>
        <v/>
      </c>
      <c r="J942" s="0" t="str">
        <f aca="false">IF(I942="","",IF(H942-1&lt;הגדרות!$E$8*(הגדרות!$E$7+1),MOD(H942-1,הגדרות!$E$7+1),MOD(H942-1-הגדרות!$E$8*(הגדרות!$E$7+1),הגדרות!$E$7)))</f>
        <v/>
      </c>
      <c r="K942" s="0" t="str">
        <f aca="false">IF(I942="","",J942*הגדרות!$E$6+I942+1)</f>
        <v/>
      </c>
      <c r="L942" s="0" t="str">
        <f aca="false">IF(K942="","",MATCH(K942,$F$2:$F$5001,0))</f>
        <v/>
      </c>
      <c r="M942" s="0" t="str">
        <f aca="false">IF(I942="","",INDEX(הגדרות!$A$2:$A$21,MOD(I942+הגדרות!$E$9,הגדרות!$E$6)+1))</f>
        <v/>
      </c>
    </row>
    <row r="943" customFormat="false" ht="15" hidden="false" customHeight="false" outlineLevel="0" collapsed="false">
      <c r="A943" s="0" t="str">
        <f aca="false">IF('הדבקת לידים'!A943="","",IF(ISNUMBER('הדבקת לידים'!A943),IF(הגדרות!$E$2&gt;0,TEXT('הדבקת לידים'!A943,REPT("0",הגדרות!$E$2)),TEXT('הדבקת לידים'!A943,"0")),TRIM('הדבקת לידים'!A943)))</f>
        <v/>
      </c>
      <c r="B943" s="0" t="str">
        <f aca="false">IF('הדבקת לידים'!B943="","",IF(ISNUMBER('הדבקת לידים'!B943),IF(הגדרות!$E$3&gt;0,TEXT('הדבקת לידים'!B943,REPT("0",הגדרות!$E$3)),TEXT('הדבקת לידים'!B943,"0")),TRIM('הדבקת לידים'!B943)))</f>
        <v/>
      </c>
      <c r="C943" s="0" t="n">
        <f aca="false">IF(OR(A943&lt;&gt;"",B943&lt;&gt;""),1,0)</f>
        <v>0</v>
      </c>
      <c r="D943" s="0" t="str">
        <f aca="false">IF(C943=1,MOD(ABS(SIN(ROW()*12.9898+'הדבקת לידים'!$F$2*78.233+IFERROR(--RIGHT(A943,6),LEN(A943))*0.0137+IFERROR(--RIGHT(B943,6),LEN(B943))*0.0071))*43758.5453,1),"")</f>
        <v/>
      </c>
      <c r="E943" s="0" t="str">
        <f aca="false">IF(C943=1,INT(MOD(ABS(SIN(D943*7919.123+ROW()*0.618+'הדבקת לידים'!$F$2*1.3))*43758.5453,1)*1000000)*10000+ROW(),"")</f>
        <v/>
      </c>
      <c r="F943" s="0" t="str">
        <f aca="false">IF(E943="","",RANK(E943,$E$2:$E$5001,1))</f>
        <v/>
      </c>
      <c r="G943" s="0" t="n">
        <f aca="false">IF(A943="",0,IF(SUMPRODUCT(--($A$2:$A$5001=A943))&gt;1,1,0))</f>
        <v>0</v>
      </c>
      <c r="H943" s="0" t="n">
        <f aca="false">ROW()-1</f>
        <v>942</v>
      </c>
      <c r="I943" s="0" t="str">
        <f aca="false">IF(OR(הגדרות!$E$6=0,H943&gt;הגדרות!$E$5),"",IF(H943-1&lt;הגדרות!$E$8*(הגדרות!$E$7+1),INT((H943-1)/(הגדרות!$E$7+1)),הגדרות!$E$8+INT((H943-1-הגדרות!$E$8*(הגדרות!$E$7+1))/הגדרות!$E$7)))</f>
        <v/>
      </c>
      <c r="J943" s="0" t="str">
        <f aca="false">IF(I943="","",IF(H943-1&lt;הגדרות!$E$8*(הגדרות!$E$7+1),MOD(H943-1,הגדרות!$E$7+1),MOD(H943-1-הגדרות!$E$8*(הגדרות!$E$7+1),הגדרות!$E$7)))</f>
        <v/>
      </c>
      <c r="K943" s="0" t="str">
        <f aca="false">IF(I943="","",J943*הגדרות!$E$6+I943+1)</f>
        <v/>
      </c>
      <c r="L943" s="0" t="str">
        <f aca="false">IF(K943="","",MATCH(K943,$F$2:$F$5001,0))</f>
        <v/>
      </c>
      <c r="M943" s="0" t="str">
        <f aca="false">IF(I943="","",INDEX(הגדרות!$A$2:$A$21,MOD(I943+הגדרות!$E$9,הגדרות!$E$6)+1))</f>
        <v/>
      </c>
    </row>
    <row r="944" customFormat="false" ht="15" hidden="false" customHeight="false" outlineLevel="0" collapsed="false">
      <c r="A944" s="0" t="str">
        <f aca="false">IF('הדבקת לידים'!A944="","",IF(ISNUMBER('הדבקת לידים'!A944),IF(הגדרות!$E$2&gt;0,TEXT('הדבקת לידים'!A944,REPT("0",הגדרות!$E$2)),TEXT('הדבקת לידים'!A944,"0")),TRIM('הדבקת לידים'!A944)))</f>
        <v/>
      </c>
      <c r="B944" s="0" t="str">
        <f aca="false">IF('הדבקת לידים'!B944="","",IF(ISNUMBER('הדבקת לידים'!B944),IF(הגדרות!$E$3&gt;0,TEXT('הדבקת לידים'!B944,REPT("0",הגדרות!$E$3)),TEXT('הדבקת לידים'!B944,"0")),TRIM('הדבקת לידים'!B944)))</f>
        <v/>
      </c>
      <c r="C944" s="0" t="n">
        <f aca="false">IF(OR(A944&lt;&gt;"",B944&lt;&gt;""),1,0)</f>
        <v>0</v>
      </c>
      <c r="D944" s="0" t="str">
        <f aca="false">IF(C944=1,MOD(ABS(SIN(ROW()*12.9898+'הדבקת לידים'!$F$2*78.233+IFERROR(--RIGHT(A944,6),LEN(A944))*0.0137+IFERROR(--RIGHT(B944,6),LEN(B944))*0.0071))*43758.5453,1),"")</f>
        <v/>
      </c>
      <c r="E944" s="0" t="str">
        <f aca="false">IF(C944=1,INT(MOD(ABS(SIN(D944*7919.123+ROW()*0.618+'הדבקת לידים'!$F$2*1.3))*43758.5453,1)*1000000)*10000+ROW(),"")</f>
        <v/>
      </c>
      <c r="F944" s="0" t="str">
        <f aca="false">IF(E944="","",RANK(E944,$E$2:$E$5001,1))</f>
        <v/>
      </c>
      <c r="G944" s="0" t="n">
        <f aca="false">IF(A944="",0,IF(SUMPRODUCT(--($A$2:$A$5001=A944))&gt;1,1,0))</f>
        <v>0</v>
      </c>
      <c r="H944" s="0" t="n">
        <f aca="false">ROW()-1</f>
        <v>943</v>
      </c>
      <c r="I944" s="0" t="str">
        <f aca="false">IF(OR(הגדרות!$E$6=0,H944&gt;הגדרות!$E$5),"",IF(H944-1&lt;הגדרות!$E$8*(הגדרות!$E$7+1),INT((H944-1)/(הגדרות!$E$7+1)),הגדרות!$E$8+INT((H944-1-הגדרות!$E$8*(הגדרות!$E$7+1))/הגדרות!$E$7)))</f>
        <v/>
      </c>
      <c r="J944" s="0" t="str">
        <f aca="false">IF(I944="","",IF(H944-1&lt;הגדרות!$E$8*(הגדרות!$E$7+1),MOD(H944-1,הגדרות!$E$7+1),MOD(H944-1-הגדרות!$E$8*(הגדרות!$E$7+1),הגדרות!$E$7)))</f>
        <v/>
      </c>
      <c r="K944" s="0" t="str">
        <f aca="false">IF(I944="","",J944*הגדרות!$E$6+I944+1)</f>
        <v/>
      </c>
      <c r="L944" s="0" t="str">
        <f aca="false">IF(K944="","",MATCH(K944,$F$2:$F$5001,0))</f>
        <v/>
      </c>
      <c r="M944" s="0" t="str">
        <f aca="false">IF(I944="","",INDEX(הגדרות!$A$2:$A$21,MOD(I944+הגדרות!$E$9,הגדרות!$E$6)+1))</f>
        <v/>
      </c>
    </row>
    <row r="945" customFormat="false" ht="15" hidden="false" customHeight="false" outlineLevel="0" collapsed="false">
      <c r="A945" s="0" t="str">
        <f aca="false">IF('הדבקת לידים'!A945="","",IF(ISNUMBER('הדבקת לידים'!A945),IF(הגדרות!$E$2&gt;0,TEXT('הדבקת לידים'!A945,REPT("0",הגדרות!$E$2)),TEXT('הדבקת לידים'!A945,"0")),TRIM('הדבקת לידים'!A945)))</f>
        <v/>
      </c>
      <c r="B945" s="0" t="str">
        <f aca="false">IF('הדבקת לידים'!B945="","",IF(ISNUMBER('הדבקת לידים'!B945),IF(הגדרות!$E$3&gt;0,TEXT('הדבקת לידים'!B945,REPT("0",הגדרות!$E$3)),TEXT('הדבקת לידים'!B945,"0")),TRIM('הדבקת לידים'!B945)))</f>
        <v/>
      </c>
      <c r="C945" s="0" t="n">
        <f aca="false">IF(OR(A945&lt;&gt;"",B945&lt;&gt;""),1,0)</f>
        <v>0</v>
      </c>
      <c r="D945" s="0" t="str">
        <f aca="false">IF(C945=1,MOD(ABS(SIN(ROW()*12.9898+'הדבקת לידים'!$F$2*78.233+IFERROR(--RIGHT(A945,6),LEN(A945))*0.0137+IFERROR(--RIGHT(B945,6),LEN(B945))*0.0071))*43758.5453,1),"")</f>
        <v/>
      </c>
      <c r="E945" s="0" t="str">
        <f aca="false">IF(C945=1,INT(MOD(ABS(SIN(D945*7919.123+ROW()*0.618+'הדבקת לידים'!$F$2*1.3))*43758.5453,1)*1000000)*10000+ROW(),"")</f>
        <v/>
      </c>
      <c r="F945" s="0" t="str">
        <f aca="false">IF(E945="","",RANK(E945,$E$2:$E$5001,1))</f>
        <v/>
      </c>
      <c r="G945" s="0" t="n">
        <f aca="false">IF(A945="",0,IF(SUMPRODUCT(--($A$2:$A$5001=A945))&gt;1,1,0))</f>
        <v>0</v>
      </c>
      <c r="H945" s="0" t="n">
        <f aca="false">ROW()-1</f>
        <v>944</v>
      </c>
      <c r="I945" s="0" t="str">
        <f aca="false">IF(OR(הגדרות!$E$6=0,H945&gt;הגדרות!$E$5),"",IF(H945-1&lt;הגדרות!$E$8*(הגדרות!$E$7+1),INT((H945-1)/(הגדרות!$E$7+1)),הגדרות!$E$8+INT((H945-1-הגדרות!$E$8*(הגדרות!$E$7+1))/הגדרות!$E$7)))</f>
        <v/>
      </c>
      <c r="J945" s="0" t="str">
        <f aca="false">IF(I945="","",IF(H945-1&lt;הגדרות!$E$8*(הגדרות!$E$7+1),MOD(H945-1,הגדרות!$E$7+1),MOD(H945-1-הגדרות!$E$8*(הגדרות!$E$7+1),הגדרות!$E$7)))</f>
        <v/>
      </c>
      <c r="K945" s="0" t="str">
        <f aca="false">IF(I945="","",J945*הגדרות!$E$6+I945+1)</f>
        <v/>
      </c>
      <c r="L945" s="0" t="str">
        <f aca="false">IF(K945="","",MATCH(K945,$F$2:$F$5001,0))</f>
        <v/>
      </c>
      <c r="M945" s="0" t="str">
        <f aca="false">IF(I945="","",INDEX(הגדרות!$A$2:$A$21,MOD(I945+הגדרות!$E$9,הגדרות!$E$6)+1))</f>
        <v/>
      </c>
    </row>
    <row r="946" customFormat="false" ht="15" hidden="false" customHeight="false" outlineLevel="0" collapsed="false">
      <c r="A946" s="0" t="str">
        <f aca="false">IF('הדבקת לידים'!A946="","",IF(ISNUMBER('הדבקת לידים'!A946),IF(הגדרות!$E$2&gt;0,TEXT('הדבקת לידים'!A946,REPT("0",הגדרות!$E$2)),TEXT('הדבקת לידים'!A946,"0")),TRIM('הדבקת לידים'!A946)))</f>
        <v/>
      </c>
      <c r="B946" s="0" t="str">
        <f aca="false">IF('הדבקת לידים'!B946="","",IF(ISNUMBER('הדבקת לידים'!B946),IF(הגדרות!$E$3&gt;0,TEXT('הדבקת לידים'!B946,REPT("0",הגדרות!$E$3)),TEXT('הדבקת לידים'!B946,"0")),TRIM('הדבקת לידים'!B946)))</f>
        <v/>
      </c>
      <c r="C946" s="0" t="n">
        <f aca="false">IF(OR(A946&lt;&gt;"",B946&lt;&gt;""),1,0)</f>
        <v>0</v>
      </c>
      <c r="D946" s="0" t="str">
        <f aca="false">IF(C946=1,MOD(ABS(SIN(ROW()*12.9898+'הדבקת לידים'!$F$2*78.233+IFERROR(--RIGHT(A946,6),LEN(A946))*0.0137+IFERROR(--RIGHT(B946,6),LEN(B946))*0.0071))*43758.5453,1),"")</f>
        <v/>
      </c>
      <c r="E946" s="0" t="str">
        <f aca="false">IF(C946=1,INT(MOD(ABS(SIN(D946*7919.123+ROW()*0.618+'הדבקת לידים'!$F$2*1.3))*43758.5453,1)*1000000)*10000+ROW(),"")</f>
        <v/>
      </c>
      <c r="F946" s="0" t="str">
        <f aca="false">IF(E946="","",RANK(E946,$E$2:$E$5001,1))</f>
        <v/>
      </c>
      <c r="G946" s="0" t="n">
        <f aca="false">IF(A946="",0,IF(SUMPRODUCT(--($A$2:$A$5001=A946))&gt;1,1,0))</f>
        <v>0</v>
      </c>
      <c r="H946" s="0" t="n">
        <f aca="false">ROW()-1</f>
        <v>945</v>
      </c>
      <c r="I946" s="0" t="str">
        <f aca="false">IF(OR(הגדרות!$E$6=0,H946&gt;הגדרות!$E$5),"",IF(H946-1&lt;הגדרות!$E$8*(הגדרות!$E$7+1),INT((H946-1)/(הגדרות!$E$7+1)),הגדרות!$E$8+INT((H946-1-הגדרות!$E$8*(הגדרות!$E$7+1))/הגדרות!$E$7)))</f>
        <v/>
      </c>
      <c r="J946" s="0" t="str">
        <f aca="false">IF(I946="","",IF(H946-1&lt;הגדרות!$E$8*(הגדרות!$E$7+1),MOD(H946-1,הגדרות!$E$7+1),MOD(H946-1-הגדרות!$E$8*(הגדרות!$E$7+1),הגדרות!$E$7)))</f>
        <v/>
      </c>
      <c r="K946" s="0" t="str">
        <f aca="false">IF(I946="","",J946*הגדרות!$E$6+I946+1)</f>
        <v/>
      </c>
      <c r="L946" s="0" t="str">
        <f aca="false">IF(K946="","",MATCH(K946,$F$2:$F$5001,0))</f>
        <v/>
      </c>
      <c r="M946" s="0" t="str">
        <f aca="false">IF(I946="","",INDEX(הגדרות!$A$2:$A$21,MOD(I946+הגדרות!$E$9,הגדרות!$E$6)+1))</f>
        <v/>
      </c>
    </row>
    <row r="947" customFormat="false" ht="15" hidden="false" customHeight="false" outlineLevel="0" collapsed="false">
      <c r="A947" s="0" t="str">
        <f aca="false">IF('הדבקת לידים'!A947="","",IF(ISNUMBER('הדבקת לידים'!A947),IF(הגדרות!$E$2&gt;0,TEXT('הדבקת לידים'!A947,REPT("0",הגדרות!$E$2)),TEXT('הדבקת לידים'!A947,"0")),TRIM('הדבקת לידים'!A947)))</f>
        <v/>
      </c>
      <c r="B947" s="0" t="str">
        <f aca="false">IF('הדבקת לידים'!B947="","",IF(ISNUMBER('הדבקת לידים'!B947),IF(הגדרות!$E$3&gt;0,TEXT('הדבקת לידים'!B947,REPT("0",הגדרות!$E$3)),TEXT('הדבקת לידים'!B947,"0")),TRIM('הדבקת לידים'!B947)))</f>
        <v/>
      </c>
      <c r="C947" s="0" t="n">
        <f aca="false">IF(OR(A947&lt;&gt;"",B947&lt;&gt;""),1,0)</f>
        <v>0</v>
      </c>
      <c r="D947" s="0" t="str">
        <f aca="false">IF(C947=1,MOD(ABS(SIN(ROW()*12.9898+'הדבקת לידים'!$F$2*78.233+IFERROR(--RIGHT(A947,6),LEN(A947))*0.0137+IFERROR(--RIGHT(B947,6),LEN(B947))*0.0071))*43758.5453,1),"")</f>
        <v/>
      </c>
      <c r="E947" s="0" t="str">
        <f aca="false">IF(C947=1,INT(MOD(ABS(SIN(D947*7919.123+ROW()*0.618+'הדבקת לידים'!$F$2*1.3))*43758.5453,1)*1000000)*10000+ROW(),"")</f>
        <v/>
      </c>
      <c r="F947" s="0" t="str">
        <f aca="false">IF(E947="","",RANK(E947,$E$2:$E$5001,1))</f>
        <v/>
      </c>
      <c r="G947" s="0" t="n">
        <f aca="false">IF(A947="",0,IF(SUMPRODUCT(--($A$2:$A$5001=A947))&gt;1,1,0))</f>
        <v>0</v>
      </c>
      <c r="H947" s="0" t="n">
        <f aca="false">ROW()-1</f>
        <v>946</v>
      </c>
      <c r="I947" s="0" t="str">
        <f aca="false">IF(OR(הגדרות!$E$6=0,H947&gt;הגדרות!$E$5),"",IF(H947-1&lt;הגדרות!$E$8*(הגדרות!$E$7+1),INT((H947-1)/(הגדרות!$E$7+1)),הגדרות!$E$8+INT((H947-1-הגדרות!$E$8*(הגדרות!$E$7+1))/הגדרות!$E$7)))</f>
        <v/>
      </c>
      <c r="J947" s="0" t="str">
        <f aca="false">IF(I947="","",IF(H947-1&lt;הגדרות!$E$8*(הגדרות!$E$7+1),MOD(H947-1,הגדרות!$E$7+1),MOD(H947-1-הגדרות!$E$8*(הגדרות!$E$7+1),הגדרות!$E$7)))</f>
        <v/>
      </c>
      <c r="K947" s="0" t="str">
        <f aca="false">IF(I947="","",J947*הגדרות!$E$6+I947+1)</f>
        <v/>
      </c>
      <c r="L947" s="0" t="str">
        <f aca="false">IF(K947="","",MATCH(K947,$F$2:$F$5001,0))</f>
        <v/>
      </c>
      <c r="M947" s="0" t="str">
        <f aca="false">IF(I947="","",INDEX(הגדרות!$A$2:$A$21,MOD(I947+הגדרות!$E$9,הגדרות!$E$6)+1))</f>
        <v/>
      </c>
    </row>
    <row r="948" customFormat="false" ht="15" hidden="false" customHeight="false" outlineLevel="0" collapsed="false">
      <c r="A948" s="0" t="str">
        <f aca="false">IF('הדבקת לידים'!A948="","",IF(ISNUMBER('הדבקת לידים'!A948),IF(הגדרות!$E$2&gt;0,TEXT('הדבקת לידים'!A948,REPT("0",הגדרות!$E$2)),TEXT('הדבקת לידים'!A948,"0")),TRIM('הדבקת לידים'!A948)))</f>
        <v/>
      </c>
      <c r="B948" s="0" t="str">
        <f aca="false">IF('הדבקת לידים'!B948="","",IF(ISNUMBER('הדבקת לידים'!B948),IF(הגדרות!$E$3&gt;0,TEXT('הדבקת לידים'!B948,REPT("0",הגדרות!$E$3)),TEXT('הדבקת לידים'!B948,"0")),TRIM('הדבקת לידים'!B948)))</f>
        <v/>
      </c>
      <c r="C948" s="0" t="n">
        <f aca="false">IF(OR(A948&lt;&gt;"",B948&lt;&gt;""),1,0)</f>
        <v>0</v>
      </c>
      <c r="D948" s="0" t="str">
        <f aca="false">IF(C948=1,MOD(ABS(SIN(ROW()*12.9898+'הדבקת לידים'!$F$2*78.233+IFERROR(--RIGHT(A948,6),LEN(A948))*0.0137+IFERROR(--RIGHT(B948,6),LEN(B948))*0.0071))*43758.5453,1),"")</f>
        <v/>
      </c>
      <c r="E948" s="0" t="str">
        <f aca="false">IF(C948=1,INT(MOD(ABS(SIN(D948*7919.123+ROW()*0.618+'הדבקת לידים'!$F$2*1.3))*43758.5453,1)*1000000)*10000+ROW(),"")</f>
        <v/>
      </c>
      <c r="F948" s="0" t="str">
        <f aca="false">IF(E948="","",RANK(E948,$E$2:$E$5001,1))</f>
        <v/>
      </c>
      <c r="G948" s="0" t="n">
        <f aca="false">IF(A948="",0,IF(SUMPRODUCT(--($A$2:$A$5001=A948))&gt;1,1,0))</f>
        <v>0</v>
      </c>
      <c r="H948" s="0" t="n">
        <f aca="false">ROW()-1</f>
        <v>947</v>
      </c>
      <c r="I948" s="0" t="str">
        <f aca="false">IF(OR(הגדרות!$E$6=0,H948&gt;הגדרות!$E$5),"",IF(H948-1&lt;הגדרות!$E$8*(הגדרות!$E$7+1),INT((H948-1)/(הגדרות!$E$7+1)),הגדרות!$E$8+INT((H948-1-הגדרות!$E$8*(הגדרות!$E$7+1))/הגדרות!$E$7)))</f>
        <v/>
      </c>
      <c r="J948" s="0" t="str">
        <f aca="false">IF(I948="","",IF(H948-1&lt;הגדרות!$E$8*(הגדרות!$E$7+1),MOD(H948-1,הגדרות!$E$7+1),MOD(H948-1-הגדרות!$E$8*(הגדרות!$E$7+1),הגדרות!$E$7)))</f>
        <v/>
      </c>
      <c r="K948" s="0" t="str">
        <f aca="false">IF(I948="","",J948*הגדרות!$E$6+I948+1)</f>
        <v/>
      </c>
      <c r="L948" s="0" t="str">
        <f aca="false">IF(K948="","",MATCH(K948,$F$2:$F$5001,0))</f>
        <v/>
      </c>
      <c r="M948" s="0" t="str">
        <f aca="false">IF(I948="","",INDEX(הגדרות!$A$2:$A$21,MOD(I948+הגדרות!$E$9,הגדרות!$E$6)+1))</f>
        <v/>
      </c>
    </row>
    <row r="949" customFormat="false" ht="15" hidden="false" customHeight="false" outlineLevel="0" collapsed="false">
      <c r="A949" s="0" t="str">
        <f aca="false">IF('הדבקת לידים'!A949="","",IF(ISNUMBER('הדבקת לידים'!A949),IF(הגדרות!$E$2&gt;0,TEXT('הדבקת לידים'!A949,REPT("0",הגדרות!$E$2)),TEXT('הדבקת לידים'!A949,"0")),TRIM('הדבקת לידים'!A949)))</f>
        <v/>
      </c>
      <c r="B949" s="0" t="str">
        <f aca="false">IF('הדבקת לידים'!B949="","",IF(ISNUMBER('הדבקת לידים'!B949),IF(הגדרות!$E$3&gt;0,TEXT('הדבקת לידים'!B949,REPT("0",הגדרות!$E$3)),TEXT('הדבקת לידים'!B949,"0")),TRIM('הדבקת לידים'!B949)))</f>
        <v/>
      </c>
      <c r="C949" s="0" t="n">
        <f aca="false">IF(OR(A949&lt;&gt;"",B949&lt;&gt;""),1,0)</f>
        <v>0</v>
      </c>
      <c r="D949" s="0" t="str">
        <f aca="false">IF(C949=1,MOD(ABS(SIN(ROW()*12.9898+'הדבקת לידים'!$F$2*78.233+IFERROR(--RIGHT(A949,6),LEN(A949))*0.0137+IFERROR(--RIGHT(B949,6),LEN(B949))*0.0071))*43758.5453,1),"")</f>
        <v/>
      </c>
      <c r="E949" s="0" t="str">
        <f aca="false">IF(C949=1,INT(MOD(ABS(SIN(D949*7919.123+ROW()*0.618+'הדבקת לידים'!$F$2*1.3))*43758.5453,1)*1000000)*10000+ROW(),"")</f>
        <v/>
      </c>
      <c r="F949" s="0" t="str">
        <f aca="false">IF(E949="","",RANK(E949,$E$2:$E$5001,1))</f>
        <v/>
      </c>
      <c r="G949" s="0" t="n">
        <f aca="false">IF(A949="",0,IF(SUMPRODUCT(--($A$2:$A$5001=A949))&gt;1,1,0))</f>
        <v>0</v>
      </c>
      <c r="H949" s="0" t="n">
        <f aca="false">ROW()-1</f>
        <v>948</v>
      </c>
      <c r="I949" s="0" t="str">
        <f aca="false">IF(OR(הגדרות!$E$6=0,H949&gt;הגדרות!$E$5),"",IF(H949-1&lt;הגדרות!$E$8*(הגדרות!$E$7+1),INT((H949-1)/(הגדרות!$E$7+1)),הגדרות!$E$8+INT((H949-1-הגדרות!$E$8*(הגדרות!$E$7+1))/הגדרות!$E$7)))</f>
        <v/>
      </c>
      <c r="J949" s="0" t="str">
        <f aca="false">IF(I949="","",IF(H949-1&lt;הגדרות!$E$8*(הגדרות!$E$7+1),MOD(H949-1,הגדרות!$E$7+1),MOD(H949-1-הגדרות!$E$8*(הגדרות!$E$7+1),הגדרות!$E$7)))</f>
        <v/>
      </c>
      <c r="K949" s="0" t="str">
        <f aca="false">IF(I949="","",J949*הגדרות!$E$6+I949+1)</f>
        <v/>
      </c>
      <c r="L949" s="0" t="str">
        <f aca="false">IF(K949="","",MATCH(K949,$F$2:$F$5001,0))</f>
        <v/>
      </c>
      <c r="M949" s="0" t="str">
        <f aca="false">IF(I949="","",INDEX(הגדרות!$A$2:$A$21,MOD(I949+הגדרות!$E$9,הגדרות!$E$6)+1))</f>
        <v/>
      </c>
    </row>
    <row r="950" customFormat="false" ht="15" hidden="false" customHeight="false" outlineLevel="0" collapsed="false">
      <c r="A950" s="0" t="str">
        <f aca="false">IF('הדבקת לידים'!A950="","",IF(ISNUMBER('הדבקת לידים'!A950),IF(הגדרות!$E$2&gt;0,TEXT('הדבקת לידים'!A950,REPT("0",הגדרות!$E$2)),TEXT('הדבקת לידים'!A950,"0")),TRIM('הדבקת לידים'!A950)))</f>
        <v/>
      </c>
      <c r="B950" s="0" t="str">
        <f aca="false">IF('הדבקת לידים'!B950="","",IF(ISNUMBER('הדבקת לידים'!B950),IF(הגדרות!$E$3&gt;0,TEXT('הדבקת לידים'!B950,REPT("0",הגדרות!$E$3)),TEXT('הדבקת לידים'!B950,"0")),TRIM('הדבקת לידים'!B950)))</f>
        <v/>
      </c>
      <c r="C950" s="0" t="n">
        <f aca="false">IF(OR(A950&lt;&gt;"",B950&lt;&gt;""),1,0)</f>
        <v>0</v>
      </c>
      <c r="D950" s="0" t="str">
        <f aca="false">IF(C950=1,MOD(ABS(SIN(ROW()*12.9898+'הדבקת לידים'!$F$2*78.233+IFERROR(--RIGHT(A950,6),LEN(A950))*0.0137+IFERROR(--RIGHT(B950,6),LEN(B950))*0.0071))*43758.5453,1),"")</f>
        <v/>
      </c>
      <c r="E950" s="0" t="str">
        <f aca="false">IF(C950=1,INT(MOD(ABS(SIN(D950*7919.123+ROW()*0.618+'הדבקת לידים'!$F$2*1.3))*43758.5453,1)*1000000)*10000+ROW(),"")</f>
        <v/>
      </c>
      <c r="F950" s="0" t="str">
        <f aca="false">IF(E950="","",RANK(E950,$E$2:$E$5001,1))</f>
        <v/>
      </c>
      <c r="G950" s="0" t="n">
        <f aca="false">IF(A950="",0,IF(SUMPRODUCT(--($A$2:$A$5001=A950))&gt;1,1,0))</f>
        <v>0</v>
      </c>
      <c r="H950" s="0" t="n">
        <f aca="false">ROW()-1</f>
        <v>949</v>
      </c>
      <c r="I950" s="0" t="str">
        <f aca="false">IF(OR(הגדרות!$E$6=0,H950&gt;הגדרות!$E$5),"",IF(H950-1&lt;הגדרות!$E$8*(הגדרות!$E$7+1),INT((H950-1)/(הגדרות!$E$7+1)),הגדרות!$E$8+INT((H950-1-הגדרות!$E$8*(הגדרות!$E$7+1))/הגדרות!$E$7)))</f>
        <v/>
      </c>
      <c r="J950" s="0" t="str">
        <f aca="false">IF(I950="","",IF(H950-1&lt;הגדרות!$E$8*(הגדרות!$E$7+1),MOD(H950-1,הגדרות!$E$7+1),MOD(H950-1-הגדרות!$E$8*(הגדרות!$E$7+1),הגדרות!$E$7)))</f>
        <v/>
      </c>
      <c r="K950" s="0" t="str">
        <f aca="false">IF(I950="","",J950*הגדרות!$E$6+I950+1)</f>
        <v/>
      </c>
      <c r="L950" s="0" t="str">
        <f aca="false">IF(K950="","",MATCH(K950,$F$2:$F$5001,0))</f>
        <v/>
      </c>
      <c r="M950" s="0" t="str">
        <f aca="false">IF(I950="","",INDEX(הגדרות!$A$2:$A$21,MOD(I950+הגדרות!$E$9,הגדרות!$E$6)+1))</f>
        <v/>
      </c>
    </row>
    <row r="951" customFormat="false" ht="15" hidden="false" customHeight="false" outlineLevel="0" collapsed="false">
      <c r="A951" s="0" t="str">
        <f aca="false">IF('הדבקת לידים'!A951="","",IF(ISNUMBER('הדבקת לידים'!A951),IF(הגדרות!$E$2&gt;0,TEXT('הדבקת לידים'!A951,REPT("0",הגדרות!$E$2)),TEXT('הדבקת לידים'!A951,"0")),TRIM('הדבקת לידים'!A951)))</f>
        <v/>
      </c>
      <c r="B951" s="0" t="str">
        <f aca="false">IF('הדבקת לידים'!B951="","",IF(ISNUMBER('הדבקת לידים'!B951),IF(הגדרות!$E$3&gt;0,TEXT('הדבקת לידים'!B951,REPT("0",הגדרות!$E$3)),TEXT('הדבקת לידים'!B951,"0")),TRIM('הדבקת לידים'!B951)))</f>
        <v/>
      </c>
      <c r="C951" s="0" t="n">
        <f aca="false">IF(OR(A951&lt;&gt;"",B951&lt;&gt;""),1,0)</f>
        <v>0</v>
      </c>
      <c r="D951" s="0" t="str">
        <f aca="false">IF(C951=1,MOD(ABS(SIN(ROW()*12.9898+'הדבקת לידים'!$F$2*78.233+IFERROR(--RIGHT(A951,6),LEN(A951))*0.0137+IFERROR(--RIGHT(B951,6),LEN(B951))*0.0071))*43758.5453,1),"")</f>
        <v/>
      </c>
      <c r="E951" s="0" t="str">
        <f aca="false">IF(C951=1,INT(MOD(ABS(SIN(D951*7919.123+ROW()*0.618+'הדבקת לידים'!$F$2*1.3))*43758.5453,1)*1000000)*10000+ROW(),"")</f>
        <v/>
      </c>
      <c r="F951" s="0" t="str">
        <f aca="false">IF(E951="","",RANK(E951,$E$2:$E$5001,1))</f>
        <v/>
      </c>
      <c r="G951" s="0" t="n">
        <f aca="false">IF(A951="",0,IF(SUMPRODUCT(--($A$2:$A$5001=A951))&gt;1,1,0))</f>
        <v>0</v>
      </c>
      <c r="H951" s="0" t="n">
        <f aca="false">ROW()-1</f>
        <v>950</v>
      </c>
      <c r="I951" s="0" t="str">
        <f aca="false">IF(OR(הגדרות!$E$6=0,H951&gt;הגדרות!$E$5),"",IF(H951-1&lt;הגדרות!$E$8*(הגדרות!$E$7+1),INT((H951-1)/(הגדרות!$E$7+1)),הגדרות!$E$8+INT((H951-1-הגדרות!$E$8*(הגדרות!$E$7+1))/הגדרות!$E$7)))</f>
        <v/>
      </c>
      <c r="J951" s="0" t="str">
        <f aca="false">IF(I951="","",IF(H951-1&lt;הגדרות!$E$8*(הגדרות!$E$7+1),MOD(H951-1,הגדרות!$E$7+1),MOD(H951-1-הגדרות!$E$8*(הגדרות!$E$7+1),הגדרות!$E$7)))</f>
        <v/>
      </c>
      <c r="K951" s="0" t="str">
        <f aca="false">IF(I951="","",J951*הגדרות!$E$6+I951+1)</f>
        <v/>
      </c>
      <c r="L951" s="0" t="str">
        <f aca="false">IF(K951="","",MATCH(K951,$F$2:$F$5001,0))</f>
        <v/>
      </c>
      <c r="M951" s="0" t="str">
        <f aca="false">IF(I951="","",INDEX(הגדרות!$A$2:$A$21,MOD(I951+הגדרות!$E$9,הגדרות!$E$6)+1))</f>
        <v/>
      </c>
    </row>
    <row r="952" customFormat="false" ht="15" hidden="false" customHeight="false" outlineLevel="0" collapsed="false">
      <c r="A952" s="0" t="str">
        <f aca="false">IF('הדבקת לידים'!A952="","",IF(ISNUMBER('הדבקת לידים'!A952),IF(הגדרות!$E$2&gt;0,TEXT('הדבקת לידים'!A952,REPT("0",הגדרות!$E$2)),TEXT('הדבקת לידים'!A952,"0")),TRIM('הדבקת לידים'!A952)))</f>
        <v/>
      </c>
      <c r="B952" s="0" t="str">
        <f aca="false">IF('הדבקת לידים'!B952="","",IF(ISNUMBER('הדבקת לידים'!B952),IF(הגדרות!$E$3&gt;0,TEXT('הדבקת לידים'!B952,REPT("0",הגדרות!$E$3)),TEXT('הדבקת לידים'!B952,"0")),TRIM('הדבקת לידים'!B952)))</f>
        <v/>
      </c>
      <c r="C952" s="0" t="n">
        <f aca="false">IF(OR(A952&lt;&gt;"",B952&lt;&gt;""),1,0)</f>
        <v>0</v>
      </c>
      <c r="D952" s="0" t="str">
        <f aca="false">IF(C952=1,MOD(ABS(SIN(ROW()*12.9898+'הדבקת לידים'!$F$2*78.233+IFERROR(--RIGHT(A952,6),LEN(A952))*0.0137+IFERROR(--RIGHT(B952,6),LEN(B952))*0.0071))*43758.5453,1),"")</f>
        <v/>
      </c>
      <c r="E952" s="0" t="str">
        <f aca="false">IF(C952=1,INT(MOD(ABS(SIN(D952*7919.123+ROW()*0.618+'הדבקת לידים'!$F$2*1.3))*43758.5453,1)*1000000)*10000+ROW(),"")</f>
        <v/>
      </c>
      <c r="F952" s="0" t="str">
        <f aca="false">IF(E952="","",RANK(E952,$E$2:$E$5001,1))</f>
        <v/>
      </c>
      <c r="G952" s="0" t="n">
        <f aca="false">IF(A952="",0,IF(SUMPRODUCT(--($A$2:$A$5001=A952))&gt;1,1,0))</f>
        <v>0</v>
      </c>
      <c r="H952" s="0" t="n">
        <f aca="false">ROW()-1</f>
        <v>951</v>
      </c>
      <c r="I952" s="0" t="str">
        <f aca="false">IF(OR(הגדרות!$E$6=0,H952&gt;הגדרות!$E$5),"",IF(H952-1&lt;הגדרות!$E$8*(הגדרות!$E$7+1),INT((H952-1)/(הגדרות!$E$7+1)),הגדרות!$E$8+INT((H952-1-הגדרות!$E$8*(הגדרות!$E$7+1))/הגדרות!$E$7)))</f>
        <v/>
      </c>
      <c r="J952" s="0" t="str">
        <f aca="false">IF(I952="","",IF(H952-1&lt;הגדרות!$E$8*(הגדרות!$E$7+1),MOD(H952-1,הגדרות!$E$7+1),MOD(H952-1-הגדרות!$E$8*(הגדרות!$E$7+1),הגדרות!$E$7)))</f>
        <v/>
      </c>
      <c r="K952" s="0" t="str">
        <f aca="false">IF(I952="","",J952*הגדרות!$E$6+I952+1)</f>
        <v/>
      </c>
      <c r="L952" s="0" t="str">
        <f aca="false">IF(K952="","",MATCH(K952,$F$2:$F$5001,0))</f>
        <v/>
      </c>
      <c r="M952" s="0" t="str">
        <f aca="false">IF(I952="","",INDEX(הגדרות!$A$2:$A$21,MOD(I952+הגדרות!$E$9,הגדרות!$E$6)+1))</f>
        <v/>
      </c>
    </row>
    <row r="953" customFormat="false" ht="15" hidden="false" customHeight="false" outlineLevel="0" collapsed="false">
      <c r="A953" s="0" t="str">
        <f aca="false">IF('הדבקת לידים'!A953="","",IF(ISNUMBER('הדבקת לידים'!A953),IF(הגדרות!$E$2&gt;0,TEXT('הדבקת לידים'!A953,REPT("0",הגדרות!$E$2)),TEXT('הדבקת לידים'!A953,"0")),TRIM('הדבקת לידים'!A953)))</f>
        <v/>
      </c>
      <c r="B953" s="0" t="str">
        <f aca="false">IF('הדבקת לידים'!B953="","",IF(ISNUMBER('הדבקת לידים'!B953),IF(הגדרות!$E$3&gt;0,TEXT('הדבקת לידים'!B953,REPT("0",הגדרות!$E$3)),TEXT('הדבקת לידים'!B953,"0")),TRIM('הדבקת לידים'!B953)))</f>
        <v/>
      </c>
      <c r="C953" s="0" t="n">
        <f aca="false">IF(OR(A953&lt;&gt;"",B953&lt;&gt;""),1,0)</f>
        <v>0</v>
      </c>
      <c r="D953" s="0" t="str">
        <f aca="false">IF(C953=1,MOD(ABS(SIN(ROW()*12.9898+'הדבקת לידים'!$F$2*78.233+IFERROR(--RIGHT(A953,6),LEN(A953))*0.0137+IFERROR(--RIGHT(B953,6),LEN(B953))*0.0071))*43758.5453,1),"")</f>
        <v/>
      </c>
      <c r="E953" s="0" t="str">
        <f aca="false">IF(C953=1,INT(MOD(ABS(SIN(D953*7919.123+ROW()*0.618+'הדבקת לידים'!$F$2*1.3))*43758.5453,1)*1000000)*10000+ROW(),"")</f>
        <v/>
      </c>
      <c r="F953" s="0" t="str">
        <f aca="false">IF(E953="","",RANK(E953,$E$2:$E$5001,1))</f>
        <v/>
      </c>
      <c r="G953" s="0" t="n">
        <f aca="false">IF(A953="",0,IF(SUMPRODUCT(--($A$2:$A$5001=A953))&gt;1,1,0))</f>
        <v>0</v>
      </c>
      <c r="H953" s="0" t="n">
        <f aca="false">ROW()-1</f>
        <v>952</v>
      </c>
      <c r="I953" s="0" t="str">
        <f aca="false">IF(OR(הגדרות!$E$6=0,H953&gt;הגדרות!$E$5),"",IF(H953-1&lt;הגדרות!$E$8*(הגדרות!$E$7+1),INT((H953-1)/(הגדרות!$E$7+1)),הגדרות!$E$8+INT((H953-1-הגדרות!$E$8*(הגדרות!$E$7+1))/הגדרות!$E$7)))</f>
        <v/>
      </c>
      <c r="J953" s="0" t="str">
        <f aca="false">IF(I953="","",IF(H953-1&lt;הגדרות!$E$8*(הגדרות!$E$7+1),MOD(H953-1,הגדרות!$E$7+1),MOD(H953-1-הגדרות!$E$8*(הגדרות!$E$7+1),הגדרות!$E$7)))</f>
        <v/>
      </c>
      <c r="K953" s="0" t="str">
        <f aca="false">IF(I953="","",J953*הגדרות!$E$6+I953+1)</f>
        <v/>
      </c>
      <c r="L953" s="0" t="str">
        <f aca="false">IF(K953="","",MATCH(K953,$F$2:$F$5001,0))</f>
        <v/>
      </c>
      <c r="M953" s="0" t="str">
        <f aca="false">IF(I953="","",INDEX(הגדרות!$A$2:$A$21,MOD(I953+הגדרות!$E$9,הגדרות!$E$6)+1))</f>
        <v/>
      </c>
    </row>
    <row r="954" customFormat="false" ht="15" hidden="false" customHeight="false" outlineLevel="0" collapsed="false">
      <c r="A954" s="0" t="str">
        <f aca="false">IF('הדבקת לידים'!A954="","",IF(ISNUMBER('הדבקת לידים'!A954),IF(הגדרות!$E$2&gt;0,TEXT('הדבקת לידים'!A954,REPT("0",הגדרות!$E$2)),TEXT('הדבקת לידים'!A954,"0")),TRIM('הדבקת לידים'!A954)))</f>
        <v/>
      </c>
      <c r="B954" s="0" t="str">
        <f aca="false">IF('הדבקת לידים'!B954="","",IF(ISNUMBER('הדבקת לידים'!B954),IF(הגדרות!$E$3&gt;0,TEXT('הדבקת לידים'!B954,REPT("0",הגדרות!$E$3)),TEXT('הדבקת לידים'!B954,"0")),TRIM('הדבקת לידים'!B954)))</f>
        <v/>
      </c>
      <c r="C954" s="0" t="n">
        <f aca="false">IF(OR(A954&lt;&gt;"",B954&lt;&gt;""),1,0)</f>
        <v>0</v>
      </c>
      <c r="D954" s="0" t="str">
        <f aca="false">IF(C954=1,MOD(ABS(SIN(ROW()*12.9898+'הדבקת לידים'!$F$2*78.233+IFERROR(--RIGHT(A954,6),LEN(A954))*0.0137+IFERROR(--RIGHT(B954,6),LEN(B954))*0.0071))*43758.5453,1),"")</f>
        <v/>
      </c>
      <c r="E954" s="0" t="str">
        <f aca="false">IF(C954=1,INT(MOD(ABS(SIN(D954*7919.123+ROW()*0.618+'הדבקת לידים'!$F$2*1.3))*43758.5453,1)*1000000)*10000+ROW(),"")</f>
        <v/>
      </c>
      <c r="F954" s="0" t="str">
        <f aca="false">IF(E954="","",RANK(E954,$E$2:$E$5001,1))</f>
        <v/>
      </c>
      <c r="G954" s="0" t="n">
        <f aca="false">IF(A954="",0,IF(SUMPRODUCT(--($A$2:$A$5001=A954))&gt;1,1,0))</f>
        <v>0</v>
      </c>
      <c r="H954" s="0" t="n">
        <f aca="false">ROW()-1</f>
        <v>953</v>
      </c>
      <c r="I954" s="0" t="str">
        <f aca="false">IF(OR(הגדרות!$E$6=0,H954&gt;הגדרות!$E$5),"",IF(H954-1&lt;הגדרות!$E$8*(הגדרות!$E$7+1),INT((H954-1)/(הגדרות!$E$7+1)),הגדרות!$E$8+INT((H954-1-הגדרות!$E$8*(הגדרות!$E$7+1))/הגדרות!$E$7)))</f>
        <v/>
      </c>
      <c r="J954" s="0" t="str">
        <f aca="false">IF(I954="","",IF(H954-1&lt;הגדרות!$E$8*(הגדרות!$E$7+1),MOD(H954-1,הגדרות!$E$7+1),MOD(H954-1-הגדרות!$E$8*(הגדרות!$E$7+1),הגדרות!$E$7)))</f>
        <v/>
      </c>
      <c r="K954" s="0" t="str">
        <f aca="false">IF(I954="","",J954*הגדרות!$E$6+I954+1)</f>
        <v/>
      </c>
      <c r="L954" s="0" t="str">
        <f aca="false">IF(K954="","",MATCH(K954,$F$2:$F$5001,0))</f>
        <v/>
      </c>
      <c r="M954" s="0" t="str">
        <f aca="false">IF(I954="","",INDEX(הגדרות!$A$2:$A$21,MOD(I954+הגדרות!$E$9,הגדרות!$E$6)+1))</f>
        <v/>
      </c>
    </row>
    <row r="955" customFormat="false" ht="15" hidden="false" customHeight="false" outlineLevel="0" collapsed="false">
      <c r="A955" s="0" t="str">
        <f aca="false">IF('הדבקת לידים'!A955="","",IF(ISNUMBER('הדבקת לידים'!A955),IF(הגדרות!$E$2&gt;0,TEXT('הדבקת לידים'!A955,REPT("0",הגדרות!$E$2)),TEXT('הדבקת לידים'!A955,"0")),TRIM('הדבקת לידים'!A955)))</f>
        <v/>
      </c>
      <c r="B955" s="0" t="str">
        <f aca="false">IF('הדבקת לידים'!B955="","",IF(ISNUMBER('הדבקת לידים'!B955),IF(הגדרות!$E$3&gt;0,TEXT('הדבקת לידים'!B955,REPT("0",הגדרות!$E$3)),TEXT('הדבקת לידים'!B955,"0")),TRIM('הדבקת לידים'!B955)))</f>
        <v/>
      </c>
      <c r="C955" s="0" t="n">
        <f aca="false">IF(OR(A955&lt;&gt;"",B955&lt;&gt;""),1,0)</f>
        <v>0</v>
      </c>
      <c r="D955" s="0" t="str">
        <f aca="false">IF(C955=1,MOD(ABS(SIN(ROW()*12.9898+'הדבקת לידים'!$F$2*78.233+IFERROR(--RIGHT(A955,6),LEN(A955))*0.0137+IFERROR(--RIGHT(B955,6),LEN(B955))*0.0071))*43758.5453,1),"")</f>
        <v/>
      </c>
      <c r="E955" s="0" t="str">
        <f aca="false">IF(C955=1,INT(MOD(ABS(SIN(D955*7919.123+ROW()*0.618+'הדבקת לידים'!$F$2*1.3))*43758.5453,1)*1000000)*10000+ROW(),"")</f>
        <v/>
      </c>
      <c r="F955" s="0" t="str">
        <f aca="false">IF(E955="","",RANK(E955,$E$2:$E$5001,1))</f>
        <v/>
      </c>
      <c r="G955" s="0" t="n">
        <f aca="false">IF(A955="",0,IF(SUMPRODUCT(--($A$2:$A$5001=A955))&gt;1,1,0))</f>
        <v>0</v>
      </c>
      <c r="H955" s="0" t="n">
        <f aca="false">ROW()-1</f>
        <v>954</v>
      </c>
      <c r="I955" s="0" t="str">
        <f aca="false">IF(OR(הגדרות!$E$6=0,H955&gt;הגדרות!$E$5),"",IF(H955-1&lt;הגדרות!$E$8*(הגדרות!$E$7+1),INT((H955-1)/(הגדרות!$E$7+1)),הגדרות!$E$8+INT((H955-1-הגדרות!$E$8*(הגדרות!$E$7+1))/הגדרות!$E$7)))</f>
        <v/>
      </c>
      <c r="J955" s="0" t="str">
        <f aca="false">IF(I955="","",IF(H955-1&lt;הגדרות!$E$8*(הגדרות!$E$7+1),MOD(H955-1,הגדרות!$E$7+1),MOD(H955-1-הגדרות!$E$8*(הגדרות!$E$7+1),הגדרות!$E$7)))</f>
        <v/>
      </c>
      <c r="K955" s="0" t="str">
        <f aca="false">IF(I955="","",J955*הגדרות!$E$6+I955+1)</f>
        <v/>
      </c>
      <c r="L955" s="0" t="str">
        <f aca="false">IF(K955="","",MATCH(K955,$F$2:$F$5001,0))</f>
        <v/>
      </c>
      <c r="M955" s="0" t="str">
        <f aca="false">IF(I955="","",INDEX(הגדרות!$A$2:$A$21,MOD(I955+הגדרות!$E$9,הגדרות!$E$6)+1))</f>
        <v/>
      </c>
    </row>
    <row r="956" customFormat="false" ht="15" hidden="false" customHeight="false" outlineLevel="0" collapsed="false">
      <c r="A956" s="0" t="str">
        <f aca="false">IF('הדבקת לידים'!A956="","",IF(ISNUMBER('הדבקת לידים'!A956),IF(הגדרות!$E$2&gt;0,TEXT('הדבקת לידים'!A956,REPT("0",הגדרות!$E$2)),TEXT('הדבקת לידים'!A956,"0")),TRIM('הדבקת לידים'!A956)))</f>
        <v/>
      </c>
      <c r="B956" s="0" t="str">
        <f aca="false">IF('הדבקת לידים'!B956="","",IF(ISNUMBER('הדבקת לידים'!B956),IF(הגדרות!$E$3&gt;0,TEXT('הדבקת לידים'!B956,REPT("0",הגדרות!$E$3)),TEXT('הדבקת לידים'!B956,"0")),TRIM('הדבקת לידים'!B956)))</f>
        <v/>
      </c>
      <c r="C956" s="0" t="n">
        <f aca="false">IF(OR(A956&lt;&gt;"",B956&lt;&gt;""),1,0)</f>
        <v>0</v>
      </c>
      <c r="D956" s="0" t="str">
        <f aca="false">IF(C956=1,MOD(ABS(SIN(ROW()*12.9898+'הדבקת לידים'!$F$2*78.233+IFERROR(--RIGHT(A956,6),LEN(A956))*0.0137+IFERROR(--RIGHT(B956,6),LEN(B956))*0.0071))*43758.5453,1),"")</f>
        <v/>
      </c>
      <c r="E956" s="0" t="str">
        <f aca="false">IF(C956=1,INT(MOD(ABS(SIN(D956*7919.123+ROW()*0.618+'הדבקת לידים'!$F$2*1.3))*43758.5453,1)*1000000)*10000+ROW(),"")</f>
        <v/>
      </c>
      <c r="F956" s="0" t="str">
        <f aca="false">IF(E956="","",RANK(E956,$E$2:$E$5001,1))</f>
        <v/>
      </c>
      <c r="G956" s="0" t="n">
        <f aca="false">IF(A956="",0,IF(SUMPRODUCT(--($A$2:$A$5001=A956))&gt;1,1,0))</f>
        <v>0</v>
      </c>
      <c r="H956" s="0" t="n">
        <f aca="false">ROW()-1</f>
        <v>955</v>
      </c>
      <c r="I956" s="0" t="str">
        <f aca="false">IF(OR(הגדרות!$E$6=0,H956&gt;הגדרות!$E$5),"",IF(H956-1&lt;הגדרות!$E$8*(הגדרות!$E$7+1),INT((H956-1)/(הגדרות!$E$7+1)),הגדרות!$E$8+INT((H956-1-הגדרות!$E$8*(הגדרות!$E$7+1))/הגדרות!$E$7)))</f>
        <v/>
      </c>
      <c r="J956" s="0" t="str">
        <f aca="false">IF(I956="","",IF(H956-1&lt;הגדרות!$E$8*(הגדרות!$E$7+1),MOD(H956-1,הגדרות!$E$7+1),MOD(H956-1-הגדרות!$E$8*(הגדרות!$E$7+1),הגדרות!$E$7)))</f>
        <v/>
      </c>
      <c r="K956" s="0" t="str">
        <f aca="false">IF(I956="","",J956*הגדרות!$E$6+I956+1)</f>
        <v/>
      </c>
      <c r="L956" s="0" t="str">
        <f aca="false">IF(K956="","",MATCH(K956,$F$2:$F$5001,0))</f>
        <v/>
      </c>
      <c r="M956" s="0" t="str">
        <f aca="false">IF(I956="","",INDEX(הגדרות!$A$2:$A$21,MOD(I956+הגדרות!$E$9,הגדרות!$E$6)+1))</f>
        <v/>
      </c>
    </row>
    <row r="957" customFormat="false" ht="15" hidden="false" customHeight="false" outlineLevel="0" collapsed="false">
      <c r="A957" s="0" t="str">
        <f aca="false">IF('הדבקת לידים'!A957="","",IF(ISNUMBER('הדבקת לידים'!A957),IF(הגדרות!$E$2&gt;0,TEXT('הדבקת לידים'!A957,REPT("0",הגדרות!$E$2)),TEXT('הדבקת לידים'!A957,"0")),TRIM('הדבקת לידים'!A957)))</f>
        <v/>
      </c>
      <c r="B957" s="0" t="str">
        <f aca="false">IF('הדבקת לידים'!B957="","",IF(ISNUMBER('הדבקת לידים'!B957),IF(הגדרות!$E$3&gt;0,TEXT('הדבקת לידים'!B957,REPT("0",הגדרות!$E$3)),TEXT('הדבקת לידים'!B957,"0")),TRIM('הדבקת לידים'!B957)))</f>
        <v/>
      </c>
      <c r="C957" s="0" t="n">
        <f aca="false">IF(OR(A957&lt;&gt;"",B957&lt;&gt;""),1,0)</f>
        <v>0</v>
      </c>
      <c r="D957" s="0" t="str">
        <f aca="false">IF(C957=1,MOD(ABS(SIN(ROW()*12.9898+'הדבקת לידים'!$F$2*78.233+IFERROR(--RIGHT(A957,6),LEN(A957))*0.0137+IFERROR(--RIGHT(B957,6),LEN(B957))*0.0071))*43758.5453,1),"")</f>
        <v/>
      </c>
      <c r="E957" s="0" t="str">
        <f aca="false">IF(C957=1,INT(MOD(ABS(SIN(D957*7919.123+ROW()*0.618+'הדבקת לידים'!$F$2*1.3))*43758.5453,1)*1000000)*10000+ROW(),"")</f>
        <v/>
      </c>
      <c r="F957" s="0" t="str">
        <f aca="false">IF(E957="","",RANK(E957,$E$2:$E$5001,1))</f>
        <v/>
      </c>
      <c r="G957" s="0" t="n">
        <f aca="false">IF(A957="",0,IF(SUMPRODUCT(--($A$2:$A$5001=A957))&gt;1,1,0))</f>
        <v>0</v>
      </c>
      <c r="H957" s="0" t="n">
        <f aca="false">ROW()-1</f>
        <v>956</v>
      </c>
      <c r="I957" s="0" t="str">
        <f aca="false">IF(OR(הגדרות!$E$6=0,H957&gt;הגדרות!$E$5),"",IF(H957-1&lt;הגדרות!$E$8*(הגדרות!$E$7+1),INT((H957-1)/(הגדרות!$E$7+1)),הגדרות!$E$8+INT((H957-1-הגדרות!$E$8*(הגדרות!$E$7+1))/הגדרות!$E$7)))</f>
        <v/>
      </c>
      <c r="J957" s="0" t="str">
        <f aca="false">IF(I957="","",IF(H957-1&lt;הגדרות!$E$8*(הגדרות!$E$7+1),MOD(H957-1,הגדרות!$E$7+1),MOD(H957-1-הגדרות!$E$8*(הגדרות!$E$7+1),הגדרות!$E$7)))</f>
        <v/>
      </c>
      <c r="K957" s="0" t="str">
        <f aca="false">IF(I957="","",J957*הגדרות!$E$6+I957+1)</f>
        <v/>
      </c>
      <c r="L957" s="0" t="str">
        <f aca="false">IF(K957="","",MATCH(K957,$F$2:$F$5001,0))</f>
        <v/>
      </c>
      <c r="M957" s="0" t="str">
        <f aca="false">IF(I957="","",INDEX(הגדרות!$A$2:$A$21,MOD(I957+הגדרות!$E$9,הגדרות!$E$6)+1))</f>
        <v/>
      </c>
    </row>
    <row r="958" customFormat="false" ht="15" hidden="false" customHeight="false" outlineLevel="0" collapsed="false">
      <c r="A958" s="0" t="str">
        <f aca="false">IF('הדבקת לידים'!A958="","",IF(ISNUMBER('הדבקת לידים'!A958),IF(הגדרות!$E$2&gt;0,TEXT('הדבקת לידים'!A958,REPT("0",הגדרות!$E$2)),TEXT('הדבקת לידים'!A958,"0")),TRIM('הדבקת לידים'!A958)))</f>
        <v/>
      </c>
      <c r="B958" s="0" t="str">
        <f aca="false">IF('הדבקת לידים'!B958="","",IF(ISNUMBER('הדבקת לידים'!B958),IF(הגדרות!$E$3&gt;0,TEXT('הדבקת לידים'!B958,REPT("0",הגדרות!$E$3)),TEXT('הדבקת לידים'!B958,"0")),TRIM('הדבקת לידים'!B958)))</f>
        <v/>
      </c>
      <c r="C958" s="0" t="n">
        <f aca="false">IF(OR(A958&lt;&gt;"",B958&lt;&gt;""),1,0)</f>
        <v>0</v>
      </c>
      <c r="D958" s="0" t="str">
        <f aca="false">IF(C958=1,MOD(ABS(SIN(ROW()*12.9898+'הדבקת לידים'!$F$2*78.233+IFERROR(--RIGHT(A958,6),LEN(A958))*0.0137+IFERROR(--RIGHT(B958,6),LEN(B958))*0.0071))*43758.5453,1),"")</f>
        <v/>
      </c>
      <c r="E958" s="0" t="str">
        <f aca="false">IF(C958=1,INT(MOD(ABS(SIN(D958*7919.123+ROW()*0.618+'הדבקת לידים'!$F$2*1.3))*43758.5453,1)*1000000)*10000+ROW(),"")</f>
        <v/>
      </c>
      <c r="F958" s="0" t="str">
        <f aca="false">IF(E958="","",RANK(E958,$E$2:$E$5001,1))</f>
        <v/>
      </c>
      <c r="G958" s="0" t="n">
        <f aca="false">IF(A958="",0,IF(SUMPRODUCT(--($A$2:$A$5001=A958))&gt;1,1,0))</f>
        <v>0</v>
      </c>
      <c r="H958" s="0" t="n">
        <f aca="false">ROW()-1</f>
        <v>957</v>
      </c>
      <c r="I958" s="0" t="str">
        <f aca="false">IF(OR(הגדרות!$E$6=0,H958&gt;הגדרות!$E$5),"",IF(H958-1&lt;הגדרות!$E$8*(הגדרות!$E$7+1),INT((H958-1)/(הגדרות!$E$7+1)),הגדרות!$E$8+INT((H958-1-הגדרות!$E$8*(הגדרות!$E$7+1))/הגדרות!$E$7)))</f>
        <v/>
      </c>
      <c r="J958" s="0" t="str">
        <f aca="false">IF(I958="","",IF(H958-1&lt;הגדרות!$E$8*(הגדרות!$E$7+1),MOD(H958-1,הגדרות!$E$7+1),MOD(H958-1-הגדרות!$E$8*(הגדרות!$E$7+1),הגדרות!$E$7)))</f>
        <v/>
      </c>
      <c r="K958" s="0" t="str">
        <f aca="false">IF(I958="","",J958*הגדרות!$E$6+I958+1)</f>
        <v/>
      </c>
      <c r="L958" s="0" t="str">
        <f aca="false">IF(K958="","",MATCH(K958,$F$2:$F$5001,0))</f>
        <v/>
      </c>
      <c r="M958" s="0" t="str">
        <f aca="false">IF(I958="","",INDEX(הגדרות!$A$2:$A$21,MOD(I958+הגדרות!$E$9,הגדרות!$E$6)+1))</f>
        <v/>
      </c>
    </row>
    <row r="959" customFormat="false" ht="15" hidden="false" customHeight="false" outlineLevel="0" collapsed="false">
      <c r="A959" s="0" t="str">
        <f aca="false">IF('הדבקת לידים'!A959="","",IF(ISNUMBER('הדבקת לידים'!A959),IF(הגדרות!$E$2&gt;0,TEXT('הדבקת לידים'!A959,REPT("0",הגדרות!$E$2)),TEXT('הדבקת לידים'!A959,"0")),TRIM('הדבקת לידים'!A959)))</f>
        <v/>
      </c>
      <c r="B959" s="0" t="str">
        <f aca="false">IF('הדבקת לידים'!B959="","",IF(ISNUMBER('הדבקת לידים'!B959),IF(הגדרות!$E$3&gt;0,TEXT('הדבקת לידים'!B959,REPT("0",הגדרות!$E$3)),TEXT('הדבקת לידים'!B959,"0")),TRIM('הדבקת לידים'!B959)))</f>
        <v/>
      </c>
      <c r="C959" s="0" t="n">
        <f aca="false">IF(OR(A959&lt;&gt;"",B959&lt;&gt;""),1,0)</f>
        <v>0</v>
      </c>
      <c r="D959" s="0" t="str">
        <f aca="false">IF(C959=1,MOD(ABS(SIN(ROW()*12.9898+'הדבקת לידים'!$F$2*78.233+IFERROR(--RIGHT(A959,6),LEN(A959))*0.0137+IFERROR(--RIGHT(B959,6),LEN(B959))*0.0071))*43758.5453,1),"")</f>
        <v/>
      </c>
      <c r="E959" s="0" t="str">
        <f aca="false">IF(C959=1,INT(MOD(ABS(SIN(D959*7919.123+ROW()*0.618+'הדבקת לידים'!$F$2*1.3))*43758.5453,1)*1000000)*10000+ROW(),"")</f>
        <v/>
      </c>
      <c r="F959" s="0" t="str">
        <f aca="false">IF(E959="","",RANK(E959,$E$2:$E$5001,1))</f>
        <v/>
      </c>
      <c r="G959" s="0" t="n">
        <f aca="false">IF(A959="",0,IF(SUMPRODUCT(--($A$2:$A$5001=A959))&gt;1,1,0))</f>
        <v>0</v>
      </c>
      <c r="H959" s="0" t="n">
        <f aca="false">ROW()-1</f>
        <v>958</v>
      </c>
      <c r="I959" s="0" t="str">
        <f aca="false">IF(OR(הגדרות!$E$6=0,H959&gt;הגדרות!$E$5),"",IF(H959-1&lt;הגדרות!$E$8*(הגדרות!$E$7+1),INT((H959-1)/(הגדרות!$E$7+1)),הגדרות!$E$8+INT((H959-1-הגדרות!$E$8*(הגדרות!$E$7+1))/הגדרות!$E$7)))</f>
        <v/>
      </c>
      <c r="J959" s="0" t="str">
        <f aca="false">IF(I959="","",IF(H959-1&lt;הגדרות!$E$8*(הגדרות!$E$7+1),MOD(H959-1,הגדרות!$E$7+1),MOD(H959-1-הגדרות!$E$8*(הגדרות!$E$7+1),הגדרות!$E$7)))</f>
        <v/>
      </c>
      <c r="K959" s="0" t="str">
        <f aca="false">IF(I959="","",J959*הגדרות!$E$6+I959+1)</f>
        <v/>
      </c>
      <c r="L959" s="0" t="str">
        <f aca="false">IF(K959="","",MATCH(K959,$F$2:$F$5001,0))</f>
        <v/>
      </c>
      <c r="M959" s="0" t="str">
        <f aca="false">IF(I959="","",INDEX(הגדרות!$A$2:$A$21,MOD(I959+הגדרות!$E$9,הגדרות!$E$6)+1))</f>
        <v/>
      </c>
    </row>
    <row r="960" customFormat="false" ht="15" hidden="false" customHeight="false" outlineLevel="0" collapsed="false">
      <c r="A960" s="0" t="str">
        <f aca="false">IF('הדבקת לידים'!A960="","",IF(ISNUMBER('הדבקת לידים'!A960),IF(הגדרות!$E$2&gt;0,TEXT('הדבקת לידים'!A960,REPT("0",הגדרות!$E$2)),TEXT('הדבקת לידים'!A960,"0")),TRIM('הדבקת לידים'!A960)))</f>
        <v/>
      </c>
      <c r="B960" s="0" t="str">
        <f aca="false">IF('הדבקת לידים'!B960="","",IF(ISNUMBER('הדבקת לידים'!B960),IF(הגדרות!$E$3&gt;0,TEXT('הדבקת לידים'!B960,REPT("0",הגדרות!$E$3)),TEXT('הדבקת לידים'!B960,"0")),TRIM('הדבקת לידים'!B960)))</f>
        <v/>
      </c>
      <c r="C960" s="0" t="n">
        <f aca="false">IF(OR(A960&lt;&gt;"",B960&lt;&gt;""),1,0)</f>
        <v>0</v>
      </c>
      <c r="D960" s="0" t="str">
        <f aca="false">IF(C960=1,MOD(ABS(SIN(ROW()*12.9898+'הדבקת לידים'!$F$2*78.233+IFERROR(--RIGHT(A960,6),LEN(A960))*0.0137+IFERROR(--RIGHT(B960,6),LEN(B960))*0.0071))*43758.5453,1),"")</f>
        <v/>
      </c>
      <c r="E960" s="0" t="str">
        <f aca="false">IF(C960=1,INT(MOD(ABS(SIN(D960*7919.123+ROW()*0.618+'הדבקת לידים'!$F$2*1.3))*43758.5453,1)*1000000)*10000+ROW(),"")</f>
        <v/>
      </c>
      <c r="F960" s="0" t="str">
        <f aca="false">IF(E960="","",RANK(E960,$E$2:$E$5001,1))</f>
        <v/>
      </c>
      <c r="G960" s="0" t="n">
        <f aca="false">IF(A960="",0,IF(SUMPRODUCT(--($A$2:$A$5001=A960))&gt;1,1,0))</f>
        <v>0</v>
      </c>
      <c r="H960" s="0" t="n">
        <f aca="false">ROW()-1</f>
        <v>959</v>
      </c>
      <c r="I960" s="0" t="str">
        <f aca="false">IF(OR(הגדרות!$E$6=0,H960&gt;הגדרות!$E$5),"",IF(H960-1&lt;הגדרות!$E$8*(הגדרות!$E$7+1),INT((H960-1)/(הגדרות!$E$7+1)),הגדרות!$E$8+INT((H960-1-הגדרות!$E$8*(הגדרות!$E$7+1))/הגדרות!$E$7)))</f>
        <v/>
      </c>
      <c r="J960" s="0" t="str">
        <f aca="false">IF(I960="","",IF(H960-1&lt;הגדרות!$E$8*(הגדרות!$E$7+1),MOD(H960-1,הגדרות!$E$7+1),MOD(H960-1-הגדרות!$E$8*(הגדרות!$E$7+1),הגדרות!$E$7)))</f>
        <v/>
      </c>
      <c r="K960" s="0" t="str">
        <f aca="false">IF(I960="","",J960*הגדרות!$E$6+I960+1)</f>
        <v/>
      </c>
      <c r="L960" s="0" t="str">
        <f aca="false">IF(K960="","",MATCH(K960,$F$2:$F$5001,0))</f>
        <v/>
      </c>
      <c r="M960" s="0" t="str">
        <f aca="false">IF(I960="","",INDEX(הגדרות!$A$2:$A$21,MOD(I960+הגדרות!$E$9,הגדרות!$E$6)+1))</f>
        <v/>
      </c>
    </row>
    <row r="961" customFormat="false" ht="15" hidden="false" customHeight="false" outlineLevel="0" collapsed="false">
      <c r="A961" s="0" t="str">
        <f aca="false">IF('הדבקת לידים'!A961="","",IF(ISNUMBER('הדבקת לידים'!A961),IF(הגדרות!$E$2&gt;0,TEXT('הדבקת לידים'!A961,REPT("0",הגדרות!$E$2)),TEXT('הדבקת לידים'!A961,"0")),TRIM('הדבקת לידים'!A961)))</f>
        <v/>
      </c>
      <c r="B961" s="0" t="str">
        <f aca="false">IF('הדבקת לידים'!B961="","",IF(ISNUMBER('הדבקת לידים'!B961),IF(הגדרות!$E$3&gt;0,TEXT('הדבקת לידים'!B961,REPT("0",הגדרות!$E$3)),TEXT('הדבקת לידים'!B961,"0")),TRIM('הדבקת לידים'!B961)))</f>
        <v/>
      </c>
      <c r="C961" s="0" t="n">
        <f aca="false">IF(OR(A961&lt;&gt;"",B961&lt;&gt;""),1,0)</f>
        <v>0</v>
      </c>
      <c r="D961" s="0" t="str">
        <f aca="false">IF(C961=1,MOD(ABS(SIN(ROW()*12.9898+'הדבקת לידים'!$F$2*78.233+IFERROR(--RIGHT(A961,6),LEN(A961))*0.0137+IFERROR(--RIGHT(B961,6),LEN(B961))*0.0071))*43758.5453,1),"")</f>
        <v/>
      </c>
      <c r="E961" s="0" t="str">
        <f aca="false">IF(C961=1,INT(MOD(ABS(SIN(D961*7919.123+ROW()*0.618+'הדבקת לידים'!$F$2*1.3))*43758.5453,1)*1000000)*10000+ROW(),"")</f>
        <v/>
      </c>
      <c r="F961" s="0" t="str">
        <f aca="false">IF(E961="","",RANK(E961,$E$2:$E$5001,1))</f>
        <v/>
      </c>
      <c r="G961" s="0" t="n">
        <f aca="false">IF(A961="",0,IF(SUMPRODUCT(--($A$2:$A$5001=A961))&gt;1,1,0))</f>
        <v>0</v>
      </c>
      <c r="H961" s="0" t="n">
        <f aca="false">ROW()-1</f>
        <v>960</v>
      </c>
      <c r="I961" s="0" t="str">
        <f aca="false">IF(OR(הגדרות!$E$6=0,H961&gt;הגדרות!$E$5),"",IF(H961-1&lt;הגדרות!$E$8*(הגדרות!$E$7+1),INT((H961-1)/(הגדרות!$E$7+1)),הגדרות!$E$8+INT((H961-1-הגדרות!$E$8*(הגדרות!$E$7+1))/הגדרות!$E$7)))</f>
        <v/>
      </c>
      <c r="J961" s="0" t="str">
        <f aca="false">IF(I961="","",IF(H961-1&lt;הגדרות!$E$8*(הגדרות!$E$7+1),MOD(H961-1,הגדרות!$E$7+1),MOD(H961-1-הגדרות!$E$8*(הגדרות!$E$7+1),הגדרות!$E$7)))</f>
        <v/>
      </c>
      <c r="K961" s="0" t="str">
        <f aca="false">IF(I961="","",J961*הגדרות!$E$6+I961+1)</f>
        <v/>
      </c>
      <c r="L961" s="0" t="str">
        <f aca="false">IF(K961="","",MATCH(K961,$F$2:$F$5001,0))</f>
        <v/>
      </c>
      <c r="M961" s="0" t="str">
        <f aca="false">IF(I961="","",INDEX(הגדרות!$A$2:$A$21,MOD(I961+הגדרות!$E$9,הגדרות!$E$6)+1))</f>
        <v/>
      </c>
    </row>
    <row r="962" customFormat="false" ht="15" hidden="false" customHeight="false" outlineLevel="0" collapsed="false">
      <c r="A962" s="0" t="str">
        <f aca="false">IF('הדבקת לידים'!A962="","",IF(ISNUMBER('הדבקת לידים'!A962),IF(הגדרות!$E$2&gt;0,TEXT('הדבקת לידים'!A962,REPT("0",הגדרות!$E$2)),TEXT('הדבקת לידים'!A962,"0")),TRIM('הדבקת לידים'!A962)))</f>
        <v/>
      </c>
      <c r="B962" s="0" t="str">
        <f aca="false">IF('הדבקת לידים'!B962="","",IF(ISNUMBER('הדבקת לידים'!B962),IF(הגדרות!$E$3&gt;0,TEXT('הדבקת לידים'!B962,REPT("0",הגדרות!$E$3)),TEXT('הדבקת לידים'!B962,"0")),TRIM('הדבקת לידים'!B962)))</f>
        <v/>
      </c>
      <c r="C962" s="0" t="n">
        <f aca="false">IF(OR(A962&lt;&gt;"",B962&lt;&gt;""),1,0)</f>
        <v>0</v>
      </c>
      <c r="D962" s="0" t="str">
        <f aca="false">IF(C962=1,MOD(ABS(SIN(ROW()*12.9898+'הדבקת לידים'!$F$2*78.233+IFERROR(--RIGHT(A962,6),LEN(A962))*0.0137+IFERROR(--RIGHT(B962,6),LEN(B962))*0.0071))*43758.5453,1),"")</f>
        <v/>
      </c>
      <c r="E962" s="0" t="str">
        <f aca="false">IF(C962=1,INT(MOD(ABS(SIN(D962*7919.123+ROW()*0.618+'הדבקת לידים'!$F$2*1.3))*43758.5453,1)*1000000)*10000+ROW(),"")</f>
        <v/>
      </c>
      <c r="F962" s="0" t="str">
        <f aca="false">IF(E962="","",RANK(E962,$E$2:$E$5001,1))</f>
        <v/>
      </c>
      <c r="G962" s="0" t="n">
        <f aca="false">IF(A962="",0,IF(SUMPRODUCT(--($A$2:$A$5001=A962))&gt;1,1,0))</f>
        <v>0</v>
      </c>
      <c r="H962" s="0" t="n">
        <f aca="false">ROW()-1</f>
        <v>961</v>
      </c>
      <c r="I962" s="0" t="str">
        <f aca="false">IF(OR(הגדרות!$E$6=0,H962&gt;הגדרות!$E$5),"",IF(H962-1&lt;הגדרות!$E$8*(הגדרות!$E$7+1),INT((H962-1)/(הגדרות!$E$7+1)),הגדרות!$E$8+INT((H962-1-הגדרות!$E$8*(הגדרות!$E$7+1))/הגדרות!$E$7)))</f>
        <v/>
      </c>
      <c r="J962" s="0" t="str">
        <f aca="false">IF(I962="","",IF(H962-1&lt;הגדרות!$E$8*(הגדרות!$E$7+1),MOD(H962-1,הגדרות!$E$7+1),MOD(H962-1-הגדרות!$E$8*(הגדרות!$E$7+1),הגדרות!$E$7)))</f>
        <v/>
      </c>
      <c r="K962" s="0" t="str">
        <f aca="false">IF(I962="","",J962*הגדרות!$E$6+I962+1)</f>
        <v/>
      </c>
      <c r="L962" s="0" t="str">
        <f aca="false">IF(K962="","",MATCH(K962,$F$2:$F$5001,0))</f>
        <v/>
      </c>
      <c r="M962" s="0" t="str">
        <f aca="false">IF(I962="","",INDEX(הגדרות!$A$2:$A$21,MOD(I962+הגדרות!$E$9,הגדרות!$E$6)+1))</f>
        <v/>
      </c>
    </row>
    <row r="963" customFormat="false" ht="15" hidden="false" customHeight="false" outlineLevel="0" collapsed="false">
      <c r="A963" s="0" t="str">
        <f aca="false">IF('הדבקת לידים'!A963="","",IF(ISNUMBER('הדבקת לידים'!A963),IF(הגדרות!$E$2&gt;0,TEXT('הדבקת לידים'!A963,REPT("0",הגדרות!$E$2)),TEXT('הדבקת לידים'!A963,"0")),TRIM('הדבקת לידים'!A963)))</f>
        <v/>
      </c>
      <c r="B963" s="0" t="str">
        <f aca="false">IF('הדבקת לידים'!B963="","",IF(ISNUMBER('הדבקת לידים'!B963),IF(הגדרות!$E$3&gt;0,TEXT('הדבקת לידים'!B963,REPT("0",הגדרות!$E$3)),TEXT('הדבקת לידים'!B963,"0")),TRIM('הדבקת לידים'!B963)))</f>
        <v/>
      </c>
      <c r="C963" s="0" t="n">
        <f aca="false">IF(OR(A963&lt;&gt;"",B963&lt;&gt;""),1,0)</f>
        <v>0</v>
      </c>
      <c r="D963" s="0" t="str">
        <f aca="false">IF(C963=1,MOD(ABS(SIN(ROW()*12.9898+'הדבקת לידים'!$F$2*78.233+IFERROR(--RIGHT(A963,6),LEN(A963))*0.0137+IFERROR(--RIGHT(B963,6),LEN(B963))*0.0071))*43758.5453,1),"")</f>
        <v/>
      </c>
      <c r="E963" s="0" t="str">
        <f aca="false">IF(C963=1,INT(MOD(ABS(SIN(D963*7919.123+ROW()*0.618+'הדבקת לידים'!$F$2*1.3))*43758.5453,1)*1000000)*10000+ROW(),"")</f>
        <v/>
      </c>
      <c r="F963" s="0" t="str">
        <f aca="false">IF(E963="","",RANK(E963,$E$2:$E$5001,1))</f>
        <v/>
      </c>
      <c r="G963" s="0" t="n">
        <f aca="false">IF(A963="",0,IF(SUMPRODUCT(--($A$2:$A$5001=A963))&gt;1,1,0))</f>
        <v>0</v>
      </c>
      <c r="H963" s="0" t="n">
        <f aca="false">ROW()-1</f>
        <v>962</v>
      </c>
      <c r="I963" s="0" t="str">
        <f aca="false">IF(OR(הגדרות!$E$6=0,H963&gt;הגדרות!$E$5),"",IF(H963-1&lt;הגדרות!$E$8*(הגדרות!$E$7+1),INT((H963-1)/(הגדרות!$E$7+1)),הגדרות!$E$8+INT((H963-1-הגדרות!$E$8*(הגדרות!$E$7+1))/הגדרות!$E$7)))</f>
        <v/>
      </c>
      <c r="J963" s="0" t="str">
        <f aca="false">IF(I963="","",IF(H963-1&lt;הגדרות!$E$8*(הגדרות!$E$7+1),MOD(H963-1,הגדרות!$E$7+1),MOD(H963-1-הגדרות!$E$8*(הגדרות!$E$7+1),הגדרות!$E$7)))</f>
        <v/>
      </c>
      <c r="K963" s="0" t="str">
        <f aca="false">IF(I963="","",J963*הגדרות!$E$6+I963+1)</f>
        <v/>
      </c>
      <c r="L963" s="0" t="str">
        <f aca="false">IF(K963="","",MATCH(K963,$F$2:$F$5001,0))</f>
        <v/>
      </c>
      <c r="M963" s="0" t="str">
        <f aca="false">IF(I963="","",INDEX(הגדרות!$A$2:$A$21,MOD(I963+הגדרות!$E$9,הגדרות!$E$6)+1))</f>
        <v/>
      </c>
    </row>
    <row r="964" customFormat="false" ht="15" hidden="false" customHeight="false" outlineLevel="0" collapsed="false">
      <c r="A964" s="0" t="str">
        <f aca="false">IF('הדבקת לידים'!A964="","",IF(ISNUMBER('הדבקת לידים'!A964),IF(הגדרות!$E$2&gt;0,TEXT('הדבקת לידים'!A964,REPT("0",הגדרות!$E$2)),TEXT('הדבקת לידים'!A964,"0")),TRIM('הדבקת לידים'!A964)))</f>
        <v/>
      </c>
      <c r="B964" s="0" t="str">
        <f aca="false">IF('הדבקת לידים'!B964="","",IF(ISNUMBER('הדבקת לידים'!B964),IF(הגדרות!$E$3&gt;0,TEXT('הדבקת לידים'!B964,REPT("0",הגדרות!$E$3)),TEXT('הדבקת לידים'!B964,"0")),TRIM('הדבקת לידים'!B964)))</f>
        <v/>
      </c>
      <c r="C964" s="0" t="n">
        <f aca="false">IF(OR(A964&lt;&gt;"",B964&lt;&gt;""),1,0)</f>
        <v>0</v>
      </c>
      <c r="D964" s="0" t="str">
        <f aca="false">IF(C964=1,MOD(ABS(SIN(ROW()*12.9898+'הדבקת לידים'!$F$2*78.233+IFERROR(--RIGHT(A964,6),LEN(A964))*0.0137+IFERROR(--RIGHT(B964,6),LEN(B964))*0.0071))*43758.5453,1),"")</f>
        <v/>
      </c>
      <c r="E964" s="0" t="str">
        <f aca="false">IF(C964=1,INT(MOD(ABS(SIN(D964*7919.123+ROW()*0.618+'הדבקת לידים'!$F$2*1.3))*43758.5453,1)*1000000)*10000+ROW(),"")</f>
        <v/>
      </c>
      <c r="F964" s="0" t="str">
        <f aca="false">IF(E964="","",RANK(E964,$E$2:$E$5001,1))</f>
        <v/>
      </c>
      <c r="G964" s="0" t="n">
        <f aca="false">IF(A964="",0,IF(SUMPRODUCT(--($A$2:$A$5001=A964))&gt;1,1,0))</f>
        <v>0</v>
      </c>
      <c r="H964" s="0" t="n">
        <f aca="false">ROW()-1</f>
        <v>963</v>
      </c>
      <c r="I964" s="0" t="str">
        <f aca="false">IF(OR(הגדרות!$E$6=0,H964&gt;הגדרות!$E$5),"",IF(H964-1&lt;הגדרות!$E$8*(הגדרות!$E$7+1),INT((H964-1)/(הגדרות!$E$7+1)),הגדרות!$E$8+INT((H964-1-הגדרות!$E$8*(הגדרות!$E$7+1))/הגדרות!$E$7)))</f>
        <v/>
      </c>
      <c r="J964" s="0" t="str">
        <f aca="false">IF(I964="","",IF(H964-1&lt;הגדרות!$E$8*(הגדרות!$E$7+1),MOD(H964-1,הגדרות!$E$7+1),MOD(H964-1-הגדרות!$E$8*(הגדרות!$E$7+1),הגדרות!$E$7)))</f>
        <v/>
      </c>
      <c r="K964" s="0" t="str">
        <f aca="false">IF(I964="","",J964*הגדרות!$E$6+I964+1)</f>
        <v/>
      </c>
      <c r="L964" s="0" t="str">
        <f aca="false">IF(K964="","",MATCH(K964,$F$2:$F$5001,0))</f>
        <v/>
      </c>
      <c r="M964" s="0" t="str">
        <f aca="false">IF(I964="","",INDEX(הגדרות!$A$2:$A$21,MOD(I964+הגדרות!$E$9,הגדרות!$E$6)+1))</f>
        <v/>
      </c>
    </row>
    <row r="965" customFormat="false" ht="15" hidden="false" customHeight="false" outlineLevel="0" collapsed="false">
      <c r="A965" s="0" t="str">
        <f aca="false">IF('הדבקת לידים'!A965="","",IF(ISNUMBER('הדבקת לידים'!A965),IF(הגדרות!$E$2&gt;0,TEXT('הדבקת לידים'!A965,REPT("0",הגדרות!$E$2)),TEXT('הדבקת לידים'!A965,"0")),TRIM('הדבקת לידים'!A965)))</f>
        <v/>
      </c>
      <c r="B965" s="0" t="str">
        <f aca="false">IF('הדבקת לידים'!B965="","",IF(ISNUMBER('הדבקת לידים'!B965),IF(הגדרות!$E$3&gt;0,TEXT('הדבקת לידים'!B965,REPT("0",הגדרות!$E$3)),TEXT('הדבקת לידים'!B965,"0")),TRIM('הדבקת לידים'!B965)))</f>
        <v/>
      </c>
      <c r="C965" s="0" t="n">
        <f aca="false">IF(OR(A965&lt;&gt;"",B965&lt;&gt;""),1,0)</f>
        <v>0</v>
      </c>
      <c r="D965" s="0" t="str">
        <f aca="false">IF(C965=1,MOD(ABS(SIN(ROW()*12.9898+'הדבקת לידים'!$F$2*78.233+IFERROR(--RIGHT(A965,6),LEN(A965))*0.0137+IFERROR(--RIGHT(B965,6),LEN(B965))*0.0071))*43758.5453,1),"")</f>
        <v/>
      </c>
      <c r="E965" s="0" t="str">
        <f aca="false">IF(C965=1,INT(MOD(ABS(SIN(D965*7919.123+ROW()*0.618+'הדבקת לידים'!$F$2*1.3))*43758.5453,1)*1000000)*10000+ROW(),"")</f>
        <v/>
      </c>
      <c r="F965" s="0" t="str">
        <f aca="false">IF(E965="","",RANK(E965,$E$2:$E$5001,1))</f>
        <v/>
      </c>
      <c r="G965" s="0" t="n">
        <f aca="false">IF(A965="",0,IF(SUMPRODUCT(--($A$2:$A$5001=A965))&gt;1,1,0))</f>
        <v>0</v>
      </c>
      <c r="H965" s="0" t="n">
        <f aca="false">ROW()-1</f>
        <v>964</v>
      </c>
      <c r="I965" s="0" t="str">
        <f aca="false">IF(OR(הגדרות!$E$6=0,H965&gt;הגדרות!$E$5),"",IF(H965-1&lt;הגדרות!$E$8*(הגדרות!$E$7+1),INT((H965-1)/(הגדרות!$E$7+1)),הגדרות!$E$8+INT((H965-1-הגדרות!$E$8*(הגדרות!$E$7+1))/הגדרות!$E$7)))</f>
        <v/>
      </c>
      <c r="J965" s="0" t="str">
        <f aca="false">IF(I965="","",IF(H965-1&lt;הגדרות!$E$8*(הגדרות!$E$7+1),MOD(H965-1,הגדרות!$E$7+1),MOD(H965-1-הגדרות!$E$8*(הגדרות!$E$7+1),הגדרות!$E$7)))</f>
        <v/>
      </c>
      <c r="K965" s="0" t="str">
        <f aca="false">IF(I965="","",J965*הגדרות!$E$6+I965+1)</f>
        <v/>
      </c>
      <c r="L965" s="0" t="str">
        <f aca="false">IF(K965="","",MATCH(K965,$F$2:$F$5001,0))</f>
        <v/>
      </c>
      <c r="M965" s="0" t="str">
        <f aca="false">IF(I965="","",INDEX(הגדרות!$A$2:$A$21,MOD(I965+הגדרות!$E$9,הגדרות!$E$6)+1))</f>
        <v/>
      </c>
    </row>
    <row r="966" customFormat="false" ht="15" hidden="false" customHeight="false" outlineLevel="0" collapsed="false">
      <c r="A966" s="0" t="str">
        <f aca="false">IF('הדבקת לידים'!A966="","",IF(ISNUMBER('הדבקת לידים'!A966),IF(הגדרות!$E$2&gt;0,TEXT('הדבקת לידים'!A966,REPT("0",הגדרות!$E$2)),TEXT('הדבקת לידים'!A966,"0")),TRIM('הדבקת לידים'!A966)))</f>
        <v/>
      </c>
      <c r="B966" s="0" t="str">
        <f aca="false">IF('הדבקת לידים'!B966="","",IF(ISNUMBER('הדבקת לידים'!B966),IF(הגדרות!$E$3&gt;0,TEXT('הדבקת לידים'!B966,REPT("0",הגדרות!$E$3)),TEXT('הדבקת לידים'!B966,"0")),TRIM('הדבקת לידים'!B966)))</f>
        <v/>
      </c>
      <c r="C966" s="0" t="n">
        <f aca="false">IF(OR(A966&lt;&gt;"",B966&lt;&gt;""),1,0)</f>
        <v>0</v>
      </c>
      <c r="D966" s="0" t="str">
        <f aca="false">IF(C966=1,MOD(ABS(SIN(ROW()*12.9898+'הדבקת לידים'!$F$2*78.233+IFERROR(--RIGHT(A966,6),LEN(A966))*0.0137+IFERROR(--RIGHT(B966,6),LEN(B966))*0.0071))*43758.5453,1),"")</f>
        <v/>
      </c>
      <c r="E966" s="0" t="str">
        <f aca="false">IF(C966=1,INT(MOD(ABS(SIN(D966*7919.123+ROW()*0.618+'הדבקת לידים'!$F$2*1.3))*43758.5453,1)*1000000)*10000+ROW(),"")</f>
        <v/>
      </c>
      <c r="F966" s="0" t="str">
        <f aca="false">IF(E966="","",RANK(E966,$E$2:$E$5001,1))</f>
        <v/>
      </c>
      <c r="G966" s="0" t="n">
        <f aca="false">IF(A966="",0,IF(SUMPRODUCT(--($A$2:$A$5001=A966))&gt;1,1,0))</f>
        <v>0</v>
      </c>
      <c r="H966" s="0" t="n">
        <f aca="false">ROW()-1</f>
        <v>965</v>
      </c>
      <c r="I966" s="0" t="str">
        <f aca="false">IF(OR(הגדרות!$E$6=0,H966&gt;הגדרות!$E$5),"",IF(H966-1&lt;הגדרות!$E$8*(הגדרות!$E$7+1),INT((H966-1)/(הגדרות!$E$7+1)),הגדרות!$E$8+INT((H966-1-הגדרות!$E$8*(הגדרות!$E$7+1))/הגדרות!$E$7)))</f>
        <v/>
      </c>
      <c r="J966" s="0" t="str">
        <f aca="false">IF(I966="","",IF(H966-1&lt;הגדרות!$E$8*(הגדרות!$E$7+1),MOD(H966-1,הגדרות!$E$7+1),MOD(H966-1-הגדרות!$E$8*(הגדרות!$E$7+1),הגדרות!$E$7)))</f>
        <v/>
      </c>
      <c r="K966" s="0" t="str">
        <f aca="false">IF(I966="","",J966*הגדרות!$E$6+I966+1)</f>
        <v/>
      </c>
      <c r="L966" s="0" t="str">
        <f aca="false">IF(K966="","",MATCH(K966,$F$2:$F$5001,0))</f>
        <v/>
      </c>
      <c r="M966" s="0" t="str">
        <f aca="false">IF(I966="","",INDEX(הגדרות!$A$2:$A$21,MOD(I966+הגדרות!$E$9,הגדרות!$E$6)+1))</f>
        <v/>
      </c>
    </row>
    <row r="967" customFormat="false" ht="15" hidden="false" customHeight="false" outlineLevel="0" collapsed="false">
      <c r="A967" s="0" t="str">
        <f aca="false">IF('הדבקת לידים'!A967="","",IF(ISNUMBER('הדבקת לידים'!A967),IF(הגדרות!$E$2&gt;0,TEXT('הדבקת לידים'!A967,REPT("0",הגדרות!$E$2)),TEXT('הדבקת לידים'!A967,"0")),TRIM('הדבקת לידים'!A967)))</f>
        <v/>
      </c>
      <c r="B967" s="0" t="str">
        <f aca="false">IF('הדבקת לידים'!B967="","",IF(ISNUMBER('הדבקת לידים'!B967),IF(הגדרות!$E$3&gt;0,TEXT('הדבקת לידים'!B967,REPT("0",הגדרות!$E$3)),TEXT('הדבקת לידים'!B967,"0")),TRIM('הדבקת לידים'!B967)))</f>
        <v/>
      </c>
      <c r="C967" s="0" t="n">
        <f aca="false">IF(OR(A967&lt;&gt;"",B967&lt;&gt;""),1,0)</f>
        <v>0</v>
      </c>
      <c r="D967" s="0" t="str">
        <f aca="false">IF(C967=1,MOD(ABS(SIN(ROW()*12.9898+'הדבקת לידים'!$F$2*78.233+IFERROR(--RIGHT(A967,6),LEN(A967))*0.0137+IFERROR(--RIGHT(B967,6),LEN(B967))*0.0071))*43758.5453,1),"")</f>
        <v/>
      </c>
      <c r="E967" s="0" t="str">
        <f aca="false">IF(C967=1,INT(MOD(ABS(SIN(D967*7919.123+ROW()*0.618+'הדבקת לידים'!$F$2*1.3))*43758.5453,1)*1000000)*10000+ROW(),"")</f>
        <v/>
      </c>
      <c r="F967" s="0" t="str">
        <f aca="false">IF(E967="","",RANK(E967,$E$2:$E$5001,1))</f>
        <v/>
      </c>
      <c r="G967" s="0" t="n">
        <f aca="false">IF(A967="",0,IF(SUMPRODUCT(--($A$2:$A$5001=A967))&gt;1,1,0))</f>
        <v>0</v>
      </c>
      <c r="H967" s="0" t="n">
        <f aca="false">ROW()-1</f>
        <v>966</v>
      </c>
      <c r="I967" s="0" t="str">
        <f aca="false">IF(OR(הגדרות!$E$6=0,H967&gt;הגדרות!$E$5),"",IF(H967-1&lt;הגדרות!$E$8*(הגדרות!$E$7+1),INT((H967-1)/(הגדרות!$E$7+1)),הגדרות!$E$8+INT((H967-1-הגדרות!$E$8*(הגדרות!$E$7+1))/הגדרות!$E$7)))</f>
        <v/>
      </c>
      <c r="J967" s="0" t="str">
        <f aca="false">IF(I967="","",IF(H967-1&lt;הגדרות!$E$8*(הגדרות!$E$7+1),MOD(H967-1,הגדרות!$E$7+1),MOD(H967-1-הגדרות!$E$8*(הגדרות!$E$7+1),הגדרות!$E$7)))</f>
        <v/>
      </c>
      <c r="K967" s="0" t="str">
        <f aca="false">IF(I967="","",J967*הגדרות!$E$6+I967+1)</f>
        <v/>
      </c>
      <c r="L967" s="0" t="str">
        <f aca="false">IF(K967="","",MATCH(K967,$F$2:$F$5001,0))</f>
        <v/>
      </c>
      <c r="M967" s="0" t="str">
        <f aca="false">IF(I967="","",INDEX(הגדרות!$A$2:$A$21,MOD(I967+הגדרות!$E$9,הגדרות!$E$6)+1))</f>
        <v/>
      </c>
    </row>
    <row r="968" customFormat="false" ht="15" hidden="false" customHeight="false" outlineLevel="0" collapsed="false">
      <c r="A968" s="0" t="str">
        <f aca="false">IF('הדבקת לידים'!A968="","",IF(ISNUMBER('הדבקת לידים'!A968),IF(הגדרות!$E$2&gt;0,TEXT('הדבקת לידים'!A968,REPT("0",הגדרות!$E$2)),TEXT('הדבקת לידים'!A968,"0")),TRIM('הדבקת לידים'!A968)))</f>
        <v/>
      </c>
      <c r="B968" s="0" t="str">
        <f aca="false">IF('הדבקת לידים'!B968="","",IF(ISNUMBER('הדבקת לידים'!B968),IF(הגדרות!$E$3&gt;0,TEXT('הדבקת לידים'!B968,REPT("0",הגדרות!$E$3)),TEXT('הדבקת לידים'!B968,"0")),TRIM('הדבקת לידים'!B968)))</f>
        <v/>
      </c>
      <c r="C968" s="0" t="n">
        <f aca="false">IF(OR(A968&lt;&gt;"",B968&lt;&gt;""),1,0)</f>
        <v>0</v>
      </c>
      <c r="D968" s="0" t="str">
        <f aca="false">IF(C968=1,MOD(ABS(SIN(ROW()*12.9898+'הדבקת לידים'!$F$2*78.233+IFERROR(--RIGHT(A968,6),LEN(A968))*0.0137+IFERROR(--RIGHT(B968,6),LEN(B968))*0.0071))*43758.5453,1),"")</f>
        <v/>
      </c>
      <c r="E968" s="0" t="str">
        <f aca="false">IF(C968=1,INT(MOD(ABS(SIN(D968*7919.123+ROW()*0.618+'הדבקת לידים'!$F$2*1.3))*43758.5453,1)*1000000)*10000+ROW(),"")</f>
        <v/>
      </c>
      <c r="F968" s="0" t="str">
        <f aca="false">IF(E968="","",RANK(E968,$E$2:$E$5001,1))</f>
        <v/>
      </c>
      <c r="G968" s="0" t="n">
        <f aca="false">IF(A968="",0,IF(SUMPRODUCT(--($A$2:$A$5001=A968))&gt;1,1,0))</f>
        <v>0</v>
      </c>
      <c r="H968" s="0" t="n">
        <f aca="false">ROW()-1</f>
        <v>967</v>
      </c>
      <c r="I968" s="0" t="str">
        <f aca="false">IF(OR(הגדרות!$E$6=0,H968&gt;הגדרות!$E$5),"",IF(H968-1&lt;הגדרות!$E$8*(הגדרות!$E$7+1),INT((H968-1)/(הגדרות!$E$7+1)),הגדרות!$E$8+INT((H968-1-הגדרות!$E$8*(הגדרות!$E$7+1))/הגדרות!$E$7)))</f>
        <v/>
      </c>
      <c r="J968" s="0" t="str">
        <f aca="false">IF(I968="","",IF(H968-1&lt;הגדרות!$E$8*(הגדרות!$E$7+1),MOD(H968-1,הגדרות!$E$7+1),MOD(H968-1-הגדרות!$E$8*(הגדרות!$E$7+1),הגדרות!$E$7)))</f>
        <v/>
      </c>
      <c r="K968" s="0" t="str">
        <f aca="false">IF(I968="","",J968*הגדרות!$E$6+I968+1)</f>
        <v/>
      </c>
      <c r="L968" s="0" t="str">
        <f aca="false">IF(K968="","",MATCH(K968,$F$2:$F$5001,0))</f>
        <v/>
      </c>
      <c r="M968" s="0" t="str">
        <f aca="false">IF(I968="","",INDEX(הגדרות!$A$2:$A$21,MOD(I968+הגדרות!$E$9,הגדרות!$E$6)+1))</f>
        <v/>
      </c>
    </row>
    <row r="969" customFormat="false" ht="15" hidden="false" customHeight="false" outlineLevel="0" collapsed="false">
      <c r="A969" s="0" t="str">
        <f aca="false">IF('הדבקת לידים'!A969="","",IF(ISNUMBER('הדבקת לידים'!A969),IF(הגדרות!$E$2&gt;0,TEXT('הדבקת לידים'!A969,REPT("0",הגדרות!$E$2)),TEXT('הדבקת לידים'!A969,"0")),TRIM('הדבקת לידים'!A969)))</f>
        <v/>
      </c>
      <c r="B969" s="0" t="str">
        <f aca="false">IF('הדבקת לידים'!B969="","",IF(ISNUMBER('הדבקת לידים'!B969),IF(הגדרות!$E$3&gt;0,TEXT('הדבקת לידים'!B969,REPT("0",הגדרות!$E$3)),TEXT('הדבקת לידים'!B969,"0")),TRIM('הדבקת לידים'!B969)))</f>
        <v/>
      </c>
      <c r="C969" s="0" t="n">
        <f aca="false">IF(OR(A969&lt;&gt;"",B969&lt;&gt;""),1,0)</f>
        <v>0</v>
      </c>
      <c r="D969" s="0" t="str">
        <f aca="false">IF(C969=1,MOD(ABS(SIN(ROW()*12.9898+'הדבקת לידים'!$F$2*78.233+IFERROR(--RIGHT(A969,6),LEN(A969))*0.0137+IFERROR(--RIGHT(B969,6),LEN(B969))*0.0071))*43758.5453,1),"")</f>
        <v/>
      </c>
      <c r="E969" s="0" t="str">
        <f aca="false">IF(C969=1,INT(MOD(ABS(SIN(D969*7919.123+ROW()*0.618+'הדבקת לידים'!$F$2*1.3))*43758.5453,1)*1000000)*10000+ROW(),"")</f>
        <v/>
      </c>
      <c r="F969" s="0" t="str">
        <f aca="false">IF(E969="","",RANK(E969,$E$2:$E$5001,1))</f>
        <v/>
      </c>
      <c r="G969" s="0" t="n">
        <f aca="false">IF(A969="",0,IF(SUMPRODUCT(--($A$2:$A$5001=A969))&gt;1,1,0))</f>
        <v>0</v>
      </c>
      <c r="H969" s="0" t="n">
        <f aca="false">ROW()-1</f>
        <v>968</v>
      </c>
      <c r="I969" s="0" t="str">
        <f aca="false">IF(OR(הגדרות!$E$6=0,H969&gt;הגדרות!$E$5),"",IF(H969-1&lt;הגדרות!$E$8*(הגדרות!$E$7+1),INT((H969-1)/(הגדרות!$E$7+1)),הגדרות!$E$8+INT((H969-1-הגדרות!$E$8*(הגדרות!$E$7+1))/הגדרות!$E$7)))</f>
        <v/>
      </c>
      <c r="J969" s="0" t="str">
        <f aca="false">IF(I969="","",IF(H969-1&lt;הגדרות!$E$8*(הגדרות!$E$7+1),MOD(H969-1,הגדרות!$E$7+1),MOD(H969-1-הגדרות!$E$8*(הגדרות!$E$7+1),הגדרות!$E$7)))</f>
        <v/>
      </c>
      <c r="K969" s="0" t="str">
        <f aca="false">IF(I969="","",J969*הגדרות!$E$6+I969+1)</f>
        <v/>
      </c>
      <c r="L969" s="0" t="str">
        <f aca="false">IF(K969="","",MATCH(K969,$F$2:$F$5001,0))</f>
        <v/>
      </c>
      <c r="M969" s="0" t="str">
        <f aca="false">IF(I969="","",INDEX(הגדרות!$A$2:$A$21,MOD(I969+הגדרות!$E$9,הגדרות!$E$6)+1))</f>
        <v/>
      </c>
    </row>
    <row r="970" customFormat="false" ht="15" hidden="false" customHeight="false" outlineLevel="0" collapsed="false">
      <c r="A970" s="0" t="str">
        <f aca="false">IF('הדבקת לידים'!A970="","",IF(ISNUMBER('הדבקת לידים'!A970),IF(הגדרות!$E$2&gt;0,TEXT('הדבקת לידים'!A970,REPT("0",הגדרות!$E$2)),TEXT('הדבקת לידים'!A970,"0")),TRIM('הדבקת לידים'!A970)))</f>
        <v/>
      </c>
      <c r="B970" s="0" t="str">
        <f aca="false">IF('הדבקת לידים'!B970="","",IF(ISNUMBER('הדבקת לידים'!B970),IF(הגדרות!$E$3&gt;0,TEXT('הדבקת לידים'!B970,REPT("0",הגדרות!$E$3)),TEXT('הדבקת לידים'!B970,"0")),TRIM('הדבקת לידים'!B970)))</f>
        <v/>
      </c>
      <c r="C970" s="0" t="n">
        <f aca="false">IF(OR(A970&lt;&gt;"",B970&lt;&gt;""),1,0)</f>
        <v>0</v>
      </c>
      <c r="D970" s="0" t="str">
        <f aca="false">IF(C970=1,MOD(ABS(SIN(ROW()*12.9898+'הדבקת לידים'!$F$2*78.233+IFERROR(--RIGHT(A970,6),LEN(A970))*0.0137+IFERROR(--RIGHT(B970,6),LEN(B970))*0.0071))*43758.5453,1),"")</f>
        <v/>
      </c>
      <c r="E970" s="0" t="str">
        <f aca="false">IF(C970=1,INT(MOD(ABS(SIN(D970*7919.123+ROW()*0.618+'הדבקת לידים'!$F$2*1.3))*43758.5453,1)*1000000)*10000+ROW(),"")</f>
        <v/>
      </c>
      <c r="F970" s="0" t="str">
        <f aca="false">IF(E970="","",RANK(E970,$E$2:$E$5001,1))</f>
        <v/>
      </c>
      <c r="G970" s="0" t="n">
        <f aca="false">IF(A970="",0,IF(SUMPRODUCT(--($A$2:$A$5001=A970))&gt;1,1,0))</f>
        <v>0</v>
      </c>
      <c r="H970" s="0" t="n">
        <f aca="false">ROW()-1</f>
        <v>969</v>
      </c>
      <c r="I970" s="0" t="str">
        <f aca="false">IF(OR(הגדרות!$E$6=0,H970&gt;הגדרות!$E$5),"",IF(H970-1&lt;הגדרות!$E$8*(הגדרות!$E$7+1),INT((H970-1)/(הגדרות!$E$7+1)),הגדרות!$E$8+INT((H970-1-הגדרות!$E$8*(הגדרות!$E$7+1))/הגדרות!$E$7)))</f>
        <v/>
      </c>
      <c r="J970" s="0" t="str">
        <f aca="false">IF(I970="","",IF(H970-1&lt;הגדרות!$E$8*(הגדרות!$E$7+1),MOD(H970-1,הגדרות!$E$7+1),MOD(H970-1-הגדרות!$E$8*(הגדרות!$E$7+1),הגדרות!$E$7)))</f>
        <v/>
      </c>
      <c r="K970" s="0" t="str">
        <f aca="false">IF(I970="","",J970*הגדרות!$E$6+I970+1)</f>
        <v/>
      </c>
      <c r="L970" s="0" t="str">
        <f aca="false">IF(K970="","",MATCH(K970,$F$2:$F$5001,0))</f>
        <v/>
      </c>
      <c r="M970" s="0" t="str">
        <f aca="false">IF(I970="","",INDEX(הגדרות!$A$2:$A$21,MOD(I970+הגדרות!$E$9,הגדרות!$E$6)+1))</f>
        <v/>
      </c>
    </row>
    <row r="971" customFormat="false" ht="15" hidden="false" customHeight="false" outlineLevel="0" collapsed="false">
      <c r="A971" s="0" t="str">
        <f aca="false">IF('הדבקת לידים'!A971="","",IF(ISNUMBER('הדבקת לידים'!A971),IF(הגדרות!$E$2&gt;0,TEXT('הדבקת לידים'!A971,REPT("0",הגדרות!$E$2)),TEXT('הדבקת לידים'!A971,"0")),TRIM('הדבקת לידים'!A971)))</f>
        <v/>
      </c>
      <c r="B971" s="0" t="str">
        <f aca="false">IF('הדבקת לידים'!B971="","",IF(ISNUMBER('הדבקת לידים'!B971),IF(הגדרות!$E$3&gt;0,TEXT('הדבקת לידים'!B971,REPT("0",הגדרות!$E$3)),TEXT('הדבקת לידים'!B971,"0")),TRIM('הדבקת לידים'!B971)))</f>
        <v/>
      </c>
      <c r="C971" s="0" t="n">
        <f aca="false">IF(OR(A971&lt;&gt;"",B971&lt;&gt;""),1,0)</f>
        <v>0</v>
      </c>
      <c r="D971" s="0" t="str">
        <f aca="false">IF(C971=1,MOD(ABS(SIN(ROW()*12.9898+'הדבקת לידים'!$F$2*78.233+IFERROR(--RIGHT(A971,6),LEN(A971))*0.0137+IFERROR(--RIGHT(B971,6),LEN(B971))*0.0071))*43758.5453,1),"")</f>
        <v/>
      </c>
      <c r="E971" s="0" t="str">
        <f aca="false">IF(C971=1,INT(MOD(ABS(SIN(D971*7919.123+ROW()*0.618+'הדבקת לידים'!$F$2*1.3))*43758.5453,1)*1000000)*10000+ROW(),"")</f>
        <v/>
      </c>
      <c r="F971" s="0" t="str">
        <f aca="false">IF(E971="","",RANK(E971,$E$2:$E$5001,1))</f>
        <v/>
      </c>
      <c r="G971" s="0" t="n">
        <f aca="false">IF(A971="",0,IF(SUMPRODUCT(--($A$2:$A$5001=A971))&gt;1,1,0))</f>
        <v>0</v>
      </c>
      <c r="H971" s="0" t="n">
        <f aca="false">ROW()-1</f>
        <v>970</v>
      </c>
      <c r="I971" s="0" t="str">
        <f aca="false">IF(OR(הגדרות!$E$6=0,H971&gt;הגדרות!$E$5),"",IF(H971-1&lt;הגדרות!$E$8*(הגדרות!$E$7+1),INT((H971-1)/(הגדרות!$E$7+1)),הגדרות!$E$8+INT((H971-1-הגדרות!$E$8*(הגדרות!$E$7+1))/הגדרות!$E$7)))</f>
        <v/>
      </c>
      <c r="J971" s="0" t="str">
        <f aca="false">IF(I971="","",IF(H971-1&lt;הגדרות!$E$8*(הגדרות!$E$7+1),MOD(H971-1,הגדרות!$E$7+1),MOD(H971-1-הגדרות!$E$8*(הגדרות!$E$7+1),הגדרות!$E$7)))</f>
        <v/>
      </c>
      <c r="K971" s="0" t="str">
        <f aca="false">IF(I971="","",J971*הגדרות!$E$6+I971+1)</f>
        <v/>
      </c>
      <c r="L971" s="0" t="str">
        <f aca="false">IF(K971="","",MATCH(K971,$F$2:$F$5001,0))</f>
        <v/>
      </c>
      <c r="M971" s="0" t="str">
        <f aca="false">IF(I971="","",INDEX(הגדרות!$A$2:$A$21,MOD(I971+הגדרות!$E$9,הגדרות!$E$6)+1))</f>
        <v/>
      </c>
    </row>
    <row r="972" customFormat="false" ht="15" hidden="false" customHeight="false" outlineLevel="0" collapsed="false">
      <c r="A972" s="0" t="str">
        <f aca="false">IF('הדבקת לידים'!A972="","",IF(ISNUMBER('הדבקת לידים'!A972),IF(הגדרות!$E$2&gt;0,TEXT('הדבקת לידים'!A972,REPT("0",הגדרות!$E$2)),TEXT('הדבקת לידים'!A972,"0")),TRIM('הדבקת לידים'!A972)))</f>
        <v/>
      </c>
      <c r="B972" s="0" t="str">
        <f aca="false">IF('הדבקת לידים'!B972="","",IF(ISNUMBER('הדבקת לידים'!B972),IF(הגדרות!$E$3&gt;0,TEXT('הדבקת לידים'!B972,REPT("0",הגדרות!$E$3)),TEXT('הדבקת לידים'!B972,"0")),TRIM('הדבקת לידים'!B972)))</f>
        <v/>
      </c>
      <c r="C972" s="0" t="n">
        <f aca="false">IF(OR(A972&lt;&gt;"",B972&lt;&gt;""),1,0)</f>
        <v>0</v>
      </c>
      <c r="D972" s="0" t="str">
        <f aca="false">IF(C972=1,MOD(ABS(SIN(ROW()*12.9898+'הדבקת לידים'!$F$2*78.233+IFERROR(--RIGHT(A972,6),LEN(A972))*0.0137+IFERROR(--RIGHT(B972,6),LEN(B972))*0.0071))*43758.5453,1),"")</f>
        <v/>
      </c>
      <c r="E972" s="0" t="str">
        <f aca="false">IF(C972=1,INT(MOD(ABS(SIN(D972*7919.123+ROW()*0.618+'הדבקת לידים'!$F$2*1.3))*43758.5453,1)*1000000)*10000+ROW(),"")</f>
        <v/>
      </c>
      <c r="F972" s="0" t="str">
        <f aca="false">IF(E972="","",RANK(E972,$E$2:$E$5001,1))</f>
        <v/>
      </c>
      <c r="G972" s="0" t="n">
        <f aca="false">IF(A972="",0,IF(SUMPRODUCT(--($A$2:$A$5001=A972))&gt;1,1,0))</f>
        <v>0</v>
      </c>
      <c r="H972" s="0" t="n">
        <f aca="false">ROW()-1</f>
        <v>971</v>
      </c>
      <c r="I972" s="0" t="str">
        <f aca="false">IF(OR(הגדרות!$E$6=0,H972&gt;הגדרות!$E$5),"",IF(H972-1&lt;הגדרות!$E$8*(הגדרות!$E$7+1),INT((H972-1)/(הגדרות!$E$7+1)),הגדרות!$E$8+INT((H972-1-הגדרות!$E$8*(הגדרות!$E$7+1))/הגדרות!$E$7)))</f>
        <v/>
      </c>
      <c r="J972" s="0" t="str">
        <f aca="false">IF(I972="","",IF(H972-1&lt;הגדרות!$E$8*(הגדרות!$E$7+1),MOD(H972-1,הגדרות!$E$7+1),MOD(H972-1-הגדרות!$E$8*(הגדרות!$E$7+1),הגדרות!$E$7)))</f>
        <v/>
      </c>
      <c r="K972" s="0" t="str">
        <f aca="false">IF(I972="","",J972*הגדרות!$E$6+I972+1)</f>
        <v/>
      </c>
      <c r="L972" s="0" t="str">
        <f aca="false">IF(K972="","",MATCH(K972,$F$2:$F$5001,0))</f>
        <v/>
      </c>
      <c r="M972" s="0" t="str">
        <f aca="false">IF(I972="","",INDEX(הגדרות!$A$2:$A$21,MOD(I972+הגדרות!$E$9,הגדרות!$E$6)+1))</f>
        <v/>
      </c>
    </row>
    <row r="973" customFormat="false" ht="15" hidden="false" customHeight="false" outlineLevel="0" collapsed="false">
      <c r="A973" s="0" t="str">
        <f aca="false">IF('הדבקת לידים'!A973="","",IF(ISNUMBER('הדבקת לידים'!A973),IF(הגדרות!$E$2&gt;0,TEXT('הדבקת לידים'!A973,REPT("0",הגדרות!$E$2)),TEXT('הדבקת לידים'!A973,"0")),TRIM('הדבקת לידים'!A973)))</f>
        <v/>
      </c>
      <c r="B973" s="0" t="str">
        <f aca="false">IF('הדבקת לידים'!B973="","",IF(ISNUMBER('הדבקת לידים'!B973),IF(הגדרות!$E$3&gt;0,TEXT('הדבקת לידים'!B973,REPT("0",הגדרות!$E$3)),TEXT('הדבקת לידים'!B973,"0")),TRIM('הדבקת לידים'!B973)))</f>
        <v/>
      </c>
      <c r="C973" s="0" t="n">
        <f aca="false">IF(OR(A973&lt;&gt;"",B973&lt;&gt;""),1,0)</f>
        <v>0</v>
      </c>
      <c r="D973" s="0" t="str">
        <f aca="false">IF(C973=1,MOD(ABS(SIN(ROW()*12.9898+'הדבקת לידים'!$F$2*78.233+IFERROR(--RIGHT(A973,6),LEN(A973))*0.0137+IFERROR(--RIGHT(B973,6),LEN(B973))*0.0071))*43758.5453,1),"")</f>
        <v/>
      </c>
      <c r="E973" s="0" t="str">
        <f aca="false">IF(C973=1,INT(MOD(ABS(SIN(D973*7919.123+ROW()*0.618+'הדבקת לידים'!$F$2*1.3))*43758.5453,1)*1000000)*10000+ROW(),"")</f>
        <v/>
      </c>
      <c r="F973" s="0" t="str">
        <f aca="false">IF(E973="","",RANK(E973,$E$2:$E$5001,1))</f>
        <v/>
      </c>
      <c r="G973" s="0" t="n">
        <f aca="false">IF(A973="",0,IF(SUMPRODUCT(--($A$2:$A$5001=A973))&gt;1,1,0))</f>
        <v>0</v>
      </c>
      <c r="H973" s="0" t="n">
        <f aca="false">ROW()-1</f>
        <v>972</v>
      </c>
      <c r="I973" s="0" t="str">
        <f aca="false">IF(OR(הגדרות!$E$6=0,H973&gt;הגדרות!$E$5),"",IF(H973-1&lt;הגדרות!$E$8*(הגדרות!$E$7+1),INT((H973-1)/(הגדרות!$E$7+1)),הגדרות!$E$8+INT((H973-1-הגדרות!$E$8*(הגדרות!$E$7+1))/הגדרות!$E$7)))</f>
        <v/>
      </c>
      <c r="J973" s="0" t="str">
        <f aca="false">IF(I973="","",IF(H973-1&lt;הגדרות!$E$8*(הגדרות!$E$7+1),MOD(H973-1,הגדרות!$E$7+1),MOD(H973-1-הגדרות!$E$8*(הגדרות!$E$7+1),הגדרות!$E$7)))</f>
        <v/>
      </c>
      <c r="K973" s="0" t="str">
        <f aca="false">IF(I973="","",J973*הגדרות!$E$6+I973+1)</f>
        <v/>
      </c>
      <c r="L973" s="0" t="str">
        <f aca="false">IF(K973="","",MATCH(K973,$F$2:$F$5001,0))</f>
        <v/>
      </c>
      <c r="M973" s="0" t="str">
        <f aca="false">IF(I973="","",INDEX(הגדרות!$A$2:$A$21,MOD(I973+הגדרות!$E$9,הגדרות!$E$6)+1))</f>
        <v/>
      </c>
    </row>
    <row r="974" customFormat="false" ht="15" hidden="false" customHeight="false" outlineLevel="0" collapsed="false">
      <c r="A974" s="0" t="str">
        <f aca="false">IF('הדבקת לידים'!A974="","",IF(ISNUMBER('הדבקת לידים'!A974),IF(הגדרות!$E$2&gt;0,TEXT('הדבקת לידים'!A974,REPT("0",הגדרות!$E$2)),TEXT('הדבקת לידים'!A974,"0")),TRIM('הדבקת לידים'!A974)))</f>
        <v/>
      </c>
      <c r="B974" s="0" t="str">
        <f aca="false">IF('הדבקת לידים'!B974="","",IF(ISNUMBER('הדבקת לידים'!B974),IF(הגדרות!$E$3&gt;0,TEXT('הדבקת לידים'!B974,REPT("0",הגדרות!$E$3)),TEXT('הדבקת לידים'!B974,"0")),TRIM('הדבקת לידים'!B974)))</f>
        <v/>
      </c>
      <c r="C974" s="0" t="n">
        <f aca="false">IF(OR(A974&lt;&gt;"",B974&lt;&gt;""),1,0)</f>
        <v>0</v>
      </c>
      <c r="D974" s="0" t="str">
        <f aca="false">IF(C974=1,MOD(ABS(SIN(ROW()*12.9898+'הדבקת לידים'!$F$2*78.233+IFERROR(--RIGHT(A974,6),LEN(A974))*0.0137+IFERROR(--RIGHT(B974,6),LEN(B974))*0.0071))*43758.5453,1),"")</f>
        <v/>
      </c>
      <c r="E974" s="0" t="str">
        <f aca="false">IF(C974=1,INT(MOD(ABS(SIN(D974*7919.123+ROW()*0.618+'הדבקת לידים'!$F$2*1.3))*43758.5453,1)*1000000)*10000+ROW(),"")</f>
        <v/>
      </c>
      <c r="F974" s="0" t="str">
        <f aca="false">IF(E974="","",RANK(E974,$E$2:$E$5001,1))</f>
        <v/>
      </c>
      <c r="G974" s="0" t="n">
        <f aca="false">IF(A974="",0,IF(SUMPRODUCT(--($A$2:$A$5001=A974))&gt;1,1,0))</f>
        <v>0</v>
      </c>
      <c r="H974" s="0" t="n">
        <f aca="false">ROW()-1</f>
        <v>973</v>
      </c>
      <c r="I974" s="0" t="str">
        <f aca="false">IF(OR(הגדרות!$E$6=0,H974&gt;הגדרות!$E$5),"",IF(H974-1&lt;הגדרות!$E$8*(הגדרות!$E$7+1),INT((H974-1)/(הגדרות!$E$7+1)),הגדרות!$E$8+INT((H974-1-הגדרות!$E$8*(הגדרות!$E$7+1))/הגדרות!$E$7)))</f>
        <v/>
      </c>
      <c r="J974" s="0" t="str">
        <f aca="false">IF(I974="","",IF(H974-1&lt;הגדרות!$E$8*(הגדרות!$E$7+1),MOD(H974-1,הגדרות!$E$7+1),MOD(H974-1-הגדרות!$E$8*(הגדרות!$E$7+1),הגדרות!$E$7)))</f>
        <v/>
      </c>
      <c r="K974" s="0" t="str">
        <f aca="false">IF(I974="","",J974*הגדרות!$E$6+I974+1)</f>
        <v/>
      </c>
      <c r="L974" s="0" t="str">
        <f aca="false">IF(K974="","",MATCH(K974,$F$2:$F$5001,0))</f>
        <v/>
      </c>
      <c r="M974" s="0" t="str">
        <f aca="false">IF(I974="","",INDEX(הגדרות!$A$2:$A$21,MOD(I974+הגדרות!$E$9,הגדרות!$E$6)+1))</f>
        <v/>
      </c>
    </row>
    <row r="975" customFormat="false" ht="15" hidden="false" customHeight="false" outlineLevel="0" collapsed="false">
      <c r="A975" s="0" t="str">
        <f aca="false">IF('הדבקת לידים'!A975="","",IF(ISNUMBER('הדבקת לידים'!A975),IF(הגדרות!$E$2&gt;0,TEXT('הדבקת לידים'!A975,REPT("0",הגדרות!$E$2)),TEXT('הדבקת לידים'!A975,"0")),TRIM('הדבקת לידים'!A975)))</f>
        <v/>
      </c>
      <c r="B975" s="0" t="str">
        <f aca="false">IF('הדבקת לידים'!B975="","",IF(ISNUMBER('הדבקת לידים'!B975),IF(הגדרות!$E$3&gt;0,TEXT('הדבקת לידים'!B975,REPT("0",הגדרות!$E$3)),TEXT('הדבקת לידים'!B975,"0")),TRIM('הדבקת לידים'!B975)))</f>
        <v/>
      </c>
      <c r="C975" s="0" t="n">
        <f aca="false">IF(OR(A975&lt;&gt;"",B975&lt;&gt;""),1,0)</f>
        <v>0</v>
      </c>
      <c r="D975" s="0" t="str">
        <f aca="false">IF(C975=1,MOD(ABS(SIN(ROW()*12.9898+'הדבקת לידים'!$F$2*78.233+IFERROR(--RIGHT(A975,6),LEN(A975))*0.0137+IFERROR(--RIGHT(B975,6),LEN(B975))*0.0071))*43758.5453,1),"")</f>
        <v/>
      </c>
      <c r="E975" s="0" t="str">
        <f aca="false">IF(C975=1,INT(MOD(ABS(SIN(D975*7919.123+ROW()*0.618+'הדבקת לידים'!$F$2*1.3))*43758.5453,1)*1000000)*10000+ROW(),"")</f>
        <v/>
      </c>
      <c r="F975" s="0" t="str">
        <f aca="false">IF(E975="","",RANK(E975,$E$2:$E$5001,1))</f>
        <v/>
      </c>
      <c r="G975" s="0" t="n">
        <f aca="false">IF(A975="",0,IF(SUMPRODUCT(--($A$2:$A$5001=A975))&gt;1,1,0))</f>
        <v>0</v>
      </c>
      <c r="H975" s="0" t="n">
        <f aca="false">ROW()-1</f>
        <v>974</v>
      </c>
      <c r="I975" s="0" t="str">
        <f aca="false">IF(OR(הגדרות!$E$6=0,H975&gt;הגדרות!$E$5),"",IF(H975-1&lt;הגדרות!$E$8*(הגדרות!$E$7+1),INT((H975-1)/(הגדרות!$E$7+1)),הגדרות!$E$8+INT((H975-1-הגדרות!$E$8*(הגדרות!$E$7+1))/הגדרות!$E$7)))</f>
        <v/>
      </c>
      <c r="J975" s="0" t="str">
        <f aca="false">IF(I975="","",IF(H975-1&lt;הגדרות!$E$8*(הגדרות!$E$7+1),MOD(H975-1,הגדרות!$E$7+1),MOD(H975-1-הגדרות!$E$8*(הגדרות!$E$7+1),הגדרות!$E$7)))</f>
        <v/>
      </c>
      <c r="K975" s="0" t="str">
        <f aca="false">IF(I975="","",J975*הגדרות!$E$6+I975+1)</f>
        <v/>
      </c>
      <c r="L975" s="0" t="str">
        <f aca="false">IF(K975="","",MATCH(K975,$F$2:$F$5001,0))</f>
        <v/>
      </c>
      <c r="M975" s="0" t="str">
        <f aca="false">IF(I975="","",INDEX(הגדרות!$A$2:$A$21,MOD(I975+הגדרות!$E$9,הגדרות!$E$6)+1))</f>
        <v/>
      </c>
    </row>
    <row r="976" customFormat="false" ht="15" hidden="false" customHeight="false" outlineLevel="0" collapsed="false">
      <c r="A976" s="0" t="str">
        <f aca="false">IF('הדבקת לידים'!A976="","",IF(ISNUMBER('הדבקת לידים'!A976),IF(הגדרות!$E$2&gt;0,TEXT('הדבקת לידים'!A976,REPT("0",הגדרות!$E$2)),TEXT('הדבקת לידים'!A976,"0")),TRIM('הדבקת לידים'!A976)))</f>
        <v/>
      </c>
      <c r="B976" s="0" t="str">
        <f aca="false">IF('הדבקת לידים'!B976="","",IF(ISNUMBER('הדבקת לידים'!B976),IF(הגדרות!$E$3&gt;0,TEXT('הדבקת לידים'!B976,REPT("0",הגדרות!$E$3)),TEXT('הדבקת לידים'!B976,"0")),TRIM('הדבקת לידים'!B976)))</f>
        <v/>
      </c>
      <c r="C976" s="0" t="n">
        <f aca="false">IF(OR(A976&lt;&gt;"",B976&lt;&gt;""),1,0)</f>
        <v>0</v>
      </c>
      <c r="D976" s="0" t="str">
        <f aca="false">IF(C976=1,MOD(ABS(SIN(ROW()*12.9898+'הדבקת לידים'!$F$2*78.233+IFERROR(--RIGHT(A976,6),LEN(A976))*0.0137+IFERROR(--RIGHT(B976,6),LEN(B976))*0.0071))*43758.5453,1),"")</f>
        <v/>
      </c>
      <c r="E976" s="0" t="str">
        <f aca="false">IF(C976=1,INT(MOD(ABS(SIN(D976*7919.123+ROW()*0.618+'הדבקת לידים'!$F$2*1.3))*43758.5453,1)*1000000)*10000+ROW(),"")</f>
        <v/>
      </c>
      <c r="F976" s="0" t="str">
        <f aca="false">IF(E976="","",RANK(E976,$E$2:$E$5001,1))</f>
        <v/>
      </c>
      <c r="G976" s="0" t="n">
        <f aca="false">IF(A976="",0,IF(SUMPRODUCT(--($A$2:$A$5001=A976))&gt;1,1,0))</f>
        <v>0</v>
      </c>
      <c r="H976" s="0" t="n">
        <f aca="false">ROW()-1</f>
        <v>975</v>
      </c>
      <c r="I976" s="0" t="str">
        <f aca="false">IF(OR(הגדרות!$E$6=0,H976&gt;הגדרות!$E$5),"",IF(H976-1&lt;הגדרות!$E$8*(הגדרות!$E$7+1),INT((H976-1)/(הגדרות!$E$7+1)),הגדרות!$E$8+INT((H976-1-הגדרות!$E$8*(הגדרות!$E$7+1))/הגדרות!$E$7)))</f>
        <v/>
      </c>
      <c r="J976" s="0" t="str">
        <f aca="false">IF(I976="","",IF(H976-1&lt;הגדרות!$E$8*(הגדרות!$E$7+1),MOD(H976-1,הגדרות!$E$7+1),MOD(H976-1-הגדרות!$E$8*(הגדרות!$E$7+1),הגדרות!$E$7)))</f>
        <v/>
      </c>
      <c r="K976" s="0" t="str">
        <f aca="false">IF(I976="","",J976*הגדרות!$E$6+I976+1)</f>
        <v/>
      </c>
      <c r="L976" s="0" t="str">
        <f aca="false">IF(K976="","",MATCH(K976,$F$2:$F$5001,0))</f>
        <v/>
      </c>
      <c r="M976" s="0" t="str">
        <f aca="false">IF(I976="","",INDEX(הגדרות!$A$2:$A$21,MOD(I976+הגדרות!$E$9,הגדרות!$E$6)+1))</f>
        <v/>
      </c>
    </row>
    <row r="977" customFormat="false" ht="15" hidden="false" customHeight="false" outlineLevel="0" collapsed="false">
      <c r="A977" s="0" t="str">
        <f aca="false">IF('הדבקת לידים'!A977="","",IF(ISNUMBER('הדבקת לידים'!A977),IF(הגדרות!$E$2&gt;0,TEXT('הדבקת לידים'!A977,REPT("0",הגדרות!$E$2)),TEXT('הדבקת לידים'!A977,"0")),TRIM('הדבקת לידים'!A977)))</f>
        <v/>
      </c>
      <c r="B977" s="0" t="str">
        <f aca="false">IF('הדבקת לידים'!B977="","",IF(ISNUMBER('הדבקת לידים'!B977),IF(הגדרות!$E$3&gt;0,TEXT('הדבקת לידים'!B977,REPT("0",הגדרות!$E$3)),TEXT('הדבקת לידים'!B977,"0")),TRIM('הדבקת לידים'!B977)))</f>
        <v/>
      </c>
      <c r="C977" s="0" t="n">
        <f aca="false">IF(OR(A977&lt;&gt;"",B977&lt;&gt;""),1,0)</f>
        <v>0</v>
      </c>
      <c r="D977" s="0" t="str">
        <f aca="false">IF(C977=1,MOD(ABS(SIN(ROW()*12.9898+'הדבקת לידים'!$F$2*78.233+IFERROR(--RIGHT(A977,6),LEN(A977))*0.0137+IFERROR(--RIGHT(B977,6),LEN(B977))*0.0071))*43758.5453,1),"")</f>
        <v/>
      </c>
      <c r="E977" s="0" t="str">
        <f aca="false">IF(C977=1,INT(MOD(ABS(SIN(D977*7919.123+ROW()*0.618+'הדבקת לידים'!$F$2*1.3))*43758.5453,1)*1000000)*10000+ROW(),"")</f>
        <v/>
      </c>
      <c r="F977" s="0" t="str">
        <f aca="false">IF(E977="","",RANK(E977,$E$2:$E$5001,1))</f>
        <v/>
      </c>
      <c r="G977" s="0" t="n">
        <f aca="false">IF(A977="",0,IF(SUMPRODUCT(--($A$2:$A$5001=A977))&gt;1,1,0))</f>
        <v>0</v>
      </c>
      <c r="H977" s="0" t="n">
        <f aca="false">ROW()-1</f>
        <v>976</v>
      </c>
      <c r="I977" s="0" t="str">
        <f aca="false">IF(OR(הגדרות!$E$6=0,H977&gt;הגדרות!$E$5),"",IF(H977-1&lt;הגדרות!$E$8*(הגדרות!$E$7+1),INT((H977-1)/(הגדרות!$E$7+1)),הגדרות!$E$8+INT((H977-1-הגדרות!$E$8*(הגדרות!$E$7+1))/הגדרות!$E$7)))</f>
        <v/>
      </c>
      <c r="J977" s="0" t="str">
        <f aca="false">IF(I977="","",IF(H977-1&lt;הגדרות!$E$8*(הגדרות!$E$7+1),MOD(H977-1,הגדרות!$E$7+1),MOD(H977-1-הגדרות!$E$8*(הגדרות!$E$7+1),הגדרות!$E$7)))</f>
        <v/>
      </c>
      <c r="K977" s="0" t="str">
        <f aca="false">IF(I977="","",J977*הגדרות!$E$6+I977+1)</f>
        <v/>
      </c>
      <c r="L977" s="0" t="str">
        <f aca="false">IF(K977="","",MATCH(K977,$F$2:$F$5001,0))</f>
        <v/>
      </c>
      <c r="M977" s="0" t="str">
        <f aca="false">IF(I977="","",INDEX(הגדרות!$A$2:$A$21,MOD(I977+הגדרות!$E$9,הגדרות!$E$6)+1))</f>
        <v/>
      </c>
    </row>
    <row r="978" customFormat="false" ht="15" hidden="false" customHeight="false" outlineLevel="0" collapsed="false">
      <c r="A978" s="0" t="str">
        <f aca="false">IF('הדבקת לידים'!A978="","",IF(ISNUMBER('הדבקת לידים'!A978),IF(הגדרות!$E$2&gt;0,TEXT('הדבקת לידים'!A978,REPT("0",הגדרות!$E$2)),TEXT('הדבקת לידים'!A978,"0")),TRIM('הדבקת לידים'!A978)))</f>
        <v/>
      </c>
      <c r="B978" s="0" t="str">
        <f aca="false">IF('הדבקת לידים'!B978="","",IF(ISNUMBER('הדבקת לידים'!B978),IF(הגדרות!$E$3&gt;0,TEXT('הדבקת לידים'!B978,REPT("0",הגדרות!$E$3)),TEXT('הדבקת לידים'!B978,"0")),TRIM('הדבקת לידים'!B978)))</f>
        <v/>
      </c>
      <c r="C978" s="0" t="n">
        <f aca="false">IF(OR(A978&lt;&gt;"",B978&lt;&gt;""),1,0)</f>
        <v>0</v>
      </c>
      <c r="D978" s="0" t="str">
        <f aca="false">IF(C978=1,MOD(ABS(SIN(ROW()*12.9898+'הדבקת לידים'!$F$2*78.233+IFERROR(--RIGHT(A978,6),LEN(A978))*0.0137+IFERROR(--RIGHT(B978,6),LEN(B978))*0.0071))*43758.5453,1),"")</f>
        <v/>
      </c>
      <c r="E978" s="0" t="str">
        <f aca="false">IF(C978=1,INT(MOD(ABS(SIN(D978*7919.123+ROW()*0.618+'הדבקת לידים'!$F$2*1.3))*43758.5453,1)*1000000)*10000+ROW(),"")</f>
        <v/>
      </c>
      <c r="F978" s="0" t="str">
        <f aca="false">IF(E978="","",RANK(E978,$E$2:$E$5001,1))</f>
        <v/>
      </c>
      <c r="G978" s="0" t="n">
        <f aca="false">IF(A978="",0,IF(SUMPRODUCT(--($A$2:$A$5001=A978))&gt;1,1,0))</f>
        <v>0</v>
      </c>
      <c r="H978" s="0" t="n">
        <f aca="false">ROW()-1</f>
        <v>977</v>
      </c>
      <c r="I978" s="0" t="str">
        <f aca="false">IF(OR(הגדרות!$E$6=0,H978&gt;הגדרות!$E$5),"",IF(H978-1&lt;הגדרות!$E$8*(הגדרות!$E$7+1),INT((H978-1)/(הגדרות!$E$7+1)),הגדרות!$E$8+INT((H978-1-הגדרות!$E$8*(הגדרות!$E$7+1))/הגדרות!$E$7)))</f>
        <v/>
      </c>
      <c r="J978" s="0" t="str">
        <f aca="false">IF(I978="","",IF(H978-1&lt;הגדרות!$E$8*(הגדרות!$E$7+1),MOD(H978-1,הגדרות!$E$7+1),MOD(H978-1-הגדרות!$E$8*(הגדרות!$E$7+1),הגדרות!$E$7)))</f>
        <v/>
      </c>
      <c r="K978" s="0" t="str">
        <f aca="false">IF(I978="","",J978*הגדרות!$E$6+I978+1)</f>
        <v/>
      </c>
      <c r="L978" s="0" t="str">
        <f aca="false">IF(K978="","",MATCH(K978,$F$2:$F$5001,0))</f>
        <v/>
      </c>
      <c r="M978" s="0" t="str">
        <f aca="false">IF(I978="","",INDEX(הגדרות!$A$2:$A$21,MOD(I978+הגדרות!$E$9,הגדרות!$E$6)+1))</f>
        <v/>
      </c>
    </row>
    <row r="979" customFormat="false" ht="15" hidden="false" customHeight="false" outlineLevel="0" collapsed="false">
      <c r="A979" s="0" t="str">
        <f aca="false">IF('הדבקת לידים'!A979="","",IF(ISNUMBER('הדבקת לידים'!A979),IF(הגדרות!$E$2&gt;0,TEXT('הדבקת לידים'!A979,REPT("0",הגדרות!$E$2)),TEXT('הדבקת לידים'!A979,"0")),TRIM('הדבקת לידים'!A979)))</f>
        <v/>
      </c>
      <c r="B979" s="0" t="str">
        <f aca="false">IF('הדבקת לידים'!B979="","",IF(ISNUMBER('הדבקת לידים'!B979),IF(הגדרות!$E$3&gt;0,TEXT('הדבקת לידים'!B979,REPT("0",הגדרות!$E$3)),TEXT('הדבקת לידים'!B979,"0")),TRIM('הדבקת לידים'!B979)))</f>
        <v/>
      </c>
      <c r="C979" s="0" t="n">
        <f aca="false">IF(OR(A979&lt;&gt;"",B979&lt;&gt;""),1,0)</f>
        <v>0</v>
      </c>
      <c r="D979" s="0" t="str">
        <f aca="false">IF(C979=1,MOD(ABS(SIN(ROW()*12.9898+'הדבקת לידים'!$F$2*78.233+IFERROR(--RIGHT(A979,6),LEN(A979))*0.0137+IFERROR(--RIGHT(B979,6),LEN(B979))*0.0071))*43758.5453,1),"")</f>
        <v/>
      </c>
      <c r="E979" s="0" t="str">
        <f aca="false">IF(C979=1,INT(MOD(ABS(SIN(D979*7919.123+ROW()*0.618+'הדבקת לידים'!$F$2*1.3))*43758.5453,1)*1000000)*10000+ROW(),"")</f>
        <v/>
      </c>
      <c r="F979" s="0" t="str">
        <f aca="false">IF(E979="","",RANK(E979,$E$2:$E$5001,1))</f>
        <v/>
      </c>
      <c r="G979" s="0" t="n">
        <f aca="false">IF(A979="",0,IF(SUMPRODUCT(--($A$2:$A$5001=A979))&gt;1,1,0))</f>
        <v>0</v>
      </c>
      <c r="H979" s="0" t="n">
        <f aca="false">ROW()-1</f>
        <v>978</v>
      </c>
      <c r="I979" s="0" t="str">
        <f aca="false">IF(OR(הגדרות!$E$6=0,H979&gt;הגדרות!$E$5),"",IF(H979-1&lt;הגדרות!$E$8*(הגדרות!$E$7+1),INT((H979-1)/(הגדרות!$E$7+1)),הגדרות!$E$8+INT((H979-1-הגדרות!$E$8*(הגדרות!$E$7+1))/הגדרות!$E$7)))</f>
        <v/>
      </c>
      <c r="J979" s="0" t="str">
        <f aca="false">IF(I979="","",IF(H979-1&lt;הגדרות!$E$8*(הגדרות!$E$7+1),MOD(H979-1,הגדרות!$E$7+1),MOD(H979-1-הגדרות!$E$8*(הגדרות!$E$7+1),הגדרות!$E$7)))</f>
        <v/>
      </c>
      <c r="K979" s="0" t="str">
        <f aca="false">IF(I979="","",J979*הגדרות!$E$6+I979+1)</f>
        <v/>
      </c>
      <c r="L979" s="0" t="str">
        <f aca="false">IF(K979="","",MATCH(K979,$F$2:$F$5001,0))</f>
        <v/>
      </c>
      <c r="M979" s="0" t="str">
        <f aca="false">IF(I979="","",INDEX(הגדרות!$A$2:$A$21,MOD(I979+הגדרות!$E$9,הגדרות!$E$6)+1))</f>
        <v/>
      </c>
    </row>
    <row r="980" customFormat="false" ht="15" hidden="false" customHeight="false" outlineLevel="0" collapsed="false">
      <c r="A980" s="0" t="str">
        <f aca="false">IF('הדבקת לידים'!A980="","",IF(ISNUMBER('הדבקת לידים'!A980),IF(הגדרות!$E$2&gt;0,TEXT('הדבקת לידים'!A980,REPT("0",הגדרות!$E$2)),TEXT('הדבקת לידים'!A980,"0")),TRIM('הדבקת לידים'!A980)))</f>
        <v/>
      </c>
      <c r="B980" s="0" t="str">
        <f aca="false">IF('הדבקת לידים'!B980="","",IF(ISNUMBER('הדבקת לידים'!B980),IF(הגדרות!$E$3&gt;0,TEXT('הדבקת לידים'!B980,REPT("0",הגדרות!$E$3)),TEXT('הדבקת לידים'!B980,"0")),TRIM('הדבקת לידים'!B980)))</f>
        <v/>
      </c>
      <c r="C980" s="0" t="n">
        <f aca="false">IF(OR(A980&lt;&gt;"",B980&lt;&gt;""),1,0)</f>
        <v>0</v>
      </c>
      <c r="D980" s="0" t="str">
        <f aca="false">IF(C980=1,MOD(ABS(SIN(ROW()*12.9898+'הדבקת לידים'!$F$2*78.233+IFERROR(--RIGHT(A980,6),LEN(A980))*0.0137+IFERROR(--RIGHT(B980,6),LEN(B980))*0.0071))*43758.5453,1),"")</f>
        <v/>
      </c>
      <c r="E980" s="0" t="str">
        <f aca="false">IF(C980=1,INT(MOD(ABS(SIN(D980*7919.123+ROW()*0.618+'הדבקת לידים'!$F$2*1.3))*43758.5453,1)*1000000)*10000+ROW(),"")</f>
        <v/>
      </c>
      <c r="F980" s="0" t="str">
        <f aca="false">IF(E980="","",RANK(E980,$E$2:$E$5001,1))</f>
        <v/>
      </c>
      <c r="G980" s="0" t="n">
        <f aca="false">IF(A980="",0,IF(SUMPRODUCT(--($A$2:$A$5001=A980))&gt;1,1,0))</f>
        <v>0</v>
      </c>
      <c r="H980" s="0" t="n">
        <f aca="false">ROW()-1</f>
        <v>979</v>
      </c>
      <c r="I980" s="0" t="str">
        <f aca="false">IF(OR(הגדרות!$E$6=0,H980&gt;הגדרות!$E$5),"",IF(H980-1&lt;הגדרות!$E$8*(הגדרות!$E$7+1),INT((H980-1)/(הגדרות!$E$7+1)),הגדרות!$E$8+INT((H980-1-הגדרות!$E$8*(הגדרות!$E$7+1))/הגדרות!$E$7)))</f>
        <v/>
      </c>
      <c r="J980" s="0" t="str">
        <f aca="false">IF(I980="","",IF(H980-1&lt;הגדרות!$E$8*(הגדרות!$E$7+1),MOD(H980-1,הגדרות!$E$7+1),MOD(H980-1-הגדרות!$E$8*(הגדרות!$E$7+1),הגדרות!$E$7)))</f>
        <v/>
      </c>
      <c r="K980" s="0" t="str">
        <f aca="false">IF(I980="","",J980*הגדרות!$E$6+I980+1)</f>
        <v/>
      </c>
      <c r="L980" s="0" t="str">
        <f aca="false">IF(K980="","",MATCH(K980,$F$2:$F$5001,0))</f>
        <v/>
      </c>
      <c r="M980" s="0" t="str">
        <f aca="false">IF(I980="","",INDEX(הגדרות!$A$2:$A$21,MOD(I980+הגדרות!$E$9,הגדרות!$E$6)+1))</f>
        <v/>
      </c>
    </row>
    <row r="981" customFormat="false" ht="15" hidden="false" customHeight="false" outlineLevel="0" collapsed="false">
      <c r="A981" s="0" t="str">
        <f aca="false">IF('הדבקת לידים'!A981="","",IF(ISNUMBER('הדבקת לידים'!A981),IF(הגדרות!$E$2&gt;0,TEXT('הדבקת לידים'!A981,REPT("0",הגדרות!$E$2)),TEXT('הדבקת לידים'!A981,"0")),TRIM('הדבקת לידים'!A981)))</f>
        <v/>
      </c>
      <c r="B981" s="0" t="str">
        <f aca="false">IF('הדבקת לידים'!B981="","",IF(ISNUMBER('הדבקת לידים'!B981),IF(הגדרות!$E$3&gt;0,TEXT('הדבקת לידים'!B981,REPT("0",הגדרות!$E$3)),TEXT('הדבקת לידים'!B981,"0")),TRIM('הדבקת לידים'!B981)))</f>
        <v/>
      </c>
      <c r="C981" s="0" t="n">
        <f aca="false">IF(OR(A981&lt;&gt;"",B981&lt;&gt;""),1,0)</f>
        <v>0</v>
      </c>
      <c r="D981" s="0" t="str">
        <f aca="false">IF(C981=1,MOD(ABS(SIN(ROW()*12.9898+'הדבקת לידים'!$F$2*78.233+IFERROR(--RIGHT(A981,6),LEN(A981))*0.0137+IFERROR(--RIGHT(B981,6),LEN(B981))*0.0071))*43758.5453,1),"")</f>
        <v/>
      </c>
      <c r="E981" s="0" t="str">
        <f aca="false">IF(C981=1,INT(MOD(ABS(SIN(D981*7919.123+ROW()*0.618+'הדבקת לידים'!$F$2*1.3))*43758.5453,1)*1000000)*10000+ROW(),"")</f>
        <v/>
      </c>
      <c r="F981" s="0" t="str">
        <f aca="false">IF(E981="","",RANK(E981,$E$2:$E$5001,1))</f>
        <v/>
      </c>
      <c r="G981" s="0" t="n">
        <f aca="false">IF(A981="",0,IF(SUMPRODUCT(--($A$2:$A$5001=A981))&gt;1,1,0))</f>
        <v>0</v>
      </c>
      <c r="H981" s="0" t="n">
        <f aca="false">ROW()-1</f>
        <v>980</v>
      </c>
      <c r="I981" s="0" t="str">
        <f aca="false">IF(OR(הגדרות!$E$6=0,H981&gt;הגדרות!$E$5),"",IF(H981-1&lt;הגדרות!$E$8*(הגדרות!$E$7+1),INT((H981-1)/(הגדרות!$E$7+1)),הגדרות!$E$8+INT((H981-1-הגדרות!$E$8*(הגדרות!$E$7+1))/הגדרות!$E$7)))</f>
        <v/>
      </c>
      <c r="J981" s="0" t="str">
        <f aca="false">IF(I981="","",IF(H981-1&lt;הגדרות!$E$8*(הגדרות!$E$7+1),MOD(H981-1,הגדרות!$E$7+1),MOD(H981-1-הגדרות!$E$8*(הגדרות!$E$7+1),הגדרות!$E$7)))</f>
        <v/>
      </c>
      <c r="K981" s="0" t="str">
        <f aca="false">IF(I981="","",J981*הגדרות!$E$6+I981+1)</f>
        <v/>
      </c>
      <c r="L981" s="0" t="str">
        <f aca="false">IF(K981="","",MATCH(K981,$F$2:$F$5001,0))</f>
        <v/>
      </c>
      <c r="M981" s="0" t="str">
        <f aca="false">IF(I981="","",INDEX(הגדרות!$A$2:$A$21,MOD(I981+הגדרות!$E$9,הגדרות!$E$6)+1))</f>
        <v/>
      </c>
    </row>
    <row r="982" customFormat="false" ht="15" hidden="false" customHeight="false" outlineLevel="0" collapsed="false">
      <c r="A982" s="0" t="str">
        <f aca="false">IF('הדבקת לידים'!A982="","",IF(ISNUMBER('הדבקת לידים'!A982),IF(הגדרות!$E$2&gt;0,TEXT('הדבקת לידים'!A982,REPT("0",הגדרות!$E$2)),TEXT('הדבקת לידים'!A982,"0")),TRIM('הדבקת לידים'!A982)))</f>
        <v/>
      </c>
      <c r="B982" s="0" t="str">
        <f aca="false">IF('הדבקת לידים'!B982="","",IF(ISNUMBER('הדבקת לידים'!B982),IF(הגדרות!$E$3&gt;0,TEXT('הדבקת לידים'!B982,REPT("0",הגדרות!$E$3)),TEXT('הדבקת לידים'!B982,"0")),TRIM('הדבקת לידים'!B982)))</f>
        <v/>
      </c>
      <c r="C982" s="0" t="n">
        <f aca="false">IF(OR(A982&lt;&gt;"",B982&lt;&gt;""),1,0)</f>
        <v>0</v>
      </c>
      <c r="D982" s="0" t="str">
        <f aca="false">IF(C982=1,MOD(ABS(SIN(ROW()*12.9898+'הדבקת לידים'!$F$2*78.233+IFERROR(--RIGHT(A982,6),LEN(A982))*0.0137+IFERROR(--RIGHT(B982,6),LEN(B982))*0.0071))*43758.5453,1),"")</f>
        <v/>
      </c>
      <c r="E982" s="0" t="str">
        <f aca="false">IF(C982=1,INT(MOD(ABS(SIN(D982*7919.123+ROW()*0.618+'הדבקת לידים'!$F$2*1.3))*43758.5453,1)*1000000)*10000+ROW(),"")</f>
        <v/>
      </c>
      <c r="F982" s="0" t="str">
        <f aca="false">IF(E982="","",RANK(E982,$E$2:$E$5001,1))</f>
        <v/>
      </c>
      <c r="G982" s="0" t="n">
        <f aca="false">IF(A982="",0,IF(SUMPRODUCT(--($A$2:$A$5001=A982))&gt;1,1,0))</f>
        <v>0</v>
      </c>
      <c r="H982" s="0" t="n">
        <f aca="false">ROW()-1</f>
        <v>981</v>
      </c>
      <c r="I982" s="0" t="str">
        <f aca="false">IF(OR(הגדרות!$E$6=0,H982&gt;הגדרות!$E$5),"",IF(H982-1&lt;הגדרות!$E$8*(הגדרות!$E$7+1),INT((H982-1)/(הגדרות!$E$7+1)),הגדרות!$E$8+INT((H982-1-הגדרות!$E$8*(הגדרות!$E$7+1))/הגדרות!$E$7)))</f>
        <v/>
      </c>
      <c r="J982" s="0" t="str">
        <f aca="false">IF(I982="","",IF(H982-1&lt;הגדרות!$E$8*(הגדרות!$E$7+1),MOD(H982-1,הגדרות!$E$7+1),MOD(H982-1-הגדרות!$E$8*(הגדרות!$E$7+1),הגדרות!$E$7)))</f>
        <v/>
      </c>
      <c r="K982" s="0" t="str">
        <f aca="false">IF(I982="","",J982*הגדרות!$E$6+I982+1)</f>
        <v/>
      </c>
      <c r="L982" s="0" t="str">
        <f aca="false">IF(K982="","",MATCH(K982,$F$2:$F$5001,0))</f>
        <v/>
      </c>
      <c r="M982" s="0" t="str">
        <f aca="false">IF(I982="","",INDEX(הגדרות!$A$2:$A$21,MOD(I982+הגדרות!$E$9,הגדרות!$E$6)+1))</f>
        <v/>
      </c>
    </row>
    <row r="983" customFormat="false" ht="15" hidden="false" customHeight="false" outlineLevel="0" collapsed="false">
      <c r="A983" s="0" t="str">
        <f aca="false">IF('הדבקת לידים'!A983="","",IF(ISNUMBER('הדבקת לידים'!A983),IF(הגדרות!$E$2&gt;0,TEXT('הדבקת לידים'!A983,REPT("0",הגדרות!$E$2)),TEXT('הדבקת לידים'!A983,"0")),TRIM('הדבקת לידים'!A983)))</f>
        <v/>
      </c>
      <c r="B983" s="0" t="str">
        <f aca="false">IF('הדבקת לידים'!B983="","",IF(ISNUMBER('הדבקת לידים'!B983),IF(הגדרות!$E$3&gt;0,TEXT('הדבקת לידים'!B983,REPT("0",הגדרות!$E$3)),TEXT('הדבקת לידים'!B983,"0")),TRIM('הדבקת לידים'!B983)))</f>
        <v/>
      </c>
      <c r="C983" s="0" t="n">
        <f aca="false">IF(OR(A983&lt;&gt;"",B983&lt;&gt;""),1,0)</f>
        <v>0</v>
      </c>
      <c r="D983" s="0" t="str">
        <f aca="false">IF(C983=1,MOD(ABS(SIN(ROW()*12.9898+'הדבקת לידים'!$F$2*78.233+IFERROR(--RIGHT(A983,6),LEN(A983))*0.0137+IFERROR(--RIGHT(B983,6),LEN(B983))*0.0071))*43758.5453,1),"")</f>
        <v/>
      </c>
      <c r="E983" s="0" t="str">
        <f aca="false">IF(C983=1,INT(MOD(ABS(SIN(D983*7919.123+ROW()*0.618+'הדבקת לידים'!$F$2*1.3))*43758.5453,1)*1000000)*10000+ROW(),"")</f>
        <v/>
      </c>
      <c r="F983" s="0" t="str">
        <f aca="false">IF(E983="","",RANK(E983,$E$2:$E$5001,1))</f>
        <v/>
      </c>
      <c r="G983" s="0" t="n">
        <f aca="false">IF(A983="",0,IF(SUMPRODUCT(--($A$2:$A$5001=A983))&gt;1,1,0))</f>
        <v>0</v>
      </c>
      <c r="H983" s="0" t="n">
        <f aca="false">ROW()-1</f>
        <v>982</v>
      </c>
      <c r="I983" s="0" t="str">
        <f aca="false">IF(OR(הגדרות!$E$6=0,H983&gt;הגדרות!$E$5),"",IF(H983-1&lt;הגדרות!$E$8*(הגדרות!$E$7+1),INT((H983-1)/(הגדרות!$E$7+1)),הגדרות!$E$8+INT((H983-1-הגדרות!$E$8*(הגדרות!$E$7+1))/הגדרות!$E$7)))</f>
        <v/>
      </c>
      <c r="J983" s="0" t="str">
        <f aca="false">IF(I983="","",IF(H983-1&lt;הגדרות!$E$8*(הגדרות!$E$7+1),MOD(H983-1,הגדרות!$E$7+1),MOD(H983-1-הגדרות!$E$8*(הגדרות!$E$7+1),הגדרות!$E$7)))</f>
        <v/>
      </c>
      <c r="K983" s="0" t="str">
        <f aca="false">IF(I983="","",J983*הגדרות!$E$6+I983+1)</f>
        <v/>
      </c>
      <c r="L983" s="0" t="str">
        <f aca="false">IF(K983="","",MATCH(K983,$F$2:$F$5001,0))</f>
        <v/>
      </c>
      <c r="M983" s="0" t="str">
        <f aca="false">IF(I983="","",INDEX(הגדרות!$A$2:$A$21,MOD(I983+הגדרות!$E$9,הגדרות!$E$6)+1))</f>
        <v/>
      </c>
    </row>
    <row r="984" customFormat="false" ht="15" hidden="false" customHeight="false" outlineLevel="0" collapsed="false">
      <c r="A984" s="0" t="str">
        <f aca="false">IF('הדבקת לידים'!A984="","",IF(ISNUMBER('הדבקת לידים'!A984),IF(הגדרות!$E$2&gt;0,TEXT('הדבקת לידים'!A984,REPT("0",הגדרות!$E$2)),TEXT('הדבקת לידים'!A984,"0")),TRIM('הדבקת לידים'!A984)))</f>
        <v/>
      </c>
      <c r="B984" s="0" t="str">
        <f aca="false">IF('הדבקת לידים'!B984="","",IF(ISNUMBER('הדבקת לידים'!B984),IF(הגדרות!$E$3&gt;0,TEXT('הדבקת לידים'!B984,REPT("0",הגדרות!$E$3)),TEXT('הדבקת לידים'!B984,"0")),TRIM('הדבקת לידים'!B984)))</f>
        <v/>
      </c>
      <c r="C984" s="0" t="n">
        <f aca="false">IF(OR(A984&lt;&gt;"",B984&lt;&gt;""),1,0)</f>
        <v>0</v>
      </c>
      <c r="D984" s="0" t="str">
        <f aca="false">IF(C984=1,MOD(ABS(SIN(ROW()*12.9898+'הדבקת לידים'!$F$2*78.233+IFERROR(--RIGHT(A984,6),LEN(A984))*0.0137+IFERROR(--RIGHT(B984,6),LEN(B984))*0.0071))*43758.5453,1),"")</f>
        <v/>
      </c>
      <c r="E984" s="0" t="str">
        <f aca="false">IF(C984=1,INT(MOD(ABS(SIN(D984*7919.123+ROW()*0.618+'הדבקת לידים'!$F$2*1.3))*43758.5453,1)*1000000)*10000+ROW(),"")</f>
        <v/>
      </c>
      <c r="F984" s="0" t="str">
        <f aca="false">IF(E984="","",RANK(E984,$E$2:$E$5001,1))</f>
        <v/>
      </c>
      <c r="G984" s="0" t="n">
        <f aca="false">IF(A984="",0,IF(SUMPRODUCT(--($A$2:$A$5001=A984))&gt;1,1,0))</f>
        <v>0</v>
      </c>
      <c r="H984" s="0" t="n">
        <f aca="false">ROW()-1</f>
        <v>983</v>
      </c>
      <c r="I984" s="0" t="str">
        <f aca="false">IF(OR(הגדרות!$E$6=0,H984&gt;הגדרות!$E$5),"",IF(H984-1&lt;הגדרות!$E$8*(הגדרות!$E$7+1),INT((H984-1)/(הגדרות!$E$7+1)),הגדרות!$E$8+INT((H984-1-הגדרות!$E$8*(הגדרות!$E$7+1))/הגדרות!$E$7)))</f>
        <v/>
      </c>
      <c r="J984" s="0" t="str">
        <f aca="false">IF(I984="","",IF(H984-1&lt;הגדרות!$E$8*(הגדרות!$E$7+1),MOD(H984-1,הגדרות!$E$7+1),MOD(H984-1-הגדרות!$E$8*(הגדרות!$E$7+1),הגדרות!$E$7)))</f>
        <v/>
      </c>
      <c r="K984" s="0" t="str">
        <f aca="false">IF(I984="","",J984*הגדרות!$E$6+I984+1)</f>
        <v/>
      </c>
      <c r="L984" s="0" t="str">
        <f aca="false">IF(K984="","",MATCH(K984,$F$2:$F$5001,0))</f>
        <v/>
      </c>
      <c r="M984" s="0" t="str">
        <f aca="false">IF(I984="","",INDEX(הגדרות!$A$2:$A$21,MOD(I984+הגדרות!$E$9,הגדרות!$E$6)+1))</f>
        <v/>
      </c>
    </row>
    <row r="985" customFormat="false" ht="15" hidden="false" customHeight="false" outlineLevel="0" collapsed="false">
      <c r="A985" s="0" t="str">
        <f aca="false">IF('הדבקת לידים'!A985="","",IF(ISNUMBER('הדבקת לידים'!A985),IF(הגדרות!$E$2&gt;0,TEXT('הדבקת לידים'!A985,REPT("0",הגדרות!$E$2)),TEXT('הדבקת לידים'!A985,"0")),TRIM('הדבקת לידים'!A985)))</f>
        <v/>
      </c>
      <c r="B985" s="0" t="str">
        <f aca="false">IF('הדבקת לידים'!B985="","",IF(ISNUMBER('הדבקת לידים'!B985),IF(הגדרות!$E$3&gt;0,TEXT('הדבקת לידים'!B985,REPT("0",הגדרות!$E$3)),TEXT('הדבקת לידים'!B985,"0")),TRIM('הדבקת לידים'!B985)))</f>
        <v/>
      </c>
      <c r="C985" s="0" t="n">
        <f aca="false">IF(OR(A985&lt;&gt;"",B985&lt;&gt;""),1,0)</f>
        <v>0</v>
      </c>
      <c r="D985" s="0" t="str">
        <f aca="false">IF(C985=1,MOD(ABS(SIN(ROW()*12.9898+'הדבקת לידים'!$F$2*78.233+IFERROR(--RIGHT(A985,6),LEN(A985))*0.0137+IFERROR(--RIGHT(B985,6),LEN(B985))*0.0071))*43758.5453,1),"")</f>
        <v/>
      </c>
      <c r="E985" s="0" t="str">
        <f aca="false">IF(C985=1,INT(MOD(ABS(SIN(D985*7919.123+ROW()*0.618+'הדבקת לידים'!$F$2*1.3))*43758.5453,1)*1000000)*10000+ROW(),"")</f>
        <v/>
      </c>
      <c r="F985" s="0" t="str">
        <f aca="false">IF(E985="","",RANK(E985,$E$2:$E$5001,1))</f>
        <v/>
      </c>
      <c r="G985" s="0" t="n">
        <f aca="false">IF(A985="",0,IF(SUMPRODUCT(--($A$2:$A$5001=A985))&gt;1,1,0))</f>
        <v>0</v>
      </c>
      <c r="H985" s="0" t="n">
        <f aca="false">ROW()-1</f>
        <v>984</v>
      </c>
      <c r="I985" s="0" t="str">
        <f aca="false">IF(OR(הגדרות!$E$6=0,H985&gt;הגדרות!$E$5),"",IF(H985-1&lt;הגדרות!$E$8*(הגדרות!$E$7+1),INT((H985-1)/(הגדרות!$E$7+1)),הגדרות!$E$8+INT((H985-1-הגדרות!$E$8*(הגדרות!$E$7+1))/הגדרות!$E$7)))</f>
        <v/>
      </c>
      <c r="J985" s="0" t="str">
        <f aca="false">IF(I985="","",IF(H985-1&lt;הגדרות!$E$8*(הגדרות!$E$7+1),MOD(H985-1,הגדרות!$E$7+1),MOD(H985-1-הגדרות!$E$8*(הגדרות!$E$7+1),הגדרות!$E$7)))</f>
        <v/>
      </c>
      <c r="K985" s="0" t="str">
        <f aca="false">IF(I985="","",J985*הגדרות!$E$6+I985+1)</f>
        <v/>
      </c>
      <c r="L985" s="0" t="str">
        <f aca="false">IF(K985="","",MATCH(K985,$F$2:$F$5001,0))</f>
        <v/>
      </c>
      <c r="M985" s="0" t="str">
        <f aca="false">IF(I985="","",INDEX(הגדרות!$A$2:$A$21,MOD(I985+הגדרות!$E$9,הגדרות!$E$6)+1))</f>
        <v/>
      </c>
    </row>
    <row r="986" customFormat="false" ht="15" hidden="false" customHeight="false" outlineLevel="0" collapsed="false">
      <c r="A986" s="0" t="str">
        <f aca="false">IF('הדבקת לידים'!A986="","",IF(ISNUMBER('הדבקת לידים'!A986),IF(הגדרות!$E$2&gt;0,TEXT('הדבקת לידים'!A986,REPT("0",הגדרות!$E$2)),TEXT('הדבקת לידים'!A986,"0")),TRIM('הדבקת לידים'!A986)))</f>
        <v/>
      </c>
      <c r="B986" s="0" t="str">
        <f aca="false">IF('הדבקת לידים'!B986="","",IF(ISNUMBER('הדבקת לידים'!B986),IF(הגדרות!$E$3&gt;0,TEXT('הדבקת לידים'!B986,REPT("0",הגדרות!$E$3)),TEXT('הדבקת לידים'!B986,"0")),TRIM('הדבקת לידים'!B986)))</f>
        <v/>
      </c>
      <c r="C986" s="0" t="n">
        <f aca="false">IF(OR(A986&lt;&gt;"",B986&lt;&gt;""),1,0)</f>
        <v>0</v>
      </c>
      <c r="D986" s="0" t="str">
        <f aca="false">IF(C986=1,MOD(ABS(SIN(ROW()*12.9898+'הדבקת לידים'!$F$2*78.233+IFERROR(--RIGHT(A986,6),LEN(A986))*0.0137+IFERROR(--RIGHT(B986,6),LEN(B986))*0.0071))*43758.5453,1),"")</f>
        <v/>
      </c>
      <c r="E986" s="0" t="str">
        <f aca="false">IF(C986=1,INT(MOD(ABS(SIN(D986*7919.123+ROW()*0.618+'הדבקת לידים'!$F$2*1.3))*43758.5453,1)*1000000)*10000+ROW(),"")</f>
        <v/>
      </c>
      <c r="F986" s="0" t="str">
        <f aca="false">IF(E986="","",RANK(E986,$E$2:$E$5001,1))</f>
        <v/>
      </c>
      <c r="G986" s="0" t="n">
        <f aca="false">IF(A986="",0,IF(SUMPRODUCT(--($A$2:$A$5001=A986))&gt;1,1,0))</f>
        <v>0</v>
      </c>
      <c r="H986" s="0" t="n">
        <f aca="false">ROW()-1</f>
        <v>985</v>
      </c>
      <c r="I986" s="0" t="str">
        <f aca="false">IF(OR(הגדרות!$E$6=0,H986&gt;הגדרות!$E$5),"",IF(H986-1&lt;הגדרות!$E$8*(הגדרות!$E$7+1),INT((H986-1)/(הגדרות!$E$7+1)),הגדרות!$E$8+INT((H986-1-הגדרות!$E$8*(הגדרות!$E$7+1))/הגדרות!$E$7)))</f>
        <v/>
      </c>
      <c r="J986" s="0" t="str">
        <f aca="false">IF(I986="","",IF(H986-1&lt;הגדרות!$E$8*(הגדרות!$E$7+1),MOD(H986-1,הגדרות!$E$7+1),MOD(H986-1-הגדרות!$E$8*(הגדרות!$E$7+1),הגדרות!$E$7)))</f>
        <v/>
      </c>
      <c r="K986" s="0" t="str">
        <f aca="false">IF(I986="","",J986*הגדרות!$E$6+I986+1)</f>
        <v/>
      </c>
      <c r="L986" s="0" t="str">
        <f aca="false">IF(K986="","",MATCH(K986,$F$2:$F$5001,0))</f>
        <v/>
      </c>
      <c r="M986" s="0" t="str">
        <f aca="false">IF(I986="","",INDEX(הגדרות!$A$2:$A$21,MOD(I986+הגדרות!$E$9,הגדרות!$E$6)+1))</f>
        <v/>
      </c>
    </row>
    <row r="987" customFormat="false" ht="15" hidden="false" customHeight="false" outlineLevel="0" collapsed="false">
      <c r="A987" s="0" t="str">
        <f aca="false">IF('הדבקת לידים'!A987="","",IF(ISNUMBER('הדבקת לידים'!A987),IF(הגדרות!$E$2&gt;0,TEXT('הדבקת לידים'!A987,REPT("0",הגדרות!$E$2)),TEXT('הדבקת לידים'!A987,"0")),TRIM('הדבקת לידים'!A987)))</f>
        <v/>
      </c>
      <c r="B987" s="0" t="str">
        <f aca="false">IF('הדבקת לידים'!B987="","",IF(ISNUMBER('הדבקת לידים'!B987),IF(הגדרות!$E$3&gt;0,TEXT('הדבקת לידים'!B987,REPT("0",הגדרות!$E$3)),TEXT('הדבקת לידים'!B987,"0")),TRIM('הדבקת לידים'!B987)))</f>
        <v/>
      </c>
      <c r="C987" s="0" t="n">
        <f aca="false">IF(OR(A987&lt;&gt;"",B987&lt;&gt;""),1,0)</f>
        <v>0</v>
      </c>
      <c r="D987" s="0" t="str">
        <f aca="false">IF(C987=1,MOD(ABS(SIN(ROW()*12.9898+'הדבקת לידים'!$F$2*78.233+IFERROR(--RIGHT(A987,6),LEN(A987))*0.0137+IFERROR(--RIGHT(B987,6),LEN(B987))*0.0071))*43758.5453,1),"")</f>
        <v/>
      </c>
      <c r="E987" s="0" t="str">
        <f aca="false">IF(C987=1,INT(MOD(ABS(SIN(D987*7919.123+ROW()*0.618+'הדבקת לידים'!$F$2*1.3))*43758.5453,1)*1000000)*10000+ROW(),"")</f>
        <v/>
      </c>
      <c r="F987" s="0" t="str">
        <f aca="false">IF(E987="","",RANK(E987,$E$2:$E$5001,1))</f>
        <v/>
      </c>
      <c r="G987" s="0" t="n">
        <f aca="false">IF(A987="",0,IF(SUMPRODUCT(--($A$2:$A$5001=A987))&gt;1,1,0))</f>
        <v>0</v>
      </c>
      <c r="H987" s="0" t="n">
        <f aca="false">ROW()-1</f>
        <v>986</v>
      </c>
      <c r="I987" s="0" t="str">
        <f aca="false">IF(OR(הגדרות!$E$6=0,H987&gt;הגדרות!$E$5),"",IF(H987-1&lt;הגדרות!$E$8*(הגדרות!$E$7+1),INT((H987-1)/(הגדרות!$E$7+1)),הגדרות!$E$8+INT((H987-1-הגדרות!$E$8*(הגדרות!$E$7+1))/הגדרות!$E$7)))</f>
        <v/>
      </c>
      <c r="J987" s="0" t="str">
        <f aca="false">IF(I987="","",IF(H987-1&lt;הגדרות!$E$8*(הגדרות!$E$7+1),MOD(H987-1,הגדרות!$E$7+1),MOD(H987-1-הגדרות!$E$8*(הגדרות!$E$7+1),הגדרות!$E$7)))</f>
        <v/>
      </c>
      <c r="K987" s="0" t="str">
        <f aca="false">IF(I987="","",J987*הגדרות!$E$6+I987+1)</f>
        <v/>
      </c>
      <c r="L987" s="0" t="str">
        <f aca="false">IF(K987="","",MATCH(K987,$F$2:$F$5001,0))</f>
        <v/>
      </c>
      <c r="M987" s="0" t="str">
        <f aca="false">IF(I987="","",INDEX(הגדרות!$A$2:$A$21,MOD(I987+הגדרות!$E$9,הגדרות!$E$6)+1))</f>
        <v/>
      </c>
    </row>
    <row r="988" customFormat="false" ht="15" hidden="false" customHeight="false" outlineLevel="0" collapsed="false">
      <c r="A988" s="0" t="str">
        <f aca="false">IF('הדבקת לידים'!A988="","",IF(ISNUMBER('הדבקת לידים'!A988),IF(הגדרות!$E$2&gt;0,TEXT('הדבקת לידים'!A988,REPT("0",הגדרות!$E$2)),TEXT('הדבקת לידים'!A988,"0")),TRIM('הדבקת לידים'!A988)))</f>
        <v/>
      </c>
      <c r="B988" s="0" t="str">
        <f aca="false">IF('הדבקת לידים'!B988="","",IF(ISNUMBER('הדבקת לידים'!B988),IF(הגדרות!$E$3&gt;0,TEXT('הדבקת לידים'!B988,REPT("0",הגדרות!$E$3)),TEXT('הדבקת לידים'!B988,"0")),TRIM('הדבקת לידים'!B988)))</f>
        <v/>
      </c>
      <c r="C988" s="0" t="n">
        <f aca="false">IF(OR(A988&lt;&gt;"",B988&lt;&gt;""),1,0)</f>
        <v>0</v>
      </c>
      <c r="D988" s="0" t="str">
        <f aca="false">IF(C988=1,MOD(ABS(SIN(ROW()*12.9898+'הדבקת לידים'!$F$2*78.233+IFERROR(--RIGHT(A988,6),LEN(A988))*0.0137+IFERROR(--RIGHT(B988,6),LEN(B988))*0.0071))*43758.5453,1),"")</f>
        <v/>
      </c>
      <c r="E988" s="0" t="str">
        <f aca="false">IF(C988=1,INT(MOD(ABS(SIN(D988*7919.123+ROW()*0.618+'הדבקת לידים'!$F$2*1.3))*43758.5453,1)*1000000)*10000+ROW(),"")</f>
        <v/>
      </c>
      <c r="F988" s="0" t="str">
        <f aca="false">IF(E988="","",RANK(E988,$E$2:$E$5001,1))</f>
        <v/>
      </c>
      <c r="G988" s="0" t="n">
        <f aca="false">IF(A988="",0,IF(SUMPRODUCT(--($A$2:$A$5001=A988))&gt;1,1,0))</f>
        <v>0</v>
      </c>
      <c r="H988" s="0" t="n">
        <f aca="false">ROW()-1</f>
        <v>987</v>
      </c>
      <c r="I988" s="0" t="str">
        <f aca="false">IF(OR(הגדרות!$E$6=0,H988&gt;הגדרות!$E$5),"",IF(H988-1&lt;הגדרות!$E$8*(הגדרות!$E$7+1),INT((H988-1)/(הגדרות!$E$7+1)),הגדרות!$E$8+INT((H988-1-הגדרות!$E$8*(הגדרות!$E$7+1))/הגדרות!$E$7)))</f>
        <v/>
      </c>
      <c r="J988" s="0" t="str">
        <f aca="false">IF(I988="","",IF(H988-1&lt;הגדרות!$E$8*(הגדרות!$E$7+1),MOD(H988-1,הגדרות!$E$7+1),MOD(H988-1-הגדרות!$E$8*(הגדרות!$E$7+1),הגדרות!$E$7)))</f>
        <v/>
      </c>
      <c r="K988" s="0" t="str">
        <f aca="false">IF(I988="","",J988*הגדרות!$E$6+I988+1)</f>
        <v/>
      </c>
      <c r="L988" s="0" t="str">
        <f aca="false">IF(K988="","",MATCH(K988,$F$2:$F$5001,0))</f>
        <v/>
      </c>
      <c r="M988" s="0" t="str">
        <f aca="false">IF(I988="","",INDEX(הגדרות!$A$2:$A$21,MOD(I988+הגדרות!$E$9,הגדרות!$E$6)+1))</f>
        <v/>
      </c>
    </row>
    <row r="989" customFormat="false" ht="15" hidden="false" customHeight="false" outlineLevel="0" collapsed="false">
      <c r="A989" s="0" t="str">
        <f aca="false">IF('הדבקת לידים'!A989="","",IF(ISNUMBER('הדבקת לידים'!A989),IF(הגדרות!$E$2&gt;0,TEXT('הדבקת לידים'!A989,REPT("0",הגדרות!$E$2)),TEXT('הדבקת לידים'!A989,"0")),TRIM('הדבקת לידים'!A989)))</f>
        <v/>
      </c>
      <c r="B989" s="0" t="str">
        <f aca="false">IF('הדבקת לידים'!B989="","",IF(ISNUMBER('הדבקת לידים'!B989),IF(הגדרות!$E$3&gt;0,TEXT('הדבקת לידים'!B989,REPT("0",הגדרות!$E$3)),TEXT('הדבקת לידים'!B989,"0")),TRIM('הדבקת לידים'!B989)))</f>
        <v/>
      </c>
      <c r="C989" s="0" t="n">
        <f aca="false">IF(OR(A989&lt;&gt;"",B989&lt;&gt;""),1,0)</f>
        <v>0</v>
      </c>
      <c r="D989" s="0" t="str">
        <f aca="false">IF(C989=1,MOD(ABS(SIN(ROW()*12.9898+'הדבקת לידים'!$F$2*78.233+IFERROR(--RIGHT(A989,6),LEN(A989))*0.0137+IFERROR(--RIGHT(B989,6),LEN(B989))*0.0071))*43758.5453,1),"")</f>
        <v/>
      </c>
      <c r="E989" s="0" t="str">
        <f aca="false">IF(C989=1,INT(MOD(ABS(SIN(D989*7919.123+ROW()*0.618+'הדבקת לידים'!$F$2*1.3))*43758.5453,1)*1000000)*10000+ROW(),"")</f>
        <v/>
      </c>
      <c r="F989" s="0" t="str">
        <f aca="false">IF(E989="","",RANK(E989,$E$2:$E$5001,1))</f>
        <v/>
      </c>
      <c r="G989" s="0" t="n">
        <f aca="false">IF(A989="",0,IF(SUMPRODUCT(--($A$2:$A$5001=A989))&gt;1,1,0))</f>
        <v>0</v>
      </c>
      <c r="H989" s="0" t="n">
        <f aca="false">ROW()-1</f>
        <v>988</v>
      </c>
      <c r="I989" s="0" t="str">
        <f aca="false">IF(OR(הגדרות!$E$6=0,H989&gt;הגדרות!$E$5),"",IF(H989-1&lt;הגדרות!$E$8*(הגדרות!$E$7+1),INT((H989-1)/(הגדרות!$E$7+1)),הגדרות!$E$8+INT((H989-1-הגדרות!$E$8*(הגדרות!$E$7+1))/הגדרות!$E$7)))</f>
        <v/>
      </c>
      <c r="J989" s="0" t="str">
        <f aca="false">IF(I989="","",IF(H989-1&lt;הגדרות!$E$8*(הגדרות!$E$7+1),MOD(H989-1,הגדרות!$E$7+1),MOD(H989-1-הגדרות!$E$8*(הגדרות!$E$7+1),הגדרות!$E$7)))</f>
        <v/>
      </c>
      <c r="K989" s="0" t="str">
        <f aca="false">IF(I989="","",J989*הגדרות!$E$6+I989+1)</f>
        <v/>
      </c>
      <c r="L989" s="0" t="str">
        <f aca="false">IF(K989="","",MATCH(K989,$F$2:$F$5001,0))</f>
        <v/>
      </c>
      <c r="M989" s="0" t="str">
        <f aca="false">IF(I989="","",INDEX(הגדרות!$A$2:$A$21,MOD(I989+הגדרות!$E$9,הגדרות!$E$6)+1))</f>
        <v/>
      </c>
    </row>
    <row r="990" customFormat="false" ht="15" hidden="false" customHeight="false" outlineLevel="0" collapsed="false">
      <c r="A990" s="0" t="str">
        <f aca="false">IF('הדבקת לידים'!A990="","",IF(ISNUMBER('הדבקת לידים'!A990),IF(הגדרות!$E$2&gt;0,TEXT('הדבקת לידים'!A990,REPT("0",הגדרות!$E$2)),TEXT('הדבקת לידים'!A990,"0")),TRIM('הדבקת לידים'!A990)))</f>
        <v/>
      </c>
      <c r="B990" s="0" t="str">
        <f aca="false">IF('הדבקת לידים'!B990="","",IF(ISNUMBER('הדבקת לידים'!B990),IF(הגדרות!$E$3&gt;0,TEXT('הדבקת לידים'!B990,REPT("0",הגדרות!$E$3)),TEXT('הדבקת לידים'!B990,"0")),TRIM('הדבקת לידים'!B990)))</f>
        <v/>
      </c>
      <c r="C990" s="0" t="n">
        <f aca="false">IF(OR(A990&lt;&gt;"",B990&lt;&gt;""),1,0)</f>
        <v>0</v>
      </c>
      <c r="D990" s="0" t="str">
        <f aca="false">IF(C990=1,MOD(ABS(SIN(ROW()*12.9898+'הדבקת לידים'!$F$2*78.233+IFERROR(--RIGHT(A990,6),LEN(A990))*0.0137+IFERROR(--RIGHT(B990,6),LEN(B990))*0.0071))*43758.5453,1),"")</f>
        <v/>
      </c>
      <c r="E990" s="0" t="str">
        <f aca="false">IF(C990=1,INT(MOD(ABS(SIN(D990*7919.123+ROW()*0.618+'הדבקת לידים'!$F$2*1.3))*43758.5453,1)*1000000)*10000+ROW(),"")</f>
        <v/>
      </c>
      <c r="F990" s="0" t="str">
        <f aca="false">IF(E990="","",RANK(E990,$E$2:$E$5001,1))</f>
        <v/>
      </c>
      <c r="G990" s="0" t="n">
        <f aca="false">IF(A990="",0,IF(SUMPRODUCT(--($A$2:$A$5001=A990))&gt;1,1,0))</f>
        <v>0</v>
      </c>
      <c r="H990" s="0" t="n">
        <f aca="false">ROW()-1</f>
        <v>989</v>
      </c>
      <c r="I990" s="0" t="str">
        <f aca="false">IF(OR(הגדרות!$E$6=0,H990&gt;הגדרות!$E$5),"",IF(H990-1&lt;הגדרות!$E$8*(הגדרות!$E$7+1),INT((H990-1)/(הגדרות!$E$7+1)),הגדרות!$E$8+INT((H990-1-הגדרות!$E$8*(הגדרות!$E$7+1))/הגדרות!$E$7)))</f>
        <v/>
      </c>
      <c r="J990" s="0" t="str">
        <f aca="false">IF(I990="","",IF(H990-1&lt;הגדרות!$E$8*(הגדרות!$E$7+1),MOD(H990-1,הגדרות!$E$7+1),MOD(H990-1-הגדרות!$E$8*(הגדרות!$E$7+1),הגדרות!$E$7)))</f>
        <v/>
      </c>
      <c r="K990" s="0" t="str">
        <f aca="false">IF(I990="","",J990*הגדרות!$E$6+I990+1)</f>
        <v/>
      </c>
      <c r="L990" s="0" t="str">
        <f aca="false">IF(K990="","",MATCH(K990,$F$2:$F$5001,0))</f>
        <v/>
      </c>
      <c r="M990" s="0" t="str">
        <f aca="false">IF(I990="","",INDEX(הגדרות!$A$2:$A$21,MOD(I990+הגדרות!$E$9,הגדרות!$E$6)+1))</f>
        <v/>
      </c>
    </row>
    <row r="991" customFormat="false" ht="15" hidden="false" customHeight="false" outlineLevel="0" collapsed="false">
      <c r="A991" s="0" t="str">
        <f aca="false">IF('הדבקת לידים'!A991="","",IF(ISNUMBER('הדבקת לידים'!A991),IF(הגדרות!$E$2&gt;0,TEXT('הדבקת לידים'!A991,REPT("0",הגדרות!$E$2)),TEXT('הדבקת לידים'!A991,"0")),TRIM('הדבקת לידים'!A991)))</f>
        <v/>
      </c>
      <c r="B991" s="0" t="str">
        <f aca="false">IF('הדבקת לידים'!B991="","",IF(ISNUMBER('הדבקת לידים'!B991),IF(הגדרות!$E$3&gt;0,TEXT('הדבקת לידים'!B991,REPT("0",הגדרות!$E$3)),TEXT('הדבקת לידים'!B991,"0")),TRIM('הדבקת לידים'!B991)))</f>
        <v/>
      </c>
      <c r="C991" s="0" t="n">
        <f aca="false">IF(OR(A991&lt;&gt;"",B991&lt;&gt;""),1,0)</f>
        <v>0</v>
      </c>
      <c r="D991" s="0" t="str">
        <f aca="false">IF(C991=1,MOD(ABS(SIN(ROW()*12.9898+'הדבקת לידים'!$F$2*78.233+IFERROR(--RIGHT(A991,6),LEN(A991))*0.0137+IFERROR(--RIGHT(B991,6),LEN(B991))*0.0071))*43758.5453,1),"")</f>
        <v/>
      </c>
      <c r="E991" s="0" t="str">
        <f aca="false">IF(C991=1,INT(MOD(ABS(SIN(D991*7919.123+ROW()*0.618+'הדבקת לידים'!$F$2*1.3))*43758.5453,1)*1000000)*10000+ROW(),"")</f>
        <v/>
      </c>
      <c r="F991" s="0" t="str">
        <f aca="false">IF(E991="","",RANK(E991,$E$2:$E$5001,1))</f>
        <v/>
      </c>
      <c r="G991" s="0" t="n">
        <f aca="false">IF(A991="",0,IF(SUMPRODUCT(--($A$2:$A$5001=A991))&gt;1,1,0))</f>
        <v>0</v>
      </c>
      <c r="H991" s="0" t="n">
        <f aca="false">ROW()-1</f>
        <v>990</v>
      </c>
      <c r="I991" s="0" t="str">
        <f aca="false">IF(OR(הגדרות!$E$6=0,H991&gt;הגדרות!$E$5),"",IF(H991-1&lt;הגדרות!$E$8*(הגדרות!$E$7+1),INT((H991-1)/(הגדרות!$E$7+1)),הגדרות!$E$8+INT((H991-1-הגדרות!$E$8*(הגדרות!$E$7+1))/הגדרות!$E$7)))</f>
        <v/>
      </c>
      <c r="J991" s="0" t="str">
        <f aca="false">IF(I991="","",IF(H991-1&lt;הגדרות!$E$8*(הגדרות!$E$7+1),MOD(H991-1,הגדרות!$E$7+1),MOD(H991-1-הגדרות!$E$8*(הגדרות!$E$7+1),הגדרות!$E$7)))</f>
        <v/>
      </c>
      <c r="K991" s="0" t="str">
        <f aca="false">IF(I991="","",J991*הגדרות!$E$6+I991+1)</f>
        <v/>
      </c>
      <c r="L991" s="0" t="str">
        <f aca="false">IF(K991="","",MATCH(K991,$F$2:$F$5001,0))</f>
        <v/>
      </c>
      <c r="M991" s="0" t="str">
        <f aca="false">IF(I991="","",INDEX(הגדרות!$A$2:$A$21,MOD(I991+הגדרות!$E$9,הגדרות!$E$6)+1))</f>
        <v/>
      </c>
    </row>
    <row r="992" customFormat="false" ht="15" hidden="false" customHeight="false" outlineLevel="0" collapsed="false">
      <c r="A992" s="0" t="str">
        <f aca="false">IF('הדבקת לידים'!A992="","",IF(ISNUMBER('הדבקת לידים'!A992),IF(הגדרות!$E$2&gt;0,TEXT('הדבקת לידים'!A992,REPT("0",הגדרות!$E$2)),TEXT('הדבקת לידים'!A992,"0")),TRIM('הדבקת לידים'!A992)))</f>
        <v/>
      </c>
      <c r="B992" s="0" t="str">
        <f aca="false">IF('הדבקת לידים'!B992="","",IF(ISNUMBER('הדבקת לידים'!B992),IF(הגדרות!$E$3&gt;0,TEXT('הדבקת לידים'!B992,REPT("0",הגדרות!$E$3)),TEXT('הדבקת לידים'!B992,"0")),TRIM('הדבקת לידים'!B992)))</f>
        <v/>
      </c>
      <c r="C992" s="0" t="n">
        <f aca="false">IF(OR(A992&lt;&gt;"",B992&lt;&gt;""),1,0)</f>
        <v>0</v>
      </c>
      <c r="D992" s="0" t="str">
        <f aca="false">IF(C992=1,MOD(ABS(SIN(ROW()*12.9898+'הדבקת לידים'!$F$2*78.233+IFERROR(--RIGHT(A992,6),LEN(A992))*0.0137+IFERROR(--RIGHT(B992,6),LEN(B992))*0.0071))*43758.5453,1),"")</f>
        <v/>
      </c>
      <c r="E992" s="0" t="str">
        <f aca="false">IF(C992=1,INT(MOD(ABS(SIN(D992*7919.123+ROW()*0.618+'הדבקת לידים'!$F$2*1.3))*43758.5453,1)*1000000)*10000+ROW(),"")</f>
        <v/>
      </c>
      <c r="F992" s="0" t="str">
        <f aca="false">IF(E992="","",RANK(E992,$E$2:$E$5001,1))</f>
        <v/>
      </c>
      <c r="G992" s="0" t="n">
        <f aca="false">IF(A992="",0,IF(SUMPRODUCT(--($A$2:$A$5001=A992))&gt;1,1,0))</f>
        <v>0</v>
      </c>
      <c r="H992" s="0" t="n">
        <f aca="false">ROW()-1</f>
        <v>991</v>
      </c>
      <c r="I992" s="0" t="str">
        <f aca="false">IF(OR(הגדרות!$E$6=0,H992&gt;הגדרות!$E$5),"",IF(H992-1&lt;הגדרות!$E$8*(הגדרות!$E$7+1),INT((H992-1)/(הגדרות!$E$7+1)),הגדרות!$E$8+INT((H992-1-הגדרות!$E$8*(הגדרות!$E$7+1))/הגדרות!$E$7)))</f>
        <v/>
      </c>
      <c r="J992" s="0" t="str">
        <f aca="false">IF(I992="","",IF(H992-1&lt;הגדרות!$E$8*(הגדרות!$E$7+1),MOD(H992-1,הגדרות!$E$7+1),MOD(H992-1-הגדרות!$E$8*(הגדרות!$E$7+1),הגדרות!$E$7)))</f>
        <v/>
      </c>
      <c r="K992" s="0" t="str">
        <f aca="false">IF(I992="","",J992*הגדרות!$E$6+I992+1)</f>
        <v/>
      </c>
      <c r="L992" s="0" t="str">
        <f aca="false">IF(K992="","",MATCH(K992,$F$2:$F$5001,0))</f>
        <v/>
      </c>
      <c r="M992" s="0" t="str">
        <f aca="false">IF(I992="","",INDEX(הגדרות!$A$2:$A$21,MOD(I992+הגדרות!$E$9,הגדרות!$E$6)+1))</f>
        <v/>
      </c>
    </row>
    <row r="993" customFormat="false" ht="15" hidden="false" customHeight="false" outlineLevel="0" collapsed="false">
      <c r="A993" s="0" t="str">
        <f aca="false">IF('הדבקת לידים'!A993="","",IF(ISNUMBER('הדבקת לידים'!A993),IF(הגדרות!$E$2&gt;0,TEXT('הדבקת לידים'!A993,REPT("0",הגדרות!$E$2)),TEXT('הדבקת לידים'!A993,"0")),TRIM('הדבקת לידים'!A993)))</f>
        <v/>
      </c>
      <c r="B993" s="0" t="str">
        <f aca="false">IF('הדבקת לידים'!B993="","",IF(ISNUMBER('הדבקת לידים'!B993),IF(הגדרות!$E$3&gt;0,TEXT('הדבקת לידים'!B993,REPT("0",הגדרות!$E$3)),TEXT('הדבקת לידים'!B993,"0")),TRIM('הדבקת לידים'!B993)))</f>
        <v/>
      </c>
      <c r="C993" s="0" t="n">
        <f aca="false">IF(OR(A993&lt;&gt;"",B993&lt;&gt;""),1,0)</f>
        <v>0</v>
      </c>
      <c r="D993" s="0" t="str">
        <f aca="false">IF(C993=1,MOD(ABS(SIN(ROW()*12.9898+'הדבקת לידים'!$F$2*78.233+IFERROR(--RIGHT(A993,6),LEN(A993))*0.0137+IFERROR(--RIGHT(B993,6),LEN(B993))*0.0071))*43758.5453,1),"")</f>
        <v/>
      </c>
      <c r="E993" s="0" t="str">
        <f aca="false">IF(C993=1,INT(MOD(ABS(SIN(D993*7919.123+ROW()*0.618+'הדבקת לידים'!$F$2*1.3))*43758.5453,1)*1000000)*10000+ROW(),"")</f>
        <v/>
      </c>
      <c r="F993" s="0" t="str">
        <f aca="false">IF(E993="","",RANK(E993,$E$2:$E$5001,1))</f>
        <v/>
      </c>
      <c r="G993" s="0" t="n">
        <f aca="false">IF(A993="",0,IF(SUMPRODUCT(--($A$2:$A$5001=A993))&gt;1,1,0))</f>
        <v>0</v>
      </c>
      <c r="H993" s="0" t="n">
        <f aca="false">ROW()-1</f>
        <v>992</v>
      </c>
      <c r="I993" s="0" t="str">
        <f aca="false">IF(OR(הגדרות!$E$6=0,H993&gt;הגדרות!$E$5),"",IF(H993-1&lt;הגדרות!$E$8*(הגדרות!$E$7+1),INT((H993-1)/(הגדרות!$E$7+1)),הגדרות!$E$8+INT((H993-1-הגדרות!$E$8*(הגדרות!$E$7+1))/הגדרות!$E$7)))</f>
        <v/>
      </c>
      <c r="J993" s="0" t="str">
        <f aca="false">IF(I993="","",IF(H993-1&lt;הגדרות!$E$8*(הגדרות!$E$7+1),MOD(H993-1,הגדרות!$E$7+1),MOD(H993-1-הגדרות!$E$8*(הגדרות!$E$7+1),הגדרות!$E$7)))</f>
        <v/>
      </c>
      <c r="K993" s="0" t="str">
        <f aca="false">IF(I993="","",J993*הגדרות!$E$6+I993+1)</f>
        <v/>
      </c>
      <c r="L993" s="0" t="str">
        <f aca="false">IF(K993="","",MATCH(K993,$F$2:$F$5001,0))</f>
        <v/>
      </c>
      <c r="M993" s="0" t="str">
        <f aca="false">IF(I993="","",INDEX(הגדרות!$A$2:$A$21,MOD(I993+הגדרות!$E$9,הגדרות!$E$6)+1))</f>
        <v/>
      </c>
    </row>
    <row r="994" customFormat="false" ht="15" hidden="false" customHeight="false" outlineLevel="0" collapsed="false">
      <c r="A994" s="0" t="str">
        <f aca="false">IF('הדבקת לידים'!A994="","",IF(ISNUMBER('הדבקת לידים'!A994),IF(הגדרות!$E$2&gt;0,TEXT('הדבקת לידים'!A994,REPT("0",הגדרות!$E$2)),TEXT('הדבקת לידים'!A994,"0")),TRIM('הדבקת לידים'!A994)))</f>
        <v/>
      </c>
      <c r="B994" s="0" t="str">
        <f aca="false">IF('הדבקת לידים'!B994="","",IF(ISNUMBER('הדבקת לידים'!B994),IF(הגדרות!$E$3&gt;0,TEXT('הדבקת לידים'!B994,REPT("0",הגדרות!$E$3)),TEXT('הדבקת לידים'!B994,"0")),TRIM('הדבקת לידים'!B994)))</f>
        <v/>
      </c>
      <c r="C994" s="0" t="n">
        <f aca="false">IF(OR(A994&lt;&gt;"",B994&lt;&gt;""),1,0)</f>
        <v>0</v>
      </c>
      <c r="D994" s="0" t="str">
        <f aca="false">IF(C994=1,MOD(ABS(SIN(ROW()*12.9898+'הדבקת לידים'!$F$2*78.233+IFERROR(--RIGHT(A994,6),LEN(A994))*0.0137+IFERROR(--RIGHT(B994,6),LEN(B994))*0.0071))*43758.5453,1),"")</f>
        <v/>
      </c>
      <c r="E994" s="0" t="str">
        <f aca="false">IF(C994=1,INT(MOD(ABS(SIN(D994*7919.123+ROW()*0.618+'הדבקת לידים'!$F$2*1.3))*43758.5453,1)*1000000)*10000+ROW(),"")</f>
        <v/>
      </c>
      <c r="F994" s="0" t="str">
        <f aca="false">IF(E994="","",RANK(E994,$E$2:$E$5001,1))</f>
        <v/>
      </c>
      <c r="G994" s="0" t="n">
        <f aca="false">IF(A994="",0,IF(SUMPRODUCT(--($A$2:$A$5001=A994))&gt;1,1,0))</f>
        <v>0</v>
      </c>
      <c r="H994" s="0" t="n">
        <f aca="false">ROW()-1</f>
        <v>993</v>
      </c>
      <c r="I994" s="0" t="str">
        <f aca="false">IF(OR(הגדרות!$E$6=0,H994&gt;הגדרות!$E$5),"",IF(H994-1&lt;הגדרות!$E$8*(הגדרות!$E$7+1),INT((H994-1)/(הגדרות!$E$7+1)),הגדרות!$E$8+INT((H994-1-הגדרות!$E$8*(הגדרות!$E$7+1))/הגדרות!$E$7)))</f>
        <v/>
      </c>
      <c r="J994" s="0" t="str">
        <f aca="false">IF(I994="","",IF(H994-1&lt;הגדרות!$E$8*(הגדרות!$E$7+1),MOD(H994-1,הגדרות!$E$7+1),MOD(H994-1-הגדרות!$E$8*(הגדרות!$E$7+1),הגדרות!$E$7)))</f>
        <v/>
      </c>
      <c r="K994" s="0" t="str">
        <f aca="false">IF(I994="","",J994*הגדרות!$E$6+I994+1)</f>
        <v/>
      </c>
      <c r="L994" s="0" t="str">
        <f aca="false">IF(K994="","",MATCH(K994,$F$2:$F$5001,0))</f>
        <v/>
      </c>
      <c r="M994" s="0" t="str">
        <f aca="false">IF(I994="","",INDEX(הגדרות!$A$2:$A$21,MOD(I994+הגדרות!$E$9,הגדרות!$E$6)+1))</f>
        <v/>
      </c>
    </row>
    <row r="995" customFormat="false" ht="15" hidden="false" customHeight="false" outlineLevel="0" collapsed="false">
      <c r="A995" s="0" t="str">
        <f aca="false">IF('הדבקת לידים'!A995="","",IF(ISNUMBER('הדבקת לידים'!A995),IF(הגדרות!$E$2&gt;0,TEXT('הדבקת לידים'!A995,REPT("0",הגדרות!$E$2)),TEXT('הדבקת לידים'!A995,"0")),TRIM('הדבקת לידים'!A995)))</f>
        <v/>
      </c>
      <c r="B995" s="0" t="str">
        <f aca="false">IF('הדבקת לידים'!B995="","",IF(ISNUMBER('הדבקת לידים'!B995),IF(הגדרות!$E$3&gt;0,TEXT('הדבקת לידים'!B995,REPT("0",הגדרות!$E$3)),TEXT('הדבקת לידים'!B995,"0")),TRIM('הדבקת לידים'!B995)))</f>
        <v/>
      </c>
      <c r="C995" s="0" t="n">
        <f aca="false">IF(OR(A995&lt;&gt;"",B995&lt;&gt;""),1,0)</f>
        <v>0</v>
      </c>
      <c r="D995" s="0" t="str">
        <f aca="false">IF(C995=1,MOD(ABS(SIN(ROW()*12.9898+'הדבקת לידים'!$F$2*78.233+IFERROR(--RIGHT(A995,6),LEN(A995))*0.0137+IFERROR(--RIGHT(B995,6),LEN(B995))*0.0071))*43758.5453,1),"")</f>
        <v/>
      </c>
      <c r="E995" s="0" t="str">
        <f aca="false">IF(C995=1,INT(MOD(ABS(SIN(D995*7919.123+ROW()*0.618+'הדבקת לידים'!$F$2*1.3))*43758.5453,1)*1000000)*10000+ROW(),"")</f>
        <v/>
      </c>
      <c r="F995" s="0" t="str">
        <f aca="false">IF(E995="","",RANK(E995,$E$2:$E$5001,1))</f>
        <v/>
      </c>
      <c r="G995" s="0" t="n">
        <f aca="false">IF(A995="",0,IF(SUMPRODUCT(--($A$2:$A$5001=A995))&gt;1,1,0))</f>
        <v>0</v>
      </c>
      <c r="H995" s="0" t="n">
        <f aca="false">ROW()-1</f>
        <v>994</v>
      </c>
      <c r="I995" s="0" t="str">
        <f aca="false">IF(OR(הגדרות!$E$6=0,H995&gt;הגדרות!$E$5),"",IF(H995-1&lt;הגדרות!$E$8*(הגדרות!$E$7+1),INT((H995-1)/(הגדרות!$E$7+1)),הגדרות!$E$8+INT((H995-1-הגדרות!$E$8*(הגדרות!$E$7+1))/הגדרות!$E$7)))</f>
        <v/>
      </c>
      <c r="J995" s="0" t="str">
        <f aca="false">IF(I995="","",IF(H995-1&lt;הגדרות!$E$8*(הגדרות!$E$7+1),MOD(H995-1,הגדרות!$E$7+1),MOD(H995-1-הגדרות!$E$8*(הגדרות!$E$7+1),הגדרות!$E$7)))</f>
        <v/>
      </c>
      <c r="K995" s="0" t="str">
        <f aca="false">IF(I995="","",J995*הגדרות!$E$6+I995+1)</f>
        <v/>
      </c>
      <c r="L995" s="0" t="str">
        <f aca="false">IF(K995="","",MATCH(K995,$F$2:$F$5001,0))</f>
        <v/>
      </c>
      <c r="M995" s="0" t="str">
        <f aca="false">IF(I995="","",INDEX(הגדרות!$A$2:$A$21,MOD(I995+הגדרות!$E$9,הגדרות!$E$6)+1))</f>
        <v/>
      </c>
    </row>
    <row r="996" customFormat="false" ht="15" hidden="false" customHeight="false" outlineLevel="0" collapsed="false">
      <c r="A996" s="0" t="str">
        <f aca="false">IF('הדבקת לידים'!A996="","",IF(ISNUMBER('הדבקת לידים'!A996),IF(הגדרות!$E$2&gt;0,TEXT('הדבקת לידים'!A996,REPT("0",הגדרות!$E$2)),TEXT('הדבקת לידים'!A996,"0")),TRIM('הדבקת לידים'!A996)))</f>
        <v/>
      </c>
      <c r="B996" s="0" t="str">
        <f aca="false">IF('הדבקת לידים'!B996="","",IF(ISNUMBER('הדבקת לידים'!B996),IF(הגדרות!$E$3&gt;0,TEXT('הדבקת לידים'!B996,REPT("0",הגדרות!$E$3)),TEXT('הדבקת לידים'!B996,"0")),TRIM('הדבקת לידים'!B996)))</f>
        <v/>
      </c>
      <c r="C996" s="0" t="n">
        <f aca="false">IF(OR(A996&lt;&gt;"",B996&lt;&gt;""),1,0)</f>
        <v>0</v>
      </c>
      <c r="D996" s="0" t="str">
        <f aca="false">IF(C996=1,MOD(ABS(SIN(ROW()*12.9898+'הדבקת לידים'!$F$2*78.233+IFERROR(--RIGHT(A996,6),LEN(A996))*0.0137+IFERROR(--RIGHT(B996,6),LEN(B996))*0.0071))*43758.5453,1),"")</f>
        <v/>
      </c>
      <c r="E996" s="0" t="str">
        <f aca="false">IF(C996=1,INT(MOD(ABS(SIN(D996*7919.123+ROW()*0.618+'הדבקת לידים'!$F$2*1.3))*43758.5453,1)*1000000)*10000+ROW(),"")</f>
        <v/>
      </c>
      <c r="F996" s="0" t="str">
        <f aca="false">IF(E996="","",RANK(E996,$E$2:$E$5001,1))</f>
        <v/>
      </c>
      <c r="G996" s="0" t="n">
        <f aca="false">IF(A996="",0,IF(SUMPRODUCT(--($A$2:$A$5001=A996))&gt;1,1,0))</f>
        <v>0</v>
      </c>
      <c r="H996" s="0" t="n">
        <f aca="false">ROW()-1</f>
        <v>995</v>
      </c>
      <c r="I996" s="0" t="str">
        <f aca="false">IF(OR(הגדרות!$E$6=0,H996&gt;הגדרות!$E$5),"",IF(H996-1&lt;הגדרות!$E$8*(הגדרות!$E$7+1),INT((H996-1)/(הגדרות!$E$7+1)),הגדרות!$E$8+INT((H996-1-הגדרות!$E$8*(הגדרות!$E$7+1))/הגדרות!$E$7)))</f>
        <v/>
      </c>
      <c r="J996" s="0" t="str">
        <f aca="false">IF(I996="","",IF(H996-1&lt;הגדרות!$E$8*(הגדרות!$E$7+1),MOD(H996-1,הגדרות!$E$7+1),MOD(H996-1-הגדרות!$E$8*(הגדרות!$E$7+1),הגדרות!$E$7)))</f>
        <v/>
      </c>
      <c r="K996" s="0" t="str">
        <f aca="false">IF(I996="","",J996*הגדרות!$E$6+I996+1)</f>
        <v/>
      </c>
      <c r="L996" s="0" t="str">
        <f aca="false">IF(K996="","",MATCH(K996,$F$2:$F$5001,0))</f>
        <v/>
      </c>
      <c r="M996" s="0" t="str">
        <f aca="false">IF(I996="","",INDEX(הגדרות!$A$2:$A$21,MOD(I996+הגדרות!$E$9,הגדרות!$E$6)+1))</f>
        <v/>
      </c>
    </row>
    <row r="997" customFormat="false" ht="15" hidden="false" customHeight="false" outlineLevel="0" collapsed="false">
      <c r="A997" s="0" t="str">
        <f aca="false">IF('הדבקת לידים'!A997="","",IF(ISNUMBER('הדבקת לידים'!A997),IF(הגדרות!$E$2&gt;0,TEXT('הדבקת לידים'!A997,REPT("0",הגדרות!$E$2)),TEXT('הדבקת לידים'!A997,"0")),TRIM('הדבקת לידים'!A997)))</f>
        <v/>
      </c>
      <c r="B997" s="0" t="str">
        <f aca="false">IF('הדבקת לידים'!B997="","",IF(ISNUMBER('הדבקת לידים'!B997),IF(הגדרות!$E$3&gt;0,TEXT('הדבקת לידים'!B997,REPT("0",הגדרות!$E$3)),TEXT('הדבקת לידים'!B997,"0")),TRIM('הדבקת לידים'!B997)))</f>
        <v/>
      </c>
      <c r="C997" s="0" t="n">
        <f aca="false">IF(OR(A997&lt;&gt;"",B997&lt;&gt;""),1,0)</f>
        <v>0</v>
      </c>
      <c r="D997" s="0" t="str">
        <f aca="false">IF(C997=1,MOD(ABS(SIN(ROW()*12.9898+'הדבקת לידים'!$F$2*78.233+IFERROR(--RIGHT(A997,6),LEN(A997))*0.0137+IFERROR(--RIGHT(B997,6),LEN(B997))*0.0071))*43758.5453,1),"")</f>
        <v/>
      </c>
      <c r="E997" s="0" t="str">
        <f aca="false">IF(C997=1,INT(MOD(ABS(SIN(D997*7919.123+ROW()*0.618+'הדבקת לידים'!$F$2*1.3))*43758.5453,1)*1000000)*10000+ROW(),"")</f>
        <v/>
      </c>
      <c r="F997" s="0" t="str">
        <f aca="false">IF(E997="","",RANK(E997,$E$2:$E$5001,1))</f>
        <v/>
      </c>
      <c r="G997" s="0" t="n">
        <f aca="false">IF(A997="",0,IF(SUMPRODUCT(--($A$2:$A$5001=A997))&gt;1,1,0))</f>
        <v>0</v>
      </c>
      <c r="H997" s="0" t="n">
        <f aca="false">ROW()-1</f>
        <v>996</v>
      </c>
      <c r="I997" s="0" t="str">
        <f aca="false">IF(OR(הגדרות!$E$6=0,H997&gt;הגדרות!$E$5),"",IF(H997-1&lt;הגדרות!$E$8*(הגדרות!$E$7+1),INT((H997-1)/(הגדרות!$E$7+1)),הגדרות!$E$8+INT((H997-1-הגדרות!$E$8*(הגדרות!$E$7+1))/הגדרות!$E$7)))</f>
        <v/>
      </c>
      <c r="J997" s="0" t="str">
        <f aca="false">IF(I997="","",IF(H997-1&lt;הגדרות!$E$8*(הגדרות!$E$7+1),MOD(H997-1,הגדרות!$E$7+1),MOD(H997-1-הגדרות!$E$8*(הגדרות!$E$7+1),הגדרות!$E$7)))</f>
        <v/>
      </c>
      <c r="K997" s="0" t="str">
        <f aca="false">IF(I997="","",J997*הגדרות!$E$6+I997+1)</f>
        <v/>
      </c>
      <c r="L997" s="0" t="str">
        <f aca="false">IF(K997="","",MATCH(K997,$F$2:$F$5001,0))</f>
        <v/>
      </c>
      <c r="M997" s="0" t="str">
        <f aca="false">IF(I997="","",INDEX(הגדרות!$A$2:$A$21,MOD(I997+הגדרות!$E$9,הגדרות!$E$6)+1))</f>
        <v/>
      </c>
    </row>
    <row r="998" customFormat="false" ht="15" hidden="false" customHeight="false" outlineLevel="0" collapsed="false">
      <c r="A998" s="0" t="str">
        <f aca="false">IF('הדבקת לידים'!A998="","",IF(ISNUMBER('הדבקת לידים'!A998),IF(הגדרות!$E$2&gt;0,TEXT('הדבקת לידים'!A998,REPT("0",הגדרות!$E$2)),TEXT('הדבקת לידים'!A998,"0")),TRIM('הדבקת לידים'!A998)))</f>
        <v/>
      </c>
      <c r="B998" s="0" t="str">
        <f aca="false">IF('הדבקת לידים'!B998="","",IF(ISNUMBER('הדבקת לידים'!B998),IF(הגדרות!$E$3&gt;0,TEXT('הדבקת לידים'!B998,REPT("0",הגדרות!$E$3)),TEXT('הדבקת לידים'!B998,"0")),TRIM('הדבקת לידים'!B998)))</f>
        <v/>
      </c>
      <c r="C998" s="0" t="n">
        <f aca="false">IF(OR(A998&lt;&gt;"",B998&lt;&gt;""),1,0)</f>
        <v>0</v>
      </c>
      <c r="D998" s="0" t="str">
        <f aca="false">IF(C998=1,MOD(ABS(SIN(ROW()*12.9898+'הדבקת לידים'!$F$2*78.233+IFERROR(--RIGHT(A998,6),LEN(A998))*0.0137+IFERROR(--RIGHT(B998,6),LEN(B998))*0.0071))*43758.5453,1),"")</f>
        <v/>
      </c>
      <c r="E998" s="0" t="str">
        <f aca="false">IF(C998=1,INT(MOD(ABS(SIN(D998*7919.123+ROW()*0.618+'הדבקת לידים'!$F$2*1.3))*43758.5453,1)*1000000)*10000+ROW(),"")</f>
        <v/>
      </c>
      <c r="F998" s="0" t="str">
        <f aca="false">IF(E998="","",RANK(E998,$E$2:$E$5001,1))</f>
        <v/>
      </c>
      <c r="G998" s="0" t="n">
        <f aca="false">IF(A998="",0,IF(SUMPRODUCT(--($A$2:$A$5001=A998))&gt;1,1,0))</f>
        <v>0</v>
      </c>
      <c r="H998" s="0" t="n">
        <f aca="false">ROW()-1</f>
        <v>997</v>
      </c>
      <c r="I998" s="0" t="str">
        <f aca="false">IF(OR(הגדרות!$E$6=0,H998&gt;הגדרות!$E$5),"",IF(H998-1&lt;הגדרות!$E$8*(הגדרות!$E$7+1),INT((H998-1)/(הגדרות!$E$7+1)),הגדרות!$E$8+INT((H998-1-הגדרות!$E$8*(הגדרות!$E$7+1))/הגדרות!$E$7)))</f>
        <v/>
      </c>
      <c r="J998" s="0" t="str">
        <f aca="false">IF(I998="","",IF(H998-1&lt;הגדרות!$E$8*(הגדרות!$E$7+1),MOD(H998-1,הגדרות!$E$7+1),MOD(H998-1-הגדרות!$E$8*(הגדרות!$E$7+1),הגדרות!$E$7)))</f>
        <v/>
      </c>
      <c r="K998" s="0" t="str">
        <f aca="false">IF(I998="","",J998*הגדרות!$E$6+I998+1)</f>
        <v/>
      </c>
      <c r="L998" s="0" t="str">
        <f aca="false">IF(K998="","",MATCH(K998,$F$2:$F$5001,0))</f>
        <v/>
      </c>
      <c r="M998" s="0" t="str">
        <f aca="false">IF(I998="","",INDEX(הגדרות!$A$2:$A$21,MOD(I998+הגדרות!$E$9,הגדרות!$E$6)+1))</f>
        <v/>
      </c>
    </row>
    <row r="999" customFormat="false" ht="15" hidden="false" customHeight="false" outlineLevel="0" collapsed="false">
      <c r="A999" s="0" t="str">
        <f aca="false">IF('הדבקת לידים'!A999="","",IF(ISNUMBER('הדבקת לידים'!A999),IF(הגדרות!$E$2&gt;0,TEXT('הדבקת לידים'!A999,REPT("0",הגדרות!$E$2)),TEXT('הדבקת לידים'!A999,"0")),TRIM('הדבקת לידים'!A999)))</f>
        <v/>
      </c>
      <c r="B999" s="0" t="str">
        <f aca="false">IF('הדבקת לידים'!B999="","",IF(ISNUMBER('הדבקת לידים'!B999),IF(הגדרות!$E$3&gt;0,TEXT('הדבקת לידים'!B999,REPT("0",הגדרות!$E$3)),TEXT('הדבקת לידים'!B999,"0")),TRIM('הדבקת לידים'!B999)))</f>
        <v/>
      </c>
      <c r="C999" s="0" t="n">
        <f aca="false">IF(OR(A999&lt;&gt;"",B999&lt;&gt;""),1,0)</f>
        <v>0</v>
      </c>
      <c r="D999" s="0" t="str">
        <f aca="false">IF(C999=1,MOD(ABS(SIN(ROW()*12.9898+'הדבקת לידים'!$F$2*78.233+IFERROR(--RIGHT(A999,6),LEN(A999))*0.0137+IFERROR(--RIGHT(B999,6),LEN(B999))*0.0071))*43758.5453,1),"")</f>
        <v/>
      </c>
      <c r="E999" s="0" t="str">
        <f aca="false">IF(C999=1,INT(MOD(ABS(SIN(D999*7919.123+ROW()*0.618+'הדבקת לידים'!$F$2*1.3))*43758.5453,1)*1000000)*10000+ROW(),"")</f>
        <v/>
      </c>
      <c r="F999" s="0" t="str">
        <f aca="false">IF(E999="","",RANK(E999,$E$2:$E$5001,1))</f>
        <v/>
      </c>
      <c r="G999" s="0" t="n">
        <f aca="false">IF(A999="",0,IF(SUMPRODUCT(--($A$2:$A$5001=A999))&gt;1,1,0))</f>
        <v>0</v>
      </c>
      <c r="H999" s="0" t="n">
        <f aca="false">ROW()-1</f>
        <v>998</v>
      </c>
      <c r="I999" s="0" t="str">
        <f aca="false">IF(OR(הגדרות!$E$6=0,H999&gt;הגדרות!$E$5),"",IF(H999-1&lt;הגדרות!$E$8*(הגדרות!$E$7+1),INT((H999-1)/(הגדרות!$E$7+1)),הגדרות!$E$8+INT((H999-1-הגדרות!$E$8*(הגדרות!$E$7+1))/הגדרות!$E$7)))</f>
        <v/>
      </c>
      <c r="J999" s="0" t="str">
        <f aca="false">IF(I999="","",IF(H999-1&lt;הגדרות!$E$8*(הגדרות!$E$7+1),MOD(H999-1,הגדרות!$E$7+1),MOD(H999-1-הגדרות!$E$8*(הגדרות!$E$7+1),הגדרות!$E$7)))</f>
        <v/>
      </c>
      <c r="K999" s="0" t="str">
        <f aca="false">IF(I999="","",J999*הגדרות!$E$6+I999+1)</f>
        <v/>
      </c>
      <c r="L999" s="0" t="str">
        <f aca="false">IF(K999="","",MATCH(K999,$F$2:$F$5001,0))</f>
        <v/>
      </c>
      <c r="M999" s="0" t="str">
        <f aca="false">IF(I999="","",INDEX(הגדרות!$A$2:$A$21,MOD(I999+הגדרות!$E$9,הגדרות!$E$6)+1))</f>
        <v/>
      </c>
    </row>
    <row r="1000" customFormat="false" ht="15" hidden="false" customHeight="false" outlineLevel="0" collapsed="false">
      <c r="A1000" s="0" t="str">
        <f aca="false">IF('הדבקת לידים'!A1000="","",IF(ISNUMBER('הדבקת לידים'!A1000),IF(הגדרות!$E$2&gt;0,TEXT('הדבקת לידים'!A1000,REPT("0",הגדרות!$E$2)),TEXT('הדבקת לידים'!A1000,"0")),TRIM('הדבקת לידים'!A1000)))</f>
        <v/>
      </c>
      <c r="B1000" s="0" t="str">
        <f aca="false">IF('הדבקת לידים'!B1000="","",IF(ISNUMBER('הדבקת לידים'!B1000),IF(הגדרות!$E$3&gt;0,TEXT('הדבקת לידים'!B1000,REPT("0",הגדרות!$E$3)),TEXT('הדבקת לידים'!B1000,"0")),TRIM('הדבקת לידים'!B1000)))</f>
        <v/>
      </c>
      <c r="C1000" s="0" t="n">
        <f aca="false">IF(OR(A1000&lt;&gt;"",B1000&lt;&gt;""),1,0)</f>
        <v>0</v>
      </c>
      <c r="D1000" s="0" t="str">
        <f aca="false">IF(C1000=1,MOD(ABS(SIN(ROW()*12.9898+'הדבקת לידים'!$F$2*78.233+IFERROR(--RIGHT(A1000,6),LEN(A1000))*0.0137+IFERROR(--RIGHT(B1000,6),LEN(B1000))*0.0071))*43758.5453,1),"")</f>
        <v/>
      </c>
      <c r="E1000" s="0" t="str">
        <f aca="false">IF(C1000=1,INT(MOD(ABS(SIN(D1000*7919.123+ROW()*0.618+'הדבקת לידים'!$F$2*1.3))*43758.5453,1)*1000000)*10000+ROW(),"")</f>
        <v/>
      </c>
      <c r="F1000" s="0" t="str">
        <f aca="false">IF(E1000="","",RANK(E1000,$E$2:$E$5001,1))</f>
        <v/>
      </c>
      <c r="G1000" s="0" t="n">
        <f aca="false">IF(A1000="",0,IF(SUMPRODUCT(--($A$2:$A$5001=A1000))&gt;1,1,0))</f>
        <v>0</v>
      </c>
      <c r="H1000" s="0" t="n">
        <f aca="false">ROW()-1</f>
        <v>999</v>
      </c>
      <c r="I1000" s="0" t="str">
        <f aca="false">IF(OR(הגדרות!$E$6=0,H1000&gt;הגדרות!$E$5),"",IF(H1000-1&lt;הגדרות!$E$8*(הגדרות!$E$7+1),INT((H1000-1)/(הגדרות!$E$7+1)),הגדרות!$E$8+INT((H1000-1-הגדרות!$E$8*(הגדרות!$E$7+1))/הגדרות!$E$7)))</f>
        <v/>
      </c>
      <c r="J1000" s="0" t="str">
        <f aca="false">IF(I1000="","",IF(H1000-1&lt;הגדרות!$E$8*(הגדרות!$E$7+1),MOD(H1000-1,הגדרות!$E$7+1),MOD(H1000-1-הגדרות!$E$8*(הגדרות!$E$7+1),הגדרות!$E$7)))</f>
        <v/>
      </c>
      <c r="K1000" s="0" t="str">
        <f aca="false">IF(I1000="","",J1000*הגדרות!$E$6+I1000+1)</f>
        <v/>
      </c>
      <c r="L1000" s="0" t="str">
        <f aca="false">IF(K1000="","",MATCH(K1000,$F$2:$F$5001,0))</f>
        <v/>
      </c>
      <c r="M1000" s="0" t="str">
        <f aca="false">IF(I1000="","",INDEX(הגדרות!$A$2:$A$21,MOD(I1000+הגדרות!$E$9,הגדרות!$E$6)+1))</f>
        <v/>
      </c>
    </row>
    <row r="1001" customFormat="false" ht="15" hidden="false" customHeight="false" outlineLevel="0" collapsed="false">
      <c r="A1001" s="0" t="str">
        <f aca="false">IF('הדבקת לידים'!A1001="","",IF(ISNUMBER('הדבקת לידים'!A1001),IF(הגדרות!$E$2&gt;0,TEXT('הדבקת לידים'!A1001,REPT("0",הגדרות!$E$2)),TEXT('הדבקת לידים'!A1001,"0")),TRIM('הדבקת לידים'!A1001)))</f>
        <v/>
      </c>
      <c r="B1001" s="0" t="str">
        <f aca="false">IF('הדבקת לידים'!B1001="","",IF(ISNUMBER('הדבקת לידים'!B1001),IF(הגדרות!$E$3&gt;0,TEXT('הדבקת לידים'!B1001,REPT("0",הגדרות!$E$3)),TEXT('הדבקת לידים'!B1001,"0")),TRIM('הדבקת לידים'!B1001)))</f>
        <v/>
      </c>
      <c r="C1001" s="0" t="n">
        <f aca="false">IF(OR(A1001&lt;&gt;"",B1001&lt;&gt;""),1,0)</f>
        <v>0</v>
      </c>
      <c r="D1001" s="0" t="str">
        <f aca="false">IF(C1001=1,MOD(ABS(SIN(ROW()*12.9898+'הדבקת לידים'!$F$2*78.233+IFERROR(--RIGHT(A1001,6),LEN(A1001))*0.0137+IFERROR(--RIGHT(B1001,6),LEN(B1001))*0.0071))*43758.5453,1),"")</f>
        <v/>
      </c>
      <c r="E1001" s="0" t="str">
        <f aca="false">IF(C1001=1,INT(MOD(ABS(SIN(D1001*7919.123+ROW()*0.618+'הדבקת לידים'!$F$2*1.3))*43758.5453,1)*1000000)*10000+ROW(),"")</f>
        <v/>
      </c>
      <c r="F1001" s="0" t="str">
        <f aca="false">IF(E1001="","",RANK(E1001,$E$2:$E$5001,1))</f>
        <v/>
      </c>
      <c r="G1001" s="0" t="n">
        <f aca="false">IF(A1001="",0,IF(SUMPRODUCT(--($A$2:$A$5001=A1001))&gt;1,1,0))</f>
        <v>0</v>
      </c>
      <c r="H1001" s="0" t="n">
        <f aca="false">ROW()-1</f>
        <v>1000</v>
      </c>
      <c r="I1001" s="0" t="str">
        <f aca="false">IF(OR(הגדרות!$E$6=0,H1001&gt;הגדרות!$E$5),"",IF(H1001-1&lt;הגדרות!$E$8*(הגדרות!$E$7+1),INT((H1001-1)/(הגדרות!$E$7+1)),הגדרות!$E$8+INT((H1001-1-הגדרות!$E$8*(הגדרות!$E$7+1))/הגדרות!$E$7)))</f>
        <v/>
      </c>
      <c r="J1001" s="0" t="str">
        <f aca="false">IF(I1001="","",IF(H1001-1&lt;הגדרות!$E$8*(הגדרות!$E$7+1),MOD(H1001-1,הגדרות!$E$7+1),MOD(H1001-1-הגדרות!$E$8*(הגדרות!$E$7+1),הגדרות!$E$7)))</f>
        <v/>
      </c>
      <c r="K1001" s="0" t="str">
        <f aca="false">IF(I1001="","",J1001*הגדרות!$E$6+I1001+1)</f>
        <v/>
      </c>
      <c r="L1001" s="0" t="str">
        <f aca="false">IF(K1001="","",MATCH(K1001,$F$2:$F$5001,0))</f>
        <v/>
      </c>
      <c r="M1001" s="0" t="str">
        <f aca="false">IF(I1001="","",INDEX(הגדרות!$A$2:$A$21,MOD(I1001+הגדרות!$E$9,הגדרות!$E$6)+1))</f>
        <v/>
      </c>
    </row>
    <row r="1002" customFormat="false" ht="15" hidden="false" customHeight="false" outlineLevel="0" collapsed="false">
      <c r="A1002" s="0" t="str">
        <f aca="false">IF('הדבקת לידים'!A1002="","",IF(ISNUMBER('הדבקת לידים'!A1002),IF(הגדרות!$E$2&gt;0,TEXT('הדבקת לידים'!A1002,REPT("0",הגדרות!$E$2)),TEXT('הדבקת לידים'!A1002,"0")),TRIM('הדבקת לידים'!A1002)))</f>
        <v/>
      </c>
      <c r="B1002" s="0" t="str">
        <f aca="false">IF('הדבקת לידים'!B1002="","",IF(ISNUMBER('הדבקת לידים'!B1002),IF(הגדרות!$E$3&gt;0,TEXT('הדבקת לידים'!B1002,REPT("0",הגדרות!$E$3)),TEXT('הדבקת לידים'!B1002,"0")),TRIM('הדבקת לידים'!B1002)))</f>
        <v/>
      </c>
      <c r="C1002" s="0" t="n">
        <f aca="false">IF(OR(A1002&lt;&gt;"",B1002&lt;&gt;""),1,0)</f>
        <v>0</v>
      </c>
      <c r="D1002" s="0" t="str">
        <f aca="false">IF(C1002=1,MOD(ABS(SIN(ROW()*12.9898+'הדבקת לידים'!$F$2*78.233+IFERROR(--RIGHT(A1002,6),LEN(A1002))*0.0137+IFERROR(--RIGHT(B1002,6),LEN(B1002))*0.0071))*43758.5453,1),"")</f>
        <v/>
      </c>
      <c r="E1002" s="0" t="str">
        <f aca="false">IF(C1002=1,INT(MOD(ABS(SIN(D1002*7919.123+ROW()*0.618+'הדבקת לידים'!$F$2*1.3))*43758.5453,1)*1000000)*10000+ROW(),"")</f>
        <v/>
      </c>
      <c r="F1002" s="0" t="str">
        <f aca="false">IF(E1002="","",RANK(E1002,$E$2:$E$5001,1))</f>
        <v/>
      </c>
      <c r="G1002" s="0" t="n">
        <f aca="false">IF(A1002="",0,IF(SUMPRODUCT(--($A$2:$A$5001=A1002))&gt;1,1,0))</f>
        <v>0</v>
      </c>
      <c r="H1002" s="0" t="n">
        <f aca="false">ROW()-1</f>
        <v>1001</v>
      </c>
      <c r="I1002" s="0" t="str">
        <f aca="false">IF(OR(הגדרות!$E$6=0,H1002&gt;הגדרות!$E$5),"",IF(H1002-1&lt;הגדרות!$E$8*(הגדרות!$E$7+1),INT((H1002-1)/(הגדרות!$E$7+1)),הגדרות!$E$8+INT((H1002-1-הגדרות!$E$8*(הגדרות!$E$7+1))/הגדרות!$E$7)))</f>
        <v/>
      </c>
      <c r="J1002" s="0" t="str">
        <f aca="false">IF(I1002="","",IF(H1002-1&lt;הגדרות!$E$8*(הגדרות!$E$7+1),MOD(H1002-1,הגדרות!$E$7+1),MOD(H1002-1-הגדרות!$E$8*(הגדרות!$E$7+1),הגדרות!$E$7)))</f>
        <v/>
      </c>
      <c r="K1002" s="0" t="str">
        <f aca="false">IF(I1002="","",J1002*הגדרות!$E$6+I1002+1)</f>
        <v/>
      </c>
      <c r="L1002" s="0" t="str">
        <f aca="false">IF(K1002="","",MATCH(K1002,$F$2:$F$5001,0))</f>
        <v/>
      </c>
      <c r="M1002" s="0" t="str">
        <f aca="false">IF(I1002="","",INDEX(הגדרות!$A$2:$A$21,MOD(I1002+הגדרות!$E$9,הגדרות!$E$6)+1))</f>
        <v/>
      </c>
    </row>
    <row r="1003" customFormat="false" ht="15" hidden="false" customHeight="false" outlineLevel="0" collapsed="false">
      <c r="A1003" s="0" t="str">
        <f aca="false">IF('הדבקת לידים'!A1003="","",IF(ISNUMBER('הדבקת לידים'!A1003),IF(הגדרות!$E$2&gt;0,TEXT('הדבקת לידים'!A1003,REPT("0",הגדרות!$E$2)),TEXT('הדבקת לידים'!A1003,"0")),TRIM('הדבקת לידים'!A1003)))</f>
        <v/>
      </c>
      <c r="B1003" s="0" t="str">
        <f aca="false">IF('הדבקת לידים'!B1003="","",IF(ISNUMBER('הדבקת לידים'!B1003),IF(הגדרות!$E$3&gt;0,TEXT('הדבקת לידים'!B1003,REPT("0",הגדרות!$E$3)),TEXT('הדבקת לידים'!B1003,"0")),TRIM('הדבקת לידים'!B1003)))</f>
        <v/>
      </c>
      <c r="C1003" s="0" t="n">
        <f aca="false">IF(OR(A1003&lt;&gt;"",B1003&lt;&gt;""),1,0)</f>
        <v>0</v>
      </c>
      <c r="D1003" s="0" t="str">
        <f aca="false">IF(C1003=1,MOD(ABS(SIN(ROW()*12.9898+'הדבקת לידים'!$F$2*78.233+IFERROR(--RIGHT(A1003,6),LEN(A1003))*0.0137+IFERROR(--RIGHT(B1003,6),LEN(B1003))*0.0071))*43758.5453,1),"")</f>
        <v/>
      </c>
      <c r="E1003" s="0" t="str">
        <f aca="false">IF(C1003=1,INT(MOD(ABS(SIN(D1003*7919.123+ROW()*0.618+'הדבקת לידים'!$F$2*1.3))*43758.5453,1)*1000000)*10000+ROW(),"")</f>
        <v/>
      </c>
      <c r="F1003" s="0" t="str">
        <f aca="false">IF(E1003="","",RANK(E1003,$E$2:$E$5001,1))</f>
        <v/>
      </c>
      <c r="G1003" s="0" t="n">
        <f aca="false">IF(A1003="",0,IF(SUMPRODUCT(--($A$2:$A$5001=A1003))&gt;1,1,0))</f>
        <v>0</v>
      </c>
      <c r="H1003" s="0" t="n">
        <f aca="false">ROW()-1</f>
        <v>1002</v>
      </c>
      <c r="I1003" s="0" t="str">
        <f aca="false">IF(OR(הגדרות!$E$6=0,H1003&gt;הגדרות!$E$5),"",IF(H1003-1&lt;הגדרות!$E$8*(הגדרות!$E$7+1),INT((H1003-1)/(הגדרות!$E$7+1)),הגדרות!$E$8+INT((H1003-1-הגדרות!$E$8*(הגדרות!$E$7+1))/הגדרות!$E$7)))</f>
        <v/>
      </c>
      <c r="J1003" s="0" t="str">
        <f aca="false">IF(I1003="","",IF(H1003-1&lt;הגדרות!$E$8*(הגדרות!$E$7+1),MOD(H1003-1,הגדרות!$E$7+1),MOD(H1003-1-הגדרות!$E$8*(הגדרות!$E$7+1),הגדרות!$E$7)))</f>
        <v/>
      </c>
      <c r="K1003" s="0" t="str">
        <f aca="false">IF(I1003="","",J1003*הגדרות!$E$6+I1003+1)</f>
        <v/>
      </c>
      <c r="L1003" s="0" t="str">
        <f aca="false">IF(K1003="","",MATCH(K1003,$F$2:$F$5001,0))</f>
        <v/>
      </c>
      <c r="M1003" s="0" t="str">
        <f aca="false">IF(I1003="","",INDEX(הגדרות!$A$2:$A$21,MOD(I1003+הגדרות!$E$9,הגדרות!$E$6)+1))</f>
        <v/>
      </c>
    </row>
    <row r="1004" customFormat="false" ht="15" hidden="false" customHeight="false" outlineLevel="0" collapsed="false">
      <c r="A1004" s="0" t="str">
        <f aca="false">IF('הדבקת לידים'!A1004="","",IF(ISNUMBER('הדבקת לידים'!A1004),IF(הגדרות!$E$2&gt;0,TEXT('הדבקת לידים'!A1004,REPT("0",הגדרות!$E$2)),TEXT('הדבקת לידים'!A1004,"0")),TRIM('הדבקת לידים'!A1004)))</f>
        <v/>
      </c>
      <c r="B1004" s="0" t="str">
        <f aca="false">IF('הדבקת לידים'!B1004="","",IF(ISNUMBER('הדבקת לידים'!B1004),IF(הגדרות!$E$3&gt;0,TEXT('הדבקת לידים'!B1004,REPT("0",הגדרות!$E$3)),TEXT('הדבקת לידים'!B1004,"0")),TRIM('הדבקת לידים'!B1004)))</f>
        <v/>
      </c>
      <c r="C1004" s="0" t="n">
        <f aca="false">IF(OR(A1004&lt;&gt;"",B1004&lt;&gt;""),1,0)</f>
        <v>0</v>
      </c>
      <c r="D1004" s="0" t="str">
        <f aca="false">IF(C1004=1,MOD(ABS(SIN(ROW()*12.9898+'הדבקת לידים'!$F$2*78.233+IFERROR(--RIGHT(A1004,6),LEN(A1004))*0.0137+IFERROR(--RIGHT(B1004,6),LEN(B1004))*0.0071))*43758.5453,1),"")</f>
        <v/>
      </c>
      <c r="E1004" s="0" t="str">
        <f aca="false">IF(C1004=1,INT(MOD(ABS(SIN(D1004*7919.123+ROW()*0.618+'הדבקת לידים'!$F$2*1.3))*43758.5453,1)*1000000)*10000+ROW(),"")</f>
        <v/>
      </c>
      <c r="F1004" s="0" t="str">
        <f aca="false">IF(E1004="","",RANK(E1004,$E$2:$E$5001,1))</f>
        <v/>
      </c>
      <c r="G1004" s="0" t="n">
        <f aca="false">IF(A1004="",0,IF(SUMPRODUCT(--($A$2:$A$5001=A1004))&gt;1,1,0))</f>
        <v>0</v>
      </c>
      <c r="H1004" s="0" t="n">
        <f aca="false">ROW()-1</f>
        <v>1003</v>
      </c>
      <c r="I1004" s="0" t="str">
        <f aca="false">IF(OR(הגדרות!$E$6=0,H1004&gt;הגדרות!$E$5),"",IF(H1004-1&lt;הגדרות!$E$8*(הגדרות!$E$7+1),INT((H1004-1)/(הגדרות!$E$7+1)),הגדרות!$E$8+INT((H1004-1-הגדרות!$E$8*(הגדרות!$E$7+1))/הגדרות!$E$7)))</f>
        <v/>
      </c>
      <c r="J1004" s="0" t="str">
        <f aca="false">IF(I1004="","",IF(H1004-1&lt;הגדרות!$E$8*(הגדרות!$E$7+1),MOD(H1004-1,הגדרות!$E$7+1),MOD(H1004-1-הגדרות!$E$8*(הגדרות!$E$7+1),הגדרות!$E$7)))</f>
        <v/>
      </c>
      <c r="K1004" s="0" t="str">
        <f aca="false">IF(I1004="","",J1004*הגדרות!$E$6+I1004+1)</f>
        <v/>
      </c>
      <c r="L1004" s="0" t="str">
        <f aca="false">IF(K1004="","",MATCH(K1004,$F$2:$F$5001,0))</f>
        <v/>
      </c>
      <c r="M1004" s="0" t="str">
        <f aca="false">IF(I1004="","",INDEX(הגדרות!$A$2:$A$21,MOD(I1004+הגדרות!$E$9,הגדרות!$E$6)+1))</f>
        <v/>
      </c>
    </row>
    <row r="1005" customFormat="false" ht="15" hidden="false" customHeight="false" outlineLevel="0" collapsed="false">
      <c r="A1005" s="0" t="str">
        <f aca="false">IF('הדבקת לידים'!A1005="","",IF(ISNUMBER('הדבקת לידים'!A1005),IF(הגדרות!$E$2&gt;0,TEXT('הדבקת לידים'!A1005,REPT("0",הגדרות!$E$2)),TEXT('הדבקת לידים'!A1005,"0")),TRIM('הדבקת לידים'!A1005)))</f>
        <v/>
      </c>
      <c r="B1005" s="0" t="str">
        <f aca="false">IF('הדבקת לידים'!B1005="","",IF(ISNUMBER('הדבקת לידים'!B1005),IF(הגדרות!$E$3&gt;0,TEXT('הדבקת לידים'!B1005,REPT("0",הגדרות!$E$3)),TEXT('הדבקת לידים'!B1005,"0")),TRIM('הדבקת לידים'!B1005)))</f>
        <v/>
      </c>
      <c r="C1005" s="0" t="n">
        <f aca="false">IF(OR(A1005&lt;&gt;"",B1005&lt;&gt;""),1,0)</f>
        <v>0</v>
      </c>
      <c r="D1005" s="0" t="str">
        <f aca="false">IF(C1005=1,MOD(ABS(SIN(ROW()*12.9898+'הדבקת לידים'!$F$2*78.233+IFERROR(--RIGHT(A1005,6),LEN(A1005))*0.0137+IFERROR(--RIGHT(B1005,6),LEN(B1005))*0.0071))*43758.5453,1),"")</f>
        <v/>
      </c>
      <c r="E1005" s="0" t="str">
        <f aca="false">IF(C1005=1,INT(MOD(ABS(SIN(D1005*7919.123+ROW()*0.618+'הדבקת לידים'!$F$2*1.3))*43758.5453,1)*1000000)*10000+ROW(),"")</f>
        <v/>
      </c>
      <c r="F1005" s="0" t="str">
        <f aca="false">IF(E1005="","",RANK(E1005,$E$2:$E$5001,1))</f>
        <v/>
      </c>
      <c r="G1005" s="0" t="n">
        <f aca="false">IF(A1005="",0,IF(SUMPRODUCT(--($A$2:$A$5001=A1005))&gt;1,1,0))</f>
        <v>0</v>
      </c>
      <c r="H1005" s="0" t="n">
        <f aca="false">ROW()-1</f>
        <v>1004</v>
      </c>
      <c r="I1005" s="0" t="str">
        <f aca="false">IF(OR(הגדרות!$E$6=0,H1005&gt;הגדרות!$E$5),"",IF(H1005-1&lt;הגדרות!$E$8*(הגדרות!$E$7+1),INT((H1005-1)/(הגדרות!$E$7+1)),הגדרות!$E$8+INT((H1005-1-הגדרות!$E$8*(הגדרות!$E$7+1))/הגדרות!$E$7)))</f>
        <v/>
      </c>
      <c r="J1005" s="0" t="str">
        <f aca="false">IF(I1005="","",IF(H1005-1&lt;הגדרות!$E$8*(הגדרות!$E$7+1),MOD(H1005-1,הגדרות!$E$7+1),MOD(H1005-1-הגדרות!$E$8*(הגדרות!$E$7+1),הגדרות!$E$7)))</f>
        <v/>
      </c>
      <c r="K1005" s="0" t="str">
        <f aca="false">IF(I1005="","",J1005*הגדרות!$E$6+I1005+1)</f>
        <v/>
      </c>
      <c r="L1005" s="0" t="str">
        <f aca="false">IF(K1005="","",MATCH(K1005,$F$2:$F$5001,0))</f>
        <v/>
      </c>
      <c r="M1005" s="0" t="str">
        <f aca="false">IF(I1005="","",INDEX(הגדרות!$A$2:$A$21,MOD(I1005+הגדרות!$E$9,הגדרות!$E$6)+1))</f>
        <v/>
      </c>
    </row>
    <row r="1006" customFormat="false" ht="15" hidden="false" customHeight="false" outlineLevel="0" collapsed="false">
      <c r="A1006" s="0" t="str">
        <f aca="false">IF('הדבקת לידים'!A1006="","",IF(ISNUMBER('הדבקת לידים'!A1006),IF(הגדרות!$E$2&gt;0,TEXT('הדבקת לידים'!A1006,REPT("0",הגדרות!$E$2)),TEXT('הדבקת לידים'!A1006,"0")),TRIM('הדבקת לידים'!A1006)))</f>
        <v/>
      </c>
      <c r="B1006" s="0" t="str">
        <f aca="false">IF('הדבקת לידים'!B1006="","",IF(ISNUMBER('הדבקת לידים'!B1006),IF(הגדרות!$E$3&gt;0,TEXT('הדבקת לידים'!B1006,REPT("0",הגדרות!$E$3)),TEXT('הדבקת לידים'!B1006,"0")),TRIM('הדבקת לידים'!B1006)))</f>
        <v/>
      </c>
      <c r="C1006" s="0" t="n">
        <f aca="false">IF(OR(A1006&lt;&gt;"",B1006&lt;&gt;""),1,0)</f>
        <v>0</v>
      </c>
      <c r="D1006" s="0" t="str">
        <f aca="false">IF(C1006=1,MOD(ABS(SIN(ROW()*12.9898+'הדבקת לידים'!$F$2*78.233+IFERROR(--RIGHT(A1006,6),LEN(A1006))*0.0137+IFERROR(--RIGHT(B1006,6),LEN(B1006))*0.0071))*43758.5453,1),"")</f>
        <v/>
      </c>
      <c r="E1006" s="0" t="str">
        <f aca="false">IF(C1006=1,INT(MOD(ABS(SIN(D1006*7919.123+ROW()*0.618+'הדבקת לידים'!$F$2*1.3))*43758.5453,1)*1000000)*10000+ROW(),"")</f>
        <v/>
      </c>
      <c r="F1006" s="0" t="str">
        <f aca="false">IF(E1006="","",RANK(E1006,$E$2:$E$5001,1))</f>
        <v/>
      </c>
      <c r="G1006" s="0" t="n">
        <f aca="false">IF(A1006="",0,IF(SUMPRODUCT(--($A$2:$A$5001=A1006))&gt;1,1,0))</f>
        <v>0</v>
      </c>
      <c r="H1006" s="0" t="n">
        <f aca="false">ROW()-1</f>
        <v>1005</v>
      </c>
      <c r="I1006" s="0" t="str">
        <f aca="false">IF(OR(הגדרות!$E$6=0,H1006&gt;הגדרות!$E$5),"",IF(H1006-1&lt;הגדרות!$E$8*(הגדרות!$E$7+1),INT((H1006-1)/(הגדרות!$E$7+1)),הגדרות!$E$8+INT((H1006-1-הגדרות!$E$8*(הגדרות!$E$7+1))/הגדרות!$E$7)))</f>
        <v/>
      </c>
      <c r="J1006" s="0" t="str">
        <f aca="false">IF(I1006="","",IF(H1006-1&lt;הגדרות!$E$8*(הגדרות!$E$7+1),MOD(H1006-1,הגדרות!$E$7+1),MOD(H1006-1-הגדרות!$E$8*(הגדרות!$E$7+1),הגדרות!$E$7)))</f>
        <v/>
      </c>
      <c r="K1006" s="0" t="str">
        <f aca="false">IF(I1006="","",J1006*הגדרות!$E$6+I1006+1)</f>
        <v/>
      </c>
      <c r="L1006" s="0" t="str">
        <f aca="false">IF(K1006="","",MATCH(K1006,$F$2:$F$5001,0))</f>
        <v/>
      </c>
      <c r="M1006" s="0" t="str">
        <f aca="false">IF(I1006="","",INDEX(הגדרות!$A$2:$A$21,MOD(I1006+הגדרות!$E$9,הגדרות!$E$6)+1))</f>
        <v/>
      </c>
    </row>
    <row r="1007" customFormat="false" ht="15" hidden="false" customHeight="false" outlineLevel="0" collapsed="false">
      <c r="A1007" s="0" t="str">
        <f aca="false">IF('הדבקת לידים'!A1007="","",IF(ISNUMBER('הדבקת לידים'!A1007),IF(הגדרות!$E$2&gt;0,TEXT('הדבקת לידים'!A1007,REPT("0",הגדרות!$E$2)),TEXT('הדבקת לידים'!A1007,"0")),TRIM('הדבקת לידים'!A1007)))</f>
        <v/>
      </c>
      <c r="B1007" s="0" t="str">
        <f aca="false">IF('הדבקת לידים'!B1007="","",IF(ISNUMBER('הדבקת לידים'!B1007),IF(הגדרות!$E$3&gt;0,TEXT('הדבקת לידים'!B1007,REPT("0",הגדרות!$E$3)),TEXT('הדבקת לידים'!B1007,"0")),TRIM('הדבקת לידים'!B1007)))</f>
        <v/>
      </c>
      <c r="C1007" s="0" t="n">
        <f aca="false">IF(OR(A1007&lt;&gt;"",B1007&lt;&gt;""),1,0)</f>
        <v>0</v>
      </c>
      <c r="D1007" s="0" t="str">
        <f aca="false">IF(C1007=1,MOD(ABS(SIN(ROW()*12.9898+'הדבקת לידים'!$F$2*78.233+IFERROR(--RIGHT(A1007,6),LEN(A1007))*0.0137+IFERROR(--RIGHT(B1007,6),LEN(B1007))*0.0071))*43758.5453,1),"")</f>
        <v/>
      </c>
      <c r="E1007" s="0" t="str">
        <f aca="false">IF(C1007=1,INT(MOD(ABS(SIN(D1007*7919.123+ROW()*0.618+'הדבקת לידים'!$F$2*1.3))*43758.5453,1)*1000000)*10000+ROW(),"")</f>
        <v/>
      </c>
      <c r="F1007" s="0" t="str">
        <f aca="false">IF(E1007="","",RANK(E1007,$E$2:$E$5001,1))</f>
        <v/>
      </c>
      <c r="G1007" s="0" t="n">
        <f aca="false">IF(A1007="",0,IF(SUMPRODUCT(--($A$2:$A$5001=A1007))&gt;1,1,0))</f>
        <v>0</v>
      </c>
      <c r="H1007" s="0" t="n">
        <f aca="false">ROW()-1</f>
        <v>1006</v>
      </c>
      <c r="I1007" s="0" t="str">
        <f aca="false">IF(OR(הגדרות!$E$6=0,H1007&gt;הגדרות!$E$5),"",IF(H1007-1&lt;הגדרות!$E$8*(הגדרות!$E$7+1),INT((H1007-1)/(הגדרות!$E$7+1)),הגדרות!$E$8+INT((H1007-1-הגדרות!$E$8*(הגדרות!$E$7+1))/הגדרות!$E$7)))</f>
        <v/>
      </c>
      <c r="J1007" s="0" t="str">
        <f aca="false">IF(I1007="","",IF(H1007-1&lt;הגדרות!$E$8*(הגדרות!$E$7+1),MOD(H1007-1,הגדרות!$E$7+1),MOD(H1007-1-הגדרות!$E$8*(הגדרות!$E$7+1),הגדרות!$E$7)))</f>
        <v/>
      </c>
      <c r="K1007" s="0" t="str">
        <f aca="false">IF(I1007="","",J1007*הגדרות!$E$6+I1007+1)</f>
        <v/>
      </c>
      <c r="L1007" s="0" t="str">
        <f aca="false">IF(K1007="","",MATCH(K1007,$F$2:$F$5001,0))</f>
        <v/>
      </c>
      <c r="M1007" s="0" t="str">
        <f aca="false">IF(I1007="","",INDEX(הגדרות!$A$2:$A$21,MOD(I1007+הגדרות!$E$9,הגדרות!$E$6)+1))</f>
        <v/>
      </c>
    </row>
    <row r="1008" customFormat="false" ht="15" hidden="false" customHeight="false" outlineLevel="0" collapsed="false">
      <c r="A1008" s="0" t="str">
        <f aca="false">IF('הדבקת לידים'!A1008="","",IF(ISNUMBER('הדבקת לידים'!A1008),IF(הגדרות!$E$2&gt;0,TEXT('הדבקת לידים'!A1008,REPT("0",הגדרות!$E$2)),TEXT('הדבקת לידים'!A1008,"0")),TRIM('הדבקת לידים'!A1008)))</f>
        <v/>
      </c>
      <c r="B1008" s="0" t="str">
        <f aca="false">IF('הדבקת לידים'!B1008="","",IF(ISNUMBER('הדבקת לידים'!B1008),IF(הגדרות!$E$3&gt;0,TEXT('הדבקת לידים'!B1008,REPT("0",הגדרות!$E$3)),TEXT('הדבקת לידים'!B1008,"0")),TRIM('הדבקת לידים'!B1008)))</f>
        <v/>
      </c>
      <c r="C1008" s="0" t="n">
        <f aca="false">IF(OR(A1008&lt;&gt;"",B1008&lt;&gt;""),1,0)</f>
        <v>0</v>
      </c>
      <c r="D1008" s="0" t="str">
        <f aca="false">IF(C1008=1,MOD(ABS(SIN(ROW()*12.9898+'הדבקת לידים'!$F$2*78.233+IFERROR(--RIGHT(A1008,6),LEN(A1008))*0.0137+IFERROR(--RIGHT(B1008,6),LEN(B1008))*0.0071))*43758.5453,1),"")</f>
        <v/>
      </c>
      <c r="E1008" s="0" t="str">
        <f aca="false">IF(C1008=1,INT(MOD(ABS(SIN(D1008*7919.123+ROW()*0.618+'הדבקת לידים'!$F$2*1.3))*43758.5453,1)*1000000)*10000+ROW(),"")</f>
        <v/>
      </c>
      <c r="F1008" s="0" t="str">
        <f aca="false">IF(E1008="","",RANK(E1008,$E$2:$E$5001,1))</f>
        <v/>
      </c>
      <c r="G1008" s="0" t="n">
        <f aca="false">IF(A1008="",0,IF(SUMPRODUCT(--($A$2:$A$5001=A1008))&gt;1,1,0))</f>
        <v>0</v>
      </c>
      <c r="H1008" s="0" t="n">
        <f aca="false">ROW()-1</f>
        <v>1007</v>
      </c>
      <c r="I1008" s="0" t="str">
        <f aca="false">IF(OR(הגדרות!$E$6=0,H1008&gt;הגדרות!$E$5),"",IF(H1008-1&lt;הגדרות!$E$8*(הגדרות!$E$7+1),INT((H1008-1)/(הגדרות!$E$7+1)),הגדרות!$E$8+INT((H1008-1-הגדרות!$E$8*(הגדרות!$E$7+1))/הגדרות!$E$7)))</f>
        <v/>
      </c>
      <c r="J1008" s="0" t="str">
        <f aca="false">IF(I1008="","",IF(H1008-1&lt;הגדרות!$E$8*(הגדרות!$E$7+1),MOD(H1008-1,הגדרות!$E$7+1),MOD(H1008-1-הגדרות!$E$8*(הגדרות!$E$7+1),הגדרות!$E$7)))</f>
        <v/>
      </c>
      <c r="K1008" s="0" t="str">
        <f aca="false">IF(I1008="","",J1008*הגדרות!$E$6+I1008+1)</f>
        <v/>
      </c>
      <c r="L1008" s="0" t="str">
        <f aca="false">IF(K1008="","",MATCH(K1008,$F$2:$F$5001,0))</f>
        <v/>
      </c>
      <c r="M1008" s="0" t="str">
        <f aca="false">IF(I1008="","",INDEX(הגדרות!$A$2:$A$21,MOD(I1008+הגדרות!$E$9,הגדרות!$E$6)+1))</f>
        <v/>
      </c>
    </row>
    <row r="1009" customFormat="false" ht="15" hidden="false" customHeight="false" outlineLevel="0" collapsed="false">
      <c r="A1009" s="0" t="str">
        <f aca="false">IF('הדבקת לידים'!A1009="","",IF(ISNUMBER('הדבקת לידים'!A1009),IF(הגדרות!$E$2&gt;0,TEXT('הדבקת לידים'!A1009,REPT("0",הגדרות!$E$2)),TEXT('הדבקת לידים'!A1009,"0")),TRIM('הדבקת לידים'!A1009)))</f>
        <v/>
      </c>
      <c r="B1009" s="0" t="str">
        <f aca="false">IF('הדבקת לידים'!B1009="","",IF(ISNUMBER('הדבקת לידים'!B1009),IF(הגדרות!$E$3&gt;0,TEXT('הדבקת לידים'!B1009,REPT("0",הגדרות!$E$3)),TEXT('הדבקת לידים'!B1009,"0")),TRIM('הדבקת לידים'!B1009)))</f>
        <v/>
      </c>
      <c r="C1009" s="0" t="n">
        <f aca="false">IF(OR(A1009&lt;&gt;"",B1009&lt;&gt;""),1,0)</f>
        <v>0</v>
      </c>
      <c r="D1009" s="0" t="str">
        <f aca="false">IF(C1009=1,MOD(ABS(SIN(ROW()*12.9898+'הדבקת לידים'!$F$2*78.233+IFERROR(--RIGHT(A1009,6),LEN(A1009))*0.0137+IFERROR(--RIGHT(B1009,6),LEN(B1009))*0.0071))*43758.5453,1),"")</f>
        <v/>
      </c>
      <c r="E1009" s="0" t="str">
        <f aca="false">IF(C1009=1,INT(MOD(ABS(SIN(D1009*7919.123+ROW()*0.618+'הדבקת לידים'!$F$2*1.3))*43758.5453,1)*1000000)*10000+ROW(),"")</f>
        <v/>
      </c>
      <c r="F1009" s="0" t="str">
        <f aca="false">IF(E1009="","",RANK(E1009,$E$2:$E$5001,1))</f>
        <v/>
      </c>
      <c r="G1009" s="0" t="n">
        <f aca="false">IF(A1009="",0,IF(SUMPRODUCT(--($A$2:$A$5001=A1009))&gt;1,1,0))</f>
        <v>0</v>
      </c>
      <c r="H1009" s="0" t="n">
        <f aca="false">ROW()-1</f>
        <v>1008</v>
      </c>
      <c r="I1009" s="0" t="str">
        <f aca="false">IF(OR(הגדרות!$E$6=0,H1009&gt;הגדרות!$E$5),"",IF(H1009-1&lt;הגדרות!$E$8*(הגדרות!$E$7+1),INT((H1009-1)/(הגדרות!$E$7+1)),הגדרות!$E$8+INT((H1009-1-הגדרות!$E$8*(הגדרות!$E$7+1))/הגדרות!$E$7)))</f>
        <v/>
      </c>
      <c r="J1009" s="0" t="str">
        <f aca="false">IF(I1009="","",IF(H1009-1&lt;הגדרות!$E$8*(הגדרות!$E$7+1),MOD(H1009-1,הגדרות!$E$7+1),MOD(H1009-1-הגדרות!$E$8*(הגדרות!$E$7+1),הגדרות!$E$7)))</f>
        <v/>
      </c>
      <c r="K1009" s="0" t="str">
        <f aca="false">IF(I1009="","",J1009*הגדרות!$E$6+I1009+1)</f>
        <v/>
      </c>
      <c r="L1009" s="0" t="str">
        <f aca="false">IF(K1009="","",MATCH(K1009,$F$2:$F$5001,0))</f>
        <v/>
      </c>
      <c r="M1009" s="0" t="str">
        <f aca="false">IF(I1009="","",INDEX(הגדרות!$A$2:$A$21,MOD(I1009+הגדרות!$E$9,הגדרות!$E$6)+1))</f>
        <v/>
      </c>
    </row>
    <row r="1010" customFormat="false" ht="15" hidden="false" customHeight="false" outlineLevel="0" collapsed="false">
      <c r="A1010" s="0" t="str">
        <f aca="false">IF('הדבקת לידים'!A1010="","",IF(ISNUMBER('הדבקת לידים'!A1010),IF(הגדרות!$E$2&gt;0,TEXT('הדבקת לידים'!A1010,REPT("0",הגדרות!$E$2)),TEXT('הדבקת לידים'!A1010,"0")),TRIM('הדבקת לידים'!A1010)))</f>
        <v/>
      </c>
      <c r="B1010" s="0" t="str">
        <f aca="false">IF('הדבקת לידים'!B1010="","",IF(ISNUMBER('הדבקת לידים'!B1010),IF(הגדרות!$E$3&gt;0,TEXT('הדבקת לידים'!B1010,REPT("0",הגדרות!$E$3)),TEXT('הדבקת לידים'!B1010,"0")),TRIM('הדבקת לידים'!B1010)))</f>
        <v/>
      </c>
      <c r="C1010" s="0" t="n">
        <f aca="false">IF(OR(A1010&lt;&gt;"",B1010&lt;&gt;""),1,0)</f>
        <v>0</v>
      </c>
      <c r="D1010" s="0" t="str">
        <f aca="false">IF(C1010=1,MOD(ABS(SIN(ROW()*12.9898+'הדבקת לידים'!$F$2*78.233+IFERROR(--RIGHT(A1010,6),LEN(A1010))*0.0137+IFERROR(--RIGHT(B1010,6),LEN(B1010))*0.0071))*43758.5453,1),"")</f>
        <v/>
      </c>
      <c r="E1010" s="0" t="str">
        <f aca="false">IF(C1010=1,INT(MOD(ABS(SIN(D1010*7919.123+ROW()*0.618+'הדבקת לידים'!$F$2*1.3))*43758.5453,1)*1000000)*10000+ROW(),"")</f>
        <v/>
      </c>
      <c r="F1010" s="0" t="str">
        <f aca="false">IF(E1010="","",RANK(E1010,$E$2:$E$5001,1))</f>
        <v/>
      </c>
      <c r="G1010" s="0" t="n">
        <f aca="false">IF(A1010="",0,IF(SUMPRODUCT(--($A$2:$A$5001=A1010))&gt;1,1,0))</f>
        <v>0</v>
      </c>
      <c r="H1010" s="0" t="n">
        <f aca="false">ROW()-1</f>
        <v>1009</v>
      </c>
      <c r="I1010" s="0" t="str">
        <f aca="false">IF(OR(הגדרות!$E$6=0,H1010&gt;הגדרות!$E$5),"",IF(H1010-1&lt;הגדרות!$E$8*(הגדרות!$E$7+1),INT((H1010-1)/(הגדרות!$E$7+1)),הגדרות!$E$8+INT((H1010-1-הגדרות!$E$8*(הגדרות!$E$7+1))/הגדרות!$E$7)))</f>
        <v/>
      </c>
      <c r="J1010" s="0" t="str">
        <f aca="false">IF(I1010="","",IF(H1010-1&lt;הגדרות!$E$8*(הגדרות!$E$7+1),MOD(H1010-1,הגדרות!$E$7+1),MOD(H1010-1-הגדרות!$E$8*(הגדרות!$E$7+1),הגדרות!$E$7)))</f>
        <v/>
      </c>
      <c r="K1010" s="0" t="str">
        <f aca="false">IF(I1010="","",J1010*הגדרות!$E$6+I1010+1)</f>
        <v/>
      </c>
      <c r="L1010" s="0" t="str">
        <f aca="false">IF(K1010="","",MATCH(K1010,$F$2:$F$5001,0))</f>
        <v/>
      </c>
      <c r="M1010" s="0" t="str">
        <f aca="false">IF(I1010="","",INDEX(הגדרות!$A$2:$A$21,MOD(I1010+הגדרות!$E$9,הגדרות!$E$6)+1))</f>
        <v/>
      </c>
    </row>
    <row r="1011" customFormat="false" ht="15" hidden="false" customHeight="false" outlineLevel="0" collapsed="false">
      <c r="A1011" s="0" t="str">
        <f aca="false">IF('הדבקת לידים'!A1011="","",IF(ISNUMBER('הדבקת לידים'!A1011),IF(הגדרות!$E$2&gt;0,TEXT('הדבקת לידים'!A1011,REPT("0",הגדרות!$E$2)),TEXT('הדבקת לידים'!A1011,"0")),TRIM('הדבקת לידים'!A1011)))</f>
        <v/>
      </c>
      <c r="B1011" s="0" t="str">
        <f aca="false">IF('הדבקת לידים'!B1011="","",IF(ISNUMBER('הדבקת לידים'!B1011),IF(הגדרות!$E$3&gt;0,TEXT('הדבקת לידים'!B1011,REPT("0",הגדרות!$E$3)),TEXT('הדבקת לידים'!B1011,"0")),TRIM('הדבקת לידים'!B1011)))</f>
        <v/>
      </c>
      <c r="C1011" s="0" t="n">
        <f aca="false">IF(OR(A1011&lt;&gt;"",B1011&lt;&gt;""),1,0)</f>
        <v>0</v>
      </c>
      <c r="D1011" s="0" t="str">
        <f aca="false">IF(C1011=1,MOD(ABS(SIN(ROW()*12.9898+'הדבקת לידים'!$F$2*78.233+IFERROR(--RIGHT(A1011,6),LEN(A1011))*0.0137+IFERROR(--RIGHT(B1011,6),LEN(B1011))*0.0071))*43758.5453,1),"")</f>
        <v/>
      </c>
      <c r="E1011" s="0" t="str">
        <f aca="false">IF(C1011=1,INT(MOD(ABS(SIN(D1011*7919.123+ROW()*0.618+'הדבקת לידים'!$F$2*1.3))*43758.5453,1)*1000000)*10000+ROW(),"")</f>
        <v/>
      </c>
      <c r="F1011" s="0" t="str">
        <f aca="false">IF(E1011="","",RANK(E1011,$E$2:$E$5001,1))</f>
        <v/>
      </c>
      <c r="G1011" s="0" t="n">
        <f aca="false">IF(A1011="",0,IF(SUMPRODUCT(--($A$2:$A$5001=A1011))&gt;1,1,0))</f>
        <v>0</v>
      </c>
      <c r="H1011" s="0" t="n">
        <f aca="false">ROW()-1</f>
        <v>1010</v>
      </c>
      <c r="I1011" s="0" t="str">
        <f aca="false">IF(OR(הגדרות!$E$6=0,H1011&gt;הגדרות!$E$5),"",IF(H1011-1&lt;הגדרות!$E$8*(הגדרות!$E$7+1),INT((H1011-1)/(הגדרות!$E$7+1)),הגדרות!$E$8+INT((H1011-1-הגדרות!$E$8*(הגדרות!$E$7+1))/הגדרות!$E$7)))</f>
        <v/>
      </c>
      <c r="J1011" s="0" t="str">
        <f aca="false">IF(I1011="","",IF(H1011-1&lt;הגדרות!$E$8*(הגדרות!$E$7+1),MOD(H1011-1,הגדרות!$E$7+1),MOD(H1011-1-הגדרות!$E$8*(הגדרות!$E$7+1),הגדרות!$E$7)))</f>
        <v/>
      </c>
      <c r="K1011" s="0" t="str">
        <f aca="false">IF(I1011="","",J1011*הגדרות!$E$6+I1011+1)</f>
        <v/>
      </c>
      <c r="L1011" s="0" t="str">
        <f aca="false">IF(K1011="","",MATCH(K1011,$F$2:$F$5001,0))</f>
        <v/>
      </c>
      <c r="M1011" s="0" t="str">
        <f aca="false">IF(I1011="","",INDEX(הגדרות!$A$2:$A$21,MOD(I1011+הגדרות!$E$9,הגדרות!$E$6)+1))</f>
        <v/>
      </c>
    </row>
    <row r="1012" customFormat="false" ht="15" hidden="false" customHeight="false" outlineLevel="0" collapsed="false">
      <c r="A1012" s="0" t="str">
        <f aca="false">IF('הדבקת לידים'!A1012="","",IF(ISNUMBER('הדבקת לידים'!A1012),IF(הגדרות!$E$2&gt;0,TEXT('הדבקת לידים'!A1012,REPT("0",הגדרות!$E$2)),TEXT('הדבקת לידים'!A1012,"0")),TRIM('הדבקת לידים'!A1012)))</f>
        <v/>
      </c>
      <c r="B1012" s="0" t="str">
        <f aca="false">IF('הדבקת לידים'!B1012="","",IF(ISNUMBER('הדבקת לידים'!B1012),IF(הגדרות!$E$3&gt;0,TEXT('הדבקת לידים'!B1012,REPT("0",הגדרות!$E$3)),TEXT('הדבקת לידים'!B1012,"0")),TRIM('הדבקת לידים'!B1012)))</f>
        <v/>
      </c>
      <c r="C1012" s="0" t="n">
        <f aca="false">IF(OR(A1012&lt;&gt;"",B1012&lt;&gt;""),1,0)</f>
        <v>0</v>
      </c>
      <c r="D1012" s="0" t="str">
        <f aca="false">IF(C1012=1,MOD(ABS(SIN(ROW()*12.9898+'הדבקת לידים'!$F$2*78.233+IFERROR(--RIGHT(A1012,6),LEN(A1012))*0.0137+IFERROR(--RIGHT(B1012,6),LEN(B1012))*0.0071))*43758.5453,1),"")</f>
        <v/>
      </c>
      <c r="E1012" s="0" t="str">
        <f aca="false">IF(C1012=1,INT(MOD(ABS(SIN(D1012*7919.123+ROW()*0.618+'הדבקת לידים'!$F$2*1.3))*43758.5453,1)*1000000)*10000+ROW(),"")</f>
        <v/>
      </c>
      <c r="F1012" s="0" t="str">
        <f aca="false">IF(E1012="","",RANK(E1012,$E$2:$E$5001,1))</f>
        <v/>
      </c>
      <c r="G1012" s="0" t="n">
        <f aca="false">IF(A1012="",0,IF(SUMPRODUCT(--($A$2:$A$5001=A1012))&gt;1,1,0))</f>
        <v>0</v>
      </c>
      <c r="H1012" s="0" t="n">
        <f aca="false">ROW()-1</f>
        <v>1011</v>
      </c>
      <c r="I1012" s="0" t="str">
        <f aca="false">IF(OR(הגדרות!$E$6=0,H1012&gt;הגדרות!$E$5),"",IF(H1012-1&lt;הגדרות!$E$8*(הגדרות!$E$7+1),INT((H1012-1)/(הגדרות!$E$7+1)),הגדרות!$E$8+INT((H1012-1-הגדרות!$E$8*(הגדרות!$E$7+1))/הגדרות!$E$7)))</f>
        <v/>
      </c>
      <c r="J1012" s="0" t="str">
        <f aca="false">IF(I1012="","",IF(H1012-1&lt;הגדרות!$E$8*(הגדרות!$E$7+1),MOD(H1012-1,הגדרות!$E$7+1),MOD(H1012-1-הגדרות!$E$8*(הגדרות!$E$7+1),הגדרות!$E$7)))</f>
        <v/>
      </c>
      <c r="K1012" s="0" t="str">
        <f aca="false">IF(I1012="","",J1012*הגדרות!$E$6+I1012+1)</f>
        <v/>
      </c>
      <c r="L1012" s="0" t="str">
        <f aca="false">IF(K1012="","",MATCH(K1012,$F$2:$F$5001,0))</f>
        <v/>
      </c>
      <c r="M1012" s="0" t="str">
        <f aca="false">IF(I1012="","",INDEX(הגדרות!$A$2:$A$21,MOD(I1012+הגדרות!$E$9,הגדרות!$E$6)+1))</f>
        <v/>
      </c>
    </row>
    <row r="1013" customFormat="false" ht="15" hidden="false" customHeight="false" outlineLevel="0" collapsed="false">
      <c r="A1013" s="0" t="str">
        <f aca="false">IF('הדבקת לידים'!A1013="","",IF(ISNUMBER('הדבקת לידים'!A1013),IF(הגדרות!$E$2&gt;0,TEXT('הדבקת לידים'!A1013,REPT("0",הגדרות!$E$2)),TEXT('הדבקת לידים'!A1013,"0")),TRIM('הדבקת לידים'!A1013)))</f>
        <v/>
      </c>
      <c r="B1013" s="0" t="str">
        <f aca="false">IF('הדבקת לידים'!B1013="","",IF(ISNUMBER('הדבקת לידים'!B1013),IF(הגדרות!$E$3&gt;0,TEXT('הדבקת לידים'!B1013,REPT("0",הגדרות!$E$3)),TEXT('הדבקת לידים'!B1013,"0")),TRIM('הדבקת לידים'!B1013)))</f>
        <v/>
      </c>
      <c r="C1013" s="0" t="n">
        <f aca="false">IF(OR(A1013&lt;&gt;"",B1013&lt;&gt;""),1,0)</f>
        <v>0</v>
      </c>
      <c r="D1013" s="0" t="str">
        <f aca="false">IF(C1013=1,MOD(ABS(SIN(ROW()*12.9898+'הדבקת לידים'!$F$2*78.233+IFERROR(--RIGHT(A1013,6),LEN(A1013))*0.0137+IFERROR(--RIGHT(B1013,6),LEN(B1013))*0.0071))*43758.5453,1),"")</f>
        <v/>
      </c>
      <c r="E1013" s="0" t="str">
        <f aca="false">IF(C1013=1,INT(MOD(ABS(SIN(D1013*7919.123+ROW()*0.618+'הדבקת לידים'!$F$2*1.3))*43758.5453,1)*1000000)*10000+ROW(),"")</f>
        <v/>
      </c>
      <c r="F1013" s="0" t="str">
        <f aca="false">IF(E1013="","",RANK(E1013,$E$2:$E$5001,1))</f>
        <v/>
      </c>
      <c r="G1013" s="0" t="n">
        <f aca="false">IF(A1013="",0,IF(SUMPRODUCT(--($A$2:$A$5001=A1013))&gt;1,1,0))</f>
        <v>0</v>
      </c>
      <c r="H1013" s="0" t="n">
        <f aca="false">ROW()-1</f>
        <v>1012</v>
      </c>
      <c r="I1013" s="0" t="str">
        <f aca="false">IF(OR(הגדרות!$E$6=0,H1013&gt;הגדרות!$E$5),"",IF(H1013-1&lt;הגדרות!$E$8*(הגדרות!$E$7+1),INT((H1013-1)/(הגדרות!$E$7+1)),הגדרות!$E$8+INT((H1013-1-הגדרות!$E$8*(הגדרות!$E$7+1))/הגדרות!$E$7)))</f>
        <v/>
      </c>
      <c r="J1013" s="0" t="str">
        <f aca="false">IF(I1013="","",IF(H1013-1&lt;הגדרות!$E$8*(הגדרות!$E$7+1),MOD(H1013-1,הגדרות!$E$7+1),MOD(H1013-1-הגדרות!$E$8*(הגדרות!$E$7+1),הגדרות!$E$7)))</f>
        <v/>
      </c>
      <c r="K1013" s="0" t="str">
        <f aca="false">IF(I1013="","",J1013*הגדרות!$E$6+I1013+1)</f>
        <v/>
      </c>
      <c r="L1013" s="0" t="str">
        <f aca="false">IF(K1013="","",MATCH(K1013,$F$2:$F$5001,0))</f>
        <v/>
      </c>
      <c r="M1013" s="0" t="str">
        <f aca="false">IF(I1013="","",INDEX(הגדרות!$A$2:$A$21,MOD(I1013+הגדרות!$E$9,הגדרות!$E$6)+1))</f>
        <v/>
      </c>
    </row>
    <row r="1014" customFormat="false" ht="15" hidden="false" customHeight="false" outlineLevel="0" collapsed="false">
      <c r="A1014" s="0" t="str">
        <f aca="false">IF('הדבקת לידים'!A1014="","",IF(ISNUMBER('הדבקת לידים'!A1014),IF(הגדרות!$E$2&gt;0,TEXT('הדבקת לידים'!A1014,REPT("0",הגדרות!$E$2)),TEXT('הדבקת לידים'!A1014,"0")),TRIM('הדבקת לידים'!A1014)))</f>
        <v/>
      </c>
      <c r="B1014" s="0" t="str">
        <f aca="false">IF('הדבקת לידים'!B1014="","",IF(ISNUMBER('הדבקת לידים'!B1014),IF(הגדרות!$E$3&gt;0,TEXT('הדבקת לידים'!B1014,REPT("0",הגדרות!$E$3)),TEXT('הדבקת לידים'!B1014,"0")),TRIM('הדבקת לידים'!B1014)))</f>
        <v/>
      </c>
      <c r="C1014" s="0" t="n">
        <f aca="false">IF(OR(A1014&lt;&gt;"",B1014&lt;&gt;""),1,0)</f>
        <v>0</v>
      </c>
      <c r="D1014" s="0" t="str">
        <f aca="false">IF(C1014=1,MOD(ABS(SIN(ROW()*12.9898+'הדבקת לידים'!$F$2*78.233+IFERROR(--RIGHT(A1014,6),LEN(A1014))*0.0137+IFERROR(--RIGHT(B1014,6),LEN(B1014))*0.0071))*43758.5453,1),"")</f>
        <v/>
      </c>
      <c r="E1014" s="0" t="str">
        <f aca="false">IF(C1014=1,INT(MOD(ABS(SIN(D1014*7919.123+ROW()*0.618+'הדבקת לידים'!$F$2*1.3))*43758.5453,1)*1000000)*10000+ROW(),"")</f>
        <v/>
      </c>
      <c r="F1014" s="0" t="str">
        <f aca="false">IF(E1014="","",RANK(E1014,$E$2:$E$5001,1))</f>
        <v/>
      </c>
      <c r="G1014" s="0" t="n">
        <f aca="false">IF(A1014="",0,IF(SUMPRODUCT(--($A$2:$A$5001=A1014))&gt;1,1,0))</f>
        <v>0</v>
      </c>
      <c r="H1014" s="0" t="n">
        <f aca="false">ROW()-1</f>
        <v>1013</v>
      </c>
      <c r="I1014" s="0" t="str">
        <f aca="false">IF(OR(הגדרות!$E$6=0,H1014&gt;הגדרות!$E$5),"",IF(H1014-1&lt;הגדרות!$E$8*(הגדרות!$E$7+1),INT((H1014-1)/(הגדרות!$E$7+1)),הגדרות!$E$8+INT((H1014-1-הגדרות!$E$8*(הגדרות!$E$7+1))/הגדרות!$E$7)))</f>
        <v/>
      </c>
      <c r="J1014" s="0" t="str">
        <f aca="false">IF(I1014="","",IF(H1014-1&lt;הגדרות!$E$8*(הגדרות!$E$7+1),MOD(H1014-1,הגדרות!$E$7+1),MOD(H1014-1-הגדרות!$E$8*(הגדרות!$E$7+1),הגדרות!$E$7)))</f>
        <v/>
      </c>
      <c r="K1014" s="0" t="str">
        <f aca="false">IF(I1014="","",J1014*הגדרות!$E$6+I1014+1)</f>
        <v/>
      </c>
      <c r="L1014" s="0" t="str">
        <f aca="false">IF(K1014="","",MATCH(K1014,$F$2:$F$5001,0))</f>
        <v/>
      </c>
      <c r="M1014" s="0" t="str">
        <f aca="false">IF(I1014="","",INDEX(הגדרות!$A$2:$A$21,MOD(I1014+הגדרות!$E$9,הגדרות!$E$6)+1))</f>
        <v/>
      </c>
    </row>
    <row r="1015" customFormat="false" ht="15" hidden="false" customHeight="false" outlineLevel="0" collapsed="false">
      <c r="A1015" s="0" t="str">
        <f aca="false">IF('הדבקת לידים'!A1015="","",IF(ISNUMBER('הדבקת לידים'!A1015),IF(הגדרות!$E$2&gt;0,TEXT('הדבקת לידים'!A1015,REPT("0",הגדרות!$E$2)),TEXT('הדבקת לידים'!A1015,"0")),TRIM('הדבקת לידים'!A1015)))</f>
        <v/>
      </c>
      <c r="B1015" s="0" t="str">
        <f aca="false">IF('הדבקת לידים'!B1015="","",IF(ISNUMBER('הדבקת לידים'!B1015),IF(הגדרות!$E$3&gt;0,TEXT('הדבקת לידים'!B1015,REPT("0",הגדרות!$E$3)),TEXT('הדבקת לידים'!B1015,"0")),TRIM('הדבקת לידים'!B1015)))</f>
        <v/>
      </c>
      <c r="C1015" s="0" t="n">
        <f aca="false">IF(OR(A1015&lt;&gt;"",B1015&lt;&gt;""),1,0)</f>
        <v>0</v>
      </c>
      <c r="D1015" s="0" t="str">
        <f aca="false">IF(C1015=1,MOD(ABS(SIN(ROW()*12.9898+'הדבקת לידים'!$F$2*78.233+IFERROR(--RIGHT(A1015,6),LEN(A1015))*0.0137+IFERROR(--RIGHT(B1015,6),LEN(B1015))*0.0071))*43758.5453,1),"")</f>
        <v/>
      </c>
      <c r="E1015" s="0" t="str">
        <f aca="false">IF(C1015=1,INT(MOD(ABS(SIN(D1015*7919.123+ROW()*0.618+'הדבקת לידים'!$F$2*1.3))*43758.5453,1)*1000000)*10000+ROW(),"")</f>
        <v/>
      </c>
      <c r="F1015" s="0" t="str">
        <f aca="false">IF(E1015="","",RANK(E1015,$E$2:$E$5001,1))</f>
        <v/>
      </c>
      <c r="G1015" s="0" t="n">
        <f aca="false">IF(A1015="",0,IF(SUMPRODUCT(--($A$2:$A$5001=A1015))&gt;1,1,0))</f>
        <v>0</v>
      </c>
      <c r="H1015" s="0" t="n">
        <f aca="false">ROW()-1</f>
        <v>1014</v>
      </c>
      <c r="I1015" s="0" t="str">
        <f aca="false">IF(OR(הגדרות!$E$6=0,H1015&gt;הגדרות!$E$5),"",IF(H1015-1&lt;הגדרות!$E$8*(הגדרות!$E$7+1),INT((H1015-1)/(הגדרות!$E$7+1)),הגדרות!$E$8+INT((H1015-1-הגדרות!$E$8*(הגדרות!$E$7+1))/הגדרות!$E$7)))</f>
        <v/>
      </c>
      <c r="J1015" s="0" t="str">
        <f aca="false">IF(I1015="","",IF(H1015-1&lt;הגדרות!$E$8*(הגדרות!$E$7+1),MOD(H1015-1,הגדרות!$E$7+1),MOD(H1015-1-הגדרות!$E$8*(הגדרות!$E$7+1),הגדרות!$E$7)))</f>
        <v/>
      </c>
      <c r="K1015" s="0" t="str">
        <f aca="false">IF(I1015="","",J1015*הגדרות!$E$6+I1015+1)</f>
        <v/>
      </c>
      <c r="L1015" s="0" t="str">
        <f aca="false">IF(K1015="","",MATCH(K1015,$F$2:$F$5001,0))</f>
        <v/>
      </c>
      <c r="M1015" s="0" t="str">
        <f aca="false">IF(I1015="","",INDEX(הגדרות!$A$2:$A$21,MOD(I1015+הגדרות!$E$9,הגדרות!$E$6)+1))</f>
        <v/>
      </c>
    </row>
    <row r="1016" customFormat="false" ht="15" hidden="false" customHeight="false" outlineLevel="0" collapsed="false">
      <c r="A1016" s="0" t="str">
        <f aca="false">IF('הדבקת לידים'!A1016="","",IF(ISNUMBER('הדבקת לידים'!A1016),IF(הגדרות!$E$2&gt;0,TEXT('הדבקת לידים'!A1016,REPT("0",הגדרות!$E$2)),TEXT('הדבקת לידים'!A1016,"0")),TRIM('הדבקת לידים'!A1016)))</f>
        <v/>
      </c>
      <c r="B1016" s="0" t="str">
        <f aca="false">IF('הדבקת לידים'!B1016="","",IF(ISNUMBER('הדבקת לידים'!B1016),IF(הגדרות!$E$3&gt;0,TEXT('הדבקת לידים'!B1016,REPT("0",הגדרות!$E$3)),TEXT('הדבקת לידים'!B1016,"0")),TRIM('הדבקת לידים'!B1016)))</f>
        <v/>
      </c>
      <c r="C1016" s="0" t="n">
        <f aca="false">IF(OR(A1016&lt;&gt;"",B1016&lt;&gt;""),1,0)</f>
        <v>0</v>
      </c>
      <c r="D1016" s="0" t="str">
        <f aca="false">IF(C1016=1,MOD(ABS(SIN(ROW()*12.9898+'הדבקת לידים'!$F$2*78.233+IFERROR(--RIGHT(A1016,6),LEN(A1016))*0.0137+IFERROR(--RIGHT(B1016,6),LEN(B1016))*0.0071))*43758.5453,1),"")</f>
        <v/>
      </c>
      <c r="E1016" s="0" t="str">
        <f aca="false">IF(C1016=1,INT(MOD(ABS(SIN(D1016*7919.123+ROW()*0.618+'הדבקת לידים'!$F$2*1.3))*43758.5453,1)*1000000)*10000+ROW(),"")</f>
        <v/>
      </c>
      <c r="F1016" s="0" t="str">
        <f aca="false">IF(E1016="","",RANK(E1016,$E$2:$E$5001,1))</f>
        <v/>
      </c>
      <c r="G1016" s="0" t="n">
        <f aca="false">IF(A1016="",0,IF(SUMPRODUCT(--($A$2:$A$5001=A1016))&gt;1,1,0))</f>
        <v>0</v>
      </c>
      <c r="H1016" s="0" t="n">
        <f aca="false">ROW()-1</f>
        <v>1015</v>
      </c>
      <c r="I1016" s="0" t="str">
        <f aca="false">IF(OR(הגדרות!$E$6=0,H1016&gt;הגדרות!$E$5),"",IF(H1016-1&lt;הגדרות!$E$8*(הגדרות!$E$7+1),INT((H1016-1)/(הגדרות!$E$7+1)),הגדרות!$E$8+INT((H1016-1-הגדרות!$E$8*(הגדרות!$E$7+1))/הגדרות!$E$7)))</f>
        <v/>
      </c>
      <c r="J1016" s="0" t="str">
        <f aca="false">IF(I1016="","",IF(H1016-1&lt;הגדרות!$E$8*(הגדרות!$E$7+1),MOD(H1016-1,הגדרות!$E$7+1),MOD(H1016-1-הגדרות!$E$8*(הגדרות!$E$7+1),הגדרות!$E$7)))</f>
        <v/>
      </c>
      <c r="K1016" s="0" t="str">
        <f aca="false">IF(I1016="","",J1016*הגדרות!$E$6+I1016+1)</f>
        <v/>
      </c>
      <c r="L1016" s="0" t="str">
        <f aca="false">IF(K1016="","",MATCH(K1016,$F$2:$F$5001,0))</f>
        <v/>
      </c>
      <c r="M1016" s="0" t="str">
        <f aca="false">IF(I1016="","",INDEX(הגדרות!$A$2:$A$21,MOD(I1016+הגדרות!$E$9,הגדרות!$E$6)+1))</f>
        <v/>
      </c>
    </row>
    <row r="1017" customFormat="false" ht="15" hidden="false" customHeight="false" outlineLevel="0" collapsed="false">
      <c r="A1017" s="0" t="str">
        <f aca="false">IF('הדבקת לידים'!A1017="","",IF(ISNUMBER('הדבקת לידים'!A1017),IF(הגדרות!$E$2&gt;0,TEXT('הדבקת לידים'!A1017,REPT("0",הגדרות!$E$2)),TEXT('הדבקת לידים'!A1017,"0")),TRIM('הדבקת לידים'!A1017)))</f>
        <v/>
      </c>
      <c r="B1017" s="0" t="str">
        <f aca="false">IF('הדבקת לידים'!B1017="","",IF(ISNUMBER('הדבקת לידים'!B1017),IF(הגדרות!$E$3&gt;0,TEXT('הדבקת לידים'!B1017,REPT("0",הגדרות!$E$3)),TEXT('הדבקת לידים'!B1017,"0")),TRIM('הדבקת לידים'!B1017)))</f>
        <v/>
      </c>
      <c r="C1017" s="0" t="n">
        <f aca="false">IF(OR(A1017&lt;&gt;"",B1017&lt;&gt;""),1,0)</f>
        <v>0</v>
      </c>
      <c r="D1017" s="0" t="str">
        <f aca="false">IF(C1017=1,MOD(ABS(SIN(ROW()*12.9898+'הדבקת לידים'!$F$2*78.233+IFERROR(--RIGHT(A1017,6),LEN(A1017))*0.0137+IFERROR(--RIGHT(B1017,6),LEN(B1017))*0.0071))*43758.5453,1),"")</f>
        <v/>
      </c>
      <c r="E1017" s="0" t="str">
        <f aca="false">IF(C1017=1,INT(MOD(ABS(SIN(D1017*7919.123+ROW()*0.618+'הדבקת לידים'!$F$2*1.3))*43758.5453,1)*1000000)*10000+ROW(),"")</f>
        <v/>
      </c>
      <c r="F1017" s="0" t="str">
        <f aca="false">IF(E1017="","",RANK(E1017,$E$2:$E$5001,1))</f>
        <v/>
      </c>
      <c r="G1017" s="0" t="n">
        <f aca="false">IF(A1017="",0,IF(SUMPRODUCT(--($A$2:$A$5001=A1017))&gt;1,1,0))</f>
        <v>0</v>
      </c>
      <c r="H1017" s="0" t="n">
        <f aca="false">ROW()-1</f>
        <v>1016</v>
      </c>
      <c r="I1017" s="0" t="str">
        <f aca="false">IF(OR(הגדרות!$E$6=0,H1017&gt;הגדרות!$E$5),"",IF(H1017-1&lt;הגדרות!$E$8*(הגדרות!$E$7+1),INT((H1017-1)/(הגדרות!$E$7+1)),הגדרות!$E$8+INT((H1017-1-הגדרות!$E$8*(הגדרות!$E$7+1))/הגדרות!$E$7)))</f>
        <v/>
      </c>
      <c r="J1017" s="0" t="str">
        <f aca="false">IF(I1017="","",IF(H1017-1&lt;הגדרות!$E$8*(הגדרות!$E$7+1),MOD(H1017-1,הגדרות!$E$7+1),MOD(H1017-1-הגדרות!$E$8*(הגדרות!$E$7+1),הגדרות!$E$7)))</f>
        <v/>
      </c>
      <c r="K1017" s="0" t="str">
        <f aca="false">IF(I1017="","",J1017*הגדרות!$E$6+I1017+1)</f>
        <v/>
      </c>
      <c r="L1017" s="0" t="str">
        <f aca="false">IF(K1017="","",MATCH(K1017,$F$2:$F$5001,0))</f>
        <v/>
      </c>
      <c r="M1017" s="0" t="str">
        <f aca="false">IF(I1017="","",INDEX(הגדרות!$A$2:$A$21,MOD(I1017+הגדרות!$E$9,הגדרות!$E$6)+1))</f>
        <v/>
      </c>
    </row>
    <row r="1018" customFormat="false" ht="15" hidden="false" customHeight="false" outlineLevel="0" collapsed="false">
      <c r="A1018" s="0" t="str">
        <f aca="false">IF('הדבקת לידים'!A1018="","",IF(ISNUMBER('הדבקת לידים'!A1018),IF(הגדרות!$E$2&gt;0,TEXT('הדבקת לידים'!A1018,REPT("0",הגדרות!$E$2)),TEXT('הדבקת לידים'!A1018,"0")),TRIM('הדבקת לידים'!A1018)))</f>
        <v/>
      </c>
      <c r="B1018" s="0" t="str">
        <f aca="false">IF('הדבקת לידים'!B1018="","",IF(ISNUMBER('הדבקת לידים'!B1018),IF(הגדרות!$E$3&gt;0,TEXT('הדבקת לידים'!B1018,REPT("0",הגדרות!$E$3)),TEXT('הדבקת לידים'!B1018,"0")),TRIM('הדבקת לידים'!B1018)))</f>
        <v/>
      </c>
      <c r="C1018" s="0" t="n">
        <f aca="false">IF(OR(A1018&lt;&gt;"",B1018&lt;&gt;""),1,0)</f>
        <v>0</v>
      </c>
      <c r="D1018" s="0" t="str">
        <f aca="false">IF(C1018=1,MOD(ABS(SIN(ROW()*12.9898+'הדבקת לידים'!$F$2*78.233+IFERROR(--RIGHT(A1018,6),LEN(A1018))*0.0137+IFERROR(--RIGHT(B1018,6),LEN(B1018))*0.0071))*43758.5453,1),"")</f>
        <v/>
      </c>
      <c r="E1018" s="0" t="str">
        <f aca="false">IF(C1018=1,INT(MOD(ABS(SIN(D1018*7919.123+ROW()*0.618+'הדבקת לידים'!$F$2*1.3))*43758.5453,1)*1000000)*10000+ROW(),"")</f>
        <v/>
      </c>
      <c r="F1018" s="0" t="str">
        <f aca="false">IF(E1018="","",RANK(E1018,$E$2:$E$5001,1))</f>
        <v/>
      </c>
      <c r="G1018" s="0" t="n">
        <f aca="false">IF(A1018="",0,IF(SUMPRODUCT(--($A$2:$A$5001=A1018))&gt;1,1,0))</f>
        <v>0</v>
      </c>
      <c r="H1018" s="0" t="n">
        <f aca="false">ROW()-1</f>
        <v>1017</v>
      </c>
      <c r="I1018" s="0" t="str">
        <f aca="false">IF(OR(הגדרות!$E$6=0,H1018&gt;הגדרות!$E$5),"",IF(H1018-1&lt;הגדרות!$E$8*(הגדרות!$E$7+1),INT((H1018-1)/(הגדרות!$E$7+1)),הגדרות!$E$8+INT((H1018-1-הגדרות!$E$8*(הגדרות!$E$7+1))/הגדרות!$E$7)))</f>
        <v/>
      </c>
      <c r="J1018" s="0" t="str">
        <f aca="false">IF(I1018="","",IF(H1018-1&lt;הגדרות!$E$8*(הגדרות!$E$7+1),MOD(H1018-1,הגדרות!$E$7+1),MOD(H1018-1-הגדרות!$E$8*(הגדרות!$E$7+1),הגדרות!$E$7)))</f>
        <v/>
      </c>
      <c r="K1018" s="0" t="str">
        <f aca="false">IF(I1018="","",J1018*הגדרות!$E$6+I1018+1)</f>
        <v/>
      </c>
      <c r="L1018" s="0" t="str">
        <f aca="false">IF(K1018="","",MATCH(K1018,$F$2:$F$5001,0))</f>
        <v/>
      </c>
      <c r="M1018" s="0" t="str">
        <f aca="false">IF(I1018="","",INDEX(הגדרות!$A$2:$A$21,MOD(I1018+הגדרות!$E$9,הגדרות!$E$6)+1))</f>
        <v/>
      </c>
    </row>
    <row r="1019" customFormat="false" ht="15" hidden="false" customHeight="false" outlineLevel="0" collapsed="false">
      <c r="A1019" s="0" t="str">
        <f aca="false">IF('הדבקת לידים'!A1019="","",IF(ISNUMBER('הדבקת לידים'!A1019),IF(הגדרות!$E$2&gt;0,TEXT('הדבקת לידים'!A1019,REPT("0",הגדרות!$E$2)),TEXT('הדבקת לידים'!A1019,"0")),TRIM('הדבקת לידים'!A1019)))</f>
        <v/>
      </c>
      <c r="B1019" s="0" t="str">
        <f aca="false">IF('הדבקת לידים'!B1019="","",IF(ISNUMBER('הדבקת לידים'!B1019),IF(הגדרות!$E$3&gt;0,TEXT('הדבקת לידים'!B1019,REPT("0",הגדרות!$E$3)),TEXT('הדבקת לידים'!B1019,"0")),TRIM('הדבקת לידים'!B1019)))</f>
        <v/>
      </c>
      <c r="C1019" s="0" t="n">
        <f aca="false">IF(OR(A1019&lt;&gt;"",B1019&lt;&gt;""),1,0)</f>
        <v>0</v>
      </c>
      <c r="D1019" s="0" t="str">
        <f aca="false">IF(C1019=1,MOD(ABS(SIN(ROW()*12.9898+'הדבקת לידים'!$F$2*78.233+IFERROR(--RIGHT(A1019,6),LEN(A1019))*0.0137+IFERROR(--RIGHT(B1019,6),LEN(B1019))*0.0071))*43758.5453,1),"")</f>
        <v/>
      </c>
      <c r="E1019" s="0" t="str">
        <f aca="false">IF(C1019=1,INT(MOD(ABS(SIN(D1019*7919.123+ROW()*0.618+'הדבקת לידים'!$F$2*1.3))*43758.5453,1)*1000000)*10000+ROW(),"")</f>
        <v/>
      </c>
      <c r="F1019" s="0" t="str">
        <f aca="false">IF(E1019="","",RANK(E1019,$E$2:$E$5001,1))</f>
        <v/>
      </c>
      <c r="G1019" s="0" t="n">
        <f aca="false">IF(A1019="",0,IF(SUMPRODUCT(--($A$2:$A$5001=A1019))&gt;1,1,0))</f>
        <v>0</v>
      </c>
      <c r="H1019" s="0" t="n">
        <f aca="false">ROW()-1</f>
        <v>1018</v>
      </c>
      <c r="I1019" s="0" t="str">
        <f aca="false">IF(OR(הגדרות!$E$6=0,H1019&gt;הגדרות!$E$5),"",IF(H1019-1&lt;הגדרות!$E$8*(הגדרות!$E$7+1),INT((H1019-1)/(הגדרות!$E$7+1)),הגדרות!$E$8+INT((H1019-1-הגדרות!$E$8*(הגדרות!$E$7+1))/הגדרות!$E$7)))</f>
        <v/>
      </c>
      <c r="J1019" s="0" t="str">
        <f aca="false">IF(I1019="","",IF(H1019-1&lt;הגדרות!$E$8*(הגדרות!$E$7+1),MOD(H1019-1,הגדרות!$E$7+1),MOD(H1019-1-הגדרות!$E$8*(הגדרות!$E$7+1),הגדרות!$E$7)))</f>
        <v/>
      </c>
      <c r="K1019" s="0" t="str">
        <f aca="false">IF(I1019="","",J1019*הגדרות!$E$6+I1019+1)</f>
        <v/>
      </c>
      <c r="L1019" s="0" t="str">
        <f aca="false">IF(K1019="","",MATCH(K1019,$F$2:$F$5001,0))</f>
        <v/>
      </c>
      <c r="M1019" s="0" t="str">
        <f aca="false">IF(I1019="","",INDEX(הגדרות!$A$2:$A$21,MOD(I1019+הגדרות!$E$9,הגדרות!$E$6)+1))</f>
        <v/>
      </c>
    </row>
    <row r="1020" customFormat="false" ht="15" hidden="false" customHeight="false" outlineLevel="0" collapsed="false">
      <c r="A1020" s="0" t="str">
        <f aca="false">IF('הדבקת לידים'!A1020="","",IF(ISNUMBER('הדבקת לידים'!A1020),IF(הגדרות!$E$2&gt;0,TEXT('הדבקת לידים'!A1020,REPT("0",הגדרות!$E$2)),TEXT('הדבקת לידים'!A1020,"0")),TRIM('הדבקת לידים'!A1020)))</f>
        <v/>
      </c>
      <c r="B1020" s="0" t="str">
        <f aca="false">IF('הדבקת לידים'!B1020="","",IF(ISNUMBER('הדבקת לידים'!B1020),IF(הגדרות!$E$3&gt;0,TEXT('הדבקת לידים'!B1020,REPT("0",הגדרות!$E$3)),TEXT('הדבקת לידים'!B1020,"0")),TRIM('הדבקת לידים'!B1020)))</f>
        <v/>
      </c>
      <c r="C1020" s="0" t="n">
        <f aca="false">IF(OR(A1020&lt;&gt;"",B1020&lt;&gt;""),1,0)</f>
        <v>0</v>
      </c>
      <c r="D1020" s="0" t="str">
        <f aca="false">IF(C1020=1,MOD(ABS(SIN(ROW()*12.9898+'הדבקת לידים'!$F$2*78.233+IFERROR(--RIGHT(A1020,6),LEN(A1020))*0.0137+IFERROR(--RIGHT(B1020,6),LEN(B1020))*0.0071))*43758.5453,1),"")</f>
        <v/>
      </c>
      <c r="E1020" s="0" t="str">
        <f aca="false">IF(C1020=1,INT(MOD(ABS(SIN(D1020*7919.123+ROW()*0.618+'הדבקת לידים'!$F$2*1.3))*43758.5453,1)*1000000)*10000+ROW(),"")</f>
        <v/>
      </c>
      <c r="F1020" s="0" t="str">
        <f aca="false">IF(E1020="","",RANK(E1020,$E$2:$E$5001,1))</f>
        <v/>
      </c>
      <c r="G1020" s="0" t="n">
        <f aca="false">IF(A1020="",0,IF(SUMPRODUCT(--($A$2:$A$5001=A1020))&gt;1,1,0))</f>
        <v>0</v>
      </c>
      <c r="H1020" s="0" t="n">
        <f aca="false">ROW()-1</f>
        <v>1019</v>
      </c>
      <c r="I1020" s="0" t="str">
        <f aca="false">IF(OR(הגדרות!$E$6=0,H1020&gt;הגדרות!$E$5),"",IF(H1020-1&lt;הגדרות!$E$8*(הגדרות!$E$7+1),INT((H1020-1)/(הגדרות!$E$7+1)),הגדרות!$E$8+INT((H1020-1-הגדרות!$E$8*(הגדרות!$E$7+1))/הגדרות!$E$7)))</f>
        <v/>
      </c>
      <c r="J1020" s="0" t="str">
        <f aca="false">IF(I1020="","",IF(H1020-1&lt;הגדרות!$E$8*(הגדרות!$E$7+1),MOD(H1020-1,הגדרות!$E$7+1),MOD(H1020-1-הגדרות!$E$8*(הגדרות!$E$7+1),הגדרות!$E$7)))</f>
        <v/>
      </c>
      <c r="K1020" s="0" t="str">
        <f aca="false">IF(I1020="","",J1020*הגדרות!$E$6+I1020+1)</f>
        <v/>
      </c>
      <c r="L1020" s="0" t="str">
        <f aca="false">IF(K1020="","",MATCH(K1020,$F$2:$F$5001,0))</f>
        <v/>
      </c>
      <c r="M1020" s="0" t="str">
        <f aca="false">IF(I1020="","",INDEX(הגדרות!$A$2:$A$21,MOD(I1020+הגדרות!$E$9,הגדרות!$E$6)+1))</f>
        <v/>
      </c>
    </row>
    <row r="1021" customFormat="false" ht="15" hidden="false" customHeight="false" outlineLevel="0" collapsed="false">
      <c r="A1021" s="0" t="str">
        <f aca="false">IF('הדבקת לידים'!A1021="","",IF(ISNUMBER('הדבקת לידים'!A1021),IF(הגדרות!$E$2&gt;0,TEXT('הדבקת לידים'!A1021,REPT("0",הגדרות!$E$2)),TEXT('הדבקת לידים'!A1021,"0")),TRIM('הדבקת לידים'!A1021)))</f>
        <v/>
      </c>
      <c r="B1021" s="0" t="str">
        <f aca="false">IF('הדבקת לידים'!B1021="","",IF(ISNUMBER('הדבקת לידים'!B1021),IF(הגדרות!$E$3&gt;0,TEXT('הדבקת לידים'!B1021,REPT("0",הגדרות!$E$3)),TEXT('הדבקת לידים'!B1021,"0")),TRIM('הדבקת לידים'!B1021)))</f>
        <v/>
      </c>
      <c r="C1021" s="0" t="n">
        <f aca="false">IF(OR(A1021&lt;&gt;"",B1021&lt;&gt;""),1,0)</f>
        <v>0</v>
      </c>
      <c r="D1021" s="0" t="str">
        <f aca="false">IF(C1021=1,MOD(ABS(SIN(ROW()*12.9898+'הדבקת לידים'!$F$2*78.233+IFERROR(--RIGHT(A1021,6),LEN(A1021))*0.0137+IFERROR(--RIGHT(B1021,6),LEN(B1021))*0.0071))*43758.5453,1),"")</f>
        <v/>
      </c>
      <c r="E1021" s="0" t="str">
        <f aca="false">IF(C1021=1,INT(MOD(ABS(SIN(D1021*7919.123+ROW()*0.618+'הדבקת לידים'!$F$2*1.3))*43758.5453,1)*1000000)*10000+ROW(),"")</f>
        <v/>
      </c>
      <c r="F1021" s="0" t="str">
        <f aca="false">IF(E1021="","",RANK(E1021,$E$2:$E$5001,1))</f>
        <v/>
      </c>
      <c r="G1021" s="0" t="n">
        <f aca="false">IF(A1021="",0,IF(SUMPRODUCT(--($A$2:$A$5001=A1021))&gt;1,1,0))</f>
        <v>0</v>
      </c>
      <c r="H1021" s="0" t="n">
        <f aca="false">ROW()-1</f>
        <v>1020</v>
      </c>
      <c r="I1021" s="0" t="str">
        <f aca="false">IF(OR(הגדרות!$E$6=0,H1021&gt;הגדרות!$E$5),"",IF(H1021-1&lt;הגדרות!$E$8*(הגדרות!$E$7+1),INT((H1021-1)/(הגדרות!$E$7+1)),הגדרות!$E$8+INT((H1021-1-הגדרות!$E$8*(הגדרות!$E$7+1))/הגדרות!$E$7)))</f>
        <v/>
      </c>
      <c r="J1021" s="0" t="str">
        <f aca="false">IF(I1021="","",IF(H1021-1&lt;הגדרות!$E$8*(הגדרות!$E$7+1),MOD(H1021-1,הגדרות!$E$7+1),MOD(H1021-1-הגדרות!$E$8*(הגדרות!$E$7+1),הגדרות!$E$7)))</f>
        <v/>
      </c>
      <c r="K1021" s="0" t="str">
        <f aca="false">IF(I1021="","",J1021*הגדרות!$E$6+I1021+1)</f>
        <v/>
      </c>
      <c r="L1021" s="0" t="str">
        <f aca="false">IF(K1021="","",MATCH(K1021,$F$2:$F$5001,0))</f>
        <v/>
      </c>
      <c r="M1021" s="0" t="str">
        <f aca="false">IF(I1021="","",INDEX(הגדרות!$A$2:$A$21,MOD(I1021+הגדרות!$E$9,הגדרות!$E$6)+1))</f>
        <v/>
      </c>
    </row>
    <row r="1022" customFormat="false" ht="15" hidden="false" customHeight="false" outlineLevel="0" collapsed="false">
      <c r="A1022" s="0" t="str">
        <f aca="false">IF('הדבקת לידים'!A1022="","",IF(ISNUMBER('הדבקת לידים'!A1022),IF(הגדרות!$E$2&gt;0,TEXT('הדבקת לידים'!A1022,REPT("0",הגדרות!$E$2)),TEXT('הדבקת לידים'!A1022,"0")),TRIM('הדבקת לידים'!A1022)))</f>
        <v/>
      </c>
      <c r="B1022" s="0" t="str">
        <f aca="false">IF('הדבקת לידים'!B1022="","",IF(ISNUMBER('הדבקת לידים'!B1022),IF(הגדרות!$E$3&gt;0,TEXT('הדבקת לידים'!B1022,REPT("0",הגדרות!$E$3)),TEXT('הדבקת לידים'!B1022,"0")),TRIM('הדבקת לידים'!B1022)))</f>
        <v/>
      </c>
      <c r="C1022" s="0" t="n">
        <f aca="false">IF(OR(A1022&lt;&gt;"",B1022&lt;&gt;""),1,0)</f>
        <v>0</v>
      </c>
      <c r="D1022" s="0" t="str">
        <f aca="false">IF(C1022=1,MOD(ABS(SIN(ROW()*12.9898+'הדבקת לידים'!$F$2*78.233+IFERROR(--RIGHT(A1022,6),LEN(A1022))*0.0137+IFERROR(--RIGHT(B1022,6),LEN(B1022))*0.0071))*43758.5453,1),"")</f>
        <v/>
      </c>
      <c r="E1022" s="0" t="str">
        <f aca="false">IF(C1022=1,INT(MOD(ABS(SIN(D1022*7919.123+ROW()*0.618+'הדבקת לידים'!$F$2*1.3))*43758.5453,1)*1000000)*10000+ROW(),"")</f>
        <v/>
      </c>
      <c r="F1022" s="0" t="str">
        <f aca="false">IF(E1022="","",RANK(E1022,$E$2:$E$5001,1))</f>
        <v/>
      </c>
      <c r="G1022" s="0" t="n">
        <f aca="false">IF(A1022="",0,IF(SUMPRODUCT(--($A$2:$A$5001=A1022))&gt;1,1,0))</f>
        <v>0</v>
      </c>
      <c r="H1022" s="0" t="n">
        <f aca="false">ROW()-1</f>
        <v>1021</v>
      </c>
      <c r="I1022" s="0" t="str">
        <f aca="false">IF(OR(הגדרות!$E$6=0,H1022&gt;הגדרות!$E$5),"",IF(H1022-1&lt;הגדרות!$E$8*(הגדרות!$E$7+1),INT((H1022-1)/(הגדרות!$E$7+1)),הגדרות!$E$8+INT((H1022-1-הגדרות!$E$8*(הגדרות!$E$7+1))/הגדרות!$E$7)))</f>
        <v/>
      </c>
      <c r="J1022" s="0" t="str">
        <f aca="false">IF(I1022="","",IF(H1022-1&lt;הגדרות!$E$8*(הגדרות!$E$7+1),MOD(H1022-1,הגדרות!$E$7+1),MOD(H1022-1-הגדרות!$E$8*(הגדרות!$E$7+1),הגדרות!$E$7)))</f>
        <v/>
      </c>
      <c r="K1022" s="0" t="str">
        <f aca="false">IF(I1022="","",J1022*הגדרות!$E$6+I1022+1)</f>
        <v/>
      </c>
      <c r="L1022" s="0" t="str">
        <f aca="false">IF(K1022="","",MATCH(K1022,$F$2:$F$5001,0))</f>
        <v/>
      </c>
      <c r="M1022" s="0" t="str">
        <f aca="false">IF(I1022="","",INDEX(הגדרות!$A$2:$A$21,MOD(I1022+הגדרות!$E$9,הגדרות!$E$6)+1))</f>
        <v/>
      </c>
    </row>
    <row r="1023" customFormat="false" ht="15" hidden="false" customHeight="false" outlineLevel="0" collapsed="false">
      <c r="A1023" s="0" t="str">
        <f aca="false">IF('הדבקת לידים'!A1023="","",IF(ISNUMBER('הדבקת לידים'!A1023),IF(הגדרות!$E$2&gt;0,TEXT('הדבקת לידים'!A1023,REPT("0",הגדרות!$E$2)),TEXT('הדבקת לידים'!A1023,"0")),TRIM('הדבקת לידים'!A1023)))</f>
        <v/>
      </c>
      <c r="B1023" s="0" t="str">
        <f aca="false">IF('הדבקת לידים'!B1023="","",IF(ISNUMBER('הדבקת לידים'!B1023),IF(הגדרות!$E$3&gt;0,TEXT('הדבקת לידים'!B1023,REPT("0",הגדרות!$E$3)),TEXT('הדבקת לידים'!B1023,"0")),TRIM('הדבקת לידים'!B1023)))</f>
        <v/>
      </c>
      <c r="C1023" s="0" t="n">
        <f aca="false">IF(OR(A1023&lt;&gt;"",B1023&lt;&gt;""),1,0)</f>
        <v>0</v>
      </c>
      <c r="D1023" s="0" t="str">
        <f aca="false">IF(C1023=1,MOD(ABS(SIN(ROW()*12.9898+'הדבקת לידים'!$F$2*78.233+IFERROR(--RIGHT(A1023,6),LEN(A1023))*0.0137+IFERROR(--RIGHT(B1023,6),LEN(B1023))*0.0071))*43758.5453,1),"")</f>
        <v/>
      </c>
      <c r="E1023" s="0" t="str">
        <f aca="false">IF(C1023=1,INT(MOD(ABS(SIN(D1023*7919.123+ROW()*0.618+'הדבקת לידים'!$F$2*1.3))*43758.5453,1)*1000000)*10000+ROW(),"")</f>
        <v/>
      </c>
      <c r="F1023" s="0" t="str">
        <f aca="false">IF(E1023="","",RANK(E1023,$E$2:$E$5001,1))</f>
        <v/>
      </c>
      <c r="G1023" s="0" t="n">
        <f aca="false">IF(A1023="",0,IF(SUMPRODUCT(--($A$2:$A$5001=A1023))&gt;1,1,0))</f>
        <v>0</v>
      </c>
      <c r="H1023" s="0" t="n">
        <f aca="false">ROW()-1</f>
        <v>1022</v>
      </c>
      <c r="I1023" s="0" t="str">
        <f aca="false">IF(OR(הגדרות!$E$6=0,H1023&gt;הגדרות!$E$5),"",IF(H1023-1&lt;הגדרות!$E$8*(הגדרות!$E$7+1),INT((H1023-1)/(הגדרות!$E$7+1)),הגדרות!$E$8+INT((H1023-1-הגדרות!$E$8*(הגדרות!$E$7+1))/הגדרות!$E$7)))</f>
        <v/>
      </c>
      <c r="J1023" s="0" t="str">
        <f aca="false">IF(I1023="","",IF(H1023-1&lt;הגדרות!$E$8*(הגדרות!$E$7+1),MOD(H1023-1,הגדרות!$E$7+1),MOD(H1023-1-הגדרות!$E$8*(הגדרות!$E$7+1),הגדרות!$E$7)))</f>
        <v/>
      </c>
      <c r="K1023" s="0" t="str">
        <f aca="false">IF(I1023="","",J1023*הגדרות!$E$6+I1023+1)</f>
        <v/>
      </c>
      <c r="L1023" s="0" t="str">
        <f aca="false">IF(K1023="","",MATCH(K1023,$F$2:$F$5001,0))</f>
        <v/>
      </c>
      <c r="M1023" s="0" t="str">
        <f aca="false">IF(I1023="","",INDEX(הגדרות!$A$2:$A$21,MOD(I1023+הגדרות!$E$9,הגדרות!$E$6)+1))</f>
        <v/>
      </c>
    </row>
    <row r="1024" customFormat="false" ht="15" hidden="false" customHeight="false" outlineLevel="0" collapsed="false">
      <c r="A1024" s="0" t="str">
        <f aca="false">IF('הדבקת לידים'!A1024="","",IF(ISNUMBER('הדבקת לידים'!A1024),IF(הגדרות!$E$2&gt;0,TEXT('הדבקת לידים'!A1024,REPT("0",הגדרות!$E$2)),TEXT('הדבקת לידים'!A1024,"0")),TRIM('הדבקת לידים'!A1024)))</f>
        <v/>
      </c>
      <c r="B1024" s="0" t="str">
        <f aca="false">IF('הדבקת לידים'!B1024="","",IF(ISNUMBER('הדבקת לידים'!B1024),IF(הגדרות!$E$3&gt;0,TEXT('הדבקת לידים'!B1024,REPT("0",הגדרות!$E$3)),TEXT('הדבקת לידים'!B1024,"0")),TRIM('הדבקת לידים'!B1024)))</f>
        <v/>
      </c>
      <c r="C1024" s="0" t="n">
        <f aca="false">IF(OR(A1024&lt;&gt;"",B1024&lt;&gt;""),1,0)</f>
        <v>0</v>
      </c>
      <c r="D1024" s="0" t="str">
        <f aca="false">IF(C1024=1,MOD(ABS(SIN(ROW()*12.9898+'הדבקת לידים'!$F$2*78.233+IFERROR(--RIGHT(A1024,6),LEN(A1024))*0.0137+IFERROR(--RIGHT(B1024,6),LEN(B1024))*0.0071))*43758.5453,1),"")</f>
        <v/>
      </c>
      <c r="E1024" s="0" t="str">
        <f aca="false">IF(C1024=1,INT(MOD(ABS(SIN(D1024*7919.123+ROW()*0.618+'הדבקת לידים'!$F$2*1.3))*43758.5453,1)*1000000)*10000+ROW(),"")</f>
        <v/>
      </c>
      <c r="F1024" s="0" t="str">
        <f aca="false">IF(E1024="","",RANK(E1024,$E$2:$E$5001,1))</f>
        <v/>
      </c>
      <c r="G1024" s="0" t="n">
        <f aca="false">IF(A1024="",0,IF(SUMPRODUCT(--($A$2:$A$5001=A1024))&gt;1,1,0))</f>
        <v>0</v>
      </c>
      <c r="H1024" s="0" t="n">
        <f aca="false">ROW()-1</f>
        <v>1023</v>
      </c>
      <c r="I1024" s="0" t="str">
        <f aca="false">IF(OR(הגדרות!$E$6=0,H1024&gt;הגדרות!$E$5),"",IF(H1024-1&lt;הגדרות!$E$8*(הגדרות!$E$7+1),INT((H1024-1)/(הגדרות!$E$7+1)),הגדרות!$E$8+INT((H1024-1-הגדרות!$E$8*(הגדרות!$E$7+1))/הגדרות!$E$7)))</f>
        <v/>
      </c>
      <c r="J1024" s="0" t="str">
        <f aca="false">IF(I1024="","",IF(H1024-1&lt;הגדרות!$E$8*(הגדרות!$E$7+1),MOD(H1024-1,הגדרות!$E$7+1),MOD(H1024-1-הגדרות!$E$8*(הגדרות!$E$7+1),הגדרות!$E$7)))</f>
        <v/>
      </c>
      <c r="K1024" s="0" t="str">
        <f aca="false">IF(I1024="","",J1024*הגדרות!$E$6+I1024+1)</f>
        <v/>
      </c>
      <c r="L1024" s="0" t="str">
        <f aca="false">IF(K1024="","",MATCH(K1024,$F$2:$F$5001,0))</f>
        <v/>
      </c>
      <c r="M1024" s="0" t="str">
        <f aca="false">IF(I1024="","",INDEX(הגדרות!$A$2:$A$21,MOD(I1024+הגדרות!$E$9,הגדרות!$E$6)+1))</f>
        <v/>
      </c>
    </row>
    <row r="1025" customFormat="false" ht="15" hidden="false" customHeight="false" outlineLevel="0" collapsed="false">
      <c r="A1025" s="0" t="str">
        <f aca="false">IF('הדבקת לידים'!A1025="","",IF(ISNUMBER('הדבקת לידים'!A1025),IF(הגדרות!$E$2&gt;0,TEXT('הדבקת לידים'!A1025,REPT("0",הגדרות!$E$2)),TEXT('הדבקת לידים'!A1025,"0")),TRIM('הדבקת לידים'!A1025)))</f>
        <v/>
      </c>
      <c r="B1025" s="0" t="str">
        <f aca="false">IF('הדבקת לידים'!B1025="","",IF(ISNUMBER('הדבקת לידים'!B1025),IF(הגדרות!$E$3&gt;0,TEXT('הדבקת לידים'!B1025,REPT("0",הגדרות!$E$3)),TEXT('הדבקת לידים'!B1025,"0")),TRIM('הדבקת לידים'!B1025)))</f>
        <v/>
      </c>
      <c r="C1025" s="0" t="n">
        <f aca="false">IF(OR(A1025&lt;&gt;"",B1025&lt;&gt;""),1,0)</f>
        <v>0</v>
      </c>
      <c r="D1025" s="0" t="str">
        <f aca="false">IF(C1025=1,MOD(ABS(SIN(ROW()*12.9898+'הדבקת לידים'!$F$2*78.233+IFERROR(--RIGHT(A1025,6),LEN(A1025))*0.0137+IFERROR(--RIGHT(B1025,6),LEN(B1025))*0.0071))*43758.5453,1),"")</f>
        <v/>
      </c>
      <c r="E1025" s="0" t="str">
        <f aca="false">IF(C1025=1,INT(MOD(ABS(SIN(D1025*7919.123+ROW()*0.618+'הדבקת לידים'!$F$2*1.3))*43758.5453,1)*1000000)*10000+ROW(),"")</f>
        <v/>
      </c>
      <c r="F1025" s="0" t="str">
        <f aca="false">IF(E1025="","",RANK(E1025,$E$2:$E$5001,1))</f>
        <v/>
      </c>
      <c r="G1025" s="0" t="n">
        <f aca="false">IF(A1025="",0,IF(SUMPRODUCT(--($A$2:$A$5001=A1025))&gt;1,1,0))</f>
        <v>0</v>
      </c>
      <c r="H1025" s="0" t="n">
        <f aca="false">ROW()-1</f>
        <v>1024</v>
      </c>
      <c r="I1025" s="0" t="str">
        <f aca="false">IF(OR(הגדרות!$E$6=0,H1025&gt;הגדרות!$E$5),"",IF(H1025-1&lt;הגדרות!$E$8*(הגדרות!$E$7+1),INT((H1025-1)/(הגדרות!$E$7+1)),הגדרות!$E$8+INT((H1025-1-הגדרות!$E$8*(הגדרות!$E$7+1))/הגדרות!$E$7)))</f>
        <v/>
      </c>
      <c r="J1025" s="0" t="str">
        <f aca="false">IF(I1025="","",IF(H1025-1&lt;הגדרות!$E$8*(הגדרות!$E$7+1),MOD(H1025-1,הגדרות!$E$7+1),MOD(H1025-1-הגדרות!$E$8*(הגדרות!$E$7+1),הגדרות!$E$7)))</f>
        <v/>
      </c>
      <c r="K1025" s="0" t="str">
        <f aca="false">IF(I1025="","",J1025*הגדרות!$E$6+I1025+1)</f>
        <v/>
      </c>
      <c r="L1025" s="0" t="str">
        <f aca="false">IF(K1025="","",MATCH(K1025,$F$2:$F$5001,0))</f>
        <v/>
      </c>
      <c r="M1025" s="0" t="str">
        <f aca="false">IF(I1025="","",INDEX(הגדרות!$A$2:$A$21,MOD(I1025+הגדרות!$E$9,הגדרות!$E$6)+1))</f>
        <v/>
      </c>
    </row>
    <row r="1026" customFormat="false" ht="15" hidden="false" customHeight="false" outlineLevel="0" collapsed="false">
      <c r="A1026" s="0" t="str">
        <f aca="false">IF('הדבקת לידים'!A1026="","",IF(ISNUMBER('הדבקת לידים'!A1026),IF(הגדרות!$E$2&gt;0,TEXT('הדבקת לידים'!A1026,REPT("0",הגדרות!$E$2)),TEXT('הדבקת לידים'!A1026,"0")),TRIM('הדבקת לידים'!A1026)))</f>
        <v/>
      </c>
      <c r="B1026" s="0" t="str">
        <f aca="false">IF('הדבקת לידים'!B1026="","",IF(ISNUMBER('הדבקת לידים'!B1026),IF(הגדרות!$E$3&gt;0,TEXT('הדבקת לידים'!B1026,REPT("0",הגדרות!$E$3)),TEXT('הדבקת לידים'!B1026,"0")),TRIM('הדבקת לידים'!B1026)))</f>
        <v/>
      </c>
      <c r="C1026" s="0" t="n">
        <f aca="false">IF(OR(A1026&lt;&gt;"",B1026&lt;&gt;""),1,0)</f>
        <v>0</v>
      </c>
      <c r="D1026" s="0" t="str">
        <f aca="false">IF(C1026=1,MOD(ABS(SIN(ROW()*12.9898+'הדבקת לידים'!$F$2*78.233+IFERROR(--RIGHT(A1026,6),LEN(A1026))*0.0137+IFERROR(--RIGHT(B1026,6),LEN(B1026))*0.0071))*43758.5453,1),"")</f>
        <v/>
      </c>
      <c r="E1026" s="0" t="str">
        <f aca="false">IF(C1026=1,INT(MOD(ABS(SIN(D1026*7919.123+ROW()*0.618+'הדבקת לידים'!$F$2*1.3))*43758.5453,1)*1000000)*10000+ROW(),"")</f>
        <v/>
      </c>
      <c r="F1026" s="0" t="str">
        <f aca="false">IF(E1026="","",RANK(E1026,$E$2:$E$5001,1))</f>
        <v/>
      </c>
      <c r="G1026" s="0" t="n">
        <f aca="false">IF(A1026="",0,IF(SUMPRODUCT(--($A$2:$A$5001=A1026))&gt;1,1,0))</f>
        <v>0</v>
      </c>
      <c r="H1026" s="0" t="n">
        <f aca="false">ROW()-1</f>
        <v>1025</v>
      </c>
      <c r="I1026" s="0" t="str">
        <f aca="false">IF(OR(הגדרות!$E$6=0,H1026&gt;הגדרות!$E$5),"",IF(H1026-1&lt;הגדרות!$E$8*(הגדרות!$E$7+1),INT((H1026-1)/(הגדרות!$E$7+1)),הגדרות!$E$8+INT((H1026-1-הגדרות!$E$8*(הגדרות!$E$7+1))/הגדרות!$E$7)))</f>
        <v/>
      </c>
      <c r="J1026" s="0" t="str">
        <f aca="false">IF(I1026="","",IF(H1026-1&lt;הגדרות!$E$8*(הגדרות!$E$7+1),MOD(H1026-1,הגדרות!$E$7+1),MOD(H1026-1-הגדרות!$E$8*(הגדרות!$E$7+1),הגדרות!$E$7)))</f>
        <v/>
      </c>
      <c r="K1026" s="0" t="str">
        <f aca="false">IF(I1026="","",J1026*הגדרות!$E$6+I1026+1)</f>
        <v/>
      </c>
      <c r="L1026" s="0" t="str">
        <f aca="false">IF(K1026="","",MATCH(K1026,$F$2:$F$5001,0))</f>
        <v/>
      </c>
      <c r="M1026" s="0" t="str">
        <f aca="false">IF(I1026="","",INDEX(הגדרות!$A$2:$A$21,MOD(I1026+הגדרות!$E$9,הגדרות!$E$6)+1))</f>
        <v/>
      </c>
    </row>
    <row r="1027" customFormat="false" ht="15" hidden="false" customHeight="false" outlineLevel="0" collapsed="false">
      <c r="A1027" s="0" t="str">
        <f aca="false">IF('הדבקת לידים'!A1027="","",IF(ISNUMBER('הדבקת לידים'!A1027),IF(הגדרות!$E$2&gt;0,TEXT('הדבקת לידים'!A1027,REPT("0",הגדרות!$E$2)),TEXT('הדבקת לידים'!A1027,"0")),TRIM('הדבקת לידים'!A1027)))</f>
        <v/>
      </c>
      <c r="B1027" s="0" t="str">
        <f aca="false">IF('הדבקת לידים'!B1027="","",IF(ISNUMBER('הדבקת לידים'!B1027),IF(הגדרות!$E$3&gt;0,TEXT('הדבקת לידים'!B1027,REPT("0",הגדרות!$E$3)),TEXT('הדבקת לידים'!B1027,"0")),TRIM('הדבקת לידים'!B1027)))</f>
        <v/>
      </c>
      <c r="C1027" s="0" t="n">
        <f aca="false">IF(OR(A1027&lt;&gt;"",B1027&lt;&gt;""),1,0)</f>
        <v>0</v>
      </c>
      <c r="D1027" s="0" t="str">
        <f aca="false">IF(C1027=1,MOD(ABS(SIN(ROW()*12.9898+'הדבקת לידים'!$F$2*78.233+IFERROR(--RIGHT(A1027,6),LEN(A1027))*0.0137+IFERROR(--RIGHT(B1027,6),LEN(B1027))*0.0071))*43758.5453,1),"")</f>
        <v/>
      </c>
      <c r="E1027" s="0" t="str">
        <f aca="false">IF(C1027=1,INT(MOD(ABS(SIN(D1027*7919.123+ROW()*0.618+'הדבקת לידים'!$F$2*1.3))*43758.5453,1)*1000000)*10000+ROW(),"")</f>
        <v/>
      </c>
      <c r="F1027" s="0" t="str">
        <f aca="false">IF(E1027="","",RANK(E1027,$E$2:$E$5001,1))</f>
        <v/>
      </c>
      <c r="G1027" s="0" t="n">
        <f aca="false">IF(A1027="",0,IF(SUMPRODUCT(--($A$2:$A$5001=A1027))&gt;1,1,0))</f>
        <v>0</v>
      </c>
      <c r="H1027" s="0" t="n">
        <f aca="false">ROW()-1</f>
        <v>1026</v>
      </c>
      <c r="I1027" s="0" t="str">
        <f aca="false">IF(OR(הגדרות!$E$6=0,H1027&gt;הגדרות!$E$5),"",IF(H1027-1&lt;הגדרות!$E$8*(הגדרות!$E$7+1),INT((H1027-1)/(הגדרות!$E$7+1)),הגדרות!$E$8+INT((H1027-1-הגדרות!$E$8*(הגדרות!$E$7+1))/הגדרות!$E$7)))</f>
        <v/>
      </c>
      <c r="J1027" s="0" t="str">
        <f aca="false">IF(I1027="","",IF(H1027-1&lt;הגדרות!$E$8*(הגדרות!$E$7+1),MOD(H1027-1,הגדרות!$E$7+1),MOD(H1027-1-הגדרות!$E$8*(הגדרות!$E$7+1),הגדרות!$E$7)))</f>
        <v/>
      </c>
      <c r="K1027" s="0" t="str">
        <f aca="false">IF(I1027="","",J1027*הגדרות!$E$6+I1027+1)</f>
        <v/>
      </c>
      <c r="L1027" s="0" t="str">
        <f aca="false">IF(K1027="","",MATCH(K1027,$F$2:$F$5001,0))</f>
        <v/>
      </c>
      <c r="M1027" s="0" t="str">
        <f aca="false">IF(I1027="","",INDEX(הגדרות!$A$2:$A$21,MOD(I1027+הגדרות!$E$9,הגדרות!$E$6)+1))</f>
        <v/>
      </c>
    </row>
    <row r="1028" customFormat="false" ht="15" hidden="false" customHeight="false" outlineLevel="0" collapsed="false">
      <c r="A1028" s="0" t="str">
        <f aca="false">IF('הדבקת לידים'!A1028="","",IF(ISNUMBER('הדבקת לידים'!A1028),IF(הגדרות!$E$2&gt;0,TEXT('הדבקת לידים'!A1028,REPT("0",הגדרות!$E$2)),TEXT('הדבקת לידים'!A1028,"0")),TRIM('הדבקת לידים'!A1028)))</f>
        <v/>
      </c>
      <c r="B1028" s="0" t="str">
        <f aca="false">IF('הדבקת לידים'!B1028="","",IF(ISNUMBER('הדבקת לידים'!B1028),IF(הגדרות!$E$3&gt;0,TEXT('הדבקת לידים'!B1028,REPT("0",הגדרות!$E$3)),TEXT('הדבקת לידים'!B1028,"0")),TRIM('הדבקת לידים'!B1028)))</f>
        <v/>
      </c>
      <c r="C1028" s="0" t="n">
        <f aca="false">IF(OR(A1028&lt;&gt;"",B1028&lt;&gt;""),1,0)</f>
        <v>0</v>
      </c>
      <c r="D1028" s="0" t="str">
        <f aca="false">IF(C1028=1,MOD(ABS(SIN(ROW()*12.9898+'הדבקת לידים'!$F$2*78.233+IFERROR(--RIGHT(A1028,6),LEN(A1028))*0.0137+IFERROR(--RIGHT(B1028,6),LEN(B1028))*0.0071))*43758.5453,1),"")</f>
        <v/>
      </c>
      <c r="E1028" s="0" t="str">
        <f aca="false">IF(C1028=1,INT(MOD(ABS(SIN(D1028*7919.123+ROW()*0.618+'הדבקת לידים'!$F$2*1.3))*43758.5453,1)*1000000)*10000+ROW(),"")</f>
        <v/>
      </c>
      <c r="F1028" s="0" t="str">
        <f aca="false">IF(E1028="","",RANK(E1028,$E$2:$E$5001,1))</f>
        <v/>
      </c>
      <c r="G1028" s="0" t="n">
        <f aca="false">IF(A1028="",0,IF(SUMPRODUCT(--($A$2:$A$5001=A1028))&gt;1,1,0))</f>
        <v>0</v>
      </c>
      <c r="H1028" s="0" t="n">
        <f aca="false">ROW()-1</f>
        <v>1027</v>
      </c>
      <c r="I1028" s="0" t="str">
        <f aca="false">IF(OR(הגדרות!$E$6=0,H1028&gt;הגדרות!$E$5),"",IF(H1028-1&lt;הגדרות!$E$8*(הגדרות!$E$7+1),INT((H1028-1)/(הגדרות!$E$7+1)),הגדרות!$E$8+INT((H1028-1-הגדרות!$E$8*(הגדרות!$E$7+1))/הגדרות!$E$7)))</f>
        <v/>
      </c>
      <c r="J1028" s="0" t="str">
        <f aca="false">IF(I1028="","",IF(H1028-1&lt;הגדרות!$E$8*(הגדרות!$E$7+1),MOD(H1028-1,הגדרות!$E$7+1),MOD(H1028-1-הגדרות!$E$8*(הגדרות!$E$7+1),הגדרות!$E$7)))</f>
        <v/>
      </c>
      <c r="K1028" s="0" t="str">
        <f aca="false">IF(I1028="","",J1028*הגדרות!$E$6+I1028+1)</f>
        <v/>
      </c>
      <c r="L1028" s="0" t="str">
        <f aca="false">IF(K1028="","",MATCH(K1028,$F$2:$F$5001,0))</f>
        <v/>
      </c>
      <c r="M1028" s="0" t="str">
        <f aca="false">IF(I1028="","",INDEX(הגדרות!$A$2:$A$21,MOD(I1028+הגדרות!$E$9,הגדרות!$E$6)+1))</f>
        <v/>
      </c>
    </row>
    <row r="1029" customFormat="false" ht="15" hidden="false" customHeight="false" outlineLevel="0" collapsed="false">
      <c r="A1029" s="0" t="str">
        <f aca="false">IF('הדבקת לידים'!A1029="","",IF(ISNUMBER('הדבקת לידים'!A1029),IF(הגדרות!$E$2&gt;0,TEXT('הדבקת לידים'!A1029,REPT("0",הגדרות!$E$2)),TEXT('הדבקת לידים'!A1029,"0")),TRIM('הדבקת לידים'!A1029)))</f>
        <v/>
      </c>
      <c r="B1029" s="0" t="str">
        <f aca="false">IF('הדבקת לידים'!B1029="","",IF(ISNUMBER('הדבקת לידים'!B1029),IF(הגדרות!$E$3&gt;0,TEXT('הדבקת לידים'!B1029,REPT("0",הגדרות!$E$3)),TEXT('הדבקת לידים'!B1029,"0")),TRIM('הדבקת לידים'!B1029)))</f>
        <v/>
      </c>
      <c r="C1029" s="0" t="n">
        <f aca="false">IF(OR(A1029&lt;&gt;"",B1029&lt;&gt;""),1,0)</f>
        <v>0</v>
      </c>
      <c r="D1029" s="0" t="str">
        <f aca="false">IF(C1029=1,MOD(ABS(SIN(ROW()*12.9898+'הדבקת לידים'!$F$2*78.233+IFERROR(--RIGHT(A1029,6),LEN(A1029))*0.0137+IFERROR(--RIGHT(B1029,6),LEN(B1029))*0.0071))*43758.5453,1),"")</f>
        <v/>
      </c>
      <c r="E1029" s="0" t="str">
        <f aca="false">IF(C1029=1,INT(MOD(ABS(SIN(D1029*7919.123+ROW()*0.618+'הדבקת לידים'!$F$2*1.3))*43758.5453,1)*1000000)*10000+ROW(),"")</f>
        <v/>
      </c>
      <c r="F1029" s="0" t="str">
        <f aca="false">IF(E1029="","",RANK(E1029,$E$2:$E$5001,1))</f>
        <v/>
      </c>
      <c r="G1029" s="0" t="n">
        <f aca="false">IF(A1029="",0,IF(SUMPRODUCT(--($A$2:$A$5001=A1029))&gt;1,1,0))</f>
        <v>0</v>
      </c>
      <c r="H1029" s="0" t="n">
        <f aca="false">ROW()-1</f>
        <v>1028</v>
      </c>
      <c r="I1029" s="0" t="str">
        <f aca="false">IF(OR(הגדרות!$E$6=0,H1029&gt;הגדרות!$E$5),"",IF(H1029-1&lt;הגדרות!$E$8*(הגדרות!$E$7+1),INT((H1029-1)/(הגדרות!$E$7+1)),הגדרות!$E$8+INT((H1029-1-הגדרות!$E$8*(הגדרות!$E$7+1))/הגדרות!$E$7)))</f>
        <v/>
      </c>
      <c r="J1029" s="0" t="str">
        <f aca="false">IF(I1029="","",IF(H1029-1&lt;הגדרות!$E$8*(הגדרות!$E$7+1),MOD(H1029-1,הגדרות!$E$7+1),MOD(H1029-1-הגדרות!$E$8*(הגדרות!$E$7+1),הגדרות!$E$7)))</f>
        <v/>
      </c>
      <c r="K1029" s="0" t="str">
        <f aca="false">IF(I1029="","",J1029*הגדרות!$E$6+I1029+1)</f>
        <v/>
      </c>
      <c r="L1029" s="0" t="str">
        <f aca="false">IF(K1029="","",MATCH(K1029,$F$2:$F$5001,0))</f>
        <v/>
      </c>
      <c r="M1029" s="0" t="str">
        <f aca="false">IF(I1029="","",INDEX(הגדרות!$A$2:$A$21,MOD(I1029+הגדרות!$E$9,הגדרות!$E$6)+1))</f>
        <v/>
      </c>
    </row>
    <row r="1030" customFormat="false" ht="15" hidden="false" customHeight="false" outlineLevel="0" collapsed="false">
      <c r="A1030" s="0" t="str">
        <f aca="false">IF('הדבקת לידים'!A1030="","",IF(ISNUMBER('הדבקת לידים'!A1030),IF(הגדרות!$E$2&gt;0,TEXT('הדבקת לידים'!A1030,REPT("0",הגדרות!$E$2)),TEXT('הדבקת לידים'!A1030,"0")),TRIM('הדבקת לידים'!A1030)))</f>
        <v/>
      </c>
      <c r="B1030" s="0" t="str">
        <f aca="false">IF('הדבקת לידים'!B1030="","",IF(ISNUMBER('הדבקת לידים'!B1030),IF(הגדרות!$E$3&gt;0,TEXT('הדבקת לידים'!B1030,REPT("0",הגדרות!$E$3)),TEXT('הדבקת לידים'!B1030,"0")),TRIM('הדבקת לידים'!B1030)))</f>
        <v/>
      </c>
      <c r="C1030" s="0" t="n">
        <f aca="false">IF(OR(A1030&lt;&gt;"",B1030&lt;&gt;""),1,0)</f>
        <v>0</v>
      </c>
      <c r="D1030" s="0" t="str">
        <f aca="false">IF(C1030=1,MOD(ABS(SIN(ROW()*12.9898+'הדבקת לידים'!$F$2*78.233+IFERROR(--RIGHT(A1030,6),LEN(A1030))*0.0137+IFERROR(--RIGHT(B1030,6),LEN(B1030))*0.0071))*43758.5453,1),"")</f>
        <v/>
      </c>
      <c r="E1030" s="0" t="str">
        <f aca="false">IF(C1030=1,INT(MOD(ABS(SIN(D1030*7919.123+ROW()*0.618+'הדבקת לידים'!$F$2*1.3))*43758.5453,1)*1000000)*10000+ROW(),"")</f>
        <v/>
      </c>
      <c r="F1030" s="0" t="str">
        <f aca="false">IF(E1030="","",RANK(E1030,$E$2:$E$5001,1))</f>
        <v/>
      </c>
      <c r="G1030" s="0" t="n">
        <f aca="false">IF(A1030="",0,IF(SUMPRODUCT(--($A$2:$A$5001=A1030))&gt;1,1,0))</f>
        <v>0</v>
      </c>
      <c r="H1030" s="0" t="n">
        <f aca="false">ROW()-1</f>
        <v>1029</v>
      </c>
      <c r="I1030" s="0" t="str">
        <f aca="false">IF(OR(הגדרות!$E$6=0,H1030&gt;הגדרות!$E$5),"",IF(H1030-1&lt;הגדרות!$E$8*(הגדרות!$E$7+1),INT((H1030-1)/(הגדרות!$E$7+1)),הגדרות!$E$8+INT((H1030-1-הגדרות!$E$8*(הגדרות!$E$7+1))/הגדרות!$E$7)))</f>
        <v/>
      </c>
      <c r="J1030" s="0" t="str">
        <f aca="false">IF(I1030="","",IF(H1030-1&lt;הגדרות!$E$8*(הגדרות!$E$7+1),MOD(H1030-1,הגדרות!$E$7+1),MOD(H1030-1-הגדרות!$E$8*(הגדרות!$E$7+1),הגדרות!$E$7)))</f>
        <v/>
      </c>
      <c r="K1030" s="0" t="str">
        <f aca="false">IF(I1030="","",J1030*הגדרות!$E$6+I1030+1)</f>
        <v/>
      </c>
      <c r="L1030" s="0" t="str">
        <f aca="false">IF(K1030="","",MATCH(K1030,$F$2:$F$5001,0))</f>
        <v/>
      </c>
      <c r="M1030" s="0" t="str">
        <f aca="false">IF(I1030="","",INDEX(הגדרות!$A$2:$A$21,MOD(I1030+הגדרות!$E$9,הגדרות!$E$6)+1))</f>
        <v/>
      </c>
    </row>
    <row r="1031" customFormat="false" ht="15" hidden="false" customHeight="false" outlineLevel="0" collapsed="false">
      <c r="A1031" s="0" t="str">
        <f aca="false">IF('הדבקת לידים'!A1031="","",IF(ISNUMBER('הדבקת לידים'!A1031),IF(הגדרות!$E$2&gt;0,TEXT('הדבקת לידים'!A1031,REPT("0",הגדרות!$E$2)),TEXT('הדבקת לידים'!A1031,"0")),TRIM('הדבקת לידים'!A1031)))</f>
        <v/>
      </c>
      <c r="B1031" s="0" t="str">
        <f aca="false">IF('הדבקת לידים'!B1031="","",IF(ISNUMBER('הדבקת לידים'!B1031),IF(הגדרות!$E$3&gt;0,TEXT('הדבקת לידים'!B1031,REPT("0",הגדרות!$E$3)),TEXT('הדבקת לידים'!B1031,"0")),TRIM('הדבקת לידים'!B1031)))</f>
        <v/>
      </c>
      <c r="C1031" s="0" t="n">
        <f aca="false">IF(OR(A1031&lt;&gt;"",B1031&lt;&gt;""),1,0)</f>
        <v>0</v>
      </c>
      <c r="D1031" s="0" t="str">
        <f aca="false">IF(C1031=1,MOD(ABS(SIN(ROW()*12.9898+'הדבקת לידים'!$F$2*78.233+IFERROR(--RIGHT(A1031,6),LEN(A1031))*0.0137+IFERROR(--RIGHT(B1031,6),LEN(B1031))*0.0071))*43758.5453,1),"")</f>
        <v/>
      </c>
      <c r="E1031" s="0" t="str">
        <f aca="false">IF(C1031=1,INT(MOD(ABS(SIN(D1031*7919.123+ROW()*0.618+'הדבקת לידים'!$F$2*1.3))*43758.5453,1)*1000000)*10000+ROW(),"")</f>
        <v/>
      </c>
      <c r="F1031" s="0" t="str">
        <f aca="false">IF(E1031="","",RANK(E1031,$E$2:$E$5001,1))</f>
        <v/>
      </c>
      <c r="G1031" s="0" t="n">
        <f aca="false">IF(A1031="",0,IF(SUMPRODUCT(--($A$2:$A$5001=A1031))&gt;1,1,0))</f>
        <v>0</v>
      </c>
      <c r="H1031" s="0" t="n">
        <f aca="false">ROW()-1</f>
        <v>1030</v>
      </c>
      <c r="I1031" s="0" t="str">
        <f aca="false">IF(OR(הגדרות!$E$6=0,H1031&gt;הגדרות!$E$5),"",IF(H1031-1&lt;הגדרות!$E$8*(הגדרות!$E$7+1),INT((H1031-1)/(הגדרות!$E$7+1)),הגדרות!$E$8+INT((H1031-1-הגדרות!$E$8*(הגדרות!$E$7+1))/הגדרות!$E$7)))</f>
        <v/>
      </c>
      <c r="J1031" s="0" t="str">
        <f aca="false">IF(I1031="","",IF(H1031-1&lt;הגדרות!$E$8*(הגדרות!$E$7+1),MOD(H1031-1,הגדרות!$E$7+1),MOD(H1031-1-הגדרות!$E$8*(הגדרות!$E$7+1),הגדרות!$E$7)))</f>
        <v/>
      </c>
      <c r="K1031" s="0" t="str">
        <f aca="false">IF(I1031="","",J1031*הגדרות!$E$6+I1031+1)</f>
        <v/>
      </c>
      <c r="L1031" s="0" t="str">
        <f aca="false">IF(K1031="","",MATCH(K1031,$F$2:$F$5001,0))</f>
        <v/>
      </c>
      <c r="M1031" s="0" t="str">
        <f aca="false">IF(I1031="","",INDEX(הגדרות!$A$2:$A$21,MOD(I1031+הגדרות!$E$9,הגדרות!$E$6)+1))</f>
        <v/>
      </c>
    </row>
    <row r="1032" customFormat="false" ht="15" hidden="false" customHeight="false" outlineLevel="0" collapsed="false">
      <c r="A1032" s="0" t="str">
        <f aca="false">IF('הדבקת לידים'!A1032="","",IF(ISNUMBER('הדבקת לידים'!A1032),IF(הגדרות!$E$2&gt;0,TEXT('הדבקת לידים'!A1032,REPT("0",הגדרות!$E$2)),TEXT('הדבקת לידים'!A1032,"0")),TRIM('הדבקת לידים'!A1032)))</f>
        <v/>
      </c>
      <c r="B1032" s="0" t="str">
        <f aca="false">IF('הדבקת לידים'!B1032="","",IF(ISNUMBER('הדבקת לידים'!B1032),IF(הגדרות!$E$3&gt;0,TEXT('הדבקת לידים'!B1032,REPT("0",הגדרות!$E$3)),TEXT('הדבקת לידים'!B1032,"0")),TRIM('הדבקת לידים'!B1032)))</f>
        <v/>
      </c>
      <c r="C1032" s="0" t="n">
        <f aca="false">IF(OR(A1032&lt;&gt;"",B1032&lt;&gt;""),1,0)</f>
        <v>0</v>
      </c>
      <c r="D1032" s="0" t="str">
        <f aca="false">IF(C1032=1,MOD(ABS(SIN(ROW()*12.9898+'הדבקת לידים'!$F$2*78.233+IFERROR(--RIGHT(A1032,6),LEN(A1032))*0.0137+IFERROR(--RIGHT(B1032,6),LEN(B1032))*0.0071))*43758.5453,1),"")</f>
        <v/>
      </c>
      <c r="E1032" s="0" t="str">
        <f aca="false">IF(C1032=1,INT(MOD(ABS(SIN(D1032*7919.123+ROW()*0.618+'הדבקת לידים'!$F$2*1.3))*43758.5453,1)*1000000)*10000+ROW(),"")</f>
        <v/>
      </c>
      <c r="F1032" s="0" t="str">
        <f aca="false">IF(E1032="","",RANK(E1032,$E$2:$E$5001,1))</f>
        <v/>
      </c>
      <c r="G1032" s="0" t="n">
        <f aca="false">IF(A1032="",0,IF(SUMPRODUCT(--($A$2:$A$5001=A1032))&gt;1,1,0))</f>
        <v>0</v>
      </c>
      <c r="H1032" s="0" t="n">
        <f aca="false">ROW()-1</f>
        <v>1031</v>
      </c>
      <c r="I1032" s="0" t="str">
        <f aca="false">IF(OR(הגדרות!$E$6=0,H1032&gt;הגדרות!$E$5),"",IF(H1032-1&lt;הגדרות!$E$8*(הגדרות!$E$7+1),INT((H1032-1)/(הגדרות!$E$7+1)),הגדרות!$E$8+INT((H1032-1-הגדרות!$E$8*(הגדרות!$E$7+1))/הגדרות!$E$7)))</f>
        <v/>
      </c>
      <c r="J1032" s="0" t="str">
        <f aca="false">IF(I1032="","",IF(H1032-1&lt;הגדרות!$E$8*(הגדרות!$E$7+1),MOD(H1032-1,הגדרות!$E$7+1),MOD(H1032-1-הגדרות!$E$8*(הגדרות!$E$7+1),הגדרות!$E$7)))</f>
        <v/>
      </c>
      <c r="K1032" s="0" t="str">
        <f aca="false">IF(I1032="","",J1032*הגדרות!$E$6+I1032+1)</f>
        <v/>
      </c>
      <c r="L1032" s="0" t="str">
        <f aca="false">IF(K1032="","",MATCH(K1032,$F$2:$F$5001,0))</f>
        <v/>
      </c>
      <c r="M1032" s="0" t="str">
        <f aca="false">IF(I1032="","",INDEX(הגדרות!$A$2:$A$21,MOD(I1032+הגדרות!$E$9,הגדרות!$E$6)+1))</f>
        <v/>
      </c>
    </row>
    <row r="1033" customFormat="false" ht="15" hidden="false" customHeight="false" outlineLevel="0" collapsed="false">
      <c r="A1033" s="0" t="str">
        <f aca="false">IF('הדבקת לידים'!A1033="","",IF(ISNUMBER('הדבקת לידים'!A1033),IF(הגדרות!$E$2&gt;0,TEXT('הדבקת לידים'!A1033,REPT("0",הגדרות!$E$2)),TEXT('הדבקת לידים'!A1033,"0")),TRIM('הדבקת לידים'!A1033)))</f>
        <v/>
      </c>
      <c r="B1033" s="0" t="str">
        <f aca="false">IF('הדבקת לידים'!B1033="","",IF(ISNUMBER('הדבקת לידים'!B1033),IF(הגדרות!$E$3&gt;0,TEXT('הדבקת לידים'!B1033,REPT("0",הגדרות!$E$3)),TEXT('הדבקת לידים'!B1033,"0")),TRIM('הדבקת לידים'!B1033)))</f>
        <v/>
      </c>
      <c r="C1033" s="0" t="n">
        <f aca="false">IF(OR(A1033&lt;&gt;"",B1033&lt;&gt;""),1,0)</f>
        <v>0</v>
      </c>
      <c r="D1033" s="0" t="str">
        <f aca="false">IF(C1033=1,MOD(ABS(SIN(ROW()*12.9898+'הדבקת לידים'!$F$2*78.233+IFERROR(--RIGHT(A1033,6),LEN(A1033))*0.0137+IFERROR(--RIGHT(B1033,6),LEN(B1033))*0.0071))*43758.5453,1),"")</f>
        <v/>
      </c>
      <c r="E1033" s="0" t="str">
        <f aca="false">IF(C1033=1,INT(MOD(ABS(SIN(D1033*7919.123+ROW()*0.618+'הדבקת לידים'!$F$2*1.3))*43758.5453,1)*1000000)*10000+ROW(),"")</f>
        <v/>
      </c>
      <c r="F1033" s="0" t="str">
        <f aca="false">IF(E1033="","",RANK(E1033,$E$2:$E$5001,1))</f>
        <v/>
      </c>
      <c r="G1033" s="0" t="n">
        <f aca="false">IF(A1033="",0,IF(SUMPRODUCT(--($A$2:$A$5001=A1033))&gt;1,1,0))</f>
        <v>0</v>
      </c>
      <c r="H1033" s="0" t="n">
        <f aca="false">ROW()-1</f>
        <v>1032</v>
      </c>
      <c r="I1033" s="0" t="str">
        <f aca="false">IF(OR(הגדרות!$E$6=0,H1033&gt;הגדרות!$E$5),"",IF(H1033-1&lt;הגדרות!$E$8*(הגדרות!$E$7+1),INT((H1033-1)/(הגדרות!$E$7+1)),הגדרות!$E$8+INT((H1033-1-הגדרות!$E$8*(הגדרות!$E$7+1))/הגדרות!$E$7)))</f>
        <v/>
      </c>
      <c r="J1033" s="0" t="str">
        <f aca="false">IF(I1033="","",IF(H1033-1&lt;הגדרות!$E$8*(הגדרות!$E$7+1),MOD(H1033-1,הגדרות!$E$7+1),MOD(H1033-1-הגדרות!$E$8*(הגדרות!$E$7+1),הגדרות!$E$7)))</f>
        <v/>
      </c>
      <c r="K1033" s="0" t="str">
        <f aca="false">IF(I1033="","",J1033*הגדרות!$E$6+I1033+1)</f>
        <v/>
      </c>
      <c r="L1033" s="0" t="str">
        <f aca="false">IF(K1033="","",MATCH(K1033,$F$2:$F$5001,0))</f>
        <v/>
      </c>
      <c r="M1033" s="0" t="str">
        <f aca="false">IF(I1033="","",INDEX(הגדרות!$A$2:$A$21,MOD(I1033+הגדרות!$E$9,הגדרות!$E$6)+1))</f>
        <v/>
      </c>
    </row>
    <row r="1034" customFormat="false" ht="15" hidden="false" customHeight="false" outlineLevel="0" collapsed="false">
      <c r="A1034" s="0" t="str">
        <f aca="false">IF('הדבקת לידים'!A1034="","",IF(ISNUMBER('הדבקת לידים'!A1034),IF(הגדרות!$E$2&gt;0,TEXT('הדבקת לידים'!A1034,REPT("0",הגדרות!$E$2)),TEXT('הדבקת לידים'!A1034,"0")),TRIM('הדבקת לידים'!A1034)))</f>
        <v/>
      </c>
      <c r="B1034" s="0" t="str">
        <f aca="false">IF('הדבקת לידים'!B1034="","",IF(ISNUMBER('הדבקת לידים'!B1034),IF(הגדרות!$E$3&gt;0,TEXT('הדבקת לידים'!B1034,REPT("0",הגדרות!$E$3)),TEXT('הדבקת לידים'!B1034,"0")),TRIM('הדבקת לידים'!B1034)))</f>
        <v/>
      </c>
      <c r="C1034" s="0" t="n">
        <f aca="false">IF(OR(A1034&lt;&gt;"",B1034&lt;&gt;""),1,0)</f>
        <v>0</v>
      </c>
      <c r="D1034" s="0" t="str">
        <f aca="false">IF(C1034=1,MOD(ABS(SIN(ROW()*12.9898+'הדבקת לידים'!$F$2*78.233+IFERROR(--RIGHT(A1034,6),LEN(A1034))*0.0137+IFERROR(--RIGHT(B1034,6),LEN(B1034))*0.0071))*43758.5453,1),"")</f>
        <v/>
      </c>
      <c r="E1034" s="0" t="str">
        <f aca="false">IF(C1034=1,INT(MOD(ABS(SIN(D1034*7919.123+ROW()*0.618+'הדבקת לידים'!$F$2*1.3))*43758.5453,1)*1000000)*10000+ROW(),"")</f>
        <v/>
      </c>
      <c r="F1034" s="0" t="str">
        <f aca="false">IF(E1034="","",RANK(E1034,$E$2:$E$5001,1))</f>
        <v/>
      </c>
      <c r="G1034" s="0" t="n">
        <f aca="false">IF(A1034="",0,IF(SUMPRODUCT(--($A$2:$A$5001=A1034))&gt;1,1,0))</f>
        <v>0</v>
      </c>
      <c r="H1034" s="0" t="n">
        <f aca="false">ROW()-1</f>
        <v>1033</v>
      </c>
      <c r="I1034" s="0" t="str">
        <f aca="false">IF(OR(הגדרות!$E$6=0,H1034&gt;הגדרות!$E$5),"",IF(H1034-1&lt;הגדרות!$E$8*(הגדרות!$E$7+1),INT((H1034-1)/(הגדרות!$E$7+1)),הגדרות!$E$8+INT((H1034-1-הגדרות!$E$8*(הגדרות!$E$7+1))/הגדרות!$E$7)))</f>
        <v/>
      </c>
      <c r="J1034" s="0" t="str">
        <f aca="false">IF(I1034="","",IF(H1034-1&lt;הגדרות!$E$8*(הגדרות!$E$7+1),MOD(H1034-1,הגדרות!$E$7+1),MOD(H1034-1-הגדרות!$E$8*(הגדרות!$E$7+1),הגדרות!$E$7)))</f>
        <v/>
      </c>
      <c r="K1034" s="0" t="str">
        <f aca="false">IF(I1034="","",J1034*הגדרות!$E$6+I1034+1)</f>
        <v/>
      </c>
      <c r="L1034" s="0" t="str">
        <f aca="false">IF(K1034="","",MATCH(K1034,$F$2:$F$5001,0))</f>
        <v/>
      </c>
      <c r="M1034" s="0" t="str">
        <f aca="false">IF(I1034="","",INDEX(הגדרות!$A$2:$A$21,MOD(I1034+הגדרות!$E$9,הגדרות!$E$6)+1))</f>
        <v/>
      </c>
    </row>
    <row r="1035" customFormat="false" ht="15" hidden="false" customHeight="false" outlineLevel="0" collapsed="false">
      <c r="A1035" s="0" t="str">
        <f aca="false">IF('הדבקת לידים'!A1035="","",IF(ISNUMBER('הדבקת לידים'!A1035),IF(הגדרות!$E$2&gt;0,TEXT('הדבקת לידים'!A1035,REPT("0",הגדרות!$E$2)),TEXT('הדבקת לידים'!A1035,"0")),TRIM('הדבקת לידים'!A1035)))</f>
        <v/>
      </c>
      <c r="B1035" s="0" t="str">
        <f aca="false">IF('הדבקת לידים'!B1035="","",IF(ISNUMBER('הדבקת לידים'!B1035),IF(הגדרות!$E$3&gt;0,TEXT('הדבקת לידים'!B1035,REPT("0",הגדרות!$E$3)),TEXT('הדבקת לידים'!B1035,"0")),TRIM('הדבקת לידים'!B1035)))</f>
        <v/>
      </c>
      <c r="C1035" s="0" t="n">
        <f aca="false">IF(OR(A1035&lt;&gt;"",B1035&lt;&gt;""),1,0)</f>
        <v>0</v>
      </c>
      <c r="D1035" s="0" t="str">
        <f aca="false">IF(C1035=1,MOD(ABS(SIN(ROW()*12.9898+'הדבקת לידים'!$F$2*78.233+IFERROR(--RIGHT(A1035,6),LEN(A1035))*0.0137+IFERROR(--RIGHT(B1035,6),LEN(B1035))*0.0071))*43758.5453,1),"")</f>
        <v/>
      </c>
      <c r="E1035" s="0" t="str">
        <f aca="false">IF(C1035=1,INT(MOD(ABS(SIN(D1035*7919.123+ROW()*0.618+'הדבקת לידים'!$F$2*1.3))*43758.5453,1)*1000000)*10000+ROW(),"")</f>
        <v/>
      </c>
      <c r="F1035" s="0" t="str">
        <f aca="false">IF(E1035="","",RANK(E1035,$E$2:$E$5001,1))</f>
        <v/>
      </c>
      <c r="G1035" s="0" t="n">
        <f aca="false">IF(A1035="",0,IF(SUMPRODUCT(--($A$2:$A$5001=A1035))&gt;1,1,0))</f>
        <v>0</v>
      </c>
      <c r="H1035" s="0" t="n">
        <f aca="false">ROW()-1</f>
        <v>1034</v>
      </c>
      <c r="I1035" s="0" t="str">
        <f aca="false">IF(OR(הגדרות!$E$6=0,H1035&gt;הגדרות!$E$5),"",IF(H1035-1&lt;הגדרות!$E$8*(הגדרות!$E$7+1),INT((H1035-1)/(הגדרות!$E$7+1)),הגדרות!$E$8+INT((H1035-1-הגדרות!$E$8*(הגדרות!$E$7+1))/הגדרות!$E$7)))</f>
        <v/>
      </c>
      <c r="J1035" s="0" t="str">
        <f aca="false">IF(I1035="","",IF(H1035-1&lt;הגדרות!$E$8*(הגדרות!$E$7+1),MOD(H1035-1,הגדרות!$E$7+1),MOD(H1035-1-הגדרות!$E$8*(הגדרות!$E$7+1),הגדרות!$E$7)))</f>
        <v/>
      </c>
      <c r="K1035" s="0" t="str">
        <f aca="false">IF(I1035="","",J1035*הגדרות!$E$6+I1035+1)</f>
        <v/>
      </c>
      <c r="L1035" s="0" t="str">
        <f aca="false">IF(K1035="","",MATCH(K1035,$F$2:$F$5001,0))</f>
        <v/>
      </c>
      <c r="M1035" s="0" t="str">
        <f aca="false">IF(I1035="","",INDEX(הגדרות!$A$2:$A$21,MOD(I1035+הגדרות!$E$9,הגדרות!$E$6)+1))</f>
        <v/>
      </c>
    </row>
    <row r="1036" customFormat="false" ht="15" hidden="false" customHeight="false" outlineLevel="0" collapsed="false">
      <c r="A1036" s="0" t="str">
        <f aca="false">IF('הדבקת לידים'!A1036="","",IF(ISNUMBER('הדבקת לידים'!A1036),IF(הגדרות!$E$2&gt;0,TEXT('הדבקת לידים'!A1036,REPT("0",הגדרות!$E$2)),TEXT('הדבקת לידים'!A1036,"0")),TRIM('הדבקת לידים'!A1036)))</f>
        <v/>
      </c>
      <c r="B1036" s="0" t="str">
        <f aca="false">IF('הדבקת לידים'!B1036="","",IF(ISNUMBER('הדבקת לידים'!B1036),IF(הגדרות!$E$3&gt;0,TEXT('הדבקת לידים'!B1036,REPT("0",הגדרות!$E$3)),TEXT('הדבקת לידים'!B1036,"0")),TRIM('הדבקת לידים'!B1036)))</f>
        <v/>
      </c>
      <c r="C1036" s="0" t="n">
        <f aca="false">IF(OR(A1036&lt;&gt;"",B1036&lt;&gt;""),1,0)</f>
        <v>0</v>
      </c>
      <c r="D1036" s="0" t="str">
        <f aca="false">IF(C1036=1,MOD(ABS(SIN(ROW()*12.9898+'הדבקת לידים'!$F$2*78.233+IFERROR(--RIGHT(A1036,6),LEN(A1036))*0.0137+IFERROR(--RIGHT(B1036,6),LEN(B1036))*0.0071))*43758.5453,1),"")</f>
        <v/>
      </c>
      <c r="E1036" s="0" t="str">
        <f aca="false">IF(C1036=1,INT(MOD(ABS(SIN(D1036*7919.123+ROW()*0.618+'הדבקת לידים'!$F$2*1.3))*43758.5453,1)*1000000)*10000+ROW(),"")</f>
        <v/>
      </c>
      <c r="F1036" s="0" t="str">
        <f aca="false">IF(E1036="","",RANK(E1036,$E$2:$E$5001,1))</f>
        <v/>
      </c>
      <c r="G1036" s="0" t="n">
        <f aca="false">IF(A1036="",0,IF(SUMPRODUCT(--($A$2:$A$5001=A1036))&gt;1,1,0))</f>
        <v>0</v>
      </c>
      <c r="H1036" s="0" t="n">
        <f aca="false">ROW()-1</f>
        <v>1035</v>
      </c>
      <c r="I1036" s="0" t="str">
        <f aca="false">IF(OR(הגדרות!$E$6=0,H1036&gt;הגדרות!$E$5),"",IF(H1036-1&lt;הגדרות!$E$8*(הגדרות!$E$7+1),INT((H1036-1)/(הגדרות!$E$7+1)),הגדרות!$E$8+INT((H1036-1-הגדרות!$E$8*(הגדרות!$E$7+1))/הגדרות!$E$7)))</f>
        <v/>
      </c>
      <c r="J1036" s="0" t="str">
        <f aca="false">IF(I1036="","",IF(H1036-1&lt;הגדרות!$E$8*(הגדרות!$E$7+1),MOD(H1036-1,הגדרות!$E$7+1),MOD(H1036-1-הגדרות!$E$8*(הגדרות!$E$7+1),הגדרות!$E$7)))</f>
        <v/>
      </c>
      <c r="K1036" s="0" t="str">
        <f aca="false">IF(I1036="","",J1036*הגדרות!$E$6+I1036+1)</f>
        <v/>
      </c>
      <c r="L1036" s="0" t="str">
        <f aca="false">IF(K1036="","",MATCH(K1036,$F$2:$F$5001,0))</f>
        <v/>
      </c>
      <c r="M1036" s="0" t="str">
        <f aca="false">IF(I1036="","",INDEX(הגדרות!$A$2:$A$21,MOD(I1036+הגדרות!$E$9,הגדרות!$E$6)+1))</f>
        <v/>
      </c>
    </row>
    <row r="1037" customFormat="false" ht="15" hidden="false" customHeight="false" outlineLevel="0" collapsed="false">
      <c r="A1037" s="0" t="str">
        <f aca="false">IF('הדבקת לידים'!A1037="","",IF(ISNUMBER('הדבקת לידים'!A1037),IF(הגדרות!$E$2&gt;0,TEXT('הדבקת לידים'!A1037,REPT("0",הגדרות!$E$2)),TEXT('הדבקת לידים'!A1037,"0")),TRIM('הדבקת לידים'!A1037)))</f>
        <v/>
      </c>
      <c r="B1037" s="0" t="str">
        <f aca="false">IF('הדבקת לידים'!B1037="","",IF(ISNUMBER('הדבקת לידים'!B1037),IF(הגדרות!$E$3&gt;0,TEXT('הדבקת לידים'!B1037,REPT("0",הגדרות!$E$3)),TEXT('הדבקת לידים'!B1037,"0")),TRIM('הדבקת לידים'!B1037)))</f>
        <v/>
      </c>
      <c r="C1037" s="0" t="n">
        <f aca="false">IF(OR(A1037&lt;&gt;"",B1037&lt;&gt;""),1,0)</f>
        <v>0</v>
      </c>
      <c r="D1037" s="0" t="str">
        <f aca="false">IF(C1037=1,MOD(ABS(SIN(ROW()*12.9898+'הדבקת לידים'!$F$2*78.233+IFERROR(--RIGHT(A1037,6),LEN(A1037))*0.0137+IFERROR(--RIGHT(B1037,6),LEN(B1037))*0.0071))*43758.5453,1),"")</f>
        <v/>
      </c>
      <c r="E1037" s="0" t="str">
        <f aca="false">IF(C1037=1,INT(MOD(ABS(SIN(D1037*7919.123+ROW()*0.618+'הדבקת לידים'!$F$2*1.3))*43758.5453,1)*1000000)*10000+ROW(),"")</f>
        <v/>
      </c>
      <c r="F1037" s="0" t="str">
        <f aca="false">IF(E1037="","",RANK(E1037,$E$2:$E$5001,1))</f>
        <v/>
      </c>
      <c r="G1037" s="0" t="n">
        <f aca="false">IF(A1037="",0,IF(SUMPRODUCT(--($A$2:$A$5001=A1037))&gt;1,1,0))</f>
        <v>0</v>
      </c>
      <c r="H1037" s="0" t="n">
        <f aca="false">ROW()-1</f>
        <v>1036</v>
      </c>
      <c r="I1037" s="0" t="str">
        <f aca="false">IF(OR(הגדרות!$E$6=0,H1037&gt;הגדרות!$E$5),"",IF(H1037-1&lt;הגדרות!$E$8*(הגדרות!$E$7+1),INT((H1037-1)/(הגדרות!$E$7+1)),הגדרות!$E$8+INT((H1037-1-הגדרות!$E$8*(הגדרות!$E$7+1))/הגדרות!$E$7)))</f>
        <v/>
      </c>
      <c r="J1037" s="0" t="str">
        <f aca="false">IF(I1037="","",IF(H1037-1&lt;הגדרות!$E$8*(הגדרות!$E$7+1),MOD(H1037-1,הגדרות!$E$7+1),MOD(H1037-1-הגדרות!$E$8*(הגדרות!$E$7+1),הגדרות!$E$7)))</f>
        <v/>
      </c>
      <c r="K1037" s="0" t="str">
        <f aca="false">IF(I1037="","",J1037*הגדרות!$E$6+I1037+1)</f>
        <v/>
      </c>
      <c r="L1037" s="0" t="str">
        <f aca="false">IF(K1037="","",MATCH(K1037,$F$2:$F$5001,0))</f>
        <v/>
      </c>
      <c r="M1037" s="0" t="str">
        <f aca="false">IF(I1037="","",INDEX(הגדרות!$A$2:$A$21,MOD(I1037+הגדרות!$E$9,הגדרות!$E$6)+1))</f>
        <v/>
      </c>
    </row>
    <row r="1038" customFormat="false" ht="15" hidden="false" customHeight="false" outlineLevel="0" collapsed="false">
      <c r="A1038" s="0" t="str">
        <f aca="false">IF('הדבקת לידים'!A1038="","",IF(ISNUMBER('הדבקת לידים'!A1038),IF(הגדרות!$E$2&gt;0,TEXT('הדבקת לידים'!A1038,REPT("0",הגדרות!$E$2)),TEXT('הדבקת לידים'!A1038,"0")),TRIM('הדבקת לידים'!A1038)))</f>
        <v/>
      </c>
      <c r="B1038" s="0" t="str">
        <f aca="false">IF('הדבקת לידים'!B1038="","",IF(ISNUMBER('הדבקת לידים'!B1038),IF(הגדרות!$E$3&gt;0,TEXT('הדבקת לידים'!B1038,REPT("0",הגדרות!$E$3)),TEXT('הדבקת לידים'!B1038,"0")),TRIM('הדבקת לידים'!B1038)))</f>
        <v/>
      </c>
      <c r="C1038" s="0" t="n">
        <f aca="false">IF(OR(A1038&lt;&gt;"",B1038&lt;&gt;""),1,0)</f>
        <v>0</v>
      </c>
      <c r="D1038" s="0" t="str">
        <f aca="false">IF(C1038=1,MOD(ABS(SIN(ROW()*12.9898+'הדבקת לידים'!$F$2*78.233+IFERROR(--RIGHT(A1038,6),LEN(A1038))*0.0137+IFERROR(--RIGHT(B1038,6),LEN(B1038))*0.0071))*43758.5453,1),"")</f>
        <v/>
      </c>
      <c r="E1038" s="0" t="str">
        <f aca="false">IF(C1038=1,INT(MOD(ABS(SIN(D1038*7919.123+ROW()*0.618+'הדבקת לידים'!$F$2*1.3))*43758.5453,1)*1000000)*10000+ROW(),"")</f>
        <v/>
      </c>
      <c r="F1038" s="0" t="str">
        <f aca="false">IF(E1038="","",RANK(E1038,$E$2:$E$5001,1))</f>
        <v/>
      </c>
      <c r="G1038" s="0" t="n">
        <f aca="false">IF(A1038="",0,IF(SUMPRODUCT(--($A$2:$A$5001=A1038))&gt;1,1,0))</f>
        <v>0</v>
      </c>
      <c r="H1038" s="0" t="n">
        <f aca="false">ROW()-1</f>
        <v>1037</v>
      </c>
      <c r="I1038" s="0" t="str">
        <f aca="false">IF(OR(הגדרות!$E$6=0,H1038&gt;הגדרות!$E$5),"",IF(H1038-1&lt;הגדרות!$E$8*(הגדרות!$E$7+1),INT((H1038-1)/(הגדרות!$E$7+1)),הגדרות!$E$8+INT((H1038-1-הגדרות!$E$8*(הגדרות!$E$7+1))/הגדרות!$E$7)))</f>
        <v/>
      </c>
      <c r="J1038" s="0" t="str">
        <f aca="false">IF(I1038="","",IF(H1038-1&lt;הגדרות!$E$8*(הגדרות!$E$7+1),MOD(H1038-1,הגדרות!$E$7+1),MOD(H1038-1-הגדרות!$E$8*(הגדרות!$E$7+1),הגדרות!$E$7)))</f>
        <v/>
      </c>
      <c r="K1038" s="0" t="str">
        <f aca="false">IF(I1038="","",J1038*הגדרות!$E$6+I1038+1)</f>
        <v/>
      </c>
      <c r="L1038" s="0" t="str">
        <f aca="false">IF(K1038="","",MATCH(K1038,$F$2:$F$5001,0))</f>
        <v/>
      </c>
      <c r="M1038" s="0" t="str">
        <f aca="false">IF(I1038="","",INDEX(הגדרות!$A$2:$A$21,MOD(I1038+הגדרות!$E$9,הגדרות!$E$6)+1))</f>
        <v/>
      </c>
    </row>
    <row r="1039" customFormat="false" ht="15" hidden="false" customHeight="false" outlineLevel="0" collapsed="false">
      <c r="A1039" s="0" t="str">
        <f aca="false">IF('הדבקת לידים'!A1039="","",IF(ISNUMBER('הדבקת לידים'!A1039),IF(הגדרות!$E$2&gt;0,TEXT('הדבקת לידים'!A1039,REPT("0",הגדרות!$E$2)),TEXT('הדבקת לידים'!A1039,"0")),TRIM('הדבקת לידים'!A1039)))</f>
        <v/>
      </c>
      <c r="B1039" s="0" t="str">
        <f aca="false">IF('הדבקת לידים'!B1039="","",IF(ISNUMBER('הדבקת לידים'!B1039),IF(הגדרות!$E$3&gt;0,TEXT('הדבקת לידים'!B1039,REPT("0",הגדרות!$E$3)),TEXT('הדבקת לידים'!B1039,"0")),TRIM('הדבקת לידים'!B1039)))</f>
        <v/>
      </c>
      <c r="C1039" s="0" t="n">
        <f aca="false">IF(OR(A1039&lt;&gt;"",B1039&lt;&gt;""),1,0)</f>
        <v>0</v>
      </c>
      <c r="D1039" s="0" t="str">
        <f aca="false">IF(C1039=1,MOD(ABS(SIN(ROW()*12.9898+'הדבקת לידים'!$F$2*78.233+IFERROR(--RIGHT(A1039,6),LEN(A1039))*0.0137+IFERROR(--RIGHT(B1039,6),LEN(B1039))*0.0071))*43758.5453,1),"")</f>
        <v/>
      </c>
      <c r="E1039" s="0" t="str">
        <f aca="false">IF(C1039=1,INT(MOD(ABS(SIN(D1039*7919.123+ROW()*0.618+'הדבקת לידים'!$F$2*1.3))*43758.5453,1)*1000000)*10000+ROW(),"")</f>
        <v/>
      </c>
      <c r="F1039" s="0" t="str">
        <f aca="false">IF(E1039="","",RANK(E1039,$E$2:$E$5001,1))</f>
        <v/>
      </c>
      <c r="G1039" s="0" t="n">
        <f aca="false">IF(A1039="",0,IF(SUMPRODUCT(--($A$2:$A$5001=A1039))&gt;1,1,0))</f>
        <v>0</v>
      </c>
      <c r="H1039" s="0" t="n">
        <f aca="false">ROW()-1</f>
        <v>1038</v>
      </c>
      <c r="I1039" s="0" t="str">
        <f aca="false">IF(OR(הגדרות!$E$6=0,H1039&gt;הגדרות!$E$5),"",IF(H1039-1&lt;הגדרות!$E$8*(הגדרות!$E$7+1),INT((H1039-1)/(הגדרות!$E$7+1)),הגדרות!$E$8+INT((H1039-1-הגדרות!$E$8*(הגדרות!$E$7+1))/הגדרות!$E$7)))</f>
        <v/>
      </c>
      <c r="J1039" s="0" t="str">
        <f aca="false">IF(I1039="","",IF(H1039-1&lt;הגדרות!$E$8*(הגדרות!$E$7+1),MOD(H1039-1,הגדרות!$E$7+1),MOD(H1039-1-הגדרות!$E$8*(הגדרות!$E$7+1),הגדרות!$E$7)))</f>
        <v/>
      </c>
      <c r="K1039" s="0" t="str">
        <f aca="false">IF(I1039="","",J1039*הגדרות!$E$6+I1039+1)</f>
        <v/>
      </c>
      <c r="L1039" s="0" t="str">
        <f aca="false">IF(K1039="","",MATCH(K1039,$F$2:$F$5001,0))</f>
        <v/>
      </c>
      <c r="M1039" s="0" t="str">
        <f aca="false">IF(I1039="","",INDEX(הגדרות!$A$2:$A$21,MOD(I1039+הגדרות!$E$9,הגדרות!$E$6)+1))</f>
        <v/>
      </c>
    </row>
    <row r="1040" customFormat="false" ht="15" hidden="false" customHeight="false" outlineLevel="0" collapsed="false">
      <c r="A1040" s="0" t="str">
        <f aca="false">IF('הדבקת לידים'!A1040="","",IF(ISNUMBER('הדבקת לידים'!A1040),IF(הגדרות!$E$2&gt;0,TEXT('הדבקת לידים'!A1040,REPT("0",הגדרות!$E$2)),TEXT('הדבקת לידים'!A1040,"0")),TRIM('הדבקת לידים'!A1040)))</f>
        <v/>
      </c>
      <c r="B1040" s="0" t="str">
        <f aca="false">IF('הדבקת לידים'!B1040="","",IF(ISNUMBER('הדבקת לידים'!B1040),IF(הגדרות!$E$3&gt;0,TEXT('הדבקת לידים'!B1040,REPT("0",הגדרות!$E$3)),TEXT('הדבקת לידים'!B1040,"0")),TRIM('הדבקת לידים'!B1040)))</f>
        <v/>
      </c>
      <c r="C1040" s="0" t="n">
        <f aca="false">IF(OR(A1040&lt;&gt;"",B1040&lt;&gt;""),1,0)</f>
        <v>0</v>
      </c>
      <c r="D1040" s="0" t="str">
        <f aca="false">IF(C1040=1,MOD(ABS(SIN(ROW()*12.9898+'הדבקת לידים'!$F$2*78.233+IFERROR(--RIGHT(A1040,6),LEN(A1040))*0.0137+IFERROR(--RIGHT(B1040,6),LEN(B1040))*0.0071))*43758.5453,1),"")</f>
        <v/>
      </c>
      <c r="E1040" s="0" t="str">
        <f aca="false">IF(C1040=1,INT(MOD(ABS(SIN(D1040*7919.123+ROW()*0.618+'הדבקת לידים'!$F$2*1.3))*43758.5453,1)*1000000)*10000+ROW(),"")</f>
        <v/>
      </c>
      <c r="F1040" s="0" t="str">
        <f aca="false">IF(E1040="","",RANK(E1040,$E$2:$E$5001,1))</f>
        <v/>
      </c>
      <c r="G1040" s="0" t="n">
        <f aca="false">IF(A1040="",0,IF(SUMPRODUCT(--($A$2:$A$5001=A1040))&gt;1,1,0))</f>
        <v>0</v>
      </c>
      <c r="H1040" s="0" t="n">
        <f aca="false">ROW()-1</f>
        <v>1039</v>
      </c>
      <c r="I1040" s="0" t="str">
        <f aca="false">IF(OR(הגדרות!$E$6=0,H1040&gt;הגדרות!$E$5),"",IF(H1040-1&lt;הגדרות!$E$8*(הגדרות!$E$7+1),INT((H1040-1)/(הגדרות!$E$7+1)),הגדרות!$E$8+INT((H1040-1-הגדרות!$E$8*(הגדרות!$E$7+1))/הגדרות!$E$7)))</f>
        <v/>
      </c>
      <c r="J1040" s="0" t="str">
        <f aca="false">IF(I1040="","",IF(H1040-1&lt;הגדרות!$E$8*(הגדרות!$E$7+1),MOD(H1040-1,הגדרות!$E$7+1),MOD(H1040-1-הגדרות!$E$8*(הגדרות!$E$7+1),הגדרות!$E$7)))</f>
        <v/>
      </c>
      <c r="K1040" s="0" t="str">
        <f aca="false">IF(I1040="","",J1040*הגדרות!$E$6+I1040+1)</f>
        <v/>
      </c>
      <c r="L1040" s="0" t="str">
        <f aca="false">IF(K1040="","",MATCH(K1040,$F$2:$F$5001,0))</f>
        <v/>
      </c>
      <c r="M1040" s="0" t="str">
        <f aca="false">IF(I1040="","",INDEX(הגדרות!$A$2:$A$21,MOD(I1040+הגדרות!$E$9,הגדרות!$E$6)+1))</f>
        <v/>
      </c>
    </row>
    <row r="1041" customFormat="false" ht="15" hidden="false" customHeight="false" outlineLevel="0" collapsed="false">
      <c r="A1041" s="0" t="str">
        <f aca="false">IF('הדבקת לידים'!A1041="","",IF(ISNUMBER('הדבקת לידים'!A1041),IF(הגדרות!$E$2&gt;0,TEXT('הדבקת לידים'!A1041,REPT("0",הגדרות!$E$2)),TEXT('הדבקת לידים'!A1041,"0")),TRIM('הדבקת לידים'!A1041)))</f>
        <v/>
      </c>
      <c r="B1041" s="0" t="str">
        <f aca="false">IF('הדבקת לידים'!B1041="","",IF(ISNUMBER('הדבקת לידים'!B1041),IF(הגדרות!$E$3&gt;0,TEXT('הדבקת לידים'!B1041,REPT("0",הגדרות!$E$3)),TEXT('הדבקת לידים'!B1041,"0")),TRIM('הדבקת לידים'!B1041)))</f>
        <v/>
      </c>
      <c r="C1041" s="0" t="n">
        <f aca="false">IF(OR(A1041&lt;&gt;"",B1041&lt;&gt;""),1,0)</f>
        <v>0</v>
      </c>
      <c r="D1041" s="0" t="str">
        <f aca="false">IF(C1041=1,MOD(ABS(SIN(ROW()*12.9898+'הדבקת לידים'!$F$2*78.233+IFERROR(--RIGHT(A1041,6),LEN(A1041))*0.0137+IFERROR(--RIGHT(B1041,6),LEN(B1041))*0.0071))*43758.5453,1),"")</f>
        <v/>
      </c>
      <c r="E1041" s="0" t="str">
        <f aca="false">IF(C1041=1,INT(MOD(ABS(SIN(D1041*7919.123+ROW()*0.618+'הדבקת לידים'!$F$2*1.3))*43758.5453,1)*1000000)*10000+ROW(),"")</f>
        <v/>
      </c>
      <c r="F1041" s="0" t="str">
        <f aca="false">IF(E1041="","",RANK(E1041,$E$2:$E$5001,1))</f>
        <v/>
      </c>
      <c r="G1041" s="0" t="n">
        <f aca="false">IF(A1041="",0,IF(SUMPRODUCT(--($A$2:$A$5001=A1041))&gt;1,1,0))</f>
        <v>0</v>
      </c>
      <c r="H1041" s="0" t="n">
        <f aca="false">ROW()-1</f>
        <v>1040</v>
      </c>
      <c r="I1041" s="0" t="str">
        <f aca="false">IF(OR(הגדרות!$E$6=0,H1041&gt;הגדרות!$E$5),"",IF(H1041-1&lt;הגדרות!$E$8*(הגדרות!$E$7+1),INT((H1041-1)/(הגדרות!$E$7+1)),הגדרות!$E$8+INT((H1041-1-הגדרות!$E$8*(הגדרות!$E$7+1))/הגדרות!$E$7)))</f>
        <v/>
      </c>
      <c r="J1041" s="0" t="str">
        <f aca="false">IF(I1041="","",IF(H1041-1&lt;הגדרות!$E$8*(הגדרות!$E$7+1),MOD(H1041-1,הגדרות!$E$7+1),MOD(H1041-1-הגדרות!$E$8*(הגדרות!$E$7+1),הגדרות!$E$7)))</f>
        <v/>
      </c>
      <c r="K1041" s="0" t="str">
        <f aca="false">IF(I1041="","",J1041*הגדרות!$E$6+I1041+1)</f>
        <v/>
      </c>
      <c r="L1041" s="0" t="str">
        <f aca="false">IF(K1041="","",MATCH(K1041,$F$2:$F$5001,0))</f>
        <v/>
      </c>
      <c r="M1041" s="0" t="str">
        <f aca="false">IF(I1041="","",INDEX(הגדרות!$A$2:$A$21,MOD(I1041+הגדרות!$E$9,הגדרות!$E$6)+1))</f>
        <v/>
      </c>
    </row>
    <row r="1042" customFormat="false" ht="15" hidden="false" customHeight="false" outlineLevel="0" collapsed="false">
      <c r="A1042" s="0" t="str">
        <f aca="false">IF('הדבקת לידים'!A1042="","",IF(ISNUMBER('הדבקת לידים'!A1042),IF(הגדרות!$E$2&gt;0,TEXT('הדבקת לידים'!A1042,REPT("0",הגדרות!$E$2)),TEXT('הדבקת לידים'!A1042,"0")),TRIM('הדבקת לידים'!A1042)))</f>
        <v/>
      </c>
      <c r="B1042" s="0" t="str">
        <f aca="false">IF('הדבקת לידים'!B1042="","",IF(ISNUMBER('הדבקת לידים'!B1042),IF(הגדרות!$E$3&gt;0,TEXT('הדבקת לידים'!B1042,REPT("0",הגדרות!$E$3)),TEXT('הדבקת לידים'!B1042,"0")),TRIM('הדבקת לידים'!B1042)))</f>
        <v/>
      </c>
      <c r="C1042" s="0" t="n">
        <f aca="false">IF(OR(A1042&lt;&gt;"",B1042&lt;&gt;""),1,0)</f>
        <v>0</v>
      </c>
      <c r="D1042" s="0" t="str">
        <f aca="false">IF(C1042=1,MOD(ABS(SIN(ROW()*12.9898+'הדבקת לידים'!$F$2*78.233+IFERROR(--RIGHT(A1042,6),LEN(A1042))*0.0137+IFERROR(--RIGHT(B1042,6),LEN(B1042))*0.0071))*43758.5453,1),"")</f>
        <v/>
      </c>
      <c r="E1042" s="0" t="str">
        <f aca="false">IF(C1042=1,INT(MOD(ABS(SIN(D1042*7919.123+ROW()*0.618+'הדבקת לידים'!$F$2*1.3))*43758.5453,1)*1000000)*10000+ROW(),"")</f>
        <v/>
      </c>
      <c r="F1042" s="0" t="str">
        <f aca="false">IF(E1042="","",RANK(E1042,$E$2:$E$5001,1))</f>
        <v/>
      </c>
      <c r="G1042" s="0" t="n">
        <f aca="false">IF(A1042="",0,IF(SUMPRODUCT(--($A$2:$A$5001=A1042))&gt;1,1,0))</f>
        <v>0</v>
      </c>
      <c r="H1042" s="0" t="n">
        <f aca="false">ROW()-1</f>
        <v>1041</v>
      </c>
      <c r="I1042" s="0" t="str">
        <f aca="false">IF(OR(הגדרות!$E$6=0,H1042&gt;הגדרות!$E$5),"",IF(H1042-1&lt;הגדרות!$E$8*(הגדרות!$E$7+1),INT((H1042-1)/(הגדרות!$E$7+1)),הגדרות!$E$8+INT((H1042-1-הגדרות!$E$8*(הגדרות!$E$7+1))/הגדרות!$E$7)))</f>
        <v/>
      </c>
      <c r="J1042" s="0" t="str">
        <f aca="false">IF(I1042="","",IF(H1042-1&lt;הגדרות!$E$8*(הגדרות!$E$7+1),MOD(H1042-1,הגדרות!$E$7+1),MOD(H1042-1-הגדרות!$E$8*(הגדרות!$E$7+1),הגדרות!$E$7)))</f>
        <v/>
      </c>
      <c r="K1042" s="0" t="str">
        <f aca="false">IF(I1042="","",J1042*הגדרות!$E$6+I1042+1)</f>
        <v/>
      </c>
      <c r="L1042" s="0" t="str">
        <f aca="false">IF(K1042="","",MATCH(K1042,$F$2:$F$5001,0))</f>
        <v/>
      </c>
      <c r="M1042" s="0" t="str">
        <f aca="false">IF(I1042="","",INDEX(הגדרות!$A$2:$A$21,MOD(I1042+הגדרות!$E$9,הגדרות!$E$6)+1))</f>
        <v/>
      </c>
    </row>
    <row r="1043" customFormat="false" ht="15" hidden="false" customHeight="false" outlineLevel="0" collapsed="false">
      <c r="A1043" s="0" t="str">
        <f aca="false">IF('הדבקת לידים'!A1043="","",IF(ISNUMBER('הדבקת לידים'!A1043),IF(הגדרות!$E$2&gt;0,TEXT('הדבקת לידים'!A1043,REPT("0",הגדרות!$E$2)),TEXT('הדבקת לידים'!A1043,"0")),TRIM('הדבקת לידים'!A1043)))</f>
        <v/>
      </c>
      <c r="B1043" s="0" t="str">
        <f aca="false">IF('הדבקת לידים'!B1043="","",IF(ISNUMBER('הדבקת לידים'!B1043),IF(הגדרות!$E$3&gt;0,TEXT('הדבקת לידים'!B1043,REPT("0",הגדרות!$E$3)),TEXT('הדבקת לידים'!B1043,"0")),TRIM('הדבקת לידים'!B1043)))</f>
        <v/>
      </c>
      <c r="C1043" s="0" t="n">
        <f aca="false">IF(OR(A1043&lt;&gt;"",B1043&lt;&gt;""),1,0)</f>
        <v>0</v>
      </c>
      <c r="D1043" s="0" t="str">
        <f aca="false">IF(C1043=1,MOD(ABS(SIN(ROW()*12.9898+'הדבקת לידים'!$F$2*78.233+IFERROR(--RIGHT(A1043,6),LEN(A1043))*0.0137+IFERROR(--RIGHT(B1043,6),LEN(B1043))*0.0071))*43758.5453,1),"")</f>
        <v/>
      </c>
      <c r="E1043" s="0" t="str">
        <f aca="false">IF(C1043=1,INT(MOD(ABS(SIN(D1043*7919.123+ROW()*0.618+'הדבקת לידים'!$F$2*1.3))*43758.5453,1)*1000000)*10000+ROW(),"")</f>
        <v/>
      </c>
      <c r="F1043" s="0" t="str">
        <f aca="false">IF(E1043="","",RANK(E1043,$E$2:$E$5001,1))</f>
        <v/>
      </c>
      <c r="G1043" s="0" t="n">
        <f aca="false">IF(A1043="",0,IF(SUMPRODUCT(--($A$2:$A$5001=A1043))&gt;1,1,0))</f>
        <v>0</v>
      </c>
      <c r="H1043" s="0" t="n">
        <f aca="false">ROW()-1</f>
        <v>1042</v>
      </c>
      <c r="I1043" s="0" t="str">
        <f aca="false">IF(OR(הגדרות!$E$6=0,H1043&gt;הגדרות!$E$5),"",IF(H1043-1&lt;הגדרות!$E$8*(הגדרות!$E$7+1),INT((H1043-1)/(הגדרות!$E$7+1)),הגדרות!$E$8+INT((H1043-1-הגדרות!$E$8*(הגדרות!$E$7+1))/הגדרות!$E$7)))</f>
        <v/>
      </c>
      <c r="J1043" s="0" t="str">
        <f aca="false">IF(I1043="","",IF(H1043-1&lt;הגדרות!$E$8*(הגדרות!$E$7+1),MOD(H1043-1,הגדרות!$E$7+1),MOD(H1043-1-הגדרות!$E$8*(הגדרות!$E$7+1),הגדרות!$E$7)))</f>
        <v/>
      </c>
      <c r="K1043" s="0" t="str">
        <f aca="false">IF(I1043="","",J1043*הגדרות!$E$6+I1043+1)</f>
        <v/>
      </c>
      <c r="L1043" s="0" t="str">
        <f aca="false">IF(K1043="","",MATCH(K1043,$F$2:$F$5001,0))</f>
        <v/>
      </c>
      <c r="M1043" s="0" t="str">
        <f aca="false">IF(I1043="","",INDEX(הגדרות!$A$2:$A$21,MOD(I1043+הגדרות!$E$9,הגדרות!$E$6)+1))</f>
        <v/>
      </c>
    </row>
    <row r="1044" customFormat="false" ht="15" hidden="false" customHeight="false" outlineLevel="0" collapsed="false">
      <c r="A1044" s="0" t="str">
        <f aca="false">IF('הדבקת לידים'!A1044="","",IF(ISNUMBER('הדבקת לידים'!A1044),IF(הגדרות!$E$2&gt;0,TEXT('הדבקת לידים'!A1044,REPT("0",הגדרות!$E$2)),TEXT('הדבקת לידים'!A1044,"0")),TRIM('הדבקת לידים'!A1044)))</f>
        <v/>
      </c>
      <c r="B1044" s="0" t="str">
        <f aca="false">IF('הדבקת לידים'!B1044="","",IF(ISNUMBER('הדבקת לידים'!B1044),IF(הגדרות!$E$3&gt;0,TEXT('הדבקת לידים'!B1044,REPT("0",הגדרות!$E$3)),TEXT('הדבקת לידים'!B1044,"0")),TRIM('הדבקת לידים'!B1044)))</f>
        <v/>
      </c>
      <c r="C1044" s="0" t="n">
        <f aca="false">IF(OR(A1044&lt;&gt;"",B1044&lt;&gt;""),1,0)</f>
        <v>0</v>
      </c>
      <c r="D1044" s="0" t="str">
        <f aca="false">IF(C1044=1,MOD(ABS(SIN(ROW()*12.9898+'הדבקת לידים'!$F$2*78.233+IFERROR(--RIGHT(A1044,6),LEN(A1044))*0.0137+IFERROR(--RIGHT(B1044,6),LEN(B1044))*0.0071))*43758.5453,1),"")</f>
        <v/>
      </c>
      <c r="E1044" s="0" t="str">
        <f aca="false">IF(C1044=1,INT(MOD(ABS(SIN(D1044*7919.123+ROW()*0.618+'הדבקת לידים'!$F$2*1.3))*43758.5453,1)*1000000)*10000+ROW(),"")</f>
        <v/>
      </c>
      <c r="F1044" s="0" t="str">
        <f aca="false">IF(E1044="","",RANK(E1044,$E$2:$E$5001,1))</f>
        <v/>
      </c>
      <c r="G1044" s="0" t="n">
        <f aca="false">IF(A1044="",0,IF(SUMPRODUCT(--($A$2:$A$5001=A1044))&gt;1,1,0))</f>
        <v>0</v>
      </c>
      <c r="H1044" s="0" t="n">
        <f aca="false">ROW()-1</f>
        <v>1043</v>
      </c>
      <c r="I1044" s="0" t="str">
        <f aca="false">IF(OR(הגדרות!$E$6=0,H1044&gt;הגדרות!$E$5),"",IF(H1044-1&lt;הגדרות!$E$8*(הגדרות!$E$7+1),INT((H1044-1)/(הגדרות!$E$7+1)),הגדרות!$E$8+INT((H1044-1-הגדרות!$E$8*(הגדרות!$E$7+1))/הגדרות!$E$7)))</f>
        <v/>
      </c>
      <c r="J1044" s="0" t="str">
        <f aca="false">IF(I1044="","",IF(H1044-1&lt;הגדרות!$E$8*(הגדרות!$E$7+1),MOD(H1044-1,הגדרות!$E$7+1),MOD(H1044-1-הגדרות!$E$8*(הגדרות!$E$7+1),הגדרות!$E$7)))</f>
        <v/>
      </c>
      <c r="K1044" s="0" t="str">
        <f aca="false">IF(I1044="","",J1044*הגדרות!$E$6+I1044+1)</f>
        <v/>
      </c>
      <c r="L1044" s="0" t="str">
        <f aca="false">IF(K1044="","",MATCH(K1044,$F$2:$F$5001,0))</f>
        <v/>
      </c>
      <c r="M1044" s="0" t="str">
        <f aca="false">IF(I1044="","",INDEX(הגדרות!$A$2:$A$21,MOD(I1044+הגדרות!$E$9,הגדרות!$E$6)+1))</f>
        <v/>
      </c>
    </row>
    <row r="1045" customFormat="false" ht="15" hidden="false" customHeight="false" outlineLevel="0" collapsed="false">
      <c r="A1045" s="0" t="str">
        <f aca="false">IF('הדבקת לידים'!A1045="","",IF(ISNUMBER('הדבקת לידים'!A1045),IF(הגדרות!$E$2&gt;0,TEXT('הדבקת לידים'!A1045,REPT("0",הגדרות!$E$2)),TEXT('הדבקת לידים'!A1045,"0")),TRIM('הדבקת לידים'!A1045)))</f>
        <v/>
      </c>
      <c r="B1045" s="0" t="str">
        <f aca="false">IF('הדבקת לידים'!B1045="","",IF(ISNUMBER('הדבקת לידים'!B1045),IF(הגדרות!$E$3&gt;0,TEXT('הדבקת לידים'!B1045,REPT("0",הגדרות!$E$3)),TEXT('הדבקת לידים'!B1045,"0")),TRIM('הדבקת לידים'!B1045)))</f>
        <v/>
      </c>
      <c r="C1045" s="0" t="n">
        <f aca="false">IF(OR(A1045&lt;&gt;"",B1045&lt;&gt;""),1,0)</f>
        <v>0</v>
      </c>
      <c r="D1045" s="0" t="str">
        <f aca="false">IF(C1045=1,MOD(ABS(SIN(ROW()*12.9898+'הדבקת לידים'!$F$2*78.233+IFERROR(--RIGHT(A1045,6),LEN(A1045))*0.0137+IFERROR(--RIGHT(B1045,6),LEN(B1045))*0.0071))*43758.5453,1),"")</f>
        <v/>
      </c>
      <c r="E1045" s="0" t="str">
        <f aca="false">IF(C1045=1,INT(MOD(ABS(SIN(D1045*7919.123+ROW()*0.618+'הדבקת לידים'!$F$2*1.3))*43758.5453,1)*1000000)*10000+ROW(),"")</f>
        <v/>
      </c>
      <c r="F1045" s="0" t="str">
        <f aca="false">IF(E1045="","",RANK(E1045,$E$2:$E$5001,1))</f>
        <v/>
      </c>
      <c r="G1045" s="0" t="n">
        <f aca="false">IF(A1045="",0,IF(SUMPRODUCT(--($A$2:$A$5001=A1045))&gt;1,1,0))</f>
        <v>0</v>
      </c>
      <c r="H1045" s="0" t="n">
        <f aca="false">ROW()-1</f>
        <v>1044</v>
      </c>
      <c r="I1045" s="0" t="str">
        <f aca="false">IF(OR(הגדרות!$E$6=0,H1045&gt;הגדרות!$E$5),"",IF(H1045-1&lt;הגדרות!$E$8*(הגדרות!$E$7+1),INT((H1045-1)/(הגדרות!$E$7+1)),הגדרות!$E$8+INT((H1045-1-הגדרות!$E$8*(הגדרות!$E$7+1))/הגדרות!$E$7)))</f>
        <v/>
      </c>
      <c r="J1045" s="0" t="str">
        <f aca="false">IF(I1045="","",IF(H1045-1&lt;הגדרות!$E$8*(הגדרות!$E$7+1),MOD(H1045-1,הגדרות!$E$7+1),MOD(H1045-1-הגדרות!$E$8*(הגדרות!$E$7+1),הגדרות!$E$7)))</f>
        <v/>
      </c>
      <c r="K1045" s="0" t="str">
        <f aca="false">IF(I1045="","",J1045*הגדרות!$E$6+I1045+1)</f>
        <v/>
      </c>
      <c r="L1045" s="0" t="str">
        <f aca="false">IF(K1045="","",MATCH(K1045,$F$2:$F$5001,0))</f>
        <v/>
      </c>
      <c r="M1045" s="0" t="str">
        <f aca="false">IF(I1045="","",INDEX(הגדרות!$A$2:$A$21,MOD(I1045+הגדרות!$E$9,הגדרות!$E$6)+1))</f>
        <v/>
      </c>
    </row>
    <row r="1046" customFormat="false" ht="15" hidden="false" customHeight="false" outlineLevel="0" collapsed="false">
      <c r="A1046" s="0" t="str">
        <f aca="false">IF('הדבקת לידים'!A1046="","",IF(ISNUMBER('הדבקת לידים'!A1046),IF(הגדרות!$E$2&gt;0,TEXT('הדבקת לידים'!A1046,REPT("0",הגדרות!$E$2)),TEXT('הדבקת לידים'!A1046,"0")),TRIM('הדבקת לידים'!A1046)))</f>
        <v/>
      </c>
      <c r="B1046" s="0" t="str">
        <f aca="false">IF('הדבקת לידים'!B1046="","",IF(ISNUMBER('הדבקת לידים'!B1046),IF(הגדרות!$E$3&gt;0,TEXT('הדבקת לידים'!B1046,REPT("0",הגדרות!$E$3)),TEXT('הדבקת לידים'!B1046,"0")),TRIM('הדבקת לידים'!B1046)))</f>
        <v/>
      </c>
      <c r="C1046" s="0" t="n">
        <f aca="false">IF(OR(A1046&lt;&gt;"",B1046&lt;&gt;""),1,0)</f>
        <v>0</v>
      </c>
      <c r="D1046" s="0" t="str">
        <f aca="false">IF(C1046=1,MOD(ABS(SIN(ROW()*12.9898+'הדבקת לידים'!$F$2*78.233+IFERROR(--RIGHT(A1046,6),LEN(A1046))*0.0137+IFERROR(--RIGHT(B1046,6),LEN(B1046))*0.0071))*43758.5453,1),"")</f>
        <v/>
      </c>
      <c r="E1046" s="0" t="str">
        <f aca="false">IF(C1046=1,INT(MOD(ABS(SIN(D1046*7919.123+ROW()*0.618+'הדבקת לידים'!$F$2*1.3))*43758.5453,1)*1000000)*10000+ROW(),"")</f>
        <v/>
      </c>
      <c r="F1046" s="0" t="str">
        <f aca="false">IF(E1046="","",RANK(E1046,$E$2:$E$5001,1))</f>
        <v/>
      </c>
      <c r="G1046" s="0" t="n">
        <f aca="false">IF(A1046="",0,IF(SUMPRODUCT(--($A$2:$A$5001=A1046))&gt;1,1,0))</f>
        <v>0</v>
      </c>
      <c r="H1046" s="0" t="n">
        <f aca="false">ROW()-1</f>
        <v>1045</v>
      </c>
      <c r="I1046" s="0" t="str">
        <f aca="false">IF(OR(הגדרות!$E$6=0,H1046&gt;הגדרות!$E$5),"",IF(H1046-1&lt;הגדרות!$E$8*(הגדרות!$E$7+1),INT((H1046-1)/(הגדרות!$E$7+1)),הגדרות!$E$8+INT((H1046-1-הגדרות!$E$8*(הגדרות!$E$7+1))/הגדרות!$E$7)))</f>
        <v/>
      </c>
      <c r="J1046" s="0" t="str">
        <f aca="false">IF(I1046="","",IF(H1046-1&lt;הגדרות!$E$8*(הגדרות!$E$7+1),MOD(H1046-1,הגדרות!$E$7+1),MOD(H1046-1-הגדרות!$E$8*(הגדרות!$E$7+1),הגדרות!$E$7)))</f>
        <v/>
      </c>
      <c r="K1046" s="0" t="str">
        <f aca="false">IF(I1046="","",J1046*הגדרות!$E$6+I1046+1)</f>
        <v/>
      </c>
      <c r="L1046" s="0" t="str">
        <f aca="false">IF(K1046="","",MATCH(K1046,$F$2:$F$5001,0))</f>
        <v/>
      </c>
      <c r="M1046" s="0" t="str">
        <f aca="false">IF(I1046="","",INDEX(הגדרות!$A$2:$A$21,MOD(I1046+הגדרות!$E$9,הגדרות!$E$6)+1))</f>
        <v/>
      </c>
    </row>
    <row r="1047" customFormat="false" ht="15" hidden="false" customHeight="false" outlineLevel="0" collapsed="false">
      <c r="A1047" s="0" t="str">
        <f aca="false">IF('הדבקת לידים'!A1047="","",IF(ISNUMBER('הדבקת לידים'!A1047),IF(הגדרות!$E$2&gt;0,TEXT('הדבקת לידים'!A1047,REPT("0",הגדרות!$E$2)),TEXT('הדבקת לידים'!A1047,"0")),TRIM('הדבקת לידים'!A1047)))</f>
        <v/>
      </c>
      <c r="B1047" s="0" t="str">
        <f aca="false">IF('הדבקת לידים'!B1047="","",IF(ISNUMBER('הדבקת לידים'!B1047),IF(הגדרות!$E$3&gt;0,TEXT('הדבקת לידים'!B1047,REPT("0",הגדרות!$E$3)),TEXT('הדבקת לידים'!B1047,"0")),TRIM('הדבקת לידים'!B1047)))</f>
        <v/>
      </c>
      <c r="C1047" s="0" t="n">
        <f aca="false">IF(OR(A1047&lt;&gt;"",B1047&lt;&gt;""),1,0)</f>
        <v>0</v>
      </c>
      <c r="D1047" s="0" t="str">
        <f aca="false">IF(C1047=1,MOD(ABS(SIN(ROW()*12.9898+'הדבקת לידים'!$F$2*78.233+IFERROR(--RIGHT(A1047,6),LEN(A1047))*0.0137+IFERROR(--RIGHT(B1047,6),LEN(B1047))*0.0071))*43758.5453,1),"")</f>
        <v/>
      </c>
      <c r="E1047" s="0" t="str">
        <f aca="false">IF(C1047=1,INT(MOD(ABS(SIN(D1047*7919.123+ROW()*0.618+'הדבקת לידים'!$F$2*1.3))*43758.5453,1)*1000000)*10000+ROW(),"")</f>
        <v/>
      </c>
      <c r="F1047" s="0" t="str">
        <f aca="false">IF(E1047="","",RANK(E1047,$E$2:$E$5001,1))</f>
        <v/>
      </c>
      <c r="G1047" s="0" t="n">
        <f aca="false">IF(A1047="",0,IF(SUMPRODUCT(--($A$2:$A$5001=A1047))&gt;1,1,0))</f>
        <v>0</v>
      </c>
      <c r="H1047" s="0" t="n">
        <f aca="false">ROW()-1</f>
        <v>1046</v>
      </c>
      <c r="I1047" s="0" t="str">
        <f aca="false">IF(OR(הגדרות!$E$6=0,H1047&gt;הגדרות!$E$5),"",IF(H1047-1&lt;הגדרות!$E$8*(הגדרות!$E$7+1),INT((H1047-1)/(הגדרות!$E$7+1)),הגדרות!$E$8+INT((H1047-1-הגדרות!$E$8*(הגדרות!$E$7+1))/הגדרות!$E$7)))</f>
        <v/>
      </c>
      <c r="J1047" s="0" t="str">
        <f aca="false">IF(I1047="","",IF(H1047-1&lt;הגדרות!$E$8*(הגדרות!$E$7+1),MOD(H1047-1,הגדרות!$E$7+1),MOD(H1047-1-הגדרות!$E$8*(הגדרות!$E$7+1),הגדרות!$E$7)))</f>
        <v/>
      </c>
      <c r="K1047" s="0" t="str">
        <f aca="false">IF(I1047="","",J1047*הגדרות!$E$6+I1047+1)</f>
        <v/>
      </c>
      <c r="L1047" s="0" t="str">
        <f aca="false">IF(K1047="","",MATCH(K1047,$F$2:$F$5001,0))</f>
        <v/>
      </c>
      <c r="M1047" s="0" t="str">
        <f aca="false">IF(I1047="","",INDEX(הגדרות!$A$2:$A$21,MOD(I1047+הגדרות!$E$9,הגדרות!$E$6)+1))</f>
        <v/>
      </c>
    </row>
    <row r="1048" customFormat="false" ht="15" hidden="false" customHeight="false" outlineLevel="0" collapsed="false">
      <c r="A1048" s="0" t="str">
        <f aca="false">IF('הדבקת לידים'!A1048="","",IF(ISNUMBER('הדבקת לידים'!A1048),IF(הגדרות!$E$2&gt;0,TEXT('הדבקת לידים'!A1048,REPT("0",הגדרות!$E$2)),TEXT('הדבקת לידים'!A1048,"0")),TRIM('הדבקת לידים'!A1048)))</f>
        <v/>
      </c>
      <c r="B1048" s="0" t="str">
        <f aca="false">IF('הדבקת לידים'!B1048="","",IF(ISNUMBER('הדבקת לידים'!B1048),IF(הגדרות!$E$3&gt;0,TEXT('הדבקת לידים'!B1048,REPT("0",הגדרות!$E$3)),TEXT('הדבקת לידים'!B1048,"0")),TRIM('הדבקת לידים'!B1048)))</f>
        <v/>
      </c>
      <c r="C1048" s="0" t="n">
        <f aca="false">IF(OR(A1048&lt;&gt;"",B1048&lt;&gt;""),1,0)</f>
        <v>0</v>
      </c>
      <c r="D1048" s="0" t="str">
        <f aca="false">IF(C1048=1,MOD(ABS(SIN(ROW()*12.9898+'הדבקת לידים'!$F$2*78.233+IFERROR(--RIGHT(A1048,6),LEN(A1048))*0.0137+IFERROR(--RIGHT(B1048,6),LEN(B1048))*0.0071))*43758.5453,1),"")</f>
        <v/>
      </c>
      <c r="E1048" s="0" t="str">
        <f aca="false">IF(C1048=1,INT(MOD(ABS(SIN(D1048*7919.123+ROW()*0.618+'הדבקת לידים'!$F$2*1.3))*43758.5453,1)*1000000)*10000+ROW(),"")</f>
        <v/>
      </c>
      <c r="F1048" s="0" t="str">
        <f aca="false">IF(E1048="","",RANK(E1048,$E$2:$E$5001,1))</f>
        <v/>
      </c>
      <c r="G1048" s="0" t="n">
        <f aca="false">IF(A1048="",0,IF(SUMPRODUCT(--($A$2:$A$5001=A1048))&gt;1,1,0))</f>
        <v>0</v>
      </c>
      <c r="H1048" s="0" t="n">
        <f aca="false">ROW()-1</f>
        <v>1047</v>
      </c>
      <c r="I1048" s="0" t="str">
        <f aca="false">IF(OR(הגדרות!$E$6=0,H1048&gt;הגדרות!$E$5),"",IF(H1048-1&lt;הגדרות!$E$8*(הגדרות!$E$7+1),INT((H1048-1)/(הגדרות!$E$7+1)),הגדרות!$E$8+INT((H1048-1-הגדרות!$E$8*(הגדרות!$E$7+1))/הגדרות!$E$7)))</f>
        <v/>
      </c>
      <c r="J1048" s="0" t="str">
        <f aca="false">IF(I1048="","",IF(H1048-1&lt;הגדרות!$E$8*(הגדרות!$E$7+1),MOD(H1048-1,הגדרות!$E$7+1),MOD(H1048-1-הגדרות!$E$8*(הגדרות!$E$7+1),הגדרות!$E$7)))</f>
        <v/>
      </c>
      <c r="K1048" s="0" t="str">
        <f aca="false">IF(I1048="","",J1048*הגדרות!$E$6+I1048+1)</f>
        <v/>
      </c>
      <c r="L1048" s="0" t="str">
        <f aca="false">IF(K1048="","",MATCH(K1048,$F$2:$F$5001,0))</f>
        <v/>
      </c>
      <c r="M1048" s="0" t="str">
        <f aca="false">IF(I1048="","",INDEX(הגדרות!$A$2:$A$21,MOD(I1048+הגדרות!$E$9,הגדרות!$E$6)+1))</f>
        <v/>
      </c>
    </row>
    <row r="1049" customFormat="false" ht="15" hidden="false" customHeight="false" outlineLevel="0" collapsed="false">
      <c r="A1049" s="0" t="str">
        <f aca="false">IF('הדבקת לידים'!A1049="","",IF(ISNUMBER('הדבקת לידים'!A1049),IF(הגדרות!$E$2&gt;0,TEXT('הדבקת לידים'!A1049,REPT("0",הגדרות!$E$2)),TEXT('הדבקת לידים'!A1049,"0")),TRIM('הדבקת לידים'!A1049)))</f>
        <v/>
      </c>
      <c r="B1049" s="0" t="str">
        <f aca="false">IF('הדבקת לידים'!B1049="","",IF(ISNUMBER('הדבקת לידים'!B1049),IF(הגדרות!$E$3&gt;0,TEXT('הדבקת לידים'!B1049,REPT("0",הגדרות!$E$3)),TEXT('הדבקת לידים'!B1049,"0")),TRIM('הדבקת לידים'!B1049)))</f>
        <v/>
      </c>
      <c r="C1049" s="0" t="n">
        <f aca="false">IF(OR(A1049&lt;&gt;"",B1049&lt;&gt;""),1,0)</f>
        <v>0</v>
      </c>
      <c r="D1049" s="0" t="str">
        <f aca="false">IF(C1049=1,MOD(ABS(SIN(ROW()*12.9898+'הדבקת לידים'!$F$2*78.233+IFERROR(--RIGHT(A1049,6),LEN(A1049))*0.0137+IFERROR(--RIGHT(B1049,6),LEN(B1049))*0.0071))*43758.5453,1),"")</f>
        <v/>
      </c>
      <c r="E1049" s="0" t="str">
        <f aca="false">IF(C1049=1,INT(MOD(ABS(SIN(D1049*7919.123+ROW()*0.618+'הדבקת לידים'!$F$2*1.3))*43758.5453,1)*1000000)*10000+ROW(),"")</f>
        <v/>
      </c>
      <c r="F1049" s="0" t="str">
        <f aca="false">IF(E1049="","",RANK(E1049,$E$2:$E$5001,1))</f>
        <v/>
      </c>
      <c r="G1049" s="0" t="n">
        <f aca="false">IF(A1049="",0,IF(SUMPRODUCT(--($A$2:$A$5001=A1049))&gt;1,1,0))</f>
        <v>0</v>
      </c>
      <c r="H1049" s="0" t="n">
        <f aca="false">ROW()-1</f>
        <v>1048</v>
      </c>
      <c r="I1049" s="0" t="str">
        <f aca="false">IF(OR(הגדרות!$E$6=0,H1049&gt;הגדרות!$E$5),"",IF(H1049-1&lt;הגדרות!$E$8*(הגדרות!$E$7+1),INT((H1049-1)/(הגדרות!$E$7+1)),הגדרות!$E$8+INT((H1049-1-הגדרות!$E$8*(הגדרות!$E$7+1))/הגדרות!$E$7)))</f>
        <v/>
      </c>
      <c r="J1049" s="0" t="str">
        <f aca="false">IF(I1049="","",IF(H1049-1&lt;הגדרות!$E$8*(הגדרות!$E$7+1),MOD(H1049-1,הגדרות!$E$7+1),MOD(H1049-1-הגדרות!$E$8*(הגדרות!$E$7+1),הגדרות!$E$7)))</f>
        <v/>
      </c>
      <c r="K1049" s="0" t="str">
        <f aca="false">IF(I1049="","",J1049*הגדרות!$E$6+I1049+1)</f>
        <v/>
      </c>
      <c r="L1049" s="0" t="str">
        <f aca="false">IF(K1049="","",MATCH(K1049,$F$2:$F$5001,0))</f>
        <v/>
      </c>
      <c r="M1049" s="0" t="str">
        <f aca="false">IF(I1049="","",INDEX(הגדרות!$A$2:$A$21,MOD(I1049+הגדרות!$E$9,הגדרות!$E$6)+1))</f>
        <v/>
      </c>
    </row>
    <row r="1050" customFormat="false" ht="15" hidden="false" customHeight="false" outlineLevel="0" collapsed="false">
      <c r="A1050" s="0" t="str">
        <f aca="false">IF('הדבקת לידים'!A1050="","",IF(ISNUMBER('הדבקת לידים'!A1050),IF(הגדרות!$E$2&gt;0,TEXT('הדבקת לידים'!A1050,REPT("0",הגדרות!$E$2)),TEXT('הדבקת לידים'!A1050,"0")),TRIM('הדבקת לידים'!A1050)))</f>
        <v/>
      </c>
      <c r="B1050" s="0" t="str">
        <f aca="false">IF('הדבקת לידים'!B1050="","",IF(ISNUMBER('הדבקת לידים'!B1050),IF(הגדרות!$E$3&gt;0,TEXT('הדבקת לידים'!B1050,REPT("0",הגדרות!$E$3)),TEXT('הדבקת לידים'!B1050,"0")),TRIM('הדבקת לידים'!B1050)))</f>
        <v/>
      </c>
      <c r="C1050" s="0" t="n">
        <f aca="false">IF(OR(A1050&lt;&gt;"",B1050&lt;&gt;""),1,0)</f>
        <v>0</v>
      </c>
      <c r="D1050" s="0" t="str">
        <f aca="false">IF(C1050=1,MOD(ABS(SIN(ROW()*12.9898+'הדבקת לידים'!$F$2*78.233+IFERROR(--RIGHT(A1050,6),LEN(A1050))*0.0137+IFERROR(--RIGHT(B1050,6),LEN(B1050))*0.0071))*43758.5453,1),"")</f>
        <v/>
      </c>
      <c r="E1050" s="0" t="str">
        <f aca="false">IF(C1050=1,INT(MOD(ABS(SIN(D1050*7919.123+ROW()*0.618+'הדבקת לידים'!$F$2*1.3))*43758.5453,1)*1000000)*10000+ROW(),"")</f>
        <v/>
      </c>
      <c r="F1050" s="0" t="str">
        <f aca="false">IF(E1050="","",RANK(E1050,$E$2:$E$5001,1))</f>
        <v/>
      </c>
      <c r="G1050" s="0" t="n">
        <f aca="false">IF(A1050="",0,IF(SUMPRODUCT(--($A$2:$A$5001=A1050))&gt;1,1,0))</f>
        <v>0</v>
      </c>
      <c r="H1050" s="0" t="n">
        <f aca="false">ROW()-1</f>
        <v>1049</v>
      </c>
      <c r="I1050" s="0" t="str">
        <f aca="false">IF(OR(הגדרות!$E$6=0,H1050&gt;הגדרות!$E$5),"",IF(H1050-1&lt;הגדרות!$E$8*(הגדרות!$E$7+1),INT((H1050-1)/(הגדרות!$E$7+1)),הגדרות!$E$8+INT((H1050-1-הגדרות!$E$8*(הגדרות!$E$7+1))/הגדרות!$E$7)))</f>
        <v/>
      </c>
      <c r="J1050" s="0" t="str">
        <f aca="false">IF(I1050="","",IF(H1050-1&lt;הגדרות!$E$8*(הגדרות!$E$7+1),MOD(H1050-1,הגדרות!$E$7+1),MOD(H1050-1-הגדרות!$E$8*(הגדרות!$E$7+1),הגדרות!$E$7)))</f>
        <v/>
      </c>
      <c r="K1050" s="0" t="str">
        <f aca="false">IF(I1050="","",J1050*הגדרות!$E$6+I1050+1)</f>
        <v/>
      </c>
      <c r="L1050" s="0" t="str">
        <f aca="false">IF(K1050="","",MATCH(K1050,$F$2:$F$5001,0))</f>
        <v/>
      </c>
      <c r="M1050" s="0" t="str">
        <f aca="false">IF(I1050="","",INDEX(הגדרות!$A$2:$A$21,MOD(I1050+הגדרות!$E$9,הגדרות!$E$6)+1))</f>
        <v/>
      </c>
    </row>
    <row r="1051" customFormat="false" ht="15" hidden="false" customHeight="false" outlineLevel="0" collapsed="false">
      <c r="A1051" s="0" t="str">
        <f aca="false">IF('הדבקת לידים'!A1051="","",IF(ISNUMBER('הדבקת לידים'!A1051),IF(הגדרות!$E$2&gt;0,TEXT('הדבקת לידים'!A1051,REPT("0",הגדרות!$E$2)),TEXT('הדבקת לידים'!A1051,"0")),TRIM('הדבקת לידים'!A1051)))</f>
        <v/>
      </c>
      <c r="B1051" s="0" t="str">
        <f aca="false">IF('הדבקת לידים'!B1051="","",IF(ISNUMBER('הדבקת לידים'!B1051),IF(הגדרות!$E$3&gt;0,TEXT('הדבקת לידים'!B1051,REPT("0",הגדרות!$E$3)),TEXT('הדבקת לידים'!B1051,"0")),TRIM('הדבקת לידים'!B1051)))</f>
        <v/>
      </c>
      <c r="C1051" s="0" t="n">
        <f aca="false">IF(OR(A1051&lt;&gt;"",B1051&lt;&gt;""),1,0)</f>
        <v>0</v>
      </c>
      <c r="D1051" s="0" t="str">
        <f aca="false">IF(C1051=1,MOD(ABS(SIN(ROW()*12.9898+'הדבקת לידים'!$F$2*78.233+IFERROR(--RIGHT(A1051,6),LEN(A1051))*0.0137+IFERROR(--RIGHT(B1051,6),LEN(B1051))*0.0071))*43758.5453,1),"")</f>
        <v/>
      </c>
      <c r="E1051" s="0" t="str">
        <f aca="false">IF(C1051=1,INT(MOD(ABS(SIN(D1051*7919.123+ROW()*0.618+'הדבקת לידים'!$F$2*1.3))*43758.5453,1)*1000000)*10000+ROW(),"")</f>
        <v/>
      </c>
      <c r="F1051" s="0" t="str">
        <f aca="false">IF(E1051="","",RANK(E1051,$E$2:$E$5001,1))</f>
        <v/>
      </c>
      <c r="G1051" s="0" t="n">
        <f aca="false">IF(A1051="",0,IF(SUMPRODUCT(--($A$2:$A$5001=A1051))&gt;1,1,0))</f>
        <v>0</v>
      </c>
      <c r="H1051" s="0" t="n">
        <f aca="false">ROW()-1</f>
        <v>1050</v>
      </c>
      <c r="I1051" s="0" t="str">
        <f aca="false">IF(OR(הגדרות!$E$6=0,H1051&gt;הגדרות!$E$5),"",IF(H1051-1&lt;הגדרות!$E$8*(הגדרות!$E$7+1),INT((H1051-1)/(הגדרות!$E$7+1)),הגדרות!$E$8+INT((H1051-1-הגדרות!$E$8*(הגדרות!$E$7+1))/הגדרות!$E$7)))</f>
        <v/>
      </c>
      <c r="J1051" s="0" t="str">
        <f aca="false">IF(I1051="","",IF(H1051-1&lt;הגדרות!$E$8*(הגדרות!$E$7+1),MOD(H1051-1,הגדרות!$E$7+1),MOD(H1051-1-הגדרות!$E$8*(הגדרות!$E$7+1),הגדרות!$E$7)))</f>
        <v/>
      </c>
      <c r="K1051" s="0" t="str">
        <f aca="false">IF(I1051="","",J1051*הגדרות!$E$6+I1051+1)</f>
        <v/>
      </c>
      <c r="L1051" s="0" t="str">
        <f aca="false">IF(K1051="","",MATCH(K1051,$F$2:$F$5001,0))</f>
        <v/>
      </c>
      <c r="M1051" s="0" t="str">
        <f aca="false">IF(I1051="","",INDEX(הגדרות!$A$2:$A$21,MOD(I1051+הגדרות!$E$9,הגדרות!$E$6)+1))</f>
        <v/>
      </c>
    </row>
    <row r="1052" customFormat="false" ht="15" hidden="false" customHeight="false" outlineLevel="0" collapsed="false">
      <c r="A1052" s="0" t="str">
        <f aca="false">IF('הדבקת לידים'!A1052="","",IF(ISNUMBER('הדבקת לידים'!A1052),IF(הגדרות!$E$2&gt;0,TEXT('הדבקת לידים'!A1052,REPT("0",הגדרות!$E$2)),TEXT('הדבקת לידים'!A1052,"0")),TRIM('הדבקת לידים'!A1052)))</f>
        <v/>
      </c>
      <c r="B1052" s="0" t="str">
        <f aca="false">IF('הדבקת לידים'!B1052="","",IF(ISNUMBER('הדבקת לידים'!B1052),IF(הגדרות!$E$3&gt;0,TEXT('הדבקת לידים'!B1052,REPT("0",הגדרות!$E$3)),TEXT('הדבקת לידים'!B1052,"0")),TRIM('הדבקת לידים'!B1052)))</f>
        <v/>
      </c>
      <c r="C1052" s="0" t="n">
        <f aca="false">IF(OR(A1052&lt;&gt;"",B1052&lt;&gt;""),1,0)</f>
        <v>0</v>
      </c>
      <c r="D1052" s="0" t="str">
        <f aca="false">IF(C1052=1,MOD(ABS(SIN(ROW()*12.9898+'הדבקת לידים'!$F$2*78.233+IFERROR(--RIGHT(A1052,6),LEN(A1052))*0.0137+IFERROR(--RIGHT(B1052,6),LEN(B1052))*0.0071))*43758.5453,1),"")</f>
        <v/>
      </c>
      <c r="E1052" s="0" t="str">
        <f aca="false">IF(C1052=1,INT(MOD(ABS(SIN(D1052*7919.123+ROW()*0.618+'הדבקת לידים'!$F$2*1.3))*43758.5453,1)*1000000)*10000+ROW(),"")</f>
        <v/>
      </c>
      <c r="F1052" s="0" t="str">
        <f aca="false">IF(E1052="","",RANK(E1052,$E$2:$E$5001,1))</f>
        <v/>
      </c>
      <c r="G1052" s="0" t="n">
        <f aca="false">IF(A1052="",0,IF(SUMPRODUCT(--($A$2:$A$5001=A1052))&gt;1,1,0))</f>
        <v>0</v>
      </c>
      <c r="H1052" s="0" t="n">
        <f aca="false">ROW()-1</f>
        <v>1051</v>
      </c>
      <c r="I1052" s="0" t="str">
        <f aca="false">IF(OR(הגדרות!$E$6=0,H1052&gt;הגדרות!$E$5),"",IF(H1052-1&lt;הגדרות!$E$8*(הגדרות!$E$7+1),INT((H1052-1)/(הגדרות!$E$7+1)),הגדרות!$E$8+INT((H1052-1-הגדרות!$E$8*(הגדרות!$E$7+1))/הגדרות!$E$7)))</f>
        <v/>
      </c>
      <c r="J1052" s="0" t="str">
        <f aca="false">IF(I1052="","",IF(H1052-1&lt;הגדרות!$E$8*(הגדרות!$E$7+1),MOD(H1052-1,הגדרות!$E$7+1),MOD(H1052-1-הגדרות!$E$8*(הגדרות!$E$7+1),הגדרות!$E$7)))</f>
        <v/>
      </c>
      <c r="K1052" s="0" t="str">
        <f aca="false">IF(I1052="","",J1052*הגדרות!$E$6+I1052+1)</f>
        <v/>
      </c>
      <c r="L1052" s="0" t="str">
        <f aca="false">IF(K1052="","",MATCH(K1052,$F$2:$F$5001,0))</f>
        <v/>
      </c>
      <c r="M1052" s="0" t="str">
        <f aca="false">IF(I1052="","",INDEX(הגדרות!$A$2:$A$21,MOD(I1052+הגדרות!$E$9,הגדרות!$E$6)+1))</f>
        <v/>
      </c>
    </row>
    <row r="1053" customFormat="false" ht="15" hidden="false" customHeight="false" outlineLevel="0" collapsed="false">
      <c r="A1053" s="0" t="str">
        <f aca="false">IF('הדבקת לידים'!A1053="","",IF(ISNUMBER('הדבקת לידים'!A1053),IF(הגדרות!$E$2&gt;0,TEXT('הדבקת לידים'!A1053,REPT("0",הגדרות!$E$2)),TEXT('הדבקת לידים'!A1053,"0")),TRIM('הדבקת לידים'!A1053)))</f>
        <v/>
      </c>
      <c r="B1053" s="0" t="str">
        <f aca="false">IF('הדבקת לידים'!B1053="","",IF(ISNUMBER('הדבקת לידים'!B1053),IF(הגדרות!$E$3&gt;0,TEXT('הדבקת לידים'!B1053,REPT("0",הגדרות!$E$3)),TEXT('הדבקת לידים'!B1053,"0")),TRIM('הדבקת לידים'!B1053)))</f>
        <v/>
      </c>
      <c r="C1053" s="0" t="n">
        <f aca="false">IF(OR(A1053&lt;&gt;"",B1053&lt;&gt;""),1,0)</f>
        <v>0</v>
      </c>
      <c r="D1053" s="0" t="str">
        <f aca="false">IF(C1053=1,MOD(ABS(SIN(ROW()*12.9898+'הדבקת לידים'!$F$2*78.233+IFERROR(--RIGHT(A1053,6),LEN(A1053))*0.0137+IFERROR(--RIGHT(B1053,6),LEN(B1053))*0.0071))*43758.5453,1),"")</f>
        <v/>
      </c>
      <c r="E1053" s="0" t="str">
        <f aca="false">IF(C1053=1,INT(MOD(ABS(SIN(D1053*7919.123+ROW()*0.618+'הדבקת לידים'!$F$2*1.3))*43758.5453,1)*1000000)*10000+ROW(),"")</f>
        <v/>
      </c>
      <c r="F1053" s="0" t="str">
        <f aca="false">IF(E1053="","",RANK(E1053,$E$2:$E$5001,1))</f>
        <v/>
      </c>
      <c r="G1053" s="0" t="n">
        <f aca="false">IF(A1053="",0,IF(SUMPRODUCT(--($A$2:$A$5001=A1053))&gt;1,1,0))</f>
        <v>0</v>
      </c>
      <c r="H1053" s="0" t="n">
        <f aca="false">ROW()-1</f>
        <v>1052</v>
      </c>
      <c r="I1053" s="0" t="str">
        <f aca="false">IF(OR(הגדרות!$E$6=0,H1053&gt;הגדרות!$E$5),"",IF(H1053-1&lt;הגדרות!$E$8*(הגדרות!$E$7+1),INT((H1053-1)/(הגדרות!$E$7+1)),הגדרות!$E$8+INT((H1053-1-הגדרות!$E$8*(הגדרות!$E$7+1))/הגדרות!$E$7)))</f>
        <v/>
      </c>
      <c r="J1053" s="0" t="str">
        <f aca="false">IF(I1053="","",IF(H1053-1&lt;הגדרות!$E$8*(הגדרות!$E$7+1),MOD(H1053-1,הגדרות!$E$7+1),MOD(H1053-1-הגדרות!$E$8*(הגדרות!$E$7+1),הגדרות!$E$7)))</f>
        <v/>
      </c>
      <c r="K1053" s="0" t="str">
        <f aca="false">IF(I1053="","",J1053*הגדרות!$E$6+I1053+1)</f>
        <v/>
      </c>
      <c r="L1053" s="0" t="str">
        <f aca="false">IF(K1053="","",MATCH(K1053,$F$2:$F$5001,0))</f>
        <v/>
      </c>
      <c r="M1053" s="0" t="str">
        <f aca="false">IF(I1053="","",INDEX(הגדרות!$A$2:$A$21,MOD(I1053+הגדרות!$E$9,הגדרות!$E$6)+1))</f>
        <v/>
      </c>
    </row>
    <row r="1054" customFormat="false" ht="15" hidden="false" customHeight="false" outlineLevel="0" collapsed="false">
      <c r="A1054" s="0" t="str">
        <f aca="false">IF('הדבקת לידים'!A1054="","",IF(ISNUMBER('הדבקת לידים'!A1054),IF(הגדרות!$E$2&gt;0,TEXT('הדבקת לידים'!A1054,REPT("0",הגדרות!$E$2)),TEXT('הדבקת לידים'!A1054,"0")),TRIM('הדבקת לידים'!A1054)))</f>
        <v/>
      </c>
      <c r="B1054" s="0" t="str">
        <f aca="false">IF('הדבקת לידים'!B1054="","",IF(ISNUMBER('הדבקת לידים'!B1054),IF(הגדרות!$E$3&gt;0,TEXT('הדבקת לידים'!B1054,REPT("0",הגדרות!$E$3)),TEXT('הדבקת לידים'!B1054,"0")),TRIM('הדבקת לידים'!B1054)))</f>
        <v/>
      </c>
      <c r="C1054" s="0" t="n">
        <f aca="false">IF(OR(A1054&lt;&gt;"",B1054&lt;&gt;""),1,0)</f>
        <v>0</v>
      </c>
      <c r="D1054" s="0" t="str">
        <f aca="false">IF(C1054=1,MOD(ABS(SIN(ROW()*12.9898+'הדבקת לידים'!$F$2*78.233+IFERROR(--RIGHT(A1054,6),LEN(A1054))*0.0137+IFERROR(--RIGHT(B1054,6),LEN(B1054))*0.0071))*43758.5453,1),"")</f>
        <v/>
      </c>
      <c r="E1054" s="0" t="str">
        <f aca="false">IF(C1054=1,INT(MOD(ABS(SIN(D1054*7919.123+ROW()*0.618+'הדבקת לידים'!$F$2*1.3))*43758.5453,1)*1000000)*10000+ROW(),"")</f>
        <v/>
      </c>
      <c r="F1054" s="0" t="str">
        <f aca="false">IF(E1054="","",RANK(E1054,$E$2:$E$5001,1))</f>
        <v/>
      </c>
      <c r="G1054" s="0" t="n">
        <f aca="false">IF(A1054="",0,IF(SUMPRODUCT(--($A$2:$A$5001=A1054))&gt;1,1,0))</f>
        <v>0</v>
      </c>
      <c r="H1054" s="0" t="n">
        <f aca="false">ROW()-1</f>
        <v>1053</v>
      </c>
      <c r="I1054" s="0" t="str">
        <f aca="false">IF(OR(הגדרות!$E$6=0,H1054&gt;הגדרות!$E$5),"",IF(H1054-1&lt;הגדרות!$E$8*(הגדרות!$E$7+1),INT((H1054-1)/(הגדרות!$E$7+1)),הגדרות!$E$8+INT((H1054-1-הגדרות!$E$8*(הגדרות!$E$7+1))/הגדרות!$E$7)))</f>
        <v/>
      </c>
      <c r="J1054" s="0" t="str">
        <f aca="false">IF(I1054="","",IF(H1054-1&lt;הגדרות!$E$8*(הגדרות!$E$7+1),MOD(H1054-1,הגדרות!$E$7+1),MOD(H1054-1-הגדרות!$E$8*(הגדרות!$E$7+1),הגדרות!$E$7)))</f>
        <v/>
      </c>
      <c r="K1054" s="0" t="str">
        <f aca="false">IF(I1054="","",J1054*הגדרות!$E$6+I1054+1)</f>
        <v/>
      </c>
      <c r="L1054" s="0" t="str">
        <f aca="false">IF(K1054="","",MATCH(K1054,$F$2:$F$5001,0))</f>
        <v/>
      </c>
      <c r="M1054" s="0" t="str">
        <f aca="false">IF(I1054="","",INDEX(הגדרות!$A$2:$A$21,MOD(I1054+הגדרות!$E$9,הגדרות!$E$6)+1))</f>
        <v/>
      </c>
    </row>
    <row r="1055" customFormat="false" ht="15" hidden="false" customHeight="false" outlineLevel="0" collapsed="false">
      <c r="A1055" s="0" t="str">
        <f aca="false">IF('הדבקת לידים'!A1055="","",IF(ISNUMBER('הדבקת לידים'!A1055),IF(הגדרות!$E$2&gt;0,TEXT('הדבקת לידים'!A1055,REPT("0",הגדרות!$E$2)),TEXT('הדבקת לידים'!A1055,"0")),TRIM('הדבקת לידים'!A1055)))</f>
        <v/>
      </c>
      <c r="B1055" s="0" t="str">
        <f aca="false">IF('הדבקת לידים'!B1055="","",IF(ISNUMBER('הדבקת לידים'!B1055),IF(הגדרות!$E$3&gt;0,TEXT('הדבקת לידים'!B1055,REPT("0",הגדרות!$E$3)),TEXT('הדבקת לידים'!B1055,"0")),TRIM('הדבקת לידים'!B1055)))</f>
        <v/>
      </c>
      <c r="C1055" s="0" t="n">
        <f aca="false">IF(OR(A1055&lt;&gt;"",B1055&lt;&gt;""),1,0)</f>
        <v>0</v>
      </c>
      <c r="D1055" s="0" t="str">
        <f aca="false">IF(C1055=1,MOD(ABS(SIN(ROW()*12.9898+'הדבקת לידים'!$F$2*78.233+IFERROR(--RIGHT(A1055,6),LEN(A1055))*0.0137+IFERROR(--RIGHT(B1055,6),LEN(B1055))*0.0071))*43758.5453,1),"")</f>
        <v/>
      </c>
      <c r="E1055" s="0" t="str">
        <f aca="false">IF(C1055=1,INT(MOD(ABS(SIN(D1055*7919.123+ROW()*0.618+'הדבקת לידים'!$F$2*1.3))*43758.5453,1)*1000000)*10000+ROW(),"")</f>
        <v/>
      </c>
      <c r="F1055" s="0" t="str">
        <f aca="false">IF(E1055="","",RANK(E1055,$E$2:$E$5001,1))</f>
        <v/>
      </c>
      <c r="G1055" s="0" t="n">
        <f aca="false">IF(A1055="",0,IF(SUMPRODUCT(--($A$2:$A$5001=A1055))&gt;1,1,0))</f>
        <v>0</v>
      </c>
      <c r="H1055" s="0" t="n">
        <f aca="false">ROW()-1</f>
        <v>1054</v>
      </c>
      <c r="I1055" s="0" t="str">
        <f aca="false">IF(OR(הגדרות!$E$6=0,H1055&gt;הגדרות!$E$5),"",IF(H1055-1&lt;הגדרות!$E$8*(הגדרות!$E$7+1),INT((H1055-1)/(הגדרות!$E$7+1)),הגדרות!$E$8+INT((H1055-1-הגדרות!$E$8*(הגדרות!$E$7+1))/הגדרות!$E$7)))</f>
        <v/>
      </c>
      <c r="J1055" s="0" t="str">
        <f aca="false">IF(I1055="","",IF(H1055-1&lt;הגדרות!$E$8*(הגדרות!$E$7+1),MOD(H1055-1,הגדרות!$E$7+1),MOD(H1055-1-הגדרות!$E$8*(הגדרות!$E$7+1),הגדרות!$E$7)))</f>
        <v/>
      </c>
      <c r="K1055" s="0" t="str">
        <f aca="false">IF(I1055="","",J1055*הגדרות!$E$6+I1055+1)</f>
        <v/>
      </c>
      <c r="L1055" s="0" t="str">
        <f aca="false">IF(K1055="","",MATCH(K1055,$F$2:$F$5001,0))</f>
        <v/>
      </c>
      <c r="M1055" s="0" t="str">
        <f aca="false">IF(I1055="","",INDEX(הגדרות!$A$2:$A$21,MOD(I1055+הגדרות!$E$9,הגדרות!$E$6)+1))</f>
        <v/>
      </c>
    </row>
    <row r="1056" customFormat="false" ht="15" hidden="false" customHeight="false" outlineLevel="0" collapsed="false">
      <c r="A1056" s="0" t="str">
        <f aca="false">IF('הדבקת לידים'!A1056="","",IF(ISNUMBER('הדבקת לידים'!A1056),IF(הגדרות!$E$2&gt;0,TEXT('הדבקת לידים'!A1056,REPT("0",הגדרות!$E$2)),TEXT('הדבקת לידים'!A1056,"0")),TRIM('הדבקת לידים'!A1056)))</f>
        <v/>
      </c>
      <c r="B1056" s="0" t="str">
        <f aca="false">IF('הדבקת לידים'!B1056="","",IF(ISNUMBER('הדבקת לידים'!B1056),IF(הגדרות!$E$3&gt;0,TEXT('הדבקת לידים'!B1056,REPT("0",הגדרות!$E$3)),TEXT('הדבקת לידים'!B1056,"0")),TRIM('הדבקת לידים'!B1056)))</f>
        <v/>
      </c>
      <c r="C1056" s="0" t="n">
        <f aca="false">IF(OR(A1056&lt;&gt;"",B1056&lt;&gt;""),1,0)</f>
        <v>0</v>
      </c>
      <c r="D1056" s="0" t="str">
        <f aca="false">IF(C1056=1,MOD(ABS(SIN(ROW()*12.9898+'הדבקת לידים'!$F$2*78.233+IFERROR(--RIGHT(A1056,6),LEN(A1056))*0.0137+IFERROR(--RIGHT(B1056,6),LEN(B1056))*0.0071))*43758.5453,1),"")</f>
        <v/>
      </c>
      <c r="E1056" s="0" t="str">
        <f aca="false">IF(C1056=1,INT(MOD(ABS(SIN(D1056*7919.123+ROW()*0.618+'הדבקת לידים'!$F$2*1.3))*43758.5453,1)*1000000)*10000+ROW(),"")</f>
        <v/>
      </c>
      <c r="F1056" s="0" t="str">
        <f aca="false">IF(E1056="","",RANK(E1056,$E$2:$E$5001,1))</f>
        <v/>
      </c>
      <c r="G1056" s="0" t="n">
        <f aca="false">IF(A1056="",0,IF(SUMPRODUCT(--($A$2:$A$5001=A1056))&gt;1,1,0))</f>
        <v>0</v>
      </c>
      <c r="H1056" s="0" t="n">
        <f aca="false">ROW()-1</f>
        <v>1055</v>
      </c>
      <c r="I1056" s="0" t="str">
        <f aca="false">IF(OR(הגדרות!$E$6=0,H1056&gt;הגדרות!$E$5),"",IF(H1056-1&lt;הגדרות!$E$8*(הגדרות!$E$7+1),INT((H1056-1)/(הגדרות!$E$7+1)),הגדרות!$E$8+INT((H1056-1-הגדרות!$E$8*(הגדרות!$E$7+1))/הגדרות!$E$7)))</f>
        <v/>
      </c>
      <c r="J1056" s="0" t="str">
        <f aca="false">IF(I1056="","",IF(H1056-1&lt;הגדרות!$E$8*(הגדרות!$E$7+1),MOD(H1056-1,הגדרות!$E$7+1),MOD(H1056-1-הגדרות!$E$8*(הגדרות!$E$7+1),הגדרות!$E$7)))</f>
        <v/>
      </c>
      <c r="K1056" s="0" t="str">
        <f aca="false">IF(I1056="","",J1056*הגדרות!$E$6+I1056+1)</f>
        <v/>
      </c>
      <c r="L1056" s="0" t="str">
        <f aca="false">IF(K1056="","",MATCH(K1056,$F$2:$F$5001,0))</f>
        <v/>
      </c>
      <c r="M1056" s="0" t="str">
        <f aca="false">IF(I1056="","",INDEX(הגדרות!$A$2:$A$21,MOD(I1056+הגדרות!$E$9,הגדרות!$E$6)+1))</f>
        <v/>
      </c>
    </row>
    <row r="1057" customFormat="false" ht="15" hidden="false" customHeight="false" outlineLevel="0" collapsed="false">
      <c r="A1057" s="0" t="str">
        <f aca="false">IF('הדבקת לידים'!A1057="","",IF(ISNUMBER('הדבקת לידים'!A1057),IF(הגדרות!$E$2&gt;0,TEXT('הדבקת לידים'!A1057,REPT("0",הגדרות!$E$2)),TEXT('הדבקת לידים'!A1057,"0")),TRIM('הדבקת לידים'!A1057)))</f>
        <v/>
      </c>
      <c r="B1057" s="0" t="str">
        <f aca="false">IF('הדבקת לידים'!B1057="","",IF(ISNUMBER('הדבקת לידים'!B1057),IF(הגדרות!$E$3&gt;0,TEXT('הדבקת לידים'!B1057,REPT("0",הגדרות!$E$3)),TEXT('הדבקת לידים'!B1057,"0")),TRIM('הדבקת לידים'!B1057)))</f>
        <v/>
      </c>
      <c r="C1057" s="0" t="n">
        <f aca="false">IF(OR(A1057&lt;&gt;"",B1057&lt;&gt;""),1,0)</f>
        <v>0</v>
      </c>
      <c r="D1057" s="0" t="str">
        <f aca="false">IF(C1057=1,MOD(ABS(SIN(ROW()*12.9898+'הדבקת לידים'!$F$2*78.233+IFERROR(--RIGHT(A1057,6),LEN(A1057))*0.0137+IFERROR(--RIGHT(B1057,6),LEN(B1057))*0.0071))*43758.5453,1),"")</f>
        <v/>
      </c>
      <c r="E1057" s="0" t="str">
        <f aca="false">IF(C1057=1,INT(MOD(ABS(SIN(D1057*7919.123+ROW()*0.618+'הדבקת לידים'!$F$2*1.3))*43758.5453,1)*1000000)*10000+ROW(),"")</f>
        <v/>
      </c>
      <c r="F1057" s="0" t="str">
        <f aca="false">IF(E1057="","",RANK(E1057,$E$2:$E$5001,1))</f>
        <v/>
      </c>
      <c r="G1057" s="0" t="n">
        <f aca="false">IF(A1057="",0,IF(SUMPRODUCT(--($A$2:$A$5001=A1057))&gt;1,1,0))</f>
        <v>0</v>
      </c>
      <c r="H1057" s="0" t="n">
        <f aca="false">ROW()-1</f>
        <v>1056</v>
      </c>
      <c r="I1057" s="0" t="str">
        <f aca="false">IF(OR(הגדרות!$E$6=0,H1057&gt;הגדרות!$E$5),"",IF(H1057-1&lt;הגדרות!$E$8*(הגדרות!$E$7+1),INT((H1057-1)/(הגדרות!$E$7+1)),הגדרות!$E$8+INT((H1057-1-הגדרות!$E$8*(הגדרות!$E$7+1))/הגדרות!$E$7)))</f>
        <v/>
      </c>
      <c r="J1057" s="0" t="str">
        <f aca="false">IF(I1057="","",IF(H1057-1&lt;הגדרות!$E$8*(הגדרות!$E$7+1),MOD(H1057-1,הגדרות!$E$7+1),MOD(H1057-1-הגדרות!$E$8*(הגדרות!$E$7+1),הגדרות!$E$7)))</f>
        <v/>
      </c>
      <c r="K1057" s="0" t="str">
        <f aca="false">IF(I1057="","",J1057*הגדרות!$E$6+I1057+1)</f>
        <v/>
      </c>
      <c r="L1057" s="0" t="str">
        <f aca="false">IF(K1057="","",MATCH(K1057,$F$2:$F$5001,0))</f>
        <v/>
      </c>
      <c r="M1057" s="0" t="str">
        <f aca="false">IF(I1057="","",INDEX(הגדרות!$A$2:$A$21,MOD(I1057+הגדרות!$E$9,הגדרות!$E$6)+1))</f>
        <v/>
      </c>
    </row>
    <row r="1058" customFormat="false" ht="15" hidden="false" customHeight="false" outlineLevel="0" collapsed="false">
      <c r="A1058" s="0" t="str">
        <f aca="false">IF('הדבקת לידים'!A1058="","",IF(ISNUMBER('הדבקת לידים'!A1058),IF(הגדרות!$E$2&gt;0,TEXT('הדבקת לידים'!A1058,REPT("0",הגדרות!$E$2)),TEXT('הדבקת לידים'!A1058,"0")),TRIM('הדבקת לידים'!A1058)))</f>
        <v/>
      </c>
      <c r="B1058" s="0" t="str">
        <f aca="false">IF('הדבקת לידים'!B1058="","",IF(ISNUMBER('הדבקת לידים'!B1058),IF(הגדרות!$E$3&gt;0,TEXT('הדבקת לידים'!B1058,REPT("0",הגדרות!$E$3)),TEXT('הדבקת לידים'!B1058,"0")),TRIM('הדבקת לידים'!B1058)))</f>
        <v/>
      </c>
      <c r="C1058" s="0" t="n">
        <f aca="false">IF(OR(A1058&lt;&gt;"",B1058&lt;&gt;""),1,0)</f>
        <v>0</v>
      </c>
      <c r="D1058" s="0" t="str">
        <f aca="false">IF(C1058=1,MOD(ABS(SIN(ROW()*12.9898+'הדבקת לידים'!$F$2*78.233+IFERROR(--RIGHT(A1058,6),LEN(A1058))*0.0137+IFERROR(--RIGHT(B1058,6),LEN(B1058))*0.0071))*43758.5453,1),"")</f>
        <v/>
      </c>
      <c r="E1058" s="0" t="str">
        <f aca="false">IF(C1058=1,INT(MOD(ABS(SIN(D1058*7919.123+ROW()*0.618+'הדבקת לידים'!$F$2*1.3))*43758.5453,1)*1000000)*10000+ROW(),"")</f>
        <v/>
      </c>
      <c r="F1058" s="0" t="str">
        <f aca="false">IF(E1058="","",RANK(E1058,$E$2:$E$5001,1))</f>
        <v/>
      </c>
      <c r="G1058" s="0" t="n">
        <f aca="false">IF(A1058="",0,IF(SUMPRODUCT(--($A$2:$A$5001=A1058))&gt;1,1,0))</f>
        <v>0</v>
      </c>
      <c r="H1058" s="0" t="n">
        <f aca="false">ROW()-1</f>
        <v>1057</v>
      </c>
      <c r="I1058" s="0" t="str">
        <f aca="false">IF(OR(הגדרות!$E$6=0,H1058&gt;הגדרות!$E$5),"",IF(H1058-1&lt;הגדרות!$E$8*(הגדרות!$E$7+1),INT((H1058-1)/(הגדרות!$E$7+1)),הגדרות!$E$8+INT((H1058-1-הגדרות!$E$8*(הגדרות!$E$7+1))/הגדרות!$E$7)))</f>
        <v/>
      </c>
      <c r="J1058" s="0" t="str">
        <f aca="false">IF(I1058="","",IF(H1058-1&lt;הגדרות!$E$8*(הגדרות!$E$7+1),MOD(H1058-1,הגדרות!$E$7+1),MOD(H1058-1-הגדרות!$E$8*(הגדרות!$E$7+1),הגדרות!$E$7)))</f>
        <v/>
      </c>
      <c r="K1058" s="0" t="str">
        <f aca="false">IF(I1058="","",J1058*הגדרות!$E$6+I1058+1)</f>
        <v/>
      </c>
      <c r="L1058" s="0" t="str">
        <f aca="false">IF(K1058="","",MATCH(K1058,$F$2:$F$5001,0))</f>
        <v/>
      </c>
      <c r="M1058" s="0" t="str">
        <f aca="false">IF(I1058="","",INDEX(הגדרות!$A$2:$A$21,MOD(I1058+הגדרות!$E$9,הגדרות!$E$6)+1))</f>
        <v/>
      </c>
    </row>
    <row r="1059" customFormat="false" ht="15" hidden="false" customHeight="false" outlineLevel="0" collapsed="false">
      <c r="A1059" s="0" t="str">
        <f aca="false">IF('הדבקת לידים'!A1059="","",IF(ISNUMBER('הדבקת לידים'!A1059),IF(הגדרות!$E$2&gt;0,TEXT('הדבקת לידים'!A1059,REPT("0",הגדרות!$E$2)),TEXT('הדבקת לידים'!A1059,"0")),TRIM('הדבקת לידים'!A1059)))</f>
        <v/>
      </c>
      <c r="B1059" s="0" t="str">
        <f aca="false">IF('הדבקת לידים'!B1059="","",IF(ISNUMBER('הדבקת לידים'!B1059),IF(הגדרות!$E$3&gt;0,TEXT('הדבקת לידים'!B1059,REPT("0",הגדרות!$E$3)),TEXT('הדבקת לידים'!B1059,"0")),TRIM('הדבקת לידים'!B1059)))</f>
        <v/>
      </c>
      <c r="C1059" s="0" t="n">
        <f aca="false">IF(OR(A1059&lt;&gt;"",B1059&lt;&gt;""),1,0)</f>
        <v>0</v>
      </c>
      <c r="D1059" s="0" t="str">
        <f aca="false">IF(C1059=1,MOD(ABS(SIN(ROW()*12.9898+'הדבקת לידים'!$F$2*78.233+IFERROR(--RIGHT(A1059,6),LEN(A1059))*0.0137+IFERROR(--RIGHT(B1059,6),LEN(B1059))*0.0071))*43758.5453,1),"")</f>
        <v/>
      </c>
      <c r="E1059" s="0" t="str">
        <f aca="false">IF(C1059=1,INT(MOD(ABS(SIN(D1059*7919.123+ROW()*0.618+'הדבקת לידים'!$F$2*1.3))*43758.5453,1)*1000000)*10000+ROW(),"")</f>
        <v/>
      </c>
      <c r="F1059" s="0" t="str">
        <f aca="false">IF(E1059="","",RANK(E1059,$E$2:$E$5001,1))</f>
        <v/>
      </c>
      <c r="G1059" s="0" t="n">
        <f aca="false">IF(A1059="",0,IF(SUMPRODUCT(--($A$2:$A$5001=A1059))&gt;1,1,0))</f>
        <v>0</v>
      </c>
      <c r="H1059" s="0" t="n">
        <f aca="false">ROW()-1</f>
        <v>1058</v>
      </c>
      <c r="I1059" s="0" t="str">
        <f aca="false">IF(OR(הגדרות!$E$6=0,H1059&gt;הגדרות!$E$5),"",IF(H1059-1&lt;הגדרות!$E$8*(הגדרות!$E$7+1),INT((H1059-1)/(הגדרות!$E$7+1)),הגדרות!$E$8+INT((H1059-1-הגדרות!$E$8*(הגדרות!$E$7+1))/הגדרות!$E$7)))</f>
        <v/>
      </c>
      <c r="J1059" s="0" t="str">
        <f aca="false">IF(I1059="","",IF(H1059-1&lt;הגדרות!$E$8*(הגדרות!$E$7+1),MOD(H1059-1,הגדרות!$E$7+1),MOD(H1059-1-הגדרות!$E$8*(הגדרות!$E$7+1),הגדרות!$E$7)))</f>
        <v/>
      </c>
      <c r="K1059" s="0" t="str">
        <f aca="false">IF(I1059="","",J1059*הגדרות!$E$6+I1059+1)</f>
        <v/>
      </c>
      <c r="L1059" s="0" t="str">
        <f aca="false">IF(K1059="","",MATCH(K1059,$F$2:$F$5001,0))</f>
        <v/>
      </c>
      <c r="M1059" s="0" t="str">
        <f aca="false">IF(I1059="","",INDEX(הגדרות!$A$2:$A$21,MOD(I1059+הגדרות!$E$9,הגדרות!$E$6)+1))</f>
        <v/>
      </c>
    </row>
    <row r="1060" customFormat="false" ht="15" hidden="false" customHeight="false" outlineLevel="0" collapsed="false">
      <c r="A1060" s="0" t="str">
        <f aca="false">IF('הדבקת לידים'!A1060="","",IF(ISNUMBER('הדבקת לידים'!A1060),IF(הגדרות!$E$2&gt;0,TEXT('הדבקת לידים'!A1060,REPT("0",הגדרות!$E$2)),TEXT('הדבקת לידים'!A1060,"0")),TRIM('הדבקת לידים'!A1060)))</f>
        <v/>
      </c>
      <c r="B1060" s="0" t="str">
        <f aca="false">IF('הדבקת לידים'!B1060="","",IF(ISNUMBER('הדבקת לידים'!B1060),IF(הגדרות!$E$3&gt;0,TEXT('הדבקת לידים'!B1060,REPT("0",הגדרות!$E$3)),TEXT('הדבקת לידים'!B1060,"0")),TRIM('הדבקת לידים'!B1060)))</f>
        <v/>
      </c>
      <c r="C1060" s="0" t="n">
        <f aca="false">IF(OR(A1060&lt;&gt;"",B1060&lt;&gt;""),1,0)</f>
        <v>0</v>
      </c>
      <c r="D1060" s="0" t="str">
        <f aca="false">IF(C1060=1,MOD(ABS(SIN(ROW()*12.9898+'הדבקת לידים'!$F$2*78.233+IFERROR(--RIGHT(A1060,6),LEN(A1060))*0.0137+IFERROR(--RIGHT(B1060,6),LEN(B1060))*0.0071))*43758.5453,1),"")</f>
        <v/>
      </c>
      <c r="E1060" s="0" t="str">
        <f aca="false">IF(C1060=1,INT(MOD(ABS(SIN(D1060*7919.123+ROW()*0.618+'הדבקת לידים'!$F$2*1.3))*43758.5453,1)*1000000)*10000+ROW(),"")</f>
        <v/>
      </c>
      <c r="F1060" s="0" t="str">
        <f aca="false">IF(E1060="","",RANK(E1060,$E$2:$E$5001,1))</f>
        <v/>
      </c>
      <c r="G1060" s="0" t="n">
        <f aca="false">IF(A1060="",0,IF(SUMPRODUCT(--($A$2:$A$5001=A1060))&gt;1,1,0))</f>
        <v>0</v>
      </c>
      <c r="H1060" s="0" t="n">
        <f aca="false">ROW()-1</f>
        <v>1059</v>
      </c>
      <c r="I1060" s="0" t="str">
        <f aca="false">IF(OR(הגדרות!$E$6=0,H1060&gt;הגדרות!$E$5),"",IF(H1060-1&lt;הגדרות!$E$8*(הגדרות!$E$7+1),INT((H1060-1)/(הגדרות!$E$7+1)),הגדרות!$E$8+INT((H1060-1-הגדרות!$E$8*(הגדרות!$E$7+1))/הגדרות!$E$7)))</f>
        <v/>
      </c>
      <c r="J1060" s="0" t="str">
        <f aca="false">IF(I1060="","",IF(H1060-1&lt;הגדרות!$E$8*(הגדרות!$E$7+1),MOD(H1060-1,הגדרות!$E$7+1),MOD(H1060-1-הגדרות!$E$8*(הגדרות!$E$7+1),הגדרות!$E$7)))</f>
        <v/>
      </c>
      <c r="K1060" s="0" t="str">
        <f aca="false">IF(I1060="","",J1060*הגדרות!$E$6+I1060+1)</f>
        <v/>
      </c>
      <c r="L1060" s="0" t="str">
        <f aca="false">IF(K1060="","",MATCH(K1060,$F$2:$F$5001,0))</f>
        <v/>
      </c>
      <c r="M1060" s="0" t="str">
        <f aca="false">IF(I1060="","",INDEX(הגדרות!$A$2:$A$21,MOD(I1060+הגדרות!$E$9,הגדרות!$E$6)+1))</f>
        <v/>
      </c>
    </row>
    <row r="1061" customFormat="false" ht="15" hidden="false" customHeight="false" outlineLevel="0" collapsed="false">
      <c r="A1061" s="0" t="str">
        <f aca="false">IF('הדבקת לידים'!A1061="","",IF(ISNUMBER('הדבקת לידים'!A1061),IF(הגדרות!$E$2&gt;0,TEXT('הדבקת לידים'!A1061,REPT("0",הגדרות!$E$2)),TEXT('הדבקת לידים'!A1061,"0")),TRIM('הדבקת לידים'!A1061)))</f>
        <v/>
      </c>
      <c r="B1061" s="0" t="str">
        <f aca="false">IF('הדבקת לידים'!B1061="","",IF(ISNUMBER('הדבקת לידים'!B1061),IF(הגדרות!$E$3&gt;0,TEXT('הדבקת לידים'!B1061,REPT("0",הגדרות!$E$3)),TEXT('הדבקת לידים'!B1061,"0")),TRIM('הדבקת לידים'!B1061)))</f>
        <v/>
      </c>
      <c r="C1061" s="0" t="n">
        <f aca="false">IF(OR(A1061&lt;&gt;"",B1061&lt;&gt;""),1,0)</f>
        <v>0</v>
      </c>
      <c r="D1061" s="0" t="str">
        <f aca="false">IF(C1061=1,MOD(ABS(SIN(ROW()*12.9898+'הדבקת לידים'!$F$2*78.233+IFERROR(--RIGHT(A1061,6),LEN(A1061))*0.0137+IFERROR(--RIGHT(B1061,6),LEN(B1061))*0.0071))*43758.5453,1),"")</f>
        <v/>
      </c>
      <c r="E1061" s="0" t="str">
        <f aca="false">IF(C1061=1,INT(MOD(ABS(SIN(D1061*7919.123+ROW()*0.618+'הדבקת לידים'!$F$2*1.3))*43758.5453,1)*1000000)*10000+ROW(),"")</f>
        <v/>
      </c>
      <c r="F1061" s="0" t="str">
        <f aca="false">IF(E1061="","",RANK(E1061,$E$2:$E$5001,1))</f>
        <v/>
      </c>
      <c r="G1061" s="0" t="n">
        <f aca="false">IF(A1061="",0,IF(SUMPRODUCT(--($A$2:$A$5001=A1061))&gt;1,1,0))</f>
        <v>0</v>
      </c>
      <c r="H1061" s="0" t="n">
        <f aca="false">ROW()-1</f>
        <v>1060</v>
      </c>
      <c r="I1061" s="0" t="str">
        <f aca="false">IF(OR(הגדרות!$E$6=0,H1061&gt;הגדרות!$E$5),"",IF(H1061-1&lt;הגדרות!$E$8*(הגדרות!$E$7+1),INT((H1061-1)/(הגדרות!$E$7+1)),הגדרות!$E$8+INT((H1061-1-הגדרות!$E$8*(הגדרות!$E$7+1))/הגדרות!$E$7)))</f>
        <v/>
      </c>
      <c r="J1061" s="0" t="str">
        <f aca="false">IF(I1061="","",IF(H1061-1&lt;הגדרות!$E$8*(הגדרות!$E$7+1),MOD(H1061-1,הגדרות!$E$7+1),MOD(H1061-1-הגדרות!$E$8*(הגדרות!$E$7+1),הגדרות!$E$7)))</f>
        <v/>
      </c>
      <c r="K1061" s="0" t="str">
        <f aca="false">IF(I1061="","",J1061*הגדרות!$E$6+I1061+1)</f>
        <v/>
      </c>
      <c r="L1061" s="0" t="str">
        <f aca="false">IF(K1061="","",MATCH(K1061,$F$2:$F$5001,0))</f>
        <v/>
      </c>
      <c r="M1061" s="0" t="str">
        <f aca="false">IF(I1061="","",INDEX(הגדרות!$A$2:$A$21,MOD(I1061+הגדרות!$E$9,הגדרות!$E$6)+1))</f>
        <v/>
      </c>
    </row>
    <row r="1062" customFormat="false" ht="15" hidden="false" customHeight="false" outlineLevel="0" collapsed="false">
      <c r="A1062" s="0" t="str">
        <f aca="false">IF('הדבקת לידים'!A1062="","",IF(ISNUMBER('הדבקת לידים'!A1062),IF(הגדרות!$E$2&gt;0,TEXT('הדבקת לידים'!A1062,REPT("0",הגדרות!$E$2)),TEXT('הדבקת לידים'!A1062,"0")),TRIM('הדבקת לידים'!A1062)))</f>
        <v/>
      </c>
      <c r="B1062" s="0" t="str">
        <f aca="false">IF('הדבקת לידים'!B1062="","",IF(ISNUMBER('הדבקת לידים'!B1062),IF(הגדרות!$E$3&gt;0,TEXT('הדבקת לידים'!B1062,REPT("0",הגדרות!$E$3)),TEXT('הדבקת לידים'!B1062,"0")),TRIM('הדבקת לידים'!B1062)))</f>
        <v/>
      </c>
      <c r="C1062" s="0" t="n">
        <f aca="false">IF(OR(A1062&lt;&gt;"",B1062&lt;&gt;""),1,0)</f>
        <v>0</v>
      </c>
      <c r="D1062" s="0" t="str">
        <f aca="false">IF(C1062=1,MOD(ABS(SIN(ROW()*12.9898+'הדבקת לידים'!$F$2*78.233+IFERROR(--RIGHT(A1062,6),LEN(A1062))*0.0137+IFERROR(--RIGHT(B1062,6),LEN(B1062))*0.0071))*43758.5453,1),"")</f>
        <v/>
      </c>
      <c r="E1062" s="0" t="str">
        <f aca="false">IF(C1062=1,INT(MOD(ABS(SIN(D1062*7919.123+ROW()*0.618+'הדבקת לידים'!$F$2*1.3))*43758.5453,1)*1000000)*10000+ROW(),"")</f>
        <v/>
      </c>
      <c r="F1062" s="0" t="str">
        <f aca="false">IF(E1062="","",RANK(E1062,$E$2:$E$5001,1))</f>
        <v/>
      </c>
      <c r="G1062" s="0" t="n">
        <f aca="false">IF(A1062="",0,IF(SUMPRODUCT(--($A$2:$A$5001=A1062))&gt;1,1,0))</f>
        <v>0</v>
      </c>
      <c r="H1062" s="0" t="n">
        <f aca="false">ROW()-1</f>
        <v>1061</v>
      </c>
      <c r="I1062" s="0" t="str">
        <f aca="false">IF(OR(הגדרות!$E$6=0,H1062&gt;הגדרות!$E$5),"",IF(H1062-1&lt;הגדרות!$E$8*(הגדרות!$E$7+1),INT((H1062-1)/(הגדרות!$E$7+1)),הגדרות!$E$8+INT((H1062-1-הגדרות!$E$8*(הגדרות!$E$7+1))/הגדרות!$E$7)))</f>
        <v/>
      </c>
      <c r="J1062" s="0" t="str">
        <f aca="false">IF(I1062="","",IF(H1062-1&lt;הגדרות!$E$8*(הגדרות!$E$7+1),MOD(H1062-1,הגדרות!$E$7+1),MOD(H1062-1-הגדרות!$E$8*(הגדרות!$E$7+1),הגדרות!$E$7)))</f>
        <v/>
      </c>
      <c r="K1062" s="0" t="str">
        <f aca="false">IF(I1062="","",J1062*הגדרות!$E$6+I1062+1)</f>
        <v/>
      </c>
      <c r="L1062" s="0" t="str">
        <f aca="false">IF(K1062="","",MATCH(K1062,$F$2:$F$5001,0))</f>
        <v/>
      </c>
      <c r="M1062" s="0" t="str">
        <f aca="false">IF(I1062="","",INDEX(הגדרות!$A$2:$A$21,MOD(I1062+הגדרות!$E$9,הגדרות!$E$6)+1))</f>
        <v/>
      </c>
    </row>
    <row r="1063" customFormat="false" ht="15" hidden="false" customHeight="false" outlineLevel="0" collapsed="false">
      <c r="A1063" s="0" t="str">
        <f aca="false">IF('הדבקת לידים'!A1063="","",IF(ISNUMBER('הדבקת לידים'!A1063),IF(הגדרות!$E$2&gt;0,TEXT('הדבקת לידים'!A1063,REPT("0",הגדרות!$E$2)),TEXT('הדבקת לידים'!A1063,"0")),TRIM('הדבקת לידים'!A1063)))</f>
        <v/>
      </c>
      <c r="B1063" s="0" t="str">
        <f aca="false">IF('הדבקת לידים'!B1063="","",IF(ISNUMBER('הדבקת לידים'!B1063),IF(הגדרות!$E$3&gt;0,TEXT('הדבקת לידים'!B1063,REPT("0",הגדרות!$E$3)),TEXT('הדבקת לידים'!B1063,"0")),TRIM('הדבקת לידים'!B1063)))</f>
        <v/>
      </c>
      <c r="C1063" s="0" t="n">
        <f aca="false">IF(OR(A1063&lt;&gt;"",B1063&lt;&gt;""),1,0)</f>
        <v>0</v>
      </c>
      <c r="D1063" s="0" t="str">
        <f aca="false">IF(C1063=1,MOD(ABS(SIN(ROW()*12.9898+'הדבקת לידים'!$F$2*78.233+IFERROR(--RIGHT(A1063,6),LEN(A1063))*0.0137+IFERROR(--RIGHT(B1063,6),LEN(B1063))*0.0071))*43758.5453,1),"")</f>
        <v/>
      </c>
      <c r="E1063" s="0" t="str">
        <f aca="false">IF(C1063=1,INT(MOD(ABS(SIN(D1063*7919.123+ROW()*0.618+'הדבקת לידים'!$F$2*1.3))*43758.5453,1)*1000000)*10000+ROW(),"")</f>
        <v/>
      </c>
      <c r="F1063" s="0" t="str">
        <f aca="false">IF(E1063="","",RANK(E1063,$E$2:$E$5001,1))</f>
        <v/>
      </c>
      <c r="G1063" s="0" t="n">
        <f aca="false">IF(A1063="",0,IF(SUMPRODUCT(--($A$2:$A$5001=A1063))&gt;1,1,0))</f>
        <v>0</v>
      </c>
      <c r="H1063" s="0" t="n">
        <f aca="false">ROW()-1</f>
        <v>1062</v>
      </c>
      <c r="I1063" s="0" t="str">
        <f aca="false">IF(OR(הגדרות!$E$6=0,H1063&gt;הגדרות!$E$5),"",IF(H1063-1&lt;הגדרות!$E$8*(הגדרות!$E$7+1),INT((H1063-1)/(הגדרות!$E$7+1)),הגדרות!$E$8+INT((H1063-1-הגדרות!$E$8*(הגדרות!$E$7+1))/הגדרות!$E$7)))</f>
        <v/>
      </c>
      <c r="J1063" s="0" t="str">
        <f aca="false">IF(I1063="","",IF(H1063-1&lt;הגדרות!$E$8*(הגדרות!$E$7+1),MOD(H1063-1,הגדרות!$E$7+1),MOD(H1063-1-הגדרות!$E$8*(הגדרות!$E$7+1),הגדרות!$E$7)))</f>
        <v/>
      </c>
      <c r="K1063" s="0" t="str">
        <f aca="false">IF(I1063="","",J1063*הגדרות!$E$6+I1063+1)</f>
        <v/>
      </c>
      <c r="L1063" s="0" t="str">
        <f aca="false">IF(K1063="","",MATCH(K1063,$F$2:$F$5001,0))</f>
        <v/>
      </c>
      <c r="M1063" s="0" t="str">
        <f aca="false">IF(I1063="","",INDEX(הגדרות!$A$2:$A$21,MOD(I1063+הגדרות!$E$9,הגדרות!$E$6)+1))</f>
        <v/>
      </c>
    </row>
    <row r="1064" customFormat="false" ht="15" hidden="false" customHeight="false" outlineLevel="0" collapsed="false">
      <c r="A1064" s="0" t="str">
        <f aca="false">IF('הדבקת לידים'!A1064="","",IF(ISNUMBER('הדבקת לידים'!A1064),IF(הגדרות!$E$2&gt;0,TEXT('הדבקת לידים'!A1064,REPT("0",הגדרות!$E$2)),TEXT('הדבקת לידים'!A1064,"0")),TRIM('הדבקת לידים'!A1064)))</f>
        <v/>
      </c>
      <c r="B1064" s="0" t="str">
        <f aca="false">IF('הדבקת לידים'!B1064="","",IF(ISNUMBER('הדבקת לידים'!B1064),IF(הגדרות!$E$3&gt;0,TEXT('הדבקת לידים'!B1064,REPT("0",הגדרות!$E$3)),TEXT('הדבקת לידים'!B1064,"0")),TRIM('הדבקת לידים'!B1064)))</f>
        <v/>
      </c>
      <c r="C1064" s="0" t="n">
        <f aca="false">IF(OR(A1064&lt;&gt;"",B1064&lt;&gt;""),1,0)</f>
        <v>0</v>
      </c>
      <c r="D1064" s="0" t="str">
        <f aca="false">IF(C1064=1,MOD(ABS(SIN(ROW()*12.9898+'הדבקת לידים'!$F$2*78.233+IFERROR(--RIGHT(A1064,6),LEN(A1064))*0.0137+IFERROR(--RIGHT(B1064,6),LEN(B1064))*0.0071))*43758.5453,1),"")</f>
        <v/>
      </c>
      <c r="E1064" s="0" t="str">
        <f aca="false">IF(C1064=1,INT(MOD(ABS(SIN(D1064*7919.123+ROW()*0.618+'הדבקת לידים'!$F$2*1.3))*43758.5453,1)*1000000)*10000+ROW(),"")</f>
        <v/>
      </c>
      <c r="F1064" s="0" t="str">
        <f aca="false">IF(E1064="","",RANK(E1064,$E$2:$E$5001,1))</f>
        <v/>
      </c>
      <c r="G1064" s="0" t="n">
        <f aca="false">IF(A1064="",0,IF(SUMPRODUCT(--($A$2:$A$5001=A1064))&gt;1,1,0))</f>
        <v>0</v>
      </c>
      <c r="H1064" s="0" t="n">
        <f aca="false">ROW()-1</f>
        <v>1063</v>
      </c>
      <c r="I1064" s="0" t="str">
        <f aca="false">IF(OR(הגדרות!$E$6=0,H1064&gt;הגדרות!$E$5),"",IF(H1064-1&lt;הגדרות!$E$8*(הגדרות!$E$7+1),INT((H1064-1)/(הגדרות!$E$7+1)),הגדרות!$E$8+INT((H1064-1-הגדרות!$E$8*(הגדרות!$E$7+1))/הגדרות!$E$7)))</f>
        <v/>
      </c>
      <c r="J1064" s="0" t="str">
        <f aca="false">IF(I1064="","",IF(H1064-1&lt;הגדרות!$E$8*(הגדרות!$E$7+1),MOD(H1064-1,הגדרות!$E$7+1),MOD(H1064-1-הגדרות!$E$8*(הגדרות!$E$7+1),הגדרות!$E$7)))</f>
        <v/>
      </c>
      <c r="K1064" s="0" t="str">
        <f aca="false">IF(I1064="","",J1064*הגדרות!$E$6+I1064+1)</f>
        <v/>
      </c>
      <c r="L1064" s="0" t="str">
        <f aca="false">IF(K1064="","",MATCH(K1064,$F$2:$F$5001,0))</f>
        <v/>
      </c>
      <c r="M1064" s="0" t="str">
        <f aca="false">IF(I1064="","",INDEX(הגדרות!$A$2:$A$21,MOD(I1064+הגדרות!$E$9,הגדרות!$E$6)+1))</f>
        <v/>
      </c>
    </row>
    <row r="1065" customFormat="false" ht="15" hidden="false" customHeight="false" outlineLevel="0" collapsed="false">
      <c r="A1065" s="0" t="str">
        <f aca="false">IF('הדבקת לידים'!A1065="","",IF(ISNUMBER('הדבקת לידים'!A1065),IF(הגדרות!$E$2&gt;0,TEXT('הדבקת לידים'!A1065,REPT("0",הגדרות!$E$2)),TEXT('הדבקת לידים'!A1065,"0")),TRIM('הדבקת לידים'!A1065)))</f>
        <v/>
      </c>
      <c r="B1065" s="0" t="str">
        <f aca="false">IF('הדבקת לידים'!B1065="","",IF(ISNUMBER('הדבקת לידים'!B1065),IF(הגדרות!$E$3&gt;0,TEXT('הדבקת לידים'!B1065,REPT("0",הגדרות!$E$3)),TEXT('הדבקת לידים'!B1065,"0")),TRIM('הדבקת לידים'!B1065)))</f>
        <v/>
      </c>
      <c r="C1065" s="0" t="n">
        <f aca="false">IF(OR(A1065&lt;&gt;"",B1065&lt;&gt;""),1,0)</f>
        <v>0</v>
      </c>
      <c r="D1065" s="0" t="str">
        <f aca="false">IF(C1065=1,MOD(ABS(SIN(ROW()*12.9898+'הדבקת לידים'!$F$2*78.233+IFERROR(--RIGHT(A1065,6),LEN(A1065))*0.0137+IFERROR(--RIGHT(B1065,6),LEN(B1065))*0.0071))*43758.5453,1),"")</f>
        <v/>
      </c>
      <c r="E1065" s="0" t="str">
        <f aca="false">IF(C1065=1,INT(MOD(ABS(SIN(D1065*7919.123+ROW()*0.618+'הדבקת לידים'!$F$2*1.3))*43758.5453,1)*1000000)*10000+ROW(),"")</f>
        <v/>
      </c>
      <c r="F1065" s="0" t="str">
        <f aca="false">IF(E1065="","",RANK(E1065,$E$2:$E$5001,1))</f>
        <v/>
      </c>
      <c r="G1065" s="0" t="n">
        <f aca="false">IF(A1065="",0,IF(SUMPRODUCT(--($A$2:$A$5001=A1065))&gt;1,1,0))</f>
        <v>0</v>
      </c>
      <c r="H1065" s="0" t="n">
        <f aca="false">ROW()-1</f>
        <v>1064</v>
      </c>
      <c r="I1065" s="0" t="str">
        <f aca="false">IF(OR(הגדרות!$E$6=0,H1065&gt;הגדרות!$E$5),"",IF(H1065-1&lt;הגדרות!$E$8*(הגדרות!$E$7+1),INT((H1065-1)/(הגדרות!$E$7+1)),הגדרות!$E$8+INT((H1065-1-הגדרות!$E$8*(הגדרות!$E$7+1))/הגדרות!$E$7)))</f>
        <v/>
      </c>
      <c r="J1065" s="0" t="str">
        <f aca="false">IF(I1065="","",IF(H1065-1&lt;הגדרות!$E$8*(הגדרות!$E$7+1),MOD(H1065-1,הגדרות!$E$7+1),MOD(H1065-1-הגדרות!$E$8*(הגדרות!$E$7+1),הגדרות!$E$7)))</f>
        <v/>
      </c>
      <c r="K1065" s="0" t="str">
        <f aca="false">IF(I1065="","",J1065*הגדרות!$E$6+I1065+1)</f>
        <v/>
      </c>
      <c r="L1065" s="0" t="str">
        <f aca="false">IF(K1065="","",MATCH(K1065,$F$2:$F$5001,0))</f>
        <v/>
      </c>
      <c r="M1065" s="0" t="str">
        <f aca="false">IF(I1065="","",INDEX(הגדרות!$A$2:$A$21,MOD(I1065+הגדרות!$E$9,הגדרות!$E$6)+1))</f>
        <v/>
      </c>
    </row>
    <row r="1066" customFormat="false" ht="15" hidden="false" customHeight="false" outlineLevel="0" collapsed="false">
      <c r="A1066" s="0" t="str">
        <f aca="false">IF('הדבקת לידים'!A1066="","",IF(ISNUMBER('הדבקת לידים'!A1066),IF(הגדרות!$E$2&gt;0,TEXT('הדבקת לידים'!A1066,REPT("0",הגדרות!$E$2)),TEXT('הדבקת לידים'!A1066,"0")),TRIM('הדבקת לידים'!A1066)))</f>
        <v/>
      </c>
      <c r="B1066" s="0" t="str">
        <f aca="false">IF('הדבקת לידים'!B1066="","",IF(ISNUMBER('הדבקת לידים'!B1066),IF(הגדרות!$E$3&gt;0,TEXT('הדבקת לידים'!B1066,REPT("0",הגדרות!$E$3)),TEXT('הדבקת לידים'!B1066,"0")),TRIM('הדבקת לידים'!B1066)))</f>
        <v/>
      </c>
      <c r="C1066" s="0" t="n">
        <f aca="false">IF(OR(A1066&lt;&gt;"",B1066&lt;&gt;""),1,0)</f>
        <v>0</v>
      </c>
      <c r="D1066" s="0" t="str">
        <f aca="false">IF(C1066=1,MOD(ABS(SIN(ROW()*12.9898+'הדבקת לידים'!$F$2*78.233+IFERROR(--RIGHT(A1066,6),LEN(A1066))*0.0137+IFERROR(--RIGHT(B1066,6),LEN(B1066))*0.0071))*43758.5453,1),"")</f>
        <v/>
      </c>
      <c r="E1066" s="0" t="str">
        <f aca="false">IF(C1066=1,INT(MOD(ABS(SIN(D1066*7919.123+ROW()*0.618+'הדבקת לידים'!$F$2*1.3))*43758.5453,1)*1000000)*10000+ROW(),"")</f>
        <v/>
      </c>
      <c r="F1066" s="0" t="str">
        <f aca="false">IF(E1066="","",RANK(E1066,$E$2:$E$5001,1))</f>
        <v/>
      </c>
      <c r="G1066" s="0" t="n">
        <f aca="false">IF(A1066="",0,IF(SUMPRODUCT(--($A$2:$A$5001=A1066))&gt;1,1,0))</f>
        <v>0</v>
      </c>
      <c r="H1066" s="0" t="n">
        <f aca="false">ROW()-1</f>
        <v>1065</v>
      </c>
      <c r="I1066" s="0" t="str">
        <f aca="false">IF(OR(הגדרות!$E$6=0,H1066&gt;הגדרות!$E$5),"",IF(H1066-1&lt;הגדרות!$E$8*(הגדרות!$E$7+1),INT((H1066-1)/(הגדרות!$E$7+1)),הגדרות!$E$8+INT((H1066-1-הגדרות!$E$8*(הגדרות!$E$7+1))/הגדרות!$E$7)))</f>
        <v/>
      </c>
      <c r="J1066" s="0" t="str">
        <f aca="false">IF(I1066="","",IF(H1066-1&lt;הגדרות!$E$8*(הגדרות!$E$7+1),MOD(H1066-1,הגדרות!$E$7+1),MOD(H1066-1-הגדרות!$E$8*(הגדרות!$E$7+1),הגדרות!$E$7)))</f>
        <v/>
      </c>
      <c r="K1066" s="0" t="str">
        <f aca="false">IF(I1066="","",J1066*הגדרות!$E$6+I1066+1)</f>
        <v/>
      </c>
      <c r="L1066" s="0" t="str">
        <f aca="false">IF(K1066="","",MATCH(K1066,$F$2:$F$5001,0))</f>
        <v/>
      </c>
      <c r="M1066" s="0" t="str">
        <f aca="false">IF(I1066="","",INDEX(הגדרות!$A$2:$A$21,MOD(I1066+הגדרות!$E$9,הגדרות!$E$6)+1))</f>
        <v/>
      </c>
    </row>
    <row r="1067" customFormat="false" ht="15" hidden="false" customHeight="false" outlineLevel="0" collapsed="false">
      <c r="A1067" s="0" t="str">
        <f aca="false">IF('הדבקת לידים'!A1067="","",IF(ISNUMBER('הדבקת לידים'!A1067),IF(הגדרות!$E$2&gt;0,TEXT('הדבקת לידים'!A1067,REPT("0",הגדרות!$E$2)),TEXT('הדבקת לידים'!A1067,"0")),TRIM('הדבקת לידים'!A1067)))</f>
        <v/>
      </c>
      <c r="B1067" s="0" t="str">
        <f aca="false">IF('הדבקת לידים'!B1067="","",IF(ISNUMBER('הדבקת לידים'!B1067),IF(הגדרות!$E$3&gt;0,TEXT('הדבקת לידים'!B1067,REPT("0",הגדרות!$E$3)),TEXT('הדבקת לידים'!B1067,"0")),TRIM('הדבקת לידים'!B1067)))</f>
        <v/>
      </c>
      <c r="C1067" s="0" t="n">
        <f aca="false">IF(OR(A1067&lt;&gt;"",B1067&lt;&gt;""),1,0)</f>
        <v>0</v>
      </c>
      <c r="D1067" s="0" t="str">
        <f aca="false">IF(C1067=1,MOD(ABS(SIN(ROW()*12.9898+'הדבקת לידים'!$F$2*78.233+IFERROR(--RIGHT(A1067,6),LEN(A1067))*0.0137+IFERROR(--RIGHT(B1067,6),LEN(B1067))*0.0071))*43758.5453,1),"")</f>
        <v/>
      </c>
      <c r="E1067" s="0" t="str">
        <f aca="false">IF(C1067=1,INT(MOD(ABS(SIN(D1067*7919.123+ROW()*0.618+'הדבקת לידים'!$F$2*1.3))*43758.5453,1)*1000000)*10000+ROW(),"")</f>
        <v/>
      </c>
      <c r="F1067" s="0" t="str">
        <f aca="false">IF(E1067="","",RANK(E1067,$E$2:$E$5001,1))</f>
        <v/>
      </c>
      <c r="G1067" s="0" t="n">
        <f aca="false">IF(A1067="",0,IF(SUMPRODUCT(--($A$2:$A$5001=A1067))&gt;1,1,0))</f>
        <v>0</v>
      </c>
      <c r="H1067" s="0" t="n">
        <f aca="false">ROW()-1</f>
        <v>1066</v>
      </c>
      <c r="I1067" s="0" t="str">
        <f aca="false">IF(OR(הגדרות!$E$6=0,H1067&gt;הגדרות!$E$5),"",IF(H1067-1&lt;הגדרות!$E$8*(הגדרות!$E$7+1),INT((H1067-1)/(הגדרות!$E$7+1)),הגדרות!$E$8+INT((H1067-1-הגדרות!$E$8*(הגדרות!$E$7+1))/הגדרות!$E$7)))</f>
        <v/>
      </c>
      <c r="J1067" s="0" t="str">
        <f aca="false">IF(I1067="","",IF(H1067-1&lt;הגדרות!$E$8*(הגדרות!$E$7+1),MOD(H1067-1,הגדרות!$E$7+1),MOD(H1067-1-הגדרות!$E$8*(הגדרות!$E$7+1),הגדרות!$E$7)))</f>
        <v/>
      </c>
      <c r="K1067" s="0" t="str">
        <f aca="false">IF(I1067="","",J1067*הגדרות!$E$6+I1067+1)</f>
        <v/>
      </c>
      <c r="L1067" s="0" t="str">
        <f aca="false">IF(K1067="","",MATCH(K1067,$F$2:$F$5001,0))</f>
        <v/>
      </c>
      <c r="M1067" s="0" t="str">
        <f aca="false">IF(I1067="","",INDEX(הגדרות!$A$2:$A$21,MOD(I1067+הגדרות!$E$9,הגדרות!$E$6)+1))</f>
        <v/>
      </c>
    </row>
    <row r="1068" customFormat="false" ht="15" hidden="false" customHeight="false" outlineLevel="0" collapsed="false">
      <c r="A1068" s="0" t="str">
        <f aca="false">IF('הדבקת לידים'!A1068="","",IF(ISNUMBER('הדבקת לידים'!A1068),IF(הגדרות!$E$2&gt;0,TEXT('הדבקת לידים'!A1068,REPT("0",הגדרות!$E$2)),TEXT('הדבקת לידים'!A1068,"0")),TRIM('הדבקת לידים'!A1068)))</f>
        <v/>
      </c>
      <c r="B1068" s="0" t="str">
        <f aca="false">IF('הדבקת לידים'!B1068="","",IF(ISNUMBER('הדבקת לידים'!B1068),IF(הגדרות!$E$3&gt;0,TEXT('הדבקת לידים'!B1068,REPT("0",הגדרות!$E$3)),TEXT('הדבקת לידים'!B1068,"0")),TRIM('הדבקת לידים'!B1068)))</f>
        <v/>
      </c>
      <c r="C1068" s="0" t="n">
        <f aca="false">IF(OR(A1068&lt;&gt;"",B1068&lt;&gt;""),1,0)</f>
        <v>0</v>
      </c>
      <c r="D1068" s="0" t="str">
        <f aca="false">IF(C1068=1,MOD(ABS(SIN(ROW()*12.9898+'הדבקת לידים'!$F$2*78.233+IFERROR(--RIGHT(A1068,6),LEN(A1068))*0.0137+IFERROR(--RIGHT(B1068,6),LEN(B1068))*0.0071))*43758.5453,1),"")</f>
        <v/>
      </c>
      <c r="E1068" s="0" t="str">
        <f aca="false">IF(C1068=1,INT(MOD(ABS(SIN(D1068*7919.123+ROW()*0.618+'הדבקת לידים'!$F$2*1.3))*43758.5453,1)*1000000)*10000+ROW(),"")</f>
        <v/>
      </c>
      <c r="F1068" s="0" t="str">
        <f aca="false">IF(E1068="","",RANK(E1068,$E$2:$E$5001,1))</f>
        <v/>
      </c>
      <c r="G1068" s="0" t="n">
        <f aca="false">IF(A1068="",0,IF(SUMPRODUCT(--($A$2:$A$5001=A1068))&gt;1,1,0))</f>
        <v>0</v>
      </c>
      <c r="H1068" s="0" t="n">
        <f aca="false">ROW()-1</f>
        <v>1067</v>
      </c>
      <c r="I1068" s="0" t="str">
        <f aca="false">IF(OR(הגדרות!$E$6=0,H1068&gt;הגדרות!$E$5),"",IF(H1068-1&lt;הגדרות!$E$8*(הגדרות!$E$7+1),INT((H1068-1)/(הגדרות!$E$7+1)),הגדרות!$E$8+INT((H1068-1-הגדרות!$E$8*(הגדרות!$E$7+1))/הגדרות!$E$7)))</f>
        <v/>
      </c>
      <c r="J1068" s="0" t="str">
        <f aca="false">IF(I1068="","",IF(H1068-1&lt;הגדרות!$E$8*(הגדרות!$E$7+1),MOD(H1068-1,הגדרות!$E$7+1),MOD(H1068-1-הגדרות!$E$8*(הגדרות!$E$7+1),הגדרות!$E$7)))</f>
        <v/>
      </c>
      <c r="K1068" s="0" t="str">
        <f aca="false">IF(I1068="","",J1068*הגדרות!$E$6+I1068+1)</f>
        <v/>
      </c>
      <c r="L1068" s="0" t="str">
        <f aca="false">IF(K1068="","",MATCH(K1068,$F$2:$F$5001,0))</f>
        <v/>
      </c>
      <c r="M1068" s="0" t="str">
        <f aca="false">IF(I1068="","",INDEX(הגדרות!$A$2:$A$21,MOD(I1068+הגדרות!$E$9,הגדרות!$E$6)+1))</f>
        <v/>
      </c>
    </row>
    <row r="1069" customFormat="false" ht="15" hidden="false" customHeight="false" outlineLevel="0" collapsed="false">
      <c r="A1069" s="0" t="str">
        <f aca="false">IF('הדבקת לידים'!A1069="","",IF(ISNUMBER('הדבקת לידים'!A1069),IF(הגדרות!$E$2&gt;0,TEXT('הדבקת לידים'!A1069,REPT("0",הגדרות!$E$2)),TEXT('הדבקת לידים'!A1069,"0")),TRIM('הדבקת לידים'!A1069)))</f>
        <v/>
      </c>
      <c r="B1069" s="0" t="str">
        <f aca="false">IF('הדבקת לידים'!B1069="","",IF(ISNUMBER('הדבקת לידים'!B1069),IF(הגדרות!$E$3&gt;0,TEXT('הדבקת לידים'!B1069,REPT("0",הגדרות!$E$3)),TEXT('הדבקת לידים'!B1069,"0")),TRIM('הדבקת לידים'!B1069)))</f>
        <v/>
      </c>
      <c r="C1069" s="0" t="n">
        <f aca="false">IF(OR(A1069&lt;&gt;"",B1069&lt;&gt;""),1,0)</f>
        <v>0</v>
      </c>
      <c r="D1069" s="0" t="str">
        <f aca="false">IF(C1069=1,MOD(ABS(SIN(ROW()*12.9898+'הדבקת לידים'!$F$2*78.233+IFERROR(--RIGHT(A1069,6),LEN(A1069))*0.0137+IFERROR(--RIGHT(B1069,6),LEN(B1069))*0.0071))*43758.5453,1),"")</f>
        <v/>
      </c>
      <c r="E1069" s="0" t="str">
        <f aca="false">IF(C1069=1,INT(MOD(ABS(SIN(D1069*7919.123+ROW()*0.618+'הדבקת לידים'!$F$2*1.3))*43758.5453,1)*1000000)*10000+ROW(),"")</f>
        <v/>
      </c>
      <c r="F1069" s="0" t="str">
        <f aca="false">IF(E1069="","",RANK(E1069,$E$2:$E$5001,1))</f>
        <v/>
      </c>
      <c r="G1069" s="0" t="n">
        <f aca="false">IF(A1069="",0,IF(SUMPRODUCT(--($A$2:$A$5001=A1069))&gt;1,1,0))</f>
        <v>0</v>
      </c>
      <c r="H1069" s="0" t="n">
        <f aca="false">ROW()-1</f>
        <v>1068</v>
      </c>
      <c r="I1069" s="0" t="str">
        <f aca="false">IF(OR(הגדרות!$E$6=0,H1069&gt;הגדרות!$E$5),"",IF(H1069-1&lt;הגדרות!$E$8*(הגדרות!$E$7+1),INT((H1069-1)/(הגדרות!$E$7+1)),הגדרות!$E$8+INT((H1069-1-הגדרות!$E$8*(הגדרות!$E$7+1))/הגדרות!$E$7)))</f>
        <v/>
      </c>
      <c r="J1069" s="0" t="str">
        <f aca="false">IF(I1069="","",IF(H1069-1&lt;הגדרות!$E$8*(הגדרות!$E$7+1),MOD(H1069-1,הגדרות!$E$7+1),MOD(H1069-1-הגדרות!$E$8*(הגדרות!$E$7+1),הגדרות!$E$7)))</f>
        <v/>
      </c>
      <c r="K1069" s="0" t="str">
        <f aca="false">IF(I1069="","",J1069*הגדרות!$E$6+I1069+1)</f>
        <v/>
      </c>
      <c r="L1069" s="0" t="str">
        <f aca="false">IF(K1069="","",MATCH(K1069,$F$2:$F$5001,0))</f>
        <v/>
      </c>
      <c r="M1069" s="0" t="str">
        <f aca="false">IF(I1069="","",INDEX(הגדרות!$A$2:$A$21,MOD(I1069+הגדרות!$E$9,הגדרות!$E$6)+1))</f>
        <v/>
      </c>
    </row>
    <row r="1070" customFormat="false" ht="15" hidden="false" customHeight="false" outlineLevel="0" collapsed="false">
      <c r="A1070" s="0" t="str">
        <f aca="false">IF('הדבקת לידים'!A1070="","",IF(ISNUMBER('הדבקת לידים'!A1070),IF(הגדרות!$E$2&gt;0,TEXT('הדבקת לידים'!A1070,REPT("0",הגדרות!$E$2)),TEXT('הדבקת לידים'!A1070,"0")),TRIM('הדבקת לידים'!A1070)))</f>
        <v/>
      </c>
      <c r="B1070" s="0" t="str">
        <f aca="false">IF('הדבקת לידים'!B1070="","",IF(ISNUMBER('הדבקת לידים'!B1070),IF(הגדרות!$E$3&gt;0,TEXT('הדבקת לידים'!B1070,REPT("0",הגדרות!$E$3)),TEXT('הדבקת לידים'!B1070,"0")),TRIM('הדבקת לידים'!B1070)))</f>
        <v/>
      </c>
      <c r="C1070" s="0" t="n">
        <f aca="false">IF(OR(A1070&lt;&gt;"",B1070&lt;&gt;""),1,0)</f>
        <v>0</v>
      </c>
      <c r="D1070" s="0" t="str">
        <f aca="false">IF(C1070=1,MOD(ABS(SIN(ROW()*12.9898+'הדבקת לידים'!$F$2*78.233+IFERROR(--RIGHT(A1070,6),LEN(A1070))*0.0137+IFERROR(--RIGHT(B1070,6),LEN(B1070))*0.0071))*43758.5453,1),"")</f>
        <v/>
      </c>
      <c r="E1070" s="0" t="str">
        <f aca="false">IF(C1070=1,INT(MOD(ABS(SIN(D1070*7919.123+ROW()*0.618+'הדבקת לידים'!$F$2*1.3))*43758.5453,1)*1000000)*10000+ROW(),"")</f>
        <v/>
      </c>
      <c r="F1070" s="0" t="str">
        <f aca="false">IF(E1070="","",RANK(E1070,$E$2:$E$5001,1))</f>
        <v/>
      </c>
      <c r="G1070" s="0" t="n">
        <f aca="false">IF(A1070="",0,IF(SUMPRODUCT(--($A$2:$A$5001=A1070))&gt;1,1,0))</f>
        <v>0</v>
      </c>
      <c r="H1070" s="0" t="n">
        <f aca="false">ROW()-1</f>
        <v>1069</v>
      </c>
      <c r="I1070" s="0" t="str">
        <f aca="false">IF(OR(הגדרות!$E$6=0,H1070&gt;הגדרות!$E$5),"",IF(H1070-1&lt;הגדרות!$E$8*(הגדרות!$E$7+1),INT((H1070-1)/(הגדרות!$E$7+1)),הגדרות!$E$8+INT((H1070-1-הגדרות!$E$8*(הגדרות!$E$7+1))/הגדרות!$E$7)))</f>
        <v/>
      </c>
      <c r="J1070" s="0" t="str">
        <f aca="false">IF(I1070="","",IF(H1070-1&lt;הגדרות!$E$8*(הגדרות!$E$7+1),MOD(H1070-1,הגדרות!$E$7+1),MOD(H1070-1-הגדרות!$E$8*(הגדרות!$E$7+1),הגדרות!$E$7)))</f>
        <v/>
      </c>
      <c r="K1070" s="0" t="str">
        <f aca="false">IF(I1070="","",J1070*הגדרות!$E$6+I1070+1)</f>
        <v/>
      </c>
      <c r="L1070" s="0" t="str">
        <f aca="false">IF(K1070="","",MATCH(K1070,$F$2:$F$5001,0))</f>
        <v/>
      </c>
      <c r="M1070" s="0" t="str">
        <f aca="false">IF(I1070="","",INDEX(הגדרות!$A$2:$A$21,MOD(I1070+הגדרות!$E$9,הגדרות!$E$6)+1))</f>
        <v/>
      </c>
    </row>
    <row r="1071" customFormat="false" ht="15" hidden="false" customHeight="false" outlineLevel="0" collapsed="false">
      <c r="A1071" s="0" t="str">
        <f aca="false">IF('הדבקת לידים'!A1071="","",IF(ISNUMBER('הדבקת לידים'!A1071),IF(הגדרות!$E$2&gt;0,TEXT('הדבקת לידים'!A1071,REPT("0",הגדרות!$E$2)),TEXT('הדבקת לידים'!A1071,"0")),TRIM('הדבקת לידים'!A1071)))</f>
        <v/>
      </c>
      <c r="B1071" s="0" t="str">
        <f aca="false">IF('הדבקת לידים'!B1071="","",IF(ISNUMBER('הדבקת לידים'!B1071),IF(הגדרות!$E$3&gt;0,TEXT('הדבקת לידים'!B1071,REPT("0",הגדרות!$E$3)),TEXT('הדבקת לידים'!B1071,"0")),TRIM('הדבקת לידים'!B1071)))</f>
        <v/>
      </c>
      <c r="C1071" s="0" t="n">
        <f aca="false">IF(OR(A1071&lt;&gt;"",B1071&lt;&gt;""),1,0)</f>
        <v>0</v>
      </c>
      <c r="D1071" s="0" t="str">
        <f aca="false">IF(C1071=1,MOD(ABS(SIN(ROW()*12.9898+'הדבקת לידים'!$F$2*78.233+IFERROR(--RIGHT(A1071,6),LEN(A1071))*0.0137+IFERROR(--RIGHT(B1071,6),LEN(B1071))*0.0071))*43758.5453,1),"")</f>
        <v/>
      </c>
      <c r="E1071" s="0" t="str">
        <f aca="false">IF(C1071=1,INT(MOD(ABS(SIN(D1071*7919.123+ROW()*0.618+'הדבקת לידים'!$F$2*1.3))*43758.5453,1)*1000000)*10000+ROW(),"")</f>
        <v/>
      </c>
      <c r="F1071" s="0" t="str">
        <f aca="false">IF(E1071="","",RANK(E1071,$E$2:$E$5001,1))</f>
        <v/>
      </c>
      <c r="G1071" s="0" t="n">
        <f aca="false">IF(A1071="",0,IF(SUMPRODUCT(--($A$2:$A$5001=A1071))&gt;1,1,0))</f>
        <v>0</v>
      </c>
      <c r="H1071" s="0" t="n">
        <f aca="false">ROW()-1</f>
        <v>1070</v>
      </c>
      <c r="I1071" s="0" t="str">
        <f aca="false">IF(OR(הגדרות!$E$6=0,H1071&gt;הגדרות!$E$5),"",IF(H1071-1&lt;הגדרות!$E$8*(הגדרות!$E$7+1),INT((H1071-1)/(הגדרות!$E$7+1)),הגדרות!$E$8+INT((H1071-1-הגדרות!$E$8*(הגדרות!$E$7+1))/הגדרות!$E$7)))</f>
        <v/>
      </c>
      <c r="J1071" s="0" t="str">
        <f aca="false">IF(I1071="","",IF(H1071-1&lt;הגדרות!$E$8*(הגדרות!$E$7+1),MOD(H1071-1,הגדרות!$E$7+1),MOD(H1071-1-הגדרות!$E$8*(הגדרות!$E$7+1),הגדרות!$E$7)))</f>
        <v/>
      </c>
      <c r="K1071" s="0" t="str">
        <f aca="false">IF(I1071="","",J1071*הגדרות!$E$6+I1071+1)</f>
        <v/>
      </c>
      <c r="L1071" s="0" t="str">
        <f aca="false">IF(K1071="","",MATCH(K1071,$F$2:$F$5001,0))</f>
        <v/>
      </c>
      <c r="M1071" s="0" t="str">
        <f aca="false">IF(I1071="","",INDEX(הגדרות!$A$2:$A$21,MOD(I1071+הגדרות!$E$9,הגדרות!$E$6)+1))</f>
        <v/>
      </c>
    </row>
    <row r="1072" customFormat="false" ht="15" hidden="false" customHeight="false" outlineLevel="0" collapsed="false">
      <c r="A1072" s="0" t="str">
        <f aca="false">IF('הדבקת לידים'!A1072="","",IF(ISNUMBER('הדבקת לידים'!A1072),IF(הגדרות!$E$2&gt;0,TEXT('הדבקת לידים'!A1072,REPT("0",הגדרות!$E$2)),TEXT('הדבקת לידים'!A1072,"0")),TRIM('הדבקת לידים'!A1072)))</f>
        <v/>
      </c>
      <c r="B1072" s="0" t="str">
        <f aca="false">IF('הדבקת לידים'!B1072="","",IF(ISNUMBER('הדבקת לידים'!B1072),IF(הגדרות!$E$3&gt;0,TEXT('הדבקת לידים'!B1072,REPT("0",הגדרות!$E$3)),TEXT('הדבקת לידים'!B1072,"0")),TRIM('הדבקת לידים'!B1072)))</f>
        <v/>
      </c>
      <c r="C1072" s="0" t="n">
        <f aca="false">IF(OR(A1072&lt;&gt;"",B1072&lt;&gt;""),1,0)</f>
        <v>0</v>
      </c>
      <c r="D1072" s="0" t="str">
        <f aca="false">IF(C1072=1,MOD(ABS(SIN(ROW()*12.9898+'הדבקת לידים'!$F$2*78.233+IFERROR(--RIGHT(A1072,6),LEN(A1072))*0.0137+IFERROR(--RIGHT(B1072,6),LEN(B1072))*0.0071))*43758.5453,1),"")</f>
        <v/>
      </c>
      <c r="E1072" s="0" t="str">
        <f aca="false">IF(C1072=1,INT(MOD(ABS(SIN(D1072*7919.123+ROW()*0.618+'הדבקת לידים'!$F$2*1.3))*43758.5453,1)*1000000)*10000+ROW(),"")</f>
        <v/>
      </c>
      <c r="F1072" s="0" t="str">
        <f aca="false">IF(E1072="","",RANK(E1072,$E$2:$E$5001,1))</f>
        <v/>
      </c>
      <c r="G1072" s="0" t="n">
        <f aca="false">IF(A1072="",0,IF(SUMPRODUCT(--($A$2:$A$5001=A1072))&gt;1,1,0))</f>
        <v>0</v>
      </c>
      <c r="H1072" s="0" t="n">
        <f aca="false">ROW()-1</f>
        <v>1071</v>
      </c>
      <c r="I1072" s="0" t="str">
        <f aca="false">IF(OR(הגדרות!$E$6=0,H1072&gt;הגדרות!$E$5),"",IF(H1072-1&lt;הגדרות!$E$8*(הגדרות!$E$7+1),INT((H1072-1)/(הגדרות!$E$7+1)),הגדרות!$E$8+INT((H1072-1-הגדרות!$E$8*(הגדרות!$E$7+1))/הגדרות!$E$7)))</f>
        <v/>
      </c>
      <c r="J1072" s="0" t="str">
        <f aca="false">IF(I1072="","",IF(H1072-1&lt;הגדרות!$E$8*(הגדרות!$E$7+1),MOD(H1072-1,הגדרות!$E$7+1),MOD(H1072-1-הגדרות!$E$8*(הגדרות!$E$7+1),הגדרות!$E$7)))</f>
        <v/>
      </c>
      <c r="K1072" s="0" t="str">
        <f aca="false">IF(I1072="","",J1072*הגדרות!$E$6+I1072+1)</f>
        <v/>
      </c>
      <c r="L1072" s="0" t="str">
        <f aca="false">IF(K1072="","",MATCH(K1072,$F$2:$F$5001,0))</f>
        <v/>
      </c>
      <c r="M1072" s="0" t="str">
        <f aca="false">IF(I1072="","",INDEX(הגדרות!$A$2:$A$21,MOD(I1072+הגדרות!$E$9,הגדרות!$E$6)+1))</f>
        <v/>
      </c>
    </row>
    <row r="1073" customFormat="false" ht="15" hidden="false" customHeight="false" outlineLevel="0" collapsed="false">
      <c r="A1073" s="0" t="str">
        <f aca="false">IF('הדבקת לידים'!A1073="","",IF(ISNUMBER('הדבקת לידים'!A1073),IF(הגדרות!$E$2&gt;0,TEXT('הדבקת לידים'!A1073,REPT("0",הגדרות!$E$2)),TEXT('הדבקת לידים'!A1073,"0")),TRIM('הדבקת לידים'!A1073)))</f>
        <v/>
      </c>
      <c r="B1073" s="0" t="str">
        <f aca="false">IF('הדבקת לידים'!B1073="","",IF(ISNUMBER('הדבקת לידים'!B1073),IF(הגדרות!$E$3&gt;0,TEXT('הדבקת לידים'!B1073,REPT("0",הגדרות!$E$3)),TEXT('הדבקת לידים'!B1073,"0")),TRIM('הדבקת לידים'!B1073)))</f>
        <v/>
      </c>
      <c r="C1073" s="0" t="n">
        <f aca="false">IF(OR(A1073&lt;&gt;"",B1073&lt;&gt;""),1,0)</f>
        <v>0</v>
      </c>
      <c r="D1073" s="0" t="str">
        <f aca="false">IF(C1073=1,MOD(ABS(SIN(ROW()*12.9898+'הדבקת לידים'!$F$2*78.233+IFERROR(--RIGHT(A1073,6),LEN(A1073))*0.0137+IFERROR(--RIGHT(B1073,6),LEN(B1073))*0.0071))*43758.5453,1),"")</f>
        <v/>
      </c>
      <c r="E1073" s="0" t="str">
        <f aca="false">IF(C1073=1,INT(MOD(ABS(SIN(D1073*7919.123+ROW()*0.618+'הדבקת לידים'!$F$2*1.3))*43758.5453,1)*1000000)*10000+ROW(),"")</f>
        <v/>
      </c>
      <c r="F1073" s="0" t="str">
        <f aca="false">IF(E1073="","",RANK(E1073,$E$2:$E$5001,1))</f>
        <v/>
      </c>
      <c r="G1073" s="0" t="n">
        <f aca="false">IF(A1073="",0,IF(SUMPRODUCT(--($A$2:$A$5001=A1073))&gt;1,1,0))</f>
        <v>0</v>
      </c>
      <c r="H1073" s="0" t="n">
        <f aca="false">ROW()-1</f>
        <v>1072</v>
      </c>
      <c r="I1073" s="0" t="str">
        <f aca="false">IF(OR(הגדרות!$E$6=0,H1073&gt;הגדרות!$E$5),"",IF(H1073-1&lt;הגדרות!$E$8*(הגדרות!$E$7+1),INT((H1073-1)/(הגדרות!$E$7+1)),הגדרות!$E$8+INT((H1073-1-הגדרות!$E$8*(הגדרות!$E$7+1))/הגדרות!$E$7)))</f>
        <v/>
      </c>
      <c r="J1073" s="0" t="str">
        <f aca="false">IF(I1073="","",IF(H1073-1&lt;הגדרות!$E$8*(הגדרות!$E$7+1),MOD(H1073-1,הגדרות!$E$7+1),MOD(H1073-1-הגדרות!$E$8*(הגדרות!$E$7+1),הגדרות!$E$7)))</f>
        <v/>
      </c>
      <c r="K1073" s="0" t="str">
        <f aca="false">IF(I1073="","",J1073*הגדרות!$E$6+I1073+1)</f>
        <v/>
      </c>
      <c r="L1073" s="0" t="str">
        <f aca="false">IF(K1073="","",MATCH(K1073,$F$2:$F$5001,0))</f>
        <v/>
      </c>
      <c r="M1073" s="0" t="str">
        <f aca="false">IF(I1073="","",INDEX(הגדרות!$A$2:$A$21,MOD(I1073+הגדרות!$E$9,הגדרות!$E$6)+1))</f>
        <v/>
      </c>
    </row>
    <row r="1074" customFormat="false" ht="15" hidden="false" customHeight="false" outlineLevel="0" collapsed="false">
      <c r="A1074" s="0" t="str">
        <f aca="false">IF('הדבקת לידים'!A1074="","",IF(ISNUMBER('הדבקת לידים'!A1074),IF(הגדרות!$E$2&gt;0,TEXT('הדבקת לידים'!A1074,REPT("0",הגדרות!$E$2)),TEXT('הדבקת לידים'!A1074,"0")),TRIM('הדבקת לידים'!A1074)))</f>
        <v/>
      </c>
      <c r="B1074" s="0" t="str">
        <f aca="false">IF('הדבקת לידים'!B1074="","",IF(ISNUMBER('הדבקת לידים'!B1074),IF(הגדרות!$E$3&gt;0,TEXT('הדבקת לידים'!B1074,REPT("0",הגדרות!$E$3)),TEXT('הדבקת לידים'!B1074,"0")),TRIM('הדבקת לידים'!B1074)))</f>
        <v/>
      </c>
      <c r="C1074" s="0" t="n">
        <f aca="false">IF(OR(A1074&lt;&gt;"",B1074&lt;&gt;""),1,0)</f>
        <v>0</v>
      </c>
      <c r="D1074" s="0" t="str">
        <f aca="false">IF(C1074=1,MOD(ABS(SIN(ROW()*12.9898+'הדבקת לידים'!$F$2*78.233+IFERROR(--RIGHT(A1074,6),LEN(A1074))*0.0137+IFERROR(--RIGHT(B1074,6),LEN(B1074))*0.0071))*43758.5453,1),"")</f>
        <v/>
      </c>
      <c r="E1074" s="0" t="str">
        <f aca="false">IF(C1074=1,INT(MOD(ABS(SIN(D1074*7919.123+ROW()*0.618+'הדבקת לידים'!$F$2*1.3))*43758.5453,1)*1000000)*10000+ROW(),"")</f>
        <v/>
      </c>
      <c r="F1074" s="0" t="str">
        <f aca="false">IF(E1074="","",RANK(E1074,$E$2:$E$5001,1))</f>
        <v/>
      </c>
      <c r="G1074" s="0" t="n">
        <f aca="false">IF(A1074="",0,IF(SUMPRODUCT(--($A$2:$A$5001=A1074))&gt;1,1,0))</f>
        <v>0</v>
      </c>
      <c r="H1074" s="0" t="n">
        <f aca="false">ROW()-1</f>
        <v>1073</v>
      </c>
      <c r="I1074" s="0" t="str">
        <f aca="false">IF(OR(הגדרות!$E$6=0,H1074&gt;הגדרות!$E$5),"",IF(H1074-1&lt;הגדרות!$E$8*(הגדרות!$E$7+1),INT((H1074-1)/(הגדרות!$E$7+1)),הגדרות!$E$8+INT((H1074-1-הגדרות!$E$8*(הגדרות!$E$7+1))/הגדרות!$E$7)))</f>
        <v/>
      </c>
      <c r="J1074" s="0" t="str">
        <f aca="false">IF(I1074="","",IF(H1074-1&lt;הגדרות!$E$8*(הגדרות!$E$7+1),MOD(H1074-1,הגדרות!$E$7+1),MOD(H1074-1-הגדרות!$E$8*(הגדרות!$E$7+1),הגדרות!$E$7)))</f>
        <v/>
      </c>
      <c r="K1074" s="0" t="str">
        <f aca="false">IF(I1074="","",J1074*הגדרות!$E$6+I1074+1)</f>
        <v/>
      </c>
      <c r="L1074" s="0" t="str">
        <f aca="false">IF(K1074="","",MATCH(K1074,$F$2:$F$5001,0))</f>
        <v/>
      </c>
      <c r="M1074" s="0" t="str">
        <f aca="false">IF(I1074="","",INDEX(הגדרות!$A$2:$A$21,MOD(I1074+הגדרות!$E$9,הגדרות!$E$6)+1))</f>
        <v/>
      </c>
    </row>
    <row r="1075" customFormat="false" ht="15" hidden="false" customHeight="false" outlineLevel="0" collapsed="false">
      <c r="A1075" s="0" t="str">
        <f aca="false">IF('הדבקת לידים'!A1075="","",IF(ISNUMBER('הדבקת לידים'!A1075),IF(הגדרות!$E$2&gt;0,TEXT('הדבקת לידים'!A1075,REPT("0",הגדרות!$E$2)),TEXT('הדבקת לידים'!A1075,"0")),TRIM('הדבקת לידים'!A1075)))</f>
        <v/>
      </c>
      <c r="B1075" s="0" t="str">
        <f aca="false">IF('הדבקת לידים'!B1075="","",IF(ISNUMBER('הדבקת לידים'!B1075),IF(הגדרות!$E$3&gt;0,TEXT('הדבקת לידים'!B1075,REPT("0",הגדרות!$E$3)),TEXT('הדבקת לידים'!B1075,"0")),TRIM('הדבקת לידים'!B1075)))</f>
        <v/>
      </c>
      <c r="C1075" s="0" t="n">
        <f aca="false">IF(OR(A1075&lt;&gt;"",B1075&lt;&gt;""),1,0)</f>
        <v>0</v>
      </c>
      <c r="D1075" s="0" t="str">
        <f aca="false">IF(C1075=1,MOD(ABS(SIN(ROW()*12.9898+'הדבקת לידים'!$F$2*78.233+IFERROR(--RIGHT(A1075,6),LEN(A1075))*0.0137+IFERROR(--RIGHT(B1075,6),LEN(B1075))*0.0071))*43758.5453,1),"")</f>
        <v/>
      </c>
      <c r="E1075" s="0" t="str">
        <f aca="false">IF(C1075=1,INT(MOD(ABS(SIN(D1075*7919.123+ROW()*0.618+'הדבקת לידים'!$F$2*1.3))*43758.5453,1)*1000000)*10000+ROW(),"")</f>
        <v/>
      </c>
      <c r="F1075" s="0" t="str">
        <f aca="false">IF(E1075="","",RANK(E1075,$E$2:$E$5001,1))</f>
        <v/>
      </c>
      <c r="G1075" s="0" t="n">
        <f aca="false">IF(A1075="",0,IF(SUMPRODUCT(--($A$2:$A$5001=A1075))&gt;1,1,0))</f>
        <v>0</v>
      </c>
      <c r="H1075" s="0" t="n">
        <f aca="false">ROW()-1</f>
        <v>1074</v>
      </c>
      <c r="I1075" s="0" t="str">
        <f aca="false">IF(OR(הגדרות!$E$6=0,H1075&gt;הגדרות!$E$5),"",IF(H1075-1&lt;הגדרות!$E$8*(הגדרות!$E$7+1),INT((H1075-1)/(הגדרות!$E$7+1)),הגדרות!$E$8+INT((H1075-1-הגדרות!$E$8*(הגדרות!$E$7+1))/הגדרות!$E$7)))</f>
        <v/>
      </c>
      <c r="J1075" s="0" t="str">
        <f aca="false">IF(I1075="","",IF(H1075-1&lt;הגדרות!$E$8*(הגדרות!$E$7+1),MOD(H1075-1,הגדרות!$E$7+1),MOD(H1075-1-הגדרות!$E$8*(הגדרות!$E$7+1),הגדרות!$E$7)))</f>
        <v/>
      </c>
      <c r="K1075" s="0" t="str">
        <f aca="false">IF(I1075="","",J1075*הגדרות!$E$6+I1075+1)</f>
        <v/>
      </c>
      <c r="L1075" s="0" t="str">
        <f aca="false">IF(K1075="","",MATCH(K1075,$F$2:$F$5001,0))</f>
        <v/>
      </c>
      <c r="M1075" s="0" t="str">
        <f aca="false">IF(I1075="","",INDEX(הגדרות!$A$2:$A$21,MOD(I1075+הגדרות!$E$9,הגדרות!$E$6)+1))</f>
        <v/>
      </c>
    </row>
    <row r="1076" customFormat="false" ht="15" hidden="false" customHeight="false" outlineLevel="0" collapsed="false">
      <c r="A1076" s="0" t="str">
        <f aca="false">IF('הדבקת לידים'!A1076="","",IF(ISNUMBER('הדבקת לידים'!A1076),IF(הגדרות!$E$2&gt;0,TEXT('הדבקת לידים'!A1076,REPT("0",הגדרות!$E$2)),TEXT('הדבקת לידים'!A1076,"0")),TRIM('הדבקת לידים'!A1076)))</f>
        <v/>
      </c>
      <c r="B1076" s="0" t="str">
        <f aca="false">IF('הדבקת לידים'!B1076="","",IF(ISNUMBER('הדבקת לידים'!B1076),IF(הגדרות!$E$3&gt;0,TEXT('הדבקת לידים'!B1076,REPT("0",הגדרות!$E$3)),TEXT('הדבקת לידים'!B1076,"0")),TRIM('הדבקת לידים'!B1076)))</f>
        <v/>
      </c>
      <c r="C1076" s="0" t="n">
        <f aca="false">IF(OR(A1076&lt;&gt;"",B1076&lt;&gt;""),1,0)</f>
        <v>0</v>
      </c>
      <c r="D1076" s="0" t="str">
        <f aca="false">IF(C1076=1,MOD(ABS(SIN(ROW()*12.9898+'הדבקת לידים'!$F$2*78.233+IFERROR(--RIGHT(A1076,6),LEN(A1076))*0.0137+IFERROR(--RIGHT(B1076,6),LEN(B1076))*0.0071))*43758.5453,1),"")</f>
        <v/>
      </c>
      <c r="E1076" s="0" t="str">
        <f aca="false">IF(C1076=1,INT(MOD(ABS(SIN(D1076*7919.123+ROW()*0.618+'הדבקת לידים'!$F$2*1.3))*43758.5453,1)*1000000)*10000+ROW(),"")</f>
        <v/>
      </c>
      <c r="F1076" s="0" t="str">
        <f aca="false">IF(E1076="","",RANK(E1076,$E$2:$E$5001,1))</f>
        <v/>
      </c>
      <c r="G1076" s="0" t="n">
        <f aca="false">IF(A1076="",0,IF(SUMPRODUCT(--($A$2:$A$5001=A1076))&gt;1,1,0))</f>
        <v>0</v>
      </c>
      <c r="H1076" s="0" t="n">
        <f aca="false">ROW()-1</f>
        <v>1075</v>
      </c>
      <c r="I1076" s="0" t="str">
        <f aca="false">IF(OR(הגדרות!$E$6=0,H1076&gt;הגדרות!$E$5),"",IF(H1076-1&lt;הגדרות!$E$8*(הגדרות!$E$7+1),INT((H1076-1)/(הגדרות!$E$7+1)),הגדרות!$E$8+INT((H1076-1-הגדרות!$E$8*(הגדרות!$E$7+1))/הגדרות!$E$7)))</f>
        <v/>
      </c>
      <c r="J1076" s="0" t="str">
        <f aca="false">IF(I1076="","",IF(H1076-1&lt;הגדרות!$E$8*(הגדרות!$E$7+1),MOD(H1076-1,הגדרות!$E$7+1),MOD(H1076-1-הגדרות!$E$8*(הגדרות!$E$7+1),הגדרות!$E$7)))</f>
        <v/>
      </c>
      <c r="K1076" s="0" t="str">
        <f aca="false">IF(I1076="","",J1076*הגדרות!$E$6+I1076+1)</f>
        <v/>
      </c>
      <c r="L1076" s="0" t="str">
        <f aca="false">IF(K1076="","",MATCH(K1076,$F$2:$F$5001,0))</f>
        <v/>
      </c>
      <c r="M1076" s="0" t="str">
        <f aca="false">IF(I1076="","",INDEX(הגדרות!$A$2:$A$21,MOD(I1076+הגדרות!$E$9,הגדרות!$E$6)+1))</f>
        <v/>
      </c>
    </row>
    <row r="1077" customFormat="false" ht="15" hidden="false" customHeight="false" outlineLevel="0" collapsed="false">
      <c r="A1077" s="0" t="str">
        <f aca="false">IF('הדבקת לידים'!A1077="","",IF(ISNUMBER('הדבקת לידים'!A1077),IF(הגדרות!$E$2&gt;0,TEXT('הדבקת לידים'!A1077,REPT("0",הגדרות!$E$2)),TEXT('הדבקת לידים'!A1077,"0")),TRIM('הדבקת לידים'!A1077)))</f>
        <v/>
      </c>
      <c r="B1077" s="0" t="str">
        <f aca="false">IF('הדבקת לידים'!B1077="","",IF(ISNUMBER('הדבקת לידים'!B1077),IF(הגדרות!$E$3&gt;0,TEXT('הדבקת לידים'!B1077,REPT("0",הגדרות!$E$3)),TEXT('הדבקת לידים'!B1077,"0")),TRIM('הדבקת לידים'!B1077)))</f>
        <v/>
      </c>
      <c r="C1077" s="0" t="n">
        <f aca="false">IF(OR(A1077&lt;&gt;"",B1077&lt;&gt;""),1,0)</f>
        <v>0</v>
      </c>
      <c r="D1077" s="0" t="str">
        <f aca="false">IF(C1077=1,MOD(ABS(SIN(ROW()*12.9898+'הדבקת לידים'!$F$2*78.233+IFERROR(--RIGHT(A1077,6),LEN(A1077))*0.0137+IFERROR(--RIGHT(B1077,6),LEN(B1077))*0.0071))*43758.5453,1),"")</f>
        <v/>
      </c>
      <c r="E1077" s="0" t="str">
        <f aca="false">IF(C1077=1,INT(MOD(ABS(SIN(D1077*7919.123+ROW()*0.618+'הדבקת לידים'!$F$2*1.3))*43758.5453,1)*1000000)*10000+ROW(),"")</f>
        <v/>
      </c>
      <c r="F1077" s="0" t="str">
        <f aca="false">IF(E1077="","",RANK(E1077,$E$2:$E$5001,1))</f>
        <v/>
      </c>
      <c r="G1077" s="0" t="n">
        <f aca="false">IF(A1077="",0,IF(SUMPRODUCT(--($A$2:$A$5001=A1077))&gt;1,1,0))</f>
        <v>0</v>
      </c>
      <c r="H1077" s="0" t="n">
        <f aca="false">ROW()-1</f>
        <v>1076</v>
      </c>
      <c r="I1077" s="0" t="str">
        <f aca="false">IF(OR(הגדרות!$E$6=0,H1077&gt;הגדרות!$E$5),"",IF(H1077-1&lt;הגדרות!$E$8*(הגדרות!$E$7+1),INT((H1077-1)/(הגדרות!$E$7+1)),הגדרות!$E$8+INT((H1077-1-הגדרות!$E$8*(הגדרות!$E$7+1))/הגדרות!$E$7)))</f>
        <v/>
      </c>
      <c r="J1077" s="0" t="str">
        <f aca="false">IF(I1077="","",IF(H1077-1&lt;הגדרות!$E$8*(הגדרות!$E$7+1),MOD(H1077-1,הגדרות!$E$7+1),MOD(H1077-1-הגדרות!$E$8*(הגדרות!$E$7+1),הגדרות!$E$7)))</f>
        <v/>
      </c>
      <c r="K1077" s="0" t="str">
        <f aca="false">IF(I1077="","",J1077*הגדרות!$E$6+I1077+1)</f>
        <v/>
      </c>
      <c r="L1077" s="0" t="str">
        <f aca="false">IF(K1077="","",MATCH(K1077,$F$2:$F$5001,0))</f>
        <v/>
      </c>
      <c r="M1077" s="0" t="str">
        <f aca="false">IF(I1077="","",INDEX(הגדרות!$A$2:$A$21,MOD(I1077+הגדרות!$E$9,הגדרות!$E$6)+1))</f>
        <v/>
      </c>
    </row>
    <row r="1078" customFormat="false" ht="15" hidden="false" customHeight="false" outlineLevel="0" collapsed="false">
      <c r="A1078" s="0" t="str">
        <f aca="false">IF('הדבקת לידים'!A1078="","",IF(ISNUMBER('הדבקת לידים'!A1078),IF(הגדרות!$E$2&gt;0,TEXT('הדבקת לידים'!A1078,REPT("0",הגדרות!$E$2)),TEXT('הדבקת לידים'!A1078,"0")),TRIM('הדבקת לידים'!A1078)))</f>
        <v/>
      </c>
      <c r="B1078" s="0" t="str">
        <f aca="false">IF('הדבקת לידים'!B1078="","",IF(ISNUMBER('הדבקת לידים'!B1078),IF(הגדרות!$E$3&gt;0,TEXT('הדבקת לידים'!B1078,REPT("0",הגדרות!$E$3)),TEXT('הדבקת לידים'!B1078,"0")),TRIM('הדבקת לידים'!B1078)))</f>
        <v/>
      </c>
      <c r="C1078" s="0" t="n">
        <f aca="false">IF(OR(A1078&lt;&gt;"",B1078&lt;&gt;""),1,0)</f>
        <v>0</v>
      </c>
      <c r="D1078" s="0" t="str">
        <f aca="false">IF(C1078=1,MOD(ABS(SIN(ROW()*12.9898+'הדבקת לידים'!$F$2*78.233+IFERROR(--RIGHT(A1078,6),LEN(A1078))*0.0137+IFERROR(--RIGHT(B1078,6),LEN(B1078))*0.0071))*43758.5453,1),"")</f>
        <v/>
      </c>
      <c r="E1078" s="0" t="str">
        <f aca="false">IF(C1078=1,INT(MOD(ABS(SIN(D1078*7919.123+ROW()*0.618+'הדבקת לידים'!$F$2*1.3))*43758.5453,1)*1000000)*10000+ROW(),"")</f>
        <v/>
      </c>
      <c r="F1078" s="0" t="str">
        <f aca="false">IF(E1078="","",RANK(E1078,$E$2:$E$5001,1))</f>
        <v/>
      </c>
      <c r="G1078" s="0" t="n">
        <f aca="false">IF(A1078="",0,IF(SUMPRODUCT(--($A$2:$A$5001=A1078))&gt;1,1,0))</f>
        <v>0</v>
      </c>
      <c r="H1078" s="0" t="n">
        <f aca="false">ROW()-1</f>
        <v>1077</v>
      </c>
      <c r="I1078" s="0" t="str">
        <f aca="false">IF(OR(הגדרות!$E$6=0,H1078&gt;הגדרות!$E$5),"",IF(H1078-1&lt;הגדרות!$E$8*(הגדרות!$E$7+1),INT((H1078-1)/(הגדרות!$E$7+1)),הגדרות!$E$8+INT((H1078-1-הגדרות!$E$8*(הגדרות!$E$7+1))/הגדרות!$E$7)))</f>
        <v/>
      </c>
      <c r="J1078" s="0" t="str">
        <f aca="false">IF(I1078="","",IF(H1078-1&lt;הגדרות!$E$8*(הגדרות!$E$7+1),MOD(H1078-1,הגדרות!$E$7+1),MOD(H1078-1-הגדרות!$E$8*(הגדרות!$E$7+1),הגדרות!$E$7)))</f>
        <v/>
      </c>
      <c r="K1078" s="0" t="str">
        <f aca="false">IF(I1078="","",J1078*הגדרות!$E$6+I1078+1)</f>
        <v/>
      </c>
      <c r="L1078" s="0" t="str">
        <f aca="false">IF(K1078="","",MATCH(K1078,$F$2:$F$5001,0))</f>
        <v/>
      </c>
      <c r="M1078" s="0" t="str">
        <f aca="false">IF(I1078="","",INDEX(הגדרות!$A$2:$A$21,MOD(I1078+הגדרות!$E$9,הגדרות!$E$6)+1))</f>
        <v/>
      </c>
    </row>
    <row r="1079" customFormat="false" ht="15" hidden="false" customHeight="false" outlineLevel="0" collapsed="false">
      <c r="A1079" s="0" t="str">
        <f aca="false">IF('הדבקת לידים'!A1079="","",IF(ISNUMBER('הדבקת לידים'!A1079),IF(הגדרות!$E$2&gt;0,TEXT('הדבקת לידים'!A1079,REPT("0",הגדרות!$E$2)),TEXT('הדבקת לידים'!A1079,"0")),TRIM('הדבקת לידים'!A1079)))</f>
        <v/>
      </c>
      <c r="B1079" s="0" t="str">
        <f aca="false">IF('הדבקת לידים'!B1079="","",IF(ISNUMBER('הדבקת לידים'!B1079),IF(הגדרות!$E$3&gt;0,TEXT('הדבקת לידים'!B1079,REPT("0",הגדרות!$E$3)),TEXT('הדבקת לידים'!B1079,"0")),TRIM('הדבקת לידים'!B1079)))</f>
        <v/>
      </c>
      <c r="C1079" s="0" t="n">
        <f aca="false">IF(OR(A1079&lt;&gt;"",B1079&lt;&gt;""),1,0)</f>
        <v>0</v>
      </c>
      <c r="D1079" s="0" t="str">
        <f aca="false">IF(C1079=1,MOD(ABS(SIN(ROW()*12.9898+'הדבקת לידים'!$F$2*78.233+IFERROR(--RIGHT(A1079,6),LEN(A1079))*0.0137+IFERROR(--RIGHT(B1079,6),LEN(B1079))*0.0071))*43758.5453,1),"")</f>
        <v/>
      </c>
      <c r="E1079" s="0" t="str">
        <f aca="false">IF(C1079=1,INT(MOD(ABS(SIN(D1079*7919.123+ROW()*0.618+'הדבקת לידים'!$F$2*1.3))*43758.5453,1)*1000000)*10000+ROW(),"")</f>
        <v/>
      </c>
      <c r="F1079" s="0" t="str">
        <f aca="false">IF(E1079="","",RANK(E1079,$E$2:$E$5001,1))</f>
        <v/>
      </c>
      <c r="G1079" s="0" t="n">
        <f aca="false">IF(A1079="",0,IF(SUMPRODUCT(--($A$2:$A$5001=A1079))&gt;1,1,0))</f>
        <v>0</v>
      </c>
      <c r="H1079" s="0" t="n">
        <f aca="false">ROW()-1</f>
        <v>1078</v>
      </c>
      <c r="I1079" s="0" t="str">
        <f aca="false">IF(OR(הגדרות!$E$6=0,H1079&gt;הגדרות!$E$5),"",IF(H1079-1&lt;הגדרות!$E$8*(הגדרות!$E$7+1),INT((H1079-1)/(הגדרות!$E$7+1)),הגדרות!$E$8+INT((H1079-1-הגדרות!$E$8*(הגדרות!$E$7+1))/הגדרות!$E$7)))</f>
        <v/>
      </c>
      <c r="J1079" s="0" t="str">
        <f aca="false">IF(I1079="","",IF(H1079-1&lt;הגדרות!$E$8*(הגדרות!$E$7+1),MOD(H1079-1,הגדרות!$E$7+1),MOD(H1079-1-הגדרות!$E$8*(הגדרות!$E$7+1),הגדרות!$E$7)))</f>
        <v/>
      </c>
      <c r="K1079" s="0" t="str">
        <f aca="false">IF(I1079="","",J1079*הגדרות!$E$6+I1079+1)</f>
        <v/>
      </c>
      <c r="L1079" s="0" t="str">
        <f aca="false">IF(K1079="","",MATCH(K1079,$F$2:$F$5001,0))</f>
        <v/>
      </c>
      <c r="M1079" s="0" t="str">
        <f aca="false">IF(I1079="","",INDEX(הגדרות!$A$2:$A$21,MOD(I1079+הגדרות!$E$9,הגדרות!$E$6)+1))</f>
        <v/>
      </c>
    </row>
    <row r="1080" customFormat="false" ht="15" hidden="false" customHeight="false" outlineLevel="0" collapsed="false">
      <c r="A1080" s="0" t="str">
        <f aca="false">IF('הדבקת לידים'!A1080="","",IF(ISNUMBER('הדבקת לידים'!A1080),IF(הגדרות!$E$2&gt;0,TEXT('הדבקת לידים'!A1080,REPT("0",הגדרות!$E$2)),TEXT('הדבקת לידים'!A1080,"0")),TRIM('הדבקת לידים'!A1080)))</f>
        <v/>
      </c>
      <c r="B1080" s="0" t="str">
        <f aca="false">IF('הדבקת לידים'!B1080="","",IF(ISNUMBER('הדבקת לידים'!B1080),IF(הגדרות!$E$3&gt;0,TEXT('הדבקת לידים'!B1080,REPT("0",הגדרות!$E$3)),TEXT('הדבקת לידים'!B1080,"0")),TRIM('הדבקת לידים'!B1080)))</f>
        <v/>
      </c>
      <c r="C1080" s="0" t="n">
        <f aca="false">IF(OR(A1080&lt;&gt;"",B1080&lt;&gt;""),1,0)</f>
        <v>0</v>
      </c>
      <c r="D1080" s="0" t="str">
        <f aca="false">IF(C1080=1,MOD(ABS(SIN(ROW()*12.9898+'הדבקת לידים'!$F$2*78.233+IFERROR(--RIGHT(A1080,6),LEN(A1080))*0.0137+IFERROR(--RIGHT(B1080,6),LEN(B1080))*0.0071))*43758.5453,1),"")</f>
        <v/>
      </c>
      <c r="E1080" s="0" t="str">
        <f aca="false">IF(C1080=1,INT(MOD(ABS(SIN(D1080*7919.123+ROW()*0.618+'הדבקת לידים'!$F$2*1.3))*43758.5453,1)*1000000)*10000+ROW(),"")</f>
        <v/>
      </c>
      <c r="F1080" s="0" t="str">
        <f aca="false">IF(E1080="","",RANK(E1080,$E$2:$E$5001,1))</f>
        <v/>
      </c>
      <c r="G1080" s="0" t="n">
        <f aca="false">IF(A1080="",0,IF(SUMPRODUCT(--($A$2:$A$5001=A1080))&gt;1,1,0))</f>
        <v>0</v>
      </c>
      <c r="H1080" s="0" t="n">
        <f aca="false">ROW()-1</f>
        <v>1079</v>
      </c>
      <c r="I1080" s="0" t="str">
        <f aca="false">IF(OR(הגדרות!$E$6=0,H1080&gt;הגדרות!$E$5),"",IF(H1080-1&lt;הגדרות!$E$8*(הגדרות!$E$7+1),INT((H1080-1)/(הגדרות!$E$7+1)),הגדרות!$E$8+INT((H1080-1-הגדרות!$E$8*(הגדרות!$E$7+1))/הגדרות!$E$7)))</f>
        <v/>
      </c>
      <c r="J1080" s="0" t="str">
        <f aca="false">IF(I1080="","",IF(H1080-1&lt;הגדרות!$E$8*(הגדרות!$E$7+1),MOD(H1080-1,הגדרות!$E$7+1),MOD(H1080-1-הגדרות!$E$8*(הגדרות!$E$7+1),הגדרות!$E$7)))</f>
        <v/>
      </c>
      <c r="K1080" s="0" t="str">
        <f aca="false">IF(I1080="","",J1080*הגדרות!$E$6+I1080+1)</f>
        <v/>
      </c>
      <c r="L1080" s="0" t="str">
        <f aca="false">IF(K1080="","",MATCH(K1080,$F$2:$F$5001,0))</f>
        <v/>
      </c>
      <c r="M1080" s="0" t="str">
        <f aca="false">IF(I1080="","",INDEX(הגדרות!$A$2:$A$21,MOD(I1080+הגדרות!$E$9,הגדרות!$E$6)+1))</f>
        <v/>
      </c>
    </row>
    <row r="1081" customFormat="false" ht="15" hidden="false" customHeight="false" outlineLevel="0" collapsed="false">
      <c r="A1081" s="0" t="str">
        <f aca="false">IF('הדבקת לידים'!A1081="","",IF(ISNUMBER('הדבקת לידים'!A1081),IF(הגדרות!$E$2&gt;0,TEXT('הדבקת לידים'!A1081,REPT("0",הגדרות!$E$2)),TEXT('הדבקת לידים'!A1081,"0")),TRIM('הדבקת לידים'!A1081)))</f>
        <v/>
      </c>
      <c r="B1081" s="0" t="str">
        <f aca="false">IF('הדבקת לידים'!B1081="","",IF(ISNUMBER('הדבקת לידים'!B1081),IF(הגדרות!$E$3&gt;0,TEXT('הדבקת לידים'!B1081,REPT("0",הגדרות!$E$3)),TEXT('הדבקת לידים'!B1081,"0")),TRIM('הדבקת לידים'!B1081)))</f>
        <v/>
      </c>
      <c r="C1081" s="0" t="n">
        <f aca="false">IF(OR(A1081&lt;&gt;"",B1081&lt;&gt;""),1,0)</f>
        <v>0</v>
      </c>
      <c r="D1081" s="0" t="str">
        <f aca="false">IF(C1081=1,MOD(ABS(SIN(ROW()*12.9898+'הדבקת לידים'!$F$2*78.233+IFERROR(--RIGHT(A1081,6),LEN(A1081))*0.0137+IFERROR(--RIGHT(B1081,6),LEN(B1081))*0.0071))*43758.5453,1),"")</f>
        <v/>
      </c>
      <c r="E1081" s="0" t="str">
        <f aca="false">IF(C1081=1,INT(MOD(ABS(SIN(D1081*7919.123+ROW()*0.618+'הדבקת לידים'!$F$2*1.3))*43758.5453,1)*1000000)*10000+ROW(),"")</f>
        <v/>
      </c>
      <c r="F1081" s="0" t="str">
        <f aca="false">IF(E1081="","",RANK(E1081,$E$2:$E$5001,1))</f>
        <v/>
      </c>
      <c r="G1081" s="0" t="n">
        <f aca="false">IF(A1081="",0,IF(SUMPRODUCT(--($A$2:$A$5001=A1081))&gt;1,1,0))</f>
        <v>0</v>
      </c>
      <c r="H1081" s="0" t="n">
        <f aca="false">ROW()-1</f>
        <v>1080</v>
      </c>
      <c r="I1081" s="0" t="str">
        <f aca="false">IF(OR(הגדרות!$E$6=0,H1081&gt;הגדרות!$E$5),"",IF(H1081-1&lt;הגדרות!$E$8*(הגדרות!$E$7+1),INT((H1081-1)/(הגדרות!$E$7+1)),הגדרות!$E$8+INT((H1081-1-הגדרות!$E$8*(הגדרות!$E$7+1))/הגדרות!$E$7)))</f>
        <v/>
      </c>
      <c r="J1081" s="0" t="str">
        <f aca="false">IF(I1081="","",IF(H1081-1&lt;הגדרות!$E$8*(הגדרות!$E$7+1),MOD(H1081-1,הגדרות!$E$7+1),MOD(H1081-1-הגדרות!$E$8*(הגדרות!$E$7+1),הגדרות!$E$7)))</f>
        <v/>
      </c>
      <c r="K1081" s="0" t="str">
        <f aca="false">IF(I1081="","",J1081*הגדרות!$E$6+I1081+1)</f>
        <v/>
      </c>
      <c r="L1081" s="0" t="str">
        <f aca="false">IF(K1081="","",MATCH(K1081,$F$2:$F$5001,0))</f>
        <v/>
      </c>
      <c r="M1081" s="0" t="str">
        <f aca="false">IF(I1081="","",INDEX(הגדרות!$A$2:$A$21,MOD(I1081+הגדרות!$E$9,הגדרות!$E$6)+1))</f>
        <v/>
      </c>
    </row>
    <row r="1082" customFormat="false" ht="15" hidden="false" customHeight="false" outlineLevel="0" collapsed="false">
      <c r="A1082" s="0" t="str">
        <f aca="false">IF('הדבקת לידים'!A1082="","",IF(ISNUMBER('הדבקת לידים'!A1082),IF(הגדרות!$E$2&gt;0,TEXT('הדבקת לידים'!A1082,REPT("0",הגדרות!$E$2)),TEXT('הדבקת לידים'!A1082,"0")),TRIM('הדבקת לידים'!A1082)))</f>
        <v/>
      </c>
      <c r="B1082" s="0" t="str">
        <f aca="false">IF('הדבקת לידים'!B1082="","",IF(ISNUMBER('הדבקת לידים'!B1082),IF(הגדרות!$E$3&gt;0,TEXT('הדבקת לידים'!B1082,REPT("0",הגדרות!$E$3)),TEXT('הדבקת לידים'!B1082,"0")),TRIM('הדבקת לידים'!B1082)))</f>
        <v/>
      </c>
      <c r="C1082" s="0" t="n">
        <f aca="false">IF(OR(A1082&lt;&gt;"",B1082&lt;&gt;""),1,0)</f>
        <v>0</v>
      </c>
      <c r="D1082" s="0" t="str">
        <f aca="false">IF(C1082=1,MOD(ABS(SIN(ROW()*12.9898+'הדבקת לידים'!$F$2*78.233+IFERROR(--RIGHT(A1082,6),LEN(A1082))*0.0137+IFERROR(--RIGHT(B1082,6),LEN(B1082))*0.0071))*43758.5453,1),"")</f>
        <v/>
      </c>
      <c r="E1082" s="0" t="str">
        <f aca="false">IF(C1082=1,INT(MOD(ABS(SIN(D1082*7919.123+ROW()*0.618+'הדבקת לידים'!$F$2*1.3))*43758.5453,1)*1000000)*10000+ROW(),"")</f>
        <v/>
      </c>
      <c r="F1082" s="0" t="str">
        <f aca="false">IF(E1082="","",RANK(E1082,$E$2:$E$5001,1))</f>
        <v/>
      </c>
      <c r="G1082" s="0" t="n">
        <f aca="false">IF(A1082="",0,IF(SUMPRODUCT(--($A$2:$A$5001=A1082))&gt;1,1,0))</f>
        <v>0</v>
      </c>
      <c r="H1082" s="0" t="n">
        <f aca="false">ROW()-1</f>
        <v>1081</v>
      </c>
      <c r="I1082" s="0" t="str">
        <f aca="false">IF(OR(הגדרות!$E$6=0,H1082&gt;הגדרות!$E$5),"",IF(H1082-1&lt;הגדרות!$E$8*(הגדרות!$E$7+1),INT((H1082-1)/(הגדרות!$E$7+1)),הגדרות!$E$8+INT((H1082-1-הגדרות!$E$8*(הגדרות!$E$7+1))/הגדרות!$E$7)))</f>
        <v/>
      </c>
      <c r="J1082" s="0" t="str">
        <f aca="false">IF(I1082="","",IF(H1082-1&lt;הגדרות!$E$8*(הגדרות!$E$7+1),MOD(H1082-1,הגדרות!$E$7+1),MOD(H1082-1-הגדרות!$E$8*(הגדרות!$E$7+1),הגדרות!$E$7)))</f>
        <v/>
      </c>
      <c r="K1082" s="0" t="str">
        <f aca="false">IF(I1082="","",J1082*הגדרות!$E$6+I1082+1)</f>
        <v/>
      </c>
      <c r="L1082" s="0" t="str">
        <f aca="false">IF(K1082="","",MATCH(K1082,$F$2:$F$5001,0))</f>
        <v/>
      </c>
      <c r="M1082" s="0" t="str">
        <f aca="false">IF(I1082="","",INDEX(הגדרות!$A$2:$A$21,MOD(I1082+הגדרות!$E$9,הגדרות!$E$6)+1))</f>
        <v/>
      </c>
    </row>
    <row r="1083" customFormat="false" ht="15" hidden="false" customHeight="false" outlineLevel="0" collapsed="false">
      <c r="A1083" s="0" t="str">
        <f aca="false">IF('הדבקת לידים'!A1083="","",IF(ISNUMBER('הדבקת לידים'!A1083),IF(הגדרות!$E$2&gt;0,TEXT('הדבקת לידים'!A1083,REPT("0",הגדרות!$E$2)),TEXT('הדבקת לידים'!A1083,"0")),TRIM('הדבקת לידים'!A1083)))</f>
        <v/>
      </c>
      <c r="B1083" s="0" t="str">
        <f aca="false">IF('הדבקת לידים'!B1083="","",IF(ISNUMBER('הדבקת לידים'!B1083),IF(הגדרות!$E$3&gt;0,TEXT('הדבקת לידים'!B1083,REPT("0",הגדרות!$E$3)),TEXT('הדבקת לידים'!B1083,"0")),TRIM('הדבקת לידים'!B1083)))</f>
        <v/>
      </c>
      <c r="C1083" s="0" t="n">
        <f aca="false">IF(OR(A1083&lt;&gt;"",B1083&lt;&gt;""),1,0)</f>
        <v>0</v>
      </c>
      <c r="D1083" s="0" t="str">
        <f aca="false">IF(C1083=1,MOD(ABS(SIN(ROW()*12.9898+'הדבקת לידים'!$F$2*78.233+IFERROR(--RIGHT(A1083,6),LEN(A1083))*0.0137+IFERROR(--RIGHT(B1083,6),LEN(B1083))*0.0071))*43758.5453,1),"")</f>
        <v/>
      </c>
      <c r="E1083" s="0" t="str">
        <f aca="false">IF(C1083=1,INT(MOD(ABS(SIN(D1083*7919.123+ROW()*0.618+'הדבקת לידים'!$F$2*1.3))*43758.5453,1)*1000000)*10000+ROW(),"")</f>
        <v/>
      </c>
      <c r="F1083" s="0" t="str">
        <f aca="false">IF(E1083="","",RANK(E1083,$E$2:$E$5001,1))</f>
        <v/>
      </c>
      <c r="G1083" s="0" t="n">
        <f aca="false">IF(A1083="",0,IF(SUMPRODUCT(--($A$2:$A$5001=A1083))&gt;1,1,0))</f>
        <v>0</v>
      </c>
      <c r="H1083" s="0" t="n">
        <f aca="false">ROW()-1</f>
        <v>1082</v>
      </c>
      <c r="I1083" s="0" t="str">
        <f aca="false">IF(OR(הגדרות!$E$6=0,H1083&gt;הגדרות!$E$5),"",IF(H1083-1&lt;הגדרות!$E$8*(הגדרות!$E$7+1),INT((H1083-1)/(הגדרות!$E$7+1)),הגדרות!$E$8+INT((H1083-1-הגדרות!$E$8*(הגדרות!$E$7+1))/הגדרות!$E$7)))</f>
        <v/>
      </c>
      <c r="J1083" s="0" t="str">
        <f aca="false">IF(I1083="","",IF(H1083-1&lt;הגדרות!$E$8*(הגדרות!$E$7+1),MOD(H1083-1,הגדרות!$E$7+1),MOD(H1083-1-הגדרות!$E$8*(הגדרות!$E$7+1),הגדרות!$E$7)))</f>
        <v/>
      </c>
      <c r="K1083" s="0" t="str">
        <f aca="false">IF(I1083="","",J1083*הגדרות!$E$6+I1083+1)</f>
        <v/>
      </c>
      <c r="L1083" s="0" t="str">
        <f aca="false">IF(K1083="","",MATCH(K1083,$F$2:$F$5001,0))</f>
        <v/>
      </c>
      <c r="M1083" s="0" t="str">
        <f aca="false">IF(I1083="","",INDEX(הגדרות!$A$2:$A$21,MOD(I1083+הגדרות!$E$9,הגדרות!$E$6)+1))</f>
        <v/>
      </c>
    </row>
    <row r="1084" customFormat="false" ht="15" hidden="false" customHeight="false" outlineLevel="0" collapsed="false">
      <c r="A1084" s="0" t="str">
        <f aca="false">IF('הדבקת לידים'!A1084="","",IF(ISNUMBER('הדבקת לידים'!A1084),IF(הגדרות!$E$2&gt;0,TEXT('הדבקת לידים'!A1084,REPT("0",הגדרות!$E$2)),TEXT('הדבקת לידים'!A1084,"0")),TRIM('הדבקת לידים'!A1084)))</f>
        <v/>
      </c>
      <c r="B1084" s="0" t="str">
        <f aca="false">IF('הדבקת לידים'!B1084="","",IF(ISNUMBER('הדבקת לידים'!B1084),IF(הגדרות!$E$3&gt;0,TEXT('הדבקת לידים'!B1084,REPT("0",הגדרות!$E$3)),TEXT('הדבקת לידים'!B1084,"0")),TRIM('הדבקת לידים'!B1084)))</f>
        <v/>
      </c>
      <c r="C1084" s="0" t="n">
        <f aca="false">IF(OR(A1084&lt;&gt;"",B1084&lt;&gt;""),1,0)</f>
        <v>0</v>
      </c>
      <c r="D1084" s="0" t="str">
        <f aca="false">IF(C1084=1,MOD(ABS(SIN(ROW()*12.9898+'הדבקת לידים'!$F$2*78.233+IFERROR(--RIGHT(A1084,6),LEN(A1084))*0.0137+IFERROR(--RIGHT(B1084,6),LEN(B1084))*0.0071))*43758.5453,1),"")</f>
        <v/>
      </c>
      <c r="E1084" s="0" t="str">
        <f aca="false">IF(C1084=1,INT(MOD(ABS(SIN(D1084*7919.123+ROW()*0.618+'הדבקת לידים'!$F$2*1.3))*43758.5453,1)*1000000)*10000+ROW(),"")</f>
        <v/>
      </c>
      <c r="F1084" s="0" t="str">
        <f aca="false">IF(E1084="","",RANK(E1084,$E$2:$E$5001,1))</f>
        <v/>
      </c>
      <c r="G1084" s="0" t="n">
        <f aca="false">IF(A1084="",0,IF(SUMPRODUCT(--($A$2:$A$5001=A1084))&gt;1,1,0))</f>
        <v>0</v>
      </c>
      <c r="H1084" s="0" t="n">
        <f aca="false">ROW()-1</f>
        <v>1083</v>
      </c>
      <c r="I1084" s="0" t="str">
        <f aca="false">IF(OR(הגדרות!$E$6=0,H1084&gt;הגדרות!$E$5),"",IF(H1084-1&lt;הגדרות!$E$8*(הגדרות!$E$7+1),INT((H1084-1)/(הגדרות!$E$7+1)),הגדרות!$E$8+INT((H1084-1-הגדרות!$E$8*(הגדרות!$E$7+1))/הגדרות!$E$7)))</f>
        <v/>
      </c>
      <c r="J1084" s="0" t="str">
        <f aca="false">IF(I1084="","",IF(H1084-1&lt;הגדרות!$E$8*(הגדרות!$E$7+1),MOD(H1084-1,הגדרות!$E$7+1),MOD(H1084-1-הגדרות!$E$8*(הגדרות!$E$7+1),הגדרות!$E$7)))</f>
        <v/>
      </c>
      <c r="K1084" s="0" t="str">
        <f aca="false">IF(I1084="","",J1084*הגדרות!$E$6+I1084+1)</f>
        <v/>
      </c>
      <c r="L1084" s="0" t="str">
        <f aca="false">IF(K1084="","",MATCH(K1084,$F$2:$F$5001,0))</f>
        <v/>
      </c>
      <c r="M1084" s="0" t="str">
        <f aca="false">IF(I1084="","",INDEX(הגדרות!$A$2:$A$21,MOD(I1084+הגדרות!$E$9,הגדרות!$E$6)+1))</f>
        <v/>
      </c>
    </row>
    <row r="1085" customFormat="false" ht="15" hidden="false" customHeight="false" outlineLevel="0" collapsed="false">
      <c r="A1085" s="0" t="str">
        <f aca="false">IF('הדבקת לידים'!A1085="","",IF(ISNUMBER('הדבקת לידים'!A1085),IF(הגדרות!$E$2&gt;0,TEXT('הדבקת לידים'!A1085,REPT("0",הגדרות!$E$2)),TEXT('הדבקת לידים'!A1085,"0")),TRIM('הדבקת לידים'!A1085)))</f>
        <v/>
      </c>
      <c r="B1085" s="0" t="str">
        <f aca="false">IF('הדבקת לידים'!B1085="","",IF(ISNUMBER('הדבקת לידים'!B1085),IF(הגדרות!$E$3&gt;0,TEXT('הדבקת לידים'!B1085,REPT("0",הגדרות!$E$3)),TEXT('הדבקת לידים'!B1085,"0")),TRIM('הדבקת לידים'!B1085)))</f>
        <v/>
      </c>
      <c r="C1085" s="0" t="n">
        <f aca="false">IF(OR(A1085&lt;&gt;"",B1085&lt;&gt;""),1,0)</f>
        <v>0</v>
      </c>
      <c r="D1085" s="0" t="str">
        <f aca="false">IF(C1085=1,MOD(ABS(SIN(ROW()*12.9898+'הדבקת לידים'!$F$2*78.233+IFERROR(--RIGHT(A1085,6),LEN(A1085))*0.0137+IFERROR(--RIGHT(B1085,6),LEN(B1085))*0.0071))*43758.5453,1),"")</f>
        <v/>
      </c>
      <c r="E1085" s="0" t="str">
        <f aca="false">IF(C1085=1,INT(MOD(ABS(SIN(D1085*7919.123+ROW()*0.618+'הדבקת לידים'!$F$2*1.3))*43758.5453,1)*1000000)*10000+ROW(),"")</f>
        <v/>
      </c>
      <c r="F1085" s="0" t="str">
        <f aca="false">IF(E1085="","",RANK(E1085,$E$2:$E$5001,1))</f>
        <v/>
      </c>
      <c r="G1085" s="0" t="n">
        <f aca="false">IF(A1085="",0,IF(SUMPRODUCT(--($A$2:$A$5001=A1085))&gt;1,1,0))</f>
        <v>0</v>
      </c>
      <c r="H1085" s="0" t="n">
        <f aca="false">ROW()-1</f>
        <v>1084</v>
      </c>
      <c r="I1085" s="0" t="str">
        <f aca="false">IF(OR(הגדרות!$E$6=0,H1085&gt;הגדרות!$E$5),"",IF(H1085-1&lt;הגדרות!$E$8*(הגדרות!$E$7+1),INT((H1085-1)/(הגדרות!$E$7+1)),הגדרות!$E$8+INT((H1085-1-הגדרות!$E$8*(הגדרות!$E$7+1))/הגדרות!$E$7)))</f>
        <v/>
      </c>
      <c r="J1085" s="0" t="str">
        <f aca="false">IF(I1085="","",IF(H1085-1&lt;הגדרות!$E$8*(הגדרות!$E$7+1),MOD(H1085-1,הגדרות!$E$7+1),MOD(H1085-1-הגדרות!$E$8*(הגדרות!$E$7+1),הגדרות!$E$7)))</f>
        <v/>
      </c>
      <c r="K1085" s="0" t="str">
        <f aca="false">IF(I1085="","",J1085*הגדרות!$E$6+I1085+1)</f>
        <v/>
      </c>
      <c r="L1085" s="0" t="str">
        <f aca="false">IF(K1085="","",MATCH(K1085,$F$2:$F$5001,0))</f>
        <v/>
      </c>
      <c r="M1085" s="0" t="str">
        <f aca="false">IF(I1085="","",INDEX(הגדרות!$A$2:$A$21,MOD(I1085+הגדרות!$E$9,הגדרות!$E$6)+1))</f>
        <v/>
      </c>
    </row>
    <row r="1086" customFormat="false" ht="15" hidden="false" customHeight="false" outlineLevel="0" collapsed="false">
      <c r="A1086" s="0" t="str">
        <f aca="false">IF('הדבקת לידים'!A1086="","",IF(ISNUMBER('הדבקת לידים'!A1086),IF(הגדרות!$E$2&gt;0,TEXT('הדבקת לידים'!A1086,REPT("0",הגדרות!$E$2)),TEXT('הדבקת לידים'!A1086,"0")),TRIM('הדבקת לידים'!A1086)))</f>
        <v/>
      </c>
      <c r="B1086" s="0" t="str">
        <f aca="false">IF('הדבקת לידים'!B1086="","",IF(ISNUMBER('הדבקת לידים'!B1086),IF(הגדרות!$E$3&gt;0,TEXT('הדבקת לידים'!B1086,REPT("0",הגדרות!$E$3)),TEXT('הדבקת לידים'!B1086,"0")),TRIM('הדבקת לידים'!B1086)))</f>
        <v/>
      </c>
      <c r="C1086" s="0" t="n">
        <f aca="false">IF(OR(A1086&lt;&gt;"",B1086&lt;&gt;""),1,0)</f>
        <v>0</v>
      </c>
      <c r="D1086" s="0" t="str">
        <f aca="false">IF(C1086=1,MOD(ABS(SIN(ROW()*12.9898+'הדבקת לידים'!$F$2*78.233+IFERROR(--RIGHT(A1086,6),LEN(A1086))*0.0137+IFERROR(--RIGHT(B1086,6),LEN(B1086))*0.0071))*43758.5453,1),"")</f>
        <v/>
      </c>
      <c r="E1086" s="0" t="str">
        <f aca="false">IF(C1086=1,INT(MOD(ABS(SIN(D1086*7919.123+ROW()*0.618+'הדבקת לידים'!$F$2*1.3))*43758.5453,1)*1000000)*10000+ROW(),"")</f>
        <v/>
      </c>
      <c r="F1086" s="0" t="str">
        <f aca="false">IF(E1086="","",RANK(E1086,$E$2:$E$5001,1))</f>
        <v/>
      </c>
      <c r="G1086" s="0" t="n">
        <f aca="false">IF(A1086="",0,IF(SUMPRODUCT(--($A$2:$A$5001=A1086))&gt;1,1,0))</f>
        <v>0</v>
      </c>
      <c r="H1086" s="0" t="n">
        <f aca="false">ROW()-1</f>
        <v>1085</v>
      </c>
      <c r="I1086" s="0" t="str">
        <f aca="false">IF(OR(הגדרות!$E$6=0,H1086&gt;הגדרות!$E$5),"",IF(H1086-1&lt;הגדרות!$E$8*(הגדרות!$E$7+1),INT((H1086-1)/(הגדרות!$E$7+1)),הגדרות!$E$8+INT((H1086-1-הגדרות!$E$8*(הגדרות!$E$7+1))/הגדרות!$E$7)))</f>
        <v/>
      </c>
      <c r="J1086" s="0" t="str">
        <f aca="false">IF(I1086="","",IF(H1086-1&lt;הגדרות!$E$8*(הגדרות!$E$7+1),MOD(H1086-1,הגדרות!$E$7+1),MOD(H1086-1-הגדרות!$E$8*(הגדרות!$E$7+1),הגדרות!$E$7)))</f>
        <v/>
      </c>
      <c r="K1086" s="0" t="str">
        <f aca="false">IF(I1086="","",J1086*הגדרות!$E$6+I1086+1)</f>
        <v/>
      </c>
      <c r="L1086" s="0" t="str">
        <f aca="false">IF(K1086="","",MATCH(K1086,$F$2:$F$5001,0))</f>
        <v/>
      </c>
      <c r="M1086" s="0" t="str">
        <f aca="false">IF(I1086="","",INDEX(הגדרות!$A$2:$A$21,MOD(I1086+הגדרות!$E$9,הגדרות!$E$6)+1))</f>
        <v/>
      </c>
    </row>
    <row r="1087" customFormat="false" ht="15" hidden="false" customHeight="false" outlineLevel="0" collapsed="false">
      <c r="A1087" s="0" t="str">
        <f aca="false">IF('הדבקת לידים'!A1087="","",IF(ISNUMBER('הדבקת לידים'!A1087),IF(הגדרות!$E$2&gt;0,TEXT('הדבקת לידים'!A1087,REPT("0",הגדרות!$E$2)),TEXT('הדבקת לידים'!A1087,"0")),TRIM('הדבקת לידים'!A1087)))</f>
        <v/>
      </c>
      <c r="B1087" s="0" t="str">
        <f aca="false">IF('הדבקת לידים'!B1087="","",IF(ISNUMBER('הדבקת לידים'!B1087),IF(הגדרות!$E$3&gt;0,TEXT('הדבקת לידים'!B1087,REPT("0",הגדרות!$E$3)),TEXT('הדבקת לידים'!B1087,"0")),TRIM('הדבקת לידים'!B1087)))</f>
        <v/>
      </c>
      <c r="C1087" s="0" t="n">
        <f aca="false">IF(OR(A1087&lt;&gt;"",B1087&lt;&gt;""),1,0)</f>
        <v>0</v>
      </c>
      <c r="D1087" s="0" t="str">
        <f aca="false">IF(C1087=1,MOD(ABS(SIN(ROW()*12.9898+'הדבקת לידים'!$F$2*78.233+IFERROR(--RIGHT(A1087,6),LEN(A1087))*0.0137+IFERROR(--RIGHT(B1087,6),LEN(B1087))*0.0071))*43758.5453,1),"")</f>
        <v/>
      </c>
      <c r="E1087" s="0" t="str">
        <f aca="false">IF(C1087=1,INT(MOD(ABS(SIN(D1087*7919.123+ROW()*0.618+'הדבקת לידים'!$F$2*1.3))*43758.5453,1)*1000000)*10000+ROW(),"")</f>
        <v/>
      </c>
      <c r="F1087" s="0" t="str">
        <f aca="false">IF(E1087="","",RANK(E1087,$E$2:$E$5001,1))</f>
        <v/>
      </c>
      <c r="G1087" s="0" t="n">
        <f aca="false">IF(A1087="",0,IF(SUMPRODUCT(--($A$2:$A$5001=A1087))&gt;1,1,0))</f>
        <v>0</v>
      </c>
      <c r="H1087" s="0" t="n">
        <f aca="false">ROW()-1</f>
        <v>1086</v>
      </c>
      <c r="I1087" s="0" t="str">
        <f aca="false">IF(OR(הגדרות!$E$6=0,H1087&gt;הגדרות!$E$5),"",IF(H1087-1&lt;הגדרות!$E$8*(הגדרות!$E$7+1),INT((H1087-1)/(הגדרות!$E$7+1)),הגדרות!$E$8+INT((H1087-1-הגדרות!$E$8*(הגדרות!$E$7+1))/הגדרות!$E$7)))</f>
        <v/>
      </c>
      <c r="J1087" s="0" t="str">
        <f aca="false">IF(I1087="","",IF(H1087-1&lt;הגדרות!$E$8*(הגדרות!$E$7+1),MOD(H1087-1,הגדרות!$E$7+1),MOD(H1087-1-הגדרות!$E$8*(הגדרות!$E$7+1),הגדרות!$E$7)))</f>
        <v/>
      </c>
      <c r="K1087" s="0" t="str">
        <f aca="false">IF(I1087="","",J1087*הגדרות!$E$6+I1087+1)</f>
        <v/>
      </c>
      <c r="L1087" s="0" t="str">
        <f aca="false">IF(K1087="","",MATCH(K1087,$F$2:$F$5001,0))</f>
        <v/>
      </c>
      <c r="M1087" s="0" t="str">
        <f aca="false">IF(I1087="","",INDEX(הגדרות!$A$2:$A$21,MOD(I1087+הגדרות!$E$9,הגדרות!$E$6)+1))</f>
        <v/>
      </c>
    </row>
    <row r="1088" customFormat="false" ht="15" hidden="false" customHeight="false" outlineLevel="0" collapsed="false">
      <c r="A1088" s="0" t="str">
        <f aca="false">IF('הדבקת לידים'!A1088="","",IF(ISNUMBER('הדבקת לידים'!A1088),IF(הגדרות!$E$2&gt;0,TEXT('הדבקת לידים'!A1088,REPT("0",הגדרות!$E$2)),TEXT('הדבקת לידים'!A1088,"0")),TRIM('הדבקת לידים'!A1088)))</f>
        <v/>
      </c>
      <c r="B1088" s="0" t="str">
        <f aca="false">IF('הדבקת לידים'!B1088="","",IF(ISNUMBER('הדבקת לידים'!B1088),IF(הגדרות!$E$3&gt;0,TEXT('הדבקת לידים'!B1088,REPT("0",הגדרות!$E$3)),TEXT('הדבקת לידים'!B1088,"0")),TRIM('הדבקת לידים'!B1088)))</f>
        <v/>
      </c>
      <c r="C1088" s="0" t="n">
        <f aca="false">IF(OR(A1088&lt;&gt;"",B1088&lt;&gt;""),1,0)</f>
        <v>0</v>
      </c>
      <c r="D1088" s="0" t="str">
        <f aca="false">IF(C1088=1,MOD(ABS(SIN(ROW()*12.9898+'הדבקת לידים'!$F$2*78.233+IFERROR(--RIGHT(A1088,6),LEN(A1088))*0.0137+IFERROR(--RIGHT(B1088,6),LEN(B1088))*0.0071))*43758.5453,1),"")</f>
        <v/>
      </c>
      <c r="E1088" s="0" t="str">
        <f aca="false">IF(C1088=1,INT(MOD(ABS(SIN(D1088*7919.123+ROW()*0.618+'הדבקת לידים'!$F$2*1.3))*43758.5453,1)*1000000)*10000+ROW(),"")</f>
        <v/>
      </c>
      <c r="F1088" s="0" t="str">
        <f aca="false">IF(E1088="","",RANK(E1088,$E$2:$E$5001,1))</f>
        <v/>
      </c>
      <c r="G1088" s="0" t="n">
        <f aca="false">IF(A1088="",0,IF(SUMPRODUCT(--($A$2:$A$5001=A1088))&gt;1,1,0))</f>
        <v>0</v>
      </c>
      <c r="H1088" s="0" t="n">
        <f aca="false">ROW()-1</f>
        <v>1087</v>
      </c>
      <c r="I1088" s="0" t="str">
        <f aca="false">IF(OR(הגדרות!$E$6=0,H1088&gt;הגדרות!$E$5),"",IF(H1088-1&lt;הגדרות!$E$8*(הגדרות!$E$7+1),INT((H1088-1)/(הגדרות!$E$7+1)),הגדרות!$E$8+INT((H1088-1-הגדרות!$E$8*(הגדרות!$E$7+1))/הגדרות!$E$7)))</f>
        <v/>
      </c>
      <c r="J1088" s="0" t="str">
        <f aca="false">IF(I1088="","",IF(H1088-1&lt;הגדרות!$E$8*(הגדרות!$E$7+1),MOD(H1088-1,הגדרות!$E$7+1),MOD(H1088-1-הגדרות!$E$8*(הגדרות!$E$7+1),הגדרות!$E$7)))</f>
        <v/>
      </c>
      <c r="K1088" s="0" t="str">
        <f aca="false">IF(I1088="","",J1088*הגדרות!$E$6+I1088+1)</f>
        <v/>
      </c>
      <c r="L1088" s="0" t="str">
        <f aca="false">IF(K1088="","",MATCH(K1088,$F$2:$F$5001,0))</f>
        <v/>
      </c>
      <c r="M1088" s="0" t="str">
        <f aca="false">IF(I1088="","",INDEX(הגדרות!$A$2:$A$21,MOD(I1088+הגדרות!$E$9,הגדרות!$E$6)+1))</f>
        <v/>
      </c>
    </row>
    <row r="1089" customFormat="false" ht="15" hidden="false" customHeight="false" outlineLevel="0" collapsed="false">
      <c r="A1089" s="0" t="str">
        <f aca="false">IF('הדבקת לידים'!A1089="","",IF(ISNUMBER('הדבקת לידים'!A1089),IF(הגדרות!$E$2&gt;0,TEXT('הדבקת לידים'!A1089,REPT("0",הגדרות!$E$2)),TEXT('הדבקת לידים'!A1089,"0")),TRIM('הדבקת לידים'!A1089)))</f>
        <v/>
      </c>
      <c r="B1089" s="0" t="str">
        <f aca="false">IF('הדבקת לידים'!B1089="","",IF(ISNUMBER('הדבקת לידים'!B1089),IF(הגדרות!$E$3&gt;0,TEXT('הדבקת לידים'!B1089,REPT("0",הגדרות!$E$3)),TEXT('הדבקת לידים'!B1089,"0")),TRIM('הדבקת לידים'!B1089)))</f>
        <v/>
      </c>
      <c r="C1089" s="0" t="n">
        <f aca="false">IF(OR(A1089&lt;&gt;"",B1089&lt;&gt;""),1,0)</f>
        <v>0</v>
      </c>
      <c r="D1089" s="0" t="str">
        <f aca="false">IF(C1089=1,MOD(ABS(SIN(ROW()*12.9898+'הדבקת לידים'!$F$2*78.233+IFERROR(--RIGHT(A1089,6),LEN(A1089))*0.0137+IFERROR(--RIGHT(B1089,6),LEN(B1089))*0.0071))*43758.5453,1),"")</f>
        <v/>
      </c>
      <c r="E1089" s="0" t="str">
        <f aca="false">IF(C1089=1,INT(MOD(ABS(SIN(D1089*7919.123+ROW()*0.618+'הדבקת לידים'!$F$2*1.3))*43758.5453,1)*1000000)*10000+ROW(),"")</f>
        <v/>
      </c>
      <c r="F1089" s="0" t="str">
        <f aca="false">IF(E1089="","",RANK(E1089,$E$2:$E$5001,1))</f>
        <v/>
      </c>
      <c r="G1089" s="0" t="n">
        <f aca="false">IF(A1089="",0,IF(SUMPRODUCT(--($A$2:$A$5001=A1089))&gt;1,1,0))</f>
        <v>0</v>
      </c>
      <c r="H1089" s="0" t="n">
        <f aca="false">ROW()-1</f>
        <v>1088</v>
      </c>
      <c r="I1089" s="0" t="str">
        <f aca="false">IF(OR(הגדרות!$E$6=0,H1089&gt;הגדרות!$E$5),"",IF(H1089-1&lt;הגדרות!$E$8*(הגדרות!$E$7+1),INT((H1089-1)/(הגדרות!$E$7+1)),הגדרות!$E$8+INT((H1089-1-הגדרות!$E$8*(הגדרות!$E$7+1))/הגדרות!$E$7)))</f>
        <v/>
      </c>
      <c r="J1089" s="0" t="str">
        <f aca="false">IF(I1089="","",IF(H1089-1&lt;הגדרות!$E$8*(הגדרות!$E$7+1),MOD(H1089-1,הגדרות!$E$7+1),MOD(H1089-1-הגדרות!$E$8*(הגדרות!$E$7+1),הגדרות!$E$7)))</f>
        <v/>
      </c>
      <c r="K1089" s="0" t="str">
        <f aca="false">IF(I1089="","",J1089*הגדרות!$E$6+I1089+1)</f>
        <v/>
      </c>
      <c r="L1089" s="0" t="str">
        <f aca="false">IF(K1089="","",MATCH(K1089,$F$2:$F$5001,0))</f>
        <v/>
      </c>
      <c r="M1089" s="0" t="str">
        <f aca="false">IF(I1089="","",INDEX(הגדרות!$A$2:$A$21,MOD(I1089+הגדרות!$E$9,הגדרות!$E$6)+1))</f>
        <v/>
      </c>
    </row>
    <row r="1090" customFormat="false" ht="15" hidden="false" customHeight="false" outlineLevel="0" collapsed="false">
      <c r="A1090" s="0" t="str">
        <f aca="false">IF('הדבקת לידים'!A1090="","",IF(ISNUMBER('הדבקת לידים'!A1090),IF(הגדרות!$E$2&gt;0,TEXT('הדבקת לידים'!A1090,REPT("0",הגדרות!$E$2)),TEXT('הדבקת לידים'!A1090,"0")),TRIM('הדבקת לידים'!A1090)))</f>
        <v/>
      </c>
      <c r="B1090" s="0" t="str">
        <f aca="false">IF('הדבקת לידים'!B1090="","",IF(ISNUMBER('הדבקת לידים'!B1090),IF(הגדרות!$E$3&gt;0,TEXT('הדבקת לידים'!B1090,REPT("0",הגדרות!$E$3)),TEXT('הדבקת לידים'!B1090,"0")),TRIM('הדבקת לידים'!B1090)))</f>
        <v/>
      </c>
      <c r="C1090" s="0" t="n">
        <f aca="false">IF(OR(A1090&lt;&gt;"",B1090&lt;&gt;""),1,0)</f>
        <v>0</v>
      </c>
      <c r="D1090" s="0" t="str">
        <f aca="false">IF(C1090=1,MOD(ABS(SIN(ROW()*12.9898+'הדבקת לידים'!$F$2*78.233+IFERROR(--RIGHT(A1090,6),LEN(A1090))*0.0137+IFERROR(--RIGHT(B1090,6),LEN(B1090))*0.0071))*43758.5453,1),"")</f>
        <v/>
      </c>
      <c r="E1090" s="0" t="str">
        <f aca="false">IF(C1090=1,INT(MOD(ABS(SIN(D1090*7919.123+ROW()*0.618+'הדבקת לידים'!$F$2*1.3))*43758.5453,1)*1000000)*10000+ROW(),"")</f>
        <v/>
      </c>
      <c r="F1090" s="0" t="str">
        <f aca="false">IF(E1090="","",RANK(E1090,$E$2:$E$5001,1))</f>
        <v/>
      </c>
      <c r="G1090" s="0" t="n">
        <f aca="false">IF(A1090="",0,IF(SUMPRODUCT(--($A$2:$A$5001=A1090))&gt;1,1,0))</f>
        <v>0</v>
      </c>
      <c r="H1090" s="0" t="n">
        <f aca="false">ROW()-1</f>
        <v>1089</v>
      </c>
      <c r="I1090" s="0" t="str">
        <f aca="false">IF(OR(הגדרות!$E$6=0,H1090&gt;הגדרות!$E$5),"",IF(H1090-1&lt;הגדרות!$E$8*(הגדרות!$E$7+1),INT((H1090-1)/(הגדרות!$E$7+1)),הגדרות!$E$8+INT((H1090-1-הגדרות!$E$8*(הגדרות!$E$7+1))/הגדרות!$E$7)))</f>
        <v/>
      </c>
      <c r="J1090" s="0" t="str">
        <f aca="false">IF(I1090="","",IF(H1090-1&lt;הגדרות!$E$8*(הגדרות!$E$7+1),MOD(H1090-1,הגדרות!$E$7+1),MOD(H1090-1-הגדרות!$E$8*(הגדרות!$E$7+1),הגדרות!$E$7)))</f>
        <v/>
      </c>
      <c r="K1090" s="0" t="str">
        <f aca="false">IF(I1090="","",J1090*הגדרות!$E$6+I1090+1)</f>
        <v/>
      </c>
      <c r="L1090" s="0" t="str">
        <f aca="false">IF(K1090="","",MATCH(K1090,$F$2:$F$5001,0))</f>
        <v/>
      </c>
      <c r="M1090" s="0" t="str">
        <f aca="false">IF(I1090="","",INDEX(הגדרות!$A$2:$A$21,MOD(I1090+הגדרות!$E$9,הגדרות!$E$6)+1))</f>
        <v/>
      </c>
    </row>
    <row r="1091" customFormat="false" ht="15" hidden="false" customHeight="false" outlineLevel="0" collapsed="false">
      <c r="A1091" s="0" t="str">
        <f aca="false">IF('הדבקת לידים'!A1091="","",IF(ISNUMBER('הדבקת לידים'!A1091),IF(הגדרות!$E$2&gt;0,TEXT('הדבקת לידים'!A1091,REPT("0",הגדרות!$E$2)),TEXT('הדבקת לידים'!A1091,"0")),TRIM('הדבקת לידים'!A1091)))</f>
        <v/>
      </c>
      <c r="B1091" s="0" t="str">
        <f aca="false">IF('הדבקת לידים'!B1091="","",IF(ISNUMBER('הדבקת לידים'!B1091),IF(הגדרות!$E$3&gt;0,TEXT('הדבקת לידים'!B1091,REPT("0",הגדרות!$E$3)),TEXT('הדבקת לידים'!B1091,"0")),TRIM('הדבקת לידים'!B1091)))</f>
        <v/>
      </c>
      <c r="C1091" s="0" t="n">
        <f aca="false">IF(OR(A1091&lt;&gt;"",B1091&lt;&gt;""),1,0)</f>
        <v>0</v>
      </c>
      <c r="D1091" s="0" t="str">
        <f aca="false">IF(C1091=1,MOD(ABS(SIN(ROW()*12.9898+'הדבקת לידים'!$F$2*78.233+IFERROR(--RIGHT(A1091,6),LEN(A1091))*0.0137+IFERROR(--RIGHT(B1091,6),LEN(B1091))*0.0071))*43758.5453,1),"")</f>
        <v/>
      </c>
      <c r="E1091" s="0" t="str">
        <f aca="false">IF(C1091=1,INT(MOD(ABS(SIN(D1091*7919.123+ROW()*0.618+'הדבקת לידים'!$F$2*1.3))*43758.5453,1)*1000000)*10000+ROW(),"")</f>
        <v/>
      </c>
      <c r="F1091" s="0" t="str">
        <f aca="false">IF(E1091="","",RANK(E1091,$E$2:$E$5001,1))</f>
        <v/>
      </c>
      <c r="G1091" s="0" t="n">
        <f aca="false">IF(A1091="",0,IF(SUMPRODUCT(--($A$2:$A$5001=A1091))&gt;1,1,0))</f>
        <v>0</v>
      </c>
      <c r="H1091" s="0" t="n">
        <f aca="false">ROW()-1</f>
        <v>1090</v>
      </c>
      <c r="I1091" s="0" t="str">
        <f aca="false">IF(OR(הגדרות!$E$6=0,H1091&gt;הגדרות!$E$5),"",IF(H1091-1&lt;הגדרות!$E$8*(הגדרות!$E$7+1),INT((H1091-1)/(הגדרות!$E$7+1)),הגדרות!$E$8+INT((H1091-1-הגדרות!$E$8*(הגדרות!$E$7+1))/הגדרות!$E$7)))</f>
        <v/>
      </c>
      <c r="J1091" s="0" t="str">
        <f aca="false">IF(I1091="","",IF(H1091-1&lt;הגדרות!$E$8*(הגדרות!$E$7+1),MOD(H1091-1,הגדרות!$E$7+1),MOD(H1091-1-הגדרות!$E$8*(הגדרות!$E$7+1),הגדרות!$E$7)))</f>
        <v/>
      </c>
      <c r="K1091" s="0" t="str">
        <f aca="false">IF(I1091="","",J1091*הגדרות!$E$6+I1091+1)</f>
        <v/>
      </c>
      <c r="L1091" s="0" t="str">
        <f aca="false">IF(K1091="","",MATCH(K1091,$F$2:$F$5001,0))</f>
        <v/>
      </c>
      <c r="M1091" s="0" t="str">
        <f aca="false">IF(I1091="","",INDEX(הגדרות!$A$2:$A$21,MOD(I1091+הגדרות!$E$9,הגדרות!$E$6)+1))</f>
        <v/>
      </c>
    </row>
    <row r="1092" customFormat="false" ht="15" hidden="false" customHeight="false" outlineLevel="0" collapsed="false">
      <c r="A1092" s="0" t="str">
        <f aca="false">IF('הדבקת לידים'!A1092="","",IF(ISNUMBER('הדבקת לידים'!A1092),IF(הגדרות!$E$2&gt;0,TEXT('הדבקת לידים'!A1092,REPT("0",הגדרות!$E$2)),TEXT('הדבקת לידים'!A1092,"0")),TRIM('הדבקת לידים'!A1092)))</f>
        <v/>
      </c>
      <c r="B1092" s="0" t="str">
        <f aca="false">IF('הדבקת לידים'!B1092="","",IF(ISNUMBER('הדבקת לידים'!B1092),IF(הגדרות!$E$3&gt;0,TEXT('הדבקת לידים'!B1092,REPT("0",הגדרות!$E$3)),TEXT('הדבקת לידים'!B1092,"0")),TRIM('הדבקת לידים'!B1092)))</f>
        <v/>
      </c>
      <c r="C1092" s="0" t="n">
        <f aca="false">IF(OR(A1092&lt;&gt;"",B1092&lt;&gt;""),1,0)</f>
        <v>0</v>
      </c>
      <c r="D1092" s="0" t="str">
        <f aca="false">IF(C1092=1,MOD(ABS(SIN(ROW()*12.9898+'הדבקת לידים'!$F$2*78.233+IFERROR(--RIGHT(A1092,6),LEN(A1092))*0.0137+IFERROR(--RIGHT(B1092,6),LEN(B1092))*0.0071))*43758.5453,1),"")</f>
        <v/>
      </c>
      <c r="E1092" s="0" t="str">
        <f aca="false">IF(C1092=1,INT(MOD(ABS(SIN(D1092*7919.123+ROW()*0.618+'הדבקת לידים'!$F$2*1.3))*43758.5453,1)*1000000)*10000+ROW(),"")</f>
        <v/>
      </c>
      <c r="F1092" s="0" t="str">
        <f aca="false">IF(E1092="","",RANK(E1092,$E$2:$E$5001,1))</f>
        <v/>
      </c>
      <c r="G1092" s="0" t="n">
        <f aca="false">IF(A1092="",0,IF(SUMPRODUCT(--($A$2:$A$5001=A1092))&gt;1,1,0))</f>
        <v>0</v>
      </c>
      <c r="H1092" s="0" t="n">
        <f aca="false">ROW()-1</f>
        <v>1091</v>
      </c>
      <c r="I1092" s="0" t="str">
        <f aca="false">IF(OR(הגדרות!$E$6=0,H1092&gt;הגדרות!$E$5),"",IF(H1092-1&lt;הגדרות!$E$8*(הגדרות!$E$7+1),INT((H1092-1)/(הגדרות!$E$7+1)),הגדרות!$E$8+INT((H1092-1-הגדרות!$E$8*(הגדרות!$E$7+1))/הגדרות!$E$7)))</f>
        <v/>
      </c>
      <c r="J1092" s="0" t="str">
        <f aca="false">IF(I1092="","",IF(H1092-1&lt;הגדרות!$E$8*(הגדרות!$E$7+1),MOD(H1092-1,הגדרות!$E$7+1),MOD(H1092-1-הגדרות!$E$8*(הגדרות!$E$7+1),הגדרות!$E$7)))</f>
        <v/>
      </c>
      <c r="K1092" s="0" t="str">
        <f aca="false">IF(I1092="","",J1092*הגדרות!$E$6+I1092+1)</f>
        <v/>
      </c>
      <c r="L1092" s="0" t="str">
        <f aca="false">IF(K1092="","",MATCH(K1092,$F$2:$F$5001,0))</f>
        <v/>
      </c>
      <c r="M1092" s="0" t="str">
        <f aca="false">IF(I1092="","",INDEX(הגדרות!$A$2:$A$21,MOD(I1092+הגדרות!$E$9,הגדרות!$E$6)+1))</f>
        <v/>
      </c>
    </row>
    <row r="1093" customFormat="false" ht="15" hidden="false" customHeight="false" outlineLevel="0" collapsed="false">
      <c r="A1093" s="0" t="str">
        <f aca="false">IF('הדבקת לידים'!A1093="","",IF(ISNUMBER('הדבקת לידים'!A1093),IF(הגדרות!$E$2&gt;0,TEXT('הדבקת לידים'!A1093,REPT("0",הגדרות!$E$2)),TEXT('הדבקת לידים'!A1093,"0")),TRIM('הדבקת לידים'!A1093)))</f>
        <v/>
      </c>
      <c r="B1093" s="0" t="str">
        <f aca="false">IF('הדבקת לידים'!B1093="","",IF(ISNUMBER('הדבקת לידים'!B1093),IF(הגדרות!$E$3&gt;0,TEXT('הדבקת לידים'!B1093,REPT("0",הגדרות!$E$3)),TEXT('הדבקת לידים'!B1093,"0")),TRIM('הדבקת לידים'!B1093)))</f>
        <v/>
      </c>
      <c r="C1093" s="0" t="n">
        <f aca="false">IF(OR(A1093&lt;&gt;"",B1093&lt;&gt;""),1,0)</f>
        <v>0</v>
      </c>
      <c r="D1093" s="0" t="str">
        <f aca="false">IF(C1093=1,MOD(ABS(SIN(ROW()*12.9898+'הדבקת לידים'!$F$2*78.233+IFERROR(--RIGHT(A1093,6),LEN(A1093))*0.0137+IFERROR(--RIGHT(B1093,6),LEN(B1093))*0.0071))*43758.5453,1),"")</f>
        <v/>
      </c>
      <c r="E1093" s="0" t="str">
        <f aca="false">IF(C1093=1,INT(MOD(ABS(SIN(D1093*7919.123+ROW()*0.618+'הדבקת לידים'!$F$2*1.3))*43758.5453,1)*1000000)*10000+ROW(),"")</f>
        <v/>
      </c>
      <c r="F1093" s="0" t="str">
        <f aca="false">IF(E1093="","",RANK(E1093,$E$2:$E$5001,1))</f>
        <v/>
      </c>
      <c r="G1093" s="0" t="n">
        <f aca="false">IF(A1093="",0,IF(SUMPRODUCT(--($A$2:$A$5001=A1093))&gt;1,1,0))</f>
        <v>0</v>
      </c>
      <c r="H1093" s="0" t="n">
        <f aca="false">ROW()-1</f>
        <v>1092</v>
      </c>
      <c r="I1093" s="0" t="str">
        <f aca="false">IF(OR(הגדרות!$E$6=0,H1093&gt;הגדרות!$E$5),"",IF(H1093-1&lt;הגדרות!$E$8*(הגדרות!$E$7+1),INT((H1093-1)/(הגדרות!$E$7+1)),הגדרות!$E$8+INT((H1093-1-הגדרות!$E$8*(הגדרות!$E$7+1))/הגדרות!$E$7)))</f>
        <v/>
      </c>
      <c r="J1093" s="0" t="str">
        <f aca="false">IF(I1093="","",IF(H1093-1&lt;הגדרות!$E$8*(הגדרות!$E$7+1),MOD(H1093-1,הגדרות!$E$7+1),MOD(H1093-1-הגדרות!$E$8*(הגדרות!$E$7+1),הגדרות!$E$7)))</f>
        <v/>
      </c>
      <c r="K1093" s="0" t="str">
        <f aca="false">IF(I1093="","",J1093*הגדרות!$E$6+I1093+1)</f>
        <v/>
      </c>
      <c r="L1093" s="0" t="str">
        <f aca="false">IF(K1093="","",MATCH(K1093,$F$2:$F$5001,0))</f>
        <v/>
      </c>
      <c r="M1093" s="0" t="str">
        <f aca="false">IF(I1093="","",INDEX(הגדרות!$A$2:$A$21,MOD(I1093+הגדרות!$E$9,הגדרות!$E$6)+1))</f>
        <v/>
      </c>
    </row>
    <row r="1094" customFormat="false" ht="15" hidden="false" customHeight="false" outlineLevel="0" collapsed="false">
      <c r="A1094" s="0" t="str">
        <f aca="false">IF('הדבקת לידים'!A1094="","",IF(ISNUMBER('הדבקת לידים'!A1094),IF(הגדרות!$E$2&gt;0,TEXT('הדבקת לידים'!A1094,REPT("0",הגדרות!$E$2)),TEXT('הדבקת לידים'!A1094,"0")),TRIM('הדבקת לידים'!A1094)))</f>
        <v/>
      </c>
      <c r="B1094" s="0" t="str">
        <f aca="false">IF('הדבקת לידים'!B1094="","",IF(ISNUMBER('הדבקת לידים'!B1094),IF(הגדרות!$E$3&gt;0,TEXT('הדבקת לידים'!B1094,REPT("0",הגדרות!$E$3)),TEXT('הדבקת לידים'!B1094,"0")),TRIM('הדבקת לידים'!B1094)))</f>
        <v/>
      </c>
      <c r="C1094" s="0" t="n">
        <f aca="false">IF(OR(A1094&lt;&gt;"",B1094&lt;&gt;""),1,0)</f>
        <v>0</v>
      </c>
      <c r="D1094" s="0" t="str">
        <f aca="false">IF(C1094=1,MOD(ABS(SIN(ROW()*12.9898+'הדבקת לידים'!$F$2*78.233+IFERROR(--RIGHT(A1094,6),LEN(A1094))*0.0137+IFERROR(--RIGHT(B1094,6),LEN(B1094))*0.0071))*43758.5453,1),"")</f>
        <v/>
      </c>
      <c r="E1094" s="0" t="str">
        <f aca="false">IF(C1094=1,INT(MOD(ABS(SIN(D1094*7919.123+ROW()*0.618+'הדבקת לידים'!$F$2*1.3))*43758.5453,1)*1000000)*10000+ROW(),"")</f>
        <v/>
      </c>
      <c r="F1094" s="0" t="str">
        <f aca="false">IF(E1094="","",RANK(E1094,$E$2:$E$5001,1))</f>
        <v/>
      </c>
      <c r="G1094" s="0" t="n">
        <f aca="false">IF(A1094="",0,IF(SUMPRODUCT(--($A$2:$A$5001=A1094))&gt;1,1,0))</f>
        <v>0</v>
      </c>
      <c r="H1094" s="0" t="n">
        <f aca="false">ROW()-1</f>
        <v>1093</v>
      </c>
      <c r="I1094" s="0" t="str">
        <f aca="false">IF(OR(הגדרות!$E$6=0,H1094&gt;הגדרות!$E$5),"",IF(H1094-1&lt;הגדרות!$E$8*(הגדרות!$E$7+1),INT((H1094-1)/(הגדרות!$E$7+1)),הגדרות!$E$8+INT((H1094-1-הגדרות!$E$8*(הגדרות!$E$7+1))/הגדרות!$E$7)))</f>
        <v/>
      </c>
      <c r="J1094" s="0" t="str">
        <f aca="false">IF(I1094="","",IF(H1094-1&lt;הגדרות!$E$8*(הגדרות!$E$7+1),MOD(H1094-1,הגדרות!$E$7+1),MOD(H1094-1-הגדרות!$E$8*(הגדרות!$E$7+1),הגדרות!$E$7)))</f>
        <v/>
      </c>
      <c r="K1094" s="0" t="str">
        <f aca="false">IF(I1094="","",J1094*הגדרות!$E$6+I1094+1)</f>
        <v/>
      </c>
      <c r="L1094" s="0" t="str">
        <f aca="false">IF(K1094="","",MATCH(K1094,$F$2:$F$5001,0))</f>
        <v/>
      </c>
      <c r="M1094" s="0" t="str">
        <f aca="false">IF(I1094="","",INDEX(הגדרות!$A$2:$A$21,MOD(I1094+הגדרות!$E$9,הגדרות!$E$6)+1))</f>
        <v/>
      </c>
    </row>
    <row r="1095" customFormat="false" ht="15" hidden="false" customHeight="false" outlineLevel="0" collapsed="false">
      <c r="A1095" s="0" t="str">
        <f aca="false">IF('הדבקת לידים'!A1095="","",IF(ISNUMBER('הדבקת לידים'!A1095),IF(הגדרות!$E$2&gt;0,TEXT('הדבקת לידים'!A1095,REPT("0",הגדרות!$E$2)),TEXT('הדבקת לידים'!A1095,"0")),TRIM('הדבקת לידים'!A1095)))</f>
        <v/>
      </c>
      <c r="B1095" s="0" t="str">
        <f aca="false">IF('הדבקת לידים'!B1095="","",IF(ISNUMBER('הדבקת לידים'!B1095),IF(הגדרות!$E$3&gt;0,TEXT('הדבקת לידים'!B1095,REPT("0",הגדרות!$E$3)),TEXT('הדבקת לידים'!B1095,"0")),TRIM('הדבקת לידים'!B1095)))</f>
        <v/>
      </c>
      <c r="C1095" s="0" t="n">
        <f aca="false">IF(OR(A1095&lt;&gt;"",B1095&lt;&gt;""),1,0)</f>
        <v>0</v>
      </c>
      <c r="D1095" s="0" t="str">
        <f aca="false">IF(C1095=1,MOD(ABS(SIN(ROW()*12.9898+'הדבקת לידים'!$F$2*78.233+IFERROR(--RIGHT(A1095,6),LEN(A1095))*0.0137+IFERROR(--RIGHT(B1095,6),LEN(B1095))*0.0071))*43758.5453,1),"")</f>
        <v/>
      </c>
      <c r="E1095" s="0" t="str">
        <f aca="false">IF(C1095=1,INT(MOD(ABS(SIN(D1095*7919.123+ROW()*0.618+'הדבקת לידים'!$F$2*1.3))*43758.5453,1)*1000000)*10000+ROW(),"")</f>
        <v/>
      </c>
      <c r="F1095" s="0" t="str">
        <f aca="false">IF(E1095="","",RANK(E1095,$E$2:$E$5001,1))</f>
        <v/>
      </c>
      <c r="G1095" s="0" t="n">
        <f aca="false">IF(A1095="",0,IF(SUMPRODUCT(--($A$2:$A$5001=A1095))&gt;1,1,0))</f>
        <v>0</v>
      </c>
      <c r="H1095" s="0" t="n">
        <f aca="false">ROW()-1</f>
        <v>1094</v>
      </c>
      <c r="I1095" s="0" t="str">
        <f aca="false">IF(OR(הגדרות!$E$6=0,H1095&gt;הגדרות!$E$5),"",IF(H1095-1&lt;הגדרות!$E$8*(הגדרות!$E$7+1),INT((H1095-1)/(הגדרות!$E$7+1)),הגדרות!$E$8+INT((H1095-1-הגדרות!$E$8*(הגדרות!$E$7+1))/הגדרות!$E$7)))</f>
        <v/>
      </c>
      <c r="J1095" s="0" t="str">
        <f aca="false">IF(I1095="","",IF(H1095-1&lt;הגדרות!$E$8*(הגדרות!$E$7+1),MOD(H1095-1,הגדרות!$E$7+1),MOD(H1095-1-הגדרות!$E$8*(הגדרות!$E$7+1),הגדרות!$E$7)))</f>
        <v/>
      </c>
      <c r="K1095" s="0" t="str">
        <f aca="false">IF(I1095="","",J1095*הגדרות!$E$6+I1095+1)</f>
        <v/>
      </c>
      <c r="L1095" s="0" t="str">
        <f aca="false">IF(K1095="","",MATCH(K1095,$F$2:$F$5001,0))</f>
        <v/>
      </c>
      <c r="M1095" s="0" t="str">
        <f aca="false">IF(I1095="","",INDEX(הגדרות!$A$2:$A$21,MOD(I1095+הגדרות!$E$9,הגדרות!$E$6)+1))</f>
        <v/>
      </c>
    </row>
    <row r="1096" customFormat="false" ht="15" hidden="false" customHeight="false" outlineLevel="0" collapsed="false">
      <c r="A1096" s="0" t="str">
        <f aca="false">IF('הדבקת לידים'!A1096="","",IF(ISNUMBER('הדבקת לידים'!A1096),IF(הגדרות!$E$2&gt;0,TEXT('הדבקת לידים'!A1096,REPT("0",הגדרות!$E$2)),TEXT('הדבקת לידים'!A1096,"0")),TRIM('הדבקת לידים'!A1096)))</f>
        <v/>
      </c>
      <c r="B1096" s="0" t="str">
        <f aca="false">IF('הדבקת לידים'!B1096="","",IF(ISNUMBER('הדבקת לידים'!B1096),IF(הגדרות!$E$3&gt;0,TEXT('הדבקת לידים'!B1096,REPT("0",הגדרות!$E$3)),TEXT('הדבקת לידים'!B1096,"0")),TRIM('הדבקת לידים'!B1096)))</f>
        <v/>
      </c>
      <c r="C1096" s="0" t="n">
        <f aca="false">IF(OR(A1096&lt;&gt;"",B1096&lt;&gt;""),1,0)</f>
        <v>0</v>
      </c>
      <c r="D1096" s="0" t="str">
        <f aca="false">IF(C1096=1,MOD(ABS(SIN(ROW()*12.9898+'הדבקת לידים'!$F$2*78.233+IFERROR(--RIGHT(A1096,6),LEN(A1096))*0.0137+IFERROR(--RIGHT(B1096,6),LEN(B1096))*0.0071))*43758.5453,1),"")</f>
        <v/>
      </c>
      <c r="E1096" s="0" t="str">
        <f aca="false">IF(C1096=1,INT(MOD(ABS(SIN(D1096*7919.123+ROW()*0.618+'הדבקת לידים'!$F$2*1.3))*43758.5453,1)*1000000)*10000+ROW(),"")</f>
        <v/>
      </c>
      <c r="F1096" s="0" t="str">
        <f aca="false">IF(E1096="","",RANK(E1096,$E$2:$E$5001,1))</f>
        <v/>
      </c>
      <c r="G1096" s="0" t="n">
        <f aca="false">IF(A1096="",0,IF(SUMPRODUCT(--($A$2:$A$5001=A1096))&gt;1,1,0))</f>
        <v>0</v>
      </c>
      <c r="H1096" s="0" t="n">
        <f aca="false">ROW()-1</f>
        <v>1095</v>
      </c>
      <c r="I1096" s="0" t="str">
        <f aca="false">IF(OR(הגדרות!$E$6=0,H1096&gt;הגדרות!$E$5),"",IF(H1096-1&lt;הגדרות!$E$8*(הגדרות!$E$7+1),INT((H1096-1)/(הגדרות!$E$7+1)),הגדרות!$E$8+INT((H1096-1-הגדרות!$E$8*(הגדרות!$E$7+1))/הגדרות!$E$7)))</f>
        <v/>
      </c>
      <c r="J1096" s="0" t="str">
        <f aca="false">IF(I1096="","",IF(H1096-1&lt;הגדרות!$E$8*(הגדרות!$E$7+1),MOD(H1096-1,הגדרות!$E$7+1),MOD(H1096-1-הגדרות!$E$8*(הגדרות!$E$7+1),הגדרות!$E$7)))</f>
        <v/>
      </c>
      <c r="K1096" s="0" t="str">
        <f aca="false">IF(I1096="","",J1096*הגדרות!$E$6+I1096+1)</f>
        <v/>
      </c>
      <c r="L1096" s="0" t="str">
        <f aca="false">IF(K1096="","",MATCH(K1096,$F$2:$F$5001,0))</f>
        <v/>
      </c>
      <c r="M1096" s="0" t="str">
        <f aca="false">IF(I1096="","",INDEX(הגדרות!$A$2:$A$21,MOD(I1096+הגדרות!$E$9,הגדרות!$E$6)+1))</f>
        <v/>
      </c>
    </row>
    <row r="1097" customFormat="false" ht="15" hidden="false" customHeight="false" outlineLevel="0" collapsed="false">
      <c r="A1097" s="0" t="str">
        <f aca="false">IF('הדבקת לידים'!A1097="","",IF(ISNUMBER('הדבקת לידים'!A1097),IF(הגדרות!$E$2&gt;0,TEXT('הדבקת לידים'!A1097,REPT("0",הגדרות!$E$2)),TEXT('הדבקת לידים'!A1097,"0")),TRIM('הדבקת לידים'!A1097)))</f>
        <v/>
      </c>
      <c r="B1097" s="0" t="str">
        <f aca="false">IF('הדבקת לידים'!B1097="","",IF(ISNUMBER('הדבקת לידים'!B1097),IF(הגדרות!$E$3&gt;0,TEXT('הדבקת לידים'!B1097,REPT("0",הגדרות!$E$3)),TEXT('הדבקת לידים'!B1097,"0")),TRIM('הדבקת לידים'!B1097)))</f>
        <v/>
      </c>
      <c r="C1097" s="0" t="n">
        <f aca="false">IF(OR(A1097&lt;&gt;"",B1097&lt;&gt;""),1,0)</f>
        <v>0</v>
      </c>
      <c r="D1097" s="0" t="str">
        <f aca="false">IF(C1097=1,MOD(ABS(SIN(ROW()*12.9898+'הדבקת לידים'!$F$2*78.233+IFERROR(--RIGHT(A1097,6),LEN(A1097))*0.0137+IFERROR(--RIGHT(B1097,6),LEN(B1097))*0.0071))*43758.5453,1),"")</f>
        <v/>
      </c>
      <c r="E1097" s="0" t="str">
        <f aca="false">IF(C1097=1,INT(MOD(ABS(SIN(D1097*7919.123+ROW()*0.618+'הדבקת לידים'!$F$2*1.3))*43758.5453,1)*1000000)*10000+ROW(),"")</f>
        <v/>
      </c>
      <c r="F1097" s="0" t="str">
        <f aca="false">IF(E1097="","",RANK(E1097,$E$2:$E$5001,1))</f>
        <v/>
      </c>
      <c r="G1097" s="0" t="n">
        <f aca="false">IF(A1097="",0,IF(SUMPRODUCT(--($A$2:$A$5001=A1097))&gt;1,1,0))</f>
        <v>0</v>
      </c>
      <c r="H1097" s="0" t="n">
        <f aca="false">ROW()-1</f>
        <v>1096</v>
      </c>
      <c r="I1097" s="0" t="str">
        <f aca="false">IF(OR(הגדרות!$E$6=0,H1097&gt;הגדרות!$E$5),"",IF(H1097-1&lt;הגדרות!$E$8*(הגדרות!$E$7+1),INT((H1097-1)/(הגדרות!$E$7+1)),הגדרות!$E$8+INT((H1097-1-הגדרות!$E$8*(הגדרות!$E$7+1))/הגדרות!$E$7)))</f>
        <v/>
      </c>
      <c r="J1097" s="0" t="str">
        <f aca="false">IF(I1097="","",IF(H1097-1&lt;הגדרות!$E$8*(הגדרות!$E$7+1),MOD(H1097-1,הגדרות!$E$7+1),MOD(H1097-1-הגדרות!$E$8*(הגדרות!$E$7+1),הגדרות!$E$7)))</f>
        <v/>
      </c>
      <c r="K1097" s="0" t="str">
        <f aca="false">IF(I1097="","",J1097*הגדרות!$E$6+I1097+1)</f>
        <v/>
      </c>
      <c r="L1097" s="0" t="str">
        <f aca="false">IF(K1097="","",MATCH(K1097,$F$2:$F$5001,0))</f>
        <v/>
      </c>
      <c r="M1097" s="0" t="str">
        <f aca="false">IF(I1097="","",INDEX(הגדרות!$A$2:$A$21,MOD(I1097+הגדרות!$E$9,הגדרות!$E$6)+1))</f>
        <v/>
      </c>
    </row>
    <row r="1098" customFormat="false" ht="15" hidden="false" customHeight="false" outlineLevel="0" collapsed="false">
      <c r="A1098" s="0" t="str">
        <f aca="false">IF('הדבקת לידים'!A1098="","",IF(ISNUMBER('הדבקת לידים'!A1098),IF(הגדרות!$E$2&gt;0,TEXT('הדבקת לידים'!A1098,REPT("0",הגדרות!$E$2)),TEXT('הדבקת לידים'!A1098,"0")),TRIM('הדבקת לידים'!A1098)))</f>
        <v/>
      </c>
      <c r="B1098" s="0" t="str">
        <f aca="false">IF('הדבקת לידים'!B1098="","",IF(ISNUMBER('הדבקת לידים'!B1098),IF(הגדרות!$E$3&gt;0,TEXT('הדבקת לידים'!B1098,REPT("0",הגדרות!$E$3)),TEXT('הדבקת לידים'!B1098,"0")),TRIM('הדבקת לידים'!B1098)))</f>
        <v/>
      </c>
      <c r="C1098" s="0" t="n">
        <f aca="false">IF(OR(A1098&lt;&gt;"",B1098&lt;&gt;""),1,0)</f>
        <v>0</v>
      </c>
      <c r="D1098" s="0" t="str">
        <f aca="false">IF(C1098=1,MOD(ABS(SIN(ROW()*12.9898+'הדבקת לידים'!$F$2*78.233+IFERROR(--RIGHT(A1098,6),LEN(A1098))*0.0137+IFERROR(--RIGHT(B1098,6),LEN(B1098))*0.0071))*43758.5453,1),"")</f>
        <v/>
      </c>
      <c r="E1098" s="0" t="str">
        <f aca="false">IF(C1098=1,INT(MOD(ABS(SIN(D1098*7919.123+ROW()*0.618+'הדבקת לידים'!$F$2*1.3))*43758.5453,1)*1000000)*10000+ROW(),"")</f>
        <v/>
      </c>
      <c r="F1098" s="0" t="str">
        <f aca="false">IF(E1098="","",RANK(E1098,$E$2:$E$5001,1))</f>
        <v/>
      </c>
      <c r="G1098" s="0" t="n">
        <f aca="false">IF(A1098="",0,IF(SUMPRODUCT(--($A$2:$A$5001=A1098))&gt;1,1,0))</f>
        <v>0</v>
      </c>
      <c r="H1098" s="0" t="n">
        <f aca="false">ROW()-1</f>
        <v>1097</v>
      </c>
      <c r="I1098" s="0" t="str">
        <f aca="false">IF(OR(הגדרות!$E$6=0,H1098&gt;הגדרות!$E$5),"",IF(H1098-1&lt;הגדרות!$E$8*(הגדרות!$E$7+1),INT((H1098-1)/(הגדרות!$E$7+1)),הגדרות!$E$8+INT((H1098-1-הגדרות!$E$8*(הגדרות!$E$7+1))/הגדרות!$E$7)))</f>
        <v/>
      </c>
      <c r="J1098" s="0" t="str">
        <f aca="false">IF(I1098="","",IF(H1098-1&lt;הגדרות!$E$8*(הגדרות!$E$7+1),MOD(H1098-1,הגדרות!$E$7+1),MOD(H1098-1-הגדרות!$E$8*(הגדרות!$E$7+1),הגדרות!$E$7)))</f>
        <v/>
      </c>
      <c r="K1098" s="0" t="str">
        <f aca="false">IF(I1098="","",J1098*הגדרות!$E$6+I1098+1)</f>
        <v/>
      </c>
      <c r="L1098" s="0" t="str">
        <f aca="false">IF(K1098="","",MATCH(K1098,$F$2:$F$5001,0))</f>
        <v/>
      </c>
      <c r="M1098" s="0" t="str">
        <f aca="false">IF(I1098="","",INDEX(הגדרות!$A$2:$A$21,MOD(I1098+הגדרות!$E$9,הגדרות!$E$6)+1))</f>
        <v/>
      </c>
    </row>
    <row r="1099" customFormat="false" ht="15" hidden="false" customHeight="false" outlineLevel="0" collapsed="false">
      <c r="A1099" s="0" t="str">
        <f aca="false">IF('הדבקת לידים'!A1099="","",IF(ISNUMBER('הדבקת לידים'!A1099),IF(הגדרות!$E$2&gt;0,TEXT('הדבקת לידים'!A1099,REPT("0",הגדרות!$E$2)),TEXT('הדבקת לידים'!A1099,"0")),TRIM('הדבקת לידים'!A1099)))</f>
        <v/>
      </c>
      <c r="B1099" s="0" t="str">
        <f aca="false">IF('הדבקת לידים'!B1099="","",IF(ISNUMBER('הדבקת לידים'!B1099),IF(הגדרות!$E$3&gt;0,TEXT('הדבקת לידים'!B1099,REPT("0",הגדרות!$E$3)),TEXT('הדבקת לידים'!B1099,"0")),TRIM('הדבקת לידים'!B1099)))</f>
        <v/>
      </c>
      <c r="C1099" s="0" t="n">
        <f aca="false">IF(OR(A1099&lt;&gt;"",B1099&lt;&gt;""),1,0)</f>
        <v>0</v>
      </c>
      <c r="D1099" s="0" t="str">
        <f aca="false">IF(C1099=1,MOD(ABS(SIN(ROW()*12.9898+'הדבקת לידים'!$F$2*78.233+IFERROR(--RIGHT(A1099,6),LEN(A1099))*0.0137+IFERROR(--RIGHT(B1099,6),LEN(B1099))*0.0071))*43758.5453,1),"")</f>
        <v/>
      </c>
      <c r="E1099" s="0" t="str">
        <f aca="false">IF(C1099=1,INT(MOD(ABS(SIN(D1099*7919.123+ROW()*0.618+'הדבקת לידים'!$F$2*1.3))*43758.5453,1)*1000000)*10000+ROW(),"")</f>
        <v/>
      </c>
      <c r="F1099" s="0" t="str">
        <f aca="false">IF(E1099="","",RANK(E1099,$E$2:$E$5001,1))</f>
        <v/>
      </c>
      <c r="G1099" s="0" t="n">
        <f aca="false">IF(A1099="",0,IF(SUMPRODUCT(--($A$2:$A$5001=A1099))&gt;1,1,0))</f>
        <v>0</v>
      </c>
      <c r="H1099" s="0" t="n">
        <f aca="false">ROW()-1</f>
        <v>1098</v>
      </c>
      <c r="I1099" s="0" t="str">
        <f aca="false">IF(OR(הגדרות!$E$6=0,H1099&gt;הגדרות!$E$5),"",IF(H1099-1&lt;הגדרות!$E$8*(הגדרות!$E$7+1),INT((H1099-1)/(הגדרות!$E$7+1)),הגדרות!$E$8+INT((H1099-1-הגדרות!$E$8*(הגדרות!$E$7+1))/הגדרות!$E$7)))</f>
        <v/>
      </c>
      <c r="J1099" s="0" t="str">
        <f aca="false">IF(I1099="","",IF(H1099-1&lt;הגדרות!$E$8*(הגדרות!$E$7+1),MOD(H1099-1,הגדרות!$E$7+1),MOD(H1099-1-הגדרות!$E$8*(הגדרות!$E$7+1),הגדרות!$E$7)))</f>
        <v/>
      </c>
      <c r="K1099" s="0" t="str">
        <f aca="false">IF(I1099="","",J1099*הגדרות!$E$6+I1099+1)</f>
        <v/>
      </c>
      <c r="L1099" s="0" t="str">
        <f aca="false">IF(K1099="","",MATCH(K1099,$F$2:$F$5001,0))</f>
        <v/>
      </c>
      <c r="M1099" s="0" t="str">
        <f aca="false">IF(I1099="","",INDEX(הגדרות!$A$2:$A$21,MOD(I1099+הגדרות!$E$9,הגדרות!$E$6)+1))</f>
        <v/>
      </c>
    </row>
    <row r="1100" customFormat="false" ht="15" hidden="false" customHeight="false" outlineLevel="0" collapsed="false">
      <c r="A1100" s="0" t="str">
        <f aca="false">IF('הדבקת לידים'!A1100="","",IF(ISNUMBER('הדבקת לידים'!A1100),IF(הגדרות!$E$2&gt;0,TEXT('הדבקת לידים'!A1100,REPT("0",הגדרות!$E$2)),TEXT('הדבקת לידים'!A1100,"0")),TRIM('הדבקת לידים'!A1100)))</f>
        <v/>
      </c>
      <c r="B1100" s="0" t="str">
        <f aca="false">IF('הדבקת לידים'!B1100="","",IF(ISNUMBER('הדבקת לידים'!B1100),IF(הגדרות!$E$3&gt;0,TEXT('הדבקת לידים'!B1100,REPT("0",הגדרות!$E$3)),TEXT('הדבקת לידים'!B1100,"0")),TRIM('הדבקת לידים'!B1100)))</f>
        <v/>
      </c>
      <c r="C1100" s="0" t="n">
        <f aca="false">IF(OR(A1100&lt;&gt;"",B1100&lt;&gt;""),1,0)</f>
        <v>0</v>
      </c>
      <c r="D1100" s="0" t="str">
        <f aca="false">IF(C1100=1,MOD(ABS(SIN(ROW()*12.9898+'הדבקת לידים'!$F$2*78.233+IFERROR(--RIGHT(A1100,6),LEN(A1100))*0.0137+IFERROR(--RIGHT(B1100,6),LEN(B1100))*0.0071))*43758.5453,1),"")</f>
        <v/>
      </c>
      <c r="E1100" s="0" t="str">
        <f aca="false">IF(C1100=1,INT(MOD(ABS(SIN(D1100*7919.123+ROW()*0.618+'הדבקת לידים'!$F$2*1.3))*43758.5453,1)*1000000)*10000+ROW(),"")</f>
        <v/>
      </c>
      <c r="F1100" s="0" t="str">
        <f aca="false">IF(E1100="","",RANK(E1100,$E$2:$E$5001,1))</f>
        <v/>
      </c>
      <c r="G1100" s="0" t="n">
        <f aca="false">IF(A1100="",0,IF(SUMPRODUCT(--($A$2:$A$5001=A1100))&gt;1,1,0))</f>
        <v>0</v>
      </c>
      <c r="H1100" s="0" t="n">
        <f aca="false">ROW()-1</f>
        <v>1099</v>
      </c>
      <c r="I1100" s="0" t="str">
        <f aca="false">IF(OR(הגדרות!$E$6=0,H1100&gt;הגדרות!$E$5),"",IF(H1100-1&lt;הגדרות!$E$8*(הגדרות!$E$7+1),INT((H1100-1)/(הגדרות!$E$7+1)),הגדרות!$E$8+INT((H1100-1-הגדרות!$E$8*(הגדרות!$E$7+1))/הגדרות!$E$7)))</f>
        <v/>
      </c>
      <c r="J1100" s="0" t="str">
        <f aca="false">IF(I1100="","",IF(H1100-1&lt;הגדרות!$E$8*(הגדרות!$E$7+1),MOD(H1100-1,הגדרות!$E$7+1),MOD(H1100-1-הגדרות!$E$8*(הגדרות!$E$7+1),הגדרות!$E$7)))</f>
        <v/>
      </c>
      <c r="K1100" s="0" t="str">
        <f aca="false">IF(I1100="","",J1100*הגדרות!$E$6+I1100+1)</f>
        <v/>
      </c>
      <c r="L1100" s="0" t="str">
        <f aca="false">IF(K1100="","",MATCH(K1100,$F$2:$F$5001,0))</f>
        <v/>
      </c>
      <c r="M1100" s="0" t="str">
        <f aca="false">IF(I1100="","",INDEX(הגדרות!$A$2:$A$21,MOD(I1100+הגדרות!$E$9,הגדרות!$E$6)+1))</f>
        <v/>
      </c>
    </row>
    <row r="1101" customFormat="false" ht="15" hidden="false" customHeight="false" outlineLevel="0" collapsed="false">
      <c r="A1101" s="0" t="str">
        <f aca="false">IF('הדבקת לידים'!A1101="","",IF(ISNUMBER('הדבקת לידים'!A1101),IF(הגדרות!$E$2&gt;0,TEXT('הדבקת לידים'!A1101,REPT("0",הגדרות!$E$2)),TEXT('הדבקת לידים'!A1101,"0")),TRIM('הדבקת לידים'!A1101)))</f>
        <v/>
      </c>
      <c r="B1101" s="0" t="str">
        <f aca="false">IF('הדבקת לידים'!B1101="","",IF(ISNUMBER('הדבקת לידים'!B1101),IF(הגדרות!$E$3&gt;0,TEXT('הדבקת לידים'!B1101,REPT("0",הגדרות!$E$3)),TEXT('הדבקת לידים'!B1101,"0")),TRIM('הדבקת לידים'!B1101)))</f>
        <v/>
      </c>
      <c r="C1101" s="0" t="n">
        <f aca="false">IF(OR(A1101&lt;&gt;"",B1101&lt;&gt;""),1,0)</f>
        <v>0</v>
      </c>
      <c r="D1101" s="0" t="str">
        <f aca="false">IF(C1101=1,MOD(ABS(SIN(ROW()*12.9898+'הדבקת לידים'!$F$2*78.233+IFERROR(--RIGHT(A1101,6),LEN(A1101))*0.0137+IFERROR(--RIGHT(B1101,6),LEN(B1101))*0.0071))*43758.5453,1),"")</f>
        <v/>
      </c>
      <c r="E1101" s="0" t="str">
        <f aca="false">IF(C1101=1,INT(MOD(ABS(SIN(D1101*7919.123+ROW()*0.618+'הדבקת לידים'!$F$2*1.3))*43758.5453,1)*1000000)*10000+ROW(),"")</f>
        <v/>
      </c>
      <c r="F1101" s="0" t="str">
        <f aca="false">IF(E1101="","",RANK(E1101,$E$2:$E$5001,1))</f>
        <v/>
      </c>
      <c r="G1101" s="0" t="n">
        <f aca="false">IF(A1101="",0,IF(SUMPRODUCT(--($A$2:$A$5001=A1101))&gt;1,1,0))</f>
        <v>0</v>
      </c>
      <c r="H1101" s="0" t="n">
        <f aca="false">ROW()-1</f>
        <v>1100</v>
      </c>
      <c r="I1101" s="0" t="str">
        <f aca="false">IF(OR(הגדרות!$E$6=0,H1101&gt;הגדרות!$E$5),"",IF(H1101-1&lt;הגדרות!$E$8*(הגדרות!$E$7+1),INT((H1101-1)/(הגדרות!$E$7+1)),הגדרות!$E$8+INT((H1101-1-הגדרות!$E$8*(הגדרות!$E$7+1))/הגדרות!$E$7)))</f>
        <v/>
      </c>
      <c r="J1101" s="0" t="str">
        <f aca="false">IF(I1101="","",IF(H1101-1&lt;הגדרות!$E$8*(הגדרות!$E$7+1),MOD(H1101-1,הגדרות!$E$7+1),MOD(H1101-1-הגדרות!$E$8*(הגדרות!$E$7+1),הגדרות!$E$7)))</f>
        <v/>
      </c>
      <c r="K1101" s="0" t="str">
        <f aca="false">IF(I1101="","",J1101*הגדרות!$E$6+I1101+1)</f>
        <v/>
      </c>
      <c r="L1101" s="0" t="str">
        <f aca="false">IF(K1101="","",MATCH(K1101,$F$2:$F$5001,0))</f>
        <v/>
      </c>
      <c r="M1101" s="0" t="str">
        <f aca="false">IF(I1101="","",INDEX(הגדרות!$A$2:$A$21,MOD(I1101+הגדרות!$E$9,הגדרות!$E$6)+1))</f>
        <v/>
      </c>
    </row>
    <row r="1102" customFormat="false" ht="15" hidden="false" customHeight="false" outlineLevel="0" collapsed="false">
      <c r="A1102" s="0" t="str">
        <f aca="false">IF('הדבקת לידים'!A1102="","",IF(ISNUMBER('הדבקת לידים'!A1102),IF(הגדרות!$E$2&gt;0,TEXT('הדבקת לידים'!A1102,REPT("0",הגדרות!$E$2)),TEXT('הדבקת לידים'!A1102,"0")),TRIM('הדבקת לידים'!A1102)))</f>
        <v/>
      </c>
      <c r="B1102" s="0" t="str">
        <f aca="false">IF('הדבקת לידים'!B1102="","",IF(ISNUMBER('הדבקת לידים'!B1102),IF(הגדרות!$E$3&gt;0,TEXT('הדבקת לידים'!B1102,REPT("0",הגדרות!$E$3)),TEXT('הדבקת לידים'!B1102,"0")),TRIM('הדבקת לידים'!B1102)))</f>
        <v/>
      </c>
      <c r="C1102" s="0" t="n">
        <f aca="false">IF(OR(A1102&lt;&gt;"",B1102&lt;&gt;""),1,0)</f>
        <v>0</v>
      </c>
      <c r="D1102" s="0" t="str">
        <f aca="false">IF(C1102=1,MOD(ABS(SIN(ROW()*12.9898+'הדבקת לידים'!$F$2*78.233+IFERROR(--RIGHT(A1102,6),LEN(A1102))*0.0137+IFERROR(--RIGHT(B1102,6),LEN(B1102))*0.0071))*43758.5453,1),"")</f>
        <v/>
      </c>
      <c r="E1102" s="0" t="str">
        <f aca="false">IF(C1102=1,INT(MOD(ABS(SIN(D1102*7919.123+ROW()*0.618+'הדבקת לידים'!$F$2*1.3))*43758.5453,1)*1000000)*10000+ROW(),"")</f>
        <v/>
      </c>
      <c r="F1102" s="0" t="str">
        <f aca="false">IF(E1102="","",RANK(E1102,$E$2:$E$5001,1))</f>
        <v/>
      </c>
      <c r="G1102" s="0" t="n">
        <f aca="false">IF(A1102="",0,IF(SUMPRODUCT(--($A$2:$A$5001=A1102))&gt;1,1,0))</f>
        <v>0</v>
      </c>
      <c r="H1102" s="0" t="n">
        <f aca="false">ROW()-1</f>
        <v>1101</v>
      </c>
      <c r="I1102" s="0" t="str">
        <f aca="false">IF(OR(הגדרות!$E$6=0,H1102&gt;הגדרות!$E$5),"",IF(H1102-1&lt;הגדרות!$E$8*(הגדרות!$E$7+1),INT((H1102-1)/(הגדרות!$E$7+1)),הגדרות!$E$8+INT((H1102-1-הגדרות!$E$8*(הגדרות!$E$7+1))/הגדרות!$E$7)))</f>
        <v/>
      </c>
      <c r="J1102" s="0" t="str">
        <f aca="false">IF(I1102="","",IF(H1102-1&lt;הגדרות!$E$8*(הגדרות!$E$7+1),MOD(H1102-1,הגדרות!$E$7+1),MOD(H1102-1-הגדרות!$E$8*(הגדרות!$E$7+1),הגדרות!$E$7)))</f>
        <v/>
      </c>
      <c r="K1102" s="0" t="str">
        <f aca="false">IF(I1102="","",J1102*הגדרות!$E$6+I1102+1)</f>
        <v/>
      </c>
      <c r="L1102" s="0" t="str">
        <f aca="false">IF(K1102="","",MATCH(K1102,$F$2:$F$5001,0))</f>
        <v/>
      </c>
      <c r="M1102" s="0" t="str">
        <f aca="false">IF(I1102="","",INDEX(הגדרות!$A$2:$A$21,MOD(I1102+הגדרות!$E$9,הגדרות!$E$6)+1))</f>
        <v/>
      </c>
    </row>
    <row r="1103" customFormat="false" ht="15" hidden="false" customHeight="false" outlineLevel="0" collapsed="false">
      <c r="A1103" s="0" t="str">
        <f aca="false">IF('הדבקת לידים'!A1103="","",IF(ISNUMBER('הדבקת לידים'!A1103),IF(הגדרות!$E$2&gt;0,TEXT('הדבקת לידים'!A1103,REPT("0",הגדרות!$E$2)),TEXT('הדבקת לידים'!A1103,"0")),TRIM('הדבקת לידים'!A1103)))</f>
        <v/>
      </c>
      <c r="B1103" s="0" t="str">
        <f aca="false">IF('הדבקת לידים'!B1103="","",IF(ISNUMBER('הדבקת לידים'!B1103),IF(הגדרות!$E$3&gt;0,TEXT('הדבקת לידים'!B1103,REPT("0",הגדרות!$E$3)),TEXT('הדבקת לידים'!B1103,"0")),TRIM('הדבקת לידים'!B1103)))</f>
        <v/>
      </c>
      <c r="C1103" s="0" t="n">
        <f aca="false">IF(OR(A1103&lt;&gt;"",B1103&lt;&gt;""),1,0)</f>
        <v>0</v>
      </c>
      <c r="D1103" s="0" t="str">
        <f aca="false">IF(C1103=1,MOD(ABS(SIN(ROW()*12.9898+'הדבקת לידים'!$F$2*78.233+IFERROR(--RIGHT(A1103,6),LEN(A1103))*0.0137+IFERROR(--RIGHT(B1103,6),LEN(B1103))*0.0071))*43758.5453,1),"")</f>
        <v/>
      </c>
      <c r="E1103" s="0" t="str">
        <f aca="false">IF(C1103=1,INT(MOD(ABS(SIN(D1103*7919.123+ROW()*0.618+'הדבקת לידים'!$F$2*1.3))*43758.5453,1)*1000000)*10000+ROW(),"")</f>
        <v/>
      </c>
      <c r="F1103" s="0" t="str">
        <f aca="false">IF(E1103="","",RANK(E1103,$E$2:$E$5001,1))</f>
        <v/>
      </c>
      <c r="G1103" s="0" t="n">
        <f aca="false">IF(A1103="",0,IF(SUMPRODUCT(--($A$2:$A$5001=A1103))&gt;1,1,0))</f>
        <v>0</v>
      </c>
      <c r="H1103" s="0" t="n">
        <f aca="false">ROW()-1</f>
        <v>1102</v>
      </c>
      <c r="I1103" s="0" t="str">
        <f aca="false">IF(OR(הגדרות!$E$6=0,H1103&gt;הגדרות!$E$5),"",IF(H1103-1&lt;הגדרות!$E$8*(הגדרות!$E$7+1),INT((H1103-1)/(הגדרות!$E$7+1)),הגדרות!$E$8+INT((H1103-1-הגדרות!$E$8*(הגדרות!$E$7+1))/הגדרות!$E$7)))</f>
        <v/>
      </c>
      <c r="J1103" s="0" t="str">
        <f aca="false">IF(I1103="","",IF(H1103-1&lt;הגדרות!$E$8*(הגדרות!$E$7+1),MOD(H1103-1,הגדרות!$E$7+1),MOD(H1103-1-הגדרות!$E$8*(הגדרות!$E$7+1),הגדרות!$E$7)))</f>
        <v/>
      </c>
      <c r="K1103" s="0" t="str">
        <f aca="false">IF(I1103="","",J1103*הגדרות!$E$6+I1103+1)</f>
        <v/>
      </c>
      <c r="L1103" s="0" t="str">
        <f aca="false">IF(K1103="","",MATCH(K1103,$F$2:$F$5001,0))</f>
        <v/>
      </c>
      <c r="M1103" s="0" t="str">
        <f aca="false">IF(I1103="","",INDEX(הגדרות!$A$2:$A$21,MOD(I1103+הגדרות!$E$9,הגדרות!$E$6)+1))</f>
        <v/>
      </c>
    </row>
    <row r="1104" customFormat="false" ht="15" hidden="false" customHeight="false" outlineLevel="0" collapsed="false">
      <c r="A1104" s="0" t="str">
        <f aca="false">IF('הדבקת לידים'!A1104="","",IF(ISNUMBER('הדבקת לידים'!A1104),IF(הגדרות!$E$2&gt;0,TEXT('הדבקת לידים'!A1104,REPT("0",הגדרות!$E$2)),TEXT('הדבקת לידים'!A1104,"0")),TRIM('הדבקת לידים'!A1104)))</f>
        <v/>
      </c>
      <c r="B1104" s="0" t="str">
        <f aca="false">IF('הדבקת לידים'!B1104="","",IF(ISNUMBER('הדבקת לידים'!B1104),IF(הגדרות!$E$3&gt;0,TEXT('הדבקת לידים'!B1104,REPT("0",הגדרות!$E$3)),TEXT('הדבקת לידים'!B1104,"0")),TRIM('הדבקת לידים'!B1104)))</f>
        <v/>
      </c>
      <c r="C1104" s="0" t="n">
        <f aca="false">IF(OR(A1104&lt;&gt;"",B1104&lt;&gt;""),1,0)</f>
        <v>0</v>
      </c>
      <c r="D1104" s="0" t="str">
        <f aca="false">IF(C1104=1,MOD(ABS(SIN(ROW()*12.9898+'הדבקת לידים'!$F$2*78.233+IFERROR(--RIGHT(A1104,6),LEN(A1104))*0.0137+IFERROR(--RIGHT(B1104,6),LEN(B1104))*0.0071))*43758.5453,1),"")</f>
        <v/>
      </c>
      <c r="E1104" s="0" t="str">
        <f aca="false">IF(C1104=1,INT(MOD(ABS(SIN(D1104*7919.123+ROW()*0.618+'הדבקת לידים'!$F$2*1.3))*43758.5453,1)*1000000)*10000+ROW(),"")</f>
        <v/>
      </c>
      <c r="F1104" s="0" t="str">
        <f aca="false">IF(E1104="","",RANK(E1104,$E$2:$E$5001,1))</f>
        <v/>
      </c>
      <c r="G1104" s="0" t="n">
        <f aca="false">IF(A1104="",0,IF(SUMPRODUCT(--($A$2:$A$5001=A1104))&gt;1,1,0))</f>
        <v>0</v>
      </c>
      <c r="H1104" s="0" t="n">
        <f aca="false">ROW()-1</f>
        <v>1103</v>
      </c>
      <c r="I1104" s="0" t="str">
        <f aca="false">IF(OR(הגדרות!$E$6=0,H1104&gt;הגדרות!$E$5),"",IF(H1104-1&lt;הגדרות!$E$8*(הגדרות!$E$7+1),INT((H1104-1)/(הגדרות!$E$7+1)),הגדרות!$E$8+INT((H1104-1-הגדרות!$E$8*(הגדרות!$E$7+1))/הגדרות!$E$7)))</f>
        <v/>
      </c>
      <c r="J1104" s="0" t="str">
        <f aca="false">IF(I1104="","",IF(H1104-1&lt;הגדרות!$E$8*(הגדרות!$E$7+1),MOD(H1104-1,הגדרות!$E$7+1),MOD(H1104-1-הגדרות!$E$8*(הגדרות!$E$7+1),הגדרות!$E$7)))</f>
        <v/>
      </c>
      <c r="K1104" s="0" t="str">
        <f aca="false">IF(I1104="","",J1104*הגדרות!$E$6+I1104+1)</f>
        <v/>
      </c>
      <c r="L1104" s="0" t="str">
        <f aca="false">IF(K1104="","",MATCH(K1104,$F$2:$F$5001,0))</f>
        <v/>
      </c>
      <c r="M1104" s="0" t="str">
        <f aca="false">IF(I1104="","",INDEX(הגדרות!$A$2:$A$21,MOD(I1104+הגדרות!$E$9,הגדרות!$E$6)+1))</f>
        <v/>
      </c>
    </row>
    <row r="1105" customFormat="false" ht="15" hidden="false" customHeight="false" outlineLevel="0" collapsed="false">
      <c r="A1105" s="0" t="str">
        <f aca="false">IF('הדבקת לידים'!A1105="","",IF(ISNUMBER('הדבקת לידים'!A1105),IF(הגדרות!$E$2&gt;0,TEXT('הדבקת לידים'!A1105,REPT("0",הגדרות!$E$2)),TEXT('הדבקת לידים'!A1105,"0")),TRIM('הדבקת לידים'!A1105)))</f>
        <v/>
      </c>
      <c r="B1105" s="0" t="str">
        <f aca="false">IF('הדבקת לידים'!B1105="","",IF(ISNUMBER('הדבקת לידים'!B1105),IF(הגדרות!$E$3&gt;0,TEXT('הדבקת לידים'!B1105,REPT("0",הגדרות!$E$3)),TEXT('הדבקת לידים'!B1105,"0")),TRIM('הדבקת לידים'!B1105)))</f>
        <v/>
      </c>
      <c r="C1105" s="0" t="n">
        <f aca="false">IF(OR(A1105&lt;&gt;"",B1105&lt;&gt;""),1,0)</f>
        <v>0</v>
      </c>
      <c r="D1105" s="0" t="str">
        <f aca="false">IF(C1105=1,MOD(ABS(SIN(ROW()*12.9898+'הדבקת לידים'!$F$2*78.233+IFERROR(--RIGHT(A1105,6),LEN(A1105))*0.0137+IFERROR(--RIGHT(B1105,6),LEN(B1105))*0.0071))*43758.5453,1),"")</f>
        <v/>
      </c>
      <c r="E1105" s="0" t="str">
        <f aca="false">IF(C1105=1,INT(MOD(ABS(SIN(D1105*7919.123+ROW()*0.618+'הדבקת לידים'!$F$2*1.3))*43758.5453,1)*1000000)*10000+ROW(),"")</f>
        <v/>
      </c>
      <c r="F1105" s="0" t="str">
        <f aca="false">IF(E1105="","",RANK(E1105,$E$2:$E$5001,1))</f>
        <v/>
      </c>
      <c r="G1105" s="0" t="n">
        <f aca="false">IF(A1105="",0,IF(SUMPRODUCT(--($A$2:$A$5001=A1105))&gt;1,1,0))</f>
        <v>0</v>
      </c>
      <c r="H1105" s="0" t="n">
        <f aca="false">ROW()-1</f>
        <v>1104</v>
      </c>
      <c r="I1105" s="0" t="str">
        <f aca="false">IF(OR(הגדרות!$E$6=0,H1105&gt;הגדרות!$E$5),"",IF(H1105-1&lt;הגדרות!$E$8*(הגדרות!$E$7+1),INT((H1105-1)/(הגדרות!$E$7+1)),הגדרות!$E$8+INT((H1105-1-הגדרות!$E$8*(הגדרות!$E$7+1))/הגדרות!$E$7)))</f>
        <v/>
      </c>
      <c r="J1105" s="0" t="str">
        <f aca="false">IF(I1105="","",IF(H1105-1&lt;הגדרות!$E$8*(הגדרות!$E$7+1),MOD(H1105-1,הגדרות!$E$7+1),MOD(H1105-1-הגדרות!$E$8*(הגדרות!$E$7+1),הגדרות!$E$7)))</f>
        <v/>
      </c>
      <c r="K1105" s="0" t="str">
        <f aca="false">IF(I1105="","",J1105*הגדרות!$E$6+I1105+1)</f>
        <v/>
      </c>
      <c r="L1105" s="0" t="str">
        <f aca="false">IF(K1105="","",MATCH(K1105,$F$2:$F$5001,0))</f>
        <v/>
      </c>
      <c r="M1105" s="0" t="str">
        <f aca="false">IF(I1105="","",INDEX(הגדרות!$A$2:$A$21,MOD(I1105+הגדרות!$E$9,הגדרות!$E$6)+1))</f>
        <v/>
      </c>
    </row>
    <row r="1106" customFormat="false" ht="15" hidden="false" customHeight="false" outlineLevel="0" collapsed="false">
      <c r="A1106" s="0" t="str">
        <f aca="false">IF('הדבקת לידים'!A1106="","",IF(ISNUMBER('הדבקת לידים'!A1106),IF(הגדרות!$E$2&gt;0,TEXT('הדבקת לידים'!A1106,REPT("0",הגדרות!$E$2)),TEXT('הדבקת לידים'!A1106,"0")),TRIM('הדבקת לידים'!A1106)))</f>
        <v/>
      </c>
      <c r="B1106" s="0" t="str">
        <f aca="false">IF('הדבקת לידים'!B1106="","",IF(ISNUMBER('הדבקת לידים'!B1106),IF(הגדרות!$E$3&gt;0,TEXT('הדבקת לידים'!B1106,REPT("0",הגדרות!$E$3)),TEXT('הדבקת לידים'!B1106,"0")),TRIM('הדבקת לידים'!B1106)))</f>
        <v/>
      </c>
      <c r="C1106" s="0" t="n">
        <f aca="false">IF(OR(A1106&lt;&gt;"",B1106&lt;&gt;""),1,0)</f>
        <v>0</v>
      </c>
      <c r="D1106" s="0" t="str">
        <f aca="false">IF(C1106=1,MOD(ABS(SIN(ROW()*12.9898+'הדבקת לידים'!$F$2*78.233+IFERROR(--RIGHT(A1106,6),LEN(A1106))*0.0137+IFERROR(--RIGHT(B1106,6),LEN(B1106))*0.0071))*43758.5453,1),"")</f>
        <v/>
      </c>
      <c r="E1106" s="0" t="str">
        <f aca="false">IF(C1106=1,INT(MOD(ABS(SIN(D1106*7919.123+ROW()*0.618+'הדבקת לידים'!$F$2*1.3))*43758.5453,1)*1000000)*10000+ROW(),"")</f>
        <v/>
      </c>
      <c r="F1106" s="0" t="str">
        <f aca="false">IF(E1106="","",RANK(E1106,$E$2:$E$5001,1))</f>
        <v/>
      </c>
      <c r="G1106" s="0" t="n">
        <f aca="false">IF(A1106="",0,IF(SUMPRODUCT(--($A$2:$A$5001=A1106))&gt;1,1,0))</f>
        <v>0</v>
      </c>
      <c r="H1106" s="0" t="n">
        <f aca="false">ROW()-1</f>
        <v>1105</v>
      </c>
      <c r="I1106" s="0" t="str">
        <f aca="false">IF(OR(הגדרות!$E$6=0,H1106&gt;הגדרות!$E$5),"",IF(H1106-1&lt;הגדרות!$E$8*(הגדרות!$E$7+1),INT((H1106-1)/(הגדרות!$E$7+1)),הגדרות!$E$8+INT((H1106-1-הגדרות!$E$8*(הגדרות!$E$7+1))/הגדרות!$E$7)))</f>
        <v/>
      </c>
      <c r="J1106" s="0" t="str">
        <f aca="false">IF(I1106="","",IF(H1106-1&lt;הגדרות!$E$8*(הגדרות!$E$7+1),MOD(H1106-1,הגדרות!$E$7+1),MOD(H1106-1-הגדרות!$E$8*(הגדרות!$E$7+1),הגדרות!$E$7)))</f>
        <v/>
      </c>
      <c r="K1106" s="0" t="str">
        <f aca="false">IF(I1106="","",J1106*הגדרות!$E$6+I1106+1)</f>
        <v/>
      </c>
      <c r="L1106" s="0" t="str">
        <f aca="false">IF(K1106="","",MATCH(K1106,$F$2:$F$5001,0))</f>
        <v/>
      </c>
      <c r="M1106" s="0" t="str">
        <f aca="false">IF(I1106="","",INDEX(הגדרות!$A$2:$A$21,MOD(I1106+הגדרות!$E$9,הגדרות!$E$6)+1))</f>
        <v/>
      </c>
    </row>
    <row r="1107" customFormat="false" ht="15" hidden="false" customHeight="false" outlineLevel="0" collapsed="false">
      <c r="A1107" s="0" t="str">
        <f aca="false">IF('הדבקת לידים'!A1107="","",IF(ISNUMBER('הדבקת לידים'!A1107),IF(הגדרות!$E$2&gt;0,TEXT('הדבקת לידים'!A1107,REPT("0",הגדרות!$E$2)),TEXT('הדבקת לידים'!A1107,"0")),TRIM('הדבקת לידים'!A1107)))</f>
        <v/>
      </c>
      <c r="B1107" s="0" t="str">
        <f aca="false">IF('הדבקת לידים'!B1107="","",IF(ISNUMBER('הדבקת לידים'!B1107),IF(הגדרות!$E$3&gt;0,TEXT('הדבקת לידים'!B1107,REPT("0",הגדרות!$E$3)),TEXT('הדבקת לידים'!B1107,"0")),TRIM('הדבקת לידים'!B1107)))</f>
        <v/>
      </c>
      <c r="C1107" s="0" t="n">
        <f aca="false">IF(OR(A1107&lt;&gt;"",B1107&lt;&gt;""),1,0)</f>
        <v>0</v>
      </c>
      <c r="D1107" s="0" t="str">
        <f aca="false">IF(C1107=1,MOD(ABS(SIN(ROW()*12.9898+'הדבקת לידים'!$F$2*78.233+IFERROR(--RIGHT(A1107,6),LEN(A1107))*0.0137+IFERROR(--RIGHT(B1107,6),LEN(B1107))*0.0071))*43758.5453,1),"")</f>
        <v/>
      </c>
      <c r="E1107" s="0" t="str">
        <f aca="false">IF(C1107=1,INT(MOD(ABS(SIN(D1107*7919.123+ROW()*0.618+'הדבקת לידים'!$F$2*1.3))*43758.5453,1)*1000000)*10000+ROW(),"")</f>
        <v/>
      </c>
      <c r="F1107" s="0" t="str">
        <f aca="false">IF(E1107="","",RANK(E1107,$E$2:$E$5001,1))</f>
        <v/>
      </c>
      <c r="G1107" s="0" t="n">
        <f aca="false">IF(A1107="",0,IF(SUMPRODUCT(--($A$2:$A$5001=A1107))&gt;1,1,0))</f>
        <v>0</v>
      </c>
      <c r="H1107" s="0" t="n">
        <f aca="false">ROW()-1</f>
        <v>1106</v>
      </c>
      <c r="I1107" s="0" t="str">
        <f aca="false">IF(OR(הגדרות!$E$6=0,H1107&gt;הגדרות!$E$5),"",IF(H1107-1&lt;הגדרות!$E$8*(הגדרות!$E$7+1),INT((H1107-1)/(הגדרות!$E$7+1)),הגדרות!$E$8+INT((H1107-1-הגדרות!$E$8*(הגדרות!$E$7+1))/הגדרות!$E$7)))</f>
        <v/>
      </c>
      <c r="J1107" s="0" t="str">
        <f aca="false">IF(I1107="","",IF(H1107-1&lt;הגדרות!$E$8*(הגדרות!$E$7+1),MOD(H1107-1,הגדרות!$E$7+1),MOD(H1107-1-הגדרות!$E$8*(הגדרות!$E$7+1),הגדרות!$E$7)))</f>
        <v/>
      </c>
      <c r="K1107" s="0" t="str">
        <f aca="false">IF(I1107="","",J1107*הגדרות!$E$6+I1107+1)</f>
        <v/>
      </c>
      <c r="L1107" s="0" t="str">
        <f aca="false">IF(K1107="","",MATCH(K1107,$F$2:$F$5001,0))</f>
        <v/>
      </c>
      <c r="M1107" s="0" t="str">
        <f aca="false">IF(I1107="","",INDEX(הגדרות!$A$2:$A$21,MOD(I1107+הגדרות!$E$9,הגדרות!$E$6)+1))</f>
        <v/>
      </c>
    </row>
    <row r="1108" customFormat="false" ht="15" hidden="false" customHeight="false" outlineLevel="0" collapsed="false">
      <c r="A1108" s="0" t="str">
        <f aca="false">IF('הדבקת לידים'!A1108="","",IF(ISNUMBER('הדבקת לידים'!A1108),IF(הגדרות!$E$2&gt;0,TEXT('הדבקת לידים'!A1108,REPT("0",הגדרות!$E$2)),TEXT('הדבקת לידים'!A1108,"0")),TRIM('הדבקת לידים'!A1108)))</f>
        <v/>
      </c>
      <c r="B1108" s="0" t="str">
        <f aca="false">IF('הדבקת לידים'!B1108="","",IF(ISNUMBER('הדבקת לידים'!B1108),IF(הגדרות!$E$3&gt;0,TEXT('הדבקת לידים'!B1108,REPT("0",הגדרות!$E$3)),TEXT('הדבקת לידים'!B1108,"0")),TRIM('הדבקת לידים'!B1108)))</f>
        <v/>
      </c>
      <c r="C1108" s="0" t="n">
        <f aca="false">IF(OR(A1108&lt;&gt;"",B1108&lt;&gt;""),1,0)</f>
        <v>0</v>
      </c>
      <c r="D1108" s="0" t="str">
        <f aca="false">IF(C1108=1,MOD(ABS(SIN(ROW()*12.9898+'הדבקת לידים'!$F$2*78.233+IFERROR(--RIGHT(A1108,6),LEN(A1108))*0.0137+IFERROR(--RIGHT(B1108,6),LEN(B1108))*0.0071))*43758.5453,1),"")</f>
        <v/>
      </c>
      <c r="E1108" s="0" t="str">
        <f aca="false">IF(C1108=1,INT(MOD(ABS(SIN(D1108*7919.123+ROW()*0.618+'הדבקת לידים'!$F$2*1.3))*43758.5453,1)*1000000)*10000+ROW(),"")</f>
        <v/>
      </c>
      <c r="F1108" s="0" t="str">
        <f aca="false">IF(E1108="","",RANK(E1108,$E$2:$E$5001,1))</f>
        <v/>
      </c>
      <c r="G1108" s="0" t="n">
        <f aca="false">IF(A1108="",0,IF(SUMPRODUCT(--($A$2:$A$5001=A1108))&gt;1,1,0))</f>
        <v>0</v>
      </c>
      <c r="H1108" s="0" t="n">
        <f aca="false">ROW()-1</f>
        <v>1107</v>
      </c>
      <c r="I1108" s="0" t="str">
        <f aca="false">IF(OR(הגדרות!$E$6=0,H1108&gt;הגדרות!$E$5),"",IF(H1108-1&lt;הגדרות!$E$8*(הגדרות!$E$7+1),INT((H1108-1)/(הגדרות!$E$7+1)),הגדרות!$E$8+INT((H1108-1-הגדרות!$E$8*(הגדרות!$E$7+1))/הגדרות!$E$7)))</f>
        <v/>
      </c>
      <c r="J1108" s="0" t="str">
        <f aca="false">IF(I1108="","",IF(H1108-1&lt;הגדרות!$E$8*(הגדרות!$E$7+1),MOD(H1108-1,הגדרות!$E$7+1),MOD(H1108-1-הגדרות!$E$8*(הגדרות!$E$7+1),הגדרות!$E$7)))</f>
        <v/>
      </c>
      <c r="K1108" s="0" t="str">
        <f aca="false">IF(I1108="","",J1108*הגדרות!$E$6+I1108+1)</f>
        <v/>
      </c>
      <c r="L1108" s="0" t="str">
        <f aca="false">IF(K1108="","",MATCH(K1108,$F$2:$F$5001,0))</f>
        <v/>
      </c>
      <c r="M1108" s="0" t="str">
        <f aca="false">IF(I1108="","",INDEX(הגדרות!$A$2:$A$21,MOD(I1108+הגדרות!$E$9,הגדרות!$E$6)+1))</f>
        <v/>
      </c>
    </row>
    <row r="1109" customFormat="false" ht="15" hidden="false" customHeight="false" outlineLevel="0" collapsed="false">
      <c r="A1109" s="0" t="str">
        <f aca="false">IF('הדבקת לידים'!A1109="","",IF(ISNUMBER('הדבקת לידים'!A1109),IF(הגדרות!$E$2&gt;0,TEXT('הדבקת לידים'!A1109,REPT("0",הגדרות!$E$2)),TEXT('הדבקת לידים'!A1109,"0")),TRIM('הדבקת לידים'!A1109)))</f>
        <v/>
      </c>
      <c r="B1109" s="0" t="str">
        <f aca="false">IF('הדבקת לידים'!B1109="","",IF(ISNUMBER('הדבקת לידים'!B1109),IF(הגדרות!$E$3&gt;0,TEXT('הדבקת לידים'!B1109,REPT("0",הגדרות!$E$3)),TEXT('הדבקת לידים'!B1109,"0")),TRIM('הדבקת לידים'!B1109)))</f>
        <v/>
      </c>
      <c r="C1109" s="0" t="n">
        <f aca="false">IF(OR(A1109&lt;&gt;"",B1109&lt;&gt;""),1,0)</f>
        <v>0</v>
      </c>
      <c r="D1109" s="0" t="str">
        <f aca="false">IF(C1109=1,MOD(ABS(SIN(ROW()*12.9898+'הדבקת לידים'!$F$2*78.233+IFERROR(--RIGHT(A1109,6),LEN(A1109))*0.0137+IFERROR(--RIGHT(B1109,6),LEN(B1109))*0.0071))*43758.5453,1),"")</f>
        <v/>
      </c>
      <c r="E1109" s="0" t="str">
        <f aca="false">IF(C1109=1,INT(MOD(ABS(SIN(D1109*7919.123+ROW()*0.618+'הדבקת לידים'!$F$2*1.3))*43758.5453,1)*1000000)*10000+ROW(),"")</f>
        <v/>
      </c>
      <c r="F1109" s="0" t="str">
        <f aca="false">IF(E1109="","",RANK(E1109,$E$2:$E$5001,1))</f>
        <v/>
      </c>
      <c r="G1109" s="0" t="n">
        <f aca="false">IF(A1109="",0,IF(SUMPRODUCT(--($A$2:$A$5001=A1109))&gt;1,1,0))</f>
        <v>0</v>
      </c>
      <c r="H1109" s="0" t="n">
        <f aca="false">ROW()-1</f>
        <v>1108</v>
      </c>
      <c r="I1109" s="0" t="str">
        <f aca="false">IF(OR(הגדרות!$E$6=0,H1109&gt;הגדרות!$E$5),"",IF(H1109-1&lt;הגדרות!$E$8*(הגדרות!$E$7+1),INT((H1109-1)/(הגדרות!$E$7+1)),הגדרות!$E$8+INT((H1109-1-הגדרות!$E$8*(הגדרות!$E$7+1))/הגדרות!$E$7)))</f>
        <v/>
      </c>
      <c r="J1109" s="0" t="str">
        <f aca="false">IF(I1109="","",IF(H1109-1&lt;הגדרות!$E$8*(הגדרות!$E$7+1),MOD(H1109-1,הגדרות!$E$7+1),MOD(H1109-1-הגדרות!$E$8*(הגדרות!$E$7+1),הגדרות!$E$7)))</f>
        <v/>
      </c>
      <c r="K1109" s="0" t="str">
        <f aca="false">IF(I1109="","",J1109*הגדרות!$E$6+I1109+1)</f>
        <v/>
      </c>
      <c r="L1109" s="0" t="str">
        <f aca="false">IF(K1109="","",MATCH(K1109,$F$2:$F$5001,0))</f>
        <v/>
      </c>
      <c r="M1109" s="0" t="str">
        <f aca="false">IF(I1109="","",INDEX(הגדרות!$A$2:$A$21,MOD(I1109+הגדרות!$E$9,הגדרות!$E$6)+1))</f>
        <v/>
      </c>
    </row>
    <row r="1110" customFormat="false" ht="15" hidden="false" customHeight="false" outlineLevel="0" collapsed="false">
      <c r="A1110" s="0" t="str">
        <f aca="false">IF('הדבקת לידים'!A1110="","",IF(ISNUMBER('הדבקת לידים'!A1110),IF(הגדרות!$E$2&gt;0,TEXT('הדבקת לידים'!A1110,REPT("0",הגדרות!$E$2)),TEXT('הדבקת לידים'!A1110,"0")),TRIM('הדבקת לידים'!A1110)))</f>
        <v/>
      </c>
      <c r="B1110" s="0" t="str">
        <f aca="false">IF('הדבקת לידים'!B1110="","",IF(ISNUMBER('הדבקת לידים'!B1110),IF(הגדרות!$E$3&gt;0,TEXT('הדבקת לידים'!B1110,REPT("0",הגדרות!$E$3)),TEXT('הדבקת לידים'!B1110,"0")),TRIM('הדבקת לידים'!B1110)))</f>
        <v/>
      </c>
      <c r="C1110" s="0" t="n">
        <f aca="false">IF(OR(A1110&lt;&gt;"",B1110&lt;&gt;""),1,0)</f>
        <v>0</v>
      </c>
      <c r="D1110" s="0" t="str">
        <f aca="false">IF(C1110=1,MOD(ABS(SIN(ROW()*12.9898+'הדבקת לידים'!$F$2*78.233+IFERROR(--RIGHT(A1110,6),LEN(A1110))*0.0137+IFERROR(--RIGHT(B1110,6),LEN(B1110))*0.0071))*43758.5453,1),"")</f>
        <v/>
      </c>
      <c r="E1110" s="0" t="str">
        <f aca="false">IF(C1110=1,INT(MOD(ABS(SIN(D1110*7919.123+ROW()*0.618+'הדבקת לידים'!$F$2*1.3))*43758.5453,1)*1000000)*10000+ROW(),"")</f>
        <v/>
      </c>
      <c r="F1110" s="0" t="str">
        <f aca="false">IF(E1110="","",RANK(E1110,$E$2:$E$5001,1))</f>
        <v/>
      </c>
      <c r="G1110" s="0" t="n">
        <f aca="false">IF(A1110="",0,IF(SUMPRODUCT(--($A$2:$A$5001=A1110))&gt;1,1,0))</f>
        <v>0</v>
      </c>
      <c r="H1110" s="0" t="n">
        <f aca="false">ROW()-1</f>
        <v>1109</v>
      </c>
      <c r="I1110" s="0" t="str">
        <f aca="false">IF(OR(הגדרות!$E$6=0,H1110&gt;הגדרות!$E$5),"",IF(H1110-1&lt;הגדרות!$E$8*(הגדרות!$E$7+1),INT((H1110-1)/(הגדרות!$E$7+1)),הגדרות!$E$8+INT((H1110-1-הגדרות!$E$8*(הגדרות!$E$7+1))/הגדרות!$E$7)))</f>
        <v/>
      </c>
      <c r="J1110" s="0" t="str">
        <f aca="false">IF(I1110="","",IF(H1110-1&lt;הגדרות!$E$8*(הגדרות!$E$7+1),MOD(H1110-1,הגדרות!$E$7+1),MOD(H1110-1-הגדרות!$E$8*(הגדרות!$E$7+1),הגדרות!$E$7)))</f>
        <v/>
      </c>
      <c r="K1110" s="0" t="str">
        <f aca="false">IF(I1110="","",J1110*הגדרות!$E$6+I1110+1)</f>
        <v/>
      </c>
      <c r="L1110" s="0" t="str">
        <f aca="false">IF(K1110="","",MATCH(K1110,$F$2:$F$5001,0))</f>
        <v/>
      </c>
      <c r="M1110" s="0" t="str">
        <f aca="false">IF(I1110="","",INDEX(הגדרות!$A$2:$A$21,MOD(I1110+הגדרות!$E$9,הגדרות!$E$6)+1))</f>
        <v/>
      </c>
    </row>
    <row r="1111" customFormat="false" ht="15" hidden="false" customHeight="false" outlineLevel="0" collapsed="false">
      <c r="A1111" s="0" t="str">
        <f aca="false">IF('הדבקת לידים'!A1111="","",IF(ISNUMBER('הדבקת לידים'!A1111),IF(הגדרות!$E$2&gt;0,TEXT('הדבקת לידים'!A1111,REPT("0",הגדרות!$E$2)),TEXT('הדבקת לידים'!A1111,"0")),TRIM('הדבקת לידים'!A1111)))</f>
        <v/>
      </c>
      <c r="B1111" s="0" t="str">
        <f aca="false">IF('הדבקת לידים'!B1111="","",IF(ISNUMBER('הדבקת לידים'!B1111),IF(הגדרות!$E$3&gt;0,TEXT('הדבקת לידים'!B1111,REPT("0",הגדרות!$E$3)),TEXT('הדבקת לידים'!B1111,"0")),TRIM('הדבקת לידים'!B1111)))</f>
        <v/>
      </c>
      <c r="C1111" s="0" t="n">
        <f aca="false">IF(OR(A1111&lt;&gt;"",B1111&lt;&gt;""),1,0)</f>
        <v>0</v>
      </c>
      <c r="D1111" s="0" t="str">
        <f aca="false">IF(C1111=1,MOD(ABS(SIN(ROW()*12.9898+'הדבקת לידים'!$F$2*78.233+IFERROR(--RIGHT(A1111,6),LEN(A1111))*0.0137+IFERROR(--RIGHT(B1111,6),LEN(B1111))*0.0071))*43758.5453,1),"")</f>
        <v/>
      </c>
      <c r="E1111" s="0" t="str">
        <f aca="false">IF(C1111=1,INT(MOD(ABS(SIN(D1111*7919.123+ROW()*0.618+'הדבקת לידים'!$F$2*1.3))*43758.5453,1)*1000000)*10000+ROW(),"")</f>
        <v/>
      </c>
      <c r="F1111" s="0" t="str">
        <f aca="false">IF(E1111="","",RANK(E1111,$E$2:$E$5001,1))</f>
        <v/>
      </c>
      <c r="G1111" s="0" t="n">
        <f aca="false">IF(A1111="",0,IF(SUMPRODUCT(--($A$2:$A$5001=A1111))&gt;1,1,0))</f>
        <v>0</v>
      </c>
      <c r="H1111" s="0" t="n">
        <f aca="false">ROW()-1</f>
        <v>1110</v>
      </c>
      <c r="I1111" s="0" t="str">
        <f aca="false">IF(OR(הגדרות!$E$6=0,H1111&gt;הגדרות!$E$5),"",IF(H1111-1&lt;הגדרות!$E$8*(הגדרות!$E$7+1),INT((H1111-1)/(הגדרות!$E$7+1)),הגדרות!$E$8+INT((H1111-1-הגדרות!$E$8*(הגדרות!$E$7+1))/הגדרות!$E$7)))</f>
        <v/>
      </c>
      <c r="J1111" s="0" t="str">
        <f aca="false">IF(I1111="","",IF(H1111-1&lt;הגדרות!$E$8*(הגדרות!$E$7+1),MOD(H1111-1,הגדרות!$E$7+1),MOD(H1111-1-הגדרות!$E$8*(הגדרות!$E$7+1),הגדרות!$E$7)))</f>
        <v/>
      </c>
      <c r="K1111" s="0" t="str">
        <f aca="false">IF(I1111="","",J1111*הגדרות!$E$6+I1111+1)</f>
        <v/>
      </c>
      <c r="L1111" s="0" t="str">
        <f aca="false">IF(K1111="","",MATCH(K1111,$F$2:$F$5001,0))</f>
        <v/>
      </c>
      <c r="M1111" s="0" t="str">
        <f aca="false">IF(I1111="","",INDEX(הגדרות!$A$2:$A$21,MOD(I1111+הגדרות!$E$9,הגדרות!$E$6)+1))</f>
        <v/>
      </c>
    </row>
    <row r="1112" customFormat="false" ht="15" hidden="false" customHeight="false" outlineLevel="0" collapsed="false">
      <c r="A1112" s="0" t="str">
        <f aca="false">IF('הדבקת לידים'!A1112="","",IF(ISNUMBER('הדבקת לידים'!A1112),IF(הגדרות!$E$2&gt;0,TEXT('הדבקת לידים'!A1112,REPT("0",הגדרות!$E$2)),TEXT('הדבקת לידים'!A1112,"0")),TRIM('הדבקת לידים'!A1112)))</f>
        <v/>
      </c>
      <c r="B1112" s="0" t="str">
        <f aca="false">IF('הדבקת לידים'!B1112="","",IF(ISNUMBER('הדבקת לידים'!B1112),IF(הגדרות!$E$3&gt;0,TEXT('הדבקת לידים'!B1112,REPT("0",הגדרות!$E$3)),TEXT('הדבקת לידים'!B1112,"0")),TRIM('הדבקת לידים'!B1112)))</f>
        <v/>
      </c>
      <c r="C1112" s="0" t="n">
        <f aca="false">IF(OR(A1112&lt;&gt;"",B1112&lt;&gt;""),1,0)</f>
        <v>0</v>
      </c>
      <c r="D1112" s="0" t="str">
        <f aca="false">IF(C1112=1,MOD(ABS(SIN(ROW()*12.9898+'הדבקת לידים'!$F$2*78.233+IFERROR(--RIGHT(A1112,6),LEN(A1112))*0.0137+IFERROR(--RIGHT(B1112,6),LEN(B1112))*0.0071))*43758.5453,1),"")</f>
        <v/>
      </c>
      <c r="E1112" s="0" t="str">
        <f aca="false">IF(C1112=1,INT(MOD(ABS(SIN(D1112*7919.123+ROW()*0.618+'הדבקת לידים'!$F$2*1.3))*43758.5453,1)*1000000)*10000+ROW(),"")</f>
        <v/>
      </c>
      <c r="F1112" s="0" t="str">
        <f aca="false">IF(E1112="","",RANK(E1112,$E$2:$E$5001,1))</f>
        <v/>
      </c>
      <c r="G1112" s="0" t="n">
        <f aca="false">IF(A1112="",0,IF(SUMPRODUCT(--($A$2:$A$5001=A1112))&gt;1,1,0))</f>
        <v>0</v>
      </c>
      <c r="H1112" s="0" t="n">
        <f aca="false">ROW()-1</f>
        <v>1111</v>
      </c>
      <c r="I1112" s="0" t="str">
        <f aca="false">IF(OR(הגדרות!$E$6=0,H1112&gt;הגדרות!$E$5),"",IF(H1112-1&lt;הגדרות!$E$8*(הגדרות!$E$7+1),INT((H1112-1)/(הגדרות!$E$7+1)),הגדרות!$E$8+INT((H1112-1-הגדרות!$E$8*(הגדרות!$E$7+1))/הגדרות!$E$7)))</f>
        <v/>
      </c>
      <c r="J1112" s="0" t="str">
        <f aca="false">IF(I1112="","",IF(H1112-1&lt;הגדרות!$E$8*(הגדרות!$E$7+1),MOD(H1112-1,הגדרות!$E$7+1),MOD(H1112-1-הגדרות!$E$8*(הגדרות!$E$7+1),הגדרות!$E$7)))</f>
        <v/>
      </c>
      <c r="K1112" s="0" t="str">
        <f aca="false">IF(I1112="","",J1112*הגדרות!$E$6+I1112+1)</f>
        <v/>
      </c>
      <c r="L1112" s="0" t="str">
        <f aca="false">IF(K1112="","",MATCH(K1112,$F$2:$F$5001,0))</f>
        <v/>
      </c>
      <c r="M1112" s="0" t="str">
        <f aca="false">IF(I1112="","",INDEX(הגדרות!$A$2:$A$21,MOD(I1112+הגדרות!$E$9,הגדרות!$E$6)+1))</f>
        <v/>
      </c>
    </row>
    <row r="1113" customFormat="false" ht="15" hidden="false" customHeight="false" outlineLevel="0" collapsed="false">
      <c r="A1113" s="0" t="str">
        <f aca="false">IF('הדבקת לידים'!A1113="","",IF(ISNUMBER('הדבקת לידים'!A1113),IF(הגדרות!$E$2&gt;0,TEXT('הדבקת לידים'!A1113,REPT("0",הגדרות!$E$2)),TEXT('הדבקת לידים'!A1113,"0")),TRIM('הדבקת לידים'!A1113)))</f>
        <v/>
      </c>
      <c r="B1113" s="0" t="str">
        <f aca="false">IF('הדבקת לידים'!B1113="","",IF(ISNUMBER('הדבקת לידים'!B1113),IF(הגדרות!$E$3&gt;0,TEXT('הדבקת לידים'!B1113,REPT("0",הגדרות!$E$3)),TEXT('הדבקת לידים'!B1113,"0")),TRIM('הדבקת לידים'!B1113)))</f>
        <v/>
      </c>
      <c r="C1113" s="0" t="n">
        <f aca="false">IF(OR(A1113&lt;&gt;"",B1113&lt;&gt;""),1,0)</f>
        <v>0</v>
      </c>
      <c r="D1113" s="0" t="str">
        <f aca="false">IF(C1113=1,MOD(ABS(SIN(ROW()*12.9898+'הדבקת לידים'!$F$2*78.233+IFERROR(--RIGHT(A1113,6),LEN(A1113))*0.0137+IFERROR(--RIGHT(B1113,6),LEN(B1113))*0.0071))*43758.5453,1),"")</f>
        <v/>
      </c>
      <c r="E1113" s="0" t="str">
        <f aca="false">IF(C1113=1,INT(MOD(ABS(SIN(D1113*7919.123+ROW()*0.618+'הדבקת לידים'!$F$2*1.3))*43758.5453,1)*1000000)*10000+ROW(),"")</f>
        <v/>
      </c>
      <c r="F1113" s="0" t="str">
        <f aca="false">IF(E1113="","",RANK(E1113,$E$2:$E$5001,1))</f>
        <v/>
      </c>
      <c r="G1113" s="0" t="n">
        <f aca="false">IF(A1113="",0,IF(SUMPRODUCT(--($A$2:$A$5001=A1113))&gt;1,1,0))</f>
        <v>0</v>
      </c>
      <c r="H1113" s="0" t="n">
        <f aca="false">ROW()-1</f>
        <v>1112</v>
      </c>
      <c r="I1113" s="0" t="str">
        <f aca="false">IF(OR(הגדרות!$E$6=0,H1113&gt;הגדרות!$E$5),"",IF(H1113-1&lt;הגדרות!$E$8*(הגדרות!$E$7+1),INT((H1113-1)/(הגדרות!$E$7+1)),הגדרות!$E$8+INT((H1113-1-הגדרות!$E$8*(הגדרות!$E$7+1))/הגדרות!$E$7)))</f>
        <v/>
      </c>
      <c r="J1113" s="0" t="str">
        <f aca="false">IF(I1113="","",IF(H1113-1&lt;הגדרות!$E$8*(הגדרות!$E$7+1),MOD(H1113-1,הגדרות!$E$7+1),MOD(H1113-1-הגדרות!$E$8*(הגדרות!$E$7+1),הגדרות!$E$7)))</f>
        <v/>
      </c>
      <c r="K1113" s="0" t="str">
        <f aca="false">IF(I1113="","",J1113*הגדרות!$E$6+I1113+1)</f>
        <v/>
      </c>
      <c r="L1113" s="0" t="str">
        <f aca="false">IF(K1113="","",MATCH(K1113,$F$2:$F$5001,0))</f>
        <v/>
      </c>
      <c r="M1113" s="0" t="str">
        <f aca="false">IF(I1113="","",INDEX(הגדרות!$A$2:$A$21,MOD(I1113+הגדרות!$E$9,הגדרות!$E$6)+1))</f>
        <v/>
      </c>
    </row>
    <row r="1114" customFormat="false" ht="15" hidden="false" customHeight="false" outlineLevel="0" collapsed="false">
      <c r="A1114" s="0" t="str">
        <f aca="false">IF('הדבקת לידים'!A1114="","",IF(ISNUMBER('הדבקת לידים'!A1114),IF(הגדרות!$E$2&gt;0,TEXT('הדבקת לידים'!A1114,REPT("0",הגדרות!$E$2)),TEXT('הדבקת לידים'!A1114,"0")),TRIM('הדבקת לידים'!A1114)))</f>
        <v/>
      </c>
      <c r="B1114" s="0" t="str">
        <f aca="false">IF('הדבקת לידים'!B1114="","",IF(ISNUMBER('הדבקת לידים'!B1114),IF(הגדרות!$E$3&gt;0,TEXT('הדבקת לידים'!B1114,REPT("0",הגדרות!$E$3)),TEXT('הדבקת לידים'!B1114,"0")),TRIM('הדבקת לידים'!B1114)))</f>
        <v/>
      </c>
      <c r="C1114" s="0" t="n">
        <f aca="false">IF(OR(A1114&lt;&gt;"",B1114&lt;&gt;""),1,0)</f>
        <v>0</v>
      </c>
      <c r="D1114" s="0" t="str">
        <f aca="false">IF(C1114=1,MOD(ABS(SIN(ROW()*12.9898+'הדבקת לידים'!$F$2*78.233+IFERROR(--RIGHT(A1114,6),LEN(A1114))*0.0137+IFERROR(--RIGHT(B1114,6),LEN(B1114))*0.0071))*43758.5453,1),"")</f>
        <v/>
      </c>
      <c r="E1114" s="0" t="str">
        <f aca="false">IF(C1114=1,INT(MOD(ABS(SIN(D1114*7919.123+ROW()*0.618+'הדבקת לידים'!$F$2*1.3))*43758.5453,1)*1000000)*10000+ROW(),"")</f>
        <v/>
      </c>
      <c r="F1114" s="0" t="str">
        <f aca="false">IF(E1114="","",RANK(E1114,$E$2:$E$5001,1))</f>
        <v/>
      </c>
      <c r="G1114" s="0" t="n">
        <f aca="false">IF(A1114="",0,IF(SUMPRODUCT(--($A$2:$A$5001=A1114))&gt;1,1,0))</f>
        <v>0</v>
      </c>
      <c r="H1114" s="0" t="n">
        <f aca="false">ROW()-1</f>
        <v>1113</v>
      </c>
      <c r="I1114" s="0" t="str">
        <f aca="false">IF(OR(הגדרות!$E$6=0,H1114&gt;הגדרות!$E$5),"",IF(H1114-1&lt;הגדרות!$E$8*(הגדרות!$E$7+1),INT((H1114-1)/(הגדרות!$E$7+1)),הגדרות!$E$8+INT((H1114-1-הגדרות!$E$8*(הגדרות!$E$7+1))/הגדרות!$E$7)))</f>
        <v/>
      </c>
      <c r="J1114" s="0" t="str">
        <f aca="false">IF(I1114="","",IF(H1114-1&lt;הגדרות!$E$8*(הגדרות!$E$7+1),MOD(H1114-1,הגדרות!$E$7+1),MOD(H1114-1-הגדרות!$E$8*(הגדרות!$E$7+1),הגדרות!$E$7)))</f>
        <v/>
      </c>
      <c r="K1114" s="0" t="str">
        <f aca="false">IF(I1114="","",J1114*הגדרות!$E$6+I1114+1)</f>
        <v/>
      </c>
      <c r="L1114" s="0" t="str">
        <f aca="false">IF(K1114="","",MATCH(K1114,$F$2:$F$5001,0))</f>
        <v/>
      </c>
      <c r="M1114" s="0" t="str">
        <f aca="false">IF(I1114="","",INDEX(הגדרות!$A$2:$A$21,MOD(I1114+הגדרות!$E$9,הגדרות!$E$6)+1))</f>
        <v/>
      </c>
    </row>
    <row r="1115" customFormat="false" ht="15" hidden="false" customHeight="false" outlineLevel="0" collapsed="false">
      <c r="A1115" s="0" t="str">
        <f aca="false">IF('הדבקת לידים'!A1115="","",IF(ISNUMBER('הדבקת לידים'!A1115),IF(הגדרות!$E$2&gt;0,TEXT('הדבקת לידים'!A1115,REPT("0",הגדרות!$E$2)),TEXT('הדבקת לידים'!A1115,"0")),TRIM('הדבקת לידים'!A1115)))</f>
        <v/>
      </c>
      <c r="B1115" s="0" t="str">
        <f aca="false">IF('הדבקת לידים'!B1115="","",IF(ISNUMBER('הדבקת לידים'!B1115),IF(הגדרות!$E$3&gt;0,TEXT('הדבקת לידים'!B1115,REPT("0",הגדרות!$E$3)),TEXT('הדבקת לידים'!B1115,"0")),TRIM('הדבקת לידים'!B1115)))</f>
        <v/>
      </c>
      <c r="C1115" s="0" t="n">
        <f aca="false">IF(OR(A1115&lt;&gt;"",B1115&lt;&gt;""),1,0)</f>
        <v>0</v>
      </c>
      <c r="D1115" s="0" t="str">
        <f aca="false">IF(C1115=1,MOD(ABS(SIN(ROW()*12.9898+'הדבקת לידים'!$F$2*78.233+IFERROR(--RIGHT(A1115,6),LEN(A1115))*0.0137+IFERROR(--RIGHT(B1115,6),LEN(B1115))*0.0071))*43758.5453,1),"")</f>
        <v/>
      </c>
      <c r="E1115" s="0" t="str">
        <f aca="false">IF(C1115=1,INT(MOD(ABS(SIN(D1115*7919.123+ROW()*0.618+'הדבקת לידים'!$F$2*1.3))*43758.5453,1)*1000000)*10000+ROW(),"")</f>
        <v/>
      </c>
      <c r="F1115" s="0" t="str">
        <f aca="false">IF(E1115="","",RANK(E1115,$E$2:$E$5001,1))</f>
        <v/>
      </c>
      <c r="G1115" s="0" t="n">
        <f aca="false">IF(A1115="",0,IF(SUMPRODUCT(--($A$2:$A$5001=A1115))&gt;1,1,0))</f>
        <v>0</v>
      </c>
      <c r="H1115" s="0" t="n">
        <f aca="false">ROW()-1</f>
        <v>1114</v>
      </c>
      <c r="I1115" s="0" t="str">
        <f aca="false">IF(OR(הגדרות!$E$6=0,H1115&gt;הגדרות!$E$5),"",IF(H1115-1&lt;הגדרות!$E$8*(הגדרות!$E$7+1),INT((H1115-1)/(הגדרות!$E$7+1)),הגדרות!$E$8+INT((H1115-1-הגדרות!$E$8*(הגדרות!$E$7+1))/הגדרות!$E$7)))</f>
        <v/>
      </c>
      <c r="J1115" s="0" t="str">
        <f aca="false">IF(I1115="","",IF(H1115-1&lt;הגדרות!$E$8*(הגדרות!$E$7+1),MOD(H1115-1,הגדרות!$E$7+1),MOD(H1115-1-הגדרות!$E$8*(הגדרות!$E$7+1),הגדרות!$E$7)))</f>
        <v/>
      </c>
      <c r="K1115" s="0" t="str">
        <f aca="false">IF(I1115="","",J1115*הגדרות!$E$6+I1115+1)</f>
        <v/>
      </c>
      <c r="L1115" s="0" t="str">
        <f aca="false">IF(K1115="","",MATCH(K1115,$F$2:$F$5001,0))</f>
        <v/>
      </c>
      <c r="M1115" s="0" t="str">
        <f aca="false">IF(I1115="","",INDEX(הגדרות!$A$2:$A$21,MOD(I1115+הגדרות!$E$9,הגדרות!$E$6)+1))</f>
        <v/>
      </c>
    </row>
    <row r="1116" customFormat="false" ht="15" hidden="false" customHeight="false" outlineLevel="0" collapsed="false">
      <c r="A1116" s="0" t="str">
        <f aca="false">IF('הדבקת לידים'!A1116="","",IF(ISNUMBER('הדבקת לידים'!A1116),IF(הגדרות!$E$2&gt;0,TEXT('הדבקת לידים'!A1116,REPT("0",הגדרות!$E$2)),TEXT('הדבקת לידים'!A1116,"0")),TRIM('הדבקת לידים'!A1116)))</f>
        <v/>
      </c>
      <c r="B1116" s="0" t="str">
        <f aca="false">IF('הדבקת לידים'!B1116="","",IF(ISNUMBER('הדבקת לידים'!B1116),IF(הגדרות!$E$3&gt;0,TEXT('הדבקת לידים'!B1116,REPT("0",הגדרות!$E$3)),TEXT('הדבקת לידים'!B1116,"0")),TRIM('הדבקת לידים'!B1116)))</f>
        <v/>
      </c>
      <c r="C1116" s="0" t="n">
        <f aca="false">IF(OR(A1116&lt;&gt;"",B1116&lt;&gt;""),1,0)</f>
        <v>0</v>
      </c>
      <c r="D1116" s="0" t="str">
        <f aca="false">IF(C1116=1,MOD(ABS(SIN(ROW()*12.9898+'הדבקת לידים'!$F$2*78.233+IFERROR(--RIGHT(A1116,6),LEN(A1116))*0.0137+IFERROR(--RIGHT(B1116,6),LEN(B1116))*0.0071))*43758.5453,1),"")</f>
        <v/>
      </c>
      <c r="E1116" s="0" t="str">
        <f aca="false">IF(C1116=1,INT(MOD(ABS(SIN(D1116*7919.123+ROW()*0.618+'הדבקת לידים'!$F$2*1.3))*43758.5453,1)*1000000)*10000+ROW(),"")</f>
        <v/>
      </c>
      <c r="F1116" s="0" t="str">
        <f aca="false">IF(E1116="","",RANK(E1116,$E$2:$E$5001,1))</f>
        <v/>
      </c>
      <c r="G1116" s="0" t="n">
        <f aca="false">IF(A1116="",0,IF(SUMPRODUCT(--($A$2:$A$5001=A1116))&gt;1,1,0))</f>
        <v>0</v>
      </c>
      <c r="H1116" s="0" t="n">
        <f aca="false">ROW()-1</f>
        <v>1115</v>
      </c>
      <c r="I1116" s="0" t="str">
        <f aca="false">IF(OR(הגדרות!$E$6=0,H1116&gt;הגדרות!$E$5),"",IF(H1116-1&lt;הגדרות!$E$8*(הגדרות!$E$7+1),INT((H1116-1)/(הגדרות!$E$7+1)),הגדרות!$E$8+INT((H1116-1-הגדרות!$E$8*(הגדרות!$E$7+1))/הגדרות!$E$7)))</f>
        <v/>
      </c>
      <c r="J1116" s="0" t="str">
        <f aca="false">IF(I1116="","",IF(H1116-1&lt;הגדרות!$E$8*(הגדרות!$E$7+1),MOD(H1116-1,הגדרות!$E$7+1),MOD(H1116-1-הגדרות!$E$8*(הגדרות!$E$7+1),הגדרות!$E$7)))</f>
        <v/>
      </c>
      <c r="K1116" s="0" t="str">
        <f aca="false">IF(I1116="","",J1116*הגדרות!$E$6+I1116+1)</f>
        <v/>
      </c>
      <c r="L1116" s="0" t="str">
        <f aca="false">IF(K1116="","",MATCH(K1116,$F$2:$F$5001,0))</f>
        <v/>
      </c>
      <c r="M1116" s="0" t="str">
        <f aca="false">IF(I1116="","",INDEX(הגדרות!$A$2:$A$21,MOD(I1116+הגדרות!$E$9,הגדרות!$E$6)+1))</f>
        <v/>
      </c>
    </row>
    <row r="1117" customFormat="false" ht="15" hidden="false" customHeight="false" outlineLevel="0" collapsed="false">
      <c r="A1117" s="0" t="str">
        <f aca="false">IF('הדבקת לידים'!A1117="","",IF(ISNUMBER('הדבקת לידים'!A1117),IF(הגדרות!$E$2&gt;0,TEXT('הדבקת לידים'!A1117,REPT("0",הגדרות!$E$2)),TEXT('הדבקת לידים'!A1117,"0")),TRIM('הדבקת לידים'!A1117)))</f>
        <v/>
      </c>
      <c r="B1117" s="0" t="str">
        <f aca="false">IF('הדבקת לידים'!B1117="","",IF(ISNUMBER('הדבקת לידים'!B1117),IF(הגדרות!$E$3&gt;0,TEXT('הדבקת לידים'!B1117,REPT("0",הגדרות!$E$3)),TEXT('הדבקת לידים'!B1117,"0")),TRIM('הדבקת לידים'!B1117)))</f>
        <v/>
      </c>
      <c r="C1117" s="0" t="n">
        <f aca="false">IF(OR(A1117&lt;&gt;"",B1117&lt;&gt;""),1,0)</f>
        <v>0</v>
      </c>
      <c r="D1117" s="0" t="str">
        <f aca="false">IF(C1117=1,MOD(ABS(SIN(ROW()*12.9898+'הדבקת לידים'!$F$2*78.233+IFERROR(--RIGHT(A1117,6),LEN(A1117))*0.0137+IFERROR(--RIGHT(B1117,6),LEN(B1117))*0.0071))*43758.5453,1),"")</f>
        <v/>
      </c>
      <c r="E1117" s="0" t="str">
        <f aca="false">IF(C1117=1,INT(MOD(ABS(SIN(D1117*7919.123+ROW()*0.618+'הדבקת לידים'!$F$2*1.3))*43758.5453,1)*1000000)*10000+ROW(),"")</f>
        <v/>
      </c>
      <c r="F1117" s="0" t="str">
        <f aca="false">IF(E1117="","",RANK(E1117,$E$2:$E$5001,1))</f>
        <v/>
      </c>
      <c r="G1117" s="0" t="n">
        <f aca="false">IF(A1117="",0,IF(SUMPRODUCT(--($A$2:$A$5001=A1117))&gt;1,1,0))</f>
        <v>0</v>
      </c>
      <c r="H1117" s="0" t="n">
        <f aca="false">ROW()-1</f>
        <v>1116</v>
      </c>
      <c r="I1117" s="0" t="str">
        <f aca="false">IF(OR(הגדרות!$E$6=0,H1117&gt;הגדרות!$E$5),"",IF(H1117-1&lt;הגדרות!$E$8*(הגדרות!$E$7+1),INT((H1117-1)/(הגדרות!$E$7+1)),הגדרות!$E$8+INT((H1117-1-הגדרות!$E$8*(הגדרות!$E$7+1))/הגדרות!$E$7)))</f>
        <v/>
      </c>
      <c r="J1117" s="0" t="str">
        <f aca="false">IF(I1117="","",IF(H1117-1&lt;הגדרות!$E$8*(הגדרות!$E$7+1),MOD(H1117-1,הגדרות!$E$7+1),MOD(H1117-1-הגדרות!$E$8*(הגדרות!$E$7+1),הגדרות!$E$7)))</f>
        <v/>
      </c>
      <c r="K1117" s="0" t="str">
        <f aca="false">IF(I1117="","",J1117*הגדרות!$E$6+I1117+1)</f>
        <v/>
      </c>
      <c r="L1117" s="0" t="str">
        <f aca="false">IF(K1117="","",MATCH(K1117,$F$2:$F$5001,0))</f>
        <v/>
      </c>
      <c r="M1117" s="0" t="str">
        <f aca="false">IF(I1117="","",INDEX(הגדרות!$A$2:$A$21,MOD(I1117+הגדרות!$E$9,הגדרות!$E$6)+1))</f>
        <v/>
      </c>
    </row>
    <row r="1118" customFormat="false" ht="15" hidden="false" customHeight="false" outlineLevel="0" collapsed="false">
      <c r="A1118" s="0" t="str">
        <f aca="false">IF('הדבקת לידים'!A1118="","",IF(ISNUMBER('הדבקת לידים'!A1118),IF(הגדרות!$E$2&gt;0,TEXT('הדבקת לידים'!A1118,REPT("0",הגדרות!$E$2)),TEXT('הדבקת לידים'!A1118,"0")),TRIM('הדבקת לידים'!A1118)))</f>
        <v/>
      </c>
      <c r="B1118" s="0" t="str">
        <f aca="false">IF('הדבקת לידים'!B1118="","",IF(ISNUMBER('הדבקת לידים'!B1118),IF(הגדרות!$E$3&gt;0,TEXT('הדבקת לידים'!B1118,REPT("0",הגדרות!$E$3)),TEXT('הדבקת לידים'!B1118,"0")),TRIM('הדבקת לידים'!B1118)))</f>
        <v/>
      </c>
      <c r="C1118" s="0" t="n">
        <f aca="false">IF(OR(A1118&lt;&gt;"",B1118&lt;&gt;""),1,0)</f>
        <v>0</v>
      </c>
      <c r="D1118" s="0" t="str">
        <f aca="false">IF(C1118=1,MOD(ABS(SIN(ROW()*12.9898+'הדבקת לידים'!$F$2*78.233+IFERROR(--RIGHT(A1118,6),LEN(A1118))*0.0137+IFERROR(--RIGHT(B1118,6),LEN(B1118))*0.0071))*43758.5453,1),"")</f>
        <v/>
      </c>
      <c r="E1118" s="0" t="str">
        <f aca="false">IF(C1118=1,INT(MOD(ABS(SIN(D1118*7919.123+ROW()*0.618+'הדבקת לידים'!$F$2*1.3))*43758.5453,1)*1000000)*10000+ROW(),"")</f>
        <v/>
      </c>
      <c r="F1118" s="0" t="str">
        <f aca="false">IF(E1118="","",RANK(E1118,$E$2:$E$5001,1))</f>
        <v/>
      </c>
      <c r="G1118" s="0" t="n">
        <f aca="false">IF(A1118="",0,IF(SUMPRODUCT(--($A$2:$A$5001=A1118))&gt;1,1,0))</f>
        <v>0</v>
      </c>
      <c r="H1118" s="0" t="n">
        <f aca="false">ROW()-1</f>
        <v>1117</v>
      </c>
      <c r="I1118" s="0" t="str">
        <f aca="false">IF(OR(הגדרות!$E$6=0,H1118&gt;הגדרות!$E$5),"",IF(H1118-1&lt;הגדרות!$E$8*(הגדרות!$E$7+1),INT((H1118-1)/(הגדרות!$E$7+1)),הגדרות!$E$8+INT((H1118-1-הגדרות!$E$8*(הגדרות!$E$7+1))/הגדרות!$E$7)))</f>
        <v/>
      </c>
      <c r="J1118" s="0" t="str">
        <f aca="false">IF(I1118="","",IF(H1118-1&lt;הגדרות!$E$8*(הגדרות!$E$7+1),MOD(H1118-1,הגדרות!$E$7+1),MOD(H1118-1-הגדרות!$E$8*(הגדרות!$E$7+1),הגדרות!$E$7)))</f>
        <v/>
      </c>
      <c r="K1118" s="0" t="str">
        <f aca="false">IF(I1118="","",J1118*הגדרות!$E$6+I1118+1)</f>
        <v/>
      </c>
      <c r="L1118" s="0" t="str">
        <f aca="false">IF(K1118="","",MATCH(K1118,$F$2:$F$5001,0))</f>
        <v/>
      </c>
      <c r="M1118" s="0" t="str">
        <f aca="false">IF(I1118="","",INDEX(הגדרות!$A$2:$A$21,MOD(I1118+הגדרות!$E$9,הגדרות!$E$6)+1))</f>
        <v/>
      </c>
    </row>
    <row r="1119" customFormat="false" ht="15" hidden="false" customHeight="false" outlineLevel="0" collapsed="false">
      <c r="A1119" s="0" t="str">
        <f aca="false">IF('הדבקת לידים'!A1119="","",IF(ISNUMBER('הדבקת לידים'!A1119),IF(הגדרות!$E$2&gt;0,TEXT('הדבקת לידים'!A1119,REPT("0",הגדרות!$E$2)),TEXT('הדבקת לידים'!A1119,"0")),TRIM('הדבקת לידים'!A1119)))</f>
        <v/>
      </c>
      <c r="B1119" s="0" t="str">
        <f aca="false">IF('הדבקת לידים'!B1119="","",IF(ISNUMBER('הדבקת לידים'!B1119),IF(הגדרות!$E$3&gt;0,TEXT('הדבקת לידים'!B1119,REPT("0",הגדרות!$E$3)),TEXT('הדבקת לידים'!B1119,"0")),TRIM('הדבקת לידים'!B1119)))</f>
        <v/>
      </c>
      <c r="C1119" s="0" t="n">
        <f aca="false">IF(OR(A1119&lt;&gt;"",B1119&lt;&gt;""),1,0)</f>
        <v>0</v>
      </c>
      <c r="D1119" s="0" t="str">
        <f aca="false">IF(C1119=1,MOD(ABS(SIN(ROW()*12.9898+'הדבקת לידים'!$F$2*78.233+IFERROR(--RIGHT(A1119,6),LEN(A1119))*0.0137+IFERROR(--RIGHT(B1119,6),LEN(B1119))*0.0071))*43758.5453,1),"")</f>
        <v/>
      </c>
      <c r="E1119" s="0" t="str">
        <f aca="false">IF(C1119=1,INT(MOD(ABS(SIN(D1119*7919.123+ROW()*0.618+'הדבקת לידים'!$F$2*1.3))*43758.5453,1)*1000000)*10000+ROW(),"")</f>
        <v/>
      </c>
      <c r="F1119" s="0" t="str">
        <f aca="false">IF(E1119="","",RANK(E1119,$E$2:$E$5001,1))</f>
        <v/>
      </c>
      <c r="G1119" s="0" t="n">
        <f aca="false">IF(A1119="",0,IF(SUMPRODUCT(--($A$2:$A$5001=A1119))&gt;1,1,0))</f>
        <v>0</v>
      </c>
      <c r="H1119" s="0" t="n">
        <f aca="false">ROW()-1</f>
        <v>1118</v>
      </c>
      <c r="I1119" s="0" t="str">
        <f aca="false">IF(OR(הגדרות!$E$6=0,H1119&gt;הגדרות!$E$5),"",IF(H1119-1&lt;הגדרות!$E$8*(הגדרות!$E$7+1),INT((H1119-1)/(הגדרות!$E$7+1)),הגדרות!$E$8+INT((H1119-1-הגדרות!$E$8*(הגדרות!$E$7+1))/הגדרות!$E$7)))</f>
        <v/>
      </c>
      <c r="J1119" s="0" t="str">
        <f aca="false">IF(I1119="","",IF(H1119-1&lt;הגדרות!$E$8*(הגדרות!$E$7+1),MOD(H1119-1,הגדרות!$E$7+1),MOD(H1119-1-הגדרות!$E$8*(הגדרות!$E$7+1),הגדרות!$E$7)))</f>
        <v/>
      </c>
      <c r="K1119" s="0" t="str">
        <f aca="false">IF(I1119="","",J1119*הגדרות!$E$6+I1119+1)</f>
        <v/>
      </c>
      <c r="L1119" s="0" t="str">
        <f aca="false">IF(K1119="","",MATCH(K1119,$F$2:$F$5001,0))</f>
        <v/>
      </c>
      <c r="M1119" s="0" t="str">
        <f aca="false">IF(I1119="","",INDEX(הגדרות!$A$2:$A$21,MOD(I1119+הגדרות!$E$9,הגדרות!$E$6)+1))</f>
        <v/>
      </c>
    </row>
    <row r="1120" customFormat="false" ht="15" hidden="false" customHeight="false" outlineLevel="0" collapsed="false">
      <c r="A1120" s="0" t="str">
        <f aca="false">IF('הדבקת לידים'!A1120="","",IF(ISNUMBER('הדבקת לידים'!A1120),IF(הגדרות!$E$2&gt;0,TEXT('הדבקת לידים'!A1120,REPT("0",הגדרות!$E$2)),TEXT('הדבקת לידים'!A1120,"0")),TRIM('הדבקת לידים'!A1120)))</f>
        <v/>
      </c>
      <c r="B1120" s="0" t="str">
        <f aca="false">IF('הדבקת לידים'!B1120="","",IF(ISNUMBER('הדבקת לידים'!B1120),IF(הגדרות!$E$3&gt;0,TEXT('הדבקת לידים'!B1120,REPT("0",הגדרות!$E$3)),TEXT('הדבקת לידים'!B1120,"0")),TRIM('הדבקת לידים'!B1120)))</f>
        <v/>
      </c>
      <c r="C1120" s="0" t="n">
        <f aca="false">IF(OR(A1120&lt;&gt;"",B1120&lt;&gt;""),1,0)</f>
        <v>0</v>
      </c>
      <c r="D1120" s="0" t="str">
        <f aca="false">IF(C1120=1,MOD(ABS(SIN(ROW()*12.9898+'הדבקת לידים'!$F$2*78.233+IFERROR(--RIGHT(A1120,6),LEN(A1120))*0.0137+IFERROR(--RIGHT(B1120,6),LEN(B1120))*0.0071))*43758.5453,1),"")</f>
        <v/>
      </c>
      <c r="E1120" s="0" t="str">
        <f aca="false">IF(C1120=1,INT(MOD(ABS(SIN(D1120*7919.123+ROW()*0.618+'הדבקת לידים'!$F$2*1.3))*43758.5453,1)*1000000)*10000+ROW(),"")</f>
        <v/>
      </c>
      <c r="F1120" s="0" t="str">
        <f aca="false">IF(E1120="","",RANK(E1120,$E$2:$E$5001,1))</f>
        <v/>
      </c>
      <c r="G1120" s="0" t="n">
        <f aca="false">IF(A1120="",0,IF(SUMPRODUCT(--($A$2:$A$5001=A1120))&gt;1,1,0))</f>
        <v>0</v>
      </c>
      <c r="H1120" s="0" t="n">
        <f aca="false">ROW()-1</f>
        <v>1119</v>
      </c>
      <c r="I1120" s="0" t="str">
        <f aca="false">IF(OR(הגדרות!$E$6=0,H1120&gt;הגדרות!$E$5),"",IF(H1120-1&lt;הגדרות!$E$8*(הגדרות!$E$7+1),INT((H1120-1)/(הגדרות!$E$7+1)),הגדרות!$E$8+INT((H1120-1-הגדרות!$E$8*(הגדרות!$E$7+1))/הגדרות!$E$7)))</f>
        <v/>
      </c>
      <c r="J1120" s="0" t="str">
        <f aca="false">IF(I1120="","",IF(H1120-1&lt;הגדרות!$E$8*(הגדרות!$E$7+1),MOD(H1120-1,הגדרות!$E$7+1),MOD(H1120-1-הגדרות!$E$8*(הגדרות!$E$7+1),הגדרות!$E$7)))</f>
        <v/>
      </c>
      <c r="K1120" s="0" t="str">
        <f aca="false">IF(I1120="","",J1120*הגדרות!$E$6+I1120+1)</f>
        <v/>
      </c>
      <c r="L1120" s="0" t="str">
        <f aca="false">IF(K1120="","",MATCH(K1120,$F$2:$F$5001,0))</f>
        <v/>
      </c>
      <c r="M1120" s="0" t="str">
        <f aca="false">IF(I1120="","",INDEX(הגדרות!$A$2:$A$21,MOD(I1120+הגדרות!$E$9,הגדרות!$E$6)+1))</f>
        <v/>
      </c>
    </row>
    <row r="1121" customFormat="false" ht="15" hidden="false" customHeight="false" outlineLevel="0" collapsed="false">
      <c r="A1121" s="0" t="str">
        <f aca="false">IF('הדבקת לידים'!A1121="","",IF(ISNUMBER('הדבקת לידים'!A1121),IF(הגדרות!$E$2&gt;0,TEXT('הדבקת לידים'!A1121,REPT("0",הגדרות!$E$2)),TEXT('הדבקת לידים'!A1121,"0")),TRIM('הדבקת לידים'!A1121)))</f>
        <v/>
      </c>
      <c r="B1121" s="0" t="str">
        <f aca="false">IF('הדבקת לידים'!B1121="","",IF(ISNUMBER('הדבקת לידים'!B1121),IF(הגדרות!$E$3&gt;0,TEXT('הדבקת לידים'!B1121,REPT("0",הגדרות!$E$3)),TEXT('הדבקת לידים'!B1121,"0")),TRIM('הדבקת לידים'!B1121)))</f>
        <v/>
      </c>
      <c r="C1121" s="0" t="n">
        <f aca="false">IF(OR(A1121&lt;&gt;"",B1121&lt;&gt;""),1,0)</f>
        <v>0</v>
      </c>
      <c r="D1121" s="0" t="str">
        <f aca="false">IF(C1121=1,MOD(ABS(SIN(ROW()*12.9898+'הדבקת לידים'!$F$2*78.233+IFERROR(--RIGHT(A1121,6),LEN(A1121))*0.0137+IFERROR(--RIGHT(B1121,6),LEN(B1121))*0.0071))*43758.5453,1),"")</f>
        <v/>
      </c>
      <c r="E1121" s="0" t="str">
        <f aca="false">IF(C1121=1,INT(MOD(ABS(SIN(D1121*7919.123+ROW()*0.618+'הדבקת לידים'!$F$2*1.3))*43758.5453,1)*1000000)*10000+ROW(),"")</f>
        <v/>
      </c>
      <c r="F1121" s="0" t="str">
        <f aca="false">IF(E1121="","",RANK(E1121,$E$2:$E$5001,1))</f>
        <v/>
      </c>
      <c r="G1121" s="0" t="n">
        <f aca="false">IF(A1121="",0,IF(SUMPRODUCT(--($A$2:$A$5001=A1121))&gt;1,1,0))</f>
        <v>0</v>
      </c>
      <c r="H1121" s="0" t="n">
        <f aca="false">ROW()-1</f>
        <v>1120</v>
      </c>
      <c r="I1121" s="0" t="str">
        <f aca="false">IF(OR(הגדרות!$E$6=0,H1121&gt;הגדרות!$E$5),"",IF(H1121-1&lt;הגדרות!$E$8*(הגדרות!$E$7+1),INT((H1121-1)/(הגדרות!$E$7+1)),הגדרות!$E$8+INT((H1121-1-הגדרות!$E$8*(הגדרות!$E$7+1))/הגדרות!$E$7)))</f>
        <v/>
      </c>
      <c r="J1121" s="0" t="str">
        <f aca="false">IF(I1121="","",IF(H1121-1&lt;הגדרות!$E$8*(הגדרות!$E$7+1),MOD(H1121-1,הגדרות!$E$7+1),MOD(H1121-1-הגדרות!$E$8*(הגדרות!$E$7+1),הגדרות!$E$7)))</f>
        <v/>
      </c>
      <c r="K1121" s="0" t="str">
        <f aca="false">IF(I1121="","",J1121*הגדרות!$E$6+I1121+1)</f>
        <v/>
      </c>
      <c r="L1121" s="0" t="str">
        <f aca="false">IF(K1121="","",MATCH(K1121,$F$2:$F$5001,0))</f>
        <v/>
      </c>
      <c r="M1121" s="0" t="str">
        <f aca="false">IF(I1121="","",INDEX(הגדרות!$A$2:$A$21,MOD(I1121+הגדרות!$E$9,הגדרות!$E$6)+1))</f>
        <v/>
      </c>
    </row>
    <row r="1122" customFormat="false" ht="15" hidden="false" customHeight="false" outlineLevel="0" collapsed="false">
      <c r="A1122" s="0" t="str">
        <f aca="false">IF('הדבקת לידים'!A1122="","",IF(ISNUMBER('הדבקת לידים'!A1122),IF(הגדרות!$E$2&gt;0,TEXT('הדבקת לידים'!A1122,REPT("0",הגדרות!$E$2)),TEXT('הדבקת לידים'!A1122,"0")),TRIM('הדבקת לידים'!A1122)))</f>
        <v/>
      </c>
      <c r="B1122" s="0" t="str">
        <f aca="false">IF('הדבקת לידים'!B1122="","",IF(ISNUMBER('הדבקת לידים'!B1122),IF(הגדרות!$E$3&gt;0,TEXT('הדבקת לידים'!B1122,REPT("0",הגדרות!$E$3)),TEXT('הדבקת לידים'!B1122,"0")),TRIM('הדבקת לידים'!B1122)))</f>
        <v/>
      </c>
      <c r="C1122" s="0" t="n">
        <f aca="false">IF(OR(A1122&lt;&gt;"",B1122&lt;&gt;""),1,0)</f>
        <v>0</v>
      </c>
      <c r="D1122" s="0" t="str">
        <f aca="false">IF(C1122=1,MOD(ABS(SIN(ROW()*12.9898+'הדבקת לידים'!$F$2*78.233+IFERROR(--RIGHT(A1122,6),LEN(A1122))*0.0137+IFERROR(--RIGHT(B1122,6),LEN(B1122))*0.0071))*43758.5453,1),"")</f>
        <v/>
      </c>
      <c r="E1122" s="0" t="str">
        <f aca="false">IF(C1122=1,INT(MOD(ABS(SIN(D1122*7919.123+ROW()*0.618+'הדבקת לידים'!$F$2*1.3))*43758.5453,1)*1000000)*10000+ROW(),"")</f>
        <v/>
      </c>
      <c r="F1122" s="0" t="str">
        <f aca="false">IF(E1122="","",RANK(E1122,$E$2:$E$5001,1))</f>
        <v/>
      </c>
      <c r="G1122" s="0" t="n">
        <f aca="false">IF(A1122="",0,IF(SUMPRODUCT(--($A$2:$A$5001=A1122))&gt;1,1,0))</f>
        <v>0</v>
      </c>
      <c r="H1122" s="0" t="n">
        <f aca="false">ROW()-1</f>
        <v>1121</v>
      </c>
      <c r="I1122" s="0" t="str">
        <f aca="false">IF(OR(הגדרות!$E$6=0,H1122&gt;הגדרות!$E$5),"",IF(H1122-1&lt;הגדרות!$E$8*(הגדרות!$E$7+1),INT((H1122-1)/(הגדרות!$E$7+1)),הגדרות!$E$8+INT((H1122-1-הגדרות!$E$8*(הגדרות!$E$7+1))/הגדרות!$E$7)))</f>
        <v/>
      </c>
      <c r="J1122" s="0" t="str">
        <f aca="false">IF(I1122="","",IF(H1122-1&lt;הגדרות!$E$8*(הגדרות!$E$7+1),MOD(H1122-1,הגדרות!$E$7+1),MOD(H1122-1-הגדרות!$E$8*(הגדרות!$E$7+1),הגדרות!$E$7)))</f>
        <v/>
      </c>
      <c r="K1122" s="0" t="str">
        <f aca="false">IF(I1122="","",J1122*הגדרות!$E$6+I1122+1)</f>
        <v/>
      </c>
      <c r="L1122" s="0" t="str">
        <f aca="false">IF(K1122="","",MATCH(K1122,$F$2:$F$5001,0))</f>
        <v/>
      </c>
      <c r="M1122" s="0" t="str">
        <f aca="false">IF(I1122="","",INDEX(הגדרות!$A$2:$A$21,MOD(I1122+הגדרות!$E$9,הגדרות!$E$6)+1))</f>
        <v/>
      </c>
    </row>
    <row r="1123" customFormat="false" ht="15" hidden="false" customHeight="false" outlineLevel="0" collapsed="false">
      <c r="A1123" s="0" t="str">
        <f aca="false">IF('הדבקת לידים'!A1123="","",IF(ISNUMBER('הדבקת לידים'!A1123),IF(הגדרות!$E$2&gt;0,TEXT('הדבקת לידים'!A1123,REPT("0",הגדרות!$E$2)),TEXT('הדבקת לידים'!A1123,"0")),TRIM('הדבקת לידים'!A1123)))</f>
        <v/>
      </c>
      <c r="B1123" s="0" t="str">
        <f aca="false">IF('הדבקת לידים'!B1123="","",IF(ISNUMBER('הדבקת לידים'!B1123),IF(הגדרות!$E$3&gt;0,TEXT('הדבקת לידים'!B1123,REPT("0",הגדרות!$E$3)),TEXT('הדבקת לידים'!B1123,"0")),TRIM('הדבקת לידים'!B1123)))</f>
        <v/>
      </c>
      <c r="C1123" s="0" t="n">
        <f aca="false">IF(OR(A1123&lt;&gt;"",B1123&lt;&gt;""),1,0)</f>
        <v>0</v>
      </c>
      <c r="D1123" s="0" t="str">
        <f aca="false">IF(C1123=1,MOD(ABS(SIN(ROW()*12.9898+'הדבקת לידים'!$F$2*78.233+IFERROR(--RIGHT(A1123,6),LEN(A1123))*0.0137+IFERROR(--RIGHT(B1123,6),LEN(B1123))*0.0071))*43758.5453,1),"")</f>
        <v/>
      </c>
      <c r="E1123" s="0" t="str">
        <f aca="false">IF(C1123=1,INT(MOD(ABS(SIN(D1123*7919.123+ROW()*0.618+'הדבקת לידים'!$F$2*1.3))*43758.5453,1)*1000000)*10000+ROW(),"")</f>
        <v/>
      </c>
      <c r="F1123" s="0" t="str">
        <f aca="false">IF(E1123="","",RANK(E1123,$E$2:$E$5001,1))</f>
        <v/>
      </c>
      <c r="G1123" s="0" t="n">
        <f aca="false">IF(A1123="",0,IF(SUMPRODUCT(--($A$2:$A$5001=A1123))&gt;1,1,0))</f>
        <v>0</v>
      </c>
      <c r="H1123" s="0" t="n">
        <f aca="false">ROW()-1</f>
        <v>1122</v>
      </c>
      <c r="I1123" s="0" t="str">
        <f aca="false">IF(OR(הגדרות!$E$6=0,H1123&gt;הגדרות!$E$5),"",IF(H1123-1&lt;הגדרות!$E$8*(הגדרות!$E$7+1),INT((H1123-1)/(הגדרות!$E$7+1)),הגדרות!$E$8+INT((H1123-1-הגדרות!$E$8*(הגדרות!$E$7+1))/הגדרות!$E$7)))</f>
        <v/>
      </c>
      <c r="J1123" s="0" t="str">
        <f aca="false">IF(I1123="","",IF(H1123-1&lt;הגדרות!$E$8*(הגדרות!$E$7+1),MOD(H1123-1,הגדרות!$E$7+1),MOD(H1123-1-הגדרות!$E$8*(הגדרות!$E$7+1),הגדרות!$E$7)))</f>
        <v/>
      </c>
      <c r="K1123" s="0" t="str">
        <f aca="false">IF(I1123="","",J1123*הגדרות!$E$6+I1123+1)</f>
        <v/>
      </c>
      <c r="L1123" s="0" t="str">
        <f aca="false">IF(K1123="","",MATCH(K1123,$F$2:$F$5001,0))</f>
        <v/>
      </c>
      <c r="M1123" s="0" t="str">
        <f aca="false">IF(I1123="","",INDEX(הגדרות!$A$2:$A$21,MOD(I1123+הגדרות!$E$9,הגדרות!$E$6)+1))</f>
        <v/>
      </c>
    </row>
    <row r="1124" customFormat="false" ht="15" hidden="false" customHeight="false" outlineLevel="0" collapsed="false">
      <c r="A1124" s="0" t="str">
        <f aca="false">IF('הדבקת לידים'!A1124="","",IF(ISNUMBER('הדבקת לידים'!A1124),IF(הגדרות!$E$2&gt;0,TEXT('הדבקת לידים'!A1124,REPT("0",הגדרות!$E$2)),TEXT('הדבקת לידים'!A1124,"0")),TRIM('הדבקת לידים'!A1124)))</f>
        <v/>
      </c>
      <c r="B1124" s="0" t="str">
        <f aca="false">IF('הדבקת לידים'!B1124="","",IF(ISNUMBER('הדבקת לידים'!B1124),IF(הגדרות!$E$3&gt;0,TEXT('הדבקת לידים'!B1124,REPT("0",הגדרות!$E$3)),TEXT('הדבקת לידים'!B1124,"0")),TRIM('הדבקת לידים'!B1124)))</f>
        <v/>
      </c>
      <c r="C1124" s="0" t="n">
        <f aca="false">IF(OR(A1124&lt;&gt;"",B1124&lt;&gt;""),1,0)</f>
        <v>0</v>
      </c>
      <c r="D1124" s="0" t="str">
        <f aca="false">IF(C1124=1,MOD(ABS(SIN(ROW()*12.9898+'הדבקת לידים'!$F$2*78.233+IFERROR(--RIGHT(A1124,6),LEN(A1124))*0.0137+IFERROR(--RIGHT(B1124,6),LEN(B1124))*0.0071))*43758.5453,1),"")</f>
        <v/>
      </c>
      <c r="E1124" s="0" t="str">
        <f aca="false">IF(C1124=1,INT(MOD(ABS(SIN(D1124*7919.123+ROW()*0.618+'הדבקת לידים'!$F$2*1.3))*43758.5453,1)*1000000)*10000+ROW(),"")</f>
        <v/>
      </c>
      <c r="F1124" s="0" t="str">
        <f aca="false">IF(E1124="","",RANK(E1124,$E$2:$E$5001,1))</f>
        <v/>
      </c>
      <c r="G1124" s="0" t="n">
        <f aca="false">IF(A1124="",0,IF(SUMPRODUCT(--($A$2:$A$5001=A1124))&gt;1,1,0))</f>
        <v>0</v>
      </c>
      <c r="H1124" s="0" t="n">
        <f aca="false">ROW()-1</f>
        <v>1123</v>
      </c>
      <c r="I1124" s="0" t="str">
        <f aca="false">IF(OR(הגדרות!$E$6=0,H1124&gt;הגדרות!$E$5),"",IF(H1124-1&lt;הגדרות!$E$8*(הגדרות!$E$7+1),INT((H1124-1)/(הגדרות!$E$7+1)),הגדרות!$E$8+INT((H1124-1-הגדרות!$E$8*(הגדרות!$E$7+1))/הגדרות!$E$7)))</f>
        <v/>
      </c>
      <c r="J1124" s="0" t="str">
        <f aca="false">IF(I1124="","",IF(H1124-1&lt;הגדרות!$E$8*(הגדרות!$E$7+1),MOD(H1124-1,הגדרות!$E$7+1),MOD(H1124-1-הגדרות!$E$8*(הגדרות!$E$7+1),הגדרות!$E$7)))</f>
        <v/>
      </c>
      <c r="K1124" s="0" t="str">
        <f aca="false">IF(I1124="","",J1124*הגדרות!$E$6+I1124+1)</f>
        <v/>
      </c>
      <c r="L1124" s="0" t="str">
        <f aca="false">IF(K1124="","",MATCH(K1124,$F$2:$F$5001,0))</f>
        <v/>
      </c>
      <c r="M1124" s="0" t="str">
        <f aca="false">IF(I1124="","",INDEX(הגדרות!$A$2:$A$21,MOD(I1124+הגדרות!$E$9,הגדרות!$E$6)+1))</f>
        <v/>
      </c>
    </row>
    <row r="1125" customFormat="false" ht="15" hidden="false" customHeight="false" outlineLevel="0" collapsed="false">
      <c r="A1125" s="0" t="str">
        <f aca="false">IF('הדבקת לידים'!A1125="","",IF(ISNUMBER('הדבקת לידים'!A1125),IF(הגדרות!$E$2&gt;0,TEXT('הדבקת לידים'!A1125,REPT("0",הגדרות!$E$2)),TEXT('הדבקת לידים'!A1125,"0")),TRIM('הדבקת לידים'!A1125)))</f>
        <v/>
      </c>
      <c r="B1125" s="0" t="str">
        <f aca="false">IF('הדבקת לידים'!B1125="","",IF(ISNUMBER('הדבקת לידים'!B1125),IF(הגדרות!$E$3&gt;0,TEXT('הדבקת לידים'!B1125,REPT("0",הגדרות!$E$3)),TEXT('הדבקת לידים'!B1125,"0")),TRIM('הדבקת לידים'!B1125)))</f>
        <v/>
      </c>
      <c r="C1125" s="0" t="n">
        <f aca="false">IF(OR(A1125&lt;&gt;"",B1125&lt;&gt;""),1,0)</f>
        <v>0</v>
      </c>
      <c r="D1125" s="0" t="str">
        <f aca="false">IF(C1125=1,MOD(ABS(SIN(ROW()*12.9898+'הדבקת לידים'!$F$2*78.233+IFERROR(--RIGHT(A1125,6),LEN(A1125))*0.0137+IFERROR(--RIGHT(B1125,6),LEN(B1125))*0.0071))*43758.5453,1),"")</f>
        <v/>
      </c>
      <c r="E1125" s="0" t="str">
        <f aca="false">IF(C1125=1,INT(MOD(ABS(SIN(D1125*7919.123+ROW()*0.618+'הדבקת לידים'!$F$2*1.3))*43758.5453,1)*1000000)*10000+ROW(),"")</f>
        <v/>
      </c>
      <c r="F1125" s="0" t="str">
        <f aca="false">IF(E1125="","",RANK(E1125,$E$2:$E$5001,1))</f>
        <v/>
      </c>
      <c r="G1125" s="0" t="n">
        <f aca="false">IF(A1125="",0,IF(SUMPRODUCT(--($A$2:$A$5001=A1125))&gt;1,1,0))</f>
        <v>0</v>
      </c>
      <c r="H1125" s="0" t="n">
        <f aca="false">ROW()-1</f>
        <v>1124</v>
      </c>
      <c r="I1125" s="0" t="str">
        <f aca="false">IF(OR(הגדרות!$E$6=0,H1125&gt;הגדרות!$E$5),"",IF(H1125-1&lt;הגדרות!$E$8*(הגדרות!$E$7+1),INT((H1125-1)/(הגדרות!$E$7+1)),הגדרות!$E$8+INT((H1125-1-הגדרות!$E$8*(הגדרות!$E$7+1))/הגדרות!$E$7)))</f>
        <v/>
      </c>
      <c r="J1125" s="0" t="str">
        <f aca="false">IF(I1125="","",IF(H1125-1&lt;הגדרות!$E$8*(הגדרות!$E$7+1),MOD(H1125-1,הגדרות!$E$7+1),MOD(H1125-1-הגדרות!$E$8*(הגדרות!$E$7+1),הגדרות!$E$7)))</f>
        <v/>
      </c>
      <c r="K1125" s="0" t="str">
        <f aca="false">IF(I1125="","",J1125*הגדרות!$E$6+I1125+1)</f>
        <v/>
      </c>
      <c r="L1125" s="0" t="str">
        <f aca="false">IF(K1125="","",MATCH(K1125,$F$2:$F$5001,0))</f>
        <v/>
      </c>
      <c r="M1125" s="0" t="str">
        <f aca="false">IF(I1125="","",INDEX(הגדרות!$A$2:$A$21,MOD(I1125+הגדרות!$E$9,הגדרות!$E$6)+1))</f>
        <v/>
      </c>
    </row>
    <row r="1126" customFormat="false" ht="15" hidden="false" customHeight="false" outlineLevel="0" collapsed="false">
      <c r="A1126" s="0" t="str">
        <f aca="false">IF('הדבקת לידים'!A1126="","",IF(ISNUMBER('הדבקת לידים'!A1126),IF(הגדרות!$E$2&gt;0,TEXT('הדבקת לידים'!A1126,REPT("0",הגדרות!$E$2)),TEXT('הדבקת לידים'!A1126,"0")),TRIM('הדבקת לידים'!A1126)))</f>
        <v/>
      </c>
      <c r="B1126" s="0" t="str">
        <f aca="false">IF('הדבקת לידים'!B1126="","",IF(ISNUMBER('הדבקת לידים'!B1126),IF(הגדרות!$E$3&gt;0,TEXT('הדבקת לידים'!B1126,REPT("0",הגדרות!$E$3)),TEXT('הדבקת לידים'!B1126,"0")),TRIM('הדבקת לידים'!B1126)))</f>
        <v/>
      </c>
      <c r="C1126" s="0" t="n">
        <f aca="false">IF(OR(A1126&lt;&gt;"",B1126&lt;&gt;""),1,0)</f>
        <v>0</v>
      </c>
      <c r="D1126" s="0" t="str">
        <f aca="false">IF(C1126=1,MOD(ABS(SIN(ROW()*12.9898+'הדבקת לידים'!$F$2*78.233+IFERROR(--RIGHT(A1126,6),LEN(A1126))*0.0137+IFERROR(--RIGHT(B1126,6),LEN(B1126))*0.0071))*43758.5453,1),"")</f>
        <v/>
      </c>
      <c r="E1126" s="0" t="str">
        <f aca="false">IF(C1126=1,INT(MOD(ABS(SIN(D1126*7919.123+ROW()*0.618+'הדבקת לידים'!$F$2*1.3))*43758.5453,1)*1000000)*10000+ROW(),"")</f>
        <v/>
      </c>
      <c r="F1126" s="0" t="str">
        <f aca="false">IF(E1126="","",RANK(E1126,$E$2:$E$5001,1))</f>
        <v/>
      </c>
      <c r="G1126" s="0" t="n">
        <f aca="false">IF(A1126="",0,IF(SUMPRODUCT(--($A$2:$A$5001=A1126))&gt;1,1,0))</f>
        <v>0</v>
      </c>
      <c r="H1126" s="0" t="n">
        <f aca="false">ROW()-1</f>
        <v>1125</v>
      </c>
      <c r="I1126" s="0" t="str">
        <f aca="false">IF(OR(הגדרות!$E$6=0,H1126&gt;הגדרות!$E$5),"",IF(H1126-1&lt;הגדרות!$E$8*(הגדרות!$E$7+1),INT((H1126-1)/(הגדרות!$E$7+1)),הגדרות!$E$8+INT((H1126-1-הגדרות!$E$8*(הגדרות!$E$7+1))/הגדרות!$E$7)))</f>
        <v/>
      </c>
      <c r="J1126" s="0" t="str">
        <f aca="false">IF(I1126="","",IF(H1126-1&lt;הגדרות!$E$8*(הגדרות!$E$7+1),MOD(H1126-1,הגדרות!$E$7+1),MOD(H1126-1-הגדרות!$E$8*(הגדרות!$E$7+1),הגדרות!$E$7)))</f>
        <v/>
      </c>
      <c r="K1126" s="0" t="str">
        <f aca="false">IF(I1126="","",J1126*הגדרות!$E$6+I1126+1)</f>
        <v/>
      </c>
      <c r="L1126" s="0" t="str">
        <f aca="false">IF(K1126="","",MATCH(K1126,$F$2:$F$5001,0))</f>
        <v/>
      </c>
      <c r="M1126" s="0" t="str">
        <f aca="false">IF(I1126="","",INDEX(הגדרות!$A$2:$A$21,MOD(I1126+הגדרות!$E$9,הגדרות!$E$6)+1))</f>
        <v/>
      </c>
    </row>
    <row r="1127" customFormat="false" ht="15" hidden="false" customHeight="false" outlineLevel="0" collapsed="false">
      <c r="A1127" s="0" t="str">
        <f aca="false">IF('הדבקת לידים'!A1127="","",IF(ISNUMBER('הדבקת לידים'!A1127),IF(הגדרות!$E$2&gt;0,TEXT('הדבקת לידים'!A1127,REPT("0",הגדרות!$E$2)),TEXT('הדבקת לידים'!A1127,"0")),TRIM('הדבקת לידים'!A1127)))</f>
        <v/>
      </c>
      <c r="B1127" s="0" t="str">
        <f aca="false">IF('הדבקת לידים'!B1127="","",IF(ISNUMBER('הדבקת לידים'!B1127),IF(הגדרות!$E$3&gt;0,TEXT('הדבקת לידים'!B1127,REPT("0",הגדרות!$E$3)),TEXT('הדבקת לידים'!B1127,"0")),TRIM('הדבקת לידים'!B1127)))</f>
        <v/>
      </c>
      <c r="C1127" s="0" t="n">
        <f aca="false">IF(OR(A1127&lt;&gt;"",B1127&lt;&gt;""),1,0)</f>
        <v>0</v>
      </c>
      <c r="D1127" s="0" t="str">
        <f aca="false">IF(C1127=1,MOD(ABS(SIN(ROW()*12.9898+'הדבקת לידים'!$F$2*78.233+IFERROR(--RIGHT(A1127,6),LEN(A1127))*0.0137+IFERROR(--RIGHT(B1127,6),LEN(B1127))*0.0071))*43758.5453,1),"")</f>
        <v/>
      </c>
      <c r="E1127" s="0" t="str">
        <f aca="false">IF(C1127=1,INT(MOD(ABS(SIN(D1127*7919.123+ROW()*0.618+'הדבקת לידים'!$F$2*1.3))*43758.5453,1)*1000000)*10000+ROW(),"")</f>
        <v/>
      </c>
      <c r="F1127" s="0" t="str">
        <f aca="false">IF(E1127="","",RANK(E1127,$E$2:$E$5001,1))</f>
        <v/>
      </c>
      <c r="G1127" s="0" t="n">
        <f aca="false">IF(A1127="",0,IF(SUMPRODUCT(--($A$2:$A$5001=A1127))&gt;1,1,0))</f>
        <v>0</v>
      </c>
      <c r="H1127" s="0" t="n">
        <f aca="false">ROW()-1</f>
        <v>1126</v>
      </c>
      <c r="I1127" s="0" t="str">
        <f aca="false">IF(OR(הגדרות!$E$6=0,H1127&gt;הגדרות!$E$5),"",IF(H1127-1&lt;הגדרות!$E$8*(הגדרות!$E$7+1),INT((H1127-1)/(הגדרות!$E$7+1)),הגדרות!$E$8+INT((H1127-1-הגדרות!$E$8*(הגדרות!$E$7+1))/הגדרות!$E$7)))</f>
        <v/>
      </c>
      <c r="J1127" s="0" t="str">
        <f aca="false">IF(I1127="","",IF(H1127-1&lt;הגדרות!$E$8*(הגדרות!$E$7+1),MOD(H1127-1,הגדרות!$E$7+1),MOD(H1127-1-הגדרות!$E$8*(הגדרות!$E$7+1),הגדרות!$E$7)))</f>
        <v/>
      </c>
      <c r="K1127" s="0" t="str">
        <f aca="false">IF(I1127="","",J1127*הגדרות!$E$6+I1127+1)</f>
        <v/>
      </c>
      <c r="L1127" s="0" t="str">
        <f aca="false">IF(K1127="","",MATCH(K1127,$F$2:$F$5001,0))</f>
        <v/>
      </c>
      <c r="M1127" s="0" t="str">
        <f aca="false">IF(I1127="","",INDEX(הגדרות!$A$2:$A$21,MOD(I1127+הגדרות!$E$9,הגדרות!$E$6)+1))</f>
        <v/>
      </c>
    </row>
    <row r="1128" customFormat="false" ht="15" hidden="false" customHeight="false" outlineLevel="0" collapsed="false">
      <c r="A1128" s="0" t="str">
        <f aca="false">IF('הדבקת לידים'!A1128="","",IF(ISNUMBER('הדבקת לידים'!A1128),IF(הגדרות!$E$2&gt;0,TEXT('הדבקת לידים'!A1128,REPT("0",הגדרות!$E$2)),TEXT('הדבקת לידים'!A1128,"0")),TRIM('הדבקת לידים'!A1128)))</f>
        <v/>
      </c>
      <c r="B1128" s="0" t="str">
        <f aca="false">IF('הדבקת לידים'!B1128="","",IF(ISNUMBER('הדבקת לידים'!B1128),IF(הגדרות!$E$3&gt;0,TEXT('הדבקת לידים'!B1128,REPT("0",הגדרות!$E$3)),TEXT('הדבקת לידים'!B1128,"0")),TRIM('הדבקת לידים'!B1128)))</f>
        <v/>
      </c>
      <c r="C1128" s="0" t="n">
        <f aca="false">IF(OR(A1128&lt;&gt;"",B1128&lt;&gt;""),1,0)</f>
        <v>0</v>
      </c>
      <c r="D1128" s="0" t="str">
        <f aca="false">IF(C1128=1,MOD(ABS(SIN(ROW()*12.9898+'הדבקת לידים'!$F$2*78.233+IFERROR(--RIGHT(A1128,6),LEN(A1128))*0.0137+IFERROR(--RIGHT(B1128,6),LEN(B1128))*0.0071))*43758.5453,1),"")</f>
        <v/>
      </c>
      <c r="E1128" s="0" t="str">
        <f aca="false">IF(C1128=1,INT(MOD(ABS(SIN(D1128*7919.123+ROW()*0.618+'הדבקת לידים'!$F$2*1.3))*43758.5453,1)*1000000)*10000+ROW(),"")</f>
        <v/>
      </c>
      <c r="F1128" s="0" t="str">
        <f aca="false">IF(E1128="","",RANK(E1128,$E$2:$E$5001,1))</f>
        <v/>
      </c>
      <c r="G1128" s="0" t="n">
        <f aca="false">IF(A1128="",0,IF(SUMPRODUCT(--($A$2:$A$5001=A1128))&gt;1,1,0))</f>
        <v>0</v>
      </c>
      <c r="H1128" s="0" t="n">
        <f aca="false">ROW()-1</f>
        <v>1127</v>
      </c>
      <c r="I1128" s="0" t="str">
        <f aca="false">IF(OR(הגדרות!$E$6=0,H1128&gt;הגדרות!$E$5),"",IF(H1128-1&lt;הגדרות!$E$8*(הגדרות!$E$7+1),INT((H1128-1)/(הגדרות!$E$7+1)),הגדרות!$E$8+INT((H1128-1-הגדרות!$E$8*(הגדרות!$E$7+1))/הגדרות!$E$7)))</f>
        <v/>
      </c>
      <c r="J1128" s="0" t="str">
        <f aca="false">IF(I1128="","",IF(H1128-1&lt;הגדרות!$E$8*(הגדרות!$E$7+1),MOD(H1128-1,הגדרות!$E$7+1),MOD(H1128-1-הגדרות!$E$8*(הגדרות!$E$7+1),הגדרות!$E$7)))</f>
        <v/>
      </c>
      <c r="K1128" s="0" t="str">
        <f aca="false">IF(I1128="","",J1128*הגדרות!$E$6+I1128+1)</f>
        <v/>
      </c>
      <c r="L1128" s="0" t="str">
        <f aca="false">IF(K1128="","",MATCH(K1128,$F$2:$F$5001,0))</f>
        <v/>
      </c>
      <c r="M1128" s="0" t="str">
        <f aca="false">IF(I1128="","",INDEX(הגדרות!$A$2:$A$21,MOD(I1128+הגדרות!$E$9,הגדרות!$E$6)+1))</f>
        <v/>
      </c>
    </row>
    <row r="1129" customFormat="false" ht="15" hidden="false" customHeight="false" outlineLevel="0" collapsed="false">
      <c r="A1129" s="0" t="str">
        <f aca="false">IF('הדבקת לידים'!A1129="","",IF(ISNUMBER('הדבקת לידים'!A1129),IF(הגדרות!$E$2&gt;0,TEXT('הדבקת לידים'!A1129,REPT("0",הגדרות!$E$2)),TEXT('הדבקת לידים'!A1129,"0")),TRIM('הדבקת לידים'!A1129)))</f>
        <v/>
      </c>
      <c r="B1129" s="0" t="str">
        <f aca="false">IF('הדבקת לידים'!B1129="","",IF(ISNUMBER('הדבקת לידים'!B1129),IF(הגדרות!$E$3&gt;0,TEXT('הדבקת לידים'!B1129,REPT("0",הגדרות!$E$3)),TEXT('הדבקת לידים'!B1129,"0")),TRIM('הדבקת לידים'!B1129)))</f>
        <v/>
      </c>
      <c r="C1129" s="0" t="n">
        <f aca="false">IF(OR(A1129&lt;&gt;"",B1129&lt;&gt;""),1,0)</f>
        <v>0</v>
      </c>
      <c r="D1129" s="0" t="str">
        <f aca="false">IF(C1129=1,MOD(ABS(SIN(ROW()*12.9898+'הדבקת לידים'!$F$2*78.233+IFERROR(--RIGHT(A1129,6),LEN(A1129))*0.0137+IFERROR(--RIGHT(B1129,6),LEN(B1129))*0.0071))*43758.5453,1),"")</f>
        <v/>
      </c>
      <c r="E1129" s="0" t="str">
        <f aca="false">IF(C1129=1,INT(MOD(ABS(SIN(D1129*7919.123+ROW()*0.618+'הדבקת לידים'!$F$2*1.3))*43758.5453,1)*1000000)*10000+ROW(),"")</f>
        <v/>
      </c>
      <c r="F1129" s="0" t="str">
        <f aca="false">IF(E1129="","",RANK(E1129,$E$2:$E$5001,1))</f>
        <v/>
      </c>
      <c r="G1129" s="0" t="n">
        <f aca="false">IF(A1129="",0,IF(SUMPRODUCT(--($A$2:$A$5001=A1129))&gt;1,1,0))</f>
        <v>0</v>
      </c>
      <c r="H1129" s="0" t="n">
        <f aca="false">ROW()-1</f>
        <v>1128</v>
      </c>
      <c r="I1129" s="0" t="str">
        <f aca="false">IF(OR(הגדרות!$E$6=0,H1129&gt;הגדרות!$E$5),"",IF(H1129-1&lt;הגדרות!$E$8*(הגדרות!$E$7+1),INT((H1129-1)/(הגדרות!$E$7+1)),הגדרות!$E$8+INT((H1129-1-הגדרות!$E$8*(הגדרות!$E$7+1))/הגדרות!$E$7)))</f>
        <v/>
      </c>
      <c r="J1129" s="0" t="str">
        <f aca="false">IF(I1129="","",IF(H1129-1&lt;הגדרות!$E$8*(הגדרות!$E$7+1),MOD(H1129-1,הגדרות!$E$7+1),MOD(H1129-1-הגדרות!$E$8*(הגדרות!$E$7+1),הגדרות!$E$7)))</f>
        <v/>
      </c>
      <c r="K1129" s="0" t="str">
        <f aca="false">IF(I1129="","",J1129*הגדרות!$E$6+I1129+1)</f>
        <v/>
      </c>
      <c r="L1129" s="0" t="str">
        <f aca="false">IF(K1129="","",MATCH(K1129,$F$2:$F$5001,0))</f>
        <v/>
      </c>
      <c r="M1129" s="0" t="str">
        <f aca="false">IF(I1129="","",INDEX(הגדרות!$A$2:$A$21,MOD(I1129+הגדרות!$E$9,הגדרות!$E$6)+1))</f>
        <v/>
      </c>
    </row>
    <row r="1130" customFormat="false" ht="15" hidden="false" customHeight="false" outlineLevel="0" collapsed="false">
      <c r="A1130" s="0" t="str">
        <f aca="false">IF('הדבקת לידים'!A1130="","",IF(ISNUMBER('הדבקת לידים'!A1130),IF(הגדרות!$E$2&gt;0,TEXT('הדבקת לידים'!A1130,REPT("0",הגדרות!$E$2)),TEXT('הדבקת לידים'!A1130,"0")),TRIM('הדבקת לידים'!A1130)))</f>
        <v/>
      </c>
      <c r="B1130" s="0" t="str">
        <f aca="false">IF('הדבקת לידים'!B1130="","",IF(ISNUMBER('הדבקת לידים'!B1130),IF(הגדרות!$E$3&gt;0,TEXT('הדבקת לידים'!B1130,REPT("0",הגדרות!$E$3)),TEXT('הדבקת לידים'!B1130,"0")),TRIM('הדבקת לידים'!B1130)))</f>
        <v/>
      </c>
      <c r="C1130" s="0" t="n">
        <f aca="false">IF(OR(A1130&lt;&gt;"",B1130&lt;&gt;""),1,0)</f>
        <v>0</v>
      </c>
      <c r="D1130" s="0" t="str">
        <f aca="false">IF(C1130=1,MOD(ABS(SIN(ROW()*12.9898+'הדבקת לידים'!$F$2*78.233+IFERROR(--RIGHT(A1130,6),LEN(A1130))*0.0137+IFERROR(--RIGHT(B1130,6),LEN(B1130))*0.0071))*43758.5453,1),"")</f>
        <v/>
      </c>
      <c r="E1130" s="0" t="str">
        <f aca="false">IF(C1130=1,INT(MOD(ABS(SIN(D1130*7919.123+ROW()*0.618+'הדבקת לידים'!$F$2*1.3))*43758.5453,1)*1000000)*10000+ROW(),"")</f>
        <v/>
      </c>
      <c r="F1130" s="0" t="str">
        <f aca="false">IF(E1130="","",RANK(E1130,$E$2:$E$5001,1))</f>
        <v/>
      </c>
      <c r="G1130" s="0" t="n">
        <f aca="false">IF(A1130="",0,IF(SUMPRODUCT(--($A$2:$A$5001=A1130))&gt;1,1,0))</f>
        <v>0</v>
      </c>
      <c r="H1130" s="0" t="n">
        <f aca="false">ROW()-1</f>
        <v>1129</v>
      </c>
      <c r="I1130" s="0" t="str">
        <f aca="false">IF(OR(הגדרות!$E$6=0,H1130&gt;הגדרות!$E$5),"",IF(H1130-1&lt;הגדרות!$E$8*(הגדרות!$E$7+1),INT((H1130-1)/(הגדרות!$E$7+1)),הגדרות!$E$8+INT((H1130-1-הגדרות!$E$8*(הגדרות!$E$7+1))/הגדרות!$E$7)))</f>
        <v/>
      </c>
      <c r="J1130" s="0" t="str">
        <f aca="false">IF(I1130="","",IF(H1130-1&lt;הגדרות!$E$8*(הגדרות!$E$7+1),MOD(H1130-1,הגדרות!$E$7+1),MOD(H1130-1-הגדרות!$E$8*(הגדרות!$E$7+1),הגדרות!$E$7)))</f>
        <v/>
      </c>
      <c r="K1130" s="0" t="str">
        <f aca="false">IF(I1130="","",J1130*הגדרות!$E$6+I1130+1)</f>
        <v/>
      </c>
      <c r="L1130" s="0" t="str">
        <f aca="false">IF(K1130="","",MATCH(K1130,$F$2:$F$5001,0))</f>
        <v/>
      </c>
      <c r="M1130" s="0" t="str">
        <f aca="false">IF(I1130="","",INDEX(הגדרות!$A$2:$A$21,MOD(I1130+הגדרות!$E$9,הגדרות!$E$6)+1))</f>
        <v/>
      </c>
    </row>
    <row r="1131" customFormat="false" ht="15" hidden="false" customHeight="false" outlineLevel="0" collapsed="false">
      <c r="A1131" s="0" t="str">
        <f aca="false">IF('הדבקת לידים'!A1131="","",IF(ISNUMBER('הדבקת לידים'!A1131),IF(הגדרות!$E$2&gt;0,TEXT('הדבקת לידים'!A1131,REPT("0",הגדרות!$E$2)),TEXT('הדבקת לידים'!A1131,"0")),TRIM('הדבקת לידים'!A1131)))</f>
        <v/>
      </c>
      <c r="B1131" s="0" t="str">
        <f aca="false">IF('הדבקת לידים'!B1131="","",IF(ISNUMBER('הדבקת לידים'!B1131),IF(הגדרות!$E$3&gt;0,TEXT('הדבקת לידים'!B1131,REPT("0",הגדרות!$E$3)),TEXT('הדבקת לידים'!B1131,"0")),TRIM('הדבקת לידים'!B1131)))</f>
        <v/>
      </c>
      <c r="C1131" s="0" t="n">
        <f aca="false">IF(OR(A1131&lt;&gt;"",B1131&lt;&gt;""),1,0)</f>
        <v>0</v>
      </c>
      <c r="D1131" s="0" t="str">
        <f aca="false">IF(C1131=1,MOD(ABS(SIN(ROW()*12.9898+'הדבקת לידים'!$F$2*78.233+IFERROR(--RIGHT(A1131,6),LEN(A1131))*0.0137+IFERROR(--RIGHT(B1131,6),LEN(B1131))*0.0071))*43758.5453,1),"")</f>
        <v/>
      </c>
      <c r="E1131" s="0" t="str">
        <f aca="false">IF(C1131=1,INT(MOD(ABS(SIN(D1131*7919.123+ROW()*0.618+'הדבקת לידים'!$F$2*1.3))*43758.5453,1)*1000000)*10000+ROW(),"")</f>
        <v/>
      </c>
      <c r="F1131" s="0" t="str">
        <f aca="false">IF(E1131="","",RANK(E1131,$E$2:$E$5001,1))</f>
        <v/>
      </c>
      <c r="G1131" s="0" t="n">
        <f aca="false">IF(A1131="",0,IF(SUMPRODUCT(--($A$2:$A$5001=A1131))&gt;1,1,0))</f>
        <v>0</v>
      </c>
      <c r="H1131" s="0" t="n">
        <f aca="false">ROW()-1</f>
        <v>1130</v>
      </c>
      <c r="I1131" s="0" t="str">
        <f aca="false">IF(OR(הגדרות!$E$6=0,H1131&gt;הגדרות!$E$5),"",IF(H1131-1&lt;הגדרות!$E$8*(הגדרות!$E$7+1),INT((H1131-1)/(הגדרות!$E$7+1)),הגדרות!$E$8+INT((H1131-1-הגדרות!$E$8*(הגדרות!$E$7+1))/הגדרות!$E$7)))</f>
        <v/>
      </c>
      <c r="J1131" s="0" t="str">
        <f aca="false">IF(I1131="","",IF(H1131-1&lt;הגדרות!$E$8*(הגדרות!$E$7+1),MOD(H1131-1,הגדרות!$E$7+1),MOD(H1131-1-הגדרות!$E$8*(הגדרות!$E$7+1),הגדרות!$E$7)))</f>
        <v/>
      </c>
      <c r="K1131" s="0" t="str">
        <f aca="false">IF(I1131="","",J1131*הגדרות!$E$6+I1131+1)</f>
        <v/>
      </c>
      <c r="L1131" s="0" t="str">
        <f aca="false">IF(K1131="","",MATCH(K1131,$F$2:$F$5001,0))</f>
        <v/>
      </c>
      <c r="M1131" s="0" t="str">
        <f aca="false">IF(I1131="","",INDEX(הגדרות!$A$2:$A$21,MOD(I1131+הגדרות!$E$9,הגדרות!$E$6)+1))</f>
        <v/>
      </c>
    </row>
    <row r="1132" customFormat="false" ht="15" hidden="false" customHeight="false" outlineLevel="0" collapsed="false">
      <c r="A1132" s="0" t="str">
        <f aca="false">IF('הדבקת לידים'!A1132="","",IF(ISNUMBER('הדבקת לידים'!A1132),IF(הגדרות!$E$2&gt;0,TEXT('הדבקת לידים'!A1132,REPT("0",הגדרות!$E$2)),TEXT('הדבקת לידים'!A1132,"0")),TRIM('הדבקת לידים'!A1132)))</f>
        <v/>
      </c>
      <c r="B1132" s="0" t="str">
        <f aca="false">IF('הדבקת לידים'!B1132="","",IF(ISNUMBER('הדבקת לידים'!B1132),IF(הגדרות!$E$3&gt;0,TEXT('הדבקת לידים'!B1132,REPT("0",הגדרות!$E$3)),TEXT('הדבקת לידים'!B1132,"0")),TRIM('הדבקת לידים'!B1132)))</f>
        <v/>
      </c>
      <c r="C1132" s="0" t="n">
        <f aca="false">IF(OR(A1132&lt;&gt;"",B1132&lt;&gt;""),1,0)</f>
        <v>0</v>
      </c>
      <c r="D1132" s="0" t="str">
        <f aca="false">IF(C1132=1,MOD(ABS(SIN(ROW()*12.9898+'הדבקת לידים'!$F$2*78.233+IFERROR(--RIGHT(A1132,6),LEN(A1132))*0.0137+IFERROR(--RIGHT(B1132,6),LEN(B1132))*0.0071))*43758.5453,1),"")</f>
        <v/>
      </c>
      <c r="E1132" s="0" t="str">
        <f aca="false">IF(C1132=1,INT(MOD(ABS(SIN(D1132*7919.123+ROW()*0.618+'הדבקת לידים'!$F$2*1.3))*43758.5453,1)*1000000)*10000+ROW(),"")</f>
        <v/>
      </c>
      <c r="F1132" s="0" t="str">
        <f aca="false">IF(E1132="","",RANK(E1132,$E$2:$E$5001,1))</f>
        <v/>
      </c>
      <c r="G1132" s="0" t="n">
        <f aca="false">IF(A1132="",0,IF(SUMPRODUCT(--($A$2:$A$5001=A1132))&gt;1,1,0))</f>
        <v>0</v>
      </c>
      <c r="H1132" s="0" t="n">
        <f aca="false">ROW()-1</f>
        <v>1131</v>
      </c>
      <c r="I1132" s="0" t="str">
        <f aca="false">IF(OR(הגדרות!$E$6=0,H1132&gt;הגדרות!$E$5),"",IF(H1132-1&lt;הגדרות!$E$8*(הגדרות!$E$7+1),INT((H1132-1)/(הגדרות!$E$7+1)),הגדרות!$E$8+INT((H1132-1-הגדרות!$E$8*(הגדרות!$E$7+1))/הגדרות!$E$7)))</f>
        <v/>
      </c>
      <c r="J1132" s="0" t="str">
        <f aca="false">IF(I1132="","",IF(H1132-1&lt;הגדרות!$E$8*(הגדרות!$E$7+1),MOD(H1132-1,הגדרות!$E$7+1),MOD(H1132-1-הגדרות!$E$8*(הגדרות!$E$7+1),הגדרות!$E$7)))</f>
        <v/>
      </c>
      <c r="K1132" s="0" t="str">
        <f aca="false">IF(I1132="","",J1132*הגדרות!$E$6+I1132+1)</f>
        <v/>
      </c>
      <c r="L1132" s="0" t="str">
        <f aca="false">IF(K1132="","",MATCH(K1132,$F$2:$F$5001,0))</f>
        <v/>
      </c>
      <c r="M1132" s="0" t="str">
        <f aca="false">IF(I1132="","",INDEX(הגדרות!$A$2:$A$21,MOD(I1132+הגדרות!$E$9,הגדרות!$E$6)+1))</f>
        <v/>
      </c>
    </row>
    <row r="1133" customFormat="false" ht="15" hidden="false" customHeight="false" outlineLevel="0" collapsed="false">
      <c r="A1133" s="0" t="str">
        <f aca="false">IF('הדבקת לידים'!A1133="","",IF(ISNUMBER('הדבקת לידים'!A1133),IF(הגדרות!$E$2&gt;0,TEXT('הדבקת לידים'!A1133,REPT("0",הגדרות!$E$2)),TEXT('הדבקת לידים'!A1133,"0")),TRIM('הדבקת לידים'!A1133)))</f>
        <v/>
      </c>
      <c r="B1133" s="0" t="str">
        <f aca="false">IF('הדבקת לידים'!B1133="","",IF(ISNUMBER('הדבקת לידים'!B1133),IF(הגדרות!$E$3&gt;0,TEXT('הדבקת לידים'!B1133,REPT("0",הגדרות!$E$3)),TEXT('הדבקת לידים'!B1133,"0")),TRIM('הדבקת לידים'!B1133)))</f>
        <v/>
      </c>
      <c r="C1133" s="0" t="n">
        <f aca="false">IF(OR(A1133&lt;&gt;"",B1133&lt;&gt;""),1,0)</f>
        <v>0</v>
      </c>
      <c r="D1133" s="0" t="str">
        <f aca="false">IF(C1133=1,MOD(ABS(SIN(ROW()*12.9898+'הדבקת לידים'!$F$2*78.233+IFERROR(--RIGHT(A1133,6),LEN(A1133))*0.0137+IFERROR(--RIGHT(B1133,6),LEN(B1133))*0.0071))*43758.5453,1),"")</f>
        <v/>
      </c>
      <c r="E1133" s="0" t="str">
        <f aca="false">IF(C1133=1,INT(MOD(ABS(SIN(D1133*7919.123+ROW()*0.618+'הדבקת לידים'!$F$2*1.3))*43758.5453,1)*1000000)*10000+ROW(),"")</f>
        <v/>
      </c>
      <c r="F1133" s="0" t="str">
        <f aca="false">IF(E1133="","",RANK(E1133,$E$2:$E$5001,1))</f>
        <v/>
      </c>
      <c r="G1133" s="0" t="n">
        <f aca="false">IF(A1133="",0,IF(SUMPRODUCT(--($A$2:$A$5001=A1133))&gt;1,1,0))</f>
        <v>0</v>
      </c>
      <c r="H1133" s="0" t="n">
        <f aca="false">ROW()-1</f>
        <v>1132</v>
      </c>
      <c r="I1133" s="0" t="str">
        <f aca="false">IF(OR(הגדרות!$E$6=0,H1133&gt;הגדרות!$E$5),"",IF(H1133-1&lt;הגדרות!$E$8*(הגדרות!$E$7+1),INT((H1133-1)/(הגדרות!$E$7+1)),הגדרות!$E$8+INT((H1133-1-הגדרות!$E$8*(הגדרות!$E$7+1))/הגדרות!$E$7)))</f>
        <v/>
      </c>
      <c r="J1133" s="0" t="str">
        <f aca="false">IF(I1133="","",IF(H1133-1&lt;הגדרות!$E$8*(הגדרות!$E$7+1),MOD(H1133-1,הגדרות!$E$7+1),MOD(H1133-1-הגדרות!$E$8*(הגדרות!$E$7+1),הגדרות!$E$7)))</f>
        <v/>
      </c>
      <c r="K1133" s="0" t="str">
        <f aca="false">IF(I1133="","",J1133*הגדרות!$E$6+I1133+1)</f>
        <v/>
      </c>
      <c r="L1133" s="0" t="str">
        <f aca="false">IF(K1133="","",MATCH(K1133,$F$2:$F$5001,0))</f>
        <v/>
      </c>
      <c r="M1133" s="0" t="str">
        <f aca="false">IF(I1133="","",INDEX(הגדרות!$A$2:$A$21,MOD(I1133+הגדרות!$E$9,הגדרות!$E$6)+1))</f>
        <v/>
      </c>
    </row>
    <row r="1134" customFormat="false" ht="15" hidden="false" customHeight="false" outlineLevel="0" collapsed="false">
      <c r="A1134" s="0" t="str">
        <f aca="false">IF('הדבקת לידים'!A1134="","",IF(ISNUMBER('הדבקת לידים'!A1134),IF(הגדרות!$E$2&gt;0,TEXT('הדבקת לידים'!A1134,REPT("0",הגדרות!$E$2)),TEXT('הדבקת לידים'!A1134,"0")),TRIM('הדבקת לידים'!A1134)))</f>
        <v/>
      </c>
      <c r="B1134" s="0" t="str">
        <f aca="false">IF('הדבקת לידים'!B1134="","",IF(ISNUMBER('הדבקת לידים'!B1134),IF(הגדרות!$E$3&gt;0,TEXT('הדבקת לידים'!B1134,REPT("0",הגדרות!$E$3)),TEXT('הדבקת לידים'!B1134,"0")),TRIM('הדבקת לידים'!B1134)))</f>
        <v/>
      </c>
      <c r="C1134" s="0" t="n">
        <f aca="false">IF(OR(A1134&lt;&gt;"",B1134&lt;&gt;""),1,0)</f>
        <v>0</v>
      </c>
      <c r="D1134" s="0" t="str">
        <f aca="false">IF(C1134=1,MOD(ABS(SIN(ROW()*12.9898+'הדבקת לידים'!$F$2*78.233+IFERROR(--RIGHT(A1134,6),LEN(A1134))*0.0137+IFERROR(--RIGHT(B1134,6),LEN(B1134))*0.0071))*43758.5453,1),"")</f>
        <v/>
      </c>
      <c r="E1134" s="0" t="str">
        <f aca="false">IF(C1134=1,INT(MOD(ABS(SIN(D1134*7919.123+ROW()*0.618+'הדבקת לידים'!$F$2*1.3))*43758.5453,1)*1000000)*10000+ROW(),"")</f>
        <v/>
      </c>
      <c r="F1134" s="0" t="str">
        <f aca="false">IF(E1134="","",RANK(E1134,$E$2:$E$5001,1))</f>
        <v/>
      </c>
      <c r="G1134" s="0" t="n">
        <f aca="false">IF(A1134="",0,IF(SUMPRODUCT(--($A$2:$A$5001=A1134))&gt;1,1,0))</f>
        <v>0</v>
      </c>
      <c r="H1134" s="0" t="n">
        <f aca="false">ROW()-1</f>
        <v>1133</v>
      </c>
      <c r="I1134" s="0" t="str">
        <f aca="false">IF(OR(הגדרות!$E$6=0,H1134&gt;הגדרות!$E$5),"",IF(H1134-1&lt;הגדרות!$E$8*(הגדרות!$E$7+1),INT((H1134-1)/(הגדרות!$E$7+1)),הגדרות!$E$8+INT((H1134-1-הגדרות!$E$8*(הגדרות!$E$7+1))/הגדרות!$E$7)))</f>
        <v/>
      </c>
      <c r="J1134" s="0" t="str">
        <f aca="false">IF(I1134="","",IF(H1134-1&lt;הגדרות!$E$8*(הגדרות!$E$7+1),MOD(H1134-1,הגדרות!$E$7+1),MOD(H1134-1-הגדרות!$E$8*(הגדרות!$E$7+1),הגדרות!$E$7)))</f>
        <v/>
      </c>
      <c r="K1134" s="0" t="str">
        <f aca="false">IF(I1134="","",J1134*הגדרות!$E$6+I1134+1)</f>
        <v/>
      </c>
      <c r="L1134" s="0" t="str">
        <f aca="false">IF(K1134="","",MATCH(K1134,$F$2:$F$5001,0))</f>
        <v/>
      </c>
      <c r="M1134" s="0" t="str">
        <f aca="false">IF(I1134="","",INDEX(הגדרות!$A$2:$A$21,MOD(I1134+הגדרות!$E$9,הגדרות!$E$6)+1))</f>
        <v/>
      </c>
    </row>
    <row r="1135" customFormat="false" ht="15" hidden="false" customHeight="false" outlineLevel="0" collapsed="false">
      <c r="A1135" s="0" t="str">
        <f aca="false">IF('הדבקת לידים'!A1135="","",IF(ISNUMBER('הדבקת לידים'!A1135),IF(הגדרות!$E$2&gt;0,TEXT('הדבקת לידים'!A1135,REPT("0",הגדרות!$E$2)),TEXT('הדבקת לידים'!A1135,"0")),TRIM('הדבקת לידים'!A1135)))</f>
        <v/>
      </c>
      <c r="B1135" s="0" t="str">
        <f aca="false">IF('הדבקת לידים'!B1135="","",IF(ISNUMBER('הדבקת לידים'!B1135),IF(הגדרות!$E$3&gt;0,TEXT('הדבקת לידים'!B1135,REPT("0",הגדרות!$E$3)),TEXT('הדבקת לידים'!B1135,"0")),TRIM('הדבקת לידים'!B1135)))</f>
        <v/>
      </c>
      <c r="C1135" s="0" t="n">
        <f aca="false">IF(OR(A1135&lt;&gt;"",B1135&lt;&gt;""),1,0)</f>
        <v>0</v>
      </c>
      <c r="D1135" s="0" t="str">
        <f aca="false">IF(C1135=1,MOD(ABS(SIN(ROW()*12.9898+'הדבקת לידים'!$F$2*78.233+IFERROR(--RIGHT(A1135,6),LEN(A1135))*0.0137+IFERROR(--RIGHT(B1135,6),LEN(B1135))*0.0071))*43758.5453,1),"")</f>
        <v/>
      </c>
      <c r="E1135" s="0" t="str">
        <f aca="false">IF(C1135=1,INT(MOD(ABS(SIN(D1135*7919.123+ROW()*0.618+'הדבקת לידים'!$F$2*1.3))*43758.5453,1)*1000000)*10000+ROW(),"")</f>
        <v/>
      </c>
      <c r="F1135" s="0" t="str">
        <f aca="false">IF(E1135="","",RANK(E1135,$E$2:$E$5001,1))</f>
        <v/>
      </c>
      <c r="G1135" s="0" t="n">
        <f aca="false">IF(A1135="",0,IF(SUMPRODUCT(--($A$2:$A$5001=A1135))&gt;1,1,0))</f>
        <v>0</v>
      </c>
      <c r="H1135" s="0" t="n">
        <f aca="false">ROW()-1</f>
        <v>1134</v>
      </c>
      <c r="I1135" s="0" t="str">
        <f aca="false">IF(OR(הגדרות!$E$6=0,H1135&gt;הגדרות!$E$5),"",IF(H1135-1&lt;הגדרות!$E$8*(הגדרות!$E$7+1),INT((H1135-1)/(הגדרות!$E$7+1)),הגדרות!$E$8+INT((H1135-1-הגדרות!$E$8*(הגדרות!$E$7+1))/הגדרות!$E$7)))</f>
        <v/>
      </c>
      <c r="J1135" s="0" t="str">
        <f aca="false">IF(I1135="","",IF(H1135-1&lt;הגדרות!$E$8*(הגדרות!$E$7+1),MOD(H1135-1,הגדרות!$E$7+1),MOD(H1135-1-הגדרות!$E$8*(הגדרות!$E$7+1),הגדרות!$E$7)))</f>
        <v/>
      </c>
      <c r="K1135" s="0" t="str">
        <f aca="false">IF(I1135="","",J1135*הגדרות!$E$6+I1135+1)</f>
        <v/>
      </c>
      <c r="L1135" s="0" t="str">
        <f aca="false">IF(K1135="","",MATCH(K1135,$F$2:$F$5001,0))</f>
        <v/>
      </c>
      <c r="M1135" s="0" t="str">
        <f aca="false">IF(I1135="","",INDEX(הגדרות!$A$2:$A$21,MOD(I1135+הגדרות!$E$9,הגדרות!$E$6)+1))</f>
        <v/>
      </c>
    </row>
    <row r="1136" customFormat="false" ht="15" hidden="false" customHeight="false" outlineLevel="0" collapsed="false">
      <c r="A1136" s="0" t="str">
        <f aca="false">IF('הדבקת לידים'!A1136="","",IF(ISNUMBER('הדבקת לידים'!A1136),IF(הגדרות!$E$2&gt;0,TEXT('הדבקת לידים'!A1136,REPT("0",הגדרות!$E$2)),TEXT('הדבקת לידים'!A1136,"0")),TRIM('הדבקת לידים'!A1136)))</f>
        <v/>
      </c>
      <c r="B1136" s="0" t="str">
        <f aca="false">IF('הדבקת לידים'!B1136="","",IF(ISNUMBER('הדבקת לידים'!B1136),IF(הגדרות!$E$3&gt;0,TEXT('הדבקת לידים'!B1136,REPT("0",הגדרות!$E$3)),TEXT('הדבקת לידים'!B1136,"0")),TRIM('הדבקת לידים'!B1136)))</f>
        <v/>
      </c>
      <c r="C1136" s="0" t="n">
        <f aca="false">IF(OR(A1136&lt;&gt;"",B1136&lt;&gt;""),1,0)</f>
        <v>0</v>
      </c>
      <c r="D1136" s="0" t="str">
        <f aca="false">IF(C1136=1,MOD(ABS(SIN(ROW()*12.9898+'הדבקת לידים'!$F$2*78.233+IFERROR(--RIGHT(A1136,6),LEN(A1136))*0.0137+IFERROR(--RIGHT(B1136,6),LEN(B1136))*0.0071))*43758.5453,1),"")</f>
        <v/>
      </c>
      <c r="E1136" s="0" t="str">
        <f aca="false">IF(C1136=1,INT(MOD(ABS(SIN(D1136*7919.123+ROW()*0.618+'הדבקת לידים'!$F$2*1.3))*43758.5453,1)*1000000)*10000+ROW(),"")</f>
        <v/>
      </c>
      <c r="F1136" s="0" t="str">
        <f aca="false">IF(E1136="","",RANK(E1136,$E$2:$E$5001,1))</f>
        <v/>
      </c>
      <c r="G1136" s="0" t="n">
        <f aca="false">IF(A1136="",0,IF(SUMPRODUCT(--($A$2:$A$5001=A1136))&gt;1,1,0))</f>
        <v>0</v>
      </c>
      <c r="H1136" s="0" t="n">
        <f aca="false">ROW()-1</f>
        <v>1135</v>
      </c>
      <c r="I1136" s="0" t="str">
        <f aca="false">IF(OR(הגדרות!$E$6=0,H1136&gt;הגדרות!$E$5),"",IF(H1136-1&lt;הגדרות!$E$8*(הגדרות!$E$7+1),INT((H1136-1)/(הגדרות!$E$7+1)),הגדרות!$E$8+INT((H1136-1-הגדרות!$E$8*(הגדרות!$E$7+1))/הגדרות!$E$7)))</f>
        <v/>
      </c>
      <c r="J1136" s="0" t="str">
        <f aca="false">IF(I1136="","",IF(H1136-1&lt;הגדרות!$E$8*(הגדרות!$E$7+1),MOD(H1136-1,הגדרות!$E$7+1),MOD(H1136-1-הגדרות!$E$8*(הגדרות!$E$7+1),הגדרות!$E$7)))</f>
        <v/>
      </c>
      <c r="K1136" s="0" t="str">
        <f aca="false">IF(I1136="","",J1136*הגדרות!$E$6+I1136+1)</f>
        <v/>
      </c>
      <c r="L1136" s="0" t="str">
        <f aca="false">IF(K1136="","",MATCH(K1136,$F$2:$F$5001,0))</f>
        <v/>
      </c>
      <c r="M1136" s="0" t="str">
        <f aca="false">IF(I1136="","",INDEX(הגדרות!$A$2:$A$21,MOD(I1136+הגדרות!$E$9,הגדרות!$E$6)+1))</f>
        <v/>
      </c>
    </row>
    <row r="1137" customFormat="false" ht="15" hidden="false" customHeight="false" outlineLevel="0" collapsed="false">
      <c r="A1137" s="0" t="str">
        <f aca="false">IF('הדבקת לידים'!A1137="","",IF(ISNUMBER('הדבקת לידים'!A1137),IF(הגדרות!$E$2&gt;0,TEXT('הדבקת לידים'!A1137,REPT("0",הגדרות!$E$2)),TEXT('הדבקת לידים'!A1137,"0")),TRIM('הדבקת לידים'!A1137)))</f>
        <v/>
      </c>
      <c r="B1137" s="0" t="str">
        <f aca="false">IF('הדבקת לידים'!B1137="","",IF(ISNUMBER('הדבקת לידים'!B1137),IF(הגדרות!$E$3&gt;0,TEXT('הדבקת לידים'!B1137,REPT("0",הגדרות!$E$3)),TEXT('הדבקת לידים'!B1137,"0")),TRIM('הדבקת לידים'!B1137)))</f>
        <v/>
      </c>
      <c r="C1137" s="0" t="n">
        <f aca="false">IF(OR(A1137&lt;&gt;"",B1137&lt;&gt;""),1,0)</f>
        <v>0</v>
      </c>
      <c r="D1137" s="0" t="str">
        <f aca="false">IF(C1137=1,MOD(ABS(SIN(ROW()*12.9898+'הדבקת לידים'!$F$2*78.233+IFERROR(--RIGHT(A1137,6),LEN(A1137))*0.0137+IFERROR(--RIGHT(B1137,6),LEN(B1137))*0.0071))*43758.5453,1),"")</f>
        <v/>
      </c>
      <c r="E1137" s="0" t="str">
        <f aca="false">IF(C1137=1,INT(MOD(ABS(SIN(D1137*7919.123+ROW()*0.618+'הדבקת לידים'!$F$2*1.3))*43758.5453,1)*1000000)*10000+ROW(),"")</f>
        <v/>
      </c>
      <c r="F1137" s="0" t="str">
        <f aca="false">IF(E1137="","",RANK(E1137,$E$2:$E$5001,1))</f>
        <v/>
      </c>
      <c r="G1137" s="0" t="n">
        <f aca="false">IF(A1137="",0,IF(SUMPRODUCT(--($A$2:$A$5001=A1137))&gt;1,1,0))</f>
        <v>0</v>
      </c>
      <c r="H1137" s="0" t="n">
        <f aca="false">ROW()-1</f>
        <v>1136</v>
      </c>
      <c r="I1137" s="0" t="str">
        <f aca="false">IF(OR(הגדרות!$E$6=0,H1137&gt;הגדרות!$E$5),"",IF(H1137-1&lt;הגדרות!$E$8*(הגדרות!$E$7+1),INT((H1137-1)/(הגדרות!$E$7+1)),הגדרות!$E$8+INT((H1137-1-הגדרות!$E$8*(הגדרות!$E$7+1))/הגדרות!$E$7)))</f>
        <v/>
      </c>
      <c r="J1137" s="0" t="str">
        <f aca="false">IF(I1137="","",IF(H1137-1&lt;הגדרות!$E$8*(הגדרות!$E$7+1),MOD(H1137-1,הגדרות!$E$7+1),MOD(H1137-1-הגדרות!$E$8*(הגדרות!$E$7+1),הגדרות!$E$7)))</f>
        <v/>
      </c>
      <c r="K1137" s="0" t="str">
        <f aca="false">IF(I1137="","",J1137*הגדרות!$E$6+I1137+1)</f>
        <v/>
      </c>
      <c r="L1137" s="0" t="str">
        <f aca="false">IF(K1137="","",MATCH(K1137,$F$2:$F$5001,0))</f>
        <v/>
      </c>
      <c r="M1137" s="0" t="str">
        <f aca="false">IF(I1137="","",INDEX(הגדרות!$A$2:$A$21,MOD(I1137+הגדרות!$E$9,הגדרות!$E$6)+1))</f>
        <v/>
      </c>
    </row>
    <row r="1138" customFormat="false" ht="15" hidden="false" customHeight="false" outlineLevel="0" collapsed="false">
      <c r="A1138" s="0" t="str">
        <f aca="false">IF('הדבקת לידים'!A1138="","",IF(ISNUMBER('הדבקת לידים'!A1138),IF(הגדרות!$E$2&gt;0,TEXT('הדבקת לידים'!A1138,REPT("0",הגדרות!$E$2)),TEXT('הדבקת לידים'!A1138,"0")),TRIM('הדבקת לידים'!A1138)))</f>
        <v/>
      </c>
      <c r="B1138" s="0" t="str">
        <f aca="false">IF('הדבקת לידים'!B1138="","",IF(ISNUMBER('הדבקת לידים'!B1138),IF(הגדרות!$E$3&gt;0,TEXT('הדבקת לידים'!B1138,REPT("0",הגדרות!$E$3)),TEXT('הדבקת לידים'!B1138,"0")),TRIM('הדבקת לידים'!B1138)))</f>
        <v/>
      </c>
      <c r="C1138" s="0" t="n">
        <f aca="false">IF(OR(A1138&lt;&gt;"",B1138&lt;&gt;""),1,0)</f>
        <v>0</v>
      </c>
      <c r="D1138" s="0" t="str">
        <f aca="false">IF(C1138=1,MOD(ABS(SIN(ROW()*12.9898+'הדבקת לידים'!$F$2*78.233+IFERROR(--RIGHT(A1138,6),LEN(A1138))*0.0137+IFERROR(--RIGHT(B1138,6),LEN(B1138))*0.0071))*43758.5453,1),"")</f>
        <v/>
      </c>
      <c r="E1138" s="0" t="str">
        <f aca="false">IF(C1138=1,INT(MOD(ABS(SIN(D1138*7919.123+ROW()*0.618+'הדבקת לידים'!$F$2*1.3))*43758.5453,1)*1000000)*10000+ROW(),"")</f>
        <v/>
      </c>
      <c r="F1138" s="0" t="str">
        <f aca="false">IF(E1138="","",RANK(E1138,$E$2:$E$5001,1))</f>
        <v/>
      </c>
      <c r="G1138" s="0" t="n">
        <f aca="false">IF(A1138="",0,IF(SUMPRODUCT(--($A$2:$A$5001=A1138))&gt;1,1,0))</f>
        <v>0</v>
      </c>
      <c r="H1138" s="0" t="n">
        <f aca="false">ROW()-1</f>
        <v>1137</v>
      </c>
      <c r="I1138" s="0" t="str">
        <f aca="false">IF(OR(הגדרות!$E$6=0,H1138&gt;הגדרות!$E$5),"",IF(H1138-1&lt;הגדרות!$E$8*(הגדרות!$E$7+1),INT((H1138-1)/(הגדרות!$E$7+1)),הגדרות!$E$8+INT((H1138-1-הגדרות!$E$8*(הגדרות!$E$7+1))/הגדרות!$E$7)))</f>
        <v/>
      </c>
      <c r="J1138" s="0" t="str">
        <f aca="false">IF(I1138="","",IF(H1138-1&lt;הגדרות!$E$8*(הגדרות!$E$7+1),MOD(H1138-1,הגדרות!$E$7+1),MOD(H1138-1-הגדרות!$E$8*(הגדרות!$E$7+1),הגדרות!$E$7)))</f>
        <v/>
      </c>
      <c r="K1138" s="0" t="str">
        <f aca="false">IF(I1138="","",J1138*הגדרות!$E$6+I1138+1)</f>
        <v/>
      </c>
      <c r="L1138" s="0" t="str">
        <f aca="false">IF(K1138="","",MATCH(K1138,$F$2:$F$5001,0))</f>
        <v/>
      </c>
      <c r="M1138" s="0" t="str">
        <f aca="false">IF(I1138="","",INDEX(הגדרות!$A$2:$A$21,MOD(I1138+הגדרות!$E$9,הגדרות!$E$6)+1))</f>
        <v/>
      </c>
    </row>
    <row r="1139" customFormat="false" ht="15" hidden="false" customHeight="false" outlineLevel="0" collapsed="false">
      <c r="A1139" s="0" t="str">
        <f aca="false">IF('הדבקת לידים'!A1139="","",IF(ISNUMBER('הדבקת לידים'!A1139),IF(הגדרות!$E$2&gt;0,TEXT('הדבקת לידים'!A1139,REPT("0",הגדרות!$E$2)),TEXT('הדבקת לידים'!A1139,"0")),TRIM('הדבקת לידים'!A1139)))</f>
        <v/>
      </c>
      <c r="B1139" s="0" t="str">
        <f aca="false">IF('הדבקת לידים'!B1139="","",IF(ISNUMBER('הדבקת לידים'!B1139),IF(הגדרות!$E$3&gt;0,TEXT('הדבקת לידים'!B1139,REPT("0",הגדרות!$E$3)),TEXT('הדבקת לידים'!B1139,"0")),TRIM('הדבקת לידים'!B1139)))</f>
        <v/>
      </c>
      <c r="C1139" s="0" t="n">
        <f aca="false">IF(OR(A1139&lt;&gt;"",B1139&lt;&gt;""),1,0)</f>
        <v>0</v>
      </c>
      <c r="D1139" s="0" t="str">
        <f aca="false">IF(C1139=1,MOD(ABS(SIN(ROW()*12.9898+'הדבקת לידים'!$F$2*78.233+IFERROR(--RIGHT(A1139,6),LEN(A1139))*0.0137+IFERROR(--RIGHT(B1139,6),LEN(B1139))*0.0071))*43758.5453,1),"")</f>
        <v/>
      </c>
      <c r="E1139" s="0" t="str">
        <f aca="false">IF(C1139=1,INT(MOD(ABS(SIN(D1139*7919.123+ROW()*0.618+'הדבקת לידים'!$F$2*1.3))*43758.5453,1)*1000000)*10000+ROW(),"")</f>
        <v/>
      </c>
      <c r="F1139" s="0" t="str">
        <f aca="false">IF(E1139="","",RANK(E1139,$E$2:$E$5001,1))</f>
        <v/>
      </c>
      <c r="G1139" s="0" t="n">
        <f aca="false">IF(A1139="",0,IF(SUMPRODUCT(--($A$2:$A$5001=A1139))&gt;1,1,0))</f>
        <v>0</v>
      </c>
      <c r="H1139" s="0" t="n">
        <f aca="false">ROW()-1</f>
        <v>1138</v>
      </c>
      <c r="I1139" s="0" t="str">
        <f aca="false">IF(OR(הגדרות!$E$6=0,H1139&gt;הגדרות!$E$5),"",IF(H1139-1&lt;הגדרות!$E$8*(הגדרות!$E$7+1),INT((H1139-1)/(הגדרות!$E$7+1)),הגדרות!$E$8+INT((H1139-1-הגדרות!$E$8*(הגדרות!$E$7+1))/הגדרות!$E$7)))</f>
        <v/>
      </c>
      <c r="J1139" s="0" t="str">
        <f aca="false">IF(I1139="","",IF(H1139-1&lt;הגדרות!$E$8*(הגדרות!$E$7+1),MOD(H1139-1,הגדרות!$E$7+1),MOD(H1139-1-הגדרות!$E$8*(הגדרות!$E$7+1),הגדרות!$E$7)))</f>
        <v/>
      </c>
      <c r="K1139" s="0" t="str">
        <f aca="false">IF(I1139="","",J1139*הגדרות!$E$6+I1139+1)</f>
        <v/>
      </c>
      <c r="L1139" s="0" t="str">
        <f aca="false">IF(K1139="","",MATCH(K1139,$F$2:$F$5001,0))</f>
        <v/>
      </c>
      <c r="M1139" s="0" t="str">
        <f aca="false">IF(I1139="","",INDEX(הגדרות!$A$2:$A$21,MOD(I1139+הגדרות!$E$9,הגדרות!$E$6)+1))</f>
        <v/>
      </c>
    </row>
    <row r="1140" customFormat="false" ht="15" hidden="false" customHeight="false" outlineLevel="0" collapsed="false">
      <c r="A1140" s="0" t="str">
        <f aca="false">IF('הדבקת לידים'!A1140="","",IF(ISNUMBER('הדבקת לידים'!A1140),IF(הגדרות!$E$2&gt;0,TEXT('הדבקת לידים'!A1140,REPT("0",הגדרות!$E$2)),TEXT('הדבקת לידים'!A1140,"0")),TRIM('הדבקת לידים'!A1140)))</f>
        <v/>
      </c>
      <c r="B1140" s="0" t="str">
        <f aca="false">IF('הדבקת לידים'!B1140="","",IF(ISNUMBER('הדבקת לידים'!B1140),IF(הגדרות!$E$3&gt;0,TEXT('הדבקת לידים'!B1140,REPT("0",הגדרות!$E$3)),TEXT('הדבקת לידים'!B1140,"0")),TRIM('הדבקת לידים'!B1140)))</f>
        <v/>
      </c>
      <c r="C1140" s="0" t="n">
        <f aca="false">IF(OR(A1140&lt;&gt;"",B1140&lt;&gt;""),1,0)</f>
        <v>0</v>
      </c>
      <c r="D1140" s="0" t="str">
        <f aca="false">IF(C1140=1,MOD(ABS(SIN(ROW()*12.9898+'הדבקת לידים'!$F$2*78.233+IFERROR(--RIGHT(A1140,6),LEN(A1140))*0.0137+IFERROR(--RIGHT(B1140,6),LEN(B1140))*0.0071))*43758.5453,1),"")</f>
        <v/>
      </c>
      <c r="E1140" s="0" t="str">
        <f aca="false">IF(C1140=1,INT(MOD(ABS(SIN(D1140*7919.123+ROW()*0.618+'הדבקת לידים'!$F$2*1.3))*43758.5453,1)*1000000)*10000+ROW(),"")</f>
        <v/>
      </c>
      <c r="F1140" s="0" t="str">
        <f aca="false">IF(E1140="","",RANK(E1140,$E$2:$E$5001,1))</f>
        <v/>
      </c>
      <c r="G1140" s="0" t="n">
        <f aca="false">IF(A1140="",0,IF(SUMPRODUCT(--($A$2:$A$5001=A1140))&gt;1,1,0))</f>
        <v>0</v>
      </c>
      <c r="H1140" s="0" t="n">
        <f aca="false">ROW()-1</f>
        <v>1139</v>
      </c>
      <c r="I1140" s="0" t="str">
        <f aca="false">IF(OR(הגדרות!$E$6=0,H1140&gt;הגדרות!$E$5),"",IF(H1140-1&lt;הגדרות!$E$8*(הגדרות!$E$7+1),INT((H1140-1)/(הגדרות!$E$7+1)),הגדרות!$E$8+INT((H1140-1-הגדרות!$E$8*(הגדרות!$E$7+1))/הגדרות!$E$7)))</f>
        <v/>
      </c>
      <c r="J1140" s="0" t="str">
        <f aca="false">IF(I1140="","",IF(H1140-1&lt;הגדרות!$E$8*(הגדרות!$E$7+1),MOD(H1140-1,הגדרות!$E$7+1),MOD(H1140-1-הגדרות!$E$8*(הגדרות!$E$7+1),הגדרות!$E$7)))</f>
        <v/>
      </c>
      <c r="K1140" s="0" t="str">
        <f aca="false">IF(I1140="","",J1140*הגדרות!$E$6+I1140+1)</f>
        <v/>
      </c>
      <c r="L1140" s="0" t="str">
        <f aca="false">IF(K1140="","",MATCH(K1140,$F$2:$F$5001,0))</f>
        <v/>
      </c>
      <c r="M1140" s="0" t="str">
        <f aca="false">IF(I1140="","",INDEX(הגדרות!$A$2:$A$21,MOD(I1140+הגדרות!$E$9,הגדרות!$E$6)+1))</f>
        <v/>
      </c>
    </row>
    <row r="1141" customFormat="false" ht="15" hidden="false" customHeight="false" outlineLevel="0" collapsed="false">
      <c r="A1141" s="0" t="str">
        <f aca="false">IF('הדבקת לידים'!A1141="","",IF(ISNUMBER('הדבקת לידים'!A1141),IF(הגדרות!$E$2&gt;0,TEXT('הדבקת לידים'!A1141,REPT("0",הגדרות!$E$2)),TEXT('הדבקת לידים'!A1141,"0")),TRIM('הדבקת לידים'!A1141)))</f>
        <v/>
      </c>
      <c r="B1141" s="0" t="str">
        <f aca="false">IF('הדבקת לידים'!B1141="","",IF(ISNUMBER('הדבקת לידים'!B1141),IF(הגדרות!$E$3&gt;0,TEXT('הדבקת לידים'!B1141,REPT("0",הגדרות!$E$3)),TEXT('הדבקת לידים'!B1141,"0")),TRIM('הדבקת לידים'!B1141)))</f>
        <v/>
      </c>
      <c r="C1141" s="0" t="n">
        <f aca="false">IF(OR(A1141&lt;&gt;"",B1141&lt;&gt;""),1,0)</f>
        <v>0</v>
      </c>
      <c r="D1141" s="0" t="str">
        <f aca="false">IF(C1141=1,MOD(ABS(SIN(ROW()*12.9898+'הדבקת לידים'!$F$2*78.233+IFERROR(--RIGHT(A1141,6),LEN(A1141))*0.0137+IFERROR(--RIGHT(B1141,6),LEN(B1141))*0.0071))*43758.5453,1),"")</f>
        <v/>
      </c>
      <c r="E1141" s="0" t="str">
        <f aca="false">IF(C1141=1,INT(MOD(ABS(SIN(D1141*7919.123+ROW()*0.618+'הדבקת לידים'!$F$2*1.3))*43758.5453,1)*1000000)*10000+ROW(),"")</f>
        <v/>
      </c>
      <c r="F1141" s="0" t="str">
        <f aca="false">IF(E1141="","",RANK(E1141,$E$2:$E$5001,1))</f>
        <v/>
      </c>
      <c r="G1141" s="0" t="n">
        <f aca="false">IF(A1141="",0,IF(SUMPRODUCT(--($A$2:$A$5001=A1141))&gt;1,1,0))</f>
        <v>0</v>
      </c>
      <c r="H1141" s="0" t="n">
        <f aca="false">ROW()-1</f>
        <v>1140</v>
      </c>
      <c r="I1141" s="0" t="str">
        <f aca="false">IF(OR(הגדרות!$E$6=0,H1141&gt;הגדרות!$E$5),"",IF(H1141-1&lt;הגדרות!$E$8*(הגדרות!$E$7+1),INT((H1141-1)/(הגדרות!$E$7+1)),הגדרות!$E$8+INT((H1141-1-הגדרות!$E$8*(הגדרות!$E$7+1))/הגדרות!$E$7)))</f>
        <v/>
      </c>
      <c r="J1141" s="0" t="str">
        <f aca="false">IF(I1141="","",IF(H1141-1&lt;הגדרות!$E$8*(הגדרות!$E$7+1),MOD(H1141-1,הגדרות!$E$7+1),MOD(H1141-1-הגדרות!$E$8*(הגדרות!$E$7+1),הגדרות!$E$7)))</f>
        <v/>
      </c>
      <c r="K1141" s="0" t="str">
        <f aca="false">IF(I1141="","",J1141*הגדרות!$E$6+I1141+1)</f>
        <v/>
      </c>
      <c r="L1141" s="0" t="str">
        <f aca="false">IF(K1141="","",MATCH(K1141,$F$2:$F$5001,0))</f>
        <v/>
      </c>
      <c r="M1141" s="0" t="str">
        <f aca="false">IF(I1141="","",INDEX(הגדרות!$A$2:$A$21,MOD(I1141+הגדרות!$E$9,הגדרות!$E$6)+1))</f>
        <v/>
      </c>
    </row>
    <row r="1142" customFormat="false" ht="15" hidden="false" customHeight="false" outlineLevel="0" collapsed="false">
      <c r="A1142" s="0" t="str">
        <f aca="false">IF('הדבקת לידים'!A1142="","",IF(ISNUMBER('הדבקת לידים'!A1142),IF(הגדרות!$E$2&gt;0,TEXT('הדבקת לידים'!A1142,REPT("0",הגדרות!$E$2)),TEXT('הדבקת לידים'!A1142,"0")),TRIM('הדבקת לידים'!A1142)))</f>
        <v/>
      </c>
      <c r="B1142" s="0" t="str">
        <f aca="false">IF('הדבקת לידים'!B1142="","",IF(ISNUMBER('הדבקת לידים'!B1142),IF(הגדרות!$E$3&gt;0,TEXT('הדבקת לידים'!B1142,REPT("0",הגדרות!$E$3)),TEXT('הדבקת לידים'!B1142,"0")),TRIM('הדבקת לידים'!B1142)))</f>
        <v/>
      </c>
      <c r="C1142" s="0" t="n">
        <f aca="false">IF(OR(A1142&lt;&gt;"",B1142&lt;&gt;""),1,0)</f>
        <v>0</v>
      </c>
      <c r="D1142" s="0" t="str">
        <f aca="false">IF(C1142=1,MOD(ABS(SIN(ROW()*12.9898+'הדבקת לידים'!$F$2*78.233+IFERROR(--RIGHT(A1142,6),LEN(A1142))*0.0137+IFERROR(--RIGHT(B1142,6),LEN(B1142))*0.0071))*43758.5453,1),"")</f>
        <v/>
      </c>
      <c r="E1142" s="0" t="str">
        <f aca="false">IF(C1142=1,INT(MOD(ABS(SIN(D1142*7919.123+ROW()*0.618+'הדבקת לידים'!$F$2*1.3))*43758.5453,1)*1000000)*10000+ROW(),"")</f>
        <v/>
      </c>
      <c r="F1142" s="0" t="str">
        <f aca="false">IF(E1142="","",RANK(E1142,$E$2:$E$5001,1))</f>
        <v/>
      </c>
      <c r="G1142" s="0" t="n">
        <f aca="false">IF(A1142="",0,IF(SUMPRODUCT(--($A$2:$A$5001=A1142))&gt;1,1,0))</f>
        <v>0</v>
      </c>
      <c r="H1142" s="0" t="n">
        <f aca="false">ROW()-1</f>
        <v>1141</v>
      </c>
      <c r="I1142" s="0" t="str">
        <f aca="false">IF(OR(הגדרות!$E$6=0,H1142&gt;הגדרות!$E$5),"",IF(H1142-1&lt;הגדרות!$E$8*(הגדרות!$E$7+1),INT((H1142-1)/(הגדרות!$E$7+1)),הגדרות!$E$8+INT((H1142-1-הגדרות!$E$8*(הגדרות!$E$7+1))/הגדרות!$E$7)))</f>
        <v/>
      </c>
      <c r="J1142" s="0" t="str">
        <f aca="false">IF(I1142="","",IF(H1142-1&lt;הגדרות!$E$8*(הגדרות!$E$7+1),MOD(H1142-1,הגדרות!$E$7+1),MOD(H1142-1-הגדרות!$E$8*(הגדרות!$E$7+1),הגדרות!$E$7)))</f>
        <v/>
      </c>
      <c r="K1142" s="0" t="str">
        <f aca="false">IF(I1142="","",J1142*הגדרות!$E$6+I1142+1)</f>
        <v/>
      </c>
      <c r="L1142" s="0" t="str">
        <f aca="false">IF(K1142="","",MATCH(K1142,$F$2:$F$5001,0))</f>
        <v/>
      </c>
      <c r="M1142" s="0" t="str">
        <f aca="false">IF(I1142="","",INDEX(הגדרות!$A$2:$A$21,MOD(I1142+הגדרות!$E$9,הגדרות!$E$6)+1))</f>
        <v/>
      </c>
    </row>
    <row r="1143" customFormat="false" ht="15" hidden="false" customHeight="false" outlineLevel="0" collapsed="false">
      <c r="A1143" s="0" t="str">
        <f aca="false">IF('הדבקת לידים'!A1143="","",IF(ISNUMBER('הדבקת לידים'!A1143),IF(הגדרות!$E$2&gt;0,TEXT('הדבקת לידים'!A1143,REPT("0",הגדרות!$E$2)),TEXT('הדבקת לידים'!A1143,"0")),TRIM('הדבקת לידים'!A1143)))</f>
        <v/>
      </c>
      <c r="B1143" s="0" t="str">
        <f aca="false">IF('הדבקת לידים'!B1143="","",IF(ISNUMBER('הדבקת לידים'!B1143),IF(הגדרות!$E$3&gt;0,TEXT('הדבקת לידים'!B1143,REPT("0",הגדרות!$E$3)),TEXT('הדבקת לידים'!B1143,"0")),TRIM('הדבקת לידים'!B1143)))</f>
        <v/>
      </c>
      <c r="C1143" s="0" t="n">
        <f aca="false">IF(OR(A1143&lt;&gt;"",B1143&lt;&gt;""),1,0)</f>
        <v>0</v>
      </c>
      <c r="D1143" s="0" t="str">
        <f aca="false">IF(C1143=1,MOD(ABS(SIN(ROW()*12.9898+'הדבקת לידים'!$F$2*78.233+IFERROR(--RIGHT(A1143,6),LEN(A1143))*0.0137+IFERROR(--RIGHT(B1143,6),LEN(B1143))*0.0071))*43758.5453,1),"")</f>
        <v/>
      </c>
      <c r="E1143" s="0" t="str">
        <f aca="false">IF(C1143=1,INT(MOD(ABS(SIN(D1143*7919.123+ROW()*0.618+'הדבקת לידים'!$F$2*1.3))*43758.5453,1)*1000000)*10000+ROW(),"")</f>
        <v/>
      </c>
      <c r="F1143" s="0" t="str">
        <f aca="false">IF(E1143="","",RANK(E1143,$E$2:$E$5001,1))</f>
        <v/>
      </c>
      <c r="G1143" s="0" t="n">
        <f aca="false">IF(A1143="",0,IF(SUMPRODUCT(--($A$2:$A$5001=A1143))&gt;1,1,0))</f>
        <v>0</v>
      </c>
      <c r="H1143" s="0" t="n">
        <f aca="false">ROW()-1</f>
        <v>1142</v>
      </c>
      <c r="I1143" s="0" t="str">
        <f aca="false">IF(OR(הגדרות!$E$6=0,H1143&gt;הגדרות!$E$5),"",IF(H1143-1&lt;הגדרות!$E$8*(הגדרות!$E$7+1),INT((H1143-1)/(הגדרות!$E$7+1)),הגדרות!$E$8+INT((H1143-1-הגדרות!$E$8*(הגדרות!$E$7+1))/הגדרות!$E$7)))</f>
        <v/>
      </c>
      <c r="J1143" s="0" t="str">
        <f aca="false">IF(I1143="","",IF(H1143-1&lt;הגדרות!$E$8*(הגדרות!$E$7+1),MOD(H1143-1,הגדרות!$E$7+1),MOD(H1143-1-הגדרות!$E$8*(הגדרות!$E$7+1),הגדרות!$E$7)))</f>
        <v/>
      </c>
      <c r="K1143" s="0" t="str">
        <f aca="false">IF(I1143="","",J1143*הגדרות!$E$6+I1143+1)</f>
        <v/>
      </c>
      <c r="L1143" s="0" t="str">
        <f aca="false">IF(K1143="","",MATCH(K1143,$F$2:$F$5001,0))</f>
        <v/>
      </c>
      <c r="M1143" s="0" t="str">
        <f aca="false">IF(I1143="","",INDEX(הגדרות!$A$2:$A$21,MOD(I1143+הגדרות!$E$9,הגדרות!$E$6)+1))</f>
        <v/>
      </c>
    </row>
    <row r="1144" customFormat="false" ht="15" hidden="false" customHeight="false" outlineLevel="0" collapsed="false">
      <c r="A1144" s="0" t="str">
        <f aca="false">IF('הדבקת לידים'!A1144="","",IF(ISNUMBER('הדבקת לידים'!A1144),IF(הגדרות!$E$2&gt;0,TEXT('הדבקת לידים'!A1144,REPT("0",הגדרות!$E$2)),TEXT('הדבקת לידים'!A1144,"0")),TRIM('הדבקת לידים'!A1144)))</f>
        <v/>
      </c>
      <c r="B1144" s="0" t="str">
        <f aca="false">IF('הדבקת לידים'!B1144="","",IF(ISNUMBER('הדבקת לידים'!B1144),IF(הגדרות!$E$3&gt;0,TEXT('הדבקת לידים'!B1144,REPT("0",הגדרות!$E$3)),TEXT('הדבקת לידים'!B1144,"0")),TRIM('הדבקת לידים'!B1144)))</f>
        <v/>
      </c>
      <c r="C1144" s="0" t="n">
        <f aca="false">IF(OR(A1144&lt;&gt;"",B1144&lt;&gt;""),1,0)</f>
        <v>0</v>
      </c>
      <c r="D1144" s="0" t="str">
        <f aca="false">IF(C1144=1,MOD(ABS(SIN(ROW()*12.9898+'הדבקת לידים'!$F$2*78.233+IFERROR(--RIGHT(A1144,6),LEN(A1144))*0.0137+IFERROR(--RIGHT(B1144,6),LEN(B1144))*0.0071))*43758.5453,1),"")</f>
        <v/>
      </c>
      <c r="E1144" s="0" t="str">
        <f aca="false">IF(C1144=1,INT(MOD(ABS(SIN(D1144*7919.123+ROW()*0.618+'הדבקת לידים'!$F$2*1.3))*43758.5453,1)*1000000)*10000+ROW(),"")</f>
        <v/>
      </c>
      <c r="F1144" s="0" t="str">
        <f aca="false">IF(E1144="","",RANK(E1144,$E$2:$E$5001,1))</f>
        <v/>
      </c>
      <c r="G1144" s="0" t="n">
        <f aca="false">IF(A1144="",0,IF(SUMPRODUCT(--($A$2:$A$5001=A1144))&gt;1,1,0))</f>
        <v>0</v>
      </c>
      <c r="H1144" s="0" t="n">
        <f aca="false">ROW()-1</f>
        <v>1143</v>
      </c>
      <c r="I1144" s="0" t="str">
        <f aca="false">IF(OR(הגדרות!$E$6=0,H1144&gt;הגדרות!$E$5),"",IF(H1144-1&lt;הגדרות!$E$8*(הגדרות!$E$7+1),INT((H1144-1)/(הגדרות!$E$7+1)),הגדרות!$E$8+INT((H1144-1-הגדרות!$E$8*(הגדרות!$E$7+1))/הגדרות!$E$7)))</f>
        <v/>
      </c>
      <c r="J1144" s="0" t="str">
        <f aca="false">IF(I1144="","",IF(H1144-1&lt;הגדרות!$E$8*(הגדרות!$E$7+1),MOD(H1144-1,הגדרות!$E$7+1),MOD(H1144-1-הגדרות!$E$8*(הגדרות!$E$7+1),הגדרות!$E$7)))</f>
        <v/>
      </c>
      <c r="K1144" s="0" t="str">
        <f aca="false">IF(I1144="","",J1144*הגדרות!$E$6+I1144+1)</f>
        <v/>
      </c>
      <c r="L1144" s="0" t="str">
        <f aca="false">IF(K1144="","",MATCH(K1144,$F$2:$F$5001,0))</f>
        <v/>
      </c>
      <c r="M1144" s="0" t="str">
        <f aca="false">IF(I1144="","",INDEX(הגדרות!$A$2:$A$21,MOD(I1144+הגדרות!$E$9,הגדרות!$E$6)+1))</f>
        <v/>
      </c>
    </row>
    <row r="1145" customFormat="false" ht="15" hidden="false" customHeight="false" outlineLevel="0" collapsed="false">
      <c r="A1145" s="0" t="str">
        <f aca="false">IF('הדבקת לידים'!A1145="","",IF(ISNUMBER('הדבקת לידים'!A1145),IF(הגדרות!$E$2&gt;0,TEXT('הדבקת לידים'!A1145,REPT("0",הגדרות!$E$2)),TEXT('הדבקת לידים'!A1145,"0")),TRIM('הדבקת לידים'!A1145)))</f>
        <v/>
      </c>
      <c r="B1145" s="0" t="str">
        <f aca="false">IF('הדבקת לידים'!B1145="","",IF(ISNUMBER('הדבקת לידים'!B1145),IF(הגדרות!$E$3&gt;0,TEXT('הדבקת לידים'!B1145,REPT("0",הגדרות!$E$3)),TEXT('הדבקת לידים'!B1145,"0")),TRIM('הדבקת לידים'!B1145)))</f>
        <v/>
      </c>
      <c r="C1145" s="0" t="n">
        <f aca="false">IF(OR(A1145&lt;&gt;"",B1145&lt;&gt;""),1,0)</f>
        <v>0</v>
      </c>
      <c r="D1145" s="0" t="str">
        <f aca="false">IF(C1145=1,MOD(ABS(SIN(ROW()*12.9898+'הדבקת לידים'!$F$2*78.233+IFERROR(--RIGHT(A1145,6),LEN(A1145))*0.0137+IFERROR(--RIGHT(B1145,6),LEN(B1145))*0.0071))*43758.5453,1),"")</f>
        <v/>
      </c>
      <c r="E1145" s="0" t="str">
        <f aca="false">IF(C1145=1,INT(MOD(ABS(SIN(D1145*7919.123+ROW()*0.618+'הדבקת לידים'!$F$2*1.3))*43758.5453,1)*1000000)*10000+ROW(),"")</f>
        <v/>
      </c>
      <c r="F1145" s="0" t="str">
        <f aca="false">IF(E1145="","",RANK(E1145,$E$2:$E$5001,1))</f>
        <v/>
      </c>
      <c r="G1145" s="0" t="n">
        <f aca="false">IF(A1145="",0,IF(SUMPRODUCT(--($A$2:$A$5001=A1145))&gt;1,1,0))</f>
        <v>0</v>
      </c>
      <c r="H1145" s="0" t="n">
        <f aca="false">ROW()-1</f>
        <v>1144</v>
      </c>
      <c r="I1145" s="0" t="str">
        <f aca="false">IF(OR(הגדרות!$E$6=0,H1145&gt;הגדרות!$E$5),"",IF(H1145-1&lt;הגדרות!$E$8*(הגדרות!$E$7+1),INT((H1145-1)/(הגדרות!$E$7+1)),הגדרות!$E$8+INT((H1145-1-הגדרות!$E$8*(הגדרות!$E$7+1))/הגדרות!$E$7)))</f>
        <v/>
      </c>
      <c r="J1145" s="0" t="str">
        <f aca="false">IF(I1145="","",IF(H1145-1&lt;הגדרות!$E$8*(הגדרות!$E$7+1),MOD(H1145-1,הגדרות!$E$7+1),MOD(H1145-1-הגדרות!$E$8*(הגדרות!$E$7+1),הגדרות!$E$7)))</f>
        <v/>
      </c>
      <c r="K1145" s="0" t="str">
        <f aca="false">IF(I1145="","",J1145*הגדרות!$E$6+I1145+1)</f>
        <v/>
      </c>
      <c r="L1145" s="0" t="str">
        <f aca="false">IF(K1145="","",MATCH(K1145,$F$2:$F$5001,0))</f>
        <v/>
      </c>
      <c r="M1145" s="0" t="str">
        <f aca="false">IF(I1145="","",INDEX(הגדרות!$A$2:$A$21,MOD(I1145+הגדרות!$E$9,הגדרות!$E$6)+1))</f>
        <v/>
      </c>
    </row>
    <row r="1146" customFormat="false" ht="15" hidden="false" customHeight="false" outlineLevel="0" collapsed="false">
      <c r="A1146" s="0" t="str">
        <f aca="false">IF('הדבקת לידים'!A1146="","",IF(ISNUMBER('הדבקת לידים'!A1146),IF(הגדרות!$E$2&gt;0,TEXT('הדבקת לידים'!A1146,REPT("0",הגדרות!$E$2)),TEXT('הדבקת לידים'!A1146,"0")),TRIM('הדבקת לידים'!A1146)))</f>
        <v/>
      </c>
      <c r="B1146" s="0" t="str">
        <f aca="false">IF('הדבקת לידים'!B1146="","",IF(ISNUMBER('הדבקת לידים'!B1146),IF(הגדרות!$E$3&gt;0,TEXT('הדבקת לידים'!B1146,REPT("0",הגדרות!$E$3)),TEXT('הדבקת לידים'!B1146,"0")),TRIM('הדבקת לידים'!B1146)))</f>
        <v/>
      </c>
      <c r="C1146" s="0" t="n">
        <f aca="false">IF(OR(A1146&lt;&gt;"",B1146&lt;&gt;""),1,0)</f>
        <v>0</v>
      </c>
      <c r="D1146" s="0" t="str">
        <f aca="false">IF(C1146=1,MOD(ABS(SIN(ROW()*12.9898+'הדבקת לידים'!$F$2*78.233+IFERROR(--RIGHT(A1146,6),LEN(A1146))*0.0137+IFERROR(--RIGHT(B1146,6),LEN(B1146))*0.0071))*43758.5453,1),"")</f>
        <v/>
      </c>
      <c r="E1146" s="0" t="str">
        <f aca="false">IF(C1146=1,INT(MOD(ABS(SIN(D1146*7919.123+ROW()*0.618+'הדבקת לידים'!$F$2*1.3))*43758.5453,1)*1000000)*10000+ROW(),"")</f>
        <v/>
      </c>
      <c r="F1146" s="0" t="str">
        <f aca="false">IF(E1146="","",RANK(E1146,$E$2:$E$5001,1))</f>
        <v/>
      </c>
      <c r="G1146" s="0" t="n">
        <f aca="false">IF(A1146="",0,IF(SUMPRODUCT(--($A$2:$A$5001=A1146))&gt;1,1,0))</f>
        <v>0</v>
      </c>
      <c r="H1146" s="0" t="n">
        <f aca="false">ROW()-1</f>
        <v>1145</v>
      </c>
      <c r="I1146" s="0" t="str">
        <f aca="false">IF(OR(הגדרות!$E$6=0,H1146&gt;הגדרות!$E$5),"",IF(H1146-1&lt;הגדרות!$E$8*(הגדרות!$E$7+1),INT((H1146-1)/(הגדרות!$E$7+1)),הגדרות!$E$8+INT((H1146-1-הגדרות!$E$8*(הגדרות!$E$7+1))/הגדרות!$E$7)))</f>
        <v/>
      </c>
      <c r="J1146" s="0" t="str">
        <f aca="false">IF(I1146="","",IF(H1146-1&lt;הגדרות!$E$8*(הגדרות!$E$7+1),MOD(H1146-1,הגדרות!$E$7+1),MOD(H1146-1-הגדרות!$E$8*(הגדרות!$E$7+1),הגדרות!$E$7)))</f>
        <v/>
      </c>
      <c r="K1146" s="0" t="str">
        <f aca="false">IF(I1146="","",J1146*הגדרות!$E$6+I1146+1)</f>
        <v/>
      </c>
      <c r="L1146" s="0" t="str">
        <f aca="false">IF(K1146="","",MATCH(K1146,$F$2:$F$5001,0))</f>
        <v/>
      </c>
      <c r="M1146" s="0" t="str">
        <f aca="false">IF(I1146="","",INDEX(הגדרות!$A$2:$A$21,MOD(I1146+הגדרות!$E$9,הגדרות!$E$6)+1))</f>
        <v/>
      </c>
    </row>
    <row r="1147" customFormat="false" ht="15" hidden="false" customHeight="false" outlineLevel="0" collapsed="false">
      <c r="A1147" s="0" t="str">
        <f aca="false">IF('הדבקת לידים'!A1147="","",IF(ISNUMBER('הדבקת לידים'!A1147),IF(הגדרות!$E$2&gt;0,TEXT('הדבקת לידים'!A1147,REPT("0",הגדרות!$E$2)),TEXT('הדבקת לידים'!A1147,"0")),TRIM('הדבקת לידים'!A1147)))</f>
        <v/>
      </c>
      <c r="B1147" s="0" t="str">
        <f aca="false">IF('הדבקת לידים'!B1147="","",IF(ISNUMBER('הדבקת לידים'!B1147),IF(הגדרות!$E$3&gt;0,TEXT('הדבקת לידים'!B1147,REPT("0",הגדרות!$E$3)),TEXT('הדבקת לידים'!B1147,"0")),TRIM('הדבקת לידים'!B1147)))</f>
        <v/>
      </c>
      <c r="C1147" s="0" t="n">
        <f aca="false">IF(OR(A1147&lt;&gt;"",B1147&lt;&gt;""),1,0)</f>
        <v>0</v>
      </c>
      <c r="D1147" s="0" t="str">
        <f aca="false">IF(C1147=1,MOD(ABS(SIN(ROW()*12.9898+'הדבקת לידים'!$F$2*78.233+IFERROR(--RIGHT(A1147,6),LEN(A1147))*0.0137+IFERROR(--RIGHT(B1147,6),LEN(B1147))*0.0071))*43758.5453,1),"")</f>
        <v/>
      </c>
      <c r="E1147" s="0" t="str">
        <f aca="false">IF(C1147=1,INT(MOD(ABS(SIN(D1147*7919.123+ROW()*0.618+'הדבקת לידים'!$F$2*1.3))*43758.5453,1)*1000000)*10000+ROW(),"")</f>
        <v/>
      </c>
      <c r="F1147" s="0" t="str">
        <f aca="false">IF(E1147="","",RANK(E1147,$E$2:$E$5001,1))</f>
        <v/>
      </c>
      <c r="G1147" s="0" t="n">
        <f aca="false">IF(A1147="",0,IF(SUMPRODUCT(--($A$2:$A$5001=A1147))&gt;1,1,0))</f>
        <v>0</v>
      </c>
      <c r="H1147" s="0" t="n">
        <f aca="false">ROW()-1</f>
        <v>1146</v>
      </c>
      <c r="I1147" s="0" t="str">
        <f aca="false">IF(OR(הגדרות!$E$6=0,H1147&gt;הגדרות!$E$5),"",IF(H1147-1&lt;הגדרות!$E$8*(הגדרות!$E$7+1),INT((H1147-1)/(הגדרות!$E$7+1)),הגדרות!$E$8+INT((H1147-1-הגדרות!$E$8*(הגדרות!$E$7+1))/הגדרות!$E$7)))</f>
        <v/>
      </c>
      <c r="J1147" s="0" t="str">
        <f aca="false">IF(I1147="","",IF(H1147-1&lt;הגדרות!$E$8*(הגדרות!$E$7+1),MOD(H1147-1,הגדרות!$E$7+1),MOD(H1147-1-הגדרות!$E$8*(הגדרות!$E$7+1),הגדרות!$E$7)))</f>
        <v/>
      </c>
      <c r="K1147" s="0" t="str">
        <f aca="false">IF(I1147="","",J1147*הגדרות!$E$6+I1147+1)</f>
        <v/>
      </c>
      <c r="L1147" s="0" t="str">
        <f aca="false">IF(K1147="","",MATCH(K1147,$F$2:$F$5001,0))</f>
        <v/>
      </c>
      <c r="M1147" s="0" t="str">
        <f aca="false">IF(I1147="","",INDEX(הגדרות!$A$2:$A$21,MOD(I1147+הגדרות!$E$9,הגדרות!$E$6)+1))</f>
        <v/>
      </c>
    </row>
    <row r="1148" customFormat="false" ht="15" hidden="false" customHeight="false" outlineLevel="0" collapsed="false">
      <c r="A1148" s="0" t="str">
        <f aca="false">IF('הדבקת לידים'!A1148="","",IF(ISNUMBER('הדבקת לידים'!A1148),IF(הגדרות!$E$2&gt;0,TEXT('הדבקת לידים'!A1148,REPT("0",הגדרות!$E$2)),TEXT('הדבקת לידים'!A1148,"0")),TRIM('הדבקת לידים'!A1148)))</f>
        <v/>
      </c>
      <c r="B1148" s="0" t="str">
        <f aca="false">IF('הדבקת לידים'!B1148="","",IF(ISNUMBER('הדבקת לידים'!B1148),IF(הגדרות!$E$3&gt;0,TEXT('הדבקת לידים'!B1148,REPT("0",הגדרות!$E$3)),TEXT('הדבקת לידים'!B1148,"0")),TRIM('הדבקת לידים'!B1148)))</f>
        <v/>
      </c>
      <c r="C1148" s="0" t="n">
        <f aca="false">IF(OR(A1148&lt;&gt;"",B1148&lt;&gt;""),1,0)</f>
        <v>0</v>
      </c>
      <c r="D1148" s="0" t="str">
        <f aca="false">IF(C1148=1,MOD(ABS(SIN(ROW()*12.9898+'הדבקת לידים'!$F$2*78.233+IFERROR(--RIGHT(A1148,6),LEN(A1148))*0.0137+IFERROR(--RIGHT(B1148,6),LEN(B1148))*0.0071))*43758.5453,1),"")</f>
        <v/>
      </c>
      <c r="E1148" s="0" t="str">
        <f aca="false">IF(C1148=1,INT(MOD(ABS(SIN(D1148*7919.123+ROW()*0.618+'הדבקת לידים'!$F$2*1.3))*43758.5453,1)*1000000)*10000+ROW(),"")</f>
        <v/>
      </c>
      <c r="F1148" s="0" t="str">
        <f aca="false">IF(E1148="","",RANK(E1148,$E$2:$E$5001,1))</f>
        <v/>
      </c>
      <c r="G1148" s="0" t="n">
        <f aca="false">IF(A1148="",0,IF(SUMPRODUCT(--($A$2:$A$5001=A1148))&gt;1,1,0))</f>
        <v>0</v>
      </c>
      <c r="H1148" s="0" t="n">
        <f aca="false">ROW()-1</f>
        <v>1147</v>
      </c>
      <c r="I1148" s="0" t="str">
        <f aca="false">IF(OR(הגדרות!$E$6=0,H1148&gt;הגדרות!$E$5),"",IF(H1148-1&lt;הגדרות!$E$8*(הגדרות!$E$7+1),INT((H1148-1)/(הגדרות!$E$7+1)),הגדרות!$E$8+INT((H1148-1-הגדרות!$E$8*(הגדרות!$E$7+1))/הגדרות!$E$7)))</f>
        <v/>
      </c>
      <c r="J1148" s="0" t="str">
        <f aca="false">IF(I1148="","",IF(H1148-1&lt;הגדרות!$E$8*(הגדרות!$E$7+1),MOD(H1148-1,הגדרות!$E$7+1),MOD(H1148-1-הגדרות!$E$8*(הגדרות!$E$7+1),הגדרות!$E$7)))</f>
        <v/>
      </c>
      <c r="K1148" s="0" t="str">
        <f aca="false">IF(I1148="","",J1148*הגדרות!$E$6+I1148+1)</f>
        <v/>
      </c>
      <c r="L1148" s="0" t="str">
        <f aca="false">IF(K1148="","",MATCH(K1148,$F$2:$F$5001,0))</f>
        <v/>
      </c>
      <c r="M1148" s="0" t="str">
        <f aca="false">IF(I1148="","",INDEX(הגדרות!$A$2:$A$21,MOD(I1148+הגדרות!$E$9,הגדרות!$E$6)+1))</f>
        <v/>
      </c>
    </row>
    <row r="1149" customFormat="false" ht="15" hidden="false" customHeight="false" outlineLevel="0" collapsed="false">
      <c r="A1149" s="0" t="str">
        <f aca="false">IF('הדבקת לידים'!A1149="","",IF(ISNUMBER('הדבקת לידים'!A1149),IF(הגדרות!$E$2&gt;0,TEXT('הדבקת לידים'!A1149,REPT("0",הגדרות!$E$2)),TEXT('הדבקת לידים'!A1149,"0")),TRIM('הדבקת לידים'!A1149)))</f>
        <v/>
      </c>
      <c r="B1149" s="0" t="str">
        <f aca="false">IF('הדבקת לידים'!B1149="","",IF(ISNUMBER('הדבקת לידים'!B1149),IF(הגדרות!$E$3&gt;0,TEXT('הדבקת לידים'!B1149,REPT("0",הגדרות!$E$3)),TEXT('הדבקת לידים'!B1149,"0")),TRIM('הדבקת לידים'!B1149)))</f>
        <v/>
      </c>
      <c r="C1149" s="0" t="n">
        <f aca="false">IF(OR(A1149&lt;&gt;"",B1149&lt;&gt;""),1,0)</f>
        <v>0</v>
      </c>
      <c r="D1149" s="0" t="str">
        <f aca="false">IF(C1149=1,MOD(ABS(SIN(ROW()*12.9898+'הדבקת לידים'!$F$2*78.233+IFERROR(--RIGHT(A1149,6),LEN(A1149))*0.0137+IFERROR(--RIGHT(B1149,6),LEN(B1149))*0.0071))*43758.5453,1),"")</f>
        <v/>
      </c>
      <c r="E1149" s="0" t="str">
        <f aca="false">IF(C1149=1,INT(MOD(ABS(SIN(D1149*7919.123+ROW()*0.618+'הדבקת לידים'!$F$2*1.3))*43758.5453,1)*1000000)*10000+ROW(),"")</f>
        <v/>
      </c>
      <c r="F1149" s="0" t="str">
        <f aca="false">IF(E1149="","",RANK(E1149,$E$2:$E$5001,1))</f>
        <v/>
      </c>
      <c r="G1149" s="0" t="n">
        <f aca="false">IF(A1149="",0,IF(SUMPRODUCT(--($A$2:$A$5001=A1149))&gt;1,1,0))</f>
        <v>0</v>
      </c>
      <c r="H1149" s="0" t="n">
        <f aca="false">ROW()-1</f>
        <v>1148</v>
      </c>
      <c r="I1149" s="0" t="str">
        <f aca="false">IF(OR(הגדרות!$E$6=0,H1149&gt;הגדרות!$E$5),"",IF(H1149-1&lt;הגדרות!$E$8*(הגדרות!$E$7+1),INT((H1149-1)/(הגדרות!$E$7+1)),הגדרות!$E$8+INT((H1149-1-הגדרות!$E$8*(הגדרות!$E$7+1))/הגדרות!$E$7)))</f>
        <v/>
      </c>
      <c r="J1149" s="0" t="str">
        <f aca="false">IF(I1149="","",IF(H1149-1&lt;הגדרות!$E$8*(הגדרות!$E$7+1),MOD(H1149-1,הגדרות!$E$7+1),MOD(H1149-1-הגדרות!$E$8*(הגדרות!$E$7+1),הגדרות!$E$7)))</f>
        <v/>
      </c>
      <c r="K1149" s="0" t="str">
        <f aca="false">IF(I1149="","",J1149*הגדרות!$E$6+I1149+1)</f>
        <v/>
      </c>
      <c r="L1149" s="0" t="str">
        <f aca="false">IF(K1149="","",MATCH(K1149,$F$2:$F$5001,0))</f>
        <v/>
      </c>
      <c r="M1149" s="0" t="str">
        <f aca="false">IF(I1149="","",INDEX(הגדרות!$A$2:$A$21,MOD(I1149+הגדרות!$E$9,הגדרות!$E$6)+1))</f>
        <v/>
      </c>
    </row>
    <row r="1150" customFormat="false" ht="15" hidden="false" customHeight="false" outlineLevel="0" collapsed="false">
      <c r="A1150" s="0" t="str">
        <f aca="false">IF('הדבקת לידים'!A1150="","",IF(ISNUMBER('הדבקת לידים'!A1150),IF(הגדרות!$E$2&gt;0,TEXT('הדבקת לידים'!A1150,REPT("0",הגדרות!$E$2)),TEXT('הדבקת לידים'!A1150,"0")),TRIM('הדבקת לידים'!A1150)))</f>
        <v/>
      </c>
      <c r="B1150" s="0" t="str">
        <f aca="false">IF('הדבקת לידים'!B1150="","",IF(ISNUMBER('הדבקת לידים'!B1150),IF(הגדרות!$E$3&gt;0,TEXT('הדבקת לידים'!B1150,REPT("0",הגדרות!$E$3)),TEXT('הדבקת לידים'!B1150,"0")),TRIM('הדבקת לידים'!B1150)))</f>
        <v/>
      </c>
      <c r="C1150" s="0" t="n">
        <f aca="false">IF(OR(A1150&lt;&gt;"",B1150&lt;&gt;""),1,0)</f>
        <v>0</v>
      </c>
      <c r="D1150" s="0" t="str">
        <f aca="false">IF(C1150=1,MOD(ABS(SIN(ROW()*12.9898+'הדבקת לידים'!$F$2*78.233+IFERROR(--RIGHT(A1150,6),LEN(A1150))*0.0137+IFERROR(--RIGHT(B1150,6),LEN(B1150))*0.0071))*43758.5453,1),"")</f>
        <v/>
      </c>
      <c r="E1150" s="0" t="str">
        <f aca="false">IF(C1150=1,INT(MOD(ABS(SIN(D1150*7919.123+ROW()*0.618+'הדבקת לידים'!$F$2*1.3))*43758.5453,1)*1000000)*10000+ROW(),"")</f>
        <v/>
      </c>
      <c r="F1150" s="0" t="str">
        <f aca="false">IF(E1150="","",RANK(E1150,$E$2:$E$5001,1))</f>
        <v/>
      </c>
      <c r="G1150" s="0" t="n">
        <f aca="false">IF(A1150="",0,IF(SUMPRODUCT(--($A$2:$A$5001=A1150))&gt;1,1,0))</f>
        <v>0</v>
      </c>
      <c r="H1150" s="0" t="n">
        <f aca="false">ROW()-1</f>
        <v>1149</v>
      </c>
      <c r="I1150" s="0" t="str">
        <f aca="false">IF(OR(הגדרות!$E$6=0,H1150&gt;הגדרות!$E$5),"",IF(H1150-1&lt;הגדרות!$E$8*(הגדרות!$E$7+1),INT((H1150-1)/(הגדרות!$E$7+1)),הגדרות!$E$8+INT((H1150-1-הגדרות!$E$8*(הגדרות!$E$7+1))/הגדרות!$E$7)))</f>
        <v/>
      </c>
      <c r="J1150" s="0" t="str">
        <f aca="false">IF(I1150="","",IF(H1150-1&lt;הגדרות!$E$8*(הגדרות!$E$7+1),MOD(H1150-1,הגדרות!$E$7+1),MOD(H1150-1-הגדרות!$E$8*(הגדרות!$E$7+1),הגדרות!$E$7)))</f>
        <v/>
      </c>
      <c r="K1150" s="0" t="str">
        <f aca="false">IF(I1150="","",J1150*הגדרות!$E$6+I1150+1)</f>
        <v/>
      </c>
      <c r="L1150" s="0" t="str">
        <f aca="false">IF(K1150="","",MATCH(K1150,$F$2:$F$5001,0))</f>
        <v/>
      </c>
      <c r="M1150" s="0" t="str">
        <f aca="false">IF(I1150="","",INDEX(הגדרות!$A$2:$A$21,MOD(I1150+הגדרות!$E$9,הגדרות!$E$6)+1))</f>
        <v/>
      </c>
    </row>
    <row r="1151" customFormat="false" ht="15" hidden="false" customHeight="false" outlineLevel="0" collapsed="false">
      <c r="A1151" s="0" t="str">
        <f aca="false">IF('הדבקת לידים'!A1151="","",IF(ISNUMBER('הדבקת לידים'!A1151),IF(הגדרות!$E$2&gt;0,TEXT('הדבקת לידים'!A1151,REPT("0",הגדרות!$E$2)),TEXT('הדבקת לידים'!A1151,"0")),TRIM('הדבקת לידים'!A1151)))</f>
        <v/>
      </c>
      <c r="B1151" s="0" t="str">
        <f aca="false">IF('הדבקת לידים'!B1151="","",IF(ISNUMBER('הדבקת לידים'!B1151),IF(הגדרות!$E$3&gt;0,TEXT('הדבקת לידים'!B1151,REPT("0",הגדרות!$E$3)),TEXT('הדבקת לידים'!B1151,"0")),TRIM('הדבקת לידים'!B1151)))</f>
        <v/>
      </c>
      <c r="C1151" s="0" t="n">
        <f aca="false">IF(OR(A1151&lt;&gt;"",B1151&lt;&gt;""),1,0)</f>
        <v>0</v>
      </c>
      <c r="D1151" s="0" t="str">
        <f aca="false">IF(C1151=1,MOD(ABS(SIN(ROW()*12.9898+'הדבקת לידים'!$F$2*78.233+IFERROR(--RIGHT(A1151,6),LEN(A1151))*0.0137+IFERROR(--RIGHT(B1151,6),LEN(B1151))*0.0071))*43758.5453,1),"")</f>
        <v/>
      </c>
      <c r="E1151" s="0" t="str">
        <f aca="false">IF(C1151=1,INT(MOD(ABS(SIN(D1151*7919.123+ROW()*0.618+'הדבקת לידים'!$F$2*1.3))*43758.5453,1)*1000000)*10000+ROW(),"")</f>
        <v/>
      </c>
      <c r="F1151" s="0" t="str">
        <f aca="false">IF(E1151="","",RANK(E1151,$E$2:$E$5001,1))</f>
        <v/>
      </c>
      <c r="G1151" s="0" t="n">
        <f aca="false">IF(A1151="",0,IF(SUMPRODUCT(--($A$2:$A$5001=A1151))&gt;1,1,0))</f>
        <v>0</v>
      </c>
      <c r="H1151" s="0" t="n">
        <f aca="false">ROW()-1</f>
        <v>1150</v>
      </c>
      <c r="I1151" s="0" t="str">
        <f aca="false">IF(OR(הגדרות!$E$6=0,H1151&gt;הגדרות!$E$5),"",IF(H1151-1&lt;הגדרות!$E$8*(הגדרות!$E$7+1),INT((H1151-1)/(הגדרות!$E$7+1)),הגדרות!$E$8+INT((H1151-1-הגדרות!$E$8*(הגדרות!$E$7+1))/הגדרות!$E$7)))</f>
        <v/>
      </c>
      <c r="J1151" s="0" t="str">
        <f aca="false">IF(I1151="","",IF(H1151-1&lt;הגדרות!$E$8*(הגדרות!$E$7+1),MOD(H1151-1,הגדרות!$E$7+1),MOD(H1151-1-הגדרות!$E$8*(הגדרות!$E$7+1),הגדרות!$E$7)))</f>
        <v/>
      </c>
      <c r="K1151" s="0" t="str">
        <f aca="false">IF(I1151="","",J1151*הגדרות!$E$6+I1151+1)</f>
        <v/>
      </c>
      <c r="L1151" s="0" t="str">
        <f aca="false">IF(K1151="","",MATCH(K1151,$F$2:$F$5001,0))</f>
        <v/>
      </c>
      <c r="M1151" s="0" t="str">
        <f aca="false">IF(I1151="","",INDEX(הגדרות!$A$2:$A$21,MOD(I1151+הגדרות!$E$9,הגדרות!$E$6)+1))</f>
        <v/>
      </c>
    </row>
    <row r="1152" customFormat="false" ht="15" hidden="false" customHeight="false" outlineLevel="0" collapsed="false">
      <c r="A1152" s="0" t="str">
        <f aca="false">IF('הדבקת לידים'!A1152="","",IF(ISNUMBER('הדבקת לידים'!A1152),IF(הגדרות!$E$2&gt;0,TEXT('הדבקת לידים'!A1152,REPT("0",הגדרות!$E$2)),TEXT('הדבקת לידים'!A1152,"0")),TRIM('הדבקת לידים'!A1152)))</f>
        <v/>
      </c>
      <c r="B1152" s="0" t="str">
        <f aca="false">IF('הדבקת לידים'!B1152="","",IF(ISNUMBER('הדבקת לידים'!B1152),IF(הגדרות!$E$3&gt;0,TEXT('הדבקת לידים'!B1152,REPT("0",הגדרות!$E$3)),TEXT('הדבקת לידים'!B1152,"0")),TRIM('הדבקת לידים'!B1152)))</f>
        <v/>
      </c>
      <c r="C1152" s="0" t="n">
        <f aca="false">IF(OR(A1152&lt;&gt;"",B1152&lt;&gt;""),1,0)</f>
        <v>0</v>
      </c>
      <c r="D1152" s="0" t="str">
        <f aca="false">IF(C1152=1,MOD(ABS(SIN(ROW()*12.9898+'הדבקת לידים'!$F$2*78.233+IFERROR(--RIGHT(A1152,6),LEN(A1152))*0.0137+IFERROR(--RIGHT(B1152,6),LEN(B1152))*0.0071))*43758.5453,1),"")</f>
        <v/>
      </c>
      <c r="E1152" s="0" t="str">
        <f aca="false">IF(C1152=1,INT(MOD(ABS(SIN(D1152*7919.123+ROW()*0.618+'הדבקת לידים'!$F$2*1.3))*43758.5453,1)*1000000)*10000+ROW(),"")</f>
        <v/>
      </c>
      <c r="F1152" s="0" t="str">
        <f aca="false">IF(E1152="","",RANK(E1152,$E$2:$E$5001,1))</f>
        <v/>
      </c>
      <c r="G1152" s="0" t="n">
        <f aca="false">IF(A1152="",0,IF(SUMPRODUCT(--($A$2:$A$5001=A1152))&gt;1,1,0))</f>
        <v>0</v>
      </c>
      <c r="H1152" s="0" t="n">
        <f aca="false">ROW()-1</f>
        <v>1151</v>
      </c>
      <c r="I1152" s="0" t="str">
        <f aca="false">IF(OR(הגדרות!$E$6=0,H1152&gt;הגדרות!$E$5),"",IF(H1152-1&lt;הגדרות!$E$8*(הגדרות!$E$7+1),INT((H1152-1)/(הגדרות!$E$7+1)),הגדרות!$E$8+INT((H1152-1-הגדרות!$E$8*(הגדרות!$E$7+1))/הגדרות!$E$7)))</f>
        <v/>
      </c>
      <c r="J1152" s="0" t="str">
        <f aca="false">IF(I1152="","",IF(H1152-1&lt;הגדרות!$E$8*(הגדרות!$E$7+1),MOD(H1152-1,הגדרות!$E$7+1),MOD(H1152-1-הגדרות!$E$8*(הגדרות!$E$7+1),הגדרות!$E$7)))</f>
        <v/>
      </c>
      <c r="K1152" s="0" t="str">
        <f aca="false">IF(I1152="","",J1152*הגדרות!$E$6+I1152+1)</f>
        <v/>
      </c>
      <c r="L1152" s="0" t="str">
        <f aca="false">IF(K1152="","",MATCH(K1152,$F$2:$F$5001,0))</f>
        <v/>
      </c>
      <c r="M1152" s="0" t="str">
        <f aca="false">IF(I1152="","",INDEX(הגדרות!$A$2:$A$21,MOD(I1152+הגדרות!$E$9,הגדרות!$E$6)+1))</f>
        <v/>
      </c>
    </row>
    <row r="1153" customFormat="false" ht="15" hidden="false" customHeight="false" outlineLevel="0" collapsed="false">
      <c r="A1153" s="0" t="str">
        <f aca="false">IF('הדבקת לידים'!A1153="","",IF(ISNUMBER('הדבקת לידים'!A1153),IF(הגדרות!$E$2&gt;0,TEXT('הדבקת לידים'!A1153,REPT("0",הגדרות!$E$2)),TEXT('הדבקת לידים'!A1153,"0")),TRIM('הדבקת לידים'!A1153)))</f>
        <v/>
      </c>
      <c r="B1153" s="0" t="str">
        <f aca="false">IF('הדבקת לידים'!B1153="","",IF(ISNUMBER('הדבקת לידים'!B1153),IF(הגדרות!$E$3&gt;0,TEXT('הדבקת לידים'!B1153,REPT("0",הגדרות!$E$3)),TEXT('הדבקת לידים'!B1153,"0")),TRIM('הדבקת לידים'!B1153)))</f>
        <v/>
      </c>
      <c r="C1153" s="0" t="n">
        <f aca="false">IF(OR(A1153&lt;&gt;"",B1153&lt;&gt;""),1,0)</f>
        <v>0</v>
      </c>
      <c r="D1153" s="0" t="str">
        <f aca="false">IF(C1153=1,MOD(ABS(SIN(ROW()*12.9898+'הדבקת לידים'!$F$2*78.233+IFERROR(--RIGHT(A1153,6),LEN(A1153))*0.0137+IFERROR(--RIGHT(B1153,6),LEN(B1153))*0.0071))*43758.5453,1),"")</f>
        <v/>
      </c>
      <c r="E1153" s="0" t="str">
        <f aca="false">IF(C1153=1,INT(MOD(ABS(SIN(D1153*7919.123+ROW()*0.618+'הדבקת לידים'!$F$2*1.3))*43758.5453,1)*1000000)*10000+ROW(),"")</f>
        <v/>
      </c>
      <c r="F1153" s="0" t="str">
        <f aca="false">IF(E1153="","",RANK(E1153,$E$2:$E$5001,1))</f>
        <v/>
      </c>
      <c r="G1153" s="0" t="n">
        <f aca="false">IF(A1153="",0,IF(SUMPRODUCT(--($A$2:$A$5001=A1153))&gt;1,1,0))</f>
        <v>0</v>
      </c>
      <c r="H1153" s="0" t="n">
        <f aca="false">ROW()-1</f>
        <v>1152</v>
      </c>
      <c r="I1153" s="0" t="str">
        <f aca="false">IF(OR(הגדרות!$E$6=0,H1153&gt;הגדרות!$E$5),"",IF(H1153-1&lt;הגדרות!$E$8*(הגדרות!$E$7+1),INT((H1153-1)/(הגדרות!$E$7+1)),הגדרות!$E$8+INT((H1153-1-הגדרות!$E$8*(הגדרות!$E$7+1))/הגדרות!$E$7)))</f>
        <v/>
      </c>
      <c r="J1153" s="0" t="str">
        <f aca="false">IF(I1153="","",IF(H1153-1&lt;הגדרות!$E$8*(הגדרות!$E$7+1),MOD(H1153-1,הגדרות!$E$7+1),MOD(H1153-1-הגדרות!$E$8*(הגדרות!$E$7+1),הגדרות!$E$7)))</f>
        <v/>
      </c>
      <c r="K1153" s="0" t="str">
        <f aca="false">IF(I1153="","",J1153*הגדרות!$E$6+I1153+1)</f>
        <v/>
      </c>
      <c r="L1153" s="0" t="str">
        <f aca="false">IF(K1153="","",MATCH(K1153,$F$2:$F$5001,0))</f>
        <v/>
      </c>
      <c r="M1153" s="0" t="str">
        <f aca="false">IF(I1153="","",INDEX(הגדרות!$A$2:$A$21,MOD(I1153+הגדרות!$E$9,הגדרות!$E$6)+1))</f>
        <v/>
      </c>
    </row>
    <row r="1154" customFormat="false" ht="15" hidden="false" customHeight="false" outlineLevel="0" collapsed="false">
      <c r="A1154" s="0" t="str">
        <f aca="false">IF('הדבקת לידים'!A1154="","",IF(ISNUMBER('הדבקת לידים'!A1154),IF(הגדרות!$E$2&gt;0,TEXT('הדבקת לידים'!A1154,REPT("0",הגדרות!$E$2)),TEXT('הדבקת לידים'!A1154,"0")),TRIM('הדבקת לידים'!A1154)))</f>
        <v/>
      </c>
      <c r="B1154" s="0" t="str">
        <f aca="false">IF('הדבקת לידים'!B1154="","",IF(ISNUMBER('הדבקת לידים'!B1154),IF(הגדרות!$E$3&gt;0,TEXT('הדבקת לידים'!B1154,REPT("0",הגדרות!$E$3)),TEXT('הדבקת לידים'!B1154,"0")),TRIM('הדבקת לידים'!B1154)))</f>
        <v/>
      </c>
      <c r="C1154" s="0" t="n">
        <f aca="false">IF(OR(A1154&lt;&gt;"",B1154&lt;&gt;""),1,0)</f>
        <v>0</v>
      </c>
      <c r="D1154" s="0" t="str">
        <f aca="false">IF(C1154=1,MOD(ABS(SIN(ROW()*12.9898+'הדבקת לידים'!$F$2*78.233+IFERROR(--RIGHT(A1154,6),LEN(A1154))*0.0137+IFERROR(--RIGHT(B1154,6),LEN(B1154))*0.0071))*43758.5453,1),"")</f>
        <v/>
      </c>
      <c r="E1154" s="0" t="str">
        <f aca="false">IF(C1154=1,INT(MOD(ABS(SIN(D1154*7919.123+ROW()*0.618+'הדבקת לידים'!$F$2*1.3))*43758.5453,1)*1000000)*10000+ROW(),"")</f>
        <v/>
      </c>
      <c r="F1154" s="0" t="str">
        <f aca="false">IF(E1154="","",RANK(E1154,$E$2:$E$5001,1))</f>
        <v/>
      </c>
      <c r="G1154" s="0" t="n">
        <f aca="false">IF(A1154="",0,IF(SUMPRODUCT(--($A$2:$A$5001=A1154))&gt;1,1,0))</f>
        <v>0</v>
      </c>
      <c r="H1154" s="0" t="n">
        <f aca="false">ROW()-1</f>
        <v>1153</v>
      </c>
      <c r="I1154" s="0" t="str">
        <f aca="false">IF(OR(הגדרות!$E$6=0,H1154&gt;הגדרות!$E$5),"",IF(H1154-1&lt;הגדרות!$E$8*(הגדרות!$E$7+1),INT((H1154-1)/(הגדרות!$E$7+1)),הגדרות!$E$8+INT((H1154-1-הגדרות!$E$8*(הגדרות!$E$7+1))/הגדרות!$E$7)))</f>
        <v/>
      </c>
      <c r="J1154" s="0" t="str">
        <f aca="false">IF(I1154="","",IF(H1154-1&lt;הגדרות!$E$8*(הגדרות!$E$7+1),MOD(H1154-1,הגדרות!$E$7+1),MOD(H1154-1-הגדרות!$E$8*(הגדרות!$E$7+1),הגדרות!$E$7)))</f>
        <v/>
      </c>
      <c r="K1154" s="0" t="str">
        <f aca="false">IF(I1154="","",J1154*הגדרות!$E$6+I1154+1)</f>
        <v/>
      </c>
      <c r="L1154" s="0" t="str">
        <f aca="false">IF(K1154="","",MATCH(K1154,$F$2:$F$5001,0))</f>
        <v/>
      </c>
      <c r="M1154" s="0" t="str">
        <f aca="false">IF(I1154="","",INDEX(הגדרות!$A$2:$A$21,MOD(I1154+הגדרות!$E$9,הגדרות!$E$6)+1))</f>
        <v/>
      </c>
    </row>
    <row r="1155" customFormat="false" ht="15" hidden="false" customHeight="false" outlineLevel="0" collapsed="false">
      <c r="A1155" s="0" t="str">
        <f aca="false">IF('הדבקת לידים'!A1155="","",IF(ISNUMBER('הדבקת לידים'!A1155),IF(הגדרות!$E$2&gt;0,TEXT('הדבקת לידים'!A1155,REPT("0",הגדרות!$E$2)),TEXT('הדבקת לידים'!A1155,"0")),TRIM('הדבקת לידים'!A1155)))</f>
        <v/>
      </c>
      <c r="B1155" s="0" t="str">
        <f aca="false">IF('הדבקת לידים'!B1155="","",IF(ISNUMBER('הדבקת לידים'!B1155),IF(הגדרות!$E$3&gt;0,TEXT('הדבקת לידים'!B1155,REPT("0",הגדרות!$E$3)),TEXT('הדבקת לידים'!B1155,"0")),TRIM('הדבקת לידים'!B1155)))</f>
        <v/>
      </c>
      <c r="C1155" s="0" t="n">
        <f aca="false">IF(OR(A1155&lt;&gt;"",B1155&lt;&gt;""),1,0)</f>
        <v>0</v>
      </c>
      <c r="D1155" s="0" t="str">
        <f aca="false">IF(C1155=1,MOD(ABS(SIN(ROW()*12.9898+'הדבקת לידים'!$F$2*78.233+IFERROR(--RIGHT(A1155,6),LEN(A1155))*0.0137+IFERROR(--RIGHT(B1155,6),LEN(B1155))*0.0071))*43758.5453,1),"")</f>
        <v/>
      </c>
      <c r="E1155" s="0" t="str">
        <f aca="false">IF(C1155=1,INT(MOD(ABS(SIN(D1155*7919.123+ROW()*0.618+'הדבקת לידים'!$F$2*1.3))*43758.5453,1)*1000000)*10000+ROW(),"")</f>
        <v/>
      </c>
      <c r="F1155" s="0" t="str">
        <f aca="false">IF(E1155="","",RANK(E1155,$E$2:$E$5001,1))</f>
        <v/>
      </c>
      <c r="G1155" s="0" t="n">
        <f aca="false">IF(A1155="",0,IF(SUMPRODUCT(--($A$2:$A$5001=A1155))&gt;1,1,0))</f>
        <v>0</v>
      </c>
      <c r="H1155" s="0" t="n">
        <f aca="false">ROW()-1</f>
        <v>1154</v>
      </c>
      <c r="I1155" s="0" t="str">
        <f aca="false">IF(OR(הגדרות!$E$6=0,H1155&gt;הגדרות!$E$5),"",IF(H1155-1&lt;הגדרות!$E$8*(הגדרות!$E$7+1),INT((H1155-1)/(הגדרות!$E$7+1)),הגדרות!$E$8+INT((H1155-1-הגדרות!$E$8*(הגדרות!$E$7+1))/הגדרות!$E$7)))</f>
        <v/>
      </c>
      <c r="J1155" s="0" t="str">
        <f aca="false">IF(I1155="","",IF(H1155-1&lt;הגדרות!$E$8*(הגדרות!$E$7+1),MOD(H1155-1,הגדרות!$E$7+1),MOD(H1155-1-הגדרות!$E$8*(הגדרות!$E$7+1),הגדרות!$E$7)))</f>
        <v/>
      </c>
      <c r="K1155" s="0" t="str">
        <f aca="false">IF(I1155="","",J1155*הגדרות!$E$6+I1155+1)</f>
        <v/>
      </c>
      <c r="L1155" s="0" t="str">
        <f aca="false">IF(K1155="","",MATCH(K1155,$F$2:$F$5001,0))</f>
        <v/>
      </c>
      <c r="M1155" s="0" t="str">
        <f aca="false">IF(I1155="","",INDEX(הגדרות!$A$2:$A$21,MOD(I1155+הגדרות!$E$9,הגדרות!$E$6)+1))</f>
        <v/>
      </c>
    </row>
    <row r="1156" customFormat="false" ht="15" hidden="false" customHeight="false" outlineLevel="0" collapsed="false">
      <c r="A1156" s="0" t="str">
        <f aca="false">IF('הדבקת לידים'!A1156="","",IF(ISNUMBER('הדבקת לידים'!A1156),IF(הגדרות!$E$2&gt;0,TEXT('הדבקת לידים'!A1156,REPT("0",הגדרות!$E$2)),TEXT('הדבקת לידים'!A1156,"0")),TRIM('הדבקת לידים'!A1156)))</f>
        <v/>
      </c>
      <c r="B1156" s="0" t="str">
        <f aca="false">IF('הדבקת לידים'!B1156="","",IF(ISNUMBER('הדבקת לידים'!B1156),IF(הגדרות!$E$3&gt;0,TEXT('הדבקת לידים'!B1156,REPT("0",הגדרות!$E$3)),TEXT('הדבקת לידים'!B1156,"0")),TRIM('הדבקת לידים'!B1156)))</f>
        <v/>
      </c>
      <c r="C1156" s="0" t="n">
        <f aca="false">IF(OR(A1156&lt;&gt;"",B1156&lt;&gt;""),1,0)</f>
        <v>0</v>
      </c>
      <c r="D1156" s="0" t="str">
        <f aca="false">IF(C1156=1,MOD(ABS(SIN(ROW()*12.9898+'הדבקת לידים'!$F$2*78.233+IFERROR(--RIGHT(A1156,6),LEN(A1156))*0.0137+IFERROR(--RIGHT(B1156,6),LEN(B1156))*0.0071))*43758.5453,1),"")</f>
        <v/>
      </c>
      <c r="E1156" s="0" t="str">
        <f aca="false">IF(C1156=1,INT(MOD(ABS(SIN(D1156*7919.123+ROW()*0.618+'הדבקת לידים'!$F$2*1.3))*43758.5453,1)*1000000)*10000+ROW(),"")</f>
        <v/>
      </c>
      <c r="F1156" s="0" t="str">
        <f aca="false">IF(E1156="","",RANK(E1156,$E$2:$E$5001,1))</f>
        <v/>
      </c>
      <c r="G1156" s="0" t="n">
        <f aca="false">IF(A1156="",0,IF(SUMPRODUCT(--($A$2:$A$5001=A1156))&gt;1,1,0))</f>
        <v>0</v>
      </c>
      <c r="H1156" s="0" t="n">
        <f aca="false">ROW()-1</f>
        <v>1155</v>
      </c>
      <c r="I1156" s="0" t="str">
        <f aca="false">IF(OR(הגדרות!$E$6=0,H1156&gt;הגדרות!$E$5),"",IF(H1156-1&lt;הגדרות!$E$8*(הגדרות!$E$7+1),INT((H1156-1)/(הגדרות!$E$7+1)),הגדרות!$E$8+INT((H1156-1-הגדרות!$E$8*(הגדרות!$E$7+1))/הגדרות!$E$7)))</f>
        <v/>
      </c>
      <c r="J1156" s="0" t="str">
        <f aca="false">IF(I1156="","",IF(H1156-1&lt;הגדרות!$E$8*(הגדרות!$E$7+1),MOD(H1156-1,הגדרות!$E$7+1),MOD(H1156-1-הגדרות!$E$8*(הגדרות!$E$7+1),הגדרות!$E$7)))</f>
        <v/>
      </c>
      <c r="K1156" s="0" t="str">
        <f aca="false">IF(I1156="","",J1156*הגדרות!$E$6+I1156+1)</f>
        <v/>
      </c>
      <c r="L1156" s="0" t="str">
        <f aca="false">IF(K1156="","",MATCH(K1156,$F$2:$F$5001,0))</f>
        <v/>
      </c>
      <c r="M1156" s="0" t="str">
        <f aca="false">IF(I1156="","",INDEX(הגדרות!$A$2:$A$21,MOD(I1156+הגדרות!$E$9,הגדרות!$E$6)+1))</f>
        <v/>
      </c>
    </row>
    <row r="1157" customFormat="false" ht="15" hidden="false" customHeight="false" outlineLevel="0" collapsed="false">
      <c r="A1157" s="0" t="str">
        <f aca="false">IF('הדבקת לידים'!A1157="","",IF(ISNUMBER('הדבקת לידים'!A1157),IF(הגדרות!$E$2&gt;0,TEXT('הדבקת לידים'!A1157,REPT("0",הגדרות!$E$2)),TEXT('הדבקת לידים'!A1157,"0")),TRIM('הדבקת לידים'!A1157)))</f>
        <v/>
      </c>
      <c r="B1157" s="0" t="str">
        <f aca="false">IF('הדבקת לידים'!B1157="","",IF(ISNUMBER('הדבקת לידים'!B1157),IF(הגדרות!$E$3&gt;0,TEXT('הדבקת לידים'!B1157,REPT("0",הגדרות!$E$3)),TEXT('הדבקת לידים'!B1157,"0")),TRIM('הדבקת לידים'!B1157)))</f>
        <v/>
      </c>
      <c r="C1157" s="0" t="n">
        <f aca="false">IF(OR(A1157&lt;&gt;"",B1157&lt;&gt;""),1,0)</f>
        <v>0</v>
      </c>
      <c r="D1157" s="0" t="str">
        <f aca="false">IF(C1157=1,MOD(ABS(SIN(ROW()*12.9898+'הדבקת לידים'!$F$2*78.233+IFERROR(--RIGHT(A1157,6),LEN(A1157))*0.0137+IFERROR(--RIGHT(B1157,6),LEN(B1157))*0.0071))*43758.5453,1),"")</f>
        <v/>
      </c>
      <c r="E1157" s="0" t="str">
        <f aca="false">IF(C1157=1,INT(MOD(ABS(SIN(D1157*7919.123+ROW()*0.618+'הדבקת לידים'!$F$2*1.3))*43758.5453,1)*1000000)*10000+ROW(),"")</f>
        <v/>
      </c>
      <c r="F1157" s="0" t="str">
        <f aca="false">IF(E1157="","",RANK(E1157,$E$2:$E$5001,1))</f>
        <v/>
      </c>
      <c r="G1157" s="0" t="n">
        <f aca="false">IF(A1157="",0,IF(SUMPRODUCT(--($A$2:$A$5001=A1157))&gt;1,1,0))</f>
        <v>0</v>
      </c>
      <c r="H1157" s="0" t="n">
        <f aca="false">ROW()-1</f>
        <v>1156</v>
      </c>
      <c r="I1157" s="0" t="str">
        <f aca="false">IF(OR(הגדרות!$E$6=0,H1157&gt;הגדרות!$E$5),"",IF(H1157-1&lt;הגדרות!$E$8*(הגדרות!$E$7+1),INT((H1157-1)/(הגדרות!$E$7+1)),הגדרות!$E$8+INT((H1157-1-הגדרות!$E$8*(הגדרות!$E$7+1))/הגדרות!$E$7)))</f>
        <v/>
      </c>
      <c r="J1157" s="0" t="str">
        <f aca="false">IF(I1157="","",IF(H1157-1&lt;הגדרות!$E$8*(הגדרות!$E$7+1),MOD(H1157-1,הגדרות!$E$7+1),MOD(H1157-1-הגדרות!$E$8*(הגדרות!$E$7+1),הגדרות!$E$7)))</f>
        <v/>
      </c>
      <c r="K1157" s="0" t="str">
        <f aca="false">IF(I1157="","",J1157*הגדרות!$E$6+I1157+1)</f>
        <v/>
      </c>
      <c r="L1157" s="0" t="str">
        <f aca="false">IF(K1157="","",MATCH(K1157,$F$2:$F$5001,0))</f>
        <v/>
      </c>
      <c r="M1157" s="0" t="str">
        <f aca="false">IF(I1157="","",INDEX(הגדרות!$A$2:$A$21,MOD(I1157+הגדרות!$E$9,הגדרות!$E$6)+1))</f>
        <v/>
      </c>
    </row>
    <row r="1158" customFormat="false" ht="15" hidden="false" customHeight="false" outlineLevel="0" collapsed="false">
      <c r="A1158" s="0" t="str">
        <f aca="false">IF('הדבקת לידים'!A1158="","",IF(ISNUMBER('הדבקת לידים'!A1158),IF(הגדרות!$E$2&gt;0,TEXT('הדבקת לידים'!A1158,REPT("0",הגדרות!$E$2)),TEXT('הדבקת לידים'!A1158,"0")),TRIM('הדבקת לידים'!A1158)))</f>
        <v/>
      </c>
      <c r="B1158" s="0" t="str">
        <f aca="false">IF('הדבקת לידים'!B1158="","",IF(ISNUMBER('הדבקת לידים'!B1158),IF(הגדרות!$E$3&gt;0,TEXT('הדבקת לידים'!B1158,REPT("0",הגדרות!$E$3)),TEXT('הדבקת לידים'!B1158,"0")),TRIM('הדבקת לידים'!B1158)))</f>
        <v/>
      </c>
      <c r="C1158" s="0" t="n">
        <f aca="false">IF(OR(A1158&lt;&gt;"",B1158&lt;&gt;""),1,0)</f>
        <v>0</v>
      </c>
      <c r="D1158" s="0" t="str">
        <f aca="false">IF(C1158=1,MOD(ABS(SIN(ROW()*12.9898+'הדבקת לידים'!$F$2*78.233+IFERROR(--RIGHT(A1158,6),LEN(A1158))*0.0137+IFERROR(--RIGHT(B1158,6),LEN(B1158))*0.0071))*43758.5453,1),"")</f>
        <v/>
      </c>
      <c r="E1158" s="0" t="str">
        <f aca="false">IF(C1158=1,INT(MOD(ABS(SIN(D1158*7919.123+ROW()*0.618+'הדבקת לידים'!$F$2*1.3))*43758.5453,1)*1000000)*10000+ROW(),"")</f>
        <v/>
      </c>
      <c r="F1158" s="0" t="str">
        <f aca="false">IF(E1158="","",RANK(E1158,$E$2:$E$5001,1))</f>
        <v/>
      </c>
      <c r="G1158" s="0" t="n">
        <f aca="false">IF(A1158="",0,IF(SUMPRODUCT(--($A$2:$A$5001=A1158))&gt;1,1,0))</f>
        <v>0</v>
      </c>
      <c r="H1158" s="0" t="n">
        <f aca="false">ROW()-1</f>
        <v>1157</v>
      </c>
      <c r="I1158" s="0" t="str">
        <f aca="false">IF(OR(הגדרות!$E$6=0,H1158&gt;הגדרות!$E$5),"",IF(H1158-1&lt;הגדרות!$E$8*(הגדרות!$E$7+1),INT((H1158-1)/(הגדרות!$E$7+1)),הגדרות!$E$8+INT((H1158-1-הגדרות!$E$8*(הגדרות!$E$7+1))/הגדרות!$E$7)))</f>
        <v/>
      </c>
      <c r="J1158" s="0" t="str">
        <f aca="false">IF(I1158="","",IF(H1158-1&lt;הגדרות!$E$8*(הגדרות!$E$7+1),MOD(H1158-1,הגדרות!$E$7+1),MOD(H1158-1-הגדרות!$E$8*(הגדרות!$E$7+1),הגדרות!$E$7)))</f>
        <v/>
      </c>
      <c r="K1158" s="0" t="str">
        <f aca="false">IF(I1158="","",J1158*הגדרות!$E$6+I1158+1)</f>
        <v/>
      </c>
      <c r="L1158" s="0" t="str">
        <f aca="false">IF(K1158="","",MATCH(K1158,$F$2:$F$5001,0))</f>
        <v/>
      </c>
      <c r="M1158" s="0" t="str">
        <f aca="false">IF(I1158="","",INDEX(הגדרות!$A$2:$A$21,MOD(I1158+הגדרות!$E$9,הגדרות!$E$6)+1))</f>
        <v/>
      </c>
    </row>
    <row r="1159" customFormat="false" ht="15" hidden="false" customHeight="false" outlineLevel="0" collapsed="false">
      <c r="A1159" s="0" t="str">
        <f aca="false">IF('הדבקת לידים'!A1159="","",IF(ISNUMBER('הדבקת לידים'!A1159),IF(הגדרות!$E$2&gt;0,TEXT('הדבקת לידים'!A1159,REPT("0",הגדרות!$E$2)),TEXT('הדבקת לידים'!A1159,"0")),TRIM('הדבקת לידים'!A1159)))</f>
        <v/>
      </c>
      <c r="B1159" s="0" t="str">
        <f aca="false">IF('הדבקת לידים'!B1159="","",IF(ISNUMBER('הדבקת לידים'!B1159),IF(הגדרות!$E$3&gt;0,TEXT('הדבקת לידים'!B1159,REPT("0",הגדרות!$E$3)),TEXT('הדבקת לידים'!B1159,"0")),TRIM('הדבקת לידים'!B1159)))</f>
        <v/>
      </c>
      <c r="C1159" s="0" t="n">
        <f aca="false">IF(OR(A1159&lt;&gt;"",B1159&lt;&gt;""),1,0)</f>
        <v>0</v>
      </c>
      <c r="D1159" s="0" t="str">
        <f aca="false">IF(C1159=1,MOD(ABS(SIN(ROW()*12.9898+'הדבקת לידים'!$F$2*78.233+IFERROR(--RIGHT(A1159,6),LEN(A1159))*0.0137+IFERROR(--RIGHT(B1159,6),LEN(B1159))*0.0071))*43758.5453,1),"")</f>
        <v/>
      </c>
      <c r="E1159" s="0" t="str">
        <f aca="false">IF(C1159=1,INT(MOD(ABS(SIN(D1159*7919.123+ROW()*0.618+'הדבקת לידים'!$F$2*1.3))*43758.5453,1)*1000000)*10000+ROW(),"")</f>
        <v/>
      </c>
      <c r="F1159" s="0" t="str">
        <f aca="false">IF(E1159="","",RANK(E1159,$E$2:$E$5001,1))</f>
        <v/>
      </c>
      <c r="G1159" s="0" t="n">
        <f aca="false">IF(A1159="",0,IF(SUMPRODUCT(--($A$2:$A$5001=A1159))&gt;1,1,0))</f>
        <v>0</v>
      </c>
      <c r="H1159" s="0" t="n">
        <f aca="false">ROW()-1</f>
        <v>1158</v>
      </c>
      <c r="I1159" s="0" t="str">
        <f aca="false">IF(OR(הגדרות!$E$6=0,H1159&gt;הגדרות!$E$5),"",IF(H1159-1&lt;הגדרות!$E$8*(הגדרות!$E$7+1),INT((H1159-1)/(הגדרות!$E$7+1)),הגדרות!$E$8+INT((H1159-1-הגדרות!$E$8*(הגדרות!$E$7+1))/הגדרות!$E$7)))</f>
        <v/>
      </c>
      <c r="J1159" s="0" t="str">
        <f aca="false">IF(I1159="","",IF(H1159-1&lt;הגדרות!$E$8*(הגדרות!$E$7+1),MOD(H1159-1,הגדרות!$E$7+1),MOD(H1159-1-הגדרות!$E$8*(הגדרות!$E$7+1),הגדרות!$E$7)))</f>
        <v/>
      </c>
      <c r="K1159" s="0" t="str">
        <f aca="false">IF(I1159="","",J1159*הגדרות!$E$6+I1159+1)</f>
        <v/>
      </c>
      <c r="L1159" s="0" t="str">
        <f aca="false">IF(K1159="","",MATCH(K1159,$F$2:$F$5001,0))</f>
        <v/>
      </c>
      <c r="M1159" s="0" t="str">
        <f aca="false">IF(I1159="","",INDEX(הגדרות!$A$2:$A$21,MOD(I1159+הגדרות!$E$9,הגדרות!$E$6)+1))</f>
        <v/>
      </c>
    </row>
    <row r="1160" customFormat="false" ht="15" hidden="false" customHeight="false" outlineLevel="0" collapsed="false">
      <c r="A1160" s="0" t="str">
        <f aca="false">IF('הדבקת לידים'!A1160="","",IF(ISNUMBER('הדבקת לידים'!A1160),IF(הגדרות!$E$2&gt;0,TEXT('הדבקת לידים'!A1160,REPT("0",הגדרות!$E$2)),TEXT('הדבקת לידים'!A1160,"0")),TRIM('הדבקת לידים'!A1160)))</f>
        <v/>
      </c>
      <c r="B1160" s="0" t="str">
        <f aca="false">IF('הדבקת לידים'!B1160="","",IF(ISNUMBER('הדבקת לידים'!B1160),IF(הגדרות!$E$3&gt;0,TEXT('הדבקת לידים'!B1160,REPT("0",הגדרות!$E$3)),TEXT('הדבקת לידים'!B1160,"0")),TRIM('הדבקת לידים'!B1160)))</f>
        <v/>
      </c>
      <c r="C1160" s="0" t="n">
        <f aca="false">IF(OR(A1160&lt;&gt;"",B1160&lt;&gt;""),1,0)</f>
        <v>0</v>
      </c>
      <c r="D1160" s="0" t="str">
        <f aca="false">IF(C1160=1,MOD(ABS(SIN(ROW()*12.9898+'הדבקת לידים'!$F$2*78.233+IFERROR(--RIGHT(A1160,6),LEN(A1160))*0.0137+IFERROR(--RIGHT(B1160,6),LEN(B1160))*0.0071))*43758.5453,1),"")</f>
        <v/>
      </c>
      <c r="E1160" s="0" t="str">
        <f aca="false">IF(C1160=1,INT(MOD(ABS(SIN(D1160*7919.123+ROW()*0.618+'הדבקת לידים'!$F$2*1.3))*43758.5453,1)*1000000)*10000+ROW(),"")</f>
        <v/>
      </c>
      <c r="F1160" s="0" t="str">
        <f aca="false">IF(E1160="","",RANK(E1160,$E$2:$E$5001,1))</f>
        <v/>
      </c>
      <c r="G1160" s="0" t="n">
        <f aca="false">IF(A1160="",0,IF(SUMPRODUCT(--($A$2:$A$5001=A1160))&gt;1,1,0))</f>
        <v>0</v>
      </c>
      <c r="H1160" s="0" t="n">
        <f aca="false">ROW()-1</f>
        <v>1159</v>
      </c>
      <c r="I1160" s="0" t="str">
        <f aca="false">IF(OR(הגדרות!$E$6=0,H1160&gt;הגדרות!$E$5),"",IF(H1160-1&lt;הגדרות!$E$8*(הגדרות!$E$7+1),INT((H1160-1)/(הגדרות!$E$7+1)),הגדרות!$E$8+INT((H1160-1-הגדרות!$E$8*(הגדרות!$E$7+1))/הגדרות!$E$7)))</f>
        <v/>
      </c>
      <c r="J1160" s="0" t="str">
        <f aca="false">IF(I1160="","",IF(H1160-1&lt;הגדרות!$E$8*(הגדרות!$E$7+1),MOD(H1160-1,הגדרות!$E$7+1),MOD(H1160-1-הגדרות!$E$8*(הגדרות!$E$7+1),הגדרות!$E$7)))</f>
        <v/>
      </c>
      <c r="K1160" s="0" t="str">
        <f aca="false">IF(I1160="","",J1160*הגדרות!$E$6+I1160+1)</f>
        <v/>
      </c>
      <c r="L1160" s="0" t="str">
        <f aca="false">IF(K1160="","",MATCH(K1160,$F$2:$F$5001,0))</f>
        <v/>
      </c>
      <c r="M1160" s="0" t="str">
        <f aca="false">IF(I1160="","",INDEX(הגדרות!$A$2:$A$21,MOD(I1160+הגדרות!$E$9,הגדרות!$E$6)+1))</f>
        <v/>
      </c>
    </row>
    <row r="1161" customFormat="false" ht="15" hidden="false" customHeight="false" outlineLevel="0" collapsed="false">
      <c r="A1161" s="0" t="str">
        <f aca="false">IF('הדבקת לידים'!A1161="","",IF(ISNUMBER('הדבקת לידים'!A1161),IF(הגדרות!$E$2&gt;0,TEXT('הדבקת לידים'!A1161,REPT("0",הגדרות!$E$2)),TEXT('הדבקת לידים'!A1161,"0")),TRIM('הדבקת לידים'!A1161)))</f>
        <v/>
      </c>
      <c r="B1161" s="0" t="str">
        <f aca="false">IF('הדבקת לידים'!B1161="","",IF(ISNUMBER('הדבקת לידים'!B1161),IF(הגדרות!$E$3&gt;0,TEXT('הדבקת לידים'!B1161,REPT("0",הגדרות!$E$3)),TEXT('הדבקת לידים'!B1161,"0")),TRIM('הדבקת לידים'!B1161)))</f>
        <v/>
      </c>
      <c r="C1161" s="0" t="n">
        <f aca="false">IF(OR(A1161&lt;&gt;"",B1161&lt;&gt;""),1,0)</f>
        <v>0</v>
      </c>
      <c r="D1161" s="0" t="str">
        <f aca="false">IF(C1161=1,MOD(ABS(SIN(ROW()*12.9898+'הדבקת לידים'!$F$2*78.233+IFERROR(--RIGHT(A1161,6),LEN(A1161))*0.0137+IFERROR(--RIGHT(B1161,6),LEN(B1161))*0.0071))*43758.5453,1),"")</f>
        <v/>
      </c>
      <c r="E1161" s="0" t="str">
        <f aca="false">IF(C1161=1,INT(MOD(ABS(SIN(D1161*7919.123+ROW()*0.618+'הדבקת לידים'!$F$2*1.3))*43758.5453,1)*1000000)*10000+ROW(),"")</f>
        <v/>
      </c>
      <c r="F1161" s="0" t="str">
        <f aca="false">IF(E1161="","",RANK(E1161,$E$2:$E$5001,1))</f>
        <v/>
      </c>
      <c r="G1161" s="0" t="n">
        <f aca="false">IF(A1161="",0,IF(SUMPRODUCT(--($A$2:$A$5001=A1161))&gt;1,1,0))</f>
        <v>0</v>
      </c>
      <c r="H1161" s="0" t="n">
        <f aca="false">ROW()-1</f>
        <v>1160</v>
      </c>
      <c r="I1161" s="0" t="str">
        <f aca="false">IF(OR(הגדרות!$E$6=0,H1161&gt;הגדרות!$E$5),"",IF(H1161-1&lt;הגדרות!$E$8*(הגדרות!$E$7+1),INT((H1161-1)/(הגדרות!$E$7+1)),הגדרות!$E$8+INT((H1161-1-הגדרות!$E$8*(הגדרות!$E$7+1))/הגדרות!$E$7)))</f>
        <v/>
      </c>
      <c r="J1161" s="0" t="str">
        <f aca="false">IF(I1161="","",IF(H1161-1&lt;הגדרות!$E$8*(הגדרות!$E$7+1),MOD(H1161-1,הגדרות!$E$7+1),MOD(H1161-1-הגדרות!$E$8*(הגדרות!$E$7+1),הגדרות!$E$7)))</f>
        <v/>
      </c>
      <c r="K1161" s="0" t="str">
        <f aca="false">IF(I1161="","",J1161*הגדרות!$E$6+I1161+1)</f>
        <v/>
      </c>
      <c r="L1161" s="0" t="str">
        <f aca="false">IF(K1161="","",MATCH(K1161,$F$2:$F$5001,0))</f>
        <v/>
      </c>
      <c r="M1161" s="0" t="str">
        <f aca="false">IF(I1161="","",INDEX(הגדרות!$A$2:$A$21,MOD(I1161+הגדרות!$E$9,הגדרות!$E$6)+1))</f>
        <v/>
      </c>
    </row>
    <row r="1162" customFormat="false" ht="15" hidden="false" customHeight="false" outlineLevel="0" collapsed="false">
      <c r="A1162" s="0" t="str">
        <f aca="false">IF('הדבקת לידים'!A1162="","",IF(ISNUMBER('הדבקת לידים'!A1162),IF(הגדרות!$E$2&gt;0,TEXT('הדבקת לידים'!A1162,REPT("0",הגדרות!$E$2)),TEXT('הדבקת לידים'!A1162,"0")),TRIM('הדבקת לידים'!A1162)))</f>
        <v/>
      </c>
      <c r="B1162" s="0" t="str">
        <f aca="false">IF('הדבקת לידים'!B1162="","",IF(ISNUMBER('הדבקת לידים'!B1162),IF(הגדרות!$E$3&gt;0,TEXT('הדבקת לידים'!B1162,REPT("0",הגדרות!$E$3)),TEXT('הדבקת לידים'!B1162,"0")),TRIM('הדבקת לידים'!B1162)))</f>
        <v/>
      </c>
      <c r="C1162" s="0" t="n">
        <f aca="false">IF(OR(A1162&lt;&gt;"",B1162&lt;&gt;""),1,0)</f>
        <v>0</v>
      </c>
      <c r="D1162" s="0" t="str">
        <f aca="false">IF(C1162=1,MOD(ABS(SIN(ROW()*12.9898+'הדבקת לידים'!$F$2*78.233+IFERROR(--RIGHT(A1162,6),LEN(A1162))*0.0137+IFERROR(--RIGHT(B1162,6),LEN(B1162))*0.0071))*43758.5453,1),"")</f>
        <v/>
      </c>
      <c r="E1162" s="0" t="str">
        <f aca="false">IF(C1162=1,INT(MOD(ABS(SIN(D1162*7919.123+ROW()*0.618+'הדבקת לידים'!$F$2*1.3))*43758.5453,1)*1000000)*10000+ROW(),"")</f>
        <v/>
      </c>
      <c r="F1162" s="0" t="str">
        <f aca="false">IF(E1162="","",RANK(E1162,$E$2:$E$5001,1))</f>
        <v/>
      </c>
      <c r="G1162" s="0" t="n">
        <f aca="false">IF(A1162="",0,IF(SUMPRODUCT(--($A$2:$A$5001=A1162))&gt;1,1,0))</f>
        <v>0</v>
      </c>
      <c r="H1162" s="0" t="n">
        <f aca="false">ROW()-1</f>
        <v>1161</v>
      </c>
      <c r="I1162" s="0" t="str">
        <f aca="false">IF(OR(הגדרות!$E$6=0,H1162&gt;הגדרות!$E$5),"",IF(H1162-1&lt;הגדרות!$E$8*(הגדרות!$E$7+1),INT((H1162-1)/(הגדרות!$E$7+1)),הגדרות!$E$8+INT((H1162-1-הגדרות!$E$8*(הגדרות!$E$7+1))/הגדרות!$E$7)))</f>
        <v/>
      </c>
      <c r="J1162" s="0" t="str">
        <f aca="false">IF(I1162="","",IF(H1162-1&lt;הגדרות!$E$8*(הגדרות!$E$7+1),MOD(H1162-1,הגדרות!$E$7+1),MOD(H1162-1-הגדרות!$E$8*(הגדרות!$E$7+1),הגדרות!$E$7)))</f>
        <v/>
      </c>
      <c r="K1162" s="0" t="str">
        <f aca="false">IF(I1162="","",J1162*הגדרות!$E$6+I1162+1)</f>
        <v/>
      </c>
      <c r="L1162" s="0" t="str">
        <f aca="false">IF(K1162="","",MATCH(K1162,$F$2:$F$5001,0))</f>
        <v/>
      </c>
      <c r="M1162" s="0" t="str">
        <f aca="false">IF(I1162="","",INDEX(הגדרות!$A$2:$A$21,MOD(I1162+הגדרות!$E$9,הגדרות!$E$6)+1))</f>
        <v/>
      </c>
    </row>
    <row r="1163" customFormat="false" ht="15" hidden="false" customHeight="false" outlineLevel="0" collapsed="false">
      <c r="A1163" s="0" t="str">
        <f aca="false">IF('הדבקת לידים'!A1163="","",IF(ISNUMBER('הדבקת לידים'!A1163),IF(הגדרות!$E$2&gt;0,TEXT('הדבקת לידים'!A1163,REPT("0",הגדרות!$E$2)),TEXT('הדבקת לידים'!A1163,"0")),TRIM('הדבקת לידים'!A1163)))</f>
        <v/>
      </c>
      <c r="B1163" s="0" t="str">
        <f aca="false">IF('הדבקת לידים'!B1163="","",IF(ISNUMBER('הדבקת לידים'!B1163),IF(הגדרות!$E$3&gt;0,TEXT('הדבקת לידים'!B1163,REPT("0",הגדרות!$E$3)),TEXT('הדבקת לידים'!B1163,"0")),TRIM('הדבקת לידים'!B1163)))</f>
        <v/>
      </c>
      <c r="C1163" s="0" t="n">
        <f aca="false">IF(OR(A1163&lt;&gt;"",B1163&lt;&gt;""),1,0)</f>
        <v>0</v>
      </c>
      <c r="D1163" s="0" t="str">
        <f aca="false">IF(C1163=1,MOD(ABS(SIN(ROW()*12.9898+'הדבקת לידים'!$F$2*78.233+IFERROR(--RIGHT(A1163,6),LEN(A1163))*0.0137+IFERROR(--RIGHT(B1163,6),LEN(B1163))*0.0071))*43758.5453,1),"")</f>
        <v/>
      </c>
      <c r="E1163" s="0" t="str">
        <f aca="false">IF(C1163=1,INT(MOD(ABS(SIN(D1163*7919.123+ROW()*0.618+'הדבקת לידים'!$F$2*1.3))*43758.5453,1)*1000000)*10000+ROW(),"")</f>
        <v/>
      </c>
      <c r="F1163" s="0" t="str">
        <f aca="false">IF(E1163="","",RANK(E1163,$E$2:$E$5001,1))</f>
        <v/>
      </c>
      <c r="G1163" s="0" t="n">
        <f aca="false">IF(A1163="",0,IF(SUMPRODUCT(--($A$2:$A$5001=A1163))&gt;1,1,0))</f>
        <v>0</v>
      </c>
      <c r="H1163" s="0" t="n">
        <f aca="false">ROW()-1</f>
        <v>1162</v>
      </c>
      <c r="I1163" s="0" t="str">
        <f aca="false">IF(OR(הגדרות!$E$6=0,H1163&gt;הגדרות!$E$5),"",IF(H1163-1&lt;הגדרות!$E$8*(הגדרות!$E$7+1),INT((H1163-1)/(הגדרות!$E$7+1)),הגדרות!$E$8+INT((H1163-1-הגדרות!$E$8*(הגדרות!$E$7+1))/הגדרות!$E$7)))</f>
        <v/>
      </c>
      <c r="J1163" s="0" t="str">
        <f aca="false">IF(I1163="","",IF(H1163-1&lt;הגדרות!$E$8*(הגדרות!$E$7+1),MOD(H1163-1,הגדרות!$E$7+1),MOD(H1163-1-הגדרות!$E$8*(הגדרות!$E$7+1),הגדרות!$E$7)))</f>
        <v/>
      </c>
      <c r="K1163" s="0" t="str">
        <f aca="false">IF(I1163="","",J1163*הגדרות!$E$6+I1163+1)</f>
        <v/>
      </c>
      <c r="L1163" s="0" t="str">
        <f aca="false">IF(K1163="","",MATCH(K1163,$F$2:$F$5001,0))</f>
        <v/>
      </c>
      <c r="M1163" s="0" t="str">
        <f aca="false">IF(I1163="","",INDEX(הגדרות!$A$2:$A$21,MOD(I1163+הגדרות!$E$9,הגדרות!$E$6)+1))</f>
        <v/>
      </c>
    </row>
    <row r="1164" customFormat="false" ht="15" hidden="false" customHeight="false" outlineLevel="0" collapsed="false">
      <c r="A1164" s="0" t="str">
        <f aca="false">IF('הדבקת לידים'!A1164="","",IF(ISNUMBER('הדבקת לידים'!A1164),IF(הגדרות!$E$2&gt;0,TEXT('הדבקת לידים'!A1164,REPT("0",הגדרות!$E$2)),TEXT('הדבקת לידים'!A1164,"0")),TRIM('הדבקת לידים'!A1164)))</f>
        <v/>
      </c>
      <c r="B1164" s="0" t="str">
        <f aca="false">IF('הדבקת לידים'!B1164="","",IF(ISNUMBER('הדבקת לידים'!B1164),IF(הגדרות!$E$3&gt;0,TEXT('הדבקת לידים'!B1164,REPT("0",הגדרות!$E$3)),TEXT('הדבקת לידים'!B1164,"0")),TRIM('הדבקת לידים'!B1164)))</f>
        <v/>
      </c>
      <c r="C1164" s="0" t="n">
        <f aca="false">IF(OR(A1164&lt;&gt;"",B1164&lt;&gt;""),1,0)</f>
        <v>0</v>
      </c>
      <c r="D1164" s="0" t="str">
        <f aca="false">IF(C1164=1,MOD(ABS(SIN(ROW()*12.9898+'הדבקת לידים'!$F$2*78.233+IFERROR(--RIGHT(A1164,6),LEN(A1164))*0.0137+IFERROR(--RIGHT(B1164,6),LEN(B1164))*0.0071))*43758.5453,1),"")</f>
        <v/>
      </c>
      <c r="E1164" s="0" t="str">
        <f aca="false">IF(C1164=1,INT(MOD(ABS(SIN(D1164*7919.123+ROW()*0.618+'הדבקת לידים'!$F$2*1.3))*43758.5453,1)*1000000)*10000+ROW(),"")</f>
        <v/>
      </c>
      <c r="F1164" s="0" t="str">
        <f aca="false">IF(E1164="","",RANK(E1164,$E$2:$E$5001,1))</f>
        <v/>
      </c>
      <c r="G1164" s="0" t="n">
        <f aca="false">IF(A1164="",0,IF(SUMPRODUCT(--($A$2:$A$5001=A1164))&gt;1,1,0))</f>
        <v>0</v>
      </c>
      <c r="H1164" s="0" t="n">
        <f aca="false">ROW()-1</f>
        <v>1163</v>
      </c>
      <c r="I1164" s="0" t="str">
        <f aca="false">IF(OR(הגדרות!$E$6=0,H1164&gt;הגדרות!$E$5),"",IF(H1164-1&lt;הגדרות!$E$8*(הגדרות!$E$7+1),INT((H1164-1)/(הגדרות!$E$7+1)),הגדרות!$E$8+INT((H1164-1-הגדרות!$E$8*(הגדרות!$E$7+1))/הגדרות!$E$7)))</f>
        <v/>
      </c>
      <c r="J1164" s="0" t="str">
        <f aca="false">IF(I1164="","",IF(H1164-1&lt;הגדרות!$E$8*(הגדרות!$E$7+1),MOD(H1164-1,הגדרות!$E$7+1),MOD(H1164-1-הגדרות!$E$8*(הגדרות!$E$7+1),הגדרות!$E$7)))</f>
        <v/>
      </c>
      <c r="K1164" s="0" t="str">
        <f aca="false">IF(I1164="","",J1164*הגדרות!$E$6+I1164+1)</f>
        <v/>
      </c>
      <c r="L1164" s="0" t="str">
        <f aca="false">IF(K1164="","",MATCH(K1164,$F$2:$F$5001,0))</f>
        <v/>
      </c>
      <c r="M1164" s="0" t="str">
        <f aca="false">IF(I1164="","",INDEX(הגדרות!$A$2:$A$21,MOD(I1164+הגדרות!$E$9,הגדרות!$E$6)+1))</f>
        <v/>
      </c>
    </row>
    <row r="1165" customFormat="false" ht="15" hidden="false" customHeight="false" outlineLevel="0" collapsed="false">
      <c r="A1165" s="0" t="str">
        <f aca="false">IF('הדבקת לידים'!A1165="","",IF(ISNUMBER('הדבקת לידים'!A1165),IF(הגדרות!$E$2&gt;0,TEXT('הדבקת לידים'!A1165,REPT("0",הגדרות!$E$2)),TEXT('הדבקת לידים'!A1165,"0")),TRIM('הדבקת לידים'!A1165)))</f>
        <v/>
      </c>
      <c r="B1165" s="0" t="str">
        <f aca="false">IF('הדבקת לידים'!B1165="","",IF(ISNUMBER('הדבקת לידים'!B1165),IF(הגדרות!$E$3&gt;0,TEXT('הדבקת לידים'!B1165,REPT("0",הגדרות!$E$3)),TEXT('הדבקת לידים'!B1165,"0")),TRIM('הדבקת לידים'!B1165)))</f>
        <v/>
      </c>
      <c r="C1165" s="0" t="n">
        <f aca="false">IF(OR(A1165&lt;&gt;"",B1165&lt;&gt;""),1,0)</f>
        <v>0</v>
      </c>
      <c r="D1165" s="0" t="str">
        <f aca="false">IF(C1165=1,MOD(ABS(SIN(ROW()*12.9898+'הדבקת לידים'!$F$2*78.233+IFERROR(--RIGHT(A1165,6),LEN(A1165))*0.0137+IFERROR(--RIGHT(B1165,6),LEN(B1165))*0.0071))*43758.5453,1),"")</f>
        <v/>
      </c>
      <c r="E1165" s="0" t="str">
        <f aca="false">IF(C1165=1,INT(MOD(ABS(SIN(D1165*7919.123+ROW()*0.618+'הדבקת לידים'!$F$2*1.3))*43758.5453,1)*1000000)*10000+ROW(),"")</f>
        <v/>
      </c>
      <c r="F1165" s="0" t="str">
        <f aca="false">IF(E1165="","",RANK(E1165,$E$2:$E$5001,1))</f>
        <v/>
      </c>
      <c r="G1165" s="0" t="n">
        <f aca="false">IF(A1165="",0,IF(SUMPRODUCT(--($A$2:$A$5001=A1165))&gt;1,1,0))</f>
        <v>0</v>
      </c>
      <c r="H1165" s="0" t="n">
        <f aca="false">ROW()-1</f>
        <v>1164</v>
      </c>
      <c r="I1165" s="0" t="str">
        <f aca="false">IF(OR(הגדרות!$E$6=0,H1165&gt;הגדרות!$E$5),"",IF(H1165-1&lt;הגדרות!$E$8*(הגדרות!$E$7+1),INT((H1165-1)/(הגדרות!$E$7+1)),הגדרות!$E$8+INT((H1165-1-הגדרות!$E$8*(הגדרות!$E$7+1))/הגדרות!$E$7)))</f>
        <v/>
      </c>
      <c r="J1165" s="0" t="str">
        <f aca="false">IF(I1165="","",IF(H1165-1&lt;הגדרות!$E$8*(הגדרות!$E$7+1),MOD(H1165-1,הגדרות!$E$7+1),MOD(H1165-1-הגדרות!$E$8*(הגדרות!$E$7+1),הגדרות!$E$7)))</f>
        <v/>
      </c>
      <c r="K1165" s="0" t="str">
        <f aca="false">IF(I1165="","",J1165*הגדרות!$E$6+I1165+1)</f>
        <v/>
      </c>
      <c r="L1165" s="0" t="str">
        <f aca="false">IF(K1165="","",MATCH(K1165,$F$2:$F$5001,0))</f>
        <v/>
      </c>
      <c r="M1165" s="0" t="str">
        <f aca="false">IF(I1165="","",INDEX(הגדרות!$A$2:$A$21,MOD(I1165+הגדרות!$E$9,הגדרות!$E$6)+1))</f>
        <v/>
      </c>
    </row>
    <row r="1166" customFormat="false" ht="15" hidden="false" customHeight="false" outlineLevel="0" collapsed="false">
      <c r="A1166" s="0" t="str">
        <f aca="false">IF('הדבקת לידים'!A1166="","",IF(ISNUMBER('הדבקת לידים'!A1166),IF(הגדרות!$E$2&gt;0,TEXT('הדבקת לידים'!A1166,REPT("0",הגדרות!$E$2)),TEXT('הדבקת לידים'!A1166,"0")),TRIM('הדבקת לידים'!A1166)))</f>
        <v/>
      </c>
      <c r="B1166" s="0" t="str">
        <f aca="false">IF('הדבקת לידים'!B1166="","",IF(ISNUMBER('הדבקת לידים'!B1166),IF(הגדרות!$E$3&gt;0,TEXT('הדבקת לידים'!B1166,REPT("0",הגדרות!$E$3)),TEXT('הדבקת לידים'!B1166,"0")),TRIM('הדבקת לידים'!B1166)))</f>
        <v/>
      </c>
      <c r="C1166" s="0" t="n">
        <f aca="false">IF(OR(A1166&lt;&gt;"",B1166&lt;&gt;""),1,0)</f>
        <v>0</v>
      </c>
      <c r="D1166" s="0" t="str">
        <f aca="false">IF(C1166=1,MOD(ABS(SIN(ROW()*12.9898+'הדבקת לידים'!$F$2*78.233+IFERROR(--RIGHT(A1166,6),LEN(A1166))*0.0137+IFERROR(--RIGHT(B1166,6),LEN(B1166))*0.0071))*43758.5453,1),"")</f>
        <v/>
      </c>
      <c r="E1166" s="0" t="str">
        <f aca="false">IF(C1166=1,INT(MOD(ABS(SIN(D1166*7919.123+ROW()*0.618+'הדבקת לידים'!$F$2*1.3))*43758.5453,1)*1000000)*10000+ROW(),"")</f>
        <v/>
      </c>
      <c r="F1166" s="0" t="str">
        <f aca="false">IF(E1166="","",RANK(E1166,$E$2:$E$5001,1))</f>
        <v/>
      </c>
      <c r="G1166" s="0" t="n">
        <f aca="false">IF(A1166="",0,IF(SUMPRODUCT(--($A$2:$A$5001=A1166))&gt;1,1,0))</f>
        <v>0</v>
      </c>
      <c r="H1166" s="0" t="n">
        <f aca="false">ROW()-1</f>
        <v>1165</v>
      </c>
      <c r="I1166" s="0" t="str">
        <f aca="false">IF(OR(הגדרות!$E$6=0,H1166&gt;הגדרות!$E$5),"",IF(H1166-1&lt;הגדרות!$E$8*(הגדרות!$E$7+1),INT((H1166-1)/(הגדרות!$E$7+1)),הגדרות!$E$8+INT((H1166-1-הגדרות!$E$8*(הגדרות!$E$7+1))/הגדרות!$E$7)))</f>
        <v/>
      </c>
      <c r="J1166" s="0" t="str">
        <f aca="false">IF(I1166="","",IF(H1166-1&lt;הגדרות!$E$8*(הגדרות!$E$7+1),MOD(H1166-1,הגדרות!$E$7+1),MOD(H1166-1-הגדרות!$E$8*(הגדרות!$E$7+1),הגדרות!$E$7)))</f>
        <v/>
      </c>
      <c r="K1166" s="0" t="str">
        <f aca="false">IF(I1166="","",J1166*הגדרות!$E$6+I1166+1)</f>
        <v/>
      </c>
      <c r="L1166" s="0" t="str">
        <f aca="false">IF(K1166="","",MATCH(K1166,$F$2:$F$5001,0))</f>
        <v/>
      </c>
      <c r="M1166" s="0" t="str">
        <f aca="false">IF(I1166="","",INDEX(הגדרות!$A$2:$A$21,MOD(I1166+הגדרות!$E$9,הגדרות!$E$6)+1))</f>
        <v/>
      </c>
    </row>
    <row r="1167" customFormat="false" ht="15" hidden="false" customHeight="false" outlineLevel="0" collapsed="false">
      <c r="A1167" s="0" t="str">
        <f aca="false">IF('הדבקת לידים'!A1167="","",IF(ISNUMBER('הדבקת לידים'!A1167),IF(הגדרות!$E$2&gt;0,TEXT('הדבקת לידים'!A1167,REPT("0",הגדרות!$E$2)),TEXT('הדבקת לידים'!A1167,"0")),TRIM('הדבקת לידים'!A1167)))</f>
        <v/>
      </c>
      <c r="B1167" s="0" t="str">
        <f aca="false">IF('הדבקת לידים'!B1167="","",IF(ISNUMBER('הדבקת לידים'!B1167),IF(הגדרות!$E$3&gt;0,TEXT('הדבקת לידים'!B1167,REPT("0",הגדרות!$E$3)),TEXT('הדבקת לידים'!B1167,"0")),TRIM('הדבקת לידים'!B1167)))</f>
        <v/>
      </c>
      <c r="C1167" s="0" t="n">
        <f aca="false">IF(OR(A1167&lt;&gt;"",B1167&lt;&gt;""),1,0)</f>
        <v>0</v>
      </c>
      <c r="D1167" s="0" t="str">
        <f aca="false">IF(C1167=1,MOD(ABS(SIN(ROW()*12.9898+'הדבקת לידים'!$F$2*78.233+IFERROR(--RIGHT(A1167,6),LEN(A1167))*0.0137+IFERROR(--RIGHT(B1167,6),LEN(B1167))*0.0071))*43758.5453,1),"")</f>
        <v/>
      </c>
      <c r="E1167" s="0" t="str">
        <f aca="false">IF(C1167=1,INT(MOD(ABS(SIN(D1167*7919.123+ROW()*0.618+'הדבקת לידים'!$F$2*1.3))*43758.5453,1)*1000000)*10000+ROW(),"")</f>
        <v/>
      </c>
      <c r="F1167" s="0" t="str">
        <f aca="false">IF(E1167="","",RANK(E1167,$E$2:$E$5001,1))</f>
        <v/>
      </c>
      <c r="G1167" s="0" t="n">
        <f aca="false">IF(A1167="",0,IF(SUMPRODUCT(--($A$2:$A$5001=A1167))&gt;1,1,0))</f>
        <v>0</v>
      </c>
      <c r="H1167" s="0" t="n">
        <f aca="false">ROW()-1</f>
        <v>1166</v>
      </c>
      <c r="I1167" s="0" t="str">
        <f aca="false">IF(OR(הגדרות!$E$6=0,H1167&gt;הגדרות!$E$5),"",IF(H1167-1&lt;הגדרות!$E$8*(הגדרות!$E$7+1),INT((H1167-1)/(הגדרות!$E$7+1)),הגדרות!$E$8+INT((H1167-1-הגדרות!$E$8*(הגדרות!$E$7+1))/הגדרות!$E$7)))</f>
        <v/>
      </c>
      <c r="J1167" s="0" t="str">
        <f aca="false">IF(I1167="","",IF(H1167-1&lt;הגדרות!$E$8*(הגדרות!$E$7+1),MOD(H1167-1,הגדרות!$E$7+1),MOD(H1167-1-הגדרות!$E$8*(הגדרות!$E$7+1),הגדרות!$E$7)))</f>
        <v/>
      </c>
      <c r="K1167" s="0" t="str">
        <f aca="false">IF(I1167="","",J1167*הגדרות!$E$6+I1167+1)</f>
        <v/>
      </c>
      <c r="L1167" s="0" t="str">
        <f aca="false">IF(K1167="","",MATCH(K1167,$F$2:$F$5001,0))</f>
        <v/>
      </c>
      <c r="M1167" s="0" t="str">
        <f aca="false">IF(I1167="","",INDEX(הגדרות!$A$2:$A$21,MOD(I1167+הגדרות!$E$9,הגדרות!$E$6)+1))</f>
        <v/>
      </c>
    </row>
    <row r="1168" customFormat="false" ht="15" hidden="false" customHeight="false" outlineLevel="0" collapsed="false">
      <c r="A1168" s="0" t="str">
        <f aca="false">IF('הדבקת לידים'!A1168="","",IF(ISNUMBER('הדבקת לידים'!A1168),IF(הגדרות!$E$2&gt;0,TEXT('הדבקת לידים'!A1168,REPT("0",הגדרות!$E$2)),TEXT('הדבקת לידים'!A1168,"0")),TRIM('הדבקת לידים'!A1168)))</f>
        <v/>
      </c>
      <c r="B1168" s="0" t="str">
        <f aca="false">IF('הדבקת לידים'!B1168="","",IF(ISNUMBER('הדבקת לידים'!B1168),IF(הגדרות!$E$3&gt;0,TEXT('הדבקת לידים'!B1168,REPT("0",הגדרות!$E$3)),TEXT('הדבקת לידים'!B1168,"0")),TRIM('הדבקת לידים'!B1168)))</f>
        <v/>
      </c>
      <c r="C1168" s="0" t="n">
        <f aca="false">IF(OR(A1168&lt;&gt;"",B1168&lt;&gt;""),1,0)</f>
        <v>0</v>
      </c>
      <c r="D1168" s="0" t="str">
        <f aca="false">IF(C1168=1,MOD(ABS(SIN(ROW()*12.9898+'הדבקת לידים'!$F$2*78.233+IFERROR(--RIGHT(A1168,6),LEN(A1168))*0.0137+IFERROR(--RIGHT(B1168,6),LEN(B1168))*0.0071))*43758.5453,1),"")</f>
        <v/>
      </c>
      <c r="E1168" s="0" t="str">
        <f aca="false">IF(C1168=1,INT(MOD(ABS(SIN(D1168*7919.123+ROW()*0.618+'הדבקת לידים'!$F$2*1.3))*43758.5453,1)*1000000)*10000+ROW(),"")</f>
        <v/>
      </c>
      <c r="F1168" s="0" t="str">
        <f aca="false">IF(E1168="","",RANK(E1168,$E$2:$E$5001,1))</f>
        <v/>
      </c>
      <c r="G1168" s="0" t="n">
        <f aca="false">IF(A1168="",0,IF(SUMPRODUCT(--($A$2:$A$5001=A1168))&gt;1,1,0))</f>
        <v>0</v>
      </c>
      <c r="H1168" s="0" t="n">
        <f aca="false">ROW()-1</f>
        <v>1167</v>
      </c>
      <c r="I1168" s="0" t="str">
        <f aca="false">IF(OR(הגדרות!$E$6=0,H1168&gt;הגדרות!$E$5),"",IF(H1168-1&lt;הגדרות!$E$8*(הגדרות!$E$7+1),INT((H1168-1)/(הגדרות!$E$7+1)),הגדרות!$E$8+INT((H1168-1-הגדרות!$E$8*(הגדרות!$E$7+1))/הגדרות!$E$7)))</f>
        <v/>
      </c>
      <c r="J1168" s="0" t="str">
        <f aca="false">IF(I1168="","",IF(H1168-1&lt;הגדרות!$E$8*(הגדרות!$E$7+1),MOD(H1168-1,הגדרות!$E$7+1),MOD(H1168-1-הגדרות!$E$8*(הגדרות!$E$7+1),הגדרות!$E$7)))</f>
        <v/>
      </c>
      <c r="K1168" s="0" t="str">
        <f aca="false">IF(I1168="","",J1168*הגדרות!$E$6+I1168+1)</f>
        <v/>
      </c>
      <c r="L1168" s="0" t="str">
        <f aca="false">IF(K1168="","",MATCH(K1168,$F$2:$F$5001,0))</f>
        <v/>
      </c>
      <c r="M1168" s="0" t="str">
        <f aca="false">IF(I1168="","",INDEX(הגדרות!$A$2:$A$21,MOD(I1168+הגדרות!$E$9,הגדרות!$E$6)+1))</f>
        <v/>
      </c>
    </row>
    <row r="1169" customFormat="false" ht="15" hidden="false" customHeight="false" outlineLevel="0" collapsed="false">
      <c r="A1169" s="0" t="str">
        <f aca="false">IF('הדבקת לידים'!A1169="","",IF(ISNUMBER('הדבקת לידים'!A1169),IF(הגדרות!$E$2&gt;0,TEXT('הדבקת לידים'!A1169,REPT("0",הגדרות!$E$2)),TEXT('הדבקת לידים'!A1169,"0")),TRIM('הדבקת לידים'!A1169)))</f>
        <v/>
      </c>
      <c r="B1169" s="0" t="str">
        <f aca="false">IF('הדבקת לידים'!B1169="","",IF(ISNUMBER('הדבקת לידים'!B1169),IF(הגדרות!$E$3&gt;0,TEXT('הדבקת לידים'!B1169,REPT("0",הגדרות!$E$3)),TEXT('הדבקת לידים'!B1169,"0")),TRIM('הדבקת לידים'!B1169)))</f>
        <v/>
      </c>
      <c r="C1169" s="0" t="n">
        <f aca="false">IF(OR(A1169&lt;&gt;"",B1169&lt;&gt;""),1,0)</f>
        <v>0</v>
      </c>
      <c r="D1169" s="0" t="str">
        <f aca="false">IF(C1169=1,MOD(ABS(SIN(ROW()*12.9898+'הדבקת לידים'!$F$2*78.233+IFERROR(--RIGHT(A1169,6),LEN(A1169))*0.0137+IFERROR(--RIGHT(B1169,6),LEN(B1169))*0.0071))*43758.5453,1),"")</f>
        <v/>
      </c>
      <c r="E1169" s="0" t="str">
        <f aca="false">IF(C1169=1,INT(MOD(ABS(SIN(D1169*7919.123+ROW()*0.618+'הדבקת לידים'!$F$2*1.3))*43758.5453,1)*1000000)*10000+ROW(),"")</f>
        <v/>
      </c>
      <c r="F1169" s="0" t="str">
        <f aca="false">IF(E1169="","",RANK(E1169,$E$2:$E$5001,1))</f>
        <v/>
      </c>
      <c r="G1169" s="0" t="n">
        <f aca="false">IF(A1169="",0,IF(SUMPRODUCT(--($A$2:$A$5001=A1169))&gt;1,1,0))</f>
        <v>0</v>
      </c>
      <c r="H1169" s="0" t="n">
        <f aca="false">ROW()-1</f>
        <v>1168</v>
      </c>
      <c r="I1169" s="0" t="str">
        <f aca="false">IF(OR(הגדרות!$E$6=0,H1169&gt;הגדרות!$E$5),"",IF(H1169-1&lt;הגדרות!$E$8*(הגדרות!$E$7+1),INT((H1169-1)/(הגדרות!$E$7+1)),הגדרות!$E$8+INT((H1169-1-הגדרות!$E$8*(הגדרות!$E$7+1))/הגדרות!$E$7)))</f>
        <v/>
      </c>
      <c r="J1169" s="0" t="str">
        <f aca="false">IF(I1169="","",IF(H1169-1&lt;הגדרות!$E$8*(הגדרות!$E$7+1),MOD(H1169-1,הגדרות!$E$7+1),MOD(H1169-1-הגדרות!$E$8*(הגדרות!$E$7+1),הגדרות!$E$7)))</f>
        <v/>
      </c>
      <c r="K1169" s="0" t="str">
        <f aca="false">IF(I1169="","",J1169*הגדרות!$E$6+I1169+1)</f>
        <v/>
      </c>
      <c r="L1169" s="0" t="str">
        <f aca="false">IF(K1169="","",MATCH(K1169,$F$2:$F$5001,0))</f>
        <v/>
      </c>
      <c r="M1169" s="0" t="str">
        <f aca="false">IF(I1169="","",INDEX(הגדרות!$A$2:$A$21,MOD(I1169+הגדרות!$E$9,הגדרות!$E$6)+1))</f>
        <v/>
      </c>
    </row>
    <row r="1170" customFormat="false" ht="15" hidden="false" customHeight="false" outlineLevel="0" collapsed="false">
      <c r="A1170" s="0" t="str">
        <f aca="false">IF('הדבקת לידים'!A1170="","",IF(ISNUMBER('הדבקת לידים'!A1170),IF(הגדרות!$E$2&gt;0,TEXT('הדבקת לידים'!A1170,REPT("0",הגדרות!$E$2)),TEXT('הדבקת לידים'!A1170,"0")),TRIM('הדבקת לידים'!A1170)))</f>
        <v/>
      </c>
      <c r="B1170" s="0" t="str">
        <f aca="false">IF('הדבקת לידים'!B1170="","",IF(ISNUMBER('הדבקת לידים'!B1170),IF(הגדרות!$E$3&gt;0,TEXT('הדבקת לידים'!B1170,REPT("0",הגדרות!$E$3)),TEXT('הדבקת לידים'!B1170,"0")),TRIM('הדבקת לידים'!B1170)))</f>
        <v/>
      </c>
      <c r="C1170" s="0" t="n">
        <f aca="false">IF(OR(A1170&lt;&gt;"",B1170&lt;&gt;""),1,0)</f>
        <v>0</v>
      </c>
      <c r="D1170" s="0" t="str">
        <f aca="false">IF(C1170=1,MOD(ABS(SIN(ROW()*12.9898+'הדבקת לידים'!$F$2*78.233+IFERROR(--RIGHT(A1170,6),LEN(A1170))*0.0137+IFERROR(--RIGHT(B1170,6),LEN(B1170))*0.0071))*43758.5453,1),"")</f>
        <v/>
      </c>
      <c r="E1170" s="0" t="str">
        <f aca="false">IF(C1170=1,INT(MOD(ABS(SIN(D1170*7919.123+ROW()*0.618+'הדבקת לידים'!$F$2*1.3))*43758.5453,1)*1000000)*10000+ROW(),"")</f>
        <v/>
      </c>
      <c r="F1170" s="0" t="str">
        <f aca="false">IF(E1170="","",RANK(E1170,$E$2:$E$5001,1))</f>
        <v/>
      </c>
      <c r="G1170" s="0" t="n">
        <f aca="false">IF(A1170="",0,IF(SUMPRODUCT(--($A$2:$A$5001=A1170))&gt;1,1,0))</f>
        <v>0</v>
      </c>
      <c r="H1170" s="0" t="n">
        <f aca="false">ROW()-1</f>
        <v>1169</v>
      </c>
      <c r="I1170" s="0" t="str">
        <f aca="false">IF(OR(הגדרות!$E$6=0,H1170&gt;הגדרות!$E$5),"",IF(H1170-1&lt;הגדרות!$E$8*(הגדרות!$E$7+1),INT((H1170-1)/(הגדרות!$E$7+1)),הגדרות!$E$8+INT((H1170-1-הגדרות!$E$8*(הגדרות!$E$7+1))/הגדרות!$E$7)))</f>
        <v/>
      </c>
      <c r="J1170" s="0" t="str">
        <f aca="false">IF(I1170="","",IF(H1170-1&lt;הגדרות!$E$8*(הגדרות!$E$7+1),MOD(H1170-1,הגדרות!$E$7+1),MOD(H1170-1-הגדרות!$E$8*(הגדרות!$E$7+1),הגדרות!$E$7)))</f>
        <v/>
      </c>
      <c r="K1170" s="0" t="str">
        <f aca="false">IF(I1170="","",J1170*הגדרות!$E$6+I1170+1)</f>
        <v/>
      </c>
      <c r="L1170" s="0" t="str">
        <f aca="false">IF(K1170="","",MATCH(K1170,$F$2:$F$5001,0))</f>
        <v/>
      </c>
      <c r="M1170" s="0" t="str">
        <f aca="false">IF(I1170="","",INDEX(הגדרות!$A$2:$A$21,MOD(I1170+הגדרות!$E$9,הגדרות!$E$6)+1))</f>
        <v/>
      </c>
    </row>
    <row r="1171" customFormat="false" ht="15" hidden="false" customHeight="false" outlineLevel="0" collapsed="false">
      <c r="A1171" s="0" t="str">
        <f aca="false">IF('הדבקת לידים'!A1171="","",IF(ISNUMBER('הדבקת לידים'!A1171),IF(הגדרות!$E$2&gt;0,TEXT('הדבקת לידים'!A1171,REPT("0",הגדרות!$E$2)),TEXT('הדבקת לידים'!A1171,"0")),TRIM('הדבקת לידים'!A1171)))</f>
        <v/>
      </c>
      <c r="B1171" s="0" t="str">
        <f aca="false">IF('הדבקת לידים'!B1171="","",IF(ISNUMBER('הדבקת לידים'!B1171),IF(הגדרות!$E$3&gt;0,TEXT('הדבקת לידים'!B1171,REPT("0",הגדרות!$E$3)),TEXT('הדבקת לידים'!B1171,"0")),TRIM('הדבקת לידים'!B1171)))</f>
        <v/>
      </c>
      <c r="C1171" s="0" t="n">
        <f aca="false">IF(OR(A1171&lt;&gt;"",B1171&lt;&gt;""),1,0)</f>
        <v>0</v>
      </c>
      <c r="D1171" s="0" t="str">
        <f aca="false">IF(C1171=1,MOD(ABS(SIN(ROW()*12.9898+'הדבקת לידים'!$F$2*78.233+IFERROR(--RIGHT(A1171,6),LEN(A1171))*0.0137+IFERROR(--RIGHT(B1171,6),LEN(B1171))*0.0071))*43758.5453,1),"")</f>
        <v/>
      </c>
      <c r="E1171" s="0" t="str">
        <f aca="false">IF(C1171=1,INT(MOD(ABS(SIN(D1171*7919.123+ROW()*0.618+'הדבקת לידים'!$F$2*1.3))*43758.5453,1)*1000000)*10000+ROW(),"")</f>
        <v/>
      </c>
      <c r="F1171" s="0" t="str">
        <f aca="false">IF(E1171="","",RANK(E1171,$E$2:$E$5001,1))</f>
        <v/>
      </c>
      <c r="G1171" s="0" t="n">
        <f aca="false">IF(A1171="",0,IF(SUMPRODUCT(--($A$2:$A$5001=A1171))&gt;1,1,0))</f>
        <v>0</v>
      </c>
      <c r="H1171" s="0" t="n">
        <f aca="false">ROW()-1</f>
        <v>1170</v>
      </c>
      <c r="I1171" s="0" t="str">
        <f aca="false">IF(OR(הגדרות!$E$6=0,H1171&gt;הגדרות!$E$5),"",IF(H1171-1&lt;הגדרות!$E$8*(הגדרות!$E$7+1),INT((H1171-1)/(הגדרות!$E$7+1)),הגדרות!$E$8+INT((H1171-1-הגדרות!$E$8*(הגדרות!$E$7+1))/הגדרות!$E$7)))</f>
        <v/>
      </c>
      <c r="J1171" s="0" t="str">
        <f aca="false">IF(I1171="","",IF(H1171-1&lt;הגדרות!$E$8*(הגדרות!$E$7+1),MOD(H1171-1,הגדרות!$E$7+1),MOD(H1171-1-הגדרות!$E$8*(הגדרות!$E$7+1),הגדרות!$E$7)))</f>
        <v/>
      </c>
      <c r="K1171" s="0" t="str">
        <f aca="false">IF(I1171="","",J1171*הגדרות!$E$6+I1171+1)</f>
        <v/>
      </c>
      <c r="L1171" s="0" t="str">
        <f aca="false">IF(K1171="","",MATCH(K1171,$F$2:$F$5001,0))</f>
        <v/>
      </c>
      <c r="M1171" s="0" t="str">
        <f aca="false">IF(I1171="","",INDEX(הגדרות!$A$2:$A$21,MOD(I1171+הגדרות!$E$9,הגדרות!$E$6)+1))</f>
        <v/>
      </c>
    </row>
    <row r="1172" customFormat="false" ht="15" hidden="false" customHeight="false" outlineLevel="0" collapsed="false">
      <c r="A1172" s="0" t="str">
        <f aca="false">IF('הדבקת לידים'!A1172="","",IF(ISNUMBER('הדבקת לידים'!A1172),IF(הגדרות!$E$2&gt;0,TEXT('הדבקת לידים'!A1172,REPT("0",הגדרות!$E$2)),TEXT('הדבקת לידים'!A1172,"0")),TRIM('הדבקת לידים'!A1172)))</f>
        <v/>
      </c>
      <c r="B1172" s="0" t="str">
        <f aca="false">IF('הדבקת לידים'!B1172="","",IF(ISNUMBER('הדבקת לידים'!B1172),IF(הגדרות!$E$3&gt;0,TEXT('הדבקת לידים'!B1172,REPT("0",הגדרות!$E$3)),TEXT('הדבקת לידים'!B1172,"0")),TRIM('הדבקת לידים'!B1172)))</f>
        <v/>
      </c>
      <c r="C1172" s="0" t="n">
        <f aca="false">IF(OR(A1172&lt;&gt;"",B1172&lt;&gt;""),1,0)</f>
        <v>0</v>
      </c>
      <c r="D1172" s="0" t="str">
        <f aca="false">IF(C1172=1,MOD(ABS(SIN(ROW()*12.9898+'הדבקת לידים'!$F$2*78.233+IFERROR(--RIGHT(A1172,6),LEN(A1172))*0.0137+IFERROR(--RIGHT(B1172,6),LEN(B1172))*0.0071))*43758.5453,1),"")</f>
        <v/>
      </c>
      <c r="E1172" s="0" t="str">
        <f aca="false">IF(C1172=1,INT(MOD(ABS(SIN(D1172*7919.123+ROW()*0.618+'הדבקת לידים'!$F$2*1.3))*43758.5453,1)*1000000)*10000+ROW(),"")</f>
        <v/>
      </c>
      <c r="F1172" s="0" t="str">
        <f aca="false">IF(E1172="","",RANK(E1172,$E$2:$E$5001,1))</f>
        <v/>
      </c>
      <c r="G1172" s="0" t="n">
        <f aca="false">IF(A1172="",0,IF(SUMPRODUCT(--($A$2:$A$5001=A1172))&gt;1,1,0))</f>
        <v>0</v>
      </c>
      <c r="H1172" s="0" t="n">
        <f aca="false">ROW()-1</f>
        <v>1171</v>
      </c>
      <c r="I1172" s="0" t="str">
        <f aca="false">IF(OR(הגדרות!$E$6=0,H1172&gt;הגדרות!$E$5),"",IF(H1172-1&lt;הגדרות!$E$8*(הגדרות!$E$7+1),INT((H1172-1)/(הגדרות!$E$7+1)),הגדרות!$E$8+INT((H1172-1-הגדרות!$E$8*(הגדרות!$E$7+1))/הגדרות!$E$7)))</f>
        <v/>
      </c>
      <c r="J1172" s="0" t="str">
        <f aca="false">IF(I1172="","",IF(H1172-1&lt;הגדרות!$E$8*(הגדרות!$E$7+1),MOD(H1172-1,הגדרות!$E$7+1),MOD(H1172-1-הגדרות!$E$8*(הגדרות!$E$7+1),הגדרות!$E$7)))</f>
        <v/>
      </c>
      <c r="K1172" s="0" t="str">
        <f aca="false">IF(I1172="","",J1172*הגדרות!$E$6+I1172+1)</f>
        <v/>
      </c>
      <c r="L1172" s="0" t="str">
        <f aca="false">IF(K1172="","",MATCH(K1172,$F$2:$F$5001,0))</f>
        <v/>
      </c>
      <c r="M1172" s="0" t="str">
        <f aca="false">IF(I1172="","",INDEX(הגדרות!$A$2:$A$21,MOD(I1172+הגדרות!$E$9,הגדרות!$E$6)+1))</f>
        <v/>
      </c>
    </row>
    <row r="1173" customFormat="false" ht="15" hidden="false" customHeight="false" outlineLevel="0" collapsed="false">
      <c r="A1173" s="0" t="str">
        <f aca="false">IF('הדבקת לידים'!A1173="","",IF(ISNUMBER('הדבקת לידים'!A1173),IF(הגדרות!$E$2&gt;0,TEXT('הדבקת לידים'!A1173,REPT("0",הגדרות!$E$2)),TEXT('הדבקת לידים'!A1173,"0")),TRIM('הדבקת לידים'!A1173)))</f>
        <v/>
      </c>
      <c r="B1173" s="0" t="str">
        <f aca="false">IF('הדבקת לידים'!B1173="","",IF(ISNUMBER('הדבקת לידים'!B1173),IF(הגדרות!$E$3&gt;0,TEXT('הדבקת לידים'!B1173,REPT("0",הגדרות!$E$3)),TEXT('הדבקת לידים'!B1173,"0")),TRIM('הדבקת לידים'!B1173)))</f>
        <v/>
      </c>
      <c r="C1173" s="0" t="n">
        <f aca="false">IF(OR(A1173&lt;&gt;"",B1173&lt;&gt;""),1,0)</f>
        <v>0</v>
      </c>
      <c r="D1173" s="0" t="str">
        <f aca="false">IF(C1173=1,MOD(ABS(SIN(ROW()*12.9898+'הדבקת לידים'!$F$2*78.233+IFERROR(--RIGHT(A1173,6),LEN(A1173))*0.0137+IFERROR(--RIGHT(B1173,6),LEN(B1173))*0.0071))*43758.5453,1),"")</f>
        <v/>
      </c>
      <c r="E1173" s="0" t="str">
        <f aca="false">IF(C1173=1,INT(MOD(ABS(SIN(D1173*7919.123+ROW()*0.618+'הדבקת לידים'!$F$2*1.3))*43758.5453,1)*1000000)*10000+ROW(),"")</f>
        <v/>
      </c>
      <c r="F1173" s="0" t="str">
        <f aca="false">IF(E1173="","",RANK(E1173,$E$2:$E$5001,1))</f>
        <v/>
      </c>
      <c r="G1173" s="0" t="n">
        <f aca="false">IF(A1173="",0,IF(SUMPRODUCT(--($A$2:$A$5001=A1173))&gt;1,1,0))</f>
        <v>0</v>
      </c>
      <c r="H1173" s="0" t="n">
        <f aca="false">ROW()-1</f>
        <v>1172</v>
      </c>
      <c r="I1173" s="0" t="str">
        <f aca="false">IF(OR(הגדרות!$E$6=0,H1173&gt;הגדרות!$E$5),"",IF(H1173-1&lt;הגדרות!$E$8*(הגדרות!$E$7+1),INT((H1173-1)/(הגדרות!$E$7+1)),הגדרות!$E$8+INT((H1173-1-הגדרות!$E$8*(הגדרות!$E$7+1))/הגדרות!$E$7)))</f>
        <v/>
      </c>
      <c r="J1173" s="0" t="str">
        <f aca="false">IF(I1173="","",IF(H1173-1&lt;הגדרות!$E$8*(הגדרות!$E$7+1),MOD(H1173-1,הגדרות!$E$7+1),MOD(H1173-1-הגדרות!$E$8*(הגדרות!$E$7+1),הגדרות!$E$7)))</f>
        <v/>
      </c>
      <c r="K1173" s="0" t="str">
        <f aca="false">IF(I1173="","",J1173*הגדרות!$E$6+I1173+1)</f>
        <v/>
      </c>
      <c r="L1173" s="0" t="str">
        <f aca="false">IF(K1173="","",MATCH(K1173,$F$2:$F$5001,0))</f>
        <v/>
      </c>
      <c r="M1173" s="0" t="str">
        <f aca="false">IF(I1173="","",INDEX(הגדרות!$A$2:$A$21,MOD(I1173+הגדרות!$E$9,הגדרות!$E$6)+1))</f>
        <v/>
      </c>
    </row>
    <row r="1174" customFormat="false" ht="15" hidden="false" customHeight="false" outlineLevel="0" collapsed="false">
      <c r="A1174" s="0" t="str">
        <f aca="false">IF('הדבקת לידים'!A1174="","",IF(ISNUMBER('הדבקת לידים'!A1174),IF(הגדרות!$E$2&gt;0,TEXT('הדבקת לידים'!A1174,REPT("0",הגדרות!$E$2)),TEXT('הדבקת לידים'!A1174,"0")),TRIM('הדבקת לידים'!A1174)))</f>
        <v/>
      </c>
      <c r="B1174" s="0" t="str">
        <f aca="false">IF('הדבקת לידים'!B1174="","",IF(ISNUMBER('הדבקת לידים'!B1174),IF(הגדרות!$E$3&gt;0,TEXT('הדבקת לידים'!B1174,REPT("0",הגדרות!$E$3)),TEXT('הדבקת לידים'!B1174,"0")),TRIM('הדבקת לידים'!B1174)))</f>
        <v/>
      </c>
      <c r="C1174" s="0" t="n">
        <f aca="false">IF(OR(A1174&lt;&gt;"",B1174&lt;&gt;""),1,0)</f>
        <v>0</v>
      </c>
      <c r="D1174" s="0" t="str">
        <f aca="false">IF(C1174=1,MOD(ABS(SIN(ROW()*12.9898+'הדבקת לידים'!$F$2*78.233+IFERROR(--RIGHT(A1174,6),LEN(A1174))*0.0137+IFERROR(--RIGHT(B1174,6),LEN(B1174))*0.0071))*43758.5453,1),"")</f>
        <v/>
      </c>
      <c r="E1174" s="0" t="str">
        <f aca="false">IF(C1174=1,INT(MOD(ABS(SIN(D1174*7919.123+ROW()*0.618+'הדבקת לידים'!$F$2*1.3))*43758.5453,1)*1000000)*10000+ROW(),"")</f>
        <v/>
      </c>
      <c r="F1174" s="0" t="str">
        <f aca="false">IF(E1174="","",RANK(E1174,$E$2:$E$5001,1))</f>
        <v/>
      </c>
      <c r="G1174" s="0" t="n">
        <f aca="false">IF(A1174="",0,IF(SUMPRODUCT(--($A$2:$A$5001=A1174))&gt;1,1,0))</f>
        <v>0</v>
      </c>
      <c r="H1174" s="0" t="n">
        <f aca="false">ROW()-1</f>
        <v>1173</v>
      </c>
      <c r="I1174" s="0" t="str">
        <f aca="false">IF(OR(הגדרות!$E$6=0,H1174&gt;הגדרות!$E$5),"",IF(H1174-1&lt;הגדרות!$E$8*(הגדרות!$E$7+1),INT((H1174-1)/(הגדרות!$E$7+1)),הגדרות!$E$8+INT((H1174-1-הגדרות!$E$8*(הגדרות!$E$7+1))/הגדרות!$E$7)))</f>
        <v/>
      </c>
      <c r="J1174" s="0" t="str">
        <f aca="false">IF(I1174="","",IF(H1174-1&lt;הגדרות!$E$8*(הגדרות!$E$7+1),MOD(H1174-1,הגדרות!$E$7+1),MOD(H1174-1-הגדרות!$E$8*(הגדרות!$E$7+1),הגדרות!$E$7)))</f>
        <v/>
      </c>
      <c r="K1174" s="0" t="str">
        <f aca="false">IF(I1174="","",J1174*הגדרות!$E$6+I1174+1)</f>
        <v/>
      </c>
      <c r="L1174" s="0" t="str">
        <f aca="false">IF(K1174="","",MATCH(K1174,$F$2:$F$5001,0))</f>
        <v/>
      </c>
      <c r="M1174" s="0" t="str">
        <f aca="false">IF(I1174="","",INDEX(הגדרות!$A$2:$A$21,MOD(I1174+הגדרות!$E$9,הגדרות!$E$6)+1))</f>
        <v/>
      </c>
    </row>
    <row r="1175" customFormat="false" ht="15" hidden="false" customHeight="false" outlineLevel="0" collapsed="false">
      <c r="A1175" s="0" t="str">
        <f aca="false">IF('הדבקת לידים'!A1175="","",IF(ISNUMBER('הדבקת לידים'!A1175),IF(הגדרות!$E$2&gt;0,TEXT('הדבקת לידים'!A1175,REPT("0",הגדרות!$E$2)),TEXT('הדבקת לידים'!A1175,"0")),TRIM('הדבקת לידים'!A1175)))</f>
        <v/>
      </c>
      <c r="B1175" s="0" t="str">
        <f aca="false">IF('הדבקת לידים'!B1175="","",IF(ISNUMBER('הדבקת לידים'!B1175),IF(הגדרות!$E$3&gt;0,TEXT('הדבקת לידים'!B1175,REPT("0",הגדרות!$E$3)),TEXT('הדבקת לידים'!B1175,"0")),TRIM('הדבקת לידים'!B1175)))</f>
        <v/>
      </c>
      <c r="C1175" s="0" t="n">
        <f aca="false">IF(OR(A1175&lt;&gt;"",B1175&lt;&gt;""),1,0)</f>
        <v>0</v>
      </c>
      <c r="D1175" s="0" t="str">
        <f aca="false">IF(C1175=1,MOD(ABS(SIN(ROW()*12.9898+'הדבקת לידים'!$F$2*78.233+IFERROR(--RIGHT(A1175,6),LEN(A1175))*0.0137+IFERROR(--RIGHT(B1175,6),LEN(B1175))*0.0071))*43758.5453,1),"")</f>
        <v/>
      </c>
      <c r="E1175" s="0" t="str">
        <f aca="false">IF(C1175=1,INT(MOD(ABS(SIN(D1175*7919.123+ROW()*0.618+'הדבקת לידים'!$F$2*1.3))*43758.5453,1)*1000000)*10000+ROW(),"")</f>
        <v/>
      </c>
      <c r="F1175" s="0" t="str">
        <f aca="false">IF(E1175="","",RANK(E1175,$E$2:$E$5001,1))</f>
        <v/>
      </c>
      <c r="G1175" s="0" t="n">
        <f aca="false">IF(A1175="",0,IF(SUMPRODUCT(--($A$2:$A$5001=A1175))&gt;1,1,0))</f>
        <v>0</v>
      </c>
      <c r="H1175" s="0" t="n">
        <f aca="false">ROW()-1</f>
        <v>1174</v>
      </c>
      <c r="I1175" s="0" t="str">
        <f aca="false">IF(OR(הגדרות!$E$6=0,H1175&gt;הגדרות!$E$5),"",IF(H1175-1&lt;הגדרות!$E$8*(הגדרות!$E$7+1),INT((H1175-1)/(הגדרות!$E$7+1)),הגדרות!$E$8+INT((H1175-1-הגדרות!$E$8*(הגדרות!$E$7+1))/הגדרות!$E$7)))</f>
        <v/>
      </c>
      <c r="J1175" s="0" t="str">
        <f aca="false">IF(I1175="","",IF(H1175-1&lt;הגדרות!$E$8*(הגדרות!$E$7+1),MOD(H1175-1,הגדרות!$E$7+1),MOD(H1175-1-הגדרות!$E$8*(הגדרות!$E$7+1),הגדרות!$E$7)))</f>
        <v/>
      </c>
      <c r="K1175" s="0" t="str">
        <f aca="false">IF(I1175="","",J1175*הגדרות!$E$6+I1175+1)</f>
        <v/>
      </c>
      <c r="L1175" s="0" t="str">
        <f aca="false">IF(K1175="","",MATCH(K1175,$F$2:$F$5001,0))</f>
        <v/>
      </c>
      <c r="M1175" s="0" t="str">
        <f aca="false">IF(I1175="","",INDEX(הגדרות!$A$2:$A$21,MOD(I1175+הגדרות!$E$9,הגדרות!$E$6)+1))</f>
        <v/>
      </c>
    </row>
    <row r="1176" customFormat="false" ht="15" hidden="false" customHeight="false" outlineLevel="0" collapsed="false">
      <c r="A1176" s="0" t="str">
        <f aca="false">IF('הדבקת לידים'!A1176="","",IF(ISNUMBER('הדבקת לידים'!A1176),IF(הגדרות!$E$2&gt;0,TEXT('הדבקת לידים'!A1176,REPT("0",הגדרות!$E$2)),TEXT('הדבקת לידים'!A1176,"0")),TRIM('הדבקת לידים'!A1176)))</f>
        <v/>
      </c>
      <c r="B1176" s="0" t="str">
        <f aca="false">IF('הדבקת לידים'!B1176="","",IF(ISNUMBER('הדבקת לידים'!B1176),IF(הגדרות!$E$3&gt;0,TEXT('הדבקת לידים'!B1176,REPT("0",הגדרות!$E$3)),TEXT('הדבקת לידים'!B1176,"0")),TRIM('הדבקת לידים'!B1176)))</f>
        <v/>
      </c>
      <c r="C1176" s="0" t="n">
        <f aca="false">IF(OR(A1176&lt;&gt;"",B1176&lt;&gt;""),1,0)</f>
        <v>0</v>
      </c>
      <c r="D1176" s="0" t="str">
        <f aca="false">IF(C1176=1,MOD(ABS(SIN(ROW()*12.9898+'הדבקת לידים'!$F$2*78.233+IFERROR(--RIGHT(A1176,6),LEN(A1176))*0.0137+IFERROR(--RIGHT(B1176,6),LEN(B1176))*0.0071))*43758.5453,1),"")</f>
        <v/>
      </c>
      <c r="E1176" s="0" t="str">
        <f aca="false">IF(C1176=1,INT(MOD(ABS(SIN(D1176*7919.123+ROW()*0.618+'הדבקת לידים'!$F$2*1.3))*43758.5453,1)*1000000)*10000+ROW(),"")</f>
        <v/>
      </c>
      <c r="F1176" s="0" t="str">
        <f aca="false">IF(E1176="","",RANK(E1176,$E$2:$E$5001,1))</f>
        <v/>
      </c>
      <c r="G1176" s="0" t="n">
        <f aca="false">IF(A1176="",0,IF(SUMPRODUCT(--($A$2:$A$5001=A1176))&gt;1,1,0))</f>
        <v>0</v>
      </c>
      <c r="H1176" s="0" t="n">
        <f aca="false">ROW()-1</f>
        <v>1175</v>
      </c>
      <c r="I1176" s="0" t="str">
        <f aca="false">IF(OR(הגדרות!$E$6=0,H1176&gt;הגדרות!$E$5),"",IF(H1176-1&lt;הגדרות!$E$8*(הגדרות!$E$7+1),INT((H1176-1)/(הגדרות!$E$7+1)),הגדרות!$E$8+INT((H1176-1-הגדרות!$E$8*(הגדרות!$E$7+1))/הגדרות!$E$7)))</f>
        <v/>
      </c>
      <c r="J1176" s="0" t="str">
        <f aca="false">IF(I1176="","",IF(H1176-1&lt;הגדרות!$E$8*(הגדרות!$E$7+1),MOD(H1176-1,הגדרות!$E$7+1),MOD(H1176-1-הגדרות!$E$8*(הגדרות!$E$7+1),הגדרות!$E$7)))</f>
        <v/>
      </c>
      <c r="K1176" s="0" t="str">
        <f aca="false">IF(I1176="","",J1176*הגדרות!$E$6+I1176+1)</f>
        <v/>
      </c>
      <c r="L1176" s="0" t="str">
        <f aca="false">IF(K1176="","",MATCH(K1176,$F$2:$F$5001,0))</f>
        <v/>
      </c>
      <c r="M1176" s="0" t="str">
        <f aca="false">IF(I1176="","",INDEX(הגדרות!$A$2:$A$21,MOD(I1176+הגדרות!$E$9,הגדרות!$E$6)+1))</f>
        <v/>
      </c>
    </row>
    <row r="1177" customFormat="false" ht="15" hidden="false" customHeight="false" outlineLevel="0" collapsed="false">
      <c r="A1177" s="0" t="str">
        <f aca="false">IF('הדבקת לידים'!A1177="","",IF(ISNUMBER('הדבקת לידים'!A1177),IF(הגדרות!$E$2&gt;0,TEXT('הדבקת לידים'!A1177,REPT("0",הגדרות!$E$2)),TEXT('הדבקת לידים'!A1177,"0")),TRIM('הדבקת לידים'!A1177)))</f>
        <v/>
      </c>
      <c r="B1177" s="0" t="str">
        <f aca="false">IF('הדבקת לידים'!B1177="","",IF(ISNUMBER('הדבקת לידים'!B1177),IF(הגדרות!$E$3&gt;0,TEXT('הדבקת לידים'!B1177,REPT("0",הגדרות!$E$3)),TEXT('הדבקת לידים'!B1177,"0")),TRIM('הדבקת לידים'!B1177)))</f>
        <v/>
      </c>
      <c r="C1177" s="0" t="n">
        <f aca="false">IF(OR(A1177&lt;&gt;"",B1177&lt;&gt;""),1,0)</f>
        <v>0</v>
      </c>
      <c r="D1177" s="0" t="str">
        <f aca="false">IF(C1177=1,MOD(ABS(SIN(ROW()*12.9898+'הדבקת לידים'!$F$2*78.233+IFERROR(--RIGHT(A1177,6),LEN(A1177))*0.0137+IFERROR(--RIGHT(B1177,6),LEN(B1177))*0.0071))*43758.5453,1),"")</f>
        <v/>
      </c>
      <c r="E1177" s="0" t="str">
        <f aca="false">IF(C1177=1,INT(MOD(ABS(SIN(D1177*7919.123+ROW()*0.618+'הדבקת לידים'!$F$2*1.3))*43758.5453,1)*1000000)*10000+ROW(),"")</f>
        <v/>
      </c>
      <c r="F1177" s="0" t="str">
        <f aca="false">IF(E1177="","",RANK(E1177,$E$2:$E$5001,1))</f>
        <v/>
      </c>
      <c r="G1177" s="0" t="n">
        <f aca="false">IF(A1177="",0,IF(SUMPRODUCT(--($A$2:$A$5001=A1177))&gt;1,1,0))</f>
        <v>0</v>
      </c>
      <c r="H1177" s="0" t="n">
        <f aca="false">ROW()-1</f>
        <v>1176</v>
      </c>
      <c r="I1177" s="0" t="str">
        <f aca="false">IF(OR(הגדרות!$E$6=0,H1177&gt;הגדרות!$E$5),"",IF(H1177-1&lt;הגדרות!$E$8*(הגדרות!$E$7+1),INT((H1177-1)/(הגדרות!$E$7+1)),הגדרות!$E$8+INT((H1177-1-הגדרות!$E$8*(הגדרות!$E$7+1))/הגדרות!$E$7)))</f>
        <v/>
      </c>
      <c r="J1177" s="0" t="str">
        <f aca="false">IF(I1177="","",IF(H1177-1&lt;הגדרות!$E$8*(הגדרות!$E$7+1),MOD(H1177-1,הגדרות!$E$7+1),MOD(H1177-1-הגדרות!$E$8*(הגדרות!$E$7+1),הגדרות!$E$7)))</f>
        <v/>
      </c>
      <c r="K1177" s="0" t="str">
        <f aca="false">IF(I1177="","",J1177*הגדרות!$E$6+I1177+1)</f>
        <v/>
      </c>
      <c r="L1177" s="0" t="str">
        <f aca="false">IF(K1177="","",MATCH(K1177,$F$2:$F$5001,0))</f>
        <v/>
      </c>
      <c r="M1177" s="0" t="str">
        <f aca="false">IF(I1177="","",INDEX(הגדרות!$A$2:$A$21,MOD(I1177+הגדרות!$E$9,הגדרות!$E$6)+1))</f>
        <v/>
      </c>
    </row>
    <row r="1178" customFormat="false" ht="15" hidden="false" customHeight="false" outlineLevel="0" collapsed="false">
      <c r="A1178" s="0" t="str">
        <f aca="false">IF('הדבקת לידים'!A1178="","",IF(ISNUMBER('הדבקת לידים'!A1178),IF(הגדרות!$E$2&gt;0,TEXT('הדבקת לידים'!A1178,REPT("0",הגדרות!$E$2)),TEXT('הדבקת לידים'!A1178,"0")),TRIM('הדבקת לידים'!A1178)))</f>
        <v/>
      </c>
      <c r="B1178" s="0" t="str">
        <f aca="false">IF('הדבקת לידים'!B1178="","",IF(ISNUMBER('הדבקת לידים'!B1178),IF(הגדרות!$E$3&gt;0,TEXT('הדבקת לידים'!B1178,REPT("0",הגדרות!$E$3)),TEXT('הדבקת לידים'!B1178,"0")),TRIM('הדבקת לידים'!B1178)))</f>
        <v/>
      </c>
      <c r="C1178" s="0" t="n">
        <f aca="false">IF(OR(A1178&lt;&gt;"",B1178&lt;&gt;""),1,0)</f>
        <v>0</v>
      </c>
      <c r="D1178" s="0" t="str">
        <f aca="false">IF(C1178=1,MOD(ABS(SIN(ROW()*12.9898+'הדבקת לידים'!$F$2*78.233+IFERROR(--RIGHT(A1178,6),LEN(A1178))*0.0137+IFERROR(--RIGHT(B1178,6),LEN(B1178))*0.0071))*43758.5453,1),"")</f>
        <v/>
      </c>
      <c r="E1178" s="0" t="str">
        <f aca="false">IF(C1178=1,INT(MOD(ABS(SIN(D1178*7919.123+ROW()*0.618+'הדבקת לידים'!$F$2*1.3))*43758.5453,1)*1000000)*10000+ROW(),"")</f>
        <v/>
      </c>
      <c r="F1178" s="0" t="str">
        <f aca="false">IF(E1178="","",RANK(E1178,$E$2:$E$5001,1))</f>
        <v/>
      </c>
      <c r="G1178" s="0" t="n">
        <f aca="false">IF(A1178="",0,IF(SUMPRODUCT(--($A$2:$A$5001=A1178))&gt;1,1,0))</f>
        <v>0</v>
      </c>
      <c r="H1178" s="0" t="n">
        <f aca="false">ROW()-1</f>
        <v>1177</v>
      </c>
      <c r="I1178" s="0" t="str">
        <f aca="false">IF(OR(הגדרות!$E$6=0,H1178&gt;הגדרות!$E$5),"",IF(H1178-1&lt;הגדרות!$E$8*(הגדרות!$E$7+1),INT((H1178-1)/(הגדרות!$E$7+1)),הגדרות!$E$8+INT((H1178-1-הגדרות!$E$8*(הגדרות!$E$7+1))/הגדרות!$E$7)))</f>
        <v/>
      </c>
      <c r="J1178" s="0" t="str">
        <f aca="false">IF(I1178="","",IF(H1178-1&lt;הגדרות!$E$8*(הגדרות!$E$7+1),MOD(H1178-1,הגדרות!$E$7+1),MOD(H1178-1-הגדרות!$E$8*(הגדרות!$E$7+1),הגדרות!$E$7)))</f>
        <v/>
      </c>
      <c r="K1178" s="0" t="str">
        <f aca="false">IF(I1178="","",J1178*הגדרות!$E$6+I1178+1)</f>
        <v/>
      </c>
      <c r="L1178" s="0" t="str">
        <f aca="false">IF(K1178="","",MATCH(K1178,$F$2:$F$5001,0))</f>
        <v/>
      </c>
      <c r="M1178" s="0" t="str">
        <f aca="false">IF(I1178="","",INDEX(הגדרות!$A$2:$A$21,MOD(I1178+הגדרות!$E$9,הגדרות!$E$6)+1))</f>
        <v/>
      </c>
    </row>
    <row r="1179" customFormat="false" ht="15" hidden="false" customHeight="false" outlineLevel="0" collapsed="false">
      <c r="A1179" s="0" t="str">
        <f aca="false">IF('הדבקת לידים'!A1179="","",IF(ISNUMBER('הדבקת לידים'!A1179),IF(הגדרות!$E$2&gt;0,TEXT('הדבקת לידים'!A1179,REPT("0",הגדרות!$E$2)),TEXT('הדבקת לידים'!A1179,"0")),TRIM('הדבקת לידים'!A1179)))</f>
        <v/>
      </c>
      <c r="B1179" s="0" t="str">
        <f aca="false">IF('הדבקת לידים'!B1179="","",IF(ISNUMBER('הדבקת לידים'!B1179),IF(הגדרות!$E$3&gt;0,TEXT('הדבקת לידים'!B1179,REPT("0",הגדרות!$E$3)),TEXT('הדבקת לידים'!B1179,"0")),TRIM('הדבקת לידים'!B1179)))</f>
        <v/>
      </c>
      <c r="C1179" s="0" t="n">
        <f aca="false">IF(OR(A1179&lt;&gt;"",B1179&lt;&gt;""),1,0)</f>
        <v>0</v>
      </c>
      <c r="D1179" s="0" t="str">
        <f aca="false">IF(C1179=1,MOD(ABS(SIN(ROW()*12.9898+'הדבקת לידים'!$F$2*78.233+IFERROR(--RIGHT(A1179,6),LEN(A1179))*0.0137+IFERROR(--RIGHT(B1179,6),LEN(B1179))*0.0071))*43758.5453,1),"")</f>
        <v/>
      </c>
      <c r="E1179" s="0" t="str">
        <f aca="false">IF(C1179=1,INT(MOD(ABS(SIN(D1179*7919.123+ROW()*0.618+'הדבקת לידים'!$F$2*1.3))*43758.5453,1)*1000000)*10000+ROW(),"")</f>
        <v/>
      </c>
      <c r="F1179" s="0" t="str">
        <f aca="false">IF(E1179="","",RANK(E1179,$E$2:$E$5001,1))</f>
        <v/>
      </c>
      <c r="G1179" s="0" t="n">
        <f aca="false">IF(A1179="",0,IF(SUMPRODUCT(--($A$2:$A$5001=A1179))&gt;1,1,0))</f>
        <v>0</v>
      </c>
      <c r="H1179" s="0" t="n">
        <f aca="false">ROW()-1</f>
        <v>1178</v>
      </c>
      <c r="I1179" s="0" t="str">
        <f aca="false">IF(OR(הגדרות!$E$6=0,H1179&gt;הגדרות!$E$5),"",IF(H1179-1&lt;הגדרות!$E$8*(הגדרות!$E$7+1),INT((H1179-1)/(הגדרות!$E$7+1)),הגדרות!$E$8+INT((H1179-1-הגדרות!$E$8*(הגדרות!$E$7+1))/הגדרות!$E$7)))</f>
        <v/>
      </c>
      <c r="J1179" s="0" t="str">
        <f aca="false">IF(I1179="","",IF(H1179-1&lt;הגדרות!$E$8*(הגדרות!$E$7+1),MOD(H1179-1,הגדרות!$E$7+1),MOD(H1179-1-הגדרות!$E$8*(הגדרות!$E$7+1),הגדרות!$E$7)))</f>
        <v/>
      </c>
      <c r="K1179" s="0" t="str">
        <f aca="false">IF(I1179="","",J1179*הגדרות!$E$6+I1179+1)</f>
        <v/>
      </c>
      <c r="L1179" s="0" t="str">
        <f aca="false">IF(K1179="","",MATCH(K1179,$F$2:$F$5001,0))</f>
        <v/>
      </c>
      <c r="M1179" s="0" t="str">
        <f aca="false">IF(I1179="","",INDEX(הגדרות!$A$2:$A$21,MOD(I1179+הגדרות!$E$9,הגדרות!$E$6)+1))</f>
        <v/>
      </c>
    </row>
    <row r="1180" customFormat="false" ht="15" hidden="false" customHeight="false" outlineLevel="0" collapsed="false">
      <c r="A1180" s="0" t="str">
        <f aca="false">IF('הדבקת לידים'!A1180="","",IF(ISNUMBER('הדבקת לידים'!A1180),IF(הגדרות!$E$2&gt;0,TEXT('הדבקת לידים'!A1180,REPT("0",הגדרות!$E$2)),TEXT('הדבקת לידים'!A1180,"0")),TRIM('הדבקת לידים'!A1180)))</f>
        <v/>
      </c>
      <c r="B1180" s="0" t="str">
        <f aca="false">IF('הדבקת לידים'!B1180="","",IF(ISNUMBER('הדבקת לידים'!B1180),IF(הגדרות!$E$3&gt;0,TEXT('הדבקת לידים'!B1180,REPT("0",הגדרות!$E$3)),TEXT('הדבקת לידים'!B1180,"0")),TRIM('הדבקת לידים'!B1180)))</f>
        <v/>
      </c>
      <c r="C1180" s="0" t="n">
        <f aca="false">IF(OR(A1180&lt;&gt;"",B1180&lt;&gt;""),1,0)</f>
        <v>0</v>
      </c>
      <c r="D1180" s="0" t="str">
        <f aca="false">IF(C1180=1,MOD(ABS(SIN(ROW()*12.9898+'הדבקת לידים'!$F$2*78.233+IFERROR(--RIGHT(A1180,6),LEN(A1180))*0.0137+IFERROR(--RIGHT(B1180,6),LEN(B1180))*0.0071))*43758.5453,1),"")</f>
        <v/>
      </c>
      <c r="E1180" s="0" t="str">
        <f aca="false">IF(C1180=1,INT(MOD(ABS(SIN(D1180*7919.123+ROW()*0.618+'הדבקת לידים'!$F$2*1.3))*43758.5453,1)*1000000)*10000+ROW(),"")</f>
        <v/>
      </c>
      <c r="F1180" s="0" t="str">
        <f aca="false">IF(E1180="","",RANK(E1180,$E$2:$E$5001,1))</f>
        <v/>
      </c>
      <c r="G1180" s="0" t="n">
        <f aca="false">IF(A1180="",0,IF(SUMPRODUCT(--($A$2:$A$5001=A1180))&gt;1,1,0))</f>
        <v>0</v>
      </c>
      <c r="H1180" s="0" t="n">
        <f aca="false">ROW()-1</f>
        <v>1179</v>
      </c>
      <c r="I1180" s="0" t="str">
        <f aca="false">IF(OR(הגדרות!$E$6=0,H1180&gt;הגדרות!$E$5),"",IF(H1180-1&lt;הגדרות!$E$8*(הגדרות!$E$7+1),INT((H1180-1)/(הגדרות!$E$7+1)),הגדרות!$E$8+INT((H1180-1-הגדרות!$E$8*(הגדרות!$E$7+1))/הגדרות!$E$7)))</f>
        <v/>
      </c>
      <c r="J1180" s="0" t="str">
        <f aca="false">IF(I1180="","",IF(H1180-1&lt;הגדרות!$E$8*(הגדרות!$E$7+1),MOD(H1180-1,הגדרות!$E$7+1),MOD(H1180-1-הגדרות!$E$8*(הגדרות!$E$7+1),הגדרות!$E$7)))</f>
        <v/>
      </c>
      <c r="K1180" s="0" t="str">
        <f aca="false">IF(I1180="","",J1180*הגדרות!$E$6+I1180+1)</f>
        <v/>
      </c>
      <c r="L1180" s="0" t="str">
        <f aca="false">IF(K1180="","",MATCH(K1180,$F$2:$F$5001,0))</f>
        <v/>
      </c>
      <c r="M1180" s="0" t="str">
        <f aca="false">IF(I1180="","",INDEX(הגדרות!$A$2:$A$21,MOD(I1180+הגדרות!$E$9,הגדרות!$E$6)+1))</f>
        <v/>
      </c>
    </row>
    <row r="1181" customFormat="false" ht="15" hidden="false" customHeight="false" outlineLevel="0" collapsed="false">
      <c r="A1181" s="0" t="str">
        <f aca="false">IF('הדבקת לידים'!A1181="","",IF(ISNUMBER('הדבקת לידים'!A1181),IF(הגדרות!$E$2&gt;0,TEXT('הדבקת לידים'!A1181,REPT("0",הגדרות!$E$2)),TEXT('הדבקת לידים'!A1181,"0")),TRIM('הדבקת לידים'!A1181)))</f>
        <v/>
      </c>
      <c r="B1181" s="0" t="str">
        <f aca="false">IF('הדבקת לידים'!B1181="","",IF(ISNUMBER('הדבקת לידים'!B1181),IF(הגדרות!$E$3&gt;0,TEXT('הדבקת לידים'!B1181,REPT("0",הגדרות!$E$3)),TEXT('הדבקת לידים'!B1181,"0")),TRIM('הדבקת לידים'!B1181)))</f>
        <v/>
      </c>
      <c r="C1181" s="0" t="n">
        <f aca="false">IF(OR(A1181&lt;&gt;"",B1181&lt;&gt;""),1,0)</f>
        <v>0</v>
      </c>
      <c r="D1181" s="0" t="str">
        <f aca="false">IF(C1181=1,MOD(ABS(SIN(ROW()*12.9898+'הדבקת לידים'!$F$2*78.233+IFERROR(--RIGHT(A1181,6),LEN(A1181))*0.0137+IFERROR(--RIGHT(B1181,6),LEN(B1181))*0.0071))*43758.5453,1),"")</f>
        <v/>
      </c>
      <c r="E1181" s="0" t="str">
        <f aca="false">IF(C1181=1,INT(MOD(ABS(SIN(D1181*7919.123+ROW()*0.618+'הדבקת לידים'!$F$2*1.3))*43758.5453,1)*1000000)*10000+ROW(),"")</f>
        <v/>
      </c>
      <c r="F1181" s="0" t="str">
        <f aca="false">IF(E1181="","",RANK(E1181,$E$2:$E$5001,1))</f>
        <v/>
      </c>
      <c r="G1181" s="0" t="n">
        <f aca="false">IF(A1181="",0,IF(SUMPRODUCT(--($A$2:$A$5001=A1181))&gt;1,1,0))</f>
        <v>0</v>
      </c>
      <c r="H1181" s="0" t="n">
        <f aca="false">ROW()-1</f>
        <v>1180</v>
      </c>
      <c r="I1181" s="0" t="str">
        <f aca="false">IF(OR(הגדרות!$E$6=0,H1181&gt;הגדרות!$E$5),"",IF(H1181-1&lt;הגדרות!$E$8*(הגדרות!$E$7+1),INT((H1181-1)/(הגדרות!$E$7+1)),הגדרות!$E$8+INT((H1181-1-הגדרות!$E$8*(הגדרות!$E$7+1))/הגדרות!$E$7)))</f>
        <v/>
      </c>
      <c r="J1181" s="0" t="str">
        <f aca="false">IF(I1181="","",IF(H1181-1&lt;הגדרות!$E$8*(הגדרות!$E$7+1),MOD(H1181-1,הגדרות!$E$7+1),MOD(H1181-1-הגדרות!$E$8*(הגדרות!$E$7+1),הגדרות!$E$7)))</f>
        <v/>
      </c>
      <c r="K1181" s="0" t="str">
        <f aca="false">IF(I1181="","",J1181*הגדרות!$E$6+I1181+1)</f>
        <v/>
      </c>
      <c r="L1181" s="0" t="str">
        <f aca="false">IF(K1181="","",MATCH(K1181,$F$2:$F$5001,0))</f>
        <v/>
      </c>
      <c r="M1181" s="0" t="str">
        <f aca="false">IF(I1181="","",INDEX(הגדרות!$A$2:$A$21,MOD(I1181+הגדרות!$E$9,הגדרות!$E$6)+1))</f>
        <v/>
      </c>
    </row>
    <row r="1182" customFormat="false" ht="15" hidden="false" customHeight="false" outlineLevel="0" collapsed="false">
      <c r="A1182" s="0" t="str">
        <f aca="false">IF('הדבקת לידים'!A1182="","",IF(ISNUMBER('הדבקת לידים'!A1182),IF(הגדרות!$E$2&gt;0,TEXT('הדבקת לידים'!A1182,REPT("0",הגדרות!$E$2)),TEXT('הדבקת לידים'!A1182,"0")),TRIM('הדבקת לידים'!A1182)))</f>
        <v/>
      </c>
      <c r="B1182" s="0" t="str">
        <f aca="false">IF('הדבקת לידים'!B1182="","",IF(ISNUMBER('הדבקת לידים'!B1182),IF(הגדרות!$E$3&gt;0,TEXT('הדבקת לידים'!B1182,REPT("0",הגדרות!$E$3)),TEXT('הדבקת לידים'!B1182,"0")),TRIM('הדבקת לידים'!B1182)))</f>
        <v/>
      </c>
      <c r="C1182" s="0" t="n">
        <f aca="false">IF(OR(A1182&lt;&gt;"",B1182&lt;&gt;""),1,0)</f>
        <v>0</v>
      </c>
      <c r="D1182" s="0" t="str">
        <f aca="false">IF(C1182=1,MOD(ABS(SIN(ROW()*12.9898+'הדבקת לידים'!$F$2*78.233+IFERROR(--RIGHT(A1182,6),LEN(A1182))*0.0137+IFERROR(--RIGHT(B1182,6),LEN(B1182))*0.0071))*43758.5453,1),"")</f>
        <v/>
      </c>
      <c r="E1182" s="0" t="str">
        <f aca="false">IF(C1182=1,INT(MOD(ABS(SIN(D1182*7919.123+ROW()*0.618+'הדבקת לידים'!$F$2*1.3))*43758.5453,1)*1000000)*10000+ROW(),"")</f>
        <v/>
      </c>
      <c r="F1182" s="0" t="str">
        <f aca="false">IF(E1182="","",RANK(E1182,$E$2:$E$5001,1))</f>
        <v/>
      </c>
      <c r="G1182" s="0" t="n">
        <f aca="false">IF(A1182="",0,IF(SUMPRODUCT(--($A$2:$A$5001=A1182))&gt;1,1,0))</f>
        <v>0</v>
      </c>
      <c r="H1182" s="0" t="n">
        <f aca="false">ROW()-1</f>
        <v>1181</v>
      </c>
      <c r="I1182" s="0" t="str">
        <f aca="false">IF(OR(הגדרות!$E$6=0,H1182&gt;הגדרות!$E$5),"",IF(H1182-1&lt;הגדרות!$E$8*(הגדרות!$E$7+1),INT((H1182-1)/(הגדרות!$E$7+1)),הגדרות!$E$8+INT((H1182-1-הגדרות!$E$8*(הגדרות!$E$7+1))/הגדרות!$E$7)))</f>
        <v/>
      </c>
      <c r="J1182" s="0" t="str">
        <f aca="false">IF(I1182="","",IF(H1182-1&lt;הגדרות!$E$8*(הגדרות!$E$7+1),MOD(H1182-1,הגדרות!$E$7+1),MOD(H1182-1-הגדרות!$E$8*(הגדרות!$E$7+1),הגדרות!$E$7)))</f>
        <v/>
      </c>
      <c r="K1182" s="0" t="str">
        <f aca="false">IF(I1182="","",J1182*הגדרות!$E$6+I1182+1)</f>
        <v/>
      </c>
      <c r="L1182" s="0" t="str">
        <f aca="false">IF(K1182="","",MATCH(K1182,$F$2:$F$5001,0))</f>
        <v/>
      </c>
      <c r="M1182" s="0" t="str">
        <f aca="false">IF(I1182="","",INDEX(הגדרות!$A$2:$A$21,MOD(I1182+הגדרות!$E$9,הגדרות!$E$6)+1))</f>
        <v/>
      </c>
    </row>
    <row r="1183" customFormat="false" ht="15" hidden="false" customHeight="false" outlineLevel="0" collapsed="false">
      <c r="A1183" s="0" t="str">
        <f aca="false">IF('הדבקת לידים'!A1183="","",IF(ISNUMBER('הדבקת לידים'!A1183),IF(הגדרות!$E$2&gt;0,TEXT('הדבקת לידים'!A1183,REPT("0",הגדרות!$E$2)),TEXT('הדבקת לידים'!A1183,"0")),TRIM('הדבקת לידים'!A1183)))</f>
        <v/>
      </c>
      <c r="B1183" s="0" t="str">
        <f aca="false">IF('הדבקת לידים'!B1183="","",IF(ISNUMBER('הדבקת לידים'!B1183),IF(הגדרות!$E$3&gt;0,TEXT('הדבקת לידים'!B1183,REPT("0",הגדרות!$E$3)),TEXT('הדבקת לידים'!B1183,"0")),TRIM('הדבקת לידים'!B1183)))</f>
        <v/>
      </c>
      <c r="C1183" s="0" t="n">
        <f aca="false">IF(OR(A1183&lt;&gt;"",B1183&lt;&gt;""),1,0)</f>
        <v>0</v>
      </c>
      <c r="D1183" s="0" t="str">
        <f aca="false">IF(C1183=1,MOD(ABS(SIN(ROW()*12.9898+'הדבקת לידים'!$F$2*78.233+IFERROR(--RIGHT(A1183,6),LEN(A1183))*0.0137+IFERROR(--RIGHT(B1183,6),LEN(B1183))*0.0071))*43758.5453,1),"")</f>
        <v/>
      </c>
      <c r="E1183" s="0" t="str">
        <f aca="false">IF(C1183=1,INT(MOD(ABS(SIN(D1183*7919.123+ROW()*0.618+'הדבקת לידים'!$F$2*1.3))*43758.5453,1)*1000000)*10000+ROW(),"")</f>
        <v/>
      </c>
      <c r="F1183" s="0" t="str">
        <f aca="false">IF(E1183="","",RANK(E1183,$E$2:$E$5001,1))</f>
        <v/>
      </c>
      <c r="G1183" s="0" t="n">
        <f aca="false">IF(A1183="",0,IF(SUMPRODUCT(--($A$2:$A$5001=A1183))&gt;1,1,0))</f>
        <v>0</v>
      </c>
      <c r="H1183" s="0" t="n">
        <f aca="false">ROW()-1</f>
        <v>1182</v>
      </c>
      <c r="I1183" s="0" t="str">
        <f aca="false">IF(OR(הגדרות!$E$6=0,H1183&gt;הגדרות!$E$5),"",IF(H1183-1&lt;הגדרות!$E$8*(הגדרות!$E$7+1),INT((H1183-1)/(הגדרות!$E$7+1)),הגדרות!$E$8+INT((H1183-1-הגדרות!$E$8*(הגדרות!$E$7+1))/הגדרות!$E$7)))</f>
        <v/>
      </c>
      <c r="J1183" s="0" t="str">
        <f aca="false">IF(I1183="","",IF(H1183-1&lt;הגדרות!$E$8*(הגדרות!$E$7+1),MOD(H1183-1,הגדרות!$E$7+1),MOD(H1183-1-הגדרות!$E$8*(הגדרות!$E$7+1),הגדרות!$E$7)))</f>
        <v/>
      </c>
      <c r="K1183" s="0" t="str">
        <f aca="false">IF(I1183="","",J1183*הגדרות!$E$6+I1183+1)</f>
        <v/>
      </c>
      <c r="L1183" s="0" t="str">
        <f aca="false">IF(K1183="","",MATCH(K1183,$F$2:$F$5001,0))</f>
        <v/>
      </c>
      <c r="M1183" s="0" t="str">
        <f aca="false">IF(I1183="","",INDEX(הגדרות!$A$2:$A$21,MOD(I1183+הגדרות!$E$9,הגדרות!$E$6)+1))</f>
        <v/>
      </c>
    </row>
    <row r="1184" customFormat="false" ht="15" hidden="false" customHeight="false" outlineLevel="0" collapsed="false">
      <c r="A1184" s="0" t="str">
        <f aca="false">IF('הדבקת לידים'!A1184="","",IF(ISNUMBER('הדבקת לידים'!A1184),IF(הגדרות!$E$2&gt;0,TEXT('הדבקת לידים'!A1184,REPT("0",הגדרות!$E$2)),TEXT('הדבקת לידים'!A1184,"0")),TRIM('הדבקת לידים'!A1184)))</f>
        <v/>
      </c>
      <c r="B1184" s="0" t="str">
        <f aca="false">IF('הדבקת לידים'!B1184="","",IF(ISNUMBER('הדבקת לידים'!B1184),IF(הגדרות!$E$3&gt;0,TEXT('הדבקת לידים'!B1184,REPT("0",הגדרות!$E$3)),TEXT('הדבקת לידים'!B1184,"0")),TRIM('הדבקת לידים'!B1184)))</f>
        <v/>
      </c>
      <c r="C1184" s="0" t="n">
        <f aca="false">IF(OR(A1184&lt;&gt;"",B1184&lt;&gt;""),1,0)</f>
        <v>0</v>
      </c>
      <c r="D1184" s="0" t="str">
        <f aca="false">IF(C1184=1,MOD(ABS(SIN(ROW()*12.9898+'הדבקת לידים'!$F$2*78.233+IFERROR(--RIGHT(A1184,6),LEN(A1184))*0.0137+IFERROR(--RIGHT(B1184,6),LEN(B1184))*0.0071))*43758.5453,1),"")</f>
        <v/>
      </c>
      <c r="E1184" s="0" t="str">
        <f aca="false">IF(C1184=1,INT(MOD(ABS(SIN(D1184*7919.123+ROW()*0.618+'הדבקת לידים'!$F$2*1.3))*43758.5453,1)*1000000)*10000+ROW(),"")</f>
        <v/>
      </c>
      <c r="F1184" s="0" t="str">
        <f aca="false">IF(E1184="","",RANK(E1184,$E$2:$E$5001,1))</f>
        <v/>
      </c>
      <c r="G1184" s="0" t="n">
        <f aca="false">IF(A1184="",0,IF(SUMPRODUCT(--($A$2:$A$5001=A1184))&gt;1,1,0))</f>
        <v>0</v>
      </c>
      <c r="H1184" s="0" t="n">
        <f aca="false">ROW()-1</f>
        <v>1183</v>
      </c>
      <c r="I1184" s="0" t="str">
        <f aca="false">IF(OR(הגדרות!$E$6=0,H1184&gt;הגדרות!$E$5),"",IF(H1184-1&lt;הגדרות!$E$8*(הגדרות!$E$7+1),INT((H1184-1)/(הגדרות!$E$7+1)),הגדרות!$E$8+INT((H1184-1-הגדרות!$E$8*(הגדרות!$E$7+1))/הגדרות!$E$7)))</f>
        <v/>
      </c>
      <c r="J1184" s="0" t="str">
        <f aca="false">IF(I1184="","",IF(H1184-1&lt;הגדרות!$E$8*(הגדרות!$E$7+1),MOD(H1184-1,הגדרות!$E$7+1),MOD(H1184-1-הגדרות!$E$8*(הגדרות!$E$7+1),הגדרות!$E$7)))</f>
        <v/>
      </c>
      <c r="K1184" s="0" t="str">
        <f aca="false">IF(I1184="","",J1184*הגדרות!$E$6+I1184+1)</f>
        <v/>
      </c>
      <c r="L1184" s="0" t="str">
        <f aca="false">IF(K1184="","",MATCH(K1184,$F$2:$F$5001,0))</f>
        <v/>
      </c>
      <c r="M1184" s="0" t="str">
        <f aca="false">IF(I1184="","",INDEX(הגדרות!$A$2:$A$21,MOD(I1184+הגדרות!$E$9,הגדרות!$E$6)+1))</f>
        <v/>
      </c>
    </row>
    <row r="1185" customFormat="false" ht="15" hidden="false" customHeight="false" outlineLevel="0" collapsed="false">
      <c r="A1185" s="0" t="str">
        <f aca="false">IF('הדבקת לידים'!A1185="","",IF(ISNUMBER('הדבקת לידים'!A1185),IF(הגדרות!$E$2&gt;0,TEXT('הדבקת לידים'!A1185,REPT("0",הגדרות!$E$2)),TEXT('הדבקת לידים'!A1185,"0")),TRIM('הדבקת לידים'!A1185)))</f>
        <v/>
      </c>
      <c r="B1185" s="0" t="str">
        <f aca="false">IF('הדבקת לידים'!B1185="","",IF(ISNUMBER('הדבקת לידים'!B1185),IF(הגדרות!$E$3&gt;0,TEXT('הדבקת לידים'!B1185,REPT("0",הגדרות!$E$3)),TEXT('הדבקת לידים'!B1185,"0")),TRIM('הדבקת לידים'!B1185)))</f>
        <v/>
      </c>
      <c r="C1185" s="0" t="n">
        <f aca="false">IF(OR(A1185&lt;&gt;"",B1185&lt;&gt;""),1,0)</f>
        <v>0</v>
      </c>
      <c r="D1185" s="0" t="str">
        <f aca="false">IF(C1185=1,MOD(ABS(SIN(ROW()*12.9898+'הדבקת לידים'!$F$2*78.233+IFERROR(--RIGHT(A1185,6),LEN(A1185))*0.0137+IFERROR(--RIGHT(B1185,6),LEN(B1185))*0.0071))*43758.5453,1),"")</f>
        <v/>
      </c>
      <c r="E1185" s="0" t="str">
        <f aca="false">IF(C1185=1,INT(MOD(ABS(SIN(D1185*7919.123+ROW()*0.618+'הדבקת לידים'!$F$2*1.3))*43758.5453,1)*1000000)*10000+ROW(),"")</f>
        <v/>
      </c>
      <c r="F1185" s="0" t="str">
        <f aca="false">IF(E1185="","",RANK(E1185,$E$2:$E$5001,1))</f>
        <v/>
      </c>
      <c r="G1185" s="0" t="n">
        <f aca="false">IF(A1185="",0,IF(SUMPRODUCT(--($A$2:$A$5001=A1185))&gt;1,1,0))</f>
        <v>0</v>
      </c>
      <c r="H1185" s="0" t="n">
        <f aca="false">ROW()-1</f>
        <v>1184</v>
      </c>
      <c r="I1185" s="0" t="str">
        <f aca="false">IF(OR(הגדרות!$E$6=0,H1185&gt;הגדרות!$E$5),"",IF(H1185-1&lt;הגדרות!$E$8*(הגדרות!$E$7+1),INT((H1185-1)/(הגדרות!$E$7+1)),הגדרות!$E$8+INT((H1185-1-הגדרות!$E$8*(הגדרות!$E$7+1))/הגדרות!$E$7)))</f>
        <v/>
      </c>
      <c r="J1185" s="0" t="str">
        <f aca="false">IF(I1185="","",IF(H1185-1&lt;הגדרות!$E$8*(הגדרות!$E$7+1),MOD(H1185-1,הגדרות!$E$7+1),MOD(H1185-1-הגדרות!$E$8*(הגדרות!$E$7+1),הגדרות!$E$7)))</f>
        <v/>
      </c>
      <c r="K1185" s="0" t="str">
        <f aca="false">IF(I1185="","",J1185*הגדרות!$E$6+I1185+1)</f>
        <v/>
      </c>
      <c r="L1185" s="0" t="str">
        <f aca="false">IF(K1185="","",MATCH(K1185,$F$2:$F$5001,0))</f>
        <v/>
      </c>
      <c r="M1185" s="0" t="str">
        <f aca="false">IF(I1185="","",INDEX(הגדרות!$A$2:$A$21,MOD(I1185+הגדרות!$E$9,הגדרות!$E$6)+1))</f>
        <v/>
      </c>
    </row>
    <row r="1186" customFormat="false" ht="15" hidden="false" customHeight="false" outlineLevel="0" collapsed="false">
      <c r="A1186" s="0" t="str">
        <f aca="false">IF('הדבקת לידים'!A1186="","",IF(ISNUMBER('הדבקת לידים'!A1186),IF(הגדרות!$E$2&gt;0,TEXT('הדבקת לידים'!A1186,REPT("0",הגדרות!$E$2)),TEXT('הדבקת לידים'!A1186,"0")),TRIM('הדבקת לידים'!A1186)))</f>
        <v/>
      </c>
      <c r="B1186" s="0" t="str">
        <f aca="false">IF('הדבקת לידים'!B1186="","",IF(ISNUMBER('הדבקת לידים'!B1186),IF(הגדרות!$E$3&gt;0,TEXT('הדבקת לידים'!B1186,REPT("0",הגדרות!$E$3)),TEXT('הדבקת לידים'!B1186,"0")),TRIM('הדבקת לידים'!B1186)))</f>
        <v/>
      </c>
      <c r="C1186" s="0" t="n">
        <f aca="false">IF(OR(A1186&lt;&gt;"",B1186&lt;&gt;""),1,0)</f>
        <v>0</v>
      </c>
      <c r="D1186" s="0" t="str">
        <f aca="false">IF(C1186=1,MOD(ABS(SIN(ROW()*12.9898+'הדבקת לידים'!$F$2*78.233+IFERROR(--RIGHT(A1186,6),LEN(A1186))*0.0137+IFERROR(--RIGHT(B1186,6),LEN(B1186))*0.0071))*43758.5453,1),"")</f>
        <v/>
      </c>
      <c r="E1186" s="0" t="str">
        <f aca="false">IF(C1186=1,INT(MOD(ABS(SIN(D1186*7919.123+ROW()*0.618+'הדבקת לידים'!$F$2*1.3))*43758.5453,1)*1000000)*10000+ROW(),"")</f>
        <v/>
      </c>
      <c r="F1186" s="0" t="str">
        <f aca="false">IF(E1186="","",RANK(E1186,$E$2:$E$5001,1))</f>
        <v/>
      </c>
      <c r="G1186" s="0" t="n">
        <f aca="false">IF(A1186="",0,IF(SUMPRODUCT(--($A$2:$A$5001=A1186))&gt;1,1,0))</f>
        <v>0</v>
      </c>
      <c r="H1186" s="0" t="n">
        <f aca="false">ROW()-1</f>
        <v>1185</v>
      </c>
      <c r="I1186" s="0" t="str">
        <f aca="false">IF(OR(הגדרות!$E$6=0,H1186&gt;הגדרות!$E$5),"",IF(H1186-1&lt;הגדרות!$E$8*(הגדרות!$E$7+1),INT((H1186-1)/(הגדרות!$E$7+1)),הגדרות!$E$8+INT((H1186-1-הגדרות!$E$8*(הגדרות!$E$7+1))/הגדרות!$E$7)))</f>
        <v/>
      </c>
      <c r="J1186" s="0" t="str">
        <f aca="false">IF(I1186="","",IF(H1186-1&lt;הגדרות!$E$8*(הגדרות!$E$7+1),MOD(H1186-1,הגדרות!$E$7+1),MOD(H1186-1-הגדרות!$E$8*(הגדרות!$E$7+1),הגדרות!$E$7)))</f>
        <v/>
      </c>
      <c r="K1186" s="0" t="str">
        <f aca="false">IF(I1186="","",J1186*הגדרות!$E$6+I1186+1)</f>
        <v/>
      </c>
      <c r="L1186" s="0" t="str">
        <f aca="false">IF(K1186="","",MATCH(K1186,$F$2:$F$5001,0))</f>
        <v/>
      </c>
      <c r="M1186" s="0" t="str">
        <f aca="false">IF(I1186="","",INDEX(הגדרות!$A$2:$A$21,MOD(I1186+הגדרות!$E$9,הגדרות!$E$6)+1))</f>
        <v/>
      </c>
    </row>
    <row r="1187" customFormat="false" ht="15" hidden="false" customHeight="false" outlineLevel="0" collapsed="false">
      <c r="A1187" s="0" t="str">
        <f aca="false">IF('הדבקת לידים'!A1187="","",IF(ISNUMBER('הדבקת לידים'!A1187),IF(הגדרות!$E$2&gt;0,TEXT('הדבקת לידים'!A1187,REPT("0",הגדרות!$E$2)),TEXT('הדבקת לידים'!A1187,"0")),TRIM('הדבקת לידים'!A1187)))</f>
        <v/>
      </c>
      <c r="B1187" s="0" t="str">
        <f aca="false">IF('הדבקת לידים'!B1187="","",IF(ISNUMBER('הדבקת לידים'!B1187),IF(הגדרות!$E$3&gt;0,TEXT('הדבקת לידים'!B1187,REPT("0",הגדרות!$E$3)),TEXT('הדבקת לידים'!B1187,"0")),TRIM('הדבקת לידים'!B1187)))</f>
        <v/>
      </c>
      <c r="C1187" s="0" t="n">
        <f aca="false">IF(OR(A1187&lt;&gt;"",B1187&lt;&gt;""),1,0)</f>
        <v>0</v>
      </c>
      <c r="D1187" s="0" t="str">
        <f aca="false">IF(C1187=1,MOD(ABS(SIN(ROW()*12.9898+'הדבקת לידים'!$F$2*78.233+IFERROR(--RIGHT(A1187,6),LEN(A1187))*0.0137+IFERROR(--RIGHT(B1187,6),LEN(B1187))*0.0071))*43758.5453,1),"")</f>
        <v/>
      </c>
      <c r="E1187" s="0" t="str">
        <f aca="false">IF(C1187=1,INT(MOD(ABS(SIN(D1187*7919.123+ROW()*0.618+'הדבקת לידים'!$F$2*1.3))*43758.5453,1)*1000000)*10000+ROW(),"")</f>
        <v/>
      </c>
      <c r="F1187" s="0" t="str">
        <f aca="false">IF(E1187="","",RANK(E1187,$E$2:$E$5001,1))</f>
        <v/>
      </c>
      <c r="G1187" s="0" t="n">
        <f aca="false">IF(A1187="",0,IF(SUMPRODUCT(--($A$2:$A$5001=A1187))&gt;1,1,0))</f>
        <v>0</v>
      </c>
      <c r="H1187" s="0" t="n">
        <f aca="false">ROW()-1</f>
        <v>1186</v>
      </c>
      <c r="I1187" s="0" t="str">
        <f aca="false">IF(OR(הגדרות!$E$6=0,H1187&gt;הגדרות!$E$5),"",IF(H1187-1&lt;הגדרות!$E$8*(הגדרות!$E$7+1),INT((H1187-1)/(הגדרות!$E$7+1)),הגדרות!$E$8+INT((H1187-1-הגדרות!$E$8*(הגדרות!$E$7+1))/הגדרות!$E$7)))</f>
        <v/>
      </c>
      <c r="J1187" s="0" t="str">
        <f aca="false">IF(I1187="","",IF(H1187-1&lt;הגדרות!$E$8*(הגדרות!$E$7+1),MOD(H1187-1,הגדרות!$E$7+1),MOD(H1187-1-הגדרות!$E$8*(הגדרות!$E$7+1),הגדרות!$E$7)))</f>
        <v/>
      </c>
      <c r="K1187" s="0" t="str">
        <f aca="false">IF(I1187="","",J1187*הגדרות!$E$6+I1187+1)</f>
        <v/>
      </c>
      <c r="L1187" s="0" t="str">
        <f aca="false">IF(K1187="","",MATCH(K1187,$F$2:$F$5001,0))</f>
        <v/>
      </c>
      <c r="M1187" s="0" t="str">
        <f aca="false">IF(I1187="","",INDEX(הגדרות!$A$2:$A$21,MOD(I1187+הגדרות!$E$9,הגדרות!$E$6)+1))</f>
        <v/>
      </c>
    </row>
    <row r="1188" customFormat="false" ht="15" hidden="false" customHeight="false" outlineLevel="0" collapsed="false">
      <c r="A1188" s="0" t="str">
        <f aca="false">IF('הדבקת לידים'!A1188="","",IF(ISNUMBER('הדבקת לידים'!A1188),IF(הגדרות!$E$2&gt;0,TEXT('הדבקת לידים'!A1188,REPT("0",הגדרות!$E$2)),TEXT('הדבקת לידים'!A1188,"0")),TRIM('הדבקת לידים'!A1188)))</f>
        <v/>
      </c>
      <c r="B1188" s="0" t="str">
        <f aca="false">IF('הדבקת לידים'!B1188="","",IF(ISNUMBER('הדבקת לידים'!B1188),IF(הגדרות!$E$3&gt;0,TEXT('הדבקת לידים'!B1188,REPT("0",הגדרות!$E$3)),TEXT('הדבקת לידים'!B1188,"0")),TRIM('הדבקת לידים'!B1188)))</f>
        <v/>
      </c>
      <c r="C1188" s="0" t="n">
        <f aca="false">IF(OR(A1188&lt;&gt;"",B1188&lt;&gt;""),1,0)</f>
        <v>0</v>
      </c>
      <c r="D1188" s="0" t="str">
        <f aca="false">IF(C1188=1,MOD(ABS(SIN(ROW()*12.9898+'הדבקת לידים'!$F$2*78.233+IFERROR(--RIGHT(A1188,6),LEN(A1188))*0.0137+IFERROR(--RIGHT(B1188,6),LEN(B1188))*0.0071))*43758.5453,1),"")</f>
        <v/>
      </c>
      <c r="E1188" s="0" t="str">
        <f aca="false">IF(C1188=1,INT(MOD(ABS(SIN(D1188*7919.123+ROW()*0.618+'הדבקת לידים'!$F$2*1.3))*43758.5453,1)*1000000)*10000+ROW(),"")</f>
        <v/>
      </c>
      <c r="F1188" s="0" t="str">
        <f aca="false">IF(E1188="","",RANK(E1188,$E$2:$E$5001,1))</f>
        <v/>
      </c>
      <c r="G1188" s="0" t="n">
        <f aca="false">IF(A1188="",0,IF(SUMPRODUCT(--($A$2:$A$5001=A1188))&gt;1,1,0))</f>
        <v>0</v>
      </c>
      <c r="H1188" s="0" t="n">
        <f aca="false">ROW()-1</f>
        <v>1187</v>
      </c>
      <c r="I1188" s="0" t="str">
        <f aca="false">IF(OR(הגדרות!$E$6=0,H1188&gt;הגדרות!$E$5),"",IF(H1188-1&lt;הגדרות!$E$8*(הגדרות!$E$7+1),INT((H1188-1)/(הגדרות!$E$7+1)),הגדרות!$E$8+INT((H1188-1-הגדרות!$E$8*(הגדרות!$E$7+1))/הגדרות!$E$7)))</f>
        <v/>
      </c>
      <c r="J1188" s="0" t="str">
        <f aca="false">IF(I1188="","",IF(H1188-1&lt;הגדרות!$E$8*(הגדרות!$E$7+1),MOD(H1188-1,הגדרות!$E$7+1),MOD(H1188-1-הגדרות!$E$8*(הגדרות!$E$7+1),הגדרות!$E$7)))</f>
        <v/>
      </c>
      <c r="K1188" s="0" t="str">
        <f aca="false">IF(I1188="","",J1188*הגדרות!$E$6+I1188+1)</f>
        <v/>
      </c>
      <c r="L1188" s="0" t="str">
        <f aca="false">IF(K1188="","",MATCH(K1188,$F$2:$F$5001,0))</f>
        <v/>
      </c>
      <c r="M1188" s="0" t="str">
        <f aca="false">IF(I1188="","",INDEX(הגדרות!$A$2:$A$21,MOD(I1188+הגדרות!$E$9,הגדרות!$E$6)+1))</f>
        <v/>
      </c>
    </row>
    <row r="1189" customFormat="false" ht="15" hidden="false" customHeight="false" outlineLevel="0" collapsed="false">
      <c r="A1189" s="0" t="str">
        <f aca="false">IF('הדבקת לידים'!A1189="","",IF(ISNUMBER('הדבקת לידים'!A1189),IF(הגדרות!$E$2&gt;0,TEXT('הדבקת לידים'!A1189,REPT("0",הגדרות!$E$2)),TEXT('הדבקת לידים'!A1189,"0")),TRIM('הדבקת לידים'!A1189)))</f>
        <v/>
      </c>
      <c r="B1189" s="0" t="str">
        <f aca="false">IF('הדבקת לידים'!B1189="","",IF(ISNUMBER('הדבקת לידים'!B1189),IF(הגדרות!$E$3&gt;0,TEXT('הדבקת לידים'!B1189,REPT("0",הגדרות!$E$3)),TEXT('הדבקת לידים'!B1189,"0")),TRIM('הדבקת לידים'!B1189)))</f>
        <v/>
      </c>
      <c r="C1189" s="0" t="n">
        <f aca="false">IF(OR(A1189&lt;&gt;"",B1189&lt;&gt;""),1,0)</f>
        <v>0</v>
      </c>
      <c r="D1189" s="0" t="str">
        <f aca="false">IF(C1189=1,MOD(ABS(SIN(ROW()*12.9898+'הדבקת לידים'!$F$2*78.233+IFERROR(--RIGHT(A1189,6),LEN(A1189))*0.0137+IFERROR(--RIGHT(B1189,6),LEN(B1189))*0.0071))*43758.5453,1),"")</f>
        <v/>
      </c>
      <c r="E1189" s="0" t="str">
        <f aca="false">IF(C1189=1,INT(MOD(ABS(SIN(D1189*7919.123+ROW()*0.618+'הדבקת לידים'!$F$2*1.3))*43758.5453,1)*1000000)*10000+ROW(),"")</f>
        <v/>
      </c>
      <c r="F1189" s="0" t="str">
        <f aca="false">IF(E1189="","",RANK(E1189,$E$2:$E$5001,1))</f>
        <v/>
      </c>
      <c r="G1189" s="0" t="n">
        <f aca="false">IF(A1189="",0,IF(SUMPRODUCT(--($A$2:$A$5001=A1189))&gt;1,1,0))</f>
        <v>0</v>
      </c>
      <c r="H1189" s="0" t="n">
        <f aca="false">ROW()-1</f>
        <v>1188</v>
      </c>
      <c r="I1189" s="0" t="str">
        <f aca="false">IF(OR(הגדרות!$E$6=0,H1189&gt;הגדרות!$E$5),"",IF(H1189-1&lt;הגדרות!$E$8*(הגדרות!$E$7+1),INT((H1189-1)/(הגדרות!$E$7+1)),הגדרות!$E$8+INT((H1189-1-הגדרות!$E$8*(הגדרות!$E$7+1))/הגדרות!$E$7)))</f>
        <v/>
      </c>
      <c r="J1189" s="0" t="str">
        <f aca="false">IF(I1189="","",IF(H1189-1&lt;הגדרות!$E$8*(הגדרות!$E$7+1),MOD(H1189-1,הגדרות!$E$7+1),MOD(H1189-1-הגדרות!$E$8*(הגדרות!$E$7+1),הגדרות!$E$7)))</f>
        <v/>
      </c>
      <c r="K1189" s="0" t="str">
        <f aca="false">IF(I1189="","",J1189*הגדרות!$E$6+I1189+1)</f>
        <v/>
      </c>
      <c r="L1189" s="0" t="str">
        <f aca="false">IF(K1189="","",MATCH(K1189,$F$2:$F$5001,0))</f>
        <v/>
      </c>
      <c r="M1189" s="0" t="str">
        <f aca="false">IF(I1189="","",INDEX(הגדרות!$A$2:$A$21,MOD(I1189+הגדרות!$E$9,הגדרות!$E$6)+1))</f>
        <v/>
      </c>
    </row>
    <row r="1190" customFormat="false" ht="15" hidden="false" customHeight="false" outlineLevel="0" collapsed="false">
      <c r="A1190" s="0" t="str">
        <f aca="false">IF('הדבקת לידים'!A1190="","",IF(ISNUMBER('הדבקת לידים'!A1190),IF(הגדרות!$E$2&gt;0,TEXT('הדבקת לידים'!A1190,REPT("0",הגדרות!$E$2)),TEXT('הדבקת לידים'!A1190,"0")),TRIM('הדבקת לידים'!A1190)))</f>
        <v/>
      </c>
      <c r="B1190" s="0" t="str">
        <f aca="false">IF('הדבקת לידים'!B1190="","",IF(ISNUMBER('הדבקת לידים'!B1190),IF(הגדרות!$E$3&gt;0,TEXT('הדבקת לידים'!B1190,REPT("0",הגדרות!$E$3)),TEXT('הדבקת לידים'!B1190,"0")),TRIM('הדבקת לידים'!B1190)))</f>
        <v/>
      </c>
      <c r="C1190" s="0" t="n">
        <f aca="false">IF(OR(A1190&lt;&gt;"",B1190&lt;&gt;""),1,0)</f>
        <v>0</v>
      </c>
      <c r="D1190" s="0" t="str">
        <f aca="false">IF(C1190=1,MOD(ABS(SIN(ROW()*12.9898+'הדבקת לידים'!$F$2*78.233+IFERROR(--RIGHT(A1190,6),LEN(A1190))*0.0137+IFERROR(--RIGHT(B1190,6),LEN(B1190))*0.0071))*43758.5453,1),"")</f>
        <v/>
      </c>
      <c r="E1190" s="0" t="str">
        <f aca="false">IF(C1190=1,INT(MOD(ABS(SIN(D1190*7919.123+ROW()*0.618+'הדבקת לידים'!$F$2*1.3))*43758.5453,1)*1000000)*10000+ROW(),"")</f>
        <v/>
      </c>
      <c r="F1190" s="0" t="str">
        <f aca="false">IF(E1190="","",RANK(E1190,$E$2:$E$5001,1))</f>
        <v/>
      </c>
      <c r="G1190" s="0" t="n">
        <f aca="false">IF(A1190="",0,IF(SUMPRODUCT(--($A$2:$A$5001=A1190))&gt;1,1,0))</f>
        <v>0</v>
      </c>
      <c r="H1190" s="0" t="n">
        <f aca="false">ROW()-1</f>
        <v>1189</v>
      </c>
      <c r="I1190" s="0" t="str">
        <f aca="false">IF(OR(הגדרות!$E$6=0,H1190&gt;הגדרות!$E$5),"",IF(H1190-1&lt;הגדרות!$E$8*(הגדרות!$E$7+1),INT((H1190-1)/(הגדרות!$E$7+1)),הגדרות!$E$8+INT((H1190-1-הגדרות!$E$8*(הגדרות!$E$7+1))/הגדרות!$E$7)))</f>
        <v/>
      </c>
      <c r="J1190" s="0" t="str">
        <f aca="false">IF(I1190="","",IF(H1190-1&lt;הגדרות!$E$8*(הגדרות!$E$7+1),MOD(H1190-1,הגדרות!$E$7+1),MOD(H1190-1-הגדרות!$E$8*(הגדרות!$E$7+1),הגדרות!$E$7)))</f>
        <v/>
      </c>
      <c r="K1190" s="0" t="str">
        <f aca="false">IF(I1190="","",J1190*הגדרות!$E$6+I1190+1)</f>
        <v/>
      </c>
      <c r="L1190" s="0" t="str">
        <f aca="false">IF(K1190="","",MATCH(K1190,$F$2:$F$5001,0))</f>
        <v/>
      </c>
      <c r="M1190" s="0" t="str">
        <f aca="false">IF(I1190="","",INDEX(הגדרות!$A$2:$A$21,MOD(I1190+הגדרות!$E$9,הגדרות!$E$6)+1))</f>
        <v/>
      </c>
    </row>
    <row r="1191" customFormat="false" ht="15" hidden="false" customHeight="false" outlineLevel="0" collapsed="false">
      <c r="A1191" s="0" t="str">
        <f aca="false">IF('הדבקת לידים'!A1191="","",IF(ISNUMBER('הדבקת לידים'!A1191),IF(הגדרות!$E$2&gt;0,TEXT('הדבקת לידים'!A1191,REPT("0",הגדרות!$E$2)),TEXT('הדבקת לידים'!A1191,"0")),TRIM('הדבקת לידים'!A1191)))</f>
        <v/>
      </c>
      <c r="B1191" s="0" t="str">
        <f aca="false">IF('הדבקת לידים'!B1191="","",IF(ISNUMBER('הדבקת לידים'!B1191),IF(הגדרות!$E$3&gt;0,TEXT('הדבקת לידים'!B1191,REPT("0",הגדרות!$E$3)),TEXT('הדבקת לידים'!B1191,"0")),TRIM('הדבקת לידים'!B1191)))</f>
        <v/>
      </c>
      <c r="C1191" s="0" t="n">
        <f aca="false">IF(OR(A1191&lt;&gt;"",B1191&lt;&gt;""),1,0)</f>
        <v>0</v>
      </c>
      <c r="D1191" s="0" t="str">
        <f aca="false">IF(C1191=1,MOD(ABS(SIN(ROW()*12.9898+'הדבקת לידים'!$F$2*78.233+IFERROR(--RIGHT(A1191,6),LEN(A1191))*0.0137+IFERROR(--RIGHT(B1191,6),LEN(B1191))*0.0071))*43758.5453,1),"")</f>
        <v/>
      </c>
      <c r="E1191" s="0" t="str">
        <f aca="false">IF(C1191=1,INT(MOD(ABS(SIN(D1191*7919.123+ROW()*0.618+'הדבקת לידים'!$F$2*1.3))*43758.5453,1)*1000000)*10000+ROW(),"")</f>
        <v/>
      </c>
      <c r="F1191" s="0" t="str">
        <f aca="false">IF(E1191="","",RANK(E1191,$E$2:$E$5001,1))</f>
        <v/>
      </c>
      <c r="G1191" s="0" t="n">
        <f aca="false">IF(A1191="",0,IF(SUMPRODUCT(--($A$2:$A$5001=A1191))&gt;1,1,0))</f>
        <v>0</v>
      </c>
      <c r="H1191" s="0" t="n">
        <f aca="false">ROW()-1</f>
        <v>1190</v>
      </c>
      <c r="I1191" s="0" t="str">
        <f aca="false">IF(OR(הגדרות!$E$6=0,H1191&gt;הגדרות!$E$5),"",IF(H1191-1&lt;הגדרות!$E$8*(הגדרות!$E$7+1),INT((H1191-1)/(הגדרות!$E$7+1)),הגדרות!$E$8+INT((H1191-1-הגדרות!$E$8*(הגדרות!$E$7+1))/הגדרות!$E$7)))</f>
        <v/>
      </c>
      <c r="J1191" s="0" t="str">
        <f aca="false">IF(I1191="","",IF(H1191-1&lt;הגדרות!$E$8*(הגדרות!$E$7+1),MOD(H1191-1,הגדרות!$E$7+1),MOD(H1191-1-הגדרות!$E$8*(הגדרות!$E$7+1),הגדרות!$E$7)))</f>
        <v/>
      </c>
      <c r="K1191" s="0" t="str">
        <f aca="false">IF(I1191="","",J1191*הגדרות!$E$6+I1191+1)</f>
        <v/>
      </c>
      <c r="L1191" s="0" t="str">
        <f aca="false">IF(K1191="","",MATCH(K1191,$F$2:$F$5001,0))</f>
        <v/>
      </c>
      <c r="M1191" s="0" t="str">
        <f aca="false">IF(I1191="","",INDEX(הגדרות!$A$2:$A$21,MOD(I1191+הגדרות!$E$9,הגדרות!$E$6)+1))</f>
        <v/>
      </c>
    </row>
    <row r="1192" customFormat="false" ht="15" hidden="false" customHeight="false" outlineLevel="0" collapsed="false">
      <c r="A1192" s="0" t="str">
        <f aca="false">IF('הדבקת לידים'!A1192="","",IF(ISNUMBER('הדבקת לידים'!A1192),IF(הגדרות!$E$2&gt;0,TEXT('הדבקת לידים'!A1192,REPT("0",הגדרות!$E$2)),TEXT('הדבקת לידים'!A1192,"0")),TRIM('הדבקת לידים'!A1192)))</f>
        <v/>
      </c>
      <c r="B1192" s="0" t="str">
        <f aca="false">IF('הדבקת לידים'!B1192="","",IF(ISNUMBER('הדבקת לידים'!B1192),IF(הגדרות!$E$3&gt;0,TEXT('הדבקת לידים'!B1192,REPT("0",הגדרות!$E$3)),TEXT('הדבקת לידים'!B1192,"0")),TRIM('הדבקת לידים'!B1192)))</f>
        <v/>
      </c>
      <c r="C1192" s="0" t="n">
        <f aca="false">IF(OR(A1192&lt;&gt;"",B1192&lt;&gt;""),1,0)</f>
        <v>0</v>
      </c>
      <c r="D1192" s="0" t="str">
        <f aca="false">IF(C1192=1,MOD(ABS(SIN(ROW()*12.9898+'הדבקת לידים'!$F$2*78.233+IFERROR(--RIGHT(A1192,6),LEN(A1192))*0.0137+IFERROR(--RIGHT(B1192,6),LEN(B1192))*0.0071))*43758.5453,1),"")</f>
        <v/>
      </c>
      <c r="E1192" s="0" t="str">
        <f aca="false">IF(C1192=1,INT(MOD(ABS(SIN(D1192*7919.123+ROW()*0.618+'הדבקת לידים'!$F$2*1.3))*43758.5453,1)*1000000)*10000+ROW(),"")</f>
        <v/>
      </c>
      <c r="F1192" s="0" t="str">
        <f aca="false">IF(E1192="","",RANK(E1192,$E$2:$E$5001,1))</f>
        <v/>
      </c>
      <c r="G1192" s="0" t="n">
        <f aca="false">IF(A1192="",0,IF(SUMPRODUCT(--($A$2:$A$5001=A1192))&gt;1,1,0))</f>
        <v>0</v>
      </c>
      <c r="H1192" s="0" t="n">
        <f aca="false">ROW()-1</f>
        <v>1191</v>
      </c>
      <c r="I1192" s="0" t="str">
        <f aca="false">IF(OR(הגדרות!$E$6=0,H1192&gt;הגדרות!$E$5),"",IF(H1192-1&lt;הגדרות!$E$8*(הגדרות!$E$7+1),INT((H1192-1)/(הגדרות!$E$7+1)),הגדרות!$E$8+INT((H1192-1-הגדרות!$E$8*(הגדרות!$E$7+1))/הגדרות!$E$7)))</f>
        <v/>
      </c>
      <c r="J1192" s="0" t="str">
        <f aca="false">IF(I1192="","",IF(H1192-1&lt;הגדרות!$E$8*(הגדרות!$E$7+1),MOD(H1192-1,הגדרות!$E$7+1),MOD(H1192-1-הגדרות!$E$8*(הגדרות!$E$7+1),הגדרות!$E$7)))</f>
        <v/>
      </c>
      <c r="K1192" s="0" t="str">
        <f aca="false">IF(I1192="","",J1192*הגדרות!$E$6+I1192+1)</f>
        <v/>
      </c>
      <c r="L1192" s="0" t="str">
        <f aca="false">IF(K1192="","",MATCH(K1192,$F$2:$F$5001,0))</f>
        <v/>
      </c>
      <c r="M1192" s="0" t="str">
        <f aca="false">IF(I1192="","",INDEX(הגדרות!$A$2:$A$21,MOD(I1192+הגדרות!$E$9,הגדרות!$E$6)+1))</f>
        <v/>
      </c>
    </row>
    <row r="1193" customFormat="false" ht="15" hidden="false" customHeight="false" outlineLevel="0" collapsed="false">
      <c r="A1193" s="0" t="str">
        <f aca="false">IF('הדבקת לידים'!A1193="","",IF(ISNUMBER('הדבקת לידים'!A1193),IF(הגדרות!$E$2&gt;0,TEXT('הדבקת לידים'!A1193,REPT("0",הגדרות!$E$2)),TEXT('הדבקת לידים'!A1193,"0")),TRIM('הדבקת לידים'!A1193)))</f>
        <v/>
      </c>
      <c r="B1193" s="0" t="str">
        <f aca="false">IF('הדבקת לידים'!B1193="","",IF(ISNUMBER('הדבקת לידים'!B1193),IF(הגדרות!$E$3&gt;0,TEXT('הדבקת לידים'!B1193,REPT("0",הגדרות!$E$3)),TEXT('הדבקת לידים'!B1193,"0")),TRIM('הדבקת לידים'!B1193)))</f>
        <v/>
      </c>
      <c r="C1193" s="0" t="n">
        <f aca="false">IF(OR(A1193&lt;&gt;"",B1193&lt;&gt;""),1,0)</f>
        <v>0</v>
      </c>
      <c r="D1193" s="0" t="str">
        <f aca="false">IF(C1193=1,MOD(ABS(SIN(ROW()*12.9898+'הדבקת לידים'!$F$2*78.233+IFERROR(--RIGHT(A1193,6),LEN(A1193))*0.0137+IFERROR(--RIGHT(B1193,6),LEN(B1193))*0.0071))*43758.5453,1),"")</f>
        <v/>
      </c>
      <c r="E1193" s="0" t="str">
        <f aca="false">IF(C1193=1,INT(MOD(ABS(SIN(D1193*7919.123+ROW()*0.618+'הדבקת לידים'!$F$2*1.3))*43758.5453,1)*1000000)*10000+ROW(),"")</f>
        <v/>
      </c>
      <c r="F1193" s="0" t="str">
        <f aca="false">IF(E1193="","",RANK(E1193,$E$2:$E$5001,1))</f>
        <v/>
      </c>
      <c r="G1193" s="0" t="n">
        <f aca="false">IF(A1193="",0,IF(SUMPRODUCT(--($A$2:$A$5001=A1193))&gt;1,1,0))</f>
        <v>0</v>
      </c>
      <c r="H1193" s="0" t="n">
        <f aca="false">ROW()-1</f>
        <v>1192</v>
      </c>
      <c r="I1193" s="0" t="str">
        <f aca="false">IF(OR(הגדרות!$E$6=0,H1193&gt;הגדרות!$E$5),"",IF(H1193-1&lt;הגדרות!$E$8*(הגדרות!$E$7+1),INT((H1193-1)/(הגדרות!$E$7+1)),הגדרות!$E$8+INT((H1193-1-הגדרות!$E$8*(הגדרות!$E$7+1))/הגדרות!$E$7)))</f>
        <v/>
      </c>
      <c r="J1193" s="0" t="str">
        <f aca="false">IF(I1193="","",IF(H1193-1&lt;הגדרות!$E$8*(הגדרות!$E$7+1),MOD(H1193-1,הגדרות!$E$7+1),MOD(H1193-1-הגדרות!$E$8*(הגדרות!$E$7+1),הגדרות!$E$7)))</f>
        <v/>
      </c>
      <c r="K1193" s="0" t="str">
        <f aca="false">IF(I1193="","",J1193*הגדרות!$E$6+I1193+1)</f>
        <v/>
      </c>
      <c r="L1193" s="0" t="str">
        <f aca="false">IF(K1193="","",MATCH(K1193,$F$2:$F$5001,0))</f>
        <v/>
      </c>
      <c r="M1193" s="0" t="str">
        <f aca="false">IF(I1193="","",INDEX(הגדרות!$A$2:$A$21,MOD(I1193+הגדרות!$E$9,הגדרות!$E$6)+1))</f>
        <v/>
      </c>
    </row>
    <row r="1194" customFormat="false" ht="15" hidden="false" customHeight="false" outlineLevel="0" collapsed="false">
      <c r="A1194" s="0" t="str">
        <f aca="false">IF('הדבקת לידים'!A1194="","",IF(ISNUMBER('הדבקת לידים'!A1194),IF(הגדרות!$E$2&gt;0,TEXT('הדבקת לידים'!A1194,REPT("0",הגדרות!$E$2)),TEXT('הדבקת לידים'!A1194,"0")),TRIM('הדבקת לידים'!A1194)))</f>
        <v/>
      </c>
      <c r="B1194" s="0" t="str">
        <f aca="false">IF('הדבקת לידים'!B1194="","",IF(ISNUMBER('הדבקת לידים'!B1194),IF(הגדרות!$E$3&gt;0,TEXT('הדבקת לידים'!B1194,REPT("0",הגדרות!$E$3)),TEXT('הדבקת לידים'!B1194,"0")),TRIM('הדבקת לידים'!B1194)))</f>
        <v/>
      </c>
      <c r="C1194" s="0" t="n">
        <f aca="false">IF(OR(A1194&lt;&gt;"",B1194&lt;&gt;""),1,0)</f>
        <v>0</v>
      </c>
      <c r="D1194" s="0" t="str">
        <f aca="false">IF(C1194=1,MOD(ABS(SIN(ROW()*12.9898+'הדבקת לידים'!$F$2*78.233+IFERROR(--RIGHT(A1194,6),LEN(A1194))*0.0137+IFERROR(--RIGHT(B1194,6),LEN(B1194))*0.0071))*43758.5453,1),"")</f>
        <v/>
      </c>
      <c r="E1194" s="0" t="str">
        <f aca="false">IF(C1194=1,INT(MOD(ABS(SIN(D1194*7919.123+ROW()*0.618+'הדבקת לידים'!$F$2*1.3))*43758.5453,1)*1000000)*10000+ROW(),"")</f>
        <v/>
      </c>
      <c r="F1194" s="0" t="str">
        <f aca="false">IF(E1194="","",RANK(E1194,$E$2:$E$5001,1))</f>
        <v/>
      </c>
      <c r="G1194" s="0" t="n">
        <f aca="false">IF(A1194="",0,IF(SUMPRODUCT(--($A$2:$A$5001=A1194))&gt;1,1,0))</f>
        <v>0</v>
      </c>
      <c r="H1194" s="0" t="n">
        <f aca="false">ROW()-1</f>
        <v>1193</v>
      </c>
      <c r="I1194" s="0" t="str">
        <f aca="false">IF(OR(הגדרות!$E$6=0,H1194&gt;הגדרות!$E$5),"",IF(H1194-1&lt;הגדרות!$E$8*(הגדרות!$E$7+1),INT((H1194-1)/(הגדרות!$E$7+1)),הגדרות!$E$8+INT((H1194-1-הגדרות!$E$8*(הגדרות!$E$7+1))/הגדרות!$E$7)))</f>
        <v/>
      </c>
      <c r="J1194" s="0" t="str">
        <f aca="false">IF(I1194="","",IF(H1194-1&lt;הגדרות!$E$8*(הגדרות!$E$7+1),MOD(H1194-1,הגדרות!$E$7+1),MOD(H1194-1-הגדרות!$E$8*(הגדרות!$E$7+1),הגדרות!$E$7)))</f>
        <v/>
      </c>
      <c r="K1194" s="0" t="str">
        <f aca="false">IF(I1194="","",J1194*הגדרות!$E$6+I1194+1)</f>
        <v/>
      </c>
      <c r="L1194" s="0" t="str">
        <f aca="false">IF(K1194="","",MATCH(K1194,$F$2:$F$5001,0))</f>
        <v/>
      </c>
      <c r="M1194" s="0" t="str">
        <f aca="false">IF(I1194="","",INDEX(הגדרות!$A$2:$A$21,MOD(I1194+הגדרות!$E$9,הגדרות!$E$6)+1))</f>
        <v/>
      </c>
    </row>
    <row r="1195" customFormat="false" ht="15" hidden="false" customHeight="false" outlineLevel="0" collapsed="false">
      <c r="A1195" s="0" t="str">
        <f aca="false">IF('הדבקת לידים'!A1195="","",IF(ISNUMBER('הדבקת לידים'!A1195),IF(הגדרות!$E$2&gt;0,TEXT('הדבקת לידים'!A1195,REPT("0",הגדרות!$E$2)),TEXT('הדבקת לידים'!A1195,"0")),TRIM('הדבקת לידים'!A1195)))</f>
        <v/>
      </c>
      <c r="B1195" s="0" t="str">
        <f aca="false">IF('הדבקת לידים'!B1195="","",IF(ISNUMBER('הדבקת לידים'!B1195),IF(הגדרות!$E$3&gt;0,TEXT('הדבקת לידים'!B1195,REPT("0",הגדרות!$E$3)),TEXT('הדבקת לידים'!B1195,"0")),TRIM('הדבקת לידים'!B1195)))</f>
        <v/>
      </c>
      <c r="C1195" s="0" t="n">
        <f aca="false">IF(OR(A1195&lt;&gt;"",B1195&lt;&gt;""),1,0)</f>
        <v>0</v>
      </c>
      <c r="D1195" s="0" t="str">
        <f aca="false">IF(C1195=1,MOD(ABS(SIN(ROW()*12.9898+'הדבקת לידים'!$F$2*78.233+IFERROR(--RIGHT(A1195,6),LEN(A1195))*0.0137+IFERROR(--RIGHT(B1195,6),LEN(B1195))*0.0071))*43758.5453,1),"")</f>
        <v/>
      </c>
      <c r="E1195" s="0" t="str">
        <f aca="false">IF(C1195=1,INT(MOD(ABS(SIN(D1195*7919.123+ROW()*0.618+'הדבקת לידים'!$F$2*1.3))*43758.5453,1)*1000000)*10000+ROW(),"")</f>
        <v/>
      </c>
      <c r="F1195" s="0" t="str">
        <f aca="false">IF(E1195="","",RANK(E1195,$E$2:$E$5001,1))</f>
        <v/>
      </c>
      <c r="G1195" s="0" t="n">
        <f aca="false">IF(A1195="",0,IF(SUMPRODUCT(--($A$2:$A$5001=A1195))&gt;1,1,0))</f>
        <v>0</v>
      </c>
      <c r="H1195" s="0" t="n">
        <f aca="false">ROW()-1</f>
        <v>1194</v>
      </c>
      <c r="I1195" s="0" t="str">
        <f aca="false">IF(OR(הגדרות!$E$6=0,H1195&gt;הגדרות!$E$5),"",IF(H1195-1&lt;הגדרות!$E$8*(הגדרות!$E$7+1),INT((H1195-1)/(הגדרות!$E$7+1)),הגדרות!$E$8+INT((H1195-1-הגדרות!$E$8*(הגדרות!$E$7+1))/הגדרות!$E$7)))</f>
        <v/>
      </c>
      <c r="J1195" s="0" t="str">
        <f aca="false">IF(I1195="","",IF(H1195-1&lt;הגדרות!$E$8*(הגדרות!$E$7+1),MOD(H1195-1,הגדרות!$E$7+1),MOD(H1195-1-הגדרות!$E$8*(הגדרות!$E$7+1),הגדרות!$E$7)))</f>
        <v/>
      </c>
      <c r="K1195" s="0" t="str">
        <f aca="false">IF(I1195="","",J1195*הגדרות!$E$6+I1195+1)</f>
        <v/>
      </c>
      <c r="L1195" s="0" t="str">
        <f aca="false">IF(K1195="","",MATCH(K1195,$F$2:$F$5001,0))</f>
        <v/>
      </c>
      <c r="M1195" s="0" t="str">
        <f aca="false">IF(I1195="","",INDEX(הגדרות!$A$2:$A$21,MOD(I1195+הגדרות!$E$9,הגדרות!$E$6)+1))</f>
        <v/>
      </c>
    </row>
    <row r="1196" customFormat="false" ht="15" hidden="false" customHeight="false" outlineLevel="0" collapsed="false">
      <c r="A1196" s="0" t="str">
        <f aca="false">IF('הדבקת לידים'!A1196="","",IF(ISNUMBER('הדבקת לידים'!A1196),IF(הגדרות!$E$2&gt;0,TEXT('הדבקת לידים'!A1196,REPT("0",הגדרות!$E$2)),TEXT('הדבקת לידים'!A1196,"0")),TRIM('הדבקת לידים'!A1196)))</f>
        <v/>
      </c>
      <c r="B1196" s="0" t="str">
        <f aca="false">IF('הדבקת לידים'!B1196="","",IF(ISNUMBER('הדבקת לידים'!B1196),IF(הגדרות!$E$3&gt;0,TEXT('הדבקת לידים'!B1196,REPT("0",הגדרות!$E$3)),TEXT('הדבקת לידים'!B1196,"0")),TRIM('הדבקת לידים'!B1196)))</f>
        <v/>
      </c>
      <c r="C1196" s="0" t="n">
        <f aca="false">IF(OR(A1196&lt;&gt;"",B1196&lt;&gt;""),1,0)</f>
        <v>0</v>
      </c>
      <c r="D1196" s="0" t="str">
        <f aca="false">IF(C1196=1,MOD(ABS(SIN(ROW()*12.9898+'הדבקת לידים'!$F$2*78.233+IFERROR(--RIGHT(A1196,6),LEN(A1196))*0.0137+IFERROR(--RIGHT(B1196,6),LEN(B1196))*0.0071))*43758.5453,1),"")</f>
        <v/>
      </c>
      <c r="E1196" s="0" t="str">
        <f aca="false">IF(C1196=1,INT(MOD(ABS(SIN(D1196*7919.123+ROW()*0.618+'הדבקת לידים'!$F$2*1.3))*43758.5453,1)*1000000)*10000+ROW(),"")</f>
        <v/>
      </c>
      <c r="F1196" s="0" t="str">
        <f aca="false">IF(E1196="","",RANK(E1196,$E$2:$E$5001,1))</f>
        <v/>
      </c>
      <c r="G1196" s="0" t="n">
        <f aca="false">IF(A1196="",0,IF(SUMPRODUCT(--($A$2:$A$5001=A1196))&gt;1,1,0))</f>
        <v>0</v>
      </c>
      <c r="H1196" s="0" t="n">
        <f aca="false">ROW()-1</f>
        <v>1195</v>
      </c>
      <c r="I1196" s="0" t="str">
        <f aca="false">IF(OR(הגדרות!$E$6=0,H1196&gt;הגדרות!$E$5),"",IF(H1196-1&lt;הגדרות!$E$8*(הגדרות!$E$7+1),INT((H1196-1)/(הגדרות!$E$7+1)),הגדרות!$E$8+INT((H1196-1-הגדרות!$E$8*(הגדרות!$E$7+1))/הגדרות!$E$7)))</f>
        <v/>
      </c>
      <c r="J1196" s="0" t="str">
        <f aca="false">IF(I1196="","",IF(H1196-1&lt;הגדרות!$E$8*(הגדרות!$E$7+1),MOD(H1196-1,הגדרות!$E$7+1),MOD(H1196-1-הגדרות!$E$8*(הגדרות!$E$7+1),הגדרות!$E$7)))</f>
        <v/>
      </c>
      <c r="K1196" s="0" t="str">
        <f aca="false">IF(I1196="","",J1196*הגדרות!$E$6+I1196+1)</f>
        <v/>
      </c>
      <c r="L1196" s="0" t="str">
        <f aca="false">IF(K1196="","",MATCH(K1196,$F$2:$F$5001,0))</f>
        <v/>
      </c>
      <c r="M1196" s="0" t="str">
        <f aca="false">IF(I1196="","",INDEX(הגדרות!$A$2:$A$21,MOD(I1196+הגדרות!$E$9,הגדרות!$E$6)+1))</f>
        <v/>
      </c>
    </row>
    <row r="1197" customFormat="false" ht="15" hidden="false" customHeight="false" outlineLevel="0" collapsed="false">
      <c r="A1197" s="0" t="str">
        <f aca="false">IF('הדבקת לידים'!A1197="","",IF(ISNUMBER('הדבקת לידים'!A1197),IF(הגדרות!$E$2&gt;0,TEXT('הדבקת לידים'!A1197,REPT("0",הגדרות!$E$2)),TEXT('הדבקת לידים'!A1197,"0")),TRIM('הדבקת לידים'!A1197)))</f>
        <v/>
      </c>
      <c r="B1197" s="0" t="str">
        <f aca="false">IF('הדבקת לידים'!B1197="","",IF(ISNUMBER('הדבקת לידים'!B1197),IF(הגדרות!$E$3&gt;0,TEXT('הדבקת לידים'!B1197,REPT("0",הגדרות!$E$3)),TEXT('הדבקת לידים'!B1197,"0")),TRIM('הדבקת לידים'!B1197)))</f>
        <v/>
      </c>
      <c r="C1197" s="0" t="n">
        <f aca="false">IF(OR(A1197&lt;&gt;"",B1197&lt;&gt;""),1,0)</f>
        <v>0</v>
      </c>
      <c r="D1197" s="0" t="str">
        <f aca="false">IF(C1197=1,MOD(ABS(SIN(ROW()*12.9898+'הדבקת לידים'!$F$2*78.233+IFERROR(--RIGHT(A1197,6),LEN(A1197))*0.0137+IFERROR(--RIGHT(B1197,6),LEN(B1197))*0.0071))*43758.5453,1),"")</f>
        <v/>
      </c>
      <c r="E1197" s="0" t="str">
        <f aca="false">IF(C1197=1,INT(MOD(ABS(SIN(D1197*7919.123+ROW()*0.618+'הדבקת לידים'!$F$2*1.3))*43758.5453,1)*1000000)*10000+ROW(),"")</f>
        <v/>
      </c>
      <c r="F1197" s="0" t="str">
        <f aca="false">IF(E1197="","",RANK(E1197,$E$2:$E$5001,1))</f>
        <v/>
      </c>
      <c r="G1197" s="0" t="n">
        <f aca="false">IF(A1197="",0,IF(SUMPRODUCT(--($A$2:$A$5001=A1197))&gt;1,1,0))</f>
        <v>0</v>
      </c>
      <c r="H1197" s="0" t="n">
        <f aca="false">ROW()-1</f>
        <v>1196</v>
      </c>
      <c r="I1197" s="0" t="str">
        <f aca="false">IF(OR(הגדרות!$E$6=0,H1197&gt;הגדרות!$E$5),"",IF(H1197-1&lt;הגדרות!$E$8*(הגדרות!$E$7+1),INT((H1197-1)/(הגדרות!$E$7+1)),הגדרות!$E$8+INT((H1197-1-הגדרות!$E$8*(הגדרות!$E$7+1))/הגדרות!$E$7)))</f>
        <v/>
      </c>
      <c r="J1197" s="0" t="str">
        <f aca="false">IF(I1197="","",IF(H1197-1&lt;הגדרות!$E$8*(הגדרות!$E$7+1),MOD(H1197-1,הגדרות!$E$7+1),MOD(H1197-1-הגדרות!$E$8*(הגדרות!$E$7+1),הגדרות!$E$7)))</f>
        <v/>
      </c>
      <c r="K1197" s="0" t="str">
        <f aca="false">IF(I1197="","",J1197*הגדרות!$E$6+I1197+1)</f>
        <v/>
      </c>
      <c r="L1197" s="0" t="str">
        <f aca="false">IF(K1197="","",MATCH(K1197,$F$2:$F$5001,0))</f>
        <v/>
      </c>
      <c r="M1197" s="0" t="str">
        <f aca="false">IF(I1197="","",INDEX(הגדרות!$A$2:$A$21,MOD(I1197+הגדרות!$E$9,הגדרות!$E$6)+1))</f>
        <v/>
      </c>
    </row>
    <row r="1198" customFormat="false" ht="15" hidden="false" customHeight="false" outlineLevel="0" collapsed="false">
      <c r="A1198" s="0" t="str">
        <f aca="false">IF('הדבקת לידים'!A1198="","",IF(ISNUMBER('הדבקת לידים'!A1198),IF(הגדרות!$E$2&gt;0,TEXT('הדבקת לידים'!A1198,REPT("0",הגדרות!$E$2)),TEXT('הדבקת לידים'!A1198,"0")),TRIM('הדבקת לידים'!A1198)))</f>
        <v/>
      </c>
      <c r="B1198" s="0" t="str">
        <f aca="false">IF('הדבקת לידים'!B1198="","",IF(ISNUMBER('הדבקת לידים'!B1198),IF(הגדרות!$E$3&gt;0,TEXT('הדבקת לידים'!B1198,REPT("0",הגדרות!$E$3)),TEXT('הדבקת לידים'!B1198,"0")),TRIM('הדבקת לידים'!B1198)))</f>
        <v/>
      </c>
      <c r="C1198" s="0" t="n">
        <f aca="false">IF(OR(A1198&lt;&gt;"",B1198&lt;&gt;""),1,0)</f>
        <v>0</v>
      </c>
      <c r="D1198" s="0" t="str">
        <f aca="false">IF(C1198=1,MOD(ABS(SIN(ROW()*12.9898+'הדבקת לידים'!$F$2*78.233+IFERROR(--RIGHT(A1198,6),LEN(A1198))*0.0137+IFERROR(--RIGHT(B1198,6),LEN(B1198))*0.0071))*43758.5453,1),"")</f>
        <v/>
      </c>
      <c r="E1198" s="0" t="str">
        <f aca="false">IF(C1198=1,INT(MOD(ABS(SIN(D1198*7919.123+ROW()*0.618+'הדבקת לידים'!$F$2*1.3))*43758.5453,1)*1000000)*10000+ROW(),"")</f>
        <v/>
      </c>
      <c r="F1198" s="0" t="str">
        <f aca="false">IF(E1198="","",RANK(E1198,$E$2:$E$5001,1))</f>
        <v/>
      </c>
      <c r="G1198" s="0" t="n">
        <f aca="false">IF(A1198="",0,IF(SUMPRODUCT(--($A$2:$A$5001=A1198))&gt;1,1,0))</f>
        <v>0</v>
      </c>
      <c r="H1198" s="0" t="n">
        <f aca="false">ROW()-1</f>
        <v>1197</v>
      </c>
      <c r="I1198" s="0" t="str">
        <f aca="false">IF(OR(הגדרות!$E$6=0,H1198&gt;הגדרות!$E$5),"",IF(H1198-1&lt;הגדרות!$E$8*(הגדרות!$E$7+1),INT((H1198-1)/(הגדרות!$E$7+1)),הגדרות!$E$8+INT((H1198-1-הגדרות!$E$8*(הגדרות!$E$7+1))/הגדרות!$E$7)))</f>
        <v/>
      </c>
      <c r="J1198" s="0" t="str">
        <f aca="false">IF(I1198="","",IF(H1198-1&lt;הגדרות!$E$8*(הגדרות!$E$7+1),MOD(H1198-1,הגדרות!$E$7+1),MOD(H1198-1-הגדרות!$E$8*(הגדרות!$E$7+1),הגדרות!$E$7)))</f>
        <v/>
      </c>
      <c r="K1198" s="0" t="str">
        <f aca="false">IF(I1198="","",J1198*הגדרות!$E$6+I1198+1)</f>
        <v/>
      </c>
      <c r="L1198" s="0" t="str">
        <f aca="false">IF(K1198="","",MATCH(K1198,$F$2:$F$5001,0))</f>
        <v/>
      </c>
      <c r="M1198" s="0" t="str">
        <f aca="false">IF(I1198="","",INDEX(הגדרות!$A$2:$A$21,MOD(I1198+הגדרות!$E$9,הגדרות!$E$6)+1))</f>
        <v/>
      </c>
    </row>
    <row r="1199" customFormat="false" ht="15" hidden="false" customHeight="false" outlineLevel="0" collapsed="false">
      <c r="A1199" s="0" t="str">
        <f aca="false">IF('הדבקת לידים'!A1199="","",IF(ISNUMBER('הדבקת לידים'!A1199),IF(הגדרות!$E$2&gt;0,TEXT('הדבקת לידים'!A1199,REPT("0",הגדרות!$E$2)),TEXT('הדבקת לידים'!A1199,"0")),TRIM('הדבקת לידים'!A1199)))</f>
        <v/>
      </c>
      <c r="B1199" s="0" t="str">
        <f aca="false">IF('הדבקת לידים'!B1199="","",IF(ISNUMBER('הדבקת לידים'!B1199),IF(הגדרות!$E$3&gt;0,TEXT('הדבקת לידים'!B1199,REPT("0",הגדרות!$E$3)),TEXT('הדבקת לידים'!B1199,"0")),TRIM('הדבקת לידים'!B1199)))</f>
        <v/>
      </c>
      <c r="C1199" s="0" t="n">
        <f aca="false">IF(OR(A1199&lt;&gt;"",B1199&lt;&gt;""),1,0)</f>
        <v>0</v>
      </c>
      <c r="D1199" s="0" t="str">
        <f aca="false">IF(C1199=1,MOD(ABS(SIN(ROW()*12.9898+'הדבקת לידים'!$F$2*78.233+IFERROR(--RIGHT(A1199,6),LEN(A1199))*0.0137+IFERROR(--RIGHT(B1199,6),LEN(B1199))*0.0071))*43758.5453,1),"")</f>
        <v/>
      </c>
      <c r="E1199" s="0" t="str">
        <f aca="false">IF(C1199=1,INT(MOD(ABS(SIN(D1199*7919.123+ROW()*0.618+'הדבקת לידים'!$F$2*1.3))*43758.5453,1)*1000000)*10000+ROW(),"")</f>
        <v/>
      </c>
      <c r="F1199" s="0" t="str">
        <f aca="false">IF(E1199="","",RANK(E1199,$E$2:$E$5001,1))</f>
        <v/>
      </c>
      <c r="G1199" s="0" t="n">
        <f aca="false">IF(A1199="",0,IF(SUMPRODUCT(--($A$2:$A$5001=A1199))&gt;1,1,0))</f>
        <v>0</v>
      </c>
      <c r="H1199" s="0" t="n">
        <f aca="false">ROW()-1</f>
        <v>1198</v>
      </c>
      <c r="I1199" s="0" t="str">
        <f aca="false">IF(OR(הגדרות!$E$6=0,H1199&gt;הגדרות!$E$5),"",IF(H1199-1&lt;הגדרות!$E$8*(הגדרות!$E$7+1),INT((H1199-1)/(הגדרות!$E$7+1)),הגדרות!$E$8+INT((H1199-1-הגדרות!$E$8*(הגדרות!$E$7+1))/הגדרות!$E$7)))</f>
        <v/>
      </c>
      <c r="J1199" s="0" t="str">
        <f aca="false">IF(I1199="","",IF(H1199-1&lt;הגדרות!$E$8*(הגדרות!$E$7+1),MOD(H1199-1,הגדרות!$E$7+1),MOD(H1199-1-הגדרות!$E$8*(הגדרות!$E$7+1),הגדרות!$E$7)))</f>
        <v/>
      </c>
      <c r="K1199" s="0" t="str">
        <f aca="false">IF(I1199="","",J1199*הגדרות!$E$6+I1199+1)</f>
        <v/>
      </c>
      <c r="L1199" s="0" t="str">
        <f aca="false">IF(K1199="","",MATCH(K1199,$F$2:$F$5001,0))</f>
        <v/>
      </c>
      <c r="M1199" s="0" t="str">
        <f aca="false">IF(I1199="","",INDEX(הגדרות!$A$2:$A$21,MOD(I1199+הגדרות!$E$9,הגדרות!$E$6)+1))</f>
        <v/>
      </c>
    </row>
    <row r="1200" customFormat="false" ht="15" hidden="false" customHeight="false" outlineLevel="0" collapsed="false">
      <c r="A1200" s="0" t="str">
        <f aca="false">IF('הדבקת לידים'!A1200="","",IF(ISNUMBER('הדבקת לידים'!A1200),IF(הגדרות!$E$2&gt;0,TEXT('הדבקת לידים'!A1200,REPT("0",הגדרות!$E$2)),TEXT('הדבקת לידים'!A1200,"0")),TRIM('הדבקת לידים'!A1200)))</f>
        <v/>
      </c>
      <c r="B1200" s="0" t="str">
        <f aca="false">IF('הדבקת לידים'!B1200="","",IF(ISNUMBER('הדבקת לידים'!B1200),IF(הגדרות!$E$3&gt;0,TEXT('הדבקת לידים'!B1200,REPT("0",הגדרות!$E$3)),TEXT('הדבקת לידים'!B1200,"0")),TRIM('הדבקת לידים'!B1200)))</f>
        <v/>
      </c>
      <c r="C1200" s="0" t="n">
        <f aca="false">IF(OR(A1200&lt;&gt;"",B1200&lt;&gt;""),1,0)</f>
        <v>0</v>
      </c>
      <c r="D1200" s="0" t="str">
        <f aca="false">IF(C1200=1,MOD(ABS(SIN(ROW()*12.9898+'הדבקת לידים'!$F$2*78.233+IFERROR(--RIGHT(A1200,6),LEN(A1200))*0.0137+IFERROR(--RIGHT(B1200,6),LEN(B1200))*0.0071))*43758.5453,1),"")</f>
        <v/>
      </c>
      <c r="E1200" s="0" t="str">
        <f aca="false">IF(C1200=1,INT(MOD(ABS(SIN(D1200*7919.123+ROW()*0.618+'הדבקת לידים'!$F$2*1.3))*43758.5453,1)*1000000)*10000+ROW(),"")</f>
        <v/>
      </c>
      <c r="F1200" s="0" t="str">
        <f aca="false">IF(E1200="","",RANK(E1200,$E$2:$E$5001,1))</f>
        <v/>
      </c>
      <c r="G1200" s="0" t="n">
        <f aca="false">IF(A1200="",0,IF(SUMPRODUCT(--($A$2:$A$5001=A1200))&gt;1,1,0))</f>
        <v>0</v>
      </c>
      <c r="H1200" s="0" t="n">
        <f aca="false">ROW()-1</f>
        <v>1199</v>
      </c>
      <c r="I1200" s="0" t="str">
        <f aca="false">IF(OR(הגדרות!$E$6=0,H1200&gt;הגדרות!$E$5),"",IF(H1200-1&lt;הגדרות!$E$8*(הגדרות!$E$7+1),INT((H1200-1)/(הגדרות!$E$7+1)),הגדרות!$E$8+INT((H1200-1-הגדרות!$E$8*(הגדרות!$E$7+1))/הגדרות!$E$7)))</f>
        <v/>
      </c>
      <c r="J1200" s="0" t="str">
        <f aca="false">IF(I1200="","",IF(H1200-1&lt;הגדרות!$E$8*(הגדרות!$E$7+1),MOD(H1200-1,הגדרות!$E$7+1),MOD(H1200-1-הגדרות!$E$8*(הגדרות!$E$7+1),הגדרות!$E$7)))</f>
        <v/>
      </c>
      <c r="K1200" s="0" t="str">
        <f aca="false">IF(I1200="","",J1200*הגדרות!$E$6+I1200+1)</f>
        <v/>
      </c>
      <c r="L1200" s="0" t="str">
        <f aca="false">IF(K1200="","",MATCH(K1200,$F$2:$F$5001,0))</f>
        <v/>
      </c>
      <c r="M1200" s="0" t="str">
        <f aca="false">IF(I1200="","",INDEX(הגדרות!$A$2:$A$21,MOD(I1200+הגדרות!$E$9,הגדרות!$E$6)+1))</f>
        <v/>
      </c>
    </row>
    <row r="1201" customFormat="false" ht="15" hidden="false" customHeight="false" outlineLevel="0" collapsed="false">
      <c r="A1201" s="0" t="str">
        <f aca="false">IF('הדבקת לידים'!A1201="","",IF(ISNUMBER('הדבקת לידים'!A1201),IF(הגדרות!$E$2&gt;0,TEXT('הדבקת לידים'!A1201,REPT("0",הגדרות!$E$2)),TEXT('הדבקת לידים'!A1201,"0")),TRIM('הדבקת לידים'!A1201)))</f>
        <v/>
      </c>
      <c r="B1201" s="0" t="str">
        <f aca="false">IF('הדבקת לידים'!B1201="","",IF(ISNUMBER('הדבקת לידים'!B1201),IF(הגדרות!$E$3&gt;0,TEXT('הדבקת לידים'!B1201,REPT("0",הגדרות!$E$3)),TEXT('הדבקת לידים'!B1201,"0")),TRIM('הדבקת לידים'!B1201)))</f>
        <v/>
      </c>
      <c r="C1201" s="0" t="n">
        <f aca="false">IF(OR(A1201&lt;&gt;"",B1201&lt;&gt;""),1,0)</f>
        <v>0</v>
      </c>
      <c r="D1201" s="0" t="str">
        <f aca="false">IF(C1201=1,MOD(ABS(SIN(ROW()*12.9898+'הדבקת לידים'!$F$2*78.233+IFERROR(--RIGHT(A1201,6),LEN(A1201))*0.0137+IFERROR(--RIGHT(B1201,6),LEN(B1201))*0.0071))*43758.5453,1),"")</f>
        <v/>
      </c>
      <c r="E1201" s="0" t="str">
        <f aca="false">IF(C1201=1,INT(MOD(ABS(SIN(D1201*7919.123+ROW()*0.618+'הדבקת לידים'!$F$2*1.3))*43758.5453,1)*1000000)*10000+ROW(),"")</f>
        <v/>
      </c>
      <c r="F1201" s="0" t="str">
        <f aca="false">IF(E1201="","",RANK(E1201,$E$2:$E$5001,1))</f>
        <v/>
      </c>
      <c r="G1201" s="0" t="n">
        <f aca="false">IF(A1201="",0,IF(SUMPRODUCT(--($A$2:$A$5001=A1201))&gt;1,1,0))</f>
        <v>0</v>
      </c>
      <c r="H1201" s="0" t="n">
        <f aca="false">ROW()-1</f>
        <v>1200</v>
      </c>
      <c r="I1201" s="0" t="str">
        <f aca="false">IF(OR(הגדרות!$E$6=0,H1201&gt;הגדרות!$E$5),"",IF(H1201-1&lt;הגדרות!$E$8*(הגדרות!$E$7+1),INT((H1201-1)/(הגדרות!$E$7+1)),הגדרות!$E$8+INT((H1201-1-הגדרות!$E$8*(הגדרות!$E$7+1))/הגדרות!$E$7)))</f>
        <v/>
      </c>
      <c r="J1201" s="0" t="str">
        <f aca="false">IF(I1201="","",IF(H1201-1&lt;הגדרות!$E$8*(הגדרות!$E$7+1),MOD(H1201-1,הגדרות!$E$7+1),MOD(H1201-1-הגדרות!$E$8*(הגדרות!$E$7+1),הגדרות!$E$7)))</f>
        <v/>
      </c>
      <c r="K1201" s="0" t="str">
        <f aca="false">IF(I1201="","",J1201*הגדרות!$E$6+I1201+1)</f>
        <v/>
      </c>
      <c r="L1201" s="0" t="str">
        <f aca="false">IF(K1201="","",MATCH(K1201,$F$2:$F$5001,0))</f>
        <v/>
      </c>
      <c r="M1201" s="0" t="str">
        <f aca="false">IF(I1201="","",INDEX(הגדרות!$A$2:$A$21,MOD(I1201+הגדרות!$E$9,הגדרות!$E$6)+1))</f>
        <v/>
      </c>
    </row>
    <row r="1202" customFormat="false" ht="15" hidden="false" customHeight="false" outlineLevel="0" collapsed="false">
      <c r="A1202" s="0" t="str">
        <f aca="false">IF('הדבקת לידים'!A1202="","",IF(ISNUMBER('הדבקת לידים'!A1202),IF(הגדרות!$E$2&gt;0,TEXT('הדבקת לידים'!A1202,REPT("0",הגדרות!$E$2)),TEXT('הדבקת לידים'!A1202,"0")),TRIM('הדבקת לידים'!A1202)))</f>
        <v/>
      </c>
      <c r="B1202" s="0" t="str">
        <f aca="false">IF('הדבקת לידים'!B1202="","",IF(ISNUMBER('הדבקת לידים'!B1202),IF(הגדרות!$E$3&gt;0,TEXT('הדבקת לידים'!B1202,REPT("0",הגדרות!$E$3)),TEXT('הדבקת לידים'!B1202,"0")),TRIM('הדבקת לידים'!B1202)))</f>
        <v/>
      </c>
      <c r="C1202" s="0" t="n">
        <f aca="false">IF(OR(A1202&lt;&gt;"",B1202&lt;&gt;""),1,0)</f>
        <v>0</v>
      </c>
      <c r="D1202" s="0" t="str">
        <f aca="false">IF(C1202=1,MOD(ABS(SIN(ROW()*12.9898+'הדבקת לידים'!$F$2*78.233+IFERROR(--RIGHT(A1202,6),LEN(A1202))*0.0137+IFERROR(--RIGHT(B1202,6),LEN(B1202))*0.0071))*43758.5453,1),"")</f>
        <v/>
      </c>
      <c r="E1202" s="0" t="str">
        <f aca="false">IF(C1202=1,INT(MOD(ABS(SIN(D1202*7919.123+ROW()*0.618+'הדבקת לידים'!$F$2*1.3))*43758.5453,1)*1000000)*10000+ROW(),"")</f>
        <v/>
      </c>
      <c r="F1202" s="0" t="str">
        <f aca="false">IF(E1202="","",RANK(E1202,$E$2:$E$5001,1))</f>
        <v/>
      </c>
      <c r="G1202" s="0" t="n">
        <f aca="false">IF(A1202="",0,IF(SUMPRODUCT(--($A$2:$A$5001=A1202))&gt;1,1,0))</f>
        <v>0</v>
      </c>
      <c r="H1202" s="0" t="n">
        <f aca="false">ROW()-1</f>
        <v>1201</v>
      </c>
      <c r="I1202" s="0" t="str">
        <f aca="false">IF(OR(הגדרות!$E$6=0,H1202&gt;הגדרות!$E$5),"",IF(H1202-1&lt;הגדרות!$E$8*(הגדרות!$E$7+1),INT((H1202-1)/(הגדרות!$E$7+1)),הגדרות!$E$8+INT((H1202-1-הגדרות!$E$8*(הגדרות!$E$7+1))/הגדרות!$E$7)))</f>
        <v/>
      </c>
      <c r="J1202" s="0" t="str">
        <f aca="false">IF(I1202="","",IF(H1202-1&lt;הגדרות!$E$8*(הגדרות!$E$7+1),MOD(H1202-1,הגדרות!$E$7+1),MOD(H1202-1-הגדרות!$E$8*(הגדרות!$E$7+1),הגדרות!$E$7)))</f>
        <v/>
      </c>
      <c r="K1202" s="0" t="str">
        <f aca="false">IF(I1202="","",J1202*הגדרות!$E$6+I1202+1)</f>
        <v/>
      </c>
      <c r="L1202" s="0" t="str">
        <f aca="false">IF(K1202="","",MATCH(K1202,$F$2:$F$5001,0))</f>
        <v/>
      </c>
      <c r="M1202" s="0" t="str">
        <f aca="false">IF(I1202="","",INDEX(הגדרות!$A$2:$A$21,MOD(I1202+הגדרות!$E$9,הגדרות!$E$6)+1))</f>
        <v/>
      </c>
    </row>
    <row r="1203" customFormat="false" ht="15" hidden="false" customHeight="false" outlineLevel="0" collapsed="false">
      <c r="A1203" s="0" t="str">
        <f aca="false">IF('הדבקת לידים'!A1203="","",IF(ISNUMBER('הדבקת לידים'!A1203),IF(הגדרות!$E$2&gt;0,TEXT('הדבקת לידים'!A1203,REPT("0",הגדרות!$E$2)),TEXT('הדבקת לידים'!A1203,"0")),TRIM('הדבקת לידים'!A1203)))</f>
        <v/>
      </c>
      <c r="B1203" s="0" t="str">
        <f aca="false">IF('הדבקת לידים'!B1203="","",IF(ISNUMBER('הדבקת לידים'!B1203),IF(הגדרות!$E$3&gt;0,TEXT('הדבקת לידים'!B1203,REPT("0",הגדרות!$E$3)),TEXT('הדבקת לידים'!B1203,"0")),TRIM('הדבקת לידים'!B1203)))</f>
        <v/>
      </c>
      <c r="C1203" s="0" t="n">
        <f aca="false">IF(OR(A1203&lt;&gt;"",B1203&lt;&gt;""),1,0)</f>
        <v>0</v>
      </c>
      <c r="D1203" s="0" t="str">
        <f aca="false">IF(C1203=1,MOD(ABS(SIN(ROW()*12.9898+'הדבקת לידים'!$F$2*78.233+IFERROR(--RIGHT(A1203,6),LEN(A1203))*0.0137+IFERROR(--RIGHT(B1203,6),LEN(B1203))*0.0071))*43758.5453,1),"")</f>
        <v/>
      </c>
      <c r="E1203" s="0" t="str">
        <f aca="false">IF(C1203=1,INT(MOD(ABS(SIN(D1203*7919.123+ROW()*0.618+'הדבקת לידים'!$F$2*1.3))*43758.5453,1)*1000000)*10000+ROW(),"")</f>
        <v/>
      </c>
      <c r="F1203" s="0" t="str">
        <f aca="false">IF(E1203="","",RANK(E1203,$E$2:$E$5001,1))</f>
        <v/>
      </c>
      <c r="G1203" s="0" t="n">
        <f aca="false">IF(A1203="",0,IF(SUMPRODUCT(--($A$2:$A$5001=A1203))&gt;1,1,0))</f>
        <v>0</v>
      </c>
      <c r="H1203" s="0" t="n">
        <f aca="false">ROW()-1</f>
        <v>1202</v>
      </c>
      <c r="I1203" s="0" t="str">
        <f aca="false">IF(OR(הגדרות!$E$6=0,H1203&gt;הגדרות!$E$5),"",IF(H1203-1&lt;הגדרות!$E$8*(הגדרות!$E$7+1),INT((H1203-1)/(הגדרות!$E$7+1)),הגדרות!$E$8+INT((H1203-1-הגדרות!$E$8*(הגדרות!$E$7+1))/הגדרות!$E$7)))</f>
        <v/>
      </c>
      <c r="J1203" s="0" t="str">
        <f aca="false">IF(I1203="","",IF(H1203-1&lt;הגדרות!$E$8*(הגדרות!$E$7+1),MOD(H1203-1,הגדרות!$E$7+1),MOD(H1203-1-הגדרות!$E$8*(הגדרות!$E$7+1),הגדרות!$E$7)))</f>
        <v/>
      </c>
      <c r="K1203" s="0" t="str">
        <f aca="false">IF(I1203="","",J1203*הגדרות!$E$6+I1203+1)</f>
        <v/>
      </c>
      <c r="L1203" s="0" t="str">
        <f aca="false">IF(K1203="","",MATCH(K1203,$F$2:$F$5001,0))</f>
        <v/>
      </c>
      <c r="M1203" s="0" t="str">
        <f aca="false">IF(I1203="","",INDEX(הגדרות!$A$2:$A$21,MOD(I1203+הגדרות!$E$9,הגדרות!$E$6)+1))</f>
        <v/>
      </c>
    </row>
    <row r="1204" customFormat="false" ht="15" hidden="false" customHeight="false" outlineLevel="0" collapsed="false">
      <c r="A1204" s="0" t="str">
        <f aca="false">IF('הדבקת לידים'!A1204="","",IF(ISNUMBER('הדבקת לידים'!A1204),IF(הגדרות!$E$2&gt;0,TEXT('הדבקת לידים'!A1204,REPT("0",הגדרות!$E$2)),TEXT('הדבקת לידים'!A1204,"0")),TRIM('הדבקת לידים'!A1204)))</f>
        <v/>
      </c>
      <c r="B1204" s="0" t="str">
        <f aca="false">IF('הדבקת לידים'!B1204="","",IF(ISNUMBER('הדבקת לידים'!B1204),IF(הגדרות!$E$3&gt;0,TEXT('הדבקת לידים'!B1204,REPT("0",הגדרות!$E$3)),TEXT('הדבקת לידים'!B1204,"0")),TRIM('הדבקת לידים'!B1204)))</f>
        <v/>
      </c>
      <c r="C1204" s="0" t="n">
        <f aca="false">IF(OR(A1204&lt;&gt;"",B1204&lt;&gt;""),1,0)</f>
        <v>0</v>
      </c>
      <c r="D1204" s="0" t="str">
        <f aca="false">IF(C1204=1,MOD(ABS(SIN(ROW()*12.9898+'הדבקת לידים'!$F$2*78.233+IFERROR(--RIGHT(A1204,6),LEN(A1204))*0.0137+IFERROR(--RIGHT(B1204,6),LEN(B1204))*0.0071))*43758.5453,1),"")</f>
        <v/>
      </c>
      <c r="E1204" s="0" t="str">
        <f aca="false">IF(C1204=1,INT(MOD(ABS(SIN(D1204*7919.123+ROW()*0.618+'הדבקת לידים'!$F$2*1.3))*43758.5453,1)*1000000)*10000+ROW(),"")</f>
        <v/>
      </c>
      <c r="F1204" s="0" t="str">
        <f aca="false">IF(E1204="","",RANK(E1204,$E$2:$E$5001,1))</f>
        <v/>
      </c>
      <c r="G1204" s="0" t="n">
        <f aca="false">IF(A1204="",0,IF(SUMPRODUCT(--($A$2:$A$5001=A1204))&gt;1,1,0))</f>
        <v>0</v>
      </c>
      <c r="H1204" s="0" t="n">
        <f aca="false">ROW()-1</f>
        <v>1203</v>
      </c>
      <c r="I1204" s="0" t="str">
        <f aca="false">IF(OR(הגדרות!$E$6=0,H1204&gt;הגדרות!$E$5),"",IF(H1204-1&lt;הגדרות!$E$8*(הגדרות!$E$7+1),INT((H1204-1)/(הגדרות!$E$7+1)),הגדרות!$E$8+INT((H1204-1-הגדרות!$E$8*(הגדרות!$E$7+1))/הגדרות!$E$7)))</f>
        <v/>
      </c>
      <c r="J1204" s="0" t="str">
        <f aca="false">IF(I1204="","",IF(H1204-1&lt;הגדרות!$E$8*(הגדרות!$E$7+1),MOD(H1204-1,הגדרות!$E$7+1),MOD(H1204-1-הגדרות!$E$8*(הגדרות!$E$7+1),הגדרות!$E$7)))</f>
        <v/>
      </c>
      <c r="K1204" s="0" t="str">
        <f aca="false">IF(I1204="","",J1204*הגדרות!$E$6+I1204+1)</f>
        <v/>
      </c>
      <c r="L1204" s="0" t="str">
        <f aca="false">IF(K1204="","",MATCH(K1204,$F$2:$F$5001,0))</f>
        <v/>
      </c>
      <c r="M1204" s="0" t="str">
        <f aca="false">IF(I1204="","",INDEX(הגדרות!$A$2:$A$21,MOD(I1204+הגדרות!$E$9,הגדרות!$E$6)+1))</f>
        <v/>
      </c>
    </row>
    <row r="1205" customFormat="false" ht="15" hidden="false" customHeight="false" outlineLevel="0" collapsed="false">
      <c r="A1205" s="0" t="str">
        <f aca="false">IF('הדבקת לידים'!A1205="","",IF(ISNUMBER('הדבקת לידים'!A1205),IF(הגדרות!$E$2&gt;0,TEXT('הדבקת לידים'!A1205,REPT("0",הגדרות!$E$2)),TEXT('הדבקת לידים'!A1205,"0")),TRIM('הדבקת לידים'!A1205)))</f>
        <v/>
      </c>
      <c r="B1205" s="0" t="str">
        <f aca="false">IF('הדבקת לידים'!B1205="","",IF(ISNUMBER('הדבקת לידים'!B1205),IF(הגדרות!$E$3&gt;0,TEXT('הדבקת לידים'!B1205,REPT("0",הגדרות!$E$3)),TEXT('הדבקת לידים'!B1205,"0")),TRIM('הדבקת לידים'!B1205)))</f>
        <v/>
      </c>
      <c r="C1205" s="0" t="n">
        <f aca="false">IF(OR(A1205&lt;&gt;"",B1205&lt;&gt;""),1,0)</f>
        <v>0</v>
      </c>
      <c r="D1205" s="0" t="str">
        <f aca="false">IF(C1205=1,MOD(ABS(SIN(ROW()*12.9898+'הדבקת לידים'!$F$2*78.233+IFERROR(--RIGHT(A1205,6),LEN(A1205))*0.0137+IFERROR(--RIGHT(B1205,6),LEN(B1205))*0.0071))*43758.5453,1),"")</f>
        <v/>
      </c>
      <c r="E1205" s="0" t="str">
        <f aca="false">IF(C1205=1,INT(MOD(ABS(SIN(D1205*7919.123+ROW()*0.618+'הדבקת לידים'!$F$2*1.3))*43758.5453,1)*1000000)*10000+ROW(),"")</f>
        <v/>
      </c>
      <c r="F1205" s="0" t="str">
        <f aca="false">IF(E1205="","",RANK(E1205,$E$2:$E$5001,1))</f>
        <v/>
      </c>
      <c r="G1205" s="0" t="n">
        <f aca="false">IF(A1205="",0,IF(SUMPRODUCT(--($A$2:$A$5001=A1205))&gt;1,1,0))</f>
        <v>0</v>
      </c>
      <c r="H1205" s="0" t="n">
        <f aca="false">ROW()-1</f>
        <v>1204</v>
      </c>
      <c r="I1205" s="0" t="str">
        <f aca="false">IF(OR(הגדרות!$E$6=0,H1205&gt;הגדרות!$E$5),"",IF(H1205-1&lt;הגדרות!$E$8*(הגדרות!$E$7+1),INT((H1205-1)/(הגדרות!$E$7+1)),הגדרות!$E$8+INT((H1205-1-הגדרות!$E$8*(הגדרות!$E$7+1))/הגדרות!$E$7)))</f>
        <v/>
      </c>
      <c r="J1205" s="0" t="str">
        <f aca="false">IF(I1205="","",IF(H1205-1&lt;הגדרות!$E$8*(הגדרות!$E$7+1),MOD(H1205-1,הגדרות!$E$7+1),MOD(H1205-1-הגדרות!$E$8*(הגדרות!$E$7+1),הגדרות!$E$7)))</f>
        <v/>
      </c>
      <c r="K1205" s="0" t="str">
        <f aca="false">IF(I1205="","",J1205*הגדרות!$E$6+I1205+1)</f>
        <v/>
      </c>
      <c r="L1205" s="0" t="str">
        <f aca="false">IF(K1205="","",MATCH(K1205,$F$2:$F$5001,0))</f>
        <v/>
      </c>
      <c r="M1205" s="0" t="str">
        <f aca="false">IF(I1205="","",INDEX(הגדרות!$A$2:$A$21,MOD(I1205+הגדרות!$E$9,הגדרות!$E$6)+1))</f>
        <v/>
      </c>
    </row>
    <row r="1206" customFormat="false" ht="15" hidden="false" customHeight="false" outlineLevel="0" collapsed="false">
      <c r="A1206" s="0" t="str">
        <f aca="false">IF('הדבקת לידים'!A1206="","",IF(ISNUMBER('הדבקת לידים'!A1206),IF(הגדרות!$E$2&gt;0,TEXT('הדבקת לידים'!A1206,REPT("0",הגדרות!$E$2)),TEXT('הדבקת לידים'!A1206,"0")),TRIM('הדבקת לידים'!A1206)))</f>
        <v/>
      </c>
      <c r="B1206" s="0" t="str">
        <f aca="false">IF('הדבקת לידים'!B1206="","",IF(ISNUMBER('הדבקת לידים'!B1206),IF(הגדרות!$E$3&gt;0,TEXT('הדבקת לידים'!B1206,REPT("0",הגדרות!$E$3)),TEXT('הדבקת לידים'!B1206,"0")),TRIM('הדבקת לידים'!B1206)))</f>
        <v/>
      </c>
      <c r="C1206" s="0" t="n">
        <f aca="false">IF(OR(A1206&lt;&gt;"",B1206&lt;&gt;""),1,0)</f>
        <v>0</v>
      </c>
      <c r="D1206" s="0" t="str">
        <f aca="false">IF(C1206=1,MOD(ABS(SIN(ROW()*12.9898+'הדבקת לידים'!$F$2*78.233+IFERROR(--RIGHT(A1206,6),LEN(A1206))*0.0137+IFERROR(--RIGHT(B1206,6),LEN(B1206))*0.0071))*43758.5453,1),"")</f>
        <v/>
      </c>
      <c r="E1206" s="0" t="str">
        <f aca="false">IF(C1206=1,INT(MOD(ABS(SIN(D1206*7919.123+ROW()*0.618+'הדבקת לידים'!$F$2*1.3))*43758.5453,1)*1000000)*10000+ROW(),"")</f>
        <v/>
      </c>
      <c r="F1206" s="0" t="str">
        <f aca="false">IF(E1206="","",RANK(E1206,$E$2:$E$5001,1))</f>
        <v/>
      </c>
      <c r="G1206" s="0" t="n">
        <f aca="false">IF(A1206="",0,IF(SUMPRODUCT(--($A$2:$A$5001=A1206))&gt;1,1,0))</f>
        <v>0</v>
      </c>
      <c r="H1206" s="0" t="n">
        <f aca="false">ROW()-1</f>
        <v>1205</v>
      </c>
      <c r="I1206" s="0" t="str">
        <f aca="false">IF(OR(הגדרות!$E$6=0,H1206&gt;הגדרות!$E$5),"",IF(H1206-1&lt;הגדרות!$E$8*(הגדרות!$E$7+1),INT((H1206-1)/(הגדרות!$E$7+1)),הגדרות!$E$8+INT((H1206-1-הגדרות!$E$8*(הגדרות!$E$7+1))/הגדרות!$E$7)))</f>
        <v/>
      </c>
      <c r="J1206" s="0" t="str">
        <f aca="false">IF(I1206="","",IF(H1206-1&lt;הגדרות!$E$8*(הגדרות!$E$7+1),MOD(H1206-1,הגדרות!$E$7+1),MOD(H1206-1-הגדרות!$E$8*(הגדרות!$E$7+1),הגדרות!$E$7)))</f>
        <v/>
      </c>
      <c r="K1206" s="0" t="str">
        <f aca="false">IF(I1206="","",J1206*הגדרות!$E$6+I1206+1)</f>
        <v/>
      </c>
      <c r="L1206" s="0" t="str">
        <f aca="false">IF(K1206="","",MATCH(K1206,$F$2:$F$5001,0))</f>
        <v/>
      </c>
      <c r="M1206" s="0" t="str">
        <f aca="false">IF(I1206="","",INDEX(הגדרות!$A$2:$A$21,MOD(I1206+הגדרות!$E$9,הגדרות!$E$6)+1))</f>
        <v/>
      </c>
    </row>
    <row r="1207" customFormat="false" ht="15" hidden="false" customHeight="false" outlineLevel="0" collapsed="false">
      <c r="A1207" s="0" t="str">
        <f aca="false">IF('הדבקת לידים'!A1207="","",IF(ISNUMBER('הדבקת לידים'!A1207),IF(הגדרות!$E$2&gt;0,TEXT('הדבקת לידים'!A1207,REPT("0",הגדרות!$E$2)),TEXT('הדבקת לידים'!A1207,"0")),TRIM('הדבקת לידים'!A1207)))</f>
        <v/>
      </c>
      <c r="B1207" s="0" t="str">
        <f aca="false">IF('הדבקת לידים'!B1207="","",IF(ISNUMBER('הדבקת לידים'!B1207),IF(הגדרות!$E$3&gt;0,TEXT('הדבקת לידים'!B1207,REPT("0",הגדרות!$E$3)),TEXT('הדבקת לידים'!B1207,"0")),TRIM('הדבקת לידים'!B1207)))</f>
        <v/>
      </c>
      <c r="C1207" s="0" t="n">
        <f aca="false">IF(OR(A1207&lt;&gt;"",B1207&lt;&gt;""),1,0)</f>
        <v>0</v>
      </c>
      <c r="D1207" s="0" t="str">
        <f aca="false">IF(C1207=1,MOD(ABS(SIN(ROW()*12.9898+'הדבקת לידים'!$F$2*78.233+IFERROR(--RIGHT(A1207,6),LEN(A1207))*0.0137+IFERROR(--RIGHT(B1207,6),LEN(B1207))*0.0071))*43758.5453,1),"")</f>
        <v/>
      </c>
      <c r="E1207" s="0" t="str">
        <f aca="false">IF(C1207=1,INT(MOD(ABS(SIN(D1207*7919.123+ROW()*0.618+'הדבקת לידים'!$F$2*1.3))*43758.5453,1)*1000000)*10000+ROW(),"")</f>
        <v/>
      </c>
      <c r="F1207" s="0" t="str">
        <f aca="false">IF(E1207="","",RANK(E1207,$E$2:$E$5001,1))</f>
        <v/>
      </c>
      <c r="G1207" s="0" t="n">
        <f aca="false">IF(A1207="",0,IF(SUMPRODUCT(--($A$2:$A$5001=A1207))&gt;1,1,0))</f>
        <v>0</v>
      </c>
      <c r="H1207" s="0" t="n">
        <f aca="false">ROW()-1</f>
        <v>1206</v>
      </c>
      <c r="I1207" s="0" t="str">
        <f aca="false">IF(OR(הגדרות!$E$6=0,H1207&gt;הגדרות!$E$5),"",IF(H1207-1&lt;הגדרות!$E$8*(הגדרות!$E$7+1),INT((H1207-1)/(הגדרות!$E$7+1)),הגדרות!$E$8+INT((H1207-1-הגדרות!$E$8*(הגדרות!$E$7+1))/הגדרות!$E$7)))</f>
        <v/>
      </c>
      <c r="J1207" s="0" t="str">
        <f aca="false">IF(I1207="","",IF(H1207-1&lt;הגדרות!$E$8*(הגדרות!$E$7+1),MOD(H1207-1,הגדרות!$E$7+1),MOD(H1207-1-הגדרות!$E$8*(הגדרות!$E$7+1),הגדרות!$E$7)))</f>
        <v/>
      </c>
      <c r="K1207" s="0" t="str">
        <f aca="false">IF(I1207="","",J1207*הגדרות!$E$6+I1207+1)</f>
        <v/>
      </c>
      <c r="L1207" s="0" t="str">
        <f aca="false">IF(K1207="","",MATCH(K1207,$F$2:$F$5001,0))</f>
        <v/>
      </c>
      <c r="M1207" s="0" t="str">
        <f aca="false">IF(I1207="","",INDEX(הגדרות!$A$2:$A$21,MOD(I1207+הגדרות!$E$9,הגדרות!$E$6)+1))</f>
        <v/>
      </c>
    </row>
    <row r="1208" customFormat="false" ht="15" hidden="false" customHeight="false" outlineLevel="0" collapsed="false">
      <c r="A1208" s="0" t="str">
        <f aca="false">IF('הדבקת לידים'!A1208="","",IF(ISNUMBER('הדבקת לידים'!A1208),IF(הגדרות!$E$2&gt;0,TEXT('הדבקת לידים'!A1208,REPT("0",הגדרות!$E$2)),TEXT('הדבקת לידים'!A1208,"0")),TRIM('הדבקת לידים'!A1208)))</f>
        <v/>
      </c>
      <c r="B1208" s="0" t="str">
        <f aca="false">IF('הדבקת לידים'!B1208="","",IF(ISNUMBER('הדבקת לידים'!B1208),IF(הגדרות!$E$3&gt;0,TEXT('הדבקת לידים'!B1208,REPT("0",הגדרות!$E$3)),TEXT('הדבקת לידים'!B1208,"0")),TRIM('הדבקת לידים'!B1208)))</f>
        <v/>
      </c>
      <c r="C1208" s="0" t="n">
        <f aca="false">IF(OR(A1208&lt;&gt;"",B1208&lt;&gt;""),1,0)</f>
        <v>0</v>
      </c>
      <c r="D1208" s="0" t="str">
        <f aca="false">IF(C1208=1,MOD(ABS(SIN(ROW()*12.9898+'הדבקת לידים'!$F$2*78.233+IFERROR(--RIGHT(A1208,6),LEN(A1208))*0.0137+IFERROR(--RIGHT(B1208,6),LEN(B1208))*0.0071))*43758.5453,1),"")</f>
        <v/>
      </c>
      <c r="E1208" s="0" t="str">
        <f aca="false">IF(C1208=1,INT(MOD(ABS(SIN(D1208*7919.123+ROW()*0.618+'הדבקת לידים'!$F$2*1.3))*43758.5453,1)*1000000)*10000+ROW(),"")</f>
        <v/>
      </c>
      <c r="F1208" s="0" t="str">
        <f aca="false">IF(E1208="","",RANK(E1208,$E$2:$E$5001,1))</f>
        <v/>
      </c>
      <c r="G1208" s="0" t="n">
        <f aca="false">IF(A1208="",0,IF(SUMPRODUCT(--($A$2:$A$5001=A1208))&gt;1,1,0))</f>
        <v>0</v>
      </c>
      <c r="H1208" s="0" t="n">
        <f aca="false">ROW()-1</f>
        <v>1207</v>
      </c>
      <c r="I1208" s="0" t="str">
        <f aca="false">IF(OR(הגדרות!$E$6=0,H1208&gt;הגדרות!$E$5),"",IF(H1208-1&lt;הגדרות!$E$8*(הגדרות!$E$7+1),INT((H1208-1)/(הגדרות!$E$7+1)),הגדרות!$E$8+INT((H1208-1-הגדרות!$E$8*(הגדרות!$E$7+1))/הגדרות!$E$7)))</f>
        <v/>
      </c>
      <c r="J1208" s="0" t="str">
        <f aca="false">IF(I1208="","",IF(H1208-1&lt;הגדרות!$E$8*(הגדרות!$E$7+1),MOD(H1208-1,הגדרות!$E$7+1),MOD(H1208-1-הגדרות!$E$8*(הגדרות!$E$7+1),הגדרות!$E$7)))</f>
        <v/>
      </c>
      <c r="K1208" s="0" t="str">
        <f aca="false">IF(I1208="","",J1208*הגדרות!$E$6+I1208+1)</f>
        <v/>
      </c>
      <c r="L1208" s="0" t="str">
        <f aca="false">IF(K1208="","",MATCH(K1208,$F$2:$F$5001,0))</f>
        <v/>
      </c>
      <c r="M1208" s="0" t="str">
        <f aca="false">IF(I1208="","",INDEX(הגדרות!$A$2:$A$21,MOD(I1208+הגדרות!$E$9,הגדרות!$E$6)+1))</f>
        <v/>
      </c>
    </row>
    <row r="1209" customFormat="false" ht="15" hidden="false" customHeight="false" outlineLevel="0" collapsed="false">
      <c r="A1209" s="0" t="str">
        <f aca="false">IF('הדבקת לידים'!A1209="","",IF(ISNUMBER('הדבקת לידים'!A1209),IF(הגדרות!$E$2&gt;0,TEXT('הדבקת לידים'!A1209,REPT("0",הגדרות!$E$2)),TEXT('הדבקת לידים'!A1209,"0")),TRIM('הדבקת לידים'!A1209)))</f>
        <v/>
      </c>
      <c r="B1209" s="0" t="str">
        <f aca="false">IF('הדבקת לידים'!B1209="","",IF(ISNUMBER('הדבקת לידים'!B1209),IF(הגדרות!$E$3&gt;0,TEXT('הדבקת לידים'!B1209,REPT("0",הגדרות!$E$3)),TEXT('הדבקת לידים'!B1209,"0")),TRIM('הדבקת לידים'!B1209)))</f>
        <v/>
      </c>
      <c r="C1209" s="0" t="n">
        <f aca="false">IF(OR(A1209&lt;&gt;"",B1209&lt;&gt;""),1,0)</f>
        <v>0</v>
      </c>
      <c r="D1209" s="0" t="str">
        <f aca="false">IF(C1209=1,MOD(ABS(SIN(ROW()*12.9898+'הדבקת לידים'!$F$2*78.233+IFERROR(--RIGHT(A1209,6),LEN(A1209))*0.0137+IFERROR(--RIGHT(B1209,6),LEN(B1209))*0.0071))*43758.5453,1),"")</f>
        <v/>
      </c>
      <c r="E1209" s="0" t="str">
        <f aca="false">IF(C1209=1,INT(MOD(ABS(SIN(D1209*7919.123+ROW()*0.618+'הדבקת לידים'!$F$2*1.3))*43758.5453,1)*1000000)*10000+ROW(),"")</f>
        <v/>
      </c>
      <c r="F1209" s="0" t="str">
        <f aca="false">IF(E1209="","",RANK(E1209,$E$2:$E$5001,1))</f>
        <v/>
      </c>
      <c r="G1209" s="0" t="n">
        <f aca="false">IF(A1209="",0,IF(SUMPRODUCT(--($A$2:$A$5001=A1209))&gt;1,1,0))</f>
        <v>0</v>
      </c>
      <c r="H1209" s="0" t="n">
        <f aca="false">ROW()-1</f>
        <v>1208</v>
      </c>
      <c r="I1209" s="0" t="str">
        <f aca="false">IF(OR(הגדרות!$E$6=0,H1209&gt;הגדרות!$E$5),"",IF(H1209-1&lt;הגדרות!$E$8*(הגדרות!$E$7+1),INT((H1209-1)/(הגדרות!$E$7+1)),הגדרות!$E$8+INT((H1209-1-הגדרות!$E$8*(הגדרות!$E$7+1))/הגדרות!$E$7)))</f>
        <v/>
      </c>
      <c r="J1209" s="0" t="str">
        <f aca="false">IF(I1209="","",IF(H1209-1&lt;הגדרות!$E$8*(הגדרות!$E$7+1),MOD(H1209-1,הגדרות!$E$7+1),MOD(H1209-1-הגדרות!$E$8*(הגדרות!$E$7+1),הגדרות!$E$7)))</f>
        <v/>
      </c>
      <c r="K1209" s="0" t="str">
        <f aca="false">IF(I1209="","",J1209*הגדרות!$E$6+I1209+1)</f>
        <v/>
      </c>
      <c r="L1209" s="0" t="str">
        <f aca="false">IF(K1209="","",MATCH(K1209,$F$2:$F$5001,0))</f>
        <v/>
      </c>
      <c r="M1209" s="0" t="str">
        <f aca="false">IF(I1209="","",INDEX(הגדרות!$A$2:$A$21,MOD(I1209+הגדרות!$E$9,הגדרות!$E$6)+1))</f>
        <v/>
      </c>
    </row>
    <row r="1210" customFormat="false" ht="15" hidden="false" customHeight="false" outlineLevel="0" collapsed="false">
      <c r="A1210" s="0" t="str">
        <f aca="false">IF('הדבקת לידים'!A1210="","",IF(ISNUMBER('הדבקת לידים'!A1210),IF(הגדרות!$E$2&gt;0,TEXT('הדבקת לידים'!A1210,REPT("0",הגדרות!$E$2)),TEXT('הדבקת לידים'!A1210,"0")),TRIM('הדבקת לידים'!A1210)))</f>
        <v/>
      </c>
      <c r="B1210" s="0" t="str">
        <f aca="false">IF('הדבקת לידים'!B1210="","",IF(ISNUMBER('הדבקת לידים'!B1210),IF(הגדרות!$E$3&gt;0,TEXT('הדבקת לידים'!B1210,REPT("0",הגדרות!$E$3)),TEXT('הדבקת לידים'!B1210,"0")),TRIM('הדבקת לידים'!B1210)))</f>
        <v/>
      </c>
      <c r="C1210" s="0" t="n">
        <f aca="false">IF(OR(A1210&lt;&gt;"",B1210&lt;&gt;""),1,0)</f>
        <v>0</v>
      </c>
      <c r="D1210" s="0" t="str">
        <f aca="false">IF(C1210=1,MOD(ABS(SIN(ROW()*12.9898+'הדבקת לידים'!$F$2*78.233+IFERROR(--RIGHT(A1210,6),LEN(A1210))*0.0137+IFERROR(--RIGHT(B1210,6),LEN(B1210))*0.0071))*43758.5453,1),"")</f>
        <v/>
      </c>
      <c r="E1210" s="0" t="str">
        <f aca="false">IF(C1210=1,INT(MOD(ABS(SIN(D1210*7919.123+ROW()*0.618+'הדבקת לידים'!$F$2*1.3))*43758.5453,1)*1000000)*10000+ROW(),"")</f>
        <v/>
      </c>
      <c r="F1210" s="0" t="str">
        <f aca="false">IF(E1210="","",RANK(E1210,$E$2:$E$5001,1))</f>
        <v/>
      </c>
      <c r="G1210" s="0" t="n">
        <f aca="false">IF(A1210="",0,IF(SUMPRODUCT(--($A$2:$A$5001=A1210))&gt;1,1,0))</f>
        <v>0</v>
      </c>
      <c r="H1210" s="0" t="n">
        <f aca="false">ROW()-1</f>
        <v>1209</v>
      </c>
      <c r="I1210" s="0" t="str">
        <f aca="false">IF(OR(הגדרות!$E$6=0,H1210&gt;הגדרות!$E$5),"",IF(H1210-1&lt;הגדרות!$E$8*(הגדרות!$E$7+1),INT((H1210-1)/(הגדרות!$E$7+1)),הגדרות!$E$8+INT((H1210-1-הגדרות!$E$8*(הגדרות!$E$7+1))/הגדרות!$E$7)))</f>
        <v/>
      </c>
      <c r="J1210" s="0" t="str">
        <f aca="false">IF(I1210="","",IF(H1210-1&lt;הגדרות!$E$8*(הגדרות!$E$7+1),MOD(H1210-1,הגדרות!$E$7+1),MOD(H1210-1-הגדרות!$E$8*(הגדרות!$E$7+1),הגדרות!$E$7)))</f>
        <v/>
      </c>
      <c r="K1210" s="0" t="str">
        <f aca="false">IF(I1210="","",J1210*הגדרות!$E$6+I1210+1)</f>
        <v/>
      </c>
      <c r="L1210" s="0" t="str">
        <f aca="false">IF(K1210="","",MATCH(K1210,$F$2:$F$5001,0))</f>
        <v/>
      </c>
      <c r="M1210" s="0" t="str">
        <f aca="false">IF(I1210="","",INDEX(הגדרות!$A$2:$A$21,MOD(I1210+הגדרות!$E$9,הגדרות!$E$6)+1))</f>
        <v/>
      </c>
    </row>
    <row r="1211" customFormat="false" ht="15" hidden="false" customHeight="false" outlineLevel="0" collapsed="false">
      <c r="A1211" s="0" t="str">
        <f aca="false">IF('הדבקת לידים'!A1211="","",IF(ISNUMBER('הדבקת לידים'!A1211),IF(הגדרות!$E$2&gt;0,TEXT('הדבקת לידים'!A1211,REPT("0",הגדרות!$E$2)),TEXT('הדבקת לידים'!A1211,"0")),TRIM('הדבקת לידים'!A1211)))</f>
        <v/>
      </c>
      <c r="B1211" s="0" t="str">
        <f aca="false">IF('הדבקת לידים'!B1211="","",IF(ISNUMBER('הדבקת לידים'!B1211),IF(הגדרות!$E$3&gt;0,TEXT('הדבקת לידים'!B1211,REPT("0",הגדרות!$E$3)),TEXT('הדבקת לידים'!B1211,"0")),TRIM('הדבקת לידים'!B1211)))</f>
        <v/>
      </c>
      <c r="C1211" s="0" t="n">
        <f aca="false">IF(OR(A1211&lt;&gt;"",B1211&lt;&gt;""),1,0)</f>
        <v>0</v>
      </c>
      <c r="D1211" s="0" t="str">
        <f aca="false">IF(C1211=1,MOD(ABS(SIN(ROW()*12.9898+'הדבקת לידים'!$F$2*78.233+IFERROR(--RIGHT(A1211,6),LEN(A1211))*0.0137+IFERROR(--RIGHT(B1211,6),LEN(B1211))*0.0071))*43758.5453,1),"")</f>
        <v/>
      </c>
      <c r="E1211" s="0" t="str">
        <f aca="false">IF(C1211=1,INT(MOD(ABS(SIN(D1211*7919.123+ROW()*0.618+'הדבקת לידים'!$F$2*1.3))*43758.5453,1)*1000000)*10000+ROW(),"")</f>
        <v/>
      </c>
      <c r="F1211" s="0" t="str">
        <f aca="false">IF(E1211="","",RANK(E1211,$E$2:$E$5001,1))</f>
        <v/>
      </c>
      <c r="G1211" s="0" t="n">
        <f aca="false">IF(A1211="",0,IF(SUMPRODUCT(--($A$2:$A$5001=A1211))&gt;1,1,0))</f>
        <v>0</v>
      </c>
      <c r="H1211" s="0" t="n">
        <f aca="false">ROW()-1</f>
        <v>1210</v>
      </c>
      <c r="I1211" s="0" t="str">
        <f aca="false">IF(OR(הגדרות!$E$6=0,H1211&gt;הגדרות!$E$5),"",IF(H1211-1&lt;הגדרות!$E$8*(הגדרות!$E$7+1),INT((H1211-1)/(הגדרות!$E$7+1)),הגדרות!$E$8+INT((H1211-1-הגדרות!$E$8*(הגדרות!$E$7+1))/הגדרות!$E$7)))</f>
        <v/>
      </c>
      <c r="J1211" s="0" t="str">
        <f aca="false">IF(I1211="","",IF(H1211-1&lt;הגדרות!$E$8*(הגדרות!$E$7+1),MOD(H1211-1,הגדרות!$E$7+1),MOD(H1211-1-הגדרות!$E$8*(הגדרות!$E$7+1),הגדרות!$E$7)))</f>
        <v/>
      </c>
      <c r="K1211" s="0" t="str">
        <f aca="false">IF(I1211="","",J1211*הגדרות!$E$6+I1211+1)</f>
        <v/>
      </c>
      <c r="L1211" s="0" t="str">
        <f aca="false">IF(K1211="","",MATCH(K1211,$F$2:$F$5001,0))</f>
        <v/>
      </c>
      <c r="M1211" s="0" t="str">
        <f aca="false">IF(I1211="","",INDEX(הגדרות!$A$2:$A$21,MOD(I1211+הגדרות!$E$9,הגדרות!$E$6)+1))</f>
        <v/>
      </c>
    </row>
    <row r="1212" customFormat="false" ht="15" hidden="false" customHeight="false" outlineLevel="0" collapsed="false">
      <c r="A1212" s="0" t="str">
        <f aca="false">IF('הדבקת לידים'!A1212="","",IF(ISNUMBER('הדבקת לידים'!A1212),IF(הגדרות!$E$2&gt;0,TEXT('הדבקת לידים'!A1212,REPT("0",הגדרות!$E$2)),TEXT('הדבקת לידים'!A1212,"0")),TRIM('הדבקת לידים'!A1212)))</f>
        <v/>
      </c>
      <c r="B1212" s="0" t="str">
        <f aca="false">IF('הדבקת לידים'!B1212="","",IF(ISNUMBER('הדבקת לידים'!B1212),IF(הגדרות!$E$3&gt;0,TEXT('הדבקת לידים'!B1212,REPT("0",הגדרות!$E$3)),TEXT('הדבקת לידים'!B1212,"0")),TRIM('הדבקת לידים'!B1212)))</f>
        <v/>
      </c>
      <c r="C1212" s="0" t="n">
        <f aca="false">IF(OR(A1212&lt;&gt;"",B1212&lt;&gt;""),1,0)</f>
        <v>0</v>
      </c>
      <c r="D1212" s="0" t="str">
        <f aca="false">IF(C1212=1,MOD(ABS(SIN(ROW()*12.9898+'הדבקת לידים'!$F$2*78.233+IFERROR(--RIGHT(A1212,6),LEN(A1212))*0.0137+IFERROR(--RIGHT(B1212,6),LEN(B1212))*0.0071))*43758.5453,1),"")</f>
        <v/>
      </c>
      <c r="E1212" s="0" t="str">
        <f aca="false">IF(C1212=1,INT(MOD(ABS(SIN(D1212*7919.123+ROW()*0.618+'הדבקת לידים'!$F$2*1.3))*43758.5453,1)*1000000)*10000+ROW(),"")</f>
        <v/>
      </c>
      <c r="F1212" s="0" t="str">
        <f aca="false">IF(E1212="","",RANK(E1212,$E$2:$E$5001,1))</f>
        <v/>
      </c>
      <c r="G1212" s="0" t="n">
        <f aca="false">IF(A1212="",0,IF(SUMPRODUCT(--($A$2:$A$5001=A1212))&gt;1,1,0))</f>
        <v>0</v>
      </c>
      <c r="H1212" s="0" t="n">
        <f aca="false">ROW()-1</f>
        <v>1211</v>
      </c>
      <c r="I1212" s="0" t="str">
        <f aca="false">IF(OR(הגדרות!$E$6=0,H1212&gt;הגדרות!$E$5),"",IF(H1212-1&lt;הגדרות!$E$8*(הגדרות!$E$7+1),INT((H1212-1)/(הגדרות!$E$7+1)),הגדרות!$E$8+INT((H1212-1-הגדרות!$E$8*(הגדרות!$E$7+1))/הגדרות!$E$7)))</f>
        <v/>
      </c>
      <c r="J1212" s="0" t="str">
        <f aca="false">IF(I1212="","",IF(H1212-1&lt;הגדרות!$E$8*(הגדרות!$E$7+1),MOD(H1212-1,הגדרות!$E$7+1),MOD(H1212-1-הגדרות!$E$8*(הגדרות!$E$7+1),הגדרות!$E$7)))</f>
        <v/>
      </c>
      <c r="K1212" s="0" t="str">
        <f aca="false">IF(I1212="","",J1212*הגדרות!$E$6+I1212+1)</f>
        <v/>
      </c>
      <c r="L1212" s="0" t="str">
        <f aca="false">IF(K1212="","",MATCH(K1212,$F$2:$F$5001,0))</f>
        <v/>
      </c>
      <c r="M1212" s="0" t="str">
        <f aca="false">IF(I1212="","",INDEX(הגדרות!$A$2:$A$21,MOD(I1212+הגדרות!$E$9,הגדרות!$E$6)+1))</f>
        <v/>
      </c>
    </row>
    <row r="1213" customFormat="false" ht="15" hidden="false" customHeight="false" outlineLevel="0" collapsed="false">
      <c r="A1213" s="0" t="str">
        <f aca="false">IF('הדבקת לידים'!A1213="","",IF(ISNUMBER('הדבקת לידים'!A1213),IF(הגדרות!$E$2&gt;0,TEXT('הדבקת לידים'!A1213,REPT("0",הגדרות!$E$2)),TEXT('הדבקת לידים'!A1213,"0")),TRIM('הדבקת לידים'!A1213)))</f>
        <v/>
      </c>
      <c r="B1213" s="0" t="str">
        <f aca="false">IF('הדבקת לידים'!B1213="","",IF(ISNUMBER('הדבקת לידים'!B1213),IF(הגדרות!$E$3&gt;0,TEXT('הדבקת לידים'!B1213,REPT("0",הגדרות!$E$3)),TEXT('הדבקת לידים'!B1213,"0")),TRIM('הדבקת לידים'!B1213)))</f>
        <v/>
      </c>
      <c r="C1213" s="0" t="n">
        <f aca="false">IF(OR(A1213&lt;&gt;"",B1213&lt;&gt;""),1,0)</f>
        <v>0</v>
      </c>
      <c r="D1213" s="0" t="str">
        <f aca="false">IF(C1213=1,MOD(ABS(SIN(ROW()*12.9898+'הדבקת לידים'!$F$2*78.233+IFERROR(--RIGHT(A1213,6),LEN(A1213))*0.0137+IFERROR(--RIGHT(B1213,6),LEN(B1213))*0.0071))*43758.5453,1),"")</f>
        <v/>
      </c>
      <c r="E1213" s="0" t="str">
        <f aca="false">IF(C1213=1,INT(MOD(ABS(SIN(D1213*7919.123+ROW()*0.618+'הדבקת לידים'!$F$2*1.3))*43758.5453,1)*1000000)*10000+ROW(),"")</f>
        <v/>
      </c>
      <c r="F1213" s="0" t="str">
        <f aca="false">IF(E1213="","",RANK(E1213,$E$2:$E$5001,1))</f>
        <v/>
      </c>
      <c r="G1213" s="0" t="n">
        <f aca="false">IF(A1213="",0,IF(SUMPRODUCT(--($A$2:$A$5001=A1213))&gt;1,1,0))</f>
        <v>0</v>
      </c>
      <c r="H1213" s="0" t="n">
        <f aca="false">ROW()-1</f>
        <v>1212</v>
      </c>
      <c r="I1213" s="0" t="str">
        <f aca="false">IF(OR(הגדרות!$E$6=0,H1213&gt;הגדרות!$E$5),"",IF(H1213-1&lt;הגדרות!$E$8*(הגדרות!$E$7+1),INT((H1213-1)/(הגדרות!$E$7+1)),הגדרות!$E$8+INT((H1213-1-הגדרות!$E$8*(הגדרות!$E$7+1))/הגדרות!$E$7)))</f>
        <v/>
      </c>
      <c r="J1213" s="0" t="str">
        <f aca="false">IF(I1213="","",IF(H1213-1&lt;הגדרות!$E$8*(הגדרות!$E$7+1),MOD(H1213-1,הגדרות!$E$7+1),MOD(H1213-1-הגדרות!$E$8*(הגדרות!$E$7+1),הגדרות!$E$7)))</f>
        <v/>
      </c>
      <c r="K1213" s="0" t="str">
        <f aca="false">IF(I1213="","",J1213*הגדרות!$E$6+I1213+1)</f>
        <v/>
      </c>
      <c r="L1213" s="0" t="str">
        <f aca="false">IF(K1213="","",MATCH(K1213,$F$2:$F$5001,0))</f>
        <v/>
      </c>
      <c r="M1213" s="0" t="str">
        <f aca="false">IF(I1213="","",INDEX(הגדרות!$A$2:$A$21,MOD(I1213+הגדרות!$E$9,הגדרות!$E$6)+1))</f>
        <v/>
      </c>
    </row>
    <row r="1214" customFormat="false" ht="15" hidden="false" customHeight="false" outlineLevel="0" collapsed="false">
      <c r="A1214" s="0" t="str">
        <f aca="false">IF('הדבקת לידים'!A1214="","",IF(ISNUMBER('הדבקת לידים'!A1214),IF(הגדרות!$E$2&gt;0,TEXT('הדבקת לידים'!A1214,REPT("0",הגדרות!$E$2)),TEXT('הדבקת לידים'!A1214,"0")),TRIM('הדבקת לידים'!A1214)))</f>
        <v/>
      </c>
      <c r="B1214" s="0" t="str">
        <f aca="false">IF('הדבקת לידים'!B1214="","",IF(ISNUMBER('הדבקת לידים'!B1214),IF(הגדרות!$E$3&gt;0,TEXT('הדבקת לידים'!B1214,REPT("0",הגדרות!$E$3)),TEXT('הדבקת לידים'!B1214,"0")),TRIM('הדבקת לידים'!B1214)))</f>
        <v/>
      </c>
      <c r="C1214" s="0" t="n">
        <f aca="false">IF(OR(A1214&lt;&gt;"",B1214&lt;&gt;""),1,0)</f>
        <v>0</v>
      </c>
      <c r="D1214" s="0" t="str">
        <f aca="false">IF(C1214=1,MOD(ABS(SIN(ROW()*12.9898+'הדבקת לידים'!$F$2*78.233+IFERROR(--RIGHT(A1214,6),LEN(A1214))*0.0137+IFERROR(--RIGHT(B1214,6),LEN(B1214))*0.0071))*43758.5453,1),"")</f>
        <v/>
      </c>
      <c r="E1214" s="0" t="str">
        <f aca="false">IF(C1214=1,INT(MOD(ABS(SIN(D1214*7919.123+ROW()*0.618+'הדבקת לידים'!$F$2*1.3))*43758.5453,1)*1000000)*10000+ROW(),"")</f>
        <v/>
      </c>
      <c r="F1214" s="0" t="str">
        <f aca="false">IF(E1214="","",RANK(E1214,$E$2:$E$5001,1))</f>
        <v/>
      </c>
      <c r="G1214" s="0" t="n">
        <f aca="false">IF(A1214="",0,IF(SUMPRODUCT(--($A$2:$A$5001=A1214))&gt;1,1,0))</f>
        <v>0</v>
      </c>
      <c r="H1214" s="0" t="n">
        <f aca="false">ROW()-1</f>
        <v>1213</v>
      </c>
      <c r="I1214" s="0" t="str">
        <f aca="false">IF(OR(הגדרות!$E$6=0,H1214&gt;הגדרות!$E$5),"",IF(H1214-1&lt;הגדרות!$E$8*(הגדרות!$E$7+1),INT((H1214-1)/(הגדרות!$E$7+1)),הגדרות!$E$8+INT((H1214-1-הגדרות!$E$8*(הגדרות!$E$7+1))/הגדרות!$E$7)))</f>
        <v/>
      </c>
      <c r="J1214" s="0" t="str">
        <f aca="false">IF(I1214="","",IF(H1214-1&lt;הגדרות!$E$8*(הגדרות!$E$7+1),MOD(H1214-1,הגדרות!$E$7+1),MOD(H1214-1-הגדרות!$E$8*(הגדרות!$E$7+1),הגדרות!$E$7)))</f>
        <v/>
      </c>
      <c r="K1214" s="0" t="str">
        <f aca="false">IF(I1214="","",J1214*הגדרות!$E$6+I1214+1)</f>
        <v/>
      </c>
      <c r="L1214" s="0" t="str">
        <f aca="false">IF(K1214="","",MATCH(K1214,$F$2:$F$5001,0))</f>
        <v/>
      </c>
      <c r="M1214" s="0" t="str">
        <f aca="false">IF(I1214="","",INDEX(הגדרות!$A$2:$A$21,MOD(I1214+הגדרות!$E$9,הגדרות!$E$6)+1))</f>
        <v/>
      </c>
    </row>
    <row r="1215" customFormat="false" ht="15" hidden="false" customHeight="false" outlineLevel="0" collapsed="false">
      <c r="A1215" s="0" t="str">
        <f aca="false">IF('הדבקת לידים'!A1215="","",IF(ISNUMBER('הדבקת לידים'!A1215),IF(הגדרות!$E$2&gt;0,TEXT('הדבקת לידים'!A1215,REPT("0",הגדרות!$E$2)),TEXT('הדבקת לידים'!A1215,"0")),TRIM('הדבקת לידים'!A1215)))</f>
        <v/>
      </c>
      <c r="B1215" s="0" t="str">
        <f aca="false">IF('הדבקת לידים'!B1215="","",IF(ISNUMBER('הדבקת לידים'!B1215),IF(הגדרות!$E$3&gt;0,TEXT('הדבקת לידים'!B1215,REPT("0",הגדרות!$E$3)),TEXT('הדבקת לידים'!B1215,"0")),TRIM('הדבקת לידים'!B1215)))</f>
        <v/>
      </c>
      <c r="C1215" s="0" t="n">
        <f aca="false">IF(OR(A1215&lt;&gt;"",B1215&lt;&gt;""),1,0)</f>
        <v>0</v>
      </c>
      <c r="D1215" s="0" t="str">
        <f aca="false">IF(C1215=1,MOD(ABS(SIN(ROW()*12.9898+'הדבקת לידים'!$F$2*78.233+IFERROR(--RIGHT(A1215,6),LEN(A1215))*0.0137+IFERROR(--RIGHT(B1215,6),LEN(B1215))*0.0071))*43758.5453,1),"")</f>
        <v/>
      </c>
      <c r="E1215" s="0" t="str">
        <f aca="false">IF(C1215=1,INT(MOD(ABS(SIN(D1215*7919.123+ROW()*0.618+'הדבקת לידים'!$F$2*1.3))*43758.5453,1)*1000000)*10000+ROW(),"")</f>
        <v/>
      </c>
      <c r="F1215" s="0" t="str">
        <f aca="false">IF(E1215="","",RANK(E1215,$E$2:$E$5001,1))</f>
        <v/>
      </c>
      <c r="G1215" s="0" t="n">
        <f aca="false">IF(A1215="",0,IF(SUMPRODUCT(--($A$2:$A$5001=A1215))&gt;1,1,0))</f>
        <v>0</v>
      </c>
      <c r="H1215" s="0" t="n">
        <f aca="false">ROW()-1</f>
        <v>1214</v>
      </c>
      <c r="I1215" s="0" t="str">
        <f aca="false">IF(OR(הגדרות!$E$6=0,H1215&gt;הגדרות!$E$5),"",IF(H1215-1&lt;הגדרות!$E$8*(הגדרות!$E$7+1),INT((H1215-1)/(הגדרות!$E$7+1)),הגדרות!$E$8+INT((H1215-1-הגדרות!$E$8*(הגדרות!$E$7+1))/הגדרות!$E$7)))</f>
        <v/>
      </c>
      <c r="J1215" s="0" t="str">
        <f aca="false">IF(I1215="","",IF(H1215-1&lt;הגדרות!$E$8*(הגדרות!$E$7+1),MOD(H1215-1,הגדרות!$E$7+1),MOD(H1215-1-הגדרות!$E$8*(הגדרות!$E$7+1),הגדרות!$E$7)))</f>
        <v/>
      </c>
      <c r="K1215" s="0" t="str">
        <f aca="false">IF(I1215="","",J1215*הגדרות!$E$6+I1215+1)</f>
        <v/>
      </c>
      <c r="L1215" s="0" t="str">
        <f aca="false">IF(K1215="","",MATCH(K1215,$F$2:$F$5001,0))</f>
        <v/>
      </c>
      <c r="M1215" s="0" t="str">
        <f aca="false">IF(I1215="","",INDEX(הגדרות!$A$2:$A$21,MOD(I1215+הגדרות!$E$9,הגדרות!$E$6)+1))</f>
        <v/>
      </c>
    </row>
    <row r="1216" customFormat="false" ht="15" hidden="false" customHeight="false" outlineLevel="0" collapsed="false">
      <c r="A1216" s="0" t="str">
        <f aca="false">IF('הדבקת לידים'!A1216="","",IF(ISNUMBER('הדבקת לידים'!A1216),IF(הגדרות!$E$2&gt;0,TEXT('הדבקת לידים'!A1216,REPT("0",הגדרות!$E$2)),TEXT('הדבקת לידים'!A1216,"0")),TRIM('הדבקת לידים'!A1216)))</f>
        <v/>
      </c>
      <c r="B1216" s="0" t="str">
        <f aca="false">IF('הדבקת לידים'!B1216="","",IF(ISNUMBER('הדבקת לידים'!B1216),IF(הגדרות!$E$3&gt;0,TEXT('הדבקת לידים'!B1216,REPT("0",הגדרות!$E$3)),TEXT('הדבקת לידים'!B1216,"0")),TRIM('הדבקת לידים'!B1216)))</f>
        <v/>
      </c>
      <c r="C1216" s="0" t="n">
        <f aca="false">IF(OR(A1216&lt;&gt;"",B1216&lt;&gt;""),1,0)</f>
        <v>0</v>
      </c>
      <c r="D1216" s="0" t="str">
        <f aca="false">IF(C1216=1,MOD(ABS(SIN(ROW()*12.9898+'הדבקת לידים'!$F$2*78.233+IFERROR(--RIGHT(A1216,6),LEN(A1216))*0.0137+IFERROR(--RIGHT(B1216,6),LEN(B1216))*0.0071))*43758.5453,1),"")</f>
        <v/>
      </c>
      <c r="E1216" s="0" t="str">
        <f aca="false">IF(C1216=1,INT(MOD(ABS(SIN(D1216*7919.123+ROW()*0.618+'הדבקת לידים'!$F$2*1.3))*43758.5453,1)*1000000)*10000+ROW(),"")</f>
        <v/>
      </c>
      <c r="F1216" s="0" t="str">
        <f aca="false">IF(E1216="","",RANK(E1216,$E$2:$E$5001,1))</f>
        <v/>
      </c>
      <c r="G1216" s="0" t="n">
        <f aca="false">IF(A1216="",0,IF(SUMPRODUCT(--($A$2:$A$5001=A1216))&gt;1,1,0))</f>
        <v>0</v>
      </c>
      <c r="H1216" s="0" t="n">
        <f aca="false">ROW()-1</f>
        <v>1215</v>
      </c>
      <c r="I1216" s="0" t="str">
        <f aca="false">IF(OR(הגדרות!$E$6=0,H1216&gt;הגדרות!$E$5),"",IF(H1216-1&lt;הגדרות!$E$8*(הגדרות!$E$7+1),INT((H1216-1)/(הגדרות!$E$7+1)),הגדרות!$E$8+INT((H1216-1-הגדרות!$E$8*(הגדרות!$E$7+1))/הגדרות!$E$7)))</f>
        <v/>
      </c>
      <c r="J1216" s="0" t="str">
        <f aca="false">IF(I1216="","",IF(H1216-1&lt;הגדרות!$E$8*(הגדרות!$E$7+1),MOD(H1216-1,הגדרות!$E$7+1),MOD(H1216-1-הגדרות!$E$8*(הגדרות!$E$7+1),הגדרות!$E$7)))</f>
        <v/>
      </c>
      <c r="K1216" s="0" t="str">
        <f aca="false">IF(I1216="","",J1216*הגדרות!$E$6+I1216+1)</f>
        <v/>
      </c>
      <c r="L1216" s="0" t="str">
        <f aca="false">IF(K1216="","",MATCH(K1216,$F$2:$F$5001,0))</f>
        <v/>
      </c>
      <c r="M1216" s="0" t="str">
        <f aca="false">IF(I1216="","",INDEX(הגדרות!$A$2:$A$21,MOD(I1216+הגדרות!$E$9,הגדרות!$E$6)+1))</f>
        <v/>
      </c>
    </row>
    <row r="1217" customFormat="false" ht="15" hidden="false" customHeight="false" outlineLevel="0" collapsed="false">
      <c r="A1217" s="0" t="str">
        <f aca="false">IF('הדבקת לידים'!A1217="","",IF(ISNUMBER('הדבקת לידים'!A1217),IF(הגדרות!$E$2&gt;0,TEXT('הדבקת לידים'!A1217,REPT("0",הגדרות!$E$2)),TEXT('הדבקת לידים'!A1217,"0")),TRIM('הדבקת לידים'!A1217)))</f>
        <v/>
      </c>
      <c r="B1217" s="0" t="str">
        <f aca="false">IF('הדבקת לידים'!B1217="","",IF(ISNUMBER('הדבקת לידים'!B1217),IF(הגדרות!$E$3&gt;0,TEXT('הדבקת לידים'!B1217,REPT("0",הגדרות!$E$3)),TEXT('הדבקת לידים'!B1217,"0")),TRIM('הדבקת לידים'!B1217)))</f>
        <v/>
      </c>
      <c r="C1217" s="0" t="n">
        <f aca="false">IF(OR(A1217&lt;&gt;"",B1217&lt;&gt;""),1,0)</f>
        <v>0</v>
      </c>
      <c r="D1217" s="0" t="str">
        <f aca="false">IF(C1217=1,MOD(ABS(SIN(ROW()*12.9898+'הדבקת לידים'!$F$2*78.233+IFERROR(--RIGHT(A1217,6),LEN(A1217))*0.0137+IFERROR(--RIGHT(B1217,6),LEN(B1217))*0.0071))*43758.5453,1),"")</f>
        <v/>
      </c>
      <c r="E1217" s="0" t="str">
        <f aca="false">IF(C1217=1,INT(MOD(ABS(SIN(D1217*7919.123+ROW()*0.618+'הדבקת לידים'!$F$2*1.3))*43758.5453,1)*1000000)*10000+ROW(),"")</f>
        <v/>
      </c>
      <c r="F1217" s="0" t="str">
        <f aca="false">IF(E1217="","",RANK(E1217,$E$2:$E$5001,1))</f>
        <v/>
      </c>
      <c r="G1217" s="0" t="n">
        <f aca="false">IF(A1217="",0,IF(SUMPRODUCT(--($A$2:$A$5001=A1217))&gt;1,1,0))</f>
        <v>0</v>
      </c>
      <c r="H1217" s="0" t="n">
        <f aca="false">ROW()-1</f>
        <v>1216</v>
      </c>
      <c r="I1217" s="0" t="str">
        <f aca="false">IF(OR(הגדרות!$E$6=0,H1217&gt;הגדרות!$E$5),"",IF(H1217-1&lt;הגדרות!$E$8*(הגדרות!$E$7+1),INT((H1217-1)/(הגדרות!$E$7+1)),הגדרות!$E$8+INT((H1217-1-הגדרות!$E$8*(הגדרות!$E$7+1))/הגדרות!$E$7)))</f>
        <v/>
      </c>
      <c r="J1217" s="0" t="str">
        <f aca="false">IF(I1217="","",IF(H1217-1&lt;הגדרות!$E$8*(הגדרות!$E$7+1),MOD(H1217-1,הגדרות!$E$7+1),MOD(H1217-1-הגדרות!$E$8*(הגדרות!$E$7+1),הגדרות!$E$7)))</f>
        <v/>
      </c>
      <c r="K1217" s="0" t="str">
        <f aca="false">IF(I1217="","",J1217*הגדרות!$E$6+I1217+1)</f>
        <v/>
      </c>
      <c r="L1217" s="0" t="str">
        <f aca="false">IF(K1217="","",MATCH(K1217,$F$2:$F$5001,0))</f>
        <v/>
      </c>
      <c r="M1217" s="0" t="str">
        <f aca="false">IF(I1217="","",INDEX(הגדרות!$A$2:$A$21,MOD(I1217+הגדרות!$E$9,הגדרות!$E$6)+1))</f>
        <v/>
      </c>
    </row>
    <row r="1218" customFormat="false" ht="15" hidden="false" customHeight="false" outlineLevel="0" collapsed="false">
      <c r="A1218" s="0" t="str">
        <f aca="false">IF('הדבקת לידים'!A1218="","",IF(ISNUMBER('הדבקת לידים'!A1218),IF(הגדרות!$E$2&gt;0,TEXT('הדבקת לידים'!A1218,REPT("0",הגדרות!$E$2)),TEXT('הדבקת לידים'!A1218,"0")),TRIM('הדבקת לידים'!A1218)))</f>
        <v/>
      </c>
      <c r="B1218" s="0" t="str">
        <f aca="false">IF('הדבקת לידים'!B1218="","",IF(ISNUMBER('הדבקת לידים'!B1218),IF(הגדרות!$E$3&gt;0,TEXT('הדבקת לידים'!B1218,REPT("0",הגדרות!$E$3)),TEXT('הדבקת לידים'!B1218,"0")),TRIM('הדבקת לידים'!B1218)))</f>
        <v/>
      </c>
      <c r="C1218" s="0" t="n">
        <f aca="false">IF(OR(A1218&lt;&gt;"",B1218&lt;&gt;""),1,0)</f>
        <v>0</v>
      </c>
      <c r="D1218" s="0" t="str">
        <f aca="false">IF(C1218=1,MOD(ABS(SIN(ROW()*12.9898+'הדבקת לידים'!$F$2*78.233+IFERROR(--RIGHT(A1218,6),LEN(A1218))*0.0137+IFERROR(--RIGHT(B1218,6),LEN(B1218))*0.0071))*43758.5453,1),"")</f>
        <v/>
      </c>
      <c r="E1218" s="0" t="str">
        <f aca="false">IF(C1218=1,INT(MOD(ABS(SIN(D1218*7919.123+ROW()*0.618+'הדבקת לידים'!$F$2*1.3))*43758.5453,1)*1000000)*10000+ROW(),"")</f>
        <v/>
      </c>
      <c r="F1218" s="0" t="str">
        <f aca="false">IF(E1218="","",RANK(E1218,$E$2:$E$5001,1))</f>
        <v/>
      </c>
      <c r="G1218" s="0" t="n">
        <f aca="false">IF(A1218="",0,IF(SUMPRODUCT(--($A$2:$A$5001=A1218))&gt;1,1,0))</f>
        <v>0</v>
      </c>
      <c r="H1218" s="0" t="n">
        <f aca="false">ROW()-1</f>
        <v>1217</v>
      </c>
      <c r="I1218" s="0" t="str">
        <f aca="false">IF(OR(הגדרות!$E$6=0,H1218&gt;הגדרות!$E$5),"",IF(H1218-1&lt;הגדרות!$E$8*(הגדרות!$E$7+1),INT((H1218-1)/(הגדרות!$E$7+1)),הגדרות!$E$8+INT((H1218-1-הגדרות!$E$8*(הגדרות!$E$7+1))/הגדרות!$E$7)))</f>
        <v/>
      </c>
      <c r="J1218" s="0" t="str">
        <f aca="false">IF(I1218="","",IF(H1218-1&lt;הגדרות!$E$8*(הגדרות!$E$7+1),MOD(H1218-1,הגדרות!$E$7+1),MOD(H1218-1-הגדרות!$E$8*(הגדרות!$E$7+1),הגדרות!$E$7)))</f>
        <v/>
      </c>
      <c r="K1218" s="0" t="str">
        <f aca="false">IF(I1218="","",J1218*הגדרות!$E$6+I1218+1)</f>
        <v/>
      </c>
      <c r="L1218" s="0" t="str">
        <f aca="false">IF(K1218="","",MATCH(K1218,$F$2:$F$5001,0))</f>
        <v/>
      </c>
      <c r="M1218" s="0" t="str">
        <f aca="false">IF(I1218="","",INDEX(הגדרות!$A$2:$A$21,MOD(I1218+הגדרות!$E$9,הגדרות!$E$6)+1))</f>
        <v/>
      </c>
    </row>
    <row r="1219" customFormat="false" ht="15" hidden="false" customHeight="false" outlineLevel="0" collapsed="false">
      <c r="A1219" s="0" t="str">
        <f aca="false">IF('הדבקת לידים'!A1219="","",IF(ISNUMBER('הדבקת לידים'!A1219),IF(הגדרות!$E$2&gt;0,TEXT('הדבקת לידים'!A1219,REPT("0",הגדרות!$E$2)),TEXT('הדבקת לידים'!A1219,"0")),TRIM('הדבקת לידים'!A1219)))</f>
        <v/>
      </c>
      <c r="B1219" s="0" t="str">
        <f aca="false">IF('הדבקת לידים'!B1219="","",IF(ISNUMBER('הדבקת לידים'!B1219),IF(הגדרות!$E$3&gt;0,TEXT('הדבקת לידים'!B1219,REPT("0",הגדרות!$E$3)),TEXT('הדבקת לידים'!B1219,"0")),TRIM('הדבקת לידים'!B1219)))</f>
        <v/>
      </c>
      <c r="C1219" s="0" t="n">
        <f aca="false">IF(OR(A1219&lt;&gt;"",B1219&lt;&gt;""),1,0)</f>
        <v>0</v>
      </c>
      <c r="D1219" s="0" t="str">
        <f aca="false">IF(C1219=1,MOD(ABS(SIN(ROW()*12.9898+'הדבקת לידים'!$F$2*78.233+IFERROR(--RIGHT(A1219,6),LEN(A1219))*0.0137+IFERROR(--RIGHT(B1219,6),LEN(B1219))*0.0071))*43758.5453,1),"")</f>
        <v/>
      </c>
      <c r="E1219" s="0" t="str">
        <f aca="false">IF(C1219=1,INT(MOD(ABS(SIN(D1219*7919.123+ROW()*0.618+'הדבקת לידים'!$F$2*1.3))*43758.5453,1)*1000000)*10000+ROW(),"")</f>
        <v/>
      </c>
      <c r="F1219" s="0" t="str">
        <f aca="false">IF(E1219="","",RANK(E1219,$E$2:$E$5001,1))</f>
        <v/>
      </c>
      <c r="G1219" s="0" t="n">
        <f aca="false">IF(A1219="",0,IF(SUMPRODUCT(--($A$2:$A$5001=A1219))&gt;1,1,0))</f>
        <v>0</v>
      </c>
      <c r="H1219" s="0" t="n">
        <f aca="false">ROW()-1</f>
        <v>1218</v>
      </c>
      <c r="I1219" s="0" t="str">
        <f aca="false">IF(OR(הגדרות!$E$6=0,H1219&gt;הגדרות!$E$5),"",IF(H1219-1&lt;הגדרות!$E$8*(הגדרות!$E$7+1),INT((H1219-1)/(הגדרות!$E$7+1)),הגדרות!$E$8+INT((H1219-1-הגדרות!$E$8*(הגדרות!$E$7+1))/הגדרות!$E$7)))</f>
        <v/>
      </c>
      <c r="J1219" s="0" t="str">
        <f aca="false">IF(I1219="","",IF(H1219-1&lt;הגדרות!$E$8*(הגדרות!$E$7+1),MOD(H1219-1,הגדרות!$E$7+1),MOD(H1219-1-הגדרות!$E$8*(הגדרות!$E$7+1),הגדרות!$E$7)))</f>
        <v/>
      </c>
      <c r="K1219" s="0" t="str">
        <f aca="false">IF(I1219="","",J1219*הגדרות!$E$6+I1219+1)</f>
        <v/>
      </c>
      <c r="L1219" s="0" t="str">
        <f aca="false">IF(K1219="","",MATCH(K1219,$F$2:$F$5001,0))</f>
        <v/>
      </c>
      <c r="M1219" s="0" t="str">
        <f aca="false">IF(I1219="","",INDEX(הגדרות!$A$2:$A$21,MOD(I1219+הגדרות!$E$9,הגדרות!$E$6)+1))</f>
        <v/>
      </c>
    </row>
    <row r="1220" customFormat="false" ht="15" hidden="false" customHeight="false" outlineLevel="0" collapsed="false">
      <c r="A1220" s="0" t="str">
        <f aca="false">IF('הדבקת לידים'!A1220="","",IF(ISNUMBER('הדבקת לידים'!A1220),IF(הגדרות!$E$2&gt;0,TEXT('הדבקת לידים'!A1220,REPT("0",הגדרות!$E$2)),TEXT('הדבקת לידים'!A1220,"0")),TRIM('הדבקת לידים'!A1220)))</f>
        <v/>
      </c>
      <c r="B1220" s="0" t="str">
        <f aca="false">IF('הדבקת לידים'!B1220="","",IF(ISNUMBER('הדבקת לידים'!B1220),IF(הגדרות!$E$3&gt;0,TEXT('הדבקת לידים'!B1220,REPT("0",הגדרות!$E$3)),TEXT('הדבקת לידים'!B1220,"0")),TRIM('הדבקת לידים'!B1220)))</f>
        <v/>
      </c>
      <c r="C1220" s="0" t="n">
        <f aca="false">IF(OR(A1220&lt;&gt;"",B1220&lt;&gt;""),1,0)</f>
        <v>0</v>
      </c>
      <c r="D1220" s="0" t="str">
        <f aca="false">IF(C1220=1,MOD(ABS(SIN(ROW()*12.9898+'הדבקת לידים'!$F$2*78.233+IFERROR(--RIGHT(A1220,6),LEN(A1220))*0.0137+IFERROR(--RIGHT(B1220,6),LEN(B1220))*0.0071))*43758.5453,1),"")</f>
        <v/>
      </c>
      <c r="E1220" s="0" t="str">
        <f aca="false">IF(C1220=1,INT(MOD(ABS(SIN(D1220*7919.123+ROW()*0.618+'הדבקת לידים'!$F$2*1.3))*43758.5453,1)*1000000)*10000+ROW(),"")</f>
        <v/>
      </c>
      <c r="F1220" s="0" t="str">
        <f aca="false">IF(E1220="","",RANK(E1220,$E$2:$E$5001,1))</f>
        <v/>
      </c>
      <c r="G1220" s="0" t="n">
        <f aca="false">IF(A1220="",0,IF(SUMPRODUCT(--($A$2:$A$5001=A1220))&gt;1,1,0))</f>
        <v>0</v>
      </c>
      <c r="H1220" s="0" t="n">
        <f aca="false">ROW()-1</f>
        <v>1219</v>
      </c>
      <c r="I1220" s="0" t="str">
        <f aca="false">IF(OR(הגדרות!$E$6=0,H1220&gt;הגדרות!$E$5),"",IF(H1220-1&lt;הגדרות!$E$8*(הגדרות!$E$7+1),INT((H1220-1)/(הגדרות!$E$7+1)),הגדרות!$E$8+INT((H1220-1-הגדרות!$E$8*(הגדרות!$E$7+1))/הגדרות!$E$7)))</f>
        <v/>
      </c>
      <c r="J1220" s="0" t="str">
        <f aca="false">IF(I1220="","",IF(H1220-1&lt;הגדרות!$E$8*(הגדרות!$E$7+1),MOD(H1220-1,הגדרות!$E$7+1),MOD(H1220-1-הגדרות!$E$8*(הגדרות!$E$7+1),הגדרות!$E$7)))</f>
        <v/>
      </c>
      <c r="K1220" s="0" t="str">
        <f aca="false">IF(I1220="","",J1220*הגדרות!$E$6+I1220+1)</f>
        <v/>
      </c>
      <c r="L1220" s="0" t="str">
        <f aca="false">IF(K1220="","",MATCH(K1220,$F$2:$F$5001,0))</f>
        <v/>
      </c>
      <c r="M1220" s="0" t="str">
        <f aca="false">IF(I1220="","",INDEX(הגדרות!$A$2:$A$21,MOD(I1220+הגדרות!$E$9,הגדרות!$E$6)+1))</f>
        <v/>
      </c>
    </row>
    <row r="1221" customFormat="false" ht="15" hidden="false" customHeight="false" outlineLevel="0" collapsed="false">
      <c r="A1221" s="0" t="str">
        <f aca="false">IF('הדבקת לידים'!A1221="","",IF(ISNUMBER('הדבקת לידים'!A1221),IF(הגדרות!$E$2&gt;0,TEXT('הדבקת לידים'!A1221,REPT("0",הגדרות!$E$2)),TEXT('הדבקת לידים'!A1221,"0")),TRIM('הדבקת לידים'!A1221)))</f>
        <v/>
      </c>
      <c r="B1221" s="0" t="str">
        <f aca="false">IF('הדבקת לידים'!B1221="","",IF(ISNUMBER('הדבקת לידים'!B1221),IF(הגדרות!$E$3&gt;0,TEXT('הדבקת לידים'!B1221,REPT("0",הגדרות!$E$3)),TEXT('הדבקת לידים'!B1221,"0")),TRIM('הדבקת לידים'!B1221)))</f>
        <v/>
      </c>
      <c r="C1221" s="0" t="n">
        <f aca="false">IF(OR(A1221&lt;&gt;"",B1221&lt;&gt;""),1,0)</f>
        <v>0</v>
      </c>
      <c r="D1221" s="0" t="str">
        <f aca="false">IF(C1221=1,MOD(ABS(SIN(ROW()*12.9898+'הדבקת לידים'!$F$2*78.233+IFERROR(--RIGHT(A1221,6),LEN(A1221))*0.0137+IFERROR(--RIGHT(B1221,6),LEN(B1221))*0.0071))*43758.5453,1),"")</f>
        <v/>
      </c>
      <c r="E1221" s="0" t="str">
        <f aca="false">IF(C1221=1,INT(MOD(ABS(SIN(D1221*7919.123+ROW()*0.618+'הדבקת לידים'!$F$2*1.3))*43758.5453,1)*1000000)*10000+ROW(),"")</f>
        <v/>
      </c>
      <c r="F1221" s="0" t="str">
        <f aca="false">IF(E1221="","",RANK(E1221,$E$2:$E$5001,1))</f>
        <v/>
      </c>
      <c r="G1221" s="0" t="n">
        <f aca="false">IF(A1221="",0,IF(SUMPRODUCT(--($A$2:$A$5001=A1221))&gt;1,1,0))</f>
        <v>0</v>
      </c>
      <c r="H1221" s="0" t="n">
        <f aca="false">ROW()-1</f>
        <v>1220</v>
      </c>
      <c r="I1221" s="0" t="str">
        <f aca="false">IF(OR(הגדרות!$E$6=0,H1221&gt;הגדרות!$E$5),"",IF(H1221-1&lt;הגדרות!$E$8*(הגדרות!$E$7+1),INT((H1221-1)/(הגדרות!$E$7+1)),הגדרות!$E$8+INT((H1221-1-הגדרות!$E$8*(הגדרות!$E$7+1))/הגדרות!$E$7)))</f>
        <v/>
      </c>
      <c r="J1221" s="0" t="str">
        <f aca="false">IF(I1221="","",IF(H1221-1&lt;הגדרות!$E$8*(הגדרות!$E$7+1),MOD(H1221-1,הגדרות!$E$7+1),MOD(H1221-1-הגדרות!$E$8*(הגדרות!$E$7+1),הגדרות!$E$7)))</f>
        <v/>
      </c>
      <c r="K1221" s="0" t="str">
        <f aca="false">IF(I1221="","",J1221*הגדרות!$E$6+I1221+1)</f>
        <v/>
      </c>
      <c r="L1221" s="0" t="str">
        <f aca="false">IF(K1221="","",MATCH(K1221,$F$2:$F$5001,0))</f>
        <v/>
      </c>
      <c r="M1221" s="0" t="str">
        <f aca="false">IF(I1221="","",INDEX(הגדרות!$A$2:$A$21,MOD(I1221+הגדרות!$E$9,הגדרות!$E$6)+1))</f>
        <v/>
      </c>
    </row>
    <row r="1222" customFormat="false" ht="15" hidden="false" customHeight="false" outlineLevel="0" collapsed="false">
      <c r="A1222" s="0" t="str">
        <f aca="false">IF('הדבקת לידים'!A1222="","",IF(ISNUMBER('הדבקת לידים'!A1222),IF(הגדרות!$E$2&gt;0,TEXT('הדבקת לידים'!A1222,REPT("0",הגדרות!$E$2)),TEXT('הדבקת לידים'!A1222,"0")),TRIM('הדבקת לידים'!A1222)))</f>
        <v/>
      </c>
      <c r="B1222" s="0" t="str">
        <f aca="false">IF('הדבקת לידים'!B1222="","",IF(ISNUMBER('הדבקת לידים'!B1222),IF(הגדרות!$E$3&gt;0,TEXT('הדבקת לידים'!B1222,REPT("0",הגדרות!$E$3)),TEXT('הדבקת לידים'!B1222,"0")),TRIM('הדבקת לידים'!B1222)))</f>
        <v/>
      </c>
      <c r="C1222" s="0" t="n">
        <f aca="false">IF(OR(A1222&lt;&gt;"",B1222&lt;&gt;""),1,0)</f>
        <v>0</v>
      </c>
      <c r="D1222" s="0" t="str">
        <f aca="false">IF(C1222=1,MOD(ABS(SIN(ROW()*12.9898+'הדבקת לידים'!$F$2*78.233+IFERROR(--RIGHT(A1222,6),LEN(A1222))*0.0137+IFERROR(--RIGHT(B1222,6),LEN(B1222))*0.0071))*43758.5453,1),"")</f>
        <v/>
      </c>
      <c r="E1222" s="0" t="str">
        <f aca="false">IF(C1222=1,INT(MOD(ABS(SIN(D1222*7919.123+ROW()*0.618+'הדבקת לידים'!$F$2*1.3))*43758.5453,1)*1000000)*10000+ROW(),"")</f>
        <v/>
      </c>
      <c r="F1222" s="0" t="str">
        <f aca="false">IF(E1222="","",RANK(E1222,$E$2:$E$5001,1))</f>
        <v/>
      </c>
      <c r="G1222" s="0" t="n">
        <f aca="false">IF(A1222="",0,IF(SUMPRODUCT(--($A$2:$A$5001=A1222))&gt;1,1,0))</f>
        <v>0</v>
      </c>
      <c r="H1222" s="0" t="n">
        <f aca="false">ROW()-1</f>
        <v>1221</v>
      </c>
      <c r="I1222" s="0" t="str">
        <f aca="false">IF(OR(הגדרות!$E$6=0,H1222&gt;הגדרות!$E$5),"",IF(H1222-1&lt;הגדרות!$E$8*(הגדרות!$E$7+1),INT((H1222-1)/(הגדרות!$E$7+1)),הגדרות!$E$8+INT((H1222-1-הגדרות!$E$8*(הגדרות!$E$7+1))/הגדרות!$E$7)))</f>
        <v/>
      </c>
      <c r="J1222" s="0" t="str">
        <f aca="false">IF(I1222="","",IF(H1222-1&lt;הגדרות!$E$8*(הגדרות!$E$7+1),MOD(H1222-1,הגדרות!$E$7+1),MOD(H1222-1-הגדרות!$E$8*(הגדרות!$E$7+1),הגדרות!$E$7)))</f>
        <v/>
      </c>
      <c r="K1222" s="0" t="str">
        <f aca="false">IF(I1222="","",J1222*הגדרות!$E$6+I1222+1)</f>
        <v/>
      </c>
      <c r="L1222" s="0" t="str">
        <f aca="false">IF(K1222="","",MATCH(K1222,$F$2:$F$5001,0))</f>
        <v/>
      </c>
      <c r="M1222" s="0" t="str">
        <f aca="false">IF(I1222="","",INDEX(הגדרות!$A$2:$A$21,MOD(I1222+הגדרות!$E$9,הגדרות!$E$6)+1))</f>
        <v/>
      </c>
    </row>
    <row r="1223" customFormat="false" ht="15" hidden="false" customHeight="false" outlineLevel="0" collapsed="false">
      <c r="A1223" s="0" t="str">
        <f aca="false">IF('הדבקת לידים'!A1223="","",IF(ISNUMBER('הדבקת לידים'!A1223),IF(הגדרות!$E$2&gt;0,TEXT('הדבקת לידים'!A1223,REPT("0",הגדרות!$E$2)),TEXT('הדבקת לידים'!A1223,"0")),TRIM('הדבקת לידים'!A1223)))</f>
        <v/>
      </c>
      <c r="B1223" s="0" t="str">
        <f aca="false">IF('הדבקת לידים'!B1223="","",IF(ISNUMBER('הדבקת לידים'!B1223),IF(הגדרות!$E$3&gt;0,TEXT('הדבקת לידים'!B1223,REPT("0",הגדרות!$E$3)),TEXT('הדבקת לידים'!B1223,"0")),TRIM('הדבקת לידים'!B1223)))</f>
        <v/>
      </c>
      <c r="C1223" s="0" t="n">
        <f aca="false">IF(OR(A1223&lt;&gt;"",B1223&lt;&gt;""),1,0)</f>
        <v>0</v>
      </c>
      <c r="D1223" s="0" t="str">
        <f aca="false">IF(C1223=1,MOD(ABS(SIN(ROW()*12.9898+'הדבקת לידים'!$F$2*78.233+IFERROR(--RIGHT(A1223,6),LEN(A1223))*0.0137+IFERROR(--RIGHT(B1223,6),LEN(B1223))*0.0071))*43758.5453,1),"")</f>
        <v/>
      </c>
      <c r="E1223" s="0" t="str">
        <f aca="false">IF(C1223=1,INT(MOD(ABS(SIN(D1223*7919.123+ROW()*0.618+'הדבקת לידים'!$F$2*1.3))*43758.5453,1)*1000000)*10000+ROW(),"")</f>
        <v/>
      </c>
      <c r="F1223" s="0" t="str">
        <f aca="false">IF(E1223="","",RANK(E1223,$E$2:$E$5001,1))</f>
        <v/>
      </c>
      <c r="G1223" s="0" t="n">
        <f aca="false">IF(A1223="",0,IF(SUMPRODUCT(--($A$2:$A$5001=A1223))&gt;1,1,0))</f>
        <v>0</v>
      </c>
      <c r="H1223" s="0" t="n">
        <f aca="false">ROW()-1</f>
        <v>1222</v>
      </c>
      <c r="I1223" s="0" t="str">
        <f aca="false">IF(OR(הגדרות!$E$6=0,H1223&gt;הגדרות!$E$5),"",IF(H1223-1&lt;הגדרות!$E$8*(הגדרות!$E$7+1),INT((H1223-1)/(הגדרות!$E$7+1)),הגדרות!$E$8+INT((H1223-1-הגדרות!$E$8*(הגדרות!$E$7+1))/הגדרות!$E$7)))</f>
        <v/>
      </c>
      <c r="J1223" s="0" t="str">
        <f aca="false">IF(I1223="","",IF(H1223-1&lt;הגדרות!$E$8*(הגדרות!$E$7+1),MOD(H1223-1,הגדרות!$E$7+1),MOD(H1223-1-הגדרות!$E$8*(הגדרות!$E$7+1),הגדרות!$E$7)))</f>
        <v/>
      </c>
      <c r="K1223" s="0" t="str">
        <f aca="false">IF(I1223="","",J1223*הגדרות!$E$6+I1223+1)</f>
        <v/>
      </c>
      <c r="L1223" s="0" t="str">
        <f aca="false">IF(K1223="","",MATCH(K1223,$F$2:$F$5001,0))</f>
        <v/>
      </c>
      <c r="M1223" s="0" t="str">
        <f aca="false">IF(I1223="","",INDEX(הגדרות!$A$2:$A$21,MOD(I1223+הגדרות!$E$9,הגדרות!$E$6)+1))</f>
        <v/>
      </c>
    </row>
    <row r="1224" customFormat="false" ht="15" hidden="false" customHeight="false" outlineLevel="0" collapsed="false">
      <c r="A1224" s="0" t="str">
        <f aca="false">IF('הדבקת לידים'!A1224="","",IF(ISNUMBER('הדבקת לידים'!A1224),IF(הגדרות!$E$2&gt;0,TEXT('הדבקת לידים'!A1224,REPT("0",הגדרות!$E$2)),TEXT('הדבקת לידים'!A1224,"0")),TRIM('הדבקת לידים'!A1224)))</f>
        <v/>
      </c>
      <c r="B1224" s="0" t="str">
        <f aca="false">IF('הדבקת לידים'!B1224="","",IF(ISNUMBER('הדבקת לידים'!B1224),IF(הגדרות!$E$3&gt;0,TEXT('הדבקת לידים'!B1224,REPT("0",הגדרות!$E$3)),TEXT('הדבקת לידים'!B1224,"0")),TRIM('הדבקת לידים'!B1224)))</f>
        <v/>
      </c>
      <c r="C1224" s="0" t="n">
        <f aca="false">IF(OR(A1224&lt;&gt;"",B1224&lt;&gt;""),1,0)</f>
        <v>0</v>
      </c>
      <c r="D1224" s="0" t="str">
        <f aca="false">IF(C1224=1,MOD(ABS(SIN(ROW()*12.9898+'הדבקת לידים'!$F$2*78.233+IFERROR(--RIGHT(A1224,6),LEN(A1224))*0.0137+IFERROR(--RIGHT(B1224,6),LEN(B1224))*0.0071))*43758.5453,1),"")</f>
        <v/>
      </c>
      <c r="E1224" s="0" t="str">
        <f aca="false">IF(C1224=1,INT(MOD(ABS(SIN(D1224*7919.123+ROW()*0.618+'הדבקת לידים'!$F$2*1.3))*43758.5453,1)*1000000)*10000+ROW(),"")</f>
        <v/>
      </c>
      <c r="F1224" s="0" t="str">
        <f aca="false">IF(E1224="","",RANK(E1224,$E$2:$E$5001,1))</f>
        <v/>
      </c>
      <c r="G1224" s="0" t="n">
        <f aca="false">IF(A1224="",0,IF(SUMPRODUCT(--($A$2:$A$5001=A1224))&gt;1,1,0))</f>
        <v>0</v>
      </c>
      <c r="H1224" s="0" t="n">
        <f aca="false">ROW()-1</f>
        <v>1223</v>
      </c>
      <c r="I1224" s="0" t="str">
        <f aca="false">IF(OR(הגדרות!$E$6=0,H1224&gt;הגדרות!$E$5),"",IF(H1224-1&lt;הגדרות!$E$8*(הגדרות!$E$7+1),INT((H1224-1)/(הגדרות!$E$7+1)),הגדרות!$E$8+INT((H1224-1-הגדרות!$E$8*(הגדרות!$E$7+1))/הגדרות!$E$7)))</f>
        <v/>
      </c>
      <c r="J1224" s="0" t="str">
        <f aca="false">IF(I1224="","",IF(H1224-1&lt;הגדרות!$E$8*(הגדרות!$E$7+1),MOD(H1224-1,הגדרות!$E$7+1),MOD(H1224-1-הגדרות!$E$8*(הגדרות!$E$7+1),הגדרות!$E$7)))</f>
        <v/>
      </c>
      <c r="K1224" s="0" t="str">
        <f aca="false">IF(I1224="","",J1224*הגדרות!$E$6+I1224+1)</f>
        <v/>
      </c>
      <c r="L1224" s="0" t="str">
        <f aca="false">IF(K1224="","",MATCH(K1224,$F$2:$F$5001,0))</f>
        <v/>
      </c>
      <c r="M1224" s="0" t="str">
        <f aca="false">IF(I1224="","",INDEX(הגדרות!$A$2:$A$21,MOD(I1224+הגדרות!$E$9,הגדרות!$E$6)+1))</f>
        <v/>
      </c>
    </row>
    <row r="1225" customFormat="false" ht="15" hidden="false" customHeight="false" outlineLevel="0" collapsed="false">
      <c r="A1225" s="0" t="str">
        <f aca="false">IF('הדבקת לידים'!A1225="","",IF(ISNUMBER('הדבקת לידים'!A1225),IF(הגדרות!$E$2&gt;0,TEXT('הדבקת לידים'!A1225,REPT("0",הגדרות!$E$2)),TEXT('הדבקת לידים'!A1225,"0")),TRIM('הדבקת לידים'!A1225)))</f>
        <v/>
      </c>
      <c r="B1225" s="0" t="str">
        <f aca="false">IF('הדבקת לידים'!B1225="","",IF(ISNUMBER('הדבקת לידים'!B1225),IF(הגדרות!$E$3&gt;0,TEXT('הדבקת לידים'!B1225,REPT("0",הגדרות!$E$3)),TEXT('הדבקת לידים'!B1225,"0")),TRIM('הדבקת לידים'!B1225)))</f>
        <v/>
      </c>
      <c r="C1225" s="0" t="n">
        <f aca="false">IF(OR(A1225&lt;&gt;"",B1225&lt;&gt;""),1,0)</f>
        <v>0</v>
      </c>
      <c r="D1225" s="0" t="str">
        <f aca="false">IF(C1225=1,MOD(ABS(SIN(ROW()*12.9898+'הדבקת לידים'!$F$2*78.233+IFERROR(--RIGHT(A1225,6),LEN(A1225))*0.0137+IFERROR(--RIGHT(B1225,6),LEN(B1225))*0.0071))*43758.5453,1),"")</f>
        <v/>
      </c>
      <c r="E1225" s="0" t="str">
        <f aca="false">IF(C1225=1,INT(MOD(ABS(SIN(D1225*7919.123+ROW()*0.618+'הדבקת לידים'!$F$2*1.3))*43758.5453,1)*1000000)*10000+ROW(),"")</f>
        <v/>
      </c>
      <c r="F1225" s="0" t="str">
        <f aca="false">IF(E1225="","",RANK(E1225,$E$2:$E$5001,1))</f>
        <v/>
      </c>
      <c r="G1225" s="0" t="n">
        <f aca="false">IF(A1225="",0,IF(SUMPRODUCT(--($A$2:$A$5001=A1225))&gt;1,1,0))</f>
        <v>0</v>
      </c>
      <c r="H1225" s="0" t="n">
        <f aca="false">ROW()-1</f>
        <v>1224</v>
      </c>
      <c r="I1225" s="0" t="str">
        <f aca="false">IF(OR(הגדרות!$E$6=0,H1225&gt;הגדרות!$E$5),"",IF(H1225-1&lt;הגדרות!$E$8*(הגדרות!$E$7+1),INT((H1225-1)/(הגדרות!$E$7+1)),הגדרות!$E$8+INT((H1225-1-הגדרות!$E$8*(הגדרות!$E$7+1))/הגדרות!$E$7)))</f>
        <v/>
      </c>
      <c r="J1225" s="0" t="str">
        <f aca="false">IF(I1225="","",IF(H1225-1&lt;הגדרות!$E$8*(הגדרות!$E$7+1),MOD(H1225-1,הגדרות!$E$7+1),MOD(H1225-1-הגדרות!$E$8*(הגדרות!$E$7+1),הגדרות!$E$7)))</f>
        <v/>
      </c>
      <c r="K1225" s="0" t="str">
        <f aca="false">IF(I1225="","",J1225*הגדרות!$E$6+I1225+1)</f>
        <v/>
      </c>
      <c r="L1225" s="0" t="str">
        <f aca="false">IF(K1225="","",MATCH(K1225,$F$2:$F$5001,0))</f>
        <v/>
      </c>
      <c r="M1225" s="0" t="str">
        <f aca="false">IF(I1225="","",INDEX(הגדרות!$A$2:$A$21,MOD(I1225+הגדרות!$E$9,הגדרות!$E$6)+1))</f>
        <v/>
      </c>
    </row>
    <row r="1226" customFormat="false" ht="15" hidden="false" customHeight="false" outlineLevel="0" collapsed="false">
      <c r="A1226" s="0" t="str">
        <f aca="false">IF('הדבקת לידים'!A1226="","",IF(ISNUMBER('הדבקת לידים'!A1226),IF(הגדרות!$E$2&gt;0,TEXT('הדבקת לידים'!A1226,REPT("0",הגדרות!$E$2)),TEXT('הדבקת לידים'!A1226,"0")),TRIM('הדבקת לידים'!A1226)))</f>
        <v/>
      </c>
      <c r="B1226" s="0" t="str">
        <f aca="false">IF('הדבקת לידים'!B1226="","",IF(ISNUMBER('הדבקת לידים'!B1226),IF(הגדרות!$E$3&gt;0,TEXT('הדבקת לידים'!B1226,REPT("0",הגדרות!$E$3)),TEXT('הדבקת לידים'!B1226,"0")),TRIM('הדבקת לידים'!B1226)))</f>
        <v/>
      </c>
      <c r="C1226" s="0" t="n">
        <f aca="false">IF(OR(A1226&lt;&gt;"",B1226&lt;&gt;""),1,0)</f>
        <v>0</v>
      </c>
      <c r="D1226" s="0" t="str">
        <f aca="false">IF(C1226=1,MOD(ABS(SIN(ROW()*12.9898+'הדבקת לידים'!$F$2*78.233+IFERROR(--RIGHT(A1226,6),LEN(A1226))*0.0137+IFERROR(--RIGHT(B1226,6),LEN(B1226))*0.0071))*43758.5453,1),"")</f>
        <v/>
      </c>
      <c r="E1226" s="0" t="str">
        <f aca="false">IF(C1226=1,INT(MOD(ABS(SIN(D1226*7919.123+ROW()*0.618+'הדבקת לידים'!$F$2*1.3))*43758.5453,1)*1000000)*10000+ROW(),"")</f>
        <v/>
      </c>
      <c r="F1226" s="0" t="str">
        <f aca="false">IF(E1226="","",RANK(E1226,$E$2:$E$5001,1))</f>
        <v/>
      </c>
      <c r="G1226" s="0" t="n">
        <f aca="false">IF(A1226="",0,IF(SUMPRODUCT(--($A$2:$A$5001=A1226))&gt;1,1,0))</f>
        <v>0</v>
      </c>
      <c r="H1226" s="0" t="n">
        <f aca="false">ROW()-1</f>
        <v>1225</v>
      </c>
      <c r="I1226" s="0" t="str">
        <f aca="false">IF(OR(הגדרות!$E$6=0,H1226&gt;הגדרות!$E$5),"",IF(H1226-1&lt;הגדרות!$E$8*(הגדרות!$E$7+1),INT((H1226-1)/(הגדרות!$E$7+1)),הגדרות!$E$8+INT((H1226-1-הגדרות!$E$8*(הגדרות!$E$7+1))/הגדרות!$E$7)))</f>
        <v/>
      </c>
      <c r="J1226" s="0" t="str">
        <f aca="false">IF(I1226="","",IF(H1226-1&lt;הגדרות!$E$8*(הגדרות!$E$7+1),MOD(H1226-1,הגדרות!$E$7+1),MOD(H1226-1-הגדרות!$E$8*(הגדרות!$E$7+1),הגדרות!$E$7)))</f>
        <v/>
      </c>
      <c r="K1226" s="0" t="str">
        <f aca="false">IF(I1226="","",J1226*הגדרות!$E$6+I1226+1)</f>
        <v/>
      </c>
      <c r="L1226" s="0" t="str">
        <f aca="false">IF(K1226="","",MATCH(K1226,$F$2:$F$5001,0))</f>
        <v/>
      </c>
      <c r="M1226" s="0" t="str">
        <f aca="false">IF(I1226="","",INDEX(הגדרות!$A$2:$A$21,MOD(I1226+הגדרות!$E$9,הגדרות!$E$6)+1))</f>
        <v/>
      </c>
    </row>
    <row r="1227" customFormat="false" ht="15" hidden="false" customHeight="false" outlineLevel="0" collapsed="false">
      <c r="A1227" s="0" t="str">
        <f aca="false">IF('הדבקת לידים'!A1227="","",IF(ISNUMBER('הדבקת לידים'!A1227),IF(הגדרות!$E$2&gt;0,TEXT('הדבקת לידים'!A1227,REPT("0",הגדרות!$E$2)),TEXT('הדבקת לידים'!A1227,"0")),TRIM('הדבקת לידים'!A1227)))</f>
        <v/>
      </c>
      <c r="B1227" s="0" t="str">
        <f aca="false">IF('הדבקת לידים'!B1227="","",IF(ISNUMBER('הדבקת לידים'!B1227),IF(הגדרות!$E$3&gt;0,TEXT('הדבקת לידים'!B1227,REPT("0",הגדרות!$E$3)),TEXT('הדבקת לידים'!B1227,"0")),TRIM('הדבקת לידים'!B1227)))</f>
        <v/>
      </c>
      <c r="C1227" s="0" t="n">
        <f aca="false">IF(OR(A1227&lt;&gt;"",B1227&lt;&gt;""),1,0)</f>
        <v>0</v>
      </c>
      <c r="D1227" s="0" t="str">
        <f aca="false">IF(C1227=1,MOD(ABS(SIN(ROW()*12.9898+'הדבקת לידים'!$F$2*78.233+IFERROR(--RIGHT(A1227,6),LEN(A1227))*0.0137+IFERROR(--RIGHT(B1227,6),LEN(B1227))*0.0071))*43758.5453,1),"")</f>
        <v/>
      </c>
      <c r="E1227" s="0" t="str">
        <f aca="false">IF(C1227=1,INT(MOD(ABS(SIN(D1227*7919.123+ROW()*0.618+'הדבקת לידים'!$F$2*1.3))*43758.5453,1)*1000000)*10000+ROW(),"")</f>
        <v/>
      </c>
      <c r="F1227" s="0" t="str">
        <f aca="false">IF(E1227="","",RANK(E1227,$E$2:$E$5001,1))</f>
        <v/>
      </c>
      <c r="G1227" s="0" t="n">
        <f aca="false">IF(A1227="",0,IF(SUMPRODUCT(--($A$2:$A$5001=A1227))&gt;1,1,0))</f>
        <v>0</v>
      </c>
      <c r="H1227" s="0" t="n">
        <f aca="false">ROW()-1</f>
        <v>1226</v>
      </c>
      <c r="I1227" s="0" t="str">
        <f aca="false">IF(OR(הגדרות!$E$6=0,H1227&gt;הגדרות!$E$5),"",IF(H1227-1&lt;הגדרות!$E$8*(הגדרות!$E$7+1),INT((H1227-1)/(הגדרות!$E$7+1)),הגדרות!$E$8+INT((H1227-1-הגדרות!$E$8*(הגדרות!$E$7+1))/הגדרות!$E$7)))</f>
        <v/>
      </c>
      <c r="J1227" s="0" t="str">
        <f aca="false">IF(I1227="","",IF(H1227-1&lt;הגדרות!$E$8*(הגדרות!$E$7+1),MOD(H1227-1,הגדרות!$E$7+1),MOD(H1227-1-הגדרות!$E$8*(הגדרות!$E$7+1),הגדרות!$E$7)))</f>
        <v/>
      </c>
      <c r="K1227" s="0" t="str">
        <f aca="false">IF(I1227="","",J1227*הגדרות!$E$6+I1227+1)</f>
        <v/>
      </c>
      <c r="L1227" s="0" t="str">
        <f aca="false">IF(K1227="","",MATCH(K1227,$F$2:$F$5001,0))</f>
        <v/>
      </c>
      <c r="M1227" s="0" t="str">
        <f aca="false">IF(I1227="","",INDEX(הגדרות!$A$2:$A$21,MOD(I1227+הגדרות!$E$9,הגדרות!$E$6)+1))</f>
        <v/>
      </c>
    </row>
    <row r="1228" customFormat="false" ht="15" hidden="false" customHeight="false" outlineLevel="0" collapsed="false">
      <c r="A1228" s="0" t="str">
        <f aca="false">IF('הדבקת לידים'!A1228="","",IF(ISNUMBER('הדבקת לידים'!A1228),IF(הגדרות!$E$2&gt;0,TEXT('הדבקת לידים'!A1228,REPT("0",הגדרות!$E$2)),TEXT('הדבקת לידים'!A1228,"0")),TRIM('הדבקת לידים'!A1228)))</f>
        <v/>
      </c>
      <c r="B1228" s="0" t="str">
        <f aca="false">IF('הדבקת לידים'!B1228="","",IF(ISNUMBER('הדבקת לידים'!B1228),IF(הגדרות!$E$3&gt;0,TEXT('הדבקת לידים'!B1228,REPT("0",הגדרות!$E$3)),TEXT('הדבקת לידים'!B1228,"0")),TRIM('הדבקת לידים'!B1228)))</f>
        <v/>
      </c>
      <c r="C1228" s="0" t="n">
        <f aca="false">IF(OR(A1228&lt;&gt;"",B1228&lt;&gt;""),1,0)</f>
        <v>0</v>
      </c>
      <c r="D1228" s="0" t="str">
        <f aca="false">IF(C1228=1,MOD(ABS(SIN(ROW()*12.9898+'הדבקת לידים'!$F$2*78.233+IFERROR(--RIGHT(A1228,6),LEN(A1228))*0.0137+IFERROR(--RIGHT(B1228,6),LEN(B1228))*0.0071))*43758.5453,1),"")</f>
        <v/>
      </c>
      <c r="E1228" s="0" t="str">
        <f aca="false">IF(C1228=1,INT(MOD(ABS(SIN(D1228*7919.123+ROW()*0.618+'הדבקת לידים'!$F$2*1.3))*43758.5453,1)*1000000)*10000+ROW(),"")</f>
        <v/>
      </c>
      <c r="F1228" s="0" t="str">
        <f aca="false">IF(E1228="","",RANK(E1228,$E$2:$E$5001,1))</f>
        <v/>
      </c>
      <c r="G1228" s="0" t="n">
        <f aca="false">IF(A1228="",0,IF(SUMPRODUCT(--($A$2:$A$5001=A1228))&gt;1,1,0))</f>
        <v>0</v>
      </c>
      <c r="H1228" s="0" t="n">
        <f aca="false">ROW()-1</f>
        <v>1227</v>
      </c>
      <c r="I1228" s="0" t="str">
        <f aca="false">IF(OR(הגדרות!$E$6=0,H1228&gt;הגדרות!$E$5),"",IF(H1228-1&lt;הגדרות!$E$8*(הגדרות!$E$7+1),INT((H1228-1)/(הגדרות!$E$7+1)),הגדרות!$E$8+INT((H1228-1-הגדרות!$E$8*(הגדרות!$E$7+1))/הגדרות!$E$7)))</f>
        <v/>
      </c>
      <c r="J1228" s="0" t="str">
        <f aca="false">IF(I1228="","",IF(H1228-1&lt;הגדרות!$E$8*(הגדרות!$E$7+1),MOD(H1228-1,הגדרות!$E$7+1),MOD(H1228-1-הגדרות!$E$8*(הגדרות!$E$7+1),הגדרות!$E$7)))</f>
        <v/>
      </c>
      <c r="K1228" s="0" t="str">
        <f aca="false">IF(I1228="","",J1228*הגדרות!$E$6+I1228+1)</f>
        <v/>
      </c>
      <c r="L1228" s="0" t="str">
        <f aca="false">IF(K1228="","",MATCH(K1228,$F$2:$F$5001,0))</f>
        <v/>
      </c>
      <c r="M1228" s="0" t="str">
        <f aca="false">IF(I1228="","",INDEX(הגדרות!$A$2:$A$21,MOD(I1228+הגדרות!$E$9,הגדרות!$E$6)+1))</f>
        <v/>
      </c>
    </row>
    <row r="1229" customFormat="false" ht="15" hidden="false" customHeight="false" outlineLevel="0" collapsed="false">
      <c r="A1229" s="0" t="str">
        <f aca="false">IF('הדבקת לידים'!A1229="","",IF(ISNUMBER('הדבקת לידים'!A1229),IF(הגדרות!$E$2&gt;0,TEXT('הדבקת לידים'!A1229,REPT("0",הגדרות!$E$2)),TEXT('הדבקת לידים'!A1229,"0")),TRIM('הדבקת לידים'!A1229)))</f>
        <v/>
      </c>
      <c r="B1229" s="0" t="str">
        <f aca="false">IF('הדבקת לידים'!B1229="","",IF(ISNUMBER('הדבקת לידים'!B1229),IF(הגדרות!$E$3&gt;0,TEXT('הדבקת לידים'!B1229,REPT("0",הגדרות!$E$3)),TEXT('הדבקת לידים'!B1229,"0")),TRIM('הדבקת לידים'!B1229)))</f>
        <v/>
      </c>
      <c r="C1229" s="0" t="n">
        <f aca="false">IF(OR(A1229&lt;&gt;"",B1229&lt;&gt;""),1,0)</f>
        <v>0</v>
      </c>
      <c r="D1229" s="0" t="str">
        <f aca="false">IF(C1229=1,MOD(ABS(SIN(ROW()*12.9898+'הדבקת לידים'!$F$2*78.233+IFERROR(--RIGHT(A1229,6),LEN(A1229))*0.0137+IFERROR(--RIGHT(B1229,6),LEN(B1229))*0.0071))*43758.5453,1),"")</f>
        <v/>
      </c>
      <c r="E1229" s="0" t="str">
        <f aca="false">IF(C1229=1,INT(MOD(ABS(SIN(D1229*7919.123+ROW()*0.618+'הדבקת לידים'!$F$2*1.3))*43758.5453,1)*1000000)*10000+ROW(),"")</f>
        <v/>
      </c>
      <c r="F1229" s="0" t="str">
        <f aca="false">IF(E1229="","",RANK(E1229,$E$2:$E$5001,1))</f>
        <v/>
      </c>
      <c r="G1229" s="0" t="n">
        <f aca="false">IF(A1229="",0,IF(SUMPRODUCT(--($A$2:$A$5001=A1229))&gt;1,1,0))</f>
        <v>0</v>
      </c>
      <c r="H1229" s="0" t="n">
        <f aca="false">ROW()-1</f>
        <v>1228</v>
      </c>
      <c r="I1229" s="0" t="str">
        <f aca="false">IF(OR(הגדרות!$E$6=0,H1229&gt;הגדרות!$E$5),"",IF(H1229-1&lt;הגדרות!$E$8*(הגדרות!$E$7+1),INT((H1229-1)/(הגדרות!$E$7+1)),הגדרות!$E$8+INT((H1229-1-הגדרות!$E$8*(הגדרות!$E$7+1))/הגדרות!$E$7)))</f>
        <v/>
      </c>
      <c r="J1229" s="0" t="str">
        <f aca="false">IF(I1229="","",IF(H1229-1&lt;הגדרות!$E$8*(הגדרות!$E$7+1),MOD(H1229-1,הגדרות!$E$7+1),MOD(H1229-1-הגדרות!$E$8*(הגדרות!$E$7+1),הגדרות!$E$7)))</f>
        <v/>
      </c>
      <c r="K1229" s="0" t="str">
        <f aca="false">IF(I1229="","",J1229*הגדרות!$E$6+I1229+1)</f>
        <v/>
      </c>
      <c r="L1229" s="0" t="str">
        <f aca="false">IF(K1229="","",MATCH(K1229,$F$2:$F$5001,0))</f>
        <v/>
      </c>
      <c r="M1229" s="0" t="str">
        <f aca="false">IF(I1229="","",INDEX(הגדרות!$A$2:$A$21,MOD(I1229+הגדרות!$E$9,הגדרות!$E$6)+1))</f>
        <v/>
      </c>
    </row>
    <row r="1230" customFormat="false" ht="15" hidden="false" customHeight="false" outlineLevel="0" collapsed="false">
      <c r="A1230" s="0" t="str">
        <f aca="false">IF('הדבקת לידים'!A1230="","",IF(ISNUMBER('הדבקת לידים'!A1230),IF(הגדרות!$E$2&gt;0,TEXT('הדבקת לידים'!A1230,REPT("0",הגדרות!$E$2)),TEXT('הדבקת לידים'!A1230,"0")),TRIM('הדבקת לידים'!A1230)))</f>
        <v/>
      </c>
      <c r="B1230" s="0" t="str">
        <f aca="false">IF('הדבקת לידים'!B1230="","",IF(ISNUMBER('הדבקת לידים'!B1230),IF(הגדרות!$E$3&gt;0,TEXT('הדבקת לידים'!B1230,REPT("0",הגדרות!$E$3)),TEXT('הדבקת לידים'!B1230,"0")),TRIM('הדבקת לידים'!B1230)))</f>
        <v/>
      </c>
      <c r="C1230" s="0" t="n">
        <f aca="false">IF(OR(A1230&lt;&gt;"",B1230&lt;&gt;""),1,0)</f>
        <v>0</v>
      </c>
      <c r="D1230" s="0" t="str">
        <f aca="false">IF(C1230=1,MOD(ABS(SIN(ROW()*12.9898+'הדבקת לידים'!$F$2*78.233+IFERROR(--RIGHT(A1230,6),LEN(A1230))*0.0137+IFERROR(--RIGHT(B1230,6),LEN(B1230))*0.0071))*43758.5453,1),"")</f>
        <v/>
      </c>
      <c r="E1230" s="0" t="str">
        <f aca="false">IF(C1230=1,INT(MOD(ABS(SIN(D1230*7919.123+ROW()*0.618+'הדבקת לידים'!$F$2*1.3))*43758.5453,1)*1000000)*10000+ROW(),"")</f>
        <v/>
      </c>
      <c r="F1230" s="0" t="str">
        <f aca="false">IF(E1230="","",RANK(E1230,$E$2:$E$5001,1))</f>
        <v/>
      </c>
      <c r="G1230" s="0" t="n">
        <f aca="false">IF(A1230="",0,IF(SUMPRODUCT(--($A$2:$A$5001=A1230))&gt;1,1,0))</f>
        <v>0</v>
      </c>
      <c r="H1230" s="0" t="n">
        <f aca="false">ROW()-1</f>
        <v>1229</v>
      </c>
      <c r="I1230" s="0" t="str">
        <f aca="false">IF(OR(הגדרות!$E$6=0,H1230&gt;הגדרות!$E$5),"",IF(H1230-1&lt;הגדרות!$E$8*(הגדרות!$E$7+1),INT((H1230-1)/(הגדרות!$E$7+1)),הגדרות!$E$8+INT((H1230-1-הגדרות!$E$8*(הגדרות!$E$7+1))/הגדרות!$E$7)))</f>
        <v/>
      </c>
      <c r="J1230" s="0" t="str">
        <f aca="false">IF(I1230="","",IF(H1230-1&lt;הגדרות!$E$8*(הגדרות!$E$7+1),MOD(H1230-1,הגדרות!$E$7+1),MOD(H1230-1-הגדרות!$E$8*(הגדרות!$E$7+1),הגדרות!$E$7)))</f>
        <v/>
      </c>
      <c r="K1230" s="0" t="str">
        <f aca="false">IF(I1230="","",J1230*הגדרות!$E$6+I1230+1)</f>
        <v/>
      </c>
      <c r="L1230" s="0" t="str">
        <f aca="false">IF(K1230="","",MATCH(K1230,$F$2:$F$5001,0))</f>
        <v/>
      </c>
      <c r="M1230" s="0" t="str">
        <f aca="false">IF(I1230="","",INDEX(הגדרות!$A$2:$A$21,MOD(I1230+הגדרות!$E$9,הגדרות!$E$6)+1))</f>
        <v/>
      </c>
    </row>
    <row r="1231" customFormat="false" ht="15" hidden="false" customHeight="false" outlineLevel="0" collapsed="false">
      <c r="A1231" s="0" t="str">
        <f aca="false">IF('הדבקת לידים'!A1231="","",IF(ISNUMBER('הדבקת לידים'!A1231),IF(הגדרות!$E$2&gt;0,TEXT('הדבקת לידים'!A1231,REPT("0",הגדרות!$E$2)),TEXT('הדבקת לידים'!A1231,"0")),TRIM('הדבקת לידים'!A1231)))</f>
        <v/>
      </c>
      <c r="B1231" s="0" t="str">
        <f aca="false">IF('הדבקת לידים'!B1231="","",IF(ISNUMBER('הדבקת לידים'!B1231),IF(הגדרות!$E$3&gt;0,TEXT('הדבקת לידים'!B1231,REPT("0",הגדרות!$E$3)),TEXT('הדבקת לידים'!B1231,"0")),TRIM('הדבקת לידים'!B1231)))</f>
        <v/>
      </c>
      <c r="C1231" s="0" t="n">
        <f aca="false">IF(OR(A1231&lt;&gt;"",B1231&lt;&gt;""),1,0)</f>
        <v>0</v>
      </c>
      <c r="D1231" s="0" t="str">
        <f aca="false">IF(C1231=1,MOD(ABS(SIN(ROW()*12.9898+'הדבקת לידים'!$F$2*78.233+IFERROR(--RIGHT(A1231,6),LEN(A1231))*0.0137+IFERROR(--RIGHT(B1231,6),LEN(B1231))*0.0071))*43758.5453,1),"")</f>
        <v/>
      </c>
      <c r="E1231" s="0" t="str">
        <f aca="false">IF(C1231=1,INT(MOD(ABS(SIN(D1231*7919.123+ROW()*0.618+'הדבקת לידים'!$F$2*1.3))*43758.5453,1)*1000000)*10000+ROW(),"")</f>
        <v/>
      </c>
      <c r="F1231" s="0" t="str">
        <f aca="false">IF(E1231="","",RANK(E1231,$E$2:$E$5001,1))</f>
        <v/>
      </c>
      <c r="G1231" s="0" t="n">
        <f aca="false">IF(A1231="",0,IF(SUMPRODUCT(--($A$2:$A$5001=A1231))&gt;1,1,0))</f>
        <v>0</v>
      </c>
      <c r="H1231" s="0" t="n">
        <f aca="false">ROW()-1</f>
        <v>1230</v>
      </c>
      <c r="I1231" s="0" t="str">
        <f aca="false">IF(OR(הגדרות!$E$6=0,H1231&gt;הגדרות!$E$5),"",IF(H1231-1&lt;הגדרות!$E$8*(הגדרות!$E$7+1),INT((H1231-1)/(הגדרות!$E$7+1)),הגדרות!$E$8+INT((H1231-1-הגדרות!$E$8*(הגדרות!$E$7+1))/הגדרות!$E$7)))</f>
        <v/>
      </c>
      <c r="J1231" s="0" t="str">
        <f aca="false">IF(I1231="","",IF(H1231-1&lt;הגדרות!$E$8*(הגדרות!$E$7+1),MOD(H1231-1,הגדרות!$E$7+1),MOD(H1231-1-הגדרות!$E$8*(הגדרות!$E$7+1),הגדרות!$E$7)))</f>
        <v/>
      </c>
      <c r="K1231" s="0" t="str">
        <f aca="false">IF(I1231="","",J1231*הגדרות!$E$6+I1231+1)</f>
        <v/>
      </c>
      <c r="L1231" s="0" t="str">
        <f aca="false">IF(K1231="","",MATCH(K1231,$F$2:$F$5001,0))</f>
        <v/>
      </c>
      <c r="M1231" s="0" t="str">
        <f aca="false">IF(I1231="","",INDEX(הגדרות!$A$2:$A$21,MOD(I1231+הגדרות!$E$9,הגדרות!$E$6)+1))</f>
        <v/>
      </c>
    </row>
    <row r="1232" customFormat="false" ht="15" hidden="false" customHeight="false" outlineLevel="0" collapsed="false">
      <c r="A1232" s="0" t="str">
        <f aca="false">IF('הדבקת לידים'!A1232="","",IF(ISNUMBER('הדבקת לידים'!A1232),IF(הגדרות!$E$2&gt;0,TEXT('הדבקת לידים'!A1232,REPT("0",הגדרות!$E$2)),TEXT('הדבקת לידים'!A1232,"0")),TRIM('הדבקת לידים'!A1232)))</f>
        <v/>
      </c>
      <c r="B1232" s="0" t="str">
        <f aca="false">IF('הדבקת לידים'!B1232="","",IF(ISNUMBER('הדבקת לידים'!B1232),IF(הגדרות!$E$3&gt;0,TEXT('הדבקת לידים'!B1232,REPT("0",הגדרות!$E$3)),TEXT('הדבקת לידים'!B1232,"0")),TRIM('הדבקת לידים'!B1232)))</f>
        <v/>
      </c>
      <c r="C1232" s="0" t="n">
        <f aca="false">IF(OR(A1232&lt;&gt;"",B1232&lt;&gt;""),1,0)</f>
        <v>0</v>
      </c>
      <c r="D1232" s="0" t="str">
        <f aca="false">IF(C1232=1,MOD(ABS(SIN(ROW()*12.9898+'הדבקת לידים'!$F$2*78.233+IFERROR(--RIGHT(A1232,6),LEN(A1232))*0.0137+IFERROR(--RIGHT(B1232,6),LEN(B1232))*0.0071))*43758.5453,1),"")</f>
        <v/>
      </c>
      <c r="E1232" s="0" t="str">
        <f aca="false">IF(C1232=1,INT(MOD(ABS(SIN(D1232*7919.123+ROW()*0.618+'הדבקת לידים'!$F$2*1.3))*43758.5453,1)*1000000)*10000+ROW(),"")</f>
        <v/>
      </c>
      <c r="F1232" s="0" t="str">
        <f aca="false">IF(E1232="","",RANK(E1232,$E$2:$E$5001,1))</f>
        <v/>
      </c>
      <c r="G1232" s="0" t="n">
        <f aca="false">IF(A1232="",0,IF(SUMPRODUCT(--($A$2:$A$5001=A1232))&gt;1,1,0))</f>
        <v>0</v>
      </c>
      <c r="H1232" s="0" t="n">
        <f aca="false">ROW()-1</f>
        <v>1231</v>
      </c>
      <c r="I1232" s="0" t="str">
        <f aca="false">IF(OR(הגדרות!$E$6=0,H1232&gt;הגדרות!$E$5),"",IF(H1232-1&lt;הגדרות!$E$8*(הגדרות!$E$7+1),INT((H1232-1)/(הגדרות!$E$7+1)),הגדרות!$E$8+INT((H1232-1-הגדרות!$E$8*(הגדרות!$E$7+1))/הגדרות!$E$7)))</f>
        <v/>
      </c>
      <c r="J1232" s="0" t="str">
        <f aca="false">IF(I1232="","",IF(H1232-1&lt;הגדרות!$E$8*(הגדרות!$E$7+1),MOD(H1232-1,הגדרות!$E$7+1),MOD(H1232-1-הגדרות!$E$8*(הגדרות!$E$7+1),הגדרות!$E$7)))</f>
        <v/>
      </c>
      <c r="K1232" s="0" t="str">
        <f aca="false">IF(I1232="","",J1232*הגדרות!$E$6+I1232+1)</f>
        <v/>
      </c>
      <c r="L1232" s="0" t="str">
        <f aca="false">IF(K1232="","",MATCH(K1232,$F$2:$F$5001,0))</f>
        <v/>
      </c>
      <c r="M1232" s="0" t="str">
        <f aca="false">IF(I1232="","",INDEX(הגדרות!$A$2:$A$21,MOD(I1232+הגדרות!$E$9,הגדרות!$E$6)+1))</f>
        <v/>
      </c>
    </row>
    <row r="1233" customFormat="false" ht="15" hidden="false" customHeight="false" outlineLevel="0" collapsed="false">
      <c r="A1233" s="0" t="str">
        <f aca="false">IF('הדבקת לידים'!A1233="","",IF(ISNUMBER('הדבקת לידים'!A1233),IF(הגדרות!$E$2&gt;0,TEXT('הדבקת לידים'!A1233,REPT("0",הגדרות!$E$2)),TEXT('הדבקת לידים'!A1233,"0")),TRIM('הדבקת לידים'!A1233)))</f>
        <v/>
      </c>
      <c r="B1233" s="0" t="str">
        <f aca="false">IF('הדבקת לידים'!B1233="","",IF(ISNUMBER('הדבקת לידים'!B1233),IF(הגדרות!$E$3&gt;0,TEXT('הדבקת לידים'!B1233,REPT("0",הגדרות!$E$3)),TEXT('הדבקת לידים'!B1233,"0")),TRIM('הדבקת לידים'!B1233)))</f>
        <v/>
      </c>
      <c r="C1233" s="0" t="n">
        <f aca="false">IF(OR(A1233&lt;&gt;"",B1233&lt;&gt;""),1,0)</f>
        <v>0</v>
      </c>
      <c r="D1233" s="0" t="str">
        <f aca="false">IF(C1233=1,MOD(ABS(SIN(ROW()*12.9898+'הדבקת לידים'!$F$2*78.233+IFERROR(--RIGHT(A1233,6),LEN(A1233))*0.0137+IFERROR(--RIGHT(B1233,6),LEN(B1233))*0.0071))*43758.5453,1),"")</f>
        <v/>
      </c>
      <c r="E1233" s="0" t="str">
        <f aca="false">IF(C1233=1,INT(MOD(ABS(SIN(D1233*7919.123+ROW()*0.618+'הדבקת לידים'!$F$2*1.3))*43758.5453,1)*1000000)*10000+ROW(),"")</f>
        <v/>
      </c>
      <c r="F1233" s="0" t="str">
        <f aca="false">IF(E1233="","",RANK(E1233,$E$2:$E$5001,1))</f>
        <v/>
      </c>
      <c r="G1233" s="0" t="n">
        <f aca="false">IF(A1233="",0,IF(SUMPRODUCT(--($A$2:$A$5001=A1233))&gt;1,1,0))</f>
        <v>0</v>
      </c>
      <c r="H1233" s="0" t="n">
        <f aca="false">ROW()-1</f>
        <v>1232</v>
      </c>
      <c r="I1233" s="0" t="str">
        <f aca="false">IF(OR(הגדרות!$E$6=0,H1233&gt;הגדרות!$E$5),"",IF(H1233-1&lt;הגדרות!$E$8*(הגדרות!$E$7+1),INT((H1233-1)/(הגדרות!$E$7+1)),הגדרות!$E$8+INT((H1233-1-הגדרות!$E$8*(הגדרות!$E$7+1))/הגדרות!$E$7)))</f>
        <v/>
      </c>
      <c r="J1233" s="0" t="str">
        <f aca="false">IF(I1233="","",IF(H1233-1&lt;הגדרות!$E$8*(הגדרות!$E$7+1),MOD(H1233-1,הגדרות!$E$7+1),MOD(H1233-1-הגדרות!$E$8*(הגדרות!$E$7+1),הגדרות!$E$7)))</f>
        <v/>
      </c>
      <c r="K1233" s="0" t="str">
        <f aca="false">IF(I1233="","",J1233*הגדרות!$E$6+I1233+1)</f>
        <v/>
      </c>
      <c r="L1233" s="0" t="str">
        <f aca="false">IF(K1233="","",MATCH(K1233,$F$2:$F$5001,0))</f>
        <v/>
      </c>
      <c r="M1233" s="0" t="str">
        <f aca="false">IF(I1233="","",INDEX(הגדרות!$A$2:$A$21,MOD(I1233+הגדרות!$E$9,הגדרות!$E$6)+1))</f>
        <v/>
      </c>
    </row>
    <row r="1234" customFormat="false" ht="15" hidden="false" customHeight="false" outlineLevel="0" collapsed="false">
      <c r="A1234" s="0" t="str">
        <f aca="false">IF('הדבקת לידים'!A1234="","",IF(ISNUMBER('הדבקת לידים'!A1234),IF(הגדרות!$E$2&gt;0,TEXT('הדבקת לידים'!A1234,REPT("0",הגדרות!$E$2)),TEXT('הדבקת לידים'!A1234,"0")),TRIM('הדבקת לידים'!A1234)))</f>
        <v/>
      </c>
      <c r="B1234" s="0" t="str">
        <f aca="false">IF('הדבקת לידים'!B1234="","",IF(ISNUMBER('הדבקת לידים'!B1234),IF(הגדרות!$E$3&gt;0,TEXT('הדבקת לידים'!B1234,REPT("0",הגדרות!$E$3)),TEXT('הדבקת לידים'!B1234,"0")),TRIM('הדבקת לידים'!B1234)))</f>
        <v/>
      </c>
      <c r="C1234" s="0" t="n">
        <f aca="false">IF(OR(A1234&lt;&gt;"",B1234&lt;&gt;""),1,0)</f>
        <v>0</v>
      </c>
      <c r="D1234" s="0" t="str">
        <f aca="false">IF(C1234=1,MOD(ABS(SIN(ROW()*12.9898+'הדבקת לידים'!$F$2*78.233+IFERROR(--RIGHT(A1234,6),LEN(A1234))*0.0137+IFERROR(--RIGHT(B1234,6),LEN(B1234))*0.0071))*43758.5453,1),"")</f>
        <v/>
      </c>
      <c r="E1234" s="0" t="str">
        <f aca="false">IF(C1234=1,INT(MOD(ABS(SIN(D1234*7919.123+ROW()*0.618+'הדבקת לידים'!$F$2*1.3))*43758.5453,1)*1000000)*10000+ROW(),"")</f>
        <v/>
      </c>
      <c r="F1234" s="0" t="str">
        <f aca="false">IF(E1234="","",RANK(E1234,$E$2:$E$5001,1))</f>
        <v/>
      </c>
      <c r="G1234" s="0" t="n">
        <f aca="false">IF(A1234="",0,IF(SUMPRODUCT(--($A$2:$A$5001=A1234))&gt;1,1,0))</f>
        <v>0</v>
      </c>
      <c r="H1234" s="0" t="n">
        <f aca="false">ROW()-1</f>
        <v>1233</v>
      </c>
      <c r="I1234" s="0" t="str">
        <f aca="false">IF(OR(הגדרות!$E$6=0,H1234&gt;הגדרות!$E$5),"",IF(H1234-1&lt;הגדרות!$E$8*(הגדרות!$E$7+1),INT((H1234-1)/(הגדרות!$E$7+1)),הגדרות!$E$8+INT((H1234-1-הגדרות!$E$8*(הגדרות!$E$7+1))/הגדרות!$E$7)))</f>
        <v/>
      </c>
      <c r="J1234" s="0" t="str">
        <f aca="false">IF(I1234="","",IF(H1234-1&lt;הגדרות!$E$8*(הגדרות!$E$7+1),MOD(H1234-1,הגדרות!$E$7+1),MOD(H1234-1-הגדרות!$E$8*(הגדרות!$E$7+1),הגדרות!$E$7)))</f>
        <v/>
      </c>
      <c r="K1234" s="0" t="str">
        <f aca="false">IF(I1234="","",J1234*הגדרות!$E$6+I1234+1)</f>
        <v/>
      </c>
      <c r="L1234" s="0" t="str">
        <f aca="false">IF(K1234="","",MATCH(K1234,$F$2:$F$5001,0))</f>
        <v/>
      </c>
      <c r="M1234" s="0" t="str">
        <f aca="false">IF(I1234="","",INDEX(הגדרות!$A$2:$A$21,MOD(I1234+הגדרות!$E$9,הגדרות!$E$6)+1))</f>
        <v/>
      </c>
    </row>
    <row r="1235" customFormat="false" ht="15" hidden="false" customHeight="false" outlineLevel="0" collapsed="false">
      <c r="A1235" s="0" t="str">
        <f aca="false">IF('הדבקת לידים'!A1235="","",IF(ISNUMBER('הדבקת לידים'!A1235),IF(הגדרות!$E$2&gt;0,TEXT('הדבקת לידים'!A1235,REPT("0",הגדרות!$E$2)),TEXT('הדבקת לידים'!A1235,"0")),TRIM('הדבקת לידים'!A1235)))</f>
        <v/>
      </c>
      <c r="B1235" s="0" t="str">
        <f aca="false">IF('הדבקת לידים'!B1235="","",IF(ISNUMBER('הדבקת לידים'!B1235),IF(הגדרות!$E$3&gt;0,TEXT('הדבקת לידים'!B1235,REPT("0",הגדרות!$E$3)),TEXT('הדבקת לידים'!B1235,"0")),TRIM('הדבקת לידים'!B1235)))</f>
        <v/>
      </c>
      <c r="C1235" s="0" t="n">
        <f aca="false">IF(OR(A1235&lt;&gt;"",B1235&lt;&gt;""),1,0)</f>
        <v>0</v>
      </c>
      <c r="D1235" s="0" t="str">
        <f aca="false">IF(C1235=1,MOD(ABS(SIN(ROW()*12.9898+'הדבקת לידים'!$F$2*78.233+IFERROR(--RIGHT(A1235,6),LEN(A1235))*0.0137+IFERROR(--RIGHT(B1235,6),LEN(B1235))*0.0071))*43758.5453,1),"")</f>
        <v/>
      </c>
      <c r="E1235" s="0" t="str">
        <f aca="false">IF(C1235=1,INT(MOD(ABS(SIN(D1235*7919.123+ROW()*0.618+'הדבקת לידים'!$F$2*1.3))*43758.5453,1)*1000000)*10000+ROW(),"")</f>
        <v/>
      </c>
      <c r="F1235" s="0" t="str">
        <f aca="false">IF(E1235="","",RANK(E1235,$E$2:$E$5001,1))</f>
        <v/>
      </c>
      <c r="G1235" s="0" t="n">
        <f aca="false">IF(A1235="",0,IF(SUMPRODUCT(--($A$2:$A$5001=A1235))&gt;1,1,0))</f>
        <v>0</v>
      </c>
      <c r="H1235" s="0" t="n">
        <f aca="false">ROW()-1</f>
        <v>1234</v>
      </c>
      <c r="I1235" s="0" t="str">
        <f aca="false">IF(OR(הגדרות!$E$6=0,H1235&gt;הגדרות!$E$5),"",IF(H1235-1&lt;הגדרות!$E$8*(הגדרות!$E$7+1),INT((H1235-1)/(הגדרות!$E$7+1)),הגדרות!$E$8+INT((H1235-1-הגדרות!$E$8*(הגדרות!$E$7+1))/הגדרות!$E$7)))</f>
        <v/>
      </c>
      <c r="J1235" s="0" t="str">
        <f aca="false">IF(I1235="","",IF(H1235-1&lt;הגדרות!$E$8*(הגדרות!$E$7+1),MOD(H1235-1,הגדרות!$E$7+1),MOD(H1235-1-הגדרות!$E$8*(הגדרות!$E$7+1),הגדרות!$E$7)))</f>
        <v/>
      </c>
      <c r="K1235" s="0" t="str">
        <f aca="false">IF(I1235="","",J1235*הגדרות!$E$6+I1235+1)</f>
        <v/>
      </c>
      <c r="L1235" s="0" t="str">
        <f aca="false">IF(K1235="","",MATCH(K1235,$F$2:$F$5001,0))</f>
        <v/>
      </c>
      <c r="M1235" s="0" t="str">
        <f aca="false">IF(I1235="","",INDEX(הגדרות!$A$2:$A$21,MOD(I1235+הגדרות!$E$9,הגדרות!$E$6)+1))</f>
        <v/>
      </c>
    </row>
    <row r="1236" customFormat="false" ht="15" hidden="false" customHeight="false" outlineLevel="0" collapsed="false">
      <c r="A1236" s="0" t="str">
        <f aca="false">IF('הדבקת לידים'!A1236="","",IF(ISNUMBER('הדבקת לידים'!A1236),IF(הגדרות!$E$2&gt;0,TEXT('הדבקת לידים'!A1236,REPT("0",הגדרות!$E$2)),TEXT('הדבקת לידים'!A1236,"0")),TRIM('הדבקת לידים'!A1236)))</f>
        <v/>
      </c>
      <c r="B1236" s="0" t="str">
        <f aca="false">IF('הדבקת לידים'!B1236="","",IF(ISNUMBER('הדבקת לידים'!B1236),IF(הגדרות!$E$3&gt;0,TEXT('הדבקת לידים'!B1236,REPT("0",הגדרות!$E$3)),TEXT('הדבקת לידים'!B1236,"0")),TRIM('הדבקת לידים'!B1236)))</f>
        <v/>
      </c>
      <c r="C1236" s="0" t="n">
        <f aca="false">IF(OR(A1236&lt;&gt;"",B1236&lt;&gt;""),1,0)</f>
        <v>0</v>
      </c>
      <c r="D1236" s="0" t="str">
        <f aca="false">IF(C1236=1,MOD(ABS(SIN(ROW()*12.9898+'הדבקת לידים'!$F$2*78.233+IFERROR(--RIGHT(A1236,6),LEN(A1236))*0.0137+IFERROR(--RIGHT(B1236,6),LEN(B1236))*0.0071))*43758.5453,1),"")</f>
        <v/>
      </c>
      <c r="E1236" s="0" t="str">
        <f aca="false">IF(C1236=1,INT(MOD(ABS(SIN(D1236*7919.123+ROW()*0.618+'הדבקת לידים'!$F$2*1.3))*43758.5453,1)*1000000)*10000+ROW(),"")</f>
        <v/>
      </c>
      <c r="F1236" s="0" t="str">
        <f aca="false">IF(E1236="","",RANK(E1236,$E$2:$E$5001,1))</f>
        <v/>
      </c>
      <c r="G1236" s="0" t="n">
        <f aca="false">IF(A1236="",0,IF(SUMPRODUCT(--($A$2:$A$5001=A1236))&gt;1,1,0))</f>
        <v>0</v>
      </c>
      <c r="H1236" s="0" t="n">
        <f aca="false">ROW()-1</f>
        <v>1235</v>
      </c>
      <c r="I1236" s="0" t="str">
        <f aca="false">IF(OR(הגדרות!$E$6=0,H1236&gt;הגדרות!$E$5),"",IF(H1236-1&lt;הגדרות!$E$8*(הגדרות!$E$7+1),INT((H1236-1)/(הגדרות!$E$7+1)),הגדרות!$E$8+INT((H1236-1-הגדרות!$E$8*(הגדרות!$E$7+1))/הגדרות!$E$7)))</f>
        <v/>
      </c>
      <c r="J1236" s="0" t="str">
        <f aca="false">IF(I1236="","",IF(H1236-1&lt;הגדרות!$E$8*(הגדרות!$E$7+1),MOD(H1236-1,הגדרות!$E$7+1),MOD(H1236-1-הגדרות!$E$8*(הגדרות!$E$7+1),הגדרות!$E$7)))</f>
        <v/>
      </c>
      <c r="K1236" s="0" t="str">
        <f aca="false">IF(I1236="","",J1236*הגדרות!$E$6+I1236+1)</f>
        <v/>
      </c>
      <c r="L1236" s="0" t="str">
        <f aca="false">IF(K1236="","",MATCH(K1236,$F$2:$F$5001,0))</f>
        <v/>
      </c>
      <c r="M1236" s="0" t="str">
        <f aca="false">IF(I1236="","",INDEX(הגדרות!$A$2:$A$21,MOD(I1236+הגדרות!$E$9,הגדרות!$E$6)+1))</f>
        <v/>
      </c>
    </row>
    <row r="1237" customFormat="false" ht="15" hidden="false" customHeight="false" outlineLevel="0" collapsed="false">
      <c r="A1237" s="0" t="str">
        <f aca="false">IF('הדבקת לידים'!A1237="","",IF(ISNUMBER('הדבקת לידים'!A1237),IF(הגדרות!$E$2&gt;0,TEXT('הדבקת לידים'!A1237,REPT("0",הגדרות!$E$2)),TEXT('הדבקת לידים'!A1237,"0")),TRIM('הדבקת לידים'!A1237)))</f>
        <v/>
      </c>
      <c r="B1237" s="0" t="str">
        <f aca="false">IF('הדבקת לידים'!B1237="","",IF(ISNUMBER('הדבקת לידים'!B1237),IF(הגדרות!$E$3&gt;0,TEXT('הדבקת לידים'!B1237,REPT("0",הגדרות!$E$3)),TEXT('הדבקת לידים'!B1237,"0")),TRIM('הדבקת לידים'!B1237)))</f>
        <v/>
      </c>
      <c r="C1237" s="0" t="n">
        <f aca="false">IF(OR(A1237&lt;&gt;"",B1237&lt;&gt;""),1,0)</f>
        <v>0</v>
      </c>
      <c r="D1237" s="0" t="str">
        <f aca="false">IF(C1237=1,MOD(ABS(SIN(ROW()*12.9898+'הדבקת לידים'!$F$2*78.233+IFERROR(--RIGHT(A1237,6),LEN(A1237))*0.0137+IFERROR(--RIGHT(B1237,6),LEN(B1237))*0.0071))*43758.5453,1),"")</f>
        <v/>
      </c>
      <c r="E1237" s="0" t="str">
        <f aca="false">IF(C1237=1,INT(MOD(ABS(SIN(D1237*7919.123+ROW()*0.618+'הדבקת לידים'!$F$2*1.3))*43758.5453,1)*1000000)*10000+ROW(),"")</f>
        <v/>
      </c>
      <c r="F1237" s="0" t="str">
        <f aca="false">IF(E1237="","",RANK(E1237,$E$2:$E$5001,1))</f>
        <v/>
      </c>
      <c r="G1237" s="0" t="n">
        <f aca="false">IF(A1237="",0,IF(SUMPRODUCT(--($A$2:$A$5001=A1237))&gt;1,1,0))</f>
        <v>0</v>
      </c>
      <c r="H1237" s="0" t="n">
        <f aca="false">ROW()-1</f>
        <v>1236</v>
      </c>
      <c r="I1237" s="0" t="str">
        <f aca="false">IF(OR(הגדרות!$E$6=0,H1237&gt;הגדרות!$E$5),"",IF(H1237-1&lt;הגדרות!$E$8*(הגדרות!$E$7+1),INT((H1237-1)/(הגדרות!$E$7+1)),הגדרות!$E$8+INT((H1237-1-הגדרות!$E$8*(הגדרות!$E$7+1))/הגדרות!$E$7)))</f>
        <v/>
      </c>
      <c r="J1237" s="0" t="str">
        <f aca="false">IF(I1237="","",IF(H1237-1&lt;הגדרות!$E$8*(הגדרות!$E$7+1),MOD(H1237-1,הגדרות!$E$7+1),MOD(H1237-1-הגדרות!$E$8*(הגדרות!$E$7+1),הגדרות!$E$7)))</f>
        <v/>
      </c>
      <c r="K1237" s="0" t="str">
        <f aca="false">IF(I1237="","",J1237*הגדרות!$E$6+I1237+1)</f>
        <v/>
      </c>
      <c r="L1237" s="0" t="str">
        <f aca="false">IF(K1237="","",MATCH(K1237,$F$2:$F$5001,0))</f>
        <v/>
      </c>
      <c r="M1237" s="0" t="str">
        <f aca="false">IF(I1237="","",INDEX(הגדרות!$A$2:$A$21,MOD(I1237+הגדרות!$E$9,הגדרות!$E$6)+1))</f>
        <v/>
      </c>
    </row>
    <row r="1238" customFormat="false" ht="15" hidden="false" customHeight="false" outlineLevel="0" collapsed="false">
      <c r="A1238" s="0" t="str">
        <f aca="false">IF('הדבקת לידים'!A1238="","",IF(ISNUMBER('הדבקת לידים'!A1238),IF(הגדרות!$E$2&gt;0,TEXT('הדבקת לידים'!A1238,REPT("0",הגדרות!$E$2)),TEXT('הדבקת לידים'!A1238,"0")),TRIM('הדבקת לידים'!A1238)))</f>
        <v/>
      </c>
      <c r="B1238" s="0" t="str">
        <f aca="false">IF('הדבקת לידים'!B1238="","",IF(ISNUMBER('הדבקת לידים'!B1238),IF(הגדרות!$E$3&gt;0,TEXT('הדבקת לידים'!B1238,REPT("0",הגדרות!$E$3)),TEXT('הדבקת לידים'!B1238,"0")),TRIM('הדבקת לידים'!B1238)))</f>
        <v/>
      </c>
      <c r="C1238" s="0" t="n">
        <f aca="false">IF(OR(A1238&lt;&gt;"",B1238&lt;&gt;""),1,0)</f>
        <v>0</v>
      </c>
      <c r="D1238" s="0" t="str">
        <f aca="false">IF(C1238=1,MOD(ABS(SIN(ROW()*12.9898+'הדבקת לידים'!$F$2*78.233+IFERROR(--RIGHT(A1238,6),LEN(A1238))*0.0137+IFERROR(--RIGHT(B1238,6),LEN(B1238))*0.0071))*43758.5453,1),"")</f>
        <v/>
      </c>
      <c r="E1238" s="0" t="str">
        <f aca="false">IF(C1238=1,INT(MOD(ABS(SIN(D1238*7919.123+ROW()*0.618+'הדבקת לידים'!$F$2*1.3))*43758.5453,1)*1000000)*10000+ROW(),"")</f>
        <v/>
      </c>
      <c r="F1238" s="0" t="str">
        <f aca="false">IF(E1238="","",RANK(E1238,$E$2:$E$5001,1))</f>
        <v/>
      </c>
      <c r="G1238" s="0" t="n">
        <f aca="false">IF(A1238="",0,IF(SUMPRODUCT(--($A$2:$A$5001=A1238))&gt;1,1,0))</f>
        <v>0</v>
      </c>
      <c r="H1238" s="0" t="n">
        <f aca="false">ROW()-1</f>
        <v>1237</v>
      </c>
      <c r="I1238" s="0" t="str">
        <f aca="false">IF(OR(הגדרות!$E$6=0,H1238&gt;הגדרות!$E$5),"",IF(H1238-1&lt;הגדרות!$E$8*(הגדרות!$E$7+1),INT((H1238-1)/(הגדרות!$E$7+1)),הגדרות!$E$8+INT((H1238-1-הגדרות!$E$8*(הגדרות!$E$7+1))/הגדרות!$E$7)))</f>
        <v/>
      </c>
      <c r="J1238" s="0" t="str">
        <f aca="false">IF(I1238="","",IF(H1238-1&lt;הגדרות!$E$8*(הגדרות!$E$7+1),MOD(H1238-1,הגדרות!$E$7+1),MOD(H1238-1-הגדרות!$E$8*(הגדרות!$E$7+1),הגדרות!$E$7)))</f>
        <v/>
      </c>
      <c r="K1238" s="0" t="str">
        <f aca="false">IF(I1238="","",J1238*הגדרות!$E$6+I1238+1)</f>
        <v/>
      </c>
      <c r="L1238" s="0" t="str">
        <f aca="false">IF(K1238="","",MATCH(K1238,$F$2:$F$5001,0))</f>
        <v/>
      </c>
      <c r="M1238" s="0" t="str">
        <f aca="false">IF(I1238="","",INDEX(הגדרות!$A$2:$A$21,MOD(I1238+הגדרות!$E$9,הגדרות!$E$6)+1))</f>
        <v/>
      </c>
    </row>
    <row r="1239" customFormat="false" ht="15" hidden="false" customHeight="false" outlineLevel="0" collapsed="false">
      <c r="A1239" s="0" t="str">
        <f aca="false">IF('הדבקת לידים'!A1239="","",IF(ISNUMBER('הדבקת לידים'!A1239),IF(הגדרות!$E$2&gt;0,TEXT('הדבקת לידים'!A1239,REPT("0",הגדרות!$E$2)),TEXT('הדבקת לידים'!A1239,"0")),TRIM('הדבקת לידים'!A1239)))</f>
        <v/>
      </c>
      <c r="B1239" s="0" t="str">
        <f aca="false">IF('הדבקת לידים'!B1239="","",IF(ISNUMBER('הדבקת לידים'!B1239),IF(הגדרות!$E$3&gt;0,TEXT('הדבקת לידים'!B1239,REPT("0",הגדרות!$E$3)),TEXT('הדבקת לידים'!B1239,"0")),TRIM('הדבקת לידים'!B1239)))</f>
        <v/>
      </c>
      <c r="C1239" s="0" t="n">
        <f aca="false">IF(OR(A1239&lt;&gt;"",B1239&lt;&gt;""),1,0)</f>
        <v>0</v>
      </c>
      <c r="D1239" s="0" t="str">
        <f aca="false">IF(C1239=1,MOD(ABS(SIN(ROW()*12.9898+'הדבקת לידים'!$F$2*78.233+IFERROR(--RIGHT(A1239,6),LEN(A1239))*0.0137+IFERROR(--RIGHT(B1239,6),LEN(B1239))*0.0071))*43758.5453,1),"")</f>
        <v/>
      </c>
      <c r="E1239" s="0" t="str">
        <f aca="false">IF(C1239=1,INT(MOD(ABS(SIN(D1239*7919.123+ROW()*0.618+'הדבקת לידים'!$F$2*1.3))*43758.5453,1)*1000000)*10000+ROW(),"")</f>
        <v/>
      </c>
      <c r="F1239" s="0" t="str">
        <f aca="false">IF(E1239="","",RANK(E1239,$E$2:$E$5001,1))</f>
        <v/>
      </c>
      <c r="G1239" s="0" t="n">
        <f aca="false">IF(A1239="",0,IF(SUMPRODUCT(--($A$2:$A$5001=A1239))&gt;1,1,0))</f>
        <v>0</v>
      </c>
      <c r="H1239" s="0" t="n">
        <f aca="false">ROW()-1</f>
        <v>1238</v>
      </c>
      <c r="I1239" s="0" t="str">
        <f aca="false">IF(OR(הגדרות!$E$6=0,H1239&gt;הגדרות!$E$5),"",IF(H1239-1&lt;הגדרות!$E$8*(הגדרות!$E$7+1),INT((H1239-1)/(הגדרות!$E$7+1)),הגדרות!$E$8+INT((H1239-1-הגדרות!$E$8*(הגדרות!$E$7+1))/הגדרות!$E$7)))</f>
        <v/>
      </c>
      <c r="J1239" s="0" t="str">
        <f aca="false">IF(I1239="","",IF(H1239-1&lt;הגדרות!$E$8*(הגדרות!$E$7+1),MOD(H1239-1,הגדרות!$E$7+1),MOD(H1239-1-הגדרות!$E$8*(הגדרות!$E$7+1),הגדרות!$E$7)))</f>
        <v/>
      </c>
      <c r="K1239" s="0" t="str">
        <f aca="false">IF(I1239="","",J1239*הגדרות!$E$6+I1239+1)</f>
        <v/>
      </c>
      <c r="L1239" s="0" t="str">
        <f aca="false">IF(K1239="","",MATCH(K1239,$F$2:$F$5001,0))</f>
        <v/>
      </c>
      <c r="M1239" s="0" t="str">
        <f aca="false">IF(I1239="","",INDEX(הגדרות!$A$2:$A$21,MOD(I1239+הגדרות!$E$9,הגדרות!$E$6)+1))</f>
        <v/>
      </c>
    </row>
    <row r="1240" customFormat="false" ht="15" hidden="false" customHeight="false" outlineLevel="0" collapsed="false">
      <c r="A1240" s="0" t="str">
        <f aca="false">IF('הדבקת לידים'!A1240="","",IF(ISNUMBER('הדבקת לידים'!A1240),IF(הגדרות!$E$2&gt;0,TEXT('הדבקת לידים'!A1240,REPT("0",הגדרות!$E$2)),TEXT('הדבקת לידים'!A1240,"0")),TRIM('הדבקת לידים'!A1240)))</f>
        <v/>
      </c>
      <c r="B1240" s="0" t="str">
        <f aca="false">IF('הדבקת לידים'!B1240="","",IF(ISNUMBER('הדבקת לידים'!B1240),IF(הגדרות!$E$3&gt;0,TEXT('הדבקת לידים'!B1240,REPT("0",הגדרות!$E$3)),TEXT('הדבקת לידים'!B1240,"0")),TRIM('הדבקת לידים'!B1240)))</f>
        <v/>
      </c>
      <c r="C1240" s="0" t="n">
        <f aca="false">IF(OR(A1240&lt;&gt;"",B1240&lt;&gt;""),1,0)</f>
        <v>0</v>
      </c>
      <c r="D1240" s="0" t="str">
        <f aca="false">IF(C1240=1,MOD(ABS(SIN(ROW()*12.9898+'הדבקת לידים'!$F$2*78.233+IFERROR(--RIGHT(A1240,6),LEN(A1240))*0.0137+IFERROR(--RIGHT(B1240,6),LEN(B1240))*0.0071))*43758.5453,1),"")</f>
        <v/>
      </c>
      <c r="E1240" s="0" t="str">
        <f aca="false">IF(C1240=1,INT(MOD(ABS(SIN(D1240*7919.123+ROW()*0.618+'הדבקת לידים'!$F$2*1.3))*43758.5453,1)*1000000)*10000+ROW(),"")</f>
        <v/>
      </c>
      <c r="F1240" s="0" t="str">
        <f aca="false">IF(E1240="","",RANK(E1240,$E$2:$E$5001,1))</f>
        <v/>
      </c>
      <c r="G1240" s="0" t="n">
        <f aca="false">IF(A1240="",0,IF(SUMPRODUCT(--($A$2:$A$5001=A1240))&gt;1,1,0))</f>
        <v>0</v>
      </c>
      <c r="H1240" s="0" t="n">
        <f aca="false">ROW()-1</f>
        <v>1239</v>
      </c>
      <c r="I1240" s="0" t="str">
        <f aca="false">IF(OR(הגדרות!$E$6=0,H1240&gt;הגדרות!$E$5),"",IF(H1240-1&lt;הגדרות!$E$8*(הגדרות!$E$7+1),INT((H1240-1)/(הגדרות!$E$7+1)),הגדרות!$E$8+INT((H1240-1-הגדרות!$E$8*(הגדרות!$E$7+1))/הגדרות!$E$7)))</f>
        <v/>
      </c>
      <c r="J1240" s="0" t="str">
        <f aca="false">IF(I1240="","",IF(H1240-1&lt;הגדרות!$E$8*(הגדרות!$E$7+1),MOD(H1240-1,הגדרות!$E$7+1),MOD(H1240-1-הגדרות!$E$8*(הגדרות!$E$7+1),הגדרות!$E$7)))</f>
        <v/>
      </c>
      <c r="K1240" s="0" t="str">
        <f aca="false">IF(I1240="","",J1240*הגדרות!$E$6+I1240+1)</f>
        <v/>
      </c>
      <c r="L1240" s="0" t="str">
        <f aca="false">IF(K1240="","",MATCH(K1240,$F$2:$F$5001,0))</f>
        <v/>
      </c>
      <c r="M1240" s="0" t="str">
        <f aca="false">IF(I1240="","",INDEX(הגדרות!$A$2:$A$21,MOD(I1240+הגדרות!$E$9,הגדרות!$E$6)+1))</f>
        <v/>
      </c>
    </row>
    <row r="1241" customFormat="false" ht="15" hidden="false" customHeight="false" outlineLevel="0" collapsed="false">
      <c r="A1241" s="0" t="str">
        <f aca="false">IF('הדבקת לידים'!A1241="","",IF(ISNUMBER('הדבקת לידים'!A1241),IF(הגדרות!$E$2&gt;0,TEXT('הדבקת לידים'!A1241,REPT("0",הגדרות!$E$2)),TEXT('הדבקת לידים'!A1241,"0")),TRIM('הדבקת לידים'!A1241)))</f>
        <v/>
      </c>
      <c r="B1241" s="0" t="str">
        <f aca="false">IF('הדבקת לידים'!B1241="","",IF(ISNUMBER('הדבקת לידים'!B1241),IF(הגדרות!$E$3&gt;0,TEXT('הדבקת לידים'!B1241,REPT("0",הגדרות!$E$3)),TEXT('הדבקת לידים'!B1241,"0")),TRIM('הדבקת לידים'!B1241)))</f>
        <v/>
      </c>
      <c r="C1241" s="0" t="n">
        <f aca="false">IF(OR(A1241&lt;&gt;"",B1241&lt;&gt;""),1,0)</f>
        <v>0</v>
      </c>
      <c r="D1241" s="0" t="str">
        <f aca="false">IF(C1241=1,MOD(ABS(SIN(ROW()*12.9898+'הדבקת לידים'!$F$2*78.233+IFERROR(--RIGHT(A1241,6),LEN(A1241))*0.0137+IFERROR(--RIGHT(B1241,6),LEN(B1241))*0.0071))*43758.5453,1),"")</f>
        <v/>
      </c>
      <c r="E1241" s="0" t="str">
        <f aca="false">IF(C1241=1,INT(MOD(ABS(SIN(D1241*7919.123+ROW()*0.618+'הדבקת לידים'!$F$2*1.3))*43758.5453,1)*1000000)*10000+ROW(),"")</f>
        <v/>
      </c>
      <c r="F1241" s="0" t="str">
        <f aca="false">IF(E1241="","",RANK(E1241,$E$2:$E$5001,1))</f>
        <v/>
      </c>
      <c r="G1241" s="0" t="n">
        <f aca="false">IF(A1241="",0,IF(SUMPRODUCT(--($A$2:$A$5001=A1241))&gt;1,1,0))</f>
        <v>0</v>
      </c>
      <c r="H1241" s="0" t="n">
        <f aca="false">ROW()-1</f>
        <v>1240</v>
      </c>
      <c r="I1241" s="0" t="str">
        <f aca="false">IF(OR(הגדרות!$E$6=0,H1241&gt;הגדרות!$E$5),"",IF(H1241-1&lt;הגדרות!$E$8*(הגדרות!$E$7+1),INT((H1241-1)/(הגדרות!$E$7+1)),הגדרות!$E$8+INT((H1241-1-הגדרות!$E$8*(הגדרות!$E$7+1))/הגדרות!$E$7)))</f>
        <v/>
      </c>
      <c r="J1241" s="0" t="str">
        <f aca="false">IF(I1241="","",IF(H1241-1&lt;הגדרות!$E$8*(הגדרות!$E$7+1),MOD(H1241-1,הגדרות!$E$7+1),MOD(H1241-1-הגדרות!$E$8*(הגדרות!$E$7+1),הגדרות!$E$7)))</f>
        <v/>
      </c>
      <c r="K1241" s="0" t="str">
        <f aca="false">IF(I1241="","",J1241*הגדרות!$E$6+I1241+1)</f>
        <v/>
      </c>
      <c r="L1241" s="0" t="str">
        <f aca="false">IF(K1241="","",MATCH(K1241,$F$2:$F$5001,0))</f>
        <v/>
      </c>
      <c r="M1241" s="0" t="str">
        <f aca="false">IF(I1241="","",INDEX(הגדרות!$A$2:$A$21,MOD(I1241+הגדרות!$E$9,הגדרות!$E$6)+1))</f>
        <v/>
      </c>
    </row>
    <row r="1242" customFormat="false" ht="15" hidden="false" customHeight="false" outlineLevel="0" collapsed="false">
      <c r="A1242" s="0" t="str">
        <f aca="false">IF('הדבקת לידים'!A1242="","",IF(ISNUMBER('הדבקת לידים'!A1242),IF(הגדרות!$E$2&gt;0,TEXT('הדבקת לידים'!A1242,REPT("0",הגדרות!$E$2)),TEXT('הדבקת לידים'!A1242,"0")),TRIM('הדבקת לידים'!A1242)))</f>
        <v/>
      </c>
      <c r="B1242" s="0" t="str">
        <f aca="false">IF('הדבקת לידים'!B1242="","",IF(ISNUMBER('הדבקת לידים'!B1242),IF(הגדרות!$E$3&gt;0,TEXT('הדבקת לידים'!B1242,REPT("0",הגדרות!$E$3)),TEXT('הדבקת לידים'!B1242,"0")),TRIM('הדבקת לידים'!B1242)))</f>
        <v/>
      </c>
      <c r="C1242" s="0" t="n">
        <f aca="false">IF(OR(A1242&lt;&gt;"",B1242&lt;&gt;""),1,0)</f>
        <v>0</v>
      </c>
      <c r="D1242" s="0" t="str">
        <f aca="false">IF(C1242=1,MOD(ABS(SIN(ROW()*12.9898+'הדבקת לידים'!$F$2*78.233+IFERROR(--RIGHT(A1242,6),LEN(A1242))*0.0137+IFERROR(--RIGHT(B1242,6),LEN(B1242))*0.0071))*43758.5453,1),"")</f>
        <v/>
      </c>
      <c r="E1242" s="0" t="str">
        <f aca="false">IF(C1242=1,INT(MOD(ABS(SIN(D1242*7919.123+ROW()*0.618+'הדבקת לידים'!$F$2*1.3))*43758.5453,1)*1000000)*10000+ROW(),"")</f>
        <v/>
      </c>
      <c r="F1242" s="0" t="str">
        <f aca="false">IF(E1242="","",RANK(E1242,$E$2:$E$5001,1))</f>
        <v/>
      </c>
      <c r="G1242" s="0" t="n">
        <f aca="false">IF(A1242="",0,IF(SUMPRODUCT(--($A$2:$A$5001=A1242))&gt;1,1,0))</f>
        <v>0</v>
      </c>
      <c r="H1242" s="0" t="n">
        <f aca="false">ROW()-1</f>
        <v>1241</v>
      </c>
      <c r="I1242" s="0" t="str">
        <f aca="false">IF(OR(הגדרות!$E$6=0,H1242&gt;הגדרות!$E$5),"",IF(H1242-1&lt;הגדרות!$E$8*(הגדרות!$E$7+1),INT((H1242-1)/(הגדרות!$E$7+1)),הגדרות!$E$8+INT((H1242-1-הגדרות!$E$8*(הגדרות!$E$7+1))/הגדרות!$E$7)))</f>
        <v/>
      </c>
      <c r="J1242" s="0" t="str">
        <f aca="false">IF(I1242="","",IF(H1242-1&lt;הגדרות!$E$8*(הגדרות!$E$7+1),MOD(H1242-1,הגדרות!$E$7+1),MOD(H1242-1-הגדרות!$E$8*(הגדרות!$E$7+1),הגדרות!$E$7)))</f>
        <v/>
      </c>
      <c r="K1242" s="0" t="str">
        <f aca="false">IF(I1242="","",J1242*הגדרות!$E$6+I1242+1)</f>
        <v/>
      </c>
      <c r="L1242" s="0" t="str">
        <f aca="false">IF(K1242="","",MATCH(K1242,$F$2:$F$5001,0))</f>
        <v/>
      </c>
      <c r="M1242" s="0" t="str">
        <f aca="false">IF(I1242="","",INDEX(הגדרות!$A$2:$A$21,MOD(I1242+הגדרות!$E$9,הגדרות!$E$6)+1))</f>
        <v/>
      </c>
    </row>
    <row r="1243" customFormat="false" ht="15" hidden="false" customHeight="false" outlineLevel="0" collapsed="false">
      <c r="A1243" s="0" t="str">
        <f aca="false">IF('הדבקת לידים'!A1243="","",IF(ISNUMBER('הדבקת לידים'!A1243),IF(הגדרות!$E$2&gt;0,TEXT('הדבקת לידים'!A1243,REPT("0",הגדרות!$E$2)),TEXT('הדבקת לידים'!A1243,"0")),TRIM('הדבקת לידים'!A1243)))</f>
        <v/>
      </c>
      <c r="B1243" s="0" t="str">
        <f aca="false">IF('הדבקת לידים'!B1243="","",IF(ISNUMBER('הדבקת לידים'!B1243),IF(הגדרות!$E$3&gt;0,TEXT('הדבקת לידים'!B1243,REPT("0",הגדרות!$E$3)),TEXT('הדבקת לידים'!B1243,"0")),TRIM('הדבקת לידים'!B1243)))</f>
        <v/>
      </c>
      <c r="C1243" s="0" t="n">
        <f aca="false">IF(OR(A1243&lt;&gt;"",B1243&lt;&gt;""),1,0)</f>
        <v>0</v>
      </c>
      <c r="D1243" s="0" t="str">
        <f aca="false">IF(C1243=1,MOD(ABS(SIN(ROW()*12.9898+'הדבקת לידים'!$F$2*78.233+IFERROR(--RIGHT(A1243,6),LEN(A1243))*0.0137+IFERROR(--RIGHT(B1243,6),LEN(B1243))*0.0071))*43758.5453,1),"")</f>
        <v/>
      </c>
      <c r="E1243" s="0" t="str">
        <f aca="false">IF(C1243=1,INT(MOD(ABS(SIN(D1243*7919.123+ROW()*0.618+'הדבקת לידים'!$F$2*1.3))*43758.5453,1)*1000000)*10000+ROW(),"")</f>
        <v/>
      </c>
      <c r="F1243" s="0" t="str">
        <f aca="false">IF(E1243="","",RANK(E1243,$E$2:$E$5001,1))</f>
        <v/>
      </c>
      <c r="G1243" s="0" t="n">
        <f aca="false">IF(A1243="",0,IF(SUMPRODUCT(--($A$2:$A$5001=A1243))&gt;1,1,0))</f>
        <v>0</v>
      </c>
      <c r="H1243" s="0" t="n">
        <f aca="false">ROW()-1</f>
        <v>1242</v>
      </c>
      <c r="I1243" s="0" t="str">
        <f aca="false">IF(OR(הגדרות!$E$6=0,H1243&gt;הגדרות!$E$5),"",IF(H1243-1&lt;הגדרות!$E$8*(הגדרות!$E$7+1),INT((H1243-1)/(הגדרות!$E$7+1)),הגדרות!$E$8+INT((H1243-1-הגדרות!$E$8*(הגדרות!$E$7+1))/הגדרות!$E$7)))</f>
        <v/>
      </c>
      <c r="J1243" s="0" t="str">
        <f aca="false">IF(I1243="","",IF(H1243-1&lt;הגדרות!$E$8*(הגדרות!$E$7+1),MOD(H1243-1,הגדרות!$E$7+1),MOD(H1243-1-הגדרות!$E$8*(הגדרות!$E$7+1),הגדרות!$E$7)))</f>
        <v/>
      </c>
      <c r="K1243" s="0" t="str">
        <f aca="false">IF(I1243="","",J1243*הגדרות!$E$6+I1243+1)</f>
        <v/>
      </c>
      <c r="L1243" s="0" t="str">
        <f aca="false">IF(K1243="","",MATCH(K1243,$F$2:$F$5001,0))</f>
        <v/>
      </c>
      <c r="M1243" s="0" t="str">
        <f aca="false">IF(I1243="","",INDEX(הגדרות!$A$2:$A$21,MOD(I1243+הגדרות!$E$9,הגדרות!$E$6)+1))</f>
        <v/>
      </c>
    </row>
    <row r="1244" customFormat="false" ht="15" hidden="false" customHeight="false" outlineLevel="0" collapsed="false">
      <c r="A1244" s="0" t="str">
        <f aca="false">IF('הדבקת לידים'!A1244="","",IF(ISNUMBER('הדבקת לידים'!A1244),IF(הגדרות!$E$2&gt;0,TEXT('הדבקת לידים'!A1244,REPT("0",הגדרות!$E$2)),TEXT('הדבקת לידים'!A1244,"0")),TRIM('הדבקת לידים'!A1244)))</f>
        <v/>
      </c>
      <c r="B1244" s="0" t="str">
        <f aca="false">IF('הדבקת לידים'!B1244="","",IF(ISNUMBER('הדבקת לידים'!B1244),IF(הגדרות!$E$3&gt;0,TEXT('הדבקת לידים'!B1244,REPT("0",הגדרות!$E$3)),TEXT('הדבקת לידים'!B1244,"0")),TRIM('הדבקת לידים'!B1244)))</f>
        <v/>
      </c>
      <c r="C1244" s="0" t="n">
        <f aca="false">IF(OR(A1244&lt;&gt;"",B1244&lt;&gt;""),1,0)</f>
        <v>0</v>
      </c>
      <c r="D1244" s="0" t="str">
        <f aca="false">IF(C1244=1,MOD(ABS(SIN(ROW()*12.9898+'הדבקת לידים'!$F$2*78.233+IFERROR(--RIGHT(A1244,6),LEN(A1244))*0.0137+IFERROR(--RIGHT(B1244,6),LEN(B1244))*0.0071))*43758.5453,1),"")</f>
        <v/>
      </c>
      <c r="E1244" s="0" t="str">
        <f aca="false">IF(C1244=1,INT(MOD(ABS(SIN(D1244*7919.123+ROW()*0.618+'הדבקת לידים'!$F$2*1.3))*43758.5453,1)*1000000)*10000+ROW(),"")</f>
        <v/>
      </c>
      <c r="F1244" s="0" t="str">
        <f aca="false">IF(E1244="","",RANK(E1244,$E$2:$E$5001,1))</f>
        <v/>
      </c>
      <c r="G1244" s="0" t="n">
        <f aca="false">IF(A1244="",0,IF(SUMPRODUCT(--($A$2:$A$5001=A1244))&gt;1,1,0))</f>
        <v>0</v>
      </c>
      <c r="H1244" s="0" t="n">
        <f aca="false">ROW()-1</f>
        <v>1243</v>
      </c>
      <c r="I1244" s="0" t="str">
        <f aca="false">IF(OR(הגדרות!$E$6=0,H1244&gt;הגדרות!$E$5),"",IF(H1244-1&lt;הגדרות!$E$8*(הגדרות!$E$7+1),INT((H1244-1)/(הגדרות!$E$7+1)),הגדרות!$E$8+INT((H1244-1-הגדרות!$E$8*(הגדרות!$E$7+1))/הגדרות!$E$7)))</f>
        <v/>
      </c>
      <c r="J1244" s="0" t="str">
        <f aca="false">IF(I1244="","",IF(H1244-1&lt;הגדרות!$E$8*(הגדרות!$E$7+1),MOD(H1244-1,הגדרות!$E$7+1),MOD(H1244-1-הגדרות!$E$8*(הגדרות!$E$7+1),הגדרות!$E$7)))</f>
        <v/>
      </c>
      <c r="K1244" s="0" t="str">
        <f aca="false">IF(I1244="","",J1244*הגדרות!$E$6+I1244+1)</f>
        <v/>
      </c>
      <c r="L1244" s="0" t="str">
        <f aca="false">IF(K1244="","",MATCH(K1244,$F$2:$F$5001,0))</f>
        <v/>
      </c>
      <c r="M1244" s="0" t="str">
        <f aca="false">IF(I1244="","",INDEX(הגדרות!$A$2:$A$21,MOD(I1244+הגדרות!$E$9,הגדרות!$E$6)+1))</f>
        <v/>
      </c>
    </row>
    <row r="1245" customFormat="false" ht="15" hidden="false" customHeight="false" outlineLevel="0" collapsed="false">
      <c r="A1245" s="0" t="str">
        <f aca="false">IF('הדבקת לידים'!A1245="","",IF(ISNUMBER('הדבקת לידים'!A1245),IF(הגדרות!$E$2&gt;0,TEXT('הדבקת לידים'!A1245,REPT("0",הגדרות!$E$2)),TEXT('הדבקת לידים'!A1245,"0")),TRIM('הדבקת לידים'!A1245)))</f>
        <v/>
      </c>
      <c r="B1245" s="0" t="str">
        <f aca="false">IF('הדבקת לידים'!B1245="","",IF(ISNUMBER('הדבקת לידים'!B1245),IF(הגדרות!$E$3&gt;0,TEXT('הדבקת לידים'!B1245,REPT("0",הגדרות!$E$3)),TEXT('הדבקת לידים'!B1245,"0")),TRIM('הדבקת לידים'!B1245)))</f>
        <v/>
      </c>
      <c r="C1245" s="0" t="n">
        <f aca="false">IF(OR(A1245&lt;&gt;"",B1245&lt;&gt;""),1,0)</f>
        <v>0</v>
      </c>
      <c r="D1245" s="0" t="str">
        <f aca="false">IF(C1245=1,MOD(ABS(SIN(ROW()*12.9898+'הדבקת לידים'!$F$2*78.233+IFERROR(--RIGHT(A1245,6),LEN(A1245))*0.0137+IFERROR(--RIGHT(B1245,6),LEN(B1245))*0.0071))*43758.5453,1),"")</f>
        <v/>
      </c>
      <c r="E1245" s="0" t="str">
        <f aca="false">IF(C1245=1,INT(MOD(ABS(SIN(D1245*7919.123+ROW()*0.618+'הדבקת לידים'!$F$2*1.3))*43758.5453,1)*1000000)*10000+ROW(),"")</f>
        <v/>
      </c>
      <c r="F1245" s="0" t="str">
        <f aca="false">IF(E1245="","",RANK(E1245,$E$2:$E$5001,1))</f>
        <v/>
      </c>
      <c r="G1245" s="0" t="n">
        <f aca="false">IF(A1245="",0,IF(SUMPRODUCT(--($A$2:$A$5001=A1245))&gt;1,1,0))</f>
        <v>0</v>
      </c>
      <c r="H1245" s="0" t="n">
        <f aca="false">ROW()-1</f>
        <v>1244</v>
      </c>
      <c r="I1245" s="0" t="str">
        <f aca="false">IF(OR(הגדרות!$E$6=0,H1245&gt;הגדרות!$E$5),"",IF(H1245-1&lt;הגדרות!$E$8*(הגדרות!$E$7+1),INT((H1245-1)/(הגדרות!$E$7+1)),הגדרות!$E$8+INT((H1245-1-הגדרות!$E$8*(הגדרות!$E$7+1))/הגדרות!$E$7)))</f>
        <v/>
      </c>
      <c r="J1245" s="0" t="str">
        <f aca="false">IF(I1245="","",IF(H1245-1&lt;הגדרות!$E$8*(הגדרות!$E$7+1),MOD(H1245-1,הגדרות!$E$7+1),MOD(H1245-1-הגדרות!$E$8*(הגדרות!$E$7+1),הגדרות!$E$7)))</f>
        <v/>
      </c>
      <c r="K1245" s="0" t="str">
        <f aca="false">IF(I1245="","",J1245*הגדרות!$E$6+I1245+1)</f>
        <v/>
      </c>
      <c r="L1245" s="0" t="str">
        <f aca="false">IF(K1245="","",MATCH(K1245,$F$2:$F$5001,0))</f>
        <v/>
      </c>
      <c r="M1245" s="0" t="str">
        <f aca="false">IF(I1245="","",INDEX(הגדרות!$A$2:$A$21,MOD(I1245+הגדרות!$E$9,הגדרות!$E$6)+1))</f>
        <v/>
      </c>
    </row>
    <row r="1246" customFormat="false" ht="15" hidden="false" customHeight="false" outlineLevel="0" collapsed="false">
      <c r="A1246" s="0" t="str">
        <f aca="false">IF('הדבקת לידים'!A1246="","",IF(ISNUMBER('הדבקת לידים'!A1246),IF(הגדרות!$E$2&gt;0,TEXT('הדבקת לידים'!A1246,REPT("0",הגדרות!$E$2)),TEXT('הדבקת לידים'!A1246,"0")),TRIM('הדבקת לידים'!A1246)))</f>
        <v/>
      </c>
      <c r="B1246" s="0" t="str">
        <f aca="false">IF('הדבקת לידים'!B1246="","",IF(ISNUMBER('הדבקת לידים'!B1246),IF(הגדרות!$E$3&gt;0,TEXT('הדבקת לידים'!B1246,REPT("0",הגדרות!$E$3)),TEXT('הדבקת לידים'!B1246,"0")),TRIM('הדבקת לידים'!B1246)))</f>
        <v/>
      </c>
      <c r="C1246" s="0" t="n">
        <f aca="false">IF(OR(A1246&lt;&gt;"",B1246&lt;&gt;""),1,0)</f>
        <v>0</v>
      </c>
      <c r="D1246" s="0" t="str">
        <f aca="false">IF(C1246=1,MOD(ABS(SIN(ROW()*12.9898+'הדבקת לידים'!$F$2*78.233+IFERROR(--RIGHT(A1246,6),LEN(A1246))*0.0137+IFERROR(--RIGHT(B1246,6),LEN(B1246))*0.0071))*43758.5453,1),"")</f>
        <v/>
      </c>
      <c r="E1246" s="0" t="str">
        <f aca="false">IF(C1246=1,INT(MOD(ABS(SIN(D1246*7919.123+ROW()*0.618+'הדבקת לידים'!$F$2*1.3))*43758.5453,1)*1000000)*10000+ROW(),"")</f>
        <v/>
      </c>
      <c r="F1246" s="0" t="str">
        <f aca="false">IF(E1246="","",RANK(E1246,$E$2:$E$5001,1))</f>
        <v/>
      </c>
      <c r="G1246" s="0" t="n">
        <f aca="false">IF(A1246="",0,IF(SUMPRODUCT(--($A$2:$A$5001=A1246))&gt;1,1,0))</f>
        <v>0</v>
      </c>
      <c r="H1246" s="0" t="n">
        <f aca="false">ROW()-1</f>
        <v>1245</v>
      </c>
      <c r="I1246" s="0" t="str">
        <f aca="false">IF(OR(הגדרות!$E$6=0,H1246&gt;הגדרות!$E$5),"",IF(H1246-1&lt;הגדרות!$E$8*(הגדרות!$E$7+1),INT((H1246-1)/(הגדרות!$E$7+1)),הגדרות!$E$8+INT((H1246-1-הגדרות!$E$8*(הגדרות!$E$7+1))/הגדרות!$E$7)))</f>
        <v/>
      </c>
      <c r="J1246" s="0" t="str">
        <f aca="false">IF(I1246="","",IF(H1246-1&lt;הגדרות!$E$8*(הגדרות!$E$7+1),MOD(H1246-1,הגדרות!$E$7+1),MOD(H1246-1-הגדרות!$E$8*(הגדרות!$E$7+1),הגדרות!$E$7)))</f>
        <v/>
      </c>
      <c r="K1246" s="0" t="str">
        <f aca="false">IF(I1246="","",J1246*הגדרות!$E$6+I1246+1)</f>
        <v/>
      </c>
      <c r="L1246" s="0" t="str">
        <f aca="false">IF(K1246="","",MATCH(K1246,$F$2:$F$5001,0))</f>
        <v/>
      </c>
      <c r="M1246" s="0" t="str">
        <f aca="false">IF(I1246="","",INDEX(הגדרות!$A$2:$A$21,MOD(I1246+הגדרות!$E$9,הגדרות!$E$6)+1))</f>
        <v/>
      </c>
    </row>
    <row r="1247" customFormat="false" ht="15" hidden="false" customHeight="false" outlineLevel="0" collapsed="false">
      <c r="A1247" s="0" t="str">
        <f aca="false">IF('הדבקת לידים'!A1247="","",IF(ISNUMBER('הדבקת לידים'!A1247),IF(הגדרות!$E$2&gt;0,TEXT('הדבקת לידים'!A1247,REPT("0",הגדרות!$E$2)),TEXT('הדבקת לידים'!A1247,"0")),TRIM('הדבקת לידים'!A1247)))</f>
        <v/>
      </c>
      <c r="B1247" s="0" t="str">
        <f aca="false">IF('הדבקת לידים'!B1247="","",IF(ISNUMBER('הדבקת לידים'!B1247),IF(הגדרות!$E$3&gt;0,TEXT('הדבקת לידים'!B1247,REPT("0",הגדרות!$E$3)),TEXT('הדבקת לידים'!B1247,"0")),TRIM('הדבקת לידים'!B1247)))</f>
        <v/>
      </c>
      <c r="C1247" s="0" t="n">
        <f aca="false">IF(OR(A1247&lt;&gt;"",B1247&lt;&gt;""),1,0)</f>
        <v>0</v>
      </c>
      <c r="D1247" s="0" t="str">
        <f aca="false">IF(C1247=1,MOD(ABS(SIN(ROW()*12.9898+'הדבקת לידים'!$F$2*78.233+IFERROR(--RIGHT(A1247,6),LEN(A1247))*0.0137+IFERROR(--RIGHT(B1247,6),LEN(B1247))*0.0071))*43758.5453,1),"")</f>
        <v/>
      </c>
      <c r="E1247" s="0" t="str">
        <f aca="false">IF(C1247=1,INT(MOD(ABS(SIN(D1247*7919.123+ROW()*0.618+'הדבקת לידים'!$F$2*1.3))*43758.5453,1)*1000000)*10000+ROW(),"")</f>
        <v/>
      </c>
      <c r="F1247" s="0" t="str">
        <f aca="false">IF(E1247="","",RANK(E1247,$E$2:$E$5001,1))</f>
        <v/>
      </c>
      <c r="G1247" s="0" t="n">
        <f aca="false">IF(A1247="",0,IF(SUMPRODUCT(--($A$2:$A$5001=A1247))&gt;1,1,0))</f>
        <v>0</v>
      </c>
      <c r="H1247" s="0" t="n">
        <f aca="false">ROW()-1</f>
        <v>1246</v>
      </c>
      <c r="I1247" s="0" t="str">
        <f aca="false">IF(OR(הגדרות!$E$6=0,H1247&gt;הגדרות!$E$5),"",IF(H1247-1&lt;הגדרות!$E$8*(הגדרות!$E$7+1),INT((H1247-1)/(הגדרות!$E$7+1)),הגדרות!$E$8+INT((H1247-1-הגדרות!$E$8*(הגדרות!$E$7+1))/הגדרות!$E$7)))</f>
        <v/>
      </c>
      <c r="J1247" s="0" t="str">
        <f aca="false">IF(I1247="","",IF(H1247-1&lt;הגדרות!$E$8*(הגדרות!$E$7+1),MOD(H1247-1,הגדרות!$E$7+1),MOD(H1247-1-הגדרות!$E$8*(הגדרות!$E$7+1),הגדרות!$E$7)))</f>
        <v/>
      </c>
      <c r="K1247" s="0" t="str">
        <f aca="false">IF(I1247="","",J1247*הגדרות!$E$6+I1247+1)</f>
        <v/>
      </c>
      <c r="L1247" s="0" t="str">
        <f aca="false">IF(K1247="","",MATCH(K1247,$F$2:$F$5001,0))</f>
        <v/>
      </c>
      <c r="M1247" s="0" t="str">
        <f aca="false">IF(I1247="","",INDEX(הגדרות!$A$2:$A$21,MOD(I1247+הגדרות!$E$9,הגדרות!$E$6)+1))</f>
        <v/>
      </c>
    </row>
    <row r="1248" customFormat="false" ht="15" hidden="false" customHeight="false" outlineLevel="0" collapsed="false">
      <c r="A1248" s="0" t="str">
        <f aca="false">IF('הדבקת לידים'!A1248="","",IF(ISNUMBER('הדבקת לידים'!A1248),IF(הגדרות!$E$2&gt;0,TEXT('הדבקת לידים'!A1248,REPT("0",הגדרות!$E$2)),TEXT('הדבקת לידים'!A1248,"0")),TRIM('הדבקת לידים'!A1248)))</f>
        <v/>
      </c>
      <c r="B1248" s="0" t="str">
        <f aca="false">IF('הדבקת לידים'!B1248="","",IF(ISNUMBER('הדבקת לידים'!B1248),IF(הגדרות!$E$3&gt;0,TEXT('הדבקת לידים'!B1248,REPT("0",הגדרות!$E$3)),TEXT('הדבקת לידים'!B1248,"0")),TRIM('הדבקת לידים'!B1248)))</f>
        <v/>
      </c>
      <c r="C1248" s="0" t="n">
        <f aca="false">IF(OR(A1248&lt;&gt;"",B1248&lt;&gt;""),1,0)</f>
        <v>0</v>
      </c>
      <c r="D1248" s="0" t="str">
        <f aca="false">IF(C1248=1,MOD(ABS(SIN(ROW()*12.9898+'הדבקת לידים'!$F$2*78.233+IFERROR(--RIGHT(A1248,6),LEN(A1248))*0.0137+IFERROR(--RIGHT(B1248,6),LEN(B1248))*0.0071))*43758.5453,1),"")</f>
        <v/>
      </c>
      <c r="E1248" s="0" t="str">
        <f aca="false">IF(C1248=1,INT(MOD(ABS(SIN(D1248*7919.123+ROW()*0.618+'הדבקת לידים'!$F$2*1.3))*43758.5453,1)*1000000)*10000+ROW(),"")</f>
        <v/>
      </c>
      <c r="F1248" s="0" t="str">
        <f aca="false">IF(E1248="","",RANK(E1248,$E$2:$E$5001,1))</f>
        <v/>
      </c>
      <c r="G1248" s="0" t="n">
        <f aca="false">IF(A1248="",0,IF(SUMPRODUCT(--($A$2:$A$5001=A1248))&gt;1,1,0))</f>
        <v>0</v>
      </c>
      <c r="H1248" s="0" t="n">
        <f aca="false">ROW()-1</f>
        <v>1247</v>
      </c>
      <c r="I1248" s="0" t="str">
        <f aca="false">IF(OR(הגדרות!$E$6=0,H1248&gt;הגדרות!$E$5),"",IF(H1248-1&lt;הגדרות!$E$8*(הגדרות!$E$7+1),INT((H1248-1)/(הגדרות!$E$7+1)),הגדרות!$E$8+INT((H1248-1-הגדרות!$E$8*(הגדרות!$E$7+1))/הגדרות!$E$7)))</f>
        <v/>
      </c>
      <c r="J1248" s="0" t="str">
        <f aca="false">IF(I1248="","",IF(H1248-1&lt;הגדרות!$E$8*(הגדרות!$E$7+1),MOD(H1248-1,הגדרות!$E$7+1),MOD(H1248-1-הגדרות!$E$8*(הגדרות!$E$7+1),הגדרות!$E$7)))</f>
        <v/>
      </c>
      <c r="K1248" s="0" t="str">
        <f aca="false">IF(I1248="","",J1248*הגדרות!$E$6+I1248+1)</f>
        <v/>
      </c>
      <c r="L1248" s="0" t="str">
        <f aca="false">IF(K1248="","",MATCH(K1248,$F$2:$F$5001,0))</f>
        <v/>
      </c>
      <c r="M1248" s="0" t="str">
        <f aca="false">IF(I1248="","",INDEX(הגדרות!$A$2:$A$21,MOD(I1248+הגדרות!$E$9,הגדרות!$E$6)+1))</f>
        <v/>
      </c>
    </row>
    <row r="1249" customFormat="false" ht="15" hidden="false" customHeight="false" outlineLevel="0" collapsed="false">
      <c r="A1249" s="0" t="str">
        <f aca="false">IF('הדבקת לידים'!A1249="","",IF(ISNUMBER('הדבקת לידים'!A1249),IF(הגדרות!$E$2&gt;0,TEXT('הדבקת לידים'!A1249,REPT("0",הגדרות!$E$2)),TEXT('הדבקת לידים'!A1249,"0")),TRIM('הדבקת לידים'!A1249)))</f>
        <v/>
      </c>
      <c r="B1249" s="0" t="str">
        <f aca="false">IF('הדבקת לידים'!B1249="","",IF(ISNUMBER('הדבקת לידים'!B1249),IF(הגדרות!$E$3&gt;0,TEXT('הדבקת לידים'!B1249,REPT("0",הגדרות!$E$3)),TEXT('הדבקת לידים'!B1249,"0")),TRIM('הדבקת לידים'!B1249)))</f>
        <v/>
      </c>
      <c r="C1249" s="0" t="n">
        <f aca="false">IF(OR(A1249&lt;&gt;"",B1249&lt;&gt;""),1,0)</f>
        <v>0</v>
      </c>
      <c r="D1249" s="0" t="str">
        <f aca="false">IF(C1249=1,MOD(ABS(SIN(ROW()*12.9898+'הדבקת לידים'!$F$2*78.233+IFERROR(--RIGHT(A1249,6),LEN(A1249))*0.0137+IFERROR(--RIGHT(B1249,6),LEN(B1249))*0.0071))*43758.5453,1),"")</f>
        <v/>
      </c>
      <c r="E1249" s="0" t="str">
        <f aca="false">IF(C1249=1,INT(MOD(ABS(SIN(D1249*7919.123+ROW()*0.618+'הדבקת לידים'!$F$2*1.3))*43758.5453,1)*1000000)*10000+ROW(),"")</f>
        <v/>
      </c>
      <c r="F1249" s="0" t="str">
        <f aca="false">IF(E1249="","",RANK(E1249,$E$2:$E$5001,1))</f>
        <v/>
      </c>
      <c r="G1249" s="0" t="n">
        <f aca="false">IF(A1249="",0,IF(SUMPRODUCT(--($A$2:$A$5001=A1249))&gt;1,1,0))</f>
        <v>0</v>
      </c>
      <c r="H1249" s="0" t="n">
        <f aca="false">ROW()-1</f>
        <v>1248</v>
      </c>
      <c r="I1249" s="0" t="str">
        <f aca="false">IF(OR(הגדרות!$E$6=0,H1249&gt;הגדרות!$E$5),"",IF(H1249-1&lt;הגדרות!$E$8*(הגדרות!$E$7+1),INT((H1249-1)/(הגדרות!$E$7+1)),הגדרות!$E$8+INT((H1249-1-הגדרות!$E$8*(הגדרות!$E$7+1))/הגדרות!$E$7)))</f>
        <v/>
      </c>
      <c r="J1249" s="0" t="str">
        <f aca="false">IF(I1249="","",IF(H1249-1&lt;הגדרות!$E$8*(הגדרות!$E$7+1),MOD(H1249-1,הגדרות!$E$7+1),MOD(H1249-1-הגדרות!$E$8*(הגדרות!$E$7+1),הגדרות!$E$7)))</f>
        <v/>
      </c>
      <c r="K1249" s="0" t="str">
        <f aca="false">IF(I1249="","",J1249*הגדרות!$E$6+I1249+1)</f>
        <v/>
      </c>
      <c r="L1249" s="0" t="str">
        <f aca="false">IF(K1249="","",MATCH(K1249,$F$2:$F$5001,0))</f>
        <v/>
      </c>
      <c r="M1249" s="0" t="str">
        <f aca="false">IF(I1249="","",INDEX(הגדרות!$A$2:$A$21,MOD(I1249+הגדרות!$E$9,הגדרות!$E$6)+1))</f>
        <v/>
      </c>
    </row>
    <row r="1250" customFormat="false" ht="15" hidden="false" customHeight="false" outlineLevel="0" collapsed="false">
      <c r="A1250" s="0" t="str">
        <f aca="false">IF('הדבקת לידים'!A1250="","",IF(ISNUMBER('הדבקת לידים'!A1250),IF(הגדרות!$E$2&gt;0,TEXT('הדבקת לידים'!A1250,REPT("0",הגדרות!$E$2)),TEXT('הדבקת לידים'!A1250,"0")),TRIM('הדבקת לידים'!A1250)))</f>
        <v/>
      </c>
      <c r="B1250" s="0" t="str">
        <f aca="false">IF('הדבקת לידים'!B1250="","",IF(ISNUMBER('הדבקת לידים'!B1250),IF(הגדרות!$E$3&gt;0,TEXT('הדבקת לידים'!B1250,REPT("0",הגדרות!$E$3)),TEXT('הדבקת לידים'!B1250,"0")),TRIM('הדבקת לידים'!B1250)))</f>
        <v/>
      </c>
      <c r="C1250" s="0" t="n">
        <f aca="false">IF(OR(A1250&lt;&gt;"",B1250&lt;&gt;""),1,0)</f>
        <v>0</v>
      </c>
      <c r="D1250" s="0" t="str">
        <f aca="false">IF(C1250=1,MOD(ABS(SIN(ROW()*12.9898+'הדבקת לידים'!$F$2*78.233+IFERROR(--RIGHT(A1250,6),LEN(A1250))*0.0137+IFERROR(--RIGHT(B1250,6),LEN(B1250))*0.0071))*43758.5453,1),"")</f>
        <v/>
      </c>
      <c r="E1250" s="0" t="str">
        <f aca="false">IF(C1250=1,INT(MOD(ABS(SIN(D1250*7919.123+ROW()*0.618+'הדבקת לידים'!$F$2*1.3))*43758.5453,1)*1000000)*10000+ROW(),"")</f>
        <v/>
      </c>
      <c r="F1250" s="0" t="str">
        <f aca="false">IF(E1250="","",RANK(E1250,$E$2:$E$5001,1))</f>
        <v/>
      </c>
      <c r="G1250" s="0" t="n">
        <f aca="false">IF(A1250="",0,IF(SUMPRODUCT(--($A$2:$A$5001=A1250))&gt;1,1,0))</f>
        <v>0</v>
      </c>
      <c r="H1250" s="0" t="n">
        <f aca="false">ROW()-1</f>
        <v>1249</v>
      </c>
      <c r="I1250" s="0" t="str">
        <f aca="false">IF(OR(הגדרות!$E$6=0,H1250&gt;הגדרות!$E$5),"",IF(H1250-1&lt;הגדרות!$E$8*(הגדרות!$E$7+1),INT((H1250-1)/(הגדרות!$E$7+1)),הגדרות!$E$8+INT((H1250-1-הגדרות!$E$8*(הגדרות!$E$7+1))/הגדרות!$E$7)))</f>
        <v/>
      </c>
      <c r="J1250" s="0" t="str">
        <f aca="false">IF(I1250="","",IF(H1250-1&lt;הגדרות!$E$8*(הגדרות!$E$7+1),MOD(H1250-1,הגדרות!$E$7+1),MOD(H1250-1-הגדרות!$E$8*(הגדרות!$E$7+1),הגדרות!$E$7)))</f>
        <v/>
      </c>
      <c r="K1250" s="0" t="str">
        <f aca="false">IF(I1250="","",J1250*הגדרות!$E$6+I1250+1)</f>
        <v/>
      </c>
      <c r="L1250" s="0" t="str">
        <f aca="false">IF(K1250="","",MATCH(K1250,$F$2:$F$5001,0))</f>
        <v/>
      </c>
      <c r="M1250" s="0" t="str">
        <f aca="false">IF(I1250="","",INDEX(הגדרות!$A$2:$A$21,MOD(I1250+הגדרות!$E$9,הגדרות!$E$6)+1))</f>
        <v/>
      </c>
    </row>
    <row r="1251" customFormat="false" ht="15" hidden="false" customHeight="false" outlineLevel="0" collapsed="false">
      <c r="A1251" s="0" t="str">
        <f aca="false">IF('הדבקת לידים'!A1251="","",IF(ISNUMBER('הדבקת לידים'!A1251),IF(הגדרות!$E$2&gt;0,TEXT('הדבקת לידים'!A1251,REPT("0",הגדרות!$E$2)),TEXT('הדבקת לידים'!A1251,"0")),TRIM('הדבקת לידים'!A1251)))</f>
        <v/>
      </c>
      <c r="B1251" s="0" t="str">
        <f aca="false">IF('הדבקת לידים'!B1251="","",IF(ISNUMBER('הדבקת לידים'!B1251),IF(הגדרות!$E$3&gt;0,TEXT('הדבקת לידים'!B1251,REPT("0",הגדרות!$E$3)),TEXT('הדבקת לידים'!B1251,"0")),TRIM('הדבקת לידים'!B1251)))</f>
        <v/>
      </c>
      <c r="C1251" s="0" t="n">
        <f aca="false">IF(OR(A1251&lt;&gt;"",B1251&lt;&gt;""),1,0)</f>
        <v>0</v>
      </c>
      <c r="D1251" s="0" t="str">
        <f aca="false">IF(C1251=1,MOD(ABS(SIN(ROW()*12.9898+'הדבקת לידים'!$F$2*78.233+IFERROR(--RIGHT(A1251,6),LEN(A1251))*0.0137+IFERROR(--RIGHT(B1251,6),LEN(B1251))*0.0071))*43758.5453,1),"")</f>
        <v/>
      </c>
      <c r="E1251" s="0" t="str">
        <f aca="false">IF(C1251=1,INT(MOD(ABS(SIN(D1251*7919.123+ROW()*0.618+'הדבקת לידים'!$F$2*1.3))*43758.5453,1)*1000000)*10000+ROW(),"")</f>
        <v/>
      </c>
      <c r="F1251" s="0" t="str">
        <f aca="false">IF(E1251="","",RANK(E1251,$E$2:$E$5001,1))</f>
        <v/>
      </c>
      <c r="G1251" s="0" t="n">
        <f aca="false">IF(A1251="",0,IF(SUMPRODUCT(--($A$2:$A$5001=A1251))&gt;1,1,0))</f>
        <v>0</v>
      </c>
      <c r="H1251" s="0" t="n">
        <f aca="false">ROW()-1</f>
        <v>1250</v>
      </c>
      <c r="I1251" s="0" t="str">
        <f aca="false">IF(OR(הגדרות!$E$6=0,H1251&gt;הגדרות!$E$5),"",IF(H1251-1&lt;הגדרות!$E$8*(הגדרות!$E$7+1),INT((H1251-1)/(הגדרות!$E$7+1)),הגדרות!$E$8+INT((H1251-1-הגדרות!$E$8*(הגדרות!$E$7+1))/הגדרות!$E$7)))</f>
        <v/>
      </c>
      <c r="J1251" s="0" t="str">
        <f aca="false">IF(I1251="","",IF(H1251-1&lt;הגדרות!$E$8*(הגדרות!$E$7+1),MOD(H1251-1,הגדרות!$E$7+1),MOD(H1251-1-הגדרות!$E$8*(הגדרות!$E$7+1),הגדרות!$E$7)))</f>
        <v/>
      </c>
      <c r="K1251" s="0" t="str">
        <f aca="false">IF(I1251="","",J1251*הגדרות!$E$6+I1251+1)</f>
        <v/>
      </c>
      <c r="L1251" s="0" t="str">
        <f aca="false">IF(K1251="","",MATCH(K1251,$F$2:$F$5001,0))</f>
        <v/>
      </c>
      <c r="M1251" s="0" t="str">
        <f aca="false">IF(I1251="","",INDEX(הגדרות!$A$2:$A$21,MOD(I1251+הגדרות!$E$9,הגדרות!$E$6)+1))</f>
        <v/>
      </c>
    </row>
    <row r="1252" customFormat="false" ht="15" hidden="false" customHeight="false" outlineLevel="0" collapsed="false">
      <c r="A1252" s="0" t="str">
        <f aca="false">IF('הדבקת לידים'!A1252="","",IF(ISNUMBER('הדבקת לידים'!A1252),IF(הגדרות!$E$2&gt;0,TEXT('הדבקת לידים'!A1252,REPT("0",הגדרות!$E$2)),TEXT('הדבקת לידים'!A1252,"0")),TRIM('הדבקת לידים'!A1252)))</f>
        <v/>
      </c>
      <c r="B1252" s="0" t="str">
        <f aca="false">IF('הדבקת לידים'!B1252="","",IF(ISNUMBER('הדבקת לידים'!B1252),IF(הגדרות!$E$3&gt;0,TEXT('הדבקת לידים'!B1252,REPT("0",הגדרות!$E$3)),TEXT('הדבקת לידים'!B1252,"0")),TRIM('הדבקת לידים'!B1252)))</f>
        <v/>
      </c>
      <c r="C1252" s="0" t="n">
        <f aca="false">IF(OR(A1252&lt;&gt;"",B1252&lt;&gt;""),1,0)</f>
        <v>0</v>
      </c>
      <c r="D1252" s="0" t="str">
        <f aca="false">IF(C1252=1,MOD(ABS(SIN(ROW()*12.9898+'הדבקת לידים'!$F$2*78.233+IFERROR(--RIGHT(A1252,6),LEN(A1252))*0.0137+IFERROR(--RIGHT(B1252,6),LEN(B1252))*0.0071))*43758.5453,1),"")</f>
        <v/>
      </c>
      <c r="E1252" s="0" t="str">
        <f aca="false">IF(C1252=1,INT(MOD(ABS(SIN(D1252*7919.123+ROW()*0.618+'הדבקת לידים'!$F$2*1.3))*43758.5453,1)*1000000)*10000+ROW(),"")</f>
        <v/>
      </c>
      <c r="F1252" s="0" t="str">
        <f aca="false">IF(E1252="","",RANK(E1252,$E$2:$E$5001,1))</f>
        <v/>
      </c>
      <c r="G1252" s="0" t="n">
        <f aca="false">IF(A1252="",0,IF(SUMPRODUCT(--($A$2:$A$5001=A1252))&gt;1,1,0))</f>
        <v>0</v>
      </c>
      <c r="H1252" s="0" t="n">
        <f aca="false">ROW()-1</f>
        <v>1251</v>
      </c>
      <c r="I1252" s="0" t="str">
        <f aca="false">IF(OR(הגדרות!$E$6=0,H1252&gt;הגדרות!$E$5),"",IF(H1252-1&lt;הגדרות!$E$8*(הגדרות!$E$7+1),INT((H1252-1)/(הגדרות!$E$7+1)),הגדרות!$E$8+INT((H1252-1-הגדרות!$E$8*(הגדרות!$E$7+1))/הגדרות!$E$7)))</f>
        <v/>
      </c>
      <c r="J1252" s="0" t="str">
        <f aca="false">IF(I1252="","",IF(H1252-1&lt;הגדרות!$E$8*(הגדרות!$E$7+1),MOD(H1252-1,הגדרות!$E$7+1),MOD(H1252-1-הגדרות!$E$8*(הגדרות!$E$7+1),הגדרות!$E$7)))</f>
        <v/>
      </c>
      <c r="K1252" s="0" t="str">
        <f aca="false">IF(I1252="","",J1252*הגדרות!$E$6+I1252+1)</f>
        <v/>
      </c>
      <c r="L1252" s="0" t="str">
        <f aca="false">IF(K1252="","",MATCH(K1252,$F$2:$F$5001,0))</f>
        <v/>
      </c>
      <c r="M1252" s="0" t="str">
        <f aca="false">IF(I1252="","",INDEX(הגדרות!$A$2:$A$21,MOD(I1252+הגדרות!$E$9,הגדרות!$E$6)+1))</f>
        <v/>
      </c>
    </row>
    <row r="1253" customFormat="false" ht="15" hidden="false" customHeight="false" outlineLevel="0" collapsed="false">
      <c r="A1253" s="0" t="str">
        <f aca="false">IF('הדבקת לידים'!A1253="","",IF(ISNUMBER('הדבקת לידים'!A1253),IF(הגדרות!$E$2&gt;0,TEXT('הדבקת לידים'!A1253,REPT("0",הגדרות!$E$2)),TEXT('הדבקת לידים'!A1253,"0")),TRIM('הדבקת לידים'!A1253)))</f>
        <v/>
      </c>
      <c r="B1253" s="0" t="str">
        <f aca="false">IF('הדבקת לידים'!B1253="","",IF(ISNUMBER('הדבקת לידים'!B1253),IF(הגדרות!$E$3&gt;0,TEXT('הדבקת לידים'!B1253,REPT("0",הגדרות!$E$3)),TEXT('הדבקת לידים'!B1253,"0")),TRIM('הדבקת לידים'!B1253)))</f>
        <v/>
      </c>
      <c r="C1253" s="0" t="n">
        <f aca="false">IF(OR(A1253&lt;&gt;"",B1253&lt;&gt;""),1,0)</f>
        <v>0</v>
      </c>
      <c r="D1253" s="0" t="str">
        <f aca="false">IF(C1253=1,MOD(ABS(SIN(ROW()*12.9898+'הדבקת לידים'!$F$2*78.233+IFERROR(--RIGHT(A1253,6),LEN(A1253))*0.0137+IFERROR(--RIGHT(B1253,6),LEN(B1253))*0.0071))*43758.5453,1),"")</f>
        <v/>
      </c>
      <c r="E1253" s="0" t="str">
        <f aca="false">IF(C1253=1,INT(MOD(ABS(SIN(D1253*7919.123+ROW()*0.618+'הדבקת לידים'!$F$2*1.3))*43758.5453,1)*1000000)*10000+ROW(),"")</f>
        <v/>
      </c>
      <c r="F1253" s="0" t="str">
        <f aca="false">IF(E1253="","",RANK(E1253,$E$2:$E$5001,1))</f>
        <v/>
      </c>
      <c r="G1253" s="0" t="n">
        <f aca="false">IF(A1253="",0,IF(SUMPRODUCT(--($A$2:$A$5001=A1253))&gt;1,1,0))</f>
        <v>0</v>
      </c>
      <c r="H1253" s="0" t="n">
        <f aca="false">ROW()-1</f>
        <v>1252</v>
      </c>
      <c r="I1253" s="0" t="str">
        <f aca="false">IF(OR(הגדרות!$E$6=0,H1253&gt;הגדרות!$E$5),"",IF(H1253-1&lt;הגדרות!$E$8*(הגדרות!$E$7+1),INT((H1253-1)/(הגדרות!$E$7+1)),הגדרות!$E$8+INT((H1253-1-הגדרות!$E$8*(הגדרות!$E$7+1))/הגדרות!$E$7)))</f>
        <v/>
      </c>
      <c r="J1253" s="0" t="str">
        <f aca="false">IF(I1253="","",IF(H1253-1&lt;הגדרות!$E$8*(הגדרות!$E$7+1),MOD(H1253-1,הגדרות!$E$7+1),MOD(H1253-1-הגדרות!$E$8*(הגדרות!$E$7+1),הגדרות!$E$7)))</f>
        <v/>
      </c>
      <c r="K1253" s="0" t="str">
        <f aca="false">IF(I1253="","",J1253*הגדרות!$E$6+I1253+1)</f>
        <v/>
      </c>
      <c r="L1253" s="0" t="str">
        <f aca="false">IF(K1253="","",MATCH(K1253,$F$2:$F$5001,0))</f>
        <v/>
      </c>
      <c r="M1253" s="0" t="str">
        <f aca="false">IF(I1253="","",INDEX(הגדרות!$A$2:$A$21,MOD(I1253+הגדרות!$E$9,הגדרות!$E$6)+1))</f>
        <v/>
      </c>
    </row>
    <row r="1254" customFormat="false" ht="15" hidden="false" customHeight="false" outlineLevel="0" collapsed="false">
      <c r="A1254" s="0" t="str">
        <f aca="false">IF('הדבקת לידים'!A1254="","",IF(ISNUMBER('הדבקת לידים'!A1254),IF(הגדרות!$E$2&gt;0,TEXT('הדבקת לידים'!A1254,REPT("0",הגדרות!$E$2)),TEXT('הדבקת לידים'!A1254,"0")),TRIM('הדבקת לידים'!A1254)))</f>
        <v/>
      </c>
      <c r="B1254" s="0" t="str">
        <f aca="false">IF('הדבקת לידים'!B1254="","",IF(ISNUMBER('הדבקת לידים'!B1254),IF(הגדרות!$E$3&gt;0,TEXT('הדבקת לידים'!B1254,REPT("0",הגדרות!$E$3)),TEXT('הדבקת לידים'!B1254,"0")),TRIM('הדבקת לידים'!B1254)))</f>
        <v/>
      </c>
      <c r="C1254" s="0" t="n">
        <f aca="false">IF(OR(A1254&lt;&gt;"",B1254&lt;&gt;""),1,0)</f>
        <v>0</v>
      </c>
      <c r="D1254" s="0" t="str">
        <f aca="false">IF(C1254=1,MOD(ABS(SIN(ROW()*12.9898+'הדבקת לידים'!$F$2*78.233+IFERROR(--RIGHT(A1254,6),LEN(A1254))*0.0137+IFERROR(--RIGHT(B1254,6),LEN(B1254))*0.0071))*43758.5453,1),"")</f>
        <v/>
      </c>
      <c r="E1254" s="0" t="str">
        <f aca="false">IF(C1254=1,INT(MOD(ABS(SIN(D1254*7919.123+ROW()*0.618+'הדבקת לידים'!$F$2*1.3))*43758.5453,1)*1000000)*10000+ROW(),"")</f>
        <v/>
      </c>
      <c r="F1254" s="0" t="str">
        <f aca="false">IF(E1254="","",RANK(E1254,$E$2:$E$5001,1))</f>
        <v/>
      </c>
      <c r="G1254" s="0" t="n">
        <f aca="false">IF(A1254="",0,IF(SUMPRODUCT(--($A$2:$A$5001=A1254))&gt;1,1,0))</f>
        <v>0</v>
      </c>
      <c r="H1254" s="0" t="n">
        <f aca="false">ROW()-1</f>
        <v>1253</v>
      </c>
      <c r="I1254" s="0" t="str">
        <f aca="false">IF(OR(הגדרות!$E$6=0,H1254&gt;הגדרות!$E$5),"",IF(H1254-1&lt;הגדרות!$E$8*(הגדרות!$E$7+1),INT((H1254-1)/(הגדרות!$E$7+1)),הגדרות!$E$8+INT((H1254-1-הגדרות!$E$8*(הגדרות!$E$7+1))/הגדרות!$E$7)))</f>
        <v/>
      </c>
      <c r="J1254" s="0" t="str">
        <f aca="false">IF(I1254="","",IF(H1254-1&lt;הגדרות!$E$8*(הגדרות!$E$7+1),MOD(H1254-1,הגדרות!$E$7+1),MOD(H1254-1-הגדרות!$E$8*(הגדרות!$E$7+1),הגדרות!$E$7)))</f>
        <v/>
      </c>
      <c r="K1254" s="0" t="str">
        <f aca="false">IF(I1254="","",J1254*הגדרות!$E$6+I1254+1)</f>
        <v/>
      </c>
      <c r="L1254" s="0" t="str">
        <f aca="false">IF(K1254="","",MATCH(K1254,$F$2:$F$5001,0))</f>
        <v/>
      </c>
      <c r="M1254" s="0" t="str">
        <f aca="false">IF(I1254="","",INDEX(הגדרות!$A$2:$A$21,MOD(I1254+הגדרות!$E$9,הגדרות!$E$6)+1))</f>
        <v/>
      </c>
    </row>
    <row r="1255" customFormat="false" ht="15" hidden="false" customHeight="false" outlineLevel="0" collapsed="false">
      <c r="A1255" s="0" t="str">
        <f aca="false">IF('הדבקת לידים'!A1255="","",IF(ISNUMBER('הדבקת לידים'!A1255),IF(הגדרות!$E$2&gt;0,TEXT('הדבקת לידים'!A1255,REPT("0",הגדרות!$E$2)),TEXT('הדבקת לידים'!A1255,"0")),TRIM('הדבקת לידים'!A1255)))</f>
        <v/>
      </c>
      <c r="B1255" s="0" t="str">
        <f aca="false">IF('הדבקת לידים'!B1255="","",IF(ISNUMBER('הדבקת לידים'!B1255),IF(הגדרות!$E$3&gt;0,TEXT('הדבקת לידים'!B1255,REPT("0",הגדרות!$E$3)),TEXT('הדבקת לידים'!B1255,"0")),TRIM('הדבקת לידים'!B1255)))</f>
        <v/>
      </c>
      <c r="C1255" s="0" t="n">
        <f aca="false">IF(OR(A1255&lt;&gt;"",B1255&lt;&gt;""),1,0)</f>
        <v>0</v>
      </c>
      <c r="D1255" s="0" t="str">
        <f aca="false">IF(C1255=1,MOD(ABS(SIN(ROW()*12.9898+'הדבקת לידים'!$F$2*78.233+IFERROR(--RIGHT(A1255,6),LEN(A1255))*0.0137+IFERROR(--RIGHT(B1255,6),LEN(B1255))*0.0071))*43758.5453,1),"")</f>
        <v/>
      </c>
      <c r="E1255" s="0" t="str">
        <f aca="false">IF(C1255=1,INT(MOD(ABS(SIN(D1255*7919.123+ROW()*0.618+'הדבקת לידים'!$F$2*1.3))*43758.5453,1)*1000000)*10000+ROW(),"")</f>
        <v/>
      </c>
      <c r="F1255" s="0" t="str">
        <f aca="false">IF(E1255="","",RANK(E1255,$E$2:$E$5001,1))</f>
        <v/>
      </c>
      <c r="G1255" s="0" t="n">
        <f aca="false">IF(A1255="",0,IF(SUMPRODUCT(--($A$2:$A$5001=A1255))&gt;1,1,0))</f>
        <v>0</v>
      </c>
      <c r="H1255" s="0" t="n">
        <f aca="false">ROW()-1</f>
        <v>1254</v>
      </c>
      <c r="I1255" s="0" t="str">
        <f aca="false">IF(OR(הגדרות!$E$6=0,H1255&gt;הגדרות!$E$5),"",IF(H1255-1&lt;הגדרות!$E$8*(הגדרות!$E$7+1),INT((H1255-1)/(הגדרות!$E$7+1)),הגדרות!$E$8+INT((H1255-1-הגדרות!$E$8*(הגדרות!$E$7+1))/הגדרות!$E$7)))</f>
        <v/>
      </c>
      <c r="J1255" s="0" t="str">
        <f aca="false">IF(I1255="","",IF(H1255-1&lt;הגדרות!$E$8*(הגדרות!$E$7+1),MOD(H1255-1,הגדרות!$E$7+1),MOD(H1255-1-הגדרות!$E$8*(הגדרות!$E$7+1),הגדרות!$E$7)))</f>
        <v/>
      </c>
      <c r="K1255" s="0" t="str">
        <f aca="false">IF(I1255="","",J1255*הגדרות!$E$6+I1255+1)</f>
        <v/>
      </c>
      <c r="L1255" s="0" t="str">
        <f aca="false">IF(K1255="","",MATCH(K1255,$F$2:$F$5001,0))</f>
        <v/>
      </c>
      <c r="M1255" s="0" t="str">
        <f aca="false">IF(I1255="","",INDEX(הגדרות!$A$2:$A$21,MOD(I1255+הגדרות!$E$9,הגדרות!$E$6)+1))</f>
        <v/>
      </c>
    </row>
    <row r="1256" customFormat="false" ht="15" hidden="false" customHeight="false" outlineLevel="0" collapsed="false">
      <c r="A1256" s="0" t="str">
        <f aca="false">IF('הדבקת לידים'!A1256="","",IF(ISNUMBER('הדבקת לידים'!A1256),IF(הגדרות!$E$2&gt;0,TEXT('הדבקת לידים'!A1256,REPT("0",הגדרות!$E$2)),TEXT('הדבקת לידים'!A1256,"0")),TRIM('הדבקת לידים'!A1256)))</f>
        <v/>
      </c>
      <c r="B1256" s="0" t="str">
        <f aca="false">IF('הדבקת לידים'!B1256="","",IF(ISNUMBER('הדבקת לידים'!B1256),IF(הגדרות!$E$3&gt;0,TEXT('הדבקת לידים'!B1256,REPT("0",הגדרות!$E$3)),TEXT('הדבקת לידים'!B1256,"0")),TRIM('הדבקת לידים'!B1256)))</f>
        <v/>
      </c>
      <c r="C1256" s="0" t="n">
        <f aca="false">IF(OR(A1256&lt;&gt;"",B1256&lt;&gt;""),1,0)</f>
        <v>0</v>
      </c>
      <c r="D1256" s="0" t="str">
        <f aca="false">IF(C1256=1,MOD(ABS(SIN(ROW()*12.9898+'הדבקת לידים'!$F$2*78.233+IFERROR(--RIGHT(A1256,6),LEN(A1256))*0.0137+IFERROR(--RIGHT(B1256,6),LEN(B1256))*0.0071))*43758.5453,1),"")</f>
        <v/>
      </c>
      <c r="E1256" s="0" t="str">
        <f aca="false">IF(C1256=1,INT(MOD(ABS(SIN(D1256*7919.123+ROW()*0.618+'הדבקת לידים'!$F$2*1.3))*43758.5453,1)*1000000)*10000+ROW(),"")</f>
        <v/>
      </c>
      <c r="F1256" s="0" t="str">
        <f aca="false">IF(E1256="","",RANK(E1256,$E$2:$E$5001,1))</f>
        <v/>
      </c>
      <c r="G1256" s="0" t="n">
        <f aca="false">IF(A1256="",0,IF(SUMPRODUCT(--($A$2:$A$5001=A1256))&gt;1,1,0))</f>
        <v>0</v>
      </c>
      <c r="H1256" s="0" t="n">
        <f aca="false">ROW()-1</f>
        <v>1255</v>
      </c>
      <c r="I1256" s="0" t="str">
        <f aca="false">IF(OR(הגדרות!$E$6=0,H1256&gt;הגדרות!$E$5),"",IF(H1256-1&lt;הגדרות!$E$8*(הגדרות!$E$7+1),INT((H1256-1)/(הגדרות!$E$7+1)),הגדרות!$E$8+INT((H1256-1-הגדרות!$E$8*(הגדרות!$E$7+1))/הגדרות!$E$7)))</f>
        <v/>
      </c>
      <c r="J1256" s="0" t="str">
        <f aca="false">IF(I1256="","",IF(H1256-1&lt;הגדרות!$E$8*(הגדרות!$E$7+1),MOD(H1256-1,הגדרות!$E$7+1),MOD(H1256-1-הגדרות!$E$8*(הגדרות!$E$7+1),הגדרות!$E$7)))</f>
        <v/>
      </c>
      <c r="K1256" s="0" t="str">
        <f aca="false">IF(I1256="","",J1256*הגדרות!$E$6+I1256+1)</f>
        <v/>
      </c>
      <c r="L1256" s="0" t="str">
        <f aca="false">IF(K1256="","",MATCH(K1256,$F$2:$F$5001,0))</f>
        <v/>
      </c>
      <c r="M1256" s="0" t="str">
        <f aca="false">IF(I1256="","",INDEX(הגדרות!$A$2:$A$21,MOD(I1256+הגדרות!$E$9,הגדרות!$E$6)+1))</f>
        <v/>
      </c>
    </row>
    <row r="1257" customFormat="false" ht="15" hidden="false" customHeight="false" outlineLevel="0" collapsed="false">
      <c r="A1257" s="0" t="str">
        <f aca="false">IF('הדבקת לידים'!A1257="","",IF(ISNUMBER('הדבקת לידים'!A1257),IF(הגדרות!$E$2&gt;0,TEXT('הדבקת לידים'!A1257,REPT("0",הגדרות!$E$2)),TEXT('הדבקת לידים'!A1257,"0")),TRIM('הדבקת לידים'!A1257)))</f>
        <v/>
      </c>
      <c r="B1257" s="0" t="str">
        <f aca="false">IF('הדבקת לידים'!B1257="","",IF(ISNUMBER('הדבקת לידים'!B1257),IF(הגדרות!$E$3&gt;0,TEXT('הדבקת לידים'!B1257,REPT("0",הגדרות!$E$3)),TEXT('הדבקת לידים'!B1257,"0")),TRIM('הדבקת לידים'!B1257)))</f>
        <v/>
      </c>
      <c r="C1257" s="0" t="n">
        <f aca="false">IF(OR(A1257&lt;&gt;"",B1257&lt;&gt;""),1,0)</f>
        <v>0</v>
      </c>
      <c r="D1257" s="0" t="str">
        <f aca="false">IF(C1257=1,MOD(ABS(SIN(ROW()*12.9898+'הדבקת לידים'!$F$2*78.233+IFERROR(--RIGHT(A1257,6),LEN(A1257))*0.0137+IFERROR(--RIGHT(B1257,6),LEN(B1257))*0.0071))*43758.5453,1),"")</f>
        <v/>
      </c>
      <c r="E1257" s="0" t="str">
        <f aca="false">IF(C1257=1,INT(MOD(ABS(SIN(D1257*7919.123+ROW()*0.618+'הדבקת לידים'!$F$2*1.3))*43758.5453,1)*1000000)*10000+ROW(),"")</f>
        <v/>
      </c>
      <c r="F1257" s="0" t="str">
        <f aca="false">IF(E1257="","",RANK(E1257,$E$2:$E$5001,1))</f>
        <v/>
      </c>
      <c r="G1257" s="0" t="n">
        <f aca="false">IF(A1257="",0,IF(SUMPRODUCT(--($A$2:$A$5001=A1257))&gt;1,1,0))</f>
        <v>0</v>
      </c>
      <c r="H1257" s="0" t="n">
        <f aca="false">ROW()-1</f>
        <v>1256</v>
      </c>
      <c r="I1257" s="0" t="str">
        <f aca="false">IF(OR(הגדרות!$E$6=0,H1257&gt;הגדרות!$E$5),"",IF(H1257-1&lt;הגדרות!$E$8*(הגדרות!$E$7+1),INT((H1257-1)/(הגדרות!$E$7+1)),הגדרות!$E$8+INT((H1257-1-הגדרות!$E$8*(הגדרות!$E$7+1))/הגדרות!$E$7)))</f>
        <v/>
      </c>
      <c r="J1257" s="0" t="str">
        <f aca="false">IF(I1257="","",IF(H1257-1&lt;הגדרות!$E$8*(הגדרות!$E$7+1),MOD(H1257-1,הגדרות!$E$7+1),MOD(H1257-1-הגדרות!$E$8*(הגדרות!$E$7+1),הגדרות!$E$7)))</f>
        <v/>
      </c>
      <c r="K1257" s="0" t="str">
        <f aca="false">IF(I1257="","",J1257*הגדרות!$E$6+I1257+1)</f>
        <v/>
      </c>
      <c r="L1257" s="0" t="str">
        <f aca="false">IF(K1257="","",MATCH(K1257,$F$2:$F$5001,0))</f>
        <v/>
      </c>
      <c r="M1257" s="0" t="str">
        <f aca="false">IF(I1257="","",INDEX(הגדרות!$A$2:$A$21,MOD(I1257+הגדרות!$E$9,הגדרות!$E$6)+1))</f>
        <v/>
      </c>
    </row>
    <row r="1258" customFormat="false" ht="15" hidden="false" customHeight="false" outlineLevel="0" collapsed="false">
      <c r="A1258" s="0" t="str">
        <f aca="false">IF('הדבקת לידים'!A1258="","",IF(ISNUMBER('הדבקת לידים'!A1258),IF(הגדרות!$E$2&gt;0,TEXT('הדבקת לידים'!A1258,REPT("0",הגדרות!$E$2)),TEXT('הדבקת לידים'!A1258,"0")),TRIM('הדבקת לידים'!A1258)))</f>
        <v/>
      </c>
      <c r="B1258" s="0" t="str">
        <f aca="false">IF('הדבקת לידים'!B1258="","",IF(ISNUMBER('הדבקת לידים'!B1258),IF(הגדרות!$E$3&gt;0,TEXT('הדבקת לידים'!B1258,REPT("0",הגדרות!$E$3)),TEXT('הדבקת לידים'!B1258,"0")),TRIM('הדבקת לידים'!B1258)))</f>
        <v/>
      </c>
      <c r="C1258" s="0" t="n">
        <f aca="false">IF(OR(A1258&lt;&gt;"",B1258&lt;&gt;""),1,0)</f>
        <v>0</v>
      </c>
      <c r="D1258" s="0" t="str">
        <f aca="false">IF(C1258=1,MOD(ABS(SIN(ROW()*12.9898+'הדבקת לידים'!$F$2*78.233+IFERROR(--RIGHT(A1258,6),LEN(A1258))*0.0137+IFERROR(--RIGHT(B1258,6),LEN(B1258))*0.0071))*43758.5453,1),"")</f>
        <v/>
      </c>
      <c r="E1258" s="0" t="str">
        <f aca="false">IF(C1258=1,INT(MOD(ABS(SIN(D1258*7919.123+ROW()*0.618+'הדבקת לידים'!$F$2*1.3))*43758.5453,1)*1000000)*10000+ROW(),"")</f>
        <v/>
      </c>
      <c r="F1258" s="0" t="str">
        <f aca="false">IF(E1258="","",RANK(E1258,$E$2:$E$5001,1))</f>
        <v/>
      </c>
      <c r="G1258" s="0" t="n">
        <f aca="false">IF(A1258="",0,IF(SUMPRODUCT(--($A$2:$A$5001=A1258))&gt;1,1,0))</f>
        <v>0</v>
      </c>
      <c r="H1258" s="0" t="n">
        <f aca="false">ROW()-1</f>
        <v>1257</v>
      </c>
      <c r="I1258" s="0" t="str">
        <f aca="false">IF(OR(הגדרות!$E$6=0,H1258&gt;הגדרות!$E$5),"",IF(H1258-1&lt;הגדרות!$E$8*(הגדרות!$E$7+1),INT((H1258-1)/(הגדרות!$E$7+1)),הגדרות!$E$8+INT((H1258-1-הגדרות!$E$8*(הגדרות!$E$7+1))/הגדרות!$E$7)))</f>
        <v/>
      </c>
      <c r="J1258" s="0" t="str">
        <f aca="false">IF(I1258="","",IF(H1258-1&lt;הגדרות!$E$8*(הגדרות!$E$7+1),MOD(H1258-1,הגדרות!$E$7+1),MOD(H1258-1-הגדרות!$E$8*(הגדרות!$E$7+1),הגדרות!$E$7)))</f>
        <v/>
      </c>
      <c r="K1258" s="0" t="str">
        <f aca="false">IF(I1258="","",J1258*הגדרות!$E$6+I1258+1)</f>
        <v/>
      </c>
      <c r="L1258" s="0" t="str">
        <f aca="false">IF(K1258="","",MATCH(K1258,$F$2:$F$5001,0))</f>
        <v/>
      </c>
      <c r="M1258" s="0" t="str">
        <f aca="false">IF(I1258="","",INDEX(הגדרות!$A$2:$A$21,MOD(I1258+הגדרות!$E$9,הגדרות!$E$6)+1))</f>
        <v/>
      </c>
    </row>
    <row r="1259" customFormat="false" ht="15" hidden="false" customHeight="false" outlineLevel="0" collapsed="false">
      <c r="A1259" s="0" t="str">
        <f aca="false">IF('הדבקת לידים'!A1259="","",IF(ISNUMBER('הדבקת לידים'!A1259),IF(הגדרות!$E$2&gt;0,TEXT('הדבקת לידים'!A1259,REPT("0",הגדרות!$E$2)),TEXT('הדבקת לידים'!A1259,"0")),TRIM('הדבקת לידים'!A1259)))</f>
        <v/>
      </c>
      <c r="B1259" s="0" t="str">
        <f aca="false">IF('הדבקת לידים'!B1259="","",IF(ISNUMBER('הדבקת לידים'!B1259),IF(הגדרות!$E$3&gt;0,TEXT('הדבקת לידים'!B1259,REPT("0",הגדרות!$E$3)),TEXT('הדבקת לידים'!B1259,"0")),TRIM('הדבקת לידים'!B1259)))</f>
        <v/>
      </c>
      <c r="C1259" s="0" t="n">
        <f aca="false">IF(OR(A1259&lt;&gt;"",B1259&lt;&gt;""),1,0)</f>
        <v>0</v>
      </c>
      <c r="D1259" s="0" t="str">
        <f aca="false">IF(C1259=1,MOD(ABS(SIN(ROW()*12.9898+'הדבקת לידים'!$F$2*78.233+IFERROR(--RIGHT(A1259,6),LEN(A1259))*0.0137+IFERROR(--RIGHT(B1259,6),LEN(B1259))*0.0071))*43758.5453,1),"")</f>
        <v/>
      </c>
      <c r="E1259" s="0" t="str">
        <f aca="false">IF(C1259=1,INT(MOD(ABS(SIN(D1259*7919.123+ROW()*0.618+'הדבקת לידים'!$F$2*1.3))*43758.5453,1)*1000000)*10000+ROW(),"")</f>
        <v/>
      </c>
      <c r="F1259" s="0" t="str">
        <f aca="false">IF(E1259="","",RANK(E1259,$E$2:$E$5001,1))</f>
        <v/>
      </c>
      <c r="G1259" s="0" t="n">
        <f aca="false">IF(A1259="",0,IF(SUMPRODUCT(--($A$2:$A$5001=A1259))&gt;1,1,0))</f>
        <v>0</v>
      </c>
      <c r="H1259" s="0" t="n">
        <f aca="false">ROW()-1</f>
        <v>1258</v>
      </c>
      <c r="I1259" s="0" t="str">
        <f aca="false">IF(OR(הגדרות!$E$6=0,H1259&gt;הגדרות!$E$5),"",IF(H1259-1&lt;הגדרות!$E$8*(הגדרות!$E$7+1),INT((H1259-1)/(הגדרות!$E$7+1)),הגדרות!$E$8+INT((H1259-1-הגדרות!$E$8*(הגדרות!$E$7+1))/הגדרות!$E$7)))</f>
        <v/>
      </c>
      <c r="J1259" s="0" t="str">
        <f aca="false">IF(I1259="","",IF(H1259-1&lt;הגדרות!$E$8*(הגדרות!$E$7+1),MOD(H1259-1,הגדרות!$E$7+1),MOD(H1259-1-הגדרות!$E$8*(הגדרות!$E$7+1),הגדרות!$E$7)))</f>
        <v/>
      </c>
      <c r="K1259" s="0" t="str">
        <f aca="false">IF(I1259="","",J1259*הגדרות!$E$6+I1259+1)</f>
        <v/>
      </c>
      <c r="L1259" s="0" t="str">
        <f aca="false">IF(K1259="","",MATCH(K1259,$F$2:$F$5001,0))</f>
        <v/>
      </c>
      <c r="M1259" s="0" t="str">
        <f aca="false">IF(I1259="","",INDEX(הגדרות!$A$2:$A$21,MOD(I1259+הגדרות!$E$9,הגדרות!$E$6)+1))</f>
        <v/>
      </c>
    </row>
    <row r="1260" customFormat="false" ht="15" hidden="false" customHeight="false" outlineLevel="0" collapsed="false">
      <c r="A1260" s="0" t="str">
        <f aca="false">IF('הדבקת לידים'!A1260="","",IF(ISNUMBER('הדבקת לידים'!A1260),IF(הגדרות!$E$2&gt;0,TEXT('הדבקת לידים'!A1260,REPT("0",הגדרות!$E$2)),TEXT('הדבקת לידים'!A1260,"0")),TRIM('הדבקת לידים'!A1260)))</f>
        <v/>
      </c>
      <c r="B1260" s="0" t="str">
        <f aca="false">IF('הדבקת לידים'!B1260="","",IF(ISNUMBER('הדבקת לידים'!B1260),IF(הגדרות!$E$3&gt;0,TEXT('הדבקת לידים'!B1260,REPT("0",הגדרות!$E$3)),TEXT('הדבקת לידים'!B1260,"0")),TRIM('הדבקת לידים'!B1260)))</f>
        <v/>
      </c>
      <c r="C1260" s="0" t="n">
        <f aca="false">IF(OR(A1260&lt;&gt;"",B1260&lt;&gt;""),1,0)</f>
        <v>0</v>
      </c>
      <c r="D1260" s="0" t="str">
        <f aca="false">IF(C1260=1,MOD(ABS(SIN(ROW()*12.9898+'הדבקת לידים'!$F$2*78.233+IFERROR(--RIGHT(A1260,6),LEN(A1260))*0.0137+IFERROR(--RIGHT(B1260,6),LEN(B1260))*0.0071))*43758.5453,1),"")</f>
        <v/>
      </c>
      <c r="E1260" s="0" t="str">
        <f aca="false">IF(C1260=1,INT(MOD(ABS(SIN(D1260*7919.123+ROW()*0.618+'הדבקת לידים'!$F$2*1.3))*43758.5453,1)*1000000)*10000+ROW(),"")</f>
        <v/>
      </c>
      <c r="F1260" s="0" t="str">
        <f aca="false">IF(E1260="","",RANK(E1260,$E$2:$E$5001,1))</f>
        <v/>
      </c>
      <c r="G1260" s="0" t="n">
        <f aca="false">IF(A1260="",0,IF(SUMPRODUCT(--($A$2:$A$5001=A1260))&gt;1,1,0))</f>
        <v>0</v>
      </c>
      <c r="H1260" s="0" t="n">
        <f aca="false">ROW()-1</f>
        <v>1259</v>
      </c>
      <c r="I1260" s="0" t="str">
        <f aca="false">IF(OR(הגדרות!$E$6=0,H1260&gt;הגדרות!$E$5),"",IF(H1260-1&lt;הגדרות!$E$8*(הגדרות!$E$7+1),INT((H1260-1)/(הגדרות!$E$7+1)),הגדרות!$E$8+INT((H1260-1-הגדרות!$E$8*(הגדרות!$E$7+1))/הגדרות!$E$7)))</f>
        <v/>
      </c>
      <c r="J1260" s="0" t="str">
        <f aca="false">IF(I1260="","",IF(H1260-1&lt;הגדרות!$E$8*(הגדרות!$E$7+1),MOD(H1260-1,הגדרות!$E$7+1),MOD(H1260-1-הגדרות!$E$8*(הגדרות!$E$7+1),הגדרות!$E$7)))</f>
        <v/>
      </c>
      <c r="K1260" s="0" t="str">
        <f aca="false">IF(I1260="","",J1260*הגדרות!$E$6+I1260+1)</f>
        <v/>
      </c>
      <c r="L1260" s="0" t="str">
        <f aca="false">IF(K1260="","",MATCH(K1260,$F$2:$F$5001,0))</f>
        <v/>
      </c>
      <c r="M1260" s="0" t="str">
        <f aca="false">IF(I1260="","",INDEX(הגדרות!$A$2:$A$21,MOD(I1260+הגדרות!$E$9,הגדרות!$E$6)+1))</f>
        <v/>
      </c>
    </row>
    <row r="1261" customFormat="false" ht="15" hidden="false" customHeight="false" outlineLevel="0" collapsed="false">
      <c r="A1261" s="0" t="str">
        <f aca="false">IF('הדבקת לידים'!A1261="","",IF(ISNUMBER('הדבקת לידים'!A1261),IF(הגדרות!$E$2&gt;0,TEXT('הדבקת לידים'!A1261,REPT("0",הגדרות!$E$2)),TEXT('הדבקת לידים'!A1261,"0")),TRIM('הדבקת לידים'!A1261)))</f>
        <v/>
      </c>
      <c r="B1261" s="0" t="str">
        <f aca="false">IF('הדבקת לידים'!B1261="","",IF(ISNUMBER('הדבקת לידים'!B1261),IF(הגדרות!$E$3&gt;0,TEXT('הדבקת לידים'!B1261,REPT("0",הגדרות!$E$3)),TEXT('הדבקת לידים'!B1261,"0")),TRIM('הדבקת לידים'!B1261)))</f>
        <v/>
      </c>
      <c r="C1261" s="0" t="n">
        <f aca="false">IF(OR(A1261&lt;&gt;"",B1261&lt;&gt;""),1,0)</f>
        <v>0</v>
      </c>
      <c r="D1261" s="0" t="str">
        <f aca="false">IF(C1261=1,MOD(ABS(SIN(ROW()*12.9898+'הדבקת לידים'!$F$2*78.233+IFERROR(--RIGHT(A1261,6),LEN(A1261))*0.0137+IFERROR(--RIGHT(B1261,6),LEN(B1261))*0.0071))*43758.5453,1),"")</f>
        <v/>
      </c>
      <c r="E1261" s="0" t="str">
        <f aca="false">IF(C1261=1,INT(MOD(ABS(SIN(D1261*7919.123+ROW()*0.618+'הדבקת לידים'!$F$2*1.3))*43758.5453,1)*1000000)*10000+ROW(),"")</f>
        <v/>
      </c>
      <c r="F1261" s="0" t="str">
        <f aca="false">IF(E1261="","",RANK(E1261,$E$2:$E$5001,1))</f>
        <v/>
      </c>
      <c r="G1261" s="0" t="n">
        <f aca="false">IF(A1261="",0,IF(SUMPRODUCT(--($A$2:$A$5001=A1261))&gt;1,1,0))</f>
        <v>0</v>
      </c>
      <c r="H1261" s="0" t="n">
        <f aca="false">ROW()-1</f>
        <v>1260</v>
      </c>
      <c r="I1261" s="0" t="str">
        <f aca="false">IF(OR(הגדרות!$E$6=0,H1261&gt;הגדרות!$E$5),"",IF(H1261-1&lt;הגדרות!$E$8*(הגדרות!$E$7+1),INT((H1261-1)/(הגדרות!$E$7+1)),הגדרות!$E$8+INT((H1261-1-הגדרות!$E$8*(הגדרות!$E$7+1))/הגדרות!$E$7)))</f>
        <v/>
      </c>
      <c r="J1261" s="0" t="str">
        <f aca="false">IF(I1261="","",IF(H1261-1&lt;הגדרות!$E$8*(הגדרות!$E$7+1),MOD(H1261-1,הגדרות!$E$7+1),MOD(H1261-1-הגדרות!$E$8*(הגדרות!$E$7+1),הגדרות!$E$7)))</f>
        <v/>
      </c>
      <c r="K1261" s="0" t="str">
        <f aca="false">IF(I1261="","",J1261*הגדרות!$E$6+I1261+1)</f>
        <v/>
      </c>
      <c r="L1261" s="0" t="str">
        <f aca="false">IF(K1261="","",MATCH(K1261,$F$2:$F$5001,0))</f>
        <v/>
      </c>
      <c r="M1261" s="0" t="str">
        <f aca="false">IF(I1261="","",INDEX(הגדרות!$A$2:$A$21,MOD(I1261+הגדרות!$E$9,הגדרות!$E$6)+1))</f>
        <v/>
      </c>
    </row>
    <row r="1262" customFormat="false" ht="15" hidden="false" customHeight="false" outlineLevel="0" collapsed="false">
      <c r="A1262" s="0" t="str">
        <f aca="false">IF('הדבקת לידים'!A1262="","",IF(ISNUMBER('הדבקת לידים'!A1262),IF(הגדרות!$E$2&gt;0,TEXT('הדבקת לידים'!A1262,REPT("0",הגדרות!$E$2)),TEXT('הדבקת לידים'!A1262,"0")),TRIM('הדבקת לידים'!A1262)))</f>
        <v/>
      </c>
      <c r="B1262" s="0" t="str">
        <f aca="false">IF('הדבקת לידים'!B1262="","",IF(ISNUMBER('הדבקת לידים'!B1262),IF(הגדרות!$E$3&gt;0,TEXT('הדבקת לידים'!B1262,REPT("0",הגדרות!$E$3)),TEXT('הדבקת לידים'!B1262,"0")),TRIM('הדבקת לידים'!B1262)))</f>
        <v/>
      </c>
      <c r="C1262" s="0" t="n">
        <f aca="false">IF(OR(A1262&lt;&gt;"",B1262&lt;&gt;""),1,0)</f>
        <v>0</v>
      </c>
      <c r="D1262" s="0" t="str">
        <f aca="false">IF(C1262=1,MOD(ABS(SIN(ROW()*12.9898+'הדבקת לידים'!$F$2*78.233+IFERROR(--RIGHT(A1262,6),LEN(A1262))*0.0137+IFERROR(--RIGHT(B1262,6),LEN(B1262))*0.0071))*43758.5453,1),"")</f>
        <v/>
      </c>
      <c r="E1262" s="0" t="str">
        <f aca="false">IF(C1262=1,INT(MOD(ABS(SIN(D1262*7919.123+ROW()*0.618+'הדבקת לידים'!$F$2*1.3))*43758.5453,1)*1000000)*10000+ROW(),"")</f>
        <v/>
      </c>
      <c r="F1262" s="0" t="str">
        <f aca="false">IF(E1262="","",RANK(E1262,$E$2:$E$5001,1))</f>
        <v/>
      </c>
      <c r="G1262" s="0" t="n">
        <f aca="false">IF(A1262="",0,IF(SUMPRODUCT(--($A$2:$A$5001=A1262))&gt;1,1,0))</f>
        <v>0</v>
      </c>
      <c r="H1262" s="0" t="n">
        <f aca="false">ROW()-1</f>
        <v>1261</v>
      </c>
      <c r="I1262" s="0" t="str">
        <f aca="false">IF(OR(הגדרות!$E$6=0,H1262&gt;הגדרות!$E$5),"",IF(H1262-1&lt;הגדרות!$E$8*(הגדרות!$E$7+1),INT((H1262-1)/(הגדרות!$E$7+1)),הגדרות!$E$8+INT((H1262-1-הגדרות!$E$8*(הגדרות!$E$7+1))/הגדרות!$E$7)))</f>
        <v/>
      </c>
      <c r="J1262" s="0" t="str">
        <f aca="false">IF(I1262="","",IF(H1262-1&lt;הגדרות!$E$8*(הגדרות!$E$7+1),MOD(H1262-1,הגדרות!$E$7+1),MOD(H1262-1-הגדרות!$E$8*(הגדרות!$E$7+1),הגדרות!$E$7)))</f>
        <v/>
      </c>
      <c r="K1262" s="0" t="str">
        <f aca="false">IF(I1262="","",J1262*הגדרות!$E$6+I1262+1)</f>
        <v/>
      </c>
      <c r="L1262" s="0" t="str">
        <f aca="false">IF(K1262="","",MATCH(K1262,$F$2:$F$5001,0))</f>
        <v/>
      </c>
      <c r="M1262" s="0" t="str">
        <f aca="false">IF(I1262="","",INDEX(הגדרות!$A$2:$A$21,MOD(I1262+הגדרות!$E$9,הגדרות!$E$6)+1))</f>
        <v/>
      </c>
    </row>
    <row r="1263" customFormat="false" ht="15" hidden="false" customHeight="false" outlineLevel="0" collapsed="false">
      <c r="A1263" s="0" t="str">
        <f aca="false">IF('הדבקת לידים'!A1263="","",IF(ISNUMBER('הדבקת לידים'!A1263),IF(הגדרות!$E$2&gt;0,TEXT('הדבקת לידים'!A1263,REPT("0",הגדרות!$E$2)),TEXT('הדבקת לידים'!A1263,"0")),TRIM('הדבקת לידים'!A1263)))</f>
        <v/>
      </c>
      <c r="B1263" s="0" t="str">
        <f aca="false">IF('הדבקת לידים'!B1263="","",IF(ISNUMBER('הדבקת לידים'!B1263),IF(הגדרות!$E$3&gt;0,TEXT('הדבקת לידים'!B1263,REPT("0",הגדרות!$E$3)),TEXT('הדבקת לידים'!B1263,"0")),TRIM('הדבקת לידים'!B1263)))</f>
        <v/>
      </c>
      <c r="C1263" s="0" t="n">
        <f aca="false">IF(OR(A1263&lt;&gt;"",B1263&lt;&gt;""),1,0)</f>
        <v>0</v>
      </c>
      <c r="D1263" s="0" t="str">
        <f aca="false">IF(C1263=1,MOD(ABS(SIN(ROW()*12.9898+'הדבקת לידים'!$F$2*78.233+IFERROR(--RIGHT(A1263,6),LEN(A1263))*0.0137+IFERROR(--RIGHT(B1263,6),LEN(B1263))*0.0071))*43758.5453,1),"")</f>
        <v/>
      </c>
      <c r="E1263" s="0" t="str">
        <f aca="false">IF(C1263=1,INT(MOD(ABS(SIN(D1263*7919.123+ROW()*0.618+'הדבקת לידים'!$F$2*1.3))*43758.5453,1)*1000000)*10000+ROW(),"")</f>
        <v/>
      </c>
      <c r="F1263" s="0" t="str">
        <f aca="false">IF(E1263="","",RANK(E1263,$E$2:$E$5001,1))</f>
        <v/>
      </c>
      <c r="G1263" s="0" t="n">
        <f aca="false">IF(A1263="",0,IF(SUMPRODUCT(--($A$2:$A$5001=A1263))&gt;1,1,0))</f>
        <v>0</v>
      </c>
      <c r="H1263" s="0" t="n">
        <f aca="false">ROW()-1</f>
        <v>1262</v>
      </c>
      <c r="I1263" s="0" t="str">
        <f aca="false">IF(OR(הגדרות!$E$6=0,H1263&gt;הגדרות!$E$5),"",IF(H1263-1&lt;הגדרות!$E$8*(הגדרות!$E$7+1),INT((H1263-1)/(הגדרות!$E$7+1)),הגדרות!$E$8+INT((H1263-1-הגדרות!$E$8*(הגדרות!$E$7+1))/הגדרות!$E$7)))</f>
        <v/>
      </c>
      <c r="J1263" s="0" t="str">
        <f aca="false">IF(I1263="","",IF(H1263-1&lt;הגדרות!$E$8*(הגדרות!$E$7+1),MOD(H1263-1,הגדרות!$E$7+1),MOD(H1263-1-הגדרות!$E$8*(הגדרות!$E$7+1),הגדרות!$E$7)))</f>
        <v/>
      </c>
      <c r="K1263" s="0" t="str">
        <f aca="false">IF(I1263="","",J1263*הגדרות!$E$6+I1263+1)</f>
        <v/>
      </c>
      <c r="L1263" s="0" t="str">
        <f aca="false">IF(K1263="","",MATCH(K1263,$F$2:$F$5001,0))</f>
        <v/>
      </c>
      <c r="M1263" s="0" t="str">
        <f aca="false">IF(I1263="","",INDEX(הגדרות!$A$2:$A$21,MOD(I1263+הגדרות!$E$9,הגדרות!$E$6)+1))</f>
        <v/>
      </c>
    </row>
    <row r="1264" customFormat="false" ht="15" hidden="false" customHeight="false" outlineLevel="0" collapsed="false">
      <c r="A1264" s="0" t="str">
        <f aca="false">IF('הדבקת לידים'!A1264="","",IF(ISNUMBER('הדבקת לידים'!A1264),IF(הגדרות!$E$2&gt;0,TEXT('הדבקת לידים'!A1264,REPT("0",הגדרות!$E$2)),TEXT('הדבקת לידים'!A1264,"0")),TRIM('הדבקת לידים'!A1264)))</f>
        <v/>
      </c>
      <c r="B1264" s="0" t="str">
        <f aca="false">IF('הדבקת לידים'!B1264="","",IF(ISNUMBER('הדבקת לידים'!B1264),IF(הגדרות!$E$3&gt;0,TEXT('הדבקת לידים'!B1264,REPT("0",הגדרות!$E$3)),TEXT('הדבקת לידים'!B1264,"0")),TRIM('הדבקת לידים'!B1264)))</f>
        <v/>
      </c>
      <c r="C1264" s="0" t="n">
        <f aca="false">IF(OR(A1264&lt;&gt;"",B1264&lt;&gt;""),1,0)</f>
        <v>0</v>
      </c>
      <c r="D1264" s="0" t="str">
        <f aca="false">IF(C1264=1,MOD(ABS(SIN(ROW()*12.9898+'הדבקת לידים'!$F$2*78.233+IFERROR(--RIGHT(A1264,6),LEN(A1264))*0.0137+IFERROR(--RIGHT(B1264,6),LEN(B1264))*0.0071))*43758.5453,1),"")</f>
        <v/>
      </c>
      <c r="E1264" s="0" t="str">
        <f aca="false">IF(C1264=1,INT(MOD(ABS(SIN(D1264*7919.123+ROW()*0.618+'הדבקת לידים'!$F$2*1.3))*43758.5453,1)*1000000)*10000+ROW(),"")</f>
        <v/>
      </c>
      <c r="F1264" s="0" t="str">
        <f aca="false">IF(E1264="","",RANK(E1264,$E$2:$E$5001,1))</f>
        <v/>
      </c>
      <c r="G1264" s="0" t="n">
        <f aca="false">IF(A1264="",0,IF(SUMPRODUCT(--($A$2:$A$5001=A1264))&gt;1,1,0))</f>
        <v>0</v>
      </c>
      <c r="H1264" s="0" t="n">
        <f aca="false">ROW()-1</f>
        <v>1263</v>
      </c>
      <c r="I1264" s="0" t="str">
        <f aca="false">IF(OR(הגדרות!$E$6=0,H1264&gt;הגדרות!$E$5),"",IF(H1264-1&lt;הגדרות!$E$8*(הגדרות!$E$7+1),INT((H1264-1)/(הגדרות!$E$7+1)),הגדרות!$E$8+INT((H1264-1-הגדרות!$E$8*(הגדרות!$E$7+1))/הגדרות!$E$7)))</f>
        <v/>
      </c>
      <c r="J1264" s="0" t="str">
        <f aca="false">IF(I1264="","",IF(H1264-1&lt;הגדרות!$E$8*(הגדרות!$E$7+1),MOD(H1264-1,הגדרות!$E$7+1),MOD(H1264-1-הגדרות!$E$8*(הגדרות!$E$7+1),הגדרות!$E$7)))</f>
        <v/>
      </c>
      <c r="K1264" s="0" t="str">
        <f aca="false">IF(I1264="","",J1264*הגדרות!$E$6+I1264+1)</f>
        <v/>
      </c>
      <c r="L1264" s="0" t="str">
        <f aca="false">IF(K1264="","",MATCH(K1264,$F$2:$F$5001,0))</f>
        <v/>
      </c>
      <c r="M1264" s="0" t="str">
        <f aca="false">IF(I1264="","",INDEX(הגדרות!$A$2:$A$21,MOD(I1264+הגדרות!$E$9,הגדרות!$E$6)+1))</f>
        <v/>
      </c>
    </row>
    <row r="1265" customFormat="false" ht="15" hidden="false" customHeight="false" outlineLevel="0" collapsed="false">
      <c r="A1265" s="0" t="str">
        <f aca="false">IF('הדבקת לידים'!A1265="","",IF(ISNUMBER('הדבקת לידים'!A1265),IF(הגדרות!$E$2&gt;0,TEXT('הדבקת לידים'!A1265,REPT("0",הגדרות!$E$2)),TEXT('הדבקת לידים'!A1265,"0")),TRIM('הדבקת לידים'!A1265)))</f>
        <v/>
      </c>
      <c r="B1265" s="0" t="str">
        <f aca="false">IF('הדבקת לידים'!B1265="","",IF(ISNUMBER('הדבקת לידים'!B1265),IF(הגדרות!$E$3&gt;0,TEXT('הדבקת לידים'!B1265,REPT("0",הגדרות!$E$3)),TEXT('הדבקת לידים'!B1265,"0")),TRIM('הדבקת לידים'!B1265)))</f>
        <v/>
      </c>
      <c r="C1265" s="0" t="n">
        <f aca="false">IF(OR(A1265&lt;&gt;"",B1265&lt;&gt;""),1,0)</f>
        <v>0</v>
      </c>
      <c r="D1265" s="0" t="str">
        <f aca="false">IF(C1265=1,MOD(ABS(SIN(ROW()*12.9898+'הדבקת לידים'!$F$2*78.233+IFERROR(--RIGHT(A1265,6),LEN(A1265))*0.0137+IFERROR(--RIGHT(B1265,6),LEN(B1265))*0.0071))*43758.5453,1),"")</f>
        <v/>
      </c>
      <c r="E1265" s="0" t="str">
        <f aca="false">IF(C1265=1,INT(MOD(ABS(SIN(D1265*7919.123+ROW()*0.618+'הדבקת לידים'!$F$2*1.3))*43758.5453,1)*1000000)*10000+ROW(),"")</f>
        <v/>
      </c>
      <c r="F1265" s="0" t="str">
        <f aca="false">IF(E1265="","",RANK(E1265,$E$2:$E$5001,1))</f>
        <v/>
      </c>
      <c r="G1265" s="0" t="n">
        <f aca="false">IF(A1265="",0,IF(SUMPRODUCT(--($A$2:$A$5001=A1265))&gt;1,1,0))</f>
        <v>0</v>
      </c>
      <c r="H1265" s="0" t="n">
        <f aca="false">ROW()-1</f>
        <v>1264</v>
      </c>
      <c r="I1265" s="0" t="str">
        <f aca="false">IF(OR(הגדרות!$E$6=0,H1265&gt;הגדרות!$E$5),"",IF(H1265-1&lt;הגדרות!$E$8*(הגדרות!$E$7+1),INT((H1265-1)/(הגדרות!$E$7+1)),הגדרות!$E$8+INT((H1265-1-הגדרות!$E$8*(הגדרות!$E$7+1))/הגדרות!$E$7)))</f>
        <v/>
      </c>
      <c r="J1265" s="0" t="str">
        <f aca="false">IF(I1265="","",IF(H1265-1&lt;הגדרות!$E$8*(הגדרות!$E$7+1),MOD(H1265-1,הגדרות!$E$7+1),MOD(H1265-1-הגדרות!$E$8*(הגדרות!$E$7+1),הגדרות!$E$7)))</f>
        <v/>
      </c>
      <c r="K1265" s="0" t="str">
        <f aca="false">IF(I1265="","",J1265*הגדרות!$E$6+I1265+1)</f>
        <v/>
      </c>
      <c r="L1265" s="0" t="str">
        <f aca="false">IF(K1265="","",MATCH(K1265,$F$2:$F$5001,0))</f>
        <v/>
      </c>
      <c r="M1265" s="0" t="str">
        <f aca="false">IF(I1265="","",INDEX(הגדרות!$A$2:$A$21,MOD(I1265+הגדרות!$E$9,הגדרות!$E$6)+1))</f>
        <v/>
      </c>
    </row>
    <row r="1266" customFormat="false" ht="15" hidden="false" customHeight="false" outlineLevel="0" collapsed="false">
      <c r="A1266" s="0" t="str">
        <f aca="false">IF('הדבקת לידים'!A1266="","",IF(ISNUMBER('הדבקת לידים'!A1266),IF(הגדרות!$E$2&gt;0,TEXT('הדבקת לידים'!A1266,REPT("0",הגדרות!$E$2)),TEXT('הדבקת לידים'!A1266,"0")),TRIM('הדבקת לידים'!A1266)))</f>
        <v/>
      </c>
      <c r="B1266" s="0" t="str">
        <f aca="false">IF('הדבקת לידים'!B1266="","",IF(ISNUMBER('הדבקת לידים'!B1266),IF(הגדרות!$E$3&gt;0,TEXT('הדבקת לידים'!B1266,REPT("0",הגדרות!$E$3)),TEXT('הדבקת לידים'!B1266,"0")),TRIM('הדבקת לידים'!B1266)))</f>
        <v/>
      </c>
      <c r="C1266" s="0" t="n">
        <f aca="false">IF(OR(A1266&lt;&gt;"",B1266&lt;&gt;""),1,0)</f>
        <v>0</v>
      </c>
      <c r="D1266" s="0" t="str">
        <f aca="false">IF(C1266=1,MOD(ABS(SIN(ROW()*12.9898+'הדבקת לידים'!$F$2*78.233+IFERROR(--RIGHT(A1266,6),LEN(A1266))*0.0137+IFERROR(--RIGHT(B1266,6),LEN(B1266))*0.0071))*43758.5453,1),"")</f>
        <v/>
      </c>
      <c r="E1266" s="0" t="str">
        <f aca="false">IF(C1266=1,INT(MOD(ABS(SIN(D1266*7919.123+ROW()*0.618+'הדבקת לידים'!$F$2*1.3))*43758.5453,1)*1000000)*10000+ROW(),"")</f>
        <v/>
      </c>
      <c r="F1266" s="0" t="str">
        <f aca="false">IF(E1266="","",RANK(E1266,$E$2:$E$5001,1))</f>
        <v/>
      </c>
      <c r="G1266" s="0" t="n">
        <f aca="false">IF(A1266="",0,IF(SUMPRODUCT(--($A$2:$A$5001=A1266))&gt;1,1,0))</f>
        <v>0</v>
      </c>
      <c r="H1266" s="0" t="n">
        <f aca="false">ROW()-1</f>
        <v>1265</v>
      </c>
      <c r="I1266" s="0" t="str">
        <f aca="false">IF(OR(הגדרות!$E$6=0,H1266&gt;הגדרות!$E$5),"",IF(H1266-1&lt;הגדרות!$E$8*(הגדרות!$E$7+1),INT((H1266-1)/(הגדרות!$E$7+1)),הגדרות!$E$8+INT((H1266-1-הגדרות!$E$8*(הגדרות!$E$7+1))/הגדרות!$E$7)))</f>
        <v/>
      </c>
      <c r="J1266" s="0" t="str">
        <f aca="false">IF(I1266="","",IF(H1266-1&lt;הגדרות!$E$8*(הגדרות!$E$7+1),MOD(H1266-1,הגדרות!$E$7+1),MOD(H1266-1-הגדרות!$E$8*(הגדרות!$E$7+1),הגדרות!$E$7)))</f>
        <v/>
      </c>
      <c r="K1266" s="0" t="str">
        <f aca="false">IF(I1266="","",J1266*הגדרות!$E$6+I1266+1)</f>
        <v/>
      </c>
      <c r="L1266" s="0" t="str">
        <f aca="false">IF(K1266="","",MATCH(K1266,$F$2:$F$5001,0))</f>
        <v/>
      </c>
      <c r="M1266" s="0" t="str">
        <f aca="false">IF(I1266="","",INDEX(הגדרות!$A$2:$A$21,MOD(I1266+הגדרות!$E$9,הגדרות!$E$6)+1))</f>
        <v/>
      </c>
    </row>
    <row r="1267" customFormat="false" ht="15" hidden="false" customHeight="false" outlineLevel="0" collapsed="false">
      <c r="A1267" s="0" t="str">
        <f aca="false">IF('הדבקת לידים'!A1267="","",IF(ISNUMBER('הדבקת לידים'!A1267),IF(הגדרות!$E$2&gt;0,TEXT('הדבקת לידים'!A1267,REPT("0",הגדרות!$E$2)),TEXT('הדבקת לידים'!A1267,"0")),TRIM('הדבקת לידים'!A1267)))</f>
        <v/>
      </c>
      <c r="B1267" s="0" t="str">
        <f aca="false">IF('הדבקת לידים'!B1267="","",IF(ISNUMBER('הדבקת לידים'!B1267),IF(הגדרות!$E$3&gt;0,TEXT('הדבקת לידים'!B1267,REPT("0",הגדרות!$E$3)),TEXT('הדבקת לידים'!B1267,"0")),TRIM('הדבקת לידים'!B1267)))</f>
        <v/>
      </c>
      <c r="C1267" s="0" t="n">
        <f aca="false">IF(OR(A1267&lt;&gt;"",B1267&lt;&gt;""),1,0)</f>
        <v>0</v>
      </c>
      <c r="D1267" s="0" t="str">
        <f aca="false">IF(C1267=1,MOD(ABS(SIN(ROW()*12.9898+'הדבקת לידים'!$F$2*78.233+IFERROR(--RIGHT(A1267,6),LEN(A1267))*0.0137+IFERROR(--RIGHT(B1267,6),LEN(B1267))*0.0071))*43758.5453,1),"")</f>
        <v/>
      </c>
      <c r="E1267" s="0" t="str">
        <f aca="false">IF(C1267=1,INT(MOD(ABS(SIN(D1267*7919.123+ROW()*0.618+'הדבקת לידים'!$F$2*1.3))*43758.5453,1)*1000000)*10000+ROW(),"")</f>
        <v/>
      </c>
      <c r="F1267" s="0" t="str">
        <f aca="false">IF(E1267="","",RANK(E1267,$E$2:$E$5001,1))</f>
        <v/>
      </c>
      <c r="G1267" s="0" t="n">
        <f aca="false">IF(A1267="",0,IF(SUMPRODUCT(--($A$2:$A$5001=A1267))&gt;1,1,0))</f>
        <v>0</v>
      </c>
      <c r="H1267" s="0" t="n">
        <f aca="false">ROW()-1</f>
        <v>1266</v>
      </c>
      <c r="I1267" s="0" t="str">
        <f aca="false">IF(OR(הגדרות!$E$6=0,H1267&gt;הגדרות!$E$5),"",IF(H1267-1&lt;הגדרות!$E$8*(הגדרות!$E$7+1),INT((H1267-1)/(הגדרות!$E$7+1)),הגדרות!$E$8+INT((H1267-1-הגדרות!$E$8*(הגדרות!$E$7+1))/הגדרות!$E$7)))</f>
        <v/>
      </c>
      <c r="J1267" s="0" t="str">
        <f aca="false">IF(I1267="","",IF(H1267-1&lt;הגדרות!$E$8*(הגדרות!$E$7+1),MOD(H1267-1,הגדרות!$E$7+1),MOD(H1267-1-הגדרות!$E$8*(הגדרות!$E$7+1),הגדרות!$E$7)))</f>
        <v/>
      </c>
      <c r="K1267" s="0" t="str">
        <f aca="false">IF(I1267="","",J1267*הגדרות!$E$6+I1267+1)</f>
        <v/>
      </c>
      <c r="L1267" s="0" t="str">
        <f aca="false">IF(K1267="","",MATCH(K1267,$F$2:$F$5001,0))</f>
        <v/>
      </c>
      <c r="M1267" s="0" t="str">
        <f aca="false">IF(I1267="","",INDEX(הגדרות!$A$2:$A$21,MOD(I1267+הגדרות!$E$9,הגדרות!$E$6)+1))</f>
        <v/>
      </c>
    </row>
    <row r="1268" customFormat="false" ht="15" hidden="false" customHeight="false" outlineLevel="0" collapsed="false">
      <c r="A1268" s="0" t="str">
        <f aca="false">IF('הדבקת לידים'!A1268="","",IF(ISNUMBER('הדבקת לידים'!A1268),IF(הגדרות!$E$2&gt;0,TEXT('הדבקת לידים'!A1268,REPT("0",הגדרות!$E$2)),TEXT('הדבקת לידים'!A1268,"0")),TRIM('הדבקת לידים'!A1268)))</f>
        <v/>
      </c>
      <c r="B1268" s="0" t="str">
        <f aca="false">IF('הדבקת לידים'!B1268="","",IF(ISNUMBER('הדבקת לידים'!B1268),IF(הגדרות!$E$3&gt;0,TEXT('הדבקת לידים'!B1268,REPT("0",הגדרות!$E$3)),TEXT('הדבקת לידים'!B1268,"0")),TRIM('הדבקת לידים'!B1268)))</f>
        <v/>
      </c>
      <c r="C1268" s="0" t="n">
        <f aca="false">IF(OR(A1268&lt;&gt;"",B1268&lt;&gt;""),1,0)</f>
        <v>0</v>
      </c>
      <c r="D1268" s="0" t="str">
        <f aca="false">IF(C1268=1,MOD(ABS(SIN(ROW()*12.9898+'הדבקת לידים'!$F$2*78.233+IFERROR(--RIGHT(A1268,6),LEN(A1268))*0.0137+IFERROR(--RIGHT(B1268,6),LEN(B1268))*0.0071))*43758.5453,1),"")</f>
        <v/>
      </c>
      <c r="E1268" s="0" t="str">
        <f aca="false">IF(C1268=1,INT(MOD(ABS(SIN(D1268*7919.123+ROW()*0.618+'הדבקת לידים'!$F$2*1.3))*43758.5453,1)*1000000)*10000+ROW(),"")</f>
        <v/>
      </c>
      <c r="F1268" s="0" t="str">
        <f aca="false">IF(E1268="","",RANK(E1268,$E$2:$E$5001,1))</f>
        <v/>
      </c>
      <c r="G1268" s="0" t="n">
        <f aca="false">IF(A1268="",0,IF(SUMPRODUCT(--($A$2:$A$5001=A1268))&gt;1,1,0))</f>
        <v>0</v>
      </c>
      <c r="H1268" s="0" t="n">
        <f aca="false">ROW()-1</f>
        <v>1267</v>
      </c>
      <c r="I1268" s="0" t="str">
        <f aca="false">IF(OR(הגדרות!$E$6=0,H1268&gt;הגדרות!$E$5),"",IF(H1268-1&lt;הגדרות!$E$8*(הגדרות!$E$7+1),INT((H1268-1)/(הגדרות!$E$7+1)),הגדרות!$E$8+INT((H1268-1-הגדרות!$E$8*(הגדרות!$E$7+1))/הגדרות!$E$7)))</f>
        <v/>
      </c>
      <c r="J1268" s="0" t="str">
        <f aca="false">IF(I1268="","",IF(H1268-1&lt;הגדרות!$E$8*(הגדרות!$E$7+1),MOD(H1268-1,הגדרות!$E$7+1),MOD(H1268-1-הגדרות!$E$8*(הגדרות!$E$7+1),הגדרות!$E$7)))</f>
        <v/>
      </c>
      <c r="K1268" s="0" t="str">
        <f aca="false">IF(I1268="","",J1268*הגדרות!$E$6+I1268+1)</f>
        <v/>
      </c>
      <c r="L1268" s="0" t="str">
        <f aca="false">IF(K1268="","",MATCH(K1268,$F$2:$F$5001,0))</f>
        <v/>
      </c>
      <c r="M1268" s="0" t="str">
        <f aca="false">IF(I1268="","",INDEX(הגדרות!$A$2:$A$21,MOD(I1268+הגדרות!$E$9,הגדרות!$E$6)+1))</f>
        <v/>
      </c>
    </row>
    <row r="1269" customFormat="false" ht="15" hidden="false" customHeight="false" outlineLevel="0" collapsed="false">
      <c r="A1269" s="0" t="str">
        <f aca="false">IF('הדבקת לידים'!A1269="","",IF(ISNUMBER('הדבקת לידים'!A1269),IF(הגדרות!$E$2&gt;0,TEXT('הדבקת לידים'!A1269,REPT("0",הגדרות!$E$2)),TEXT('הדבקת לידים'!A1269,"0")),TRIM('הדבקת לידים'!A1269)))</f>
        <v/>
      </c>
      <c r="B1269" s="0" t="str">
        <f aca="false">IF('הדבקת לידים'!B1269="","",IF(ISNUMBER('הדבקת לידים'!B1269),IF(הגדרות!$E$3&gt;0,TEXT('הדבקת לידים'!B1269,REPT("0",הגדרות!$E$3)),TEXT('הדבקת לידים'!B1269,"0")),TRIM('הדבקת לידים'!B1269)))</f>
        <v/>
      </c>
      <c r="C1269" s="0" t="n">
        <f aca="false">IF(OR(A1269&lt;&gt;"",B1269&lt;&gt;""),1,0)</f>
        <v>0</v>
      </c>
      <c r="D1269" s="0" t="str">
        <f aca="false">IF(C1269=1,MOD(ABS(SIN(ROW()*12.9898+'הדבקת לידים'!$F$2*78.233+IFERROR(--RIGHT(A1269,6),LEN(A1269))*0.0137+IFERROR(--RIGHT(B1269,6),LEN(B1269))*0.0071))*43758.5453,1),"")</f>
        <v/>
      </c>
      <c r="E1269" s="0" t="str">
        <f aca="false">IF(C1269=1,INT(MOD(ABS(SIN(D1269*7919.123+ROW()*0.618+'הדבקת לידים'!$F$2*1.3))*43758.5453,1)*1000000)*10000+ROW(),"")</f>
        <v/>
      </c>
      <c r="F1269" s="0" t="str">
        <f aca="false">IF(E1269="","",RANK(E1269,$E$2:$E$5001,1))</f>
        <v/>
      </c>
      <c r="G1269" s="0" t="n">
        <f aca="false">IF(A1269="",0,IF(SUMPRODUCT(--($A$2:$A$5001=A1269))&gt;1,1,0))</f>
        <v>0</v>
      </c>
      <c r="H1269" s="0" t="n">
        <f aca="false">ROW()-1</f>
        <v>1268</v>
      </c>
      <c r="I1269" s="0" t="str">
        <f aca="false">IF(OR(הגדרות!$E$6=0,H1269&gt;הגדרות!$E$5),"",IF(H1269-1&lt;הגדרות!$E$8*(הגדרות!$E$7+1),INT((H1269-1)/(הגדרות!$E$7+1)),הגדרות!$E$8+INT((H1269-1-הגדרות!$E$8*(הגדרות!$E$7+1))/הגדרות!$E$7)))</f>
        <v/>
      </c>
      <c r="J1269" s="0" t="str">
        <f aca="false">IF(I1269="","",IF(H1269-1&lt;הגדרות!$E$8*(הגדרות!$E$7+1),MOD(H1269-1,הגדרות!$E$7+1),MOD(H1269-1-הגדרות!$E$8*(הגדרות!$E$7+1),הגדרות!$E$7)))</f>
        <v/>
      </c>
      <c r="K1269" s="0" t="str">
        <f aca="false">IF(I1269="","",J1269*הגדרות!$E$6+I1269+1)</f>
        <v/>
      </c>
      <c r="L1269" s="0" t="str">
        <f aca="false">IF(K1269="","",MATCH(K1269,$F$2:$F$5001,0))</f>
        <v/>
      </c>
      <c r="M1269" s="0" t="str">
        <f aca="false">IF(I1269="","",INDEX(הגדרות!$A$2:$A$21,MOD(I1269+הגדרות!$E$9,הגדרות!$E$6)+1))</f>
        <v/>
      </c>
    </row>
    <row r="1270" customFormat="false" ht="15" hidden="false" customHeight="false" outlineLevel="0" collapsed="false">
      <c r="A1270" s="0" t="str">
        <f aca="false">IF('הדבקת לידים'!A1270="","",IF(ISNUMBER('הדבקת לידים'!A1270),IF(הגדרות!$E$2&gt;0,TEXT('הדבקת לידים'!A1270,REPT("0",הגדרות!$E$2)),TEXT('הדבקת לידים'!A1270,"0")),TRIM('הדבקת לידים'!A1270)))</f>
        <v/>
      </c>
      <c r="B1270" s="0" t="str">
        <f aca="false">IF('הדבקת לידים'!B1270="","",IF(ISNUMBER('הדבקת לידים'!B1270),IF(הגדרות!$E$3&gt;0,TEXT('הדבקת לידים'!B1270,REPT("0",הגדרות!$E$3)),TEXT('הדבקת לידים'!B1270,"0")),TRIM('הדבקת לידים'!B1270)))</f>
        <v/>
      </c>
      <c r="C1270" s="0" t="n">
        <f aca="false">IF(OR(A1270&lt;&gt;"",B1270&lt;&gt;""),1,0)</f>
        <v>0</v>
      </c>
      <c r="D1270" s="0" t="str">
        <f aca="false">IF(C1270=1,MOD(ABS(SIN(ROW()*12.9898+'הדבקת לידים'!$F$2*78.233+IFERROR(--RIGHT(A1270,6),LEN(A1270))*0.0137+IFERROR(--RIGHT(B1270,6),LEN(B1270))*0.0071))*43758.5453,1),"")</f>
        <v/>
      </c>
      <c r="E1270" s="0" t="str">
        <f aca="false">IF(C1270=1,INT(MOD(ABS(SIN(D1270*7919.123+ROW()*0.618+'הדבקת לידים'!$F$2*1.3))*43758.5453,1)*1000000)*10000+ROW(),"")</f>
        <v/>
      </c>
      <c r="F1270" s="0" t="str">
        <f aca="false">IF(E1270="","",RANK(E1270,$E$2:$E$5001,1))</f>
        <v/>
      </c>
      <c r="G1270" s="0" t="n">
        <f aca="false">IF(A1270="",0,IF(SUMPRODUCT(--($A$2:$A$5001=A1270))&gt;1,1,0))</f>
        <v>0</v>
      </c>
      <c r="H1270" s="0" t="n">
        <f aca="false">ROW()-1</f>
        <v>1269</v>
      </c>
      <c r="I1270" s="0" t="str">
        <f aca="false">IF(OR(הגדרות!$E$6=0,H1270&gt;הגדרות!$E$5),"",IF(H1270-1&lt;הגדרות!$E$8*(הגדרות!$E$7+1),INT((H1270-1)/(הגדרות!$E$7+1)),הגדרות!$E$8+INT((H1270-1-הגדרות!$E$8*(הגדרות!$E$7+1))/הגדרות!$E$7)))</f>
        <v/>
      </c>
      <c r="J1270" s="0" t="str">
        <f aca="false">IF(I1270="","",IF(H1270-1&lt;הגדרות!$E$8*(הגדרות!$E$7+1),MOD(H1270-1,הגדרות!$E$7+1),MOD(H1270-1-הגדרות!$E$8*(הגדרות!$E$7+1),הגדרות!$E$7)))</f>
        <v/>
      </c>
      <c r="K1270" s="0" t="str">
        <f aca="false">IF(I1270="","",J1270*הגדרות!$E$6+I1270+1)</f>
        <v/>
      </c>
      <c r="L1270" s="0" t="str">
        <f aca="false">IF(K1270="","",MATCH(K1270,$F$2:$F$5001,0))</f>
        <v/>
      </c>
      <c r="M1270" s="0" t="str">
        <f aca="false">IF(I1270="","",INDEX(הגדרות!$A$2:$A$21,MOD(I1270+הגדרות!$E$9,הגדרות!$E$6)+1))</f>
        <v/>
      </c>
    </row>
    <row r="1271" customFormat="false" ht="15" hidden="false" customHeight="false" outlineLevel="0" collapsed="false">
      <c r="A1271" s="0" t="str">
        <f aca="false">IF('הדבקת לידים'!A1271="","",IF(ISNUMBER('הדבקת לידים'!A1271),IF(הגדרות!$E$2&gt;0,TEXT('הדבקת לידים'!A1271,REPT("0",הגדרות!$E$2)),TEXT('הדבקת לידים'!A1271,"0")),TRIM('הדבקת לידים'!A1271)))</f>
        <v/>
      </c>
      <c r="B1271" s="0" t="str">
        <f aca="false">IF('הדבקת לידים'!B1271="","",IF(ISNUMBER('הדבקת לידים'!B1271),IF(הגדרות!$E$3&gt;0,TEXT('הדבקת לידים'!B1271,REPT("0",הגדרות!$E$3)),TEXT('הדבקת לידים'!B1271,"0")),TRIM('הדבקת לידים'!B1271)))</f>
        <v/>
      </c>
      <c r="C1271" s="0" t="n">
        <f aca="false">IF(OR(A1271&lt;&gt;"",B1271&lt;&gt;""),1,0)</f>
        <v>0</v>
      </c>
      <c r="D1271" s="0" t="str">
        <f aca="false">IF(C1271=1,MOD(ABS(SIN(ROW()*12.9898+'הדבקת לידים'!$F$2*78.233+IFERROR(--RIGHT(A1271,6),LEN(A1271))*0.0137+IFERROR(--RIGHT(B1271,6),LEN(B1271))*0.0071))*43758.5453,1),"")</f>
        <v/>
      </c>
      <c r="E1271" s="0" t="str">
        <f aca="false">IF(C1271=1,INT(MOD(ABS(SIN(D1271*7919.123+ROW()*0.618+'הדבקת לידים'!$F$2*1.3))*43758.5453,1)*1000000)*10000+ROW(),"")</f>
        <v/>
      </c>
      <c r="F1271" s="0" t="str">
        <f aca="false">IF(E1271="","",RANK(E1271,$E$2:$E$5001,1))</f>
        <v/>
      </c>
      <c r="G1271" s="0" t="n">
        <f aca="false">IF(A1271="",0,IF(SUMPRODUCT(--($A$2:$A$5001=A1271))&gt;1,1,0))</f>
        <v>0</v>
      </c>
      <c r="H1271" s="0" t="n">
        <f aca="false">ROW()-1</f>
        <v>1270</v>
      </c>
      <c r="I1271" s="0" t="str">
        <f aca="false">IF(OR(הגדרות!$E$6=0,H1271&gt;הגדרות!$E$5),"",IF(H1271-1&lt;הגדרות!$E$8*(הגדרות!$E$7+1),INT((H1271-1)/(הגדרות!$E$7+1)),הגדרות!$E$8+INT((H1271-1-הגדרות!$E$8*(הגדרות!$E$7+1))/הגדרות!$E$7)))</f>
        <v/>
      </c>
      <c r="J1271" s="0" t="str">
        <f aca="false">IF(I1271="","",IF(H1271-1&lt;הגדרות!$E$8*(הגדרות!$E$7+1),MOD(H1271-1,הגדרות!$E$7+1),MOD(H1271-1-הגדרות!$E$8*(הגדרות!$E$7+1),הגדרות!$E$7)))</f>
        <v/>
      </c>
      <c r="K1271" s="0" t="str">
        <f aca="false">IF(I1271="","",J1271*הגדרות!$E$6+I1271+1)</f>
        <v/>
      </c>
      <c r="L1271" s="0" t="str">
        <f aca="false">IF(K1271="","",MATCH(K1271,$F$2:$F$5001,0))</f>
        <v/>
      </c>
      <c r="M1271" s="0" t="str">
        <f aca="false">IF(I1271="","",INDEX(הגדרות!$A$2:$A$21,MOD(I1271+הגדרות!$E$9,הגדרות!$E$6)+1))</f>
        <v/>
      </c>
    </row>
    <row r="1272" customFormat="false" ht="15" hidden="false" customHeight="false" outlineLevel="0" collapsed="false">
      <c r="A1272" s="0" t="str">
        <f aca="false">IF('הדבקת לידים'!A1272="","",IF(ISNUMBER('הדבקת לידים'!A1272),IF(הגדרות!$E$2&gt;0,TEXT('הדבקת לידים'!A1272,REPT("0",הגדרות!$E$2)),TEXT('הדבקת לידים'!A1272,"0")),TRIM('הדבקת לידים'!A1272)))</f>
        <v/>
      </c>
      <c r="B1272" s="0" t="str">
        <f aca="false">IF('הדבקת לידים'!B1272="","",IF(ISNUMBER('הדבקת לידים'!B1272),IF(הגדרות!$E$3&gt;0,TEXT('הדבקת לידים'!B1272,REPT("0",הגדרות!$E$3)),TEXT('הדבקת לידים'!B1272,"0")),TRIM('הדבקת לידים'!B1272)))</f>
        <v/>
      </c>
      <c r="C1272" s="0" t="n">
        <f aca="false">IF(OR(A1272&lt;&gt;"",B1272&lt;&gt;""),1,0)</f>
        <v>0</v>
      </c>
      <c r="D1272" s="0" t="str">
        <f aca="false">IF(C1272=1,MOD(ABS(SIN(ROW()*12.9898+'הדבקת לידים'!$F$2*78.233+IFERROR(--RIGHT(A1272,6),LEN(A1272))*0.0137+IFERROR(--RIGHT(B1272,6),LEN(B1272))*0.0071))*43758.5453,1),"")</f>
        <v/>
      </c>
      <c r="E1272" s="0" t="str">
        <f aca="false">IF(C1272=1,INT(MOD(ABS(SIN(D1272*7919.123+ROW()*0.618+'הדבקת לידים'!$F$2*1.3))*43758.5453,1)*1000000)*10000+ROW(),"")</f>
        <v/>
      </c>
      <c r="F1272" s="0" t="str">
        <f aca="false">IF(E1272="","",RANK(E1272,$E$2:$E$5001,1))</f>
        <v/>
      </c>
      <c r="G1272" s="0" t="n">
        <f aca="false">IF(A1272="",0,IF(SUMPRODUCT(--($A$2:$A$5001=A1272))&gt;1,1,0))</f>
        <v>0</v>
      </c>
      <c r="H1272" s="0" t="n">
        <f aca="false">ROW()-1</f>
        <v>1271</v>
      </c>
      <c r="I1272" s="0" t="str">
        <f aca="false">IF(OR(הגדרות!$E$6=0,H1272&gt;הגדרות!$E$5),"",IF(H1272-1&lt;הגדרות!$E$8*(הגדרות!$E$7+1),INT((H1272-1)/(הגדרות!$E$7+1)),הגדרות!$E$8+INT((H1272-1-הגדרות!$E$8*(הגדרות!$E$7+1))/הגדרות!$E$7)))</f>
        <v/>
      </c>
      <c r="J1272" s="0" t="str">
        <f aca="false">IF(I1272="","",IF(H1272-1&lt;הגדרות!$E$8*(הגדרות!$E$7+1),MOD(H1272-1,הגדרות!$E$7+1),MOD(H1272-1-הגדרות!$E$8*(הגדרות!$E$7+1),הגדרות!$E$7)))</f>
        <v/>
      </c>
      <c r="K1272" s="0" t="str">
        <f aca="false">IF(I1272="","",J1272*הגדרות!$E$6+I1272+1)</f>
        <v/>
      </c>
      <c r="L1272" s="0" t="str">
        <f aca="false">IF(K1272="","",MATCH(K1272,$F$2:$F$5001,0))</f>
        <v/>
      </c>
      <c r="M1272" s="0" t="str">
        <f aca="false">IF(I1272="","",INDEX(הגדרות!$A$2:$A$21,MOD(I1272+הגדרות!$E$9,הגדרות!$E$6)+1))</f>
        <v/>
      </c>
    </row>
    <row r="1273" customFormat="false" ht="15" hidden="false" customHeight="false" outlineLevel="0" collapsed="false">
      <c r="A1273" s="0" t="str">
        <f aca="false">IF('הדבקת לידים'!A1273="","",IF(ISNUMBER('הדבקת לידים'!A1273),IF(הגדרות!$E$2&gt;0,TEXT('הדבקת לידים'!A1273,REPT("0",הגדרות!$E$2)),TEXT('הדבקת לידים'!A1273,"0")),TRIM('הדבקת לידים'!A1273)))</f>
        <v/>
      </c>
      <c r="B1273" s="0" t="str">
        <f aca="false">IF('הדבקת לידים'!B1273="","",IF(ISNUMBER('הדבקת לידים'!B1273),IF(הגדרות!$E$3&gt;0,TEXT('הדבקת לידים'!B1273,REPT("0",הגדרות!$E$3)),TEXT('הדבקת לידים'!B1273,"0")),TRIM('הדבקת לידים'!B1273)))</f>
        <v/>
      </c>
      <c r="C1273" s="0" t="n">
        <f aca="false">IF(OR(A1273&lt;&gt;"",B1273&lt;&gt;""),1,0)</f>
        <v>0</v>
      </c>
      <c r="D1273" s="0" t="str">
        <f aca="false">IF(C1273=1,MOD(ABS(SIN(ROW()*12.9898+'הדבקת לידים'!$F$2*78.233+IFERROR(--RIGHT(A1273,6),LEN(A1273))*0.0137+IFERROR(--RIGHT(B1273,6),LEN(B1273))*0.0071))*43758.5453,1),"")</f>
        <v/>
      </c>
      <c r="E1273" s="0" t="str">
        <f aca="false">IF(C1273=1,INT(MOD(ABS(SIN(D1273*7919.123+ROW()*0.618+'הדבקת לידים'!$F$2*1.3))*43758.5453,1)*1000000)*10000+ROW(),"")</f>
        <v/>
      </c>
      <c r="F1273" s="0" t="str">
        <f aca="false">IF(E1273="","",RANK(E1273,$E$2:$E$5001,1))</f>
        <v/>
      </c>
      <c r="G1273" s="0" t="n">
        <f aca="false">IF(A1273="",0,IF(SUMPRODUCT(--($A$2:$A$5001=A1273))&gt;1,1,0))</f>
        <v>0</v>
      </c>
      <c r="H1273" s="0" t="n">
        <f aca="false">ROW()-1</f>
        <v>1272</v>
      </c>
      <c r="I1273" s="0" t="str">
        <f aca="false">IF(OR(הגדרות!$E$6=0,H1273&gt;הגדרות!$E$5),"",IF(H1273-1&lt;הגדרות!$E$8*(הגדרות!$E$7+1),INT((H1273-1)/(הגדרות!$E$7+1)),הגדרות!$E$8+INT((H1273-1-הגדרות!$E$8*(הגדרות!$E$7+1))/הגדרות!$E$7)))</f>
        <v/>
      </c>
      <c r="J1273" s="0" t="str">
        <f aca="false">IF(I1273="","",IF(H1273-1&lt;הגדרות!$E$8*(הגדרות!$E$7+1),MOD(H1273-1,הגדרות!$E$7+1),MOD(H1273-1-הגדרות!$E$8*(הגדרות!$E$7+1),הגדרות!$E$7)))</f>
        <v/>
      </c>
      <c r="K1273" s="0" t="str">
        <f aca="false">IF(I1273="","",J1273*הגדרות!$E$6+I1273+1)</f>
        <v/>
      </c>
      <c r="L1273" s="0" t="str">
        <f aca="false">IF(K1273="","",MATCH(K1273,$F$2:$F$5001,0))</f>
        <v/>
      </c>
      <c r="M1273" s="0" t="str">
        <f aca="false">IF(I1273="","",INDEX(הגדרות!$A$2:$A$21,MOD(I1273+הגדרות!$E$9,הגדרות!$E$6)+1))</f>
        <v/>
      </c>
    </row>
    <row r="1274" customFormat="false" ht="15" hidden="false" customHeight="false" outlineLevel="0" collapsed="false">
      <c r="A1274" s="0" t="str">
        <f aca="false">IF('הדבקת לידים'!A1274="","",IF(ISNUMBER('הדבקת לידים'!A1274),IF(הגדרות!$E$2&gt;0,TEXT('הדבקת לידים'!A1274,REPT("0",הגדרות!$E$2)),TEXT('הדבקת לידים'!A1274,"0")),TRIM('הדבקת לידים'!A1274)))</f>
        <v/>
      </c>
      <c r="B1274" s="0" t="str">
        <f aca="false">IF('הדבקת לידים'!B1274="","",IF(ISNUMBER('הדבקת לידים'!B1274),IF(הגדרות!$E$3&gt;0,TEXT('הדבקת לידים'!B1274,REPT("0",הגדרות!$E$3)),TEXT('הדבקת לידים'!B1274,"0")),TRIM('הדבקת לידים'!B1274)))</f>
        <v/>
      </c>
      <c r="C1274" s="0" t="n">
        <f aca="false">IF(OR(A1274&lt;&gt;"",B1274&lt;&gt;""),1,0)</f>
        <v>0</v>
      </c>
      <c r="D1274" s="0" t="str">
        <f aca="false">IF(C1274=1,MOD(ABS(SIN(ROW()*12.9898+'הדבקת לידים'!$F$2*78.233+IFERROR(--RIGHT(A1274,6),LEN(A1274))*0.0137+IFERROR(--RIGHT(B1274,6),LEN(B1274))*0.0071))*43758.5453,1),"")</f>
        <v/>
      </c>
      <c r="E1274" s="0" t="str">
        <f aca="false">IF(C1274=1,INT(MOD(ABS(SIN(D1274*7919.123+ROW()*0.618+'הדבקת לידים'!$F$2*1.3))*43758.5453,1)*1000000)*10000+ROW(),"")</f>
        <v/>
      </c>
      <c r="F1274" s="0" t="str">
        <f aca="false">IF(E1274="","",RANK(E1274,$E$2:$E$5001,1))</f>
        <v/>
      </c>
      <c r="G1274" s="0" t="n">
        <f aca="false">IF(A1274="",0,IF(SUMPRODUCT(--($A$2:$A$5001=A1274))&gt;1,1,0))</f>
        <v>0</v>
      </c>
      <c r="H1274" s="0" t="n">
        <f aca="false">ROW()-1</f>
        <v>1273</v>
      </c>
      <c r="I1274" s="0" t="str">
        <f aca="false">IF(OR(הגדרות!$E$6=0,H1274&gt;הגדרות!$E$5),"",IF(H1274-1&lt;הגדרות!$E$8*(הגדרות!$E$7+1),INT((H1274-1)/(הגדרות!$E$7+1)),הגדרות!$E$8+INT((H1274-1-הגדרות!$E$8*(הגדרות!$E$7+1))/הגדרות!$E$7)))</f>
        <v/>
      </c>
      <c r="J1274" s="0" t="str">
        <f aca="false">IF(I1274="","",IF(H1274-1&lt;הגדרות!$E$8*(הגדרות!$E$7+1),MOD(H1274-1,הגדרות!$E$7+1),MOD(H1274-1-הגדרות!$E$8*(הגדרות!$E$7+1),הגדרות!$E$7)))</f>
        <v/>
      </c>
      <c r="K1274" s="0" t="str">
        <f aca="false">IF(I1274="","",J1274*הגדרות!$E$6+I1274+1)</f>
        <v/>
      </c>
      <c r="L1274" s="0" t="str">
        <f aca="false">IF(K1274="","",MATCH(K1274,$F$2:$F$5001,0))</f>
        <v/>
      </c>
      <c r="M1274" s="0" t="str">
        <f aca="false">IF(I1274="","",INDEX(הגדרות!$A$2:$A$21,MOD(I1274+הגדרות!$E$9,הגדרות!$E$6)+1))</f>
        <v/>
      </c>
    </row>
    <row r="1275" customFormat="false" ht="15" hidden="false" customHeight="false" outlineLevel="0" collapsed="false">
      <c r="A1275" s="0" t="str">
        <f aca="false">IF('הדבקת לידים'!A1275="","",IF(ISNUMBER('הדבקת לידים'!A1275),IF(הגדרות!$E$2&gt;0,TEXT('הדבקת לידים'!A1275,REPT("0",הגדרות!$E$2)),TEXT('הדבקת לידים'!A1275,"0")),TRIM('הדבקת לידים'!A1275)))</f>
        <v/>
      </c>
      <c r="B1275" s="0" t="str">
        <f aca="false">IF('הדבקת לידים'!B1275="","",IF(ISNUMBER('הדבקת לידים'!B1275),IF(הגדרות!$E$3&gt;0,TEXT('הדבקת לידים'!B1275,REPT("0",הגדרות!$E$3)),TEXT('הדבקת לידים'!B1275,"0")),TRIM('הדבקת לידים'!B1275)))</f>
        <v/>
      </c>
      <c r="C1275" s="0" t="n">
        <f aca="false">IF(OR(A1275&lt;&gt;"",B1275&lt;&gt;""),1,0)</f>
        <v>0</v>
      </c>
      <c r="D1275" s="0" t="str">
        <f aca="false">IF(C1275=1,MOD(ABS(SIN(ROW()*12.9898+'הדבקת לידים'!$F$2*78.233+IFERROR(--RIGHT(A1275,6),LEN(A1275))*0.0137+IFERROR(--RIGHT(B1275,6),LEN(B1275))*0.0071))*43758.5453,1),"")</f>
        <v/>
      </c>
      <c r="E1275" s="0" t="str">
        <f aca="false">IF(C1275=1,INT(MOD(ABS(SIN(D1275*7919.123+ROW()*0.618+'הדבקת לידים'!$F$2*1.3))*43758.5453,1)*1000000)*10000+ROW(),"")</f>
        <v/>
      </c>
      <c r="F1275" s="0" t="str">
        <f aca="false">IF(E1275="","",RANK(E1275,$E$2:$E$5001,1))</f>
        <v/>
      </c>
      <c r="G1275" s="0" t="n">
        <f aca="false">IF(A1275="",0,IF(SUMPRODUCT(--($A$2:$A$5001=A1275))&gt;1,1,0))</f>
        <v>0</v>
      </c>
      <c r="H1275" s="0" t="n">
        <f aca="false">ROW()-1</f>
        <v>1274</v>
      </c>
      <c r="I1275" s="0" t="str">
        <f aca="false">IF(OR(הגדרות!$E$6=0,H1275&gt;הגדרות!$E$5),"",IF(H1275-1&lt;הגדרות!$E$8*(הגדרות!$E$7+1),INT((H1275-1)/(הגדרות!$E$7+1)),הגדרות!$E$8+INT((H1275-1-הגדרות!$E$8*(הגדרות!$E$7+1))/הגדרות!$E$7)))</f>
        <v/>
      </c>
      <c r="J1275" s="0" t="str">
        <f aca="false">IF(I1275="","",IF(H1275-1&lt;הגדרות!$E$8*(הגדרות!$E$7+1),MOD(H1275-1,הגדרות!$E$7+1),MOD(H1275-1-הגדרות!$E$8*(הגדרות!$E$7+1),הגדרות!$E$7)))</f>
        <v/>
      </c>
      <c r="K1275" s="0" t="str">
        <f aca="false">IF(I1275="","",J1275*הגדרות!$E$6+I1275+1)</f>
        <v/>
      </c>
      <c r="L1275" s="0" t="str">
        <f aca="false">IF(K1275="","",MATCH(K1275,$F$2:$F$5001,0))</f>
        <v/>
      </c>
      <c r="M1275" s="0" t="str">
        <f aca="false">IF(I1275="","",INDEX(הגדרות!$A$2:$A$21,MOD(I1275+הגדרות!$E$9,הגדרות!$E$6)+1))</f>
        <v/>
      </c>
    </row>
    <row r="1276" customFormat="false" ht="15" hidden="false" customHeight="false" outlineLevel="0" collapsed="false">
      <c r="A1276" s="0" t="str">
        <f aca="false">IF('הדבקת לידים'!A1276="","",IF(ISNUMBER('הדבקת לידים'!A1276),IF(הגדרות!$E$2&gt;0,TEXT('הדבקת לידים'!A1276,REPT("0",הגדרות!$E$2)),TEXT('הדבקת לידים'!A1276,"0")),TRIM('הדבקת לידים'!A1276)))</f>
        <v/>
      </c>
      <c r="B1276" s="0" t="str">
        <f aca="false">IF('הדבקת לידים'!B1276="","",IF(ISNUMBER('הדבקת לידים'!B1276),IF(הגדרות!$E$3&gt;0,TEXT('הדבקת לידים'!B1276,REPT("0",הגדרות!$E$3)),TEXT('הדבקת לידים'!B1276,"0")),TRIM('הדבקת לידים'!B1276)))</f>
        <v/>
      </c>
      <c r="C1276" s="0" t="n">
        <f aca="false">IF(OR(A1276&lt;&gt;"",B1276&lt;&gt;""),1,0)</f>
        <v>0</v>
      </c>
      <c r="D1276" s="0" t="str">
        <f aca="false">IF(C1276=1,MOD(ABS(SIN(ROW()*12.9898+'הדבקת לידים'!$F$2*78.233+IFERROR(--RIGHT(A1276,6),LEN(A1276))*0.0137+IFERROR(--RIGHT(B1276,6),LEN(B1276))*0.0071))*43758.5453,1),"")</f>
        <v/>
      </c>
      <c r="E1276" s="0" t="str">
        <f aca="false">IF(C1276=1,INT(MOD(ABS(SIN(D1276*7919.123+ROW()*0.618+'הדבקת לידים'!$F$2*1.3))*43758.5453,1)*1000000)*10000+ROW(),"")</f>
        <v/>
      </c>
      <c r="F1276" s="0" t="str">
        <f aca="false">IF(E1276="","",RANK(E1276,$E$2:$E$5001,1))</f>
        <v/>
      </c>
      <c r="G1276" s="0" t="n">
        <f aca="false">IF(A1276="",0,IF(SUMPRODUCT(--($A$2:$A$5001=A1276))&gt;1,1,0))</f>
        <v>0</v>
      </c>
      <c r="H1276" s="0" t="n">
        <f aca="false">ROW()-1</f>
        <v>1275</v>
      </c>
      <c r="I1276" s="0" t="str">
        <f aca="false">IF(OR(הגדרות!$E$6=0,H1276&gt;הגדרות!$E$5),"",IF(H1276-1&lt;הגדרות!$E$8*(הגדרות!$E$7+1),INT((H1276-1)/(הגדרות!$E$7+1)),הגדרות!$E$8+INT((H1276-1-הגדרות!$E$8*(הגדרות!$E$7+1))/הגדרות!$E$7)))</f>
        <v/>
      </c>
      <c r="J1276" s="0" t="str">
        <f aca="false">IF(I1276="","",IF(H1276-1&lt;הגדרות!$E$8*(הגדרות!$E$7+1),MOD(H1276-1,הגדרות!$E$7+1),MOD(H1276-1-הגדרות!$E$8*(הגדרות!$E$7+1),הגדרות!$E$7)))</f>
        <v/>
      </c>
      <c r="K1276" s="0" t="str">
        <f aca="false">IF(I1276="","",J1276*הגדרות!$E$6+I1276+1)</f>
        <v/>
      </c>
      <c r="L1276" s="0" t="str">
        <f aca="false">IF(K1276="","",MATCH(K1276,$F$2:$F$5001,0))</f>
        <v/>
      </c>
      <c r="M1276" s="0" t="str">
        <f aca="false">IF(I1276="","",INDEX(הגדרות!$A$2:$A$21,MOD(I1276+הגדרות!$E$9,הגדרות!$E$6)+1))</f>
        <v/>
      </c>
    </row>
    <row r="1277" customFormat="false" ht="15" hidden="false" customHeight="false" outlineLevel="0" collapsed="false">
      <c r="A1277" s="0" t="str">
        <f aca="false">IF('הדבקת לידים'!A1277="","",IF(ISNUMBER('הדבקת לידים'!A1277),IF(הגדרות!$E$2&gt;0,TEXT('הדבקת לידים'!A1277,REPT("0",הגדרות!$E$2)),TEXT('הדבקת לידים'!A1277,"0")),TRIM('הדבקת לידים'!A1277)))</f>
        <v/>
      </c>
      <c r="B1277" s="0" t="str">
        <f aca="false">IF('הדבקת לידים'!B1277="","",IF(ISNUMBER('הדבקת לידים'!B1277),IF(הגדרות!$E$3&gt;0,TEXT('הדבקת לידים'!B1277,REPT("0",הגדרות!$E$3)),TEXT('הדבקת לידים'!B1277,"0")),TRIM('הדבקת לידים'!B1277)))</f>
        <v/>
      </c>
      <c r="C1277" s="0" t="n">
        <f aca="false">IF(OR(A1277&lt;&gt;"",B1277&lt;&gt;""),1,0)</f>
        <v>0</v>
      </c>
      <c r="D1277" s="0" t="str">
        <f aca="false">IF(C1277=1,MOD(ABS(SIN(ROW()*12.9898+'הדבקת לידים'!$F$2*78.233+IFERROR(--RIGHT(A1277,6),LEN(A1277))*0.0137+IFERROR(--RIGHT(B1277,6),LEN(B1277))*0.0071))*43758.5453,1),"")</f>
        <v/>
      </c>
      <c r="E1277" s="0" t="str">
        <f aca="false">IF(C1277=1,INT(MOD(ABS(SIN(D1277*7919.123+ROW()*0.618+'הדבקת לידים'!$F$2*1.3))*43758.5453,1)*1000000)*10000+ROW(),"")</f>
        <v/>
      </c>
      <c r="F1277" s="0" t="str">
        <f aca="false">IF(E1277="","",RANK(E1277,$E$2:$E$5001,1))</f>
        <v/>
      </c>
      <c r="G1277" s="0" t="n">
        <f aca="false">IF(A1277="",0,IF(SUMPRODUCT(--($A$2:$A$5001=A1277))&gt;1,1,0))</f>
        <v>0</v>
      </c>
      <c r="H1277" s="0" t="n">
        <f aca="false">ROW()-1</f>
        <v>1276</v>
      </c>
      <c r="I1277" s="0" t="str">
        <f aca="false">IF(OR(הגדרות!$E$6=0,H1277&gt;הגדרות!$E$5),"",IF(H1277-1&lt;הגדרות!$E$8*(הגדרות!$E$7+1),INT((H1277-1)/(הגדרות!$E$7+1)),הגדרות!$E$8+INT((H1277-1-הגדרות!$E$8*(הגדרות!$E$7+1))/הגדרות!$E$7)))</f>
        <v/>
      </c>
      <c r="J1277" s="0" t="str">
        <f aca="false">IF(I1277="","",IF(H1277-1&lt;הגדרות!$E$8*(הגדרות!$E$7+1),MOD(H1277-1,הגדרות!$E$7+1),MOD(H1277-1-הגדרות!$E$8*(הגדרות!$E$7+1),הגדרות!$E$7)))</f>
        <v/>
      </c>
      <c r="K1277" s="0" t="str">
        <f aca="false">IF(I1277="","",J1277*הגדרות!$E$6+I1277+1)</f>
        <v/>
      </c>
      <c r="L1277" s="0" t="str">
        <f aca="false">IF(K1277="","",MATCH(K1277,$F$2:$F$5001,0))</f>
        <v/>
      </c>
      <c r="M1277" s="0" t="str">
        <f aca="false">IF(I1277="","",INDEX(הגדרות!$A$2:$A$21,MOD(I1277+הגדרות!$E$9,הגדרות!$E$6)+1))</f>
        <v/>
      </c>
    </row>
    <row r="1278" customFormat="false" ht="15" hidden="false" customHeight="false" outlineLevel="0" collapsed="false">
      <c r="A1278" s="0" t="str">
        <f aca="false">IF('הדבקת לידים'!A1278="","",IF(ISNUMBER('הדבקת לידים'!A1278),IF(הגדרות!$E$2&gt;0,TEXT('הדבקת לידים'!A1278,REPT("0",הגדרות!$E$2)),TEXT('הדבקת לידים'!A1278,"0")),TRIM('הדבקת לידים'!A1278)))</f>
        <v/>
      </c>
      <c r="B1278" s="0" t="str">
        <f aca="false">IF('הדבקת לידים'!B1278="","",IF(ISNUMBER('הדבקת לידים'!B1278),IF(הגדרות!$E$3&gt;0,TEXT('הדבקת לידים'!B1278,REPT("0",הגדרות!$E$3)),TEXT('הדבקת לידים'!B1278,"0")),TRIM('הדבקת לידים'!B1278)))</f>
        <v/>
      </c>
      <c r="C1278" s="0" t="n">
        <f aca="false">IF(OR(A1278&lt;&gt;"",B1278&lt;&gt;""),1,0)</f>
        <v>0</v>
      </c>
      <c r="D1278" s="0" t="str">
        <f aca="false">IF(C1278=1,MOD(ABS(SIN(ROW()*12.9898+'הדבקת לידים'!$F$2*78.233+IFERROR(--RIGHT(A1278,6),LEN(A1278))*0.0137+IFERROR(--RIGHT(B1278,6),LEN(B1278))*0.0071))*43758.5453,1),"")</f>
        <v/>
      </c>
      <c r="E1278" s="0" t="str">
        <f aca="false">IF(C1278=1,INT(MOD(ABS(SIN(D1278*7919.123+ROW()*0.618+'הדבקת לידים'!$F$2*1.3))*43758.5453,1)*1000000)*10000+ROW(),"")</f>
        <v/>
      </c>
      <c r="F1278" s="0" t="str">
        <f aca="false">IF(E1278="","",RANK(E1278,$E$2:$E$5001,1))</f>
        <v/>
      </c>
      <c r="G1278" s="0" t="n">
        <f aca="false">IF(A1278="",0,IF(SUMPRODUCT(--($A$2:$A$5001=A1278))&gt;1,1,0))</f>
        <v>0</v>
      </c>
      <c r="H1278" s="0" t="n">
        <f aca="false">ROW()-1</f>
        <v>1277</v>
      </c>
      <c r="I1278" s="0" t="str">
        <f aca="false">IF(OR(הגדרות!$E$6=0,H1278&gt;הגדרות!$E$5),"",IF(H1278-1&lt;הגדרות!$E$8*(הגדרות!$E$7+1),INT((H1278-1)/(הגדרות!$E$7+1)),הגדרות!$E$8+INT((H1278-1-הגדרות!$E$8*(הגדרות!$E$7+1))/הגדרות!$E$7)))</f>
        <v/>
      </c>
      <c r="J1278" s="0" t="str">
        <f aca="false">IF(I1278="","",IF(H1278-1&lt;הגדרות!$E$8*(הגדרות!$E$7+1),MOD(H1278-1,הגדרות!$E$7+1),MOD(H1278-1-הגדרות!$E$8*(הגדרות!$E$7+1),הגדרות!$E$7)))</f>
        <v/>
      </c>
      <c r="K1278" s="0" t="str">
        <f aca="false">IF(I1278="","",J1278*הגדרות!$E$6+I1278+1)</f>
        <v/>
      </c>
      <c r="L1278" s="0" t="str">
        <f aca="false">IF(K1278="","",MATCH(K1278,$F$2:$F$5001,0))</f>
        <v/>
      </c>
      <c r="M1278" s="0" t="str">
        <f aca="false">IF(I1278="","",INDEX(הגדרות!$A$2:$A$21,MOD(I1278+הגדרות!$E$9,הגדרות!$E$6)+1))</f>
        <v/>
      </c>
    </row>
    <row r="1279" customFormat="false" ht="15" hidden="false" customHeight="false" outlineLevel="0" collapsed="false">
      <c r="A1279" s="0" t="str">
        <f aca="false">IF('הדבקת לידים'!A1279="","",IF(ISNUMBER('הדבקת לידים'!A1279),IF(הגדרות!$E$2&gt;0,TEXT('הדבקת לידים'!A1279,REPT("0",הגדרות!$E$2)),TEXT('הדבקת לידים'!A1279,"0")),TRIM('הדבקת לידים'!A1279)))</f>
        <v/>
      </c>
      <c r="B1279" s="0" t="str">
        <f aca="false">IF('הדבקת לידים'!B1279="","",IF(ISNUMBER('הדבקת לידים'!B1279),IF(הגדרות!$E$3&gt;0,TEXT('הדבקת לידים'!B1279,REPT("0",הגדרות!$E$3)),TEXT('הדבקת לידים'!B1279,"0")),TRIM('הדבקת לידים'!B1279)))</f>
        <v/>
      </c>
      <c r="C1279" s="0" t="n">
        <f aca="false">IF(OR(A1279&lt;&gt;"",B1279&lt;&gt;""),1,0)</f>
        <v>0</v>
      </c>
      <c r="D1279" s="0" t="str">
        <f aca="false">IF(C1279=1,MOD(ABS(SIN(ROW()*12.9898+'הדבקת לידים'!$F$2*78.233+IFERROR(--RIGHT(A1279,6),LEN(A1279))*0.0137+IFERROR(--RIGHT(B1279,6),LEN(B1279))*0.0071))*43758.5453,1),"")</f>
        <v/>
      </c>
      <c r="E1279" s="0" t="str">
        <f aca="false">IF(C1279=1,INT(MOD(ABS(SIN(D1279*7919.123+ROW()*0.618+'הדבקת לידים'!$F$2*1.3))*43758.5453,1)*1000000)*10000+ROW(),"")</f>
        <v/>
      </c>
      <c r="F1279" s="0" t="str">
        <f aca="false">IF(E1279="","",RANK(E1279,$E$2:$E$5001,1))</f>
        <v/>
      </c>
      <c r="G1279" s="0" t="n">
        <f aca="false">IF(A1279="",0,IF(SUMPRODUCT(--($A$2:$A$5001=A1279))&gt;1,1,0))</f>
        <v>0</v>
      </c>
      <c r="H1279" s="0" t="n">
        <f aca="false">ROW()-1</f>
        <v>1278</v>
      </c>
      <c r="I1279" s="0" t="str">
        <f aca="false">IF(OR(הגדרות!$E$6=0,H1279&gt;הגדרות!$E$5),"",IF(H1279-1&lt;הגדרות!$E$8*(הגדרות!$E$7+1),INT((H1279-1)/(הגדרות!$E$7+1)),הגדרות!$E$8+INT((H1279-1-הגדרות!$E$8*(הגדרות!$E$7+1))/הגדרות!$E$7)))</f>
        <v/>
      </c>
      <c r="J1279" s="0" t="str">
        <f aca="false">IF(I1279="","",IF(H1279-1&lt;הגדרות!$E$8*(הגדרות!$E$7+1),MOD(H1279-1,הגדרות!$E$7+1),MOD(H1279-1-הגדרות!$E$8*(הגדרות!$E$7+1),הגדרות!$E$7)))</f>
        <v/>
      </c>
      <c r="K1279" s="0" t="str">
        <f aca="false">IF(I1279="","",J1279*הגדרות!$E$6+I1279+1)</f>
        <v/>
      </c>
      <c r="L1279" s="0" t="str">
        <f aca="false">IF(K1279="","",MATCH(K1279,$F$2:$F$5001,0))</f>
        <v/>
      </c>
      <c r="M1279" s="0" t="str">
        <f aca="false">IF(I1279="","",INDEX(הגדרות!$A$2:$A$21,MOD(I1279+הגדרות!$E$9,הגדרות!$E$6)+1))</f>
        <v/>
      </c>
    </row>
    <row r="1280" customFormat="false" ht="15" hidden="false" customHeight="false" outlineLevel="0" collapsed="false">
      <c r="A1280" s="0" t="str">
        <f aca="false">IF('הדבקת לידים'!A1280="","",IF(ISNUMBER('הדבקת לידים'!A1280),IF(הגדרות!$E$2&gt;0,TEXT('הדבקת לידים'!A1280,REPT("0",הגדרות!$E$2)),TEXT('הדבקת לידים'!A1280,"0")),TRIM('הדבקת לידים'!A1280)))</f>
        <v/>
      </c>
      <c r="B1280" s="0" t="str">
        <f aca="false">IF('הדבקת לידים'!B1280="","",IF(ISNUMBER('הדבקת לידים'!B1280),IF(הגדרות!$E$3&gt;0,TEXT('הדבקת לידים'!B1280,REPT("0",הגדרות!$E$3)),TEXT('הדבקת לידים'!B1280,"0")),TRIM('הדבקת לידים'!B1280)))</f>
        <v/>
      </c>
      <c r="C1280" s="0" t="n">
        <f aca="false">IF(OR(A1280&lt;&gt;"",B1280&lt;&gt;""),1,0)</f>
        <v>0</v>
      </c>
      <c r="D1280" s="0" t="str">
        <f aca="false">IF(C1280=1,MOD(ABS(SIN(ROW()*12.9898+'הדבקת לידים'!$F$2*78.233+IFERROR(--RIGHT(A1280,6),LEN(A1280))*0.0137+IFERROR(--RIGHT(B1280,6),LEN(B1280))*0.0071))*43758.5453,1),"")</f>
        <v/>
      </c>
      <c r="E1280" s="0" t="str">
        <f aca="false">IF(C1280=1,INT(MOD(ABS(SIN(D1280*7919.123+ROW()*0.618+'הדבקת לידים'!$F$2*1.3))*43758.5453,1)*1000000)*10000+ROW(),"")</f>
        <v/>
      </c>
      <c r="F1280" s="0" t="str">
        <f aca="false">IF(E1280="","",RANK(E1280,$E$2:$E$5001,1))</f>
        <v/>
      </c>
      <c r="G1280" s="0" t="n">
        <f aca="false">IF(A1280="",0,IF(SUMPRODUCT(--($A$2:$A$5001=A1280))&gt;1,1,0))</f>
        <v>0</v>
      </c>
      <c r="H1280" s="0" t="n">
        <f aca="false">ROW()-1</f>
        <v>1279</v>
      </c>
      <c r="I1280" s="0" t="str">
        <f aca="false">IF(OR(הגדרות!$E$6=0,H1280&gt;הגדרות!$E$5),"",IF(H1280-1&lt;הגדרות!$E$8*(הגדרות!$E$7+1),INT((H1280-1)/(הגדרות!$E$7+1)),הגדרות!$E$8+INT((H1280-1-הגדרות!$E$8*(הגדרות!$E$7+1))/הגדרות!$E$7)))</f>
        <v/>
      </c>
      <c r="J1280" s="0" t="str">
        <f aca="false">IF(I1280="","",IF(H1280-1&lt;הגדרות!$E$8*(הגדרות!$E$7+1),MOD(H1280-1,הגדרות!$E$7+1),MOD(H1280-1-הגדרות!$E$8*(הגדרות!$E$7+1),הגדרות!$E$7)))</f>
        <v/>
      </c>
      <c r="K1280" s="0" t="str">
        <f aca="false">IF(I1280="","",J1280*הגדרות!$E$6+I1280+1)</f>
        <v/>
      </c>
      <c r="L1280" s="0" t="str">
        <f aca="false">IF(K1280="","",MATCH(K1280,$F$2:$F$5001,0))</f>
        <v/>
      </c>
      <c r="M1280" s="0" t="str">
        <f aca="false">IF(I1280="","",INDEX(הגדרות!$A$2:$A$21,MOD(I1280+הגדרות!$E$9,הגדרות!$E$6)+1))</f>
        <v/>
      </c>
    </row>
    <row r="1281" customFormat="false" ht="15" hidden="false" customHeight="false" outlineLevel="0" collapsed="false">
      <c r="A1281" s="0" t="str">
        <f aca="false">IF('הדבקת לידים'!A1281="","",IF(ISNUMBER('הדבקת לידים'!A1281),IF(הגדרות!$E$2&gt;0,TEXT('הדבקת לידים'!A1281,REPT("0",הגדרות!$E$2)),TEXT('הדבקת לידים'!A1281,"0")),TRIM('הדבקת לידים'!A1281)))</f>
        <v/>
      </c>
      <c r="B1281" s="0" t="str">
        <f aca="false">IF('הדבקת לידים'!B1281="","",IF(ISNUMBER('הדבקת לידים'!B1281),IF(הגדרות!$E$3&gt;0,TEXT('הדבקת לידים'!B1281,REPT("0",הגדרות!$E$3)),TEXT('הדבקת לידים'!B1281,"0")),TRIM('הדבקת לידים'!B1281)))</f>
        <v/>
      </c>
      <c r="C1281" s="0" t="n">
        <f aca="false">IF(OR(A1281&lt;&gt;"",B1281&lt;&gt;""),1,0)</f>
        <v>0</v>
      </c>
      <c r="D1281" s="0" t="str">
        <f aca="false">IF(C1281=1,MOD(ABS(SIN(ROW()*12.9898+'הדבקת לידים'!$F$2*78.233+IFERROR(--RIGHT(A1281,6),LEN(A1281))*0.0137+IFERROR(--RIGHT(B1281,6),LEN(B1281))*0.0071))*43758.5453,1),"")</f>
        <v/>
      </c>
      <c r="E1281" s="0" t="str">
        <f aca="false">IF(C1281=1,INT(MOD(ABS(SIN(D1281*7919.123+ROW()*0.618+'הדבקת לידים'!$F$2*1.3))*43758.5453,1)*1000000)*10000+ROW(),"")</f>
        <v/>
      </c>
      <c r="F1281" s="0" t="str">
        <f aca="false">IF(E1281="","",RANK(E1281,$E$2:$E$5001,1))</f>
        <v/>
      </c>
      <c r="G1281" s="0" t="n">
        <f aca="false">IF(A1281="",0,IF(SUMPRODUCT(--($A$2:$A$5001=A1281))&gt;1,1,0))</f>
        <v>0</v>
      </c>
      <c r="H1281" s="0" t="n">
        <f aca="false">ROW()-1</f>
        <v>1280</v>
      </c>
      <c r="I1281" s="0" t="str">
        <f aca="false">IF(OR(הגדרות!$E$6=0,H1281&gt;הגדרות!$E$5),"",IF(H1281-1&lt;הגדרות!$E$8*(הגדרות!$E$7+1),INT((H1281-1)/(הגדרות!$E$7+1)),הגדרות!$E$8+INT((H1281-1-הגדרות!$E$8*(הגדרות!$E$7+1))/הגדרות!$E$7)))</f>
        <v/>
      </c>
      <c r="J1281" s="0" t="str">
        <f aca="false">IF(I1281="","",IF(H1281-1&lt;הגדרות!$E$8*(הגדרות!$E$7+1),MOD(H1281-1,הגדרות!$E$7+1),MOD(H1281-1-הגדרות!$E$8*(הגדרות!$E$7+1),הגדרות!$E$7)))</f>
        <v/>
      </c>
      <c r="K1281" s="0" t="str">
        <f aca="false">IF(I1281="","",J1281*הגדרות!$E$6+I1281+1)</f>
        <v/>
      </c>
      <c r="L1281" s="0" t="str">
        <f aca="false">IF(K1281="","",MATCH(K1281,$F$2:$F$5001,0))</f>
        <v/>
      </c>
      <c r="M1281" s="0" t="str">
        <f aca="false">IF(I1281="","",INDEX(הגדרות!$A$2:$A$21,MOD(I1281+הגדרות!$E$9,הגדרות!$E$6)+1))</f>
        <v/>
      </c>
    </row>
    <row r="1282" customFormat="false" ht="15" hidden="false" customHeight="false" outlineLevel="0" collapsed="false">
      <c r="A1282" s="0" t="str">
        <f aca="false">IF('הדבקת לידים'!A1282="","",IF(ISNUMBER('הדבקת לידים'!A1282),IF(הגדרות!$E$2&gt;0,TEXT('הדבקת לידים'!A1282,REPT("0",הגדרות!$E$2)),TEXT('הדבקת לידים'!A1282,"0")),TRIM('הדבקת לידים'!A1282)))</f>
        <v/>
      </c>
      <c r="B1282" s="0" t="str">
        <f aca="false">IF('הדבקת לידים'!B1282="","",IF(ISNUMBER('הדבקת לידים'!B1282),IF(הגדרות!$E$3&gt;0,TEXT('הדבקת לידים'!B1282,REPT("0",הגדרות!$E$3)),TEXT('הדבקת לידים'!B1282,"0")),TRIM('הדבקת לידים'!B1282)))</f>
        <v/>
      </c>
      <c r="C1282" s="0" t="n">
        <f aca="false">IF(OR(A1282&lt;&gt;"",B1282&lt;&gt;""),1,0)</f>
        <v>0</v>
      </c>
      <c r="D1282" s="0" t="str">
        <f aca="false">IF(C1282=1,MOD(ABS(SIN(ROW()*12.9898+'הדבקת לידים'!$F$2*78.233+IFERROR(--RIGHT(A1282,6),LEN(A1282))*0.0137+IFERROR(--RIGHT(B1282,6),LEN(B1282))*0.0071))*43758.5453,1),"")</f>
        <v/>
      </c>
      <c r="E1282" s="0" t="str">
        <f aca="false">IF(C1282=1,INT(MOD(ABS(SIN(D1282*7919.123+ROW()*0.618+'הדבקת לידים'!$F$2*1.3))*43758.5453,1)*1000000)*10000+ROW(),"")</f>
        <v/>
      </c>
      <c r="F1282" s="0" t="str">
        <f aca="false">IF(E1282="","",RANK(E1282,$E$2:$E$5001,1))</f>
        <v/>
      </c>
      <c r="G1282" s="0" t="n">
        <f aca="false">IF(A1282="",0,IF(SUMPRODUCT(--($A$2:$A$5001=A1282))&gt;1,1,0))</f>
        <v>0</v>
      </c>
      <c r="H1282" s="0" t="n">
        <f aca="false">ROW()-1</f>
        <v>1281</v>
      </c>
      <c r="I1282" s="0" t="str">
        <f aca="false">IF(OR(הגדרות!$E$6=0,H1282&gt;הגדרות!$E$5),"",IF(H1282-1&lt;הגדרות!$E$8*(הגדרות!$E$7+1),INT((H1282-1)/(הגדרות!$E$7+1)),הגדרות!$E$8+INT((H1282-1-הגדרות!$E$8*(הגדרות!$E$7+1))/הגדרות!$E$7)))</f>
        <v/>
      </c>
      <c r="J1282" s="0" t="str">
        <f aca="false">IF(I1282="","",IF(H1282-1&lt;הגדרות!$E$8*(הגדרות!$E$7+1),MOD(H1282-1,הגדרות!$E$7+1),MOD(H1282-1-הגדרות!$E$8*(הגדרות!$E$7+1),הגדרות!$E$7)))</f>
        <v/>
      </c>
      <c r="K1282" s="0" t="str">
        <f aca="false">IF(I1282="","",J1282*הגדרות!$E$6+I1282+1)</f>
        <v/>
      </c>
      <c r="L1282" s="0" t="str">
        <f aca="false">IF(K1282="","",MATCH(K1282,$F$2:$F$5001,0))</f>
        <v/>
      </c>
      <c r="M1282" s="0" t="str">
        <f aca="false">IF(I1282="","",INDEX(הגדרות!$A$2:$A$21,MOD(I1282+הגדרות!$E$9,הגדרות!$E$6)+1))</f>
        <v/>
      </c>
    </row>
    <row r="1283" customFormat="false" ht="15" hidden="false" customHeight="false" outlineLevel="0" collapsed="false">
      <c r="A1283" s="0" t="str">
        <f aca="false">IF('הדבקת לידים'!A1283="","",IF(ISNUMBER('הדבקת לידים'!A1283),IF(הגדרות!$E$2&gt;0,TEXT('הדבקת לידים'!A1283,REPT("0",הגדרות!$E$2)),TEXT('הדבקת לידים'!A1283,"0")),TRIM('הדבקת לידים'!A1283)))</f>
        <v/>
      </c>
      <c r="B1283" s="0" t="str">
        <f aca="false">IF('הדבקת לידים'!B1283="","",IF(ISNUMBER('הדבקת לידים'!B1283),IF(הגדרות!$E$3&gt;0,TEXT('הדבקת לידים'!B1283,REPT("0",הגדרות!$E$3)),TEXT('הדבקת לידים'!B1283,"0")),TRIM('הדבקת לידים'!B1283)))</f>
        <v/>
      </c>
      <c r="C1283" s="0" t="n">
        <f aca="false">IF(OR(A1283&lt;&gt;"",B1283&lt;&gt;""),1,0)</f>
        <v>0</v>
      </c>
      <c r="D1283" s="0" t="str">
        <f aca="false">IF(C1283=1,MOD(ABS(SIN(ROW()*12.9898+'הדבקת לידים'!$F$2*78.233+IFERROR(--RIGHT(A1283,6),LEN(A1283))*0.0137+IFERROR(--RIGHT(B1283,6),LEN(B1283))*0.0071))*43758.5453,1),"")</f>
        <v/>
      </c>
      <c r="E1283" s="0" t="str">
        <f aca="false">IF(C1283=1,INT(MOD(ABS(SIN(D1283*7919.123+ROW()*0.618+'הדבקת לידים'!$F$2*1.3))*43758.5453,1)*1000000)*10000+ROW(),"")</f>
        <v/>
      </c>
      <c r="F1283" s="0" t="str">
        <f aca="false">IF(E1283="","",RANK(E1283,$E$2:$E$5001,1))</f>
        <v/>
      </c>
      <c r="G1283" s="0" t="n">
        <f aca="false">IF(A1283="",0,IF(SUMPRODUCT(--($A$2:$A$5001=A1283))&gt;1,1,0))</f>
        <v>0</v>
      </c>
      <c r="H1283" s="0" t="n">
        <f aca="false">ROW()-1</f>
        <v>1282</v>
      </c>
      <c r="I1283" s="0" t="str">
        <f aca="false">IF(OR(הגדרות!$E$6=0,H1283&gt;הגדרות!$E$5),"",IF(H1283-1&lt;הגדרות!$E$8*(הגדרות!$E$7+1),INT((H1283-1)/(הגדרות!$E$7+1)),הגדרות!$E$8+INT((H1283-1-הגדרות!$E$8*(הגדרות!$E$7+1))/הגדרות!$E$7)))</f>
        <v/>
      </c>
      <c r="J1283" s="0" t="str">
        <f aca="false">IF(I1283="","",IF(H1283-1&lt;הגדרות!$E$8*(הגדרות!$E$7+1),MOD(H1283-1,הגדרות!$E$7+1),MOD(H1283-1-הגדרות!$E$8*(הגדרות!$E$7+1),הגדרות!$E$7)))</f>
        <v/>
      </c>
      <c r="K1283" s="0" t="str">
        <f aca="false">IF(I1283="","",J1283*הגדרות!$E$6+I1283+1)</f>
        <v/>
      </c>
      <c r="L1283" s="0" t="str">
        <f aca="false">IF(K1283="","",MATCH(K1283,$F$2:$F$5001,0))</f>
        <v/>
      </c>
      <c r="M1283" s="0" t="str">
        <f aca="false">IF(I1283="","",INDEX(הגדרות!$A$2:$A$21,MOD(I1283+הגדרות!$E$9,הגדרות!$E$6)+1))</f>
        <v/>
      </c>
    </row>
    <row r="1284" customFormat="false" ht="15" hidden="false" customHeight="false" outlineLevel="0" collapsed="false">
      <c r="A1284" s="0" t="str">
        <f aca="false">IF('הדבקת לידים'!A1284="","",IF(ISNUMBER('הדבקת לידים'!A1284),IF(הגדרות!$E$2&gt;0,TEXT('הדבקת לידים'!A1284,REPT("0",הגדרות!$E$2)),TEXT('הדבקת לידים'!A1284,"0")),TRIM('הדבקת לידים'!A1284)))</f>
        <v/>
      </c>
      <c r="B1284" s="0" t="str">
        <f aca="false">IF('הדבקת לידים'!B1284="","",IF(ISNUMBER('הדבקת לידים'!B1284),IF(הגדרות!$E$3&gt;0,TEXT('הדבקת לידים'!B1284,REPT("0",הגדרות!$E$3)),TEXT('הדבקת לידים'!B1284,"0")),TRIM('הדבקת לידים'!B1284)))</f>
        <v/>
      </c>
      <c r="C1284" s="0" t="n">
        <f aca="false">IF(OR(A1284&lt;&gt;"",B1284&lt;&gt;""),1,0)</f>
        <v>0</v>
      </c>
      <c r="D1284" s="0" t="str">
        <f aca="false">IF(C1284=1,MOD(ABS(SIN(ROW()*12.9898+'הדבקת לידים'!$F$2*78.233+IFERROR(--RIGHT(A1284,6),LEN(A1284))*0.0137+IFERROR(--RIGHT(B1284,6),LEN(B1284))*0.0071))*43758.5453,1),"")</f>
        <v/>
      </c>
      <c r="E1284" s="0" t="str">
        <f aca="false">IF(C1284=1,INT(MOD(ABS(SIN(D1284*7919.123+ROW()*0.618+'הדבקת לידים'!$F$2*1.3))*43758.5453,1)*1000000)*10000+ROW(),"")</f>
        <v/>
      </c>
      <c r="F1284" s="0" t="str">
        <f aca="false">IF(E1284="","",RANK(E1284,$E$2:$E$5001,1))</f>
        <v/>
      </c>
      <c r="G1284" s="0" t="n">
        <f aca="false">IF(A1284="",0,IF(SUMPRODUCT(--($A$2:$A$5001=A1284))&gt;1,1,0))</f>
        <v>0</v>
      </c>
      <c r="H1284" s="0" t="n">
        <f aca="false">ROW()-1</f>
        <v>1283</v>
      </c>
      <c r="I1284" s="0" t="str">
        <f aca="false">IF(OR(הגדרות!$E$6=0,H1284&gt;הגדרות!$E$5),"",IF(H1284-1&lt;הגדרות!$E$8*(הגדרות!$E$7+1),INT((H1284-1)/(הגדרות!$E$7+1)),הגדרות!$E$8+INT((H1284-1-הגדרות!$E$8*(הגדרות!$E$7+1))/הגדרות!$E$7)))</f>
        <v/>
      </c>
      <c r="J1284" s="0" t="str">
        <f aca="false">IF(I1284="","",IF(H1284-1&lt;הגדרות!$E$8*(הגדרות!$E$7+1),MOD(H1284-1,הגדרות!$E$7+1),MOD(H1284-1-הגדרות!$E$8*(הגדרות!$E$7+1),הגדרות!$E$7)))</f>
        <v/>
      </c>
      <c r="K1284" s="0" t="str">
        <f aca="false">IF(I1284="","",J1284*הגדרות!$E$6+I1284+1)</f>
        <v/>
      </c>
      <c r="L1284" s="0" t="str">
        <f aca="false">IF(K1284="","",MATCH(K1284,$F$2:$F$5001,0))</f>
        <v/>
      </c>
      <c r="M1284" s="0" t="str">
        <f aca="false">IF(I1284="","",INDEX(הגדרות!$A$2:$A$21,MOD(I1284+הגדרות!$E$9,הגדרות!$E$6)+1))</f>
        <v/>
      </c>
    </row>
    <row r="1285" customFormat="false" ht="15" hidden="false" customHeight="false" outlineLevel="0" collapsed="false">
      <c r="A1285" s="0" t="str">
        <f aca="false">IF('הדבקת לידים'!A1285="","",IF(ISNUMBER('הדבקת לידים'!A1285),IF(הגדרות!$E$2&gt;0,TEXT('הדבקת לידים'!A1285,REPT("0",הגדרות!$E$2)),TEXT('הדבקת לידים'!A1285,"0")),TRIM('הדבקת לידים'!A1285)))</f>
        <v/>
      </c>
      <c r="B1285" s="0" t="str">
        <f aca="false">IF('הדבקת לידים'!B1285="","",IF(ISNUMBER('הדבקת לידים'!B1285),IF(הגדרות!$E$3&gt;0,TEXT('הדבקת לידים'!B1285,REPT("0",הגדרות!$E$3)),TEXT('הדבקת לידים'!B1285,"0")),TRIM('הדבקת לידים'!B1285)))</f>
        <v/>
      </c>
      <c r="C1285" s="0" t="n">
        <f aca="false">IF(OR(A1285&lt;&gt;"",B1285&lt;&gt;""),1,0)</f>
        <v>0</v>
      </c>
      <c r="D1285" s="0" t="str">
        <f aca="false">IF(C1285=1,MOD(ABS(SIN(ROW()*12.9898+'הדבקת לידים'!$F$2*78.233+IFERROR(--RIGHT(A1285,6),LEN(A1285))*0.0137+IFERROR(--RIGHT(B1285,6),LEN(B1285))*0.0071))*43758.5453,1),"")</f>
        <v/>
      </c>
      <c r="E1285" s="0" t="str">
        <f aca="false">IF(C1285=1,INT(MOD(ABS(SIN(D1285*7919.123+ROW()*0.618+'הדבקת לידים'!$F$2*1.3))*43758.5453,1)*1000000)*10000+ROW(),"")</f>
        <v/>
      </c>
      <c r="F1285" s="0" t="str">
        <f aca="false">IF(E1285="","",RANK(E1285,$E$2:$E$5001,1))</f>
        <v/>
      </c>
      <c r="G1285" s="0" t="n">
        <f aca="false">IF(A1285="",0,IF(SUMPRODUCT(--($A$2:$A$5001=A1285))&gt;1,1,0))</f>
        <v>0</v>
      </c>
      <c r="H1285" s="0" t="n">
        <f aca="false">ROW()-1</f>
        <v>1284</v>
      </c>
      <c r="I1285" s="0" t="str">
        <f aca="false">IF(OR(הגדרות!$E$6=0,H1285&gt;הגדרות!$E$5),"",IF(H1285-1&lt;הגדרות!$E$8*(הגדרות!$E$7+1),INT((H1285-1)/(הגדרות!$E$7+1)),הגדרות!$E$8+INT((H1285-1-הגדרות!$E$8*(הגדרות!$E$7+1))/הגדרות!$E$7)))</f>
        <v/>
      </c>
      <c r="J1285" s="0" t="str">
        <f aca="false">IF(I1285="","",IF(H1285-1&lt;הגדרות!$E$8*(הגדרות!$E$7+1),MOD(H1285-1,הגדרות!$E$7+1),MOD(H1285-1-הגדרות!$E$8*(הגדרות!$E$7+1),הגדרות!$E$7)))</f>
        <v/>
      </c>
      <c r="K1285" s="0" t="str">
        <f aca="false">IF(I1285="","",J1285*הגדרות!$E$6+I1285+1)</f>
        <v/>
      </c>
      <c r="L1285" s="0" t="str">
        <f aca="false">IF(K1285="","",MATCH(K1285,$F$2:$F$5001,0))</f>
        <v/>
      </c>
      <c r="M1285" s="0" t="str">
        <f aca="false">IF(I1285="","",INDEX(הגדרות!$A$2:$A$21,MOD(I1285+הגדרות!$E$9,הגדרות!$E$6)+1))</f>
        <v/>
      </c>
    </row>
    <row r="1286" customFormat="false" ht="15" hidden="false" customHeight="false" outlineLevel="0" collapsed="false">
      <c r="A1286" s="0" t="str">
        <f aca="false">IF('הדבקת לידים'!A1286="","",IF(ISNUMBER('הדבקת לידים'!A1286),IF(הגדרות!$E$2&gt;0,TEXT('הדבקת לידים'!A1286,REPT("0",הגדרות!$E$2)),TEXT('הדבקת לידים'!A1286,"0")),TRIM('הדבקת לידים'!A1286)))</f>
        <v/>
      </c>
      <c r="B1286" s="0" t="str">
        <f aca="false">IF('הדבקת לידים'!B1286="","",IF(ISNUMBER('הדבקת לידים'!B1286),IF(הגדרות!$E$3&gt;0,TEXT('הדבקת לידים'!B1286,REPT("0",הגדרות!$E$3)),TEXT('הדבקת לידים'!B1286,"0")),TRIM('הדבקת לידים'!B1286)))</f>
        <v/>
      </c>
      <c r="C1286" s="0" t="n">
        <f aca="false">IF(OR(A1286&lt;&gt;"",B1286&lt;&gt;""),1,0)</f>
        <v>0</v>
      </c>
      <c r="D1286" s="0" t="str">
        <f aca="false">IF(C1286=1,MOD(ABS(SIN(ROW()*12.9898+'הדבקת לידים'!$F$2*78.233+IFERROR(--RIGHT(A1286,6),LEN(A1286))*0.0137+IFERROR(--RIGHT(B1286,6),LEN(B1286))*0.0071))*43758.5453,1),"")</f>
        <v/>
      </c>
      <c r="E1286" s="0" t="str">
        <f aca="false">IF(C1286=1,INT(MOD(ABS(SIN(D1286*7919.123+ROW()*0.618+'הדבקת לידים'!$F$2*1.3))*43758.5453,1)*1000000)*10000+ROW(),"")</f>
        <v/>
      </c>
      <c r="F1286" s="0" t="str">
        <f aca="false">IF(E1286="","",RANK(E1286,$E$2:$E$5001,1))</f>
        <v/>
      </c>
      <c r="G1286" s="0" t="n">
        <f aca="false">IF(A1286="",0,IF(SUMPRODUCT(--($A$2:$A$5001=A1286))&gt;1,1,0))</f>
        <v>0</v>
      </c>
      <c r="H1286" s="0" t="n">
        <f aca="false">ROW()-1</f>
        <v>1285</v>
      </c>
      <c r="I1286" s="0" t="str">
        <f aca="false">IF(OR(הגדרות!$E$6=0,H1286&gt;הגדרות!$E$5),"",IF(H1286-1&lt;הגדרות!$E$8*(הגדרות!$E$7+1),INT((H1286-1)/(הגדרות!$E$7+1)),הגדרות!$E$8+INT((H1286-1-הגדרות!$E$8*(הגדרות!$E$7+1))/הגדרות!$E$7)))</f>
        <v/>
      </c>
      <c r="J1286" s="0" t="str">
        <f aca="false">IF(I1286="","",IF(H1286-1&lt;הגדרות!$E$8*(הגדרות!$E$7+1),MOD(H1286-1,הגדרות!$E$7+1),MOD(H1286-1-הגדרות!$E$8*(הגדרות!$E$7+1),הגדרות!$E$7)))</f>
        <v/>
      </c>
      <c r="K1286" s="0" t="str">
        <f aca="false">IF(I1286="","",J1286*הגדרות!$E$6+I1286+1)</f>
        <v/>
      </c>
      <c r="L1286" s="0" t="str">
        <f aca="false">IF(K1286="","",MATCH(K1286,$F$2:$F$5001,0))</f>
        <v/>
      </c>
      <c r="M1286" s="0" t="str">
        <f aca="false">IF(I1286="","",INDEX(הגדרות!$A$2:$A$21,MOD(I1286+הגדרות!$E$9,הגדרות!$E$6)+1))</f>
        <v/>
      </c>
    </row>
    <row r="1287" customFormat="false" ht="15" hidden="false" customHeight="false" outlineLevel="0" collapsed="false">
      <c r="A1287" s="0" t="str">
        <f aca="false">IF('הדבקת לידים'!A1287="","",IF(ISNUMBER('הדבקת לידים'!A1287),IF(הגדרות!$E$2&gt;0,TEXT('הדבקת לידים'!A1287,REPT("0",הגדרות!$E$2)),TEXT('הדבקת לידים'!A1287,"0")),TRIM('הדבקת לידים'!A1287)))</f>
        <v/>
      </c>
      <c r="B1287" s="0" t="str">
        <f aca="false">IF('הדבקת לידים'!B1287="","",IF(ISNUMBER('הדבקת לידים'!B1287),IF(הגדרות!$E$3&gt;0,TEXT('הדבקת לידים'!B1287,REPT("0",הגדרות!$E$3)),TEXT('הדבקת לידים'!B1287,"0")),TRIM('הדבקת לידים'!B1287)))</f>
        <v/>
      </c>
      <c r="C1287" s="0" t="n">
        <f aca="false">IF(OR(A1287&lt;&gt;"",B1287&lt;&gt;""),1,0)</f>
        <v>0</v>
      </c>
      <c r="D1287" s="0" t="str">
        <f aca="false">IF(C1287=1,MOD(ABS(SIN(ROW()*12.9898+'הדבקת לידים'!$F$2*78.233+IFERROR(--RIGHT(A1287,6),LEN(A1287))*0.0137+IFERROR(--RIGHT(B1287,6),LEN(B1287))*0.0071))*43758.5453,1),"")</f>
        <v/>
      </c>
      <c r="E1287" s="0" t="str">
        <f aca="false">IF(C1287=1,INT(MOD(ABS(SIN(D1287*7919.123+ROW()*0.618+'הדבקת לידים'!$F$2*1.3))*43758.5453,1)*1000000)*10000+ROW(),"")</f>
        <v/>
      </c>
      <c r="F1287" s="0" t="str">
        <f aca="false">IF(E1287="","",RANK(E1287,$E$2:$E$5001,1))</f>
        <v/>
      </c>
      <c r="G1287" s="0" t="n">
        <f aca="false">IF(A1287="",0,IF(SUMPRODUCT(--($A$2:$A$5001=A1287))&gt;1,1,0))</f>
        <v>0</v>
      </c>
      <c r="H1287" s="0" t="n">
        <f aca="false">ROW()-1</f>
        <v>1286</v>
      </c>
      <c r="I1287" s="0" t="str">
        <f aca="false">IF(OR(הגדרות!$E$6=0,H1287&gt;הגדרות!$E$5),"",IF(H1287-1&lt;הגדרות!$E$8*(הגדרות!$E$7+1),INT((H1287-1)/(הגדרות!$E$7+1)),הגדרות!$E$8+INT((H1287-1-הגדרות!$E$8*(הגדרות!$E$7+1))/הגדרות!$E$7)))</f>
        <v/>
      </c>
      <c r="J1287" s="0" t="str">
        <f aca="false">IF(I1287="","",IF(H1287-1&lt;הגדרות!$E$8*(הגדרות!$E$7+1),MOD(H1287-1,הגדרות!$E$7+1),MOD(H1287-1-הגדרות!$E$8*(הגדרות!$E$7+1),הגדרות!$E$7)))</f>
        <v/>
      </c>
      <c r="K1287" s="0" t="str">
        <f aca="false">IF(I1287="","",J1287*הגדרות!$E$6+I1287+1)</f>
        <v/>
      </c>
      <c r="L1287" s="0" t="str">
        <f aca="false">IF(K1287="","",MATCH(K1287,$F$2:$F$5001,0))</f>
        <v/>
      </c>
      <c r="M1287" s="0" t="str">
        <f aca="false">IF(I1287="","",INDEX(הגדרות!$A$2:$A$21,MOD(I1287+הגדרות!$E$9,הגדרות!$E$6)+1))</f>
        <v/>
      </c>
    </row>
    <row r="1288" customFormat="false" ht="15" hidden="false" customHeight="false" outlineLevel="0" collapsed="false">
      <c r="A1288" s="0" t="str">
        <f aca="false">IF('הדבקת לידים'!A1288="","",IF(ISNUMBER('הדבקת לידים'!A1288),IF(הגדרות!$E$2&gt;0,TEXT('הדבקת לידים'!A1288,REPT("0",הגדרות!$E$2)),TEXT('הדבקת לידים'!A1288,"0")),TRIM('הדבקת לידים'!A1288)))</f>
        <v/>
      </c>
      <c r="B1288" s="0" t="str">
        <f aca="false">IF('הדבקת לידים'!B1288="","",IF(ISNUMBER('הדבקת לידים'!B1288),IF(הגדרות!$E$3&gt;0,TEXT('הדבקת לידים'!B1288,REPT("0",הגדרות!$E$3)),TEXT('הדבקת לידים'!B1288,"0")),TRIM('הדבקת לידים'!B1288)))</f>
        <v/>
      </c>
      <c r="C1288" s="0" t="n">
        <f aca="false">IF(OR(A1288&lt;&gt;"",B1288&lt;&gt;""),1,0)</f>
        <v>0</v>
      </c>
      <c r="D1288" s="0" t="str">
        <f aca="false">IF(C1288=1,MOD(ABS(SIN(ROW()*12.9898+'הדבקת לידים'!$F$2*78.233+IFERROR(--RIGHT(A1288,6),LEN(A1288))*0.0137+IFERROR(--RIGHT(B1288,6),LEN(B1288))*0.0071))*43758.5453,1),"")</f>
        <v/>
      </c>
      <c r="E1288" s="0" t="str">
        <f aca="false">IF(C1288=1,INT(MOD(ABS(SIN(D1288*7919.123+ROW()*0.618+'הדבקת לידים'!$F$2*1.3))*43758.5453,1)*1000000)*10000+ROW(),"")</f>
        <v/>
      </c>
      <c r="F1288" s="0" t="str">
        <f aca="false">IF(E1288="","",RANK(E1288,$E$2:$E$5001,1))</f>
        <v/>
      </c>
      <c r="G1288" s="0" t="n">
        <f aca="false">IF(A1288="",0,IF(SUMPRODUCT(--($A$2:$A$5001=A1288))&gt;1,1,0))</f>
        <v>0</v>
      </c>
      <c r="H1288" s="0" t="n">
        <f aca="false">ROW()-1</f>
        <v>1287</v>
      </c>
      <c r="I1288" s="0" t="str">
        <f aca="false">IF(OR(הגדרות!$E$6=0,H1288&gt;הגדרות!$E$5),"",IF(H1288-1&lt;הגדרות!$E$8*(הגדרות!$E$7+1),INT((H1288-1)/(הגדרות!$E$7+1)),הגדרות!$E$8+INT((H1288-1-הגדרות!$E$8*(הגדרות!$E$7+1))/הגדרות!$E$7)))</f>
        <v/>
      </c>
      <c r="J1288" s="0" t="str">
        <f aca="false">IF(I1288="","",IF(H1288-1&lt;הגדרות!$E$8*(הגדרות!$E$7+1),MOD(H1288-1,הגדרות!$E$7+1),MOD(H1288-1-הגדרות!$E$8*(הגדרות!$E$7+1),הגדרות!$E$7)))</f>
        <v/>
      </c>
      <c r="K1288" s="0" t="str">
        <f aca="false">IF(I1288="","",J1288*הגדרות!$E$6+I1288+1)</f>
        <v/>
      </c>
      <c r="L1288" s="0" t="str">
        <f aca="false">IF(K1288="","",MATCH(K1288,$F$2:$F$5001,0))</f>
        <v/>
      </c>
      <c r="M1288" s="0" t="str">
        <f aca="false">IF(I1288="","",INDEX(הגדרות!$A$2:$A$21,MOD(I1288+הגדרות!$E$9,הגדרות!$E$6)+1))</f>
        <v/>
      </c>
    </row>
    <row r="1289" customFormat="false" ht="15" hidden="false" customHeight="false" outlineLevel="0" collapsed="false">
      <c r="A1289" s="0" t="str">
        <f aca="false">IF('הדבקת לידים'!A1289="","",IF(ISNUMBER('הדבקת לידים'!A1289),IF(הגדרות!$E$2&gt;0,TEXT('הדבקת לידים'!A1289,REPT("0",הגדרות!$E$2)),TEXT('הדבקת לידים'!A1289,"0")),TRIM('הדבקת לידים'!A1289)))</f>
        <v/>
      </c>
      <c r="B1289" s="0" t="str">
        <f aca="false">IF('הדבקת לידים'!B1289="","",IF(ISNUMBER('הדבקת לידים'!B1289),IF(הגדרות!$E$3&gt;0,TEXT('הדבקת לידים'!B1289,REPT("0",הגדרות!$E$3)),TEXT('הדבקת לידים'!B1289,"0")),TRIM('הדבקת לידים'!B1289)))</f>
        <v/>
      </c>
      <c r="C1289" s="0" t="n">
        <f aca="false">IF(OR(A1289&lt;&gt;"",B1289&lt;&gt;""),1,0)</f>
        <v>0</v>
      </c>
      <c r="D1289" s="0" t="str">
        <f aca="false">IF(C1289=1,MOD(ABS(SIN(ROW()*12.9898+'הדבקת לידים'!$F$2*78.233+IFERROR(--RIGHT(A1289,6),LEN(A1289))*0.0137+IFERROR(--RIGHT(B1289,6),LEN(B1289))*0.0071))*43758.5453,1),"")</f>
        <v/>
      </c>
      <c r="E1289" s="0" t="str">
        <f aca="false">IF(C1289=1,INT(MOD(ABS(SIN(D1289*7919.123+ROW()*0.618+'הדבקת לידים'!$F$2*1.3))*43758.5453,1)*1000000)*10000+ROW(),"")</f>
        <v/>
      </c>
      <c r="F1289" s="0" t="str">
        <f aca="false">IF(E1289="","",RANK(E1289,$E$2:$E$5001,1))</f>
        <v/>
      </c>
      <c r="G1289" s="0" t="n">
        <f aca="false">IF(A1289="",0,IF(SUMPRODUCT(--($A$2:$A$5001=A1289))&gt;1,1,0))</f>
        <v>0</v>
      </c>
      <c r="H1289" s="0" t="n">
        <f aca="false">ROW()-1</f>
        <v>1288</v>
      </c>
      <c r="I1289" s="0" t="str">
        <f aca="false">IF(OR(הגדרות!$E$6=0,H1289&gt;הגדרות!$E$5),"",IF(H1289-1&lt;הגדרות!$E$8*(הגדרות!$E$7+1),INT((H1289-1)/(הגדרות!$E$7+1)),הגדרות!$E$8+INT((H1289-1-הגדרות!$E$8*(הגדרות!$E$7+1))/הגדרות!$E$7)))</f>
        <v/>
      </c>
      <c r="J1289" s="0" t="str">
        <f aca="false">IF(I1289="","",IF(H1289-1&lt;הגדרות!$E$8*(הגדרות!$E$7+1),MOD(H1289-1,הגדרות!$E$7+1),MOD(H1289-1-הגדרות!$E$8*(הגדרות!$E$7+1),הגדרות!$E$7)))</f>
        <v/>
      </c>
      <c r="K1289" s="0" t="str">
        <f aca="false">IF(I1289="","",J1289*הגדרות!$E$6+I1289+1)</f>
        <v/>
      </c>
      <c r="L1289" s="0" t="str">
        <f aca="false">IF(K1289="","",MATCH(K1289,$F$2:$F$5001,0))</f>
        <v/>
      </c>
      <c r="M1289" s="0" t="str">
        <f aca="false">IF(I1289="","",INDEX(הגדרות!$A$2:$A$21,MOD(I1289+הגדרות!$E$9,הגדרות!$E$6)+1))</f>
        <v/>
      </c>
    </row>
    <row r="1290" customFormat="false" ht="15" hidden="false" customHeight="false" outlineLevel="0" collapsed="false">
      <c r="A1290" s="0" t="str">
        <f aca="false">IF('הדבקת לידים'!A1290="","",IF(ISNUMBER('הדבקת לידים'!A1290),IF(הגדרות!$E$2&gt;0,TEXT('הדבקת לידים'!A1290,REPT("0",הגדרות!$E$2)),TEXT('הדבקת לידים'!A1290,"0")),TRIM('הדבקת לידים'!A1290)))</f>
        <v/>
      </c>
      <c r="B1290" s="0" t="str">
        <f aca="false">IF('הדבקת לידים'!B1290="","",IF(ISNUMBER('הדבקת לידים'!B1290),IF(הגדרות!$E$3&gt;0,TEXT('הדבקת לידים'!B1290,REPT("0",הגדרות!$E$3)),TEXT('הדבקת לידים'!B1290,"0")),TRIM('הדבקת לידים'!B1290)))</f>
        <v/>
      </c>
      <c r="C1290" s="0" t="n">
        <f aca="false">IF(OR(A1290&lt;&gt;"",B1290&lt;&gt;""),1,0)</f>
        <v>0</v>
      </c>
      <c r="D1290" s="0" t="str">
        <f aca="false">IF(C1290=1,MOD(ABS(SIN(ROW()*12.9898+'הדבקת לידים'!$F$2*78.233+IFERROR(--RIGHT(A1290,6),LEN(A1290))*0.0137+IFERROR(--RIGHT(B1290,6),LEN(B1290))*0.0071))*43758.5453,1),"")</f>
        <v/>
      </c>
      <c r="E1290" s="0" t="str">
        <f aca="false">IF(C1290=1,INT(MOD(ABS(SIN(D1290*7919.123+ROW()*0.618+'הדבקת לידים'!$F$2*1.3))*43758.5453,1)*1000000)*10000+ROW(),"")</f>
        <v/>
      </c>
      <c r="F1290" s="0" t="str">
        <f aca="false">IF(E1290="","",RANK(E1290,$E$2:$E$5001,1))</f>
        <v/>
      </c>
      <c r="G1290" s="0" t="n">
        <f aca="false">IF(A1290="",0,IF(SUMPRODUCT(--($A$2:$A$5001=A1290))&gt;1,1,0))</f>
        <v>0</v>
      </c>
      <c r="H1290" s="0" t="n">
        <f aca="false">ROW()-1</f>
        <v>1289</v>
      </c>
      <c r="I1290" s="0" t="str">
        <f aca="false">IF(OR(הגדרות!$E$6=0,H1290&gt;הגדרות!$E$5),"",IF(H1290-1&lt;הגדרות!$E$8*(הגדרות!$E$7+1),INT((H1290-1)/(הגדרות!$E$7+1)),הגדרות!$E$8+INT((H1290-1-הגדרות!$E$8*(הגדרות!$E$7+1))/הגדרות!$E$7)))</f>
        <v/>
      </c>
      <c r="J1290" s="0" t="str">
        <f aca="false">IF(I1290="","",IF(H1290-1&lt;הגדרות!$E$8*(הגדרות!$E$7+1),MOD(H1290-1,הגדרות!$E$7+1),MOD(H1290-1-הגדרות!$E$8*(הגדרות!$E$7+1),הגדרות!$E$7)))</f>
        <v/>
      </c>
      <c r="K1290" s="0" t="str">
        <f aca="false">IF(I1290="","",J1290*הגדרות!$E$6+I1290+1)</f>
        <v/>
      </c>
      <c r="L1290" s="0" t="str">
        <f aca="false">IF(K1290="","",MATCH(K1290,$F$2:$F$5001,0))</f>
        <v/>
      </c>
      <c r="M1290" s="0" t="str">
        <f aca="false">IF(I1290="","",INDEX(הגדרות!$A$2:$A$21,MOD(I1290+הגדרות!$E$9,הגדרות!$E$6)+1))</f>
        <v/>
      </c>
    </row>
    <row r="1291" customFormat="false" ht="15" hidden="false" customHeight="false" outlineLevel="0" collapsed="false">
      <c r="A1291" s="0" t="str">
        <f aca="false">IF('הדבקת לידים'!A1291="","",IF(ISNUMBER('הדבקת לידים'!A1291),IF(הגדרות!$E$2&gt;0,TEXT('הדבקת לידים'!A1291,REPT("0",הגדרות!$E$2)),TEXT('הדבקת לידים'!A1291,"0")),TRIM('הדבקת לידים'!A1291)))</f>
        <v/>
      </c>
      <c r="B1291" s="0" t="str">
        <f aca="false">IF('הדבקת לידים'!B1291="","",IF(ISNUMBER('הדבקת לידים'!B1291),IF(הגדרות!$E$3&gt;0,TEXT('הדבקת לידים'!B1291,REPT("0",הגדרות!$E$3)),TEXT('הדבקת לידים'!B1291,"0")),TRIM('הדבקת לידים'!B1291)))</f>
        <v/>
      </c>
      <c r="C1291" s="0" t="n">
        <f aca="false">IF(OR(A1291&lt;&gt;"",B1291&lt;&gt;""),1,0)</f>
        <v>0</v>
      </c>
      <c r="D1291" s="0" t="str">
        <f aca="false">IF(C1291=1,MOD(ABS(SIN(ROW()*12.9898+'הדבקת לידים'!$F$2*78.233+IFERROR(--RIGHT(A1291,6),LEN(A1291))*0.0137+IFERROR(--RIGHT(B1291,6),LEN(B1291))*0.0071))*43758.5453,1),"")</f>
        <v/>
      </c>
      <c r="E1291" s="0" t="str">
        <f aca="false">IF(C1291=1,INT(MOD(ABS(SIN(D1291*7919.123+ROW()*0.618+'הדבקת לידים'!$F$2*1.3))*43758.5453,1)*1000000)*10000+ROW(),"")</f>
        <v/>
      </c>
      <c r="F1291" s="0" t="str">
        <f aca="false">IF(E1291="","",RANK(E1291,$E$2:$E$5001,1))</f>
        <v/>
      </c>
      <c r="G1291" s="0" t="n">
        <f aca="false">IF(A1291="",0,IF(SUMPRODUCT(--($A$2:$A$5001=A1291))&gt;1,1,0))</f>
        <v>0</v>
      </c>
      <c r="H1291" s="0" t="n">
        <f aca="false">ROW()-1</f>
        <v>1290</v>
      </c>
      <c r="I1291" s="0" t="str">
        <f aca="false">IF(OR(הגדרות!$E$6=0,H1291&gt;הגדרות!$E$5),"",IF(H1291-1&lt;הגדרות!$E$8*(הגדרות!$E$7+1),INT((H1291-1)/(הגדרות!$E$7+1)),הגדרות!$E$8+INT((H1291-1-הגדרות!$E$8*(הגדרות!$E$7+1))/הגדרות!$E$7)))</f>
        <v/>
      </c>
      <c r="J1291" s="0" t="str">
        <f aca="false">IF(I1291="","",IF(H1291-1&lt;הגדרות!$E$8*(הגדרות!$E$7+1),MOD(H1291-1,הגדרות!$E$7+1),MOD(H1291-1-הגדרות!$E$8*(הגדרות!$E$7+1),הגדרות!$E$7)))</f>
        <v/>
      </c>
      <c r="K1291" s="0" t="str">
        <f aca="false">IF(I1291="","",J1291*הגדרות!$E$6+I1291+1)</f>
        <v/>
      </c>
      <c r="L1291" s="0" t="str">
        <f aca="false">IF(K1291="","",MATCH(K1291,$F$2:$F$5001,0))</f>
        <v/>
      </c>
      <c r="M1291" s="0" t="str">
        <f aca="false">IF(I1291="","",INDEX(הגדרות!$A$2:$A$21,MOD(I1291+הגדרות!$E$9,הגדרות!$E$6)+1))</f>
        <v/>
      </c>
    </row>
    <row r="1292" customFormat="false" ht="15" hidden="false" customHeight="false" outlineLevel="0" collapsed="false">
      <c r="A1292" s="0" t="str">
        <f aca="false">IF('הדבקת לידים'!A1292="","",IF(ISNUMBER('הדבקת לידים'!A1292),IF(הגדרות!$E$2&gt;0,TEXT('הדבקת לידים'!A1292,REPT("0",הגדרות!$E$2)),TEXT('הדבקת לידים'!A1292,"0")),TRIM('הדבקת לידים'!A1292)))</f>
        <v/>
      </c>
      <c r="B1292" s="0" t="str">
        <f aca="false">IF('הדבקת לידים'!B1292="","",IF(ISNUMBER('הדבקת לידים'!B1292),IF(הגדרות!$E$3&gt;0,TEXT('הדבקת לידים'!B1292,REPT("0",הגדרות!$E$3)),TEXT('הדבקת לידים'!B1292,"0")),TRIM('הדבקת לידים'!B1292)))</f>
        <v/>
      </c>
      <c r="C1292" s="0" t="n">
        <f aca="false">IF(OR(A1292&lt;&gt;"",B1292&lt;&gt;""),1,0)</f>
        <v>0</v>
      </c>
      <c r="D1292" s="0" t="str">
        <f aca="false">IF(C1292=1,MOD(ABS(SIN(ROW()*12.9898+'הדבקת לידים'!$F$2*78.233+IFERROR(--RIGHT(A1292,6),LEN(A1292))*0.0137+IFERROR(--RIGHT(B1292,6),LEN(B1292))*0.0071))*43758.5453,1),"")</f>
        <v/>
      </c>
      <c r="E1292" s="0" t="str">
        <f aca="false">IF(C1292=1,INT(MOD(ABS(SIN(D1292*7919.123+ROW()*0.618+'הדבקת לידים'!$F$2*1.3))*43758.5453,1)*1000000)*10000+ROW(),"")</f>
        <v/>
      </c>
      <c r="F1292" s="0" t="str">
        <f aca="false">IF(E1292="","",RANK(E1292,$E$2:$E$5001,1))</f>
        <v/>
      </c>
      <c r="G1292" s="0" t="n">
        <f aca="false">IF(A1292="",0,IF(SUMPRODUCT(--($A$2:$A$5001=A1292))&gt;1,1,0))</f>
        <v>0</v>
      </c>
      <c r="H1292" s="0" t="n">
        <f aca="false">ROW()-1</f>
        <v>1291</v>
      </c>
      <c r="I1292" s="0" t="str">
        <f aca="false">IF(OR(הגדרות!$E$6=0,H1292&gt;הגדרות!$E$5),"",IF(H1292-1&lt;הגדרות!$E$8*(הגדרות!$E$7+1),INT((H1292-1)/(הגדרות!$E$7+1)),הגדרות!$E$8+INT((H1292-1-הגדרות!$E$8*(הגדרות!$E$7+1))/הגדרות!$E$7)))</f>
        <v/>
      </c>
      <c r="J1292" s="0" t="str">
        <f aca="false">IF(I1292="","",IF(H1292-1&lt;הגדרות!$E$8*(הגדרות!$E$7+1),MOD(H1292-1,הגדרות!$E$7+1),MOD(H1292-1-הגדרות!$E$8*(הגדרות!$E$7+1),הגדרות!$E$7)))</f>
        <v/>
      </c>
      <c r="K1292" s="0" t="str">
        <f aca="false">IF(I1292="","",J1292*הגדרות!$E$6+I1292+1)</f>
        <v/>
      </c>
      <c r="L1292" s="0" t="str">
        <f aca="false">IF(K1292="","",MATCH(K1292,$F$2:$F$5001,0))</f>
        <v/>
      </c>
      <c r="M1292" s="0" t="str">
        <f aca="false">IF(I1292="","",INDEX(הגדרות!$A$2:$A$21,MOD(I1292+הגדרות!$E$9,הגדרות!$E$6)+1))</f>
        <v/>
      </c>
    </row>
    <row r="1293" customFormat="false" ht="15" hidden="false" customHeight="false" outlineLevel="0" collapsed="false">
      <c r="A1293" s="0" t="str">
        <f aca="false">IF('הדבקת לידים'!A1293="","",IF(ISNUMBER('הדבקת לידים'!A1293),IF(הגדרות!$E$2&gt;0,TEXT('הדבקת לידים'!A1293,REPT("0",הגדרות!$E$2)),TEXT('הדבקת לידים'!A1293,"0")),TRIM('הדבקת לידים'!A1293)))</f>
        <v/>
      </c>
      <c r="B1293" s="0" t="str">
        <f aca="false">IF('הדבקת לידים'!B1293="","",IF(ISNUMBER('הדבקת לידים'!B1293),IF(הגדרות!$E$3&gt;0,TEXT('הדבקת לידים'!B1293,REPT("0",הגדרות!$E$3)),TEXT('הדבקת לידים'!B1293,"0")),TRIM('הדבקת לידים'!B1293)))</f>
        <v/>
      </c>
      <c r="C1293" s="0" t="n">
        <f aca="false">IF(OR(A1293&lt;&gt;"",B1293&lt;&gt;""),1,0)</f>
        <v>0</v>
      </c>
      <c r="D1293" s="0" t="str">
        <f aca="false">IF(C1293=1,MOD(ABS(SIN(ROW()*12.9898+'הדבקת לידים'!$F$2*78.233+IFERROR(--RIGHT(A1293,6),LEN(A1293))*0.0137+IFERROR(--RIGHT(B1293,6),LEN(B1293))*0.0071))*43758.5453,1),"")</f>
        <v/>
      </c>
      <c r="E1293" s="0" t="str">
        <f aca="false">IF(C1293=1,INT(MOD(ABS(SIN(D1293*7919.123+ROW()*0.618+'הדבקת לידים'!$F$2*1.3))*43758.5453,1)*1000000)*10000+ROW(),"")</f>
        <v/>
      </c>
      <c r="F1293" s="0" t="str">
        <f aca="false">IF(E1293="","",RANK(E1293,$E$2:$E$5001,1))</f>
        <v/>
      </c>
      <c r="G1293" s="0" t="n">
        <f aca="false">IF(A1293="",0,IF(SUMPRODUCT(--($A$2:$A$5001=A1293))&gt;1,1,0))</f>
        <v>0</v>
      </c>
      <c r="H1293" s="0" t="n">
        <f aca="false">ROW()-1</f>
        <v>1292</v>
      </c>
      <c r="I1293" s="0" t="str">
        <f aca="false">IF(OR(הגדרות!$E$6=0,H1293&gt;הגדרות!$E$5),"",IF(H1293-1&lt;הגדרות!$E$8*(הגדרות!$E$7+1),INT((H1293-1)/(הגדרות!$E$7+1)),הגדרות!$E$8+INT((H1293-1-הגדרות!$E$8*(הגדרות!$E$7+1))/הגדרות!$E$7)))</f>
        <v/>
      </c>
      <c r="J1293" s="0" t="str">
        <f aca="false">IF(I1293="","",IF(H1293-1&lt;הגדרות!$E$8*(הגדרות!$E$7+1),MOD(H1293-1,הגדרות!$E$7+1),MOD(H1293-1-הגדרות!$E$8*(הגדרות!$E$7+1),הגדרות!$E$7)))</f>
        <v/>
      </c>
      <c r="K1293" s="0" t="str">
        <f aca="false">IF(I1293="","",J1293*הגדרות!$E$6+I1293+1)</f>
        <v/>
      </c>
      <c r="L1293" s="0" t="str">
        <f aca="false">IF(K1293="","",MATCH(K1293,$F$2:$F$5001,0))</f>
        <v/>
      </c>
      <c r="M1293" s="0" t="str">
        <f aca="false">IF(I1293="","",INDEX(הגדרות!$A$2:$A$21,MOD(I1293+הגדרות!$E$9,הגדרות!$E$6)+1))</f>
        <v/>
      </c>
    </row>
    <row r="1294" customFormat="false" ht="15" hidden="false" customHeight="false" outlineLevel="0" collapsed="false">
      <c r="A1294" s="0" t="str">
        <f aca="false">IF('הדבקת לידים'!A1294="","",IF(ISNUMBER('הדבקת לידים'!A1294),IF(הגדרות!$E$2&gt;0,TEXT('הדבקת לידים'!A1294,REPT("0",הגדרות!$E$2)),TEXT('הדבקת לידים'!A1294,"0")),TRIM('הדבקת לידים'!A1294)))</f>
        <v/>
      </c>
      <c r="B1294" s="0" t="str">
        <f aca="false">IF('הדבקת לידים'!B1294="","",IF(ISNUMBER('הדבקת לידים'!B1294),IF(הגדרות!$E$3&gt;0,TEXT('הדבקת לידים'!B1294,REPT("0",הגדרות!$E$3)),TEXT('הדבקת לידים'!B1294,"0")),TRIM('הדבקת לידים'!B1294)))</f>
        <v/>
      </c>
      <c r="C1294" s="0" t="n">
        <f aca="false">IF(OR(A1294&lt;&gt;"",B1294&lt;&gt;""),1,0)</f>
        <v>0</v>
      </c>
      <c r="D1294" s="0" t="str">
        <f aca="false">IF(C1294=1,MOD(ABS(SIN(ROW()*12.9898+'הדבקת לידים'!$F$2*78.233+IFERROR(--RIGHT(A1294,6),LEN(A1294))*0.0137+IFERROR(--RIGHT(B1294,6),LEN(B1294))*0.0071))*43758.5453,1),"")</f>
        <v/>
      </c>
      <c r="E1294" s="0" t="str">
        <f aca="false">IF(C1294=1,INT(MOD(ABS(SIN(D1294*7919.123+ROW()*0.618+'הדבקת לידים'!$F$2*1.3))*43758.5453,1)*1000000)*10000+ROW(),"")</f>
        <v/>
      </c>
      <c r="F1294" s="0" t="str">
        <f aca="false">IF(E1294="","",RANK(E1294,$E$2:$E$5001,1))</f>
        <v/>
      </c>
      <c r="G1294" s="0" t="n">
        <f aca="false">IF(A1294="",0,IF(SUMPRODUCT(--($A$2:$A$5001=A1294))&gt;1,1,0))</f>
        <v>0</v>
      </c>
      <c r="H1294" s="0" t="n">
        <f aca="false">ROW()-1</f>
        <v>1293</v>
      </c>
      <c r="I1294" s="0" t="str">
        <f aca="false">IF(OR(הגדרות!$E$6=0,H1294&gt;הגדרות!$E$5),"",IF(H1294-1&lt;הגדרות!$E$8*(הגדרות!$E$7+1),INT((H1294-1)/(הגדרות!$E$7+1)),הגדרות!$E$8+INT((H1294-1-הגדרות!$E$8*(הגדרות!$E$7+1))/הגדרות!$E$7)))</f>
        <v/>
      </c>
      <c r="J1294" s="0" t="str">
        <f aca="false">IF(I1294="","",IF(H1294-1&lt;הגדרות!$E$8*(הגדרות!$E$7+1),MOD(H1294-1,הגדרות!$E$7+1),MOD(H1294-1-הגדרות!$E$8*(הגדרות!$E$7+1),הגדרות!$E$7)))</f>
        <v/>
      </c>
      <c r="K1294" s="0" t="str">
        <f aca="false">IF(I1294="","",J1294*הגדרות!$E$6+I1294+1)</f>
        <v/>
      </c>
      <c r="L1294" s="0" t="str">
        <f aca="false">IF(K1294="","",MATCH(K1294,$F$2:$F$5001,0))</f>
        <v/>
      </c>
      <c r="M1294" s="0" t="str">
        <f aca="false">IF(I1294="","",INDEX(הגדרות!$A$2:$A$21,MOD(I1294+הגדרות!$E$9,הגדרות!$E$6)+1))</f>
        <v/>
      </c>
    </row>
    <row r="1295" customFormat="false" ht="15" hidden="false" customHeight="false" outlineLevel="0" collapsed="false">
      <c r="A1295" s="0" t="str">
        <f aca="false">IF('הדבקת לידים'!A1295="","",IF(ISNUMBER('הדבקת לידים'!A1295),IF(הגדרות!$E$2&gt;0,TEXT('הדבקת לידים'!A1295,REPT("0",הגדרות!$E$2)),TEXT('הדבקת לידים'!A1295,"0")),TRIM('הדבקת לידים'!A1295)))</f>
        <v/>
      </c>
      <c r="B1295" s="0" t="str">
        <f aca="false">IF('הדבקת לידים'!B1295="","",IF(ISNUMBER('הדבקת לידים'!B1295),IF(הגדרות!$E$3&gt;0,TEXT('הדבקת לידים'!B1295,REPT("0",הגדרות!$E$3)),TEXT('הדבקת לידים'!B1295,"0")),TRIM('הדבקת לידים'!B1295)))</f>
        <v/>
      </c>
      <c r="C1295" s="0" t="n">
        <f aca="false">IF(OR(A1295&lt;&gt;"",B1295&lt;&gt;""),1,0)</f>
        <v>0</v>
      </c>
      <c r="D1295" s="0" t="str">
        <f aca="false">IF(C1295=1,MOD(ABS(SIN(ROW()*12.9898+'הדבקת לידים'!$F$2*78.233+IFERROR(--RIGHT(A1295,6),LEN(A1295))*0.0137+IFERROR(--RIGHT(B1295,6),LEN(B1295))*0.0071))*43758.5453,1),"")</f>
        <v/>
      </c>
      <c r="E1295" s="0" t="str">
        <f aca="false">IF(C1295=1,INT(MOD(ABS(SIN(D1295*7919.123+ROW()*0.618+'הדבקת לידים'!$F$2*1.3))*43758.5453,1)*1000000)*10000+ROW(),"")</f>
        <v/>
      </c>
      <c r="F1295" s="0" t="str">
        <f aca="false">IF(E1295="","",RANK(E1295,$E$2:$E$5001,1))</f>
        <v/>
      </c>
      <c r="G1295" s="0" t="n">
        <f aca="false">IF(A1295="",0,IF(SUMPRODUCT(--($A$2:$A$5001=A1295))&gt;1,1,0))</f>
        <v>0</v>
      </c>
      <c r="H1295" s="0" t="n">
        <f aca="false">ROW()-1</f>
        <v>1294</v>
      </c>
      <c r="I1295" s="0" t="str">
        <f aca="false">IF(OR(הגדרות!$E$6=0,H1295&gt;הגדרות!$E$5),"",IF(H1295-1&lt;הגדרות!$E$8*(הגדרות!$E$7+1),INT((H1295-1)/(הגדרות!$E$7+1)),הגדרות!$E$8+INT((H1295-1-הגדרות!$E$8*(הגדרות!$E$7+1))/הגדרות!$E$7)))</f>
        <v/>
      </c>
      <c r="J1295" s="0" t="str">
        <f aca="false">IF(I1295="","",IF(H1295-1&lt;הגדרות!$E$8*(הגדרות!$E$7+1),MOD(H1295-1,הגדרות!$E$7+1),MOD(H1295-1-הגדרות!$E$8*(הגדרות!$E$7+1),הגדרות!$E$7)))</f>
        <v/>
      </c>
      <c r="K1295" s="0" t="str">
        <f aca="false">IF(I1295="","",J1295*הגדרות!$E$6+I1295+1)</f>
        <v/>
      </c>
      <c r="L1295" s="0" t="str">
        <f aca="false">IF(K1295="","",MATCH(K1295,$F$2:$F$5001,0))</f>
        <v/>
      </c>
      <c r="M1295" s="0" t="str">
        <f aca="false">IF(I1295="","",INDEX(הגדרות!$A$2:$A$21,MOD(I1295+הגדרות!$E$9,הגדרות!$E$6)+1))</f>
        <v/>
      </c>
    </row>
    <row r="1296" customFormat="false" ht="15" hidden="false" customHeight="false" outlineLevel="0" collapsed="false">
      <c r="A1296" s="0" t="str">
        <f aca="false">IF('הדבקת לידים'!A1296="","",IF(ISNUMBER('הדבקת לידים'!A1296),IF(הגדרות!$E$2&gt;0,TEXT('הדבקת לידים'!A1296,REPT("0",הגדרות!$E$2)),TEXT('הדבקת לידים'!A1296,"0")),TRIM('הדבקת לידים'!A1296)))</f>
        <v/>
      </c>
      <c r="B1296" s="0" t="str">
        <f aca="false">IF('הדבקת לידים'!B1296="","",IF(ISNUMBER('הדבקת לידים'!B1296),IF(הגדרות!$E$3&gt;0,TEXT('הדבקת לידים'!B1296,REPT("0",הגדרות!$E$3)),TEXT('הדבקת לידים'!B1296,"0")),TRIM('הדבקת לידים'!B1296)))</f>
        <v/>
      </c>
      <c r="C1296" s="0" t="n">
        <f aca="false">IF(OR(A1296&lt;&gt;"",B1296&lt;&gt;""),1,0)</f>
        <v>0</v>
      </c>
      <c r="D1296" s="0" t="str">
        <f aca="false">IF(C1296=1,MOD(ABS(SIN(ROW()*12.9898+'הדבקת לידים'!$F$2*78.233+IFERROR(--RIGHT(A1296,6),LEN(A1296))*0.0137+IFERROR(--RIGHT(B1296,6),LEN(B1296))*0.0071))*43758.5453,1),"")</f>
        <v/>
      </c>
      <c r="E1296" s="0" t="str">
        <f aca="false">IF(C1296=1,INT(MOD(ABS(SIN(D1296*7919.123+ROW()*0.618+'הדבקת לידים'!$F$2*1.3))*43758.5453,1)*1000000)*10000+ROW(),"")</f>
        <v/>
      </c>
      <c r="F1296" s="0" t="str">
        <f aca="false">IF(E1296="","",RANK(E1296,$E$2:$E$5001,1))</f>
        <v/>
      </c>
      <c r="G1296" s="0" t="n">
        <f aca="false">IF(A1296="",0,IF(SUMPRODUCT(--($A$2:$A$5001=A1296))&gt;1,1,0))</f>
        <v>0</v>
      </c>
      <c r="H1296" s="0" t="n">
        <f aca="false">ROW()-1</f>
        <v>1295</v>
      </c>
      <c r="I1296" s="0" t="str">
        <f aca="false">IF(OR(הגדרות!$E$6=0,H1296&gt;הגדרות!$E$5),"",IF(H1296-1&lt;הגדרות!$E$8*(הגדרות!$E$7+1),INT((H1296-1)/(הגדרות!$E$7+1)),הגדרות!$E$8+INT((H1296-1-הגדרות!$E$8*(הגדרות!$E$7+1))/הגדרות!$E$7)))</f>
        <v/>
      </c>
      <c r="J1296" s="0" t="str">
        <f aca="false">IF(I1296="","",IF(H1296-1&lt;הגדרות!$E$8*(הגדרות!$E$7+1),MOD(H1296-1,הגדרות!$E$7+1),MOD(H1296-1-הגדרות!$E$8*(הגדרות!$E$7+1),הגדרות!$E$7)))</f>
        <v/>
      </c>
      <c r="K1296" s="0" t="str">
        <f aca="false">IF(I1296="","",J1296*הגדרות!$E$6+I1296+1)</f>
        <v/>
      </c>
      <c r="L1296" s="0" t="str">
        <f aca="false">IF(K1296="","",MATCH(K1296,$F$2:$F$5001,0))</f>
        <v/>
      </c>
      <c r="M1296" s="0" t="str">
        <f aca="false">IF(I1296="","",INDEX(הגדרות!$A$2:$A$21,MOD(I1296+הגדרות!$E$9,הגדרות!$E$6)+1))</f>
        <v/>
      </c>
    </row>
    <row r="1297" customFormat="false" ht="15" hidden="false" customHeight="false" outlineLevel="0" collapsed="false">
      <c r="A1297" s="0" t="str">
        <f aca="false">IF('הדבקת לידים'!A1297="","",IF(ISNUMBER('הדבקת לידים'!A1297),IF(הגדרות!$E$2&gt;0,TEXT('הדבקת לידים'!A1297,REPT("0",הגדרות!$E$2)),TEXT('הדבקת לידים'!A1297,"0")),TRIM('הדבקת לידים'!A1297)))</f>
        <v/>
      </c>
      <c r="B1297" s="0" t="str">
        <f aca="false">IF('הדבקת לידים'!B1297="","",IF(ISNUMBER('הדבקת לידים'!B1297),IF(הגדרות!$E$3&gt;0,TEXT('הדבקת לידים'!B1297,REPT("0",הגדרות!$E$3)),TEXT('הדבקת לידים'!B1297,"0")),TRIM('הדבקת לידים'!B1297)))</f>
        <v/>
      </c>
      <c r="C1297" s="0" t="n">
        <f aca="false">IF(OR(A1297&lt;&gt;"",B1297&lt;&gt;""),1,0)</f>
        <v>0</v>
      </c>
      <c r="D1297" s="0" t="str">
        <f aca="false">IF(C1297=1,MOD(ABS(SIN(ROW()*12.9898+'הדבקת לידים'!$F$2*78.233+IFERROR(--RIGHT(A1297,6),LEN(A1297))*0.0137+IFERROR(--RIGHT(B1297,6),LEN(B1297))*0.0071))*43758.5453,1),"")</f>
        <v/>
      </c>
      <c r="E1297" s="0" t="str">
        <f aca="false">IF(C1297=1,INT(MOD(ABS(SIN(D1297*7919.123+ROW()*0.618+'הדבקת לידים'!$F$2*1.3))*43758.5453,1)*1000000)*10000+ROW(),"")</f>
        <v/>
      </c>
      <c r="F1297" s="0" t="str">
        <f aca="false">IF(E1297="","",RANK(E1297,$E$2:$E$5001,1))</f>
        <v/>
      </c>
      <c r="G1297" s="0" t="n">
        <f aca="false">IF(A1297="",0,IF(SUMPRODUCT(--($A$2:$A$5001=A1297))&gt;1,1,0))</f>
        <v>0</v>
      </c>
      <c r="H1297" s="0" t="n">
        <f aca="false">ROW()-1</f>
        <v>1296</v>
      </c>
      <c r="I1297" s="0" t="str">
        <f aca="false">IF(OR(הגדרות!$E$6=0,H1297&gt;הגדרות!$E$5),"",IF(H1297-1&lt;הגדרות!$E$8*(הגדרות!$E$7+1),INT((H1297-1)/(הגדרות!$E$7+1)),הגדרות!$E$8+INT((H1297-1-הגדרות!$E$8*(הגדרות!$E$7+1))/הגדרות!$E$7)))</f>
        <v/>
      </c>
      <c r="J1297" s="0" t="str">
        <f aca="false">IF(I1297="","",IF(H1297-1&lt;הגדרות!$E$8*(הגדרות!$E$7+1),MOD(H1297-1,הגדרות!$E$7+1),MOD(H1297-1-הגדרות!$E$8*(הגדרות!$E$7+1),הגדרות!$E$7)))</f>
        <v/>
      </c>
      <c r="K1297" s="0" t="str">
        <f aca="false">IF(I1297="","",J1297*הגדרות!$E$6+I1297+1)</f>
        <v/>
      </c>
      <c r="L1297" s="0" t="str">
        <f aca="false">IF(K1297="","",MATCH(K1297,$F$2:$F$5001,0))</f>
        <v/>
      </c>
      <c r="M1297" s="0" t="str">
        <f aca="false">IF(I1297="","",INDEX(הגדרות!$A$2:$A$21,MOD(I1297+הגדרות!$E$9,הגדרות!$E$6)+1))</f>
        <v/>
      </c>
    </row>
    <row r="1298" customFormat="false" ht="15" hidden="false" customHeight="false" outlineLevel="0" collapsed="false">
      <c r="A1298" s="0" t="str">
        <f aca="false">IF('הדבקת לידים'!A1298="","",IF(ISNUMBER('הדבקת לידים'!A1298),IF(הגדרות!$E$2&gt;0,TEXT('הדבקת לידים'!A1298,REPT("0",הגדרות!$E$2)),TEXT('הדבקת לידים'!A1298,"0")),TRIM('הדבקת לידים'!A1298)))</f>
        <v/>
      </c>
      <c r="B1298" s="0" t="str">
        <f aca="false">IF('הדבקת לידים'!B1298="","",IF(ISNUMBER('הדבקת לידים'!B1298),IF(הגדרות!$E$3&gt;0,TEXT('הדבקת לידים'!B1298,REPT("0",הגדרות!$E$3)),TEXT('הדבקת לידים'!B1298,"0")),TRIM('הדבקת לידים'!B1298)))</f>
        <v/>
      </c>
      <c r="C1298" s="0" t="n">
        <f aca="false">IF(OR(A1298&lt;&gt;"",B1298&lt;&gt;""),1,0)</f>
        <v>0</v>
      </c>
      <c r="D1298" s="0" t="str">
        <f aca="false">IF(C1298=1,MOD(ABS(SIN(ROW()*12.9898+'הדבקת לידים'!$F$2*78.233+IFERROR(--RIGHT(A1298,6),LEN(A1298))*0.0137+IFERROR(--RIGHT(B1298,6),LEN(B1298))*0.0071))*43758.5453,1),"")</f>
        <v/>
      </c>
      <c r="E1298" s="0" t="str">
        <f aca="false">IF(C1298=1,INT(MOD(ABS(SIN(D1298*7919.123+ROW()*0.618+'הדבקת לידים'!$F$2*1.3))*43758.5453,1)*1000000)*10000+ROW(),"")</f>
        <v/>
      </c>
      <c r="F1298" s="0" t="str">
        <f aca="false">IF(E1298="","",RANK(E1298,$E$2:$E$5001,1))</f>
        <v/>
      </c>
      <c r="G1298" s="0" t="n">
        <f aca="false">IF(A1298="",0,IF(SUMPRODUCT(--($A$2:$A$5001=A1298))&gt;1,1,0))</f>
        <v>0</v>
      </c>
      <c r="H1298" s="0" t="n">
        <f aca="false">ROW()-1</f>
        <v>1297</v>
      </c>
      <c r="I1298" s="0" t="str">
        <f aca="false">IF(OR(הגדרות!$E$6=0,H1298&gt;הגדרות!$E$5),"",IF(H1298-1&lt;הגדרות!$E$8*(הגדרות!$E$7+1),INT((H1298-1)/(הגדרות!$E$7+1)),הגדרות!$E$8+INT((H1298-1-הגדרות!$E$8*(הגדרות!$E$7+1))/הגדרות!$E$7)))</f>
        <v/>
      </c>
      <c r="J1298" s="0" t="str">
        <f aca="false">IF(I1298="","",IF(H1298-1&lt;הגדרות!$E$8*(הגדרות!$E$7+1),MOD(H1298-1,הגדרות!$E$7+1),MOD(H1298-1-הגדרות!$E$8*(הגדרות!$E$7+1),הגדרות!$E$7)))</f>
        <v/>
      </c>
      <c r="K1298" s="0" t="str">
        <f aca="false">IF(I1298="","",J1298*הגדרות!$E$6+I1298+1)</f>
        <v/>
      </c>
      <c r="L1298" s="0" t="str">
        <f aca="false">IF(K1298="","",MATCH(K1298,$F$2:$F$5001,0))</f>
        <v/>
      </c>
      <c r="M1298" s="0" t="str">
        <f aca="false">IF(I1298="","",INDEX(הגדרות!$A$2:$A$21,MOD(I1298+הגדרות!$E$9,הגדרות!$E$6)+1))</f>
        <v/>
      </c>
    </row>
    <row r="1299" customFormat="false" ht="15" hidden="false" customHeight="false" outlineLevel="0" collapsed="false">
      <c r="A1299" s="0" t="str">
        <f aca="false">IF('הדבקת לידים'!A1299="","",IF(ISNUMBER('הדבקת לידים'!A1299),IF(הגדרות!$E$2&gt;0,TEXT('הדבקת לידים'!A1299,REPT("0",הגדרות!$E$2)),TEXT('הדבקת לידים'!A1299,"0")),TRIM('הדבקת לידים'!A1299)))</f>
        <v/>
      </c>
      <c r="B1299" s="0" t="str">
        <f aca="false">IF('הדבקת לידים'!B1299="","",IF(ISNUMBER('הדבקת לידים'!B1299),IF(הגדרות!$E$3&gt;0,TEXT('הדבקת לידים'!B1299,REPT("0",הגדרות!$E$3)),TEXT('הדבקת לידים'!B1299,"0")),TRIM('הדבקת לידים'!B1299)))</f>
        <v/>
      </c>
      <c r="C1299" s="0" t="n">
        <f aca="false">IF(OR(A1299&lt;&gt;"",B1299&lt;&gt;""),1,0)</f>
        <v>0</v>
      </c>
      <c r="D1299" s="0" t="str">
        <f aca="false">IF(C1299=1,MOD(ABS(SIN(ROW()*12.9898+'הדבקת לידים'!$F$2*78.233+IFERROR(--RIGHT(A1299,6),LEN(A1299))*0.0137+IFERROR(--RIGHT(B1299,6),LEN(B1299))*0.0071))*43758.5453,1),"")</f>
        <v/>
      </c>
      <c r="E1299" s="0" t="str">
        <f aca="false">IF(C1299=1,INT(MOD(ABS(SIN(D1299*7919.123+ROW()*0.618+'הדבקת לידים'!$F$2*1.3))*43758.5453,1)*1000000)*10000+ROW(),"")</f>
        <v/>
      </c>
      <c r="F1299" s="0" t="str">
        <f aca="false">IF(E1299="","",RANK(E1299,$E$2:$E$5001,1))</f>
        <v/>
      </c>
      <c r="G1299" s="0" t="n">
        <f aca="false">IF(A1299="",0,IF(SUMPRODUCT(--($A$2:$A$5001=A1299))&gt;1,1,0))</f>
        <v>0</v>
      </c>
      <c r="H1299" s="0" t="n">
        <f aca="false">ROW()-1</f>
        <v>1298</v>
      </c>
      <c r="I1299" s="0" t="str">
        <f aca="false">IF(OR(הגדרות!$E$6=0,H1299&gt;הגדרות!$E$5),"",IF(H1299-1&lt;הגדרות!$E$8*(הגדרות!$E$7+1),INT((H1299-1)/(הגדרות!$E$7+1)),הגדרות!$E$8+INT((H1299-1-הגדרות!$E$8*(הגדרות!$E$7+1))/הגדרות!$E$7)))</f>
        <v/>
      </c>
      <c r="J1299" s="0" t="str">
        <f aca="false">IF(I1299="","",IF(H1299-1&lt;הגדרות!$E$8*(הגדרות!$E$7+1),MOD(H1299-1,הגדרות!$E$7+1),MOD(H1299-1-הגדרות!$E$8*(הגדרות!$E$7+1),הגדרות!$E$7)))</f>
        <v/>
      </c>
      <c r="K1299" s="0" t="str">
        <f aca="false">IF(I1299="","",J1299*הגדרות!$E$6+I1299+1)</f>
        <v/>
      </c>
      <c r="L1299" s="0" t="str">
        <f aca="false">IF(K1299="","",MATCH(K1299,$F$2:$F$5001,0))</f>
        <v/>
      </c>
      <c r="M1299" s="0" t="str">
        <f aca="false">IF(I1299="","",INDEX(הגדרות!$A$2:$A$21,MOD(I1299+הגדרות!$E$9,הגדרות!$E$6)+1))</f>
        <v/>
      </c>
    </row>
    <row r="1300" customFormat="false" ht="15" hidden="false" customHeight="false" outlineLevel="0" collapsed="false">
      <c r="A1300" s="0" t="str">
        <f aca="false">IF('הדבקת לידים'!A1300="","",IF(ISNUMBER('הדבקת לידים'!A1300),IF(הגדרות!$E$2&gt;0,TEXT('הדבקת לידים'!A1300,REPT("0",הגדרות!$E$2)),TEXT('הדבקת לידים'!A1300,"0")),TRIM('הדבקת לידים'!A1300)))</f>
        <v/>
      </c>
      <c r="B1300" s="0" t="str">
        <f aca="false">IF('הדבקת לידים'!B1300="","",IF(ISNUMBER('הדבקת לידים'!B1300),IF(הגדרות!$E$3&gt;0,TEXT('הדבקת לידים'!B1300,REPT("0",הגדרות!$E$3)),TEXT('הדבקת לידים'!B1300,"0")),TRIM('הדבקת לידים'!B1300)))</f>
        <v/>
      </c>
      <c r="C1300" s="0" t="n">
        <f aca="false">IF(OR(A1300&lt;&gt;"",B1300&lt;&gt;""),1,0)</f>
        <v>0</v>
      </c>
      <c r="D1300" s="0" t="str">
        <f aca="false">IF(C1300=1,MOD(ABS(SIN(ROW()*12.9898+'הדבקת לידים'!$F$2*78.233+IFERROR(--RIGHT(A1300,6),LEN(A1300))*0.0137+IFERROR(--RIGHT(B1300,6),LEN(B1300))*0.0071))*43758.5453,1),"")</f>
        <v/>
      </c>
      <c r="E1300" s="0" t="str">
        <f aca="false">IF(C1300=1,INT(MOD(ABS(SIN(D1300*7919.123+ROW()*0.618+'הדבקת לידים'!$F$2*1.3))*43758.5453,1)*1000000)*10000+ROW(),"")</f>
        <v/>
      </c>
      <c r="F1300" s="0" t="str">
        <f aca="false">IF(E1300="","",RANK(E1300,$E$2:$E$5001,1))</f>
        <v/>
      </c>
      <c r="G1300" s="0" t="n">
        <f aca="false">IF(A1300="",0,IF(SUMPRODUCT(--($A$2:$A$5001=A1300))&gt;1,1,0))</f>
        <v>0</v>
      </c>
      <c r="H1300" s="0" t="n">
        <f aca="false">ROW()-1</f>
        <v>1299</v>
      </c>
      <c r="I1300" s="0" t="str">
        <f aca="false">IF(OR(הגדרות!$E$6=0,H1300&gt;הגדרות!$E$5),"",IF(H1300-1&lt;הגדרות!$E$8*(הגדרות!$E$7+1),INT((H1300-1)/(הגדרות!$E$7+1)),הגדרות!$E$8+INT((H1300-1-הגדרות!$E$8*(הגדרות!$E$7+1))/הגדרות!$E$7)))</f>
        <v/>
      </c>
      <c r="J1300" s="0" t="str">
        <f aca="false">IF(I1300="","",IF(H1300-1&lt;הגדרות!$E$8*(הגדרות!$E$7+1),MOD(H1300-1,הגדרות!$E$7+1),MOD(H1300-1-הגדרות!$E$8*(הגדרות!$E$7+1),הגדרות!$E$7)))</f>
        <v/>
      </c>
      <c r="K1300" s="0" t="str">
        <f aca="false">IF(I1300="","",J1300*הגדרות!$E$6+I1300+1)</f>
        <v/>
      </c>
      <c r="L1300" s="0" t="str">
        <f aca="false">IF(K1300="","",MATCH(K1300,$F$2:$F$5001,0))</f>
        <v/>
      </c>
      <c r="M1300" s="0" t="str">
        <f aca="false">IF(I1300="","",INDEX(הגדרות!$A$2:$A$21,MOD(I1300+הגדרות!$E$9,הגדרות!$E$6)+1))</f>
        <v/>
      </c>
    </row>
    <row r="1301" customFormat="false" ht="15" hidden="false" customHeight="false" outlineLevel="0" collapsed="false">
      <c r="A1301" s="0" t="str">
        <f aca="false">IF('הדבקת לידים'!A1301="","",IF(ISNUMBER('הדבקת לידים'!A1301),IF(הגדרות!$E$2&gt;0,TEXT('הדבקת לידים'!A1301,REPT("0",הגדרות!$E$2)),TEXT('הדבקת לידים'!A1301,"0")),TRIM('הדבקת לידים'!A1301)))</f>
        <v/>
      </c>
      <c r="B1301" s="0" t="str">
        <f aca="false">IF('הדבקת לידים'!B1301="","",IF(ISNUMBER('הדבקת לידים'!B1301),IF(הגדרות!$E$3&gt;0,TEXT('הדבקת לידים'!B1301,REPT("0",הגדרות!$E$3)),TEXT('הדבקת לידים'!B1301,"0")),TRIM('הדבקת לידים'!B1301)))</f>
        <v/>
      </c>
      <c r="C1301" s="0" t="n">
        <f aca="false">IF(OR(A1301&lt;&gt;"",B1301&lt;&gt;""),1,0)</f>
        <v>0</v>
      </c>
      <c r="D1301" s="0" t="str">
        <f aca="false">IF(C1301=1,MOD(ABS(SIN(ROW()*12.9898+'הדבקת לידים'!$F$2*78.233+IFERROR(--RIGHT(A1301,6),LEN(A1301))*0.0137+IFERROR(--RIGHT(B1301,6),LEN(B1301))*0.0071))*43758.5453,1),"")</f>
        <v/>
      </c>
      <c r="E1301" s="0" t="str">
        <f aca="false">IF(C1301=1,INT(MOD(ABS(SIN(D1301*7919.123+ROW()*0.618+'הדבקת לידים'!$F$2*1.3))*43758.5453,1)*1000000)*10000+ROW(),"")</f>
        <v/>
      </c>
      <c r="F1301" s="0" t="str">
        <f aca="false">IF(E1301="","",RANK(E1301,$E$2:$E$5001,1))</f>
        <v/>
      </c>
      <c r="G1301" s="0" t="n">
        <f aca="false">IF(A1301="",0,IF(SUMPRODUCT(--($A$2:$A$5001=A1301))&gt;1,1,0))</f>
        <v>0</v>
      </c>
      <c r="H1301" s="0" t="n">
        <f aca="false">ROW()-1</f>
        <v>1300</v>
      </c>
      <c r="I1301" s="0" t="str">
        <f aca="false">IF(OR(הגדרות!$E$6=0,H1301&gt;הגדרות!$E$5),"",IF(H1301-1&lt;הגדרות!$E$8*(הגדרות!$E$7+1),INT((H1301-1)/(הגדרות!$E$7+1)),הגדרות!$E$8+INT((H1301-1-הגדרות!$E$8*(הגדרות!$E$7+1))/הגדרות!$E$7)))</f>
        <v/>
      </c>
      <c r="J1301" s="0" t="str">
        <f aca="false">IF(I1301="","",IF(H1301-1&lt;הגדרות!$E$8*(הגדרות!$E$7+1),MOD(H1301-1,הגדרות!$E$7+1),MOD(H1301-1-הגדרות!$E$8*(הגדרות!$E$7+1),הגדרות!$E$7)))</f>
        <v/>
      </c>
      <c r="K1301" s="0" t="str">
        <f aca="false">IF(I1301="","",J1301*הגדרות!$E$6+I1301+1)</f>
        <v/>
      </c>
      <c r="L1301" s="0" t="str">
        <f aca="false">IF(K1301="","",MATCH(K1301,$F$2:$F$5001,0))</f>
        <v/>
      </c>
      <c r="M1301" s="0" t="str">
        <f aca="false">IF(I1301="","",INDEX(הגדרות!$A$2:$A$21,MOD(I1301+הגדרות!$E$9,הגדרות!$E$6)+1))</f>
        <v/>
      </c>
    </row>
    <row r="1302" customFormat="false" ht="15" hidden="false" customHeight="false" outlineLevel="0" collapsed="false">
      <c r="A1302" s="0" t="str">
        <f aca="false">IF('הדבקת לידים'!A1302="","",IF(ISNUMBER('הדבקת לידים'!A1302),IF(הגדרות!$E$2&gt;0,TEXT('הדבקת לידים'!A1302,REPT("0",הגדרות!$E$2)),TEXT('הדבקת לידים'!A1302,"0")),TRIM('הדבקת לידים'!A1302)))</f>
        <v/>
      </c>
      <c r="B1302" s="0" t="str">
        <f aca="false">IF('הדבקת לידים'!B1302="","",IF(ISNUMBER('הדבקת לידים'!B1302),IF(הגדרות!$E$3&gt;0,TEXT('הדבקת לידים'!B1302,REPT("0",הגדרות!$E$3)),TEXT('הדבקת לידים'!B1302,"0")),TRIM('הדבקת לידים'!B1302)))</f>
        <v/>
      </c>
      <c r="C1302" s="0" t="n">
        <f aca="false">IF(OR(A1302&lt;&gt;"",B1302&lt;&gt;""),1,0)</f>
        <v>0</v>
      </c>
      <c r="D1302" s="0" t="str">
        <f aca="false">IF(C1302=1,MOD(ABS(SIN(ROW()*12.9898+'הדבקת לידים'!$F$2*78.233+IFERROR(--RIGHT(A1302,6),LEN(A1302))*0.0137+IFERROR(--RIGHT(B1302,6),LEN(B1302))*0.0071))*43758.5453,1),"")</f>
        <v/>
      </c>
      <c r="E1302" s="0" t="str">
        <f aca="false">IF(C1302=1,INT(MOD(ABS(SIN(D1302*7919.123+ROW()*0.618+'הדבקת לידים'!$F$2*1.3))*43758.5453,1)*1000000)*10000+ROW(),"")</f>
        <v/>
      </c>
      <c r="F1302" s="0" t="str">
        <f aca="false">IF(E1302="","",RANK(E1302,$E$2:$E$5001,1))</f>
        <v/>
      </c>
      <c r="G1302" s="0" t="n">
        <f aca="false">IF(A1302="",0,IF(SUMPRODUCT(--($A$2:$A$5001=A1302))&gt;1,1,0))</f>
        <v>0</v>
      </c>
      <c r="H1302" s="0" t="n">
        <f aca="false">ROW()-1</f>
        <v>1301</v>
      </c>
      <c r="I1302" s="0" t="str">
        <f aca="false">IF(OR(הגדרות!$E$6=0,H1302&gt;הגדרות!$E$5),"",IF(H1302-1&lt;הגדרות!$E$8*(הגדרות!$E$7+1),INT((H1302-1)/(הגדרות!$E$7+1)),הגדרות!$E$8+INT((H1302-1-הגדרות!$E$8*(הגדרות!$E$7+1))/הגדרות!$E$7)))</f>
        <v/>
      </c>
      <c r="J1302" s="0" t="str">
        <f aca="false">IF(I1302="","",IF(H1302-1&lt;הגדרות!$E$8*(הגדרות!$E$7+1),MOD(H1302-1,הגדרות!$E$7+1),MOD(H1302-1-הגדרות!$E$8*(הגדרות!$E$7+1),הגדרות!$E$7)))</f>
        <v/>
      </c>
      <c r="K1302" s="0" t="str">
        <f aca="false">IF(I1302="","",J1302*הגדרות!$E$6+I1302+1)</f>
        <v/>
      </c>
      <c r="L1302" s="0" t="str">
        <f aca="false">IF(K1302="","",MATCH(K1302,$F$2:$F$5001,0))</f>
        <v/>
      </c>
      <c r="M1302" s="0" t="str">
        <f aca="false">IF(I1302="","",INDEX(הגדרות!$A$2:$A$21,MOD(I1302+הגדרות!$E$9,הגדרות!$E$6)+1))</f>
        <v/>
      </c>
    </row>
    <row r="1303" customFormat="false" ht="15" hidden="false" customHeight="false" outlineLevel="0" collapsed="false">
      <c r="A1303" s="0" t="str">
        <f aca="false">IF('הדבקת לידים'!A1303="","",IF(ISNUMBER('הדבקת לידים'!A1303),IF(הגדרות!$E$2&gt;0,TEXT('הדבקת לידים'!A1303,REPT("0",הגדרות!$E$2)),TEXT('הדבקת לידים'!A1303,"0")),TRIM('הדבקת לידים'!A1303)))</f>
        <v/>
      </c>
      <c r="B1303" s="0" t="str">
        <f aca="false">IF('הדבקת לידים'!B1303="","",IF(ISNUMBER('הדבקת לידים'!B1303),IF(הגדרות!$E$3&gt;0,TEXT('הדבקת לידים'!B1303,REPT("0",הגדרות!$E$3)),TEXT('הדבקת לידים'!B1303,"0")),TRIM('הדבקת לידים'!B1303)))</f>
        <v/>
      </c>
      <c r="C1303" s="0" t="n">
        <f aca="false">IF(OR(A1303&lt;&gt;"",B1303&lt;&gt;""),1,0)</f>
        <v>0</v>
      </c>
      <c r="D1303" s="0" t="str">
        <f aca="false">IF(C1303=1,MOD(ABS(SIN(ROW()*12.9898+'הדבקת לידים'!$F$2*78.233+IFERROR(--RIGHT(A1303,6),LEN(A1303))*0.0137+IFERROR(--RIGHT(B1303,6),LEN(B1303))*0.0071))*43758.5453,1),"")</f>
        <v/>
      </c>
      <c r="E1303" s="0" t="str">
        <f aca="false">IF(C1303=1,INT(MOD(ABS(SIN(D1303*7919.123+ROW()*0.618+'הדבקת לידים'!$F$2*1.3))*43758.5453,1)*1000000)*10000+ROW(),"")</f>
        <v/>
      </c>
      <c r="F1303" s="0" t="str">
        <f aca="false">IF(E1303="","",RANK(E1303,$E$2:$E$5001,1))</f>
        <v/>
      </c>
      <c r="G1303" s="0" t="n">
        <f aca="false">IF(A1303="",0,IF(SUMPRODUCT(--($A$2:$A$5001=A1303))&gt;1,1,0))</f>
        <v>0</v>
      </c>
      <c r="H1303" s="0" t="n">
        <f aca="false">ROW()-1</f>
        <v>1302</v>
      </c>
      <c r="I1303" s="0" t="str">
        <f aca="false">IF(OR(הגדרות!$E$6=0,H1303&gt;הגדרות!$E$5),"",IF(H1303-1&lt;הגדרות!$E$8*(הגדרות!$E$7+1),INT((H1303-1)/(הגדרות!$E$7+1)),הגדרות!$E$8+INT((H1303-1-הגדרות!$E$8*(הגדרות!$E$7+1))/הגדרות!$E$7)))</f>
        <v/>
      </c>
      <c r="J1303" s="0" t="str">
        <f aca="false">IF(I1303="","",IF(H1303-1&lt;הגדרות!$E$8*(הגדרות!$E$7+1),MOD(H1303-1,הגדרות!$E$7+1),MOD(H1303-1-הגדרות!$E$8*(הגדרות!$E$7+1),הגדרות!$E$7)))</f>
        <v/>
      </c>
      <c r="K1303" s="0" t="str">
        <f aca="false">IF(I1303="","",J1303*הגדרות!$E$6+I1303+1)</f>
        <v/>
      </c>
      <c r="L1303" s="0" t="str">
        <f aca="false">IF(K1303="","",MATCH(K1303,$F$2:$F$5001,0))</f>
        <v/>
      </c>
      <c r="M1303" s="0" t="str">
        <f aca="false">IF(I1303="","",INDEX(הגדרות!$A$2:$A$21,MOD(I1303+הגדרות!$E$9,הגדרות!$E$6)+1))</f>
        <v/>
      </c>
    </row>
    <row r="1304" customFormat="false" ht="15" hidden="false" customHeight="false" outlineLevel="0" collapsed="false">
      <c r="A1304" s="0" t="str">
        <f aca="false">IF('הדבקת לידים'!A1304="","",IF(ISNUMBER('הדבקת לידים'!A1304),IF(הגדרות!$E$2&gt;0,TEXT('הדבקת לידים'!A1304,REPT("0",הגדרות!$E$2)),TEXT('הדבקת לידים'!A1304,"0")),TRIM('הדבקת לידים'!A1304)))</f>
        <v/>
      </c>
      <c r="B1304" s="0" t="str">
        <f aca="false">IF('הדבקת לידים'!B1304="","",IF(ISNUMBER('הדבקת לידים'!B1304),IF(הגדרות!$E$3&gt;0,TEXT('הדבקת לידים'!B1304,REPT("0",הגדרות!$E$3)),TEXT('הדבקת לידים'!B1304,"0")),TRIM('הדבקת לידים'!B1304)))</f>
        <v/>
      </c>
      <c r="C1304" s="0" t="n">
        <f aca="false">IF(OR(A1304&lt;&gt;"",B1304&lt;&gt;""),1,0)</f>
        <v>0</v>
      </c>
      <c r="D1304" s="0" t="str">
        <f aca="false">IF(C1304=1,MOD(ABS(SIN(ROW()*12.9898+'הדבקת לידים'!$F$2*78.233+IFERROR(--RIGHT(A1304,6),LEN(A1304))*0.0137+IFERROR(--RIGHT(B1304,6),LEN(B1304))*0.0071))*43758.5453,1),"")</f>
        <v/>
      </c>
      <c r="E1304" s="0" t="str">
        <f aca="false">IF(C1304=1,INT(MOD(ABS(SIN(D1304*7919.123+ROW()*0.618+'הדבקת לידים'!$F$2*1.3))*43758.5453,1)*1000000)*10000+ROW(),"")</f>
        <v/>
      </c>
      <c r="F1304" s="0" t="str">
        <f aca="false">IF(E1304="","",RANK(E1304,$E$2:$E$5001,1))</f>
        <v/>
      </c>
      <c r="G1304" s="0" t="n">
        <f aca="false">IF(A1304="",0,IF(SUMPRODUCT(--($A$2:$A$5001=A1304))&gt;1,1,0))</f>
        <v>0</v>
      </c>
      <c r="H1304" s="0" t="n">
        <f aca="false">ROW()-1</f>
        <v>1303</v>
      </c>
      <c r="I1304" s="0" t="str">
        <f aca="false">IF(OR(הגדרות!$E$6=0,H1304&gt;הגדרות!$E$5),"",IF(H1304-1&lt;הגדרות!$E$8*(הגדרות!$E$7+1),INT((H1304-1)/(הגדרות!$E$7+1)),הגדרות!$E$8+INT((H1304-1-הגדרות!$E$8*(הגדרות!$E$7+1))/הגדרות!$E$7)))</f>
        <v/>
      </c>
      <c r="J1304" s="0" t="str">
        <f aca="false">IF(I1304="","",IF(H1304-1&lt;הגדרות!$E$8*(הגדרות!$E$7+1),MOD(H1304-1,הגדרות!$E$7+1),MOD(H1304-1-הגדרות!$E$8*(הגדרות!$E$7+1),הגדרות!$E$7)))</f>
        <v/>
      </c>
      <c r="K1304" s="0" t="str">
        <f aca="false">IF(I1304="","",J1304*הגדרות!$E$6+I1304+1)</f>
        <v/>
      </c>
      <c r="L1304" s="0" t="str">
        <f aca="false">IF(K1304="","",MATCH(K1304,$F$2:$F$5001,0))</f>
        <v/>
      </c>
      <c r="M1304" s="0" t="str">
        <f aca="false">IF(I1304="","",INDEX(הגדרות!$A$2:$A$21,MOD(I1304+הגדרות!$E$9,הגדרות!$E$6)+1))</f>
        <v/>
      </c>
    </row>
    <row r="1305" customFormat="false" ht="15" hidden="false" customHeight="false" outlineLevel="0" collapsed="false">
      <c r="A1305" s="0" t="str">
        <f aca="false">IF('הדבקת לידים'!A1305="","",IF(ISNUMBER('הדבקת לידים'!A1305),IF(הגדרות!$E$2&gt;0,TEXT('הדבקת לידים'!A1305,REPT("0",הגדרות!$E$2)),TEXT('הדבקת לידים'!A1305,"0")),TRIM('הדבקת לידים'!A1305)))</f>
        <v/>
      </c>
      <c r="B1305" s="0" t="str">
        <f aca="false">IF('הדבקת לידים'!B1305="","",IF(ISNUMBER('הדבקת לידים'!B1305),IF(הגדרות!$E$3&gt;0,TEXT('הדבקת לידים'!B1305,REPT("0",הגדרות!$E$3)),TEXT('הדבקת לידים'!B1305,"0")),TRIM('הדבקת לידים'!B1305)))</f>
        <v/>
      </c>
      <c r="C1305" s="0" t="n">
        <f aca="false">IF(OR(A1305&lt;&gt;"",B1305&lt;&gt;""),1,0)</f>
        <v>0</v>
      </c>
      <c r="D1305" s="0" t="str">
        <f aca="false">IF(C1305=1,MOD(ABS(SIN(ROW()*12.9898+'הדבקת לידים'!$F$2*78.233+IFERROR(--RIGHT(A1305,6),LEN(A1305))*0.0137+IFERROR(--RIGHT(B1305,6),LEN(B1305))*0.0071))*43758.5453,1),"")</f>
        <v/>
      </c>
      <c r="E1305" s="0" t="str">
        <f aca="false">IF(C1305=1,INT(MOD(ABS(SIN(D1305*7919.123+ROW()*0.618+'הדבקת לידים'!$F$2*1.3))*43758.5453,1)*1000000)*10000+ROW(),"")</f>
        <v/>
      </c>
      <c r="F1305" s="0" t="str">
        <f aca="false">IF(E1305="","",RANK(E1305,$E$2:$E$5001,1))</f>
        <v/>
      </c>
      <c r="G1305" s="0" t="n">
        <f aca="false">IF(A1305="",0,IF(SUMPRODUCT(--($A$2:$A$5001=A1305))&gt;1,1,0))</f>
        <v>0</v>
      </c>
      <c r="H1305" s="0" t="n">
        <f aca="false">ROW()-1</f>
        <v>1304</v>
      </c>
      <c r="I1305" s="0" t="str">
        <f aca="false">IF(OR(הגדרות!$E$6=0,H1305&gt;הגדרות!$E$5),"",IF(H1305-1&lt;הגדרות!$E$8*(הגדרות!$E$7+1),INT((H1305-1)/(הגדרות!$E$7+1)),הגדרות!$E$8+INT((H1305-1-הגדרות!$E$8*(הגדרות!$E$7+1))/הגדרות!$E$7)))</f>
        <v/>
      </c>
      <c r="J1305" s="0" t="str">
        <f aca="false">IF(I1305="","",IF(H1305-1&lt;הגדרות!$E$8*(הגדרות!$E$7+1),MOD(H1305-1,הגדרות!$E$7+1),MOD(H1305-1-הגדרות!$E$8*(הגדרות!$E$7+1),הגדרות!$E$7)))</f>
        <v/>
      </c>
      <c r="K1305" s="0" t="str">
        <f aca="false">IF(I1305="","",J1305*הגדרות!$E$6+I1305+1)</f>
        <v/>
      </c>
      <c r="L1305" s="0" t="str">
        <f aca="false">IF(K1305="","",MATCH(K1305,$F$2:$F$5001,0))</f>
        <v/>
      </c>
      <c r="M1305" s="0" t="str">
        <f aca="false">IF(I1305="","",INDEX(הגדרות!$A$2:$A$21,MOD(I1305+הגדרות!$E$9,הגדרות!$E$6)+1))</f>
        <v/>
      </c>
    </row>
    <row r="1306" customFormat="false" ht="15" hidden="false" customHeight="false" outlineLevel="0" collapsed="false">
      <c r="A1306" s="0" t="str">
        <f aca="false">IF('הדבקת לידים'!A1306="","",IF(ISNUMBER('הדבקת לידים'!A1306),IF(הגדרות!$E$2&gt;0,TEXT('הדבקת לידים'!A1306,REPT("0",הגדרות!$E$2)),TEXT('הדבקת לידים'!A1306,"0")),TRIM('הדבקת לידים'!A1306)))</f>
        <v/>
      </c>
      <c r="B1306" s="0" t="str">
        <f aca="false">IF('הדבקת לידים'!B1306="","",IF(ISNUMBER('הדבקת לידים'!B1306),IF(הגדרות!$E$3&gt;0,TEXT('הדבקת לידים'!B1306,REPT("0",הגדרות!$E$3)),TEXT('הדבקת לידים'!B1306,"0")),TRIM('הדבקת לידים'!B1306)))</f>
        <v/>
      </c>
      <c r="C1306" s="0" t="n">
        <f aca="false">IF(OR(A1306&lt;&gt;"",B1306&lt;&gt;""),1,0)</f>
        <v>0</v>
      </c>
      <c r="D1306" s="0" t="str">
        <f aca="false">IF(C1306=1,MOD(ABS(SIN(ROW()*12.9898+'הדבקת לידים'!$F$2*78.233+IFERROR(--RIGHT(A1306,6),LEN(A1306))*0.0137+IFERROR(--RIGHT(B1306,6),LEN(B1306))*0.0071))*43758.5453,1),"")</f>
        <v/>
      </c>
      <c r="E1306" s="0" t="str">
        <f aca="false">IF(C1306=1,INT(MOD(ABS(SIN(D1306*7919.123+ROW()*0.618+'הדבקת לידים'!$F$2*1.3))*43758.5453,1)*1000000)*10000+ROW(),"")</f>
        <v/>
      </c>
      <c r="F1306" s="0" t="str">
        <f aca="false">IF(E1306="","",RANK(E1306,$E$2:$E$5001,1))</f>
        <v/>
      </c>
      <c r="G1306" s="0" t="n">
        <f aca="false">IF(A1306="",0,IF(SUMPRODUCT(--($A$2:$A$5001=A1306))&gt;1,1,0))</f>
        <v>0</v>
      </c>
      <c r="H1306" s="0" t="n">
        <f aca="false">ROW()-1</f>
        <v>1305</v>
      </c>
      <c r="I1306" s="0" t="str">
        <f aca="false">IF(OR(הגדרות!$E$6=0,H1306&gt;הגדרות!$E$5),"",IF(H1306-1&lt;הגדרות!$E$8*(הגדרות!$E$7+1),INT((H1306-1)/(הגדרות!$E$7+1)),הגדרות!$E$8+INT((H1306-1-הגדרות!$E$8*(הגדרות!$E$7+1))/הגדרות!$E$7)))</f>
        <v/>
      </c>
      <c r="J1306" s="0" t="str">
        <f aca="false">IF(I1306="","",IF(H1306-1&lt;הגדרות!$E$8*(הגדרות!$E$7+1),MOD(H1306-1,הגדרות!$E$7+1),MOD(H1306-1-הגדרות!$E$8*(הגדרות!$E$7+1),הגדרות!$E$7)))</f>
        <v/>
      </c>
      <c r="K1306" s="0" t="str">
        <f aca="false">IF(I1306="","",J1306*הגדרות!$E$6+I1306+1)</f>
        <v/>
      </c>
      <c r="L1306" s="0" t="str">
        <f aca="false">IF(K1306="","",MATCH(K1306,$F$2:$F$5001,0))</f>
        <v/>
      </c>
      <c r="M1306" s="0" t="str">
        <f aca="false">IF(I1306="","",INDEX(הגדרות!$A$2:$A$21,MOD(I1306+הגדרות!$E$9,הגדרות!$E$6)+1))</f>
        <v/>
      </c>
    </row>
    <row r="1307" customFormat="false" ht="15" hidden="false" customHeight="false" outlineLevel="0" collapsed="false">
      <c r="A1307" s="0" t="str">
        <f aca="false">IF('הדבקת לידים'!A1307="","",IF(ISNUMBER('הדבקת לידים'!A1307),IF(הגדרות!$E$2&gt;0,TEXT('הדבקת לידים'!A1307,REPT("0",הגדרות!$E$2)),TEXT('הדבקת לידים'!A1307,"0")),TRIM('הדבקת לידים'!A1307)))</f>
        <v/>
      </c>
      <c r="B1307" s="0" t="str">
        <f aca="false">IF('הדבקת לידים'!B1307="","",IF(ISNUMBER('הדבקת לידים'!B1307),IF(הגדרות!$E$3&gt;0,TEXT('הדבקת לידים'!B1307,REPT("0",הגדרות!$E$3)),TEXT('הדבקת לידים'!B1307,"0")),TRIM('הדבקת לידים'!B1307)))</f>
        <v/>
      </c>
      <c r="C1307" s="0" t="n">
        <f aca="false">IF(OR(A1307&lt;&gt;"",B1307&lt;&gt;""),1,0)</f>
        <v>0</v>
      </c>
      <c r="D1307" s="0" t="str">
        <f aca="false">IF(C1307=1,MOD(ABS(SIN(ROW()*12.9898+'הדבקת לידים'!$F$2*78.233+IFERROR(--RIGHT(A1307,6),LEN(A1307))*0.0137+IFERROR(--RIGHT(B1307,6),LEN(B1307))*0.0071))*43758.5453,1),"")</f>
        <v/>
      </c>
      <c r="E1307" s="0" t="str">
        <f aca="false">IF(C1307=1,INT(MOD(ABS(SIN(D1307*7919.123+ROW()*0.618+'הדבקת לידים'!$F$2*1.3))*43758.5453,1)*1000000)*10000+ROW(),"")</f>
        <v/>
      </c>
      <c r="F1307" s="0" t="str">
        <f aca="false">IF(E1307="","",RANK(E1307,$E$2:$E$5001,1))</f>
        <v/>
      </c>
      <c r="G1307" s="0" t="n">
        <f aca="false">IF(A1307="",0,IF(SUMPRODUCT(--($A$2:$A$5001=A1307))&gt;1,1,0))</f>
        <v>0</v>
      </c>
      <c r="H1307" s="0" t="n">
        <f aca="false">ROW()-1</f>
        <v>1306</v>
      </c>
      <c r="I1307" s="0" t="str">
        <f aca="false">IF(OR(הגדרות!$E$6=0,H1307&gt;הגדרות!$E$5),"",IF(H1307-1&lt;הגדרות!$E$8*(הגדרות!$E$7+1),INT((H1307-1)/(הגדרות!$E$7+1)),הגדרות!$E$8+INT((H1307-1-הגדרות!$E$8*(הגדרות!$E$7+1))/הגדרות!$E$7)))</f>
        <v/>
      </c>
      <c r="J1307" s="0" t="str">
        <f aca="false">IF(I1307="","",IF(H1307-1&lt;הגדרות!$E$8*(הגדרות!$E$7+1),MOD(H1307-1,הגדרות!$E$7+1),MOD(H1307-1-הגדרות!$E$8*(הגדרות!$E$7+1),הגדרות!$E$7)))</f>
        <v/>
      </c>
      <c r="K1307" s="0" t="str">
        <f aca="false">IF(I1307="","",J1307*הגדרות!$E$6+I1307+1)</f>
        <v/>
      </c>
      <c r="L1307" s="0" t="str">
        <f aca="false">IF(K1307="","",MATCH(K1307,$F$2:$F$5001,0))</f>
        <v/>
      </c>
      <c r="M1307" s="0" t="str">
        <f aca="false">IF(I1307="","",INDEX(הגדרות!$A$2:$A$21,MOD(I1307+הגדרות!$E$9,הגדרות!$E$6)+1))</f>
        <v/>
      </c>
    </row>
    <row r="1308" customFormat="false" ht="15" hidden="false" customHeight="false" outlineLevel="0" collapsed="false">
      <c r="A1308" s="0" t="str">
        <f aca="false">IF('הדבקת לידים'!A1308="","",IF(ISNUMBER('הדבקת לידים'!A1308),IF(הגדרות!$E$2&gt;0,TEXT('הדבקת לידים'!A1308,REPT("0",הגדרות!$E$2)),TEXT('הדבקת לידים'!A1308,"0")),TRIM('הדבקת לידים'!A1308)))</f>
        <v/>
      </c>
      <c r="B1308" s="0" t="str">
        <f aca="false">IF('הדבקת לידים'!B1308="","",IF(ISNUMBER('הדבקת לידים'!B1308),IF(הגדרות!$E$3&gt;0,TEXT('הדבקת לידים'!B1308,REPT("0",הגדרות!$E$3)),TEXT('הדבקת לידים'!B1308,"0")),TRIM('הדבקת לידים'!B1308)))</f>
        <v/>
      </c>
      <c r="C1308" s="0" t="n">
        <f aca="false">IF(OR(A1308&lt;&gt;"",B1308&lt;&gt;""),1,0)</f>
        <v>0</v>
      </c>
      <c r="D1308" s="0" t="str">
        <f aca="false">IF(C1308=1,MOD(ABS(SIN(ROW()*12.9898+'הדבקת לידים'!$F$2*78.233+IFERROR(--RIGHT(A1308,6),LEN(A1308))*0.0137+IFERROR(--RIGHT(B1308,6),LEN(B1308))*0.0071))*43758.5453,1),"")</f>
        <v/>
      </c>
      <c r="E1308" s="0" t="str">
        <f aca="false">IF(C1308=1,INT(MOD(ABS(SIN(D1308*7919.123+ROW()*0.618+'הדבקת לידים'!$F$2*1.3))*43758.5453,1)*1000000)*10000+ROW(),"")</f>
        <v/>
      </c>
      <c r="F1308" s="0" t="str">
        <f aca="false">IF(E1308="","",RANK(E1308,$E$2:$E$5001,1))</f>
        <v/>
      </c>
      <c r="G1308" s="0" t="n">
        <f aca="false">IF(A1308="",0,IF(SUMPRODUCT(--($A$2:$A$5001=A1308))&gt;1,1,0))</f>
        <v>0</v>
      </c>
      <c r="H1308" s="0" t="n">
        <f aca="false">ROW()-1</f>
        <v>1307</v>
      </c>
      <c r="I1308" s="0" t="str">
        <f aca="false">IF(OR(הגדרות!$E$6=0,H1308&gt;הגדרות!$E$5),"",IF(H1308-1&lt;הגדרות!$E$8*(הגדרות!$E$7+1),INT((H1308-1)/(הגדרות!$E$7+1)),הגדרות!$E$8+INT((H1308-1-הגדרות!$E$8*(הגדרות!$E$7+1))/הגדרות!$E$7)))</f>
        <v/>
      </c>
      <c r="J1308" s="0" t="str">
        <f aca="false">IF(I1308="","",IF(H1308-1&lt;הגדרות!$E$8*(הגדרות!$E$7+1),MOD(H1308-1,הגדרות!$E$7+1),MOD(H1308-1-הגדרות!$E$8*(הגדרות!$E$7+1),הגדרות!$E$7)))</f>
        <v/>
      </c>
      <c r="K1308" s="0" t="str">
        <f aca="false">IF(I1308="","",J1308*הגדרות!$E$6+I1308+1)</f>
        <v/>
      </c>
      <c r="L1308" s="0" t="str">
        <f aca="false">IF(K1308="","",MATCH(K1308,$F$2:$F$5001,0))</f>
        <v/>
      </c>
      <c r="M1308" s="0" t="str">
        <f aca="false">IF(I1308="","",INDEX(הגדרות!$A$2:$A$21,MOD(I1308+הגדרות!$E$9,הגדרות!$E$6)+1))</f>
        <v/>
      </c>
    </row>
    <row r="1309" customFormat="false" ht="15" hidden="false" customHeight="false" outlineLevel="0" collapsed="false">
      <c r="A1309" s="0" t="str">
        <f aca="false">IF('הדבקת לידים'!A1309="","",IF(ISNUMBER('הדבקת לידים'!A1309),IF(הגדרות!$E$2&gt;0,TEXT('הדבקת לידים'!A1309,REPT("0",הגדרות!$E$2)),TEXT('הדבקת לידים'!A1309,"0")),TRIM('הדבקת לידים'!A1309)))</f>
        <v/>
      </c>
      <c r="B1309" s="0" t="str">
        <f aca="false">IF('הדבקת לידים'!B1309="","",IF(ISNUMBER('הדבקת לידים'!B1309),IF(הגדרות!$E$3&gt;0,TEXT('הדבקת לידים'!B1309,REPT("0",הגדרות!$E$3)),TEXT('הדבקת לידים'!B1309,"0")),TRIM('הדבקת לידים'!B1309)))</f>
        <v/>
      </c>
      <c r="C1309" s="0" t="n">
        <f aca="false">IF(OR(A1309&lt;&gt;"",B1309&lt;&gt;""),1,0)</f>
        <v>0</v>
      </c>
      <c r="D1309" s="0" t="str">
        <f aca="false">IF(C1309=1,MOD(ABS(SIN(ROW()*12.9898+'הדבקת לידים'!$F$2*78.233+IFERROR(--RIGHT(A1309,6),LEN(A1309))*0.0137+IFERROR(--RIGHT(B1309,6),LEN(B1309))*0.0071))*43758.5453,1),"")</f>
        <v/>
      </c>
      <c r="E1309" s="0" t="str">
        <f aca="false">IF(C1309=1,INT(MOD(ABS(SIN(D1309*7919.123+ROW()*0.618+'הדבקת לידים'!$F$2*1.3))*43758.5453,1)*1000000)*10000+ROW(),"")</f>
        <v/>
      </c>
      <c r="F1309" s="0" t="str">
        <f aca="false">IF(E1309="","",RANK(E1309,$E$2:$E$5001,1))</f>
        <v/>
      </c>
      <c r="G1309" s="0" t="n">
        <f aca="false">IF(A1309="",0,IF(SUMPRODUCT(--($A$2:$A$5001=A1309))&gt;1,1,0))</f>
        <v>0</v>
      </c>
      <c r="H1309" s="0" t="n">
        <f aca="false">ROW()-1</f>
        <v>1308</v>
      </c>
      <c r="I1309" s="0" t="str">
        <f aca="false">IF(OR(הגדרות!$E$6=0,H1309&gt;הגדרות!$E$5),"",IF(H1309-1&lt;הגדרות!$E$8*(הגדרות!$E$7+1),INT((H1309-1)/(הגדרות!$E$7+1)),הגדרות!$E$8+INT((H1309-1-הגדרות!$E$8*(הגדרות!$E$7+1))/הגדרות!$E$7)))</f>
        <v/>
      </c>
      <c r="J1309" s="0" t="str">
        <f aca="false">IF(I1309="","",IF(H1309-1&lt;הגדרות!$E$8*(הגדרות!$E$7+1),MOD(H1309-1,הגדרות!$E$7+1),MOD(H1309-1-הגדרות!$E$8*(הגדרות!$E$7+1),הגדרות!$E$7)))</f>
        <v/>
      </c>
      <c r="K1309" s="0" t="str">
        <f aca="false">IF(I1309="","",J1309*הגדרות!$E$6+I1309+1)</f>
        <v/>
      </c>
      <c r="L1309" s="0" t="str">
        <f aca="false">IF(K1309="","",MATCH(K1309,$F$2:$F$5001,0))</f>
        <v/>
      </c>
      <c r="M1309" s="0" t="str">
        <f aca="false">IF(I1309="","",INDEX(הגדרות!$A$2:$A$21,MOD(I1309+הגדרות!$E$9,הגדרות!$E$6)+1))</f>
        <v/>
      </c>
    </row>
    <row r="1310" customFormat="false" ht="15" hidden="false" customHeight="false" outlineLevel="0" collapsed="false">
      <c r="A1310" s="0" t="str">
        <f aca="false">IF('הדבקת לידים'!A1310="","",IF(ISNUMBER('הדבקת לידים'!A1310),IF(הגדרות!$E$2&gt;0,TEXT('הדבקת לידים'!A1310,REPT("0",הגדרות!$E$2)),TEXT('הדבקת לידים'!A1310,"0")),TRIM('הדבקת לידים'!A1310)))</f>
        <v/>
      </c>
      <c r="B1310" s="0" t="str">
        <f aca="false">IF('הדבקת לידים'!B1310="","",IF(ISNUMBER('הדבקת לידים'!B1310),IF(הגדרות!$E$3&gt;0,TEXT('הדבקת לידים'!B1310,REPT("0",הגדרות!$E$3)),TEXT('הדבקת לידים'!B1310,"0")),TRIM('הדבקת לידים'!B1310)))</f>
        <v/>
      </c>
      <c r="C1310" s="0" t="n">
        <f aca="false">IF(OR(A1310&lt;&gt;"",B1310&lt;&gt;""),1,0)</f>
        <v>0</v>
      </c>
      <c r="D1310" s="0" t="str">
        <f aca="false">IF(C1310=1,MOD(ABS(SIN(ROW()*12.9898+'הדבקת לידים'!$F$2*78.233+IFERROR(--RIGHT(A1310,6),LEN(A1310))*0.0137+IFERROR(--RIGHT(B1310,6),LEN(B1310))*0.0071))*43758.5453,1),"")</f>
        <v/>
      </c>
      <c r="E1310" s="0" t="str">
        <f aca="false">IF(C1310=1,INT(MOD(ABS(SIN(D1310*7919.123+ROW()*0.618+'הדבקת לידים'!$F$2*1.3))*43758.5453,1)*1000000)*10000+ROW(),"")</f>
        <v/>
      </c>
      <c r="F1310" s="0" t="str">
        <f aca="false">IF(E1310="","",RANK(E1310,$E$2:$E$5001,1))</f>
        <v/>
      </c>
      <c r="G1310" s="0" t="n">
        <f aca="false">IF(A1310="",0,IF(SUMPRODUCT(--($A$2:$A$5001=A1310))&gt;1,1,0))</f>
        <v>0</v>
      </c>
      <c r="H1310" s="0" t="n">
        <f aca="false">ROW()-1</f>
        <v>1309</v>
      </c>
      <c r="I1310" s="0" t="str">
        <f aca="false">IF(OR(הגדרות!$E$6=0,H1310&gt;הגדרות!$E$5),"",IF(H1310-1&lt;הגדרות!$E$8*(הגדרות!$E$7+1),INT((H1310-1)/(הגדרות!$E$7+1)),הגדרות!$E$8+INT((H1310-1-הגדרות!$E$8*(הגדרות!$E$7+1))/הגדרות!$E$7)))</f>
        <v/>
      </c>
      <c r="J1310" s="0" t="str">
        <f aca="false">IF(I1310="","",IF(H1310-1&lt;הגדרות!$E$8*(הגדרות!$E$7+1),MOD(H1310-1,הגדרות!$E$7+1),MOD(H1310-1-הגדרות!$E$8*(הגדרות!$E$7+1),הגדרות!$E$7)))</f>
        <v/>
      </c>
      <c r="K1310" s="0" t="str">
        <f aca="false">IF(I1310="","",J1310*הגדרות!$E$6+I1310+1)</f>
        <v/>
      </c>
      <c r="L1310" s="0" t="str">
        <f aca="false">IF(K1310="","",MATCH(K1310,$F$2:$F$5001,0))</f>
        <v/>
      </c>
      <c r="M1310" s="0" t="str">
        <f aca="false">IF(I1310="","",INDEX(הגדרות!$A$2:$A$21,MOD(I1310+הגדרות!$E$9,הגדרות!$E$6)+1))</f>
        <v/>
      </c>
    </row>
    <row r="1311" customFormat="false" ht="15" hidden="false" customHeight="false" outlineLevel="0" collapsed="false">
      <c r="A1311" s="0" t="str">
        <f aca="false">IF('הדבקת לידים'!A1311="","",IF(ISNUMBER('הדבקת לידים'!A1311),IF(הגדרות!$E$2&gt;0,TEXT('הדבקת לידים'!A1311,REPT("0",הגדרות!$E$2)),TEXT('הדבקת לידים'!A1311,"0")),TRIM('הדבקת לידים'!A1311)))</f>
        <v/>
      </c>
      <c r="B1311" s="0" t="str">
        <f aca="false">IF('הדבקת לידים'!B1311="","",IF(ISNUMBER('הדבקת לידים'!B1311),IF(הגדרות!$E$3&gt;0,TEXT('הדבקת לידים'!B1311,REPT("0",הגדרות!$E$3)),TEXT('הדבקת לידים'!B1311,"0")),TRIM('הדבקת לידים'!B1311)))</f>
        <v/>
      </c>
      <c r="C1311" s="0" t="n">
        <f aca="false">IF(OR(A1311&lt;&gt;"",B1311&lt;&gt;""),1,0)</f>
        <v>0</v>
      </c>
      <c r="D1311" s="0" t="str">
        <f aca="false">IF(C1311=1,MOD(ABS(SIN(ROW()*12.9898+'הדבקת לידים'!$F$2*78.233+IFERROR(--RIGHT(A1311,6),LEN(A1311))*0.0137+IFERROR(--RIGHT(B1311,6),LEN(B1311))*0.0071))*43758.5453,1),"")</f>
        <v/>
      </c>
      <c r="E1311" s="0" t="str">
        <f aca="false">IF(C1311=1,INT(MOD(ABS(SIN(D1311*7919.123+ROW()*0.618+'הדבקת לידים'!$F$2*1.3))*43758.5453,1)*1000000)*10000+ROW(),"")</f>
        <v/>
      </c>
      <c r="F1311" s="0" t="str">
        <f aca="false">IF(E1311="","",RANK(E1311,$E$2:$E$5001,1))</f>
        <v/>
      </c>
      <c r="G1311" s="0" t="n">
        <f aca="false">IF(A1311="",0,IF(SUMPRODUCT(--($A$2:$A$5001=A1311))&gt;1,1,0))</f>
        <v>0</v>
      </c>
      <c r="H1311" s="0" t="n">
        <f aca="false">ROW()-1</f>
        <v>1310</v>
      </c>
      <c r="I1311" s="0" t="str">
        <f aca="false">IF(OR(הגדרות!$E$6=0,H1311&gt;הגדרות!$E$5),"",IF(H1311-1&lt;הגדרות!$E$8*(הגדרות!$E$7+1),INT((H1311-1)/(הגדרות!$E$7+1)),הגדרות!$E$8+INT((H1311-1-הגדרות!$E$8*(הגדרות!$E$7+1))/הגדרות!$E$7)))</f>
        <v/>
      </c>
      <c r="J1311" s="0" t="str">
        <f aca="false">IF(I1311="","",IF(H1311-1&lt;הגדרות!$E$8*(הגדרות!$E$7+1),MOD(H1311-1,הגדרות!$E$7+1),MOD(H1311-1-הגדרות!$E$8*(הגדרות!$E$7+1),הגדרות!$E$7)))</f>
        <v/>
      </c>
      <c r="K1311" s="0" t="str">
        <f aca="false">IF(I1311="","",J1311*הגדרות!$E$6+I1311+1)</f>
        <v/>
      </c>
      <c r="L1311" s="0" t="str">
        <f aca="false">IF(K1311="","",MATCH(K1311,$F$2:$F$5001,0))</f>
        <v/>
      </c>
      <c r="M1311" s="0" t="str">
        <f aca="false">IF(I1311="","",INDEX(הגדרות!$A$2:$A$21,MOD(I1311+הגדרות!$E$9,הגדרות!$E$6)+1))</f>
        <v/>
      </c>
    </row>
    <row r="1312" customFormat="false" ht="15" hidden="false" customHeight="false" outlineLevel="0" collapsed="false">
      <c r="A1312" s="0" t="str">
        <f aca="false">IF('הדבקת לידים'!A1312="","",IF(ISNUMBER('הדבקת לידים'!A1312),IF(הגדרות!$E$2&gt;0,TEXT('הדבקת לידים'!A1312,REPT("0",הגדרות!$E$2)),TEXT('הדבקת לידים'!A1312,"0")),TRIM('הדבקת לידים'!A1312)))</f>
        <v/>
      </c>
      <c r="B1312" s="0" t="str">
        <f aca="false">IF('הדבקת לידים'!B1312="","",IF(ISNUMBER('הדבקת לידים'!B1312),IF(הגדרות!$E$3&gt;0,TEXT('הדבקת לידים'!B1312,REPT("0",הגדרות!$E$3)),TEXT('הדבקת לידים'!B1312,"0")),TRIM('הדבקת לידים'!B1312)))</f>
        <v/>
      </c>
      <c r="C1312" s="0" t="n">
        <f aca="false">IF(OR(A1312&lt;&gt;"",B1312&lt;&gt;""),1,0)</f>
        <v>0</v>
      </c>
      <c r="D1312" s="0" t="str">
        <f aca="false">IF(C1312=1,MOD(ABS(SIN(ROW()*12.9898+'הדבקת לידים'!$F$2*78.233+IFERROR(--RIGHT(A1312,6),LEN(A1312))*0.0137+IFERROR(--RIGHT(B1312,6),LEN(B1312))*0.0071))*43758.5453,1),"")</f>
        <v/>
      </c>
      <c r="E1312" s="0" t="str">
        <f aca="false">IF(C1312=1,INT(MOD(ABS(SIN(D1312*7919.123+ROW()*0.618+'הדבקת לידים'!$F$2*1.3))*43758.5453,1)*1000000)*10000+ROW(),"")</f>
        <v/>
      </c>
      <c r="F1312" s="0" t="str">
        <f aca="false">IF(E1312="","",RANK(E1312,$E$2:$E$5001,1))</f>
        <v/>
      </c>
      <c r="G1312" s="0" t="n">
        <f aca="false">IF(A1312="",0,IF(SUMPRODUCT(--($A$2:$A$5001=A1312))&gt;1,1,0))</f>
        <v>0</v>
      </c>
      <c r="H1312" s="0" t="n">
        <f aca="false">ROW()-1</f>
        <v>1311</v>
      </c>
      <c r="I1312" s="0" t="str">
        <f aca="false">IF(OR(הגדרות!$E$6=0,H1312&gt;הגדרות!$E$5),"",IF(H1312-1&lt;הגדרות!$E$8*(הגדרות!$E$7+1),INT((H1312-1)/(הגדרות!$E$7+1)),הגדרות!$E$8+INT((H1312-1-הגדרות!$E$8*(הגדרות!$E$7+1))/הגדרות!$E$7)))</f>
        <v/>
      </c>
      <c r="J1312" s="0" t="str">
        <f aca="false">IF(I1312="","",IF(H1312-1&lt;הגדרות!$E$8*(הגדרות!$E$7+1),MOD(H1312-1,הגדרות!$E$7+1),MOD(H1312-1-הגדרות!$E$8*(הגדרות!$E$7+1),הגדרות!$E$7)))</f>
        <v/>
      </c>
      <c r="K1312" s="0" t="str">
        <f aca="false">IF(I1312="","",J1312*הגדרות!$E$6+I1312+1)</f>
        <v/>
      </c>
      <c r="L1312" s="0" t="str">
        <f aca="false">IF(K1312="","",MATCH(K1312,$F$2:$F$5001,0))</f>
        <v/>
      </c>
      <c r="M1312" s="0" t="str">
        <f aca="false">IF(I1312="","",INDEX(הגדרות!$A$2:$A$21,MOD(I1312+הגדרות!$E$9,הגדרות!$E$6)+1))</f>
        <v/>
      </c>
    </row>
    <row r="1313" customFormat="false" ht="15" hidden="false" customHeight="false" outlineLevel="0" collapsed="false">
      <c r="A1313" s="0" t="str">
        <f aca="false">IF('הדבקת לידים'!A1313="","",IF(ISNUMBER('הדבקת לידים'!A1313),IF(הגדרות!$E$2&gt;0,TEXT('הדבקת לידים'!A1313,REPT("0",הגדרות!$E$2)),TEXT('הדבקת לידים'!A1313,"0")),TRIM('הדבקת לידים'!A1313)))</f>
        <v/>
      </c>
      <c r="B1313" s="0" t="str">
        <f aca="false">IF('הדבקת לידים'!B1313="","",IF(ISNUMBER('הדבקת לידים'!B1313),IF(הגדרות!$E$3&gt;0,TEXT('הדבקת לידים'!B1313,REPT("0",הגדרות!$E$3)),TEXT('הדבקת לידים'!B1313,"0")),TRIM('הדבקת לידים'!B1313)))</f>
        <v/>
      </c>
      <c r="C1313" s="0" t="n">
        <f aca="false">IF(OR(A1313&lt;&gt;"",B1313&lt;&gt;""),1,0)</f>
        <v>0</v>
      </c>
      <c r="D1313" s="0" t="str">
        <f aca="false">IF(C1313=1,MOD(ABS(SIN(ROW()*12.9898+'הדבקת לידים'!$F$2*78.233+IFERROR(--RIGHT(A1313,6),LEN(A1313))*0.0137+IFERROR(--RIGHT(B1313,6),LEN(B1313))*0.0071))*43758.5453,1),"")</f>
        <v/>
      </c>
      <c r="E1313" s="0" t="str">
        <f aca="false">IF(C1313=1,INT(MOD(ABS(SIN(D1313*7919.123+ROW()*0.618+'הדבקת לידים'!$F$2*1.3))*43758.5453,1)*1000000)*10000+ROW(),"")</f>
        <v/>
      </c>
      <c r="F1313" s="0" t="str">
        <f aca="false">IF(E1313="","",RANK(E1313,$E$2:$E$5001,1))</f>
        <v/>
      </c>
      <c r="G1313" s="0" t="n">
        <f aca="false">IF(A1313="",0,IF(SUMPRODUCT(--($A$2:$A$5001=A1313))&gt;1,1,0))</f>
        <v>0</v>
      </c>
      <c r="H1313" s="0" t="n">
        <f aca="false">ROW()-1</f>
        <v>1312</v>
      </c>
      <c r="I1313" s="0" t="str">
        <f aca="false">IF(OR(הגדרות!$E$6=0,H1313&gt;הגדרות!$E$5),"",IF(H1313-1&lt;הגדרות!$E$8*(הגדרות!$E$7+1),INT((H1313-1)/(הגדרות!$E$7+1)),הגדרות!$E$8+INT((H1313-1-הגדרות!$E$8*(הגדרות!$E$7+1))/הגדרות!$E$7)))</f>
        <v/>
      </c>
      <c r="J1313" s="0" t="str">
        <f aca="false">IF(I1313="","",IF(H1313-1&lt;הגדרות!$E$8*(הגדרות!$E$7+1),MOD(H1313-1,הגדרות!$E$7+1),MOD(H1313-1-הגדרות!$E$8*(הגדרות!$E$7+1),הגדרות!$E$7)))</f>
        <v/>
      </c>
      <c r="K1313" s="0" t="str">
        <f aca="false">IF(I1313="","",J1313*הגדרות!$E$6+I1313+1)</f>
        <v/>
      </c>
      <c r="L1313" s="0" t="str">
        <f aca="false">IF(K1313="","",MATCH(K1313,$F$2:$F$5001,0))</f>
        <v/>
      </c>
      <c r="M1313" s="0" t="str">
        <f aca="false">IF(I1313="","",INDEX(הגדרות!$A$2:$A$21,MOD(I1313+הגדרות!$E$9,הגדרות!$E$6)+1))</f>
        <v/>
      </c>
    </row>
    <row r="1314" customFormat="false" ht="15" hidden="false" customHeight="false" outlineLevel="0" collapsed="false">
      <c r="A1314" s="0" t="str">
        <f aca="false">IF('הדבקת לידים'!A1314="","",IF(ISNUMBER('הדבקת לידים'!A1314),IF(הגדרות!$E$2&gt;0,TEXT('הדבקת לידים'!A1314,REPT("0",הגדרות!$E$2)),TEXT('הדבקת לידים'!A1314,"0")),TRIM('הדבקת לידים'!A1314)))</f>
        <v/>
      </c>
      <c r="B1314" s="0" t="str">
        <f aca="false">IF('הדבקת לידים'!B1314="","",IF(ISNUMBER('הדבקת לידים'!B1314),IF(הגדרות!$E$3&gt;0,TEXT('הדבקת לידים'!B1314,REPT("0",הגדרות!$E$3)),TEXT('הדבקת לידים'!B1314,"0")),TRIM('הדבקת לידים'!B1314)))</f>
        <v/>
      </c>
      <c r="C1314" s="0" t="n">
        <f aca="false">IF(OR(A1314&lt;&gt;"",B1314&lt;&gt;""),1,0)</f>
        <v>0</v>
      </c>
      <c r="D1314" s="0" t="str">
        <f aca="false">IF(C1314=1,MOD(ABS(SIN(ROW()*12.9898+'הדבקת לידים'!$F$2*78.233+IFERROR(--RIGHT(A1314,6),LEN(A1314))*0.0137+IFERROR(--RIGHT(B1314,6),LEN(B1314))*0.0071))*43758.5453,1),"")</f>
        <v/>
      </c>
      <c r="E1314" s="0" t="str">
        <f aca="false">IF(C1314=1,INT(MOD(ABS(SIN(D1314*7919.123+ROW()*0.618+'הדבקת לידים'!$F$2*1.3))*43758.5453,1)*1000000)*10000+ROW(),"")</f>
        <v/>
      </c>
      <c r="F1314" s="0" t="str">
        <f aca="false">IF(E1314="","",RANK(E1314,$E$2:$E$5001,1))</f>
        <v/>
      </c>
      <c r="G1314" s="0" t="n">
        <f aca="false">IF(A1314="",0,IF(SUMPRODUCT(--($A$2:$A$5001=A1314))&gt;1,1,0))</f>
        <v>0</v>
      </c>
      <c r="H1314" s="0" t="n">
        <f aca="false">ROW()-1</f>
        <v>1313</v>
      </c>
      <c r="I1314" s="0" t="str">
        <f aca="false">IF(OR(הגדרות!$E$6=0,H1314&gt;הגדרות!$E$5),"",IF(H1314-1&lt;הגדרות!$E$8*(הגדרות!$E$7+1),INT((H1314-1)/(הגדרות!$E$7+1)),הגדרות!$E$8+INT((H1314-1-הגדרות!$E$8*(הגדרות!$E$7+1))/הגדרות!$E$7)))</f>
        <v/>
      </c>
      <c r="J1314" s="0" t="str">
        <f aca="false">IF(I1314="","",IF(H1314-1&lt;הגדרות!$E$8*(הגדרות!$E$7+1),MOD(H1314-1,הגדרות!$E$7+1),MOD(H1314-1-הגדרות!$E$8*(הגדרות!$E$7+1),הגדרות!$E$7)))</f>
        <v/>
      </c>
      <c r="K1314" s="0" t="str">
        <f aca="false">IF(I1314="","",J1314*הגדרות!$E$6+I1314+1)</f>
        <v/>
      </c>
      <c r="L1314" s="0" t="str">
        <f aca="false">IF(K1314="","",MATCH(K1314,$F$2:$F$5001,0))</f>
        <v/>
      </c>
      <c r="M1314" s="0" t="str">
        <f aca="false">IF(I1314="","",INDEX(הגדרות!$A$2:$A$21,MOD(I1314+הגדרות!$E$9,הגדרות!$E$6)+1))</f>
        <v/>
      </c>
    </row>
    <row r="1315" customFormat="false" ht="15" hidden="false" customHeight="false" outlineLevel="0" collapsed="false">
      <c r="A1315" s="0" t="str">
        <f aca="false">IF('הדבקת לידים'!A1315="","",IF(ISNUMBER('הדבקת לידים'!A1315),IF(הגדרות!$E$2&gt;0,TEXT('הדבקת לידים'!A1315,REPT("0",הגדרות!$E$2)),TEXT('הדבקת לידים'!A1315,"0")),TRIM('הדבקת לידים'!A1315)))</f>
        <v/>
      </c>
      <c r="B1315" s="0" t="str">
        <f aca="false">IF('הדבקת לידים'!B1315="","",IF(ISNUMBER('הדבקת לידים'!B1315),IF(הגדרות!$E$3&gt;0,TEXT('הדבקת לידים'!B1315,REPT("0",הגדרות!$E$3)),TEXT('הדבקת לידים'!B1315,"0")),TRIM('הדבקת לידים'!B1315)))</f>
        <v/>
      </c>
      <c r="C1315" s="0" t="n">
        <f aca="false">IF(OR(A1315&lt;&gt;"",B1315&lt;&gt;""),1,0)</f>
        <v>0</v>
      </c>
      <c r="D1315" s="0" t="str">
        <f aca="false">IF(C1315=1,MOD(ABS(SIN(ROW()*12.9898+'הדבקת לידים'!$F$2*78.233+IFERROR(--RIGHT(A1315,6),LEN(A1315))*0.0137+IFERROR(--RIGHT(B1315,6),LEN(B1315))*0.0071))*43758.5453,1),"")</f>
        <v/>
      </c>
      <c r="E1315" s="0" t="str">
        <f aca="false">IF(C1315=1,INT(MOD(ABS(SIN(D1315*7919.123+ROW()*0.618+'הדבקת לידים'!$F$2*1.3))*43758.5453,1)*1000000)*10000+ROW(),"")</f>
        <v/>
      </c>
      <c r="F1315" s="0" t="str">
        <f aca="false">IF(E1315="","",RANK(E1315,$E$2:$E$5001,1))</f>
        <v/>
      </c>
      <c r="G1315" s="0" t="n">
        <f aca="false">IF(A1315="",0,IF(SUMPRODUCT(--($A$2:$A$5001=A1315))&gt;1,1,0))</f>
        <v>0</v>
      </c>
      <c r="H1315" s="0" t="n">
        <f aca="false">ROW()-1</f>
        <v>1314</v>
      </c>
      <c r="I1315" s="0" t="str">
        <f aca="false">IF(OR(הגדרות!$E$6=0,H1315&gt;הגדרות!$E$5),"",IF(H1315-1&lt;הגדרות!$E$8*(הגדרות!$E$7+1),INT((H1315-1)/(הגדרות!$E$7+1)),הגדרות!$E$8+INT((H1315-1-הגדרות!$E$8*(הגדרות!$E$7+1))/הגדרות!$E$7)))</f>
        <v/>
      </c>
      <c r="J1315" s="0" t="str">
        <f aca="false">IF(I1315="","",IF(H1315-1&lt;הגדרות!$E$8*(הגדרות!$E$7+1),MOD(H1315-1,הגדרות!$E$7+1),MOD(H1315-1-הגדרות!$E$8*(הגדרות!$E$7+1),הגדרות!$E$7)))</f>
        <v/>
      </c>
      <c r="K1315" s="0" t="str">
        <f aca="false">IF(I1315="","",J1315*הגדרות!$E$6+I1315+1)</f>
        <v/>
      </c>
      <c r="L1315" s="0" t="str">
        <f aca="false">IF(K1315="","",MATCH(K1315,$F$2:$F$5001,0))</f>
        <v/>
      </c>
      <c r="M1315" s="0" t="str">
        <f aca="false">IF(I1315="","",INDEX(הגדרות!$A$2:$A$21,MOD(I1315+הגדרות!$E$9,הגדרות!$E$6)+1))</f>
        <v/>
      </c>
    </row>
    <row r="1316" customFormat="false" ht="15" hidden="false" customHeight="false" outlineLevel="0" collapsed="false">
      <c r="A1316" s="0" t="str">
        <f aca="false">IF('הדבקת לידים'!A1316="","",IF(ISNUMBER('הדבקת לידים'!A1316),IF(הגדרות!$E$2&gt;0,TEXT('הדבקת לידים'!A1316,REPT("0",הגדרות!$E$2)),TEXT('הדבקת לידים'!A1316,"0")),TRIM('הדבקת לידים'!A1316)))</f>
        <v/>
      </c>
      <c r="B1316" s="0" t="str">
        <f aca="false">IF('הדבקת לידים'!B1316="","",IF(ISNUMBER('הדבקת לידים'!B1316),IF(הגדרות!$E$3&gt;0,TEXT('הדבקת לידים'!B1316,REPT("0",הגדרות!$E$3)),TEXT('הדבקת לידים'!B1316,"0")),TRIM('הדבקת לידים'!B1316)))</f>
        <v/>
      </c>
      <c r="C1316" s="0" t="n">
        <f aca="false">IF(OR(A1316&lt;&gt;"",B1316&lt;&gt;""),1,0)</f>
        <v>0</v>
      </c>
      <c r="D1316" s="0" t="str">
        <f aca="false">IF(C1316=1,MOD(ABS(SIN(ROW()*12.9898+'הדבקת לידים'!$F$2*78.233+IFERROR(--RIGHT(A1316,6),LEN(A1316))*0.0137+IFERROR(--RIGHT(B1316,6),LEN(B1316))*0.0071))*43758.5453,1),"")</f>
        <v/>
      </c>
      <c r="E1316" s="0" t="str">
        <f aca="false">IF(C1316=1,INT(MOD(ABS(SIN(D1316*7919.123+ROW()*0.618+'הדבקת לידים'!$F$2*1.3))*43758.5453,1)*1000000)*10000+ROW(),"")</f>
        <v/>
      </c>
      <c r="F1316" s="0" t="str">
        <f aca="false">IF(E1316="","",RANK(E1316,$E$2:$E$5001,1))</f>
        <v/>
      </c>
      <c r="G1316" s="0" t="n">
        <f aca="false">IF(A1316="",0,IF(SUMPRODUCT(--($A$2:$A$5001=A1316))&gt;1,1,0))</f>
        <v>0</v>
      </c>
      <c r="H1316" s="0" t="n">
        <f aca="false">ROW()-1</f>
        <v>1315</v>
      </c>
      <c r="I1316" s="0" t="str">
        <f aca="false">IF(OR(הגדרות!$E$6=0,H1316&gt;הגדרות!$E$5),"",IF(H1316-1&lt;הגדרות!$E$8*(הגדרות!$E$7+1),INT((H1316-1)/(הגדרות!$E$7+1)),הגדרות!$E$8+INT((H1316-1-הגדרות!$E$8*(הגדרות!$E$7+1))/הגדרות!$E$7)))</f>
        <v/>
      </c>
      <c r="J1316" s="0" t="str">
        <f aca="false">IF(I1316="","",IF(H1316-1&lt;הגדרות!$E$8*(הגדרות!$E$7+1),MOD(H1316-1,הגדרות!$E$7+1),MOD(H1316-1-הגדרות!$E$8*(הגדרות!$E$7+1),הגדרות!$E$7)))</f>
        <v/>
      </c>
      <c r="K1316" s="0" t="str">
        <f aca="false">IF(I1316="","",J1316*הגדרות!$E$6+I1316+1)</f>
        <v/>
      </c>
      <c r="L1316" s="0" t="str">
        <f aca="false">IF(K1316="","",MATCH(K1316,$F$2:$F$5001,0))</f>
        <v/>
      </c>
      <c r="M1316" s="0" t="str">
        <f aca="false">IF(I1316="","",INDEX(הגדרות!$A$2:$A$21,MOD(I1316+הגדרות!$E$9,הגדרות!$E$6)+1))</f>
        <v/>
      </c>
    </row>
    <row r="1317" customFormat="false" ht="15" hidden="false" customHeight="false" outlineLevel="0" collapsed="false">
      <c r="A1317" s="0" t="str">
        <f aca="false">IF('הדבקת לידים'!A1317="","",IF(ISNUMBER('הדבקת לידים'!A1317),IF(הגדרות!$E$2&gt;0,TEXT('הדבקת לידים'!A1317,REPT("0",הגדרות!$E$2)),TEXT('הדבקת לידים'!A1317,"0")),TRIM('הדבקת לידים'!A1317)))</f>
        <v/>
      </c>
      <c r="B1317" s="0" t="str">
        <f aca="false">IF('הדבקת לידים'!B1317="","",IF(ISNUMBER('הדבקת לידים'!B1317),IF(הגדרות!$E$3&gt;0,TEXT('הדבקת לידים'!B1317,REPT("0",הגדרות!$E$3)),TEXT('הדבקת לידים'!B1317,"0")),TRIM('הדבקת לידים'!B1317)))</f>
        <v/>
      </c>
      <c r="C1317" s="0" t="n">
        <f aca="false">IF(OR(A1317&lt;&gt;"",B1317&lt;&gt;""),1,0)</f>
        <v>0</v>
      </c>
      <c r="D1317" s="0" t="str">
        <f aca="false">IF(C1317=1,MOD(ABS(SIN(ROW()*12.9898+'הדבקת לידים'!$F$2*78.233+IFERROR(--RIGHT(A1317,6),LEN(A1317))*0.0137+IFERROR(--RIGHT(B1317,6),LEN(B1317))*0.0071))*43758.5453,1),"")</f>
        <v/>
      </c>
      <c r="E1317" s="0" t="str">
        <f aca="false">IF(C1317=1,INT(MOD(ABS(SIN(D1317*7919.123+ROW()*0.618+'הדבקת לידים'!$F$2*1.3))*43758.5453,1)*1000000)*10000+ROW(),"")</f>
        <v/>
      </c>
      <c r="F1317" s="0" t="str">
        <f aca="false">IF(E1317="","",RANK(E1317,$E$2:$E$5001,1))</f>
        <v/>
      </c>
      <c r="G1317" s="0" t="n">
        <f aca="false">IF(A1317="",0,IF(SUMPRODUCT(--($A$2:$A$5001=A1317))&gt;1,1,0))</f>
        <v>0</v>
      </c>
      <c r="H1317" s="0" t="n">
        <f aca="false">ROW()-1</f>
        <v>1316</v>
      </c>
      <c r="I1317" s="0" t="str">
        <f aca="false">IF(OR(הגדרות!$E$6=0,H1317&gt;הגדרות!$E$5),"",IF(H1317-1&lt;הגדרות!$E$8*(הגדרות!$E$7+1),INT((H1317-1)/(הגדרות!$E$7+1)),הגדרות!$E$8+INT((H1317-1-הגדרות!$E$8*(הגדרות!$E$7+1))/הגדרות!$E$7)))</f>
        <v/>
      </c>
      <c r="J1317" s="0" t="str">
        <f aca="false">IF(I1317="","",IF(H1317-1&lt;הגדרות!$E$8*(הגדרות!$E$7+1),MOD(H1317-1,הגדרות!$E$7+1),MOD(H1317-1-הגדרות!$E$8*(הגדרות!$E$7+1),הגדרות!$E$7)))</f>
        <v/>
      </c>
      <c r="K1317" s="0" t="str">
        <f aca="false">IF(I1317="","",J1317*הגדרות!$E$6+I1317+1)</f>
        <v/>
      </c>
      <c r="L1317" s="0" t="str">
        <f aca="false">IF(K1317="","",MATCH(K1317,$F$2:$F$5001,0))</f>
        <v/>
      </c>
      <c r="M1317" s="0" t="str">
        <f aca="false">IF(I1317="","",INDEX(הגדרות!$A$2:$A$21,MOD(I1317+הגדרות!$E$9,הגדרות!$E$6)+1))</f>
        <v/>
      </c>
    </row>
    <row r="1318" customFormat="false" ht="15" hidden="false" customHeight="false" outlineLevel="0" collapsed="false">
      <c r="A1318" s="0" t="str">
        <f aca="false">IF('הדבקת לידים'!A1318="","",IF(ISNUMBER('הדבקת לידים'!A1318),IF(הגדרות!$E$2&gt;0,TEXT('הדבקת לידים'!A1318,REPT("0",הגדרות!$E$2)),TEXT('הדבקת לידים'!A1318,"0")),TRIM('הדבקת לידים'!A1318)))</f>
        <v/>
      </c>
      <c r="B1318" s="0" t="str">
        <f aca="false">IF('הדבקת לידים'!B1318="","",IF(ISNUMBER('הדבקת לידים'!B1318),IF(הגדרות!$E$3&gt;0,TEXT('הדבקת לידים'!B1318,REPT("0",הגדרות!$E$3)),TEXT('הדבקת לידים'!B1318,"0")),TRIM('הדבקת לידים'!B1318)))</f>
        <v/>
      </c>
      <c r="C1318" s="0" t="n">
        <f aca="false">IF(OR(A1318&lt;&gt;"",B1318&lt;&gt;""),1,0)</f>
        <v>0</v>
      </c>
      <c r="D1318" s="0" t="str">
        <f aca="false">IF(C1318=1,MOD(ABS(SIN(ROW()*12.9898+'הדבקת לידים'!$F$2*78.233+IFERROR(--RIGHT(A1318,6),LEN(A1318))*0.0137+IFERROR(--RIGHT(B1318,6),LEN(B1318))*0.0071))*43758.5453,1),"")</f>
        <v/>
      </c>
      <c r="E1318" s="0" t="str">
        <f aca="false">IF(C1318=1,INT(MOD(ABS(SIN(D1318*7919.123+ROW()*0.618+'הדבקת לידים'!$F$2*1.3))*43758.5453,1)*1000000)*10000+ROW(),"")</f>
        <v/>
      </c>
      <c r="F1318" s="0" t="str">
        <f aca="false">IF(E1318="","",RANK(E1318,$E$2:$E$5001,1))</f>
        <v/>
      </c>
      <c r="G1318" s="0" t="n">
        <f aca="false">IF(A1318="",0,IF(SUMPRODUCT(--($A$2:$A$5001=A1318))&gt;1,1,0))</f>
        <v>0</v>
      </c>
      <c r="H1318" s="0" t="n">
        <f aca="false">ROW()-1</f>
        <v>1317</v>
      </c>
      <c r="I1318" s="0" t="str">
        <f aca="false">IF(OR(הגדרות!$E$6=0,H1318&gt;הגדרות!$E$5),"",IF(H1318-1&lt;הגדרות!$E$8*(הגדרות!$E$7+1),INT((H1318-1)/(הגדרות!$E$7+1)),הגדרות!$E$8+INT((H1318-1-הגדרות!$E$8*(הגדרות!$E$7+1))/הגדרות!$E$7)))</f>
        <v/>
      </c>
      <c r="J1318" s="0" t="str">
        <f aca="false">IF(I1318="","",IF(H1318-1&lt;הגדרות!$E$8*(הגדרות!$E$7+1),MOD(H1318-1,הגדרות!$E$7+1),MOD(H1318-1-הגדרות!$E$8*(הגדרות!$E$7+1),הגדרות!$E$7)))</f>
        <v/>
      </c>
      <c r="K1318" s="0" t="str">
        <f aca="false">IF(I1318="","",J1318*הגדרות!$E$6+I1318+1)</f>
        <v/>
      </c>
      <c r="L1318" s="0" t="str">
        <f aca="false">IF(K1318="","",MATCH(K1318,$F$2:$F$5001,0))</f>
        <v/>
      </c>
      <c r="M1318" s="0" t="str">
        <f aca="false">IF(I1318="","",INDEX(הגדרות!$A$2:$A$21,MOD(I1318+הגדרות!$E$9,הגדרות!$E$6)+1))</f>
        <v/>
      </c>
    </row>
    <row r="1319" customFormat="false" ht="15" hidden="false" customHeight="false" outlineLevel="0" collapsed="false">
      <c r="A1319" s="0" t="str">
        <f aca="false">IF('הדבקת לידים'!A1319="","",IF(ISNUMBER('הדבקת לידים'!A1319),IF(הגדרות!$E$2&gt;0,TEXT('הדבקת לידים'!A1319,REPT("0",הגדרות!$E$2)),TEXT('הדבקת לידים'!A1319,"0")),TRIM('הדבקת לידים'!A1319)))</f>
        <v/>
      </c>
      <c r="B1319" s="0" t="str">
        <f aca="false">IF('הדבקת לידים'!B1319="","",IF(ISNUMBER('הדבקת לידים'!B1319),IF(הגדרות!$E$3&gt;0,TEXT('הדבקת לידים'!B1319,REPT("0",הגדרות!$E$3)),TEXT('הדבקת לידים'!B1319,"0")),TRIM('הדבקת לידים'!B1319)))</f>
        <v/>
      </c>
      <c r="C1319" s="0" t="n">
        <f aca="false">IF(OR(A1319&lt;&gt;"",B1319&lt;&gt;""),1,0)</f>
        <v>0</v>
      </c>
      <c r="D1319" s="0" t="str">
        <f aca="false">IF(C1319=1,MOD(ABS(SIN(ROW()*12.9898+'הדבקת לידים'!$F$2*78.233+IFERROR(--RIGHT(A1319,6),LEN(A1319))*0.0137+IFERROR(--RIGHT(B1319,6),LEN(B1319))*0.0071))*43758.5453,1),"")</f>
        <v/>
      </c>
      <c r="E1319" s="0" t="str">
        <f aca="false">IF(C1319=1,INT(MOD(ABS(SIN(D1319*7919.123+ROW()*0.618+'הדבקת לידים'!$F$2*1.3))*43758.5453,1)*1000000)*10000+ROW(),"")</f>
        <v/>
      </c>
      <c r="F1319" s="0" t="str">
        <f aca="false">IF(E1319="","",RANK(E1319,$E$2:$E$5001,1))</f>
        <v/>
      </c>
      <c r="G1319" s="0" t="n">
        <f aca="false">IF(A1319="",0,IF(SUMPRODUCT(--($A$2:$A$5001=A1319))&gt;1,1,0))</f>
        <v>0</v>
      </c>
      <c r="H1319" s="0" t="n">
        <f aca="false">ROW()-1</f>
        <v>1318</v>
      </c>
      <c r="I1319" s="0" t="str">
        <f aca="false">IF(OR(הגדרות!$E$6=0,H1319&gt;הגדרות!$E$5),"",IF(H1319-1&lt;הגדרות!$E$8*(הגדרות!$E$7+1),INT((H1319-1)/(הגדרות!$E$7+1)),הגדרות!$E$8+INT((H1319-1-הגדרות!$E$8*(הגדרות!$E$7+1))/הגדרות!$E$7)))</f>
        <v/>
      </c>
      <c r="J1319" s="0" t="str">
        <f aca="false">IF(I1319="","",IF(H1319-1&lt;הגדרות!$E$8*(הגדרות!$E$7+1),MOD(H1319-1,הגדרות!$E$7+1),MOD(H1319-1-הגדרות!$E$8*(הגדרות!$E$7+1),הגדרות!$E$7)))</f>
        <v/>
      </c>
      <c r="K1319" s="0" t="str">
        <f aca="false">IF(I1319="","",J1319*הגדרות!$E$6+I1319+1)</f>
        <v/>
      </c>
      <c r="L1319" s="0" t="str">
        <f aca="false">IF(K1319="","",MATCH(K1319,$F$2:$F$5001,0))</f>
        <v/>
      </c>
      <c r="M1319" s="0" t="str">
        <f aca="false">IF(I1319="","",INDEX(הגדרות!$A$2:$A$21,MOD(I1319+הגדרות!$E$9,הגדרות!$E$6)+1))</f>
        <v/>
      </c>
    </row>
    <row r="1320" customFormat="false" ht="15" hidden="false" customHeight="false" outlineLevel="0" collapsed="false">
      <c r="A1320" s="0" t="str">
        <f aca="false">IF('הדבקת לידים'!A1320="","",IF(ISNUMBER('הדבקת לידים'!A1320),IF(הגדרות!$E$2&gt;0,TEXT('הדבקת לידים'!A1320,REPT("0",הגדרות!$E$2)),TEXT('הדבקת לידים'!A1320,"0")),TRIM('הדבקת לידים'!A1320)))</f>
        <v/>
      </c>
      <c r="B1320" s="0" t="str">
        <f aca="false">IF('הדבקת לידים'!B1320="","",IF(ISNUMBER('הדבקת לידים'!B1320),IF(הגדרות!$E$3&gt;0,TEXT('הדבקת לידים'!B1320,REPT("0",הגדרות!$E$3)),TEXT('הדבקת לידים'!B1320,"0")),TRIM('הדבקת לידים'!B1320)))</f>
        <v/>
      </c>
      <c r="C1320" s="0" t="n">
        <f aca="false">IF(OR(A1320&lt;&gt;"",B1320&lt;&gt;""),1,0)</f>
        <v>0</v>
      </c>
      <c r="D1320" s="0" t="str">
        <f aca="false">IF(C1320=1,MOD(ABS(SIN(ROW()*12.9898+'הדבקת לידים'!$F$2*78.233+IFERROR(--RIGHT(A1320,6),LEN(A1320))*0.0137+IFERROR(--RIGHT(B1320,6),LEN(B1320))*0.0071))*43758.5453,1),"")</f>
        <v/>
      </c>
      <c r="E1320" s="0" t="str">
        <f aca="false">IF(C1320=1,INT(MOD(ABS(SIN(D1320*7919.123+ROW()*0.618+'הדבקת לידים'!$F$2*1.3))*43758.5453,1)*1000000)*10000+ROW(),"")</f>
        <v/>
      </c>
      <c r="F1320" s="0" t="str">
        <f aca="false">IF(E1320="","",RANK(E1320,$E$2:$E$5001,1))</f>
        <v/>
      </c>
      <c r="G1320" s="0" t="n">
        <f aca="false">IF(A1320="",0,IF(SUMPRODUCT(--($A$2:$A$5001=A1320))&gt;1,1,0))</f>
        <v>0</v>
      </c>
      <c r="H1320" s="0" t="n">
        <f aca="false">ROW()-1</f>
        <v>1319</v>
      </c>
      <c r="I1320" s="0" t="str">
        <f aca="false">IF(OR(הגדרות!$E$6=0,H1320&gt;הגדרות!$E$5),"",IF(H1320-1&lt;הגדרות!$E$8*(הגדרות!$E$7+1),INT((H1320-1)/(הגדרות!$E$7+1)),הגדרות!$E$8+INT((H1320-1-הגדרות!$E$8*(הגדרות!$E$7+1))/הגדרות!$E$7)))</f>
        <v/>
      </c>
      <c r="J1320" s="0" t="str">
        <f aca="false">IF(I1320="","",IF(H1320-1&lt;הגדרות!$E$8*(הגדרות!$E$7+1),MOD(H1320-1,הגדרות!$E$7+1),MOD(H1320-1-הגדרות!$E$8*(הגדרות!$E$7+1),הגדרות!$E$7)))</f>
        <v/>
      </c>
      <c r="K1320" s="0" t="str">
        <f aca="false">IF(I1320="","",J1320*הגדרות!$E$6+I1320+1)</f>
        <v/>
      </c>
      <c r="L1320" s="0" t="str">
        <f aca="false">IF(K1320="","",MATCH(K1320,$F$2:$F$5001,0))</f>
        <v/>
      </c>
      <c r="M1320" s="0" t="str">
        <f aca="false">IF(I1320="","",INDEX(הגדרות!$A$2:$A$21,MOD(I1320+הגדרות!$E$9,הגדרות!$E$6)+1))</f>
        <v/>
      </c>
    </row>
    <row r="1321" customFormat="false" ht="15" hidden="false" customHeight="false" outlineLevel="0" collapsed="false">
      <c r="A1321" s="0" t="str">
        <f aca="false">IF('הדבקת לידים'!A1321="","",IF(ISNUMBER('הדבקת לידים'!A1321),IF(הגדרות!$E$2&gt;0,TEXT('הדבקת לידים'!A1321,REPT("0",הגדרות!$E$2)),TEXT('הדבקת לידים'!A1321,"0")),TRIM('הדבקת לידים'!A1321)))</f>
        <v/>
      </c>
      <c r="B1321" s="0" t="str">
        <f aca="false">IF('הדבקת לידים'!B1321="","",IF(ISNUMBER('הדבקת לידים'!B1321),IF(הגדרות!$E$3&gt;0,TEXT('הדבקת לידים'!B1321,REPT("0",הגדרות!$E$3)),TEXT('הדבקת לידים'!B1321,"0")),TRIM('הדבקת לידים'!B1321)))</f>
        <v/>
      </c>
      <c r="C1321" s="0" t="n">
        <f aca="false">IF(OR(A1321&lt;&gt;"",B1321&lt;&gt;""),1,0)</f>
        <v>0</v>
      </c>
      <c r="D1321" s="0" t="str">
        <f aca="false">IF(C1321=1,MOD(ABS(SIN(ROW()*12.9898+'הדבקת לידים'!$F$2*78.233+IFERROR(--RIGHT(A1321,6),LEN(A1321))*0.0137+IFERROR(--RIGHT(B1321,6),LEN(B1321))*0.0071))*43758.5453,1),"")</f>
        <v/>
      </c>
      <c r="E1321" s="0" t="str">
        <f aca="false">IF(C1321=1,INT(MOD(ABS(SIN(D1321*7919.123+ROW()*0.618+'הדבקת לידים'!$F$2*1.3))*43758.5453,1)*1000000)*10000+ROW(),"")</f>
        <v/>
      </c>
      <c r="F1321" s="0" t="str">
        <f aca="false">IF(E1321="","",RANK(E1321,$E$2:$E$5001,1))</f>
        <v/>
      </c>
      <c r="G1321" s="0" t="n">
        <f aca="false">IF(A1321="",0,IF(SUMPRODUCT(--($A$2:$A$5001=A1321))&gt;1,1,0))</f>
        <v>0</v>
      </c>
      <c r="H1321" s="0" t="n">
        <f aca="false">ROW()-1</f>
        <v>1320</v>
      </c>
      <c r="I1321" s="0" t="str">
        <f aca="false">IF(OR(הגדרות!$E$6=0,H1321&gt;הגדרות!$E$5),"",IF(H1321-1&lt;הגדרות!$E$8*(הגדרות!$E$7+1),INT((H1321-1)/(הגדרות!$E$7+1)),הגדרות!$E$8+INT((H1321-1-הגדרות!$E$8*(הגדרות!$E$7+1))/הגדרות!$E$7)))</f>
        <v/>
      </c>
      <c r="J1321" s="0" t="str">
        <f aca="false">IF(I1321="","",IF(H1321-1&lt;הגדרות!$E$8*(הגדרות!$E$7+1),MOD(H1321-1,הגדרות!$E$7+1),MOD(H1321-1-הגדרות!$E$8*(הגדרות!$E$7+1),הגדרות!$E$7)))</f>
        <v/>
      </c>
      <c r="K1321" s="0" t="str">
        <f aca="false">IF(I1321="","",J1321*הגדרות!$E$6+I1321+1)</f>
        <v/>
      </c>
      <c r="L1321" s="0" t="str">
        <f aca="false">IF(K1321="","",MATCH(K1321,$F$2:$F$5001,0))</f>
        <v/>
      </c>
      <c r="M1321" s="0" t="str">
        <f aca="false">IF(I1321="","",INDEX(הגדרות!$A$2:$A$21,MOD(I1321+הגדרות!$E$9,הגדרות!$E$6)+1))</f>
        <v/>
      </c>
    </row>
    <row r="1322" customFormat="false" ht="15" hidden="false" customHeight="false" outlineLevel="0" collapsed="false">
      <c r="A1322" s="0" t="str">
        <f aca="false">IF('הדבקת לידים'!A1322="","",IF(ISNUMBER('הדבקת לידים'!A1322),IF(הגדרות!$E$2&gt;0,TEXT('הדבקת לידים'!A1322,REPT("0",הגדרות!$E$2)),TEXT('הדבקת לידים'!A1322,"0")),TRIM('הדבקת לידים'!A1322)))</f>
        <v/>
      </c>
      <c r="B1322" s="0" t="str">
        <f aca="false">IF('הדבקת לידים'!B1322="","",IF(ISNUMBER('הדבקת לידים'!B1322),IF(הגדרות!$E$3&gt;0,TEXT('הדבקת לידים'!B1322,REPT("0",הגדרות!$E$3)),TEXT('הדבקת לידים'!B1322,"0")),TRIM('הדבקת לידים'!B1322)))</f>
        <v/>
      </c>
      <c r="C1322" s="0" t="n">
        <f aca="false">IF(OR(A1322&lt;&gt;"",B1322&lt;&gt;""),1,0)</f>
        <v>0</v>
      </c>
      <c r="D1322" s="0" t="str">
        <f aca="false">IF(C1322=1,MOD(ABS(SIN(ROW()*12.9898+'הדבקת לידים'!$F$2*78.233+IFERROR(--RIGHT(A1322,6),LEN(A1322))*0.0137+IFERROR(--RIGHT(B1322,6),LEN(B1322))*0.0071))*43758.5453,1),"")</f>
        <v/>
      </c>
      <c r="E1322" s="0" t="str">
        <f aca="false">IF(C1322=1,INT(MOD(ABS(SIN(D1322*7919.123+ROW()*0.618+'הדבקת לידים'!$F$2*1.3))*43758.5453,1)*1000000)*10000+ROW(),"")</f>
        <v/>
      </c>
      <c r="F1322" s="0" t="str">
        <f aca="false">IF(E1322="","",RANK(E1322,$E$2:$E$5001,1))</f>
        <v/>
      </c>
      <c r="G1322" s="0" t="n">
        <f aca="false">IF(A1322="",0,IF(SUMPRODUCT(--($A$2:$A$5001=A1322))&gt;1,1,0))</f>
        <v>0</v>
      </c>
      <c r="H1322" s="0" t="n">
        <f aca="false">ROW()-1</f>
        <v>1321</v>
      </c>
      <c r="I1322" s="0" t="str">
        <f aca="false">IF(OR(הגדרות!$E$6=0,H1322&gt;הגדרות!$E$5),"",IF(H1322-1&lt;הגדרות!$E$8*(הגדרות!$E$7+1),INT((H1322-1)/(הגדרות!$E$7+1)),הגדרות!$E$8+INT((H1322-1-הגדרות!$E$8*(הגדרות!$E$7+1))/הגדרות!$E$7)))</f>
        <v/>
      </c>
      <c r="J1322" s="0" t="str">
        <f aca="false">IF(I1322="","",IF(H1322-1&lt;הגדרות!$E$8*(הגדרות!$E$7+1),MOD(H1322-1,הגדרות!$E$7+1),MOD(H1322-1-הגדרות!$E$8*(הגדרות!$E$7+1),הגדרות!$E$7)))</f>
        <v/>
      </c>
      <c r="K1322" s="0" t="str">
        <f aca="false">IF(I1322="","",J1322*הגדרות!$E$6+I1322+1)</f>
        <v/>
      </c>
      <c r="L1322" s="0" t="str">
        <f aca="false">IF(K1322="","",MATCH(K1322,$F$2:$F$5001,0))</f>
        <v/>
      </c>
      <c r="M1322" s="0" t="str">
        <f aca="false">IF(I1322="","",INDEX(הגדרות!$A$2:$A$21,MOD(I1322+הגדרות!$E$9,הגדרות!$E$6)+1))</f>
        <v/>
      </c>
    </row>
    <row r="1323" customFormat="false" ht="15" hidden="false" customHeight="false" outlineLevel="0" collapsed="false">
      <c r="A1323" s="0" t="str">
        <f aca="false">IF('הדבקת לידים'!A1323="","",IF(ISNUMBER('הדבקת לידים'!A1323),IF(הגדרות!$E$2&gt;0,TEXT('הדבקת לידים'!A1323,REPT("0",הגדרות!$E$2)),TEXT('הדבקת לידים'!A1323,"0")),TRIM('הדבקת לידים'!A1323)))</f>
        <v/>
      </c>
      <c r="B1323" s="0" t="str">
        <f aca="false">IF('הדבקת לידים'!B1323="","",IF(ISNUMBER('הדבקת לידים'!B1323),IF(הגדרות!$E$3&gt;0,TEXT('הדבקת לידים'!B1323,REPT("0",הגדרות!$E$3)),TEXT('הדבקת לידים'!B1323,"0")),TRIM('הדבקת לידים'!B1323)))</f>
        <v/>
      </c>
      <c r="C1323" s="0" t="n">
        <f aca="false">IF(OR(A1323&lt;&gt;"",B1323&lt;&gt;""),1,0)</f>
        <v>0</v>
      </c>
      <c r="D1323" s="0" t="str">
        <f aca="false">IF(C1323=1,MOD(ABS(SIN(ROW()*12.9898+'הדבקת לידים'!$F$2*78.233+IFERROR(--RIGHT(A1323,6),LEN(A1323))*0.0137+IFERROR(--RIGHT(B1323,6),LEN(B1323))*0.0071))*43758.5453,1),"")</f>
        <v/>
      </c>
      <c r="E1323" s="0" t="str">
        <f aca="false">IF(C1323=1,INT(MOD(ABS(SIN(D1323*7919.123+ROW()*0.618+'הדבקת לידים'!$F$2*1.3))*43758.5453,1)*1000000)*10000+ROW(),"")</f>
        <v/>
      </c>
      <c r="F1323" s="0" t="str">
        <f aca="false">IF(E1323="","",RANK(E1323,$E$2:$E$5001,1))</f>
        <v/>
      </c>
      <c r="G1323" s="0" t="n">
        <f aca="false">IF(A1323="",0,IF(SUMPRODUCT(--($A$2:$A$5001=A1323))&gt;1,1,0))</f>
        <v>0</v>
      </c>
      <c r="H1323" s="0" t="n">
        <f aca="false">ROW()-1</f>
        <v>1322</v>
      </c>
      <c r="I1323" s="0" t="str">
        <f aca="false">IF(OR(הגדרות!$E$6=0,H1323&gt;הגדרות!$E$5),"",IF(H1323-1&lt;הגדרות!$E$8*(הגדרות!$E$7+1),INT((H1323-1)/(הגדרות!$E$7+1)),הגדרות!$E$8+INT((H1323-1-הגדרות!$E$8*(הגדרות!$E$7+1))/הגדרות!$E$7)))</f>
        <v/>
      </c>
      <c r="J1323" s="0" t="str">
        <f aca="false">IF(I1323="","",IF(H1323-1&lt;הגדרות!$E$8*(הגדרות!$E$7+1),MOD(H1323-1,הגדרות!$E$7+1),MOD(H1323-1-הגדרות!$E$8*(הגדרות!$E$7+1),הגדרות!$E$7)))</f>
        <v/>
      </c>
      <c r="K1323" s="0" t="str">
        <f aca="false">IF(I1323="","",J1323*הגדרות!$E$6+I1323+1)</f>
        <v/>
      </c>
      <c r="L1323" s="0" t="str">
        <f aca="false">IF(K1323="","",MATCH(K1323,$F$2:$F$5001,0))</f>
        <v/>
      </c>
      <c r="M1323" s="0" t="str">
        <f aca="false">IF(I1323="","",INDEX(הגדרות!$A$2:$A$21,MOD(I1323+הגדרות!$E$9,הגדרות!$E$6)+1))</f>
        <v/>
      </c>
    </row>
    <row r="1324" customFormat="false" ht="15" hidden="false" customHeight="false" outlineLevel="0" collapsed="false">
      <c r="A1324" s="0" t="str">
        <f aca="false">IF('הדבקת לידים'!A1324="","",IF(ISNUMBER('הדבקת לידים'!A1324),IF(הגדרות!$E$2&gt;0,TEXT('הדבקת לידים'!A1324,REPT("0",הגדרות!$E$2)),TEXT('הדבקת לידים'!A1324,"0")),TRIM('הדבקת לידים'!A1324)))</f>
        <v/>
      </c>
      <c r="B1324" s="0" t="str">
        <f aca="false">IF('הדבקת לידים'!B1324="","",IF(ISNUMBER('הדבקת לידים'!B1324),IF(הגדרות!$E$3&gt;0,TEXT('הדבקת לידים'!B1324,REPT("0",הגדרות!$E$3)),TEXT('הדבקת לידים'!B1324,"0")),TRIM('הדבקת לידים'!B1324)))</f>
        <v/>
      </c>
      <c r="C1324" s="0" t="n">
        <f aca="false">IF(OR(A1324&lt;&gt;"",B1324&lt;&gt;""),1,0)</f>
        <v>0</v>
      </c>
      <c r="D1324" s="0" t="str">
        <f aca="false">IF(C1324=1,MOD(ABS(SIN(ROW()*12.9898+'הדבקת לידים'!$F$2*78.233+IFERROR(--RIGHT(A1324,6),LEN(A1324))*0.0137+IFERROR(--RIGHT(B1324,6),LEN(B1324))*0.0071))*43758.5453,1),"")</f>
        <v/>
      </c>
      <c r="E1324" s="0" t="str">
        <f aca="false">IF(C1324=1,INT(MOD(ABS(SIN(D1324*7919.123+ROW()*0.618+'הדבקת לידים'!$F$2*1.3))*43758.5453,1)*1000000)*10000+ROW(),"")</f>
        <v/>
      </c>
      <c r="F1324" s="0" t="str">
        <f aca="false">IF(E1324="","",RANK(E1324,$E$2:$E$5001,1))</f>
        <v/>
      </c>
      <c r="G1324" s="0" t="n">
        <f aca="false">IF(A1324="",0,IF(SUMPRODUCT(--($A$2:$A$5001=A1324))&gt;1,1,0))</f>
        <v>0</v>
      </c>
      <c r="H1324" s="0" t="n">
        <f aca="false">ROW()-1</f>
        <v>1323</v>
      </c>
      <c r="I1324" s="0" t="str">
        <f aca="false">IF(OR(הגדרות!$E$6=0,H1324&gt;הגדרות!$E$5),"",IF(H1324-1&lt;הגדרות!$E$8*(הגדרות!$E$7+1),INT((H1324-1)/(הגדרות!$E$7+1)),הגדרות!$E$8+INT((H1324-1-הגדרות!$E$8*(הגדרות!$E$7+1))/הגדרות!$E$7)))</f>
        <v/>
      </c>
      <c r="J1324" s="0" t="str">
        <f aca="false">IF(I1324="","",IF(H1324-1&lt;הגדרות!$E$8*(הגדרות!$E$7+1),MOD(H1324-1,הגדרות!$E$7+1),MOD(H1324-1-הגדרות!$E$8*(הגדרות!$E$7+1),הגדרות!$E$7)))</f>
        <v/>
      </c>
      <c r="K1324" s="0" t="str">
        <f aca="false">IF(I1324="","",J1324*הגדרות!$E$6+I1324+1)</f>
        <v/>
      </c>
      <c r="L1324" s="0" t="str">
        <f aca="false">IF(K1324="","",MATCH(K1324,$F$2:$F$5001,0))</f>
        <v/>
      </c>
      <c r="M1324" s="0" t="str">
        <f aca="false">IF(I1324="","",INDEX(הגדרות!$A$2:$A$21,MOD(I1324+הגדרות!$E$9,הגדרות!$E$6)+1))</f>
        <v/>
      </c>
    </row>
    <row r="1325" customFormat="false" ht="15" hidden="false" customHeight="false" outlineLevel="0" collapsed="false">
      <c r="A1325" s="0" t="str">
        <f aca="false">IF('הדבקת לידים'!A1325="","",IF(ISNUMBER('הדבקת לידים'!A1325),IF(הגדרות!$E$2&gt;0,TEXT('הדבקת לידים'!A1325,REPT("0",הגדרות!$E$2)),TEXT('הדבקת לידים'!A1325,"0")),TRIM('הדבקת לידים'!A1325)))</f>
        <v/>
      </c>
      <c r="B1325" s="0" t="str">
        <f aca="false">IF('הדבקת לידים'!B1325="","",IF(ISNUMBER('הדבקת לידים'!B1325),IF(הגדרות!$E$3&gt;0,TEXT('הדבקת לידים'!B1325,REPT("0",הגדרות!$E$3)),TEXT('הדבקת לידים'!B1325,"0")),TRIM('הדבקת לידים'!B1325)))</f>
        <v/>
      </c>
      <c r="C1325" s="0" t="n">
        <f aca="false">IF(OR(A1325&lt;&gt;"",B1325&lt;&gt;""),1,0)</f>
        <v>0</v>
      </c>
      <c r="D1325" s="0" t="str">
        <f aca="false">IF(C1325=1,MOD(ABS(SIN(ROW()*12.9898+'הדבקת לידים'!$F$2*78.233+IFERROR(--RIGHT(A1325,6),LEN(A1325))*0.0137+IFERROR(--RIGHT(B1325,6),LEN(B1325))*0.0071))*43758.5453,1),"")</f>
        <v/>
      </c>
      <c r="E1325" s="0" t="str">
        <f aca="false">IF(C1325=1,INT(MOD(ABS(SIN(D1325*7919.123+ROW()*0.618+'הדבקת לידים'!$F$2*1.3))*43758.5453,1)*1000000)*10000+ROW(),"")</f>
        <v/>
      </c>
      <c r="F1325" s="0" t="str">
        <f aca="false">IF(E1325="","",RANK(E1325,$E$2:$E$5001,1))</f>
        <v/>
      </c>
      <c r="G1325" s="0" t="n">
        <f aca="false">IF(A1325="",0,IF(SUMPRODUCT(--($A$2:$A$5001=A1325))&gt;1,1,0))</f>
        <v>0</v>
      </c>
      <c r="H1325" s="0" t="n">
        <f aca="false">ROW()-1</f>
        <v>1324</v>
      </c>
      <c r="I1325" s="0" t="str">
        <f aca="false">IF(OR(הגדרות!$E$6=0,H1325&gt;הגדרות!$E$5),"",IF(H1325-1&lt;הגדרות!$E$8*(הגדרות!$E$7+1),INT((H1325-1)/(הגדרות!$E$7+1)),הגדרות!$E$8+INT((H1325-1-הגדרות!$E$8*(הגדרות!$E$7+1))/הגדרות!$E$7)))</f>
        <v/>
      </c>
      <c r="J1325" s="0" t="str">
        <f aca="false">IF(I1325="","",IF(H1325-1&lt;הגדרות!$E$8*(הגדרות!$E$7+1),MOD(H1325-1,הגדרות!$E$7+1),MOD(H1325-1-הגדרות!$E$8*(הגדרות!$E$7+1),הגדרות!$E$7)))</f>
        <v/>
      </c>
      <c r="K1325" s="0" t="str">
        <f aca="false">IF(I1325="","",J1325*הגדרות!$E$6+I1325+1)</f>
        <v/>
      </c>
      <c r="L1325" s="0" t="str">
        <f aca="false">IF(K1325="","",MATCH(K1325,$F$2:$F$5001,0))</f>
        <v/>
      </c>
      <c r="M1325" s="0" t="str">
        <f aca="false">IF(I1325="","",INDEX(הגדרות!$A$2:$A$21,MOD(I1325+הגדרות!$E$9,הגדרות!$E$6)+1))</f>
        <v/>
      </c>
    </row>
    <row r="1326" customFormat="false" ht="15" hidden="false" customHeight="false" outlineLevel="0" collapsed="false">
      <c r="A1326" s="0" t="str">
        <f aca="false">IF('הדבקת לידים'!A1326="","",IF(ISNUMBER('הדבקת לידים'!A1326),IF(הגדרות!$E$2&gt;0,TEXT('הדבקת לידים'!A1326,REPT("0",הגדרות!$E$2)),TEXT('הדבקת לידים'!A1326,"0")),TRIM('הדבקת לידים'!A1326)))</f>
        <v/>
      </c>
      <c r="B1326" s="0" t="str">
        <f aca="false">IF('הדבקת לידים'!B1326="","",IF(ISNUMBER('הדבקת לידים'!B1326),IF(הגדרות!$E$3&gt;0,TEXT('הדבקת לידים'!B1326,REPT("0",הגדרות!$E$3)),TEXT('הדבקת לידים'!B1326,"0")),TRIM('הדבקת לידים'!B1326)))</f>
        <v/>
      </c>
      <c r="C1326" s="0" t="n">
        <f aca="false">IF(OR(A1326&lt;&gt;"",B1326&lt;&gt;""),1,0)</f>
        <v>0</v>
      </c>
      <c r="D1326" s="0" t="str">
        <f aca="false">IF(C1326=1,MOD(ABS(SIN(ROW()*12.9898+'הדבקת לידים'!$F$2*78.233+IFERROR(--RIGHT(A1326,6),LEN(A1326))*0.0137+IFERROR(--RIGHT(B1326,6),LEN(B1326))*0.0071))*43758.5453,1),"")</f>
        <v/>
      </c>
      <c r="E1326" s="0" t="str">
        <f aca="false">IF(C1326=1,INT(MOD(ABS(SIN(D1326*7919.123+ROW()*0.618+'הדבקת לידים'!$F$2*1.3))*43758.5453,1)*1000000)*10000+ROW(),"")</f>
        <v/>
      </c>
      <c r="F1326" s="0" t="str">
        <f aca="false">IF(E1326="","",RANK(E1326,$E$2:$E$5001,1))</f>
        <v/>
      </c>
      <c r="G1326" s="0" t="n">
        <f aca="false">IF(A1326="",0,IF(SUMPRODUCT(--($A$2:$A$5001=A1326))&gt;1,1,0))</f>
        <v>0</v>
      </c>
      <c r="H1326" s="0" t="n">
        <f aca="false">ROW()-1</f>
        <v>1325</v>
      </c>
      <c r="I1326" s="0" t="str">
        <f aca="false">IF(OR(הגדרות!$E$6=0,H1326&gt;הגדרות!$E$5),"",IF(H1326-1&lt;הגדרות!$E$8*(הגדרות!$E$7+1),INT((H1326-1)/(הגדרות!$E$7+1)),הגדרות!$E$8+INT((H1326-1-הגדרות!$E$8*(הגדרות!$E$7+1))/הגדרות!$E$7)))</f>
        <v/>
      </c>
      <c r="J1326" s="0" t="str">
        <f aca="false">IF(I1326="","",IF(H1326-1&lt;הגדרות!$E$8*(הגדרות!$E$7+1),MOD(H1326-1,הגדרות!$E$7+1),MOD(H1326-1-הגדרות!$E$8*(הגדרות!$E$7+1),הגדרות!$E$7)))</f>
        <v/>
      </c>
      <c r="K1326" s="0" t="str">
        <f aca="false">IF(I1326="","",J1326*הגדרות!$E$6+I1326+1)</f>
        <v/>
      </c>
      <c r="L1326" s="0" t="str">
        <f aca="false">IF(K1326="","",MATCH(K1326,$F$2:$F$5001,0))</f>
        <v/>
      </c>
      <c r="M1326" s="0" t="str">
        <f aca="false">IF(I1326="","",INDEX(הגדרות!$A$2:$A$21,MOD(I1326+הגדרות!$E$9,הגדרות!$E$6)+1))</f>
        <v/>
      </c>
    </row>
    <row r="1327" customFormat="false" ht="15" hidden="false" customHeight="false" outlineLevel="0" collapsed="false">
      <c r="A1327" s="0" t="str">
        <f aca="false">IF('הדבקת לידים'!A1327="","",IF(ISNUMBER('הדבקת לידים'!A1327),IF(הגדרות!$E$2&gt;0,TEXT('הדבקת לידים'!A1327,REPT("0",הגדרות!$E$2)),TEXT('הדבקת לידים'!A1327,"0")),TRIM('הדבקת לידים'!A1327)))</f>
        <v/>
      </c>
      <c r="B1327" s="0" t="str">
        <f aca="false">IF('הדבקת לידים'!B1327="","",IF(ISNUMBER('הדבקת לידים'!B1327),IF(הגדרות!$E$3&gt;0,TEXT('הדבקת לידים'!B1327,REPT("0",הגדרות!$E$3)),TEXT('הדבקת לידים'!B1327,"0")),TRIM('הדבקת לידים'!B1327)))</f>
        <v/>
      </c>
      <c r="C1327" s="0" t="n">
        <f aca="false">IF(OR(A1327&lt;&gt;"",B1327&lt;&gt;""),1,0)</f>
        <v>0</v>
      </c>
      <c r="D1327" s="0" t="str">
        <f aca="false">IF(C1327=1,MOD(ABS(SIN(ROW()*12.9898+'הדבקת לידים'!$F$2*78.233+IFERROR(--RIGHT(A1327,6),LEN(A1327))*0.0137+IFERROR(--RIGHT(B1327,6),LEN(B1327))*0.0071))*43758.5453,1),"")</f>
        <v/>
      </c>
      <c r="E1327" s="0" t="str">
        <f aca="false">IF(C1327=1,INT(MOD(ABS(SIN(D1327*7919.123+ROW()*0.618+'הדבקת לידים'!$F$2*1.3))*43758.5453,1)*1000000)*10000+ROW(),"")</f>
        <v/>
      </c>
      <c r="F1327" s="0" t="str">
        <f aca="false">IF(E1327="","",RANK(E1327,$E$2:$E$5001,1))</f>
        <v/>
      </c>
      <c r="G1327" s="0" t="n">
        <f aca="false">IF(A1327="",0,IF(SUMPRODUCT(--($A$2:$A$5001=A1327))&gt;1,1,0))</f>
        <v>0</v>
      </c>
      <c r="H1327" s="0" t="n">
        <f aca="false">ROW()-1</f>
        <v>1326</v>
      </c>
      <c r="I1327" s="0" t="str">
        <f aca="false">IF(OR(הגדרות!$E$6=0,H1327&gt;הגדרות!$E$5),"",IF(H1327-1&lt;הגדרות!$E$8*(הגדרות!$E$7+1),INT((H1327-1)/(הגדרות!$E$7+1)),הגדרות!$E$8+INT((H1327-1-הגדרות!$E$8*(הגדרות!$E$7+1))/הגדרות!$E$7)))</f>
        <v/>
      </c>
      <c r="J1327" s="0" t="str">
        <f aca="false">IF(I1327="","",IF(H1327-1&lt;הגדרות!$E$8*(הגדרות!$E$7+1),MOD(H1327-1,הגדרות!$E$7+1),MOD(H1327-1-הגדרות!$E$8*(הגדרות!$E$7+1),הגדרות!$E$7)))</f>
        <v/>
      </c>
      <c r="K1327" s="0" t="str">
        <f aca="false">IF(I1327="","",J1327*הגדרות!$E$6+I1327+1)</f>
        <v/>
      </c>
      <c r="L1327" s="0" t="str">
        <f aca="false">IF(K1327="","",MATCH(K1327,$F$2:$F$5001,0))</f>
        <v/>
      </c>
      <c r="M1327" s="0" t="str">
        <f aca="false">IF(I1327="","",INDEX(הגדרות!$A$2:$A$21,MOD(I1327+הגדרות!$E$9,הגדרות!$E$6)+1))</f>
        <v/>
      </c>
    </row>
    <row r="1328" customFormat="false" ht="15" hidden="false" customHeight="false" outlineLevel="0" collapsed="false">
      <c r="A1328" s="0" t="str">
        <f aca="false">IF('הדבקת לידים'!A1328="","",IF(ISNUMBER('הדבקת לידים'!A1328),IF(הגדרות!$E$2&gt;0,TEXT('הדבקת לידים'!A1328,REPT("0",הגדרות!$E$2)),TEXT('הדבקת לידים'!A1328,"0")),TRIM('הדבקת לידים'!A1328)))</f>
        <v/>
      </c>
      <c r="B1328" s="0" t="str">
        <f aca="false">IF('הדבקת לידים'!B1328="","",IF(ISNUMBER('הדבקת לידים'!B1328),IF(הגדרות!$E$3&gt;0,TEXT('הדבקת לידים'!B1328,REPT("0",הגדרות!$E$3)),TEXT('הדבקת לידים'!B1328,"0")),TRIM('הדבקת לידים'!B1328)))</f>
        <v/>
      </c>
      <c r="C1328" s="0" t="n">
        <f aca="false">IF(OR(A1328&lt;&gt;"",B1328&lt;&gt;""),1,0)</f>
        <v>0</v>
      </c>
      <c r="D1328" s="0" t="str">
        <f aca="false">IF(C1328=1,MOD(ABS(SIN(ROW()*12.9898+'הדבקת לידים'!$F$2*78.233+IFERROR(--RIGHT(A1328,6),LEN(A1328))*0.0137+IFERROR(--RIGHT(B1328,6),LEN(B1328))*0.0071))*43758.5453,1),"")</f>
        <v/>
      </c>
      <c r="E1328" s="0" t="str">
        <f aca="false">IF(C1328=1,INT(MOD(ABS(SIN(D1328*7919.123+ROW()*0.618+'הדבקת לידים'!$F$2*1.3))*43758.5453,1)*1000000)*10000+ROW(),"")</f>
        <v/>
      </c>
      <c r="F1328" s="0" t="str">
        <f aca="false">IF(E1328="","",RANK(E1328,$E$2:$E$5001,1))</f>
        <v/>
      </c>
      <c r="G1328" s="0" t="n">
        <f aca="false">IF(A1328="",0,IF(SUMPRODUCT(--($A$2:$A$5001=A1328))&gt;1,1,0))</f>
        <v>0</v>
      </c>
      <c r="H1328" s="0" t="n">
        <f aca="false">ROW()-1</f>
        <v>1327</v>
      </c>
      <c r="I1328" s="0" t="str">
        <f aca="false">IF(OR(הגדרות!$E$6=0,H1328&gt;הגדרות!$E$5),"",IF(H1328-1&lt;הגדרות!$E$8*(הגדרות!$E$7+1),INT((H1328-1)/(הגדרות!$E$7+1)),הגדרות!$E$8+INT((H1328-1-הגדרות!$E$8*(הגדרות!$E$7+1))/הגדרות!$E$7)))</f>
        <v/>
      </c>
      <c r="J1328" s="0" t="str">
        <f aca="false">IF(I1328="","",IF(H1328-1&lt;הגדרות!$E$8*(הגדרות!$E$7+1),MOD(H1328-1,הגדרות!$E$7+1),MOD(H1328-1-הגדרות!$E$8*(הגדרות!$E$7+1),הגדרות!$E$7)))</f>
        <v/>
      </c>
      <c r="K1328" s="0" t="str">
        <f aca="false">IF(I1328="","",J1328*הגדרות!$E$6+I1328+1)</f>
        <v/>
      </c>
      <c r="L1328" s="0" t="str">
        <f aca="false">IF(K1328="","",MATCH(K1328,$F$2:$F$5001,0))</f>
        <v/>
      </c>
      <c r="M1328" s="0" t="str">
        <f aca="false">IF(I1328="","",INDEX(הגדרות!$A$2:$A$21,MOD(I1328+הגדרות!$E$9,הגדרות!$E$6)+1))</f>
        <v/>
      </c>
    </row>
    <row r="1329" customFormat="false" ht="15" hidden="false" customHeight="false" outlineLevel="0" collapsed="false">
      <c r="A1329" s="0" t="str">
        <f aca="false">IF('הדבקת לידים'!A1329="","",IF(ISNUMBER('הדבקת לידים'!A1329),IF(הגדרות!$E$2&gt;0,TEXT('הדבקת לידים'!A1329,REPT("0",הגדרות!$E$2)),TEXT('הדבקת לידים'!A1329,"0")),TRIM('הדבקת לידים'!A1329)))</f>
        <v/>
      </c>
      <c r="B1329" s="0" t="str">
        <f aca="false">IF('הדבקת לידים'!B1329="","",IF(ISNUMBER('הדבקת לידים'!B1329),IF(הגדרות!$E$3&gt;0,TEXT('הדבקת לידים'!B1329,REPT("0",הגדרות!$E$3)),TEXT('הדבקת לידים'!B1329,"0")),TRIM('הדבקת לידים'!B1329)))</f>
        <v/>
      </c>
      <c r="C1329" s="0" t="n">
        <f aca="false">IF(OR(A1329&lt;&gt;"",B1329&lt;&gt;""),1,0)</f>
        <v>0</v>
      </c>
      <c r="D1329" s="0" t="str">
        <f aca="false">IF(C1329=1,MOD(ABS(SIN(ROW()*12.9898+'הדבקת לידים'!$F$2*78.233+IFERROR(--RIGHT(A1329,6),LEN(A1329))*0.0137+IFERROR(--RIGHT(B1329,6),LEN(B1329))*0.0071))*43758.5453,1),"")</f>
        <v/>
      </c>
      <c r="E1329" s="0" t="str">
        <f aca="false">IF(C1329=1,INT(MOD(ABS(SIN(D1329*7919.123+ROW()*0.618+'הדבקת לידים'!$F$2*1.3))*43758.5453,1)*1000000)*10000+ROW(),"")</f>
        <v/>
      </c>
      <c r="F1329" s="0" t="str">
        <f aca="false">IF(E1329="","",RANK(E1329,$E$2:$E$5001,1))</f>
        <v/>
      </c>
      <c r="G1329" s="0" t="n">
        <f aca="false">IF(A1329="",0,IF(SUMPRODUCT(--($A$2:$A$5001=A1329))&gt;1,1,0))</f>
        <v>0</v>
      </c>
      <c r="H1329" s="0" t="n">
        <f aca="false">ROW()-1</f>
        <v>1328</v>
      </c>
      <c r="I1329" s="0" t="str">
        <f aca="false">IF(OR(הגדרות!$E$6=0,H1329&gt;הגדרות!$E$5),"",IF(H1329-1&lt;הגדרות!$E$8*(הגדרות!$E$7+1),INT((H1329-1)/(הגדרות!$E$7+1)),הגדרות!$E$8+INT((H1329-1-הגדרות!$E$8*(הגדרות!$E$7+1))/הגדרות!$E$7)))</f>
        <v/>
      </c>
      <c r="J1329" s="0" t="str">
        <f aca="false">IF(I1329="","",IF(H1329-1&lt;הגדרות!$E$8*(הגדרות!$E$7+1),MOD(H1329-1,הגדרות!$E$7+1),MOD(H1329-1-הגדרות!$E$8*(הגדרות!$E$7+1),הגדרות!$E$7)))</f>
        <v/>
      </c>
      <c r="K1329" s="0" t="str">
        <f aca="false">IF(I1329="","",J1329*הגדרות!$E$6+I1329+1)</f>
        <v/>
      </c>
      <c r="L1329" s="0" t="str">
        <f aca="false">IF(K1329="","",MATCH(K1329,$F$2:$F$5001,0))</f>
        <v/>
      </c>
      <c r="M1329" s="0" t="str">
        <f aca="false">IF(I1329="","",INDEX(הגדרות!$A$2:$A$21,MOD(I1329+הגדרות!$E$9,הגדרות!$E$6)+1))</f>
        <v/>
      </c>
    </row>
    <row r="1330" customFormat="false" ht="15" hidden="false" customHeight="false" outlineLevel="0" collapsed="false">
      <c r="A1330" s="0" t="str">
        <f aca="false">IF('הדבקת לידים'!A1330="","",IF(ISNUMBER('הדבקת לידים'!A1330),IF(הגדרות!$E$2&gt;0,TEXT('הדבקת לידים'!A1330,REPT("0",הגדרות!$E$2)),TEXT('הדבקת לידים'!A1330,"0")),TRIM('הדבקת לידים'!A1330)))</f>
        <v/>
      </c>
      <c r="B1330" s="0" t="str">
        <f aca="false">IF('הדבקת לידים'!B1330="","",IF(ISNUMBER('הדבקת לידים'!B1330),IF(הגדרות!$E$3&gt;0,TEXT('הדבקת לידים'!B1330,REPT("0",הגדרות!$E$3)),TEXT('הדבקת לידים'!B1330,"0")),TRIM('הדבקת לידים'!B1330)))</f>
        <v/>
      </c>
      <c r="C1330" s="0" t="n">
        <f aca="false">IF(OR(A1330&lt;&gt;"",B1330&lt;&gt;""),1,0)</f>
        <v>0</v>
      </c>
      <c r="D1330" s="0" t="str">
        <f aca="false">IF(C1330=1,MOD(ABS(SIN(ROW()*12.9898+'הדבקת לידים'!$F$2*78.233+IFERROR(--RIGHT(A1330,6),LEN(A1330))*0.0137+IFERROR(--RIGHT(B1330,6),LEN(B1330))*0.0071))*43758.5453,1),"")</f>
        <v/>
      </c>
      <c r="E1330" s="0" t="str">
        <f aca="false">IF(C1330=1,INT(MOD(ABS(SIN(D1330*7919.123+ROW()*0.618+'הדבקת לידים'!$F$2*1.3))*43758.5453,1)*1000000)*10000+ROW(),"")</f>
        <v/>
      </c>
      <c r="F1330" s="0" t="str">
        <f aca="false">IF(E1330="","",RANK(E1330,$E$2:$E$5001,1))</f>
        <v/>
      </c>
      <c r="G1330" s="0" t="n">
        <f aca="false">IF(A1330="",0,IF(SUMPRODUCT(--($A$2:$A$5001=A1330))&gt;1,1,0))</f>
        <v>0</v>
      </c>
      <c r="H1330" s="0" t="n">
        <f aca="false">ROW()-1</f>
        <v>1329</v>
      </c>
      <c r="I1330" s="0" t="str">
        <f aca="false">IF(OR(הגדרות!$E$6=0,H1330&gt;הגדרות!$E$5),"",IF(H1330-1&lt;הגדרות!$E$8*(הגדרות!$E$7+1),INT((H1330-1)/(הגדרות!$E$7+1)),הגדרות!$E$8+INT((H1330-1-הגדרות!$E$8*(הגדרות!$E$7+1))/הגדרות!$E$7)))</f>
        <v/>
      </c>
      <c r="J1330" s="0" t="str">
        <f aca="false">IF(I1330="","",IF(H1330-1&lt;הגדרות!$E$8*(הגדרות!$E$7+1),MOD(H1330-1,הגדרות!$E$7+1),MOD(H1330-1-הגדרות!$E$8*(הגדרות!$E$7+1),הגדרות!$E$7)))</f>
        <v/>
      </c>
      <c r="K1330" s="0" t="str">
        <f aca="false">IF(I1330="","",J1330*הגדרות!$E$6+I1330+1)</f>
        <v/>
      </c>
      <c r="L1330" s="0" t="str">
        <f aca="false">IF(K1330="","",MATCH(K1330,$F$2:$F$5001,0))</f>
        <v/>
      </c>
      <c r="M1330" s="0" t="str">
        <f aca="false">IF(I1330="","",INDEX(הגדרות!$A$2:$A$21,MOD(I1330+הגדרות!$E$9,הגדרות!$E$6)+1))</f>
        <v/>
      </c>
    </row>
    <row r="1331" customFormat="false" ht="15" hidden="false" customHeight="false" outlineLevel="0" collapsed="false">
      <c r="A1331" s="0" t="str">
        <f aca="false">IF('הדבקת לידים'!A1331="","",IF(ISNUMBER('הדבקת לידים'!A1331),IF(הגדרות!$E$2&gt;0,TEXT('הדבקת לידים'!A1331,REPT("0",הגדרות!$E$2)),TEXT('הדבקת לידים'!A1331,"0")),TRIM('הדבקת לידים'!A1331)))</f>
        <v/>
      </c>
      <c r="B1331" s="0" t="str">
        <f aca="false">IF('הדבקת לידים'!B1331="","",IF(ISNUMBER('הדבקת לידים'!B1331),IF(הגדרות!$E$3&gt;0,TEXT('הדבקת לידים'!B1331,REPT("0",הגדרות!$E$3)),TEXT('הדבקת לידים'!B1331,"0")),TRIM('הדבקת לידים'!B1331)))</f>
        <v/>
      </c>
      <c r="C1331" s="0" t="n">
        <f aca="false">IF(OR(A1331&lt;&gt;"",B1331&lt;&gt;""),1,0)</f>
        <v>0</v>
      </c>
      <c r="D1331" s="0" t="str">
        <f aca="false">IF(C1331=1,MOD(ABS(SIN(ROW()*12.9898+'הדבקת לידים'!$F$2*78.233+IFERROR(--RIGHT(A1331,6),LEN(A1331))*0.0137+IFERROR(--RIGHT(B1331,6),LEN(B1331))*0.0071))*43758.5453,1),"")</f>
        <v/>
      </c>
      <c r="E1331" s="0" t="str">
        <f aca="false">IF(C1331=1,INT(MOD(ABS(SIN(D1331*7919.123+ROW()*0.618+'הדבקת לידים'!$F$2*1.3))*43758.5453,1)*1000000)*10000+ROW(),"")</f>
        <v/>
      </c>
      <c r="F1331" s="0" t="str">
        <f aca="false">IF(E1331="","",RANK(E1331,$E$2:$E$5001,1))</f>
        <v/>
      </c>
      <c r="G1331" s="0" t="n">
        <f aca="false">IF(A1331="",0,IF(SUMPRODUCT(--($A$2:$A$5001=A1331))&gt;1,1,0))</f>
        <v>0</v>
      </c>
      <c r="H1331" s="0" t="n">
        <f aca="false">ROW()-1</f>
        <v>1330</v>
      </c>
      <c r="I1331" s="0" t="str">
        <f aca="false">IF(OR(הגדרות!$E$6=0,H1331&gt;הגדרות!$E$5),"",IF(H1331-1&lt;הגדרות!$E$8*(הגדרות!$E$7+1),INT((H1331-1)/(הגדרות!$E$7+1)),הגדרות!$E$8+INT((H1331-1-הגדרות!$E$8*(הגדרות!$E$7+1))/הגדרות!$E$7)))</f>
        <v/>
      </c>
      <c r="J1331" s="0" t="str">
        <f aca="false">IF(I1331="","",IF(H1331-1&lt;הגדרות!$E$8*(הגדרות!$E$7+1),MOD(H1331-1,הגדרות!$E$7+1),MOD(H1331-1-הגדרות!$E$8*(הגדרות!$E$7+1),הגדרות!$E$7)))</f>
        <v/>
      </c>
      <c r="K1331" s="0" t="str">
        <f aca="false">IF(I1331="","",J1331*הגדרות!$E$6+I1331+1)</f>
        <v/>
      </c>
      <c r="L1331" s="0" t="str">
        <f aca="false">IF(K1331="","",MATCH(K1331,$F$2:$F$5001,0))</f>
        <v/>
      </c>
      <c r="M1331" s="0" t="str">
        <f aca="false">IF(I1331="","",INDEX(הגדרות!$A$2:$A$21,MOD(I1331+הגדרות!$E$9,הגדרות!$E$6)+1))</f>
        <v/>
      </c>
    </row>
    <row r="1332" customFormat="false" ht="15" hidden="false" customHeight="false" outlineLevel="0" collapsed="false">
      <c r="A1332" s="0" t="str">
        <f aca="false">IF('הדבקת לידים'!A1332="","",IF(ISNUMBER('הדבקת לידים'!A1332),IF(הגדרות!$E$2&gt;0,TEXT('הדבקת לידים'!A1332,REPT("0",הגדרות!$E$2)),TEXT('הדבקת לידים'!A1332,"0")),TRIM('הדבקת לידים'!A1332)))</f>
        <v/>
      </c>
      <c r="B1332" s="0" t="str">
        <f aca="false">IF('הדבקת לידים'!B1332="","",IF(ISNUMBER('הדבקת לידים'!B1332),IF(הגדרות!$E$3&gt;0,TEXT('הדבקת לידים'!B1332,REPT("0",הגדרות!$E$3)),TEXT('הדבקת לידים'!B1332,"0")),TRIM('הדבקת לידים'!B1332)))</f>
        <v/>
      </c>
      <c r="C1332" s="0" t="n">
        <f aca="false">IF(OR(A1332&lt;&gt;"",B1332&lt;&gt;""),1,0)</f>
        <v>0</v>
      </c>
      <c r="D1332" s="0" t="str">
        <f aca="false">IF(C1332=1,MOD(ABS(SIN(ROW()*12.9898+'הדבקת לידים'!$F$2*78.233+IFERROR(--RIGHT(A1332,6),LEN(A1332))*0.0137+IFERROR(--RIGHT(B1332,6),LEN(B1332))*0.0071))*43758.5453,1),"")</f>
        <v/>
      </c>
      <c r="E1332" s="0" t="str">
        <f aca="false">IF(C1332=1,INT(MOD(ABS(SIN(D1332*7919.123+ROW()*0.618+'הדבקת לידים'!$F$2*1.3))*43758.5453,1)*1000000)*10000+ROW(),"")</f>
        <v/>
      </c>
      <c r="F1332" s="0" t="str">
        <f aca="false">IF(E1332="","",RANK(E1332,$E$2:$E$5001,1))</f>
        <v/>
      </c>
      <c r="G1332" s="0" t="n">
        <f aca="false">IF(A1332="",0,IF(SUMPRODUCT(--($A$2:$A$5001=A1332))&gt;1,1,0))</f>
        <v>0</v>
      </c>
      <c r="H1332" s="0" t="n">
        <f aca="false">ROW()-1</f>
        <v>1331</v>
      </c>
      <c r="I1332" s="0" t="str">
        <f aca="false">IF(OR(הגדרות!$E$6=0,H1332&gt;הגדרות!$E$5),"",IF(H1332-1&lt;הגדרות!$E$8*(הגדרות!$E$7+1),INT((H1332-1)/(הגדרות!$E$7+1)),הגדרות!$E$8+INT((H1332-1-הגדרות!$E$8*(הגדרות!$E$7+1))/הגדרות!$E$7)))</f>
        <v/>
      </c>
      <c r="J1332" s="0" t="str">
        <f aca="false">IF(I1332="","",IF(H1332-1&lt;הגדרות!$E$8*(הגדרות!$E$7+1),MOD(H1332-1,הגדרות!$E$7+1),MOD(H1332-1-הגדרות!$E$8*(הגדרות!$E$7+1),הגדרות!$E$7)))</f>
        <v/>
      </c>
      <c r="K1332" s="0" t="str">
        <f aca="false">IF(I1332="","",J1332*הגדרות!$E$6+I1332+1)</f>
        <v/>
      </c>
      <c r="L1332" s="0" t="str">
        <f aca="false">IF(K1332="","",MATCH(K1332,$F$2:$F$5001,0))</f>
        <v/>
      </c>
      <c r="M1332" s="0" t="str">
        <f aca="false">IF(I1332="","",INDEX(הגדרות!$A$2:$A$21,MOD(I1332+הגדרות!$E$9,הגדרות!$E$6)+1))</f>
        <v/>
      </c>
    </row>
    <row r="1333" customFormat="false" ht="15" hidden="false" customHeight="false" outlineLevel="0" collapsed="false">
      <c r="A1333" s="0" t="str">
        <f aca="false">IF('הדבקת לידים'!A1333="","",IF(ISNUMBER('הדבקת לידים'!A1333),IF(הגדרות!$E$2&gt;0,TEXT('הדבקת לידים'!A1333,REPT("0",הגדרות!$E$2)),TEXT('הדבקת לידים'!A1333,"0")),TRIM('הדבקת לידים'!A1333)))</f>
        <v/>
      </c>
      <c r="B1333" s="0" t="str">
        <f aca="false">IF('הדבקת לידים'!B1333="","",IF(ISNUMBER('הדבקת לידים'!B1333),IF(הגדרות!$E$3&gt;0,TEXT('הדבקת לידים'!B1333,REPT("0",הגדרות!$E$3)),TEXT('הדבקת לידים'!B1333,"0")),TRIM('הדבקת לידים'!B1333)))</f>
        <v/>
      </c>
      <c r="C1333" s="0" t="n">
        <f aca="false">IF(OR(A1333&lt;&gt;"",B1333&lt;&gt;""),1,0)</f>
        <v>0</v>
      </c>
      <c r="D1333" s="0" t="str">
        <f aca="false">IF(C1333=1,MOD(ABS(SIN(ROW()*12.9898+'הדבקת לידים'!$F$2*78.233+IFERROR(--RIGHT(A1333,6),LEN(A1333))*0.0137+IFERROR(--RIGHT(B1333,6),LEN(B1333))*0.0071))*43758.5453,1),"")</f>
        <v/>
      </c>
      <c r="E1333" s="0" t="str">
        <f aca="false">IF(C1333=1,INT(MOD(ABS(SIN(D1333*7919.123+ROW()*0.618+'הדבקת לידים'!$F$2*1.3))*43758.5453,1)*1000000)*10000+ROW(),"")</f>
        <v/>
      </c>
      <c r="F1333" s="0" t="str">
        <f aca="false">IF(E1333="","",RANK(E1333,$E$2:$E$5001,1))</f>
        <v/>
      </c>
      <c r="G1333" s="0" t="n">
        <f aca="false">IF(A1333="",0,IF(SUMPRODUCT(--($A$2:$A$5001=A1333))&gt;1,1,0))</f>
        <v>0</v>
      </c>
      <c r="H1333" s="0" t="n">
        <f aca="false">ROW()-1</f>
        <v>1332</v>
      </c>
      <c r="I1333" s="0" t="str">
        <f aca="false">IF(OR(הגדרות!$E$6=0,H1333&gt;הגדרות!$E$5),"",IF(H1333-1&lt;הגדרות!$E$8*(הגדרות!$E$7+1),INT((H1333-1)/(הגדרות!$E$7+1)),הגדרות!$E$8+INT((H1333-1-הגדרות!$E$8*(הגדרות!$E$7+1))/הגדרות!$E$7)))</f>
        <v/>
      </c>
      <c r="J1333" s="0" t="str">
        <f aca="false">IF(I1333="","",IF(H1333-1&lt;הגדרות!$E$8*(הגדרות!$E$7+1),MOD(H1333-1,הגדרות!$E$7+1),MOD(H1333-1-הגדרות!$E$8*(הגדרות!$E$7+1),הגדרות!$E$7)))</f>
        <v/>
      </c>
      <c r="K1333" s="0" t="str">
        <f aca="false">IF(I1333="","",J1333*הגדרות!$E$6+I1333+1)</f>
        <v/>
      </c>
      <c r="L1333" s="0" t="str">
        <f aca="false">IF(K1333="","",MATCH(K1333,$F$2:$F$5001,0))</f>
        <v/>
      </c>
      <c r="M1333" s="0" t="str">
        <f aca="false">IF(I1333="","",INDEX(הגדרות!$A$2:$A$21,MOD(I1333+הגדרות!$E$9,הגדרות!$E$6)+1))</f>
        <v/>
      </c>
    </row>
    <row r="1334" customFormat="false" ht="15" hidden="false" customHeight="false" outlineLevel="0" collapsed="false">
      <c r="A1334" s="0" t="str">
        <f aca="false">IF('הדבקת לידים'!A1334="","",IF(ISNUMBER('הדבקת לידים'!A1334),IF(הגדרות!$E$2&gt;0,TEXT('הדבקת לידים'!A1334,REPT("0",הגדרות!$E$2)),TEXT('הדבקת לידים'!A1334,"0")),TRIM('הדבקת לידים'!A1334)))</f>
        <v/>
      </c>
      <c r="B1334" s="0" t="str">
        <f aca="false">IF('הדבקת לידים'!B1334="","",IF(ISNUMBER('הדבקת לידים'!B1334),IF(הגדרות!$E$3&gt;0,TEXT('הדבקת לידים'!B1334,REPT("0",הגדרות!$E$3)),TEXT('הדבקת לידים'!B1334,"0")),TRIM('הדבקת לידים'!B1334)))</f>
        <v/>
      </c>
      <c r="C1334" s="0" t="n">
        <f aca="false">IF(OR(A1334&lt;&gt;"",B1334&lt;&gt;""),1,0)</f>
        <v>0</v>
      </c>
      <c r="D1334" s="0" t="str">
        <f aca="false">IF(C1334=1,MOD(ABS(SIN(ROW()*12.9898+'הדבקת לידים'!$F$2*78.233+IFERROR(--RIGHT(A1334,6),LEN(A1334))*0.0137+IFERROR(--RIGHT(B1334,6),LEN(B1334))*0.0071))*43758.5453,1),"")</f>
        <v/>
      </c>
      <c r="E1334" s="0" t="str">
        <f aca="false">IF(C1334=1,INT(MOD(ABS(SIN(D1334*7919.123+ROW()*0.618+'הדבקת לידים'!$F$2*1.3))*43758.5453,1)*1000000)*10000+ROW(),"")</f>
        <v/>
      </c>
      <c r="F1334" s="0" t="str">
        <f aca="false">IF(E1334="","",RANK(E1334,$E$2:$E$5001,1))</f>
        <v/>
      </c>
      <c r="G1334" s="0" t="n">
        <f aca="false">IF(A1334="",0,IF(SUMPRODUCT(--($A$2:$A$5001=A1334))&gt;1,1,0))</f>
        <v>0</v>
      </c>
      <c r="H1334" s="0" t="n">
        <f aca="false">ROW()-1</f>
        <v>1333</v>
      </c>
      <c r="I1334" s="0" t="str">
        <f aca="false">IF(OR(הגדרות!$E$6=0,H1334&gt;הגדרות!$E$5),"",IF(H1334-1&lt;הגדרות!$E$8*(הגדרות!$E$7+1),INT((H1334-1)/(הגדרות!$E$7+1)),הגדרות!$E$8+INT((H1334-1-הגדרות!$E$8*(הגדרות!$E$7+1))/הגדרות!$E$7)))</f>
        <v/>
      </c>
      <c r="J1334" s="0" t="str">
        <f aca="false">IF(I1334="","",IF(H1334-1&lt;הגדרות!$E$8*(הגדרות!$E$7+1),MOD(H1334-1,הגדרות!$E$7+1),MOD(H1334-1-הגדרות!$E$8*(הגדרות!$E$7+1),הגדרות!$E$7)))</f>
        <v/>
      </c>
      <c r="K1334" s="0" t="str">
        <f aca="false">IF(I1334="","",J1334*הגדרות!$E$6+I1334+1)</f>
        <v/>
      </c>
      <c r="L1334" s="0" t="str">
        <f aca="false">IF(K1334="","",MATCH(K1334,$F$2:$F$5001,0))</f>
        <v/>
      </c>
      <c r="M1334" s="0" t="str">
        <f aca="false">IF(I1334="","",INDEX(הגדרות!$A$2:$A$21,MOD(I1334+הגדרות!$E$9,הגדרות!$E$6)+1))</f>
        <v/>
      </c>
    </row>
    <row r="1335" customFormat="false" ht="15" hidden="false" customHeight="false" outlineLevel="0" collapsed="false">
      <c r="A1335" s="0" t="str">
        <f aca="false">IF('הדבקת לידים'!A1335="","",IF(ISNUMBER('הדבקת לידים'!A1335),IF(הגדרות!$E$2&gt;0,TEXT('הדבקת לידים'!A1335,REPT("0",הגדרות!$E$2)),TEXT('הדבקת לידים'!A1335,"0")),TRIM('הדבקת לידים'!A1335)))</f>
        <v/>
      </c>
      <c r="B1335" s="0" t="str">
        <f aca="false">IF('הדבקת לידים'!B1335="","",IF(ISNUMBER('הדבקת לידים'!B1335),IF(הגדרות!$E$3&gt;0,TEXT('הדבקת לידים'!B1335,REPT("0",הגדרות!$E$3)),TEXT('הדבקת לידים'!B1335,"0")),TRIM('הדבקת לידים'!B1335)))</f>
        <v/>
      </c>
      <c r="C1335" s="0" t="n">
        <f aca="false">IF(OR(A1335&lt;&gt;"",B1335&lt;&gt;""),1,0)</f>
        <v>0</v>
      </c>
      <c r="D1335" s="0" t="str">
        <f aca="false">IF(C1335=1,MOD(ABS(SIN(ROW()*12.9898+'הדבקת לידים'!$F$2*78.233+IFERROR(--RIGHT(A1335,6),LEN(A1335))*0.0137+IFERROR(--RIGHT(B1335,6),LEN(B1335))*0.0071))*43758.5453,1),"")</f>
        <v/>
      </c>
      <c r="E1335" s="0" t="str">
        <f aca="false">IF(C1335=1,INT(MOD(ABS(SIN(D1335*7919.123+ROW()*0.618+'הדבקת לידים'!$F$2*1.3))*43758.5453,1)*1000000)*10000+ROW(),"")</f>
        <v/>
      </c>
      <c r="F1335" s="0" t="str">
        <f aca="false">IF(E1335="","",RANK(E1335,$E$2:$E$5001,1))</f>
        <v/>
      </c>
      <c r="G1335" s="0" t="n">
        <f aca="false">IF(A1335="",0,IF(SUMPRODUCT(--($A$2:$A$5001=A1335))&gt;1,1,0))</f>
        <v>0</v>
      </c>
      <c r="H1335" s="0" t="n">
        <f aca="false">ROW()-1</f>
        <v>1334</v>
      </c>
      <c r="I1335" s="0" t="str">
        <f aca="false">IF(OR(הגדרות!$E$6=0,H1335&gt;הגדרות!$E$5),"",IF(H1335-1&lt;הגדרות!$E$8*(הגדרות!$E$7+1),INT((H1335-1)/(הגדרות!$E$7+1)),הגדרות!$E$8+INT((H1335-1-הגדרות!$E$8*(הגדרות!$E$7+1))/הגדרות!$E$7)))</f>
        <v/>
      </c>
      <c r="J1335" s="0" t="str">
        <f aca="false">IF(I1335="","",IF(H1335-1&lt;הגדרות!$E$8*(הגדרות!$E$7+1),MOD(H1335-1,הגדרות!$E$7+1),MOD(H1335-1-הגדרות!$E$8*(הגדרות!$E$7+1),הגדרות!$E$7)))</f>
        <v/>
      </c>
      <c r="K1335" s="0" t="str">
        <f aca="false">IF(I1335="","",J1335*הגדרות!$E$6+I1335+1)</f>
        <v/>
      </c>
      <c r="L1335" s="0" t="str">
        <f aca="false">IF(K1335="","",MATCH(K1335,$F$2:$F$5001,0))</f>
        <v/>
      </c>
      <c r="M1335" s="0" t="str">
        <f aca="false">IF(I1335="","",INDEX(הגדרות!$A$2:$A$21,MOD(I1335+הגדרות!$E$9,הגדרות!$E$6)+1))</f>
        <v/>
      </c>
    </row>
    <row r="1336" customFormat="false" ht="15" hidden="false" customHeight="false" outlineLevel="0" collapsed="false">
      <c r="A1336" s="0" t="str">
        <f aca="false">IF('הדבקת לידים'!A1336="","",IF(ISNUMBER('הדבקת לידים'!A1336),IF(הגדרות!$E$2&gt;0,TEXT('הדבקת לידים'!A1336,REPT("0",הגדרות!$E$2)),TEXT('הדבקת לידים'!A1336,"0")),TRIM('הדבקת לידים'!A1336)))</f>
        <v/>
      </c>
      <c r="B1336" s="0" t="str">
        <f aca="false">IF('הדבקת לידים'!B1336="","",IF(ISNUMBER('הדבקת לידים'!B1336),IF(הגדרות!$E$3&gt;0,TEXT('הדבקת לידים'!B1336,REPT("0",הגדרות!$E$3)),TEXT('הדבקת לידים'!B1336,"0")),TRIM('הדבקת לידים'!B1336)))</f>
        <v/>
      </c>
      <c r="C1336" s="0" t="n">
        <f aca="false">IF(OR(A1336&lt;&gt;"",B1336&lt;&gt;""),1,0)</f>
        <v>0</v>
      </c>
      <c r="D1336" s="0" t="str">
        <f aca="false">IF(C1336=1,MOD(ABS(SIN(ROW()*12.9898+'הדבקת לידים'!$F$2*78.233+IFERROR(--RIGHT(A1336,6),LEN(A1336))*0.0137+IFERROR(--RIGHT(B1336,6),LEN(B1336))*0.0071))*43758.5453,1),"")</f>
        <v/>
      </c>
      <c r="E1336" s="0" t="str">
        <f aca="false">IF(C1336=1,INT(MOD(ABS(SIN(D1336*7919.123+ROW()*0.618+'הדבקת לידים'!$F$2*1.3))*43758.5453,1)*1000000)*10000+ROW(),"")</f>
        <v/>
      </c>
      <c r="F1336" s="0" t="str">
        <f aca="false">IF(E1336="","",RANK(E1336,$E$2:$E$5001,1))</f>
        <v/>
      </c>
      <c r="G1336" s="0" t="n">
        <f aca="false">IF(A1336="",0,IF(SUMPRODUCT(--($A$2:$A$5001=A1336))&gt;1,1,0))</f>
        <v>0</v>
      </c>
      <c r="H1336" s="0" t="n">
        <f aca="false">ROW()-1</f>
        <v>1335</v>
      </c>
      <c r="I1336" s="0" t="str">
        <f aca="false">IF(OR(הגדרות!$E$6=0,H1336&gt;הגדרות!$E$5),"",IF(H1336-1&lt;הגדרות!$E$8*(הגדרות!$E$7+1),INT((H1336-1)/(הגדרות!$E$7+1)),הגדרות!$E$8+INT((H1336-1-הגדרות!$E$8*(הגדרות!$E$7+1))/הגדרות!$E$7)))</f>
        <v/>
      </c>
      <c r="J1336" s="0" t="str">
        <f aca="false">IF(I1336="","",IF(H1336-1&lt;הגדרות!$E$8*(הגדרות!$E$7+1),MOD(H1336-1,הגדרות!$E$7+1),MOD(H1336-1-הגדרות!$E$8*(הגדרות!$E$7+1),הגדרות!$E$7)))</f>
        <v/>
      </c>
      <c r="K1336" s="0" t="str">
        <f aca="false">IF(I1336="","",J1336*הגדרות!$E$6+I1336+1)</f>
        <v/>
      </c>
      <c r="L1336" s="0" t="str">
        <f aca="false">IF(K1336="","",MATCH(K1336,$F$2:$F$5001,0))</f>
        <v/>
      </c>
      <c r="M1336" s="0" t="str">
        <f aca="false">IF(I1336="","",INDEX(הגדרות!$A$2:$A$21,MOD(I1336+הגדרות!$E$9,הגדרות!$E$6)+1))</f>
        <v/>
      </c>
    </row>
    <row r="1337" customFormat="false" ht="15" hidden="false" customHeight="false" outlineLevel="0" collapsed="false">
      <c r="A1337" s="0" t="str">
        <f aca="false">IF('הדבקת לידים'!A1337="","",IF(ISNUMBER('הדבקת לידים'!A1337),IF(הגדרות!$E$2&gt;0,TEXT('הדבקת לידים'!A1337,REPT("0",הגדרות!$E$2)),TEXT('הדבקת לידים'!A1337,"0")),TRIM('הדבקת לידים'!A1337)))</f>
        <v/>
      </c>
      <c r="B1337" s="0" t="str">
        <f aca="false">IF('הדבקת לידים'!B1337="","",IF(ISNUMBER('הדבקת לידים'!B1337),IF(הגדרות!$E$3&gt;0,TEXT('הדבקת לידים'!B1337,REPT("0",הגדרות!$E$3)),TEXT('הדבקת לידים'!B1337,"0")),TRIM('הדבקת לידים'!B1337)))</f>
        <v/>
      </c>
      <c r="C1337" s="0" t="n">
        <f aca="false">IF(OR(A1337&lt;&gt;"",B1337&lt;&gt;""),1,0)</f>
        <v>0</v>
      </c>
      <c r="D1337" s="0" t="str">
        <f aca="false">IF(C1337=1,MOD(ABS(SIN(ROW()*12.9898+'הדבקת לידים'!$F$2*78.233+IFERROR(--RIGHT(A1337,6),LEN(A1337))*0.0137+IFERROR(--RIGHT(B1337,6),LEN(B1337))*0.0071))*43758.5453,1),"")</f>
        <v/>
      </c>
      <c r="E1337" s="0" t="str">
        <f aca="false">IF(C1337=1,INT(MOD(ABS(SIN(D1337*7919.123+ROW()*0.618+'הדבקת לידים'!$F$2*1.3))*43758.5453,1)*1000000)*10000+ROW(),"")</f>
        <v/>
      </c>
      <c r="F1337" s="0" t="str">
        <f aca="false">IF(E1337="","",RANK(E1337,$E$2:$E$5001,1))</f>
        <v/>
      </c>
      <c r="G1337" s="0" t="n">
        <f aca="false">IF(A1337="",0,IF(SUMPRODUCT(--($A$2:$A$5001=A1337))&gt;1,1,0))</f>
        <v>0</v>
      </c>
      <c r="H1337" s="0" t="n">
        <f aca="false">ROW()-1</f>
        <v>1336</v>
      </c>
      <c r="I1337" s="0" t="str">
        <f aca="false">IF(OR(הגדרות!$E$6=0,H1337&gt;הגדרות!$E$5),"",IF(H1337-1&lt;הגדרות!$E$8*(הגדרות!$E$7+1),INT((H1337-1)/(הגדרות!$E$7+1)),הגדרות!$E$8+INT((H1337-1-הגדרות!$E$8*(הגדרות!$E$7+1))/הגדרות!$E$7)))</f>
        <v/>
      </c>
      <c r="J1337" s="0" t="str">
        <f aca="false">IF(I1337="","",IF(H1337-1&lt;הגדרות!$E$8*(הגדרות!$E$7+1),MOD(H1337-1,הגדרות!$E$7+1),MOD(H1337-1-הגדרות!$E$8*(הגדרות!$E$7+1),הגדרות!$E$7)))</f>
        <v/>
      </c>
      <c r="K1337" s="0" t="str">
        <f aca="false">IF(I1337="","",J1337*הגדרות!$E$6+I1337+1)</f>
        <v/>
      </c>
      <c r="L1337" s="0" t="str">
        <f aca="false">IF(K1337="","",MATCH(K1337,$F$2:$F$5001,0))</f>
        <v/>
      </c>
      <c r="M1337" s="0" t="str">
        <f aca="false">IF(I1337="","",INDEX(הגדרות!$A$2:$A$21,MOD(I1337+הגדרות!$E$9,הגדרות!$E$6)+1))</f>
        <v/>
      </c>
    </row>
    <row r="1338" customFormat="false" ht="15" hidden="false" customHeight="false" outlineLevel="0" collapsed="false">
      <c r="A1338" s="0" t="str">
        <f aca="false">IF('הדבקת לידים'!A1338="","",IF(ISNUMBER('הדבקת לידים'!A1338),IF(הגדרות!$E$2&gt;0,TEXT('הדבקת לידים'!A1338,REPT("0",הגדרות!$E$2)),TEXT('הדבקת לידים'!A1338,"0")),TRIM('הדבקת לידים'!A1338)))</f>
        <v/>
      </c>
      <c r="B1338" s="0" t="str">
        <f aca="false">IF('הדבקת לידים'!B1338="","",IF(ISNUMBER('הדבקת לידים'!B1338),IF(הגדרות!$E$3&gt;0,TEXT('הדבקת לידים'!B1338,REPT("0",הגדרות!$E$3)),TEXT('הדבקת לידים'!B1338,"0")),TRIM('הדבקת לידים'!B1338)))</f>
        <v/>
      </c>
      <c r="C1338" s="0" t="n">
        <f aca="false">IF(OR(A1338&lt;&gt;"",B1338&lt;&gt;""),1,0)</f>
        <v>0</v>
      </c>
      <c r="D1338" s="0" t="str">
        <f aca="false">IF(C1338=1,MOD(ABS(SIN(ROW()*12.9898+'הדבקת לידים'!$F$2*78.233+IFERROR(--RIGHT(A1338,6),LEN(A1338))*0.0137+IFERROR(--RIGHT(B1338,6),LEN(B1338))*0.0071))*43758.5453,1),"")</f>
        <v/>
      </c>
      <c r="E1338" s="0" t="str">
        <f aca="false">IF(C1338=1,INT(MOD(ABS(SIN(D1338*7919.123+ROW()*0.618+'הדבקת לידים'!$F$2*1.3))*43758.5453,1)*1000000)*10000+ROW(),"")</f>
        <v/>
      </c>
      <c r="F1338" s="0" t="str">
        <f aca="false">IF(E1338="","",RANK(E1338,$E$2:$E$5001,1))</f>
        <v/>
      </c>
      <c r="G1338" s="0" t="n">
        <f aca="false">IF(A1338="",0,IF(SUMPRODUCT(--($A$2:$A$5001=A1338))&gt;1,1,0))</f>
        <v>0</v>
      </c>
      <c r="H1338" s="0" t="n">
        <f aca="false">ROW()-1</f>
        <v>1337</v>
      </c>
      <c r="I1338" s="0" t="str">
        <f aca="false">IF(OR(הגדרות!$E$6=0,H1338&gt;הגדרות!$E$5),"",IF(H1338-1&lt;הגדרות!$E$8*(הגדרות!$E$7+1),INT((H1338-1)/(הגדרות!$E$7+1)),הגדרות!$E$8+INT((H1338-1-הגדרות!$E$8*(הגדרות!$E$7+1))/הגדרות!$E$7)))</f>
        <v/>
      </c>
      <c r="J1338" s="0" t="str">
        <f aca="false">IF(I1338="","",IF(H1338-1&lt;הגדרות!$E$8*(הגדרות!$E$7+1),MOD(H1338-1,הגדרות!$E$7+1),MOD(H1338-1-הגדרות!$E$8*(הגדרות!$E$7+1),הגדרות!$E$7)))</f>
        <v/>
      </c>
      <c r="K1338" s="0" t="str">
        <f aca="false">IF(I1338="","",J1338*הגדרות!$E$6+I1338+1)</f>
        <v/>
      </c>
      <c r="L1338" s="0" t="str">
        <f aca="false">IF(K1338="","",MATCH(K1338,$F$2:$F$5001,0))</f>
        <v/>
      </c>
      <c r="M1338" s="0" t="str">
        <f aca="false">IF(I1338="","",INDEX(הגדרות!$A$2:$A$21,MOD(I1338+הגדרות!$E$9,הגדרות!$E$6)+1))</f>
        <v/>
      </c>
    </row>
    <row r="1339" customFormat="false" ht="15" hidden="false" customHeight="false" outlineLevel="0" collapsed="false">
      <c r="A1339" s="0" t="str">
        <f aca="false">IF('הדבקת לידים'!A1339="","",IF(ISNUMBER('הדבקת לידים'!A1339),IF(הגדרות!$E$2&gt;0,TEXT('הדבקת לידים'!A1339,REPT("0",הגדרות!$E$2)),TEXT('הדבקת לידים'!A1339,"0")),TRIM('הדבקת לידים'!A1339)))</f>
        <v/>
      </c>
      <c r="B1339" s="0" t="str">
        <f aca="false">IF('הדבקת לידים'!B1339="","",IF(ISNUMBER('הדבקת לידים'!B1339),IF(הגדרות!$E$3&gt;0,TEXT('הדבקת לידים'!B1339,REPT("0",הגדרות!$E$3)),TEXT('הדבקת לידים'!B1339,"0")),TRIM('הדבקת לידים'!B1339)))</f>
        <v/>
      </c>
      <c r="C1339" s="0" t="n">
        <f aca="false">IF(OR(A1339&lt;&gt;"",B1339&lt;&gt;""),1,0)</f>
        <v>0</v>
      </c>
      <c r="D1339" s="0" t="str">
        <f aca="false">IF(C1339=1,MOD(ABS(SIN(ROW()*12.9898+'הדבקת לידים'!$F$2*78.233+IFERROR(--RIGHT(A1339,6),LEN(A1339))*0.0137+IFERROR(--RIGHT(B1339,6),LEN(B1339))*0.0071))*43758.5453,1),"")</f>
        <v/>
      </c>
      <c r="E1339" s="0" t="str">
        <f aca="false">IF(C1339=1,INT(MOD(ABS(SIN(D1339*7919.123+ROW()*0.618+'הדבקת לידים'!$F$2*1.3))*43758.5453,1)*1000000)*10000+ROW(),"")</f>
        <v/>
      </c>
      <c r="F1339" s="0" t="str">
        <f aca="false">IF(E1339="","",RANK(E1339,$E$2:$E$5001,1))</f>
        <v/>
      </c>
      <c r="G1339" s="0" t="n">
        <f aca="false">IF(A1339="",0,IF(SUMPRODUCT(--($A$2:$A$5001=A1339))&gt;1,1,0))</f>
        <v>0</v>
      </c>
      <c r="H1339" s="0" t="n">
        <f aca="false">ROW()-1</f>
        <v>1338</v>
      </c>
      <c r="I1339" s="0" t="str">
        <f aca="false">IF(OR(הגדרות!$E$6=0,H1339&gt;הגדרות!$E$5),"",IF(H1339-1&lt;הגדרות!$E$8*(הגדרות!$E$7+1),INT((H1339-1)/(הגדרות!$E$7+1)),הגדרות!$E$8+INT((H1339-1-הגדרות!$E$8*(הגדרות!$E$7+1))/הגדרות!$E$7)))</f>
        <v/>
      </c>
      <c r="J1339" s="0" t="str">
        <f aca="false">IF(I1339="","",IF(H1339-1&lt;הגדרות!$E$8*(הגדרות!$E$7+1),MOD(H1339-1,הגדרות!$E$7+1),MOD(H1339-1-הגדרות!$E$8*(הגדרות!$E$7+1),הגדרות!$E$7)))</f>
        <v/>
      </c>
      <c r="K1339" s="0" t="str">
        <f aca="false">IF(I1339="","",J1339*הגדרות!$E$6+I1339+1)</f>
        <v/>
      </c>
      <c r="L1339" s="0" t="str">
        <f aca="false">IF(K1339="","",MATCH(K1339,$F$2:$F$5001,0))</f>
        <v/>
      </c>
      <c r="M1339" s="0" t="str">
        <f aca="false">IF(I1339="","",INDEX(הגדרות!$A$2:$A$21,MOD(I1339+הגדרות!$E$9,הגדרות!$E$6)+1))</f>
        <v/>
      </c>
    </row>
    <row r="1340" customFormat="false" ht="15" hidden="false" customHeight="false" outlineLevel="0" collapsed="false">
      <c r="A1340" s="0" t="str">
        <f aca="false">IF('הדבקת לידים'!A1340="","",IF(ISNUMBER('הדבקת לידים'!A1340),IF(הגדרות!$E$2&gt;0,TEXT('הדבקת לידים'!A1340,REPT("0",הגדרות!$E$2)),TEXT('הדבקת לידים'!A1340,"0")),TRIM('הדבקת לידים'!A1340)))</f>
        <v/>
      </c>
      <c r="B1340" s="0" t="str">
        <f aca="false">IF('הדבקת לידים'!B1340="","",IF(ISNUMBER('הדבקת לידים'!B1340),IF(הגדרות!$E$3&gt;0,TEXT('הדבקת לידים'!B1340,REPT("0",הגדרות!$E$3)),TEXT('הדבקת לידים'!B1340,"0")),TRIM('הדבקת לידים'!B1340)))</f>
        <v/>
      </c>
      <c r="C1340" s="0" t="n">
        <f aca="false">IF(OR(A1340&lt;&gt;"",B1340&lt;&gt;""),1,0)</f>
        <v>0</v>
      </c>
      <c r="D1340" s="0" t="str">
        <f aca="false">IF(C1340=1,MOD(ABS(SIN(ROW()*12.9898+'הדבקת לידים'!$F$2*78.233+IFERROR(--RIGHT(A1340,6),LEN(A1340))*0.0137+IFERROR(--RIGHT(B1340,6),LEN(B1340))*0.0071))*43758.5453,1),"")</f>
        <v/>
      </c>
      <c r="E1340" s="0" t="str">
        <f aca="false">IF(C1340=1,INT(MOD(ABS(SIN(D1340*7919.123+ROW()*0.618+'הדבקת לידים'!$F$2*1.3))*43758.5453,1)*1000000)*10000+ROW(),"")</f>
        <v/>
      </c>
      <c r="F1340" s="0" t="str">
        <f aca="false">IF(E1340="","",RANK(E1340,$E$2:$E$5001,1))</f>
        <v/>
      </c>
      <c r="G1340" s="0" t="n">
        <f aca="false">IF(A1340="",0,IF(SUMPRODUCT(--($A$2:$A$5001=A1340))&gt;1,1,0))</f>
        <v>0</v>
      </c>
      <c r="H1340" s="0" t="n">
        <f aca="false">ROW()-1</f>
        <v>1339</v>
      </c>
      <c r="I1340" s="0" t="str">
        <f aca="false">IF(OR(הגדרות!$E$6=0,H1340&gt;הגדרות!$E$5),"",IF(H1340-1&lt;הגדרות!$E$8*(הגדרות!$E$7+1),INT((H1340-1)/(הגדרות!$E$7+1)),הגדרות!$E$8+INT((H1340-1-הגדרות!$E$8*(הגדרות!$E$7+1))/הגדרות!$E$7)))</f>
        <v/>
      </c>
      <c r="J1340" s="0" t="str">
        <f aca="false">IF(I1340="","",IF(H1340-1&lt;הגדרות!$E$8*(הגדרות!$E$7+1),MOD(H1340-1,הגדרות!$E$7+1),MOD(H1340-1-הגדרות!$E$8*(הגדרות!$E$7+1),הגדרות!$E$7)))</f>
        <v/>
      </c>
      <c r="K1340" s="0" t="str">
        <f aca="false">IF(I1340="","",J1340*הגדרות!$E$6+I1340+1)</f>
        <v/>
      </c>
      <c r="L1340" s="0" t="str">
        <f aca="false">IF(K1340="","",MATCH(K1340,$F$2:$F$5001,0))</f>
        <v/>
      </c>
      <c r="M1340" s="0" t="str">
        <f aca="false">IF(I1340="","",INDEX(הגדרות!$A$2:$A$21,MOD(I1340+הגדרות!$E$9,הגדרות!$E$6)+1))</f>
        <v/>
      </c>
    </row>
    <row r="1341" customFormat="false" ht="15" hidden="false" customHeight="false" outlineLevel="0" collapsed="false">
      <c r="A1341" s="0" t="str">
        <f aca="false">IF('הדבקת לידים'!A1341="","",IF(ISNUMBER('הדבקת לידים'!A1341),IF(הגדרות!$E$2&gt;0,TEXT('הדבקת לידים'!A1341,REPT("0",הגדרות!$E$2)),TEXT('הדבקת לידים'!A1341,"0")),TRIM('הדבקת לידים'!A1341)))</f>
        <v/>
      </c>
      <c r="B1341" s="0" t="str">
        <f aca="false">IF('הדבקת לידים'!B1341="","",IF(ISNUMBER('הדבקת לידים'!B1341),IF(הגדרות!$E$3&gt;0,TEXT('הדבקת לידים'!B1341,REPT("0",הגדרות!$E$3)),TEXT('הדבקת לידים'!B1341,"0")),TRIM('הדבקת לידים'!B1341)))</f>
        <v/>
      </c>
      <c r="C1341" s="0" t="n">
        <f aca="false">IF(OR(A1341&lt;&gt;"",B1341&lt;&gt;""),1,0)</f>
        <v>0</v>
      </c>
      <c r="D1341" s="0" t="str">
        <f aca="false">IF(C1341=1,MOD(ABS(SIN(ROW()*12.9898+'הדבקת לידים'!$F$2*78.233+IFERROR(--RIGHT(A1341,6),LEN(A1341))*0.0137+IFERROR(--RIGHT(B1341,6),LEN(B1341))*0.0071))*43758.5453,1),"")</f>
        <v/>
      </c>
      <c r="E1341" s="0" t="str">
        <f aca="false">IF(C1341=1,INT(MOD(ABS(SIN(D1341*7919.123+ROW()*0.618+'הדבקת לידים'!$F$2*1.3))*43758.5453,1)*1000000)*10000+ROW(),"")</f>
        <v/>
      </c>
      <c r="F1341" s="0" t="str">
        <f aca="false">IF(E1341="","",RANK(E1341,$E$2:$E$5001,1))</f>
        <v/>
      </c>
      <c r="G1341" s="0" t="n">
        <f aca="false">IF(A1341="",0,IF(SUMPRODUCT(--($A$2:$A$5001=A1341))&gt;1,1,0))</f>
        <v>0</v>
      </c>
      <c r="H1341" s="0" t="n">
        <f aca="false">ROW()-1</f>
        <v>1340</v>
      </c>
      <c r="I1341" s="0" t="str">
        <f aca="false">IF(OR(הגדרות!$E$6=0,H1341&gt;הגדרות!$E$5),"",IF(H1341-1&lt;הגדרות!$E$8*(הגדרות!$E$7+1),INT((H1341-1)/(הגדרות!$E$7+1)),הגדרות!$E$8+INT((H1341-1-הגדרות!$E$8*(הגדרות!$E$7+1))/הגדרות!$E$7)))</f>
        <v/>
      </c>
      <c r="J1341" s="0" t="str">
        <f aca="false">IF(I1341="","",IF(H1341-1&lt;הגדרות!$E$8*(הגדרות!$E$7+1),MOD(H1341-1,הגדרות!$E$7+1),MOD(H1341-1-הגדרות!$E$8*(הגדרות!$E$7+1),הגדרות!$E$7)))</f>
        <v/>
      </c>
      <c r="K1341" s="0" t="str">
        <f aca="false">IF(I1341="","",J1341*הגדרות!$E$6+I1341+1)</f>
        <v/>
      </c>
      <c r="L1341" s="0" t="str">
        <f aca="false">IF(K1341="","",MATCH(K1341,$F$2:$F$5001,0))</f>
        <v/>
      </c>
      <c r="M1341" s="0" t="str">
        <f aca="false">IF(I1341="","",INDEX(הגדרות!$A$2:$A$21,MOD(I1341+הגדרות!$E$9,הגדרות!$E$6)+1))</f>
        <v/>
      </c>
    </row>
    <row r="1342" customFormat="false" ht="15" hidden="false" customHeight="false" outlineLevel="0" collapsed="false">
      <c r="A1342" s="0" t="str">
        <f aca="false">IF('הדבקת לידים'!A1342="","",IF(ISNUMBER('הדבקת לידים'!A1342),IF(הגדרות!$E$2&gt;0,TEXT('הדבקת לידים'!A1342,REPT("0",הגדרות!$E$2)),TEXT('הדבקת לידים'!A1342,"0")),TRIM('הדבקת לידים'!A1342)))</f>
        <v/>
      </c>
      <c r="B1342" s="0" t="str">
        <f aca="false">IF('הדבקת לידים'!B1342="","",IF(ISNUMBER('הדבקת לידים'!B1342),IF(הגדרות!$E$3&gt;0,TEXT('הדבקת לידים'!B1342,REPT("0",הגדרות!$E$3)),TEXT('הדבקת לידים'!B1342,"0")),TRIM('הדבקת לידים'!B1342)))</f>
        <v/>
      </c>
      <c r="C1342" s="0" t="n">
        <f aca="false">IF(OR(A1342&lt;&gt;"",B1342&lt;&gt;""),1,0)</f>
        <v>0</v>
      </c>
      <c r="D1342" s="0" t="str">
        <f aca="false">IF(C1342=1,MOD(ABS(SIN(ROW()*12.9898+'הדבקת לידים'!$F$2*78.233+IFERROR(--RIGHT(A1342,6),LEN(A1342))*0.0137+IFERROR(--RIGHT(B1342,6),LEN(B1342))*0.0071))*43758.5453,1),"")</f>
        <v/>
      </c>
      <c r="E1342" s="0" t="str">
        <f aca="false">IF(C1342=1,INT(MOD(ABS(SIN(D1342*7919.123+ROW()*0.618+'הדבקת לידים'!$F$2*1.3))*43758.5453,1)*1000000)*10000+ROW(),"")</f>
        <v/>
      </c>
      <c r="F1342" s="0" t="str">
        <f aca="false">IF(E1342="","",RANK(E1342,$E$2:$E$5001,1))</f>
        <v/>
      </c>
      <c r="G1342" s="0" t="n">
        <f aca="false">IF(A1342="",0,IF(SUMPRODUCT(--($A$2:$A$5001=A1342))&gt;1,1,0))</f>
        <v>0</v>
      </c>
      <c r="H1342" s="0" t="n">
        <f aca="false">ROW()-1</f>
        <v>1341</v>
      </c>
      <c r="I1342" s="0" t="str">
        <f aca="false">IF(OR(הגדרות!$E$6=0,H1342&gt;הגדרות!$E$5),"",IF(H1342-1&lt;הגדרות!$E$8*(הגדרות!$E$7+1),INT((H1342-1)/(הגדרות!$E$7+1)),הגדרות!$E$8+INT((H1342-1-הגדרות!$E$8*(הגדרות!$E$7+1))/הגדרות!$E$7)))</f>
        <v/>
      </c>
      <c r="J1342" s="0" t="str">
        <f aca="false">IF(I1342="","",IF(H1342-1&lt;הגדרות!$E$8*(הגדרות!$E$7+1),MOD(H1342-1,הגדרות!$E$7+1),MOD(H1342-1-הגדרות!$E$8*(הגדרות!$E$7+1),הגדרות!$E$7)))</f>
        <v/>
      </c>
      <c r="K1342" s="0" t="str">
        <f aca="false">IF(I1342="","",J1342*הגדרות!$E$6+I1342+1)</f>
        <v/>
      </c>
      <c r="L1342" s="0" t="str">
        <f aca="false">IF(K1342="","",MATCH(K1342,$F$2:$F$5001,0))</f>
        <v/>
      </c>
      <c r="M1342" s="0" t="str">
        <f aca="false">IF(I1342="","",INDEX(הגדרות!$A$2:$A$21,MOD(I1342+הגדרות!$E$9,הגדרות!$E$6)+1))</f>
        <v/>
      </c>
    </row>
    <row r="1343" customFormat="false" ht="15" hidden="false" customHeight="false" outlineLevel="0" collapsed="false">
      <c r="A1343" s="0" t="str">
        <f aca="false">IF('הדבקת לידים'!A1343="","",IF(ISNUMBER('הדבקת לידים'!A1343),IF(הגדרות!$E$2&gt;0,TEXT('הדבקת לידים'!A1343,REPT("0",הגדרות!$E$2)),TEXT('הדבקת לידים'!A1343,"0")),TRIM('הדבקת לידים'!A1343)))</f>
        <v/>
      </c>
      <c r="B1343" s="0" t="str">
        <f aca="false">IF('הדבקת לידים'!B1343="","",IF(ISNUMBER('הדבקת לידים'!B1343),IF(הגדרות!$E$3&gt;0,TEXT('הדבקת לידים'!B1343,REPT("0",הגדרות!$E$3)),TEXT('הדבקת לידים'!B1343,"0")),TRIM('הדבקת לידים'!B1343)))</f>
        <v/>
      </c>
      <c r="C1343" s="0" t="n">
        <f aca="false">IF(OR(A1343&lt;&gt;"",B1343&lt;&gt;""),1,0)</f>
        <v>0</v>
      </c>
      <c r="D1343" s="0" t="str">
        <f aca="false">IF(C1343=1,MOD(ABS(SIN(ROW()*12.9898+'הדבקת לידים'!$F$2*78.233+IFERROR(--RIGHT(A1343,6),LEN(A1343))*0.0137+IFERROR(--RIGHT(B1343,6),LEN(B1343))*0.0071))*43758.5453,1),"")</f>
        <v/>
      </c>
      <c r="E1343" s="0" t="str">
        <f aca="false">IF(C1343=1,INT(MOD(ABS(SIN(D1343*7919.123+ROW()*0.618+'הדבקת לידים'!$F$2*1.3))*43758.5453,1)*1000000)*10000+ROW(),"")</f>
        <v/>
      </c>
      <c r="F1343" s="0" t="str">
        <f aca="false">IF(E1343="","",RANK(E1343,$E$2:$E$5001,1))</f>
        <v/>
      </c>
      <c r="G1343" s="0" t="n">
        <f aca="false">IF(A1343="",0,IF(SUMPRODUCT(--($A$2:$A$5001=A1343))&gt;1,1,0))</f>
        <v>0</v>
      </c>
      <c r="H1343" s="0" t="n">
        <f aca="false">ROW()-1</f>
        <v>1342</v>
      </c>
      <c r="I1343" s="0" t="str">
        <f aca="false">IF(OR(הגדרות!$E$6=0,H1343&gt;הגדרות!$E$5),"",IF(H1343-1&lt;הגדרות!$E$8*(הגדרות!$E$7+1),INT((H1343-1)/(הגדרות!$E$7+1)),הגדרות!$E$8+INT((H1343-1-הגדרות!$E$8*(הגדרות!$E$7+1))/הגדרות!$E$7)))</f>
        <v/>
      </c>
      <c r="J1343" s="0" t="str">
        <f aca="false">IF(I1343="","",IF(H1343-1&lt;הגדרות!$E$8*(הגדרות!$E$7+1),MOD(H1343-1,הגדרות!$E$7+1),MOD(H1343-1-הגדרות!$E$8*(הגדרות!$E$7+1),הגדרות!$E$7)))</f>
        <v/>
      </c>
      <c r="K1343" s="0" t="str">
        <f aca="false">IF(I1343="","",J1343*הגדרות!$E$6+I1343+1)</f>
        <v/>
      </c>
      <c r="L1343" s="0" t="str">
        <f aca="false">IF(K1343="","",MATCH(K1343,$F$2:$F$5001,0))</f>
        <v/>
      </c>
      <c r="M1343" s="0" t="str">
        <f aca="false">IF(I1343="","",INDEX(הגדרות!$A$2:$A$21,MOD(I1343+הגדרות!$E$9,הגדרות!$E$6)+1))</f>
        <v/>
      </c>
    </row>
    <row r="1344" customFormat="false" ht="15" hidden="false" customHeight="false" outlineLevel="0" collapsed="false">
      <c r="A1344" s="0" t="str">
        <f aca="false">IF('הדבקת לידים'!A1344="","",IF(ISNUMBER('הדבקת לידים'!A1344),IF(הגדרות!$E$2&gt;0,TEXT('הדבקת לידים'!A1344,REPT("0",הגדרות!$E$2)),TEXT('הדבקת לידים'!A1344,"0")),TRIM('הדבקת לידים'!A1344)))</f>
        <v/>
      </c>
      <c r="B1344" s="0" t="str">
        <f aca="false">IF('הדבקת לידים'!B1344="","",IF(ISNUMBER('הדבקת לידים'!B1344),IF(הגדרות!$E$3&gt;0,TEXT('הדבקת לידים'!B1344,REPT("0",הגדרות!$E$3)),TEXT('הדבקת לידים'!B1344,"0")),TRIM('הדבקת לידים'!B1344)))</f>
        <v/>
      </c>
      <c r="C1344" s="0" t="n">
        <f aca="false">IF(OR(A1344&lt;&gt;"",B1344&lt;&gt;""),1,0)</f>
        <v>0</v>
      </c>
      <c r="D1344" s="0" t="str">
        <f aca="false">IF(C1344=1,MOD(ABS(SIN(ROW()*12.9898+'הדבקת לידים'!$F$2*78.233+IFERROR(--RIGHT(A1344,6),LEN(A1344))*0.0137+IFERROR(--RIGHT(B1344,6),LEN(B1344))*0.0071))*43758.5453,1),"")</f>
        <v/>
      </c>
      <c r="E1344" s="0" t="str">
        <f aca="false">IF(C1344=1,INT(MOD(ABS(SIN(D1344*7919.123+ROW()*0.618+'הדבקת לידים'!$F$2*1.3))*43758.5453,1)*1000000)*10000+ROW(),"")</f>
        <v/>
      </c>
      <c r="F1344" s="0" t="str">
        <f aca="false">IF(E1344="","",RANK(E1344,$E$2:$E$5001,1))</f>
        <v/>
      </c>
      <c r="G1344" s="0" t="n">
        <f aca="false">IF(A1344="",0,IF(SUMPRODUCT(--($A$2:$A$5001=A1344))&gt;1,1,0))</f>
        <v>0</v>
      </c>
      <c r="H1344" s="0" t="n">
        <f aca="false">ROW()-1</f>
        <v>1343</v>
      </c>
      <c r="I1344" s="0" t="str">
        <f aca="false">IF(OR(הגדרות!$E$6=0,H1344&gt;הגדרות!$E$5),"",IF(H1344-1&lt;הגדרות!$E$8*(הגדרות!$E$7+1),INT((H1344-1)/(הגדרות!$E$7+1)),הגדרות!$E$8+INT((H1344-1-הגדרות!$E$8*(הגדרות!$E$7+1))/הגדרות!$E$7)))</f>
        <v/>
      </c>
      <c r="J1344" s="0" t="str">
        <f aca="false">IF(I1344="","",IF(H1344-1&lt;הגדרות!$E$8*(הגדרות!$E$7+1),MOD(H1344-1,הגדרות!$E$7+1),MOD(H1344-1-הגדרות!$E$8*(הגדרות!$E$7+1),הגדרות!$E$7)))</f>
        <v/>
      </c>
      <c r="K1344" s="0" t="str">
        <f aca="false">IF(I1344="","",J1344*הגדרות!$E$6+I1344+1)</f>
        <v/>
      </c>
      <c r="L1344" s="0" t="str">
        <f aca="false">IF(K1344="","",MATCH(K1344,$F$2:$F$5001,0))</f>
        <v/>
      </c>
      <c r="M1344" s="0" t="str">
        <f aca="false">IF(I1344="","",INDEX(הגדרות!$A$2:$A$21,MOD(I1344+הגדרות!$E$9,הגדרות!$E$6)+1))</f>
        <v/>
      </c>
    </row>
    <row r="1345" customFormat="false" ht="15" hidden="false" customHeight="false" outlineLevel="0" collapsed="false">
      <c r="A1345" s="0" t="str">
        <f aca="false">IF('הדבקת לידים'!A1345="","",IF(ISNUMBER('הדבקת לידים'!A1345),IF(הגדרות!$E$2&gt;0,TEXT('הדבקת לידים'!A1345,REPT("0",הגדרות!$E$2)),TEXT('הדבקת לידים'!A1345,"0")),TRIM('הדבקת לידים'!A1345)))</f>
        <v/>
      </c>
      <c r="B1345" s="0" t="str">
        <f aca="false">IF('הדבקת לידים'!B1345="","",IF(ISNUMBER('הדבקת לידים'!B1345),IF(הגדרות!$E$3&gt;0,TEXT('הדבקת לידים'!B1345,REPT("0",הגדרות!$E$3)),TEXT('הדבקת לידים'!B1345,"0")),TRIM('הדבקת לידים'!B1345)))</f>
        <v/>
      </c>
      <c r="C1345" s="0" t="n">
        <f aca="false">IF(OR(A1345&lt;&gt;"",B1345&lt;&gt;""),1,0)</f>
        <v>0</v>
      </c>
      <c r="D1345" s="0" t="str">
        <f aca="false">IF(C1345=1,MOD(ABS(SIN(ROW()*12.9898+'הדבקת לידים'!$F$2*78.233+IFERROR(--RIGHT(A1345,6),LEN(A1345))*0.0137+IFERROR(--RIGHT(B1345,6),LEN(B1345))*0.0071))*43758.5453,1),"")</f>
        <v/>
      </c>
      <c r="E1345" s="0" t="str">
        <f aca="false">IF(C1345=1,INT(MOD(ABS(SIN(D1345*7919.123+ROW()*0.618+'הדבקת לידים'!$F$2*1.3))*43758.5453,1)*1000000)*10000+ROW(),"")</f>
        <v/>
      </c>
      <c r="F1345" s="0" t="str">
        <f aca="false">IF(E1345="","",RANK(E1345,$E$2:$E$5001,1))</f>
        <v/>
      </c>
      <c r="G1345" s="0" t="n">
        <f aca="false">IF(A1345="",0,IF(SUMPRODUCT(--($A$2:$A$5001=A1345))&gt;1,1,0))</f>
        <v>0</v>
      </c>
      <c r="H1345" s="0" t="n">
        <f aca="false">ROW()-1</f>
        <v>1344</v>
      </c>
      <c r="I1345" s="0" t="str">
        <f aca="false">IF(OR(הגדרות!$E$6=0,H1345&gt;הגדרות!$E$5),"",IF(H1345-1&lt;הגדרות!$E$8*(הגדרות!$E$7+1),INT((H1345-1)/(הגדרות!$E$7+1)),הגדרות!$E$8+INT((H1345-1-הגדרות!$E$8*(הגדרות!$E$7+1))/הגדרות!$E$7)))</f>
        <v/>
      </c>
      <c r="J1345" s="0" t="str">
        <f aca="false">IF(I1345="","",IF(H1345-1&lt;הגדרות!$E$8*(הגדרות!$E$7+1),MOD(H1345-1,הגדרות!$E$7+1),MOD(H1345-1-הגדרות!$E$8*(הגדרות!$E$7+1),הגדרות!$E$7)))</f>
        <v/>
      </c>
      <c r="K1345" s="0" t="str">
        <f aca="false">IF(I1345="","",J1345*הגדרות!$E$6+I1345+1)</f>
        <v/>
      </c>
      <c r="L1345" s="0" t="str">
        <f aca="false">IF(K1345="","",MATCH(K1345,$F$2:$F$5001,0))</f>
        <v/>
      </c>
      <c r="M1345" s="0" t="str">
        <f aca="false">IF(I1345="","",INDEX(הגדרות!$A$2:$A$21,MOD(I1345+הגדרות!$E$9,הגדרות!$E$6)+1))</f>
        <v/>
      </c>
    </row>
    <row r="1346" customFormat="false" ht="15" hidden="false" customHeight="false" outlineLevel="0" collapsed="false">
      <c r="A1346" s="0" t="str">
        <f aca="false">IF('הדבקת לידים'!A1346="","",IF(ISNUMBER('הדבקת לידים'!A1346),IF(הגדרות!$E$2&gt;0,TEXT('הדבקת לידים'!A1346,REPT("0",הגדרות!$E$2)),TEXT('הדבקת לידים'!A1346,"0")),TRIM('הדבקת לידים'!A1346)))</f>
        <v/>
      </c>
      <c r="B1346" s="0" t="str">
        <f aca="false">IF('הדבקת לידים'!B1346="","",IF(ISNUMBER('הדבקת לידים'!B1346),IF(הגדרות!$E$3&gt;0,TEXT('הדבקת לידים'!B1346,REPT("0",הגדרות!$E$3)),TEXT('הדבקת לידים'!B1346,"0")),TRIM('הדבקת לידים'!B1346)))</f>
        <v/>
      </c>
      <c r="C1346" s="0" t="n">
        <f aca="false">IF(OR(A1346&lt;&gt;"",B1346&lt;&gt;""),1,0)</f>
        <v>0</v>
      </c>
      <c r="D1346" s="0" t="str">
        <f aca="false">IF(C1346=1,MOD(ABS(SIN(ROW()*12.9898+'הדבקת לידים'!$F$2*78.233+IFERROR(--RIGHT(A1346,6),LEN(A1346))*0.0137+IFERROR(--RIGHT(B1346,6),LEN(B1346))*0.0071))*43758.5453,1),"")</f>
        <v/>
      </c>
      <c r="E1346" s="0" t="str">
        <f aca="false">IF(C1346=1,INT(MOD(ABS(SIN(D1346*7919.123+ROW()*0.618+'הדבקת לידים'!$F$2*1.3))*43758.5453,1)*1000000)*10000+ROW(),"")</f>
        <v/>
      </c>
      <c r="F1346" s="0" t="str">
        <f aca="false">IF(E1346="","",RANK(E1346,$E$2:$E$5001,1))</f>
        <v/>
      </c>
      <c r="G1346" s="0" t="n">
        <f aca="false">IF(A1346="",0,IF(SUMPRODUCT(--($A$2:$A$5001=A1346))&gt;1,1,0))</f>
        <v>0</v>
      </c>
      <c r="H1346" s="0" t="n">
        <f aca="false">ROW()-1</f>
        <v>1345</v>
      </c>
      <c r="I1346" s="0" t="str">
        <f aca="false">IF(OR(הגדרות!$E$6=0,H1346&gt;הגדרות!$E$5),"",IF(H1346-1&lt;הגדרות!$E$8*(הגדרות!$E$7+1),INT((H1346-1)/(הגדרות!$E$7+1)),הגדרות!$E$8+INT((H1346-1-הגדרות!$E$8*(הגדרות!$E$7+1))/הגדרות!$E$7)))</f>
        <v/>
      </c>
      <c r="J1346" s="0" t="str">
        <f aca="false">IF(I1346="","",IF(H1346-1&lt;הגדרות!$E$8*(הגדרות!$E$7+1),MOD(H1346-1,הגדרות!$E$7+1),MOD(H1346-1-הגדרות!$E$8*(הגדרות!$E$7+1),הגדרות!$E$7)))</f>
        <v/>
      </c>
      <c r="K1346" s="0" t="str">
        <f aca="false">IF(I1346="","",J1346*הגדרות!$E$6+I1346+1)</f>
        <v/>
      </c>
      <c r="L1346" s="0" t="str">
        <f aca="false">IF(K1346="","",MATCH(K1346,$F$2:$F$5001,0))</f>
        <v/>
      </c>
      <c r="M1346" s="0" t="str">
        <f aca="false">IF(I1346="","",INDEX(הגדרות!$A$2:$A$21,MOD(I1346+הגדרות!$E$9,הגדרות!$E$6)+1))</f>
        <v/>
      </c>
    </row>
    <row r="1347" customFormat="false" ht="15" hidden="false" customHeight="false" outlineLevel="0" collapsed="false">
      <c r="A1347" s="0" t="str">
        <f aca="false">IF('הדבקת לידים'!A1347="","",IF(ISNUMBER('הדבקת לידים'!A1347),IF(הגדרות!$E$2&gt;0,TEXT('הדבקת לידים'!A1347,REPT("0",הגדרות!$E$2)),TEXT('הדבקת לידים'!A1347,"0")),TRIM('הדבקת לידים'!A1347)))</f>
        <v/>
      </c>
      <c r="B1347" s="0" t="str">
        <f aca="false">IF('הדבקת לידים'!B1347="","",IF(ISNUMBER('הדבקת לידים'!B1347),IF(הגדרות!$E$3&gt;0,TEXT('הדבקת לידים'!B1347,REPT("0",הגדרות!$E$3)),TEXT('הדבקת לידים'!B1347,"0")),TRIM('הדבקת לידים'!B1347)))</f>
        <v/>
      </c>
      <c r="C1347" s="0" t="n">
        <f aca="false">IF(OR(A1347&lt;&gt;"",B1347&lt;&gt;""),1,0)</f>
        <v>0</v>
      </c>
      <c r="D1347" s="0" t="str">
        <f aca="false">IF(C1347=1,MOD(ABS(SIN(ROW()*12.9898+'הדבקת לידים'!$F$2*78.233+IFERROR(--RIGHT(A1347,6),LEN(A1347))*0.0137+IFERROR(--RIGHT(B1347,6),LEN(B1347))*0.0071))*43758.5453,1),"")</f>
        <v/>
      </c>
      <c r="E1347" s="0" t="str">
        <f aca="false">IF(C1347=1,INT(MOD(ABS(SIN(D1347*7919.123+ROW()*0.618+'הדבקת לידים'!$F$2*1.3))*43758.5453,1)*1000000)*10000+ROW(),"")</f>
        <v/>
      </c>
      <c r="F1347" s="0" t="str">
        <f aca="false">IF(E1347="","",RANK(E1347,$E$2:$E$5001,1))</f>
        <v/>
      </c>
      <c r="G1347" s="0" t="n">
        <f aca="false">IF(A1347="",0,IF(SUMPRODUCT(--($A$2:$A$5001=A1347))&gt;1,1,0))</f>
        <v>0</v>
      </c>
      <c r="H1347" s="0" t="n">
        <f aca="false">ROW()-1</f>
        <v>1346</v>
      </c>
      <c r="I1347" s="0" t="str">
        <f aca="false">IF(OR(הגדרות!$E$6=0,H1347&gt;הגדרות!$E$5),"",IF(H1347-1&lt;הגדרות!$E$8*(הגדרות!$E$7+1),INT((H1347-1)/(הגדרות!$E$7+1)),הגדרות!$E$8+INT((H1347-1-הגדרות!$E$8*(הגדרות!$E$7+1))/הגדרות!$E$7)))</f>
        <v/>
      </c>
      <c r="J1347" s="0" t="str">
        <f aca="false">IF(I1347="","",IF(H1347-1&lt;הגדרות!$E$8*(הגדרות!$E$7+1),MOD(H1347-1,הגדרות!$E$7+1),MOD(H1347-1-הגדרות!$E$8*(הגדרות!$E$7+1),הגדרות!$E$7)))</f>
        <v/>
      </c>
      <c r="K1347" s="0" t="str">
        <f aca="false">IF(I1347="","",J1347*הגדרות!$E$6+I1347+1)</f>
        <v/>
      </c>
      <c r="L1347" s="0" t="str">
        <f aca="false">IF(K1347="","",MATCH(K1347,$F$2:$F$5001,0))</f>
        <v/>
      </c>
      <c r="M1347" s="0" t="str">
        <f aca="false">IF(I1347="","",INDEX(הגדרות!$A$2:$A$21,MOD(I1347+הגדרות!$E$9,הגדרות!$E$6)+1))</f>
        <v/>
      </c>
    </row>
    <row r="1348" customFormat="false" ht="15" hidden="false" customHeight="false" outlineLevel="0" collapsed="false">
      <c r="A1348" s="0" t="str">
        <f aca="false">IF('הדבקת לידים'!A1348="","",IF(ISNUMBER('הדבקת לידים'!A1348),IF(הגדרות!$E$2&gt;0,TEXT('הדבקת לידים'!A1348,REPT("0",הגדרות!$E$2)),TEXT('הדבקת לידים'!A1348,"0")),TRIM('הדבקת לידים'!A1348)))</f>
        <v/>
      </c>
      <c r="B1348" s="0" t="str">
        <f aca="false">IF('הדבקת לידים'!B1348="","",IF(ISNUMBER('הדבקת לידים'!B1348),IF(הגדרות!$E$3&gt;0,TEXT('הדבקת לידים'!B1348,REPT("0",הגדרות!$E$3)),TEXT('הדבקת לידים'!B1348,"0")),TRIM('הדבקת לידים'!B1348)))</f>
        <v/>
      </c>
      <c r="C1348" s="0" t="n">
        <f aca="false">IF(OR(A1348&lt;&gt;"",B1348&lt;&gt;""),1,0)</f>
        <v>0</v>
      </c>
      <c r="D1348" s="0" t="str">
        <f aca="false">IF(C1348=1,MOD(ABS(SIN(ROW()*12.9898+'הדבקת לידים'!$F$2*78.233+IFERROR(--RIGHT(A1348,6),LEN(A1348))*0.0137+IFERROR(--RIGHT(B1348,6),LEN(B1348))*0.0071))*43758.5453,1),"")</f>
        <v/>
      </c>
      <c r="E1348" s="0" t="str">
        <f aca="false">IF(C1348=1,INT(MOD(ABS(SIN(D1348*7919.123+ROW()*0.618+'הדבקת לידים'!$F$2*1.3))*43758.5453,1)*1000000)*10000+ROW(),"")</f>
        <v/>
      </c>
      <c r="F1348" s="0" t="str">
        <f aca="false">IF(E1348="","",RANK(E1348,$E$2:$E$5001,1))</f>
        <v/>
      </c>
      <c r="G1348" s="0" t="n">
        <f aca="false">IF(A1348="",0,IF(SUMPRODUCT(--($A$2:$A$5001=A1348))&gt;1,1,0))</f>
        <v>0</v>
      </c>
      <c r="H1348" s="0" t="n">
        <f aca="false">ROW()-1</f>
        <v>1347</v>
      </c>
      <c r="I1348" s="0" t="str">
        <f aca="false">IF(OR(הגדרות!$E$6=0,H1348&gt;הגדרות!$E$5),"",IF(H1348-1&lt;הגדרות!$E$8*(הגדרות!$E$7+1),INT((H1348-1)/(הגדרות!$E$7+1)),הגדרות!$E$8+INT((H1348-1-הגדרות!$E$8*(הגדרות!$E$7+1))/הגדרות!$E$7)))</f>
        <v/>
      </c>
      <c r="J1348" s="0" t="str">
        <f aca="false">IF(I1348="","",IF(H1348-1&lt;הגדרות!$E$8*(הגדרות!$E$7+1),MOD(H1348-1,הגדרות!$E$7+1),MOD(H1348-1-הגדרות!$E$8*(הגדרות!$E$7+1),הגדרות!$E$7)))</f>
        <v/>
      </c>
      <c r="K1348" s="0" t="str">
        <f aca="false">IF(I1348="","",J1348*הגדרות!$E$6+I1348+1)</f>
        <v/>
      </c>
      <c r="L1348" s="0" t="str">
        <f aca="false">IF(K1348="","",MATCH(K1348,$F$2:$F$5001,0))</f>
        <v/>
      </c>
      <c r="M1348" s="0" t="str">
        <f aca="false">IF(I1348="","",INDEX(הגדרות!$A$2:$A$21,MOD(I1348+הגדרות!$E$9,הגדרות!$E$6)+1))</f>
        <v/>
      </c>
    </row>
    <row r="1349" customFormat="false" ht="15" hidden="false" customHeight="false" outlineLevel="0" collapsed="false">
      <c r="A1349" s="0" t="str">
        <f aca="false">IF('הדבקת לידים'!A1349="","",IF(ISNUMBER('הדבקת לידים'!A1349),IF(הגדרות!$E$2&gt;0,TEXT('הדבקת לידים'!A1349,REPT("0",הגדרות!$E$2)),TEXT('הדבקת לידים'!A1349,"0")),TRIM('הדבקת לידים'!A1349)))</f>
        <v/>
      </c>
      <c r="B1349" s="0" t="str">
        <f aca="false">IF('הדבקת לידים'!B1349="","",IF(ISNUMBER('הדבקת לידים'!B1349),IF(הגדרות!$E$3&gt;0,TEXT('הדבקת לידים'!B1349,REPT("0",הגדרות!$E$3)),TEXT('הדבקת לידים'!B1349,"0")),TRIM('הדבקת לידים'!B1349)))</f>
        <v/>
      </c>
      <c r="C1349" s="0" t="n">
        <f aca="false">IF(OR(A1349&lt;&gt;"",B1349&lt;&gt;""),1,0)</f>
        <v>0</v>
      </c>
      <c r="D1349" s="0" t="str">
        <f aca="false">IF(C1349=1,MOD(ABS(SIN(ROW()*12.9898+'הדבקת לידים'!$F$2*78.233+IFERROR(--RIGHT(A1349,6),LEN(A1349))*0.0137+IFERROR(--RIGHT(B1349,6),LEN(B1349))*0.0071))*43758.5453,1),"")</f>
        <v/>
      </c>
      <c r="E1349" s="0" t="str">
        <f aca="false">IF(C1349=1,INT(MOD(ABS(SIN(D1349*7919.123+ROW()*0.618+'הדבקת לידים'!$F$2*1.3))*43758.5453,1)*1000000)*10000+ROW(),"")</f>
        <v/>
      </c>
      <c r="F1349" s="0" t="str">
        <f aca="false">IF(E1349="","",RANK(E1349,$E$2:$E$5001,1))</f>
        <v/>
      </c>
      <c r="G1349" s="0" t="n">
        <f aca="false">IF(A1349="",0,IF(SUMPRODUCT(--($A$2:$A$5001=A1349))&gt;1,1,0))</f>
        <v>0</v>
      </c>
      <c r="H1349" s="0" t="n">
        <f aca="false">ROW()-1</f>
        <v>1348</v>
      </c>
      <c r="I1349" s="0" t="str">
        <f aca="false">IF(OR(הגדרות!$E$6=0,H1349&gt;הגדרות!$E$5),"",IF(H1349-1&lt;הגדרות!$E$8*(הגדרות!$E$7+1),INT((H1349-1)/(הגדרות!$E$7+1)),הגדרות!$E$8+INT((H1349-1-הגדרות!$E$8*(הגדרות!$E$7+1))/הגדרות!$E$7)))</f>
        <v/>
      </c>
      <c r="J1349" s="0" t="str">
        <f aca="false">IF(I1349="","",IF(H1349-1&lt;הגדרות!$E$8*(הגדרות!$E$7+1),MOD(H1349-1,הגדרות!$E$7+1),MOD(H1349-1-הגדרות!$E$8*(הגדרות!$E$7+1),הגדרות!$E$7)))</f>
        <v/>
      </c>
      <c r="K1349" s="0" t="str">
        <f aca="false">IF(I1349="","",J1349*הגדרות!$E$6+I1349+1)</f>
        <v/>
      </c>
      <c r="L1349" s="0" t="str">
        <f aca="false">IF(K1349="","",MATCH(K1349,$F$2:$F$5001,0))</f>
        <v/>
      </c>
      <c r="M1349" s="0" t="str">
        <f aca="false">IF(I1349="","",INDEX(הגדרות!$A$2:$A$21,MOD(I1349+הגדרות!$E$9,הגדרות!$E$6)+1))</f>
        <v/>
      </c>
    </row>
    <row r="1350" customFormat="false" ht="15" hidden="false" customHeight="false" outlineLevel="0" collapsed="false">
      <c r="A1350" s="0" t="str">
        <f aca="false">IF('הדבקת לידים'!A1350="","",IF(ISNUMBER('הדבקת לידים'!A1350),IF(הגדרות!$E$2&gt;0,TEXT('הדבקת לידים'!A1350,REPT("0",הגדרות!$E$2)),TEXT('הדבקת לידים'!A1350,"0")),TRIM('הדבקת לידים'!A1350)))</f>
        <v/>
      </c>
      <c r="B1350" s="0" t="str">
        <f aca="false">IF('הדבקת לידים'!B1350="","",IF(ISNUMBER('הדבקת לידים'!B1350),IF(הגדרות!$E$3&gt;0,TEXT('הדבקת לידים'!B1350,REPT("0",הגדרות!$E$3)),TEXT('הדבקת לידים'!B1350,"0")),TRIM('הדבקת לידים'!B1350)))</f>
        <v/>
      </c>
      <c r="C1350" s="0" t="n">
        <f aca="false">IF(OR(A1350&lt;&gt;"",B1350&lt;&gt;""),1,0)</f>
        <v>0</v>
      </c>
      <c r="D1350" s="0" t="str">
        <f aca="false">IF(C1350=1,MOD(ABS(SIN(ROW()*12.9898+'הדבקת לידים'!$F$2*78.233+IFERROR(--RIGHT(A1350,6),LEN(A1350))*0.0137+IFERROR(--RIGHT(B1350,6),LEN(B1350))*0.0071))*43758.5453,1),"")</f>
        <v/>
      </c>
      <c r="E1350" s="0" t="str">
        <f aca="false">IF(C1350=1,INT(MOD(ABS(SIN(D1350*7919.123+ROW()*0.618+'הדבקת לידים'!$F$2*1.3))*43758.5453,1)*1000000)*10000+ROW(),"")</f>
        <v/>
      </c>
      <c r="F1350" s="0" t="str">
        <f aca="false">IF(E1350="","",RANK(E1350,$E$2:$E$5001,1))</f>
        <v/>
      </c>
      <c r="G1350" s="0" t="n">
        <f aca="false">IF(A1350="",0,IF(SUMPRODUCT(--($A$2:$A$5001=A1350))&gt;1,1,0))</f>
        <v>0</v>
      </c>
      <c r="H1350" s="0" t="n">
        <f aca="false">ROW()-1</f>
        <v>1349</v>
      </c>
      <c r="I1350" s="0" t="str">
        <f aca="false">IF(OR(הגדרות!$E$6=0,H1350&gt;הגדרות!$E$5),"",IF(H1350-1&lt;הגדרות!$E$8*(הגדרות!$E$7+1),INT((H1350-1)/(הגדרות!$E$7+1)),הגדרות!$E$8+INT((H1350-1-הגדרות!$E$8*(הגדרות!$E$7+1))/הגדרות!$E$7)))</f>
        <v/>
      </c>
      <c r="J1350" s="0" t="str">
        <f aca="false">IF(I1350="","",IF(H1350-1&lt;הגדרות!$E$8*(הגדרות!$E$7+1),MOD(H1350-1,הגדרות!$E$7+1),MOD(H1350-1-הגדרות!$E$8*(הגדרות!$E$7+1),הגדרות!$E$7)))</f>
        <v/>
      </c>
      <c r="K1350" s="0" t="str">
        <f aca="false">IF(I1350="","",J1350*הגדרות!$E$6+I1350+1)</f>
        <v/>
      </c>
      <c r="L1350" s="0" t="str">
        <f aca="false">IF(K1350="","",MATCH(K1350,$F$2:$F$5001,0))</f>
        <v/>
      </c>
      <c r="M1350" s="0" t="str">
        <f aca="false">IF(I1350="","",INDEX(הגדרות!$A$2:$A$21,MOD(I1350+הגדרות!$E$9,הגדרות!$E$6)+1))</f>
        <v/>
      </c>
    </row>
    <row r="1351" customFormat="false" ht="15" hidden="false" customHeight="false" outlineLevel="0" collapsed="false">
      <c r="A1351" s="0" t="str">
        <f aca="false">IF('הדבקת לידים'!A1351="","",IF(ISNUMBER('הדבקת לידים'!A1351),IF(הגדרות!$E$2&gt;0,TEXT('הדבקת לידים'!A1351,REPT("0",הגדרות!$E$2)),TEXT('הדבקת לידים'!A1351,"0")),TRIM('הדבקת לידים'!A1351)))</f>
        <v/>
      </c>
      <c r="B1351" s="0" t="str">
        <f aca="false">IF('הדבקת לידים'!B1351="","",IF(ISNUMBER('הדבקת לידים'!B1351),IF(הגדרות!$E$3&gt;0,TEXT('הדבקת לידים'!B1351,REPT("0",הגדרות!$E$3)),TEXT('הדבקת לידים'!B1351,"0")),TRIM('הדבקת לידים'!B1351)))</f>
        <v/>
      </c>
      <c r="C1351" s="0" t="n">
        <f aca="false">IF(OR(A1351&lt;&gt;"",B1351&lt;&gt;""),1,0)</f>
        <v>0</v>
      </c>
      <c r="D1351" s="0" t="str">
        <f aca="false">IF(C1351=1,MOD(ABS(SIN(ROW()*12.9898+'הדבקת לידים'!$F$2*78.233+IFERROR(--RIGHT(A1351,6),LEN(A1351))*0.0137+IFERROR(--RIGHT(B1351,6),LEN(B1351))*0.0071))*43758.5453,1),"")</f>
        <v/>
      </c>
      <c r="E1351" s="0" t="str">
        <f aca="false">IF(C1351=1,INT(MOD(ABS(SIN(D1351*7919.123+ROW()*0.618+'הדבקת לידים'!$F$2*1.3))*43758.5453,1)*1000000)*10000+ROW(),"")</f>
        <v/>
      </c>
      <c r="F1351" s="0" t="str">
        <f aca="false">IF(E1351="","",RANK(E1351,$E$2:$E$5001,1))</f>
        <v/>
      </c>
      <c r="G1351" s="0" t="n">
        <f aca="false">IF(A1351="",0,IF(SUMPRODUCT(--($A$2:$A$5001=A1351))&gt;1,1,0))</f>
        <v>0</v>
      </c>
      <c r="H1351" s="0" t="n">
        <f aca="false">ROW()-1</f>
        <v>1350</v>
      </c>
      <c r="I1351" s="0" t="str">
        <f aca="false">IF(OR(הגדרות!$E$6=0,H1351&gt;הגדרות!$E$5),"",IF(H1351-1&lt;הגדרות!$E$8*(הגדרות!$E$7+1),INT((H1351-1)/(הגדרות!$E$7+1)),הגדרות!$E$8+INT((H1351-1-הגדרות!$E$8*(הגדרות!$E$7+1))/הגדרות!$E$7)))</f>
        <v/>
      </c>
      <c r="J1351" s="0" t="str">
        <f aca="false">IF(I1351="","",IF(H1351-1&lt;הגדרות!$E$8*(הגדרות!$E$7+1),MOD(H1351-1,הגדרות!$E$7+1),MOD(H1351-1-הגדרות!$E$8*(הגדרות!$E$7+1),הגדרות!$E$7)))</f>
        <v/>
      </c>
      <c r="K1351" s="0" t="str">
        <f aca="false">IF(I1351="","",J1351*הגדרות!$E$6+I1351+1)</f>
        <v/>
      </c>
      <c r="L1351" s="0" t="str">
        <f aca="false">IF(K1351="","",MATCH(K1351,$F$2:$F$5001,0))</f>
        <v/>
      </c>
      <c r="M1351" s="0" t="str">
        <f aca="false">IF(I1351="","",INDEX(הגדרות!$A$2:$A$21,MOD(I1351+הגדרות!$E$9,הגדרות!$E$6)+1))</f>
        <v/>
      </c>
    </row>
    <row r="1352" customFormat="false" ht="15" hidden="false" customHeight="false" outlineLevel="0" collapsed="false">
      <c r="A1352" s="0" t="str">
        <f aca="false">IF('הדבקת לידים'!A1352="","",IF(ISNUMBER('הדבקת לידים'!A1352),IF(הגדרות!$E$2&gt;0,TEXT('הדבקת לידים'!A1352,REPT("0",הגדרות!$E$2)),TEXT('הדבקת לידים'!A1352,"0")),TRIM('הדבקת לידים'!A1352)))</f>
        <v/>
      </c>
      <c r="B1352" s="0" t="str">
        <f aca="false">IF('הדבקת לידים'!B1352="","",IF(ISNUMBER('הדבקת לידים'!B1352),IF(הגדרות!$E$3&gt;0,TEXT('הדבקת לידים'!B1352,REPT("0",הגדרות!$E$3)),TEXT('הדבקת לידים'!B1352,"0")),TRIM('הדבקת לידים'!B1352)))</f>
        <v/>
      </c>
      <c r="C1352" s="0" t="n">
        <f aca="false">IF(OR(A1352&lt;&gt;"",B1352&lt;&gt;""),1,0)</f>
        <v>0</v>
      </c>
      <c r="D1352" s="0" t="str">
        <f aca="false">IF(C1352=1,MOD(ABS(SIN(ROW()*12.9898+'הדבקת לידים'!$F$2*78.233+IFERROR(--RIGHT(A1352,6),LEN(A1352))*0.0137+IFERROR(--RIGHT(B1352,6),LEN(B1352))*0.0071))*43758.5453,1),"")</f>
        <v/>
      </c>
      <c r="E1352" s="0" t="str">
        <f aca="false">IF(C1352=1,INT(MOD(ABS(SIN(D1352*7919.123+ROW()*0.618+'הדבקת לידים'!$F$2*1.3))*43758.5453,1)*1000000)*10000+ROW(),"")</f>
        <v/>
      </c>
      <c r="F1352" s="0" t="str">
        <f aca="false">IF(E1352="","",RANK(E1352,$E$2:$E$5001,1))</f>
        <v/>
      </c>
      <c r="G1352" s="0" t="n">
        <f aca="false">IF(A1352="",0,IF(SUMPRODUCT(--($A$2:$A$5001=A1352))&gt;1,1,0))</f>
        <v>0</v>
      </c>
      <c r="H1352" s="0" t="n">
        <f aca="false">ROW()-1</f>
        <v>1351</v>
      </c>
      <c r="I1352" s="0" t="str">
        <f aca="false">IF(OR(הגדרות!$E$6=0,H1352&gt;הגדרות!$E$5),"",IF(H1352-1&lt;הגדרות!$E$8*(הגדרות!$E$7+1),INT((H1352-1)/(הגדרות!$E$7+1)),הגדרות!$E$8+INT((H1352-1-הגדרות!$E$8*(הגדרות!$E$7+1))/הגדרות!$E$7)))</f>
        <v/>
      </c>
      <c r="J1352" s="0" t="str">
        <f aca="false">IF(I1352="","",IF(H1352-1&lt;הגדרות!$E$8*(הגדרות!$E$7+1),MOD(H1352-1,הגדרות!$E$7+1),MOD(H1352-1-הגדרות!$E$8*(הגדרות!$E$7+1),הגדרות!$E$7)))</f>
        <v/>
      </c>
      <c r="K1352" s="0" t="str">
        <f aca="false">IF(I1352="","",J1352*הגדרות!$E$6+I1352+1)</f>
        <v/>
      </c>
      <c r="L1352" s="0" t="str">
        <f aca="false">IF(K1352="","",MATCH(K1352,$F$2:$F$5001,0))</f>
        <v/>
      </c>
      <c r="M1352" s="0" t="str">
        <f aca="false">IF(I1352="","",INDEX(הגדרות!$A$2:$A$21,MOD(I1352+הגדרות!$E$9,הגדרות!$E$6)+1))</f>
        <v/>
      </c>
    </row>
    <row r="1353" customFormat="false" ht="15" hidden="false" customHeight="false" outlineLevel="0" collapsed="false">
      <c r="A1353" s="0" t="str">
        <f aca="false">IF('הדבקת לידים'!A1353="","",IF(ISNUMBER('הדבקת לידים'!A1353),IF(הגדרות!$E$2&gt;0,TEXT('הדבקת לידים'!A1353,REPT("0",הגדרות!$E$2)),TEXT('הדבקת לידים'!A1353,"0")),TRIM('הדבקת לידים'!A1353)))</f>
        <v/>
      </c>
      <c r="B1353" s="0" t="str">
        <f aca="false">IF('הדבקת לידים'!B1353="","",IF(ISNUMBER('הדבקת לידים'!B1353),IF(הגדרות!$E$3&gt;0,TEXT('הדבקת לידים'!B1353,REPT("0",הגדרות!$E$3)),TEXT('הדבקת לידים'!B1353,"0")),TRIM('הדבקת לידים'!B1353)))</f>
        <v/>
      </c>
      <c r="C1353" s="0" t="n">
        <f aca="false">IF(OR(A1353&lt;&gt;"",B1353&lt;&gt;""),1,0)</f>
        <v>0</v>
      </c>
      <c r="D1353" s="0" t="str">
        <f aca="false">IF(C1353=1,MOD(ABS(SIN(ROW()*12.9898+'הדבקת לידים'!$F$2*78.233+IFERROR(--RIGHT(A1353,6),LEN(A1353))*0.0137+IFERROR(--RIGHT(B1353,6),LEN(B1353))*0.0071))*43758.5453,1),"")</f>
        <v/>
      </c>
      <c r="E1353" s="0" t="str">
        <f aca="false">IF(C1353=1,INT(MOD(ABS(SIN(D1353*7919.123+ROW()*0.618+'הדבקת לידים'!$F$2*1.3))*43758.5453,1)*1000000)*10000+ROW(),"")</f>
        <v/>
      </c>
      <c r="F1353" s="0" t="str">
        <f aca="false">IF(E1353="","",RANK(E1353,$E$2:$E$5001,1))</f>
        <v/>
      </c>
      <c r="G1353" s="0" t="n">
        <f aca="false">IF(A1353="",0,IF(SUMPRODUCT(--($A$2:$A$5001=A1353))&gt;1,1,0))</f>
        <v>0</v>
      </c>
      <c r="H1353" s="0" t="n">
        <f aca="false">ROW()-1</f>
        <v>1352</v>
      </c>
      <c r="I1353" s="0" t="str">
        <f aca="false">IF(OR(הגדרות!$E$6=0,H1353&gt;הגדרות!$E$5),"",IF(H1353-1&lt;הגדרות!$E$8*(הגדרות!$E$7+1),INT((H1353-1)/(הגדרות!$E$7+1)),הגדרות!$E$8+INT((H1353-1-הגדרות!$E$8*(הגדרות!$E$7+1))/הגדרות!$E$7)))</f>
        <v/>
      </c>
      <c r="J1353" s="0" t="str">
        <f aca="false">IF(I1353="","",IF(H1353-1&lt;הגדרות!$E$8*(הגדרות!$E$7+1),MOD(H1353-1,הגדרות!$E$7+1),MOD(H1353-1-הגדרות!$E$8*(הגדרות!$E$7+1),הגדרות!$E$7)))</f>
        <v/>
      </c>
      <c r="K1353" s="0" t="str">
        <f aca="false">IF(I1353="","",J1353*הגדרות!$E$6+I1353+1)</f>
        <v/>
      </c>
      <c r="L1353" s="0" t="str">
        <f aca="false">IF(K1353="","",MATCH(K1353,$F$2:$F$5001,0))</f>
        <v/>
      </c>
      <c r="M1353" s="0" t="str">
        <f aca="false">IF(I1353="","",INDEX(הגדרות!$A$2:$A$21,MOD(I1353+הגדרות!$E$9,הגדרות!$E$6)+1))</f>
        <v/>
      </c>
    </row>
    <row r="1354" customFormat="false" ht="15" hidden="false" customHeight="false" outlineLevel="0" collapsed="false">
      <c r="A1354" s="0" t="str">
        <f aca="false">IF('הדבקת לידים'!A1354="","",IF(ISNUMBER('הדבקת לידים'!A1354),IF(הגדרות!$E$2&gt;0,TEXT('הדבקת לידים'!A1354,REPT("0",הגדרות!$E$2)),TEXT('הדבקת לידים'!A1354,"0")),TRIM('הדבקת לידים'!A1354)))</f>
        <v/>
      </c>
      <c r="B1354" s="0" t="str">
        <f aca="false">IF('הדבקת לידים'!B1354="","",IF(ISNUMBER('הדבקת לידים'!B1354),IF(הגדרות!$E$3&gt;0,TEXT('הדבקת לידים'!B1354,REPT("0",הגדרות!$E$3)),TEXT('הדבקת לידים'!B1354,"0")),TRIM('הדבקת לידים'!B1354)))</f>
        <v/>
      </c>
      <c r="C1354" s="0" t="n">
        <f aca="false">IF(OR(A1354&lt;&gt;"",B1354&lt;&gt;""),1,0)</f>
        <v>0</v>
      </c>
      <c r="D1354" s="0" t="str">
        <f aca="false">IF(C1354=1,MOD(ABS(SIN(ROW()*12.9898+'הדבקת לידים'!$F$2*78.233+IFERROR(--RIGHT(A1354,6),LEN(A1354))*0.0137+IFERROR(--RIGHT(B1354,6),LEN(B1354))*0.0071))*43758.5453,1),"")</f>
        <v/>
      </c>
      <c r="E1354" s="0" t="str">
        <f aca="false">IF(C1354=1,INT(MOD(ABS(SIN(D1354*7919.123+ROW()*0.618+'הדבקת לידים'!$F$2*1.3))*43758.5453,1)*1000000)*10000+ROW(),"")</f>
        <v/>
      </c>
      <c r="F1354" s="0" t="str">
        <f aca="false">IF(E1354="","",RANK(E1354,$E$2:$E$5001,1))</f>
        <v/>
      </c>
      <c r="G1354" s="0" t="n">
        <f aca="false">IF(A1354="",0,IF(SUMPRODUCT(--($A$2:$A$5001=A1354))&gt;1,1,0))</f>
        <v>0</v>
      </c>
      <c r="H1354" s="0" t="n">
        <f aca="false">ROW()-1</f>
        <v>1353</v>
      </c>
      <c r="I1354" s="0" t="str">
        <f aca="false">IF(OR(הגדרות!$E$6=0,H1354&gt;הגדרות!$E$5),"",IF(H1354-1&lt;הגדרות!$E$8*(הגדרות!$E$7+1),INT((H1354-1)/(הגדרות!$E$7+1)),הגדרות!$E$8+INT((H1354-1-הגדרות!$E$8*(הגדרות!$E$7+1))/הגדרות!$E$7)))</f>
        <v/>
      </c>
      <c r="J1354" s="0" t="str">
        <f aca="false">IF(I1354="","",IF(H1354-1&lt;הגדרות!$E$8*(הגדרות!$E$7+1),MOD(H1354-1,הגדרות!$E$7+1),MOD(H1354-1-הגדרות!$E$8*(הגדרות!$E$7+1),הגדרות!$E$7)))</f>
        <v/>
      </c>
      <c r="K1354" s="0" t="str">
        <f aca="false">IF(I1354="","",J1354*הגדרות!$E$6+I1354+1)</f>
        <v/>
      </c>
      <c r="L1354" s="0" t="str">
        <f aca="false">IF(K1354="","",MATCH(K1354,$F$2:$F$5001,0))</f>
        <v/>
      </c>
      <c r="M1354" s="0" t="str">
        <f aca="false">IF(I1354="","",INDEX(הגדרות!$A$2:$A$21,MOD(I1354+הגדרות!$E$9,הגדרות!$E$6)+1))</f>
        <v/>
      </c>
    </row>
    <row r="1355" customFormat="false" ht="15" hidden="false" customHeight="false" outlineLevel="0" collapsed="false">
      <c r="A1355" s="0" t="str">
        <f aca="false">IF('הדבקת לידים'!A1355="","",IF(ISNUMBER('הדבקת לידים'!A1355),IF(הגדרות!$E$2&gt;0,TEXT('הדבקת לידים'!A1355,REPT("0",הגדרות!$E$2)),TEXT('הדבקת לידים'!A1355,"0")),TRIM('הדבקת לידים'!A1355)))</f>
        <v/>
      </c>
      <c r="B1355" s="0" t="str">
        <f aca="false">IF('הדבקת לידים'!B1355="","",IF(ISNUMBER('הדבקת לידים'!B1355),IF(הגדרות!$E$3&gt;0,TEXT('הדבקת לידים'!B1355,REPT("0",הגדרות!$E$3)),TEXT('הדבקת לידים'!B1355,"0")),TRIM('הדבקת לידים'!B1355)))</f>
        <v/>
      </c>
      <c r="C1355" s="0" t="n">
        <f aca="false">IF(OR(A1355&lt;&gt;"",B1355&lt;&gt;""),1,0)</f>
        <v>0</v>
      </c>
      <c r="D1355" s="0" t="str">
        <f aca="false">IF(C1355=1,MOD(ABS(SIN(ROW()*12.9898+'הדבקת לידים'!$F$2*78.233+IFERROR(--RIGHT(A1355,6),LEN(A1355))*0.0137+IFERROR(--RIGHT(B1355,6),LEN(B1355))*0.0071))*43758.5453,1),"")</f>
        <v/>
      </c>
      <c r="E1355" s="0" t="str">
        <f aca="false">IF(C1355=1,INT(MOD(ABS(SIN(D1355*7919.123+ROW()*0.618+'הדבקת לידים'!$F$2*1.3))*43758.5453,1)*1000000)*10000+ROW(),"")</f>
        <v/>
      </c>
      <c r="F1355" s="0" t="str">
        <f aca="false">IF(E1355="","",RANK(E1355,$E$2:$E$5001,1))</f>
        <v/>
      </c>
      <c r="G1355" s="0" t="n">
        <f aca="false">IF(A1355="",0,IF(SUMPRODUCT(--($A$2:$A$5001=A1355))&gt;1,1,0))</f>
        <v>0</v>
      </c>
      <c r="H1355" s="0" t="n">
        <f aca="false">ROW()-1</f>
        <v>1354</v>
      </c>
      <c r="I1355" s="0" t="str">
        <f aca="false">IF(OR(הגדרות!$E$6=0,H1355&gt;הגדרות!$E$5),"",IF(H1355-1&lt;הגדרות!$E$8*(הגדרות!$E$7+1),INT((H1355-1)/(הגדרות!$E$7+1)),הגדרות!$E$8+INT((H1355-1-הגדרות!$E$8*(הגדרות!$E$7+1))/הגדרות!$E$7)))</f>
        <v/>
      </c>
      <c r="J1355" s="0" t="str">
        <f aca="false">IF(I1355="","",IF(H1355-1&lt;הגדרות!$E$8*(הגדרות!$E$7+1),MOD(H1355-1,הגדרות!$E$7+1),MOD(H1355-1-הגדרות!$E$8*(הגדרות!$E$7+1),הגדרות!$E$7)))</f>
        <v/>
      </c>
      <c r="K1355" s="0" t="str">
        <f aca="false">IF(I1355="","",J1355*הגדרות!$E$6+I1355+1)</f>
        <v/>
      </c>
      <c r="L1355" s="0" t="str">
        <f aca="false">IF(K1355="","",MATCH(K1355,$F$2:$F$5001,0))</f>
        <v/>
      </c>
      <c r="M1355" s="0" t="str">
        <f aca="false">IF(I1355="","",INDEX(הגדרות!$A$2:$A$21,MOD(I1355+הגדרות!$E$9,הגדרות!$E$6)+1))</f>
        <v/>
      </c>
    </row>
    <row r="1356" customFormat="false" ht="15" hidden="false" customHeight="false" outlineLevel="0" collapsed="false">
      <c r="A1356" s="0" t="str">
        <f aca="false">IF('הדבקת לידים'!A1356="","",IF(ISNUMBER('הדבקת לידים'!A1356),IF(הגדרות!$E$2&gt;0,TEXT('הדבקת לידים'!A1356,REPT("0",הגדרות!$E$2)),TEXT('הדבקת לידים'!A1356,"0")),TRIM('הדבקת לידים'!A1356)))</f>
        <v/>
      </c>
      <c r="B1356" s="0" t="str">
        <f aca="false">IF('הדבקת לידים'!B1356="","",IF(ISNUMBER('הדבקת לידים'!B1356),IF(הגדרות!$E$3&gt;0,TEXT('הדבקת לידים'!B1356,REPT("0",הגדרות!$E$3)),TEXT('הדבקת לידים'!B1356,"0")),TRIM('הדבקת לידים'!B1356)))</f>
        <v/>
      </c>
      <c r="C1356" s="0" t="n">
        <f aca="false">IF(OR(A1356&lt;&gt;"",B1356&lt;&gt;""),1,0)</f>
        <v>0</v>
      </c>
      <c r="D1356" s="0" t="str">
        <f aca="false">IF(C1356=1,MOD(ABS(SIN(ROW()*12.9898+'הדבקת לידים'!$F$2*78.233+IFERROR(--RIGHT(A1356,6),LEN(A1356))*0.0137+IFERROR(--RIGHT(B1356,6),LEN(B1356))*0.0071))*43758.5453,1),"")</f>
        <v/>
      </c>
      <c r="E1356" s="0" t="str">
        <f aca="false">IF(C1356=1,INT(MOD(ABS(SIN(D1356*7919.123+ROW()*0.618+'הדבקת לידים'!$F$2*1.3))*43758.5453,1)*1000000)*10000+ROW(),"")</f>
        <v/>
      </c>
      <c r="F1356" s="0" t="str">
        <f aca="false">IF(E1356="","",RANK(E1356,$E$2:$E$5001,1))</f>
        <v/>
      </c>
      <c r="G1356" s="0" t="n">
        <f aca="false">IF(A1356="",0,IF(SUMPRODUCT(--($A$2:$A$5001=A1356))&gt;1,1,0))</f>
        <v>0</v>
      </c>
      <c r="H1356" s="0" t="n">
        <f aca="false">ROW()-1</f>
        <v>1355</v>
      </c>
      <c r="I1356" s="0" t="str">
        <f aca="false">IF(OR(הגדרות!$E$6=0,H1356&gt;הגדרות!$E$5),"",IF(H1356-1&lt;הגדרות!$E$8*(הגדרות!$E$7+1),INT((H1356-1)/(הגדרות!$E$7+1)),הגדרות!$E$8+INT((H1356-1-הגדרות!$E$8*(הגדרות!$E$7+1))/הגדרות!$E$7)))</f>
        <v/>
      </c>
      <c r="J1356" s="0" t="str">
        <f aca="false">IF(I1356="","",IF(H1356-1&lt;הגדרות!$E$8*(הגדרות!$E$7+1),MOD(H1356-1,הגדרות!$E$7+1),MOD(H1356-1-הגדרות!$E$8*(הגדרות!$E$7+1),הגדרות!$E$7)))</f>
        <v/>
      </c>
      <c r="K1356" s="0" t="str">
        <f aca="false">IF(I1356="","",J1356*הגדרות!$E$6+I1356+1)</f>
        <v/>
      </c>
      <c r="L1356" s="0" t="str">
        <f aca="false">IF(K1356="","",MATCH(K1356,$F$2:$F$5001,0))</f>
        <v/>
      </c>
      <c r="M1356" s="0" t="str">
        <f aca="false">IF(I1356="","",INDEX(הגדרות!$A$2:$A$21,MOD(I1356+הגדרות!$E$9,הגדרות!$E$6)+1))</f>
        <v/>
      </c>
    </row>
    <row r="1357" customFormat="false" ht="15" hidden="false" customHeight="false" outlineLevel="0" collapsed="false">
      <c r="A1357" s="0" t="str">
        <f aca="false">IF('הדבקת לידים'!A1357="","",IF(ISNUMBER('הדבקת לידים'!A1357),IF(הגדרות!$E$2&gt;0,TEXT('הדבקת לידים'!A1357,REPT("0",הגדרות!$E$2)),TEXT('הדבקת לידים'!A1357,"0")),TRIM('הדבקת לידים'!A1357)))</f>
        <v/>
      </c>
      <c r="B1357" s="0" t="str">
        <f aca="false">IF('הדבקת לידים'!B1357="","",IF(ISNUMBER('הדבקת לידים'!B1357),IF(הגדרות!$E$3&gt;0,TEXT('הדבקת לידים'!B1357,REPT("0",הגדרות!$E$3)),TEXT('הדבקת לידים'!B1357,"0")),TRIM('הדבקת לידים'!B1357)))</f>
        <v/>
      </c>
      <c r="C1357" s="0" t="n">
        <f aca="false">IF(OR(A1357&lt;&gt;"",B1357&lt;&gt;""),1,0)</f>
        <v>0</v>
      </c>
      <c r="D1357" s="0" t="str">
        <f aca="false">IF(C1357=1,MOD(ABS(SIN(ROW()*12.9898+'הדבקת לידים'!$F$2*78.233+IFERROR(--RIGHT(A1357,6),LEN(A1357))*0.0137+IFERROR(--RIGHT(B1357,6),LEN(B1357))*0.0071))*43758.5453,1),"")</f>
        <v/>
      </c>
      <c r="E1357" s="0" t="str">
        <f aca="false">IF(C1357=1,INT(MOD(ABS(SIN(D1357*7919.123+ROW()*0.618+'הדבקת לידים'!$F$2*1.3))*43758.5453,1)*1000000)*10000+ROW(),"")</f>
        <v/>
      </c>
      <c r="F1357" s="0" t="str">
        <f aca="false">IF(E1357="","",RANK(E1357,$E$2:$E$5001,1))</f>
        <v/>
      </c>
      <c r="G1357" s="0" t="n">
        <f aca="false">IF(A1357="",0,IF(SUMPRODUCT(--($A$2:$A$5001=A1357))&gt;1,1,0))</f>
        <v>0</v>
      </c>
      <c r="H1357" s="0" t="n">
        <f aca="false">ROW()-1</f>
        <v>1356</v>
      </c>
      <c r="I1357" s="0" t="str">
        <f aca="false">IF(OR(הגדרות!$E$6=0,H1357&gt;הגדרות!$E$5),"",IF(H1357-1&lt;הגדרות!$E$8*(הגדרות!$E$7+1),INT((H1357-1)/(הגדרות!$E$7+1)),הגדרות!$E$8+INT((H1357-1-הגדרות!$E$8*(הגדרות!$E$7+1))/הגדרות!$E$7)))</f>
        <v/>
      </c>
      <c r="J1357" s="0" t="str">
        <f aca="false">IF(I1357="","",IF(H1357-1&lt;הגדרות!$E$8*(הגדרות!$E$7+1),MOD(H1357-1,הגדרות!$E$7+1),MOD(H1357-1-הגדרות!$E$8*(הגדרות!$E$7+1),הגדרות!$E$7)))</f>
        <v/>
      </c>
      <c r="K1357" s="0" t="str">
        <f aca="false">IF(I1357="","",J1357*הגדרות!$E$6+I1357+1)</f>
        <v/>
      </c>
      <c r="L1357" s="0" t="str">
        <f aca="false">IF(K1357="","",MATCH(K1357,$F$2:$F$5001,0))</f>
        <v/>
      </c>
      <c r="M1357" s="0" t="str">
        <f aca="false">IF(I1357="","",INDEX(הגדרות!$A$2:$A$21,MOD(I1357+הגדרות!$E$9,הגדרות!$E$6)+1))</f>
        <v/>
      </c>
    </row>
    <row r="1358" customFormat="false" ht="15" hidden="false" customHeight="false" outlineLevel="0" collapsed="false">
      <c r="A1358" s="0" t="str">
        <f aca="false">IF('הדבקת לידים'!A1358="","",IF(ISNUMBER('הדבקת לידים'!A1358),IF(הגדרות!$E$2&gt;0,TEXT('הדבקת לידים'!A1358,REPT("0",הגדרות!$E$2)),TEXT('הדבקת לידים'!A1358,"0")),TRIM('הדבקת לידים'!A1358)))</f>
        <v/>
      </c>
      <c r="B1358" s="0" t="str">
        <f aca="false">IF('הדבקת לידים'!B1358="","",IF(ISNUMBER('הדבקת לידים'!B1358),IF(הגדרות!$E$3&gt;0,TEXT('הדבקת לידים'!B1358,REPT("0",הגדרות!$E$3)),TEXT('הדבקת לידים'!B1358,"0")),TRIM('הדבקת לידים'!B1358)))</f>
        <v/>
      </c>
      <c r="C1358" s="0" t="n">
        <f aca="false">IF(OR(A1358&lt;&gt;"",B1358&lt;&gt;""),1,0)</f>
        <v>0</v>
      </c>
      <c r="D1358" s="0" t="str">
        <f aca="false">IF(C1358=1,MOD(ABS(SIN(ROW()*12.9898+'הדבקת לידים'!$F$2*78.233+IFERROR(--RIGHT(A1358,6),LEN(A1358))*0.0137+IFERROR(--RIGHT(B1358,6),LEN(B1358))*0.0071))*43758.5453,1),"")</f>
        <v/>
      </c>
      <c r="E1358" s="0" t="str">
        <f aca="false">IF(C1358=1,INT(MOD(ABS(SIN(D1358*7919.123+ROW()*0.618+'הדבקת לידים'!$F$2*1.3))*43758.5453,1)*1000000)*10000+ROW(),"")</f>
        <v/>
      </c>
      <c r="F1358" s="0" t="str">
        <f aca="false">IF(E1358="","",RANK(E1358,$E$2:$E$5001,1))</f>
        <v/>
      </c>
      <c r="G1358" s="0" t="n">
        <f aca="false">IF(A1358="",0,IF(SUMPRODUCT(--($A$2:$A$5001=A1358))&gt;1,1,0))</f>
        <v>0</v>
      </c>
      <c r="H1358" s="0" t="n">
        <f aca="false">ROW()-1</f>
        <v>1357</v>
      </c>
      <c r="I1358" s="0" t="str">
        <f aca="false">IF(OR(הגדרות!$E$6=0,H1358&gt;הגדרות!$E$5),"",IF(H1358-1&lt;הגדרות!$E$8*(הגדרות!$E$7+1),INT((H1358-1)/(הגדרות!$E$7+1)),הגדרות!$E$8+INT((H1358-1-הגדרות!$E$8*(הגדרות!$E$7+1))/הגדרות!$E$7)))</f>
        <v/>
      </c>
      <c r="J1358" s="0" t="str">
        <f aca="false">IF(I1358="","",IF(H1358-1&lt;הגדרות!$E$8*(הגדרות!$E$7+1),MOD(H1358-1,הגדרות!$E$7+1),MOD(H1358-1-הגדרות!$E$8*(הגדרות!$E$7+1),הגדרות!$E$7)))</f>
        <v/>
      </c>
      <c r="K1358" s="0" t="str">
        <f aca="false">IF(I1358="","",J1358*הגדרות!$E$6+I1358+1)</f>
        <v/>
      </c>
      <c r="L1358" s="0" t="str">
        <f aca="false">IF(K1358="","",MATCH(K1358,$F$2:$F$5001,0))</f>
        <v/>
      </c>
      <c r="M1358" s="0" t="str">
        <f aca="false">IF(I1358="","",INDEX(הגדרות!$A$2:$A$21,MOD(I1358+הגדרות!$E$9,הגדרות!$E$6)+1))</f>
        <v/>
      </c>
    </row>
    <row r="1359" customFormat="false" ht="15" hidden="false" customHeight="false" outlineLevel="0" collapsed="false">
      <c r="A1359" s="0" t="str">
        <f aca="false">IF('הדבקת לידים'!A1359="","",IF(ISNUMBER('הדבקת לידים'!A1359),IF(הגדרות!$E$2&gt;0,TEXT('הדבקת לידים'!A1359,REPT("0",הגדרות!$E$2)),TEXT('הדבקת לידים'!A1359,"0")),TRIM('הדבקת לידים'!A1359)))</f>
        <v/>
      </c>
      <c r="B1359" s="0" t="str">
        <f aca="false">IF('הדבקת לידים'!B1359="","",IF(ISNUMBER('הדבקת לידים'!B1359),IF(הגדרות!$E$3&gt;0,TEXT('הדבקת לידים'!B1359,REPT("0",הגדרות!$E$3)),TEXT('הדבקת לידים'!B1359,"0")),TRIM('הדבקת לידים'!B1359)))</f>
        <v/>
      </c>
      <c r="C1359" s="0" t="n">
        <f aca="false">IF(OR(A1359&lt;&gt;"",B1359&lt;&gt;""),1,0)</f>
        <v>0</v>
      </c>
      <c r="D1359" s="0" t="str">
        <f aca="false">IF(C1359=1,MOD(ABS(SIN(ROW()*12.9898+'הדבקת לידים'!$F$2*78.233+IFERROR(--RIGHT(A1359,6),LEN(A1359))*0.0137+IFERROR(--RIGHT(B1359,6),LEN(B1359))*0.0071))*43758.5453,1),"")</f>
        <v/>
      </c>
      <c r="E1359" s="0" t="str">
        <f aca="false">IF(C1359=1,INT(MOD(ABS(SIN(D1359*7919.123+ROW()*0.618+'הדבקת לידים'!$F$2*1.3))*43758.5453,1)*1000000)*10000+ROW(),"")</f>
        <v/>
      </c>
      <c r="F1359" s="0" t="str">
        <f aca="false">IF(E1359="","",RANK(E1359,$E$2:$E$5001,1))</f>
        <v/>
      </c>
      <c r="G1359" s="0" t="n">
        <f aca="false">IF(A1359="",0,IF(SUMPRODUCT(--($A$2:$A$5001=A1359))&gt;1,1,0))</f>
        <v>0</v>
      </c>
      <c r="H1359" s="0" t="n">
        <f aca="false">ROW()-1</f>
        <v>1358</v>
      </c>
      <c r="I1359" s="0" t="str">
        <f aca="false">IF(OR(הגדרות!$E$6=0,H1359&gt;הגדרות!$E$5),"",IF(H1359-1&lt;הגדרות!$E$8*(הגדרות!$E$7+1),INT((H1359-1)/(הגדרות!$E$7+1)),הגדרות!$E$8+INT((H1359-1-הגדרות!$E$8*(הגדרות!$E$7+1))/הגדרות!$E$7)))</f>
        <v/>
      </c>
      <c r="J1359" s="0" t="str">
        <f aca="false">IF(I1359="","",IF(H1359-1&lt;הגדרות!$E$8*(הגדרות!$E$7+1),MOD(H1359-1,הגדרות!$E$7+1),MOD(H1359-1-הגדרות!$E$8*(הגדרות!$E$7+1),הגדרות!$E$7)))</f>
        <v/>
      </c>
      <c r="K1359" s="0" t="str">
        <f aca="false">IF(I1359="","",J1359*הגדרות!$E$6+I1359+1)</f>
        <v/>
      </c>
      <c r="L1359" s="0" t="str">
        <f aca="false">IF(K1359="","",MATCH(K1359,$F$2:$F$5001,0))</f>
        <v/>
      </c>
      <c r="M1359" s="0" t="str">
        <f aca="false">IF(I1359="","",INDEX(הגדרות!$A$2:$A$21,MOD(I1359+הגדרות!$E$9,הגדרות!$E$6)+1))</f>
        <v/>
      </c>
    </row>
    <row r="1360" customFormat="false" ht="15" hidden="false" customHeight="false" outlineLevel="0" collapsed="false">
      <c r="A1360" s="0" t="str">
        <f aca="false">IF('הדבקת לידים'!A1360="","",IF(ISNUMBER('הדבקת לידים'!A1360),IF(הגדרות!$E$2&gt;0,TEXT('הדבקת לידים'!A1360,REPT("0",הגדרות!$E$2)),TEXT('הדבקת לידים'!A1360,"0")),TRIM('הדבקת לידים'!A1360)))</f>
        <v/>
      </c>
      <c r="B1360" s="0" t="str">
        <f aca="false">IF('הדבקת לידים'!B1360="","",IF(ISNUMBER('הדבקת לידים'!B1360),IF(הגדרות!$E$3&gt;0,TEXT('הדבקת לידים'!B1360,REPT("0",הגדרות!$E$3)),TEXT('הדבקת לידים'!B1360,"0")),TRIM('הדבקת לידים'!B1360)))</f>
        <v/>
      </c>
      <c r="C1360" s="0" t="n">
        <f aca="false">IF(OR(A1360&lt;&gt;"",B1360&lt;&gt;""),1,0)</f>
        <v>0</v>
      </c>
      <c r="D1360" s="0" t="str">
        <f aca="false">IF(C1360=1,MOD(ABS(SIN(ROW()*12.9898+'הדבקת לידים'!$F$2*78.233+IFERROR(--RIGHT(A1360,6),LEN(A1360))*0.0137+IFERROR(--RIGHT(B1360,6),LEN(B1360))*0.0071))*43758.5453,1),"")</f>
        <v/>
      </c>
      <c r="E1360" s="0" t="str">
        <f aca="false">IF(C1360=1,INT(MOD(ABS(SIN(D1360*7919.123+ROW()*0.618+'הדבקת לידים'!$F$2*1.3))*43758.5453,1)*1000000)*10000+ROW(),"")</f>
        <v/>
      </c>
      <c r="F1360" s="0" t="str">
        <f aca="false">IF(E1360="","",RANK(E1360,$E$2:$E$5001,1))</f>
        <v/>
      </c>
      <c r="G1360" s="0" t="n">
        <f aca="false">IF(A1360="",0,IF(SUMPRODUCT(--($A$2:$A$5001=A1360))&gt;1,1,0))</f>
        <v>0</v>
      </c>
      <c r="H1360" s="0" t="n">
        <f aca="false">ROW()-1</f>
        <v>1359</v>
      </c>
      <c r="I1360" s="0" t="str">
        <f aca="false">IF(OR(הגדרות!$E$6=0,H1360&gt;הגדרות!$E$5),"",IF(H1360-1&lt;הגדרות!$E$8*(הגדרות!$E$7+1),INT((H1360-1)/(הגדרות!$E$7+1)),הגדרות!$E$8+INT((H1360-1-הגדרות!$E$8*(הגדרות!$E$7+1))/הגדרות!$E$7)))</f>
        <v/>
      </c>
      <c r="J1360" s="0" t="str">
        <f aca="false">IF(I1360="","",IF(H1360-1&lt;הגדרות!$E$8*(הגדרות!$E$7+1),MOD(H1360-1,הגדרות!$E$7+1),MOD(H1360-1-הגדרות!$E$8*(הגדרות!$E$7+1),הגדרות!$E$7)))</f>
        <v/>
      </c>
      <c r="K1360" s="0" t="str">
        <f aca="false">IF(I1360="","",J1360*הגדרות!$E$6+I1360+1)</f>
        <v/>
      </c>
      <c r="L1360" s="0" t="str">
        <f aca="false">IF(K1360="","",MATCH(K1360,$F$2:$F$5001,0))</f>
        <v/>
      </c>
      <c r="M1360" s="0" t="str">
        <f aca="false">IF(I1360="","",INDEX(הגדרות!$A$2:$A$21,MOD(I1360+הגדרות!$E$9,הגדרות!$E$6)+1))</f>
        <v/>
      </c>
    </row>
    <row r="1361" customFormat="false" ht="15" hidden="false" customHeight="false" outlineLevel="0" collapsed="false">
      <c r="A1361" s="0" t="str">
        <f aca="false">IF('הדבקת לידים'!A1361="","",IF(ISNUMBER('הדבקת לידים'!A1361),IF(הגדרות!$E$2&gt;0,TEXT('הדבקת לידים'!A1361,REPT("0",הגדרות!$E$2)),TEXT('הדבקת לידים'!A1361,"0")),TRIM('הדבקת לידים'!A1361)))</f>
        <v/>
      </c>
      <c r="B1361" s="0" t="str">
        <f aca="false">IF('הדבקת לידים'!B1361="","",IF(ISNUMBER('הדבקת לידים'!B1361),IF(הגדרות!$E$3&gt;0,TEXT('הדבקת לידים'!B1361,REPT("0",הגדרות!$E$3)),TEXT('הדבקת לידים'!B1361,"0")),TRIM('הדבקת לידים'!B1361)))</f>
        <v/>
      </c>
      <c r="C1361" s="0" t="n">
        <f aca="false">IF(OR(A1361&lt;&gt;"",B1361&lt;&gt;""),1,0)</f>
        <v>0</v>
      </c>
      <c r="D1361" s="0" t="str">
        <f aca="false">IF(C1361=1,MOD(ABS(SIN(ROW()*12.9898+'הדבקת לידים'!$F$2*78.233+IFERROR(--RIGHT(A1361,6),LEN(A1361))*0.0137+IFERROR(--RIGHT(B1361,6),LEN(B1361))*0.0071))*43758.5453,1),"")</f>
        <v/>
      </c>
      <c r="E1361" s="0" t="str">
        <f aca="false">IF(C1361=1,INT(MOD(ABS(SIN(D1361*7919.123+ROW()*0.618+'הדבקת לידים'!$F$2*1.3))*43758.5453,1)*1000000)*10000+ROW(),"")</f>
        <v/>
      </c>
      <c r="F1361" s="0" t="str">
        <f aca="false">IF(E1361="","",RANK(E1361,$E$2:$E$5001,1))</f>
        <v/>
      </c>
      <c r="G1361" s="0" t="n">
        <f aca="false">IF(A1361="",0,IF(SUMPRODUCT(--($A$2:$A$5001=A1361))&gt;1,1,0))</f>
        <v>0</v>
      </c>
      <c r="H1361" s="0" t="n">
        <f aca="false">ROW()-1</f>
        <v>1360</v>
      </c>
      <c r="I1361" s="0" t="str">
        <f aca="false">IF(OR(הגדרות!$E$6=0,H1361&gt;הגדרות!$E$5),"",IF(H1361-1&lt;הגדרות!$E$8*(הגדרות!$E$7+1),INT((H1361-1)/(הגדרות!$E$7+1)),הגדרות!$E$8+INT((H1361-1-הגדרות!$E$8*(הגדרות!$E$7+1))/הגדרות!$E$7)))</f>
        <v/>
      </c>
      <c r="J1361" s="0" t="str">
        <f aca="false">IF(I1361="","",IF(H1361-1&lt;הגדרות!$E$8*(הגדרות!$E$7+1),MOD(H1361-1,הגדרות!$E$7+1),MOD(H1361-1-הגדרות!$E$8*(הגדרות!$E$7+1),הגדרות!$E$7)))</f>
        <v/>
      </c>
      <c r="K1361" s="0" t="str">
        <f aca="false">IF(I1361="","",J1361*הגדרות!$E$6+I1361+1)</f>
        <v/>
      </c>
      <c r="L1361" s="0" t="str">
        <f aca="false">IF(K1361="","",MATCH(K1361,$F$2:$F$5001,0))</f>
        <v/>
      </c>
      <c r="M1361" s="0" t="str">
        <f aca="false">IF(I1361="","",INDEX(הגדרות!$A$2:$A$21,MOD(I1361+הגדרות!$E$9,הגדרות!$E$6)+1))</f>
        <v/>
      </c>
    </row>
    <row r="1362" customFormat="false" ht="15" hidden="false" customHeight="false" outlineLevel="0" collapsed="false">
      <c r="A1362" s="0" t="str">
        <f aca="false">IF('הדבקת לידים'!A1362="","",IF(ISNUMBER('הדבקת לידים'!A1362),IF(הגדרות!$E$2&gt;0,TEXT('הדבקת לידים'!A1362,REPT("0",הגדרות!$E$2)),TEXT('הדבקת לידים'!A1362,"0")),TRIM('הדבקת לידים'!A1362)))</f>
        <v/>
      </c>
      <c r="B1362" s="0" t="str">
        <f aca="false">IF('הדבקת לידים'!B1362="","",IF(ISNUMBER('הדבקת לידים'!B1362),IF(הגדרות!$E$3&gt;0,TEXT('הדבקת לידים'!B1362,REPT("0",הגדרות!$E$3)),TEXT('הדבקת לידים'!B1362,"0")),TRIM('הדבקת לידים'!B1362)))</f>
        <v/>
      </c>
      <c r="C1362" s="0" t="n">
        <f aca="false">IF(OR(A1362&lt;&gt;"",B1362&lt;&gt;""),1,0)</f>
        <v>0</v>
      </c>
      <c r="D1362" s="0" t="str">
        <f aca="false">IF(C1362=1,MOD(ABS(SIN(ROW()*12.9898+'הדבקת לידים'!$F$2*78.233+IFERROR(--RIGHT(A1362,6),LEN(A1362))*0.0137+IFERROR(--RIGHT(B1362,6),LEN(B1362))*0.0071))*43758.5453,1),"")</f>
        <v/>
      </c>
      <c r="E1362" s="0" t="str">
        <f aca="false">IF(C1362=1,INT(MOD(ABS(SIN(D1362*7919.123+ROW()*0.618+'הדבקת לידים'!$F$2*1.3))*43758.5453,1)*1000000)*10000+ROW(),"")</f>
        <v/>
      </c>
      <c r="F1362" s="0" t="str">
        <f aca="false">IF(E1362="","",RANK(E1362,$E$2:$E$5001,1))</f>
        <v/>
      </c>
      <c r="G1362" s="0" t="n">
        <f aca="false">IF(A1362="",0,IF(SUMPRODUCT(--($A$2:$A$5001=A1362))&gt;1,1,0))</f>
        <v>0</v>
      </c>
      <c r="H1362" s="0" t="n">
        <f aca="false">ROW()-1</f>
        <v>1361</v>
      </c>
      <c r="I1362" s="0" t="str">
        <f aca="false">IF(OR(הגדרות!$E$6=0,H1362&gt;הגדרות!$E$5),"",IF(H1362-1&lt;הגדרות!$E$8*(הגדרות!$E$7+1),INT((H1362-1)/(הגדרות!$E$7+1)),הגדרות!$E$8+INT((H1362-1-הגדרות!$E$8*(הגדרות!$E$7+1))/הגדרות!$E$7)))</f>
        <v/>
      </c>
      <c r="J1362" s="0" t="str">
        <f aca="false">IF(I1362="","",IF(H1362-1&lt;הגדרות!$E$8*(הגדרות!$E$7+1),MOD(H1362-1,הגדרות!$E$7+1),MOD(H1362-1-הגדרות!$E$8*(הגדרות!$E$7+1),הגדרות!$E$7)))</f>
        <v/>
      </c>
      <c r="K1362" s="0" t="str">
        <f aca="false">IF(I1362="","",J1362*הגדרות!$E$6+I1362+1)</f>
        <v/>
      </c>
      <c r="L1362" s="0" t="str">
        <f aca="false">IF(K1362="","",MATCH(K1362,$F$2:$F$5001,0))</f>
        <v/>
      </c>
      <c r="M1362" s="0" t="str">
        <f aca="false">IF(I1362="","",INDEX(הגדרות!$A$2:$A$21,MOD(I1362+הגדרות!$E$9,הגדרות!$E$6)+1))</f>
        <v/>
      </c>
    </row>
    <row r="1363" customFormat="false" ht="15" hidden="false" customHeight="false" outlineLevel="0" collapsed="false">
      <c r="A1363" s="0" t="str">
        <f aca="false">IF('הדבקת לידים'!A1363="","",IF(ISNUMBER('הדבקת לידים'!A1363),IF(הגדרות!$E$2&gt;0,TEXT('הדבקת לידים'!A1363,REPT("0",הגדרות!$E$2)),TEXT('הדבקת לידים'!A1363,"0")),TRIM('הדבקת לידים'!A1363)))</f>
        <v/>
      </c>
      <c r="B1363" s="0" t="str">
        <f aca="false">IF('הדבקת לידים'!B1363="","",IF(ISNUMBER('הדבקת לידים'!B1363),IF(הגדרות!$E$3&gt;0,TEXT('הדבקת לידים'!B1363,REPT("0",הגדרות!$E$3)),TEXT('הדבקת לידים'!B1363,"0")),TRIM('הדבקת לידים'!B1363)))</f>
        <v/>
      </c>
      <c r="C1363" s="0" t="n">
        <f aca="false">IF(OR(A1363&lt;&gt;"",B1363&lt;&gt;""),1,0)</f>
        <v>0</v>
      </c>
      <c r="D1363" s="0" t="str">
        <f aca="false">IF(C1363=1,MOD(ABS(SIN(ROW()*12.9898+'הדבקת לידים'!$F$2*78.233+IFERROR(--RIGHT(A1363,6),LEN(A1363))*0.0137+IFERROR(--RIGHT(B1363,6),LEN(B1363))*0.0071))*43758.5453,1),"")</f>
        <v/>
      </c>
      <c r="E1363" s="0" t="str">
        <f aca="false">IF(C1363=1,INT(MOD(ABS(SIN(D1363*7919.123+ROW()*0.618+'הדבקת לידים'!$F$2*1.3))*43758.5453,1)*1000000)*10000+ROW(),"")</f>
        <v/>
      </c>
      <c r="F1363" s="0" t="str">
        <f aca="false">IF(E1363="","",RANK(E1363,$E$2:$E$5001,1))</f>
        <v/>
      </c>
      <c r="G1363" s="0" t="n">
        <f aca="false">IF(A1363="",0,IF(SUMPRODUCT(--($A$2:$A$5001=A1363))&gt;1,1,0))</f>
        <v>0</v>
      </c>
      <c r="H1363" s="0" t="n">
        <f aca="false">ROW()-1</f>
        <v>1362</v>
      </c>
      <c r="I1363" s="0" t="str">
        <f aca="false">IF(OR(הגדרות!$E$6=0,H1363&gt;הגדרות!$E$5),"",IF(H1363-1&lt;הגדרות!$E$8*(הגדרות!$E$7+1),INT((H1363-1)/(הגדרות!$E$7+1)),הגדרות!$E$8+INT((H1363-1-הגדרות!$E$8*(הגדרות!$E$7+1))/הגדרות!$E$7)))</f>
        <v/>
      </c>
      <c r="J1363" s="0" t="str">
        <f aca="false">IF(I1363="","",IF(H1363-1&lt;הגדרות!$E$8*(הגדרות!$E$7+1),MOD(H1363-1,הגדרות!$E$7+1),MOD(H1363-1-הגדרות!$E$8*(הגדרות!$E$7+1),הגדרות!$E$7)))</f>
        <v/>
      </c>
      <c r="K1363" s="0" t="str">
        <f aca="false">IF(I1363="","",J1363*הגדרות!$E$6+I1363+1)</f>
        <v/>
      </c>
      <c r="L1363" s="0" t="str">
        <f aca="false">IF(K1363="","",MATCH(K1363,$F$2:$F$5001,0))</f>
        <v/>
      </c>
      <c r="M1363" s="0" t="str">
        <f aca="false">IF(I1363="","",INDEX(הגדרות!$A$2:$A$21,MOD(I1363+הגדרות!$E$9,הגדרות!$E$6)+1))</f>
        <v/>
      </c>
    </row>
    <row r="1364" customFormat="false" ht="15" hidden="false" customHeight="false" outlineLevel="0" collapsed="false">
      <c r="A1364" s="0" t="str">
        <f aca="false">IF('הדבקת לידים'!A1364="","",IF(ISNUMBER('הדבקת לידים'!A1364),IF(הגדרות!$E$2&gt;0,TEXT('הדבקת לידים'!A1364,REPT("0",הגדרות!$E$2)),TEXT('הדבקת לידים'!A1364,"0")),TRIM('הדבקת לידים'!A1364)))</f>
        <v/>
      </c>
      <c r="B1364" s="0" t="str">
        <f aca="false">IF('הדבקת לידים'!B1364="","",IF(ISNUMBER('הדבקת לידים'!B1364),IF(הגדרות!$E$3&gt;0,TEXT('הדבקת לידים'!B1364,REPT("0",הגדרות!$E$3)),TEXT('הדבקת לידים'!B1364,"0")),TRIM('הדבקת לידים'!B1364)))</f>
        <v/>
      </c>
      <c r="C1364" s="0" t="n">
        <f aca="false">IF(OR(A1364&lt;&gt;"",B1364&lt;&gt;""),1,0)</f>
        <v>0</v>
      </c>
      <c r="D1364" s="0" t="str">
        <f aca="false">IF(C1364=1,MOD(ABS(SIN(ROW()*12.9898+'הדבקת לידים'!$F$2*78.233+IFERROR(--RIGHT(A1364,6),LEN(A1364))*0.0137+IFERROR(--RIGHT(B1364,6),LEN(B1364))*0.0071))*43758.5453,1),"")</f>
        <v/>
      </c>
      <c r="E1364" s="0" t="str">
        <f aca="false">IF(C1364=1,INT(MOD(ABS(SIN(D1364*7919.123+ROW()*0.618+'הדבקת לידים'!$F$2*1.3))*43758.5453,1)*1000000)*10000+ROW(),"")</f>
        <v/>
      </c>
      <c r="F1364" s="0" t="str">
        <f aca="false">IF(E1364="","",RANK(E1364,$E$2:$E$5001,1))</f>
        <v/>
      </c>
      <c r="G1364" s="0" t="n">
        <f aca="false">IF(A1364="",0,IF(SUMPRODUCT(--($A$2:$A$5001=A1364))&gt;1,1,0))</f>
        <v>0</v>
      </c>
      <c r="H1364" s="0" t="n">
        <f aca="false">ROW()-1</f>
        <v>1363</v>
      </c>
      <c r="I1364" s="0" t="str">
        <f aca="false">IF(OR(הגדרות!$E$6=0,H1364&gt;הגדרות!$E$5),"",IF(H1364-1&lt;הגדרות!$E$8*(הגדרות!$E$7+1),INT((H1364-1)/(הגדרות!$E$7+1)),הגדרות!$E$8+INT((H1364-1-הגדרות!$E$8*(הגדרות!$E$7+1))/הגדרות!$E$7)))</f>
        <v/>
      </c>
      <c r="J1364" s="0" t="str">
        <f aca="false">IF(I1364="","",IF(H1364-1&lt;הגדרות!$E$8*(הגדרות!$E$7+1),MOD(H1364-1,הגדרות!$E$7+1),MOD(H1364-1-הגדרות!$E$8*(הגדרות!$E$7+1),הגדרות!$E$7)))</f>
        <v/>
      </c>
      <c r="K1364" s="0" t="str">
        <f aca="false">IF(I1364="","",J1364*הגדרות!$E$6+I1364+1)</f>
        <v/>
      </c>
      <c r="L1364" s="0" t="str">
        <f aca="false">IF(K1364="","",MATCH(K1364,$F$2:$F$5001,0))</f>
        <v/>
      </c>
      <c r="M1364" s="0" t="str">
        <f aca="false">IF(I1364="","",INDEX(הגדרות!$A$2:$A$21,MOD(I1364+הגדרות!$E$9,הגדרות!$E$6)+1))</f>
        <v/>
      </c>
    </row>
    <row r="1365" customFormat="false" ht="15" hidden="false" customHeight="false" outlineLevel="0" collapsed="false">
      <c r="A1365" s="0" t="str">
        <f aca="false">IF('הדבקת לידים'!A1365="","",IF(ISNUMBER('הדבקת לידים'!A1365),IF(הגדרות!$E$2&gt;0,TEXT('הדבקת לידים'!A1365,REPT("0",הגדרות!$E$2)),TEXT('הדבקת לידים'!A1365,"0")),TRIM('הדבקת לידים'!A1365)))</f>
        <v/>
      </c>
      <c r="B1365" s="0" t="str">
        <f aca="false">IF('הדבקת לידים'!B1365="","",IF(ISNUMBER('הדבקת לידים'!B1365),IF(הגדרות!$E$3&gt;0,TEXT('הדבקת לידים'!B1365,REPT("0",הגדרות!$E$3)),TEXT('הדבקת לידים'!B1365,"0")),TRIM('הדבקת לידים'!B1365)))</f>
        <v/>
      </c>
      <c r="C1365" s="0" t="n">
        <f aca="false">IF(OR(A1365&lt;&gt;"",B1365&lt;&gt;""),1,0)</f>
        <v>0</v>
      </c>
      <c r="D1365" s="0" t="str">
        <f aca="false">IF(C1365=1,MOD(ABS(SIN(ROW()*12.9898+'הדבקת לידים'!$F$2*78.233+IFERROR(--RIGHT(A1365,6),LEN(A1365))*0.0137+IFERROR(--RIGHT(B1365,6),LEN(B1365))*0.0071))*43758.5453,1),"")</f>
        <v/>
      </c>
      <c r="E1365" s="0" t="str">
        <f aca="false">IF(C1365=1,INT(MOD(ABS(SIN(D1365*7919.123+ROW()*0.618+'הדבקת לידים'!$F$2*1.3))*43758.5453,1)*1000000)*10000+ROW(),"")</f>
        <v/>
      </c>
      <c r="F1365" s="0" t="str">
        <f aca="false">IF(E1365="","",RANK(E1365,$E$2:$E$5001,1))</f>
        <v/>
      </c>
      <c r="G1365" s="0" t="n">
        <f aca="false">IF(A1365="",0,IF(SUMPRODUCT(--($A$2:$A$5001=A1365))&gt;1,1,0))</f>
        <v>0</v>
      </c>
      <c r="H1365" s="0" t="n">
        <f aca="false">ROW()-1</f>
        <v>1364</v>
      </c>
      <c r="I1365" s="0" t="str">
        <f aca="false">IF(OR(הגדרות!$E$6=0,H1365&gt;הגדרות!$E$5),"",IF(H1365-1&lt;הגדרות!$E$8*(הגדרות!$E$7+1),INT((H1365-1)/(הגדרות!$E$7+1)),הגדרות!$E$8+INT((H1365-1-הגדרות!$E$8*(הגדרות!$E$7+1))/הגדרות!$E$7)))</f>
        <v/>
      </c>
      <c r="J1365" s="0" t="str">
        <f aca="false">IF(I1365="","",IF(H1365-1&lt;הגדרות!$E$8*(הגדרות!$E$7+1),MOD(H1365-1,הגדרות!$E$7+1),MOD(H1365-1-הגדרות!$E$8*(הגדרות!$E$7+1),הגדרות!$E$7)))</f>
        <v/>
      </c>
      <c r="K1365" s="0" t="str">
        <f aca="false">IF(I1365="","",J1365*הגדרות!$E$6+I1365+1)</f>
        <v/>
      </c>
      <c r="L1365" s="0" t="str">
        <f aca="false">IF(K1365="","",MATCH(K1365,$F$2:$F$5001,0))</f>
        <v/>
      </c>
      <c r="M1365" s="0" t="str">
        <f aca="false">IF(I1365="","",INDEX(הגדרות!$A$2:$A$21,MOD(I1365+הגדרות!$E$9,הגדרות!$E$6)+1))</f>
        <v/>
      </c>
    </row>
    <row r="1366" customFormat="false" ht="15" hidden="false" customHeight="false" outlineLevel="0" collapsed="false">
      <c r="A1366" s="0" t="str">
        <f aca="false">IF('הדבקת לידים'!A1366="","",IF(ISNUMBER('הדבקת לידים'!A1366),IF(הגדרות!$E$2&gt;0,TEXT('הדבקת לידים'!A1366,REPT("0",הגדרות!$E$2)),TEXT('הדבקת לידים'!A1366,"0")),TRIM('הדבקת לידים'!A1366)))</f>
        <v/>
      </c>
      <c r="B1366" s="0" t="str">
        <f aca="false">IF('הדבקת לידים'!B1366="","",IF(ISNUMBER('הדבקת לידים'!B1366),IF(הגדרות!$E$3&gt;0,TEXT('הדבקת לידים'!B1366,REPT("0",הגדרות!$E$3)),TEXT('הדבקת לידים'!B1366,"0")),TRIM('הדבקת לידים'!B1366)))</f>
        <v/>
      </c>
      <c r="C1366" s="0" t="n">
        <f aca="false">IF(OR(A1366&lt;&gt;"",B1366&lt;&gt;""),1,0)</f>
        <v>0</v>
      </c>
      <c r="D1366" s="0" t="str">
        <f aca="false">IF(C1366=1,MOD(ABS(SIN(ROW()*12.9898+'הדבקת לידים'!$F$2*78.233+IFERROR(--RIGHT(A1366,6),LEN(A1366))*0.0137+IFERROR(--RIGHT(B1366,6),LEN(B1366))*0.0071))*43758.5453,1),"")</f>
        <v/>
      </c>
      <c r="E1366" s="0" t="str">
        <f aca="false">IF(C1366=1,INT(MOD(ABS(SIN(D1366*7919.123+ROW()*0.618+'הדבקת לידים'!$F$2*1.3))*43758.5453,1)*1000000)*10000+ROW(),"")</f>
        <v/>
      </c>
      <c r="F1366" s="0" t="str">
        <f aca="false">IF(E1366="","",RANK(E1366,$E$2:$E$5001,1))</f>
        <v/>
      </c>
      <c r="G1366" s="0" t="n">
        <f aca="false">IF(A1366="",0,IF(SUMPRODUCT(--($A$2:$A$5001=A1366))&gt;1,1,0))</f>
        <v>0</v>
      </c>
      <c r="H1366" s="0" t="n">
        <f aca="false">ROW()-1</f>
        <v>1365</v>
      </c>
      <c r="I1366" s="0" t="str">
        <f aca="false">IF(OR(הגדרות!$E$6=0,H1366&gt;הגדרות!$E$5),"",IF(H1366-1&lt;הגדרות!$E$8*(הגדרות!$E$7+1),INT((H1366-1)/(הגדרות!$E$7+1)),הגדרות!$E$8+INT((H1366-1-הגדרות!$E$8*(הגדרות!$E$7+1))/הגדרות!$E$7)))</f>
        <v/>
      </c>
      <c r="J1366" s="0" t="str">
        <f aca="false">IF(I1366="","",IF(H1366-1&lt;הגדרות!$E$8*(הגדרות!$E$7+1),MOD(H1366-1,הגדרות!$E$7+1),MOD(H1366-1-הגדרות!$E$8*(הגדרות!$E$7+1),הגדרות!$E$7)))</f>
        <v/>
      </c>
      <c r="K1366" s="0" t="str">
        <f aca="false">IF(I1366="","",J1366*הגדרות!$E$6+I1366+1)</f>
        <v/>
      </c>
      <c r="L1366" s="0" t="str">
        <f aca="false">IF(K1366="","",MATCH(K1366,$F$2:$F$5001,0))</f>
        <v/>
      </c>
      <c r="M1366" s="0" t="str">
        <f aca="false">IF(I1366="","",INDEX(הגדרות!$A$2:$A$21,MOD(I1366+הגדרות!$E$9,הגדרות!$E$6)+1))</f>
        <v/>
      </c>
    </row>
    <row r="1367" customFormat="false" ht="15" hidden="false" customHeight="false" outlineLevel="0" collapsed="false">
      <c r="A1367" s="0" t="str">
        <f aca="false">IF('הדבקת לידים'!A1367="","",IF(ISNUMBER('הדבקת לידים'!A1367),IF(הגדרות!$E$2&gt;0,TEXT('הדבקת לידים'!A1367,REPT("0",הגדרות!$E$2)),TEXT('הדבקת לידים'!A1367,"0")),TRIM('הדבקת לידים'!A1367)))</f>
        <v/>
      </c>
      <c r="B1367" s="0" t="str">
        <f aca="false">IF('הדבקת לידים'!B1367="","",IF(ISNUMBER('הדבקת לידים'!B1367),IF(הגדרות!$E$3&gt;0,TEXT('הדבקת לידים'!B1367,REPT("0",הגדרות!$E$3)),TEXT('הדבקת לידים'!B1367,"0")),TRIM('הדבקת לידים'!B1367)))</f>
        <v/>
      </c>
      <c r="C1367" s="0" t="n">
        <f aca="false">IF(OR(A1367&lt;&gt;"",B1367&lt;&gt;""),1,0)</f>
        <v>0</v>
      </c>
      <c r="D1367" s="0" t="str">
        <f aca="false">IF(C1367=1,MOD(ABS(SIN(ROW()*12.9898+'הדבקת לידים'!$F$2*78.233+IFERROR(--RIGHT(A1367,6),LEN(A1367))*0.0137+IFERROR(--RIGHT(B1367,6),LEN(B1367))*0.0071))*43758.5453,1),"")</f>
        <v/>
      </c>
      <c r="E1367" s="0" t="str">
        <f aca="false">IF(C1367=1,INT(MOD(ABS(SIN(D1367*7919.123+ROW()*0.618+'הדבקת לידים'!$F$2*1.3))*43758.5453,1)*1000000)*10000+ROW(),"")</f>
        <v/>
      </c>
      <c r="F1367" s="0" t="str">
        <f aca="false">IF(E1367="","",RANK(E1367,$E$2:$E$5001,1))</f>
        <v/>
      </c>
      <c r="G1367" s="0" t="n">
        <f aca="false">IF(A1367="",0,IF(SUMPRODUCT(--($A$2:$A$5001=A1367))&gt;1,1,0))</f>
        <v>0</v>
      </c>
      <c r="H1367" s="0" t="n">
        <f aca="false">ROW()-1</f>
        <v>1366</v>
      </c>
      <c r="I1367" s="0" t="str">
        <f aca="false">IF(OR(הגדרות!$E$6=0,H1367&gt;הגדרות!$E$5),"",IF(H1367-1&lt;הגדרות!$E$8*(הגדרות!$E$7+1),INT((H1367-1)/(הגדרות!$E$7+1)),הגדרות!$E$8+INT((H1367-1-הגדרות!$E$8*(הגדרות!$E$7+1))/הגדרות!$E$7)))</f>
        <v/>
      </c>
      <c r="J1367" s="0" t="str">
        <f aca="false">IF(I1367="","",IF(H1367-1&lt;הגדרות!$E$8*(הגדרות!$E$7+1),MOD(H1367-1,הגדרות!$E$7+1),MOD(H1367-1-הגדרות!$E$8*(הגדרות!$E$7+1),הגדרות!$E$7)))</f>
        <v/>
      </c>
      <c r="K1367" s="0" t="str">
        <f aca="false">IF(I1367="","",J1367*הגדרות!$E$6+I1367+1)</f>
        <v/>
      </c>
      <c r="L1367" s="0" t="str">
        <f aca="false">IF(K1367="","",MATCH(K1367,$F$2:$F$5001,0))</f>
        <v/>
      </c>
      <c r="M1367" s="0" t="str">
        <f aca="false">IF(I1367="","",INDEX(הגדרות!$A$2:$A$21,MOD(I1367+הגדרות!$E$9,הגדרות!$E$6)+1))</f>
        <v/>
      </c>
    </row>
    <row r="1368" customFormat="false" ht="15" hidden="false" customHeight="false" outlineLevel="0" collapsed="false">
      <c r="A1368" s="0" t="str">
        <f aca="false">IF('הדבקת לידים'!A1368="","",IF(ISNUMBER('הדבקת לידים'!A1368),IF(הגדרות!$E$2&gt;0,TEXT('הדבקת לידים'!A1368,REPT("0",הגדרות!$E$2)),TEXT('הדבקת לידים'!A1368,"0")),TRIM('הדבקת לידים'!A1368)))</f>
        <v/>
      </c>
      <c r="B1368" s="0" t="str">
        <f aca="false">IF('הדבקת לידים'!B1368="","",IF(ISNUMBER('הדבקת לידים'!B1368),IF(הגדרות!$E$3&gt;0,TEXT('הדבקת לידים'!B1368,REPT("0",הגדרות!$E$3)),TEXT('הדבקת לידים'!B1368,"0")),TRIM('הדבקת לידים'!B1368)))</f>
        <v/>
      </c>
      <c r="C1368" s="0" t="n">
        <f aca="false">IF(OR(A1368&lt;&gt;"",B1368&lt;&gt;""),1,0)</f>
        <v>0</v>
      </c>
      <c r="D1368" s="0" t="str">
        <f aca="false">IF(C1368=1,MOD(ABS(SIN(ROW()*12.9898+'הדבקת לידים'!$F$2*78.233+IFERROR(--RIGHT(A1368,6),LEN(A1368))*0.0137+IFERROR(--RIGHT(B1368,6),LEN(B1368))*0.0071))*43758.5453,1),"")</f>
        <v/>
      </c>
      <c r="E1368" s="0" t="str">
        <f aca="false">IF(C1368=1,INT(MOD(ABS(SIN(D1368*7919.123+ROW()*0.618+'הדבקת לידים'!$F$2*1.3))*43758.5453,1)*1000000)*10000+ROW(),"")</f>
        <v/>
      </c>
      <c r="F1368" s="0" t="str">
        <f aca="false">IF(E1368="","",RANK(E1368,$E$2:$E$5001,1))</f>
        <v/>
      </c>
      <c r="G1368" s="0" t="n">
        <f aca="false">IF(A1368="",0,IF(SUMPRODUCT(--($A$2:$A$5001=A1368))&gt;1,1,0))</f>
        <v>0</v>
      </c>
      <c r="H1368" s="0" t="n">
        <f aca="false">ROW()-1</f>
        <v>1367</v>
      </c>
      <c r="I1368" s="0" t="str">
        <f aca="false">IF(OR(הגדרות!$E$6=0,H1368&gt;הגדרות!$E$5),"",IF(H1368-1&lt;הגדרות!$E$8*(הגדרות!$E$7+1),INT((H1368-1)/(הגדרות!$E$7+1)),הגדרות!$E$8+INT((H1368-1-הגדרות!$E$8*(הגדרות!$E$7+1))/הגדרות!$E$7)))</f>
        <v/>
      </c>
      <c r="J1368" s="0" t="str">
        <f aca="false">IF(I1368="","",IF(H1368-1&lt;הגדרות!$E$8*(הגדרות!$E$7+1),MOD(H1368-1,הגדרות!$E$7+1),MOD(H1368-1-הגדרות!$E$8*(הגדרות!$E$7+1),הגדרות!$E$7)))</f>
        <v/>
      </c>
      <c r="K1368" s="0" t="str">
        <f aca="false">IF(I1368="","",J1368*הגדרות!$E$6+I1368+1)</f>
        <v/>
      </c>
      <c r="L1368" s="0" t="str">
        <f aca="false">IF(K1368="","",MATCH(K1368,$F$2:$F$5001,0))</f>
        <v/>
      </c>
      <c r="M1368" s="0" t="str">
        <f aca="false">IF(I1368="","",INDEX(הגדרות!$A$2:$A$21,MOD(I1368+הגדרות!$E$9,הגדרות!$E$6)+1))</f>
        <v/>
      </c>
    </row>
    <row r="1369" customFormat="false" ht="15" hidden="false" customHeight="false" outlineLevel="0" collapsed="false">
      <c r="A1369" s="0" t="str">
        <f aca="false">IF('הדבקת לידים'!A1369="","",IF(ISNUMBER('הדבקת לידים'!A1369),IF(הגדרות!$E$2&gt;0,TEXT('הדבקת לידים'!A1369,REPT("0",הגדרות!$E$2)),TEXT('הדבקת לידים'!A1369,"0")),TRIM('הדבקת לידים'!A1369)))</f>
        <v/>
      </c>
      <c r="B1369" s="0" t="str">
        <f aca="false">IF('הדבקת לידים'!B1369="","",IF(ISNUMBER('הדבקת לידים'!B1369),IF(הגדרות!$E$3&gt;0,TEXT('הדבקת לידים'!B1369,REPT("0",הגדרות!$E$3)),TEXT('הדבקת לידים'!B1369,"0")),TRIM('הדבקת לידים'!B1369)))</f>
        <v/>
      </c>
      <c r="C1369" s="0" t="n">
        <f aca="false">IF(OR(A1369&lt;&gt;"",B1369&lt;&gt;""),1,0)</f>
        <v>0</v>
      </c>
      <c r="D1369" s="0" t="str">
        <f aca="false">IF(C1369=1,MOD(ABS(SIN(ROW()*12.9898+'הדבקת לידים'!$F$2*78.233+IFERROR(--RIGHT(A1369,6),LEN(A1369))*0.0137+IFERROR(--RIGHT(B1369,6),LEN(B1369))*0.0071))*43758.5453,1),"")</f>
        <v/>
      </c>
      <c r="E1369" s="0" t="str">
        <f aca="false">IF(C1369=1,INT(MOD(ABS(SIN(D1369*7919.123+ROW()*0.618+'הדבקת לידים'!$F$2*1.3))*43758.5453,1)*1000000)*10000+ROW(),"")</f>
        <v/>
      </c>
      <c r="F1369" s="0" t="str">
        <f aca="false">IF(E1369="","",RANK(E1369,$E$2:$E$5001,1))</f>
        <v/>
      </c>
      <c r="G1369" s="0" t="n">
        <f aca="false">IF(A1369="",0,IF(SUMPRODUCT(--($A$2:$A$5001=A1369))&gt;1,1,0))</f>
        <v>0</v>
      </c>
      <c r="H1369" s="0" t="n">
        <f aca="false">ROW()-1</f>
        <v>1368</v>
      </c>
      <c r="I1369" s="0" t="str">
        <f aca="false">IF(OR(הגדרות!$E$6=0,H1369&gt;הגדרות!$E$5),"",IF(H1369-1&lt;הגדרות!$E$8*(הגדרות!$E$7+1),INT((H1369-1)/(הגדרות!$E$7+1)),הגדרות!$E$8+INT((H1369-1-הגדרות!$E$8*(הגדרות!$E$7+1))/הגדרות!$E$7)))</f>
        <v/>
      </c>
      <c r="J1369" s="0" t="str">
        <f aca="false">IF(I1369="","",IF(H1369-1&lt;הגדרות!$E$8*(הגדרות!$E$7+1),MOD(H1369-1,הגדרות!$E$7+1),MOD(H1369-1-הגדרות!$E$8*(הגדרות!$E$7+1),הגדרות!$E$7)))</f>
        <v/>
      </c>
      <c r="K1369" s="0" t="str">
        <f aca="false">IF(I1369="","",J1369*הגדרות!$E$6+I1369+1)</f>
        <v/>
      </c>
      <c r="L1369" s="0" t="str">
        <f aca="false">IF(K1369="","",MATCH(K1369,$F$2:$F$5001,0))</f>
        <v/>
      </c>
      <c r="M1369" s="0" t="str">
        <f aca="false">IF(I1369="","",INDEX(הגדרות!$A$2:$A$21,MOD(I1369+הגדרות!$E$9,הגדרות!$E$6)+1))</f>
        <v/>
      </c>
    </row>
    <row r="1370" customFormat="false" ht="15" hidden="false" customHeight="false" outlineLevel="0" collapsed="false">
      <c r="A1370" s="0" t="str">
        <f aca="false">IF('הדבקת לידים'!A1370="","",IF(ISNUMBER('הדבקת לידים'!A1370),IF(הגדרות!$E$2&gt;0,TEXT('הדבקת לידים'!A1370,REPT("0",הגדרות!$E$2)),TEXT('הדבקת לידים'!A1370,"0")),TRIM('הדבקת לידים'!A1370)))</f>
        <v/>
      </c>
      <c r="B1370" s="0" t="str">
        <f aca="false">IF('הדבקת לידים'!B1370="","",IF(ISNUMBER('הדבקת לידים'!B1370),IF(הגדרות!$E$3&gt;0,TEXT('הדבקת לידים'!B1370,REPT("0",הגדרות!$E$3)),TEXT('הדבקת לידים'!B1370,"0")),TRIM('הדבקת לידים'!B1370)))</f>
        <v/>
      </c>
      <c r="C1370" s="0" t="n">
        <f aca="false">IF(OR(A1370&lt;&gt;"",B1370&lt;&gt;""),1,0)</f>
        <v>0</v>
      </c>
      <c r="D1370" s="0" t="str">
        <f aca="false">IF(C1370=1,MOD(ABS(SIN(ROW()*12.9898+'הדבקת לידים'!$F$2*78.233+IFERROR(--RIGHT(A1370,6),LEN(A1370))*0.0137+IFERROR(--RIGHT(B1370,6),LEN(B1370))*0.0071))*43758.5453,1),"")</f>
        <v/>
      </c>
      <c r="E1370" s="0" t="str">
        <f aca="false">IF(C1370=1,INT(MOD(ABS(SIN(D1370*7919.123+ROW()*0.618+'הדבקת לידים'!$F$2*1.3))*43758.5453,1)*1000000)*10000+ROW(),"")</f>
        <v/>
      </c>
      <c r="F1370" s="0" t="str">
        <f aca="false">IF(E1370="","",RANK(E1370,$E$2:$E$5001,1))</f>
        <v/>
      </c>
      <c r="G1370" s="0" t="n">
        <f aca="false">IF(A1370="",0,IF(SUMPRODUCT(--($A$2:$A$5001=A1370))&gt;1,1,0))</f>
        <v>0</v>
      </c>
      <c r="H1370" s="0" t="n">
        <f aca="false">ROW()-1</f>
        <v>1369</v>
      </c>
      <c r="I1370" s="0" t="str">
        <f aca="false">IF(OR(הגדרות!$E$6=0,H1370&gt;הגדרות!$E$5),"",IF(H1370-1&lt;הגדרות!$E$8*(הגדרות!$E$7+1),INT((H1370-1)/(הגדרות!$E$7+1)),הגדרות!$E$8+INT((H1370-1-הגדרות!$E$8*(הגדרות!$E$7+1))/הגדרות!$E$7)))</f>
        <v/>
      </c>
      <c r="J1370" s="0" t="str">
        <f aca="false">IF(I1370="","",IF(H1370-1&lt;הגדרות!$E$8*(הגדרות!$E$7+1),MOD(H1370-1,הגדרות!$E$7+1),MOD(H1370-1-הגדרות!$E$8*(הגדרות!$E$7+1),הגדרות!$E$7)))</f>
        <v/>
      </c>
      <c r="K1370" s="0" t="str">
        <f aca="false">IF(I1370="","",J1370*הגדרות!$E$6+I1370+1)</f>
        <v/>
      </c>
      <c r="L1370" s="0" t="str">
        <f aca="false">IF(K1370="","",MATCH(K1370,$F$2:$F$5001,0))</f>
        <v/>
      </c>
      <c r="M1370" s="0" t="str">
        <f aca="false">IF(I1370="","",INDEX(הגדרות!$A$2:$A$21,MOD(I1370+הגדרות!$E$9,הגדרות!$E$6)+1))</f>
        <v/>
      </c>
    </row>
    <row r="1371" customFormat="false" ht="15" hidden="false" customHeight="false" outlineLevel="0" collapsed="false">
      <c r="A1371" s="0" t="str">
        <f aca="false">IF('הדבקת לידים'!A1371="","",IF(ISNUMBER('הדבקת לידים'!A1371),IF(הגדרות!$E$2&gt;0,TEXT('הדבקת לידים'!A1371,REPT("0",הגדרות!$E$2)),TEXT('הדבקת לידים'!A1371,"0")),TRIM('הדבקת לידים'!A1371)))</f>
        <v/>
      </c>
      <c r="B1371" s="0" t="str">
        <f aca="false">IF('הדבקת לידים'!B1371="","",IF(ISNUMBER('הדבקת לידים'!B1371),IF(הגדרות!$E$3&gt;0,TEXT('הדבקת לידים'!B1371,REPT("0",הגדרות!$E$3)),TEXT('הדבקת לידים'!B1371,"0")),TRIM('הדבקת לידים'!B1371)))</f>
        <v/>
      </c>
      <c r="C1371" s="0" t="n">
        <f aca="false">IF(OR(A1371&lt;&gt;"",B1371&lt;&gt;""),1,0)</f>
        <v>0</v>
      </c>
      <c r="D1371" s="0" t="str">
        <f aca="false">IF(C1371=1,MOD(ABS(SIN(ROW()*12.9898+'הדבקת לידים'!$F$2*78.233+IFERROR(--RIGHT(A1371,6),LEN(A1371))*0.0137+IFERROR(--RIGHT(B1371,6),LEN(B1371))*0.0071))*43758.5453,1),"")</f>
        <v/>
      </c>
      <c r="E1371" s="0" t="str">
        <f aca="false">IF(C1371=1,INT(MOD(ABS(SIN(D1371*7919.123+ROW()*0.618+'הדבקת לידים'!$F$2*1.3))*43758.5453,1)*1000000)*10000+ROW(),"")</f>
        <v/>
      </c>
      <c r="F1371" s="0" t="str">
        <f aca="false">IF(E1371="","",RANK(E1371,$E$2:$E$5001,1))</f>
        <v/>
      </c>
      <c r="G1371" s="0" t="n">
        <f aca="false">IF(A1371="",0,IF(SUMPRODUCT(--($A$2:$A$5001=A1371))&gt;1,1,0))</f>
        <v>0</v>
      </c>
      <c r="H1371" s="0" t="n">
        <f aca="false">ROW()-1</f>
        <v>1370</v>
      </c>
      <c r="I1371" s="0" t="str">
        <f aca="false">IF(OR(הגדרות!$E$6=0,H1371&gt;הגדרות!$E$5),"",IF(H1371-1&lt;הגדרות!$E$8*(הגדרות!$E$7+1),INT((H1371-1)/(הגדרות!$E$7+1)),הגדרות!$E$8+INT((H1371-1-הגדרות!$E$8*(הגדרות!$E$7+1))/הגדרות!$E$7)))</f>
        <v/>
      </c>
      <c r="J1371" s="0" t="str">
        <f aca="false">IF(I1371="","",IF(H1371-1&lt;הגדרות!$E$8*(הגדרות!$E$7+1),MOD(H1371-1,הגדרות!$E$7+1),MOD(H1371-1-הגדרות!$E$8*(הגדרות!$E$7+1),הגדרות!$E$7)))</f>
        <v/>
      </c>
      <c r="K1371" s="0" t="str">
        <f aca="false">IF(I1371="","",J1371*הגדרות!$E$6+I1371+1)</f>
        <v/>
      </c>
      <c r="L1371" s="0" t="str">
        <f aca="false">IF(K1371="","",MATCH(K1371,$F$2:$F$5001,0))</f>
        <v/>
      </c>
      <c r="M1371" s="0" t="str">
        <f aca="false">IF(I1371="","",INDEX(הגדרות!$A$2:$A$21,MOD(I1371+הגדרות!$E$9,הגדרות!$E$6)+1))</f>
        <v/>
      </c>
    </row>
    <row r="1372" customFormat="false" ht="15" hidden="false" customHeight="false" outlineLevel="0" collapsed="false">
      <c r="A1372" s="0" t="str">
        <f aca="false">IF('הדבקת לידים'!A1372="","",IF(ISNUMBER('הדבקת לידים'!A1372),IF(הגדרות!$E$2&gt;0,TEXT('הדבקת לידים'!A1372,REPT("0",הגדרות!$E$2)),TEXT('הדבקת לידים'!A1372,"0")),TRIM('הדבקת לידים'!A1372)))</f>
        <v/>
      </c>
      <c r="B1372" s="0" t="str">
        <f aca="false">IF('הדבקת לידים'!B1372="","",IF(ISNUMBER('הדבקת לידים'!B1372),IF(הגדרות!$E$3&gt;0,TEXT('הדבקת לידים'!B1372,REPT("0",הגדרות!$E$3)),TEXT('הדבקת לידים'!B1372,"0")),TRIM('הדבקת לידים'!B1372)))</f>
        <v/>
      </c>
      <c r="C1372" s="0" t="n">
        <f aca="false">IF(OR(A1372&lt;&gt;"",B1372&lt;&gt;""),1,0)</f>
        <v>0</v>
      </c>
      <c r="D1372" s="0" t="str">
        <f aca="false">IF(C1372=1,MOD(ABS(SIN(ROW()*12.9898+'הדבקת לידים'!$F$2*78.233+IFERROR(--RIGHT(A1372,6),LEN(A1372))*0.0137+IFERROR(--RIGHT(B1372,6),LEN(B1372))*0.0071))*43758.5453,1),"")</f>
        <v/>
      </c>
      <c r="E1372" s="0" t="str">
        <f aca="false">IF(C1372=1,INT(MOD(ABS(SIN(D1372*7919.123+ROW()*0.618+'הדבקת לידים'!$F$2*1.3))*43758.5453,1)*1000000)*10000+ROW(),"")</f>
        <v/>
      </c>
      <c r="F1372" s="0" t="str">
        <f aca="false">IF(E1372="","",RANK(E1372,$E$2:$E$5001,1))</f>
        <v/>
      </c>
      <c r="G1372" s="0" t="n">
        <f aca="false">IF(A1372="",0,IF(SUMPRODUCT(--($A$2:$A$5001=A1372))&gt;1,1,0))</f>
        <v>0</v>
      </c>
      <c r="H1372" s="0" t="n">
        <f aca="false">ROW()-1</f>
        <v>1371</v>
      </c>
      <c r="I1372" s="0" t="str">
        <f aca="false">IF(OR(הגדרות!$E$6=0,H1372&gt;הגדרות!$E$5),"",IF(H1372-1&lt;הגדרות!$E$8*(הגדרות!$E$7+1),INT((H1372-1)/(הגדרות!$E$7+1)),הגדרות!$E$8+INT((H1372-1-הגדרות!$E$8*(הגדרות!$E$7+1))/הגדרות!$E$7)))</f>
        <v/>
      </c>
      <c r="J1372" s="0" t="str">
        <f aca="false">IF(I1372="","",IF(H1372-1&lt;הגדרות!$E$8*(הגדרות!$E$7+1),MOD(H1372-1,הגדרות!$E$7+1),MOD(H1372-1-הגדרות!$E$8*(הגדרות!$E$7+1),הגדרות!$E$7)))</f>
        <v/>
      </c>
      <c r="K1372" s="0" t="str">
        <f aca="false">IF(I1372="","",J1372*הגדרות!$E$6+I1372+1)</f>
        <v/>
      </c>
      <c r="L1372" s="0" t="str">
        <f aca="false">IF(K1372="","",MATCH(K1372,$F$2:$F$5001,0))</f>
        <v/>
      </c>
      <c r="M1372" s="0" t="str">
        <f aca="false">IF(I1372="","",INDEX(הגדרות!$A$2:$A$21,MOD(I1372+הגדרות!$E$9,הגדרות!$E$6)+1))</f>
        <v/>
      </c>
    </row>
    <row r="1373" customFormat="false" ht="15" hidden="false" customHeight="false" outlineLevel="0" collapsed="false">
      <c r="A1373" s="0" t="str">
        <f aca="false">IF('הדבקת לידים'!A1373="","",IF(ISNUMBER('הדבקת לידים'!A1373),IF(הגדרות!$E$2&gt;0,TEXT('הדבקת לידים'!A1373,REPT("0",הגדרות!$E$2)),TEXT('הדבקת לידים'!A1373,"0")),TRIM('הדבקת לידים'!A1373)))</f>
        <v/>
      </c>
      <c r="B1373" s="0" t="str">
        <f aca="false">IF('הדבקת לידים'!B1373="","",IF(ISNUMBER('הדבקת לידים'!B1373),IF(הגדרות!$E$3&gt;0,TEXT('הדבקת לידים'!B1373,REPT("0",הגדרות!$E$3)),TEXT('הדבקת לידים'!B1373,"0")),TRIM('הדבקת לידים'!B1373)))</f>
        <v/>
      </c>
      <c r="C1373" s="0" t="n">
        <f aca="false">IF(OR(A1373&lt;&gt;"",B1373&lt;&gt;""),1,0)</f>
        <v>0</v>
      </c>
      <c r="D1373" s="0" t="str">
        <f aca="false">IF(C1373=1,MOD(ABS(SIN(ROW()*12.9898+'הדבקת לידים'!$F$2*78.233+IFERROR(--RIGHT(A1373,6),LEN(A1373))*0.0137+IFERROR(--RIGHT(B1373,6),LEN(B1373))*0.0071))*43758.5453,1),"")</f>
        <v/>
      </c>
      <c r="E1373" s="0" t="str">
        <f aca="false">IF(C1373=1,INT(MOD(ABS(SIN(D1373*7919.123+ROW()*0.618+'הדבקת לידים'!$F$2*1.3))*43758.5453,1)*1000000)*10000+ROW(),"")</f>
        <v/>
      </c>
      <c r="F1373" s="0" t="str">
        <f aca="false">IF(E1373="","",RANK(E1373,$E$2:$E$5001,1))</f>
        <v/>
      </c>
      <c r="G1373" s="0" t="n">
        <f aca="false">IF(A1373="",0,IF(SUMPRODUCT(--($A$2:$A$5001=A1373))&gt;1,1,0))</f>
        <v>0</v>
      </c>
      <c r="H1373" s="0" t="n">
        <f aca="false">ROW()-1</f>
        <v>1372</v>
      </c>
      <c r="I1373" s="0" t="str">
        <f aca="false">IF(OR(הגדרות!$E$6=0,H1373&gt;הגדרות!$E$5),"",IF(H1373-1&lt;הגדרות!$E$8*(הגדרות!$E$7+1),INT((H1373-1)/(הגדרות!$E$7+1)),הגדרות!$E$8+INT((H1373-1-הגדרות!$E$8*(הגדרות!$E$7+1))/הגדרות!$E$7)))</f>
        <v/>
      </c>
      <c r="J1373" s="0" t="str">
        <f aca="false">IF(I1373="","",IF(H1373-1&lt;הגדרות!$E$8*(הגדרות!$E$7+1),MOD(H1373-1,הגדרות!$E$7+1),MOD(H1373-1-הגדרות!$E$8*(הגדרות!$E$7+1),הגדרות!$E$7)))</f>
        <v/>
      </c>
      <c r="K1373" s="0" t="str">
        <f aca="false">IF(I1373="","",J1373*הגדרות!$E$6+I1373+1)</f>
        <v/>
      </c>
      <c r="L1373" s="0" t="str">
        <f aca="false">IF(K1373="","",MATCH(K1373,$F$2:$F$5001,0))</f>
        <v/>
      </c>
      <c r="M1373" s="0" t="str">
        <f aca="false">IF(I1373="","",INDEX(הגדרות!$A$2:$A$21,MOD(I1373+הגדרות!$E$9,הגדרות!$E$6)+1))</f>
        <v/>
      </c>
    </row>
    <row r="1374" customFormat="false" ht="15" hidden="false" customHeight="false" outlineLevel="0" collapsed="false">
      <c r="A1374" s="0" t="str">
        <f aca="false">IF('הדבקת לידים'!A1374="","",IF(ISNUMBER('הדבקת לידים'!A1374),IF(הגדרות!$E$2&gt;0,TEXT('הדבקת לידים'!A1374,REPT("0",הגדרות!$E$2)),TEXT('הדבקת לידים'!A1374,"0")),TRIM('הדבקת לידים'!A1374)))</f>
        <v/>
      </c>
      <c r="B1374" s="0" t="str">
        <f aca="false">IF('הדבקת לידים'!B1374="","",IF(ISNUMBER('הדבקת לידים'!B1374),IF(הגדרות!$E$3&gt;0,TEXT('הדבקת לידים'!B1374,REPT("0",הגדרות!$E$3)),TEXT('הדבקת לידים'!B1374,"0")),TRIM('הדבקת לידים'!B1374)))</f>
        <v/>
      </c>
      <c r="C1374" s="0" t="n">
        <f aca="false">IF(OR(A1374&lt;&gt;"",B1374&lt;&gt;""),1,0)</f>
        <v>0</v>
      </c>
      <c r="D1374" s="0" t="str">
        <f aca="false">IF(C1374=1,MOD(ABS(SIN(ROW()*12.9898+'הדבקת לידים'!$F$2*78.233+IFERROR(--RIGHT(A1374,6),LEN(A1374))*0.0137+IFERROR(--RIGHT(B1374,6),LEN(B1374))*0.0071))*43758.5453,1),"")</f>
        <v/>
      </c>
      <c r="E1374" s="0" t="str">
        <f aca="false">IF(C1374=1,INT(MOD(ABS(SIN(D1374*7919.123+ROW()*0.618+'הדבקת לידים'!$F$2*1.3))*43758.5453,1)*1000000)*10000+ROW(),"")</f>
        <v/>
      </c>
      <c r="F1374" s="0" t="str">
        <f aca="false">IF(E1374="","",RANK(E1374,$E$2:$E$5001,1))</f>
        <v/>
      </c>
      <c r="G1374" s="0" t="n">
        <f aca="false">IF(A1374="",0,IF(SUMPRODUCT(--($A$2:$A$5001=A1374))&gt;1,1,0))</f>
        <v>0</v>
      </c>
      <c r="H1374" s="0" t="n">
        <f aca="false">ROW()-1</f>
        <v>1373</v>
      </c>
      <c r="I1374" s="0" t="str">
        <f aca="false">IF(OR(הגדרות!$E$6=0,H1374&gt;הגדרות!$E$5),"",IF(H1374-1&lt;הגדרות!$E$8*(הגדרות!$E$7+1),INT((H1374-1)/(הגדרות!$E$7+1)),הגדרות!$E$8+INT((H1374-1-הגדרות!$E$8*(הגדרות!$E$7+1))/הגדרות!$E$7)))</f>
        <v/>
      </c>
      <c r="J1374" s="0" t="str">
        <f aca="false">IF(I1374="","",IF(H1374-1&lt;הגדרות!$E$8*(הגדרות!$E$7+1),MOD(H1374-1,הגדרות!$E$7+1),MOD(H1374-1-הגדרות!$E$8*(הגדרות!$E$7+1),הגדרות!$E$7)))</f>
        <v/>
      </c>
      <c r="K1374" s="0" t="str">
        <f aca="false">IF(I1374="","",J1374*הגדרות!$E$6+I1374+1)</f>
        <v/>
      </c>
      <c r="L1374" s="0" t="str">
        <f aca="false">IF(K1374="","",MATCH(K1374,$F$2:$F$5001,0))</f>
        <v/>
      </c>
      <c r="M1374" s="0" t="str">
        <f aca="false">IF(I1374="","",INDEX(הגדרות!$A$2:$A$21,MOD(I1374+הגדרות!$E$9,הגדרות!$E$6)+1))</f>
        <v/>
      </c>
    </row>
    <row r="1375" customFormat="false" ht="15" hidden="false" customHeight="false" outlineLevel="0" collapsed="false">
      <c r="A1375" s="0" t="str">
        <f aca="false">IF('הדבקת לידים'!A1375="","",IF(ISNUMBER('הדבקת לידים'!A1375),IF(הגדרות!$E$2&gt;0,TEXT('הדבקת לידים'!A1375,REPT("0",הגדרות!$E$2)),TEXT('הדבקת לידים'!A1375,"0")),TRIM('הדבקת לידים'!A1375)))</f>
        <v/>
      </c>
      <c r="B1375" s="0" t="str">
        <f aca="false">IF('הדבקת לידים'!B1375="","",IF(ISNUMBER('הדבקת לידים'!B1375),IF(הגדרות!$E$3&gt;0,TEXT('הדבקת לידים'!B1375,REPT("0",הגדרות!$E$3)),TEXT('הדבקת לידים'!B1375,"0")),TRIM('הדבקת לידים'!B1375)))</f>
        <v/>
      </c>
      <c r="C1375" s="0" t="n">
        <f aca="false">IF(OR(A1375&lt;&gt;"",B1375&lt;&gt;""),1,0)</f>
        <v>0</v>
      </c>
      <c r="D1375" s="0" t="str">
        <f aca="false">IF(C1375=1,MOD(ABS(SIN(ROW()*12.9898+'הדבקת לידים'!$F$2*78.233+IFERROR(--RIGHT(A1375,6),LEN(A1375))*0.0137+IFERROR(--RIGHT(B1375,6),LEN(B1375))*0.0071))*43758.5453,1),"")</f>
        <v/>
      </c>
      <c r="E1375" s="0" t="str">
        <f aca="false">IF(C1375=1,INT(MOD(ABS(SIN(D1375*7919.123+ROW()*0.618+'הדבקת לידים'!$F$2*1.3))*43758.5453,1)*1000000)*10000+ROW(),"")</f>
        <v/>
      </c>
      <c r="F1375" s="0" t="str">
        <f aca="false">IF(E1375="","",RANK(E1375,$E$2:$E$5001,1))</f>
        <v/>
      </c>
      <c r="G1375" s="0" t="n">
        <f aca="false">IF(A1375="",0,IF(SUMPRODUCT(--($A$2:$A$5001=A1375))&gt;1,1,0))</f>
        <v>0</v>
      </c>
      <c r="H1375" s="0" t="n">
        <f aca="false">ROW()-1</f>
        <v>1374</v>
      </c>
      <c r="I1375" s="0" t="str">
        <f aca="false">IF(OR(הגדרות!$E$6=0,H1375&gt;הגדרות!$E$5),"",IF(H1375-1&lt;הגדרות!$E$8*(הגדרות!$E$7+1),INT((H1375-1)/(הגדרות!$E$7+1)),הגדרות!$E$8+INT((H1375-1-הגדרות!$E$8*(הגדרות!$E$7+1))/הגדרות!$E$7)))</f>
        <v/>
      </c>
      <c r="J1375" s="0" t="str">
        <f aca="false">IF(I1375="","",IF(H1375-1&lt;הגדרות!$E$8*(הגדרות!$E$7+1),MOD(H1375-1,הגדרות!$E$7+1),MOD(H1375-1-הגדרות!$E$8*(הגדרות!$E$7+1),הגדרות!$E$7)))</f>
        <v/>
      </c>
      <c r="K1375" s="0" t="str">
        <f aca="false">IF(I1375="","",J1375*הגדרות!$E$6+I1375+1)</f>
        <v/>
      </c>
      <c r="L1375" s="0" t="str">
        <f aca="false">IF(K1375="","",MATCH(K1375,$F$2:$F$5001,0))</f>
        <v/>
      </c>
      <c r="M1375" s="0" t="str">
        <f aca="false">IF(I1375="","",INDEX(הגדרות!$A$2:$A$21,MOD(I1375+הגדרות!$E$9,הגדרות!$E$6)+1))</f>
        <v/>
      </c>
    </row>
    <row r="1376" customFormat="false" ht="15" hidden="false" customHeight="false" outlineLevel="0" collapsed="false">
      <c r="A1376" s="0" t="str">
        <f aca="false">IF('הדבקת לידים'!A1376="","",IF(ISNUMBER('הדבקת לידים'!A1376),IF(הגדרות!$E$2&gt;0,TEXT('הדבקת לידים'!A1376,REPT("0",הגדרות!$E$2)),TEXT('הדבקת לידים'!A1376,"0")),TRIM('הדבקת לידים'!A1376)))</f>
        <v/>
      </c>
      <c r="B1376" s="0" t="str">
        <f aca="false">IF('הדבקת לידים'!B1376="","",IF(ISNUMBER('הדבקת לידים'!B1376),IF(הגדרות!$E$3&gt;0,TEXT('הדבקת לידים'!B1376,REPT("0",הגדרות!$E$3)),TEXT('הדבקת לידים'!B1376,"0")),TRIM('הדבקת לידים'!B1376)))</f>
        <v/>
      </c>
      <c r="C1376" s="0" t="n">
        <f aca="false">IF(OR(A1376&lt;&gt;"",B1376&lt;&gt;""),1,0)</f>
        <v>0</v>
      </c>
      <c r="D1376" s="0" t="str">
        <f aca="false">IF(C1376=1,MOD(ABS(SIN(ROW()*12.9898+'הדבקת לידים'!$F$2*78.233+IFERROR(--RIGHT(A1376,6),LEN(A1376))*0.0137+IFERROR(--RIGHT(B1376,6),LEN(B1376))*0.0071))*43758.5453,1),"")</f>
        <v/>
      </c>
      <c r="E1376" s="0" t="str">
        <f aca="false">IF(C1376=1,INT(MOD(ABS(SIN(D1376*7919.123+ROW()*0.618+'הדבקת לידים'!$F$2*1.3))*43758.5453,1)*1000000)*10000+ROW(),"")</f>
        <v/>
      </c>
      <c r="F1376" s="0" t="str">
        <f aca="false">IF(E1376="","",RANK(E1376,$E$2:$E$5001,1))</f>
        <v/>
      </c>
      <c r="G1376" s="0" t="n">
        <f aca="false">IF(A1376="",0,IF(SUMPRODUCT(--($A$2:$A$5001=A1376))&gt;1,1,0))</f>
        <v>0</v>
      </c>
      <c r="H1376" s="0" t="n">
        <f aca="false">ROW()-1</f>
        <v>1375</v>
      </c>
      <c r="I1376" s="0" t="str">
        <f aca="false">IF(OR(הגדרות!$E$6=0,H1376&gt;הגדרות!$E$5),"",IF(H1376-1&lt;הגדרות!$E$8*(הגדרות!$E$7+1),INT((H1376-1)/(הגדרות!$E$7+1)),הגדרות!$E$8+INT((H1376-1-הגדרות!$E$8*(הגדרות!$E$7+1))/הגדרות!$E$7)))</f>
        <v/>
      </c>
      <c r="J1376" s="0" t="str">
        <f aca="false">IF(I1376="","",IF(H1376-1&lt;הגדרות!$E$8*(הגדרות!$E$7+1),MOD(H1376-1,הגדרות!$E$7+1),MOD(H1376-1-הגדרות!$E$8*(הגדרות!$E$7+1),הגדרות!$E$7)))</f>
        <v/>
      </c>
      <c r="K1376" s="0" t="str">
        <f aca="false">IF(I1376="","",J1376*הגדרות!$E$6+I1376+1)</f>
        <v/>
      </c>
      <c r="L1376" s="0" t="str">
        <f aca="false">IF(K1376="","",MATCH(K1376,$F$2:$F$5001,0))</f>
        <v/>
      </c>
      <c r="M1376" s="0" t="str">
        <f aca="false">IF(I1376="","",INDEX(הגדרות!$A$2:$A$21,MOD(I1376+הגדרות!$E$9,הגדרות!$E$6)+1))</f>
        <v/>
      </c>
    </row>
    <row r="1377" customFormat="false" ht="15" hidden="false" customHeight="false" outlineLevel="0" collapsed="false">
      <c r="A1377" s="0" t="str">
        <f aca="false">IF('הדבקת לידים'!A1377="","",IF(ISNUMBER('הדבקת לידים'!A1377),IF(הגדרות!$E$2&gt;0,TEXT('הדבקת לידים'!A1377,REPT("0",הגדרות!$E$2)),TEXT('הדבקת לידים'!A1377,"0")),TRIM('הדבקת לידים'!A1377)))</f>
        <v/>
      </c>
      <c r="B1377" s="0" t="str">
        <f aca="false">IF('הדבקת לידים'!B1377="","",IF(ISNUMBER('הדבקת לידים'!B1377),IF(הגדרות!$E$3&gt;0,TEXT('הדבקת לידים'!B1377,REPT("0",הגדרות!$E$3)),TEXT('הדבקת לידים'!B1377,"0")),TRIM('הדבקת לידים'!B1377)))</f>
        <v/>
      </c>
      <c r="C1377" s="0" t="n">
        <f aca="false">IF(OR(A1377&lt;&gt;"",B1377&lt;&gt;""),1,0)</f>
        <v>0</v>
      </c>
      <c r="D1377" s="0" t="str">
        <f aca="false">IF(C1377=1,MOD(ABS(SIN(ROW()*12.9898+'הדבקת לידים'!$F$2*78.233+IFERROR(--RIGHT(A1377,6),LEN(A1377))*0.0137+IFERROR(--RIGHT(B1377,6),LEN(B1377))*0.0071))*43758.5453,1),"")</f>
        <v/>
      </c>
      <c r="E1377" s="0" t="str">
        <f aca="false">IF(C1377=1,INT(MOD(ABS(SIN(D1377*7919.123+ROW()*0.618+'הדבקת לידים'!$F$2*1.3))*43758.5453,1)*1000000)*10000+ROW(),"")</f>
        <v/>
      </c>
      <c r="F1377" s="0" t="str">
        <f aca="false">IF(E1377="","",RANK(E1377,$E$2:$E$5001,1))</f>
        <v/>
      </c>
      <c r="G1377" s="0" t="n">
        <f aca="false">IF(A1377="",0,IF(SUMPRODUCT(--($A$2:$A$5001=A1377))&gt;1,1,0))</f>
        <v>0</v>
      </c>
      <c r="H1377" s="0" t="n">
        <f aca="false">ROW()-1</f>
        <v>1376</v>
      </c>
      <c r="I1377" s="0" t="str">
        <f aca="false">IF(OR(הגדרות!$E$6=0,H1377&gt;הגדרות!$E$5),"",IF(H1377-1&lt;הגדרות!$E$8*(הגדרות!$E$7+1),INT((H1377-1)/(הגדרות!$E$7+1)),הגדרות!$E$8+INT((H1377-1-הגדרות!$E$8*(הגדרות!$E$7+1))/הגדרות!$E$7)))</f>
        <v/>
      </c>
      <c r="J1377" s="0" t="str">
        <f aca="false">IF(I1377="","",IF(H1377-1&lt;הגדרות!$E$8*(הגדרות!$E$7+1),MOD(H1377-1,הגדרות!$E$7+1),MOD(H1377-1-הגדרות!$E$8*(הגדרות!$E$7+1),הגדרות!$E$7)))</f>
        <v/>
      </c>
      <c r="K1377" s="0" t="str">
        <f aca="false">IF(I1377="","",J1377*הגדרות!$E$6+I1377+1)</f>
        <v/>
      </c>
      <c r="L1377" s="0" t="str">
        <f aca="false">IF(K1377="","",MATCH(K1377,$F$2:$F$5001,0))</f>
        <v/>
      </c>
      <c r="M1377" s="0" t="str">
        <f aca="false">IF(I1377="","",INDEX(הגדרות!$A$2:$A$21,MOD(I1377+הגדרות!$E$9,הגדרות!$E$6)+1))</f>
        <v/>
      </c>
    </row>
    <row r="1378" customFormat="false" ht="15" hidden="false" customHeight="false" outlineLevel="0" collapsed="false">
      <c r="A1378" s="0" t="str">
        <f aca="false">IF('הדבקת לידים'!A1378="","",IF(ISNUMBER('הדבקת לידים'!A1378),IF(הגדרות!$E$2&gt;0,TEXT('הדבקת לידים'!A1378,REPT("0",הגדרות!$E$2)),TEXT('הדבקת לידים'!A1378,"0")),TRIM('הדבקת לידים'!A1378)))</f>
        <v/>
      </c>
      <c r="B1378" s="0" t="str">
        <f aca="false">IF('הדבקת לידים'!B1378="","",IF(ISNUMBER('הדבקת לידים'!B1378),IF(הגדרות!$E$3&gt;0,TEXT('הדבקת לידים'!B1378,REPT("0",הגדרות!$E$3)),TEXT('הדבקת לידים'!B1378,"0")),TRIM('הדבקת לידים'!B1378)))</f>
        <v/>
      </c>
      <c r="C1378" s="0" t="n">
        <f aca="false">IF(OR(A1378&lt;&gt;"",B1378&lt;&gt;""),1,0)</f>
        <v>0</v>
      </c>
      <c r="D1378" s="0" t="str">
        <f aca="false">IF(C1378=1,MOD(ABS(SIN(ROW()*12.9898+'הדבקת לידים'!$F$2*78.233+IFERROR(--RIGHT(A1378,6),LEN(A1378))*0.0137+IFERROR(--RIGHT(B1378,6),LEN(B1378))*0.0071))*43758.5453,1),"")</f>
        <v/>
      </c>
      <c r="E1378" s="0" t="str">
        <f aca="false">IF(C1378=1,INT(MOD(ABS(SIN(D1378*7919.123+ROW()*0.618+'הדבקת לידים'!$F$2*1.3))*43758.5453,1)*1000000)*10000+ROW(),"")</f>
        <v/>
      </c>
      <c r="F1378" s="0" t="str">
        <f aca="false">IF(E1378="","",RANK(E1378,$E$2:$E$5001,1))</f>
        <v/>
      </c>
      <c r="G1378" s="0" t="n">
        <f aca="false">IF(A1378="",0,IF(SUMPRODUCT(--($A$2:$A$5001=A1378))&gt;1,1,0))</f>
        <v>0</v>
      </c>
      <c r="H1378" s="0" t="n">
        <f aca="false">ROW()-1</f>
        <v>1377</v>
      </c>
      <c r="I1378" s="0" t="str">
        <f aca="false">IF(OR(הגדרות!$E$6=0,H1378&gt;הגדרות!$E$5),"",IF(H1378-1&lt;הגדרות!$E$8*(הגדרות!$E$7+1),INT((H1378-1)/(הגדרות!$E$7+1)),הגדרות!$E$8+INT((H1378-1-הגדרות!$E$8*(הגדרות!$E$7+1))/הגדרות!$E$7)))</f>
        <v/>
      </c>
      <c r="J1378" s="0" t="str">
        <f aca="false">IF(I1378="","",IF(H1378-1&lt;הגדרות!$E$8*(הגדרות!$E$7+1),MOD(H1378-1,הגדרות!$E$7+1),MOD(H1378-1-הגדרות!$E$8*(הגדרות!$E$7+1),הגדרות!$E$7)))</f>
        <v/>
      </c>
      <c r="K1378" s="0" t="str">
        <f aca="false">IF(I1378="","",J1378*הגדרות!$E$6+I1378+1)</f>
        <v/>
      </c>
      <c r="L1378" s="0" t="str">
        <f aca="false">IF(K1378="","",MATCH(K1378,$F$2:$F$5001,0))</f>
        <v/>
      </c>
      <c r="M1378" s="0" t="str">
        <f aca="false">IF(I1378="","",INDEX(הגדרות!$A$2:$A$21,MOD(I1378+הגדרות!$E$9,הגדרות!$E$6)+1))</f>
        <v/>
      </c>
    </row>
    <row r="1379" customFormat="false" ht="15" hidden="false" customHeight="false" outlineLevel="0" collapsed="false">
      <c r="A1379" s="0" t="str">
        <f aca="false">IF('הדבקת לידים'!A1379="","",IF(ISNUMBER('הדבקת לידים'!A1379),IF(הגדרות!$E$2&gt;0,TEXT('הדבקת לידים'!A1379,REPT("0",הגדרות!$E$2)),TEXT('הדבקת לידים'!A1379,"0")),TRIM('הדבקת לידים'!A1379)))</f>
        <v/>
      </c>
      <c r="B1379" s="0" t="str">
        <f aca="false">IF('הדבקת לידים'!B1379="","",IF(ISNUMBER('הדבקת לידים'!B1379),IF(הגדרות!$E$3&gt;0,TEXT('הדבקת לידים'!B1379,REPT("0",הגדרות!$E$3)),TEXT('הדבקת לידים'!B1379,"0")),TRIM('הדבקת לידים'!B1379)))</f>
        <v/>
      </c>
      <c r="C1379" s="0" t="n">
        <f aca="false">IF(OR(A1379&lt;&gt;"",B1379&lt;&gt;""),1,0)</f>
        <v>0</v>
      </c>
      <c r="D1379" s="0" t="str">
        <f aca="false">IF(C1379=1,MOD(ABS(SIN(ROW()*12.9898+'הדבקת לידים'!$F$2*78.233+IFERROR(--RIGHT(A1379,6),LEN(A1379))*0.0137+IFERROR(--RIGHT(B1379,6),LEN(B1379))*0.0071))*43758.5453,1),"")</f>
        <v/>
      </c>
      <c r="E1379" s="0" t="str">
        <f aca="false">IF(C1379=1,INT(MOD(ABS(SIN(D1379*7919.123+ROW()*0.618+'הדבקת לידים'!$F$2*1.3))*43758.5453,1)*1000000)*10000+ROW(),"")</f>
        <v/>
      </c>
      <c r="F1379" s="0" t="str">
        <f aca="false">IF(E1379="","",RANK(E1379,$E$2:$E$5001,1))</f>
        <v/>
      </c>
      <c r="G1379" s="0" t="n">
        <f aca="false">IF(A1379="",0,IF(SUMPRODUCT(--($A$2:$A$5001=A1379))&gt;1,1,0))</f>
        <v>0</v>
      </c>
      <c r="H1379" s="0" t="n">
        <f aca="false">ROW()-1</f>
        <v>1378</v>
      </c>
      <c r="I1379" s="0" t="str">
        <f aca="false">IF(OR(הגדרות!$E$6=0,H1379&gt;הגדרות!$E$5),"",IF(H1379-1&lt;הגדרות!$E$8*(הגדרות!$E$7+1),INT((H1379-1)/(הגדרות!$E$7+1)),הגדרות!$E$8+INT((H1379-1-הגדרות!$E$8*(הגדרות!$E$7+1))/הגדרות!$E$7)))</f>
        <v/>
      </c>
      <c r="J1379" s="0" t="str">
        <f aca="false">IF(I1379="","",IF(H1379-1&lt;הגדרות!$E$8*(הגדרות!$E$7+1),MOD(H1379-1,הגדרות!$E$7+1),MOD(H1379-1-הגדרות!$E$8*(הגדרות!$E$7+1),הגדרות!$E$7)))</f>
        <v/>
      </c>
      <c r="K1379" s="0" t="str">
        <f aca="false">IF(I1379="","",J1379*הגדרות!$E$6+I1379+1)</f>
        <v/>
      </c>
      <c r="L1379" s="0" t="str">
        <f aca="false">IF(K1379="","",MATCH(K1379,$F$2:$F$5001,0))</f>
        <v/>
      </c>
      <c r="M1379" s="0" t="str">
        <f aca="false">IF(I1379="","",INDEX(הגדרות!$A$2:$A$21,MOD(I1379+הגדרות!$E$9,הגדרות!$E$6)+1))</f>
        <v/>
      </c>
    </row>
    <row r="1380" customFormat="false" ht="15" hidden="false" customHeight="false" outlineLevel="0" collapsed="false">
      <c r="A1380" s="0" t="str">
        <f aca="false">IF('הדבקת לידים'!A1380="","",IF(ISNUMBER('הדבקת לידים'!A1380),IF(הגדרות!$E$2&gt;0,TEXT('הדבקת לידים'!A1380,REPT("0",הגדרות!$E$2)),TEXT('הדבקת לידים'!A1380,"0")),TRIM('הדבקת לידים'!A1380)))</f>
        <v/>
      </c>
      <c r="B1380" s="0" t="str">
        <f aca="false">IF('הדבקת לידים'!B1380="","",IF(ISNUMBER('הדבקת לידים'!B1380),IF(הגדרות!$E$3&gt;0,TEXT('הדבקת לידים'!B1380,REPT("0",הגדרות!$E$3)),TEXT('הדבקת לידים'!B1380,"0")),TRIM('הדבקת לידים'!B1380)))</f>
        <v/>
      </c>
      <c r="C1380" s="0" t="n">
        <f aca="false">IF(OR(A1380&lt;&gt;"",B1380&lt;&gt;""),1,0)</f>
        <v>0</v>
      </c>
      <c r="D1380" s="0" t="str">
        <f aca="false">IF(C1380=1,MOD(ABS(SIN(ROW()*12.9898+'הדבקת לידים'!$F$2*78.233+IFERROR(--RIGHT(A1380,6),LEN(A1380))*0.0137+IFERROR(--RIGHT(B1380,6),LEN(B1380))*0.0071))*43758.5453,1),"")</f>
        <v/>
      </c>
      <c r="E1380" s="0" t="str">
        <f aca="false">IF(C1380=1,INT(MOD(ABS(SIN(D1380*7919.123+ROW()*0.618+'הדבקת לידים'!$F$2*1.3))*43758.5453,1)*1000000)*10000+ROW(),"")</f>
        <v/>
      </c>
      <c r="F1380" s="0" t="str">
        <f aca="false">IF(E1380="","",RANK(E1380,$E$2:$E$5001,1))</f>
        <v/>
      </c>
      <c r="G1380" s="0" t="n">
        <f aca="false">IF(A1380="",0,IF(SUMPRODUCT(--($A$2:$A$5001=A1380))&gt;1,1,0))</f>
        <v>0</v>
      </c>
      <c r="H1380" s="0" t="n">
        <f aca="false">ROW()-1</f>
        <v>1379</v>
      </c>
      <c r="I1380" s="0" t="str">
        <f aca="false">IF(OR(הגדרות!$E$6=0,H1380&gt;הגדרות!$E$5),"",IF(H1380-1&lt;הגדרות!$E$8*(הגדרות!$E$7+1),INT((H1380-1)/(הגדרות!$E$7+1)),הגדרות!$E$8+INT((H1380-1-הגדרות!$E$8*(הגדרות!$E$7+1))/הגדרות!$E$7)))</f>
        <v/>
      </c>
      <c r="J1380" s="0" t="str">
        <f aca="false">IF(I1380="","",IF(H1380-1&lt;הגדרות!$E$8*(הגדרות!$E$7+1),MOD(H1380-1,הגדרות!$E$7+1),MOD(H1380-1-הגדרות!$E$8*(הגדרות!$E$7+1),הגדרות!$E$7)))</f>
        <v/>
      </c>
      <c r="K1380" s="0" t="str">
        <f aca="false">IF(I1380="","",J1380*הגדרות!$E$6+I1380+1)</f>
        <v/>
      </c>
      <c r="L1380" s="0" t="str">
        <f aca="false">IF(K1380="","",MATCH(K1380,$F$2:$F$5001,0))</f>
        <v/>
      </c>
      <c r="M1380" s="0" t="str">
        <f aca="false">IF(I1380="","",INDEX(הגדרות!$A$2:$A$21,MOD(I1380+הגדרות!$E$9,הגדרות!$E$6)+1))</f>
        <v/>
      </c>
    </row>
    <row r="1381" customFormat="false" ht="15" hidden="false" customHeight="false" outlineLevel="0" collapsed="false">
      <c r="A1381" s="0" t="str">
        <f aca="false">IF('הדבקת לידים'!A1381="","",IF(ISNUMBER('הדבקת לידים'!A1381),IF(הגדרות!$E$2&gt;0,TEXT('הדבקת לידים'!A1381,REPT("0",הגדרות!$E$2)),TEXT('הדבקת לידים'!A1381,"0")),TRIM('הדבקת לידים'!A1381)))</f>
        <v/>
      </c>
      <c r="B1381" s="0" t="str">
        <f aca="false">IF('הדבקת לידים'!B1381="","",IF(ISNUMBER('הדבקת לידים'!B1381),IF(הגדרות!$E$3&gt;0,TEXT('הדבקת לידים'!B1381,REPT("0",הגדרות!$E$3)),TEXT('הדבקת לידים'!B1381,"0")),TRIM('הדבקת לידים'!B1381)))</f>
        <v/>
      </c>
      <c r="C1381" s="0" t="n">
        <f aca="false">IF(OR(A1381&lt;&gt;"",B1381&lt;&gt;""),1,0)</f>
        <v>0</v>
      </c>
      <c r="D1381" s="0" t="str">
        <f aca="false">IF(C1381=1,MOD(ABS(SIN(ROW()*12.9898+'הדבקת לידים'!$F$2*78.233+IFERROR(--RIGHT(A1381,6),LEN(A1381))*0.0137+IFERROR(--RIGHT(B1381,6),LEN(B1381))*0.0071))*43758.5453,1),"")</f>
        <v/>
      </c>
      <c r="E1381" s="0" t="str">
        <f aca="false">IF(C1381=1,INT(MOD(ABS(SIN(D1381*7919.123+ROW()*0.618+'הדבקת לידים'!$F$2*1.3))*43758.5453,1)*1000000)*10000+ROW(),"")</f>
        <v/>
      </c>
      <c r="F1381" s="0" t="str">
        <f aca="false">IF(E1381="","",RANK(E1381,$E$2:$E$5001,1))</f>
        <v/>
      </c>
      <c r="G1381" s="0" t="n">
        <f aca="false">IF(A1381="",0,IF(SUMPRODUCT(--($A$2:$A$5001=A1381))&gt;1,1,0))</f>
        <v>0</v>
      </c>
      <c r="H1381" s="0" t="n">
        <f aca="false">ROW()-1</f>
        <v>1380</v>
      </c>
      <c r="I1381" s="0" t="str">
        <f aca="false">IF(OR(הגדרות!$E$6=0,H1381&gt;הגדרות!$E$5),"",IF(H1381-1&lt;הגדרות!$E$8*(הגדרות!$E$7+1),INT((H1381-1)/(הגדרות!$E$7+1)),הגדרות!$E$8+INT((H1381-1-הגדרות!$E$8*(הגדרות!$E$7+1))/הגדרות!$E$7)))</f>
        <v/>
      </c>
      <c r="J1381" s="0" t="str">
        <f aca="false">IF(I1381="","",IF(H1381-1&lt;הגדרות!$E$8*(הגדרות!$E$7+1),MOD(H1381-1,הגדרות!$E$7+1),MOD(H1381-1-הגדרות!$E$8*(הגדרות!$E$7+1),הגדרות!$E$7)))</f>
        <v/>
      </c>
      <c r="K1381" s="0" t="str">
        <f aca="false">IF(I1381="","",J1381*הגדרות!$E$6+I1381+1)</f>
        <v/>
      </c>
      <c r="L1381" s="0" t="str">
        <f aca="false">IF(K1381="","",MATCH(K1381,$F$2:$F$5001,0))</f>
        <v/>
      </c>
      <c r="M1381" s="0" t="str">
        <f aca="false">IF(I1381="","",INDEX(הגדרות!$A$2:$A$21,MOD(I1381+הגדרות!$E$9,הגדרות!$E$6)+1))</f>
        <v/>
      </c>
    </row>
    <row r="1382" customFormat="false" ht="15" hidden="false" customHeight="false" outlineLevel="0" collapsed="false">
      <c r="A1382" s="0" t="str">
        <f aca="false">IF('הדבקת לידים'!A1382="","",IF(ISNUMBER('הדבקת לידים'!A1382),IF(הגדרות!$E$2&gt;0,TEXT('הדבקת לידים'!A1382,REPT("0",הגדרות!$E$2)),TEXT('הדבקת לידים'!A1382,"0")),TRIM('הדבקת לידים'!A1382)))</f>
        <v/>
      </c>
      <c r="B1382" s="0" t="str">
        <f aca="false">IF('הדבקת לידים'!B1382="","",IF(ISNUMBER('הדבקת לידים'!B1382),IF(הגדרות!$E$3&gt;0,TEXT('הדבקת לידים'!B1382,REPT("0",הגדרות!$E$3)),TEXT('הדבקת לידים'!B1382,"0")),TRIM('הדבקת לידים'!B1382)))</f>
        <v/>
      </c>
      <c r="C1382" s="0" t="n">
        <f aca="false">IF(OR(A1382&lt;&gt;"",B1382&lt;&gt;""),1,0)</f>
        <v>0</v>
      </c>
      <c r="D1382" s="0" t="str">
        <f aca="false">IF(C1382=1,MOD(ABS(SIN(ROW()*12.9898+'הדבקת לידים'!$F$2*78.233+IFERROR(--RIGHT(A1382,6),LEN(A1382))*0.0137+IFERROR(--RIGHT(B1382,6),LEN(B1382))*0.0071))*43758.5453,1),"")</f>
        <v/>
      </c>
      <c r="E1382" s="0" t="str">
        <f aca="false">IF(C1382=1,INT(MOD(ABS(SIN(D1382*7919.123+ROW()*0.618+'הדבקת לידים'!$F$2*1.3))*43758.5453,1)*1000000)*10000+ROW(),"")</f>
        <v/>
      </c>
      <c r="F1382" s="0" t="str">
        <f aca="false">IF(E1382="","",RANK(E1382,$E$2:$E$5001,1))</f>
        <v/>
      </c>
      <c r="G1382" s="0" t="n">
        <f aca="false">IF(A1382="",0,IF(SUMPRODUCT(--($A$2:$A$5001=A1382))&gt;1,1,0))</f>
        <v>0</v>
      </c>
      <c r="H1382" s="0" t="n">
        <f aca="false">ROW()-1</f>
        <v>1381</v>
      </c>
      <c r="I1382" s="0" t="str">
        <f aca="false">IF(OR(הגדרות!$E$6=0,H1382&gt;הגדרות!$E$5),"",IF(H1382-1&lt;הגדרות!$E$8*(הגדרות!$E$7+1),INT((H1382-1)/(הגדרות!$E$7+1)),הגדרות!$E$8+INT((H1382-1-הגדרות!$E$8*(הגדרות!$E$7+1))/הגדרות!$E$7)))</f>
        <v/>
      </c>
      <c r="J1382" s="0" t="str">
        <f aca="false">IF(I1382="","",IF(H1382-1&lt;הגדרות!$E$8*(הגדרות!$E$7+1),MOD(H1382-1,הגדרות!$E$7+1),MOD(H1382-1-הגדרות!$E$8*(הגדרות!$E$7+1),הגדרות!$E$7)))</f>
        <v/>
      </c>
      <c r="K1382" s="0" t="str">
        <f aca="false">IF(I1382="","",J1382*הגדרות!$E$6+I1382+1)</f>
        <v/>
      </c>
      <c r="L1382" s="0" t="str">
        <f aca="false">IF(K1382="","",MATCH(K1382,$F$2:$F$5001,0))</f>
        <v/>
      </c>
      <c r="M1382" s="0" t="str">
        <f aca="false">IF(I1382="","",INDEX(הגדרות!$A$2:$A$21,MOD(I1382+הגדרות!$E$9,הגדרות!$E$6)+1))</f>
        <v/>
      </c>
    </row>
    <row r="1383" customFormat="false" ht="15" hidden="false" customHeight="false" outlineLevel="0" collapsed="false">
      <c r="A1383" s="0" t="str">
        <f aca="false">IF('הדבקת לידים'!A1383="","",IF(ISNUMBER('הדבקת לידים'!A1383),IF(הגדרות!$E$2&gt;0,TEXT('הדבקת לידים'!A1383,REPT("0",הגדרות!$E$2)),TEXT('הדבקת לידים'!A1383,"0")),TRIM('הדבקת לידים'!A1383)))</f>
        <v/>
      </c>
      <c r="B1383" s="0" t="str">
        <f aca="false">IF('הדבקת לידים'!B1383="","",IF(ISNUMBER('הדבקת לידים'!B1383),IF(הגדרות!$E$3&gt;0,TEXT('הדבקת לידים'!B1383,REPT("0",הגדרות!$E$3)),TEXT('הדבקת לידים'!B1383,"0")),TRIM('הדבקת לידים'!B1383)))</f>
        <v/>
      </c>
      <c r="C1383" s="0" t="n">
        <f aca="false">IF(OR(A1383&lt;&gt;"",B1383&lt;&gt;""),1,0)</f>
        <v>0</v>
      </c>
      <c r="D1383" s="0" t="str">
        <f aca="false">IF(C1383=1,MOD(ABS(SIN(ROW()*12.9898+'הדבקת לידים'!$F$2*78.233+IFERROR(--RIGHT(A1383,6),LEN(A1383))*0.0137+IFERROR(--RIGHT(B1383,6),LEN(B1383))*0.0071))*43758.5453,1),"")</f>
        <v/>
      </c>
      <c r="E1383" s="0" t="str">
        <f aca="false">IF(C1383=1,INT(MOD(ABS(SIN(D1383*7919.123+ROW()*0.618+'הדבקת לידים'!$F$2*1.3))*43758.5453,1)*1000000)*10000+ROW(),"")</f>
        <v/>
      </c>
      <c r="F1383" s="0" t="str">
        <f aca="false">IF(E1383="","",RANK(E1383,$E$2:$E$5001,1))</f>
        <v/>
      </c>
      <c r="G1383" s="0" t="n">
        <f aca="false">IF(A1383="",0,IF(SUMPRODUCT(--($A$2:$A$5001=A1383))&gt;1,1,0))</f>
        <v>0</v>
      </c>
      <c r="H1383" s="0" t="n">
        <f aca="false">ROW()-1</f>
        <v>1382</v>
      </c>
      <c r="I1383" s="0" t="str">
        <f aca="false">IF(OR(הגדרות!$E$6=0,H1383&gt;הגדרות!$E$5),"",IF(H1383-1&lt;הגדרות!$E$8*(הגדרות!$E$7+1),INT((H1383-1)/(הגדרות!$E$7+1)),הגדרות!$E$8+INT((H1383-1-הגדרות!$E$8*(הגדרות!$E$7+1))/הגדרות!$E$7)))</f>
        <v/>
      </c>
      <c r="J1383" s="0" t="str">
        <f aca="false">IF(I1383="","",IF(H1383-1&lt;הגדרות!$E$8*(הגדרות!$E$7+1),MOD(H1383-1,הגדרות!$E$7+1),MOD(H1383-1-הגדרות!$E$8*(הגדרות!$E$7+1),הגדרות!$E$7)))</f>
        <v/>
      </c>
      <c r="K1383" s="0" t="str">
        <f aca="false">IF(I1383="","",J1383*הגדרות!$E$6+I1383+1)</f>
        <v/>
      </c>
      <c r="L1383" s="0" t="str">
        <f aca="false">IF(K1383="","",MATCH(K1383,$F$2:$F$5001,0))</f>
        <v/>
      </c>
      <c r="M1383" s="0" t="str">
        <f aca="false">IF(I1383="","",INDEX(הגדרות!$A$2:$A$21,MOD(I1383+הגדרות!$E$9,הגדרות!$E$6)+1))</f>
        <v/>
      </c>
    </row>
    <row r="1384" customFormat="false" ht="15" hidden="false" customHeight="false" outlineLevel="0" collapsed="false">
      <c r="A1384" s="0" t="str">
        <f aca="false">IF('הדבקת לידים'!A1384="","",IF(ISNUMBER('הדבקת לידים'!A1384),IF(הגדרות!$E$2&gt;0,TEXT('הדבקת לידים'!A1384,REPT("0",הגדרות!$E$2)),TEXT('הדבקת לידים'!A1384,"0")),TRIM('הדבקת לידים'!A1384)))</f>
        <v/>
      </c>
      <c r="B1384" s="0" t="str">
        <f aca="false">IF('הדבקת לידים'!B1384="","",IF(ISNUMBER('הדבקת לידים'!B1384),IF(הגדרות!$E$3&gt;0,TEXT('הדבקת לידים'!B1384,REPT("0",הגדרות!$E$3)),TEXT('הדבקת לידים'!B1384,"0")),TRIM('הדבקת לידים'!B1384)))</f>
        <v/>
      </c>
      <c r="C1384" s="0" t="n">
        <f aca="false">IF(OR(A1384&lt;&gt;"",B1384&lt;&gt;""),1,0)</f>
        <v>0</v>
      </c>
      <c r="D1384" s="0" t="str">
        <f aca="false">IF(C1384=1,MOD(ABS(SIN(ROW()*12.9898+'הדבקת לידים'!$F$2*78.233+IFERROR(--RIGHT(A1384,6),LEN(A1384))*0.0137+IFERROR(--RIGHT(B1384,6),LEN(B1384))*0.0071))*43758.5453,1),"")</f>
        <v/>
      </c>
      <c r="E1384" s="0" t="str">
        <f aca="false">IF(C1384=1,INT(MOD(ABS(SIN(D1384*7919.123+ROW()*0.618+'הדבקת לידים'!$F$2*1.3))*43758.5453,1)*1000000)*10000+ROW(),"")</f>
        <v/>
      </c>
      <c r="F1384" s="0" t="str">
        <f aca="false">IF(E1384="","",RANK(E1384,$E$2:$E$5001,1))</f>
        <v/>
      </c>
      <c r="G1384" s="0" t="n">
        <f aca="false">IF(A1384="",0,IF(SUMPRODUCT(--($A$2:$A$5001=A1384))&gt;1,1,0))</f>
        <v>0</v>
      </c>
      <c r="H1384" s="0" t="n">
        <f aca="false">ROW()-1</f>
        <v>1383</v>
      </c>
      <c r="I1384" s="0" t="str">
        <f aca="false">IF(OR(הגדרות!$E$6=0,H1384&gt;הגדרות!$E$5),"",IF(H1384-1&lt;הגדרות!$E$8*(הגדרות!$E$7+1),INT((H1384-1)/(הגדרות!$E$7+1)),הגדרות!$E$8+INT((H1384-1-הגדרות!$E$8*(הגדרות!$E$7+1))/הגדרות!$E$7)))</f>
        <v/>
      </c>
      <c r="J1384" s="0" t="str">
        <f aca="false">IF(I1384="","",IF(H1384-1&lt;הגדרות!$E$8*(הגדרות!$E$7+1),MOD(H1384-1,הגדרות!$E$7+1),MOD(H1384-1-הגדרות!$E$8*(הגדרות!$E$7+1),הגדרות!$E$7)))</f>
        <v/>
      </c>
      <c r="K1384" s="0" t="str">
        <f aca="false">IF(I1384="","",J1384*הגדרות!$E$6+I1384+1)</f>
        <v/>
      </c>
      <c r="L1384" s="0" t="str">
        <f aca="false">IF(K1384="","",MATCH(K1384,$F$2:$F$5001,0))</f>
        <v/>
      </c>
      <c r="M1384" s="0" t="str">
        <f aca="false">IF(I1384="","",INDEX(הגדרות!$A$2:$A$21,MOD(I1384+הגדרות!$E$9,הגדרות!$E$6)+1))</f>
        <v/>
      </c>
    </row>
    <row r="1385" customFormat="false" ht="15" hidden="false" customHeight="false" outlineLevel="0" collapsed="false">
      <c r="A1385" s="0" t="str">
        <f aca="false">IF('הדבקת לידים'!A1385="","",IF(ISNUMBER('הדבקת לידים'!A1385),IF(הגדרות!$E$2&gt;0,TEXT('הדבקת לידים'!A1385,REPT("0",הגדרות!$E$2)),TEXT('הדבקת לידים'!A1385,"0")),TRIM('הדבקת לידים'!A1385)))</f>
        <v/>
      </c>
      <c r="B1385" s="0" t="str">
        <f aca="false">IF('הדבקת לידים'!B1385="","",IF(ISNUMBER('הדבקת לידים'!B1385),IF(הגדרות!$E$3&gt;0,TEXT('הדבקת לידים'!B1385,REPT("0",הגדרות!$E$3)),TEXT('הדבקת לידים'!B1385,"0")),TRIM('הדבקת לידים'!B1385)))</f>
        <v/>
      </c>
      <c r="C1385" s="0" t="n">
        <f aca="false">IF(OR(A1385&lt;&gt;"",B1385&lt;&gt;""),1,0)</f>
        <v>0</v>
      </c>
      <c r="D1385" s="0" t="str">
        <f aca="false">IF(C1385=1,MOD(ABS(SIN(ROW()*12.9898+'הדבקת לידים'!$F$2*78.233+IFERROR(--RIGHT(A1385,6),LEN(A1385))*0.0137+IFERROR(--RIGHT(B1385,6),LEN(B1385))*0.0071))*43758.5453,1),"")</f>
        <v/>
      </c>
      <c r="E1385" s="0" t="str">
        <f aca="false">IF(C1385=1,INT(MOD(ABS(SIN(D1385*7919.123+ROW()*0.618+'הדבקת לידים'!$F$2*1.3))*43758.5453,1)*1000000)*10000+ROW(),"")</f>
        <v/>
      </c>
      <c r="F1385" s="0" t="str">
        <f aca="false">IF(E1385="","",RANK(E1385,$E$2:$E$5001,1))</f>
        <v/>
      </c>
      <c r="G1385" s="0" t="n">
        <f aca="false">IF(A1385="",0,IF(SUMPRODUCT(--($A$2:$A$5001=A1385))&gt;1,1,0))</f>
        <v>0</v>
      </c>
      <c r="H1385" s="0" t="n">
        <f aca="false">ROW()-1</f>
        <v>1384</v>
      </c>
      <c r="I1385" s="0" t="str">
        <f aca="false">IF(OR(הגדרות!$E$6=0,H1385&gt;הגדרות!$E$5),"",IF(H1385-1&lt;הגדרות!$E$8*(הגדרות!$E$7+1),INT((H1385-1)/(הגדרות!$E$7+1)),הגדרות!$E$8+INT((H1385-1-הגדרות!$E$8*(הגדרות!$E$7+1))/הגדרות!$E$7)))</f>
        <v/>
      </c>
      <c r="J1385" s="0" t="str">
        <f aca="false">IF(I1385="","",IF(H1385-1&lt;הגדרות!$E$8*(הגדרות!$E$7+1),MOD(H1385-1,הגדרות!$E$7+1),MOD(H1385-1-הגדרות!$E$8*(הגדרות!$E$7+1),הגדרות!$E$7)))</f>
        <v/>
      </c>
      <c r="K1385" s="0" t="str">
        <f aca="false">IF(I1385="","",J1385*הגדרות!$E$6+I1385+1)</f>
        <v/>
      </c>
      <c r="L1385" s="0" t="str">
        <f aca="false">IF(K1385="","",MATCH(K1385,$F$2:$F$5001,0))</f>
        <v/>
      </c>
      <c r="M1385" s="0" t="str">
        <f aca="false">IF(I1385="","",INDEX(הגדרות!$A$2:$A$21,MOD(I1385+הגדרות!$E$9,הגדרות!$E$6)+1))</f>
        <v/>
      </c>
    </row>
    <row r="1386" customFormat="false" ht="15" hidden="false" customHeight="false" outlineLevel="0" collapsed="false">
      <c r="A1386" s="0" t="str">
        <f aca="false">IF('הדבקת לידים'!A1386="","",IF(ISNUMBER('הדבקת לידים'!A1386),IF(הגדרות!$E$2&gt;0,TEXT('הדבקת לידים'!A1386,REPT("0",הגדרות!$E$2)),TEXT('הדבקת לידים'!A1386,"0")),TRIM('הדבקת לידים'!A1386)))</f>
        <v/>
      </c>
      <c r="B1386" s="0" t="str">
        <f aca="false">IF('הדבקת לידים'!B1386="","",IF(ISNUMBER('הדבקת לידים'!B1386),IF(הגדרות!$E$3&gt;0,TEXT('הדבקת לידים'!B1386,REPT("0",הגדרות!$E$3)),TEXT('הדבקת לידים'!B1386,"0")),TRIM('הדבקת לידים'!B1386)))</f>
        <v/>
      </c>
      <c r="C1386" s="0" t="n">
        <f aca="false">IF(OR(A1386&lt;&gt;"",B1386&lt;&gt;""),1,0)</f>
        <v>0</v>
      </c>
      <c r="D1386" s="0" t="str">
        <f aca="false">IF(C1386=1,MOD(ABS(SIN(ROW()*12.9898+'הדבקת לידים'!$F$2*78.233+IFERROR(--RIGHT(A1386,6),LEN(A1386))*0.0137+IFERROR(--RIGHT(B1386,6),LEN(B1386))*0.0071))*43758.5453,1),"")</f>
        <v/>
      </c>
      <c r="E1386" s="0" t="str">
        <f aca="false">IF(C1386=1,INT(MOD(ABS(SIN(D1386*7919.123+ROW()*0.618+'הדבקת לידים'!$F$2*1.3))*43758.5453,1)*1000000)*10000+ROW(),"")</f>
        <v/>
      </c>
      <c r="F1386" s="0" t="str">
        <f aca="false">IF(E1386="","",RANK(E1386,$E$2:$E$5001,1))</f>
        <v/>
      </c>
      <c r="G1386" s="0" t="n">
        <f aca="false">IF(A1386="",0,IF(SUMPRODUCT(--($A$2:$A$5001=A1386))&gt;1,1,0))</f>
        <v>0</v>
      </c>
      <c r="H1386" s="0" t="n">
        <f aca="false">ROW()-1</f>
        <v>1385</v>
      </c>
      <c r="I1386" s="0" t="str">
        <f aca="false">IF(OR(הגדרות!$E$6=0,H1386&gt;הגדרות!$E$5),"",IF(H1386-1&lt;הגדרות!$E$8*(הגדרות!$E$7+1),INT((H1386-1)/(הגדרות!$E$7+1)),הגדרות!$E$8+INT((H1386-1-הגדרות!$E$8*(הגדרות!$E$7+1))/הגדרות!$E$7)))</f>
        <v/>
      </c>
      <c r="J1386" s="0" t="str">
        <f aca="false">IF(I1386="","",IF(H1386-1&lt;הגדרות!$E$8*(הגדרות!$E$7+1),MOD(H1386-1,הגדרות!$E$7+1),MOD(H1386-1-הגדרות!$E$8*(הגדרות!$E$7+1),הגדרות!$E$7)))</f>
        <v/>
      </c>
      <c r="K1386" s="0" t="str">
        <f aca="false">IF(I1386="","",J1386*הגדרות!$E$6+I1386+1)</f>
        <v/>
      </c>
      <c r="L1386" s="0" t="str">
        <f aca="false">IF(K1386="","",MATCH(K1386,$F$2:$F$5001,0))</f>
        <v/>
      </c>
      <c r="M1386" s="0" t="str">
        <f aca="false">IF(I1386="","",INDEX(הגדרות!$A$2:$A$21,MOD(I1386+הגדרות!$E$9,הגדרות!$E$6)+1))</f>
        <v/>
      </c>
    </row>
    <row r="1387" customFormat="false" ht="15" hidden="false" customHeight="false" outlineLevel="0" collapsed="false">
      <c r="A1387" s="0" t="str">
        <f aca="false">IF('הדבקת לידים'!A1387="","",IF(ISNUMBER('הדבקת לידים'!A1387),IF(הגדרות!$E$2&gt;0,TEXT('הדבקת לידים'!A1387,REPT("0",הגדרות!$E$2)),TEXT('הדבקת לידים'!A1387,"0")),TRIM('הדבקת לידים'!A1387)))</f>
        <v/>
      </c>
      <c r="B1387" s="0" t="str">
        <f aca="false">IF('הדבקת לידים'!B1387="","",IF(ISNUMBER('הדבקת לידים'!B1387),IF(הגדרות!$E$3&gt;0,TEXT('הדבקת לידים'!B1387,REPT("0",הגדרות!$E$3)),TEXT('הדבקת לידים'!B1387,"0")),TRIM('הדבקת לידים'!B1387)))</f>
        <v/>
      </c>
      <c r="C1387" s="0" t="n">
        <f aca="false">IF(OR(A1387&lt;&gt;"",B1387&lt;&gt;""),1,0)</f>
        <v>0</v>
      </c>
      <c r="D1387" s="0" t="str">
        <f aca="false">IF(C1387=1,MOD(ABS(SIN(ROW()*12.9898+'הדבקת לידים'!$F$2*78.233+IFERROR(--RIGHT(A1387,6),LEN(A1387))*0.0137+IFERROR(--RIGHT(B1387,6),LEN(B1387))*0.0071))*43758.5453,1),"")</f>
        <v/>
      </c>
      <c r="E1387" s="0" t="str">
        <f aca="false">IF(C1387=1,INT(MOD(ABS(SIN(D1387*7919.123+ROW()*0.618+'הדבקת לידים'!$F$2*1.3))*43758.5453,1)*1000000)*10000+ROW(),"")</f>
        <v/>
      </c>
      <c r="F1387" s="0" t="str">
        <f aca="false">IF(E1387="","",RANK(E1387,$E$2:$E$5001,1))</f>
        <v/>
      </c>
      <c r="G1387" s="0" t="n">
        <f aca="false">IF(A1387="",0,IF(SUMPRODUCT(--($A$2:$A$5001=A1387))&gt;1,1,0))</f>
        <v>0</v>
      </c>
      <c r="H1387" s="0" t="n">
        <f aca="false">ROW()-1</f>
        <v>1386</v>
      </c>
      <c r="I1387" s="0" t="str">
        <f aca="false">IF(OR(הגדרות!$E$6=0,H1387&gt;הגדרות!$E$5),"",IF(H1387-1&lt;הגדרות!$E$8*(הגדרות!$E$7+1),INT((H1387-1)/(הגדרות!$E$7+1)),הגדרות!$E$8+INT((H1387-1-הגדרות!$E$8*(הגדרות!$E$7+1))/הגדרות!$E$7)))</f>
        <v/>
      </c>
      <c r="J1387" s="0" t="str">
        <f aca="false">IF(I1387="","",IF(H1387-1&lt;הגדרות!$E$8*(הגדרות!$E$7+1),MOD(H1387-1,הגדרות!$E$7+1),MOD(H1387-1-הגדרות!$E$8*(הגדרות!$E$7+1),הגדרות!$E$7)))</f>
        <v/>
      </c>
      <c r="K1387" s="0" t="str">
        <f aca="false">IF(I1387="","",J1387*הגדרות!$E$6+I1387+1)</f>
        <v/>
      </c>
      <c r="L1387" s="0" t="str">
        <f aca="false">IF(K1387="","",MATCH(K1387,$F$2:$F$5001,0))</f>
        <v/>
      </c>
      <c r="M1387" s="0" t="str">
        <f aca="false">IF(I1387="","",INDEX(הגדרות!$A$2:$A$21,MOD(I1387+הגדרות!$E$9,הגדרות!$E$6)+1))</f>
        <v/>
      </c>
    </row>
    <row r="1388" customFormat="false" ht="15" hidden="false" customHeight="false" outlineLevel="0" collapsed="false">
      <c r="A1388" s="0" t="str">
        <f aca="false">IF('הדבקת לידים'!A1388="","",IF(ISNUMBER('הדבקת לידים'!A1388),IF(הגדרות!$E$2&gt;0,TEXT('הדבקת לידים'!A1388,REPT("0",הגדרות!$E$2)),TEXT('הדבקת לידים'!A1388,"0")),TRIM('הדבקת לידים'!A1388)))</f>
        <v/>
      </c>
      <c r="B1388" s="0" t="str">
        <f aca="false">IF('הדבקת לידים'!B1388="","",IF(ISNUMBER('הדבקת לידים'!B1388),IF(הגדרות!$E$3&gt;0,TEXT('הדבקת לידים'!B1388,REPT("0",הגדרות!$E$3)),TEXT('הדבקת לידים'!B1388,"0")),TRIM('הדבקת לידים'!B1388)))</f>
        <v/>
      </c>
      <c r="C1388" s="0" t="n">
        <f aca="false">IF(OR(A1388&lt;&gt;"",B1388&lt;&gt;""),1,0)</f>
        <v>0</v>
      </c>
      <c r="D1388" s="0" t="str">
        <f aca="false">IF(C1388=1,MOD(ABS(SIN(ROW()*12.9898+'הדבקת לידים'!$F$2*78.233+IFERROR(--RIGHT(A1388,6),LEN(A1388))*0.0137+IFERROR(--RIGHT(B1388,6),LEN(B1388))*0.0071))*43758.5453,1),"")</f>
        <v/>
      </c>
      <c r="E1388" s="0" t="str">
        <f aca="false">IF(C1388=1,INT(MOD(ABS(SIN(D1388*7919.123+ROW()*0.618+'הדבקת לידים'!$F$2*1.3))*43758.5453,1)*1000000)*10000+ROW(),"")</f>
        <v/>
      </c>
      <c r="F1388" s="0" t="str">
        <f aca="false">IF(E1388="","",RANK(E1388,$E$2:$E$5001,1))</f>
        <v/>
      </c>
      <c r="G1388" s="0" t="n">
        <f aca="false">IF(A1388="",0,IF(SUMPRODUCT(--($A$2:$A$5001=A1388))&gt;1,1,0))</f>
        <v>0</v>
      </c>
      <c r="H1388" s="0" t="n">
        <f aca="false">ROW()-1</f>
        <v>1387</v>
      </c>
      <c r="I1388" s="0" t="str">
        <f aca="false">IF(OR(הגדרות!$E$6=0,H1388&gt;הגדרות!$E$5),"",IF(H1388-1&lt;הגדרות!$E$8*(הגדרות!$E$7+1),INT((H1388-1)/(הגדרות!$E$7+1)),הגדרות!$E$8+INT((H1388-1-הגדרות!$E$8*(הגדרות!$E$7+1))/הגדרות!$E$7)))</f>
        <v/>
      </c>
      <c r="J1388" s="0" t="str">
        <f aca="false">IF(I1388="","",IF(H1388-1&lt;הגדרות!$E$8*(הגדרות!$E$7+1),MOD(H1388-1,הגדרות!$E$7+1),MOD(H1388-1-הגדרות!$E$8*(הגדרות!$E$7+1),הגדרות!$E$7)))</f>
        <v/>
      </c>
      <c r="K1388" s="0" t="str">
        <f aca="false">IF(I1388="","",J1388*הגדרות!$E$6+I1388+1)</f>
        <v/>
      </c>
      <c r="L1388" s="0" t="str">
        <f aca="false">IF(K1388="","",MATCH(K1388,$F$2:$F$5001,0))</f>
        <v/>
      </c>
      <c r="M1388" s="0" t="str">
        <f aca="false">IF(I1388="","",INDEX(הגדרות!$A$2:$A$21,MOD(I1388+הגדרות!$E$9,הגדרות!$E$6)+1))</f>
        <v/>
      </c>
    </row>
    <row r="1389" customFormat="false" ht="15" hidden="false" customHeight="false" outlineLevel="0" collapsed="false">
      <c r="A1389" s="0" t="str">
        <f aca="false">IF('הדבקת לידים'!A1389="","",IF(ISNUMBER('הדבקת לידים'!A1389),IF(הגדרות!$E$2&gt;0,TEXT('הדבקת לידים'!A1389,REPT("0",הגדרות!$E$2)),TEXT('הדבקת לידים'!A1389,"0")),TRIM('הדבקת לידים'!A1389)))</f>
        <v/>
      </c>
      <c r="B1389" s="0" t="str">
        <f aca="false">IF('הדבקת לידים'!B1389="","",IF(ISNUMBER('הדבקת לידים'!B1389),IF(הגדרות!$E$3&gt;0,TEXT('הדבקת לידים'!B1389,REPT("0",הגדרות!$E$3)),TEXT('הדבקת לידים'!B1389,"0")),TRIM('הדבקת לידים'!B1389)))</f>
        <v/>
      </c>
      <c r="C1389" s="0" t="n">
        <f aca="false">IF(OR(A1389&lt;&gt;"",B1389&lt;&gt;""),1,0)</f>
        <v>0</v>
      </c>
      <c r="D1389" s="0" t="str">
        <f aca="false">IF(C1389=1,MOD(ABS(SIN(ROW()*12.9898+'הדבקת לידים'!$F$2*78.233+IFERROR(--RIGHT(A1389,6),LEN(A1389))*0.0137+IFERROR(--RIGHT(B1389,6),LEN(B1389))*0.0071))*43758.5453,1),"")</f>
        <v/>
      </c>
      <c r="E1389" s="0" t="str">
        <f aca="false">IF(C1389=1,INT(MOD(ABS(SIN(D1389*7919.123+ROW()*0.618+'הדבקת לידים'!$F$2*1.3))*43758.5453,1)*1000000)*10000+ROW(),"")</f>
        <v/>
      </c>
      <c r="F1389" s="0" t="str">
        <f aca="false">IF(E1389="","",RANK(E1389,$E$2:$E$5001,1))</f>
        <v/>
      </c>
      <c r="G1389" s="0" t="n">
        <f aca="false">IF(A1389="",0,IF(SUMPRODUCT(--($A$2:$A$5001=A1389))&gt;1,1,0))</f>
        <v>0</v>
      </c>
      <c r="H1389" s="0" t="n">
        <f aca="false">ROW()-1</f>
        <v>1388</v>
      </c>
      <c r="I1389" s="0" t="str">
        <f aca="false">IF(OR(הגדרות!$E$6=0,H1389&gt;הגדרות!$E$5),"",IF(H1389-1&lt;הגדרות!$E$8*(הגדרות!$E$7+1),INT((H1389-1)/(הגדרות!$E$7+1)),הגדרות!$E$8+INT((H1389-1-הגדרות!$E$8*(הגדרות!$E$7+1))/הגדרות!$E$7)))</f>
        <v/>
      </c>
      <c r="J1389" s="0" t="str">
        <f aca="false">IF(I1389="","",IF(H1389-1&lt;הגדרות!$E$8*(הגדרות!$E$7+1),MOD(H1389-1,הגדרות!$E$7+1),MOD(H1389-1-הגדרות!$E$8*(הגדרות!$E$7+1),הגדרות!$E$7)))</f>
        <v/>
      </c>
      <c r="K1389" s="0" t="str">
        <f aca="false">IF(I1389="","",J1389*הגדרות!$E$6+I1389+1)</f>
        <v/>
      </c>
      <c r="L1389" s="0" t="str">
        <f aca="false">IF(K1389="","",MATCH(K1389,$F$2:$F$5001,0))</f>
        <v/>
      </c>
      <c r="M1389" s="0" t="str">
        <f aca="false">IF(I1389="","",INDEX(הגדרות!$A$2:$A$21,MOD(I1389+הגדרות!$E$9,הגדרות!$E$6)+1))</f>
        <v/>
      </c>
    </row>
    <row r="1390" customFormat="false" ht="15" hidden="false" customHeight="false" outlineLevel="0" collapsed="false">
      <c r="A1390" s="0" t="str">
        <f aca="false">IF('הדבקת לידים'!A1390="","",IF(ISNUMBER('הדבקת לידים'!A1390),IF(הגדרות!$E$2&gt;0,TEXT('הדבקת לידים'!A1390,REPT("0",הגדרות!$E$2)),TEXT('הדבקת לידים'!A1390,"0")),TRIM('הדבקת לידים'!A1390)))</f>
        <v/>
      </c>
      <c r="B1390" s="0" t="str">
        <f aca="false">IF('הדבקת לידים'!B1390="","",IF(ISNUMBER('הדבקת לידים'!B1390),IF(הגדרות!$E$3&gt;0,TEXT('הדבקת לידים'!B1390,REPT("0",הגדרות!$E$3)),TEXT('הדבקת לידים'!B1390,"0")),TRIM('הדבקת לידים'!B1390)))</f>
        <v/>
      </c>
      <c r="C1390" s="0" t="n">
        <f aca="false">IF(OR(A1390&lt;&gt;"",B1390&lt;&gt;""),1,0)</f>
        <v>0</v>
      </c>
      <c r="D1390" s="0" t="str">
        <f aca="false">IF(C1390=1,MOD(ABS(SIN(ROW()*12.9898+'הדבקת לידים'!$F$2*78.233+IFERROR(--RIGHT(A1390,6),LEN(A1390))*0.0137+IFERROR(--RIGHT(B1390,6),LEN(B1390))*0.0071))*43758.5453,1),"")</f>
        <v/>
      </c>
      <c r="E1390" s="0" t="str">
        <f aca="false">IF(C1390=1,INT(MOD(ABS(SIN(D1390*7919.123+ROW()*0.618+'הדבקת לידים'!$F$2*1.3))*43758.5453,1)*1000000)*10000+ROW(),"")</f>
        <v/>
      </c>
      <c r="F1390" s="0" t="str">
        <f aca="false">IF(E1390="","",RANK(E1390,$E$2:$E$5001,1))</f>
        <v/>
      </c>
      <c r="G1390" s="0" t="n">
        <f aca="false">IF(A1390="",0,IF(SUMPRODUCT(--($A$2:$A$5001=A1390))&gt;1,1,0))</f>
        <v>0</v>
      </c>
      <c r="H1390" s="0" t="n">
        <f aca="false">ROW()-1</f>
        <v>1389</v>
      </c>
      <c r="I1390" s="0" t="str">
        <f aca="false">IF(OR(הגדרות!$E$6=0,H1390&gt;הגדרות!$E$5),"",IF(H1390-1&lt;הגדרות!$E$8*(הגדרות!$E$7+1),INT((H1390-1)/(הגדרות!$E$7+1)),הגדרות!$E$8+INT((H1390-1-הגדרות!$E$8*(הגדרות!$E$7+1))/הגדרות!$E$7)))</f>
        <v/>
      </c>
      <c r="J1390" s="0" t="str">
        <f aca="false">IF(I1390="","",IF(H1390-1&lt;הגדרות!$E$8*(הגדרות!$E$7+1),MOD(H1390-1,הגדרות!$E$7+1),MOD(H1390-1-הגדרות!$E$8*(הגדרות!$E$7+1),הגדרות!$E$7)))</f>
        <v/>
      </c>
      <c r="K1390" s="0" t="str">
        <f aca="false">IF(I1390="","",J1390*הגדרות!$E$6+I1390+1)</f>
        <v/>
      </c>
      <c r="L1390" s="0" t="str">
        <f aca="false">IF(K1390="","",MATCH(K1390,$F$2:$F$5001,0))</f>
        <v/>
      </c>
      <c r="M1390" s="0" t="str">
        <f aca="false">IF(I1390="","",INDEX(הגדרות!$A$2:$A$21,MOD(I1390+הגדרות!$E$9,הגדרות!$E$6)+1))</f>
        <v/>
      </c>
    </row>
    <row r="1391" customFormat="false" ht="15" hidden="false" customHeight="false" outlineLevel="0" collapsed="false">
      <c r="A1391" s="0" t="str">
        <f aca="false">IF('הדבקת לידים'!A1391="","",IF(ISNUMBER('הדבקת לידים'!A1391),IF(הגדרות!$E$2&gt;0,TEXT('הדבקת לידים'!A1391,REPT("0",הגדרות!$E$2)),TEXT('הדבקת לידים'!A1391,"0")),TRIM('הדבקת לידים'!A1391)))</f>
        <v/>
      </c>
      <c r="B1391" s="0" t="str">
        <f aca="false">IF('הדבקת לידים'!B1391="","",IF(ISNUMBER('הדבקת לידים'!B1391),IF(הגדרות!$E$3&gt;0,TEXT('הדבקת לידים'!B1391,REPT("0",הגדרות!$E$3)),TEXT('הדבקת לידים'!B1391,"0")),TRIM('הדבקת לידים'!B1391)))</f>
        <v/>
      </c>
      <c r="C1391" s="0" t="n">
        <f aca="false">IF(OR(A1391&lt;&gt;"",B1391&lt;&gt;""),1,0)</f>
        <v>0</v>
      </c>
      <c r="D1391" s="0" t="str">
        <f aca="false">IF(C1391=1,MOD(ABS(SIN(ROW()*12.9898+'הדבקת לידים'!$F$2*78.233+IFERROR(--RIGHT(A1391,6),LEN(A1391))*0.0137+IFERROR(--RIGHT(B1391,6),LEN(B1391))*0.0071))*43758.5453,1),"")</f>
        <v/>
      </c>
      <c r="E1391" s="0" t="str">
        <f aca="false">IF(C1391=1,INT(MOD(ABS(SIN(D1391*7919.123+ROW()*0.618+'הדבקת לידים'!$F$2*1.3))*43758.5453,1)*1000000)*10000+ROW(),"")</f>
        <v/>
      </c>
      <c r="F1391" s="0" t="str">
        <f aca="false">IF(E1391="","",RANK(E1391,$E$2:$E$5001,1))</f>
        <v/>
      </c>
      <c r="G1391" s="0" t="n">
        <f aca="false">IF(A1391="",0,IF(SUMPRODUCT(--($A$2:$A$5001=A1391))&gt;1,1,0))</f>
        <v>0</v>
      </c>
      <c r="H1391" s="0" t="n">
        <f aca="false">ROW()-1</f>
        <v>1390</v>
      </c>
      <c r="I1391" s="0" t="str">
        <f aca="false">IF(OR(הגדרות!$E$6=0,H1391&gt;הגדרות!$E$5),"",IF(H1391-1&lt;הגדרות!$E$8*(הגדרות!$E$7+1),INT((H1391-1)/(הגדרות!$E$7+1)),הגדרות!$E$8+INT((H1391-1-הגדרות!$E$8*(הגדרות!$E$7+1))/הגדרות!$E$7)))</f>
        <v/>
      </c>
      <c r="J1391" s="0" t="str">
        <f aca="false">IF(I1391="","",IF(H1391-1&lt;הגדרות!$E$8*(הגדרות!$E$7+1),MOD(H1391-1,הגדרות!$E$7+1),MOD(H1391-1-הגדרות!$E$8*(הגדרות!$E$7+1),הגדרות!$E$7)))</f>
        <v/>
      </c>
      <c r="K1391" s="0" t="str">
        <f aca="false">IF(I1391="","",J1391*הגדרות!$E$6+I1391+1)</f>
        <v/>
      </c>
      <c r="L1391" s="0" t="str">
        <f aca="false">IF(K1391="","",MATCH(K1391,$F$2:$F$5001,0))</f>
        <v/>
      </c>
      <c r="M1391" s="0" t="str">
        <f aca="false">IF(I1391="","",INDEX(הגדרות!$A$2:$A$21,MOD(I1391+הגדרות!$E$9,הגדרות!$E$6)+1))</f>
        <v/>
      </c>
    </row>
    <row r="1392" customFormat="false" ht="15" hidden="false" customHeight="false" outlineLevel="0" collapsed="false">
      <c r="A1392" s="0" t="str">
        <f aca="false">IF('הדבקת לידים'!A1392="","",IF(ISNUMBER('הדבקת לידים'!A1392),IF(הגדרות!$E$2&gt;0,TEXT('הדבקת לידים'!A1392,REPT("0",הגדרות!$E$2)),TEXT('הדבקת לידים'!A1392,"0")),TRIM('הדבקת לידים'!A1392)))</f>
        <v/>
      </c>
      <c r="B1392" s="0" t="str">
        <f aca="false">IF('הדבקת לידים'!B1392="","",IF(ISNUMBER('הדבקת לידים'!B1392),IF(הגדרות!$E$3&gt;0,TEXT('הדבקת לידים'!B1392,REPT("0",הגדרות!$E$3)),TEXT('הדבקת לידים'!B1392,"0")),TRIM('הדבקת לידים'!B1392)))</f>
        <v/>
      </c>
      <c r="C1392" s="0" t="n">
        <f aca="false">IF(OR(A1392&lt;&gt;"",B1392&lt;&gt;""),1,0)</f>
        <v>0</v>
      </c>
      <c r="D1392" s="0" t="str">
        <f aca="false">IF(C1392=1,MOD(ABS(SIN(ROW()*12.9898+'הדבקת לידים'!$F$2*78.233+IFERROR(--RIGHT(A1392,6),LEN(A1392))*0.0137+IFERROR(--RIGHT(B1392,6),LEN(B1392))*0.0071))*43758.5453,1),"")</f>
        <v/>
      </c>
      <c r="E1392" s="0" t="str">
        <f aca="false">IF(C1392=1,INT(MOD(ABS(SIN(D1392*7919.123+ROW()*0.618+'הדבקת לידים'!$F$2*1.3))*43758.5453,1)*1000000)*10000+ROW(),"")</f>
        <v/>
      </c>
      <c r="F1392" s="0" t="str">
        <f aca="false">IF(E1392="","",RANK(E1392,$E$2:$E$5001,1))</f>
        <v/>
      </c>
      <c r="G1392" s="0" t="n">
        <f aca="false">IF(A1392="",0,IF(SUMPRODUCT(--($A$2:$A$5001=A1392))&gt;1,1,0))</f>
        <v>0</v>
      </c>
      <c r="H1392" s="0" t="n">
        <f aca="false">ROW()-1</f>
        <v>1391</v>
      </c>
      <c r="I1392" s="0" t="str">
        <f aca="false">IF(OR(הגדרות!$E$6=0,H1392&gt;הגדרות!$E$5),"",IF(H1392-1&lt;הגדרות!$E$8*(הגדרות!$E$7+1),INT((H1392-1)/(הגדרות!$E$7+1)),הגדרות!$E$8+INT((H1392-1-הגדרות!$E$8*(הגדרות!$E$7+1))/הגדרות!$E$7)))</f>
        <v/>
      </c>
      <c r="J1392" s="0" t="str">
        <f aca="false">IF(I1392="","",IF(H1392-1&lt;הגדרות!$E$8*(הגדרות!$E$7+1),MOD(H1392-1,הגדרות!$E$7+1),MOD(H1392-1-הגדרות!$E$8*(הגדרות!$E$7+1),הגדרות!$E$7)))</f>
        <v/>
      </c>
      <c r="K1392" s="0" t="str">
        <f aca="false">IF(I1392="","",J1392*הגדרות!$E$6+I1392+1)</f>
        <v/>
      </c>
      <c r="L1392" s="0" t="str">
        <f aca="false">IF(K1392="","",MATCH(K1392,$F$2:$F$5001,0))</f>
        <v/>
      </c>
      <c r="M1392" s="0" t="str">
        <f aca="false">IF(I1392="","",INDEX(הגדרות!$A$2:$A$21,MOD(I1392+הגדרות!$E$9,הגדרות!$E$6)+1))</f>
        <v/>
      </c>
    </row>
    <row r="1393" customFormat="false" ht="15" hidden="false" customHeight="false" outlineLevel="0" collapsed="false">
      <c r="A1393" s="0" t="str">
        <f aca="false">IF('הדבקת לידים'!A1393="","",IF(ISNUMBER('הדבקת לידים'!A1393),IF(הגדרות!$E$2&gt;0,TEXT('הדבקת לידים'!A1393,REPT("0",הגדרות!$E$2)),TEXT('הדבקת לידים'!A1393,"0")),TRIM('הדבקת לידים'!A1393)))</f>
        <v/>
      </c>
      <c r="B1393" s="0" t="str">
        <f aca="false">IF('הדבקת לידים'!B1393="","",IF(ISNUMBER('הדבקת לידים'!B1393),IF(הגדרות!$E$3&gt;0,TEXT('הדבקת לידים'!B1393,REPT("0",הגדרות!$E$3)),TEXT('הדבקת לידים'!B1393,"0")),TRIM('הדבקת לידים'!B1393)))</f>
        <v/>
      </c>
      <c r="C1393" s="0" t="n">
        <f aca="false">IF(OR(A1393&lt;&gt;"",B1393&lt;&gt;""),1,0)</f>
        <v>0</v>
      </c>
      <c r="D1393" s="0" t="str">
        <f aca="false">IF(C1393=1,MOD(ABS(SIN(ROW()*12.9898+'הדבקת לידים'!$F$2*78.233+IFERROR(--RIGHT(A1393,6),LEN(A1393))*0.0137+IFERROR(--RIGHT(B1393,6),LEN(B1393))*0.0071))*43758.5453,1),"")</f>
        <v/>
      </c>
      <c r="E1393" s="0" t="str">
        <f aca="false">IF(C1393=1,INT(MOD(ABS(SIN(D1393*7919.123+ROW()*0.618+'הדבקת לידים'!$F$2*1.3))*43758.5453,1)*1000000)*10000+ROW(),"")</f>
        <v/>
      </c>
      <c r="F1393" s="0" t="str">
        <f aca="false">IF(E1393="","",RANK(E1393,$E$2:$E$5001,1))</f>
        <v/>
      </c>
      <c r="G1393" s="0" t="n">
        <f aca="false">IF(A1393="",0,IF(SUMPRODUCT(--($A$2:$A$5001=A1393))&gt;1,1,0))</f>
        <v>0</v>
      </c>
      <c r="H1393" s="0" t="n">
        <f aca="false">ROW()-1</f>
        <v>1392</v>
      </c>
      <c r="I1393" s="0" t="str">
        <f aca="false">IF(OR(הגדרות!$E$6=0,H1393&gt;הגדרות!$E$5),"",IF(H1393-1&lt;הגדרות!$E$8*(הגדרות!$E$7+1),INT((H1393-1)/(הגדרות!$E$7+1)),הגדרות!$E$8+INT((H1393-1-הגדרות!$E$8*(הגדרות!$E$7+1))/הגדרות!$E$7)))</f>
        <v/>
      </c>
      <c r="J1393" s="0" t="str">
        <f aca="false">IF(I1393="","",IF(H1393-1&lt;הגדרות!$E$8*(הגדרות!$E$7+1),MOD(H1393-1,הגדרות!$E$7+1),MOD(H1393-1-הגדרות!$E$8*(הגדרות!$E$7+1),הגדרות!$E$7)))</f>
        <v/>
      </c>
      <c r="K1393" s="0" t="str">
        <f aca="false">IF(I1393="","",J1393*הגדרות!$E$6+I1393+1)</f>
        <v/>
      </c>
      <c r="L1393" s="0" t="str">
        <f aca="false">IF(K1393="","",MATCH(K1393,$F$2:$F$5001,0))</f>
        <v/>
      </c>
      <c r="M1393" s="0" t="str">
        <f aca="false">IF(I1393="","",INDEX(הגדרות!$A$2:$A$21,MOD(I1393+הגדרות!$E$9,הגדרות!$E$6)+1))</f>
        <v/>
      </c>
    </row>
    <row r="1394" customFormat="false" ht="15" hidden="false" customHeight="false" outlineLevel="0" collapsed="false">
      <c r="A1394" s="0" t="str">
        <f aca="false">IF('הדבקת לידים'!A1394="","",IF(ISNUMBER('הדבקת לידים'!A1394),IF(הגדרות!$E$2&gt;0,TEXT('הדבקת לידים'!A1394,REPT("0",הגדרות!$E$2)),TEXT('הדבקת לידים'!A1394,"0")),TRIM('הדבקת לידים'!A1394)))</f>
        <v/>
      </c>
      <c r="B1394" s="0" t="str">
        <f aca="false">IF('הדבקת לידים'!B1394="","",IF(ISNUMBER('הדבקת לידים'!B1394),IF(הגדרות!$E$3&gt;0,TEXT('הדבקת לידים'!B1394,REPT("0",הגדרות!$E$3)),TEXT('הדבקת לידים'!B1394,"0")),TRIM('הדבקת לידים'!B1394)))</f>
        <v/>
      </c>
      <c r="C1394" s="0" t="n">
        <f aca="false">IF(OR(A1394&lt;&gt;"",B1394&lt;&gt;""),1,0)</f>
        <v>0</v>
      </c>
      <c r="D1394" s="0" t="str">
        <f aca="false">IF(C1394=1,MOD(ABS(SIN(ROW()*12.9898+'הדבקת לידים'!$F$2*78.233+IFERROR(--RIGHT(A1394,6),LEN(A1394))*0.0137+IFERROR(--RIGHT(B1394,6),LEN(B1394))*0.0071))*43758.5453,1),"")</f>
        <v/>
      </c>
      <c r="E1394" s="0" t="str">
        <f aca="false">IF(C1394=1,INT(MOD(ABS(SIN(D1394*7919.123+ROW()*0.618+'הדבקת לידים'!$F$2*1.3))*43758.5453,1)*1000000)*10000+ROW(),"")</f>
        <v/>
      </c>
      <c r="F1394" s="0" t="str">
        <f aca="false">IF(E1394="","",RANK(E1394,$E$2:$E$5001,1))</f>
        <v/>
      </c>
      <c r="G1394" s="0" t="n">
        <f aca="false">IF(A1394="",0,IF(SUMPRODUCT(--($A$2:$A$5001=A1394))&gt;1,1,0))</f>
        <v>0</v>
      </c>
      <c r="H1394" s="0" t="n">
        <f aca="false">ROW()-1</f>
        <v>1393</v>
      </c>
      <c r="I1394" s="0" t="str">
        <f aca="false">IF(OR(הגדרות!$E$6=0,H1394&gt;הגדרות!$E$5),"",IF(H1394-1&lt;הגדרות!$E$8*(הגדרות!$E$7+1),INT((H1394-1)/(הגדרות!$E$7+1)),הגדרות!$E$8+INT((H1394-1-הגדרות!$E$8*(הגדרות!$E$7+1))/הגדרות!$E$7)))</f>
        <v/>
      </c>
      <c r="J1394" s="0" t="str">
        <f aca="false">IF(I1394="","",IF(H1394-1&lt;הגדרות!$E$8*(הגדרות!$E$7+1),MOD(H1394-1,הגדרות!$E$7+1),MOD(H1394-1-הגדרות!$E$8*(הגדרות!$E$7+1),הגדרות!$E$7)))</f>
        <v/>
      </c>
      <c r="K1394" s="0" t="str">
        <f aca="false">IF(I1394="","",J1394*הגדרות!$E$6+I1394+1)</f>
        <v/>
      </c>
      <c r="L1394" s="0" t="str">
        <f aca="false">IF(K1394="","",MATCH(K1394,$F$2:$F$5001,0))</f>
        <v/>
      </c>
      <c r="M1394" s="0" t="str">
        <f aca="false">IF(I1394="","",INDEX(הגדרות!$A$2:$A$21,MOD(I1394+הגדרות!$E$9,הגדרות!$E$6)+1))</f>
        <v/>
      </c>
    </row>
    <row r="1395" customFormat="false" ht="15" hidden="false" customHeight="false" outlineLevel="0" collapsed="false">
      <c r="A1395" s="0" t="str">
        <f aca="false">IF('הדבקת לידים'!A1395="","",IF(ISNUMBER('הדבקת לידים'!A1395),IF(הגדרות!$E$2&gt;0,TEXT('הדבקת לידים'!A1395,REPT("0",הגדרות!$E$2)),TEXT('הדבקת לידים'!A1395,"0")),TRIM('הדבקת לידים'!A1395)))</f>
        <v/>
      </c>
      <c r="B1395" s="0" t="str">
        <f aca="false">IF('הדבקת לידים'!B1395="","",IF(ISNUMBER('הדבקת לידים'!B1395),IF(הגדרות!$E$3&gt;0,TEXT('הדבקת לידים'!B1395,REPT("0",הגדרות!$E$3)),TEXT('הדבקת לידים'!B1395,"0")),TRIM('הדבקת לידים'!B1395)))</f>
        <v/>
      </c>
      <c r="C1395" s="0" t="n">
        <f aca="false">IF(OR(A1395&lt;&gt;"",B1395&lt;&gt;""),1,0)</f>
        <v>0</v>
      </c>
      <c r="D1395" s="0" t="str">
        <f aca="false">IF(C1395=1,MOD(ABS(SIN(ROW()*12.9898+'הדבקת לידים'!$F$2*78.233+IFERROR(--RIGHT(A1395,6),LEN(A1395))*0.0137+IFERROR(--RIGHT(B1395,6),LEN(B1395))*0.0071))*43758.5453,1),"")</f>
        <v/>
      </c>
      <c r="E1395" s="0" t="str">
        <f aca="false">IF(C1395=1,INT(MOD(ABS(SIN(D1395*7919.123+ROW()*0.618+'הדבקת לידים'!$F$2*1.3))*43758.5453,1)*1000000)*10000+ROW(),"")</f>
        <v/>
      </c>
      <c r="F1395" s="0" t="str">
        <f aca="false">IF(E1395="","",RANK(E1395,$E$2:$E$5001,1))</f>
        <v/>
      </c>
      <c r="G1395" s="0" t="n">
        <f aca="false">IF(A1395="",0,IF(SUMPRODUCT(--($A$2:$A$5001=A1395))&gt;1,1,0))</f>
        <v>0</v>
      </c>
      <c r="H1395" s="0" t="n">
        <f aca="false">ROW()-1</f>
        <v>1394</v>
      </c>
      <c r="I1395" s="0" t="str">
        <f aca="false">IF(OR(הגדרות!$E$6=0,H1395&gt;הגדרות!$E$5),"",IF(H1395-1&lt;הגדרות!$E$8*(הגדרות!$E$7+1),INT((H1395-1)/(הגדרות!$E$7+1)),הגדרות!$E$8+INT((H1395-1-הגדרות!$E$8*(הגדרות!$E$7+1))/הגדרות!$E$7)))</f>
        <v/>
      </c>
      <c r="J1395" s="0" t="str">
        <f aca="false">IF(I1395="","",IF(H1395-1&lt;הגדרות!$E$8*(הגדרות!$E$7+1),MOD(H1395-1,הגדרות!$E$7+1),MOD(H1395-1-הגדרות!$E$8*(הגדרות!$E$7+1),הגדרות!$E$7)))</f>
        <v/>
      </c>
      <c r="K1395" s="0" t="str">
        <f aca="false">IF(I1395="","",J1395*הגדרות!$E$6+I1395+1)</f>
        <v/>
      </c>
      <c r="L1395" s="0" t="str">
        <f aca="false">IF(K1395="","",MATCH(K1395,$F$2:$F$5001,0))</f>
        <v/>
      </c>
      <c r="M1395" s="0" t="str">
        <f aca="false">IF(I1395="","",INDEX(הגדרות!$A$2:$A$21,MOD(I1395+הגדרות!$E$9,הגדרות!$E$6)+1))</f>
        <v/>
      </c>
    </row>
    <row r="1396" customFormat="false" ht="15" hidden="false" customHeight="false" outlineLevel="0" collapsed="false">
      <c r="A1396" s="0" t="str">
        <f aca="false">IF('הדבקת לידים'!A1396="","",IF(ISNUMBER('הדבקת לידים'!A1396),IF(הגדרות!$E$2&gt;0,TEXT('הדבקת לידים'!A1396,REPT("0",הגדרות!$E$2)),TEXT('הדבקת לידים'!A1396,"0")),TRIM('הדבקת לידים'!A1396)))</f>
        <v/>
      </c>
      <c r="B1396" s="0" t="str">
        <f aca="false">IF('הדבקת לידים'!B1396="","",IF(ISNUMBER('הדבקת לידים'!B1396),IF(הגדרות!$E$3&gt;0,TEXT('הדבקת לידים'!B1396,REPT("0",הגדרות!$E$3)),TEXT('הדבקת לידים'!B1396,"0")),TRIM('הדבקת לידים'!B1396)))</f>
        <v/>
      </c>
      <c r="C1396" s="0" t="n">
        <f aca="false">IF(OR(A1396&lt;&gt;"",B1396&lt;&gt;""),1,0)</f>
        <v>0</v>
      </c>
      <c r="D1396" s="0" t="str">
        <f aca="false">IF(C1396=1,MOD(ABS(SIN(ROW()*12.9898+'הדבקת לידים'!$F$2*78.233+IFERROR(--RIGHT(A1396,6),LEN(A1396))*0.0137+IFERROR(--RIGHT(B1396,6),LEN(B1396))*0.0071))*43758.5453,1),"")</f>
        <v/>
      </c>
      <c r="E1396" s="0" t="str">
        <f aca="false">IF(C1396=1,INT(MOD(ABS(SIN(D1396*7919.123+ROW()*0.618+'הדבקת לידים'!$F$2*1.3))*43758.5453,1)*1000000)*10000+ROW(),"")</f>
        <v/>
      </c>
      <c r="F1396" s="0" t="str">
        <f aca="false">IF(E1396="","",RANK(E1396,$E$2:$E$5001,1))</f>
        <v/>
      </c>
      <c r="G1396" s="0" t="n">
        <f aca="false">IF(A1396="",0,IF(SUMPRODUCT(--($A$2:$A$5001=A1396))&gt;1,1,0))</f>
        <v>0</v>
      </c>
      <c r="H1396" s="0" t="n">
        <f aca="false">ROW()-1</f>
        <v>1395</v>
      </c>
      <c r="I1396" s="0" t="str">
        <f aca="false">IF(OR(הגדרות!$E$6=0,H1396&gt;הגדרות!$E$5),"",IF(H1396-1&lt;הגדרות!$E$8*(הגדרות!$E$7+1),INT((H1396-1)/(הגדרות!$E$7+1)),הגדרות!$E$8+INT((H1396-1-הגדרות!$E$8*(הגדרות!$E$7+1))/הגדרות!$E$7)))</f>
        <v/>
      </c>
      <c r="J1396" s="0" t="str">
        <f aca="false">IF(I1396="","",IF(H1396-1&lt;הגדרות!$E$8*(הגדרות!$E$7+1),MOD(H1396-1,הגדרות!$E$7+1),MOD(H1396-1-הגדרות!$E$8*(הגדרות!$E$7+1),הגדרות!$E$7)))</f>
        <v/>
      </c>
      <c r="K1396" s="0" t="str">
        <f aca="false">IF(I1396="","",J1396*הגדרות!$E$6+I1396+1)</f>
        <v/>
      </c>
      <c r="L1396" s="0" t="str">
        <f aca="false">IF(K1396="","",MATCH(K1396,$F$2:$F$5001,0))</f>
        <v/>
      </c>
      <c r="M1396" s="0" t="str">
        <f aca="false">IF(I1396="","",INDEX(הגדרות!$A$2:$A$21,MOD(I1396+הגדרות!$E$9,הגדרות!$E$6)+1))</f>
        <v/>
      </c>
    </row>
    <row r="1397" customFormat="false" ht="15" hidden="false" customHeight="false" outlineLevel="0" collapsed="false">
      <c r="A1397" s="0" t="str">
        <f aca="false">IF('הדבקת לידים'!A1397="","",IF(ISNUMBER('הדבקת לידים'!A1397),IF(הגדרות!$E$2&gt;0,TEXT('הדבקת לידים'!A1397,REPT("0",הגדרות!$E$2)),TEXT('הדבקת לידים'!A1397,"0")),TRIM('הדבקת לידים'!A1397)))</f>
        <v/>
      </c>
      <c r="B1397" s="0" t="str">
        <f aca="false">IF('הדבקת לידים'!B1397="","",IF(ISNUMBER('הדבקת לידים'!B1397),IF(הגדרות!$E$3&gt;0,TEXT('הדבקת לידים'!B1397,REPT("0",הגדרות!$E$3)),TEXT('הדבקת לידים'!B1397,"0")),TRIM('הדבקת לידים'!B1397)))</f>
        <v/>
      </c>
      <c r="C1397" s="0" t="n">
        <f aca="false">IF(OR(A1397&lt;&gt;"",B1397&lt;&gt;""),1,0)</f>
        <v>0</v>
      </c>
      <c r="D1397" s="0" t="str">
        <f aca="false">IF(C1397=1,MOD(ABS(SIN(ROW()*12.9898+'הדבקת לידים'!$F$2*78.233+IFERROR(--RIGHT(A1397,6),LEN(A1397))*0.0137+IFERROR(--RIGHT(B1397,6),LEN(B1397))*0.0071))*43758.5453,1),"")</f>
        <v/>
      </c>
      <c r="E1397" s="0" t="str">
        <f aca="false">IF(C1397=1,INT(MOD(ABS(SIN(D1397*7919.123+ROW()*0.618+'הדבקת לידים'!$F$2*1.3))*43758.5453,1)*1000000)*10000+ROW(),"")</f>
        <v/>
      </c>
      <c r="F1397" s="0" t="str">
        <f aca="false">IF(E1397="","",RANK(E1397,$E$2:$E$5001,1))</f>
        <v/>
      </c>
      <c r="G1397" s="0" t="n">
        <f aca="false">IF(A1397="",0,IF(SUMPRODUCT(--($A$2:$A$5001=A1397))&gt;1,1,0))</f>
        <v>0</v>
      </c>
      <c r="H1397" s="0" t="n">
        <f aca="false">ROW()-1</f>
        <v>1396</v>
      </c>
      <c r="I1397" s="0" t="str">
        <f aca="false">IF(OR(הגדרות!$E$6=0,H1397&gt;הגדרות!$E$5),"",IF(H1397-1&lt;הגדרות!$E$8*(הגדרות!$E$7+1),INT((H1397-1)/(הגדרות!$E$7+1)),הגדרות!$E$8+INT((H1397-1-הגדרות!$E$8*(הגדרות!$E$7+1))/הגדרות!$E$7)))</f>
        <v/>
      </c>
      <c r="J1397" s="0" t="str">
        <f aca="false">IF(I1397="","",IF(H1397-1&lt;הגדרות!$E$8*(הגדרות!$E$7+1),MOD(H1397-1,הגדרות!$E$7+1),MOD(H1397-1-הגדרות!$E$8*(הגדרות!$E$7+1),הגדרות!$E$7)))</f>
        <v/>
      </c>
      <c r="K1397" s="0" t="str">
        <f aca="false">IF(I1397="","",J1397*הגדרות!$E$6+I1397+1)</f>
        <v/>
      </c>
      <c r="L1397" s="0" t="str">
        <f aca="false">IF(K1397="","",MATCH(K1397,$F$2:$F$5001,0))</f>
        <v/>
      </c>
      <c r="M1397" s="0" t="str">
        <f aca="false">IF(I1397="","",INDEX(הגדרות!$A$2:$A$21,MOD(I1397+הגדרות!$E$9,הגדרות!$E$6)+1))</f>
        <v/>
      </c>
    </row>
    <row r="1398" customFormat="false" ht="15" hidden="false" customHeight="false" outlineLevel="0" collapsed="false">
      <c r="A1398" s="0" t="str">
        <f aca="false">IF('הדבקת לידים'!A1398="","",IF(ISNUMBER('הדבקת לידים'!A1398),IF(הגדרות!$E$2&gt;0,TEXT('הדבקת לידים'!A1398,REPT("0",הגדרות!$E$2)),TEXT('הדבקת לידים'!A1398,"0")),TRIM('הדבקת לידים'!A1398)))</f>
        <v/>
      </c>
      <c r="B1398" s="0" t="str">
        <f aca="false">IF('הדבקת לידים'!B1398="","",IF(ISNUMBER('הדבקת לידים'!B1398),IF(הגדרות!$E$3&gt;0,TEXT('הדבקת לידים'!B1398,REPT("0",הגדרות!$E$3)),TEXT('הדבקת לידים'!B1398,"0")),TRIM('הדבקת לידים'!B1398)))</f>
        <v/>
      </c>
      <c r="C1398" s="0" t="n">
        <f aca="false">IF(OR(A1398&lt;&gt;"",B1398&lt;&gt;""),1,0)</f>
        <v>0</v>
      </c>
      <c r="D1398" s="0" t="str">
        <f aca="false">IF(C1398=1,MOD(ABS(SIN(ROW()*12.9898+'הדבקת לידים'!$F$2*78.233+IFERROR(--RIGHT(A1398,6),LEN(A1398))*0.0137+IFERROR(--RIGHT(B1398,6),LEN(B1398))*0.0071))*43758.5453,1),"")</f>
        <v/>
      </c>
      <c r="E1398" s="0" t="str">
        <f aca="false">IF(C1398=1,INT(MOD(ABS(SIN(D1398*7919.123+ROW()*0.618+'הדבקת לידים'!$F$2*1.3))*43758.5453,1)*1000000)*10000+ROW(),"")</f>
        <v/>
      </c>
      <c r="F1398" s="0" t="str">
        <f aca="false">IF(E1398="","",RANK(E1398,$E$2:$E$5001,1))</f>
        <v/>
      </c>
      <c r="G1398" s="0" t="n">
        <f aca="false">IF(A1398="",0,IF(SUMPRODUCT(--($A$2:$A$5001=A1398))&gt;1,1,0))</f>
        <v>0</v>
      </c>
      <c r="H1398" s="0" t="n">
        <f aca="false">ROW()-1</f>
        <v>1397</v>
      </c>
      <c r="I1398" s="0" t="str">
        <f aca="false">IF(OR(הגדרות!$E$6=0,H1398&gt;הגדרות!$E$5),"",IF(H1398-1&lt;הגדרות!$E$8*(הגדרות!$E$7+1),INT((H1398-1)/(הגדרות!$E$7+1)),הגדרות!$E$8+INT((H1398-1-הגדרות!$E$8*(הגדרות!$E$7+1))/הגדרות!$E$7)))</f>
        <v/>
      </c>
      <c r="J1398" s="0" t="str">
        <f aca="false">IF(I1398="","",IF(H1398-1&lt;הגדרות!$E$8*(הגדרות!$E$7+1),MOD(H1398-1,הגדרות!$E$7+1),MOD(H1398-1-הגדרות!$E$8*(הגדרות!$E$7+1),הגדרות!$E$7)))</f>
        <v/>
      </c>
      <c r="K1398" s="0" t="str">
        <f aca="false">IF(I1398="","",J1398*הגדרות!$E$6+I1398+1)</f>
        <v/>
      </c>
      <c r="L1398" s="0" t="str">
        <f aca="false">IF(K1398="","",MATCH(K1398,$F$2:$F$5001,0))</f>
        <v/>
      </c>
      <c r="M1398" s="0" t="str">
        <f aca="false">IF(I1398="","",INDEX(הגדרות!$A$2:$A$21,MOD(I1398+הגדרות!$E$9,הגדרות!$E$6)+1))</f>
        <v/>
      </c>
    </row>
    <row r="1399" customFormat="false" ht="15" hidden="false" customHeight="false" outlineLevel="0" collapsed="false">
      <c r="A1399" s="0" t="str">
        <f aca="false">IF('הדבקת לידים'!A1399="","",IF(ISNUMBER('הדבקת לידים'!A1399),IF(הגדרות!$E$2&gt;0,TEXT('הדבקת לידים'!A1399,REPT("0",הגדרות!$E$2)),TEXT('הדבקת לידים'!A1399,"0")),TRIM('הדבקת לידים'!A1399)))</f>
        <v/>
      </c>
      <c r="B1399" s="0" t="str">
        <f aca="false">IF('הדבקת לידים'!B1399="","",IF(ISNUMBER('הדבקת לידים'!B1399),IF(הגדרות!$E$3&gt;0,TEXT('הדבקת לידים'!B1399,REPT("0",הגדרות!$E$3)),TEXT('הדבקת לידים'!B1399,"0")),TRIM('הדבקת לידים'!B1399)))</f>
        <v/>
      </c>
      <c r="C1399" s="0" t="n">
        <f aca="false">IF(OR(A1399&lt;&gt;"",B1399&lt;&gt;""),1,0)</f>
        <v>0</v>
      </c>
      <c r="D1399" s="0" t="str">
        <f aca="false">IF(C1399=1,MOD(ABS(SIN(ROW()*12.9898+'הדבקת לידים'!$F$2*78.233+IFERROR(--RIGHT(A1399,6),LEN(A1399))*0.0137+IFERROR(--RIGHT(B1399,6),LEN(B1399))*0.0071))*43758.5453,1),"")</f>
        <v/>
      </c>
      <c r="E1399" s="0" t="str">
        <f aca="false">IF(C1399=1,INT(MOD(ABS(SIN(D1399*7919.123+ROW()*0.618+'הדבקת לידים'!$F$2*1.3))*43758.5453,1)*1000000)*10000+ROW(),"")</f>
        <v/>
      </c>
      <c r="F1399" s="0" t="str">
        <f aca="false">IF(E1399="","",RANK(E1399,$E$2:$E$5001,1))</f>
        <v/>
      </c>
      <c r="G1399" s="0" t="n">
        <f aca="false">IF(A1399="",0,IF(SUMPRODUCT(--($A$2:$A$5001=A1399))&gt;1,1,0))</f>
        <v>0</v>
      </c>
      <c r="H1399" s="0" t="n">
        <f aca="false">ROW()-1</f>
        <v>1398</v>
      </c>
      <c r="I1399" s="0" t="str">
        <f aca="false">IF(OR(הגדרות!$E$6=0,H1399&gt;הגדרות!$E$5),"",IF(H1399-1&lt;הגדרות!$E$8*(הגדרות!$E$7+1),INT((H1399-1)/(הגדרות!$E$7+1)),הגדרות!$E$8+INT((H1399-1-הגדרות!$E$8*(הגדרות!$E$7+1))/הגדרות!$E$7)))</f>
        <v/>
      </c>
      <c r="J1399" s="0" t="str">
        <f aca="false">IF(I1399="","",IF(H1399-1&lt;הגדרות!$E$8*(הגדרות!$E$7+1),MOD(H1399-1,הגדרות!$E$7+1),MOD(H1399-1-הגדרות!$E$8*(הגדרות!$E$7+1),הגדרות!$E$7)))</f>
        <v/>
      </c>
      <c r="K1399" s="0" t="str">
        <f aca="false">IF(I1399="","",J1399*הגדרות!$E$6+I1399+1)</f>
        <v/>
      </c>
      <c r="L1399" s="0" t="str">
        <f aca="false">IF(K1399="","",MATCH(K1399,$F$2:$F$5001,0))</f>
        <v/>
      </c>
      <c r="M1399" s="0" t="str">
        <f aca="false">IF(I1399="","",INDEX(הגדרות!$A$2:$A$21,MOD(I1399+הגדרות!$E$9,הגדרות!$E$6)+1))</f>
        <v/>
      </c>
    </row>
    <row r="1400" customFormat="false" ht="15" hidden="false" customHeight="false" outlineLevel="0" collapsed="false">
      <c r="A1400" s="0" t="str">
        <f aca="false">IF('הדבקת לידים'!A1400="","",IF(ISNUMBER('הדבקת לידים'!A1400),IF(הגדרות!$E$2&gt;0,TEXT('הדבקת לידים'!A1400,REPT("0",הגדרות!$E$2)),TEXT('הדבקת לידים'!A1400,"0")),TRIM('הדבקת לידים'!A1400)))</f>
        <v/>
      </c>
      <c r="B1400" s="0" t="str">
        <f aca="false">IF('הדבקת לידים'!B1400="","",IF(ISNUMBER('הדבקת לידים'!B1400),IF(הגדרות!$E$3&gt;0,TEXT('הדבקת לידים'!B1400,REPT("0",הגדרות!$E$3)),TEXT('הדבקת לידים'!B1400,"0")),TRIM('הדבקת לידים'!B1400)))</f>
        <v/>
      </c>
      <c r="C1400" s="0" t="n">
        <f aca="false">IF(OR(A1400&lt;&gt;"",B1400&lt;&gt;""),1,0)</f>
        <v>0</v>
      </c>
      <c r="D1400" s="0" t="str">
        <f aca="false">IF(C1400=1,MOD(ABS(SIN(ROW()*12.9898+'הדבקת לידים'!$F$2*78.233+IFERROR(--RIGHT(A1400,6),LEN(A1400))*0.0137+IFERROR(--RIGHT(B1400,6),LEN(B1400))*0.0071))*43758.5453,1),"")</f>
        <v/>
      </c>
      <c r="E1400" s="0" t="str">
        <f aca="false">IF(C1400=1,INT(MOD(ABS(SIN(D1400*7919.123+ROW()*0.618+'הדבקת לידים'!$F$2*1.3))*43758.5453,1)*1000000)*10000+ROW(),"")</f>
        <v/>
      </c>
      <c r="F1400" s="0" t="str">
        <f aca="false">IF(E1400="","",RANK(E1400,$E$2:$E$5001,1))</f>
        <v/>
      </c>
      <c r="G1400" s="0" t="n">
        <f aca="false">IF(A1400="",0,IF(SUMPRODUCT(--($A$2:$A$5001=A1400))&gt;1,1,0))</f>
        <v>0</v>
      </c>
      <c r="H1400" s="0" t="n">
        <f aca="false">ROW()-1</f>
        <v>1399</v>
      </c>
      <c r="I1400" s="0" t="str">
        <f aca="false">IF(OR(הגדרות!$E$6=0,H1400&gt;הגדרות!$E$5),"",IF(H1400-1&lt;הגדרות!$E$8*(הגדרות!$E$7+1),INT((H1400-1)/(הגדרות!$E$7+1)),הגדרות!$E$8+INT((H1400-1-הגדרות!$E$8*(הגדרות!$E$7+1))/הגדרות!$E$7)))</f>
        <v/>
      </c>
      <c r="J1400" s="0" t="str">
        <f aca="false">IF(I1400="","",IF(H1400-1&lt;הגדרות!$E$8*(הגדרות!$E$7+1),MOD(H1400-1,הגדרות!$E$7+1),MOD(H1400-1-הגדרות!$E$8*(הגדרות!$E$7+1),הגדרות!$E$7)))</f>
        <v/>
      </c>
      <c r="K1400" s="0" t="str">
        <f aca="false">IF(I1400="","",J1400*הגדרות!$E$6+I1400+1)</f>
        <v/>
      </c>
      <c r="L1400" s="0" t="str">
        <f aca="false">IF(K1400="","",MATCH(K1400,$F$2:$F$5001,0))</f>
        <v/>
      </c>
      <c r="M1400" s="0" t="str">
        <f aca="false">IF(I1400="","",INDEX(הגדרות!$A$2:$A$21,MOD(I1400+הגדרות!$E$9,הגדרות!$E$6)+1))</f>
        <v/>
      </c>
    </row>
    <row r="1401" customFormat="false" ht="15" hidden="false" customHeight="false" outlineLevel="0" collapsed="false">
      <c r="A1401" s="0" t="str">
        <f aca="false">IF('הדבקת לידים'!A1401="","",IF(ISNUMBER('הדבקת לידים'!A1401),IF(הגדרות!$E$2&gt;0,TEXT('הדבקת לידים'!A1401,REPT("0",הגדרות!$E$2)),TEXT('הדבקת לידים'!A1401,"0")),TRIM('הדבקת לידים'!A1401)))</f>
        <v/>
      </c>
      <c r="B1401" s="0" t="str">
        <f aca="false">IF('הדבקת לידים'!B1401="","",IF(ISNUMBER('הדבקת לידים'!B1401),IF(הגדרות!$E$3&gt;0,TEXT('הדבקת לידים'!B1401,REPT("0",הגדרות!$E$3)),TEXT('הדבקת לידים'!B1401,"0")),TRIM('הדבקת לידים'!B1401)))</f>
        <v/>
      </c>
      <c r="C1401" s="0" t="n">
        <f aca="false">IF(OR(A1401&lt;&gt;"",B1401&lt;&gt;""),1,0)</f>
        <v>0</v>
      </c>
      <c r="D1401" s="0" t="str">
        <f aca="false">IF(C1401=1,MOD(ABS(SIN(ROW()*12.9898+'הדבקת לידים'!$F$2*78.233+IFERROR(--RIGHT(A1401,6),LEN(A1401))*0.0137+IFERROR(--RIGHT(B1401,6),LEN(B1401))*0.0071))*43758.5453,1),"")</f>
        <v/>
      </c>
      <c r="E1401" s="0" t="str">
        <f aca="false">IF(C1401=1,INT(MOD(ABS(SIN(D1401*7919.123+ROW()*0.618+'הדבקת לידים'!$F$2*1.3))*43758.5453,1)*1000000)*10000+ROW(),"")</f>
        <v/>
      </c>
      <c r="F1401" s="0" t="str">
        <f aca="false">IF(E1401="","",RANK(E1401,$E$2:$E$5001,1))</f>
        <v/>
      </c>
      <c r="G1401" s="0" t="n">
        <f aca="false">IF(A1401="",0,IF(SUMPRODUCT(--($A$2:$A$5001=A1401))&gt;1,1,0))</f>
        <v>0</v>
      </c>
      <c r="H1401" s="0" t="n">
        <f aca="false">ROW()-1</f>
        <v>1400</v>
      </c>
      <c r="I1401" s="0" t="str">
        <f aca="false">IF(OR(הגדרות!$E$6=0,H1401&gt;הגדרות!$E$5),"",IF(H1401-1&lt;הגדרות!$E$8*(הגדרות!$E$7+1),INT((H1401-1)/(הגדרות!$E$7+1)),הגדרות!$E$8+INT((H1401-1-הגדרות!$E$8*(הגדרות!$E$7+1))/הגדרות!$E$7)))</f>
        <v/>
      </c>
      <c r="J1401" s="0" t="str">
        <f aca="false">IF(I1401="","",IF(H1401-1&lt;הגדרות!$E$8*(הגדרות!$E$7+1),MOD(H1401-1,הגדרות!$E$7+1),MOD(H1401-1-הגדרות!$E$8*(הגדרות!$E$7+1),הגדרות!$E$7)))</f>
        <v/>
      </c>
      <c r="K1401" s="0" t="str">
        <f aca="false">IF(I1401="","",J1401*הגדרות!$E$6+I1401+1)</f>
        <v/>
      </c>
      <c r="L1401" s="0" t="str">
        <f aca="false">IF(K1401="","",MATCH(K1401,$F$2:$F$5001,0))</f>
        <v/>
      </c>
      <c r="M1401" s="0" t="str">
        <f aca="false">IF(I1401="","",INDEX(הגדרות!$A$2:$A$21,MOD(I1401+הגדרות!$E$9,הגדרות!$E$6)+1))</f>
        <v/>
      </c>
    </row>
    <row r="1402" customFormat="false" ht="15" hidden="false" customHeight="false" outlineLevel="0" collapsed="false">
      <c r="A1402" s="0" t="str">
        <f aca="false">IF('הדבקת לידים'!A1402="","",IF(ISNUMBER('הדבקת לידים'!A1402),IF(הגדרות!$E$2&gt;0,TEXT('הדבקת לידים'!A1402,REPT("0",הגדרות!$E$2)),TEXT('הדבקת לידים'!A1402,"0")),TRIM('הדבקת לידים'!A1402)))</f>
        <v/>
      </c>
      <c r="B1402" s="0" t="str">
        <f aca="false">IF('הדבקת לידים'!B1402="","",IF(ISNUMBER('הדבקת לידים'!B1402),IF(הגדרות!$E$3&gt;0,TEXT('הדבקת לידים'!B1402,REPT("0",הגדרות!$E$3)),TEXT('הדבקת לידים'!B1402,"0")),TRIM('הדבקת לידים'!B1402)))</f>
        <v/>
      </c>
      <c r="C1402" s="0" t="n">
        <f aca="false">IF(OR(A1402&lt;&gt;"",B1402&lt;&gt;""),1,0)</f>
        <v>0</v>
      </c>
      <c r="D1402" s="0" t="str">
        <f aca="false">IF(C1402=1,MOD(ABS(SIN(ROW()*12.9898+'הדבקת לידים'!$F$2*78.233+IFERROR(--RIGHT(A1402,6),LEN(A1402))*0.0137+IFERROR(--RIGHT(B1402,6),LEN(B1402))*0.0071))*43758.5453,1),"")</f>
        <v/>
      </c>
      <c r="E1402" s="0" t="str">
        <f aca="false">IF(C1402=1,INT(MOD(ABS(SIN(D1402*7919.123+ROW()*0.618+'הדבקת לידים'!$F$2*1.3))*43758.5453,1)*1000000)*10000+ROW(),"")</f>
        <v/>
      </c>
      <c r="F1402" s="0" t="str">
        <f aca="false">IF(E1402="","",RANK(E1402,$E$2:$E$5001,1))</f>
        <v/>
      </c>
      <c r="G1402" s="0" t="n">
        <f aca="false">IF(A1402="",0,IF(SUMPRODUCT(--($A$2:$A$5001=A1402))&gt;1,1,0))</f>
        <v>0</v>
      </c>
      <c r="H1402" s="0" t="n">
        <f aca="false">ROW()-1</f>
        <v>1401</v>
      </c>
      <c r="I1402" s="0" t="str">
        <f aca="false">IF(OR(הגדרות!$E$6=0,H1402&gt;הגדרות!$E$5),"",IF(H1402-1&lt;הגדרות!$E$8*(הגדרות!$E$7+1),INT((H1402-1)/(הגדרות!$E$7+1)),הגדרות!$E$8+INT((H1402-1-הגדרות!$E$8*(הגדרות!$E$7+1))/הגדרות!$E$7)))</f>
        <v/>
      </c>
      <c r="J1402" s="0" t="str">
        <f aca="false">IF(I1402="","",IF(H1402-1&lt;הגדרות!$E$8*(הגדרות!$E$7+1),MOD(H1402-1,הגדרות!$E$7+1),MOD(H1402-1-הגדרות!$E$8*(הגדרות!$E$7+1),הגדרות!$E$7)))</f>
        <v/>
      </c>
      <c r="K1402" s="0" t="str">
        <f aca="false">IF(I1402="","",J1402*הגדרות!$E$6+I1402+1)</f>
        <v/>
      </c>
      <c r="L1402" s="0" t="str">
        <f aca="false">IF(K1402="","",MATCH(K1402,$F$2:$F$5001,0))</f>
        <v/>
      </c>
      <c r="M1402" s="0" t="str">
        <f aca="false">IF(I1402="","",INDEX(הגדרות!$A$2:$A$21,MOD(I1402+הגדרות!$E$9,הגדרות!$E$6)+1))</f>
        <v/>
      </c>
    </row>
    <row r="1403" customFormat="false" ht="15" hidden="false" customHeight="false" outlineLevel="0" collapsed="false">
      <c r="A1403" s="0" t="str">
        <f aca="false">IF('הדבקת לידים'!A1403="","",IF(ISNUMBER('הדבקת לידים'!A1403),IF(הגדרות!$E$2&gt;0,TEXT('הדבקת לידים'!A1403,REPT("0",הגדרות!$E$2)),TEXT('הדבקת לידים'!A1403,"0")),TRIM('הדבקת לידים'!A1403)))</f>
        <v/>
      </c>
      <c r="B1403" s="0" t="str">
        <f aca="false">IF('הדבקת לידים'!B1403="","",IF(ISNUMBER('הדבקת לידים'!B1403),IF(הגדרות!$E$3&gt;0,TEXT('הדבקת לידים'!B1403,REPT("0",הגדרות!$E$3)),TEXT('הדבקת לידים'!B1403,"0")),TRIM('הדבקת לידים'!B1403)))</f>
        <v/>
      </c>
      <c r="C1403" s="0" t="n">
        <f aca="false">IF(OR(A1403&lt;&gt;"",B1403&lt;&gt;""),1,0)</f>
        <v>0</v>
      </c>
      <c r="D1403" s="0" t="str">
        <f aca="false">IF(C1403=1,MOD(ABS(SIN(ROW()*12.9898+'הדבקת לידים'!$F$2*78.233+IFERROR(--RIGHT(A1403,6),LEN(A1403))*0.0137+IFERROR(--RIGHT(B1403,6),LEN(B1403))*0.0071))*43758.5453,1),"")</f>
        <v/>
      </c>
      <c r="E1403" s="0" t="str">
        <f aca="false">IF(C1403=1,INT(MOD(ABS(SIN(D1403*7919.123+ROW()*0.618+'הדבקת לידים'!$F$2*1.3))*43758.5453,1)*1000000)*10000+ROW(),"")</f>
        <v/>
      </c>
      <c r="F1403" s="0" t="str">
        <f aca="false">IF(E1403="","",RANK(E1403,$E$2:$E$5001,1))</f>
        <v/>
      </c>
      <c r="G1403" s="0" t="n">
        <f aca="false">IF(A1403="",0,IF(SUMPRODUCT(--($A$2:$A$5001=A1403))&gt;1,1,0))</f>
        <v>0</v>
      </c>
      <c r="H1403" s="0" t="n">
        <f aca="false">ROW()-1</f>
        <v>1402</v>
      </c>
      <c r="I1403" s="0" t="str">
        <f aca="false">IF(OR(הגדרות!$E$6=0,H1403&gt;הגדרות!$E$5),"",IF(H1403-1&lt;הגדרות!$E$8*(הגדרות!$E$7+1),INT((H1403-1)/(הגדרות!$E$7+1)),הגדרות!$E$8+INT((H1403-1-הגדרות!$E$8*(הגדרות!$E$7+1))/הגדרות!$E$7)))</f>
        <v/>
      </c>
      <c r="J1403" s="0" t="str">
        <f aca="false">IF(I1403="","",IF(H1403-1&lt;הגדרות!$E$8*(הגדרות!$E$7+1),MOD(H1403-1,הגדרות!$E$7+1),MOD(H1403-1-הגדרות!$E$8*(הגדרות!$E$7+1),הגדרות!$E$7)))</f>
        <v/>
      </c>
      <c r="K1403" s="0" t="str">
        <f aca="false">IF(I1403="","",J1403*הגדרות!$E$6+I1403+1)</f>
        <v/>
      </c>
      <c r="L1403" s="0" t="str">
        <f aca="false">IF(K1403="","",MATCH(K1403,$F$2:$F$5001,0))</f>
        <v/>
      </c>
      <c r="M1403" s="0" t="str">
        <f aca="false">IF(I1403="","",INDEX(הגדרות!$A$2:$A$21,MOD(I1403+הגדרות!$E$9,הגדרות!$E$6)+1))</f>
        <v/>
      </c>
    </row>
    <row r="1404" customFormat="false" ht="15" hidden="false" customHeight="false" outlineLevel="0" collapsed="false">
      <c r="A1404" s="0" t="str">
        <f aca="false">IF('הדבקת לידים'!A1404="","",IF(ISNUMBER('הדבקת לידים'!A1404),IF(הגדרות!$E$2&gt;0,TEXT('הדבקת לידים'!A1404,REPT("0",הגדרות!$E$2)),TEXT('הדבקת לידים'!A1404,"0")),TRIM('הדבקת לידים'!A1404)))</f>
        <v/>
      </c>
      <c r="B1404" s="0" t="str">
        <f aca="false">IF('הדבקת לידים'!B1404="","",IF(ISNUMBER('הדבקת לידים'!B1404),IF(הגדרות!$E$3&gt;0,TEXT('הדבקת לידים'!B1404,REPT("0",הגדרות!$E$3)),TEXT('הדבקת לידים'!B1404,"0")),TRIM('הדבקת לידים'!B1404)))</f>
        <v/>
      </c>
      <c r="C1404" s="0" t="n">
        <f aca="false">IF(OR(A1404&lt;&gt;"",B1404&lt;&gt;""),1,0)</f>
        <v>0</v>
      </c>
      <c r="D1404" s="0" t="str">
        <f aca="false">IF(C1404=1,MOD(ABS(SIN(ROW()*12.9898+'הדבקת לידים'!$F$2*78.233+IFERROR(--RIGHT(A1404,6),LEN(A1404))*0.0137+IFERROR(--RIGHT(B1404,6),LEN(B1404))*0.0071))*43758.5453,1),"")</f>
        <v/>
      </c>
      <c r="E1404" s="0" t="str">
        <f aca="false">IF(C1404=1,INT(MOD(ABS(SIN(D1404*7919.123+ROW()*0.618+'הדבקת לידים'!$F$2*1.3))*43758.5453,1)*1000000)*10000+ROW(),"")</f>
        <v/>
      </c>
      <c r="F1404" s="0" t="str">
        <f aca="false">IF(E1404="","",RANK(E1404,$E$2:$E$5001,1))</f>
        <v/>
      </c>
      <c r="G1404" s="0" t="n">
        <f aca="false">IF(A1404="",0,IF(SUMPRODUCT(--($A$2:$A$5001=A1404))&gt;1,1,0))</f>
        <v>0</v>
      </c>
      <c r="H1404" s="0" t="n">
        <f aca="false">ROW()-1</f>
        <v>1403</v>
      </c>
      <c r="I1404" s="0" t="str">
        <f aca="false">IF(OR(הגדרות!$E$6=0,H1404&gt;הגדרות!$E$5),"",IF(H1404-1&lt;הגדרות!$E$8*(הגדרות!$E$7+1),INT((H1404-1)/(הגדרות!$E$7+1)),הגדרות!$E$8+INT((H1404-1-הגדרות!$E$8*(הגדרות!$E$7+1))/הגדרות!$E$7)))</f>
        <v/>
      </c>
      <c r="J1404" s="0" t="str">
        <f aca="false">IF(I1404="","",IF(H1404-1&lt;הגדרות!$E$8*(הגדרות!$E$7+1),MOD(H1404-1,הגדרות!$E$7+1),MOD(H1404-1-הגדרות!$E$8*(הגדרות!$E$7+1),הגדרות!$E$7)))</f>
        <v/>
      </c>
      <c r="K1404" s="0" t="str">
        <f aca="false">IF(I1404="","",J1404*הגדרות!$E$6+I1404+1)</f>
        <v/>
      </c>
      <c r="L1404" s="0" t="str">
        <f aca="false">IF(K1404="","",MATCH(K1404,$F$2:$F$5001,0))</f>
        <v/>
      </c>
      <c r="M1404" s="0" t="str">
        <f aca="false">IF(I1404="","",INDEX(הגדרות!$A$2:$A$21,MOD(I1404+הגדרות!$E$9,הגדרות!$E$6)+1))</f>
        <v/>
      </c>
    </row>
    <row r="1405" customFormat="false" ht="15" hidden="false" customHeight="false" outlineLevel="0" collapsed="false">
      <c r="A1405" s="0" t="str">
        <f aca="false">IF('הדבקת לידים'!A1405="","",IF(ISNUMBER('הדבקת לידים'!A1405),IF(הגדרות!$E$2&gt;0,TEXT('הדבקת לידים'!A1405,REPT("0",הגדרות!$E$2)),TEXT('הדבקת לידים'!A1405,"0")),TRIM('הדבקת לידים'!A1405)))</f>
        <v/>
      </c>
      <c r="B1405" s="0" t="str">
        <f aca="false">IF('הדבקת לידים'!B1405="","",IF(ISNUMBER('הדבקת לידים'!B1405),IF(הגדרות!$E$3&gt;0,TEXT('הדבקת לידים'!B1405,REPT("0",הגדרות!$E$3)),TEXT('הדבקת לידים'!B1405,"0")),TRIM('הדבקת לידים'!B1405)))</f>
        <v/>
      </c>
      <c r="C1405" s="0" t="n">
        <f aca="false">IF(OR(A1405&lt;&gt;"",B1405&lt;&gt;""),1,0)</f>
        <v>0</v>
      </c>
      <c r="D1405" s="0" t="str">
        <f aca="false">IF(C1405=1,MOD(ABS(SIN(ROW()*12.9898+'הדבקת לידים'!$F$2*78.233+IFERROR(--RIGHT(A1405,6),LEN(A1405))*0.0137+IFERROR(--RIGHT(B1405,6),LEN(B1405))*0.0071))*43758.5453,1),"")</f>
        <v/>
      </c>
      <c r="E1405" s="0" t="str">
        <f aca="false">IF(C1405=1,INT(MOD(ABS(SIN(D1405*7919.123+ROW()*0.618+'הדבקת לידים'!$F$2*1.3))*43758.5453,1)*1000000)*10000+ROW(),"")</f>
        <v/>
      </c>
      <c r="F1405" s="0" t="str">
        <f aca="false">IF(E1405="","",RANK(E1405,$E$2:$E$5001,1))</f>
        <v/>
      </c>
      <c r="G1405" s="0" t="n">
        <f aca="false">IF(A1405="",0,IF(SUMPRODUCT(--($A$2:$A$5001=A1405))&gt;1,1,0))</f>
        <v>0</v>
      </c>
      <c r="H1405" s="0" t="n">
        <f aca="false">ROW()-1</f>
        <v>1404</v>
      </c>
      <c r="I1405" s="0" t="str">
        <f aca="false">IF(OR(הגדרות!$E$6=0,H1405&gt;הגדרות!$E$5),"",IF(H1405-1&lt;הגדרות!$E$8*(הגדרות!$E$7+1),INT((H1405-1)/(הגדרות!$E$7+1)),הגדרות!$E$8+INT((H1405-1-הגדרות!$E$8*(הגדרות!$E$7+1))/הגדרות!$E$7)))</f>
        <v/>
      </c>
      <c r="J1405" s="0" t="str">
        <f aca="false">IF(I1405="","",IF(H1405-1&lt;הגדרות!$E$8*(הגדרות!$E$7+1),MOD(H1405-1,הגדרות!$E$7+1),MOD(H1405-1-הגדרות!$E$8*(הגדרות!$E$7+1),הגדרות!$E$7)))</f>
        <v/>
      </c>
      <c r="K1405" s="0" t="str">
        <f aca="false">IF(I1405="","",J1405*הגדרות!$E$6+I1405+1)</f>
        <v/>
      </c>
      <c r="L1405" s="0" t="str">
        <f aca="false">IF(K1405="","",MATCH(K1405,$F$2:$F$5001,0))</f>
        <v/>
      </c>
      <c r="M1405" s="0" t="str">
        <f aca="false">IF(I1405="","",INDEX(הגדרות!$A$2:$A$21,MOD(I1405+הגדרות!$E$9,הגדרות!$E$6)+1))</f>
        <v/>
      </c>
    </row>
    <row r="1406" customFormat="false" ht="15" hidden="false" customHeight="false" outlineLevel="0" collapsed="false">
      <c r="A1406" s="0" t="str">
        <f aca="false">IF('הדבקת לידים'!A1406="","",IF(ISNUMBER('הדבקת לידים'!A1406),IF(הגדרות!$E$2&gt;0,TEXT('הדבקת לידים'!A1406,REPT("0",הגדרות!$E$2)),TEXT('הדבקת לידים'!A1406,"0")),TRIM('הדבקת לידים'!A1406)))</f>
        <v/>
      </c>
      <c r="B1406" s="0" t="str">
        <f aca="false">IF('הדבקת לידים'!B1406="","",IF(ISNUMBER('הדבקת לידים'!B1406),IF(הגדרות!$E$3&gt;0,TEXT('הדבקת לידים'!B1406,REPT("0",הגדרות!$E$3)),TEXT('הדבקת לידים'!B1406,"0")),TRIM('הדבקת לידים'!B1406)))</f>
        <v/>
      </c>
      <c r="C1406" s="0" t="n">
        <f aca="false">IF(OR(A1406&lt;&gt;"",B1406&lt;&gt;""),1,0)</f>
        <v>0</v>
      </c>
      <c r="D1406" s="0" t="str">
        <f aca="false">IF(C1406=1,MOD(ABS(SIN(ROW()*12.9898+'הדבקת לידים'!$F$2*78.233+IFERROR(--RIGHT(A1406,6),LEN(A1406))*0.0137+IFERROR(--RIGHT(B1406,6),LEN(B1406))*0.0071))*43758.5453,1),"")</f>
        <v/>
      </c>
      <c r="E1406" s="0" t="str">
        <f aca="false">IF(C1406=1,INT(MOD(ABS(SIN(D1406*7919.123+ROW()*0.618+'הדבקת לידים'!$F$2*1.3))*43758.5453,1)*1000000)*10000+ROW(),"")</f>
        <v/>
      </c>
      <c r="F1406" s="0" t="str">
        <f aca="false">IF(E1406="","",RANK(E1406,$E$2:$E$5001,1))</f>
        <v/>
      </c>
      <c r="G1406" s="0" t="n">
        <f aca="false">IF(A1406="",0,IF(SUMPRODUCT(--($A$2:$A$5001=A1406))&gt;1,1,0))</f>
        <v>0</v>
      </c>
      <c r="H1406" s="0" t="n">
        <f aca="false">ROW()-1</f>
        <v>1405</v>
      </c>
      <c r="I1406" s="0" t="str">
        <f aca="false">IF(OR(הגדרות!$E$6=0,H1406&gt;הגדרות!$E$5),"",IF(H1406-1&lt;הגדרות!$E$8*(הגדרות!$E$7+1),INT((H1406-1)/(הגדרות!$E$7+1)),הגדרות!$E$8+INT((H1406-1-הגדרות!$E$8*(הגדרות!$E$7+1))/הגדרות!$E$7)))</f>
        <v/>
      </c>
      <c r="J1406" s="0" t="str">
        <f aca="false">IF(I1406="","",IF(H1406-1&lt;הגדרות!$E$8*(הגדרות!$E$7+1),MOD(H1406-1,הגדרות!$E$7+1),MOD(H1406-1-הגדרות!$E$8*(הגדרות!$E$7+1),הגדרות!$E$7)))</f>
        <v/>
      </c>
      <c r="K1406" s="0" t="str">
        <f aca="false">IF(I1406="","",J1406*הגדרות!$E$6+I1406+1)</f>
        <v/>
      </c>
      <c r="L1406" s="0" t="str">
        <f aca="false">IF(K1406="","",MATCH(K1406,$F$2:$F$5001,0))</f>
        <v/>
      </c>
      <c r="M1406" s="0" t="str">
        <f aca="false">IF(I1406="","",INDEX(הגדרות!$A$2:$A$21,MOD(I1406+הגדרות!$E$9,הגדרות!$E$6)+1))</f>
        <v/>
      </c>
    </row>
    <row r="1407" customFormat="false" ht="15" hidden="false" customHeight="false" outlineLevel="0" collapsed="false">
      <c r="A1407" s="0" t="str">
        <f aca="false">IF('הדבקת לידים'!A1407="","",IF(ISNUMBER('הדבקת לידים'!A1407),IF(הגדרות!$E$2&gt;0,TEXT('הדבקת לידים'!A1407,REPT("0",הגדרות!$E$2)),TEXT('הדבקת לידים'!A1407,"0")),TRIM('הדבקת לידים'!A1407)))</f>
        <v/>
      </c>
      <c r="B1407" s="0" t="str">
        <f aca="false">IF('הדבקת לידים'!B1407="","",IF(ISNUMBER('הדבקת לידים'!B1407),IF(הגדרות!$E$3&gt;0,TEXT('הדבקת לידים'!B1407,REPT("0",הגדרות!$E$3)),TEXT('הדבקת לידים'!B1407,"0")),TRIM('הדבקת לידים'!B1407)))</f>
        <v/>
      </c>
      <c r="C1407" s="0" t="n">
        <f aca="false">IF(OR(A1407&lt;&gt;"",B1407&lt;&gt;""),1,0)</f>
        <v>0</v>
      </c>
      <c r="D1407" s="0" t="str">
        <f aca="false">IF(C1407=1,MOD(ABS(SIN(ROW()*12.9898+'הדבקת לידים'!$F$2*78.233+IFERROR(--RIGHT(A1407,6),LEN(A1407))*0.0137+IFERROR(--RIGHT(B1407,6),LEN(B1407))*0.0071))*43758.5453,1),"")</f>
        <v/>
      </c>
      <c r="E1407" s="0" t="str">
        <f aca="false">IF(C1407=1,INT(MOD(ABS(SIN(D1407*7919.123+ROW()*0.618+'הדבקת לידים'!$F$2*1.3))*43758.5453,1)*1000000)*10000+ROW(),"")</f>
        <v/>
      </c>
      <c r="F1407" s="0" t="str">
        <f aca="false">IF(E1407="","",RANK(E1407,$E$2:$E$5001,1))</f>
        <v/>
      </c>
      <c r="G1407" s="0" t="n">
        <f aca="false">IF(A1407="",0,IF(SUMPRODUCT(--($A$2:$A$5001=A1407))&gt;1,1,0))</f>
        <v>0</v>
      </c>
      <c r="H1407" s="0" t="n">
        <f aca="false">ROW()-1</f>
        <v>1406</v>
      </c>
      <c r="I1407" s="0" t="str">
        <f aca="false">IF(OR(הגדרות!$E$6=0,H1407&gt;הגדרות!$E$5),"",IF(H1407-1&lt;הגדרות!$E$8*(הגדרות!$E$7+1),INT((H1407-1)/(הגדרות!$E$7+1)),הגדרות!$E$8+INT((H1407-1-הגדרות!$E$8*(הגדרות!$E$7+1))/הגדרות!$E$7)))</f>
        <v/>
      </c>
      <c r="J1407" s="0" t="str">
        <f aca="false">IF(I1407="","",IF(H1407-1&lt;הגדרות!$E$8*(הגדרות!$E$7+1),MOD(H1407-1,הגדרות!$E$7+1),MOD(H1407-1-הגדרות!$E$8*(הגדרות!$E$7+1),הגדרות!$E$7)))</f>
        <v/>
      </c>
      <c r="K1407" s="0" t="str">
        <f aca="false">IF(I1407="","",J1407*הגדרות!$E$6+I1407+1)</f>
        <v/>
      </c>
      <c r="L1407" s="0" t="str">
        <f aca="false">IF(K1407="","",MATCH(K1407,$F$2:$F$5001,0))</f>
        <v/>
      </c>
      <c r="M1407" s="0" t="str">
        <f aca="false">IF(I1407="","",INDEX(הגדרות!$A$2:$A$21,MOD(I1407+הגדרות!$E$9,הגדרות!$E$6)+1))</f>
        <v/>
      </c>
    </row>
    <row r="1408" customFormat="false" ht="15" hidden="false" customHeight="false" outlineLevel="0" collapsed="false">
      <c r="A1408" s="0" t="str">
        <f aca="false">IF('הדבקת לידים'!A1408="","",IF(ISNUMBER('הדבקת לידים'!A1408),IF(הגדרות!$E$2&gt;0,TEXT('הדבקת לידים'!A1408,REPT("0",הגדרות!$E$2)),TEXT('הדבקת לידים'!A1408,"0")),TRIM('הדבקת לידים'!A1408)))</f>
        <v/>
      </c>
      <c r="B1408" s="0" t="str">
        <f aca="false">IF('הדבקת לידים'!B1408="","",IF(ISNUMBER('הדבקת לידים'!B1408),IF(הגדרות!$E$3&gt;0,TEXT('הדבקת לידים'!B1408,REPT("0",הגדרות!$E$3)),TEXT('הדבקת לידים'!B1408,"0")),TRIM('הדבקת לידים'!B1408)))</f>
        <v/>
      </c>
      <c r="C1408" s="0" t="n">
        <f aca="false">IF(OR(A1408&lt;&gt;"",B1408&lt;&gt;""),1,0)</f>
        <v>0</v>
      </c>
      <c r="D1408" s="0" t="str">
        <f aca="false">IF(C1408=1,MOD(ABS(SIN(ROW()*12.9898+'הדבקת לידים'!$F$2*78.233+IFERROR(--RIGHT(A1408,6),LEN(A1408))*0.0137+IFERROR(--RIGHT(B1408,6),LEN(B1408))*0.0071))*43758.5453,1),"")</f>
        <v/>
      </c>
      <c r="E1408" s="0" t="str">
        <f aca="false">IF(C1408=1,INT(MOD(ABS(SIN(D1408*7919.123+ROW()*0.618+'הדבקת לידים'!$F$2*1.3))*43758.5453,1)*1000000)*10000+ROW(),"")</f>
        <v/>
      </c>
      <c r="F1408" s="0" t="str">
        <f aca="false">IF(E1408="","",RANK(E1408,$E$2:$E$5001,1))</f>
        <v/>
      </c>
      <c r="G1408" s="0" t="n">
        <f aca="false">IF(A1408="",0,IF(SUMPRODUCT(--($A$2:$A$5001=A1408))&gt;1,1,0))</f>
        <v>0</v>
      </c>
      <c r="H1408" s="0" t="n">
        <f aca="false">ROW()-1</f>
        <v>1407</v>
      </c>
      <c r="I1408" s="0" t="str">
        <f aca="false">IF(OR(הגדרות!$E$6=0,H1408&gt;הגדרות!$E$5),"",IF(H1408-1&lt;הגדרות!$E$8*(הגדרות!$E$7+1),INT((H1408-1)/(הגדרות!$E$7+1)),הגדרות!$E$8+INT((H1408-1-הגדרות!$E$8*(הגדרות!$E$7+1))/הגדרות!$E$7)))</f>
        <v/>
      </c>
      <c r="J1408" s="0" t="str">
        <f aca="false">IF(I1408="","",IF(H1408-1&lt;הגדרות!$E$8*(הגדרות!$E$7+1),MOD(H1408-1,הגדרות!$E$7+1),MOD(H1408-1-הגדרות!$E$8*(הגדרות!$E$7+1),הגדרות!$E$7)))</f>
        <v/>
      </c>
      <c r="K1408" s="0" t="str">
        <f aca="false">IF(I1408="","",J1408*הגדרות!$E$6+I1408+1)</f>
        <v/>
      </c>
      <c r="L1408" s="0" t="str">
        <f aca="false">IF(K1408="","",MATCH(K1408,$F$2:$F$5001,0))</f>
        <v/>
      </c>
      <c r="M1408" s="0" t="str">
        <f aca="false">IF(I1408="","",INDEX(הגדרות!$A$2:$A$21,MOD(I1408+הגדרות!$E$9,הגדרות!$E$6)+1))</f>
        <v/>
      </c>
    </row>
    <row r="1409" customFormat="false" ht="15" hidden="false" customHeight="false" outlineLevel="0" collapsed="false">
      <c r="A1409" s="0" t="str">
        <f aca="false">IF('הדבקת לידים'!A1409="","",IF(ISNUMBER('הדבקת לידים'!A1409),IF(הגדרות!$E$2&gt;0,TEXT('הדבקת לידים'!A1409,REPT("0",הגדרות!$E$2)),TEXT('הדבקת לידים'!A1409,"0")),TRIM('הדבקת לידים'!A1409)))</f>
        <v/>
      </c>
      <c r="B1409" s="0" t="str">
        <f aca="false">IF('הדבקת לידים'!B1409="","",IF(ISNUMBER('הדבקת לידים'!B1409),IF(הגדרות!$E$3&gt;0,TEXT('הדבקת לידים'!B1409,REPT("0",הגדרות!$E$3)),TEXT('הדבקת לידים'!B1409,"0")),TRIM('הדבקת לידים'!B1409)))</f>
        <v/>
      </c>
      <c r="C1409" s="0" t="n">
        <f aca="false">IF(OR(A1409&lt;&gt;"",B1409&lt;&gt;""),1,0)</f>
        <v>0</v>
      </c>
      <c r="D1409" s="0" t="str">
        <f aca="false">IF(C1409=1,MOD(ABS(SIN(ROW()*12.9898+'הדבקת לידים'!$F$2*78.233+IFERROR(--RIGHT(A1409,6),LEN(A1409))*0.0137+IFERROR(--RIGHT(B1409,6),LEN(B1409))*0.0071))*43758.5453,1),"")</f>
        <v/>
      </c>
      <c r="E1409" s="0" t="str">
        <f aca="false">IF(C1409=1,INT(MOD(ABS(SIN(D1409*7919.123+ROW()*0.618+'הדבקת לידים'!$F$2*1.3))*43758.5453,1)*1000000)*10000+ROW(),"")</f>
        <v/>
      </c>
      <c r="F1409" s="0" t="str">
        <f aca="false">IF(E1409="","",RANK(E1409,$E$2:$E$5001,1))</f>
        <v/>
      </c>
      <c r="G1409" s="0" t="n">
        <f aca="false">IF(A1409="",0,IF(SUMPRODUCT(--($A$2:$A$5001=A1409))&gt;1,1,0))</f>
        <v>0</v>
      </c>
      <c r="H1409" s="0" t="n">
        <f aca="false">ROW()-1</f>
        <v>1408</v>
      </c>
      <c r="I1409" s="0" t="str">
        <f aca="false">IF(OR(הגדרות!$E$6=0,H1409&gt;הגדרות!$E$5),"",IF(H1409-1&lt;הגדרות!$E$8*(הגדרות!$E$7+1),INT((H1409-1)/(הגדרות!$E$7+1)),הגדרות!$E$8+INT((H1409-1-הגדרות!$E$8*(הגדרות!$E$7+1))/הגדרות!$E$7)))</f>
        <v/>
      </c>
      <c r="J1409" s="0" t="str">
        <f aca="false">IF(I1409="","",IF(H1409-1&lt;הגדרות!$E$8*(הגדרות!$E$7+1),MOD(H1409-1,הגדרות!$E$7+1),MOD(H1409-1-הגדרות!$E$8*(הגדרות!$E$7+1),הגדרות!$E$7)))</f>
        <v/>
      </c>
      <c r="K1409" s="0" t="str">
        <f aca="false">IF(I1409="","",J1409*הגדרות!$E$6+I1409+1)</f>
        <v/>
      </c>
      <c r="L1409" s="0" t="str">
        <f aca="false">IF(K1409="","",MATCH(K1409,$F$2:$F$5001,0))</f>
        <v/>
      </c>
      <c r="M1409" s="0" t="str">
        <f aca="false">IF(I1409="","",INDEX(הגדרות!$A$2:$A$21,MOD(I1409+הגדרות!$E$9,הגדרות!$E$6)+1))</f>
        <v/>
      </c>
    </row>
    <row r="1410" customFormat="false" ht="15" hidden="false" customHeight="false" outlineLevel="0" collapsed="false">
      <c r="A1410" s="0" t="str">
        <f aca="false">IF('הדבקת לידים'!A1410="","",IF(ISNUMBER('הדבקת לידים'!A1410),IF(הגדרות!$E$2&gt;0,TEXT('הדבקת לידים'!A1410,REPT("0",הגדרות!$E$2)),TEXT('הדבקת לידים'!A1410,"0")),TRIM('הדבקת לידים'!A1410)))</f>
        <v/>
      </c>
      <c r="B1410" s="0" t="str">
        <f aca="false">IF('הדבקת לידים'!B1410="","",IF(ISNUMBER('הדבקת לידים'!B1410),IF(הגדרות!$E$3&gt;0,TEXT('הדבקת לידים'!B1410,REPT("0",הגדרות!$E$3)),TEXT('הדבקת לידים'!B1410,"0")),TRIM('הדבקת לידים'!B1410)))</f>
        <v/>
      </c>
      <c r="C1410" s="0" t="n">
        <f aca="false">IF(OR(A1410&lt;&gt;"",B1410&lt;&gt;""),1,0)</f>
        <v>0</v>
      </c>
      <c r="D1410" s="0" t="str">
        <f aca="false">IF(C1410=1,MOD(ABS(SIN(ROW()*12.9898+'הדבקת לידים'!$F$2*78.233+IFERROR(--RIGHT(A1410,6),LEN(A1410))*0.0137+IFERROR(--RIGHT(B1410,6),LEN(B1410))*0.0071))*43758.5453,1),"")</f>
        <v/>
      </c>
      <c r="E1410" s="0" t="str">
        <f aca="false">IF(C1410=1,INT(MOD(ABS(SIN(D1410*7919.123+ROW()*0.618+'הדבקת לידים'!$F$2*1.3))*43758.5453,1)*1000000)*10000+ROW(),"")</f>
        <v/>
      </c>
      <c r="F1410" s="0" t="str">
        <f aca="false">IF(E1410="","",RANK(E1410,$E$2:$E$5001,1))</f>
        <v/>
      </c>
      <c r="G1410" s="0" t="n">
        <f aca="false">IF(A1410="",0,IF(SUMPRODUCT(--($A$2:$A$5001=A1410))&gt;1,1,0))</f>
        <v>0</v>
      </c>
      <c r="H1410" s="0" t="n">
        <f aca="false">ROW()-1</f>
        <v>1409</v>
      </c>
      <c r="I1410" s="0" t="str">
        <f aca="false">IF(OR(הגדרות!$E$6=0,H1410&gt;הגדרות!$E$5),"",IF(H1410-1&lt;הגדרות!$E$8*(הגדרות!$E$7+1),INT((H1410-1)/(הגדרות!$E$7+1)),הגדרות!$E$8+INT((H1410-1-הגדרות!$E$8*(הגדרות!$E$7+1))/הגדרות!$E$7)))</f>
        <v/>
      </c>
      <c r="J1410" s="0" t="str">
        <f aca="false">IF(I1410="","",IF(H1410-1&lt;הגדרות!$E$8*(הגדרות!$E$7+1),MOD(H1410-1,הגדרות!$E$7+1),MOD(H1410-1-הגדרות!$E$8*(הגדרות!$E$7+1),הגדרות!$E$7)))</f>
        <v/>
      </c>
      <c r="K1410" s="0" t="str">
        <f aca="false">IF(I1410="","",J1410*הגדרות!$E$6+I1410+1)</f>
        <v/>
      </c>
      <c r="L1410" s="0" t="str">
        <f aca="false">IF(K1410="","",MATCH(K1410,$F$2:$F$5001,0))</f>
        <v/>
      </c>
      <c r="M1410" s="0" t="str">
        <f aca="false">IF(I1410="","",INDEX(הגדרות!$A$2:$A$21,MOD(I1410+הגדרות!$E$9,הגדרות!$E$6)+1))</f>
        <v/>
      </c>
    </row>
    <row r="1411" customFormat="false" ht="15" hidden="false" customHeight="false" outlineLevel="0" collapsed="false">
      <c r="A1411" s="0" t="str">
        <f aca="false">IF('הדבקת לידים'!A1411="","",IF(ISNUMBER('הדבקת לידים'!A1411),IF(הגדרות!$E$2&gt;0,TEXT('הדבקת לידים'!A1411,REPT("0",הגדרות!$E$2)),TEXT('הדבקת לידים'!A1411,"0")),TRIM('הדבקת לידים'!A1411)))</f>
        <v/>
      </c>
      <c r="B1411" s="0" t="str">
        <f aca="false">IF('הדבקת לידים'!B1411="","",IF(ISNUMBER('הדבקת לידים'!B1411),IF(הגדרות!$E$3&gt;0,TEXT('הדבקת לידים'!B1411,REPT("0",הגדרות!$E$3)),TEXT('הדבקת לידים'!B1411,"0")),TRIM('הדבקת לידים'!B1411)))</f>
        <v/>
      </c>
      <c r="C1411" s="0" t="n">
        <f aca="false">IF(OR(A1411&lt;&gt;"",B1411&lt;&gt;""),1,0)</f>
        <v>0</v>
      </c>
      <c r="D1411" s="0" t="str">
        <f aca="false">IF(C1411=1,MOD(ABS(SIN(ROW()*12.9898+'הדבקת לידים'!$F$2*78.233+IFERROR(--RIGHT(A1411,6),LEN(A1411))*0.0137+IFERROR(--RIGHT(B1411,6),LEN(B1411))*0.0071))*43758.5453,1),"")</f>
        <v/>
      </c>
      <c r="E1411" s="0" t="str">
        <f aca="false">IF(C1411=1,INT(MOD(ABS(SIN(D1411*7919.123+ROW()*0.618+'הדבקת לידים'!$F$2*1.3))*43758.5453,1)*1000000)*10000+ROW(),"")</f>
        <v/>
      </c>
      <c r="F1411" s="0" t="str">
        <f aca="false">IF(E1411="","",RANK(E1411,$E$2:$E$5001,1))</f>
        <v/>
      </c>
      <c r="G1411" s="0" t="n">
        <f aca="false">IF(A1411="",0,IF(SUMPRODUCT(--($A$2:$A$5001=A1411))&gt;1,1,0))</f>
        <v>0</v>
      </c>
      <c r="H1411" s="0" t="n">
        <f aca="false">ROW()-1</f>
        <v>1410</v>
      </c>
      <c r="I1411" s="0" t="str">
        <f aca="false">IF(OR(הגדרות!$E$6=0,H1411&gt;הגדרות!$E$5),"",IF(H1411-1&lt;הגדרות!$E$8*(הגדרות!$E$7+1),INT((H1411-1)/(הגדרות!$E$7+1)),הגדרות!$E$8+INT((H1411-1-הגדרות!$E$8*(הגדרות!$E$7+1))/הגדרות!$E$7)))</f>
        <v/>
      </c>
      <c r="J1411" s="0" t="str">
        <f aca="false">IF(I1411="","",IF(H1411-1&lt;הגדרות!$E$8*(הגדרות!$E$7+1),MOD(H1411-1,הגדרות!$E$7+1),MOD(H1411-1-הגדרות!$E$8*(הגדרות!$E$7+1),הגדרות!$E$7)))</f>
        <v/>
      </c>
      <c r="K1411" s="0" t="str">
        <f aca="false">IF(I1411="","",J1411*הגדרות!$E$6+I1411+1)</f>
        <v/>
      </c>
      <c r="L1411" s="0" t="str">
        <f aca="false">IF(K1411="","",MATCH(K1411,$F$2:$F$5001,0))</f>
        <v/>
      </c>
      <c r="M1411" s="0" t="str">
        <f aca="false">IF(I1411="","",INDEX(הגדרות!$A$2:$A$21,MOD(I1411+הגדרות!$E$9,הגדרות!$E$6)+1))</f>
        <v/>
      </c>
    </row>
    <row r="1412" customFormat="false" ht="15" hidden="false" customHeight="false" outlineLevel="0" collapsed="false">
      <c r="A1412" s="0" t="str">
        <f aca="false">IF('הדבקת לידים'!A1412="","",IF(ISNUMBER('הדבקת לידים'!A1412),IF(הגדרות!$E$2&gt;0,TEXT('הדבקת לידים'!A1412,REPT("0",הגדרות!$E$2)),TEXT('הדבקת לידים'!A1412,"0")),TRIM('הדבקת לידים'!A1412)))</f>
        <v/>
      </c>
      <c r="B1412" s="0" t="str">
        <f aca="false">IF('הדבקת לידים'!B1412="","",IF(ISNUMBER('הדבקת לידים'!B1412),IF(הגדרות!$E$3&gt;0,TEXT('הדבקת לידים'!B1412,REPT("0",הגדרות!$E$3)),TEXT('הדבקת לידים'!B1412,"0")),TRIM('הדבקת לידים'!B1412)))</f>
        <v/>
      </c>
      <c r="C1412" s="0" t="n">
        <f aca="false">IF(OR(A1412&lt;&gt;"",B1412&lt;&gt;""),1,0)</f>
        <v>0</v>
      </c>
      <c r="D1412" s="0" t="str">
        <f aca="false">IF(C1412=1,MOD(ABS(SIN(ROW()*12.9898+'הדבקת לידים'!$F$2*78.233+IFERROR(--RIGHT(A1412,6),LEN(A1412))*0.0137+IFERROR(--RIGHT(B1412,6),LEN(B1412))*0.0071))*43758.5453,1),"")</f>
        <v/>
      </c>
      <c r="E1412" s="0" t="str">
        <f aca="false">IF(C1412=1,INT(MOD(ABS(SIN(D1412*7919.123+ROW()*0.618+'הדבקת לידים'!$F$2*1.3))*43758.5453,1)*1000000)*10000+ROW(),"")</f>
        <v/>
      </c>
      <c r="F1412" s="0" t="str">
        <f aca="false">IF(E1412="","",RANK(E1412,$E$2:$E$5001,1))</f>
        <v/>
      </c>
      <c r="G1412" s="0" t="n">
        <f aca="false">IF(A1412="",0,IF(SUMPRODUCT(--($A$2:$A$5001=A1412))&gt;1,1,0))</f>
        <v>0</v>
      </c>
      <c r="H1412" s="0" t="n">
        <f aca="false">ROW()-1</f>
        <v>1411</v>
      </c>
      <c r="I1412" s="0" t="str">
        <f aca="false">IF(OR(הגדרות!$E$6=0,H1412&gt;הגדרות!$E$5),"",IF(H1412-1&lt;הגדרות!$E$8*(הגדרות!$E$7+1),INT((H1412-1)/(הגדרות!$E$7+1)),הגדרות!$E$8+INT((H1412-1-הגדרות!$E$8*(הגדרות!$E$7+1))/הגדרות!$E$7)))</f>
        <v/>
      </c>
      <c r="J1412" s="0" t="str">
        <f aca="false">IF(I1412="","",IF(H1412-1&lt;הגדרות!$E$8*(הגדרות!$E$7+1),MOD(H1412-1,הגדרות!$E$7+1),MOD(H1412-1-הגדרות!$E$8*(הגדרות!$E$7+1),הגדרות!$E$7)))</f>
        <v/>
      </c>
      <c r="K1412" s="0" t="str">
        <f aca="false">IF(I1412="","",J1412*הגדרות!$E$6+I1412+1)</f>
        <v/>
      </c>
      <c r="L1412" s="0" t="str">
        <f aca="false">IF(K1412="","",MATCH(K1412,$F$2:$F$5001,0))</f>
        <v/>
      </c>
      <c r="M1412" s="0" t="str">
        <f aca="false">IF(I1412="","",INDEX(הגדרות!$A$2:$A$21,MOD(I1412+הגדרות!$E$9,הגדרות!$E$6)+1))</f>
        <v/>
      </c>
    </row>
    <row r="1413" customFormat="false" ht="15" hidden="false" customHeight="false" outlineLevel="0" collapsed="false">
      <c r="A1413" s="0" t="str">
        <f aca="false">IF('הדבקת לידים'!A1413="","",IF(ISNUMBER('הדבקת לידים'!A1413),IF(הגדרות!$E$2&gt;0,TEXT('הדבקת לידים'!A1413,REPT("0",הגדרות!$E$2)),TEXT('הדבקת לידים'!A1413,"0")),TRIM('הדבקת לידים'!A1413)))</f>
        <v/>
      </c>
      <c r="B1413" s="0" t="str">
        <f aca="false">IF('הדבקת לידים'!B1413="","",IF(ISNUMBER('הדבקת לידים'!B1413),IF(הגדרות!$E$3&gt;0,TEXT('הדבקת לידים'!B1413,REPT("0",הגדרות!$E$3)),TEXT('הדבקת לידים'!B1413,"0")),TRIM('הדבקת לידים'!B1413)))</f>
        <v/>
      </c>
      <c r="C1413" s="0" t="n">
        <f aca="false">IF(OR(A1413&lt;&gt;"",B1413&lt;&gt;""),1,0)</f>
        <v>0</v>
      </c>
      <c r="D1413" s="0" t="str">
        <f aca="false">IF(C1413=1,MOD(ABS(SIN(ROW()*12.9898+'הדבקת לידים'!$F$2*78.233+IFERROR(--RIGHT(A1413,6),LEN(A1413))*0.0137+IFERROR(--RIGHT(B1413,6),LEN(B1413))*0.0071))*43758.5453,1),"")</f>
        <v/>
      </c>
      <c r="E1413" s="0" t="str">
        <f aca="false">IF(C1413=1,INT(MOD(ABS(SIN(D1413*7919.123+ROW()*0.618+'הדבקת לידים'!$F$2*1.3))*43758.5453,1)*1000000)*10000+ROW(),"")</f>
        <v/>
      </c>
      <c r="F1413" s="0" t="str">
        <f aca="false">IF(E1413="","",RANK(E1413,$E$2:$E$5001,1))</f>
        <v/>
      </c>
      <c r="G1413" s="0" t="n">
        <f aca="false">IF(A1413="",0,IF(SUMPRODUCT(--($A$2:$A$5001=A1413))&gt;1,1,0))</f>
        <v>0</v>
      </c>
      <c r="H1413" s="0" t="n">
        <f aca="false">ROW()-1</f>
        <v>1412</v>
      </c>
      <c r="I1413" s="0" t="str">
        <f aca="false">IF(OR(הגדרות!$E$6=0,H1413&gt;הגדרות!$E$5),"",IF(H1413-1&lt;הגדרות!$E$8*(הגדרות!$E$7+1),INT((H1413-1)/(הגדרות!$E$7+1)),הגדרות!$E$8+INT((H1413-1-הגדרות!$E$8*(הגדרות!$E$7+1))/הגדרות!$E$7)))</f>
        <v/>
      </c>
      <c r="J1413" s="0" t="str">
        <f aca="false">IF(I1413="","",IF(H1413-1&lt;הגדרות!$E$8*(הגדרות!$E$7+1),MOD(H1413-1,הגדרות!$E$7+1),MOD(H1413-1-הגדרות!$E$8*(הגדרות!$E$7+1),הגדרות!$E$7)))</f>
        <v/>
      </c>
      <c r="K1413" s="0" t="str">
        <f aca="false">IF(I1413="","",J1413*הגדרות!$E$6+I1413+1)</f>
        <v/>
      </c>
      <c r="L1413" s="0" t="str">
        <f aca="false">IF(K1413="","",MATCH(K1413,$F$2:$F$5001,0))</f>
        <v/>
      </c>
      <c r="M1413" s="0" t="str">
        <f aca="false">IF(I1413="","",INDEX(הגדרות!$A$2:$A$21,MOD(I1413+הגדרות!$E$9,הגדרות!$E$6)+1))</f>
        <v/>
      </c>
    </row>
    <row r="1414" customFormat="false" ht="15" hidden="false" customHeight="false" outlineLevel="0" collapsed="false">
      <c r="A1414" s="0" t="str">
        <f aca="false">IF('הדבקת לידים'!A1414="","",IF(ISNUMBER('הדבקת לידים'!A1414),IF(הגדרות!$E$2&gt;0,TEXT('הדבקת לידים'!A1414,REPT("0",הגדרות!$E$2)),TEXT('הדבקת לידים'!A1414,"0")),TRIM('הדבקת לידים'!A1414)))</f>
        <v/>
      </c>
      <c r="B1414" s="0" t="str">
        <f aca="false">IF('הדבקת לידים'!B1414="","",IF(ISNUMBER('הדבקת לידים'!B1414),IF(הגדרות!$E$3&gt;0,TEXT('הדבקת לידים'!B1414,REPT("0",הגדרות!$E$3)),TEXT('הדבקת לידים'!B1414,"0")),TRIM('הדבקת לידים'!B1414)))</f>
        <v/>
      </c>
      <c r="C1414" s="0" t="n">
        <f aca="false">IF(OR(A1414&lt;&gt;"",B1414&lt;&gt;""),1,0)</f>
        <v>0</v>
      </c>
      <c r="D1414" s="0" t="str">
        <f aca="false">IF(C1414=1,MOD(ABS(SIN(ROW()*12.9898+'הדבקת לידים'!$F$2*78.233+IFERROR(--RIGHT(A1414,6),LEN(A1414))*0.0137+IFERROR(--RIGHT(B1414,6),LEN(B1414))*0.0071))*43758.5453,1),"")</f>
        <v/>
      </c>
      <c r="E1414" s="0" t="str">
        <f aca="false">IF(C1414=1,INT(MOD(ABS(SIN(D1414*7919.123+ROW()*0.618+'הדבקת לידים'!$F$2*1.3))*43758.5453,1)*1000000)*10000+ROW(),"")</f>
        <v/>
      </c>
      <c r="F1414" s="0" t="str">
        <f aca="false">IF(E1414="","",RANK(E1414,$E$2:$E$5001,1))</f>
        <v/>
      </c>
      <c r="G1414" s="0" t="n">
        <f aca="false">IF(A1414="",0,IF(SUMPRODUCT(--($A$2:$A$5001=A1414))&gt;1,1,0))</f>
        <v>0</v>
      </c>
      <c r="H1414" s="0" t="n">
        <f aca="false">ROW()-1</f>
        <v>1413</v>
      </c>
      <c r="I1414" s="0" t="str">
        <f aca="false">IF(OR(הגדרות!$E$6=0,H1414&gt;הגדרות!$E$5),"",IF(H1414-1&lt;הגדרות!$E$8*(הגדרות!$E$7+1),INT((H1414-1)/(הגדרות!$E$7+1)),הגדרות!$E$8+INT((H1414-1-הגדרות!$E$8*(הגדרות!$E$7+1))/הגדרות!$E$7)))</f>
        <v/>
      </c>
      <c r="J1414" s="0" t="str">
        <f aca="false">IF(I1414="","",IF(H1414-1&lt;הגדרות!$E$8*(הגדרות!$E$7+1),MOD(H1414-1,הגדרות!$E$7+1),MOD(H1414-1-הגדרות!$E$8*(הגדרות!$E$7+1),הגדרות!$E$7)))</f>
        <v/>
      </c>
      <c r="K1414" s="0" t="str">
        <f aca="false">IF(I1414="","",J1414*הגדרות!$E$6+I1414+1)</f>
        <v/>
      </c>
      <c r="L1414" s="0" t="str">
        <f aca="false">IF(K1414="","",MATCH(K1414,$F$2:$F$5001,0))</f>
        <v/>
      </c>
      <c r="M1414" s="0" t="str">
        <f aca="false">IF(I1414="","",INDEX(הגדרות!$A$2:$A$21,MOD(I1414+הגדרות!$E$9,הגדרות!$E$6)+1))</f>
        <v/>
      </c>
    </row>
    <row r="1415" customFormat="false" ht="15" hidden="false" customHeight="false" outlineLevel="0" collapsed="false">
      <c r="A1415" s="0" t="str">
        <f aca="false">IF('הדבקת לידים'!A1415="","",IF(ISNUMBER('הדבקת לידים'!A1415),IF(הגדרות!$E$2&gt;0,TEXT('הדבקת לידים'!A1415,REPT("0",הגדרות!$E$2)),TEXT('הדבקת לידים'!A1415,"0")),TRIM('הדבקת לידים'!A1415)))</f>
        <v/>
      </c>
      <c r="B1415" s="0" t="str">
        <f aca="false">IF('הדבקת לידים'!B1415="","",IF(ISNUMBER('הדבקת לידים'!B1415),IF(הגדרות!$E$3&gt;0,TEXT('הדבקת לידים'!B1415,REPT("0",הגדרות!$E$3)),TEXT('הדבקת לידים'!B1415,"0")),TRIM('הדבקת לידים'!B1415)))</f>
        <v/>
      </c>
      <c r="C1415" s="0" t="n">
        <f aca="false">IF(OR(A1415&lt;&gt;"",B1415&lt;&gt;""),1,0)</f>
        <v>0</v>
      </c>
      <c r="D1415" s="0" t="str">
        <f aca="false">IF(C1415=1,MOD(ABS(SIN(ROW()*12.9898+'הדבקת לידים'!$F$2*78.233+IFERROR(--RIGHT(A1415,6),LEN(A1415))*0.0137+IFERROR(--RIGHT(B1415,6),LEN(B1415))*0.0071))*43758.5453,1),"")</f>
        <v/>
      </c>
      <c r="E1415" s="0" t="str">
        <f aca="false">IF(C1415=1,INT(MOD(ABS(SIN(D1415*7919.123+ROW()*0.618+'הדבקת לידים'!$F$2*1.3))*43758.5453,1)*1000000)*10000+ROW(),"")</f>
        <v/>
      </c>
      <c r="F1415" s="0" t="str">
        <f aca="false">IF(E1415="","",RANK(E1415,$E$2:$E$5001,1))</f>
        <v/>
      </c>
      <c r="G1415" s="0" t="n">
        <f aca="false">IF(A1415="",0,IF(SUMPRODUCT(--($A$2:$A$5001=A1415))&gt;1,1,0))</f>
        <v>0</v>
      </c>
      <c r="H1415" s="0" t="n">
        <f aca="false">ROW()-1</f>
        <v>1414</v>
      </c>
      <c r="I1415" s="0" t="str">
        <f aca="false">IF(OR(הגדרות!$E$6=0,H1415&gt;הגדרות!$E$5),"",IF(H1415-1&lt;הגדרות!$E$8*(הגדרות!$E$7+1),INT((H1415-1)/(הגדרות!$E$7+1)),הגדרות!$E$8+INT((H1415-1-הגדרות!$E$8*(הגדרות!$E$7+1))/הגדרות!$E$7)))</f>
        <v/>
      </c>
      <c r="J1415" s="0" t="str">
        <f aca="false">IF(I1415="","",IF(H1415-1&lt;הגדרות!$E$8*(הגדרות!$E$7+1),MOD(H1415-1,הגדרות!$E$7+1),MOD(H1415-1-הגדרות!$E$8*(הגדרות!$E$7+1),הגדרות!$E$7)))</f>
        <v/>
      </c>
      <c r="K1415" s="0" t="str">
        <f aca="false">IF(I1415="","",J1415*הגדרות!$E$6+I1415+1)</f>
        <v/>
      </c>
      <c r="L1415" s="0" t="str">
        <f aca="false">IF(K1415="","",MATCH(K1415,$F$2:$F$5001,0))</f>
        <v/>
      </c>
      <c r="M1415" s="0" t="str">
        <f aca="false">IF(I1415="","",INDEX(הגדרות!$A$2:$A$21,MOD(I1415+הגדרות!$E$9,הגדרות!$E$6)+1))</f>
        <v/>
      </c>
    </row>
    <row r="1416" customFormat="false" ht="15" hidden="false" customHeight="false" outlineLevel="0" collapsed="false">
      <c r="A1416" s="0" t="str">
        <f aca="false">IF('הדבקת לידים'!A1416="","",IF(ISNUMBER('הדבקת לידים'!A1416),IF(הגדרות!$E$2&gt;0,TEXT('הדבקת לידים'!A1416,REPT("0",הגדרות!$E$2)),TEXT('הדבקת לידים'!A1416,"0")),TRIM('הדבקת לידים'!A1416)))</f>
        <v/>
      </c>
      <c r="B1416" s="0" t="str">
        <f aca="false">IF('הדבקת לידים'!B1416="","",IF(ISNUMBER('הדבקת לידים'!B1416),IF(הגדרות!$E$3&gt;0,TEXT('הדבקת לידים'!B1416,REPT("0",הגדרות!$E$3)),TEXT('הדבקת לידים'!B1416,"0")),TRIM('הדבקת לידים'!B1416)))</f>
        <v/>
      </c>
      <c r="C1416" s="0" t="n">
        <f aca="false">IF(OR(A1416&lt;&gt;"",B1416&lt;&gt;""),1,0)</f>
        <v>0</v>
      </c>
      <c r="D1416" s="0" t="str">
        <f aca="false">IF(C1416=1,MOD(ABS(SIN(ROW()*12.9898+'הדבקת לידים'!$F$2*78.233+IFERROR(--RIGHT(A1416,6),LEN(A1416))*0.0137+IFERROR(--RIGHT(B1416,6),LEN(B1416))*0.0071))*43758.5453,1),"")</f>
        <v/>
      </c>
      <c r="E1416" s="0" t="str">
        <f aca="false">IF(C1416=1,INT(MOD(ABS(SIN(D1416*7919.123+ROW()*0.618+'הדבקת לידים'!$F$2*1.3))*43758.5453,1)*1000000)*10000+ROW(),"")</f>
        <v/>
      </c>
      <c r="F1416" s="0" t="str">
        <f aca="false">IF(E1416="","",RANK(E1416,$E$2:$E$5001,1))</f>
        <v/>
      </c>
      <c r="G1416" s="0" t="n">
        <f aca="false">IF(A1416="",0,IF(SUMPRODUCT(--($A$2:$A$5001=A1416))&gt;1,1,0))</f>
        <v>0</v>
      </c>
      <c r="H1416" s="0" t="n">
        <f aca="false">ROW()-1</f>
        <v>1415</v>
      </c>
      <c r="I1416" s="0" t="str">
        <f aca="false">IF(OR(הגדרות!$E$6=0,H1416&gt;הגדרות!$E$5),"",IF(H1416-1&lt;הגדרות!$E$8*(הגדרות!$E$7+1),INT((H1416-1)/(הגדרות!$E$7+1)),הגדרות!$E$8+INT((H1416-1-הגדרות!$E$8*(הגדרות!$E$7+1))/הגדרות!$E$7)))</f>
        <v/>
      </c>
      <c r="J1416" s="0" t="str">
        <f aca="false">IF(I1416="","",IF(H1416-1&lt;הגדרות!$E$8*(הגדרות!$E$7+1),MOD(H1416-1,הגדרות!$E$7+1),MOD(H1416-1-הגדרות!$E$8*(הגדרות!$E$7+1),הגדרות!$E$7)))</f>
        <v/>
      </c>
      <c r="K1416" s="0" t="str">
        <f aca="false">IF(I1416="","",J1416*הגדרות!$E$6+I1416+1)</f>
        <v/>
      </c>
      <c r="L1416" s="0" t="str">
        <f aca="false">IF(K1416="","",MATCH(K1416,$F$2:$F$5001,0))</f>
        <v/>
      </c>
      <c r="M1416" s="0" t="str">
        <f aca="false">IF(I1416="","",INDEX(הגדרות!$A$2:$A$21,MOD(I1416+הגדרות!$E$9,הגדרות!$E$6)+1))</f>
        <v/>
      </c>
    </row>
    <row r="1417" customFormat="false" ht="15" hidden="false" customHeight="false" outlineLevel="0" collapsed="false">
      <c r="A1417" s="0" t="str">
        <f aca="false">IF('הדבקת לידים'!A1417="","",IF(ISNUMBER('הדבקת לידים'!A1417),IF(הגדרות!$E$2&gt;0,TEXT('הדבקת לידים'!A1417,REPT("0",הגדרות!$E$2)),TEXT('הדבקת לידים'!A1417,"0")),TRIM('הדבקת לידים'!A1417)))</f>
        <v/>
      </c>
      <c r="B1417" s="0" t="str">
        <f aca="false">IF('הדבקת לידים'!B1417="","",IF(ISNUMBER('הדבקת לידים'!B1417),IF(הגדרות!$E$3&gt;0,TEXT('הדבקת לידים'!B1417,REPT("0",הגדרות!$E$3)),TEXT('הדבקת לידים'!B1417,"0")),TRIM('הדבקת לידים'!B1417)))</f>
        <v/>
      </c>
      <c r="C1417" s="0" t="n">
        <f aca="false">IF(OR(A1417&lt;&gt;"",B1417&lt;&gt;""),1,0)</f>
        <v>0</v>
      </c>
      <c r="D1417" s="0" t="str">
        <f aca="false">IF(C1417=1,MOD(ABS(SIN(ROW()*12.9898+'הדבקת לידים'!$F$2*78.233+IFERROR(--RIGHT(A1417,6),LEN(A1417))*0.0137+IFERROR(--RIGHT(B1417,6),LEN(B1417))*0.0071))*43758.5453,1),"")</f>
        <v/>
      </c>
      <c r="E1417" s="0" t="str">
        <f aca="false">IF(C1417=1,INT(MOD(ABS(SIN(D1417*7919.123+ROW()*0.618+'הדבקת לידים'!$F$2*1.3))*43758.5453,1)*1000000)*10000+ROW(),"")</f>
        <v/>
      </c>
      <c r="F1417" s="0" t="str">
        <f aca="false">IF(E1417="","",RANK(E1417,$E$2:$E$5001,1))</f>
        <v/>
      </c>
      <c r="G1417" s="0" t="n">
        <f aca="false">IF(A1417="",0,IF(SUMPRODUCT(--($A$2:$A$5001=A1417))&gt;1,1,0))</f>
        <v>0</v>
      </c>
      <c r="H1417" s="0" t="n">
        <f aca="false">ROW()-1</f>
        <v>1416</v>
      </c>
      <c r="I1417" s="0" t="str">
        <f aca="false">IF(OR(הגדרות!$E$6=0,H1417&gt;הגדרות!$E$5),"",IF(H1417-1&lt;הגדרות!$E$8*(הגדרות!$E$7+1),INT((H1417-1)/(הגדרות!$E$7+1)),הגדרות!$E$8+INT((H1417-1-הגדרות!$E$8*(הגדרות!$E$7+1))/הגדרות!$E$7)))</f>
        <v/>
      </c>
      <c r="J1417" s="0" t="str">
        <f aca="false">IF(I1417="","",IF(H1417-1&lt;הגדרות!$E$8*(הגדרות!$E$7+1),MOD(H1417-1,הגדרות!$E$7+1),MOD(H1417-1-הגדרות!$E$8*(הגדרות!$E$7+1),הגדרות!$E$7)))</f>
        <v/>
      </c>
      <c r="K1417" s="0" t="str">
        <f aca="false">IF(I1417="","",J1417*הגדרות!$E$6+I1417+1)</f>
        <v/>
      </c>
      <c r="L1417" s="0" t="str">
        <f aca="false">IF(K1417="","",MATCH(K1417,$F$2:$F$5001,0))</f>
        <v/>
      </c>
      <c r="M1417" s="0" t="str">
        <f aca="false">IF(I1417="","",INDEX(הגדרות!$A$2:$A$21,MOD(I1417+הגדרות!$E$9,הגדרות!$E$6)+1))</f>
        <v/>
      </c>
    </row>
    <row r="1418" customFormat="false" ht="15" hidden="false" customHeight="false" outlineLevel="0" collapsed="false">
      <c r="A1418" s="0" t="str">
        <f aca="false">IF('הדבקת לידים'!A1418="","",IF(ISNUMBER('הדבקת לידים'!A1418),IF(הגדרות!$E$2&gt;0,TEXT('הדבקת לידים'!A1418,REPT("0",הגדרות!$E$2)),TEXT('הדבקת לידים'!A1418,"0")),TRIM('הדבקת לידים'!A1418)))</f>
        <v/>
      </c>
      <c r="B1418" s="0" t="str">
        <f aca="false">IF('הדבקת לידים'!B1418="","",IF(ISNUMBER('הדבקת לידים'!B1418),IF(הגדרות!$E$3&gt;0,TEXT('הדבקת לידים'!B1418,REPT("0",הגדרות!$E$3)),TEXT('הדבקת לידים'!B1418,"0")),TRIM('הדבקת לידים'!B1418)))</f>
        <v/>
      </c>
      <c r="C1418" s="0" t="n">
        <f aca="false">IF(OR(A1418&lt;&gt;"",B1418&lt;&gt;""),1,0)</f>
        <v>0</v>
      </c>
      <c r="D1418" s="0" t="str">
        <f aca="false">IF(C1418=1,MOD(ABS(SIN(ROW()*12.9898+'הדבקת לידים'!$F$2*78.233+IFERROR(--RIGHT(A1418,6),LEN(A1418))*0.0137+IFERROR(--RIGHT(B1418,6),LEN(B1418))*0.0071))*43758.5453,1),"")</f>
        <v/>
      </c>
      <c r="E1418" s="0" t="str">
        <f aca="false">IF(C1418=1,INT(MOD(ABS(SIN(D1418*7919.123+ROW()*0.618+'הדבקת לידים'!$F$2*1.3))*43758.5453,1)*1000000)*10000+ROW(),"")</f>
        <v/>
      </c>
      <c r="F1418" s="0" t="str">
        <f aca="false">IF(E1418="","",RANK(E1418,$E$2:$E$5001,1))</f>
        <v/>
      </c>
      <c r="G1418" s="0" t="n">
        <f aca="false">IF(A1418="",0,IF(SUMPRODUCT(--($A$2:$A$5001=A1418))&gt;1,1,0))</f>
        <v>0</v>
      </c>
      <c r="H1418" s="0" t="n">
        <f aca="false">ROW()-1</f>
        <v>1417</v>
      </c>
      <c r="I1418" s="0" t="str">
        <f aca="false">IF(OR(הגדרות!$E$6=0,H1418&gt;הגדרות!$E$5),"",IF(H1418-1&lt;הגדרות!$E$8*(הגדרות!$E$7+1),INT((H1418-1)/(הגדרות!$E$7+1)),הגדרות!$E$8+INT((H1418-1-הגדרות!$E$8*(הגדרות!$E$7+1))/הגדרות!$E$7)))</f>
        <v/>
      </c>
      <c r="J1418" s="0" t="str">
        <f aca="false">IF(I1418="","",IF(H1418-1&lt;הגדרות!$E$8*(הגדרות!$E$7+1),MOD(H1418-1,הגדרות!$E$7+1),MOD(H1418-1-הגדרות!$E$8*(הגדרות!$E$7+1),הגדרות!$E$7)))</f>
        <v/>
      </c>
      <c r="K1418" s="0" t="str">
        <f aca="false">IF(I1418="","",J1418*הגדרות!$E$6+I1418+1)</f>
        <v/>
      </c>
      <c r="L1418" s="0" t="str">
        <f aca="false">IF(K1418="","",MATCH(K1418,$F$2:$F$5001,0))</f>
        <v/>
      </c>
      <c r="M1418" s="0" t="str">
        <f aca="false">IF(I1418="","",INDEX(הגדרות!$A$2:$A$21,MOD(I1418+הגדרות!$E$9,הגדרות!$E$6)+1))</f>
        <v/>
      </c>
    </row>
    <row r="1419" customFormat="false" ht="15" hidden="false" customHeight="false" outlineLevel="0" collapsed="false">
      <c r="A1419" s="0" t="str">
        <f aca="false">IF('הדבקת לידים'!A1419="","",IF(ISNUMBER('הדבקת לידים'!A1419),IF(הגדרות!$E$2&gt;0,TEXT('הדבקת לידים'!A1419,REPT("0",הגדרות!$E$2)),TEXT('הדבקת לידים'!A1419,"0")),TRIM('הדבקת לידים'!A1419)))</f>
        <v/>
      </c>
      <c r="B1419" s="0" t="str">
        <f aca="false">IF('הדבקת לידים'!B1419="","",IF(ISNUMBER('הדבקת לידים'!B1419),IF(הגדרות!$E$3&gt;0,TEXT('הדבקת לידים'!B1419,REPT("0",הגדרות!$E$3)),TEXT('הדבקת לידים'!B1419,"0")),TRIM('הדבקת לידים'!B1419)))</f>
        <v/>
      </c>
      <c r="C1419" s="0" t="n">
        <f aca="false">IF(OR(A1419&lt;&gt;"",B1419&lt;&gt;""),1,0)</f>
        <v>0</v>
      </c>
      <c r="D1419" s="0" t="str">
        <f aca="false">IF(C1419=1,MOD(ABS(SIN(ROW()*12.9898+'הדבקת לידים'!$F$2*78.233+IFERROR(--RIGHT(A1419,6),LEN(A1419))*0.0137+IFERROR(--RIGHT(B1419,6),LEN(B1419))*0.0071))*43758.5453,1),"")</f>
        <v/>
      </c>
      <c r="E1419" s="0" t="str">
        <f aca="false">IF(C1419=1,INT(MOD(ABS(SIN(D1419*7919.123+ROW()*0.618+'הדבקת לידים'!$F$2*1.3))*43758.5453,1)*1000000)*10000+ROW(),"")</f>
        <v/>
      </c>
      <c r="F1419" s="0" t="str">
        <f aca="false">IF(E1419="","",RANK(E1419,$E$2:$E$5001,1))</f>
        <v/>
      </c>
      <c r="G1419" s="0" t="n">
        <f aca="false">IF(A1419="",0,IF(SUMPRODUCT(--($A$2:$A$5001=A1419))&gt;1,1,0))</f>
        <v>0</v>
      </c>
      <c r="H1419" s="0" t="n">
        <f aca="false">ROW()-1</f>
        <v>1418</v>
      </c>
      <c r="I1419" s="0" t="str">
        <f aca="false">IF(OR(הגדרות!$E$6=0,H1419&gt;הגדרות!$E$5),"",IF(H1419-1&lt;הגדרות!$E$8*(הגדרות!$E$7+1),INT((H1419-1)/(הגדרות!$E$7+1)),הגדרות!$E$8+INT((H1419-1-הגדרות!$E$8*(הגדרות!$E$7+1))/הגדרות!$E$7)))</f>
        <v/>
      </c>
      <c r="J1419" s="0" t="str">
        <f aca="false">IF(I1419="","",IF(H1419-1&lt;הגדרות!$E$8*(הגדרות!$E$7+1),MOD(H1419-1,הגדרות!$E$7+1),MOD(H1419-1-הגדרות!$E$8*(הגדרות!$E$7+1),הגדרות!$E$7)))</f>
        <v/>
      </c>
      <c r="K1419" s="0" t="str">
        <f aca="false">IF(I1419="","",J1419*הגדרות!$E$6+I1419+1)</f>
        <v/>
      </c>
      <c r="L1419" s="0" t="str">
        <f aca="false">IF(K1419="","",MATCH(K1419,$F$2:$F$5001,0))</f>
        <v/>
      </c>
      <c r="M1419" s="0" t="str">
        <f aca="false">IF(I1419="","",INDEX(הגדרות!$A$2:$A$21,MOD(I1419+הגדרות!$E$9,הגדרות!$E$6)+1))</f>
        <v/>
      </c>
    </row>
    <row r="1420" customFormat="false" ht="15" hidden="false" customHeight="false" outlineLevel="0" collapsed="false">
      <c r="A1420" s="0" t="str">
        <f aca="false">IF('הדבקת לידים'!A1420="","",IF(ISNUMBER('הדבקת לידים'!A1420),IF(הגדרות!$E$2&gt;0,TEXT('הדבקת לידים'!A1420,REPT("0",הגדרות!$E$2)),TEXT('הדבקת לידים'!A1420,"0")),TRIM('הדבקת לידים'!A1420)))</f>
        <v/>
      </c>
      <c r="B1420" s="0" t="str">
        <f aca="false">IF('הדבקת לידים'!B1420="","",IF(ISNUMBER('הדבקת לידים'!B1420),IF(הגדרות!$E$3&gt;0,TEXT('הדבקת לידים'!B1420,REPT("0",הגדרות!$E$3)),TEXT('הדבקת לידים'!B1420,"0")),TRIM('הדבקת לידים'!B1420)))</f>
        <v/>
      </c>
      <c r="C1420" s="0" t="n">
        <f aca="false">IF(OR(A1420&lt;&gt;"",B1420&lt;&gt;""),1,0)</f>
        <v>0</v>
      </c>
      <c r="D1420" s="0" t="str">
        <f aca="false">IF(C1420=1,MOD(ABS(SIN(ROW()*12.9898+'הדבקת לידים'!$F$2*78.233+IFERROR(--RIGHT(A1420,6),LEN(A1420))*0.0137+IFERROR(--RIGHT(B1420,6),LEN(B1420))*0.0071))*43758.5453,1),"")</f>
        <v/>
      </c>
      <c r="E1420" s="0" t="str">
        <f aca="false">IF(C1420=1,INT(MOD(ABS(SIN(D1420*7919.123+ROW()*0.618+'הדבקת לידים'!$F$2*1.3))*43758.5453,1)*1000000)*10000+ROW(),"")</f>
        <v/>
      </c>
      <c r="F1420" s="0" t="str">
        <f aca="false">IF(E1420="","",RANK(E1420,$E$2:$E$5001,1))</f>
        <v/>
      </c>
      <c r="G1420" s="0" t="n">
        <f aca="false">IF(A1420="",0,IF(SUMPRODUCT(--($A$2:$A$5001=A1420))&gt;1,1,0))</f>
        <v>0</v>
      </c>
      <c r="H1420" s="0" t="n">
        <f aca="false">ROW()-1</f>
        <v>1419</v>
      </c>
      <c r="I1420" s="0" t="str">
        <f aca="false">IF(OR(הגדרות!$E$6=0,H1420&gt;הגדרות!$E$5),"",IF(H1420-1&lt;הגדרות!$E$8*(הגדרות!$E$7+1),INT((H1420-1)/(הגדרות!$E$7+1)),הגדרות!$E$8+INT((H1420-1-הגדרות!$E$8*(הגדרות!$E$7+1))/הגדרות!$E$7)))</f>
        <v/>
      </c>
      <c r="J1420" s="0" t="str">
        <f aca="false">IF(I1420="","",IF(H1420-1&lt;הגדרות!$E$8*(הגדרות!$E$7+1),MOD(H1420-1,הגדרות!$E$7+1),MOD(H1420-1-הגדרות!$E$8*(הגדרות!$E$7+1),הגדרות!$E$7)))</f>
        <v/>
      </c>
      <c r="K1420" s="0" t="str">
        <f aca="false">IF(I1420="","",J1420*הגדרות!$E$6+I1420+1)</f>
        <v/>
      </c>
      <c r="L1420" s="0" t="str">
        <f aca="false">IF(K1420="","",MATCH(K1420,$F$2:$F$5001,0))</f>
        <v/>
      </c>
      <c r="M1420" s="0" t="str">
        <f aca="false">IF(I1420="","",INDEX(הגדרות!$A$2:$A$21,MOD(I1420+הגדרות!$E$9,הגדרות!$E$6)+1))</f>
        <v/>
      </c>
    </row>
    <row r="1421" customFormat="false" ht="15" hidden="false" customHeight="false" outlineLevel="0" collapsed="false">
      <c r="A1421" s="0" t="str">
        <f aca="false">IF('הדבקת לידים'!A1421="","",IF(ISNUMBER('הדבקת לידים'!A1421),IF(הגדרות!$E$2&gt;0,TEXT('הדבקת לידים'!A1421,REPT("0",הגדרות!$E$2)),TEXT('הדבקת לידים'!A1421,"0")),TRIM('הדבקת לידים'!A1421)))</f>
        <v/>
      </c>
      <c r="B1421" s="0" t="str">
        <f aca="false">IF('הדבקת לידים'!B1421="","",IF(ISNUMBER('הדבקת לידים'!B1421),IF(הגדרות!$E$3&gt;0,TEXT('הדבקת לידים'!B1421,REPT("0",הגדרות!$E$3)),TEXT('הדבקת לידים'!B1421,"0")),TRIM('הדבקת לידים'!B1421)))</f>
        <v/>
      </c>
      <c r="C1421" s="0" t="n">
        <f aca="false">IF(OR(A1421&lt;&gt;"",B1421&lt;&gt;""),1,0)</f>
        <v>0</v>
      </c>
      <c r="D1421" s="0" t="str">
        <f aca="false">IF(C1421=1,MOD(ABS(SIN(ROW()*12.9898+'הדבקת לידים'!$F$2*78.233+IFERROR(--RIGHT(A1421,6),LEN(A1421))*0.0137+IFERROR(--RIGHT(B1421,6),LEN(B1421))*0.0071))*43758.5453,1),"")</f>
        <v/>
      </c>
      <c r="E1421" s="0" t="str">
        <f aca="false">IF(C1421=1,INT(MOD(ABS(SIN(D1421*7919.123+ROW()*0.618+'הדבקת לידים'!$F$2*1.3))*43758.5453,1)*1000000)*10000+ROW(),"")</f>
        <v/>
      </c>
      <c r="F1421" s="0" t="str">
        <f aca="false">IF(E1421="","",RANK(E1421,$E$2:$E$5001,1))</f>
        <v/>
      </c>
      <c r="G1421" s="0" t="n">
        <f aca="false">IF(A1421="",0,IF(SUMPRODUCT(--($A$2:$A$5001=A1421))&gt;1,1,0))</f>
        <v>0</v>
      </c>
      <c r="H1421" s="0" t="n">
        <f aca="false">ROW()-1</f>
        <v>1420</v>
      </c>
      <c r="I1421" s="0" t="str">
        <f aca="false">IF(OR(הגדרות!$E$6=0,H1421&gt;הגדרות!$E$5),"",IF(H1421-1&lt;הגדרות!$E$8*(הגדרות!$E$7+1),INT((H1421-1)/(הגדרות!$E$7+1)),הגדרות!$E$8+INT((H1421-1-הגדרות!$E$8*(הגדרות!$E$7+1))/הגדרות!$E$7)))</f>
        <v/>
      </c>
      <c r="J1421" s="0" t="str">
        <f aca="false">IF(I1421="","",IF(H1421-1&lt;הגדרות!$E$8*(הגדרות!$E$7+1),MOD(H1421-1,הגדרות!$E$7+1),MOD(H1421-1-הגדרות!$E$8*(הגדרות!$E$7+1),הגדרות!$E$7)))</f>
        <v/>
      </c>
      <c r="K1421" s="0" t="str">
        <f aca="false">IF(I1421="","",J1421*הגדרות!$E$6+I1421+1)</f>
        <v/>
      </c>
      <c r="L1421" s="0" t="str">
        <f aca="false">IF(K1421="","",MATCH(K1421,$F$2:$F$5001,0))</f>
        <v/>
      </c>
      <c r="M1421" s="0" t="str">
        <f aca="false">IF(I1421="","",INDEX(הגדרות!$A$2:$A$21,MOD(I1421+הגדרות!$E$9,הגדרות!$E$6)+1))</f>
        <v/>
      </c>
    </row>
    <row r="1422" customFormat="false" ht="15" hidden="false" customHeight="false" outlineLevel="0" collapsed="false">
      <c r="A1422" s="0" t="str">
        <f aca="false">IF('הדבקת לידים'!A1422="","",IF(ISNUMBER('הדבקת לידים'!A1422),IF(הגדרות!$E$2&gt;0,TEXT('הדבקת לידים'!A1422,REPT("0",הגדרות!$E$2)),TEXT('הדבקת לידים'!A1422,"0")),TRIM('הדבקת לידים'!A1422)))</f>
        <v/>
      </c>
      <c r="B1422" s="0" t="str">
        <f aca="false">IF('הדבקת לידים'!B1422="","",IF(ISNUMBER('הדבקת לידים'!B1422),IF(הגדרות!$E$3&gt;0,TEXT('הדבקת לידים'!B1422,REPT("0",הגדרות!$E$3)),TEXT('הדבקת לידים'!B1422,"0")),TRIM('הדבקת לידים'!B1422)))</f>
        <v/>
      </c>
      <c r="C1422" s="0" t="n">
        <f aca="false">IF(OR(A1422&lt;&gt;"",B1422&lt;&gt;""),1,0)</f>
        <v>0</v>
      </c>
      <c r="D1422" s="0" t="str">
        <f aca="false">IF(C1422=1,MOD(ABS(SIN(ROW()*12.9898+'הדבקת לידים'!$F$2*78.233+IFERROR(--RIGHT(A1422,6),LEN(A1422))*0.0137+IFERROR(--RIGHT(B1422,6),LEN(B1422))*0.0071))*43758.5453,1),"")</f>
        <v/>
      </c>
      <c r="E1422" s="0" t="str">
        <f aca="false">IF(C1422=1,INT(MOD(ABS(SIN(D1422*7919.123+ROW()*0.618+'הדבקת לידים'!$F$2*1.3))*43758.5453,1)*1000000)*10000+ROW(),"")</f>
        <v/>
      </c>
      <c r="F1422" s="0" t="str">
        <f aca="false">IF(E1422="","",RANK(E1422,$E$2:$E$5001,1))</f>
        <v/>
      </c>
      <c r="G1422" s="0" t="n">
        <f aca="false">IF(A1422="",0,IF(SUMPRODUCT(--($A$2:$A$5001=A1422))&gt;1,1,0))</f>
        <v>0</v>
      </c>
      <c r="H1422" s="0" t="n">
        <f aca="false">ROW()-1</f>
        <v>1421</v>
      </c>
      <c r="I1422" s="0" t="str">
        <f aca="false">IF(OR(הגדרות!$E$6=0,H1422&gt;הגדרות!$E$5),"",IF(H1422-1&lt;הגדרות!$E$8*(הגדרות!$E$7+1),INT((H1422-1)/(הגדרות!$E$7+1)),הגדרות!$E$8+INT((H1422-1-הגדרות!$E$8*(הגדרות!$E$7+1))/הגדרות!$E$7)))</f>
        <v/>
      </c>
      <c r="J1422" s="0" t="str">
        <f aca="false">IF(I1422="","",IF(H1422-1&lt;הגדרות!$E$8*(הגדרות!$E$7+1),MOD(H1422-1,הגדרות!$E$7+1),MOD(H1422-1-הגדרות!$E$8*(הגדרות!$E$7+1),הגדרות!$E$7)))</f>
        <v/>
      </c>
      <c r="K1422" s="0" t="str">
        <f aca="false">IF(I1422="","",J1422*הגדרות!$E$6+I1422+1)</f>
        <v/>
      </c>
      <c r="L1422" s="0" t="str">
        <f aca="false">IF(K1422="","",MATCH(K1422,$F$2:$F$5001,0))</f>
        <v/>
      </c>
      <c r="M1422" s="0" t="str">
        <f aca="false">IF(I1422="","",INDEX(הגדרות!$A$2:$A$21,MOD(I1422+הגדרות!$E$9,הגדרות!$E$6)+1))</f>
        <v/>
      </c>
    </row>
    <row r="1423" customFormat="false" ht="15" hidden="false" customHeight="false" outlineLevel="0" collapsed="false">
      <c r="A1423" s="0" t="str">
        <f aca="false">IF('הדבקת לידים'!A1423="","",IF(ISNUMBER('הדבקת לידים'!A1423),IF(הגדרות!$E$2&gt;0,TEXT('הדבקת לידים'!A1423,REPT("0",הגדרות!$E$2)),TEXT('הדבקת לידים'!A1423,"0")),TRIM('הדבקת לידים'!A1423)))</f>
        <v/>
      </c>
      <c r="B1423" s="0" t="str">
        <f aca="false">IF('הדבקת לידים'!B1423="","",IF(ISNUMBER('הדבקת לידים'!B1423),IF(הגדרות!$E$3&gt;0,TEXT('הדבקת לידים'!B1423,REPT("0",הגדרות!$E$3)),TEXT('הדבקת לידים'!B1423,"0")),TRIM('הדבקת לידים'!B1423)))</f>
        <v/>
      </c>
      <c r="C1423" s="0" t="n">
        <f aca="false">IF(OR(A1423&lt;&gt;"",B1423&lt;&gt;""),1,0)</f>
        <v>0</v>
      </c>
      <c r="D1423" s="0" t="str">
        <f aca="false">IF(C1423=1,MOD(ABS(SIN(ROW()*12.9898+'הדבקת לידים'!$F$2*78.233+IFERROR(--RIGHT(A1423,6),LEN(A1423))*0.0137+IFERROR(--RIGHT(B1423,6),LEN(B1423))*0.0071))*43758.5453,1),"")</f>
        <v/>
      </c>
      <c r="E1423" s="0" t="str">
        <f aca="false">IF(C1423=1,INT(MOD(ABS(SIN(D1423*7919.123+ROW()*0.618+'הדבקת לידים'!$F$2*1.3))*43758.5453,1)*1000000)*10000+ROW(),"")</f>
        <v/>
      </c>
      <c r="F1423" s="0" t="str">
        <f aca="false">IF(E1423="","",RANK(E1423,$E$2:$E$5001,1))</f>
        <v/>
      </c>
      <c r="G1423" s="0" t="n">
        <f aca="false">IF(A1423="",0,IF(SUMPRODUCT(--($A$2:$A$5001=A1423))&gt;1,1,0))</f>
        <v>0</v>
      </c>
      <c r="H1423" s="0" t="n">
        <f aca="false">ROW()-1</f>
        <v>1422</v>
      </c>
      <c r="I1423" s="0" t="str">
        <f aca="false">IF(OR(הגדרות!$E$6=0,H1423&gt;הגדרות!$E$5),"",IF(H1423-1&lt;הגדרות!$E$8*(הגדרות!$E$7+1),INT((H1423-1)/(הגדרות!$E$7+1)),הגדרות!$E$8+INT((H1423-1-הגדרות!$E$8*(הגדרות!$E$7+1))/הגדרות!$E$7)))</f>
        <v/>
      </c>
      <c r="J1423" s="0" t="str">
        <f aca="false">IF(I1423="","",IF(H1423-1&lt;הגדרות!$E$8*(הגדרות!$E$7+1),MOD(H1423-1,הגדרות!$E$7+1),MOD(H1423-1-הגדרות!$E$8*(הגדרות!$E$7+1),הגדרות!$E$7)))</f>
        <v/>
      </c>
      <c r="K1423" s="0" t="str">
        <f aca="false">IF(I1423="","",J1423*הגדרות!$E$6+I1423+1)</f>
        <v/>
      </c>
      <c r="L1423" s="0" t="str">
        <f aca="false">IF(K1423="","",MATCH(K1423,$F$2:$F$5001,0))</f>
        <v/>
      </c>
      <c r="M1423" s="0" t="str">
        <f aca="false">IF(I1423="","",INDEX(הגדרות!$A$2:$A$21,MOD(I1423+הגדרות!$E$9,הגדרות!$E$6)+1))</f>
        <v/>
      </c>
    </row>
    <row r="1424" customFormat="false" ht="15" hidden="false" customHeight="false" outlineLevel="0" collapsed="false">
      <c r="A1424" s="0" t="str">
        <f aca="false">IF('הדבקת לידים'!A1424="","",IF(ISNUMBER('הדבקת לידים'!A1424),IF(הגדרות!$E$2&gt;0,TEXT('הדבקת לידים'!A1424,REPT("0",הגדרות!$E$2)),TEXT('הדבקת לידים'!A1424,"0")),TRIM('הדבקת לידים'!A1424)))</f>
        <v/>
      </c>
      <c r="B1424" s="0" t="str">
        <f aca="false">IF('הדבקת לידים'!B1424="","",IF(ISNUMBER('הדבקת לידים'!B1424),IF(הגדרות!$E$3&gt;0,TEXT('הדבקת לידים'!B1424,REPT("0",הגדרות!$E$3)),TEXT('הדבקת לידים'!B1424,"0")),TRIM('הדבקת לידים'!B1424)))</f>
        <v/>
      </c>
      <c r="C1424" s="0" t="n">
        <f aca="false">IF(OR(A1424&lt;&gt;"",B1424&lt;&gt;""),1,0)</f>
        <v>0</v>
      </c>
      <c r="D1424" s="0" t="str">
        <f aca="false">IF(C1424=1,MOD(ABS(SIN(ROW()*12.9898+'הדבקת לידים'!$F$2*78.233+IFERROR(--RIGHT(A1424,6),LEN(A1424))*0.0137+IFERROR(--RIGHT(B1424,6),LEN(B1424))*0.0071))*43758.5453,1),"")</f>
        <v/>
      </c>
      <c r="E1424" s="0" t="str">
        <f aca="false">IF(C1424=1,INT(MOD(ABS(SIN(D1424*7919.123+ROW()*0.618+'הדבקת לידים'!$F$2*1.3))*43758.5453,1)*1000000)*10000+ROW(),"")</f>
        <v/>
      </c>
      <c r="F1424" s="0" t="str">
        <f aca="false">IF(E1424="","",RANK(E1424,$E$2:$E$5001,1))</f>
        <v/>
      </c>
      <c r="G1424" s="0" t="n">
        <f aca="false">IF(A1424="",0,IF(SUMPRODUCT(--($A$2:$A$5001=A1424))&gt;1,1,0))</f>
        <v>0</v>
      </c>
      <c r="H1424" s="0" t="n">
        <f aca="false">ROW()-1</f>
        <v>1423</v>
      </c>
      <c r="I1424" s="0" t="str">
        <f aca="false">IF(OR(הגדרות!$E$6=0,H1424&gt;הגדרות!$E$5),"",IF(H1424-1&lt;הגדרות!$E$8*(הגדרות!$E$7+1),INT((H1424-1)/(הגדרות!$E$7+1)),הגדרות!$E$8+INT((H1424-1-הגדרות!$E$8*(הגדרות!$E$7+1))/הגדרות!$E$7)))</f>
        <v/>
      </c>
      <c r="J1424" s="0" t="str">
        <f aca="false">IF(I1424="","",IF(H1424-1&lt;הגדרות!$E$8*(הגדרות!$E$7+1),MOD(H1424-1,הגדרות!$E$7+1),MOD(H1424-1-הגדרות!$E$8*(הגדרות!$E$7+1),הגדרות!$E$7)))</f>
        <v/>
      </c>
      <c r="K1424" s="0" t="str">
        <f aca="false">IF(I1424="","",J1424*הגדרות!$E$6+I1424+1)</f>
        <v/>
      </c>
      <c r="L1424" s="0" t="str">
        <f aca="false">IF(K1424="","",MATCH(K1424,$F$2:$F$5001,0))</f>
        <v/>
      </c>
      <c r="M1424" s="0" t="str">
        <f aca="false">IF(I1424="","",INDEX(הגדרות!$A$2:$A$21,MOD(I1424+הגדרות!$E$9,הגדרות!$E$6)+1))</f>
        <v/>
      </c>
    </row>
    <row r="1425" customFormat="false" ht="15" hidden="false" customHeight="false" outlineLevel="0" collapsed="false">
      <c r="A1425" s="0" t="str">
        <f aca="false">IF('הדבקת לידים'!A1425="","",IF(ISNUMBER('הדבקת לידים'!A1425),IF(הגדרות!$E$2&gt;0,TEXT('הדבקת לידים'!A1425,REPT("0",הגדרות!$E$2)),TEXT('הדבקת לידים'!A1425,"0")),TRIM('הדבקת לידים'!A1425)))</f>
        <v/>
      </c>
      <c r="B1425" s="0" t="str">
        <f aca="false">IF('הדבקת לידים'!B1425="","",IF(ISNUMBER('הדבקת לידים'!B1425),IF(הגדרות!$E$3&gt;0,TEXT('הדבקת לידים'!B1425,REPT("0",הגדרות!$E$3)),TEXT('הדבקת לידים'!B1425,"0")),TRIM('הדבקת לידים'!B1425)))</f>
        <v/>
      </c>
      <c r="C1425" s="0" t="n">
        <f aca="false">IF(OR(A1425&lt;&gt;"",B1425&lt;&gt;""),1,0)</f>
        <v>0</v>
      </c>
      <c r="D1425" s="0" t="str">
        <f aca="false">IF(C1425=1,MOD(ABS(SIN(ROW()*12.9898+'הדבקת לידים'!$F$2*78.233+IFERROR(--RIGHT(A1425,6),LEN(A1425))*0.0137+IFERROR(--RIGHT(B1425,6),LEN(B1425))*0.0071))*43758.5453,1),"")</f>
        <v/>
      </c>
      <c r="E1425" s="0" t="str">
        <f aca="false">IF(C1425=1,INT(MOD(ABS(SIN(D1425*7919.123+ROW()*0.618+'הדבקת לידים'!$F$2*1.3))*43758.5453,1)*1000000)*10000+ROW(),"")</f>
        <v/>
      </c>
      <c r="F1425" s="0" t="str">
        <f aca="false">IF(E1425="","",RANK(E1425,$E$2:$E$5001,1))</f>
        <v/>
      </c>
      <c r="G1425" s="0" t="n">
        <f aca="false">IF(A1425="",0,IF(SUMPRODUCT(--($A$2:$A$5001=A1425))&gt;1,1,0))</f>
        <v>0</v>
      </c>
      <c r="H1425" s="0" t="n">
        <f aca="false">ROW()-1</f>
        <v>1424</v>
      </c>
      <c r="I1425" s="0" t="str">
        <f aca="false">IF(OR(הגדרות!$E$6=0,H1425&gt;הגדרות!$E$5),"",IF(H1425-1&lt;הגדרות!$E$8*(הגדרות!$E$7+1),INT((H1425-1)/(הגדרות!$E$7+1)),הגדרות!$E$8+INT((H1425-1-הגדרות!$E$8*(הגדרות!$E$7+1))/הגדרות!$E$7)))</f>
        <v/>
      </c>
      <c r="J1425" s="0" t="str">
        <f aca="false">IF(I1425="","",IF(H1425-1&lt;הגדרות!$E$8*(הגדרות!$E$7+1),MOD(H1425-1,הגדרות!$E$7+1),MOD(H1425-1-הגדרות!$E$8*(הגדרות!$E$7+1),הגדרות!$E$7)))</f>
        <v/>
      </c>
      <c r="K1425" s="0" t="str">
        <f aca="false">IF(I1425="","",J1425*הגדרות!$E$6+I1425+1)</f>
        <v/>
      </c>
      <c r="L1425" s="0" t="str">
        <f aca="false">IF(K1425="","",MATCH(K1425,$F$2:$F$5001,0))</f>
        <v/>
      </c>
      <c r="M1425" s="0" t="str">
        <f aca="false">IF(I1425="","",INDEX(הגדרות!$A$2:$A$21,MOD(I1425+הגדרות!$E$9,הגדרות!$E$6)+1))</f>
        <v/>
      </c>
    </row>
    <row r="1426" customFormat="false" ht="15" hidden="false" customHeight="false" outlineLevel="0" collapsed="false">
      <c r="A1426" s="0" t="str">
        <f aca="false">IF('הדבקת לידים'!A1426="","",IF(ISNUMBER('הדבקת לידים'!A1426),IF(הגדרות!$E$2&gt;0,TEXT('הדבקת לידים'!A1426,REPT("0",הגדרות!$E$2)),TEXT('הדבקת לידים'!A1426,"0")),TRIM('הדבקת לידים'!A1426)))</f>
        <v/>
      </c>
      <c r="B1426" s="0" t="str">
        <f aca="false">IF('הדבקת לידים'!B1426="","",IF(ISNUMBER('הדבקת לידים'!B1426),IF(הגדרות!$E$3&gt;0,TEXT('הדבקת לידים'!B1426,REPT("0",הגדרות!$E$3)),TEXT('הדבקת לידים'!B1426,"0")),TRIM('הדבקת לידים'!B1426)))</f>
        <v/>
      </c>
      <c r="C1426" s="0" t="n">
        <f aca="false">IF(OR(A1426&lt;&gt;"",B1426&lt;&gt;""),1,0)</f>
        <v>0</v>
      </c>
      <c r="D1426" s="0" t="str">
        <f aca="false">IF(C1426=1,MOD(ABS(SIN(ROW()*12.9898+'הדבקת לידים'!$F$2*78.233+IFERROR(--RIGHT(A1426,6),LEN(A1426))*0.0137+IFERROR(--RIGHT(B1426,6),LEN(B1426))*0.0071))*43758.5453,1),"")</f>
        <v/>
      </c>
      <c r="E1426" s="0" t="str">
        <f aca="false">IF(C1426=1,INT(MOD(ABS(SIN(D1426*7919.123+ROW()*0.618+'הדבקת לידים'!$F$2*1.3))*43758.5453,1)*1000000)*10000+ROW(),"")</f>
        <v/>
      </c>
      <c r="F1426" s="0" t="str">
        <f aca="false">IF(E1426="","",RANK(E1426,$E$2:$E$5001,1))</f>
        <v/>
      </c>
      <c r="G1426" s="0" t="n">
        <f aca="false">IF(A1426="",0,IF(SUMPRODUCT(--($A$2:$A$5001=A1426))&gt;1,1,0))</f>
        <v>0</v>
      </c>
      <c r="H1426" s="0" t="n">
        <f aca="false">ROW()-1</f>
        <v>1425</v>
      </c>
      <c r="I1426" s="0" t="str">
        <f aca="false">IF(OR(הגדרות!$E$6=0,H1426&gt;הגדרות!$E$5),"",IF(H1426-1&lt;הגדרות!$E$8*(הגדרות!$E$7+1),INT((H1426-1)/(הגדרות!$E$7+1)),הגדרות!$E$8+INT((H1426-1-הגדרות!$E$8*(הגדרות!$E$7+1))/הגדרות!$E$7)))</f>
        <v/>
      </c>
      <c r="J1426" s="0" t="str">
        <f aca="false">IF(I1426="","",IF(H1426-1&lt;הגדרות!$E$8*(הגדרות!$E$7+1),MOD(H1426-1,הגדרות!$E$7+1),MOD(H1426-1-הגדרות!$E$8*(הגדרות!$E$7+1),הגדרות!$E$7)))</f>
        <v/>
      </c>
      <c r="K1426" s="0" t="str">
        <f aca="false">IF(I1426="","",J1426*הגדרות!$E$6+I1426+1)</f>
        <v/>
      </c>
      <c r="L1426" s="0" t="str">
        <f aca="false">IF(K1426="","",MATCH(K1426,$F$2:$F$5001,0))</f>
        <v/>
      </c>
      <c r="M1426" s="0" t="str">
        <f aca="false">IF(I1426="","",INDEX(הגדרות!$A$2:$A$21,MOD(I1426+הגדרות!$E$9,הגדרות!$E$6)+1))</f>
        <v/>
      </c>
    </row>
    <row r="1427" customFormat="false" ht="15" hidden="false" customHeight="false" outlineLevel="0" collapsed="false">
      <c r="A1427" s="0" t="str">
        <f aca="false">IF('הדבקת לידים'!A1427="","",IF(ISNUMBER('הדבקת לידים'!A1427),IF(הגדרות!$E$2&gt;0,TEXT('הדבקת לידים'!A1427,REPT("0",הגדרות!$E$2)),TEXT('הדבקת לידים'!A1427,"0")),TRIM('הדבקת לידים'!A1427)))</f>
        <v/>
      </c>
      <c r="B1427" s="0" t="str">
        <f aca="false">IF('הדבקת לידים'!B1427="","",IF(ISNUMBER('הדבקת לידים'!B1427),IF(הגדרות!$E$3&gt;0,TEXT('הדבקת לידים'!B1427,REPT("0",הגדרות!$E$3)),TEXT('הדבקת לידים'!B1427,"0")),TRIM('הדבקת לידים'!B1427)))</f>
        <v/>
      </c>
      <c r="C1427" s="0" t="n">
        <f aca="false">IF(OR(A1427&lt;&gt;"",B1427&lt;&gt;""),1,0)</f>
        <v>0</v>
      </c>
      <c r="D1427" s="0" t="str">
        <f aca="false">IF(C1427=1,MOD(ABS(SIN(ROW()*12.9898+'הדבקת לידים'!$F$2*78.233+IFERROR(--RIGHT(A1427,6),LEN(A1427))*0.0137+IFERROR(--RIGHT(B1427,6),LEN(B1427))*0.0071))*43758.5453,1),"")</f>
        <v/>
      </c>
      <c r="E1427" s="0" t="str">
        <f aca="false">IF(C1427=1,INT(MOD(ABS(SIN(D1427*7919.123+ROW()*0.618+'הדבקת לידים'!$F$2*1.3))*43758.5453,1)*1000000)*10000+ROW(),"")</f>
        <v/>
      </c>
      <c r="F1427" s="0" t="str">
        <f aca="false">IF(E1427="","",RANK(E1427,$E$2:$E$5001,1))</f>
        <v/>
      </c>
      <c r="G1427" s="0" t="n">
        <f aca="false">IF(A1427="",0,IF(SUMPRODUCT(--($A$2:$A$5001=A1427))&gt;1,1,0))</f>
        <v>0</v>
      </c>
      <c r="H1427" s="0" t="n">
        <f aca="false">ROW()-1</f>
        <v>1426</v>
      </c>
      <c r="I1427" s="0" t="str">
        <f aca="false">IF(OR(הגדרות!$E$6=0,H1427&gt;הגדרות!$E$5),"",IF(H1427-1&lt;הגדרות!$E$8*(הגדרות!$E$7+1),INT((H1427-1)/(הגדרות!$E$7+1)),הגדרות!$E$8+INT((H1427-1-הגדרות!$E$8*(הגדרות!$E$7+1))/הגדרות!$E$7)))</f>
        <v/>
      </c>
      <c r="J1427" s="0" t="str">
        <f aca="false">IF(I1427="","",IF(H1427-1&lt;הגדרות!$E$8*(הגדרות!$E$7+1),MOD(H1427-1,הגדרות!$E$7+1),MOD(H1427-1-הגדרות!$E$8*(הגדרות!$E$7+1),הגדרות!$E$7)))</f>
        <v/>
      </c>
      <c r="K1427" s="0" t="str">
        <f aca="false">IF(I1427="","",J1427*הגדרות!$E$6+I1427+1)</f>
        <v/>
      </c>
      <c r="L1427" s="0" t="str">
        <f aca="false">IF(K1427="","",MATCH(K1427,$F$2:$F$5001,0))</f>
        <v/>
      </c>
      <c r="M1427" s="0" t="str">
        <f aca="false">IF(I1427="","",INDEX(הגדרות!$A$2:$A$21,MOD(I1427+הגדרות!$E$9,הגדרות!$E$6)+1))</f>
        <v/>
      </c>
    </row>
    <row r="1428" customFormat="false" ht="15" hidden="false" customHeight="false" outlineLevel="0" collapsed="false">
      <c r="A1428" s="0" t="str">
        <f aca="false">IF('הדבקת לידים'!A1428="","",IF(ISNUMBER('הדבקת לידים'!A1428),IF(הגדרות!$E$2&gt;0,TEXT('הדבקת לידים'!A1428,REPT("0",הגדרות!$E$2)),TEXT('הדבקת לידים'!A1428,"0")),TRIM('הדבקת לידים'!A1428)))</f>
        <v/>
      </c>
      <c r="B1428" s="0" t="str">
        <f aca="false">IF('הדבקת לידים'!B1428="","",IF(ISNUMBER('הדבקת לידים'!B1428),IF(הגדרות!$E$3&gt;0,TEXT('הדבקת לידים'!B1428,REPT("0",הגדרות!$E$3)),TEXT('הדבקת לידים'!B1428,"0")),TRIM('הדבקת לידים'!B1428)))</f>
        <v/>
      </c>
      <c r="C1428" s="0" t="n">
        <f aca="false">IF(OR(A1428&lt;&gt;"",B1428&lt;&gt;""),1,0)</f>
        <v>0</v>
      </c>
      <c r="D1428" s="0" t="str">
        <f aca="false">IF(C1428=1,MOD(ABS(SIN(ROW()*12.9898+'הדבקת לידים'!$F$2*78.233+IFERROR(--RIGHT(A1428,6),LEN(A1428))*0.0137+IFERROR(--RIGHT(B1428,6),LEN(B1428))*0.0071))*43758.5453,1),"")</f>
        <v/>
      </c>
      <c r="E1428" s="0" t="str">
        <f aca="false">IF(C1428=1,INT(MOD(ABS(SIN(D1428*7919.123+ROW()*0.618+'הדבקת לידים'!$F$2*1.3))*43758.5453,1)*1000000)*10000+ROW(),"")</f>
        <v/>
      </c>
      <c r="F1428" s="0" t="str">
        <f aca="false">IF(E1428="","",RANK(E1428,$E$2:$E$5001,1))</f>
        <v/>
      </c>
      <c r="G1428" s="0" t="n">
        <f aca="false">IF(A1428="",0,IF(SUMPRODUCT(--($A$2:$A$5001=A1428))&gt;1,1,0))</f>
        <v>0</v>
      </c>
      <c r="H1428" s="0" t="n">
        <f aca="false">ROW()-1</f>
        <v>1427</v>
      </c>
      <c r="I1428" s="0" t="str">
        <f aca="false">IF(OR(הגדרות!$E$6=0,H1428&gt;הגדרות!$E$5),"",IF(H1428-1&lt;הגדרות!$E$8*(הגדרות!$E$7+1),INT((H1428-1)/(הגדרות!$E$7+1)),הגדרות!$E$8+INT((H1428-1-הגדרות!$E$8*(הגדרות!$E$7+1))/הגדרות!$E$7)))</f>
        <v/>
      </c>
      <c r="J1428" s="0" t="str">
        <f aca="false">IF(I1428="","",IF(H1428-1&lt;הגדרות!$E$8*(הגדרות!$E$7+1),MOD(H1428-1,הגדרות!$E$7+1),MOD(H1428-1-הגדרות!$E$8*(הגדרות!$E$7+1),הגדרות!$E$7)))</f>
        <v/>
      </c>
      <c r="K1428" s="0" t="str">
        <f aca="false">IF(I1428="","",J1428*הגדרות!$E$6+I1428+1)</f>
        <v/>
      </c>
      <c r="L1428" s="0" t="str">
        <f aca="false">IF(K1428="","",MATCH(K1428,$F$2:$F$5001,0))</f>
        <v/>
      </c>
      <c r="M1428" s="0" t="str">
        <f aca="false">IF(I1428="","",INDEX(הגדרות!$A$2:$A$21,MOD(I1428+הגדרות!$E$9,הגדרות!$E$6)+1))</f>
        <v/>
      </c>
    </row>
    <row r="1429" customFormat="false" ht="15" hidden="false" customHeight="false" outlineLevel="0" collapsed="false">
      <c r="A1429" s="0" t="str">
        <f aca="false">IF('הדבקת לידים'!A1429="","",IF(ISNUMBER('הדבקת לידים'!A1429),IF(הגדרות!$E$2&gt;0,TEXT('הדבקת לידים'!A1429,REPT("0",הגדרות!$E$2)),TEXT('הדבקת לידים'!A1429,"0")),TRIM('הדבקת לידים'!A1429)))</f>
        <v/>
      </c>
      <c r="B1429" s="0" t="str">
        <f aca="false">IF('הדבקת לידים'!B1429="","",IF(ISNUMBER('הדבקת לידים'!B1429),IF(הגדרות!$E$3&gt;0,TEXT('הדבקת לידים'!B1429,REPT("0",הגדרות!$E$3)),TEXT('הדבקת לידים'!B1429,"0")),TRIM('הדבקת לידים'!B1429)))</f>
        <v/>
      </c>
      <c r="C1429" s="0" t="n">
        <f aca="false">IF(OR(A1429&lt;&gt;"",B1429&lt;&gt;""),1,0)</f>
        <v>0</v>
      </c>
      <c r="D1429" s="0" t="str">
        <f aca="false">IF(C1429=1,MOD(ABS(SIN(ROW()*12.9898+'הדבקת לידים'!$F$2*78.233+IFERROR(--RIGHT(A1429,6),LEN(A1429))*0.0137+IFERROR(--RIGHT(B1429,6),LEN(B1429))*0.0071))*43758.5453,1),"")</f>
        <v/>
      </c>
      <c r="E1429" s="0" t="str">
        <f aca="false">IF(C1429=1,INT(MOD(ABS(SIN(D1429*7919.123+ROW()*0.618+'הדבקת לידים'!$F$2*1.3))*43758.5453,1)*1000000)*10000+ROW(),"")</f>
        <v/>
      </c>
      <c r="F1429" s="0" t="str">
        <f aca="false">IF(E1429="","",RANK(E1429,$E$2:$E$5001,1))</f>
        <v/>
      </c>
      <c r="G1429" s="0" t="n">
        <f aca="false">IF(A1429="",0,IF(SUMPRODUCT(--($A$2:$A$5001=A1429))&gt;1,1,0))</f>
        <v>0</v>
      </c>
      <c r="H1429" s="0" t="n">
        <f aca="false">ROW()-1</f>
        <v>1428</v>
      </c>
      <c r="I1429" s="0" t="str">
        <f aca="false">IF(OR(הגדרות!$E$6=0,H1429&gt;הגדרות!$E$5),"",IF(H1429-1&lt;הגדרות!$E$8*(הגדרות!$E$7+1),INT((H1429-1)/(הגדרות!$E$7+1)),הגדרות!$E$8+INT((H1429-1-הגדרות!$E$8*(הגדרות!$E$7+1))/הגדרות!$E$7)))</f>
        <v/>
      </c>
      <c r="J1429" s="0" t="str">
        <f aca="false">IF(I1429="","",IF(H1429-1&lt;הגדרות!$E$8*(הגדרות!$E$7+1),MOD(H1429-1,הגדרות!$E$7+1),MOD(H1429-1-הגדרות!$E$8*(הגדרות!$E$7+1),הגדרות!$E$7)))</f>
        <v/>
      </c>
      <c r="K1429" s="0" t="str">
        <f aca="false">IF(I1429="","",J1429*הגדרות!$E$6+I1429+1)</f>
        <v/>
      </c>
      <c r="L1429" s="0" t="str">
        <f aca="false">IF(K1429="","",MATCH(K1429,$F$2:$F$5001,0))</f>
        <v/>
      </c>
      <c r="M1429" s="0" t="str">
        <f aca="false">IF(I1429="","",INDEX(הגדרות!$A$2:$A$21,MOD(I1429+הגדרות!$E$9,הגדרות!$E$6)+1))</f>
        <v/>
      </c>
    </row>
    <row r="1430" customFormat="false" ht="15" hidden="false" customHeight="false" outlineLevel="0" collapsed="false">
      <c r="A1430" s="0" t="str">
        <f aca="false">IF('הדבקת לידים'!A1430="","",IF(ISNUMBER('הדבקת לידים'!A1430),IF(הגדרות!$E$2&gt;0,TEXT('הדבקת לידים'!A1430,REPT("0",הגדרות!$E$2)),TEXT('הדבקת לידים'!A1430,"0")),TRIM('הדבקת לידים'!A1430)))</f>
        <v/>
      </c>
      <c r="B1430" s="0" t="str">
        <f aca="false">IF('הדבקת לידים'!B1430="","",IF(ISNUMBER('הדבקת לידים'!B1430),IF(הגדרות!$E$3&gt;0,TEXT('הדבקת לידים'!B1430,REPT("0",הגדרות!$E$3)),TEXT('הדבקת לידים'!B1430,"0")),TRIM('הדבקת לידים'!B1430)))</f>
        <v/>
      </c>
      <c r="C1430" s="0" t="n">
        <f aca="false">IF(OR(A1430&lt;&gt;"",B1430&lt;&gt;""),1,0)</f>
        <v>0</v>
      </c>
      <c r="D1430" s="0" t="str">
        <f aca="false">IF(C1430=1,MOD(ABS(SIN(ROW()*12.9898+'הדבקת לידים'!$F$2*78.233+IFERROR(--RIGHT(A1430,6),LEN(A1430))*0.0137+IFERROR(--RIGHT(B1430,6),LEN(B1430))*0.0071))*43758.5453,1),"")</f>
        <v/>
      </c>
      <c r="E1430" s="0" t="str">
        <f aca="false">IF(C1430=1,INT(MOD(ABS(SIN(D1430*7919.123+ROW()*0.618+'הדבקת לידים'!$F$2*1.3))*43758.5453,1)*1000000)*10000+ROW(),"")</f>
        <v/>
      </c>
      <c r="F1430" s="0" t="str">
        <f aca="false">IF(E1430="","",RANK(E1430,$E$2:$E$5001,1))</f>
        <v/>
      </c>
      <c r="G1430" s="0" t="n">
        <f aca="false">IF(A1430="",0,IF(SUMPRODUCT(--($A$2:$A$5001=A1430))&gt;1,1,0))</f>
        <v>0</v>
      </c>
      <c r="H1430" s="0" t="n">
        <f aca="false">ROW()-1</f>
        <v>1429</v>
      </c>
      <c r="I1430" s="0" t="str">
        <f aca="false">IF(OR(הגדרות!$E$6=0,H1430&gt;הגדרות!$E$5),"",IF(H1430-1&lt;הגדרות!$E$8*(הגדרות!$E$7+1),INT((H1430-1)/(הגדרות!$E$7+1)),הגדרות!$E$8+INT((H1430-1-הגדרות!$E$8*(הגדרות!$E$7+1))/הגדרות!$E$7)))</f>
        <v/>
      </c>
      <c r="J1430" s="0" t="str">
        <f aca="false">IF(I1430="","",IF(H1430-1&lt;הגדרות!$E$8*(הגדרות!$E$7+1),MOD(H1430-1,הגדרות!$E$7+1),MOD(H1430-1-הגדרות!$E$8*(הגדרות!$E$7+1),הגדרות!$E$7)))</f>
        <v/>
      </c>
      <c r="K1430" s="0" t="str">
        <f aca="false">IF(I1430="","",J1430*הגדרות!$E$6+I1430+1)</f>
        <v/>
      </c>
      <c r="L1430" s="0" t="str">
        <f aca="false">IF(K1430="","",MATCH(K1430,$F$2:$F$5001,0))</f>
        <v/>
      </c>
      <c r="M1430" s="0" t="str">
        <f aca="false">IF(I1430="","",INDEX(הגדרות!$A$2:$A$21,MOD(I1430+הגדרות!$E$9,הגדרות!$E$6)+1))</f>
        <v/>
      </c>
    </row>
    <row r="1431" customFormat="false" ht="15" hidden="false" customHeight="false" outlineLevel="0" collapsed="false">
      <c r="A1431" s="0" t="str">
        <f aca="false">IF('הדבקת לידים'!A1431="","",IF(ISNUMBER('הדבקת לידים'!A1431),IF(הגדרות!$E$2&gt;0,TEXT('הדבקת לידים'!A1431,REPT("0",הגדרות!$E$2)),TEXT('הדבקת לידים'!A1431,"0")),TRIM('הדבקת לידים'!A1431)))</f>
        <v/>
      </c>
      <c r="B1431" s="0" t="str">
        <f aca="false">IF('הדבקת לידים'!B1431="","",IF(ISNUMBER('הדבקת לידים'!B1431),IF(הגדרות!$E$3&gt;0,TEXT('הדבקת לידים'!B1431,REPT("0",הגדרות!$E$3)),TEXT('הדבקת לידים'!B1431,"0")),TRIM('הדבקת לידים'!B1431)))</f>
        <v/>
      </c>
      <c r="C1431" s="0" t="n">
        <f aca="false">IF(OR(A1431&lt;&gt;"",B1431&lt;&gt;""),1,0)</f>
        <v>0</v>
      </c>
      <c r="D1431" s="0" t="str">
        <f aca="false">IF(C1431=1,MOD(ABS(SIN(ROW()*12.9898+'הדבקת לידים'!$F$2*78.233+IFERROR(--RIGHT(A1431,6),LEN(A1431))*0.0137+IFERROR(--RIGHT(B1431,6),LEN(B1431))*0.0071))*43758.5453,1),"")</f>
        <v/>
      </c>
      <c r="E1431" s="0" t="str">
        <f aca="false">IF(C1431=1,INT(MOD(ABS(SIN(D1431*7919.123+ROW()*0.618+'הדבקת לידים'!$F$2*1.3))*43758.5453,1)*1000000)*10000+ROW(),"")</f>
        <v/>
      </c>
      <c r="F1431" s="0" t="str">
        <f aca="false">IF(E1431="","",RANK(E1431,$E$2:$E$5001,1))</f>
        <v/>
      </c>
      <c r="G1431" s="0" t="n">
        <f aca="false">IF(A1431="",0,IF(SUMPRODUCT(--($A$2:$A$5001=A1431))&gt;1,1,0))</f>
        <v>0</v>
      </c>
      <c r="H1431" s="0" t="n">
        <f aca="false">ROW()-1</f>
        <v>1430</v>
      </c>
      <c r="I1431" s="0" t="str">
        <f aca="false">IF(OR(הגדרות!$E$6=0,H1431&gt;הגדרות!$E$5),"",IF(H1431-1&lt;הגדרות!$E$8*(הגדרות!$E$7+1),INT((H1431-1)/(הגדרות!$E$7+1)),הגדרות!$E$8+INT((H1431-1-הגדרות!$E$8*(הגדרות!$E$7+1))/הגדרות!$E$7)))</f>
        <v/>
      </c>
      <c r="J1431" s="0" t="str">
        <f aca="false">IF(I1431="","",IF(H1431-1&lt;הגדרות!$E$8*(הגדרות!$E$7+1),MOD(H1431-1,הגדרות!$E$7+1),MOD(H1431-1-הגדרות!$E$8*(הגדרות!$E$7+1),הגדרות!$E$7)))</f>
        <v/>
      </c>
      <c r="K1431" s="0" t="str">
        <f aca="false">IF(I1431="","",J1431*הגדרות!$E$6+I1431+1)</f>
        <v/>
      </c>
      <c r="L1431" s="0" t="str">
        <f aca="false">IF(K1431="","",MATCH(K1431,$F$2:$F$5001,0))</f>
        <v/>
      </c>
      <c r="M1431" s="0" t="str">
        <f aca="false">IF(I1431="","",INDEX(הגדרות!$A$2:$A$21,MOD(I1431+הגדרות!$E$9,הגדרות!$E$6)+1))</f>
        <v/>
      </c>
    </row>
    <row r="1432" customFormat="false" ht="15" hidden="false" customHeight="false" outlineLevel="0" collapsed="false">
      <c r="A1432" s="0" t="str">
        <f aca="false">IF('הדבקת לידים'!A1432="","",IF(ISNUMBER('הדבקת לידים'!A1432),IF(הגדרות!$E$2&gt;0,TEXT('הדבקת לידים'!A1432,REPT("0",הגדרות!$E$2)),TEXT('הדבקת לידים'!A1432,"0")),TRIM('הדבקת לידים'!A1432)))</f>
        <v/>
      </c>
      <c r="B1432" s="0" t="str">
        <f aca="false">IF('הדבקת לידים'!B1432="","",IF(ISNUMBER('הדבקת לידים'!B1432),IF(הגדרות!$E$3&gt;0,TEXT('הדבקת לידים'!B1432,REPT("0",הגדרות!$E$3)),TEXT('הדבקת לידים'!B1432,"0")),TRIM('הדבקת לידים'!B1432)))</f>
        <v/>
      </c>
      <c r="C1432" s="0" t="n">
        <f aca="false">IF(OR(A1432&lt;&gt;"",B1432&lt;&gt;""),1,0)</f>
        <v>0</v>
      </c>
      <c r="D1432" s="0" t="str">
        <f aca="false">IF(C1432=1,MOD(ABS(SIN(ROW()*12.9898+'הדבקת לידים'!$F$2*78.233+IFERROR(--RIGHT(A1432,6),LEN(A1432))*0.0137+IFERROR(--RIGHT(B1432,6),LEN(B1432))*0.0071))*43758.5453,1),"")</f>
        <v/>
      </c>
      <c r="E1432" s="0" t="str">
        <f aca="false">IF(C1432=1,INT(MOD(ABS(SIN(D1432*7919.123+ROW()*0.618+'הדבקת לידים'!$F$2*1.3))*43758.5453,1)*1000000)*10000+ROW(),"")</f>
        <v/>
      </c>
      <c r="F1432" s="0" t="str">
        <f aca="false">IF(E1432="","",RANK(E1432,$E$2:$E$5001,1))</f>
        <v/>
      </c>
      <c r="G1432" s="0" t="n">
        <f aca="false">IF(A1432="",0,IF(SUMPRODUCT(--($A$2:$A$5001=A1432))&gt;1,1,0))</f>
        <v>0</v>
      </c>
      <c r="H1432" s="0" t="n">
        <f aca="false">ROW()-1</f>
        <v>1431</v>
      </c>
      <c r="I1432" s="0" t="str">
        <f aca="false">IF(OR(הגדרות!$E$6=0,H1432&gt;הגדרות!$E$5),"",IF(H1432-1&lt;הגדרות!$E$8*(הגדרות!$E$7+1),INT((H1432-1)/(הגדרות!$E$7+1)),הגדרות!$E$8+INT((H1432-1-הגדרות!$E$8*(הגדרות!$E$7+1))/הגדרות!$E$7)))</f>
        <v/>
      </c>
      <c r="J1432" s="0" t="str">
        <f aca="false">IF(I1432="","",IF(H1432-1&lt;הגדרות!$E$8*(הגדרות!$E$7+1),MOD(H1432-1,הגדרות!$E$7+1),MOD(H1432-1-הגדרות!$E$8*(הגדרות!$E$7+1),הגדרות!$E$7)))</f>
        <v/>
      </c>
      <c r="K1432" s="0" t="str">
        <f aca="false">IF(I1432="","",J1432*הגדרות!$E$6+I1432+1)</f>
        <v/>
      </c>
      <c r="L1432" s="0" t="str">
        <f aca="false">IF(K1432="","",MATCH(K1432,$F$2:$F$5001,0))</f>
        <v/>
      </c>
      <c r="M1432" s="0" t="str">
        <f aca="false">IF(I1432="","",INDEX(הגדרות!$A$2:$A$21,MOD(I1432+הגדרות!$E$9,הגדרות!$E$6)+1))</f>
        <v/>
      </c>
    </row>
    <row r="1433" customFormat="false" ht="15" hidden="false" customHeight="false" outlineLevel="0" collapsed="false">
      <c r="A1433" s="0" t="str">
        <f aca="false">IF('הדבקת לידים'!A1433="","",IF(ISNUMBER('הדבקת לידים'!A1433),IF(הגדרות!$E$2&gt;0,TEXT('הדבקת לידים'!A1433,REPT("0",הגדרות!$E$2)),TEXT('הדבקת לידים'!A1433,"0")),TRIM('הדבקת לידים'!A1433)))</f>
        <v/>
      </c>
      <c r="B1433" s="0" t="str">
        <f aca="false">IF('הדבקת לידים'!B1433="","",IF(ISNUMBER('הדבקת לידים'!B1433),IF(הגדרות!$E$3&gt;0,TEXT('הדבקת לידים'!B1433,REPT("0",הגדרות!$E$3)),TEXT('הדבקת לידים'!B1433,"0")),TRIM('הדבקת לידים'!B1433)))</f>
        <v/>
      </c>
      <c r="C1433" s="0" t="n">
        <f aca="false">IF(OR(A1433&lt;&gt;"",B1433&lt;&gt;""),1,0)</f>
        <v>0</v>
      </c>
      <c r="D1433" s="0" t="str">
        <f aca="false">IF(C1433=1,MOD(ABS(SIN(ROW()*12.9898+'הדבקת לידים'!$F$2*78.233+IFERROR(--RIGHT(A1433,6),LEN(A1433))*0.0137+IFERROR(--RIGHT(B1433,6),LEN(B1433))*0.0071))*43758.5453,1),"")</f>
        <v/>
      </c>
      <c r="E1433" s="0" t="str">
        <f aca="false">IF(C1433=1,INT(MOD(ABS(SIN(D1433*7919.123+ROW()*0.618+'הדבקת לידים'!$F$2*1.3))*43758.5453,1)*1000000)*10000+ROW(),"")</f>
        <v/>
      </c>
      <c r="F1433" s="0" t="str">
        <f aca="false">IF(E1433="","",RANK(E1433,$E$2:$E$5001,1))</f>
        <v/>
      </c>
      <c r="G1433" s="0" t="n">
        <f aca="false">IF(A1433="",0,IF(SUMPRODUCT(--($A$2:$A$5001=A1433))&gt;1,1,0))</f>
        <v>0</v>
      </c>
      <c r="H1433" s="0" t="n">
        <f aca="false">ROW()-1</f>
        <v>1432</v>
      </c>
      <c r="I1433" s="0" t="str">
        <f aca="false">IF(OR(הגדרות!$E$6=0,H1433&gt;הגדרות!$E$5),"",IF(H1433-1&lt;הגדרות!$E$8*(הגדרות!$E$7+1),INT((H1433-1)/(הגדרות!$E$7+1)),הגדרות!$E$8+INT((H1433-1-הגדרות!$E$8*(הגדרות!$E$7+1))/הגדרות!$E$7)))</f>
        <v/>
      </c>
      <c r="J1433" s="0" t="str">
        <f aca="false">IF(I1433="","",IF(H1433-1&lt;הגדרות!$E$8*(הגדרות!$E$7+1),MOD(H1433-1,הגדרות!$E$7+1),MOD(H1433-1-הגדרות!$E$8*(הגדרות!$E$7+1),הגדרות!$E$7)))</f>
        <v/>
      </c>
      <c r="K1433" s="0" t="str">
        <f aca="false">IF(I1433="","",J1433*הגדרות!$E$6+I1433+1)</f>
        <v/>
      </c>
      <c r="L1433" s="0" t="str">
        <f aca="false">IF(K1433="","",MATCH(K1433,$F$2:$F$5001,0))</f>
        <v/>
      </c>
      <c r="M1433" s="0" t="str">
        <f aca="false">IF(I1433="","",INDEX(הגדרות!$A$2:$A$21,MOD(I1433+הגדרות!$E$9,הגדרות!$E$6)+1))</f>
        <v/>
      </c>
    </row>
    <row r="1434" customFormat="false" ht="15" hidden="false" customHeight="false" outlineLevel="0" collapsed="false">
      <c r="A1434" s="0" t="str">
        <f aca="false">IF('הדבקת לידים'!A1434="","",IF(ISNUMBER('הדבקת לידים'!A1434),IF(הגדרות!$E$2&gt;0,TEXT('הדבקת לידים'!A1434,REPT("0",הגדרות!$E$2)),TEXT('הדבקת לידים'!A1434,"0")),TRIM('הדבקת לידים'!A1434)))</f>
        <v/>
      </c>
      <c r="B1434" s="0" t="str">
        <f aca="false">IF('הדבקת לידים'!B1434="","",IF(ISNUMBER('הדבקת לידים'!B1434),IF(הגדרות!$E$3&gt;0,TEXT('הדבקת לידים'!B1434,REPT("0",הגדרות!$E$3)),TEXT('הדבקת לידים'!B1434,"0")),TRIM('הדבקת לידים'!B1434)))</f>
        <v/>
      </c>
      <c r="C1434" s="0" t="n">
        <f aca="false">IF(OR(A1434&lt;&gt;"",B1434&lt;&gt;""),1,0)</f>
        <v>0</v>
      </c>
      <c r="D1434" s="0" t="str">
        <f aca="false">IF(C1434=1,MOD(ABS(SIN(ROW()*12.9898+'הדבקת לידים'!$F$2*78.233+IFERROR(--RIGHT(A1434,6),LEN(A1434))*0.0137+IFERROR(--RIGHT(B1434,6),LEN(B1434))*0.0071))*43758.5453,1),"")</f>
        <v/>
      </c>
      <c r="E1434" s="0" t="str">
        <f aca="false">IF(C1434=1,INT(MOD(ABS(SIN(D1434*7919.123+ROW()*0.618+'הדבקת לידים'!$F$2*1.3))*43758.5453,1)*1000000)*10000+ROW(),"")</f>
        <v/>
      </c>
      <c r="F1434" s="0" t="str">
        <f aca="false">IF(E1434="","",RANK(E1434,$E$2:$E$5001,1))</f>
        <v/>
      </c>
      <c r="G1434" s="0" t="n">
        <f aca="false">IF(A1434="",0,IF(SUMPRODUCT(--($A$2:$A$5001=A1434))&gt;1,1,0))</f>
        <v>0</v>
      </c>
      <c r="H1434" s="0" t="n">
        <f aca="false">ROW()-1</f>
        <v>1433</v>
      </c>
      <c r="I1434" s="0" t="str">
        <f aca="false">IF(OR(הגדרות!$E$6=0,H1434&gt;הגדרות!$E$5),"",IF(H1434-1&lt;הגדרות!$E$8*(הגדרות!$E$7+1),INT((H1434-1)/(הגדרות!$E$7+1)),הגדרות!$E$8+INT((H1434-1-הגדרות!$E$8*(הגדרות!$E$7+1))/הגדרות!$E$7)))</f>
        <v/>
      </c>
      <c r="J1434" s="0" t="str">
        <f aca="false">IF(I1434="","",IF(H1434-1&lt;הגדרות!$E$8*(הגדרות!$E$7+1),MOD(H1434-1,הגדרות!$E$7+1),MOD(H1434-1-הגדרות!$E$8*(הגדרות!$E$7+1),הגדרות!$E$7)))</f>
        <v/>
      </c>
      <c r="K1434" s="0" t="str">
        <f aca="false">IF(I1434="","",J1434*הגדרות!$E$6+I1434+1)</f>
        <v/>
      </c>
      <c r="L1434" s="0" t="str">
        <f aca="false">IF(K1434="","",MATCH(K1434,$F$2:$F$5001,0))</f>
        <v/>
      </c>
      <c r="M1434" s="0" t="str">
        <f aca="false">IF(I1434="","",INDEX(הגדרות!$A$2:$A$21,MOD(I1434+הגדרות!$E$9,הגדרות!$E$6)+1))</f>
        <v/>
      </c>
    </row>
    <row r="1435" customFormat="false" ht="15" hidden="false" customHeight="false" outlineLevel="0" collapsed="false">
      <c r="A1435" s="0" t="str">
        <f aca="false">IF('הדבקת לידים'!A1435="","",IF(ISNUMBER('הדבקת לידים'!A1435),IF(הגדרות!$E$2&gt;0,TEXT('הדבקת לידים'!A1435,REPT("0",הגדרות!$E$2)),TEXT('הדבקת לידים'!A1435,"0")),TRIM('הדבקת לידים'!A1435)))</f>
        <v/>
      </c>
      <c r="B1435" s="0" t="str">
        <f aca="false">IF('הדבקת לידים'!B1435="","",IF(ISNUMBER('הדבקת לידים'!B1435),IF(הגדרות!$E$3&gt;0,TEXT('הדבקת לידים'!B1435,REPT("0",הגדרות!$E$3)),TEXT('הדבקת לידים'!B1435,"0")),TRIM('הדבקת לידים'!B1435)))</f>
        <v/>
      </c>
      <c r="C1435" s="0" t="n">
        <f aca="false">IF(OR(A1435&lt;&gt;"",B1435&lt;&gt;""),1,0)</f>
        <v>0</v>
      </c>
      <c r="D1435" s="0" t="str">
        <f aca="false">IF(C1435=1,MOD(ABS(SIN(ROW()*12.9898+'הדבקת לידים'!$F$2*78.233+IFERROR(--RIGHT(A1435,6),LEN(A1435))*0.0137+IFERROR(--RIGHT(B1435,6),LEN(B1435))*0.0071))*43758.5453,1),"")</f>
        <v/>
      </c>
      <c r="E1435" s="0" t="str">
        <f aca="false">IF(C1435=1,INT(MOD(ABS(SIN(D1435*7919.123+ROW()*0.618+'הדבקת לידים'!$F$2*1.3))*43758.5453,1)*1000000)*10000+ROW(),"")</f>
        <v/>
      </c>
      <c r="F1435" s="0" t="str">
        <f aca="false">IF(E1435="","",RANK(E1435,$E$2:$E$5001,1))</f>
        <v/>
      </c>
      <c r="G1435" s="0" t="n">
        <f aca="false">IF(A1435="",0,IF(SUMPRODUCT(--($A$2:$A$5001=A1435))&gt;1,1,0))</f>
        <v>0</v>
      </c>
      <c r="H1435" s="0" t="n">
        <f aca="false">ROW()-1</f>
        <v>1434</v>
      </c>
      <c r="I1435" s="0" t="str">
        <f aca="false">IF(OR(הגדרות!$E$6=0,H1435&gt;הגדרות!$E$5),"",IF(H1435-1&lt;הגדרות!$E$8*(הגדרות!$E$7+1),INT((H1435-1)/(הגדרות!$E$7+1)),הגדרות!$E$8+INT((H1435-1-הגדרות!$E$8*(הגדרות!$E$7+1))/הגדרות!$E$7)))</f>
        <v/>
      </c>
      <c r="J1435" s="0" t="str">
        <f aca="false">IF(I1435="","",IF(H1435-1&lt;הגדרות!$E$8*(הגדרות!$E$7+1),MOD(H1435-1,הגדרות!$E$7+1),MOD(H1435-1-הגדרות!$E$8*(הגדרות!$E$7+1),הגדרות!$E$7)))</f>
        <v/>
      </c>
      <c r="K1435" s="0" t="str">
        <f aca="false">IF(I1435="","",J1435*הגדרות!$E$6+I1435+1)</f>
        <v/>
      </c>
      <c r="L1435" s="0" t="str">
        <f aca="false">IF(K1435="","",MATCH(K1435,$F$2:$F$5001,0))</f>
        <v/>
      </c>
      <c r="M1435" s="0" t="str">
        <f aca="false">IF(I1435="","",INDEX(הגדרות!$A$2:$A$21,MOD(I1435+הגדרות!$E$9,הגדרות!$E$6)+1))</f>
        <v/>
      </c>
    </row>
    <row r="1436" customFormat="false" ht="15" hidden="false" customHeight="false" outlineLevel="0" collapsed="false">
      <c r="A1436" s="0" t="str">
        <f aca="false">IF('הדבקת לידים'!A1436="","",IF(ISNUMBER('הדבקת לידים'!A1436),IF(הגדרות!$E$2&gt;0,TEXT('הדבקת לידים'!A1436,REPT("0",הגדרות!$E$2)),TEXT('הדבקת לידים'!A1436,"0")),TRIM('הדבקת לידים'!A1436)))</f>
        <v/>
      </c>
      <c r="B1436" s="0" t="str">
        <f aca="false">IF('הדבקת לידים'!B1436="","",IF(ISNUMBER('הדבקת לידים'!B1436),IF(הגדרות!$E$3&gt;0,TEXT('הדבקת לידים'!B1436,REPT("0",הגדרות!$E$3)),TEXT('הדבקת לידים'!B1436,"0")),TRIM('הדבקת לידים'!B1436)))</f>
        <v/>
      </c>
      <c r="C1436" s="0" t="n">
        <f aca="false">IF(OR(A1436&lt;&gt;"",B1436&lt;&gt;""),1,0)</f>
        <v>0</v>
      </c>
      <c r="D1436" s="0" t="str">
        <f aca="false">IF(C1436=1,MOD(ABS(SIN(ROW()*12.9898+'הדבקת לידים'!$F$2*78.233+IFERROR(--RIGHT(A1436,6),LEN(A1436))*0.0137+IFERROR(--RIGHT(B1436,6),LEN(B1436))*0.0071))*43758.5453,1),"")</f>
        <v/>
      </c>
      <c r="E1436" s="0" t="str">
        <f aca="false">IF(C1436=1,INT(MOD(ABS(SIN(D1436*7919.123+ROW()*0.618+'הדבקת לידים'!$F$2*1.3))*43758.5453,1)*1000000)*10000+ROW(),"")</f>
        <v/>
      </c>
      <c r="F1436" s="0" t="str">
        <f aca="false">IF(E1436="","",RANK(E1436,$E$2:$E$5001,1))</f>
        <v/>
      </c>
      <c r="G1436" s="0" t="n">
        <f aca="false">IF(A1436="",0,IF(SUMPRODUCT(--($A$2:$A$5001=A1436))&gt;1,1,0))</f>
        <v>0</v>
      </c>
      <c r="H1436" s="0" t="n">
        <f aca="false">ROW()-1</f>
        <v>1435</v>
      </c>
      <c r="I1436" s="0" t="str">
        <f aca="false">IF(OR(הגדרות!$E$6=0,H1436&gt;הגדרות!$E$5),"",IF(H1436-1&lt;הגדרות!$E$8*(הגדרות!$E$7+1),INT((H1436-1)/(הגדרות!$E$7+1)),הגדרות!$E$8+INT((H1436-1-הגדרות!$E$8*(הגדרות!$E$7+1))/הגדרות!$E$7)))</f>
        <v/>
      </c>
      <c r="J1436" s="0" t="str">
        <f aca="false">IF(I1436="","",IF(H1436-1&lt;הגדרות!$E$8*(הגדרות!$E$7+1),MOD(H1436-1,הגדרות!$E$7+1),MOD(H1436-1-הגדרות!$E$8*(הגדרות!$E$7+1),הגדרות!$E$7)))</f>
        <v/>
      </c>
      <c r="K1436" s="0" t="str">
        <f aca="false">IF(I1436="","",J1436*הגדרות!$E$6+I1436+1)</f>
        <v/>
      </c>
      <c r="L1436" s="0" t="str">
        <f aca="false">IF(K1436="","",MATCH(K1436,$F$2:$F$5001,0))</f>
        <v/>
      </c>
      <c r="M1436" s="0" t="str">
        <f aca="false">IF(I1436="","",INDEX(הגדרות!$A$2:$A$21,MOD(I1436+הגדרות!$E$9,הגדרות!$E$6)+1))</f>
        <v/>
      </c>
    </row>
    <row r="1437" customFormat="false" ht="15" hidden="false" customHeight="false" outlineLevel="0" collapsed="false">
      <c r="A1437" s="0" t="str">
        <f aca="false">IF('הדבקת לידים'!A1437="","",IF(ISNUMBER('הדבקת לידים'!A1437),IF(הגדרות!$E$2&gt;0,TEXT('הדבקת לידים'!A1437,REPT("0",הגדרות!$E$2)),TEXT('הדבקת לידים'!A1437,"0")),TRIM('הדבקת לידים'!A1437)))</f>
        <v/>
      </c>
      <c r="B1437" s="0" t="str">
        <f aca="false">IF('הדבקת לידים'!B1437="","",IF(ISNUMBER('הדבקת לידים'!B1437),IF(הגדרות!$E$3&gt;0,TEXT('הדבקת לידים'!B1437,REPT("0",הגדרות!$E$3)),TEXT('הדבקת לידים'!B1437,"0")),TRIM('הדבקת לידים'!B1437)))</f>
        <v/>
      </c>
      <c r="C1437" s="0" t="n">
        <f aca="false">IF(OR(A1437&lt;&gt;"",B1437&lt;&gt;""),1,0)</f>
        <v>0</v>
      </c>
      <c r="D1437" s="0" t="str">
        <f aca="false">IF(C1437=1,MOD(ABS(SIN(ROW()*12.9898+'הדבקת לידים'!$F$2*78.233+IFERROR(--RIGHT(A1437,6),LEN(A1437))*0.0137+IFERROR(--RIGHT(B1437,6),LEN(B1437))*0.0071))*43758.5453,1),"")</f>
        <v/>
      </c>
      <c r="E1437" s="0" t="str">
        <f aca="false">IF(C1437=1,INT(MOD(ABS(SIN(D1437*7919.123+ROW()*0.618+'הדבקת לידים'!$F$2*1.3))*43758.5453,1)*1000000)*10000+ROW(),"")</f>
        <v/>
      </c>
      <c r="F1437" s="0" t="str">
        <f aca="false">IF(E1437="","",RANK(E1437,$E$2:$E$5001,1))</f>
        <v/>
      </c>
      <c r="G1437" s="0" t="n">
        <f aca="false">IF(A1437="",0,IF(SUMPRODUCT(--($A$2:$A$5001=A1437))&gt;1,1,0))</f>
        <v>0</v>
      </c>
      <c r="H1437" s="0" t="n">
        <f aca="false">ROW()-1</f>
        <v>1436</v>
      </c>
      <c r="I1437" s="0" t="str">
        <f aca="false">IF(OR(הגדרות!$E$6=0,H1437&gt;הגדרות!$E$5),"",IF(H1437-1&lt;הגדרות!$E$8*(הגדרות!$E$7+1),INT((H1437-1)/(הגדרות!$E$7+1)),הגדרות!$E$8+INT((H1437-1-הגדרות!$E$8*(הגדרות!$E$7+1))/הגדרות!$E$7)))</f>
        <v/>
      </c>
      <c r="J1437" s="0" t="str">
        <f aca="false">IF(I1437="","",IF(H1437-1&lt;הגדרות!$E$8*(הגדרות!$E$7+1),MOD(H1437-1,הגדרות!$E$7+1),MOD(H1437-1-הגדרות!$E$8*(הגדרות!$E$7+1),הגדרות!$E$7)))</f>
        <v/>
      </c>
      <c r="K1437" s="0" t="str">
        <f aca="false">IF(I1437="","",J1437*הגדרות!$E$6+I1437+1)</f>
        <v/>
      </c>
      <c r="L1437" s="0" t="str">
        <f aca="false">IF(K1437="","",MATCH(K1437,$F$2:$F$5001,0))</f>
        <v/>
      </c>
      <c r="M1437" s="0" t="str">
        <f aca="false">IF(I1437="","",INDEX(הגדרות!$A$2:$A$21,MOD(I1437+הגדרות!$E$9,הגדרות!$E$6)+1))</f>
        <v/>
      </c>
    </row>
    <row r="1438" customFormat="false" ht="15" hidden="false" customHeight="false" outlineLevel="0" collapsed="false">
      <c r="A1438" s="0" t="str">
        <f aca="false">IF('הדבקת לידים'!A1438="","",IF(ISNUMBER('הדבקת לידים'!A1438),IF(הגדרות!$E$2&gt;0,TEXT('הדבקת לידים'!A1438,REPT("0",הגדרות!$E$2)),TEXT('הדבקת לידים'!A1438,"0")),TRIM('הדבקת לידים'!A1438)))</f>
        <v/>
      </c>
      <c r="B1438" s="0" t="str">
        <f aca="false">IF('הדבקת לידים'!B1438="","",IF(ISNUMBER('הדבקת לידים'!B1438),IF(הגדרות!$E$3&gt;0,TEXT('הדבקת לידים'!B1438,REPT("0",הגדרות!$E$3)),TEXT('הדבקת לידים'!B1438,"0")),TRIM('הדבקת לידים'!B1438)))</f>
        <v/>
      </c>
      <c r="C1438" s="0" t="n">
        <f aca="false">IF(OR(A1438&lt;&gt;"",B1438&lt;&gt;""),1,0)</f>
        <v>0</v>
      </c>
      <c r="D1438" s="0" t="str">
        <f aca="false">IF(C1438=1,MOD(ABS(SIN(ROW()*12.9898+'הדבקת לידים'!$F$2*78.233+IFERROR(--RIGHT(A1438,6),LEN(A1438))*0.0137+IFERROR(--RIGHT(B1438,6),LEN(B1438))*0.0071))*43758.5453,1),"")</f>
        <v/>
      </c>
      <c r="E1438" s="0" t="str">
        <f aca="false">IF(C1438=1,INT(MOD(ABS(SIN(D1438*7919.123+ROW()*0.618+'הדבקת לידים'!$F$2*1.3))*43758.5453,1)*1000000)*10000+ROW(),"")</f>
        <v/>
      </c>
      <c r="F1438" s="0" t="str">
        <f aca="false">IF(E1438="","",RANK(E1438,$E$2:$E$5001,1))</f>
        <v/>
      </c>
      <c r="G1438" s="0" t="n">
        <f aca="false">IF(A1438="",0,IF(SUMPRODUCT(--($A$2:$A$5001=A1438))&gt;1,1,0))</f>
        <v>0</v>
      </c>
      <c r="H1438" s="0" t="n">
        <f aca="false">ROW()-1</f>
        <v>1437</v>
      </c>
      <c r="I1438" s="0" t="str">
        <f aca="false">IF(OR(הגדרות!$E$6=0,H1438&gt;הגדרות!$E$5),"",IF(H1438-1&lt;הגדרות!$E$8*(הגדרות!$E$7+1),INT((H1438-1)/(הגדרות!$E$7+1)),הגדרות!$E$8+INT((H1438-1-הגדרות!$E$8*(הגדרות!$E$7+1))/הגדרות!$E$7)))</f>
        <v/>
      </c>
      <c r="J1438" s="0" t="str">
        <f aca="false">IF(I1438="","",IF(H1438-1&lt;הגדרות!$E$8*(הגדרות!$E$7+1),MOD(H1438-1,הגדרות!$E$7+1),MOD(H1438-1-הגדרות!$E$8*(הגדרות!$E$7+1),הגדרות!$E$7)))</f>
        <v/>
      </c>
      <c r="K1438" s="0" t="str">
        <f aca="false">IF(I1438="","",J1438*הגדרות!$E$6+I1438+1)</f>
        <v/>
      </c>
      <c r="L1438" s="0" t="str">
        <f aca="false">IF(K1438="","",MATCH(K1438,$F$2:$F$5001,0))</f>
        <v/>
      </c>
      <c r="M1438" s="0" t="str">
        <f aca="false">IF(I1438="","",INDEX(הגדרות!$A$2:$A$21,MOD(I1438+הגדרות!$E$9,הגדרות!$E$6)+1))</f>
        <v/>
      </c>
    </row>
    <row r="1439" customFormat="false" ht="15" hidden="false" customHeight="false" outlineLevel="0" collapsed="false">
      <c r="A1439" s="0" t="str">
        <f aca="false">IF('הדבקת לידים'!A1439="","",IF(ISNUMBER('הדבקת לידים'!A1439),IF(הגדרות!$E$2&gt;0,TEXT('הדבקת לידים'!A1439,REPT("0",הגדרות!$E$2)),TEXT('הדבקת לידים'!A1439,"0")),TRIM('הדבקת לידים'!A1439)))</f>
        <v/>
      </c>
      <c r="B1439" s="0" t="str">
        <f aca="false">IF('הדבקת לידים'!B1439="","",IF(ISNUMBER('הדבקת לידים'!B1439),IF(הגדרות!$E$3&gt;0,TEXT('הדבקת לידים'!B1439,REPT("0",הגדרות!$E$3)),TEXT('הדבקת לידים'!B1439,"0")),TRIM('הדבקת לידים'!B1439)))</f>
        <v/>
      </c>
      <c r="C1439" s="0" t="n">
        <f aca="false">IF(OR(A1439&lt;&gt;"",B1439&lt;&gt;""),1,0)</f>
        <v>0</v>
      </c>
      <c r="D1439" s="0" t="str">
        <f aca="false">IF(C1439=1,MOD(ABS(SIN(ROW()*12.9898+'הדבקת לידים'!$F$2*78.233+IFERROR(--RIGHT(A1439,6),LEN(A1439))*0.0137+IFERROR(--RIGHT(B1439,6),LEN(B1439))*0.0071))*43758.5453,1),"")</f>
        <v/>
      </c>
      <c r="E1439" s="0" t="str">
        <f aca="false">IF(C1439=1,INT(MOD(ABS(SIN(D1439*7919.123+ROW()*0.618+'הדבקת לידים'!$F$2*1.3))*43758.5453,1)*1000000)*10000+ROW(),"")</f>
        <v/>
      </c>
      <c r="F1439" s="0" t="str">
        <f aca="false">IF(E1439="","",RANK(E1439,$E$2:$E$5001,1))</f>
        <v/>
      </c>
      <c r="G1439" s="0" t="n">
        <f aca="false">IF(A1439="",0,IF(SUMPRODUCT(--($A$2:$A$5001=A1439))&gt;1,1,0))</f>
        <v>0</v>
      </c>
      <c r="H1439" s="0" t="n">
        <f aca="false">ROW()-1</f>
        <v>1438</v>
      </c>
      <c r="I1439" s="0" t="str">
        <f aca="false">IF(OR(הגדרות!$E$6=0,H1439&gt;הגדרות!$E$5),"",IF(H1439-1&lt;הגדרות!$E$8*(הגדרות!$E$7+1),INT((H1439-1)/(הגדרות!$E$7+1)),הגדרות!$E$8+INT((H1439-1-הגדרות!$E$8*(הגדרות!$E$7+1))/הגדרות!$E$7)))</f>
        <v/>
      </c>
      <c r="J1439" s="0" t="str">
        <f aca="false">IF(I1439="","",IF(H1439-1&lt;הגדרות!$E$8*(הגדרות!$E$7+1),MOD(H1439-1,הגדרות!$E$7+1),MOD(H1439-1-הגדרות!$E$8*(הגדרות!$E$7+1),הגדרות!$E$7)))</f>
        <v/>
      </c>
      <c r="K1439" s="0" t="str">
        <f aca="false">IF(I1439="","",J1439*הגדרות!$E$6+I1439+1)</f>
        <v/>
      </c>
      <c r="L1439" s="0" t="str">
        <f aca="false">IF(K1439="","",MATCH(K1439,$F$2:$F$5001,0))</f>
        <v/>
      </c>
      <c r="M1439" s="0" t="str">
        <f aca="false">IF(I1439="","",INDEX(הגדרות!$A$2:$A$21,MOD(I1439+הגדרות!$E$9,הגדרות!$E$6)+1))</f>
        <v/>
      </c>
    </row>
    <row r="1440" customFormat="false" ht="15" hidden="false" customHeight="false" outlineLevel="0" collapsed="false">
      <c r="A1440" s="0" t="str">
        <f aca="false">IF('הדבקת לידים'!A1440="","",IF(ISNUMBER('הדבקת לידים'!A1440),IF(הגדרות!$E$2&gt;0,TEXT('הדבקת לידים'!A1440,REPT("0",הגדרות!$E$2)),TEXT('הדבקת לידים'!A1440,"0")),TRIM('הדבקת לידים'!A1440)))</f>
        <v/>
      </c>
      <c r="B1440" s="0" t="str">
        <f aca="false">IF('הדבקת לידים'!B1440="","",IF(ISNUMBER('הדבקת לידים'!B1440),IF(הגדרות!$E$3&gt;0,TEXT('הדבקת לידים'!B1440,REPT("0",הגדרות!$E$3)),TEXT('הדבקת לידים'!B1440,"0")),TRIM('הדבקת לידים'!B1440)))</f>
        <v/>
      </c>
      <c r="C1440" s="0" t="n">
        <f aca="false">IF(OR(A1440&lt;&gt;"",B1440&lt;&gt;""),1,0)</f>
        <v>0</v>
      </c>
      <c r="D1440" s="0" t="str">
        <f aca="false">IF(C1440=1,MOD(ABS(SIN(ROW()*12.9898+'הדבקת לידים'!$F$2*78.233+IFERROR(--RIGHT(A1440,6),LEN(A1440))*0.0137+IFERROR(--RIGHT(B1440,6),LEN(B1440))*0.0071))*43758.5453,1),"")</f>
        <v/>
      </c>
      <c r="E1440" s="0" t="str">
        <f aca="false">IF(C1440=1,INT(MOD(ABS(SIN(D1440*7919.123+ROW()*0.618+'הדבקת לידים'!$F$2*1.3))*43758.5453,1)*1000000)*10000+ROW(),"")</f>
        <v/>
      </c>
      <c r="F1440" s="0" t="str">
        <f aca="false">IF(E1440="","",RANK(E1440,$E$2:$E$5001,1))</f>
        <v/>
      </c>
      <c r="G1440" s="0" t="n">
        <f aca="false">IF(A1440="",0,IF(SUMPRODUCT(--($A$2:$A$5001=A1440))&gt;1,1,0))</f>
        <v>0</v>
      </c>
      <c r="H1440" s="0" t="n">
        <f aca="false">ROW()-1</f>
        <v>1439</v>
      </c>
      <c r="I1440" s="0" t="str">
        <f aca="false">IF(OR(הגדרות!$E$6=0,H1440&gt;הגדרות!$E$5),"",IF(H1440-1&lt;הגדרות!$E$8*(הגדרות!$E$7+1),INT((H1440-1)/(הגדרות!$E$7+1)),הגדרות!$E$8+INT((H1440-1-הגדרות!$E$8*(הגדרות!$E$7+1))/הגדרות!$E$7)))</f>
        <v/>
      </c>
      <c r="J1440" s="0" t="str">
        <f aca="false">IF(I1440="","",IF(H1440-1&lt;הגדרות!$E$8*(הגדרות!$E$7+1),MOD(H1440-1,הגדרות!$E$7+1),MOD(H1440-1-הגדרות!$E$8*(הגדרות!$E$7+1),הגדרות!$E$7)))</f>
        <v/>
      </c>
      <c r="K1440" s="0" t="str">
        <f aca="false">IF(I1440="","",J1440*הגדרות!$E$6+I1440+1)</f>
        <v/>
      </c>
      <c r="L1440" s="0" t="str">
        <f aca="false">IF(K1440="","",MATCH(K1440,$F$2:$F$5001,0))</f>
        <v/>
      </c>
      <c r="M1440" s="0" t="str">
        <f aca="false">IF(I1440="","",INDEX(הגדרות!$A$2:$A$21,MOD(I1440+הגדרות!$E$9,הגדרות!$E$6)+1))</f>
        <v/>
      </c>
    </row>
    <row r="1441" customFormat="false" ht="15" hidden="false" customHeight="false" outlineLevel="0" collapsed="false">
      <c r="A1441" s="0" t="str">
        <f aca="false">IF('הדבקת לידים'!A1441="","",IF(ISNUMBER('הדבקת לידים'!A1441),IF(הגדרות!$E$2&gt;0,TEXT('הדבקת לידים'!A1441,REPT("0",הגדרות!$E$2)),TEXT('הדבקת לידים'!A1441,"0")),TRIM('הדבקת לידים'!A1441)))</f>
        <v/>
      </c>
      <c r="B1441" s="0" t="str">
        <f aca="false">IF('הדבקת לידים'!B1441="","",IF(ISNUMBER('הדבקת לידים'!B1441),IF(הגדרות!$E$3&gt;0,TEXT('הדבקת לידים'!B1441,REPT("0",הגדרות!$E$3)),TEXT('הדבקת לידים'!B1441,"0")),TRIM('הדבקת לידים'!B1441)))</f>
        <v/>
      </c>
      <c r="C1441" s="0" t="n">
        <f aca="false">IF(OR(A1441&lt;&gt;"",B1441&lt;&gt;""),1,0)</f>
        <v>0</v>
      </c>
      <c r="D1441" s="0" t="str">
        <f aca="false">IF(C1441=1,MOD(ABS(SIN(ROW()*12.9898+'הדבקת לידים'!$F$2*78.233+IFERROR(--RIGHT(A1441,6),LEN(A1441))*0.0137+IFERROR(--RIGHT(B1441,6),LEN(B1441))*0.0071))*43758.5453,1),"")</f>
        <v/>
      </c>
      <c r="E1441" s="0" t="str">
        <f aca="false">IF(C1441=1,INT(MOD(ABS(SIN(D1441*7919.123+ROW()*0.618+'הדבקת לידים'!$F$2*1.3))*43758.5453,1)*1000000)*10000+ROW(),"")</f>
        <v/>
      </c>
      <c r="F1441" s="0" t="str">
        <f aca="false">IF(E1441="","",RANK(E1441,$E$2:$E$5001,1))</f>
        <v/>
      </c>
      <c r="G1441" s="0" t="n">
        <f aca="false">IF(A1441="",0,IF(SUMPRODUCT(--($A$2:$A$5001=A1441))&gt;1,1,0))</f>
        <v>0</v>
      </c>
      <c r="H1441" s="0" t="n">
        <f aca="false">ROW()-1</f>
        <v>1440</v>
      </c>
      <c r="I1441" s="0" t="str">
        <f aca="false">IF(OR(הגדרות!$E$6=0,H1441&gt;הגדרות!$E$5),"",IF(H1441-1&lt;הגדרות!$E$8*(הגדרות!$E$7+1),INT((H1441-1)/(הגדרות!$E$7+1)),הגדרות!$E$8+INT((H1441-1-הגדרות!$E$8*(הגדרות!$E$7+1))/הגדרות!$E$7)))</f>
        <v/>
      </c>
      <c r="J1441" s="0" t="str">
        <f aca="false">IF(I1441="","",IF(H1441-1&lt;הגדרות!$E$8*(הגדרות!$E$7+1),MOD(H1441-1,הגדרות!$E$7+1),MOD(H1441-1-הגדרות!$E$8*(הגדרות!$E$7+1),הגדרות!$E$7)))</f>
        <v/>
      </c>
      <c r="K1441" s="0" t="str">
        <f aca="false">IF(I1441="","",J1441*הגדרות!$E$6+I1441+1)</f>
        <v/>
      </c>
      <c r="L1441" s="0" t="str">
        <f aca="false">IF(K1441="","",MATCH(K1441,$F$2:$F$5001,0))</f>
        <v/>
      </c>
      <c r="M1441" s="0" t="str">
        <f aca="false">IF(I1441="","",INDEX(הגדרות!$A$2:$A$21,MOD(I1441+הגדרות!$E$9,הגדרות!$E$6)+1))</f>
        <v/>
      </c>
    </row>
    <row r="1442" customFormat="false" ht="15" hidden="false" customHeight="false" outlineLevel="0" collapsed="false">
      <c r="A1442" s="0" t="str">
        <f aca="false">IF('הדבקת לידים'!A1442="","",IF(ISNUMBER('הדבקת לידים'!A1442),IF(הגדרות!$E$2&gt;0,TEXT('הדבקת לידים'!A1442,REPT("0",הגדרות!$E$2)),TEXT('הדבקת לידים'!A1442,"0")),TRIM('הדבקת לידים'!A1442)))</f>
        <v/>
      </c>
      <c r="B1442" s="0" t="str">
        <f aca="false">IF('הדבקת לידים'!B1442="","",IF(ISNUMBER('הדבקת לידים'!B1442),IF(הגדרות!$E$3&gt;0,TEXT('הדבקת לידים'!B1442,REPT("0",הגדרות!$E$3)),TEXT('הדבקת לידים'!B1442,"0")),TRIM('הדבקת לידים'!B1442)))</f>
        <v/>
      </c>
      <c r="C1442" s="0" t="n">
        <f aca="false">IF(OR(A1442&lt;&gt;"",B1442&lt;&gt;""),1,0)</f>
        <v>0</v>
      </c>
      <c r="D1442" s="0" t="str">
        <f aca="false">IF(C1442=1,MOD(ABS(SIN(ROW()*12.9898+'הדבקת לידים'!$F$2*78.233+IFERROR(--RIGHT(A1442,6),LEN(A1442))*0.0137+IFERROR(--RIGHT(B1442,6),LEN(B1442))*0.0071))*43758.5453,1),"")</f>
        <v/>
      </c>
      <c r="E1442" s="0" t="str">
        <f aca="false">IF(C1442=1,INT(MOD(ABS(SIN(D1442*7919.123+ROW()*0.618+'הדבקת לידים'!$F$2*1.3))*43758.5453,1)*1000000)*10000+ROW(),"")</f>
        <v/>
      </c>
      <c r="F1442" s="0" t="str">
        <f aca="false">IF(E1442="","",RANK(E1442,$E$2:$E$5001,1))</f>
        <v/>
      </c>
      <c r="G1442" s="0" t="n">
        <f aca="false">IF(A1442="",0,IF(SUMPRODUCT(--($A$2:$A$5001=A1442))&gt;1,1,0))</f>
        <v>0</v>
      </c>
      <c r="H1442" s="0" t="n">
        <f aca="false">ROW()-1</f>
        <v>1441</v>
      </c>
      <c r="I1442" s="0" t="str">
        <f aca="false">IF(OR(הגדרות!$E$6=0,H1442&gt;הגדרות!$E$5),"",IF(H1442-1&lt;הגדרות!$E$8*(הגדרות!$E$7+1),INT((H1442-1)/(הגדרות!$E$7+1)),הגדרות!$E$8+INT((H1442-1-הגדרות!$E$8*(הגדרות!$E$7+1))/הגדרות!$E$7)))</f>
        <v/>
      </c>
      <c r="J1442" s="0" t="str">
        <f aca="false">IF(I1442="","",IF(H1442-1&lt;הגדרות!$E$8*(הגדרות!$E$7+1),MOD(H1442-1,הגדרות!$E$7+1),MOD(H1442-1-הגדרות!$E$8*(הגדרות!$E$7+1),הגדרות!$E$7)))</f>
        <v/>
      </c>
      <c r="K1442" s="0" t="str">
        <f aca="false">IF(I1442="","",J1442*הגדרות!$E$6+I1442+1)</f>
        <v/>
      </c>
      <c r="L1442" s="0" t="str">
        <f aca="false">IF(K1442="","",MATCH(K1442,$F$2:$F$5001,0))</f>
        <v/>
      </c>
      <c r="M1442" s="0" t="str">
        <f aca="false">IF(I1442="","",INDEX(הגדרות!$A$2:$A$21,MOD(I1442+הגדרות!$E$9,הגדרות!$E$6)+1))</f>
        <v/>
      </c>
    </row>
    <row r="1443" customFormat="false" ht="15" hidden="false" customHeight="false" outlineLevel="0" collapsed="false">
      <c r="A1443" s="0" t="str">
        <f aca="false">IF('הדבקת לידים'!A1443="","",IF(ISNUMBER('הדבקת לידים'!A1443),IF(הגדרות!$E$2&gt;0,TEXT('הדבקת לידים'!A1443,REPT("0",הגדרות!$E$2)),TEXT('הדבקת לידים'!A1443,"0")),TRIM('הדבקת לידים'!A1443)))</f>
        <v/>
      </c>
      <c r="B1443" s="0" t="str">
        <f aca="false">IF('הדבקת לידים'!B1443="","",IF(ISNUMBER('הדבקת לידים'!B1443),IF(הגדרות!$E$3&gt;0,TEXT('הדבקת לידים'!B1443,REPT("0",הגדרות!$E$3)),TEXT('הדבקת לידים'!B1443,"0")),TRIM('הדבקת לידים'!B1443)))</f>
        <v/>
      </c>
      <c r="C1443" s="0" t="n">
        <f aca="false">IF(OR(A1443&lt;&gt;"",B1443&lt;&gt;""),1,0)</f>
        <v>0</v>
      </c>
      <c r="D1443" s="0" t="str">
        <f aca="false">IF(C1443=1,MOD(ABS(SIN(ROW()*12.9898+'הדבקת לידים'!$F$2*78.233+IFERROR(--RIGHT(A1443,6),LEN(A1443))*0.0137+IFERROR(--RIGHT(B1443,6),LEN(B1443))*0.0071))*43758.5453,1),"")</f>
        <v/>
      </c>
      <c r="E1443" s="0" t="str">
        <f aca="false">IF(C1443=1,INT(MOD(ABS(SIN(D1443*7919.123+ROW()*0.618+'הדבקת לידים'!$F$2*1.3))*43758.5453,1)*1000000)*10000+ROW(),"")</f>
        <v/>
      </c>
      <c r="F1443" s="0" t="str">
        <f aca="false">IF(E1443="","",RANK(E1443,$E$2:$E$5001,1))</f>
        <v/>
      </c>
      <c r="G1443" s="0" t="n">
        <f aca="false">IF(A1443="",0,IF(SUMPRODUCT(--($A$2:$A$5001=A1443))&gt;1,1,0))</f>
        <v>0</v>
      </c>
      <c r="H1443" s="0" t="n">
        <f aca="false">ROW()-1</f>
        <v>1442</v>
      </c>
      <c r="I1443" s="0" t="str">
        <f aca="false">IF(OR(הגדרות!$E$6=0,H1443&gt;הגדרות!$E$5),"",IF(H1443-1&lt;הגדרות!$E$8*(הגדרות!$E$7+1),INT((H1443-1)/(הגדרות!$E$7+1)),הגדרות!$E$8+INT((H1443-1-הגדרות!$E$8*(הגדרות!$E$7+1))/הגדרות!$E$7)))</f>
        <v/>
      </c>
      <c r="J1443" s="0" t="str">
        <f aca="false">IF(I1443="","",IF(H1443-1&lt;הגדרות!$E$8*(הגדרות!$E$7+1),MOD(H1443-1,הגדרות!$E$7+1),MOD(H1443-1-הגדרות!$E$8*(הגדרות!$E$7+1),הגדרות!$E$7)))</f>
        <v/>
      </c>
      <c r="K1443" s="0" t="str">
        <f aca="false">IF(I1443="","",J1443*הגדרות!$E$6+I1443+1)</f>
        <v/>
      </c>
      <c r="L1443" s="0" t="str">
        <f aca="false">IF(K1443="","",MATCH(K1443,$F$2:$F$5001,0))</f>
        <v/>
      </c>
      <c r="M1443" s="0" t="str">
        <f aca="false">IF(I1443="","",INDEX(הגדרות!$A$2:$A$21,MOD(I1443+הגדרות!$E$9,הגדרות!$E$6)+1))</f>
        <v/>
      </c>
    </row>
    <row r="1444" customFormat="false" ht="15" hidden="false" customHeight="false" outlineLevel="0" collapsed="false">
      <c r="A1444" s="0" t="str">
        <f aca="false">IF('הדבקת לידים'!A1444="","",IF(ISNUMBER('הדבקת לידים'!A1444),IF(הגדרות!$E$2&gt;0,TEXT('הדבקת לידים'!A1444,REPT("0",הגדרות!$E$2)),TEXT('הדבקת לידים'!A1444,"0")),TRIM('הדבקת לידים'!A1444)))</f>
        <v/>
      </c>
      <c r="B1444" s="0" t="str">
        <f aca="false">IF('הדבקת לידים'!B1444="","",IF(ISNUMBER('הדבקת לידים'!B1444),IF(הגדרות!$E$3&gt;0,TEXT('הדבקת לידים'!B1444,REPT("0",הגדרות!$E$3)),TEXT('הדבקת לידים'!B1444,"0")),TRIM('הדבקת לידים'!B1444)))</f>
        <v/>
      </c>
      <c r="C1444" s="0" t="n">
        <f aca="false">IF(OR(A1444&lt;&gt;"",B1444&lt;&gt;""),1,0)</f>
        <v>0</v>
      </c>
      <c r="D1444" s="0" t="str">
        <f aca="false">IF(C1444=1,MOD(ABS(SIN(ROW()*12.9898+'הדבקת לידים'!$F$2*78.233+IFERROR(--RIGHT(A1444,6),LEN(A1444))*0.0137+IFERROR(--RIGHT(B1444,6),LEN(B1444))*0.0071))*43758.5453,1),"")</f>
        <v/>
      </c>
      <c r="E1444" s="0" t="str">
        <f aca="false">IF(C1444=1,INT(MOD(ABS(SIN(D1444*7919.123+ROW()*0.618+'הדבקת לידים'!$F$2*1.3))*43758.5453,1)*1000000)*10000+ROW(),"")</f>
        <v/>
      </c>
      <c r="F1444" s="0" t="str">
        <f aca="false">IF(E1444="","",RANK(E1444,$E$2:$E$5001,1))</f>
        <v/>
      </c>
      <c r="G1444" s="0" t="n">
        <f aca="false">IF(A1444="",0,IF(SUMPRODUCT(--($A$2:$A$5001=A1444))&gt;1,1,0))</f>
        <v>0</v>
      </c>
      <c r="H1444" s="0" t="n">
        <f aca="false">ROW()-1</f>
        <v>1443</v>
      </c>
      <c r="I1444" s="0" t="str">
        <f aca="false">IF(OR(הגדרות!$E$6=0,H1444&gt;הגדרות!$E$5),"",IF(H1444-1&lt;הגדרות!$E$8*(הגדרות!$E$7+1),INT((H1444-1)/(הגדרות!$E$7+1)),הגדרות!$E$8+INT((H1444-1-הגדרות!$E$8*(הגדרות!$E$7+1))/הגדרות!$E$7)))</f>
        <v/>
      </c>
      <c r="J1444" s="0" t="str">
        <f aca="false">IF(I1444="","",IF(H1444-1&lt;הגדרות!$E$8*(הגדרות!$E$7+1),MOD(H1444-1,הגדרות!$E$7+1),MOD(H1444-1-הגדרות!$E$8*(הגדרות!$E$7+1),הגדרות!$E$7)))</f>
        <v/>
      </c>
      <c r="K1444" s="0" t="str">
        <f aca="false">IF(I1444="","",J1444*הגדרות!$E$6+I1444+1)</f>
        <v/>
      </c>
      <c r="L1444" s="0" t="str">
        <f aca="false">IF(K1444="","",MATCH(K1444,$F$2:$F$5001,0))</f>
        <v/>
      </c>
      <c r="M1444" s="0" t="str">
        <f aca="false">IF(I1444="","",INDEX(הגדרות!$A$2:$A$21,MOD(I1444+הגדרות!$E$9,הגדרות!$E$6)+1))</f>
        <v/>
      </c>
    </row>
    <row r="1445" customFormat="false" ht="15" hidden="false" customHeight="false" outlineLevel="0" collapsed="false">
      <c r="A1445" s="0" t="str">
        <f aca="false">IF('הדבקת לידים'!A1445="","",IF(ISNUMBER('הדבקת לידים'!A1445),IF(הגדרות!$E$2&gt;0,TEXT('הדבקת לידים'!A1445,REPT("0",הגדרות!$E$2)),TEXT('הדבקת לידים'!A1445,"0")),TRIM('הדבקת לידים'!A1445)))</f>
        <v/>
      </c>
      <c r="B1445" s="0" t="str">
        <f aca="false">IF('הדבקת לידים'!B1445="","",IF(ISNUMBER('הדבקת לידים'!B1445),IF(הגדרות!$E$3&gt;0,TEXT('הדבקת לידים'!B1445,REPT("0",הגדרות!$E$3)),TEXT('הדבקת לידים'!B1445,"0")),TRIM('הדבקת לידים'!B1445)))</f>
        <v/>
      </c>
      <c r="C1445" s="0" t="n">
        <f aca="false">IF(OR(A1445&lt;&gt;"",B1445&lt;&gt;""),1,0)</f>
        <v>0</v>
      </c>
      <c r="D1445" s="0" t="str">
        <f aca="false">IF(C1445=1,MOD(ABS(SIN(ROW()*12.9898+'הדבקת לידים'!$F$2*78.233+IFERROR(--RIGHT(A1445,6),LEN(A1445))*0.0137+IFERROR(--RIGHT(B1445,6),LEN(B1445))*0.0071))*43758.5453,1),"")</f>
        <v/>
      </c>
      <c r="E1445" s="0" t="str">
        <f aca="false">IF(C1445=1,INT(MOD(ABS(SIN(D1445*7919.123+ROW()*0.618+'הדבקת לידים'!$F$2*1.3))*43758.5453,1)*1000000)*10000+ROW(),"")</f>
        <v/>
      </c>
      <c r="F1445" s="0" t="str">
        <f aca="false">IF(E1445="","",RANK(E1445,$E$2:$E$5001,1))</f>
        <v/>
      </c>
      <c r="G1445" s="0" t="n">
        <f aca="false">IF(A1445="",0,IF(SUMPRODUCT(--($A$2:$A$5001=A1445))&gt;1,1,0))</f>
        <v>0</v>
      </c>
      <c r="H1445" s="0" t="n">
        <f aca="false">ROW()-1</f>
        <v>1444</v>
      </c>
      <c r="I1445" s="0" t="str">
        <f aca="false">IF(OR(הגדרות!$E$6=0,H1445&gt;הגדרות!$E$5),"",IF(H1445-1&lt;הגדרות!$E$8*(הגדרות!$E$7+1),INT((H1445-1)/(הגדרות!$E$7+1)),הגדרות!$E$8+INT((H1445-1-הגדרות!$E$8*(הגדרות!$E$7+1))/הגדרות!$E$7)))</f>
        <v/>
      </c>
      <c r="J1445" s="0" t="str">
        <f aca="false">IF(I1445="","",IF(H1445-1&lt;הגדרות!$E$8*(הגדרות!$E$7+1),MOD(H1445-1,הגדרות!$E$7+1),MOD(H1445-1-הגדרות!$E$8*(הגדרות!$E$7+1),הגדרות!$E$7)))</f>
        <v/>
      </c>
      <c r="K1445" s="0" t="str">
        <f aca="false">IF(I1445="","",J1445*הגדרות!$E$6+I1445+1)</f>
        <v/>
      </c>
      <c r="L1445" s="0" t="str">
        <f aca="false">IF(K1445="","",MATCH(K1445,$F$2:$F$5001,0))</f>
        <v/>
      </c>
      <c r="M1445" s="0" t="str">
        <f aca="false">IF(I1445="","",INDEX(הגדרות!$A$2:$A$21,MOD(I1445+הגדרות!$E$9,הגדרות!$E$6)+1))</f>
        <v/>
      </c>
    </row>
    <row r="1446" customFormat="false" ht="15" hidden="false" customHeight="false" outlineLevel="0" collapsed="false">
      <c r="A1446" s="0" t="str">
        <f aca="false">IF('הדבקת לידים'!A1446="","",IF(ISNUMBER('הדבקת לידים'!A1446),IF(הגדרות!$E$2&gt;0,TEXT('הדבקת לידים'!A1446,REPT("0",הגדרות!$E$2)),TEXT('הדבקת לידים'!A1446,"0")),TRIM('הדבקת לידים'!A1446)))</f>
        <v/>
      </c>
      <c r="B1446" s="0" t="str">
        <f aca="false">IF('הדבקת לידים'!B1446="","",IF(ISNUMBER('הדבקת לידים'!B1446),IF(הגדרות!$E$3&gt;0,TEXT('הדבקת לידים'!B1446,REPT("0",הגדרות!$E$3)),TEXT('הדבקת לידים'!B1446,"0")),TRIM('הדבקת לידים'!B1446)))</f>
        <v/>
      </c>
      <c r="C1446" s="0" t="n">
        <f aca="false">IF(OR(A1446&lt;&gt;"",B1446&lt;&gt;""),1,0)</f>
        <v>0</v>
      </c>
      <c r="D1446" s="0" t="str">
        <f aca="false">IF(C1446=1,MOD(ABS(SIN(ROW()*12.9898+'הדבקת לידים'!$F$2*78.233+IFERROR(--RIGHT(A1446,6),LEN(A1446))*0.0137+IFERROR(--RIGHT(B1446,6),LEN(B1446))*0.0071))*43758.5453,1),"")</f>
        <v/>
      </c>
      <c r="E1446" s="0" t="str">
        <f aca="false">IF(C1446=1,INT(MOD(ABS(SIN(D1446*7919.123+ROW()*0.618+'הדבקת לידים'!$F$2*1.3))*43758.5453,1)*1000000)*10000+ROW(),"")</f>
        <v/>
      </c>
      <c r="F1446" s="0" t="str">
        <f aca="false">IF(E1446="","",RANK(E1446,$E$2:$E$5001,1))</f>
        <v/>
      </c>
      <c r="G1446" s="0" t="n">
        <f aca="false">IF(A1446="",0,IF(SUMPRODUCT(--($A$2:$A$5001=A1446))&gt;1,1,0))</f>
        <v>0</v>
      </c>
      <c r="H1446" s="0" t="n">
        <f aca="false">ROW()-1</f>
        <v>1445</v>
      </c>
      <c r="I1446" s="0" t="str">
        <f aca="false">IF(OR(הגדרות!$E$6=0,H1446&gt;הגדרות!$E$5),"",IF(H1446-1&lt;הגדרות!$E$8*(הגדרות!$E$7+1),INT((H1446-1)/(הגדרות!$E$7+1)),הגדרות!$E$8+INT((H1446-1-הגדרות!$E$8*(הגדרות!$E$7+1))/הגדרות!$E$7)))</f>
        <v/>
      </c>
      <c r="J1446" s="0" t="str">
        <f aca="false">IF(I1446="","",IF(H1446-1&lt;הגדרות!$E$8*(הגדרות!$E$7+1),MOD(H1446-1,הגדרות!$E$7+1),MOD(H1446-1-הגדרות!$E$8*(הגדרות!$E$7+1),הגדרות!$E$7)))</f>
        <v/>
      </c>
      <c r="K1446" s="0" t="str">
        <f aca="false">IF(I1446="","",J1446*הגדרות!$E$6+I1446+1)</f>
        <v/>
      </c>
      <c r="L1446" s="0" t="str">
        <f aca="false">IF(K1446="","",MATCH(K1446,$F$2:$F$5001,0))</f>
        <v/>
      </c>
      <c r="M1446" s="0" t="str">
        <f aca="false">IF(I1446="","",INDEX(הגדרות!$A$2:$A$21,MOD(I1446+הגדרות!$E$9,הגדרות!$E$6)+1))</f>
        <v/>
      </c>
    </row>
    <row r="1447" customFormat="false" ht="15" hidden="false" customHeight="false" outlineLevel="0" collapsed="false">
      <c r="A1447" s="0" t="str">
        <f aca="false">IF('הדבקת לידים'!A1447="","",IF(ISNUMBER('הדבקת לידים'!A1447),IF(הגדרות!$E$2&gt;0,TEXT('הדבקת לידים'!A1447,REPT("0",הגדרות!$E$2)),TEXT('הדבקת לידים'!A1447,"0")),TRIM('הדבקת לידים'!A1447)))</f>
        <v/>
      </c>
      <c r="B1447" s="0" t="str">
        <f aca="false">IF('הדבקת לידים'!B1447="","",IF(ISNUMBER('הדבקת לידים'!B1447),IF(הגדרות!$E$3&gt;0,TEXT('הדבקת לידים'!B1447,REPT("0",הגדרות!$E$3)),TEXT('הדבקת לידים'!B1447,"0")),TRIM('הדבקת לידים'!B1447)))</f>
        <v/>
      </c>
      <c r="C1447" s="0" t="n">
        <f aca="false">IF(OR(A1447&lt;&gt;"",B1447&lt;&gt;""),1,0)</f>
        <v>0</v>
      </c>
      <c r="D1447" s="0" t="str">
        <f aca="false">IF(C1447=1,MOD(ABS(SIN(ROW()*12.9898+'הדבקת לידים'!$F$2*78.233+IFERROR(--RIGHT(A1447,6),LEN(A1447))*0.0137+IFERROR(--RIGHT(B1447,6),LEN(B1447))*0.0071))*43758.5453,1),"")</f>
        <v/>
      </c>
      <c r="E1447" s="0" t="str">
        <f aca="false">IF(C1447=1,INT(MOD(ABS(SIN(D1447*7919.123+ROW()*0.618+'הדבקת לידים'!$F$2*1.3))*43758.5453,1)*1000000)*10000+ROW(),"")</f>
        <v/>
      </c>
      <c r="F1447" s="0" t="str">
        <f aca="false">IF(E1447="","",RANK(E1447,$E$2:$E$5001,1))</f>
        <v/>
      </c>
      <c r="G1447" s="0" t="n">
        <f aca="false">IF(A1447="",0,IF(SUMPRODUCT(--($A$2:$A$5001=A1447))&gt;1,1,0))</f>
        <v>0</v>
      </c>
      <c r="H1447" s="0" t="n">
        <f aca="false">ROW()-1</f>
        <v>1446</v>
      </c>
      <c r="I1447" s="0" t="str">
        <f aca="false">IF(OR(הגדרות!$E$6=0,H1447&gt;הגדרות!$E$5),"",IF(H1447-1&lt;הגדרות!$E$8*(הגדרות!$E$7+1),INT((H1447-1)/(הגדרות!$E$7+1)),הגדרות!$E$8+INT((H1447-1-הגדרות!$E$8*(הגדרות!$E$7+1))/הגדרות!$E$7)))</f>
        <v/>
      </c>
      <c r="J1447" s="0" t="str">
        <f aca="false">IF(I1447="","",IF(H1447-1&lt;הגדרות!$E$8*(הגדרות!$E$7+1),MOD(H1447-1,הגדרות!$E$7+1),MOD(H1447-1-הגדרות!$E$8*(הגדרות!$E$7+1),הגדרות!$E$7)))</f>
        <v/>
      </c>
      <c r="K1447" s="0" t="str">
        <f aca="false">IF(I1447="","",J1447*הגדרות!$E$6+I1447+1)</f>
        <v/>
      </c>
      <c r="L1447" s="0" t="str">
        <f aca="false">IF(K1447="","",MATCH(K1447,$F$2:$F$5001,0))</f>
        <v/>
      </c>
      <c r="M1447" s="0" t="str">
        <f aca="false">IF(I1447="","",INDEX(הגדרות!$A$2:$A$21,MOD(I1447+הגדרות!$E$9,הגדרות!$E$6)+1))</f>
        <v/>
      </c>
    </row>
    <row r="1448" customFormat="false" ht="15" hidden="false" customHeight="false" outlineLevel="0" collapsed="false">
      <c r="A1448" s="0" t="str">
        <f aca="false">IF('הדבקת לידים'!A1448="","",IF(ISNUMBER('הדבקת לידים'!A1448),IF(הגדרות!$E$2&gt;0,TEXT('הדבקת לידים'!A1448,REPT("0",הגדרות!$E$2)),TEXT('הדבקת לידים'!A1448,"0")),TRIM('הדבקת לידים'!A1448)))</f>
        <v/>
      </c>
      <c r="B1448" s="0" t="str">
        <f aca="false">IF('הדבקת לידים'!B1448="","",IF(ISNUMBER('הדבקת לידים'!B1448),IF(הגדרות!$E$3&gt;0,TEXT('הדבקת לידים'!B1448,REPT("0",הגדרות!$E$3)),TEXT('הדבקת לידים'!B1448,"0")),TRIM('הדבקת לידים'!B1448)))</f>
        <v/>
      </c>
      <c r="C1448" s="0" t="n">
        <f aca="false">IF(OR(A1448&lt;&gt;"",B1448&lt;&gt;""),1,0)</f>
        <v>0</v>
      </c>
      <c r="D1448" s="0" t="str">
        <f aca="false">IF(C1448=1,MOD(ABS(SIN(ROW()*12.9898+'הדבקת לידים'!$F$2*78.233+IFERROR(--RIGHT(A1448,6),LEN(A1448))*0.0137+IFERROR(--RIGHT(B1448,6),LEN(B1448))*0.0071))*43758.5453,1),"")</f>
        <v/>
      </c>
      <c r="E1448" s="0" t="str">
        <f aca="false">IF(C1448=1,INT(MOD(ABS(SIN(D1448*7919.123+ROW()*0.618+'הדבקת לידים'!$F$2*1.3))*43758.5453,1)*1000000)*10000+ROW(),"")</f>
        <v/>
      </c>
      <c r="F1448" s="0" t="str">
        <f aca="false">IF(E1448="","",RANK(E1448,$E$2:$E$5001,1))</f>
        <v/>
      </c>
      <c r="G1448" s="0" t="n">
        <f aca="false">IF(A1448="",0,IF(SUMPRODUCT(--($A$2:$A$5001=A1448))&gt;1,1,0))</f>
        <v>0</v>
      </c>
      <c r="H1448" s="0" t="n">
        <f aca="false">ROW()-1</f>
        <v>1447</v>
      </c>
      <c r="I1448" s="0" t="str">
        <f aca="false">IF(OR(הגדרות!$E$6=0,H1448&gt;הגדרות!$E$5),"",IF(H1448-1&lt;הגדרות!$E$8*(הגדרות!$E$7+1),INT((H1448-1)/(הגדרות!$E$7+1)),הגדרות!$E$8+INT((H1448-1-הגדרות!$E$8*(הגדרות!$E$7+1))/הגדרות!$E$7)))</f>
        <v/>
      </c>
      <c r="J1448" s="0" t="str">
        <f aca="false">IF(I1448="","",IF(H1448-1&lt;הגדרות!$E$8*(הגדרות!$E$7+1),MOD(H1448-1,הגדרות!$E$7+1),MOD(H1448-1-הגדרות!$E$8*(הגדרות!$E$7+1),הגדרות!$E$7)))</f>
        <v/>
      </c>
      <c r="K1448" s="0" t="str">
        <f aca="false">IF(I1448="","",J1448*הגדרות!$E$6+I1448+1)</f>
        <v/>
      </c>
      <c r="L1448" s="0" t="str">
        <f aca="false">IF(K1448="","",MATCH(K1448,$F$2:$F$5001,0))</f>
        <v/>
      </c>
      <c r="M1448" s="0" t="str">
        <f aca="false">IF(I1448="","",INDEX(הגדרות!$A$2:$A$21,MOD(I1448+הגדרות!$E$9,הגדרות!$E$6)+1))</f>
        <v/>
      </c>
    </row>
    <row r="1449" customFormat="false" ht="15" hidden="false" customHeight="false" outlineLevel="0" collapsed="false">
      <c r="A1449" s="0" t="str">
        <f aca="false">IF('הדבקת לידים'!A1449="","",IF(ISNUMBER('הדבקת לידים'!A1449),IF(הגדרות!$E$2&gt;0,TEXT('הדבקת לידים'!A1449,REPT("0",הגדרות!$E$2)),TEXT('הדבקת לידים'!A1449,"0")),TRIM('הדבקת לידים'!A1449)))</f>
        <v/>
      </c>
      <c r="B1449" s="0" t="str">
        <f aca="false">IF('הדבקת לידים'!B1449="","",IF(ISNUMBER('הדבקת לידים'!B1449),IF(הגדרות!$E$3&gt;0,TEXT('הדבקת לידים'!B1449,REPT("0",הגדרות!$E$3)),TEXT('הדבקת לידים'!B1449,"0")),TRIM('הדבקת לידים'!B1449)))</f>
        <v/>
      </c>
      <c r="C1449" s="0" t="n">
        <f aca="false">IF(OR(A1449&lt;&gt;"",B1449&lt;&gt;""),1,0)</f>
        <v>0</v>
      </c>
      <c r="D1449" s="0" t="str">
        <f aca="false">IF(C1449=1,MOD(ABS(SIN(ROW()*12.9898+'הדבקת לידים'!$F$2*78.233+IFERROR(--RIGHT(A1449,6),LEN(A1449))*0.0137+IFERROR(--RIGHT(B1449,6),LEN(B1449))*0.0071))*43758.5453,1),"")</f>
        <v/>
      </c>
      <c r="E1449" s="0" t="str">
        <f aca="false">IF(C1449=1,INT(MOD(ABS(SIN(D1449*7919.123+ROW()*0.618+'הדבקת לידים'!$F$2*1.3))*43758.5453,1)*1000000)*10000+ROW(),"")</f>
        <v/>
      </c>
      <c r="F1449" s="0" t="str">
        <f aca="false">IF(E1449="","",RANK(E1449,$E$2:$E$5001,1))</f>
        <v/>
      </c>
      <c r="G1449" s="0" t="n">
        <f aca="false">IF(A1449="",0,IF(SUMPRODUCT(--($A$2:$A$5001=A1449))&gt;1,1,0))</f>
        <v>0</v>
      </c>
      <c r="H1449" s="0" t="n">
        <f aca="false">ROW()-1</f>
        <v>1448</v>
      </c>
      <c r="I1449" s="0" t="str">
        <f aca="false">IF(OR(הגדרות!$E$6=0,H1449&gt;הגדרות!$E$5),"",IF(H1449-1&lt;הגדרות!$E$8*(הגדרות!$E$7+1),INT((H1449-1)/(הגדרות!$E$7+1)),הגדרות!$E$8+INT((H1449-1-הגדרות!$E$8*(הגדרות!$E$7+1))/הגדרות!$E$7)))</f>
        <v/>
      </c>
      <c r="J1449" s="0" t="str">
        <f aca="false">IF(I1449="","",IF(H1449-1&lt;הגדרות!$E$8*(הגדרות!$E$7+1),MOD(H1449-1,הגדרות!$E$7+1),MOD(H1449-1-הגדרות!$E$8*(הגדרות!$E$7+1),הגדרות!$E$7)))</f>
        <v/>
      </c>
      <c r="K1449" s="0" t="str">
        <f aca="false">IF(I1449="","",J1449*הגדרות!$E$6+I1449+1)</f>
        <v/>
      </c>
      <c r="L1449" s="0" t="str">
        <f aca="false">IF(K1449="","",MATCH(K1449,$F$2:$F$5001,0))</f>
        <v/>
      </c>
      <c r="M1449" s="0" t="str">
        <f aca="false">IF(I1449="","",INDEX(הגדרות!$A$2:$A$21,MOD(I1449+הגדרות!$E$9,הגדרות!$E$6)+1))</f>
        <v/>
      </c>
    </row>
    <row r="1450" customFormat="false" ht="15" hidden="false" customHeight="false" outlineLevel="0" collapsed="false">
      <c r="A1450" s="0" t="str">
        <f aca="false">IF('הדבקת לידים'!A1450="","",IF(ISNUMBER('הדבקת לידים'!A1450),IF(הגדרות!$E$2&gt;0,TEXT('הדבקת לידים'!A1450,REPT("0",הגדרות!$E$2)),TEXT('הדבקת לידים'!A1450,"0")),TRIM('הדבקת לידים'!A1450)))</f>
        <v/>
      </c>
      <c r="B1450" s="0" t="str">
        <f aca="false">IF('הדבקת לידים'!B1450="","",IF(ISNUMBER('הדבקת לידים'!B1450),IF(הגדרות!$E$3&gt;0,TEXT('הדבקת לידים'!B1450,REPT("0",הגדרות!$E$3)),TEXT('הדבקת לידים'!B1450,"0")),TRIM('הדבקת לידים'!B1450)))</f>
        <v/>
      </c>
      <c r="C1450" s="0" t="n">
        <f aca="false">IF(OR(A1450&lt;&gt;"",B1450&lt;&gt;""),1,0)</f>
        <v>0</v>
      </c>
      <c r="D1450" s="0" t="str">
        <f aca="false">IF(C1450=1,MOD(ABS(SIN(ROW()*12.9898+'הדבקת לידים'!$F$2*78.233+IFERROR(--RIGHT(A1450,6),LEN(A1450))*0.0137+IFERROR(--RIGHT(B1450,6),LEN(B1450))*0.0071))*43758.5453,1),"")</f>
        <v/>
      </c>
      <c r="E1450" s="0" t="str">
        <f aca="false">IF(C1450=1,INT(MOD(ABS(SIN(D1450*7919.123+ROW()*0.618+'הדבקת לידים'!$F$2*1.3))*43758.5453,1)*1000000)*10000+ROW(),"")</f>
        <v/>
      </c>
      <c r="F1450" s="0" t="str">
        <f aca="false">IF(E1450="","",RANK(E1450,$E$2:$E$5001,1))</f>
        <v/>
      </c>
      <c r="G1450" s="0" t="n">
        <f aca="false">IF(A1450="",0,IF(SUMPRODUCT(--($A$2:$A$5001=A1450))&gt;1,1,0))</f>
        <v>0</v>
      </c>
      <c r="H1450" s="0" t="n">
        <f aca="false">ROW()-1</f>
        <v>1449</v>
      </c>
      <c r="I1450" s="0" t="str">
        <f aca="false">IF(OR(הגדרות!$E$6=0,H1450&gt;הגדרות!$E$5),"",IF(H1450-1&lt;הגדרות!$E$8*(הגדרות!$E$7+1),INT((H1450-1)/(הגדרות!$E$7+1)),הגדרות!$E$8+INT((H1450-1-הגדרות!$E$8*(הגדרות!$E$7+1))/הגדרות!$E$7)))</f>
        <v/>
      </c>
      <c r="J1450" s="0" t="str">
        <f aca="false">IF(I1450="","",IF(H1450-1&lt;הגדרות!$E$8*(הגדרות!$E$7+1),MOD(H1450-1,הגדרות!$E$7+1),MOD(H1450-1-הגדרות!$E$8*(הגדרות!$E$7+1),הגדרות!$E$7)))</f>
        <v/>
      </c>
      <c r="K1450" s="0" t="str">
        <f aca="false">IF(I1450="","",J1450*הגדרות!$E$6+I1450+1)</f>
        <v/>
      </c>
      <c r="L1450" s="0" t="str">
        <f aca="false">IF(K1450="","",MATCH(K1450,$F$2:$F$5001,0))</f>
        <v/>
      </c>
      <c r="M1450" s="0" t="str">
        <f aca="false">IF(I1450="","",INDEX(הגדרות!$A$2:$A$21,MOD(I1450+הגדרות!$E$9,הגדרות!$E$6)+1))</f>
        <v/>
      </c>
    </row>
    <row r="1451" customFormat="false" ht="15" hidden="false" customHeight="false" outlineLevel="0" collapsed="false">
      <c r="A1451" s="0" t="str">
        <f aca="false">IF('הדבקת לידים'!A1451="","",IF(ISNUMBER('הדבקת לידים'!A1451),IF(הגדרות!$E$2&gt;0,TEXT('הדבקת לידים'!A1451,REPT("0",הגדרות!$E$2)),TEXT('הדבקת לידים'!A1451,"0")),TRIM('הדבקת לידים'!A1451)))</f>
        <v/>
      </c>
      <c r="B1451" s="0" t="str">
        <f aca="false">IF('הדבקת לידים'!B1451="","",IF(ISNUMBER('הדבקת לידים'!B1451),IF(הגדרות!$E$3&gt;0,TEXT('הדבקת לידים'!B1451,REPT("0",הגדרות!$E$3)),TEXT('הדבקת לידים'!B1451,"0")),TRIM('הדבקת לידים'!B1451)))</f>
        <v/>
      </c>
      <c r="C1451" s="0" t="n">
        <f aca="false">IF(OR(A1451&lt;&gt;"",B1451&lt;&gt;""),1,0)</f>
        <v>0</v>
      </c>
      <c r="D1451" s="0" t="str">
        <f aca="false">IF(C1451=1,MOD(ABS(SIN(ROW()*12.9898+'הדבקת לידים'!$F$2*78.233+IFERROR(--RIGHT(A1451,6),LEN(A1451))*0.0137+IFERROR(--RIGHT(B1451,6),LEN(B1451))*0.0071))*43758.5453,1),"")</f>
        <v/>
      </c>
      <c r="E1451" s="0" t="str">
        <f aca="false">IF(C1451=1,INT(MOD(ABS(SIN(D1451*7919.123+ROW()*0.618+'הדבקת לידים'!$F$2*1.3))*43758.5453,1)*1000000)*10000+ROW(),"")</f>
        <v/>
      </c>
      <c r="F1451" s="0" t="str">
        <f aca="false">IF(E1451="","",RANK(E1451,$E$2:$E$5001,1))</f>
        <v/>
      </c>
      <c r="G1451" s="0" t="n">
        <f aca="false">IF(A1451="",0,IF(SUMPRODUCT(--($A$2:$A$5001=A1451))&gt;1,1,0))</f>
        <v>0</v>
      </c>
      <c r="H1451" s="0" t="n">
        <f aca="false">ROW()-1</f>
        <v>1450</v>
      </c>
      <c r="I1451" s="0" t="str">
        <f aca="false">IF(OR(הגדרות!$E$6=0,H1451&gt;הגדרות!$E$5),"",IF(H1451-1&lt;הגדרות!$E$8*(הגדרות!$E$7+1),INT((H1451-1)/(הגדרות!$E$7+1)),הגדרות!$E$8+INT((H1451-1-הגדרות!$E$8*(הגדרות!$E$7+1))/הגדרות!$E$7)))</f>
        <v/>
      </c>
      <c r="J1451" s="0" t="str">
        <f aca="false">IF(I1451="","",IF(H1451-1&lt;הגדרות!$E$8*(הגדרות!$E$7+1),MOD(H1451-1,הגדרות!$E$7+1),MOD(H1451-1-הגדרות!$E$8*(הגדרות!$E$7+1),הגדרות!$E$7)))</f>
        <v/>
      </c>
      <c r="K1451" s="0" t="str">
        <f aca="false">IF(I1451="","",J1451*הגדרות!$E$6+I1451+1)</f>
        <v/>
      </c>
      <c r="L1451" s="0" t="str">
        <f aca="false">IF(K1451="","",MATCH(K1451,$F$2:$F$5001,0))</f>
        <v/>
      </c>
      <c r="M1451" s="0" t="str">
        <f aca="false">IF(I1451="","",INDEX(הגדרות!$A$2:$A$21,MOD(I1451+הגדרות!$E$9,הגדרות!$E$6)+1))</f>
        <v/>
      </c>
    </row>
    <row r="1452" customFormat="false" ht="15" hidden="false" customHeight="false" outlineLevel="0" collapsed="false">
      <c r="A1452" s="0" t="str">
        <f aca="false">IF('הדבקת לידים'!A1452="","",IF(ISNUMBER('הדבקת לידים'!A1452),IF(הגדרות!$E$2&gt;0,TEXT('הדבקת לידים'!A1452,REPT("0",הגדרות!$E$2)),TEXT('הדבקת לידים'!A1452,"0")),TRIM('הדבקת לידים'!A1452)))</f>
        <v/>
      </c>
      <c r="B1452" s="0" t="str">
        <f aca="false">IF('הדבקת לידים'!B1452="","",IF(ISNUMBER('הדבקת לידים'!B1452),IF(הגדרות!$E$3&gt;0,TEXT('הדבקת לידים'!B1452,REPT("0",הגדרות!$E$3)),TEXT('הדבקת לידים'!B1452,"0")),TRIM('הדבקת לידים'!B1452)))</f>
        <v/>
      </c>
      <c r="C1452" s="0" t="n">
        <f aca="false">IF(OR(A1452&lt;&gt;"",B1452&lt;&gt;""),1,0)</f>
        <v>0</v>
      </c>
      <c r="D1452" s="0" t="str">
        <f aca="false">IF(C1452=1,MOD(ABS(SIN(ROW()*12.9898+'הדבקת לידים'!$F$2*78.233+IFERROR(--RIGHT(A1452,6),LEN(A1452))*0.0137+IFERROR(--RIGHT(B1452,6),LEN(B1452))*0.0071))*43758.5453,1),"")</f>
        <v/>
      </c>
      <c r="E1452" s="0" t="str">
        <f aca="false">IF(C1452=1,INT(MOD(ABS(SIN(D1452*7919.123+ROW()*0.618+'הדבקת לידים'!$F$2*1.3))*43758.5453,1)*1000000)*10000+ROW(),"")</f>
        <v/>
      </c>
      <c r="F1452" s="0" t="str">
        <f aca="false">IF(E1452="","",RANK(E1452,$E$2:$E$5001,1))</f>
        <v/>
      </c>
      <c r="G1452" s="0" t="n">
        <f aca="false">IF(A1452="",0,IF(SUMPRODUCT(--($A$2:$A$5001=A1452))&gt;1,1,0))</f>
        <v>0</v>
      </c>
      <c r="H1452" s="0" t="n">
        <f aca="false">ROW()-1</f>
        <v>1451</v>
      </c>
      <c r="I1452" s="0" t="str">
        <f aca="false">IF(OR(הגדרות!$E$6=0,H1452&gt;הגדרות!$E$5),"",IF(H1452-1&lt;הגדרות!$E$8*(הגדרות!$E$7+1),INT((H1452-1)/(הגדרות!$E$7+1)),הגדרות!$E$8+INT((H1452-1-הגדרות!$E$8*(הגדרות!$E$7+1))/הגדרות!$E$7)))</f>
        <v/>
      </c>
      <c r="J1452" s="0" t="str">
        <f aca="false">IF(I1452="","",IF(H1452-1&lt;הגדרות!$E$8*(הגדרות!$E$7+1),MOD(H1452-1,הגדרות!$E$7+1),MOD(H1452-1-הגדרות!$E$8*(הגדרות!$E$7+1),הגדרות!$E$7)))</f>
        <v/>
      </c>
      <c r="K1452" s="0" t="str">
        <f aca="false">IF(I1452="","",J1452*הגדרות!$E$6+I1452+1)</f>
        <v/>
      </c>
      <c r="L1452" s="0" t="str">
        <f aca="false">IF(K1452="","",MATCH(K1452,$F$2:$F$5001,0))</f>
        <v/>
      </c>
      <c r="M1452" s="0" t="str">
        <f aca="false">IF(I1452="","",INDEX(הגדרות!$A$2:$A$21,MOD(I1452+הגדרות!$E$9,הגדרות!$E$6)+1))</f>
        <v/>
      </c>
    </row>
    <row r="1453" customFormat="false" ht="15" hidden="false" customHeight="false" outlineLevel="0" collapsed="false">
      <c r="A1453" s="0" t="str">
        <f aca="false">IF('הדבקת לידים'!A1453="","",IF(ISNUMBER('הדבקת לידים'!A1453),IF(הגדרות!$E$2&gt;0,TEXT('הדבקת לידים'!A1453,REPT("0",הגדרות!$E$2)),TEXT('הדבקת לידים'!A1453,"0")),TRIM('הדבקת לידים'!A1453)))</f>
        <v/>
      </c>
      <c r="B1453" s="0" t="str">
        <f aca="false">IF('הדבקת לידים'!B1453="","",IF(ISNUMBER('הדבקת לידים'!B1453),IF(הגדרות!$E$3&gt;0,TEXT('הדבקת לידים'!B1453,REPT("0",הגדרות!$E$3)),TEXT('הדבקת לידים'!B1453,"0")),TRIM('הדבקת לידים'!B1453)))</f>
        <v/>
      </c>
      <c r="C1453" s="0" t="n">
        <f aca="false">IF(OR(A1453&lt;&gt;"",B1453&lt;&gt;""),1,0)</f>
        <v>0</v>
      </c>
      <c r="D1453" s="0" t="str">
        <f aca="false">IF(C1453=1,MOD(ABS(SIN(ROW()*12.9898+'הדבקת לידים'!$F$2*78.233+IFERROR(--RIGHT(A1453,6),LEN(A1453))*0.0137+IFERROR(--RIGHT(B1453,6),LEN(B1453))*0.0071))*43758.5453,1),"")</f>
        <v/>
      </c>
      <c r="E1453" s="0" t="str">
        <f aca="false">IF(C1453=1,INT(MOD(ABS(SIN(D1453*7919.123+ROW()*0.618+'הדבקת לידים'!$F$2*1.3))*43758.5453,1)*1000000)*10000+ROW(),"")</f>
        <v/>
      </c>
      <c r="F1453" s="0" t="str">
        <f aca="false">IF(E1453="","",RANK(E1453,$E$2:$E$5001,1))</f>
        <v/>
      </c>
      <c r="G1453" s="0" t="n">
        <f aca="false">IF(A1453="",0,IF(SUMPRODUCT(--($A$2:$A$5001=A1453))&gt;1,1,0))</f>
        <v>0</v>
      </c>
      <c r="H1453" s="0" t="n">
        <f aca="false">ROW()-1</f>
        <v>1452</v>
      </c>
      <c r="I1453" s="0" t="str">
        <f aca="false">IF(OR(הגדרות!$E$6=0,H1453&gt;הגדרות!$E$5),"",IF(H1453-1&lt;הגדרות!$E$8*(הגדרות!$E$7+1),INT((H1453-1)/(הגדרות!$E$7+1)),הגדרות!$E$8+INT((H1453-1-הגדרות!$E$8*(הגדרות!$E$7+1))/הגדרות!$E$7)))</f>
        <v/>
      </c>
      <c r="J1453" s="0" t="str">
        <f aca="false">IF(I1453="","",IF(H1453-1&lt;הגדרות!$E$8*(הגדרות!$E$7+1),MOD(H1453-1,הגדרות!$E$7+1),MOD(H1453-1-הגדרות!$E$8*(הגדרות!$E$7+1),הגדרות!$E$7)))</f>
        <v/>
      </c>
      <c r="K1453" s="0" t="str">
        <f aca="false">IF(I1453="","",J1453*הגדרות!$E$6+I1453+1)</f>
        <v/>
      </c>
      <c r="L1453" s="0" t="str">
        <f aca="false">IF(K1453="","",MATCH(K1453,$F$2:$F$5001,0))</f>
        <v/>
      </c>
      <c r="M1453" s="0" t="str">
        <f aca="false">IF(I1453="","",INDEX(הגדרות!$A$2:$A$21,MOD(I1453+הגדרות!$E$9,הגדרות!$E$6)+1))</f>
        <v/>
      </c>
    </row>
    <row r="1454" customFormat="false" ht="15" hidden="false" customHeight="false" outlineLevel="0" collapsed="false">
      <c r="A1454" s="0" t="str">
        <f aca="false">IF('הדבקת לידים'!A1454="","",IF(ISNUMBER('הדבקת לידים'!A1454),IF(הגדרות!$E$2&gt;0,TEXT('הדבקת לידים'!A1454,REPT("0",הגדרות!$E$2)),TEXT('הדבקת לידים'!A1454,"0")),TRIM('הדבקת לידים'!A1454)))</f>
        <v/>
      </c>
      <c r="B1454" s="0" t="str">
        <f aca="false">IF('הדבקת לידים'!B1454="","",IF(ISNUMBER('הדבקת לידים'!B1454),IF(הגדרות!$E$3&gt;0,TEXT('הדבקת לידים'!B1454,REPT("0",הגדרות!$E$3)),TEXT('הדבקת לידים'!B1454,"0")),TRIM('הדבקת לידים'!B1454)))</f>
        <v/>
      </c>
      <c r="C1454" s="0" t="n">
        <f aca="false">IF(OR(A1454&lt;&gt;"",B1454&lt;&gt;""),1,0)</f>
        <v>0</v>
      </c>
      <c r="D1454" s="0" t="str">
        <f aca="false">IF(C1454=1,MOD(ABS(SIN(ROW()*12.9898+'הדבקת לידים'!$F$2*78.233+IFERROR(--RIGHT(A1454,6),LEN(A1454))*0.0137+IFERROR(--RIGHT(B1454,6),LEN(B1454))*0.0071))*43758.5453,1),"")</f>
        <v/>
      </c>
      <c r="E1454" s="0" t="str">
        <f aca="false">IF(C1454=1,INT(MOD(ABS(SIN(D1454*7919.123+ROW()*0.618+'הדבקת לידים'!$F$2*1.3))*43758.5453,1)*1000000)*10000+ROW(),"")</f>
        <v/>
      </c>
      <c r="F1454" s="0" t="str">
        <f aca="false">IF(E1454="","",RANK(E1454,$E$2:$E$5001,1))</f>
        <v/>
      </c>
      <c r="G1454" s="0" t="n">
        <f aca="false">IF(A1454="",0,IF(SUMPRODUCT(--($A$2:$A$5001=A1454))&gt;1,1,0))</f>
        <v>0</v>
      </c>
      <c r="H1454" s="0" t="n">
        <f aca="false">ROW()-1</f>
        <v>1453</v>
      </c>
      <c r="I1454" s="0" t="str">
        <f aca="false">IF(OR(הגדרות!$E$6=0,H1454&gt;הגדרות!$E$5),"",IF(H1454-1&lt;הגדרות!$E$8*(הגדרות!$E$7+1),INT((H1454-1)/(הגדרות!$E$7+1)),הגדרות!$E$8+INT((H1454-1-הגדרות!$E$8*(הגדרות!$E$7+1))/הגדרות!$E$7)))</f>
        <v/>
      </c>
      <c r="J1454" s="0" t="str">
        <f aca="false">IF(I1454="","",IF(H1454-1&lt;הגדרות!$E$8*(הגדרות!$E$7+1),MOD(H1454-1,הגדרות!$E$7+1),MOD(H1454-1-הגדרות!$E$8*(הגדרות!$E$7+1),הגדרות!$E$7)))</f>
        <v/>
      </c>
      <c r="K1454" s="0" t="str">
        <f aca="false">IF(I1454="","",J1454*הגדרות!$E$6+I1454+1)</f>
        <v/>
      </c>
      <c r="L1454" s="0" t="str">
        <f aca="false">IF(K1454="","",MATCH(K1454,$F$2:$F$5001,0))</f>
        <v/>
      </c>
      <c r="M1454" s="0" t="str">
        <f aca="false">IF(I1454="","",INDEX(הגדרות!$A$2:$A$21,MOD(I1454+הגדרות!$E$9,הגדרות!$E$6)+1))</f>
        <v/>
      </c>
    </row>
    <row r="1455" customFormat="false" ht="15" hidden="false" customHeight="false" outlineLevel="0" collapsed="false">
      <c r="A1455" s="0" t="str">
        <f aca="false">IF('הדבקת לידים'!A1455="","",IF(ISNUMBER('הדבקת לידים'!A1455),IF(הגדרות!$E$2&gt;0,TEXT('הדבקת לידים'!A1455,REPT("0",הגדרות!$E$2)),TEXT('הדבקת לידים'!A1455,"0")),TRIM('הדבקת לידים'!A1455)))</f>
        <v/>
      </c>
      <c r="B1455" s="0" t="str">
        <f aca="false">IF('הדבקת לידים'!B1455="","",IF(ISNUMBER('הדבקת לידים'!B1455),IF(הגדרות!$E$3&gt;0,TEXT('הדבקת לידים'!B1455,REPT("0",הגדרות!$E$3)),TEXT('הדבקת לידים'!B1455,"0")),TRIM('הדבקת לידים'!B1455)))</f>
        <v/>
      </c>
      <c r="C1455" s="0" t="n">
        <f aca="false">IF(OR(A1455&lt;&gt;"",B1455&lt;&gt;""),1,0)</f>
        <v>0</v>
      </c>
      <c r="D1455" s="0" t="str">
        <f aca="false">IF(C1455=1,MOD(ABS(SIN(ROW()*12.9898+'הדבקת לידים'!$F$2*78.233+IFERROR(--RIGHT(A1455,6),LEN(A1455))*0.0137+IFERROR(--RIGHT(B1455,6),LEN(B1455))*0.0071))*43758.5453,1),"")</f>
        <v/>
      </c>
      <c r="E1455" s="0" t="str">
        <f aca="false">IF(C1455=1,INT(MOD(ABS(SIN(D1455*7919.123+ROW()*0.618+'הדבקת לידים'!$F$2*1.3))*43758.5453,1)*1000000)*10000+ROW(),"")</f>
        <v/>
      </c>
      <c r="F1455" s="0" t="str">
        <f aca="false">IF(E1455="","",RANK(E1455,$E$2:$E$5001,1))</f>
        <v/>
      </c>
      <c r="G1455" s="0" t="n">
        <f aca="false">IF(A1455="",0,IF(SUMPRODUCT(--($A$2:$A$5001=A1455))&gt;1,1,0))</f>
        <v>0</v>
      </c>
      <c r="H1455" s="0" t="n">
        <f aca="false">ROW()-1</f>
        <v>1454</v>
      </c>
      <c r="I1455" s="0" t="str">
        <f aca="false">IF(OR(הגדרות!$E$6=0,H1455&gt;הגדרות!$E$5),"",IF(H1455-1&lt;הגדרות!$E$8*(הגדרות!$E$7+1),INT((H1455-1)/(הגדרות!$E$7+1)),הגדרות!$E$8+INT((H1455-1-הגדרות!$E$8*(הגדרות!$E$7+1))/הגדרות!$E$7)))</f>
        <v/>
      </c>
      <c r="J1455" s="0" t="str">
        <f aca="false">IF(I1455="","",IF(H1455-1&lt;הגדרות!$E$8*(הגדרות!$E$7+1),MOD(H1455-1,הגדרות!$E$7+1),MOD(H1455-1-הגדרות!$E$8*(הגדרות!$E$7+1),הגדרות!$E$7)))</f>
        <v/>
      </c>
      <c r="K1455" s="0" t="str">
        <f aca="false">IF(I1455="","",J1455*הגדרות!$E$6+I1455+1)</f>
        <v/>
      </c>
      <c r="L1455" s="0" t="str">
        <f aca="false">IF(K1455="","",MATCH(K1455,$F$2:$F$5001,0))</f>
        <v/>
      </c>
      <c r="M1455" s="0" t="str">
        <f aca="false">IF(I1455="","",INDEX(הגדרות!$A$2:$A$21,MOD(I1455+הגדרות!$E$9,הגדרות!$E$6)+1))</f>
        <v/>
      </c>
    </row>
    <row r="1456" customFormat="false" ht="15" hidden="false" customHeight="false" outlineLevel="0" collapsed="false">
      <c r="A1456" s="0" t="str">
        <f aca="false">IF('הדבקת לידים'!A1456="","",IF(ISNUMBER('הדבקת לידים'!A1456),IF(הגדרות!$E$2&gt;0,TEXT('הדבקת לידים'!A1456,REPT("0",הגדרות!$E$2)),TEXT('הדבקת לידים'!A1456,"0")),TRIM('הדבקת לידים'!A1456)))</f>
        <v/>
      </c>
      <c r="B1456" s="0" t="str">
        <f aca="false">IF('הדבקת לידים'!B1456="","",IF(ISNUMBER('הדבקת לידים'!B1456),IF(הגדרות!$E$3&gt;0,TEXT('הדבקת לידים'!B1456,REPT("0",הגדרות!$E$3)),TEXT('הדבקת לידים'!B1456,"0")),TRIM('הדבקת לידים'!B1456)))</f>
        <v/>
      </c>
      <c r="C1456" s="0" t="n">
        <f aca="false">IF(OR(A1456&lt;&gt;"",B1456&lt;&gt;""),1,0)</f>
        <v>0</v>
      </c>
      <c r="D1456" s="0" t="str">
        <f aca="false">IF(C1456=1,MOD(ABS(SIN(ROW()*12.9898+'הדבקת לידים'!$F$2*78.233+IFERROR(--RIGHT(A1456,6),LEN(A1456))*0.0137+IFERROR(--RIGHT(B1456,6),LEN(B1456))*0.0071))*43758.5453,1),"")</f>
        <v/>
      </c>
      <c r="E1456" s="0" t="str">
        <f aca="false">IF(C1456=1,INT(MOD(ABS(SIN(D1456*7919.123+ROW()*0.618+'הדבקת לידים'!$F$2*1.3))*43758.5453,1)*1000000)*10000+ROW(),"")</f>
        <v/>
      </c>
      <c r="F1456" s="0" t="str">
        <f aca="false">IF(E1456="","",RANK(E1456,$E$2:$E$5001,1))</f>
        <v/>
      </c>
      <c r="G1456" s="0" t="n">
        <f aca="false">IF(A1456="",0,IF(SUMPRODUCT(--($A$2:$A$5001=A1456))&gt;1,1,0))</f>
        <v>0</v>
      </c>
      <c r="H1456" s="0" t="n">
        <f aca="false">ROW()-1</f>
        <v>1455</v>
      </c>
      <c r="I1456" s="0" t="str">
        <f aca="false">IF(OR(הגדרות!$E$6=0,H1456&gt;הגדרות!$E$5),"",IF(H1456-1&lt;הגדרות!$E$8*(הגדרות!$E$7+1),INT((H1456-1)/(הגדרות!$E$7+1)),הגדרות!$E$8+INT((H1456-1-הגדרות!$E$8*(הגדרות!$E$7+1))/הגדרות!$E$7)))</f>
        <v/>
      </c>
      <c r="J1456" s="0" t="str">
        <f aca="false">IF(I1456="","",IF(H1456-1&lt;הגדרות!$E$8*(הגדרות!$E$7+1),MOD(H1456-1,הגדרות!$E$7+1),MOD(H1456-1-הגדרות!$E$8*(הגדרות!$E$7+1),הגדרות!$E$7)))</f>
        <v/>
      </c>
      <c r="K1456" s="0" t="str">
        <f aca="false">IF(I1456="","",J1456*הגדרות!$E$6+I1456+1)</f>
        <v/>
      </c>
      <c r="L1456" s="0" t="str">
        <f aca="false">IF(K1456="","",MATCH(K1456,$F$2:$F$5001,0))</f>
        <v/>
      </c>
      <c r="M1456" s="0" t="str">
        <f aca="false">IF(I1456="","",INDEX(הגדרות!$A$2:$A$21,MOD(I1456+הגדרות!$E$9,הגדרות!$E$6)+1))</f>
        <v/>
      </c>
    </row>
    <row r="1457" customFormat="false" ht="15" hidden="false" customHeight="false" outlineLevel="0" collapsed="false">
      <c r="A1457" s="0" t="str">
        <f aca="false">IF('הדבקת לידים'!A1457="","",IF(ISNUMBER('הדבקת לידים'!A1457),IF(הגדרות!$E$2&gt;0,TEXT('הדבקת לידים'!A1457,REPT("0",הגדרות!$E$2)),TEXT('הדבקת לידים'!A1457,"0")),TRIM('הדבקת לידים'!A1457)))</f>
        <v/>
      </c>
      <c r="B1457" s="0" t="str">
        <f aca="false">IF('הדבקת לידים'!B1457="","",IF(ISNUMBER('הדבקת לידים'!B1457),IF(הגדרות!$E$3&gt;0,TEXT('הדבקת לידים'!B1457,REPT("0",הגדרות!$E$3)),TEXT('הדבקת לידים'!B1457,"0")),TRIM('הדבקת לידים'!B1457)))</f>
        <v/>
      </c>
      <c r="C1457" s="0" t="n">
        <f aca="false">IF(OR(A1457&lt;&gt;"",B1457&lt;&gt;""),1,0)</f>
        <v>0</v>
      </c>
      <c r="D1457" s="0" t="str">
        <f aca="false">IF(C1457=1,MOD(ABS(SIN(ROW()*12.9898+'הדבקת לידים'!$F$2*78.233+IFERROR(--RIGHT(A1457,6),LEN(A1457))*0.0137+IFERROR(--RIGHT(B1457,6),LEN(B1457))*0.0071))*43758.5453,1),"")</f>
        <v/>
      </c>
      <c r="E1457" s="0" t="str">
        <f aca="false">IF(C1457=1,INT(MOD(ABS(SIN(D1457*7919.123+ROW()*0.618+'הדבקת לידים'!$F$2*1.3))*43758.5453,1)*1000000)*10000+ROW(),"")</f>
        <v/>
      </c>
      <c r="F1457" s="0" t="str">
        <f aca="false">IF(E1457="","",RANK(E1457,$E$2:$E$5001,1))</f>
        <v/>
      </c>
      <c r="G1457" s="0" t="n">
        <f aca="false">IF(A1457="",0,IF(SUMPRODUCT(--($A$2:$A$5001=A1457))&gt;1,1,0))</f>
        <v>0</v>
      </c>
      <c r="H1457" s="0" t="n">
        <f aca="false">ROW()-1</f>
        <v>1456</v>
      </c>
      <c r="I1457" s="0" t="str">
        <f aca="false">IF(OR(הגדרות!$E$6=0,H1457&gt;הגדרות!$E$5),"",IF(H1457-1&lt;הגדרות!$E$8*(הגדרות!$E$7+1),INT((H1457-1)/(הגדרות!$E$7+1)),הגדרות!$E$8+INT((H1457-1-הגדרות!$E$8*(הגדרות!$E$7+1))/הגדרות!$E$7)))</f>
        <v/>
      </c>
      <c r="J1457" s="0" t="str">
        <f aca="false">IF(I1457="","",IF(H1457-1&lt;הגדרות!$E$8*(הגדרות!$E$7+1),MOD(H1457-1,הגדרות!$E$7+1),MOD(H1457-1-הגדרות!$E$8*(הגדרות!$E$7+1),הגדרות!$E$7)))</f>
        <v/>
      </c>
      <c r="K1457" s="0" t="str">
        <f aca="false">IF(I1457="","",J1457*הגדרות!$E$6+I1457+1)</f>
        <v/>
      </c>
      <c r="L1457" s="0" t="str">
        <f aca="false">IF(K1457="","",MATCH(K1457,$F$2:$F$5001,0))</f>
        <v/>
      </c>
      <c r="M1457" s="0" t="str">
        <f aca="false">IF(I1457="","",INDEX(הגדרות!$A$2:$A$21,MOD(I1457+הגדרות!$E$9,הגדרות!$E$6)+1))</f>
        <v/>
      </c>
    </row>
    <row r="1458" customFormat="false" ht="15" hidden="false" customHeight="false" outlineLevel="0" collapsed="false">
      <c r="A1458" s="0" t="str">
        <f aca="false">IF('הדבקת לידים'!A1458="","",IF(ISNUMBER('הדבקת לידים'!A1458),IF(הגדרות!$E$2&gt;0,TEXT('הדבקת לידים'!A1458,REPT("0",הגדרות!$E$2)),TEXT('הדבקת לידים'!A1458,"0")),TRIM('הדבקת לידים'!A1458)))</f>
        <v/>
      </c>
      <c r="B1458" s="0" t="str">
        <f aca="false">IF('הדבקת לידים'!B1458="","",IF(ISNUMBER('הדבקת לידים'!B1458),IF(הגדרות!$E$3&gt;0,TEXT('הדבקת לידים'!B1458,REPT("0",הגדרות!$E$3)),TEXT('הדבקת לידים'!B1458,"0")),TRIM('הדבקת לידים'!B1458)))</f>
        <v/>
      </c>
      <c r="C1458" s="0" t="n">
        <f aca="false">IF(OR(A1458&lt;&gt;"",B1458&lt;&gt;""),1,0)</f>
        <v>0</v>
      </c>
      <c r="D1458" s="0" t="str">
        <f aca="false">IF(C1458=1,MOD(ABS(SIN(ROW()*12.9898+'הדבקת לידים'!$F$2*78.233+IFERROR(--RIGHT(A1458,6),LEN(A1458))*0.0137+IFERROR(--RIGHT(B1458,6),LEN(B1458))*0.0071))*43758.5453,1),"")</f>
        <v/>
      </c>
      <c r="E1458" s="0" t="str">
        <f aca="false">IF(C1458=1,INT(MOD(ABS(SIN(D1458*7919.123+ROW()*0.618+'הדבקת לידים'!$F$2*1.3))*43758.5453,1)*1000000)*10000+ROW(),"")</f>
        <v/>
      </c>
      <c r="F1458" s="0" t="str">
        <f aca="false">IF(E1458="","",RANK(E1458,$E$2:$E$5001,1))</f>
        <v/>
      </c>
      <c r="G1458" s="0" t="n">
        <f aca="false">IF(A1458="",0,IF(SUMPRODUCT(--($A$2:$A$5001=A1458))&gt;1,1,0))</f>
        <v>0</v>
      </c>
      <c r="H1458" s="0" t="n">
        <f aca="false">ROW()-1</f>
        <v>1457</v>
      </c>
      <c r="I1458" s="0" t="str">
        <f aca="false">IF(OR(הגדרות!$E$6=0,H1458&gt;הגדרות!$E$5),"",IF(H1458-1&lt;הגדרות!$E$8*(הגדרות!$E$7+1),INT((H1458-1)/(הגדרות!$E$7+1)),הגדרות!$E$8+INT((H1458-1-הגדרות!$E$8*(הגדרות!$E$7+1))/הגדרות!$E$7)))</f>
        <v/>
      </c>
      <c r="J1458" s="0" t="str">
        <f aca="false">IF(I1458="","",IF(H1458-1&lt;הגדרות!$E$8*(הגדרות!$E$7+1),MOD(H1458-1,הגדרות!$E$7+1),MOD(H1458-1-הגדרות!$E$8*(הגדרות!$E$7+1),הגדרות!$E$7)))</f>
        <v/>
      </c>
      <c r="K1458" s="0" t="str">
        <f aca="false">IF(I1458="","",J1458*הגדרות!$E$6+I1458+1)</f>
        <v/>
      </c>
      <c r="L1458" s="0" t="str">
        <f aca="false">IF(K1458="","",MATCH(K1458,$F$2:$F$5001,0))</f>
        <v/>
      </c>
      <c r="M1458" s="0" t="str">
        <f aca="false">IF(I1458="","",INDEX(הגדרות!$A$2:$A$21,MOD(I1458+הגדרות!$E$9,הגדרות!$E$6)+1))</f>
        <v/>
      </c>
    </row>
    <row r="1459" customFormat="false" ht="15" hidden="false" customHeight="false" outlineLevel="0" collapsed="false">
      <c r="A1459" s="0" t="str">
        <f aca="false">IF('הדבקת לידים'!A1459="","",IF(ISNUMBER('הדבקת לידים'!A1459),IF(הגדרות!$E$2&gt;0,TEXT('הדבקת לידים'!A1459,REPT("0",הגדרות!$E$2)),TEXT('הדבקת לידים'!A1459,"0")),TRIM('הדבקת לידים'!A1459)))</f>
        <v/>
      </c>
      <c r="B1459" s="0" t="str">
        <f aca="false">IF('הדבקת לידים'!B1459="","",IF(ISNUMBER('הדבקת לידים'!B1459),IF(הגדרות!$E$3&gt;0,TEXT('הדבקת לידים'!B1459,REPT("0",הגדרות!$E$3)),TEXT('הדבקת לידים'!B1459,"0")),TRIM('הדבקת לידים'!B1459)))</f>
        <v/>
      </c>
      <c r="C1459" s="0" t="n">
        <f aca="false">IF(OR(A1459&lt;&gt;"",B1459&lt;&gt;""),1,0)</f>
        <v>0</v>
      </c>
      <c r="D1459" s="0" t="str">
        <f aca="false">IF(C1459=1,MOD(ABS(SIN(ROW()*12.9898+'הדבקת לידים'!$F$2*78.233+IFERROR(--RIGHT(A1459,6),LEN(A1459))*0.0137+IFERROR(--RIGHT(B1459,6),LEN(B1459))*0.0071))*43758.5453,1),"")</f>
        <v/>
      </c>
      <c r="E1459" s="0" t="str">
        <f aca="false">IF(C1459=1,INT(MOD(ABS(SIN(D1459*7919.123+ROW()*0.618+'הדבקת לידים'!$F$2*1.3))*43758.5453,1)*1000000)*10000+ROW(),"")</f>
        <v/>
      </c>
      <c r="F1459" s="0" t="str">
        <f aca="false">IF(E1459="","",RANK(E1459,$E$2:$E$5001,1))</f>
        <v/>
      </c>
      <c r="G1459" s="0" t="n">
        <f aca="false">IF(A1459="",0,IF(SUMPRODUCT(--($A$2:$A$5001=A1459))&gt;1,1,0))</f>
        <v>0</v>
      </c>
      <c r="H1459" s="0" t="n">
        <f aca="false">ROW()-1</f>
        <v>1458</v>
      </c>
      <c r="I1459" s="0" t="str">
        <f aca="false">IF(OR(הגדרות!$E$6=0,H1459&gt;הגדרות!$E$5),"",IF(H1459-1&lt;הגדרות!$E$8*(הגדרות!$E$7+1),INT((H1459-1)/(הגדרות!$E$7+1)),הגדרות!$E$8+INT((H1459-1-הגדרות!$E$8*(הגדרות!$E$7+1))/הגדרות!$E$7)))</f>
        <v/>
      </c>
      <c r="J1459" s="0" t="str">
        <f aca="false">IF(I1459="","",IF(H1459-1&lt;הגדרות!$E$8*(הגדרות!$E$7+1),MOD(H1459-1,הגדרות!$E$7+1),MOD(H1459-1-הגדרות!$E$8*(הגדרות!$E$7+1),הגדרות!$E$7)))</f>
        <v/>
      </c>
      <c r="K1459" s="0" t="str">
        <f aca="false">IF(I1459="","",J1459*הגדרות!$E$6+I1459+1)</f>
        <v/>
      </c>
      <c r="L1459" s="0" t="str">
        <f aca="false">IF(K1459="","",MATCH(K1459,$F$2:$F$5001,0))</f>
        <v/>
      </c>
      <c r="M1459" s="0" t="str">
        <f aca="false">IF(I1459="","",INDEX(הגדרות!$A$2:$A$21,MOD(I1459+הגדרות!$E$9,הגדרות!$E$6)+1))</f>
        <v/>
      </c>
    </row>
    <row r="1460" customFormat="false" ht="15" hidden="false" customHeight="false" outlineLevel="0" collapsed="false">
      <c r="A1460" s="0" t="str">
        <f aca="false">IF('הדבקת לידים'!A1460="","",IF(ISNUMBER('הדבקת לידים'!A1460),IF(הגדרות!$E$2&gt;0,TEXT('הדבקת לידים'!A1460,REPT("0",הגדרות!$E$2)),TEXT('הדבקת לידים'!A1460,"0")),TRIM('הדבקת לידים'!A1460)))</f>
        <v/>
      </c>
      <c r="B1460" s="0" t="str">
        <f aca="false">IF('הדבקת לידים'!B1460="","",IF(ISNUMBER('הדבקת לידים'!B1460),IF(הגדרות!$E$3&gt;0,TEXT('הדבקת לידים'!B1460,REPT("0",הגדרות!$E$3)),TEXT('הדבקת לידים'!B1460,"0")),TRIM('הדבקת לידים'!B1460)))</f>
        <v/>
      </c>
      <c r="C1460" s="0" t="n">
        <f aca="false">IF(OR(A1460&lt;&gt;"",B1460&lt;&gt;""),1,0)</f>
        <v>0</v>
      </c>
      <c r="D1460" s="0" t="str">
        <f aca="false">IF(C1460=1,MOD(ABS(SIN(ROW()*12.9898+'הדבקת לידים'!$F$2*78.233+IFERROR(--RIGHT(A1460,6),LEN(A1460))*0.0137+IFERROR(--RIGHT(B1460,6),LEN(B1460))*0.0071))*43758.5453,1),"")</f>
        <v/>
      </c>
      <c r="E1460" s="0" t="str">
        <f aca="false">IF(C1460=1,INT(MOD(ABS(SIN(D1460*7919.123+ROW()*0.618+'הדבקת לידים'!$F$2*1.3))*43758.5453,1)*1000000)*10000+ROW(),"")</f>
        <v/>
      </c>
      <c r="F1460" s="0" t="str">
        <f aca="false">IF(E1460="","",RANK(E1460,$E$2:$E$5001,1))</f>
        <v/>
      </c>
      <c r="G1460" s="0" t="n">
        <f aca="false">IF(A1460="",0,IF(SUMPRODUCT(--($A$2:$A$5001=A1460))&gt;1,1,0))</f>
        <v>0</v>
      </c>
      <c r="H1460" s="0" t="n">
        <f aca="false">ROW()-1</f>
        <v>1459</v>
      </c>
      <c r="I1460" s="0" t="str">
        <f aca="false">IF(OR(הגדרות!$E$6=0,H1460&gt;הגדרות!$E$5),"",IF(H1460-1&lt;הגדרות!$E$8*(הגדרות!$E$7+1),INT((H1460-1)/(הגדרות!$E$7+1)),הגדרות!$E$8+INT((H1460-1-הגדרות!$E$8*(הגדרות!$E$7+1))/הגדרות!$E$7)))</f>
        <v/>
      </c>
      <c r="J1460" s="0" t="str">
        <f aca="false">IF(I1460="","",IF(H1460-1&lt;הגדרות!$E$8*(הגדרות!$E$7+1),MOD(H1460-1,הגדרות!$E$7+1),MOD(H1460-1-הגדרות!$E$8*(הגדרות!$E$7+1),הגדרות!$E$7)))</f>
        <v/>
      </c>
      <c r="K1460" s="0" t="str">
        <f aca="false">IF(I1460="","",J1460*הגדרות!$E$6+I1460+1)</f>
        <v/>
      </c>
      <c r="L1460" s="0" t="str">
        <f aca="false">IF(K1460="","",MATCH(K1460,$F$2:$F$5001,0))</f>
        <v/>
      </c>
      <c r="M1460" s="0" t="str">
        <f aca="false">IF(I1460="","",INDEX(הגדרות!$A$2:$A$21,MOD(I1460+הגדרות!$E$9,הגדרות!$E$6)+1))</f>
        <v/>
      </c>
    </row>
    <row r="1461" customFormat="false" ht="15" hidden="false" customHeight="false" outlineLevel="0" collapsed="false">
      <c r="A1461" s="0" t="str">
        <f aca="false">IF('הדבקת לידים'!A1461="","",IF(ISNUMBER('הדבקת לידים'!A1461),IF(הגדרות!$E$2&gt;0,TEXT('הדבקת לידים'!A1461,REPT("0",הגדרות!$E$2)),TEXT('הדבקת לידים'!A1461,"0")),TRIM('הדבקת לידים'!A1461)))</f>
        <v/>
      </c>
      <c r="B1461" s="0" t="str">
        <f aca="false">IF('הדבקת לידים'!B1461="","",IF(ISNUMBER('הדבקת לידים'!B1461),IF(הגדרות!$E$3&gt;0,TEXT('הדבקת לידים'!B1461,REPT("0",הגדרות!$E$3)),TEXT('הדבקת לידים'!B1461,"0")),TRIM('הדבקת לידים'!B1461)))</f>
        <v/>
      </c>
      <c r="C1461" s="0" t="n">
        <f aca="false">IF(OR(A1461&lt;&gt;"",B1461&lt;&gt;""),1,0)</f>
        <v>0</v>
      </c>
      <c r="D1461" s="0" t="str">
        <f aca="false">IF(C1461=1,MOD(ABS(SIN(ROW()*12.9898+'הדבקת לידים'!$F$2*78.233+IFERROR(--RIGHT(A1461,6),LEN(A1461))*0.0137+IFERROR(--RIGHT(B1461,6),LEN(B1461))*0.0071))*43758.5453,1),"")</f>
        <v/>
      </c>
      <c r="E1461" s="0" t="str">
        <f aca="false">IF(C1461=1,INT(MOD(ABS(SIN(D1461*7919.123+ROW()*0.618+'הדבקת לידים'!$F$2*1.3))*43758.5453,1)*1000000)*10000+ROW(),"")</f>
        <v/>
      </c>
      <c r="F1461" s="0" t="str">
        <f aca="false">IF(E1461="","",RANK(E1461,$E$2:$E$5001,1))</f>
        <v/>
      </c>
      <c r="G1461" s="0" t="n">
        <f aca="false">IF(A1461="",0,IF(SUMPRODUCT(--($A$2:$A$5001=A1461))&gt;1,1,0))</f>
        <v>0</v>
      </c>
      <c r="H1461" s="0" t="n">
        <f aca="false">ROW()-1</f>
        <v>1460</v>
      </c>
      <c r="I1461" s="0" t="str">
        <f aca="false">IF(OR(הגדרות!$E$6=0,H1461&gt;הגדרות!$E$5),"",IF(H1461-1&lt;הגדרות!$E$8*(הגדרות!$E$7+1),INT((H1461-1)/(הגדרות!$E$7+1)),הגדרות!$E$8+INT((H1461-1-הגדרות!$E$8*(הגדרות!$E$7+1))/הגדרות!$E$7)))</f>
        <v/>
      </c>
      <c r="J1461" s="0" t="str">
        <f aca="false">IF(I1461="","",IF(H1461-1&lt;הגדרות!$E$8*(הגדרות!$E$7+1),MOD(H1461-1,הגדרות!$E$7+1),MOD(H1461-1-הגדרות!$E$8*(הגדרות!$E$7+1),הגדרות!$E$7)))</f>
        <v/>
      </c>
      <c r="K1461" s="0" t="str">
        <f aca="false">IF(I1461="","",J1461*הגדרות!$E$6+I1461+1)</f>
        <v/>
      </c>
      <c r="L1461" s="0" t="str">
        <f aca="false">IF(K1461="","",MATCH(K1461,$F$2:$F$5001,0))</f>
        <v/>
      </c>
      <c r="M1461" s="0" t="str">
        <f aca="false">IF(I1461="","",INDEX(הגדרות!$A$2:$A$21,MOD(I1461+הגדרות!$E$9,הגדרות!$E$6)+1))</f>
        <v/>
      </c>
    </row>
    <row r="1462" customFormat="false" ht="15" hidden="false" customHeight="false" outlineLevel="0" collapsed="false">
      <c r="A1462" s="0" t="str">
        <f aca="false">IF('הדבקת לידים'!A1462="","",IF(ISNUMBER('הדבקת לידים'!A1462),IF(הגדרות!$E$2&gt;0,TEXT('הדבקת לידים'!A1462,REPT("0",הגדרות!$E$2)),TEXT('הדבקת לידים'!A1462,"0")),TRIM('הדבקת לידים'!A1462)))</f>
        <v/>
      </c>
      <c r="B1462" s="0" t="str">
        <f aca="false">IF('הדבקת לידים'!B1462="","",IF(ISNUMBER('הדבקת לידים'!B1462),IF(הגדרות!$E$3&gt;0,TEXT('הדבקת לידים'!B1462,REPT("0",הגדרות!$E$3)),TEXT('הדבקת לידים'!B1462,"0")),TRIM('הדבקת לידים'!B1462)))</f>
        <v/>
      </c>
      <c r="C1462" s="0" t="n">
        <f aca="false">IF(OR(A1462&lt;&gt;"",B1462&lt;&gt;""),1,0)</f>
        <v>0</v>
      </c>
      <c r="D1462" s="0" t="str">
        <f aca="false">IF(C1462=1,MOD(ABS(SIN(ROW()*12.9898+'הדבקת לידים'!$F$2*78.233+IFERROR(--RIGHT(A1462,6),LEN(A1462))*0.0137+IFERROR(--RIGHT(B1462,6),LEN(B1462))*0.0071))*43758.5453,1),"")</f>
        <v/>
      </c>
      <c r="E1462" s="0" t="str">
        <f aca="false">IF(C1462=1,INT(MOD(ABS(SIN(D1462*7919.123+ROW()*0.618+'הדבקת לידים'!$F$2*1.3))*43758.5453,1)*1000000)*10000+ROW(),"")</f>
        <v/>
      </c>
      <c r="F1462" s="0" t="str">
        <f aca="false">IF(E1462="","",RANK(E1462,$E$2:$E$5001,1))</f>
        <v/>
      </c>
      <c r="G1462" s="0" t="n">
        <f aca="false">IF(A1462="",0,IF(SUMPRODUCT(--($A$2:$A$5001=A1462))&gt;1,1,0))</f>
        <v>0</v>
      </c>
      <c r="H1462" s="0" t="n">
        <f aca="false">ROW()-1</f>
        <v>1461</v>
      </c>
      <c r="I1462" s="0" t="str">
        <f aca="false">IF(OR(הגדרות!$E$6=0,H1462&gt;הגדרות!$E$5),"",IF(H1462-1&lt;הגדרות!$E$8*(הגדרות!$E$7+1),INT((H1462-1)/(הגדרות!$E$7+1)),הגדרות!$E$8+INT((H1462-1-הגדרות!$E$8*(הגדרות!$E$7+1))/הגדרות!$E$7)))</f>
        <v/>
      </c>
      <c r="J1462" s="0" t="str">
        <f aca="false">IF(I1462="","",IF(H1462-1&lt;הגדרות!$E$8*(הגדרות!$E$7+1),MOD(H1462-1,הגדרות!$E$7+1),MOD(H1462-1-הגדרות!$E$8*(הגדרות!$E$7+1),הגדרות!$E$7)))</f>
        <v/>
      </c>
      <c r="K1462" s="0" t="str">
        <f aca="false">IF(I1462="","",J1462*הגדרות!$E$6+I1462+1)</f>
        <v/>
      </c>
      <c r="L1462" s="0" t="str">
        <f aca="false">IF(K1462="","",MATCH(K1462,$F$2:$F$5001,0))</f>
        <v/>
      </c>
      <c r="M1462" s="0" t="str">
        <f aca="false">IF(I1462="","",INDEX(הגדרות!$A$2:$A$21,MOD(I1462+הגדרות!$E$9,הגדרות!$E$6)+1))</f>
        <v/>
      </c>
    </row>
    <row r="1463" customFormat="false" ht="15" hidden="false" customHeight="false" outlineLevel="0" collapsed="false">
      <c r="A1463" s="0" t="str">
        <f aca="false">IF('הדבקת לידים'!A1463="","",IF(ISNUMBER('הדבקת לידים'!A1463),IF(הגדרות!$E$2&gt;0,TEXT('הדבקת לידים'!A1463,REPT("0",הגדרות!$E$2)),TEXT('הדבקת לידים'!A1463,"0")),TRIM('הדבקת לידים'!A1463)))</f>
        <v/>
      </c>
      <c r="B1463" s="0" t="str">
        <f aca="false">IF('הדבקת לידים'!B1463="","",IF(ISNUMBER('הדבקת לידים'!B1463),IF(הגדרות!$E$3&gt;0,TEXT('הדבקת לידים'!B1463,REPT("0",הגדרות!$E$3)),TEXT('הדבקת לידים'!B1463,"0")),TRIM('הדבקת לידים'!B1463)))</f>
        <v/>
      </c>
      <c r="C1463" s="0" t="n">
        <f aca="false">IF(OR(A1463&lt;&gt;"",B1463&lt;&gt;""),1,0)</f>
        <v>0</v>
      </c>
      <c r="D1463" s="0" t="str">
        <f aca="false">IF(C1463=1,MOD(ABS(SIN(ROW()*12.9898+'הדבקת לידים'!$F$2*78.233+IFERROR(--RIGHT(A1463,6),LEN(A1463))*0.0137+IFERROR(--RIGHT(B1463,6),LEN(B1463))*0.0071))*43758.5453,1),"")</f>
        <v/>
      </c>
      <c r="E1463" s="0" t="str">
        <f aca="false">IF(C1463=1,INT(MOD(ABS(SIN(D1463*7919.123+ROW()*0.618+'הדבקת לידים'!$F$2*1.3))*43758.5453,1)*1000000)*10000+ROW(),"")</f>
        <v/>
      </c>
      <c r="F1463" s="0" t="str">
        <f aca="false">IF(E1463="","",RANK(E1463,$E$2:$E$5001,1))</f>
        <v/>
      </c>
      <c r="G1463" s="0" t="n">
        <f aca="false">IF(A1463="",0,IF(SUMPRODUCT(--($A$2:$A$5001=A1463))&gt;1,1,0))</f>
        <v>0</v>
      </c>
      <c r="H1463" s="0" t="n">
        <f aca="false">ROW()-1</f>
        <v>1462</v>
      </c>
      <c r="I1463" s="0" t="str">
        <f aca="false">IF(OR(הגדרות!$E$6=0,H1463&gt;הגדרות!$E$5),"",IF(H1463-1&lt;הגדרות!$E$8*(הגדרות!$E$7+1),INT((H1463-1)/(הגדרות!$E$7+1)),הגדרות!$E$8+INT((H1463-1-הגדרות!$E$8*(הגדרות!$E$7+1))/הגדרות!$E$7)))</f>
        <v/>
      </c>
      <c r="J1463" s="0" t="str">
        <f aca="false">IF(I1463="","",IF(H1463-1&lt;הגדרות!$E$8*(הגדרות!$E$7+1),MOD(H1463-1,הגדרות!$E$7+1),MOD(H1463-1-הגדרות!$E$8*(הגדרות!$E$7+1),הגדרות!$E$7)))</f>
        <v/>
      </c>
      <c r="K1463" s="0" t="str">
        <f aca="false">IF(I1463="","",J1463*הגדרות!$E$6+I1463+1)</f>
        <v/>
      </c>
      <c r="L1463" s="0" t="str">
        <f aca="false">IF(K1463="","",MATCH(K1463,$F$2:$F$5001,0))</f>
        <v/>
      </c>
      <c r="M1463" s="0" t="str">
        <f aca="false">IF(I1463="","",INDEX(הגדרות!$A$2:$A$21,MOD(I1463+הגדרות!$E$9,הגדרות!$E$6)+1))</f>
        <v/>
      </c>
    </row>
    <row r="1464" customFormat="false" ht="15" hidden="false" customHeight="false" outlineLevel="0" collapsed="false">
      <c r="A1464" s="0" t="str">
        <f aca="false">IF('הדבקת לידים'!A1464="","",IF(ISNUMBER('הדבקת לידים'!A1464),IF(הגדרות!$E$2&gt;0,TEXT('הדבקת לידים'!A1464,REPT("0",הגדרות!$E$2)),TEXT('הדבקת לידים'!A1464,"0")),TRIM('הדבקת לידים'!A1464)))</f>
        <v/>
      </c>
      <c r="B1464" s="0" t="str">
        <f aca="false">IF('הדבקת לידים'!B1464="","",IF(ISNUMBER('הדבקת לידים'!B1464),IF(הגדרות!$E$3&gt;0,TEXT('הדבקת לידים'!B1464,REPT("0",הגדרות!$E$3)),TEXT('הדבקת לידים'!B1464,"0")),TRIM('הדבקת לידים'!B1464)))</f>
        <v/>
      </c>
      <c r="C1464" s="0" t="n">
        <f aca="false">IF(OR(A1464&lt;&gt;"",B1464&lt;&gt;""),1,0)</f>
        <v>0</v>
      </c>
      <c r="D1464" s="0" t="str">
        <f aca="false">IF(C1464=1,MOD(ABS(SIN(ROW()*12.9898+'הדבקת לידים'!$F$2*78.233+IFERROR(--RIGHT(A1464,6),LEN(A1464))*0.0137+IFERROR(--RIGHT(B1464,6),LEN(B1464))*0.0071))*43758.5453,1),"")</f>
        <v/>
      </c>
      <c r="E1464" s="0" t="str">
        <f aca="false">IF(C1464=1,INT(MOD(ABS(SIN(D1464*7919.123+ROW()*0.618+'הדבקת לידים'!$F$2*1.3))*43758.5453,1)*1000000)*10000+ROW(),"")</f>
        <v/>
      </c>
      <c r="F1464" s="0" t="str">
        <f aca="false">IF(E1464="","",RANK(E1464,$E$2:$E$5001,1))</f>
        <v/>
      </c>
      <c r="G1464" s="0" t="n">
        <f aca="false">IF(A1464="",0,IF(SUMPRODUCT(--($A$2:$A$5001=A1464))&gt;1,1,0))</f>
        <v>0</v>
      </c>
      <c r="H1464" s="0" t="n">
        <f aca="false">ROW()-1</f>
        <v>1463</v>
      </c>
      <c r="I1464" s="0" t="str">
        <f aca="false">IF(OR(הגדרות!$E$6=0,H1464&gt;הגדרות!$E$5),"",IF(H1464-1&lt;הגדרות!$E$8*(הגדרות!$E$7+1),INT((H1464-1)/(הגדרות!$E$7+1)),הגדרות!$E$8+INT((H1464-1-הגדרות!$E$8*(הגדרות!$E$7+1))/הגדרות!$E$7)))</f>
        <v/>
      </c>
      <c r="J1464" s="0" t="str">
        <f aca="false">IF(I1464="","",IF(H1464-1&lt;הגדרות!$E$8*(הגדרות!$E$7+1),MOD(H1464-1,הגדרות!$E$7+1),MOD(H1464-1-הגדרות!$E$8*(הגדרות!$E$7+1),הגדרות!$E$7)))</f>
        <v/>
      </c>
      <c r="K1464" s="0" t="str">
        <f aca="false">IF(I1464="","",J1464*הגדרות!$E$6+I1464+1)</f>
        <v/>
      </c>
      <c r="L1464" s="0" t="str">
        <f aca="false">IF(K1464="","",MATCH(K1464,$F$2:$F$5001,0))</f>
        <v/>
      </c>
      <c r="M1464" s="0" t="str">
        <f aca="false">IF(I1464="","",INDEX(הגדרות!$A$2:$A$21,MOD(I1464+הגדרות!$E$9,הגדרות!$E$6)+1))</f>
        <v/>
      </c>
    </row>
    <row r="1465" customFormat="false" ht="15" hidden="false" customHeight="false" outlineLevel="0" collapsed="false">
      <c r="A1465" s="0" t="str">
        <f aca="false">IF('הדבקת לידים'!A1465="","",IF(ISNUMBER('הדבקת לידים'!A1465),IF(הגדרות!$E$2&gt;0,TEXT('הדבקת לידים'!A1465,REPT("0",הגדרות!$E$2)),TEXT('הדבקת לידים'!A1465,"0")),TRIM('הדבקת לידים'!A1465)))</f>
        <v/>
      </c>
      <c r="B1465" s="0" t="str">
        <f aca="false">IF('הדבקת לידים'!B1465="","",IF(ISNUMBER('הדבקת לידים'!B1465),IF(הגדרות!$E$3&gt;0,TEXT('הדבקת לידים'!B1465,REPT("0",הגדרות!$E$3)),TEXT('הדבקת לידים'!B1465,"0")),TRIM('הדבקת לידים'!B1465)))</f>
        <v/>
      </c>
      <c r="C1465" s="0" t="n">
        <f aca="false">IF(OR(A1465&lt;&gt;"",B1465&lt;&gt;""),1,0)</f>
        <v>0</v>
      </c>
      <c r="D1465" s="0" t="str">
        <f aca="false">IF(C1465=1,MOD(ABS(SIN(ROW()*12.9898+'הדבקת לידים'!$F$2*78.233+IFERROR(--RIGHT(A1465,6),LEN(A1465))*0.0137+IFERROR(--RIGHT(B1465,6),LEN(B1465))*0.0071))*43758.5453,1),"")</f>
        <v/>
      </c>
      <c r="E1465" s="0" t="str">
        <f aca="false">IF(C1465=1,INT(MOD(ABS(SIN(D1465*7919.123+ROW()*0.618+'הדבקת לידים'!$F$2*1.3))*43758.5453,1)*1000000)*10000+ROW(),"")</f>
        <v/>
      </c>
      <c r="F1465" s="0" t="str">
        <f aca="false">IF(E1465="","",RANK(E1465,$E$2:$E$5001,1))</f>
        <v/>
      </c>
      <c r="G1465" s="0" t="n">
        <f aca="false">IF(A1465="",0,IF(SUMPRODUCT(--($A$2:$A$5001=A1465))&gt;1,1,0))</f>
        <v>0</v>
      </c>
      <c r="H1465" s="0" t="n">
        <f aca="false">ROW()-1</f>
        <v>1464</v>
      </c>
      <c r="I1465" s="0" t="str">
        <f aca="false">IF(OR(הגדרות!$E$6=0,H1465&gt;הגדרות!$E$5),"",IF(H1465-1&lt;הגדרות!$E$8*(הגדרות!$E$7+1),INT((H1465-1)/(הגדרות!$E$7+1)),הגדרות!$E$8+INT((H1465-1-הגדרות!$E$8*(הגדרות!$E$7+1))/הגדרות!$E$7)))</f>
        <v/>
      </c>
      <c r="J1465" s="0" t="str">
        <f aca="false">IF(I1465="","",IF(H1465-1&lt;הגדרות!$E$8*(הגדרות!$E$7+1),MOD(H1465-1,הגדרות!$E$7+1),MOD(H1465-1-הגדרות!$E$8*(הגדרות!$E$7+1),הגדרות!$E$7)))</f>
        <v/>
      </c>
      <c r="K1465" s="0" t="str">
        <f aca="false">IF(I1465="","",J1465*הגדרות!$E$6+I1465+1)</f>
        <v/>
      </c>
      <c r="L1465" s="0" t="str">
        <f aca="false">IF(K1465="","",MATCH(K1465,$F$2:$F$5001,0))</f>
        <v/>
      </c>
      <c r="M1465" s="0" t="str">
        <f aca="false">IF(I1465="","",INDEX(הגדרות!$A$2:$A$21,MOD(I1465+הגדרות!$E$9,הגדרות!$E$6)+1))</f>
        <v/>
      </c>
    </row>
    <row r="1466" customFormat="false" ht="15" hidden="false" customHeight="false" outlineLevel="0" collapsed="false">
      <c r="A1466" s="0" t="str">
        <f aca="false">IF('הדבקת לידים'!A1466="","",IF(ISNUMBER('הדבקת לידים'!A1466),IF(הגדרות!$E$2&gt;0,TEXT('הדבקת לידים'!A1466,REPT("0",הגדרות!$E$2)),TEXT('הדבקת לידים'!A1466,"0")),TRIM('הדבקת לידים'!A1466)))</f>
        <v/>
      </c>
      <c r="B1466" s="0" t="str">
        <f aca="false">IF('הדבקת לידים'!B1466="","",IF(ISNUMBER('הדבקת לידים'!B1466),IF(הגדרות!$E$3&gt;0,TEXT('הדבקת לידים'!B1466,REPT("0",הגדרות!$E$3)),TEXT('הדבקת לידים'!B1466,"0")),TRIM('הדבקת לידים'!B1466)))</f>
        <v/>
      </c>
      <c r="C1466" s="0" t="n">
        <f aca="false">IF(OR(A1466&lt;&gt;"",B1466&lt;&gt;""),1,0)</f>
        <v>0</v>
      </c>
      <c r="D1466" s="0" t="str">
        <f aca="false">IF(C1466=1,MOD(ABS(SIN(ROW()*12.9898+'הדבקת לידים'!$F$2*78.233+IFERROR(--RIGHT(A1466,6),LEN(A1466))*0.0137+IFERROR(--RIGHT(B1466,6),LEN(B1466))*0.0071))*43758.5453,1),"")</f>
        <v/>
      </c>
      <c r="E1466" s="0" t="str">
        <f aca="false">IF(C1466=1,INT(MOD(ABS(SIN(D1466*7919.123+ROW()*0.618+'הדבקת לידים'!$F$2*1.3))*43758.5453,1)*1000000)*10000+ROW(),"")</f>
        <v/>
      </c>
      <c r="F1466" s="0" t="str">
        <f aca="false">IF(E1466="","",RANK(E1466,$E$2:$E$5001,1))</f>
        <v/>
      </c>
      <c r="G1466" s="0" t="n">
        <f aca="false">IF(A1466="",0,IF(SUMPRODUCT(--($A$2:$A$5001=A1466))&gt;1,1,0))</f>
        <v>0</v>
      </c>
      <c r="H1466" s="0" t="n">
        <f aca="false">ROW()-1</f>
        <v>1465</v>
      </c>
      <c r="I1466" s="0" t="str">
        <f aca="false">IF(OR(הגדרות!$E$6=0,H1466&gt;הגדרות!$E$5),"",IF(H1466-1&lt;הגדרות!$E$8*(הגדרות!$E$7+1),INT((H1466-1)/(הגדרות!$E$7+1)),הגדרות!$E$8+INT((H1466-1-הגדרות!$E$8*(הגדרות!$E$7+1))/הגדרות!$E$7)))</f>
        <v/>
      </c>
      <c r="J1466" s="0" t="str">
        <f aca="false">IF(I1466="","",IF(H1466-1&lt;הגדרות!$E$8*(הגדרות!$E$7+1),MOD(H1466-1,הגדרות!$E$7+1),MOD(H1466-1-הגדרות!$E$8*(הגדרות!$E$7+1),הגדרות!$E$7)))</f>
        <v/>
      </c>
      <c r="K1466" s="0" t="str">
        <f aca="false">IF(I1466="","",J1466*הגדרות!$E$6+I1466+1)</f>
        <v/>
      </c>
      <c r="L1466" s="0" t="str">
        <f aca="false">IF(K1466="","",MATCH(K1466,$F$2:$F$5001,0))</f>
        <v/>
      </c>
      <c r="M1466" s="0" t="str">
        <f aca="false">IF(I1466="","",INDEX(הגדרות!$A$2:$A$21,MOD(I1466+הגדרות!$E$9,הגדרות!$E$6)+1))</f>
        <v/>
      </c>
    </row>
    <row r="1467" customFormat="false" ht="15" hidden="false" customHeight="false" outlineLevel="0" collapsed="false">
      <c r="A1467" s="0" t="str">
        <f aca="false">IF('הדבקת לידים'!A1467="","",IF(ISNUMBER('הדבקת לידים'!A1467),IF(הגדרות!$E$2&gt;0,TEXT('הדבקת לידים'!A1467,REPT("0",הגדרות!$E$2)),TEXT('הדבקת לידים'!A1467,"0")),TRIM('הדבקת לידים'!A1467)))</f>
        <v/>
      </c>
      <c r="B1467" s="0" t="str">
        <f aca="false">IF('הדבקת לידים'!B1467="","",IF(ISNUMBER('הדבקת לידים'!B1467),IF(הגדרות!$E$3&gt;0,TEXT('הדבקת לידים'!B1467,REPT("0",הגדרות!$E$3)),TEXT('הדבקת לידים'!B1467,"0")),TRIM('הדבקת לידים'!B1467)))</f>
        <v/>
      </c>
      <c r="C1467" s="0" t="n">
        <f aca="false">IF(OR(A1467&lt;&gt;"",B1467&lt;&gt;""),1,0)</f>
        <v>0</v>
      </c>
      <c r="D1467" s="0" t="str">
        <f aca="false">IF(C1467=1,MOD(ABS(SIN(ROW()*12.9898+'הדבקת לידים'!$F$2*78.233+IFERROR(--RIGHT(A1467,6),LEN(A1467))*0.0137+IFERROR(--RIGHT(B1467,6),LEN(B1467))*0.0071))*43758.5453,1),"")</f>
        <v/>
      </c>
      <c r="E1467" s="0" t="str">
        <f aca="false">IF(C1467=1,INT(MOD(ABS(SIN(D1467*7919.123+ROW()*0.618+'הדבקת לידים'!$F$2*1.3))*43758.5453,1)*1000000)*10000+ROW(),"")</f>
        <v/>
      </c>
      <c r="F1467" s="0" t="str">
        <f aca="false">IF(E1467="","",RANK(E1467,$E$2:$E$5001,1))</f>
        <v/>
      </c>
      <c r="G1467" s="0" t="n">
        <f aca="false">IF(A1467="",0,IF(SUMPRODUCT(--($A$2:$A$5001=A1467))&gt;1,1,0))</f>
        <v>0</v>
      </c>
      <c r="H1467" s="0" t="n">
        <f aca="false">ROW()-1</f>
        <v>1466</v>
      </c>
      <c r="I1467" s="0" t="str">
        <f aca="false">IF(OR(הגדרות!$E$6=0,H1467&gt;הגדרות!$E$5),"",IF(H1467-1&lt;הגדרות!$E$8*(הגדרות!$E$7+1),INT((H1467-1)/(הגדרות!$E$7+1)),הגדרות!$E$8+INT((H1467-1-הגדרות!$E$8*(הגדרות!$E$7+1))/הגדרות!$E$7)))</f>
        <v/>
      </c>
      <c r="J1467" s="0" t="str">
        <f aca="false">IF(I1467="","",IF(H1467-1&lt;הגדרות!$E$8*(הגדרות!$E$7+1),MOD(H1467-1,הגדרות!$E$7+1),MOD(H1467-1-הגדרות!$E$8*(הגדרות!$E$7+1),הגדרות!$E$7)))</f>
        <v/>
      </c>
      <c r="K1467" s="0" t="str">
        <f aca="false">IF(I1467="","",J1467*הגדרות!$E$6+I1467+1)</f>
        <v/>
      </c>
      <c r="L1467" s="0" t="str">
        <f aca="false">IF(K1467="","",MATCH(K1467,$F$2:$F$5001,0))</f>
        <v/>
      </c>
      <c r="M1467" s="0" t="str">
        <f aca="false">IF(I1467="","",INDEX(הגדרות!$A$2:$A$21,MOD(I1467+הגדרות!$E$9,הגדרות!$E$6)+1))</f>
        <v/>
      </c>
    </row>
    <row r="1468" customFormat="false" ht="15" hidden="false" customHeight="false" outlineLevel="0" collapsed="false">
      <c r="A1468" s="0" t="str">
        <f aca="false">IF('הדבקת לידים'!A1468="","",IF(ISNUMBER('הדבקת לידים'!A1468),IF(הגדרות!$E$2&gt;0,TEXT('הדבקת לידים'!A1468,REPT("0",הגדרות!$E$2)),TEXT('הדבקת לידים'!A1468,"0")),TRIM('הדבקת לידים'!A1468)))</f>
        <v/>
      </c>
      <c r="B1468" s="0" t="str">
        <f aca="false">IF('הדבקת לידים'!B1468="","",IF(ISNUMBER('הדבקת לידים'!B1468),IF(הגדרות!$E$3&gt;0,TEXT('הדבקת לידים'!B1468,REPT("0",הגדרות!$E$3)),TEXT('הדבקת לידים'!B1468,"0")),TRIM('הדבקת לידים'!B1468)))</f>
        <v/>
      </c>
      <c r="C1468" s="0" t="n">
        <f aca="false">IF(OR(A1468&lt;&gt;"",B1468&lt;&gt;""),1,0)</f>
        <v>0</v>
      </c>
      <c r="D1468" s="0" t="str">
        <f aca="false">IF(C1468=1,MOD(ABS(SIN(ROW()*12.9898+'הדבקת לידים'!$F$2*78.233+IFERROR(--RIGHT(A1468,6),LEN(A1468))*0.0137+IFERROR(--RIGHT(B1468,6),LEN(B1468))*0.0071))*43758.5453,1),"")</f>
        <v/>
      </c>
      <c r="E1468" s="0" t="str">
        <f aca="false">IF(C1468=1,INT(MOD(ABS(SIN(D1468*7919.123+ROW()*0.618+'הדבקת לידים'!$F$2*1.3))*43758.5453,1)*1000000)*10000+ROW(),"")</f>
        <v/>
      </c>
      <c r="F1468" s="0" t="str">
        <f aca="false">IF(E1468="","",RANK(E1468,$E$2:$E$5001,1))</f>
        <v/>
      </c>
      <c r="G1468" s="0" t="n">
        <f aca="false">IF(A1468="",0,IF(SUMPRODUCT(--($A$2:$A$5001=A1468))&gt;1,1,0))</f>
        <v>0</v>
      </c>
      <c r="H1468" s="0" t="n">
        <f aca="false">ROW()-1</f>
        <v>1467</v>
      </c>
      <c r="I1468" s="0" t="str">
        <f aca="false">IF(OR(הגדרות!$E$6=0,H1468&gt;הגדרות!$E$5),"",IF(H1468-1&lt;הגדרות!$E$8*(הגדרות!$E$7+1),INT((H1468-1)/(הגדרות!$E$7+1)),הגדרות!$E$8+INT((H1468-1-הגדרות!$E$8*(הגדרות!$E$7+1))/הגדרות!$E$7)))</f>
        <v/>
      </c>
      <c r="J1468" s="0" t="str">
        <f aca="false">IF(I1468="","",IF(H1468-1&lt;הגדרות!$E$8*(הגדרות!$E$7+1),MOD(H1468-1,הגדרות!$E$7+1),MOD(H1468-1-הגדרות!$E$8*(הגדרות!$E$7+1),הגדרות!$E$7)))</f>
        <v/>
      </c>
      <c r="K1468" s="0" t="str">
        <f aca="false">IF(I1468="","",J1468*הגדרות!$E$6+I1468+1)</f>
        <v/>
      </c>
      <c r="L1468" s="0" t="str">
        <f aca="false">IF(K1468="","",MATCH(K1468,$F$2:$F$5001,0))</f>
        <v/>
      </c>
      <c r="M1468" s="0" t="str">
        <f aca="false">IF(I1468="","",INDEX(הגדרות!$A$2:$A$21,MOD(I1468+הגדרות!$E$9,הגדרות!$E$6)+1))</f>
        <v/>
      </c>
    </row>
    <row r="1469" customFormat="false" ht="15" hidden="false" customHeight="false" outlineLevel="0" collapsed="false">
      <c r="A1469" s="0" t="str">
        <f aca="false">IF('הדבקת לידים'!A1469="","",IF(ISNUMBER('הדבקת לידים'!A1469),IF(הגדרות!$E$2&gt;0,TEXT('הדבקת לידים'!A1469,REPT("0",הגדרות!$E$2)),TEXT('הדבקת לידים'!A1469,"0")),TRIM('הדבקת לידים'!A1469)))</f>
        <v/>
      </c>
      <c r="B1469" s="0" t="str">
        <f aca="false">IF('הדבקת לידים'!B1469="","",IF(ISNUMBER('הדבקת לידים'!B1469),IF(הגדרות!$E$3&gt;0,TEXT('הדבקת לידים'!B1469,REPT("0",הגדרות!$E$3)),TEXT('הדבקת לידים'!B1469,"0")),TRIM('הדבקת לידים'!B1469)))</f>
        <v/>
      </c>
      <c r="C1469" s="0" t="n">
        <f aca="false">IF(OR(A1469&lt;&gt;"",B1469&lt;&gt;""),1,0)</f>
        <v>0</v>
      </c>
      <c r="D1469" s="0" t="str">
        <f aca="false">IF(C1469=1,MOD(ABS(SIN(ROW()*12.9898+'הדבקת לידים'!$F$2*78.233+IFERROR(--RIGHT(A1469,6),LEN(A1469))*0.0137+IFERROR(--RIGHT(B1469,6),LEN(B1469))*0.0071))*43758.5453,1),"")</f>
        <v/>
      </c>
      <c r="E1469" s="0" t="str">
        <f aca="false">IF(C1469=1,INT(MOD(ABS(SIN(D1469*7919.123+ROW()*0.618+'הדבקת לידים'!$F$2*1.3))*43758.5453,1)*1000000)*10000+ROW(),"")</f>
        <v/>
      </c>
      <c r="F1469" s="0" t="str">
        <f aca="false">IF(E1469="","",RANK(E1469,$E$2:$E$5001,1))</f>
        <v/>
      </c>
      <c r="G1469" s="0" t="n">
        <f aca="false">IF(A1469="",0,IF(SUMPRODUCT(--($A$2:$A$5001=A1469))&gt;1,1,0))</f>
        <v>0</v>
      </c>
      <c r="H1469" s="0" t="n">
        <f aca="false">ROW()-1</f>
        <v>1468</v>
      </c>
      <c r="I1469" s="0" t="str">
        <f aca="false">IF(OR(הגדרות!$E$6=0,H1469&gt;הגדרות!$E$5),"",IF(H1469-1&lt;הגדרות!$E$8*(הגדרות!$E$7+1),INT((H1469-1)/(הגדרות!$E$7+1)),הגדרות!$E$8+INT((H1469-1-הגדרות!$E$8*(הגדרות!$E$7+1))/הגדרות!$E$7)))</f>
        <v/>
      </c>
      <c r="J1469" s="0" t="str">
        <f aca="false">IF(I1469="","",IF(H1469-1&lt;הגדרות!$E$8*(הגדרות!$E$7+1),MOD(H1469-1,הגדרות!$E$7+1),MOD(H1469-1-הגדרות!$E$8*(הגדרות!$E$7+1),הגדרות!$E$7)))</f>
        <v/>
      </c>
      <c r="K1469" s="0" t="str">
        <f aca="false">IF(I1469="","",J1469*הגדרות!$E$6+I1469+1)</f>
        <v/>
      </c>
      <c r="L1469" s="0" t="str">
        <f aca="false">IF(K1469="","",MATCH(K1469,$F$2:$F$5001,0))</f>
        <v/>
      </c>
      <c r="M1469" s="0" t="str">
        <f aca="false">IF(I1469="","",INDEX(הגדרות!$A$2:$A$21,MOD(I1469+הגדרות!$E$9,הגדרות!$E$6)+1))</f>
        <v/>
      </c>
    </row>
    <row r="1470" customFormat="false" ht="15" hidden="false" customHeight="false" outlineLevel="0" collapsed="false">
      <c r="A1470" s="0" t="str">
        <f aca="false">IF('הדבקת לידים'!A1470="","",IF(ISNUMBER('הדבקת לידים'!A1470),IF(הגדרות!$E$2&gt;0,TEXT('הדבקת לידים'!A1470,REPT("0",הגדרות!$E$2)),TEXT('הדבקת לידים'!A1470,"0")),TRIM('הדבקת לידים'!A1470)))</f>
        <v/>
      </c>
      <c r="B1470" s="0" t="str">
        <f aca="false">IF('הדבקת לידים'!B1470="","",IF(ISNUMBER('הדבקת לידים'!B1470),IF(הגדרות!$E$3&gt;0,TEXT('הדבקת לידים'!B1470,REPT("0",הגדרות!$E$3)),TEXT('הדבקת לידים'!B1470,"0")),TRIM('הדבקת לידים'!B1470)))</f>
        <v/>
      </c>
      <c r="C1470" s="0" t="n">
        <f aca="false">IF(OR(A1470&lt;&gt;"",B1470&lt;&gt;""),1,0)</f>
        <v>0</v>
      </c>
      <c r="D1470" s="0" t="str">
        <f aca="false">IF(C1470=1,MOD(ABS(SIN(ROW()*12.9898+'הדבקת לידים'!$F$2*78.233+IFERROR(--RIGHT(A1470,6),LEN(A1470))*0.0137+IFERROR(--RIGHT(B1470,6),LEN(B1470))*0.0071))*43758.5453,1),"")</f>
        <v/>
      </c>
      <c r="E1470" s="0" t="str">
        <f aca="false">IF(C1470=1,INT(MOD(ABS(SIN(D1470*7919.123+ROW()*0.618+'הדבקת לידים'!$F$2*1.3))*43758.5453,1)*1000000)*10000+ROW(),"")</f>
        <v/>
      </c>
      <c r="F1470" s="0" t="str">
        <f aca="false">IF(E1470="","",RANK(E1470,$E$2:$E$5001,1))</f>
        <v/>
      </c>
      <c r="G1470" s="0" t="n">
        <f aca="false">IF(A1470="",0,IF(SUMPRODUCT(--($A$2:$A$5001=A1470))&gt;1,1,0))</f>
        <v>0</v>
      </c>
      <c r="H1470" s="0" t="n">
        <f aca="false">ROW()-1</f>
        <v>1469</v>
      </c>
      <c r="I1470" s="0" t="str">
        <f aca="false">IF(OR(הגדרות!$E$6=0,H1470&gt;הגדרות!$E$5),"",IF(H1470-1&lt;הגדרות!$E$8*(הגדרות!$E$7+1),INT((H1470-1)/(הגדרות!$E$7+1)),הגדרות!$E$8+INT((H1470-1-הגדרות!$E$8*(הגדרות!$E$7+1))/הגדרות!$E$7)))</f>
        <v/>
      </c>
      <c r="J1470" s="0" t="str">
        <f aca="false">IF(I1470="","",IF(H1470-1&lt;הגדרות!$E$8*(הגדרות!$E$7+1),MOD(H1470-1,הגדרות!$E$7+1),MOD(H1470-1-הגדרות!$E$8*(הגדרות!$E$7+1),הגדרות!$E$7)))</f>
        <v/>
      </c>
      <c r="K1470" s="0" t="str">
        <f aca="false">IF(I1470="","",J1470*הגדרות!$E$6+I1470+1)</f>
        <v/>
      </c>
      <c r="L1470" s="0" t="str">
        <f aca="false">IF(K1470="","",MATCH(K1470,$F$2:$F$5001,0))</f>
        <v/>
      </c>
      <c r="M1470" s="0" t="str">
        <f aca="false">IF(I1470="","",INDEX(הגדרות!$A$2:$A$21,MOD(I1470+הגדרות!$E$9,הגדרות!$E$6)+1))</f>
        <v/>
      </c>
    </row>
    <row r="1471" customFormat="false" ht="15" hidden="false" customHeight="false" outlineLevel="0" collapsed="false">
      <c r="A1471" s="0" t="str">
        <f aca="false">IF('הדבקת לידים'!A1471="","",IF(ISNUMBER('הדבקת לידים'!A1471),IF(הגדרות!$E$2&gt;0,TEXT('הדבקת לידים'!A1471,REPT("0",הגדרות!$E$2)),TEXT('הדבקת לידים'!A1471,"0")),TRIM('הדבקת לידים'!A1471)))</f>
        <v/>
      </c>
      <c r="B1471" s="0" t="str">
        <f aca="false">IF('הדבקת לידים'!B1471="","",IF(ISNUMBER('הדבקת לידים'!B1471),IF(הגדרות!$E$3&gt;0,TEXT('הדבקת לידים'!B1471,REPT("0",הגדרות!$E$3)),TEXT('הדבקת לידים'!B1471,"0")),TRIM('הדבקת לידים'!B1471)))</f>
        <v/>
      </c>
      <c r="C1471" s="0" t="n">
        <f aca="false">IF(OR(A1471&lt;&gt;"",B1471&lt;&gt;""),1,0)</f>
        <v>0</v>
      </c>
      <c r="D1471" s="0" t="str">
        <f aca="false">IF(C1471=1,MOD(ABS(SIN(ROW()*12.9898+'הדבקת לידים'!$F$2*78.233+IFERROR(--RIGHT(A1471,6),LEN(A1471))*0.0137+IFERROR(--RIGHT(B1471,6),LEN(B1471))*0.0071))*43758.5453,1),"")</f>
        <v/>
      </c>
      <c r="E1471" s="0" t="str">
        <f aca="false">IF(C1471=1,INT(MOD(ABS(SIN(D1471*7919.123+ROW()*0.618+'הדבקת לידים'!$F$2*1.3))*43758.5453,1)*1000000)*10000+ROW(),"")</f>
        <v/>
      </c>
      <c r="F1471" s="0" t="str">
        <f aca="false">IF(E1471="","",RANK(E1471,$E$2:$E$5001,1))</f>
        <v/>
      </c>
      <c r="G1471" s="0" t="n">
        <f aca="false">IF(A1471="",0,IF(SUMPRODUCT(--($A$2:$A$5001=A1471))&gt;1,1,0))</f>
        <v>0</v>
      </c>
      <c r="H1471" s="0" t="n">
        <f aca="false">ROW()-1</f>
        <v>1470</v>
      </c>
      <c r="I1471" s="0" t="str">
        <f aca="false">IF(OR(הגדרות!$E$6=0,H1471&gt;הגדרות!$E$5),"",IF(H1471-1&lt;הגדרות!$E$8*(הגדרות!$E$7+1),INT((H1471-1)/(הגדרות!$E$7+1)),הגדרות!$E$8+INT((H1471-1-הגדרות!$E$8*(הגדרות!$E$7+1))/הגדרות!$E$7)))</f>
        <v/>
      </c>
      <c r="J1471" s="0" t="str">
        <f aca="false">IF(I1471="","",IF(H1471-1&lt;הגדרות!$E$8*(הגדרות!$E$7+1),MOD(H1471-1,הגדרות!$E$7+1),MOD(H1471-1-הגדרות!$E$8*(הגדרות!$E$7+1),הגדרות!$E$7)))</f>
        <v/>
      </c>
      <c r="K1471" s="0" t="str">
        <f aca="false">IF(I1471="","",J1471*הגדרות!$E$6+I1471+1)</f>
        <v/>
      </c>
      <c r="L1471" s="0" t="str">
        <f aca="false">IF(K1471="","",MATCH(K1471,$F$2:$F$5001,0))</f>
        <v/>
      </c>
      <c r="M1471" s="0" t="str">
        <f aca="false">IF(I1471="","",INDEX(הגדרות!$A$2:$A$21,MOD(I1471+הגדרות!$E$9,הגדרות!$E$6)+1))</f>
        <v/>
      </c>
    </row>
    <row r="1472" customFormat="false" ht="15" hidden="false" customHeight="false" outlineLevel="0" collapsed="false">
      <c r="A1472" s="0" t="str">
        <f aca="false">IF('הדבקת לידים'!A1472="","",IF(ISNUMBER('הדבקת לידים'!A1472),IF(הגדרות!$E$2&gt;0,TEXT('הדבקת לידים'!A1472,REPT("0",הגדרות!$E$2)),TEXT('הדבקת לידים'!A1472,"0")),TRIM('הדבקת לידים'!A1472)))</f>
        <v/>
      </c>
      <c r="B1472" s="0" t="str">
        <f aca="false">IF('הדבקת לידים'!B1472="","",IF(ISNUMBER('הדבקת לידים'!B1472),IF(הגדרות!$E$3&gt;0,TEXT('הדבקת לידים'!B1472,REPT("0",הגדרות!$E$3)),TEXT('הדבקת לידים'!B1472,"0")),TRIM('הדבקת לידים'!B1472)))</f>
        <v/>
      </c>
      <c r="C1472" s="0" t="n">
        <f aca="false">IF(OR(A1472&lt;&gt;"",B1472&lt;&gt;""),1,0)</f>
        <v>0</v>
      </c>
      <c r="D1472" s="0" t="str">
        <f aca="false">IF(C1472=1,MOD(ABS(SIN(ROW()*12.9898+'הדבקת לידים'!$F$2*78.233+IFERROR(--RIGHT(A1472,6),LEN(A1472))*0.0137+IFERROR(--RIGHT(B1472,6),LEN(B1472))*0.0071))*43758.5453,1),"")</f>
        <v/>
      </c>
      <c r="E1472" s="0" t="str">
        <f aca="false">IF(C1472=1,INT(MOD(ABS(SIN(D1472*7919.123+ROW()*0.618+'הדבקת לידים'!$F$2*1.3))*43758.5453,1)*1000000)*10000+ROW(),"")</f>
        <v/>
      </c>
      <c r="F1472" s="0" t="str">
        <f aca="false">IF(E1472="","",RANK(E1472,$E$2:$E$5001,1))</f>
        <v/>
      </c>
      <c r="G1472" s="0" t="n">
        <f aca="false">IF(A1472="",0,IF(SUMPRODUCT(--($A$2:$A$5001=A1472))&gt;1,1,0))</f>
        <v>0</v>
      </c>
      <c r="H1472" s="0" t="n">
        <f aca="false">ROW()-1</f>
        <v>1471</v>
      </c>
      <c r="I1472" s="0" t="str">
        <f aca="false">IF(OR(הגדרות!$E$6=0,H1472&gt;הגדרות!$E$5),"",IF(H1472-1&lt;הגדרות!$E$8*(הגדרות!$E$7+1),INT((H1472-1)/(הגדרות!$E$7+1)),הגדרות!$E$8+INT((H1472-1-הגדרות!$E$8*(הגדרות!$E$7+1))/הגדרות!$E$7)))</f>
        <v/>
      </c>
      <c r="J1472" s="0" t="str">
        <f aca="false">IF(I1472="","",IF(H1472-1&lt;הגדרות!$E$8*(הגדרות!$E$7+1),MOD(H1472-1,הגדרות!$E$7+1),MOD(H1472-1-הגדרות!$E$8*(הגדרות!$E$7+1),הגדרות!$E$7)))</f>
        <v/>
      </c>
      <c r="K1472" s="0" t="str">
        <f aca="false">IF(I1472="","",J1472*הגדרות!$E$6+I1472+1)</f>
        <v/>
      </c>
      <c r="L1472" s="0" t="str">
        <f aca="false">IF(K1472="","",MATCH(K1472,$F$2:$F$5001,0))</f>
        <v/>
      </c>
      <c r="M1472" s="0" t="str">
        <f aca="false">IF(I1472="","",INDEX(הגדרות!$A$2:$A$21,MOD(I1472+הגדרות!$E$9,הגדרות!$E$6)+1))</f>
        <v/>
      </c>
    </row>
    <row r="1473" customFormat="false" ht="15" hidden="false" customHeight="false" outlineLevel="0" collapsed="false">
      <c r="A1473" s="0" t="str">
        <f aca="false">IF('הדבקת לידים'!A1473="","",IF(ISNUMBER('הדבקת לידים'!A1473),IF(הגדרות!$E$2&gt;0,TEXT('הדבקת לידים'!A1473,REPT("0",הגדרות!$E$2)),TEXT('הדבקת לידים'!A1473,"0")),TRIM('הדבקת לידים'!A1473)))</f>
        <v/>
      </c>
      <c r="B1473" s="0" t="str">
        <f aca="false">IF('הדבקת לידים'!B1473="","",IF(ISNUMBER('הדבקת לידים'!B1473),IF(הגדרות!$E$3&gt;0,TEXT('הדבקת לידים'!B1473,REPT("0",הגדרות!$E$3)),TEXT('הדבקת לידים'!B1473,"0")),TRIM('הדבקת לידים'!B1473)))</f>
        <v/>
      </c>
      <c r="C1473" s="0" t="n">
        <f aca="false">IF(OR(A1473&lt;&gt;"",B1473&lt;&gt;""),1,0)</f>
        <v>0</v>
      </c>
      <c r="D1473" s="0" t="str">
        <f aca="false">IF(C1473=1,MOD(ABS(SIN(ROW()*12.9898+'הדבקת לידים'!$F$2*78.233+IFERROR(--RIGHT(A1473,6),LEN(A1473))*0.0137+IFERROR(--RIGHT(B1473,6),LEN(B1473))*0.0071))*43758.5453,1),"")</f>
        <v/>
      </c>
      <c r="E1473" s="0" t="str">
        <f aca="false">IF(C1473=1,INT(MOD(ABS(SIN(D1473*7919.123+ROW()*0.618+'הדבקת לידים'!$F$2*1.3))*43758.5453,1)*1000000)*10000+ROW(),"")</f>
        <v/>
      </c>
      <c r="F1473" s="0" t="str">
        <f aca="false">IF(E1473="","",RANK(E1473,$E$2:$E$5001,1))</f>
        <v/>
      </c>
      <c r="G1473" s="0" t="n">
        <f aca="false">IF(A1473="",0,IF(SUMPRODUCT(--($A$2:$A$5001=A1473))&gt;1,1,0))</f>
        <v>0</v>
      </c>
      <c r="H1473" s="0" t="n">
        <f aca="false">ROW()-1</f>
        <v>1472</v>
      </c>
      <c r="I1473" s="0" t="str">
        <f aca="false">IF(OR(הגדרות!$E$6=0,H1473&gt;הגדרות!$E$5),"",IF(H1473-1&lt;הגדרות!$E$8*(הגדרות!$E$7+1),INT((H1473-1)/(הגדרות!$E$7+1)),הגדרות!$E$8+INT((H1473-1-הגדרות!$E$8*(הגדרות!$E$7+1))/הגדרות!$E$7)))</f>
        <v/>
      </c>
      <c r="J1473" s="0" t="str">
        <f aca="false">IF(I1473="","",IF(H1473-1&lt;הגדרות!$E$8*(הגדרות!$E$7+1),MOD(H1473-1,הגדרות!$E$7+1),MOD(H1473-1-הגדרות!$E$8*(הגדרות!$E$7+1),הגדרות!$E$7)))</f>
        <v/>
      </c>
      <c r="K1473" s="0" t="str">
        <f aca="false">IF(I1473="","",J1473*הגדרות!$E$6+I1473+1)</f>
        <v/>
      </c>
      <c r="L1473" s="0" t="str">
        <f aca="false">IF(K1473="","",MATCH(K1473,$F$2:$F$5001,0))</f>
        <v/>
      </c>
      <c r="M1473" s="0" t="str">
        <f aca="false">IF(I1473="","",INDEX(הגדרות!$A$2:$A$21,MOD(I1473+הגדרות!$E$9,הגדרות!$E$6)+1))</f>
        <v/>
      </c>
    </row>
    <row r="1474" customFormat="false" ht="15" hidden="false" customHeight="false" outlineLevel="0" collapsed="false">
      <c r="A1474" s="0" t="str">
        <f aca="false">IF('הדבקת לידים'!A1474="","",IF(ISNUMBER('הדבקת לידים'!A1474),IF(הגדרות!$E$2&gt;0,TEXT('הדבקת לידים'!A1474,REPT("0",הגדרות!$E$2)),TEXT('הדבקת לידים'!A1474,"0")),TRIM('הדבקת לידים'!A1474)))</f>
        <v/>
      </c>
      <c r="B1474" s="0" t="str">
        <f aca="false">IF('הדבקת לידים'!B1474="","",IF(ISNUMBER('הדבקת לידים'!B1474),IF(הגדרות!$E$3&gt;0,TEXT('הדבקת לידים'!B1474,REPT("0",הגדרות!$E$3)),TEXT('הדבקת לידים'!B1474,"0")),TRIM('הדבקת לידים'!B1474)))</f>
        <v/>
      </c>
      <c r="C1474" s="0" t="n">
        <f aca="false">IF(OR(A1474&lt;&gt;"",B1474&lt;&gt;""),1,0)</f>
        <v>0</v>
      </c>
      <c r="D1474" s="0" t="str">
        <f aca="false">IF(C1474=1,MOD(ABS(SIN(ROW()*12.9898+'הדבקת לידים'!$F$2*78.233+IFERROR(--RIGHT(A1474,6),LEN(A1474))*0.0137+IFERROR(--RIGHT(B1474,6),LEN(B1474))*0.0071))*43758.5453,1),"")</f>
        <v/>
      </c>
      <c r="E1474" s="0" t="str">
        <f aca="false">IF(C1474=1,INT(MOD(ABS(SIN(D1474*7919.123+ROW()*0.618+'הדבקת לידים'!$F$2*1.3))*43758.5453,1)*1000000)*10000+ROW(),"")</f>
        <v/>
      </c>
      <c r="F1474" s="0" t="str">
        <f aca="false">IF(E1474="","",RANK(E1474,$E$2:$E$5001,1))</f>
        <v/>
      </c>
      <c r="G1474" s="0" t="n">
        <f aca="false">IF(A1474="",0,IF(SUMPRODUCT(--($A$2:$A$5001=A1474))&gt;1,1,0))</f>
        <v>0</v>
      </c>
      <c r="H1474" s="0" t="n">
        <f aca="false">ROW()-1</f>
        <v>1473</v>
      </c>
      <c r="I1474" s="0" t="str">
        <f aca="false">IF(OR(הגדרות!$E$6=0,H1474&gt;הגדרות!$E$5),"",IF(H1474-1&lt;הגדרות!$E$8*(הגדרות!$E$7+1),INT((H1474-1)/(הגדרות!$E$7+1)),הגדרות!$E$8+INT((H1474-1-הגדרות!$E$8*(הגדרות!$E$7+1))/הגדרות!$E$7)))</f>
        <v/>
      </c>
      <c r="J1474" s="0" t="str">
        <f aca="false">IF(I1474="","",IF(H1474-1&lt;הגדרות!$E$8*(הגדרות!$E$7+1),MOD(H1474-1,הגדרות!$E$7+1),MOD(H1474-1-הגדרות!$E$8*(הגדרות!$E$7+1),הגדרות!$E$7)))</f>
        <v/>
      </c>
      <c r="K1474" s="0" t="str">
        <f aca="false">IF(I1474="","",J1474*הגדרות!$E$6+I1474+1)</f>
        <v/>
      </c>
      <c r="L1474" s="0" t="str">
        <f aca="false">IF(K1474="","",MATCH(K1474,$F$2:$F$5001,0))</f>
        <v/>
      </c>
      <c r="M1474" s="0" t="str">
        <f aca="false">IF(I1474="","",INDEX(הגדרות!$A$2:$A$21,MOD(I1474+הגדרות!$E$9,הגדרות!$E$6)+1))</f>
        <v/>
      </c>
    </row>
    <row r="1475" customFormat="false" ht="15" hidden="false" customHeight="false" outlineLevel="0" collapsed="false">
      <c r="A1475" s="0" t="str">
        <f aca="false">IF('הדבקת לידים'!A1475="","",IF(ISNUMBER('הדבקת לידים'!A1475),IF(הגדרות!$E$2&gt;0,TEXT('הדבקת לידים'!A1475,REPT("0",הגדרות!$E$2)),TEXT('הדבקת לידים'!A1475,"0")),TRIM('הדבקת לידים'!A1475)))</f>
        <v/>
      </c>
      <c r="B1475" s="0" t="str">
        <f aca="false">IF('הדבקת לידים'!B1475="","",IF(ISNUMBER('הדבקת לידים'!B1475),IF(הגדרות!$E$3&gt;0,TEXT('הדבקת לידים'!B1475,REPT("0",הגדרות!$E$3)),TEXT('הדבקת לידים'!B1475,"0")),TRIM('הדבקת לידים'!B1475)))</f>
        <v/>
      </c>
      <c r="C1475" s="0" t="n">
        <f aca="false">IF(OR(A1475&lt;&gt;"",B1475&lt;&gt;""),1,0)</f>
        <v>0</v>
      </c>
      <c r="D1475" s="0" t="str">
        <f aca="false">IF(C1475=1,MOD(ABS(SIN(ROW()*12.9898+'הדבקת לידים'!$F$2*78.233+IFERROR(--RIGHT(A1475,6),LEN(A1475))*0.0137+IFERROR(--RIGHT(B1475,6),LEN(B1475))*0.0071))*43758.5453,1),"")</f>
        <v/>
      </c>
      <c r="E1475" s="0" t="str">
        <f aca="false">IF(C1475=1,INT(MOD(ABS(SIN(D1475*7919.123+ROW()*0.618+'הדבקת לידים'!$F$2*1.3))*43758.5453,1)*1000000)*10000+ROW(),"")</f>
        <v/>
      </c>
      <c r="F1475" s="0" t="str">
        <f aca="false">IF(E1475="","",RANK(E1475,$E$2:$E$5001,1))</f>
        <v/>
      </c>
      <c r="G1475" s="0" t="n">
        <f aca="false">IF(A1475="",0,IF(SUMPRODUCT(--($A$2:$A$5001=A1475))&gt;1,1,0))</f>
        <v>0</v>
      </c>
      <c r="H1475" s="0" t="n">
        <f aca="false">ROW()-1</f>
        <v>1474</v>
      </c>
      <c r="I1475" s="0" t="str">
        <f aca="false">IF(OR(הגדרות!$E$6=0,H1475&gt;הגדרות!$E$5),"",IF(H1475-1&lt;הגדרות!$E$8*(הגדרות!$E$7+1),INT((H1475-1)/(הגדרות!$E$7+1)),הגדרות!$E$8+INT((H1475-1-הגדרות!$E$8*(הגדרות!$E$7+1))/הגדרות!$E$7)))</f>
        <v/>
      </c>
      <c r="J1475" s="0" t="str">
        <f aca="false">IF(I1475="","",IF(H1475-1&lt;הגדרות!$E$8*(הגדרות!$E$7+1),MOD(H1475-1,הגדרות!$E$7+1),MOD(H1475-1-הגדרות!$E$8*(הגדרות!$E$7+1),הגדרות!$E$7)))</f>
        <v/>
      </c>
      <c r="K1475" s="0" t="str">
        <f aca="false">IF(I1475="","",J1475*הגדרות!$E$6+I1475+1)</f>
        <v/>
      </c>
      <c r="L1475" s="0" t="str">
        <f aca="false">IF(K1475="","",MATCH(K1475,$F$2:$F$5001,0))</f>
        <v/>
      </c>
      <c r="M1475" s="0" t="str">
        <f aca="false">IF(I1475="","",INDEX(הגדרות!$A$2:$A$21,MOD(I1475+הגדרות!$E$9,הגדרות!$E$6)+1))</f>
        <v/>
      </c>
    </row>
    <row r="1476" customFormat="false" ht="15" hidden="false" customHeight="false" outlineLevel="0" collapsed="false">
      <c r="A1476" s="0" t="str">
        <f aca="false">IF('הדבקת לידים'!A1476="","",IF(ISNUMBER('הדבקת לידים'!A1476),IF(הגדרות!$E$2&gt;0,TEXT('הדבקת לידים'!A1476,REPT("0",הגדרות!$E$2)),TEXT('הדבקת לידים'!A1476,"0")),TRIM('הדבקת לידים'!A1476)))</f>
        <v/>
      </c>
      <c r="B1476" s="0" t="str">
        <f aca="false">IF('הדבקת לידים'!B1476="","",IF(ISNUMBER('הדבקת לידים'!B1476),IF(הגדרות!$E$3&gt;0,TEXT('הדבקת לידים'!B1476,REPT("0",הגדרות!$E$3)),TEXT('הדבקת לידים'!B1476,"0")),TRIM('הדבקת לידים'!B1476)))</f>
        <v/>
      </c>
      <c r="C1476" s="0" t="n">
        <f aca="false">IF(OR(A1476&lt;&gt;"",B1476&lt;&gt;""),1,0)</f>
        <v>0</v>
      </c>
      <c r="D1476" s="0" t="str">
        <f aca="false">IF(C1476=1,MOD(ABS(SIN(ROW()*12.9898+'הדבקת לידים'!$F$2*78.233+IFERROR(--RIGHT(A1476,6),LEN(A1476))*0.0137+IFERROR(--RIGHT(B1476,6),LEN(B1476))*0.0071))*43758.5453,1),"")</f>
        <v/>
      </c>
      <c r="E1476" s="0" t="str">
        <f aca="false">IF(C1476=1,INT(MOD(ABS(SIN(D1476*7919.123+ROW()*0.618+'הדבקת לידים'!$F$2*1.3))*43758.5453,1)*1000000)*10000+ROW(),"")</f>
        <v/>
      </c>
      <c r="F1476" s="0" t="str">
        <f aca="false">IF(E1476="","",RANK(E1476,$E$2:$E$5001,1))</f>
        <v/>
      </c>
      <c r="G1476" s="0" t="n">
        <f aca="false">IF(A1476="",0,IF(SUMPRODUCT(--($A$2:$A$5001=A1476))&gt;1,1,0))</f>
        <v>0</v>
      </c>
      <c r="H1476" s="0" t="n">
        <f aca="false">ROW()-1</f>
        <v>1475</v>
      </c>
      <c r="I1476" s="0" t="str">
        <f aca="false">IF(OR(הגדרות!$E$6=0,H1476&gt;הגדרות!$E$5),"",IF(H1476-1&lt;הגדרות!$E$8*(הגדרות!$E$7+1),INT((H1476-1)/(הגדרות!$E$7+1)),הגדרות!$E$8+INT((H1476-1-הגדרות!$E$8*(הגדרות!$E$7+1))/הגדרות!$E$7)))</f>
        <v/>
      </c>
      <c r="J1476" s="0" t="str">
        <f aca="false">IF(I1476="","",IF(H1476-1&lt;הגדרות!$E$8*(הגדרות!$E$7+1),MOD(H1476-1,הגדרות!$E$7+1),MOD(H1476-1-הגדרות!$E$8*(הגדרות!$E$7+1),הגדרות!$E$7)))</f>
        <v/>
      </c>
      <c r="K1476" s="0" t="str">
        <f aca="false">IF(I1476="","",J1476*הגדרות!$E$6+I1476+1)</f>
        <v/>
      </c>
      <c r="L1476" s="0" t="str">
        <f aca="false">IF(K1476="","",MATCH(K1476,$F$2:$F$5001,0))</f>
        <v/>
      </c>
      <c r="M1476" s="0" t="str">
        <f aca="false">IF(I1476="","",INDEX(הגדרות!$A$2:$A$21,MOD(I1476+הגדרות!$E$9,הגדרות!$E$6)+1))</f>
        <v/>
      </c>
    </row>
    <row r="1477" customFormat="false" ht="15" hidden="false" customHeight="false" outlineLevel="0" collapsed="false">
      <c r="A1477" s="0" t="str">
        <f aca="false">IF('הדבקת לידים'!A1477="","",IF(ISNUMBER('הדבקת לידים'!A1477),IF(הגדרות!$E$2&gt;0,TEXT('הדבקת לידים'!A1477,REPT("0",הגדרות!$E$2)),TEXT('הדבקת לידים'!A1477,"0")),TRIM('הדבקת לידים'!A1477)))</f>
        <v/>
      </c>
      <c r="B1477" s="0" t="str">
        <f aca="false">IF('הדבקת לידים'!B1477="","",IF(ISNUMBER('הדבקת לידים'!B1477),IF(הגדרות!$E$3&gt;0,TEXT('הדבקת לידים'!B1477,REPT("0",הגדרות!$E$3)),TEXT('הדבקת לידים'!B1477,"0")),TRIM('הדבקת לידים'!B1477)))</f>
        <v/>
      </c>
      <c r="C1477" s="0" t="n">
        <f aca="false">IF(OR(A1477&lt;&gt;"",B1477&lt;&gt;""),1,0)</f>
        <v>0</v>
      </c>
      <c r="D1477" s="0" t="str">
        <f aca="false">IF(C1477=1,MOD(ABS(SIN(ROW()*12.9898+'הדבקת לידים'!$F$2*78.233+IFERROR(--RIGHT(A1477,6),LEN(A1477))*0.0137+IFERROR(--RIGHT(B1477,6),LEN(B1477))*0.0071))*43758.5453,1),"")</f>
        <v/>
      </c>
      <c r="E1477" s="0" t="str">
        <f aca="false">IF(C1477=1,INT(MOD(ABS(SIN(D1477*7919.123+ROW()*0.618+'הדבקת לידים'!$F$2*1.3))*43758.5453,1)*1000000)*10000+ROW(),"")</f>
        <v/>
      </c>
      <c r="F1477" s="0" t="str">
        <f aca="false">IF(E1477="","",RANK(E1477,$E$2:$E$5001,1))</f>
        <v/>
      </c>
      <c r="G1477" s="0" t="n">
        <f aca="false">IF(A1477="",0,IF(SUMPRODUCT(--($A$2:$A$5001=A1477))&gt;1,1,0))</f>
        <v>0</v>
      </c>
      <c r="H1477" s="0" t="n">
        <f aca="false">ROW()-1</f>
        <v>1476</v>
      </c>
      <c r="I1477" s="0" t="str">
        <f aca="false">IF(OR(הגדרות!$E$6=0,H1477&gt;הגדרות!$E$5),"",IF(H1477-1&lt;הגדרות!$E$8*(הגדרות!$E$7+1),INT((H1477-1)/(הגדרות!$E$7+1)),הגדרות!$E$8+INT((H1477-1-הגדרות!$E$8*(הגדרות!$E$7+1))/הגדרות!$E$7)))</f>
        <v/>
      </c>
      <c r="J1477" s="0" t="str">
        <f aca="false">IF(I1477="","",IF(H1477-1&lt;הגדרות!$E$8*(הגדרות!$E$7+1),MOD(H1477-1,הגדרות!$E$7+1),MOD(H1477-1-הגדרות!$E$8*(הגדרות!$E$7+1),הגדרות!$E$7)))</f>
        <v/>
      </c>
      <c r="K1477" s="0" t="str">
        <f aca="false">IF(I1477="","",J1477*הגדרות!$E$6+I1477+1)</f>
        <v/>
      </c>
      <c r="L1477" s="0" t="str">
        <f aca="false">IF(K1477="","",MATCH(K1477,$F$2:$F$5001,0))</f>
        <v/>
      </c>
      <c r="M1477" s="0" t="str">
        <f aca="false">IF(I1477="","",INDEX(הגדרות!$A$2:$A$21,MOD(I1477+הגדרות!$E$9,הגדרות!$E$6)+1))</f>
        <v/>
      </c>
    </row>
    <row r="1478" customFormat="false" ht="15" hidden="false" customHeight="false" outlineLevel="0" collapsed="false">
      <c r="A1478" s="0" t="str">
        <f aca="false">IF('הדבקת לידים'!A1478="","",IF(ISNUMBER('הדבקת לידים'!A1478),IF(הגדרות!$E$2&gt;0,TEXT('הדבקת לידים'!A1478,REPT("0",הגדרות!$E$2)),TEXT('הדבקת לידים'!A1478,"0")),TRIM('הדבקת לידים'!A1478)))</f>
        <v/>
      </c>
      <c r="B1478" s="0" t="str">
        <f aca="false">IF('הדבקת לידים'!B1478="","",IF(ISNUMBER('הדבקת לידים'!B1478),IF(הגדרות!$E$3&gt;0,TEXT('הדבקת לידים'!B1478,REPT("0",הגדרות!$E$3)),TEXT('הדבקת לידים'!B1478,"0")),TRIM('הדבקת לידים'!B1478)))</f>
        <v/>
      </c>
      <c r="C1478" s="0" t="n">
        <f aca="false">IF(OR(A1478&lt;&gt;"",B1478&lt;&gt;""),1,0)</f>
        <v>0</v>
      </c>
      <c r="D1478" s="0" t="str">
        <f aca="false">IF(C1478=1,MOD(ABS(SIN(ROW()*12.9898+'הדבקת לידים'!$F$2*78.233+IFERROR(--RIGHT(A1478,6),LEN(A1478))*0.0137+IFERROR(--RIGHT(B1478,6),LEN(B1478))*0.0071))*43758.5453,1),"")</f>
        <v/>
      </c>
      <c r="E1478" s="0" t="str">
        <f aca="false">IF(C1478=1,INT(MOD(ABS(SIN(D1478*7919.123+ROW()*0.618+'הדבקת לידים'!$F$2*1.3))*43758.5453,1)*1000000)*10000+ROW(),"")</f>
        <v/>
      </c>
      <c r="F1478" s="0" t="str">
        <f aca="false">IF(E1478="","",RANK(E1478,$E$2:$E$5001,1))</f>
        <v/>
      </c>
      <c r="G1478" s="0" t="n">
        <f aca="false">IF(A1478="",0,IF(SUMPRODUCT(--($A$2:$A$5001=A1478))&gt;1,1,0))</f>
        <v>0</v>
      </c>
      <c r="H1478" s="0" t="n">
        <f aca="false">ROW()-1</f>
        <v>1477</v>
      </c>
      <c r="I1478" s="0" t="str">
        <f aca="false">IF(OR(הגדרות!$E$6=0,H1478&gt;הגדרות!$E$5),"",IF(H1478-1&lt;הגדרות!$E$8*(הגדרות!$E$7+1),INT((H1478-1)/(הגדרות!$E$7+1)),הגדרות!$E$8+INT((H1478-1-הגדרות!$E$8*(הגדרות!$E$7+1))/הגדרות!$E$7)))</f>
        <v/>
      </c>
      <c r="J1478" s="0" t="str">
        <f aca="false">IF(I1478="","",IF(H1478-1&lt;הגדרות!$E$8*(הגדרות!$E$7+1),MOD(H1478-1,הגדרות!$E$7+1),MOD(H1478-1-הגדרות!$E$8*(הגדרות!$E$7+1),הגדרות!$E$7)))</f>
        <v/>
      </c>
      <c r="K1478" s="0" t="str">
        <f aca="false">IF(I1478="","",J1478*הגדרות!$E$6+I1478+1)</f>
        <v/>
      </c>
      <c r="L1478" s="0" t="str">
        <f aca="false">IF(K1478="","",MATCH(K1478,$F$2:$F$5001,0))</f>
        <v/>
      </c>
      <c r="M1478" s="0" t="str">
        <f aca="false">IF(I1478="","",INDEX(הגדרות!$A$2:$A$21,MOD(I1478+הגדרות!$E$9,הגדרות!$E$6)+1))</f>
        <v/>
      </c>
    </row>
    <row r="1479" customFormat="false" ht="15" hidden="false" customHeight="false" outlineLevel="0" collapsed="false">
      <c r="A1479" s="0" t="str">
        <f aca="false">IF('הדבקת לידים'!A1479="","",IF(ISNUMBER('הדבקת לידים'!A1479),IF(הגדרות!$E$2&gt;0,TEXT('הדבקת לידים'!A1479,REPT("0",הגדרות!$E$2)),TEXT('הדבקת לידים'!A1479,"0")),TRIM('הדבקת לידים'!A1479)))</f>
        <v/>
      </c>
      <c r="B1479" s="0" t="str">
        <f aca="false">IF('הדבקת לידים'!B1479="","",IF(ISNUMBER('הדבקת לידים'!B1479),IF(הגדרות!$E$3&gt;0,TEXT('הדבקת לידים'!B1479,REPT("0",הגדרות!$E$3)),TEXT('הדבקת לידים'!B1479,"0")),TRIM('הדבקת לידים'!B1479)))</f>
        <v/>
      </c>
      <c r="C1479" s="0" t="n">
        <f aca="false">IF(OR(A1479&lt;&gt;"",B1479&lt;&gt;""),1,0)</f>
        <v>0</v>
      </c>
      <c r="D1479" s="0" t="str">
        <f aca="false">IF(C1479=1,MOD(ABS(SIN(ROW()*12.9898+'הדבקת לידים'!$F$2*78.233+IFERROR(--RIGHT(A1479,6),LEN(A1479))*0.0137+IFERROR(--RIGHT(B1479,6),LEN(B1479))*0.0071))*43758.5453,1),"")</f>
        <v/>
      </c>
      <c r="E1479" s="0" t="str">
        <f aca="false">IF(C1479=1,INT(MOD(ABS(SIN(D1479*7919.123+ROW()*0.618+'הדבקת לידים'!$F$2*1.3))*43758.5453,1)*1000000)*10000+ROW(),"")</f>
        <v/>
      </c>
      <c r="F1479" s="0" t="str">
        <f aca="false">IF(E1479="","",RANK(E1479,$E$2:$E$5001,1))</f>
        <v/>
      </c>
      <c r="G1479" s="0" t="n">
        <f aca="false">IF(A1479="",0,IF(SUMPRODUCT(--($A$2:$A$5001=A1479))&gt;1,1,0))</f>
        <v>0</v>
      </c>
      <c r="H1479" s="0" t="n">
        <f aca="false">ROW()-1</f>
        <v>1478</v>
      </c>
      <c r="I1479" s="0" t="str">
        <f aca="false">IF(OR(הגדרות!$E$6=0,H1479&gt;הגדרות!$E$5),"",IF(H1479-1&lt;הגדרות!$E$8*(הגדרות!$E$7+1),INT((H1479-1)/(הגדרות!$E$7+1)),הגדרות!$E$8+INT((H1479-1-הגדרות!$E$8*(הגדרות!$E$7+1))/הגדרות!$E$7)))</f>
        <v/>
      </c>
      <c r="J1479" s="0" t="str">
        <f aca="false">IF(I1479="","",IF(H1479-1&lt;הגדרות!$E$8*(הגדרות!$E$7+1),MOD(H1479-1,הגדרות!$E$7+1),MOD(H1479-1-הגדרות!$E$8*(הגדרות!$E$7+1),הגדרות!$E$7)))</f>
        <v/>
      </c>
      <c r="K1479" s="0" t="str">
        <f aca="false">IF(I1479="","",J1479*הגדרות!$E$6+I1479+1)</f>
        <v/>
      </c>
      <c r="L1479" s="0" t="str">
        <f aca="false">IF(K1479="","",MATCH(K1479,$F$2:$F$5001,0))</f>
        <v/>
      </c>
      <c r="M1479" s="0" t="str">
        <f aca="false">IF(I1479="","",INDEX(הגדרות!$A$2:$A$21,MOD(I1479+הגדרות!$E$9,הגדרות!$E$6)+1))</f>
        <v/>
      </c>
    </row>
    <row r="1480" customFormat="false" ht="15" hidden="false" customHeight="false" outlineLevel="0" collapsed="false">
      <c r="A1480" s="0" t="str">
        <f aca="false">IF('הדבקת לידים'!A1480="","",IF(ISNUMBER('הדבקת לידים'!A1480),IF(הגדרות!$E$2&gt;0,TEXT('הדבקת לידים'!A1480,REPT("0",הגדרות!$E$2)),TEXT('הדבקת לידים'!A1480,"0")),TRIM('הדבקת לידים'!A1480)))</f>
        <v/>
      </c>
      <c r="B1480" s="0" t="str">
        <f aca="false">IF('הדבקת לידים'!B1480="","",IF(ISNUMBER('הדבקת לידים'!B1480),IF(הגדרות!$E$3&gt;0,TEXT('הדבקת לידים'!B1480,REPT("0",הגדרות!$E$3)),TEXT('הדבקת לידים'!B1480,"0")),TRIM('הדבקת לידים'!B1480)))</f>
        <v/>
      </c>
      <c r="C1480" s="0" t="n">
        <f aca="false">IF(OR(A1480&lt;&gt;"",B1480&lt;&gt;""),1,0)</f>
        <v>0</v>
      </c>
      <c r="D1480" s="0" t="str">
        <f aca="false">IF(C1480=1,MOD(ABS(SIN(ROW()*12.9898+'הדבקת לידים'!$F$2*78.233+IFERROR(--RIGHT(A1480,6),LEN(A1480))*0.0137+IFERROR(--RIGHT(B1480,6),LEN(B1480))*0.0071))*43758.5453,1),"")</f>
        <v/>
      </c>
      <c r="E1480" s="0" t="str">
        <f aca="false">IF(C1480=1,INT(MOD(ABS(SIN(D1480*7919.123+ROW()*0.618+'הדבקת לידים'!$F$2*1.3))*43758.5453,1)*1000000)*10000+ROW(),"")</f>
        <v/>
      </c>
      <c r="F1480" s="0" t="str">
        <f aca="false">IF(E1480="","",RANK(E1480,$E$2:$E$5001,1))</f>
        <v/>
      </c>
      <c r="G1480" s="0" t="n">
        <f aca="false">IF(A1480="",0,IF(SUMPRODUCT(--($A$2:$A$5001=A1480))&gt;1,1,0))</f>
        <v>0</v>
      </c>
      <c r="H1480" s="0" t="n">
        <f aca="false">ROW()-1</f>
        <v>1479</v>
      </c>
      <c r="I1480" s="0" t="str">
        <f aca="false">IF(OR(הגדרות!$E$6=0,H1480&gt;הגדרות!$E$5),"",IF(H1480-1&lt;הגדרות!$E$8*(הגדרות!$E$7+1),INT((H1480-1)/(הגדרות!$E$7+1)),הגדרות!$E$8+INT((H1480-1-הגדרות!$E$8*(הגדרות!$E$7+1))/הגדרות!$E$7)))</f>
        <v/>
      </c>
      <c r="J1480" s="0" t="str">
        <f aca="false">IF(I1480="","",IF(H1480-1&lt;הגדרות!$E$8*(הגדרות!$E$7+1),MOD(H1480-1,הגדרות!$E$7+1),MOD(H1480-1-הגדרות!$E$8*(הגדרות!$E$7+1),הגדרות!$E$7)))</f>
        <v/>
      </c>
      <c r="K1480" s="0" t="str">
        <f aca="false">IF(I1480="","",J1480*הגדרות!$E$6+I1480+1)</f>
        <v/>
      </c>
      <c r="L1480" s="0" t="str">
        <f aca="false">IF(K1480="","",MATCH(K1480,$F$2:$F$5001,0))</f>
        <v/>
      </c>
      <c r="M1480" s="0" t="str">
        <f aca="false">IF(I1480="","",INDEX(הגדרות!$A$2:$A$21,MOD(I1480+הגדרות!$E$9,הגדרות!$E$6)+1))</f>
        <v/>
      </c>
    </row>
    <row r="1481" customFormat="false" ht="15" hidden="false" customHeight="false" outlineLevel="0" collapsed="false">
      <c r="A1481" s="0" t="str">
        <f aca="false">IF('הדבקת לידים'!A1481="","",IF(ISNUMBER('הדבקת לידים'!A1481),IF(הגדרות!$E$2&gt;0,TEXT('הדבקת לידים'!A1481,REPT("0",הגדרות!$E$2)),TEXT('הדבקת לידים'!A1481,"0")),TRIM('הדבקת לידים'!A1481)))</f>
        <v/>
      </c>
      <c r="B1481" s="0" t="str">
        <f aca="false">IF('הדבקת לידים'!B1481="","",IF(ISNUMBER('הדבקת לידים'!B1481),IF(הגדרות!$E$3&gt;0,TEXT('הדבקת לידים'!B1481,REPT("0",הגדרות!$E$3)),TEXT('הדבקת לידים'!B1481,"0")),TRIM('הדבקת לידים'!B1481)))</f>
        <v/>
      </c>
      <c r="C1481" s="0" t="n">
        <f aca="false">IF(OR(A1481&lt;&gt;"",B1481&lt;&gt;""),1,0)</f>
        <v>0</v>
      </c>
      <c r="D1481" s="0" t="str">
        <f aca="false">IF(C1481=1,MOD(ABS(SIN(ROW()*12.9898+'הדבקת לידים'!$F$2*78.233+IFERROR(--RIGHT(A1481,6),LEN(A1481))*0.0137+IFERROR(--RIGHT(B1481,6),LEN(B1481))*0.0071))*43758.5453,1),"")</f>
        <v/>
      </c>
      <c r="E1481" s="0" t="str">
        <f aca="false">IF(C1481=1,INT(MOD(ABS(SIN(D1481*7919.123+ROW()*0.618+'הדבקת לידים'!$F$2*1.3))*43758.5453,1)*1000000)*10000+ROW(),"")</f>
        <v/>
      </c>
      <c r="F1481" s="0" t="str">
        <f aca="false">IF(E1481="","",RANK(E1481,$E$2:$E$5001,1))</f>
        <v/>
      </c>
      <c r="G1481" s="0" t="n">
        <f aca="false">IF(A1481="",0,IF(SUMPRODUCT(--($A$2:$A$5001=A1481))&gt;1,1,0))</f>
        <v>0</v>
      </c>
      <c r="H1481" s="0" t="n">
        <f aca="false">ROW()-1</f>
        <v>1480</v>
      </c>
      <c r="I1481" s="0" t="str">
        <f aca="false">IF(OR(הגדרות!$E$6=0,H1481&gt;הגדרות!$E$5),"",IF(H1481-1&lt;הגדרות!$E$8*(הגדרות!$E$7+1),INT((H1481-1)/(הגדרות!$E$7+1)),הגדרות!$E$8+INT((H1481-1-הגדרות!$E$8*(הגדרות!$E$7+1))/הגדרות!$E$7)))</f>
        <v/>
      </c>
      <c r="J1481" s="0" t="str">
        <f aca="false">IF(I1481="","",IF(H1481-1&lt;הגדרות!$E$8*(הגדרות!$E$7+1),MOD(H1481-1,הגדרות!$E$7+1),MOD(H1481-1-הגדרות!$E$8*(הגדרות!$E$7+1),הגדרות!$E$7)))</f>
        <v/>
      </c>
      <c r="K1481" s="0" t="str">
        <f aca="false">IF(I1481="","",J1481*הגדרות!$E$6+I1481+1)</f>
        <v/>
      </c>
      <c r="L1481" s="0" t="str">
        <f aca="false">IF(K1481="","",MATCH(K1481,$F$2:$F$5001,0))</f>
        <v/>
      </c>
      <c r="M1481" s="0" t="str">
        <f aca="false">IF(I1481="","",INDEX(הגדרות!$A$2:$A$21,MOD(I1481+הגדרות!$E$9,הגדרות!$E$6)+1))</f>
        <v/>
      </c>
    </row>
    <row r="1482" customFormat="false" ht="15" hidden="false" customHeight="false" outlineLevel="0" collapsed="false">
      <c r="A1482" s="0" t="str">
        <f aca="false">IF('הדבקת לידים'!A1482="","",IF(ISNUMBER('הדבקת לידים'!A1482),IF(הגדרות!$E$2&gt;0,TEXT('הדבקת לידים'!A1482,REPT("0",הגדרות!$E$2)),TEXT('הדבקת לידים'!A1482,"0")),TRIM('הדבקת לידים'!A1482)))</f>
        <v/>
      </c>
      <c r="B1482" s="0" t="str">
        <f aca="false">IF('הדבקת לידים'!B1482="","",IF(ISNUMBER('הדבקת לידים'!B1482),IF(הגדרות!$E$3&gt;0,TEXT('הדבקת לידים'!B1482,REPT("0",הגדרות!$E$3)),TEXT('הדבקת לידים'!B1482,"0")),TRIM('הדבקת לידים'!B1482)))</f>
        <v/>
      </c>
      <c r="C1482" s="0" t="n">
        <f aca="false">IF(OR(A1482&lt;&gt;"",B1482&lt;&gt;""),1,0)</f>
        <v>0</v>
      </c>
      <c r="D1482" s="0" t="str">
        <f aca="false">IF(C1482=1,MOD(ABS(SIN(ROW()*12.9898+'הדבקת לידים'!$F$2*78.233+IFERROR(--RIGHT(A1482,6),LEN(A1482))*0.0137+IFERROR(--RIGHT(B1482,6),LEN(B1482))*0.0071))*43758.5453,1),"")</f>
        <v/>
      </c>
      <c r="E1482" s="0" t="str">
        <f aca="false">IF(C1482=1,INT(MOD(ABS(SIN(D1482*7919.123+ROW()*0.618+'הדבקת לידים'!$F$2*1.3))*43758.5453,1)*1000000)*10000+ROW(),"")</f>
        <v/>
      </c>
      <c r="F1482" s="0" t="str">
        <f aca="false">IF(E1482="","",RANK(E1482,$E$2:$E$5001,1))</f>
        <v/>
      </c>
      <c r="G1482" s="0" t="n">
        <f aca="false">IF(A1482="",0,IF(SUMPRODUCT(--($A$2:$A$5001=A1482))&gt;1,1,0))</f>
        <v>0</v>
      </c>
      <c r="H1482" s="0" t="n">
        <f aca="false">ROW()-1</f>
        <v>1481</v>
      </c>
      <c r="I1482" s="0" t="str">
        <f aca="false">IF(OR(הגדרות!$E$6=0,H1482&gt;הגדרות!$E$5),"",IF(H1482-1&lt;הגדרות!$E$8*(הגדרות!$E$7+1),INT((H1482-1)/(הגדרות!$E$7+1)),הגדרות!$E$8+INT((H1482-1-הגדרות!$E$8*(הגדרות!$E$7+1))/הגדרות!$E$7)))</f>
        <v/>
      </c>
      <c r="J1482" s="0" t="str">
        <f aca="false">IF(I1482="","",IF(H1482-1&lt;הגדרות!$E$8*(הגדרות!$E$7+1),MOD(H1482-1,הגדרות!$E$7+1),MOD(H1482-1-הגדרות!$E$8*(הגדרות!$E$7+1),הגדרות!$E$7)))</f>
        <v/>
      </c>
      <c r="K1482" s="0" t="str">
        <f aca="false">IF(I1482="","",J1482*הגדרות!$E$6+I1482+1)</f>
        <v/>
      </c>
      <c r="L1482" s="0" t="str">
        <f aca="false">IF(K1482="","",MATCH(K1482,$F$2:$F$5001,0))</f>
        <v/>
      </c>
      <c r="M1482" s="0" t="str">
        <f aca="false">IF(I1482="","",INDEX(הגדרות!$A$2:$A$21,MOD(I1482+הגדרות!$E$9,הגדרות!$E$6)+1))</f>
        <v/>
      </c>
    </row>
    <row r="1483" customFormat="false" ht="15" hidden="false" customHeight="false" outlineLevel="0" collapsed="false">
      <c r="A1483" s="0" t="str">
        <f aca="false">IF('הדבקת לידים'!A1483="","",IF(ISNUMBER('הדבקת לידים'!A1483),IF(הגדרות!$E$2&gt;0,TEXT('הדבקת לידים'!A1483,REPT("0",הגדרות!$E$2)),TEXT('הדבקת לידים'!A1483,"0")),TRIM('הדבקת לידים'!A1483)))</f>
        <v/>
      </c>
      <c r="B1483" s="0" t="str">
        <f aca="false">IF('הדבקת לידים'!B1483="","",IF(ISNUMBER('הדבקת לידים'!B1483),IF(הגדרות!$E$3&gt;0,TEXT('הדבקת לידים'!B1483,REPT("0",הגדרות!$E$3)),TEXT('הדבקת לידים'!B1483,"0")),TRIM('הדבקת לידים'!B1483)))</f>
        <v/>
      </c>
      <c r="C1483" s="0" t="n">
        <f aca="false">IF(OR(A1483&lt;&gt;"",B1483&lt;&gt;""),1,0)</f>
        <v>0</v>
      </c>
      <c r="D1483" s="0" t="str">
        <f aca="false">IF(C1483=1,MOD(ABS(SIN(ROW()*12.9898+'הדבקת לידים'!$F$2*78.233+IFERROR(--RIGHT(A1483,6),LEN(A1483))*0.0137+IFERROR(--RIGHT(B1483,6),LEN(B1483))*0.0071))*43758.5453,1),"")</f>
        <v/>
      </c>
      <c r="E1483" s="0" t="str">
        <f aca="false">IF(C1483=1,INT(MOD(ABS(SIN(D1483*7919.123+ROW()*0.618+'הדבקת לידים'!$F$2*1.3))*43758.5453,1)*1000000)*10000+ROW(),"")</f>
        <v/>
      </c>
      <c r="F1483" s="0" t="str">
        <f aca="false">IF(E1483="","",RANK(E1483,$E$2:$E$5001,1))</f>
        <v/>
      </c>
      <c r="G1483" s="0" t="n">
        <f aca="false">IF(A1483="",0,IF(SUMPRODUCT(--($A$2:$A$5001=A1483))&gt;1,1,0))</f>
        <v>0</v>
      </c>
      <c r="H1483" s="0" t="n">
        <f aca="false">ROW()-1</f>
        <v>1482</v>
      </c>
      <c r="I1483" s="0" t="str">
        <f aca="false">IF(OR(הגדרות!$E$6=0,H1483&gt;הגדרות!$E$5),"",IF(H1483-1&lt;הגדרות!$E$8*(הגדרות!$E$7+1),INT((H1483-1)/(הגדרות!$E$7+1)),הגדרות!$E$8+INT((H1483-1-הגדרות!$E$8*(הגדרות!$E$7+1))/הגדרות!$E$7)))</f>
        <v/>
      </c>
      <c r="J1483" s="0" t="str">
        <f aca="false">IF(I1483="","",IF(H1483-1&lt;הגדרות!$E$8*(הגדרות!$E$7+1),MOD(H1483-1,הגדרות!$E$7+1),MOD(H1483-1-הגדרות!$E$8*(הגדרות!$E$7+1),הגדרות!$E$7)))</f>
        <v/>
      </c>
      <c r="K1483" s="0" t="str">
        <f aca="false">IF(I1483="","",J1483*הגדרות!$E$6+I1483+1)</f>
        <v/>
      </c>
      <c r="L1483" s="0" t="str">
        <f aca="false">IF(K1483="","",MATCH(K1483,$F$2:$F$5001,0))</f>
        <v/>
      </c>
      <c r="M1483" s="0" t="str">
        <f aca="false">IF(I1483="","",INDEX(הגדרות!$A$2:$A$21,MOD(I1483+הגדרות!$E$9,הגדרות!$E$6)+1))</f>
        <v/>
      </c>
    </row>
    <row r="1484" customFormat="false" ht="15" hidden="false" customHeight="false" outlineLevel="0" collapsed="false">
      <c r="A1484" s="0" t="str">
        <f aca="false">IF('הדבקת לידים'!A1484="","",IF(ISNUMBER('הדבקת לידים'!A1484),IF(הגדרות!$E$2&gt;0,TEXT('הדבקת לידים'!A1484,REPT("0",הגדרות!$E$2)),TEXT('הדבקת לידים'!A1484,"0")),TRIM('הדבקת לידים'!A1484)))</f>
        <v/>
      </c>
      <c r="B1484" s="0" t="str">
        <f aca="false">IF('הדבקת לידים'!B1484="","",IF(ISNUMBER('הדבקת לידים'!B1484),IF(הגדרות!$E$3&gt;0,TEXT('הדבקת לידים'!B1484,REPT("0",הגדרות!$E$3)),TEXT('הדבקת לידים'!B1484,"0")),TRIM('הדבקת לידים'!B1484)))</f>
        <v/>
      </c>
      <c r="C1484" s="0" t="n">
        <f aca="false">IF(OR(A1484&lt;&gt;"",B1484&lt;&gt;""),1,0)</f>
        <v>0</v>
      </c>
      <c r="D1484" s="0" t="str">
        <f aca="false">IF(C1484=1,MOD(ABS(SIN(ROW()*12.9898+'הדבקת לידים'!$F$2*78.233+IFERROR(--RIGHT(A1484,6),LEN(A1484))*0.0137+IFERROR(--RIGHT(B1484,6),LEN(B1484))*0.0071))*43758.5453,1),"")</f>
        <v/>
      </c>
      <c r="E1484" s="0" t="str">
        <f aca="false">IF(C1484=1,INT(MOD(ABS(SIN(D1484*7919.123+ROW()*0.618+'הדבקת לידים'!$F$2*1.3))*43758.5453,1)*1000000)*10000+ROW(),"")</f>
        <v/>
      </c>
      <c r="F1484" s="0" t="str">
        <f aca="false">IF(E1484="","",RANK(E1484,$E$2:$E$5001,1))</f>
        <v/>
      </c>
      <c r="G1484" s="0" t="n">
        <f aca="false">IF(A1484="",0,IF(SUMPRODUCT(--($A$2:$A$5001=A1484))&gt;1,1,0))</f>
        <v>0</v>
      </c>
      <c r="H1484" s="0" t="n">
        <f aca="false">ROW()-1</f>
        <v>1483</v>
      </c>
      <c r="I1484" s="0" t="str">
        <f aca="false">IF(OR(הגדרות!$E$6=0,H1484&gt;הגדרות!$E$5),"",IF(H1484-1&lt;הגדרות!$E$8*(הגדרות!$E$7+1),INT((H1484-1)/(הגדרות!$E$7+1)),הגדרות!$E$8+INT((H1484-1-הגדרות!$E$8*(הגדרות!$E$7+1))/הגדרות!$E$7)))</f>
        <v/>
      </c>
      <c r="J1484" s="0" t="str">
        <f aca="false">IF(I1484="","",IF(H1484-1&lt;הגדרות!$E$8*(הגדרות!$E$7+1),MOD(H1484-1,הגדרות!$E$7+1),MOD(H1484-1-הגדרות!$E$8*(הגדרות!$E$7+1),הגדרות!$E$7)))</f>
        <v/>
      </c>
      <c r="K1484" s="0" t="str">
        <f aca="false">IF(I1484="","",J1484*הגדרות!$E$6+I1484+1)</f>
        <v/>
      </c>
      <c r="L1484" s="0" t="str">
        <f aca="false">IF(K1484="","",MATCH(K1484,$F$2:$F$5001,0))</f>
        <v/>
      </c>
      <c r="M1484" s="0" t="str">
        <f aca="false">IF(I1484="","",INDEX(הגדרות!$A$2:$A$21,MOD(I1484+הגדרות!$E$9,הגדרות!$E$6)+1))</f>
        <v/>
      </c>
    </row>
    <row r="1485" customFormat="false" ht="15" hidden="false" customHeight="false" outlineLevel="0" collapsed="false">
      <c r="A1485" s="0" t="str">
        <f aca="false">IF('הדבקת לידים'!A1485="","",IF(ISNUMBER('הדבקת לידים'!A1485),IF(הגדרות!$E$2&gt;0,TEXT('הדבקת לידים'!A1485,REPT("0",הגדרות!$E$2)),TEXT('הדבקת לידים'!A1485,"0")),TRIM('הדבקת לידים'!A1485)))</f>
        <v/>
      </c>
      <c r="B1485" s="0" t="str">
        <f aca="false">IF('הדבקת לידים'!B1485="","",IF(ISNUMBER('הדבקת לידים'!B1485),IF(הגדרות!$E$3&gt;0,TEXT('הדבקת לידים'!B1485,REPT("0",הגדרות!$E$3)),TEXT('הדבקת לידים'!B1485,"0")),TRIM('הדבקת לידים'!B1485)))</f>
        <v/>
      </c>
      <c r="C1485" s="0" t="n">
        <f aca="false">IF(OR(A1485&lt;&gt;"",B1485&lt;&gt;""),1,0)</f>
        <v>0</v>
      </c>
      <c r="D1485" s="0" t="str">
        <f aca="false">IF(C1485=1,MOD(ABS(SIN(ROW()*12.9898+'הדבקת לידים'!$F$2*78.233+IFERROR(--RIGHT(A1485,6),LEN(A1485))*0.0137+IFERROR(--RIGHT(B1485,6),LEN(B1485))*0.0071))*43758.5453,1),"")</f>
        <v/>
      </c>
      <c r="E1485" s="0" t="str">
        <f aca="false">IF(C1485=1,INT(MOD(ABS(SIN(D1485*7919.123+ROW()*0.618+'הדבקת לידים'!$F$2*1.3))*43758.5453,1)*1000000)*10000+ROW(),"")</f>
        <v/>
      </c>
      <c r="F1485" s="0" t="str">
        <f aca="false">IF(E1485="","",RANK(E1485,$E$2:$E$5001,1))</f>
        <v/>
      </c>
      <c r="G1485" s="0" t="n">
        <f aca="false">IF(A1485="",0,IF(SUMPRODUCT(--($A$2:$A$5001=A1485))&gt;1,1,0))</f>
        <v>0</v>
      </c>
      <c r="H1485" s="0" t="n">
        <f aca="false">ROW()-1</f>
        <v>1484</v>
      </c>
      <c r="I1485" s="0" t="str">
        <f aca="false">IF(OR(הגדרות!$E$6=0,H1485&gt;הגדרות!$E$5),"",IF(H1485-1&lt;הגדרות!$E$8*(הגדרות!$E$7+1),INT((H1485-1)/(הגדרות!$E$7+1)),הגדרות!$E$8+INT((H1485-1-הגדרות!$E$8*(הגדרות!$E$7+1))/הגדרות!$E$7)))</f>
        <v/>
      </c>
      <c r="J1485" s="0" t="str">
        <f aca="false">IF(I1485="","",IF(H1485-1&lt;הגדרות!$E$8*(הגדרות!$E$7+1),MOD(H1485-1,הגדרות!$E$7+1),MOD(H1485-1-הגדרות!$E$8*(הגדרות!$E$7+1),הגדרות!$E$7)))</f>
        <v/>
      </c>
      <c r="K1485" s="0" t="str">
        <f aca="false">IF(I1485="","",J1485*הגדרות!$E$6+I1485+1)</f>
        <v/>
      </c>
      <c r="L1485" s="0" t="str">
        <f aca="false">IF(K1485="","",MATCH(K1485,$F$2:$F$5001,0))</f>
        <v/>
      </c>
      <c r="M1485" s="0" t="str">
        <f aca="false">IF(I1485="","",INDEX(הגדרות!$A$2:$A$21,MOD(I1485+הגדרות!$E$9,הגדרות!$E$6)+1))</f>
        <v/>
      </c>
    </row>
    <row r="1486" customFormat="false" ht="15" hidden="false" customHeight="false" outlineLevel="0" collapsed="false">
      <c r="A1486" s="0" t="str">
        <f aca="false">IF('הדבקת לידים'!A1486="","",IF(ISNUMBER('הדבקת לידים'!A1486),IF(הגדרות!$E$2&gt;0,TEXT('הדבקת לידים'!A1486,REPT("0",הגדרות!$E$2)),TEXT('הדבקת לידים'!A1486,"0")),TRIM('הדבקת לידים'!A1486)))</f>
        <v/>
      </c>
      <c r="B1486" s="0" t="str">
        <f aca="false">IF('הדבקת לידים'!B1486="","",IF(ISNUMBER('הדבקת לידים'!B1486),IF(הגדרות!$E$3&gt;0,TEXT('הדבקת לידים'!B1486,REPT("0",הגדרות!$E$3)),TEXT('הדבקת לידים'!B1486,"0")),TRIM('הדבקת לידים'!B1486)))</f>
        <v/>
      </c>
      <c r="C1486" s="0" t="n">
        <f aca="false">IF(OR(A1486&lt;&gt;"",B1486&lt;&gt;""),1,0)</f>
        <v>0</v>
      </c>
      <c r="D1486" s="0" t="str">
        <f aca="false">IF(C1486=1,MOD(ABS(SIN(ROW()*12.9898+'הדבקת לידים'!$F$2*78.233+IFERROR(--RIGHT(A1486,6),LEN(A1486))*0.0137+IFERROR(--RIGHT(B1486,6),LEN(B1486))*0.0071))*43758.5453,1),"")</f>
        <v/>
      </c>
      <c r="E1486" s="0" t="str">
        <f aca="false">IF(C1486=1,INT(MOD(ABS(SIN(D1486*7919.123+ROW()*0.618+'הדבקת לידים'!$F$2*1.3))*43758.5453,1)*1000000)*10000+ROW(),"")</f>
        <v/>
      </c>
      <c r="F1486" s="0" t="str">
        <f aca="false">IF(E1486="","",RANK(E1486,$E$2:$E$5001,1))</f>
        <v/>
      </c>
      <c r="G1486" s="0" t="n">
        <f aca="false">IF(A1486="",0,IF(SUMPRODUCT(--($A$2:$A$5001=A1486))&gt;1,1,0))</f>
        <v>0</v>
      </c>
      <c r="H1486" s="0" t="n">
        <f aca="false">ROW()-1</f>
        <v>1485</v>
      </c>
      <c r="I1486" s="0" t="str">
        <f aca="false">IF(OR(הגדרות!$E$6=0,H1486&gt;הגדרות!$E$5),"",IF(H1486-1&lt;הגדרות!$E$8*(הגדרות!$E$7+1),INT((H1486-1)/(הגדרות!$E$7+1)),הגדרות!$E$8+INT((H1486-1-הגדרות!$E$8*(הגדרות!$E$7+1))/הגדרות!$E$7)))</f>
        <v/>
      </c>
      <c r="J1486" s="0" t="str">
        <f aca="false">IF(I1486="","",IF(H1486-1&lt;הגדרות!$E$8*(הגדרות!$E$7+1),MOD(H1486-1,הגדרות!$E$7+1),MOD(H1486-1-הגדרות!$E$8*(הגדרות!$E$7+1),הגדרות!$E$7)))</f>
        <v/>
      </c>
      <c r="K1486" s="0" t="str">
        <f aca="false">IF(I1486="","",J1486*הגדרות!$E$6+I1486+1)</f>
        <v/>
      </c>
      <c r="L1486" s="0" t="str">
        <f aca="false">IF(K1486="","",MATCH(K1486,$F$2:$F$5001,0))</f>
        <v/>
      </c>
      <c r="M1486" s="0" t="str">
        <f aca="false">IF(I1486="","",INDEX(הגדרות!$A$2:$A$21,MOD(I1486+הגדרות!$E$9,הגדרות!$E$6)+1))</f>
        <v/>
      </c>
    </row>
    <row r="1487" customFormat="false" ht="15" hidden="false" customHeight="false" outlineLevel="0" collapsed="false">
      <c r="A1487" s="0" t="str">
        <f aca="false">IF('הדבקת לידים'!A1487="","",IF(ISNUMBER('הדבקת לידים'!A1487),IF(הגדרות!$E$2&gt;0,TEXT('הדבקת לידים'!A1487,REPT("0",הגדרות!$E$2)),TEXT('הדבקת לידים'!A1487,"0")),TRIM('הדבקת לידים'!A1487)))</f>
        <v/>
      </c>
      <c r="B1487" s="0" t="str">
        <f aca="false">IF('הדבקת לידים'!B1487="","",IF(ISNUMBER('הדבקת לידים'!B1487),IF(הגדרות!$E$3&gt;0,TEXT('הדבקת לידים'!B1487,REPT("0",הגדרות!$E$3)),TEXT('הדבקת לידים'!B1487,"0")),TRIM('הדבקת לידים'!B1487)))</f>
        <v/>
      </c>
      <c r="C1487" s="0" t="n">
        <f aca="false">IF(OR(A1487&lt;&gt;"",B1487&lt;&gt;""),1,0)</f>
        <v>0</v>
      </c>
      <c r="D1487" s="0" t="str">
        <f aca="false">IF(C1487=1,MOD(ABS(SIN(ROW()*12.9898+'הדבקת לידים'!$F$2*78.233+IFERROR(--RIGHT(A1487,6),LEN(A1487))*0.0137+IFERROR(--RIGHT(B1487,6),LEN(B1487))*0.0071))*43758.5453,1),"")</f>
        <v/>
      </c>
      <c r="E1487" s="0" t="str">
        <f aca="false">IF(C1487=1,INT(MOD(ABS(SIN(D1487*7919.123+ROW()*0.618+'הדבקת לידים'!$F$2*1.3))*43758.5453,1)*1000000)*10000+ROW(),"")</f>
        <v/>
      </c>
      <c r="F1487" s="0" t="str">
        <f aca="false">IF(E1487="","",RANK(E1487,$E$2:$E$5001,1))</f>
        <v/>
      </c>
      <c r="G1487" s="0" t="n">
        <f aca="false">IF(A1487="",0,IF(SUMPRODUCT(--($A$2:$A$5001=A1487))&gt;1,1,0))</f>
        <v>0</v>
      </c>
      <c r="H1487" s="0" t="n">
        <f aca="false">ROW()-1</f>
        <v>1486</v>
      </c>
      <c r="I1487" s="0" t="str">
        <f aca="false">IF(OR(הגדרות!$E$6=0,H1487&gt;הגדרות!$E$5),"",IF(H1487-1&lt;הגדרות!$E$8*(הגדרות!$E$7+1),INT((H1487-1)/(הגדרות!$E$7+1)),הגדרות!$E$8+INT((H1487-1-הגדרות!$E$8*(הגדרות!$E$7+1))/הגדרות!$E$7)))</f>
        <v/>
      </c>
      <c r="J1487" s="0" t="str">
        <f aca="false">IF(I1487="","",IF(H1487-1&lt;הגדרות!$E$8*(הגדרות!$E$7+1),MOD(H1487-1,הגדרות!$E$7+1),MOD(H1487-1-הגדרות!$E$8*(הגדרות!$E$7+1),הגדרות!$E$7)))</f>
        <v/>
      </c>
      <c r="K1487" s="0" t="str">
        <f aca="false">IF(I1487="","",J1487*הגדרות!$E$6+I1487+1)</f>
        <v/>
      </c>
      <c r="L1487" s="0" t="str">
        <f aca="false">IF(K1487="","",MATCH(K1487,$F$2:$F$5001,0))</f>
        <v/>
      </c>
      <c r="M1487" s="0" t="str">
        <f aca="false">IF(I1487="","",INDEX(הגדרות!$A$2:$A$21,MOD(I1487+הגדרות!$E$9,הגדרות!$E$6)+1))</f>
        <v/>
      </c>
    </row>
    <row r="1488" customFormat="false" ht="15" hidden="false" customHeight="false" outlineLevel="0" collapsed="false">
      <c r="A1488" s="0" t="str">
        <f aca="false">IF('הדבקת לידים'!A1488="","",IF(ISNUMBER('הדבקת לידים'!A1488),IF(הגדרות!$E$2&gt;0,TEXT('הדבקת לידים'!A1488,REPT("0",הגדרות!$E$2)),TEXT('הדבקת לידים'!A1488,"0")),TRIM('הדבקת לידים'!A1488)))</f>
        <v/>
      </c>
      <c r="B1488" s="0" t="str">
        <f aca="false">IF('הדבקת לידים'!B1488="","",IF(ISNUMBER('הדבקת לידים'!B1488),IF(הגדרות!$E$3&gt;0,TEXT('הדבקת לידים'!B1488,REPT("0",הגדרות!$E$3)),TEXT('הדבקת לידים'!B1488,"0")),TRIM('הדבקת לידים'!B1488)))</f>
        <v/>
      </c>
      <c r="C1488" s="0" t="n">
        <f aca="false">IF(OR(A1488&lt;&gt;"",B1488&lt;&gt;""),1,0)</f>
        <v>0</v>
      </c>
      <c r="D1488" s="0" t="str">
        <f aca="false">IF(C1488=1,MOD(ABS(SIN(ROW()*12.9898+'הדבקת לידים'!$F$2*78.233+IFERROR(--RIGHT(A1488,6),LEN(A1488))*0.0137+IFERROR(--RIGHT(B1488,6),LEN(B1488))*0.0071))*43758.5453,1),"")</f>
        <v/>
      </c>
      <c r="E1488" s="0" t="str">
        <f aca="false">IF(C1488=1,INT(MOD(ABS(SIN(D1488*7919.123+ROW()*0.618+'הדבקת לידים'!$F$2*1.3))*43758.5453,1)*1000000)*10000+ROW(),"")</f>
        <v/>
      </c>
      <c r="F1488" s="0" t="str">
        <f aca="false">IF(E1488="","",RANK(E1488,$E$2:$E$5001,1))</f>
        <v/>
      </c>
      <c r="G1488" s="0" t="n">
        <f aca="false">IF(A1488="",0,IF(SUMPRODUCT(--($A$2:$A$5001=A1488))&gt;1,1,0))</f>
        <v>0</v>
      </c>
      <c r="H1488" s="0" t="n">
        <f aca="false">ROW()-1</f>
        <v>1487</v>
      </c>
      <c r="I1488" s="0" t="str">
        <f aca="false">IF(OR(הגדרות!$E$6=0,H1488&gt;הגדרות!$E$5),"",IF(H1488-1&lt;הגדרות!$E$8*(הגדרות!$E$7+1),INT((H1488-1)/(הגדרות!$E$7+1)),הגדרות!$E$8+INT((H1488-1-הגדרות!$E$8*(הגדרות!$E$7+1))/הגדרות!$E$7)))</f>
        <v/>
      </c>
      <c r="J1488" s="0" t="str">
        <f aca="false">IF(I1488="","",IF(H1488-1&lt;הגדרות!$E$8*(הגדרות!$E$7+1),MOD(H1488-1,הגדרות!$E$7+1),MOD(H1488-1-הגדרות!$E$8*(הגדרות!$E$7+1),הגדרות!$E$7)))</f>
        <v/>
      </c>
      <c r="K1488" s="0" t="str">
        <f aca="false">IF(I1488="","",J1488*הגדרות!$E$6+I1488+1)</f>
        <v/>
      </c>
      <c r="L1488" s="0" t="str">
        <f aca="false">IF(K1488="","",MATCH(K1488,$F$2:$F$5001,0))</f>
        <v/>
      </c>
      <c r="M1488" s="0" t="str">
        <f aca="false">IF(I1488="","",INDEX(הגדרות!$A$2:$A$21,MOD(I1488+הגדרות!$E$9,הגדרות!$E$6)+1))</f>
        <v/>
      </c>
    </row>
    <row r="1489" customFormat="false" ht="15" hidden="false" customHeight="false" outlineLevel="0" collapsed="false">
      <c r="A1489" s="0" t="str">
        <f aca="false">IF('הדבקת לידים'!A1489="","",IF(ISNUMBER('הדבקת לידים'!A1489),IF(הגדרות!$E$2&gt;0,TEXT('הדבקת לידים'!A1489,REPT("0",הגדרות!$E$2)),TEXT('הדבקת לידים'!A1489,"0")),TRIM('הדבקת לידים'!A1489)))</f>
        <v/>
      </c>
      <c r="B1489" s="0" t="str">
        <f aca="false">IF('הדבקת לידים'!B1489="","",IF(ISNUMBER('הדבקת לידים'!B1489),IF(הגדרות!$E$3&gt;0,TEXT('הדבקת לידים'!B1489,REPT("0",הגדרות!$E$3)),TEXT('הדבקת לידים'!B1489,"0")),TRIM('הדבקת לידים'!B1489)))</f>
        <v/>
      </c>
      <c r="C1489" s="0" t="n">
        <f aca="false">IF(OR(A1489&lt;&gt;"",B1489&lt;&gt;""),1,0)</f>
        <v>0</v>
      </c>
      <c r="D1489" s="0" t="str">
        <f aca="false">IF(C1489=1,MOD(ABS(SIN(ROW()*12.9898+'הדבקת לידים'!$F$2*78.233+IFERROR(--RIGHT(A1489,6),LEN(A1489))*0.0137+IFERROR(--RIGHT(B1489,6),LEN(B1489))*0.0071))*43758.5453,1),"")</f>
        <v/>
      </c>
      <c r="E1489" s="0" t="str">
        <f aca="false">IF(C1489=1,INT(MOD(ABS(SIN(D1489*7919.123+ROW()*0.618+'הדבקת לידים'!$F$2*1.3))*43758.5453,1)*1000000)*10000+ROW(),"")</f>
        <v/>
      </c>
      <c r="F1489" s="0" t="str">
        <f aca="false">IF(E1489="","",RANK(E1489,$E$2:$E$5001,1))</f>
        <v/>
      </c>
      <c r="G1489" s="0" t="n">
        <f aca="false">IF(A1489="",0,IF(SUMPRODUCT(--($A$2:$A$5001=A1489))&gt;1,1,0))</f>
        <v>0</v>
      </c>
      <c r="H1489" s="0" t="n">
        <f aca="false">ROW()-1</f>
        <v>1488</v>
      </c>
      <c r="I1489" s="0" t="str">
        <f aca="false">IF(OR(הגדרות!$E$6=0,H1489&gt;הגדרות!$E$5),"",IF(H1489-1&lt;הגדרות!$E$8*(הגדרות!$E$7+1),INT((H1489-1)/(הגדרות!$E$7+1)),הגדרות!$E$8+INT((H1489-1-הגדרות!$E$8*(הגדרות!$E$7+1))/הגדרות!$E$7)))</f>
        <v/>
      </c>
      <c r="J1489" s="0" t="str">
        <f aca="false">IF(I1489="","",IF(H1489-1&lt;הגדרות!$E$8*(הגדרות!$E$7+1),MOD(H1489-1,הגדרות!$E$7+1),MOD(H1489-1-הגדרות!$E$8*(הגדרות!$E$7+1),הגדרות!$E$7)))</f>
        <v/>
      </c>
      <c r="K1489" s="0" t="str">
        <f aca="false">IF(I1489="","",J1489*הגדרות!$E$6+I1489+1)</f>
        <v/>
      </c>
      <c r="L1489" s="0" t="str">
        <f aca="false">IF(K1489="","",MATCH(K1489,$F$2:$F$5001,0))</f>
        <v/>
      </c>
      <c r="M1489" s="0" t="str">
        <f aca="false">IF(I1489="","",INDEX(הגדרות!$A$2:$A$21,MOD(I1489+הגדרות!$E$9,הגדרות!$E$6)+1))</f>
        <v/>
      </c>
    </row>
    <row r="1490" customFormat="false" ht="15" hidden="false" customHeight="false" outlineLevel="0" collapsed="false">
      <c r="A1490" s="0" t="str">
        <f aca="false">IF('הדבקת לידים'!A1490="","",IF(ISNUMBER('הדבקת לידים'!A1490),IF(הגדרות!$E$2&gt;0,TEXT('הדבקת לידים'!A1490,REPT("0",הגדרות!$E$2)),TEXT('הדבקת לידים'!A1490,"0")),TRIM('הדבקת לידים'!A1490)))</f>
        <v/>
      </c>
      <c r="B1490" s="0" t="str">
        <f aca="false">IF('הדבקת לידים'!B1490="","",IF(ISNUMBER('הדבקת לידים'!B1490),IF(הגדרות!$E$3&gt;0,TEXT('הדבקת לידים'!B1490,REPT("0",הגדרות!$E$3)),TEXT('הדבקת לידים'!B1490,"0")),TRIM('הדבקת לידים'!B1490)))</f>
        <v/>
      </c>
      <c r="C1490" s="0" t="n">
        <f aca="false">IF(OR(A1490&lt;&gt;"",B1490&lt;&gt;""),1,0)</f>
        <v>0</v>
      </c>
      <c r="D1490" s="0" t="str">
        <f aca="false">IF(C1490=1,MOD(ABS(SIN(ROW()*12.9898+'הדבקת לידים'!$F$2*78.233+IFERROR(--RIGHT(A1490,6),LEN(A1490))*0.0137+IFERROR(--RIGHT(B1490,6),LEN(B1490))*0.0071))*43758.5453,1),"")</f>
        <v/>
      </c>
      <c r="E1490" s="0" t="str">
        <f aca="false">IF(C1490=1,INT(MOD(ABS(SIN(D1490*7919.123+ROW()*0.618+'הדבקת לידים'!$F$2*1.3))*43758.5453,1)*1000000)*10000+ROW(),"")</f>
        <v/>
      </c>
      <c r="F1490" s="0" t="str">
        <f aca="false">IF(E1490="","",RANK(E1490,$E$2:$E$5001,1))</f>
        <v/>
      </c>
      <c r="G1490" s="0" t="n">
        <f aca="false">IF(A1490="",0,IF(SUMPRODUCT(--($A$2:$A$5001=A1490))&gt;1,1,0))</f>
        <v>0</v>
      </c>
      <c r="H1490" s="0" t="n">
        <f aca="false">ROW()-1</f>
        <v>1489</v>
      </c>
      <c r="I1490" s="0" t="str">
        <f aca="false">IF(OR(הגדרות!$E$6=0,H1490&gt;הגדרות!$E$5),"",IF(H1490-1&lt;הגדרות!$E$8*(הגדרות!$E$7+1),INT((H1490-1)/(הגדרות!$E$7+1)),הגדרות!$E$8+INT((H1490-1-הגדרות!$E$8*(הגדרות!$E$7+1))/הגדרות!$E$7)))</f>
        <v/>
      </c>
      <c r="J1490" s="0" t="str">
        <f aca="false">IF(I1490="","",IF(H1490-1&lt;הגדרות!$E$8*(הגדרות!$E$7+1),MOD(H1490-1,הגדרות!$E$7+1),MOD(H1490-1-הגדרות!$E$8*(הגדרות!$E$7+1),הגדרות!$E$7)))</f>
        <v/>
      </c>
      <c r="K1490" s="0" t="str">
        <f aca="false">IF(I1490="","",J1490*הגדרות!$E$6+I1490+1)</f>
        <v/>
      </c>
      <c r="L1490" s="0" t="str">
        <f aca="false">IF(K1490="","",MATCH(K1490,$F$2:$F$5001,0))</f>
        <v/>
      </c>
      <c r="M1490" s="0" t="str">
        <f aca="false">IF(I1490="","",INDEX(הגדרות!$A$2:$A$21,MOD(I1490+הגדרות!$E$9,הגדרות!$E$6)+1))</f>
        <v/>
      </c>
    </row>
    <row r="1491" customFormat="false" ht="15" hidden="false" customHeight="false" outlineLevel="0" collapsed="false">
      <c r="A1491" s="0" t="str">
        <f aca="false">IF('הדבקת לידים'!A1491="","",IF(ISNUMBER('הדבקת לידים'!A1491),IF(הגדרות!$E$2&gt;0,TEXT('הדבקת לידים'!A1491,REPT("0",הגדרות!$E$2)),TEXT('הדבקת לידים'!A1491,"0")),TRIM('הדבקת לידים'!A1491)))</f>
        <v/>
      </c>
      <c r="B1491" s="0" t="str">
        <f aca="false">IF('הדבקת לידים'!B1491="","",IF(ISNUMBER('הדבקת לידים'!B1491),IF(הגדרות!$E$3&gt;0,TEXT('הדבקת לידים'!B1491,REPT("0",הגדרות!$E$3)),TEXT('הדבקת לידים'!B1491,"0")),TRIM('הדבקת לידים'!B1491)))</f>
        <v/>
      </c>
      <c r="C1491" s="0" t="n">
        <f aca="false">IF(OR(A1491&lt;&gt;"",B1491&lt;&gt;""),1,0)</f>
        <v>0</v>
      </c>
      <c r="D1491" s="0" t="str">
        <f aca="false">IF(C1491=1,MOD(ABS(SIN(ROW()*12.9898+'הדבקת לידים'!$F$2*78.233+IFERROR(--RIGHT(A1491,6),LEN(A1491))*0.0137+IFERROR(--RIGHT(B1491,6),LEN(B1491))*0.0071))*43758.5453,1),"")</f>
        <v/>
      </c>
      <c r="E1491" s="0" t="str">
        <f aca="false">IF(C1491=1,INT(MOD(ABS(SIN(D1491*7919.123+ROW()*0.618+'הדבקת לידים'!$F$2*1.3))*43758.5453,1)*1000000)*10000+ROW(),"")</f>
        <v/>
      </c>
      <c r="F1491" s="0" t="str">
        <f aca="false">IF(E1491="","",RANK(E1491,$E$2:$E$5001,1))</f>
        <v/>
      </c>
      <c r="G1491" s="0" t="n">
        <f aca="false">IF(A1491="",0,IF(SUMPRODUCT(--($A$2:$A$5001=A1491))&gt;1,1,0))</f>
        <v>0</v>
      </c>
      <c r="H1491" s="0" t="n">
        <f aca="false">ROW()-1</f>
        <v>1490</v>
      </c>
      <c r="I1491" s="0" t="str">
        <f aca="false">IF(OR(הגדרות!$E$6=0,H1491&gt;הגדרות!$E$5),"",IF(H1491-1&lt;הגדרות!$E$8*(הגדרות!$E$7+1),INT((H1491-1)/(הגדרות!$E$7+1)),הגדרות!$E$8+INT((H1491-1-הגדרות!$E$8*(הגדרות!$E$7+1))/הגדרות!$E$7)))</f>
        <v/>
      </c>
      <c r="J1491" s="0" t="str">
        <f aca="false">IF(I1491="","",IF(H1491-1&lt;הגדרות!$E$8*(הגדרות!$E$7+1),MOD(H1491-1,הגדרות!$E$7+1),MOD(H1491-1-הגדרות!$E$8*(הגדרות!$E$7+1),הגדרות!$E$7)))</f>
        <v/>
      </c>
      <c r="K1491" s="0" t="str">
        <f aca="false">IF(I1491="","",J1491*הגדרות!$E$6+I1491+1)</f>
        <v/>
      </c>
      <c r="L1491" s="0" t="str">
        <f aca="false">IF(K1491="","",MATCH(K1491,$F$2:$F$5001,0))</f>
        <v/>
      </c>
      <c r="M1491" s="0" t="str">
        <f aca="false">IF(I1491="","",INDEX(הגדרות!$A$2:$A$21,MOD(I1491+הגדרות!$E$9,הגדרות!$E$6)+1))</f>
        <v/>
      </c>
    </row>
    <row r="1492" customFormat="false" ht="15" hidden="false" customHeight="false" outlineLevel="0" collapsed="false">
      <c r="A1492" s="0" t="str">
        <f aca="false">IF('הדבקת לידים'!A1492="","",IF(ISNUMBER('הדבקת לידים'!A1492),IF(הגדרות!$E$2&gt;0,TEXT('הדבקת לידים'!A1492,REPT("0",הגדרות!$E$2)),TEXT('הדבקת לידים'!A1492,"0")),TRIM('הדבקת לידים'!A1492)))</f>
        <v/>
      </c>
      <c r="B1492" s="0" t="str">
        <f aca="false">IF('הדבקת לידים'!B1492="","",IF(ISNUMBER('הדבקת לידים'!B1492),IF(הגדרות!$E$3&gt;0,TEXT('הדבקת לידים'!B1492,REPT("0",הגדרות!$E$3)),TEXT('הדבקת לידים'!B1492,"0")),TRIM('הדבקת לידים'!B1492)))</f>
        <v/>
      </c>
      <c r="C1492" s="0" t="n">
        <f aca="false">IF(OR(A1492&lt;&gt;"",B1492&lt;&gt;""),1,0)</f>
        <v>0</v>
      </c>
      <c r="D1492" s="0" t="str">
        <f aca="false">IF(C1492=1,MOD(ABS(SIN(ROW()*12.9898+'הדבקת לידים'!$F$2*78.233+IFERROR(--RIGHT(A1492,6),LEN(A1492))*0.0137+IFERROR(--RIGHT(B1492,6),LEN(B1492))*0.0071))*43758.5453,1),"")</f>
        <v/>
      </c>
      <c r="E1492" s="0" t="str">
        <f aca="false">IF(C1492=1,INT(MOD(ABS(SIN(D1492*7919.123+ROW()*0.618+'הדבקת לידים'!$F$2*1.3))*43758.5453,1)*1000000)*10000+ROW(),"")</f>
        <v/>
      </c>
      <c r="F1492" s="0" t="str">
        <f aca="false">IF(E1492="","",RANK(E1492,$E$2:$E$5001,1))</f>
        <v/>
      </c>
      <c r="G1492" s="0" t="n">
        <f aca="false">IF(A1492="",0,IF(SUMPRODUCT(--($A$2:$A$5001=A1492))&gt;1,1,0))</f>
        <v>0</v>
      </c>
      <c r="H1492" s="0" t="n">
        <f aca="false">ROW()-1</f>
        <v>1491</v>
      </c>
      <c r="I1492" s="0" t="str">
        <f aca="false">IF(OR(הגדרות!$E$6=0,H1492&gt;הגדרות!$E$5),"",IF(H1492-1&lt;הגדרות!$E$8*(הגדרות!$E$7+1),INT((H1492-1)/(הגדרות!$E$7+1)),הגדרות!$E$8+INT((H1492-1-הגדרות!$E$8*(הגדרות!$E$7+1))/הגדרות!$E$7)))</f>
        <v/>
      </c>
      <c r="J1492" s="0" t="str">
        <f aca="false">IF(I1492="","",IF(H1492-1&lt;הגדרות!$E$8*(הגדרות!$E$7+1),MOD(H1492-1,הגדרות!$E$7+1),MOD(H1492-1-הגדרות!$E$8*(הגדרות!$E$7+1),הגדרות!$E$7)))</f>
        <v/>
      </c>
      <c r="K1492" s="0" t="str">
        <f aca="false">IF(I1492="","",J1492*הגדרות!$E$6+I1492+1)</f>
        <v/>
      </c>
      <c r="L1492" s="0" t="str">
        <f aca="false">IF(K1492="","",MATCH(K1492,$F$2:$F$5001,0))</f>
        <v/>
      </c>
      <c r="M1492" s="0" t="str">
        <f aca="false">IF(I1492="","",INDEX(הגדרות!$A$2:$A$21,MOD(I1492+הגדרות!$E$9,הגדרות!$E$6)+1))</f>
        <v/>
      </c>
    </row>
    <row r="1493" customFormat="false" ht="15" hidden="false" customHeight="false" outlineLevel="0" collapsed="false">
      <c r="A1493" s="0" t="str">
        <f aca="false">IF('הדבקת לידים'!A1493="","",IF(ISNUMBER('הדבקת לידים'!A1493),IF(הגדרות!$E$2&gt;0,TEXT('הדבקת לידים'!A1493,REPT("0",הגדרות!$E$2)),TEXT('הדבקת לידים'!A1493,"0")),TRIM('הדבקת לידים'!A1493)))</f>
        <v/>
      </c>
      <c r="B1493" s="0" t="str">
        <f aca="false">IF('הדבקת לידים'!B1493="","",IF(ISNUMBER('הדבקת לידים'!B1493),IF(הגדרות!$E$3&gt;0,TEXT('הדבקת לידים'!B1493,REPT("0",הגדרות!$E$3)),TEXT('הדבקת לידים'!B1493,"0")),TRIM('הדבקת לידים'!B1493)))</f>
        <v/>
      </c>
      <c r="C1493" s="0" t="n">
        <f aca="false">IF(OR(A1493&lt;&gt;"",B1493&lt;&gt;""),1,0)</f>
        <v>0</v>
      </c>
      <c r="D1493" s="0" t="str">
        <f aca="false">IF(C1493=1,MOD(ABS(SIN(ROW()*12.9898+'הדבקת לידים'!$F$2*78.233+IFERROR(--RIGHT(A1493,6),LEN(A1493))*0.0137+IFERROR(--RIGHT(B1493,6),LEN(B1493))*0.0071))*43758.5453,1),"")</f>
        <v/>
      </c>
      <c r="E1493" s="0" t="str">
        <f aca="false">IF(C1493=1,INT(MOD(ABS(SIN(D1493*7919.123+ROW()*0.618+'הדבקת לידים'!$F$2*1.3))*43758.5453,1)*1000000)*10000+ROW(),"")</f>
        <v/>
      </c>
      <c r="F1493" s="0" t="str">
        <f aca="false">IF(E1493="","",RANK(E1493,$E$2:$E$5001,1))</f>
        <v/>
      </c>
      <c r="G1493" s="0" t="n">
        <f aca="false">IF(A1493="",0,IF(SUMPRODUCT(--($A$2:$A$5001=A1493))&gt;1,1,0))</f>
        <v>0</v>
      </c>
      <c r="H1493" s="0" t="n">
        <f aca="false">ROW()-1</f>
        <v>1492</v>
      </c>
      <c r="I1493" s="0" t="str">
        <f aca="false">IF(OR(הגדרות!$E$6=0,H1493&gt;הגדרות!$E$5),"",IF(H1493-1&lt;הגדרות!$E$8*(הגדרות!$E$7+1),INT((H1493-1)/(הגדרות!$E$7+1)),הגדרות!$E$8+INT((H1493-1-הגדרות!$E$8*(הגדרות!$E$7+1))/הגדרות!$E$7)))</f>
        <v/>
      </c>
      <c r="J1493" s="0" t="str">
        <f aca="false">IF(I1493="","",IF(H1493-1&lt;הגדרות!$E$8*(הגדרות!$E$7+1),MOD(H1493-1,הגדרות!$E$7+1),MOD(H1493-1-הגדרות!$E$8*(הגדרות!$E$7+1),הגדרות!$E$7)))</f>
        <v/>
      </c>
      <c r="K1493" s="0" t="str">
        <f aca="false">IF(I1493="","",J1493*הגדרות!$E$6+I1493+1)</f>
        <v/>
      </c>
      <c r="L1493" s="0" t="str">
        <f aca="false">IF(K1493="","",MATCH(K1493,$F$2:$F$5001,0))</f>
        <v/>
      </c>
      <c r="M1493" s="0" t="str">
        <f aca="false">IF(I1493="","",INDEX(הגדרות!$A$2:$A$21,MOD(I1493+הגדרות!$E$9,הגדרות!$E$6)+1))</f>
        <v/>
      </c>
    </row>
    <row r="1494" customFormat="false" ht="15" hidden="false" customHeight="false" outlineLevel="0" collapsed="false">
      <c r="A1494" s="0" t="str">
        <f aca="false">IF('הדבקת לידים'!A1494="","",IF(ISNUMBER('הדבקת לידים'!A1494),IF(הגדרות!$E$2&gt;0,TEXT('הדבקת לידים'!A1494,REPT("0",הגדרות!$E$2)),TEXT('הדבקת לידים'!A1494,"0")),TRIM('הדבקת לידים'!A1494)))</f>
        <v/>
      </c>
      <c r="B1494" s="0" t="str">
        <f aca="false">IF('הדבקת לידים'!B1494="","",IF(ISNUMBER('הדבקת לידים'!B1494),IF(הגדרות!$E$3&gt;0,TEXT('הדבקת לידים'!B1494,REPT("0",הגדרות!$E$3)),TEXT('הדבקת לידים'!B1494,"0")),TRIM('הדבקת לידים'!B1494)))</f>
        <v/>
      </c>
      <c r="C1494" s="0" t="n">
        <f aca="false">IF(OR(A1494&lt;&gt;"",B1494&lt;&gt;""),1,0)</f>
        <v>0</v>
      </c>
      <c r="D1494" s="0" t="str">
        <f aca="false">IF(C1494=1,MOD(ABS(SIN(ROW()*12.9898+'הדבקת לידים'!$F$2*78.233+IFERROR(--RIGHT(A1494,6),LEN(A1494))*0.0137+IFERROR(--RIGHT(B1494,6),LEN(B1494))*0.0071))*43758.5453,1),"")</f>
        <v/>
      </c>
      <c r="E1494" s="0" t="str">
        <f aca="false">IF(C1494=1,INT(MOD(ABS(SIN(D1494*7919.123+ROW()*0.618+'הדבקת לידים'!$F$2*1.3))*43758.5453,1)*1000000)*10000+ROW(),"")</f>
        <v/>
      </c>
      <c r="F1494" s="0" t="str">
        <f aca="false">IF(E1494="","",RANK(E1494,$E$2:$E$5001,1))</f>
        <v/>
      </c>
      <c r="G1494" s="0" t="n">
        <f aca="false">IF(A1494="",0,IF(SUMPRODUCT(--($A$2:$A$5001=A1494))&gt;1,1,0))</f>
        <v>0</v>
      </c>
      <c r="H1494" s="0" t="n">
        <f aca="false">ROW()-1</f>
        <v>1493</v>
      </c>
      <c r="I1494" s="0" t="str">
        <f aca="false">IF(OR(הגדרות!$E$6=0,H1494&gt;הגדרות!$E$5),"",IF(H1494-1&lt;הגדרות!$E$8*(הגדרות!$E$7+1),INT((H1494-1)/(הגדרות!$E$7+1)),הגדרות!$E$8+INT((H1494-1-הגדרות!$E$8*(הגדרות!$E$7+1))/הגדרות!$E$7)))</f>
        <v/>
      </c>
      <c r="J1494" s="0" t="str">
        <f aca="false">IF(I1494="","",IF(H1494-1&lt;הגדרות!$E$8*(הגדרות!$E$7+1),MOD(H1494-1,הגדרות!$E$7+1),MOD(H1494-1-הגדרות!$E$8*(הגדרות!$E$7+1),הגדרות!$E$7)))</f>
        <v/>
      </c>
      <c r="K1494" s="0" t="str">
        <f aca="false">IF(I1494="","",J1494*הגדרות!$E$6+I1494+1)</f>
        <v/>
      </c>
      <c r="L1494" s="0" t="str">
        <f aca="false">IF(K1494="","",MATCH(K1494,$F$2:$F$5001,0))</f>
        <v/>
      </c>
      <c r="M1494" s="0" t="str">
        <f aca="false">IF(I1494="","",INDEX(הגדרות!$A$2:$A$21,MOD(I1494+הגדרות!$E$9,הגדרות!$E$6)+1))</f>
        <v/>
      </c>
    </row>
    <row r="1495" customFormat="false" ht="15" hidden="false" customHeight="false" outlineLevel="0" collapsed="false">
      <c r="A1495" s="0" t="str">
        <f aca="false">IF('הדבקת לידים'!A1495="","",IF(ISNUMBER('הדבקת לידים'!A1495),IF(הגדרות!$E$2&gt;0,TEXT('הדבקת לידים'!A1495,REPT("0",הגדרות!$E$2)),TEXT('הדבקת לידים'!A1495,"0")),TRIM('הדבקת לידים'!A1495)))</f>
        <v/>
      </c>
      <c r="B1495" s="0" t="str">
        <f aca="false">IF('הדבקת לידים'!B1495="","",IF(ISNUMBER('הדבקת לידים'!B1495),IF(הגדרות!$E$3&gt;0,TEXT('הדבקת לידים'!B1495,REPT("0",הגדרות!$E$3)),TEXT('הדבקת לידים'!B1495,"0")),TRIM('הדבקת לידים'!B1495)))</f>
        <v/>
      </c>
      <c r="C1495" s="0" t="n">
        <f aca="false">IF(OR(A1495&lt;&gt;"",B1495&lt;&gt;""),1,0)</f>
        <v>0</v>
      </c>
      <c r="D1495" s="0" t="str">
        <f aca="false">IF(C1495=1,MOD(ABS(SIN(ROW()*12.9898+'הדבקת לידים'!$F$2*78.233+IFERROR(--RIGHT(A1495,6),LEN(A1495))*0.0137+IFERROR(--RIGHT(B1495,6),LEN(B1495))*0.0071))*43758.5453,1),"")</f>
        <v/>
      </c>
      <c r="E1495" s="0" t="str">
        <f aca="false">IF(C1495=1,INT(MOD(ABS(SIN(D1495*7919.123+ROW()*0.618+'הדבקת לידים'!$F$2*1.3))*43758.5453,1)*1000000)*10000+ROW(),"")</f>
        <v/>
      </c>
      <c r="F1495" s="0" t="str">
        <f aca="false">IF(E1495="","",RANK(E1495,$E$2:$E$5001,1))</f>
        <v/>
      </c>
      <c r="G1495" s="0" t="n">
        <f aca="false">IF(A1495="",0,IF(SUMPRODUCT(--($A$2:$A$5001=A1495))&gt;1,1,0))</f>
        <v>0</v>
      </c>
      <c r="H1495" s="0" t="n">
        <f aca="false">ROW()-1</f>
        <v>1494</v>
      </c>
      <c r="I1495" s="0" t="str">
        <f aca="false">IF(OR(הגדרות!$E$6=0,H1495&gt;הגדרות!$E$5),"",IF(H1495-1&lt;הגדרות!$E$8*(הגדרות!$E$7+1),INT((H1495-1)/(הגדרות!$E$7+1)),הגדרות!$E$8+INT((H1495-1-הגדרות!$E$8*(הגדרות!$E$7+1))/הגדרות!$E$7)))</f>
        <v/>
      </c>
      <c r="J1495" s="0" t="str">
        <f aca="false">IF(I1495="","",IF(H1495-1&lt;הגדרות!$E$8*(הגדרות!$E$7+1),MOD(H1495-1,הגדרות!$E$7+1),MOD(H1495-1-הגדרות!$E$8*(הגדרות!$E$7+1),הגדרות!$E$7)))</f>
        <v/>
      </c>
      <c r="K1495" s="0" t="str">
        <f aca="false">IF(I1495="","",J1495*הגדרות!$E$6+I1495+1)</f>
        <v/>
      </c>
      <c r="L1495" s="0" t="str">
        <f aca="false">IF(K1495="","",MATCH(K1495,$F$2:$F$5001,0))</f>
        <v/>
      </c>
      <c r="M1495" s="0" t="str">
        <f aca="false">IF(I1495="","",INDEX(הגדרות!$A$2:$A$21,MOD(I1495+הגדרות!$E$9,הגדרות!$E$6)+1))</f>
        <v/>
      </c>
    </row>
    <row r="1496" customFormat="false" ht="15" hidden="false" customHeight="false" outlineLevel="0" collapsed="false">
      <c r="A1496" s="0" t="str">
        <f aca="false">IF('הדבקת לידים'!A1496="","",IF(ISNUMBER('הדבקת לידים'!A1496),IF(הגדרות!$E$2&gt;0,TEXT('הדבקת לידים'!A1496,REPT("0",הגדרות!$E$2)),TEXT('הדבקת לידים'!A1496,"0")),TRIM('הדבקת לידים'!A1496)))</f>
        <v/>
      </c>
      <c r="B1496" s="0" t="str">
        <f aca="false">IF('הדבקת לידים'!B1496="","",IF(ISNUMBER('הדבקת לידים'!B1496),IF(הגדרות!$E$3&gt;0,TEXT('הדבקת לידים'!B1496,REPT("0",הגדרות!$E$3)),TEXT('הדבקת לידים'!B1496,"0")),TRIM('הדבקת לידים'!B1496)))</f>
        <v/>
      </c>
      <c r="C1496" s="0" t="n">
        <f aca="false">IF(OR(A1496&lt;&gt;"",B1496&lt;&gt;""),1,0)</f>
        <v>0</v>
      </c>
      <c r="D1496" s="0" t="str">
        <f aca="false">IF(C1496=1,MOD(ABS(SIN(ROW()*12.9898+'הדבקת לידים'!$F$2*78.233+IFERROR(--RIGHT(A1496,6),LEN(A1496))*0.0137+IFERROR(--RIGHT(B1496,6),LEN(B1496))*0.0071))*43758.5453,1),"")</f>
        <v/>
      </c>
      <c r="E1496" s="0" t="str">
        <f aca="false">IF(C1496=1,INT(MOD(ABS(SIN(D1496*7919.123+ROW()*0.618+'הדבקת לידים'!$F$2*1.3))*43758.5453,1)*1000000)*10000+ROW(),"")</f>
        <v/>
      </c>
      <c r="F1496" s="0" t="str">
        <f aca="false">IF(E1496="","",RANK(E1496,$E$2:$E$5001,1))</f>
        <v/>
      </c>
      <c r="G1496" s="0" t="n">
        <f aca="false">IF(A1496="",0,IF(SUMPRODUCT(--($A$2:$A$5001=A1496))&gt;1,1,0))</f>
        <v>0</v>
      </c>
      <c r="H1496" s="0" t="n">
        <f aca="false">ROW()-1</f>
        <v>1495</v>
      </c>
      <c r="I1496" s="0" t="str">
        <f aca="false">IF(OR(הגדרות!$E$6=0,H1496&gt;הגדרות!$E$5),"",IF(H1496-1&lt;הגדרות!$E$8*(הגדרות!$E$7+1),INT((H1496-1)/(הגדרות!$E$7+1)),הגדרות!$E$8+INT((H1496-1-הגדרות!$E$8*(הגדרות!$E$7+1))/הגדרות!$E$7)))</f>
        <v/>
      </c>
      <c r="J1496" s="0" t="str">
        <f aca="false">IF(I1496="","",IF(H1496-1&lt;הגדרות!$E$8*(הגדרות!$E$7+1),MOD(H1496-1,הגדרות!$E$7+1),MOD(H1496-1-הגדרות!$E$8*(הגדרות!$E$7+1),הגדרות!$E$7)))</f>
        <v/>
      </c>
      <c r="K1496" s="0" t="str">
        <f aca="false">IF(I1496="","",J1496*הגדרות!$E$6+I1496+1)</f>
        <v/>
      </c>
      <c r="L1496" s="0" t="str">
        <f aca="false">IF(K1496="","",MATCH(K1496,$F$2:$F$5001,0))</f>
        <v/>
      </c>
      <c r="M1496" s="0" t="str">
        <f aca="false">IF(I1496="","",INDEX(הגדרות!$A$2:$A$21,MOD(I1496+הגדרות!$E$9,הגדרות!$E$6)+1))</f>
        <v/>
      </c>
    </row>
    <row r="1497" customFormat="false" ht="15" hidden="false" customHeight="false" outlineLevel="0" collapsed="false">
      <c r="A1497" s="0" t="str">
        <f aca="false">IF('הדבקת לידים'!A1497="","",IF(ISNUMBER('הדבקת לידים'!A1497),IF(הגדרות!$E$2&gt;0,TEXT('הדבקת לידים'!A1497,REPT("0",הגדרות!$E$2)),TEXT('הדבקת לידים'!A1497,"0")),TRIM('הדבקת לידים'!A1497)))</f>
        <v/>
      </c>
      <c r="B1497" s="0" t="str">
        <f aca="false">IF('הדבקת לידים'!B1497="","",IF(ISNUMBER('הדבקת לידים'!B1497),IF(הגדרות!$E$3&gt;0,TEXT('הדבקת לידים'!B1497,REPT("0",הגדרות!$E$3)),TEXT('הדבקת לידים'!B1497,"0")),TRIM('הדבקת לידים'!B1497)))</f>
        <v/>
      </c>
      <c r="C1497" s="0" t="n">
        <f aca="false">IF(OR(A1497&lt;&gt;"",B1497&lt;&gt;""),1,0)</f>
        <v>0</v>
      </c>
      <c r="D1497" s="0" t="str">
        <f aca="false">IF(C1497=1,MOD(ABS(SIN(ROW()*12.9898+'הדבקת לידים'!$F$2*78.233+IFERROR(--RIGHT(A1497,6),LEN(A1497))*0.0137+IFERROR(--RIGHT(B1497,6),LEN(B1497))*0.0071))*43758.5453,1),"")</f>
        <v/>
      </c>
      <c r="E1497" s="0" t="str">
        <f aca="false">IF(C1497=1,INT(MOD(ABS(SIN(D1497*7919.123+ROW()*0.618+'הדבקת לידים'!$F$2*1.3))*43758.5453,1)*1000000)*10000+ROW(),"")</f>
        <v/>
      </c>
      <c r="F1497" s="0" t="str">
        <f aca="false">IF(E1497="","",RANK(E1497,$E$2:$E$5001,1))</f>
        <v/>
      </c>
      <c r="G1497" s="0" t="n">
        <f aca="false">IF(A1497="",0,IF(SUMPRODUCT(--($A$2:$A$5001=A1497))&gt;1,1,0))</f>
        <v>0</v>
      </c>
      <c r="H1497" s="0" t="n">
        <f aca="false">ROW()-1</f>
        <v>1496</v>
      </c>
      <c r="I1497" s="0" t="str">
        <f aca="false">IF(OR(הגדרות!$E$6=0,H1497&gt;הגדרות!$E$5),"",IF(H1497-1&lt;הגדרות!$E$8*(הגדרות!$E$7+1),INT((H1497-1)/(הגדרות!$E$7+1)),הגדרות!$E$8+INT((H1497-1-הגדרות!$E$8*(הגדרות!$E$7+1))/הגדרות!$E$7)))</f>
        <v/>
      </c>
      <c r="J1497" s="0" t="str">
        <f aca="false">IF(I1497="","",IF(H1497-1&lt;הגדרות!$E$8*(הגדרות!$E$7+1),MOD(H1497-1,הגדרות!$E$7+1),MOD(H1497-1-הגדרות!$E$8*(הגדרות!$E$7+1),הגדרות!$E$7)))</f>
        <v/>
      </c>
      <c r="K1497" s="0" t="str">
        <f aca="false">IF(I1497="","",J1497*הגדרות!$E$6+I1497+1)</f>
        <v/>
      </c>
      <c r="L1497" s="0" t="str">
        <f aca="false">IF(K1497="","",MATCH(K1497,$F$2:$F$5001,0))</f>
        <v/>
      </c>
      <c r="M1497" s="0" t="str">
        <f aca="false">IF(I1497="","",INDEX(הגדרות!$A$2:$A$21,MOD(I1497+הגדרות!$E$9,הגדרות!$E$6)+1))</f>
        <v/>
      </c>
    </row>
    <row r="1498" customFormat="false" ht="15" hidden="false" customHeight="false" outlineLevel="0" collapsed="false">
      <c r="A1498" s="0" t="str">
        <f aca="false">IF('הדבקת לידים'!A1498="","",IF(ISNUMBER('הדבקת לידים'!A1498),IF(הגדרות!$E$2&gt;0,TEXT('הדבקת לידים'!A1498,REPT("0",הגדרות!$E$2)),TEXT('הדבקת לידים'!A1498,"0")),TRIM('הדבקת לידים'!A1498)))</f>
        <v/>
      </c>
      <c r="B1498" s="0" t="str">
        <f aca="false">IF('הדבקת לידים'!B1498="","",IF(ISNUMBER('הדבקת לידים'!B1498),IF(הגדרות!$E$3&gt;0,TEXT('הדבקת לידים'!B1498,REPT("0",הגדרות!$E$3)),TEXT('הדבקת לידים'!B1498,"0")),TRIM('הדבקת לידים'!B1498)))</f>
        <v/>
      </c>
      <c r="C1498" s="0" t="n">
        <f aca="false">IF(OR(A1498&lt;&gt;"",B1498&lt;&gt;""),1,0)</f>
        <v>0</v>
      </c>
      <c r="D1498" s="0" t="str">
        <f aca="false">IF(C1498=1,MOD(ABS(SIN(ROW()*12.9898+'הדבקת לידים'!$F$2*78.233+IFERROR(--RIGHT(A1498,6),LEN(A1498))*0.0137+IFERROR(--RIGHT(B1498,6),LEN(B1498))*0.0071))*43758.5453,1),"")</f>
        <v/>
      </c>
      <c r="E1498" s="0" t="str">
        <f aca="false">IF(C1498=1,INT(MOD(ABS(SIN(D1498*7919.123+ROW()*0.618+'הדבקת לידים'!$F$2*1.3))*43758.5453,1)*1000000)*10000+ROW(),"")</f>
        <v/>
      </c>
      <c r="F1498" s="0" t="str">
        <f aca="false">IF(E1498="","",RANK(E1498,$E$2:$E$5001,1))</f>
        <v/>
      </c>
      <c r="G1498" s="0" t="n">
        <f aca="false">IF(A1498="",0,IF(SUMPRODUCT(--($A$2:$A$5001=A1498))&gt;1,1,0))</f>
        <v>0</v>
      </c>
      <c r="H1498" s="0" t="n">
        <f aca="false">ROW()-1</f>
        <v>1497</v>
      </c>
      <c r="I1498" s="0" t="str">
        <f aca="false">IF(OR(הגדרות!$E$6=0,H1498&gt;הגדרות!$E$5),"",IF(H1498-1&lt;הגדרות!$E$8*(הגדרות!$E$7+1),INT((H1498-1)/(הגדרות!$E$7+1)),הגדרות!$E$8+INT((H1498-1-הגדרות!$E$8*(הגדרות!$E$7+1))/הגדרות!$E$7)))</f>
        <v/>
      </c>
      <c r="J1498" s="0" t="str">
        <f aca="false">IF(I1498="","",IF(H1498-1&lt;הגדרות!$E$8*(הגדרות!$E$7+1),MOD(H1498-1,הגדרות!$E$7+1),MOD(H1498-1-הגדרות!$E$8*(הגדרות!$E$7+1),הגדרות!$E$7)))</f>
        <v/>
      </c>
      <c r="K1498" s="0" t="str">
        <f aca="false">IF(I1498="","",J1498*הגדרות!$E$6+I1498+1)</f>
        <v/>
      </c>
      <c r="L1498" s="0" t="str">
        <f aca="false">IF(K1498="","",MATCH(K1498,$F$2:$F$5001,0))</f>
        <v/>
      </c>
      <c r="M1498" s="0" t="str">
        <f aca="false">IF(I1498="","",INDEX(הגדרות!$A$2:$A$21,MOD(I1498+הגדרות!$E$9,הגדרות!$E$6)+1))</f>
        <v/>
      </c>
    </row>
    <row r="1499" customFormat="false" ht="15" hidden="false" customHeight="false" outlineLevel="0" collapsed="false">
      <c r="A1499" s="0" t="str">
        <f aca="false">IF('הדבקת לידים'!A1499="","",IF(ISNUMBER('הדבקת לידים'!A1499),IF(הגדרות!$E$2&gt;0,TEXT('הדבקת לידים'!A1499,REPT("0",הגדרות!$E$2)),TEXT('הדבקת לידים'!A1499,"0")),TRIM('הדבקת לידים'!A1499)))</f>
        <v/>
      </c>
      <c r="B1499" s="0" t="str">
        <f aca="false">IF('הדבקת לידים'!B1499="","",IF(ISNUMBER('הדבקת לידים'!B1499),IF(הגדרות!$E$3&gt;0,TEXT('הדבקת לידים'!B1499,REPT("0",הגדרות!$E$3)),TEXT('הדבקת לידים'!B1499,"0")),TRIM('הדבקת לידים'!B1499)))</f>
        <v/>
      </c>
      <c r="C1499" s="0" t="n">
        <f aca="false">IF(OR(A1499&lt;&gt;"",B1499&lt;&gt;""),1,0)</f>
        <v>0</v>
      </c>
      <c r="D1499" s="0" t="str">
        <f aca="false">IF(C1499=1,MOD(ABS(SIN(ROW()*12.9898+'הדבקת לידים'!$F$2*78.233+IFERROR(--RIGHT(A1499,6),LEN(A1499))*0.0137+IFERROR(--RIGHT(B1499,6),LEN(B1499))*0.0071))*43758.5453,1),"")</f>
        <v/>
      </c>
      <c r="E1499" s="0" t="str">
        <f aca="false">IF(C1499=1,INT(MOD(ABS(SIN(D1499*7919.123+ROW()*0.618+'הדבקת לידים'!$F$2*1.3))*43758.5453,1)*1000000)*10000+ROW(),"")</f>
        <v/>
      </c>
      <c r="F1499" s="0" t="str">
        <f aca="false">IF(E1499="","",RANK(E1499,$E$2:$E$5001,1))</f>
        <v/>
      </c>
      <c r="G1499" s="0" t="n">
        <f aca="false">IF(A1499="",0,IF(SUMPRODUCT(--($A$2:$A$5001=A1499))&gt;1,1,0))</f>
        <v>0</v>
      </c>
      <c r="H1499" s="0" t="n">
        <f aca="false">ROW()-1</f>
        <v>1498</v>
      </c>
      <c r="I1499" s="0" t="str">
        <f aca="false">IF(OR(הגדרות!$E$6=0,H1499&gt;הגדרות!$E$5),"",IF(H1499-1&lt;הגדרות!$E$8*(הגדרות!$E$7+1),INT((H1499-1)/(הגדרות!$E$7+1)),הגדרות!$E$8+INT((H1499-1-הגדרות!$E$8*(הגדרות!$E$7+1))/הגדרות!$E$7)))</f>
        <v/>
      </c>
      <c r="J1499" s="0" t="str">
        <f aca="false">IF(I1499="","",IF(H1499-1&lt;הגדרות!$E$8*(הגדרות!$E$7+1),MOD(H1499-1,הגדרות!$E$7+1),MOD(H1499-1-הגדרות!$E$8*(הגדרות!$E$7+1),הגדרות!$E$7)))</f>
        <v/>
      </c>
      <c r="K1499" s="0" t="str">
        <f aca="false">IF(I1499="","",J1499*הגדרות!$E$6+I1499+1)</f>
        <v/>
      </c>
      <c r="L1499" s="0" t="str">
        <f aca="false">IF(K1499="","",MATCH(K1499,$F$2:$F$5001,0))</f>
        <v/>
      </c>
      <c r="M1499" s="0" t="str">
        <f aca="false">IF(I1499="","",INDEX(הגדרות!$A$2:$A$21,MOD(I1499+הגדרות!$E$9,הגדרות!$E$6)+1))</f>
        <v/>
      </c>
    </row>
    <row r="1500" customFormat="false" ht="15" hidden="false" customHeight="false" outlineLevel="0" collapsed="false">
      <c r="A1500" s="0" t="str">
        <f aca="false">IF('הדבקת לידים'!A1500="","",IF(ISNUMBER('הדבקת לידים'!A1500),IF(הגדרות!$E$2&gt;0,TEXT('הדבקת לידים'!A1500,REPT("0",הגדרות!$E$2)),TEXT('הדבקת לידים'!A1500,"0")),TRIM('הדבקת לידים'!A1500)))</f>
        <v/>
      </c>
      <c r="B1500" s="0" t="str">
        <f aca="false">IF('הדבקת לידים'!B1500="","",IF(ISNUMBER('הדבקת לידים'!B1500),IF(הגדרות!$E$3&gt;0,TEXT('הדבקת לידים'!B1500,REPT("0",הגדרות!$E$3)),TEXT('הדבקת לידים'!B1500,"0")),TRIM('הדבקת לידים'!B1500)))</f>
        <v/>
      </c>
      <c r="C1500" s="0" t="n">
        <f aca="false">IF(OR(A1500&lt;&gt;"",B1500&lt;&gt;""),1,0)</f>
        <v>0</v>
      </c>
      <c r="D1500" s="0" t="str">
        <f aca="false">IF(C1500=1,MOD(ABS(SIN(ROW()*12.9898+'הדבקת לידים'!$F$2*78.233+IFERROR(--RIGHT(A1500,6),LEN(A1500))*0.0137+IFERROR(--RIGHT(B1500,6),LEN(B1500))*0.0071))*43758.5453,1),"")</f>
        <v/>
      </c>
      <c r="E1500" s="0" t="str">
        <f aca="false">IF(C1500=1,INT(MOD(ABS(SIN(D1500*7919.123+ROW()*0.618+'הדבקת לידים'!$F$2*1.3))*43758.5453,1)*1000000)*10000+ROW(),"")</f>
        <v/>
      </c>
      <c r="F1500" s="0" t="str">
        <f aca="false">IF(E1500="","",RANK(E1500,$E$2:$E$5001,1))</f>
        <v/>
      </c>
      <c r="G1500" s="0" t="n">
        <f aca="false">IF(A1500="",0,IF(SUMPRODUCT(--($A$2:$A$5001=A1500))&gt;1,1,0))</f>
        <v>0</v>
      </c>
      <c r="H1500" s="0" t="n">
        <f aca="false">ROW()-1</f>
        <v>1499</v>
      </c>
      <c r="I1500" s="0" t="str">
        <f aca="false">IF(OR(הגדרות!$E$6=0,H1500&gt;הגדרות!$E$5),"",IF(H1500-1&lt;הגדרות!$E$8*(הגדרות!$E$7+1),INT((H1500-1)/(הגדרות!$E$7+1)),הגדרות!$E$8+INT((H1500-1-הגדרות!$E$8*(הגדרות!$E$7+1))/הגדרות!$E$7)))</f>
        <v/>
      </c>
      <c r="J1500" s="0" t="str">
        <f aca="false">IF(I1500="","",IF(H1500-1&lt;הגדרות!$E$8*(הגדרות!$E$7+1),MOD(H1500-1,הגדרות!$E$7+1),MOD(H1500-1-הגדרות!$E$8*(הגדרות!$E$7+1),הגדרות!$E$7)))</f>
        <v/>
      </c>
      <c r="K1500" s="0" t="str">
        <f aca="false">IF(I1500="","",J1500*הגדרות!$E$6+I1500+1)</f>
        <v/>
      </c>
      <c r="L1500" s="0" t="str">
        <f aca="false">IF(K1500="","",MATCH(K1500,$F$2:$F$5001,0))</f>
        <v/>
      </c>
      <c r="M1500" s="0" t="str">
        <f aca="false">IF(I1500="","",INDEX(הגדרות!$A$2:$A$21,MOD(I1500+הגדרות!$E$9,הגדרות!$E$6)+1))</f>
        <v/>
      </c>
    </row>
    <row r="1501" customFormat="false" ht="15" hidden="false" customHeight="false" outlineLevel="0" collapsed="false">
      <c r="A1501" s="0" t="str">
        <f aca="false">IF('הדבקת לידים'!A1501="","",IF(ISNUMBER('הדבקת לידים'!A1501),IF(הגדרות!$E$2&gt;0,TEXT('הדבקת לידים'!A1501,REPT("0",הגדרות!$E$2)),TEXT('הדבקת לידים'!A1501,"0")),TRIM('הדבקת לידים'!A1501)))</f>
        <v/>
      </c>
      <c r="B1501" s="0" t="str">
        <f aca="false">IF('הדבקת לידים'!B1501="","",IF(ISNUMBER('הדבקת לידים'!B1501),IF(הגדרות!$E$3&gt;0,TEXT('הדבקת לידים'!B1501,REPT("0",הגדרות!$E$3)),TEXT('הדבקת לידים'!B1501,"0")),TRIM('הדבקת לידים'!B1501)))</f>
        <v/>
      </c>
      <c r="C1501" s="0" t="n">
        <f aca="false">IF(OR(A1501&lt;&gt;"",B1501&lt;&gt;""),1,0)</f>
        <v>0</v>
      </c>
      <c r="D1501" s="0" t="str">
        <f aca="false">IF(C1501=1,MOD(ABS(SIN(ROW()*12.9898+'הדבקת לידים'!$F$2*78.233+IFERROR(--RIGHT(A1501,6),LEN(A1501))*0.0137+IFERROR(--RIGHT(B1501,6),LEN(B1501))*0.0071))*43758.5453,1),"")</f>
        <v/>
      </c>
      <c r="E1501" s="0" t="str">
        <f aca="false">IF(C1501=1,INT(MOD(ABS(SIN(D1501*7919.123+ROW()*0.618+'הדבקת לידים'!$F$2*1.3))*43758.5453,1)*1000000)*10000+ROW(),"")</f>
        <v/>
      </c>
      <c r="F1501" s="0" t="str">
        <f aca="false">IF(E1501="","",RANK(E1501,$E$2:$E$5001,1))</f>
        <v/>
      </c>
      <c r="G1501" s="0" t="n">
        <f aca="false">IF(A1501="",0,IF(SUMPRODUCT(--($A$2:$A$5001=A1501))&gt;1,1,0))</f>
        <v>0</v>
      </c>
      <c r="H1501" s="0" t="n">
        <f aca="false">ROW()-1</f>
        <v>1500</v>
      </c>
      <c r="I1501" s="0" t="str">
        <f aca="false">IF(OR(הגדרות!$E$6=0,H1501&gt;הגדרות!$E$5),"",IF(H1501-1&lt;הגדרות!$E$8*(הגדרות!$E$7+1),INT((H1501-1)/(הגדרות!$E$7+1)),הגדרות!$E$8+INT((H1501-1-הגדרות!$E$8*(הגדרות!$E$7+1))/הגדרות!$E$7)))</f>
        <v/>
      </c>
      <c r="J1501" s="0" t="str">
        <f aca="false">IF(I1501="","",IF(H1501-1&lt;הגדרות!$E$8*(הגדרות!$E$7+1),MOD(H1501-1,הגדרות!$E$7+1),MOD(H1501-1-הגדרות!$E$8*(הגדרות!$E$7+1),הגדרות!$E$7)))</f>
        <v/>
      </c>
      <c r="K1501" s="0" t="str">
        <f aca="false">IF(I1501="","",J1501*הגדרות!$E$6+I1501+1)</f>
        <v/>
      </c>
      <c r="L1501" s="0" t="str">
        <f aca="false">IF(K1501="","",MATCH(K1501,$F$2:$F$5001,0))</f>
        <v/>
      </c>
      <c r="M1501" s="0" t="str">
        <f aca="false">IF(I1501="","",INDEX(הגדרות!$A$2:$A$21,MOD(I1501+הגדרות!$E$9,הגדרות!$E$6)+1))</f>
        <v/>
      </c>
    </row>
    <row r="1502" customFormat="false" ht="15" hidden="false" customHeight="false" outlineLevel="0" collapsed="false">
      <c r="A1502" s="0" t="str">
        <f aca="false">IF('הדבקת לידים'!A1502="","",IF(ISNUMBER('הדבקת לידים'!A1502),IF(הגדרות!$E$2&gt;0,TEXT('הדבקת לידים'!A1502,REPT("0",הגדרות!$E$2)),TEXT('הדבקת לידים'!A1502,"0")),TRIM('הדבקת לידים'!A1502)))</f>
        <v/>
      </c>
      <c r="B1502" s="0" t="str">
        <f aca="false">IF('הדבקת לידים'!B1502="","",IF(ISNUMBER('הדבקת לידים'!B1502),IF(הגדרות!$E$3&gt;0,TEXT('הדבקת לידים'!B1502,REPT("0",הגדרות!$E$3)),TEXT('הדבקת לידים'!B1502,"0")),TRIM('הדבקת לידים'!B1502)))</f>
        <v/>
      </c>
      <c r="C1502" s="0" t="n">
        <f aca="false">IF(OR(A1502&lt;&gt;"",B1502&lt;&gt;""),1,0)</f>
        <v>0</v>
      </c>
      <c r="D1502" s="0" t="str">
        <f aca="false">IF(C1502=1,MOD(ABS(SIN(ROW()*12.9898+'הדבקת לידים'!$F$2*78.233+IFERROR(--RIGHT(A1502,6),LEN(A1502))*0.0137+IFERROR(--RIGHT(B1502,6),LEN(B1502))*0.0071))*43758.5453,1),"")</f>
        <v/>
      </c>
      <c r="E1502" s="0" t="str">
        <f aca="false">IF(C1502=1,INT(MOD(ABS(SIN(D1502*7919.123+ROW()*0.618+'הדבקת לידים'!$F$2*1.3))*43758.5453,1)*1000000)*10000+ROW(),"")</f>
        <v/>
      </c>
      <c r="F1502" s="0" t="str">
        <f aca="false">IF(E1502="","",RANK(E1502,$E$2:$E$5001,1))</f>
        <v/>
      </c>
      <c r="G1502" s="0" t="n">
        <f aca="false">IF(A1502="",0,IF(SUMPRODUCT(--($A$2:$A$5001=A1502))&gt;1,1,0))</f>
        <v>0</v>
      </c>
      <c r="H1502" s="0" t="n">
        <f aca="false">ROW()-1</f>
        <v>1501</v>
      </c>
      <c r="I1502" s="0" t="str">
        <f aca="false">IF(OR(הגדרות!$E$6=0,H1502&gt;הגדרות!$E$5),"",IF(H1502-1&lt;הגדרות!$E$8*(הגדרות!$E$7+1),INT((H1502-1)/(הגדרות!$E$7+1)),הגדרות!$E$8+INT((H1502-1-הגדרות!$E$8*(הגדרות!$E$7+1))/הגדרות!$E$7)))</f>
        <v/>
      </c>
      <c r="J1502" s="0" t="str">
        <f aca="false">IF(I1502="","",IF(H1502-1&lt;הגדרות!$E$8*(הגדרות!$E$7+1),MOD(H1502-1,הגדרות!$E$7+1),MOD(H1502-1-הגדרות!$E$8*(הגדרות!$E$7+1),הגדרות!$E$7)))</f>
        <v/>
      </c>
      <c r="K1502" s="0" t="str">
        <f aca="false">IF(I1502="","",J1502*הגדרות!$E$6+I1502+1)</f>
        <v/>
      </c>
      <c r="L1502" s="0" t="str">
        <f aca="false">IF(K1502="","",MATCH(K1502,$F$2:$F$5001,0))</f>
        <v/>
      </c>
      <c r="M1502" s="0" t="str">
        <f aca="false">IF(I1502="","",INDEX(הגדרות!$A$2:$A$21,MOD(I1502+הגדרות!$E$9,הגדרות!$E$6)+1))</f>
        <v/>
      </c>
    </row>
    <row r="1503" customFormat="false" ht="15" hidden="false" customHeight="false" outlineLevel="0" collapsed="false">
      <c r="A1503" s="0" t="str">
        <f aca="false">IF('הדבקת לידים'!A1503="","",IF(ISNUMBER('הדבקת לידים'!A1503),IF(הגדרות!$E$2&gt;0,TEXT('הדבקת לידים'!A1503,REPT("0",הגדרות!$E$2)),TEXT('הדבקת לידים'!A1503,"0")),TRIM('הדבקת לידים'!A1503)))</f>
        <v/>
      </c>
      <c r="B1503" s="0" t="str">
        <f aca="false">IF('הדבקת לידים'!B1503="","",IF(ISNUMBER('הדבקת לידים'!B1503),IF(הגדרות!$E$3&gt;0,TEXT('הדבקת לידים'!B1503,REPT("0",הגדרות!$E$3)),TEXT('הדבקת לידים'!B1503,"0")),TRIM('הדבקת לידים'!B1503)))</f>
        <v/>
      </c>
      <c r="C1503" s="0" t="n">
        <f aca="false">IF(OR(A1503&lt;&gt;"",B1503&lt;&gt;""),1,0)</f>
        <v>0</v>
      </c>
      <c r="D1503" s="0" t="str">
        <f aca="false">IF(C1503=1,MOD(ABS(SIN(ROW()*12.9898+'הדבקת לידים'!$F$2*78.233+IFERROR(--RIGHT(A1503,6),LEN(A1503))*0.0137+IFERROR(--RIGHT(B1503,6),LEN(B1503))*0.0071))*43758.5453,1),"")</f>
        <v/>
      </c>
      <c r="E1503" s="0" t="str">
        <f aca="false">IF(C1503=1,INT(MOD(ABS(SIN(D1503*7919.123+ROW()*0.618+'הדבקת לידים'!$F$2*1.3))*43758.5453,1)*1000000)*10000+ROW(),"")</f>
        <v/>
      </c>
      <c r="F1503" s="0" t="str">
        <f aca="false">IF(E1503="","",RANK(E1503,$E$2:$E$5001,1))</f>
        <v/>
      </c>
      <c r="G1503" s="0" t="n">
        <f aca="false">IF(A1503="",0,IF(SUMPRODUCT(--($A$2:$A$5001=A1503))&gt;1,1,0))</f>
        <v>0</v>
      </c>
      <c r="H1503" s="0" t="n">
        <f aca="false">ROW()-1</f>
        <v>1502</v>
      </c>
      <c r="I1503" s="0" t="str">
        <f aca="false">IF(OR(הגדרות!$E$6=0,H1503&gt;הגדרות!$E$5),"",IF(H1503-1&lt;הגדרות!$E$8*(הגדרות!$E$7+1),INT((H1503-1)/(הגדרות!$E$7+1)),הגדרות!$E$8+INT((H1503-1-הגדרות!$E$8*(הגדרות!$E$7+1))/הגדרות!$E$7)))</f>
        <v/>
      </c>
      <c r="J1503" s="0" t="str">
        <f aca="false">IF(I1503="","",IF(H1503-1&lt;הגדרות!$E$8*(הגדרות!$E$7+1),MOD(H1503-1,הגדרות!$E$7+1),MOD(H1503-1-הגדרות!$E$8*(הגדרות!$E$7+1),הגדרות!$E$7)))</f>
        <v/>
      </c>
      <c r="K1503" s="0" t="str">
        <f aca="false">IF(I1503="","",J1503*הגדרות!$E$6+I1503+1)</f>
        <v/>
      </c>
      <c r="L1503" s="0" t="str">
        <f aca="false">IF(K1503="","",MATCH(K1503,$F$2:$F$5001,0))</f>
        <v/>
      </c>
      <c r="M1503" s="0" t="str">
        <f aca="false">IF(I1503="","",INDEX(הגדרות!$A$2:$A$21,MOD(I1503+הגדרות!$E$9,הגדרות!$E$6)+1))</f>
        <v/>
      </c>
    </row>
    <row r="1504" customFormat="false" ht="15" hidden="false" customHeight="false" outlineLevel="0" collapsed="false">
      <c r="A1504" s="0" t="str">
        <f aca="false">IF('הדבקת לידים'!A1504="","",IF(ISNUMBER('הדבקת לידים'!A1504),IF(הגדרות!$E$2&gt;0,TEXT('הדבקת לידים'!A1504,REPT("0",הגדרות!$E$2)),TEXT('הדבקת לידים'!A1504,"0")),TRIM('הדבקת לידים'!A1504)))</f>
        <v/>
      </c>
      <c r="B1504" s="0" t="str">
        <f aca="false">IF('הדבקת לידים'!B1504="","",IF(ISNUMBER('הדבקת לידים'!B1504),IF(הגדרות!$E$3&gt;0,TEXT('הדבקת לידים'!B1504,REPT("0",הגדרות!$E$3)),TEXT('הדבקת לידים'!B1504,"0")),TRIM('הדבקת לידים'!B1504)))</f>
        <v/>
      </c>
      <c r="C1504" s="0" t="n">
        <f aca="false">IF(OR(A1504&lt;&gt;"",B1504&lt;&gt;""),1,0)</f>
        <v>0</v>
      </c>
      <c r="D1504" s="0" t="str">
        <f aca="false">IF(C1504=1,MOD(ABS(SIN(ROW()*12.9898+'הדבקת לידים'!$F$2*78.233+IFERROR(--RIGHT(A1504,6),LEN(A1504))*0.0137+IFERROR(--RIGHT(B1504,6),LEN(B1504))*0.0071))*43758.5453,1),"")</f>
        <v/>
      </c>
      <c r="E1504" s="0" t="str">
        <f aca="false">IF(C1504=1,INT(MOD(ABS(SIN(D1504*7919.123+ROW()*0.618+'הדבקת לידים'!$F$2*1.3))*43758.5453,1)*1000000)*10000+ROW(),"")</f>
        <v/>
      </c>
      <c r="F1504" s="0" t="str">
        <f aca="false">IF(E1504="","",RANK(E1504,$E$2:$E$5001,1))</f>
        <v/>
      </c>
      <c r="G1504" s="0" t="n">
        <f aca="false">IF(A1504="",0,IF(SUMPRODUCT(--($A$2:$A$5001=A1504))&gt;1,1,0))</f>
        <v>0</v>
      </c>
      <c r="H1504" s="0" t="n">
        <f aca="false">ROW()-1</f>
        <v>1503</v>
      </c>
      <c r="I1504" s="0" t="str">
        <f aca="false">IF(OR(הגדרות!$E$6=0,H1504&gt;הגדרות!$E$5),"",IF(H1504-1&lt;הגדרות!$E$8*(הגדרות!$E$7+1),INT((H1504-1)/(הגדרות!$E$7+1)),הגדרות!$E$8+INT((H1504-1-הגדרות!$E$8*(הגדרות!$E$7+1))/הגדרות!$E$7)))</f>
        <v/>
      </c>
      <c r="J1504" s="0" t="str">
        <f aca="false">IF(I1504="","",IF(H1504-1&lt;הגדרות!$E$8*(הגדרות!$E$7+1),MOD(H1504-1,הגדרות!$E$7+1),MOD(H1504-1-הגדרות!$E$8*(הגדרות!$E$7+1),הגדרות!$E$7)))</f>
        <v/>
      </c>
      <c r="K1504" s="0" t="str">
        <f aca="false">IF(I1504="","",J1504*הגדרות!$E$6+I1504+1)</f>
        <v/>
      </c>
      <c r="L1504" s="0" t="str">
        <f aca="false">IF(K1504="","",MATCH(K1504,$F$2:$F$5001,0))</f>
        <v/>
      </c>
      <c r="M1504" s="0" t="str">
        <f aca="false">IF(I1504="","",INDEX(הגדרות!$A$2:$A$21,MOD(I1504+הגדרות!$E$9,הגדרות!$E$6)+1))</f>
        <v/>
      </c>
    </row>
    <row r="1505" customFormat="false" ht="15" hidden="false" customHeight="false" outlineLevel="0" collapsed="false">
      <c r="A1505" s="0" t="str">
        <f aca="false">IF('הדבקת לידים'!A1505="","",IF(ISNUMBER('הדבקת לידים'!A1505),IF(הגדרות!$E$2&gt;0,TEXT('הדבקת לידים'!A1505,REPT("0",הגדרות!$E$2)),TEXT('הדבקת לידים'!A1505,"0")),TRIM('הדבקת לידים'!A1505)))</f>
        <v/>
      </c>
      <c r="B1505" s="0" t="str">
        <f aca="false">IF('הדבקת לידים'!B1505="","",IF(ISNUMBER('הדבקת לידים'!B1505),IF(הגדרות!$E$3&gt;0,TEXT('הדבקת לידים'!B1505,REPT("0",הגדרות!$E$3)),TEXT('הדבקת לידים'!B1505,"0")),TRIM('הדבקת לידים'!B1505)))</f>
        <v/>
      </c>
      <c r="C1505" s="0" t="n">
        <f aca="false">IF(OR(A1505&lt;&gt;"",B1505&lt;&gt;""),1,0)</f>
        <v>0</v>
      </c>
      <c r="D1505" s="0" t="str">
        <f aca="false">IF(C1505=1,MOD(ABS(SIN(ROW()*12.9898+'הדבקת לידים'!$F$2*78.233+IFERROR(--RIGHT(A1505,6),LEN(A1505))*0.0137+IFERROR(--RIGHT(B1505,6),LEN(B1505))*0.0071))*43758.5453,1),"")</f>
        <v/>
      </c>
      <c r="E1505" s="0" t="str">
        <f aca="false">IF(C1505=1,INT(MOD(ABS(SIN(D1505*7919.123+ROW()*0.618+'הדבקת לידים'!$F$2*1.3))*43758.5453,1)*1000000)*10000+ROW(),"")</f>
        <v/>
      </c>
      <c r="F1505" s="0" t="str">
        <f aca="false">IF(E1505="","",RANK(E1505,$E$2:$E$5001,1))</f>
        <v/>
      </c>
      <c r="G1505" s="0" t="n">
        <f aca="false">IF(A1505="",0,IF(SUMPRODUCT(--($A$2:$A$5001=A1505))&gt;1,1,0))</f>
        <v>0</v>
      </c>
      <c r="H1505" s="0" t="n">
        <f aca="false">ROW()-1</f>
        <v>1504</v>
      </c>
      <c r="I1505" s="0" t="str">
        <f aca="false">IF(OR(הגדרות!$E$6=0,H1505&gt;הגדרות!$E$5),"",IF(H1505-1&lt;הגדרות!$E$8*(הגדרות!$E$7+1),INT((H1505-1)/(הגדרות!$E$7+1)),הגדרות!$E$8+INT((H1505-1-הגדרות!$E$8*(הגדרות!$E$7+1))/הגדרות!$E$7)))</f>
        <v/>
      </c>
      <c r="J1505" s="0" t="str">
        <f aca="false">IF(I1505="","",IF(H1505-1&lt;הגדרות!$E$8*(הגדרות!$E$7+1),MOD(H1505-1,הגדרות!$E$7+1),MOD(H1505-1-הגדרות!$E$8*(הגדרות!$E$7+1),הגדרות!$E$7)))</f>
        <v/>
      </c>
      <c r="K1505" s="0" t="str">
        <f aca="false">IF(I1505="","",J1505*הגדרות!$E$6+I1505+1)</f>
        <v/>
      </c>
      <c r="L1505" s="0" t="str">
        <f aca="false">IF(K1505="","",MATCH(K1505,$F$2:$F$5001,0))</f>
        <v/>
      </c>
      <c r="M1505" s="0" t="str">
        <f aca="false">IF(I1505="","",INDEX(הגדרות!$A$2:$A$21,MOD(I1505+הגדרות!$E$9,הגדרות!$E$6)+1))</f>
        <v/>
      </c>
    </row>
    <row r="1506" customFormat="false" ht="15" hidden="false" customHeight="false" outlineLevel="0" collapsed="false">
      <c r="A1506" s="0" t="str">
        <f aca="false">IF('הדבקת לידים'!A1506="","",IF(ISNUMBER('הדבקת לידים'!A1506),IF(הגדרות!$E$2&gt;0,TEXT('הדבקת לידים'!A1506,REPT("0",הגדרות!$E$2)),TEXT('הדבקת לידים'!A1506,"0")),TRIM('הדבקת לידים'!A1506)))</f>
        <v/>
      </c>
      <c r="B1506" s="0" t="str">
        <f aca="false">IF('הדבקת לידים'!B1506="","",IF(ISNUMBER('הדבקת לידים'!B1506),IF(הגדרות!$E$3&gt;0,TEXT('הדבקת לידים'!B1506,REPT("0",הגדרות!$E$3)),TEXT('הדבקת לידים'!B1506,"0")),TRIM('הדבקת לידים'!B1506)))</f>
        <v/>
      </c>
      <c r="C1506" s="0" t="n">
        <f aca="false">IF(OR(A1506&lt;&gt;"",B1506&lt;&gt;""),1,0)</f>
        <v>0</v>
      </c>
      <c r="D1506" s="0" t="str">
        <f aca="false">IF(C1506=1,MOD(ABS(SIN(ROW()*12.9898+'הדבקת לידים'!$F$2*78.233+IFERROR(--RIGHT(A1506,6),LEN(A1506))*0.0137+IFERROR(--RIGHT(B1506,6),LEN(B1506))*0.0071))*43758.5453,1),"")</f>
        <v/>
      </c>
      <c r="E1506" s="0" t="str">
        <f aca="false">IF(C1506=1,INT(MOD(ABS(SIN(D1506*7919.123+ROW()*0.618+'הדבקת לידים'!$F$2*1.3))*43758.5453,1)*1000000)*10000+ROW(),"")</f>
        <v/>
      </c>
      <c r="F1506" s="0" t="str">
        <f aca="false">IF(E1506="","",RANK(E1506,$E$2:$E$5001,1))</f>
        <v/>
      </c>
      <c r="G1506" s="0" t="n">
        <f aca="false">IF(A1506="",0,IF(SUMPRODUCT(--($A$2:$A$5001=A1506))&gt;1,1,0))</f>
        <v>0</v>
      </c>
      <c r="H1506" s="0" t="n">
        <f aca="false">ROW()-1</f>
        <v>1505</v>
      </c>
      <c r="I1506" s="0" t="str">
        <f aca="false">IF(OR(הגדרות!$E$6=0,H1506&gt;הגדרות!$E$5),"",IF(H1506-1&lt;הגדרות!$E$8*(הגדרות!$E$7+1),INT((H1506-1)/(הגדרות!$E$7+1)),הגדרות!$E$8+INT((H1506-1-הגדרות!$E$8*(הגדרות!$E$7+1))/הגדרות!$E$7)))</f>
        <v/>
      </c>
      <c r="J1506" s="0" t="str">
        <f aca="false">IF(I1506="","",IF(H1506-1&lt;הגדרות!$E$8*(הגדרות!$E$7+1),MOD(H1506-1,הגדרות!$E$7+1),MOD(H1506-1-הגדרות!$E$8*(הגדרות!$E$7+1),הגדרות!$E$7)))</f>
        <v/>
      </c>
      <c r="K1506" s="0" t="str">
        <f aca="false">IF(I1506="","",J1506*הגדרות!$E$6+I1506+1)</f>
        <v/>
      </c>
      <c r="L1506" s="0" t="str">
        <f aca="false">IF(K1506="","",MATCH(K1506,$F$2:$F$5001,0))</f>
        <v/>
      </c>
      <c r="M1506" s="0" t="str">
        <f aca="false">IF(I1506="","",INDEX(הגדרות!$A$2:$A$21,MOD(I1506+הגדרות!$E$9,הגדרות!$E$6)+1))</f>
        <v/>
      </c>
    </row>
    <row r="1507" customFormat="false" ht="15" hidden="false" customHeight="false" outlineLevel="0" collapsed="false">
      <c r="A1507" s="0" t="str">
        <f aca="false">IF('הדבקת לידים'!A1507="","",IF(ISNUMBER('הדבקת לידים'!A1507),IF(הגדרות!$E$2&gt;0,TEXT('הדבקת לידים'!A1507,REPT("0",הגדרות!$E$2)),TEXT('הדבקת לידים'!A1507,"0")),TRIM('הדבקת לידים'!A1507)))</f>
        <v/>
      </c>
      <c r="B1507" s="0" t="str">
        <f aca="false">IF('הדבקת לידים'!B1507="","",IF(ISNUMBER('הדבקת לידים'!B1507),IF(הגדרות!$E$3&gt;0,TEXT('הדבקת לידים'!B1507,REPT("0",הגדרות!$E$3)),TEXT('הדבקת לידים'!B1507,"0")),TRIM('הדבקת לידים'!B1507)))</f>
        <v/>
      </c>
      <c r="C1507" s="0" t="n">
        <f aca="false">IF(OR(A1507&lt;&gt;"",B1507&lt;&gt;""),1,0)</f>
        <v>0</v>
      </c>
      <c r="D1507" s="0" t="str">
        <f aca="false">IF(C1507=1,MOD(ABS(SIN(ROW()*12.9898+'הדבקת לידים'!$F$2*78.233+IFERROR(--RIGHT(A1507,6),LEN(A1507))*0.0137+IFERROR(--RIGHT(B1507,6),LEN(B1507))*0.0071))*43758.5453,1),"")</f>
        <v/>
      </c>
      <c r="E1507" s="0" t="str">
        <f aca="false">IF(C1507=1,INT(MOD(ABS(SIN(D1507*7919.123+ROW()*0.618+'הדבקת לידים'!$F$2*1.3))*43758.5453,1)*1000000)*10000+ROW(),"")</f>
        <v/>
      </c>
      <c r="F1507" s="0" t="str">
        <f aca="false">IF(E1507="","",RANK(E1507,$E$2:$E$5001,1))</f>
        <v/>
      </c>
      <c r="G1507" s="0" t="n">
        <f aca="false">IF(A1507="",0,IF(SUMPRODUCT(--($A$2:$A$5001=A1507))&gt;1,1,0))</f>
        <v>0</v>
      </c>
      <c r="H1507" s="0" t="n">
        <f aca="false">ROW()-1</f>
        <v>1506</v>
      </c>
      <c r="I1507" s="0" t="str">
        <f aca="false">IF(OR(הגדרות!$E$6=0,H1507&gt;הגדרות!$E$5),"",IF(H1507-1&lt;הגדרות!$E$8*(הגדרות!$E$7+1),INT((H1507-1)/(הגדרות!$E$7+1)),הגדרות!$E$8+INT((H1507-1-הגדרות!$E$8*(הגדרות!$E$7+1))/הגדרות!$E$7)))</f>
        <v/>
      </c>
      <c r="J1507" s="0" t="str">
        <f aca="false">IF(I1507="","",IF(H1507-1&lt;הגדרות!$E$8*(הגדרות!$E$7+1),MOD(H1507-1,הגדרות!$E$7+1),MOD(H1507-1-הגדרות!$E$8*(הגדרות!$E$7+1),הגדרות!$E$7)))</f>
        <v/>
      </c>
      <c r="K1507" s="0" t="str">
        <f aca="false">IF(I1507="","",J1507*הגדרות!$E$6+I1507+1)</f>
        <v/>
      </c>
      <c r="L1507" s="0" t="str">
        <f aca="false">IF(K1507="","",MATCH(K1507,$F$2:$F$5001,0))</f>
        <v/>
      </c>
      <c r="M1507" s="0" t="str">
        <f aca="false">IF(I1507="","",INDEX(הגדרות!$A$2:$A$21,MOD(I1507+הגדרות!$E$9,הגדרות!$E$6)+1))</f>
        <v/>
      </c>
    </row>
    <row r="1508" customFormat="false" ht="15" hidden="false" customHeight="false" outlineLevel="0" collapsed="false">
      <c r="A1508" s="0" t="str">
        <f aca="false">IF('הדבקת לידים'!A1508="","",IF(ISNUMBER('הדבקת לידים'!A1508),IF(הגדרות!$E$2&gt;0,TEXT('הדבקת לידים'!A1508,REPT("0",הגדרות!$E$2)),TEXT('הדבקת לידים'!A1508,"0")),TRIM('הדבקת לידים'!A1508)))</f>
        <v/>
      </c>
      <c r="B1508" s="0" t="str">
        <f aca="false">IF('הדבקת לידים'!B1508="","",IF(ISNUMBER('הדבקת לידים'!B1508),IF(הגדרות!$E$3&gt;0,TEXT('הדבקת לידים'!B1508,REPT("0",הגדרות!$E$3)),TEXT('הדבקת לידים'!B1508,"0")),TRIM('הדבקת לידים'!B1508)))</f>
        <v/>
      </c>
      <c r="C1508" s="0" t="n">
        <f aca="false">IF(OR(A1508&lt;&gt;"",B1508&lt;&gt;""),1,0)</f>
        <v>0</v>
      </c>
      <c r="D1508" s="0" t="str">
        <f aca="false">IF(C1508=1,MOD(ABS(SIN(ROW()*12.9898+'הדבקת לידים'!$F$2*78.233+IFERROR(--RIGHT(A1508,6),LEN(A1508))*0.0137+IFERROR(--RIGHT(B1508,6),LEN(B1508))*0.0071))*43758.5453,1),"")</f>
        <v/>
      </c>
      <c r="E1508" s="0" t="str">
        <f aca="false">IF(C1508=1,INT(MOD(ABS(SIN(D1508*7919.123+ROW()*0.618+'הדבקת לידים'!$F$2*1.3))*43758.5453,1)*1000000)*10000+ROW(),"")</f>
        <v/>
      </c>
      <c r="F1508" s="0" t="str">
        <f aca="false">IF(E1508="","",RANK(E1508,$E$2:$E$5001,1))</f>
        <v/>
      </c>
      <c r="G1508" s="0" t="n">
        <f aca="false">IF(A1508="",0,IF(SUMPRODUCT(--($A$2:$A$5001=A1508))&gt;1,1,0))</f>
        <v>0</v>
      </c>
      <c r="H1508" s="0" t="n">
        <f aca="false">ROW()-1</f>
        <v>1507</v>
      </c>
      <c r="I1508" s="0" t="str">
        <f aca="false">IF(OR(הגדרות!$E$6=0,H1508&gt;הגדרות!$E$5),"",IF(H1508-1&lt;הגדרות!$E$8*(הגדרות!$E$7+1),INT((H1508-1)/(הגדרות!$E$7+1)),הגדרות!$E$8+INT((H1508-1-הגדרות!$E$8*(הגדרות!$E$7+1))/הגדרות!$E$7)))</f>
        <v/>
      </c>
      <c r="J1508" s="0" t="str">
        <f aca="false">IF(I1508="","",IF(H1508-1&lt;הגדרות!$E$8*(הגדרות!$E$7+1),MOD(H1508-1,הגדרות!$E$7+1),MOD(H1508-1-הגדרות!$E$8*(הגדרות!$E$7+1),הגדרות!$E$7)))</f>
        <v/>
      </c>
      <c r="K1508" s="0" t="str">
        <f aca="false">IF(I1508="","",J1508*הגדרות!$E$6+I1508+1)</f>
        <v/>
      </c>
      <c r="L1508" s="0" t="str">
        <f aca="false">IF(K1508="","",MATCH(K1508,$F$2:$F$5001,0))</f>
        <v/>
      </c>
      <c r="M1508" s="0" t="str">
        <f aca="false">IF(I1508="","",INDEX(הגדרות!$A$2:$A$21,MOD(I1508+הגדרות!$E$9,הגדרות!$E$6)+1))</f>
        <v/>
      </c>
    </row>
    <row r="1509" customFormat="false" ht="15" hidden="false" customHeight="false" outlineLevel="0" collapsed="false">
      <c r="A1509" s="0" t="str">
        <f aca="false">IF('הדבקת לידים'!A1509="","",IF(ISNUMBER('הדבקת לידים'!A1509),IF(הגדרות!$E$2&gt;0,TEXT('הדבקת לידים'!A1509,REPT("0",הגדרות!$E$2)),TEXT('הדבקת לידים'!A1509,"0")),TRIM('הדבקת לידים'!A1509)))</f>
        <v/>
      </c>
      <c r="B1509" s="0" t="str">
        <f aca="false">IF('הדבקת לידים'!B1509="","",IF(ISNUMBER('הדבקת לידים'!B1509),IF(הגדרות!$E$3&gt;0,TEXT('הדבקת לידים'!B1509,REPT("0",הגדרות!$E$3)),TEXT('הדבקת לידים'!B1509,"0")),TRIM('הדבקת לידים'!B1509)))</f>
        <v/>
      </c>
      <c r="C1509" s="0" t="n">
        <f aca="false">IF(OR(A1509&lt;&gt;"",B1509&lt;&gt;""),1,0)</f>
        <v>0</v>
      </c>
      <c r="D1509" s="0" t="str">
        <f aca="false">IF(C1509=1,MOD(ABS(SIN(ROW()*12.9898+'הדבקת לידים'!$F$2*78.233+IFERROR(--RIGHT(A1509,6),LEN(A1509))*0.0137+IFERROR(--RIGHT(B1509,6),LEN(B1509))*0.0071))*43758.5453,1),"")</f>
        <v/>
      </c>
      <c r="E1509" s="0" t="str">
        <f aca="false">IF(C1509=1,INT(MOD(ABS(SIN(D1509*7919.123+ROW()*0.618+'הדבקת לידים'!$F$2*1.3))*43758.5453,1)*1000000)*10000+ROW(),"")</f>
        <v/>
      </c>
      <c r="F1509" s="0" t="str">
        <f aca="false">IF(E1509="","",RANK(E1509,$E$2:$E$5001,1))</f>
        <v/>
      </c>
      <c r="G1509" s="0" t="n">
        <f aca="false">IF(A1509="",0,IF(SUMPRODUCT(--($A$2:$A$5001=A1509))&gt;1,1,0))</f>
        <v>0</v>
      </c>
      <c r="H1509" s="0" t="n">
        <f aca="false">ROW()-1</f>
        <v>1508</v>
      </c>
      <c r="I1509" s="0" t="str">
        <f aca="false">IF(OR(הגדרות!$E$6=0,H1509&gt;הגדרות!$E$5),"",IF(H1509-1&lt;הגדרות!$E$8*(הגדרות!$E$7+1),INT((H1509-1)/(הגדרות!$E$7+1)),הגדרות!$E$8+INT((H1509-1-הגדרות!$E$8*(הגדרות!$E$7+1))/הגדרות!$E$7)))</f>
        <v/>
      </c>
      <c r="J1509" s="0" t="str">
        <f aca="false">IF(I1509="","",IF(H1509-1&lt;הגדרות!$E$8*(הגדרות!$E$7+1),MOD(H1509-1,הגדרות!$E$7+1),MOD(H1509-1-הגדרות!$E$8*(הגדרות!$E$7+1),הגדרות!$E$7)))</f>
        <v/>
      </c>
      <c r="K1509" s="0" t="str">
        <f aca="false">IF(I1509="","",J1509*הגדרות!$E$6+I1509+1)</f>
        <v/>
      </c>
      <c r="L1509" s="0" t="str">
        <f aca="false">IF(K1509="","",MATCH(K1509,$F$2:$F$5001,0))</f>
        <v/>
      </c>
      <c r="M1509" s="0" t="str">
        <f aca="false">IF(I1509="","",INDEX(הגדרות!$A$2:$A$21,MOD(I1509+הגדרות!$E$9,הגדרות!$E$6)+1))</f>
        <v/>
      </c>
    </row>
    <row r="1510" customFormat="false" ht="15" hidden="false" customHeight="false" outlineLevel="0" collapsed="false">
      <c r="A1510" s="0" t="str">
        <f aca="false">IF('הדבקת לידים'!A1510="","",IF(ISNUMBER('הדבקת לידים'!A1510),IF(הגדרות!$E$2&gt;0,TEXT('הדבקת לידים'!A1510,REPT("0",הגדרות!$E$2)),TEXT('הדבקת לידים'!A1510,"0")),TRIM('הדבקת לידים'!A1510)))</f>
        <v/>
      </c>
      <c r="B1510" s="0" t="str">
        <f aca="false">IF('הדבקת לידים'!B1510="","",IF(ISNUMBER('הדבקת לידים'!B1510),IF(הגדרות!$E$3&gt;0,TEXT('הדבקת לידים'!B1510,REPT("0",הגדרות!$E$3)),TEXT('הדבקת לידים'!B1510,"0")),TRIM('הדבקת לידים'!B1510)))</f>
        <v/>
      </c>
      <c r="C1510" s="0" t="n">
        <f aca="false">IF(OR(A1510&lt;&gt;"",B1510&lt;&gt;""),1,0)</f>
        <v>0</v>
      </c>
      <c r="D1510" s="0" t="str">
        <f aca="false">IF(C1510=1,MOD(ABS(SIN(ROW()*12.9898+'הדבקת לידים'!$F$2*78.233+IFERROR(--RIGHT(A1510,6),LEN(A1510))*0.0137+IFERROR(--RIGHT(B1510,6),LEN(B1510))*0.0071))*43758.5453,1),"")</f>
        <v/>
      </c>
      <c r="E1510" s="0" t="str">
        <f aca="false">IF(C1510=1,INT(MOD(ABS(SIN(D1510*7919.123+ROW()*0.618+'הדבקת לידים'!$F$2*1.3))*43758.5453,1)*1000000)*10000+ROW(),"")</f>
        <v/>
      </c>
      <c r="F1510" s="0" t="str">
        <f aca="false">IF(E1510="","",RANK(E1510,$E$2:$E$5001,1))</f>
        <v/>
      </c>
      <c r="G1510" s="0" t="n">
        <f aca="false">IF(A1510="",0,IF(SUMPRODUCT(--($A$2:$A$5001=A1510))&gt;1,1,0))</f>
        <v>0</v>
      </c>
      <c r="H1510" s="0" t="n">
        <f aca="false">ROW()-1</f>
        <v>1509</v>
      </c>
      <c r="I1510" s="0" t="str">
        <f aca="false">IF(OR(הגדרות!$E$6=0,H1510&gt;הגדרות!$E$5),"",IF(H1510-1&lt;הגדרות!$E$8*(הגדרות!$E$7+1),INT((H1510-1)/(הגדרות!$E$7+1)),הגדרות!$E$8+INT((H1510-1-הגדרות!$E$8*(הגדרות!$E$7+1))/הגדרות!$E$7)))</f>
        <v/>
      </c>
      <c r="J1510" s="0" t="str">
        <f aca="false">IF(I1510="","",IF(H1510-1&lt;הגדרות!$E$8*(הגדרות!$E$7+1),MOD(H1510-1,הגדרות!$E$7+1),MOD(H1510-1-הגדרות!$E$8*(הגדרות!$E$7+1),הגדרות!$E$7)))</f>
        <v/>
      </c>
      <c r="K1510" s="0" t="str">
        <f aca="false">IF(I1510="","",J1510*הגדרות!$E$6+I1510+1)</f>
        <v/>
      </c>
      <c r="L1510" s="0" t="str">
        <f aca="false">IF(K1510="","",MATCH(K1510,$F$2:$F$5001,0))</f>
        <v/>
      </c>
      <c r="M1510" s="0" t="str">
        <f aca="false">IF(I1510="","",INDEX(הגדרות!$A$2:$A$21,MOD(I1510+הגדרות!$E$9,הגדרות!$E$6)+1))</f>
        <v/>
      </c>
    </row>
    <row r="1511" customFormat="false" ht="15" hidden="false" customHeight="false" outlineLevel="0" collapsed="false">
      <c r="A1511" s="0" t="str">
        <f aca="false">IF('הדבקת לידים'!A1511="","",IF(ISNUMBER('הדבקת לידים'!A1511),IF(הגדרות!$E$2&gt;0,TEXT('הדבקת לידים'!A1511,REPT("0",הגדרות!$E$2)),TEXT('הדבקת לידים'!A1511,"0")),TRIM('הדבקת לידים'!A1511)))</f>
        <v/>
      </c>
      <c r="B1511" s="0" t="str">
        <f aca="false">IF('הדבקת לידים'!B1511="","",IF(ISNUMBER('הדבקת לידים'!B1511),IF(הגדרות!$E$3&gt;0,TEXT('הדבקת לידים'!B1511,REPT("0",הגדרות!$E$3)),TEXT('הדבקת לידים'!B1511,"0")),TRIM('הדבקת לידים'!B1511)))</f>
        <v/>
      </c>
      <c r="C1511" s="0" t="n">
        <f aca="false">IF(OR(A1511&lt;&gt;"",B1511&lt;&gt;""),1,0)</f>
        <v>0</v>
      </c>
      <c r="D1511" s="0" t="str">
        <f aca="false">IF(C1511=1,MOD(ABS(SIN(ROW()*12.9898+'הדבקת לידים'!$F$2*78.233+IFERROR(--RIGHT(A1511,6),LEN(A1511))*0.0137+IFERROR(--RIGHT(B1511,6),LEN(B1511))*0.0071))*43758.5453,1),"")</f>
        <v/>
      </c>
      <c r="E1511" s="0" t="str">
        <f aca="false">IF(C1511=1,INT(MOD(ABS(SIN(D1511*7919.123+ROW()*0.618+'הדבקת לידים'!$F$2*1.3))*43758.5453,1)*1000000)*10000+ROW(),"")</f>
        <v/>
      </c>
      <c r="F1511" s="0" t="str">
        <f aca="false">IF(E1511="","",RANK(E1511,$E$2:$E$5001,1))</f>
        <v/>
      </c>
      <c r="G1511" s="0" t="n">
        <f aca="false">IF(A1511="",0,IF(SUMPRODUCT(--($A$2:$A$5001=A1511))&gt;1,1,0))</f>
        <v>0</v>
      </c>
      <c r="H1511" s="0" t="n">
        <f aca="false">ROW()-1</f>
        <v>1510</v>
      </c>
      <c r="I1511" s="0" t="str">
        <f aca="false">IF(OR(הגדרות!$E$6=0,H1511&gt;הגדרות!$E$5),"",IF(H1511-1&lt;הגדרות!$E$8*(הגדרות!$E$7+1),INT((H1511-1)/(הגדרות!$E$7+1)),הגדרות!$E$8+INT((H1511-1-הגדרות!$E$8*(הגדרות!$E$7+1))/הגדרות!$E$7)))</f>
        <v/>
      </c>
      <c r="J1511" s="0" t="str">
        <f aca="false">IF(I1511="","",IF(H1511-1&lt;הגדרות!$E$8*(הגדרות!$E$7+1),MOD(H1511-1,הגדרות!$E$7+1),MOD(H1511-1-הגדרות!$E$8*(הגדרות!$E$7+1),הגדרות!$E$7)))</f>
        <v/>
      </c>
      <c r="K1511" s="0" t="str">
        <f aca="false">IF(I1511="","",J1511*הגדרות!$E$6+I1511+1)</f>
        <v/>
      </c>
      <c r="L1511" s="0" t="str">
        <f aca="false">IF(K1511="","",MATCH(K1511,$F$2:$F$5001,0))</f>
        <v/>
      </c>
      <c r="M1511" s="0" t="str">
        <f aca="false">IF(I1511="","",INDEX(הגדרות!$A$2:$A$21,MOD(I1511+הגדרות!$E$9,הגדרות!$E$6)+1))</f>
        <v/>
      </c>
    </row>
    <row r="1512" customFormat="false" ht="15" hidden="false" customHeight="false" outlineLevel="0" collapsed="false">
      <c r="A1512" s="0" t="str">
        <f aca="false">IF('הדבקת לידים'!A1512="","",IF(ISNUMBER('הדבקת לידים'!A1512),IF(הגדרות!$E$2&gt;0,TEXT('הדבקת לידים'!A1512,REPT("0",הגדרות!$E$2)),TEXT('הדבקת לידים'!A1512,"0")),TRIM('הדבקת לידים'!A1512)))</f>
        <v/>
      </c>
      <c r="B1512" s="0" t="str">
        <f aca="false">IF('הדבקת לידים'!B1512="","",IF(ISNUMBER('הדבקת לידים'!B1512),IF(הגדרות!$E$3&gt;0,TEXT('הדבקת לידים'!B1512,REPT("0",הגדרות!$E$3)),TEXT('הדבקת לידים'!B1512,"0")),TRIM('הדבקת לידים'!B1512)))</f>
        <v/>
      </c>
      <c r="C1512" s="0" t="n">
        <f aca="false">IF(OR(A1512&lt;&gt;"",B1512&lt;&gt;""),1,0)</f>
        <v>0</v>
      </c>
      <c r="D1512" s="0" t="str">
        <f aca="false">IF(C1512=1,MOD(ABS(SIN(ROW()*12.9898+'הדבקת לידים'!$F$2*78.233+IFERROR(--RIGHT(A1512,6),LEN(A1512))*0.0137+IFERROR(--RIGHT(B1512,6),LEN(B1512))*0.0071))*43758.5453,1),"")</f>
        <v/>
      </c>
      <c r="E1512" s="0" t="str">
        <f aca="false">IF(C1512=1,INT(MOD(ABS(SIN(D1512*7919.123+ROW()*0.618+'הדבקת לידים'!$F$2*1.3))*43758.5453,1)*1000000)*10000+ROW(),"")</f>
        <v/>
      </c>
      <c r="F1512" s="0" t="str">
        <f aca="false">IF(E1512="","",RANK(E1512,$E$2:$E$5001,1))</f>
        <v/>
      </c>
      <c r="G1512" s="0" t="n">
        <f aca="false">IF(A1512="",0,IF(SUMPRODUCT(--($A$2:$A$5001=A1512))&gt;1,1,0))</f>
        <v>0</v>
      </c>
      <c r="H1512" s="0" t="n">
        <f aca="false">ROW()-1</f>
        <v>1511</v>
      </c>
      <c r="I1512" s="0" t="str">
        <f aca="false">IF(OR(הגדרות!$E$6=0,H1512&gt;הגדרות!$E$5),"",IF(H1512-1&lt;הגדרות!$E$8*(הגדרות!$E$7+1),INT((H1512-1)/(הגדרות!$E$7+1)),הגדרות!$E$8+INT((H1512-1-הגדרות!$E$8*(הגדרות!$E$7+1))/הגדרות!$E$7)))</f>
        <v/>
      </c>
      <c r="J1512" s="0" t="str">
        <f aca="false">IF(I1512="","",IF(H1512-1&lt;הגדרות!$E$8*(הגדרות!$E$7+1),MOD(H1512-1,הגדרות!$E$7+1),MOD(H1512-1-הגדרות!$E$8*(הגדרות!$E$7+1),הגדרות!$E$7)))</f>
        <v/>
      </c>
      <c r="K1512" s="0" t="str">
        <f aca="false">IF(I1512="","",J1512*הגדרות!$E$6+I1512+1)</f>
        <v/>
      </c>
      <c r="L1512" s="0" t="str">
        <f aca="false">IF(K1512="","",MATCH(K1512,$F$2:$F$5001,0))</f>
        <v/>
      </c>
      <c r="M1512" s="0" t="str">
        <f aca="false">IF(I1512="","",INDEX(הגדרות!$A$2:$A$21,MOD(I1512+הגדרות!$E$9,הגדרות!$E$6)+1))</f>
        <v/>
      </c>
    </row>
    <row r="1513" customFormat="false" ht="15" hidden="false" customHeight="false" outlineLevel="0" collapsed="false">
      <c r="A1513" s="0" t="str">
        <f aca="false">IF('הדבקת לידים'!A1513="","",IF(ISNUMBER('הדבקת לידים'!A1513),IF(הגדרות!$E$2&gt;0,TEXT('הדבקת לידים'!A1513,REPT("0",הגדרות!$E$2)),TEXT('הדבקת לידים'!A1513,"0")),TRIM('הדבקת לידים'!A1513)))</f>
        <v/>
      </c>
      <c r="B1513" s="0" t="str">
        <f aca="false">IF('הדבקת לידים'!B1513="","",IF(ISNUMBER('הדבקת לידים'!B1513),IF(הגדרות!$E$3&gt;0,TEXT('הדבקת לידים'!B1513,REPT("0",הגדרות!$E$3)),TEXT('הדבקת לידים'!B1513,"0")),TRIM('הדבקת לידים'!B1513)))</f>
        <v/>
      </c>
      <c r="C1513" s="0" t="n">
        <f aca="false">IF(OR(A1513&lt;&gt;"",B1513&lt;&gt;""),1,0)</f>
        <v>0</v>
      </c>
      <c r="D1513" s="0" t="str">
        <f aca="false">IF(C1513=1,MOD(ABS(SIN(ROW()*12.9898+'הדבקת לידים'!$F$2*78.233+IFERROR(--RIGHT(A1513,6),LEN(A1513))*0.0137+IFERROR(--RIGHT(B1513,6),LEN(B1513))*0.0071))*43758.5453,1),"")</f>
        <v/>
      </c>
      <c r="E1513" s="0" t="str">
        <f aca="false">IF(C1513=1,INT(MOD(ABS(SIN(D1513*7919.123+ROW()*0.618+'הדבקת לידים'!$F$2*1.3))*43758.5453,1)*1000000)*10000+ROW(),"")</f>
        <v/>
      </c>
      <c r="F1513" s="0" t="str">
        <f aca="false">IF(E1513="","",RANK(E1513,$E$2:$E$5001,1))</f>
        <v/>
      </c>
      <c r="G1513" s="0" t="n">
        <f aca="false">IF(A1513="",0,IF(SUMPRODUCT(--($A$2:$A$5001=A1513))&gt;1,1,0))</f>
        <v>0</v>
      </c>
      <c r="H1513" s="0" t="n">
        <f aca="false">ROW()-1</f>
        <v>1512</v>
      </c>
      <c r="I1513" s="0" t="str">
        <f aca="false">IF(OR(הגדרות!$E$6=0,H1513&gt;הגדרות!$E$5),"",IF(H1513-1&lt;הגדרות!$E$8*(הגדרות!$E$7+1),INT((H1513-1)/(הגדרות!$E$7+1)),הגדרות!$E$8+INT((H1513-1-הגדרות!$E$8*(הגדרות!$E$7+1))/הגדרות!$E$7)))</f>
        <v/>
      </c>
      <c r="J1513" s="0" t="str">
        <f aca="false">IF(I1513="","",IF(H1513-1&lt;הגדרות!$E$8*(הגדרות!$E$7+1),MOD(H1513-1,הגדרות!$E$7+1),MOD(H1513-1-הגדרות!$E$8*(הגדרות!$E$7+1),הגדרות!$E$7)))</f>
        <v/>
      </c>
      <c r="K1513" s="0" t="str">
        <f aca="false">IF(I1513="","",J1513*הגדרות!$E$6+I1513+1)</f>
        <v/>
      </c>
      <c r="L1513" s="0" t="str">
        <f aca="false">IF(K1513="","",MATCH(K1513,$F$2:$F$5001,0))</f>
        <v/>
      </c>
      <c r="M1513" s="0" t="str">
        <f aca="false">IF(I1513="","",INDEX(הגדרות!$A$2:$A$21,MOD(I1513+הגדרות!$E$9,הגדרות!$E$6)+1))</f>
        <v/>
      </c>
    </row>
    <row r="1514" customFormat="false" ht="15" hidden="false" customHeight="false" outlineLevel="0" collapsed="false">
      <c r="A1514" s="0" t="str">
        <f aca="false">IF('הדבקת לידים'!A1514="","",IF(ISNUMBER('הדבקת לידים'!A1514),IF(הגדרות!$E$2&gt;0,TEXT('הדבקת לידים'!A1514,REPT("0",הגדרות!$E$2)),TEXT('הדבקת לידים'!A1514,"0")),TRIM('הדבקת לידים'!A1514)))</f>
        <v/>
      </c>
      <c r="B1514" s="0" t="str">
        <f aca="false">IF('הדבקת לידים'!B1514="","",IF(ISNUMBER('הדבקת לידים'!B1514),IF(הגדרות!$E$3&gt;0,TEXT('הדבקת לידים'!B1514,REPT("0",הגדרות!$E$3)),TEXT('הדבקת לידים'!B1514,"0")),TRIM('הדבקת לידים'!B1514)))</f>
        <v/>
      </c>
      <c r="C1514" s="0" t="n">
        <f aca="false">IF(OR(A1514&lt;&gt;"",B1514&lt;&gt;""),1,0)</f>
        <v>0</v>
      </c>
      <c r="D1514" s="0" t="str">
        <f aca="false">IF(C1514=1,MOD(ABS(SIN(ROW()*12.9898+'הדבקת לידים'!$F$2*78.233+IFERROR(--RIGHT(A1514,6),LEN(A1514))*0.0137+IFERROR(--RIGHT(B1514,6),LEN(B1514))*0.0071))*43758.5453,1),"")</f>
        <v/>
      </c>
      <c r="E1514" s="0" t="str">
        <f aca="false">IF(C1514=1,INT(MOD(ABS(SIN(D1514*7919.123+ROW()*0.618+'הדבקת לידים'!$F$2*1.3))*43758.5453,1)*1000000)*10000+ROW(),"")</f>
        <v/>
      </c>
      <c r="F1514" s="0" t="str">
        <f aca="false">IF(E1514="","",RANK(E1514,$E$2:$E$5001,1))</f>
        <v/>
      </c>
      <c r="G1514" s="0" t="n">
        <f aca="false">IF(A1514="",0,IF(SUMPRODUCT(--($A$2:$A$5001=A1514))&gt;1,1,0))</f>
        <v>0</v>
      </c>
      <c r="H1514" s="0" t="n">
        <f aca="false">ROW()-1</f>
        <v>1513</v>
      </c>
      <c r="I1514" s="0" t="str">
        <f aca="false">IF(OR(הגדרות!$E$6=0,H1514&gt;הגדרות!$E$5),"",IF(H1514-1&lt;הגדרות!$E$8*(הגדרות!$E$7+1),INT((H1514-1)/(הגדרות!$E$7+1)),הגדרות!$E$8+INT((H1514-1-הגדרות!$E$8*(הגדרות!$E$7+1))/הגדרות!$E$7)))</f>
        <v/>
      </c>
      <c r="J1514" s="0" t="str">
        <f aca="false">IF(I1514="","",IF(H1514-1&lt;הגדרות!$E$8*(הגדרות!$E$7+1),MOD(H1514-1,הגדרות!$E$7+1),MOD(H1514-1-הגדרות!$E$8*(הגדרות!$E$7+1),הגדרות!$E$7)))</f>
        <v/>
      </c>
      <c r="K1514" s="0" t="str">
        <f aca="false">IF(I1514="","",J1514*הגדרות!$E$6+I1514+1)</f>
        <v/>
      </c>
      <c r="L1514" s="0" t="str">
        <f aca="false">IF(K1514="","",MATCH(K1514,$F$2:$F$5001,0))</f>
        <v/>
      </c>
      <c r="M1514" s="0" t="str">
        <f aca="false">IF(I1514="","",INDEX(הגדרות!$A$2:$A$21,MOD(I1514+הגדרות!$E$9,הגדרות!$E$6)+1))</f>
        <v/>
      </c>
    </row>
    <row r="1515" customFormat="false" ht="15" hidden="false" customHeight="false" outlineLevel="0" collapsed="false">
      <c r="A1515" s="0" t="str">
        <f aca="false">IF('הדבקת לידים'!A1515="","",IF(ISNUMBER('הדבקת לידים'!A1515),IF(הגדרות!$E$2&gt;0,TEXT('הדבקת לידים'!A1515,REPT("0",הגדרות!$E$2)),TEXT('הדבקת לידים'!A1515,"0")),TRIM('הדבקת לידים'!A1515)))</f>
        <v/>
      </c>
      <c r="B1515" s="0" t="str">
        <f aca="false">IF('הדבקת לידים'!B1515="","",IF(ISNUMBER('הדבקת לידים'!B1515),IF(הגדרות!$E$3&gt;0,TEXT('הדבקת לידים'!B1515,REPT("0",הגדרות!$E$3)),TEXT('הדבקת לידים'!B1515,"0")),TRIM('הדבקת לידים'!B1515)))</f>
        <v/>
      </c>
      <c r="C1515" s="0" t="n">
        <f aca="false">IF(OR(A1515&lt;&gt;"",B1515&lt;&gt;""),1,0)</f>
        <v>0</v>
      </c>
      <c r="D1515" s="0" t="str">
        <f aca="false">IF(C1515=1,MOD(ABS(SIN(ROW()*12.9898+'הדבקת לידים'!$F$2*78.233+IFERROR(--RIGHT(A1515,6),LEN(A1515))*0.0137+IFERROR(--RIGHT(B1515,6),LEN(B1515))*0.0071))*43758.5453,1),"")</f>
        <v/>
      </c>
      <c r="E1515" s="0" t="str">
        <f aca="false">IF(C1515=1,INT(MOD(ABS(SIN(D1515*7919.123+ROW()*0.618+'הדבקת לידים'!$F$2*1.3))*43758.5453,1)*1000000)*10000+ROW(),"")</f>
        <v/>
      </c>
      <c r="F1515" s="0" t="str">
        <f aca="false">IF(E1515="","",RANK(E1515,$E$2:$E$5001,1))</f>
        <v/>
      </c>
      <c r="G1515" s="0" t="n">
        <f aca="false">IF(A1515="",0,IF(SUMPRODUCT(--($A$2:$A$5001=A1515))&gt;1,1,0))</f>
        <v>0</v>
      </c>
      <c r="H1515" s="0" t="n">
        <f aca="false">ROW()-1</f>
        <v>1514</v>
      </c>
      <c r="I1515" s="0" t="str">
        <f aca="false">IF(OR(הגדרות!$E$6=0,H1515&gt;הגדרות!$E$5),"",IF(H1515-1&lt;הגדרות!$E$8*(הגדרות!$E$7+1),INT((H1515-1)/(הגדרות!$E$7+1)),הגדרות!$E$8+INT((H1515-1-הגדרות!$E$8*(הגדרות!$E$7+1))/הגדרות!$E$7)))</f>
        <v/>
      </c>
      <c r="J1515" s="0" t="str">
        <f aca="false">IF(I1515="","",IF(H1515-1&lt;הגדרות!$E$8*(הגדרות!$E$7+1),MOD(H1515-1,הגדרות!$E$7+1),MOD(H1515-1-הגדרות!$E$8*(הגדרות!$E$7+1),הגדרות!$E$7)))</f>
        <v/>
      </c>
      <c r="K1515" s="0" t="str">
        <f aca="false">IF(I1515="","",J1515*הגדרות!$E$6+I1515+1)</f>
        <v/>
      </c>
      <c r="L1515" s="0" t="str">
        <f aca="false">IF(K1515="","",MATCH(K1515,$F$2:$F$5001,0))</f>
        <v/>
      </c>
      <c r="M1515" s="0" t="str">
        <f aca="false">IF(I1515="","",INDEX(הגדרות!$A$2:$A$21,MOD(I1515+הגדרות!$E$9,הגדרות!$E$6)+1))</f>
        <v/>
      </c>
    </row>
    <row r="1516" customFormat="false" ht="15" hidden="false" customHeight="false" outlineLevel="0" collapsed="false">
      <c r="A1516" s="0" t="str">
        <f aca="false">IF('הדבקת לידים'!A1516="","",IF(ISNUMBER('הדבקת לידים'!A1516),IF(הגדרות!$E$2&gt;0,TEXT('הדבקת לידים'!A1516,REPT("0",הגדרות!$E$2)),TEXT('הדבקת לידים'!A1516,"0")),TRIM('הדבקת לידים'!A1516)))</f>
        <v/>
      </c>
      <c r="B1516" s="0" t="str">
        <f aca="false">IF('הדבקת לידים'!B1516="","",IF(ISNUMBER('הדבקת לידים'!B1516),IF(הגדרות!$E$3&gt;0,TEXT('הדבקת לידים'!B1516,REPT("0",הגדרות!$E$3)),TEXT('הדבקת לידים'!B1516,"0")),TRIM('הדבקת לידים'!B1516)))</f>
        <v/>
      </c>
      <c r="C1516" s="0" t="n">
        <f aca="false">IF(OR(A1516&lt;&gt;"",B1516&lt;&gt;""),1,0)</f>
        <v>0</v>
      </c>
      <c r="D1516" s="0" t="str">
        <f aca="false">IF(C1516=1,MOD(ABS(SIN(ROW()*12.9898+'הדבקת לידים'!$F$2*78.233+IFERROR(--RIGHT(A1516,6),LEN(A1516))*0.0137+IFERROR(--RIGHT(B1516,6),LEN(B1516))*0.0071))*43758.5453,1),"")</f>
        <v/>
      </c>
      <c r="E1516" s="0" t="str">
        <f aca="false">IF(C1516=1,INT(MOD(ABS(SIN(D1516*7919.123+ROW()*0.618+'הדבקת לידים'!$F$2*1.3))*43758.5453,1)*1000000)*10000+ROW(),"")</f>
        <v/>
      </c>
      <c r="F1516" s="0" t="str">
        <f aca="false">IF(E1516="","",RANK(E1516,$E$2:$E$5001,1))</f>
        <v/>
      </c>
      <c r="G1516" s="0" t="n">
        <f aca="false">IF(A1516="",0,IF(SUMPRODUCT(--($A$2:$A$5001=A1516))&gt;1,1,0))</f>
        <v>0</v>
      </c>
      <c r="H1516" s="0" t="n">
        <f aca="false">ROW()-1</f>
        <v>1515</v>
      </c>
      <c r="I1516" s="0" t="str">
        <f aca="false">IF(OR(הגדרות!$E$6=0,H1516&gt;הגדרות!$E$5),"",IF(H1516-1&lt;הגדרות!$E$8*(הגדרות!$E$7+1),INT((H1516-1)/(הגדרות!$E$7+1)),הגדרות!$E$8+INT((H1516-1-הגדרות!$E$8*(הגדרות!$E$7+1))/הגדרות!$E$7)))</f>
        <v/>
      </c>
      <c r="J1516" s="0" t="str">
        <f aca="false">IF(I1516="","",IF(H1516-1&lt;הגדרות!$E$8*(הגדרות!$E$7+1),MOD(H1516-1,הגדרות!$E$7+1),MOD(H1516-1-הגדרות!$E$8*(הגדרות!$E$7+1),הגדרות!$E$7)))</f>
        <v/>
      </c>
      <c r="K1516" s="0" t="str">
        <f aca="false">IF(I1516="","",J1516*הגדרות!$E$6+I1516+1)</f>
        <v/>
      </c>
      <c r="L1516" s="0" t="str">
        <f aca="false">IF(K1516="","",MATCH(K1516,$F$2:$F$5001,0))</f>
        <v/>
      </c>
      <c r="M1516" s="0" t="str">
        <f aca="false">IF(I1516="","",INDEX(הגדרות!$A$2:$A$21,MOD(I1516+הגדרות!$E$9,הגדרות!$E$6)+1))</f>
        <v/>
      </c>
    </row>
    <row r="1517" customFormat="false" ht="15" hidden="false" customHeight="false" outlineLevel="0" collapsed="false">
      <c r="A1517" s="0" t="str">
        <f aca="false">IF('הדבקת לידים'!A1517="","",IF(ISNUMBER('הדבקת לידים'!A1517),IF(הגדרות!$E$2&gt;0,TEXT('הדבקת לידים'!A1517,REPT("0",הגדרות!$E$2)),TEXT('הדבקת לידים'!A1517,"0")),TRIM('הדבקת לידים'!A1517)))</f>
        <v/>
      </c>
      <c r="B1517" s="0" t="str">
        <f aca="false">IF('הדבקת לידים'!B1517="","",IF(ISNUMBER('הדבקת לידים'!B1517),IF(הגדרות!$E$3&gt;0,TEXT('הדבקת לידים'!B1517,REPT("0",הגדרות!$E$3)),TEXT('הדבקת לידים'!B1517,"0")),TRIM('הדבקת לידים'!B1517)))</f>
        <v/>
      </c>
      <c r="C1517" s="0" t="n">
        <f aca="false">IF(OR(A1517&lt;&gt;"",B1517&lt;&gt;""),1,0)</f>
        <v>0</v>
      </c>
      <c r="D1517" s="0" t="str">
        <f aca="false">IF(C1517=1,MOD(ABS(SIN(ROW()*12.9898+'הדבקת לידים'!$F$2*78.233+IFERROR(--RIGHT(A1517,6),LEN(A1517))*0.0137+IFERROR(--RIGHT(B1517,6),LEN(B1517))*0.0071))*43758.5453,1),"")</f>
        <v/>
      </c>
      <c r="E1517" s="0" t="str">
        <f aca="false">IF(C1517=1,INT(MOD(ABS(SIN(D1517*7919.123+ROW()*0.618+'הדבקת לידים'!$F$2*1.3))*43758.5453,1)*1000000)*10000+ROW(),"")</f>
        <v/>
      </c>
      <c r="F1517" s="0" t="str">
        <f aca="false">IF(E1517="","",RANK(E1517,$E$2:$E$5001,1))</f>
        <v/>
      </c>
      <c r="G1517" s="0" t="n">
        <f aca="false">IF(A1517="",0,IF(SUMPRODUCT(--($A$2:$A$5001=A1517))&gt;1,1,0))</f>
        <v>0</v>
      </c>
      <c r="H1517" s="0" t="n">
        <f aca="false">ROW()-1</f>
        <v>1516</v>
      </c>
      <c r="I1517" s="0" t="str">
        <f aca="false">IF(OR(הגדרות!$E$6=0,H1517&gt;הגדרות!$E$5),"",IF(H1517-1&lt;הגדרות!$E$8*(הגדרות!$E$7+1),INT((H1517-1)/(הגדרות!$E$7+1)),הגדרות!$E$8+INT((H1517-1-הגדרות!$E$8*(הגדרות!$E$7+1))/הגדרות!$E$7)))</f>
        <v/>
      </c>
      <c r="J1517" s="0" t="str">
        <f aca="false">IF(I1517="","",IF(H1517-1&lt;הגדרות!$E$8*(הגדרות!$E$7+1),MOD(H1517-1,הגדרות!$E$7+1),MOD(H1517-1-הגדרות!$E$8*(הגדרות!$E$7+1),הגדרות!$E$7)))</f>
        <v/>
      </c>
      <c r="K1517" s="0" t="str">
        <f aca="false">IF(I1517="","",J1517*הגדרות!$E$6+I1517+1)</f>
        <v/>
      </c>
      <c r="L1517" s="0" t="str">
        <f aca="false">IF(K1517="","",MATCH(K1517,$F$2:$F$5001,0))</f>
        <v/>
      </c>
      <c r="M1517" s="0" t="str">
        <f aca="false">IF(I1517="","",INDEX(הגדרות!$A$2:$A$21,MOD(I1517+הגדרות!$E$9,הגדרות!$E$6)+1))</f>
        <v/>
      </c>
    </row>
    <row r="1518" customFormat="false" ht="15" hidden="false" customHeight="false" outlineLevel="0" collapsed="false">
      <c r="A1518" s="0" t="str">
        <f aca="false">IF('הדבקת לידים'!A1518="","",IF(ISNUMBER('הדבקת לידים'!A1518),IF(הגדרות!$E$2&gt;0,TEXT('הדבקת לידים'!A1518,REPT("0",הגדרות!$E$2)),TEXT('הדבקת לידים'!A1518,"0")),TRIM('הדבקת לידים'!A1518)))</f>
        <v/>
      </c>
      <c r="B1518" s="0" t="str">
        <f aca="false">IF('הדבקת לידים'!B1518="","",IF(ISNUMBER('הדבקת לידים'!B1518),IF(הגדרות!$E$3&gt;0,TEXT('הדבקת לידים'!B1518,REPT("0",הגדרות!$E$3)),TEXT('הדבקת לידים'!B1518,"0")),TRIM('הדבקת לידים'!B1518)))</f>
        <v/>
      </c>
      <c r="C1518" s="0" t="n">
        <f aca="false">IF(OR(A1518&lt;&gt;"",B1518&lt;&gt;""),1,0)</f>
        <v>0</v>
      </c>
      <c r="D1518" s="0" t="str">
        <f aca="false">IF(C1518=1,MOD(ABS(SIN(ROW()*12.9898+'הדבקת לידים'!$F$2*78.233+IFERROR(--RIGHT(A1518,6),LEN(A1518))*0.0137+IFERROR(--RIGHT(B1518,6),LEN(B1518))*0.0071))*43758.5453,1),"")</f>
        <v/>
      </c>
      <c r="E1518" s="0" t="str">
        <f aca="false">IF(C1518=1,INT(MOD(ABS(SIN(D1518*7919.123+ROW()*0.618+'הדבקת לידים'!$F$2*1.3))*43758.5453,1)*1000000)*10000+ROW(),"")</f>
        <v/>
      </c>
      <c r="F1518" s="0" t="str">
        <f aca="false">IF(E1518="","",RANK(E1518,$E$2:$E$5001,1))</f>
        <v/>
      </c>
      <c r="G1518" s="0" t="n">
        <f aca="false">IF(A1518="",0,IF(SUMPRODUCT(--($A$2:$A$5001=A1518))&gt;1,1,0))</f>
        <v>0</v>
      </c>
      <c r="H1518" s="0" t="n">
        <f aca="false">ROW()-1</f>
        <v>1517</v>
      </c>
      <c r="I1518" s="0" t="str">
        <f aca="false">IF(OR(הגדרות!$E$6=0,H1518&gt;הגדרות!$E$5),"",IF(H1518-1&lt;הגדרות!$E$8*(הגדרות!$E$7+1),INT((H1518-1)/(הגדרות!$E$7+1)),הגדרות!$E$8+INT((H1518-1-הגדרות!$E$8*(הגדרות!$E$7+1))/הגדרות!$E$7)))</f>
        <v/>
      </c>
      <c r="J1518" s="0" t="str">
        <f aca="false">IF(I1518="","",IF(H1518-1&lt;הגדרות!$E$8*(הגדרות!$E$7+1),MOD(H1518-1,הגדרות!$E$7+1),MOD(H1518-1-הגדרות!$E$8*(הגדרות!$E$7+1),הגדרות!$E$7)))</f>
        <v/>
      </c>
      <c r="K1518" s="0" t="str">
        <f aca="false">IF(I1518="","",J1518*הגדרות!$E$6+I1518+1)</f>
        <v/>
      </c>
      <c r="L1518" s="0" t="str">
        <f aca="false">IF(K1518="","",MATCH(K1518,$F$2:$F$5001,0))</f>
        <v/>
      </c>
      <c r="M1518" s="0" t="str">
        <f aca="false">IF(I1518="","",INDEX(הגדרות!$A$2:$A$21,MOD(I1518+הגדרות!$E$9,הגדרות!$E$6)+1))</f>
        <v/>
      </c>
    </row>
    <row r="1519" customFormat="false" ht="15" hidden="false" customHeight="false" outlineLevel="0" collapsed="false">
      <c r="A1519" s="0" t="str">
        <f aca="false">IF('הדבקת לידים'!A1519="","",IF(ISNUMBER('הדבקת לידים'!A1519),IF(הגדרות!$E$2&gt;0,TEXT('הדבקת לידים'!A1519,REPT("0",הגדרות!$E$2)),TEXT('הדבקת לידים'!A1519,"0")),TRIM('הדבקת לידים'!A1519)))</f>
        <v/>
      </c>
      <c r="B1519" s="0" t="str">
        <f aca="false">IF('הדבקת לידים'!B1519="","",IF(ISNUMBER('הדבקת לידים'!B1519),IF(הגדרות!$E$3&gt;0,TEXT('הדבקת לידים'!B1519,REPT("0",הגדרות!$E$3)),TEXT('הדבקת לידים'!B1519,"0")),TRIM('הדבקת לידים'!B1519)))</f>
        <v/>
      </c>
      <c r="C1519" s="0" t="n">
        <f aca="false">IF(OR(A1519&lt;&gt;"",B1519&lt;&gt;""),1,0)</f>
        <v>0</v>
      </c>
      <c r="D1519" s="0" t="str">
        <f aca="false">IF(C1519=1,MOD(ABS(SIN(ROW()*12.9898+'הדבקת לידים'!$F$2*78.233+IFERROR(--RIGHT(A1519,6),LEN(A1519))*0.0137+IFERROR(--RIGHT(B1519,6),LEN(B1519))*0.0071))*43758.5453,1),"")</f>
        <v/>
      </c>
      <c r="E1519" s="0" t="str">
        <f aca="false">IF(C1519=1,INT(MOD(ABS(SIN(D1519*7919.123+ROW()*0.618+'הדבקת לידים'!$F$2*1.3))*43758.5453,1)*1000000)*10000+ROW(),"")</f>
        <v/>
      </c>
      <c r="F1519" s="0" t="str">
        <f aca="false">IF(E1519="","",RANK(E1519,$E$2:$E$5001,1))</f>
        <v/>
      </c>
      <c r="G1519" s="0" t="n">
        <f aca="false">IF(A1519="",0,IF(SUMPRODUCT(--($A$2:$A$5001=A1519))&gt;1,1,0))</f>
        <v>0</v>
      </c>
      <c r="H1519" s="0" t="n">
        <f aca="false">ROW()-1</f>
        <v>1518</v>
      </c>
      <c r="I1519" s="0" t="str">
        <f aca="false">IF(OR(הגדרות!$E$6=0,H1519&gt;הגדרות!$E$5),"",IF(H1519-1&lt;הגדרות!$E$8*(הגדרות!$E$7+1),INT((H1519-1)/(הגדרות!$E$7+1)),הגדרות!$E$8+INT((H1519-1-הגדרות!$E$8*(הגדרות!$E$7+1))/הגדרות!$E$7)))</f>
        <v/>
      </c>
      <c r="J1519" s="0" t="str">
        <f aca="false">IF(I1519="","",IF(H1519-1&lt;הגדרות!$E$8*(הגדרות!$E$7+1),MOD(H1519-1,הגדרות!$E$7+1),MOD(H1519-1-הגדרות!$E$8*(הגדרות!$E$7+1),הגדרות!$E$7)))</f>
        <v/>
      </c>
      <c r="K1519" s="0" t="str">
        <f aca="false">IF(I1519="","",J1519*הגדרות!$E$6+I1519+1)</f>
        <v/>
      </c>
      <c r="L1519" s="0" t="str">
        <f aca="false">IF(K1519="","",MATCH(K1519,$F$2:$F$5001,0))</f>
        <v/>
      </c>
      <c r="M1519" s="0" t="str">
        <f aca="false">IF(I1519="","",INDEX(הגדרות!$A$2:$A$21,MOD(I1519+הגדרות!$E$9,הגדרות!$E$6)+1))</f>
        <v/>
      </c>
    </row>
    <row r="1520" customFormat="false" ht="15" hidden="false" customHeight="false" outlineLevel="0" collapsed="false">
      <c r="A1520" s="0" t="str">
        <f aca="false">IF('הדבקת לידים'!A1520="","",IF(ISNUMBER('הדבקת לידים'!A1520),IF(הגדרות!$E$2&gt;0,TEXT('הדבקת לידים'!A1520,REPT("0",הגדרות!$E$2)),TEXT('הדבקת לידים'!A1520,"0")),TRIM('הדבקת לידים'!A1520)))</f>
        <v/>
      </c>
      <c r="B1520" s="0" t="str">
        <f aca="false">IF('הדבקת לידים'!B1520="","",IF(ISNUMBER('הדבקת לידים'!B1520),IF(הגדרות!$E$3&gt;0,TEXT('הדבקת לידים'!B1520,REPT("0",הגדרות!$E$3)),TEXT('הדבקת לידים'!B1520,"0")),TRIM('הדבקת לידים'!B1520)))</f>
        <v/>
      </c>
      <c r="C1520" s="0" t="n">
        <f aca="false">IF(OR(A1520&lt;&gt;"",B1520&lt;&gt;""),1,0)</f>
        <v>0</v>
      </c>
      <c r="D1520" s="0" t="str">
        <f aca="false">IF(C1520=1,MOD(ABS(SIN(ROW()*12.9898+'הדבקת לידים'!$F$2*78.233+IFERROR(--RIGHT(A1520,6),LEN(A1520))*0.0137+IFERROR(--RIGHT(B1520,6),LEN(B1520))*0.0071))*43758.5453,1),"")</f>
        <v/>
      </c>
      <c r="E1520" s="0" t="str">
        <f aca="false">IF(C1520=1,INT(MOD(ABS(SIN(D1520*7919.123+ROW()*0.618+'הדבקת לידים'!$F$2*1.3))*43758.5453,1)*1000000)*10000+ROW(),"")</f>
        <v/>
      </c>
      <c r="F1520" s="0" t="str">
        <f aca="false">IF(E1520="","",RANK(E1520,$E$2:$E$5001,1))</f>
        <v/>
      </c>
      <c r="G1520" s="0" t="n">
        <f aca="false">IF(A1520="",0,IF(SUMPRODUCT(--($A$2:$A$5001=A1520))&gt;1,1,0))</f>
        <v>0</v>
      </c>
      <c r="H1520" s="0" t="n">
        <f aca="false">ROW()-1</f>
        <v>1519</v>
      </c>
      <c r="I1520" s="0" t="str">
        <f aca="false">IF(OR(הגדרות!$E$6=0,H1520&gt;הגדרות!$E$5),"",IF(H1520-1&lt;הגדרות!$E$8*(הגדרות!$E$7+1),INT((H1520-1)/(הגדרות!$E$7+1)),הגדרות!$E$8+INT((H1520-1-הגדרות!$E$8*(הגדרות!$E$7+1))/הגדרות!$E$7)))</f>
        <v/>
      </c>
      <c r="J1520" s="0" t="str">
        <f aca="false">IF(I1520="","",IF(H1520-1&lt;הגדרות!$E$8*(הגדרות!$E$7+1),MOD(H1520-1,הגדרות!$E$7+1),MOD(H1520-1-הגדרות!$E$8*(הגדרות!$E$7+1),הגדרות!$E$7)))</f>
        <v/>
      </c>
      <c r="K1520" s="0" t="str">
        <f aca="false">IF(I1520="","",J1520*הגדרות!$E$6+I1520+1)</f>
        <v/>
      </c>
      <c r="L1520" s="0" t="str">
        <f aca="false">IF(K1520="","",MATCH(K1520,$F$2:$F$5001,0))</f>
        <v/>
      </c>
      <c r="M1520" s="0" t="str">
        <f aca="false">IF(I1520="","",INDEX(הגדרות!$A$2:$A$21,MOD(I1520+הגדרות!$E$9,הגדרות!$E$6)+1))</f>
        <v/>
      </c>
    </row>
    <row r="1521" customFormat="false" ht="15" hidden="false" customHeight="false" outlineLevel="0" collapsed="false">
      <c r="A1521" s="0" t="str">
        <f aca="false">IF('הדבקת לידים'!A1521="","",IF(ISNUMBER('הדבקת לידים'!A1521),IF(הגדרות!$E$2&gt;0,TEXT('הדבקת לידים'!A1521,REPT("0",הגדרות!$E$2)),TEXT('הדבקת לידים'!A1521,"0")),TRIM('הדבקת לידים'!A1521)))</f>
        <v/>
      </c>
      <c r="B1521" s="0" t="str">
        <f aca="false">IF('הדבקת לידים'!B1521="","",IF(ISNUMBER('הדבקת לידים'!B1521),IF(הגדרות!$E$3&gt;0,TEXT('הדבקת לידים'!B1521,REPT("0",הגדרות!$E$3)),TEXT('הדבקת לידים'!B1521,"0")),TRIM('הדבקת לידים'!B1521)))</f>
        <v/>
      </c>
      <c r="C1521" s="0" t="n">
        <f aca="false">IF(OR(A1521&lt;&gt;"",B1521&lt;&gt;""),1,0)</f>
        <v>0</v>
      </c>
      <c r="D1521" s="0" t="str">
        <f aca="false">IF(C1521=1,MOD(ABS(SIN(ROW()*12.9898+'הדבקת לידים'!$F$2*78.233+IFERROR(--RIGHT(A1521,6),LEN(A1521))*0.0137+IFERROR(--RIGHT(B1521,6),LEN(B1521))*0.0071))*43758.5453,1),"")</f>
        <v/>
      </c>
      <c r="E1521" s="0" t="str">
        <f aca="false">IF(C1521=1,INT(MOD(ABS(SIN(D1521*7919.123+ROW()*0.618+'הדבקת לידים'!$F$2*1.3))*43758.5453,1)*1000000)*10000+ROW(),"")</f>
        <v/>
      </c>
      <c r="F1521" s="0" t="str">
        <f aca="false">IF(E1521="","",RANK(E1521,$E$2:$E$5001,1))</f>
        <v/>
      </c>
      <c r="G1521" s="0" t="n">
        <f aca="false">IF(A1521="",0,IF(SUMPRODUCT(--($A$2:$A$5001=A1521))&gt;1,1,0))</f>
        <v>0</v>
      </c>
      <c r="H1521" s="0" t="n">
        <f aca="false">ROW()-1</f>
        <v>1520</v>
      </c>
      <c r="I1521" s="0" t="str">
        <f aca="false">IF(OR(הגדרות!$E$6=0,H1521&gt;הגדרות!$E$5),"",IF(H1521-1&lt;הגדרות!$E$8*(הגדרות!$E$7+1),INT((H1521-1)/(הגדרות!$E$7+1)),הגדרות!$E$8+INT((H1521-1-הגדרות!$E$8*(הגדרות!$E$7+1))/הגדרות!$E$7)))</f>
        <v/>
      </c>
      <c r="J1521" s="0" t="str">
        <f aca="false">IF(I1521="","",IF(H1521-1&lt;הגדרות!$E$8*(הגדרות!$E$7+1),MOD(H1521-1,הגדרות!$E$7+1),MOD(H1521-1-הגדרות!$E$8*(הגדרות!$E$7+1),הגדרות!$E$7)))</f>
        <v/>
      </c>
      <c r="K1521" s="0" t="str">
        <f aca="false">IF(I1521="","",J1521*הגדרות!$E$6+I1521+1)</f>
        <v/>
      </c>
      <c r="L1521" s="0" t="str">
        <f aca="false">IF(K1521="","",MATCH(K1521,$F$2:$F$5001,0))</f>
        <v/>
      </c>
      <c r="M1521" s="0" t="str">
        <f aca="false">IF(I1521="","",INDEX(הגדרות!$A$2:$A$21,MOD(I1521+הגדרות!$E$9,הגדרות!$E$6)+1))</f>
        <v/>
      </c>
    </row>
    <row r="1522" customFormat="false" ht="15" hidden="false" customHeight="false" outlineLevel="0" collapsed="false">
      <c r="A1522" s="0" t="str">
        <f aca="false">IF('הדבקת לידים'!A1522="","",IF(ISNUMBER('הדבקת לידים'!A1522),IF(הגדרות!$E$2&gt;0,TEXT('הדבקת לידים'!A1522,REPT("0",הגדרות!$E$2)),TEXT('הדבקת לידים'!A1522,"0")),TRIM('הדבקת לידים'!A1522)))</f>
        <v/>
      </c>
      <c r="B1522" s="0" t="str">
        <f aca="false">IF('הדבקת לידים'!B1522="","",IF(ISNUMBER('הדבקת לידים'!B1522),IF(הגדרות!$E$3&gt;0,TEXT('הדבקת לידים'!B1522,REPT("0",הגדרות!$E$3)),TEXT('הדבקת לידים'!B1522,"0")),TRIM('הדבקת לידים'!B1522)))</f>
        <v/>
      </c>
      <c r="C1522" s="0" t="n">
        <f aca="false">IF(OR(A1522&lt;&gt;"",B1522&lt;&gt;""),1,0)</f>
        <v>0</v>
      </c>
      <c r="D1522" s="0" t="str">
        <f aca="false">IF(C1522=1,MOD(ABS(SIN(ROW()*12.9898+'הדבקת לידים'!$F$2*78.233+IFERROR(--RIGHT(A1522,6),LEN(A1522))*0.0137+IFERROR(--RIGHT(B1522,6),LEN(B1522))*0.0071))*43758.5453,1),"")</f>
        <v/>
      </c>
      <c r="E1522" s="0" t="str">
        <f aca="false">IF(C1522=1,INT(MOD(ABS(SIN(D1522*7919.123+ROW()*0.618+'הדבקת לידים'!$F$2*1.3))*43758.5453,1)*1000000)*10000+ROW(),"")</f>
        <v/>
      </c>
      <c r="F1522" s="0" t="str">
        <f aca="false">IF(E1522="","",RANK(E1522,$E$2:$E$5001,1))</f>
        <v/>
      </c>
      <c r="G1522" s="0" t="n">
        <f aca="false">IF(A1522="",0,IF(SUMPRODUCT(--($A$2:$A$5001=A1522))&gt;1,1,0))</f>
        <v>0</v>
      </c>
      <c r="H1522" s="0" t="n">
        <f aca="false">ROW()-1</f>
        <v>1521</v>
      </c>
      <c r="I1522" s="0" t="str">
        <f aca="false">IF(OR(הגדרות!$E$6=0,H1522&gt;הגדרות!$E$5),"",IF(H1522-1&lt;הגדרות!$E$8*(הגדרות!$E$7+1),INT((H1522-1)/(הגדרות!$E$7+1)),הגדרות!$E$8+INT((H1522-1-הגדרות!$E$8*(הגדרות!$E$7+1))/הגדרות!$E$7)))</f>
        <v/>
      </c>
      <c r="J1522" s="0" t="str">
        <f aca="false">IF(I1522="","",IF(H1522-1&lt;הגדרות!$E$8*(הגדרות!$E$7+1),MOD(H1522-1,הגדרות!$E$7+1),MOD(H1522-1-הגדרות!$E$8*(הגדרות!$E$7+1),הגדרות!$E$7)))</f>
        <v/>
      </c>
      <c r="K1522" s="0" t="str">
        <f aca="false">IF(I1522="","",J1522*הגדרות!$E$6+I1522+1)</f>
        <v/>
      </c>
      <c r="L1522" s="0" t="str">
        <f aca="false">IF(K1522="","",MATCH(K1522,$F$2:$F$5001,0))</f>
        <v/>
      </c>
      <c r="M1522" s="0" t="str">
        <f aca="false">IF(I1522="","",INDEX(הגדרות!$A$2:$A$21,MOD(I1522+הגדרות!$E$9,הגדרות!$E$6)+1))</f>
        <v/>
      </c>
    </row>
    <row r="1523" customFormat="false" ht="15" hidden="false" customHeight="false" outlineLevel="0" collapsed="false">
      <c r="A1523" s="0" t="str">
        <f aca="false">IF('הדבקת לידים'!A1523="","",IF(ISNUMBER('הדבקת לידים'!A1523),IF(הגדרות!$E$2&gt;0,TEXT('הדבקת לידים'!A1523,REPT("0",הגדרות!$E$2)),TEXT('הדבקת לידים'!A1523,"0")),TRIM('הדבקת לידים'!A1523)))</f>
        <v/>
      </c>
      <c r="B1523" s="0" t="str">
        <f aca="false">IF('הדבקת לידים'!B1523="","",IF(ISNUMBER('הדבקת לידים'!B1523),IF(הגדרות!$E$3&gt;0,TEXT('הדבקת לידים'!B1523,REPT("0",הגדרות!$E$3)),TEXT('הדבקת לידים'!B1523,"0")),TRIM('הדבקת לידים'!B1523)))</f>
        <v/>
      </c>
      <c r="C1523" s="0" t="n">
        <f aca="false">IF(OR(A1523&lt;&gt;"",B1523&lt;&gt;""),1,0)</f>
        <v>0</v>
      </c>
      <c r="D1523" s="0" t="str">
        <f aca="false">IF(C1523=1,MOD(ABS(SIN(ROW()*12.9898+'הדבקת לידים'!$F$2*78.233+IFERROR(--RIGHT(A1523,6),LEN(A1523))*0.0137+IFERROR(--RIGHT(B1523,6),LEN(B1523))*0.0071))*43758.5453,1),"")</f>
        <v/>
      </c>
      <c r="E1523" s="0" t="str">
        <f aca="false">IF(C1523=1,INT(MOD(ABS(SIN(D1523*7919.123+ROW()*0.618+'הדבקת לידים'!$F$2*1.3))*43758.5453,1)*1000000)*10000+ROW(),"")</f>
        <v/>
      </c>
      <c r="F1523" s="0" t="str">
        <f aca="false">IF(E1523="","",RANK(E1523,$E$2:$E$5001,1))</f>
        <v/>
      </c>
      <c r="G1523" s="0" t="n">
        <f aca="false">IF(A1523="",0,IF(SUMPRODUCT(--($A$2:$A$5001=A1523))&gt;1,1,0))</f>
        <v>0</v>
      </c>
      <c r="H1523" s="0" t="n">
        <f aca="false">ROW()-1</f>
        <v>1522</v>
      </c>
      <c r="I1523" s="0" t="str">
        <f aca="false">IF(OR(הגדרות!$E$6=0,H1523&gt;הגדרות!$E$5),"",IF(H1523-1&lt;הגדרות!$E$8*(הגדרות!$E$7+1),INT((H1523-1)/(הגדרות!$E$7+1)),הגדרות!$E$8+INT((H1523-1-הגדרות!$E$8*(הגדרות!$E$7+1))/הגדרות!$E$7)))</f>
        <v/>
      </c>
      <c r="J1523" s="0" t="str">
        <f aca="false">IF(I1523="","",IF(H1523-1&lt;הגדרות!$E$8*(הגדרות!$E$7+1),MOD(H1523-1,הגדרות!$E$7+1),MOD(H1523-1-הגדרות!$E$8*(הגדרות!$E$7+1),הגדרות!$E$7)))</f>
        <v/>
      </c>
      <c r="K1523" s="0" t="str">
        <f aca="false">IF(I1523="","",J1523*הגדרות!$E$6+I1523+1)</f>
        <v/>
      </c>
      <c r="L1523" s="0" t="str">
        <f aca="false">IF(K1523="","",MATCH(K1523,$F$2:$F$5001,0))</f>
        <v/>
      </c>
      <c r="M1523" s="0" t="str">
        <f aca="false">IF(I1523="","",INDEX(הגדרות!$A$2:$A$21,MOD(I1523+הגדרות!$E$9,הגדרות!$E$6)+1))</f>
        <v/>
      </c>
    </row>
    <row r="1524" customFormat="false" ht="15" hidden="false" customHeight="false" outlineLevel="0" collapsed="false">
      <c r="A1524" s="0" t="str">
        <f aca="false">IF('הדבקת לידים'!A1524="","",IF(ISNUMBER('הדבקת לידים'!A1524),IF(הגדרות!$E$2&gt;0,TEXT('הדבקת לידים'!A1524,REPT("0",הגדרות!$E$2)),TEXT('הדבקת לידים'!A1524,"0")),TRIM('הדבקת לידים'!A1524)))</f>
        <v/>
      </c>
      <c r="B1524" s="0" t="str">
        <f aca="false">IF('הדבקת לידים'!B1524="","",IF(ISNUMBER('הדבקת לידים'!B1524),IF(הגדרות!$E$3&gt;0,TEXT('הדבקת לידים'!B1524,REPT("0",הגדרות!$E$3)),TEXT('הדבקת לידים'!B1524,"0")),TRIM('הדבקת לידים'!B1524)))</f>
        <v/>
      </c>
      <c r="C1524" s="0" t="n">
        <f aca="false">IF(OR(A1524&lt;&gt;"",B1524&lt;&gt;""),1,0)</f>
        <v>0</v>
      </c>
      <c r="D1524" s="0" t="str">
        <f aca="false">IF(C1524=1,MOD(ABS(SIN(ROW()*12.9898+'הדבקת לידים'!$F$2*78.233+IFERROR(--RIGHT(A1524,6),LEN(A1524))*0.0137+IFERROR(--RIGHT(B1524,6),LEN(B1524))*0.0071))*43758.5453,1),"")</f>
        <v/>
      </c>
      <c r="E1524" s="0" t="str">
        <f aca="false">IF(C1524=1,INT(MOD(ABS(SIN(D1524*7919.123+ROW()*0.618+'הדבקת לידים'!$F$2*1.3))*43758.5453,1)*1000000)*10000+ROW(),"")</f>
        <v/>
      </c>
      <c r="F1524" s="0" t="str">
        <f aca="false">IF(E1524="","",RANK(E1524,$E$2:$E$5001,1))</f>
        <v/>
      </c>
      <c r="G1524" s="0" t="n">
        <f aca="false">IF(A1524="",0,IF(SUMPRODUCT(--($A$2:$A$5001=A1524))&gt;1,1,0))</f>
        <v>0</v>
      </c>
      <c r="H1524" s="0" t="n">
        <f aca="false">ROW()-1</f>
        <v>1523</v>
      </c>
      <c r="I1524" s="0" t="str">
        <f aca="false">IF(OR(הגדרות!$E$6=0,H1524&gt;הגדרות!$E$5),"",IF(H1524-1&lt;הגדרות!$E$8*(הגדרות!$E$7+1),INT((H1524-1)/(הגדרות!$E$7+1)),הגדרות!$E$8+INT((H1524-1-הגדרות!$E$8*(הגדרות!$E$7+1))/הגדרות!$E$7)))</f>
        <v/>
      </c>
      <c r="J1524" s="0" t="str">
        <f aca="false">IF(I1524="","",IF(H1524-1&lt;הגדרות!$E$8*(הגדרות!$E$7+1),MOD(H1524-1,הגדרות!$E$7+1),MOD(H1524-1-הגדרות!$E$8*(הגדרות!$E$7+1),הגדרות!$E$7)))</f>
        <v/>
      </c>
      <c r="K1524" s="0" t="str">
        <f aca="false">IF(I1524="","",J1524*הגדרות!$E$6+I1524+1)</f>
        <v/>
      </c>
      <c r="L1524" s="0" t="str">
        <f aca="false">IF(K1524="","",MATCH(K1524,$F$2:$F$5001,0))</f>
        <v/>
      </c>
      <c r="M1524" s="0" t="str">
        <f aca="false">IF(I1524="","",INDEX(הגדרות!$A$2:$A$21,MOD(I1524+הגדרות!$E$9,הגדרות!$E$6)+1))</f>
        <v/>
      </c>
    </row>
    <row r="1525" customFormat="false" ht="15" hidden="false" customHeight="false" outlineLevel="0" collapsed="false">
      <c r="A1525" s="0" t="str">
        <f aca="false">IF('הדבקת לידים'!A1525="","",IF(ISNUMBER('הדבקת לידים'!A1525),IF(הגדרות!$E$2&gt;0,TEXT('הדבקת לידים'!A1525,REPT("0",הגדרות!$E$2)),TEXT('הדבקת לידים'!A1525,"0")),TRIM('הדבקת לידים'!A1525)))</f>
        <v/>
      </c>
      <c r="B1525" s="0" t="str">
        <f aca="false">IF('הדבקת לידים'!B1525="","",IF(ISNUMBER('הדבקת לידים'!B1525),IF(הגדרות!$E$3&gt;0,TEXT('הדבקת לידים'!B1525,REPT("0",הגדרות!$E$3)),TEXT('הדבקת לידים'!B1525,"0")),TRIM('הדבקת לידים'!B1525)))</f>
        <v/>
      </c>
      <c r="C1525" s="0" t="n">
        <f aca="false">IF(OR(A1525&lt;&gt;"",B1525&lt;&gt;""),1,0)</f>
        <v>0</v>
      </c>
      <c r="D1525" s="0" t="str">
        <f aca="false">IF(C1525=1,MOD(ABS(SIN(ROW()*12.9898+'הדבקת לידים'!$F$2*78.233+IFERROR(--RIGHT(A1525,6),LEN(A1525))*0.0137+IFERROR(--RIGHT(B1525,6),LEN(B1525))*0.0071))*43758.5453,1),"")</f>
        <v/>
      </c>
      <c r="E1525" s="0" t="str">
        <f aca="false">IF(C1525=1,INT(MOD(ABS(SIN(D1525*7919.123+ROW()*0.618+'הדבקת לידים'!$F$2*1.3))*43758.5453,1)*1000000)*10000+ROW(),"")</f>
        <v/>
      </c>
      <c r="F1525" s="0" t="str">
        <f aca="false">IF(E1525="","",RANK(E1525,$E$2:$E$5001,1))</f>
        <v/>
      </c>
      <c r="G1525" s="0" t="n">
        <f aca="false">IF(A1525="",0,IF(SUMPRODUCT(--($A$2:$A$5001=A1525))&gt;1,1,0))</f>
        <v>0</v>
      </c>
      <c r="H1525" s="0" t="n">
        <f aca="false">ROW()-1</f>
        <v>1524</v>
      </c>
      <c r="I1525" s="0" t="str">
        <f aca="false">IF(OR(הגדרות!$E$6=0,H1525&gt;הגדרות!$E$5),"",IF(H1525-1&lt;הגדרות!$E$8*(הגדרות!$E$7+1),INT((H1525-1)/(הגדרות!$E$7+1)),הגדרות!$E$8+INT((H1525-1-הגדרות!$E$8*(הגדרות!$E$7+1))/הגדרות!$E$7)))</f>
        <v/>
      </c>
      <c r="J1525" s="0" t="str">
        <f aca="false">IF(I1525="","",IF(H1525-1&lt;הגדרות!$E$8*(הגדרות!$E$7+1),MOD(H1525-1,הגדרות!$E$7+1),MOD(H1525-1-הגדרות!$E$8*(הגדרות!$E$7+1),הגדרות!$E$7)))</f>
        <v/>
      </c>
      <c r="K1525" s="0" t="str">
        <f aca="false">IF(I1525="","",J1525*הגדרות!$E$6+I1525+1)</f>
        <v/>
      </c>
      <c r="L1525" s="0" t="str">
        <f aca="false">IF(K1525="","",MATCH(K1525,$F$2:$F$5001,0))</f>
        <v/>
      </c>
      <c r="M1525" s="0" t="str">
        <f aca="false">IF(I1525="","",INDEX(הגדרות!$A$2:$A$21,MOD(I1525+הגדרות!$E$9,הגדרות!$E$6)+1))</f>
        <v/>
      </c>
    </row>
    <row r="1526" customFormat="false" ht="15" hidden="false" customHeight="false" outlineLevel="0" collapsed="false">
      <c r="A1526" s="0" t="str">
        <f aca="false">IF('הדבקת לידים'!A1526="","",IF(ISNUMBER('הדבקת לידים'!A1526),IF(הגדרות!$E$2&gt;0,TEXT('הדבקת לידים'!A1526,REPT("0",הגדרות!$E$2)),TEXT('הדבקת לידים'!A1526,"0")),TRIM('הדבקת לידים'!A1526)))</f>
        <v/>
      </c>
      <c r="B1526" s="0" t="str">
        <f aca="false">IF('הדבקת לידים'!B1526="","",IF(ISNUMBER('הדבקת לידים'!B1526),IF(הגדרות!$E$3&gt;0,TEXT('הדבקת לידים'!B1526,REPT("0",הגדרות!$E$3)),TEXT('הדבקת לידים'!B1526,"0")),TRIM('הדבקת לידים'!B1526)))</f>
        <v/>
      </c>
      <c r="C1526" s="0" t="n">
        <f aca="false">IF(OR(A1526&lt;&gt;"",B1526&lt;&gt;""),1,0)</f>
        <v>0</v>
      </c>
      <c r="D1526" s="0" t="str">
        <f aca="false">IF(C1526=1,MOD(ABS(SIN(ROW()*12.9898+'הדבקת לידים'!$F$2*78.233+IFERROR(--RIGHT(A1526,6),LEN(A1526))*0.0137+IFERROR(--RIGHT(B1526,6),LEN(B1526))*0.0071))*43758.5453,1),"")</f>
        <v/>
      </c>
      <c r="E1526" s="0" t="str">
        <f aca="false">IF(C1526=1,INT(MOD(ABS(SIN(D1526*7919.123+ROW()*0.618+'הדבקת לידים'!$F$2*1.3))*43758.5453,1)*1000000)*10000+ROW(),"")</f>
        <v/>
      </c>
      <c r="F1526" s="0" t="str">
        <f aca="false">IF(E1526="","",RANK(E1526,$E$2:$E$5001,1))</f>
        <v/>
      </c>
      <c r="G1526" s="0" t="n">
        <f aca="false">IF(A1526="",0,IF(SUMPRODUCT(--($A$2:$A$5001=A1526))&gt;1,1,0))</f>
        <v>0</v>
      </c>
      <c r="H1526" s="0" t="n">
        <f aca="false">ROW()-1</f>
        <v>1525</v>
      </c>
      <c r="I1526" s="0" t="str">
        <f aca="false">IF(OR(הגדרות!$E$6=0,H1526&gt;הגדרות!$E$5),"",IF(H1526-1&lt;הגדרות!$E$8*(הגדרות!$E$7+1),INT((H1526-1)/(הגדרות!$E$7+1)),הגדרות!$E$8+INT((H1526-1-הגדרות!$E$8*(הגדרות!$E$7+1))/הגדרות!$E$7)))</f>
        <v/>
      </c>
      <c r="J1526" s="0" t="str">
        <f aca="false">IF(I1526="","",IF(H1526-1&lt;הגדרות!$E$8*(הגדרות!$E$7+1),MOD(H1526-1,הגדרות!$E$7+1),MOD(H1526-1-הגדרות!$E$8*(הגדרות!$E$7+1),הגדרות!$E$7)))</f>
        <v/>
      </c>
      <c r="K1526" s="0" t="str">
        <f aca="false">IF(I1526="","",J1526*הגדרות!$E$6+I1526+1)</f>
        <v/>
      </c>
      <c r="L1526" s="0" t="str">
        <f aca="false">IF(K1526="","",MATCH(K1526,$F$2:$F$5001,0))</f>
        <v/>
      </c>
      <c r="M1526" s="0" t="str">
        <f aca="false">IF(I1526="","",INDEX(הגדרות!$A$2:$A$21,MOD(I1526+הגדרות!$E$9,הגדרות!$E$6)+1))</f>
        <v/>
      </c>
    </row>
    <row r="1527" customFormat="false" ht="15" hidden="false" customHeight="false" outlineLevel="0" collapsed="false">
      <c r="A1527" s="0" t="str">
        <f aca="false">IF('הדבקת לידים'!A1527="","",IF(ISNUMBER('הדבקת לידים'!A1527),IF(הגדרות!$E$2&gt;0,TEXT('הדבקת לידים'!A1527,REPT("0",הגדרות!$E$2)),TEXT('הדבקת לידים'!A1527,"0")),TRIM('הדבקת לידים'!A1527)))</f>
        <v/>
      </c>
      <c r="B1527" s="0" t="str">
        <f aca="false">IF('הדבקת לידים'!B1527="","",IF(ISNUMBER('הדבקת לידים'!B1527),IF(הגדרות!$E$3&gt;0,TEXT('הדבקת לידים'!B1527,REPT("0",הגדרות!$E$3)),TEXT('הדבקת לידים'!B1527,"0")),TRIM('הדבקת לידים'!B1527)))</f>
        <v/>
      </c>
      <c r="C1527" s="0" t="n">
        <f aca="false">IF(OR(A1527&lt;&gt;"",B1527&lt;&gt;""),1,0)</f>
        <v>0</v>
      </c>
      <c r="D1527" s="0" t="str">
        <f aca="false">IF(C1527=1,MOD(ABS(SIN(ROW()*12.9898+'הדבקת לידים'!$F$2*78.233+IFERROR(--RIGHT(A1527,6),LEN(A1527))*0.0137+IFERROR(--RIGHT(B1527,6),LEN(B1527))*0.0071))*43758.5453,1),"")</f>
        <v/>
      </c>
      <c r="E1527" s="0" t="str">
        <f aca="false">IF(C1527=1,INT(MOD(ABS(SIN(D1527*7919.123+ROW()*0.618+'הדבקת לידים'!$F$2*1.3))*43758.5453,1)*1000000)*10000+ROW(),"")</f>
        <v/>
      </c>
      <c r="F1527" s="0" t="str">
        <f aca="false">IF(E1527="","",RANK(E1527,$E$2:$E$5001,1))</f>
        <v/>
      </c>
      <c r="G1527" s="0" t="n">
        <f aca="false">IF(A1527="",0,IF(SUMPRODUCT(--($A$2:$A$5001=A1527))&gt;1,1,0))</f>
        <v>0</v>
      </c>
      <c r="H1527" s="0" t="n">
        <f aca="false">ROW()-1</f>
        <v>1526</v>
      </c>
      <c r="I1527" s="0" t="str">
        <f aca="false">IF(OR(הגדרות!$E$6=0,H1527&gt;הגדרות!$E$5),"",IF(H1527-1&lt;הגדרות!$E$8*(הגדרות!$E$7+1),INT((H1527-1)/(הגדרות!$E$7+1)),הגדרות!$E$8+INT((H1527-1-הגדרות!$E$8*(הגדרות!$E$7+1))/הגדרות!$E$7)))</f>
        <v/>
      </c>
      <c r="J1527" s="0" t="str">
        <f aca="false">IF(I1527="","",IF(H1527-1&lt;הגדרות!$E$8*(הגדרות!$E$7+1),MOD(H1527-1,הגדרות!$E$7+1),MOD(H1527-1-הגדרות!$E$8*(הגדרות!$E$7+1),הגדרות!$E$7)))</f>
        <v/>
      </c>
      <c r="K1527" s="0" t="str">
        <f aca="false">IF(I1527="","",J1527*הגדרות!$E$6+I1527+1)</f>
        <v/>
      </c>
      <c r="L1527" s="0" t="str">
        <f aca="false">IF(K1527="","",MATCH(K1527,$F$2:$F$5001,0))</f>
        <v/>
      </c>
      <c r="M1527" s="0" t="str">
        <f aca="false">IF(I1527="","",INDEX(הגדרות!$A$2:$A$21,MOD(I1527+הגדרות!$E$9,הגדרות!$E$6)+1))</f>
        <v/>
      </c>
    </row>
    <row r="1528" customFormat="false" ht="15" hidden="false" customHeight="false" outlineLevel="0" collapsed="false">
      <c r="A1528" s="0" t="str">
        <f aca="false">IF('הדבקת לידים'!A1528="","",IF(ISNUMBER('הדבקת לידים'!A1528),IF(הגדרות!$E$2&gt;0,TEXT('הדבקת לידים'!A1528,REPT("0",הגדרות!$E$2)),TEXT('הדבקת לידים'!A1528,"0")),TRIM('הדבקת לידים'!A1528)))</f>
        <v/>
      </c>
      <c r="B1528" s="0" t="str">
        <f aca="false">IF('הדבקת לידים'!B1528="","",IF(ISNUMBER('הדבקת לידים'!B1528),IF(הגדרות!$E$3&gt;0,TEXT('הדבקת לידים'!B1528,REPT("0",הגדרות!$E$3)),TEXT('הדבקת לידים'!B1528,"0")),TRIM('הדבקת לידים'!B1528)))</f>
        <v/>
      </c>
      <c r="C1528" s="0" t="n">
        <f aca="false">IF(OR(A1528&lt;&gt;"",B1528&lt;&gt;""),1,0)</f>
        <v>0</v>
      </c>
      <c r="D1528" s="0" t="str">
        <f aca="false">IF(C1528=1,MOD(ABS(SIN(ROW()*12.9898+'הדבקת לידים'!$F$2*78.233+IFERROR(--RIGHT(A1528,6),LEN(A1528))*0.0137+IFERROR(--RIGHT(B1528,6),LEN(B1528))*0.0071))*43758.5453,1),"")</f>
        <v/>
      </c>
      <c r="E1528" s="0" t="str">
        <f aca="false">IF(C1528=1,INT(MOD(ABS(SIN(D1528*7919.123+ROW()*0.618+'הדבקת לידים'!$F$2*1.3))*43758.5453,1)*1000000)*10000+ROW(),"")</f>
        <v/>
      </c>
      <c r="F1528" s="0" t="str">
        <f aca="false">IF(E1528="","",RANK(E1528,$E$2:$E$5001,1))</f>
        <v/>
      </c>
      <c r="G1528" s="0" t="n">
        <f aca="false">IF(A1528="",0,IF(SUMPRODUCT(--($A$2:$A$5001=A1528))&gt;1,1,0))</f>
        <v>0</v>
      </c>
      <c r="H1528" s="0" t="n">
        <f aca="false">ROW()-1</f>
        <v>1527</v>
      </c>
      <c r="I1528" s="0" t="str">
        <f aca="false">IF(OR(הגדרות!$E$6=0,H1528&gt;הגדרות!$E$5),"",IF(H1528-1&lt;הגדרות!$E$8*(הגדרות!$E$7+1),INT((H1528-1)/(הגדרות!$E$7+1)),הגדרות!$E$8+INT((H1528-1-הגדרות!$E$8*(הגדרות!$E$7+1))/הגדרות!$E$7)))</f>
        <v/>
      </c>
      <c r="J1528" s="0" t="str">
        <f aca="false">IF(I1528="","",IF(H1528-1&lt;הגדרות!$E$8*(הגדרות!$E$7+1),MOD(H1528-1,הגדרות!$E$7+1),MOD(H1528-1-הגדרות!$E$8*(הגדרות!$E$7+1),הגדרות!$E$7)))</f>
        <v/>
      </c>
      <c r="K1528" s="0" t="str">
        <f aca="false">IF(I1528="","",J1528*הגדרות!$E$6+I1528+1)</f>
        <v/>
      </c>
      <c r="L1528" s="0" t="str">
        <f aca="false">IF(K1528="","",MATCH(K1528,$F$2:$F$5001,0))</f>
        <v/>
      </c>
      <c r="M1528" s="0" t="str">
        <f aca="false">IF(I1528="","",INDEX(הגדרות!$A$2:$A$21,MOD(I1528+הגדרות!$E$9,הגדרות!$E$6)+1))</f>
        <v/>
      </c>
    </row>
    <row r="1529" customFormat="false" ht="15" hidden="false" customHeight="false" outlineLevel="0" collapsed="false">
      <c r="A1529" s="0" t="str">
        <f aca="false">IF('הדבקת לידים'!A1529="","",IF(ISNUMBER('הדבקת לידים'!A1529),IF(הגדרות!$E$2&gt;0,TEXT('הדבקת לידים'!A1529,REPT("0",הגדרות!$E$2)),TEXT('הדבקת לידים'!A1529,"0")),TRIM('הדבקת לידים'!A1529)))</f>
        <v/>
      </c>
      <c r="B1529" s="0" t="str">
        <f aca="false">IF('הדבקת לידים'!B1529="","",IF(ISNUMBER('הדבקת לידים'!B1529),IF(הגדרות!$E$3&gt;0,TEXT('הדבקת לידים'!B1529,REPT("0",הגדרות!$E$3)),TEXT('הדבקת לידים'!B1529,"0")),TRIM('הדבקת לידים'!B1529)))</f>
        <v/>
      </c>
      <c r="C1529" s="0" t="n">
        <f aca="false">IF(OR(A1529&lt;&gt;"",B1529&lt;&gt;""),1,0)</f>
        <v>0</v>
      </c>
      <c r="D1529" s="0" t="str">
        <f aca="false">IF(C1529=1,MOD(ABS(SIN(ROW()*12.9898+'הדבקת לידים'!$F$2*78.233+IFERROR(--RIGHT(A1529,6),LEN(A1529))*0.0137+IFERROR(--RIGHT(B1529,6),LEN(B1529))*0.0071))*43758.5453,1),"")</f>
        <v/>
      </c>
      <c r="E1529" s="0" t="str">
        <f aca="false">IF(C1529=1,INT(MOD(ABS(SIN(D1529*7919.123+ROW()*0.618+'הדבקת לידים'!$F$2*1.3))*43758.5453,1)*1000000)*10000+ROW(),"")</f>
        <v/>
      </c>
      <c r="F1529" s="0" t="str">
        <f aca="false">IF(E1529="","",RANK(E1529,$E$2:$E$5001,1))</f>
        <v/>
      </c>
      <c r="G1529" s="0" t="n">
        <f aca="false">IF(A1529="",0,IF(SUMPRODUCT(--($A$2:$A$5001=A1529))&gt;1,1,0))</f>
        <v>0</v>
      </c>
      <c r="H1529" s="0" t="n">
        <f aca="false">ROW()-1</f>
        <v>1528</v>
      </c>
      <c r="I1529" s="0" t="str">
        <f aca="false">IF(OR(הגדרות!$E$6=0,H1529&gt;הגדרות!$E$5),"",IF(H1529-1&lt;הגדרות!$E$8*(הגדרות!$E$7+1),INT((H1529-1)/(הגדרות!$E$7+1)),הגדרות!$E$8+INT((H1529-1-הגדרות!$E$8*(הגדרות!$E$7+1))/הגדרות!$E$7)))</f>
        <v/>
      </c>
      <c r="J1529" s="0" t="str">
        <f aca="false">IF(I1529="","",IF(H1529-1&lt;הגדרות!$E$8*(הגדרות!$E$7+1),MOD(H1529-1,הגדרות!$E$7+1),MOD(H1529-1-הגדרות!$E$8*(הגדרות!$E$7+1),הגדרות!$E$7)))</f>
        <v/>
      </c>
      <c r="K1529" s="0" t="str">
        <f aca="false">IF(I1529="","",J1529*הגדרות!$E$6+I1529+1)</f>
        <v/>
      </c>
      <c r="L1529" s="0" t="str">
        <f aca="false">IF(K1529="","",MATCH(K1529,$F$2:$F$5001,0))</f>
        <v/>
      </c>
      <c r="M1529" s="0" t="str">
        <f aca="false">IF(I1529="","",INDEX(הגדרות!$A$2:$A$21,MOD(I1529+הגדרות!$E$9,הגדרות!$E$6)+1))</f>
        <v/>
      </c>
    </row>
    <row r="1530" customFormat="false" ht="15" hidden="false" customHeight="false" outlineLevel="0" collapsed="false">
      <c r="A1530" s="0" t="str">
        <f aca="false">IF('הדבקת לידים'!A1530="","",IF(ISNUMBER('הדבקת לידים'!A1530),IF(הגדרות!$E$2&gt;0,TEXT('הדבקת לידים'!A1530,REPT("0",הגדרות!$E$2)),TEXT('הדבקת לידים'!A1530,"0")),TRIM('הדבקת לידים'!A1530)))</f>
        <v/>
      </c>
      <c r="B1530" s="0" t="str">
        <f aca="false">IF('הדבקת לידים'!B1530="","",IF(ISNUMBER('הדבקת לידים'!B1530),IF(הגדרות!$E$3&gt;0,TEXT('הדבקת לידים'!B1530,REPT("0",הגדרות!$E$3)),TEXT('הדבקת לידים'!B1530,"0")),TRIM('הדבקת לידים'!B1530)))</f>
        <v/>
      </c>
      <c r="C1530" s="0" t="n">
        <f aca="false">IF(OR(A1530&lt;&gt;"",B1530&lt;&gt;""),1,0)</f>
        <v>0</v>
      </c>
      <c r="D1530" s="0" t="str">
        <f aca="false">IF(C1530=1,MOD(ABS(SIN(ROW()*12.9898+'הדבקת לידים'!$F$2*78.233+IFERROR(--RIGHT(A1530,6),LEN(A1530))*0.0137+IFERROR(--RIGHT(B1530,6),LEN(B1530))*0.0071))*43758.5453,1),"")</f>
        <v/>
      </c>
      <c r="E1530" s="0" t="str">
        <f aca="false">IF(C1530=1,INT(MOD(ABS(SIN(D1530*7919.123+ROW()*0.618+'הדבקת לידים'!$F$2*1.3))*43758.5453,1)*1000000)*10000+ROW(),"")</f>
        <v/>
      </c>
      <c r="F1530" s="0" t="str">
        <f aca="false">IF(E1530="","",RANK(E1530,$E$2:$E$5001,1))</f>
        <v/>
      </c>
      <c r="G1530" s="0" t="n">
        <f aca="false">IF(A1530="",0,IF(SUMPRODUCT(--($A$2:$A$5001=A1530))&gt;1,1,0))</f>
        <v>0</v>
      </c>
      <c r="H1530" s="0" t="n">
        <f aca="false">ROW()-1</f>
        <v>1529</v>
      </c>
      <c r="I1530" s="0" t="str">
        <f aca="false">IF(OR(הגדרות!$E$6=0,H1530&gt;הגדרות!$E$5),"",IF(H1530-1&lt;הגדרות!$E$8*(הגדרות!$E$7+1),INT((H1530-1)/(הגדרות!$E$7+1)),הגדרות!$E$8+INT((H1530-1-הגדרות!$E$8*(הגדרות!$E$7+1))/הגדרות!$E$7)))</f>
        <v/>
      </c>
      <c r="J1530" s="0" t="str">
        <f aca="false">IF(I1530="","",IF(H1530-1&lt;הגדרות!$E$8*(הגדרות!$E$7+1),MOD(H1530-1,הגדרות!$E$7+1),MOD(H1530-1-הגדרות!$E$8*(הגדרות!$E$7+1),הגדרות!$E$7)))</f>
        <v/>
      </c>
      <c r="K1530" s="0" t="str">
        <f aca="false">IF(I1530="","",J1530*הגדרות!$E$6+I1530+1)</f>
        <v/>
      </c>
      <c r="L1530" s="0" t="str">
        <f aca="false">IF(K1530="","",MATCH(K1530,$F$2:$F$5001,0))</f>
        <v/>
      </c>
      <c r="M1530" s="0" t="str">
        <f aca="false">IF(I1530="","",INDEX(הגדרות!$A$2:$A$21,MOD(I1530+הגדרות!$E$9,הגדרות!$E$6)+1))</f>
        <v/>
      </c>
    </row>
    <row r="1531" customFormat="false" ht="15" hidden="false" customHeight="false" outlineLevel="0" collapsed="false">
      <c r="A1531" s="0" t="str">
        <f aca="false">IF('הדבקת לידים'!A1531="","",IF(ISNUMBER('הדבקת לידים'!A1531),IF(הגדרות!$E$2&gt;0,TEXT('הדבקת לידים'!A1531,REPT("0",הגדרות!$E$2)),TEXT('הדבקת לידים'!A1531,"0")),TRIM('הדבקת לידים'!A1531)))</f>
        <v/>
      </c>
      <c r="B1531" s="0" t="str">
        <f aca="false">IF('הדבקת לידים'!B1531="","",IF(ISNUMBER('הדבקת לידים'!B1531),IF(הגדרות!$E$3&gt;0,TEXT('הדבקת לידים'!B1531,REPT("0",הגדרות!$E$3)),TEXT('הדבקת לידים'!B1531,"0")),TRIM('הדבקת לידים'!B1531)))</f>
        <v/>
      </c>
      <c r="C1531" s="0" t="n">
        <f aca="false">IF(OR(A1531&lt;&gt;"",B1531&lt;&gt;""),1,0)</f>
        <v>0</v>
      </c>
      <c r="D1531" s="0" t="str">
        <f aca="false">IF(C1531=1,MOD(ABS(SIN(ROW()*12.9898+'הדבקת לידים'!$F$2*78.233+IFERROR(--RIGHT(A1531,6),LEN(A1531))*0.0137+IFERROR(--RIGHT(B1531,6),LEN(B1531))*0.0071))*43758.5453,1),"")</f>
        <v/>
      </c>
      <c r="E1531" s="0" t="str">
        <f aca="false">IF(C1531=1,INT(MOD(ABS(SIN(D1531*7919.123+ROW()*0.618+'הדבקת לידים'!$F$2*1.3))*43758.5453,1)*1000000)*10000+ROW(),"")</f>
        <v/>
      </c>
      <c r="F1531" s="0" t="str">
        <f aca="false">IF(E1531="","",RANK(E1531,$E$2:$E$5001,1))</f>
        <v/>
      </c>
      <c r="G1531" s="0" t="n">
        <f aca="false">IF(A1531="",0,IF(SUMPRODUCT(--($A$2:$A$5001=A1531))&gt;1,1,0))</f>
        <v>0</v>
      </c>
      <c r="H1531" s="0" t="n">
        <f aca="false">ROW()-1</f>
        <v>1530</v>
      </c>
      <c r="I1531" s="0" t="str">
        <f aca="false">IF(OR(הגדרות!$E$6=0,H1531&gt;הגדרות!$E$5),"",IF(H1531-1&lt;הגדרות!$E$8*(הגדרות!$E$7+1),INT((H1531-1)/(הגדרות!$E$7+1)),הגדרות!$E$8+INT((H1531-1-הגדרות!$E$8*(הגדרות!$E$7+1))/הגדרות!$E$7)))</f>
        <v/>
      </c>
      <c r="J1531" s="0" t="str">
        <f aca="false">IF(I1531="","",IF(H1531-1&lt;הגדרות!$E$8*(הגדרות!$E$7+1),MOD(H1531-1,הגדרות!$E$7+1),MOD(H1531-1-הגדרות!$E$8*(הגדרות!$E$7+1),הגדרות!$E$7)))</f>
        <v/>
      </c>
      <c r="K1531" s="0" t="str">
        <f aca="false">IF(I1531="","",J1531*הגדרות!$E$6+I1531+1)</f>
        <v/>
      </c>
      <c r="L1531" s="0" t="str">
        <f aca="false">IF(K1531="","",MATCH(K1531,$F$2:$F$5001,0))</f>
        <v/>
      </c>
      <c r="M1531" s="0" t="str">
        <f aca="false">IF(I1531="","",INDEX(הגדרות!$A$2:$A$21,MOD(I1531+הגדרות!$E$9,הגדרות!$E$6)+1))</f>
        <v/>
      </c>
    </row>
    <row r="1532" customFormat="false" ht="15" hidden="false" customHeight="false" outlineLevel="0" collapsed="false">
      <c r="A1532" s="0" t="str">
        <f aca="false">IF('הדבקת לידים'!A1532="","",IF(ISNUMBER('הדבקת לידים'!A1532),IF(הגדרות!$E$2&gt;0,TEXT('הדבקת לידים'!A1532,REPT("0",הגדרות!$E$2)),TEXT('הדבקת לידים'!A1532,"0")),TRIM('הדבקת לידים'!A1532)))</f>
        <v/>
      </c>
      <c r="B1532" s="0" t="str">
        <f aca="false">IF('הדבקת לידים'!B1532="","",IF(ISNUMBER('הדבקת לידים'!B1532),IF(הגדרות!$E$3&gt;0,TEXT('הדבקת לידים'!B1532,REPT("0",הגדרות!$E$3)),TEXT('הדבקת לידים'!B1532,"0")),TRIM('הדבקת לידים'!B1532)))</f>
        <v/>
      </c>
      <c r="C1532" s="0" t="n">
        <f aca="false">IF(OR(A1532&lt;&gt;"",B1532&lt;&gt;""),1,0)</f>
        <v>0</v>
      </c>
      <c r="D1532" s="0" t="str">
        <f aca="false">IF(C1532=1,MOD(ABS(SIN(ROW()*12.9898+'הדבקת לידים'!$F$2*78.233+IFERROR(--RIGHT(A1532,6),LEN(A1532))*0.0137+IFERROR(--RIGHT(B1532,6),LEN(B1532))*0.0071))*43758.5453,1),"")</f>
        <v/>
      </c>
      <c r="E1532" s="0" t="str">
        <f aca="false">IF(C1532=1,INT(MOD(ABS(SIN(D1532*7919.123+ROW()*0.618+'הדבקת לידים'!$F$2*1.3))*43758.5453,1)*1000000)*10000+ROW(),"")</f>
        <v/>
      </c>
      <c r="F1532" s="0" t="str">
        <f aca="false">IF(E1532="","",RANK(E1532,$E$2:$E$5001,1))</f>
        <v/>
      </c>
      <c r="G1532" s="0" t="n">
        <f aca="false">IF(A1532="",0,IF(SUMPRODUCT(--($A$2:$A$5001=A1532))&gt;1,1,0))</f>
        <v>0</v>
      </c>
      <c r="H1532" s="0" t="n">
        <f aca="false">ROW()-1</f>
        <v>1531</v>
      </c>
      <c r="I1532" s="0" t="str">
        <f aca="false">IF(OR(הגדרות!$E$6=0,H1532&gt;הגדרות!$E$5),"",IF(H1532-1&lt;הגדרות!$E$8*(הגדרות!$E$7+1),INT((H1532-1)/(הגדרות!$E$7+1)),הגדרות!$E$8+INT((H1532-1-הגדרות!$E$8*(הגדרות!$E$7+1))/הגדרות!$E$7)))</f>
        <v/>
      </c>
      <c r="J1532" s="0" t="str">
        <f aca="false">IF(I1532="","",IF(H1532-1&lt;הגדרות!$E$8*(הגדרות!$E$7+1),MOD(H1532-1,הגדרות!$E$7+1),MOD(H1532-1-הגדרות!$E$8*(הגדרות!$E$7+1),הגדרות!$E$7)))</f>
        <v/>
      </c>
      <c r="K1532" s="0" t="str">
        <f aca="false">IF(I1532="","",J1532*הגדרות!$E$6+I1532+1)</f>
        <v/>
      </c>
      <c r="L1532" s="0" t="str">
        <f aca="false">IF(K1532="","",MATCH(K1532,$F$2:$F$5001,0))</f>
        <v/>
      </c>
      <c r="M1532" s="0" t="str">
        <f aca="false">IF(I1532="","",INDEX(הגדרות!$A$2:$A$21,MOD(I1532+הגדרות!$E$9,הגדרות!$E$6)+1))</f>
        <v/>
      </c>
    </row>
    <row r="1533" customFormat="false" ht="15" hidden="false" customHeight="false" outlineLevel="0" collapsed="false">
      <c r="A1533" s="0" t="str">
        <f aca="false">IF('הדבקת לידים'!A1533="","",IF(ISNUMBER('הדבקת לידים'!A1533),IF(הגדרות!$E$2&gt;0,TEXT('הדבקת לידים'!A1533,REPT("0",הגדרות!$E$2)),TEXT('הדבקת לידים'!A1533,"0")),TRIM('הדבקת לידים'!A1533)))</f>
        <v/>
      </c>
      <c r="B1533" s="0" t="str">
        <f aca="false">IF('הדבקת לידים'!B1533="","",IF(ISNUMBER('הדבקת לידים'!B1533),IF(הגדרות!$E$3&gt;0,TEXT('הדבקת לידים'!B1533,REPT("0",הגדרות!$E$3)),TEXT('הדבקת לידים'!B1533,"0")),TRIM('הדבקת לידים'!B1533)))</f>
        <v/>
      </c>
      <c r="C1533" s="0" t="n">
        <f aca="false">IF(OR(A1533&lt;&gt;"",B1533&lt;&gt;""),1,0)</f>
        <v>0</v>
      </c>
      <c r="D1533" s="0" t="str">
        <f aca="false">IF(C1533=1,MOD(ABS(SIN(ROW()*12.9898+'הדבקת לידים'!$F$2*78.233+IFERROR(--RIGHT(A1533,6),LEN(A1533))*0.0137+IFERROR(--RIGHT(B1533,6),LEN(B1533))*0.0071))*43758.5453,1),"")</f>
        <v/>
      </c>
      <c r="E1533" s="0" t="str">
        <f aca="false">IF(C1533=1,INT(MOD(ABS(SIN(D1533*7919.123+ROW()*0.618+'הדבקת לידים'!$F$2*1.3))*43758.5453,1)*1000000)*10000+ROW(),"")</f>
        <v/>
      </c>
      <c r="F1533" s="0" t="str">
        <f aca="false">IF(E1533="","",RANK(E1533,$E$2:$E$5001,1))</f>
        <v/>
      </c>
      <c r="G1533" s="0" t="n">
        <f aca="false">IF(A1533="",0,IF(SUMPRODUCT(--($A$2:$A$5001=A1533))&gt;1,1,0))</f>
        <v>0</v>
      </c>
      <c r="H1533" s="0" t="n">
        <f aca="false">ROW()-1</f>
        <v>1532</v>
      </c>
      <c r="I1533" s="0" t="str">
        <f aca="false">IF(OR(הגדרות!$E$6=0,H1533&gt;הגדרות!$E$5),"",IF(H1533-1&lt;הגדרות!$E$8*(הגדרות!$E$7+1),INT((H1533-1)/(הגדרות!$E$7+1)),הגדרות!$E$8+INT((H1533-1-הגדרות!$E$8*(הגדרות!$E$7+1))/הגדרות!$E$7)))</f>
        <v/>
      </c>
      <c r="J1533" s="0" t="str">
        <f aca="false">IF(I1533="","",IF(H1533-1&lt;הגדרות!$E$8*(הגדרות!$E$7+1),MOD(H1533-1,הגדרות!$E$7+1),MOD(H1533-1-הגדרות!$E$8*(הגדרות!$E$7+1),הגדרות!$E$7)))</f>
        <v/>
      </c>
      <c r="K1533" s="0" t="str">
        <f aca="false">IF(I1533="","",J1533*הגדרות!$E$6+I1533+1)</f>
        <v/>
      </c>
      <c r="L1533" s="0" t="str">
        <f aca="false">IF(K1533="","",MATCH(K1533,$F$2:$F$5001,0))</f>
        <v/>
      </c>
      <c r="M1533" s="0" t="str">
        <f aca="false">IF(I1533="","",INDEX(הגדרות!$A$2:$A$21,MOD(I1533+הגדרות!$E$9,הגדרות!$E$6)+1))</f>
        <v/>
      </c>
    </row>
    <row r="1534" customFormat="false" ht="15" hidden="false" customHeight="false" outlineLevel="0" collapsed="false">
      <c r="A1534" s="0" t="str">
        <f aca="false">IF('הדבקת לידים'!A1534="","",IF(ISNUMBER('הדבקת לידים'!A1534),IF(הגדרות!$E$2&gt;0,TEXT('הדבקת לידים'!A1534,REPT("0",הגדרות!$E$2)),TEXT('הדבקת לידים'!A1534,"0")),TRIM('הדבקת לידים'!A1534)))</f>
        <v/>
      </c>
      <c r="B1534" s="0" t="str">
        <f aca="false">IF('הדבקת לידים'!B1534="","",IF(ISNUMBER('הדבקת לידים'!B1534),IF(הגדרות!$E$3&gt;0,TEXT('הדבקת לידים'!B1534,REPT("0",הגדרות!$E$3)),TEXT('הדבקת לידים'!B1534,"0")),TRIM('הדבקת לידים'!B1534)))</f>
        <v/>
      </c>
      <c r="C1534" s="0" t="n">
        <f aca="false">IF(OR(A1534&lt;&gt;"",B1534&lt;&gt;""),1,0)</f>
        <v>0</v>
      </c>
      <c r="D1534" s="0" t="str">
        <f aca="false">IF(C1534=1,MOD(ABS(SIN(ROW()*12.9898+'הדבקת לידים'!$F$2*78.233+IFERROR(--RIGHT(A1534,6),LEN(A1534))*0.0137+IFERROR(--RIGHT(B1534,6),LEN(B1534))*0.0071))*43758.5453,1),"")</f>
        <v/>
      </c>
      <c r="E1534" s="0" t="str">
        <f aca="false">IF(C1534=1,INT(MOD(ABS(SIN(D1534*7919.123+ROW()*0.618+'הדבקת לידים'!$F$2*1.3))*43758.5453,1)*1000000)*10000+ROW(),"")</f>
        <v/>
      </c>
      <c r="F1534" s="0" t="str">
        <f aca="false">IF(E1534="","",RANK(E1534,$E$2:$E$5001,1))</f>
        <v/>
      </c>
      <c r="G1534" s="0" t="n">
        <f aca="false">IF(A1534="",0,IF(SUMPRODUCT(--($A$2:$A$5001=A1534))&gt;1,1,0))</f>
        <v>0</v>
      </c>
      <c r="H1534" s="0" t="n">
        <f aca="false">ROW()-1</f>
        <v>1533</v>
      </c>
      <c r="I1534" s="0" t="str">
        <f aca="false">IF(OR(הגדרות!$E$6=0,H1534&gt;הגדרות!$E$5),"",IF(H1534-1&lt;הגדרות!$E$8*(הגדרות!$E$7+1),INT((H1534-1)/(הגדרות!$E$7+1)),הגדרות!$E$8+INT((H1534-1-הגדרות!$E$8*(הגדרות!$E$7+1))/הגדרות!$E$7)))</f>
        <v/>
      </c>
      <c r="J1534" s="0" t="str">
        <f aca="false">IF(I1534="","",IF(H1534-1&lt;הגדרות!$E$8*(הגדרות!$E$7+1),MOD(H1534-1,הגדרות!$E$7+1),MOD(H1534-1-הגדרות!$E$8*(הגדרות!$E$7+1),הגדרות!$E$7)))</f>
        <v/>
      </c>
      <c r="K1534" s="0" t="str">
        <f aca="false">IF(I1534="","",J1534*הגדרות!$E$6+I1534+1)</f>
        <v/>
      </c>
      <c r="L1534" s="0" t="str">
        <f aca="false">IF(K1534="","",MATCH(K1534,$F$2:$F$5001,0))</f>
        <v/>
      </c>
      <c r="M1534" s="0" t="str">
        <f aca="false">IF(I1534="","",INDEX(הגדרות!$A$2:$A$21,MOD(I1534+הגדרות!$E$9,הגדרות!$E$6)+1))</f>
        <v/>
      </c>
    </row>
    <row r="1535" customFormat="false" ht="15" hidden="false" customHeight="false" outlineLevel="0" collapsed="false">
      <c r="A1535" s="0" t="str">
        <f aca="false">IF('הדבקת לידים'!A1535="","",IF(ISNUMBER('הדבקת לידים'!A1535),IF(הגדרות!$E$2&gt;0,TEXT('הדבקת לידים'!A1535,REPT("0",הגדרות!$E$2)),TEXT('הדבקת לידים'!A1535,"0")),TRIM('הדבקת לידים'!A1535)))</f>
        <v/>
      </c>
      <c r="B1535" s="0" t="str">
        <f aca="false">IF('הדבקת לידים'!B1535="","",IF(ISNUMBER('הדבקת לידים'!B1535),IF(הגדרות!$E$3&gt;0,TEXT('הדבקת לידים'!B1535,REPT("0",הגדרות!$E$3)),TEXT('הדבקת לידים'!B1535,"0")),TRIM('הדבקת לידים'!B1535)))</f>
        <v/>
      </c>
      <c r="C1535" s="0" t="n">
        <f aca="false">IF(OR(A1535&lt;&gt;"",B1535&lt;&gt;""),1,0)</f>
        <v>0</v>
      </c>
      <c r="D1535" s="0" t="str">
        <f aca="false">IF(C1535=1,MOD(ABS(SIN(ROW()*12.9898+'הדבקת לידים'!$F$2*78.233+IFERROR(--RIGHT(A1535,6),LEN(A1535))*0.0137+IFERROR(--RIGHT(B1535,6),LEN(B1535))*0.0071))*43758.5453,1),"")</f>
        <v/>
      </c>
      <c r="E1535" s="0" t="str">
        <f aca="false">IF(C1535=1,INT(MOD(ABS(SIN(D1535*7919.123+ROW()*0.618+'הדבקת לידים'!$F$2*1.3))*43758.5453,1)*1000000)*10000+ROW(),"")</f>
        <v/>
      </c>
      <c r="F1535" s="0" t="str">
        <f aca="false">IF(E1535="","",RANK(E1535,$E$2:$E$5001,1))</f>
        <v/>
      </c>
      <c r="G1535" s="0" t="n">
        <f aca="false">IF(A1535="",0,IF(SUMPRODUCT(--($A$2:$A$5001=A1535))&gt;1,1,0))</f>
        <v>0</v>
      </c>
      <c r="H1535" s="0" t="n">
        <f aca="false">ROW()-1</f>
        <v>1534</v>
      </c>
      <c r="I1535" s="0" t="str">
        <f aca="false">IF(OR(הגדרות!$E$6=0,H1535&gt;הגדרות!$E$5),"",IF(H1535-1&lt;הגדרות!$E$8*(הגדרות!$E$7+1),INT((H1535-1)/(הגדרות!$E$7+1)),הגדרות!$E$8+INT((H1535-1-הגדרות!$E$8*(הגדרות!$E$7+1))/הגדרות!$E$7)))</f>
        <v/>
      </c>
      <c r="J1535" s="0" t="str">
        <f aca="false">IF(I1535="","",IF(H1535-1&lt;הגדרות!$E$8*(הגדרות!$E$7+1),MOD(H1535-1,הגדרות!$E$7+1),MOD(H1535-1-הגדרות!$E$8*(הגדרות!$E$7+1),הגדרות!$E$7)))</f>
        <v/>
      </c>
      <c r="K1535" s="0" t="str">
        <f aca="false">IF(I1535="","",J1535*הגדרות!$E$6+I1535+1)</f>
        <v/>
      </c>
      <c r="L1535" s="0" t="str">
        <f aca="false">IF(K1535="","",MATCH(K1535,$F$2:$F$5001,0))</f>
        <v/>
      </c>
      <c r="M1535" s="0" t="str">
        <f aca="false">IF(I1535="","",INDEX(הגדרות!$A$2:$A$21,MOD(I1535+הגדרות!$E$9,הגדרות!$E$6)+1))</f>
        <v/>
      </c>
    </row>
    <row r="1536" customFormat="false" ht="15" hidden="false" customHeight="false" outlineLevel="0" collapsed="false">
      <c r="A1536" s="0" t="str">
        <f aca="false">IF('הדבקת לידים'!A1536="","",IF(ISNUMBER('הדבקת לידים'!A1536),IF(הגדרות!$E$2&gt;0,TEXT('הדבקת לידים'!A1536,REPT("0",הגדרות!$E$2)),TEXT('הדבקת לידים'!A1536,"0")),TRIM('הדבקת לידים'!A1536)))</f>
        <v/>
      </c>
      <c r="B1536" s="0" t="str">
        <f aca="false">IF('הדבקת לידים'!B1536="","",IF(ISNUMBER('הדבקת לידים'!B1536),IF(הגדרות!$E$3&gt;0,TEXT('הדבקת לידים'!B1536,REPT("0",הגדרות!$E$3)),TEXT('הדבקת לידים'!B1536,"0")),TRIM('הדבקת לידים'!B1536)))</f>
        <v/>
      </c>
      <c r="C1536" s="0" t="n">
        <f aca="false">IF(OR(A1536&lt;&gt;"",B1536&lt;&gt;""),1,0)</f>
        <v>0</v>
      </c>
      <c r="D1536" s="0" t="str">
        <f aca="false">IF(C1536=1,MOD(ABS(SIN(ROW()*12.9898+'הדבקת לידים'!$F$2*78.233+IFERROR(--RIGHT(A1536,6),LEN(A1536))*0.0137+IFERROR(--RIGHT(B1536,6),LEN(B1536))*0.0071))*43758.5453,1),"")</f>
        <v/>
      </c>
      <c r="E1536" s="0" t="str">
        <f aca="false">IF(C1536=1,INT(MOD(ABS(SIN(D1536*7919.123+ROW()*0.618+'הדבקת לידים'!$F$2*1.3))*43758.5453,1)*1000000)*10000+ROW(),"")</f>
        <v/>
      </c>
      <c r="F1536" s="0" t="str">
        <f aca="false">IF(E1536="","",RANK(E1536,$E$2:$E$5001,1))</f>
        <v/>
      </c>
      <c r="G1536" s="0" t="n">
        <f aca="false">IF(A1536="",0,IF(SUMPRODUCT(--($A$2:$A$5001=A1536))&gt;1,1,0))</f>
        <v>0</v>
      </c>
      <c r="H1536" s="0" t="n">
        <f aca="false">ROW()-1</f>
        <v>1535</v>
      </c>
      <c r="I1536" s="0" t="str">
        <f aca="false">IF(OR(הגדרות!$E$6=0,H1536&gt;הגדרות!$E$5),"",IF(H1536-1&lt;הגדרות!$E$8*(הגדרות!$E$7+1),INT((H1536-1)/(הגדרות!$E$7+1)),הגדרות!$E$8+INT((H1536-1-הגדרות!$E$8*(הגדרות!$E$7+1))/הגדרות!$E$7)))</f>
        <v/>
      </c>
      <c r="J1536" s="0" t="str">
        <f aca="false">IF(I1536="","",IF(H1536-1&lt;הגדרות!$E$8*(הגדרות!$E$7+1),MOD(H1536-1,הגדרות!$E$7+1),MOD(H1536-1-הגדרות!$E$8*(הגדרות!$E$7+1),הגדרות!$E$7)))</f>
        <v/>
      </c>
      <c r="K1536" s="0" t="str">
        <f aca="false">IF(I1536="","",J1536*הגדרות!$E$6+I1536+1)</f>
        <v/>
      </c>
      <c r="L1536" s="0" t="str">
        <f aca="false">IF(K1536="","",MATCH(K1536,$F$2:$F$5001,0))</f>
        <v/>
      </c>
      <c r="M1536" s="0" t="str">
        <f aca="false">IF(I1536="","",INDEX(הגדרות!$A$2:$A$21,MOD(I1536+הגדרות!$E$9,הגדרות!$E$6)+1))</f>
        <v/>
      </c>
    </row>
    <row r="1537" customFormat="false" ht="15" hidden="false" customHeight="false" outlineLevel="0" collapsed="false">
      <c r="A1537" s="0" t="str">
        <f aca="false">IF('הדבקת לידים'!A1537="","",IF(ISNUMBER('הדבקת לידים'!A1537),IF(הגדרות!$E$2&gt;0,TEXT('הדבקת לידים'!A1537,REPT("0",הגדרות!$E$2)),TEXT('הדבקת לידים'!A1537,"0")),TRIM('הדבקת לידים'!A1537)))</f>
        <v/>
      </c>
      <c r="B1537" s="0" t="str">
        <f aca="false">IF('הדבקת לידים'!B1537="","",IF(ISNUMBER('הדבקת לידים'!B1537),IF(הגדרות!$E$3&gt;0,TEXT('הדבקת לידים'!B1537,REPT("0",הגדרות!$E$3)),TEXT('הדבקת לידים'!B1537,"0")),TRIM('הדבקת לידים'!B1537)))</f>
        <v/>
      </c>
      <c r="C1537" s="0" t="n">
        <f aca="false">IF(OR(A1537&lt;&gt;"",B1537&lt;&gt;""),1,0)</f>
        <v>0</v>
      </c>
      <c r="D1537" s="0" t="str">
        <f aca="false">IF(C1537=1,MOD(ABS(SIN(ROW()*12.9898+'הדבקת לידים'!$F$2*78.233+IFERROR(--RIGHT(A1537,6),LEN(A1537))*0.0137+IFERROR(--RIGHT(B1537,6),LEN(B1537))*0.0071))*43758.5453,1),"")</f>
        <v/>
      </c>
      <c r="E1537" s="0" t="str">
        <f aca="false">IF(C1537=1,INT(MOD(ABS(SIN(D1537*7919.123+ROW()*0.618+'הדבקת לידים'!$F$2*1.3))*43758.5453,1)*1000000)*10000+ROW(),"")</f>
        <v/>
      </c>
      <c r="F1537" s="0" t="str">
        <f aca="false">IF(E1537="","",RANK(E1537,$E$2:$E$5001,1))</f>
        <v/>
      </c>
      <c r="G1537" s="0" t="n">
        <f aca="false">IF(A1537="",0,IF(SUMPRODUCT(--($A$2:$A$5001=A1537))&gt;1,1,0))</f>
        <v>0</v>
      </c>
      <c r="H1537" s="0" t="n">
        <f aca="false">ROW()-1</f>
        <v>1536</v>
      </c>
      <c r="I1537" s="0" t="str">
        <f aca="false">IF(OR(הגדרות!$E$6=0,H1537&gt;הגדרות!$E$5),"",IF(H1537-1&lt;הגדרות!$E$8*(הגדרות!$E$7+1),INT((H1537-1)/(הגדרות!$E$7+1)),הגדרות!$E$8+INT((H1537-1-הגדרות!$E$8*(הגדרות!$E$7+1))/הגדרות!$E$7)))</f>
        <v/>
      </c>
      <c r="J1537" s="0" t="str">
        <f aca="false">IF(I1537="","",IF(H1537-1&lt;הגדרות!$E$8*(הגדרות!$E$7+1),MOD(H1537-1,הגדרות!$E$7+1),MOD(H1537-1-הגדרות!$E$8*(הגדרות!$E$7+1),הגדרות!$E$7)))</f>
        <v/>
      </c>
      <c r="K1537" s="0" t="str">
        <f aca="false">IF(I1537="","",J1537*הגדרות!$E$6+I1537+1)</f>
        <v/>
      </c>
      <c r="L1537" s="0" t="str">
        <f aca="false">IF(K1537="","",MATCH(K1537,$F$2:$F$5001,0))</f>
        <v/>
      </c>
      <c r="M1537" s="0" t="str">
        <f aca="false">IF(I1537="","",INDEX(הגדרות!$A$2:$A$21,MOD(I1537+הגדרות!$E$9,הגדרות!$E$6)+1))</f>
        <v/>
      </c>
    </row>
    <row r="1538" customFormat="false" ht="15" hidden="false" customHeight="false" outlineLevel="0" collapsed="false">
      <c r="A1538" s="0" t="str">
        <f aca="false">IF('הדבקת לידים'!A1538="","",IF(ISNUMBER('הדבקת לידים'!A1538),IF(הגדרות!$E$2&gt;0,TEXT('הדבקת לידים'!A1538,REPT("0",הגדרות!$E$2)),TEXT('הדבקת לידים'!A1538,"0")),TRIM('הדבקת לידים'!A1538)))</f>
        <v/>
      </c>
      <c r="B1538" s="0" t="str">
        <f aca="false">IF('הדבקת לידים'!B1538="","",IF(ISNUMBER('הדבקת לידים'!B1538),IF(הגדרות!$E$3&gt;0,TEXT('הדבקת לידים'!B1538,REPT("0",הגדרות!$E$3)),TEXT('הדבקת לידים'!B1538,"0")),TRIM('הדבקת לידים'!B1538)))</f>
        <v/>
      </c>
      <c r="C1538" s="0" t="n">
        <f aca="false">IF(OR(A1538&lt;&gt;"",B1538&lt;&gt;""),1,0)</f>
        <v>0</v>
      </c>
      <c r="D1538" s="0" t="str">
        <f aca="false">IF(C1538=1,MOD(ABS(SIN(ROW()*12.9898+'הדבקת לידים'!$F$2*78.233+IFERROR(--RIGHT(A1538,6),LEN(A1538))*0.0137+IFERROR(--RIGHT(B1538,6),LEN(B1538))*0.0071))*43758.5453,1),"")</f>
        <v/>
      </c>
      <c r="E1538" s="0" t="str">
        <f aca="false">IF(C1538=1,INT(MOD(ABS(SIN(D1538*7919.123+ROW()*0.618+'הדבקת לידים'!$F$2*1.3))*43758.5453,1)*1000000)*10000+ROW(),"")</f>
        <v/>
      </c>
      <c r="F1538" s="0" t="str">
        <f aca="false">IF(E1538="","",RANK(E1538,$E$2:$E$5001,1))</f>
        <v/>
      </c>
      <c r="G1538" s="0" t="n">
        <f aca="false">IF(A1538="",0,IF(SUMPRODUCT(--($A$2:$A$5001=A1538))&gt;1,1,0))</f>
        <v>0</v>
      </c>
      <c r="H1538" s="0" t="n">
        <f aca="false">ROW()-1</f>
        <v>1537</v>
      </c>
      <c r="I1538" s="0" t="str">
        <f aca="false">IF(OR(הגדרות!$E$6=0,H1538&gt;הגדרות!$E$5),"",IF(H1538-1&lt;הגדרות!$E$8*(הגדרות!$E$7+1),INT((H1538-1)/(הגדרות!$E$7+1)),הגדרות!$E$8+INT((H1538-1-הגדרות!$E$8*(הגדרות!$E$7+1))/הגדרות!$E$7)))</f>
        <v/>
      </c>
      <c r="J1538" s="0" t="str">
        <f aca="false">IF(I1538="","",IF(H1538-1&lt;הגדרות!$E$8*(הגדרות!$E$7+1),MOD(H1538-1,הגדרות!$E$7+1),MOD(H1538-1-הגדרות!$E$8*(הגדרות!$E$7+1),הגדרות!$E$7)))</f>
        <v/>
      </c>
      <c r="K1538" s="0" t="str">
        <f aca="false">IF(I1538="","",J1538*הגדרות!$E$6+I1538+1)</f>
        <v/>
      </c>
      <c r="L1538" s="0" t="str">
        <f aca="false">IF(K1538="","",MATCH(K1538,$F$2:$F$5001,0))</f>
        <v/>
      </c>
      <c r="M1538" s="0" t="str">
        <f aca="false">IF(I1538="","",INDEX(הגדרות!$A$2:$A$21,MOD(I1538+הגדרות!$E$9,הגדרות!$E$6)+1))</f>
        <v/>
      </c>
    </row>
    <row r="1539" customFormat="false" ht="15" hidden="false" customHeight="false" outlineLevel="0" collapsed="false">
      <c r="A1539" s="0" t="str">
        <f aca="false">IF('הדבקת לידים'!A1539="","",IF(ISNUMBER('הדבקת לידים'!A1539),IF(הגדרות!$E$2&gt;0,TEXT('הדבקת לידים'!A1539,REPT("0",הגדרות!$E$2)),TEXT('הדבקת לידים'!A1539,"0")),TRIM('הדבקת לידים'!A1539)))</f>
        <v/>
      </c>
      <c r="B1539" s="0" t="str">
        <f aca="false">IF('הדבקת לידים'!B1539="","",IF(ISNUMBER('הדבקת לידים'!B1539),IF(הגדרות!$E$3&gt;0,TEXT('הדבקת לידים'!B1539,REPT("0",הגדרות!$E$3)),TEXT('הדבקת לידים'!B1539,"0")),TRIM('הדבקת לידים'!B1539)))</f>
        <v/>
      </c>
      <c r="C1539" s="0" t="n">
        <f aca="false">IF(OR(A1539&lt;&gt;"",B1539&lt;&gt;""),1,0)</f>
        <v>0</v>
      </c>
      <c r="D1539" s="0" t="str">
        <f aca="false">IF(C1539=1,MOD(ABS(SIN(ROW()*12.9898+'הדבקת לידים'!$F$2*78.233+IFERROR(--RIGHT(A1539,6),LEN(A1539))*0.0137+IFERROR(--RIGHT(B1539,6),LEN(B1539))*0.0071))*43758.5453,1),"")</f>
        <v/>
      </c>
      <c r="E1539" s="0" t="str">
        <f aca="false">IF(C1539=1,INT(MOD(ABS(SIN(D1539*7919.123+ROW()*0.618+'הדבקת לידים'!$F$2*1.3))*43758.5453,1)*1000000)*10000+ROW(),"")</f>
        <v/>
      </c>
      <c r="F1539" s="0" t="str">
        <f aca="false">IF(E1539="","",RANK(E1539,$E$2:$E$5001,1))</f>
        <v/>
      </c>
      <c r="G1539" s="0" t="n">
        <f aca="false">IF(A1539="",0,IF(SUMPRODUCT(--($A$2:$A$5001=A1539))&gt;1,1,0))</f>
        <v>0</v>
      </c>
      <c r="H1539" s="0" t="n">
        <f aca="false">ROW()-1</f>
        <v>1538</v>
      </c>
      <c r="I1539" s="0" t="str">
        <f aca="false">IF(OR(הגדרות!$E$6=0,H1539&gt;הגדרות!$E$5),"",IF(H1539-1&lt;הגדרות!$E$8*(הגדרות!$E$7+1),INT((H1539-1)/(הגדרות!$E$7+1)),הגדרות!$E$8+INT((H1539-1-הגדרות!$E$8*(הגדרות!$E$7+1))/הגדרות!$E$7)))</f>
        <v/>
      </c>
      <c r="J1539" s="0" t="str">
        <f aca="false">IF(I1539="","",IF(H1539-1&lt;הגדרות!$E$8*(הגדרות!$E$7+1),MOD(H1539-1,הגדרות!$E$7+1),MOD(H1539-1-הגדרות!$E$8*(הגדרות!$E$7+1),הגדרות!$E$7)))</f>
        <v/>
      </c>
      <c r="K1539" s="0" t="str">
        <f aca="false">IF(I1539="","",J1539*הגדרות!$E$6+I1539+1)</f>
        <v/>
      </c>
      <c r="L1539" s="0" t="str">
        <f aca="false">IF(K1539="","",MATCH(K1539,$F$2:$F$5001,0))</f>
        <v/>
      </c>
      <c r="M1539" s="0" t="str">
        <f aca="false">IF(I1539="","",INDEX(הגדרות!$A$2:$A$21,MOD(I1539+הגדרות!$E$9,הגדרות!$E$6)+1))</f>
        <v/>
      </c>
    </row>
    <row r="1540" customFormat="false" ht="15" hidden="false" customHeight="false" outlineLevel="0" collapsed="false">
      <c r="A1540" s="0" t="str">
        <f aca="false">IF('הדבקת לידים'!A1540="","",IF(ISNUMBER('הדבקת לידים'!A1540),IF(הגדרות!$E$2&gt;0,TEXT('הדבקת לידים'!A1540,REPT("0",הגדרות!$E$2)),TEXT('הדבקת לידים'!A1540,"0")),TRIM('הדבקת לידים'!A1540)))</f>
        <v/>
      </c>
      <c r="B1540" s="0" t="str">
        <f aca="false">IF('הדבקת לידים'!B1540="","",IF(ISNUMBER('הדבקת לידים'!B1540),IF(הגדרות!$E$3&gt;0,TEXT('הדבקת לידים'!B1540,REPT("0",הגדרות!$E$3)),TEXT('הדבקת לידים'!B1540,"0")),TRIM('הדבקת לידים'!B1540)))</f>
        <v/>
      </c>
      <c r="C1540" s="0" t="n">
        <f aca="false">IF(OR(A1540&lt;&gt;"",B1540&lt;&gt;""),1,0)</f>
        <v>0</v>
      </c>
      <c r="D1540" s="0" t="str">
        <f aca="false">IF(C1540=1,MOD(ABS(SIN(ROW()*12.9898+'הדבקת לידים'!$F$2*78.233+IFERROR(--RIGHT(A1540,6),LEN(A1540))*0.0137+IFERROR(--RIGHT(B1540,6),LEN(B1540))*0.0071))*43758.5453,1),"")</f>
        <v/>
      </c>
      <c r="E1540" s="0" t="str">
        <f aca="false">IF(C1540=1,INT(MOD(ABS(SIN(D1540*7919.123+ROW()*0.618+'הדבקת לידים'!$F$2*1.3))*43758.5453,1)*1000000)*10000+ROW(),"")</f>
        <v/>
      </c>
      <c r="F1540" s="0" t="str">
        <f aca="false">IF(E1540="","",RANK(E1540,$E$2:$E$5001,1))</f>
        <v/>
      </c>
      <c r="G1540" s="0" t="n">
        <f aca="false">IF(A1540="",0,IF(SUMPRODUCT(--($A$2:$A$5001=A1540))&gt;1,1,0))</f>
        <v>0</v>
      </c>
      <c r="H1540" s="0" t="n">
        <f aca="false">ROW()-1</f>
        <v>1539</v>
      </c>
      <c r="I1540" s="0" t="str">
        <f aca="false">IF(OR(הגדרות!$E$6=0,H1540&gt;הגדרות!$E$5),"",IF(H1540-1&lt;הגדרות!$E$8*(הגדרות!$E$7+1),INT((H1540-1)/(הגדרות!$E$7+1)),הגדרות!$E$8+INT((H1540-1-הגדרות!$E$8*(הגדרות!$E$7+1))/הגדרות!$E$7)))</f>
        <v/>
      </c>
      <c r="J1540" s="0" t="str">
        <f aca="false">IF(I1540="","",IF(H1540-1&lt;הגדרות!$E$8*(הגדרות!$E$7+1),MOD(H1540-1,הגדרות!$E$7+1),MOD(H1540-1-הגדרות!$E$8*(הגדרות!$E$7+1),הגדרות!$E$7)))</f>
        <v/>
      </c>
      <c r="K1540" s="0" t="str">
        <f aca="false">IF(I1540="","",J1540*הגדרות!$E$6+I1540+1)</f>
        <v/>
      </c>
      <c r="L1540" s="0" t="str">
        <f aca="false">IF(K1540="","",MATCH(K1540,$F$2:$F$5001,0))</f>
        <v/>
      </c>
      <c r="M1540" s="0" t="str">
        <f aca="false">IF(I1540="","",INDEX(הגדרות!$A$2:$A$21,MOD(I1540+הגדרות!$E$9,הגדרות!$E$6)+1))</f>
        <v/>
      </c>
    </row>
    <row r="1541" customFormat="false" ht="15" hidden="false" customHeight="false" outlineLevel="0" collapsed="false">
      <c r="A1541" s="0" t="str">
        <f aca="false">IF('הדבקת לידים'!A1541="","",IF(ISNUMBER('הדבקת לידים'!A1541),IF(הגדרות!$E$2&gt;0,TEXT('הדבקת לידים'!A1541,REPT("0",הגדרות!$E$2)),TEXT('הדבקת לידים'!A1541,"0")),TRIM('הדבקת לידים'!A1541)))</f>
        <v/>
      </c>
      <c r="B1541" s="0" t="str">
        <f aca="false">IF('הדבקת לידים'!B1541="","",IF(ISNUMBER('הדבקת לידים'!B1541),IF(הגדרות!$E$3&gt;0,TEXT('הדבקת לידים'!B1541,REPT("0",הגדרות!$E$3)),TEXT('הדבקת לידים'!B1541,"0")),TRIM('הדבקת לידים'!B1541)))</f>
        <v/>
      </c>
      <c r="C1541" s="0" t="n">
        <f aca="false">IF(OR(A1541&lt;&gt;"",B1541&lt;&gt;""),1,0)</f>
        <v>0</v>
      </c>
      <c r="D1541" s="0" t="str">
        <f aca="false">IF(C1541=1,MOD(ABS(SIN(ROW()*12.9898+'הדבקת לידים'!$F$2*78.233+IFERROR(--RIGHT(A1541,6),LEN(A1541))*0.0137+IFERROR(--RIGHT(B1541,6),LEN(B1541))*0.0071))*43758.5453,1),"")</f>
        <v/>
      </c>
      <c r="E1541" s="0" t="str">
        <f aca="false">IF(C1541=1,INT(MOD(ABS(SIN(D1541*7919.123+ROW()*0.618+'הדבקת לידים'!$F$2*1.3))*43758.5453,1)*1000000)*10000+ROW(),"")</f>
        <v/>
      </c>
      <c r="F1541" s="0" t="str">
        <f aca="false">IF(E1541="","",RANK(E1541,$E$2:$E$5001,1))</f>
        <v/>
      </c>
      <c r="G1541" s="0" t="n">
        <f aca="false">IF(A1541="",0,IF(SUMPRODUCT(--($A$2:$A$5001=A1541))&gt;1,1,0))</f>
        <v>0</v>
      </c>
      <c r="H1541" s="0" t="n">
        <f aca="false">ROW()-1</f>
        <v>1540</v>
      </c>
      <c r="I1541" s="0" t="str">
        <f aca="false">IF(OR(הגדרות!$E$6=0,H1541&gt;הגדרות!$E$5),"",IF(H1541-1&lt;הגדרות!$E$8*(הגדרות!$E$7+1),INT((H1541-1)/(הגדרות!$E$7+1)),הגדרות!$E$8+INT((H1541-1-הגדרות!$E$8*(הגדרות!$E$7+1))/הגדרות!$E$7)))</f>
        <v/>
      </c>
      <c r="J1541" s="0" t="str">
        <f aca="false">IF(I1541="","",IF(H1541-1&lt;הגדרות!$E$8*(הגדרות!$E$7+1),MOD(H1541-1,הגדרות!$E$7+1),MOD(H1541-1-הגדרות!$E$8*(הגדרות!$E$7+1),הגדרות!$E$7)))</f>
        <v/>
      </c>
      <c r="K1541" s="0" t="str">
        <f aca="false">IF(I1541="","",J1541*הגדרות!$E$6+I1541+1)</f>
        <v/>
      </c>
      <c r="L1541" s="0" t="str">
        <f aca="false">IF(K1541="","",MATCH(K1541,$F$2:$F$5001,0))</f>
        <v/>
      </c>
      <c r="M1541" s="0" t="str">
        <f aca="false">IF(I1541="","",INDEX(הגדרות!$A$2:$A$21,MOD(I1541+הגדרות!$E$9,הגדרות!$E$6)+1))</f>
        <v/>
      </c>
    </row>
    <row r="1542" customFormat="false" ht="15" hidden="false" customHeight="false" outlineLevel="0" collapsed="false">
      <c r="A1542" s="0" t="str">
        <f aca="false">IF('הדבקת לידים'!A1542="","",IF(ISNUMBER('הדבקת לידים'!A1542),IF(הגדרות!$E$2&gt;0,TEXT('הדבקת לידים'!A1542,REPT("0",הגדרות!$E$2)),TEXT('הדבקת לידים'!A1542,"0")),TRIM('הדבקת לידים'!A1542)))</f>
        <v/>
      </c>
      <c r="B1542" s="0" t="str">
        <f aca="false">IF('הדבקת לידים'!B1542="","",IF(ISNUMBER('הדבקת לידים'!B1542),IF(הגדרות!$E$3&gt;0,TEXT('הדבקת לידים'!B1542,REPT("0",הגדרות!$E$3)),TEXT('הדבקת לידים'!B1542,"0")),TRIM('הדבקת לידים'!B1542)))</f>
        <v/>
      </c>
      <c r="C1542" s="0" t="n">
        <f aca="false">IF(OR(A1542&lt;&gt;"",B1542&lt;&gt;""),1,0)</f>
        <v>0</v>
      </c>
      <c r="D1542" s="0" t="str">
        <f aca="false">IF(C1542=1,MOD(ABS(SIN(ROW()*12.9898+'הדבקת לידים'!$F$2*78.233+IFERROR(--RIGHT(A1542,6),LEN(A1542))*0.0137+IFERROR(--RIGHT(B1542,6),LEN(B1542))*0.0071))*43758.5453,1),"")</f>
        <v/>
      </c>
      <c r="E1542" s="0" t="str">
        <f aca="false">IF(C1542=1,INT(MOD(ABS(SIN(D1542*7919.123+ROW()*0.618+'הדבקת לידים'!$F$2*1.3))*43758.5453,1)*1000000)*10000+ROW(),"")</f>
        <v/>
      </c>
      <c r="F1542" s="0" t="str">
        <f aca="false">IF(E1542="","",RANK(E1542,$E$2:$E$5001,1))</f>
        <v/>
      </c>
      <c r="G1542" s="0" t="n">
        <f aca="false">IF(A1542="",0,IF(SUMPRODUCT(--($A$2:$A$5001=A1542))&gt;1,1,0))</f>
        <v>0</v>
      </c>
      <c r="H1542" s="0" t="n">
        <f aca="false">ROW()-1</f>
        <v>1541</v>
      </c>
      <c r="I1542" s="0" t="str">
        <f aca="false">IF(OR(הגדרות!$E$6=0,H1542&gt;הגדרות!$E$5),"",IF(H1542-1&lt;הגדרות!$E$8*(הגדרות!$E$7+1),INT((H1542-1)/(הגדרות!$E$7+1)),הגדרות!$E$8+INT((H1542-1-הגדרות!$E$8*(הגדרות!$E$7+1))/הגדרות!$E$7)))</f>
        <v/>
      </c>
      <c r="J1542" s="0" t="str">
        <f aca="false">IF(I1542="","",IF(H1542-1&lt;הגדרות!$E$8*(הגדרות!$E$7+1),MOD(H1542-1,הגדרות!$E$7+1),MOD(H1542-1-הגדרות!$E$8*(הגדרות!$E$7+1),הגדרות!$E$7)))</f>
        <v/>
      </c>
      <c r="K1542" s="0" t="str">
        <f aca="false">IF(I1542="","",J1542*הגדרות!$E$6+I1542+1)</f>
        <v/>
      </c>
      <c r="L1542" s="0" t="str">
        <f aca="false">IF(K1542="","",MATCH(K1542,$F$2:$F$5001,0))</f>
        <v/>
      </c>
      <c r="M1542" s="0" t="str">
        <f aca="false">IF(I1542="","",INDEX(הגדרות!$A$2:$A$21,MOD(I1542+הגדרות!$E$9,הגדרות!$E$6)+1))</f>
        <v/>
      </c>
    </row>
    <row r="1543" customFormat="false" ht="15" hidden="false" customHeight="false" outlineLevel="0" collapsed="false">
      <c r="A1543" s="0" t="str">
        <f aca="false">IF('הדבקת לידים'!A1543="","",IF(ISNUMBER('הדבקת לידים'!A1543),IF(הגדרות!$E$2&gt;0,TEXT('הדבקת לידים'!A1543,REPT("0",הגדרות!$E$2)),TEXT('הדבקת לידים'!A1543,"0")),TRIM('הדבקת לידים'!A1543)))</f>
        <v/>
      </c>
      <c r="B1543" s="0" t="str">
        <f aca="false">IF('הדבקת לידים'!B1543="","",IF(ISNUMBER('הדבקת לידים'!B1543),IF(הגדרות!$E$3&gt;0,TEXT('הדבקת לידים'!B1543,REPT("0",הגדרות!$E$3)),TEXT('הדבקת לידים'!B1543,"0")),TRIM('הדבקת לידים'!B1543)))</f>
        <v/>
      </c>
      <c r="C1543" s="0" t="n">
        <f aca="false">IF(OR(A1543&lt;&gt;"",B1543&lt;&gt;""),1,0)</f>
        <v>0</v>
      </c>
      <c r="D1543" s="0" t="str">
        <f aca="false">IF(C1543=1,MOD(ABS(SIN(ROW()*12.9898+'הדבקת לידים'!$F$2*78.233+IFERROR(--RIGHT(A1543,6),LEN(A1543))*0.0137+IFERROR(--RIGHT(B1543,6),LEN(B1543))*0.0071))*43758.5453,1),"")</f>
        <v/>
      </c>
      <c r="E1543" s="0" t="str">
        <f aca="false">IF(C1543=1,INT(MOD(ABS(SIN(D1543*7919.123+ROW()*0.618+'הדבקת לידים'!$F$2*1.3))*43758.5453,1)*1000000)*10000+ROW(),"")</f>
        <v/>
      </c>
      <c r="F1543" s="0" t="str">
        <f aca="false">IF(E1543="","",RANK(E1543,$E$2:$E$5001,1))</f>
        <v/>
      </c>
      <c r="G1543" s="0" t="n">
        <f aca="false">IF(A1543="",0,IF(SUMPRODUCT(--($A$2:$A$5001=A1543))&gt;1,1,0))</f>
        <v>0</v>
      </c>
      <c r="H1543" s="0" t="n">
        <f aca="false">ROW()-1</f>
        <v>1542</v>
      </c>
      <c r="I1543" s="0" t="str">
        <f aca="false">IF(OR(הגדרות!$E$6=0,H1543&gt;הגדרות!$E$5),"",IF(H1543-1&lt;הגדרות!$E$8*(הגדרות!$E$7+1),INT((H1543-1)/(הגדרות!$E$7+1)),הגדרות!$E$8+INT((H1543-1-הגדרות!$E$8*(הגדרות!$E$7+1))/הגדרות!$E$7)))</f>
        <v/>
      </c>
      <c r="J1543" s="0" t="str">
        <f aca="false">IF(I1543="","",IF(H1543-1&lt;הגדרות!$E$8*(הגדרות!$E$7+1),MOD(H1543-1,הגדרות!$E$7+1),MOD(H1543-1-הגדרות!$E$8*(הגדרות!$E$7+1),הגדרות!$E$7)))</f>
        <v/>
      </c>
      <c r="K1543" s="0" t="str">
        <f aca="false">IF(I1543="","",J1543*הגדרות!$E$6+I1543+1)</f>
        <v/>
      </c>
      <c r="L1543" s="0" t="str">
        <f aca="false">IF(K1543="","",MATCH(K1543,$F$2:$F$5001,0))</f>
        <v/>
      </c>
      <c r="M1543" s="0" t="str">
        <f aca="false">IF(I1543="","",INDEX(הגדרות!$A$2:$A$21,MOD(I1543+הגדרות!$E$9,הגדרות!$E$6)+1))</f>
        <v/>
      </c>
    </row>
    <row r="1544" customFormat="false" ht="15" hidden="false" customHeight="false" outlineLevel="0" collapsed="false">
      <c r="A1544" s="0" t="str">
        <f aca="false">IF('הדבקת לידים'!A1544="","",IF(ISNUMBER('הדבקת לידים'!A1544),IF(הגדרות!$E$2&gt;0,TEXT('הדבקת לידים'!A1544,REPT("0",הגדרות!$E$2)),TEXT('הדבקת לידים'!A1544,"0")),TRIM('הדבקת לידים'!A1544)))</f>
        <v/>
      </c>
      <c r="B1544" s="0" t="str">
        <f aca="false">IF('הדבקת לידים'!B1544="","",IF(ISNUMBER('הדבקת לידים'!B1544),IF(הגדרות!$E$3&gt;0,TEXT('הדבקת לידים'!B1544,REPT("0",הגדרות!$E$3)),TEXT('הדבקת לידים'!B1544,"0")),TRIM('הדבקת לידים'!B1544)))</f>
        <v/>
      </c>
      <c r="C1544" s="0" t="n">
        <f aca="false">IF(OR(A1544&lt;&gt;"",B1544&lt;&gt;""),1,0)</f>
        <v>0</v>
      </c>
      <c r="D1544" s="0" t="str">
        <f aca="false">IF(C1544=1,MOD(ABS(SIN(ROW()*12.9898+'הדבקת לידים'!$F$2*78.233+IFERROR(--RIGHT(A1544,6),LEN(A1544))*0.0137+IFERROR(--RIGHT(B1544,6),LEN(B1544))*0.0071))*43758.5453,1),"")</f>
        <v/>
      </c>
      <c r="E1544" s="0" t="str">
        <f aca="false">IF(C1544=1,INT(MOD(ABS(SIN(D1544*7919.123+ROW()*0.618+'הדבקת לידים'!$F$2*1.3))*43758.5453,1)*1000000)*10000+ROW(),"")</f>
        <v/>
      </c>
      <c r="F1544" s="0" t="str">
        <f aca="false">IF(E1544="","",RANK(E1544,$E$2:$E$5001,1))</f>
        <v/>
      </c>
      <c r="G1544" s="0" t="n">
        <f aca="false">IF(A1544="",0,IF(SUMPRODUCT(--($A$2:$A$5001=A1544))&gt;1,1,0))</f>
        <v>0</v>
      </c>
      <c r="H1544" s="0" t="n">
        <f aca="false">ROW()-1</f>
        <v>1543</v>
      </c>
      <c r="I1544" s="0" t="str">
        <f aca="false">IF(OR(הגדרות!$E$6=0,H1544&gt;הגדרות!$E$5),"",IF(H1544-1&lt;הגדרות!$E$8*(הגדרות!$E$7+1),INT((H1544-1)/(הגדרות!$E$7+1)),הגדרות!$E$8+INT((H1544-1-הגדרות!$E$8*(הגדרות!$E$7+1))/הגדרות!$E$7)))</f>
        <v/>
      </c>
      <c r="J1544" s="0" t="str">
        <f aca="false">IF(I1544="","",IF(H1544-1&lt;הגדרות!$E$8*(הגדרות!$E$7+1),MOD(H1544-1,הגדרות!$E$7+1),MOD(H1544-1-הגדרות!$E$8*(הגדרות!$E$7+1),הגדרות!$E$7)))</f>
        <v/>
      </c>
      <c r="K1544" s="0" t="str">
        <f aca="false">IF(I1544="","",J1544*הגדרות!$E$6+I1544+1)</f>
        <v/>
      </c>
      <c r="L1544" s="0" t="str">
        <f aca="false">IF(K1544="","",MATCH(K1544,$F$2:$F$5001,0))</f>
        <v/>
      </c>
      <c r="M1544" s="0" t="str">
        <f aca="false">IF(I1544="","",INDEX(הגדרות!$A$2:$A$21,MOD(I1544+הגדרות!$E$9,הגדרות!$E$6)+1))</f>
        <v/>
      </c>
    </row>
    <row r="1545" customFormat="false" ht="15" hidden="false" customHeight="false" outlineLevel="0" collapsed="false">
      <c r="A1545" s="0" t="str">
        <f aca="false">IF('הדבקת לידים'!A1545="","",IF(ISNUMBER('הדבקת לידים'!A1545),IF(הגדרות!$E$2&gt;0,TEXT('הדבקת לידים'!A1545,REPT("0",הגדרות!$E$2)),TEXT('הדבקת לידים'!A1545,"0")),TRIM('הדבקת לידים'!A1545)))</f>
        <v/>
      </c>
      <c r="B1545" s="0" t="str">
        <f aca="false">IF('הדבקת לידים'!B1545="","",IF(ISNUMBER('הדבקת לידים'!B1545),IF(הגדרות!$E$3&gt;0,TEXT('הדבקת לידים'!B1545,REPT("0",הגדרות!$E$3)),TEXT('הדבקת לידים'!B1545,"0")),TRIM('הדבקת לידים'!B1545)))</f>
        <v/>
      </c>
      <c r="C1545" s="0" t="n">
        <f aca="false">IF(OR(A1545&lt;&gt;"",B1545&lt;&gt;""),1,0)</f>
        <v>0</v>
      </c>
      <c r="D1545" s="0" t="str">
        <f aca="false">IF(C1545=1,MOD(ABS(SIN(ROW()*12.9898+'הדבקת לידים'!$F$2*78.233+IFERROR(--RIGHT(A1545,6),LEN(A1545))*0.0137+IFERROR(--RIGHT(B1545,6),LEN(B1545))*0.0071))*43758.5453,1),"")</f>
        <v/>
      </c>
      <c r="E1545" s="0" t="str">
        <f aca="false">IF(C1545=1,INT(MOD(ABS(SIN(D1545*7919.123+ROW()*0.618+'הדבקת לידים'!$F$2*1.3))*43758.5453,1)*1000000)*10000+ROW(),"")</f>
        <v/>
      </c>
      <c r="F1545" s="0" t="str">
        <f aca="false">IF(E1545="","",RANK(E1545,$E$2:$E$5001,1))</f>
        <v/>
      </c>
      <c r="G1545" s="0" t="n">
        <f aca="false">IF(A1545="",0,IF(SUMPRODUCT(--($A$2:$A$5001=A1545))&gt;1,1,0))</f>
        <v>0</v>
      </c>
      <c r="H1545" s="0" t="n">
        <f aca="false">ROW()-1</f>
        <v>1544</v>
      </c>
      <c r="I1545" s="0" t="str">
        <f aca="false">IF(OR(הגדרות!$E$6=0,H1545&gt;הגדרות!$E$5),"",IF(H1545-1&lt;הגדרות!$E$8*(הגדרות!$E$7+1),INT((H1545-1)/(הגדרות!$E$7+1)),הגדרות!$E$8+INT((H1545-1-הגדרות!$E$8*(הגדרות!$E$7+1))/הגדרות!$E$7)))</f>
        <v/>
      </c>
      <c r="J1545" s="0" t="str">
        <f aca="false">IF(I1545="","",IF(H1545-1&lt;הגדרות!$E$8*(הגדרות!$E$7+1),MOD(H1545-1,הגדרות!$E$7+1),MOD(H1545-1-הגדרות!$E$8*(הגדרות!$E$7+1),הגדרות!$E$7)))</f>
        <v/>
      </c>
      <c r="K1545" s="0" t="str">
        <f aca="false">IF(I1545="","",J1545*הגדרות!$E$6+I1545+1)</f>
        <v/>
      </c>
      <c r="L1545" s="0" t="str">
        <f aca="false">IF(K1545="","",MATCH(K1545,$F$2:$F$5001,0))</f>
        <v/>
      </c>
      <c r="M1545" s="0" t="str">
        <f aca="false">IF(I1545="","",INDEX(הגדרות!$A$2:$A$21,MOD(I1545+הגדרות!$E$9,הגדרות!$E$6)+1))</f>
        <v/>
      </c>
    </row>
    <row r="1546" customFormat="false" ht="15" hidden="false" customHeight="false" outlineLevel="0" collapsed="false">
      <c r="A1546" s="0" t="str">
        <f aca="false">IF('הדבקת לידים'!A1546="","",IF(ISNUMBER('הדבקת לידים'!A1546),IF(הגדרות!$E$2&gt;0,TEXT('הדבקת לידים'!A1546,REPT("0",הגדרות!$E$2)),TEXT('הדבקת לידים'!A1546,"0")),TRIM('הדבקת לידים'!A1546)))</f>
        <v/>
      </c>
      <c r="B1546" s="0" t="str">
        <f aca="false">IF('הדבקת לידים'!B1546="","",IF(ISNUMBER('הדבקת לידים'!B1546),IF(הגדרות!$E$3&gt;0,TEXT('הדבקת לידים'!B1546,REPT("0",הגדרות!$E$3)),TEXT('הדבקת לידים'!B1546,"0")),TRIM('הדבקת לידים'!B1546)))</f>
        <v/>
      </c>
      <c r="C1546" s="0" t="n">
        <f aca="false">IF(OR(A1546&lt;&gt;"",B1546&lt;&gt;""),1,0)</f>
        <v>0</v>
      </c>
      <c r="D1546" s="0" t="str">
        <f aca="false">IF(C1546=1,MOD(ABS(SIN(ROW()*12.9898+'הדבקת לידים'!$F$2*78.233+IFERROR(--RIGHT(A1546,6),LEN(A1546))*0.0137+IFERROR(--RIGHT(B1546,6),LEN(B1546))*0.0071))*43758.5453,1),"")</f>
        <v/>
      </c>
      <c r="E1546" s="0" t="str">
        <f aca="false">IF(C1546=1,INT(MOD(ABS(SIN(D1546*7919.123+ROW()*0.618+'הדבקת לידים'!$F$2*1.3))*43758.5453,1)*1000000)*10000+ROW(),"")</f>
        <v/>
      </c>
      <c r="F1546" s="0" t="str">
        <f aca="false">IF(E1546="","",RANK(E1546,$E$2:$E$5001,1))</f>
        <v/>
      </c>
      <c r="G1546" s="0" t="n">
        <f aca="false">IF(A1546="",0,IF(SUMPRODUCT(--($A$2:$A$5001=A1546))&gt;1,1,0))</f>
        <v>0</v>
      </c>
      <c r="H1546" s="0" t="n">
        <f aca="false">ROW()-1</f>
        <v>1545</v>
      </c>
      <c r="I1546" s="0" t="str">
        <f aca="false">IF(OR(הגדרות!$E$6=0,H1546&gt;הגדרות!$E$5),"",IF(H1546-1&lt;הגדרות!$E$8*(הגדרות!$E$7+1),INT((H1546-1)/(הגדרות!$E$7+1)),הגדרות!$E$8+INT((H1546-1-הגדרות!$E$8*(הגדרות!$E$7+1))/הגדרות!$E$7)))</f>
        <v/>
      </c>
      <c r="J1546" s="0" t="str">
        <f aca="false">IF(I1546="","",IF(H1546-1&lt;הגדרות!$E$8*(הגדרות!$E$7+1),MOD(H1546-1,הגדרות!$E$7+1),MOD(H1546-1-הגדרות!$E$8*(הגדרות!$E$7+1),הגדרות!$E$7)))</f>
        <v/>
      </c>
      <c r="K1546" s="0" t="str">
        <f aca="false">IF(I1546="","",J1546*הגדרות!$E$6+I1546+1)</f>
        <v/>
      </c>
      <c r="L1546" s="0" t="str">
        <f aca="false">IF(K1546="","",MATCH(K1546,$F$2:$F$5001,0))</f>
        <v/>
      </c>
      <c r="M1546" s="0" t="str">
        <f aca="false">IF(I1546="","",INDEX(הגדרות!$A$2:$A$21,MOD(I1546+הגדרות!$E$9,הגדרות!$E$6)+1))</f>
        <v/>
      </c>
    </row>
    <row r="1547" customFormat="false" ht="15" hidden="false" customHeight="false" outlineLevel="0" collapsed="false">
      <c r="A1547" s="0" t="str">
        <f aca="false">IF('הדבקת לידים'!A1547="","",IF(ISNUMBER('הדבקת לידים'!A1547),IF(הגדרות!$E$2&gt;0,TEXT('הדבקת לידים'!A1547,REPT("0",הגדרות!$E$2)),TEXT('הדבקת לידים'!A1547,"0")),TRIM('הדבקת לידים'!A1547)))</f>
        <v/>
      </c>
      <c r="B1547" s="0" t="str">
        <f aca="false">IF('הדבקת לידים'!B1547="","",IF(ISNUMBER('הדבקת לידים'!B1547),IF(הגדרות!$E$3&gt;0,TEXT('הדבקת לידים'!B1547,REPT("0",הגדרות!$E$3)),TEXT('הדבקת לידים'!B1547,"0")),TRIM('הדבקת לידים'!B1547)))</f>
        <v/>
      </c>
      <c r="C1547" s="0" t="n">
        <f aca="false">IF(OR(A1547&lt;&gt;"",B1547&lt;&gt;""),1,0)</f>
        <v>0</v>
      </c>
      <c r="D1547" s="0" t="str">
        <f aca="false">IF(C1547=1,MOD(ABS(SIN(ROW()*12.9898+'הדבקת לידים'!$F$2*78.233+IFERROR(--RIGHT(A1547,6),LEN(A1547))*0.0137+IFERROR(--RIGHT(B1547,6),LEN(B1547))*0.0071))*43758.5453,1),"")</f>
        <v/>
      </c>
      <c r="E1547" s="0" t="str">
        <f aca="false">IF(C1547=1,INT(MOD(ABS(SIN(D1547*7919.123+ROW()*0.618+'הדבקת לידים'!$F$2*1.3))*43758.5453,1)*1000000)*10000+ROW(),"")</f>
        <v/>
      </c>
      <c r="F1547" s="0" t="str">
        <f aca="false">IF(E1547="","",RANK(E1547,$E$2:$E$5001,1))</f>
        <v/>
      </c>
      <c r="G1547" s="0" t="n">
        <f aca="false">IF(A1547="",0,IF(SUMPRODUCT(--($A$2:$A$5001=A1547))&gt;1,1,0))</f>
        <v>0</v>
      </c>
      <c r="H1547" s="0" t="n">
        <f aca="false">ROW()-1</f>
        <v>1546</v>
      </c>
      <c r="I1547" s="0" t="str">
        <f aca="false">IF(OR(הגדרות!$E$6=0,H1547&gt;הגדרות!$E$5),"",IF(H1547-1&lt;הגדרות!$E$8*(הגדרות!$E$7+1),INT((H1547-1)/(הגדרות!$E$7+1)),הגדרות!$E$8+INT((H1547-1-הגדרות!$E$8*(הגדרות!$E$7+1))/הגדרות!$E$7)))</f>
        <v/>
      </c>
      <c r="J1547" s="0" t="str">
        <f aca="false">IF(I1547="","",IF(H1547-1&lt;הגדרות!$E$8*(הגדרות!$E$7+1),MOD(H1547-1,הגדרות!$E$7+1),MOD(H1547-1-הגדרות!$E$8*(הגדרות!$E$7+1),הגדרות!$E$7)))</f>
        <v/>
      </c>
      <c r="K1547" s="0" t="str">
        <f aca="false">IF(I1547="","",J1547*הגדרות!$E$6+I1547+1)</f>
        <v/>
      </c>
      <c r="L1547" s="0" t="str">
        <f aca="false">IF(K1547="","",MATCH(K1547,$F$2:$F$5001,0))</f>
        <v/>
      </c>
      <c r="M1547" s="0" t="str">
        <f aca="false">IF(I1547="","",INDEX(הגדרות!$A$2:$A$21,MOD(I1547+הגדרות!$E$9,הגדרות!$E$6)+1))</f>
        <v/>
      </c>
    </row>
    <row r="1548" customFormat="false" ht="15" hidden="false" customHeight="false" outlineLevel="0" collapsed="false">
      <c r="A1548" s="0" t="str">
        <f aca="false">IF('הדבקת לידים'!A1548="","",IF(ISNUMBER('הדבקת לידים'!A1548),IF(הגדרות!$E$2&gt;0,TEXT('הדבקת לידים'!A1548,REPT("0",הגדרות!$E$2)),TEXT('הדבקת לידים'!A1548,"0")),TRIM('הדבקת לידים'!A1548)))</f>
        <v/>
      </c>
      <c r="B1548" s="0" t="str">
        <f aca="false">IF('הדבקת לידים'!B1548="","",IF(ISNUMBER('הדבקת לידים'!B1548),IF(הגדרות!$E$3&gt;0,TEXT('הדבקת לידים'!B1548,REPT("0",הגדרות!$E$3)),TEXT('הדבקת לידים'!B1548,"0")),TRIM('הדבקת לידים'!B1548)))</f>
        <v/>
      </c>
      <c r="C1548" s="0" t="n">
        <f aca="false">IF(OR(A1548&lt;&gt;"",B1548&lt;&gt;""),1,0)</f>
        <v>0</v>
      </c>
      <c r="D1548" s="0" t="str">
        <f aca="false">IF(C1548=1,MOD(ABS(SIN(ROW()*12.9898+'הדבקת לידים'!$F$2*78.233+IFERROR(--RIGHT(A1548,6),LEN(A1548))*0.0137+IFERROR(--RIGHT(B1548,6),LEN(B1548))*0.0071))*43758.5453,1),"")</f>
        <v/>
      </c>
      <c r="E1548" s="0" t="str">
        <f aca="false">IF(C1548=1,INT(MOD(ABS(SIN(D1548*7919.123+ROW()*0.618+'הדבקת לידים'!$F$2*1.3))*43758.5453,1)*1000000)*10000+ROW(),"")</f>
        <v/>
      </c>
      <c r="F1548" s="0" t="str">
        <f aca="false">IF(E1548="","",RANK(E1548,$E$2:$E$5001,1))</f>
        <v/>
      </c>
      <c r="G1548" s="0" t="n">
        <f aca="false">IF(A1548="",0,IF(SUMPRODUCT(--($A$2:$A$5001=A1548))&gt;1,1,0))</f>
        <v>0</v>
      </c>
      <c r="H1548" s="0" t="n">
        <f aca="false">ROW()-1</f>
        <v>1547</v>
      </c>
      <c r="I1548" s="0" t="str">
        <f aca="false">IF(OR(הגדרות!$E$6=0,H1548&gt;הגדרות!$E$5),"",IF(H1548-1&lt;הגדרות!$E$8*(הגדרות!$E$7+1),INT((H1548-1)/(הגדרות!$E$7+1)),הגדרות!$E$8+INT((H1548-1-הגדרות!$E$8*(הגדרות!$E$7+1))/הגדרות!$E$7)))</f>
        <v/>
      </c>
      <c r="J1548" s="0" t="str">
        <f aca="false">IF(I1548="","",IF(H1548-1&lt;הגדרות!$E$8*(הגדרות!$E$7+1),MOD(H1548-1,הגדרות!$E$7+1),MOD(H1548-1-הגדרות!$E$8*(הגדרות!$E$7+1),הגדרות!$E$7)))</f>
        <v/>
      </c>
      <c r="K1548" s="0" t="str">
        <f aca="false">IF(I1548="","",J1548*הגדרות!$E$6+I1548+1)</f>
        <v/>
      </c>
      <c r="L1548" s="0" t="str">
        <f aca="false">IF(K1548="","",MATCH(K1548,$F$2:$F$5001,0))</f>
        <v/>
      </c>
      <c r="M1548" s="0" t="str">
        <f aca="false">IF(I1548="","",INDEX(הגדרות!$A$2:$A$21,MOD(I1548+הגדרות!$E$9,הגדרות!$E$6)+1))</f>
        <v/>
      </c>
    </row>
    <row r="1549" customFormat="false" ht="15" hidden="false" customHeight="false" outlineLevel="0" collapsed="false">
      <c r="A1549" s="0" t="str">
        <f aca="false">IF('הדבקת לידים'!A1549="","",IF(ISNUMBER('הדבקת לידים'!A1549),IF(הגדרות!$E$2&gt;0,TEXT('הדבקת לידים'!A1549,REPT("0",הגדרות!$E$2)),TEXT('הדבקת לידים'!A1549,"0")),TRIM('הדבקת לידים'!A1549)))</f>
        <v/>
      </c>
      <c r="B1549" s="0" t="str">
        <f aca="false">IF('הדבקת לידים'!B1549="","",IF(ISNUMBER('הדבקת לידים'!B1549),IF(הגדרות!$E$3&gt;0,TEXT('הדבקת לידים'!B1549,REPT("0",הגדרות!$E$3)),TEXT('הדבקת לידים'!B1549,"0")),TRIM('הדבקת לידים'!B1549)))</f>
        <v/>
      </c>
      <c r="C1549" s="0" t="n">
        <f aca="false">IF(OR(A1549&lt;&gt;"",B1549&lt;&gt;""),1,0)</f>
        <v>0</v>
      </c>
      <c r="D1549" s="0" t="str">
        <f aca="false">IF(C1549=1,MOD(ABS(SIN(ROW()*12.9898+'הדבקת לידים'!$F$2*78.233+IFERROR(--RIGHT(A1549,6),LEN(A1549))*0.0137+IFERROR(--RIGHT(B1549,6),LEN(B1549))*0.0071))*43758.5453,1),"")</f>
        <v/>
      </c>
      <c r="E1549" s="0" t="str">
        <f aca="false">IF(C1549=1,INT(MOD(ABS(SIN(D1549*7919.123+ROW()*0.618+'הדבקת לידים'!$F$2*1.3))*43758.5453,1)*1000000)*10000+ROW(),"")</f>
        <v/>
      </c>
      <c r="F1549" s="0" t="str">
        <f aca="false">IF(E1549="","",RANK(E1549,$E$2:$E$5001,1))</f>
        <v/>
      </c>
      <c r="G1549" s="0" t="n">
        <f aca="false">IF(A1549="",0,IF(SUMPRODUCT(--($A$2:$A$5001=A1549))&gt;1,1,0))</f>
        <v>0</v>
      </c>
      <c r="H1549" s="0" t="n">
        <f aca="false">ROW()-1</f>
        <v>1548</v>
      </c>
      <c r="I1549" s="0" t="str">
        <f aca="false">IF(OR(הגדרות!$E$6=0,H1549&gt;הגדרות!$E$5),"",IF(H1549-1&lt;הגדרות!$E$8*(הגדרות!$E$7+1),INT((H1549-1)/(הגדרות!$E$7+1)),הגדרות!$E$8+INT((H1549-1-הגדרות!$E$8*(הגדרות!$E$7+1))/הגדרות!$E$7)))</f>
        <v/>
      </c>
      <c r="J1549" s="0" t="str">
        <f aca="false">IF(I1549="","",IF(H1549-1&lt;הגדרות!$E$8*(הגדרות!$E$7+1),MOD(H1549-1,הגדרות!$E$7+1),MOD(H1549-1-הגדרות!$E$8*(הגדרות!$E$7+1),הגדרות!$E$7)))</f>
        <v/>
      </c>
      <c r="K1549" s="0" t="str">
        <f aca="false">IF(I1549="","",J1549*הגדרות!$E$6+I1549+1)</f>
        <v/>
      </c>
      <c r="L1549" s="0" t="str">
        <f aca="false">IF(K1549="","",MATCH(K1549,$F$2:$F$5001,0))</f>
        <v/>
      </c>
      <c r="M1549" s="0" t="str">
        <f aca="false">IF(I1549="","",INDEX(הגדרות!$A$2:$A$21,MOD(I1549+הגדרות!$E$9,הגדרות!$E$6)+1))</f>
        <v/>
      </c>
    </row>
    <row r="1550" customFormat="false" ht="15" hidden="false" customHeight="false" outlineLevel="0" collapsed="false">
      <c r="A1550" s="0" t="str">
        <f aca="false">IF('הדבקת לידים'!A1550="","",IF(ISNUMBER('הדבקת לידים'!A1550),IF(הגדרות!$E$2&gt;0,TEXT('הדבקת לידים'!A1550,REPT("0",הגדרות!$E$2)),TEXT('הדבקת לידים'!A1550,"0")),TRIM('הדבקת לידים'!A1550)))</f>
        <v/>
      </c>
      <c r="B1550" s="0" t="str">
        <f aca="false">IF('הדבקת לידים'!B1550="","",IF(ISNUMBER('הדבקת לידים'!B1550),IF(הגדרות!$E$3&gt;0,TEXT('הדבקת לידים'!B1550,REPT("0",הגדרות!$E$3)),TEXT('הדבקת לידים'!B1550,"0")),TRIM('הדבקת לידים'!B1550)))</f>
        <v/>
      </c>
      <c r="C1550" s="0" t="n">
        <f aca="false">IF(OR(A1550&lt;&gt;"",B1550&lt;&gt;""),1,0)</f>
        <v>0</v>
      </c>
      <c r="D1550" s="0" t="str">
        <f aca="false">IF(C1550=1,MOD(ABS(SIN(ROW()*12.9898+'הדבקת לידים'!$F$2*78.233+IFERROR(--RIGHT(A1550,6),LEN(A1550))*0.0137+IFERROR(--RIGHT(B1550,6),LEN(B1550))*0.0071))*43758.5453,1),"")</f>
        <v/>
      </c>
      <c r="E1550" s="0" t="str">
        <f aca="false">IF(C1550=1,INT(MOD(ABS(SIN(D1550*7919.123+ROW()*0.618+'הדבקת לידים'!$F$2*1.3))*43758.5453,1)*1000000)*10000+ROW(),"")</f>
        <v/>
      </c>
      <c r="F1550" s="0" t="str">
        <f aca="false">IF(E1550="","",RANK(E1550,$E$2:$E$5001,1))</f>
        <v/>
      </c>
      <c r="G1550" s="0" t="n">
        <f aca="false">IF(A1550="",0,IF(SUMPRODUCT(--($A$2:$A$5001=A1550))&gt;1,1,0))</f>
        <v>0</v>
      </c>
      <c r="H1550" s="0" t="n">
        <f aca="false">ROW()-1</f>
        <v>1549</v>
      </c>
      <c r="I1550" s="0" t="str">
        <f aca="false">IF(OR(הגדרות!$E$6=0,H1550&gt;הגדרות!$E$5),"",IF(H1550-1&lt;הגדרות!$E$8*(הגדרות!$E$7+1),INT((H1550-1)/(הגדרות!$E$7+1)),הגדרות!$E$8+INT((H1550-1-הגדרות!$E$8*(הגדרות!$E$7+1))/הגדרות!$E$7)))</f>
        <v/>
      </c>
      <c r="J1550" s="0" t="str">
        <f aca="false">IF(I1550="","",IF(H1550-1&lt;הגדרות!$E$8*(הגדרות!$E$7+1),MOD(H1550-1,הגדרות!$E$7+1),MOD(H1550-1-הגדרות!$E$8*(הגדרות!$E$7+1),הגדרות!$E$7)))</f>
        <v/>
      </c>
      <c r="K1550" s="0" t="str">
        <f aca="false">IF(I1550="","",J1550*הגדרות!$E$6+I1550+1)</f>
        <v/>
      </c>
      <c r="L1550" s="0" t="str">
        <f aca="false">IF(K1550="","",MATCH(K1550,$F$2:$F$5001,0))</f>
        <v/>
      </c>
      <c r="M1550" s="0" t="str">
        <f aca="false">IF(I1550="","",INDEX(הגדרות!$A$2:$A$21,MOD(I1550+הגדרות!$E$9,הגדרות!$E$6)+1))</f>
        <v/>
      </c>
    </row>
    <row r="1551" customFormat="false" ht="15" hidden="false" customHeight="false" outlineLevel="0" collapsed="false">
      <c r="A1551" s="0" t="str">
        <f aca="false">IF('הדבקת לידים'!A1551="","",IF(ISNUMBER('הדבקת לידים'!A1551),IF(הגדרות!$E$2&gt;0,TEXT('הדבקת לידים'!A1551,REPT("0",הגדרות!$E$2)),TEXT('הדבקת לידים'!A1551,"0")),TRIM('הדבקת לידים'!A1551)))</f>
        <v/>
      </c>
      <c r="B1551" s="0" t="str">
        <f aca="false">IF('הדבקת לידים'!B1551="","",IF(ISNUMBER('הדבקת לידים'!B1551),IF(הגדרות!$E$3&gt;0,TEXT('הדבקת לידים'!B1551,REPT("0",הגדרות!$E$3)),TEXT('הדבקת לידים'!B1551,"0")),TRIM('הדבקת לידים'!B1551)))</f>
        <v/>
      </c>
      <c r="C1551" s="0" t="n">
        <f aca="false">IF(OR(A1551&lt;&gt;"",B1551&lt;&gt;""),1,0)</f>
        <v>0</v>
      </c>
      <c r="D1551" s="0" t="str">
        <f aca="false">IF(C1551=1,MOD(ABS(SIN(ROW()*12.9898+'הדבקת לידים'!$F$2*78.233+IFERROR(--RIGHT(A1551,6),LEN(A1551))*0.0137+IFERROR(--RIGHT(B1551,6),LEN(B1551))*0.0071))*43758.5453,1),"")</f>
        <v/>
      </c>
      <c r="E1551" s="0" t="str">
        <f aca="false">IF(C1551=1,INT(MOD(ABS(SIN(D1551*7919.123+ROW()*0.618+'הדבקת לידים'!$F$2*1.3))*43758.5453,1)*1000000)*10000+ROW(),"")</f>
        <v/>
      </c>
      <c r="F1551" s="0" t="str">
        <f aca="false">IF(E1551="","",RANK(E1551,$E$2:$E$5001,1))</f>
        <v/>
      </c>
      <c r="G1551" s="0" t="n">
        <f aca="false">IF(A1551="",0,IF(SUMPRODUCT(--($A$2:$A$5001=A1551))&gt;1,1,0))</f>
        <v>0</v>
      </c>
      <c r="H1551" s="0" t="n">
        <f aca="false">ROW()-1</f>
        <v>1550</v>
      </c>
      <c r="I1551" s="0" t="str">
        <f aca="false">IF(OR(הגדרות!$E$6=0,H1551&gt;הגדרות!$E$5),"",IF(H1551-1&lt;הגדרות!$E$8*(הגדרות!$E$7+1),INT((H1551-1)/(הגדרות!$E$7+1)),הגדרות!$E$8+INT((H1551-1-הגדרות!$E$8*(הגדרות!$E$7+1))/הגדרות!$E$7)))</f>
        <v/>
      </c>
      <c r="J1551" s="0" t="str">
        <f aca="false">IF(I1551="","",IF(H1551-1&lt;הגדרות!$E$8*(הגדרות!$E$7+1),MOD(H1551-1,הגדרות!$E$7+1),MOD(H1551-1-הגדרות!$E$8*(הגדרות!$E$7+1),הגדרות!$E$7)))</f>
        <v/>
      </c>
      <c r="K1551" s="0" t="str">
        <f aca="false">IF(I1551="","",J1551*הגדרות!$E$6+I1551+1)</f>
        <v/>
      </c>
      <c r="L1551" s="0" t="str">
        <f aca="false">IF(K1551="","",MATCH(K1551,$F$2:$F$5001,0))</f>
        <v/>
      </c>
      <c r="M1551" s="0" t="str">
        <f aca="false">IF(I1551="","",INDEX(הגדרות!$A$2:$A$21,MOD(I1551+הגדרות!$E$9,הגדרות!$E$6)+1))</f>
        <v/>
      </c>
    </row>
    <row r="1552" customFormat="false" ht="15" hidden="false" customHeight="false" outlineLevel="0" collapsed="false">
      <c r="A1552" s="0" t="str">
        <f aca="false">IF('הדבקת לידים'!A1552="","",IF(ISNUMBER('הדבקת לידים'!A1552),IF(הגדרות!$E$2&gt;0,TEXT('הדבקת לידים'!A1552,REPT("0",הגדרות!$E$2)),TEXT('הדבקת לידים'!A1552,"0")),TRIM('הדבקת לידים'!A1552)))</f>
        <v/>
      </c>
      <c r="B1552" s="0" t="str">
        <f aca="false">IF('הדבקת לידים'!B1552="","",IF(ISNUMBER('הדבקת לידים'!B1552),IF(הגדרות!$E$3&gt;0,TEXT('הדבקת לידים'!B1552,REPT("0",הגדרות!$E$3)),TEXT('הדבקת לידים'!B1552,"0")),TRIM('הדבקת לידים'!B1552)))</f>
        <v/>
      </c>
      <c r="C1552" s="0" t="n">
        <f aca="false">IF(OR(A1552&lt;&gt;"",B1552&lt;&gt;""),1,0)</f>
        <v>0</v>
      </c>
      <c r="D1552" s="0" t="str">
        <f aca="false">IF(C1552=1,MOD(ABS(SIN(ROW()*12.9898+'הדבקת לידים'!$F$2*78.233+IFERROR(--RIGHT(A1552,6),LEN(A1552))*0.0137+IFERROR(--RIGHT(B1552,6),LEN(B1552))*0.0071))*43758.5453,1),"")</f>
        <v/>
      </c>
      <c r="E1552" s="0" t="str">
        <f aca="false">IF(C1552=1,INT(MOD(ABS(SIN(D1552*7919.123+ROW()*0.618+'הדבקת לידים'!$F$2*1.3))*43758.5453,1)*1000000)*10000+ROW(),"")</f>
        <v/>
      </c>
      <c r="F1552" s="0" t="str">
        <f aca="false">IF(E1552="","",RANK(E1552,$E$2:$E$5001,1))</f>
        <v/>
      </c>
      <c r="G1552" s="0" t="n">
        <f aca="false">IF(A1552="",0,IF(SUMPRODUCT(--($A$2:$A$5001=A1552))&gt;1,1,0))</f>
        <v>0</v>
      </c>
      <c r="H1552" s="0" t="n">
        <f aca="false">ROW()-1</f>
        <v>1551</v>
      </c>
      <c r="I1552" s="0" t="str">
        <f aca="false">IF(OR(הגדרות!$E$6=0,H1552&gt;הגדרות!$E$5),"",IF(H1552-1&lt;הגדרות!$E$8*(הגדרות!$E$7+1),INT((H1552-1)/(הגדרות!$E$7+1)),הגדרות!$E$8+INT((H1552-1-הגדרות!$E$8*(הגדרות!$E$7+1))/הגדרות!$E$7)))</f>
        <v/>
      </c>
      <c r="J1552" s="0" t="str">
        <f aca="false">IF(I1552="","",IF(H1552-1&lt;הגדרות!$E$8*(הגדרות!$E$7+1),MOD(H1552-1,הגדרות!$E$7+1),MOD(H1552-1-הגדרות!$E$8*(הגדרות!$E$7+1),הגדרות!$E$7)))</f>
        <v/>
      </c>
      <c r="K1552" s="0" t="str">
        <f aca="false">IF(I1552="","",J1552*הגדרות!$E$6+I1552+1)</f>
        <v/>
      </c>
      <c r="L1552" s="0" t="str">
        <f aca="false">IF(K1552="","",MATCH(K1552,$F$2:$F$5001,0))</f>
        <v/>
      </c>
      <c r="M1552" s="0" t="str">
        <f aca="false">IF(I1552="","",INDEX(הגדרות!$A$2:$A$21,MOD(I1552+הגדרות!$E$9,הגדרות!$E$6)+1))</f>
        <v/>
      </c>
    </row>
    <row r="1553" customFormat="false" ht="15" hidden="false" customHeight="false" outlineLevel="0" collapsed="false">
      <c r="A1553" s="0" t="str">
        <f aca="false">IF('הדבקת לידים'!A1553="","",IF(ISNUMBER('הדבקת לידים'!A1553),IF(הגדרות!$E$2&gt;0,TEXT('הדבקת לידים'!A1553,REPT("0",הגדרות!$E$2)),TEXT('הדבקת לידים'!A1553,"0")),TRIM('הדבקת לידים'!A1553)))</f>
        <v/>
      </c>
      <c r="B1553" s="0" t="str">
        <f aca="false">IF('הדבקת לידים'!B1553="","",IF(ISNUMBER('הדבקת לידים'!B1553),IF(הגדרות!$E$3&gt;0,TEXT('הדבקת לידים'!B1553,REPT("0",הגדרות!$E$3)),TEXT('הדבקת לידים'!B1553,"0")),TRIM('הדבקת לידים'!B1553)))</f>
        <v/>
      </c>
      <c r="C1553" s="0" t="n">
        <f aca="false">IF(OR(A1553&lt;&gt;"",B1553&lt;&gt;""),1,0)</f>
        <v>0</v>
      </c>
      <c r="D1553" s="0" t="str">
        <f aca="false">IF(C1553=1,MOD(ABS(SIN(ROW()*12.9898+'הדבקת לידים'!$F$2*78.233+IFERROR(--RIGHT(A1553,6),LEN(A1553))*0.0137+IFERROR(--RIGHT(B1553,6),LEN(B1553))*0.0071))*43758.5453,1),"")</f>
        <v/>
      </c>
      <c r="E1553" s="0" t="str">
        <f aca="false">IF(C1553=1,INT(MOD(ABS(SIN(D1553*7919.123+ROW()*0.618+'הדבקת לידים'!$F$2*1.3))*43758.5453,1)*1000000)*10000+ROW(),"")</f>
        <v/>
      </c>
      <c r="F1553" s="0" t="str">
        <f aca="false">IF(E1553="","",RANK(E1553,$E$2:$E$5001,1))</f>
        <v/>
      </c>
      <c r="G1553" s="0" t="n">
        <f aca="false">IF(A1553="",0,IF(SUMPRODUCT(--($A$2:$A$5001=A1553))&gt;1,1,0))</f>
        <v>0</v>
      </c>
      <c r="H1553" s="0" t="n">
        <f aca="false">ROW()-1</f>
        <v>1552</v>
      </c>
      <c r="I1553" s="0" t="str">
        <f aca="false">IF(OR(הגדרות!$E$6=0,H1553&gt;הגדרות!$E$5),"",IF(H1553-1&lt;הגדרות!$E$8*(הגדרות!$E$7+1),INT((H1553-1)/(הגדרות!$E$7+1)),הגדרות!$E$8+INT((H1553-1-הגדרות!$E$8*(הגדרות!$E$7+1))/הגדרות!$E$7)))</f>
        <v/>
      </c>
      <c r="J1553" s="0" t="str">
        <f aca="false">IF(I1553="","",IF(H1553-1&lt;הגדרות!$E$8*(הגדרות!$E$7+1),MOD(H1553-1,הגדרות!$E$7+1),MOD(H1553-1-הגדרות!$E$8*(הגדרות!$E$7+1),הגדרות!$E$7)))</f>
        <v/>
      </c>
      <c r="K1553" s="0" t="str">
        <f aca="false">IF(I1553="","",J1553*הגדרות!$E$6+I1553+1)</f>
        <v/>
      </c>
      <c r="L1553" s="0" t="str">
        <f aca="false">IF(K1553="","",MATCH(K1553,$F$2:$F$5001,0))</f>
        <v/>
      </c>
      <c r="M1553" s="0" t="str">
        <f aca="false">IF(I1553="","",INDEX(הגדרות!$A$2:$A$21,MOD(I1553+הגדרות!$E$9,הגדרות!$E$6)+1))</f>
        <v/>
      </c>
    </row>
    <row r="1554" customFormat="false" ht="15" hidden="false" customHeight="false" outlineLevel="0" collapsed="false">
      <c r="A1554" s="0" t="str">
        <f aca="false">IF('הדבקת לידים'!A1554="","",IF(ISNUMBER('הדבקת לידים'!A1554),IF(הגדרות!$E$2&gt;0,TEXT('הדבקת לידים'!A1554,REPT("0",הגדרות!$E$2)),TEXT('הדבקת לידים'!A1554,"0")),TRIM('הדבקת לידים'!A1554)))</f>
        <v/>
      </c>
      <c r="B1554" s="0" t="str">
        <f aca="false">IF('הדבקת לידים'!B1554="","",IF(ISNUMBER('הדבקת לידים'!B1554),IF(הגדרות!$E$3&gt;0,TEXT('הדבקת לידים'!B1554,REPT("0",הגדרות!$E$3)),TEXT('הדבקת לידים'!B1554,"0")),TRIM('הדבקת לידים'!B1554)))</f>
        <v/>
      </c>
      <c r="C1554" s="0" t="n">
        <f aca="false">IF(OR(A1554&lt;&gt;"",B1554&lt;&gt;""),1,0)</f>
        <v>0</v>
      </c>
      <c r="D1554" s="0" t="str">
        <f aca="false">IF(C1554=1,MOD(ABS(SIN(ROW()*12.9898+'הדבקת לידים'!$F$2*78.233+IFERROR(--RIGHT(A1554,6),LEN(A1554))*0.0137+IFERROR(--RIGHT(B1554,6),LEN(B1554))*0.0071))*43758.5453,1),"")</f>
        <v/>
      </c>
      <c r="E1554" s="0" t="str">
        <f aca="false">IF(C1554=1,INT(MOD(ABS(SIN(D1554*7919.123+ROW()*0.618+'הדבקת לידים'!$F$2*1.3))*43758.5453,1)*1000000)*10000+ROW(),"")</f>
        <v/>
      </c>
      <c r="F1554" s="0" t="str">
        <f aca="false">IF(E1554="","",RANK(E1554,$E$2:$E$5001,1))</f>
        <v/>
      </c>
      <c r="G1554" s="0" t="n">
        <f aca="false">IF(A1554="",0,IF(SUMPRODUCT(--($A$2:$A$5001=A1554))&gt;1,1,0))</f>
        <v>0</v>
      </c>
      <c r="H1554" s="0" t="n">
        <f aca="false">ROW()-1</f>
        <v>1553</v>
      </c>
      <c r="I1554" s="0" t="str">
        <f aca="false">IF(OR(הגדרות!$E$6=0,H1554&gt;הגדרות!$E$5),"",IF(H1554-1&lt;הגדרות!$E$8*(הגדרות!$E$7+1),INT((H1554-1)/(הגדרות!$E$7+1)),הגדרות!$E$8+INT((H1554-1-הגדרות!$E$8*(הגדרות!$E$7+1))/הגדרות!$E$7)))</f>
        <v/>
      </c>
      <c r="J1554" s="0" t="str">
        <f aca="false">IF(I1554="","",IF(H1554-1&lt;הגדרות!$E$8*(הגדרות!$E$7+1),MOD(H1554-1,הגדרות!$E$7+1),MOD(H1554-1-הגדרות!$E$8*(הגדרות!$E$7+1),הגדרות!$E$7)))</f>
        <v/>
      </c>
      <c r="K1554" s="0" t="str">
        <f aca="false">IF(I1554="","",J1554*הגדרות!$E$6+I1554+1)</f>
        <v/>
      </c>
      <c r="L1554" s="0" t="str">
        <f aca="false">IF(K1554="","",MATCH(K1554,$F$2:$F$5001,0))</f>
        <v/>
      </c>
      <c r="M1554" s="0" t="str">
        <f aca="false">IF(I1554="","",INDEX(הגדרות!$A$2:$A$21,MOD(I1554+הגדרות!$E$9,הגדרות!$E$6)+1))</f>
        <v/>
      </c>
    </row>
    <row r="1555" customFormat="false" ht="15" hidden="false" customHeight="false" outlineLevel="0" collapsed="false">
      <c r="A1555" s="0" t="str">
        <f aca="false">IF('הדבקת לידים'!A1555="","",IF(ISNUMBER('הדבקת לידים'!A1555),IF(הגדרות!$E$2&gt;0,TEXT('הדבקת לידים'!A1555,REPT("0",הגדרות!$E$2)),TEXT('הדבקת לידים'!A1555,"0")),TRIM('הדבקת לידים'!A1555)))</f>
        <v/>
      </c>
      <c r="B1555" s="0" t="str">
        <f aca="false">IF('הדבקת לידים'!B1555="","",IF(ISNUMBER('הדבקת לידים'!B1555),IF(הגדרות!$E$3&gt;0,TEXT('הדבקת לידים'!B1555,REPT("0",הגדרות!$E$3)),TEXT('הדבקת לידים'!B1555,"0")),TRIM('הדבקת לידים'!B1555)))</f>
        <v/>
      </c>
      <c r="C1555" s="0" t="n">
        <f aca="false">IF(OR(A1555&lt;&gt;"",B1555&lt;&gt;""),1,0)</f>
        <v>0</v>
      </c>
      <c r="D1555" s="0" t="str">
        <f aca="false">IF(C1555=1,MOD(ABS(SIN(ROW()*12.9898+'הדבקת לידים'!$F$2*78.233+IFERROR(--RIGHT(A1555,6),LEN(A1555))*0.0137+IFERROR(--RIGHT(B1555,6),LEN(B1555))*0.0071))*43758.5453,1),"")</f>
        <v/>
      </c>
      <c r="E1555" s="0" t="str">
        <f aca="false">IF(C1555=1,INT(MOD(ABS(SIN(D1555*7919.123+ROW()*0.618+'הדבקת לידים'!$F$2*1.3))*43758.5453,1)*1000000)*10000+ROW(),"")</f>
        <v/>
      </c>
      <c r="F1555" s="0" t="str">
        <f aca="false">IF(E1555="","",RANK(E1555,$E$2:$E$5001,1))</f>
        <v/>
      </c>
      <c r="G1555" s="0" t="n">
        <f aca="false">IF(A1555="",0,IF(SUMPRODUCT(--($A$2:$A$5001=A1555))&gt;1,1,0))</f>
        <v>0</v>
      </c>
      <c r="H1555" s="0" t="n">
        <f aca="false">ROW()-1</f>
        <v>1554</v>
      </c>
      <c r="I1555" s="0" t="str">
        <f aca="false">IF(OR(הגדרות!$E$6=0,H1555&gt;הגדרות!$E$5),"",IF(H1555-1&lt;הגדרות!$E$8*(הגדרות!$E$7+1),INT((H1555-1)/(הגדרות!$E$7+1)),הגדרות!$E$8+INT((H1555-1-הגדרות!$E$8*(הגדרות!$E$7+1))/הגדרות!$E$7)))</f>
        <v/>
      </c>
      <c r="J1555" s="0" t="str">
        <f aca="false">IF(I1555="","",IF(H1555-1&lt;הגדרות!$E$8*(הגדרות!$E$7+1),MOD(H1555-1,הגדרות!$E$7+1),MOD(H1555-1-הגדרות!$E$8*(הגדרות!$E$7+1),הגדרות!$E$7)))</f>
        <v/>
      </c>
      <c r="K1555" s="0" t="str">
        <f aca="false">IF(I1555="","",J1555*הגדרות!$E$6+I1555+1)</f>
        <v/>
      </c>
      <c r="L1555" s="0" t="str">
        <f aca="false">IF(K1555="","",MATCH(K1555,$F$2:$F$5001,0))</f>
        <v/>
      </c>
      <c r="M1555" s="0" t="str">
        <f aca="false">IF(I1555="","",INDEX(הגדרות!$A$2:$A$21,MOD(I1555+הגדרות!$E$9,הגדרות!$E$6)+1))</f>
        <v/>
      </c>
    </row>
    <row r="1556" customFormat="false" ht="15" hidden="false" customHeight="false" outlineLevel="0" collapsed="false">
      <c r="A1556" s="0" t="str">
        <f aca="false">IF('הדבקת לידים'!A1556="","",IF(ISNUMBER('הדבקת לידים'!A1556),IF(הגדרות!$E$2&gt;0,TEXT('הדבקת לידים'!A1556,REPT("0",הגדרות!$E$2)),TEXT('הדבקת לידים'!A1556,"0")),TRIM('הדבקת לידים'!A1556)))</f>
        <v/>
      </c>
      <c r="B1556" s="0" t="str">
        <f aca="false">IF('הדבקת לידים'!B1556="","",IF(ISNUMBER('הדבקת לידים'!B1556),IF(הגדרות!$E$3&gt;0,TEXT('הדבקת לידים'!B1556,REPT("0",הגדרות!$E$3)),TEXT('הדבקת לידים'!B1556,"0")),TRIM('הדבקת לידים'!B1556)))</f>
        <v/>
      </c>
      <c r="C1556" s="0" t="n">
        <f aca="false">IF(OR(A1556&lt;&gt;"",B1556&lt;&gt;""),1,0)</f>
        <v>0</v>
      </c>
      <c r="D1556" s="0" t="str">
        <f aca="false">IF(C1556=1,MOD(ABS(SIN(ROW()*12.9898+'הדבקת לידים'!$F$2*78.233+IFERROR(--RIGHT(A1556,6),LEN(A1556))*0.0137+IFERROR(--RIGHT(B1556,6),LEN(B1556))*0.0071))*43758.5453,1),"")</f>
        <v/>
      </c>
      <c r="E1556" s="0" t="str">
        <f aca="false">IF(C1556=1,INT(MOD(ABS(SIN(D1556*7919.123+ROW()*0.618+'הדבקת לידים'!$F$2*1.3))*43758.5453,1)*1000000)*10000+ROW(),"")</f>
        <v/>
      </c>
      <c r="F1556" s="0" t="str">
        <f aca="false">IF(E1556="","",RANK(E1556,$E$2:$E$5001,1))</f>
        <v/>
      </c>
      <c r="G1556" s="0" t="n">
        <f aca="false">IF(A1556="",0,IF(SUMPRODUCT(--($A$2:$A$5001=A1556))&gt;1,1,0))</f>
        <v>0</v>
      </c>
      <c r="H1556" s="0" t="n">
        <f aca="false">ROW()-1</f>
        <v>1555</v>
      </c>
      <c r="I1556" s="0" t="str">
        <f aca="false">IF(OR(הגדרות!$E$6=0,H1556&gt;הגדרות!$E$5),"",IF(H1556-1&lt;הגדרות!$E$8*(הגדרות!$E$7+1),INT((H1556-1)/(הגדרות!$E$7+1)),הגדרות!$E$8+INT((H1556-1-הגדרות!$E$8*(הגדרות!$E$7+1))/הגדרות!$E$7)))</f>
        <v/>
      </c>
      <c r="J1556" s="0" t="str">
        <f aca="false">IF(I1556="","",IF(H1556-1&lt;הגדרות!$E$8*(הגדרות!$E$7+1),MOD(H1556-1,הגדרות!$E$7+1),MOD(H1556-1-הגדרות!$E$8*(הגדרות!$E$7+1),הגדרות!$E$7)))</f>
        <v/>
      </c>
      <c r="K1556" s="0" t="str">
        <f aca="false">IF(I1556="","",J1556*הגדרות!$E$6+I1556+1)</f>
        <v/>
      </c>
      <c r="L1556" s="0" t="str">
        <f aca="false">IF(K1556="","",MATCH(K1556,$F$2:$F$5001,0))</f>
        <v/>
      </c>
      <c r="M1556" s="0" t="str">
        <f aca="false">IF(I1556="","",INDEX(הגדרות!$A$2:$A$21,MOD(I1556+הגדרות!$E$9,הגדרות!$E$6)+1))</f>
        <v/>
      </c>
    </row>
    <row r="1557" customFormat="false" ht="15" hidden="false" customHeight="false" outlineLevel="0" collapsed="false">
      <c r="A1557" s="0" t="str">
        <f aca="false">IF('הדבקת לידים'!A1557="","",IF(ISNUMBER('הדבקת לידים'!A1557),IF(הגדרות!$E$2&gt;0,TEXT('הדבקת לידים'!A1557,REPT("0",הגדרות!$E$2)),TEXT('הדבקת לידים'!A1557,"0")),TRIM('הדבקת לידים'!A1557)))</f>
        <v/>
      </c>
      <c r="B1557" s="0" t="str">
        <f aca="false">IF('הדבקת לידים'!B1557="","",IF(ISNUMBER('הדבקת לידים'!B1557),IF(הגדרות!$E$3&gt;0,TEXT('הדבקת לידים'!B1557,REPT("0",הגדרות!$E$3)),TEXT('הדבקת לידים'!B1557,"0")),TRIM('הדבקת לידים'!B1557)))</f>
        <v/>
      </c>
      <c r="C1557" s="0" t="n">
        <f aca="false">IF(OR(A1557&lt;&gt;"",B1557&lt;&gt;""),1,0)</f>
        <v>0</v>
      </c>
      <c r="D1557" s="0" t="str">
        <f aca="false">IF(C1557=1,MOD(ABS(SIN(ROW()*12.9898+'הדבקת לידים'!$F$2*78.233+IFERROR(--RIGHT(A1557,6),LEN(A1557))*0.0137+IFERROR(--RIGHT(B1557,6),LEN(B1557))*0.0071))*43758.5453,1),"")</f>
        <v/>
      </c>
      <c r="E1557" s="0" t="str">
        <f aca="false">IF(C1557=1,INT(MOD(ABS(SIN(D1557*7919.123+ROW()*0.618+'הדבקת לידים'!$F$2*1.3))*43758.5453,1)*1000000)*10000+ROW(),"")</f>
        <v/>
      </c>
      <c r="F1557" s="0" t="str">
        <f aca="false">IF(E1557="","",RANK(E1557,$E$2:$E$5001,1))</f>
        <v/>
      </c>
      <c r="G1557" s="0" t="n">
        <f aca="false">IF(A1557="",0,IF(SUMPRODUCT(--($A$2:$A$5001=A1557))&gt;1,1,0))</f>
        <v>0</v>
      </c>
      <c r="H1557" s="0" t="n">
        <f aca="false">ROW()-1</f>
        <v>1556</v>
      </c>
      <c r="I1557" s="0" t="str">
        <f aca="false">IF(OR(הגדרות!$E$6=0,H1557&gt;הגדרות!$E$5),"",IF(H1557-1&lt;הגדרות!$E$8*(הגדרות!$E$7+1),INT((H1557-1)/(הגדרות!$E$7+1)),הגדרות!$E$8+INT((H1557-1-הגדרות!$E$8*(הגדרות!$E$7+1))/הגדרות!$E$7)))</f>
        <v/>
      </c>
      <c r="J1557" s="0" t="str">
        <f aca="false">IF(I1557="","",IF(H1557-1&lt;הגדרות!$E$8*(הגדרות!$E$7+1),MOD(H1557-1,הגדרות!$E$7+1),MOD(H1557-1-הגדרות!$E$8*(הגדרות!$E$7+1),הגדרות!$E$7)))</f>
        <v/>
      </c>
      <c r="K1557" s="0" t="str">
        <f aca="false">IF(I1557="","",J1557*הגדרות!$E$6+I1557+1)</f>
        <v/>
      </c>
      <c r="L1557" s="0" t="str">
        <f aca="false">IF(K1557="","",MATCH(K1557,$F$2:$F$5001,0))</f>
        <v/>
      </c>
      <c r="M1557" s="0" t="str">
        <f aca="false">IF(I1557="","",INDEX(הגדרות!$A$2:$A$21,MOD(I1557+הגדרות!$E$9,הגדרות!$E$6)+1))</f>
        <v/>
      </c>
    </row>
    <row r="1558" customFormat="false" ht="15" hidden="false" customHeight="false" outlineLevel="0" collapsed="false">
      <c r="A1558" s="0" t="str">
        <f aca="false">IF('הדבקת לידים'!A1558="","",IF(ISNUMBER('הדבקת לידים'!A1558),IF(הגדרות!$E$2&gt;0,TEXT('הדבקת לידים'!A1558,REPT("0",הגדרות!$E$2)),TEXT('הדבקת לידים'!A1558,"0")),TRIM('הדבקת לידים'!A1558)))</f>
        <v/>
      </c>
      <c r="B1558" s="0" t="str">
        <f aca="false">IF('הדבקת לידים'!B1558="","",IF(ISNUMBER('הדבקת לידים'!B1558),IF(הגדרות!$E$3&gt;0,TEXT('הדבקת לידים'!B1558,REPT("0",הגדרות!$E$3)),TEXT('הדבקת לידים'!B1558,"0")),TRIM('הדבקת לידים'!B1558)))</f>
        <v/>
      </c>
      <c r="C1558" s="0" t="n">
        <f aca="false">IF(OR(A1558&lt;&gt;"",B1558&lt;&gt;""),1,0)</f>
        <v>0</v>
      </c>
      <c r="D1558" s="0" t="str">
        <f aca="false">IF(C1558=1,MOD(ABS(SIN(ROW()*12.9898+'הדבקת לידים'!$F$2*78.233+IFERROR(--RIGHT(A1558,6),LEN(A1558))*0.0137+IFERROR(--RIGHT(B1558,6),LEN(B1558))*0.0071))*43758.5453,1),"")</f>
        <v/>
      </c>
      <c r="E1558" s="0" t="str">
        <f aca="false">IF(C1558=1,INT(MOD(ABS(SIN(D1558*7919.123+ROW()*0.618+'הדבקת לידים'!$F$2*1.3))*43758.5453,1)*1000000)*10000+ROW(),"")</f>
        <v/>
      </c>
      <c r="F1558" s="0" t="str">
        <f aca="false">IF(E1558="","",RANK(E1558,$E$2:$E$5001,1))</f>
        <v/>
      </c>
      <c r="G1558" s="0" t="n">
        <f aca="false">IF(A1558="",0,IF(SUMPRODUCT(--($A$2:$A$5001=A1558))&gt;1,1,0))</f>
        <v>0</v>
      </c>
      <c r="H1558" s="0" t="n">
        <f aca="false">ROW()-1</f>
        <v>1557</v>
      </c>
      <c r="I1558" s="0" t="str">
        <f aca="false">IF(OR(הגדרות!$E$6=0,H1558&gt;הגדרות!$E$5),"",IF(H1558-1&lt;הגדרות!$E$8*(הגדרות!$E$7+1),INT((H1558-1)/(הגדרות!$E$7+1)),הגדרות!$E$8+INT((H1558-1-הגדרות!$E$8*(הגדרות!$E$7+1))/הגדרות!$E$7)))</f>
        <v/>
      </c>
      <c r="J1558" s="0" t="str">
        <f aca="false">IF(I1558="","",IF(H1558-1&lt;הגדרות!$E$8*(הגדרות!$E$7+1),MOD(H1558-1,הגדרות!$E$7+1),MOD(H1558-1-הגדרות!$E$8*(הגדרות!$E$7+1),הגדרות!$E$7)))</f>
        <v/>
      </c>
      <c r="K1558" s="0" t="str">
        <f aca="false">IF(I1558="","",J1558*הגדרות!$E$6+I1558+1)</f>
        <v/>
      </c>
      <c r="L1558" s="0" t="str">
        <f aca="false">IF(K1558="","",MATCH(K1558,$F$2:$F$5001,0))</f>
        <v/>
      </c>
      <c r="M1558" s="0" t="str">
        <f aca="false">IF(I1558="","",INDEX(הגדרות!$A$2:$A$21,MOD(I1558+הגדרות!$E$9,הגדרות!$E$6)+1))</f>
        <v/>
      </c>
    </row>
    <row r="1559" customFormat="false" ht="15" hidden="false" customHeight="false" outlineLevel="0" collapsed="false">
      <c r="A1559" s="0" t="str">
        <f aca="false">IF('הדבקת לידים'!A1559="","",IF(ISNUMBER('הדבקת לידים'!A1559),IF(הגדרות!$E$2&gt;0,TEXT('הדבקת לידים'!A1559,REPT("0",הגדרות!$E$2)),TEXT('הדבקת לידים'!A1559,"0")),TRIM('הדבקת לידים'!A1559)))</f>
        <v/>
      </c>
      <c r="B1559" s="0" t="str">
        <f aca="false">IF('הדבקת לידים'!B1559="","",IF(ISNUMBER('הדבקת לידים'!B1559),IF(הגדרות!$E$3&gt;0,TEXT('הדבקת לידים'!B1559,REPT("0",הגדרות!$E$3)),TEXT('הדבקת לידים'!B1559,"0")),TRIM('הדבקת לידים'!B1559)))</f>
        <v/>
      </c>
      <c r="C1559" s="0" t="n">
        <f aca="false">IF(OR(A1559&lt;&gt;"",B1559&lt;&gt;""),1,0)</f>
        <v>0</v>
      </c>
      <c r="D1559" s="0" t="str">
        <f aca="false">IF(C1559=1,MOD(ABS(SIN(ROW()*12.9898+'הדבקת לידים'!$F$2*78.233+IFERROR(--RIGHT(A1559,6),LEN(A1559))*0.0137+IFERROR(--RIGHT(B1559,6),LEN(B1559))*0.0071))*43758.5453,1),"")</f>
        <v/>
      </c>
      <c r="E1559" s="0" t="str">
        <f aca="false">IF(C1559=1,INT(MOD(ABS(SIN(D1559*7919.123+ROW()*0.618+'הדבקת לידים'!$F$2*1.3))*43758.5453,1)*1000000)*10000+ROW(),"")</f>
        <v/>
      </c>
      <c r="F1559" s="0" t="str">
        <f aca="false">IF(E1559="","",RANK(E1559,$E$2:$E$5001,1))</f>
        <v/>
      </c>
      <c r="G1559" s="0" t="n">
        <f aca="false">IF(A1559="",0,IF(SUMPRODUCT(--($A$2:$A$5001=A1559))&gt;1,1,0))</f>
        <v>0</v>
      </c>
      <c r="H1559" s="0" t="n">
        <f aca="false">ROW()-1</f>
        <v>1558</v>
      </c>
      <c r="I1559" s="0" t="str">
        <f aca="false">IF(OR(הגדרות!$E$6=0,H1559&gt;הגדרות!$E$5),"",IF(H1559-1&lt;הגדרות!$E$8*(הגדרות!$E$7+1),INT((H1559-1)/(הגדרות!$E$7+1)),הגדרות!$E$8+INT((H1559-1-הגדרות!$E$8*(הגדרות!$E$7+1))/הגדרות!$E$7)))</f>
        <v/>
      </c>
      <c r="J1559" s="0" t="str">
        <f aca="false">IF(I1559="","",IF(H1559-1&lt;הגדרות!$E$8*(הגדרות!$E$7+1),MOD(H1559-1,הגדרות!$E$7+1),MOD(H1559-1-הגדרות!$E$8*(הגדרות!$E$7+1),הגדרות!$E$7)))</f>
        <v/>
      </c>
      <c r="K1559" s="0" t="str">
        <f aca="false">IF(I1559="","",J1559*הגדרות!$E$6+I1559+1)</f>
        <v/>
      </c>
      <c r="L1559" s="0" t="str">
        <f aca="false">IF(K1559="","",MATCH(K1559,$F$2:$F$5001,0))</f>
        <v/>
      </c>
      <c r="M1559" s="0" t="str">
        <f aca="false">IF(I1559="","",INDEX(הגדרות!$A$2:$A$21,MOD(I1559+הגדרות!$E$9,הגדרות!$E$6)+1))</f>
        <v/>
      </c>
    </row>
    <row r="1560" customFormat="false" ht="15" hidden="false" customHeight="false" outlineLevel="0" collapsed="false">
      <c r="A1560" s="0" t="str">
        <f aca="false">IF('הדבקת לידים'!A1560="","",IF(ISNUMBER('הדבקת לידים'!A1560),IF(הגדרות!$E$2&gt;0,TEXT('הדבקת לידים'!A1560,REPT("0",הגדרות!$E$2)),TEXT('הדבקת לידים'!A1560,"0")),TRIM('הדבקת לידים'!A1560)))</f>
        <v/>
      </c>
      <c r="B1560" s="0" t="str">
        <f aca="false">IF('הדבקת לידים'!B1560="","",IF(ISNUMBER('הדבקת לידים'!B1560),IF(הגדרות!$E$3&gt;0,TEXT('הדבקת לידים'!B1560,REPT("0",הגדרות!$E$3)),TEXT('הדבקת לידים'!B1560,"0")),TRIM('הדבקת לידים'!B1560)))</f>
        <v/>
      </c>
      <c r="C1560" s="0" t="n">
        <f aca="false">IF(OR(A1560&lt;&gt;"",B1560&lt;&gt;""),1,0)</f>
        <v>0</v>
      </c>
      <c r="D1560" s="0" t="str">
        <f aca="false">IF(C1560=1,MOD(ABS(SIN(ROW()*12.9898+'הדבקת לידים'!$F$2*78.233+IFERROR(--RIGHT(A1560,6),LEN(A1560))*0.0137+IFERROR(--RIGHT(B1560,6),LEN(B1560))*0.0071))*43758.5453,1),"")</f>
        <v/>
      </c>
      <c r="E1560" s="0" t="str">
        <f aca="false">IF(C1560=1,INT(MOD(ABS(SIN(D1560*7919.123+ROW()*0.618+'הדבקת לידים'!$F$2*1.3))*43758.5453,1)*1000000)*10000+ROW(),"")</f>
        <v/>
      </c>
      <c r="F1560" s="0" t="str">
        <f aca="false">IF(E1560="","",RANK(E1560,$E$2:$E$5001,1))</f>
        <v/>
      </c>
      <c r="G1560" s="0" t="n">
        <f aca="false">IF(A1560="",0,IF(SUMPRODUCT(--($A$2:$A$5001=A1560))&gt;1,1,0))</f>
        <v>0</v>
      </c>
      <c r="H1560" s="0" t="n">
        <f aca="false">ROW()-1</f>
        <v>1559</v>
      </c>
      <c r="I1560" s="0" t="str">
        <f aca="false">IF(OR(הגדרות!$E$6=0,H1560&gt;הגדרות!$E$5),"",IF(H1560-1&lt;הגדרות!$E$8*(הגדרות!$E$7+1),INT((H1560-1)/(הגדרות!$E$7+1)),הגדרות!$E$8+INT((H1560-1-הגדרות!$E$8*(הגדרות!$E$7+1))/הגדרות!$E$7)))</f>
        <v/>
      </c>
      <c r="J1560" s="0" t="str">
        <f aca="false">IF(I1560="","",IF(H1560-1&lt;הגדרות!$E$8*(הגדרות!$E$7+1),MOD(H1560-1,הגדרות!$E$7+1),MOD(H1560-1-הגדרות!$E$8*(הגדרות!$E$7+1),הגדרות!$E$7)))</f>
        <v/>
      </c>
      <c r="K1560" s="0" t="str">
        <f aca="false">IF(I1560="","",J1560*הגדרות!$E$6+I1560+1)</f>
        <v/>
      </c>
      <c r="L1560" s="0" t="str">
        <f aca="false">IF(K1560="","",MATCH(K1560,$F$2:$F$5001,0))</f>
        <v/>
      </c>
      <c r="M1560" s="0" t="str">
        <f aca="false">IF(I1560="","",INDEX(הגדרות!$A$2:$A$21,MOD(I1560+הגדרות!$E$9,הגדרות!$E$6)+1))</f>
        <v/>
      </c>
    </row>
    <row r="1561" customFormat="false" ht="15" hidden="false" customHeight="false" outlineLevel="0" collapsed="false">
      <c r="A1561" s="0" t="str">
        <f aca="false">IF('הדבקת לידים'!A1561="","",IF(ISNUMBER('הדבקת לידים'!A1561),IF(הגדרות!$E$2&gt;0,TEXT('הדבקת לידים'!A1561,REPT("0",הגדרות!$E$2)),TEXT('הדבקת לידים'!A1561,"0")),TRIM('הדבקת לידים'!A1561)))</f>
        <v/>
      </c>
      <c r="B1561" s="0" t="str">
        <f aca="false">IF('הדבקת לידים'!B1561="","",IF(ISNUMBER('הדבקת לידים'!B1561),IF(הגדרות!$E$3&gt;0,TEXT('הדבקת לידים'!B1561,REPT("0",הגדרות!$E$3)),TEXT('הדבקת לידים'!B1561,"0")),TRIM('הדבקת לידים'!B1561)))</f>
        <v/>
      </c>
      <c r="C1561" s="0" t="n">
        <f aca="false">IF(OR(A1561&lt;&gt;"",B1561&lt;&gt;""),1,0)</f>
        <v>0</v>
      </c>
      <c r="D1561" s="0" t="str">
        <f aca="false">IF(C1561=1,MOD(ABS(SIN(ROW()*12.9898+'הדבקת לידים'!$F$2*78.233+IFERROR(--RIGHT(A1561,6),LEN(A1561))*0.0137+IFERROR(--RIGHT(B1561,6),LEN(B1561))*0.0071))*43758.5453,1),"")</f>
        <v/>
      </c>
      <c r="E1561" s="0" t="str">
        <f aca="false">IF(C1561=1,INT(MOD(ABS(SIN(D1561*7919.123+ROW()*0.618+'הדבקת לידים'!$F$2*1.3))*43758.5453,1)*1000000)*10000+ROW(),"")</f>
        <v/>
      </c>
      <c r="F1561" s="0" t="str">
        <f aca="false">IF(E1561="","",RANK(E1561,$E$2:$E$5001,1))</f>
        <v/>
      </c>
      <c r="G1561" s="0" t="n">
        <f aca="false">IF(A1561="",0,IF(SUMPRODUCT(--($A$2:$A$5001=A1561))&gt;1,1,0))</f>
        <v>0</v>
      </c>
      <c r="H1561" s="0" t="n">
        <f aca="false">ROW()-1</f>
        <v>1560</v>
      </c>
      <c r="I1561" s="0" t="str">
        <f aca="false">IF(OR(הגדרות!$E$6=0,H1561&gt;הגדרות!$E$5),"",IF(H1561-1&lt;הגדרות!$E$8*(הגדרות!$E$7+1),INT((H1561-1)/(הגדרות!$E$7+1)),הגדרות!$E$8+INT((H1561-1-הגדרות!$E$8*(הגדרות!$E$7+1))/הגדרות!$E$7)))</f>
        <v/>
      </c>
      <c r="J1561" s="0" t="str">
        <f aca="false">IF(I1561="","",IF(H1561-1&lt;הגדרות!$E$8*(הגדרות!$E$7+1),MOD(H1561-1,הגדרות!$E$7+1),MOD(H1561-1-הגדרות!$E$8*(הגדרות!$E$7+1),הגדרות!$E$7)))</f>
        <v/>
      </c>
      <c r="K1561" s="0" t="str">
        <f aca="false">IF(I1561="","",J1561*הגדרות!$E$6+I1561+1)</f>
        <v/>
      </c>
      <c r="L1561" s="0" t="str">
        <f aca="false">IF(K1561="","",MATCH(K1561,$F$2:$F$5001,0))</f>
        <v/>
      </c>
      <c r="M1561" s="0" t="str">
        <f aca="false">IF(I1561="","",INDEX(הגדרות!$A$2:$A$21,MOD(I1561+הגדרות!$E$9,הגדרות!$E$6)+1))</f>
        <v/>
      </c>
    </row>
    <row r="1562" customFormat="false" ht="15" hidden="false" customHeight="false" outlineLevel="0" collapsed="false">
      <c r="A1562" s="0" t="str">
        <f aca="false">IF('הדבקת לידים'!A1562="","",IF(ISNUMBER('הדבקת לידים'!A1562),IF(הגדרות!$E$2&gt;0,TEXT('הדבקת לידים'!A1562,REPT("0",הגדרות!$E$2)),TEXT('הדבקת לידים'!A1562,"0")),TRIM('הדבקת לידים'!A1562)))</f>
        <v/>
      </c>
      <c r="B1562" s="0" t="str">
        <f aca="false">IF('הדבקת לידים'!B1562="","",IF(ISNUMBER('הדבקת לידים'!B1562),IF(הגדרות!$E$3&gt;0,TEXT('הדבקת לידים'!B1562,REPT("0",הגדרות!$E$3)),TEXT('הדבקת לידים'!B1562,"0")),TRIM('הדבקת לידים'!B1562)))</f>
        <v/>
      </c>
      <c r="C1562" s="0" t="n">
        <f aca="false">IF(OR(A1562&lt;&gt;"",B1562&lt;&gt;""),1,0)</f>
        <v>0</v>
      </c>
      <c r="D1562" s="0" t="str">
        <f aca="false">IF(C1562=1,MOD(ABS(SIN(ROW()*12.9898+'הדבקת לידים'!$F$2*78.233+IFERROR(--RIGHT(A1562,6),LEN(A1562))*0.0137+IFERROR(--RIGHT(B1562,6),LEN(B1562))*0.0071))*43758.5453,1),"")</f>
        <v/>
      </c>
      <c r="E1562" s="0" t="str">
        <f aca="false">IF(C1562=1,INT(MOD(ABS(SIN(D1562*7919.123+ROW()*0.618+'הדבקת לידים'!$F$2*1.3))*43758.5453,1)*1000000)*10000+ROW(),"")</f>
        <v/>
      </c>
      <c r="F1562" s="0" t="str">
        <f aca="false">IF(E1562="","",RANK(E1562,$E$2:$E$5001,1))</f>
        <v/>
      </c>
      <c r="G1562" s="0" t="n">
        <f aca="false">IF(A1562="",0,IF(SUMPRODUCT(--($A$2:$A$5001=A1562))&gt;1,1,0))</f>
        <v>0</v>
      </c>
      <c r="H1562" s="0" t="n">
        <f aca="false">ROW()-1</f>
        <v>1561</v>
      </c>
      <c r="I1562" s="0" t="str">
        <f aca="false">IF(OR(הגדרות!$E$6=0,H1562&gt;הגדרות!$E$5),"",IF(H1562-1&lt;הגדרות!$E$8*(הגדרות!$E$7+1),INT((H1562-1)/(הגדרות!$E$7+1)),הגדרות!$E$8+INT((H1562-1-הגדרות!$E$8*(הגדרות!$E$7+1))/הגדרות!$E$7)))</f>
        <v/>
      </c>
      <c r="J1562" s="0" t="str">
        <f aca="false">IF(I1562="","",IF(H1562-1&lt;הגדרות!$E$8*(הגדרות!$E$7+1),MOD(H1562-1,הגדרות!$E$7+1),MOD(H1562-1-הגדרות!$E$8*(הגדרות!$E$7+1),הגדרות!$E$7)))</f>
        <v/>
      </c>
      <c r="K1562" s="0" t="str">
        <f aca="false">IF(I1562="","",J1562*הגדרות!$E$6+I1562+1)</f>
        <v/>
      </c>
      <c r="L1562" s="0" t="str">
        <f aca="false">IF(K1562="","",MATCH(K1562,$F$2:$F$5001,0))</f>
        <v/>
      </c>
      <c r="M1562" s="0" t="str">
        <f aca="false">IF(I1562="","",INDEX(הגדרות!$A$2:$A$21,MOD(I1562+הגדרות!$E$9,הגדרות!$E$6)+1))</f>
        <v/>
      </c>
    </row>
    <row r="1563" customFormat="false" ht="15" hidden="false" customHeight="false" outlineLevel="0" collapsed="false">
      <c r="A1563" s="0" t="str">
        <f aca="false">IF('הדבקת לידים'!A1563="","",IF(ISNUMBER('הדבקת לידים'!A1563),IF(הגדרות!$E$2&gt;0,TEXT('הדבקת לידים'!A1563,REPT("0",הגדרות!$E$2)),TEXT('הדבקת לידים'!A1563,"0")),TRIM('הדבקת לידים'!A1563)))</f>
        <v/>
      </c>
      <c r="B1563" s="0" t="str">
        <f aca="false">IF('הדבקת לידים'!B1563="","",IF(ISNUMBER('הדבקת לידים'!B1563),IF(הגדרות!$E$3&gt;0,TEXT('הדבקת לידים'!B1563,REPT("0",הגדרות!$E$3)),TEXT('הדבקת לידים'!B1563,"0")),TRIM('הדבקת לידים'!B1563)))</f>
        <v/>
      </c>
      <c r="C1563" s="0" t="n">
        <f aca="false">IF(OR(A1563&lt;&gt;"",B1563&lt;&gt;""),1,0)</f>
        <v>0</v>
      </c>
      <c r="D1563" s="0" t="str">
        <f aca="false">IF(C1563=1,MOD(ABS(SIN(ROW()*12.9898+'הדבקת לידים'!$F$2*78.233+IFERROR(--RIGHT(A1563,6),LEN(A1563))*0.0137+IFERROR(--RIGHT(B1563,6),LEN(B1563))*0.0071))*43758.5453,1),"")</f>
        <v/>
      </c>
      <c r="E1563" s="0" t="str">
        <f aca="false">IF(C1563=1,INT(MOD(ABS(SIN(D1563*7919.123+ROW()*0.618+'הדבקת לידים'!$F$2*1.3))*43758.5453,1)*1000000)*10000+ROW(),"")</f>
        <v/>
      </c>
      <c r="F1563" s="0" t="str">
        <f aca="false">IF(E1563="","",RANK(E1563,$E$2:$E$5001,1))</f>
        <v/>
      </c>
      <c r="G1563" s="0" t="n">
        <f aca="false">IF(A1563="",0,IF(SUMPRODUCT(--($A$2:$A$5001=A1563))&gt;1,1,0))</f>
        <v>0</v>
      </c>
      <c r="H1563" s="0" t="n">
        <f aca="false">ROW()-1</f>
        <v>1562</v>
      </c>
      <c r="I1563" s="0" t="str">
        <f aca="false">IF(OR(הגדרות!$E$6=0,H1563&gt;הגדרות!$E$5),"",IF(H1563-1&lt;הגדרות!$E$8*(הגדרות!$E$7+1),INT((H1563-1)/(הגדרות!$E$7+1)),הגדרות!$E$8+INT((H1563-1-הגדרות!$E$8*(הגדרות!$E$7+1))/הגדרות!$E$7)))</f>
        <v/>
      </c>
      <c r="J1563" s="0" t="str">
        <f aca="false">IF(I1563="","",IF(H1563-1&lt;הגדרות!$E$8*(הגדרות!$E$7+1),MOD(H1563-1,הגדרות!$E$7+1),MOD(H1563-1-הגדרות!$E$8*(הגדרות!$E$7+1),הגדרות!$E$7)))</f>
        <v/>
      </c>
      <c r="K1563" s="0" t="str">
        <f aca="false">IF(I1563="","",J1563*הגדרות!$E$6+I1563+1)</f>
        <v/>
      </c>
      <c r="L1563" s="0" t="str">
        <f aca="false">IF(K1563="","",MATCH(K1563,$F$2:$F$5001,0))</f>
        <v/>
      </c>
      <c r="M1563" s="0" t="str">
        <f aca="false">IF(I1563="","",INDEX(הגדרות!$A$2:$A$21,MOD(I1563+הגדרות!$E$9,הגדרות!$E$6)+1))</f>
        <v/>
      </c>
    </row>
    <row r="1564" customFormat="false" ht="15" hidden="false" customHeight="false" outlineLevel="0" collapsed="false">
      <c r="A1564" s="0" t="str">
        <f aca="false">IF('הדבקת לידים'!A1564="","",IF(ISNUMBER('הדבקת לידים'!A1564),IF(הגדרות!$E$2&gt;0,TEXT('הדבקת לידים'!A1564,REPT("0",הגדרות!$E$2)),TEXT('הדבקת לידים'!A1564,"0")),TRIM('הדבקת לידים'!A1564)))</f>
        <v/>
      </c>
      <c r="B1564" s="0" t="str">
        <f aca="false">IF('הדבקת לידים'!B1564="","",IF(ISNUMBER('הדבקת לידים'!B1564),IF(הגדרות!$E$3&gt;0,TEXT('הדבקת לידים'!B1564,REPT("0",הגדרות!$E$3)),TEXT('הדבקת לידים'!B1564,"0")),TRIM('הדבקת לידים'!B1564)))</f>
        <v/>
      </c>
      <c r="C1564" s="0" t="n">
        <f aca="false">IF(OR(A1564&lt;&gt;"",B1564&lt;&gt;""),1,0)</f>
        <v>0</v>
      </c>
      <c r="D1564" s="0" t="str">
        <f aca="false">IF(C1564=1,MOD(ABS(SIN(ROW()*12.9898+'הדבקת לידים'!$F$2*78.233+IFERROR(--RIGHT(A1564,6),LEN(A1564))*0.0137+IFERROR(--RIGHT(B1564,6),LEN(B1564))*0.0071))*43758.5453,1),"")</f>
        <v/>
      </c>
      <c r="E1564" s="0" t="str">
        <f aca="false">IF(C1564=1,INT(MOD(ABS(SIN(D1564*7919.123+ROW()*0.618+'הדבקת לידים'!$F$2*1.3))*43758.5453,1)*1000000)*10000+ROW(),"")</f>
        <v/>
      </c>
      <c r="F1564" s="0" t="str">
        <f aca="false">IF(E1564="","",RANK(E1564,$E$2:$E$5001,1))</f>
        <v/>
      </c>
      <c r="G1564" s="0" t="n">
        <f aca="false">IF(A1564="",0,IF(SUMPRODUCT(--($A$2:$A$5001=A1564))&gt;1,1,0))</f>
        <v>0</v>
      </c>
      <c r="H1564" s="0" t="n">
        <f aca="false">ROW()-1</f>
        <v>1563</v>
      </c>
      <c r="I1564" s="0" t="str">
        <f aca="false">IF(OR(הגדרות!$E$6=0,H1564&gt;הגדרות!$E$5),"",IF(H1564-1&lt;הגדרות!$E$8*(הגדרות!$E$7+1),INT((H1564-1)/(הגדרות!$E$7+1)),הגדרות!$E$8+INT((H1564-1-הגדרות!$E$8*(הגדרות!$E$7+1))/הגדרות!$E$7)))</f>
        <v/>
      </c>
      <c r="J1564" s="0" t="str">
        <f aca="false">IF(I1564="","",IF(H1564-1&lt;הגדרות!$E$8*(הגדרות!$E$7+1),MOD(H1564-1,הגדרות!$E$7+1),MOD(H1564-1-הגדרות!$E$8*(הגדרות!$E$7+1),הגדרות!$E$7)))</f>
        <v/>
      </c>
      <c r="K1564" s="0" t="str">
        <f aca="false">IF(I1564="","",J1564*הגדרות!$E$6+I1564+1)</f>
        <v/>
      </c>
      <c r="L1564" s="0" t="str">
        <f aca="false">IF(K1564="","",MATCH(K1564,$F$2:$F$5001,0))</f>
        <v/>
      </c>
      <c r="M1564" s="0" t="str">
        <f aca="false">IF(I1564="","",INDEX(הגדרות!$A$2:$A$21,MOD(I1564+הגדרות!$E$9,הגדרות!$E$6)+1))</f>
        <v/>
      </c>
    </row>
    <row r="1565" customFormat="false" ht="15" hidden="false" customHeight="false" outlineLevel="0" collapsed="false">
      <c r="A1565" s="0" t="str">
        <f aca="false">IF('הדבקת לידים'!A1565="","",IF(ISNUMBER('הדבקת לידים'!A1565),IF(הגדרות!$E$2&gt;0,TEXT('הדבקת לידים'!A1565,REPT("0",הגדרות!$E$2)),TEXT('הדבקת לידים'!A1565,"0")),TRIM('הדבקת לידים'!A1565)))</f>
        <v/>
      </c>
      <c r="B1565" s="0" t="str">
        <f aca="false">IF('הדבקת לידים'!B1565="","",IF(ISNUMBER('הדבקת לידים'!B1565),IF(הגדרות!$E$3&gt;0,TEXT('הדבקת לידים'!B1565,REPT("0",הגדרות!$E$3)),TEXT('הדבקת לידים'!B1565,"0")),TRIM('הדבקת לידים'!B1565)))</f>
        <v/>
      </c>
      <c r="C1565" s="0" t="n">
        <f aca="false">IF(OR(A1565&lt;&gt;"",B1565&lt;&gt;""),1,0)</f>
        <v>0</v>
      </c>
      <c r="D1565" s="0" t="str">
        <f aca="false">IF(C1565=1,MOD(ABS(SIN(ROW()*12.9898+'הדבקת לידים'!$F$2*78.233+IFERROR(--RIGHT(A1565,6),LEN(A1565))*0.0137+IFERROR(--RIGHT(B1565,6),LEN(B1565))*0.0071))*43758.5453,1),"")</f>
        <v/>
      </c>
      <c r="E1565" s="0" t="str">
        <f aca="false">IF(C1565=1,INT(MOD(ABS(SIN(D1565*7919.123+ROW()*0.618+'הדבקת לידים'!$F$2*1.3))*43758.5453,1)*1000000)*10000+ROW(),"")</f>
        <v/>
      </c>
      <c r="F1565" s="0" t="str">
        <f aca="false">IF(E1565="","",RANK(E1565,$E$2:$E$5001,1))</f>
        <v/>
      </c>
      <c r="G1565" s="0" t="n">
        <f aca="false">IF(A1565="",0,IF(SUMPRODUCT(--($A$2:$A$5001=A1565))&gt;1,1,0))</f>
        <v>0</v>
      </c>
      <c r="H1565" s="0" t="n">
        <f aca="false">ROW()-1</f>
        <v>1564</v>
      </c>
      <c r="I1565" s="0" t="str">
        <f aca="false">IF(OR(הגדרות!$E$6=0,H1565&gt;הגדרות!$E$5),"",IF(H1565-1&lt;הגדרות!$E$8*(הגדרות!$E$7+1),INT((H1565-1)/(הגדרות!$E$7+1)),הגדרות!$E$8+INT((H1565-1-הגדרות!$E$8*(הגדרות!$E$7+1))/הגדרות!$E$7)))</f>
        <v/>
      </c>
      <c r="J1565" s="0" t="str">
        <f aca="false">IF(I1565="","",IF(H1565-1&lt;הגדרות!$E$8*(הגדרות!$E$7+1),MOD(H1565-1,הגדרות!$E$7+1),MOD(H1565-1-הגדרות!$E$8*(הגדרות!$E$7+1),הגדרות!$E$7)))</f>
        <v/>
      </c>
      <c r="K1565" s="0" t="str">
        <f aca="false">IF(I1565="","",J1565*הגדרות!$E$6+I1565+1)</f>
        <v/>
      </c>
      <c r="L1565" s="0" t="str">
        <f aca="false">IF(K1565="","",MATCH(K1565,$F$2:$F$5001,0))</f>
        <v/>
      </c>
      <c r="M1565" s="0" t="str">
        <f aca="false">IF(I1565="","",INDEX(הגדרות!$A$2:$A$21,MOD(I1565+הגדרות!$E$9,הגדרות!$E$6)+1))</f>
        <v/>
      </c>
    </row>
    <row r="1566" customFormat="false" ht="15" hidden="false" customHeight="false" outlineLevel="0" collapsed="false">
      <c r="A1566" s="0" t="str">
        <f aca="false">IF('הדבקת לידים'!A1566="","",IF(ISNUMBER('הדבקת לידים'!A1566),IF(הגדרות!$E$2&gt;0,TEXT('הדבקת לידים'!A1566,REPT("0",הגדרות!$E$2)),TEXT('הדבקת לידים'!A1566,"0")),TRIM('הדבקת לידים'!A1566)))</f>
        <v/>
      </c>
      <c r="B1566" s="0" t="str">
        <f aca="false">IF('הדבקת לידים'!B1566="","",IF(ISNUMBER('הדבקת לידים'!B1566),IF(הגדרות!$E$3&gt;0,TEXT('הדבקת לידים'!B1566,REPT("0",הגדרות!$E$3)),TEXT('הדבקת לידים'!B1566,"0")),TRIM('הדבקת לידים'!B1566)))</f>
        <v/>
      </c>
      <c r="C1566" s="0" t="n">
        <f aca="false">IF(OR(A1566&lt;&gt;"",B1566&lt;&gt;""),1,0)</f>
        <v>0</v>
      </c>
      <c r="D1566" s="0" t="str">
        <f aca="false">IF(C1566=1,MOD(ABS(SIN(ROW()*12.9898+'הדבקת לידים'!$F$2*78.233+IFERROR(--RIGHT(A1566,6),LEN(A1566))*0.0137+IFERROR(--RIGHT(B1566,6),LEN(B1566))*0.0071))*43758.5453,1),"")</f>
        <v/>
      </c>
      <c r="E1566" s="0" t="str">
        <f aca="false">IF(C1566=1,INT(MOD(ABS(SIN(D1566*7919.123+ROW()*0.618+'הדבקת לידים'!$F$2*1.3))*43758.5453,1)*1000000)*10000+ROW(),"")</f>
        <v/>
      </c>
      <c r="F1566" s="0" t="str">
        <f aca="false">IF(E1566="","",RANK(E1566,$E$2:$E$5001,1))</f>
        <v/>
      </c>
      <c r="G1566" s="0" t="n">
        <f aca="false">IF(A1566="",0,IF(SUMPRODUCT(--($A$2:$A$5001=A1566))&gt;1,1,0))</f>
        <v>0</v>
      </c>
      <c r="H1566" s="0" t="n">
        <f aca="false">ROW()-1</f>
        <v>1565</v>
      </c>
      <c r="I1566" s="0" t="str">
        <f aca="false">IF(OR(הגדרות!$E$6=0,H1566&gt;הגדרות!$E$5),"",IF(H1566-1&lt;הגדרות!$E$8*(הגדרות!$E$7+1),INT((H1566-1)/(הגדרות!$E$7+1)),הגדרות!$E$8+INT((H1566-1-הגדרות!$E$8*(הגדרות!$E$7+1))/הגדרות!$E$7)))</f>
        <v/>
      </c>
      <c r="J1566" s="0" t="str">
        <f aca="false">IF(I1566="","",IF(H1566-1&lt;הגדרות!$E$8*(הגדרות!$E$7+1),MOD(H1566-1,הגדרות!$E$7+1),MOD(H1566-1-הגדרות!$E$8*(הגדרות!$E$7+1),הגדרות!$E$7)))</f>
        <v/>
      </c>
      <c r="K1566" s="0" t="str">
        <f aca="false">IF(I1566="","",J1566*הגדרות!$E$6+I1566+1)</f>
        <v/>
      </c>
      <c r="L1566" s="0" t="str">
        <f aca="false">IF(K1566="","",MATCH(K1566,$F$2:$F$5001,0))</f>
        <v/>
      </c>
      <c r="M1566" s="0" t="str">
        <f aca="false">IF(I1566="","",INDEX(הגדרות!$A$2:$A$21,MOD(I1566+הגדרות!$E$9,הגדרות!$E$6)+1))</f>
        <v/>
      </c>
    </row>
    <row r="1567" customFormat="false" ht="15" hidden="false" customHeight="false" outlineLevel="0" collapsed="false">
      <c r="A1567" s="0" t="str">
        <f aca="false">IF('הדבקת לידים'!A1567="","",IF(ISNUMBER('הדבקת לידים'!A1567),IF(הגדרות!$E$2&gt;0,TEXT('הדבקת לידים'!A1567,REPT("0",הגדרות!$E$2)),TEXT('הדבקת לידים'!A1567,"0")),TRIM('הדבקת לידים'!A1567)))</f>
        <v/>
      </c>
      <c r="B1567" s="0" t="str">
        <f aca="false">IF('הדבקת לידים'!B1567="","",IF(ISNUMBER('הדבקת לידים'!B1567),IF(הגדרות!$E$3&gt;0,TEXT('הדבקת לידים'!B1567,REPT("0",הגדרות!$E$3)),TEXT('הדבקת לידים'!B1567,"0")),TRIM('הדבקת לידים'!B1567)))</f>
        <v/>
      </c>
      <c r="C1567" s="0" t="n">
        <f aca="false">IF(OR(A1567&lt;&gt;"",B1567&lt;&gt;""),1,0)</f>
        <v>0</v>
      </c>
      <c r="D1567" s="0" t="str">
        <f aca="false">IF(C1567=1,MOD(ABS(SIN(ROW()*12.9898+'הדבקת לידים'!$F$2*78.233+IFERROR(--RIGHT(A1567,6),LEN(A1567))*0.0137+IFERROR(--RIGHT(B1567,6),LEN(B1567))*0.0071))*43758.5453,1),"")</f>
        <v/>
      </c>
      <c r="E1567" s="0" t="str">
        <f aca="false">IF(C1567=1,INT(MOD(ABS(SIN(D1567*7919.123+ROW()*0.618+'הדבקת לידים'!$F$2*1.3))*43758.5453,1)*1000000)*10000+ROW(),"")</f>
        <v/>
      </c>
      <c r="F1567" s="0" t="str">
        <f aca="false">IF(E1567="","",RANK(E1567,$E$2:$E$5001,1))</f>
        <v/>
      </c>
      <c r="G1567" s="0" t="n">
        <f aca="false">IF(A1567="",0,IF(SUMPRODUCT(--($A$2:$A$5001=A1567))&gt;1,1,0))</f>
        <v>0</v>
      </c>
      <c r="H1567" s="0" t="n">
        <f aca="false">ROW()-1</f>
        <v>1566</v>
      </c>
      <c r="I1567" s="0" t="str">
        <f aca="false">IF(OR(הגדרות!$E$6=0,H1567&gt;הגדרות!$E$5),"",IF(H1567-1&lt;הגדרות!$E$8*(הגדרות!$E$7+1),INT((H1567-1)/(הגדרות!$E$7+1)),הגדרות!$E$8+INT((H1567-1-הגדרות!$E$8*(הגדרות!$E$7+1))/הגדרות!$E$7)))</f>
        <v/>
      </c>
      <c r="J1567" s="0" t="str">
        <f aca="false">IF(I1567="","",IF(H1567-1&lt;הגדרות!$E$8*(הגדרות!$E$7+1),MOD(H1567-1,הגדרות!$E$7+1),MOD(H1567-1-הגדרות!$E$8*(הגדרות!$E$7+1),הגדרות!$E$7)))</f>
        <v/>
      </c>
      <c r="K1567" s="0" t="str">
        <f aca="false">IF(I1567="","",J1567*הגדרות!$E$6+I1567+1)</f>
        <v/>
      </c>
      <c r="L1567" s="0" t="str">
        <f aca="false">IF(K1567="","",MATCH(K1567,$F$2:$F$5001,0))</f>
        <v/>
      </c>
      <c r="M1567" s="0" t="str">
        <f aca="false">IF(I1567="","",INDEX(הגדרות!$A$2:$A$21,MOD(I1567+הגדרות!$E$9,הגדרות!$E$6)+1))</f>
        <v/>
      </c>
    </row>
    <row r="1568" customFormat="false" ht="15" hidden="false" customHeight="false" outlineLevel="0" collapsed="false">
      <c r="A1568" s="0" t="str">
        <f aca="false">IF('הדבקת לידים'!A1568="","",IF(ISNUMBER('הדבקת לידים'!A1568),IF(הגדרות!$E$2&gt;0,TEXT('הדבקת לידים'!A1568,REPT("0",הגדרות!$E$2)),TEXT('הדבקת לידים'!A1568,"0")),TRIM('הדבקת לידים'!A1568)))</f>
        <v/>
      </c>
      <c r="B1568" s="0" t="str">
        <f aca="false">IF('הדבקת לידים'!B1568="","",IF(ISNUMBER('הדבקת לידים'!B1568),IF(הגדרות!$E$3&gt;0,TEXT('הדבקת לידים'!B1568,REPT("0",הגדרות!$E$3)),TEXT('הדבקת לידים'!B1568,"0")),TRIM('הדבקת לידים'!B1568)))</f>
        <v/>
      </c>
      <c r="C1568" s="0" t="n">
        <f aca="false">IF(OR(A1568&lt;&gt;"",B1568&lt;&gt;""),1,0)</f>
        <v>0</v>
      </c>
      <c r="D1568" s="0" t="str">
        <f aca="false">IF(C1568=1,MOD(ABS(SIN(ROW()*12.9898+'הדבקת לידים'!$F$2*78.233+IFERROR(--RIGHT(A1568,6),LEN(A1568))*0.0137+IFERROR(--RIGHT(B1568,6),LEN(B1568))*0.0071))*43758.5453,1),"")</f>
        <v/>
      </c>
      <c r="E1568" s="0" t="str">
        <f aca="false">IF(C1568=1,INT(MOD(ABS(SIN(D1568*7919.123+ROW()*0.618+'הדבקת לידים'!$F$2*1.3))*43758.5453,1)*1000000)*10000+ROW(),"")</f>
        <v/>
      </c>
      <c r="F1568" s="0" t="str">
        <f aca="false">IF(E1568="","",RANK(E1568,$E$2:$E$5001,1))</f>
        <v/>
      </c>
      <c r="G1568" s="0" t="n">
        <f aca="false">IF(A1568="",0,IF(SUMPRODUCT(--($A$2:$A$5001=A1568))&gt;1,1,0))</f>
        <v>0</v>
      </c>
      <c r="H1568" s="0" t="n">
        <f aca="false">ROW()-1</f>
        <v>1567</v>
      </c>
      <c r="I1568" s="0" t="str">
        <f aca="false">IF(OR(הגדרות!$E$6=0,H1568&gt;הגדרות!$E$5),"",IF(H1568-1&lt;הגדרות!$E$8*(הגדרות!$E$7+1),INT((H1568-1)/(הגדרות!$E$7+1)),הגדרות!$E$8+INT((H1568-1-הגדרות!$E$8*(הגדרות!$E$7+1))/הגדרות!$E$7)))</f>
        <v/>
      </c>
      <c r="J1568" s="0" t="str">
        <f aca="false">IF(I1568="","",IF(H1568-1&lt;הגדרות!$E$8*(הגדרות!$E$7+1),MOD(H1568-1,הגדרות!$E$7+1),MOD(H1568-1-הגדרות!$E$8*(הגדרות!$E$7+1),הגדרות!$E$7)))</f>
        <v/>
      </c>
      <c r="K1568" s="0" t="str">
        <f aca="false">IF(I1568="","",J1568*הגדרות!$E$6+I1568+1)</f>
        <v/>
      </c>
      <c r="L1568" s="0" t="str">
        <f aca="false">IF(K1568="","",MATCH(K1568,$F$2:$F$5001,0))</f>
        <v/>
      </c>
      <c r="M1568" s="0" t="str">
        <f aca="false">IF(I1568="","",INDEX(הגדרות!$A$2:$A$21,MOD(I1568+הגדרות!$E$9,הגדרות!$E$6)+1))</f>
        <v/>
      </c>
    </row>
    <row r="1569" customFormat="false" ht="15" hidden="false" customHeight="false" outlineLevel="0" collapsed="false">
      <c r="A1569" s="0" t="str">
        <f aca="false">IF('הדבקת לידים'!A1569="","",IF(ISNUMBER('הדבקת לידים'!A1569),IF(הגדרות!$E$2&gt;0,TEXT('הדבקת לידים'!A1569,REPT("0",הגדרות!$E$2)),TEXT('הדבקת לידים'!A1569,"0")),TRIM('הדבקת לידים'!A1569)))</f>
        <v/>
      </c>
      <c r="B1569" s="0" t="str">
        <f aca="false">IF('הדבקת לידים'!B1569="","",IF(ISNUMBER('הדבקת לידים'!B1569),IF(הגדרות!$E$3&gt;0,TEXT('הדבקת לידים'!B1569,REPT("0",הגדרות!$E$3)),TEXT('הדבקת לידים'!B1569,"0")),TRIM('הדבקת לידים'!B1569)))</f>
        <v/>
      </c>
      <c r="C1569" s="0" t="n">
        <f aca="false">IF(OR(A1569&lt;&gt;"",B1569&lt;&gt;""),1,0)</f>
        <v>0</v>
      </c>
      <c r="D1569" s="0" t="str">
        <f aca="false">IF(C1569=1,MOD(ABS(SIN(ROW()*12.9898+'הדבקת לידים'!$F$2*78.233+IFERROR(--RIGHT(A1569,6),LEN(A1569))*0.0137+IFERROR(--RIGHT(B1569,6),LEN(B1569))*0.0071))*43758.5453,1),"")</f>
        <v/>
      </c>
      <c r="E1569" s="0" t="str">
        <f aca="false">IF(C1569=1,INT(MOD(ABS(SIN(D1569*7919.123+ROW()*0.618+'הדבקת לידים'!$F$2*1.3))*43758.5453,1)*1000000)*10000+ROW(),"")</f>
        <v/>
      </c>
      <c r="F1569" s="0" t="str">
        <f aca="false">IF(E1569="","",RANK(E1569,$E$2:$E$5001,1))</f>
        <v/>
      </c>
      <c r="G1569" s="0" t="n">
        <f aca="false">IF(A1569="",0,IF(SUMPRODUCT(--($A$2:$A$5001=A1569))&gt;1,1,0))</f>
        <v>0</v>
      </c>
      <c r="H1569" s="0" t="n">
        <f aca="false">ROW()-1</f>
        <v>1568</v>
      </c>
      <c r="I1569" s="0" t="str">
        <f aca="false">IF(OR(הגדרות!$E$6=0,H1569&gt;הגדרות!$E$5),"",IF(H1569-1&lt;הגדרות!$E$8*(הגדרות!$E$7+1),INT((H1569-1)/(הגדרות!$E$7+1)),הגדרות!$E$8+INT((H1569-1-הגדרות!$E$8*(הגדרות!$E$7+1))/הגדרות!$E$7)))</f>
        <v/>
      </c>
      <c r="J1569" s="0" t="str">
        <f aca="false">IF(I1569="","",IF(H1569-1&lt;הגדרות!$E$8*(הגדרות!$E$7+1),MOD(H1569-1,הגדרות!$E$7+1),MOD(H1569-1-הגדרות!$E$8*(הגדרות!$E$7+1),הגדרות!$E$7)))</f>
        <v/>
      </c>
      <c r="K1569" s="0" t="str">
        <f aca="false">IF(I1569="","",J1569*הגדרות!$E$6+I1569+1)</f>
        <v/>
      </c>
      <c r="L1569" s="0" t="str">
        <f aca="false">IF(K1569="","",MATCH(K1569,$F$2:$F$5001,0))</f>
        <v/>
      </c>
      <c r="M1569" s="0" t="str">
        <f aca="false">IF(I1569="","",INDEX(הגדרות!$A$2:$A$21,MOD(I1569+הגדרות!$E$9,הגדרות!$E$6)+1))</f>
        <v/>
      </c>
    </row>
    <row r="1570" customFormat="false" ht="15" hidden="false" customHeight="false" outlineLevel="0" collapsed="false">
      <c r="A1570" s="0" t="str">
        <f aca="false">IF('הדבקת לידים'!A1570="","",IF(ISNUMBER('הדבקת לידים'!A1570),IF(הגדרות!$E$2&gt;0,TEXT('הדבקת לידים'!A1570,REPT("0",הגדרות!$E$2)),TEXT('הדבקת לידים'!A1570,"0")),TRIM('הדבקת לידים'!A1570)))</f>
        <v/>
      </c>
      <c r="B1570" s="0" t="str">
        <f aca="false">IF('הדבקת לידים'!B1570="","",IF(ISNUMBER('הדבקת לידים'!B1570),IF(הגדרות!$E$3&gt;0,TEXT('הדבקת לידים'!B1570,REPT("0",הגדרות!$E$3)),TEXT('הדבקת לידים'!B1570,"0")),TRIM('הדבקת לידים'!B1570)))</f>
        <v/>
      </c>
      <c r="C1570" s="0" t="n">
        <f aca="false">IF(OR(A1570&lt;&gt;"",B1570&lt;&gt;""),1,0)</f>
        <v>0</v>
      </c>
      <c r="D1570" s="0" t="str">
        <f aca="false">IF(C1570=1,MOD(ABS(SIN(ROW()*12.9898+'הדבקת לידים'!$F$2*78.233+IFERROR(--RIGHT(A1570,6),LEN(A1570))*0.0137+IFERROR(--RIGHT(B1570,6),LEN(B1570))*0.0071))*43758.5453,1),"")</f>
        <v/>
      </c>
      <c r="E1570" s="0" t="str">
        <f aca="false">IF(C1570=1,INT(MOD(ABS(SIN(D1570*7919.123+ROW()*0.618+'הדבקת לידים'!$F$2*1.3))*43758.5453,1)*1000000)*10000+ROW(),"")</f>
        <v/>
      </c>
      <c r="F1570" s="0" t="str">
        <f aca="false">IF(E1570="","",RANK(E1570,$E$2:$E$5001,1))</f>
        <v/>
      </c>
      <c r="G1570" s="0" t="n">
        <f aca="false">IF(A1570="",0,IF(SUMPRODUCT(--($A$2:$A$5001=A1570))&gt;1,1,0))</f>
        <v>0</v>
      </c>
      <c r="H1570" s="0" t="n">
        <f aca="false">ROW()-1</f>
        <v>1569</v>
      </c>
      <c r="I1570" s="0" t="str">
        <f aca="false">IF(OR(הגדרות!$E$6=0,H1570&gt;הגדרות!$E$5),"",IF(H1570-1&lt;הגדרות!$E$8*(הגדרות!$E$7+1),INT((H1570-1)/(הגדרות!$E$7+1)),הגדרות!$E$8+INT((H1570-1-הגדרות!$E$8*(הגדרות!$E$7+1))/הגדרות!$E$7)))</f>
        <v/>
      </c>
      <c r="J1570" s="0" t="str">
        <f aca="false">IF(I1570="","",IF(H1570-1&lt;הגדרות!$E$8*(הגדרות!$E$7+1),MOD(H1570-1,הגדרות!$E$7+1),MOD(H1570-1-הגדרות!$E$8*(הגדרות!$E$7+1),הגדרות!$E$7)))</f>
        <v/>
      </c>
      <c r="K1570" s="0" t="str">
        <f aca="false">IF(I1570="","",J1570*הגדרות!$E$6+I1570+1)</f>
        <v/>
      </c>
      <c r="L1570" s="0" t="str">
        <f aca="false">IF(K1570="","",MATCH(K1570,$F$2:$F$5001,0))</f>
        <v/>
      </c>
      <c r="M1570" s="0" t="str">
        <f aca="false">IF(I1570="","",INDEX(הגדרות!$A$2:$A$21,MOD(I1570+הגדרות!$E$9,הגדרות!$E$6)+1))</f>
        <v/>
      </c>
    </row>
    <row r="1571" customFormat="false" ht="15" hidden="false" customHeight="false" outlineLevel="0" collapsed="false">
      <c r="A1571" s="0" t="str">
        <f aca="false">IF('הדבקת לידים'!A1571="","",IF(ISNUMBER('הדבקת לידים'!A1571),IF(הגדרות!$E$2&gt;0,TEXT('הדבקת לידים'!A1571,REPT("0",הגדרות!$E$2)),TEXT('הדבקת לידים'!A1571,"0")),TRIM('הדבקת לידים'!A1571)))</f>
        <v/>
      </c>
      <c r="B1571" s="0" t="str">
        <f aca="false">IF('הדבקת לידים'!B1571="","",IF(ISNUMBER('הדבקת לידים'!B1571),IF(הגדרות!$E$3&gt;0,TEXT('הדבקת לידים'!B1571,REPT("0",הגדרות!$E$3)),TEXT('הדבקת לידים'!B1571,"0")),TRIM('הדבקת לידים'!B1571)))</f>
        <v/>
      </c>
      <c r="C1571" s="0" t="n">
        <f aca="false">IF(OR(A1571&lt;&gt;"",B1571&lt;&gt;""),1,0)</f>
        <v>0</v>
      </c>
      <c r="D1571" s="0" t="str">
        <f aca="false">IF(C1571=1,MOD(ABS(SIN(ROW()*12.9898+'הדבקת לידים'!$F$2*78.233+IFERROR(--RIGHT(A1571,6),LEN(A1571))*0.0137+IFERROR(--RIGHT(B1571,6),LEN(B1571))*0.0071))*43758.5453,1),"")</f>
        <v/>
      </c>
      <c r="E1571" s="0" t="str">
        <f aca="false">IF(C1571=1,INT(MOD(ABS(SIN(D1571*7919.123+ROW()*0.618+'הדבקת לידים'!$F$2*1.3))*43758.5453,1)*1000000)*10000+ROW(),"")</f>
        <v/>
      </c>
      <c r="F1571" s="0" t="str">
        <f aca="false">IF(E1571="","",RANK(E1571,$E$2:$E$5001,1))</f>
        <v/>
      </c>
      <c r="G1571" s="0" t="n">
        <f aca="false">IF(A1571="",0,IF(SUMPRODUCT(--($A$2:$A$5001=A1571))&gt;1,1,0))</f>
        <v>0</v>
      </c>
      <c r="H1571" s="0" t="n">
        <f aca="false">ROW()-1</f>
        <v>1570</v>
      </c>
      <c r="I1571" s="0" t="str">
        <f aca="false">IF(OR(הגדרות!$E$6=0,H1571&gt;הגדרות!$E$5),"",IF(H1571-1&lt;הגדרות!$E$8*(הגדרות!$E$7+1),INT((H1571-1)/(הגדרות!$E$7+1)),הגדרות!$E$8+INT((H1571-1-הגדרות!$E$8*(הגדרות!$E$7+1))/הגדרות!$E$7)))</f>
        <v/>
      </c>
      <c r="J1571" s="0" t="str">
        <f aca="false">IF(I1571="","",IF(H1571-1&lt;הגדרות!$E$8*(הגדרות!$E$7+1),MOD(H1571-1,הגדרות!$E$7+1),MOD(H1571-1-הגדרות!$E$8*(הגדרות!$E$7+1),הגדרות!$E$7)))</f>
        <v/>
      </c>
      <c r="K1571" s="0" t="str">
        <f aca="false">IF(I1571="","",J1571*הגדרות!$E$6+I1571+1)</f>
        <v/>
      </c>
      <c r="L1571" s="0" t="str">
        <f aca="false">IF(K1571="","",MATCH(K1571,$F$2:$F$5001,0))</f>
        <v/>
      </c>
      <c r="M1571" s="0" t="str">
        <f aca="false">IF(I1571="","",INDEX(הגדרות!$A$2:$A$21,MOD(I1571+הגדרות!$E$9,הגדרות!$E$6)+1))</f>
        <v/>
      </c>
    </row>
    <row r="1572" customFormat="false" ht="15" hidden="false" customHeight="false" outlineLevel="0" collapsed="false">
      <c r="A1572" s="0" t="str">
        <f aca="false">IF('הדבקת לידים'!A1572="","",IF(ISNUMBER('הדבקת לידים'!A1572),IF(הגדרות!$E$2&gt;0,TEXT('הדבקת לידים'!A1572,REPT("0",הגדרות!$E$2)),TEXT('הדבקת לידים'!A1572,"0")),TRIM('הדבקת לידים'!A1572)))</f>
        <v/>
      </c>
      <c r="B1572" s="0" t="str">
        <f aca="false">IF('הדבקת לידים'!B1572="","",IF(ISNUMBER('הדבקת לידים'!B1572),IF(הגדרות!$E$3&gt;0,TEXT('הדבקת לידים'!B1572,REPT("0",הגדרות!$E$3)),TEXT('הדבקת לידים'!B1572,"0")),TRIM('הדבקת לידים'!B1572)))</f>
        <v/>
      </c>
      <c r="C1572" s="0" t="n">
        <f aca="false">IF(OR(A1572&lt;&gt;"",B1572&lt;&gt;""),1,0)</f>
        <v>0</v>
      </c>
      <c r="D1572" s="0" t="str">
        <f aca="false">IF(C1572=1,MOD(ABS(SIN(ROW()*12.9898+'הדבקת לידים'!$F$2*78.233+IFERROR(--RIGHT(A1572,6),LEN(A1572))*0.0137+IFERROR(--RIGHT(B1572,6),LEN(B1572))*0.0071))*43758.5453,1),"")</f>
        <v/>
      </c>
      <c r="E1572" s="0" t="str">
        <f aca="false">IF(C1572=1,INT(MOD(ABS(SIN(D1572*7919.123+ROW()*0.618+'הדבקת לידים'!$F$2*1.3))*43758.5453,1)*1000000)*10000+ROW(),"")</f>
        <v/>
      </c>
      <c r="F1572" s="0" t="str">
        <f aca="false">IF(E1572="","",RANK(E1572,$E$2:$E$5001,1))</f>
        <v/>
      </c>
      <c r="G1572" s="0" t="n">
        <f aca="false">IF(A1572="",0,IF(SUMPRODUCT(--($A$2:$A$5001=A1572))&gt;1,1,0))</f>
        <v>0</v>
      </c>
      <c r="H1572" s="0" t="n">
        <f aca="false">ROW()-1</f>
        <v>1571</v>
      </c>
      <c r="I1572" s="0" t="str">
        <f aca="false">IF(OR(הגדרות!$E$6=0,H1572&gt;הגדרות!$E$5),"",IF(H1572-1&lt;הגדרות!$E$8*(הגדרות!$E$7+1),INT((H1572-1)/(הגדרות!$E$7+1)),הגדרות!$E$8+INT((H1572-1-הגדרות!$E$8*(הגדרות!$E$7+1))/הגדרות!$E$7)))</f>
        <v/>
      </c>
      <c r="J1572" s="0" t="str">
        <f aca="false">IF(I1572="","",IF(H1572-1&lt;הגדרות!$E$8*(הגדרות!$E$7+1),MOD(H1572-1,הגדרות!$E$7+1),MOD(H1572-1-הגדרות!$E$8*(הגדרות!$E$7+1),הגדרות!$E$7)))</f>
        <v/>
      </c>
      <c r="K1572" s="0" t="str">
        <f aca="false">IF(I1572="","",J1572*הגדרות!$E$6+I1572+1)</f>
        <v/>
      </c>
      <c r="L1572" s="0" t="str">
        <f aca="false">IF(K1572="","",MATCH(K1572,$F$2:$F$5001,0))</f>
        <v/>
      </c>
      <c r="M1572" s="0" t="str">
        <f aca="false">IF(I1572="","",INDEX(הגדרות!$A$2:$A$21,MOD(I1572+הגדרות!$E$9,הגדרות!$E$6)+1))</f>
        <v/>
      </c>
    </row>
    <row r="1573" customFormat="false" ht="15" hidden="false" customHeight="false" outlineLevel="0" collapsed="false">
      <c r="A1573" s="0" t="str">
        <f aca="false">IF('הדבקת לידים'!A1573="","",IF(ISNUMBER('הדבקת לידים'!A1573),IF(הגדרות!$E$2&gt;0,TEXT('הדבקת לידים'!A1573,REPT("0",הגדרות!$E$2)),TEXT('הדבקת לידים'!A1573,"0")),TRIM('הדבקת לידים'!A1573)))</f>
        <v/>
      </c>
      <c r="B1573" s="0" t="str">
        <f aca="false">IF('הדבקת לידים'!B1573="","",IF(ISNUMBER('הדבקת לידים'!B1573),IF(הגדרות!$E$3&gt;0,TEXT('הדבקת לידים'!B1573,REPT("0",הגדרות!$E$3)),TEXT('הדבקת לידים'!B1573,"0")),TRIM('הדבקת לידים'!B1573)))</f>
        <v/>
      </c>
      <c r="C1573" s="0" t="n">
        <f aca="false">IF(OR(A1573&lt;&gt;"",B1573&lt;&gt;""),1,0)</f>
        <v>0</v>
      </c>
      <c r="D1573" s="0" t="str">
        <f aca="false">IF(C1573=1,MOD(ABS(SIN(ROW()*12.9898+'הדבקת לידים'!$F$2*78.233+IFERROR(--RIGHT(A1573,6),LEN(A1573))*0.0137+IFERROR(--RIGHT(B1573,6),LEN(B1573))*0.0071))*43758.5453,1),"")</f>
        <v/>
      </c>
      <c r="E1573" s="0" t="str">
        <f aca="false">IF(C1573=1,INT(MOD(ABS(SIN(D1573*7919.123+ROW()*0.618+'הדבקת לידים'!$F$2*1.3))*43758.5453,1)*1000000)*10000+ROW(),"")</f>
        <v/>
      </c>
      <c r="F1573" s="0" t="str">
        <f aca="false">IF(E1573="","",RANK(E1573,$E$2:$E$5001,1))</f>
        <v/>
      </c>
      <c r="G1573" s="0" t="n">
        <f aca="false">IF(A1573="",0,IF(SUMPRODUCT(--($A$2:$A$5001=A1573))&gt;1,1,0))</f>
        <v>0</v>
      </c>
      <c r="H1573" s="0" t="n">
        <f aca="false">ROW()-1</f>
        <v>1572</v>
      </c>
      <c r="I1573" s="0" t="str">
        <f aca="false">IF(OR(הגדרות!$E$6=0,H1573&gt;הגדרות!$E$5),"",IF(H1573-1&lt;הגדרות!$E$8*(הגדרות!$E$7+1),INT((H1573-1)/(הגדרות!$E$7+1)),הגדרות!$E$8+INT((H1573-1-הגדרות!$E$8*(הגדרות!$E$7+1))/הגדרות!$E$7)))</f>
        <v/>
      </c>
      <c r="J1573" s="0" t="str">
        <f aca="false">IF(I1573="","",IF(H1573-1&lt;הגדרות!$E$8*(הגדרות!$E$7+1),MOD(H1573-1,הגדרות!$E$7+1),MOD(H1573-1-הגדרות!$E$8*(הגדרות!$E$7+1),הגדרות!$E$7)))</f>
        <v/>
      </c>
      <c r="K1573" s="0" t="str">
        <f aca="false">IF(I1573="","",J1573*הגדרות!$E$6+I1573+1)</f>
        <v/>
      </c>
      <c r="L1573" s="0" t="str">
        <f aca="false">IF(K1573="","",MATCH(K1573,$F$2:$F$5001,0))</f>
        <v/>
      </c>
      <c r="M1573" s="0" t="str">
        <f aca="false">IF(I1573="","",INDEX(הגדרות!$A$2:$A$21,MOD(I1573+הגדרות!$E$9,הגדרות!$E$6)+1))</f>
        <v/>
      </c>
    </row>
    <row r="1574" customFormat="false" ht="15" hidden="false" customHeight="false" outlineLevel="0" collapsed="false">
      <c r="A1574" s="0" t="str">
        <f aca="false">IF('הדבקת לידים'!A1574="","",IF(ISNUMBER('הדבקת לידים'!A1574),IF(הגדרות!$E$2&gt;0,TEXT('הדבקת לידים'!A1574,REPT("0",הגדרות!$E$2)),TEXT('הדבקת לידים'!A1574,"0")),TRIM('הדבקת לידים'!A1574)))</f>
        <v/>
      </c>
      <c r="B1574" s="0" t="str">
        <f aca="false">IF('הדבקת לידים'!B1574="","",IF(ISNUMBER('הדבקת לידים'!B1574),IF(הגדרות!$E$3&gt;0,TEXT('הדבקת לידים'!B1574,REPT("0",הגדרות!$E$3)),TEXT('הדבקת לידים'!B1574,"0")),TRIM('הדבקת לידים'!B1574)))</f>
        <v/>
      </c>
      <c r="C1574" s="0" t="n">
        <f aca="false">IF(OR(A1574&lt;&gt;"",B1574&lt;&gt;""),1,0)</f>
        <v>0</v>
      </c>
      <c r="D1574" s="0" t="str">
        <f aca="false">IF(C1574=1,MOD(ABS(SIN(ROW()*12.9898+'הדבקת לידים'!$F$2*78.233+IFERROR(--RIGHT(A1574,6),LEN(A1574))*0.0137+IFERROR(--RIGHT(B1574,6),LEN(B1574))*0.0071))*43758.5453,1),"")</f>
        <v/>
      </c>
      <c r="E1574" s="0" t="str">
        <f aca="false">IF(C1574=1,INT(MOD(ABS(SIN(D1574*7919.123+ROW()*0.618+'הדבקת לידים'!$F$2*1.3))*43758.5453,1)*1000000)*10000+ROW(),"")</f>
        <v/>
      </c>
      <c r="F1574" s="0" t="str">
        <f aca="false">IF(E1574="","",RANK(E1574,$E$2:$E$5001,1))</f>
        <v/>
      </c>
      <c r="G1574" s="0" t="n">
        <f aca="false">IF(A1574="",0,IF(SUMPRODUCT(--($A$2:$A$5001=A1574))&gt;1,1,0))</f>
        <v>0</v>
      </c>
      <c r="H1574" s="0" t="n">
        <f aca="false">ROW()-1</f>
        <v>1573</v>
      </c>
      <c r="I1574" s="0" t="str">
        <f aca="false">IF(OR(הגדרות!$E$6=0,H1574&gt;הגדרות!$E$5),"",IF(H1574-1&lt;הגדרות!$E$8*(הגדרות!$E$7+1),INT((H1574-1)/(הגדרות!$E$7+1)),הגדרות!$E$8+INT((H1574-1-הגדרות!$E$8*(הגדרות!$E$7+1))/הגדרות!$E$7)))</f>
        <v/>
      </c>
      <c r="J1574" s="0" t="str">
        <f aca="false">IF(I1574="","",IF(H1574-1&lt;הגדרות!$E$8*(הגדרות!$E$7+1),MOD(H1574-1,הגדרות!$E$7+1),MOD(H1574-1-הגדרות!$E$8*(הגדרות!$E$7+1),הגדרות!$E$7)))</f>
        <v/>
      </c>
      <c r="K1574" s="0" t="str">
        <f aca="false">IF(I1574="","",J1574*הגדרות!$E$6+I1574+1)</f>
        <v/>
      </c>
      <c r="L1574" s="0" t="str">
        <f aca="false">IF(K1574="","",MATCH(K1574,$F$2:$F$5001,0))</f>
        <v/>
      </c>
      <c r="M1574" s="0" t="str">
        <f aca="false">IF(I1574="","",INDEX(הגדרות!$A$2:$A$21,MOD(I1574+הגדרות!$E$9,הגדרות!$E$6)+1))</f>
        <v/>
      </c>
    </row>
    <row r="1575" customFormat="false" ht="15" hidden="false" customHeight="false" outlineLevel="0" collapsed="false">
      <c r="A1575" s="0" t="str">
        <f aca="false">IF('הדבקת לידים'!A1575="","",IF(ISNUMBER('הדבקת לידים'!A1575),IF(הגדרות!$E$2&gt;0,TEXT('הדבקת לידים'!A1575,REPT("0",הגדרות!$E$2)),TEXT('הדבקת לידים'!A1575,"0")),TRIM('הדבקת לידים'!A1575)))</f>
        <v/>
      </c>
      <c r="B1575" s="0" t="str">
        <f aca="false">IF('הדבקת לידים'!B1575="","",IF(ISNUMBER('הדבקת לידים'!B1575),IF(הגדרות!$E$3&gt;0,TEXT('הדבקת לידים'!B1575,REPT("0",הגדרות!$E$3)),TEXT('הדבקת לידים'!B1575,"0")),TRIM('הדבקת לידים'!B1575)))</f>
        <v/>
      </c>
      <c r="C1575" s="0" t="n">
        <f aca="false">IF(OR(A1575&lt;&gt;"",B1575&lt;&gt;""),1,0)</f>
        <v>0</v>
      </c>
      <c r="D1575" s="0" t="str">
        <f aca="false">IF(C1575=1,MOD(ABS(SIN(ROW()*12.9898+'הדבקת לידים'!$F$2*78.233+IFERROR(--RIGHT(A1575,6),LEN(A1575))*0.0137+IFERROR(--RIGHT(B1575,6),LEN(B1575))*0.0071))*43758.5453,1),"")</f>
        <v/>
      </c>
      <c r="E1575" s="0" t="str">
        <f aca="false">IF(C1575=1,INT(MOD(ABS(SIN(D1575*7919.123+ROW()*0.618+'הדבקת לידים'!$F$2*1.3))*43758.5453,1)*1000000)*10000+ROW(),"")</f>
        <v/>
      </c>
      <c r="F1575" s="0" t="str">
        <f aca="false">IF(E1575="","",RANK(E1575,$E$2:$E$5001,1))</f>
        <v/>
      </c>
      <c r="G1575" s="0" t="n">
        <f aca="false">IF(A1575="",0,IF(SUMPRODUCT(--($A$2:$A$5001=A1575))&gt;1,1,0))</f>
        <v>0</v>
      </c>
      <c r="H1575" s="0" t="n">
        <f aca="false">ROW()-1</f>
        <v>1574</v>
      </c>
      <c r="I1575" s="0" t="str">
        <f aca="false">IF(OR(הגדרות!$E$6=0,H1575&gt;הגדרות!$E$5),"",IF(H1575-1&lt;הגדרות!$E$8*(הגדרות!$E$7+1),INT((H1575-1)/(הגדרות!$E$7+1)),הגדרות!$E$8+INT((H1575-1-הגדרות!$E$8*(הגדרות!$E$7+1))/הגדרות!$E$7)))</f>
        <v/>
      </c>
      <c r="J1575" s="0" t="str">
        <f aca="false">IF(I1575="","",IF(H1575-1&lt;הגדרות!$E$8*(הגדרות!$E$7+1),MOD(H1575-1,הגדרות!$E$7+1),MOD(H1575-1-הגדרות!$E$8*(הגדרות!$E$7+1),הגדרות!$E$7)))</f>
        <v/>
      </c>
      <c r="K1575" s="0" t="str">
        <f aca="false">IF(I1575="","",J1575*הגדרות!$E$6+I1575+1)</f>
        <v/>
      </c>
      <c r="L1575" s="0" t="str">
        <f aca="false">IF(K1575="","",MATCH(K1575,$F$2:$F$5001,0))</f>
        <v/>
      </c>
      <c r="M1575" s="0" t="str">
        <f aca="false">IF(I1575="","",INDEX(הגדרות!$A$2:$A$21,MOD(I1575+הגדרות!$E$9,הגדרות!$E$6)+1))</f>
        <v/>
      </c>
    </row>
    <row r="1576" customFormat="false" ht="15" hidden="false" customHeight="false" outlineLevel="0" collapsed="false">
      <c r="A1576" s="0" t="str">
        <f aca="false">IF('הדבקת לידים'!A1576="","",IF(ISNUMBER('הדבקת לידים'!A1576),IF(הגדרות!$E$2&gt;0,TEXT('הדבקת לידים'!A1576,REPT("0",הגדרות!$E$2)),TEXT('הדבקת לידים'!A1576,"0")),TRIM('הדבקת לידים'!A1576)))</f>
        <v/>
      </c>
      <c r="B1576" s="0" t="str">
        <f aca="false">IF('הדבקת לידים'!B1576="","",IF(ISNUMBER('הדבקת לידים'!B1576),IF(הגדרות!$E$3&gt;0,TEXT('הדבקת לידים'!B1576,REPT("0",הגדרות!$E$3)),TEXT('הדבקת לידים'!B1576,"0")),TRIM('הדבקת לידים'!B1576)))</f>
        <v/>
      </c>
      <c r="C1576" s="0" t="n">
        <f aca="false">IF(OR(A1576&lt;&gt;"",B1576&lt;&gt;""),1,0)</f>
        <v>0</v>
      </c>
      <c r="D1576" s="0" t="str">
        <f aca="false">IF(C1576=1,MOD(ABS(SIN(ROW()*12.9898+'הדבקת לידים'!$F$2*78.233+IFERROR(--RIGHT(A1576,6),LEN(A1576))*0.0137+IFERROR(--RIGHT(B1576,6),LEN(B1576))*0.0071))*43758.5453,1),"")</f>
        <v/>
      </c>
      <c r="E1576" s="0" t="str">
        <f aca="false">IF(C1576=1,INT(MOD(ABS(SIN(D1576*7919.123+ROW()*0.618+'הדבקת לידים'!$F$2*1.3))*43758.5453,1)*1000000)*10000+ROW(),"")</f>
        <v/>
      </c>
      <c r="F1576" s="0" t="str">
        <f aca="false">IF(E1576="","",RANK(E1576,$E$2:$E$5001,1))</f>
        <v/>
      </c>
      <c r="G1576" s="0" t="n">
        <f aca="false">IF(A1576="",0,IF(SUMPRODUCT(--($A$2:$A$5001=A1576))&gt;1,1,0))</f>
        <v>0</v>
      </c>
      <c r="H1576" s="0" t="n">
        <f aca="false">ROW()-1</f>
        <v>1575</v>
      </c>
      <c r="I1576" s="0" t="str">
        <f aca="false">IF(OR(הגדרות!$E$6=0,H1576&gt;הגדרות!$E$5),"",IF(H1576-1&lt;הגדרות!$E$8*(הגדרות!$E$7+1),INT((H1576-1)/(הגדרות!$E$7+1)),הגדרות!$E$8+INT((H1576-1-הגדרות!$E$8*(הגדרות!$E$7+1))/הגדרות!$E$7)))</f>
        <v/>
      </c>
      <c r="J1576" s="0" t="str">
        <f aca="false">IF(I1576="","",IF(H1576-1&lt;הגדרות!$E$8*(הגדרות!$E$7+1),MOD(H1576-1,הגדרות!$E$7+1),MOD(H1576-1-הגדרות!$E$8*(הגדרות!$E$7+1),הגדרות!$E$7)))</f>
        <v/>
      </c>
      <c r="K1576" s="0" t="str">
        <f aca="false">IF(I1576="","",J1576*הגדרות!$E$6+I1576+1)</f>
        <v/>
      </c>
      <c r="L1576" s="0" t="str">
        <f aca="false">IF(K1576="","",MATCH(K1576,$F$2:$F$5001,0))</f>
        <v/>
      </c>
      <c r="M1576" s="0" t="str">
        <f aca="false">IF(I1576="","",INDEX(הגדרות!$A$2:$A$21,MOD(I1576+הגדרות!$E$9,הגדרות!$E$6)+1))</f>
        <v/>
      </c>
    </row>
    <row r="1577" customFormat="false" ht="15" hidden="false" customHeight="false" outlineLevel="0" collapsed="false">
      <c r="A1577" s="0" t="str">
        <f aca="false">IF('הדבקת לידים'!A1577="","",IF(ISNUMBER('הדבקת לידים'!A1577),IF(הגדרות!$E$2&gt;0,TEXT('הדבקת לידים'!A1577,REPT("0",הגדרות!$E$2)),TEXT('הדבקת לידים'!A1577,"0")),TRIM('הדבקת לידים'!A1577)))</f>
        <v/>
      </c>
      <c r="B1577" s="0" t="str">
        <f aca="false">IF('הדבקת לידים'!B1577="","",IF(ISNUMBER('הדבקת לידים'!B1577),IF(הגדרות!$E$3&gt;0,TEXT('הדבקת לידים'!B1577,REPT("0",הגדרות!$E$3)),TEXT('הדבקת לידים'!B1577,"0")),TRIM('הדבקת לידים'!B1577)))</f>
        <v/>
      </c>
      <c r="C1577" s="0" t="n">
        <f aca="false">IF(OR(A1577&lt;&gt;"",B1577&lt;&gt;""),1,0)</f>
        <v>0</v>
      </c>
      <c r="D1577" s="0" t="str">
        <f aca="false">IF(C1577=1,MOD(ABS(SIN(ROW()*12.9898+'הדבקת לידים'!$F$2*78.233+IFERROR(--RIGHT(A1577,6),LEN(A1577))*0.0137+IFERROR(--RIGHT(B1577,6),LEN(B1577))*0.0071))*43758.5453,1),"")</f>
        <v/>
      </c>
      <c r="E1577" s="0" t="str">
        <f aca="false">IF(C1577=1,INT(MOD(ABS(SIN(D1577*7919.123+ROW()*0.618+'הדבקת לידים'!$F$2*1.3))*43758.5453,1)*1000000)*10000+ROW(),"")</f>
        <v/>
      </c>
      <c r="F1577" s="0" t="str">
        <f aca="false">IF(E1577="","",RANK(E1577,$E$2:$E$5001,1))</f>
        <v/>
      </c>
      <c r="G1577" s="0" t="n">
        <f aca="false">IF(A1577="",0,IF(SUMPRODUCT(--($A$2:$A$5001=A1577))&gt;1,1,0))</f>
        <v>0</v>
      </c>
      <c r="H1577" s="0" t="n">
        <f aca="false">ROW()-1</f>
        <v>1576</v>
      </c>
      <c r="I1577" s="0" t="str">
        <f aca="false">IF(OR(הגדרות!$E$6=0,H1577&gt;הגדרות!$E$5),"",IF(H1577-1&lt;הגדרות!$E$8*(הגדרות!$E$7+1),INT((H1577-1)/(הגדרות!$E$7+1)),הגדרות!$E$8+INT((H1577-1-הגדרות!$E$8*(הגדרות!$E$7+1))/הגדרות!$E$7)))</f>
        <v/>
      </c>
      <c r="J1577" s="0" t="str">
        <f aca="false">IF(I1577="","",IF(H1577-1&lt;הגדרות!$E$8*(הגדרות!$E$7+1),MOD(H1577-1,הגדרות!$E$7+1),MOD(H1577-1-הגדרות!$E$8*(הגדרות!$E$7+1),הגדרות!$E$7)))</f>
        <v/>
      </c>
      <c r="K1577" s="0" t="str">
        <f aca="false">IF(I1577="","",J1577*הגדרות!$E$6+I1577+1)</f>
        <v/>
      </c>
      <c r="L1577" s="0" t="str">
        <f aca="false">IF(K1577="","",MATCH(K1577,$F$2:$F$5001,0))</f>
        <v/>
      </c>
      <c r="M1577" s="0" t="str">
        <f aca="false">IF(I1577="","",INDEX(הגדרות!$A$2:$A$21,MOD(I1577+הגדרות!$E$9,הגדרות!$E$6)+1))</f>
        <v/>
      </c>
    </row>
    <row r="1578" customFormat="false" ht="15" hidden="false" customHeight="false" outlineLevel="0" collapsed="false">
      <c r="A1578" s="0" t="str">
        <f aca="false">IF('הדבקת לידים'!A1578="","",IF(ISNUMBER('הדבקת לידים'!A1578),IF(הגדרות!$E$2&gt;0,TEXT('הדבקת לידים'!A1578,REPT("0",הגדרות!$E$2)),TEXT('הדבקת לידים'!A1578,"0")),TRIM('הדבקת לידים'!A1578)))</f>
        <v/>
      </c>
      <c r="B1578" s="0" t="str">
        <f aca="false">IF('הדבקת לידים'!B1578="","",IF(ISNUMBER('הדבקת לידים'!B1578),IF(הגדרות!$E$3&gt;0,TEXT('הדבקת לידים'!B1578,REPT("0",הגדרות!$E$3)),TEXT('הדבקת לידים'!B1578,"0")),TRIM('הדבקת לידים'!B1578)))</f>
        <v/>
      </c>
      <c r="C1578" s="0" t="n">
        <f aca="false">IF(OR(A1578&lt;&gt;"",B1578&lt;&gt;""),1,0)</f>
        <v>0</v>
      </c>
      <c r="D1578" s="0" t="str">
        <f aca="false">IF(C1578=1,MOD(ABS(SIN(ROW()*12.9898+'הדבקת לידים'!$F$2*78.233+IFERROR(--RIGHT(A1578,6),LEN(A1578))*0.0137+IFERROR(--RIGHT(B1578,6),LEN(B1578))*0.0071))*43758.5453,1),"")</f>
        <v/>
      </c>
      <c r="E1578" s="0" t="str">
        <f aca="false">IF(C1578=1,INT(MOD(ABS(SIN(D1578*7919.123+ROW()*0.618+'הדבקת לידים'!$F$2*1.3))*43758.5453,1)*1000000)*10000+ROW(),"")</f>
        <v/>
      </c>
      <c r="F1578" s="0" t="str">
        <f aca="false">IF(E1578="","",RANK(E1578,$E$2:$E$5001,1))</f>
        <v/>
      </c>
      <c r="G1578" s="0" t="n">
        <f aca="false">IF(A1578="",0,IF(SUMPRODUCT(--($A$2:$A$5001=A1578))&gt;1,1,0))</f>
        <v>0</v>
      </c>
      <c r="H1578" s="0" t="n">
        <f aca="false">ROW()-1</f>
        <v>1577</v>
      </c>
      <c r="I1578" s="0" t="str">
        <f aca="false">IF(OR(הגדרות!$E$6=0,H1578&gt;הגדרות!$E$5),"",IF(H1578-1&lt;הגדרות!$E$8*(הגדרות!$E$7+1),INT((H1578-1)/(הגדרות!$E$7+1)),הגדרות!$E$8+INT((H1578-1-הגדרות!$E$8*(הגדרות!$E$7+1))/הגדרות!$E$7)))</f>
        <v/>
      </c>
      <c r="J1578" s="0" t="str">
        <f aca="false">IF(I1578="","",IF(H1578-1&lt;הגדרות!$E$8*(הגדרות!$E$7+1),MOD(H1578-1,הגדרות!$E$7+1),MOD(H1578-1-הגדרות!$E$8*(הגדרות!$E$7+1),הגדרות!$E$7)))</f>
        <v/>
      </c>
      <c r="K1578" s="0" t="str">
        <f aca="false">IF(I1578="","",J1578*הגדרות!$E$6+I1578+1)</f>
        <v/>
      </c>
      <c r="L1578" s="0" t="str">
        <f aca="false">IF(K1578="","",MATCH(K1578,$F$2:$F$5001,0))</f>
        <v/>
      </c>
      <c r="M1578" s="0" t="str">
        <f aca="false">IF(I1578="","",INDEX(הגדרות!$A$2:$A$21,MOD(I1578+הגדרות!$E$9,הגדרות!$E$6)+1))</f>
        <v/>
      </c>
    </row>
    <row r="1579" customFormat="false" ht="15" hidden="false" customHeight="false" outlineLevel="0" collapsed="false">
      <c r="A1579" s="0" t="str">
        <f aca="false">IF('הדבקת לידים'!A1579="","",IF(ISNUMBER('הדבקת לידים'!A1579),IF(הגדרות!$E$2&gt;0,TEXT('הדבקת לידים'!A1579,REPT("0",הגדרות!$E$2)),TEXT('הדבקת לידים'!A1579,"0")),TRIM('הדבקת לידים'!A1579)))</f>
        <v/>
      </c>
      <c r="B1579" s="0" t="str">
        <f aca="false">IF('הדבקת לידים'!B1579="","",IF(ISNUMBER('הדבקת לידים'!B1579),IF(הגדרות!$E$3&gt;0,TEXT('הדבקת לידים'!B1579,REPT("0",הגדרות!$E$3)),TEXT('הדבקת לידים'!B1579,"0")),TRIM('הדבקת לידים'!B1579)))</f>
        <v/>
      </c>
      <c r="C1579" s="0" t="n">
        <f aca="false">IF(OR(A1579&lt;&gt;"",B1579&lt;&gt;""),1,0)</f>
        <v>0</v>
      </c>
      <c r="D1579" s="0" t="str">
        <f aca="false">IF(C1579=1,MOD(ABS(SIN(ROW()*12.9898+'הדבקת לידים'!$F$2*78.233+IFERROR(--RIGHT(A1579,6),LEN(A1579))*0.0137+IFERROR(--RIGHT(B1579,6),LEN(B1579))*0.0071))*43758.5453,1),"")</f>
        <v/>
      </c>
      <c r="E1579" s="0" t="str">
        <f aca="false">IF(C1579=1,INT(MOD(ABS(SIN(D1579*7919.123+ROW()*0.618+'הדבקת לידים'!$F$2*1.3))*43758.5453,1)*1000000)*10000+ROW(),"")</f>
        <v/>
      </c>
      <c r="F1579" s="0" t="str">
        <f aca="false">IF(E1579="","",RANK(E1579,$E$2:$E$5001,1))</f>
        <v/>
      </c>
      <c r="G1579" s="0" t="n">
        <f aca="false">IF(A1579="",0,IF(SUMPRODUCT(--($A$2:$A$5001=A1579))&gt;1,1,0))</f>
        <v>0</v>
      </c>
      <c r="H1579" s="0" t="n">
        <f aca="false">ROW()-1</f>
        <v>1578</v>
      </c>
      <c r="I1579" s="0" t="str">
        <f aca="false">IF(OR(הגדרות!$E$6=0,H1579&gt;הגדרות!$E$5),"",IF(H1579-1&lt;הגדרות!$E$8*(הגדרות!$E$7+1),INT((H1579-1)/(הגדרות!$E$7+1)),הגדרות!$E$8+INT((H1579-1-הגדרות!$E$8*(הגדרות!$E$7+1))/הגדרות!$E$7)))</f>
        <v/>
      </c>
      <c r="J1579" s="0" t="str">
        <f aca="false">IF(I1579="","",IF(H1579-1&lt;הגדרות!$E$8*(הגדרות!$E$7+1),MOD(H1579-1,הגדרות!$E$7+1),MOD(H1579-1-הגדרות!$E$8*(הגדרות!$E$7+1),הגדרות!$E$7)))</f>
        <v/>
      </c>
      <c r="K1579" s="0" t="str">
        <f aca="false">IF(I1579="","",J1579*הגדרות!$E$6+I1579+1)</f>
        <v/>
      </c>
      <c r="L1579" s="0" t="str">
        <f aca="false">IF(K1579="","",MATCH(K1579,$F$2:$F$5001,0))</f>
        <v/>
      </c>
      <c r="M1579" s="0" t="str">
        <f aca="false">IF(I1579="","",INDEX(הגדרות!$A$2:$A$21,MOD(I1579+הגדרות!$E$9,הגדרות!$E$6)+1))</f>
        <v/>
      </c>
    </row>
    <row r="1580" customFormat="false" ht="15" hidden="false" customHeight="false" outlineLevel="0" collapsed="false">
      <c r="A1580" s="0" t="str">
        <f aca="false">IF('הדבקת לידים'!A1580="","",IF(ISNUMBER('הדבקת לידים'!A1580),IF(הגדרות!$E$2&gt;0,TEXT('הדבקת לידים'!A1580,REPT("0",הגדרות!$E$2)),TEXT('הדבקת לידים'!A1580,"0")),TRIM('הדבקת לידים'!A1580)))</f>
        <v/>
      </c>
      <c r="B1580" s="0" t="str">
        <f aca="false">IF('הדבקת לידים'!B1580="","",IF(ISNUMBER('הדבקת לידים'!B1580),IF(הגדרות!$E$3&gt;0,TEXT('הדבקת לידים'!B1580,REPT("0",הגדרות!$E$3)),TEXT('הדבקת לידים'!B1580,"0")),TRIM('הדבקת לידים'!B1580)))</f>
        <v/>
      </c>
      <c r="C1580" s="0" t="n">
        <f aca="false">IF(OR(A1580&lt;&gt;"",B1580&lt;&gt;""),1,0)</f>
        <v>0</v>
      </c>
      <c r="D1580" s="0" t="str">
        <f aca="false">IF(C1580=1,MOD(ABS(SIN(ROW()*12.9898+'הדבקת לידים'!$F$2*78.233+IFERROR(--RIGHT(A1580,6),LEN(A1580))*0.0137+IFERROR(--RIGHT(B1580,6),LEN(B1580))*0.0071))*43758.5453,1),"")</f>
        <v/>
      </c>
      <c r="E1580" s="0" t="str">
        <f aca="false">IF(C1580=1,INT(MOD(ABS(SIN(D1580*7919.123+ROW()*0.618+'הדבקת לידים'!$F$2*1.3))*43758.5453,1)*1000000)*10000+ROW(),"")</f>
        <v/>
      </c>
      <c r="F1580" s="0" t="str">
        <f aca="false">IF(E1580="","",RANK(E1580,$E$2:$E$5001,1))</f>
        <v/>
      </c>
      <c r="G1580" s="0" t="n">
        <f aca="false">IF(A1580="",0,IF(SUMPRODUCT(--($A$2:$A$5001=A1580))&gt;1,1,0))</f>
        <v>0</v>
      </c>
      <c r="H1580" s="0" t="n">
        <f aca="false">ROW()-1</f>
        <v>1579</v>
      </c>
      <c r="I1580" s="0" t="str">
        <f aca="false">IF(OR(הגדרות!$E$6=0,H1580&gt;הגדרות!$E$5),"",IF(H1580-1&lt;הגדרות!$E$8*(הגדרות!$E$7+1),INT((H1580-1)/(הגדרות!$E$7+1)),הגדרות!$E$8+INT((H1580-1-הגדרות!$E$8*(הגדרות!$E$7+1))/הגדרות!$E$7)))</f>
        <v/>
      </c>
      <c r="J1580" s="0" t="str">
        <f aca="false">IF(I1580="","",IF(H1580-1&lt;הגדרות!$E$8*(הגדרות!$E$7+1),MOD(H1580-1,הגדרות!$E$7+1),MOD(H1580-1-הגדרות!$E$8*(הגדרות!$E$7+1),הגדרות!$E$7)))</f>
        <v/>
      </c>
      <c r="K1580" s="0" t="str">
        <f aca="false">IF(I1580="","",J1580*הגדרות!$E$6+I1580+1)</f>
        <v/>
      </c>
      <c r="L1580" s="0" t="str">
        <f aca="false">IF(K1580="","",MATCH(K1580,$F$2:$F$5001,0))</f>
        <v/>
      </c>
      <c r="M1580" s="0" t="str">
        <f aca="false">IF(I1580="","",INDEX(הגדרות!$A$2:$A$21,MOD(I1580+הגדרות!$E$9,הגדרות!$E$6)+1))</f>
        <v/>
      </c>
    </row>
    <row r="1581" customFormat="false" ht="15" hidden="false" customHeight="false" outlineLevel="0" collapsed="false">
      <c r="A1581" s="0" t="str">
        <f aca="false">IF('הדבקת לידים'!A1581="","",IF(ISNUMBER('הדבקת לידים'!A1581),IF(הגדרות!$E$2&gt;0,TEXT('הדבקת לידים'!A1581,REPT("0",הגדרות!$E$2)),TEXT('הדבקת לידים'!A1581,"0")),TRIM('הדבקת לידים'!A1581)))</f>
        <v/>
      </c>
      <c r="B1581" s="0" t="str">
        <f aca="false">IF('הדבקת לידים'!B1581="","",IF(ISNUMBER('הדבקת לידים'!B1581),IF(הגדרות!$E$3&gt;0,TEXT('הדבקת לידים'!B1581,REPT("0",הגדרות!$E$3)),TEXT('הדבקת לידים'!B1581,"0")),TRIM('הדבקת לידים'!B1581)))</f>
        <v/>
      </c>
      <c r="C1581" s="0" t="n">
        <f aca="false">IF(OR(A1581&lt;&gt;"",B1581&lt;&gt;""),1,0)</f>
        <v>0</v>
      </c>
      <c r="D1581" s="0" t="str">
        <f aca="false">IF(C1581=1,MOD(ABS(SIN(ROW()*12.9898+'הדבקת לידים'!$F$2*78.233+IFERROR(--RIGHT(A1581,6),LEN(A1581))*0.0137+IFERROR(--RIGHT(B1581,6),LEN(B1581))*0.0071))*43758.5453,1),"")</f>
        <v/>
      </c>
      <c r="E1581" s="0" t="str">
        <f aca="false">IF(C1581=1,INT(MOD(ABS(SIN(D1581*7919.123+ROW()*0.618+'הדבקת לידים'!$F$2*1.3))*43758.5453,1)*1000000)*10000+ROW(),"")</f>
        <v/>
      </c>
      <c r="F1581" s="0" t="str">
        <f aca="false">IF(E1581="","",RANK(E1581,$E$2:$E$5001,1))</f>
        <v/>
      </c>
      <c r="G1581" s="0" t="n">
        <f aca="false">IF(A1581="",0,IF(SUMPRODUCT(--($A$2:$A$5001=A1581))&gt;1,1,0))</f>
        <v>0</v>
      </c>
      <c r="H1581" s="0" t="n">
        <f aca="false">ROW()-1</f>
        <v>1580</v>
      </c>
      <c r="I1581" s="0" t="str">
        <f aca="false">IF(OR(הגדרות!$E$6=0,H1581&gt;הגדרות!$E$5),"",IF(H1581-1&lt;הגדרות!$E$8*(הגדרות!$E$7+1),INT((H1581-1)/(הגדרות!$E$7+1)),הגדרות!$E$8+INT((H1581-1-הגדרות!$E$8*(הגדרות!$E$7+1))/הגדרות!$E$7)))</f>
        <v/>
      </c>
      <c r="J1581" s="0" t="str">
        <f aca="false">IF(I1581="","",IF(H1581-1&lt;הגדרות!$E$8*(הגדרות!$E$7+1),MOD(H1581-1,הגדרות!$E$7+1),MOD(H1581-1-הגדרות!$E$8*(הגדרות!$E$7+1),הגדרות!$E$7)))</f>
        <v/>
      </c>
      <c r="K1581" s="0" t="str">
        <f aca="false">IF(I1581="","",J1581*הגדרות!$E$6+I1581+1)</f>
        <v/>
      </c>
      <c r="L1581" s="0" t="str">
        <f aca="false">IF(K1581="","",MATCH(K1581,$F$2:$F$5001,0))</f>
        <v/>
      </c>
      <c r="M1581" s="0" t="str">
        <f aca="false">IF(I1581="","",INDEX(הגדרות!$A$2:$A$21,MOD(I1581+הגדרות!$E$9,הגדרות!$E$6)+1))</f>
        <v/>
      </c>
    </row>
    <row r="1582" customFormat="false" ht="15" hidden="false" customHeight="false" outlineLevel="0" collapsed="false">
      <c r="A1582" s="0" t="str">
        <f aca="false">IF('הדבקת לידים'!A1582="","",IF(ISNUMBER('הדבקת לידים'!A1582),IF(הגדרות!$E$2&gt;0,TEXT('הדבקת לידים'!A1582,REPT("0",הגדרות!$E$2)),TEXT('הדבקת לידים'!A1582,"0")),TRIM('הדבקת לידים'!A1582)))</f>
        <v/>
      </c>
      <c r="B1582" s="0" t="str">
        <f aca="false">IF('הדבקת לידים'!B1582="","",IF(ISNUMBER('הדבקת לידים'!B1582),IF(הגדרות!$E$3&gt;0,TEXT('הדבקת לידים'!B1582,REPT("0",הגדרות!$E$3)),TEXT('הדבקת לידים'!B1582,"0")),TRIM('הדבקת לידים'!B1582)))</f>
        <v/>
      </c>
      <c r="C1582" s="0" t="n">
        <f aca="false">IF(OR(A1582&lt;&gt;"",B1582&lt;&gt;""),1,0)</f>
        <v>0</v>
      </c>
      <c r="D1582" s="0" t="str">
        <f aca="false">IF(C1582=1,MOD(ABS(SIN(ROW()*12.9898+'הדבקת לידים'!$F$2*78.233+IFERROR(--RIGHT(A1582,6),LEN(A1582))*0.0137+IFERROR(--RIGHT(B1582,6),LEN(B1582))*0.0071))*43758.5453,1),"")</f>
        <v/>
      </c>
      <c r="E1582" s="0" t="str">
        <f aca="false">IF(C1582=1,INT(MOD(ABS(SIN(D1582*7919.123+ROW()*0.618+'הדבקת לידים'!$F$2*1.3))*43758.5453,1)*1000000)*10000+ROW(),"")</f>
        <v/>
      </c>
      <c r="F1582" s="0" t="str">
        <f aca="false">IF(E1582="","",RANK(E1582,$E$2:$E$5001,1))</f>
        <v/>
      </c>
      <c r="G1582" s="0" t="n">
        <f aca="false">IF(A1582="",0,IF(SUMPRODUCT(--($A$2:$A$5001=A1582))&gt;1,1,0))</f>
        <v>0</v>
      </c>
      <c r="H1582" s="0" t="n">
        <f aca="false">ROW()-1</f>
        <v>1581</v>
      </c>
      <c r="I1582" s="0" t="str">
        <f aca="false">IF(OR(הגדרות!$E$6=0,H1582&gt;הגדרות!$E$5),"",IF(H1582-1&lt;הגדרות!$E$8*(הגדרות!$E$7+1),INT((H1582-1)/(הגדרות!$E$7+1)),הגדרות!$E$8+INT((H1582-1-הגדרות!$E$8*(הגדרות!$E$7+1))/הגדרות!$E$7)))</f>
        <v/>
      </c>
      <c r="J1582" s="0" t="str">
        <f aca="false">IF(I1582="","",IF(H1582-1&lt;הגדרות!$E$8*(הגדרות!$E$7+1),MOD(H1582-1,הגדרות!$E$7+1),MOD(H1582-1-הגדרות!$E$8*(הגדרות!$E$7+1),הגדרות!$E$7)))</f>
        <v/>
      </c>
      <c r="K1582" s="0" t="str">
        <f aca="false">IF(I1582="","",J1582*הגדרות!$E$6+I1582+1)</f>
        <v/>
      </c>
      <c r="L1582" s="0" t="str">
        <f aca="false">IF(K1582="","",MATCH(K1582,$F$2:$F$5001,0))</f>
        <v/>
      </c>
      <c r="M1582" s="0" t="str">
        <f aca="false">IF(I1582="","",INDEX(הגדרות!$A$2:$A$21,MOD(I1582+הגדרות!$E$9,הגדרות!$E$6)+1))</f>
        <v/>
      </c>
    </row>
    <row r="1583" customFormat="false" ht="15" hidden="false" customHeight="false" outlineLevel="0" collapsed="false">
      <c r="A1583" s="0" t="str">
        <f aca="false">IF('הדבקת לידים'!A1583="","",IF(ISNUMBER('הדבקת לידים'!A1583),IF(הגדרות!$E$2&gt;0,TEXT('הדבקת לידים'!A1583,REPT("0",הגדרות!$E$2)),TEXT('הדבקת לידים'!A1583,"0")),TRIM('הדבקת לידים'!A1583)))</f>
        <v/>
      </c>
      <c r="B1583" s="0" t="str">
        <f aca="false">IF('הדבקת לידים'!B1583="","",IF(ISNUMBER('הדבקת לידים'!B1583),IF(הגדרות!$E$3&gt;0,TEXT('הדבקת לידים'!B1583,REPT("0",הגדרות!$E$3)),TEXT('הדבקת לידים'!B1583,"0")),TRIM('הדבקת לידים'!B1583)))</f>
        <v/>
      </c>
      <c r="C1583" s="0" t="n">
        <f aca="false">IF(OR(A1583&lt;&gt;"",B1583&lt;&gt;""),1,0)</f>
        <v>0</v>
      </c>
      <c r="D1583" s="0" t="str">
        <f aca="false">IF(C1583=1,MOD(ABS(SIN(ROW()*12.9898+'הדבקת לידים'!$F$2*78.233+IFERROR(--RIGHT(A1583,6),LEN(A1583))*0.0137+IFERROR(--RIGHT(B1583,6),LEN(B1583))*0.0071))*43758.5453,1),"")</f>
        <v/>
      </c>
      <c r="E1583" s="0" t="str">
        <f aca="false">IF(C1583=1,INT(MOD(ABS(SIN(D1583*7919.123+ROW()*0.618+'הדבקת לידים'!$F$2*1.3))*43758.5453,1)*1000000)*10000+ROW(),"")</f>
        <v/>
      </c>
      <c r="F1583" s="0" t="str">
        <f aca="false">IF(E1583="","",RANK(E1583,$E$2:$E$5001,1))</f>
        <v/>
      </c>
      <c r="G1583" s="0" t="n">
        <f aca="false">IF(A1583="",0,IF(SUMPRODUCT(--($A$2:$A$5001=A1583))&gt;1,1,0))</f>
        <v>0</v>
      </c>
      <c r="H1583" s="0" t="n">
        <f aca="false">ROW()-1</f>
        <v>1582</v>
      </c>
      <c r="I1583" s="0" t="str">
        <f aca="false">IF(OR(הגדרות!$E$6=0,H1583&gt;הגדרות!$E$5),"",IF(H1583-1&lt;הגדרות!$E$8*(הגדרות!$E$7+1),INT((H1583-1)/(הגדרות!$E$7+1)),הגדרות!$E$8+INT((H1583-1-הגדרות!$E$8*(הגדרות!$E$7+1))/הגדרות!$E$7)))</f>
        <v/>
      </c>
      <c r="J1583" s="0" t="str">
        <f aca="false">IF(I1583="","",IF(H1583-1&lt;הגדרות!$E$8*(הגדרות!$E$7+1),MOD(H1583-1,הגדרות!$E$7+1),MOD(H1583-1-הגדרות!$E$8*(הגדרות!$E$7+1),הגדרות!$E$7)))</f>
        <v/>
      </c>
      <c r="K1583" s="0" t="str">
        <f aca="false">IF(I1583="","",J1583*הגדרות!$E$6+I1583+1)</f>
        <v/>
      </c>
      <c r="L1583" s="0" t="str">
        <f aca="false">IF(K1583="","",MATCH(K1583,$F$2:$F$5001,0))</f>
        <v/>
      </c>
      <c r="M1583" s="0" t="str">
        <f aca="false">IF(I1583="","",INDEX(הגדרות!$A$2:$A$21,MOD(I1583+הגדרות!$E$9,הגדרות!$E$6)+1))</f>
        <v/>
      </c>
    </row>
    <row r="1584" customFormat="false" ht="15" hidden="false" customHeight="false" outlineLevel="0" collapsed="false">
      <c r="A1584" s="0" t="str">
        <f aca="false">IF('הדבקת לידים'!A1584="","",IF(ISNUMBER('הדבקת לידים'!A1584),IF(הגדרות!$E$2&gt;0,TEXT('הדבקת לידים'!A1584,REPT("0",הגדרות!$E$2)),TEXT('הדבקת לידים'!A1584,"0")),TRIM('הדבקת לידים'!A1584)))</f>
        <v/>
      </c>
      <c r="B1584" s="0" t="str">
        <f aca="false">IF('הדבקת לידים'!B1584="","",IF(ISNUMBER('הדבקת לידים'!B1584),IF(הגדרות!$E$3&gt;0,TEXT('הדבקת לידים'!B1584,REPT("0",הגדרות!$E$3)),TEXT('הדבקת לידים'!B1584,"0")),TRIM('הדבקת לידים'!B1584)))</f>
        <v/>
      </c>
      <c r="C1584" s="0" t="n">
        <f aca="false">IF(OR(A1584&lt;&gt;"",B1584&lt;&gt;""),1,0)</f>
        <v>0</v>
      </c>
      <c r="D1584" s="0" t="str">
        <f aca="false">IF(C1584=1,MOD(ABS(SIN(ROW()*12.9898+'הדבקת לידים'!$F$2*78.233+IFERROR(--RIGHT(A1584,6),LEN(A1584))*0.0137+IFERROR(--RIGHT(B1584,6),LEN(B1584))*0.0071))*43758.5453,1),"")</f>
        <v/>
      </c>
      <c r="E1584" s="0" t="str">
        <f aca="false">IF(C1584=1,INT(MOD(ABS(SIN(D1584*7919.123+ROW()*0.618+'הדבקת לידים'!$F$2*1.3))*43758.5453,1)*1000000)*10000+ROW(),"")</f>
        <v/>
      </c>
      <c r="F1584" s="0" t="str">
        <f aca="false">IF(E1584="","",RANK(E1584,$E$2:$E$5001,1))</f>
        <v/>
      </c>
      <c r="G1584" s="0" t="n">
        <f aca="false">IF(A1584="",0,IF(SUMPRODUCT(--($A$2:$A$5001=A1584))&gt;1,1,0))</f>
        <v>0</v>
      </c>
      <c r="H1584" s="0" t="n">
        <f aca="false">ROW()-1</f>
        <v>1583</v>
      </c>
      <c r="I1584" s="0" t="str">
        <f aca="false">IF(OR(הגדרות!$E$6=0,H1584&gt;הגדרות!$E$5),"",IF(H1584-1&lt;הגדרות!$E$8*(הגדרות!$E$7+1),INT((H1584-1)/(הגדרות!$E$7+1)),הגדרות!$E$8+INT((H1584-1-הגדרות!$E$8*(הגדרות!$E$7+1))/הגדרות!$E$7)))</f>
        <v/>
      </c>
      <c r="J1584" s="0" t="str">
        <f aca="false">IF(I1584="","",IF(H1584-1&lt;הגדרות!$E$8*(הגדרות!$E$7+1),MOD(H1584-1,הגדרות!$E$7+1),MOD(H1584-1-הגדרות!$E$8*(הגדרות!$E$7+1),הגדרות!$E$7)))</f>
        <v/>
      </c>
      <c r="K1584" s="0" t="str">
        <f aca="false">IF(I1584="","",J1584*הגדרות!$E$6+I1584+1)</f>
        <v/>
      </c>
      <c r="L1584" s="0" t="str">
        <f aca="false">IF(K1584="","",MATCH(K1584,$F$2:$F$5001,0))</f>
        <v/>
      </c>
      <c r="M1584" s="0" t="str">
        <f aca="false">IF(I1584="","",INDEX(הגדרות!$A$2:$A$21,MOD(I1584+הגדרות!$E$9,הגדרות!$E$6)+1))</f>
        <v/>
      </c>
    </row>
    <row r="1585" customFormat="false" ht="15" hidden="false" customHeight="false" outlineLevel="0" collapsed="false">
      <c r="A1585" s="0" t="str">
        <f aca="false">IF('הדבקת לידים'!A1585="","",IF(ISNUMBER('הדבקת לידים'!A1585),IF(הגדרות!$E$2&gt;0,TEXT('הדבקת לידים'!A1585,REPT("0",הגדרות!$E$2)),TEXT('הדבקת לידים'!A1585,"0")),TRIM('הדבקת לידים'!A1585)))</f>
        <v/>
      </c>
      <c r="B1585" s="0" t="str">
        <f aca="false">IF('הדבקת לידים'!B1585="","",IF(ISNUMBER('הדבקת לידים'!B1585),IF(הגדרות!$E$3&gt;0,TEXT('הדבקת לידים'!B1585,REPT("0",הגדרות!$E$3)),TEXT('הדבקת לידים'!B1585,"0")),TRIM('הדבקת לידים'!B1585)))</f>
        <v/>
      </c>
      <c r="C1585" s="0" t="n">
        <f aca="false">IF(OR(A1585&lt;&gt;"",B1585&lt;&gt;""),1,0)</f>
        <v>0</v>
      </c>
      <c r="D1585" s="0" t="str">
        <f aca="false">IF(C1585=1,MOD(ABS(SIN(ROW()*12.9898+'הדבקת לידים'!$F$2*78.233+IFERROR(--RIGHT(A1585,6),LEN(A1585))*0.0137+IFERROR(--RIGHT(B1585,6),LEN(B1585))*0.0071))*43758.5453,1),"")</f>
        <v/>
      </c>
      <c r="E1585" s="0" t="str">
        <f aca="false">IF(C1585=1,INT(MOD(ABS(SIN(D1585*7919.123+ROW()*0.618+'הדבקת לידים'!$F$2*1.3))*43758.5453,1)*1000000)*10000+ROW(),"")</f>
        <v/>
      </c>
      <c r="F1585" s="0" t="str">
        <f aca="false">IF(E1585="","",RANK(E1585,$E$2:$E$5001,1))</f>
        <v/>
      </c>
      <c r="G1585" s="0" t="n">
        <f aca="false">IF(A1585="",0,IF(SUMPRODUCT(--($A$2:$A$5001=A1585))&gt;1,1,0))</f>
        <v>0</v>
      </c>
      <c r="H1585" s="0" t="n">
        <f aca="false">ROW()-1</f>
        <v>1584</v>
      </c>
      <c r="I1585" s="0" t="str">
        <f aca="false">IF(OR(הגדרות!$E$6=0,H1585&gt;הגדרות!$E$5),"",IF(H1585-1&lt;הגדרות!$E$8*(הגדרות!$E$7+1),INT((H1585-1)/(הגדרות!$E$7+1)),הגדרות!$E$8+INT((H1585-1-הגדרות!$E$8*(הגדרות!$E$7+1))/הגדרות!$E$7)))</f>
        <v/>
      </c>
      <c r="J1585" s="0" t="str">
        <f aca="false">IF(I1585="","",IF(H1585-1&lt;הגדרות!$E$8*(הגדרות!$E$7+1),MOD(H1585-1,הגדרות!$E$7+1),MOD(H1585-1-הגדרות!$E$8*(הגדרות!$E$7+1),הגדרות!$E$7)))</f>
        <v/>
      </c>
      <c r="K1585" s="0" t="str">
        <f aca="false">IF(I1585="","",J1585*הגדרות!$E$6+I1585+1)</f>
        <v/>
      </c>
      <c r="L1585" s="0" t="str">
        <f aca="false">IF(K1585="","",MATCH(K1585,$F$2:$F$5001,0))</f>
        <v/>
      </c>
      <c r="M1585" s="0" t="str">
        <f aca="false">IF(I1585="","",INDEX(הגדרות!$A$2:$A$21,MOD(I1585+הגדרות!$E$9,הגדרות!$E$6)+1))</f>
        <v/>
      </c>
    </row>
    <row r="1586" customFormat="false" ht="15" hidden="false" customHeight="false" outlineLevel="0" collapsed="false">
      <c r="A1586" s="0" t="str">
        <f aca="false">IF('הדבקת לידים'!A1586="","",IF(ISNUMBER('הדבקת לידים'!A1586),IF(הגדרות!$E$2&gt;0,TEXT('הדבקת לידים'!A1586,REPT("0",הגדרות!$E$2)),TEXT('הדבקת לידים'!A1586,"0")),TRIM('הדבקת לידים'!A1586)))</f>
        <v/>
      </c>
      <c r="B1586" s="0" t="str">
        <f aca="false">IF('הדבקת לידים'!B1586="","",IF(ISNUMBER('הדבקת לידים'!B1586),IF(הגדרות!$E$3&gt;0,TEXT('הדבקת לידים'!B1586,REPT("0",הגדרות!$E$3)),TEXT('הדבקת לידים'!B1586,"0")),TRIM('הדבקת לידים'!B1586)))</f>
        <v/>
      </c>
      <c r="C1586" s="0" t="n">
        <f aca="false">IF(OR(A1586&lt;&gt;"",B1586&lt;&gt;""),1,0)</f>
        <v>0</v>
      </c>
      <c r="D1586" s="0" t="str">
        <f aca="false">IF(C1586=1,MOD(ABS(SIN(ROW()*12.9898+'הדבקת לידים'!$F$2*78.233+IFERROR(--RIGHT(A1586,6),LEN(A1586))*0.0137+IFERROR(--RIGHT(B1586,6),LEN(B1586))*0.0071))*43758.5453,1),"")</f>
        <v/>
      </c>
      <c r="E1586" s="0" t="str">
        <f aca="false">IF(C1586=1,INT(MOD(ABS(SIN(D1586*7919.123+ROW()*0.618+'הדבקת לידים'!$F$2*1.3))*43758.5453,1)*1000000)*10000+ROW(),"")</f>
        <v/>
      </c>
      <c r="F1586" s="0" t="str">
        <f aca="false">IF(E1586="","",RANK(E1586,$E$2:$E$5001,1))</f>
        <v/>
      </c>
      <c r="G1586" s="0" t="n">
        <f aca="false">IF(A1586="",0,IF(SUMPRODUCT(--($A$2:$A$5001=A1586))&gt;1,1,0))</f>
        <v>0</v>
      </c>
      <c r="H1586" s="0" t="n">
        <f aca="false">ROW()-1</f>
        <v>1585</v>
      </c>
      <c r="I1586" s="0" t="str">
        <f aca="false">IF(OR(הגדרות!$E$6=0,H1586&gt;הגדרות!$E$5),"",IF(H1586-1&lt;הגדרות!$E$8*(הגדרות!$E$7+1),INT((H1586-1)/(הגדרות!$E$7+1)),הגדרות!$E$8+INT((H1586-1-הגדרות!$E$8*(הגדרות!$E$7+1))/הגדרות!$E$7)))</f>
        <v/>
      </c>
      <c r="J1586" s="0" t="str">
        <f aca="false">IF(I1586="","",IF(H1586-1&lt;הגדרות!$E$8*(הגדרות!$E$7+1),MOD(H1586-1,הגדרות!$E$7+1),MOD(H1586-1-הגדרות!$E$8*(הגדרות!$E$7+1),הגדרות!$E$7)))</f>
        <v/>
      </c>
      <c r="K1586" s="0" t="str">
        <f aca="false">IF(I1586="","",J1586*הגדרות!$E$6+I1586+1)</f>
        <v/>
      </c>
      <c r="L1586" s="0" t="str">
        <f aca="false">IF(K1586="","",MATCH(K1586,$F$2:$F$5001,0))</f>
        <v/>
      </c>
      <c r="M1586" s="0" t="str">
        <f aca="false">IF(I1586="","",INDEX(הגדרות!$A$2:$A$21,MOD(I1586+הגדרות!$E$9,הגדרות!$E$6)+1))</f>
        <v/>
      </c>
    </row>
    <row r="1587" customFormat="false" ht="15" hidden="false" customHeight="false" outlineLevel="0" collapsed="false">
      <c r="A1587" s="0" t="str">
        <f aca="false">IF('הדבקת לידים'!A1587="","",IF(ISNUMBER('הדבקת לידים'!A1587),IF(הגדרות!$E$2&gt;0,TEXT('הדבקת לידים'!A1587,REPT("0",הגדרות!$E$2)),TEXT('הדבקת לידים'!A1587,"0")),TRIM('הדבקת לידים'!A1587)))</f>
        <v/>
      </c>
      <c r="B1587" s="0" t="str">
        <f aca="false">IF('הדבקת לידים'!B1587="","",IF(ISNUMBER('הדבקת לידים'!B1587),IF(הגדרות!$E$3&gt;0,TEXT('הדבקת לידים'!B1587,REPT("0",הגדרות!$E$3)),TEXT('הדבקת לידים'!B1587,"0")),TRIM('הדבקת לידים'!B1587)))</f>
        <v/>
      </c>
      <c r="C1587" s="0" t="n">
        <f aca="false">IF(OR(A1587&lt;&gt;"",B1587&lt;&gt;""),1,0)</f>
        <v>0</v>
      </c>
      <c r="D1587" s="0" t="str">
        <f aca="false">IF(C1587=1,MOD(ABS(SIN(ROW()*12.9898+'הדבקת לידים'!$F$2*78.233+IFERROR(--RIGHT(A1587,6),LEN(A1587))*0.0137+IFERROR(--RIGHT(B1587,6),LEN(B1587))*0.0071))*43758.5453,1),"")</f>
        <v/>
      </c>
      <c r="E1587" s="0" t="str">
        <f aca="false">IF(C1587=1,INT(MOD(ABS(SIN(D1587*7919.123+ROW()*0.618+'הדבקת לידים'!$F$2*1.3))*43758.5453,1)*1000000)*10000+ROW(),"")</f>
        <v/>
      </c>
      <c r="F1587" s="0" t="str">
        <f aca="false">IF(E1587="","",RANK(E1587,$E$2:$E$5001,1))</f>
        <v/>
      </c>
      <c r="G1587" s="0" t="n">
        <f aca="false">IF(A1587="",0,IF(SUMPRODUCT(--($A$2:$A$5001=A1587))&gt;1,1,0))</f>
        <v>0</v>
      </c>
      <c r="H1587" s="0" t="n">
        <f aca="false">ROW()-1</f>
        <v>1586</v>
      </c>
      <c r="I1587" s="0" t="str">
        <f aca="false">IF(OR(הגדרות!$E$6=0,H1587&gt;הגדרות!$E$5),"",IF(H1587-1&lt;הגדרות!$E$8*(הגדרות!$E$7+1),INT((H1587-1)/(הגדרות!$E$7+1)),הגדרות!$E$8+INT((H1587-1-הגדרות!$E$8*(הגדרות!$E$7+1))/הגדרות!$E$7)))</f>
        <v/>
      </c>
      <c r="J1587" s="0" t="str">
        <f aca="false">IF(I1587="","",IF(H1587-1&lt;הגדרות!$E$8*(הגדרות!$E$7+1),MOD(H1587-1,הגדרות!$E$7+1),MOD(H1587-1-הגדרות!$E$8*(הגדרות!$E$7+1),הגדרות!$E$7)))</f>
        <v/>
      </c>
      <c r="K1587" s="0" t="str">
        <f aca="false">IF(I1587="","",J1587*הגדרות!$E$6+I1587+1)</f>
        <v/>
      </c>
      <c r="L1587" s="0" t="str">
        <f aca="false">IF(K1587="","",MATCH(K1587,$F$2:$F$5001,0))</f>
        <v/>
      </c>
      <c r="M1587" s="0" t="str">
        <f aca="false">IF(I1587="","",INDEX(הגדרות!$A$2:$A$21,MOD(I1587+הגדרות!$E$9,הגדרות!$E$6)+1))</f>
        <v/>
      </c>
    </row>
    <row r="1588" customFormat="false" ht="15" hidden="false" customHeight="false" outlineLevel="0" collapsed="false">
      <c r="A1588" s="0" t="str">
        <f aca="false">IF('הדבקת לידים'!A1588="","",IF(ISNUMBER('הדבקת לידים'!A1588),IF(הגדרות!$E$2&gt;0,TEXT('הדבקת לידים'!A1588,REPT("0",הגדרות!$E$2)),TEXT('הדבקת לידים'!A1588,"0")),TRIM('הדבקת לידים'!A1588)))</f>
        <v/>
      </c>
      <c r="B1588" s="0" t="str">
        <f aca="false">IF('הדבקת לידים'!B1588="","",IF(ISNUMBER('הדבקת לידים'!B1588),IF(הגדרות!$E$3&gt;0,TEXT('הדבקת לידים'!B1588,REPT("0",הגדרות!$E$3)),TEXT('הדבקת לידים'!B1588,"0")),TRIM('הדבקת לידים'!B1588)))</f>
        <v/>
      </c>
      <c r="C1588" s="0" t="n">
        <f aca="false">IF(OR(A1588&lt;&gt;"",B1588&lt;&gt;""),1,0)</f>
        <v>0</v>
      </c>
      <c r="D1588" s="0" t="str">
        <f aca="false">IF(C1588=1,MOD(ABS(SIN(ROW()*12.9898+'הדבקת לידים'!$F$2*78.233+IFERROR(--RIGHT(A1588,6),LEN(A1588))*0.0137+IFERROR(--RIGHT(B1588,6),LEN(B1588))*0.0071))*43758.5453,1),"")</f>
        <v/>
      </c>
      <c r="E1588" s="0" t="str">
        <f aca="false">IF(C1588=1,INT(MOD(ABS(SIN(D1588*7919.123+ROW()*0.618+'הדבקת לידים'!$F$2*1.3))*43758.5453,1)*1000000)*10000+ROW(),"")</f>
        <v/>
      </c>
      <c r="F1588" s="0" t="str">
        <f aca="false">IF(E1588="","",RANK(E1588,$E$2:$E$5001,1))</f>
        <v/>
      </c>
      <c r="G1588" s="0" t="n">
        <f aca="false">IF(A1588="",0,IF(SUMPRODUCT(--($A$2:$A$5001=A1588))&gt;1,1,0))</f>
        <v>0</v>
      </c>
      <c r="H1588" s="0" t="n">
        <f aca="false">ROW()-1</f>
        <v>1587</v>
      </c>
      <c r="I1588" s="0" t="str">
        <f aca="false">IF(OR(הגדרות!$E$6=0,H1588&gt;הגדרות!$E$5),"",IF(H1588-1&lt;הגדרות!$E$8*(הגדרות!$E$7+1),INT((H1588-1)/(הגדרות!$E$7+1)),הגדרות!$E$8+INT((H1588-1-הגדרות!$E$8*(הגדרות!$E$7+1))/הגדרות!$E$7)))</f>
        <v/>
      </c>
      <c r="J1588" s="0" t="str">
        <f aca="false">IF(I1588="","",IF(H1588-1&lt;הגדרות!$E$8*(הגדרות!$E$7+1),MOD(H1588-1,הגדרות!$E$7+1),MOD(H1588-1-הגדרות!$E$8*(הגדרות!$E$7+1),הגדרות!$E$7)))</f>
        <v/>
      </c>
      <c r="K1588" s="0" t="str">
        <f aca="false">IF(I1588="","",J1588*הגדרות!$E$6+I1588+1)</f>
        <v/>
      </c>
      <c r="L1588" s="0" t="str">
        <f aca="false">IF(K1588="","",MATCH(K1588,$F$2:$F$5001,0))</f>
        <v/>
      </c>
      <c r="M1588" s="0" t="str">
        <f aca="false">IF(I1588="","",INDEX(הגדרות!$A$2:$A$21,MOD(I1588+הגדרות!$E$9,הגדרות!$E$6)+1))</f>
        <v/>
      </c>
    </row>
    <row r="1589" customFormat="false" ht="15" hidden="false" customHeight="false" outlineLevel="0" collapsed="false">
      <c r="A1589" s="0" t="str">
        <f aca="false">IF('הדבקת לידים'!A1589="","",IF(ISNUMBER('הדבקת לידים'!A1589),IF(הגדרות!$E$2&gt;0,TEXT('הדבקת לידים'!A1589,REPT("0",הגדרות!$E$2)),TEXT('הדבקת לידים'!A1589,"0")),TRIM('הדבקת לידים'!A1589)))</f>
        <v/>
      </c>
      <c r="B1589" s="0" t="str">
        <f aca="false">IF('הדבקת לידים'!B1589="","",IF(ISNUMBER('הדבקת לידים'!B1589),IF(הגדרות!$E$3&gt;0,TEXT('הדבקת לידים'!B1589,REPT("0",הגדרות!$E$3)),TEXT('הדבקת לידים'!B1589,"0")),TRIM('הדבקת לידים'!B1589)))</f>
        <v/>
      </c>
      <c r="C1589" s="0" t="n">
        <f aca="false">IF(OR(A1589&lt;&gt;"",B1589&lt;&gt;""),1,0)</f>
        <v>0</v>
      </c>
      <c r="D1589" s="0" t="str">
        <f aca="false">IF(C1589=1,MOD(ABS(SIN(ROW()*12.9898+'הדבקת לידים'!$F$2*78.233+IFERROR(--RIGHT(A1589,6),LEN(A1589))*0.0137+IFERROR(--RIGHT(B1589,6),LEN(B1589))*0.0071))*43758.5453,1),"")</f>
        <v/>
      </c>
      <c r="E1589" s="0" t="str">
        <f aca="false">IF(C1589=1,INT(MOD(ABS(SIN(D1589*7919.123+ROW()*0.618+'הדבקת לידים'!$F$2*1.3))*43758.5453,1)*1000000)*10000+ROW(),"")</f>
        <v/>
      </c>
      <c r="F1589" s="0" t="str">
        <f aca="false">IF(E1589="","",RANK(E1589,$E$2:$E$5001,1))</f>
        <v/>
      </c>
      <c r="G1589" s="0" t="n">
        <f aca="false">IF(A1589="",0,IF(SUMPRODUCT(--($A$2:$A$5001=A1589))&gt;1,1,0))</f>
        <v>0</v>
      </c>
      <c r="H1589" s="0" t="n">
        <f aca="false">ROW()-1</f>
        <v>1588</v>
      </c>
      <c r="I1589" s="0" t="str">
        <f aca="false">IF(OR(הגדרות!$E$6=0,H1589&gt;הגדרות!$E$5),"",IF(H1589-1&lt;הגדרות!$E$8*(הגדרות!$E$7+1),INT((H1589-1)/(הגדרות!$E$7+1)),הגדרות!$E$8+INT((H1589-1-הגדרות!$E$8*(הגדרות!$E$7+1))/הגדרות!$E$7)))</f>
        <v/>
      </c>
      <c r="J1589" s="0" t="str">
        <f aca="false">IF(I1589="","",IF(H1589-1&lt;הגדרות!$E$8*(הגדרות!$E$7+1),MOD(H1589-1,הגדרות!$E$7+1),MOD(H1589-1-הגדרות!$E$8*(הגדרות!$E$7+1),הגדרות!$E$7)))</f>
        <v/>
      </c>
      <c r="K1589" s="0" t="str">
        <f aca="false">IF(I1589="","",J1589*הגדרות!$E$6+I1589+1)</f>
        <v/>
      </c>
      <c r="L1589" s="0" t="str">
        <f aca="false">IF(K1589="","",MATCH(K1589,$F$2:$F$5001,0))</f>
        <v/>
      </c>
      <c r="M1589" s="0" t="str">
        <f aca="false">IF(I1589="","",INDEX(הגדרות!$A$2:$A$21,MOD(I1589+הגדרות!$E$9,הגדרות!$E$6)+1))</f>
        <v/>
      </c>
    </row>
    <row r="1590" customFormat="false" ht="15" hidden="false" customHeight="false" outlineLevel="0" collapsed="false">
      <c r="A1590" s="0" t="str">
        <f aca="false">IF('הדבקת לידים'!A1590="","",IF(ISNUMBER('הדבקת לידים'!A1590),IF(הגדרות!$E$2&gt;0,TEXT('הדבקת לידים'!A1590,REPT("0",הגדרות!$E$2)),TEXT('הדבקת לידים'!A1590,"0")),TRIM('הדבקת לידים'!A1590)))</f>
        <v/>
      </c>
      <c r="B1590" s="0" t="str">
        <f aca="false">IF('הדבקת לידים'!B1590="","",IF(ISNUMBER('הדבקת לידים'!B1590),IF(הגדרות!$E$3&gt;0,TEXT('הדבקת לידים'!B1590,REPT("0",הגדרות!$E$3)),TEXT('הדבקת לידים'!B1590,"0")),TRIM('הדבקת לידים'!B1590)))</f>
        <v/>
      </c>
      <c r="C1590" s="0" t="n">
        <f aca="false">IF(OR(A1590&lt;&gt;"",B1590&lt;&gt;""),1,0)</f>
        <v>0</v>
      </c>
      <c r="D1590" s="0" t="str">
        <f aca="false">IF(C1590=1,MOD(ABS(SIN(ROW()*12.9898+'הדבקת לידים'!$F$2*78.233+IFERROR(--RIGHT(A1590,6),LEN(A1590))*0.0137+IFERROR(--RIGHT(B1590,6),LEN(B1590))*0.0071))*43758.5453,1),"")</f>
        <v/>
      </c>
      <c r="E1590" s="0" t="str">
        <f aca="false">IF(C1590=1,INT(MOD(ABS(SIN(D1590*7919.123+ROW()*0.618+'הדבקת לידים'!$F$2*1.3))*43758.5453,1)*1000000)*10000+ROW(),"")</f>
        <v/>
      </c>
      <c r="F1590" s="0" t="str">
        <f aca="false">IF(E1590="","",RANK(E1590,$E$2:$E$5001,1))</f>
        <v/>
      </c>
      <c r="G1590" s="0" t="n">
        <f aca="false">IF(A1590="",0,IF(SUMPRODUCT(--($A$2:$A$5001=A1590))&gt;1,1,0))</f>
        <v>0</v>
      </c>
      <c r="H1590" s="0" t="n">
        <f aca="false">ROW()-1</f>
        <v>1589</v>
      </c>
      <c r="I1590" s="0" t="str">
        <f aca="false">IF(OR(הגדרות!$E$6=0,H1590&gt;הגדרות!$E$5),"",IF(H1590-1&lt;הגדרות!$E$8*(הגדרות!$E$7+1),INT((H1590-1)/(הגדרות!$E$7+1)),הגדרות!$E$8+INT((H1590-1-הגדרות!$E$8*(הגדרות!$E$7+1))/הגדרות!$E$7)))</f>
        <v/>
      </c>
      <c r="J1590" s="0" t="str">
        <f aca="false">IF(I1590="","",IF(H1590-1&lt;הגדרות!$E$8*(הגדרות!$E$7+1),MOD(H1590-1,הגדרות!$E$7+1),MOD(H1590-1-הגדרות!$E$8*(הגדרות!$E$7+1),הגדרות!$E$7)))</f>
        <v/>
      </c>
      <c r="K1590" s="0" t="str">
        <f aca="false">IF(I1590="","",J1590*הגדרות!$E$6+I1590+1)</f>
        <v/>
      </c>
      <c r="L1590" s="0" t="str">
        <f aca="false">IF(K1590="","",MATCH(K1590,$F$2:$F$5001,0))</f>
        <v/>
      </c>
      <c r="M1590" s="0" t="str">
        <f aca="false">IF(I1590="","",INDEX(הגדרות!$A$2:$A$21,MOD(I1590+הגדרות!$E$9,הגדרות!$E$6)+1))</f>
        <v/>
      </c>
    </row>
    <row r="1591" customFormat="false" ht="15" hidden="false" customHeight="false" outlineLevel="0" collapsed="false">
      <c r="A1591" s="0" t="str">
        <f aca="false">IF('הדבקת לידים'!A1591="","",IF(ISNUMBER('הדבקת לידים'!A1591),IF(הגדרות!$E$2&gt;0,TEXT('הדבקת לידים'!A1591,REPT("0",הגדרות!$E$2)),TEXT('הדבקת לידים'!A1591,"0")),TRIM('הדבקת לידים'!A1591)))</f>
        <v/>
      </c>
      <c r="B1591" s="0" t="str">
        <f aca="false">IF('הדבקת לידים'!B1591="","",IF(ISNUMBER('הדבקת לידים'!B1591),IF(הגדרות!$E$3&gt;0,TEXT('הדבקת לידים'!B1591,REPT("0",הגדרות!$E$3)),TEXT('הדבקת לידים'!B1591,"0")),TRIM('הדבקת לידים'!B1591)))</f>
        <v/>
      </c>
      <c r="C1591" s="0" t="n">
        <f aca="false">IF(OR(A1591&lt;&gt;"",B1591&lt;&gt;""),1,0)</f>
        <v>0</v>
      </c>
      <c r="D1591" s="0" t="str">
        <f aca="false">IF(C1591=1,MOD(ABS(SIN(ROW()*12.9898+'הדבקת לידים'!$F$2*78.233+IFERROR(--RIGHT(A1591,6),LEN(A1591))*0.0137+IFERROR(--RIGHT(B1591,6),LEN(B1591))*0.0071))*43758.5453,1),"")</f>
        <v/>
      </c>
      <c r="E1591" s="0" t="str">
        <f aca="false">IF(C1591=1,INT(MOD(ABS(SIN(D1591*7919.123+ROW()*0.618+'הדבקת לידים'!$F$2*1.3))*43758.5453,1)*1000000)*10000+ROW(),"")</f>
        <v/>
      </c>
      <c r="F1591" s="0" t="str">
        <f aca="false">IF(E1591="","",RANK(E1591,$E$2:$E$5001,1))</f>
        <v/>
      </c>
      <c r="G1591" s="0" t="n">
        <f aca="false">IF(A1591="",0,IF(SUMPRODUCT(--($A$2:$A$5001=A1591))&gt;1,1,0))</f>
        <v>0</v>
      </c>
      <c r="H1591" s="0" t="n">
        <f aca="false">ROW()-1</f>
        <v>1590</v>
      </c>
      <c r="I1591" s="0" t="str">
        <f aca="false">IF(OR(הגדרות!$E$6=0,H1591&gt;הגדרות!$E$5),"",IF(H1591-1&lt;הגדרות!$E$8*(הגדרות!$E$7+1),INT((H1591-1)/(הגדרות!$E$7+1)),הגדרות!$E$8+INT((H1591-1-הגדרות!$E$8*(הגדרות!$E$7+1))/הגדרות!$E$7)))</f>
        <v/>
      </c>
      <c r="J1591" s="0" t="str">
        <f aca="false">IF(I1591="","",IF(H1591-1&lt;הגדרות!$E$8*(הגדרות!$E$7+1),MOD(H1591-1,הגדרות!$E$7+1),MOD(H1591-1-הגדרות!$E$8*(הגדרות!$E$7+1),הגדרות!$E$7)))</f>
        <v/>
      </c>
      <c r="K1591" s="0" t="str">
        <f aca="false">IF(I1591="","",J1591*הגדרות!$E$6+I1591+1)</f>
        <v/>
      </c>
      <c r="L1591" s="0" t="str">
        <f aca="false">IF(K1591="","",MATCH(K1591,$F$2:$F$5001,0))</f>
        <v/>
      </c>
      <c r="M1591" s="0" t="str">
        <f aca="false">IF(I1591="","",INDEX(הגדרות!$A$2:$A$21,MOD(I1591+הגדרות!$E$9,הגדרות!$E$6)+1))</f>
        <v/>
      </c>
    </row>
    <row r="1592" customFormat="false" ht="15" hidden="false" customHeight="false" outlineLevel="0" collapsed="false">
      <c r="A1592" s="0" t="str">
        <f aca="false">IF('הדבקת לידים'!A1592="","",IF(ISNUMBER('הדבקת לידים'!A1592),IF(הגדרות!$E$2&gt;0,TEXT('הדבקת לידים'!A1592,REPT("0",הגדרות!$E$2)),TEXT('הדבקת לידים'!A1592,"0")),TRIM('הדבקת לידים'!A1592)))</f>
        <v/>
      </c>
      <c r="B1592" s="0" t="str">
        <f aca="false">IF('הדבקת לידים'!B1592="","",IF(ISNUMBER('הדבקת לידים'!B1592),IF(הגדרות!$E$3&gt;0,TEXT('הדבקת לידים'!B1592,REPT("0",הגדרות!$E$3)),TEXT('הדבקת לידים'!B1592,"0")),TRIM('הדבקת לידים'!B1592)))</f>
        <v/>
      </c>
      <c r="C1592" s="0" t="n">
        <f aca="false">IF(OR(A1592&lt;&gt;"",B1592&lt;&gt;""),1,0)</f>
        <v>0</v>
      </c>
      <c r="D1592" s="0" t="str">
        <f aca="false">IF(C1592=1,MOD(ABS(SIN(ROW()*12.9898+'הדבקת לידים'!$F$2*78.233+IFERROR(--RIGHT(A1592,6),LEN(A1592))*0.0137+IFERROR(--RIGHT(B1592,6),LEN(B1592))*0.0071))*43758.5453,1),"")</f>
        <v/>
      </c>
      <c r="E1592" s="0" t="str">
        <f aca="false">IF(C1592=1,INT(MOD(ABS(SIN(D1592*7919.123+ROW()*0.618+'הדבקת לידים'!$F$2*1.3))*43758.5453,1)*1000000)*10000+ROW(),"")</f>
        <v/>
      </c>
      <c r="F1592" s="0" t="str">
        <f aca="false">IF(E1592="","",RANK(E1592,$E$2:$E$5001,1))</f>
        <v/>
      </c>
      <c r="G1592" s="0" t="n">
        <f aca="false">IF(A1592="",0,IF(SUMPRODUCT(--($A$2:$A$5001=A1592))&gt;1,1,0))</f>
        <v>0</v>
      </c>
      <c r="H1592" s="0" t="n">
        <f aca="false">ROW()-1</f>
        <v>1591</v>
      </c>
      <c r="I1592" s="0" t="str">
        <f aca="false">IF(OR(הגדרות!$E$6=0,H1592&gt;הגדרות!$E$5),"",IF(H1592-1&lt;הגדרות!$E$8*(הגדרות!$E$7+1),INT((H1592-1)/(הגדרות!$E$7+1)),הגדרות!$E$8+INT((H1592-1-הגדרות!$E$8*(הגדרות!$E$7+1))/הגדרות!$E$7)))</f>
        <v/>
      </c>
      <c r="J1592" s="0" t="str">
        <f aca="false">IF(I1592="","",IF(H1592-1&lt;הגדרות!$E$8*(הגדרות!$E$7+1),MOD(H1592-1,הגדרות!$E$7+1),MOD(H1592-1-הגדרות!$E$8*(הגדרות!$E$7+1),הגדרות!$E$7)))</f>
        <v/>
      </c>
      <c r="K1592" s="0" t="str">
        <f aca="false">IF(I1592="","",J1592*הגדרות!$E$6+I1592+1)</f>
        <v/>
      </c>
      <c r="L1592" s="0" t="str">
        <f aca="false">IF(K1592="","",MATCH(K1592,$F$2:$F$5001,0))</f>
        <v/>
      </c>
      <c r="M1592" s="0" t="str">
        <f aca="false">IF(I1592="","",INDEX(הגדרות!$A$2:$A$21,MOD(I1592+הגדרות!$E$9,הגדרות!$E$6)+1))</f>
        <v/>
      </c>
    </row>
    <row r="1593" customFormat="false" ht="15" hidden="false" customHeight="false" outlineLevel="0" collapsed="false">
      <c r="A1593" s="0" t="str">
        <f aca="false">IF('הדבקת לידים'!A1593="","",IF(ISNUMBER('הדבקת לידים'!A1593),IF(הגדרות!$E$2&gt;0,TEXT('הדבקת לידים'!A1593,REPT("0",הגדרות!$E$2)),TEXT('הדבקת לידים'!A1593,"0")),TRIM('הדבקת לידים'!A1593)))</f>
        <v/>
      </c>
      <c r="B1593" s="0" t="str">
        <f aca="false">IF('הדבקת לידים'!B1593="","",IF(ISNUMBER('הדבקת לידים'!B1593),IF(הגדרות!$E$3&gt;0,TEXT('הדבקת לידים'!B1593,REPT("0",הגדרות!$E$3)),TEXT('הדבקת לידים'!B1593,"0")),TRIM('הדבקת לידים'!B1593)))</f>
        <v/>
      </c>
      <c r="C1593" s="0" t="n">
        <f aca="false">IF(OR(A1593&lt;&gt;"",B1593&lt;&gt;""),1,0)</f>
        <v>0</v>
      </c>
      <c r="D1593" s="0" t="str">
        <f aca="false">IF(C1593=1,MOD(ABS(SIN(ROW()*12.9898+'הדבקת לידים'!$F$2*78.233+IFERROR(--RIGHT(A1593,6),LEN(A1593))*0.0137+IFERROR(--RIGHT(B1593,6),LEN(B1593))*0.0071))*43758.5453,1),"")</f>
        <v/>
      </c>
      <c r="E1593" s="0" t="str">
        <f aca="false">IF(C1593=1,INT(MOD(ABS(SIN(D1593*7919.123+ROW()*0.618+'הדבקת לידים'!$F$2*1.3))*43758.5453,1)*1000000)*10000+ROW(),"")</f>
        <v/>
      </c>
      <c r="F1593" s="0" t="str">
        <f aca="false">IF(E1593="","",RANK(E1593,$E$2:$E$5001,1))</f>
        <v/>
      </c>
      <c r="G1593" s="0" t="n">
        <f aca="false">IF(A1593="",0,IF(SUMPRODUCT(--($A$2:$A$5001=A1593))&gt;1,1,0))</f>
        <v>0</v>
      </c>
      <c r="H1593" s="0" t="n">
        <f aca="false">ROW()-1</f>
        <v>1592</v>
      </c>
      <c r="I1593" s="0" t="str">
        <f aca="false">IF(OR(הגדרות!$E$6=0,H1593&gt;הגדרות!$E$5),"",IF(H1593-1&lt;הגדרות!$E$8*(הגדרות!$E$7+1),INT((H1593-1)/(הגדרות!$E$7+1)),הגדרות!$E$8+INT((H1593-1-הגדרות!$E$8*(הגדרות!$E$7+1))/הגדרות!$E$7)))</f>
        <v/>
      </c>
      <c r="J1593" s="0" t="str">
        <f aca="false">IF(I1593="","",IF(H1593-1&lt;הגדרות!$E$8*(הגדרות!$E$7+1),MOD(H1593-1,הגדרות!$E$7+1),MOD(H1593-1-הגדרות!$E$8*(הגדרות!$E$7+1),הגדרות!$E$7)))</f>
        <v/>
      </c>
      <c r="K1593" s="0" t="str">
        <f aca="false">IF(I1593="","",J1593*הגדרות!$E$6+I1593+1)</f>
        <v/>
      </c>
      <c r="L1593" s="0" t="str">
        <f aca="false">IF(K1593="","",MATCH(K1593,$F$2:$F$5001,0))</f>
        <v/>
      </c>
      <c r="M1593" s="0" t="str">
        <f aca="false">IF(I1593="","",INDEX(הגדרות!$A$2:$A$21,MOD(I1593+הגדרות!$E$9,הגדרות!$E$6)+1))</f>
        <v/>
      </c>
    </row>
    <row r="1594" customFormat="false" ht="15" hidden="false" customHeight="false" outlineLevel="0" collapsed="false">
      <c r="A1594" s="0" t="str">
        <f aca="false">IF('הדבקת לידים'!A1594="","",IF(ISNUMBER('הדבקת לידים'!A1594),IF(הגדרות!$E$2&gt;0,TEXT('הדבקת לידים'!A1594,REPT("0",הגדרות!$E$2)),TEXT('הדבקת לידים'!A1594,"0")),TRIM('הדבקת לידים'!A1594)))</f>
        <v/>
      </c>
      <c r="B1594" s="0" t="str">
        <f aca="false">IF('הדבקת לידים'!B1594="","",IF(ISNUMBER('הדבקת לידים'!B1594),IF(הגדרות!$E$3&gt;0,TEXT('הדבקת לידים'!B1594,REPT("0",הגדרות!$E$3)),TEXT('הדבקת לידים'!B1594,"0")),TRIM('הדבקת לידים'!B1594)))</f>
        <v/>
      </c>
      <c r="C1594" s="0" t="n">
        <f aca="false">IF(OR(A1594&lt;&gt;"",B1594&lt;&gt;""),1,0)</f>
        <v>0</v>
      </c>
      <c r="D1594" s="0" t="str">
        <f aca="false">IF(C1594=1,MOD(ABS(SIN(ROW()*12.9898+'הדבקת לידים'!$F$2*78.233+IFERROR(--RIGHT(A1594,6),LEN(A1594))*0.0137+IFERROR(--RIGHT(B1594,6),LEN(B1594))*0.0071))*43758.5453,1),"")</f>
        <v/>
      </c>
      <c r="E1594" s="0" t="str">
        <f aca="false">IF(C1594=1,INT(MOD(ABS(SIN(D1594*7919.123+ROW()*0.618+'הדבקת לידים'!$F$2*1.3))*43758.5453,1)*1000000)*10000+ROW(),"")</f>
        <v/>
      </c>
      <c r="F1594" s="0" t="str">
        <f aca="false">IF(E1594="","",RANK(E1594,$E$2:$E$5001,1))</f>
        <v/>
      </c>
      <c r="G1594" s="0" t="n">
        <f aca="false">IF(A1594="",0,IF(SUMPRODUCT(--($A$2:$A$5001=A1594))&gt;1,1,0))</f>
        <v>0</v>
      </c>
      <c r="H1594" s="0" t="n">
        <f aca="false">ROW()-1</f>
        <v>1593</v>
      </c>
      <c r="I1594" s="0" t="str">
        <f aca="false">IF(OR(הגדרות!$E$6=0,H1594&gt;הגדרות!$E$5),"",IF(H1594-1&lt;הגדרות!$E$8*(הגדרות!$E$7+1),INT((H1594-1)/(הגדרות!$E$7+1)),הגדרות!$E$8+INT((H1594-1-הגדרות!$E$8*(הגדרות!$E$7+1))/הגדרות!$E$7)))</f>
        <v/>
      </c>
      <c r="J1594" s="0" t="str">
        <f aca="false">IF(I1594="","",IF(H1594-1&lt;הגדרות!$E$8*(הגדרות!$E$7+1),MOD(H1594-1,הגדרות!$E$7+1),MOD(H1594-1-הגדרות!$E$8*(הגדרות!$E$7+1),הגדרות!$E$7)))</f>
        <v/>
      </c>
      <c r="K1594" s="0" t="str">
        <f aca="false">IF(I1594="","",J1594*הגדרות!$E$6+I1594+1)</f>
        <v/>
      </c>
      <c r="L1594" s="0" t="str">
        <f aca="false">IF(K1594="","",MATCH(K1594,$F$2:$F$5001,0))</f>
        <v/>
      </c>
      <c r="M1594" s="0" t="str">
        <f aca="false">IF(I1594="","",INDEX(הגדרות!$A$2:$A$21,MOD(I1594+הגדרות!$E$9,הגדרות!$E$6)+1))</f>
        <v/>
      </c>
    </row>
    <row r="1595" customFormat="false" ht="15" hidden="false" customHeight="false" outlineLevel="0" collapsed="false">
      <c r="A1595" s="0" t="str">
        <f aca="false">IF('הדבקת לידים'!A1595="","",IF(ISNUMBER('הדבקת לידים'!A1595),IF(הגדרות!$E$2&gt;0,TEXT('הדבקת לידים'!A1595,REPT("0",הגדרות!$E$2)),TEXT('הדבקת לידים'!A1595,"0")),TRIM('הדבקת לידים'!A1595)))</f>
        <v/>
      </c>
      <c r="B1595" s="0" t="str">
        <f aca="false">IF('הדבקת לידים'!B1595="","",IF(ISNUMBER('הדבקת לידים'!B1595),IF(הגדרות!$E$3&gt;0,TEXT('הדבקת לידים'!B1595,REPT("0",הגדרות!$E$3)),TEXT('הדבקת לידים'!B1595,"0")),TRIM('הדבקת לידים'!B1595)))</f>
        <v/>
      </c>
      <c r="C1595" s="0" t="n">
        <f aca="false">IF(OR(A1595&lt;&gt;"",B1595&lt;&gt;""),1,0)</f>
        <v>0</v>
      </c>
      <c r="D1595" s="0" t="str">
        <f aca="false">IF(C1595=1,MOD(ABS(SIN(ROW()*12.9898+'הדבקת לידים'!$F$2*78.233+IFERROR(--RIGHT(A1595,6),LEN(A1595))*0.0137+IFERROR(--RIGHT(B1595,6),LEN(B1595))*0.0071))*43758.5453,1),"")</f>
        <v/>
      </c>
      <c r="E1595" s="0" t="str">
        <f aca="false">IF(C1595=1,INT(MOD(ABS(SIN(D1595*7919.123+ROW()*0.618+'הדבקת לידים'!$F$2*1.3))*43758.5453,1)*1000000)*10000+ROW(),"")</f>
        <v/>
      </c>
      <c r="F1595" s="0" t="str">
        <f aca="false">IF(E1595="","",RANK(E1595,$E$2:$E$5001,1))</f>
        <v/>
      </c>
      <c r="G1595" s="0" t="n">
        <f aca="false">IF(A1595="",0,IF(SUMPRODUCT(--($A$2:$A$5001=A1595))&gt;1,1,0))</f>
        <v>0</v>
      </c>
      <c r="H1595" s="0" t="n">
        <f aca="false">ROW()-1</f>
        <v>1594</v>
      </c>
      <c r="I1595" s="0" t="str">
        <f aca="false">IF(OR(הגדרות!$E$6=0,H1595&gt;הגדרות!$E$5),"",IF(H1595-1&lt;הגדרות!$E$8*(הגדרות!$E$7+1),INT((H1595-1)/(הגדרות!$E$7+1)),הגדרות!$E$8+INT((H1595-1-הגדרות!$E$8*(הגדרות!$E$7+1))/הגדרות!$E$7)))</f>
        <v/>
      </c>
      <c r="J1595" s="0" t="str">
        <f aca="false">IF(I1595="","",IF(H1595-1&lt;הגדרות!$E$8*(הגדרות!$E$7+1),MOD(H1595-1,הגדרות!$E$7+1),MOD(H1595-1-הגדרות!$E$8*(הגדרות!$E$7+1),הגדרות!$E$7)))</f>
        <v/>
      </c>
      <c r="K1595" s="0" t="str">
        <f aca="false">IF(I1595="","",J1595*הגדרות!$E$6+I1595+1)</f>
        <v/>
      </c>
      <c r="L1595" s="0" t="str">
        <f aca="false">IF(K1595="","",MATCH(K1595,$F$2:$F$5001,0))</f>
        <v/>
      </c>
      <c r="M1595" s="0" t="str">
        <f aca="false">IF(I1595="","",INDEX(הגדרות!$A$2:$A$21,MOD(I1595+הגדרות!$E$9,הגדרות!$E$6)+1))</f>
        <v/>
      </c>
    </row>
    <row r="1596" customFormat="false" ht="15" hidden="false" customHeight="false" outlineLevel="0" collapsed="false">
      <c r="A1596" s="0" t="str">
        <f aca="false">IF('הדבקת לידים'!A1596="","",IF(ISNUMBER('הדבקת לידים'!A1596),IF(הגדרות!$E$2&gt;0,TEXT('הדבקת לידים'!A1596,REPT("0",הגדרות!$E$2)),TEXT('הדבקת לידים'!A1596,"0")),TRIM('הדבקת לידים'!A1596)))</f>
        <v/>
      </c>
      <c r="B1596" s="0" t="str">
        <f aca="false">IF('הדבקת לידים'!B1596="","",IF(ISNUMBER('הדבקת לידים'!B1596),IF(הגדרות!$E$3&gt;0,TEXT('הדבקת לידים'!B1596,REPT("0",הגדרות!$E$3)),TEXT('הדבקת לידים'!B1596,"0")),TRIM('הדבקת לידים'!B1596)))</f>
        <v/>
      </c>
      <c r="C1596" s="0" t="n">
        <f aca="false">IF(OR(A1596&lt;&gt;"",B1596&lt;&gt;""),1,0)</f>
        <v>0</v>
      </c>
      <c r="D1596" s="0" t="str">
        <f aca="false">IF(C1596=1,MOD(ABS(SIN(ROW()*12.9898+'הדבקת לידים'!$F$2*78.233+IFERROR(--RIGHT(A1596,6),LEN(A1596))*0.0137+IFERROR(--RIGHT(B1596,6),LEN(B1596))*0.0071))*43758.5453,1),"")</f>
        <v/>
      </c>
      <c r="E1596" s="0" t="str">
        <f aca="false">IF(C1596=1,INT(MOD(ABS(SIN(D1596*7919.123+ROW()*0.618+'הדבקת לידים'!$F$2*1.3))*43758.5453,1)*1000000)*10000+ROW(),"")</f>
        <v/>
      </c>
      <c r="F1596" s="0" t="str">
        <f aca="false">IF(E1596="","",RANK(E1596,$E$2:$E$5001,1))</f>
        <v/>
      </c>
      <c r="G1596" s="0" t="n">
        <f aca="false">IF(A1596="",0,IF(SUMPRODUCT(--($A$2:$A$5001=A1596))&gt;1,1,0))</f>
        <v>0</v>
      </c>
      <c r="H1596" s="0" t="n">
        <f aca="false">ROW()-1</f>
        <v>1595</v>
      </c>
      <c r="I1596" s="0" t="str">
        <f aca="false">IF(OR(הגדרות!$E$6=0,H1596&gt;הגדרות!$E$5),"",IF(H1596-1&lt;הגדרות!$E$8*(הגדרות!$E$7+1),INT((H1596-1)/(הגדרות!$E$7+1)),הגדרות!$E$8+INT((H1596-1-הגדרות!$E$8*(הגדרות!$E$7+1))/הגדרות!$E$7)))</f>
        <v/>
      </c>
      <c r="J1596" s="0" t="str">
        <f aca="false">IF(I1596="","",IF(H1596-1&lt;הגדרות!$E$8*(הגדרות!$E$7+1),MOD(H1596-1,הגדרות!$E$7+1),MOD(H1596-1-הגדרות!$E$8*(הגדרות!$E$7+1),הגדרות!$E$7)))</f>
        <v/>
      </c>
      <c r="K1596" s="0" t="str">
        <f aca="false">IF(I1596="","",J1596*הגדרות!$E$6+I1596+1)</f>
        <v/>
      </c>
      <c r="L1596" s="0" t="str">
        <f aca="false">IF(K1596="","",MATCH(K1596,$F$2:$F$5001,0))</f>
        <v/>
      </c>
      <c r="M1596" s="0" t="str">
        <f aca="false">IF(I1596="","",INDEX(הגדרות!$A$2:$A$21,MOD(I1596+הגדרות!$E$9,הגדרות!$E$6)+1))</f>
        <v/>
      </c>
    </row>
    <row r="1597" customFormat="false" ht="15" hidden="false" customHeight="false" outlineLevel="0" collapsed="false">
      <c r="A1597" s="0" t="str">
        <f aca="false">IF('הדבקת לידים'!A1597="","",IF(ISNUMBER('הדבקת לידים'!A1597),IF(הגדרות!$E$2&gt;0,TEXT('הדבקת לידים'!A1597,REPT("0",הגדרות!$E$2)),TEXT('הדבקת לידים'!A1597,"0")),TRIM('הדבקת לידים'!A1597)))</f>
        <v/>
      </c>
      <c r="B1597" s="0" t="str">
        <f aca="false">IF('הדבקת לידים'!B1597="","",IF(ISNUMBER('הדבקת לידים'!B1597),IF(הגדרות!$E$3&gt;0,TEXT('הדבקת לידים'!B1597,REPT("0",הגדרות!$E$3)),TEXT('הדבקת לידים'!B1597,"0")),TRIM('הדבקת לידים'!B1597)))</f>
        <v/>
      </c>
      <c r="C1597" s="0" t="n">
        <f aca="false">IF(OR(A1597&lt;&gt;"",B1597&lt;&gt;""),1,0)</f>
        <v>0</v>
      </c>
      <c r="D1597" s="0" t="str">
        <f aca="false">IF(C1597=1,MOD(ABS(SIN(ROW()*12.9898+'הדבקת לידים'!$F$2*78.233+IFERROR(--RIGHT(A1597,6),LEN(A1597))*0.0137+IFERROR(--RIGHT(B1597,6),LEN(B1597))*0.0071))*43758.5453,1),"")</f>
        <v/>
      </c>
      <c r="E1597" s="0" t="str">
        <f aca="false">IF(C1597=1,INT(MOD(ABS(SIN(D1597*7919.123+ROW()*0.618+'הדבקת לידים'!$F$2*1.3))*43758.5453,1)*1000000)*10000+ROW(),"")</f>
        <v/>
      </c>
      <c r="F1597" s="0" t="str">
        <f aca="false">IF(E1597="","",RANK(E1597,$E$2:$E$5001,1))</f>
        <v/>
      </c>
      <c r="G1597" s="0" t="n">
        <f aca="false">IF(A1597="",0,IF(SUMPRODUCT(--($A$2:$A$5001=A1597))&gt;1,1,0))</f>
        <v>0</v>
      </c>
      <c r="H1597" s="0" t="n">
        <f aca="false">ROW()-1</f>
        <v>1596</v>
      </c>
      <c r="I1597" s="0" t="str">
        <f aca="false">IF(OR(הגדרות!$E$6=0,H1597&gt;הגדרות!$E$5),"",IF(H1597-1&lt;הגדרות!$E$8*(הגדרות!$E$7+1),INT((H1597-1)/(הגדרות!$E$7+1)),הגדרות!$E$8+INT((H1597-1-הגדרות!$E$8*(הגדרות!$E$7+1))/הגדרות!$E$7)))</f>
        <v/>
      </c>
      <c r="J1597" s="0" t="str">
        <f aca="false">IF(I1597="","",IF(H1597-1&lt;הגדרות!$E$8*(הגדרות!$E$7+1),MOD(H1597-1,הגדרות!$E$7+1),MOD(H1597-1-הגדרות!$E$8*(הגדרות!$E$7+1),הגדרות!$E$7)))</f>
        <v/>
      </c>
      <c r="K1597" s="0" t="str">
        <f aca="false">IF(I1597="","",J1597*הגדרות!$E$6+I1597+1)</f>
        <v/>
      </c>
      <c r="L1597" s="0" t="str">
        <f aca="false">IF(K1597="","",MATCH(K1597,$F$2:$F$5001,0))</f>
        <v/>
      </c>
      <c r="M1597" s="0" t="str">
        <f aca="false">IF(I1597="","",INDEX(הגדרות!$A$2:$A$21,MOD(I1597+הגדרות!$E$9,הגדרות!$E$6)+1))</f>
        <v/>
      </c>
    </row>
    <row r="1598" customFormat="false" ht="15" hidden="false" customHeight="false" outlineLevel="0" collapsed="false">
      <c r="A1598" s="0" t="str">
        <f aca="false">IF('הדבקת לידים'!A1598="","",IF(ISNUMBER('הדבקת לידים'!A1598),IF(הגדרות!$E$2&gt;0,TEXT('הדבקת לידים'!A1598,REPT("0",הגדרות!$E$2)),TEXT('הדבקת לידים'!A1598,"0")),TRIM('הדבקת לידים'!A1598)))</f>
        <v/>
      </c>
      <c r="B1598" s="0" t="str">
        <f aca="false">IF('הדבקת לידים'!B1598="","",IF(ISNUMBER('הדבקת לידים'!B1598),IF(הגדרות!$E$3&gt;0,TEXT('הדבקת לידים'!B1598,REPT("0",הגדרות!$E$3)),TEXT('הדבקת לידים'!B1598,"0")),TRIM('הדבקת לידים'!B1598)))</f>
        <v/>
      </c>
      <c r="C1598" s="0" t="n">
        <f aca="false">IF(OR(A1598&lt;&gt;"",B1598&lt;&gt;""),1,0)</f>
        <v>0</v>
      </c>
      <c r="D1598" s="0" t="str">
        <f aca="false">IF(C1598=1,MOD(ABS(SIN(ROW()*12.9898+'הדבקת לידים'!$F$2*78.233+IFERROR(--RIGHT(A1598,6),LEN(A1598))*0.0137+IFERROR(--RIGHT(B1598,6),LEN(B1598))*0.0071))*43758.5453,1),"")</f>
        <v/>
      </c>
      <c r="E1598" s="0" t="str">
        <f aca="false">IF(C1598=1,INT(MOD(ABS(SIN(D1598*7919.123+ROW()*0.618+'הדבקת לידים'!$F$2*1.3))*43758.5453,1)*1000000)*10000+ROW(),"")</f>
        <v/>
      </c>
      <c r="F1598" s="0" t="str">
        <f aca="false">IF(E1598="","",RANK(E1598,$E$2:$E$5001,1))</f>
        <v/>
      </c>
      <c r="G1598" s="0" t="n">
        <f aca="false">IF(A1598="",0,IF(SUMPRODUCT(--($A$2:$A$5001=A1598))&gt;1,1,0))</f>
        <v>0</v>
      </c>
      <c r="H1598" s="0" t="n">
        <f aca="false">ROW()-1</f>
        <v>1597</v>
      </c>
      <c r="I1598" s="0" t="str">
        <f aca="false">IF(OR(הגדרות!$E$6=0,H1598&gt;הגדרות!$E$5),"",IF(H1598-1&lt;הגדרות!$E$8*(הגדרות!$E$7+1),INT((H1598-1)/(הגדרות!$E$7+1)),הגדרות!$E$8+INT((H1598-1-הגדרות!$E$8*(הגדרות!$E$7+1))/הגדרות!$E$7)))</f>
        <v/>
      </c>
      <c r="J1598" s="0" t="str">
        <f aca="false">IF(I1598="","",IF(H1598-1&lt;הגדרות!$E$8*(הגדרות!$E$7+1),MOD(H1598-1,הגדרות!$E$7+1),MOD(H1598-1-הגדרות!$E$8*(הגדרות!$E$7+1),הגדרות!$E$7)))</f>
        <v/>
      </c>
      <c r="K1598" s="0" t="str">
        <f aca="false">IF(I1598="","",J1598*הגדרות!$E$6+I1598+1)</f>
        <v/>
      </c>
      <c r="L1598" s="0" t="str">
        <f aca="false">IF(K1598="","",MATCH(K1598,$F$2:$F$5001,0))</f>
        <v/>
      </c>
      <c r="M1598" s="0" t="str">
        <f aca="false">IF(I1598="","",INDEX(הגדרות!$A$2:$A$21,MOD(I1598+הגדרות!$E$9,הגדרות!$E$6)+1))</f>
        <v/>
      </c>
    </row>
    <row r="1599" customFormat="false" ht="15" hidden="false" customHeight="false" outlineLevel="0" collapsed="false">
      <c r="A1599" s="0" t="str">
        <f aca="false">IF('הדבקת לידים'!A1599="","",IF(ISNUMBER('הדבקת לידים'!A1599),IF(הגדרות!$E$2&gt;0,TEXT('הדבקת לידים'!A1599,REPT("0",הגדרות!$E$2)),TEXT('הדבקת לידים'!A1599,"0")),TRIM('הדבקת לידים'!A1599)))</f>
        <v/>
      </c>
      <c r="B1599" s="0" t="str">
        <f aca="false">IF('הדבקת לידים'!B1599="","",IF(ISNUMBER('הדבקת לידים'!B1599),IF(הגדרות!$E$3&gt;0,TEXT('הדבקת לידים'!B1599,REPT("0",הגדרות!$E$3)),TEXT('הדבקת לידים'!B1599,"0")),TRIM('הדבקת לידים'!B1599)))</f>
        <v/>
      </c>
      <c r="C1599" s="0" t="n">
        <f aca="false">IF(OR(A1599&lt;&gt;"",B1599&lt;&gt;""),1,0)</f>
        <v>0</v>
      </c>
      <c r="D1599" s="0" t="str">
        <f aca="false">IF(C1599=1,MOD(ABS(SIN(ROW()*12.9898+'הדבקת לידים'!$F$2*78.233+IFERROR(--RIGHT(A1599,6),LEN(A1599))*0.0137+IFERROR(--RIGHT(B1599,6),LEN(B1599))*0.0071))*43758.5453,1),"")</f>
        <v/>
      </c>
      <c r="E1599" s="0" t="str">
        <f aca="false">IF(C1599=1,INT(MOD(ABS(SIN(D1599*7919.123+ROW()*0.618+'הדבקת לידים'!$F$2*1.3))*43758.5453,1)*1000000)*10000+ROW(),"")</f>
        <v/>
      </c>
      <c r="F1599" s="0" t="str">
        <f aca="false">IF(E1599="","",RANK(E1599,$E$2:$E$5001,1))</f>
        <v/>
      </c>
      <c r="G1599" s="0" t="n">
        <f aca="false">IF(A1599="",0,IF(SUMPRODUCT(--($A$2:$A$5001=A1599))&gt;1,1,0))</f>
        <v>0</v>
      </c>
      <c r="H1599" s="0" t="n">
        <f aca="false">ROW()-1</f>
        <v>1598</v>
      </c>
      <c r="I1599" s="0" t="str">
        <f aca="false">IF(OR(הגדרות!$E$6=0,H1599&gt;הגדרות!$E$5),"",IF(H1599-1&lt;הגדרות!$E$8*(הגדרות!$E$7+1),INT((H1599-1)/(הגדרות!$E$7+1)),הגדרות!$E$8+INT((H1599-1-הגדרות!$E$8*(הגדרות!$E$7+1))/הגדרות!$E$7)))</f>
        <v/>
      </c>
      <c r="J1599" s="0" t="str">
        <f aca="false">IF(I1599="","",IF(H1599-1&lt;הגדרות!$E$8*(הגדרות!$E$7+1),MOD(H1599-1,הגדרות!$E$7+1),MOD(H1599-1-הגדרות!$E$8*(הגדרות!$E$7+1),הגדרות!$E$7)))</f>
        <v/>
      </c>
      <c r="K1599" s="0" t="str">
        <f aca="false">IF(I1599="","",J1599*הגדרות!$E$6+I1599+1)</f>
        <v/>
      </c>
      <c r="L1599" s="0" t="str">
        <f aca="false">IF(K1599="","",MATCH(K1599,$F$2:$F$5001,0))</f>
        <v/>
      </c>
      <c r="M1599" s="0" t="str">
        <f aca="false">IF(I1599="","",INDEX(הגדרות!$A$2:$A$21,MOD(I1599+הגדרות!$E$9,הגדרות!$E$6)+1))</f>
        <v/>
      </c>
    </row>
    <row r="1600" customFormat="false" ht="15" hidden="false" customHeight="false" outlineLevel="0" collapsed="false">
      <c r="A1600" s="0" t="str">
        <f aca="false">IF('הדבקת לידים'!A1600="","",IF(ISNUMBER('הדבקת לידים'!A1600),IF(הגדרות!$E$2&gt;0,TEXT('הדבקת לידים'!A1600,REPT("0",הגדרות!$E$2)),TEXT('הדבקת לידים'!A1600,"0")),TRIM('הדבקת לידים'!A1600)))</f>
        <v/>
      </c>
      <c r="B1600" s="0" t="str">
        <f aca="false">IF('הדבקת לידים'!B1600="","",IF(ISNUMBER('הדבקת לידים'!B1600),IF(הגדרות!$E$3&gt;0,TEXT('הדבקת לידים'!B1600,REPT("0",הגדרות!$E$3)),TEXT('הדבקת לידים'!B1600,"0")),TRIM('הדבקת לידים'!B1600)))</f>
        <v/>
      </c>
      <c r="C1600" s="0" t="n">
        <f aca="false">IF(OR(A1600&lt;&gt;"",B1600&lt;&gt;""),1,0)</f>
        <v>0</v>
      </c>
      <c r="D1600" s="0" t="str">
        <f aca="false">IF(C1600=1,MOD(ABS(SIN(ROW()*12.9898+'הדבקת לידים'!$F$2*78.233+IFERROR(--RIGHT(A1600,6),LEN(A1600))*0.0137+IFERROR(--RIGHT(B1600,6),LEN(B1600))*0.0071))*43758.5453,1),"")</f>
        <v/>
      </c>
      <c r="E1600" s="0" t="str">
        <f aca="false">IF(C1600=1,INT(MOD(ABS(SIN(D1600*7919.123+ROW()*0.618+'הדבקת לידים'!$F$2*1.3))*43758.5453,1)*1000000)*10000+ROW(),"")</f>
        <v/>
      </c>
      <c r="F1600" s="0" t="str">
        <f aca="false">IF(E1600="","",RANK(E1600,$E$2:$E$5001,1))</f>
        <v/>
      </c>
      <c r="G1600" s="0" t="n">
        <f aca="false">IF(A1600="",0,IF(SUMPRODUCT(--($A$2:$A$5001=A1600))&gt;1,1,0))</f>
        <v>0</v>
      </c>
      <c r="H1600" s="0" t="n">
        <f aca="false">ROW()-1</f>
        <v>1599</v>
      </c>
      <c r="I1600" s="0" t="str">
        <f aca="false">IF(OR(הגדרות!$E$6=0,H1600&gt;הגדרות!$E$5),"",IF(H1600-1&lt;הגדרות!$E$8*(הגדרות!$E$7+1),INT((H1600-1)/(הגדרות!$E$7+1)),הגדרות!$E$8+INT((H1600-1-הגדרות!$E$8*(הגדרות!$E$7+1))/הגדרות!$E$7)))</f>
        <v/>
      </c>
      <c r="J1600" s="0" t="str">
        <f aca="false">IF(I1600="","",IF(H1600-1&lt;הגדרות!$E$8*(הגדרות!$E$7+1),MOD(H1600-1,הגדרות!$E$7+1),MOD(H1600-1-הגדרות!$E$8*(הגדרות!$E$7+1),הגדרות!$E$7)))</f>
        <v/>
      </c>
      <c r="K1600" s="0" t="str">
        <f aca="false">IF(I1600="","",J1600*הגדרות!$E$6+I1600+1)</f>
        <v/>
      </c>
      <c r="L1600" s="0" t="str">
        <f aca="false">IF(K1600="","",MATCH(K1600,$F$2:$F$5001,0))</f>
        <v/>
      </c>
      <c r="M1600" s="0" t="str">
        <f aca="false">IF(I1600="","",INDEX(הגדרות!$A$2:$A$21,MOD(I1600+הגדרות!$E$9,הגדרות!$E$6)+1))</f>
        <v/>
      </c>
    </row>
    <row r="1601" customFormat="false" ht="15" hidden="false" customHeight="false" outlineLevel="0" collapsed="false">
      <c r="A1601" s="0" t="str">
        <f aca="false">IF('הדבקת לידים'!A1601="","",IF(ISNUMBER('הדבקת לידים'!A1601),IF(הגדרות!$E$2&gt;0,TEXT('הדבקת לידים'!A1601,REPT("0",הגדרות!$E$2)),TEXT('הדבקת לידים'!A1601,"0")),TRIM('הדבקת לידים'!A1601)))</f>
        <v/>
      </c>
      <c r="B1601" s="0" t="str">
        <f aca="false">IF('הדבקת לידים'!B1601="","",IF(ISNUMBER('הדבקת לידים'!B1601),IF(הגדרות!$E$3&gt;0,TEXT('הדבקת לידים'!B1601,REPT("0",הגדרות!$E$3)),TEXT('הדבקת לידים'!B1601,"0")),TRIM('הדבקת לידים'!B1601)))</f>
        <v/>
      </c>
      <c r="C1601" s="0" t="n">
        <f aca="false">IF(OR(A1601&lt;&gt;"",B1601&lt;&gt;""),1,0)</f>
        <v>0</v>
      </c>
      <c r="D1601" s="0" t="str">
        <f aca="false">IF(C1601=1,MOD(ABS(SIN(ROW()*12.9898+'הדבקת לידים'!$F$2*78.233+IFERROR(--RIGHT(A1601,6),LEN(A1601))*0.0137+IFERROR(--RIGHT(B1601,6),LEN(B1601))*0.0071))*43758.5453,1),"")</f>
        <v/>
      </c>
      <c r="E1601" s="0" t="str">
        <f aca="false">IF(C1601=1,INT(MOD(ABS(SIN(D1601*7919.123+ROW()*0.618+'הדבקת לידים'!$F$2*1.3))*43758.5453,1)*1000000)*10000+ROW(),"")</f>
        <v/>
      </c>
      <c r="F1601" s="0" t="str">
        <f aca="false">IF(E1601="","",RANK(E1601,$E$2:$E$5001,1))</f>
        <v/>
      </c>
      <c r="G1601" s="0" t="n">
        <f aca="false">IF(A1601="",0,IF(SUMPRODUCT(--($A$2:$A$5001=A1601))&gt;1,1,0))</f>
        <v>0</v>
      </c>
      <c r="H1601" s="0" t="n">
        <f aca="false">ROW()-1</f>
        <v>1600</v>
      </c>
      <c r="I1601" s="0" t="str">
        <f aca="false">IF(OR(הגדרות!$E$6=0,H1601&gt;הגדרות!$E$5),"",IF(H1601-1&lt;הגדרות!$E$8*(הגדרות!$E$7+1),INT((H1601-1)/(הגדרות!$E$7+1)),הגדרות!$E$8+INT((H1601-1-הגדרות!$E$8*(הגדרות!$E$7+1))/הגדרות!$E$7)))</f>
        <v/>
      </c>
      <c r="J1601" s="0" t="str">
        <f aca="false">IF(I1601="","",IF(H1601-1&lt;הגדרות!$E$8*(הגדרות!$E$7+1),MOD(H1601-1,הגדרות!$E$7+1),MOD(H1601-1-הגדרות!$E$8*(הגדרות!$E$7+1),הגדרות!$E$7)))</f>
        <v/>
      </c>
      <c r="K1601" s="0" t="str">
        <f aca="false">IF(I1601="","",J1601*הגדרות!$E$6+I1601+1)</f>
        <v/>
      </c>
      <c r="L1601" s="0" t="str">
        <f aca="false">IF(K1601="","",MATCH(K1601,$F$2:$F$5001,0))</f>
        <v/>
      </c>
      <c r="M1601" s="0" t="str">
        <f aca="false">IF(I1601="","",INDEX(הגדרות!$A$2:$A$21,MOD(I1601+הגדרות!$E$9,הגדרות!$E$6)+1))</f>
        <v/>
      </c>
    </row>
    <row r="1602" customFormat="false" ht="15" hidden="false" customHeight="false" outlineLevel="0" collapsed="false">
      <c r="A1602" s="0" t="str">
        <f aca="false">IF('הדבקת לידים'!A1602="","",IF(ISNUMBER('הדבקת לידים'!A1602),IF(הגדרות!$E$2&gt;0,TEXT('הדבקת לידים'!A1602,REPT("0",הגדרות!$E$2)),TEXT('הדבקת לידים'!A1602,"0")),TRIM('הדבקת לידים'!A1602)))</f>
        <v/>
      </c>
      <c r="B1602" s="0" t="str">
        <f aca="false">IF('הדבקת לידים'!B1602="","",IF(ISNUMBER('הדבקת לידים'!B1602),IF(הגדרות!$E$3&gt;0,TEXT('הדבקת לידים'!B1602,REPT("0",הגדרות!$E$3)),TEXT('הדבקת לידים'!B1602,"0")),TRIM('הדבקת לידים'!B1602)))</f>
        <v/>
      </c>
      <c r="C1602" s="0" t="n">
        <f aca="false">IF(OR(A1602&lt;&gt;"",B1602&lt;&gt;""),1,0)</f>
        <v>0</v>
      </c>
      <c r="D1602" s="0" t="str">
        <f aca="false">IF(C1602=1,MOD(ABS(SIN(ROW()*12.9898+'הדבקת לידים'!$F$2*78.233+IFERROR(--RIGHT(A1602,6),LEN(A1602))*0.0137+IFERROR(--RIGHT(B1602,6),LEN(B1602))*0.0071))*43758.5453,1),"")</f>
        <v/>
      </c>
      <c r="E1602" s="0" t="str">
        <f aca="false">IF(C1602=1,INT(MOD(ABS(SIN(D1602*7919.123+ROW()*0.618+'הדבקת לידים'!$F$2*1.3))*43758.5453,1)*1000000)*10000+ROW(),"")</f>
        <v/>
      </c>
      <c r="F1602" s="0" t="str">
        <f aca="false">IF(E1602="","",RANK(E1602,$E$2:$E$5001,1))</f>
        <v/>
      </c>
      <c r="G1602" s="0" t="n">
        <f aca="false">IF(A1602="",0,IF(SUMPRODUCT(--($A$2:$A$5001=A1602))&gt;1,1,0))</f>
        <v>0</v>
      </c>
      <c r="H1602" s="0" t="n">
        <f aca="false">ROW()-1</f>
        <v>1601</v>
      </c>
      <c r="I1602" s="0" t="str">
        <f aca="false">IF(OR(הגדרות!$E$6=0,H1602&gt;הגדרות!$E$5),"",IF(H1602-1&lt;הגדרות!$E$8*(הגדרות!$E$7+1),INT((H1602-1)/(הגדרות!$E$7+1)),הגדרות!$E$8+INT((H1602-1-הגדרות!$E$8*(הגדרות!$E$7+1))/הגדרות!$E$7)))</f>
        <v/>
      </c>
      <c r="J1602" s="0" t="str">
        <f aca="false">IF(I1602="","",IF(H1602-1&lt;הגדרות!$E$8*(הגדרות!$E$7+1),MOD(H1602-1,הגדרות!$E$7+1),MOD(H1602-1-הגדרות!$E$8*(הגדרות!$E$7+1),הגדרות!$E$7)))</f>
        <v/>
      </c>
      <c r="K1602" s="0" t="str">
        <f aca="false">IF(I1602="","",J1602*הגדרות!$E$6+I1602+1)</f>
        <v/>
      </c>
      <c r="L1602" s="0" t="str">
        <f aca="false">IF(K1602="","",MATCH(K1602,$F$2:$F$5001,0))</f>
        <v/>
      </c>
      <c r="M1602" s="0" t="str">
        <f aca="false">IF(I1602="","",INDEX(הגדרות!$A$2:$A$21,MOD(I1602+הגדרות!$E$9,הגדרות!$E$6)+1))</f>
        <v/>
      </c>
    </row>
    <row r="1603" customFormat="false" ht="15" hidden="false" customHeight="false" outlineLevel="0" collapsed="false">
      <c r="A1603" s="0" t="str">
        <f aca="false">IF('הדבקת לידים'!A1603="","",IF(ISNUMBER('הדבקת לידים'!A1603),IF(הגדרות!$E$2&gt;0,TEXT('הדבקת לידים'!A1603,REPT("0",הגדרות!$E$2)),TEXT('הדבקת לידים'!A1603,"0")),TRIM('הדבקת לידים'!A1603)))</f>
        <v/>
      </c>
      <c r="B1603" s="0" t="str">
        <f aca="false">IF('הדבקת לידים'!B1603="","",IF(ISNUMBER('הדבקת לידים'!B1603),IF(הגדרות!$E$3&gt;0,TEXT('הדבקת לידים'!B1603,REPT("0",הגדרות!$E$3)),TEXT('הדבקת לידים'!B1603,"0")),TRIM('הדבקת לידים'!B1603)))</f>
        <v/>
      </c>
      <c r="C1603" s="0" t="n">
        <f aca="false">IF(OR(A1603&lt;&gt;"",B1603&lt;&gt;""),1,0)</f>
        <v>0</v>
      </c>
      <c r="D1603" s="0" t="str">
        <f aca="false">IF(C1603=1,MOD(ABS(SIN(ROW()*12.9898+'הדבקת לידים'!$F$2*78.233+IFERROR(--RIGHT(A1603,6),LEN(A1603))*0.0137+IFERROR(--RIGHT(B1603,6),LEN(B1603))*0.0071))*43758.5453,1),"")</f>
        <v/>
      </c>
      <c r="E1603" s="0" t="str">
        <f aca="false">IF(C1603=1,INT(MOD(ABS(SIN(D1603*7919.123+ROW()*0.618+'הדבקת לידים'!$F$2*1.3))*43758.5453,1)*1000000)*10000+ROW(),"")</f>
        <v/>
      </c>
      <c r="F1603" s="0" t="str">
        <f aca="false">IF(E1603="","",RANK(E1603,$E$2:$E$5001,1))</f>
        <v/>
      </c>
      <c r="G1603" s="0" t="n">
        <f aca="false">IF(A1603="",0,IF(SUMPRODUCT(--($A$2:$A$5001=A1603))&gt;1,1,0))</f>
        <v>0</v>
      </c>
      <c r="H1603" s="0" t="n">
        <f aca="false">ROW()-1</f>
        <v>1602</v>
      </c>
      <c r="I1603" s="0" t="str">
        <f aca="false">IF(OR(הגדרות!$E$6=0,H1603&gt;הגדרות!$E$5),"",IF(H1603-1&lt;הגדרות!$E$8*(הגדרות!$E$7+1),INT((H1603-1)/(הגדרות!$E$7+1)),הגדרות!$E$8+INT((H1603-1-הגדרות!$E$8*(הגדרות!$E$7+1))/הגדרות!$E$7)))</f>
        <v/>
      </c>
      <c r="J1603" s="0" t="str">
        <f aca="false">IF(I1603="","",IF(H1603-1&lt;הגדרות!$E$8*(הגדרות!$E$7+1),MOD(H1603-1,הגדרות!$E$7+1),MOD(H1603-1-הגדרות!$E$8*(הגדרות!$E$7+1),הגדרות!$E$7)))</f>
        <v/>
      </c>
      <c r="K1603" s="0" t="str">
        <f aca="false">IF(I1603="","",J1603*הגדרות!$E$6+I1603+1)</f>
        <v/>
      </c>
      <c r="L1603" s="0" t="str">
        <f aca="false">IF(K1603="","",MATCH(K1603,$F$2:$F$5001,0))</f>
        <v/>
      </c>
      <c r="M1603" s="0" t="str">
        <f aca="false">IF(I1603="","",INDEX(הגדרות!$A$2:$A$21,MOD(I1603+הגדרות!$E$9,הגדרות!$E$6)+1))</f>
        <v/>
      </c>
    </row>
    <row r="1604" customFormat="false" ht="15" hidden="false" customHeight="false" outlineLevel="0" collapsed="false">
      <c r="A1604" s="0" t="str">
        <f aca="false">IF('הדבקת לידים'!A1604="","",IF(ISNUMBER('הדבקת לידים'!A1604),IF(הגדרות!$E$2&gt;0,TEXT('הדבקת לידים'!A1604,REPT("0",הגדרות!$E$2)),TEXT('הדבקת לידים'!A1604,"0")),TRIM('הדבקת לידים'!A1604)))</f>
        <v/>
      </c>
      <c r="B1604" s="0" t="str">
        <f aca="false">IF('הדבקת לידים'!B1604="","",IF(ISNUMBER('הדבקת לידים'!B1604),IF(הגדרות!$E$3&gt;0,TEXT('הדבקת לידים'!B1604,REPT("0",הגדרות!$E$3)),TEXT('הדבקת לידים'!B1604,"0")),TRIM('הדבקת לידים'!B1604)))</f>
        <v/>
      </c>
      <c r="C1604" s="0" t="n">
        <f aca="false">IF(OR(A1604&lt;&gt;"",B1604&lt;&gt;""),1,0)</f>
        <v>0</v>
      </c>
      <c r="D1604" s="0" t="str">
        <f aca="false">IF(C1604=1,MOD(ABS(SIN(ROW()*12.9898+'הדבקת לידים'!$F$2*78.233+IFERROR(--RIGHT(A1604,6),LEN(A1604))*0.0137+IFERROR(--RIGHT(B1604,6),LEN(B1604))*0.0071))*43758.5453,1),"")</f>
        <v/>
      </c>
      <c r="E1604" s="0" t="str">
        <f aca="false">IF(C1604=1,INT(MOD(ABS(SIN(D1604*7919.123+ROW()*0.618+'הדבקת לידים'!$F$2*1.3))*43758.5453,1)*1000000)*10000+ROW(),"")</f>
        <v/>
      </c>
      <c r="F1604" s="0" t="str">
        <f aca="false">IF(E1604="","",RANK(E1604,$E$2:$E$5001,1))</f>
        <v/>
      </c>
      <c r="G1604" s="0" t="n">
        <f aca="false">IF(A1604="",0,IF(SUMPRODUCT(--($A$2:$A$5001=A1604))&gt;1,1,0))</f>
        <v>0</v>
      </c>
      <c r="H1604" s="0" t="n">
        <f aca="false">ROW()-1</f>
        <v>1603</v>
      </c>
      <c r="I1604" s="0" t="str">
        <f aca="false">IF(OR(הגדרות!$E$6=0,H1604&gt;הגדרות!$E$5),"",IF(H1604-1&lt;הגדרות!$E$8*(הגדרות!$E$7+1),INT((H1604-1)/(הגדרות!$E$7+1)),הגדרות!$E$8+INT((H1604-1-הגדרות!$E$8*(הגדרות!$E$7+1))/הגדרות!$E$7)))</f>
        <v/>
      </c>
      <c r="J1604" s="0" t="str">
        <f aca="false">IF(I1604="","",IF(H1604-1&lt;הגדרות!$E$8*(הגדרות!$E$7+1),MOD(H1604-1,הגדרות!$E$7+1),MOD(H1604-1-הגדרות!$E$8*(הגדרות!$E$7+1),הגדרות!$E$7)))</f>
        <v/>
      </c>
      <c r="K1604" s="0" t="str">
        <f aca="false">IF(I1604="","",J1604*הגדרות!$E$6+I1604+1)</f>
        <v/>
      </c>
      <c r="L1604" s="0" t="str">
        <f aca="false">IF(K1604="","",MATCH(K1604,$F$2:$F$5001,0))</f>
        <v/>
      </c>
      <c r="M1604" s="0" t="str">
        <f aca="false">IF(I1604="","",INDEX(הגדרות!$A$2:$A$21,MOD(I1604+הגדרות!$E$9,הגדרות!$E$6)+1))</f>
        <v/>
      </c>
    </row>
    <row r="1605" customFormat="false" ht="15" hidden="false" customHeight="false" outlineLevel="0" collapsed="false">
      <c r="A1605" s="0" t="str">
        <f aca="false">IF('הדבקת לידים'!A1605="","",IF(ISNUMBER('הדבקת לידים'!A1605),IF(הגדרות!$E$2&gt;0,TEXT('הדבקת לידים'!A1605,REPT("0",הגדרות!$E$2)),TEXT('הדבקת לידים'!A1605,"0")),TRIM('הדבקת לידים'!A1605)))</f>
        <v/>
      </c>
      <c r="B1605" s="0" t="str">
        <f aca="false">IF('הדבקת לידים'!B1605="","",IF(ISNUMBER('הדבקת לידים'!B1605),IF(הגדרות!$E$3&gt;0,TEXT('הדבקת לידים'!B1605,REPT("0",הגדרות!$E$3)),TEXT('הדבקת לידים'!B1605,"0")),TRIM('הדבקת לידים'!B1605)))</f>
        <v/>
      </c>
      <c r="C1605" s="0" t="n">
        <f aca="false">IF(OR(A1605&lt;&gt;"",B1605&lt;&gt;""),1,0)</f>
        <v>0</v>
      </c>
      <c r="D1605" s="0" t="str">
        <f aca="false">IF(C1605=1,MOD(ABS(SIN(ROW()*12.9898+'הדבקת לידים'!$F$2*78.233+IFERROR(--RIGHT(A1605,6),LEN(A1605))*0.0137+IFERROR(--RIGHT(B1605,6),LEN(B1605))*0.0071))*43758.5453,1),"")</f>
        <v/>
      </c>
      <c r="E1605" s="0" t="str">
        <f aca="false">IF(C1605=1,INT(MOD(ABS(SIN(D1605*7919.123+ROW()*0.618+'הדבקת לידים'!$F$2*1.3))*43758.5453,1)*1000000)*10000+ROW(),"")</f>
        <v/>
      </c>
      <c r="F1605" s="0" t="str">
        <f aca="false">IF(E1605="","",RANK(E1605,$E$2:$E$5001,1))</f>
        <v/>
      </c>
      <c r="G1605" s="0" t="n">
        <f aca="false">IF(A1605="",0,IF(SUMPRODUCT(--($A$2:$A$5001=A1605))&gt;1,1,0))</f>
        <v>0</v>
      </c>
      <c r="H1605" s="0" t="n">
        <f aca="false">ROW()-1</f>
        <v>1604</v>
      </c>
      <c r="I1605" s="0" t="str">
        <f aca="false">IF(OR(הגדרות!$E$6=0,H1605&gt;הגדרות!$E$5),"",IF(H1605-1&lt;הגדרות!$E$8*(הגדרות!$E$7+1),INT((H1605-1)/(הגדרות!$E$7+1)),הגדרות!$E$8+INT((H1605-1-הגדרות!$E$8*(הגדרות!$E$7+1))/הגדרות!$E$7)))</f>
        <v/>
      </c>
      <c r="J1605" s="0" t="str">
        <f aca="false">IF(I1605="","",IF(H1605-1&lt;הגדרות!$E$8*(הגדרות!$E$7+1),MOD(H1605-1,הגדרות!$E$7+1),MOD(H1605-1-הגדרות!$E$8*(הגדרות!$E$7+1),הגדרות!$E$7)))</f>
        <v/>
      </c>
      <c r="K1605" s="0" t="str">
        <f aca="false">IF(I1605="","",J1605*הגדרות!$E$6+I1605+1)</f>
        <v/>
      </c>
      <c r="L1605" s="0" t="str">
        <f aca="false">IF(K1605="","",MATCH(K1605,$F$2:$F$5001,0))</f>
        <v/>
      </c>
      <c r="M1605" s="0" t="str">
        <f aca="false">IF(I1605="","",INDEX(הגדרות!$A$2:$A$21,MOD(I1605+הגדרות!$E$9,הגדרות!$E$6)+1))</f>
        <v/>
      </c>
    </row>
    <row r="1606" customFormat="false" ht="15" hidden="false" customHeight="false" outlineLevel="0" collapsed="false">
      <c r="A1606" s="0" t="str">
        <f aca="false">IF('הדבקת לידים'!A1606="","",IF(ISNUMBER('הדבקת לידים'!A1606),IF(הגדרות!$E$2&gt;0,TEXT('הדבקת לידים'!A1606,REPT("0",הגדרות!$E$2)),TEXT('הדבקת לידים'!A1606,"0")),TRIM('הדבקת לידים'!A1606)))</f>
        <v/>
      </c>
      <c r="B1606" s="0" t="str">
        <f aca="false">IF('הדבקת לידים'!B1606="","",IF(ISNUMBER('הדבקת לידים'!B1606),IF(הגדרות!$E$3&gt;0,TEXT('הדבקת לידים'!B1606,REPT("0",הגדרות!$E$3)),TEXT('הדבקת לידים'!B1606,"0")),TRIM('הדבקת לידים'!B1606)))</f>
        <v/>
      </c>
      <c r="C1606" s="0" t="n">
        <f aca="false">IF(OR(A1606&lt;&gt;"",B1606&lt;&gt;""),1,0)</f>
        <v>0</v>
      </c>
      <c r="D1606" s="0" t="str">
        <f aca="false">IF(C1606=1,MOD(ABS(SIN(ROW()*12.9898+'הדבקת לידים'!$F$2*78.233+IFERROR(--RIGHT(A1606,6),LEN(A1606))*0.0137+IFERROR(--RIGHT(B1606,6),LEN(B1606))*0.0071))*43758.5453,1),"")</f>
        <v/>
      </c>
      <c r="E1606" s="0" t="str">
        <f aca="false">IF(C1606=1,INT(MOD(ABS(SIN(D1606*7919.123+ROW()*0.618+'הדבקת לידים'!$F$2*1.3))*43758.5453,1)*1000000)*10000+ROW(),"")</f>
        <v/>
      </c>
      <c r="F1606" s="0" t="str">
        <f aca="false">IF(E1606="","",RANK(E1606,$E$2:$E$5001,1))</f>
        <v/>
      </c>
      <c r="G1606" s="0" t="n">
        <f aca="false">IF(A1606="",0,IF(SUMPRODUCT(--($A$2:$A$5001=A1606))&gt;1,1,0))</f>
        <v>0</v>
      </c>
      <c r="H1606" s="0" t="n">
        <f aca="false">ROW()-1</f>
        <v>1605</v>
      </c>
      <c r="I1606" s="0" t="str">
        <f aca="false">IF(OR(הגדרות!$E$6=0,H1606&gt;הגדרות!$E$5),"",IF(H1606-1&lt;הגדרות!$E$8*(הגדרות!$E$7+1),INT((H1606-1)/(הגדרות!$E$7+1)),הגדרות!$E$8+INT((H1606-1-הגדרות!$E$8*(הגדרות!$E$7+1))/הגדרות!$E$7)))</f>
        <v/>
      </c>
      <c r="J1606" s="0" t="str">
        <f aca="false">IF(I1606="","",IF(H1606-1&lt;הגדרות!$E$8*(הגדרות!$E$7+1),MOD(H1606-1,הגדרות!$E$7+1),MOD(H1606-1-הגדרות!$E$8*(הגדרות!$E$7+1),הגדרות!$E$7)))</f>
        <v/>
      </c>
      <c r="K1606" s="0" t="str">
        <f aca="false">IF(I1606="","",J1606*הגדרות!$E$6+I1606+1)</f>
        <v/>
      </c>
      <c r="L1606" s="0" t="str">
        <f aca="false">IF(K1606="","",MATCH(K1606,$F$2:$F$5001,0))</f>
        <v/>
      </c>
      <c r="M1606" s="0" t="str">
        <f aca="false">IF(I1606="","",INDEX(הגדרות!$A$2:$A$21,MOD(I1606+הגדרות!$E$9,הגדרות!$E$6)+1))</f>
        <v/>
      </c>
    </row>
    <row r="1607" customFormat="false" ht="15" hidden="false" customHeight="false" outlineLevel="0" collapsed="false">
      <c r="A1607" s="0" t="str">
        <f aca="false">IF('הדבקת לידים'!A1607="","",IF(ISNUMBER('הדבקת לידים'!A1607),IF(הגדרות!$E$2&gt;0,TEXT('הדבקת לידים'!A1607,REPT("0",הגדרות!$E$2)),TEXT('הדבקת לידים'!A1607,"0")),TRIM('הדבקת לידים'!A1607)))</f>
        <v/>
      </c>
      <c r="B1607" s="0" t="str">
        <f aca="false">IF('הדבקת לידים'!B1607="","",IF(ISNUMBER('הדבקת לידים'!B1607),IF(הגדרות!$E$3&gt;0,TEXT('הדבקת לידים'!B1607,REPT("0",הגדרות!$E$3)),TEXT('הדבקת לידים'!B1607,"0")),TRIM('הדבקת לידים'!B1607)))</f>
        <v/>
      </c>
      <c r="C1607" s="0" t="n">
        <f aca="false">IF(OR(A1607&lt;&gt;"",B1607&lt;&gt;""),1,0)</f>
        <v>0</v>
      </c>
      <c r="D1607" s="0" t="str">
        <f aca="false">IF(C1607=1,MOD(ABS(SIN(ROW()*12.9898+'הדבקת לידים'!$F$2*78.233+IFERROR(--RIGHT(A1607,6),LEN(A1607))*0.0137+IFERROR(--RIGHT(B1607,6),LEN(B1607))*0.0071))*43758.5453,1),"")</f>
        <v/>
      </c>
      <c r="E1607" s="0" t="str">
        <f aca="false">IF(C1607=1,INT(MOD(ABS(SIN(D1607*7919.123+ROW()*0.618+'הדבקת לידים'!$F$2*1.3))*43758.5453,1)*1000000)*10000+ROW(),"")</f>
        <v/>
      </c>
      <c r="F1607" s="0" t="str">
        <f aca="false">IF(E1607="","",RANK(E1607,$E$2:$E$5001,1))</f>
        <v/>
      </c>
      <c r="G1607" s="0" t="n">
        <f aca="false">IF(A1607="",0,IF(SUMPRODUCT(--($A$2:$A$5001=A1607))&gt;1,1,0))</f>
        <v>0</v>
      </c>
      <c r="H1607" s="0" t="n">
        <f aca="false">ROW()-1</f>
        <v>1606</v>
      </c>
      <c r="I1607" s="0" t="str">
        <f aca="false">IF(OR(הגדרות!$E$6=0,H1607&gt;הגדרות!$E$5),"",IF(H1607-1&lt;הגדרות!$E$8*(הגדרות!$E$7+1),INT((H1607-1)/(הגדרות!$E$7+1)),הגדרות!$E$8+INT((H1607-1-הגדרות!$E$8*(הגדרות!$E$7+1))/הגדרות!$E$7)))</f>
        <v/>
      </c>
      <c r="J1607" s="0" t="str">
        <f aca="false">IF(I1607="","",IF(H1607-1&lt;הגדרות!$E$8*(הגדרות!$E$7+1),MOD(H1607-1,הגדרות!$E$7+1),MOD(H1607-1-הגדרות!$E$8*(הגדרות!$E$7+1),הגדרות!$E$7)))</f>
        <v/>
      </c>
      <c r="K1607" s="0" t="str">
        <f aca="false">IF(I1607="","",J1607*הגדרות!$E$6+I1607+1)</f>
        <v/>
      </c>
      <c r="L1607" s="0" t="str">
        <f aca="false">IF(K1607="","",MATCH(K1607,$F$2:$F$5001,0))</f>
        <v/>
      </c>
      <c r="M1607" s="0" t="str">
        <f aca="false">IF(I1607="","",INDEX(הגדרות!$A$2:$A$21,MOD(I1607+הגדרות!$E$9,הגדרות!$E$6)+1))</f>
        <v/>
      </c>
    </row>
    <row r="1608" customFormat="false" ht="15" hidden="false" customHeight="false" outlineLevel="0" collapsed="false">
      <c r="A1608" s="0" t="str">
        <f aca="false">IF('הדבקת לידים'!A1608="","",IF(ISNUMBER('הדבקת לידים'!A1608),IF(הגדרות!$E$2&gt;0,TEXT('הדבקת לידים'!A1608,REPT("0",הגדרות!$E$2)),TEXT('הדבקת לידים'!A1608,"0")),TRIM('הדבקת לידים'!A1608)))</f>
        <v/>
      </c>
      <c r="B1608" s="0" t="str">
        <f aca="false">IF('הדבקת לידים'!B1608="","",IF(ISNUMBER('הדבקת לידים'!B1608),IF(הגדרות!$E$3&gt;0,TEXT('הדבקת לידים'!B1608,REPT("0",הגדרות!$E$3)),TEXT('הדבקת לידים'!B1608,"0")),TRIM('הדבקת לידים'!B1608)))</f>
        <v/>
      </c>
      <c r="C1608" s="0" t="n">
        <f aca="false">IF(OR(A1608&lt;&gt;"",B1608&lt;&gt;""),1,0)</f>
        <v>0</v>
      </c>
      <c r="D1608" s="0" t="str">
        <f aca="false">IF(C1608=1,MOD(ABS(SIN(ROW()*12.9898+'הדבקת לידים'!$F$2*78.233+IFERROR(--RIGHT(A1608,6),LEN(A1608))*0.0137+IFERROR(--RIGHT(B1608,6),LEN(B1608))*0.0071))*43758.5453,1),"")</f>
        <v/>
      </c>
      <c r="E1608" s="0" t="str">
        <f aca="false">IF(C1608=1,INT(MOD(ABS(SIN(D1608*7919.123+ROW()*0.618+'הדבקת לידים'!$F$2*1.3))*43758.5453,1)*1000000)*10000+ROW(),"")</f>
        <v/>
      </c>
      <c r="F1608" s="0" t="str">
        <f aca="false">IF(E1608="","",RANK(E1608,$E$2:$E$5001,1))</f>
        <v/>
      </c>
      <c r="G1608" s="0" t="n">
        <f aca="false">IF(A1608="",0,IF(SUMPRODUCT(--($A$2:$A$5001=A1608))&gt;1,1,0))</f>
        <v>0</v>
      </c>
      <c r="H1608" s="0" t="n">
        <f aca="false">ROW()-1</f>
        <v>1607</v>
      </c>
      <c r="I1608" s="0" t="str">
        <f aca="false">IF(OR(הגדרות!$E$6=0,H1608&gt;הגדרות!$E$5),"",IF(H1608-1&lt;הגדרות!$E$8*(הגדרות!$E$7+1),INT((H1608-1)/(הגדרות!$E$7+1)),הגדרות!$E$8+INT((H1608-1-הגדרות!$E$8*(הגדרות!$E$7+1))/הגדרות!$E$7)))</f>
        <v/>
      </c>
      <c r="J1608" s="0" t="str">
        <f aca="false">IF(I1608="","",IF(H1608-1&lt;הגדרות!$E$8*(הגדרות!$E$7+1),MOD(H1608-1,הגדרות!$E$7+1),MOD(H1608-1-הגדרות!$E$8*(הגדרות!$E$7+1),הגדרות!$E$7)))</f>
        <v/>
      </c>
      <c r="K1608" s="0" t="str">
        <f aca="false">IF(I1608="","",J1608*הגדרות!$E$6+I1608+1)</f>
        <v/>
      </c>
      <c r="L1608" s="0" t="str">
        <f aca="false">IF(K1608="","",MATCH(K1608,$F$2:$F$5001,0))</f>
        <v/>
      </c>
      <c r="M1608" s="0" t="str">
        <f aca="false">IF(I1608="","",INDEX(הגדרות!$A$2:$A$21,MOD(I1608+הגדרות!$E$9,הגדרות!$E$6)+1))</f>
        <v/>
      </c>
    </row>
    <row r="1609" customFormat="false" ht="15" hidden="false" customHeight="false" outlineLevel="0" collapsed="false">
      <c r="A1609" s="0" t="str">
        <f aca="false">IF('הדבקת לידים'!A1609="","",IF(ISNUMBER('הדבקת לידים'!A1609),IF(הגדרות!$E$2&gt;0,TEXT('הדבקת לידים'!A1609,REPT("0",הגדרות!$E$2)),TEXT('הדבקת לידים'!A1609,"0")),TRIM('הדבקת לידים'!A1609)))</f>
        <v/>
      </c>
      <c r="B1609" s="0" t="str">
        <f aca="false">IF('הדבקת לידים'!B1609="","",IF(ISNUMBER('הדבקת לידים'!B1609),IF(הגדרות!$E$3&gt;0,TEXT('הדבקת לידים'!B1609,REPT("0",הגדרות!$E$3)),TEXT('הדבקת לידים'!B1609,"0")),TRIM('הדבקת לידים'!B1609)))</f>
        <v/>
      </c>
      <c r="C1609" s="0" t="n">
        <f aca="false">IF(OR(A1609&lt;&gt;"",B1609&lt;&gt;""),1,0)</f>
        <v>0</v>
      </c>
      <c r="D1609" s="0" t="str">
        <f aca="false">IF(C1609=1,MOD(ABS(SIN(ROW()*12.9898+'הדבקת לידים'!$F$2*78.233+IFERROR(--RIGHT(A1609,6),LEN(A1609))*0.0137+IFERROR(--RIGHT(B1609,6),LEN(B1609))*0.0071))*43758.5453,1),"")</f>
        <v/>
      </c>
      <c r="E1609" s="0" t="str">
        <f aca="false">IF(C1609=1,INT(MOD(ABS(SIN(D1609*7919.123+ROW()*0.618+'הדבקת לידים'!$F$2*1.3))*43758.5453,1)*1000000)*10000+ROW(),"")</f>
        <v/>
      </c>
      <c r="F1609" s="0" t="str">
        <f aca="false">IF(E1609="","",RANK(E1609,$E$2:$E$5001,1))</f>
        <v/>
      </c>
      <c r="G1609" s="0" t="n">
        <f aca="false">IF(A1609="",0,IF(SUMPRODUCT(--($A$2:$A$5001=A1609))&gt;1,1,0))</f>
        <v>0</v>
      </c>
      <c r="H1609" s="0" t="n">
        <f aca="false">ROW()-1</f>
        <v>1608</v>
      </c>
      <c r="I1609" s="0" t="str">
        <f aca="false">IF(OR(הגדרות!$E$6=0,H1609&gt;הגדרות!$E$5),"",IF(H1609-1&lt;הגדרות!$E$8*(הגדרות!$E$7+1),INT((H1609-1)/(הגדרות!$E$7+1)),הגדרות!$E$8+INT((H1609-1-הגדרות!$E$8*(הגדרות!$E$7+1))/הגדרות!$E$7)))</f>
        <v/>
      </c>
      <c r="J1609" s="0" t="str">
        <f aca="false">IF(I1609="","",IF(H1609-1&lt;הגדרות!$E$8*(הגדרות!$E$7+1),MOD(H1609-1,הגדרות!$E$7+1),MOD(H1609-1-הגדרות!$E$8*(הגדרות!$E$7+1),הגדרות!$E$7)))</f>
        <v/>
      </c>
      <c r="K1609" s="0" t="str">
        <f aca="false">IF(I1609="","",J1609*הגדרות!$E$6+I1609+1)</f>
        <v/>
      </c>
      <c r="L1609" s="0" t="str">
        <f aca="false">IF(K1609="","",MATCH(K1609,$F$2:$F$5001,0))</f>
        <v/>
      </c>
      <c r="M1609" s="0" t="str">
        <f aca="false">IF(I1609="","",INDEX(הגדרות!$A$2:$A$21,MOD(I1609+הגדרות!$E$9,הגדרות!$E$6)+1))</f>
        <v/>
      </c>
    </row>
    <row r="1610" customFormat="false" ht="15" hidden="false" customHeight="false" outlineLevel="0" collapsed="false">
      <c r="A1610" s="0" t="str">
        <f aca="false">IF('הדבקת לידים'!A1610="","",IF(ISNUMBER('הדבקת לידים'!A1610),IF(הגדרות!$E$2&gt;0,TEXT('הדבקת לידים'!A1610,REPT("0",הגדרות!$E$2)),TEXT('הדבקת לידים'!A1610,"0")),TRIM('הדבקת לידים'!A1610)))</f>
        <v/>
      </c>
      <c r="B1610" s="0" t="str">
        <f aca="false">IF('הדבקת לידים'!B1610="","",IF(ISNUMBER('הדבקת לידים'!B1610),IF(הגדרות!$E$3&gt;0,TEXT('הדבקת לידים'!B1610,REPT("0",הגדרות!$E$3)),TEXT('הדבקת לידים'!B1610,"0")),TRIM('הדבקת לידים'!B1610)))</f>
        <v/>
      </c>
      <c r="C1610" s="0" t="n">
        <f aca="false">IF(OR(A1610&lt;&gt;"",B1610&lt;&gt;""),1,0)</f>
        <v>0</v>
      </c>
      <c r="D1610" s="0" t="str">
        <f aca="false">IF(C1610=1,MOD(ABS(SIN(ROW()*12.9898+'הדבקת לידים'!$F$2*78.233+IFERROR(--RIGHT(A1610,6),LEN(A1610))*0.0137+IFERROR(--RIGHT(B1610,6),LEN(B1610))*0.0071))*43758.5453,1),"")</f>
        <v/>
      </c>
      <c r="E1610" s="0" t="str">
        <f aca="false">IF(C1610=1,INT(MOD(ABS(SIN(D1610*7919.123+ROW()*0.618+'הדבקת לידים'!$F$2*1.3))*43758.5453,1)*1000000)*10000+ROW(),"")</f>
        <v/>
      </c>
      <c r="F1610" s="0" t="str">
        <f aca="false">IF(E1610="","",RANK(E1610,$E$2:$E$5001,1))</f>
        <v/>
      </c>
      <c r="G1610" s="0" t="n">
        <f aca="false">IF(A1610="",0,IF(SUMPRODUCT(--($A$2:$A$5001=A1610))&gt;1,1,0))</f>
        <v>0</v>
      </c>
      <c r="H1610" s="0" t="n">
        <f aca="false">ROW()-1</f>
        <v>1609</v>
      </c>
      <c r="I1610" s="0" t="str">
        <f aca="false">IF(OR(הגדרות!$E$6=0,H1610&gt;הגדרות!$E$5),"",IF(H1610-1&lt;הגדרות!$E$8*(הגדרות!$E$7+1),INT((H1610-1)/(הגדרות!$E$7+1)),הגדרות!$E$8+INT((H1610-1-הגדרות!$E$8*(הגדרות!$E$7+1))/הגדרות!$E$7)))</f>
        <v/>
      </c>
      <c r="J1610" s="0" t="str">
        <f aca="false">IF(I1610="","",IF(H1610-1&lt;הגדרות!$E$8*(הגדרות!$E$7+1),MOD(H1610-1,הגדרות!$E$7+1),MOD(H1610-1-הגדרות!$E$8*(הגדרות!$E$7+1),הגדרות!$E$7)))</f>
        <v/>
      </c>
      <c r="K1610" s="0" t="str">
        <f aca="false">IF(I1610="","",J1610*הגדרות!$E$6+I1610+1)</f>
        <v/>
      </c>
      <c r="L1610" s="0" t="str">
        <f aca="false">IF(K1610="","",MATCH(K1610,$F$2:$F$5001,0))</f>
        <v/>
      </c>
      <c r="M1610" s="0" t="str">
        <f aca="false">IF(I1610="","",INDEX(הגדרות!$A$2:$A$21,MOD(I1610+הגדרות!$E$9,הגדרות!$E$6)+1))</f>
        <v/>
      </c>
    </row>
    <row r="1611" customFormat="false" ht="15" hidden="false" customHeight="false" outlineLevel="0" collapsed="false">
      <c r="A1611" s="0" t="str">
        <f aca="false">IF('הדבקת לידים'!A1611="","",IF(ISNUMBER('הדבקת לידים'!A1611),IF(הגדרות!$E$2&gt;0,TEXT('הדבקת לידים'!A1611,REPT("0",הגדרות!$E$2)),TEXT('הדבקת לידים'!A1611,"0")),TRIM('הדבקת לידים'!A1611)))</f>
        <v/>
      </c>
      <c r="B1611" s="0" t="str">
        <f aca="false">IF('הדבקת לידים'!B1611="","",IF(ISNUMBER('הדבקת לידים'!B1611),IF(הגדרות!$E$3&gt;0,TEXT('הדבקת לידים'!B1611,REPT("0",הגדרות!$E$3)),TEXT('הדבקת לידים'!B1611,"0")),TRIM('הדבקת לידים'!B1611)))</f>
        <v/>
      </c>
      <c r="C1611" s="0" t="n">
        <f aca="false">IF(OR(A1611&lt;&gt;"",B1611&lt;&gt;""),1,0)</f>
        <v>0</v>
      </c>
      <c r="D1611" s="0" t="str">
        <f aca="false">IF(C1611=1,MOD(ABS(SIN(ROW()*12.9898+'הדבקת לידים'!$F$2*78.233+IFERROR(--RIGHT(A1611,6),LEN(A1611))*0.0137+IFERROR(--RIGHT(B1611,6),LEN(B1611))*0.0071))*43758.5453,1),"")</f>
        <v/>
      </c>
      <c r="E1611" s="0" t="str">
        <f aca="false">IF(C1611=1,INT(MOD(ABS(SIN(D1611*7919.123+ROW()*0.618+'הדבקת לידים'!$F$2*1.3))*43758.5453,1)*1000000)*10000+ROW(),"")</f>
        <v/>
      </c>
      <c r="F1611" s="0" t="str">
        <f aca="false">IF(E1611="","",RANK(E1611,$E$2:$E$5001,1))</f>
        <v/>
      </c>
      <c r="G1611" s="0" t="n">
        <f aca="false">IF(A1611="",0,IF(SUMPRODUCT(--($A$2:$A$5001=A1611))&gt;1,1,0))</f>
        <v>0</v>
      </c>
      <c r="H1611" s="0" t="n">
        <f aca="false">ROW()-1</f>
        <v>1610</v>
      </c>
      <c r="I1611" s="0" t="str">
        <f aca="false">IF(OR(הגדרות!$E$6=0,H1611&gt;הגדרות!$E$5),"",IF(H1611-1&lt;הגדרות!$E$8*(הגדרות!$E$7+1),INT((H1611-1)/(הגדרות!$E$7+1)),הגדרות!$E$8+INT((H1611-1-הגדרות!$E$8*(הגדרות!$E$7+1))/הגדרות!$E$7)))</f>
        <v/>
      </c>
      <c r="J1611" s="0" t="str">
        <f aca="false">IF(I1611="","",IF(H1611-1&lt;הגדרות!$E$8*(הגדרות!$E$7+1),MOD(H1611-1,הגדרות!$E$7+1),MOD(H1611-1-הגדרות!$E$8*(הגדרות!$E$7+1),הגדרות!$E$7)))</f>
        <v/>
      </c>
      <c r="K1611" s="0" t="str">
        <f aca="false">IF(I1611="","",J1611*הגדרות!$E$6+I1611+1)</f>
        <v/>
      </c>
      <c r="L1611" s="0" t="str">
        <f aca="false">IF(K1611="","",MATCH(K1611,$F$2:$F$5001,0))</f>
        <v/>
      </c>
      <c r="M1611" s="0" t="str">
        <f aca="false">IF(I1611="","",INDEX(הגדרות!$A$2:$A$21,MOD(I1611+הגדרות!$E$9,הגדרות!$E$6)+1))</f>
        <v/>
      </c>
    </row>
    <row r="1612" customFormat="false" ht="15" hidden="false" customHeight="false" outlineLevel="0" collapsed="false">
      <c r="A1612" s="0" t="str">
        <f aca="false">IF('הדבקת לידים'!A1612="","",IF(ISNUMBER('הדבקת לידים'!A1612),IF(הגדרות!$E$2&gt;0,TEXT('הדבקת לידים'!A1612,REPT("0",הגדרות!$E$2)),TEXT('הדבקת לידים'!A1612,"0")),TRIM('הדבקת לידים'!A1612)))</f>
        <v/>
      </c>
      <c r="B1612" s="0" t="str">
        <f aca="false">IF('הדבקת לידים'!B1612="","",IF(ISNUMBER('הדבקת לידים'!B1612),IF(הגדרות!$E$3&gt;0,TEXT('הדבקת לידים'!B1612,REPT("0",הגדרות!$E$3)),TEXT('הדבקת לידים'!B1612,"0")),TRIM('הדבקת לידים'!B1612)))</f>
        <v/>
      </c>
      <c r="C1612" s="0" t="n">
        <f aca="false">IF(OR(A1612&lt;&gt;"",B1612&lt;&gt;""),1,0)</f>
        <v>0</v>
      </c>
      <c r="D1612" s="0" t="str">
        <f aca="false">IF(C1612=1,MOD(ABS(SIN(ROW()*12.9898+'הדבקת לידים'!$F$2*78.233+IFERROR(--RIGHT(A1612,6),LEN(A1612))*0.0137+IFERROR(--RIGHT(B1612,6),LEN(B1612))*0.0071))*43758.5453,1),"")</f>
        <v/>
      </c>
      <c r="E1612" s="0" t="str">
        <f aca="false">IF(C1612=1,INT(MOD(ABS(SIN(D1612*7919.123+ROW()*0.618+'הדבקת לידים'!$F$2*1.3))*43758.5453,1)*1000000)*10000+ROW(),"")</f>
        <v/>
      </c>
      <c r="F1612" s="0" t="str">
        <f aca="false">IF(E1612="","",RANK(E1612,$E$2:$E$5001,1))</f>
        <v/>
      </c>
      <c r="G1612" s="0" t="n">
        <f aca="false">IF(A1612="",0,IF(SUMPRODUCT(--($A$2:$A$5001=A1612))&gt;1,1,0))</f>
        <v>0</v>
      </c>
      <c r="H1612" s="0" t="n">
        <f aca="false">ROW()-1</f>
        <v>1611</v>
      </c>
      <c r="I1612" s="0" t="str">
        <f aca="false">IF(OR(הגדרות!$E$6=0,H1612&gt;הגדרות!$E$5),"",IF(H1612-1&lt;הגדרות!$E$8*(הגדרות!$E$7+1),INT((H1612-1)/(הגדרות!$E$7+1)),הגדרות!$E$8+INT((H1612-1-הגדרות!$E$8*(הגדרות!$E$7+1))/הגדרות!$E$7)))</f>
        <v/>
      </c>
      <c r="J1612" s="0" t="str">
        <f aca="false">IF(I1612="","",IF(H1612-1&lt;הגדרות!$E$8*(הגדרות!$E$7+1),MOD(H1612-1,הגדרות!$E$7+1),MOD(H1612-1-הגדרות!$E$8*(הגדרות!$E$7+1),הגדרות!$E$7)))</f>
        <v/>
      </c>
      <c r="K1612" s="0" t="str">
        <f aca="false">IF(I1612="","",J1612*הגדרות!$E$6+I1612+1)</f>
        <v/>
      </c>
      <c r="L1612" s="0" t="str">
        <f aca="false">IF(K1612="","",MATCH(K1612,$F$2:$F$5001,0))</f>
        <v/>
      </c>
      <c r="M1612" s="0" t="str">
        <f aca="false">IF(I1612="","",INDEX(הגדרות!$A$2:$A$21,MOD(I1612+הגדרות!$E$9,הגדרות!$E$6)+1))</f>
        <v/>
      </c>
    </row>
    <row r="1613" customFormat="false" ht="15" hidden="false" customHeight="false" outlineLevel="0" collapsed="false">
      <c r="A1613" s="0" t="str">
        <f aca="false">IF('הדבקת לידים'!A1613="","",IF(ISNUMBER('הדבקת לידים'!A1613),IF(הגדרות!$E$2&gt;0,TEXT('הדבקת לידים'!A1613,REPT("0",הגדרות!$E$2)),TEXT('הדבקת לידים'!A1613,"0")),TRIM('הדבקת לידים'!A1613)))</f>
        <v/>
      </c>
      <c r="B1613" s="0" t="str">
        <f aca="false">IF('הדבקת לידים'!B1613="","",IF(ISNUMBER('הדבקת לידים'!B1613),IF(הגדרות!$E$3&gt;0,TEXT('הדבקת לידים'!B1613,REPT("0",הגדרות!$E$3)),TEXT('הדבקת לידים'!B1613,"0")),TRIM('הדבקת לידים'!B1613)))</f>
        <v/>
      </c>
      <c r="C1613" s="0" t="n">
        <f aca="false">IF(OR(A1613&lt;&gt;"",B1613&lt;&gt;""),1,0)</f>
        <v>0</v>
      </c>
      <c r="D1613" s="0" t="str">
        <f aca="false">IF(C1613=1,MOD(ABS(SIN(ROW()*12.9898+'הדבקת לידים'!$F$2*78.233+IFERROR(--RIGHT(A1613,6),LEN(A1613))*0.0137+IFERROR(--RIGHT(B1613,6),LEN(B1613))*0.0071))*43758.5453,1),"")</f>
        <v/>
      </c>
      <c r="E1613" s="0" t="str">
        <f aca="false">IF(C1613=1,INT(MOD(ABS(SIN(D1613*7919.123+ROW()*0.618+'הדבקת לידים'!$F$2*1.3))*43758.5453,1)*1000000)*10000+ROW(),"")</f>
        <v/>
      </c>
      <c r="F1613" s="0" t="str">
        <f aca="false">IF(E1613="","",RANK(E1613,$E$2:$E$5001,1))</f>
        <v/>
      </c>
      <c r="G1613" s="0" t="n">
        <f aca="false">IF(A1613="",0,IF(SUMPRODUCT(--($A$2:$A$5001=A1613))&gt;1,1,0))</f>
        <v>0</v>
      </c>
      <c r="H1613" s="0" t="n">
        <f aca="false">ROW()-1</f>
        <v>1612</v>
      </c>
      <c r="I1613" s="0" t="str">
        <f aca="false">IF(OR(הגדרות!$E$6=0,H1613&gt;הגדרות!$E$5),"",IF(H1613-1&lt;הגדרות!$E$8*(הגדרות!$E$7+1),INT((H1613-1)/(הגדרות!$E$7+1)),הגדרות!$E$8+INT((H1613-1-הגדרות!$E$8*(הגדרות!$E$7+1))/הגדרות!$E$7)))</f>
        <v/>
      </c>
      <c r="J1613" s="0" t="str">
        <f aca="false">IF(I1613="","",IF(H1613-1&lt;הגדרות!$E$8*(הגדרות!$E$7+1),MOD(H1613-1,הגדרות!$E$7+1),MOD(H1613-1-הגדרות!$E$8*(הגדרות!$E$7+1),הגדרות!$E$7)))</f>
        <v/>
      </c>
      <c r="K1613" s="0" t="str">
        <f aca="false">IF(I1613="","",J1613*הגדרות!$E$6+I1613+1)</f>
        <v/>
      </c>
      <c r="L1613" s="0" t="str">
        <f aca="false">IF(K1613="","",MATCH(K1613,$F$2:$F$5001,0))</f>
        <v/>
      </c>
      <c r="M1613" s="0" t="str">
        <f aca="false">IF(I1613="","",INDEX(הגדרות!$A$2:$A$21,MOD(I1613+הגדרות!$E$9,הגדרות!$E$6)+1))</f>
        <v/>
      </c>
    </row>
    <row r="1614" customFormat="false" ht="15" hidden="false" customHeight="false" outlineLevel="0" collapsed="false">
      <c r="A1614" s="0" t="str">
        <f aca="false">IF('הדבקת לידים'!A1614="","",IF(ISNUMBER('הדבקת לידים'!A1614),IF(הגדרות!$E$2&gt;0,TEXT('הדבקת לידים'!A1614,REPT("0",הגדרות!$E$2)),TEXT('הדבקת לידים'!A1614,"0")),TRIM('הדבקת לידים'!A1614)))</f>
        <v/>
      </c>
      <c r="B1614" s="0" t="str">
        <f aca="false">IF('הדבקת לידים'!B1614="","",IF(ISNUMBER('הדבקת לידים'!B1614),IF(הגדרות!$E$3&gt;0,TEXT('הדבקת לידים'!B1614,REPT("0",הגדרות!$E$3)),TEXT('הדבקת לידים'!B1614,"0")),TRIM('הדבקת לידים'!B1614)))</f>
        <v/>
      </c>
      <c r="C1614" s="0" t="n">
        <f aca="false">IF(OR(A1614&lt;&gt;"",B1614&lt;&gt;""),1,0)</f>
        <v>0</v>
      </c>
      <c r="D1614" s="0" t="str">
        <f aca="false">IF(C1614=1,MOD(ABS(SIN(ROW()*12.9898+'הדבקת לידים'!$F$2*78.233+IFERROR(--RIGHT(A1614,6),LEN(A1614))*0.0137+IFERROR(--RIGHT(B1614,6),LEN(B1614))*0.0071))*43758.5453,1),"")</f>
        <v/>
      </c>
      <c r="E1614" s="0" t="str">
        <f aca="false">IF(C1614=1,INT(MOD(ABS(SIN(D1614*7919.123+ROW()*0.618+'הדבקת לידים'!$F$2*1.3))*43758.5453,1)*1000000)*10000+ROW(),"")</f>
        <v/>
      </c>
      <c r="F1614" s="0" t="str">
        <f aca="false">IF(E1614="","",RANK(E1614,$E$2:$E$5001,1))</f>
        <v/>
      </c>
      <c r="G1614" s="0" t="n">
        <f aca="false">IF(A1614="",0,IF(SUMPRODUCT(--($A$2:$A$5001=A1614))&gt;1,1,0))</f>
        <v>0</v>
      </c>
      <c r="H1614" s="0" t="n">
        <f aca="false">ROW()-1</f>
        <v>1613</v>
      </c>
      <c r="I1614" s="0" t="str">
        <f aca="false">IF(OR(הגדרות!$E$6=0,H1614&gt;הגדרות!$E$5),"",IF(H1614-1&lt;הגדרות!$E$8*(הגדרות!$E$7+1),INT((H1614-1)/(הגדרות!$E$7+1)),הגדרות!$E$8+INT((H1614-1-הגדרות!$E$8*(הגדרות!$E$7+1))/הגדרות!$E$7)))</f>
        <v/>
      </c>
      <c r="J1614" s="0" t="str">
        <f aca="false">IF(I1614="","",IF(H1614-1&lt;הגדרות!$E$8*(הגדרות!$E$7+1),MOD(H1614-1,הגדרות!$E$7+1),MOD(H1614-1-הגדרות!$E$8*(הגדרות!$E$7+1),הגדרות!$E$7)))</f>
        <v/>
      </c>
      <c r="K1614" s="0" t="str">
        <f aca="false">IF(I1614="","",J1614*הגדרות!$E$6+I1614+1)</f>
        <v/>
      </c>
      <c r="L1614" s="0" t="str">
        <f aca="false">IF(K1614="","",MATCH(K1614,$F$2:$F$5001,0))</f>
        <v/>
      </c>
      <c r="M1614" s="0" t="str">
        <f aca="false">IF(I1614="","",INDEX(הגדרות!$A$2:$A$21,MOD(I1614+הגדרות!$E$9,הגדרות!$E$6)+1))</f>
        <v/>
      </c>
    </row>
    <row r="1615" customFormat="false" ht="15" hidden="false" customHeight="false" outlineLevel="0" collapsed="false">
      <c r="A1615" s="0" t="str">
        <f aca="false">IF('הדבקת לידים'!A1615="","",IF(ISNUMBER('הדבקת לידים'!A1615),IF(הגדרות!$E$2&gt;0,TEXT('הדבקת לידים'!A1615,REPT("0",הגדרות!$E$2)),TEXT('הדבקת לידים'!A1615,"0")),TRIM('הדבקת לידים'!A1615)))</f>
        <v/>
      </c>
      <c r="B1615" s="0" t="str">
        <f aca="false">IF('הדבקת לידים'!B1615="","",IF(ISNUMBER('הדבקת לידים'!B1615),IF(הגדרות!$E$3&gt;0,TEXT('הדבקת לידים'!B1615,REPT("0",הגדרות!$E$3)),TEXT('הדבקת לידים'!B1615,"0")),TRIM('הדבקת לידים'!B1615)))</f>
        <v/>
      </c>
      <c r="C1615" s="0" t="n">
        <f aca="false">IF(OR(A1615&lt;&gt;"",B1615&lt;&gt;""),1,0)</f>
        <v>0</v>
      </c>
      <c r="D1615" s="0" t="str">
        <f aca="false">IF(C1615=1,MOD(ABS(SIN(ROW()*12.9898+'הדבקת לידים'!$F$2*78.233+IFERROR(--RIGHT(A1615,6),LEN(A1615))*0.0137+IFERROR(--RIGHT(B1615,6),LEN(B1615))*0.0071))*43758.5453,1),"")</f>
        <v/>
      </c>
      <c r="E1615" s="0" t="str">
        <f aca="false">IF(C1615=1,INT(MOD(ABS(SIN(D1615*7919.123+ROW()*0.618+'הדבקת לידים'!$F$2*1.3))*43758.5453,1)*1000000)*10000+ROW(),"")</f>
        <v/>
      </c>
      <c r="F1615" s="0" t="str">
        <f aca="false">IF(E1615="","",RANK(E1615,$E$2:$E$5001,1))</f>
        <v/>
      </c>
      <c r="G1615" s="0" t="n">
        <f aca="false">IF(A1615="",0,IF(SUMPRODUCT(--($A$2:$A$5001=A1615))&gt;1,1,0))</f>
        <v>0</v>
      </c>
      <c r="H1615" s="0" t="n">
        <f aca="false">ROW()-1</f>
        <v>1614</v>
      </c>
      <c r="I1615" s="0" t="str">
        <f aca="false">IF(OR(הגדרות!$E$6=0,H1615&gt;הגדרות!$E$5),"",IF(H1615-1&lt;הגדרות!$E$8*(הגדרות!$E$7+1),INT((H1615-1)/(הגדרות!$E$7+1)),הגדרות!$E$8+INT((H1615-1-הגדרות!$E$8*(הגדרות!$E$7+1))/הגדרות!$E$7)))</f>
        <v/>
      </c>
      <c r="J1615" s="0" t="str">
        <f aca="false">IF(I1615="","",IF(H1615-1&lt;הגדרות!$E$8*(הגדרות!$E$7+1),MOD(H1615-1,הגדרות!$E$7+1),MOD(H1615-1-הגדרות!$E$8*(הגדרות!$E$7+1),הגדרות!$E$7)))</f>
        <v/>
      </c>
      <c r="K1615" s="0" t="str">
        <f aca="false">IF(I1615="","",J1615*הגדרות!$E$6+I1615+1)</f>
        <v/>
      </c>
      <c r="L1615" s="0" t="str">
        <f aca="false">IF(K1615="","",MATCH(K1615,$F$2:$F$5001,0))</f>
        <v/>
      </c>
      <c r="M1615" s="0" t="str">
        <f aca="false">IF(I1615="","",INDEX(הגדרות!$A$2:$A$21,MOD(I1615+הגדרות!$E$9,הגדרות!$E$6)+1))</f>
        <v/>
      </c>
    </row>
    <row r="1616" customFormat="false" ht="15" hidden="false" customHeight="false" outlineLevel="0" collapsed="false">
      <c r="A1616" s="0" t="str">
        <f aca="false">IF('הדבקת לידים'!A1616="","",IF(ISNUMBER('הדבקת לידים'!A1616),IF(הגדרות!$E$2&gt;0,TEXT('הדבקת לידים'!A1616,REPT("0",הגדרות!$E$2)),TEXT('הדבקת לידים'!A1616,"0")),TRIM('הדבקת לידים'!A1616)))</f>
        <v/>
      </c>
      <c r="B1616" s="0" t="str">
        <f aca="false">IF('הדבקת לידים'!B1616="","",IF(ISNUMBER('הדבקת לידים'!B1616),IF(הגדרות!$E$3&gt;0,TEXT('הדבקת לידים'!B1616,REPT("0",הגדרות!$E$3)),TEXT('הדבקת לידים'!B1616,"0")),TRIM('הדבקת לידים'!B1616)))</f>
        <v/>
      </c>
      <c r="C1616" s="0" t="n">
        <f aca="false">IF(OR(A1616&lt;&gt;"",B1616&lt;&gt;""),1,0)</f>
        <v>0</v>
      </c>
      <c r="D1616" s="0" t="str">
        <f aca="false">IF(C1616=1,MOD(ABS(SIN(ROW()*12.9898+'הדבקת לידים'!$F$2*78.233+IFERROR(--RIGHT(A1616,6),LEN(A1616))*0.0137+IFERROR(--RIGHT(B1616,6),LEN(B1616))*0.0071))*43758.5453,1),"")</f>
        <v/>
      </c>
      <c r="E1616" s="0" t="str">
        <f aca="false">IF(C1616=1,INT(MOD(ABS(SIN(D1616*7919.123+ROW()*0.618+'הדבקת לידים'!$F$2*1.3))*43758.5453,1)*1000000)*10000+ROW(),"")</f>
        <v/>
      </c>
      <c r="F1616" s="0" t="str">
        <f aca="false">IF(E1616="","",RANK(E1616,$E$2:$E$5001,1))</f>
        <v/>
      </c>
      <c r="G1616" s="0" t="n">
        <f aca="false">IF(A1616="",0,IF(SUMPRODUCT(--($A$2:$A$5001=A1616))&gt;1,1,0))</f>
        <v>0</v>
      </c>
      <c r="H1616" s="0" t="n">
        <f aca="false">ROW()-1</f>
        <v>1615</v>
      </c>
      <c r="I1616" s="0" t="str">
        <f aca="false">IF(OR(הגדרות!$E$6=0,H1616&gt;הגדרות!$E$5),"",IF(H1616-1&lt;הגדרות!$E$8*(הגדרות!$E$7+1),INT((H1616-1)/(הגדרות!$E$7+1)),הגדרות!$E$8+INT((H1616-1-הגדרות!$E$8*(הגדרות!$E$7+1))/הגדרות!$E$7)))</f>
        <v/>
      </c>
      <c r="J1616" s="0" t="str">
        <f aca="false">IF(I1616="","",IF(H1616-1&lt;הגדרות!$E$8*(הגדרות!$E$7+1),MOD(H1616-1,הגדרות!$E$7+1),MOD(H1616-1-הגדרות!$E$8*(הגדרות!$E$7+1),הגדרות!$E$7)))</f>
        <v/>
      </c>
      <c r="K1616" s="0" t="str">
        <f aca="false">IF(I1616="","",J1616*הגדרות!$E$6+I1616+1)</f>
        <v/>
      </c>
      <c r="L1616" s="0" t="str">
        <f aca="false">IF(K1616="","",MATCH(K1616,$F$2:$F$5001,0))</f>
        <v/>
      </c>
      <c r="M1616" s="0" t="str">
        <f aca="false">IF(I1616="","",INDEX(הגדרות!$A$2:$A$21,MOD(I1616+הגדרות!$E$9,הגדרות!$E$6)+1))</f>
        <v/>
      </c>
    </row>
    <row r="1617" customFormat="false" ht="15" hidden="false" customHeight="false" outlineLevel="0" collapsed="false">
      <c r="A1617" s="0" t="str">
        <f aca="false">IF('הדבקת לידים'!A1617="","",IF(ISNUMBER('הדבקת לידים'!A1617),IF(הגדרות!$E$2&gt;0,TEXT('הדבקת לידים'!A1617,REPT("0",הגדרות!$E$2)),TEXT('הדבקת לידים'!A1617,"0")),TRIM('הדבקת לידים'!A1617)))</f>
        <v/>
      </c>
      <c r="B1617" s="0" t="str">
        <f aca="false">IF('הדבקת לידים'!B1617="","",IF(ISNUMBER('הדבקת לידים'!B1617),IF(הגדרות!$E$3&gt;0,TEXT('הדבקת לידים'!B1617,REPT("0",הגדרות!$E$3)),TEXT('הדבקת לידים'!B1617,"0")),TRIM('הדבקת לידים'!B1617)))</f>
        <v/>
      </c>
      <c r="C1617" s="0" t="n">
        <f aca="false">IF(OR(A1617&lt;&gt;"",B1617&lt;&gt;""),1,0)</f>
        <v>0</v>
      </c>
      <c r="D1617" s="0" t="str">
        <f aca="false">IF(C1617=1,MOD(ABS(SIN(ROW()*12.9898+'הדבקת לידים'!$F$2*78.233+IFERROR(--RIGHT(A1617,6),LEN(A1617))*0.0137+IFERROR(--RIGHT(B1617,6),LEN(B1617))*0.0071))*43758.5453,1),"")</f>
        <v/>
      </c>
      <c r="E1617" s="0" t="str">
        <f aca="false">IF(C1617=1,INT(MOD(ABS(SIN(D1617*7919.123+ROW()*0.618+'הדבקת לידים'!$F$2*1.3))*43758.5453,1)*1000000)*10000+ROW(),"")</f>
        <v/>
      </c>
      <c r="F1617" s="0" t="str">
        <f aca="false">IF(E1617="","",RANK(E1617,$E$2:$E$5001,1))</f>
        <v/>
      </c>
      <c r="G1617" s="0" t="n">
        <f aca="false">IF(A1617="",0,IF(SUMPRODUCT(--($A$2:$A$5001=A1617))&gt;1,1,0))</f>
        <v>0</v>
      </c>
      <c r="H1617" s="0" t="n">
        <f aca="false">ROW()-1</f>
        <v>1616</v>
      </c>
      <c r="I1617" s="0" t="str">
        <f aca="false">IF(OR(הגדרות!$E$6=0,H1617&gt;הגדרות!$E$5),"",IF(H1617-1&lt;הגדרות!$E$8*(הגדרות!$E$7+1),INT((H1617-1)/(הגדרות!$E$7+1)),הגדרות!$E$8+INT((H1617-1-הגדרות!$E$8*(הגדרות!$E$7+1))/הגדרות!$E$7)))</f>
        <v/>
      </c>
      <c r="J1617" s="0" t="str">
        <f aca="false">IF(I1617="","",IF(H1617-1&lt;הגדרות!$E$8*(הגדרות!$E$7+1),MOD(H1617-1,הגדרות!$E$7+1),MOD(H1617-1-הגדרות!$E$8*(הגדרות!$E$7+1),הגדרות!$E$7)))</f>
        <v/>
      </c>
      <c r="K1617" s="0" t="str">
        <f aca="false">IF(I1617="","",J1617*הגדרות!$E$6+I1617+1)</f>
        <v/>
      </c>
      <c r="L1617" s="0" t="str">
        <f aca="false">IF(K1617="","",MATCH(K1617,$F$2:$F$5001,0))</f>
        <v/>
      </c>
      <c r="M1617" s="0" t="str">
        <f aca="false">IF(I1617="","",INDEX(הגדרות!$A$2:$A$21,MOD(I1617+הגדרות!$E$9,הגדרות!$E$6)+1))</f>
        <v/>
      </c>
    </row>
    <row r="1618" customFormat="false" ht="15" hidden="false" customHeight="false" outlineLevel="0" collapsed="false">
      <c r="A1618" s="0" t="str">
        <f aca="false">IF('הדבקת לידים'!A1618="","",IF(ISNUMBER('הדבקת לידים'!A1618),IF(הגדרות!$E$2&gt;0,TEXT('הדבקת לידים'!A1618,REPT("0",הגדרות!$E$2)),TEXT('הדבקת לידים'!A1618,"0")),TRIM('הדבקת לידים'!A1618)))</f>
        <v/>
      </c>
      <c r="B1618" s="0" t="str">
        <f aca="false">IF('הדבקת לידים'!B1618="","",IF(ISNUMBER('הדבקת לידים'!B1618),IF(הגדרות!$E$3&gt;0,TEXT('הדבקת לידים'!B1618,REPT("0",הגדרות!$E$3)),TEXT('הדבקת לידים'!B1618,"0")),TRIM('הדבקת לידים'!B1618)))</f>
        <v/>
      </c>
      <c r="C1618" s="0" t="n">
        <f aca="false">IF(OR(A1618&lt;&gt;"",B1618&lt;&gt;""),1,0)</f>
        <v>0</v>
      </c>
      <c r="D1618" s="0" t="str">
        <f aca="false">IF(C1618=1,MOD(ABS(SIN(ROW()*12.9898+'הדבקת לידים'!$F$2*78.233+IFERROR(--RIGHT(A1618,6),LEN(A1618))*0.0137+IFERROR(--RIGHT(B1618,6),LEN(B1618))*0.0071))*43758.5453,1),"")</f>
        <v/>
      </c>
      <c r="E1618" s="0" t="str">
        <f aca="false">IF(C1618=1,INT(MOD(ABS(SIN(D1618*7919.123+ROW()*0.618+'הדבקת לידים'!$F$2*1.3))*43758.5453,1)*1000000)*10000+ROW(),"")</f>
        <v/>
      </c>
      <c r="F1618" s="0" t="str">
        <f aca="false">IF(E1618="","",RANK(E1618,$E$2:$E$5001,1))</f>
        <v/>
      </c>
      <c r="G1618" s="0" t="n">
        <f aca="false">IF(A1618="",0,IF(SUMPRODUCT(--($A$2:$A$5001=A1618))&gt;1,1,0))</f>
        <v>0</v>
      </c>
      <c r="H1618" s="0" t="n">
        <f aca="false">ROW()-1</f>
        <v>1617</v>
      </c>
      <c r="I1618" s="0" t="str">
        <f aca="false">IF(OR(הגדרות!$E$6=0,H1618&gt;הגדרות!$E$5),"",IF(H1618-1&lt;הגדרות!$E$8*(הגדרות!$E$7+1),INT((H1618-1)/(הגדרות!$E$7+1)),הגדרות!$E$8+INT((H1618-1-הגדרות!$E$8*(הגדרות!$E$7+1))/הגדרות!$E$7)))</f>
        <v/>
      </c>
      <c r="J1618" s="0" t="str">
        <f aca="false">IF(I1618="","",IF(H1618-1&lt;הגדרות!$E$8*(הגדרות!$E$7+1),MOD(H1618-1,הגדרות!$E$7+1),MOD(H1618-1-הגדרות!$E$8*(הגדרות!$E$7+1),הגדרות!$E$7)))</f>
        <v/>
      </c>
      <c r="K1618" s="0" t="str">
        <f aca="false">IF(I1618="","",J1618*הגדרות!$E$6+I1618+1)</f>
        <v/>
      </c>
      <c r="L1618" s="0" t="str">
        <f aca="false">IF(K1618="","",MATCH(K1618,$F$2:$F$5001,0))</f>
        <v/>
      </c>
      <c r="M1618" s="0" t="str">
        <f aca="false">IF(I1618="","",INDEX(הגדרות!$A$2:$A$21,MOD(I1618+הגדרות!$E$9,הגדרות!$E$6)+1))</f>
        <v/>
      </c>
    </row>
    <row r="1619" customFormat="false" ht="15" hidden="false" customHeight="false" outlineLevel="0" collapsed="false">
      <c r="A1619" s="0" t="str">
        <f aca="false">IF('הדבקת לידים'!A1619="","",IF(ISNUMBER('הדבקת לידים'!A1619),IF(הגדרות!$E$2&gt;0,TEXT('הדבקת לידים'!A1619,REPT("0",הגדרות!$E$2)),TEXT('הדבקת לידים'!A1619,"0")),TRIM('הדבקת לידים'!A1619)))</f>
        <v/>
      </c>
      <c r="B1619" s="0" t="str">
        <f aca="false">IF('הדבקת לידים'!B1619="","",IF(ISNUMBER('הדבקת לידים'!B1619),IF(הגדרות!$E$3&gt;0,TEXT('הדבקת לידים'!B1619,REPT("0",הגדרות!$E$3)),TEXT('הדבקת לידים'!B1619,"0")),TRIM('הדבקת לידים'!B1619)))</f>
        <v/>
      </c>
      <c r="C1619" s="0" t="n">
        <f aca="false">IF(OR(A1619&lt;&gt;"",B1619&lt;&gt;""),1,0)</f>
        <v>0</v>
      </c>
      <c r="D1619" s="0" t="str">
        <f aca="false">IF(C1619=1,MOD(ABS(SIN(ROW()*12.9898+'הדבקת לידים'!$F$2*78.233+IFERROR(--RIGHT(A1619,6),LEN(A1619))*0.0137+IFERROR(--RIGHT(B1619,6),LEN(B1619))*0.0071))*43758.5453,1),"")</f>
        <v/>
      </c>
      <c r="E1619" s="0" t="str">
        <f aca="false">IF(C1619=1,INT(MOD(ABS(SIN(D1619*7919.123+ROW()*0.618+'הדבקת לידים'!$F$2*1.3))*43758.5453,1)*1000000)*10000+ROW(),"")</f>
        <v/>
      </c>
      <c r="F1619" s="0" t="str">
        <f aca="false">IF(E1619="","",RANK(E1619,$E$2:$E$5001,1))</f>
        <v/>
      </c>
      <c r="G1619" s="0" t="n">
        <f aca="false">IF(A1619="",0,IF(SUMPRODUCT(--($A$2:$A$5001=A1619))&gt;1,1,0))</f>
        <v>0</v>
      </c>
      <c r="H1619" s="0" t="n">
        <f aca="false">ROW()-1</f>
        <v>1618</v>
      </c>
      <c r="I1619" s="0" t="str">
        <f aca="false">IF(OR(הגדרות!$E$6=0,H1619&gt;הגדרות!$E$5),"",IF(H1619-1&lt;הגדרות!$E$8*(הגדרות!$E$7+1),INT((H1619-1)/(הגדרות!$E$7+1)),הגדרות!$E$8+INT((H1619-1-הגדרות!$E$8*(הגדרות!$E$7+1))/הגדרות!$E$7)))</f>
        <v/>
      </c>
      <c r="J1619" s="0" t="str">
        <f aca="false">IF(I1619="","",IF(H1619-1&lt;הגדרות!$E$8*(הגדרות!$E$7+1),MOD(H1619-1,הגדרות!$E$7+1),MOD(H1619-1-הגדרות!$E$8*(הגדרות!$E$7+1),הגדרות!$E$7)))</f>
        <v/>
      </c>
      <c r="K1619" s="0" t="str">
        <f aca="false">IF(I1619="","",J1619*הגדרות!$E$6+I1619+1)</f>
        <v/>
      </c>
      <c r="L1619" s="0" t="str">
        <f aca="false">IF(K1619="","",MATCH(K1619,$F$2:$F$5001,0))</f>
        <v/>
      </c>
      <c r="M1619" s="0" t="str">
        <f aca="false">IF(I1619="","",INDEX(הגדרות!$A$2:$A$21,MOD(I1619+הגדרות!$E$9,הגדרות!$E$6)+1))</f>
        <v/>
      </c>
    </row>
    <row r="1620" customFormat="false" ht="15" hidden="false" customHeight="false" outlineLevel="0" collapsed="false">
      <c r="A1620" s="0" t="str">
        <f aca="false">IF('הדבקת לידים'!A1620="","",IF(ISNUMBER('הדבקת לידים'!A1620),IF(הגדרות!$E$2&gt;0,TEXT('הדבקת לידים'!A1620,REPT("0",הגדרות!$E$2)),TEXT('הדבקת לידים'!A1620,"0")),TRIM('הדבקת לידים'!A1620)))</f>
        <v/>
      </c>
      <c r="B1620" s="0" t="str">
        <f aca="false">IF('הדבקת לידים'!B1620="","",IF(ISNUMBER('הדבקת לידים'!B1620),IF(הגדרות!$E$3&gt;0,TEXT('הדבקת לידים'!B1620,REPT("0",הגדרות!$E$3)),TEXT('הדבקת לידים'!B1620,"0")),TRIM('הדבקת לידים'!B1620)))</f>
        <v/>
      </c>
      <c r="C1620" s="0" t="n">
        <f aca="false">IF(OR(A1620&lt;&gt;"",B1620&lt;&gt;""),1,0)</f>
        <v>0</v>
      </c>
      <c r="D1620" s="0" t="str">
        <f aca="false">IF(C1620=1,MOD(ABS(SIN(ROW()*12.9898+'הדבקת לידים'!$F$2*78.233+IFERROR(--RIGHT(A1620,6),LEN(A1620))*0.0137+IFERROR(--RIGHT(B1620,6),LEN(B1620))*0.0071))*43758.5453,1),"")</f>
        <v/>
      </c>
      <c r="E1620" s="0" t="str">
        <f aca="false">IF(C1620=1,INT(MOD(ABS(SIN(D1620*7919.123+ROW()*0.618+'הדבקת לידים'!$F$2*1.3))*43758.5453,1)*1000000)*10000+ROW(),"")</f>
        <v/>
      </c>
      <c r="F1620" s="0" t="str">
        <f aca="false">IF(E1620="","",RANK(E1620,$E$2:$E$5001,1))</f>
        <v/>
      </c>
      <c r="G1620" s="0" t="n">
        <f aca="false">IF(A1620="",0,IF(SUMPRODUCT(--($A$2:$A$5001=A1620))&gt;1,1,0))</f>
        <v>0</v>
      </c>
      <c r="H1620" s="0" t="n">
        <f aca="false">ROW()-1</f>
        <v>1619</v>
      </c>
      <c r="I1620" s="0" t="str">
        <f aca="false">IF(OR(הגדרות!$E$6=0,H1620&gt;הגדרות!$E$5),"",IF(H1620-1&lt;הגדרות!$E$8*(הגדרות!$E$7+1),INT((H1620-1)/(הגדרות!$E$7+1)),הגדרות!$E$8+INT((H1620-1-הגדרות!$E$8*(הגדרות!$E$7+1))/הגדרות!$E$7)))</f>
        <v/>
      </c>
      <c r="J1620" s="0" t="str">
        <f aca="false">IF(I1620="","",IF(H1620-1&lt;הגדרות!$E$8*(הגדרות!$E$7+1),MOD(H1620-1,הגדרות!$E$7+1),MOD(H1620-1-הגדרות!$E$8*(הגדרות!$E$7+1),הגדרות!$E$7)))</f>
        <v/>
      </c>
      <c r="K1620" s="0" t="str">
        <f aca="false">IF(I1620="","",J1620*הגדרות!$E$6+I1620+1)</f>
        <v/>
      </c>
      <c r="L1620" s="0" t="str">
        <f aca="false">IF(K1620="","",MATCH(K1620,$F$2:$F$5001,0))</f>
        <v/>
      </c>
      <c r="M1620" s="0" t="str">
        <f aca="false">IF(I1620="","",INDEX(הגדרות!$A$2:$A$21,MOD(I1620+הגדרות!$E$9,הגדרות!$E$6)+1))</f>
        <v/>
      </c>
    </row>
    <row r="1621" customFormat="false" ht="15" hidden="false" customHeight="false" outlineLevel="0" collapsed="false">
      <c r="A1621" s="0" t="str">
        <f aca="false">IF('הדבקת לידים'!A1621="","",IF(ISNUMBER('הדבקת לידים'!A1621),IF(הגדרות!$E$2&gt;0,TEXT('הדבקת לידים'!A1621,REPT("0",הגדרות!$E$2)),TEXT('הדבקת לידים'!A1621,"0")),TRIM('הדבקת לידים'!A1621)))</f>
        <v/>
      </c>
      <c r="B1621" s="0" t="str">
        <f aca="false">IF('הדבקת לידים'!B1621="","",IF(ISNUMBER('הדבקת לידים'!B1621),IF(הגדרות!$E$3&gt;0,TEXT('הדבקת לידים'!B1621,REPT("0",הגדרות!$E$3)),TEXT('הדבקת לידים'!B1621,"0")),TRIM('הדבקת לידים'!B1621)))</f>
        <v/>
      </c>
      <c r="C1621" s="0" t="n">
        <f aca="false">IF(OR(A1621&lt;&gt;"",B1621&lt;&gt;""),1,0)</f>
        <v>0</v>
      </c>
      <c r="D1621" s="0" t="str">
        <f aca="false">IF(C1621=1,MOD(ABS(SIN(ROW()*12.9898+'הדבקת לידים'!$F$2*78.233+IFERROR(--RIGHT(A1621,6),LEN(A1621))*0.0137+IFERROR(--RIGHT(B1621,6),LEN(B1621))*0.0071))*43758.5453,1),"")</f>
        <v/>
      </c>
      <c r="E1621" s="0" t="str">
        <f aca="false">IF(C1621=1,INT(MOD(ABS(SIN(D1621*7919.123+ROW()*0.618+'הדבקת לידים'!$F$2*1.3))*43758.5453,1)*1000000)*10000+ROW(),"")</f>
        <v/>
      </c>
      <c r="F1621" s="0" t="str">
        <f aca="false">IF(E1621="","",RANK(E1621,$E$2:$E$5001,1))</f>
        <v/>
      </c>
      <c r="G1621" s="0" t="n">
        <f aca="false">IF(A1621="",0,IF(SUMPRODUCT(--($A$2:$A$5001=A1621))&gt;1,1,0))</f>
        <v>0</v>
      </c>
      <c r="H1621" s="0" t="n">
        <f aca="false">ROW()-1</f>
        <v>1620</v>
      </c>
      <c r="I1621" s="0" t="str">
        <f aca="false">IF(OR(הגדרות!$E$6=0,H1621&gt;הגדרות!$E$5),"",IF(H1621-1&lt;הגדרות!$E$8*(הגדרות!$E$7+1),INT((H1621-1)/(הגדרות!$E$7+1)),הגדרות!$E$8+INT((H1621-1-הגדרות!$E$8*(הגדרות!$E$7+1))/הגדרות!$E$7)))</f>
        <v/>
      </c>
      <c r="J1621" s="0" t="str">
        <f aca="false">IF(I1621="","",IF(H1621-1&lt;הגדרות!$E$8*(הגדרות!$E$7+1),MOD(H1621-1,הגדרות!$E$7+1),MOD(H1621-1-הגדרות!$E$8*(הגדרות!$E$7+1),הגדרות!$E$7)))</f>
        <v/>
      </c>
      <c r="K1621" s="0" t="str">
        <f aca="false">IF(I1621="","",J1621*הגדרות!$E$6+I1621+1)</f>
        <v/>
      </c>
      <c r="L1621" s="0" t="str">
        <f aca="false">IF(K1621="","",MATCH(K1621,$F$2:$F$5001,0))</f>
        <v/>
      </c>
      <c r="M1621" s="0" t="str">
        <f aca="false">IF(I1621="","",INDEX(הגדרות!$A$2:$A$21,MOD(I1621+הגדרות!$E$9,הגדרות!$E$6)+1))</f>
        <v/>
      </c>
    </row>
    <row r="1622" customFormat="false" ht="15" hidden="false" customHeight="false" outlineLevel="0" collapsed="false">
      <c r="A1622" s="0" t="str">
        <f aca="false">IF('הדבקת לידים'!A1622="","",IF(ISNUMBER('הדבקת לידים'!A1622),IF(הגדרות!$E$2&gt;0,TEXT('הדבקת לידים'!A1622,REPT("0",הגדרות!$E$2)),TEXT('הדבקת לידים'!A1622,"0")),TRIM('הדבקת לידים'!A1622)))</f>
        <v/>
      </c>
      <c r="B1622" s="0" t="str">
        <f aca="false">IF('הדבקת לידים'!B1622="","",IF(ISNUMBER('הדבקת לידים'!B1622),IF(הגדרות!$E$3&gt;0,TEXT('הדבקת לידים'!B1622,REPT("0",הגדרות!$E$3)),TEXT('הדבקת לידים'!B1622,"0")),TRIM('הדבקת לידים'!B1622)))</f>
        <v/>
      </c>
      <c r="C1622" s="0" t="n">
        <f aca="false">IF(OR(A1622&lt;&gt;"",B1622&lt;&gt;""),1,0)</f>
        <v>0</v>
      </c>
      <c r="D1622" s="0" t="str">
        <f aca="false">IF(C1622=1,MOD(ABS(SIN(ROW()*12.9898+'הדבקת לידים'!$F$2*78.233+IFERROR(--RIGHT(A1622,6),LEN(A1622))*0.0137+IFERROR(--RIGHT(B1622,6),LEN(B1622))*0.0071))*43758.5453,1),"")</f>
        <v/>
      </c>
      <c r="E1622" s="0" t="str">
        <f aca="false">IF(C1622=1,INT(MOD(ABS(SIN(D1622*7919.123+ROW()*0.618+'הדבקת לידים'!$F$2*1.3))*43758.5453,1)*1000000)*10000+ROW(),"")</f>
        <v/>
      </c>
      <c r="F1622" s="0" t="str">
        <f aca="false">IF(E1622="","",RANK(E1622,$E$2:$E$5001,1))</f>
        <v/>
      </c>
      <c r="G1622" s="0" t="n">
        <f aca="false">IF(A1622="",0,IF(SUMPRODUCT(--($A$2:$A$5001=A1622))&gt;1,1,0))</f>
        <v>0</v>
      </c>
      <c r="H1622" s="0" t="n">
        <f aca="false">ROW()-1</f>
        <v>1621</v>
      </c>
      <c r="I1622" s="0" t="str">
        <f aca="false">IF(OR(הגדרות!$E$6=0,H1622&gt;הגדרות!$E$5),"",IF(H1622-1&lt;הגדרות!$E$8*(הגדרות!$E$7+1),INT((H1622-1)/(הגדרות!$E$7+1)),הגדרות!$E$8+INT((H1622-1-הגדרות!$E$8*(הגדרות!$E$7+1))/הגדרות!$E$7)))</f>
        <v/>
      </c>
      <c r="J1622" s="0" t="str">
        <f aca="false">IF(I1622="","",IF(H1622-1&lt;הגדרות!$E$8*(הגדרות!$E$7+1),MOD(H1622-1,הגדרות!$E$7+1),MOD(H1622-1-הגדרות!$E$8*(הגדרות!$E$7+1),הגדרות!$E$7)))</f>
        <v/>
      </c>
      <c r="K1622" s="0" t="str">
        <f aca="false">IF(I1622="","",J1622*הגדרות!$E$6+I1622+1)</f>
        <v/>
      </c>
      <c r="L1622" s="0" t="str">
        <f aca="false">IF(K1622="","",MATCH(K1622,$F$2:$F$5001,0))</f>
        <v/>
      </c>
      <c r="M1622" s="0" t="str">
        <f aca="false">IF(I1622="","",INDEX(הגדרות!$A$2:$A$21,MOD(I1622+הגדרות!$E$9,הגדרות!$E$6)+1))</f>
        <v/>
      </c>
    </row>
    <row r="1623" customFormat="false" ht="15" hidden="false" customHeight="false" outlineLevel="0" collapsed="false">
      <c r="A1623" s="0" t="str">
        <f aca="false">IF('הדבקת לידים'!A1623="","",IF(ISNUMBER('הדבקת לידים'!A1623),IF(הגדרות!$E$2&gt;0,TEXT('הדבקת לידים'!A1623,REPT("0",הגדרות!$E$2)),TEXT('הדבקת לידים'!A1623,"0")),TRIM('הדבקת לידים'!A1623)))</f>
        <v/>
      </c>
      <c r="B1623" s="0" t="str">
        <f aca="false">IF('הדבקת לידים'!B1623="","",IF(ISNUMBER('הדבקת לידים'!B1623),IF(הגדרות!$E$3&gt;0,TEXT('הדבקת לידים'!B1623,REPT("0",הגדרות!$E$3)),TEXT('הדבקת לידים'!B1623,"0")),TRIM('הדבקת לידים'!B1623)))</f>
        <v/>
      </c>
      <c r="C1623" s="0" t="n">
        <f aca="false">IF(OR(A1623&lt;&gt;"",B1623&lt;&gt;""),1,0)</f>
        <v>0</v>
      </c>
      <c r="D1623" s="0" t="str">
        <f aca="false">IF(C1623=1,MOD(ABS(SIN(ROW()*12.9898+'הדבקת לידים'!$F$2*78.233+IFERROR(--RIGHT(A1623,6),LEN(A1623))*0.0137+IFERROR(--RIGHT(B1623,6),LEN(B1623))*0.0071))*43758.5453,1),"")</f>
        <v/>
      </c>
      <c r="E1623" s="0" t="str">
        <f aca="false">IF(C1623=1,INT(MOD(ABS(SIN(D1623*7919.123+ROW()*0.618+'הדבקת לידים'!$F$2*1.3))*43758.5453,1)*1000000)*10000+ROW(),"")</f>
        <v/>
      </c>
      <c r="F1623" s="0" t="str">
        <f aca="false">IF(E1623="","",RANK(E1623,$E$2:$E$5001,1))</f>
        <v/>
      </c>
      <c r="G1623" s="0" t="n">
        <f aca="false">IF(A1623="",0,IF(SUMPRODUCT(--($A$2:$A$5001=A1623))&gt;1,1,0))</f>
        <v>0</v>
      </c>
      <c r="H1623" s="0" t="n">
        <f aca="false">ROW()-1</f>
        <v>1622</v>
      </c>
      <c r="I1623" s="0" t="str">
        <f aca="false">IF(OR(הגדרות!$E$6=0,H1623&gt;הגדרות!$E$5),"",IF(H1623-1&lt;הגדרות!$E$8*(הגדרות!$E$7+1),INT((H1623-1)/(הגדרות!$E$7+1)),הגדרות!$E$8+INT((H1623-1-הגדרות!$E$8*(הגדרות!$E$7+1))/הגדרות!$E$7)))</f>
        <v/>
      </c>
      <c r="J1623" s="0" t="str">
        <f aca="false">IF(I1623="","",IF(H1623-1&lt;הגדרות!$E$8*(הגדרות!$E$7+1),MOD(H1623-1,הגדרות!$E$7+1),MOD(H1623-1-הגדרות!$E$8*(הגדרות!$E$7+1),הגדרות!$E$7)))</f>
        <v/>
      </c>
      <c r="K1623" s="0" t="str">
        <f aca="false">IF(I1623="","",J1623*הגדרות!$E$6+I1623+1)</f>
        <v/>
      </c>
      <c r="L1623" s="0" t="str">
        <f aca="false">IF(K1623="","",MATCH(K1623,$F$2:$F$5001,0))</f>
        <v/>
      </c>
      <c r="M1623" s="0" t="str">
        <f aca="false">IF(I1623="","",INDEX(הגדרות!$A$2:$A$21,MOD(I1623+הגדרות!$E$9,הגדרות!$E$6)+1))</f>
        <v/>
      </c>
    </row>
    <row r="1624" customFormat="false" ht="15" hidden="false" customHeight="false" outlineLevel="0" collapsed="false">
      <c r="A1624" s="0" t="str">
        <f aca="false">IF('הדבקת לידים'!A1624="","",IF(ISNUMBER('הדבקת לידים'!A1624),IF(הגדרות!$E$2&gt;0,TEXT('הדבקת לידים'!A1624,REPT("0",הגדרות!$E$2)),TEXT('הדבקת לידים'!A1624,"0")),TRIM('הדבקת לידים'!A1624)))</f>
        <v/>
      </c>
      <c r="B1624" s="0" t="str">
        <f aca="false">IF('הדבקת לידים'!B1624="","",IF(ISNUMBER('הדבקת לידים'!B1624),IF(הגדרות!$E$3&gt;0,TEXT('הדבקת לידים'!B1624,REPT("0",הגדרות!$E$3)),TEXT('הדבקת לידים'!B1624,"0")),TRIM('הדבקת לידים'!B1624)))</f>
        <v/>
      </c>
      <c r="C1624" s="0" t="n">
        <f aca="false">IF(OR(A1624&lt;&gt;"",B1624&lt;&gt;""),1,0)</f>
        <v>0</v>
      </c>
      <c r="D1624" s="0" t="str">
        <f aca="false">IF(C1624=1,MOD(ABS(SIN(ROW()*12.9898+'הדבקת לידים'!$F$2*78.233+IFERROR(--RIGHT(A1624,6),LEN(A1624))*0.0137+IFERROR(--RIGHT(B1624,6),LEN(B1624))*0.0071))*43758.5453,1),"")</f>
        <v/>
      </c>
      <c r="E1624" s="0" t="str">
        <f aca="false">IF(C1624=1,INT(MOD(ABS(SIN(D1624*7919.123+ROW()*0.618+'הדבקת לידים'!$F$2*1.3))*43758.5453,1)*1000000)*10000+ROW(),"")</f>
        <v/>
      </c>
      <c r="F1624" s="0" t="str">
        <f aca="false">IF(E1624="","",RANK(E1624,$E$2:$E$5001,1))</f>
        <v/>
      </c>
      <c r="G1624" s="0" t="n">
        <f aca="false">IF(A1624="",0,IF(SUMPRODUCT(--($A$2:$A$5001=A1624))&gt;1,1,0))</f>
        <v>0</v>
      </c>
      <c r="H1624" s="0" t="n">
        <f aca="false">ROW()-1</f>
        <v>1623</v>
      </c>
      <c r="I1624" s="0" t="str">
        <f aca="false">IF(OR(הגדרות!$E$6=0,H1624&gt;הגדרות!$E$5),"",IF(H1624-1&lt;הגדרות!$E$8*(הגדרות!$E$7+1),INT((H1624-1)/(הגדרות!$E$7+1)),הגדרות!$E$8+INT((H1624-1-הגדרות!$E$8*(הגדרות!$E$7+1))/הגדרות!$E$7)))</f>
        <v/>
      </c>
      <c r="J1624" s="0" t="str">
        <f aca="false">IF(I1624="","",IF(H1624-1&lt;הגדרות!$E$8*(הגדרות!$E$7+1),MOD(H1624-1,הגדרות!$E$7+1),MOD(H1624-1-הגדרות!$E$8*(הגדרות!$E$7+1),הגדרות!$E$7)))</f>
        <v/>
      </c>
      <c r="K1624" s="0" t="str">
        <f aca="false">IF(I1624="","",J1624*הגדרות!$E$6+I1624+1)</f>
        <v/>
      </c>
      <c r="L1624" s="0" t="str">
        <f aca="false">IF(K1624="","",MATCH(K1624,$F$2:$F$5001,0))</f>
        <v/>
      </c>
      <c r="M1624" s="0" t="str">
        <f aca="false">IF(I1624="","",INDEX(הגדרות!$A$2:$A$21,MOD(I1624+הגדרות!$E$9,הגדרות!$E$6)+1))</f>
        <v/>
      </c>
    </row>
    <row r="1625" customFormat="false" ht="15" hidden="false" customHeight="false" outlineLevel="0" collapsed="false">
      <c r="A1625" s="0" t="str">
        <f aca="false">IF('הדבקת לידים'!A1625="","",IF(ISNUMBER('הדבקת לידים'!A1625),IF(הגדרות!$E$2&gt;0,TEXT('הדבקת לידים'!A1625,REPT("0",הגדרות!$E$2)),TEXT('הדבקת לידים'!A1625,"0")),TRIM('הדבקת לידים'!A1625)))</f>
        <v/>
      </c>
      <c r="B1625" s="0" t="str">
        <f aca="false">IF('הדבקת לידים'!B1625="","",IF(ISNUMBER('הדבקת לידים'!B1625),IF(הגדרות!$E$3&gt;0,TEXT('הדבקת לידים'!B1625,REPT("0",הגדרות!$E$3)),TEXT('הדבקת לידים'!B1625,"0")),TRIM('הדבקת לידים'!B1625)))</f>
        <v/>
      </c>
      <c r="C1625" s="0" t="n">
        <f aca="false">IF(OR(A1625&lt;&gt;"",B1625&lt;&gt;""),1,0)</f>
        <v>0</v>
      </c>
      <c r="D1625" s="0" t="str">
        <f aca="false">IF(C1625=1,MOD(ABS(SIN(ROW()*12.9898+'הדבקת לידים'!$F$2*78.233+IFERROR(--RIGHT(A1625,6),LEN(A1625))*0.0137+IFERROR(--RIGHT(B1625,6),LEN(B1625))*0.0071))*43758.5453,1),"")</f>
        <v/>
      </c>
      <c r="E1625" s="0" t="str">
        <f aca="false">IF(C1625=1,INT(MOD(ABS(SIN(D1625*7919.123+ROW()*0.618+'הדבקת לידים'!$F$2*1.3))*43758.5453,1)*1000000)*10000+ROW(),"")</f>
        <v/>
      </c>
      <c r="F1625" s="0" t="str">
        <f aca="false">IF(E1625="","",RANK(E1625,$E$2:$E$5001,1))</f>
        <v/>
      </c>
      <c r="G1625" s="0" t="n">
        <f aca="false">IF(A1625="",0,IF(SUMPRODUCT(--($A$2:$A$5001=A1625))&gt;1,1,0))</f>
        <v>0</v>
      </c>
      <c r="H1625" s="0" t="n">
        <f aca="false">ROW()-1</f>
        <v>1624</v>
      </c>
      <c r="I1625" s="0" t="str">
        <f aca="false">IF(OR(הגדרות!$E$6=0,H1625&gt;הגדרות!$E$5),"",IF(H1625-1&lt;הגדרות!$E$8*(הגדרות!$E$7+1),INT((H1625-1)/(הגדרות!$E$7+1)),הגדרות!$E$8+INT((H1625-1-הגדרות!$E$8*(הגדרות!$E$7+1))/הגדרות!$E$7)))</f>
        <v/>
      </c>
      <c r="J1625" s="0" t="str">
        <f aca="false">IF(I1625="","",IF(H1625-1&lt;הגדרות!$E$8*(הגדרות!$E$7+1),MOD(H1625-1,הגדרות!$E$7+1),MOD(H1625-1-הגדרות!$E$8*(הגדרות!$E$7+1),הגדרות!$E$7)))</f>
        <v/>
      </c>
      <c r="K1625" s="0" t="str">
        <f aca="false">IF(I1625="","",J1625*הגדרות!$E$6+I1625+1)</f>
        <v/>
      </c>
      <c r="L1625" s="0" t="str">
        <f aca="false">IF(K1625="","",MATCH(K1625,$F$2:$F$5001,0))</f>
        <v/>
      </c>
      <c r="M1625" s="0" t="str">
        <f aca="false">IF(I1625="","",INDEX(הגדרות!$A$2:$A$21,MOD(I1625+הגדרות!$E$9,הגדרות!$E$6)+1))</f>
        <v/>
      </c>
    </row>
    <row r="1626" customFormat="false" ht="15" hidden="false" customHeight="false" outlineLevel="0" collapsed="false">
      <c r="A1626" s="0" t="str">
        <f aca="false">IF('הדבקת לידים'!A1626="","",IF(ISNUMBER('הדבקת לידים'!A1626),IF(הגדרות!$E$2&gt;0,TEXT('הדבקת לידים'!A1626,REPT("0",הגדרות!$E$2)),TEXT('הדבקת לידים'!A1626,"0")),TRIM('הדבקת לידים'!A1626)))</f>
        <v/>
      </c>
      <c r="B1626" s="0" t="str">
        <f aca="false">IF('הדבקת לידים'!B1626="","",IF(ISNUMBER('הדבקת לידים'!B1626),IF(הגדרות!$E$3&gt;0,TEXT('הדבקת לידים'!B1626,REPT("0",הגדרות!$E$3)),TEXT('הדבקת לידים'!B1626,"0")),TRIM('הדבקת לידים'!B1626)))</f>
        <v/>
      </c>
      <c r="C1626" s="0" t="n">
        <f aca="false">IF(OR(A1626&lt;&gt;"",B1626&lt;&gt;""),1,0)</f>
        <v>0</v>
      </c>
      <c r="D1626" s="0" t="str">
        <f aca="false">IF(C1626=1,MOD(ABS(SIN(ROW()*12.9898+'הדבקת לידים'!$F$2*78.233+IFERROR(--RIGHT(A1626,6),LEN(A1626))*0.0137+IFERROR(--RIGHT(B1626,6),LEN(B1626))*0.0071))*43758.5453,1),"")</f>
        <v/>
      </c>
      <c r="E1626" s="0" t="str">
        <f aca="false">IF(C1626=1,INT(MOD(ABS(SIN(D1626*7919.123+ROW()*0.618+'הדבקת לידים'!$F$2*1.3))*43758.5453,1)*1000000)*10000+ROW(),"")</f>
        <v/>
      </c>
      <c r="F1626" s="0" t="str">
        <f aca="false">IF(E1626="","",RANK(E1626,$E$2:$E$5001,1))</f>
        <v/>
      </c>
      <c r="G1626" s="0" t="n">
        <f aca="false">IF(A1626="",0,IF(SUMPRODUCT(--($A$2:$A$5001=A1626))&gt;1,1,0))</f>
        <v>0</v>
      </c>
      <c r="H1626" s="0" t="n">
        <f aca="false">ROW()-1</f>
        <v>1625</v>
      </c>
      <c r="I1626" s="0" t="str">
        <f aca="false">IF(OR(הגדרות!$E$6=0,H1626&gt;הגדרות!$E$5),"",IF(H1626-1&lt;הגדרות!$E$8*(הגדרות!$E$7+1),INT((H1626-1)/(הגדרות!$E$7+1)),הגדרות!$E$8+INT((H1626-1-הגדרות!$E$8*(הגדרות!$E$7+1))/הגדרות!$E$7)))</f>
        <v/>
      </c>
      <c r="J1626" s="0" t="str">
        <f aca="false">IF(I1626="","",IF(H1626-1&lt;הגדרות!$E$8*(הגדרות!$E$7+1),MOD(H1626-1,הגדרות!$E$7+1),MOD(H1626-1-הגדרות!$E$8*(הגדרות!$E$7+1),הגדרות!$E$7)))</f>
        <v/>
      </c>
      <c r="K1626" s="0" t="str">
        <f aca="false">IF(I1626="","",J1626*הגדרות!$E$6+I1626+1)</f>
        <v/>
      </c>
      <c r="L1626" s="0" t="str">
        <f aca="false">IF(K1626="","",MATCH(K1626,$F$2:$F$5001,0))</f>
        <v/>
      </c>
      <c r="M1626" s="0" t="str">
        <f aca="false">IF(I1626="","",INDEX(הגדרות!$A$2:$A$21,MOD(I1626+הגדרות!$E$9,הגדרות!$E$6)+1))</f>
        <v/>
      </c>
    </row>
    <row r="1627" customFormat="false" ht="15" hidden="false" customHeight="false" outlineLevel="0" collapsed="false">
      <c r="A1627" s="0" t="str">
        <f aca="false">IF('הדבקת לידים'!A1627="","",IF(ISNUMBER('הדבקת לידים'!A1627),IF(הגדרות!$E$2&gt;0,TEXT('הדבקת לידים'!A1627,REPT("0",הגדרות!$E$2)),TEXT('הדבקת לידים'!A1627,"0")),TRIM('הדבקת לידים'!A1627)))</f>
        <v/>
      </c>
      <c r="B1627" s="0" t="str">
        <f aca="false">IF('הדבקת לידים'!B1627="","",IF(ISNUMBER('הדבקת לידים'!B1627),IF(הגדרות!$E$3&gt;0,TEXT('הדבקת לידים'!B1627,REPT("0",הגדרות!$E$3)),TEXT('הדבקת לידים'!B1627,"0")),TRIM('הדבקת לידים'!B1627)))</f>
        <v/>
      </c>
      <c r="C1627" s="0" t="n">
        <f aca="false">IF(OR(A1627&lt;&gt;"",B1627&lt;&gt;""),1,0)</f>
        <v>0</v>
      </c>
      <c r="D1627" s="0" t="str">
        <f aca="false">IF(C1627=1,MOD(ABS(SIN(ROW()*12.9898+'הדבקת לידים'!$F$2*78.233+IFERROR(--RIGHT(A1627,6),LEN(A1627))*0.0137+IFERROR(--RIGHT(B1627,6),LEN(B1627))*0.0071))*43758.5453,1),"")</f>
        <v/>
      </c>
      <c r="E1627" s="0" t="str">
        <f aca="false">IF(C1627=1,INT(MOD(ABS(SIN(D1627*7919.123+ROW()*0.618+'הדבקת לידים'!$F$2*1.3))*43758.5453,1)*1000000)*10000+ROW(),"")</f>
        <v/>
      </c>
      <c r="F1627" s="0" t="str">
        <f aca="false">IF(E1627="","",RANK(E1627,$E$2:$E$5001,1))</f>
        <v/>
      </c>
      <c r="G1627" s="0" t="n">
        <f aca="false">IF(A1627="",0,IF(SUMPRODUCT(--($A$2:$A$5001=A1627))&gt;1,1,0))</f>
        <v>0</v>
      </c>
      <c r="H1627" s="0" t="n">
        <f aca="false">ROW()-1</f>
        <v>1626</v>
      </c>
      <c r="I1627" s="0" t="str">
        <f aca="false">IF(OR(הגדרות!$E$6=0,H1627&gt;הגדרות!$E$5),"",IF(H1627-1&lt;הגדרות!$E$8*(הגדרות!$E$7+1),INT((H1627-1)/(הגדרות!$E$7+1)),הגדרות!$E$8+INT((H1627-1-הגדרות!$E$8*(הגדרות!$E$7+1))/הגדרות!$E$7)))</f>
        <v/>
      </c>
      <c r="J1627" s="0" t="str">
        <f aca="false">IF(I1627="","",IF(H1627-1&lt;הגדרות!$E$8*(הגדרות!$E$7+1),MOD(H1627-1,הגדרות!$E$7+1),MOD(H1627-1-הגדרות!$E$8*(הגדרות!$E$7+1),הגדרות!$E$7)))</f>
        <v/>
      </c>
      <c r="K1627" s="0" t="str">
        <f aca="false">IF(I1627="","",J1627*הגדרות!$E$6+I1627+1)</f>
        <v/>
      </c>
      <c r="L1627" s="0" t="str">
        <f aca="false">IF(K1627="","",MATCH(K1627,$F$2:$F$5001,0))</f>
        <v/>
      </c>
      <c r="M1627" s="0" t="str">
        <f aca="false">IF(I1627="","",INDEX(הגדרות!$A$2:$A$21,MOD(I1627+הגדרות!$E$9,הגדרות!$E$6)+1))</f>
        <v/>
      </c>
    </row>
    <row r="1628" customFormat="false" ht="15" hidden="false" customHeight="false" outlineLevel="0" collapsed="false">
      <c r="A1628" s="0" t="str">
        <f aca="false">IF('הדבקת לידים'!A1628="","",IF(ISNUMBER('הדבקת לידים'!A1628),IF(הגדרות!$E$2&gt;0,TEXT('הדבקת לידים'!A1628,REPT("0",הגדרות!$E$2)),TEXT('הדבקת לידים'!A1628,"0")),TRIM('הדבקת לידים'!A1628)))</f>
        <v/>
      </c>
      <c r="B1628" s="0" t="str">
        <f aca="false">IF('הדבקת לידים'!B1628="","",IF(ISNUMBER('הדבקת לידים'!B1628),IF(הגדרות!$E$3&gt;0,TEXT('הדבקת לידים'!B1628,REPT("0",הגדרות!$E$3)),TEXT('הדבקת לידים'!B1628,"0")),TRIM('הדבקת לידים'!B1628)))</f>
        <v/>
      </c>
      <c r="C1628" s="0" t="n">
        <f aca="false">IF(OR(A1628&lt;&gt;"",B1628&lt;&gt;""),1,0)</f>
        <v>0</v>
      </c>
      <c r="D1628" s="0" t="str">
        <f aca="false">IF(C1628=1,MOD(ABS(SIN(ROW()*12.9898+'הדבקת לידים'!$F$2*78.233+IFERROR(--RIGHT(A1628,6),LEN(A1628))*0.0137+IFERROR(--RIGHT(B1628,6),LEN(B1628))*0.0071))*43758.5453,1),"")</f>
        <v/>
      </c>
      <c r="E1628" s="0" t="str">
        <f aca="false">IF(C1628=1,INT(MOD(ABS(SIN(D1628*7919.123+ROW()*0.618+'הדבקת לידים'!$F$2*1.3))*43758.5453,1)*1000000)*10000+ROW(),"")</f>
        <v/>
      </c>
      <c r="F1628" s="0" t="str">
        <f aca="false">IF(E1628="","",RANK(E1628,$E$2:$E$5001,1))</f>
        <v/>
      </c>
      <c r="G1628" s="0" t="n">
        <f aca="false">IF(A1628="",0,IF(SUMPRODUCT(--($A$2:$A$5001=A1628))&gt;1,1,0))</f>
        <v>0</v>
      </c>
      <c r="H1628" s="0" t="n">
        <f aca="false">ROW()-1</f>
        <v>1627</v>
      </c>
      <c r="I1628" s="0" t="str">
        <f aca="false">IF(OR(הגדרות!$E$6=0,H1628&gt;הגדרות!$E$5),"",IF(H1628-1&lt;הגדרות!$E$8*(הגדרות!$E$7+1),INT((H1628-1)/(הגדרות!$E$7+1)),הגדרות!$E$8+INT((H1628-1-הגדרות!$E$8*(הגדרות!$E$7+1))/הגדרות!$E$7)))</f>
        <v/>
      </c>
      <c r="J1628" s="0" t="str">
        <f aca="false">IF(I1628="","",IF(H1628-1&lt;הגדרות!$E$8*(הגדרות!$E$7+1),MOD(H1628-1,הגדרות!$E$7+1),MOD(H1628-1-הגדרות!$E$8*(הגדרות!$E$7+1),הגדרות!$E$7)))</f>
        <v/>
      </c>
      <c r="K1628" s="0" t="str">
        <f aca="false">IF(I1628="","",J1628*הגדרות!$E$6+I1628+1)</f>
        <v/>
      </c>
      <c r="L1628" s="0" t="str">
        <f aca="false">IF(K1628="","",MATCH(K1628,$F$2:$F$5001,0))</f>
        <v/>
      </c>
      <c r="M1628" s="0" t="str">
        <f aca="false">IF(I1628="","",INDEX(הגדרות!$A$2:$A$21,MOD(I1628+הגדרות!$E$9,הגדרות!$E$6)+1))</f>
        <v/>
      </c>
    </row>
    <row r="1629" customFormat="false" ht="15" hidden="false" customHeight="false" outlineLevel="0" collapsed="false">
      <c r="A1629" s="0" t="str">
        <f aca="false">IF('הדבקת לידים'!A1629="","",IF(ISNUMBER('הדבקת לידים'!A1629),IF(הגדרות!$E$2&gt;0,TEXT('הדבקת לידים'!A1629,REPT("0",הגדרות!$E$2)),TEXT('הדבקת לידים'!A1629,"0")),TRIM('הדבקת לידים'!A1629)))</f>
        <v/>
      </c>
      <c r="B1629" s="0" t="str">
        <f aca="false">IF('הדבקת לידים'!B1629="","",IF(ISNUMBER('הדבקת לידים'!B1629),IF(הגדרות!$E$3&gt;0,TEXT('הדבקת לידים'!B1629,REPT("0",הגדרות!$E$3)),TEXT('הדבקת לידים'!B1629,"0")),TRIM('הדבקת לידים'!B1629)))</f>
        <v/>
      </c>
      <c r="C1629" s="0" t="n">
        <f aca="false">IF(OR(A1629&lt;&gt;"",B1629&lt;&gt;""),1,0)</f>
        <v>0</v>
      </c>
      <c r="D1629" s="0" t="str">
        <f aca="false">IF(C1629=1,MOD(ABS(SIN(ROW()*12.9898+'הדבקת לידים'!$F$2*78.233+IFERROR(--RIGHT(A1629,6),LEN(A1629))*0.0137+IFERROR(--RIGHT(B1629,6),LEN(B1629))*0.0071))*43758.5453,1),"")</f>
        <v/>
      </c>
      <c r="E1629" s="0" t="str">
        <f aca="false">IF(C1629=1,INT(MOD(ABS(SIN(D1629*7919.123+ROW()*0.618+'הדבקת לידים'!$F$2*1.3))*43758.5453,1)*1000000)*10000+ROW(),"")</f>
        <v/>
      </c>
      <c r="F1629" s="0" t="str">
        <f aca="false">IF(E1629="","",RANK(E1629,$E$2:$E$5001,1))</f>
        <v/>
      </c>
      <c r="G1629" s="0" t="n">
        <f aca="false">IF(A1629="",0,IF(SUMPRODUCT(--($A$2:$A$5001=A1629))&gt;1,1,0))</f>
        <v>0</v>
      </c>
      <c r="H1629" s="0" t="n">
        <f aca="false">ROW()-1</f>
        <v>1628</v>
      </c>
      <c r="I1629" s="0" t="str">
        <f aca="false">IF(OR(הגדרות!$E$6=0,H1629&gt;הגדרות!$E$5),"",IF(H1629-1&lt;הגדרות!$E$8*(הגדרות!$E$7+1),INT((H1629-1)/(הגדרות!$E$7+1)),הגדרות!$E$8+INT((H1629-1-הגדרות!$E$8*(הגדרות!$E$7+1))/הגדרות!$E$7)))</f>
        <v/>
      </c>
      <c r="J1629" s="0" t="str">
        <f aca="false">IF(I1629="","",IF(H1629-1&lt;הגדרות!$E$8*(הגדרות!$E$7+1),MOD(H1629-1,הגדרות!$E$7+1),MOD(H1629-1-הגדרות!$E$8*(הגדרות!$E$7+1),הגדרות!$E$7)))</f>
        <v/>
      </c>
      <c r="K1629" s="0" t="str">
        <f aca="false">IF(I1629="","",J1629*הגדרות!$E$6+I1629+1)</f>
        <v/>
      </c>
      <c r="L1629" s="0" t="str">
        <f aca="false">IF(K1629="","",MATCH(K1629,$F$2:$F$5001,0))</f>
        <v/>
      </c>
      <c r="M1629" s="0" t="str">
        <f aca="false">IF(I1629="","",INDEX(הגדרות!$A$2:$A$21,MOD(I1629+הגדרות!$E$9,הגדרות!$E$6)+1))</f>
        <v/>
      </c>
    </row>
    <row r="1630" customFormat="false" ht="15" hidden="false" customHeight="false" outlineLevel="0" collapsed="false">
      <c r="A1630" s="0" t="str">
        <f aca="false">IF('הדבקת לידים'!A1630="","",IF(ISNUMBER('הדבקת לידים'!A1630),IF(הגדרות!$E$2&gt;0,TEXT('הדבקת לידים'!A1630,REPT("0",הגדרות!$E$2)),TEXT('הדבקת לידים'!A1630,"0")),TRIM('הדבקת לידים'!A1630)))</f>
        <v/>
      </c>
      <c r="B1630" s="0" t="str">
        <f aca="false">IF('הדבקת לידים'!B1630="","",IF(ISNUMBER('הדבקת לידים'!B1630),IF(הגדרות!$E$3&gt;0,TEXT('הדבקת לידים'!B1630,REPT("0",הגדרות!$E$3)),TEXT('הדבקת לידים'!B1630,"0")),TRIM('הדבקת לידים'!B1630)))</f>
        <v/>
      </c>
      <c r="C1630" s="0" t="n">
        <f aca="false">IF(OR(A1630&lt;&gt;"",B1630&lt;&gt;""),1,0)</f>
        <v>0</v>
      </c>
      <c r="D1630" s="0" t="str">
        <f aca="false">IF(C1630=1,MOD(ABS(SIN(ROW()*12.9898+'הדבקת לידים'!$F$2*78.233+IFERROR(--RIGHT(A1630,6),LEN(A1630))*0.0137+IFERROR(--RIGHT(B1630,6),LEN(B1630))*0.0071))*43758.5453,1),"")</f>
        <v/>
      </c>
      <c r="E1630" s="0" t="str">
        <f aca="false">IF(C1630=1,INT(MOD(ABS(SIN(D1630*7919.123+ROW()*0.618+'הדבקת לידים'!$F$2*1.3))*43758.5453,1)*1000000)*10000+ROW(),"")</f>
        <v/>
      </c>
      <c r="F1630" s="0" t="str">
        <f aca="false">IF(E1630="","",RANK(E1630,$E$2:$E$5001,1))</f>
        <v/>
      </c>
      <c r="G1630" s="0" t="n">
        <f aca="false">IF(A1630="",0,IF(SUMPRODUCT(--($A$2:$A$5001=A1630))&gt;1,1,0))</f>
        <v>0</v>
      </c>
      <c r="H1630" s="0" t="n">
        <f aca="false">ROW()-1</f>
        <v>1629</v>
      </c>
      <c r="I1630" s="0" t="str">
        <f aca="false">IF(OR(הגדרות!$E$6=0,H1630&gt;הגדרות!$E$5),"",IF(H1630-1&lt;הגדרות!$E$8*(הגדרות!$E$7+1),INT((H1630-1)/(הגדרות!$E$7+1)),הגדרות!$E$8+INT((H1630-1-הגדרות!$E$8*(הגדרות!$E$7+1))/הגדרות!$E$7)))</f>
        <v/>
      </c>
      <c r="J1630" s="0" t="str">
        <f aca="false">IF(I1630="","",IF(H1630-1&lt;הגדרות!$E$8*(הגדרות!$E$7+1),MOD(H1630-1,הגדרות!$E$7+1),MOD(H1630-1-הגדרות!$E$8*(הגדרות!$E$7+1),הגדרות!$E$7)))</f>
        <v/>
      </c>
      <c r="K1630" s="0" t="str">
        <f aca="false">IF(I1630="","",J1630*הגדרות!$E$6+I1630+1)</f>
        <v/>
      </c>
      <c r="L1630" s="0" t="str">
        <f aca="false">IF(K1630="","",MATCH(K1630,$F$2:$F$5001,0))</f>
        <v/>
      </c>
      <c r="M1630" s="0" t="str">
        <f aca="false">IF(I1630="","",INDEX(הגדרות!$A$2:$A$21,MOD(I1630+הגדרות!$E$9,הגדרות!$E$6)+1))</f>
        <v/>
      </c>
    </row>
    <row r="1631" customFormat="false" ht="15" hidden="false" customHeight="false" outlineLevel="0" collapsed="false">
      <c r="A1631" s="0" t="str">
        <f aca="false">IF('הדבקת לידים'!A1631="","",IF(ISNUMBER('הדבקת לידים'!A1631),IF(הגדרות!$E$2&gt;0,TEXT('הדבקת לידים'!A1631,REPT("0",הגדרות!$E$2)),TEXT('הדבקת לידים'!A1631,"0")),TRIM('הדבקת לידים'!A1631)))</f>
        <v/>
      </c>
      <c r="B1631" s="0" t="str">
        <f aca="false">IF('הדבקת לידים'!B1631="","",IF(ISNUMBER('הדבקת לידים'!B1631),IF(הגדרות!$E$3&gt;0,TEXT('הדבקת לידים'!B1631,REPT("0",הגדרות!$E$3)),TEXT('הדבקת לידים'!B1631,"0")),TRIM('הדבקת לידים'!B1631)))</f>
        <v/>
      </c>
      <c r="C1631" s="0" t="n">
        <f aca="false">IF(OR(A1631&lt;&gt;"",B1631&lt;&gt;""),1,0)</f>
        <v>0</v>
      </c>
      <c r="D1631" s="0" t="str">
        <f aca="false">IF(C1631=1,MOD(ABS(SIN(ROW()*12.9898+'הדבקת לידים'!$F$2*78.233+IFERROR(--RIGHT(A1631,6),LEN(A1631))*0.0137+IFERROR(--RIGHT(B1631,6),LEN(B1631))*0.0071))*43758.5453,1),"")</f>
        <v/>
      </c>
      <c r="E1631" s="0" t="str">
        <f aca="false">IF(C1631=1,INT(MOD(ABS(SIN(D1631*7919.123+ROW()*0.618+'הדבקת לידים'!$F$2*1.3))*43758.5453,1)*1000000)*10000+ROW(),"")</f>
        <v/>
      </c>
      <c r="F1631" s="0" t="str">
        <f aca="false">IF(E1631="","",RANK(E1631,$E$2:$E$5001,1))</f>
        <v/>
      </c>
      <c r="G1631" s="0" t="n">
        <f aca="false">IF(A1631="",0,IF(SUMPRODUCT(--($A$2:$A$5001=A1631))&gt;1,1,0))</f>
        <v>0</v>
      </c>
      <c r="H1631" s="0" t="n">
        <f aca="false">ROW()-1</f>
        <v>1630</v>
      </c>
      <c r="I1631" s="0" t="str">
        <f aca="false">IF(OR(הגדרות!$E$6=0,H1631&gt;הגדרות!$E$5),"",IF(H1631-1&lt;הגדרות!$E$8*(הגדרות!$E$7+1),INT((H1631-1)/(הגדרות!$E$7+1)),הגדרות!$E$8+INT((H1631-1-הגדרות!$E$8*(הגדרות!$E$7+1))/הגדרות!$E$7)))</f>
        <v/>
      </c>
      <c r="J1631" s="0" t="str">
        <f aca="false">IF(I1631="","",IF(H1631-1&lt;הגדרות!$E$8*(הגדרות!$E$7+1),MOD(H1631-1,הגדרות!$E$7+1),MOD(H1631-1-הגדרות!$E$8*(הגדרות!$E$7+1),הגדרות!$E$7)))</f>
        <v/>
      </c>
      <c r="K1631" s="0" t="str">
        <f aca="false">IF(I1631="","",J1631*הגדרות!$E$6+I1631+1)</f>
        <v/>
      </c>
      <c r="L1631" s="0" t="str">
        <f aca="false">IF(K1631="","",MATCH(K1631,$F$2:$F$5001,0))</f>
        <v/>
      </c>
      <c r="M1631" s="0" t="str">
        <f aca="false">IF(I1631="","",INDEX(הגדרות!$A$2:$A$21,MOD(I1631+הגדרות!$E$9,הגדרות!$E$6)+1))</f>
        <v/>
      </c>
    </row>
    <row r="1632" customFormat="false" ht="15" hidden="false" customHeight="false" outlineLevel="0" collapsed="false">
      <c r="A1632" s="0" t="str">
        <f aca="false">IF('הדבקת לידים'!A1632="","",IF(ISNUMBER('הדבקת לידים'!A1632),IF(הגדרות!$E$2&gt;0,TEXT('הדבקת לידים'!A1632,REPT("0",הגדרות!$E$2)),TEXT('הדבקת לידים'!A1632,"0")),TRIM('הדבקת לידים'!A1632)))</f>
        <v/>
      </c>
      <c r="B1632" s="0" t="str">
        <f aca="false">IF('הדבקת לידים'!B1632="","",IF(ISNUMBER('הדבקת לידים'!B1632),IF(הגדרות!$E$3&gt;0,TEXT('הדבקת לידים'!B1632,REPT("0",הגדרות!$E$3)),TEXT('הדבקת לידים'!B1632,"0")),TRIM('הדבקת לידים'!B1632)))</f>
        <v/>
      </c>
      <c r="C1632" s="0" t="n">
        <f aca="false">IF(OR(A1632&lt;&gt;"",B1632&lt;&gt;""),1,0)</f>
        <v>0</v>
      </c>
      <c r="D1632" s="0" t="str">
        <f aca="false">IF(C1632=1,MOD(ABS(SIN(ROW()*12.9898+'הדבקת לידים'!$F$2*78.233+IFERROR(--RIGHT(A1632,6),LEN(A1632))*0.0137+IFERROR(--RIGHT(B1632,6),LEN(B1632))*0.0071))*43758.5453,1),"")</f>
        <v/>
      </c>
      <c r="E1632" s="0" t="str">
        <f aca="false">IF(C1632=1,INT(MOD(ABS(SIN(D1632*7919.123+ROW()*0.618+'הדבקת לידים'!$F$2*1.3))*43758.5453,1)*1000000)*10000+ROW(),"")</f>
        <v/>
      </c>
      <c r="F1632" s="0" t="str">
        <f aca="false">IF(E1632="","",RANK(E1632,$E$2:$E$5001,1))</f>
        <v/>
      </c>
      <c r="G1632" s="0" t="n">
        <f aca="false">IF(A1632="",0,IF(SUMPRODUCT(--($A$2:$A$5001=A1632))&gt;1,1,0))</f>
        <v>0</v>
      </c>
      <c r="H1632" s="0" t="n">
        <f aca="false">ROW()-1</f>
        <v>1631</v>
      </c>
      <c r="I1632" s="0" t="str">
        <f aca="false">IF(OR(הגדרות!$E$6=0,H1632&gt;הגדרות!$E$5),"",IF(H1632-1&lt;הגדרות!$E$8*(הגדרות!$E$7+1),INT((H1632-1)/(הגדרות!$E$7+1)),הגדרות!$E$8+INT((H1632-1-הגדרות!$E$8*(הגדרות!$E$7+1))/הגדרות!$E$7)))</f>
        <v/>
      </c>
      <c r="J1632" s="0" t="str">
        <f aca="false">IF(I1632="","",IF(H1632-1&lt;הגדרות!$E$8*(הגדרות!$E$7+1),MOD(H1632-1,הגדרות!$E$7+1),MOD(H1632-1-הגדרות!$E$8*(הגדרות!$E$7+1),הגדרות!$E$7)))</f>
        <v/>
      </c>
      <c r="K1632" s="0" t="str">
        <f aca="false">IF(I1632="","",J1632*הגדרות!$E$6+I1632+1)</f>
        <v/>
      </c>
      <c r="L1632" s="0" t="str">
        <f aca="false">IF(K1632="","",MATCH(K1632,$F$2:$F$5001,0))</f>
        <v/>
      </c>
      <c r="M1632" s="0" t="str">
        <f aca="false">IF(I1632="","",INDEX(הגדרות!$A$2:$A$21,MOD(I1632+הגדרות!$E$9,הגדרות!$E$6)+1))</f>
        <v/>
      </c>
    </row>
    <row r="1633" customFormat="false" ht="15" hidden="false" customHeight="false" outlineLevel="0" collapsed="false">
      <c r="A1633" s="0" t="str">
        <f aca="false">IF('הדבקת לידים'!A1633="","",IF(ISNUMBER('הדבקת לידים'!A1633),IF(הגדרות!$E$2&gt;0,TEXT('הדבקת לידים'!A1633,REPT("0",הגדרות!$E$2)),TEXT('הדבקת לידים'!A1633,"0")),TRIM('הדבקת לידים'!A1633)))</f>
        <v/>
      </c>
      <c r="B1633" s="0" t="str">
        <f aca="false">IF('הדבקת לידים'!B1633="","",IF(ISNUMBER('הדבקת לידים'!B1633),IF(הגדרות!$E$3&gt;0,TEXT('הדבקת לידים'!B1633,REPT("0",הגדרות!$E$3)),TEXT('הדבקת לידים'!B1633,"0")),TRIM('הדבקת לידים'!B1633)))</f>
        <v/>
      </c>
      <c r="C1633" s="0" t="n">
        <f aca="false">IF(OR(A1633&lt;&gt;"",B1633&lt;&gt;""),1,0)</f>
        <v>0</v>
      </c>
      <c r="D1633" s="0" t="str">
        <f aca="false">IF(C1633=1,MOD(ABS(SIN(ROW()*12.9898+'הדבקת לידים'!$F$2*78.233+IFERROR(--RIGHT(A1633,6),LEN(A1633))*0.0137+IFERROR(--RIGHT(B1633,6),LEN(B1633))*0.0071))*43758.5453,1),"")</f>
        <v/>
      </c>
      <c r="E1633" s="0" t="str">
        <f aca="false">IF(C1633=1,INT(MOD(ABS(SIN(D1633*7919.123+ROW()*0.618+'הדבקת לידים'!$F$2*1.3))*43758.5453,1)*1000000)*10000+ROW(),"")</f>
        <v/>
      </c>
      <c r="F1633" s="0" t="str">
        <f aca="false">IF(E1633="","",RANK(E1633,$E$2:$E$5001,1))</f>
        <v/>
      </c>
      <c r="G1633" s="0" t="n">
        <f aca="false">IF(A1633="",0,IF(SUMPRODUCT(--($A$2:$A$5001=A1633))&gt;1,1,0))</f>
        <v>0</v>
      </c>
      <c r="H1633" s="0" t="n">
        <f aca="false">ROW()-1</f>
        <v>1632</v>
      </c>
      <c r="I1633" s="0" t="str">
        <f aca="false">IF(OR(הגדרות!$E$6=0,H1633&gt;הגדרות!$E$5),"",IF(H1633-1&lt;הגדרות!$E$8*(הגדרות!$E$7+1),INT((H1633-1)/(הגדרות!$E$7+1)),הגדרות!$E$8+INT((H1633-1-הגדרות!$E$8*(הגדרות!$E$7+1))/הגדרות!$E$7)))</f>
        <v/>
      </c>
      <c r="J1633" s="0" t="str">
        <f aca="false">IF(I1633="","",IF(H1633-1&lt;הגדרות!$E$8*(הגדרות!$E$7+1),MOD(H1633-1,הגדרות!$E$7+1),MOD(H1633-1-הגדרות!$E$8*(הגדרות!$E$7+1),הגדרות!$E$7)))</f>
        <v/>
      </c>
      <c r="K1633" s="0" t="str">
        <f aca="false">IF(I1633="","",J1633*הגדרות!$E$6+I1633+1)</f>
        <v/>
      </c>
      <c r="L1633" s="0" t="str">
        <f aca="false">IF(K1633="","",MATCH(K1633,$F$2:$F$5001,0))</f>
        <v/>
      </c>
      <c r="M1633" s="0" t="str">
        <f aca="false">IF(I1633="","",INDEX(הגדרות!$A$2:$A$21,MOD(I1633+הגדרות!$E$9,הגדרות!$E$6)+1))</f>
        <v/>
      </c>
    </row>
    <row r="1634" customFormat="false" ht="15" hidden="false" customHeight="false" outlineLevel="0" collapsed="false">
      <c r="A1634" s="0" t="str">
        <f aca="false">IF('הדבקת לידים'!A1634="","",IF(ISNUMBER('הדבקת לידים'!A1634),IF(הגדרות!$E$2&gt;0,TEXT('הדבקת לידים'!A1634,REPT("0",הגדרות!$E$2)),TEXT('הדבקת לידים'!A1634,"0")),TRIM('הדבקת לידים'!A1634)))</f>
        <v/>
      </c>
      <c r="B1634" s="0" t="str">
        <f aca="false">IF('הדבקת לידים'!B1634="","",IF(ISNUMBER('הדבקת לידים'!B1634),IF(הגדרות!$E$3&gt;0,TEXT('הדבקת לידים'!B1634,REPT("0",הגדרות!$E$3)),TEXT('הדבקת לידים'!B1634,"0")),TRIM('הדבקת לידים'!B1634)))</f>
        <v/>
      </c>
      <c r="C1634" s="0" t="n">
        <f aca="false">IF(OR(A1634&lt;&gt;"",B1634&lt;&gt;""),1,0)</f>
        <v>0</v>
      </c>
      <c r="D1634" s="0" t="str">
        <f aca="false">IF(C1634=1,MOD(ABS(SIN(ROW()*12.9898+'הדבקת לידים'!$F$2*78.233+IFERROR(--RIGHT(A1634,6),LEN(A1634))*0.0137+IFERROR(--RIGHT(B1634,6),LEN(B1634))*0.0071))*43758.5453,1),"")</f>
        <v/>
      </c>
      <c r="E1634" s="0" t="str">
        <f aca="false">IF(C1634=1,INT(MOD(ABS(SIN(D1634*7919.123+ROW()*0.618+'הדבקת לידים'!$F$2*1.3))*43758.5453,1)*1000000)*10000+ROW(),"")</f>
        <v/>
      </c>
      <c r="F1634" s="0" t="str">
        <f aca="false">IF(E1634="","",RANK(E1634,$E$2:$E$5001,1))</f>
        <v/>
      </c>
      <c r="G1634" s="0" t="n">
        <f aca="false">IF(A1634="",0,IF(SUMPRODUCT(--($A$2:$A$5001=A1634))&gt;1,1,0))</f>
        <v>0</v>
      </c>
      <c r="H1634" s="0" t="n">
        <f aca="false">ROW()-1</f>
        <v>1633</v>
      </c>
      <c r="I1634" s="0" t="str">
        <f aca="false">IF(OR(הגדרות!$E$6=0,H1634&gt;הגדרות!$E$5),"",IF(H1634-1&lt;הגדרות!$E$8*(הגדרות!$E$7+1),INT((H1634-1)/(הגדרות!$E$7+1)),הגדרות!$E$8+INT((H1634-1-הגדרות!$E$8*(הגדרות!$E$7+1))/הגדרות!$E$7)))</f>
        <v/>
      </c>
      <c r="J1634" s="0" t="str">
        <f aca="false">IF(I1634="","",IF(H1634-1&lt;הגדרות!$E$8*(הגדרות!$E$7+1),MOD(H1634-1,הגדרות!$E$7+1),MOD(H1634-1-הגדרות!$E$8*(הגדרות!$E$7+1),הגדרות!$E$7)))</f>
        <v/>
      </c>
      <c r="K1634" s="0" t="str">
        <f aca="false">IF(I1634="","",J1634*הגדרות!$E$6+I1634+1)</f>
        <v/>
      </c>
      <c r="L1634" s="0" t="str">
        <f aca="false">IF(K1634="","",MATCH(K1634,$F$2:$F$5001,0))</f>
        <v/>
      </c>
      <c r="M1634" s="0" t="str">
        <f aca="false">IF(I1634="","",INDEX(הגדרות!$A$2:$A$21,MOD(I1634+הגדרות!$E$9,הגדרות!$E$6)+1))</f>
        <v/>
      </c>
    </row>
    <row r="1635" customFormat="false" ht="15" hidden="false" customHeight="false" outlineLevel="0" collapsed="false">
      <c r="A1635" s="0" t="str">
        <f aca="false">IF('הדבקת לידים'!A1635="","",IF(ISNUMBER('הדבקת לידים'!A1635),IF(הגדרות!$E$2&gt;0,TEXT('הדבקת לידים'!A1635,REPT("0",הגדרות!$E$2)),TEXT('הדבקת לידים'!A1635,"0")),TRIM('הדבקת לידים'!A1635)))</f>
        <v/>
      </c>
      <c r="B1635" s="0" t="str">
        <f aca="false">IF('הדבקת לידים'!B1635="","",IF(ISNUMBER('הדבקת לידים'!B1635),IF(הגדרות!$E$3&gt;0,TEXT('הדבקת לידים'!B1635,REPT("0",הגדרות!$E$3)),TEXT('הדבקת לידים'!B1635,"0")),TRIM('הדבקת לידים'!B1635)))</f>
        <v/>
      </c>
      <c r="C1635" s="0" t="n">
        <f aca="false">IF(OR(A1635&lt;&gt;"",B1635&lt;&gt;""),1,0)</f>
        <v>0</v>
      </c>
      <c r="D1635" s="0" t="str">
        <f aca="false">IF(C1635=1,MOD(ABS(SIN(ROW()*12.9898+'הדבקת לידים'!$F$2*78.233+IFERROR(--RIGHT(A1635,6),LEN(A1635))*0.0137+IFERROR(--RIGHT(B1635,6),LEN(B1635))*0.0071))*43758.5453,1),"")</f>
        <v/>
      </c>
      <c r="E1635" s="0" t="str">
        <f aca="false">IF(C1635=1,INT(MOD(ABS(SIN(D1635*7919.123+ROW()*0.618+'הדבקת לידים'!$F$2*1.3))*43758.5453,1)*1000000)*10000+ROW(),"")</f>
        <v/>
      </c>
      <c r="F1635" s="0" t="str">
        <f aca="false">IF(E1635="","",RANK(E1635,$E$2:$E$5001,1))</f>
        <v/>
      </c>
      <c r="G1635" s="0" t="n">
        <f aca="false">IF(A1635="",0,IF(SUMPRODUCT(--($A$2:$A$5001=A1635))&gt;1,1,0))</f>
        <v>0</v>
      </c>
      <c r="H1635" s="0" t="n">
        <f aca="false">ROW()-1</f>
        <v>1634</v>
      </c>
      <c r="I1635" s="0" t="str">
        <f aca="false">IF(OR(הגדרות!$E$6=0,H1635&gt;הגדרות!$E$5),"",IF(H1635-1&lt;הגדרות!$E$8*(הגדרות!$E$7+1),INT((H1635-1)/(הגדרות!$E$7+1)),הגדרות!$E$8+INT((H1635-1-הגדרות!$E$8*(הגדרות!$E$7+1))/הגדרות!$E$7)))</f>
        <v/>
      </c>
      <c r="J1635" s="0" t="str">
        <f aca="false">IF(I1635="","",IF(H1635-1&lt;הגדרות!$E$8*(הגדרות!$E$7+1),MOD(H1635-1,הגדרות!$E$7+1),MOD(H1635-1-הגדרות!$E$8*(הגדרות!$E$7+1),הגדרות!$E$7)))</f>
        <v/>
      </c>
      <c r="K1635" s="0" t="str">
        <f aca="false">IF(I1635="","",J1635*הגדרות!$E$6+I1635+1)</f>
        <v/>
      </c>
      <c r="L1635" s="0" t="str">
        <f aca="false">IF(K1635="","",MATCH(K1635,$F$2:$F$5001,0))</f>
        <v/>
      </c>
      <c r="M1635" s="0" t="str">
        <f aca="false">IF(I1635="","",INDEX(הגדרות!$A$2:$A$21,MOD(I1635+הגדרות!$E$9,הגדרות!$E$6)+1))</f>
        <v/>
      </c>
    </row>
    <row r="1636" customFormat="false" ht="15" hidden="false" customHeight="false" outlineLevel="0" collapsed="false">
      <c r="A1636" s="0" t="str">
        <f aca="false">IF('הדבקת לידים'!A1636="","",IF(ISNUMBER('הדבקת לידים'!A1636),IF(הגדרות!$E$2&gt;0,TEXT('הדבקת לידים'!A1636,REPT("0",הגדרות!$E$2)),TEXT('הדבקת לידים'!A1636,"0")),TRIM('הדבקת לידים'!A1636)))</f>
        <v/>
      </c>
      <c r="B1636" s="0" t="str">
        <f aca="false">IF('הדבקת לידים'!B1636="","",IF(ISNUMBER('הדבקת לידים'!B1636),IF(הגדרות!$E$3&gt;0,TEXT('הדבקת לידים'!B1636,REPT("0",הגדרות!$E$3)),TEXT('הדבקת לידים'!B1636,"0")),TRIM('הדבקת לידים'!B1636)))</f>
        <v/>
      </c>
      <c r="C1636" s="0" t="n">
        <f aca="false">IF(OR(A1636&lt;&gt;"",B1636&lt;&gt;""),1,0)</f>
        <v>0</v>
      </c>
      <c r="D1636" s="0" t="str">
        <f aca="false">IF(C1636=1,MOD(ABS(SIN(ROW()*12.9898+'הדבקת לידים'!$F$2*78.233+IFERROR(--RIGHT(A1636,6),LEN(A1636))*0.0137+IFERROR(--RIGHT(B1636,6),LEN(B1636))*0.0071))*43758.5453,1),"")</f>
        <v/>
      </c>
      <c r="E1636" s="0" t="str">
        <f aca="false">IF(C1636=1,INT(MOD(ABS(SIN(D1636*7919.123+ROW()*0.618+'הדבקת לידים'!$F$2*1.3))*43758.5453,1)*1000000)*10000+ROW(),"")</f>
        <v/>
      </c>
      <c r="F1636" s="0" t="str">
        <f aca="false">IF(E1636="","",RANK(E1636,$E$2:$E$5001,1))</f>
        <v/>
      </c>
      <c r="G1636" s="0" t="n">
        <f aca="false">IF(A1636="",0,IF(SUMPRODUCT(--($A$2:$A$5001=A1636))&gt;1,1,0))</f>
        <v>0</v>
      </c>
      <c r="H1636" s="0" t="n">
        <f aca="false">ROW()-1</f>
        <v>1635</v>
      </c>
      <c r="I1636" s="0" t="str">
        <f aca="false">IF(OR(הגדרות!$E$6=0,H1636&gt;הגדרות!$E$5),"",IF(H1636-1&lt;הגדרות!$E$8*(הגדרות!$E$7+1),INT((H1636-1)/(הגדרות!$E$7+1)),הגדרות!$E$8+INT((H1636-1-הגדרות!$E$8*(הגדרות!$E$7+1))/הגדרות!$E$7)))</f>
        <v/>
      </c>
      <c r="J1636" s="0" t="str">
        <f aca="false">IF(I1636="","",IF(H1636-1&lt;הגדרות!$E$8*(הגדרות!$E$7+1),MOD(H1636-1,הגדרות!$E$7+1),MOD(H1636-1-הגדרות!$E$8*(הגדרות!$E$7+1),הגדרות!$E$7)))</f>
        <v/>
      </c>
      <c r="K1636" s="0" t="str">
        <f aca="false">IF(I1636="","",J1636*הגדרות!$E$6+I1636+1)</f>
        <v/>
      </c>
      <c r="L1636" s="0" t="str">
        <f aca="false">IF(K1636="","",MATCH(K1636,$F$2:$F$5001,0))</f>
        <v/>
      </c>
      <c r="M1636" s="0" t="str">
        <f aca="false">IF(I1636="","",INDEX(הגדרות!$A$2:$A$21,MOD(I1636+הגדרות!$E$9,הגדרות!$E$6)+1))</f>
        <v/>
      </c>
    </row>
    <row r="1637" customFormat="false" ht="15" hidden="false" customHeight="false" outlineLevel="0" collapsed="false">
      <c r="A1637" s="0" t="str">
        <f aca="false">IF('הדבקת לידים'!A1637="","",IF(ISNUMBER('הדבקת לידים'!A1637),IF(הגדרות!$E$2&gt;0,TEXT('הדבקת לידים'!A1637,REPT("0",הגדרות!$E$2)),TEXT('הדבקת לידים'!A1637,"0")),TRIM('הדבקת לידים'!A1637)))</f>
        <v/>
      </c>
      <c r="B1637" s="0" t="str">
        <f aca="false">IF('הדבקת לידים'!B1637="","",IF(ISNUMBER('הדבקת לידים'!B1637),IF(הגדרות!$E$3&gt;0,TEXT('הדבקת לידים'!B1637,REPT("0",הגדרות!$E$3)),TEXT('הדבקת לידים'!B1637,"0")),TRIM('הדבקת לידים'!B1637)))</f>
        <v/>
      </c>
      <c r="C1637" s="0" t="n">
        <f aca="false">IF(OR(A1637&lt;&gt;"",B1637&lt;&gt;""),1,0)</f>
        <v>0</v>
      </c>
      <c r="D1637" s="0" t="str">
        <f aca="false">IF(C1637=1,MOD(ABS(SIN(ROW()*12.9898+'הדבקת לידים'!$F$2*78.233+IFERROR(--RIGHT(A1637,6),LEN(A1637))*0.0137+IFERROR(--RIGHT(B1637,6),LEN(B1637))*0.0071))*43758.5453,1),"")</f>
        <v/>
      </c>
      <c r="E1637" s="0" t="str">
        <f aca="false">IF(C1637=1,INT(MOD(ABS(SIN(D1637*7919.123+ROW()*0.618+'הדבקת לידים'!$F$2*1.3))*43758.5453,1)*1000000)*10000+ROW(),"")</f>
        <v/>
      </c>
      <c r="F1637" s="0" t="str">
        <f aca="false">IF(E1637="","",RANK(E1637,$E$2:$E$5001,1))</f>
        <v/>
      </c>
      <c r="G1637" s="0" t="n">
        <f aca="false">IF(A1637="",0,IF(SUMPRODUCT(--($A$2:$A$5001=A1637))&gt;1,1,0))</f>
        <v>0</v>
      </c>
      <c r="H1637" s="0" t="n">
        <f aca="false">ROW()-1</f>
        <v>1636</v>
      </c>
      <c r="I1637" s="0" t="str">
        <f aca="false">IF(OR(הגדרות!$E$6=0,H1637&gt;הגדרות!$E$5),"",IF(H1637-1&lt;הגדרות!$E$8*(הגדרות!$E$7+1),INT((H1637-1)/(הגדרות!$E$7+1)),הגדרות!$E$8+INT((H1637-1-הגדרות!$E$8*(הגדרות!$E$7+1))/הגדרות!$E$7)))</f>
        <v/>
      </c>
      <c r="J1637" s="0" t="str">
        <f aca="false">IF(I1637="","",IF(H1637-1&lt;הגדרות!$E$8*(הגדרות!$E$7+1),MOD(H1637-1,הגדרות!$E$7+1),MOD(H1637-1-הגדרות!$E$8*(הגדרות!$E$7+1),הגדרות!$E$7)))</f>
        <v/>
      </c>
      <c r="K1637" s="0" t="str">
        <f aca="false">IF(I1637="","",J1637*הגדרות!$E$6+I1637+1)</f>
        <v/>
      </c>
      <c r="L1637" s="0" t="str">
        <f aca="false">IF(K1637="","",MATCH(K1637,$F$2:$F$5001,0))</f>
        <v/>
      </c>
      <c r="M1637" s="0" t="str">
        <f aca="false">IF(I1637="","",INDEX(הגדרות!$A$2:$A$21,MOD(I1637+הגדרות!$E$9,הגדרות!$E$6)+1))</f>
        <v/>
      </c>
    </row>
    <row r="1638" customFormat="false" ht="15" hidden="false" customHeight="false" outlineLevel="0" collapsed="false">
      <c r="A1638" s="0" t="str">
        <f aca="false">IF('הדבקת לידים'!A1638="","",IF(ISNUMBER('הדבקת לידים'!A1638),IF(הגדרות!$E$2&gt;0,TEXT('הדבקת לידים'!A1638,REPT("0",הגדרות!$E$2)),TEXT('הדבקת לידים'!A1638,"0")),TRIM('הדבקת לידים'!A1638)))</f>
        <v/>
      </c>
      <c r="B1638" s="0" t="str">
        <f aca="false">IF('הדבקת לידים'!B1638="","",IF(ISNUMBER('הדבקת לידים'!B1638),IF(הגדרות!$E$3&gt;0,TEXT('הדבקת לידים'!B1638,REPT("0",הגדרות!$E$3)),TEXT('הדבקת לידים'!B1638,"0")),TRIM('הדבקת לידים'!B1638)))</f>
        <v/>
      </c>
      <c r="C1638" s="0" t="n">
        <f aca="false">IF(OR(A1638&lt;&gt;"",B1638&lt;&gt;""),1,0)</f>
        <v>0</v>
      </c>
      <c r="D1638" s="0" t="str">
        <f aca="false">IF(C1638=1,MOD(ABS(SIN(ROW()*12.9898+'הדבקת לידים'!$F$2*78.233+IFERROR(--RIGHT(A1638,6),LEN(A1638))*0.0137+IFERROR(--RIGHT(B1638,6),LEN(B1638))*0.0071))*43758.5453,1),"")</f>
        <v/>
      </c>
      <c r="E1638" s="0" t="str">
        <f aca="false">IF(C1638=1,INT(MOD(ABS(SIN(D1638*7919.123+ROW()*0.618+'הדבקת לידים'!$F$2*1.3))*43758.5453,1)*1000000)*10000+ROW(),"")</f>
        <v/>
      </c>
      <c r="F1638" s="0" t="str">
        <f aca="false">IF(E1638="","",RANK(E1638,$E$2:$E$5001,1))</f>
        <v/>
      </c>
      <c r="G1638" s="0" t="n">
        <f aca="false">IF(A1638="",0,IF(SUMPRODUCT(--($A$2:$A$5001=A1638))&gt;1,1,0))</f>
        <v>0</v>
      </c>
      <c r="H1638" s="0" t="n">
        <f aca="false">ROW()-1</f>
        <v>1637</v>
      </c>
      <c r="I1638" s="0" t="str">
        <f aca="false">IF(OR(הגדרות!$E$6=0,H1638&gt;הגדרות!$E$5),"",IF(H1638-1&lt;הגדרות!$E$8*(הגדרות!$E$7+1),INT((H1638-1)/(הגדרות!$E$7+1)),הגדרות!$E$8+INT((H1638-1-הגדרות!$E$8*(הגדרות!$E$7+1))/הגדרות!$E$7)))</f>
        <v/>
      </c>
      <c r="J1638" s="0" t="str">
        <f aca="false">IF(I1638="","",IF(H1638-1&lt;הגדרות!$E$8*(הגדרות!$E$7+1),MOD(H1638-1,הגדרות!$E$7+1),MOD(H1638-1-הגדרות!$E$8*(הגדרות!$E$7+1),הגדרות!$E$7)))</f>
        <v/>
      </c>
      <c r="K1638" s="0" t="str">
        <f aca="false">IF(I1638="","",J1638*הגדרות!$E$6+I1638+1)</f>
        <v/>
      </c>
      <c r="L1638" s="0" t="str">
        <f aca="false">IF(K1638="","",MATCH(K1638,$F$2:$F$5001,0))</f>
        <v/>
      </c>
      <c r="M1638" s="0" t="str">
        <f aca="false">IF(I1638="","",INDEX(הגדרות!$A$2:$A$21,MOD(I1638+הגדרות!$E$9,הגדרות!$E$6)+1))</f>
        <v/>
      </c>
    </row>
    <row r="1639" customFormat="false" ht="15" hidden="false" customHeight="false" outlineLevel="0" collapsed="false">
      <c r="A1639" s="0" t="str">
        <f aca="false">IF('הדבקת לידים'!A1639="","",IF(ISNUMBER('הדבקת לידים'!A1639),IF(הגדרות!$E$2&gt;0,TEXT('הדבקת לידים'!A1639,REPT("0",הגדרות!$E$2)),TEXT('הדבקת לידים'!A1639,"0")),TRIM('הדבקת לידים'!A1639)))</f>
        <v/>
      </c>
      <c r="B1639" s="0" t="str">
        <f aca="false">IF('הדבקת לידים'!B1639="","",IF(ISNUMBER('הדבקת לידים'!B1639),IF(הגדרות!$E$3&gt;0,TEXT('הדבקת לידים'!B1639,REPT("0",הגדרות!$E$3)),TEXT('הדבקת לידים'!B1639,"0")),TRIM('הדבקת לידים'!B1639)))</f>
        <v/>
      </c>
      <c r="C1639" s="0" t="n">
        <f aca="false">IF(OR(A1639&lt;&gt;"",B1639&lt;&gt;""),1,0)</f>
        <v>0</v>
      </c>
      <c r="D1639" s="0" t="str">
        <f aca="false">IF(C1639=1,MOD(ABS(SIN(ROW()*12.9898+'הדבקת לידים'!$F$2*78.233+IFERROR(--RIGHT(A1639,6),LEN(A1639))*0.0137+IFERROR(--RIGHT(B1639,6),LEN(B1639))*0.0071))*43758.5453,1),"")</f>
        <v/>
      </c>
      <c r="E1639" s="0" t="str">
        <f aca="false">IF(C1639=1,INT(MOD(ABS(SIN(D1639*7919.123+ROW()*0.618+'הדבקת לידים'!$F$2*1.3))*43758.5453,1)*1000000)*10000+ROW(),"")</f>
        <v/>
      </c>
      <c r="F1639" s="0" t="str">
        <f aca="false">IF(E1639="","",RANK(E1639,$E$2:$E$5001,1))</f>
        <v/>
      </c>
      <c r="G1639" s="0" t="n">
        <f aca="false">IF(A1639="",0,IF(SUMPRODUCT(--($A$2:$A$5001=A1639))&gt;1,1,0))</f>
        <v>0</v>
      </c>
      <c r="H1639" s="0" t="n">
        <f aca="false">ROW()-1</f>
        <v>1638</v>
      </c>
      <c r="I1639" s="0" t="str">
        <f aca="false">IF(OR(הגדרות!$E$6=0,H1639&gt;הגדרות!$E$5),"",IF(H1639-1&lt;הגדרות!$E$8*(הגדרות!$E$7+1),INT((H1639-1)/(הגדרות!$E$7+1)),הגדרות!$E$8+INT((H1639-1-הגדרות!$E$8*(הגדרות!$E$7+1))/הגדרות!$E$7)))</f>
        <v/>
      </c>
      <c r="J1639" s="0" t="str">
        <f aca="false">IF(I1639="","",IF(H1639-1&lt;הגדרות!$E$8*(הגדרות!$E$7+1),MOD(H1639-1,הגדרות!$E$7+1),MOD(H1639-1-הגדרות!$E$8*(הגדרות!$E$7+1),הגדרות!$E$7)))</f>
        <v/>
      </c>
      <c r="K1639" s="0" t="str">
        <f aca="false">IF(I1639="","",J1639*הגדרות!$E$6+I1639+1)</f>
        <v/>
      </c>
      <c r="L1639" s="0" t="str">
        <f aca="false">IF(K1639="","",MATCH(K1639,$F$2:$F$5001,0))</f>
        <v/>
      </c>
      <c r="M1639" s="0" t="str">
        <f aca="false">IF(I1639="","",INDEX(הגדרות!$A$2:$A$21,MOD(I1639+הגדרות!$E$9,הגדרות!$E$6)+1))</f>
        <v/>
      </c>
    </row>
    <row r="1640" customFormat="false" ht="15" hidden="false" customHeight="false" outlineLevel="0" collapsed="false">
      <c r="A1640" s="0" t="str">
        <f aca="false">IF('הדבקת לידים'!A1640="","",IF(ISNUMBER('הדבקת לידים'!A1640),IF(הגדרות!$E$2&gt;0,TEXT('הדבקת לידים'!A1640,REPT("0",הגדרות!$E$2)),TEXT('הדבקת לידים'!A1640,"0")),TRIM('הדבקת לידים'!A1640)))</f>
        <v/>
      </c>
      <c r="B1640" s="0" t="str">
        <f aca="false">IF('הדבקת לידים'!B1640="","",IF(ISNUMBER('הדבקת לידים'!B1640),IF(הגדרות!$E$3&gt;0,TEXT('הדבקת לידים'!B1640,REPT("0",הגדרות!$E$3)),TEXT('הדבקת לידים'!B1640,"0")),TRIM('הדבקת לידים'!B1640)))</f>
        <v/>
      </c>
      <c r="C1640" s="0" t="n">
        <f aca="false">IF(OR(A1640&lt;&gt;"",B1640&lt;&gt;""),1,0)</f>
        <v>0</v>
      </c>
      <c r="D1640" s="0" t="str">
        <f aca="false">IF(C1640=1,MOD(ABS(SIN(ROW()*12.9898+'הדבקת לידים'!$F$2*78.233+IFERROR(--RIGHT(A1640,6),LEN(A1640))*0.0137+IFERROR(--RIGHT(B1640,6),LEN(B1640))*0.0071))*43758.5453,1),"")</f>
        <v/>
      </c>
      <c r="E1640" s="0" t="str">
        <f aca="false">IF(C1640=1,INT(MOD(ABS(SIN(D1640*7919.123+ROW()*0.618+'הדבקת לידים'!$F$2*1.3))*43758.5453,1)*1000000)*10000+ROW(),"")</f>
        <v/>
      </c>
      <c r="F1640" s="0" t="str">
        <f aca="false">IF(E1640="","",RANK(E1640,$E$2:$E$5001,1))</f>
        <v/>
      </c>
      <c r="G1640" s="0" t="n">
        <f aca="false">IF(A1640="",0,IF(SUMPRODUCT(--($A$2:$A$5001=A1640))&gt;1,1,0))</f>
        <v>0</v>
      </c>
      <c r="H1640" s="0" t="n">
        <f aca="false">ROW()-1</f>
        <v>1639</v>
      </c>
      <c r="I1640" s="0" t="str">
        <f aca="false">IF(OR(הגדרות!$E$6=0,H1640&gt;הגדרות!$E$5),"",IF(H1640-1&lt;הגדרות!$E$8*(הגדרות!$E$7+1),INT((H1640-1)/(הגדרות!$E$7+1)),הגדרות!$E$8+INT((H1640-1-הגדרות!$E$8*(הגדרות!$E$7+1))/הגדרות!$E$7)))</f>
        <v/>
      </c>
      <c r="J1640" s="0" t="str">
        <f aca="false">IF(I1640="","",IF(H1640-1&lt;הגדרות!$E$8*(הגדרות!$E$7+1),MOD(H1640-1,הגדרות!$E$7+1),MOD(H1640-1-הגדרות!$E$8*(הגדרות!$E$7+1),הגדרות!$E$7)))</f>
        <v/>
      </c>
      <c r="K1640" s="0" t="str">
        <f aca="false">IF(I1640="","",J1640*הגדרות!$E$6+I1640+1)</f>
        <v/>
      </c>
      <c r="L1640" s="0" t="str">
        <f aca="false">IF(K1640="","",MATCH(K1640,$F$2:$F$5001,0))</f>
        <v/>
      </c>
      <c r="M1640" s="0" t="str">
        <f aca="false">IF(I1640="","",INDEX(הגדרות!$A$2:$A$21,MOD(I1640+הגדרות!$E$9,הגדרות!$E$6)+1))</f>
        <v/>
      </c>
    </row>
    <row r="1641" customFormat="false" ht="15" hidden="false" customHeight="false" outlineLevel="0" collapsed="false">
      <c r="A1641" s="0" t="str">
        <f aca="false">IF('הדבקת לידים'!A1641="","",IF(ISNUMBER('הדבקת לידים'!A1641),IF(הגדרות!$E$2&gt;0,TEXT('הדבקת לידים'!A1641,REPT("0",הגדרות!$E$2)),TEXT('הדבקת לידים'!A1641,"0")),TRIM('הדבקת לידים'!A1641)))</f>
        <v/>
      </c>
      <c r="B1641" s="0" t="str">
        <f aca="false">IF('הדבקת לידים'!B1641="","",IF(ISNUMBER('הדבקת לידים'!B1641),IF(הגדרות!$E$3&gt;0,TEXT('הדבקת לידים'!B1641,REPT("0",הגדרות!$E$3)),TEXT('הדבקת לידים'!B1641,"0")),TRIM('הדבקת לידים'!B1641)))</f>
        <v/>
      </c>
      <c r="C1641" s="0" t="n">
        <f aca="false">IF(OR(A1641&lt;&gt;"",B1641&lt;&gt;""),1,0)</f>
        <v>0</v>
      </c>
      <c r="D1641" s="0" t="str">
        <f aca="false">IF(C1641=1,MOD(ABS(SIN(ROW()*12.9898+'הדבקת לידים'!$F$2*78.233+IFERROR(--RIGHT(A1641,6),LEN(A1641))*0.0137+IFERROR(--RIGHT(B1641,6),LEN(B1641))*0.0071))*43758.5453,1),"")</f>
        <v/>
      </c>
      <c r="E1641" s="0" t="str">
        <f aca="false">IF(C1641=1,INT(MOD(ABS(SIN(D1641*7919.123+ROW()*0.618+'הדבקת לידים'!$F$2*1.3))*43758.5453,1)*1000000)*10000+ROW(),"")</f>
        <v/>
      </c>
      <c r="F1641" s="0" t="str">
        <f aca="false">IF(E1641="","",RANK(E1641,$E$2:$E$5001,1))</f>
        <v/>
      </c>
      <c r="G1641" s="0" t="n">
        <f aca="false">IF(A1641="",0,IF(SUMPRODUCT(--($A$2:$A$5001=A1641))&gt;1,1,0))</f>
        <v>0</v>
      </c>
      <c r="H1641" s="0" t="n">
        <f aca="false">ROW()-1</f>
        <v>1640</v>
      </c>
      <c r="I1641" s="0" t="str">
        <f aca="false">IF(OR(הגדרות!$E$6=0,H1641&gt;הגדרות!$E$5),"",IF(H1641-1&lt;הגדרות!$E$8*(הגדרות!$E$7+1),INT((H1641-1)/(הגדרות!$E$7+1)),הגדרות!$E$8+INT((H1641-1-הגדרות!$E$8*(הגדרות!$E$7+1))/הגדרות!$E$7)))</f>
        <v/>
      </c>
      <c r="J1641" s="0" t="str">
        <f aca="false">IF(I1641="","",IF(H1641-1&lt;הגדרות!$E$8*(הגדרות!$E$7+1),MOD(H1641-1,הגדרות!$E$7+1),MOD(H1641-1-הגדרות!$E$8*(הגדרות!$E$7+1),הגדרות!$E$7)))</f>
        <v/>
      </c>
      <c r="K1641" s="0" t="str">
        <f aca="false">IF(I1641="","",J1641*הגדרות!$E$6+I1641+1)</f>
        <v/>
      </c>
      <c r="L1641" s="0" t="str">
        <f aca="false">IF(K1641="","",MATCH(K1641,$F$2:$F$5001,0))</f>
        <v/>
      </c>
      <c r="M1641" s="0" t="str">
        <f aca="false">IF(I1641="","",INDEX(הגדרות!$A$2:$A$21,MOD(I1641+הגדרות!$E$9,הגדרות!$E$6)+1))</f>
        <v/>
      </c>
    </row>
    <row r="1642" customFormat="false" ht="15" hidden="false" customHeight="false" outlineLevel="0" collapsed="false">
      <c r="A1642" s="0" t="str">
        <f aca="false">IF('הדבקת לידים'!A1642="","",IF(ISNUMBER('הדבקת לידים'!A1642),IF(הגדרות!$E$2&gt;0,TEXT('הדבקת לידים'!A1642,REPT("0",הגדרות!$E$2)),TEXT('הדבקת לידים'!A1642,"0")),TRIM('הדבקת לידים'!A1642)))</f>
        <v/>
      </c>
      <c r="B1642" s="0" t="str">
        <f aca="false">IF('הדבקת לידים'!B1642="","",IF(ISNUMBER('הדבקת לידים'!B1642),IF(הגדרות!$E$3&gt;0,TEXT('הדבקת לידים'!B1642,REPT("0",הגדרות!$E$3)),TEXT('הדבקת לידים'!B1642,"0")),TRIM('הדבקת לידים'!B1642)))</f>
        <v/>
      </c>
      <c r="C1642" s="0" t="n">
        <f aca="false">IF(OR(A1642&lt;&gt;"",B1642&lt;&gt;""),1,0)</f>
        <v>0</v>
      </c>
      <c r="D1642" s="0" t="str">
        <f aca="false">IF(C1642=1,MOD(ABS(SIN(ROW()*12.9898+'הדבקת לידים'!$F$2*78.233+IFERROR(--RIGHT(A1642,6),LEN(A1642))*0.0137+IFERROR(--RIGHT(B1642,6),LEN(B1642))*0.0071))*43758.5453,1),"")</f>
        <v/>
      </c>
      <c r="E1642" s="0" t="str">
        <f aca="false">IF(C1642=1,INT(MOD(ABS(SIN(D1642*7919.123+ROW()*0.618+'הדבקת לידים'!$F$2*1.3))*43758.5453,1)*1000000)*10000+ROW(),"")</f>
        <v/>
      </c>
      <c r="F1642" s="0" t="str">
        <f aca="false">IF(E1642="","",RANK(E1642,$E$2:$E$5001,1))</f>
        <v/>
      </c>
      <c r="G1642" s="0" t="n">
        <f aca="false">IF(A1642="",0,IF(SUMPRODUCT(--($A$2:$A$5001=A1642))&gt;1,1,0))</f>
        <v>0</v>
      </c>
      <c r="H1642" s="0" t="n">
        <f aca="false">ROW()-1</f>
        <v>1641</v>
      </c>
      <c r="I1642" s="0" t="str">
        <f aca="false">IF(OR(הגדרות!$E$6=0,H1642&gt;הגדרות!$E$5),"",IF(H1642-1&lt;הגדרות!$E$8*(הגדרות!$E$7+1),INT((H1642-1)/(הגדרות!$E$7+1)),הגדרות!$E$8+INT((H1642-1-הגדרות!$E$8*(הגדרות!$E$7+1))/הגדרות!$E$7)))</f>
        <v/>
      </c>
      <c r="J1642" s="0" t="str">
        <f aca="false">IF(I1642="","",IF(H1642-1&lt;הגדרות!$E$8*(הגדרות!$E$7+1),MOD(H1642-1,הגדרות!$E$7+1),MOD(H1642-1-הגדרות!$E$8*(הגדרות!$E$7+1),הגדרות!$E$7)))</f>
        <v/>
      </c>
      <c r="K1642" s="0" t="str">
        <f aca="false">IF(I1642="","",J1642*הגדרות!$E$6+I1642+1)</f>
        <v/>
      </c>
      <c r="L1642" s="0" t="str">
        <f aca="false">IF(K1642="","",MATCH(K1642,$F$2:$F$5001,0))</f>
        <v/>
      </c>
      <c r="M1642" s="0" t="str">
        <f aca="false">IF(I1642="","",INDEX(הגדרות!$A$2:$A$21,MOD(I1642+הגדרות!$E$9,הגדרות!$E$6)+1))</f>
        <v/>
      </c>
    </row>
    <row r="1643" customFormat="false" ht="15" hidden="false" customHeight="false" outlineLevel="0" collapsed="false">
      <c r="A1643" s="0" t="str">
        <f aca="false">IF('הדבקת לידים'!A1643="","",IF(ISNUMBER('הדבקת לידים'!A1643),IF(הגדרות!$E$2&gt;0,TEXT('הדבקת לידים'!A1643,REPT("0",הגדרות!$E$2)),TEXT('הדבקת לידים'!A1643,"0")),TRIM('הדבקת לידים'!A1643)))</f>
        <v/>
      </c>
      <c r="B1643" s="0" t="str">
        <f aca="false">IF('הדבקת לידים'!B1643="","",IF(ISNUMBER('הדבקת לידים'!B1643),IF(הגדרות!$E$3&gt;0,TEXT('הדבקת לידים'!B1643,REPT("0",הגדרות!$E$3)),TEXT('הדבקת לידים'!B1643,"0")),TRIM('הדבקת לידים'!B1643)))</f>
        <v/>
      </c>
      <c r="C1643" s="0" t="n">
        <f aca="false">IF(OR(A1643&lt;&gt;"",B1643&lt;&gt;""),1,0)</f>
        <v>0</v>
      </c>
      <c r="D1643" s="0" t="str">
        <f aca="false">IF(C1643=1,MOD(ABS(SIN(ROW()*12.9898+'הדבקת לידים'!$F$2*78.233+IFERROR(--RIGHT(A1643,6),LEN(A1643))*0.0137+IFERROR(--RIGHT(B1643,6),LEN(B1643))*0.0071))*43758.5453,1),"")</f>
        <v/>
      </c>
      <c r="E1643" s="0" t="str">
        <f aca="false">IF(C1643=1,INT(MOD(ABS(SIN(D1643*7919.123+ROW()*0.618+'הדבקת לידים'!$F$2*1.3))*43758.5453,1)*1000000)*10000+ROW(),"")</f>
        <v/>
      </c>
      <c r="F1643" s="0" t="str">
        <f aca="false">IF(E1643="","",RANK(E1643,$E$2:$E$5001,1))</f>
        <v/>
      </c>
      <c r="G1643" s="0" t="n">
        <f aca="false">IF(A1643="",0,IF(SUMPRODUCT(--($A$2:$A$5001=A1643))&gt;1,1,0))</f>
        <v>0</v>
      </c>
      <c r="H1643" s="0" t="n">
        <f aca="false">ROW()-1</f>
        <v>1642</v>
      </c>
      <c r="I1643" s="0" t="str">
        <f aca="false">IF(OR(הגדרות!$E$6=0,H1643&gt;הגדרות!$E$5),"",IF(H1643-1&lt;הגדרות!$E$8*(הגדרות!$E$7+1),INT((H1643-1)/(הגדרות!$E$7+1)),הגדרות!$E$8+INT((H1643-1-הגדרות!$E$8*(הגדרות!$E$7+1))/הגדרות!$E$7)))</f>
        <v/>
      </c>
      <c r="J1643" s="0" t="str">
        <f aca="false">IF(I1643="","",IF(H1643-1&lt;הגדרות!$E$8*(הגדרות!$E$7+1),MOD(H1643-1,הגדרות!$E$7+1),MOD(H1643-1-הגדרות!$E$8*(הגדרות!$E$7+1),הגדרות!$E$7)))</f>
        <v/>
      </c>
      <c r="K1643" s="0" t="str">
        <f aca="false">IF(I1643="","",J1643*הגדרות!$E$6+I1643+1)</f>
        <v/>
      </c>
      <c r="L1643" s="0" t="str">
        <f aca="false">IF(K1643="","",MATCH(K1643,$F$2:$F$5001,0))</f>
        <v/>
      </c>
      <c r="M1643" s="0" t="str">
        <f aca="false">IF(I1643="","",INDEX(הגדרות!$A$2:$A$21,MOD(I1643+הגדרות!$E$9,הגדרות!$E$6)+1))</f>
        <v/>
      </c>
    </row>
    <row r="1644" customFormat="false" ht="15" hidden="false" customHeight="false" outlineLevel="0" collapsed="false">
      <c r="A1644" s="0" t="str">
        <f aca="false">IF('הדבקת לידים'!A1644="","",IF(ISNUMBER('הדבקת לידים'!A1644),IF(הגדרות!$E$2&gt;0,TEXT('הדבקת לידים'!A1644,REPT("0",הגדרות!$E$2)),TEXT('הדבקת לידים'!A1644,"0")),TRIM('הדבקת לידים'!A1644)))</f>
        <v/>
      </c>
      <c r="B1644" s="0" t="str">
        <f aca="false">IF('הדבקת לידים'!B1644="","",IF(ISNUMBER('הדבקת לידים'!B1644),IF(הגדרות!$E$3&gt;0,TEXT('הדבקת לידים'!B1644,REPT("0",הגדרות!$E$3)),TEXT('הדבקת לידים'!B1644,"0")),TRIM('הדבקת לידים'!B1644)))</f>
        <v/>
      </c>
      <c r="C1644" s="0" t="n">
        <f aca="false">IF(OR(A1644&lt;&gt;"",B1644&lt;&gt;""),1,0)</f>
        <v>0</v>
      </c>
      <c r="D1644" s="0" t="str">
        <f aca="false">IF(C1644=1,MOD(ABS(SIN(ROW()*12.9898+'הדבקת לידים'!$F$2*78.233+IFERROR(--RIGHT(A1644,6),LEN(A1644))*0.0137+IFERROR(--RIGHT(B1644,6),LEN(B1644))*0.0071))*43758.5453,1),"")</f>
        <v/>
      </c>
      <c r="E1644" s="0" t="str">
        <f aca="false">IF(C1644=1,INT(MOD(ABS(SIN(D1644*7919.123+ROW()*0.618+'הדבקת לידים'!$F$2*1.3))*43758.5453,1)*1000000)*10000+ROW(),"")</f>
        <v/>
      </c>
      <c r="F1644" s="0" t="str">
        <f aca="false">IF(E1644="","",RANK(E1644,$E$2:$E$5001,1))</f>
        <v/>
      </c>
      <c r="G1644" s="0" t="n">
        <f aca="false">IF(A1644="",0,IF(SUMPRODUCT(--($A$2:$A$5001=A1644))&gt;1,1,0))</f>
        <v>0</v>
      </c>
      <c r="H1644" s="0" t="n">
        <f aca="false">ROW()-1</f>
        <v>1643</v>
      </c>
      <c r="I1644" s="0" t="str">
        <f aca="false">IF(OR(הגדרות!$E$6=0,H1644&gt;הגדרות!$E$5),"",IF(H1644-1&lt;הגדרות!$E$8*(הגדרות!$E$7+1),INT((H1644-1)/(הגדרות!$E$7+1)),הגדרות!$E$8+INT((H1644-1-הגדרות!$E$8*(הגדרות!$E$7+1))/הגדרות!$E$7)))</f>
        <v/>
      </c>
      <c r="J1644" s="0" t="str">
        <f aca="false">IF(I1644="","",IF(H1644-1&lt;הגדרות!$E$8*(הגדרות!$E$7+1),MOD(H1644-1,הגדרות!$E$7+1),MOD(H1644-1-הגדרות!$E$8*(הגדרות!$E$7+1),הגדרות!$E$7)))</f>
        <v/>
      </c>
      <c r="K1644" s="0" t="str">
        <f aca="false">IF(I1644="","",J1644*הגדרות!$E$6+I1644+1)</f>
        <v/>
      </c>
      <c r="L1644" s="0" t="str">
        <f aca="false">IF(K1644="","",MATCH(K1644,$F$2:$F$5001,0))</f>
        <v/>
      </c>
      <c r="M1644" s="0" t="str">
        <f aca="false">IF(I1644="","",INDEX(הגדרות!$A$2:$A$21,MOD(I1644+הגדרות!$E$9,הגדרות!$E$6)+1))</f>
        <v/>
      </c>
    </row>
    <row r="1645" customFormat="false" ht="15" hidden="false" customHeight="false" outlineLevel="0" collapsed="false">
      <c r="A1645" s="0" t="str">
        <f aca="false">IF('הדבקת לידים'!A1645="","",IF(ISNUMBER('הדבקת לידים'!A1645),IF(הגדרות!$E$2&gt;0,TEXT('הדבקת לידים'!A1645,REPT("0",הגדרות!$E$2)),TEXT('הדבקת לידים'!A1645,"0")),TRIM('הדבקת לידים'!A1645)))</f>
        <v/>
      </c>
      <c r="B1645" s="0" t="str">
        <f aca="false">IF('הדבקת לידים'!B1645="","",IF(ISNUMBER('הדבקת לידים'!B1645),IF(הגדרות!$E$3&gt;0,TEXT('הדבקת לידים'!B1645,REPT("0",הגדרות!$E$3)),TEXT('הדבקת לידים'!B1645,"0")),TRIM('הדבקת לידים'!B1645)))</f>
        <v/>
      </c>
      <c r="C1645" s="0" t="n">
        <f aca="false">IF(OR(A1645&lt;&gt;"",B1645&lt;&gt;""),1,0)</f>
        <v>0</v>
      </c>
      <c r="D1645" s="0" t="str">
        <f aca="false">IF(C1645=1,MOD(ABS(SIN(ROW()*12.9898+'הדבקת לידים'!$F$2*78.233+IFERROR(--RIGHT(A1645,6),LEN(A1645))*0.0137+IFERROR(--RIGHT(B1645,6),LEN(B1645))*0.0071))*43758.5453,1),"")</f>
        <v/>
      </c>
      <c r="E1645" s="0" t="str">
        <f aca="false">IF(C1645=1,INT(MOD(ABS(SIN(D1645*7919.123+ROW()*0.618+'הדבקת לידים'!$F$2*1.3))*43758.5453,1)*1000000)*10000+ROW(),"")</f>
        <v/>
      </c>
      <c r="F1645" s="0" t="str">
        <f aca="false">IF(E1645="","",RANK(E1645,$E$2:$E$5001,1))</f>
        <v/>
      </c>
      <c r="G1645" s="0" t="n">
        <f aca="false">IF(A1645="",0,IF(SUMPRODUCT(--($A$2:$A$5001=A1645))&gt;1,1,0))</f>
        <v>0</v>
      </c>
      <c r="H1645" s="0" t="n">
        <f aca="false">ROW()-1</f>
        <v>1644</v>
      </c>
      <c r="I1645" s="0" t="str">
        <f aca="false">IF(OR(הגדרות!$E$6=0,H1645&gt;הגדרות!$E$5),"",IF(H1645-1&lt;הגדרות!$E$8*(הגדרות!$E$7+1),INT((H1645-1)/(הגדרות!$E$7+1)),הגדרות!$E$8+INT((H1645-1-הגדרות!$E$8*(הגדרות!$E$7+1))/הגדרות!$E$7)))</f>
        <v/>
      </c>
      <c r="J1645" s="0" t="str">
        <f aca="false">IF(I1645="","",IF(H1645-1&lt;הגדרות!$E$8*(הגדרות!$E$7+1),MOD(H1645-1,הגדרות!$E$7+1),MOD(H1645-1-הגדרות!$E$8*(הגדרות!$E$7+1),הגדרות!$E$7)))</f>
        <v/>
      </c>
      <c r="K1645" s="0" t="str">
        <f aca="false">IF(I1645="","",J1645*הגדרות!$E$6+I1645+1)</f>
        <v/>
      </c>
      <c r="L1645" s="0" t="str">
        <f aca="false">IF(K1645="","",MATCH(K1645,$F$2:$F$5001,0))</f>
        <v/>
      </c>
      <c r="M1645" s="0" t="str">
        <f aca="false">IF(I1645="","",INDEX(הגדרות!$A$2:$A$21,MOD(I1645+הגדרות!$E$9,הגדרות!$E$6)+1))</f>
        <v/>
      </c>
    </row>
    <row r="1646" customFormat="false" ht="15" hidden="false" customHeight="false" outlineLevel="0" collapsed="false">
      <c r="A1646" s="0" t="str">
        <f aca="false">IF('הדבקת לידים'!A1646="","",IF(ISNUMBER('הדבקת לידים'!A1646),IF(הגדרות!$E$2&gt;0,TEXT('הדבקת לידים'!A1646,REPT("0",הגדרות!$E$2)),TEXT('הדבקת לידים'!A1646,"0")),TRIM('הדבקת לידים'!A1646)))</f>
        <v/>
      </c>
      <c r="B1646" s="0" t="str">
        <f aca="false">IF('הדבקת לידים'!B1646="","",IF(ISNUMBER('הדבקת לידים'!B1646),IF(הגדרות!$E$3&gt;0,TEXT('הדבקת לידים'!B1646,REPT("0",הגדרות!$E$3)),TEXT('הדבקת לידים'!B1646,"0")),TRIM('הדבקת לידים'!B1646)))</f>
        <v/>
      </c>
      <c r="C1646" s="0" t="n">
        <f aca="false">IF(OR(A1646&lt;&gt;"",B1646&lt;&gt;""),1,0)</f>
        <v>0</v>
      </c>
      <c r="D1646" s="0" t="str">
        <f aca="false">IF(C1646=1,MOD(ABS(SIN(ROW()*12.9898+'הדבקת לידים'!$F$2*78.233+IFERROR(--RIGHT(A1646,6),LEN(A1646))*0.0137+IFERROR(--RIGHT(B1646,6),LEN(B1646))*0.0071))*43758.5453,1),"")</f>
        <v/>
      </c>
      <c r="E1646" s="0" t="str">
        <f aca="false">IF(C1646=1,INT(MOD(ABS(SIN(D1646*7919.123+ROW()*0.618+'הדבקת לידים'!$F$2*1.3))*43758.5453,1)*1000000)*10000+ROW(),"")</f>
        <v/>
      </c>
      <c r="F1646" s="0" t="str">
        <f aca="false">IF(E1646="","",RANK(E1646,$E$2:$E$5001,1))</f>
        <v/>
      </c>
      <c r="G1646" s="0" t="n">
        <f aca="false">IF(A1646="",0,IF(SUMPRODUCT(--($A$2:$A$5001=A1646))&gt;1,1,0))</f>
        <v>0</v>
      </c>
      <c r="H1646" s="0" t="n">
        <f aca="false">ROW()-1</f>
        <v>1645</v>
      </c>
      <c r="I1646" s="0" t="str">
        <f aca="false">IF(OR(הגדרות!$E$6=0,H1646&gt;הגדרות!$E$5),"",IF(H1646-1&lt;הגדרות!$E$8*(הגדרות!$E$7+1),INT((H1646-1)/(הגדרות!$E$7+1)),הגדרות!$E$8+INT((H1646-1-הגדרות!$E$8*(הגדרות!$E$7+1))/הגדרות!$E$7)))</f>
        <v/>
      </c>
      <c r="J1646" s="0" t="str">
        <f aca="false">IF(I1646="","",IF(H1646-1&lt;הגדרות!$E$8*(הגדרות!$E$7+1),MOD(H1646-1,הגדרות!$E$7+1),MOD(H1646-1-הגדרות!$E$8*(הגדרות!$E$7+1),הגדרות!$E$7)))</f>
        <v/>
      </c>
      <c r="K1646" s="0" t="str">
        <f aca="false">IF(I1646="","",J1646*הגדרות!$E$6+I1646+1)</f>
        <v/>
      </c>
      <c r="L1646" s="0" t="str">
        <f aca="false">IF(K1646="","",MATCH(K1646,$F$2:$F$5001,0))</f>
        <v/>
      </c>
      <c r="M1646" s="0" t="str">
        <f aca="false">IF(I1646="","",INDEX(הגדרות!$A$2:$A$21,MOD(I1646+הגדרות!$E$9,הגדרות!$E$6)+1))</f>
        <v/>
      </c>
    </row>
    <row r="1647" customFormat="false" ht="15" hidden="false" customHeight="false" outlineLevel="0" collapsed="false">
      <c r="A1647" s="0" t="str">
        <f aca="false">IF('הדבקת לידים'!A1647="","",IF(ISNUMBER('הדבקת לידים'!A1647),IF(הגדרות!$E$2&gt;0,TEXT('הדבקת לידים'!A1647,REPT("0",הגדרות!$E$2)),TEXT('הדבקת לידים'!A1647,"0")),TRIM('הדבקת לידים'!A1647)))</f>
        <v/>
      </c>
      <c r="B1647" s="0" t="str">
        <f aca="false">IF('הדבקת לידים'!B1647="","",IF(ISNUMBER('הדבקת לידים'!B1647),IF(הגדרות!$E$3&gt;0,TEXT('הדבקת לידים'!B1647,REPT("0",הגדרות!$E$3)),TEXT('הדבקת לידים'!B1647,"0")),TRIM('הדבקת לידים'!B1647)))</f>
        <v/>
      </c>
      <c r="C1647" s="0" t="n">
        <f aca="false">IF(OR(A1647&lt;&gt;"",B1647&lt;&gt;""),1,0)</f>
        <v>0</v>
      </c>
      <c r="D1647" s="0" t="str">
        <f aca="false">IF(C1647=1,MOD(ABS(SIN(ROW()*12.9898+'הדבקת לידים'!$F$2*78.233+IFERROR(--RIGHT(A1647,6),LEN(A1647))*0.0137+IFERROR(--RIGHT(B1647,6),LEN(B1647))*0.0071))*43758.5453,1),"")</f>
        <v/>
      </c>
      <c r="E1647" s="0" t="str">
        <f aca="false">IF(C1647=1,INT(MOD(ABS(SIN(D1647*7919.123+ROW()*0.618+'הדבקת לידים'!$F$2*1.3))*43758.5453,1)*1000000)*10000+ROW(),"")</f>
        <v/>
      </c>
      <c r="F1647" s="0" t="str">
        <f aca="false">IF(E1647="","",RANK(E1647,$E$2:$E$5001,1))</f>
        <v/>
      </c>
      <c r="G1647" s="0" t="n">
        <f aca="false">IF(A1647="",0,IF(SUMPRODUCT(--($A$2:$A$5001=A1647))&gt;1,1,0))</f>
        <v>0</v>
      </c>
      <c r="H1647" s="0" t="n">
        <f aca="false">ROW()-1</f>
        <v>1646</v>
      </c>
      <c r="I1647" s="0" t="str">
        <f aca="false">IF(OR(הגדרות!$E$6=0,H1647&gt;הגדרות!$E$5),"",IF(H1647-1&lt;הגדרות!$E$8*(הגדרות!$E$7+1),INT((H1647-1)/(הגדרות!$E$7+1)),הגדרות!$E$8+INT((H1647-1-הגדרות!$E$8*(הגדרות!$E$7+1))/הגדרות!$E$7)))</f>
        <v/>
      </c>
      <c r="J1647" s="0" t="str">
        <f aca="false">IF(I1647="","",IF(H1647-1&lt;הגדרות!$E$8*(הגדרות!$E$7+1),MOD(H1647-1,הגדרות!$E$7+1),MOD(H1647-1-הגדרות!$E$8*(הגדרות!$E$7+1),הגדרות!$E$7)))</f>
        <v/>
      </c>
      <c r="K1647" s="0" t="str">
        <f aca="false">IF(I1647="","",J1647*הגדרות!$E$6+I1647+1)</f>
        <v/>
      </c>
      <c r="L1647" s="0" t="str">
        <f aca="false">IF(K1647="","",MATCH(K1647,$F$2:$F$5001,0))</f>
        <v/>
      </c>
      <c r="M1647" s="0" t="str">
        <f aca="false">IF(I1647="","",INDEX(הגדרות!$A$2:$A$21,MOD(I1647+הגדרות!$E$9,הגדרות!$E$6)+1))</f>
        <v/>
      </c>
    </row>
    <row r="1648" customFormat="false" ht="15" hidden="false" customHeight="false" outlineLevel="0" collapsed="false">
      <c r="A1648" s="0" t="str">
        <f aca="false">IF('הדבקת לידים'!A1648="","",IF(ISNUMBER('הדבקת לידים'!A1648),IF(הגדרות!$E$2&gt;0,TEXT('הדבקת לידים'!A1648,REPT("0",הגדרות!$E$2)),TEXT('הדבקת לידים'!A1648,"0")),TRIM('הדבקת לידים'!A1648)))</f>
        <v/>
      </c>
      <c r="B1648" s="0" t="str">
        <f aca="false">IF('הדבקת לידים'!B1648="","",IF(ISNUMBER('הדבקת לידים'!B1648),IF(הגדרות!$E$3&gt;0,TEXT('הדבקת לידים'!B1648,REPT("0",הגדרות!$E$3)),TEXT('הדבקת לידים'!B1648,"0")),TRIM('הדבקת לידים'!B1648)))</f>
        <v/>
      </c>
      <c r="C1648" s="0" t="n">
        <f aca="false">IF(OR(A1648&lt;&gt;"",B1648&lt;&gt;""),1,0)</f>
        <v>0</v>
      </c>
      <c r="D1648" s="0" t="str">
        <f aca="false">IF(C1648=1,MOD(ABS(SIN(ROW()*12.9898+'הדבקת לידים'!$F$2*78.233+IFERROR(--RIGHT(A1648,6),LEN(A1648))*0.0137+IFERROR(--RIGHT(B1648,6),LEN(B1648))*0.0071))*43758.5453,1),"")</f>
        <v/>
      </c>
      <c r="E1648" s="0" t="str">
        <f aca="false">IF(C1648=1,INT(MOD(ABS(SIN(D1648*7919.123+ROW()*0.618+'הדבקת לידים'!$F$2*1.3))*43758.5453,1)*1000000)*10000+ROW(),"")</f>
        <v/>
      </c>
      <c r="F1648" s="0" t="str">
        <f aca="false">IF(E1648="","",RANK(E1648,$E$2:$E$5001,1))</f>
        <v/>
      </c>
      <c r="G1648" s="0" t="n">
        <f aca="false">IF(A1648="",0,IF(SUMPRODUCT(--($A$2:$A$5001=A1648))&gt;1,1,0))</f>
        <v>0</v>
      </c>
      <c r="H1648" s="0" t="n">
        <f aca="false">ROW()-1</f>
        <v>1647</v>
      </c>
      <c r="I1648" s="0" t="str">
        <f aca="false">IF(OR(הגדרות!$E$6=0,H1648&gt;הגדרות!$E$5),"",IF(H1648-1&lt;הגדרות!$E$8*(הגדרות!$E$7+1),INT((H1648-1)/(הגדרות!$E$7+1)),הגדרות!$E$8+INT((H1648-1-הגדרות!$E$8*(הגדרות!$E$7+1))/הגדרות!$E$7)))</f>
        <v/>
      </c>
      <c r="J1648" s="0" t="str">
        <f aca="false">IF(I1648="","",IF(H1648-1&lt;הגדרות!$E$8*(הגדרות!$E$7+1),MOD(H1648-1,הגדרות!$E$7+1),MOD(H1648-1-הגדרות!$E$8*(הגדרות!$E$7+1),הגדרות!$E$7)))</f>
        <v/>
      </c>
      <c r="K1648" s="0" t="str">
        <f aca="false">IF(I1648="","",J1648*הגדרות!$E$6+I1648+1)</f>
        <v/>
      </c>
      <c r="L1648" s="0" t="str">
        <f aca="false">IF(K1648="","",MATCH(K1648,$F$2:$F$5001,0))</f>
        <v/>
      </c>
      <c r="M1648" s="0" t="str">
        <f aca="false">IF(I1648="","",INDEX(הגדרות!$A$2:$A$21,MOD(I1648+הגדרות!$E$9,הגדרות!$E$6)+1))</f>
        <v/>
      </c>
    </row>
    <row r="1649" customFormat="false" ht="15" hidden="false" customHeight="false" outlineLevel="0" collapsed="false">
      <c r="A1649" s="0" t="str">
        <f aca="false">IF('הדבקת לידים'!A1649="","",IF(ISNUMBER('הדבקת לידים'!A1649),IF(הגדרות!$E$2&gt;0,TEXT('הדבקת לידים'!A1649,REPT("0",הגדרות!$E$2)),TEXT('הדבקת לידים'!A1649,"0")),TRIM('הדבקת לידים'!A1649)))</f>
        <v/>
      </c>
      <c r="B1649" s="0" t="str">
        <f aca="false">IF('הדבקת לידים'!B1649="","",IF(ISNUMBER('הדבקת לידים'!B1649),IF(הגדרות!$E$3&gt;0,TEXT('הדבקת לידים'!B1649,REPT("0",הגדרות!$E$3)),TEXT('הדבקת לידים'!B1649,"0")),TRIM('הדבקת לידים'!B1649)))</f>
        <v/>
      </c>
      <c r="C1649" s="0" t="n">
        <f aca="false">IF(OR(A1649&lt;&gt;"",B1649&lt;&gt;""),1,0)</f>
        <v>0</v>
      </c>
      <c r="D1649" s="0" t="str">
        <f aca="false">IF(C1649=1,MOD(ABS(SIN(ROW()*12.9898+'הדבקת לידים'!$F$2*78.233+IFERROR(--RIGHT(A1649,6),LEN(A1649))*0.0137+IFERROR(--RIGHT(B1649,6),LEN(B1649))*0.0071))*43758.5453,1),"")</f>
        <v/>
      </c>
      <c r="E1649" s="0" t="str">
        <f aca="false">IF(C1649=1,INT(MOD(ABS(SIN(D1649*7919.123+ROW()*0.618+'הדבקת לידים'!$F$2*1.3))*43758.5453,1)*1000000)*10000+ROW(),"")</f>
        <v/>
      </c>
      <c r="F1649" s="0" t="str">
        <f aca="false">IF(E1649="","",RANK(E1649,$E$2:$E$5001,1))</f>
        <v/>
      </c>
      <c r="G1649" s="0" t="n">
        <f aca="false">IF(A1649="",0,IF(SUMPRODUCT(--($A$2:$A$5001=A1649))&gt;1,1,0))</f>
        <v>0</v>
      </c>
      <c r="H1649" s="0" t="n">
        <f aca="false">ROW()-1</f>
        <v>1648</v>
      </c>
      <c r="I1649" s="0" t="str">
        <f aca="false">IF(OR(הגדרות!$E$6=0,H1649&gt;הגדרות!$E$5),"",IF(H1649-1&lt;הגדרות!$E$8*(הגדרות!$E$7+1),INT((H1649-1)/(הגדרות!$E$7+1)),הגדרות!$E$8+INT((H1649-1-הגדרות!$E$8*(הגדרות!$E$7+1))/הגדרות!$E$7)))</f>
        <v/>
      </c>
      <c r="J1649" s="0" t="str">
        <f aca="false">IF(I1649="","",IF(H1649-1&lt;הגדרות!$E$8*(הגדרות!$E$7+1),MOD(H1649-1,הגדרות!$E$7+1),MOD(H1649-1-הגדרות!$E$8*(הגדרות!$E$7+1),הגדרות!$E$7)))</f>
        <v/>
      </c>
      <c r="K1649" s="0" t="str">
        <f aca="false">IF(I1649="","",J1649*הגדרות!$E$6+I1649+1)</f>
        <v/>
      </c>
      <c r="L1649" s="0" t="str">
        <f aca="false">IF(K1649="","",MATCH(K1649,$F$2:$F$5001,0))</f>
        <v/>
      </c>
      <c r="M1649" s="0" t="str">
        <f aca="false">IF(I1649="","",INDEX(הגדרות!$A$2:$A$21,MOD(I1649+הגדרות!$E$9,הגדרות!$E$6)+1))</f>
        <v/>
      </c>
    </row>
    <row r="1650" customFormat="false" ht="15" hidden="false" customHeight="false" outlineLevel="0" collapsed="false">
      <c r="A1650" s="0" t="str">
        <f aca="false">IF('הדבקת לידים'!A1650="","",IF(ISNUMBER('הדבקת לידים'!A1650),IF(הגדרות!$E$2&gt;0,TEXT('הדבקת לידים'!A1650,REPT("0",הגדרות!$E$2)),TEXT('הדבקת לידים'!A1650,"0")),TRIM('הדבקת לידים'!A1650)))</f>
        <v/>
      </c>
      <c r="B1650" s="0" t="str">
        <f aca="false">IF('הדבקת לידים'!B1650="","",IF(ISNUMBER('הדבקת לידים'!B1650),IF(הגדרות!$E$3&gt;0,TEXT('הדבקת לידים'!B1650,REPT("0",הגדרות!$E$3)),TEXT('הדבקת לידים'!B1650,"0")),TRIM('הדבקת לידים'!B1650)))</f>
        <v/>
      </c>
      <c r="C1650" s="0" t="n">
        <f aca="false">IF(OR(A1650&lt;&gt;"",B1650&lt;&gt;""),1,0)</f>
        <v>0</v>
      </c>
      <c r="D1650" s="0" t="str">
        <f aca="false">IF(C1650=1,MOD(ABS(SIN(ROW()*12.9898+'הדבקת לידים'!$F$2*78.233+IFERROR(--RIGHT(A1650,6),LEN(A1650))*0.0137+IFERROR(--RIGHT(B1650,6),LEN(B1650))*0.0071))*43758.5453,1),"")</f>
        <v/>
      </c>
      <c r="E1650" s="0" t="str">
        <f aca="false">IF(C1650=1,INT(MOD(ABS(SIN(D1650*7919.123+ROW()*0.618+'הדבקת לידים'!$F$2*1.3))*43758.5453,1)*1000000)*10000+ROW(),"")</f>
        <v/>
      </c>
      <c r="F1650" s="0" t="str">
        <f aca="false">IF(E1650="","",RANK(E1650,$E$2:$E$5001,1))</f>
        <v/>
      </c>
      <c r="G1650" s="0" t="n">
        <f aca="false">IF(A1650="",0,IF(SUMPRODUCT(--($A$2:$A$5001=A1650))&gt;1,1,0))</f>
        <v>0</v>
      </c>
      <c r="H1650" s="0" t="n">
        <f aca="false">ROW()-1</f>
        <v>1649</v>
      </c>
      <c r="I1650" s="0" t="str">
        <f aca="false">IF(OR(הגדרות!$E$6=0,H1650&gt;הגדרות!$E$5),"",IF(H1650-1&lt;הגדרות!$E$8*(הגדרות!$E$7+1),INT((H1650-1)/(הגדרות!$E$7+1)),הגדרות!$E$8+INT((H1650-1-הגדרות!$E$8*(הגדרות!$E$7+1))/הגדרות!$E$7)))</f>
        <v/>
      </c>
      <c r="J1650" s="0" t="str">
        <f aca="false">IF(I1650="","",IF(H1650-1&lt;הגדרות!$E$8*(הגדרות!$E$7+1),MOD(H1650-1,הגדרות!$E$7+1),MOD(H1650-1-הגדרות!$E$8*(הגדרות!$E$7+1),הגדרות!$E$7)))</f>
        <v/>
      </c>
      <c r="K1650" s="0" t="str">
        <f aca="false">IF(I1650="","",J1650*הגדרות!$E$6+I1650+1)</f>
        <v/>
      </c>
      <c r="L1650" s="0" t="str">
        <f aca="false">IF(K1650="","",MATCH(K1650,$F$2:$F$5001,0))</f>
        <v/>
      </c>
      <c r="M1650" s="0" t="str">
        <f aca="false">IF(I1650="","",INDEX(הגדרות!$A$2:$A$21,MOD(I1650+הגדרות!$E$9,הגדרות!$E$6)+1))</f>
        <v/>
      </c>
    </row>
    <row r="1651" customFormat="false" ht="15" hidden="false" customHeight="false" outlineLevel="0" collapsed="false">
      <c r="A1651" s="0" t="str">
        <f aca="false">IF('הדבקת לידים'!A1651="","",IF(ISNUMBER('הדבקת לידים'!A1651),IF(הגדרות!$E$2&gt;0,TEXT('הדבקת לידים'!A1651,REPT("0",הגדרות!$E$2)),TEXT('הדבקת לידים'!A1651,"0")),TRIM('הדבקת לידים'!A1651)))</f>
        <v/>
      </c>
      <c r="B1651" s="0" t="str">
        <f aca="false">IF('הדבקת לידים'!B1651="","",IF(ISNUMBER('הדבקת לידים'!B1651),IF(הגדרות!$E$3&gt;0,TEXT('הדבקת לידים'!B1651,REPT("0",הגדרות!$E$3)),TEXT('הדבקת לידים'!B1651,"0")),TRIM('הדבקת לידים'!B1651)))</f>
        <v/>
      </c>
      <c r="C1651" s="0" t="n">
        <f aca="false">IF(OR(A1651&lt;&gt;"",B1651&lt;&gt;""),1,0)</f>
        <v>0</v>
      </c>
      <c r="D1651" s="0" t="str">
        <f aca="false">IF(C1651=1,MOD(ABS(SIN(ROW()*12.9898+'הדבקת לידים'!$F$2*78.233+IFERROR(--RIGHT(A1651,6),LEN(A1651))*0.0137+IFERROR(--RIGHT(B1651,6),LEN(B1651))*0.0071))*43758.5453,1),"")</f>
        <v/>
      </c>
      <c r="E1651" s="0" t="str">
        <f aca="false">IF(C1651=1,INT(MOD(ABS(SIN(D1651*7919.123+ROW()*0.618+'הדבקת לידים'!$F$2*1.3))*43758.5453,1)*1000000)*10000+ROW(),"")</f>
        <v/>
      </c>
      <c r="F1651" s="0" t="str">
        <f aca="false">IF(E1651="","",RANK(E1651,$E$2:$E$5001,1))</f>
        <v/>
      </c>
      <c r="G1651" s="0" t="n">
        <f aca="false">IF(A1651="",0,IF(SUMPRODUCT(--($A$2:$A$5001=A1651))&gt;1,1,0))</f>
        <v>0</v>
      </c>
      <c r="H1651" s="0" t="n">
        <f aca="false">ROW()-1</f>
        <v>1650</v>
      </c>
      <c r="I1651" s="0" t="str">
        <f aca="false">IF(OR(הגדרות!$E$6=0,H1651&gt;הגדרות!$E$5),"",IF(H1651-1&lt;הגדרות!$E$8*(הגדרות!$E$7+1),INT((H1651-1)/(הגדרות!$E$7+1)),הגדרות!$E$8+INT((H1651-1-הגדרות!$E$8*(הגדרות!$E$7+1))/הגדרות!$E$7)))</f>
        <v/>
      </c>
      <c r="J1651" s="0" t="str">
        <f aca="false">IF(I1651="","",IF(H1651-1&lt;הגדרות!$E$8*(הגדרות!$E$7+1),MOD(H1651-1,הגדרות!$E$7+1),MOD(H1651-1-הגדרות!$E$8*(הגדרות!$E$7+1),הגדרות!$E$7)))</f>
        <v/>
      </c>
      <c r="K1651" s="0" t="str">
        <f aca="false">IF(I1651="","",J1651*הגדרות!$E$6+I1651+1)</f>
        <v/>
      </c>
      <c r="L1651" s="0" t="str">
        <f aca="false">IF(K1651="","",MATCH(K1651,$F$2:$F$5001,0))</f>
        <v/>
      </c>
      <c r="M1651" s="0" t="str">
        <f aca="false">IF(I1651="","",INDEX(הגדרות!$A$2:$A$21,MOD(I1651+הגדרות!$E$9,הגדרות!$E$6)+1))</f>
        <v/>
      </c>
    </row>
    <row r="1652" customFormat="false" ht="15" hidden="false" customHeight="false" outlineLevel="0" collapsed="false">
      <c r="A1652" s="0" t="str">
        <f aca="false">IF('הדבקת לידים'!A1652="","",IF(ISNUMBER('הדבקת לידים'!A1652),IF(הגדרות!$E$2&gt;0,TEXT('הדבקת לידים'!A1652,REPT("0",הגדרות!$E$2)),TEXT('הדבקת לידים'!A1652,"0")),TRIM('הדבקת לידים'!A1652)))</f>
        <v/>
      </c>
      <c r="B1652" s="0" t="str">
        <f aca="false">IF('הדבקת לידים'!B1652="","",IF(ISNUMBER('הדבקת לידים'!B1652),IF(הגדרות!$E$3&gt;0,TEXT('הדבקת לידים'!B1652,REPT("0",הגדרות!$E$3)),TEXT('הדבקת לידים'!B1652,"0")),TRIM('הדבקת לידים'!B1652)))</f>
        <v/>
      </c>
      <c r="C1652" s="0" t="n">
        <f aca="false">IF(OR(A1652&lt;&gt;"",B1652&lt;&gt;""),1,0)</f>
        <v>0</v>
      </c>
      <c r="D1652" s="0" t="str">
        <f aca="false">IF(C1652=1,MOD(ABS(SIN(ROW()*12.9898+'הדבקת לידים'!$F$2*78.233+IFERROR(--RIGHT(A1652,6),LEN(A1652))*0.0137+IFERROR(--RIGHT(B1652,6),LEN(B1652))*0.0071))*43758.5453,1),"")</f>
        <v/>
      </c>
      <c r="E1652" s="0" t="str">
        <f aca="false">IF(C1652=1,INT(MOD(ABS(SIN(D1652*7919.123+ROW()*0.618+'הדבקת לידים'!$F$2*1.3))*43758.5453,1)*1000000)*10000+ROW(),"")</f>
        <v/>
      </c>
      <c r="F1652" s="0" t="str">
        <f aca="false">IF(E1652="","",RANK(E1652,$E$2:$E$5001,1))</f>
        <v/>
      </c>
      <c r="G1652" s="0" t="n">
        <f aca="false">IF(A1652="",0,IF(SUMPRODUCT(--($A$2:$A$5001=A1652))&gt;1,1,0))</f>
        <v>0</v>
      </c>
      <c r="H1652" s="0" t="n">
        <f aca="false">ROW()-1</f>
        <v>1651</v>
      </c>
      <c r="I1652" s="0" t="str">
        <f aca="false">IF(OR(הגדרות!$E$6=0,H1652&gt;הגדרות!$E$5),"",IF(H1652-1&lt;הגדרות!$E$8*(הגדרות!$E$7+1),INT((H1652-1)/(הגדרות!$E$7+1)),הגדרות!$E$8+INT((H1652-1-הגדרות!$E$8*(הגדרות!$E$7+1))/הגדרות!$E$7)))</f>
        <v/>
      </c>
      <c r="J1652" s="0" t="str">
        <f aca="false">IF(I1652="","",IF(H1652-1&lt;הגדרות!$E$8*(הגדרות!$E$7+1),MOD(H1652-1,הגדרות!$E$7+1),MOD(H1652-1-הגדרות!$E$8*(הגדרות!$E$7+1),הגדרות!$E$7)))</f>
        <v/>
      </c>
      <c r="K1652" s="0" t="str">
        <f aca="false">IF(I1652="","",J1652*הגדרות!$E$6+I1652+1)</f>
        <v/>
      </c>
      <c r="L1652" s="0" t="str">
        <f aca="false">IF(K1652="","",MATCH(K1652,$F$2:$F$5001,0))</f>
        <v/>
      </c>
      <c r="M1652" s="0" t="str">
        <f aca="false">IF(I1652="","",INDEX(הגדרות!$A$2:$A$21,MOD(I1652+הגדרות!$E$9,הגדרות!$E$6)+1))</f>
        <v/>
      </c>
    </row>
    <row r="1653" customFormat="false" ht="15" hidden="false" customHeight="false" outlineLevel="0" collapsed="false">
      <c r="A1653" s="0" t="str">
        <f aca="false">IF('הדבקת לידים'!A1653="","",IF(ISNUMBER('הדבקת לידים'!A1653),IF(הגדרות!$E$2&gt;0,TEXT('הדבקת לידים'!A1653,REPT("0",הגדרות!$E$2)),TEXT('הדבקת לידים'!A1653,"0")),TRIM('הדבקת לידים'!A1653)))</f>
        <v/>
      </c>
      <c r="B1653" s="0" t="str">
        <f aca="false">IF('הדבקת לידים'!B1653="","",IF(ISNUMBER('הדבקת לידים'!B1653),IF(הגדרות!$E$3&gt;0,TEXT('הדבקת לידים'!B1653,REPT("0",הגדרות!$E$3)),TEXT('הדבקת לידים'!B1653,"0")),TRIM('הדבקת לידים'!B1653)))</f>
        <v/>
      </c>
      <c r="C1653" s="0" t="n">
        <f aca="false">IF(OR(A1653&lt;&gt;"",B1653&lt;&gt;""),1,0)</f>
        <v>0</v>
      </c>
      <c r="D1653" s="0" t="str">
        <f aca="false">IF(C1653=1,MOD(ABS(SIN(ROW()*12.9898+'הדבקת לידים'!$F$2*78.233+IFERROR(--RIGHT(A1653,6),LEN(A1653))*0.0137+IFERROR(--RIGHT(B1653,6),LEN(B1653))*0.0071))*43758.5453,1),"")</f>
        <v/>
      </c>
      <c r="E1653" s="0" t="str">
        <f aca="false">IF(C1653=1,INT(MOD(ABS(SIN(D1653*7919.123+ROW()*0.618+'הדבקת לידים'!$F$2*1.3))*43758.5453,1)*1000000)*10000+ROW(),"")</f>
        <v/>
      </c>
      <c r="F1653" s="0" t="str">
        <f aca="false">IF(E1653="","",RANK(E1653,$E$2:$E$5001,1))</f>
        <v/>
      </c>
      <c r="G1653" s="0" t="n">
        <f aca="false">IF(A1653="",0,IF(SUMPRODUCT(--($A$2:$A$5001=A1653))&gt;1,1,0))</f>
        <v>0</v>
      </c>
      <c r="H1653" s="0" t="n">
        <f aca="false">ROW()-1</f>
        <v>1652</v>
      </c>
      <c r="I1653" s="0" t="str">
        <f aca="false">IF(OR(הגדרות!$E$6=0,H1653&gt;הגדרות!$E$5),"",IF(H1653-1&lt;הגדרות!$E$8*(הגדרות!$E$7+1),INT((H1653-1)/(הגדרות!$E$7+1)),הגדרות!$E$8+INT((H1653-1-הגדרות!$E$8*(הגדרות!$E$7+1))/הגדרות!$E$7)))</f>
        <v/>
      </c>
      <c r="J1653" s="0" t="str">
        <f aca="false">IF(I1653="","",IF(H1653-1&lt;הגדרות!$E$8*(הגדרות!$E$7+1),MOD(H1653-1,הגדרות!$E$7+1),MOD(H1653-1-הגדרות!$E$8*(הגדרות!$E$7+1),הגדרות!$E$7)))</f>
        <v/>
      </c>
      <c r="K1653" s="0" t="str">
        <f aca="false">IF(I1653="","",J1653*הגדרות!$E$6+I1653+1)</f>
        <v/>
      </c>
      <c r="L1653" s="0" t="str">
        <f aca="false">IF(K1653="","",MATCH(K1653,$F$2:$F$5001,0))</f>
        <v/>
      </c>
      <c r="M1653" s="0" t="str">
        <f aca="false">IF(I1653="","",INDEX(הגדרות!$A$2:$A$21,MOD(I1653+הגדרות!$E$9,הגדרות!$E$6)+1))</f>
        <v/>
      </c>
    </row>
    <row r="1654" customFormat="false" ht="15" hidden="false" customHeight="false" outlineLevel="0" collapsed="false">
      <c r="A1654" s="0" t="str">
        <f aca="false">IF('הדבקת לידים'!A1654="","",IF(ISNUMBER('הדבקת לידים'!A1654),IF(הגדרות!$E$2&gt;0,TEXT('הדבקת לידים'!A1654,REPT("0",הגדרות!$E$2)),TEXT('הדבקת לידים'!A1654,"0")),TRIM('הדבקת לידים'!A1654)))</f>
        <v/>
      </c>
      <c r="B1654" s="0" t="str">
        <f aca="false">IF('הדבקת לידים'!B1654="","",IF(ISNUMBER('הדבקת לידים'!B1654),IF(הגדרות!$E$3&gt;0,TEXT('הדבקת לידים'!B1654,REPT("0",הגדרות!$E$3)),TEXT('הדבקת לידים'!B1654,"0")),TRIM('הדבקת לידים'!B1654)))</f>
        <v/>
      </c>
      <c r="C1654" s="0" t="n">
        <f aca="false">IF(OR(A1654&lt;&gt;"",B1654&lt;&gt;""),1,0)</f>
        <v>0</v>
      </c>
      <c r="D1654" s="0" t="str">
        <f aca="false">IF(C1654=1,MOD(ABS(SIN(ROW()*12.9898+'הדבקת לידים'!$F$2*78.233+IFERROR(--RIGHT(A1654,6),LEN(A1654))*0.0137+IFERROR(--RIGHT(B1654,6),LEN(B1654))*0.0071))*43758.5453,1),"")</f>
        <v/>
      </c>
      <c r="E1654" s="0" t="str">
        <f aca="false">IF(C1654=1,INT(MOD(ABS(SIN(D1654*7919.123+ROW()*0.618+'הדבקת לידים'!$F$2*1.3))*43758.5453,1)*1000000)*10000+ROW(),"")</f>
        <v/>
      </c>
      <c r="F1654" s="0" t="str">
        <f aca="false">IF(E1654="","",RANK(E1654,$E$2:$E$5001,1))</f>
        <v/>
      </c>
      <c r="G1654" s="0" t="n">
        <f aca="false">IF(A1654="",0,IF(SUMPRODUCT(--($A$2:$A$5001=A1654))&gt;1,1,0))</f>
        <v>0</v>
      </c>
      <c r="H1654" s="0" t="n">
        <f aca="false">ROW()-1</f>
        <v>1653</v>
      </c>
      <c r="I1654" s="0" t="str">
        <f aca="false">IF(OR(הגדרות!$E$6=0,H1654&gt;הגדרות!$E$5),"",IF(H1654-1&lt;הגדרות!$E$8*(הגדרות!$E$7+1),INT((H1654-1)/(הגדרות!$E$7+1)),הגדרות!$E$8+INT((H1654-1-הגדרות!$E$8*(הגדרות!$E$7+1))/הגדרות!$E$7)))</f>
        <v/>
      </c>
      <c r="J1654" s="0" t="str">
        <f aca="false">IF(I1654="","",IF(H1654-1&lt;הגדרות!$E$8*(הגדרות!$E$7+1),MOD(H1654-1,הגדרות!$E$7+1),MOD(H1654-1-הגדרות!$E$8*(הגדרות!$E$7+1),הגדרות!$E$7)))</f>
        <v/>
      </c>
      <c r="K1654" s="0" t="str">
        <f aca="false">IF(I1654="","",J1654*הגדרות!$E$6+I1654+1)</f>
        <v/>
      </c>
      <c r="L1654" s="0" t="str">
        <f aca="false">IF(K1654="","",MATCH(K1654,$F$2:$F$5001,0))</f>
        <v/>
      </c>
      <c r="M1654" s="0" t="str">
        <f aca="false">IF(I1654="","",INDEX(הגדרות!$A$2:$A$21,MOD(I1654+הגדרות!$E$9,הגדרות!$E$6)+1))</f>
        <v/>
      </c>
    </row>
    <row r="1655" customFormat="false" ht="15" hidden="false" customHeight="false" outlineLevel="0" collapsed="false">
      <c r="A1655" s="0" t="str">
        <f aca="false">IF('הדבקת לידים'!A1655="","",IF(ISNUMBER('הדבקת לידים'!A1655),IF(הגדרות!$E$2&gt;0,TEXT('הדבקת לידים'!A1655,REPT("0",הגדרות!$E$2)),TEXT('הדבקת לידים'!A1655,"0")),TRIM('הדבקת לידים'!A1655)))</f>
        <v/>
      </c>
      <c r="B1655" s="0" t="str">
        <f aca="false">IF('הדבקת לידים'!B1655="","",IF(ISNUMBER('הדבקת לידים'!B1655),IF(הגדרות!$E$3&gt;0,TEXT('הדבקת לידים'!B1655,REPT("0",הגדרות!$E$3)),TEXT('הדבקת לידים'!B1655,"0")),TRIM('הדבקת לידים'!B1655)))</f>
        <v/>
      </c>
      <c r="C1655" s="0" t="n">
        <f aca="false">IF(OR(A1655&lt;&gt;"",B1655&lt;&gt;""),1,0)</f>
        <v>0</v>
      </c>
      <c r="D1655" s="0" t="str">
        <f aca="false">IF(C1655=1,MOD(ABS(SIN(ROW()*12.9898+'הדבקת לידים'!$F$2*78.233+IFERROR(--RIGHT(A1655,6),LEN(A1655))*0.0137+IFERROR(--RIGHT(B1655,6),LEN(B1655))*0.0071))*43758.5453,1),"")</f>
        <v/>
      </c>
      <c r="E1655" s="0" t="str">
        <f aca="false">IF(C1655=1,INT(MOD(ABS(SIN(D1655*7919.123+ROW()*0.618+'הדבקת לידים'!$F$2*1.3))*43758.5453,1)*1000000)*10000+ROW(),"")</f>
        <v/>
      </c>
      <c r="F1655" s="0" t="str">
        <f aca="false">IF(E1655="","",RANK(E1655,$E$2:$E$5001,1))</f>
        <v/>
      </c>
      <c r="G1655" s="0" t="n">
        <f aca="false">IF(A1655="",0,IF(SUMPRODUCT(--($A$2:$A$5001=A1655))&gt;1,1,0))</f>
        <v>0</v>
      </c>
      <c r="H1655" s="0" t="n">
        <f aca="false">ROW()-1</f>
        <v>1654</v>
      </c>
      <c r="I1655" s="0" t="str">
        <f aca="false">IF(OR(הגדרות!$E$6=0,H1655&gt;הגדרות!$E$5),"",IF(H1655-1&lt;הגדרות!$E$8*(הגדרות!$E$7+1),INT((H1655-1)/(הגדרות!$E$7+1)),הגדרות!$E$8+INT((H1655-1-הגדרות!$E$8*(הגדרות!$E$7+1))/הגדרות!$E$7)))</f>
        <v/>
      </c>
      <c r="J1655" s="0" t="str">
        <f aca="false">IF(I1655="","",IF(H1655-1&lt;הגדרות!$E$8*(הגדרות!$E$7+1),MOD(H1655-1,הגדרות!$E$7+1),MOD(H1655-1-הגדרות!$E$8*(הגדרות!$E$7+1),הגדרות!$E$7)))</f>
        <v/>
      </c>
      <c r="K1655" s="0" t="str">
        <f aca="false">IF(I1655="","",J1655*הגדרות!$E$6+I1655+1)</f>
        <v/>
      </c>
      <c r="L1655" s="0" t="str">
        <f aca="false">IF(K1655="","",MATCH(K1655,$F$2:$F$5001,0))</f>
        <v/>
      </c>
      <c r="M1655" s="0" t="str">
        <f aca="false">IF(I1655="","",INDEX(הגדרות!$A$2:$A$21,MOD(I1655+הגדרות!$E$9,הגדרות!$E$6)+1))</f>
        <v/>
      </c>
    </row>
    <row r="1656" customFormat="false" ht="15" hidden="false" customHeight="false" outlineLevel="0" collapsed="false">
      <c r="A1656" s="0" t="str">
        <f aca="false">IF('הדבקת לידים'!A1656="","",IF(ISNUMBER('הדבקת לידים'!A1656),IF(הגדרות!$E$2&gt;0,TEXT('הדבקת לידים'!A1656,REPT("0",הגדרות!$E$2)),TEXT('הדבקת לידים'!A1656,"0")),TRIM('הדבקת לידים'!A1656)))</f>
        <v/>
      </c>
      <c r="B1656" s="0" t="str">
        <f aca="false">IF('הדבקת לידים'!B1656="","",IF(ISNUMBER('הדבקת לידים'!B1656),IF(הגדרות!$E$3&gt;0,TEXT('הדבקת לידים'!B1656,REPT("0",הגדרות!$E$3)),TEXT('הדבקת לידים'!B1656,"0")),TRIM('הדבקת לידים'!B1656)))</f>
        <v/>
      </c>
      <c r="C1656" s="0" t="n">
        <f aca="false">IF(OR(A1656&lt;&gt;"",B1656&lt;&gt;""),1,0)</f>
        <v>0</v>
      </c>
      <c r="D1656" s="0" t="str">
        <f aca="false">IF(C1656=1,MOD(ABS(SIN(ROW()*12.9898+'הדבקת לידים'!$F$2*78.233+IFERROR(--RIGHT(A1656,6),LEN(A1656))*0.0137+IFERROR(--RIGHT(B1656,6),LEN(B1656))*0.0071))*43758.5453,1),"")</f>
        <v/>
      </c>
      <c r="E1656" s="0" t="str">
        <f aca="false">IF(C1656=1,INT(MOD(ABS(SIN(D1656*7919.123+ROW()*0.618+'הדבקת לידים'!$F$2*1.3))*43758.5453,1)*1000000)*10000+ROW(),"")</f>
        <v/>
      </c>
      <c r="F1656" s="0" t="str">
        <f aca="false">IF(E1656="","",RANK(E1656,$E$2:$E$5001,1))</f>
        <v/>
      </c>
      <c r="G1656" s="0" t="n">
        <f aca="false">IF(A1656="",0,IF(SUMPRODUCT(--($A$2:$A$5001=A1656))&gt;1,1,0))</f>
        <v>0</v>
      </c>
      <c r="H1656" s="0" t="n">
        <f aca="false">ROW()-1</f>
        <v>1655</v>
      </c>
      <c r="I1656" s="0" t="str">
        <f aca="false">IF(OR(הגדרות!$E$6=0,H1656&gt;הגדרות!$E$5),"",IF(H1656-1&lt;הגדרות!$E$8*(הגדרות!$E$7+1),INT((H1656-1)/(הגדרות!$E$7+1)),הגדרות!$E$8+INT((H1656-1-הגדרות!$E$8*(הגדרות!$E$7+1))/הגדרות!$E$7)))</f>
        <v/>
      </c>
      <c r="J1656" s="0" t="str">
        <f aca="false">IF(I1656="","",IF(H1656-1&lt;הגדרות!$E$8*(הגדרות!$E$7+1),MOD(H1656-1,הגדרות!$E$7+1),MOD(H1656-1-הגדרות!$E$8*(הגדרות!$E$7+1),הגדרות!$E$7)))</f>
        <v/>
      </c>
      <c r="K1656" s="0" t="str">
        <f aca="false">IF(I1656="","",J1656*הגדרות!$E$6+I1656+1)</f>
        <v/>
      </c>
      <c r="L1656" s="0" t="str">
        <f aca="false">IF(K1656="","",MATCH(K1656,$F$2:$F$5001,0))</f>
        <v/>
      </c>
      <c r="M1656" s="0" t="str">
        <f aca="false">IF(I1656="","",INDEX(הגדרות!$A$2:$A$21,MOD(I1656+הגדרות!$E$9,הגדרות!$E$6)+1))</f>
        <v/>
      </c>
    </row>
    <row r="1657" customFormat="false" ht="15" hidden="false" customHeight="false" outlineLevel="0" collapsed="false">
      <c r="A1657" s="0" t="str">
        <f aca="false">IF('הדבקת לידים'!A1657="","",IF(ISNUMBER('הדבקת לידים'!A1657),IF(הגדרות!$E$2&gt;0,TEXT('הדבקת לידים'!A1657,REPT("0",הגדרות!$E$2)),TEXT('הדבקת לידים'!A1657,"0")),TRIM('הדבקת לידים'!A1657)))</f>
        <v/>
      </c>
      <c r="B1657" s="0" t="str">
        <f aca="false">IF('הדבקת לידים'!B1657="","",IF(ISNUMBER('הדבקת לידים'!B1657),IF(הגדרות!$E$3&gt;0,TEXT('הדבקת לידים'!B1657,REPT("0",הגדרות!$E$3)),TEXT('הדבקת לידים'!B1657,"0")),TRIM('הדבקת לידים'!B1657)))</f>
        <v/>
      </c>
      <c r="C1657" s="0" t="n">
        <f aca="false">IF(OR(A1657&lt;&gt;"",B1657&lt;&gt;""),1,0)</f>
        <v>0</v>
      </c>
      <c r="D1657" s="0" t="str">
        <f aca="false">IF(C1657=1,MOD(ABS(SIN(ROW()*12.9898+'הדבקת לידים'!$F$2*78.233+IFERROR(--RIGHT(A1657,6),LEN(A1657))*0.0137+IFERROR(--RIGHT(B1657,6),LEN(B1657))*0.0071))*43758.5453,1),"")</f>
        <v/>
      </c>
      <c r="E1657" s="0" t="str">
        <f aca="false">IF(C1657=1,INT(MOD(ABS(SIN(D1657*7919.123+ROW()*0.618+'הדבקת לידים'!$F$2*1.3))*43758.5453,1)*1000000)*10000+ROW(),"")</f>
        <v/>
      </c>
      <c r="F1657" s="0" t="str">
        <f aca="false">IF(E1657="","",RANK(E1657,$E$2:$E$5001,1))</f>
        <v/>
      </c>
      <c r="G1657" s="0" t="n">
        <f aca="false">IF(A1657="",0,IF(SUMPRODUCT(--($A$2:$A$5001=A1657))&gt;1,1,0))</f>
        <v>0</v>
      </c>
      <c r="H1657" s="0" t="n">
        <f aca="false">ROW()-1</f>
        <v>1656</v>
      </c>
      <c r="I1657" s="0" t="str">
        <f aca="false">IF(OR(הגדרות!$E$6=0,H1657&gt;הגדרות!$E$5),"",IF(H1657-1&lt;הגדרות!$E$8*(הגדרות!$E$7+1),INT((H1657-1)/(הגדרות!$E$7+1)),הגדרות!$E$8+INT((H1657-1-הגדרות!$E$8*(הגדרות!$E$7+1))/הגדרות!$E$7)))</f>
        <v/>
      </c>
      <c r="J1657" s="0" t="str">
        <f aca="false">IF(I1657="","",IF(H1657-1&lt;הגדרות!$E$8*(הגדרות!$E$7+1),MOD(H1657-1,הגדרות!$E$7+1),MOD(H1657-1-הגדרות!$E$8*(הגדרות!$E$7+1),הגדרות!$E$7)))</f>
        <v/>
      </c>
      <c r="K1657" s="0" t="str">
        <f aca="false">IF(I1657="","",J1657*הגדרות!$E$6+I1657+1)</f>
        <v/>
      </c>
      <c r="L1657" s="0" t="str">
        <f aca="false">IF(K1657="","",MATCH(K1657,$F$2:$F$5001,0))</f>
        <v/>
      </c>
      <c r="M1657" s="0" t="str">
        <f aca="false">IF(I1657="","",INDEX(הגדרות!$A$2:$A$21,MOD(I1657+הגדרות!$E$9,הגדרות!$E$6)+1))</f>
        <v/>
      </c>
    </row>
    <row r="1658" customFormat="false" ht="15" hidden="false" customHeight="false" outlineLevel="0" collapsed="false">
      <c r="A1658" s="0" t="str">
        <f aca="false">IF('הדבקת לידים'!A1658="","",IF(ISNUMBER('הדבקת לידים'!A1658),IF(הגדרות!$E$2&gt;0,TEXT('הדבקת לידים'!A1658,REPT("0",הגדרות!$E$2)),TEXT('הדבקת לידים'!A1658,"0")),TRIM('הדבקת לידים'!A1658)))</f>
        <v/>
      </c>
      <c r="B1658" s="0" t="str">
        <f aca="false">IF('הדבקת לידים'!B1658="","",IF(ISNUMBER('הדבקת לידים'!B1658),IF(הגדרות!$E$3&gt;0,TEXT('הדבקת לידים'!B1658,REPT("0",הגדרות!$E$3)),TEXT('הדבקת לידים'!B1658,"0")),TRIM('הדבקת לידים'!B1658)))</f>
        <v/>
      </c>
      <c r="C1658" s="0" t="n">
        <f aca="false">IF(OR(A1658&lt;&gt;"",B1658&lt;&gt;""),1,0)</f>
        <v>0</v>
      </c>
      <c r="D1658" s="0" t="str">
        <f aca="false">IF(C1658=1,MOD(ABS(SIN(ROW()*12.9898+'הדבקת לידים'!$F$2*78.233+IFERROR(--RIGHT(A1658,6),LEN(A1658))*0.0137+IFERROR(--RIGHT(B1658,6),LEN(B1658))*0.0071))*43758.5453,1),"")</f>
        <v/>
      </c>
      <c r="E1658" s="0" t="str">
        <f aca="false">IF(C1658=1,INT(MOD(ABS(SIN(D1658*7919.123+ROW()*0.618+'הדבקת לידים'!$F$2*1.3))*43758.5453,1)*1000000)*10000+ROW(),"")</f>
        <v/>
      </c>
      <c r="F1658" s="0" t="str">
        <f aca="false">IF(E1658="","",RANK(E1658,$E$2:$E$5001,1))</f>
        <v/>
      </c>
      <c r="G1658" s="0" t="n">
        <f aca="false">IF(A1658="",0,IF(SUMPRODUCT(--($A$2:$A$5001=A1658))&gt;1,1,0))</f>
        <v>0</v>
      </c>
      <c r="H1658" s="0" t="n">
        <f aca="false">ROW()-1</f>
        <v>1657</v>
      </c>
      <c r="I1658" s="0" t="str">
        <f aca="false">IF(OR(הגדרות!$E$6=0,H1658&gt;הגדרות!$E$5),"",IF(H1658-1&lt;הגדרות!$E$8*(הגדרות!$E$7+1),INT((H1658-1)/(הגדרות!$E$7+1)),הגדרות!$E$8+INT((H1658-1-הגדרות!$E$8*(הגדרות!$E$7+1))/הגדרות!$E$7)))</f>
        <v/>
      </c>
      <c r="J1658" s="0" t="str">
        <f aca="false">IF(I1658="","",IF(H1658-1&lt;הגדרות!$E$8*(הגדרות!$E$7+1),MOD(H1658-1,הגדרות!$E$7+1),MOD(H1658-1-הגדרות!$E$8*(הגדרות!$E$7+1),הגדרות!$E$7)))</f>
        <v/>
      </c>
      <c r="K1658" s="0" t="str">
        <f aca="false">IF(I1658="","",J1658*הגדרות!$E$6+I1658+1)</f>
        <v/>
      </c>
      <c r="L1658" s="0" t="str">
        <f aca="false">IF(K1658="","",MATCH(K1658,$F$2:$F$5001,0))</f>
        <v/>
      </c>
      <c r="M1658" s="0" t="str">
        <f aca="false">IF(I1658="","",INDEX(הגדרות!$A$2:$A$21,MOD(I1658+הגדרות!$E$9,הגדרות!$E$6)+1))</f>
        <v/>
      </c>
    </row>
    <row r="1659" customFormat="false" ht="15" hidden="false" customHeight="false" outlineLevel="0" collapsed="false">
      <c r="A1659" s="0" t="str">
        <f aca="false">IF('הדבקת לידים'!A1659="","",IF(ISNUMBER('הדבקת לידים'!A1659),IF(הגדרות!$E$2&gt;0,TEXT('הדבקת לידים'!A1659,REPT("0",הגדרות!$E$2)),TEXT('הדבקת לידים'!A1659,"0")),TRIM('הדבקת לידים'!A1659)))</f>
        <v/>
      </c>
      <c r="B1659" s="0" t="str">
        <f aca="false">IF('הדבקת לידים'!B1659="","",IF(ISNUMBER('הדבקת לידים'!B1659),IF(הגדרות!$E$3&gt;0,TEXT('הדבקת לידים'!B1659,REPT("0",הגדרות!$E$3)),TEXT('הדבקת לידים'!B1659,"0")),TRIM('הדבקת לידים'!B1659)))</f>
        <v/>
      </c>
      <c r="C1659" s="0" t="n">
        <f aca="false">IF(OR(A1659&lt;&gt;"",B1659&lt;&gt;""),1,0)</f>
        <v>0</v>
      </c>
      <c r="D1659" s="0" t="str">
        <f aca="false">IF(C1659=1,MOD(ABS(SIN(ROW()*12.9898+'הדבקת לידים'!$F$2*78.233+IFERROR(--RIGHT(A1659,6),LEN(A1659))*0.0137+IFERROR(--RIGHT(B1659,6),LEN(B1659))*0.0071))*43758.5453,1),"")</f>
        <v/>
      </c>
      <c r="E1659" s="0" t="str">
        <f aca="false">IF(C1659=1,INT(MOD(ABS(SIN(D1659*7919.123+ROW()*0.618+'הדבקת לידים'!$F$2*1.3))*43758.5453,1)*1000000)*10000+ROW(),"")</f>
        <v/>
      </c>
      <c r="F1659" s="0" t="str">
        <f aca="false">IF(E1659="","",RANK(E1659,$E$2:$E$5001,1))</f>
        <v/>
      </c>
      <c r="G1659" s="0" t="n">
        <f aca="false">IF(A1659="",0,IF(SUMPRODUCT(--($A$2:$A$5001=A1659))&gt;1,1,0))</f>
        <v>0</v>
      </c>
      <c r="H1659" s="0" t="n">
        <f aca="false">ROW()-1</f>
        <v>1658</v>
      </c>
      <c r="I1659" s="0" t="str">
        <f aca="false">IF(OR(הגדרות!$E$6=0,H1659&gt;הגדרות!$E$5),"",IF(H1659-1&lt;הגדרות!$E$8*(הגדרות!$E$7+1),INT((H1659-1)/(הגדרות!$E$7+1)),הגדרות!$E$8+INT((H1659-1-הגדרות!$E$8*(הגדרות!$E$7+1))/הגדרות!$E$7)))</f>
        <v/>
      </c>
      <c r="J1659" s="0" t="str">
        <f aca="false">IF(I1659="","",IF(H1659-1&lt;הגדרות!$E$8*(הגדרות!$E$7+1),MOD(H1659-1,הגדרות!$E$7+1),MOD(H1659-1-הגדרות!$E$8*(הגדרות!$E$7+1),הגדרות!$E$7)))</f>
        <v/>
      </c>
      <c r="K1659" s="0" t="str">
        <f aca="false">IF(I1659="","",J1659*הגדרות!$E$6+I1659+1)</f>
        <v/>
      </c>
      <c r="L1659" s="0" t="str">
        <f aca="false">IF(K1659="","",MATCH(K1659,$F$2:$F$5001,0))</f>
        <v/>
      </c>
      <c r="M1659" s="0" t="str">
        <f aca="false">IF(I1659="","",INDEX(הגדרות!$A$2:$A$21,MOD(I1659+הגדרות!$E$9,הגדרות!$E$6)+1))</f>
        <v/>
      </c>
    </row>
    <row r="1660" customFormat="false" ht="15" hidden="false" customHeight="false" outlineLevel="0" collapsed="false">
      <c r="A1660" s="0" t="str">
        <f aca="false">IF('הדבקת לידים'!A1660="","",IF(ISNUMBER('הדבקת לידים'!A1660),IF(הגדרות!$E$2&gt;0,TEXT('הדבקת לידים'!A1660,REPT("0",הגדרות!$E$2)),TEXT('הדבקת לידים'!A1660,"0")),TRIM('הדבקת לידים'!A1660)))</f>
        <v/>
      </c>
      <c r="B1660" s="0" t="str">
        <f aca="false">IF('הדבקת לידים'!B1660="","",IF(ISNUMBER('הדבקת לידים'!B1660),IF(הגדרות!$E$3&gt;0,TEXT('הדבקת לידים'!B1660,REPT("0",הגדרות!$E$3)),TEXT('הדבקת לידים'!B1660,"0")),TRIM('הדבקת לידים'!B1660)))</f>
        <v/>
      </c>
      <c r="C1660" s="0" t="n">
        <f aca="false">IF(OR(A1660&lt;&gt;"",B1660&lt;&gt;""),1,0)</f>
        <v>0</v>
      </c>
      <c r="D1660" s="0" t="str">
        <f aca="false">IF(C1660=1,MOD(ABS(SIN(ROW()*12.9898+'הדבקת לידים'!$F$2*78.233+IFERROR(--RIGHT(A1660,6),LEN(A1660))*0.0137+IFERROR(--RIGHT(B1660,6),LEN(B1660))*0.0071))*43758.5453,1),"")</f>
        <v/>
      </c>
      <c r="E1660" s="0" t="str">
        <f aca="false">IF(C1660=1,INT(MOD(ABS(SIN(D1660*7919.123+ROW()*0.618+'הדבקת לידים'!$F$2*1.3))*43758.5453,1)*1000000)*10000+ROW(),"")</f>
        <v/>
      </c>
      <c r="F1660" s="0" t="str">
        <f aca="false">IF(E1660="","",RANK(E1660,$E$2:$E$5001,1))</f>
        <v/>
      </c>
      <c r="G1660" s="0" t="n">
        <f aca="false">IF(A1660="",0,IF(SUMPRODUCT(--($A$2:$A$5001=A1660))&gt;1,1,0))</f>
        <v>0</v>
      </c>
      <c r="H1660" s="0" t="n">
        <f aca="false">ROW()-1</f>
        <v>1659</v>
      </c>
      <c r="I1660" s="0" t="str">
        <f aca="false">IF(OR(הגדרות!$E$6=0,H1660&gt;הגדרות!$E$5),"",IF(H1660-1&lt;הגדרות!$E$8*(הגדרות!$E$7+1),INT((H1660-1)/(הגדרות!$E$7+1)),הגדרות!$E$8+INT((H1660-1-הגדרות!$E$8*(הגדרות!$E$7+1))/הגדרות!$E$7)))</f>
        <v/>
      </c>
      <c r="J1660" s="0" t="str">
        <f aca="false">IF(I1660="","",IF(H1660-1&lt;הגדרות!$E$8*(הגדרות!$E$7+1),MOD(H1660-1,הגדרות!$E$7+1),MOD(H1660-1-הגדרות!$E$8*(הגדרות!$E$7+1),הגדרות!$E$7)))</f>
        <v/>
      </c>
      <c r="K1660" s="0" t="str">
        <f aca="false">IF(I1660="","",J1660*הגדרות!$E$6+I1660+1)</f>
        <v/>
      </c>
      <c r="L1660" s="0" t="str">
        <f aca="false">IF(K1660="","",MATCH(K1660,$F$2:$F$5001,0))</f>
        <v/>
      </c>
      <c r="M1660" s="0" t="str">
        <f aca="false">IF(I1660="","",INDEX(הגדרות!$A$2:$A$21,MOD(I1660+הגדרות!$E$9,הגדרות!$E$6)+1))</f>
        <v/>
      </c>
    </row>
    <row r="1661" customFormat="false" ht="15" hidden="false" customHeight="false" outlineLevel="0" collapsed="false">
      <c r="A1661" s="0" t="str">
        <f aca="false">IF('הדבקת לידים'!A1661="","",IF(ISNUMBER('הדבקת לידים'!A1661),IF(הגדרות!$E$2&gt;0,TEXT('הדבקת לידים'!A1661,REPT("0",הגדרות!$E$2)),TEXT('הדבקת לידים'!A1661,"0")),TRIM('הדבקת לידים'!A1661)))</f>
        <v/>
      </c>
      <c r="B1661" s="0" t="str">
        <f aca="false">IF('הדבקת לידים'!B1661="","",IF(ISNUMBER('הדבקת לידים'!B1661),IF(הגדרות!$E$3&gt;0,TEXT('הדבקת לידים'!B1661,REPT("0",הגדרות!$E$3)),TEXT('הדבקת לידים'!B1661,"0")),TRIM('הדבקת לידים'!B1661)))</f>
        <v/>
      </c>
      <c r="C1661" s="0" t="n">
        <f aca="false">IF(OR(A1661&lt;&gt;"",B1661&lt;&gt;""),1,0)</f>
        <v>0</v>
      </c>
      <c r="D1661" s="0" t="str">
        <f aca="false">IF(C1661=1,MOD(ABS(SIN(ROW()*12.9898+'הדבקת לידים'!$F$2*78.233+IFERROR(--RIGHT(A1661,6),LEN(A1661))*0.0137+IFERROR(--RIGHT(B1661,6),LEN(B1661))*0.0071))*43758.5453,1),"")</f>
        <v/>
      </c>
      <c r="E1661" s="0" t="str">
        <f aca="false">IF(C1661=1,INT(MOD(ABS(SIN(D1661*7919.123+ROW()*0.618+'הדבקת לידים'!$F$2*1.3))*43758.5453,1)*1000000)*10000+ROW(),"")</f>
        <v/>
      </c>
      <c r="F1661" s="0" t="str">
        <f aca="false">IF(E1661="","",RANK(E1661,$E$2:$E$5001,1))</f>
        <v/>
      </c>
      <c r="G1661" s="0" t="n">
        <f aca="false">IF(A1661="",0,IF(SUMPRODUCT(--($A$2:$A$5001=A1661))&gt;1,1,0))</f>
        <v>0</v>
      </c>
      <c r="H1661" s="0" t="n">
        <f aca="false">ROW()-1</f>
        <v>1660</v>
      </c>
      <c r="I1661" s="0" t="str">
        <f aca="false">IF(OR(הגדרות!$E$6=0,H1661&gt;הגדרות!$E$5),"",IF(H1661-1&lt;הגדרות!$E$8*(הגדרות!$E$7+1),INT((H1661-1)/(הגדרות!$E$7+1)),הגדרות!$E$8+INT((H1661-1-הגדרות!$E$8*(הגדרות!$E$7+1))/הגדרות!$E$7)))</f>
        <v/>
      </c>
      <c r="J1661" s="0" t="str">
        <f aca="false">IF(I1661="","",IF(H1661-1&lt;הגדרות!$E$8*(הגדרות!$E$7+1),MOD(H1661-1,הגדרות!$E$7+1),MOD(H1661-1-הגדרות!$E$8*(הגדרות!$E$7+1),הגדרות!$E$7)))</f>
        <v/>
      </c>
      <c r="K1661" s="0" t="str">
        <f aca="false">IF(I1661="","",J1661*הגדרות!$E$6+I1661+1)</f>
        <v/>
      </c>
      <c r="L1661" s="0" t="str">
        <f aca="false">IF(K1661="","",MATCH(K1661,$F$2:$F$5001,0))</f>
        <v/>
      </c>
      <c r="M1661" s="0" t="str">
        <f aca="false">IF(I1661="","",INDEX(הגדרות!$A$2:$A$21,MOD(I1661+הגדרות!$E$9,הגדרות!$E$6)+1))</f>
        <v/>
      </c>
    </row>
    <row r="1662" customFormat="false" ht="15" hidden="false" customHeight="false" outlineLevel="0" collapsed="false">
      <c r="A1662" s="0" t="str">
        <f aca="false">IF('הדבקת לידים'!A1662="","",IF(ISNUMBER('הדבקת לידים'!A1662),IF(הגדרות!$E$2&gt;0,TEXT('הדבקת לידים'!A1662,REPT("0",הגדרות!$E$2)),TEXT('הדבקת לידים'!A1662,"0")),TRIM('הדבקת לידים'!A1662)))</f>
        <v/>
      </c>
      <c r="B1662" s="0" t="str">
        <f aca="false">IF('הדבקת לידים'!B1662="","",IF(ISNUMBER('הדבקת לידים'!B1662),IF(הגדרות!$E$3&gt;0,TEXT('הדבקת לידים'!B1662,REPT("0",הגדרות!$E$3)),TEXT('הדבקת לידים'!B1662,"0")),TRIM('הדבקת לידים'!B1662)))</f>
        <v/>
      </c>
      <c r="C1662" s="0" t="n">
        <f aca="false">IF(OR(A1662&lt;&gt;"",B1662&lt;&gt;""),1,0)</f>
        <v>0</v>
      </c>
      <c r="D1662" s="0" t="str">
        <f aca="false">IF(C1662=1,MOD(ABS(SIN(ROW()*12.9898+'הדבקת לידים'!$F$2*78.233+IFERROR(--RIGHT(A1662,6),LEN(A1662))*0.0137+IFERROR(--RIGHT(B1662,6),LEN(B1662))*0.0071))*43758.5453,1),"")</f>
        <v/>
      </c>
      <c r="E1662" s="0" t="str">
        <f aca="false">IF(C1662=1,INT(MOD(ABS(SIN(D1662*7919.123+ROW()*0.618+'הדבקת לידים'!$F$2*1.3))*43758.5453,1)*1000000)*10000+ROW(),"")</f>
        <v/>
      </c>
      <c r="F1662" s="0" t="str">
        <f aca="false">IF(E1662="","",RANK(E1662,$E$2:$E$5001,1))</f>
        <v/>
      </c>
      <c r="G1662" s="0" t="n">
        <f aca="false">IF(A1662="",0,IF(SUMPRODUCT(--($A$2:$A$5001=A1662))&gt;1,1,0))</f>
        <v>0</v>
      </c>
      <c r="H1662" s="0" t="n">
        <f aca="false">ROW()-1</f>
        <v>1661</v>
      </c>
      <c r="I1662" s="0" t="str">
        <f aca="false">IF(OR(הגדרות!$E$6=0,H1662&gt;הגדרות!$E$5),"",IF(H1662-1&lt;הגדרות!$E$8*(הגדרות!$E$7+1),INT((H1662-1)/(הגדרות!$E$7+1)),הגדרות!$E$8+INT((H1662-1-הגדרות!$E$8*(הגדרות!$E$7+1))/הגדרות!$E$7)))</f>
        <v/>
      </c>
      <c r="J1662" s="0" t="str">
        <f aca="false">IF(I1662="","",IF(H1662-1&lt;הגדרות!$E$8*(הגדרות!$E$7+1),MOD(H1662-1,הגדרות!$E$7+1),MOD(H1662-1-הגדרות!$E$8*(הגדרות!$E$7+1),הגדרות!$E$7)))</f>
        <v/>
      </c>
      <c r="K1662" s="0" t="str">
        <f aca="false">IF(I1662="","",J1662*הגדרות!$E$6+I1662+1)</f>
        <v/>
      </c>
      <c r="L1662" s="0" t="str">
        <f aca="false">IF(K1662="","",MATCH(K1662,$F$2:$F$5001,0))</f>
        <v/>
      </c>
      <c r="M1662" s="0" t="str">
        <f aca="false">IF(I1662="","",INDEX(הגדרות!$A$2:$A$21,MOD(I1662+הגדרות!$E$9,הגדרות!$E$6)+1))</f>
        <v/>
      </c>
    </row>
    <row r="1663" customFormat="false" ht="15" hidden="false" customHeight="false" outlineLevel="0" collapsed="false">
      <c r="A1663" s="0" t="str">
        <f aca="false">IF('הדבקת לידים'!A1663="","",IF(ISNUMBER('הדבקת לידים'!A1663),IF(הגדרות!$E$2&gt;0,TEXT('הדבקת לידים'!A1663,REPT("0",הגדרות!$E$2)),TEXT('הדבקת לידים'!A1663,"0")),TRIM('הדבקת לידים'!A1663)))</f>
        <v/>
      </c>
      <c r="B1663" s="0" t="str">
        <f aca="false">IF('הדבקת לידים'!B1663="","",IF(ISNUMBER('הדבקת לידים'!B1663),IF(הגדרות!$E$3&gt;0,TEXT('הדבקת לידים'!B1663,REPT("0",הגדרות!$E$3)),TEXT('הדבקת לידים'!B1663,"0")),TRIM('הדבקת לידים'!B1663)))</f>
        <v/>
      </c>
      <c r="C1663" s="0" t="n">
        <f aca="false">IF(OR(A1663&lt;&gt;"",B1663&lt;&gt;""),1,0)</f>
        <v>0</v>
      </c>
      <c r="D1663" s="0" t="str">
        <f aca="false">IF(C1663=1,MOD(ABS(SIN(ROW()*12.9898+'הדבקת לידים'!$F$2*78.233+IFERROR(--RIGHT(A1663,6),LEN(A1663))*0.0137+IFERROR(--RIGHT(B1663,6),LEN(B1663))*0.0071))*43758.5453,1),"")</f>
        <v/>
      </c>
      <c r="E1663" s="0" t="str">
        <f aca="false">IF(C1663=1,INT(MOD(ABS(SIN(D1663*7919.123+ROW()*0.618+'הדבקת לידים'!$F$2*1.3))*43758.5453,1)*1000000)*10000+ROW(),"")</f>
        <v/>
      </c>
      <c r="F1663" s="0" t="str">
        <f aca="false">IF(E1663="","",RANK(E1663,$E$2:$E$5001,1))</f>
        <v/>
      </c>
      <c r="G1663" s="0" t="n">
        <f aca="false">IF(A1663="",0,IF(SUMPRODUCT(--($A$2:$A$5001=A1663))&gt;1,1,0))</f>
        <v>0</v>
      </c>
      <c r="H1663" s="0" t="n">
        <f aca="false">ROW()-1</f>
        <v>1662</v>
      </c>
      <c r="I1663" s="0" t="str">
        <f aca="false">IF(OR(הגדרות!$E$6=0,H1663&gt;הגדרות!$E$5),"",IF(H1663-1&lt;הגדרות!$E$8*(הגדרות!$E$7+1),INT((H1663-1)/(הגדרות!$E$7+1)),הגדרות!$E$8+INT((H1663-1-הגדרות!$E$8*(הגדרות!$E$7+1))/הגדרות!$E$7)))</f>
        <v/>
      </c>
      <c r="J1663" s="0" t="str">
        <f aca="false">IF(I1663="","",IF(H1663-1&lt;הגדרות!$E$8*(הגדרות!$E$7+1),MOD(H1663-1,הגדרות!$E$7+1),MOD(H1663-1-הגדרות!$E$8*(הגדרות!$E$7+1),הגדרות!$E$7)))</f>
        <v/>
      </c>
      <c r="K1663" s="0" t="str">
        <f aca="false">IF(I1663="","",J1663*הגדרות!$E$6+I1663+1)</f>
        <v/>
      </c>
      <c r="L1663" s="0" t="str">
        <f aca="false">IF(K1663="","",MATCH(K1663,$F$2:$F$5001,0))</f>
        <v/>
      </c>
      <c r="M1663" s="0" t="str">
        <f aca="false">IF(I1663="","",INDEX(הגדרות!$A$2:$A$21,MOD(I1663+הגדרות!$E$9,הגדרות!$E$6)+1))</f>
        <v/>
      </c>
    </row>
    <row r="1664" customFormat="false" ht="15" hidden="false" customHeight="false" outlineLevel="0" collapsed="false">
      <c r="A1664" s="0" t="str">
        <f aca="false">IF('הדבקת לידים'!A1664="","",IF(ISNUMBER('הדבקת לידים'!A1664),IF(הגדרות!$E$2&gt;0,TEXT('הדבקת לידים'!A1664,REPT("0",הגדרות!$E$2)),TEXT('הדבקת לידים'!A1664,"0")),TRIM('הדבקת לידים'!A1664)))</f>
        <v/>
      </c>
      <c r="B1664" s="0" t="str">
        <f aca="false">IF('הדבקת לידים'!B1664="","",IF(ISNUMBER('הדבקת לידים'!B1664),IF(הגדרות!$E$3&gt;0,TEXT('הדבקת לידים'!B1664,REPT("0",הגדרות!$E$3)),TEXT('הדבקת לידים'!B1664,"0")),TRIM('הדבקת לידים'!B1664)))</f>
        <v/>
      </c>
      <c r="C1664" s="0" t="n">
        <f aca="false">IF(OR(A1664&lt;&gt;"",B1664&lt;&gt;""),1,0)</f>
        <v>0</v>
      </c>
      <c r="D1664" s="0" t="str">
        <f aca="false">IF(C1664=1,MOD(ABS(SIN(ROW()*12.9898+'הדבקת לידים'!$F$2*78.233+IFERROR(--RIGHT(A1664,6),LEN(A1664))*0.0137+IFERROR(--RIGHT(B1664,6),LEN(B1664))*0.0071))*43758.5453,1),"")</f>
        <v/>
      </c>
      <c r="E1664" s="0" t="str">
        <f aca="false">IF(C1664=1,INT(MOD(ABS(SIN(D1664*7919.123+ROW()*0.618+'הדבקת לידים'!$F$2*1.3))*43758.5453,1)*1000000)*10000+ROW(),"")</f>
        <v/>
      </c>
      <c r="F1664" s="0" t="str">
        <f aca="false">IF(E1664="","",RANK(E1664,$E$2:$E$5001,1))</f>
        <v/>
      </c>
      <c r="G1664" s="0" t="n">
        <f aca="false">IF(A1664="",0,IF(SUMPRODUCT(--($A$2:$A$5001=A1664))&gt;1,1,0))</f>
        <v>0</v>
      </c>
      <c r="H1664" s="0" t="n">
        <f aca="false">ROW()-1</f>
        <v>1663</v>
      </c>
      <c r="I1664" s="0" t="str">
        <f aca="false">IF(OR(הגדרות!$E$6=0,H1664&gt;הגדרות!$E$5),"",IF(H1664-1&lt;הגדרות!$E$8*(הגדרות!$E$7+1),INT((H1664-1)/(הגדרות!$E$7+1)),הגדרות!$E$8+INT((H1664-1-הגדרות!$E$8*(הגדרות!$E$7+1))/הגדרות!$E$7)))</f>
        <v/>
      </c>
      <c r="J1664" s="0" t="str">
        <f aca="false">IF(I1664="","",IF(H1664-1&lt;הגדרות!$E$8*(הגדרות!$E$7+1),MOD(H1664-1,הגדרות!$E$7+1),MOD(H1664-1-הגדרות!$E$8*(הגדרות!$E$7+1),הגדרות!$E$7)))</f>
        <v/>
      </c>
      <c r="K1664" s="0" t="str">
        <f aca="false">IF(I1664="","",J1664*הגדרות!$E$6+I1664+1)</f>
        <v/>
      </c>
      <c r="L1664" s="0" t="str">
        <f aca="false">IF(K1664="","",MATCH(K1664,$F$2:$F$5001,0))</f>
        <v/>
      </c>
      <c r="M1664" s="0" t="str">
        <f aca="false">IF(I1664="","",INDEX(הגדרות!$A$2:$A$21,MOD(I1664+הגדרות!$E$9,הגדרות!$E$6)+1))</f>
        <v/>
      </c>
    </row>
    <row r="1665" customFormat="false" ht="15" hidden="false" customHeight="false" outlineLevel="0" collapsed="false">
      <c r="A1665" s="0" t="str">
        <f aca="false">IF('הדבקת לידים'!A1665="","",IF(ISNUMBER('הדבקת לידים'!A1665),IF(הגדרות!$E$2&gt;0,TEXT('הדבקת לידים'!A1665,REPT("0",הגדרות!$E$2)),TEXT('הדבקת לידים'!A1665,"0")),TRIM('הדבקת לידים'!A1665)))</f>
        <v/>
      </c>
      <c r="B1665" s="0" t="str">
        <f aca="false">IF('הדבקת לידים'!B1665="","",IF(ISNUMBER('הדבקת לידים'!B1665),IF(הגדרות!$E$3&gt;0,TEXT('הדבקת לידים'!B1665,REPT("0",הגדרות!$E$3)),TEXT('הדבקת לידים'!B1665,"0")),TRIM('הדבקת לידים'!B1665)))</f>
        <v/>
      </c>
      <c r="C1665" s="0" t="n">
        <f aca="false">IF(OR(A1665&lt;&gt;"",B1665&lt;&gt;""),1,0)</f>
        <v>0</v>
      </c>
      <c r="D1665" s="0" t="str">
        <f aca="false">IF(C1665=1,MOD(ABS(SIN(ROW()*12.9898+'הדבקת לידים'!$F$2*78.233+IFERROR(--RIGHT(A1665,6),LEN(A1665))*0.0137+IFERROR(--RIGHT(B1665,6),LEN(B1665))*0.0071))*43758.5453,1),"")</f>
        <v/>
      </c>
      <c r="E1665" s="0" t="str">
        <f aca="false">IF(C1665=1,INT(MOD(ABS(SIN(D1665*7919.123+ROW()*0.618+'הדבקת לידים'!$F$2*1.3))*43758.5453,1)*1000000)*10000+ROW(),"")</f>
        <v/>
      </c>
      <c r="F1665" s="0" t="str">
        <f aca="false">IF(E1665="","",RANK(E1665,$E$2:$E$5001,1))</f>
        <v/>
      </c>
      <c r="G1665" s="0" t="n">
        <f aca="false">IF(A1665="",0,IF(SUMPRODUCT(--($A$2:$A$5001=A1665))&gt;1,1,0))</f>
        <v>0</v>
      </c>
      <c r="H1665" s="0" t="n">
        <f aca="false">ROW()-1</f>
        <v>1664</v>
      </c>
      <c r="I1665" s="0" t="str">
        <f aca="false">IF(OR(הגדרות!$E$6=0,H1665&gt;הגדרות!$E$5),"",IF(H1665-1&lt;הגדרות!$E$8*(הגדרות!$E$7+1),INT((H1665-1)/(הגדרות!$E$7+1)),הגדרות!$E$8+INT((H1665-1-הגדרות!$E$8*(הגדרות!$E$7+1))/הגדרות!$E$7)))</f>
        <v/>
      </c>
      <c r="J1665" s="0" t="str">
        <f aca="false">IF(I1665="","",IF(H1665-1&lt;הגדרות!$E$8*(הגדרות!$E$7+1),MOD(H1665-1,הגדרות!$E$7+1),MOD(H1665-1-הגדרות!$E$8*(הגדרות!$E$7+1),הגדרות!$E$7)))</f>
        <v/>
      </c>
      <c r="K1665" s="0" t="str">
        <f aca="false">IF(I1665="","",J1665*הגדרות!$E$6+I1665+1)</f>
        <v/>
      </c>
      <c r="L1665" s="0" t="str">
        <f aca="false">IF(K1665="","",MATCH(K1665,$F$2:$F$5001,0))</f>
        <v/>
      </c>
      <c r="M1665" s="0" t="str">
        <f aca="false">IF(I1665="","",INDEX(הגדרות!$A$2:$A$21,MOD(I1665+הגדרות!$E$9,הגדרות!$E$6)+1))</f>
        <v/>
      </c>
    </row>
    <row r="1666" customFormat="false" ht="15" hidden="false" customHeight="false" outlineLevel="0" collapsed="false">
      <c r="A1666" s="0" t="str">
        <f aca="false">IF('הדבקת לידים'!A1666="","",IF(ISNUMBER('הדבקת לידים'!A1666),IF(הגדרות!$E$2&gt;0,TEXT('הדבקת לידים'!A1666,REPT("0",הגדרות!$E$2)),TEXT('הדבקת לידים'!A1666,"0")),TRIM('הדבקת לידים'!A1666)))</f>
        <v/>
      </c>
      <c r="B1666" s="0" t="str">
        <f aca="false">IF('הדבקת לידים'!B1666="","",IF(ISNUMBER('הדבקת לידים'!B1666),IF(הגדרות!$E$3&gt;0,TEXT('הדבקת לידים'!B1666,REPT("0",הגדרות!$E$3)),TEXT('הדבקת לידים'!B1666,"0")),TRIM('הדבקת לידים'!B1666)))</f>
        <v/>
      </c>
      <c r="C1666" s="0" t="n">
        <f aca="false">IF(OR(A1666&lt;&gt;"",B1666&lt;&gt;""),1,0)</f>
        <v>0</v>
      </c>
      <c r="D1666" s="0" t="str">
        <f aca="false">IF(C1666=1,MOD(ABS(SIN(ROW()*12.9898+'הדבקת לידים'!$F$2*78.233+IFERROR(--RIGHT(A1666,6),LEN(A1666))*0.0137+IFERROR(--RIGHT(B1666,6),LEN(B1666))*0.0071))*43758.5453,1),"")</f>
        <v/>
      </c>
      <c r="E1666" s="0" t="str">
        <f aca="false">IF(C1666=1,INT(MOD(ABS(SIN(D1666*7919.123+ROW()*0.618+'הדבקת לידים'!$F$2*1.3))*43758.5453,1)*1000000)*10000+ROW(),"")</f>
        <v/>
      </c>
      <c r="F1666" s="0" t="str">
        <f aca="false">IF(E1666="","",RANK(E1666,$E$2:$E$5001,1))</f>
        <v/>
      </c>
      <c r="G1666" s="0" t="n">
        <f aca="false">IF(A1666="",0,IF(SUMPRODUCT(--($A$2:$A$5001=A1666))&gt;1,1,0))</f>
        <v>0</v>
      </c>
      <c r="H1666" s="0" t="n">
        <f aca="false">ROW()-1</f>
        <v>1665</v>
      </c>
      <c r="I1666" s="0" t="str">
        <f aca="false">IF(OR(הגדרות!$E$6=0,H1666&gt;הגדרות!$E$5),"",IF(H1666-1&lt;הגדרות!$E$8*(הגדרות!$E$7+1),INT((H1666-1)/(הגדרות!$E$7+1)),הגדרות!$E$8+INT((H1666-1-הגדרות!$E$8*(הגדרות!$E$7+1))/הגדרות!$E$7)))</f>
        <v/>
      </c>
      <c r="J1666" s="0" t="str">
        <f aca="false">IF(I1666="","",IF(H1666-1&lt;הגדרות!$E$8*(הגדרות!$E$7+1),MOD(H1666-1,הגדרות!$E$7+1),MOD(H1666-1-הגדרות!$E$8*(הגדרות!$E$7+1),הגדרות!$E$7)))</f>
        <v/>
      </c>
      <c r="K1666" s="0" t="str">
        <f aca="false">IF(I1666="","",J1666*הגדרות!$E$6+I1666+1)</f>
        <v/>
      </c>
      <c r="L1666" s="0" t="str">
        <f aca="false">IF(K1666="","",MATCH(K1666,$F$2:$F$5001,0))</f>
        <v/>
      </c>
      <c r="M1666" s="0" t="str">
        <f aca="false">IF(I1666="","",INDEX(הגדרות!$A$2:$A$21,MOD(I1666+הגדרות!$E$9,הגדרות!$E$6)+1))</f>
        <v/>
      </c>
    </row>
    <row r="1667" customFormat="false" ht="15" hidden="false" customHeight="false" outlineLevel="0" collapsed="false">
      <c r="A1667" s="0" t="str">
        <f aca="false">IF('הדבקת לידים'!A1667="","",IF(ISNUMBER('הדבקת לידים'!A1667),IF(הגדרות!$E$2&gt;0,TEXT('הדבקת לידים'!A1667,REPT("0",הגדרות!$E$2)),TEXT('הדבקת לידים'!A1667,"0")),TRIM('הדבקת לידים'!A1667)))</f>
        <v/>
      </c>
      <c r="B1667" s="0" t="str">
        <f aca="false">IF('הדבקת לידים'!B1667="","",IF(ISNUMBER('הדבקת לידים'!B1667),IF(הגדרות!$E$3&gt;0,TEXT('הדבקת לידים'!B1667,REPT("0",הגדרות!$E$3)),TEXT('הדבקת לידים'!B1667,"0")),TRIM('הדבקת לידים'!B1667)))</f>
        <v/>
      </c>
      <c r="C1667" s="0" t="n">
        <f aca="false">IF(OR(A1667&lt;&gt;"",B1667&lt;&gt;""),1,0)</f>
        <v>0</v>
      </c>
      <c r="D1667" s="0" t="str">
        <f aca="false">IF(C1667=1,MOD(ABS(SIN(ROW()*12.9898+'הדבקת לידים'!$F$2*78.233+IFERROR(--RIGHT(A1667,6),LEN(A1667))*0.0137+IFERROR(--RIGHT(B1667,6),LEN(B1667))*0.0071))*43758.5453,1),"")</f>
        <v/>
      </c>
      <c r="E1667" s="0" t="str">
        <f aca="false">IF(C1667=1,INT(MOD(ABS(SIN(D1667*7919.123+ROW()*0.618+'הדבקת לידים'!$F$2*1.3))*43758.5453,1)*1000000)*10000+ROW(),"")</f>
        <v/>
      </c>
      <c r="F1667" s="0" t="str">
        <f aca="false">IF(E1667="","",RANK(E1667,$E$2:$E$5001,1))</f>
        <v/>
      </c>
      <c r="G1667" s="0" t="n">
        <f aca="false">IF(A1667="",0,IF(SUMPRODUCT(--($A$2:$A$5001=A1667))&gt;1,1,0))</f>
        <v>0</v>
      </c>
      <c r="H1667" s="0" t="n">
        <f aca="false">ROW()-1</f>
        <v>1666</v>
      </c>
      <c r="I1667" s="0" t="str">
        <f aca="false">IF(OR(הגדרות!$E$6=0,H1667&gt;הגדרות!$E$5),"",IF(H1667-1&lt;הגדרות!$E$8*(הגדרות!$E$7+1),INT((H1667-1)/(הגדרות!$E$7+1)),הגדרות!$E$8+INT((H1667-1-הגדרות!$E$8*(הגדרות!$E$7+1))/הגדרות!$E$7)))</f>
        <v/>
      </c>
      <c r="J1667" s="0" t="str">
        <f aca="false">IF(I1667="","",IF(H1667-1&lt;הגדרות!$E$8*(הגדרות!$E$7+1),MOD(H1667-1,הגדרות!$E$7+1),MOD(H1667-1-הגדרות!$E$8*(הגדרות!$E$7+1),הגדרות!$E$7)))</f>
        <v/>
      </c>
      <c r="K1667" s="0" t="str">
        <f aca="false">IF(I1667="","",J1667*הגדרות!$E$6+I1667+1)</f>
        <v/>
      </c>
      <c r="L1667" s="0" t="str">
        <f aca="false">IF(K1667="","",MATCH(K1667,$F$2:$F$5001,0))</f>
        <v/>
      </c>
      <c r="M1667" s="0" t="str">
        <f aca="false">IF(I1667="","",INDEX(הגדרות!$A$2:$A$21,MOD(I1667+הגדרות!$E$9,הגדרות!$E$6)+1))</f>
        <v/>
      </c>
    </row>
    <row r="1668" customFormat="false" ht="15" hidden="false" customHeight="false" outlineLevel="0" collapsed="false">
      <c r="A1668" s="0" t="str">
        <f aca="false">IF('הדבקת לידים'!A1668="","",IF(ISNUMBER('הדבקת לידים'!A1668),IF(הגדרות!$E$2&gt;0,TEXT('הדבקת לידים'!A1668,REPT("0",הגדרות!$E$2)),TEXT('הדבקת לידים'!A1668,"0")),TRIM('הדבקת לידים'!A1668)))</f>
        <v/>
      </c>
      <c r="B1668" s="0" t="str">
        <f aca="false">IF('הדבקת לידים'!B1668="","",IF(ISNUMBER('הדבקת לידים'!B1668),IF(הגדרות!$E$3&gt;0,TEXT('הדבקת לידים'!B1668,REPT("0",הגדרות!$E$3)),TEXT('הדבקת לידים'!B1668,"0")),TRIM('הדבקת לידים'!B1668)))</f>
        <v/>
      </c>
      <c r="C1668" s="0" t="n">
        <f aca="false">IF(OR(A1668&lt;&gt;"",B1668&lt;&gt;""),1,0)</f>
        <v>0</v>
      </c>
      <c r="D1668" s="0" t="str">
        <f aca="false">IF(C1668=1,MOD(ABS(SIN(ROW()*12.9898+'הדבקת לידים'!$F$2*78.233+IFERROR(--RIGHT(A1668,6),LEN(A1668))*0.0137+IFERROR(--RIGHT(B1668,6),LEN(B1668))*0.0071))*43758.5453,1),"")</f>
        <v/>
      </c>
      <c r="E1668" s="0" t="str">
        <f aca="false">IF(C1668=1,INT(MOD(ABS(SIN(D1668*7919.123+ROW()*0.618+'הדבקת לידים'!$F$2*1.3))*43758.5453,1)*1000000)*10000+ROW(),"")</f>
        <v/>
      </c>
      <c r="F1668" s="0" t="str">
        <f aca="false">IF(E1668="","",RANK(E1668,$E$2:$E$5001,1))</f>
        <v/>
      </c>
      <c r="G1668" s="0" t="n">
        <f aca="false">IF(A1668="",0,IF(SUMPRODUCT(--($A$2:$A$5001=A1668))&gt;1,1,0))</f>
        <v>0</v>
      </c>
      <c r="H1668" s="0" t="n">
        <f aca="false">ROW()-1</f>
        <v>1667</v>
      </c>
      <c r="I1668" s="0" t="str">
        <f aca="false">IF(OR(הגדרות!$E$6=0,H1668&gt;הגדרות!$E$5),"",IF(H1668-1&lt;הגדרות!$E$8*(הגדרות!$E$7+1),INT((H1668-1)/(הגדרות!$E$7+1)),הגדרות!$E$8+INT((H1668-1-הגדרות!$E$8*(הגדרות!$E$7+1))/הגדרות!$E$7)))</f>
        <v/>
      </c>
      <c r="J1668" s="0" t="str">
        <f aca="false">IF(I1668="","",IF(H1668-1&lt;הגדרות!$E$8*(הגדרות!$E$7+1),MOD(H1668-1,הגדרות!$E$7+1),MOD(H1668-1-הגדרות!$E$8*(הגדרות!$E$7+1),הגדרות!$E$7)))</f>
        <v/>
      </c>
      <c r="K1668" s="0" t="str">
        <f aca="false">IF(I1668="","",J1668*הגדרות!$E$6+I1668+1)</f>
        <v/>
      </c>
      <c r="L1668" s="0" t="str">
        <f aca="false">IF(K1668="","",MATCH(K1668,$F$2:$F$5001,0))</f>
        <v/>
      </c>
      <c r="M1668" s="0" t="str">
        <f aca="false">IF(I1668="","",INDEX(הגדרות!$A$2:$A$21,MOD(I1668+הגדרות!$E$9,הגדרות!$E$6)+1))</f>
        <v/>
      </c>
    </row>
    <row r="1669" customFormat="false" ht="15" hidden="false" customHeight="false" outlineLevel="0" collapsed="false">
      <c r="A1669" s="0" t="str">
        <f aca="false">IF('הדבקת לידים'!A1669="","",IF(ISNUMBER('הדבקת לידים'!A1669),IF(הגדרות!$E$2&gt;0,TEXT('הדבקת לידים'!A1669,REPT("0",הגדרות!$E$2)),TEXT('הדבקת לידים'!A1669,"0")),TRIM('הדבקת לידים'!A1669)))</f>
        <v/>
      </c>
      <c r="B1669" s="0" t="str">
        <f aca="false">IF('הדבקת לידים'!B1669="","",IF(ISNUMBER('הדבקת לידים'!B1669),IF(הגדרות!$E$3&gt;0,TEXT('הדבקת לידים'!B1669,REPT("0",הגדרות!$E$3)),TEXT('הדבקת לידים'!B1669,"0")),TRIM('הדבקת לידים'!B1669)))</f>
        <v/>
      </c>
      <c r="C1669" s="0" t="n">
        <f aca="false">IF(OR(A1669&lt;&gt;"",B1669&lt;&gt;""),1,0)</f>
        <v>0</v>
      </c>
      <c r="D1669" s="0" t="str">
        <f aca="false">IF(C1669=1,MOD(ABS(SIN(ROW()*12.9898+'הדבקת לידים'!$F$2*78.233+IFERROR(--RIGHT(A1669,6),LEN(A1669))*0.0137+IFERROR(--RIGHT(B1669,6),LEN(B1669))*0.0071))*43758.5453,1),"")</f>
        <v/>
      </c>
      <c r="E1669" s="0" t="str">
        <f aca="false">IF(C1669=1,INT(MOD(ABS(SIN(D1669*7919.123+ROW()*0.618+'הדבקת לידים'!$F$2*1.3))*43758.5453,1)*1000000)*10000+ROW(),"")</f>
        <v/>
      </c>
      <c r="F1669" s="0" t="str">
        <f aca="false">IF(E1669="","",RANK(E1669,$E$2:$E$5001,1))</f>
        <v/>
      </c>
      <c r="G1669" s="0" t="n">
        <f aca="false">IF(A1669="",0,IF(SUMPRODUCT(--($A$2:$A$5001=A1669))&gt;1,1,0))</f>
        <v>0</v>
      </c>
      <c r="H1669" s="0" t="n">
        <f aca="false">ROW()-1</f>
        <v>1668</v>
      </c>
      <c r="I1669" s="0" t="str">
        <f aca="false">IF(OR(הגדרות!$E$6=0,H1669&gt;הגדרות!$E$5),"",IF(H1669-1&lt;הגדרות!$E$8*(הגדרות!$E$7+1),INT((H1669-1)/(הגדרות!$E$7+1)),הגדרות!$E$8+INT((H1669-1-הגדרות!$E$8*(הגדרות!$E$7+1))/הגדרות!$E$7)))</f>
        <v/>
      </c>
      <c r="J1669" s="0" t="str">
        <f aca="false">IF(I1669="","",IF(H1669-1&lt;הגדרות!$E$8*(הגדרות!$E$7+1),MOD(H1669-1,הגדרות!$E$7+1),MOD(H1669-1-הגדרות!$E$8*(הגדרות!$E$7+1),הגדרות!$E$7)))</f>
        <v/>
      </c>
      <c r="K1669" s="0" t="str">
        <f aca="false">IF(I1669="","",J1669*הגדרות!$E$6+I1669+1)</f>
        <v/>
      </c>
      <c r="L1669" s="0" t="str">
        <f aca="false">IF(K1669="","",MATCH(K1669,$F$2:$F$5001,0))</f>
        <v/>
      </c>
      <c r="M1669" s="0" t="str">
        <f aca="false">IF(I1669="","",INDEX(הגדרות!$A$2:$A$21,MOD(I1669+הגדרות!$E$9,הגדרות!$E$6)+1))</f>
        <v/>
      </c>
    </row>
    <row r="1670" customFormat="false" ht="15" hidden="false" customHeight="false" outlineLevel="0" collapsed="false">
      <c r="A1670" s="0" t="str">
        <f aca="false">IF('הדבקת לידים'!A1670="","",IF(ISNUMBER('הדבקת לידים'!A1670),IF(הגדרות!$E$2&gt;0,TEXT('הדבקת לידים'!A1670,REPT("0",הגדרות!$E$2)),TEXT('הדבקת לידים'!A1670,"0")),TRIM('הדבקת לידים'!A1670)))</f>
        <v/>
      </c>
      <c r="B1670" s="0" t="str">
        <f aca="false">IF('הדבקת לידים'!B1670="","",IF(ISNUMBER('הדבקת לידים'!B1670),IF(הגדרות!$E$3&gt;0,TEXT('הדבקת לידים'!B1670,REPT("0",הגדרות!$E$3)),TEXT('הדבקת לידים'!B1670,"0")),TRIM('הדבקת לידים'!B1670)))</f>
        <v/>
      </c>
      <c r="C1670" s="0" t="n">
        <f aca="false">IF(OR(A1670&lt;&gt;"",B1670&lt;&gt;""),1,0)</f>
        <v>0</v>
      </c>
      <c r="D1670" s="0" t="str">
        <f aca="false">IF(C1670=1,MOD(ABS(SIN(ROW()*12.9898+'הדבקת לידים'!$F$2*78.233+IFERROR(--RIGHT(A1670,6),LEN(A1670))*0.0137+IFERROR(--RIGHT(B1670,6),LEN(B1670))*0.0071))*43758.5453,1),"")</f>
        <v/>
      </c>
      <c r="E1670" s="0" t="str">
        <f aca="false">IF(C1670=1,INT(MOD(ABS(SIN(D1670*7919.123+ROW()*0.618+'הדבקת לידים'!$F$2*1.3))*43758.5453,1)*1000000)*10000+ROW(),"")</f>
        <v/>
      </c>
      <c r="F1670" s="0" t="str">
        <f aca="false">IF(E1670="","",RANK(E1670,$E$2:$E$5001,1))</f>
        <v/>
      </c>
      <c r="G1670" s="0" t="n">
        <f aca="false">IF(A1670="",0,IF(SUMPRODUCT(--($A$2:$A$5001=A1670))&gt;1,1,0))</f>
        <v>0</v>
      </c>
      <c r="H1670" s="0" t="n">
        <f aca="false">ROW()-1</f>
        <v>1669</v>
      </c>
      <c r="I1670" s="0" t="str">
        <f aca="false">IF(OR(הגדרות!$E$6=0,H1670&gt;הגדרות!$E$5),"",IF(H1670-1&lt;הגדרות!$E$8*(הגדרות!$E$7+1),INT((H1670-1)/(הגדרות!$E$7+1)),הגדרות!$E$8+INT((H1670-1-הגדרות!$E$8*(הגדרות!$E$7+1))/הגדרות!$E$7)))</f>
        <v/>
      </c>
      <c r="J1670" s="0" t="str">
        <f aca="false">IF(I1670="","",IF(H1670-1&lt;הגדרות!$E$8*(הגדרות!$E$7+1),MOD(H1670-1,הגדרות!$E$7+1),MOD(H1670-1-הגדרות!$E$8*(הגדרות!$E$7+1),הגדרות!$E$7)))</f>
        <v/>
      </c>
      <c r="K1670" s="0" t="str">
        <f aca="false">IF(I1670="","",J1670*הגדרות!$E$6+I1670+1)</f>
        <v/>
      </c>
      <c r="L1670" s="0" t="str">
        <f aca="false">IF(K1670="","",MATCH(K1670,$F$2:$F$5001,0))</f>
        <v/>
      </c>
      <c r="M1670" s="0" t="str">
        <f aca="false">IF(I1670="","",INDEX(הגדרות!$A$2:$A$21,MOD(I1670+הגדרות!$E$9,הגדרות!$E$6)+1))</f>
        <v/>
      </c>
    </row>
    <row r="1671" customFormat="false" ht="15" hidden="false" customHeight="false" outlineLevel="0" collapsed="false">
      <c r="A1671" s="0" t="str">
        <f aca="false">IF('הדבקת לידים'!A1671="","",IF(ISNUMBER('הדבקת לידים'!A1671),IF(הגדרות!$E$2&gt;0,TEXT('הדבקת לידים'!A1671,REPT("0",הגדרות!$E$2)),TEXT('הדבקת לידים'!A1671,"0")),TRIM('הדבקת לידים'!A1671)))</f>
        <v/>
      </c>
      <c r="B1671" s="0" t="str">
        <f aca="false">IF('הדבקת לידים'!B1671="","",IF(ISNUMBER('הדבקת לידים'!B1671),IF(הגדרות!$E$3&gt;0,TEXT('הדבקת לידים'!B1671,REPT("0",הגדרות!$E$3)),TEXT('הדבקת לידים'!B1671,"0")),TRIM('הדבקת לידים'!B1671)))</f>
        <v/>
      </c>
      <c r="C1671" s="0" t="n">
        <f aca="false">IF(OR(A1671&lt;&gt;"",B1671&lt;&gt;""),1,0)</f>
        <v>0</v>
      </c>
      <c r="D1671" s="0" t="str">
        <f aca="false">IF(C1671=1,MOD(ABS(SIN(ROW()*12.9898+'הדבקת לידים'!$F$2*78.233+IFERROR(--RIGHT(A1671,6),LEN(A1671))*0.0137+IFERROR(--RIGHT(B1671,6),LEN(B1671))*0.0071))*43758.5453,1),"")</f>
        <v/>
      </c>
      <c r="E1671" s="0" t="str">
        <f aca="false">IF(C1671=1,INT(MOD(ABS(SIN(D1671*7919.123+ROW()*0.618+'הדבקת לידים'!$F$2*1.3))*43758.5453,1)*1000000)*10000+ROW(),"")</f>
        <v/>
      </c>
      <c r="F1671" s="0" t="str">
        <f aca="false">IF(E1671="","",RANK(E1671,$E$2:$E$5001,1))</f>
        <v/>
      </c>
      <c r="G1671" s="0" t="n">
        <f aca="false">IF(A1671="",0,IF(SUMPRODUCT(--($A$2:$A$5001=A1671))&gt;1,1,0))</f>
        <v>0</v>
      </c>
      <c r="H1671" s="0" t="n">
        <f aca="false">ROW()-1</f>
        <v>1670</v>
      </c>
      <c r="I1671" s="0" t="str">
        <f aca="false">IF(OR(הגדרות!$E$6=0,H1671&gt;הגדרות!$E$5),"",IF(H1671-1&lt;הגדרות!$E$8*(הגדרות!$E$7+1),INT((H1671-1)/(הגדרות!$E$7+1)),הגדרות!$E$8+INT((H1671-1-הגדרות!$E$8*(הגדרות!$E$7+1))/הגדרות!$E$7)))</f>
        <v/>
      </c>
      <c r="J1671" s="0" t="str">
        <f aca="false">IF(I1671="","",IF(H1671-1&lt;הגדרות!$E$8*(הגדרות!$E$7+1),MOD(H1671-1,הגדרות!$E$7+1),MOD(H1671-1-הגדרות!$E$8*(הגדרות!$E$7+1),הגדרות!$E$7)))</f>
        <v/>
      </c>
      <c r="K1671" s="0" t="str">
        <f aca="false">IF(I1671="","",J1671*הגדרות!$E$6+I1671+1)</f>
        <v/>
      </c>
      <c r="L1671" s="0" t="str">
        <f aca="false">IF(K1671="","",MATCH(K1671,$F$2:$F$5001,0))</f>
        <v/>
      </c>
      <c r="M1671" s="0" t="str">
        <f aca="false">IF(I1671="","",INDEX(הגדרות!$A$2:$A$21,MOD(I1671+הגדרות!$E$9,הגדרות!$E$6)+1))</f>
        <v/>
      </c>
    </row>
    <row r="1672" customFormat="false" ht="15" hidden="false" customHeight="false" outlineLevel="0" collapsed="false">
      <c r="A1672" s="0" t="str">
        <f aca="false">IF('הדבקת לידים'!A1672="","",IF(ISNUMBER('הדבקת לידים'!A1672),IF(הגדרות!$E$2&gt;0,TEXT('הדבקת לידים'!A1672,REPT("0",הגדרות!$E$2)),TEXT('הדבקת לידים'!A1672,"0")),TRIM('הדבקת לידים'!A1672)))</f>
        <v/>
      </c>
      <c r="B1672" s="0" t="str">
        <f aca="false">IF('הדבקת לידים'!B1672="","",IF(ISNUMBER('הדבקת לידים'!B1672),IF(הגדרות!$E$3&gt;0,TEXT('הדבקת לידים'!B1672,REPT("0",הגדרות!$E$3)),TEXT('הדבקת לידים'!B1672,"0")),TRIM('הדבקת לידים'!B1672)))</f>
        <v/>
      </c>
      <c r="C1672" s="0" t="n">
        <f aca="false">IF(OR(A1672&lt;&gt;"",B1672&lt;&gt;""),1,0)</f>
        <v>0</v>
      </c>
      <c r="D1672" s="0" t="str">
        <f aca="false">IF(C1672=1,MOD(ABS(SIN(ROW()*12.9898+'הדבקת לידים'!$F$2*78.233+IFERROR(--RIGHT(A1672,6),LEN(A1672))*0.0137+IFERROR(--RIGHT(B1672,6),LEN(B1672))*0.0071))*43758.5453,1),"")</f>
        <v/>
      </c>
      <c r="E1672" s="0" t="str">
        <f aca="false">IF(C1672=1,INT(MOD(ABS(SIN(D1672*7919.123+ROW()*0.618+'הדבקת לידים'!$F$2*1.3))*43758.5453,1)*1000000)*10000+ROW(),"")</f>
        <v/>
      </c>
      <c r="F1672" s="0" t="str">
        <f aca="false">IF(E1672="","",RANK(E1672,$E$2:$E$5001,1))</f>
        <v/>
      </c>
      <c r="G1672" s="0" t="n">
        <f aca="false">IF(A1672="",0,IF(SUMPRODUCT(--($A$2:$A$5001=A1672))&gt;1,1,0))</f>
        <v>0</v>
      </c>
      <c r="H1672" s="0" t="n">
        <f aca="false">ROW()-1</f>
        <v>1671</v>
      </c>
      <c r="I1672" s="0" t="str">
        <f aca="false">IF(OR(הגדרות!$E$6=0,H1672&gt;הגדרות!$E$5),"",IF(H1672-1&lt;הגדרות!$E$8*(הגדרות!$E$7+1),INT((H1672-1)/(הגדרות!$E$7+1)),הגדרות!$E$8+INT((H1672-1-הגדרות!$E$8*(הגדרות!$E$7+1))/הגדרות!$E$7)))</f>
        <v/>
      </c>
      <c r="J1672" s="0" t="str">
        <f aca="false">IF(I1672="","",IF(H1672-1&lt;הגדרות!$E$8*(הגדרות!$E$7+1),MOD(H1672-1,הגדרות!$E$7+1),MOD(H1672-1-הגדרות!$E$8*(הגדרות!$E$7+1),הגדרות!$E$7)))</f>
        <v/>
      </c>
      <c r="K1672" s="0" t="str">
        <f aca="false">IF(I1672="","",J1672*הגדרות!$E$6+I1672+1)</f>
        <v/>
      </c>
      <c r="L1672" s="0" t="str">
        <f aca="false">IF(K1672="","",MATCH(K1672,$F$2:$F$5001,0))</f>
        <v/>
      </c>
      <c r="M1672" s="0" t="str">
        <f aca="false">IF(I1672="","",INDEX(הגדרות!$A$2:$A$21,MOD(I1672+הגדרות!$E$9,הגדרות!$E$6)+1))</f>
        <v/>
      </c>
    </row>
    <row r="1673" customFormat="false" ht="15" hidden="false" customHeight="false" outlineLevel="0" collapsed="false">
      <c r="A1673" s="0" t="str">
        <f aca="false">IF('הדבקת לידים'!A1673="","",IF(ISNUMBER('הדבקת לידים'!A1673),IF(הגדרות!$E$2&gt;0,TEXT('הדבקת לידים'!A1673,REPT("0",הגדרות!$E$2)),TEXT('הדבקת לידים'!A1673,"0")),TRIM('הדבקת לידים'!A1673)))</f>
        <v/>
      </c>
      <c r="B1673" s="0" t="str">
        <f aca="false">IF('הדבקת לידים'!B1673="","",IF(ISNUMBER('הדבקת לידים'!B1673),IF(הגדרות!$E$3&gt;0,TEXT('הדבקת לידים'!B1673,REPT("0",הגדרות!$E$3)),TEXT('הדבקת לידים'!B1673,"0")),TRIM('הדבקת לידים'!B1673)))</f>
        <v/>
      </c>
      <c r="C1673" s="0" t="n">
        <f aca="false">IF(OR(A1673&lt;&gt;"",B1673&lt;&gt;""),1,0)</f>
        <v>0</v>
      </c>
      <c r="D1673" s="0" t="str">
        <f aca="false">IF(C1673=1,MOD(ABS(SIN(ROW()*12.9898+'הדבקת לידים'!$F$2*78.233+IFERROR(--RIGHT(A1673,6),LEN(A1673))*0.0137+IFERROR(--RIGHT(B1673,6),LEN(B1673))*0.0071))*43758.5453,1),"")</f>
        <v/>
      </c>
      <c r="E1673" s="0" t="str">
        <f aca="false">IF(C1673=1,INT(MOD(ABS(SIN(D1673*7919.123+ROW()*0.618+'הדבקת לידים'!$F$2*1.3))*43758.5453,1)*1000000)*10000+ROW(),"")</f>
        <v/>
      </c>
      <c r="F1673" s="0" t="str">
        <f aca="false">IF(E1673="","",RANK(E1673,$E$2:$E$5001,1))</f>
        <v/>
      </c>
      <c r="G1673" s="0" t="n">
        <f aca="false">IF(A1673="",0,IF(SUMPRODUCT(--($A$2:$A$5001=A1673))&gt;1,1,0))</f>
        <v>0</v>
      </c>
      <c r="H1673" s="0" t="n">
        <f aca="false">ROW()-1</f>
        <v>1672</v>
      </c>
      <c r="I1673" s="0" t="str">
        <f aca="false">IF(OR(הגדרות!$E$6=0,H1673&gt;הגדרות!$E$5),"",IF(H1673-1&lt;הגדרות!$E$8*(הגדרות!$E$7+1),INT((H1673-1)/(הגדרות!$E$7+1)),הגדרות!$E$8+INT((H1673-1-הגדרות!$E$8*(הגדרות!$E$7+1))/הגדרות!$E$7)))</f>
        <v/>
      </c>
      <c r="J1673" s="0" t="str">
        <f aca="false">IF(I1673="","",IF(H1673-1&lt;הגדרות!$E$8*(הגדרות!$E$7+1),MOD(H1673-1,הגדרות!$E$7+1),MOD(H1673-1-הגדרות!$E$8*(הגדרות!$E$7+1),הגדרות!$E$7)))</f>
        <v/>
      </c>
      <c r="K1673" s="0" t="str">
        <f aca="false">IF(I1673="","",J1673*הגדרות!$E$6+I1673+1)</f>
        <v/>
      </c>
      <c r="L1673" s="0" t="str">
        <f aca="false">IF(K1673="","",MATCH(K1673,$F$2:$F$5001,0))</f>
        <v/>
      </c>
      <c r="M1673" s="0" t="str">
        <f aca="false">IF(I1673="","",INDEX(הגדרות!$A$2:$A$21,MOD(I1673+הגדרות!$E$9,הגדרות!$E$6)+1))</f>
        <v/>
      </c>
    </row>
    <row r="1674" customFormat="false" ht="15" hidden="false" customHeight="false" outlineLevel="0" collapsed="false">
      <c r="A1674" s="0" t="str">
        <f aca="false">IF('הדבקת לידים'!A1674="","",IF(ISNUMBER('הדבקת לידים'!A1674),IF(הגדרות!$E$2&gt;0,TEXT('הדבקת לידים'!A1674,REPT("0",הגדרות!$E$2)),TEXT('הדבקת לידים'!A1674,"0")),TRIM('הדבקת לידים'!A1674)))</f>
        <v/>
      </c>
      <c r="B1674" s="0" t="str">
        <f aca="false">IF('הדבקת לידים'!B1674="","",IF(ISNUMBER('הדבקת לידים'!B1674),IF(הגדרות!$E$3&gt;0,TEXT('הדבקת לידים'!B1674,REPT("0",הגדרות!$E$3)),TEXT('הדבקת לידים'!B1674,"0")),TRIM('הדבקת לידים'!B1674)))</f>
        <v/>
      </c>
      <c r="C1674" s="0" t="n">
        <f aca="false">IF(OR(A1674&lt;&gt;"",B1674&lt;&gt;""),1,0)</f>
        <v>0</v>
      </c>
      <c r="D1674" s="0" t="str">
        <f aca="false">IF(C1674=1,MOD(ABS(SIN(ROW()*12.9898+'הדבקת לידים'!$F$2*78.233+IFERROR(--RIGHT(A1674,6),LEN(A1674))*0.0137+IFERROR(--RIGHT(B1674,6),LEN(B1674))*0.0071))*43758.5453,1),"")</f>
        <v/>
      </c>
      <c r="E1674" s="0" t="str">
        <f aca="false">IF(C1674=1,INT(MOD(ABS(SIN(D1674*7919.123+ROW()*0.618+'הדבקת לידים'!$F$2*1.3))*43758.5453,1)*1000000)*10000+ROW(),"")</f>
        <v/>
      </c>
      <c r="F1674" s="0" t="str">
        <f aca="false">IF(E1674="","",RANK(E1674,$E$2:$E$5001,1))</f>
        <v/>
      </c>
      <c r="G1674" s="0" t="n">
        <f aca="false">IF(A1674="",0,IF(SUMPRODUCT(--($A$2:$A$5001=A1674))&gt;1,1,0))</f>
        <v>0</v>
      </c>
      <c r="H1674" s="0" t="n">
        <f aca="false">ROW()-1</f>
        <v>1673</v>
      </c>
      <c r="I1674" s="0" t="str">
        <f aca="false">IF(OR(הגדרות!$E$6=0,H1674&gt;הגדרות!$E$5),"",IF(H1674-1&lt;הגדרות!$E$8*(הגדרות!$E$7+1),INT((H1674-1)/(הגדרות!$E$7+1)),הגדרות!$E$8+INT((H1674-1-הגדרות!$E$8*(הגדרות!$E$7+1))/הגדרות!$E$7)))</f>
        <v/>
      </c>
      <c r="J1674" s="0" t="str">
        <f aca="false">IF(I1674="","",IF(H1674-1&lt;הגדרות!$E$8*(הגדרות!$E$7+1),MOD(H1674-1,הגדרות!$E$7+1),MOD(H1674-1-הגדרות!$E$8*(הגדרות!$E$7+1),הגדרות!$E$7)))</f>
        <v/>
      </c>
      <c r="K1674" s="0" t="str">
        <f aca="false">IF(I1674="","",J1674*הגדרות!$E$6+I1674+1)</f>
        <v/>
      </c>
      <c r="L1674" s="0" t="str">
        <f aca="false">IF(K1674="","",MATCH(K1674,$F$2:$F$5001,0))</f>
        <v/>
      </c>
      <c r="M1674" s="0" t="str">
        <f aca="false">IF(I1674="","",INDEX(הגדרות!$A$2:$A$21,MOD(I1674+הגדרות!$E$9,הגדרות!$E$6)+1))</f>
        <v/>
      </c>
    </row>
    <row r="1675" customFormat="false" ht="15" hidden="false" customHeight="false" outlineLevel="0" collapsed="false">
      <c r="A1675" s="0" t="str">
        <f aca="false">IF('הדבקת לידים'!A1675="","",IF(ISNUMBER('הדבקת לידים'!A1675),IF(הגדרות!$E$2&gt;0,TEXT('הדבקת לידים'!A1675,REPT("0",הגדרות!$E$2)),TEXT('הדבקת לידים'!A1675,"0")),TRIM('הדבקת לידים'!A1675)))</f>
        <v/>
      </c>
      <c r="B1675" s="0" t="str">
        <f aca="false">IF('הדבקת לידים'!B1675="","",IF(ISNUMBER('הדבקת לידים'!B1675),IF(הגדרות!$E$3&gt;0,TEXT('הדבקת לידים'!B1675,REPT("0",הגדרות!$E$3)),TEXT('הדבקת לידים'!B1675,"0")),TRIM('הדבקת לידים'!B1675)))</f>
        <v/>
      </c>
      <c r="C1675" s="0" t="n">
        <f aca="false">IF(OR(A1675&lt;&gt;"",B1675&lt;&gt;""),1,0)</f>
        <v>0</v>
      </c>
      <c r="D1675" s="0" t="str">
        <f aca="false">IF(C1675=1,MOD(ABS(SIN(ROW()*12.9898+'הדבקת לידים'!$F$2*78.233+IFERROR(--RIGHT(A1675,6),LEN(A1675))*0.0137+IFERROR(--RIGHT(B1675,6),LEN(B1675))*0.0071))*43758.5453,1),"")</f>
        <v/>
      </c>
      <c r="E1675" s="0" t="str">
        <f aca="false">IF(C1675=1,INT(MOD(ABS(SIN(D1675*7919.123+ROW()*0.618+'הדבקת לידים'!$F$2*1.3))*43758.5453,1)*1000000)*10000+ROW(),"")</f>
        <v/>
      </c>
      <c r="F1675" s="0" t="str">
        <f aca="false">IF(E1675="","",RANK(E1675,$E$2:$E$5001,1))</f>
        <v/>
      </c>
      <c r="G1675" s="0" t="n">
        <f aca="false">IF(A1675="",0,IF(SUMPRODUCT(--($A$2:$A$5001=A1675))&gt;1,1,0))</f>
        <v>0</v>
      </c>
      <c r="H1675" s="0" t="n">
        <f aca="false">ROW()-1</f>
        <v>1674</v>
      </c>
      <c r="I1675" s="0" t="str">
        <f aca="false">IF(OR(הגדרות!$E$6=0,H1675&gt;הגדרות!$E$5),"",IF(H1675-1&lt;הגדרות!$E$8*(הגדרות!$E$7+1),INT((H1675-1)/(הגדרות!$E$7+1)),הגדרות!$E$8+INT((H1675-1-הגדרות!$E$8*(הגדרות!$E$7+1))/הגדרות!$E$7)))</f>
        <v/>
      </c>
      <c r="J1675" s="0" t="str">
        <f aca="false">IF(I1675="","",IF(H1675-1&lt;הגדרות!$E$8*(הגדרות!$E$7+1),MOD(H1675-1,הגדרות!$E$7+1),MOD(H1675-1-הגדרות!$E$8*(הגדרות!$E$7+1),הגדרות!$E$7)))</f>
        <v/>
      </c>
      <c r="K1675" s="0" t="str">
        <f aca="false">IF(I1675="","",J1675*הגדרות!$E$6+I1675+1)</f>
        <v/>
      </c>
      <c r="L1675" s="0" t="str">
        <f aca="false">IF(K1675="","",MATCH(K1675,$F$2:$F$5001,0))</f>
        <v/>
      </c>
      <c r="M1675" s="0" t="str">
        <f aca="false">IF(I1675="","",INDEX(הגדרות!$A$2:$A$21,MOD(I1675+הגדרות!$E$9,הגדרות!$E$6)+1))</f>
        <v/>
      </c>
    </row>
    <row r="1676" customFormat="false" ht="15" hidden="false" customHeight="false" outlineLevel="0" collapsed="false">
      <c r="A1676" s="0" t="str">
        <f aca="false">IF('הדבקת לידים'!A1676="","",IF(ISNUMBER('הדבקת לידים'!A1676),IF(הגדרות!$E$2&gt;0,TEXT('הדבקת לידים'!A1676,REPT("0",הגדרות!$E$2)),TEXT('הדבקת לידים'!A1676,"0")),TRIM('הדבקת לידים'!A1676)))</f>
        <v/>
      </c>
      <c r="B1676" s="0" t="str">
        <f aca="false">IF('הדבקת לידים'!B1676="","",IF(ISNUMBER('הדבקת לידים'!B1676),IF(הגדרות!$E$3&gt;0,TEXT('הדבקת לידים'!B1676,REPT("0",הגדרות!$E$3)),TEXT('הדבקת לידים'!B1676,"0")),TRIM('הדבקת לידים'!B1676)))</f>
        <v/>
      </c>
      <c r="C1676" s="0" t="n">
        <f aca="false">IF(OR(A1676&lt;&gt;"",B1676&lt;&gt;""),1,0)</f>
        <v>0</v>
      </c>
      <c r="D1676" s="0" t="str">
        <f aca="false">IF(C1676=1,MOD(ABS(SIN(ROW()*12.9898+'הדבקת לידים'!$F$2*78.233+IFERROR(--RIGHT(A1676,6),LEN(A1676))*0.0137+IFERROR(--RIGHT(B1676,6),LEN(B1676))*0.0071))*43758.5453,1),"")</f>
        <v/>
      </c>
      <c r="E1676" s="0" t="str">
        <f aca="false">IF(C1676=1,INT(MOD(ABS(SIN(D1676*7919.123+ROW()*0.618+'הדבקת לידים'!$F$2*1.3))*43758.5453,1)*1000000)*10000+ROW(),"")</f>
        <v/>
      </c>
      <c r="F1676" s="0" t="str">
        <f aca="false">IF(E1676="","",RANK(E1676,$E$2:$E$5001,1))</f>
        <v/>
      </c>
      <c r="G1676" s="0" t="n">
        <f aca="false">IF(A1676="",0,IF(SUMPRODUCT(--($A$2:$A$5001=A1676))&gt;1,1,0))</f>
        <v>0</v>
      </c>
      <c r="H1676" s="0" t="n">
        <f aca="false">ROW()-1</f>
        <v>1675</v>
      </c>
      <c r="I1676" s="0" t="str">
        <f aca="false">IF(OR(הגדרות!$E$6=0,H1676&gt;הגדרות!$E$5),"",IF(H1676-1&lt;הגדרות!$E$8*(הגדרות!$E$7+1),INT((H1676-1)/(הגדרות!$E$7+1)),הגדרות!$E$8+INT((H1676-1-הגדרות!$E$8*(הגדרות!$E$7+1))/הגדרות!$E$7)))</f>
        <v/>
      </c>
      <c r="J1676" s="0" t="str">
        <f aca="false">IF(I1676="","",IF(H1676-1&lt;הגדרות!$E$8*(הגדרות!$E$7+1),MOD(H1676-1,הגדרות!$E$7+1),MOD(H1676-1-הגדרות!$E$8*(הגדרות!$E$7+1),הגדרות!$E$7)))</f>
        <v/>
      </c>
      <c r="K1676" s="0" t="str">
        <f aca="false">IF(I1676="","",J1676*הגדרות!$E$6+I1676+1)</f>
        <v/>
      </c>
      <c r="L1676" s="0" t="str">
        <f aca="false">IF(K1676="","",MATCH(K1676,$F$2:$F$5001,0))</f>
        <v/>
      </c>
      <c r="M1676" s="0" t="str">
        <f aca="false">IF(I1676="","",INDEX(הגדרות!$A$2:$A$21,MOD(I1676+הגדרות!$E$9,הגדרות!$E$6)+1))</f>
        <v/>
      </c>
    </row>
    <row r="1677" customFormat="false" ht="15" hidden="false" customHeight="false" outlineLevel="0" collapsed="false">
      <c r="A1677" s="0" t="str">
        <f aca="false">IF('הדבקת לידים'!A1677="","",IF(ISNUMBER('הדבקת לידים'!A1677),IF(הגדרות!$E$2&gt;0,TEXT('הדבקת לידים'!A1677,REPT("0",הגדרות!$E$2)),TEXT('הדבקת לידים'!A1677,"0")),TRIM('הדבקת לידים'!A1677)))</f>
        <v/>
      </c>
      <c r="B1677" s="0" t="str">
        <f aca="false">IF('הדבקת לידים'!B1677="","",IF(ISNUMBER('הדבקת לידים'!B1677),IF(הגדרות!$E$3&gt;0,TEXT('הדבקת לידים'!B1677,REPT("0",הגדרות!$E$3)),TEXT('הדבקת לידים'!B1677,"0")),TRIM('הדבקת לידים'!B1677)))</f>
        <v/>
      </c>
      <c r="C1677" s="0" t="n">
        <f aca="false">IF(OR(A1677&lt;&gt;"",B1677&lt;&gt;""),1,0)</f>
        <v>0</v>
      </c>
      <c r="D1677" s="0" t="str">
        <f aca="false">IF(C1677=1,MOD(ABS(SIN(ROW()*12.9898+'הדבקת לידים'!$F$2*78.233+IFERROR(--RIGHT(A1677,6),LEN(A1677))*0.0137+IFERROR(--RIGHT(B1677,6),LEN(B1677))*0.0071))*43758.5453,1),"")</f>
        <v/>
      </c>
      <c r="E1677" s="0" t="str">
        <f aca="false">IF(C1677=1,INT(MOD(ABS(SIN(D1677*7919.123+ROW()*0.618+'הדבקת לידים'!$F$2*1.3))*43758.5453,1)*1000000)*10000+ROW(),"")</f>
        <v/>
      </c>
      <c r="F1677" s="0" t="str">
        <f aca="false">IF(E1677="","",RANK(E1677,$E$2:$E$5001,1))</f>
        <v/>
      </c>
      <c r="G1677" s="0" t="n">
        <f aca="false">IF(A1677="",0,IF(SUMPRODUCT(--($A$2:$A$5001=A1677))&gt;1,1,0))</f>
        <v>0</v>
      </c>
      <c r="H1677" s="0" t="n">
        <f aca="false">ROW()-1</f>
        <v>1676</v>
      </c>
      <c r="I1677" s="0" t="str">
        <f aca="false">IF(OR(הגדרות!$E$6=0,H1677&gt;הגדרות!$E$5),"",IF(H1677-1&lt;הגדרות!$E$8*(הגדרות!$E$7+1),INT((H1677-1)/(הגדרות!$E$7+1)),הגדרות!$E$8+INT((H1677-1-הגדרות!$E$8*(הגדרות!$E$7+1))/הגדרות!$E$7)))</f>
        <v/>
      </c>
      <c r="J1677" s="0" t="str">
        <f aca="false">IF(I1677="","",IF(H1677-1&lt;הגדרות!$E$8*(הגדרות!$E$7+1),MOD(H1677-1,הגדרות!$E$7+1),MOD(H1677-1-הגדרות!$E$8*(הגדרות!$E$7+1),הגדרות!$E$7)))</f>
        <v/>
      </c>
      <c r="K1677" s="0" t="str">
        <f aca="false">IF(I1677="","",J1677*הגדרות!$E$6+I1677+1)</f>
        <v/>
      </c>
      <c r="L1677" s="0" t="str">
        <f aca="false">IF(K1677="","",MATCH(K1677,$F$2:$F$5001,0))</f>
        <v/>
      </c>
      <c r="M1677" s="0" t="str">
        <f aca="false">IF(I1677="","",INDEX(הגדרות!$A$2:$A$21,MOD(I1677+הגדרות!$E$9,הגדרות!$E$6)+1))</f>
        <v/>
      </c>
    </row>
    <row r="1678" customFormat="false" ht="15" hidden="false" customHeight="false" outlineLevel="0" collapsed="false">
      <c r="A1678" s="0" t="str">
        <f aca="false">IF('הדבקת לידים'!A1678="","",IF(ISNUMBER('הדבקת לידים'!A1678),IF(הגדרות!$E$2&gt;0,TEXT('הדבקת לידים'!A1678,REPT("0",הגדרות!$E$2)),TEXT('הדבקת לידים'!A1678,"0")),TRIM('הדבקת לידים'!A1678)))</f>
        <v/>
      </c>
      <c r="B1678" s="0" t="str">
        <f aca="false">IF('הדבקת לידים'!B1678="","",IF(ISNUMBER('הדבקת לידים'!B1678),IF(הגדרות!$E$3&gt;0,TEXT('הדבקת לידים'!B1678,REPT("0",הגדרות!$E$3)),TEXT('הדבקת לידים'!B1678,"0")),TRIM('הדבקת לידים'!B1678)))</f>
        <v/>
      </c>
      <c r="C1678" s="0" t="n">
        <f aca="false">IF(OR(A1678&lt;&gt;"",B1678&lt;&gt;""),1,0)</f>
        <v>0</v>
      </c>
      <c r="D1678" s="0" t="str">
        <f aca="false">IF(C1678=1,MOD(ABS(SIN(ROW()*12.9898+'הדבקת לידים'!$F$2*78.233+IFERROR(--RIGHT(A1678,6),LEN(A1678))*0.0137+IFERROR(--RIGHT(B1678,6),LEN(B1678))*0.0071))*43758.5453,1),"")</f>
        <v/>
      </c>
      <c r="E1678" s="0" t="str">
        <f aca="false">IF(C1678=1,INT(MOD(ABS(SIN(D1678*7919.123+ROW()*0.618+'הדבקת לידים'!$F$2*1.3))*43758.5453,1)*1000000)*10000+ROW(),"")</f>
        <v/>
      </c>
      <c r="F1678" s="0" t="str">
        <f aca="false">IF(E1678="","",RANK(E1678,$E$2:$E$5001,1))</f>
        <v/>
      </c>
      <c r="G1678" s="0" t="n">
        <f aca="false">IF(A1678="",0,IF(SUMPRODUCT(--($A$2:$A$5001=A1678))&gt;1,1,0))</f>
        <v>0</v>
      </c>
      <c r="H1678" s="0" t="n">
        <f aca="false">ROW()-1</f>
        <v>1677</v>
      </c>
      <c r="I1678" s="0" t="str">
        <f aca="false">IF(OR(הגדרות!$E$6=0,H1678&gt;הגדרות!$E$5),"",IF(H1678-1&lt;הגדרות!$E$8*(הגדרות!$E$7+1),INT((H1678-1)/(הגדרות!$E$7+1)),הגדרות!$E$8+INT((H1678-1-הגדרות!$E$8*(הגדרות!$E$7+1))/הגדרות!$E$7)))</f>
        <v/>
      </c>
      <c r="J1678" s="0" t="str">
        <f aca="false">IF(I1678="","",IF(H1678-1&lt;הגדרות!$E$8*(הגדרות!$E$7+1),MOD(H1678-1,הגדרות!$E$7+1),MOD(H1678-1-הגדרות!$E$8*(הגדרות!$E$7+1),הגדרות!$E$7)))</f>
        <v/>
      </c>
      <c r="K1678" s="0" t="str">
        <f aca="false">IF(I1678="","",J1678*הגדרות!$E$6+I1678+1)</f>
        <v/>
      </c>
      <c r="L1678" s="0" t="str">
        <f aca="false">IF(K1678="","",MATCH(K1678,$F$2:$F$5001,0))</f>
        <v/>
      </c>
      <c r="M1678" s="0" t="str">
        <f aca="false">IF(I1678="","",INDEX(הגדרות!$A$2:$A$21,MOD(I1678+הגדרות!$E$9,הגדרות!$E$6)+1))</f>
        <v/>
      </c>
    </row>
    <row r="1679" customFormat="false" ht="15" hidden="false" customHeight="false" outlineLevel="0" collapsed="false">
      <c r="A1679" s="0" t="str">
        <f aca="false">IF('הדבקת לידים'!A1679="","",IF(ISNUMBER('הדבקת לידים'!A1679),IF(הגדרות!$E$2&gt;0,TEXT('הדבקת לידים'!A1679,REPT("0",הגדרות!$E$2)),TEXT('הדבקת לידים'!A1679,"0")),TRIM('הדבקת לידים'!A1679)))</f>
        <v/>
      </c>
      <c r="B1679" s="0" t="str">
        <f aca="false">IF('הדבקת לידים'!B1679="","",IF(ISNUMBER('הדבקת לידים'!B1679),IF(הגדרות!$E$3&gt;0,TEXT('הדבקת לידים'!B1679,REPT("0",הגדרות!$E$3)),TEXT('הדבקת לידים'!B1679,"0")),TRIM('הדבקת לידים'!B1679)))</f>
        <v/>
      </c>
      <c r="C1679" s="0" t="n">
        <f aca="false">IF(OR(A1679&lt;&gt;"",B1679&lt;&gt;""),1,0)</f>
        <v>0</v>
      </c>
      <c r="D1679" s="0" t="str">
        <f aca="false">IF(C1679=1,MOD(ABS(SIN(ROW()*12.9898+'הדבקת לידים'!$F$2*78.233+IFERROR(--RIGHT(A1679,6),LEN(A1679))*0.0137+IFERROR(--RIGHT(B1679,6),LEN(B1679))*0.0071))*43758.5453,1),"")</f>
        <v/>
      </c>
      <c r="E1679" s="0" t="str">
        <f aca="false">IF(C1679=1,INT(MOD(ABS(SIN(D1679*7919.123+ROW()*0.618+'הדבקת לידים'!$F$2*1.3))*43758.5453,1)*1000000)*10000+ROW(),"")</f>
        <v/>
      </c>
      <c r="F1679" s="0" t="str">
        <f aca="false">IF(E1679="","",RANK(E1679,$E$2:$E$5001,1))</f>
        <v/>
      </c>
      <c r="G1679" s="0" t="n">
        <f aca="false">IF(A1679="",0,IF(SUMPRODUCT(--($A$2:$A$5001=A1679))&gt;1,1,0))</f>
        <v>0</v>
      </c>
      <c r="H1679" s="0" t="n">
        <f aca="false">ROW()-1</f>
        <v>1678</v>
      </c>
      <c r="I1679" s="0" t="str">
        <f aca="false">IF(OR(הגדרות!$E$6=0,H1679&gt;הגדרות!$E$5),"",IF(H1679-1&lt;הגדרות!$E$8*(הגדרות!$E$7+1),INT((H1679-1)/(הגדרות!$E$7+1)),הגדרות!$E$8+INT((H1679-1-הגדרות!$E$8*(הגדרות!$E$7+1))/הגדרות!$E$7)))</f>
        <v/>
      </c>
      <c r="J1679" s="0" t="str">
        <f aca="false">IF(I1679="","",IF(H1679-1&lt;הגדרות!$E$8*(הגדרות!$E$7+1),MOD(H1679-1,הגדרות!$E$7+1),MOD(H1679-1-הגדרות!$E$8*(הגדרות!$E$7+1),הגדרות!$E$7)))</f>
        <v/>
      </c>
      <c r="K1679" s="0" t="str">
        <f aca="false">IF(I1679="","",J1679*הגדרות!$E$6+I1679+1)</f>
        <v/>
      </c>
      <c r="L1679" s="0" t="str">
        <f aca="false">IF(K1679="","",MATCH(K1679,$F$2:$F$5001,0))</f>
        <v/>
      </c>
      <c r="M1679" s="0" t="str">
        <f aca="false">IF(I1679="","",INDEX(הגדרות!$A$2:$A$21,MOD(I1679+הגדרות!$E$9,הגדרות!$E$6)+1))</f>
        <v/>
      </c>
    </row>
    <row r="1680" customFormat="false" ht="15" hidden="false" customHeight="false" outlineLevel="0" collapsed="false">
      <c r="A1680" s="0" t="str">
        <f aca="false">IF('הדבקת לידים'!A1680="","",IF(ISNUMBER('הדבקת לידים'!A1680),IF(הגדרות!$E$2&gt;0,TEXT('הדבקת לידים'!A1680,REPT("0",הגדרות!$E$2)),TEXT('הדבקת לידים'!A1680,"0")),TRIM('הדבקת לידים'!A1680)))</f>
        <v/>
      </c>
      <c r="B1680" s="0" t="str">
        <f aca="false">IF('הדבקת לידים'!B1680="","",IF(ISNUMBER('הדבקת לידים'!B1680),IF(הגדרות!$E$3&gt;0,TEXT('הדבקת לידים'!B1680,REPT("0",הגדרות!$E$3)),TEXT('הדבקת לידים'!B1680,"0")),TRIM('הדבקת לידים'!B1680)))</f>
        <v/>
      </c>
      <c r="C1680" s="0" t="n">
        <f aca="false">IF(OR(A1680&lt;&gt;"",B1680&lt;&gt;""),1,0)</f>
        <v>0</v>
      </c>
      <c r="D1680" s="0" t="str">
        <f aca="false">IF(C1680=1,MOD(ABS(SIN(ROW()*12.9898+'הדבקת לידים'!$F$2*78.233+IFERROR(--RIGHT(A1680,6),LEN(A1680))*0.0137+IFERROR(--RIGHT(B1680,6),LEN(B1680))*0.0071))*43758.5453,1),"")</f>
        <v/>
      </c>
      <c r="E1680" s="0" t="str">
        <f aca="false">IF(C1680=1,INT(MOD(ABS(SIN(D1680*7919.123+ROW()*0.618+'הדבקת לידים'!$F$2*1.3))*43758.5453,1)*1000000)*10000+ROW(),"")</f>
        <v/>
      </c>
      <c r="F1680" s="0" t="str">
        <f aca="false">IF(E1680="","",RANK(E1680,$E$2:$E$5001,1))</f>
        <v/>
      </c>
      <c r="G1680" s="0" t="n">
        <f aca="false">IF(A1680="",0,IF(SUMPRODUCT(--($A$2:$A$5001=A1680))&gt;1,1,0))</f>
        <v>0</v>
      </c>
      <c r="H1680" s="0" t="n">
        <f aca="false">ROW()-1</f>
        <v>1679</v>
      </c>
      <c r="I1680" s="0" t="str">
        <f aca="false">IF(OR(הגדרות!$E$6=0,H1680&gt;הגדרות!$E$5),"",IF(H1680-1&lt;הגדרות!$E$8*(הגדרות!$E$7+1),INT((H1680-1)/(הגדרות!$E$7+1)),הגדרות!$E$8+INT((H1680-1-הגדרות!$E$8*(הגדרות!$E$7+1))/הגדרות!$E$7)))</f>
        <v/>
      </c>
      <c r="J1680" s="0" t="str">
        <f aca="false">IF(I1680="","",IF(H1680-1&lt;הגדרות!$E$8*(הגדרות!$E$7+1),MOD(H1680-1,הגדרות!$E$7+1),MOD(H1680-1-הגדרות!$E$8*(הגדרות!$E$7+1),הגדרות!$E$7)))</f>
        <v/>
      </c>
      <c r="K1680" s="0" t="str">
        <f aca="false">IF(I1680="","",J1680*הגדרות!$E$6+I1680+1)</f>
        <v/>
      </c>
      <c r="L1680" s="0" t="str">
        <f aca="false">IF(K1680="","",MATCH(K1680,$F$2:$F$5001,0))</f>
        <v/>
      </c>
      <c r="M1680" s="0" t="str">
        <f aca="false">IF(I1680="","",INDEX(הגדרות!$A$2:$A$21,MOD(I1680+הגדרות!$E$9,הגדרות!$E$6)+1))</f>
        <v/>
      </c>
    </row>
    <row r="1681" customFormat="false" ht="15" hidden="false" customHeight="false" outlineLevel="0" collapsed="false">
      <c r="A1681" s="0" t="str">
        <f aca="false">IF('הדבקת לידים'!A1681="","",IF(ISNUMBER('הדבקת לידים'!A1681),IF(הגדרות!$E$2&gt;0,TEXT('הדבקת לידים'!A1681,REPT("0",הגדרות!$E$2)),TEXT('הדבקת לידים'!A1681,"0")),TRIM('הדבקת לידים'!A1681)))</f>
        <v/>
      </c>
      <c r="B1681" s="0" t="str">
        <f aca="false">IF('הדבקת לידים'!B1681="","",IF(ISNUMBER('הדבקת לידים'!B1681),IF(הגדרות!$E$3&gt;0,TEXT('הדבקת לידים'!B1681,REPT("0",הגדרות!$E$3)),TEXT('הדבקת לידים'!B1681,"0")),TRIM('הדבקת לידים'!B1681)))</f>
        <v/>
      </c>
      <c r="C1681" s="0" t="n">
        <f aca="false">IF(OR(A1681&lt;&gt;"",B1681&lt;&gt;""),1,0)</f>
        <v>0</v>
      </c>
      <c r="D1681" s="0" t="str">
        <f aca="false">IF(C1681=1,MOD(ABS(SIN(ROW()*12.9898+'הדבקת לידים'!$F$2*78.233+IFERROR(--RIGHT(A1681,6),LEN(A1681))*0.0137+IFERROR(--RIGHT(B1681,6),LEN(B1681))*0.0071))*43758.5453,1),"")</f>
        <v/>
      </c>
      <c r="E1681" s="0" t="str">
        <f aca="false">IF(C1681=1,INT(MOD(ABS(SIN(D1681*7919.123+ROW()*0.618+'הדבקת לידים'!$F$2*1.3))*43758.5453,1)*1000000)*10000+ROW(),"")</f>
        <v/>
      </c>
      <c r="F1681" s="0" t="str">
        <f aca="false">IF(E1681="","",RANK(E1681,$E$2:$E$5001,1))</f>
        <v/>
      </c>
      <c r="G1681" s="0" t="n">
        <f aca="false">IF(A1681="",0,IF(SUMPRODUCT(--($A$2:$A$5001=A1681))&gt;1,1,0))</f>
        <v>0</v>
      </c>
      <c r="H1681" s="0" t="n">
        <f aca="false">ROW()-1</f>
        <v>1680</v>
      </c>
      <c r="I1681" s="0" t="str">
        <f aca="false">IF(OR(הגדרות!$E$6=0,H1681&gt;הגדרות!$E$5),"",IF(H1681-1&lt;הגדרות!$E$8*(הגדרות!$E$7+1),INT((H1681-1)/(הגדרות!$E$7+1)),הגדרות!$E$8+INT((H1681-1-הגדרות!$E$8*(הגדרות!$E$7+1))/הגדרות!$E$7)))</f>
        <v/>
      </c>
      <c r="J1681" s="0" t="str">
        <f aca="false">IF(I1681="","",IF(H1681-1&lt;הגדרות!$E$8*(הגדרות!$E$7+1),MOD(H1681-1,הגדרות!$E$7+1),MOD(H1681-1-הגדרות!$E$8*(הגדרות!$E$7+1),הגדרות!$E$7)))</f>
        <v/>
      </c>
      <c r="K1681" s="0" t="str">
        <f aca="false">IF(I1681="","",J1681*הגדרות!$E$6+I1681+1)</f>
        <v/>
      </c>
      <c r="L1681" s="0" t="str">
        <f aca="false">IF(K1681="","",MATCH(K1681,$F$2:$F$5001,0))</f>
        <v/>
      </c>
      <c r="M1681" s="0" t="str">
        <f aca="false">IF(I1681="","",INDEX(הגדרות!$A$2:$A$21,MOD(I1681+הגדרות!$E$9,הגדרות!$E$6)+1))</f>
        <v/>
      </c>
    </row>
    <row r="1682" customFormat="false" ht="15" hidden="false" customHeight="false" outlineLevel="0" collapsed="false">
      <c r="A1682" s="0" t="str">
        <f aca="false">IF('הדבקת לידים'!A1682="","",IF(ISNUMBER('הדבקת לידים'!A1682),IF(הגדרות!$E$2&gt;0,TEXT('הדבקת לידים'!A1682,REPT("0",הגדרות!$E$2)),TEXT('הדבקת לידים'!A1682,"0")),TRIM('הדבקת לידים'!A1682)))</f>
        <v/>
      </c>
      <c r="B1682" s="0" t="str">
        <f aca="false">IF('הדבקת לידים'!B1682="","",IF(ISNUMBER('הדבקת לידים'!B1682),IF(הגדרות!$E$3&gt;0,TEXT('הדבקת לידים'!B1682,REPT("0",הגדרות!$E$3)),TEXT('הדבקת לידים'!B1682,"0")),TRIM('הדבקת לידים'!B1682)))</f>
        <v/>
      </c>
      <c r="C1682" s="0" t="n">
        <f aca="false">IF(OR(A1682&lt;&gt;"",B1682&lt;&gt;""),1,0)</f>
        <v>0</v>
      </c>
      <c r="D1682" s="0" t="str">
        <f aca="false">IF(C1682=1,MOD(ABS(SIN(ROW()*12.9898+'הדבקת לידים'!$F$2*78.233+IFERROR(--RIGHT(A1682,6),LEN(A1682))*0.0137+IFERROR(--RIGHT(B1682,6),LEN(B1682))*0.0071))*43758.5453,1),"")</f>
        <v/>
      </c>
      <c r="E1682" s="0" t="str">
        <f aca="false">IF(C1682=1,INT(MOD(ABS(SIN(D1682*7919.123+ROW()*0.618+'הדבקת לידים'!$F$2*1.3))*43758.5453,1)*1000000)*10000+ROW(),"")</f>
        <v/>
      </c>
      <c r="F1682" s="0" t="str">
        <f aca="false">IF(E1682="","",RANK(E1682,$E$2:$E$5001,1))</f>
        <v/>
      </c>
      <c r="G1682" s="0" t="n">
        <f aca="false">IF(A1682="",0,IF(SUMPRODUCT(--($A$2:$A$5001=A1682))&gt;1,1,0))</f>
        <v>0</v>
      </c>
      <c r="H1682" s="0" t="n">
        <f aca="false">ROW()-1</f>
        <v>1681</v>
      </c>
      <c r="I1682" s="0" t="str">
        <f aca="false">IF(OR(הגדרות!$E$6=0,H1682&gt;הגדרות!$E$5),"",IF(H1682-1&lt;הגדרות!$E$8*(הגדרות!$E$7+1),INT((H1682-1)/(הגדרות!$E$7+1)),הגדרות!$E$8+INT((H1682-1-הגדרות!$E$8*(הגדרות!$E$7+1))/הגדרות!$E$7)))</f>
        <v/>
      </c>
      <c r="J1682" s="0" t="str">
        <f aca="false">IF(I1682="","",IF(H1682-1&lt;הגדרות!$E$8*(הגדרות!$E$7+1),MOD(H1682-1,הגדרות!$E$7+1),MOD(H1682-1-הגדרות!$E$8*(הגדרות!$E$7+1),הגדרות!$E$7)))</f>
        <v/>
      </c>
      <c r="K1682" s="0" t="str">
        <f aca="false">IF(I1682="","",J1682*הגדרות!$E$6+I1682+1)</f>
        <v/>
      </c>
      <c r="L1682" s="0" t="str">
        <f aca="false">IF(K1682="","",MATCH(K1682,$F$2:$F$5001,0))</f>
        <v/>
      </c>
      <c r="M1682" s="0" t="str">
        <f aca="false">IF(I1682="","",INDEX(הגדרות!$A$2:$A$21,MOD(I1682+הגדרות!$E$9,הגדרות!$E$6)+1))</f>
        <v/>
      </c>
    </row>
    <row r="1683" customFormat="false" ht="15" hidden="false" customHeight="false" outlineLevel="0" collapsed="false">
      <c r="A1683" s="0" t="str">
        <f aca="false">IF('הדבקת לידים'!A1683="","",IF(ISNUMBER('הדבקת לידים'!A1683),IF(הגדרות!$E$2&gt;0,TEXT('הדבקת לידים'!A1683,REPT("0",הגדרות!$E$2)),TEXT('הדבקת לידים'!A1683,"0")),TRIM('הדבקת לידים'!A1683)))</f>
        <v/>
      </c>
      <c r="B1683" s="0" t="str">
        <f aca="false">IF('הדבקת לידים'!B1683="","",IF(ISNUMBER('הדבקת לידים'!B1683),IF(הגדרות!$E$3&gt;0,TEXT('הדבקת לידים'!B1683,REPT("0",הגדרות!$E$3)),TEXT('הדבקת לידים'!B1683,"0")),TRIM('הדבקת לידים'!B1683)))</f>
        <v/>
      </c>
      <c r="C1683" s="0" t="n">
        <f aca="false">IF(OR(A1683&lt;&gt;"",B1683&lt;&gt;""),1,0)</f>
        <v>0</v>
      </c>
      <c r="D1683" s="0" t="str">
        <f aca="false">IF(C1683=1,MOD(ABS(SIN(ROW()*12.9898+'הדבקת לידים'!$F$2*78.233+IFERROR(--RIGHT(A1683,6),LEN(A1683))*0.0137+IFERROR(--RIGHT(B1683,6),LEN(B1683))*0.0071))*43758.5453,1),"")</f>
        <v/>
      </c>
      <c r="E1683" s="0" t="str">
        <f aca="false">IF(C1683=1,INT(MOD(ABS(SIN(D1683*7919.123+ROW()*0.618+'הדבקת לידים'!$F$2*1.3))*43758.5453,1)*1000000)*10000+ROW(),"")</f>
        <v/>
      </c>
      <c r="F1683" s="0" t="str">
        <f aca="false">IF(E1683="","",RANK(E1683,$E$2:$E$5001,1))</f>
        <v/>
      </c>
      <c r="G1683" s="0" t="n">
        <f aca="false">IF(A1683="",0,IF(SUMPRODUCT(--($A$2:$A$5001=A1683))&gt;1,1,0))</f>
        <v>0</v>
      </c>
      <c r="H1683" s="0" t="n">
        <f aca="false">ROW()-1</f>
        <v>1682</v>
      </c>
      <c r="I1683" s="0" t="str">
        <f aca="false">IF(OR(הגדרות!$E$6=0,H1683&gt;הגדרות!$E$5),"",IF(H1683-1&lt;הגדרות!$E$8*(הגדרות!$E$7+1),INT((H1683-1)/(הגדרות!$E$7+1)),הגדרות!$E$8+INT((H1683-1-הגדרות!$E$8*(הגדרות!$E$7+1))/הגדרות!$E$7)))</f>
        <v/>
      </c>
      <c r="J1683" s="0" t="str">
        <f aca="false">IF(I1683="","",IF(H1683-1&lt;הגדרות!$E$8*(הגדרות!$E$7+1),MOD(H1683-1,הגדרות!$E$7+1),MOD(H1683-1-הגדרות!$E$8*(הגדרות!$E$7+1),הגדרות!$E$7)))</f>
        <v/>
      </c>
      <c r="K1683" s="0" t="str">
        <f aca="false">IF(I1683="","",J1683*הגדרות!$E$6+I1683+1)</f>
        <v/>
      </c>
      <c r="L1683" s="0" t="str">
        <f aca="false">IF(K1683="","",MATCH(K1683,$F$2:$F$5001,0))</f>
        <v/>
      </c>
      <c r="M1683" s="0" t="str">
        <f aca="false">IF(I1683="","",INDEX(הגדרות!$A$2:$A$21,MOD(I1683+הגדרות!$E$9,הגדרות!$E$6)+1))</f>
        <v/>
      </c>
    </row>
    <row r="1684" customFormat="false" ht="15" hidden="false" customHeight="false" outlineLevel="0" collapsed="false">
      <c r="A1684" s="0" t="str">
        <f aca="false">IF('הדבקת לידים'!A1684="","",IF(ISNUMBER('הדבקת לידים'!A1684),IF(הגדרות!$E$2&gt;0,TEXT('הדבקת לידים'!A1684,REPT("0",הגדרות!$E$2)),TEXT('הדבקת לידים'!A1684,"0")),TRIM('הדבקת לידים'!A1684)))</f>
        <v/>
      </c>
      <c r="B1684" s="0" t="str">
        <f aca="false">IF('הדבקת לידים'!B1684="","",IF(ISNUMBER('הדבקת לידים'!B1684),IF(הגדרות!$E$3&gt;0,TEXT('הדבקת לידים'!B1684,REPT("0",הגדרות!$E$3)),TEXT('הדבקת לידים'!B1684,"0")),TRIM('הדבקת לידים'!B1684)))</f>
        <v/>
      </c>
      <c r="C1684" s="0" t="n">
        <f aca="false">IF(OR(A1684&lt;&gt;"",B1684&lt;&gt;""),1,0)</f>
        <v>0</v>
      </c>
      <c r="D1684" s="0" t="str">
        <f aca="false">IF(C1684=1,MOD(ABS(SIN(ROW()*12.9898+'הדבקת לידים'!$F$2*78.233+IFERROR(--RIGHT(A1684,6),LEN(A1684))*0.0137+IFERROR(--RIGHT(B1684,6),LEN(B1684))*0.0071))*43758.5453,1),"")</f>
        <v/>
      </c>
      <c r="E1684" s="0" t="str">
        <f aca="false">IF(C1684=1,INT(MOD(ABS(SIN(D1684*7919.123+ROW()*0.618+'הדבקת לידים'!$F$2*1.3))*43758.5453,1)*1000000)*10000+ROW(),"")</f>
        <v/>
      </c>
      <c r="F1684" s="0" t="str">
        <f aca="false">IF(E1684="","",RANK(E1684,$E$2:$E$5001,1))</f>
        <v/>
      </c>
      <c r="G1684" s="0" t="n">
        <f aca="false">IF(A1684="",0,IF(SUMPRODUCT(--($A$2:$A$5001=A1684))&gt;1,1,0))</f>
        <v>0</v>
      </c>
      <c r="H1684" s="0" t="n">
        <f aca="false">ROW()-1</f>
        <v>1683</v>
      </c>
      <c r="I1684" s="0" t="str">
        <f aca="false">IF(OR(הגדרות!$E$6=0,H1684&gt;הגדרות!$E$5),"",IF(H1684-1&lt;הגדרות!$E$8*(הגדרות!$E$7+1),INT((H1684-1)/(הגדרות!$E$7+1)),הגדרות!$E$8+INT((H1684-1-הגדרות!$E$8*(הגדרות!$E$7+1))/הגדרות!$E$7)))</f>
        <v/>
      </c>
      <c r="J1684" s="0" t="str">
        <f aca="false">IF(I1684="","",IF(H1684-1&lt;הגדרות!$E$8*(הגדרות!$E$7+1),MOD(H1684-1,הגדרות!$E$7+1),MOD(H1684-1-הגדרות!$E$8*(הגדרות!$E$7+1),הגדרות!$E$7)))</f>
        <v/>
      </c>
      <c r="K1684" s="0" t="str">
        <f aca="false">IF(I1684="","",J1684*הגדרות!$E$6+I1684+1)</f>
        <v/>
      </c>
      <c r="L1684" s="0" t="str">
        <f aca="false">IF(K1684="","",MATCH(K1684,$F$2:$F$5001,0))</f>
        <v/>
      </c>
      <c r="M1684" s="0" t="str">
        <f aca="false">IF(I1684="","",INDEX(הגדרות!$A$2:$A$21,MOD(I1684+הגדרות!$E$9,הגדרות!$E$6)+1))</f>
        <v/>
      </c>
    </row>
    <row r="1685" customFormat="false" ht="15" hidden="false" customHeight="false" outlineLevel="0" collapsed="false">
      <c r="A1685" s="0" t="str">
        <f aca="false">IF('הדבקת לידים'!A1685="","",IF(ISNUMBER('הדבקת לידים'!A1685),IF(הגדרות!$E$2&gt;0,TEXT('הדבקת לידים'!A1685,REPT("0",הגדרות!$E$2)),TEXT('הדבקת לידים'!A1685,"0")),TRIM('הדבקת לידים'!A1685)))</f>
        <v/>
      </c>
      <c r="B1685" s="0" t="str">
        <f aca="false">IF('הדבקת לידים'!B1685="","",IF(ISNUMBER('הדבקת לידים'!B1685),IF(הגדרות!$E$3&gt;0,TEXT('הדבקת לידים'!B1685,REPT("0",הגדרות!$E$3)),TEXT('הדבקת לידים'!B1685,"0")),TRIM('הדבקת לידים'!B1685)))</f>
        <v/>
      </c>
      <c r="C1685" s="0" t="n">
        <f aca="false">IF(OR(A1685&lt;&gt;"",B1685&lt;&gt;""),1,0)</f>
        <v>0</v>
      </c>
      <c r="D1685" s="0" t="str">
        <f aca="false">IF(C1685=1,MOD(ABS(SIN(ROW()*12.9898+'הדבקת לידים'!$F$2*78.233+IFERROR(--RIGHT(A1685,6),LEN(A1685))*0.0137+IFERROR(--RIGHT(B1685,6),LEN(B1685))*0.0071))*43758.5453,1),"")</f>
        <v/>
      </c>
      <c r="E1685" s="0" t="str">
        <f aca="false">IF(C1685=1,INT(MOD(ABS(SIN(D1685*7919.123+ROW()*0.618+'הדבקת לידים'!$F$2*1.3))*43758.5453,1)*1000000)*10000+ROW(),"")</f>
        <v/>
      </c>
      <c r="F1685" s="0" t="str">
        <f aca="false">IF(E1685="","",RANK(E1685,$E$2:$E$5001,1))</f>
        <v/>
      </c>
      <c r="G1685" s="0" t="n">
        <f aca="false">IF(A1685="",0,IF(SUMPRODUCT(--($A$2:$A$5001=A1685))&gt;1,1,0))</f>
        <v>0</v>
      </c>
      <c r="H1685" s="0" t="n">
        <f aca="false">ROW()-1</f>
        <v>1684</v>
      </c>
      <c r="I1685" s="0" t="str">
        <f aca="false">IF(OR(הגדרות!$E$6=0,H1685&gt;הגדרות!$E$5),"",IF(H1685-1&lt;הגדרות!$E$8*(הגדרות!$E$7+1),INT((H1685-1)/(הגדרות!$E$7+1)),הגדרות!$E$8+INT((H1685-1-הגדרות!$E$8*(הגדרות!$E$7+1))/הגדרות!$E$7)))</f>
        <v/>
      </c>
      <c r="J1685" s="0" t="str">
        <f aca="false">IF(I1685="","",IF(H1685-1&lt;הגדרות!$E$8*(הגדרות!$E$7+1),MOD(H1685-1,הגדרות!$E$7+1),MOD(H1685-1-הגדרות!$E$8*(הגדרות!$E$7+1),הגדרות!$E$7)))</f>
        <v/>
      </c>
      <c r="K1685" s="0" t="str">
        <f aca="false">IF(I1685="","",J1685*הגדרות!$E$6+I1685+1)</f>
        <v/>
      </c>
      <c r="L1685" s="0" t="str">
        <f aca="false">IF(K1685="","",MATCH(K1685,$F$2:$F$5001,0))</f>
        <v/>
      </c>
      <c r="M1685" s="0" t="str">
        <f aca="false">IF(I1685="","",INDEX(הגדרות!$A$2:$A$21,MOD(I1685+הגדרות!$E$9,הגדרות!$E$6)+1))</f>
        <v/>
      </c>
    </row>
    <row r="1686" customFormat="false" ht="15" hidden="false" customHeight="false" outlineLevel="0" collapsed="false">
      <c r="A1686" s="0" t="str">
        <f aca="false">IF('הדבקת לידים'!A1686="","",IF(ISNUMBER('הדבקת לידים'!A1686),IF(הגדרות!$E$2&gt;0,TEXT('הדבקת לידים'!A1686,REPT("0",הגדרות!$E$2)),TEXT('הדבקת לידים'!A1686,"0")),TRIM('הדבקת לידים'!A1686)))</f>
        <v/>
      </c>
      <c r="B1686" s="0" t="str">
        <f aca="false">IF('הדבקת לידים'!B1686="","",IF(ISNUMBER('הדבקת לידים'!B1686),IF(הגדרות!$E$3&gt;0,TEXT('הדבקת לידים'!B1686,REPT("0",הגדרות!$E$3)),TEXT('הדבקת לידים'!B1686,"0")),TRIM('הדבקת לידים'!B1686)))</f>
        <v/>
      </c>
      <c r="C1686" s="0" t="n">
        <f aca="false">IF(OR(A1686&lt;&gt;"",B1686&lt;&gt;""),1,0)</f>
        <v>0</v>
      </c>
      <c r="D1686" s="0" t="str">
        <f aca="false">IF(C1686=1,MOD(ABS(SIN(ROW()*12.9898+'הדבקת לידים'!$F$2*78.233+IFERROR(--RIGHT(A1686,6),LEN(A1686))*0.0137+IFERROR(--RIGHT(B1686,6),LEN(B1686))*0.0071))*43758.5453,1),"")</f>
        <v/>
      </c>
      <c r="E1686" s="0" t="str">
        <f aca="false">IF(C1686=1,INT(MOD(ABS(SIN(D1686*7919.123+ROW()*0.618+'הדבקת לידים'!$F$2*1.3))*43758.5453,1)*1000000)*10000+ROW(),"")</f>
        <v/>
      </c>
      <c r="F1686" s="0" t="str">
        <f aca="false">IF(E1686="","",RANK(E1686,$E$2:$E$5001,1))</f>
        <v/>
      </c>
      <c r="G1686" s="0" t="n">
        <f aca="false">IF(A1686="",0,IF(SUMPRODUCT(--($A$2:$A$5001=A1686))&gt;1,1,0))</f>
        <v>0</v>
      </c>
      <c r="H1686" s="0" t="n">
        <f aca="false">ROW()-1</f>
        <v>1685</v>
      </c>
      <c r="I1686" s="0" t="str">
        <f aca="false">IF(OR(הגדרות!$E$6=0,H1686&gt;הגדרות!$E$5),"",IF(H1686-1&lt;הגדרות!$E$8*(הגדרות!$E$7+1),INT((H1686-1)/(הגדרות!$E$7+1)),הגדרות!$E$8+INT((H1686-1-הגדרות!$E$8*(הגדרות!$E$7+1))/הגדרות!$E$7)))</f>
        <v/>
      </c>
      <c r="J1686" s="0" t="str">
        <f aca="false">IF(I1686="","",IF(H1686-1&lt;הגדרות!$E$8*(הגדרות!$E$7+1),MOD(H1686-1,הגדרות!$E$7+1),MOD(H1686-1-הגדרות!$E$8*(הגדרות!$E$7+1),הגדרות!$E$7)))</f>
        <v/>
      </c>
      <c r="K1686" s="0" t="str">
        <f aca="false">IF(I1686="","",J1686*הגדרות!$E$6+I1686+1)</f>
        <v/>
      </c>
      <c r="L1686" s="0" t="str">
        <f aca="false">IF(K1686="","",MATCH(K1686,$F$2:$F$5001,0))</f>
        <v/>
      </c>
      <c r="M1686" s="0" t="str">
        <f aca="false">IF(I1686="","",INDEX(הגדרות!$A$2:$A$21,MOD(I1686+הגדרות!$E$9,הגדרות!$E$6)+1))</f>
        <v/>
      </c>
    </row>
    <row r="1687" customFormat="false" ht="15" hidden="false" customHeight="false" outlineLevel="0" collapsed="false">
      <c r="A1687" s="0" t="str">
        <f aca="false">IF('הדבקת לידים'!A1687="","",IF(ISNUMBER('הדבקת לידים'!A1687),IF(הגדרות!$E$2&gt;0,TEXT('הדבקת לידים'!A1687,REPT("0",הגדרות!$E$2)),TEXT('הדבקת לידים'!A1687,"0")),TRIM('הדבקת לידים'!A1687)))</f>
        <v/>
      </c>
      <c r="B1687" s="0" t="str">
        <f aca="false">IF('הדבקת לידים'!B1687="","",IF(ISNUMBER('הדבקת לידים'!B1687),IF(הגדרות!$E$3&gt;0,TEXT('הדבקת לידים'!B1687,REPT("0",הגדרות!$E$3)),TEXT('הדבקת לידים'!B1687,"0")),TRIM('הדבקת לידים'!B1687)))</f>
        <v/>
      </c>
      <c r="C1687" s="0" t="n">
        <f aca="false">IF(OR(A1687&lt;&gt;"",B1687&lt;&gt;""),1,0)</f>
        <v>0</v>
      </c>
      <c r="D1687" s="0" t="str">
        <f aca="false">IF(C1687=1,MOD(ABS(SIN(ROW()*12.9898+'הדבקת לידים'!$F$2*78.233+IFERROR(--RIGHT(A1687,6),LEN(A1687))*0.0137+IFERROR(--RIGHT(B1687,6),LEN(B1687))*0.0071))*43758.5453,1),"")</f>
        <v/>
      </c>
      <c r="E1687" s="0" t="str">
        <f aca="false">IF(C1687=1,INT(MOD(ABS(SIN(D1687*7919.123+ROW()*0.618+'הדבקת לידים'!$F$2*1.3))*43758.5453,1)*1000000)*10000+ROW(),"")</f>
        <v/>
      </c>
      <c r="F1687" s="0" t="str">
        <f aca="false">IF(E1687="","",RANK(E1687,$E$2:$E$5001,1))</f>
        <v/>
      </c>
      <c r="G1687" s="0" t="n">
        <f aca="false">IF(A1687="",0,IF(SUMPRODUCT(--($A$2:$A$5001=A1687))&gt;1,1,0))</f>
        <v>0</v>
      </c>
      <c r="H1687" s="0" t="n">
        <f aca="false">ROW()-1</f>
        <v>1686</v>
      </c>
      <c r="I1687" s="0" t="str">
        <f aca="false">IF(OR(הגדרות!$E$6=0,H1687&gt;הגדרות!$E$5),"",IF(H1687-1&lt;הגדרות!$E$8*(הגדרות!$E$7+1),INT((H1687-1)/(הגדרות!$E$7+1)),הגדרות!$E$8+INT((H1687-1-הגדרות!$E$8*(הגדרות!$E$7+1))/הגדרות!$E$7)))</f>
        <v/>
      </c>
      <c r="J1687" s="0" t="str">
        <f aca="false">IF(I1687="","",IF(H1687-1&lt;הגדרות!$E$8*(הגדרות!$E$7+1),MOD(H1687-1,הגדרות!$E$7+1),MOD(H1687-1-הגדרות!$E$8*(הגדרות!$E$7+1),הגדרות!$E$7)))</f>
        <v/>
      </c>
      <c r="K1687" s="0" t="str">
        <f aca="false">IF(I1687="","",J1687*הגדרות!$E$6+I1687+1)</f>
        <v/>
      </c>
      <c r="L1687" s="0" t="str">
        <f aca="false">IF(K1687="","",MATCH(K1687,$F$2:$F$5001,0))</f>
        <v/>
      </c>
      <c r="M1687" s="0" t="str">
        <f aca="false">IF(I1687="","",INDEX(הגדרות!$A$2:$A$21,MOD(I1687+הגדרות!$E$9,הגדרות!$E$6)+1))</f>
        <v/>
      </c>
    </row>
    <row r="1688" customFormat="false" ht="15" hidden="false" customHeight="false" outlineLevel="0" collapsed="false">
      <c r="A1688" s="0" t="str">
        <f aca="false">IF('הדבקת לידים'!A1688="","",IF(ISNUMBER('הדבקת לידים'!A1688),IF(הגדרות!$E$2&gt;0,TEXT('הדבקת לידים'!A1688,REPT("0",הגדרות!$E$2)),TEXT('הדבקת לידים'!A1688,"0")),TRIM('הדבקת לידים'!A1688)))</f>
        <v/>
      </c>
      <c r="B1688" s="0" t="str">
        <f aca="false">IF('הדבקת לידים'!B1688="","",IF(ISNUMBER('הדבקת לידים'!B1688),IF(הגדרות!$E$3&gt;0,TEXT('הדבקת לידים'!B1688,REPT("0",הגדרות!$E$3)),TEXT('הדבקת לידים'!B1688,"0")),TRIM('הדבקת לידים'!B1688)))</f>
        <v/>
      </c>
      <c r="C1688" s="0" t="n">
        <f aca="false">IF(OR(A1688&lt;&gt;"",B1688&lt;&gt;""),1,0)</f>
        <v>0</v>
      </c>
      <c r="D1688" s="0" t="str">
        <f aca="false">IF(C1688=1,MOD(ABS(SIN(ROW()*12.9898+'הדבקת לידים'!$F$2*78.233+IFERROR(--RIGHT(A1688,6),LEN(A1688))*0.0137+IFERROR(--RIGHT(B1688,6),LEN(B1688))*0.0071))*43758.5453,1),"")</f>
        <v/>
      </c>
      <c r="E1688" s="0" t="str">
        <f aca="false">IF(C1688=1,INT(MOD(ABS(SIN(D1688*7919.123+ROW()*0.618+'הדבקת לידים'!$F$2*1.3))*43758.5453,1)*1000000)*10000+ROW(),"")</f>
        <v/>
      </c>
      <c r="F1688" s="0" t="str">
        <f aca="false">IF(E1688="","",RANK(E1688,$E$2:$E$5001,1))</f>
        <v/>
      </c>
      <c r="G1688" s="0" t="n">
        <f aca="false">IF(A1688="",0,IF(SUMPRODUCT(--($A$2:$A$5001=A1688))&gt;1,1,0))</f>
        <v>0</v>
      </c>
      <c r="H1688" s="0" t="n">
        <f aca="false">ROW()-1</f>
        <v>1687</v>
      </c>
      <c r="I1688" s="0" t="str">
        <f aca="false">IF(OR(הגדרות!$E$6=0,H1688&gt;הגדרות!$E$5),"",IF(H1688-1&lt;הגדרות!$E$8*(הגדרות!$E$7+1),INT((H1688-1)/(הגדרות!$E$7+1)),הגדרות!$E$8+INT((H1688-1-הגדרות!$E$8*(הגדרות!$E$7+1))/הגדרות!$E$7)))</f>
        <v/>
      </c>
      <c r="J1688" s="0" t="str">
        <f aca="false">IF(I1688="","",IF(H1688-1&lt;הגדרות!$E$8*(הגדרות!$E$7+1),MOD(H1688-1,הגדרות!$E$7+1),MOD(H1688-1-הגדרות!$E$8*(הגדרות!$E$7+1),הגדרות!$E$7)))</f>
        <v/>
      </c>
      <c r="K1688" s="0" t="str">
        <f aca="false">IF(I1688="","",J1688*הגדרות!$E$6+I1688+1)</f>
        <v/>
      </c>
      <c r="L1688" s="0" t="str">
        <f aca="false">IF(K1688="","",MATCH(K1688,$F$2:$F$5001,0))</f>
        <v/>
      </c>
      <c r="M1688" s="0" t="str">
        <f aca="false">IF(I1688="","",INDEX(הגדרות!$A$2:$A$21,MOD(I1688+הגדרות!$E$9,הגדרות!$E$6)+1))</f>
        <v/>
      </c>
    </row>
    <row r="1689" customFormat="false" ht="15" hidden="false" customHeight="false" outlineLevel="0" collapsed="false">
      <c r="A1689" s="0" t="str">
        <f aca="false">IF('הדבקת לידים'!A1689="","",IF(ISNUMBER('הדבקת לידים'!A1689),IF(הגדרות!$E$2&gt;0,TEXT('הדבקת לידים'!A1689,REPT("0",הגדרות!$E$2)),TEXT('הדבקת לידים'!A1689,"0")),TRIM('הדבקת לידים'!A1689)))</f>
        <v/>
      </c>
      <c r="B1689" s="0" t="str">
        <f aca="false">IF('הדבקת לידים'!B1689="","",IF(ISNUMBER('הדבקת לידים'!B1689),IF(הגדרות!$E$3&gt;0,TEXT('הדבקת לידים'!B1689,REPT("0",הגדרות!$E$3)),TEXT('הדבקת לידים'!B1689,"0")),TRIM('הדבקת לידים'!B1689)))</f>
        <v/>
      </c>
      <c r="C1689" s="0" t="n">
        <f aca="false">IF(OR(A1689&lt;&gt;"",B1689&lt;&gt;""),1,0)</f>
        <v>0</v>
      </c>
      <c r="D1689" s="0" t="str">
        <f aca="false">IF(C1689=1,MOD(ABS(SIN(ROW()*12.9898+'הדבקת לידים'!$F$2*78.233+IFERROR(--RIGHT(A1689,6),LEN(A1689))*0.0137+IFERROR(--RIGHT(B1689,6),LEN(B1689))*0.0071))*43758.5453,1),"")</f>
        <v/>
      </c>
      <c r="E1689" s="0" t="str">
        <f aca="false">IF(C1689=1,INT(MOD(ABS(SIN(D1689*7919.123+ROW()*0.618+'הדבקת לידים'!$F$2*1.3))*43758.5453,1)*1000000)*10000+ROW(),"")</f>
        <v/>
      </c>
      <c r="F1689" s="0" t="str">
        <f aca="false">IF(E1689="","",RANK(E1689,$E$2:$E$5001,1))</f>
        <v/>
      </c>
      <c r="G1689" s="0" t="n">
        <f aca="false">IF(A1689="",0,IF(SUMPRODUCT(--($A$2:$A$5001=A1689))&gt;1,1,0))</f>
        <v>0</v>
      </c>
      <c r="H1689" s="0" t="n">
        <f aca="false">ROW()-1</f>
        <v>1688</v>
      </c>
      <c r="I1689" s="0" t="str">
        <f aca="false">IF(OR(הגדרות!$E$6=0,H1689&gt;הגדרות!$E$5),"",IF(H1689-1&lt;הגדרות!$E$8*(הגדרות!$E$7+1),INT((H1689-1)/(הגדרות!$E$7+1)),הגדרות!$E$8+INT((H1689-1-הגדרות!$E$8*(הגדרות!$E$7+1))/הגדרות!$E$7)))</f>
        <v/>
      </c>
      <c r="J1689" s="0" t="str">
        <f aca="false">IF(I1689="","",IF(H1689-1&lt;הגדרות!$E$8*(הגדרות!$E$7+1),MOD(H1689-1,הגדרות!$E$7+1),MOD(H1689-1-הגדרות!$E$8*(הגדרות!$E$7+1),הגדרות!$E$7)))</f>
        <v/>
      </c>
      <c r="K1689" s="0" t="str">
        <f aca="false">IF(I1689="","",J1689*הגדרות!$E$6+I1689+1)</f>
        <v/>
      </c>
      <c r="L1689" s="0" t="str">
        <f aca="false">IF(K1689="","",MATCH(K1689,$F$2:$F$5001,0))</f>
        <v/>
      </c>
      <c r="M1689" s="0" t="str">
        <f aca="false">IF(I1689="","",INDEX(הגדרות!$A$2:$A$21,MOD(I1689+הגדרות!$E$9,הגדרות!$E$6)+1))</f>
        <v/>
      </c>
    </row>
    <row r="1690" customFormat="false" ht="15" hidden="false" customHeight="false" outlineLevel="0" collapsed="false">
      <c r="A1690" s="0" t="str">
        <f aca="false">IF('הדבקת לידים'!A1690="","",IF(ISNUMBER('הדבקת לידים'!A1690),IF(הגדרות!$E$2&gt;0,TEXT('הדבקת לידים'!A1690,REPT("0",הגדרות!$E$2)),TEXT('הדבקת לידים'!A1690,"0")),TRIM('הדבקת לידים'!A1690)))</f>
        <v/>
      </c>
      <c r="B1690" s="0" t="str">
        <f aca="false">IF('הדבקת לידים'!B1690="","",IF(ISNUMBER('הדבקת לידים'!B1690),IF(הגדרות!$E$3&gt;0,TEXT('הדבקת לידים'!B1690,REPT("0",הגדרות!$E$3)),TEXT('הדבקת לידים'!B1690,"0")),TRIM('הדבקת לידים'!B1690)))</f>
        <v/>
      </c>
      <c r="C1690" s="0" t="n">
        <f aca="false">IF(OR(A1690&lt;&gt;"",B1690&lt;&gt;""),1,0)</f>
        <v>0</v>
      </c>
      <c r="D1690" s="0" t="str">
        <f aca="false">IF(C1690=1,MOD(ABS(SIN(ROW()*12.9898+'הדבקת לידים'!$F$2*78.233+IFERROR(--RIGHT(A1690,6),LEN(A1690))*0.0137+IFERROR(--RIGHT(B1690,6),LEN(B1690))*0.0071))*43758.5453,1),"")</f>
        <v/>
      </c>
      <c r="E1690" s="0" t="str">
        <f aca="false">IF(C1690=1,INT(MOD(ABS(SIN(D1690*7919.123+ROW()*0.618+'הדבקת לידים'!$F$2*1.3))*43758.5453,1)*1000000)*10000+ROW(),"")</f>
        <v/>
      </c>
      <c r="F1690" s="0" t="str">
        <f aca="false">IF(E1690="","",RANK(E1690,$E$2:$E$5001,1))</f>
        <v/>
      </c>
      <c r="G1690" s="0" t="n">
        <f aca="false">IF(A1690="",0,IF(SUMPRODUCT(--($A$2:$A$5001=A1690))&gt;1,1,0))</f>
        <v>0</v>
      </c>
      <c r="H1690" s="0" t="n">
        <f aca="false">ROW()-1</f>
        <v>1689</v>
      </c>
      <c r="I1690" s="0" t="str">
        <f aca="false">IF(OR(הגדרות!$E$6=0,H1690&gt;הגדרות!$E$5),"",IF(H1690-1&lt;הגדרות!$E$8*(הגדרות!$E$7+1),INT((H1690-1)/(הגדרות!$E$7+1)),הגדרות!$E$8+INT((H1690-1-הגדרות!$E$8*(הגדרות!$E$7+1))/הגדרות!$E$7)))</f>
        <v/>
      </c>
      <c r="J1690" s="0" t="str">
        <f aca="false">IF(I1690="","",IF(H1690-1&lt;הגדרות!$E$8*(הגדרות!$E$7+1),MOD(H1690-1,הגדרות!$E$7+1),MOD(H1690-1-הגדרות!$E$8*(הגדרות!$E$7+1),הגדרות!$E$7)))</f>
        <v/>
      </c>
      <c r="K1690" s="0" t="str">
        <f aca="false">IF(I1690="","",J1690*הגדרות!$E$6+I1690+1)</f>
        <v/>
      </c>
      <c r="L1690" s="0" t="str">
        <f aca="false">IF(K1690="","",MATCH(K1690,$F$2:$F$5001,0))</f>
        <v/>
      </c>
      <c r="M1690" s="0" t="str">
        <f aca="false">IF(I1690="","",INDEX(הגדרות!$A$2:$A$21,MOD(I1690+הגדרות!$E$9,הגדרות!$E$6)+1))</f>
        <v/>
      </c>
    </row>
    <row r="1691" customFormat="false" ht="15" hidden="false" customHeight="false" outlineLevel="0" collapsed="false">
      <c r="A1691" s="0" t="str">
        <f aca="false">IF('הדבקת לידים'!A1691="","",IF(ISNUMBER('הדבקת לידים'!A1691),IF(הגדרות!$E$2&gt;0,TEXT('הדבקת לידים'!A1691,REPT("0",הגדרות!$E$2)),TEXT('הדבקת לידים'!A1691,"0")),TRIM('הדבקת לידים'!A1691)))</f>
        <v/>
      </c>
      <c r="B1691" s="0" t="str">
        <f aca="false">IF('הדבקת לידים'!B1691="","",IF(ISNUMBER('הדבקת לידים'!B1691),IF(הגדרות!$E$3&gt;0,TEXT('הדבקת לידים'!B1691,REPT("0",הגדרות!$E$3)),TEXT('הדבקת לידים'!B1691,"0")),TRIM('הדבקת לידים'!B1691)))</f>
        <v/>
      </c>
      <c r="C1691" s="0" t="n">
        <f aca="false">IF(OR(A1691&lt;&gt;"",B1691&lt;&gt;""),1,0)</f>
        <v>0</v>
      </c>
      <c r="D1691" s="0" t="str">
        <f aca="false">IF(C1691=1,MOD(ABS(SIN(ROW()*12.9898+'הדבקת לידים'!$F$2*78.233+IFERROR(--RIGHT(A1691,6),LEN(A1691))*0.0137+IFERROR(--RIGHT(B1691,6),LEN(B1691))*0.0071))*43758.5453,1),"")</f>
        <v/>
      </c>
      <c r="E1691" s="0" t="str">
        <f aca="false">IF(C1691=1,INT(MOD(ABS(SIN(D1691*7919.123+ROW()*0.618+'הדבקת לידים'!$F$2*1.3))*43758.5453,1)*1000000)*10000+ROW(),"")</f>
        <v/>
      </c>
      <c r="F1691" s="0" t="str">
        <f aca="false">IF(E1691="","",RANK(E1691,$E$2:$E$5001,1))</f>
        <v/>
      </c>
      <c r="G1691" s="0" t="n">
        <f aca="false">IF(A1691="",0,IF(SUMPRODUCT(--($A$2:$A$5001=A1691))&gt;1,1,0))</f>
        <v>0</v>
      </c>
      <c r="H1691" s="0" t="n">
        <f aca="false">ROW()-1</f>
        <v>1690</v>
      </c>
      <c r="I1691" s="0" t="str">
        <f aca="false">IF(OR(הגדרות!$E$6=0,H1691&gt;הגדרות!$E$5),"",IF(H1691-1&lt;הגדרות!$E$8*(הגדרות!$E$7+1),INT((H1691-1)/(הגדרות!$E$7+1)),הגדרות!$E$8+INT((H1691-1-הגדרות!$E$8*(הגדרות!$E$7+1))/הגדרות!$E$7)))</f>
        <v/>
      </c>
      <c r="J1691" s="0" t="str">
        <f aca="false">IF(I1691="","",IF(H1691-1&lt;הגדרות!$E$8*(הגדרות!$E$7+1),MOD(H1691-1,הגדרות!$E$7+1),MOD(H1691-1-הגדרות!$E$8*(הגדרות!$E$7+1),הגדרות!$E$7)))</f>
        <v/>
      </c>
      <c r="K1691" s="0" t="str">
        <f aca="false">IF(I1691="","",J1691*הגדרות!$E$6+I1691+1)</f>
        <v/>
      </c>
      <c r="L1691" s="0" t="str">
        <f aca="false">IF(K1691="","",MATCH(K1691,$F$2:$F$5001,0))</f>
        <v/>
      </c>
      <c r="M1691" s="0" t="str">
        <f aca="false">IF(I1691="","",INDEX(הגדרות!$A$2:$A$21,MOD(I1691+הגדרות!$E$9,הגדרות!$E$6)+1))</f>
        <v/>
      </c>
    </row>
    <row r="1692" customFormat="false" ht="15" hidden="false" customHeight="false" outlineLevel="0" collapsed="false">
      <c r="A1692" s="0" t="str">
        <f aca="false">IF('הדבקת לידים'!A1692="","",IF(ISNUMBER('הדבקת לידים'!A1692),IF(הגדרות!$E$2&gt;0,TEXT('הדבקת לידים'!A1692,REPT("0",הגדרות!$E$2)),TEXT('הדבקת לידים'!A1692,"0")),TRIM('הדבקת לידים'!A1692)))</f>
        <v/>
      </c>
      <c r="B1692" s="0" t="str">
        <f aca="false">IF('הדבקת לידים'!B1692="","",IF(ISNUMBER('הדבקת לידים'!B1692),IF(הגדרות!$E$3&gt;0,TEXT('הדבקת לידים'!B1692,REPT("0",הגדרות!$E$3)),TEXT('הדבקת לידים'!B1692,"0")),TRIM('הדבקת לידים'!B1692)))</f>
        <v/>
      </c>
      <c r="C1692" s="0" t="n">
        <f aca="false">IF(OR(A1692&lt;&gt;"",B1692&lt;&gt;""),1,0)</f>
        <v>0</v>
      </c>
      <c r="D1692" s="0" t="str">
        <f aca="false">IF(C1692=1,MOD(ABS(SIN(ROW()*12.9898+'הדבקת לידים'!$F$2*78.233+IFERROR(--RIGHT(A1692,6),LEN(A1692))*0.0137+IFERROR(--RIGHT(B1692,6),LEN(B1692))*0.0071))*43758.5453,1),"")</f>
        <v/>
      </c>
      <c r="E1692" s="0" t="str">
        <f aca="false">IF(C1692=1,INT(MOD(ABS(SIN(D1692*7919.123+ROW()*0.618+'הדבקת לידים'!$F$2*1.3))*43758.5453,1)*1000000)*10000+ROW(),"")</f>
        <v/>
      </c>
      <c r="F1692" s="0" t="str">
        <f aca="false">IF(E1692="","",RANK(E1692,$E$2:$E$5001,1))</f>
        <v/>
      </c>
      <c r="G1692" s="0" t="n">
        <f aca="false">IF(A1692="",0,IF(SUMPRODUCT(--($A$2:$A$5001=A1692))&gt;1,1,0))</f>
        <v>0</v>
      </c>
      <c r="H1692" s="0" t="n">
        <f aca="false">ROW()-1</f>
        <v>1691</v>
      </c>
      <c r="I1692" s="0" t="str">
        <f aca="false">IF(OR(הגדרות!$E$6=0,H1692&gt;הגדרות!$E$5),"",IF(H1692-1&lt;הגדרות!$E$8*(הגדרות!$E$7+1),INT((H1692-1)/(הגדרות!$E$7+1)),הגדרות!$E$8+INT((H1692-1-הגדרות!$E$8*(הגדרות!$E$7+1))/הגדרות!$E$7)))</f>
        <v/>
      </c>
      <c r="J1692" s="0" t="str">
        <f aca="false">IF(I1692="","",IF(H1692-1&lt;הגדרות!$E$8*(הגדרות!$E$7+1),MOD(H1692-1,הגדרות!$E$7+1),MOD(H1692-1-הגדרות!$E$8*(הגדרות!$E$7+1),הגדרות!$E$7)))</f>
        <v/>
      </c>
      <c r="K1692" s="0" t="str">
        <f aca="false">IF(I1692="","",J1692*הגדרות!$E$6+I1692+1)</f>
        <v/>
      </c>
      <c r="L1692" s="0" t="str">
        <f aca="false">IF(K1692="","",MATCH(K1692,$F$2:$F$5001,0))</f>
        <v/>
      </c>
      <c r="M1692" s="0" t="str">
        <f aca="false">IF(I1692="","",INDEX(הגדרות!$A$2:$A$21,MOD(I1692+הגדרות!$E$9,הגדרות!$E$6)+1))</f>
        <v/>
      </c>
    </row>
    <row r="1693" customFormat="false" ht="15" hidden="false" customHeight="false" outlineLevel="0" collapsed="false">
      <c r="A1693" s="0" t="str">
        <f aca="false">IF('הדבקת לידים'!A1693="","",IF(ISNUMBER('הדבקת לידים'!A1693),IF(הגדרות!$E$2&gt;0,TEXT('הדבקת לידים'!A1693,REPT("0",הגדרות!$E$2)),TEXT('הדבקת לידים'!A1693,"0")),TRIM('הדבקת לידים'!A1693)))</f>
        <v/>
      </c>
      <c r="B1693" s="0" t="str">
        <f aca="false">IF('הדבקת לידים'!B1693="","",IF(ISNUMBER('הדבקת לידים'!B1693),IF(הגדרות!$E$3&gt;0,TEXT('הדבקת לידים'!B1693,REPT("0",הגדרות!$E$3)),TEXT('הדבקת לידים'!B1693,"0")),TRIM('הדבקת לידים'!B1693)))</f>
        <v/>
      </c>
      <c r="C1693" s="0" t="n">
        <f aca="false">IF(OR(A1693&lt;&gt;"",B1693&lt;&gt;""),1,0)</f>
        <v>0</v>
      </c>
      <c r="D1693" s="0" t="str">
        <f aca="false">IF(C1693=1,MOD(ABS(SIN(ROW()*12.9898+'הדבקת לידים'!$F$2*78.233+IFERROR(--RIGHT(A1693,6),LEN(A1693))*0.0137+IFERROR(--RIGHT(B1693,6),LEN(B1693))*0.0071))*43758.5453,1),"")</f>
        <v/>
      </c>
      <c r="E1693" s="0" t="str">
        <f aca="false">IF(C1693=1,INT(MOD(ABS(SIN(D1693*7919.123+ROW()*0.618+'הדבקת לידים'!$F$2*1.3))*43758.5453,1)*1000000)*10000+ROW(),"")</f>
        <v/>
      </c>
      <c r="F1693" s="0" t="str">
        <f aca="false">IF(E1693="","",RANK(E1693,$E$2:$E$5001,1))</f>
        <v/>
      </c>
      <c r="G1693" s="0" t="n">
        <f aca="false">IF(A1693="",0,IF(SUMPRODUCT(--($A$2:$A$5001=A1693))&gt;1,1,0))</f>
        <v>0</v>
      </c>
      <c r="H1693" s="0" t="n">
        <f aca="false">ROW()-1</f>
        <v>1692</v>
      </c>
      <c r="I1693" s="0" t="str">
        <f aca="false">IF(OR(הגדרות!$E$6=0,H1693&gt;הגדרות!$E$5),"",IF(H1693-1&lt;הגדרות!$E$8*(הגדרות!$E$7+1),INT((H1693-1)/(הגדרות!$E$7+1)),הגדרות!$E$8+INT((H1693-1-הגדרות!$E$8*(הגדרות!$E$7+1))/הגדרות!$E$7)))</f>
        <v/>
      </c>
      <c r="J1693" s="0" t="str">
        <f aca="false">IF(I1693="","",IF(H1693-1&lt;הגדרות!$E$8*(הגדרות!$E$7+1),MOD(H1693-1,הגדרות!$E$7+1),MOD(H1693-1-הגדרות!$E$8*(הגדרות!$E$7+1),הגדרות!$E$7)))</f>
        <v/>
      </c>
      <c r="K1693" s="0" t="str">
        <f aca="false">IF(I1693="","",J1693*הגדרות!$E$6+I1693+1)</f>
        <v/>
      </c>
      <c r="L1693" s="0" t="str">
        <f aca="false">IF(K1693="","",MATCH(K1693,$F$2:$F$5001,0))</f>
        <v/>
      </c>
      <c r="M1693" s="0" t="str">
        <f aca="false">IF(I1693="","",INDEX(הגדרות!$A$2:$A$21,MOD(I1693+הגדרות!$E$9,הגדרות!$E$6)+1))</f>
        <v/>
      </c>
    </row>
    <row r="1694" customFormat="false" ht="15" hidden="false" customHeight="false" outlineLevel="0" collapsed="false">
      <c r="A1694" s="0" t="str">
        <f aca="false">IF('הדבקת לידים'!A1694="","",IF(ISNUMBER('הדבקת לידים'!A1694),IF(הגדרות!$E$2&gt;0,TEXT('הדבקת לידים'!A1694,REPT("0",הגדרות!$E$2)),TEXT('הדבקת לידים'!A1694,"0")),TRIM('הדבקת לידים'!A1694)))</f>
        <v/>
      </c>
      <c r="B1694" s="0" t="str">
        <f aca="false">IF('הדבקת לידים'!B1694="","",IF(ISNUMBER('הדבקת לידים'!B1694),IF(הגדרות!$E$3&gt;0,TEXT('הדבקת לידים'!B1694,REPT("0",הגדרות!$E$3)),TEXT('הדבקת לידים'!B1694,"0")),TRIM('הדבקת לידים'!B1694)))</f>
        <v/>
      </c>
      <c r="C1694" s="0" t="n">
        <f aca="false">IF(OR(A1694&lt;&gt;"",B1694&lt;&gt;""),1,0)</f>
        <v>0</v>
      </c>
      <c r="D1694" s="0" t="str">
        <f aca="false">IF(C1694=1,MOD(ABS(SIN(ROW()*12.9898+'הדבקת לידים'!$F$2*78.233+IFERROR(--RIGHT(A1694,6),LEN(A1694))*0.0137+IFERROR(--RIGHT(B1694,6),LEN(B1694))*0.0071))*43758.5453,1),"")</f>
        <v/>
      </c>
      <c r="E1694" s="0" t="str">
        <f aca="false">IF(C1694=1,INT(MOD(ABS(SIN(D1694*7919.123+ROW()*0.618+'הדבקת לידים'!$F$2*1.3))*43758.5453,1)*1000000)*10000+ROW(),"")</f>
        <v/>
      </c>
      <c r="F1694" s="0" t="str">
        <f aca="false">IF(E1694="","",RANK(E1694,$E$2:$E$5001,1))</f>
        <v/>
      </c>
      <c r="G1694" s="0" t="n">
        <f aca="false">IF(A1694="",0,IF(SUMPRODUCT(--($A$2:$A$5001=A1694))&gt;1,1,0))</f>
        <v>0</v>
      </c>
      <c r="H1694" s="0" t="n">
        <f aca="false">ROW()-1</f>
        <v>1693</v>
      </c>
      <c r="I1694" s="0" t="str">
        <f aca="false">IF(OR(הגדרות!$E$6=0,H1694&gt;הגדרות!$E$5),"",IF(H1694-1&lt;הגדרות!$E$8*(הגדרות!$E$7+1),INT((H1694-1)/(הגדרות!$E$7+1)),הגדרות!$E$8+INT((H1694-1-הגדרות!$E$8*(הגדרות!$E$7+1))/הגדרות!$E$7)))</f>
        <v/>
      </c>
      <c r="J1694" s="0" t="str">
        <f aca="false">IF(I1694="","",IF(H1694-1&lt;הגדרות!$E$8*(הגדרות!$E$7+1),MOD(H1694-1,הגדרות!$E$7+1),MOD(H1694-1-הגדרות!$E$8*(הגדרות!$E$7+1),הגדרות!$E$7)))</f>
        <v/>
      </c>
      <c r="K1694" s="0" t="str">
        <f aca="false">IF(I1694="","",J1694*הגדרות!$E$6+I1694+1)</f>
        <v/>
      </c>
      <c r="L1694" s="0" t="str">
        <f aca="false">IF(K1694="","",MATCH(K1694,$F$2:$F$5001,0))</f>
        <v/>
      </c>
      <c r="M1694" s="0" t="str">
        <f aca="false">IF(I1694="","",INDEX(הגדרות!$A$2:$A$21,MOD(I1694+הגדרות!$E$9,הגדרות!$E$6)+1))</f>
        <v/>
      </c>
    </row>
    <row r="1695" customFormat="false" ht="15" hidden="false" customHeight="false" outlineLevel="0" collapsed="false">
      <c r="A1695" s="0" t="str">
        <f aca="false">IF('הדבקת לידים'!A1695="","",IF(ISNUMBER('הדבקת לידים'!A1695),IF(הגדרות!$E$2&gt;0,TEXT('הדבקת לידים'!A1695,REPT("0",הגדרות!$E$2)),TEXT('הדבקת לידים'!A1695,"0")),TRIM('הדבקת לידים'!A1695)))</f>
        <v/>
      </c>
      <c r="B1695" s="0" t="str">
        <f aca="false">IF('הדבקת לידים'!B1695="","",IF(ISNUMBER('הדבקת לידים'!B1695),IF(הגדרות!$E$3&gt;0,TEXT('הדבקת לידים'!B1695,REPT("0",הגדרות!$E$3)),TEXT('הדבקת לידים'!B1695,"0")),TRIM('הדבקת לידים'!B1695)))</f>
        <v/>
      </c>
      <c r="C1695" s="0" t="n">
        <f aca="false">IF(OR(A1695&lt;&gt;"",B1695&lt;&gt;""),1,0)</f>
        <v>0</v>
      </c>
      <c r="D1695" s="0" t="str">
        <f aca="false">IF(C1695=1,MOD(ABS(SIN(ROW()*12.9898+'הדבקת לידים'!$F$2*78.233+IFERROR(--RIGHT(A1695,6),LEN(A1695))*0.0137+IFERROR(--RIGHT(B1695,6),LEN(B1695))*0.0071))*43758.5453,1),"")</f>
        <v/>
      </c>
      <c r="E1695" s="0" t="str">
        <f aca="false">IF(C1695=1,INT(MOD(ABS(SIN(D1695*7919.123+ROW()*0.618+'הדבקת לידים'!$F$2*1.3))*43758.5453,1)*1000000)*10000+ROW(),"")</f>
        <v/>
      </c>
      <c r="F1695" s="0" t="str">
        <f aca="false">IF(E1695="","",RANK(E1695,$E$2:$E$5001,1))</f>
        <v/>
      </c>
      <c r="G1695" s="0" t="n">
        <f aca="false">IF(A1695="",0,IF(SUMPRODUCT(--($A$2:$A$5001=A1695))&gt;1,1,0))</f>
        <v>0</v>
      </c>
      <c r="H1695" s="0" t="n">
        <f aca="false">ROW()-1</f>
        <v>1694</v>
      </c>
      <c r="I1695" s="0" t="str">
        <f aca="false">IF(OR(הגדרות!$E$6=0,H1695&gt;הגדרות!$E$5),"",IF(H1695-1&lt;הגדרות!$E$8*(הגדרות!$E$7+1),INT((H1695-1)/(הגדרות!$E$7+1)),הגדרות!$E$8+INT((H1695-1-הגדרות!$E$8*(הגדרות!$E$7+1))/הגדרות!$E$7)))</f>
        <v/>
      </c>
      <c r="J1695" s="0" t="str">
        <f aca="false">IF(I1695="","",IF(H1695-1&lt;הגדרות!$E$8*(הגדרות!$E$7+1),MOD(H1695-1,הגדרות!$E$7+1),MOD(H1695-1-הגדרות!$E$8*(הגדרות!$E$7+1),הגדרות!$E$7)))</f>
        <v/>
      </c>
      <c r="K1695" s="0" t="str">
        <f aca="false">IF(I1695="","",J1695*הגדרות!$E$6+I1695+1)</f>
        <v/>
      </c>
      <c r="L1695" s="0" t="str">
        <f aca="false">IF(K1695="","",MATCH(K1695,$F$2:$F$5001,0))</f>
        <v/>
      </c>
      <c r="M1695" s="0" t="str">
        <f aca="false">IF(I1695="","",INDEX(הגדרות!$A$2:$A$21,MOD(I1695+הגדרות!$E$9,הגדרות!$E$6)+1))</f>
        <v/>
      </c>
    </row>
    <row r="1696" customFormat="false" ht="15" hidden="false" customHeight="false" outlineLevel="0" collapsed="false">
      <c r="A1696" s="0" t="str">
        <f aca="false">IF('הדבקת לידים'!A1696="","",IF(ISNUMBER('הדבקת לידים'!A1696),IF(הגדרות!$E$2&gt;0,TEXT('הדבקת לידים'!A1696,REPT("0",הגדרות!$E$2)),TEXT('הדבקת לידים'!A1696,"0")),TRIM('הדבקת לידים'!A1696)))</f>
        <v/>
      </c>
      <c r="B1696" s="0" t="str">
        <f aca="false">IF('הדבקת לידים'!B1696="","",IF(ISNUMBER('הדבקת לידים'!B1696),IF(הגדרות!$E$3&gt;0,TEXT('הדבקת לידים'!B1696,REPT("0",הגדרות!$E$3)),TEXT('הדבקת לידים'!B1696,"0")),TRIM('הדבקת לידים'!B1696)))</f>
        <v/>
      </c>
      <c r="C1696" s="0" t="n">
        <f aca="false">IF(OR(A1696&lt;&gt;"",B1696&lt;&gt;""),1,0)</f>
        <v>0</v>
      </c>
      <c r="D1696" s="0" t="str">
        <f aca="false">IF(C1696=1,MOD(ABS(SIN(ROW()*12.9898+'הדבקת לידים'!$F$2*78.233+IFERROR(--RIGHT(A1696,6),LEN(A1696))*0.0137+IFERROR(--RIGHT(B1696,6),LEN(B1696))*0.0071))*43758.5453,1),"")</f>
        <v/>
      </c>
      <c r="E1696" s="0" t="str">
        <f aca="false">IF(C1696=1,INT(MOD(ABS(SIN(D1696*7919.123+ROW()*0.618+'הדבקת לידים'!$F$2*1.3))*43758.5453,1)*1000000)*10000+ROW(),"")</f>
        <v/>
      </c>
      <c r="F1696" s="0" t="str">
        <f aca="false">IF(E1696="","",RANK(E1696,$E$2:$E$5001,1))</f>
        <v/>
      </c>
      <c r="G1696" s="0" t="n">
        <f aca="false">IF(A1696="",0,IF(SUMPRODUCT(--($A$2:$A$5001=A1696))&gt;1,1,0))</f>
        <v>0</v>
      </c>
      <c r="H1696" s="0" t="n">
        <f aca="false">ROW()-1</f>
        <v>1695</v>
      </c>
      <c r="I1696" s="0" t="str">
        <f aca="false">IF(OR(הגדרות!$E$6=0,H1696&gt;הגדרות!$E$5),"",IF(H1696-1&lt;הגדרות!$E$8*(הגדרות!$E$7+1),INT((H1696-1)/(הגדרות!$E$7+1)),הגדרות!$E$8+INT((H1696-1-הגדרות!$E$8*(הגדרות!$E$7+1))/הגדרות!$E$7)))</f>
        <v/>
      </c>
      <c r="J1696" s="0" t="str">
        <f aca="false">IF(I1696="","",IF(H1696-1&lt;הגדרות!$E$8*(הגדרות!$E$7+1),MOD(H1696-1,הגדרות!$E$7+1),MOD(H1696-1-הגדרות!$E$8*(הגדרות!$E$7+1),הגדרות!$E$7)))</f>
        <v/>
      </c>
      <c r="K1696" s="0" t="str">
        <f aca="false">IF(I1696="","",J1696*הגדרות!$E$6+I1696+1)</f>
        <v/>
      </c>
      <c r="L1696" s="0" t="str">
        <f aca="false">IF(K1696="","",MATCH(K1696,$F$2:$F$5001,0))</f>
        <v/>
      </c>
      <c r="M1696" s="0" t="str">
        <f aca="false">IF(I1696="","",INDEX(הגדרות!$A$2:$A$21,MOD(I1696+הגדרות!$E$9,הגדרות!$E$6)+1))</f>
        <v/>
      </c>
    </row>
    <row r="1697" customFormat="false" ht="15" hidden="false" customHeight="false" outlineLevel="0" collapsed="false">
      <c r="A1697" s="0" t="str">
        <f aca="false">IF('הדבקת לידים'!A1697="","",IF(ISNUMBER('הדבקת לידים'!A1697),IF(הגדרות!$E$2&gt;0,TEXT('הדבקת לידים'!A1697,REPT("0",הגדרות!$E$2)),TEXT('הדבקת לידים'!A1697,"0")),TRIM('הדבקת לידים'!A1697)))</f>
        <v/>
      </c>
      <c r="B1697" s="0" t="str">
        <f aca="false">IF('הדבקת לידים'!B1697="","",IF(ISNUMBER('הדבקת לידים'!B1697),IF(הגדרות!$E$3&gt;0,TEXT('הדבקת לידים'!B1697,REPT("0",הגדרות!$E$3)),TEXT('הדבקת לידים'!B1697,"0")),TRIM('הדבקת לידים'!B1697)))</f>
        <v/>
      </c>
      <c r="C1697" s="0" t="n">
        <f aca="false">IF(OR(A1697&lt;&gt;"",B1697&lt;&gt;""),1,0)</f>
        <v>0</v>
      </c>
      <c r="D1697" s="0" t="str">
        <f aca="false">IF(C1697=1,MOD(ABS(SIN(ROW()*12.9898+'הדבקת לידים'!$F$2*78.233+IFERROR(--RIGHT(A1697,6),LEN(A1697))*0.0137+IFERROR(--RIGHT(B1697,6),LEN(B1697))*0.0071))*43758.5453,1),"")</f>
        <v/>
      </c>
      <c r="E1697" s="0" t="str">
        <f aca="false">IF(C1697=1,INT(MOD(ABS(SIN(D1697*7919.123+ROW()*0.618+'הדבקת לידים'!$F$2*1.3))*43758.5453,1)*1000000)*10000+ROW(),"")</f>
        <v/>
      </c>
      <c r="F1697" s="0" t="str">
        <f aca="false">IF(E1697="","",RANK(E1697,$E$2:$E$5001,1))</f>
        <v/>
      </c>
      <c r="G1697" s="0" t="n">
        <f aca="false">IF(A1697="",0,IF(SUMPRODUCT(--($A$2:$A$5001=A1697))&gt;1,1,0))</f>
        <v>0</v>
      </c>
      <c r="H1697" s="0" t="n">
        <f aca="false">ROW()-1</f>
        <v>1696</v>
      </c>
      <c r="I1697" s="0" t="str">
        <f aca="false">IF(OR(הגדרות!$E$6=0,H1697&gt;הגדרות!$E$5),"",IF(H1697-1&lt;הגדרות!$E$8*(הגדרות!$E$7+1),INT((H1697-1)/(הגדרות!$E$7+1)),הגדרות!$E$8+INT((H1697-1-הגדרות!$E$8*(הגדרות!$E$7+1))/הגדרות!$E$7)))</f>
        <v/>
      </c>
      <c r="J1697" s="0" t="str">
        <f aca="false">IF(I1697="","",IF(H1697-1&lt;הגדרות!$E$8*(הגדרות!$E$7+1),MOD(H1697-1,הגדרות!$E$7+1),MOD(H1697-1-הגדרות!$E$8*(הגדרות!$E$7+1),הגדרות!$E$7)))</f>
        <v/>
      </c>
      <c r="K1697" s="0" t="str">
        <f aca="false">IF(I1697="","",J1697*הגדרות!$E$6+I1697+1)</f>
        <v/>
      </c>
      <c r="L1697" s="0" t="str">
        <f aca="false">IF(K1697="","",MATCH(K1697,$F$2:$F$5001,0))</f>
        <v/>
      </c>
      <c r="M1697" s="0" t="str">
        <f aca="false">IF(I1697="","",INDEX(הגדרות!$A$2:$A$21,MOD(I1697+הגדרות!$E$9,הגדרות!$E$6)+1))</f>
        <v/>
      </c>
    </row>
    <row r="1698" customFormat="false" ht="15" hidden="false" customHeight="false" outlineLevel="0" collapsed="false">
      <c r="A1698" s="0" t="str">
        <f aca="false">IF('הדבקת לידים'!A1698="","",IF(ISNUMBER('הדבקת לידים'!A1698),IF(הגדרות!$E$2&gt;0,TEXT('הדבקת לידים'!A1698,REPT("0",הגדרות!$E$2)),TEXT('הדבקת לידים'!A1698,"0")),TRIM('הדבקת לידים'!A1698)))</f>
        <v/>
      </c>
      <c r="B1698" s="0" t="str">
        <f aca="false">IF('הדבקת לידים'!B1698="","",IF(ISNUMBER('הדבקת לידים'!B1698),IF(הגדרות!$E$3&gt;0,TEXT('הדבקת לידים'!B1698,REPT("0",הגדרות!$E$3)),TEXT('הדבקת לידים'!B1698,"0")),TRIM('הדבקת לידים'!B1698)))</f>
        <v/>
      </c>
      <c r="C1698" s="0" t="n">
        <f aca="false">IF(OR(A1698&lt;&gt;"",B1698&lt;&gt;""),1,0)</f>
        <v>0</v>
      </c>
      <c r="D1698" s="0" t="str">
        <f aca="false">IF(C1698=1,MOD(ABS(SIN(ROW()*12.9898+'הדבקת לידים'!$F$2*78.233+IFERROR(--RIGHT(A1698,6),LEN(A1698))*0.0137+IFERROR(--RIGHT(B1698,6),LEN(B1698))*0.0071))*43758.5453,1),"")</f>
        <v/>
      </c>
      <c r="E1698" s="0" t="str">
        <f aca="false">IF(C1698=1,INT(MOD(ABS(SIN(D1698*7919.123+ROW()*0.618+'הדבקת לידים'!$F$2*1.3))*43758.5453,1)*1000000)*10000+ROW(),"")</f>
        <v/>
      </c>
      <c r="F1698" s="0" t="str">
        <f aca="false">IF(E1698="","",RANK(E1698,$E$2:$E$5001,1))</f>
        <v/>
      </c>
      <c r="G1698" s="0" t="n">
        <f aca="false">IF(A1698="",0,IF(SUMPRODUCT(--($A$2:$A$5001=A1698))&gt;1,1,0))</f>
        <v>0</v>
      </c>
      <c r="H1698" s="0" t="n">
        <f aca="false">ROW()-1</f>
        <v>1697</v>
      </c>
      <c r="I1698" s="0" t="str">
        <f aca="false">IF(OR(הגדרות!$E$6=0,H1698&gt;הגדרות!$E$5),"",IF(H1698-1&lt;הגדרות!$E$8*(הגדרות!$E$7+1),INT((H1698-1)/(הגדרות!$E$7+1)),הגדרות!$E$8+INT((H1698-1-הגדרות!$E$8*(הגדרות!$E$7+1))/הגדרות!$E$7)))</f>
        <v/>
      </c>
      <c r="J1698" s="0" t="str">
        <f aca="false">IF(I1698="","",IF(H1698-1&lt;הגדרות!$E$8*(הגדרות!$E$7+1),MOD(H1698-1,הגדרות!$E$7+1),MOD(H1698-1-הגדרות!$E$8*(הגדרות!$E$7+1),הגדרות!$E$7)))</f>
        <v/>
      </c>
      <c r="K1698" s="0" t="str">
        <f aca="false">IF(I1698="","",J1698*הגדרות!$E$6+I1698+1)</f>
        <v/>
      </c>
      <c r="L1698" s="0" t="str">
        <f aca="false">IF(K1698="","",MATCH(K1698,$F$2:$F$5001,0))</f>
        <v/>
      </c>
      <c r="M1698" s="0" t="str">
        <f aca="false">IF(I1698="","",INDEX(הגדרות!$A$2:$A$21,MOD(I1698+הגדרות!$E$9,הגדרות!$E$6)+1))</f>
        <v/>
      </c>
    </row>
    <row r="1699" customFormat="false" ht="15" hidden="false" customHeight="false" outlineLevel="0" collapsed="false">
      <c r="A1699" s="0" t="str">
        <f aca="false">IF('הדבקת לידים'!A1699="","",IF(ISNUMBER('הדבקת לידים'!A1699),IF(הגדרות!$E$2&gt;0,TEXT('הדבקת לידים'!A1699,REPT("0",הגדרות!$E$2)),TEXT('הדבקת לידים'!A1699,"0")),TRIM('הדבקת לידים'!A1699)))</f>
        <v/>
      </c>
      <c r="B1699" s="0" t="str">
        <f aca="false">IF('הדבקת לידים'!B1699="","",IF(ISNUMBER('הדבקת לידים'!B1699),IF(הגדרות!$E$3&gt;0,TEXT('הדבקת לידים'!B1699,REPT("0",הגדרות!$E$3)),TEXT('הדבקת לידים'!B1699,"0")),TRIM('הדבקת לידים'!B1699)))</f>
        <v/>
      </c>
      <c r="C1699" s="0" t="n">
        <f aca="false">IF(OR(A1699&lt;&gt;"",B1699&lt;&gt;""),1,0)</f>
        <v>0</v>
      </c>
      <c r="D1699" s="0" t="str">
        <f aca="false">IF(C1699=1,MOD(ABS(SIN(ROW()*12.9898+'הדבקת לידים'!$F$2*78.233+IFERROR(--RIGHT(A1699,6),LEN(A1699))*0.0137+IFERROR(--RIGHT(B1699,6),LEN(B1699))*0.0071))*43758.5453,1),"")</f>
        <v/>
      </c>
      <c r="E1699" s="0" t="str">
        <f aca="false">IF(C1699=1,INT(MOD(ABS(SIN(D1699*7919.123+ROW()*0.618+'הדבקת לידים'!$F$2*1.3))*43758.5453,1)*1000000)*10000+ROW(),"")</f>
        <v/>
      </c>
      <c r="F1699" s="0" t="str">
        <f aca="false">IF(E1699="","",RANK(E1699,$E$2:$E$5001,1))</f>
        <v/>
      </c>
      <c r="G1699" s="0" t="n">
        <f aca="false">IF(A1699="",0,IF(SUMPRODUCT(--($A$2:$A$5001=A1699))&gt;1,1,0))</f>
        <v>0</v>
      </c>
      <c r="H1699" s="0" t="n">
        <f aca="false">ROW()-1</f>
        <v>1698</v>
      </c>
      <c r="I1699" s="0" t="str">
        <f aca="false">IF(OR(הגדרות!$E$6=0,H1699&gt;הגדרות!$E$5),"",IF(H1699-1&lt;הגדרות!$E$8*(הגדרות!$E$7+1),INT((H1699-1)/(הגדרות!$E$7+1)),הגדרות!$E$8+INT((H1699-1-הגדרות!$E$8*(הגדרות!$E$7+1))/הגדרות!$E$7)))</f>
        <v/>
      </c>
      <c r="J1699" s="0" t="str">
        <f aca="false">IF(I1699="","",IF(H1699-1&lt;הגדרות!$E$8*(הגדרות!$E$7+1),MOD(H1699-1,הגדרות!$E$7+1),MOD(H1699-1-הגדרות!$E$8*(הגדרות!$E$7+1),הגדרות!$E$7)))</f>
        <v/>
      </c>
      <c r="K1699" s="0" t="str">
        <f aca="false">IF(I1699="","",J1699*הגדרות!$E$6+I1699+1)</f>
        <v/>
      </c>
      <c r="L1699" s="0" t="str">
        <f aca="false">IF(K1699="","",MATCH(K1699,$F$2:$F$5001,0))</f>
        <v/>
      </c>
      <c r="M1699" s="0" t="str">
        <f aca="false">IF(I1699="","",INDEX(הגדרות!$A$2:$A$21,MOD(I1699+הגדרות!$E$9,הגדרות!$E$6)+1))</f>
        <v/>
      </c>
    </row>
    <row r="1700" customFormat="false" ht="15" hidden="false" customHeight="false" outlineLevel="0" collapsed="false">
      <c r="A1700" s="0" t="str">
        <f aca="false">IF('הדבקת לידים'!A1700="","",IF(ISNUMBER('הדבקת לידים'!A1700),IF(הגדרות!$E$2&gt;0,TEXT('הדבקת לידים'!A1700,REPT("0",הגדרות!$E$2)),TEXT('הדבקת לידים'!A1700,"0")),TRIM('הדבקת לידים'!A1700)))</f>
        <v/>
      </c>
      <c r="B1700" s="0" t="str">
        <f aca="false">IF('הדבקת לידים'!B1700="","",IF(ISNUMBER('הדבקת לידים'!B1700),IF(הגדרות!$E$3&gt;0,TEXT('הדבקת לידים'!B1700,REPT("0",הגדרות!$E$3)),TEXT('הדבקת לידים'!B1700,"0")),TRIM('הדבקת לידים'!B1700)))</f>
        <v/>
      </c>
      <c r="C1700" s="0" t="n">
        <f aca="false">IF(OR(A1700&lt;&gt;"",B1700&lt;&gt;""),1,0)</f>
        <v>0</v>
      </c>
      <c r="D1700" s="0" t="str">
        <f aca="false">IF(C1700=1,MOD(ABS(SIN(ROW()*12.9898+'הדבקת לידים'!$F$2*78.233+IFERROR(--RIGHT(A1700,6),LEN(A1700))*0.0137+IFERROR(--RIGHT(B1700,6),LEN(B1700))*0.0071))*43758.5453,1),"")</f>
        <v/>
      </c>
      <c r="E1700" s="0" t="str">
        <f aca="false">IF(C1700=1,INT(MOD(ABS(SIN(D1700*7919.123+ROW()*0.618+'הדבקת לידים'!$F$2*1.3))*43758.5453,1)*1000000)*10000+ROW(),"")</f>
        <v/>
      </c>
      <c r="F1700" s="0" t="str">
        <f aca="false">IF(E1700="","",RANK(E1700,$E$2:$E$5001,1))</f>
        <v/>
      </c>
      <c r="G1700" s="0" t="n">
        <f aca="false">IF(A1700="",0,IF(SUMPRODUCT(--($A$2:$A$5001=A1700))&gt;1,1,0))</f>
        <v>0</v>
      </c>
      <c r="H1700" s="0" t="n">
        <f aca="false">ROW()-1</f>
        <v>1699</v>
      </c>
      <c r="I1700" s="0" t="str">
        <f aca="false">IF(OR(הגדרות!$E$6=0,H1700&gt;הגדרות!$E$5),"",IF(H1700-1&lt;הגדרות!$E$8*(הגדרות!$E$7+1),INT((H1700-1)/(הגדרות!$E$7+1)),הגדרות!$E$8+INT((H1700-1-הגדרות!$E$8*(הגדרות!$E$7+1))/הגדרות!$E$7)))</f>
        <v/>
      </c>
      <c r="J1700" s="0" t="str">
        <f aca="false">IF(I1700="","",IF(H1700-1&lt;הגדרות!$E$8*(הגדרות!$E$7+1),MOD(H1700-1,הגדרות!$E$7+1),MOD(H1700-1-הגדרות!$E$8*(הגדרות!$E$7+1),הגדרות!$E$7)))</f>
        <v/>
      </c>
      <c r="K1700" s="0" t="str">
        <f aca="false">IF(I1700="","",J1700*הגדרות!$E$6+I1700+1)</f>
        <v/>
      </c>
      <c r="L1700" s="0" t="str">
        <f aca="false">IF(K1700="","",MATCH(K1700,$F$2:$F$5001,0))</f>
        <v/>
      </c>
      <c r="M1700" s="0" t="str">
        <f aca="false">IF(I1700="","",INDEX(הגדרות!$A$2:$A$21,MOD(I1700+הגדרות!$E$9,הגדרות!$E$6)+1))</f>
        <v/>
      </c>
    </row>
    <row r="1701" customFormat="false" ht="15" hidden="false" customHeight="false" outlineLevel="0" collapsed="false">
      <c r="A1701" s="0" t="str">
        <f aca="false">IF('הדבקת לידים'!A1701="","",IF(ISNUMBER('הדבקת לידים'!A1701),IF(הגדרות!$E$2&gt;0,TEXT('הדבקת לידים'!A1701,REPT("0",הגדרות!$E$2)),TEXT('הדבקת לידים'!A1701,"0")),TRIM('הדבקת לידים'!A1701)))</f>
        <v/>
      </c>
      <c r="B1701" s="0" t="str">
        <f aca="false">IF('הדבקת לידים'!B1701="","",IF(ISNUMBER('הדבקת לידים'!B1701),IF(הגדרות!$E$3&gt;0,TEXT('הדבקת לידים'!B1701,REPT("0",הגדרות!$E$3)),TEXT('הדבקת לידים'!B1701,"0")),TRIM('הדבקת לידים'!B1701)))</f>
        <v/>
      </c>
      <c r="C1701" s="0" t="n">
        <f aca="false">IF(OR(A1701&lt;&gt;"",B1701&lt;&gt;""),1,0)</f>
        <v>0</v>
      </c>
      <c r="D1701" s="0" t="str">
        <f aca="false">IF(C1701=1,MOD(ABS(SIN(ROW()*12.9898+'הדבקת לידים'!$F$2*78.233+IFERROR(--RIGHT(A1701,6),LEN(A1701))*0.0137+IFERROR(--RIGHT(B1701,6),LEN(B1701))*0.0071))*43758.5453,1),"")</f>
        <v/>
      </c>
      <c r="E1701" s="0" t="str">
        <f aca="false">IF(C1701=1,INT(MOD(ABS(SIN(D1701*7919.123+ROW()*0.618+'הדבקת לידים'!$F$2*1.3))*43758.5453,1)*1000000)*10000+ROW(),"")</f>
        <v/>
      </c>
      <c r="F1701" s="0" t="str">
        <f aca="false">IF(E1701="","",RANK(E1701,$E$2:$E$5001,1))</f>
        <v/>
      </c>
      <c r="G1701" s="0" t="n">
        <f aca="false">IF(A1701="",0,IF(SUMPRODUCT(--($A$2:$A$5001=A1701))&gt;1,1,0))</f>
        <v>0</v>
      </c>
      <c r="H1701" s="0" t="n">
        <f aca="false">ROW()-1</f>
        <v>1700</v>
      </c>
      <c r="I1701" s="0" t="str">
        <f aca="false">IF(OR(הגדרות!$E$6=0,H1701&gt;הגדרות!$E$5),"",IF(H1701-1&lt;הגדרות!$E$8*(הגדרות!$E$7+1),INT((H1701-1)/(הגדרות!$E$7+1)),הגדרות!$E$8+INT((H1701-1-הגדרות!$E$8*(הגדרות!$E$7+1))/הגדרות!$E$7)))</f>
        <v/>
      </c>
      <c r="J1701" s="0" t="str">
        <f aca="false">IF(I1701="","",IF(H1701-1&lt;הגדרות!$E$8*(הגדרות!$E$7+1),MOD(H1701-1,הגדרות!$E$7+1),MOD(H1701-1-הגדרות!$E$8*(הגדרות!$E$7+1),הגדרות!$E$7)))</f>
        <v/>
      </c>
      <c r="K1701" s="0" t="str">
        <f aca="false">IF(I1701="","",J1701*הגדרות!$E$6+I1701+1)</f>
        <v/>
      </c>
      <c r="L1701" s="0" t="str">
        <f aca="false">IF(K1701="","",MATCH(K1701,$F$2:$F$5001,0))</f>
        <v/>
      </c>
      <c r="M1701" s="0" t="str">
        <f aca="false">IF(I1701="","",INDEX(הגדרות!$A$2:$A$21,MOD(I1701+הגדרות!$E$9,הגדרות!$E$6)+1))</f>
        <v/>
      </c>
    </row>
    <row r="1702" customFormat="false" ht="15" hidden="false" customHeight="false" outlineLevel="0" collapsed="false">
      <c r="A1702" s="0" t="str">
        <f aca="false">IF('הדבקת לידים'!A1702="","",IF(ISNUMBER('הדבקת לידים'!A1702),IF(הגדרות!$E$2&gt;0,TEXT('הדבקת לידים'!A1702,REPT("0",הגדרות!$E$2)),TEXT('הדבקת לידים'!A1702,"0")),TRIM('הדבקת לידים'!A1702)))</f>
        <v/>
      </c>
      <c r="B1702" s="0" t="str">
        <f aca="false">IF('הדבקת לידים'!B1702="","",IF(ISNUMBER('הדבקת לידים'!B1702),IF(הגדרות!$E$3&gt;0,TEXT('הדבקת לידים'!B1702,REPT("0",הגדרות!$E$3)),TEXT('הדבקת לידים'!B1702,"0")),TRIM('הדבקת לידים'!B1702)))</f>
        <v/>
      </c>
      <c r="C1702" s="0" t="n">
        <f aca="false">IF(OR(A1702&lt;&gt;"",B1702&lt;&gt;""),1,0)</f>
        <v>0</v>
      </c>
      <c r="D1702" s="0" t="str">
        <f aca="false">IF(C1702=1,MOD(ABS(SIN(ROW()*12.9898+'הדבקת לידים'!$F$2*78.233+IFERROR(--RIGHT(A1702,6),LEN(A1702))*0.0137+IFERROR(--RIGHT(B1702,6),LEN(B1702))*0.0071))*43758.5453,1),"")</f>
        <v/>
      </c>
      <c r="E1702" s="0" t="str">
        <f aca="false">IF(C1702=1,INT(MOD(ABS(SIN(D1702*7919.123+ROW()*0.618+'הדבקת לידים'!$F$2*1.3))*43758.5453,1)*1000000)*10000+ROW(),"")</f>
        <v/>
      </c>
      <c r="F1702" s="0" t="str">
        <f aca="false">IF(E1702="","",RANK(E1702,$E$2:$E$5001,1))</f>
        <v/>
      </c>
      <c r="G1702" s="0" t="n">
        <f aca="false">IF(A1702="",0,IF(SUMPRODUCT(--($A$2:$A$5001=A1702))&gt;1,1,0))</f>
        <v>0</v>
      </c>
      <c r="H1702" s="0" t="n">
        <f aca="false">ROW()-1</f>
        <v>1701</v>
      </c>
      <c r="I1702" s="0" t="str">
        <f aca="false">IF(OR(הגדרות!$E$6=0,H1702&gt;הגדרות!$E$5),"",IF(H1702-1&lt;הגדרות!$E$8*(הגדרות!$E$7+1),INT((H1702-1)/(הגדרות!$E$7+1)),הגדרות!$E$8+INT((H1702-1-הגדרות!$E$8*(הגדרות!$E$7+1))/הגדרות!$E$7)))</f>
        <v/>
      </c>
      <c r="J1702" s="0" t="str">
        <f aca="false">IF(I1702="","",IF(H1702-1&lt;הגדרות!$E$8*(הגדרות!$E$7+1),MOD(H1702-1,הגדרות!$E$7+1),MOD(H1702-1-הגדרות!$E$8*(הגדרות!$E$7+1),הגדרות!$E$7)))</f>
        <v/>
      </c>
      <c r="K1702" s="0" t="str">
        <f aca="false">IF(I1702="","",J1702*הגדרות!$E$6+I1702+1)</f>
        <v/>
      </c>
      <c r="L1702" s="0" t="str">
        <f aca="false">IF(K1702="","",MATCH(K1702,$F$2:$F$5001,0))</f>
        <v/>
      </c>
      <c r="M1702" s="0" t="str">
        <f aca="false">IF(I1702="","",INDEX(הגדרות!$A$2:$A$21,MOD(I1702+הגדרות!$E$9,הגדרות!$E$6)+1))</f>
        <v/>
      </c>
    </row>
    <row r="1703" customFormat="false" ht="15" hidden="false" customHeight="false" outlineLevel="0" collapsed="false">
      <c r="A1703" s="0" t="str">
        <f aca="false">IF('הדבקת לידים'!A1703="","",IF(ISNUMBER('הדבקת לידים'!A1703),IF(הגדרות!$E$2&gt;0,TEXT('הדבקת לידים'!A1703,REPT("0",הגדרות!$E$2)),TEXT('הדבקת לידים'!A1703,"0")),TRIM('הדבקת לידים'!A1703)))</f>
        <v/>
      </c>
      <c r="B1703" s="0" t="str">
        <f aca="false">IF('הדבקת לידים'!B1703="","",IF(ISNUMBER('הדבקת לידים'!B1703),IF(הגדרות!$E$3&gt;0,TEXT('הדבקת לידים'!B1703,REPT("0",הגדרות!$E$3)),TEXT('הדבקת לידים'!B1703,"0")),TRIM('הדבקת לידים'!B1703)))</f>
        <v/>
      </c>
      <c r="C1703" s="0" t="n">
        <f aca="false">IF(OR(A1703&lt;&gt;"",B1703&lt;&gt;""),1,0)</f>
        <v>0</v>
      </c>
      <c r="D1703" s="0" t="str">
        <f aca="false">IF(C1703=1,MOD(ABS(SIN(ROW()*12.9898+'הדבקת לידים'!$F$2*78.233+IFERROR(--RIGHT(A1703,6),LEN(A1703))*0.0137+IFERROR(--RIGHT(B1703,6),LEN(B1703))*0.0071))*43758.5453,1),"")</f>
        <v/>
      </c>
      <c r="E1703" s="0" t="str">
        <f aca="false">IF(C1703=1,INT(MOD(ABS(SIN(D1703*7919.123+ROW()*0.618+'הדבקת לידים'!$F$2*1.3))*43758.5453,1)*1000000)*10000+ROW(),"")</f>
        <v/>
      </c>
      <c r="F1703" s="0" t="str">
        <f aca="false">IF(E1703="","",RANK(E1703,$E$2:$E$5001,1))</f>
        <v/>
      </c>
      <c r="G1703" s="0" t="n">
        <f aca="false">IF(A1703="",0,IF(SUMPRODUCT(--($A$2:$A$5001=A1703))&gt;1,1,0))</f>
        <v>0</v>
      </c>
      <c r="H1703" s="0" t="n">
        <f aca="false">ROW()-1</f>
        <v>1702</v>
      </c>
      <c r="I1703" s="0" t="str">
        <f aca="false">IF(OR(הגדרות!$E$6=0,H1703&gt;הגדרות!$E$5),"",IF(H1703-1&lt;הגדרות!$E$8*(הגדרות!$E$7+1),INT((H1703-1)/(הגדרות!$E$7+1)),הגדרות!$E$8+INT((H1703-1-הגדרות!$E$8*(הגדרות!$E$7+1))/הגדרות!$E$7)))</f>
        <v/>
      </c>
      <c r="J1703" s="0" t="str">
        <f aca="false">IF(I1703="","",IF(H1703-1&lt;הגדרות!$E$8*(הגדרות!$E$7+1),MOD(H1703-1,הגדרות!$E$7+1),MOD(H1703-1-הגדרות!$E$8*(הגדרות!$E$7+1),הגדרות!$E$7)))</f>
        <v/>
      </c>
      <c r="K1703" s="0" t="str">
        <f aca="false">IF(I1703="","",J1703*הגדרות!$E$6+I1703+1)</f>
        <v/>
      </c>
      <c r="L1703" s="0" t="str">
        <f aca="false">IF(K1703="","",MATCH(K1703,$F$2:$F$5001,0))</f>
        <v/>
      </c>
      <c r="M1703" s="0" t="str">
        <f aca="false">IF(I1703="","",INDEX(הגדרות!$A$2:$A$21,MOD(I1703+הגדרות!$E$9,הגדרות!$E$6)+1))</f>
        <v/>
      </c>
    </row>
    <row r="1704" customFormat="false" ht="15" hidden="false" customHeight="false" outlineLevel="0" collapsed="false">
      <c r="A1704" s="0" t="str">
        <f aca="false">IF('הדבקת לידים'!A1704="","",IF(ISNUMBER('הדבקת לידים'!A1704),IF(הגדרות!$E$2&gt;0,TEXT('הדבקת לידים'!A1704,REPT("0",הגדרות!$E$2)),TEXT('הדבקת לידים'!A1704,"0")),TRIM('הדבקת לידים'!A1704)))</f>
        <v/>
      </c>
      <c r="B1704" s="0" t="str">
        <f aca="false">IF('הדבקת לידים'!B1704="","",IF(ISNUMBER('הדבקת לידים'!B1704),IF(הגדרות!$E$3&gt;0,TEXT('הדבקת לידים'!B1704,REPT("0",הגדרות!$E$3)),TEXT('הדבקת לידים'!B1704,"0")),TRIM('הדבקת לידים'!B1704)))</f>
        <v/>
      </c>
      <c r="C1704" s="0" t="n">
        <f aca="false">IF(OR(A1704&lt;&gt;"",B1704&lt;&gt;""),1,0)</f>
        <v>0</v>
      </c>
      <c r="D1704" s="0" t="str">
        <f aca="false">IF(C1704=1,MOD(ABS(SIN(ROW()*12.9898+'הדבקת לידים'!$F$2*78.233+IFERROR(--RIGHT(A1704,6),LEN(A1704))*0.0137+IFERROR(--RIGHT(B1704,6),LEN(B1704))*0.0071))*43758.5453,1),"")</f>
        <v/>
      </c>
      <c r="E1704" s="0" t="str">
        <f aca="false">IF(C1704=1,INT(MOD(ABS(SIN(D1704*7919.123+ROW()*0.618+'הדבקת לידים'!$F$2*1.3))*43758.5453,1)*1000000)*10000+ROW(),"")</f>
        <v/>
      </c>
      <c r="F1704" s="0" t="str">
        <f aca="false">IF(E1704="","",RANK(E1704,$E$2:$E$5001,1))</f>
        <v/>
      </c>
      <c r="G1704" s="0" t="n">
        <f aca="false">IF(A1704="",0,IF(SUMPRODUCT(--($A$2:$A$5001=A1704))&gt;1,1,0))</f>
        <v>0</v>
      </c>
      <c r="H1704" s="0" t="n">
        <f aca="false">ROW()-1</f>
        <v>1703</v>
      </c>
      <c r="I1704" s="0" t="str">
        <f aca="false">IF(OR(הגדרות!$E$6=0,H1704&gt;הגדרות!$E$5),"",IF(H1704-1&lt;הגדרות!$E$8*(הגדרות!$E$7+1),INT((H1704-1)/(הגדרות!$E$7+1)),הגדרות!$E$8+INT((H1704-1-הגדרות!$E$8*(הגדרות!$E$7+1))/הגדרות!$E$7)))</f>
        <v/>
      </c>
      <c r="J1704" s="0" t="str">
        <f aca="false">IF(I1704="","",IF(H1704-1&lt;הגדרות!$E$8*(הגדרות!$E$7+1),MOD(H1704-1,הגדרות!$E$7+1),MOD(H1704-1-הגדרות!$E$8*(הגדרות!$E$7+1),הגדרות!$E$7)))</f>
        <v/>
      </c>
      <c r="K1704" s="0" t="str">
        <f aca="false">IF(I1704="","",J1704*הגדרות!$E$6+I1704+1)</f>
        <v/>
      </c>
      <c r="L1704" s="0" t="str">
        <f aca="false">IF(K1704="","",MATCH(K1704,$F$2:$F$5001,0))</f>
        <v/>
      </c>
      <c r="M1704" s="0" t="str">
        <f aca="false">IF(I1704="","",INDEX(הגדרות!$A$2:$A$21,MOD(I1704+הגדרות!$E$9,הגדרות!$E$6)+1))</f>
        <v/>
      </c>
    </row>
    <row r="1705" customFormat="false" ht="15" hidden="false" customHeight="false" outlineLevel="0" collapsed="false">
      <c r="A1705" s="0" t="str">
        <f aca="false">IF('הדבקת לידים'!A1705="","",IF(ISNUMBER('הדבקת לידים'!A1705),IF(הגדרות!$E$2&gt;0,TEXT('הדבקת לידים'!A1705,REPT("0",הגדרות!$E$2)),TEXT('הדבקת לידים'!A1705,"0")),TRIM('הדבקת לידים'!A1705)))</f>
        <v/>
      </c>
      <c r="B1705" s="0" t="str">
        <f aca="false">IF('הדבקת לידים'!B1705="","",IF(ISNUMBER('הדבקת לידים'!B1705),IF(הגדרות!$E$3&gt;0,TEXT('הדבקת לידים'!B1705,REPT("0",הגדרות!$E$3)),TEXT('הדבקת לידים'!B1705,"0")),TRIM('הדבקת לידים'!B1705)))</f>
        <v/>
      </c>
      <c r="C1705" s="0" t="n">
        <f aca="false">IF(OR(A1705&lt;&gt;"",B1705&lt;&gt;""),1,0)</f>
        <v>0</v>
      </c>
      <c r="D1705" s="0" t="str">
        <f aca="false">IF(C1705=1,MOD(ABS(SIN(ROW()*12.9898+'הדבקת לידים'!$F$2*78.233+IFERROR(--RIGHT(A1705,6),LEN(A1705))*0.0137+IFERROR(--RIGHT(B1705,6),LEN(B1705))*0.0071))*43758.5453,1),"")</f>
        <v/>
      </c>
      <c r="E1705" s="0" t="str">
        <f aca="false">IF(C1705=1,INT(MOD(ABS(SIN(D1705*7919.123+ROW()*0.618+'הדבקת לידים'!$F$2*1.3))*43758.5453,1)*1000000)*10000+ROW(),"")</f>
        <v/>
      </c>
      <c r="F1705" s="0" t="str">
        <f aca="false">IF(E1705="","",RANK(E1705,$E$2:$E$5001,1))</f>
        <v/>
      </c>
      <c r="G1705" s="0" t="n">
        <f aca="false">IF(A1705="",0,IF(SUMPRODUCT(--($A$2:$A$5001=A1705))&gt;1,1,0))</f>
        <v>0</v>
      </c>
      <c r="H1705" s="0" t="n">
        <f aca="false">ROW()-1</f>
        <v>1704</v>
      </c>
      <c r="I1705" s="0" t="str">
        <f aca="false">IF(OR(הגדרות!$E$6=0,H1705&gt;הגדרות!$E$5),"",IF(H1705-1&lt;הגדרות!$E$8*(הגדרות!$E$7+1),INT((H1705-1)/(הגדרות!$E$7+1)),הגדרות!$E$8+INT((H1705-1-הגדרות!$E$8*(הגדרות!$E$7+1))/הגדרות!$E$7)))</f>
        <v/>
      </c>
      <c r="J1705" s="0" t="str">
        <f aca="false">IF(I1705="","",IF(H1705-1&lt;הגדרות!$E$8*(הגדרות!$E$7+1),MOD(H1705-1,הגדרות!$E$7+1),MOD(H1705-1-הגדרות!$E$8*(הגדרות!$E$7+1),הגדרות!$E$7)))</f>
        <v/>
      </c>
      <c r="K1705" s="0" t="str">
        <f aca="false">IF(I1705="","",J1705*הגדרות!$E$6+I1705+1)</f>
        <v/>
      </c>
      <c r="L1705" s="0" t="str">
        <f aca="false">IF(K1705="","",MATCH(K1705,$F$2:$F$5001,0))</f>
        <v/>
      </c>
      <c r="M1705" s="0" t="str">
        <f aca="false">IF(I1705="","",INDEX(הגדרות!$A$2:$A$21,MOD(I1705+הגדרות!$E$9,הגדרות!$E$6)+1))</f>
        <v/>
      </c>
    </row>
    <row r="1706" customFormat="false" ht="15" hidden="false" customHeight="false" outlineLevel="0" collapsed="false">
      <c r="A1706" s="0" t="str">
        <f aca="false">IF('הדבקת לידים'!A1706="","",IF(ISNUMBER('הדבקת לידים'!A1706),IF(הגדרות!$E$2&gt;0,TEXT('הדבקת לידים'!A1706,REPT("0",הגדרות!$E$2)),TEXT('הדבקת לידים'!A1706,"0")),TRIM('הדבקת לידים'!A1706)))</f>
        <v/>
      </c>
      <c r="B1706" s="0" t="str">
        <f aca="false">IF('הדבקת לידים'!B1706="","",IF(ISNUMBER('הדבקת לידים'!B1706),IF(הגדרות!$E$3&gt;0,TEXT('הדבקת לידים'!B1706,REPT("0",הגדרות!$E$3)),TEXT('הדבקת לידים'!B1706,"0")),TRIM('הדבקת לידים'!B1706)))</f>
        <v/>
      </c>
      <c r="C1706" s="0" t="n">
        <f aca="false">IF(OR(A1706&lt;&gt;"",B1706&lt;&gt;""),1,0)</f>
        <v>0</v>
      </c>
      <c r="D1706" s="0" t="str">
        <f aca="false">IF(C1706=1,MOD(ABS(SIN(ROW()*12.9898+'הדבקת לידים'!$F$2*78.233+IFERROR(--RIGHT(A1706,6),LEN(A1706))*0.0137+IFERROR(--RIGHT(B1706,6),LEN(B1706))*0.0071))*43758.5453,1),"")</f>
        <v/>
      </c>
      <c r="E1706" s="0" t="str">
        <f aca="false">IF(C1706=1,INT(MOD(ABS(SIN(D1706*7919.123+ROW()*0.618+'הדבקת לידים'!$F$2*1.3))*43758.5453,1)*1000000)*10000+ROW(),"")</f>
        <v/>
      </c>
      <c r="F1706" s="0" t="str">
        <f aca="false">IF(E1706="","",RANK(E1706,$E$2:$E$5001,1))</f>
        <v/>
      </c>
      <c r="G1706" s="0" t="n">
        <f aca="false">IF(A1706="",0,IF(SUMPRODUCT(--($A$2:$A$5001=A1706))&gt;1,1,0))</f>
        <v>0</v>
      </c>
      <c r="H1706" s="0" t="n">
        <f aca="false">ROW()-1</f>
        <v>1705</v>
      </c>
      <c r="I1706" s="0" t="str">
        <f aca="false">IF(OR(הגדרות!$E$6=0,H1706&gt;הגדרות!$E$5),"",IF(H1706-1&lt;הגדרות!$E$8*(הגדרות!$E$7+1),INT((H1706-1)/(הגדרות!$E$7+1)),הגדרות!$E$8+INT((H1706-1-הגדרות!$E$8*(הגדרות!$E$7+1))/הגדרות!$E$7)))</f>
        <v/>
      </c>
      <c r="J1706" s="0" t="str">
        <f aca="false">IF(I1706="","",IF(H1706-1&lt;הגדרות!$E$8*(הגדרות!$E$7+1),MOD(H1706-1,הגדרות!$E$7+1),MOD(H1706-1-הגדרות!$E$8*(הגדרות!$E$7+1),הגדרות!$E$7)))</f>
        <v/>
      </c>
      <c r="K1706" s="0" t="str">
        <f aca="false">IF(I1706="","",J1706*הגדרות!$E$6+I1706+1)</f>
        <v/>
      </c>
      <c r="L1706" s="0" t="str">
        <f aca="false">IF(K1706="","",MATCH(K1706,$F$2:$F$5001,0))</f>
        <v/>
      </c>
      <c r="M1706" s="0" t="str">
        <f aca="false">IF(I1706="","",INDEX(הגדרות!$A$2:$A$21,MOD(I1706+הגדרות!$E$9,הגדרות!$E$6)+1))</f>
        <v/>
      </c>
    </row>
    <row r="1707" customFormat="false" ht="15" hidden="false" customHeight="false" outlineLevel="0" collapsed="false">
      <c r="A1707" s="0" t="str">
        <f aca="false">IF('הדבקת לידים'!A1707="","",IF(ISNUMBER('הדבקת לידים'!A1707),IF(הגדרות!$E$2&gt;0,TEXT('הדבקת לידים'!A1707,REPT("0",הגדרות!$E$2)),TEXT('הדבקת לידים'!A1707,"0")),TRIM('הדבקת לידים'!A1707)))</f>
        <v/>
      </c>
      <c r="B1707" s="0" t="str">
        <f aca="false">IF('הדבקת לידים'!B1707="","",IF(ISNUMBER('הדבקת לידים'!B1707),IF(הגדרות!$E$3&gt;0,TEXT('הדבקת לידים'!B1707,REPT("0",הגדרות!$E$3)),TEXT('הדבקת לידים'!B1707,"0")),TRIM('הדבקת לידים'!B1707)))</f>
        <v/>
      </c>
      <c r="C1707" s="0" t="n">
        <f aca="false">IF(OR(A1707&lt;&gt;"",B1707&lt;&gt;""),1,0)</f>
        <v>0</v>
      </c>
      <c r="D1707" s="0" t="str">
        <f aca="false">IF(C1707=1,MOD(ABS(SIN(ROW()*12.9898+'הדבקת לידים'!$F$2*78.233+IFERROR(--RIGHT(A1707,6),LEN(A1707))*0.0137+IFERROR(--RIGHT(B1707,6),LEN(B1707))*0.0071))*43758.5453,1),"")</f>
        <v/>
      </c>
      <c r="E1707" s="0" t="str">
        <f aca="false">IF(C1707=1,INT(MOD(ABS(SIN(D1707*7919.123+ROW()*0.618+'הדבקת לידים'!$F$2*1.3))*43758.5453,1)*1000000)*10000+ROW(),"")</f>
        <v/>
      </c>
      <c r="F1707" s="0" t="str">
        <f aca="false">IF(E1707="","",RANK(E1707,$E$2:$E$5001,1))</f>
        <v/>
      </c>
      <c r="G1707" s="0" t="n">
        <f aca="false">IF(A1707="",0,IF(SUMPRODUCT(--($A$2:$A$5001=A1707))&gt;1,1,0))</f>
        <v>0</v>
      </c>
      <c r="H1707" s="0" t="n">
        <f aca="false">ROW()-1</f>
        <v>1706</v>
      </c>
      <c r="I1707" s="0" t="str">
        <f aca="false">IF(OR(הגדרות!$E$6=0,H1707&gt;הגדרות!$E$5),"",IF(H1707-1&lt;הגדרות!$E$8*(הגדרות!$E$7+1),INT((H1707-1)/(הגדרות!$E$7+1)),הגדרות!$E$8+INT((H1707-1-הגדרות!$E$8*(הגדרות!$E$7+1))/הגדרות!$E$7)))</f>
        <v/>
      </c>
      <c r="J1707" s="0" t="str">
        <f aca="false">IF(I1707="","",IF(H1707-1&lt;הגדרות!$E$8*(הגדרות!$E$7+1),MOD(H1707-1,הגדרות!$E$7+1),MOD(H1707-1-הגדרות!$E$8*(הגדרות!$E$7+1),הגדרות!$E$7)))</f>
        <v/>
      </c>
      <c r="K1707" s="0" t="str">
        <f aca="false">IF(I1707="","",J1707*הגדרות!$E$6+I1707+1)</f>
        <v/>
      </c>
      <c r="L1707" s="0" t="str">
        <f aca="false">IF(K1707="","",MATCH(K1707,$F$2:$F$5001,0))</f>
        <v/>
      </c>
      <c r="M1707" s="0" t="str">
        <f aca="false">IF(I1707="","",INDEX(הגדרות!$A$2:$A$21,MOD(I1707+הגדרות!$E$9,הגדרות!$E$6)+1))</f>
        <v/>
      </c>
    </row>
    <row r="1708" customFormat="false" ht="15" hidden="false" customHeight="false" outlineLevel="0" collapsed="false">
      <c r="A1708" s="0" t="str">
        <f aca="false">IF('הדבקת לידים'!A1708="","",IF(ISNUMBER('הדבקת לידים'!A1708),IF(הגדרות!$E$2&gt;0,TEXT('הדבקת לידים'!A1708,REPT("0",הגדרות!$E$2)),TEXT('הדבקת לידים'!A1708,"0")),TRIM('הדבקת לידים'!A1708)))</f>
        <v/>
      </c>
      <c r="B1708" s="0" t="str">
        <f aca="false">IF('הדבקת לידים'!B1708="","",IF(ISNUMBER('הדבקת לידים'!B1708),IF(הגדרות!$E$3&gt;0,TEXT('הדבקת לידים'!B1708,REPT("0",הגדרות!$E$3)),TEXT('הדבקת לידים'!B1708,"0")),TRIM('הדבקת לידים'!B1708)))</f>
        <v/>
      </c>
      <c r="C1708" s="0" t="n">
        <f aca="false">IF(OR(A1708&lt;&gt;"",B1708&lt;&gt;""),1,0)</f>
        <v>0</v>
      </c>
      <c r="D1708" s="0" t="str">
        <f aca="false">IF(C1708=1,MOD(ABS(SIN(ROW()*12.9898+'הדבקת לידים'!$F$2*78.233+IFERROR(--RIGHT(A1708,6),LEN(A1708))*0.0137+IFERROR(--RIGHT(B1708,6),LEN(B1708))*0.0071))*43758.5453,1),"")</f>
        <v/>
      </c>
      <c r="E1708" s="0" t="str">
        <f aca="false">IF(C1708=1,INT(MOD(ABS(SIN(D1708*7919.123+ROW()*0.618+'הדבקת לידים'!$F$2*1.3))*43758.5453,1)*1000000)*10000+ROW(),"")</f>
        <v/>
      </c>
      <c r="F1708" s="0" t="str">
        <f aca="false">IF(E1708="","",RANK(E1708,$E$2:$E$5001,1))</f>
        <v/>
      </c>
      <c r="G1708" s="0" t="n">
        <f aca="false">IF(A1708="",0,IF(SUMPRODUCT(--($A$2:$A$5001=A1708))&gt;1,1,0))</f>
        <v>0</v>
      </c>
      <c r="H1708" s="0" t="n">
        <f aca="false">ROW()-1</f>
        <v>1707</v>
      </c>
      <c r="I1708" s="0" t="str">
        <f aca="false">IF(OR(הגדרות!$E$6=0,H1708&gt;הגדרות!$E$5),"",IF(H1708-1&lt;הגדרות!$E$8*(הגדרות!$E$7+1),INT((H1708-1)/(הגדרות!$E$7+1)),הגדרות!$E$8+INT((H1708-1-הגדרות!$E$8*(הגדרות!$E$7+1))/הגדרות!$E$7)))</f>
        <v/>
      </c>
      <c r="J1708" s="0" t="str">
        <f aca="false">IF(I1708="","",IF(H1708-1&lt;הגדרות!$E$8*(הגדרות!$E$7+1),MOD(H1708-1,הגדרות!$E$7+1),MOD(H1708-1-הגדרות!$E$8*(הגדרות!$E$7+1),הגדרות!$E$7)))</f>
        <v/>
      </c>
      <c r="K1708" s="0" t="str">
        <f aca="false">IF(I1708="","",J1708*הגדרות!$E$6+I1708+1)</f>
        <v/>
      </c>
      <c r="L1708" s="0" t="str">
        <f aca="false">IF(K1708="","",MATCH(K1708,$F$2:$F$5001,0))</f>
        <v/>
      </c>
      <c r="M1708" s="0" t="str">
        <f aca="false">IF(I1708="","",INDEX(הגדרות!$A$2:$A$21,MOD(I1708+הגדרות!$E$9,הגדרות!$E$6)+1))</f>
        <v/>
      </c>
    </row>
    <row r="1709" customFormat="false" ht="15" hidden="false" customHeight="false" outlineLevel="0" collapsed="false">
      <c r="A1709" s="0" t="str">
        <f aca="false">IF('הדבקת לידים'!A1709="","",IF(ISNUMBER('הדבקת לידים'!A1709),IF(הגדרות!$E$2&gt;0,TEXT('הדבקת לידים'!A1709,REPT("0",הגדרות!$E$2)),TEXT('הדבקת לידים'!A1709,"0")),TRIM('הדבקת לידים'!A1709)))</f>
        <v/>
      </c>
      <c r="B1709" s="0" t="str">
        <f aca="false">IF('הדבקת לידים'!B1709="","",IF(ISNUMBER('הדבקת לידים'!B1709),IF(הגדרות!$E$3&gt;0,TEXT('הדבקת לידים'!B1709,REPT("0",הגדרות!$E$3)),TEXT('הדבקת לידים'!B1709,"0")),TRIM('הדבקת לידים'!B1709)))</f>
        <v/>
      </c>
      <c r="C1709" s="0" t="n">
        <f aca="false">IF(OR(A1709&lt;&gt;"",B1709&lt;&gt;""),1,0)</f>
        <v>0</v>
      </c>
      <c r="D1709" s="0" t="str">
        <f aca="false">IF(C1709=1,MOD(ABS(SIN(ROW()*12.9898+'הדבקת לידים'!$F$2*78.233+IFERROR(--RIGHT(A1709,6),LEN(A1709))*0.0137+IFERROR(--RIGHT(B1709,6),LEN(B1709))*0.0071))*43758.5453,1),"")</f>
        <v/>
      </c>
      <c r="E1709" s="0" t="str">
        <f aca="false">IF(C1709=1,INT(MOD(ABS(SIN(D1709*7919.123+ROW()*0.618+'הדבקת לידים'!$F$2*1.3))*43758.5453,1)*1000000)*10000+ROW(),"")</f>
        <v/>
      </c>
      <c r="F1709" s="0" t="str">
        <f aca="false">IF(E1709="","",RANK(E1709,$E$2:$E$5001,1))</f>
        <v/>
      </c>
      <c r="G1709" s="0" t="n">
        <f aca="false">IF(A1709="",0,IF(SUMPRODUCT(--($A$2:$A$5001=A1709))&gt;1,1,0))</f>
        <v>0</v>
      </c>
      <c r="H1709" s="0" t="n">
        <f aca="false">ROW()-1</f>
        <v>1708</v>
      </c>
      <c r="I1709" s="0" t="str">
        <f aca="false">IF(OR(הגדרות!$E$6=0,H1709&gt;הגדרות!$E$5),"",IF(H1709-1&lt;הגדרות!$E$8*(הגדרות!$E$7+1),INT((H1709-1)/(הגדרות!$E$7+1)),הגדרות!$E$8+INT((H1709-1-הגדרות!$E$8*(הגדרות!$E$7+1))/הגדרות!$E$7)))</f>
        <v/>
      </c>
      <c r="J1709" s="0" t="str">
        <f aca="false">IF(I1709="","",IF(H1709-1&lt;הגדרות!$E$8*(הגדרות!$E$7+1),MOD(H1709-1,הגדרות!$E$7+1),MOD(H1709-1-הגדרות!$E$8*(הגדרות!$E$7+1),הגדרות!$E$7)))</f>
        <v/>
      </c>
      <c r="K1709" s="0" t="str">
        <f aca="false">IF(I1709="","",J1709*הגדרות!$E$6+I1709+1)</f>
        <v/>
      </c>
      <c r="L1709" s="0" t="str">
        <f aca="false">IF(K1709="","",MATCH(K1709,$F$2:$F$5001,0))</f>
        <v/>
      </c>
      <c r="M1709" s="0" t="str">
        <f aca="false">IF(I1709="","",INDEX(הגדרות!$A$2:$A$21,MOD(I1709+הגדרות!$E$9,הגדרות!$E$6)+1))</f>
        <v/>
      </c>
    </row>
    <row r="1710" customFormat="false" ht="15" hidden="false" customHeight="false" outlineLevel="0" collapsed="false">
      <c r="A1710" s="0" t="str">
        <f aca="false">IF('הדבקת לידים'!A1710="","",IF(ISNUMBER('הדבקת לידים'!A1710),IF(הגדרות!$E$2&gt;0,TEXT('הדבקת לידים'!A1710,REPT("0",הגדרות!$E$2)),TEXT('הדבקת לידים'!A1710,"0")),TRIM('הדבקת לידים'!A1710)))</f>
        <v/>
      </c>
      <c r="B1710" s="0" t="str">
        <f aca="false">IF('הדבקת לידים'!B1710="","",IF(ISNUMBER('הדבקת לידים'!B1710),IF(הגדרות!$E$3&gt;0,TEXT('הדבקת לידים'!B1710,REPT("0",הגדרות!$E$3)),TEXT('הדבקת לידים'!B1710,"0")),TRIM('הדבקת לידים'!B1710)))</f>
        <v/>
      </c>
      <c r="C1710" s="0" t="n">
        <f aca="false">IF(OR(A1710&lt;&gt;"",B1710&lt;&gt;""),1,0)</f>
        <v>0</v>
      </c>
      <c r="D1710" s="0" t="str">
        <f aca="false">IF(C1710=1,MOD(ABS(SIN(ROW()*12.9898+'הדבקת לידים'!$F$2*78.233+IFERROR(--RIGHT(A1710,6),LEN(A1710))*0.0137+IFERROR(--RIGHT(B1710,6),LEN(B1710))*0.0071))*43758.5453,1),"")</f>
        <v/>
      </c>
      <c r="E1710" s="0" t="str">
        <f aca="false">IF(C1710=1,INT(MOD(ABS(SIN(D1710*7919.123+ROW()*0.618+'הדבקת לידים'!$F$2*1.3))*43758.5453,1)*1000000)*10000+ROW(),"")</f>
        <v/>
      </c>
      <c r="F1710" s="0" t="str">
        <f aca="false">IF(E1710="","",RANK(E1710,$E$2:$E$5001,1))</f>
        <v/>
      </c>
      <c r="G1710" s="0" t="n">
        <f aca="false">IF(A1710="",0,IF(SUMPRODUCT(--($A$2:$A$5001=A1710))&gt;1,1,0))</f>
        <v>0</v>
      </c>
      <c r="H1710" s="0" t="n">
        <f aca="false">ROW()-1</f>
        <v>1709</v>
      </c>
      <c r="I1710" s="0" t="str">
        <f aca="false">IF(OR(הגדרות!$E$6=0,H1710&gt;הגדרות!$E$5),"",IF(H1710-1&lt;הגדרות!$E$8*(הגדרות!$E$7+1),INT((H1710-1)/(הגדרות!$E$7+1)),הגדרות!$E$8+INT((H1710-1-הגדרות!$E$8*(הגדרות!$E$7+1))/הגדרות!$E$7)))</f>
        <v/>
      </c>
      <c r="J1710" s="0" t="str">
        <f aca="false">IF(I1710="","",IF(H1710-1&lt;הגדרות!$E$8*(הגדרות!$E$7+1),MOD(H1710-1,הגדרות!$E$7+1),MOD(H1710-1-הגדרות!$E$8*(הגדרות!$E$7+1),הגדרות!$E$7)))</f>
        <v/>
      </c>
      <c r="K1710" s="0" t="str">
        <f aca="false">IF(I1710="","",J1710*הגדרות!$E$6+I1710+1)</f>
        <v/>
      </c>
      <c r="L1710" s="0" t="str">
        <f aca="false">IF(K1710="","",MATCH(K1710,$F$2:$F$5001,0))</f>
        <v/>
      </c>
      <c r="M1710" s="0" t="str">
        <f aca="false">IF(I1710="","",INDEX(הגדרות!$A$2:$A$21,MOD(I1710+הגדרות!$E$9,הגדרות!$E$6)+1))</f>
        <v/>
      </c>
    </row>
    <row r="1711" customFormat="false" ht="15" hidden="false" customHeight="false" outlineLevel="0" collapsed="false">
      <c r="A1711" s="0" t="str">
        <f aca="false">IF('הדבקת לידים'!A1711="","",IF(ISNUMBER('הדבקת לידים'!A1711),IF(הגדרות!$E$2&gt;0,TEXT('הדבקת לידים'!A1711,REPT("0",הגדרות!$E$2)),TEXT('הדבקת לידים'!A1711,"0")),TRIM('הדבקת לידים'!A1711)))</f>
        <v/>
      </c>
      <c r="B1711" s="0" t="str">
        <f aca="false">IF('הדבקת לידים'!B1711="","",IF(ISNUMBER('הדבקת לידים'!B1711),IF(הגדרות!$E$3&gt;0,TEXT('הדבקת לידים'!B1711,REPT("0",הגדרות!$E$3)),TEXT('הדבקת לידים'!B1711,"0")),TRIM('הדבקת לידים'!B1711)))</f>
        <v/>
      </c>
      <c r="C1711" s="0" t="n">
        <f aca="false">IF(OR(A1711&lt;&gt;"",B1711&lt;&gt;""),1,0)</f>
        <v>0</v>
      </c>
      <c r="D1711" s="0" t="str">
        <f aca="false">IF(C1711=1,MOD(ABS(SIN(ROW()*12.9898+'הדבקת לידים'!$F$2*78.233+IFERROR(--RIGHT(A1711,6),LEN(A1711))*0.0137+IFERROR(--RIGHT(B1711,6),LEN(B1711))*0.0071))*43758.5453,1),"")</f>
        <v/>
      </c>
      <c r="E1711" s="0" t="str">
        <f aca="false">IF(C1711=1,INT(MOD(ABS(SIN(D1711*7919.123+ROW()*0.618+'הדבקת לידים'!$F$2*1.3))*43758.5453,1)*1000000)*10000+ROW(),"")</f>
        <v/>
      </c>
      <c r="F1711" s="0" t="str">
        <f aca="false">IF(E1711="","",RANK(E1711,$E$2:$E$5001,1))</f>
        <v/>
      </c>
      <c r="G1711" s="0" t="n">
        <f aca="false">IF(A1711="",0,IF(SUMPRODUCT(--($A$2:$A$5001=A1711))&gt;1,1,0))</f>
        <v>0</v>
      </c>
      <c r="H1711" s="0" t="n">
        <f aca="false">ROW()-1</f>
        <v>1710</v>
      </c>
      <c r="I1711" s="0" t="str">
        <f aca="false">IF(OR(הגדרות!$E$6=0,H1711&gt;הגדרות!$E$5),"",IF(H1711-1&lt;הגדרות!$E$8*(הגדרות!$E$7+1),INT((H1711-1)/(הגדרות!$E$7+1)),הגדרות!$E$8+INT((H1711-1-הגדרות!$E$8*(הגדרות!$E$7+1))/הגדרות!$E$7)))</f>
        <v/>
      </c>
      <c r="J1711" s="0" t="str">
        <f aca="false">IF(I1711="","",IF(H1711-1&lt;הגדרות!$E$8*(הגדרות!$E$7+1),MOD(H1711-1,הגדרות!$E$7+1),MOD(H1711-1-הגדרות!$E$8*(הגדרות!$E$7+1),הגדרות!$E$7)))</f>
        <v/>
      </c>
      <c r="K1711" s="0" t="str">
        <f aca="false">IF(I1711="","",J1711*הגדרות!$E$6+I1711+1)</f>
        <v/>
      </c>
      <c r="L1711" s="0" t="str">
        <f aca="false">IF(K1711="","",MATCH(K1711,$F$2:$F$5001,0))</f>
        <v/>
      </c>
      <c r="M1711" s="0" t="str">
        <f aca="false">IF(I1711="","",INDEX(הגדרות!$A$2:$A$21,MOD(I1711+הגדרות!$E$9,הגדרות!$E$6)+1))</f>
        <v/>
      </c>
    </row>
    <row r="1712" customFormat="false" ht="15" hidden="false" customHeight="false" outlineLevel="0" collapsed="false">
      <c r="A1712" s="0" t="str">
        <f aca="false">IF('הדבקת לידים'!A1712="","",IF(ISNUMBER('הדבקת לידים'!A1712),IF(הגדרות!$E$2&gt;0,TEXT('הדבקת לידים'!A1712,REPT("0",הגדרות!$E$2)),TEXT('הדבקת לידים'!A1712,"0")),TRIM('הדבקת לידים'!A1712)))</f>
        <v/>
      </c>
      <c r="B1712" s="0" t="str">
        <f aca="false">IF('הדבקת לידים'!B1712="","",IF(ISNUMBER('הדבקת לידים'!B1712),IF(הגדרות!$E$3&gt;0,TEXT('הדבקת לידים'!B1712,REPT("0",הגדרות!$E$3)),TEXT('הדבקת לידים'!B1712,"0")),TRIM('הדבקת לידים'!B1712)))</f>
        <v/>
      </c>
      <c r="C1712" s="0" t="n">
        <f aca="false">IF(OR(A1712&lt;&gt;"",B1712&lt;&gt;""),1,0)</f>
        <v>0</v>
      </c>
      <c r="D1712" s="0" t="str">
        <f aca="false">IF(C1712=1,MOD(ABS(SIN(ROW()*12.9898+'הדבקת לידים'!$F$2*78.233+IFERROR(--RIGHT(A1712,6),LEN(A1712))*0.0137+IFERROR(--RIGHT(B1712,6),LEN(B1712))*0.0071))*43758.5453,1),"")</f>
        <v/>
      </c>
      <c r="E1712" s="0" t="str">
        <f aca="false">IF(C1712=1,INT(MOD(ABS(SIN(D1712*7919.123+ROW()*0.618+'הדבקת לידים'!$F$2*1.3))*43758.5453,1)*1000000)*10000+ROW(),"")</f>
        <v/>
      </c>
      <c r="F1712" s="0" t="str">
        <f aca="false">IF(E1712="","",RANK(E1712,$E$2:$E$5001,1))</f>
        <v/>
      </c>
      <c r="G1712" s="0" t="n">
        <f aca="false">IF(A1712="",0,IF(SUMPRODUCT(--($A$2:$A$5001=A1712))&gt;1,1,0))</f>
        <v>0</v>
      </c>
      <c r="H1712" s="0" t="n">
        <f aca="false">ROW()-1</f>
        <v>1711</v>
      </c>
      <c r="I1712" s="0" t="str">
        <f aca="false">IF(OR(הגדרות!$E$6=0,H1712&gt;הגדרות!$E$5),"",IF(H1712-1&lt;הגדרות!$E$8*(הגדרות!$E$7+1),INT((H1712-1)/(הגדרות!$E$7+1)),הגדרות!$E$8+INT((H1712-1-הגדרות!$E$8*(הגדרות!$E$7+1))/הגדרות!$E$7)))</f>
        <v/>
      </c>
      <c r="J1712" s="0" t="str">
        <f aca="false">IF(I1712="","",IF(H1712-1&lt;הגדרות!$E$8*(הגדרות!$E$7+1),MOD(H1712-1,הגדרות!$E$7+1),MOD(H1712-1-הגדרות!$E$8*(הגדרות!$E$7+1),הגדרות!$E$7)))</f>
        <v/>
      </c>
      <c r="K1712" s="0" t="str">
        <f aca="false">IF(I1712="","",J1712*הגדרות!$E$6+I1712+1)</f>
        <v/>
      </c>
      <c r="L1712" s="0" t="str">
        <f aca="false">IF(K1712="","",MATCH(K1712,$F$2:$F$5001,0))</f>
        <v/>
      </c>
      <c r="M1712" s="0" t="str">
        <f aca="false">IF(I1712="","",INDEX(הגדרות!$A$2:$A$21,MOD(I1712+הגדרות!$E$9,הגדרות!$E$6)+1))</f>
        <v/>
      </c>
    </row>
    <row r="1713" customFormat="false" ht="15" hidden="false" customHeight="false" outlineLevel="0" collapsed="false">
      <c r="A1713" s="0" t="str">
        <f aca="false">IF('הדבקת לידים'!A1713="","",IF(ISNUMBER('הדבקת לידים'!A1713),IF(הגדרות!$E$2&gt;0,TEXT('הדבקת לידים'!A1713,REPT("0",הגדרות!$E$2)),TEXT('הדבקת לידים'!A1713,"0")),TRIM('הדבקת לידים'!A1713)))</f>
        <v/>
      </c>
      <c r="B1713" s="0" t="str">
        <f aca="false">IF('הדבקת לידים'!B1713="","",IF(ISNUMBER('הדבקת לידים'!B1713),IF(הגדרות!$E$3&gt;0,TEXT('הדבקת לידים'!B1713,REPT("0",הגדרות!$E$3)),TEXT('הדבקת לידים'!B1713,"0")),TRIM('הדבקת לידים'!B1713)))</f>
        <v/>
      </c>
      <c r="C1713" s="0" t="n">
        <f aca="false">IF(OR(A1713&lt;&gt;"",B1713&lt;&gt;""),1,0)</f>
        <v>0</v>
      </c>
      <c r="D1713" s="0" t="str">
        <f aca="false">IF(C1713=1,MOD(ABS(SIN(ROW()*12.9898+'הדבקת לידים'!$F$2*78.233+IFERROR(--RIGHT(A1713,6),LEN(A1713))*0.0137+IFERROR(--RIGHT(B1713,6),LEN(B1713))*0.0071))*43758.5453,1),"")</f>
        <v/>
      </c>
      <c r="E1713" s="0" t="str">
        <f aca="false">IF(C1713=1,INT(MOD(ABS(SIN(D1713*7919.123+ROW()*0.618+'הדבקת לידים'!$F$2*1.3))*43758.5453,1)*1000000)*10000+ROW(),"")</f>
        <v/>
      </c>
      <c r="F1713" s="0" t="str">
        <f aca="false">IF(E1713="","",RANK(E1713,$E$2:$E$5001,1))</f>
        <v/>
      </c>
      <c r="G1713" s="0" t="n">
        <f aca="false">IF(A1713="",0,IF(SUMPRODUCT(--($A$2:$A$5001=A1713))&gt;1,1,0))</f>
        <v>0</v>
      </c>
      <c r="H1713" s="0" t="n">
        <f aca="false">ROW()-1</f>
        <v>1712</v>
      </c>
      <c r="I1713" s="0" t="str">
        <f aca="false">IF(OR(הגדרות!$E$6=0,H1713&gt;הגדרות!$E$5),"",IF(H1713-1&lt;הגדרות!$E$8*(הגדרות!$E$7+1),INT((H1713-1)/(הגדרות!$E$7+1)),הגדרות!$E$8+INT((H1713-1-הגדרות!$E$8*(הגדרות!$E$7+1))/הגדרות!$E$7)))</f>
        <v/>
      </c>
      <c r="J1713" s="0" t="str">
        <f aca="false">IF(I1713="","",IF(H1713-1&lt;הגדרות!$E$8*(הגדרות!$E$7+1),MOD(H1713-1,הגדרות!$E$7+1),MOD(H1713-1-הגדרות!$E$8*(הגדרות!$E$7+1),הגדרות!$E$7)))</f>
        <v/>
      </c>
      <c r="K1713" s="0" t="str">
        <f aca="false">IF(I1713="","",J1713*הגדרות!$E$6+I1713+1)</f>
        <v/>
      </c>
      <c r="L1713" s="0" t="str">
        <f aca="false">IF(K1713="","",MATCH(K1713,$F$2:$F$5001,0))</f>
        <v/>
      </c>
      <c r="M1713" s="0" t="str">
        <f aca="false">IF(I1713="","",INDEX(הגדרות!$A$2:$A$21,MOD(I1713+הגדרות!$E$9,הגדרות!$E$6)+1))</f>
        <v/>
      </c>
    </row>
    <row r="1714" customFormat="false" ht="15" hidden="false" customHeight="false" outlineLevel="0" collapsed="false">
      <c r="A1714" s="0" t="str">
        <f aca="false">IF('הדבקת לידים'!A1714="","",IF(ISNUMBER('הדבקת לידים'!A1714),IF(הגדרות!$E$2&gt;0,TEXT('הדבקת לידים'!A1714,REPT("0",הגדרות!$E$2)),TEXT('הדבקת לידים'!A1714,"0")),TRIM('הדבקת לידים'!A1714)))</f>
        <v/>
      </c>
      <c r="B1714" s="0" t="str">
        <f aca="false">IF('הדבקת לידים'!B1714="","",IF(ISNUMBER('הדבקת לידים'!B1714),IF(הגדרות!$E$3&gt;0,TEXT('הדבקת לידים'!B1714,REPT("0",הגדרות!$E$3)),TEXT('הדבקת לידים'!B1714,"0")),TRIM('הדבקת לידים'!B1714)))</f>
        <v/>
      </c>
      <c r="C1714" s="0" t="n">
        <f aca="false">IF(OR(A1714&lt;&gt;"",B1714&lt;&gt;""),1,0)</f>
        <v>0</v>
      </c>
      <c r="D1714" s="0" t="str">
        <f aca="false">IF(C1714=1,MOD(ABS(SIN(ROW()*12.9898+'הדבקת לידים'!$F$2*78.233+IFERROR(--RIGHT(A1714,6),LEN(A1714))*0.0137+IFERROR(--RIGHT(B1714,6),LEN(B1714))*0.0071))*43758.5453,1),"")</f>
        <v/>
      </c>
      <c r="E1714" s="0" t="str">
        <f aca="false">IF(C1714=1,INT(MOD(ABS(SIN(D1714*7919.123+ROW()*0.618+'הדבקת לידים'!$F$2*1.3))*43758.5453,1)*1000000)*10000+ROW(),"")</f>
        <v/>
      </c>
      <c r="F1714" s="0" t="str">
        <f aca="false">IF(E1714="","",RANK(E1714,$E$2:$E$5001,1))</f>
        <v/>
      </c>
      <c r="G1714" s="0" t="n">
        <f aca="false">IF(A1714="",0,IF(SUMPRODUCT(--($A$2:$A$5001=A1714))&gt;1,1,0))</f>
        <v>0</v>
      </c>
      <c r="H1714" s="0" t="n">
        <f aca="false">ROW()-1</f>
        <v>1713</v>
      </c>
      <c r="I1714" s="0" t="str">
        <f aca="false">IF(OR(הגדרות!$E$6=0,H1714&gt;הגדרות!$E$5),"",IF(H1714-1&lt;הגדרות!$E$8*(הגדרות!$E$7+1),INT((H1714-1)/(הגדרות!$E$7+1)),הגדרות!$E$8+INT((H1714-1-הגדרות!$E$8*(הגדרות!$E$7+1))/הגדרות!$E$7)))</f>
        <v/>
      </c>
      <c r="J1714" s="0" t="str">
        <f aca="false">IF(I1714="","",IF(H1714-1&lt;הגדרות!$E$8*(הגדרות!$E$7+1),MOD(H1714-1,הגדרות!$E$7+1),MOD(H1714-1-הגדרות!$E$8*(הגדרות!$E$7+1),הגדרות!$E$7)))</f>
        <v/>
      </c>
      <c r="K1714" s="0" t="str">
        <f aca="false">IF(I1714="","",J1714*הגדרות!$E$6+I1714+1)</f>
        <v/>
      </c>
      <c r="L1714" s="0" t="str">
        <f aca="false">IF(K1714="","",MATCH(K1714,$F$2:$F$5001,0))</f>
        <v/>
      </c>
      <c r="M1714" s="0" t="str">
        <f aca="false">IF(I1714="","",INDEX(הגדרות!$A$2:$A$21,MOD(I1714+הגדרות!$E$9,הגדרות!$E$6)+1))</f>
        <v/>
      </c>
    </row>
    <row r="1715" customFormat="false" ht="15" hidden="false" customHeight="false" outlineLevel="0" collapsed="false">
      <c r="A1715" s="0" t="str">
        <f aca="false">IF('הדבקת לידים'!A1715="","",IF(ISNUMBER('הדבקת לידים'!A1715),IF(הגדרות!$E$2&gt;0,TEXT('הדבקת לידים'!A1715,REPT("0",הגדרות!$E$2)),TEXT('הדבקת לידים'!A1715,"0")),TRIM('הדבקת לידים'!A1715)))</f>
        <v/>
      </c>
      <c r="B1715" s="0" t="str">
        <f aca="false">IF('הדבקת לידים'!B1715="","",IF(ISNUMBER('הדבקת לידים'!B1715),IF(הגדרות!$E$3&gt;0,TEXT('הדבקת לידים'!B1715,REPT("0",הגדרות!$E$3)),TEXT('הדבקת לידים'!B1715,"0")),TRIM('הדבקת לידים'!B1715)))</f>
        <v/>
      </c>
      <c r="C1715" s="0" t="n">
        <f aca="false">IF(OR(A1715&lt;&gt;"",B1715&lt;&gt;""),1,0)</f>
        <v>0</v>
      </c>
      <c r="D1715" s="0" t="str">
        <f aca="false">IF(C1715=1,MOD(ABS(SIN(ROW()*12.9898+'הדבקת לידים'!$F$2*78.233+IFERROR(--RIGHT(A1715,6),LEN(A1715))*0.0137+IFERROR(--RIGHT(B1715,6),LEN(B1715))*0.0071))*43758.5453,1),"")</f>
        <v/>
      </c>
      <c r="E1715" s="0" t="str">
        <f aca="false">IF(C1715=1,INT(MOD(ABS(SIN(D1715*7919.123+ROW()*0.618+'הדבקת לידים'!$F$2*1.3))*43758.5453,1)*1000000)*10000+ROW(),"")</f>
        <v/>
      </c>
      <c r="F1715" s="0" t="str">
        <f aca="false">IF(E1715="","",RANK(E1715,$E$2:$E$5001,1))</f>
        <v/>
      </c>
      <c r="G1715" s="0" t="n">
        <f aca="false">IF(A1715="",0,IF(SUMPRODUCT(--($A$2:$A$5001=A1715))&gt;1,1,0))</f>
        <v>0</v>
      </c>
      <c r="H1715" s="0" t="n">
        <f aca="false">ROW()-1</f>
        <v>1714</v>
      </c>
      <c r="I1715" s="0" t="str">
        <f aca="false">IF(OR(הגדרות!$E$6=0,H1715&gt;הגדרות!$E$5),"",IF(H1715-1&lt;הגדרות!$E$8*(הגדרות!$E$7+1),INT((H1715-1)/(הגדרות!$E$7+1)),הגדרות!$E$8+INT((H1715-1-הגדרות!$E$8*(הגדרות!$E$7+1))/הגדרות!$E$7)))</f>
        <v/>
      </c>
      <c r="J1715" s="0" t="str">
        <f aca="false">IF(I1715="","",IF(H1715-1&lt;הגדרות!$E$8*(הגדרות!$E$7+1),MOD(H1715-1,הגדרות!$E$7+1),MOD(H1715-1-הגדרות!$E$8*(הגדרות!$E$7+1),הגדרות!$E$7)))</f>
        <v/>
      </c>
      <c r="K1715" s="0" t="str">
        <f aca="false">IF(I1715="","",J1715*הגדרות!$E$6+I1715+1)</f>
        <v/>
      </c>
      <c r="L1715" s="0" t="str">
        <f aca="false">IF(K1715="","",MATCH(K1715,$F$2:$F$5001,0))</f>
        <v/>
      </c>
      <c r="M1715" s="0" t="str">
        <f aca="false">IF(I1715="","",INDEX(הגדרות!$A$2:$A$21,MOD(I1715+הגדרות!$E$9,הגדרות!$E$6)+1))</f>
        <v/>
      </c>
    </row>
    <row r="1716" customFormat="false" ht="15" hidden="false" customHeight="false" outlineLevel="0" collapsed="false">
      <c r="A1716" s="0" t="str">
        <f aca="false">IF('הדבקת לידים'!A1716="","",IF(ISNUMBER('הדבקת לידים'!A1716),IF(הגדרות!$E$2&gt;0,TEXT('הדבקת לידים'!A1716,REPT("0",הגדרות!$E$2)),TEXT('הדבקת לידים'!A1716,"0")),TRIM('הדבקת לידים'!A1716)))</f>
        <v/>
      </c>
      <c r="B1716" s="0" t="str">
        <f aca="false">IF('הדבקת לידים'!B1716="","",IF(ISNUMBER('הדבקת לידים'!B1716),IF(הגדרות!$E$3&gt;0,TEXT('הדבקת לידים'!B1716,REPT("0",הגדרות!$E$3)),TEXT('הדבקת לידים'!B1716,"0")),TRIM('הדבקת לידים'!B1716)))</f>
        <v/>
      </c>
      <c r="C1716" s="0" t="n">
        <f aca="false">IF(OR(A1716&lt;&gt;"",B1716&lt;&gt;""),1,0)</f>
        <v>0</v>
      </c>
      <c r="D1716" s="0" t="str">
        <f aca="false">IF(C1716=1,MOD(ABS(SIN(ROW()*12.9898+'הדבקת לידים'!$F$2*78.233+IFERROR(--RIGHT(A1716,6),LEN(A1716))*0.0137+IFERROR(--RIGHT(B1716,6),LEN(B1716))*0.0071))*43758.5453,1),"")</f>
        <v/>
      </c>
      <c r="E1716" s="0" t="str">
        <f aca="false">IF(C1716=1,INT(MOD(ABS(SIN(D1716*7919.123+ROW()*0.618+'הדבקת לידים'!$F$2*1.3))*43758.5453,1)*1000000)*10000+ROW(),"")</f>
        <v/>
      </c>
      <c r="F1716" s="0" t="str">
        <f aca="false">IF(E1716="","",RANK(E1716,$E$2:$E$5001,1))</f>
        <v/>
      </c>
      <c r="G1716" s="0" t="n">
        <f aca="false">IF(A1716="",0,IF(SUMPRODUCT(--($A$2:$A$5001=A1716))&gt;1,1,0))</f>
        <v>0</v>
      </c>
      <c r="H1716" s="0" t="n">
        <f aca="false">ROW()-1</f>
        <v>1715</v>
      </c>
      <c r="I1716" s="0" t="str">
        <f aca="false">IF(OR(הגדרות!$E$6=0,H1716&gt;הגדרות!$E$5),"",IF(H1716-1&lt;הגדרות!$E$8*(הגדרות!$E$7+1),INT((H1716-1)/(הגדרות!$E$7+1)),הגדרות!$E$8+INT((H1716-1-הגדרות!$E$8*(הגדרות!$E$7+1))/הגדרות!$E$7)))</f>
        <v/>
      </c>
      <c r="J1716" s="0" t="str">
        <f aca="false">IF(I1716="","",IF(H1716-1&lt;הגדרות!$E$8*(הגדרות!$E$7+1),MOD(H1716-1,הגדרות!$E$7+1),MOD(H1716-1-הגדרות!$E$8*(הגדרות!$E$7+1),הגדרות!$E$7)))</f>
        <v/>
      </c>
      <c r="K1716" s="0" t="str">
        <f aca="false">IF(I1716="","",J1716*הגדרות!$E$6+I1716+1)</f>
        <v/>
      </c>
      <c r="L1716" s="0" t="str">
        <f aca="false">IF(K1716="","",MATCH(K1716,$F$2:$F$5001,0))</f>
        <v/>
      </c>
      <c r="M1716" s="0" t="str">
        <f aca="false">IF(I1716="","",INDEX(הגדרות!$A$2:$A$21,MOD(I1716+הגדרות!$E$9,הגדרות!$E$6)+1))</f>
        <v/>
      </c>
    </row>
    <row r="1717" customFormat="false" ht="15" hidden="false" customHeight="false" outlineLevel="0" collapsed="false">
      <c r="A1717" s="0" t="str">
        <f aca="false">IF('הדבקת לידים'!A1717="","",IF(ISNUMBER('הדבקת לידים'!A1717),IF(הגדרות!$E$2&gt;0,TEXT('הדבקת לידים'!A1717,REPT("0",הגדרות!$E$2)),TEXT('הדבקת לידים'!A1717,"0")),TRIM('הדבקת לידים'!A1717)))</f>
        <v/>
      </c>
      <c r="B1717" s="0" t="str">
        <f aca="false">IF('הדבקת לידים'!B1717="","",IF(ISNUMBER('הדבקת לידים'!B1717),IF(הגדרות!$E$3&gt;0,TEXT('הדבקת לידים'!B1717,REPT("0",הגדרות!$E$3)),TEXT('הדבקת לידים'!B1717,"0")),TRIM('הדבקת לידים'!B1717)))</f>
        <v/>
      </c>
      <c r="C1717" s="0" t="n">
        <f aca="false">IF(OR(A1717&lt;&gt;"",B1717&lt;&gt;""),1,0)</f>
        <v>0</v>
      </c>
      <c r="D1717" s="0" t="str">
        <f aca="false">IF(C1717=1,MOD(ABS(SIN(ROW()*12.9898+'הדבקת לידים'!$F$2*78.233+IFERROR(--RIGHT(A1717,6),LEN(A1717))*0.0137+IFERROR(--RIGHT(B1717,6),LEN(B1717))*0.0071))*43758.5453,1),"")</f>
        <v/>
      </c>
      <c r="E1717" s="0" t="str">
        <f aca="false">IF(C1717=1,INT(MOD(ABS(SIN(D1717*7919.123+ROW()*0.618+'הדבקת לידים'!$F$2*1.3))*43758.5453,1)*1000000)*10000+ROW(),"")</f>
        <v/>
      </c>
      <c r="F1717" s="0" t="str">
        <f aca="false">IF(E1717="","",RANK(E1717,$E$2:$E$5001,1))</f>
        <v/>
      </c>
      <c r="G1717" s="0" t="n">
        <f aca="false">IF(A1717="",0,IF(SUMPRODUCT(--($A$2:$A$5001=A1717))&gt;1,1,0))</f>
        <v>0</v>
      </c>
      <c r="H1717" s="0" t="n">
        <f aca="false">ROW()-1</f>
        <v>1716</v>
      </c>
      <c r="I1717" s="0" t="str">
        <f aca="false">IF(OR(הגדרות!$E$6=0,H1717&gt;הגדרות!$E$5),"",IF(H1717-1&lt;הגדרות!$E$8*(הגדרות!$E$7+1),INT((H1717-1)/(הגדרות!$E$7+1)),הגדרות!$E$8+INT((H1717-1-הגדרות!$E$8*(הגדרות!$E$7+1))/הגדרות!$E$7)))</f>
        <v/>
      </c>
      <c r="J1717" s="0" t="str">
        <f aca="false">IF(I1717="","",IF(H1717-1&lt;הגדרות!$E$8*(הגדרות!$E$7+1),MOD(H1717-1,הגדרות!$E$7+1),MOD(H1717-1-הגדרות!$E$8*(הגדרות!$E$7+1),הגדרות!$E$7)))</f>
        <v/>
      </c>
      <c r="K1717" s="0" t="str">
        <f aca="false">IF(I1717="","",J1717*הגדרות!$E$6+I1717+1)</f>
        <v/>
      </c>
      <c r="L1717" s="0" t="str">
        <f aca="false">IF(K1717="","",MATCH(K1717,$F$2:$F$5001,0))</f>
        <v/>
      </c>
      <c r="M1717" s="0" t="str">
        <f aca="false">IF(I1717="","",INDEX(הגדרות!$A$2:$A$21,MOD(I1717+הגדרות!$E$9,הגדרות!$E$6)+1))</f>
        <v/>
      </c>
    </row>
    <row r="1718" customFormat="false" ht="15" hidden="false" customHeight="false" outlineLevel="0" collapsed="false">
      <c r="A1718" s="0" t="str">
        <f aca="false">IF('הדבקת לידים'!A1718="","",IF(ISNUMBER('הדבקת לידים'!A1718),IF(הגדרות!$E$2&gt;0,TEXT('הדבקת לידים'!A1718,REPT("0",הגדרות!$E$2)),TEXT('הדבקת לידים'!A1718,"0")),TRIM('הדבקת לידים'!A1718)))</f>
        <v/>
      </c>
      <c r="B1718" s="0" t="str">
        <f aca="false">IF('הדבקת לידים'!B1718="","",IF(ISNUMBER('הדבקת לידים'!B1718),IF(הגדרות!$E$3&gt;0,TEXT('הדבקת לידים'!B1718,REPT("0",הגדרות!$E$3)),TEXT('הדבקת לידים'!B1718,"0")),TRIM('הדבקת לידים'!B1718)))</f>
        <v/>
      </c>
      <c r="C1718" s="0" t="n">
        <f aca="false">IF(OR(A1718&lt;&gt;"",B1718&lt;&gt;""),1,0)</f>
        <v>0</v>
      </c>
      <c r="D1718" s="0" t="str">
        <f aca="false">IF(C1718=1,MOD(ABS(SIN(ROW()*12.9898+'הדבקת לידים'!$F$2*78.233+IFERROR(--RIGHT(A1718,6),LEN(A1718))*0.0137+IFERROR(--RIGHT(B1718,6),LEN(B1718))*0.0071))*43758.5453,1),"")</f>
        <v/>
      </c>
      <c r="E1718" s="0" t="str">
        <f aca="false">IF(C1718=1,INT(MOD(ABS(SIN(D1718*7919.123+ROW()*0.618+'הדבקת לידים'!$F$2*1.3))*43758.5453,1)*1000000)*10000+ROW(),"")</f>
        <v/>
      </c>
      <c r="F1718" s="0" t="str">
        <f aca="false">IF(E1718="","",RANK(E1718,$E$2:$E$5001,1))</f>
        <v/>
      </c>
      <c r="G1718" s="0" t="n">
        <f aca="false">IF(A1718="",0,IF(SUMPRODUCT(--($A$2:$A$5001=A1718))&gt;1,1,0))</f>
        <v>0</v>
      </c>
      <c r="H1718" s="0" t="n">
        <f aca="false">ROW()-1</f>
        <v>1717</v>
      </c>
      <c r="I1718" s="0" t="str">
        <f aca="false">IF(OR(הגדרות!$E$6=0,H1718&gt;הגדרות!$E$5),"",IF(H1718-1&lt;הגדרות!$E$8*(הגדרות!$E$7+1),INT((H1718-1)/(הגדרות!$E$7+1)),הגדרות!$E$8+INT((H1718-1-הגדרות!$E$8*(הגדרות!$E$7+1))/הגדרות!$E$7)))</f>
        <v/>
      </c>
      <c r="J1718" s="0" t="str">
        <f aca="false">IF(I1718="","",IF(H1718-1&lt;הגדרות!$E$8*(הגדרות!$E$7+1),MOD(H1718-1,הגדרות!$E$7+1),MOD(H1718-1-הגדרות!$E$8*(הגדרות!$E$7+1),הגדרות!$E$7)))</f>
        <v/>
      </c>
      <c r="K1718" s="0" t="str">
        <f aca="false">IF(I1718="","",J1718*הגדרות!$E$6+I1718+1)</f>
        <v/>
      </c>
      <c r="L1718" s="0" t="str">
        <f aca="false">IF(K1718="","",MATCH(K1718,$F$2:$F$5001,0))</f>
        <v/>
      </c>
      <c r="M1718" s="0" t="str">
        <f aca="false">IF(I1718="","",INDEX(הגדרות!$A$2:$A$21,MOD(I1718+הגדרות!$E$9,הגדרות!$E$6)+1))</f>
        <v/>
      </c>
    </row>
    <row r="1719" customFormat="false" ht="15" hidden="false" customHeight="false" outlineLevel="0" collapsed="false">
      <c r="A1719" s="0" t="str">
        <f aca="false">IF('הדבקת לידים'!A1719="","",IF(ISNUMBER('הדבקת לידים'!A1719),IF(הגדרות!$E$2&gt;0,TEXT('הדבקת לידים'!A1719,REPT("0",הגדרות!$E$2)),TEXT('הדבקת לידים'!A1719,"0")),TRIM('הדבקת לידים'!A1719)))</f>
        <v/>
      </c>
      <c r="B1719" s="0" t="str">
        <f aca="false">IF('הדבקת לידים'!B1719="","",IF(ISNUMBER('הדבקת לידים'!B1719),IF(הגדרות!$E$3&gt;0,TEXT('הדבקת לידים'!B1719,REPT("0",הגדרות!$E$3)),TEXT('הדבקת לידים'!B1719,"0")),TRIM('הדבקת לידים'!B1719)))</f>
        <v/>
      </c>
      <c r="C1719" s="0" t="n">
        <f aca="false">IF(OR(A1719&lt;&gt;"",B1719&lt;&gt;""),1,0)</f>
        <v>0</v>
      </c>
      <c r="D1719" s="0" t="str">
        <f aca="false">IF(C1719=1,MOD(ABS(SIN(ROW()*12.9898+'הדבקת לידים'!$F$2*78.233+IFERROR(--RIGHT(A1719,6),LEN(A1719))*0.0137+IFERROR(--RIGHT(B1719,6),LEN(B1719))*0.0071))*43758.5453,1),"")</f>
        <v/>
      </c>
      <c r="E1719" s="0" t="str">
        <f aca="false">IF(C1719=1,INT(MOD(ABS(SIN(D1719*7919.123+ROW()*0.618+'הדבקת לידים'!$F$2*1.3))*43758.5453,1)*1000000)*10000+ROW(),"")</f>
        <v/>
      </c>
      <c r="F1719" s="0" t="str">
        <f aca="false">IF(E1719="","",RANK(E1719,$E$2:$E$5001,1))</f>
        <v/>
      </c>
      <c r="G1719" s="0" t="n">
        <f aca="false">IF(A1719="",0,IF(SUMPRODUCT(--($A$2:$A$5001=A1719))&gt;1,1,0))</f>
        <v>0</v>
      </c>
      <c r="H1719" s="0" t="n">
        <f aca="false">ROW()-1</f>
        <v>1718</v>
      </c>
      <c r="I1719" s="0" t="str">
        <f aca="false">IF(OR(הגדרות!$E$6=0,H1719&gt;הגדרות!$E$5),"",IF(H1719-1&lt;הגדרות!$E$8*(הגדרות!$E$7+1),INT((H1719-1)/(הגדרות!$E$7+1)),הגדרות!$E$8+INT((H1719-1-הגדרות!$E$8*(הגדרות!$E$7+1))/הגדרות!$E$7)))</f>
        <v/>
      </c>
      <c r="J1719" s="0" t="str">
        <f aca="false">IF(I1719="","",IF(H1719-1&lt;הגדרות!$E$8*(הגדרות!$E$7+1),MOD(H1719-1,הגדרות!$E$7+1),MOD(H1719-1-הגדרות!$E$8*(הגדרות!$E$7+1),הגדרות!$E$7)))</f>
        <v/>
      </c>
      <c r="K1719" s="0" t="str">
        <f aca="false">IF(I1719="","",J1719*הגדרות!$E$6+I1719+1)</f>
        <v/>
      </c>
      <c r="L1719" s="0" t="str">
        <f aca="false">IF(K1719="","",MATCH(K1719,$F$2:$F$5001,0))</f>
        <v/>
      </c>
      <c r="M1719" s="0" t="str">
        <f aca="false">IF(I1719="","",INDEX(הגדרות!$A$2:$A$21,MOD(I1719+הגדרות!$E$9,הגדרות!$E$6)+1))</f>
        <v/>
      </c>
    </row>
    <row r="1720" customFormat="false" ht="15" hidden="false" customHeight="false" outlineLevel="0" collapsed="false">
      <c r="A1720" s="0" t="str">
        <f aca="false">IF('הדבקת לידים'!A1720="","",IF(ISNUMBER('הדבקת לידים'!A1720),IF(הגדרות!$E$2&gt;0,TEXT('הדבקת לידים'!A1720,REPT("0",הגדרות!$E$2)),TEXT('הדבקת לידים'!A1720,"0")),TRIM('הדבקת לידים'!A1720)))</f>
        <v/>
      </c>
      <c r="B1720" s="0" t="str">
        <f aca="false">IF('הדבקת לידים'!B1720="","",IF(ISNUMBER('הדבקת לידים'!B1720),IF(הגדרות!$E$3&gt;0,TEXT('הדבקת לידים'!B1720,REPT("0",הגדרות!$E$3)),TEXT('הדבקת לידים'!B1720,"0")),TRIM('הדבקת לידים'!B1720)))</f>
        <v/>
      </c>
      <c r="C1720" s="0" t="n">
        <f aca="false">IF(OR(A1720&lt;&gt;"",B1720&lt;&gt;""),1,0)</f>
        <v>0</v>
      </c>
      <c r="D1720" s="0" t="str">
        <f aca="false">IF(C1720=1,MOD(ABS(SIN(ROW()*12.9898+'הדבקת לידים'!$F$2*78.233+IFERROR(--RIGHT(A1720,6),LEN(A1720))*0.0137+IFERROR(--RIGHT(B1720,6),LEN(B1720))*0.0071))*43758.5453,1),"")</f>
        <v/>
      </c>
      <c r="E1720" s="0" t="str">
        <f aca="false">IF(C1720=1,INT(MOD(ABS(SIN(D1720*7919.123+ROW()*0.618+'הדבקת לידים'!$F$2*1.3))*43758.5453,1)*1000000)*10000+ROW(),"")</f>
        <v/>
      </c>
      <c r="F1720" s="0" t="str">
        <f aca="false">IF(E1720="","",RANK(E1720,$E$2:$E$5001,1))</f>
        <v/>
      </c>
      <c r="G1720" s="0" t="n">
        <f aca="false">IF(A1720="",0,IF(SUMPRODUCT(--($A$2:$A$5001=A1720))&gt;1,1,0))</f>
        <v>0</v>
      </c>
      <c r="H1720" s="0" t="n">
        <f aca="false">ROW()-1</f>
        <v>1719</v>
      </c>
      <c r="I1720" s="0" t="str">
        <f aca="false">IF(OR(הגדרות!$E$6=0,H1720&gt;הגדרות!$E$5),"",IF(H1720-1&lt;הגדרות!$E$8*(הגדרות!$E$7+1),INT((H1720-1)/(הגדרות!$E$7+1)),הגדרות!$E$8+INT((H1720-1-הגדרות!$E$8*(הגדרות!$E$7+1))/הגדרות!$E$7)))</f>
        <v/>
      </c>
      <c r="J1720" s="0" t="str">
        <f aca="false">IF(I1720="","",IF(H1720-1&lt;הגדרות!$E$8*(הגדרות!$E$7+1),MOD(H1720-1,הגדרות!$E$7+1),MOD(H1720-1-הגדרות!$E$8*(הגדרות!$E$7+1),הגדרות!$E$7)))</f>
        <v/>
      </c>
      <c r="K1720" s="0" t="str">
        <f aca="false">IF(I1720="","",J1720*הגדרות!$E$6+I1720+1)</f>
        <v/>
      </c>
      <c r="L1720" s="0" t="str">
        <f aca="false">IF(K1720="","",MATCH(K1720,$F$2:$F$5001,0))</f>
        <v/>
      </c>
      <c r="M1720" s="0" t="str">
        <f aca="false">IF(I1720="","",INDEX(הגדרות!$A$2:$A$21,MOD(I1720+הגדרות!$E$9,הגדרות!$E$6)+1))</f>
        <v/>
      </c>
    </row>
    <row r="1721" customFormat="false" ht="15" hidden="false" customHeight="false" outlineLevel="0" collapsed="false">
      <c r="A1721" s="0" t="str">
        <f aca="false">IF('הדבקת לידים'!A1721="","",IF(ISNUMBER('הדבקת לידים'!A1721),IF(הגדרות!$E$2&gt;0,TEXT('הדבקת לידים'!A1721,REPT("0",הגדרות!$E$2)),TEXT('הדבקת לידים'!A1721,"0")),TRIM('הדבקת לידים'!A1721)))</f>
        <v/>
      </c>
      <c r="B1721" s="0" t="str">
        <f aca="false">IF('הדבקת לידים'!B1721="","",IF(ISNUMBER('הדבקת לידים'!B1721),IF(הגדרות!$E$3&gt;0,TEXT('הדבקת לידים'!B1721,REPT("0",הגדרות!$E$3)),TEXT('הדבקת לידים'!B1721,"0")),TRIM('הדבקת לידים'!B1721)))</f>
        <v/>
      </c>
      <c r="C1721" s="0" t="n">
        <f aca="false">IF(OR(A1721&lt;&gt;"",B1721&lt;&gt;""),1,0)</f>
        <v>0</v>
      </c>
      <c r="D1721" s="0" t="str">
        <f aca="false">IF(C1721=1,MOD(ABS(SIN(ROW()*12.9898+'הדבקת לידים'!$F$2*78.233+IFERROR(--RIGHT(A1721,6),LEN(A1721))*0.0137+IFERROR(--RIGHT(B1721,6),LEN(B1721))*0.0071))*43758.5453,1),"")</f>
        <v/>
      </c>
      <c r="E1721" s="0" t="str">
        <f aca="false">IF(C1721=1,INT(MOD(ABS(SIN(D1721*7919.123+ROW()*0.618+'הדבקת לידים'!$F$2*1.3))*43758.5453,1)*1000000)*10000+ROW(),"")</f>
        <v/>
      </c>
      <c r="F1721" s="0" t="str">
        <f aca="false">IF(E1721="","",RANK(E1721,$E$2:$E$5001,1))</f>
        <v/>
      </c>
      <c r="G1721" s="0" t="n">
        <f aca="false">IF(A1721="",0,IF(SUMPRODUCT(--($A$2:$A$5001=A1721))&gt;1,1,0))</f>
        <v>0</v>
      </c>
      <c r="H1721" s="0" t="n">
        <f aca="false">ROW()-1</f>
        <v>1720</v>
      </c>
      <c r="I1721" s="0" t="str">
        <f aca="false">IF(OR(הגדרות!$E$6=0,H1721&gt;הגדרות!$E$5),"",IF(H1721-1&lt;הגדרות!$E$8*(הגדרות!$E$7+1),INT((H1721-1)/(הגדרות!$E$7+1)),הגדרות!$E$8+INT((H1721-1-הגדרות!$E$8*(הגדרות!$E$7+1))/הגדרות!$E$7)))</f>
        <v/>
      </c>
      <c r="J1721" s="0" t="str">
        <f aca="false">IF(I1721="","",IF(H1721-1&lt;הגדרות!$E$8*(הגדרות!$E$7+1),MOD(H1721-1,הגדרות!$E$7+1),MOD(H1721-1-הגדרות!$E$8*(הגדרות!$E$7+1),הגדרות!$E$7)))</f>
        <v/>
      </c>
      <c r="K1721" s="0" t="str">
        <f aca="false">IF(I1721="","",J1721*הגדרות!$E$6+I1721+1)</f>
        <v/>
      </c>
      <c r="L1721" s="0" t="str">
        <f aca="false">IF(K1721="","",MATCH(K1721,$F$2:$F$5001,0))</f>
        <v/>
      </c>
      <c r="M1721" s="0" t="str">
        <f aca="false">IF(I1721="","",INDEX(הגדרות!$A$2:$A$21,MOD(I1721+הגדרות!$E$9,הגדרות!$E$6)+1))</f>
        <v/>
      </c>
    </row>
    <row r="1722" customFormat="false" ht="15" hidden="false" customHeight="false" outlineLevel="0" collapsed="false">
      <c r="A1722" s="0" t="str">
        <f aca="false">IF('הדבקת לידים'!A1722="","",IF(ISNUMBER('הדבקת לידים'!A1722),IF(הגדרות!$E$2&gt;0,TEXT('הדבקת לידים'!A1722,REPT("0",הגדרות!$E$2)),TEXT('הדבקת לידים'!A1722,"0")),TRIM('הדבקת לידים'!A1722)))</f>
        <v/>
      </c>
      <c r="B1722" s="0" t="str">
        <f aca="false">IF('הדבקת לידים'!B1722="","",IF(ISNUMBER('הדבקת לידים'!B1722),IF(הגדרות!$E$3&gt;0,TEXT('הדבקת לידים'!B1722,REPT("0",הגדרות!$E$3)),TEXT('הדבקת לידים'!B1722,"0")),TRIM('הדבקת לידים'!B1722)))</f>
        <v/>
      </c>
      <c r="C1722" s="0" t="n">
        <f aca="false">IF(OR(A1722&lt;&gt;"",B1722&lt;&gt;""),1,0)</f>
        <v>0</v>
      </c>
      <c r="D1722" s="0" t="str">
        <f aca="false">IF(C1722=1,MOD(ABS(SIN(ROW()*12.9898+'הדבקת לידים'!$F$2*78.233+IFERROR(--RIGHT(A1722,6),LEN(A1722))*0.0137+IFERROR(--RIGHT(B1722,6),LEN(B1722))*0.0071))*43758.5453,1),"")</f>
        <v/>
      </c>
      <c r="E1722" s="0" t="str">
        <f aca="false">IF(C1722=1,INT(MOD(ABS(SIN(D1722*7919.123+ROW()*0.618+'הדבקת לידים'!$F$2*1.3))*43758.5453,1)*1000000)*10000+ROW(),"")</f>
        <v/>
      </c>
      <c r="F1722" s="0" t="str">
        <f aca="false">IF(E1722="","",RANK(E1722,$E$2:$E$5001,1))</f>
        <v/>
      </c>
      <c r="G1722" s="0" t="n">
        <f aca="false">IF(A1722="",0,IF(SUMPRODUCT(--($A$2:$A$5001=A1722))&gt;1,1,0))</f>
        <v>0</v>
      </c>
      <c r="H1722" s="0" t="n">
        <f aca="false">ROW()-1</f>
        <v>1721</v>
      </c>
      <c r="I1722" s="0" t="str">
        <f aca="false">IF(OR(הגדרות!$E$6=0,H1722&gt;הגדרות!$E$5),"",IF(H1722-1&lt;הגדרות!$E$8*(הגדרות!$E$7+1),INT((H1722-1)/(הגדרות!$E$7+1)),הגדרות!$E$8+INT((H1722-1-הגדרות!$E$8*(הגדרות!$E$7+1))/הגדרות!$E$7)))</f>
        <v/>
      </c>
      <c r="J1722" s="0" t="str">
        <f aca="false">IF(I1722="","",IF(H1722-1&lt;הגדרות!$E$8*(הגדרות!$E$7+1),MOD(H1722-1,הגדרות!$E$7+1),MOD(H1722-1-הגדרות!$E$8*(הגדרות!$E$7+1),הגדרות!$E$7)))</f>
        <v/>
      </c>
      <c r="K1722" s="0" t="str">
        <f aca="false">IF(I1722="","",J1722*הגדרות!$E$6+I1722+1)</f>
        <v/>
      </c>
      <c r="L1722" s="0" t="str">
        <f aca="false">IF(K1722="","",MATCH(K1722,$F$2:$F$5001,0))</f>
        <v/>
      </c>
      <c r="M1722" s="0" t="str">
        <f aca="false">IF(I1722="","",INDEX(הגדרות!$A$2:$A$21,MOD(I1722+הגדרות!$E$9,הגדרות!$E$6)+1))</f>
        <v/>
      </c>
    </row>
    <row r="1723" customFormat="false" ht="15" hidden="false" customHeight="false" outlineLevel="0" collapsed="false">
      <c r="A1723" s="0" t="str">
        <f aca="false">IF('הדבקת לידים'!A1723="","",IF(ISNUMBER('הדבקת לידים'!A1723),IF(הגדרות!$E$2&gt;0,TEXT('הדבקת לידים'!A1723,REPT("0",הגדרות!$E$2)),TEXT('הדבקת לידים'!A1723,"0")),TRIM('הדבקת לידים'!A1723)))</f>
        <v/>
      </c>
      <c r="B1723" s="0" t="str">
        <f aca="false">IF('הדבקת לידים'!B1723="","",IF(ISNUMBER('הדבקת לידים'!B1723),IF(הגדרות!$E$3&gt;0,TEXT('הדבקת לידים'!B1723,REPT("0",הגדרות!$E$3)),TEXT('הדבקת לידים'!B1723,"0")),TRIM('הדבקת לידים'!B1723)))</f>
        <v/>
      </c>
      <c r="C1723" s="0" t="n">
        <f aca="false">IF(OR(A1723&lt;&gt;"",B1723&lt;&gt;""),1,0)</f>
        <v>0</v>
      </c>
      <c r="D1723" s="0" t="str">
        <f aca="false">IF(C1723=1,MOD(ABS(SIN(ROW()*12.9898+'הדבקת לידים'!$F$2*78.233+IFERROR(--RIGHT(A1723,6),LEN(A1723))*0.0137+IFERROR(--RIGHT(B1723,6),LEN(B1723))*0.0071))*43758.5453,1),"")</f>
        <v/>
      </c>
      <c r="E1723" s="0" t="str">
        <f aca="false">IF(C1723=1,INT(MOD(ABS(SIN(D1723*7919.123+ROW()*0.618+'הדבקת לידים'!$F$2*1.3))*43758.5453,1)*1000000)*10000+ROW(),"")</f>
        <v/>
      </c>
      <c r="F1723" s="0" t="str">
        <f aca="false">IF(E1723="","",RANK(E1723,$E$2:$E$5001,1))</f>
        <v/>
      </c>
      <c r="G1723" s="0" t="n">
        <f aca="false">IF(A1723="",0,IF(SUMPRODUCT(--($A$2:$A$5001=A1723))&gt;1,1,0))</f>
        <v>0</v>
      </c>
      <c r="H1723" s="0" t="n">
        <f aca="false">ROW()-1</f>
        <v>1722</v>
      </c>
      <c r="I1723" s="0" t="str">
        <f aca="false">IF(OR(הגדרות!$E$6=0,H1723&gt;הגדרות!$E$5),"",IF(H1723-1&lt;הגדרות!$E$8*(הגדרות!$E$7+1),INT((H1723-1)/(הגדרות!$E$7+1)),הגדרות!$E$8+INT((H1723-1-הגדרות!$E$8*(הגדרות!$E$7+1))/הגדרות!$E$7)))</f>
        <v/>
      </c>
      <c r="J1723" s="0" t="str">
        <f aca="false">IF(I1723="","",IF(H1723-1&lt;הגדרות!$E$8*(הגדרות!$E$7+1),MOD(H1723-1,הגדרות!$E$7+1),MOD(H1723-1-הגדרות!$E$8*(הגדרות!$E$7+1),הגדרות!$E$7)))</f>
        <v/>
      </c>
      <c r="K1723" s="0" t="str">
        <f aca="false">IF(I1723="","",J1723*הגדרות!$E$6+I1723+1)</f>
        <v/>
      </c>
      <c r="L1723" s="0" t="str">
        <f aca="false">IF(K1723="","",MATCH(K1723,$F$2:$F$5001,0))</f>
        <v/>
      </c>
      <c r="M1723" s="0" t="str">
        <f aca="false">IF(I1723="","",INDEX(הגדרות!$A$2:$A$21,MOD(I1723+הגדרות!$E$9,הגדרות!$E$6)+1))</f>
        <v/>
      </c>
    </row>
    <row r="1724" customFormat="false" ht="15" hidden="false" customHeight="false" outlineLevel="0" collapsed="false">
      <c r="A1724" s="0" t="str">
        <f aca="false">IF('הדבקת לידים'!A1724="","",IF(ISNUMBER('הדבקת לידים'!A1724),IF(הגדרות!$E$2&gt;0,TEXT('הדבקת לידים'!A1724,REPT("0",הגדרות!$E$2)),TEXT('הדבקת לידים'!A1724,"0")),TRIM('הדבקת לידים'!A1724)))</f>
        <v/>
      </c>
      <c r="B1724" s="0" t="str">
        <f aca="false">IF('הדבקת לידים'!B1724="","",IF(ISNUMBER('הדבקת לידים'!B1724),IF(הגדרות!$E$3&gt;0,TEXT('הדבקת לידים'!B1724,REPT("0",הגדרות!$E$3)),TEXT('הדבקת לידים'!B1724,"0")),TRIM('הדבקת לידים'!B1724)))</f>
        <v/>
      </c>
      <c r="C1724" s="0" t="n">
        <f aca="false">IF(OR(A1724&lt;&gt;"",B1724&lt;&gt;""),1,0)</f>
        <v>0</v>
      </c>
      <c r="D1724" s="0" t="str">
        <f aca="false">IF(C1724=1,MOD(ABS(SIN(ROW()*12.9898+'הדבקת לידים'!$F$2*78.233+IFERROR(--RIGHT(A1724,6),LEN(A1724))*0.0137+IFERROR(--RIGHT(B1724,6),LEN(B1724))*0.0071))*43758.5453,1),"")</f>
        <v/>
      </c>
      <c r="E1724" s="0" t="str">
        <f aca="false">IF(C1724=1,INT(MOD(ABS(SIN(D1724*7919.123+ROW()*0.618+'הדבקת לידים'!$F$2*1.3))*43758.5453,1)*1000000)*10000+ROW(),"")</f>
        <v/>
      </c>
      <c r="F1724" s="0" t="str">
        <f aca="false">IF(E1724="","",RANK(E1724,$E$2:$E$5001,1))</f>
        <v/>
      </c>
      <c r="G1724" s="0" t="n">
        <f aca="false">IF(A1724="",0,IF(SUMPRODUCT(--($A$2:$A$5001=A1724))&gt;1,1,0))</f>
        <v>0</v>
      </c>
      <c r="H1724" s="0" t="n">
        <f aca="false">ROW()-1</f>
        <v>1723</v>
      </c>
      <c r="I1724" s="0" t="str">
        <f aca="false">IF(OR(הגדרות!$E$6=0,H1724&gt;הגדרות!$E$5),"",IF(H1724-1&lt;הגדרות!$E$8*(הגדרות!$E$7+1),INT((H1724-1)/(הגדרות!$E$7+1)),הגדרות!$E$8+INT((H1724-1-הגדרות!$E$8*(הגדרות!$E$7+1))/הגדרות!$E$7)))</f>
        <v/>
      </c>
      <c r="J1724" s="0" t="str">
        <f aca="false">IF(I1724="","",IF(H1724-1&lt;הגדרות!$E$8*(הגדרות!$E$7+1),MOD(H1724-1,הגדרות!$E$7+1),MOD(H1724-1-הגדרות!$E$8*(הגדרות!$E$7+1),הגדרות!$E$7)))</f>
        <v/>
      </c>
      <c r="K1724" s="0" t="str">
        <f aca="false">IF(I1724="","",J1724*הגדרות!$E$6+I1724+1)</f>
        <v/>
      </c>
      <c r="L1724" s="0" t="str">
        <f aca="false">IF(K1724="","",MATCH(K1724,$F$2:$F$5001,0))</f>
        <v/>
      </c>
      <c r="M1724" s="0" t="str">
        <f aca="false">IF(I1724="","",INDEX(הגדרות!$A$2:$A$21,MOD(I1724+הגדרות!$E$9,הגדרות!$E$6)+1))</f>
        <v/>
      </c>
    </row>
    <row r="1725" customFormat="false" ht="15" hidden="false" customHeight="false" outlineLevel="0" collapsed="false">
      <c r="A1725" s="0" t="str">
        <f aca="false">IF('הדבקת לידים'!A1725="","",IF(ISNUMBER('הדבקת לידים'!A1725),IF(הגדרות!$E$2&gt;0,TEXT('הדבקת לידים'!A1725,REPT("0",הגדרות!$E$2)),TEXT('הדבקת לידים'!A1725,"0")),TRIM('הדבקת לידים'!A1725)))</f>
        <v/>
      </c>
      <c r="B1725" s="0" t="str">
        <f aca="false">IF('הדבקת לידים'!B1725="","",IF(ISNUMBER('הדבקת לידים'!B1725),IF(הגדרות!$E$3&gt;0,TEXT('הדבקת לידים'!B1725,REPT("0",הגדרות!$E$3)),TEXT('הדבקת לידים'!B1725,"0")),TRIM('הדבקת לידים'!B1725)))</f>
        <v/>
      </c>
      <c r="C1725" s="0" t="n">
        <f aca="false">IF(OR(A1725&lt;&gt;"",B1725&lt;&gt;""),1,0)</f>
        <v>0</v>
      </c>
      <c r="D1725" s="0" t="str">
        <f aca="false">IF(C1725=1,MOD(ABS(SIN(ROW()*12.9898+'הדבקת לידים'!$F$2*78.233+IFERROR(--RIGHT(A1725,6),LEN(A1725))*0.0137+IFERROR(--RIGHT(B1725,6),LEN(B1725))*0.0071))*43758.5453,1),"")</f>
        <v/>
      </c>
      <c r="E1725" s="0" t="str">
        <f aca="false">IF(C1725=1,INT(MOD(ABS(SIN(D1725*7919.123+ROW()*0.618+'הדבקת לידים'!$F$2*1.3))*43758.5453,1)*1000000)*10000+ROW(),"")</f>
        <v/>
      </c>
      <c r="F1725" s="0" t="str">
        <f aca="false">IF(E1725="","",RANK(E1725,$E$2:$E$5001,1))</f>
        <v/>
      </c>
      <c r="G1725" s="0" t="n">
        <f aca="false">IF(A1725="",0,IF(SUMPRODUCT(--($A$2:$A$5001=A1725))&gt;1,1,0))</f>
        <v>0</v>
      </c>
      <c r="H1725" s="0" t="n">
        <f aca="false">ROW()-1</f>
        <v>1724</v>
      </c>
      <c r="I1725" s="0" t="str">
        <f aca="false">IF(OR(הגדרות!$E$6=0,H1725&gt;הגדרות!$E$5),"",IF(H1725-1&lt;הגדרות!$E$8*(הגדרות!$E$7+1),INT((H1725-1)/(הגדרות!$E$7+1)),הגדרות!$E$8+INT((H1725-1-הגדרות!$E$8*(הגדרות!$E$7+1))/הגדרות!$E$7)))</f>
        <v/>
      </c>
      <c r="J1725" s="0" t="str">
        <f aca="false">IF(I1725="","",IF(H1725-1&lt;הגדרות!$E$8*(הגדרות!$E$7+1),MOD(H1725-1,הגדרות!$E$7+1),MOD(H1725-1-הגדרות!$E$8*(הגדרות!$E$7+1),הגדרות!$E$7)))</f>
        <v/>
      </c>
      <c r="K1725" s="0" t="str">
        <f aca="false">IF(I1725="","",J1725*הגדרות!$E$6+I1725+1)</f>
        <v/>
      </c>
      <c r="L1725" s="0" t="str">
        <f aca="false">IF(K1725="","",MATCH(K1725,$F$2:$F$5001,0))</f>
        <v/>
      </c>
      <c r="M1725" s="0" t="str">
        <f aca="false">IF(I1725="","",INDEX(הגדרות!$A$2:$A$21,MOD(I1725+הגדרות!$E$9,הגדרות!$E$6)+1))</f>
        <v/>
      </c>
    </row>
    <row r="1726" customFormat="false" ht="15" hidden="false" customHeight="false" outlineLevel="0" collapsed="false">
      <c r="A1726" s="0" t="str">
        <f aca="false">IF('הדבקת לידים'!A1726="","",IF(ISNUMBER('הדבקת לידים'!A1726),IF(הגדרות!$E$2&gt;0,TEXT('הדבקת לידים'!A1726,REPT("0",הגדרות!$E$2)),TEXT('הדבקת לידים'!A1726,"0")),TRIM('הדבקת לידים'!A1726)))</f>
        <v/>
      </c>
      <c r="B1726" s="0" t="str">
        <f aca="false">IF('הדבקת לידים'!B1726="","",IF(ISNUMBER('הדבקת לידים'!B1726),IF(הגדרות!$E$3&gt;0,TEXT('הדבקת לידים'!B1726,REPT("0",הגדרות!$E$3)),TEXT('הדבקת לידים'!B1726,"0")),TRIM('הדבקת לידים'!B1726)))</f>
        <v/>
      </c>
      <c r="C1726" s="0" t="n">
        <f aca="false">IF(OR(A1726&lt;&gt;"",B1726&lt;&gt;""),1,0)</f>
        <v>0</v>
      </c>
      <c r="D1726" s="0" t="str">
        <f aca="false">IF(C1726=1,MOD(ABS(SIN(ROW()*12.9898+'הדבקת לידים'!$F$2*78.233+IFERROR(--RIGHT(A1726,6),LEN(A1726))*0.0137+IFERROR(--RIGHT(B1726,6),LEN(B1726))*0.0071))*43758.5453,1),"")</f>
        <v/>
      </c>
      <c r="E1726" s="0" t="str">
        <f aca="false">IF(C1726=1,INT(MOD(ABS(SIN(D1726*7919.123+ROW()*0.618+'הדבקת לידים'!$F$2*1.3))*43758.5453,1)*1000000)*10000+ROW(),"")</f>
        <v/>
      </c>
      <c r="F1726" s="0" t="str">
        <f aca="false">IF(E1726="","",RANK(E1726,$E$2:$E$5001,1))</f>
        <v/>
      </c>
      <c r="G1726" s="0" t="n">
        <f aca="false">IF(A1726="",0,IF(SUMPRODUCT(--($A$2:$A$5001=A1726))&gt;1,1,0))</f>
        <v>0</v>
      </c>
      <c r="H1726" s="0" t="n">
        <f aca="false">ROW()-1</f>
        <v>1725</v>
      </c>
      <c r="I1726" s="0" t="str">
        <f aca="false">IF(OR(הגדרות!$E$6=0,H1726&gt;הגדרות!$E$5),"",IF(H1726-1&lt;הגדרות!$E$8*(הגדרות!$E$7+1),INT((H1726-1)/(הגדרות!$E$7+1)),הגדרות!$E$8+INT((H1726-1-הגדרות!$E$8*(הגדרות!$E$7+1))/הגדרות!$E$7)))</f>
        <v/>
      </c>
      <c r="J1726" s="0" t="str">
        <f aca="false">IF(I1726="","",IF(H1726-1&lt;הגדרות!$E$8*(הגדרות!$E$7+1),MOD(H1726-1,הגדרות!$E$7+1),MOD(H1726-1-הגדרות!$E$8*(הגדרות!$E$7+1),הגדרות!$E$7)))</f>
        <v/>
      </c>
      <c r="K1726" s="0" t="str">
        <f aca="false">IF(I1726="","",J1726*הגדרות!$E$6+I1726+1)</f>
        <v/>
      </c>
      <c r="L1726" s="0" t="str">
        <f aca="false">IF(K1726="","",MATCH(K1726,$F$2:$F$5001,0))</f>
        <v/>
      </c>
      <c r="M1726" s="0" t="str">
        <f aca="false">IF(I1726="","",INDEX(הגדרות!$A$2:$A$21,MOD(I1726+הגדרות!$E$9,הגדרות!$E$6)+1))</f>
        <v/>
      </c>
    </row>
    <row r="1727" customFormat="false" ht="15" hidden="false" customHeight="false" outlineLevel="0" collapsed="false">
      <c r="A1727" s="0" t="str">
        <f aca="false">IF('הדבקת לידים'!A1727="","",IF(ISNUMBER('הדבקת לידים'!A1727),IF(הגדרות!$E$2&gt;0,TEXT('הדבקת לידים'!A1727,REPT("0",הגדרות!$E$2)),TEXT('הדבקת לידים'!A1727,"0")),TRIM('הדבקת לידים'!A1727)))</f>
        <v/>
      </c>
      <c r="B1727" s="0" t="str">
        <f aca="false">IF('הדבקת לידים'!B1727="","",IF(ISNUMBER('הדבקת לידים'!B1727),IF(הגדרות!$E$3&gt;0,TEXT('הדבקת לידים'!B1727,REPT("0",הגדרות!$E$3)),TEXT('הדבקת לידים'!B1727,"0")),TRIM('הדבקת לידים'!B1727)))</f>
        <v/>
      </c>
      <c r="C1727" s="0" t="n">
        <f aca="false">IF(OR(A1727&lt;&gt;"",B1727&lt;&gt;""),1,0)</f>
        <v>0</v>
      </c>
      <c r="D1727" s="0" t="str">
        <f aca="false">IF(C1727=1,MOD(ABS(SIN(ROW()*12.9898+'הדבקת לידים'!$F$2*78.233+IFERROR(--RIGHT(A1727,6),LEN(A1727))*0.0137+IFERROR(--RIGHT(B1727,6),LEN(B1727))*0.0071))*43758.5453,1),"")</f>
        <v/>
      </c>
      <c r="E1727" s="0" t="str">
        <f aca="false">IF(C1727=1,INT(MOD(ABS(SIN(D1727*7919.123+ROW()*0.618+'הדבקת לידים'!$F$2*1.3))*43758.5453,1)*1000000)*10000+ROW(),"")</f>
        <v/>
      </c>
      <c r="F1727" s="0" t="str">
        <f aca="false">IF(E1727="","",RANK(E1727,$E$2:$E$5001,1))</f>
        <v/>
      </c>
      <c r="G1727" s="0" t="n">
        <f aca="false">IF(A1727="",0,IF(SUMPRODUCT(--($A$2:$A$5001=A1727))&gt;1,1,0))</f>
        <v>0</v>
      </c>
      <c r="H1727" s="0" t="n">
        <f aca="false">ROW()-1</f>
        <v>1726</v>
      </c>
      <c r="I1727" s="0" t="str">
        <f aca="false">IF(OR(הגדרות!$E$6=0,H1727&gt;הגדרות!$E$5),"",IF(H1727-1&lt;הגדרות!$E$8*(הגדרות!$E$7+1),INT((H1727-1)/(הגדרות!$E$7+1)),הגדרות!$E$8+INT((H1727-1-הגדרות!$E$8*(הגדרות!$E$7+1))/הגדרות!$E$7)))</f>
        <v/>
      </c>
      <c r="J1727" s="0" t="str">
        <f aca="false">IF(I1727="","",IF(H1727-1&lt;הגדרות!$E$8*(הגדרות!$E$7+1),MOD(H1727-1,הגדרות!$E$7+1),MOD(H1727-1-הגדרות!$E$8*(הגדרות!$E$7+1),הגדרות!$E$7)))</f>
        <v/>
      </c>
      <c r="K1727" s="0" t="str">
        <f aca="false">IF(I1727="","",J1727*הגדרות!$E$6+I1727+1)</f>
        <v/>
      </c>
      <c r="L1727" s="0" t="str">
        <f aca="false">IF(K1727="","",MATCH(K1727,$F$2:$F$5001,0))</f>
        <v/>
      </c>
      <c r="M1727" s="0" t="str">
        <f aca="false">IF(I1727="","",INDEX(הגדרות!$A$2:$A$21,MOD(I1727+הגדרות!$E$9,הגדרות!$E$6)+1))</f>
        <v/>
      </c>
    </row>
    <row r="1728" customFormat="false" ht="15" hidden="false" customHeight="false" outlineLevel="0" collapsed="false">
      <c r="A1728" s="0" t="str">
        <f aca="false">IF('הדבקת לידים'!A1728="","",IF(ISNUMBER('הדבקת לידים'!A1728),IF(הגדרות!$E$2&gt;0,TEXT('הדבקת לידים'!A1728,REPT("0",הגדרות!$E$2)),TEXT('הדבקת לידים'!A1728,"0")),TRIM('הדבקת לידים'!A1728)))</f>
        <v/>
      </c>
      <c r="B1728" s="0" t="str">
        <f aca="false">IF('הדבקת לידים'!B1728="","",IF(ISNUMBER('הדבקת לידים'!B1728),IF(הגדרות!$E$3&gt;0,TEXT('הדבקת לידים'!B1728,REPT("0",הגדרות!$E$3)),TEXT('הדבקת לידים'!B1728,"0")),TRIM('הדבקת לידים'!B1728)))</f>
        <v/>
      </c>
      <c r="C1728" s="0" t="n">
        <f aca="false">IF(OR(A1728&lt;&gt;"",B1728&lt;&gt;""),1,0)</f>
        <v>0</v>
      </c>
      <c r="D1728" s="0" t="str">
        <f aca="false">IF(C1728=1,MOD(ABS(SIN(ROW()*12.9898+'הדבקת לידים'!$F$2*78.233+IFERROR(--RIGHT(A1728,6),LEN(A1728))*0.0137+IFERROR(--RIGHT(B1728,6),LEN(B1728))*0.0071))*43758.5453,1),"")</f>
        <v/>
      </c>
      <c r="E1728" s="0" t="str">
        <f aca="false">IF(C1728=1,INT(MOD(ABS(SIN(D1728*7919.123+ROW()*0.618+'הדבקת לידים'!$F$2*1.3))*43758.5453,1)*1000000)*10000+ROW(),"")</f>
        <v/>
      </c>
      <c r="F1728" s="0" t="str">
        <f aca="false">IF(E1728="","",RANK(E1728,$E$2:$E$5001,1))</f>
        <v/>
      </c>
      <c r="G1728" s="0" t="n">
        <f aca="false">IF(A1728="",0,IF(SUMPRODUCT(--($A$2:$A$5001=A1728))&gt;1,1,0))</f>
        <v>0</v>
      </c>
      <c r="H1728" s="0" t="n">
        <f aca="false">ROW()-1</f>
        <v>1727</v>
      </c>
      <c r="I1728" s="0" t="str">
        <f aca="false">IF(OR(הגדרות!$E$6=0,H1728&gt;הגדרות!$E$5),"",IF(H1728-1&lt;הגדרות!$E$8*(הגדרות!$E$7+1),INT((H1728-1)/(הגדרות!$E$7+1)),הגדרות!$E$8+INT((H1728-1-הגדרות!$E$8*(הגדרות!$E$7+1))/הגדרות!$E$7)))</f>
        <v/>
      </c>
      <c r="J1728" s="0" t="str">
        <f aca="false">IF(I1728="","",IF(H1728-1&lt;הגדרות!$E$8*(הגדרות!$E$7+1),MOD(H1728-1,הגדרות!$E$7+1),MOD(H1728-1-הגדרות!$E$8*(הגדרות!$E$7+1),הגדרות!$E$7)))</f>
        <v/>
      </c>
      <c r="K1728" s="0" t="str">
        <f aca="false">IF(I1728="","",J1728*הגדרות!$E$6+I1728+1)</f>
        <v/>
      </c>
      <c r="L1728" s="0" t="str">
        <f aca="false">IF(K1728="","",MATCH(K1728,$F$2:$F$5001,0))</f>
        <v/>
      </c>
      <c r="M1728" s="0" t="str">
        <f aca="false">IF(I1728="","",INDEX(הגדרות!$A$2:$A$21,MOD(I1728+הגדרות!$E$9,הגדרות!$E$6)+1))</f>
        <v/>
      </c>
    </row>
    <row r="1729" customFormat="false" ht="15" hidden="false" customHeight="false" outlineLevel="0" collapsed="false">
      <c r="A1729" s="0" t="str">
        <f aca="false">IF('הדבקת לידים'!A1729="","",IF(ISNUMBER('הדבקת לידים'!A1729),IF(הגדרות!$E$2&gt;0,TEXT('הדבקת לידים'!A1729,REPT("0",הגדרות!$E$2)),TEXT('הדבקת לידים'!A1729,"0")),TRIM('הדבקת לידים'!A1729)))</f>
        <v/>
      </c>
      <c r="B1729" s="0" t="str">
        <f aca="false">IF('הדבקת לידים'!B1729="","",IF(ISNUMBER('הדבקת לידים'!B1729),IF(הגדרות!$E$3&gt;0,TEXT('הדבקת לידים'!B1729,REPT("0",הגדרות!$E$3)),TEXT('הדבקת לידים'!B1729,"0")),TRIM('הדבקת לידים'!B1729)))</f>
        <v/>
      </c>
      <c r="C1729" s="0" t="n">
        <f aca="false">IF(OR(A1729&lt;&gt;"",B1729&lt;&gt;""),1,0)</f>
        <v>0</v>
      </c>
      <c r="D1729" s="0" t="str">
        <f aca="false">IF(C1729=1,MOD(ABS(SIN(ROW()*12.9898+'הדבקת לידים'!$F$2*78.233+IFERROR(--RIGHT(A1729,6),LEN(A1729))*0.0137+IFERROR(--RIGHT(B1729,6),LEN(B1729))*0.0071))*43758.5453,1),"")</f>
        <v/>
      </c>
      <c r="E1729" s="0" t="str">
        <f aca="false">IF(C1729=1,INT(MOD(ABS(SIN(D1729*7919.123+ROW()*0.618+'הדבקת לידים'!$F$2*1.3))*43758.5453,1)*1000000)*10000+ROW(),"")</f>
        <v/>
      </c>
      <c r="F1729" s="0" t="str">
        <f aca="false">IF(E1729="","",RANK(E1729,$E$2:$E$5001,1))</f>
        <v/>
      </c>
      <c r="G1729" s="0" t="n">
        <f aca="false">IF(A1729="",0,IF(SUMPRODUCT(--($A$2:$A$5001=A1729))&gt;1,1,0))</f>
        <v>0</v>
      </c>
      <c r="H1729" s="0" t="n">
        <f aca="false">ROW()-1</f>
        <v>1728</v>
      </c>
      <c r="I1729" s="0" t="str">
        <f aca="false">IF(OR(הגדרות!$E$6=0,H1729&gt;הגדרות!$E$5),"",IF(H1729-1&lt;הגדרות!$E$8*(הגדרות!$E$7+1),INT((H1729-1)/(הגדרות!$E$7+1)),הגדרות!$E$8+INT((H1729-1-הגדרות!$E$8*(הגדרות!$E$7+1))/הגדרות!$E$7)))</f>
        <v/>
      </c>
      <c r="J1729" s="0" t="str">
        <f aca="false">IF(I1729="","",IF(H1729-1&lt;הגדרות!$E$8*(הגדרות!$E$7+1),MOD(H1729-1,הגדרות!$E$7+1),MOD(H1729-1-הגדרות!$E$8*(הגדרות!$E$7+1),הגדרות!$E$7)))</f>
        <v/>
      </c>
      <c r="K1729" s="0" t="str">
        <f aca="false">IF(I1729="","",J1729*הגדרות!$E$6+I1729+1)</f>
        <v/>
      </c>
      <c r="L1729" s="0" t="str">
        <f aca="false">IF(K1729="","",MATCH(K1729,$F$2:$F$5001,0))</f>
        <v/>
      </c>
      <c r="M1729" s="0" t="str">
        <f aca="false">IF(I1729="","",INDEX(הגדרות!$A$2:$A$21,MOD(I1729+הגדרות!$E$9,הגדרות!$E$6)+1))</f>
        <v/>
      </c>
    </row>
    <row r="1730" customFormat="false" ht="15" hidden="false" customHeight="false" outlineLevel="0" collapsed="false">
      <c r="A1730" s="0" t="str">
        <f aca="false">IF('הדבקת לידים'!A1730="","",IF(ISNUMBER('הדבקת לידים'!A1730),IF(הגדרות!$E$2&gt;0,TEXT('הדבקת לידים'!A1730,REPT("0",הגדרות!$E$2)),TEXT('הדבקת לידים'!A1730,"0")),TRIM('הדבקת לידים'!A1730)))</f>
        <v/>
      </c>
      <c r="B1730" s="0" t="str">
        <f aca="false">IF('הדבקת לידים'!B1730="","",IF(ISNUMBER('הדבקת לידים'!B1730),IF(הגדרות!$E$3&gt;0,TEXT('הדבקת לידים'!B1730,REPT("0",הגדרות!$E$3)),TEXT('הדבקת לידים'!B1730,"0")),TRIM('הדבקת לידים'!B1730)))</f>
        <v/>
      </c>
      <c r="C1730" s="0" t="n">
        <f aca="false">IF(OR(A1730&lt;&gt;"",B1730&lt;&gt;""),1,0)</f>
        <v>0</v>
      </c>
      <c r="D1730" s="0" t="str">
        <f aca="false">IF(C1730=1,MOD(ABS(SIN(ROW()*12.9898+'הדבקת לידים'!$F$2*78.233+IFERROR(--RIGHT(A1730,6),LEN(A1730))*0.0137+IFERROR(--RIGHT(B1730,6),LEN(B1730))*0.0071))*43758.5453,1),"")</f>
        <v/>
      </c>
      <c r="E1730" s="0" t="str">
        <f aca="false">IF(C1730=1,INT(MOD(ABS(SIN(D1730*7919.123+ROW()*0.618+'הדבקת לידים'!$F$2*1.3))*43758.5453,1)*1000000)*10000+ROW(),"")</f>
        <v/>
      </c>
      <c r="F1730" s="0" t="str">
        <f aca="false">IF(E1730="","",RANK(E1730,$E$2:$E$5001,1))</f>
        <v/>
      </c>
      <c r="G1730" s="0" t="n">
        <f aca="false">IF(A1730="",0,IF(SUMPRODUCT(--($A$2:$A$5001=A1730))&gt;1,1,0))</f>
        <v>0</v>
      </c>
      <c r="H1730" s="0" t="n">
        <f aca="false">ROW()-1</f>
        <v>1729</v>
      </c>
      <c r="I1730" s="0" t="str">
        <f aca="false">IF(OR(הגדרות!$E$6=0,H1730&gt;הגדרות!$E$5),"",IF(H1730-1&lt;הגדרות!$E$8*(הגדרות!$E$7+1),INT((H1730-1)/(הגדרות!$E$7+1)),הגדרות!$E$8+INT((H1730-1-הגדרות!$E$8*(הגדרות!$E$7+1))/הגדרות!$E$7)))</f>
        <v/>
      </c>
      <c r="J1730" s="0" t="str">
        <f aca="false">IF(I1730="","",IF(H1730-1&lt;הגדרות!$E$8*(הגדרות!$E$7+1),MOD(H1730-1,הגדרות!$E$7+1),MOD(H1730-1-הגדרות!$E$8*(הגדרות!$E$7+1),הגדרות!$E$7)))</f>
        <v/>
      </c>
      <c r="K1730" s="0" t="str">
        <f aca="false">IF(I1730="","",J1730*הגדרות!$E$6+I1730+1)</f>
        <v/>
      </c>
      <c r="L1730" s="0" t="str">
        <f aca="false">IF(K1730="","",MATCH(K1730,$F$2:$F$5001,0))</f>
        <v/>
      </c>
      <c r="M1730" s="0" t="str">
        <f aca="false">IF(I1730="","",INDEX(הגדרות!$A$2:$A$21,MOD(I1730+הגדרות!$E$9,הגדרות!$E$6)+1))</f>
        <v/>
      </c>
    </row>
    <row r="1731" customFormat="false" ht="15" hidden="false" customHeight="false" outlineLevel="0" collapsed="false">
      <c r="A1731" s="0" t="str">
        <f aca="false">IF('הדבקת לידים'!A1731="","",IF(ISNUMBER('הדבקת לידים'!A1731),IF(הגדרות!$E$2&gt;0,TEXT('הדבקת לידים'!A1731,REPT("0",הגדרות!$E$2)),TEXT('הדבקת לידים'!A1731,"0")),TRIM('הדבקת לידים'!A1731)))</f>
        <v/>
      </c>
      <c r="B1731" s="0" t="str">
        <f aca="false">IF('הדבקת לידים'!B1731="","",IF(ISNUMBER('הדבקת לידים'!B1731),IF(הגדרות!$E$3&gt;0,TEXT('הדבקת לידים'!B1731,REPT("0",הגדרות!$E$3)),TEXT('הדבקת לידים'!B1731,"0")),TRIM('הדבקת לידים'!B1731)))</f>
        <v/>
      </c>
      <c r="C1731" s="0" t="n">
        <f aca="false">IF(OR(A1731&lt;&gt;"",B1731&lt;&gt;""),1,0)</f>
        <v>0</v>
      </c>
      <c r="D1731" s="0" t="str">
        <f aca="false">IF(C1731=1,MOD(ABS(SIN(ROW()*12.9898+'הדבקת לידים'!$F$2*78.233+IFERROR(--RIGHT(A1731,6),LEN(A1731))*0.0137+IFERROR(--RIGHT(B1731,6),LEN(B1731))*0.0071))*43758.5453,1),"")</f>
        <v/>
      </c>
      <c r="E1731" s="0" t="str">
        <f aca="false">IF(C1731=1,INT(MOD(ABS(SIN(D1731*7919.123+ROW()*0.618+'הדבקת לידים'!$F$2*1.3))*43758.5453,1)*1000000)*10000+ROW(),"")</f>
        <v/>
      </c>
      <c r="F1731" s="0" t="str">
        <f aca="false">IF(E1731="","",RANK(E1731,$E$2:$E$5001,1))</f>
        <v/>
      </c>
      <c r="G1731" s="0" t="n">
        <f aca="false">IF(A1731="",0,IF(SUMPRODUCT(--($A$2:$A$5001=A1731))&gt;1,1,0))</f>
        <v>0</v>
      </c>
      <c r="H1731" s="0" t="n">
        <f aca="false">ROW()-1</f>
        <v>1730</v>
      </c>
      <c r="I1731" s="0" t="str">
        <f aca="false">IF(OR(הגדרות!$E$6=0,H1731&gt;הגדרות!$E$5),"",IF(H1731-1&lt;הגדרות!$E$8*(הגדרות!$E$7+1),INT((H1731-1)/(הגדרות!$E$7+1)),הגדרות!$E$8+INT((H1731-1-הגדרות!$E$8*(הגדרות!$E$7+1))/הגדרות!$E$7)))</f>
        <v/>
      </c>
      <c r="J1731" s="0" t="str">
        <f aca="false">IF(I1731="","",IF(H1731-1&lt;הגדרות!$E$8*(הגדרות!$E$7+1),MOD(H1731-1,הגדרות!$E$7+1),MOD(H1731-1-הגדרות!$E$8*(הגדרות!$E$7+1),הגדרות!$E$7)))</f>
        <v/>
      </c>
      <c r="K1731" s="0" t="str">
        <f aca="false">IF(I1731="","",J1731*הגדרות!$E$6+I1731+1)</f>
        <v/>
      </c>
      <c r="L1731" s="0" t="str">
        <f aca="false">IF(K1731="","",MATCH(K1731,$F$2:$F$5001,0))</f>
        <v/>
      </c>
      <c r="M1731" s="0" t="str">
        <f aca="false">IF(I1731="","",INDEX(הגדרות!$A$2:$A$21,MOD(I1731+הגדרות!$E$9,הגדרות!$E$6)+1))</f>
        <v/>
      </c>
    </row>
    <row r="1732" customFormat="false" ht="15" hidden="false" customHeight="false" outlineLevel="0" collapsed="false">
      <c r="A1732" s="0" t="str">
        <f aca="false">IF('הדבקת לידים'!A1732="","",IF(ISNUMBER('הדבקת לידים'!A1732),IF(הגדרות!$E$2&gt;0,TEXT('הדבקת לידים'!A1732,REPT("0",הגדרות!$E$2)),TEXT('הדבקת לידים'!A1732,"0")),TRIM('הדבקת לידים'!A1732)))</f>
        <v/>
      </c>
      <c r="B1732" s="0" t="str">
        <f aca="false">IF('הדבקת לידים'!B1732="","",IF(ISNUMBER('הדבקת לידים'!B1732),IF(הגדרות!$E$3&gt;0,TEXT('הדבקת לידים'!B1732,REPT("0",הגדרות!$E$3)),TEXT('הדבקת לידים'!B1732,"0")),TRIM('הדבקת לידים'!B1732)))</f>
        <v/>
      </c>
      <c r="C1732" s="0" t="n">
        <f aca="false">IF(OR(A1732&lt;&gt;"",B1732&lt;&gt;""),1,0)</f>
        <v>0</v>
      </c>
      <c r="D1732" s="0" t="str">
        <f aca="false">IF(C1732=1,MOD(ABS(SIN(ROW()*12.9898+'הדבקת לידים'!$F$2*78.233+IFERROR(--RIGHT(A1732,6),LEN(A1732))*0.0137+IFERROR(--RIGHT(B1732,6),LEN(B1732))*0.0071))*43758.5453,1),"")</f>
        <v/>
      </c>
      <c r="E1732" s="0" t="str">
        <f aca="false">IF(C1732=1,INT(MOD(ABS(SIN(D1732*7919.123+ROW()*0.618+'הדבקת לידים'!$F$2*1.3))*43758.5453,1)*1000000)*10000+ROW(),"")</f>
        <v/>
      </c>
      <c r="F1732" s="0" t="str">
        <f aca="false">IF(E1732="","",RANK(E1732,$E$2:$E$5001,1))</f>
        <v/>
      </c>
      <c r="G1732" s="0" t="n">
        <f aca="false">IF(A1732="",0,IF(SUMPRODUCT(--($A$2:$A$5001=A1732))&gt;1,1,0))</f>
        <v>0</v>
      </c>
      <c r="H1732" s="0" t="n">
        <f aca="false">ROW()-1</f>
        <v>1731</v>
      </c>
      <c r="I1732" s="0" t="str">
        <f aca="false">IF(OR(הגדרות!$E$6=0,H1732&gt;הגדרות!$E$5),"",IF(H1732-1&lt;הגדרות!$E$8*(הגדרות!$E$7+1),INT((H1732-1)/(הגדרות!$E$7+1)),הגדרות!$E$8+INT((H1732-1-הגדרות!$E$8*(הגדרות!$E$7+1))/הגדרות!$E$7)))</f>
        <v/>
      </c>
      <c r="J1732" s="0" t="str">
        <f aca="false">IF(I1732="","",IF(H1732-1&lt;הגדרות!$E$8*(הגדרות!$E$7+1),MOD(H1732-1,הגדרות!$E$7+1),MOD(H1732-1-הגדרות!$E$8*(הגדרות!$E$7+1),הגדרות!$E$7)))</f>
        <v/>
      </c>
      <c r="K1732" s="0" t="str">
        <f aca="false">IF(I1732="","",J1732*הגדרות!$E$6+I1732+1)</f>
        <v/>
      </c>
      <c r="L1732" s="0" t="str">
        <f aca="false">IF(K1732="","",MATCH(K1732,$F$2:$F$5001,0))</f>
        <v/>
      </c>
      <c r="M1732" s="0" t="str">
        <f aca="false">IF(I1732="","",INDEX(הגדרות!$A$2:$A$21,MOD(I1732+הגדרות!$E$9,הגדרות!$E$6)+1))</f>
        <v/>
      </c>
    </row>
    <row r="1733" customFormat="false" ht="15" hidden="false" customHeight="false" outlineLevel="0" collapsed="false">
      <c r="A1733" s="0" t="str">
        <f aca="false">IF('הדבקת לידים'!A1733="","",IF(ISNUMBER('הדבקת לידים'!A1733),IF(הגדרות!$E$2&gt;0,TEXT('הדבקת לידים'!A1733,REPT("0",הגדרות!$E$2)),TEXT('הדבקת לידים'!A1733,"0")),TRIM('הדבקת לידים'!A1733)))</f>
        <v/>
      </c>
      <c r="B1733" s="0" t="str">
        <f aca="false">IF('הדבקת לידים'!B1733="","",IF(ISNUMBER('הדבקת לידים'!B1733),IF(הגדרות!$E$3&gt;0,TEXT('הדבקת לידים'!B1733,REPT("0",הגדרות!$E$3)),TEXT('הדבקת לידים'!B1733,"0")),TRIM('הדבקת לידים'!B1733)))</f>
        <v/>
      </c>
      <c r="C1733" s="0" t="n">
        <f aca="false">IF(OR(A1733&lt;&gt;"",B1733&lt;&gt;""),1,0)</f>
        <v>0</v>
      </c>
      <c r="D1733" s="0" t="str">
        <f aca="false">IF(C1733=1,MOD(ABS(SIN(ROW()*12.9898+'הדבקת לידים'!$F$2*78.233+IFERROR(--RIGHT(A1733,6),LEN(A1733))*0.0137+IFERROR(--RIGHT(B1733,6),LEN(B1733))*0.0071))*43758.5453,1),"")</f>
        <v/>
      </c>
      <c r="E1733" s="0" t="str">
        <f aca="false">IF(C1733=1,INT(MOD(ABS(SIN(D1733*7919.123+ROW()*0.618+'הדבקת לידים'!$F$2*1.3))*43758.5453,1)*1000000)*10000+ROW(),"")</f>
        <v/>
      </c>
      <c r="F1733" s="0" t="str">
        <f aca="false">IF(E1733="","",RANK(E1733,$E$2:$E$5001,1))</f>
        <v/>
      </c>
      <c r="G1733" s="0" t="n">
        <f aca="false">IF(A1733="",0,IF(SUMPRODUCT(--($A$2:$A$5001=A1733))&gt;1,1,0))</f>
        <v>0</v>
      </c>
      <c r="H1733" s="0" t="n">
        <f aca="false">ROW()-1</f>
        <v>1732</v>
      </c>
      <c r="I1733" s="0" t="str">
        <f aca="false">IF(OR(הגדרות!$E$6=0,H1733&gt;הגדרות!$E$5),"",IF(H1733-1&lt;הגדרות!$E$8*(הגדרות!$E$7+1),INT((H1733-1)/(הגדרות!$E$7+1)),הגדרות!$E$8+INT((H1733-1-הגדרות!$E$8*(הגדרות!$E$7+1))/הגדרות!$E$7)))</f>
        <v/>
      </c>
      <c r="J1733" s="0" t="str">
        <f aca="false">IF(I1733="","",IF(H1733-1&lt;הגדרות!$E$8*(הגדרות!$E$7+1),MOD(H1733-1,הגדרות!$E$7+1),MOD(H1733-1-הגדרות!$E$8*(הגדרות!$E$7+1),הגדרות!$E$7)))</f>
        <v/>
      </c>
      <c r="K1733" s="0" t="str">
        <f aca="false">IF(I1733="","",J1733*הגדרות!$E$6+I1733+1)</f>
        <v/>
      </c>
      <c r="L1733" s="0" t="str">
        <f aca="false">IF(K1733="","",MATCH(K1733,$F$2:$F$5001,0))</f>
        <v/>
      </c>
      <c r="M1733" s="0" t="str">
        <f aca="false">IF(I1733="","",INDEX(הגדרות!$A$2:$A$21,MOD(I1733+הגדרות!$E$9,הגדרות!$E$6)+1))</f>
        <v/>
      </c>
    </row>
    <row r="1734" customFormat="false" ht="15" hidden="false" customHeight="false" outlineLevel="0" collapsed="false">
      <c r="A1734" s="0" t="str">
        <f aca="false">IF('הדבקת לידים'!A1734="","",IF(ISNUMBER('הדבקת לידים'!A1734),IF(הגדרות!$E$2&gt;0,TEXT('הדבקת לידים'!A1734,REPT("0",הגדרות!$E$2)),TEXT('הדבקת לידים'!A1734,"0")),TRIM('הדבקת לידים'!A1734)))</f>
        <v/>
      </c>
      <c r="B1734" s="0" t="str">
        <f aca="false">IF('הדבקת לידים'!B1734="","",IF(ISNUMBER('הדבקת לידים'!B1734),IF(הגדרות!$E$3&gt;0,TEXT('הדבקת לידים'!B1734,REPT("0",הגדרות!$E$3)),TEXT('הדבקת לידים'!B1734,"0")),TRIM('הדבקת לידים'!B1734)))</f>
        <v/>
      </c>
      <c r="C1734" s="0" t="n">
        <f aca="false">IF(OR(A1734&lt;&gt;"",B1734&lt;&gt;""),1,0)</f>
        <v>0</v>
      </c>
      <c r="D1734" s="0" t="str">
        <f aca="false">IF(C1734=1,MOD(ABS(SIN(ROW()*12.9898+'הדבקת לידים'!$F$2*78.233+IFERROR(--RIGHT(A1734,6),LEN(A1734))*0.0137+IFERROR(--RIGHT(B1734,6),LEN(B1734))*0.0071))*43758.5453,1),"")</f>
        <v/>
      </c>
      <c r="E1734" s="0" t="str">
        <f aca="false">IF(C1734=1,INT(MOD(ABS(SIN(D1734*7919.123+ROW()*0.618+'הדבקת לידים'!$F$2*1.3))*43758.5453,1)*1000000)*10000+ROW(),"")</f>
        <v/>
      </c>
      <c r="F1734" s="0" t="str">
        <f aca="false">IF(E1734="","",RANK(E1734,$E$2:$E$5001,1))</f>
        <v/>
      </c>
      <c r="G1734" s="0" t="n">
        <f aca="false">IF(A1734="",0,IF(SUMPRODUCT(--($A$2:$A$5001=A1734))&gt;1,1,0))</f>
        <v>0</v>
      </c>
      <c r="H1734" s="0" t="n">
        <f aca="false">ROW()-1</f>
        <v>1733</v>
      </c>
      <c r="I1734" s="0" t="str">
        <f aca="false">IF(OR(הגדרות!$E$6=0,H1734&gt;הגדרות!$E$5),"",IF(H1734-1&lt;הגדרות!$E$8*(הגדרות!$E$7+1),INT((H1734-1)/(הגדרות!$E$7+1)),הגדרות!$E$8+INT((H1734-1-הגדרות!$E$8*(הגדרות!$E$7+1))/הגדרות!$E$7)))</f>
        <v/>
      </c>
      <c r="J1734" s="0" t="str">
        <f aca="false">IF(I1734="","",IF(H1734-1&lt;הגדרות!$E$8*(הגדרות!$E$7+1),MOD(H1734-1,הגדרות!$E$7+1),MOD(H1734-1-הגדרות!$E$8*(הגדרות!$E$7+1),הגדרות!$E$7)))</f>
        <v/>
      </c>
      <c r="K1734" s="0" t="str">
        <f aca="false">IF(I1734="","",J1734*הגדרות!$E$6+I1734+1)</f>
        <v/>
      </c>
      <c r="L1734" s="0" t="str">
        <f aca="false">IF(K1734="","",MATCH(K1734,$F$2:$F$5001,0))</f>
        <v/>
      </c>
      <c r="M1734" s="0" t="str">
        <f aca="false">IF(I1734="","",INDEX(הגדרות!$A$2:$A$21,MOD(I1734+הגדרות!$E$9,הגדרות!$E$6)+1))</f>
        <v/>
      </c>
    </row>
    <row r="1735" customFormat="false" ht="15" hidden="false" customHeight="false" outlineLevel="0" collapsed="false">
      <c r="A1735" s="0" t="str">
        <f aca="false">IF('הדבקת לידים'!A1735="","",IF(ISNUMBER('הדבקת לידים'!A1735),IF(הגדרות!$E$2&gt;0,TEXT('הדבקת לידים'!A1735,REPT("0",הגדרות!$E$2)),TEXT('הדבקת לידים'!A1735,"0")),TRIM('הדבקת לידים'!A1735)))</f>
        <v/>
      </c>
      <c r="B1735" s="0" t="str">
        <f aca="false">IF('הדבקת לידים'!B1735="","",IF(ISNUMBER('הדבקת לידים'!B1735),IF(הגדרות!$E$3&gt;0,TEXT('הדבקת לידים'!B1735,REPT("0",הגדרות!$E$3)),TEXT('הדבקת לידים'!B1735,"0")),TRIM('הדבקת לידים'!B1735)))</f>
        <v/>
      </c>
      <c r="C1735" s="0" t="n">
        <f aca="false">IF(OR(A1735&lt;&gt;"",B1735&lt;&gt;""),1,0)</f>
        <v>0</v>
      </c>
      <c r="D1735" s="0" t="str">
        <f aca="false">IF(C1735=1,MOD(ABS(SIN(ROW()*12.9898+'הדבקת לידים'!$F$2*78.233+IFERROR(--RIGHT(A1735,6),LEN(A1735))*0.0137+IFERROR(--RIGHT(B1735,6),LEN(B1735))*0.0071))*43758.5453,1),"")</f>
        <v/>
      </c>
      <c r="E1735" s="0" t="str">
        <f aca="false">IF(C1735=1,INT(MOD(ABS(SIN(D1735*7919.123+ROW()*0.618+'הדבקת לידים'!$F$2*1.3))*43758.5453,1)*1000000)*10000+ROW(),"")</f>
        <v/>
      </c>
      <c r="F1735" s="0" t="str">
        <f aca="false">IF(E1735="","",RANK(E1735,$E$2:$E$5001,1))</f>
        <v/>
      </c>
      <c r="G1735" s="0" t="n">
        <f aca="false">IF(A1735="",0,IF(SUMPRODUCT(--($A$2:$A$5001=A1735))&gt;1,1,0))</f>
        <v>0</v>
      </c>
      <c r="H1735" s="0" t="n">
        <f aca="false">ROW()-1</f>
        <v>1734</v>
      </c>
      <c r="I1735" s="0" t="str">
        <f aca="false">IF(OR(הגדרות!$E$6=0,H1735&gt;הגדרות!$E$5),"",IF(H1735-1&lt;הגדרות!$E$8*(הגדרות!$E$7+1),INT((H1735-1)/(הגדרות!$E$7+1)),הגדרות!$E$8+INT((H1735-1-הגדרות!$E$8*(הגדרות!$E$7+1))/הגדרות!$E$7)))</f>
        <v/>
      </c>
      <c r="J1735" s="0" t="str">
        <f aca="false">IF(I1735="","",IF(H1735-1&lt;הגדרות!$E$8*(הגדרות!$E$7+1),MOD(H1735-1,הגדרות!$E$7+1),MOD(H1735-1-הגדרות!$E$8*(הגדרות!$E$7+1),הגדרות!$E$7)))</f>
        <v/>
      </c>
      <c r="K1735" s="0" t="str">
        <f aca="false">IF(I1735="","",J1735*הגדרות!$E$6+I1735+1)</f>
        <v/>
      </c>
      <c r="L1735" s="0" t="str">
        <f aca="false">IF(K1735="","",MATCH(K1735,$F$2:$F$5001,0))</f>
        <v/>
      </c>
      <c r="M1735" s="0" t="str">
        <f aca="false">IF(I1735="","",INDEX(הגדרות!$A$2:$A$21,MOD(I1735+הגדרות!$E$9,הגדרות!$E$6)+1))</f>
        <v/>
      </c>
    </row>
    <row r="1736" customFormat="false" ht="15" hidden="false" customHeight="false" outlineLevel="0" collapsed="false">
      <c r="A1736" s="0" t="str">
        <f aca="false">IF('הדבקת לידים'!A1736="","",IF(ISNUMBER('הדבקת לידים'!A1736),IF(הגדרות!$E$2&gt;0,TEXT('הדבקת לידים'!A1736,REPT("0",הגדרות!$E$2)),TEXT('הדבקת לידים'!A1736,"0")),TRIM('הדבקת לידים'!A1736)))</f>
        <v/>
      </c>
      <c r="B1736" s="0" t="str">
        <f aca="false">IF('הדבקת לידים'!B1736="","",IF(ISNUMBER('הדבקת לידים'!B1736),IF(הגדרות!$E$3&gt;0,TEXT('הדבקת לידים'!B1736,REPT("0",הגדרות!$E$3)),TEXT('הדבקת לידים'!B1736,"0")),TRIM('הדבקת לידים'!B1736)))</f>
        <v/>
      </c>
      <c r="C1736" s="0" t="n">
        <f aca="false">IF(OR(A1736&lt;&gt;"",B1736&lt;&gt;""),1,0)</f>
        <v>0</v>
      </c>
      <c r="D1736" s="0" t="str">
        <f aca="false">IF(C1736=1,MOD(ABS(SIN(ROW()*12.9898+'הדבקת לידים'!$F$2*78.233+IFERROR(--RIGHT(A1736,6),LEN(A1736))*0.0137+IFERROR(--RIGHT(B1736,6),LEN(B1736))*0.0071))*43758.5453,1),"")</f>
        <v/>
      </c>
      <c r="E1736" s="0" t="str">
        <f aca="false">IF(C1736=1,INT(MOD(ABS(SIN(D1736*7919.123+ROW()*0.618+'הדבקת לידים'!$F$2*1.3))*43758.5453,1)*1000000)*10000+ROW(),"")</f>
        <v/>
      </c>
      <c r="F1736" s="0" t="str">
        <f aca="false">IF(E1736="","",RANK(E1736,$E$2:$E$5001,1))</f>
        <v/>
      </c>
      <c r="G1736" s="0" t="n">
        <f aca="false">IF(A1736="",0,IF(SUMPRODUCT(--($A$2:$A$5001=A1736))&gt;1,1,0))</f>
        <v>0</v>
      </c>
      <c r="H1736" s="0" t="n">
        <f aca="false">ROW()-1</f>
        <v>1735</v>
      </c>
      <c r="I1736" s="0" t="str">
        <f aca="false">IF(OR(הגדרות!$E$6=0,H1736&gt;הגדרות!$E$5),"",IF(H1736-1&lt;הגדרות!$E$8*(הגדרות!$E$7+1),INT((H1736-1)/(הגדרות!$E$7+1)),הגדרות!$E$8+INT((H1736-1-הגדרות!$E$8*(הגדרות!$E$7+1))/הגדרות!$E$7)))</f>
        <v/>
      </c>
      <c r="J1736" s="0" t="str">
        <f aca="false">IF(I1736="","",IF(H1736-1&lt;הגדרות!$E$8*(הגדרות!$E$7+1),MOD(H1736-1,הגדרות!$E$7+1),MOD(H1736-1-הגדרות!$E$8*(הגדרות!$E$7+1),הגדרות!$E$7)))</f>
        <v/>
      </c>
      <c r="K1736" s="0" t="str">
        <f aca="false">IF(I1736="","",J1736*הגדרות!$E$6+I1736+1)</f>
        <v/>
      </c>
      <c r="L1736" s="0" t="str">
        <f aca="false">IF(K1736="","",MATCH(K1736,$F$2:$F$5001,0))</f>
        <v/>
      </c>
      <c r="M1736" s="0" t="str">
        <f aca="false">IF(I1736="","",INDEX(הגדרות!$A$2:$A$21,MOD(I1736+הגדרות!$E$9,הגדרות!$E$6)+1))</f>
        <v/>
      </c>
    </row>
    <row r="1737" customFormat="false" ht="15" hidden="false" customHeight="false" outlineLevel="0" collapsed="false">
      <c r="A1737" s="0" t="str">
        <f aca="false">IF('הדבקת לידים'!A1737="","",IF(ISNUMBER('הדבקת לידים'!A1737),IF(הגדרות!$E$2&gt;0,TEXT('הדבקת לידים'!A1737,REPT("0",הגדרות!$E$2)),TEXT('הדבקת לידים'!A1737,"0")),TRIM('הדבקת לידים'!A1737)))</f>
        <v/>
      </c>
      <c r="B1737" s="0" t="str">
        <f aca="false">IF('הדבקת לידים'!B1737="","",IF(ISNUMBER('הדבקת לידים'!B1737),IF(הגדרות!$E$3&gt;0,TEXT('הדבקת לידים'!B1737,REPT("0",הגדרות!$E$3)),TEXT('הדבקת לידים'!B1737,"0")),TRIM('הדבקת לידים'!B1737)))</f>
        <v/>
      </c>
      <c r="C1737" s="0" t="n">
        <f aca="false">IF(OR(A1737&lt;&gt;"",B1737&lt;&gt;""),1,0)</f>
        <v>0</v>
      </c>
      <c r="D1737" s="0" t="str">
        <f aca="false">IF(C1737=1,MOD(ABS(SIN(ROW()*12.9898+'הדבקת לידים'!$F$2*78.233+IFERROR(--RIGHT(A1737,6),LEN(A1737))*0.0137+IFERROR(--RIGHT(B1737,6),LEN(B1737))*0.0071))*43758.5453,1),"")</f>
        <v/>
      </c>
      <c r="E1737" s="0" t="str">
        <f aca="false">IF(C1737=1,INT(MOD(ABS(SIN(D1737*7919.123+ROW()*0.618+'הדבקת לידים'!$F$2*1.3))*43758.5453,1)*1000000)*10000+ROW(),"")</f>
        <v/>
      </c>
      <c r="F1737" s="0" t="str">
        <f aca="false">IF(E1737="","",RANK(E1737,$E$2:$E$5001,1))</f>
        <v/>
      </c>
      <c r="G1737" s="0" t="n">
        <f aca="false">IF(A1737="",0,IF(SUMPRODUCT(--($A$2:$A$5001=A1737))&gt;1,1,0))</f>
        <v>0</v>
      </c>
      <c r="H1737" s="0" t="n">
        <f aca="false">ROW()-1</f>
        <v>1736</v>
      </c>
      <c r="I1737" s="0" t="str">
        <f aca="false">IF(OR(הגדרות!$E$6=0,H1737&gt;הגדרות!$E$5),"",IF(H1737-1&lt;הגדרות!$E$8*(הגדרות!$E$7+1),INT((H1737-1)/(הגדרות!$E$7+1)),הגדרות!$E$8+INT((H1737-1-הגדרות!$E$8*(הגדרות!$E$7+1))/הגדרות!$E$7)))</f>
        <v/>
      </c>
      <c r="J1737" s="0" t="str">
        <f aca="false">IF(I1737="","",IF(H1737-1&lt;הגדרות!$E$8*(הגדרות!$E$7+1),MOD(H1737-1,הגדרות!$E$7+1),MOD(H1737-1-הגדרות!$E$8*(הגדרות!$E$7+1),הגדרות!$E$7)))</f>
        <v/>
      </c>
      <c r="K1737" s="0" t="str">
        <f aca="false">IF(I1737="","",J1737*הגדרות!$E$6+I1737+1)</f>
        <v/>
      </c>
      <c r="L1737" s="0" t="str">
        <f aca="false">IF(K1737="","",MATCH(K1737,$F$2:$F$5001,0))</f>
        <v/>
      </c>
      <c r="M1737" s="0" t="str">
        <f aca="false">IF(I1737="","",INDEX(הגדרות!$A$2:$A$21,MOD(I1737+הגדרות!$E$9,הגדרות!$E$6)+1))</f>
        <v/>
      </c>
    </row>
    <row r="1738" customFormat="false" ht="15" hidden="false" customHeight="false" outlineLevel="0" collapsed="false">
      <c r="A1738" s="0" t="str">
        <f aca="false">IF('הדבקת לידים'!A1738="","",IF(ISNUMBER('הדבקת לידים'!A1738),IF(הגדרות!$E$2&gt;0,TEXT('הדבקת לידים'!A1738,REPT("0",הגדרות!$E$2)),TEXT('הדבקת לידים'!A1738,"0")),TRIM('הדבקת לידים'!A1738)))</f>
        <v/>
      </c>
      <c r="B1738" s="0" t="str">
        <f aca="false">IF('הדבקת לידים'!B1738="","",IF(ISNUMBER('הדבקת לידים'!B1738),IF(הגדרות!$E$3&gt;0,TEXT('הדבקת לידים'!B1738,REPT("0",הגדרות!$E$3)),TEXT('הדבקת לידים'!B1738,"0")),TRIM('הדבקת לידים'!B1738)))</f>
        <v/>
      </c>
      <c r="C1738" s="0" t="n">
        <f aca="false">IF(OR(A1738&lt;&gt;"",B1738&lt;&gt;""),1,0)</f>
        <v>0</v>
      </c>
      <c r="D1738" s="0" t="str">
        <f aca="false">IF(C1738=1,MOD(ABS(SIN(ROW()*12.9898+'הדבקת לידים'!$F$2*78.233+IFERROR(--RIGHT(A1738,6),LEN(A1738))*0.0137+IFERROR(--RIGHT(B1738,6),LEN(B1738))*0.0071))*43758.5453,1),"")</f>
        <v/>
      </c>
      <c r="E1738" s="0" t="str">
        <f aca="false">IF(C1738=1,INT(MOD(ABS(SIN(D1738*7919.123+ROW()*0.618+'הדבקת לידים'!$F$2*1.3))*43758.5453,1)*1000000)*10000+ROW(),"")</f>
        <v/>
      </c>
      <c r="F1738" s="0" t="str">
        <f aca="false">IF(E1738="","",RANK(E1738,$E$2:$E$5001,1))</f>
        <v/>
      </c>
      <c r="G1738" s="0" t="n">
        <f aca="false">IF(A1738="",0,IF(SUMPRODUCT(--($A$2:$A$5001=A1738))&gt;1,1,0))</f>
        <v>0</v>
      </c>
      <c r="H1738" s="0" t="n">
        <f aca="false">ROW()-1</f>
        <v>1737</v>
      </c>
      <c r="I1738" s="0" t="str">
        <f aca="false">IF(OR(הגדרות!$E$6=0,H1738&gt;הגדרות!$E$5),"",IF(H1738-1&lt;הגדרות!$E$8*(הגדרות!$E$7+1),INT((H1738-1)/(הגדרות!$E$7+1)),הגדרות!$E$8+INT((H1738-1-הגדרות!$E$8*(הגדרות!$E$7+1))/הגדרות!$E$7)))</f>
        <v/>
      </c>
      <c r="J1738" s="0" t="str">
        <f aca="false">IF(I1738="","",IF(H1738-1&lt;הגדרות!$E$8*(הגדרות!$E$7+1),MOD(H1738-1,הגדרות!$E$7+1),MOD(H1738-1-הגדרות!$E$8*(הגדרות!$E$7+1),הגדרות!$E$7)))</f>
        <v/>
      </c>
      <c r="K1738" s="0" t="str">
        <f aca="false">IF(I1738="","",J1738*הגדרות!$E$6+I1738+1)</f>
        <v/>
      </c>
      <c r="L1738" s="0" t="str">
        <f aca="false">IF(K1738="","",MATCH(K1738,$F$2:$F$5001,0))</f>
        <v/>
      </c>
      <c r="M1738" s="0" t="str">
        <f aca="false">IF(I1738="","",INDEX(הגדרות!$A$2:$A$21,MOD(I1738+הגדרות!$E$9,הגדרות!$E$6)+1))</f>
        <v/>
      </c>
    </row>
    <row r="1739" customFormat="false" ht="15" hidden="false" customHeight="false" outlineLevel="0" collapsed="false">
      <c r="A1739" s="0" t="str">
        <f aca="false">IF('הדבקת לידים'!A1739="","",IF(ISNUMBER('הדבקת לידים'!A1739),IF(הגדרות!$E$2&gt;0,TEXT('הדבקת לידים'!A1739,REPT("0",הגדרות!$E$2)),TEXT('הדבקת לידים'!A1739,"0")),TRIM('הדבקת לידים'!A1739)))</f>
        <v/>
      </c>
      <c r="B1739" s="0" t="str">
        <f aca="false">IF('הדבקת לידים'!B1739="","",IF(ISNUMBER('הדבקת לידים'!B1739),IF(הגדרות!$E$3&gt;0,TEXT('הדבקת לידים'!B1739,REPT("0",הגדרות!$E$3)),TEXT('הדבקת לידים'!B1739,"0")),TRIM('הדבקת לידים'!B1739)))</f>
        <v/>
      </c>
      <c r="C1739" s="0" t="n">
        <f aca="false">IF(OR(A1739&lt;&gt;"",B1739&lt;&gt;""),1,0)</f>
        <v>0</v>
      </c>
      <c r="D1739" s="0" t="str">
        <f aca="false">IF(C1739=1,MOD(ABS(SIN(ROW()*12.9898+'הדבקת לידים'!$F$2*78.233+IFERROR(--RIGHT(A1739,6),LEN(A1739))*0.0137+IFERROR(--RIGHT(B1739,6),LEN(B1739))*0.0071))*43758.5453,1),"")</f>
        <v/>
      </c>
      <c r="E1739" s="0" t="str">
        <f aca="false">IF(C1739=1,INT(MOD(ABS(SIN(D1739*7919.123+ROW()*0.618+'הדבקת לידים'!$F$2*1.3))*43758.5453,1)*1000000)*10000+ROW(),"")</f>
        <v/>
      </c>
      <c r="F1739" s="0" t="str">
        <f aca="false">IF(E1739="","",RANK(E1739,$E$2:$E$5001,1))</f>
        <v/>
      </c>
      <c r="G1739" s="0" t="n">
        <f aca="false">IF(A1739="",0,IF(SUMPRODUCT(--($A$2:$A$5001=A1739))&gt;1,1,0))</f>
        <v>0</v>
      </c>
      <c r="H1739" s="0" t="n">
        <f aca="false">ROW()-1</f>
        <v>1738</v>
      </c>
      <c r="I1739" s="0" t="str">
        <f aca="false">IF(OR(הגדרות!$E$6=0,H1739&gt;הגדרות!$E$5),"",IF(H1739-1&lt;הגדרות!$E$8*(הגדרות!$E$7+1),INT((H1739-1)/(הגדרות!$E$7+1)),הגדרות!$E$8+INT((H1739-1-הגדרות!$E$8*(הגדרות!$E$7+1))/הגדרות!$E$7)))</f>
        <v/>
      </c>
      <c r="J1739" s="0" t="str">
        <f aca="false">IF(I1739="","",IF(H1739-1&lt;הגדרות!$E$8*(הגדרות!$E$7+1),MOD(H1739-1,הגדרות!$E$7+1),MOD(H1739-1-הגדרות!$E$8*(הגדרות!$E$7+1),הגדרות!$E$7)))</f>
        <v/>
      </c>
      <c r="K1739" s="0" t="str">
        <f aca="false">IF(I1739="","",J1739*הגדרות!$E$6+I1739+1)</f>
        <v/>
      </c>
      <c r="L1739" s="0" t="str">
        <f aca="false">IF(K1739="","",MATCH(K1739,$F$2:$F$5001,0))</f>
        <v/>
      </c>
      <c r="M1739" s="0" t="str">
        <f aca="false">IF(I1739="","",INDEX(הגדרות!$A$2:$A$21,MOD(I1739+הגדרות!$E$9,הגדרות!$E$6)+1))</f>
        <v/>
      </c>
    </row>
    <row r="1740" customFormat="false" ht="15" hidden="false" customHeight="false" outlineLevel="0" collapsed="false">
      <c r="A1740" s="0" t="str">
        <f aca="false">IF('הדבקת לידים'!A1740="","",IF(ISNUMBER('הדבקת לידים'!A1740),IF(הגדרות!$E$2&gt;0,TEXT('הדבקת לידים'!A1740,REPT("0",הגדרות!$E$2)),TEXT('הדבקת לידים'!A1740,"0")),TRIM('הדבקת לידים'!A1740)))</f>
        <v/>
      </c>
      <c r="B1740" s="0" t="str">
        <f aca="false">IF('הדבקת לידים'!B1740="","",IF(ISNUMBER('הדבקת לידים'!B1740),IF(הגדרות!$E$3&gt;0,TEXT('הדבקת לידים'!B1740,REPT("0",הגדרות!$E$3)),TEXT('הדבקת לידים'!B1740,"0")),TRIM('הדבקת לידים'!B1740)))</f>
        <v/>
      </c>
      <c r="C1740" s="0" t="n">
        <f aca="false">IF(OR(A1740&lt;&gt;"",B1740&lt;&gt;""),1,0)</f>
        <v>0</v>
      </c>
      <c r="D1740" s="0" t="str">
        <f aca="false">IF(C1740=1,MOD(ABS(SIN(ROW()*12.9898+'הדבקת לידים'!$F$2*78.233+IFERROR(--RIGHT(A1740,6),LEN(A1740))*0.0137+IFERROR(--RIGHT(B1740,6),LEN(B1740))*0.0071))*43758.5453,1),"")</f>
        <v/>
      </c>
      <c r="E1740" s="0" t="str">
        <f aca="false">IF(C1740=1,INT(MOD(ABS(SIN(D1740*7919.123+ROW()*0.618+'הדבקת לידים'!$F$2*1.3))*43758.5453,1)*1000000)*10000+ROW(),"")</f>
        <v/>
      </c>
      <c r="F1740" s="0" t="str">
        <f aca="false">IF(E1740="","",RANK(E1740,$E$2:$E$5001,1))</f>
        <v/>
      </c>
      <c r="G1740" s="0" t="n">
        <f aca="false">IF(A1740="",0,IF(SUMPRODUCT(--($A$2:$A$5001=A1740))&gt;1,1,0))</f>
        <v>0</v>
      </c>
      <c r="H1740" s="0" t="n">
        <f aca="false">ROW()-1</f>
        <v>1739</v>
      </c>
      <c r="I1740" s="0" t="str">
        <f aca="false">IF(OR(הגדרות!$E$6=0,H1740&gt;הגדרות!$E$5),"",IF(H1740-1&lt;הגדרות!$E$8*(הגדרות!$E$7+1),INT((H1740-1)/(הגדרות!$E$7+1)),הגדרות!$E$8+INT((H1740-1-הגדרות!$E$8*(הגדרות!$E$7+1))/הגדרות!$E$7)))</f>
        <v/>
      </c>
      <c r="J1740" s="0" t="str">
        <f aca="false">IF(I1740="","",IF(H1740-1&lt;הגדרות!$E$8*(הגדרות!$E$7+1),MOD(H1740-1,הגדרות!$E$7+1),MOD(H1740-1-הגדרות!$E$8*(הגדרות!$E$7+1),הגדרות!$E$7)))</f>
        <v/>
      </c>
      <c r="K1740" s="0" t="str">
        <f aca="false">IF(I1740="","",J1740*הגדרות!$E$6+I1740+1)</f>
        <v/>
      </c>
      <c r="L1740" s="0" t="str">
        <f aca="false">IF(K1740="","",MATCH(K1740,$F$2:$F$5001,0))</f>
        <v/>
      </c>
      <c r="M1740" s="0" t="str">
        <f aca="false">IF(I1740="","",INDEX(הגדרות!$A$2:$A$21,MOD(I1740+הגדרות!$E$9,הגדרות!$E$6)+1))</f>
        <v/>
      </c>
    </row>
    <row r="1741" customFormat="false" ht="15" hidden="false" customHeight="false" outlineLevel="0" collapsed="false">
      <c r="A1741" s="0" t="str">
        <f aca="false">IF('הדבקת לידים'!A1741="","",IF(ISNUMBER('הדבקת לידים'!A1741),IF(הגדרות!$E$2&gt;0,TEXT('הדבקת לידים'!A1741,REPT("0",הגדרות!$E$2)),TEXT('הדבקת לידים'!A1741,"0")),TRIM('הדבקת לידים'!A1741)))</f>
        <v/>
      </c>
      <c r="B1741" s="0" t="str">
        <f aca="false">IF('הדבקת לידים'!B1741="","",IF(ISNUMBER('הדבקת לידים'!B1741),IF(הגדרות!$E$3&gt;0,TEXT('הדבקת לידים'!B1741,REPT("0",הגדרות!$E$3)),TEXT('הדבקת לידים'!B1741,"0")),TRIM('הדבקת לידים'!B1741)))</f>
        <v/>
      </c>
      <c r="C1741" s="0" t="n">
        <f aca="false">IF(OR(A1741&lt;&gt;"",B1741&lt;&gt;""),1,0)</f>
        <v>0</v>
      </c>
      <c r="D1741" s="0" t="str">
        <f aca="false">IF(C1741=1,MOD(ABS(SIN(ROW()*12.9898+'הדבקת לידים'!$F$2*78.233+IFERROR(--RIGHT(A1741,6),LEN(A1741))*0.0137+IFERROR(--RIGHT(B1741,6),LEN(B1741))*0.0071))*43758.5453,1),"")</f>
        <v/>
      </c>
      <c r="E1741" s="0" t="str">
        <f aca="false">IF(C1741=1,INT(MOD(ABS(SIN(D1741*7919.123+ROW()*0.618+'הדבקת לידים'!$F$2*1.3))*43758.5453,1)*1000000)*10000+ROW(),"")</f>
        <v/>
      </c>
      <c r="F1741" s="0" t="str">
        <f aca="false">IF(E1741="","",RANK(E1741,$E$2:$E$5001,1))</f>
        <v/>
      </c>
      <c r="G1741" s="0" t="n">
        <f aca="false">IF(A1741="",0,IF(SUMPRODUCT(--($A$2:$A$5001=A1741))&gt;1,1,0))</f>
        <v>0</v>
      </c>
      <c r="H1741" s="0" t="n">
        <f aca="false">ROW()-1</f>
        <v>1740</v>
      </c>
      <c r="I1741" s="0" t="str">
        <f aca="false">IF(OR(הגדרות!$E$6=0,H1741&gt;הגדרות!$E$5),"",IF(H1741-1&lt;הגדרות!$E$8*(הגדרות!$E$7+1),INT((H1741-1)/(הגדרות!$E$7+1)),הגדרות!$E$8+INT((H1741-1-הגדרות!$E$8*(הגדרות!$E$7+1))/הגדרות!$E$7)))</f>
        <v/>
      </c>
      <c r="J1741" s="0" t="str">
        <f aca="false">IF(I1741="","",IF(H1741-1&lt;הגדרות!$E$8*(הגדרות!$E$7+1),MOD(H1741-1,הגדרות!$E$7+1),MOD(H1741-1-הגדרות!$E$8*(הגדרות!$E$7+1),הגדרות!$E$7)))</f>
        <v/>
      </c>
      <c r="K1741" s="0" t="str">
        <f aca="false">IF(I1741="","",J1741*הגדרות!$E$6+I1741+1)</f>
        <v/>
      </c>
      <c r="L1741" s="0" t="str">
        <f aca="false">IF(K1741="","",MATCH(K1741,$F$2:$F$5001,0))</f>
        <v/>
      </c>
      <c r="M1741" s="0" t="str">
        <f aca="false">IF(I1741="","",INDEX(הגדרות!$A$2:$A$21,MOD(I1741+הגדרות!$E$9,הגדרות!$E$6)+1))</f>
        <v/>
      </c>
    </row>
    <row r="1742" customFormat="false" ht="15" hidden="false" customHeight="false" outlineLevel="0" collapsed="false">
      <c r="A1742" s="0" t="str">
        <f aca="false">IF('הדבקת לידים'!A1742="","",IF(ISNUMBER('הדבקת לידים'!A1742),IF(הגדרות!$E$2&gt;0,TEXT('הדבקת לידים'!A1742,REPT("0",הגדרות!$E$2)),TEXT('הדבקת לידים'!A1742,"0")),TRIM('הדבקת לידים'!A1742)))</f>
        <v/>
      </c>
      <c r="B1742" s="0" t="str">
        <f aca="false">IF('הדבקת לידים'!B1742="","",IF(ISNUMBER('הדבקת לידים'!B1742),IF(הגדרות!$E$3&gt;0,TEXT('הדבקת לידים'!B1742,REPT("0",הגדרות!$E$3)),TEXT('הדבקת לידים'!B1742,"0")),TRIM('הדבקת לידים'!B1742)))</f>
        <v/>
      </c>
      <c r="C1742" s="0" t="n">
        <f aca="false">IF(OR(A1742&lt;&gt;"",B1742&lt;&gt;""),1,0)</f>
        <v>0</v>
      </c>
      <c r="D1742" s="0" t="str">
        <f aca="false">IF(C1742=1,MOD(ABS(SIN(ROW()*12.9898+'הדבקת לידים'!$F$2*78.233+IFERROR(--RIGHT(A1742,6),LEN(A1742))*0.0137+IFERROR(--RIGHT(B1742,6),LEN(B1742))*0.0071))*43758.5453,1),"")</f>
        <v/>
      </c>
      <c r="E1742" s="0" t="str">
        <f aca="false">IF(C1742=1,INT(MOD(ABS(SIN(D1742*7919.123+ROW()*0.618+'הדבקת לידים'!$F$2*1.3))*43758.5453,1)*1000000)*10000+ROW(),"")</f>
        <v/>
      </c>
      <c r="F1742" s="0" t="str">
        <f aca="false">IF(E1742="","",RANK(E1742,$E$2:$E$5001,1))</f>
        <v/>
      </c>
      <c r="G1742" s="0" t="n">
        <f aca="false">IF(A1742="",0,IF(SUMPRODUCT(--($A$2:$A$5001=A1742))&gt;1,1,0))</f>
        <v>0</v>
      </c>
      <c r="H1742" s="0" t="n">
        <f aca="false">ROW()-1</f>
        <v>1741</v>
      </c>
      <c r="I1742" s="0" t="str">
        <f aca="false">IF(OR(הגדרות!$E$6=0,H1742&gt;הגדרות!$E$5),"",IF(H1742-1&lt;הגדרות!$E$8*(הגדרות!$E$7+1),INT((H1742-1)/(הגדרות!$E$7+1)),הגדרות!$E$8+INT((H1742-1-הגדרות!$E$8*(הגדרות!$E$7+1))/הגדרות!$E$7)))</f>
        <v/>
      </c>
      <c r="J1742" s="0" t="str">
        <f aca="false">IF(I1742="","",IF(H1742-1&lt;הגדרות!$E$8*(הגדרות!$E$7+1),MOD(H1742-1,הגדרות!$E$7+1),MOD(H1742-1-הגדרות!$E$8*(הגדרות!$E$7+1),הגדרות!$E$7)))</f>
        <v/>
      </c>
      <c r="K1742" s="0" t="str">
        <f aca="false">IF(I1742="","",J1742*הגדרות!$E$6+I1742+1)</f>
        <v/>
      </c>
      <c r="L1742" s="0" t="str">
        <f aca="false">IF(K1742="","",MATCH(K1742,$F$2:$F$5001,0))</f>
        <v/>
      </c>
      <c r="M1742" s="0" t="str">
        <f aca="false">IF(I1742="","",INDEX(הגדרות!$A$2:$A$21,MOD(I1742+הגדרות!$E$9,הגדרות!$E$6)+1))</f>
        <v/>
      </c>
    </row>
    <row r="1743" customFormat="false" ht="15" hidden="false" customHeight="false" outlineLevel="0" collapsed="false">
      <c r="A1743" s="0" t="str">
        <f aca="false">IF('הדבקת לידים'!A1743="","",IF(ISNUMBER('הדבקת לידים'!A1743),IF(הגדרות!$E$2&gt;0,TEXT('הדבקת לידים'!A1743,REPT("0",הגדרות!$E$2)),TEXT('הדבקת לידים'!A1743,"0")),TRIM('הדבקת לידים'!A1743)))</f>
        <v/>
      </c>
      <c r="B1743" s="0" t="str">
        <f aca="false">IF('הדבקת לידים'!B1743="","",IF(ISNUMBER('הדבקת לידים'!B1743),IF(הגדרות!$E$3&gt;0,TEXT('הדבקת לידים'!B1743,REPT("0",הגדרות!$E$3)),TEXT('הדבקת לידים'!B1743,"0")),TRIM('הדבקת לידים'!B1743)))</f>
        <v/>
      </c>
      <c r="C1743" s="0" t="n">
        <f aca="false">IF(OR(A1743&lt;&gt;"",B1743&lt;&gt;""),1,0)</f>
        <v>0</v>
      </c>
      <c r="D1743" s="0" t="str">
        <f aca="false">IF(C1743=1,MOD(ABS(SIN(ROW()*12.9898+'הדבקת לידים'!$F$2*78.233+IFERROR(--RIGHT(A1743,6),LEN(A1743))*0.0137+IFERROR(--RIGHT(B1743,6),LEN(B1743))*0.0071))*43758.5453,1),"")</f>
        <v/>
      </c>
      <c r="E1743" s="0" t="str">
        <f aca="false">IF(C1743=1,INT(MOD(ABS(SIN(D1743*7919.123+ROW()*0.618+'הדבקת לידים'!$F$2*1.3))*43758.5453,1)*1000000)*10000+ROW(),"")</f>
        <v/>
      </c>
      <c r="F1743" s="0" t="str">
        <f aca="false">IF(E1743="","",RANK(E1743,$E$2:$E$5001,1))</f>
        <v/>
      </c>
      <c r="G1743" s="0" t="n">
        <f aca="false">IF(A1743="",0,IF(SUMPRODUCT(--($A$2:$A$5001=A1743))&gt;1,1,0))</f>
        <v>0</v>
      </c>
      <c r="H1743" s="0" t="n">
        <f aca="false">ROW()-1</f>
        <v>1742</v>
      </c>
      <c r="I1743" s="0" t="str">
        <f aca="false">IF(OR(הגדרות!$E$6=0,H1743&gt;הגדרות!$E$5),"",IF(H1743-1&lt;הגדרות!$E$8*(הגדרות!$E$7+1),INT((H1743-1)/(הגדרות!$E$7+1)),הגדרות!$E$8+INT((H1743-1-הגדרות!$E$8*(הגדרות!$E$7+1))/הגדרות!$E$7)))</f>
        <v/>
      </c>
      <c r="J1743" s="0" t="str">
        <f aca="false">IF(I1743="","",IF(H1743-1&lt;הגדרות!$E$8*(הגדרות!$E$7+1),MOD(H1743-1,הגדרות!$E$7+1),MOD(H1743-1-הגדרות!$E$8*(הגדרות!$E$7+1),הגדרות!$E$7)))</f>
        <v/>
      </c>
      <c r="K1743" s="0" t="str">
        <f aca="false">IF(I1743="","",J1743*הגדרות!$E$6+I1743+1)</f>
        <v/>
      </c>
      <c r="L1743" s="0" t="str">
        <f aca="false">IF(K1743="","",MATCH(K1743,$F$2:$F$5001,0))</f>
        <v/>
      </c>
      <c r="M1743" s="0" t="str">
        <f aca="false">IF(I1743="","",INDEX(הגדרות!$A$2:$A$21,MOD(I1743+הגדרות!$E$9,הגדרות!$E$6)+1))</f>
        <v/>
      </c>
    </row>
    <row r="1744" customFormat="false" ht="15" hidden="false" customHeight="false" outlineLevel="0" collapsed="false">
      <c r="A1744" s="0" t="str">
        <f aca="false">IF('הדבקת לידים'!A1744="","",IF(ISNUMBER('הדבקת לידים'!A1744),IF(הגדרות!$E$2&gt;0,TEXT('הדבקת לידים'!A1744,REPT("0",הגדרות!$E$2)),TEXT('הדבקת לידים'!A1744,"0")),TRIM('הדבקת לידים'!A1744)))</f>
        <v/>
      </c>
      <c r="B1744" s="0" t="str">
        <f aca="false">IF('הדבקת לידים'!B1744="","",IF(ISNUMBER('הדבקת לידים'!B1744),IF(הגדרות!$E$3&gt;0,TEXT('הדבקת לידים'!B1744,REPT("0",הגדרות!$E$3)),TEXT('הדבקת לידים'!B1744,"0")),TRIM('הדבקת לידים'!B1744)))</f>
        <v/>
      </c>
      <c r="C1744" s="0" t="n">
        <f aca="false">IF(OR(A1744&lt;&gt;"",B1744&lt;&gt;""),1,0)</f>
        <v>0</v>
      </c>
      <c r="D1744" s="0" t="str">
        <f aca="false">IF(C1744=1,MOD(ABS(SIN(ROW()*12.9898+'הדבקת לידים'!$F$2*78.233+IFERROR(--RIGHT(A1744,6),LEN(A1744))*0.0137+IFERROR(--RIGHT(B1744,6),LEN(B1744))*0.0071))*43758.5453,1),"")</f>
        <v/>
      </c>
      <c r="E1744" s="0" t="str">
        <f aca="false">IF(C1744=1,INT(MOD(ABS(SIN(D1744*7919.123+ROW()*0.618+'הדבקת לידים'!$F$2*1.3))*43758.5453,1)*1000000)*10000+ROW(),"")</f>
        <v/>
      </c>
      <c r="F1744" s="0" t="str">
        <f aca="false">IF(E1744="","",RANK(E1744,$E$2:$E$5001,1))</f>
        <v/>
      </c>
      <c r="G1744" s="0" t="n">
        <f aca="false">IF(A1744="",0,IF(SUMPRODUCT(--($A$2:$A$5001=A1744))&gt;1,1,0))</f>
        <v>0</v>
      </c>
      <c r="H1744" s="0" t="n">
        <f aca="false">ROW()-1</f>
        <v>1743</v>
      </c>
      <c r="I1744" s="0" t="str">
        <f aca="false">IF(OR(הגדרות!$E$6=0,H1744&gt;הגדרות!$E$5),"",IF(H1744-1&lt;הגדרות!$E$8*(הגדרות!$E$7+1),INT((H1744-1)/(הגדרות!$E$7+1)),הגדרות!$E$8+INT((H1744-1-הגדרות!$E$8*(הגדרות!$E$7+1))/הגדרות!$E$7)))</f>
        <v/>
      </c>
      <c r="J1744" s="0" t="str">
        <f aca="false">IF(I1744="","",IF(H1744-1&lt;הגדרות!$E$8*(הגדרות!$E$7+1),MOD(H1744-1,הגדרות!$E$7+1),MOD(H1744-1-הגדרות!$E$8*(הגדרות!$E$7+1),הגדרות!$E$7)))</f>
        <v/>
      </c>
      <c r="K1744" s="0" t="str">
        <f aca="false">IF(I1744="","",J1744*הגדרות!$E$6+I1744+1)</f>
        <v/>
      </c>
      <c r="L1744" s="0" t="str">
        <f aca="false">IF(K1744="","",MATCH(K1744,$F$2:$F$5001,0))</f>
        <v/>
      </c>
      <c r="M1744" s="0" t="str">
        <f aca="false">IF(I1744="","",INDEX(הגדרות!$A$2:$A$21,MOD(I1744+הגדרות!$E$9,הגדרות!$E$6)+1))</f>
        <v/>
      </c>
    </row>
    <row r="1745" customFormat="false" ht="15" hidden="false" customHeight="false" outlineLevel="0" collapsed="false">
      <c r="A1745" s="0" t="str">
        <f aca="false">IF('הדבקת לידים'!A1745="","",IF(ISNUMBER('הדבקת לידים'!A1745),IF(הגדרות!$E$2&gt;0,TEXT('הדבקת לידים'!A1745,REPT("0",הגדרות!$E$2)),TEXT('הדבקת לידים'!A1745,"0")),TRIM('הדבקת לידים'!A1745)))</f>
        <v/>
      </c>
      <c r="B1745" s="0" t="str">
        <f aca="false">IF('הדבקת לידים'!B1745="","",IF(ISNUMBER('הדבקת לידים'!B1745),IF(הגדרות!$E$3&gt;0,TEXT('הדבקת לידים'!B1745,REPT("0",הגדרות!$E$3)),TEXT('הדבקת לידים'!B1745,"0")),TRIM('הדבקת לידים'!B1745)))</f>
        <v/>
      </c>
      <c r="C1745" s="0" t="n">
        <f aca="false">IF(OR(A1745&lt;&gt;"",B1745&lt;&gt;""),1,0)</f>
        <v>0</v>
      </c>
      <c r="D1745" s="0" t="str">
        <f aca="false">IF(C1745=1,MOD(ABS(SIN(ROW()*12.9898+'הדבקת לידים'!$F$2*78.233+IFERROR(--RIGHT(A1745,6),LEN(A1745))*0.0137+IFERROR(--RIGHT(B1745,6),LEN(B1745))*0.0071))*43758.5453,1),"")</f>
        <v/>
      </c>
      <c r="E1745" s="0" t="str">
        <f aca="false">IF(C1745=1,INT(MOD(ABS(SIN(D1745*7919.123+ROW()*0.618+'הדבקת לידים'!$F$2*1.3))*43758.5453,1)*1000000)*10000+ROW(),"")</f>
        <v/>
      </c>
      <c r="F1745" s="0" t="str">
        <f aca="false">IF(E1745="","",RANK(E1745,$E$2:$E$5001,1))</f>
        <v/>
      </c>
      <c r="G1745" s="0" t="n">
        <f aca="false">IF(A1745="",0,IF(SUMPRODUCT(--($A$2:$A$5001=A1745))&gt;1,1,0))</f>
        <v>0</v>
      </c>
      <c r="H1745" s="0" t="n">
        <f aca="false">ROW()-1</f>
        <v>1744</v>
      </c>
      <c r="I1745" s="0" t="str">
        <f aca="false">IF(OR(הגדרות!$E$6=0,H1745&gt;הגדרות!$E$5),"",IF(H1745-1&lt;הגדרות!$E$8*(הגדרות!$E$7+1),INT((H1745-1)/(הגדרות!$E$7+1)),הגדרות!$E$8+INT((H1745-1-הגדרות!$E$8*(הגדרות!$E$7+1))/הגדרות!$E$7)))</f>
        <v/>
      </c>
      <c r="J1745" s="0" t="str">
        <f aca="false">IF(I1745="","",IF(H1745-1&lt;הגדרות!$E$8*(הגדרות!$E$7+1),MOD(H1745-1,הגדרות!$E$7+1),MOD(H1745-1-הגדרות!$E$8*(הגדרות!$E$7+1),הגדרות!$E$7)))</f>
        <v/>
      </c>
      <c r="K1745" s="0" t="str">
        <f aca="false">IF(I1745="","",J1745*הגדרות!$E$6+I1745+1)</f>
        <v/>
      </c>
      <c r="L1745" s="0" t="str">
        <f aca="false">IF(K1745="","",MATCH(K1745,$F$2:$F$5001,0))</f>
        <v/>
      </c>
      <c r="M1745" s="0" t="str">
        <f aca="false">IF(I1745="","",INDEX(הגדרות!$A$2:$A$21,MOD(I1745+הגדרות!$E$9,הגדרות!$E$6)+1))</f>
        <v/>
      </c>
    </row>
    <row r="1746" customFormat="false" ht="15" hidden="false" customHeight="false" outlineLevel="0" collapsed="false">
      <c r="A1746" s="0" t="str">
        <f aca="false">IF('הדבקת לידים'!A1746="","",IF(ISNUMBER('הדבקת לידים'!A1746),IF(הגדרות!$E$2&gt;0,TEXT('הדבקת לידים'!A1746,REPT("0",הגדרות!$E$2)),TEXT('הדבקת לידים'!A1746,"0")),TRIM('הדבקת לידים'!A1746)))</f>
        <v/>
      </c>
      <c r="B1746" s="0" t="str">
        <f aca="false">IF('הדבקת לידים'!B1746="","",IF(ISNUMBER('הדבקת לידים'!B1746),IF(הגדרות!$E$3&gt;0,TEXT('הדבקת לידים'!B1746,REPT("0",הגדרות!$E$3)),TEXT('הדבקת לידים'!B1746,"0")),TRIM('הדבקת לידים'!B1746)))</f>
        <v/>
      </c>
      <c r="C1746" s="0" t="n">
        <f aca="false">IF(OR(A1746&lt;&gt;"",B1746&lt;&gt;""),1,0)</f>
        <v>0</v>
      </c>
      <c r="D1746" s="0" t="str">
        <f aca="false">IF(C1746=1,MOD(ABS(SIN(ROW()*12.9898+'הדבקת לידים'!$F$2*78.233+IFERROR(--RIGHT(A1746,6),LEN(A1746))*0.0137+IFERROR(--RIGHT(B1746,6),LEN(B1746))*0.0071))*43758.5453,1),"")</f>
        <v/>
      </c>
      <c r="E1746" s="0" t="str">
        <f aca="false">IF(C1746=1,INT(MOD(ABS(SIN(D1746*7919.123+ROW()*0.618+'הדבקת לידים'!$F$2*1.3))*43758.5453,1)*1000000)*10000+ROW(),"")</f>
        <v/>
      </c>
      <c r="F1746" s="0" t="str">
        <f aca="false">IF(E1746="","",RANK(E1746,$E$2:$E$5001,1))</f>
        <v/>
      </c>
      <c r="G1746" s="0" t="n">
        <f aca="false">IF(A1746="",0,IF(SUMPRODUCT(--($A$2:$A$5001=A1746))&gt;1,1,0))</f>
        <v>0</v>
      </c>
      <c r="H1746" s="0" t="n">
        <f aca="false">ROW()-1</f>
        <v>1745</v>
      </c>
      <c r="I1746" s="0" t="str">
        <f aca="false">IF(OR(הגדרות!$E$6=0,H1746&gt;הגדרות!$E$5),"",IF(H1746-1&lt;הגדרות!$E$8*(הגדרות!$E$7+1),INT((H1746-1)/(הגדרות!$E$7+1)),הגדרות!$E$8+INT((H1746-1-הגדרות!$E$8*(הגדרות!$E$7+1))/הגדרות!$E$7)))</f>
        <v/>
      </c>
      <c r="J1746" s="0" t="str">
        <f aca="false">IF(I1746="","",IF(H1746-1&lt;הגדרות!$E$8*(הגדרות!$E$7+1),MOD(H1746-1,הגדרות!$E$7+1),MOD(H1746-1-הגדרות!$E$8*(הגדרות!$E$7+1),הגדרות!$E$7)))</f>
        <v/>
      </c>
      <c r="K1746" s="0" t="str">
        <f aca="false">IF(I1746="","",J1746*הגדרות!$E$6+I1746+1)</f>
        <v/>
      </c>
      <c r="L1746" s="0" t="str">
        <f aca="false">IF(K1746="","",MATCH(K1746,$F$2:$F$5001,0))</f>
        <v/>
      </c>
      <c r="M1746" s="0" t="str">
        <f aca="false">IF(I1746="","",INDEX(הגדרות!$A$2:$A$21,MOD(I1746+הגדרות!$E$9,הגדרות!$E$6)+1))</f>
        <v/>
      </c>
    </row>
    <row r="1747" customFormat="false" ht="15" hidden="false" customHeight="false" outlineLevel="0" collapsed="false">
      <c r="A1747" s="0" t="str">
        <f aca="false">IF('הדבקת לידים'!A1747="","",IF(ISNUMBER('הדבקת לידים'!A1747),IF(הגדרות!$E$2&gt;0,TEXT('הדבקת לידים'!A1747,REPT("0",הגדרות!$E$2)),TEXT('הדבקת לידים'!A1747,"0")),TRIM('הדבקת לידים'!A1747)))</f>
        <v/>
      </c>
      <c r="B1747" s="0" t="str">
        <f aca="false">IF('הדבקת לידים'!B1747="","",IF(ISNUMBER('הדבקת לידים'!B1747),IF(הגדרות!$E$3&gt;0,TEXT('הדבקת לידים'!B1747,REPT("0",הגדרות!$E$3)),TEXT('הדבקת לידים'!B1747,"0")),TRIM('הדבקת לידים'!B1747)))</f>
        <v/>
      </c>
      <c r="C1747" s="0" t="n">
        <f aca="false">IF(OR(A1747&lt;&gt;"",B1747&lt;&gt;""),1,0)</f>
        <v>0</v>
      </c>
      <c r="D1747" s="0" t="str">
        <f aca="false">IF(C1747=1,MOD(ABS(SIN(ROW()*12.9898+'הדבקת לידים'!$F$2*78.233+IFERROR(--RIGHT(A1747,6),LEN(A1747))*0.0137+IFERROR(--RIGHT(B1747,6),LEN(B1747))*0.0071))*43758.5453,1),"")</f>
        <v/>
      </c>
      <c r="E1747" s="0" t="str">
        <f aca="false">IF(C1747=1,INT(MOD(ABS(SIN(D1747*7919.123+ROW()*0.618+'הדבקת לידים'!$F$2*1.3))*43758.5453,1)*1000000)*10000+ROW(),"")</f>
        <v/>
      </c>
      <c r="F1747" s="0" t="str">
        <f aca="false">IF(E1747="","",RANK(E1747,$E$2:$E$5001,1))</f>
        <v/>
      </c>
      <c r="G1747" s="0" t="n">
        <f aca="false">IF(A1747="",0,IF(SUMPRODUCT(--($A$2:$A$5001=A1747))&gt;1,1,0))</f>
        <v>0</v>
      </c>
      <c r="H1747" s="0" t="n">
        <f aca="false">ROW()-1</f>
        <v>1746</v>
      </c>
      <c r="I1747" s="0" t="str">
        <f aca="false">IF(OR(הגדרות!$E$6=0,H1747&gt;הגדרות!$E$5),"",IF(H1747-1&lt;הגדרות!$E$8*(הגדרות!$E$7+1),INT((H1747-1)/(הגדרות!$E$7+1)),הגדרות!$E$8+INT((H1747-1-הגדרות!$E$8*(הגדרות!$E$7+1))/הגדרות!$E$7)))</f>
        <v/>
      </c>
      <c r="J1747" s="0" t="str">
        <f aca="false">IF(I1747="","",IF(H1747-1&lt;הגדרות!$E$8*(הגדרות!$E$7+1),MOD(H1747-1,הגדרות!$E$7+1),MOD(H1747-1-הגדרות!$E$8*(הגדרות!$E$7+1),הגדרות!$E$7)))</f>
        <v/>
      </c>
      <c r="K1747" s="0" t="str">
        <f aca="false">IF(I1747="","",J1747*הגדרות!$E$6+I1747+1)</f>
        <v/>
      </c>
      <c r="L1747" s="0" t="str">
        <f aca="false">IF(K1747="","",MATCH(K1747,$F$2:$F$5001,0))</f>
        <v/>
      </c>
      <c r="M1747" s="0" t="str">
        <f aca="false">IF(I1747="","",INDEX(הגדרות!$A$2:$A$21,MOD(I1747+הגדרות!$E$9,הגדרות!$E$6)+1))</f>
        <v/>
      </c>
    </row>
    <row r="1748" customFormat="false" ht="15" hidden="false" customHeight="false" outlineLevel="0" collapsed="false">
      <c r="A1748" s="0" t="str">
        <f aca="false">IF('הדבקת לידים'!A1748="","",IF(ISNUMBER('הדבקת לידים'!A1748),IF(הגדרות!$E$2&gt;0,TEXT('הדבקת לידים'!A1748,REPT("0",הגדרות!$E$2)),TEXT('הדבקת לידים'!A1748,"0")),TRIM('הדבקת לידים'!A1748)))</f>
        <v/>
      </c>
      <c r="B1748" s="0" t="str">
        <f aca="false">IF('הדבקת לידים'!B1748="","",IF(ISNUMBER('הדבקת לידים'!B1748),IF(הגדרות!$E$3&gt;0,TEXT('הדבקת לידים'!B1748,REPT("0",הגדרות!$E$3)),TEXT('הדבקת לידים'!B1748,"0")),TRIM('הדבקת לידים'!B1748)))</f>
        <v/>
      </c>
      <c r="C1748" s="0" t="n">
        <f aca="false">IF(OR(A1748&lt;&gt;"",B1748&lt;&gt;""),1,0)</f>
        <v>0</v>
      </c>
      <c r="D1748" s="0" t="str">
        <f aca="false">IF(C1748=1,MOD(ABS(SIN(ROW()*12.9898+'הדבקת לידים'!$F$2*78.233+IFERROR(--RIGHT(A1748,6),LEN(A1748))*0.0137+IFERROR(--RIGHT(B1748,6),LEN(B1748))*0.0071))*43758.5453,1),"")</f>
        <v/>
      </c>
      <c r="E1748" s="0" t="str">
        <f aca="false">IF(C1748=1,INT(MOD(ABS(SIN(D1748*7919.123+ROW()*0.618+'הדבקת לידים'!$F$2*1.3))*43758.5453,1)*1000000)*10000+ROW(),"")</f>
        <v/>
      </c>
      <c r="F1748" s="0" t="str">
        <f aca="false">IF(E1748="","",RANK(E1748,$E$2:$E$5001,1))</f>
        <v/>
      </c>
      <c r="G1748" s="0" t="n">
        <f aca="false">IF(A1748="",0,IF(SUMPRODUCT(--($A$2:$A$5001=A1748))&gt;1,1,0))</f>
        <v>0</v>
      </c>
      <c r="H1748" s="0" t="n">
        <f aca="false">ROW()-1</f>
        <v>1747</v>
      </c>
      <c r="I1748" s="0" t="str">
        <f aca="false">IF(OR(הגדרות!$E$6=0,H1748&gt;הגדרות!$E$5),"",IF(H1748-1&lt;הגדרות!$E$8*(הגדרות!$E$7+1),INT((H1748-1)/(הגדרות!$E$7+1)),הגדרות!$E$8+INT((H1748-1-הגדרות!$E$8*(הגדרות!$E$7+1))/הגדרות!$E$7)))</f>
        <v/>
      </c>
      <c r="J1748" s="0" t="str">
        <f aca="false">IF(I1748="","",IF(H1748-1&lt;הגדרות!$E$8*(הגדרות!$E$7+1),MOD(H1748-1,הגדרות!$E$7+1),MOD(H1748-1-הגדרות!$E$8*(הגדרות!$E$7+1),הגדרות!$E$7)))</f>
        <v/>
      </c>
      <c r="K1748" s="0" t="str">
        <f aca="false">IF(I1748="","",J1748*הגדרות!$E$6+I1748+1)</f>
        <v/>
      </c>
      <c r="L1748" s="0" t="str">
        <f aca="false">IF(K1748="","",MATCH(K1748,$F$2:$F$5001,0))</f>
        <v/>
      </c>
      <c r="M1748" s="0" t="str">
        <f aca="false">IF(I1748="","",INDEX(הגדרות!$A$2:$A$21,MOD(I1748+הגדרות!$E$9,הגדרות!$E$6)+1))</f>
        <v/>
      </c>
    </row>
    <row r="1749" customFormat="false" ht="15" hidden="false" customHeight="false" outlineLevel="0" collapsed="false">
      <c r="A1749" s="0" t="str">
        <f aca="false">IF('הדבקת לידים'!A1749="","",IF(ISNUMBER('הדבקת לידים'!A1749),IF(הגדרות!$E$2&gt;0,TEXT('הדבקת לידים'!A1749,REPT("0",הגדרות!$E$2)),TEXT('הדבקת לידים'!A1749,"0")),TRIM('הדבקת לידים'!A1749)))</f>
        <v/>
      </c>
      <c r="B1749" s="0" t="str">
        <f aca="false">IF('הדבקת לידים'!B1749="","",IF(ISNUMBER('הדבקת לידים'!B1749),IF(הגדרות!$E$3&gt;0,TEXT('הדבקת לידים'!B1749,REPT("0",הגדרות!$E$3)),TEXT('הדבקת לידים'!B1749,"0")),TRIM('הדבקת לידים'!B1749)))</f>
        <v/>
      </c>
      <c r="C1749" s="0" t="n">
        <f aca="false">IF(OR(A1749&lt;&gt;"",B1749&lt;&gt;""),1,0)</f>
        <v>0</v>
      </c>
      <c r="D1749" s="0" t="str">
        <f aca="false">IF(C1749=1,MOD(ABS(SIN(ROW()*12.9898+'הדבקת לידים'!$F$2*78.233+IFERROR(--RIGHT(A1749,6),LEN(A1749))*0.0137+IFERROR(--RIGHT(B1749,6),LEN(B1749))*0.0071))*43758.5453,1),"")</f>
        <v/>
      </c>
      <c r="E1749" s="0" t="str">
        <f aca="false">IF(C1749=1,INT(MOD(ABS(SIN(D1749*7919.123+ROW()*0.618+'הדבקת לידים'!$F$2*1.3))*43758.5453,1)*1000000)*10000+ROW(),"")</f>
        <v/>
      </c>
      <c r="F1749" s="0" t="str">
        <f aca="false">IF(E1749="","",RANK(E1749,$E$2:$E$5001,1))</f>
        <v/>
      </c>
      <c r="G1749" s="0" t="n">
        <f aca="false">IF(A1749="",0,IF(SUMPRODUCT(--($A$2:$A$5001=A1749))&gt;1,1,0))</f>
        <v>0</v>
      </c>
      <c r="H1749" s="0" t="n">
        <f aca="false">ROW()-1</f>
        <v>1748</v>
      </c>
      <c r="I1749" s="0" t="str">
        <f aca="false">IF(OR(הגדרות!$E$6=0,H1749&gt;הגדרות!$E$5),"",IF(H1749-1&lt;הגדרות!$E$8*(הגדרות!$E$7+1),INT((H1749-1)/(הגדרות!$E$7+1)),הגדרות!$E$8+INT((H1749-1-הגדרות!$E$8*(הגדרות!$E$7+1))/הגדרות!$E$7)))</f>
        <v/>
      </c>
      <c r="J1749" s="0" t="str">
        <f aca="false">IF(I1749="","",IF(H1749-1&lt;הגדרות!$E$8*(הגדרות!$E$7+1),MOD(H1749-1,הגדרות!$E$7+1),MOD(H1749-1-הגדרות!$E$8*(הגדרות!$E$7+1),הגדרות!$E$7)))</f>
        <v/>
      </c>
      <c r="K1749" s="0" t="str">
        <f aca="false">IF(I1749="","",J1749*הגדרות!$E$6+I1749+1)</f>
        <v/>
      </c>
      <c r="L1749" s="0" t="str">
        <f aca="false">IF(K1749="","",MATCH(K1749,$F$2:$F$5001,0))</f>
        <v/>
      </c>
      <c r="M1749" s="0" t="str">
        <f aca="false">IF(I1749="","",INDEX(הגדרות!$A$2:$A$21,MOD(I1749+הגדרות!$E$9,הגדרות!$E$6)+1))</f>
        <v/>
      </c>
    </row>
    <row r="1750" customFormat="false" ht="15" hidden="false" customHeight="false" outlineLevel="0" collapsed="false">
      <c r="A1750" s="0" t="str">
        <f aca="false">IF('הדבקת לידים'!A1750="","",IF(ISNUMBER('הדבקת לידים'!A1750),IF(הגדרות!$E$2&gt;0,TEXT('הדבקת לידים'!A1750,REPT("0",הגדרות!$E$2)),TEXT('הדבקת לידים'!A1750,"0")),TRIM('הדבקת לידים'!A1750)))</f>
        <v/>
      </c>
      <c r="B1750" s="0" t="str">
        <f aca="false">IF('הדבקת לידים'!B1750="","",IF(ISNUMBER('הדבקת לידים'!B1750),IF(הגדרות!$E$3&gt;0,TEXT('הדבקת לידים'!B1750,REPT("0",הגדרות!$E$3)),TEXT('הדבקת לידים'!B1750,"0")),TRIM('הדבקת לידים'!B1750)))</f>
        <v/>
      </c>
      <c r="C1750" s="0" t="n">
        <f aca="false">IF(OR(A1750&lt;&gt;"",B1750&lt;&gt;""),1,0)</f>
        <v>0</v>
      </c>
      <c r="D1750" s="0" t="str">
        <f aca="false">IF(C1750=1,MOD(ABS(SIN(ROW()*12.9898+'הדבקת לידים'!$F$2*78.233+IFERROR(--RIGHT(A1750,6),LEN(A1750))*0.0137+IFERROR(--RIGHT(B1750,6),LEN(B1750))*0.0071))*43758.5453,1),"")</f>
        <v/>
      </c>
      <c r="E1750" s="0" t="str">
        <f aca="false">IF(C1750=1,INT(MOD(ABS(SIN(D1750*7919.123+ROW()*0.618+'הדבקת לידים'!$F$2*1.3))*43758.5453,1)*1000000)*10000+ROW(),"")</f>
        <v/>
      </c>
      <c r="F1750" s="0" t="str">
        <f aca="false">IF(E1750="","",RANK(E1750,$E$2:$E$5001,1))</f>
        <v/>
      </c>
      <c r="G1750" s="0" t="n">
        <f aca="false">IF(A1750="",0,IF(SUMPRODUCT(--($A$2:$A$5001=A1750))&gt;1,1,0))</f>
        <v>0</v>
      </c>
      <c r="H1750" s="0" t="n">
        <f aca="false">ROW()-1</f>
        <v>1749</v>
      </c>
      <c r="I1750" s="0" t="str">
        <f aca="false">IF(OR(הגדרות!$E$6=0,H1750&gt;הגדרות!$E$5),"",IF(H1750-1&lt;הגדרות!$E$8*(הגדרות!$E$7+1),INT((H1750-1)/(הגדרות!$E$7+1)),הגדרות!$E$8+INT((H1750-1-הגדרות!$E$8*(הגדרות!$E$7+1))/הגדרות!$E$7)))</f>
        <v/>
      </c>
      <c r="J1750" s="0" t="str">
        <f aca="false">IF(I1750="","",IF(H1750-1&lt;הגדרות!$E$8*(הגדרות!$E$7+1),MOD(H1750-1,הגדרות!$E$7+1),MOD(H1750-1-הגדרות!$E$8*(הגדרות!$E$7+1),הגדרות!$E$7)))</f>
        <v/>
      </c>
      <c r="K1750" s="0" t="str">
        <f aca="false">IF(I1750="","",J1750*הגדרות!$E$6+I1750+1)</f>
        <v/>
      </c>
      <c r="L1750" s="0" t="str">
        <f aca="false">IF(K1750="","",MATCH(K1750,$F$2:$F$5001,0))</f>
        <v/>
      </c>
      <c r="M1750" s="0" t="str">
        <f aca="false">IF(I1750="","",INDEX(הגדרות!$A$2:$A$21,MOD(I1750+הגדרות!$E$9,הגדרות!$E$6)+1))</f>
        <v/>
      </c>
    </row>
    <row r="1751" customFormat="false" ht="15" hidden="false" customHeight="false" outlineLevel="0" collapsed="false">
      <c r="A1751" s="0" t="str">
        <f aca="false">IF('הדבקת לידים'!A1751="","",IF(ISNUMBER('הדבקת לידים'!A1751),IF(הגדרות!$E$2&gt;0,TEXT('הדבקת לידים'!A1751,REPT("0",הגדרות!$E$2)),TEXT('הדבקת לידים'!A1751,"0")),TRIM('הדבקת לידים'!A1751)))</f>
        <v/>
      </c>
      <c r="B1751" s="0" t="str">
        <f aca="false">IF('הדבקת לידים'!B1751="","",IF(ISNUMBER('הדבקת לידים'!B1751),IF(הגדרות!$E$3&gt;0,TEXT('הדבקת לידים'!B1751,REPT("0",הגדרות!$E$3)),TEXT('הדבקת לידים'!B1751,"0")),TRIM('הדבקת לידים'!B1751)))</f>
        <v/>
      </c>
      <c r="C1751" s="0" t="n">
        <f aca="false">IF(OR(A1751&lt;&gt;"",B1751&lt;&gt;""),1,0)</f>
        <v>0</v>
      </c>
      <c r="D1751" s="0" t="str">
        <f aca="false">IF(C1751=1,MOD(ABS(SIN(ROW()*12.9898+'הדבקת לידים'!$F$2*78.233+IFERROR(--RIGHT(A1751,6),LEN(A1751))*0.0137+IFERROR(--RIGHT(B1751,6),LEN(B1751))*0.0071))*43758.5453,1),"")</f>
        <v/>
      </c>
      <c r="E1751" s="0" t="str">
        <f aca="false">IF(C1751=1,INT(MOD(ABS(SIN(D1751*7919.123+ROW()*0.618+'הדבקת לידים'!$F$2*1.3))*43758.5453,1)*1000000)*10000+ROW(),"")</f>
        <v/>
      </c>
      <c r="F1751" s="0" t="str">
        <f aca="false">IF(E1751="","",RANK(E1751,$E$2:$E$5001,1))</f>
        <v/>
      </c>
      <c r="G1751" s="0" t="n">
        <f aca="false">IF(A1751="",0,IF(SUMPRODUCT(--($A$2:$A$5001=A1751))&gt;1,1,0))</f>
        <v>0</v>
      </c>
      <c r="H1751" s="0" t="n">
        <f aca="false">ROW()-1</f>
        <v>1750</v>
      </c>
      <c r="I1751" s="0" t="str">
        <f aca="false">IF(OR(הגדרות!$E$6=0,H1751&gt;הגדרות!$E$5),"",IF(H1751-1&lt;הגדרות!$E$8*(הגדרות!$E$7+1),INT((H1751-1)/(הגדרות!$E$7+1)),הגדרות!$E$8+INT((H1751-1-הגדרות!$E$8*(הגדרות!$E$7+1))/הגדרות!$E$7)))</f>
        <v/>
      </c>
      <c r="J1751" s="0" t="str">
        <f aca="false">IF(I1751="","",IF(H1751-1&lt;הגדרות!$E$8*(הגדרות!$E$7+1),MOD(H1751-1,הגדרות!$E$7+1),MOD(H1751-1-הגדרות!$E$8*(הגדרות!$E$7+1),הגדרות!$E$7)))</f>
        <v/>
      </c>
      <c r="K1751" s="0" t="str">
        <f aca="false">IF(I1751="","",J1751*הגדרות!$E$6+I1751+1)</f>
        <v/>
      </c>
      <c r="L1751" s="0" t="str">
        <f aca="false">IF(K1751="","",MATCH(K1751,$F$2:$F$5001,0))</f>
        <v/>
      </c>
      <c r="M1751" s="0" t="str">
        <f aca="false">IF(I1751="","",INDEX(הגדרות!$A$2:$A$21,MOD(I1751+הגדרות!$E$9,הגדרות!$E$6)+1))</f>
        <v/>
      </c>
    </row>
    <row r="1752" customFormat="false" ht="15" hidden="false" customHeight="false" outlineLevel="0" collapsed="false">
      <c r="A1752" s="0" t="str">
        <f aca="false">IF('הדבקת לידים'!A1752="","",IF(ISNUMBER('הדבקת לידים'!A1752),IF(הגדרות!$E$2&gt;0,TEXT('הדבקת לידים'!A1752,REPT("0",הגדרות!$E$2)),TEXT('הדבקת לידים'!A1752,"0")),TRIM('הדבקת לידים'!A1752)))</f>
        <v/>
      </c>
      <c r="B1752" s="0" t="str">
        <f aca="false">IF('הדבקת לידים'!B1752="","",IF(ISNUMBER('הדבקת לידים'!B1752),IF(הגדרות!$E$3&gt;0,TEXT('הדבקת לידים'!B1752,REPT("0",הגדרות!$E$3)),TEXT('הדבקת לידים'!B1752,"0")),TRIM('הדבקת לידים'!B1752)))</f>
        <v/>
      </c>
      <c r="C1752" s="0" t="n">
        <f aca="false">IF(OR(A1752&lt;&gt;"",B1752&lt;&gt;""),1,0)</f>
        <v>0</v>
      </c>
      <c r="D1752" s="0" t="str">
        <f aca="false">IF(C1752=1,MOD(ABS(SIN(ROW()*12.9898+'הדבקת לידים'!$F$2*78.233+IFERROR(--RIGHT(A1752,6),LEN(A1752))*0.0137+IFERROR(--RIGHT(B1752,6),LEN(B1752))*0.0071))*43758.5453,1),"")</f>
        <v/>
      </c>
      <c r="E1752" s="0" t="str">
        <f aca="false">IF(C1752=1,INT(MOD(ABS(SIN(D1752*7919.123+ROW()*0.618+'הדבקת לידים'!$F$2*1.3))*43758.5453,1)*1000000)*10000+ROW(),"")</f>
        <v/>
      </c>
      <c r="F1752" s="0" t="str">
        <f aca="false">IF(E1752="","",RANK(E1752,$E$2:$E$5001,1))</f>
        <v/>
      </c>
      <c r="G1752" s="0" t="n">
        <f aca="false">IF(A1752="",0,IF(SUMPRODUCT(--($A$2:$A$5001=A1752))&gt;1,1,0))</f>
        <v>0</v>
      </c>
      <c r="H1752" s="0" t="n">
        <f aca="false">ROW()-1</f>
        <v>1751</v>
      </c>
      <c r="I1752" s="0" t="str">
        <f aca="false">IF(OR(הגדרות!$E$6=0,H1752&gt;הגדרות!$E$5),"",IF(H1752-1&lt;הגדרות!$E$8*(הגדרות!$E$7+1),INT((H1752-1)/(הגדרות!$E$7+1)),הגדרות!$E$8+INT((H1752-1-הגדרות!$E$8*(הגדרות!$E$7+1))/הגדרות!$E$7)))</f>
        <v/>
      </c>
      <c r="J1752" s="0" t="str">
        <f aca="false">IF(I1752="","",IF(H1752-1&lt;הגדרות!$E$8*(הגדרות!$E$7+1),MOD(H1752-1,הגדרות!$E$7+1),MOD(H1752-1-הגדרות!$E$8*(הגדרות!$E$7+1),הגדרות!$E$7)))</f>
        <v/>
      </c>
      <c r="K1752" s="0" t="str">
        <f aca="false">IF(I1752="","",J1752*הגדרות!$E$6+I1752+1)</f>
        <v/>
      </c>
      <c r="L1752" s="0" t="str">
        <f aca="false">IF(K1752="","",MATCH(K1752,$F$2:$F$5001,0))</f>
        <v/>
      </c>
      <c r="M1752" s="0" t="str">
        <f aca="false">IF(I1752="","",INDEX(הגדרות!$A$2:$A$21,MOD(I1752+הגדרות!$E$9,הגדרות!$E$6)+1))</f>
        <v/>
      </c>
    </row>
    <row r="1753" customFormat="false" ht="15" hidden="false" customHeight="false" outlineLevel="0" collapsed="false">
      <c r="A1753" s="0" t="str">
        <f aca="false">IF('הדבקת לידים'!A1753="","",IF(ISNUMBER('הדבקת לידים'!A1753),IF(הגדרות!$E$2&gt;0,TEXT('הדבקת לידים'!A1753,REPT("0",הגדרות!$E$2)),TEXT('הדבקת לידים'!A1753,"0")),TRIM('הדבקת לידים'!A1753)))</f>
        <v/>
      </c>
      <c r="B1753" s="0" t="str">
        <f aca="false">IF('הדבקת לידים'!B1753="","",IF(ISNUMBER('הדבקת לידים'!B1753),IF(הגדרות!$E$3&gt;0,TEXT('הדבקת לידים'!B1753,REPT("0",הגדרות!$E$3)),TEXT('הדבקת לידים'!B1753,"0")),TRIM('הדבקת לידים'!B1753)))</f>
        <v/>
      </c>
      <c r="C1753" s="0" t="n">
        <f aca="false">IF(OR(A1753&lt;&gt;"",B1753&lt;&gt;""),1,0)</f>
        <v>0</v>
      </c>
      <c r="D1753" s="0" t="str">
        <f aca="false">IF(C1753=1,MOD(ABS(SIN(ROW()*12.9898+'הדבקת לידים'!$F$2*78.233+IFERROR(--RIGHT(A1753,6),LEN(A1753))*0.0137+IFERROR(--RIGHT(B1753,6),LEN(B1753))*0.0071))*43758.5453,1),"")</f>
        <v/>
      </c>
      <c r="E1753" s="0" t="str">
        <f aca="false">IF(C1753=1,INT(MOD(ABS(SIN(D1753*7919.123+ROW()*0.618+'הדבקת לידים'!$F$2*1.3))*43758.5453,1)*1000000)*10000+ROW(),"")</f>
        <v/>
      </c>
      <c r="F1753" s="0" t="str">
        <f aca="false">IF(E1753="","",RANK(E1753,$E$2:$E$5001,1))</f>
        <v/>
      </c>
      <c r="G1753" s="0" t="n">
        <f aca="false">IF(A1753="",0,IF(SUMPRODUCT(--($A$2:$A$5001=A1753))&gt;1,1,0))</f>
        <v>0</v>
      </c>
      <c r="H1753" s="0" t="n">
        <f aca="false">ROW()-1</f>
        <v>1752</v>
      </c>
      <c r="I1753" s="0" t="str">
        <f aca="false">IF(OR(הגדרות!$E$6=0,H1753&gt;הגדרות!$E$5),"",IF(H1753-1&lt;הגדרות!$E$8*(הגדרות!$E$7+1),INT((H1753-1)/(הגדרות!$E$7+1)),הגדרות!$E$8+INT((H1753-1-הגדרות!$E$8*(הגדרות!$E$7+1))/הגדרות!$E$7)))</f>
        <v/>
      </c>
      <c r="J1753" s="0" t="str">
        <f aca="false">IF(I1753="","",IF(H1753-1&lt;הגדרות!$E$8*(הגדרות!$E$7+1),MOD(H1753-1,הגדרות!$E$7+1),MOD(H1753-1-הגדרות!$E$8*(הגדרות!$E$7+1),הגדרות!$E$7)))</f>
        <v/>
      </c>
      <c r="K1753" s="0" t="str">
        <f aca="false">IF(I1753="","",J1753*הגדרות!$E$6+I1753+1)</f>
        <v/>
      </c>
      <c r="L1753" s="0" t="str">
        <f aca="false">IF(K1753="","",MATCH(K1753,$F$2:$F$5001,0))</f>
        <v/>
      </c>
      <c r="M1753" s="0" t="str">
        <f aca="false">IF(I1753="","",INDEX(הגדרות!$A$2:$A$21,MOD(I1753+הגדרות!$E$9,הגדרות!$E$6)+1))</f>
        <v/>
      </c>
    </row>
    <row r="1754" customFormat="false" ht="15" hidden="false" customHeight="false" outlineLevel="0" collapsed="false">
      <c r="A1754" s="0" t="str">
        <f aca="false">IF('הדבקת לידים'!A1754="","",IF(ISNUMBER('הדבקת לידים'!A1754),IF(הגדרות!$E$2&gt;0,TEXT('הדבקת לידים'!A1754,REPT("0",הגדרות!$E$2)),TEXT('הדבקת לידים'!A1754,"0")),TRIM('הדבקת לידים'!A1754)))</f>
        <v/>
      </c>
      <c r="B1754" s="0" t="str">
        <f aca="false">IF('הדבקת לידים'!B1754="","",IF(ISNUMBER('הדבקת לידים'!B1754),IF(הגדרות!$E$3&gt;0,TEXT('הדבקת לידים'!B1754,REPT("0",הגדרות!$E$3)),TEXT('הדבקת לידים'!B1754,"0")),TRIM('הדבקת לידים'!B1754)))</f>
        <v/>
      </c>
      <c r="C1754" s="0" t="n">
        <f aca="false">IF(OR(A1754&lt;&gt;"",B1754&lt;&gt;""),1,0)</f>
        <v>0</v>
      </c>
      <c r="D1754" s="0" t="str">
        <f aca="false">IF(C1754=1,MOD(ABS(SIN(ROW()*12.9898+'הדבקת לידים'!$F$2*78.233+IFERROR(--RIGHT(A1754,6),LEN(A1754))*0.0137+IFERROR(--RIGHT(B1754,6),LEN(B1754))*0.0071))*43758.5453,1),"")</f>
        <v/>
      </c>
      <c r="E1754" s="0" t="str">
        <f aca="false">IF(C1754=1,INT(MOD(ABS(SIN(D1754*7919.123+ROW()*0.618+'הדבקת לידים'!$F$2*1.3))*43758.5453,1)*1000000)*10000+ROW(),"")</f>
        <v/>
      </c>
      <c r="F1754" s="0" t="str">
        <f aca="false">IF(E1754="","",RANK(E1754,$E$2:$E$5001,1))</f>
        <v/>
      </c>
      <c r="G1754" s="0" t="n">
        <f aca="false">IF(A1754="",0,IF(SUMPRODUCT(--($A$2:$A$5001=A1754))&gt;1,1,0))</f>
        <v>0</v>
      </c>
      <c r="H1754" s="0" t="n">
        <f aca="false">ROW()-1</f>
        <v>1753</v>
      </c>
      <c r="I1754" s="0" t="str">
        <f aca="false">IF(OR(הגדרות!$E$6=0,H1754&gt;הגדרות!$E$5),"",IF(H1754-1&lt;הגדרות!$E$8*(הגדרות!$E$7+1),INT((H1754-1)/(הגדרות!$E$7+1)),הגדרות!$E$8+INT((H1754-1-הגדרות!$E$8*(הגדרות!$E$7+1))/הגדרות!$E$7)))</f>
        <v/>
      </c>
      <c r="J1754" s="0" t="str">
        <f aca="false">IF(I1754="","",IF(H1754-1&lt;הגדרות!$E$8*(הגדרות!$E$7+1),MOD(H1754-1,הגדרות!$E$7+1),MOD(H1754-1-הגדרות!$E$8*(הגדרות!$E$7+1),הגדרות!$E$7)))</f>
        <v/>
      </c>
      <c r="K1754" s="0" t="str">
        <f aca="false">IF(I1754="","",J1754*הגדרות!$E$6+I1754+1)</f>
        <v/>
      </c>
      <c r="L1754" s="0" t="str">
        <f aca="false">IF(K1754="","",MATCH(K1754,$F$2:$F$5001,0))</f>
        <v/>
      </c>
      <c r="M1754" s="0" t="str">
        <f aca="false">IF(I1754="","",INDEX(הגדרות!$A$2:$A$21,MOD(I1754+הגדרות!$E$9,הגדרות!$E$6)+1))</f>
        <v/>
      </c>
    </row>
    <row r="1755" customFormat="false" ht="15" hidden="false" customHeight="false" outlineLevel="0" collapsed="false">
      <c r="A1755" s="0" t="str">
        <f aca="false">IF('הדבקת לידים'!A1755="","",IF(ISNUMBER('הדבקת לידים'!A1755),IF(הגדרות!$E$2&gt;0,TEXT('הדבקת לידים'!A1755,REPT("0",הגדרות!$E$2)),TEXT('הדבקת לידים'!A1755,"0")),TRIM('הדבקת לידים'!A1755)))</f>
        <v/>
      </c>
      <c r="B1755" s="0" t="str">
        <f aca="false">IF('הדבקת לידים'!B1755="","",IF(ISNUMBER('הדבקת לידים'!B1755),IF(הגדרות!$E$3&gt;0,TEXT('הדבקת לידים'!B1755,REPT("0",הגדרות!$E$3)),TEXT('הדבקת לידים'!B1755,"0")),TRIM('הדבקת לידים'!B1755)))</f>
        <v/>
      </c>
      <c r="C1755" s="0" t="n">
        <f aca="false">IF(OR(A1755&lt;&gt;"",B1755&lt;&gt;""),1,0)</f>
        <v>0</v>
      </c>
      <c r="D1755" s="0" t="str">
        <f aca="false">IF(C1755=1,MOD(ABS(SIN(ROW()*12.9898+'הדבקת לידים'!$F$2*78.233+IFERROR(--RIGHT(A1755,6),LEN(A1755))*0.0137+IFERROR(--RIGHT(B1755,6),LEN(B1755))*0.0071))*43758.5453,1),"")</f>
        <v/>
      </c>
      <c r="E1755" s="0" t="str">
        <f aca="false">IF(C1755=1,INT(MOD(ABS(SIN(D1755*7919.123+ROW()*0.618+'הדבקת לידים'!$F$2*1.3))*43758.5453,1)*1000000)*10000+ROW(),"")</f>
        <v/>
      </c>
      <c r="F1755" s="0" t="str">
        <f aca="false">IF(E1755="","",RANK(E1755,$E$2:$E$5001,1))</f>
        <v/>
      </c>
      <c r="G1755" s="0" t="n">
        <f aca="false">IF(A1755="",0,IF(SUMPRODUCT(--($A$2:$A$5001=A1755))&gt;1,1,0))</f>
        <v>0</v>
      </c>
      <c r="H1755" s="0" t="n">
        <f aca="false">ROW()-1</f>
        <v>1754</v>
      </c>
      <c r="I1755" s="0" t="str">
        <f aca="false">IF(OR(הגדרות!$E$6=0,H1755&gt;הגדרות!$E$5),"",IF(H1755-1&lt;הגדרות!$E$8*(הגדרות!$E$7+1),INT((H1755-1)/(הגדרות!$E$7+1)),הגדרות!$E$8+INT((H1755-1-הגדרות!$E$8*(הגדרות!$E$7+1))/הגדרות!$E$7)))</f>
        <v/>
      </c>
      <c r="J1755" s="0" t="str">
        <f aca="false">IF(I1755="","",IF(H1755-1&lt;הגדרות!$E$8*(הגדרות!$E$7+1),MOD(H1755-1,הגדרות!$E$7+1),MOD(H1755-1-הגדרות!$E$8*(הגדרות!$E$7+1),הגדרות!$E$7)))</f>
        <v/>
      </c>
      <c r="K1755" s="0" t="str">
        <f aca="false">IF(I1755="","",J1755*הגדרות!$E$6+I1755+1)</f>
        <v/>
      </c>
      <c r="L1755" s="0" t="str">
        <f aca="false">IF(K1755="","",MATCH(K1755,$F$2:$F$5001,0))</f>
        <v/>
      </c>
      <c r="M1755" s="0" t="str">
        <f aca="false">IF(I1755="","",INDEX(הגדרות!$A$2:$A$21,MOD(I1755+הגדרות!$E$9,הגדרות!$E$6)+1))</f>
        <v/>
      </c>
    </row>
    <row r="1756" customFormat="false" ht="15" hidden="false" customHeight="false" outlineLevel="0" collapsed="false">
      <c r="A1756" s="0" t="str">
        <f aca="false">IF('הדבקת לידים'!A1756="","",IF(ISNUMBER('הדבקת לידים'!A1756),IF(הגדרות!$E$2&gt;0,TEXT('הדבקת לידים'!A1756,REPT("0",הגדרות!$E$2)),TEXT('הדבקת לידים'!A1756,"0")),TRIM('הדבקת לידים'!A1756)))</f>
        <v/>
      </c>
      <c r="B1756" s="0" t="str">
        <f aca="false">IF('הדבקת לידים'!B1756="","",IF(ISNUMBER('הדבקת לידים'!B1756),IF(הגדרות!$E$3&gt;0,TEXT('הדבקת לידים'!B1756,REPT("0",הגדרות!$E$3)),TEXT('הדבקת לידים'!B1756,"0")),TRIM('הדבקת לידים'!B1756)))</f>
        <v/>
      </c>
      <c r="C1756" s="0" t="n">
        <f aca="false">IF(OR(A1756&lt;&gt;"",B1756&lt;&gt;""),1,0)</f>
        <v>0</v>
      </c>
      <c r="D1756" s="0" t="str">
        <f aca="false">IF(C1756=1,MOD(ABS(SIN(ROW()*12.9898+'הדבקת לידים'!$F$2*78.233+IFERROR(--RIGHT(A1756,6),LEN(A1756))*0.0137+IFERROR(--RIGHT(B1756,6),LEN(B1756))*0.0071))*43758.5453,1),"")</f>
        <v/>
      </c>
      <c r="E1756" s="0" t="str">
        <f aca="false">IF(C1756=1,INT(MOD(ABS(SIN(D1756*7919.123+ROW()*0.618+'הדבקת לידים'!$F$2*1.3))*43758.5453,1)*1000000)*10000+ROW(),"")</f>
        <v/>
      </c>
      <c r="F1756" s="0" t="str">
        <f aca="false">IF(E1756="","",RANK(E1756,$E$2:$E$5001,1))</f>
        <v/>
      </c>
      <c r="G1756" s="0" t="n">
        <f aca="false">IF(A1756="",0,IF(SUMPRODUCT(--($A$2:$A$5001=A1756))&gt;1,1,0))</f>
        <v>0</v>
      </c>
      <c r="H1756" s="0" t="n">
        <f aca="false">ROW()-1</f>
        <v>1755</v>
      </c>
      <c r="I1756" s="0" t="str">
        <f aca="false">IF(OR(הגדרות!$E$6=0,H1756&gt;הגדרות!$E$5),"",IF(H1756-1&lt;הגדרות!$E$8*(הגדרות!$E$7+1),INT((H1756-1)/(הגדרות!$E$7+1)),הגדרות!$E$8+INT((H1756-1-הגדרות!$E$8*(הגדרות!$E$7+1))/הגדרות!$E$7)))</f>
        <v/>
      </c>
      <c r="J1756" s="0" t="str">
        <f aca="false">IF(I1756="","",IF(H1756-1&lt;הגדרות!$E$8*(הגדרות!$E$7+1),MOD(H1756-1,הגדרות!$E$7+1),MOD(H1756-1-הגדרות!$E$8*(הגדרות!$E$7+1),הגדרות!$E$7)))</f>
        <v/>
      </c>
      <c r="K1756" s="0" t="str">
        <f aca="false">IF(I1756="","",J1756*הגדרות!$E$6+I1756+1)</f>
        <v/>
      </c>
      <c r="L1756" s="0" t="str">
        <f aca="false">IF(K1756="","",MATCH(K1756,$F$2:$F$5001,0))</f>
        <v/>
      </c>
      <c r="M1756" s="0" t="str">
        <f aca="false">IF(I1756="","",INDEX(הגדרות!$A$2:$A$21,MOD(I1756+הגדרות!$E$9,הגדרות!$E$6)+1))</f>
        <v/>
      </c>
    </row>
    <row r="1757" customFormat="false" ht="15" hidden="false" customHeight="false" outlineLevel="0" collapsed="false">
      <c r="A1757" s="0" t="str">
        <f aca="false">IF('הדבקת לידים'!A1757="","",IF(ISNUMBER('הדבקת לידים'!A1757),IF(הגדרות!$E$2&gt;0,TEXT('הדבקת לידים'!A1757,REPT("0",הגדרות!$E$2)),TEXT('הדבקת לידים'!A1757,"0")),TRIM('הדבקת לידים'!A1757)))</f>
        <v/>
      </c>
      <c r="B1757" s="0" t="str">
        <f aca="false">IF('הדבקת לידים'!B1757="","",IF(ISNUMBER('הדבקת לידים'!B1757),IF(הגדרות!$E$3&gt;0,TEXT('הדבקת לידים'!B1757,REPT("0",הגדרות!$E$3)),TEXT('הדבקת לידים'!B1757,"0")),TRIM('הדבקת לידים'!B1757)))</f>
        <v/>
      </c>
      <c r="C1757" s="0" t="n">
        <f aca="false">IF(OR(A1757&lt;&gt;"",B1757&lt;&gt;""),1,0)</f>
        <v>0</v>
      </c>
      <c r="D1757" s="0" t="str">
        <f aca="false">IF(C1757=1,MOD(ABS(SIN(ROW()*12.9898+'הדבקת לידים'!$F$2*78.233+IFERROR(--RIGHT(A1757,6),LEN(A1757))*0.0137+IFERROR(--RIGHT(B1757,6),LEN(B1757))*0.0071))*43758.5453,1),"")</f>
        <v/>
      </c>
      <c r="E1757" s="0" t="str">
        <f aca="false">IF(C1757=1,INT(MOD(ABS(SIN(D1757*7919.123+ROW()*0.618+'הדבקת לידים'!$F$2*1.3))*43758.5453,1)*1000000)*10000+ROW(),"")</f>
        <v/>
      </c>
      <c r="F1757" s="0" t="str">
        <f aca="false">IF(E1757="","",RANK(E1757,$E$2:$E$5001,1))</f>
        <v/>
      </c>
      <c r="G1757" s="0" t="n">
        <f aca="false">IF(A1757="",0,IF(SUMPRODUCT(--($A$2:$A$5001=A1757))&gt;1,1,0))</f>
        <v>0</v>
      </c>
      <c r="H1757" s="0" t="n">
        <f aca="false">ROW()-1</f>
        <v>1756</v>
      </c>
      <c r="I1757" s="0" t="str">
        <f aca="false">IF(OR(הגדרות!$E$6=0,H1757&gt;הגדרות!$E$5),"",IF(H1757-1&lt;הגדרות!$E$8*(הגדרות!$E$7+1),INT((H1757-1)/(הגדרות!$E$7+1)),הגדרות!$E$8+INT((H1757-1-הגדרות!$E$8*(הגדרות!$E$7+1))/הגדרות!$E$7)))</f>
        <v/>
      </c>
      <c r="J1757" s="0" t="str">
        <f aca="false">IF(I1757="","",IF(H1757-1&lt;הגדרות!$E$8*(הגדרות!$E$7+1),MOD(H1757-1,הגדרות!$E$7+1),MOD(H1757-1-הגדרות!$E$8*(הגדרות!$E$7+1),הגדרות!$E$7)))</f>
        <v/>
      </c>
      <c r="K1757" s="0" t="str">
        <f aca="false">IF(I1757="","",J1757*הגדרות!$E$6+I1757+1)</f>
        <v/>
      </c>
      <c r="L1757" s="0" t="str">
        <f aca="false">IF(K1757="","",MATCH(K1757,$F$2:$F$5001,0))</f>
        <v/>
      </c>
      <c r="M1757" s="0" t="str">
        <f aca="false">IF(I1757="","",INDEX(הגדרות!$A$2:$A$21,MOD(I1757+הגדרות!$E$9,הגדרות!$E$6)+1))</f>
        <v/>
      </c>
    </row>
    <row r="1758" customFormat="false" ht="15" hidden="false" customHeight="false" outlineLevel="0" collapsed="false">
      <c r="A1758" s="0" t="str">
        <f aca="false">IF('הדבקת לידים'!A1758="","",IF(ISNUMBER('הדבקת לידים'!A1758),IF(הגדרות!$E$2&gt;0,TEXT('הדבקת לידים'!A1758,REPT("0",הגדרות!$E$2)),TEXT('הדבקת לידים'!A1758,"0")),TRIM('הדבקת לידים'!A1758)))</f>
        <v/>
      </c>
      <c r="B1758" s="0" t="str">
        <f aca="false">IF('הדבקת לידים'!B1758="","",IF(ISNUMBER('הדבקת לידים'!B1758),IF(הגדרות!$E$3&gt;0,TEXT('הדבקת לידים'!B1758,REPT("0",הגדרות!$E$3)),TEXT('הדבקת לידים'!B1758,"0")),TRIM('הדבקת לידים'!B1758)))</f>
        <v/>
      </c>
      <c r="C1758" s="0" t="n">
        <f aca="false">IF(OR(A1758&lt;&gt;"",B1758&lt;&gt;""),1,0)</f>
        <v>0</v>
      </c>
      <c r="D1758" s="0" t="str">
        <f aca="false">IF(C1758=1,MOD(ABS(SIN(ROW()*12.9898+'הדבקת לידים'!$F$2*78.233+IFERROR(--RIGHT(A1758,6),LEN(A1758))*0.0137+IFERROR(--RIGHT(B1758,6),LEN(B1758))*0.0071))*43758.5453,1),"")</f>
        <v/>
      </c>
      <c r="E1758" s="0" t="str">
        <f aca="false">IF(C1758=1,INT(MOD(ABS(SIN(D1758*7919.123+ROW()*0.618+'הדבקת לידים'!$F$2*1.3))*43758.5453,1)*1000000)*10000+ROW(),"")</f>
        <v/>
      </c>
      <c r="F1758" s="0" t="str">
        <f aca="false">IF(E1758="","",RANK(E1758,$E$2:$E$5001,1))</f>
        <v/>
      </c>
      <c r="G1758" s="0" t="n">
        <f aca="false">IF(A1758="",0,IF(SUMPRODUCT(--($A$2:$A$5001=A1758))&gt;1,1,0))</f>
        <v>0</v>
      </c>
      <c r="H1758" s="0" t="n">
        <f aca="false">ROW()-1</f>
        <v>1757</v>
      </c>
      <c r="I1758" s="0" t="str">
        <f aca="false">IF(OR(הגדרות!$E$6=0,H1758&gt;הגדרות!$E$5),"",IF(H1758-1&lt;הגדרות!$E$8*(הגדרות!$E$7+1),INT((H1758-1)/(הגדרות!$E$7+1)),הגדרות!$E$8+INT((H1758-1-הגדרות!$E$8*(הגדרות!$E$7+1))/הגדרות!$E$7)))</f>
        <v/>
      </c>
      <c r="J1758" s="0" t="str">
        <f aca="false">IF(I1758="","",IF(H1758-1&lt;הגדרות!$E$8*(הגדרות!$E$7+1),MOD(H1758-1,הגדרות!$E$7+1),MOD(H1758-1-הגדרות!$E$8*(הגדרות!$E$7+1),הגדרות!$E$7)))</f>
        <v/>
      </c>
      <c r="K1758" s="0" t="str">
        <f aca="false">IF(I1758="","",J1758*הגדרות!$E$6+I1758+1)</f>
        <v/>
      </c>
      <c r="L1758" s="0" t="str">
        <f aca="false">IF(K1758="","",MATCH(K1758,$F$2:$F$5001,0))</f>
        <v/>
      </c>
      <c r="M1758" s="0" t="str">
        <f aca="false">IF(I1758="","",INDEX(הגדרות!$A$2:$A$21,MOD(I1758+הגדרות!$E$9,הגדרות!$E$6)+1))</f>
        <v/>
      </c>
    </row>
    <row r="1759" customFormat="false" ht="15" hidden="false" customHeight="false" outlineLevel="0" collapsed="false">
      <c r="A1759" s="0" t="str">
        <f aca="false">IF('הדבקת לידים'!A1759="","",IF(ISNUMBER('הדבקת לידים'!A1759),IF(הגדרות!$E$2&gt;0,TEXT('הדבקת לידים'!A1759,REPT("0",הגדרות!$E$2)),TEXT('הדבקת לידים'!A1759,"0")),TRIM('הדבקת לידים'!A1759)))</f>
        <v/>
      </c>
      <c r="B1759" s="0" t="str">
        <f aca="false">IF('הדבקת לידים'!B1759="","",IF(ISNUMBER('הדבקת לידים'!B1759),IF(הגדרות!$E$3&gt;0,TEXT('הדבקת לידים'!B1759,REPT("0",הגדרות!$E$3)),TEXT('הדבקת לידים'!B1759,"0")),TRIM('הדבקת לידים'!B1759)))</f>
        <v/>
      </c>
      <c r="C1759" s="0" t="n">
        <f aca="false">IF(OR(A1759&lt;&gt;"",B1759&lt;&gt;""),1,0)</f>
        <v>0</v>
      </c>
      <c r="D1759" s="0" t="str">
        <f aca="false">IF(C1759=1,MOD(ABS(SIN(ROW()*12.9898+'הדבקת לידים'!$F$2*78.233+IFERROR(--RIGHT(A1759,6),LEN(A1759))*0.0137+IFERROR(--RIGHT(B1759,6),LEN(B1759))*0.0071))*43758.5453,1),"")</f>
        <v/>
      </c>
      <c r="E1759" s="0" t="str">
        <f aca="false">IF(C1759=1,INT(MOD(ABS(SIN(D1759*7919.123+ROW()*0.618+'הדבקת לידים'!$F$2*1.3))*43758.5453,1)*1000000)*10000+ROW(),"")</f>
        <v/>
      </c>
      <c r="F1759" s="0" t="str">
        <f aca="false">IF(E1759="","",RANK(E1759,$E$2:$E$5001,1))</f>
        <v/>
      </c>
      <c r="G1759" s="0" t="n">
        <f aca="false">IF(A1759="",0,IF(SUMPRODUCT(--($A$2:$A$5001=A1759))&gt;1,1,0))</f>
        <v>0</v>
      </c>
      <c r="H1759" s="0" t="n">
        <f aca="false">ROW()-1</f>
        <v>1758</v>
      </c>
      <c r="I1759" s="0" t="str">
        <f aca="false">IF(OR(הגדרות!$E$6=0,H1759&gt;הגדרות!$E$5),"",IF(H1759-1&lt;הגדרות!$E$8*(הגדרות!$E$7+1),INT((H1759-1)/(הגדרות!$E$7+1)),הגדרות!$E$8+INT((H1759-1-הגדרות!$E$8*(הגדרות!$E$7+1))/הגדרות!$E$7)))</f>
        <v/>
      </c>
      <c r="J1759" s="0" t="str">
        <f aca="false">IF(I1759="","",IF(H1759-1&lt;הגדרות!$E$8*(הגדרות!$E$7+1),MOD(H1759-1,הגדרות!$E$7+1),MOD(H1759-1-הגדרות!$E$8*(הגדרות!$E$7+1),הגדרות!$E$7)))</f>
        <v/>
      </c>
      <c r="K1759" s="0" t="str">
        <f aca="false">IF(I1759="","",J1759*הגדרות!$E$6+I1759+1)</f>
        <v/>
      </c>
      <c r="L1759" s="0" t="str">
        <f aca="false">IF(K1759="","",MATCH(K1759,$F$2:$F$5001,0))</f>
        <v/>
      </c>
      <c r="M1759" s="0" t="str">
        <f aca="false">IF(I1759="","",INDEX(הגדרות!$A$2:$A$21,MOD(I1759+הגדרות!$E$9,הגדרות!$E$6)+1))</f>
        <v/>
      </c>
    </row>
    <row r="1760" customFormat="false" ht="15" hidden="false" customHeight="false" outlineLevel="0" collapsed="false">
      <c r="A1760" s="0" t="str">
        <f aca="false">IF('הדבקת לידים'!A1760="","",IF(ISNUMBER('הדבקת לידים'!A1760),IF(הגדרות!$E$2&gt;0,TEXT('הדבקת לידים'!A1760,REPT("0",הגדרות!$E$2)),TEXT('הדבקת לידים'!A1760,"0")),TRIM('הדבקת לידים'!A1760)))</f>
        <v/>
      </c>
      <c r="B1760" s="0" t="str">
        <f aca="false">IF('הדבקת לידים'!B1760="","",IF(ISNUMBER('הדבקת לידים'!B1760),IF(הגדרות!$E$3&gt;0,TEXT('הדבקת לידים'!B1760,REPT("0",הגדרות!$E$3)),TEXT('הדבקת לידים'!B1760,"0")),TRIM('הדבקת לידים'!B1760)))</f>
        <v/>
      </c>
      <c r="C1760" s="0" t="n">
        <f aca="false">IF(OR(A1760&lt;&gt;"",B1760&lt;&gt;""),1,0)</f>
        <v>0</v>
      </c>
      <c r="D1760" s="0" t="str">
        <f aca="false">IF(C1760=1,MOD(ABS(SIN(ROW()*12.9898+'הדבקת לידים'!$F$2*78.233+IFERROR(--RIGHT(A1760,6),LEN(A1760))*0.0137+IFERROR(--RIGHT(B1760,6),LEN(B1760))*0.0071))*43758.5453,1),"")</f>
        <v/>
      </c>
      <c r="E1760" s="0" t="str">
        <f aca="false">IF(C1760=1,INT(MOD(ABS(SIN(D1760*7919.123+ROW()*0.618+'הדבקת לידים'!$F$2*1.3))*43758.5453,1)*1000000)*10000+ROW(),"")</f>
        <v/>
      </c>
      <c r="F1760" s="0" t="str">
        <f aca="false">IF(E1760="","",RANK(E1760,$E$2:$E$5001,1))</f>
        <v/>
      </c>
      <c r="G1760" s="0" t="n">
        <f aca="false">IF(A1760="",0,IF(SUMPRODUCT(--($A$2:$A$5001=A1760))&gt;1,1,0))</f>
        <v>0</v>
      </c>
      <c r="H1760" s="0" t="n">
        <f aca="false">ROW()-1</f>
        <v>1759</v>
      </c>
      <c r="I1760" s="0" t="str">
        <f aca="false">IF(OR(הגדרות!$E$6=0,H1760&gt;הגדרות!$E$5),"",IF(H1760-1&lt;הגדרות!$E$8*(הגדרות!$E$7+1),INT((H1760-1)/(הגדרות!$E$7+1)),הגדרות!$E$8+INT((H1760-1-הגדרות!$E$8*(הגדרות!$E$7+1))/הגדרות!$E$7)))</f>
        <v/>
      </c>
      <c r="J1760" s="0" t="str">
        <f aca="false">IF(I1760="","",IF(H1760-1&lt;הגדרות!$E$8*(הגדרות!$E$7+1),MOD(H1760-1,הגדרות!$E$7+1),MOD(H1760-1-הגדרות!$E$8*(הגדרות!$E$7+1),הגדרות!$E$7)))</f>
        <v/>
      </c>
      <c r="K1760" s="0" t="str">
        <f aca="false">IF(I1760="","",J1760*הגדרות!$E$6+I1760+1)</f>
        <v/>
      </c>
      <c r="L1760" s="0" t="str">
        <f aca="false">IF(K1760="","",MATCH(K1760,$F$2:$F$5001,0))</f>
        <v/>
      </c>
      <c r="M1760" s="0" t="str">
        <f aca="false">IF(I1760="","",INDEX(הגדרות!$A$2:$A$21,MOD(I1760+הגדרות!$E$9,הגדרות!$E$6)+1))</f>
        <v/>
      </c>
    </row>
    <row r="1761" customFormat="false" ht="15" hidden="false" customHeight="false" outlineLevel="0" collapsed="false">
      <c r="A1761" s="0" t="str">
        <f aca="false">IF('הדבקת לידים'!A1761="","",IF(ISNUMBER('הדבקת לידים'!A1761),IF(הגדרות!$E$2&gt;0,TEXT('הדבקת לידים'!A1761,REPT("0",הגדרות!$E$2)),TEXT('הדבקת לידים'!A1761,"0")),TRIM('הדבקת לידים'!A1761)))</f>
        <v/>
      </c>
      <c r="B1761" s="0" t="str">
        <f aca="false">IF('הדבקת לידים'!B1761="","",IF(ISNUMBER('הדבקת לידים'!B1761),IF(הגדרות!$E$3&gt;0,TEXT('הדבקת לידים'!B1761,REPT("0",הגדרות!$E$3)),TEXT('הדבקת לידים'!B1761,"0")),TRIM('הדבקת לידים'!B1761)))</f>
        <v/>
      </c>
      <c r="C1761" s="0" t="n">
        <f aca="false">IF(OR(A1761&lt;&gt;"",B1761&lt;&gt;""),1,0)</f>
        <v>0</v>
      </c>
      <c r="D1761" s="0" t="str">
        <f aca="false">IF(C1761=1,MOD(ABS(SIN(ROW()*12.9898+'הדבקת לידים'!$F$2*78.233+IFERROR(--RIGHT(A1761,6),LEN(A1761))*0.0137+IFERROR(--RIGHT(B1761,6),LEN(B1761))*0.0071))*43758.5453,1),"")</f>
        <v/>
      </c>
      <c r="E1761" s="0" t="str">
        <f aca="false">IF(C1761=1,INT(MOD(ABS(SIN(D1761*7919.123+ROW()*0.618+'הדבקת לידים'!$F$2*1.3))*43758.5453,1)*1000000)*10000+ROW(),"")</f>
        <v/>
      </c>
      <c r="F1761" s="0" t="str">
        <f aca="false">IF(E1761="","",RANK(E1761,$E$2:$E$5001,1))</f>
        <v/>
      </c>
      <c r="G1761" s="0" t="n">
        <f aca="false">IF(A1761="",0,IF(SUMPRODUCT(--($A$2:$A$5001=A1761))&gt;1,1,0))</f>
        <v>0</v>
      </c>
      <c r="H1761" s="0" t="n">
        <f aca="false">ROW()-1</f>
        <v>1760</v>
      </c>
      <c r="I1761" s="0" t="str">
        <f aca="false">IF(OR(הגדרות!$E$6=0,H1761&gt;הגדרות!$E$5),"",IF(H1761-1&lt;הגדרות!$E$8*(הגדרות!$E$7+1),INT((H1761-1)/(הגדרות!$E$7+1)),הגדרות!$E$8+INT((H1761-1-הגדרות!$E$8*(הגדרות!$E$7+1))/הגדרות!$E$7)))</f>
        <v/>
      </c>
      <c r="J1761" s="0" t="str">
        <f aca="false">IF(I1761="","",IF(H1761-1&lt;הגדרות!$E$8*(הגדרות!$E$7+1),MOD(H1761-1,הגדרות!$E$7+1),MOD(H1761-1-הגדרות!$E$8*(הגדרות!$E$7+1),הגדרות!$E$7)))</f>
        <v/>
      </c>
      <c r="K1761" s="0" t="str">
        <f aca="false">IF(I1761="","",J1761*הגדרות!$E$6+I1761+1)</f>
        <v/>
      </c>
      <c r="L1761" s="0" t="str">
        <f aca="false">IF(K1761="","",MATCH(K1761,$F$2:$F$5001,0))</f>
        <v/>
      </c>
      <c r="M1761" s="0" t="str">
        <f aca="false">IF(I1761="","",INDEX(הגדרות!$A$2:$A$21,MOD(I1761+הגדרות!$E$9,הגדרות!$E$6)+1))</f>
        <v/>
      </c>
    </row>
    <row r="1762" customFormat="false" ht="15" hidden="false" customHeight="false" outlineLevel="0" collapsed="false">
      <c r="A1762" s="0" t="str">
        <f aca="false">IF('הדבקת לידים'!A1762="","",IF(ISNUMBER('הדבקת לידים'!A1762),IF(הגדרות!$E$2&gt;0,TEXT('הדבקת לידים'!A1762,REPT("0",הגדרות!$E$2)),TEXT('הדבקת לידים'!A1762,"0")),TRIM('הדבקת לידים'!A1762)))</f>
        <v/>
      </c>
      <c r="B1762" s="0" t="str">
        <f aca="false">IF('הדבקת לידים'!B1762="","",IF(ISNUMBER('הדבקת לידים'!B1762),IF(הגדרות!$E$3&gt;0,TEXT('הדבקת לידים'!B1762,REPT("0",הגדרות!$E$3)),TEXT('הדבקת לידים'!B1762,"0")),TRIM('הדבקת לידים'!B1762)))</f>
        <v/>
      </c>
      <c r="C1762" s="0" t="n">
        <f aca="false">IF(OR(A1762&lt;&gt;"",B1762&lt;&gt;""),1,0)</f>
        <v>0</v>
      </c>
      <c r="D1762" s="0" t="str">
        <f aca="false">IF(C1762=1,MOD(ABS(SIN(ROW()*12.9898+'הדבקת לידים'!$F$2*78.233+IFERROR(--RIGHT(A1762,6),LEN(A1762))*0.0137+IFERROR(--RIGHT(B1762,6),LEN(B1762))*0.0071))*43758.5453,1),"")</f>
        <v/>
      </c>
      <c r="E1762" s="0" t="str">
        <f aca="false">IF(C1762=1,INT(MOD(ABS(SIN(D1762*7919.123+ROW()*0.618+'הדבקת לידים'!$F$2*1.3))*43758.5453,1)*1000000)*10000+ROW(),"")</f>
        <v/>
      </c>
      <c r="F1762" s="0" t="str">
        <f aca="false">IF(E1762="","",RANK(E1762,$E$2:$E$5001,1))</f>
        <v/>
      </c>
      <c r="G1762" s="0" t="n">
        <f aca="false">IF(A1762="",0,IF(SUMPRODUCT(--($A$2:$A$5001=A1762))&gt;1,1,0))</f>
        <v>0</v>
      </c>
      <c r="H1762" s="0" t="n">
        <f aca="false">ROW()-1</f>
        <v>1761</v>
      </c>
      <c r="I1762" s="0" t="str">
        <f aca="false">IF(OR(הגדרות!$E$6=0,H1762&gt;הגדרות!$E$5),"",IF(H1762-1&lt;הגדרות!$E$8*(הגדרות!$E$7+1),INT((H1762-1)/(הגדרות!$E$7+1)),הגדרות!$E$8+INT((H1762-1-הגדרות!$E$8*(הגדרות!$E$7+1))/הגדרות!$E$7)))</f>
        <v/>
      </c>
      <c r="J1762" s="0" t="str">
        <f aca="false">IF(I1762="","",IF(H1762-1&lt;הגדרות!$E$8*(הגדרות!$E$7+1),MOD(H1762-1,הגדרות!$E$7+1),MOD(H1762-1-הגדרות!$E$8*(הגדרות!$E$7+1),הגדרות!$E$7)))</f>
        <v/>
      </c>
      <c r="K1762" s="0" t="str">
        <f aca="false">IF(I1762="","",J1762*הגדרות!$E$6+I1762+1)</f>
        <v/>
      </c>
      <c r="L1762" s="0" t="str">
        <f aca="false">IF(K1762="","",MATCH(K1762,$F$2:$F$5001,0))</f>
        <v/>
      </c>
      <c r="M1762" s="0" t="str">
        <f aca="false">IF(I1762="","",INDEX(הגדרות!$A$2:$A$21,MOD(I1762+הגדרות!$E$9,הגדרות!$E$6)+1))</f>
        <v/>
      </c>
    </row>
    <row r="1763" customFormat="false" ht="15" hidden="false" customHeight="false" outlineLevel="0" collapsed="false">
      <c r="A1763" s="0" t="str">
        <f aca="false">IF('הדבקת לידים'!A1763="","",IF(ISNUMBER('הדבקת לידים'!A1763),IF(הגדרות!$E$2&gt;0,TEXT('הדבקת לידים'!A1763,REPT("0",הגדרות!$E$2)),TEXT('הדבקת לידים'!A1763,"0")),TRIM('הדבקת לידים'!A1763)))</f>
        <v/>
      </c>
      <c r="B1763" s="0" t="str">
        <f aca="false">IF('הדבקת לידים'!B1763="","",IF(ISNUMBER('הדבקת לידים'!B1763),IF(הגדרות!$E$3&gt;0,TEXT('הדבקת לידים'!B1763,REPT("0",הגדרות!$E$3)),TEXT('הדבקת לידים'!B1763,"0")),TRIM('הדבקת לידים'!B1763)))</f>
        <v/>
      </c>
      <c r="C1763" s="0" t="n">
        <f aca="false">IF(OR(A1763&lt;&gt;"",B1763&lt;&gt;""),1,0)</f>
        <v>0</v>
      </c>
      <c r="D1763" s="0" t="str">
        <f aca="false">IF(C1763=1,MOD(ABS(SIN(ROW()*12.9898+'הדבקת לידים'!$F$2*78.233+IFERROR(--RIGHT(A1763,6),LEN(A1763))*0.0137+IFERROR(--RIGHT(B1763,6),LEN(B1763))*0.0071))*43758.5453,1),"")</f>
        <v/>
      </c>
      <c r="E1763" s="0" t="str">
        <f aca="false">IF(C1763=1,INT(MOD(ABS(SIN(D1763*7919.123+ROW()*0.618+'הדבקת לידים'!$F$2*1.3))*43758.5453,1)*1000000)*10000+ROW(),"")</f>
        <v/>
      </c>
      <c r="F1763" s="0" t="str">
        <f aca="false">IF(E1763="","",RANK(E1763,$E$2:$E$5001,1))</f>
        <v/>
      </c>
      <c r="G1763" s="0" t="n">
        <f aca="false">IF(A1763="",0,IF(SUMPRODUCT(--($A$2:$A$5001=A1763))&gt;1,1,0))</f>
        <v>0</v>
      </c>
      <c r="H1763" s="0" t="n">
        <f aca="false">ROW()-1</f>
        <v>1762</v>
      </c>
      <c r="I1763" s="0" t="str">
        <f aca="false">IF(OR(הגדרות!$E$6=0,H1763&gt;הגדרות!$E$5),"",IF(H1763-1&lt;הגדרות!$E$8*(הגדרות!$E$7+1),INT((H1763-1)/(הגדרות!$E$7+1)),הגדרות!$E$8+INT((H1763-1-הגדרות!$E$8*(הגדרות!$E$7+1))/הגדרות!$E$7)))</f>
        <v/>
      </c>
      <c r="J1763" s="0" t="str">
        <f aca="false">IF(I1763="","",IF(H1763-1&lt;הגדרות!$E$8*(הגדרות!$E$7+1),MOD(H1763-1,הגדרות!$E$7+1),MOD(H1763-1-הגדרות!$E$8*(הגדרות!$E$7+1),הגדרות!$E$7)))</f>
        <v/>
      </c>
      <c r="K1763" s="0" t="str">
        <f aca="false">IF(I1763="","",J1763*הגדרות!$E$6+I1763+1)</f>
        <v/>
      </c>
      <c r="L1763" s="0" t="str">
        <f aca="false">IF(K1763="","",MATCH(K1763,$F$2:$F$5001,0))</f>
        <v/>
      </c>
      <c r="M1763" s="0" t="str">
        <f aca="false">IF(I1763="","",INDEX(הגדרות!$A$2:$A$21,MOD(I1763+הגדרות!$E$9,הגדרות!$E$6)+1))</f>
        <v/>
      </c>
    </row>
    <row r="1764" customFormat="false" ht="15" hidden="false" customHeight="false" outlineLevel="0" collapsed="false">
      <c r="A1764" s="0" t="str">
        <f aca="false">IF('הדבקת לידים'!A1764="","",IF(ISNUMBER('הדבקת לידים'!A1764),IF(הגדרות!$E$2&gt;0,TEXT('הדבקת לידים'!A1764,REPT("0",הגדרות!$E$2)),TEXT('הדבקת לידים'!A1764,"0")),TRIM('הדבקת לידים'!A1764)))</f>
        <v/>
      </c>
      <c r="B1764" s="0" t="str">
        <f aca="false">IF('הדבקת לידים'!B1764="","",IF(ISNUMBER('הדבקת לידים'!B1764),IF(הגדרות!$E$3&gt;0,TEXT('הדבקת לידים'!B1764,REPT("0",הגדרות!$E$3)),TEXT('הדבקת לידים'!B1764,"0")),TRIM('הדבקת לידים'!B1764)))</f>
        <v/>
      </c>
      <c r="C1764" s="0" t="n">
        <f aca="false">IF(OR(A1764&lt;&gt;"",B1764&lt;&gt;""),1,0)</f>
        <v>0</v>
      </c>
      <c r="D1764" s="0" t="str">
        <f aca="false">IF(C1764=1,MOD(ABS(SIN(ROW()*12.9898+'הדבקת לידים'!$F$2*78.233+IFERROR(--RIGHT(A1764,6),LEN(A1764))*0.0137+IFERROR(--RIGHT(B1764,6),LEN(B1764))*0.0071))*43758.5453,1),"")</f>
        <v/>
      </c>
      <c r="E1764" s="0" t="str">
        <f aca="false">IF(C1764=1,INT(MOD(ABS(SIN(D1764*7919.123+ROW()*0.618+'הדבקת לידים'!$F$2*1.3))*43758.5453,1)*1000000)*10000+ROW(),"")</f>
        <v/>
      </c>
      <c r="F1764" s="0" t="str">
        <f aca="false">IF(E1764="","",RANK(E1764,$E$2:$E$5001,1))</f>
        <v/>
      </c>
      <c r="G1764" s="0" t="n">
        <f aca="false">IF(A1764="",0,IF(SUMPRODUCT(--($A$2:$A$5001=A1764))&gt;1,1,0))</f>
        <v>0</v>
      </c>
      <c r="H1764" s="0" t="n">
        <f aca="false">ROW()-1</f>
        <v>1763</v>
      </c>
      <c r="I1764" s="0" t="str">
        <f aca="false">IF(OR(הגדרות!$E$6=0,H1764&gt;הגדרות!$E$5),"",IF(H1764-1&lt;הגדרות!$E$8*(הגדרות!$E$7+1),INT((H1764-1)/(הגדרות!$E$7+1)),הגדרות!$E$8+INT((H1764-1-הגדרות!$E$8*(הגדרות!$E$7+1))/הגדרות!$E$7)))</f>
        <v/>
      </c>
      <c r="J1764" s="0" t="str">
        <f aca="false">IF(I1764="","",IF(H1764-1&lt;הגדרות!$E$8*(הגדרות!$E$7+1),MOD(H1764-1,הגדרות!$E$7+1),MOD(H1764-1-הגדרות!$E$8*(הגדרות!$E$7+1),הגדרות!$E$7)))</f>
        <v/>
      </c>
      <c r="K1764" s="0" t="str">
        <f aca="false">IF(I1764="","",J1764*הגדרות!$E$6+I1764+1)</f>
        <v/>
      </c>
      <c r="L1764" s="0" t="str">
        <f aca="false">IF(K1764="","",MATCH(K1764,$F$2:$F$5001,0))</f>
        <v/>
      </c>
      <c r="M1764" s="0" t="str">
        <f aca="false">IF(I1764="","",INDEX(הגדרות!$A$2:$A$21,MOD(I1764+הגדרות!$E$9,הגדרות!$E$6)+1))</f>
        <v/>
      </c>
    </row>
    <row r="1765" customFormat="false" ht="15" hidden="false" customHeight="false" outlineLevel="0" collapsed="false">
      <c r="A1765" s="0" t="str">
        <f aca="false">IF('הדבקת לידים'!A1765="","",IF(ISNUMBER('הדבקת לידים'!A1765),IF(הגדרות!$E$2&gt;0,TEXT('הדבקת לידים'!A1765,REPT("0",הגדרות!$E$2)),TEXT('הדבקת לידים'!A1765,"0")),TRIM('הדבקת לידים'!A1765)))</f>
        <v/>
      </c>
      <c r="B1765" s="0" t="str">
        <f aca="false">IF('הדבקת לידים'!B1765="","",IF(ISNUMBER('הדבקת לידים'!B1765),IF(הגדרות!$E$3&gt;0,TEXT('הדבקת לידים'!B1765,REPT("0",הגדרות!$E$3)),TEXT('הדבקת לידים'!B1765,"0")),TRIM('הדבקת לידים'!B1765)))</f>
        <v/>
      </c>
      <c r="C1765" s="0" t="n">
        <f aca="false">IF(OR(A1765&lt;&gt;"",B1765&lt;&gt;""),1,0)</f>
        <v>0</v>
      </c>
      <c r="D1765" s="0" t="str">
        <f aca="false">IF(C1765=1,MOD(ABS(SIN(ROW()*12.9898+'הדבקת לידים'!$F$2*78.233+IFERROR(--RIGHT(A1765,6),LEN(A1765))*0.0137+IFERROR(--RIGHT(B1765,6),LEN(B1765))*0.0071))*43758.5453,1),"")</f>
        <v/>
      </c>
      <c r="E1765" s="0" t="str">
        <f aca="false">IF(C1765=1,INT(MOD(ABS(SIN(D1765*7919.123+ROW()*0.618+'הדבקת לידים'!$F$2*1.3))*43758.5453,1)*1000000)*10000+ROW(),"")</f>
        <v/>
      </c>
      <c r="F1765" s="0" t="str">
        <f aca="false">IF(E1765="","",RANK(E1765,$E$2:$E$5001,1))</f>
        <v/>
      </c>
      <c r="G1765" s="0" t="n">
        <f aca="false">IF(A1765="",0,IF(SUMPRODUCT(--($A$2:$A$5001=A1765))&gt;1,1,0))</f>
        <v>0</v>
      </c>
      <c r="H1765" s="0" t="n">
        <f aca="false">ROW()-1</f>
        <v>1764</v>
      </c>
      <c r="I1765" s="0" t="str">
        <f aca="false">IF(OR(הגדרות!$E$6=0,H1765&gt;הגדרות!$E$5),"",IF(H1765-1&lt;הגדרות!$E$8*(הגדרות!$E$7+1),INT((H1765-1)/(הגדרות!$E$7+1)),הגדרות!$E$8+INT((H1765-1-הגדרות!$E$8*(הגדרות!$E$7+1))/הגדרות!$E$7)))</f>
        <v/>
      </c>
      <c r="J1765" s="0" t="str">
        <f aca="false">IF(I1765="","",IF(H1765-1&lt;הגדרות!$E$8*(הגדרות!$E$7+1),MOD(H1765-1,הגדרות!$E$7+1),MOD(H1765-1-הגדרות!$E$8*(הגדרות!$E$7+1),הגדרות!$E$7)))</f>
        <v/>
      </c>
      <c r="K1765" s="0" t="str">
        <f aca="false">IF(I1765="","",J1765*הגדרות!$E$6+I1765+1)</f>
        <v/>
      </c>
      <c r="L1765" s="0" t="str">
        <f aca="false">IF(K1765="","",MATCH(K1765,$F$2:$F$5001,0))</f>
        <v/>
      </c>
      <c r="M1765" s="0" t="str">
        <f aca="false">IF(I1765="","",INDEX(הגדרות!$A$2:$A$21,MOD(I1765+הגדרות!$E$9,הגדרות!$E$6)+1))</f>
        <v/>
      </c>
    </row>
    <row r="1766" customFormat="false" ht="15" hidden="false" customHeight="false" outlineLevel="0" collapsed="false">
      <c r="A1766" s="0" t="str">
        <f aca="false">IF('הדבקת לידים'!A1766="","",IF(ISNUMBER('הדבקת לידים'!A1766),IF(הגדרות!$E$2&gt;0,TEXT('הדבקת לידים'!A1766,REPT("0",הגדרות!$E$2)),TEXT('הדבקת לידים'!A1766,"0")),TRIM('הדבקת לידים'!A1766)))</f>
        <v/>
      </c>
      <c r="B1766" s="0" t="str">
        <f aca="false">IF('הדבקת לידים'!B1766="","",IF(ISNUMBER('הדבקת לידים'!B1766),IF(הגדרות!$E$3&gt;0,TEXT('הדבקת לידים'!B1766,REPT("0",הגדרות!$E$3)),TEXT('הדבקת לידים'!B1766,"0")),TRIM('הדבקת לידים'!B1766)))</f>
        <v/>
      </c>
      <c r="C1766" s="0" t="n">
        <f aca="false">IF(OR(A1766&lt;&gt;"",B1766&lt;&gt;""),1,0)</f>
        <v>0</v>
      </c>
      <c r="D1766" s="0" t="str">
        <f aca="false">IF(C1766=1,MOD(ABS(SIN(ROW()*12.9898+'הדבקת לידים'!$F$2*78.233+IFERROR(--RIGHT(A1766,6),LEN(A1766))*0.0137+IFERROR(--RIGHT(B1766,6),LEN(B1766))*0.0071))*43758.5453,1),"")</f>
        <v/>
      </c>
      <c r="E1766" s="0" t="str">
        <f aca="false">IF(C1766=1,INT(MOD(ABS(SIN(D1766*7919.123+ROW()*0.618+'הדבקת לידים'!$F$2*1.3))*43758.5453,1)*1000000)*10000+ROW(),"")</f>
        <v/>
      </c>
      <c r="F1766" s="0" t="str">
        <f aca="false">IF(E1766="","",RANK(E1766,$E$2:$E$5001,1))</f>
        <v/>
      </c>
      <c r="G1766" s="0" t="n">
        <f aca="false">IF(A1766="",0,IF(SUMPRODUCT(--($A$2:$A$5001=A1766))&gt;1,1,0))</f>
        <v>0</v>
      </c>
      <c r="H1766" s="0" t="n">
        <f aca="false">ROW()-1</f>
        <v>1765</v>
      </c>
      <c r="I1766" s="0" t="str">
        <f aca="false">IF(OR(הגדרות!$E$6=0,H1766&gt;הגדרות!$E$5),"",IF(H1766-1&lt;הגדרות!$E$8*(הגדרות!$E$7+1),INT((H1766-1)/(הגדרות!$E$7+1)),הגדרות!$E$8+INT((H1766-1-הגדרות!$E$8*(הגדרות!$E$7+1))/הגדרות!$E$7)))</f>
        <v/>
      </c>
      <c r="J1766" s="0" t="str">
        <f aca="false">IF(I1766="","",IF(H1766-1&lt;הגדרות!$E$8*(הגדרות!$E$7+1),MOD(H1766-1,הגדרות!$E$7+1),MOD(H1766-1-הגדרות!$E$8*(הגדרות!$E$7+1),הגדרות!$E$7)))</f>
        <v/>
      </c>
      <c r="K1766" s="0" t="str">
        <f aca="false">IF(I1766="","",J1766*הגדרות!$E$6+I1766+1)</f>
        <v/>
      </c>
      <c r="L1766" s="0" t="str">
        <f aca="false">IF(K1766="","",MATCH(K1766,$F$2:$F$5001,0))</f>
        <v/>
      </c>
      <c r="M1766" s="0" t="str">
        <f aca="false">IF(I1766="","",INDEX(הגדרות!$A$2:$A$21,MOD(I1766+הגדרות!$E$9,הגדרות!$E$6)+1))</f>
        <v/>
      </c>
    </row>
    <row r="1767" customFormat="false" ht="15" hidden="false" customHeight="false" outlineLevel="0" collapsed="false">
      <c r="A1767" s="0" t="str">
        <f aca="false">IF('הדבקת לידים'!A1767="","",IF(ISNUMBER('הדבקת לידים'!A1767),IF(הגדרות!$E$2&gt;0,TEXT('הדבקת לידים'!A1767,REPT("0",הגדרות!$E$2)),TEXT('הדבקת לידים'!A1767,"0")),TRIM('הדבקת לידים'!A1767)))</f>
        <v/>
      </c>
      <c r="B1767" s="0" t="str">
        <f aca="false">IF('הדבקת לידים'!B1767="","",IF(ISNUMBER('הדבקת לידים'!B1767),IF(הגדרות!$E$3&gt;0,TEXT('הדבקת לידים'!B1767,REPT("0",הגדרות!$E$3)),TEXT('הדבקת לידים'!B1767,"0")),TRIM('הדבקת לידים'!B1767)))</f>
        <v/>
      </c>
      <c r="C1767" s="0" t="n">
        <f aca="false">IF(OR(A1767&lt;&gt;"",B1767&lt;&gt;""),1,0)</f>
        <v>0</v>
      </c>
      <c r="D1767" s="0" t="str">
        <f aca="false">IF(C1767=1,MOD(ABS(SIN(ROW()*12.9898+'הדבקת לידים'!$F$2*78.233+IFERROR(--RIGHT(A1767,6),LEN(A1767))*0.0137+IFERROR(--RIGHT(B1767,6),LEN(B1767))*0.0071))*43758.5453,1),"")</f>
        <v/>
      </c>
      <c r="E1767" s="0" t="str">
        <f aca="false">IF(C1767=1,INT(MOD(ABS(SIN(D1767*7919.123+ROW()*0.618+'הדבקת לידים'!$F$2*1.3))*43758.5453,1)*1000000)*10000+ROW(),"")</f>
        <v/>
      </c>
      <c r="F1767" s="0" t="str">
        <f aca="false">IF(E1767="","",RANK(E1767,$E$2:$E$5001,1))</f>
        <v/>
      </c>
      <c r="G1767" s="0" t="n">
        <f aca="false">IF(A1767="",0,IF(SUMPRODUCT(--($A$2:$A$5001=A1767))&gt;1,1,0))</f>
        <v>0</v>
      </c>
      <c r="H1767" s="0" t="n">
        <f aca="false">ROW()-1</f>
        <v>1766</v>
      </c>
      <c r="I1767" s="0" t="str">
        <f aca="false">IF(OR(הגדרות!$E$6=0,H1767&gt;הגדרות!$E$5),"",IF(H1767-1&lt;הגדרות!$E$8*(הגדרות!$E$7+1),INT((H1767-1)/(הגדרות!$E$7+1)),הגדרות!$E$8+INT((H1767-1-הגדרות!$E$8*(הגדרות!$E$7+1))/הגדרות!$E$7)))</f>
        <v/>
      </c>
      <c r="J1767" s="0" t="str">
        <f aca="false">IF(I1767="","",IF(H1767-1&lt;הגדרות!$E$8*(הגדרות!$E$7+1),MOD(H1767-1,הגדרות!$E$7+1),MOD(H1767-1-הגדרות!$E$8*(הגדרות!$E$7+1),הגדרות!$E$7)))</f>
        <v/>
      </c>
      <c r="K1767" s="0" t="str">
        <f aca="false">IF(I1767="","",J1767*הגדרות!$E$6+I1767+1)</f>
        <v/>
      </c>
      <c r="L1767" s="0" t="str">
        <f aca="false">IF(K1767="","",MATCH(K1767,$F$2:$F$5001,0))</f>
        <v/>
      </c>
      <c r="M1767" s="0" t="str">
        <f aca="false">IF(I1767="","",INDEX(הגדרות!$A$2:$A$21,MOD(I1767+הגדרות!$E$9,הגדרות!$E$6)+1))</f>
        <v/>
      </c>
    </row>
    <row r="1768" customFormat="false" ht="15" hidden="false" customHeight="false" outlineLevel="0" collapsed="false">
      <c r="A1768" s="0" t="str">
        <f aca="false">IF('הדבקת לידים'!A1768="","",IF(ISNUMBER('הדבקת לידים'!A1768),IF(הגדרות!$E$2&gt;0,TEXT('הדבקת לידים'!A1768,REPT("0",הגדרות!$E$2)),TEXT('הדבקת לידים'!A1768,"0")),TRIM('הדבקת לידים'!A1768)))</f>
        <v/>
      </c>
      <c r="B1768" s="0" t="str">
        <f aca="false">IF('הדבקת לידים'!B1768="","",IF(ISNUMBER('הדבקת לידים'!B1768),IF(הגדרות!$E$3&gt;0,TEXT('הדבקת לידים'!B1768,REPT("0",הגדרות!$E$3)),TEXT('הדבקת לידים'!B1768,"0")),TRIM('הדבקת לידים'!B1768)))</f>
        <v/>
      </c>
      <c r="C1768" s="0" t="n">
        <f aca="false">IF(OR(A1768&lt;&gt;"",B1768&lt;&gt;""),1,0)</f>
        <v>0</v>
      </c>
      <c r="D1768" s="0" t="str">
        <f aca="false">IF(C1768=1,MOD(ABS(SIN(ROW()*12.9898+'הדבקת לידים'!$F$2*78.233+IFERROR(--RIGHT(A1768,6),LEN(A1768))*0.0137+IFERROR(--RIGHT(B1768,6),LEN(B1768))*0.0071))*43758.5453,1),"")</f>
        <v/>
      </c>
      <c r="E1768" s="0" t="str">
        <f aca="false">IF(C1768=1,INT(MOD(ABS(SIN(D1768*7919.123+ROW()*0.618+'הדבקת לידים'!$F$2*1.3))*43758.5453,1)*1000000)*10000+ROW(),"")</f>
        <v/>
      </c>
      <c r="F1768" s="0" t="str">
        <f aca="false">IF(E1768="","",RANK(E1768,$E$2:$E$5001,1))</f>
        <v/>
      </c>
      <c r="G1768" s="0" t="n">
        <f aca="false">IF(A1768="",0,IF(SUMPRODUCT(--($A$2:$A$5001=A1768))&gt;1,1,0))</f>
        <v>0</v>
      </c>
      <c r="H1768" s="0" t="n">
        <f aca="false">ROW()-1</f>
        <v>1767</v>
      </c>
      <c r="I1768" s="0" t="str">
        <f aca="false">IF(OR(הגדרות!$E$6=0,H1768&gt;הגדרות!$E$5),"",IF(H1768-1&lt;הגדרות!$E$8*(הגדרות!$E$7+1),INT((H1768-1)/(הגדרות!$E$7+1)),הגדרות!$E$8+INT((H1768-1-הגדרות!$E$8*(הגדרות!$E$7+1))/הגדרות!$E$7)))</f>
        <v/>
      </c>
      <c r="J1768" s="0" t="str">
        <f aca="false">IF(I1768="","",IF(H1768-1&lt;הגדרות!$E$8*(הגדרות!$E$7+1),MOD(H1768-1,הגדרות!$E$7+1),MOD(H1768-1-הגדרות!$E$8*(הגדרות!$E$7+1),הגדרות!$E$7)))</f>
        <v/>
      </c>
      <c r="K1768" s="0" t="str">
        <f aca="false">IF(I1768="","",J1768*הגדרות!$E$6+I1768+1)</f>
        <v/>
      </c>
      <c r="L1768" s="0" t="str">
        <f aca="false">IF(K1768="","",MATCH(K1768,$F$2:$F$5001,0))</f>
        <v/>
      </c>
      <c r="M1768" s="0" t="str">
        <f aca="false">IF(I1768="","",INDEX(הגדרות!$A$2:$A$21,MOD(I1768+הגדרות!$E$9,הגדרות!$E$6)+1))</f>
        <v/>
      </c>
    </row>
    <row r="1769" customFormat="false" ht="15" hidden="false" customHeight="false" outlineLevel="0" collapsed="false">
      <c r="A1769" s="0" t="str">
        <f aca="false">IF('הדבקת לידים'!A1769="","",IF(ISNUMBER('הדבקת לידים'!A1769),IF(הגדרות!$E$2&gt;0,TEXT('הדבקת לידים'!A1769,REPT("0",הגדרות!$E$2)),TEXT('הדבקת לידים'!A1769,"0")),TRIM('הדבקת לידים'!A1769)))</f>
        <v/>
      </c>
      <c r="B1769" s="0" t="str">
        <f aca="false">IF('הדבקת לידים'!B1769="","",IF(ISNUMBER('הדבקת לידים'!B1769),IF(הגדרות!$E$3&gt;0,TEXT('הדבקת לידים'!B1769,REPT("0",הגדרות!$E$3)),TEXT('הדבקת לידים'!B1769,"0")),TRIM('הדבקת לידים'!B1769)))</f>
        <v/>
      </c>
      <c r="C1769" s="0" t="n">
        <f aca="false">IF(OR(A1769&lt;&gt;"",B1769&lt;&gt;""),1,0)</f>
        <v>0</v>
      </c>
      <c r="D1769" s="0" t="str">
        <f aca="false">IF(C1769=1,MOD(ABS(SIN(ROW()*12.9898+'הדבקת לידים'!$F$2*78.233+IFERROR(--RIGHT(A1769,6),LEN(A1769))*0.0137+IFERROR(--RIGHT(B1769,6),LEN(B1769))*0.0071))*43758.5453,1),"")</f>
        <v/>
      </c>
      <c r="E1769" s="0" t="str">
        <f aca="false">IF(C1769=1,INT(MOD(ABS(SIN(D1769*7919.123+ROW()*0.618+'הדבקת לידים'!$F$2*1.3))*43758.5453,1)*1000000)*10000+ROW(),"")</f>
        <v/>
      </c>
      <c r="F1769" s="0" t="str">
        <f aca="false">IF(E1769="","",RANK(E1769,$E$2:$E$5001,1))</f>
        <v/>
      </c>
      <c r="G1769" s="0" t="n">
        <f aca="false">IF(A1769="",0,IF(SUMPRODUCT(--($A$2:$A$5001=A1769))&gt;1,1,0))</f>
        <v>0</v>
      </c>
      <c r="H1769" s="0" t="n">
        <f aca="false">ROW()-1</f>
        <v>1768</v>
      </c>
      <c r="I1769" s="0" t="str">
        <f aca="false">IF(OR(הגדרות!$E$6=0,H1769&gt;הגדרות!$E$5),"",IF(H1769-1&lt;הגדרות!$E$8*(הגדרות!$E$7+1),INT((H1769-1)/(הגדרות!$E$7+1)),הגדרות!$E$8+INT((H1769-1-הגדרות!$E$8*(הגדרות!$E$7+1))/הגדרות!$E$7)))</f>
        <v/>
      </c>
      <c r="J1769" s="0" t="str">
        <f aca="false">IF(I1769="","",IF(H1769-1&lt;הגדרות!$E$8*(הגדרות!$E$7+1),MOD(H1769-1,הגדרות!$E$7+1),MOD(H1769-1-הגדרות!$E$8*(הגדרות!$E$7+1),הגדרות!$E$7)))</f>
        <v/>
      </c>
      <c r="K1769" s="0" t="str">
        <f aca="false">IF(I1769="","",J1769*הגדרות!$E$6+I1769+1)</f>
        <v/>
      </c>
      <c r="L1769" s="0" t="str">
        <f aca="false">IF(K1769="","",MATCH(K1769,$F$2:$F$5001,0))</f>
        <v/>
      </c>
      <c r="M1769" s="0" t="str">
        <f aca="false">IF(I1769="","",INDEX(הגדרות!$A$2:$A$21,MOD(I1769+הגדרות!$E$9,הגדרות!$E$6)+1))</f>
        <v/>
      </c>
    </row>
    <row r="1770" customFormat="false" ht="15" hidden="false" customHeight="false" outlineLevel="0" collapsed="false">
      <c r="A1770" s="0" t="str">
        <f aca="false">IF('הדבקת לידים'!A1770="","",IF(ISNUMBER('הדבקת לידים'!A1770),IF(הגדרות!$E$2&gt;0,TEXT('הדבקת לידים'!A1770,REPT("0",הגדרות!$E$2)),TEXT('הדבקת לידים'!A1770,"0")),TRIM('הדבקת לידים'!A1770)))</f>
        <v/>
      </c>
      <c r="B1770" s="0" t="str">
        <f aca="false">IF('הדבקת לידים'!B1770="","",IF(ISNUMBER('הדבקת לידים'!B1770),IF(הגדרות!$E$3&gt;0,TEXT('הדבקת לידים'!B1770,REPT("0",הגדרות!$E$3)),TEXT('הדבקת לידים'!B1770,"0")),TRIM('הדבקת לידים'!B1770)))</f>
        <v/>
      </c>
      <c r="C1770" s="0" t="n">
        <f aca="false">IF(OR(A1770&lt;&gt;"",B1770&lt;&gt;""),1,0)</f>
        <v>0</v>
      </c>
      <c r="D1770" s="0" t="str">
        <f aca="false">IF(C1770=1,MOD(ABS(SIN(ROW()*12.9898+'הדבקת לידים'!$F$2*78.233+IFERROR(--RIGHT(A1770,6),LEN(A1770))*0.0137+IFERROR(--RIGHT(B1770,6),LEN(B1770))*0.0071))*43758.5453,1),"")</f>
        <v/>
      </c>
      <c r="E1770" s="0" t="str">
        <f aca="false">IF(C1770=1,INT(MOD(ABS(SIN(D1770*7919.123+ROW()*0.618+'הדבקת לידים'!$F$2*1.3))*43758.5453,1)*1000000)*10000+ROW(),"")</f>
        <v/>
      </c>
      <c r="F1770" s="0" t="str">
        <f aca="false">IF(E1770="","",RANK(E1770,$E$2:$E$5001,1))</f>
        <v/>
      </c>
      <c r="G1770" s="0" t="n">
        <f aca="false">IF(A1770="",0,IF(SUMPRODUCT(--($A$2:$A$5001=A1770))&gt;1,1,0))</f>
        <v>0</v>
      </c>
      <c r="H1770" s="0" t="n">
        <f aca="false">ROW()-1</f>
        <v>1769</v>
      </c>
      <c r="I1770" s="0" t="str">
        <f aca="false">IF(OR(הגדרות!$E$6=0,H1770&gt;הגדרות!$E$5),"",IF(H1770-1&lt;הגדרות!$E$8*(הגדרות!$E$7+1),INT((H1770-1)/(הגדרות!$E$7+1)),הגדרות!$E$8+INT((H1770-1-הגדרות!$E$8*(הגדרות!$E$7+1))/הגדרות!$E$7)))</f>
        <v/>
      </c>
      <c r="J1770" s="0" t="str">
        <f aca="false">IF(I1770="","",IF(H1770-1&lt;הגדרות!$E$8*(הגדרות!$E$7+1),MOD(H1770-1,הגדרות!$E$7+1),MOD(H1770-1-הגדרות!$E$8*(הגדרות!$E$7+1),הגדרות!$E$7)))</f>
        <v/>
      </c>
      <c r="K1770" s="0" t="str">
        <f aca="false">IF(I1770="","",J1770*הגדרות!$E$6+I1770+1)</f>
        <v/>
      </c>
      <c r="L1770" s="0" t="str">
        <f aca="false">IF(K1770="","",MATCH(K1770,$F$2:$F$5001,0))</f>
        <v/>
      </c>
      <c r="M1770" s="0" t="str">
        <f aca="false">IF(I1770="","",INDEX(הגדרות!$A$2:$A$21,MOD(I1770+הגדרות!$E$9,הגדרות!$E$6)+1))</f>
        <v/>
      </c>
    </row>
    <row r="1771" customFormat="false" ht="15" hidden="false" customHeight="false" outlineLevel="0" collapsed="false">
      <c r="A1771" s="0" t="str">
        <f aca="false">IF('הדבקת לידים'!A1771="","",IF(ISNUMBER('הדבקת לידים'!A1771),IF(הגדרות!$E$2&gt;0,TEXT('הדבקת לידים'!A1771,REPT("0",הגדרות!$E$2)),TEXT('הדבקת לידים'!A1771,"0")),TRIM('הדבקת לידים'!A1771)))</f>
        <v/>
      </c>
      <c r="B1771" s="0" t="str">
        <f aca="false">IF('הדבקת לידים'!B1771="","",IF(ISNUMBER('הדבקת לידים'!B1771),IF(הגדרות!$E$3&gt;0,TEXT('הדבקת לידים'!B1771,REPT("0",הגדרות!$E$3)),TEXT('הדבקת לידים'!B1771,"0")),TRIM('הדבקת לידים'!B1771)))</f>
        <v/>
      </c>
      <c r="C1771" s="0" t="n">
        <f aca="false">IF(OR(A1771&lt;&gt;"",B1771&lt;&gt;""),1,0)</f>
        <v>0</v>
      </c>
      <c r="D1771" s="0" t="str">
        <f aca="false">IF(C1771=1,MOD(ABS(SIN(ROW()*12.9898+'הדבקת לידים'!$F$2*78.233+IFERROR(--RIGHT(A1771,6),LEN(A1771))*0.0137+IFERROR(--RIGHT(B1771,6),LEN(B1771))*0.0071))*43758.5453,1),"")</f>
        <v/>
      </c>
      <c r="E1771" s="0" t="str">
        <f aca="false">IF(C1771=1,INT(MOD(ABS(SIN(D1771*7919.123+ROW()*0.618+'הדבקת לידים'!$F$2*1.3))*43758.5453,1)*1000000)*10000+ROW(),"")</f>
        <v/>
      </c>
      <c r="F1771" s="0" t="str">
        <f aca="false">IF(E1771="","",RANK(E1771,$E$2:$E$5001,1))</f>
        <v/>
      </c>
      <c r="G1771" s="0" t="n">
        <f aca="false">IF(A1771="",0,IF(SUMPRODUCT(--($A$2:$A$5001=A1771))&gt;1,1,0))</f>
        <v>0</v>
      </c>
      <c r="H1771" s="0" t="n">
        <f aca="false">ROW()-1</f>
        <v>1770</v>
      </c>
      <c r="I1771" s="0" t="str">
        <f aca="false">IF(OR(הגדרות!$E$6=0,H1771&gt;הגדרות!$E$5),"",IF(H1771-1&lt;הגדרות!$E$8*(הגדרות!$E$7+1),INT((H1771-1)/(הגדרות!$E$7+1)),הגדרות!$E$8+INT((H1771-1-הגדרות!$E$8*(הגדרות!$E$7+1))/הגדרות!$E$7)))</f>
        <v/>
      </c>
      <c r="J1771" s="0" t="str">
        <f aca="false">IF(I1771="","",IF(H1771-1&lt;הגדרות!$E$8*(הגדרות!$E$7+1),MOD(H1771-1,הגדרות!$E$7+1),MOD(H1771-1-הגדרות!$E$8*(הגדרות!$E$7+1),הגדרות!$E$7)))</f>
        <v/>
      </c>
      <c r="K1771" s="0" t="str">
        <f aca="false">IF(I1771="","",J1771*הגדרות!$E$6+I1771+1)</f>
        <v/>
      </c>
      <c r="L1771" s="0" t="str">
        <f aca="false">IF(K1771="","",MATCH(K1771,$F$2:$F$5001,0))</f>
        <v/>
      </c>
      <c r="M1771" s="0" t="str">
        <f aca="false">IF(I1771="","",INDEX(הגדרות!$A$2:$A$21,MOD(I1771+הגדרות!$E$9,הגדרות!$E$6)+1))</f>
        <v/>
      </c>
    </row>
    <row r="1772" customFormat="false" ht="15" hidden="false" customHeight="false" outlineLevel="0" collapsed="false">
      <c r="A1772" s="0" t="str">
        <f aca="false">IF('הדבקת לידים'!A1772="","",IF(ISNUMBER('הדבקת לידים'!A1772),IF(הגדרות!$E$2&gt;0,TEXT('הדבקת לידים'!A1772,REPT("0",הגדרות!$E$2)),TEXT('הדבקת לידים'!A1772,"0")),TRIM('הדבקת לידים'!A1772)))</f>
        <v/>
      </c>
      <c r="B1772" s="0" t="str">
        <f aca="false">IF('הדבקת לידים'!B1772="","",IF(ISNUMBER('הדבקת לידים'!B1772),IF(הגדרות!$E$3&gt;0,TEXT('הדבקת לידים'!B1772,REPT("0",הגדרות!$E$3)),TEXT('הדבקת לידים'!B1772,"0")),TRIM('הדבקת לידים'!B1772)))</f>
        <v/>
      </c>
      <c r="C1772" s="0" t="n">
        <f aca="false">IF(OR(A1772&lt;&gt;"",B1772&lt;&gt;""),1,0)</f>
        <v>0</v>
      </c>
      <c r="D1772" s="0" t="str">
        <f aca="false">IF(C1772=1,MOD(ABS(SIN(ROW()*12.9898+'הדבקת לידים'!$F$2*78.233+IFERROR(--RIGHT(A1772,6),LEN(A1772))*0.0137+IFERROR(--RIGHT(B1772,6),LEN(B1772))*0.0071))*43758.5453,1),"")</f>
        <v/>
      </c>
      <c r="E1772" s="0" t="str">
        <f aca="false">IF(C1772=1,INT(MOD(ABS(SIN(D1772*7919.123+ROW()*0.618+'הדבקת לידים'!$F$2*1.3))*43758.5453,1)*1000000)*10000+ROW(),"")</f>
        <v/>
      </c>
      <c r="F1772" s="0" t="str">
        <f aca="false">IF(E1772="","",RANK(E1772,$E$2:$E$5001,1))</f>
        <v/>
      </c>
      <c r="G1772" s="0" t="n">
        <f aca="false">IF(A1772="",0,IF(SUMPRODUCT(--($A$2:$A$5001=A1772))&gt;1,1,0))</f>
        <v>0</v>
      </c>
      <c r="H1772" s="0" t="n">
        <f aca="false">ROW()-1</f>
        <v>1771</v>
      </c>
      <c r="I1772" s="0" t="str">
        <f aca="false">IF(OR(הגדרות!$E$6=0,H1772&gt;הגדרות!$E$5),"",IF(H1772-1&lt;הגדרות!$E$8*(הגדרות!$E$7+1),INT((H1772-1)/(הגדרות!$E$7+1)),הגדרות!$E$8+INT((H1772-1-הגדרות!$E$8*(הגדרות!$E$7+1))/הגדרות!$E$7)))</f>
        <v/>
      </c>
      <c r="J1772" s="0" t="str">
        <f aca="false">IF(I1772="","",IF(H1772-1&lt;הגדרות!$E$8*(הגדרות!$E$7+1),MOD(H1772-1,הגדרות!$E$7+1),MOD(H1772-1-הגדרות!$E$8*(הגדרות!$E$7+1),הגדרות!$E$7)))</f>
        <v/>
      </c>
      <c r="K1772" s="0" t="str">
        <f aca="false">IF(I1772="","",J1772*הגדרות!$E$6+I1772+1)</f>
        <v/>
      </c>
      <c r="L1772" s="0" t="str">
        <f aca="false">IF(K1772="","",MATCH(K1772,$F$2:$F$5001,0))</f>
        <v/>
      </c>
      <c r="M1772" s="0" t="str">
        <f aca="false">IF(I1772="","",INDEX(הגדרות!$A$2:$A$21,MOD(I1772+הגדרות!$E$9,הגדרות!$E$6)+1))</f>
        <v/>
      </c>
    </row>
    <row r="1773" customFormat="false" ht="15" hidden="false" customHeight="false" outlineLevel="0" collapsed="false">
      <c r="A1773" s="0" t="str">
        <f aca="false">IF('הדבקת לידים'!A1773="","",IF(ISNUMBER('הדבקת לידים'!A1773),IF(הגדרות!$E$2&gt;0,TEXT('הדבקת לידים'!A1773,REPT("0",הגדרות!$E$2)),TEXT('הדבקת לידים'!A1773,"0")),TRIM('הדבקת לידים'!A1773)))</f>
        <v/>
      </c>
      <c r="B1773" s="0" t="str">
        <f aca="false">IF('הדבקת לידים'!B1773="","",IF(ISNUMBER('הדבקת לידים'!B1773),IF(הגדרות!$E$3&gt;0,TEXT('הדבקת לידים'!B1773,REPT("0",הגדרות!$E$3)),TEXT('הדבקת לידים'!B1773,"0")),TRIM('הדבקת לידים'!B1773)))</f>
        <v/>
      </c>
      <c r="C1773" s="0" t="n">
        <f aca="false">IF(OR(A1773&lt;&gt;"",B1773&lt;&gt;""),1,0)</f>
        <v>0</v>
      </c>
      <c r="D1773" s="0" t="str">
        <f aca="false">IF(C1773=1,MOD(ABS(SIN(ROW()*12.9898+'הדבקת לידים'!$F$2*78.233+IFERROR(--RIGHT(A1773,6),LEN(A1773))*0.0137+IFERROR(--RIGHT(B1773,6),LEN(B1773))*0.0071))*43758.5453,1),"")</f>
        <v/>
      </c>
      <c r="E1773" s="0" t="str">
        <f aca="false">IF(C1773=1,INT(MOD(ABS(SIN(D1773*7919.123+ROW()*0.618+'הדבקת לידים'!$F$2*1.3))*43758.5453,1)*1000000)*10000+ROW(),"")</f>
        <v/>
      </c>
      <c r="F1773" s="0" t="str">
        <f aca="false">IF(E1773="","",RANK(E1773,$E$2:$E$5001,1))</f>
        <v/>
      </c>
      <c r="G1773" s="0" t="n">
        <f aca="false">IF(A1773="",0,IF(SUMPRODUCT(--($A$2:$A$5001=A1773))&gt;1,1,0))</f>
        <v>0</v>
      </c>
      <c r="H1773" s="0" t="n">
        <f aca="false">ROW()-1</f>
        <v>1772</v>
      </c>
      <c r="I1773" s="0" t="str">
        <f aca="false">IF(OR(הגדרות!$E$6=0,H1773&gt;הגדרות!$E$5),"",IF(H1773-1&lt;הגדרות!$E$8*(הגדרות!$E$7+1),INT((H1773-1)/(הגדרות!$E$7+1)),הגדרות!$E$8+INT((H1773-1-הגדרות!$E$8*(הגדרות!$E$7+1))/הגדרות!$E$7)))</f>
        <v/>
      </c>
      <c r="J1773" s="0" t="str">
        <f aca="false">IF(I1773="","",IF(H1773-1&lt;הגדרות!$E$8*(הגדרות!$E$7+1),MOD(H1773-1,הגדרות!$E$7+1),MOD(H1773-1-הגדרות!$E$8*(הגדרות!$E$7+1),הגדרות!$E$7)))</f>
        <v/>
      </c>
      <c r="K1773" s="0" t="str">
        <f aca="false">IF(I1773="","",J1773*הגדרות!$E$6+I1773+1)</f>
        <v/>
      </c>
      <c r="L1773" s="0" t="str">
        <f aca="false">IF(K1773="","",MATCH(K1773,$F$2:$F$5001,0))</f>
        <v/>
      </c>
      <c r="M1773" s="0" t="str">
        <f aca="false">IF(I1773="","",INDEX(הגדרות!$A$2:$A$21,MOD(I1773+הגדרות!$E$9,הגדרות!$E$6)+1))</f>
        <v/>
      </c>
    </row>
    <row r="1774" customFormat="false" ht="15" hidden="false" customHeight="false" outlineLevel="0" collapsed="false">
      <c r="A1774" s="0" t="str">
        <f aca="false">IF('הדבקת לידים'!A1774="","",IF(ISNUMBER('הדבקת לידים'!A1774),IF(הגדרות!$E$2&gt;0,TEXT('הדבקת לידים'!A1774,REPT("0",הגדרות!$E$2)),TEXT('הדבקת לידים'!A1774,"0")),TRIM('הדבקת לידים'!A1774)))</f>
        <v/>
      </c>
      <c r="B1774" s="0" t="str">
        <f aca="false">IF('הדבקת לידים'!B1774="","",IF(ISNUMBER('הדבקת לידים'!B1774),IF(הגדרות!$E$3&gt;0,TEXT('הדבקת לידים'!B1774,REPT("0",הגדרות!$E$3)),TEXT('הדבקת לידים'!B1774,"0")),TRIM('הדבקת לידים'!B1774)))</f>
        <v/>
      </c>
      <c r="C1774" s="0" t="n">
        <f aca="false">IF(OR(A1774&lt;&gt;"",B1774&lt;&gt;""),1,0)</f>
        <v>0</v>
      </c>
      <c r="D1774" s="0" t="str">
        <f aca="false">IF(C1774=1,MOD(ABS(SIN(ROW()*12.9898+'הדבקת לידים'!$F$2*78.233+IFERROR(--RIGHT(A1774,6),LEN(A1774))*0.0137+IFERROR(--RIGHT(B1774,6),LEN(B1774))*0.0071))*43758.5453,1),"")</f>
        <v/>
      </c>
      <c r="E1774" s="0" t="str">
        <f aca="false">IF(C1774=1,INT(MOD(ABS(SIN(D1774*7919.123+ROW()*0.618+'הדבקת לידים'!$F$2*1.3))*43758.5453,1)*1000000)*10000+ROW(),"")</f>
        <v/>
      </c>
      <c r="F1774" s="0" t="str">
        <f aca="false">IF(E1774="","",RANK(E1774,$E$2:$E$5001,1))</f>
        <v/>
      </c>
      <c r="G1774" s="0" t="n">
        <f aca="false">IF(A1774="",0,IF(SUMPRODUCT(--($A$2:$A$5001=A1774))&gt;1,1,0))</f>
        <v>0</v>
      </c>
      <c r="H1774" s="0" t="n">
        <f aca="false">ROW()-1</f>
        <v>1773</v>
      </c>
      <c r="I1774" s="0" t="str">
        <f aca="false">IF(OR(הגדרות!$E$6=0,H1774&gt;הגדרות!$E$5),"",IF(H1774-1&lt;הגדרות!$E$8*(הגדרות!$E$7+1),INT((H1774-1)/(הגדרות!$E$7+1)),הגדרות!$E$8+INT((H1774-1-הגדרות!$E$8*(הגדרות!$E$7+1))/הגדרות!$E$7)))</f>
        <v/>
      </c>
      <c r="J1774" s="0" t="str">
        <f aca="false">IF(I1774="","",IF(H1774-1&lt;הגדרות!$E$8*(הגדרות!$E$7+1),MOD(H1774-1,הגדרות!$E$7+1),MOD(H1774-1-הגדרות!$E$8*(הגדרות!$E$7+1),הגדרות!$E$7)))</f>
        <v/>
      </c>
      <c r="K1774" s="0" t="str">
        <f aca="false">IF(I1774="","",J1774*הגדרות!$E$6+I1774+1)</f>
        <v/>
      </c>
      <c r="L1774" s="0" t="str">
        <f aca="false">IF(K1774="","",MATCH(K1774,$F$2:$F$5001,0))</f>
        <v/>
      </c>
      <c r="M1774" s="0" t="str">
        <f aca="false">IF(I1774="","",INDEX(הגדרות!$A$2:$A$21,MOD(I1774+הגדרות!$E$9,הגדרות!$E$6)+1))</f>
        <v/>
      </c>
    </row>
    <row r="1775" customFormat="false" ht="15" hidden="false" customHeight="false" outlineLevel="0" collapsed="false">
      <c r="A1775" s="0" t="str">
        <f aca="false">IF('הדבקת לידים'!A1775="","",IF(ISNUMBER('הדבקת לידים'!A1775),IF(הגדרות!$E$2&gt;0,TEXT('הדבקת לידים'!A1775,REPT("0",הגדרות!$E$2)),TEXT('הדבקת לידים'!A1775,"0")),TRIM('הדבקת לידים'!A1775)))</f>
        <v/>
      </c>
      <c r="B1775" s="0" t="str">
        <f aca="false">IF('הדבקת לידים'!B1775="","",IF(ISNUMBER('הדבקת לידים'!B1775),IF(הגדרות!$E$3&gt;0,TEXT('הדבקת לידים'!B1775,REPT("0",הגדרות!$E$3)),TEXT('הדבקת לידים'!B1775,"0")),TRIM('הדבקת לידים'!B1775)))</f>
        <v/>
      </c>
      <c r="C1775" s="0" t="n">
        <f aca="false">IF(OR(A1775&lt;&gt;"",B1775&lt;&gt;""),1,0)</f>
        <v>0</v>
      </c>
      <c r="D1775" s="0" t="str">
        <f aca="false">IF(C1775=1,MOD(ABS(SIN(ROW()*12.9898+'הדבקת לידים'!$F$2*78.233+IFERROR(--RIGHT(A1775,6),LEN(A1775))*0.0137+IFERROR(--RIGHT(B1775,6),LEN(B1775))*0.0071))*43758.5453,1),"")</f>
        <v/>
      </c>
      <c r="E1775" s="0" t="str">
        <f aca="false">IF(C1775=1,INT(MOD(ABS(SIN(D1775*7919.123+ROW()*0.618+'הדבקת לידים'!$F$2*1.3))*43758.5453,1)*1000000)*10000+ROW(),"")</f>
        <v/>
      </c>
      <c r="F1775" s="0" t="str">
        <f aca="false">IF(E1775="","",RANK(E1775,$E$2:$E$5001,1))</f>
        <v/>
      </c>
      <c r="G1775" s="0" t="n">
        <f aca="false">IF(A1775="",0,IF(SUMPRODUCT(--($A$2:$A$5001=A1775))&gt;1,1,0))</f>
        <v>0</v>
      </c>
      <c r="H1775" s="0" t="n">
        <f aca="false">ROW()-1</f>
        <v>1774</v>
      </c>
      <c r="I1775" s="0" t="str">
        <f aca="false">IF(OR(הגדרות!$E$6=0,H1775&gt;הגדרות!$E$5),"",IF(H1775-1&lt;הגדרות!$E$8*(הגדרות!$E$7+1),INT((H1775-1)/(הגדרות!$E$7+1)),הגדרות!$E$8+INT((H1775-1-הגדרות!$E$8*(הגדרות!$E$7+1))/הגדרות!$E$7)))</f>
        <v/>
      </c>
      <c r="J1775" s="0" t="str">
        <f aca="false">IF(I1775="","",IF(H1775-1&lt;הגדרות!$E$8*(הגדרות!$E$7+1),MOD(H1775-1,הגדרות!$E$7+1),MOD(H1775-1-הגדרות!$E$8*(הגדרות!$E$7+1),הגדרות!$E$7)))</f>
        <v/>
      </c>
      <c r="K1775" s="0" t="str">
        <f aca="false">IF(I1775="","",J1775*הגדרות!$E$6+I1775+1)</f>
        <v/>
      </c>
      <c r="L1775" s="0" t="str">
        <f aca="false">IF(K1775="","",MATCH(K1775,$F$2:$F$5001,0))</f>
        <v/>
      </c>
      <c r="M1775" s="0" t="str">
        <f aca="false">IF(I1775="","",INDEX(הגדרות!$A$2:$A$21,MOD(I1775+הגדרות!$E$9,הגדרות!$E$6)+1))</f>
        <v/>
      </c>
    </row>
    <row r="1776" customFormat="false" ht="15" hidden="false" customHeight="false" outlineLevel="0" collapsed="false">
      <c r="A1776" s="0" t="str">
        <f aca="false">IF('הדבקת לידים'!A1776="","",IF(ISNUMBER('הדבקת לידים'!A1776),IF(הגדרות!$E$2&gt;0,TEXT('הדבקת לידים'!A1776,REPT("0",הגדרות!$E$2)),TEXT('הדבקת לידים'!A1776,"0")),TRIM('הדבקת לידים'!A1776)))</f>
        <v/>
      </c>
      <c r="B1776" s="0" t="str">
        <f aca="false">IF('הדבקת לידים'!B1776="","",IF(ISNUMBER('הדבקת לידים'!B1776),IF(הגדרות!$E$3&gt;0,TEXT('הדבקת לידים'!B1776,REPT("0",הגדרות!$E$3)),TEXT('הדבקת לידים'!B1776,"0")),TRIM('הדבקת לידים'!B1776)))</f>
        <v/>
      </c>
      <c r="C1776" s="0" t="n">
        <f aca="false">IF(OR(A1776&lt;&gt;"",B1776&lt;&gt;""),1,0)</f>
        <v>0</v>
      </c>
      <c r="D1776" s="0" t="str">
        <f aca="false">IF(C1776=1,MOD(ABS(SIN(ROW()*12.9898+'הדבקת לידים'!$F$2*78.233+IFERROR(--RIGHT(A1776,6),LEN(A1776))*0.0137+IFERROR(--RIGHT(B1776,6),LEN(B1776))*0.0071))*43758.5453,1),"")</f>
        <v/>
      </c>
      <c r="E1776" s="0" t="str">
        <f aca="false">IF(C1776=1,INT(MOD(ABS(SIN(D1776*7919.123+ROW()*0.618+'הדבקת לידים'!$F$2*1.3))*43758.5453,1)*1000000)*10000+ROW(),"")</f>
        <v/>
      </c>
      <c r="F1776" s="0" t="str">
        <f aca="false">IF(E1776="","",RANK(E1776,$E$2:$E$5001,1))</f>
        <v/>
      </c>
      <c r="G1776" s="0" t="n">
        <f aca="false">IF(A1776="",0,IF(SUMPRODUCT(--($A$2:$A$5001=A1776))&gt;1,1,0))</f>
        <v>0</v>
      </c>
      <c r="H1776" s="0" t="n">
        <f aca="false">ROW()-1</f>
        <v>1775</v>
      </c>
      <c r="I1776" s="0" t="str">
        <f aca="false">IF(OR(הגדרות!$E$6=0,H1776&gt;הגדרות!$E$5),"",IF(H1776-1&lt;הגדרות!$E$8*(הגדרות!$E$7+1),INT((H1776-1)/(הגדרות!$E$7+1)),הגדרות!$E$8+INT((H1776-1-הגדרות!$E$8*(הגדרות!$E$7+1))/הגדרות!$E$7)))</f>
        <v/>
      </c>
      <c r="J1776" s="0" t="str">
        <f aca="false">IF(I1776="","",IF(H1776-1&lt;הגדרות!$E$8*(הגדרות!$E$7+1),MOD(H1776-1,הגדרות!$E$7+1),MOD(H1776-1-הגדרות!$E$8*(הגדרות!$E$7+1),הגדרות!$E$7)))</f>
        <v/>
      </c>
      <c r="K1776" s="0" t="str">
        <f aca="false">IF(I1776="","",J1776*הגדרות!$E$6+I1776+1)</f>
        <v/>
      </c>
      <c r="L1776" s="0" t="str">
        <f aca="false">IF(K1776="","",MATCH(K1776,$F$2:$F$5001,0))</f>
        <v/>
      </c>
      <c r="M1776" s="0" t="str">
        <f aca="false">IF(I1776="","",INDEX(הגדרות!$A$2:$A$21,MOD(I1776+הגדרות!$E$9,הגדרות!$E$6)+1))</f>
        <v/>
      </c>
    </row>
    <row r="1777" customFormat="false" ht="15" hidden="false" customHeight="false" outlineLevel="0" collapsed="false">
      <c r="A1777" s="0" t="str">
        <f aca="false">IF('הדבקת לידים'!A1777="","",IF(ISNUMBER('הדבקת לידים'!A1777),IF(הגדרות!$E$2&gt;0,TEXT('הדבקת לידים'!A1777,REPT("0",הגדרות!$E$2)),TEXT('הדבקת לידים'!A1777,"0")),TRIM('הדבקת לידים'!A1777)))</f>
        <v/>
      </c>
      <c r="B1777" s="0" t="str">
        <f aca="false">IF('הדבקת לידים'!B1777="","",IF(ISNUMBER('הדבקת לידים'!B1777),IF(הגדרות!$E$3&gt;0,TEXT('הדבקת לידים'!B1777,REPT("0",הגדרות!$E$3)),TEXT('הדבקת לידים'!B1777,"0")),TRIM('הדבקת לידים'!B1777)))</f>
        <v/>
      </c>
      <c r="C1777" s="0" t="n">
        <f aca="false">IF(OR(A1777&lt;&gt;"",B1777&lt;&gt;""),1,0)</f>
        <v>0</v>
      </c>
      <c r="D1777" s="0" t="str">
        <f aca="false">IF(C1777=1,MOD(ABS(SIN(ROW()*12.9898+'הדבקת לידים'!$F$2*78.233+IFERROR(--RIGHT(A1777,6),LEN(A1777))*0.0137+IFERROR(--RIGHT(B1777,6),LEN(B1777))*0.0071))*43758.5453,1),"")</f>
        <v/>
      </c>
      <c r="E1777" s="0" t="str">
        <f aca="false">IF(C1777=1,INT(MOD(ABS(SIN(D1777*7919.123+ROW()*0.618+'הדבקת לידים'!$F$2*1.3))*43758.5453,1)*1000000)*10000+ROW(),"")</f>
        <v/>
      </c>
      <c r="F1777" s="0" t="str">
        <f aca="false">IF(E1777="","",RANK(E1777,$E$2:$E$5001,1))</f>
        <v/>
      </c>
      <c r="G1777" s="0" t="n">
        <f aca="false">IF(A1777="",0,IF(SUMPRODUCT(--($A$2:$A$5001=A1777))&gt;1,1,0))</f>
        <v>0</v>
      </c>
      <c r="H1777" s="0" t="n">
        <f aca="false">ROW()-1</f>
        <v>1776</v>
      </c>
      <c r="I1777" s="0" t="str">
        <f aca="false">IF(OR(הגדרות!$E$6=0,H1777&gt;הגדרות!$E$5),"",IF(H1777-1&lt;הגדרות!$E$8*(הגדרות!$E$7+1),INT((H1777-1)/(הגדרות!$E$7+1)),הגדרות!$E$8+INT((H1777-1-הגדרות!$E$8*(הגדרות!$E$7+1))/הגדרות!$E$7)))</f>
        <v/>
      </c>
      <c r="J1777" s="0" t="str">
        <f aca="false">IF(I1777="","",IF(H1777-1&lt;הגדרות!$E$8*(הגדרות!$E$7+1),MOD(H1777-1,הגדרות!$E$7+1),MOD(H1777-1-הגדרות!$E$8*(הגדרות!$E$7+1),הגדרות!$E$7)))</f>
        <v/>
      </c>
      <c r="K1777" s="0" t="str">
        <f aca="false">IF(I1777="","",J1777*הגדרות!$E$6+I1777+1)</f>
        <v/>
      </c>
      <c r="L1777" s="0" t="str">
        <f aca="false">IF(K1777="","",MATCH(K1777,$F$2:$F$5001,0))</f>
        <v/>
      </c>
      <c r="M1777" s="0" t="str">
        <f aca="false">IF(I1777="","",INDEX(הגדרות!$A$2:$A$21,MOD(I1777+הגדרות!$E$9,הגדרות!$E$6)+1))</f>
        <v/>
      </c>
    </row>
    <row r="1778" customFormat="false" ht="15" hidden="false" customHeight="false" outlineLevel="0" collapsed="false">
      <c r="A1778" s="0" t="str">
        <f aca="false">IF('הדבקת לידים'!A1778="","",IF(ISNUMBER('הדבקת לידים'!A1778),IF(הגדרות!$E$2&gt;0,TEXT('הדבקת לידים'!A1778,REPT("0",הגדרות!$E$2)),TEXT('הדבקת לידים'!A1778,"0")),TRIM('הדבקת לידים'!A1778)))</f>
        <v/>
      </c>
      <c r="B1778" s="0" t="str">
        <f aca="false">IF('הדבקת לידים'!B1778="","",IF(ISNUMBER('הדבקת לידים'!B1778),IF(הגדרות!$E$3&gt;0,TEXT('הדבקת לידים'!B1778,REPT("0",הגדרות!$E$3)),TEXT('הדבקת לידים'!B1778,"0")),TRIM('הדבקת לידים'!B1778)))</f>
        <v/>
      </c>
      <c r="C1778" s="0" t="n">
        <f aca="false">IF(OR(A1778&lt;&gt;"",B1778&lt;&gt;""),1,0)</f>
        <v>0</v>
      </c>
      <c r="D1778" s="0" t="str">
        <f aca="false">IF(C1778=1,MOD(ABS(SIN(ROW()*12.9898+'הדבקת לידים'!$F$2*78.233+IFERROR(--RIGHT(A1778,6),LEN(A1778))*0.0137+IFERROR(--RIGHT(B1778,6),LEN(B1778))*0.0071))*43758.5453,1),"")</f>
        <v/>
      </c>
      <c r="E1778" s="0" t="str">
        <f aca="false">IF(C1778=1,INT(MOD(ABS(SIN(D1778*7919.123+ROW()*0.618+'הדבקת לידים'!$F$2*1.3))*43758.5453,1)*1000000)*10000+ROW(),"")</f>
        <v/>
      </c>
      <c r="F1778" s="0" t="str">
        <f aca="false">IF(E1778="","",RANK(E1778,$E$2:$E$5001,1))</f>
        <v/>
      </c>
      <c r="G1778" s="0" t="n">
        <f aca="false">IF(A1778="",0,IF(SUMPRODUCT(--($A$2:$A$5001=A1778))&gt;1,1,0))</f>
        <v>0</v>
      </c>
      <c r="H1778" s="0" t="n">
        <f aca="false">ROW()-1</f>
        <v>1777</v>
      </c>
      <c r="I1778" s="0" t="str">
        <f aca="false">IF(OR(הגדרות!$E$6=0,H1778&gt;הגדרות!$E$5),"",IF(H1778-1&lt;הגדרות!$E$8*(הגדרות!$E$7+1),INT((H1778-1)/(הגדרות!$E$7+1)),הגדרות!$E$8+INT((H1778-1-הגדרות!$E$8*(הגדרות!$E$7+1))/הגדרות!$E$7)))</f>
        <v/>
      </c>
      <c r="J1778" s="0" t="str">
        <f aca="false">IF(I1778="","",IF(H1778-1&lt;הגדרות!$E$8*(הגדרות!$E$7+1),MOD(H1778-1,הגדרות!$E$7+1),MOD(H1778-1-הגדרות!$E$8*(הגדרות!$E$7+1),הגדרות!$E$7)))</f>
        <v/>
      </c>
      <c r="K1778" s="0" t="str">
        <f aca="false">IF(I1778="","",J1778*הגדרות!$E$6+I1778+1)</f>
        <v/>
      </c>
      <c r="L1778" s="0" t="str">
        <f aca="false">IF(K1778="","",MATCH(K1778,$F$2:$F$5001,0))</f>
        <v/>
      </c>
      <c r="M1778" s="0" t="str">
        <f aca="false">IF(I1778="","",INDEX(הגדרות!$A$2:$A$21,MOD(I1778+הגדרות!$E$9,הגדרות!$E$6)+1))</f>
        <v/>
      </c>
    </row>
    <row r="1779" customFormat="false" ht="15" hidden="false" customHeight="false" outlineLevel="0" collapsed="false">
      <c r="A1779" s="0" t="str">
        <f aca="false">IF('הדבקת לידים'!A1779="","",IF(ISNUMBER('הדבקת לידים'!A1779),IF(הגדרות!$E$2&gt;0,TEXT('הדבקת לידים'!A1779,REPT("0",הגדרות!$E$2)),TEXT('הדבקת לידים'!A1779,"0")),TRIM('הדבקת לידים'!A1779)))</f>
        <v/>
      </c>
      <c r="B1779" s="0" t="str">
        <f aca="false">IF('הדבקת לידים'!B1779="","",IF(ISNUMBER('הדבקת לידים'!B1779),IF(הגדרות!$E$3&gt;0,TEXT('הדבקת לידים'!B1779,REPT("0",הגדרות!$E$3)),TEXT('הדבקת לידים'!B1779,"0")),TRIM('הדבקת לידים'!B1779)))</f>
        <v/>
      </c>
      <c r="C1779" s="0" t="n">
        <f aca="false">IF(OR(A1779&lt;&gt;"",B1779&lt;&gt;""),1,0)</f>
        <v>0</v>
      </c>
      <c r="D1779" s="0" t="str">
        <f aca="false">IF(C1779=1,MOD(ABS(SIN(ROW()*12.9898+'הדבקת לידים'!$F$2*78.233+IFERROR(--RIGHT(A1779,6),LEN(A1779))*0.0137+IFERROR(--RIGHT(B1779,6),LEN(B1779))*0.0071))*43758.5453,1),"")</f>
        <v/>
      </c>
      <c r="E1779" s="0" t="str">
        <f aca="false">IF(C1779=1,INT(MOD(ABS(SIN(D1779*7919.123+ROW()*0.618+'הדבקת לידים'!$F$2*1.3))*43758.5453,1)*1000000)*10000+ROW(),"")</f>
        <v/>
      </c>
      <c r="F1779" s="0" t="str">
        <f aca="false">IF(E1779="","",RANK(E1779,$E$2:$E$5001,1))</f>
        <v/>
      </c>
      <c r="G1779" s="0" t="n">
        <f aca="false">IF(A1779="",0,IF(SUMPRODUCT(--($A$2:$A$5001=A1779))&gt;1,1,0))</f>
        <v>0</v>
      </c>
      <c r="H1779" s="0" t="n">
        <f aca="false">ROW()-1</f>
        <v>1778</v>
      </c>
      <c r="I1779" s="0" t="str">
        <f aca="false">IF(OR(הגדרות!$E$6=0,H1779&gt;הגדרות!$E$5),"",IF(H1779-1&lt;הגדרות!$E$8*(הגדרות!$E$7+1),INT((H1779-1)/(הגדרות!$E$7+1)),הגדרות!$E$8+INT((H1779-1-הגדרות!$E$8*(הגדרות!$E$7+1))/הגדרות!$E$7)))</f>
        <v/>
      </c>
      <c r="J1779" s="0" t="str">
        <f aca="false">IF(I1779="","",IF(H1779-1&lt;הגדרות!$E$8*(הגדרות!$E$7+1),MOD(H1779-1,הגדרות!$E$7+1),MOD(H1779-1-הגדרות!$E$8*(הגדרות!$E$7+1),הגדרות!$E$7)))</f>
        <v/>
      </c>
      <c r="K1779" s="0" t="str">
        <f aca="false">IF(I1779="","",J1779*הגדרות!$E$6+I1779+1)</f>
        <v/>
      </c>
      <c r="L1779" s="0" t="str">
        <f aca="false">IF(K1779="","",MATCH(K1779,$F$2:$F$5001,0))</f>
        <v/>
      </c>
      <c r="M1779" s="0" t="str">
        <f aca="false">IF(I1779="","",INDEX(הגדרות!$A$2:$A$21,MOD(I1779+הגדרות!$E$9,הגדרות!$E$6)+1))</f>
        <v/>
      </c>
    </row>
    <row r="1780" customFormat="false" ht="15" hidden="false" customHeight="false" outlineLevel="0" collapsed="false">
      <c r="A1780" s="0" t="str">
        <f aca="false">IF('הדבקת לידים'!A1780="","",IF(ISNUMBER('הדבקת לידים'!A1780),IF(הגדרות!$E$2&gt;0,TEXT('הדבקת לידים'!A1780,REPT("0",הגדרות!$E$2)),TEXT('הדבקת לידים'!A1780,"0")),TRIM('הדבקת לידים'!A1780)))</f>
        <v/>
      </c>
      <c r="B1780" s="0" t="str">
        <f aca="false">IF('הדבקת לידים'!B1780="","",IF(ISNUMBER('הדבקת לידים'!B1780),IF(הגדרות!$E$3&gt;0,TEXT('הדבקת לידים'!B1780,REPT("0",הגדרות!$E$3)),TEXT('הדבקת לידים'!B1780,"0")),TRIM('הדבקת לידים'!B1780)))</f>
        <v/>
      </c>
      <c r="C1780" s="0" t="n">
        <f aca="false">IF(OR(A1780&lt;&gt;"",B1780&lt;&gt;""),1,0)</f>
        <v>0</v>
      </c>
      <c r="D1780" s="0" t="str">
        <f aca="false">IF(C1780=1,MOD(ABS(SIN(ROW()*12.9898+'הדבקת לידים'!$F$2*78.233+IFERROR(--RIGHT(A1780,6),LEN(A1780))*0.0137+IFERROR(--RIGHT(B1780,6),LEN(B1780))*0.0071))*43758.5453,1),"")</f>
        <v/>
      </c>
      <c r="E1780" s="0" t="str">
        <f aca="false">IF(C1780=1,INT(MOD(ABS(SIN(D1780*7919.123+ROW()*0.618+'הדבקת לידים'!$F$2*1.3))*43758.5453,1)*1000000)*10000+ROW(),"")</f>
        <v/>
      </c>
      <c r="F1780" s="0" t="str">
        <f aca="false">IF(E1780="","",RANK(E1780,$E$2:$E$5001,1))</f>
        <v/>
      </c>
      <c r="G1780" s="0" t="n">
        <f aca="false">IF(A1780="",0,IF(SUMPRODUCT(--($A$2:$A$5001=A1780))&gt;1,1,0))</f>
        <v>0</v>
      </c>
      <c r="H1780" s="0" t="n">
        <f aca="false">ROW()-1</f>
        <v>1779</v>
      </c>
      <c r="I1780" s="0" t="str">
        <f aca="false">IF(OR(הגדרות!$E$6=0,H1780&gt;הגדרות!$E$5),"",IF(H1780-1&lt;הגדרות!$E$8*(הגדרות!$E$7+1),INT((H1780-1)/(הגדרות!$E$7+1)),הגדרות!$E$8+INT((H1780-1-הגדרות!$E$8*(הגדרות!$E$7+1))/הגדרות!$E$7)))</f>
        <v/>
      </c>
      <c r="J1780" s="0" t="str">
        <f aca="false">IF(I1780="","",IF(H1780-1&lt;הגדרות!$E$8*(הגדרות!$E$7+1),MOD(H1780-1,הגדרות!$E$7+1),MOD(H1780-1-הגדרות!$E$8*(הגדרות!$E$7+1),הגדרות!$E$7)))</f>
        <v/>
      </c>
      <c r="K1780" s="0" t="str">
        <f aca="false">IF(I1780="","",J1780*הגדרות!$E$6+I1780+1)</f>
        <v/>
      </c>
      <c r="L1780" s="0" t="str">
        <f aca="false">IF(K1780="","",MATCH(K1780,$F$2:$F$5001,0))</f>
        <v/>
      </c>
      <c r="M1780" s="0" t="str">
        <f aca="false">IF(I1780="","",INDEX(הגדרות!$A$2:$A$21,MOD(I1780+הגדרות!$E$9,הגדרות!$E$6)+1))</f>
        <v/>
      </c>
    </row>
    <row r="1781" customFormat="false" ht="15" hidden="false" customHeight="false" outlineLevel="0" collapsed="false">
      <c r="A1781" s="0" t="str">
        <f aca="false">IF('הדבקת לידים'!A1781="","",IF(ISNUMBER('הדבקת לידים'!A1781),IF(הגדרות!$E$2&gt;0,TEXT('הדבקת לידים'!A1781,REPT("0",הגדרות!$E$2)),TEXT('הדבקת לידים'!A1781,"0")),TRIM('הדבקת לידים'!A1781)))</f>
        <v/>
      </c>
      <c r="B1781" s="0" t="str">
        <f aca="false">IF('הדבקת לידים'!B1781="","",IF(ISNUMBER('הדבקת לידים'!B1781),IF(הגדרות!$E$3&gt;0,TEXT('הדבקת לידים'!B1781,REPT("0",הגדרות!$E$3)),TEXT('הדבקת לידים'!B1781,"0")),TRIM('הדבקת לידים'!B1781)))</f>
        <v/>
      </c>
      <c r="C1781" s="0" t="n">
        <f aca="false">IF(OR(A1781&lt;&gt;"",B1781&lt;&gt;""),1,0)</f>
        <v>0</v>
      </c>
      <c r="D1781" s="0" t="str">
        <f aca="false">IF(C1781=1,MOD(ABS(SIN(ROW()*12.9898+'הדבקת לידים'!$F$2*78.233+IFERROR(--RIGHT(A1781,6),LEN(A1781))*0.0137+IFERROR(--RIGHT(B1781,6),LEN(B1781))*0.0071))*43758.5453,1),"")</f>
        <v/>
      </c>
      <c r="E1781" s="0" t="str">
        <f aca="false">IF(C1781=1,INT(MOD(ABS(SIN(D1781*7919.123+ROW()*0.618+'הדבקת לידים'!$F$2*1.3))*43758.5453,1)*1000000)*10000+ROW(),"")</f>
        <v/>
      </c>
      <c r="F1781" s="0" t="str">
        <f aca="false">IF(E1781="","",RANK(E1781,$E$2:$E$5001,1))</f>
        <v/>
      </c>
      <c r="G1781" s="0" t="n">
        <f aca="false">IF(A1781="",0,IF(SUMPRODUCT(--($A$2:$A$5001=A1781))&gt;1,1,0))</f>
        <v>0</v>
      </c>
      <c r="H1781" s="0" t="n">
        <f aca="false">ROW()-1</f>
        <v>1780</v>
      </c>
      <c r="I1781" s="0" t="str">
        <f aca="false">IF(OR(הגדרות!$E$6=0,H1781&gt;הגדרות!$E$5),"",IF(H1781-1&lt;הגדרות!$E$8*(הגדרות!$E$7+1),INT((H1781-1)/(הגדרות!$E$7+1)),הגדרות!$E$8+INT((H1781-1-הגדרות!$E$8*(הגדרות!$E$7+1))/הגדרות!$E$7)))</f>
        <v/>
      </c>
      <c r="J1781" s="0" t="str">
        <f aca="false">IF(I1781="","",IF(H1781-1&lt;הגדרות!$E$8*(הגדרות!$E$7+1),MOD(H1781-1,הגדרות!$E$7+1),MOD(H1781-1-הגדרות!$E$8*(הגדרות!$E$7+1),הגדרות!$E$7)))</f>
        <v/>
      </c>
      <c r="K1781" s="0" t="str">
        <f aca="false">IF(I1781="","",J1781*הגדרות!$E$6+I1781+1)</f>
        <v/>
      </c>
      <c r="L1781" s="0" t="str">
        <f aca="false">IF(K1781="","",MATCH(K1781,$F$2:$F$5001,0))</f>
        <v/>
      </c>
      <c r="M1781" s="0" t="str">
        <f aca="false">IF(I1781="","",INDEX(הגדרות!$A$2:$A$21,MOD(I1781+הגדרות!$E$9,הגדרות!$E$6)+1))</f>
        <v/>
      </c>
    </row>
    <row r="1782" customFormat="false" ht="15" hidden="false" customHeight="false" outlineLevel="0" collapsed="false">
      <c r="A1782" s="0" t="str">
        <f aca="false">IF('הדבקת לידים'!A1782="","",IF(ISNUMBER('הדבקת לידים'!A1782),IF(הגדרות!$E$2&gt;0,TEXT('הדבקת לידים'!A1782,REPT("0",הגדרות!$E$2)),TEXT('הדבקת לידים'!A1782,"0")),TRIM('הדבקת לידים'!A1782)))</f>
        <v/>
      </c>
      <c r="B1782" s="0" t="str">
        <f aca="false">IF('הדבקת לידים'!B1782="","",IF(ISNUMBER('הדבקת לידים'!B1782),IF(הגדרות!$E$3&gt;0,TEXT('הדבקת לידים'!B1782,REPT("0",הגדרות!$E$3)),TEXT('הדבקת לידים'!B1782,"0")),TRIM('הדבקת לידים'!B1782)))</f>
        <v/>
      </c>
      <c r="C1782" s="0" t="n">
        <f aca="false">IF(OR(A1782&lt;&gt;"",B1782&lt;&gt;""),1,0)</f>
        <v>0</v>
      </c>
      <c r="D1782" s="0" t="str">
        <f aca="false">IF(C1782=1,MOD(ABS(SIN(ROW()*12.9898+'הדבקת לידים'!$F$2*78.233+IFERROR(--RIGHT(A1782,6),LEN(A1782))*0.0137+IFERROR(--RIGHT(B1782,6),LEN(B1782))*0.0071))*43758.5453,1),"")</f>
        <v/>
      </c>
      <c r="E1782" s="0" t="str">
        <f aca="false">IF(C1782=1,INT(MOD(ABS(SIN(D1782*7919.123+ROW()*0.618+'הדבקת לידים'!$F$2*1.3))*43758.5453,1)*1000000)*10000+ROW(),"")</f>
        <v/>
      </c>
      <c r="F1782" s="0" t="str">
        <f aca="false">IF(E1782="","",RANK(E1782,$E$2:$E$5001,1))</f>
        <v/>
      </c>
      <c r="G1782" s="0" t="n">
        <f aca="false">IF(A1782="",0,IF(SUMPRODUCT(--($A$2:$A$5001=A1782))&gt;1,1,0))</f>
        <v>0</v>
      </c>
      <c r="H1782" s="0" t="n">
        <f aca="false">ROW()-1</f>
        <v>1781</v>
      </c>
      <c r="I1782" s="0" t="str">
        <f aca="false">IF(OR(הגדרות!$E$6=0,H1782&gt;הגדרות!$E$5),"",IF(H1782-1&lt;הגדרות!$E$8*(הגדרות!$E$7+1),INT((H1782-1)/(הגדרות!$E$7+1)),הגדרות!$E$8+INT((H1782-1-הגדרות!$E$8*(הגדרות!$E$7+1))/הגדרות!$E$7)))</f>
        <v/>
      </c>
      <c r="J1782" s="0" t="str">
        <f aca="false">IF(I1782="","",IF(H1782-1&lt;הגדרות!$E$8*(הגדרות!$E$7+1),MOD(H1782-1,הגדרות!$E$7+1),MOD(H1782-1-הגדרות!$E$8*(הגדרות!$E$7+1),הגדרות!$E$7)))</f>
        <v/>
      </c>
      <c r="K1782" s="0" t="str">
        <f aca="false">IF(I1782="","",J1782*הגדרות!$E$6+I1782+1)</f>
        <v/>
      </c>
      <c r="L1782" s="0" t="str">
        <f aca="false">IF(K1782="","",MATCH(K1782,$F$2:$F$5001,0))</f>
        <v/>
      </c>
      <c r="M1782" s="0" t="str">
        <f aca="false">IF(I1782="","",INDEX(הגדרות!$A$2:$A$21,MOD(I1782+הגדרות!$E$9,הגדרות!$E$6)+1))</f>
        <v/>
      </c>
    </row>
    <row r="1783" customFormat="false" ht="15" hidden="false" customHeight="false" outlineLevel="0" collapsed="false">
      <c r="A1783" s="0" t="str">
        <f aca="false">IF('הדבקת לידים'!A1783="","",IF(ISNUMBER('הדבקת לידים'!A1783),IF(הגדרות!$E$2&gt;0,TEXT('הדבקת לידים'!A1783,REPT("0",הגדרות!$E$2)),TEXT('הדבקת לידים'!A1783,"0")),TRIM('הדבקת לידים'!A1783)))</f>
        <v/>
      </c>
      <c r="B1783" s="0" t="str">
        <f aca="false">IF('הדבקת לידים'!B1783="","",IF(ISNUMBER('הדבקת לידים'!B1783),IF(הגדרות!$E$3&gt;0,TEXT('הדבקת לידים'!B1783,REPT("0",הגדרות!$E$3)),TEXT('הדבקת לידים'!B1783,"0")),TRIM('הדבקת לידים'!B1783)))</f>
        <v/>
      </c>
      <c r="C1783" s="0" t="n">
        <f aca="false">IF(OR(A1783&lt;&gt;"",B1783&lt;&gt;""),1,0)</f>
        <v>0</v>
      </c>
      <c r="D1783" s="0" t="str">
        <f aca="false">IF(C1783=1,MOD(ABS(SIN(ROW()*12.9898+'הדבקת לידים'!$F$2*78.233+IFERROR(--RIGHT(A1783,6),LEN(A1783))*0.0137+IFERROR(--RIGHT(B1783,6),LEN(B1783))*0.0071))*43758.5453,1),"")</f>
        <v/>
      </c>
      <c r="E1783" s="0" t="str">
        <f aca="false">IF(C1783=1,INT(MOD(ABS(SIN(D1783*7919.123+ROW()*0.618+'הדבקת לידים'!$F$2*1.3))*43758.5453,1)*1000000)*10000+ROW(),"")</f>
        <v/>
      </c>
      <c r="F1783" s="0" t="str">
        <f aca="false">IF(E1783="","",RANK(E1783,$E$2:$E$5001,1))</f>
        <v/>
      </c>
      <c r="G1783" s="0" t="n">
        <f aca="false">IF(A1783="",0,IF(SUMPRODUCT(--($A$2:$A$5001=A1783))&gt;1,1,0))</f>
        <v>0</v>
      </c>
      <c r="H1783" s="0" t="n">
        <f aca="false">ROW()-1</f>
        <v>1782</v>
      </c>
      <c r="I1783" s="0" t="str">
        <f aca="false">IF(OR(הגדרות!$E$6=0,H1783&gt;הגדרות!$E$5),"",IF(H1783-1&lt;הגדרות!$E$8*(הגדרות!$E$7+1),INT((H1783-1)/(הגדרות!$E$7+1)),הגדרות!$E$8+INT((H1783-1-הגדרות!$E$8*(הגדרות!$E$7+1))/הגדרות!$E$7)))</f>
        <v/>
      </c>
      <c r="J1783" s="0" t="str">
        <f aca="false">IF(I1783="","",IF(H1783-1&lt;הגדרות!$E$8*(הגדרות!$E$7+1),MOD(H1783-1,הגדרות!$E$7+1),MOD(H1783-1-הגדרות!$E$8*(הגדרות!$E$7+1),הגדרות!$E$7)))</f>
        <v/>
      </c>
      <c r="K1783" s="0" t="str">
        <f aca="false">IF(I1783="","",J1783*הגדרות!$E$6+I1783+1)</f>
        <v/>
      </c>
      <c r="L1783" s="0" t="str">
        <f aca="false">IF(K1783="","",MATCH(K1783,$F$2:$F$5001,0))</f>
        <v/>
      </c>
      <c r="M1783" s="0" t="str">
        <f aca="false">IF(I1783="","",INDEX(הגדרות!$A$2:$A$21,MOD(I1783+הגדרות!$E$9,הגדרות!$E$6)+1))</f>
        <v/>
      </c>
    </row>
    <row r="1784" customFormat="false" ht="15" hidden="false" customHeight="false" outlineLevel="0" collapsed="false">
      <c r="A1784" s="0" t="str">
        <f aca="false">IF('הדבקת לידים'!A1784="","",IF(ISNUMBER('הדבקת לידים'!A1784),IF(הגדרות!$E$2&gt;0,TEXT('הדבקת לידים'!A1784,REPT("0",הגדרות!$E$2)),TEXT('הדבקת לידים'!A1784,"0")),TRIM('הדבקת לידים'!A1784)))</f>
        <v/>
      </c>
      <c r="B1784" s="0" t="str">
        <f aca="false">IF('הדבקת לידים'!B1784="","",IF(ISNUMBER('הדבקת לידים'!B1784),IF(הגדרות!$E$3&gt;0,TEXT('הדבקת לידים'!B1784,REPT("0",הגדרות!$E$3)),TEXT('הדבקת לידים'!B1784,"0")),TRIM('הדבקת לידים'!B1784)))</f>
        <v/>
      </c>
      <c r="C1784" s="0" t="n">
        <f aca="false">IF(OR(A1784&lt;&gt;"",B1784&lt;&gt;""),1,0)</f>
        <v>0</v>
      </c>
      <c r="D1784" s="0" t="str">
        <f aca="false">IF(C1784=1,MOD(ABS(SIN(ROW()*12.9898+'הדבקת לידים'!$F$2*78.233+IFERROR(--RIGHT(A1784,6),LEN(A1784))*0.0137+IFERROR(--RIGHT(B1784,6),LEN(B1784))*0.0071))*43758.5453,1),"")</f>
        <v/>
      </c>
      <c r="E1784" s="0" t="str">
        <f aca="false">IF(C1784=1,INT(MOD(ABS(SIN(D1784*7919.123+ROW()*0.618+'הדבקת לידים'!$F$2*1.3))*43758.5453,1)*1000000)*10000+ROW(),"")</f>
        <v/>
      </c>
      <c r="F1784" s="0" t="str">
        <f aca="false">IF(E1784="","",RANK(E1784,$E$2:$E$5001,1))</f>
        <v/>
      </c>
      <c r="G1784" s="0" t="n">
        <f aca="false">IF(A1784="",0,IF(SUMPRODUCT(--($A$2:$A$5001=A1784))&gt;1,1,0))</f>
        <v>0</v>
      </c>
      <c r="H1784" s="0" t="n">
        <f aca="false">ROW()-1</f>
        <v>1783</v>
      </c>
      <c r="I1784" s="0" t="str">
        <f aca="false">IF(OR(הגדרות!$E$6=0,H1784&gt;הגדרות!$E$5),"",IF(H1784-1&lt;הגדרות!$E$8*(הגדרות!$E$7+1),INT((H1784-1)/(הגדרות!$E$7+1)),הגדרות!$E$8+INT((H1784-1-הגדרות!$E$8*(הגדרות!$E$7+1))/הגדרות!$E$7)))</f>
        <v/>
      </c>
      <c r="J1784" s="0" t="str">
        <f aca="false">IF(I1784="","",IF(H1784-1&lt;הגדרות!$E$8*(הגדרות!$E$7+1),MOD(H1784-1,הגדרות!$E$7+1),MOD(H1784-1-הגדרות!$E$8*(הגדרות!$E$7+1),הגדרות!$E$7)))</f>
        <v/>
      </c>
      <c r="K1784" s="0" t="str">
        <f aca="false">IF(I1784="","",J1784*הגדרות!$E$6+I1784+1)</f>
        <v/>
      </c>
      <c r="L1784" s="0" t="str">
        <f aca="false">IF(K1784="","",MATCH(K1784,$F$2:$F$5001,0))</f>
        <v/>
      </c>
      <c r="M1784" s="0" t="str">
        <f aca="false">IF(I1784="","",INDEX(הגדרות!$A$2:$A$21,MOD(I1784+הגדרות!$E$9,הגדרות!$E$6)+1))</f>
        <v/>
      </c>
    </row>
    <row r="1785" customFormat="false" ht="15" hidden="false" customHeight="false" outlineLevel="0" collapsed="false">
      <c r="A1785" s="0" t="str">
        <f aca="false">IF('הדבקת לידים'!A1785="","",IF(ISNUMBER('הדבקת לידים'!A1785),IF(הגדרות!$E$2&gt;0,TEXT('הדבקת לידים'!A1785,REPT("0",הגדרות!$E$2)),TEXT('הדבקת לידים'!A1785,"0")),TRIM('הדבקת לידים'!A1785)))</f>
        <v/>
      </c>
      <c r="B1785" s="0" t="str">
        <f aca="false">IF('הדבקת לידים'!B1785="","",IF(ISNUMBER('הדבקת לידים'!B1785),IF(הגדרות!$E$3&gt;0,TEXT('הדבקת לידים'!B1785,REPT("0",הגדרות!$E$3)),TEXT('הדבקת לידים'!B1785,"0")),TRIM('הדבקת לידים'!B1785)))</f>
        <v/>
      </c>
      <c r="C1785" s="0" t="n">
        <f aca="false">IF(OR(A1785&lt;&gt;"",B1785&lt;&gt;""),1,0)</f>
        <v>0</v>
      </c>
      <c r="D1785" s="0" t="str">
        <f aca="false">IF(C1785=1,MOD(ABS(SIN(ROW()*12.9898+'הדבקת לידים'!$F$2*78.233+IFERROR(--RIGHT(A1785,6),LEN(A1785))*0.0137+IFERROR(--RIGHT(B1785,6),LEN(B1785))*0.0071))*43758.5453,1),"")</f>
        <v/>
      </c>
      <c r="E1785" s="0" t="str">
        <f aca="false">IF(C1785=1,INT(MOD(ABS(SIN(D1785*7919.123+ROW()*0.618+'הדבקת לידים'!$F$2*1.3))*43758.5453,1)*1000000)*10000+ROW(),"")</f>
        <v/>
      </c>
      <c r="F1785" s="0" t="str">
        <f aca="false">IF(E1785="","",RANK(E1785,$E$2:$E$5001,1))</f>
        <v/>
      </c>
      <c r="G1785" s="0" t="n">
        <f aca="false">IF(A1785="",0,IF(SUMPRODUCT(--($A$2:$A$5001=A1785))&gt;1,1,0))</f>
        <v>0</v>
      </c>
      <c r="H1785" s="0" t="n">
        <f aca="false">ROW()-1</f>
        <v>1784</v>
      </c>
      <c r="I1785" s="0" t="str">
        <f aca="false">IF(OR(הגדרות!$E$6=0,H1785&gt;הגדרות!$E$5),"",IF(H1785-1&lt;הגדרות!$E$8*(הגדרות!$E$7+1),INT((H1785-1)/(הגדרות!$E$7+1)),הגדרות!$E$8+INT((H1785-1-הגדרות!$E$8*(הגדרות!$E$7+1))/הגדרות!$E$7)))</f>
        <v/>
      </c>
      <c r="J1785" s="0" t="str">
        <f aca="false">IF(I1785="","",IF(H1785-1&lt;הגדרות!$E$8*(הגדרות!$E$7+1),MOD(H1785-1,הגדרות!$E$7+1),MOD(H1785-1-הגדרות!$E$8*(הגדרות!$E$7+1),הגדרות!$E$7)))</f>
        <v/>
      </c>
      <c r="K1785" s="0" t="str">
        <f aca="false">IF(I1785="","",J1785*הגדרות!$E$6+I1785+1)</f>
        <v/>
      </c>
      <c r="L1785" s="0" t="str">
        <f aca="false">IF(K1785="","",MATCH(K1785,$F$2:$F$5001,0))</f>
        <v/>
      </c>
      <c r="M1785" s="0" t="str">
        <f aca="false">IF(I1785="","",INDEX(הגדרות!$A$2:$A$21,MOD(I1785+הגדרות!$E$9,הגדרות!$E$6)+1))</f>
        <v/>
      </c>
    </row>
    <row r="1786" customFormat="false" ht="15" hidden="false" customHeight="false" outlineLevel="0" collapsed="false">
      <c r="A1786" s="0" t="str">
        <f aca="false">IF('הדבקת לידים'!A1786="","",IF(ISNUMBER('הדבקת לידים'!A1786),IF(הגדרות!$E$2&gt;0,TEXT('הדבקת לידים'!A1786,REPT("0",הגדרות!$E$2)),TEXT('הדבקת לידים'!A1786,"0")),TRIM('הדבקת לידים'!A1786)))</f>
        <v/>
      </c>
      <c r="B1786" s="0" t="str">
        <f aca="false">IF('הדבקת לידים'!B1786="","",IF(ISNUMBER('הדבקת לידים'!B1786),IF(הגדרות!$E$3&gt;0,TEXT('הדבקת לידים'!B1786,REPT("0",הגדרות!$E$3)),TEXT('הדבקת לידים'!B1786,"0")),TRIM('הדבקת לידים'!B1786)))</f>
        <v/>
      </c>
      <c r="C1786" s="0" t="n">
        <f aca="false">IF(OR(A1786&lt;&gt;"",B1786&lt;&gt;""),1,0)</f>
        <v>0</v>
      </c>
      <c r="D1786" s="0" t="str">
        <f aca="false">IF(C1786=1,MOD(ABS(SIN(ROW()*12.9898+'הדבקת לידים'!$F$2*78.233+IFERROR(--RIGHT(A1786,6),LEN(A1786))*0.0137+IFERROR(--RIGHT(B1786,6),LEN(B1786))*0.0071))*43758.5453,1),"")</f>
        <v/>
      </c>
      <c r="E1786" s="0" t="str">
        <f aca="false">IF(C1786=1,INT(MOD(ABS(SIN(D1786*7919.123+ROW()*0.618+'הדבקת לידים'!$F$2*1.3))*43758.5453,1)*1000000)*10000+ROW(),"")</f>
        <v/>
      </c>
      <c r="F1786" s="0" t="str">
        <f aca="false">IF(E1786="","",RANK(E1786,$E$2:$E$5001,1))</f>
        <v/>
      </c>
      <c r="G1786" s="0" t="n">
        <f aca="false">IF(A1786="",0,IF(SUMPRODUCT(--($A$2:$A$5001=A1786))&gt;1,1,0))</f>
        <v>0</v>
      </c>
      <c r="H1786" s="0" t="n">
        <f aca="false">ROW()-1</f>
        <v>1785</v>
      </c>
      <c r="I1786" s="0" t="str">
        <f aca="false">IF(OR(הגדרות!$E$6=0,H1786&gt;הגדרות!$E$5),"",IF(H1786-1&lt;הגדרות!$E$8*(הגדרות!$E$7+1),INT((H1786-1)/(הגדרות!$E$7+1)),הגדרות!$E$8+INT((H1786-1-הגדרות!$E$8*(הגדרות!$E$7+1))/הגדרות!$E$7)))</f>
        <v/>
      </c>
      <c r="J1786" s="0" t="str">
        <f aca="false">IF(I1786="","",IF(H1786-1&lt;הגדרות!$E$8*(הגדרות!$E$7+1),MOD(H1786-1,הגדרות!$E$7+1),MOD(H1786-1-הגדרות!$E$8*(הגדרות!$E$7+1),הגדרות!$E$7)))</f>
        <v/>
      </c>
      <c r="K1786" s="0" t="str">
        <f aca="false">IF(I1786="","",J1786*הגדרות!$E$6+I1786+1)</f>
        <v/>
      </c>
      <c r="L1786" s="0" t="str">
        <f aca="false">IF(K1786="","",MATCH(K1786,$F$2:$F$5001,0))</f>
        <v/>
      </c>
      <c r="M1786" s="0" t="str">
        <f aca="false">IF(I1786="","",INDEX(הגדרות!$A$2:$A$21,MOD(I1786+הגדרות!$E$9,הגדרות!$E$6)+1))</f>
        <v/>
      </c>
    </row>
    <row r="1787" customFormat="false" ht="15" hidden="false" customHeight="false" outlineLevel="0" collapsed="false">
      <c r="A1787" s="0" t="str">
        <f aca="false">IF('הדבקת לידים'!A1787="","",IF(ISNUMBER('הדבקת לידים'!A1787),IF(הגדרות!$E$2&gt;0,TEXT('הדבקת לידים'!A1787,REPT("0",הגדרות!$E$2)),TEXT('הדבקת לידים'!A1787,"0")),TRIM('הדבקת לידים'!A1787)))</f>
        <v/>
      </c>
      <c r="B1787" s="0" t="str">
        <f aca="false">IF('הדבקת לידים'!B1787="","",IF(ISNUMBER('הדבקת לידים'!B1787),IF(הגדרות!$E$3&gt;0,TEXT('הדבקת לידים'!B1787,REPT("0",הגדרות!$E$3)),TEXT('הדבקת לידים'!B1787,"0")),TRIM('הדבקת לידים'!B1787)))</f>
        <v/>
      </c>
      <c r="C1787" s="0" t="n">
        <f aca="false">IF(OR(A1787&lt;&gt;"",B1787&lt;&gt;""),1,0)</f>
        <v>0</v>
      </c>
      <c r="D1787" s="0" t="str">
        <f aca="false">IF(C1787=1,MOD(ABS(SIN(ROW()*12.9898+'הדבקת לידים'!$F$2*78.233+IFERROR(--RIGHT(A1787,6),LEN(A1787))*0.0137+IFERROR(--RIGHT(B1787,6),LEN(B1787))*0.0071))*43758.5453,1),"")</f>
        <v/>
      </c>
      <c r="E1787" s="0" t="str">
        <f aca="false">IF(C1787=1,INT(MOD(ABS(SIN(D1787*7919.123+ROW()*0.618+'הדבקת לידים'!$F$2*1.3))*43758.5453,1)*1000000)*10000+ROW(),"")</f>
        <v/>
      </c>
      <c r="F1787" s="0" t="str">
        <f aca="false">IF(E1787="","",RANK(E1787,$E$2:$E$5001,1))</f>
        <v/>
      </c>
      <c r="G1787" s="0" t="n">
        <f aca="false">IF(A1787="",0,IF(SUMPRODUCT(--($A$2:$A$5001=A1787))&gt;1,1,0))</f>
        <v>0</v>
      </c>
      <c r="H1787" s="0" t="n">
        <f aca="false">ROW()-1</f>
        <v>1786</v>
      </c>
      <c r="I1787" s="0" t="str">
        <f aca="false">IF(OR(הגדרות!$E$6=0,H1787&gt;הגדרות!$E$5),"",IF(H1787-1&lt;הגדרות!$E$8*(הגדרות!$E$7+1),INT((H1787-1)/(הגדרות!$E$7+1)),הגדרות!$E$8+INT((H1787-1-הגדרות!$E$8*(הגדרות!$E$7+1))/הגדרות!$E$7)))</f>
        <v/>
      </c>
      <c r="J1787" s="0" t="str">
        <f aca="false">IF(I1787="","",IF(H1787-1&lt;הגדרות!$E$8*(הגדרות!$E$7+1),MOD(H1787-1,הגדרות!$E$7+1),MOD(H1787-1-הגדרות!$E$8*(הגדרות!$E$7+1),הגדרות!$E$7)))</f>
        <v/>
      </c>
      <c r="K1787" s="0" t="str">
        <f aca="false">IF(I1787="","",J1787*הגדרות!$E$6+I1787+1)</f>
        <v/>
      </c>
      <c r="L1787" s="0" t="str">
        <f aca="false">IF(K1787="","",MATCH(K1787,$F$2:$F$5001,0))</f>
        <v/>
      </c>
      <c r="M1787" s="0" t="str">
        <f aca="false">IF(I1787="","",INDEX(הגדרות!$A$2:$A$21,MOD(I1787+הגדרות!$E$9,הגדרות!$E$6)+1))</f>
        <v/>
      </c>
    </row>
    <row r="1788" customFormat="false" ht="15" hidden="false" customHeight="false" outlineLevel="0" collapsed="false">
      <c r="A1788" s="0" t="str">
        <f aca="false">IF('הדבקת לידים'!A1788="","",IF(ISNUMBER('הדבקת לידים'!A1788),IF(הגדרות!$E$2&gt;0,TEXT('הדבקת לידים'!A1788,REPT("0",הגדרות!$E$2)),TEXT('הדבקת לידים'!A1788,"0")),TRIM('הדבקת לידים'!A1788)))</f>
        <v/>
      </c>
      <c r="B1788" s="0" t="str">
        <f aca="false">IF('הדבקת לידים'!B1788="","",IF(ISNUMBER('הדבקת לידים'!B1788),IF(הגדרות!$E$3&gt;0,TEXT('הדבקת לידים'!B1788,REPT("0",הגדרות!$E$3)),TEXT('הדבקת לידים'!B1788,"0")),TRIM('הדבקת לידים'!B1788)))</f>
        <v/>
      </c>
      <c r="C1788" s="0" t="n">
        <f aca="false">IF(OR(A1788&lt;&gt;"",B1788&lt;&gt;""),1,0)</f>
        <v>0</v>
      </c>
      <c r="D1788" s="0" t="str">
        <f aca="false">IF(C1788=1,MOD(ABS(SIN(ROW()*12.9898+'הדבקת לידים'!$F$2*78.233+IFERROR(--RIGHT(A1788,6),LEN(A1788))*0.0137+IFERROR(--RIGHT(B1788,6),LEN(B1788))*0.0071))*43758.5453,1),"")</f>
        <v/>
      </c>
      <c r="E1788" s="0" t="str">
        <f aca="false">IF(C1788=1,INT(MOD(ABS(SIN(D1788*7919.123+ROW()*0.618+'הדבקת לידים'!$F$2*1.3))*43758.5453,1)*1000000)*10000+ROW(),"")</f>
        <v/>
      </c>
      <c r="F1788" s="0" t="str">
        <f aca="false">IF(E1788="","",RANK(E1788,$E$2:$E$5001,1))</f>
        <v/>
      </c>
      <c r="G1788" s="0" t="n">
        <f aca="false">IF(A1788="",0,IF(SUMPRODUCT(--($A$2:$A$5001=A1788))&gt;1,1,0))</f>
        <v>0</v>
      </c>
      <c r="H1788" s="0" t="n">
        <f aca="false">ROW()-1</f>
        <v>1787</v>
      </c>
      <c r="I1788" s="0" t="str">
        <f aca="false">IF(OR(הגדרות!$E$6=0,H1788&gt;הגדרות!$E$5),"",IF(H1788-1&lt;הגדרות!$E$8*(הגדרות!$E$7+1),INT((H1788-1)/(הגדרות!$E$7+1)),הגדרות!$E$8+INT((H1788-1-הגדרות!$E$8*(הגדרות!$E$7+1))/הגדרות!$E$7)))</f>
        <v/>
      </c>
      <c r="J1788" s="0" t="str">
        <f aca="false">IF(I1788="","",IF(H1788-1&lt;הגדרות!$E$8*(הגדרות!$E$7+1),MOD(H1788-1,הגדרות!$E$7+1),MOD(H1788-1-הגדרות!$E$8*(הגדרות!$E$7+1),הגדרות!$E$7)))</f>
        <v/>
      </c>
      <c r="K1788" s="0" t="str">
        <f aca="false">IF(I1788="","",J1788*הגדרות!$E$6+I1788+1)</f>
        <v/>
      </c>
      <c r="L1788" s="0" t="str">
        <f aca="false">IF(K1788="","",MATCH(K1788,$F$2:$F$5001,0))</f>
        <v/>
      </c>
      <c r="M1788" s="0" t="str">
        <f aca="false">IF(I1788="","",INDEX(הגדרות!$A$2:$A$21,MOD(I1788+הגדרות!$E$9,הגדרות!$E$6)+1))</f>
        <v/>
      </c>
    </row>
    <row r="1789" customFormat="false" ht="15" hidden="false" customHeight="false" outlineLevel="0" collapsed="false">
      <c r="A1789" s="0" t="str">
        <f aca="false">IF('הדבקת לידים'!A1789="","",IF(ISNUMBER('הדבקת לידים'!A1789),IF(הגדרות!$E$2&gt;0,TEXT('הדבקת לידים'!A1789,REPT("0",הגדרות!$E$2)),TEXT('הדבקת לידים'!A1789,"0")),TRIM('הדבקת לידים'!A1789)))</f>
        <v/>
      </c>
      <c r="B1789" s="0" t="str">
        <f aca="false">IF('הדבקת לידים'!B1789="","",IF(ISNUMBER('הדבקת לידים'!B1789),IF(הגדרות!$E$3&gt;0,TEXT('הדבקת לידים'!B1789,REPT("0",הגדרות!$E$3)),TEXT('הדבקת לידים'!B1789,"0")),TRIM('הדבקת לידים'!B1789)))</f>
        <v/>
      </c>
      <c r="C1789" s="0" t="n">
        <f aca="false">IF(OR(A1789&lt;&gt;"",B1789&lt;&gt;""),1,0)</f>
        <v>0</v>
      </c>
      <c r="D1789" s="0" t="str">
        <f aca="false">IF(C1789=1,MOD(ABS(SIN(ROW()*12.9898+'הדבקת לידים'!$F$2*78.233+IFERROR(--RIGHT(A1789,6),LEN(A1789))*0.0137+IFERROR(--RIGHT(B1789,6),LEN(B1789))*0.0071))*43758.5453,1),"")</f>
        <v/>
      </c>
      <c r="E1789" s="0" t="str">
        <f aca="false">IF(C1789=1,INT(MOD(ABS(SIN(D1789*7919.123+ROW()*0.618+'הדבקת לידים'!$F$2*1.3))*43758.5453,1)*1000000)*10000+ROW(),"")</f>
        <v/>
      </c>
      <c r="F1789" s="0" t="str">
        <f aca="false">IF(E1789="","",RANK(E1789,$E$2:$E$5001,1))</f>
        <v/>
      </c>
      <c r="G1789" s="0" t="n">
        <f aca="false">IF(A1789="",0,IF(SUMPRODUCT(--($A$2:$A$5001=A1789))&gt;1,1,0))</f>
        <v>0</v>
      </c>
      <c r="H1789" s="0" t="n">
        <f aca="false">ROW()-1</f>
        <v>1788</v>
      </c>
      <c r="I1789" s="0" t="str">
        <f aca="false">IF(OR(הגדרות!$E$6=0,H1789&gt;הגדרות!$E$5),"",IF(H1789-1&lt;הגדרות!$E$8*(הגדרות!$E$7+1),INT((H1789-1)/(הגדרות!$E$7+1)),הגדרות!$E$8+INT((H1789-1-הגדרות!$E$8*(הגדרות!$E$7+1))/הגדרות!$E$7)))</f>
        <v/>
      </c>
      <c r="J1789" s="0" t="str">
        <f aca="false">IF(I1789="","",IF(H1789-1&lt;הגדרות!$E$8*(הגדרות!$E$7+1),MOD(H1789-1,הגדרות!$E$7+1),MOD(H1789-1-הגדרות!$E$8*(הגדרות!$E$7+1),הגדרות!$E$7)))</f>
        <v/>
      </c>
      <c r="K1789" s="0" t="str">
        <f aca="false">IF(I1789="","",J1789*הגדרות!$E$6+I1789+1)</f>
        <v/>
      </c>
      <c r="L1789" s="0" t="str">
        <f aca="false">IF(K1789="","",MATCH(K1789,$F$2:$F$5001,0))</f>
        <v/>
      </c>
      <c r="M1789" s="0" t="str">
        <f aca="false">IF(I1789="","",INDEX(הגדרות!$A$2:$A$21,MOD(I1789+הגדרות!$E$9,הגדרות!$E$6)+1))</f>
        <v/>
      </c>
    </row>
    <row r="1790" customFormat="false" ht="15" hidden="false" customHeight="false" outlineLevel="0" collapsed="false">
      <c r="A1790" s="0" t="str">
        <f aca="false">IF('הדבקת לידים'!A1790="","",IF(ISNUMBER('הדבקת לידים'!A1790),IF(הגדרות!$E$2&gt;0,TEXT('הדבקת לידים'!A1790,REPT("0",הגדרות!$E$2)),TEXT('הדבקת לידים'!A1790,"0")),TRIM('הדבקת לידים'!A1790)))</f>
        <v/>
      </c>
      <c r="B1790" s="0" t="str">
        <f aca="false">IF('הדבקת לידים'!B1790="","",IF(ISNUMBER('הדבקת לידים'!B1790),IF(הגדרות!$E$3&gt;0,TEXT('הדבקת לידים'!B1790,REPT("0",הגדרות!$E$3)),TEXT('הדבקת לידים'!B1790,"0")),TRIM('הדבקת לידים'!B1790)))</f>
        <v/>
      </c>
      <c r="C1790" s="0" t="n">
        <f aca="false">IF(OR(A1790&lt;&gt;"",B1790&lt;&gt;""),1,0)</f>
        <v>0</v>
      </c>
      <c r="D1790" s="0" t="str">
        <f aca="false">IF(C1790=1,MOD(ABS(SIN(ROW()*12.9898+'הדבקת לידים'!$F$2*78.233+IFERROR(--RIGHT(A1790,6),LEN(A1790))*0.0137+IFERROR(--RIGHT(B1790,6),LEN(B1790))*0.0071))*43758.5453,1),"")</f>
        <v/>
      </c>
      <c r="E1790" s="0" t="str">
        <f aca="false">IF(C1790=1,INT(MOD(ABS(SIN(D1790*7919.123+ROW()*0.618+'הדבקת לידים'!$F$2*1.3))*43758.5453,1)*1000000)*10000+ROW(),"")</f>
        <v/>
      </c>
      <c r="F1790" s="0" t="str">
        <f aca="false">IF(E1790="","",RANK(E1790,$E$2:$E$5001,1))</f>
        <v/>
      </c>
      <c r="G1790" s="0" t="n">
        <f aca="false">IF(A1790="",0,IF(SUMPRODUCT(--($A$2:$A$5001=A1790))&gt;1,1,0))</f>
        <v>0</v>
      </c>
      <c r="H1790" s="0" t="n">
        <f aca="false">ROW()-1</f>
        <v>1789</v>
      </c>
      <c r="I1790" s="0" t="str">
        <f aca="false">IF(OR(הגדרות!$E$6=0,H1790&gt;הגדרות!$E$5),"",IF(H1790-1&lt;הגדרות!$E$8*(הגדרות!$E$7+1),INT((H1790-1)/(הגדרות!$E$7+1)),הגדרות!$E$8+INT((H1790-1-הגדרות!$E$8*(הגדרות!$E$7+1))/הגדרות!$E$7)))</f>
        <v/>
      </c>
      <c r="J1790" s="0" t="str">
        <f aca="false">IF(I1790="","",IF(H1790-1&lt;הגדרות!$E$8*(הגדרות!$E$7+1),MOD(H1790-1,הגדרות!$E$7+1),MOD(H1790-1-הגדרות!$E$8*(הגדרות!$E$7+1),הגדרות!$E$7)))</f>
        <v/>
      </c>
      <c r="K1790" s="0" t="str">
        <f aca="false">IF(I1790="","",J1790*הגדרות!$E$6+I1790+1)</f>
        <v/>
      </c>
      <c r="L1790" s="0" t="str">
        <f aca="false">IF(K1790="","",MATCH(K1790,$F$2:$F$5001,0))</f>
        <v/>
      </c>
      <c r="M1790" s="0" t="str">
        <f aca="false">IF(I1790="","",INDEX(הגדרות!$A$2:$A$21,MOD(I1790+הגדרות!$E$9,הגדרות!$E$6)+1))</f>
        <v/>
      </c>
    </row>
    <row r="1791" customFormat="false" ht="15" hidden="false" customHeight="false" outlineLevel="0" collapsed="false">
      <c r="A1791" s="0" t="str">
        <f aca="false">IF('הדבקת לידים'!A1791="","",IF(ISNUMBER('הדבקת לידים'!A1791),IF(הגדרות!$E$2&gt;0,TEXT('הדבקת לידים'!A1791,REPT("0",הגדרות!$E$2)),TEXT('הדבקת לידים'!A1791,"0")),TRIM('הדבקת לידים'!A1791)))</f>
        <v/>
      </c>
      <c r="B1791" s="0" t="str">
        <f aca="false">IF('הדבקת לידים'!B1791="","",IF(ISNUMBER('הדבקת לידים'!B1791),IF(הגדרות!$E$3&gt;0,TEXT('הדבקת לידים'!B1791,REPT("0",הגדרות!$E$3)),TEXT('הדבקת לידים'!B1791,"0")),TRIM('הדבקת לידים'!B1791)))</f>
        <v/>
      </c>
      <c r="C1791" s="0" t="n">
        <f aca="false">IF(OR(A1791&lt;&gt;"",B1791&lt;&gt;""),1,0)</f>
        <v>0</v>
      </c>
      <c r="D1791" s="0" t="str">
        <f aca="false">IF(C1791=1,MOD(ABS(SIN(ROW()*12.9898+'הדבקת לידים'!$F$2*78.233+IFERROR(--RIGHT(A1791,6),LEN(A1791))*0.0137+IFERROR(--RIGHT(B1791,6),LEN(B1791))*0.0071))*43758.5453,1),"")</f>
        <v/>
      </c>
      <c r="E1791" s="0" t="str">
        <f aca="false">IF(C1791=1,INT(MOD(ABS(SIN(D1791*7919.123+ROW()*0.618+'הדבקת לידים'!$F$2*1.3))*43758.5453,1)*1000000)*10000+ROW(),"")</f>
        <v/>
      </c>
      <c r="F1791" s="0" t="str">
        <f aca="false">IF(E1791="","",RANK(E1791,$E$2:$E$5001,1))</f>
        <v/>
      </c>
      <c r="G1791" s="0" t="n">
        <f aca="false">IF(A1791="",0,IF(SUMPRODUCT(--($A$2:$A$5001=A1791))&gt;1,1,0))</f>
        <v>0</v>
      </c>
      <c r="H1791" s="0" t="n">
        <f aca="false">ROW()-1</f>
        <v>1790</v>
      </c>
      <c r="I1791" s="0" t="str">
        <f aca="false">IF(OR(הגדרות!$E$6=0,H1791&gt;הגדרות!$E$5),"",IF(H1791-1&lt;הגדרות!$E$8*(הגדרות!$E$7+1),INT((H1791-1)/(הגדרות!$E$7+1)),הגדרות!$E$8+INT((H1791-1-הגדרות!$E$8*(הגדרות!$E$7+1))/הגדרות!$E$7)))</f>
        <v/>
      </c>
      <c r="J1791" s="0" t="str">
        <f aca="false">IF(I1791="","",IF(H1791-1&lt;הגדרות!$E$8*(הגדרות!$E$7+1),MOD(H1791-1,הגדרות!$E$7+1),MOD(H1791-1-הגדרות!$E$8*(הגדרות!$E$7+1),הגדרות!$E$7)))</f>
        <v/>
      </c>
      <c r="K1791" s="0" t="str">
        <f aca="false">IF(I1791="","",J1791*הגדרות!$E$6+I1791+1)</f>
        <v/>
      </c>
      <c r="L1791" s="0" t="str">
        <f aca="false">IF(K1791="","",MATCH(K1791,$F$2:$F$5001,0))</f>
        <v/>
      </c>
      <c r="M1791" s="0" t="str">
        <f aca="false">IF(I1791="","",INDEX(הגדרות!$A$2:$A$21,MOD(I1791+הגדרות!$E$9,הגדרות!$E$6)+1))</f>
        <v/>
      </c>
    </row>
    <row r="1792" customFormat="false" ht="15" hidden="false" customHeight="false" outlineLevel="0" collapsed="false">
      <c r="A1792" s="0" t="str">
        <f aca="false">IF('הדבקת לידים'!A1792="","",IF(ISNUMBER('הדבקת לידים'!A1792),IF(הגדרות!$E$2&gt;0,TEXT('הדבקת לידים'!A1792,REPT("0",הגדרות!$E$2)),TEXT('הדבקת לידים'!A1792,"0")),TRIM('הדבקת לידים'!A1792)))</f>
        <v/>
      </c>
      <c r="B1792" s="0" t="str">
        <f aca="false">IF('הדבקת לידים'!B1792="","",IF(ISNUMBER('הדבקת לידים'!B1792),IF(הגדרות!$E$3&gt;0,TEXT('הדבקת לידים'!B1792,REPT("0",הגדרות!$E$3)),TEXT('הדבקת לידים'!B1792,"0")),TRIM('הדבקת לידים'!B1792)))</f>
        <v/>
      </c>
      <c r="C1792" s="0" t="n">
        <f aca="false">IF(OR(A1792&lt;&gt;"",B1792&lt;&gt;""),1,0)</f>
        <v>0</v>
      </c>
      <c r="D1792" s="0" t="str">
        <f aca="false">IF(C1792=1,MOD(ABS(SIN(ROW()*12.9898+'הדבקת לידים'!$F$2*78.233+IFERROR(--RIGHT(A1792,6),LEN(A1792))*0.0137+IFERROR(--RIGHT(B1792,6),LEN(B1792))*0.0071))*43758.5453,1),"")</f>
        <v/>
      </c>
      <c r="E1792" s="0" t="str">
        <f aca="false">IF(C1792=1,INT(MOD(ABS(SIN(D1792*7919.123+ROW()*0.618+'הדבקת לידים'!$F$2*1.3))*43758.5453,1)*1000000)*10000+ROW(),"")</f>
        <v/>
      </c>
      <c r="F1792" s="0" t="str">
        <f aca="false">IF(E1792="","",RANK(E1792,$E$2:$E$5001,1))</f>
        <v/>
      </c>
      <c r="G1792" s="0" t="n">
        <f aca="false">IF(A1792="",0,IF(SUMPRODUCT(--($A$2:$A$5001=A1792))&gt;1,1,0))</f>
        <v>0</v>
      </c>
      <c r="H1792" s="0" t="n">
        <f aca="false">ROW()-1</f>
        <v>1791</v>
      </c>
      <c r="I1792" s="0" t="str">
        <f aca="false">IF(OR(הגדרות!$E$6=0,H1792&gt;הגדרות!$E$5),"",IF(H1792-1&lt;הגדרות!$E$8*(הגדרות!$E$7+1),INT((H1792-1)/(הגדרות!$E$7+1)),הגדרות!$E$8+INT((H1792-1-הגדרות!$E$8*(הגדרות!$E$7+1))/הגדרות!$E$7)))</f>
        <v/>
      </c>
      <c r="J1792" s="0" t="str">
        <f aca="false">IF(I1792="","",IF(H1792-1&lt;הגדרות!$E$8*(הגדרות!$E$7+1),MOD(H1792-1,הגדרות!$E$7+1),MOD(H1792-1-הגדרות!$E$8*(הגדרות!$E$7+1),הגדרות!$E$7)))</f>
        <v/>
      </c>
      <c r="K1792" s="0" t="str">
        <f aca="false">IF(I1792="","",J1792*הגדרות!$E$6+I1792+1)</f>
        <v/>
      </c>
      <c r="L1792" s="0" t="str">
        <f aca="false">IF(K1792="","",MATCH(K1792,$F$2:$F$5001,0))</f>
        <v/>
      </c>
      <c r="M1792" s="0" t="str">
        <f aca="false">IF(I1792="","",INDEX(הגדרות!$A$2:$A$21,MOD(I1792+הגדרות!$E$9,הגדרות!$E$6)+1))</f>
        <v/>
      </c>
    </row>
    <row r="1793" customFormat="false" ht="15" hidden="false" customHeight="false" outlineLevel="0" collapsed="false">
      <c r="A1793" s="0" t="str">
        <f aca="false">IF('הדבקת לידים'!A1793="","",IF(ISNUMBER('הדבקת לידים'!A1793),IF(הגדרות!$E$2&gt;0,TEXT('הדבקת לידים'!A1793,REPT("0",הגדרות!$E$2)),TEXT('הדבקת לידים'!A1793,"0")),TRIM('הדבקת לידים'!A1793)))</f>
        <v/>
      </c>
      <c r="B1793" s="0" t="str">
        <f aca="false">IF('הדבקת לידים'!B1793="","",IF(ISNUMBER('הדבקת לידים'!B1793),IF(הגדרות!$E$3&gt;0,TEXT('הדבקת לידים'!B1793,REPT("0",הגדרות!$E$3)),TEXT('הדבקת לידים'!B1793,"0")),TRIM('הדבקת לידים'!B1793)))</f>
        <v/>
      </c>
      <c r="C1793" s="0" t="n">
        <f aca="false">IF(OR(A1793&lt;&gt;"",B1793&lt;&gt;""),1,0)</f>
        <v>0</v>
      </c>
      <c r="D1793" s="0" t="str">
        <f aca="false">IF(C1793=1,MOD(ABS(SIN(ROW()*12.9898+'הדבקת לידים'!$F$2*78.233+IFERROR(--RIGHT(A1793,6),LEN(A1793))*0.0137+IFERROR(--RIGHT(B1793,6),LEN(B1793))*0.0071))*43758.5453,1),"")</f>
        <v/>
      </c>
      <c r="E1793" s="0" t="str">
        <f aca="false">IF(C1793=1,INT(MOD(ABS(SIN(D1793*7919.123+ROW()*0.618+'הדבקת לידים'!$F$2*1.3))*43758.5453,1)*1000000)*10000+ROW(),"")</f>
        <v/>
      </c>
      <c r="F1793" s="0" t="str">
        <f aca="false">IF(E1793="","",RANK(E1793,$E$2:$E$5001,1))</f>
        <v/>
      </c>
      <c r="G1793" s="0" t="n">
        <f aca="false">IF(A1793="",0,IF(SUMPRODUCT(--($A$2:$A$5001=A1793))&gt;1,1,0))</f>
        <v>0</v>
      </c>
      <c r="H1793" s="0" t="n">
        <f aca="false">ROW()-1</f>
        <v>1792</v>
      </c>
      <c r="I1793" s="0" t="str">
        <f aca="false">IF(OR(הגדרות!$E$6=0,H1793&gt;הגדרות!$E$5),"",IF(H1793-1&lt;הגדרות!$E$8*(הגדרות!$E$7+1),INT((H1793-1)/(הגדרות!$E$7+1)),הגדרות!$E$8+INT((H1793-1-הגדרות!$E$8*(הגדרות!$E$7+1))/הגדרות!$E$7)))</f>
        <v/>
      </c>
      <c r="J1793" s="0" t="str">
        <f aca="false">IF(I1793="","",IF(H1793-1&lt;הגדרות!$E$8*(הגדרות!$E$7+1),MOD(H1793-1,הגדרות!$E$7+1),MOD(H1793-1-הגדרות!$E$8*(הגדרות!$E$7+1),הגדרות!$E$7)))</f>
        <v/>
      </c>
      <c r="K1793" s="0" t="str">
        <f aca="false">IF(I1793="","",J1793*הגדרות!$E$6+I1793+1)</f>
        <v/>
      </c>
      <c r="L1793" s="0" t="str">
        <f aca="false">IF(K1793="","",MATCH(K1793,$F$2:$F$5001,0))</f>
        <v/>
      </c>
      <c r="M1793" s="0" t="str">
        <f aca="false">IF(I1793="","",INDEX(הגדרות!$A$2:$A$21,MOD(I1793+הגדרות!$E$9,הגדרות!$E$6)+1))</f>
        <v/>
      </c>
    </row>
    <row r="1794" customFormat="false" ht="15" hidden="false" customHeight="false" outlineLevel="0" collapsed="false">
      <c r="A1794" s="0" t="str">
        <f aca="false">IF('הדבקת לידים'!A1794="","",IF(ISNUMBER('הדבקת לידים'!A1794),IF(הגדרות!$E$2&gt;0,TEXT('הדבקת לידים'!A1794,REPT("0",הגדרות!$E$2)),TEXT('הדבקת לידים'!A1794,"0")),TRIM('הדבקת לידים'!A1794)))</f>
        <v/>
      </c>
      <c r="B1794" s="0" t="str">
        <f aca="false">IF('הדבקת לידים'!B1794="","",IF(ISNUMBER('הדבקת לידים'!B1794),IF(הגדרות!$E$3&gt;0,TEXT('הדבקת לידים'!B1794,REPT("0",הגדרות!$E$3)),TEXT('הדבקת לידים'!B1794,"0")),TRIM('הדבקת לידים'!B1794)))</f>
        <v/>
      </c>
      <c r="C1794" s="0" t="n">
        <f aca="false">IF(OR(A1794&lt;&gt;"",B1794&lt;&gt;""),1,0)</f>
        <v>0</v>
      </c>
      <c r="D1794" s="0" t="str">
        <f aca="false">IF(C1794=1,MOD(ABS(SIN(ROW()*12.9898+'הדבקת לידים'!$F$2*78.233+IFERROR(--RIGHT(A1794,6),LEN(A1794))*0.0137+IFERROR(--RIGHT(B1794,6),LEN(B1794))*0.0071))*43758.5453,1),"")</f>
        <v/>
      </c>
      <c r="E1794" s="0" t="str">
        <f aca="false">IF(C1794=1,INT(MOD(ABS(SIN(D1794*7919.123+ROW()*0.618+'הדבקת לידים'!$F$2*1.3))*43758.5453,1)*1000000)*10000+ROW(),"")</f>
        <v/>
      </c>
      <c r="F1794" s="0" t="str">
        <f aca="false">IF(E1794="","",RANK(E1794,$E$2:$E$5001,1))</f>
        <v/>
      </c>
      <c r="G1794" s="0" t="n">
        <f aca="false">IF(A1794="",0,IF(SUMPRODUCT(--($A$2:$A$5001=A1794))&gt;1,1,0))</f>
        <v>0</v>
      </c>
      <c r="H1794" s="0" t="n">
        <f aca="false">ROW()-1</f>
        <v>1793</v>
      </c>
      <c r="I1794" s="0" t="str">
        <f aca="false">IF(OR(הגדרות!$E$6=0,H1794&gt;הגדרות!$E$5),"",IF(H1794-1&lt;הגדרות!$E$8*(הגדרות!$E$7+1),INT((H1794-1)/(הגדרות!$E$7+1)),הגדרות!$E$8+INT((H1794-1-הגדרות!$E$8*(הגדרות!$E$7+1))/הגדרות!$E$7)))</f>
        <v/>
      </c>
      <c r="J1794" s="0" t="str">
        <f aca="false">IF(I1794="","",IF(H1794-1&lt;הגדרות!$E$8*(הגדרות!$E$7+1),MOD(H1794-1,הגדרות!$E$7+1),MOD(H1794-1-הגדרות!$E$8*(הגדרות!$E$7+1),הגדרות!$E$7)))</f>
        <v/>
      </c>
      <c r="K1794" s="0" t="str">
        <f aca="false">IF(I1794="","",J1794*הגדרות!$E$6+I1794+1)</f>
        <v/>
      </c>
      <c r="L1794" s="0" t="str">
        <f aca="false">IF(K1794="","",MATCH(K1794,$F$2:$F$5001,0))</f>
        <v/>
      </c>
      <c r="M1794" s="0" t="str">
        <f aca="false">IF(I1794="","",INDEX(הגדרות!$A$2:$A$21,MOD(I1794+הגדרות!$E$9,הגדרות!$E$6)+1))</f>
        <v/>
      </c>
    </row>
    <row r="1795" customFormat="false" ht="15" hidden="false" customHeight="false" outlineLevel="0" collapsed="false">
      <c r="A1795" s="0" t="str">
        <f aca="false">IF('הדבקת לידים'!A1795="","",IF(ISNUMBER('הדבקת לידים'!A1795),IF(הגדרות!$E$2&gt;0,TEXT('הדבקת לידים'!A1795,REPT("0",הגדרות!$E$2)),TEXT('הדבקת לידים'!A1795,"0")),TRIM('הדבקת לידים'!A1795)))</f>
        <v/>
      </c>
      <c r="B1795" s="0" t="str">
        <f aca="false">IF('הדבקת לידים'!B1795="","",IF(ISNUMBER('הדבקת לידים'!B1795),IF(הגדרות!$E$3&gt;0,TEXT('הדבקת לידים'!B1795,REPT("0",הגדרות!$E$3)),TEXT('הדבקת לידים'!B1795,"0")),TRIM('הדבקת לידים'!B1795)))</f>
        <v/>
      </c>
      <c r="C1795" s="0" t="n">
        <f aca="false">IF(OR(A1795&lt;&gt;"",B1795&lt;&gt;""),1,0)</f>
        <v>0</v>
      </c>
      <c r="D1795" s="0" t="str">
        <f aca="false">IF(C1795=1,MOD(ABS(SIN(ROW()*12.9898+'הדבקת לידים'!$F$2*78.233+IFERROR(--RIGHT(A1795,6),LEN(A1795))*0.0137+IFERROR(--RIGHT(B1795,6),LEN(B1795))*0.0071))*43758.5453,1),"")</f>
        <v/>
      </c>
      <c r="E1795" s="0" t="str">
        <f aca="false">IF(C1795=1,INT(MOD(ABS(SIN(D1795*7919.123+ROW()*0.618+'הדבקת לידים'!$F$2*1.3))*43758.5453,1)*1000000)*10000+ROW(),"")</f>
        <v/>
      </c>
      <c r="F1795" s="0" t="str">
        <f aca="false">IF(E1795="","",RANK(E1795,$E$2:$E$5001,1))</f>
        <v/>
      </c>
      <c r="G1795" s="0" t="n">
        <f aca="false">IF(A1795="",0,IF(SUMPRODUCT(--($A$2:$A$5001=A1795))&gt;1,1,0))</f>
        <v>0</v>
      </c>
      <c r="H1795" s="0" t="n">
        <f aca="false">ROW()-1</f>
        <v>1794</v>
      </c>
      <c r="I1795" s="0" t="str">
        <f aca="false">IF(OR(הגדרות!$E$6=0,H1795&gt;הגדרות!$E$5),"",IF(H1795-1&lt;הגדרות!$E$8*(הגדרות!$E$7+1),INT((H1795-1)/(הגדרות!$E$7+1)),הגדרות!$E$8+INT((H1795-1-הגדרות!$E$8*(הגדרות!$E$7+1))/הגדרות!$E$7)))</f>
        <v/>
      </c>
      <c r="J1795" s="0" t="str">
        <f aca="false">IF(I1795="","",IF(H1795-1&lt;הגדרות!$E$8*(הגדרות!$E$7+1),MOD(H1795-1,הגדרות!$E$7+1),MOD(H1795-1-הגדרות!$E$8*(הגדרות!$E$7+1),הגדרות!$E$7)))</f>
        <v/>
      </c>
      <c r="K1795" s="0" t="str">
        <f aca="false">IF(I1795="","",J1795*הגדרות!$E$6+I1795+1)</f>
        <v/>
      </c>
      <c r="L1795" s="0" t="str">
        <f aca="false">IF(K1795="","",MATCH(K1795,$F$2:$F$5001,0))</f>
        <v/>
      </c>
      <c r="M1795" s="0" t="str">
        <f aca="false">IF(I1795="","",INDEX(הגדרות!$A$2:$A$21,MOD(I1795+הגדרות!$E$9,הגדרות!$E$6)+1))</f>
        <v/>
      </c>
    </row>
    <row r="1796" customFormat="false" ht="15" hidden="false" customHeight="false" outlineLevel="0" collapsed="false">
      <c r="A1796" s="0" t="str">
        <f aca="false">IF('הדבקת לידים'!A1796="","",IF(ISNUMBER('הדבקת לידים'!A1796),IF(הגדרות!$E$2&gt;0,TEXT('הדבקת לידים'!A1796,REPT("0",הגדרות!$E$2)),TEXT('הדבקת לידים'!A1796,"0")),TRIM('הדבקת לידים'!A1796)))</f>
        <v/>
      </c>
      <c r="B1796" s="0" t="str">
        <f aca="false">IF('הדבקת לידים'!B1796="","",IF(ISNUMBER('הדבקת לידים'!B1796),IF(הגדרות!$E$3&gt;0,TEXT('הדבקת לידים'!B1796,REPT("0",הגדרות!$E$3)),TEXT('הדבקת לידים'!B1796,"0")),TRIM('הדבקת לידים'!B1796)))</f>
        <v/>
      </c>
      <c r="C1796" s="0" t="n">
        <f aca="false">IF(OR(A1796&lt;&gt;"",B1796&lt;&gt;""),1,0)</f>
        <v>0</v>
      </c>
      <c r="D1796" s="0" t="str">
        <f aca="false">IF(C1796=1,MOD(ABS(SIN(ROW()*12.9898+'הדבקת לידים'!$F$2*78.233+IFERROR(--RIGHT(A1796,6),LEN(A1796))*0.0137+IFERROR(--RIGHT(B1796,6),LEN(B1796))*0.0071))*43758.5453,1),"")</f>
        <v/>
      </c>
      <c r="E1796" s="0" t="str">
        <f aca="false">IF(C1796=1,INT(MOD(ABS(SIN(D1796*7919.123+ROW()*0.618+'הדבקת לידים'!$F$2*1.3))*43758.5453,1)*1000000)*10000+ROW(),"")</f>
        <v/>
      </c>
      <c r="F1796" s="0" t="str">
        <f aca="false">IF(E1796="","",RANK(E1796,$E$2:$E$5001,1))</f>
        <v/>
      </c>
      <c r="G1796" s="0" t="n">
        <f aca="false">IF(A1796="",0,IF(SUMPRODUCT(--($A$2:$A$5001=A1796))&gt;1,1,0))</f>
        <v>0</v>
      </c>
      <c r="H1796" s="0" t="n">
        <f aca="false">ROW()-1</f>
        <v>1795</v>
      </c>
      <c r="I1796" s="0" t="str">
        <f aca="false">IF(OR(הגדרות!$E$6=0,H1796&gt;הגדרות!$E$5),"",IF(H1796-1&lt;הגדרות!$E$8*(הגדרות!$E$7+1),INT((H1796-1)/(הגדרות!$E$7+1)),הגדרות!$E$8+INT((H1796-1-הגדרות!$E$8*(הגדרות!$E$7+1))/הגדרות!$E$7)))</f>
        <v/>
      </c>
      <c r="J1796" s="0" t="str">
        <f aca="false">IF(I1796="","",IF(H1796-1&lt;הגדרות!$E$8*(הגדרות!$E$7+1),MOD(H1796-1,הגדרות!$E$7+1),MOD(H1796-1-הגדרות!$E$8*(הגדרות!$E$7+1),הגדרות!$E$7)))</f>
        <v/>
      </c>
      <c r="K1796" s="0" t="str">
        <f aca="false">IF(I1796="","",J1796*הגדרות!$E$6+I1796+1)</f>
        <v/>
      </c>
      <c r="L1796" s="0" t="str">
        <f aca="false">IF(K1796="","",MATCH(K1796,$F$2:$F$5001,0))</f>
        <v/>
      </c>
      <c r="M1796" s="0" t="str">
        <f aca="false">IF(I1796="","",INDEX(הגדרות!$A$2:$A$21,MOD(I1796+הגדרות!$E$9,הגדרות!$E$6)+1))</f>
        <v/>
      </c>
    </row>
    <row r="1797" customFormat="false" ht="15" hidden="false" customHeight="false" outlineLevel="0" collapsed="false">
      <c r="A1797" s="0" t="str">
        <f aca="false">IF('הדבקת לידים'!A1797="","",IF(ISNUMBER('הדבקת לידים'!A1797),IF(הגדרות!$E$2&gt;0,TEXT('הדבקת לידים'!A1797,REPT("0",הגדרות!$E$2)),TEXT('הדבקת לידים'!A1797,"0")),TRIM('הדבקת לידים'!A1797)))</f>
        <v/>
      </c>
      <c r="B1797" s="0" t="str">
        <f aca="false">IF('הדבקת לידים'!B1797="","",IF(ISNUMBER('הדבקת לידים'!B1797),IF(הגדרות!$E$3&gt;0,TEXT('הדבקת לידים'!B1797,REPT("0",הגדרות!$E$3)),TEXT('הדבקת לידים'!B1797,"0")),TRIM('הדבקת לידים'!B1797)))</f>
        <v/>
      </c>
      <c r="C1797" s="0" t="n">
        <f aca="false">IF(OR(A1797&lt;&gt;"",B1797&lt;&gt;""),1,0)</f>
        <v>0</v>
      </c>
      <c r="D1797" s="0" t="str">
        <f aca="false">IF(C1797=1,MOD(ABS(SIN(ROW()*12.9898+'הדבקת לידים'!$F$2*78.233+IFERROR(--RIGHT(A1797,6),LEN(A1797))*0.0137+IFERROR(--RIGHT(B1797,6),LEN(B1797))*0.0071))*43758.5453,1),"")</f>
        <v/>
      </c>
      <c r="E1797" s="0" t="str">
        <f aca="false">IF(C1797=1,INT(MOD(ABS(SIN(D1797*7919.123+ROW()*0.618+'הדבקת לידים'!$F$2*1.3))*43758.5453,1)*1000000)*10000+ROW(),"")</f>
        <v/>
      </c>
      <c r="F1797" s="0" t="str">
        <f aca="false">IF(E1797="","",RANK(E1797,$E$2:$E$5001,1))</f>
        <v/>
      </c>
      <c r="G1797" s="0" t="n">
        <f aca="false">IF(A1797="",0,IF(SUMPRODUCT(--($A$2:$A$5001=A1797))&gt;1,1,0))</f>
        <v>0</v>
      </c>
      <c r="H1797" s="0" t="n">
        <f aca="false">ROW()-1</f>
        <v>1796</v>
      </c>
      <c r="I1797" s="0" t="str">
        <f aca="false">IF(OR(הגדרות!$E$6=0,H1797&gt;הגדרות!$E$5),"",IF(H1797-1&lt;הגדרות!$E$8*(הגדרות!$E$7+1),INT((H1797-1)/(הגדרות!$E$7+1)),הגדרות!$E$8+INT((H1797-1-הגדרות!$E$8*(הגדרות!$E$7+1))/הגדרות!$E$7)))</f>
        <v/>
      </c>
      <c r="J1797" s="0" t="str">
        <f aca="false">IF(I1797="","",IF(H1797-1&lt;הגדרות!$E$8*(הגדרות!$E$7+1),MOD(H1797-1,הגדרות!$E$7+1),MOD(H1797-1-הגדרות!$E$8*(הגדרות!$E$7+1),הגדרות!$E$7)))</f>
        <v/>
      </c>
      <c r="K1797" s="0" t="str">
        <f aca="false">IF(I1797="","",J1797*הגדרות!$E$6+I1797+1)</f>
        <v/>
      </c>
      <c r="L1797" s="0" t="str">
        <f aca="false">IF(K1797="","",MATCH(K1797,$F$2:$F$5001,0))</f>
        <v/>
      </c>
      <c r="M1797" s="0" t="str">
        <f aca="false">IF(I1797="","",INDEX(הגדרות!$A$2:$A$21,MOD(I1797+הגדרות!$E$9,הגדרות!$E$6)+1))</f>
        <v/>
      </c>
    </row>
    <row r="1798" customFormat="false" ht="15" hidden="false" customHeight="false" outlineLevel="0" collapsed="false">
      <c r="A1798" s="0" t="str">
        <f aca="false">IF('הדבקת לידים'!A1798="","",IF(ISNUMBER('הדבקת לידים'!A1798),IF(הגדרות!$E$2&gt;0,TEXT('הדבקת לידים'!A1798,REPT("0",הגדרות!$E$2)),TEXT('הדבקת לידים'!A1798,"0")),TRIM('הדבקת לידים'!A1798)))</f>
        <v/>
      </c>
      <c r="B1798" s="0" t="str">
        <f aca="false">IF('הדבקת לידים'!B1798="","",IF(ISNUMBER('הדבקת לידים'!B1798),IF(הגדרות!$E$3&gt;0,TEXT('הדבקת לידים'!B1798,REPT("0",הגדרות!$E$3)),TEXT('הדבקת לידים'!B1798,"0")),TRIM('הדבקת לידים'!B1798)))</f>
        <v/>
      </c>
      <c r="C1798" s="0" t="n">
        <f aca="false">IF(OR(A1798&lt;&gt;"",B1798&lt;&gt;""),1,0)</f>
        <v>0</v>
      </c>
      <c r="D1798" s="0" t="str">
        <f aca="false">IF(C1798=1,MOD(ABS(SIN(ROW()*12.9898+'הדבקת לידים'!$F$2*78.233+IFERROR(--RIGHT(A1798,6),LEN(A1798))*0.0137+IFERROR(--RIGHT(B1798,6),LEN(B1798))*0.0071))*43758.5453,1),"")</f>
        <v/>
      </c>
      <c r="E1798" s="0" t="str">
        <f aca="false">IF(C1798=1,INT(MOD(ABS(SIN(D1798*7919.123+ROW()*0.618+'הדבקת לידים'!$F$2*1.3))*43758.5453,1)*1000000)*10000+ROW(),"")</f>
        <v/>
      </c>
      <c r="F1798" s="0" t="str">
        <f aca="false">IF(E1798="","",RANK(E1798,$E$2:$E$5001,1))</f>
        <v/>
      </c>
      <c r="G1798" s="0" t="n">
        <f aca="false">IF(A1798="",0,IF(SUMPRODUCT(--($A$2:$A$5001=A1798))&gt;1,1,0))</f>
        <v>0</v>
      </c>
      <c r="H1798" s="0" t="n">
        <f aca="false">ROW()-1</f>
        <v>1797</v>
      </c>
      <c r="I1798" s="0" t="str">
        <f aca="false">IF(OR(הגדרות!$E$6=0,H1798&gt;הגדרות!$E$5),"",IF(H1798-1&lt;הגדרות!$E$8*(הגדרות!$E$7+1),INT((H1798-1)/(הגדרות!$E$7+1)),הגדרות!$E$8+INT((H1798-1-הגדרות!$E$8*(הגדרות!$E$7+1))/הגדרות!$E$7)))</f>
        <v/>
      </c>
      <c r="J1798" s="0" t="str">
        <f aca="false">IF(I1798="","",IF(H1798-1&lt;הגדרות!$E$8*(הגדרות!$E$7+1),MOD(H1798-1,הגדרות!$E$7+1),MOD(H1798-1-הגדרות!$E$8*(הגדרות!$E$7+1),הגדרות!$E$7)))</f>
        <v/>
      </c>
      <c r="K1798" s="0" t="str">
        <f aca="false">IF(I1798="","",J1798*הגדרות!$E$6+I1798+1)</f>
        <v/>
      </c>
      <c r="L1798" s="0" t="str">
        <f aca="false">IF(K1798="","",MATCH(K1798,$F$2:$F$5001,0))</f>
        <v/>
      </c>
      <c r="M1798" s="0" t="str">
        <f aca="false">IF(I1798="","",INDEX(הגדרות!$A$2:$A$21,MOD(I1798+הגדרות!$E$9,הגדרות!$E$6)+1))</f>
        <v/>
      </c>
    </row>
    <row r="1799" customFormat="false" ht="15" hidden="false" customHeight="false" outlineLevel="0" collapsed="false">
      <c r="A1799" s="0" t="str">
        <f aca="false">IF('הדבקת לידים'!A1799="","",IF(ISNUMBER('הדבקת לידים'!A1799),IF(הגדרות!$E$2&gt;0,TEXT('הדבקת לידים'!A1799,REPT("0",הגדרות!$E$2)),TEXT('הדבקת לידים'!A1799,"0")),TRIM('הדבקת לידים'!A1799)))</f>
        <v/>
      </c>
      <c r="B1799" s="0" t="str">
        <f aca="false">IF('הדבקת לידים'!B1799="","",IF(ISNUMBER('הדבקת לידים'!B1799),IF(הגדרות!$E$3&gt;0,TEXT('הדבקת לידים'!B1799,REPT("0",הגדרות!$E$3)),TEXT('הדבקת לידים'!B1799,"0")),TRIM('הדבקת לידים'!B1799)))</f>
        <v/>
      </c>
      <c r="C1799" s="0" t="n">
        <f aca="false">IF(OR(A1799&lt;&gt;"",B1799&lt;&gt;""),1,0)</f>
        <v>0</v>
      </c>
      <c r="D1799" s="0" t="str">
        <f aca="false">IF(C1799=1,MOD(ABS(SIN(ROW()*12.9898+'הדבקת לידים'!$F$2*78.233+IFERROR(--RIGHT(A1799,6),LEN(A1799))*0.0137+IFERROR(--RIGHT(B1799,6),LEN(B1799))*0.0071))*43758.5453,1),"")</f>
        <v/>
      </c>
      <c r="E1799" s="0" t="str">
        <f aca="false">IF(C1799=1,INT(MOD(ABS(SIN(D1799*7919.123+ROW()*0.618+'הדבקת לידים'!$F$2*1.3))*43758.5453,1)*1000000)*10000+ROW(),"")</f>
        <v/>
      </c>
      <c r="F1799" s="0" t="str">
        <f aca="false">IF(E1799="","",RANK(E1799,$E$2:$E$5001,1))</f>
        <v/>
      </c>
      <c r="G1799" s="0" t="n">
        <f aca="false">IF(A1799="",0,IF(SUMPRODUCT(--($A$2:$A$5001=A1799))&gt;1,1,0))</f>
        <v>0</v>
      </c>
      <c r="H1799" s="0" t="n">
        <f aca="false">ROW()-1</f>
        <v>1798</v>
      </c>
      <c r="I1799" s="0" t="str">
        <f aca="false">IF(OR(הגדרות!$E$6=0,H1799&gt;הגדרות!$E$5),"",IF(H1799-1&lt;הגדרות!$E$8*(הגדרות!$E$7+1),INT((H1799-1)/(הגדרות!$E$7+1)),הגדרות!$E$8+INT((H1799-1-הגדרות!$E$8*(הגדרות!$E$7+1))/הגדרות!$E$7)))</f>
        <v/>
      </c>
      <c r="J1799" s="0" t="str">
        <f aca="false">IF(I1799="","",IF(H1799-1&lt;הגדרות!$E$8*(הגדרות!$E$7+1),MOD(H1799-1,הגדרות!$E$7+1),MOD(H1799-1-הגדרות!$E$8*(הגדרות!$E$7+1),הגדרות!$E$7)))</f>
        <v/>
      </c>
      <c r="K1799" s="0" t="str">
        <f aca="false">IF(I1799="","",J1799*הגדרות!$E$6+I1799+1)</f>
        <v/>
      </c>
      <c r="L1799" s="0" t="str">
        <f aca="false">IF(K1799="","",MATCH(K1799,$F$2:$F$5001,0))</f>
        <v/>
      </c>
      <c r="M1799" s="0" t="str">
        <f aca="false">IF(I1799="","",INDEX(הגדרות!$A$2:$A$21,MOD(I1799+הגדרות!$E$9,הגדרות!$E$6)+1))</f>
        <v/>
      </c>
    </row>
    <row r="1800" customFormat="false" ht="15" hidden="false" customHeight="false" outlineLevel="0" collapsed="false">
      <c r="A1800" s="0" t="str">
        <f aca="false">IF('הדבקת לידים'!A1800="","",IF(ISNUMBER('הדבקת לידים'!A1800),IF(הגדרות!$E$2&gt;0,TEXT('הדבקת לידים'!A1800,REPT("0",הגדרות!$E$2)),TEXT('הדבקת לידים'!A1800,"0")),TRIM('הדבקת לידים'!A1800)))</f>
        <v/>
      </c>
      <c r="B1800" s="0" t="str">
        <f aca="false">IF('הדבקת לידים'!B1800="","",IF(ISNUMBER('הדבקת לידים'!B1800),IF(הגדרות!$E$3&gt;0,TEXT('הדבקת לידים'!B1800,REPT("0",הגדרות!$E$3)),TEXT('הדבקת לידים'!B1800,"0")),TRIM('הדבקת לידים'!B1800)))</f>
        <v/>
      </c>
      <c r="C1800" s="0" t="n">
        <f aca="false">IF(OR(A1800&lt;&gt;"",B1800&lt;&gt;""),1,0)</f>
        <v>0</v>
      </c>
      <c r="D1800" s="0" t="str">
        <f aca="false">IF(C1800=1,MOD(ABS(SIN(ROW()*12.9898+'הדבקת לידים'!$F$2*78.233+IFERROR(--RIGHT(A1800,6),LEN(A1800))*0.0137+IFERROR(--RIGHT(B1800,6),LEN(B1800))*0.0071))*43758.5453,1),"")</f>
        <v/>
      </c>
      <c r="E1800" s="0" t="str">
        <f aca="false">IF(C1800=1,INT(MOD(ABS(SIN(D1800*7919.123+ROW()*0.618+'הדבקת לידים'!$F$2*1.3))*43758.5453,1)*1000000)*10000+ROW(),"")</f>
        <v/>
      </c>
      <c r="F1800" s="0" t="str">
        <f aca="false">IF(E1800="","",RANK(E1800,$E$2:$E$5001,1))</f>
        <v/>
      </c>
      <c r="G1800" s="0" t="n">
        <f aca="false">IF(A1800="",0,IF(SUMPRODUCT(--($A$2:$A$5001=A1800))&gt;1,1,0))</f>
        <v>0</v>
      </c>
      <c r="H1800" s="0" t="n">
        <f aca="false">ROW()-1</f>
        <v>1799</v>
      </c>
      <c r="I1800" s="0" t="str">
        <f aca="false">IF(OR(הגדרות!$E$6=0,H1800&gt;הגדרות!$E$5),"",IF(H1800-1&lt;הגדרות!$E$8*(הגדרות!$E$7+1),INT((H1800-1)/(הגדרות!$E$7+1)),הגדרות!$E$8+INT((H1800-1-הגדרות!$E$8*(הגדרות!$E$7+1))/הגדרות!$E$7)))</f>
        <v/>
      </c>
      <c r="J1800" s="0" t="str">
        <f aca="false">IF(I1800="","",IF(H1800-1&lt;הגדרות!$E$8*(הגדרות!$E$7+1),MOD(H1800-1,הגדרות!$E$7+1),MOD(H1800-1-הגדרות!$E$8*(הגדרות!$E$7+1),הגדרות!$E$7)))</f>
        <v/>
      </c>
      <c r="K1800" s="0" t="str">
        <f aca="false">IF(I1800="","",J1800*הגדרות!$E$6+I1800+1)</f>
        <v/>
      </c>
      <c r="L1800" s="0" t="str">
        <f aca="false">IF(K1800="","",MATCH(K1800,$F$2:$F$5001,0))</f>
        <v/>
      </c>
      <c r="M1800" s="0" t="str">
        <f aca="false">IF(I1800="","",INDEX(הגדרות!$A$2:$A$21,MOD(I1800+הגדרות!$E$9,הגדרות!$E$6)+1))</f>
        <v/>
      </c>
    </row>
    <row r="1801" customFormat="false" ht="15" hidden="false" customHeight="false" outlineLevel="0" collapsed="false">
      <c r="A1801" s="0" t="str">
        <f aca="false">IF('הדבקת לידים'!A1801="","",IF(ISNUMBER('הדבקת לידים'!A1801),IF(הגדרות!$E$2&gt;0,TEXT('הדבקת לידים'!A1801,REPT("0",הגדרות!$E$2)),TEXT('הדבקת לידים'!A1801,"0")),TRIM('הדבקת לידים'!A1801)))</f>
        <v/>
      </c>
      <c r="B1801" s="0" t="str">
        <f aca="false">IF('הדבקת לידים'!B1801="","",IF(ISNUMBER('הדבקת לידים'!B1801),IF(הגדרות!$E$3&gt;0,TEXT('הדבקת לידים'!B1801,REPT("0",הגדרות!$E$3)),TEXT('הדבקת לידים'!B1801,"0")),TRIM('הדבקת לידים'!B1801)))</f>
        <v/>
      </c>
      <c r="C1801" s="0" t="n">
        <f aca="false">IF(OR(A1801&lt;&gt;"",B1801&lt;&gt;""),1,0)</f>
        <v>0</v>
      </c>
      <c r="D1801" s="0" t="str">
        <f aca="false">IF(C1801=1,MOD(ABS(SIN(ROW()*12.9898+'הדבקת לידים'!$F$2*78.233+IFERROR(--RIGHT(A1801,6),LEN(A1801))*0.0137+IFERROR(--RIGHT(B1801,6),LEN(B1801))*0.0071))*43758.5453,1),"")</f>
        <v/>
      </c>
      <c r="E1801" s="0" t="str">
        <f aca="false">IF(C1801=1,INT(MOD(ABS(SIN(D1801*7919.123+ROW()*0.618+'הדבקת לידים'!$F$2*1.3))*43758.5453,1)*1000000)*10000+ROW(),"")</f>
        <v/>
      </c>
      <c r="F1801" s="0" t="str">
        <f aca="false">IF(E1801="","",RANK(E1801,$E$2:$E$5001,1))</f>
        <v/>
      </c>
      <c r="G1801" s="0" t="n">
        <f aca="false">IF(A1801="",0,IF(SUMPRODUCT(--($A$2:$A$5001=A1801))&gt;1,1,0))</f>
        <v>0</v>
      </c>
      <c r="H1801" s="0" t="n">
        <f aca="false">ROW()-1</f>
        <v>1800</v>
      </c>
      <c r="I1801" s="0" t="str">
        <f aca="false">IF(OR(הגדרות!$E$6=0,H1801&gt;הגדרות!$E$5),"",IF(H1801-1&lt;הגדרות!$E$8*(הגדרות!$E$7+1),INT((H1801-1)/(הגדרות!$E$7+1)),הגדרות!$E$8+INT((H1801-1-הגדרות!$E$8*(הגדרות!$E$7+1))/הגדרות!$E$7)))</f>
        <v/>
      </c>
      <c r="J1801" s="0" t="str">
        <f aca="false">IF(I1801="","",IF(H1801-1&lt;הגדרות!$E$8*(הגדרות!$E$7+1),MOD(H1801-1,הגדרות!$E$7+1),MOD(H1801-1-הגדרות!$E$8*(הגדרות!$E$7+1),הגדרות!$E$7)))</f>
        <v/>
      </c>
      <c r="K1801" s="0" t="str">
        <f aca="false">IF(I1801="","",J1801*הגדרות!$E$6+I1801+1)</f>
        <v/>
      </c>
      <c r="L1801" s="0" t="str">
        <f aca="false">IF(K1801="","",MATCH(K1801,$F$2:$F$5001,0))</f>
        <v/>
      </c>
      <c r="M1801" s="0" t="str">
        <f aca="false">IF(I1801="","",INDEX(הגדרות!$A$2:$A$21,MOD(I1801+הגדרות!$E$9,הגדרות!$E$6)+1))</f>
        <v/>
      </c>
    </row>
    <row r="1802" customFormat="false" ht="15" hidden="false" customHeight="false" outlineLevel="0" collapsed="false">
      <c r="A1802" s="0" t="str">
        <f aca="false">IF('הדבקת לידים'!A1802="","",IF(ISNUMBER('הדבקת לידים'!A1802),IF(הגדרות!$E$2&gt;0,TEXT('הדבקת לידים'!A1802,REPT("0",הגדרות!$E$2)),TEXT('הדבקת לידים'!A1802,"0")),TRIM('הדבקת לידים'!A1802)))</f>
        <v/>
      </c>
      <c r="B1802" s="0" t="str">
        <f aca="false">IF('הדבקת לידים'!B1802="","",IF(ISNUMBER('הדבקת לידים'!B1802),IF(הגדרות!$E$3&gt;0,TEXT('הדבקת לידים'!B1802,REPT("0",הגדרות!$E$3)),TEXT('הדבקת לידים'!B1802,"0")),TRIM('הדבקת לידים'!B1802)))</f>
        <v/>
      </c>
      <c r="C1802" s="0" t="n">
        <f aca="false">IF(OR(A1802&lt;&gt;"",B1802&lt;&gt;""),1,0)</f>
        <v>0</v>
      </c>
      <c r="D1802" s="0" t="str">
        <f aca="false">IF(C1802=1,MOD(ABS(SIN(ROW()*12.9898+'הדבקת לידים'!$F$2*78.233+IFERROR(--RIGHT(A1802,6),LEN(A1802))*0.0137+IFERROR(--RIGHT(B1802,6),LEN(B1802))*0.0071))*43758.5453,1),"")</f>
        <v/>
      </c>
      <c r="E1802" s="0" t="str">
        <f aca="false">IF(C1802=1,INT(MOD(ABS(SIN(D1802*7919.123+ROW()*0.618+'הדבקת לידים'!$F$2*1.3))*43758.5453,1)*1000000)*10000+ROW(),"")</f>
        <v/>
      </c>
      <c r="F1802" s="0" t="str">
        <f aca="false">IF(E1802="","",RANK(E1802,$E$2:$E$5001,1))</f>
        <v/>
      </c>
      <c r="G1802" s="0" t="n">
        <f aca="false">IF(A1802="",0,IF(SUMPRODUCT(--($A$2:$A$5001=A1802))&gt;1,1,0))</f>
        <v>0</v>
      </c>
      <c r="H1802" s="0" t="n">
        <f aca="false">ROW()-1</f>
        <v>1801</v>
      </c>
      <c r="I1802" s="0" t="str">
        <f aca="false">IF(OR(הגדרות!$E$6=0,H1802&gt;הגדרות!$E$5),"",IF(H1802-1&lt;הגדרות!$E$8*(הגדרות!$E$7+1),INT((H1802-1)/(הגדרות!$E$7+1)),הגדרות!$E$8+INT((H1802-1-הגדרות!$E$8*(הגדרות!$E$7+1))/הגדרות!$E$7)))</f>
        <v/>
      </c>
      <c r="J1802" s="0" t="str">
        <f aca="false">IF(I1802="","",IF(H1802-1&lt;הגדרות!$E$8*(הגדרות!$E$7+1),MOD(H1802-1,הגדרות!$E$7+1),MOD(H1802-1-הגדרות!$E$8*(הגדרות!$E$7+1),הגדרות!$E$7)))</f>
        <v/>
      </c>
      <c r="K1802" s="0" t="str">
        <f aca="false">IF(I1802="","",J1802*הגדרות!$E$6+I1802+1)</f>
        <v/>
      </c>
      <c r="L1802" s="0" t="str">
        <f aca="false">IF(K1802="","",MATCH(K1802,$F$2:$F$5001,0))</f>
        <v/>
      </c>
      <c r="M1802" s="0" t="str">
        <f aca="false">IF(I1802="","",INDEX(הגדרות!$A$2:$A$21,MOD(I1802+הגדרות!$E$9,הגדרות!$E$6)+1))</f>
        <v/>
      </c>
    </row>
    <row r="1803" customFormat="false" ht="15" hidden="false" customHeight="false" outlineLevel="0" collapsed="false">
      <c r="A1803" s="0" t="str">
        <f aca="false">IF('הדבקת לידים'!A1803="","",IF(ISNUMBER('הדבקת לידים'!A1803),IF(הגדרות!$E$2&gt;0,TEXT('הדבקת לידים'!A1803,REPT("0",הגדרות!$E$2)),TEXT('הדבקת לידים'!A1803,"0")),TRIM('הדבקת לידים'!A1803)))</f>
        <v/>
      </c>
      <c r="B1803" s="0" t="str">
        <f aca="false">IF('הדבקת לידים'!B1803="","",IF(ISNUMBER('הדבקת לידים'!B1803),IF(הגדרות!$E$3&gt;0,TEXT('הדבקת לידים'!B1803,REPT("0",הגדרות!$E$3)),TEXT('הדבקת לידים'!B1803,"0")),TRIM('הדבקת לידים'!B1803)))</f>
        <v/>
      </c>
      <c r="C1803" s="0" t="n">
        <f aca="false">IF(OR(A1803&lt;&gt;"",B1803&lt;&gt;""),1,0)</f>
        <v>0</v>
      </c>
      <c r="D1803" s="0" t="str">
        <f aca="false">IF(C1803=1,MOD(ABS(SIN(ROW()*12.9898+'הדבקת לידים'!$F$2*78.233+IFERROR(--RIGHT(A1803,6),LEN(A1803))*0.0137+IFERROR(--RIGHT(B1803,6),LEN(B1803))*0.0071))*43758.5453,1),"")</f>
        <v/>
      </c>
      <c r="E1803" s="0" t="str">
        <f aca="false">IF(C1803=1,INT(MOD(ABS(SIN(D1803*7919.123+ROW()*0.618+'הדבקת לידים'!$F$2*1.3))*43758.5453,1)*1000000)*10000+ROW(),"")</f>
        <v/>
      </c>
      <c r="F1803" s="0" t="str">
        <f aca="false">IF(E1803="","",RANK(E1803,$E$2:$E$5001,1))</f>
        <v/>
      </c>
      <c r="G1803" s="0" t="n">
        <f aca="false">IF(A1803="",0,IF(SUMPRODUCT(--($A$2:$A$5001=A1803))&gt;1,1,0))</f>
        <v>0</v>
      </c>
      <c r="H1803" s="0" t="n">
        <f aca="false">ROW()-1</f>
        <v>1802</v>
      </c>
      <c r="I1803" s="0" t="str">
        <f aca="false">IF(OR(הגדרות!$E$6=0,H1803&gt;הגדרות!$E$5),"",IF(H1803-1&lt;הגדרות!$E$8*(הגדרות!$E$7+1),INT((H1803-1)/(הגדרות!$E$7+1)),הגדרות!$E$8+INT((H1803-1-הגדרות!$E$8*(הגדרות!$E$7+1))/הגדרות!$E$7)))</f>
        <v/>
      </c>
      <c r="J1803" s="0" t="str">
        <f aca="false">IF(I1803="","",IF(H1803-1&lt;הגדרות!$E$8*(הגדרות!$E$7+1),MOD(H1803-1,הגדרות!$E$7+1),MOD(H1803-1-הגדרות!$E$8*(הגדרות!$E$7+1),הגדרות!$E$7)))</f>
        <v/>
      </c>
      <c r="K1803" s="0" t="str">
        <f aca="false">IF(I1803="","",J1803*הגדרות!$E$6+I1803+1)</f>
        <v/>
      </c>
      <c r="L1803" s="0" t="str">
        <f aca="false">IF(K1803="","",MATCH(K1803,$F$2:$F$5001,0))</f>
        <v/>
      </c>
      <c r="M1803" s="0" t="str">
        <f aca="false">IF(I1803="","",INDEX(הגדרות!$A$2:$A$21,MOD(I1803+הגדרות!$E$9,הגדרות!$E$6)+1))</f>
        <v/>
      </c>
    </row>
    <row r="1804" customFormat="false" ht="15" hidden="false" customHeight="false" outlineLevel="0" collapsed="false">
      <c r="A1804" s="0" t="str">
        <f aca="false">IF('הדבקת לידים'!A1804="","",IF(ISNUMBER('הדבקת לידים'!A1804),IF(הגדרות!$E$2&gt;0,TEXT('הדבקת לידים'!A1804,REPT("0",הגדרות!$E$2)),TEXT('הדבקת לידים'!A1804,"0")),TRIM('הדבקת לידים'!A1804)))</f>
        <v/>
      </c>
      <c r="B1804" s="0" t="str">
        <f aca="false">IF('הדבקת לידים'!B1804="","",IF(ISNUMBER('הדבקת לידים'!B1804),IF(הגדרות!$E$3&gt;0,TEXT('הדבקת לידים'!B1804,REPT("0",הגדרות!$E$3)),TEXT('הדבקת לידים'!B1804,"0")),TRIM('הדבקת לידים'!B1804)))</f>
        <v/>
      </c>
      <c r="C1804" s="0" t="n">
        <f aca="false">IF(OR(A1804&lt;&gt;"",B1804&lt;&gt;""),1,0)</f>
        <v>0</v>
      </c>
      <c r="D1804" s="0" t="str">
        <f aca="false">IF(C1804=1,MOD(ABS(SIN(ROW()*12.9898+'הדבקת לידים'!$F$2*78.233+IFERROR(--RIGHT(A1804,6),LEN(A1804))*0.0137+IFERROR(--RIGHT(B1804,6),LEN(B1804))*0.0071))*43758.5453,1),"")</f>
        <v/>
      </c>
      <c r="E1804" s="0" t="str">
        <f aca="false">IF(C1804=1,INT(MOD(ABS(SIN(D1804*7919.123+ROW()*0.618+'הדבקת לידים'!$F$2*1.3))*43758.5453,1)*1000000)*10000+ROW(),"")</f>
        <v/>
      </c>
      <c r="F1804" s="0" t="str">
        <f aca="false">IF(E1804="","",RANK(E1804,$E$2:$E$5001,1))</f>
        <v/>
      </c>
      <c r="G1804" s="0" t="n">
        <f aca="false">IF(A1804="",0,IF(SUMPRODUCT(--($A$2:$A$5001=A1804))&gt;1,1,0))</f>
        <v>0</v>
      </c>
      <c r="H1804" s="0" t="n">
        <f aca="false">ROW()-1</f>
        <v>1803</v>
      </c>
      <c r="I1804" s="0" t="str">
        <f aca="false">IF(OR(הגדרות!$E$6=0,H1804&gt;הגדרות!$E$5),"",IF(H1804-1&lt;הגדרות!$E$8*(הגדרות!$E$7+1),INT((H1804-1)/(הגדרות!$E$7+1)),הגדרות!$E$8+INT((H1804-1-הגדרות!$E$8*(הגדרות!$E$7+1))/הגדרות!$E$7)))</f>
        <v/>
      </c>
      <c r="J1804" s="0" t="str">
        <f aca="false">IF(I1804="","",IF(H1804-1&lt;הגדרות!$E$8*(הגדרות!$E$7+1),MOD(H1804-1,הגדרות!$E$7+1),MOD(H1804-1-הגדרות!$E$8*(הגדרות!$E$7+1),הגדרות!$E$7)))</f>
        <v/>
      </c>
      <c r="K1804" s="0" t="str">
        <f aca="false">IF(I1804="","",J1804*הגדרות!$E$6+I1804+1)</f>
        <v/>
      </c>
      <c r="L1804" s="0" t="str">
        <f aca="false">IF(K1804="","",MATCH(K1804,$F$2:$F$5001,0))</f>
        <v/>
      </c>
      <c r="M1804" s="0" t="str">
        <f aca="false">IF(I1804="","",INDEX(הגדרות!$A$2:$A$21,MOD(I1804+הגדרות!$E$9,הגדרות!$E$6)+1))</f>
        <v/>
      </c>
    </row>
    <row r="1805" customFormat="false" ht="15" hidden="false" customHeight="false" outlineLevel="0" collapsed="false">
      <c r="A1805" s="0" t="str">
        <f aca="false">IF('הדבקת לידים'!A1805="","",IF(ISNUMBER('הדבקת לידים'!A1805),IF(הגדרות!$E$2&gt;0,TEXT('הדבקת לידים'!A1805,REPT("0",הגדרות!$E$2)),TEXT('הדבקת לידים'!A1805,"0")),TRIM('הדבקת לידים'!A1805)))</f>
        <v/>
      </c>
      <c r="B1805" s="0" t="str">
        <f aca="false">IF('הדבקת לידים'!B1805="","",IF(ISNUMBER('הדבקת לידים'!B1805),IF(הגדרות!$E$3&gt;0,TEXT('הדבקת לידים'!B1805,REPT("0",הגדרות!$E$3)),TEXT('הדבקת לידים'!B1805,"0")),TRIM('הדבקת לידים'!B1805)))</f>
        <v/>
      </c>
      <c r="C1805" s="0" t="n">
        <f aca="false">IF(OR(A1805&lt;&gt;"",B1805&lt;&gt;""),1,0)</f>
        <v>0</v>
      </c>
      <c r="D1805" s="0" t="str">
        <f aca="false">IF(C1805=1,MOD(ABS(SIN(ROW()*12.9898+'הדבקת לידים'!$F$2*78.233+IFERROR(--RIGHT(A1805,6),LEN(A1805))*0.0137+IFERROR(--RIGHT(B1805,6),LEN(B1805))*0.0071))*43758.5453,1),"")</f>
        <v/>
      </c>
      <c r="E1805" s="0" t="str">
        <f aca="false">IF(C1805=1,INT(MOD(ABS(SIN(D1805*7919.123+ROW()*0.618+'הדבקת לידים'!$F$2*1.3))*43758.5453,1)*1000000)*10000+ROW(),"")</f>
        <v/>
      </c>
      <c r="F1805" s="0" t="str">
        <f aca="false">IF(E1805="","",RANK(E1805,$E$2:$E$5001,1))</f>
        <v/>
      </c>
      <c r="G1805" s="0" t="n">
        <f aca="false">IF(A1805="",0,IF(SUMPRODUCT(--($A$2:$A$5001=A1805))&gt;1,1,0))</f>
        <v>0</v>
      </c>
      <c r="H1805" s="0" t="n">
        <f aca="false">ROW()-1</f>
        <v>1804</v>
      </c>
      <c r="I1805" s="0" t="str">
        <f aca="false">IF(OR(הגדרות!$E$6=0,H1805&gt;הגדרות!$E$5),"",IF(H1805-1&lt;הגדרות!$E$8*(הגדרות!$E$7+1),INT((H1805-1)/(הגדרות!$E$7+1)),הגדרות!$E$8+INT((H1805-1-הגדרות!$E$8*(הגדרות!$E$7+1))/הגדרות!$E$7)))</f>
        <v/>
      </c>
      <c r="J1805" s="0" t="str">
        <f aca="false">IF(I1805="","",IF(H1805-1&lt;הגדרות!$E$8*(הגדרות!$E$7+1),MOD(H1805-1,הגדרות!$E$7+1),MOD(H1805-1-הגדרות!$E$8*(הגדרות!$E$7+1),הגדרות!$E$7)))</f>
        <v/>
      </c>
      <c r="K1805" s="0" t="str">
        <f aca="false">IF(I1805="","",J1805*הגדרות!$E$6+I1805+1)</f>
        <v/>
      </c>
      <c r="L1805" s="0" t="str">
        <f aca="false">IF(K1805="","",MATCH(K1805,$F$2:$F$5001,0))</f>
        <v/>
      </c>
      <c r="M1805" s="0" t="str">
        <f aca="false">IF(I1805="","",INDEX(הגדרות!$A$2:$A$21,MOD(I1805+הגדרות!$E$9,הגדרות!$E$6)+1))</f>
        <v/>
      </c>
    </row>
    <row r="1806" customFormat="false" ht="15" hidden="false" customHeight="false" outlineLevel="0" collapsed="false">
      <c r="A1806" s="0" t="str">
        <f aca="false">IF('הדבקת לידים'!A1806="","",IF(ISNUMBER('הדבקת לידים'!A1806),IF(הגדרות!$E$2&gt;0,TEXT('הדבקת לידים'!A1806,REPT("0",הגדרות!$E$2)),TEXT('הדבקת לידים'!A1806,"0")),TRIM('הדבקת לידים'!A1806)))</f>
        <v/>
      </c>
      <c r="B1806" s="0" t="str">
        <f aca="false">IF('הדבקת לידים'!B1806="","",IF(ISNUMBER('הדבקת לידים'!B1806),IF(הגדרות!$E$3&gt;0,TEXT('הדבקת לידים'!B1806,REPT("0",הגדרות!$E$3)),TEXT('הדבקת לידים'!B1806,"0")),TRIM('הדבקת לידים'!B1806)))</f>
        <v/>
      </c>
      <c r="C1806" s="0" t="n">
        <f aca="false">IF(OR(A1806&lt;&gt;"",B1806&lt;&gt;""),1,0)</f>
        <v>0</v>
      </c>
      <c r="D1806" s="0" t="str">
        <f aca="false">IF(C1806=1,MOD(ABS(SIN(ROW()*12.9898+'הדבקת לידים'!$F$2*78.233+IFERROR(--RIGHT(A1806,6),LEN(A1806))*0.0137+IFERROR(--RIGHT(B1806,6),LEN(B1806))*0.0071))*43758.5453,1),"")</f>
        <v/>
      </c>
      <c r="E1806" s="0" t="str">
        <f aca="false">IF(C1806=1,INT(MOD(ABS(SIN(D1806*7919.123+ROW()*0.618+'הדבקת לידים'!$F$2*1.3))*43758.5453,1)*1000000)*10000+ROW(),"")</f>
        <v/>
      </c>
      <c r="F1806" s="0" t="str">
        <f aca="false">IF(E1806="","",RANK(E1806,$E$2:$E$5001,1))</f>
        <v/>
      </c>
      <c r="G1806" s="0" t="n">
        <f aca="false">IF(A1806="",0,IF(SUMPRODUCT(--($A$2:$A$5001=A1806))&gt;1,1,0))</f>
        <v>0</v>
      </c>
      <c r="H1806" s="0" t="n">
        <f aca="false">ROW()-1</f>
        <v>1805</v>
      </c>
      <c r="I1806" s="0" t="str">
        <f aca="false">IF(OR(הגדרות!$E$6=0,H1806&gt;הגדרות!$E$5),"",IF(H1806-1&lt;הגדרות!$E$8*(הגדרות!$E$7+1),INT((H1806-1)/(הגדרות!$E$7+1)),הגדרות!$E$8+INT((H1806-1-הגדרות!$E$8*(הגדרות!$E$7+1))/הגדרות!$E$7)))</f>
        <v/>
      </c>
      <c r="J1806" s="0" t="str">
        <f aca="false">IF(I1806="","",IF(H1806-1&lt;הגדרות!$E$8*(הגדרות!$E$7+1),MOD(H1806-1,הגדרות!$E$7+1),MOD(H1806-1-הגדרות!$E$8*(הגדרות!$E$7+1),הגדרות!$E$7)))</f>
        <v/>
      </c>
      <c r="K1806" s="0" t="str">
        <f aca="false">IF(I1806="","",J1806*הגדרות!$E$6+I1806+1)</f>
        <v/>
      </c>
      <c r="L1806" s="0" t="str">
        <f aca="false">IF(K1806="","",MATCH(K1806,$F$2:$F$5001,0))</f>
        <v/>
      </c>
      <c r="M1806" s="0" t="str">
        <f aca="false">IF(I1806="","",INDEX(הגדרות!$A$2:$A$21,MOD(I1806+הגדרות!$E$9,הגדרות!$E$6)+1))</f>
        <v/>
      </c>
    </row>
    <row r="1807" customFormat="false" ht="15" hidden="false" customHeight="false" outlineLevel="0" collapsed="false">
      <c r="A1807" s="0" t="str">
        <f aca="false">IF('הדבקת לידים'!A1807="","",IF(ISNUMBER('הדבקת לידים'!A1807),IF(הגדרות!$E$2&gt;0,TEXT('הדבקת לידים'!A1807,REPT("0",הגדרות!$E$2)),TEXT('הדבקת לידים'!A1807,"0")),TRIM('הדבקת לידים'!A1807)))</f>
        <v/>
      </c>
      <c r="B1807" s="0" t="str">
        <f aca="false">IF('הדבקת לידים'!B1807="","",IF(ISNUMBER('הדבקת לידים'!B1807),IF(הגדרות!$E$3&gt;0,TEXT('הדבקת לידים'!B1807,REPT("0",הגדרות!$E$3)),TEXT('הדבקת לידים'!B1807,"0")),TRIM('הדבקת לידים'!B1807)))</f>
        <v/>
      </c>
      <c r="C1807" s="0" t="n">
        <f aca="false">IF(OR(A1807&lt;&gt;"",B1807&lt;&gt;""),1,0)</f>
        <v>0</v>
      </c>
      <c r="D1807" s="0" t="str">
        <f aca="false">IF(C1807=1,MOD(ABS(SIN(ROW()*12.9898+'הדבקת לידים'!$F$2*78.233+IFERROR(--RIGHT(A1807,6),LEN(A1807))*0.0137+IFERROR(--RIGHT(B1807,6),LEN(B1807))*0.0071))*43758.5453,1),"")</f>
        <v/>
      </c>
      <c r="E1807" s="0" t="str">
        <f aca="false">IF(C1807=1,INT(MOD(ABS(SIN(D1807*7919.123+ROW()*0.618+'הדבקת לידים'!$F$2*1.3))*43758.5453,1)*1000000)*10000+ROW(),"")</f>
        <v/>
      </c>
      <c r="F1807" s="0" t="str">
        <f aca="false">IF(E1807="","",RANK(E1807,$E$2:$E$5001,1))</f>
        <v/>
      </c>
      <c r="G1807" s="0" t="n">
        <f aca="false">IF(A1807="",0,IF(SUMPRODUCT(--($A$2:$A$5001=A1807))&gt;1,1,0))</f>
        <v>0</v>
      </c>
      <c r="H1807" s="0" t="n">
        <f aca="false">ROW()-1</f>
        <v>1806</v>
      </c>
      <c r="I1807" s="0" t="str">
        <f aca="false">IF(OR(הגדרות!$E$6=0,H1807&gt;הגדרות!$E$5),"",IF(H1807-1&lt;הגדרות!$E$8*(הגדרות!$E$7+1),INT((H1807-1)/(הגדרות!$E$7+1)),הגדרות!$E$8+INT((H1807-1-הגדרות!$E$8*(הגדרות!$E$7+1))/הגדרות!$E$7)))</f>
        <v/>
      </c>
      <c r="J1807" s="0" t="str">
        <f aca="false">IF(I1807="","",IF(H1807-1&lt;הגדרות!$E$8*(הגדרות!$E$7+1),MOD(H1807-1,הגדרות!$E$7+1),MOD(H1807-1-הגדרות!$E$8*(הגדרות!$E$7+1),הגדרות!$E$7)))</f>
        <v/>
      </c>
      <c r="K1807" s="0" t="str">
        <f aca="false">IF(I1807="","",J1807*הגדרות!$E$6+I1807+1)</f>
        <v/>
      </c>
      <c r="L1807" s="0" t="str">
        <f aca="false">IF(K1807="","",MATCH(K1807,$F$2:$F$5001,0))</f>
        <v/>
      </c>
      <c r="M1807" s="0" t="str">
        <f aca="false">IF(I1807="","",INDEX(הגדרות!$A$2:$A$21,MOD(I1807+הגדרות!$E$9,הגדרות!$E$6)+1))</f>
        <v/>
      </c>
    </row>
    <row r="1808" customFormat="false" ht="15" hidden="false" customHeight="false" outlineLevel="0" collapsed="false">
      <c r="A1808" s="0" t="str">
        <f aca="false">IF('הדבקת לידים'!A1808="","",IF(ISNUMBER('הדבקת לידים'!A1808),IF(הגדרות!$E$2&gt;0,TEXT('הדבקת לידים'!A1808,REPT("0",הגדרות!$E$2)),TEXT('הדבקת לידים'!A1808,"0")),TRIM('הדבקת לידים'!A1808)))</f>
        <v/>
      </c>
      <c r="B1808" s="0" t="str">
        <f aca="false">IF('הדבקת לידים'!B1808="","",IF(ISNUMBER('הדבקת לידים'!B1808),IF(הגדרות!$E$3&gt;0,TEXT('הדבקת לידים'!B1808,REPT("0",הגדרות!$E$3)),TEXT('הדבקת לידים'!B1808,"0")),TRIM('הדבקת לידים'!B1808)))</f>
        <v/>
      </c>
      <c r="C1808" s="0" t="n">
        <f aca="false">IF(OR(A1808&lt;&gt;"",B1808&lt;&gt;""),1,0)</f>
        <v>0</v>
      </c>
      <c r="D1808" s="0" t="str">
        <f aca="false">IF(C1808=1,MOD(ABS(SIN(ROW()*12.9898+'הדבקת לידים'!$F$2*78.233+IFERROR(--RIGHT(A1808,6),LEN(A1808))*0.0137+IFERROR(--RIGHT(B1808,6),LEN(B1808))*0.0071))*43758.5453,1),"")</f>
        <v/>
      </c>
      <c r="E1808" s="0" t="str">
        <f aca="false">IF(C1808=1,INT(MOD(ABS(SIN(D1808*7919.123+ROW()*0.618+'הדבקת לידים'!$F$2*1.3))*43758.5453,1)*1000000)*10000+ROW(),"")</f>
        <v/>
      </c>
      <c r="F1808" s="0" t="str">
        <f aca="false">IF(E1808="","",RANK(E1808,$E$2:$E$5001,1))</f>
        <v/>
      </c>
      <c r="G1808" s="0" t="n">
        <f aca="false">IF(A1808="",0,IF(SUMPRODUCT(--($A$2:$A$5001=A1808))&gt;1,1,0))</f>
        <v>0</v>
      </c>
      <c r="H1808" s="0" t="n">
        <f aca="false">ROW()-1</f>
        <v>1807</v>
      </c>
      <c r="I1808" s="0" t="str">
        <f aca="false">IF(OR(הגדרות!$E$6=0,H1808&gt;הגדרות!$E$5),"",IF(H1808-1&lt;הגדרות!$E$8*(הגדרות!$E$7+1),INT((H1808-1)/(הגדרות!$E$7+1)),הגדרות!$E$8+INT((H1808-1-הגדרות!$E$8*(הגדרות!$E$7+1))/הגדרות!$E$7)))</f>
        <v/>
      </c>
      <c r="J1808" s="0" t="str">
        <f aca="false">IF(I1808="","",IF(H1808-1&lt;הגדרות!$E$8*(הגדרות!$E$7+1),MOD(H1808-1,הגדרות!$E$7+1),MOD(H1808-1-הגדרות!$E$8*(הגדרות!$E$7+1),הגדרות!$E$7)))</f>
        <v/>
      </c>
      <c r="K1808" s="0" t="str">
        <f aca="false">IF(I1808="","",J1808*הגדרות!$E$6+I1808+1)</f>
        <v/>
      </c>
      <c r="L1808" s="0" t="str">
        <f aca="false">IF(K1808="","",MATCH(K1808,$F$2:$F$5001,0))</f>
        <v/>
      </c>
      <c r="M1808" s="0" t="str">
        <f aca="false">IF(I1808="","",INDEX(הגדרות!$A$2:$A$21,MOD(I1808+הגדרות!$E$9,הגדרות!$E$6)+1))</f>
        <v/>
      </c>
    </row>
    <row r="1809" customFormat="false" ht="15" hidden="false" customHeight="false" outlineLevel="0" collapsed="false">
      <c r="A1809" s="0" t="str">
        <f aca="false">IF('הדבקת לידים'!A1809="","",IF(ISNUMBER('הדבקת לידים'!A1809),IF(הגדרות!$E$2&gt;0,TEXT('הדבקת לידים'!A1809,REPT("0",הגדרות!$E$2)),TEXT('הדבקת לידים'!A1809,"0")),TRIM('הדבקת לידים'!A1809)))</f>
        <v/>
      </c>
      <c r="B1809" s="0" t="str">
        <f aca="false">IF('הדבקת לידים'!B1809="","",IF(ISNUMBER('הדבקת לידים'!B1809),IF(הגדרות!$E$3&gt;0,TEXT('הדבקת לידים'!B1809,REPT("0",הגדרות!$E$3)),TEXT('הדבקת לידים'!B1809,"0")),TRIM('הדבקת לידים'!B1809)))</f>
        <v/>
      </c>
      <c r="C1809" s="0" t="n">
        <f aca="false">IF(OR(A1809&lt;&gt;"",B1809&lt;&gt;""),1,0)</f>
        <v>0</v>
      </c>
      <c r="D1809" s="0" t="str">
        <f aca="false">IF(C1809=1,MOD(ABS(SIN(ROW()*12.9898+'הדבקת לידים'!$F$2*78.233+IFERROR(--RIGHT(A1809,6),LEN(A1809))*0.0137+IFERROR(--RIGHT(B1809,6),LEN(B1809))*0.0071))*43758.5453,1),"")</f>
        <v/>
      </c>
      <c r="E1809" s="0" t="str">
        <f aca="false">IF(C1809=1,INT(MOD(ABS(SIN(D1809*7919.123+ROW()*0.618+'הדבקת לידים'!$F$2*1.3))*43758.5453,1)*1000000)*10000+ROW(),"")</f>
        <v/>
      </c>
      <c r="F1809" s="0" t="str">
        <f aca="false">IF(E1809="","",RANK(E1809,$E$2:$E$5001,1))</f>
        <v/>
      </c>
      <c r="G1809" s="0" t="n">
        <f aca="false">IF(A1809="",0,IF(SUMPRODUCT(--($A$2:$A$5001=A1809))&gt;1,1,0))</f>
        <v>0</v>
      </c>
      <c r="H1809" s="0" t="n">
        <f aca="false">ROW()-1</f>
        <v>1808</v>
      </c>
      <c r="I1809" s="0" t="str">
        <f aca="false">IF(OR(הגדרות!$E$6=0,H1809&gt;הגדרות!$E$5),"",IF(H1809-1&lt;הגדרות!$E$8*(הגדרות!$E$7+1),INT((H1809-1)/(הגדרות!$E$7+1)),הגדרות!$E$8+INT((H1809-1-הגדרות!$E$8*(הגדרות!$E$7+1))/הגדרות!$E$7)))</f>
        <v/>
      </c>
      <c r="J1809" s="0" t="str">
        <f aca="false">IF(I1809="","",IF(H1809-1&lt;הגדרות!$E$8*(הגדרות!$E$7+1),MOD(H1809-1,הגדרות!$E$7+1),MOD(H1809-1-הגדרות!$E$8*(הגדרות!$E$7+1),הגדרות!$E$7)))</f>
        <v/>
      </c>
      <c r="K1809" s="0" t="str">
        <f aca="false">IF(I1809="","",J1809*הגדרות!$E$6+I1809+1)</f>
        <v/>
      </c>
      <c r="L1809" s="0" t="str">
        <f aca="false">IF(K1809="","",MATCH(K1809,$F$2:$F$5001,0))</f>
        <v/>
      </c>
      <c r="M1809" s="0" t="str">
        <f aca="false">IF(I1809="","",INDEX(הגדרות!$A$2:$A$21,MOD(I1809+הגדרות!$E$9,הגדרות!$E$6)+1))</f>
        <v/>
      </c>
    </row>
    <row r="1810" customFormat="false" ht="15" hidden="false" customHeight="false" outlineLevel="0" collapsed="false">
      <c r="A1810" s="0" t="str">
        <f aca="false">IF('הדבקת לידים'!A1810="","",IF(ISNUMBER('הדבקת לידים'!A1810),IF(הגדרות!$E$2&gt;0,TEXT('הדבקת לידים'!A1810,REPT("0",הגדרות!$E$2)),TEXT('הדבקת לידים'!A1810,"0")),TRIM('הדבקת לידים'!A1810)))</f>
        <v/>
      </c>
      <c r="B1810" s="0" t="str">
        <f aca="false">IF('הדבקת לידים'!B1810="","",IF(ISNUMBER('הדבקת לידים'!B1810),IF(הגדרות!$E$3&gt;0,TEXT('הדבקת לידים'!B1810,REPT("0",הגדרות!$E$3)),TEXT('הדבקת לידים'!B1810,"0")),TRIM('הדבקת לידים'!B1810)))</f>
        <v/>
      </c>
      <c r="C1810" s="0" t="n">
        <f aca="false">IF(OR(A1810&lt;&gt;"",B1810&lt;&gt;""),1,0)</f>
        <v>0</v>
      </c>
      <c r="D1810" s="0" t="str">
        <f aca="false">IF(C1810=1,MOD(ABS(SIN(ROW()*12.9898+'הדבקת לידים'!$F$2*78.233+IFERROR(--RIGHT(A1810,6),LEN(A1810))*0.0137+IFERROR(--RIGHT(B1810,6),LEN(B1810))*0.0071))*43758.5453,1),"")</f>
        <v/>
      </c>
      <c r="E1810" s="0" t="str">
        <f aca="false">IF(C1810=1,INT(MOD(ABS(SIN(D1810*7919.123+ROW()*0.618+'הדבקת לידים'!$F$2*1.3))*43758.5453,1)*1000000)*10000+ROW(),"")</f>
        <v/>
      </c>
      <c r="F1810" s="0" t="str">
        <f aca="false">IF(E1810="","",RANK(E1810,$E$2:$E$5001,1))</f>
        <v/>
      </c>
      <c r="G1810" s="0" t="n">
        <f aca="false">IF(A1810="",0,IF(SUMPRODUCT(--($A$2:$A$5001=A1810))&gt;1,1,0))</f>
        <v>0</v>
      </c>
      <c r="H1810" s="0" t="n">
        <f aca="false">ROW()-1</f>
        <v>1809</v>
      </c>
      <c r="I1810" s="0" t="str">
        <f aca="false">IF(OR(הגדרות!$E$6=0,H1810&gt;הגדרות!$E$5),"",IF(H1810-1&lt;הגדרות!$E$8*(הגדרות!$E$7+1),INT((H1810-1)/(הגדרות!$E$7+1)),הגדרות!$E$8+INT((H1810-1-הגדרות!$E$8*(הגדרות!$E$7+1))/הגדרות!$E$7)))</f>
        <v/>
      </c>
      <c r="J1810" s="0" t="str">
        <f aca="false">IF(I1810="","",IF(H1810-1&lt;הגדרות!$E$8*(הגדרות!$E$7+1),MOD(H1810-1,הגדרות!$E$7+1),MOD(H1810-1-הגדרות!$E$8*(הגדרות!$E$7+1),הגדרות!$E$7)))</f>
        <v/>
      </c>
      <c r="K1810" s="0" t="str">
        <f aca="false">IF(I1810="","",J1810*הגדרות!$E$6+I1810+1)</f>
        <v/>
      </c>
      <c r="L1810" s="0" t="str">
        <f aca="false">IF(K1810="","",MATCH(K1810,$F$2:$F$5001,0))</f>
        <v/>
      </c>
      <c r="M1810" s="0" t="str">
        <f aca="false">IF(I1810="","",INDEX(הגדרות!$A$2:$A$21,MOD(I1810+הגדרות!$E$9,הגדרות!$E$6)+1))</f>
        <v/>
      </c>
    </row>
    <row r="1811" customFormat="false" ht="15" hidden="false" customHeight="false" outlineLevel="0" collapsed="false">
      <c r="A1811" s="0" t="str">
        <f aca="false">IF('הדבקת לידים'!A1811="","",IF(ISNUMBER('הדבקת לידים'!A1811),IF(הגדרות!$E$2&gt;0,TEXT('הדבקת לידים'!A1811,REPT("0",הגדרות!$E$2)),TEXT('הדבקת לידים'!A1811,"0")),TRIM('הדבקת לידים'!A1811)))</f>
        <v/>
      </c>
      <c r="B1811" s="0" t="str">
        <f aca="false">IF('הדבקת לידים'!B1811="","",IF(ISNUMBER('הדבקת לידים'!B1811),IF(הגדרות!$E$3&gt;0,TEXT('הדבקת לידים'!B1811,REPT("0",הגדרות!$E$3)),TEXT('הדבקת לידים'!B1811,"0")),TRIM('הדבקת לידים'!B1811)))</f>
        <v/>
      </c>
      <c r="C1811" s="0" t="n">
        <f aca="false">IF(OR(A1811&lt;&gt;"",B1811&lt;&gt;""),1,0)</f>
        <v>0</v>
      </c>
      <c r="D1811" s="0" t="str">
        <f aca="false">IF(C1811=1,MOD(ABS(SIN(ROW()*12.9898+'הדבקת לידים'!$F$2*78.233+IFERROR(--RIGHT(A1811,6),LEN(A1811))*0.0137+IFERROR(--RIGHT(B1811,6),LEN(B1811))*0.0071))*43758.5453,1),"")</f>
        <v/>
      </c>
      <c r="E1811" s="0" t="str">
        <f aca="false">IF(C1811=1,INT(MOD(ABS(SIN(D1811*7919.123+ROW()*0.618+'הדבקת לידים'!$F$2*1.3))*43758.5453,1)*1000000)*10000+ROW(),"")</f>
        <v/>
      </c>
      <c r="F1811" s="0" t="str">
        <f aca="false">IF(E1811="","",RANK(E1811,$E$2:$E$5001,1))</f>
        <v/>
      </c>
      <c r="G1811" s="0" t="n">
        <f aca="false">IF(A1811="",0,IF(SUMPRODUCT(--($A$2:$A$5001=A1811))&gt;1,1,0))</f>
        <v>0</v>
      </c>
      <c r="H1811" s="0" t="n">
        <f aca="false">ROW()-1</f>
        <v>1810</v>
      </c>
      <c r="I1811" s="0" t="str">
        <f aca="false">IF(OR(הגדרות!$E$6=0,H1811&gt;הגדרות!$E$5),"",IF(H1811-1&lt;הגדרות!$E$8*(הגדרות!$E$7+1),INT((H1811-1)/(הגדרות!$E$7+1)),הגדרות!$E$8+INT((H1811-1-הגדרות!$E$8*(הגדרות!$E$7+1))/הגדרות!$E$7)))</f>
        <v/>
      </c>
      <c r="J1811" s="0" t="str">
        <f aca="false">IF(I1811="","",IF(H1811-1&lt;הגדרות!$E$8*(הגדרות!$E$7+1),MOD(H1811-1,הגדרות!$E$7+1),MOD(H1811-1-הגדרות!$E$8*(הגדרות!$E$7+1),הגדרות!$E$7)))</f>
        <v/>
      </c>
      <c r="K1811" s="0" t="str">
        <f aca="false">IF(I1811="","",J1811*הגדרות!$E$6+I1811+1)</f>
        <v/>
      </c>
      <c r="L1811" s="0" t="str">
        <f aca="false">IF(K1811="","",MATCH(K1811,$F$2:$F$5001,0))</f>
        <v/>
      </c>
      <c r="M1811" s="0" t="str">
        <f aca="false">IF(I1811="","",INDEX(הגדרות!$A$2:$A$21,MOD(I1811+הגדרות!$E$9,הגדרות!$E$6)+1))</f>
        <v/>
      </c>
    </row>
    <row r="1812" customFormat="false" ht="15" hidden="false" customHeight="false" outlineLevel="0" collapsed="false">
      <c r="A1812" s="0" t="str">
        <f aca="false">IF('הדבקת לידים'!A1812="","",IF(ISNUMBER('הדבקת לידים'!A1812),IF(הגדרות!$E$2&gt;0,TEXT('הדבקת לידים'!A1812,REPT("0",הגדרות!$E$2)),TEXT('הדבקת לידים'!A1812,"0")),TRIM('הדבקת לידים'!A1812)))</f>
        <v/>
      </c>
      <c r="B1812" s="0" t="str">
        <f aca="false">IF('הדבקת לידים'!B1812="","",IF(ISNUMBER('הדבקת לידים'!B1812),IF(הגדרות!$E$3&gt;0,TEXT('הדבקת לידים'!B1812,REPT("0",הגדרות!$E$3)),TEXT('הדבקת לידים'!B1812,"0")),TRIM('הדבקת לידים'!B1812)))</f>
        <v/>
      </c>
      <c r="C1812" s="0" t="n">
        <f aca="false">IF(OR(A1812&lt;&gt;"",B1812&lt;&gt;""),1,0)</f>
        <v>0</v>
      </c>
      <c r="D1812" s="0" t="str">
        <f aca="false">IF(C1812=1,MOD(ABS(SIN(ROW()*12.9898+'הדבקת לידים'!$F$2*78.233+IFERROR(--RIGHT(A1812,6),LEN(A1812))*0.0137+IFERROR(--RIGHT(B1812,6),LEN(B1812))*0.0071))*43758.5453,1),"")</f>
        <v/>
      </c>
      <c r="E1812" s="0" t="str">
        <f aca="false">IF(C1812=1,INT(MOD(ABS(SIN(D1812*7919.123+ROW()*0.618+'הדבקת לידים'!$F$2*1.3))*43758.5453,1)*1000000)*10000+ROW(),"")</f>
        <v/>
      </c>
      <c r="F1812" s="0" t="str">
        <f aca="false">IF(E1812="","",RANK(E1812,$E$2:$E$5001,1))</f>
        <v/>
      </c>
      <c r="G1812" s="0" t="n">
        <f aca="false">IF(A1812="",0,IF(SUMPRODUCT(--($A$2:$A$5001=A1812))&gt;1,1,0))</f>
        <v>0</v>
      </c>
      <c r="H1812" s="0" t="n">
        <f aca="false">ROW()-1</f>
        <v>1811</v>
      </c>
      <c r="I1812" s="0" t="str">
        <f aca="false">IF(OR(הגדרות!$E$6=0,H1812&gt;הגדרות!$E$5),"",IF(H1812-1&lt;הגדרות!$E$8*(הגדרות!$E$7+1),INT((H1812-1)/(הגדרות!$E$7+1)),הגדרות!$E$8+INT((H1812-1-הגדרות!$E$8*(הגדרות!$E$7+1))/הגדרות!$E$7)))</f>
        <v/>
      </c>
      <c r="J1812" s="0" t="str">
        <f aca="false">IF(I1812="","",IF(H1812-1&lt;הגדרות!$E$8*(הגדרות!$E$7+1),MOD(H1812-1,הגדרות!$E$7+1),MOD(H1812-1-הגדרות!$E$8*(הגדרות!$E$7+1),הגדרות!$E$7)))</f>
        <v/>
      </c>
      <c r="K1812" s="0" t="str">
        <f aca="false">IF(I1812="","",J1812*הגדרות!$E$6+I1812+1)</f>
        <v/>
      </c>
      <c r="L1812" s="0" t="str">
        <f aca="false">IF(K1812="","",MATCH(K1812,$F$2:$F$5001,0))</f>
        <v/>
      </c>
      <c r="M1812" s="0" t="str">
        <f aca="false">IF(I1812="","",INDEX(הגדרות!$A$2:$A$21,MOD(I1812+הגדרות!$E$9,הגדרות!$E$6)+1))</f>
        <v/>
      </c>
    </row>
    <row r="1813" customFormat="false" ht="15" hidden="false" customHeight="false" outlineLevel="0" collapsed="false">
      <c r="A1813" s="0" t="str">
        <f aca="false">IF('הדבקת לידים'!A1813="","",IF(ISNUMBER('הדבקת לידים'!A1813),IF(הגדרות!$E$2&gt;0,TEXT('הדבקת לידים'!A1813,REPT("0",הגדרות!$E$2)),TEXT('הדבקת לידים'!A1813,"0")),TRIM('הדבקת לידים'!A1813)))</f>
        <v/>
      </c>
      <c r="B1813" s="0" t="str">
        <f aca="false">IF('הדבקת לידים'!B1813="","",IF(ISNUMBER('הדבקת לידים'!B1813),IF(הגדרות!$E$3&gt;0,TEXT('הדבקת לידים'!B1813,REPT("0",הגדרות!$E$3)),TEXT('הדבקת לידים'!B1813,"0")),TRIM('הדבקת לידים'!B1813)))</f>
        <v/>
      </c>
      <c r="C1813" s="0" t="n">
        <f aca="false">IF(OR(A1813&lt;&gt;"",B1813&lt;&gt;""),1,0)</f>
        <v>0</v>
      </c>
      <c r="D1813" s="0" t="str">
        <f aca="false">IF(C1813=1,MOD(ABS(SIN(ROW()*12.9898+'הדבקת לידים'!$F$2*78.233+IFERROR(--RIGHT(A1813,6),LEN(A1813))*0.0137+IFERROR(--RIGHT(B1813,6),LEN(B1813))*0.0071))*43758.5453,1),"")</f>
        <v/>
      </c>
      <c r="E1813" s="0" t="str">
        <f aca="false">IF(C1813=1,INT(MOD(ABS(SIN(D1813*7919.123+ROW()*0.618+'הדבקת לידים'!$F$2*1.3))*43758.5453,1)*1000000)*10000+ROW(),"")</f>
        <v/>
      </c>
      <c r="F1813" s="0" t="str">
        <f aca="false">IF(E1813="","",RANK(E1813,$E$2:$E$5001,1))</f>
        <v/>
      </c>
      <c r="G1813" s="0" t="n">
        <f aca="false">IF(A1813="",0,IF(SUMPRODUCT(--($A$2:$A$5001=A1813))&gt;1,1,0))</f>
        <v>0</v>
      </c>
      <c r="H1813" s="0" t="n">
        <f aca="false">ROW()-1</f>
        <v>1812</v>
      </c>
      <c r="I1813" s="0" t="str">
        <f aca="false">IF(OR(הגדרות!$E$6=0,H1813&gt;הגדרות!$E$5),"",IF(H1813-1&lt;הגדרות!$E$8*(הגדרות!$E$7+1),INT((H1813-1)/(הגדרות!$E$7+1)),הגדרות!$E$8+INT((H1813-1-הגדרות!$E$8*(הגדרות!$E$7+1))/הגדרות!$E$7)))</f>
        <v/>
      </c>
      <c r="J1813" s="0" t="str">
        <f aca="false">IF(I1813="","",IF(H1813-1&lt;הגדרות!$E$8*(הגדרות!$E$7+1),MOD(H1813-1,הגדרות!$E$7+1),MOD(H1813-1-הגדרות!$E$8*(הגדרות!$E$7+1),הגדרות!$E$7)))</f>
        <v/>
      </c>
      <c r="K1813" s="0" t="str">
        <f aca="false">IF(I1813="","",J1813*הגדרות!$E$6+I1813+1)</f>
        <v/>
      </c>
      <c r="L1813" s="0" t="str">
        <f aca="false">IF(K1813="","",MATCH(K1813,$F$2:$F$5001,0))</f>
        <v/>
      </c>
      <c r="M1813" s="0" t="str">
        <f aca="false">IF(I1813="","",INDEX(הגדרות!$A$2:$A$21,MOD(I1813+הגדרות!$E$9,הגדרות!$E$6)+1))</f>
        <v/>
      </c>
    </row>
    <row r="1814" customFormat="false" ht="15" hidden="false" customHeight="false" outlineLevel="0" collapsed="false">
      <c r="A1814" s="0" t="str">
        <f aca="false">IF('הדבקת לידים'!A1814="","",IF(ISNUMBER('הדבקת לידים'!A1814),IF(הגדרות!$E$2&gt;0,TEXT('הדבקת לידים'!A1814,REPT("0",הגדרות!$E$2)),TEXT('הדבקת לידים'!A1814,"0")),TRIM('הדבקת לידים'!A1814)))</f>
        <v/>
      </c>
      <c r="B1814" s="0" t="str">
        <f aca="false">IF('הדבקת לידים'!B1814="","",IF(ISNUMBER('הדבקת לידים'!B1814),IF(הגדרות!$E$3&gt;0,TEXT('הדבקת לידים'!B1814,REPT("0",הגדרות!$E$3)),TEXT('הדבקת לידים'!B1814,"0")),TRIM('הדבקת לידים'!B1814)))</f>
        <v/>
      </c>
      <c r="C1814" s="0" t="n">
        <f aca="false">IF(OR(A1814&lt;&gt;"",B1814&lt;&gt;""),1,0)</f>
        <v>0</v>
      </c>
      <c r="D1814" s="0" t="str">
        <f aca="false">IF(C1814=1,MOD(ABS(SIN(ROW()*12.9898+'הדבקת לידים'!$F$2*78.233+IFERROR(--RIGHT(A1814,6),LEN(A1814))*0.0137+IFERROR(--RIGHT(B1814,6),LEN(B1814))*0.0071))*43758.5453,1),"")</f>
        <v/>
      </c>
      <c r="E1814" s="0" t="str">
        <f aca="false">IF(C1814=1,INT(MOD(ABS(SIN(D1814*7919.123+ROW()*0.618+'הדבקת לידים'!$F$2*1.3))*43758.5453,1)*1000000)*10000+ROW(),"")</f>
        <v/>
      </c>
      <c r="F1814" s="0" t="str">
        <f aca="false">IF(E1814="","",RANK(E1814,$E$2:$E$5001,1))</f>
        <v/>
      </c>
      <c r="G1814" s="0" t="n">
        <f aca="false">IF(A1814="",0,IF(SUMPRODUCT(--($A$2:$A$5001=A1814))&gt;1,1,0))</f>
        <v>0</v>
      </c>
      <c r="H1814" s="0" t="n">
        <f aca="false">ROW()-1</f>
        <v>1813</v>
      </c>
      <c r="I1814" s="0" t="str">
        <f aca="false">IF(OR(הגדרות!$E$6=0,H1814&gt;הגדרות!$E$5),"",IF(H1814-1&lt;הגדרות!$E$8*(הגדרות!$E$7+1),INT((H1814-1)/(הגדרות!$E$7+1)),הגדרות!$E$8+INT((H1814-1-הגדרות!$E$8*(הגדרות!$E$7+1))/הגדרות!$E$7)))</f>
        <v/>
      </c>
      <c r="J1814" s="0" t="str">
        <f aca="false">IF(I1814="","",IF(H1814-1&lt;הגדרות!$E$8*(הגדרות!$E$7+1),MOD(H1814-1,הגדרות!$E$7+1),MOD(H1814-1-הגדרות!$E$8*(הגדרות!$E$7+1),הגדרות!$E$7)))</f>
        <v/>
      </c>
      <c r="K1814" s="0" t="str">
        <f aca="false">IF(I1814="","",J1814*הגדרות!$E$6+I1814+1)</f>
        <v/>
      </c>
      <c r="L1814" s="0" t="str">
        <f aca="false">IF(K1814="","",MATCH(K1814,$F$2:$F$5001,0))</f>
        <v/>
      </c>
      <c r="M1814" s="0" t="str">
        <f aca="false">IF(I1814="","",INDEX(הגדרות!$A$2:$A$21,MOD(I1814+הגדרות!$E$9,הגדרות!$E$6)+1))</f>
        <v/>
      </c>
    </row>
    <row r="1815" customFormat="false" ht="15" hidden="false" customHeight="false" outlineLevel="0" collapsed="false">
      <c r="A1815" s="0" t="str">
        <f aca="false">IF('הדבקת לידים'!A1815="","",IF(ISNUMBER('הדבקת לידים'!A1815),IF(הגדרות!$E$2&gt;0,TEXT('הדבקת לידים'!A1815,REPT("0",הגדרות!$E$2)),TEXT('הדבקת לידים'!A1815,"0")),TRIM('הדבקת לידים'!A1815)))</f>
        <v/>
      </c>
      <c r="B1815" s="0" t="str">
        <f aca="false">IF('הדבקת לידים'!B1815="","",IF(ISNUMBER('הדבקת לידים'!B1815),IF(הגדרות!$E$3&gt;0,TEXT('הדבקת לידים'!B1815,REPT("0",הגדרות!$E$3)),TEXT('הדבקת לידים'!B1815,"0")),TRIM('הדבקת לידים'!B1815)))</f>
        <v/>
      </c>
      <c r="C1815" s="0" t="n">
        <f aca="false">IF(OR(A1815&lt;&gt;"",B1815&lt;&gt;""),1,0)</f>
        <v>0</v>
      </c>
      <c r="D1815" s="0" t="str">
        <f aca="false">IF(C1815=1,MOD(ABS(SIN(ROW()*12.9898+'הדבקת לידים'!$F$2*78.233+IFERROR(--RIGHT(A1815,6),LEN(A1815))*0.0137+IFERROR(--RIGHT(B1815,6),LEN(B1815))*0.0071))*43758.5453,1),"")</f>
        <v/>
      </c>
      <c r="E1815" s="0" t="str">
        <f aca="false">IF(C1815=1,INT(MOD(ABS(SIN(D1815*7919.123+ROW()*0.618+'הדבקת לידים'!$F$2*1.3))*43758.5453,1)*1000000)*10000+ROW(),"")</f>
        <v/>
      </c>
      <c r="F1815" s="0" t="str">
        <f aca="false">IF(E1815="","",RANK(E1815,$E$2:$E$5001,1))</f>
        <v/>
      </c>
      <c r="G1815" s="0" t="n">
        <f aca="false">IF(A1815="",0,IF(SUMPRODUCT(--($A$2:$A$5001=A1815))&gt;1,1,0))</f>
        <v>0</v>
      </c>
      <c r="H1815" s="0" t="n">
        <f aca="false">ROW()-1</f>
        <v>1814</v>
      </c>
      <c r="I1815" s="0" t="str">
        <f aca="false">IF(OR(הגדרות!$E$6=0,H1815&gt;הגדרות!$E$5),"",IF(H1815-1&lt;הגדרות!$E$8*(הגדרות!$E$7+1),INT((H1815-1)/(הגדרות!$E$7+1)),הגדרות!$E$8+INT((H1815-1-הגדרות!$E$8*(הגדרות!$E$7+1))/הגדרות!$E$7)))</f>
        <v/>
      </c>
      <c r="J1815" s="0" t="str">
        <f aca="false">IF(I1815="","",IF(H1815-1&lt;הגדרות!$E$8*(הגדרות!$E$7+1),MOD(H1815-1,הגדרות!$E$7+1),MOD(H1815-1-הגדרות!$E$8*(הגדרות!$E$7+1),הגדרות!$E$7)))</f>
        <v/>
      </c>
      <c r="K1815" s="0" t="str">
        <f aca="false">IF(I1815="","",J1815*הגדרות!$E$6+I1815+1)</f>
        <v/>
      </c>
      <c r="L1815" s="0" t="str">
        <f aca="false">IF(K1815="","",MATCH(K1815,$F$2:$F$5001,0))</f>
        <v/>
      </c>
      <c r="M1815" s="0" t="str">
        <f aca="false">IF(I1815="","",INDEX(הגדרות!$A$2:$A$21,MOD(I1815+הגדרות!$E$9,הגדרות!$E$6)+1))</f>
        <v/>
      </c>
    </row>
    <row r="1816" customFormat="false" ht="15" hidden="false" customHeight="false" outlineLevel="0" collapsed="false">
      <c r="A1816" s="0" t="str">
        <f aca="false">IF('הדבקת לידים'!A1816="","",IF(ISNUMBER('הדבקת לידים'!A1816),IF(הגדרות!$E$2&gt;0,TEXT('הדבקת לידים'!A1816,REPT("0",הגדרות!$E$2)),TEXT('הדבקת לידים'!A1816,"0")),TRIM('הדבקת לידים'!A1816)))</f>
        <v/>
      </c>
      <c r="B1816" s="0" t="str">
        <f aca="false">IF('הדבקת לידים'!B1816="","",IF(ISNUMBER('הדבקת לידים'!B1816),IF(הגדרות!$E$3&gt;0,TEXT('הדבקת לידים'!B1816,REPT("0",הגדרות!$E$3)),TEXT('הדבקת לידים'!B1816,"0")),TRIM('הדבקת לידים'!B1816)))</f>
        <v/>
      </c>
      <c r="C1816" s="0" t="n">
        <f aca="false">IF(OR(A1816&lt;&gt;"",B1816&lt;&gt;""),1,0)</f>
        <v>0</v>
      </c>
      <c r="D1816" s="0" t="str">
        <f aca="false">IF(C1816=1,MOD(ABS(SIN(ROW()*12.9898+'הדבקת לידים'!$F$2*78.233+IFERROR(--RIGHT(A1816,6),LEN(A1816))*0.0137+IFERROR(--RIGHT(B1816,6),LEN(B1816))*0.0071))*43758.5453,1),"")</f>
        <v/>
      </c>
      <c r="E1816" s="0" t="str">
        <f aca="false">IF(C1816=1,INT(MOD(ABS(SIN(D1816*7919.123+ROW()*0.618+'הדבקת לידים'!$F$2*1.3))*43758.5453,1)*1000000)*10000+ROW(),"")</f>
        <v/>
      </c>
      <c r="F1816" s="0" t="str">
        <f aca="false">IF(E1816="","",RANK(E1816,$E$2:$E$5001,1))</f>
        <v/>
      </c>
      <c r="G1816" s="0" t="n">
        <f aca="false">IF(A1816="",0,IF(SUMPRODUCT(--($A$2:$A$5001=A1816))&gt;1,1,0))</f>
        <v>0</v>
      </c>
      <c r="H1816" s="0" t="n">
        <f aca="false">ROW()-1</f>
        <v>1815</v>
      </c>
      <c r="I1816" s="0" t="str">
        <f aca="false">IF(OR(הגדרות!$E$6=0,H1816&gt;הגדרות!$E$5),"",IF(H1816-1&lt;הגדרות!$E$8*(הגדרות!$E$7+1),INT((H1816-1)/(הגדרות!$E$7+1)),הגדרות!$E$8+INT((H1816-1-הגדרות!$E$8*(הגדרות!$E$7+1))/הגדרות!$E$7)))</f>
        <v/>
      </c>
      <c r="J1816" s="0" t="str">
        <f aca="false">IF(I1816="","",IF(H1816-1&lt;הגדרות!$E$8*(הגדרות!$E$7+1),MOD(H1816-1,הגדרות!$E$7+1),MOD(H1816-1-הגדרות!$E$8*(הגדרות!$E$7+1),הגדרות!$E$7)))</f>
        <v/>
      </c>
      <c r="K1816" s="0" t="str">
        <f aca="false">IF(I1816="","",J1816*הגדרות!$E$6+I1816+1)</f>
        <v/>
      </c>
      <c r="L1816" s="0" t="str">
        <f aca="false">IF(K1816="","",MATCH(K1816,$F$2:$F$5001,0))</f>
        <v/>
      </c>
      <c r="M1816" s="0" t="str">
        <f aca="false">IF(I1816="","",INDEX(הגדרות!$A$2:$A$21,MOD(I1816+הגדרות!$E$9,הגדרות!$E$6)+1))</f>
        <v/>
      </c>
    </row>
    <row r="1817" customFormat="false" ht="15" hidden="false" customHeight="false" outlineLevel="0" collapsed="false">
      <c r="A1817" s="0" t="str">
        <f aca="false">IF('הדבקת לידים'!A1817="","",IF(ISNUMBER('הדבקת לידים'!A1817),IF(הגדרות!$E$2&gt;0,TEXT('הדבקת לידים'!A1817,REPT("0",הגדרות!$E$2)),TEXT('הדבקת לידים'!A1817,"0")),TRIM('הדבקת לידים'!A1817)))</f>
        <v/>
      </c>
      <c r="B1817" s="0" t="str">
        <f aca="false">IF('הדבקת לידים'!B1817="","",IF(ISNUMBER('הדבקת לידים'!B1817),IF(הגדרות!$E$3&gt;0,TEXT('הדבקת לידים'!B1817,REPT("0",הגדרות!$E$3)),TEXT('הדבקת לידים'!B1817,"0")),TRIM('הדבקת לידים'!B1817)))</f>
        <v/>
      </c>
      <c r="C1817" s="0" t="n">
        <f aca="false">IF(OR(A1817&lt;&gt;"",B1817&lt;&gt;""),1,0)</f>
        <v>0</v>
      </c>
      <c r="D1817" s="0" t="str">
        <f aca="false">IF(C1817=1,MOD(ABS(SIN(ROW()*12.9898+'הדבקת לידים'!$F$2*78.233+IFERROR(--RIGHT(A1817,6),LEN(A1817))*0.0137+IFERROR(--RIGHT(B1817,6),LEN(B1817))*0.0071))*43758.5453,1),"")</f>
        <v/>
      </c>
      <c r="E1817" s="0" t="str">
        <f aca="false">IF(C1817=1,INT(MOD(ABS(SIN(D1817*7919.123+ROW()*0.618+'הדבקת לידים'!$F$2*1.3))*43758.5453,1)*1000000)*10000+ROW(),"")</f>
        <v/>
      </c>
      <c r="F1817" s="0" t="str">
        <f aca="false">IF(E1817="","",RANK(E1817,$E$2:$E$5001,1))</f>
        <v/>
      </c>
      <c r="G1817" s="0" t="n">
        <f aca="false">IF(A1817="",0,IF(SUMPRODUCT(--($A$2:$A$5001=A1817))&gt;1,1,0))</f>
        <v>0</v>
      </c>
      <c r="H1817" s="0" t="n">
        <f aca="false">ROW()-1</f>
        <v>1816</v>
      </c>
      <c r="I1817" s="0" t="str">
        <f aca="false">IF(OR(הגדרות!$E$6=0,H1817&gt;הגדרות!$E$5),"",IF(H1817-1&lt;הגדרות!$E$8*(הגדרות!$E$7+1),INT((H1817-1)/(הגדרות!$E$7+1)),הגדרות!$E$8+INT((H1817-1-הגדרות!$E$8*(הגדרות!$E$7+1))/הגדרות!$E$7)))</f>
        <v/>
      </c>
      <c r="J1817" s="0" t="str">
        <f aca="false">IF(I1817="","",IF(H1817-1&lt;הגדרות!$E$8*(הגדרות!$E$7+1),MOD(H1817-1,הגדרות!$E$7+1),MOD(H1817-1-הגדרות!$E$8*(הגדרות!$E$7+1),הגדרות!$E$7)))</f>
        <v/>
      </c>
      <c r="K1817" s="0" t="str">
        <f aca="false">IF(I1817="","",J1817*הגדרות!$E$6+I1817+1)</f>
        <v/>
      </c>
      <c r="L1817" s="0" t="str">
        <f aca="false">IF(K1817="","",MATCH(K1817,$F$2:$F$5001,0))</f>
        <v/>
      </c>
      <c r="M1817" s="0" t="str">
        <f aca="false">IF(I1817="","",INDEX(הגדרות!$A$2:$A$21,MOD(I1817+הגדרות!$E$9,הגדרות!$E$6)+1))</f>
        <v/>
      </c>
    </row>
    <row r="1818" customFormat="false" ht="15" hidden="false" customHeight="false" outlineLevel="0" collapsed="false">
      <c r="A1818" s="0" t="str">
        <f aca="false">IF('הדבקת לידים'!A1818="","",IF(ISNUMBER('הדבקת לידים'!A1818),IF(הגדרות!$E$2&gt;0,TEXT('הדבקת לידים'!A1818,REPT("0",הגדרות!$E$2)),TEXT('הדבקת לידים'!A1818,"0")),TRIM('הדבקת לידים'!A1818)))</f>
        <v/>
      </c>
      <c r="B1818" s="0" t="str">
        <f aca="false">IF('הדבקת לידים'!B1818="","",IF(ISNUMBER('הדבקת לידים'!B1818),IF(הגדרות!$E$3&gt;0,TEXT('הדבקת לידים'!B1818,REPT("0",הגדרות!$E$3)),TEXT('הדבקת לידים'!B1818,"0")),TRIM('הדבקת לידים'!B1818)))</f>
        <v/>
      </c>
      <c r="C1818" s="0" t="n">
        <f aca="false">IF(OR(A1818&lt;&gt;"",B1818&lt;&gt;""),1,0)</f>
        <v>0</v>
      </c>
      <c r="D1818" s="0" t="str">
        <f aca="false">IF(C1818=1,MOD(ABS(SIN(ROW()*12.9898+'הדבקת לידים'!$F$2*78.233+IFERROR(--RIGHT(A1818,6),LEN(A1818))*0.0137+IFERROR(--RIGHT(B1818,6),LEN(B1818))*0.0071))*43758.5453,1),"")</f>
        <v/>
      </c>
      <c r="E1818" s="0" t="str">
        <f aca="false">IF(C1818=1,INT(MOD(ABS(SIN(D1818*7919.123+ROW()*0.618+'הדבקת לידים'!$F$2*1.3))*43758.5453,1)*1000000)*10000+ROW(),"")</f>
        <v/>
      </c>
      <c r="F1818" s="0" t="str">
        <f aca="false">IF(E1818="","",RANK(E1818,$E$2:$E$5001,1))</f>
        <v/>
      </c>
      <c r="G1818" s="0" t="n">
        <f aca="false">IF(A1818="",0,IF(SUMPRODUCT(--($A$2:$A$5001=A1818))&gt;1,1,0))</f>
        <v>0</v>
      </c>
      <c r="H1818" s="0" t="n">
        <f aca="false">ROW()-1</f>
        <v>1817</v>
      </c>
      <c r="I1818" s="0" t="str">
        <f aca="false">IF(OR(הגדרות!$E$6=0,H1818&gt;הגדרות!$E$5),"",IF(H1818-1&lt;הגדרות!$E$8*(הגדרות!$E$7+1),INT((H1818-1)/(הגדרות!$E$7+1)),הגדרות!$E$8+INT((H1818-1-הגדרות!$E$8*(הגדרות!$E$7+1))/הגדרות!$E$7)))</f>
        <v/>
      </c>
      <c r="J1818" s="0" t="str">
        <f aca="false">IF(I1818="","",IF(H1818-1&lt;הגדרות!$E$8*(הגדרות!$E$7+1),MOD(H1818-1,הגדרות!$E$7+1),MOD(H1818-1-הגדרות!$E$8*(הגדרות!$E$7+1),הגדרות!$E$7)))</f>
        <v/>
      </c>
      <c r="K1818" s="0" t="str">
        <f aca="false">IF(I1818="","",J1818*הגדרות!$E$6+I1818+1)</f>
        <v/>
      </c>
      <c r="L1818" s="0" t="str">
        <f aca="false">IF(K1818="","",MATCH(K1818,$F$2:$F$5001,0))</f>
        <v/>
      </c>
      <c r="M1818" s="0" t="str">
        <f aca="false">IF(I1818="","",INDEX(הגדרות!$A$2:$A$21,MOD(I1818+הגדרות!$E$9,הגדרות!$E$6)+1))</f>
        <v/>
      </c>
    </row>
    <row r="1819" customFormat="false" ht="15" hidden="false" customHeight="false" outlineLevel="0" collapsed="false">
      <c r="A1819" s="0" t="str">
        <f aca="false">IF('הדבקת לידים'!A1819="","",IF(ISNUMBER('הדבקת לידים'!A1819),IF(הגדרות!$E$2&gt;0,TEXT('הדבקת לידים'!A1819,REPT("0",הגדרות!$E$2)),TEXT('הדבקת לידים'!A1819,"0")),TRIM('הדבקת לידים'!A1819)))</f>
        <v/>
      </c>
      <c r="B1819" s="0" t="str">
        <f aca="false">IF('הדבקת לידים'!B1819="","",IF(ISNUMBER('הדבקת לידים'!B1819),IF(הגדרות!$E$3&gt;0,TEXT('הדבקת לידים'!B1819,REPT("0",הגדרות!$E$3)),TEXT('הדבקת לידים'!B1819,"0")),TRIM('הדבקת לידים'!B1819)))</f>
        <v/>
      </c>
      <c r="C1819" s="0" t="n">
        <f aca="false">IF(OR(A1819&lt;&gt;"",B1819&lt;&gt;""),1,0)</f>
        <v>0</v>
      </c>
      <c r="D1819" s="0" t="str">
        <f aca="false">IF(C1819=1,MOD(ABS(SIN(ROW()*12.9898+'הדבקת לידים'!$F$2*78.233+IFERROR(--RIGHT(A1819,6),LEN(A1819))*0.0137+IFERROR(--RIGHT(B1819,6),LEN(B1819))*0.0071))*43758.5453,1),"")</f>
        <v/>
      </c>
      <c r="E1819" s="0" t="str">
        <f aca="false">IF(C1819=1,INT(MOD(ABS(SIN(D1819*7919.123+ROW()*0.618+'הדבקת לידים'!$F$2*1.3))*43758.5453,1)*1000000)*10000+ROW(),"")</f>
        <v/>
      </c>
      <c r="F1819" s="0" t="str">
        <f aca="false">IF(E1819="","",RANK(E1819,$E$2:$E$5001,1))</f>
        <v/>
      </c>
      <c r="G1819" s="0" t="n">
        <f aca="false">IF(A1819="",0,IF(SUMPRODUCT(--($A$2:$A$5001=A1819))&gt;1,1,0))</f>
        <v>0</v>
      </c>
      <c r="H1819" s="0" t="n">
        <f aca="false">ROW()-1</f>
        <v>1818</v>
      </c>
      <c r="I1819" s="0" t="str">
        <f aca="false">IF(OR(הגדרות!$E$6=0,H1819&gt;הגדרות!$E$5),"",IF(H1819-1&lt;הגדרות!$E$8*(הגדרות!$E$7+1),INT((H1819-1)/(הגדרות!$E$7+1)),הגדרות!$E$8+INT((H1819-1-הגדרות!$E$8*(הגדרות!$E$7+1))/הגדרות!$E$7)))</f>
        <v/>
      </c>
      <c r="J1819" s="0" t="str">
        <f aca="false">IF(I1819="","",IF(H1819-1&lt;הגדרות!$E$8*(הגדרות!$E$7+1),MOD(H1819-1,הגדרות!$E$7+1),MOD(H1819-1-הגדרות!$E$8*(הגדרות!$E$7+1),הגדרות!$E$7)))</f>
        <v/>
      </c>
      <c r="K1819" s="0" t="str">
        <f aca="false">IF(I1819="","",J1819*הגדרות!$E$6+I1819+1)</f>
        <v/>
      </c>
      <c r="L1819" s="0" t="str">
        <f aca="false">IF(K1819="","",MATCH(K1819,$F$2:$F$5001,0))</f>
        <v/>
      </c>
      <c r="M1819" s="0" t="str">
        <f aca="false">IF(I1819="","",INDEX(הגדרות!$A$2:$A$21,MOD(I1819+הגדרות!$E$9,הגדרות!$E$6)+1))</f>
        <v/>
      </c>
    </row>
    <row r="1820" customFormat="false" ht="15" hidden="false" customHeight="false" outlineLevel="0" collapsed="false">
      <c r="A1820" s="0" t="str">
        <f aca="false">IF('הדבקת לידים'!A1820="","",IF(ISNUMBER('הדבקת לידים'!A1820),IF(הגדרות!$E$2&gt;0,TEXT('הדבקת לידים'!A1820,REPT("0",הגדרות!$E$2)),TEXT('הדבקת לידים'!A1820,"0")),TRIM('הדבקת לידים'!A1820)))</f>
        <v/>
      </c>
      <c r="B1820" s="0" t="str">
        <f aca="false">IF('הדבקת לידים'!B1820="","",IF(ISNUMBER('הדבקת לידים'!B1820),IF(הגדרות!$E$3&gt;0,TEXT('הדבקת לידים'!B1820,REPT("0",הגדרות!$E$3)),TEXT('הדבקת לידים'!B1820,"0")),TRIM('הדבקת לידים'!B1820)))</f>
        <v/>
      </c>
      <c r="C1820" s="0" t="n">
        <f aca="false">IF(OR(A1820&lt;&gt;"",B1820&lt;&gt;""),1,0)</f>
        <v>0</v>
      </c>
      <c r="D1820" s="0" t="str">
        <f aca="false">IF(C1820=1,MOD(ABS(SIN(ROW()*12.9898+'הדבקת לידים'!$F$2*78.233+IFERROR(--RIGHT(A1820,6),LEN(A1820))*0.0137+IFERROR(--RIGHT(B1820,6),LEN(B1820))*0.0071))*43758.5453,1),"")</f>
        <v/>
      </c>
      <c r="E1820" s="0" t="str">
        <f aca="false">IF(C1820=1,INT(MOD(ABS(SIN(D1820*7919.123+ROW()*0.618+'הדבקת לידים'!$F$2*1.3))*43758.5453,1)*1000000)*10000+ROW(),"")</f>
        <v/>
      </c>
      <c r="F1820" s="0" t="str">
        <f aca="false">IF(E1820="","",RANK(E1820,$E$2:$E$5001,1))</f>
        <v/>
      </c>
      <c r="G1820" s="0" t="n">
        <f aca="false">IF(A1820="",0,IF(SUMPRODUCT(--($A$2:$A$5001=A1820))&gt;1,1,0))</f>
        <v>0</v>
      </c>
      <c r="H1820" s="0" t="n">
        <f aca="false">ROW()-1</f>
        <v>1819</v>
      </c>
      <c r="I1820" s="0" t="str">
        <f aca="false">IF(OR(הגדרות!$E$6=0,H1820&gt;הגדרות!$E$5),"",IF(H1820-1&lt;הגדרות!$E$8*(הגדרות!$E$7+1),INT((H1820-1)/(הגדרות!$E$7+1)),הגדרות!$E$8+INT((H1820-1-הגדרות!$E$8*(הגדרות!$E$7+1))/הגדרות!$E$7)))</f>
        <v/>
      </c>
      <c r="J1820" s="0" t="str">
        <f aca="false">IF(I1820="","",IF(H1820-1&lt;הגדרות!$E$8*(הגדרות!$E$7+1),MOD(H1820-1,הגדרות!$E$7+1),MOD(H1820-1-הגדרות!$E$8*(הגדרות!$E$7+1),הגדרות!$E$7)))</f>
        <v/>
      </c>
      <c r="K1820" s="0" t="str">
        <f aca="false">IF(I1820="","",J1820*הגדרות!$E$6+I1820+1)</f>
        <v/>
      </c>
      <c r="L1820" s="0" t="str">
        <f aca="false">IF(K1820="","",MATCH(K1820,$F$2:$F$5001,0))</f>
        <v/>
      </c>
      <c r="M1820" s="0" t="str">
        <f aca="false">IF(I1820="","",INDEX(הגדרות!$A$2:$A$21,MOD(I1820+הגדרות!$E$9,הגדרות!$E$6)+1))</f>
        <v/>
      </c>
    </row>
    <row r="1821" customFormat="false" ht="15" hidden="false" customHeight="false" outlineLevel="0" collapsed="false">
      <c r="A1821" s="0" t="str">
        <f aca="false">IF('הדבקת לידים'!A1821="","",IF(ISNUMBER('הדבקת לידים'!A1821),IF(הגדרות!$E$2&gt;0,TEXT('הדבקת לידים'!A1821,REPT("0",הגדרות!$E$2)),TEXT('הדבקת לידים'!A1821,"0")),TRIM('הדבקת לידים'!A1821)))</f>
        <v/>
      </c>
      <c r="B1821" s="0" t="str">
        <f aca="false">IF('הדבקת לידים'!B1821="","",IF(ISNUMBER('הדבקת לידים'!B1821),IF(הגדרות!$E$3&gt;0,TEXT('הדבקת לידים'!B1821,REPT("0",הגדרות!$E$3)),TEXT('הדבקת לידים'!B1821,"0")),TRIM('הדבקת לידים'!B1821)))</f>
        <v/>
      </c>
      <c r="C1821" s="0" t="n">
        <f aca="false">IF(OR(A1821&lt;&gt;"",B1821&lt;&gt;""),1,0)</f>
        <v>0</v>
      </c>
      <c r="D1821" s="0" t="str">
        <f aca="false">IF(C1821=1,MOD(ABS(SIN(ROW()*12.9898+'הדבקת לידים'!$F$2*78.233+IFERROR(--RIGHT(A1821,6),LEN(A1821))*0.0137+IFERROR(--RIGHT(B1821,6),LEN(B1821))*0.0071))*43758.5453,1),"")</f>
        <v/>
      </c>
      <c r="E1821" s="0" t="str">
        <f aca="false">IF(C1821=1,INT(MOD(ABS(SIN(D1821*7919.123+ROW()*0.618+'הדבקת לידים'!$F$2*1.3))*43758.5453,1)*1000000)*10000+ROW(),"")</f>
        <v/>
      </c>
      <c r="F1821" s="0" t="str">
        <f aca="false">IF(E1821="","",RANK(E1821,$E$2:$E$5001,1))</f>
        <v/>
      </c>
      <c r="G1821" s="0" t="n">
        <f aca="false">IF(A1821="",0,IF(SUMPRODUCT(--($A$2:$A$5001=A1821))&gt;1,1,0))</f>
        <v>0</v>
      </c>
      <c r="H1821" s="0" t="n">
        <f aca="false">ROW()-1</f>
        <v>1820</v>
      </c>
      <c r="I1821" s="0" t="str">
        <f aca="false">IF(OR(הגדרות!$E$6=0,H1821&gt;הגדרות!$E$5),"",IF(H1821-1&lt;הגדרות!$E$8*(הגדרות!$E$7+1),INT((H1821-1)/(הגדרות!$E$7+1)),הגדרות!$E$8+INT((H1821-1-הגדרות!$E$8*(הגדרות!$E$7+1))/הגדרות!$E$7)))</f>
        <v/>
      </c>
      <c r="J1821" s="0" t="str">
        <f aca="false">IF(I1821="","",IF(H1821-1&lt;הגדרות!$E$8*(הגדרות!$E$7+1),MOD(H1821-1,הגדרות!$E$7+1),MOD(H1821-1-הגדרות!$E$8*(הגדרות!$E$7+1),הגדרות!$E$7)))</f>
        <v/>
      </c>
      <c r="K1821" s="0" t="str">
        <f aca="false">IF(I1821="","",J1821*הגדרות!$E$6+I1821+1)</f>
        <v/>
      </c>
      <c r="L1821" s="0" t="str">
        <f aca="false">IF(K1821="","",MATCH(K1821,$F$2:$F$5001,0))</f>
        <v/>
      </c>
      <c r="M1821" s="0" t="str">
        <f aca="false">IF(I1821="","",INDEX(הגדרות!$A$2:$A$21,MOD(I1821+הגדרות!$E$9,הגדרות!$E$6)+1))</f>
        <v/>
      </c>
    </row>
    <row r="1822" customFormat="false" ht="15" hidden="false" customHeight="false" outlineLevel="0" collapsed="false">
      <c r="A1822" s="0" t="str">
        <f aca="false">IF('הדבקת לידים'!A1822="","",IF(ISNUMBER('הדבקת לידים'!A1822),IF(הגדרות!$E$2&gt;0,TEXT('הדבקת לידים'!A1822,REPT("0",הגדרות!$E$2)),TEXT('הדבקת לידים'!A1822,"0")),TRIM('הדבקת לידים'!A1822)))</f>
        <v/>
      </c>
      <c r="B1822" s="0" t="str">
        <f aca="false">IF('הדבקת לידים'!B1822="","",IF(ISNUMBER('הדבקת לידים'!B1822),IF(הגדרות!$E$3&gt;0,TEXT('הדבקת לידים'!B1822,REPT("0",הגדרות!$E$3)),TEXT('הדבקת לידים'!B1822,"0")),TRIM('הדבקת לידים'!B1822)))</f>
        <v/>
      </c>
      <c r="C1822" s="0" t="n">
        <f aca="false">IF(OR(A1822&lt;&gt;"",B1822&lt;&gt;""),1,0)</f>
        <v>0</v>
      </c>
      <c r="D1822" s="0" t="str">
        <f aca="false">IF(C1822=1,MOD(ABS(SIN(ROW()*12.9898+'הדבקת לידים'!$F$2*78.233+IFERROR(--RIGHT(A1822,6),LEN(A1822))*0.0137+IFERROR(--RIGHT(B1822,6),LEN(B1822))*0.0071))*43758.5453,1),"")</f>
        <v/>
      </c>
      <c r="E1822" s="0" t="str">
        <f aca="false">IF(C1822=1,INT(MOD(ABS(SIN(D1822*7919.123+ROW()*0.618+'הדבקת לידים'!$F$2*1.3))*43758.5453,1)*1000000)*10000+ROW(),"")</f>
        <v/>
      </c>
      <c r="F1822" s="0" t="str">
        <f aca="false">IF(E1822="","",RANK(E1822,$E$2:$E$5001,1))</f>
        <v/>
      </c>
      <c r="G1822" s="0" t="n">
        <f aca="false">IF(A1822="",0,IF(SUMPRODUCT(--($A$2:$A$5001=A1822))&gt;1,1,0))</f>
        <v>0</v>
      </c>
      <c r="H1822" s="0" t="n">
        <f aca="false">ROW()-1</f>
        <v>1821</v>
      </c>
      <c r="I1822" s="0" t="str">
        <f aca="false">IF(OR(הגדרות!$E$6=0,H1822&gt;הגדרות!$E$5),"",IF(H1822-1&lt;הגדרות!$E$8*(הגדרות!$E$7+1),INT((H1822-1)/(הגדרות!$E$7+1)),הגדרות!$E$8+INT((H1822-1-הגדרות!$E$8*(הגדרות!$E$7+1))/הגדרות!$E$7)))</f>
        <v/>
      </c>
      <c r="J1822" s="0" t="str">
        <f aca="false">IF(I1822="","",IF(H1822-1&lt;הגדרות!$E$8*(הגדרות!$E$7+1),MOD(H1822-1,הגדרות!$E$7+1),MOD(H1822-1-הגדרות!$E$8*(הגדרות!$E$7+1),הגדרות!$E$7)))</f>
        <v/>
      </c>
      <c r="K1822" s="0" t="str">
        <f aca="false">IF(I1822="","",J1822*הגדרות!$E$6+I1822+1)</f>
        <v/>
      </c>
      <c r="L1822" s="0" t="str">
        <f aca="false">IF(K1822="","",MATCH(K1822,$F$2:$F$5001,0))</f>
        <v/>
      </c>
      <c r="M1822" s="0" t="str">
        <f aca="false">IF(I1822="","",INDEX(הגדרות!$A$2:$A$21,MOD(I1822+הגדרות!$E$9,הגדרות!$E$6)+1))</f>
        <v/>
      </c>
    </row>
    <row r="1823" customFormat="false" ht="15" hidden="false" customHeight="false" outlineLevel="0" collapsed="false">
      <c r="A1823" s="0" t="str">
        <f aca="false">IF('הדבקת לידים'!A1823="","",IF(ISNUMBER('הדבקת לידים'!A1823),IF(הגדרות!$E$2&gt;0,TEXT('הדבקת לידים'!A1823,REPT("0",הגדרות!$E$2)),TEXT('הדבקת לידים'!A1823,"0")),TRIM('הדבקת לידים'!A1823)))</f>
        <v/>
      </c>
      <c r="B1823" s="0" t="str">
        <f aca="false">IF('הדבקת לידים'!B1823="","",IF(ISNUMBER('הדבקת לידים'!B1823),IF(הגדרות!$E$3&gt;0,TEXT('הדבקת לידים'!B1823,REPT("0",הגדרות!$E$3)),TEXT('הדבקת לידים'!B1823,"0")),TRIM('הדבקת לידים'!B1823)))</f>
        <v/>
      </c>
      <c r="C1823" s="0" t="n">
        <f aca="false">IF(OR(A1823&lt;&gt;"",B1823&lt;&gt;""),1,0)</f>
        <v>0</v>
      </c>
      <c r="D1823" s="0" t="str">
        <f aca="false">IF(C1823=1,MOD(ABS(SIN(ROW()*12.9898+'הדבקת לידים'!$F$2*78.233+IFERROR(--RIGHT(A1823,6),LEN(A1823))*0.0137+IFERROR(--RIGHT(B1823,6),LEN(B1823))*0.0071))*43758.5453,1),"")</f>
        <v/>
      </c>
      <c r="E1823" s="0" t="str">
        <f aca="false">IF(C1823=1,INT(MOD(ABS(SIN(D1823*7919.123+ROW()*0.618+'הדבקת לידים'!$F$2*1.3))*43758.5453,1)*1000000)*10000+ROW(),"")</f>
        <v/>
      </c>
      <c r="F1823" s="0" t="str">
        <f aca="false">IF(E1823="","",RANK(E1823,$E$2:$E$5001,1))</f>
        <v/>
      </c>
      <c r="G1823" s="0" t="n">
        <f aca="false">IF(A1823="",0,IF(SUMPRODUCT(--($A$2:$A$5001=A1823))&gt;1,1,0))</f>
        <v>0</v>
      </c>
      <c r="H1823" s="0" t="n">
        <f aca="false">ROW()-1</f>
        <v>1822</v>
      </c>
      <c r="I1823" s="0" t="str">
        <f aca="false">IF(OR(הגדרות!$E$6=0,H1823&gt;הגדרות!$E$5),"",IF(H1823-1&lt;הגדרות!$E$8*(הגדרות!$E$7+1),INT((H1823-1)/(הגדרות!$E$7+1)),הגדרות!$E$8+INT((H1823-1-הגדרות!$E$8*(הגדרות!$E$7+1))/הגדרות!$E$7)))</f>
        <v/>
      </c>
      <c r="J1823" s="0" t="str">
        <f aca="false">IF(I1823="","",IF(H1823-1&lt;הגדרות!$E$8*(הגדרות!$E$7+1),MOD(H1823-1,הגדרות!$E$7+1),MOD(H1823-1-הגדרות!$E$8*(הגדרות!$E$7+1),הגדרות!$E$7)))</f>
        <v/>
      </c>
      <c r="K1823" s="0" t="str">
        <f aca="false">IF(I1823="","",J1823*הגדרות!$E$6+I1823+1)</f>
        <v/>
      </c>
      <c r="L1823" s="0" t="str">
        <f aca="false">IF(K1823="","",MATCH(K1823,$F$2:$F$5001,0))</f>
        <v/>
      </c>
      <c r="M1823" s="0" t="str">
        <f aca="false">IF(I1823="","",INDEX(הגדרות!$A$2:$A$21,MOD(I1823+הגדרות!$E$9,הגדרות!$E$6)+1))</f>
        <v/>
      </c>
    </row>
    <row r="1824" customFormat="false" ht="15" hidden="false" customHeight="false" outlineLevel="0" collapsed="false">
      <c r="A1824" s="0" t="str">
        <f aca="false">IF('הדבקת לידים'!A1824="","",IF(ISNUMBER('הדבקת לידים'!A1824),IF(הגדרות!$E$2&gt;0,TEXT('הדבקת לידים'!A1824,REPT("0",הגדרות!$E$2)),TEXT('הדבקת לידים'!A1824,"0")),TRIM('הדבקת לידים'!A1824)))</f>
        <v/>
      </c>
      <c r="B1824" s="0" t="str">
        <f aca="false">IF('הדבקת לידים'!B1824="","",IF(ISNUMBER('הדבקת לידים'!B1824),IF(הגדרות!$E$3&gt;0,TEXT('הדבקת לידים'!B1824,REPT("0",הגדרות!$E$3)),TEXT('הדבקת לידים'!B1824,"0")),TRIM('הדבקת לידים'!B1824)))</f>
        <v/>
      </c>
      <c r="C1824" s="0" t="n">
        <f aca="false">IF(OR(A1824&lt;&gt;"",B1824&lt;&gt;""),1,0)</f>
        <v>0</v>
      </c>
      <c r="D1824" s="0" t="str">
        <f aca="false">IF(C1824=1,MOD(ABS(SIN(ROW()*12.9898+'הדבקת לידים'!$F$2*78.233+IFERROR(--RIGHT(A1824,6),LEN(A1824))*0.0137+IFERROR(--RIGHT(B1824,6),LEN(B1824))*0.0071))*43758.5453,1),"")</f>
        <v/>
      </c>
      <c r="E1824" s="0" t="str">
        <f aca="false">IF(C1824=1,INT(MOD(ABS(SIN(D1824*7919.123+ROW()*0.618+'הדבקת לידים'!$F$2*1.3))*43758.5453,1)*1000000)*10000+ROW(),"")</f>
        <v/>
      </c>
      <c r="F1824" s="0" t="str">
        <f aca="false">IF(E1824="","",RANK(E1824,$E$2:$E$5001,1))</f>
        <v/>
      </c>
      <c r="G1824" s="0" t="n">
        <f aca="false">IF(A1824="",0,IF(SUMPRODUCT(--($A$2:$A$5001=A1824))&gt;1,1,0))</f>
        <v>0</v>
      </c>
      <c r="H1824" s="0" t="n">
        <f aca="false">ROW()-1</f>
        <v>1823</v>
      </c>
      <c r="I1824" s="0" t="str">
        <f aca="false">IF(OR(הגדרות!$E$6=0,H1824&gt;הגדרות!$E$5),"",IF(H1824-1&lt;הגדרות!$E$8*(הגדרות!$E$7+1),INT((H1824-1)/(הגדרות!$E$7+1)),הגדרות!$E$8+INT((H1824-1-הגדרות!$E$8*(הגדרות!$E$7+1))/הגדרות!$E$7)))</f>
        <v/>
      </c>
      <c r="J1824" s="0" t="str">
        <f aca="false">IF(I1824="","",IF(H1824-1&lt;הגדרות!$E$8*(הגדרות!$E$7+1),MOD(H1824-1,הגדרות!$E$7+1),MOD(H1824-1-הגדרות!$E$8*(הגדרות!$E$7+1),הגדרות!$E$7)))</f>
        <v/>
      </c>
      <c r="K1824" s="0" t="str">
        <f aca="false">IF(I1824="","",J1824*הגדרות!$E$6+I1824+1)</f>
        <v/>
      </c>
      <c r="L1824" s="0" t="str">
        <f aca="false">IF(K1824="","",MATCH(K1824,$F$2:$F$5001,0))</f>
        <v/>
      </c>
      <c r="M1824" s="0" t="str">
        <f aca="false">IF(I1824="","",INDEX(הגדרות!$A$2:$A$21,MOD(I1824+הגדרות!$E$9,הגדרות!$E$6)+1))</f>
        <v/>
      </c>
    </row>
    <row r="1825" customFormat="false" ht="15" hidden="false" customHeight="false" outlineLevel="0" collapsed="false">
      <c r="A1825" s="0" t="str">
        <f aca="false">IF('הדבקת לידים'!A1825="","",IF(ISNUMBER('הדבקת לידים'!A1825),IF(הגדרות!$E$2&gt;0,TEXT('הדבקת לידים'!A1825,REPT("0",הגדרות!$E$2)),TEXT('הדבקת לידים'!A1825,"0")),TRIM('הדבקת לידים'!A1825)))</f>
        <v/>
      </c>
      <c r="B1825" s="0" t="str">
        <f aca="false">IF('הדבקת לידים'!B1825="","",IF(ISNUMBER('הדבקת לידים'!B1825),IF(הגדרות!$E$3&gt;0,TEXT('הדבקת לידים'!B1825,REPT("0",הגדרות!$E$3)),TEXT('הדבקת לידים'!B1825,"0")),TRIM('הדבקת לידים'!B1825)))</f>
        <v/>
      </c>
      <c r="C1825" s="0" t="n">
        <f aca="false">IF(OR(A1825&lt;&gt;"",B1825&lt;&gt;""),1,0)</f>
        <v>0</v>
      </c>
      <c r="D1825" s="0" t="str">
        <f aca="false">IF(C1825=1,MOD(ABS(SIN(ROW()*12.9898+'הדבקת לידים'!$F$2*78.233+IFERROR(--RIGHT(A1825,6),LEN(A1825))*0.0137+IFERROR(--RIGHT(B1825,6),LEN(B1825))*0.0071))*43758.5453,1),"")</f>
        <v/>
      </c>
      <c r="E1825" s="0" t="str">
        <f aca="false">IF(C1825=1,INT(MOD(ABS(SIN(D1825*7919.123+ROW()*0.618+'הדבקת לידים'!$F$2*1.3))*43758.5453,1)*1000000)*10000+ROW(),"")</f>
        <v/>
      </c>
      <c r="F1825" s="0" t="str">
        <f aca="false">IF(E1825="","",RANK(E1825,$E$2:$E$5001,1))</f>
        <v/>
      </c>
      <c r="G1825" s="0" t="n">
        <f aca="false">IF(A1825="",0,IF(SUMPRODUCT(--($A$2:$A$5001=A1825))&gt;1,1,0))</f>
        <v>0</v>
      </c>
      <c r="H1825" s="0" t="n">
        <f aca="false">ROW()-1</f>
        <v>1824</v>
      </c>
      <c r="I1825" s="0" t="str">
        <f aca="false">IF(OR(הגדרות!$E$6=0,H1825&gt;הגדרות!$E$5),"",IF(H1825-1&lt;הגדרות!$E$8*(הגדרות!$E$7+1),INT((H1825-1)/(הגדרות!$E$7+1)),הגדרות!$E$8+INT((H1825-1-הגדרות!$E$8*(הגדרות!$E$7+1))/הגדרות!$E$7)))</f>
        <v/>
      </c>
      <c r="J1825" s="0" t="str">
        <f aca="false">IF(I1825="","",IF(H1825-1&lt;הגדרות!$E$8*(הגדרות!$E$7+1),MOD(H1825-1,הגדרות!$E$7+1),MOD(H1825-1-הגדרות!$E$8*(הגדרות!$E$7+1),הגדרות!$E$7)))</f>
        <v/>
      </c>
      <c r="K1825" s="0" t="str">
        <f aca="false">IF(I1825="","",J1825*הגדרות!$E$6+I1825+1)</f>
        <v/>
      </c>
      <c r="L1825" s="0" t="str">
        <f aca="false">IF(K1825="","",MATCH(K1825,$F$2:$F$5001,0))</f>
        <v/>
      </c>
      <c r="M1825" s="0" t="str">
        <f aca="false">IF(I1825="","",INDEX(הגדרות!$A$2:$A$21,MOD(I1825+הגדרות!$E$9,הגדרות!$E$6)+1))</f>
        <v/>
      </c>
    </row>
    <row r="1826" customFormat="false" ht="15" hidden="false" customHeight="false" outlineLevel="0" collapsed="false">
      <c r="A1826" s="0" t="str">
        <f aca="false">IF('הדבקת לידים'!A1826="","",IF(ISNUMBER('הדבקת לידים'!A1826),IF(הגדרות!$E$2&gt;0,TEXT('הדבקת לידים'!A1826,REPT("0",הגדרות!$E$2)),TEXT('הדבקת לידים'!A1826,"0")),TRIM('הדבקת לידים'!A1826)))</f>
        <v/>
      </c>
      <c r="B1826" s="0" t="str">
        <f aca="false">IF('הדבקת לידים'!B1826="","",IF(ISNUMBER('הדבקת לידים'!B1826),IF(הגדרות!$E$3&gt;0,TEXT('הדבקת לידים'!B1826,REPT("0",הגדרות!$E$3)),TEXT('הדבקת לידים'!B1826,"0")),TRIM('הדבקת לידים'!B1826)))</f>
        <v/>
      </c>
      <c r="C1826" s="0" t="n">
        <f aca="false">IF(OR(A1826&lt;&gt;"",B1826&lt;&gt;""),1,0)</f>
        <v>0</v>
      </c>
      <c r="D1826" s="0" t="str">
        <f aca="false">IF(C1826=1,MOD(ABS(SIN(ROW()*12.9898+'הדבקת לידים'!$F$2*78.233+IFERROR(--RIGHT(A1826,6),LEN(A1826))*0.0137+IFERROR(--RIGHT(B1826,6),LEN(B1826))*0.0071))*43758.5453,1),"")</f>
        <v/>
      </c>
      <c r="E1826" s="0" t="str">
        <f aca="false">IF(C1826=1,INT(MOD(ABS(SIN(D1826*7919.123+ROW()*0.618+'הדבקת לידים'!$F$2*1.3))*43758.5453,1)*1000000)*10000+ROW(),"")</f>
        <v/>
      </c>
      <c r="F1826" s="0" t="str">
        <f aca="false">IF(E1826="","",RANK(E1826,$E$2:$E$5001,1))</f>
        <v/>
      </c>
      <c r="G1826" s="0" t="n">
        <f aca="false">IF(A1826="",0,IF(SUMPRODUCT(--($A$2:$A$5001=A1826))&gt;1,1,0))</f>
        <v>0</v>
      </c>
      <c r="H1826" s="0" t="n">
        <f aca="false">ROW()-1</f>
        <v>1825</v>
      </c>
      <c r="I1826" s="0" t="str">
        <f aca="false">IF(OR(הגדרות!$E$6=0,H1826&gt;הגדרות!$E$5),"",IF(H1826-1&lt;הגדרות!$E$8*(הגדרות!$E$7+1),INT((H1826-1)/(הגדרות!$E$7+1)),הגדרות!$E$8+INT((H1826-1-הגדרות!$E$8*(הגדרות!$E$7+1))/הגדרות!$E$7)))</f>
        <v/>
      </c>
      <c r="J1826" s="0" t="str">
        <f aca="false">IF(I1826="","",IF(H1826-1&lt;הגדרות!$E$8*(הגדרות!$E$7+1),MOD(H1826-1,הגדרות!$E$7+1),MOD(H1826-1-הגדרות!$E$8*(הגדרות!$E$7+1),הגדרות!$E$7)))</f>
        <v/>
      </c>
      <c r="K1826" s="0" t="str">
        <f aca="false">IF(I1826="","",J1826*הגדרות!$E$6+I1826+1)</f>
        <v/>
      </c>
      <c r="L1826" s="0" t="str">
        <f aca="false">IF(K1826="","",MATCH(K1826,$F$2:$F$5001,0))</f>
        <v/>
      </c>
      <c r="M1826" s="0" t="str">
        <f aca="false">IF(I1826="","",INDEX(הגדרות!$A$2:$A$21,MOD(I1826+הגדרות!$E$9,הגדרות!$E$6)+1))</f>
        <v/>
      </c>
    </row>
    <row r="1827" customFormat="false" ht="15" hidden="false" customHeight="false" outlineLevel="0" collapsed="false">
      <c r="A1827" s="0" t="str">
        <f aca="false">IF('הדבקת לידים'!A1827="","",IF(ISNUMBER('הדבקת לידים'!A1827),IF(הגדרות!$E$2&gt;0,TEXT('הדבקת לידים'!A1827,REPT("0",הגדרות!$E$2)),TEXT('הדבקת לידים'!A1827,"0")),TRIM('הדבקת לידים'!A1827)))</f>
        <v/>
      </c>
      <c r="B1827" s="0" t="str">
        <f aca="false">IF('הדבקת לידים'!B1827="","",IF(ISNUMBER('הדבקת לידים'!B1827),IF(הגדרות!$E$3&gt;0,TEXT('הדבקת לידים'!B1827,REPT("0",הגדרות!$E$3)),TEXT('הדבקת לידים'!B1827,"0")),TRIM('הדבקת לידים'!B1827)))</f>
        <v/>
      </c>
      <c r="C1827" s="0" t="n">
        <f aca="false">IF(OR(A1827&lt;&gt;"",B1827&lt;&gt;""),1,0)</f>
        <v>0</v>
      </c>
      <c r="D1827" s="0" t="str">
        <f aca="false">IF(C1827=1,MOD(ABS(SIN(ROW()*12.9898+'הדבקת לידים'!$F$2*78.233+IFERROR(--RIGHT(A1827,6),LEN(A1827))*0.0137+IFERROR(--RIGHT(B1827,6),LEN(B1827))*0.0071))*43758.5453,1),"")</f>
        <v/>
      </c>
      <c r="E1827" s="0" t="str">
        <f aca="false">IF(C1827=1,INT(MOD(ABS(SIN(D1827*7919.123+ROW()*0.618+'הדבקת לידים'!$F$2*1.3))*43758.5453,1)*1000000)*10000+ROW(),"")</f>
        <v/>
      </c>
      <c r="F1827" s="0" t="str">
        <f aca="false">IF(E1827="","",RANK(E1827,$E$2:$E$5001,1))</f>
        <v/>
      </c>
      <c r="G1827" s="0" t="n">
        <f aca="false">IF(A1827="",0,IF(SUMPRODUCT(--($A$2:$A$5001=A1827))&gt;1,1,0))</f>
        <v>0</v>
      </c>
      <c r="H1827" s="0" t="n">
        <f aca="false">ROW()-1</f>
        <v>1826</v>
      </c>
      <c r="I1827" s="0" t="str">
        <f aca="false">IF(OR(הגדרות!$E$6=0,H1827&gt;הגדרות!$E$5),"",IF(H1827-1&lt;הגדרות!$E$8*(הגדרות!$E$7+1),INT((H1827-1)/(הגדרות!$E$7+1)),הגדרות!$E$8+INT((H1827-1-הגדרות!$E$8*(הגדרות!$E$7+1))/הגדרות!$E$7)))</f>
        <v/>
      </c>
      <c r="J1827" s="0" t="str">
        <f aca="false">IF(I1827="","",IF(H1827-1&lt;הגדרות!$E$8*(הגדרות!$E$7+1),MOD(H1827-1,הגדרות!$E$7+1),MOD(H1827-1-הגדרות!$E$8*(הגדרות!$E$7+1),הגדרות!$E$7)))</f>
        <v/>
      </c>
      <c r="K1827" s="0" t="str">
        <f aca="false">IF(I1827="","",J1827*הגדרות!$E$6+I1827+1)</f>
        <v/>
      </c>
      <c r="L1827" s="0" t="str">
        <f aca="false">IF(K1827="","",MATCH(K1827,$F$2:$F$5001,0))</f>
        <v/>
      </c>
      <c r="M1827" s="0" t="str">
        <f aca="false">IF(I1827="","",INDEX(הגדרות!$A$2:$A$21,MOD(I1827+הגדרות!$E$9,הגדרות!$E$6)+1))</f>
        <v/>
      </c>
    </row>
    <row r="1828" customFormat="false" ht="15" hidden="false" customHeight="false" outlineLevel="0" collapsed="false">
      <c r="A1828" s="0" t="str">
        <f aca="false">IF('הדבקת לידים'!A1828="","",IF(ISNUMBER('הדבקת לידים'!A1828),IF(הגדרות!$E$2&gt;0,TEXT('הדבקת לידים'!A1828,REPT("0",הגדרות!$E$2)),TEXT('הדבקת לידים'!A1828,"0")),TRIM('הדבקת לידים'!A1828)))</f>
        <v/>
      </c>
      <c r="B1828" s="0" t="str">
        <f aca="false">IF('הדבקת לידים'!B1828="","",IF(ISNUMBER('הדבקת לידים'!B1828),IF(הגדרות!$E$3&gt;0,TEXT('הדבקת לידים'!B1828,REPT("0",הגדרות!$E$3)),TEXT('הדבקת לידים'!B1828,"0")),TRIM('הדבקת לידים'!B1828)))</f>
        <v/>
      </c>
      <c r="C1828" s="0" t="n">
        <f aca="false">IF(OR(A1828&lt;&gt;"",B1828&lt;&gt;""),1,0)</f>
        <v>0</v>
      </c>
      <c r="D1828" s="0" t="str">
        <f aca="false">IF(C1828=1,MOD(ABS(SIN(ROW()*12.9898+'הדבקת לידים'!$F$2*78.233+IFERROR(--RIGHT(A1828,6),LEN(A1828))*0.0137+IFERROR(--RIGHT(B1828,6),LEN(B1828))*0.0071))*43758.5453,1),"")</f>
        <v/>
      </c>
      <c r="E1828" s="0" t="str">
        <f aca="false">IF(C1828=1,INT(MOD(ABS(SIN(D1828*7919.123+ROW()*0.618+'הדבקת לידים'!$F$2*1.3))*43758.5453,1)*1000000)*10000+ROW(),"")</f>
        <v/>
      </c>
      <c r="F1828" s="0" t="str">
        <f aca="false">IF(E1828="","",RANK(E1828,$E$2:$E$5001,1))</f>
        <v/>
      </c>
      <c r="G1828" s="0" t="n">
        <f aca="false">IF(A1828="",0,IF(SUMPRODUCT(--($A$2:$A$5001=A1828))&gt;1,1,0))</f>
        <v>0</v>
      </c>
      <c r="H1828" s="0" t="n">
        <f aca="false">ROW()-1</f>
        <v>1827</v>
      </c>
      <c r="I1828" s="0" t="str">
        <f aca="false">IF(OR(הגדרות!$E$6=0,H1828&gt;הגדרות!$E$5),"",IF(H1828-1&lt;הגדרות!$E$8*(הגדרות!$E$7+1),INT((H1828-1)/(הגדרות!$E$7+1)),הגדרות!$E$8+INT((H1828-1-הגדרות!$E$8*(הגדרות!$E$7+1))/הגדרות!$E$7)))</f>
        <v/>
      </c>
      <c r="J1828" s="0" t="str">
        <f aca="false">IF(I1828="","",IF(H1828-1&lt;הגדרות!$E$8*(הגדרות!$E$7+1),MOD(H1828-1,הגדרות!$E$7+1),MOD(H1828-1-הגדרות!$E$8*(הגדרות!$E$7+1),הגדרות!$E$7)))</f>
        <v/>
      </c>
      <c r="K1828" s="0" t="str">
        <f aca="false">IF(I1828="","",J1828*הגדרות!$E$6+I1828+1)</f>
        <v/>
      </c>
      <c r="L1828" s="0" t="str">
        <f aca="false">IF(K1828="","",MATCH(K1828,$F$2:$F$5001,0))</f>
        <v/>
      </c>
      <c r="M1828" s="0" t="str">
        <f aca="false">IF(I1828="","",INDEX(הגדרות!$A$2:$A$21,MOD(I1828+הגדרות!$E$9,הגדרות!$E$6)+1))</f>
        <v/>
      </c>
    </row>
    <row r="1829" customFormat="false" ht="15" hidden="false" customHeight="false" outlineLevel="0" collapsed="false">
      <c r="A1829" s="0" t="str">
        <f aca="false">IF('הדבקת לידים'!A1829="","",IF(ISNUMBER('הדבקת לידים'!A1829),IF(הגדרות!$E$2&gt;0,TEXT('הדבקת לידים'!A1829,REPT("0",הגדרות!$E$2)),TEXT('הדבקת לידים'!A1829,"0")),TRIM('הדבקת לידים'!A1829)))</f>
        <v/>
      </c>
      <c r="B1829" s="0" t="str">
        <f aca="false">IF('הדבקת לידים'!B1829="","",IF(ISNUMBER('הדבקת לידים'!B1829),IF(הגדרות!$E$3&gt;0,TEXT('הדבקת לידים'!B1829,REPT("0",הגדרות!$E$3)),TEXT('הדבקת לידים'!B1829,"0")),TRIM('הדבקת לידים'!B1829)))</f>
        <v/>
      </c>
      <c r="C1829" s="0" t="n">
        <f aca="false">IF(OR(A1829&lt;&gt;"",B1829&lt;&gt;""),1,0)</f>
        <v>0</v>
      </c>
      <c r="D1829" s="0" t="str">
        <f aca="false">IF(C1829=1,MOD(ABS(SIN(ROW()*12.9898+'הדבקת לידים'!$F$2*78.233+IFERROR(--RIGHT(A1829,6),LEN(A1829))*0.0137+IFERROR(--RIGHT(B1829,6),LEN(B1829))*0.0071))*43758.5453,1),"")</f>
        <v/>
      </c>
      <c r="E1829" s="0" t="str">
        <f aca="false">IF(C1829=1,INT(MOD(ABS(SIN(D1829*7919.123+ROW()*0.618+'הדבקת לידים'!$F$2*1.3))*43758.5453,1)*1000000)*10000+ROW(),"")</f>
        <v/>
      </c>
      <c r="F1829" s="0" t="str">
        <f aca="false">IF(E1829="","",RANK(E1829,$E$2:$E$5001,1))</f>
        <v/>
      </c>
      <c r="G1829" s="0" t="n">
        <f aca="false">IF(A1829="",0,IF(SUMPRODUCT(--($A$2:$A$5001=A1829))&gt;1,1,0))</f>
        <v>0</v>
      </c>
      <c r="H1829" s="0" t="n">
        <f aca="false">ROW()-1</f>
        <v>1828</v>
      </c>
      <c r="I1829" s="0" t="str">
        <f aca="false">IF(OR(הגדרות!$E$6=0,H1829&gt;הגדרות!$E$5),"",IF(H1829-1&lt;הגדרות!$E$8*(הגדרות!$E$7+1),INT((H1829-1)/(הגדרות!$E$7+1)),הגדרות!$E$8+INT((H1829-1-הגדרות!$E$8*(הגדרות!$E$7+1))/הגדרות!$E$7)))</f>
        <v/>
      </c>
      <c r="J1829" s="0" t="str">
        <f aca="false">IF(I1829="","",IF(H1829-1&lt;הגדרות!$E$8*(הגדרות!$E$7+1),MOD(H1829-1,הגדרות!$E$7+1),MOD(H1829-1-הגדרות!$E$8*(הגדרות!$E$7+1),הגדרות!$E$7)))</f>
        <v/>
      </c>
      <c r="K1829" s="0" t="str">
        <f aca="false">IF(I1829="","",J1829*הגדרות!$E$6+I1829+1)</f>
        <v/>
      </c>
      <c r="L1829" s="0" t="str">
        <f aca="false">IF(K1829="","",MATCH(K1829,$F$2:$F$5001,0))</f>
        <v/>
      </c>
      <c r="M1829" s="0" t="str">
        <f aca="false">IF(I1829="","",INDEX(הגדרות!$A$2:$A$21,MOD(I1829+הגדרות!$E$9,הגדרות!$E$6)+1))</f>
        <v/>
      </c>
    </row>
    <row r="1830" customFormat="false" ht="15" hidden="false" customHeight="false" outlineLevel="0" collapsed="false">
      <c r="A1830" s="0" t="str">
        <f aca="false">IF('הדבקת לידים'!A1830="","",IF(ISNUMBER('הדבקת לידים'!A1830),IF(הגדרות!$E$2&gt;0,TEXT('הדבקת לידים'!A1830,REPT("0",הגדרות!$E$2)),TEXT('הדבקת לידים'!A1830,"0")),TRIM('הדבקת לידים'!A1830)))</f>
        <v/>
      </c>
      <c r="B1830" s="0" t="str">
        <f aca="false">IF('הדבקת לידים'!B1830="","",IF(ISNUMBER('הדבקת לידים'!B1830),IF(הגדרות!$E$3&gt;0,TEXT('הדבקת לידים'!B1830,REPT("0",הגדרות!$E$3)),TEXT('הדבקת לידים'!B1830,"0")),TRIM('הדבקת לידים'!B1830)))</f>
        <v/>
      </c>
      <c r="C1830" s="0" t="n">
        <f aca="false">IF(OR(A1830&lt;&gt;"",B1830&lt;&gt;""),1,0)</f>
        <v>0</v>
      </c>
      <c r="D1830" s="0" t="str">
        <f aca="false">IF(C1830=1,MOD(ABS(SIN(ROW()*12.9898+'הדבקת לידים'!$F$2*78.233+IFERROR(--RIGHT(A1830,6),LEN(A1830))*0.0137+IFERROR(--RIGHT(B1830,6),LEN(B1830))*0.0071))*43758.5453,1),"")</f>
        <v/>
      </c>
      <c r="E1830" s="0" t="str">
        <f aca="false">IF(C1830=1,INT(MOD(ABS(SIN(D1830*7919.123+ROW()*0.618+'הדבקת לידים'!$F$2*1.3))*43758.5453,1)*1000000)*10000+ROW(),"")</f>
        <v/>
      </c>
      <c r="F1830" s="0" t="str">
        <f aca="false">IF(E1830="","",RANK(E1830,$E$2:$E$5001,1))</f>
        <v/>
      </c>
      <c r="G1830" s="0" t="n">
        <f aca="false">IF(A1830="",0,IF(SUMPRODUCT(--($A$2:$A$5001=A1830))&gt;1,1,0))</f>
        <v>0</v>
      </c>
      <c r="H1830" s="0" t="n">
        <f aca="false">ROW()-1</f>
        <v>1829</v>
      </c>
      <c r="I1830" s="0" t="str">
        <f aca="false">IF(OR(הגדרות!$E$6=0,H1830&gt;הגדרות!$E$5),"",IF(H1830-1&lt;הגדרות!$E$8*(הגדרות!$E$7+1),INT((H1830-1)/(הגדרות!$E$7+1)),הגדרות!$E$8+INT((H1830-1-הגדרות!$E$8*(הגדרות!$E$7+1))/הגדרות!$E$7)))</f>
        <v/>
      </c>
      <c r="J1830" s="0" t="str">
        <f aca="false">IF(I1830="","",IF(H1830-1&lt;הגדרות!$E$8*(הגדרות!$E$7+1),MOD(H1830-1,הגדרות!$E$7+1),MOD(H1830-1-הגדרות!$E$8*(הגדרות!$E$7+1),הגדרות!$E$7)))</f>
        <v/>
      </c>
      <c r="K1830" s="0" t="str">
        <f aca="false">IF(I1830="","",J1830*הגדרות!$E$6+I1830+1)</f>
        <v/>
      </c>
      <c r="L1830" s="0" t="str">
        <f aca="false">IF(K1830="","",MATCH(K1830,$F$2:$F$5001,0))</f>
        <v/>
      </c>
      <c r="M1830" s="0" t="str">
        <f aca="false">IF(I1830="","",INDEX(הגדרות!$A$2:$A$21,MOD(I1830+הגדרות!$E$9,הגדרות!$E$6)+1))</f>
        <v/>
      </c>
    </row>
    <row r="1831" customFormat="false" ht="15" hidden="false" customHeight="false" outlineLevel="0" collapsed="false">
      <c r="A1831" s="0" t="str">
        <f aca="false">IF('הדבקת לידים'!A1831="","",IF(ISNUMBER('הדבקת לידים'!A1831),IF(הגדרות!$E$2&gt;0,TEXT('הדבקת לידים'!A1831,REPT("0",הגדרות!$E$2)),TEXT('הדבקת לידים'!A1831,"0")),TRIM('הדבקת לידים'!A1831)))</f>
        <v/>
      </c>
      <c r="B1831" s="0" t="str">
        <f aca="false">IF('הדבקת לידים'!B1831="","",IF(ISNUMBER('הדבקת לידים'!B1831),IF(הגדרות!$E$3&gt;0,TEXT('הדבקת לידים'!B1831,REPT("0",הגדרות!$E$3)),TEXT('הדבקת לידים'!B1831,"0")),TRIM('הדבקת לידים'!B1831)))</f>
        <v/>
      </c>
      <c r="C1831" s="0" t="n">
        <f aca="false">IF(OR(A1831&lt;&gt;"",B1831&lt;&gt;""),1,0)</f>
        <v>0</v>
      </c>
      <c r="D1831" s="0" t="str">
        <f aca="false">IF(C1831=1,MOD(ABS(SIN(ROW()*12.9898+'הדבקת לידים'!$F$2*78.233+IFERROR(--RIGHT(A1831,6),LEN(A1831))*0.0137+IFERROR(--RIGHT(B1831,6),LEN(B1831))*0.0071))*43758.5453,1),"")</f>
        <v/>
      </c>
      <c r="E1831" s="0" t="str">
        <f aca="false">IF(C1831=1,INT(MOD(ABS(SIN(D1831*7919.123+ROW()*0.618+'הדבקת לידים'!$F$2*1.3))*43758.5453,1)*1000000)*10000+ROW(),"")</f>
        <v/>
      </c>
      <c r="F1831" s="0" t="str">
        <f aca="false">IF(E1831="","",RANK(E1831,$E$2:$E$5001,1))</f>
        <v/>
      </c>
      <c r="G1831" s="0" t="n">
        <f aca="false">IF(A1831="",0,IF(SUMPRODUCT(--($A$2:$A$5001=A1831))&gt;1,1,0))</f>
        <v>0</v>
      </c>
      <c r="H1831" s="0" t="n">
        <f aca="false">ROW()-1</f>
        <v>1830</v>
      </c>
      <c r="I1831" s="0" t="str">
        <f aca="false">IF(OR(הגדרות!$E$6=0,H1831&gt;הגדרות!$E$5),"",IF(H1831-1&lt;הגדרות!$E$8*(הגדרות!$E$7+1),INT((H1831-1)/(הגדרות!$E$7+1)),הגדרות!$E$8+INT((H1831-1-הגדרות!$E$8*(הגדרות!$E$7+1))/הגדרות!$E$7)))</f>
        <v/>
      </c>
      <c r="J1831" s="0" t="str">
        <f aca="false">IF(I1831="","",IF(H1831-1&lt;הגדרות!$E$8*(הגדרות!$E$7+1),MOD(H1831-1,הגדרות!$E$7+1),MOD(H1831-1-הגדרות!$E$8*(הגדרות!$E$7+1),הגדרות!$E$7)))</f>
        <v/>
      </c>
      <c r="K1831" s="0" t="str">
        <f aca="false">IF(I1831="","",J1831*הגדרות!$E$6+I1831+1)</f>
        <v/>
      </c>
      <c r="L1831" s="0" t="str">
        <f aca="false">IF(K1831="","",MATCH(K1831,$F$2:$F$5001,0))</f>
        <v/>
      </c>
      <c r="M1831" s="0" t="str">
        <f aca="false">IF(I1831="","",INDEX(הגדרות!$A$2:$A$21,MOD(I1831+הגדרות!$E$9,הגדרות!$E$6)+1))</f>
        <v/>
      </c>
    </row>
    <row r="1832" customFormat="false" ht="15" hidden="false" customHeight="false" outlineLevel="0" collapsed="false">
      <c r="A1832" s="0" t="str">
        <f aca="false">IF('הדבקת לידים'!A1832="","",IF(ISNUMBER('הדבקת לידים'!A1832),IF(הגדרות!$E$2&gt;0,TEXT('הדבקת לידים'!A1832,REPT("0",הגדרות!$E$2)),TEXT('הדבקת לידים'!A1832,"0")),TRIM('הדבקת לידים'!A1832)))</f>
        <v/>
      </c>
      <c r="B1832" s="0" t="str">
        <f aca="false">IF('הדבקת לידים'!B1832="","",IF(ISNUMBER('הדבקת לידים'!B1832),IF(הגדרות!$E$3&gt;0,TEXT('הדבקת לידים'!B1832,REPT("0",הגדרות!$E$3)),TEXT('הדבקת לידים'!B1832,"0")),TRIM('הדבקת לידים'!B1832)))</f>
        <v/>
      </c>
      <c r="C1832" s="0" t="n">
        <f aca="false">IF(OR(A1832&lt;&gt;"",B1832&lt;&gt;""),1,0)</f>
        <v>0</v>
      </c>
      <c r="D1832" s="0" t="str">
        <f aca="false">IF(C1832=1,MOD(ABS(SIN(ROW()*12.9898+'הדבקת לידים'!$F$2*78.233+IFERROR(--RIGHT(A1832,6),LEN(A1832))*0.0137+IFERROR(--RIGHT(B1832,6),LEN(B1832))*0.0071))*43758.5453,1),"")</f>
        <v/>
      </c>
      <c r="E1832" s="0" t="str">
        <f aca="false">IF(C1832=1,INT(MOD(ABS(SIN(D1832*7919.123+ROW()*0.618+'הדבקת לידים'!$F$2*1.3))*43758.5453,1)*1000000)*10000+ROW(),"")</f>
        <v/>
      </c>
      <c r="F1832" s="0" t="str">
        <f aca="false">IF(E1832="","",RANK(E1832,$E$2:$E$5001,1))</f>
        <v/>
      </c>
      <c r="G1832" s="0" t="n">
        <f aca="false">IF(A1832="",0,IF(SUMPRODUCT(--($A$2:$A$5001=A1832))&gt;1,1,0))</f>
        <v>0</v>
      </c>
      <c r="H1832" s="0" t="n">
        <f aca="false">ROW()-1</f>
        <v>1831</v>
      </c>
      <c r="I1832" s="0" t="str">
        <f aca="false">IF(OR(הגדרות!$E$6=0,H1832&gt;הגדרות!$E$5),"",IF(H1832-1&lt;הגדרות!$E$8*(הגדרות!$E$7+1),INT((H1832-1)/(הגדרות!$E$7+1)),הגדרות!$E$8+INT((H1832-1-הגדרות!$E$8*(הגדרות!$E$7+1))/הגדרות!$E$7)))</f>
        <v/>
      </c>
      <c r="J1832" s="0" t="str">
        <f aca="false">IF(I1832="","",IF(H1832-1&lt;הגדרות!$E$8*(הגדרות!$E$7+1),MOD(H1832-1,הגדרות!$E$7+1),MOD(H1832-1-הגדרות!$E$8*(הגדרות!$E$7+1),הגדרות!$E$7)))</f>
        <v/>
      </c>
      <c r="K1832" s="0" t="str">
        <f aca="false">IF(I1832="","",J1832*הגדרות!$E$6+I1832+1)</f>
        <v/>
      </c>
      <c r="L1832" s="0" t="str">
        <f aca="false">IF(K1832="","",MATCH(K1832,$F$2:$F$5001,0))</f>
        <v/>
      </c>
      <c r="M1832" s="0" t="str">
        <f aca="false">IF(I1832="","",INDEX(הגדרות!$A$2:$A$21,MOD(I1832+הגדרות!$E$9,הגדרות!$E$6)+1))</f>
        <v/>
      </c>
    </row>
    <row r="1833" customFormat="false" ht="15" hidden="false" customHeight="false" outlineLevel="0" collapsed="false">
      <c r="A1833" s="0" t="str">
        <f aca="false">IF('הדבקת לידים'!A1833="","",IF(ISNUMBER('הדבקת לידים'!A1833),IF(הגדרות!$E$2&gt;0,TEXT('הדבקת לידים'!A1833,REPT("0",הגדרות!$E$2)),TEXT('הדבקת לידים'!A1833,"0")),TRIM('הדבקת לידים'!A1833)))</f>
        <v/>
      </c>
      <c r="B1833" s="0" t="str">
        <f aca="false">IF('הדבקת לידים'!B1833="","",IF(ISNUMBER('הדבקת לידים'!B1833),IF(הגדרות!$E$3&gt;0,TEXT('הדבקת לידים'!B1833,REPT("0",הגדרות!$E$3)),TEXT('הדבקת לידים'!B1833,"0")),TRIM('הדבקת לידים'!B1833)))</f>
        <v/>
      </c>
      <c r="C1833" s="0" t="n">
        <f aca="false">IF(OR(A1833&lt;&gt;"",B1833&lt;&gt;""),1,0)</f>
        <v>0</v>
      </c>
      <c r="D1833" s="0" t="str">
        <f aca="false">IF(C1833=1,MOD(ABS(SIN(ROW()*12.9898+'הדבקת לידים'!$F$2*78.233+IFERROR(--RIGHT(A1833,6),LEN(A1833))*0.0137+IFERROR(--RIGHT(B1833,6),LEN(B1833))*0.0071))*43758.5453,1),"")</f>
        <v/>
      </c>
      <c r="E1833" s="0" t="str">
        <f aca="false">IF(C1833=1,INT(MOD(ABS(SIN(D1833*7919.123+ROW()*0.618+'הדבקת לידים'!$F$2*1.3))*43758.5453,1)*1000000)*10000+ROW(),"")</f>
        <v/>
      </c>
      <c r="F1833" s="0" t="str">
        <f aca="false">IF(E1833="","",RANK(E1833,$E$2:$E$5001,1))</f>
        <v/>
      </c>
      <c r="G1833" s="0" t="n">
        <f aca="false">IF(A1833="",0,IF(SUMPRODUCT(--($A$2:$A$5001=A1833))&gt;1,1,0))</f>
        <v>0</v>
      </c>
      <c r="H1833" s="0" t="n">
        <f aca="false">ROW()-1</f>
        <v>1832</v>
      </c>
      <c r="I1833" s="0" t="str">
        <f aca="false">IF(OR(הגדרות!$E$6=0,H1833&gt;הגדרות!$E$5),"",IF(H1833-1&lt;הגדרות!$E$8*(הגדרות!$E$7+1),INT((H1833-1)/(הגדרות!$E$7+1)),הגדרות!$E$8+INT((H1833-1-הגדרות!$E$8*(הגדרות!$E$7+1))/הגדרות!$E$7)))</f>
        <v/>
      </c>
      <c r="J1833" s="0" t="str">
        <f aca="false">IF(I1833="","",IF(H1833-1&lt;הגדרות!$E$8*(הגדרות!$E$7+1),MOD(H1833-1,הגדרות!$E$7+1),MOD(H1833-1-הגדרות!$E$8*(הגדרות!$E$7+1),הגדרות!$E$7)))</f>
        <v/>
      </c>
      <c r="K1833" s="0" t="str">
        <f aca="false">IF(I1833="","",J1833*הגדרות!$E$6+I1833+1)</f>
        <v/>
      </c>
      <c r="L1833" s="0" t="str">
        <f aca="false">IF(K1833="","",MATCH(K1833,$F$2:$F$5001,0))</f>
        <v/>
      </c>
      <c r="M1833" s="0" t="str">
        <f aca="false">IF(I1833="","",INDEX(הגדרות!$A$2:$A$21,MOD(I1833+הגדרות!$E$9,הגדרות!$E$6)+1))</f>
        <v/>
      </c>
    </row>
    <row r="1834" customFormat="false" ht="15" hidden="false" customHeight="false" outlineLevel="0" collapsed="false">
      <c r="A1834" s="0" t="str">
        <f aca="false">IF('הדבקת לידים'!A1834="","",IF(ISNUMBER('הדבקת לידים'!A1834),IF(הגדרות!$E$2&gt;0,TEXT('הדבקת לידים'!A1834,REPT("0",הגדרות!$E$2)),TEXT('הדבקת לידים'!A1834,"0")),TRIM('הדבקת לידים'!A1834)))</f>
        <v/>
      </c>
      <c r="B1834" s="0" t="str">
        <f aca="false">IF('הדבקת לידים'!B1834="","",IF(ISNUMBER('הדבקת לידים'!B1834),IF(הגדרות!$E$3&gt;0,TEXT('הדבקת לידים'!B1834,REPT("0",הגדרות!$E$3)),TEXT('הדבקת לידים'!B1834,"0")),TRIM('הדבקת לידים'!B1834)))</f>
        <v/>
      </c>
      <c r="C1834" s="0" t="n">
        <f aca="false">IF(OR(A1834&lt;&gt;"",B1834&lt;&gt;""),1,0)</f>
        <v>0</v>
      </c>
      <c r="D1834" s="0" t="str">
        <f aca="false">IF(C1834=1,MOD(ABS(SIN(ROW()*12.9898+'הדבקת לידים'!$F$2*78.233+IFERROR(--RIGHT(A1834,6),LEN(A1834))*0.0137+IFERROR(--RIGHT(B1834,6),LEN(B1834))*0.0071))*43758.5453,1),"")</f>
        <v/>
      </c>
      <c r="E1834" s="0" t="str">
        <f aca="false">IF(C1834=1,INT(MOD(ABS(SIN(D1834*7919.123+ROW()*0.618+'הדבקת לידים'!$F$2*1.3))*43758.5453,1)*1000000)*10000+ROW(),"")</f>
        <v/>
      </c>
      <c r="F1834" s="0" t="str">
        <f aca="false">IF(E1834="","",RANK(E1834,$E$2:$E$5001,1))</f>
        <v/>
      </c>
      <c r="G1834" s="0" t="n">
        <f aca="false">IF(A1834="",0,IF(SUMPRODUCT(--($A$2:$A$5001=A1834))&gt;1,1,0))</f>
        <v>0</v>
      </c>
      <c r="H1834" s="0" t="n">
        <f aca="false">ROW()-1</f>
        <v>1833</v>
      </c>
      <c r="I1834" s="0" t="str">
        <f aca="false">IF(OR(הגדרות!$E$6=0,H1834&gt;הגדרות!$E$5),"",IF(H1834-1&lt;הגדרות!$E$8*(הגדרות!$E$7+1),INT((H1834-1)/(הגדרות!$E$7+1)),הגדרות!$E$8+INT((H1834-1-הגדרות!$E$8*(הגדרות!$E$7+1))/הגדרות!$E$7)))</f>
        <v/>
      </c>
      <c r="J1834" s="0" t="str">
        <f aca="false">IF(I1834="","",IF(H1834-1&lt;הגדרות!$E$8*(הגדרות!$E$7+1),MOD(H1834-1,הגדרות!$E$7+1),MOD(H1834-1-הגדרות!$E$8*(הגדרות!$E$7+1),הגדרות!$E$7)))</f>
        <v/>
      </c>
      <c r="K1834" s="0" t="str">
        <f aca="false">IF(I1834="","",J1834*הגדרות!$E$6+I1834+1)</f>
        <v/>
      </c>
      <c r="L1834" s="0" t="str">
        <f aca="false">IF(K1834="","",MATCH(K1834,$F$2:$F$5001,0))</f>
        <v/>
      </c>
      <c r="M1834" s="0" t="str">
        <f aca="false">IF(I1834="","",INDEX(הגדרות!$A$2:$A$21,MOD(I1834+הגדרות!$E$9,הגדרות!$E$6)+1))</f>
        <v/>
      </c>
    </row>
    <row r="1835" customFormat="false" ht="15" hidden="false" customHeight="false" outlineLevel="0" collapsed="false">
      <c r="A1835" s="0" t="str">
        <f aca="false">IF('הדבקת לידים'!A1835="","",IF(ISNUMBER('הדבקת לידים'!A1835),IF(הגדרות!$E$2&gt;0,TEXT('הדבקת לידים'!A1835,REPT("0",הגדרות!$E$2)),TEXT('הדבקת לידים'!A1835,"0")),TRIM('הדבקת לידים'!A1835)))</f>
        <v/>
      </c>
      <c r="B1835" s="0" t="str">
        <f aca="false">IF('הדבקת לידים'!B1835="","",IF(ISNUMBER('הדבקת לידים'!B1835),IF(הגדרות!$E$3&gt;0,TEXT('הדבקת לידים'!B1835,REPT("0",הגדרות!$E$3)),TEXT('הדבקת לידים'!B1835,"0")),TRIM('הדבקת לידים'!B1835)))</f>
        <v/>
      </c>
      <c r="C1835" s="0" t="n">
        <f aca="false">IF(OR(A1835&lt;&gt;"",B1835&lt;&gt;""),1,0)</f>
        <v>0</v>
      </c>
      <c r="D1835" s="0" t="str">
        <f aca="false">IF(C1835=1,MOD(ABS(SIN(ROW()*12.9898+'הדבקת לידים'!$F$2*78.233+IFERROR(--RIGHT(A1835,6),LEN(A1835))*0.0137+IFERROR(--RIGHT(B1835,6),LEN(B1835))*0.0071))*43758.5453,1),"")</f>
        <v/>
      </c>
      <c r="E1835" s="0" t="str">
        <f aca="false">IF(C1835=1,INT(MOD(ABS(SIN(D1835*7919.123+ROW()*0.618+'הדבקת לידים'!$F$2*1.3))*43758.5453,1)*1000000)*10000+ROW(),"")</f>
        <v/>
      </c>
      <c r="F1835" s="0" t="str">
        <f aca="false">IF(E1835="","",RANK(E1835,$E$2:$E$5001,1))</f>
        <v/>
      </c>
      <c r="G1835" s="0" t="n">
        <f aca="false">IF(A1835="",0,IF(SUMPRODUCT(--($A$2:$A$5001=A1835))&gt;1,1,0))</f>
        <v>0</v>
      </c>
      <c r="H1835" s="0" t="n">
        <f aca="false">ROW()-1</f>
        <v>1834</v>
      </c>
      <c r="I1835" s="0" t="str">
        <f aca="false">IF(OR(הגדרות!$E$6=0,H1835&gt;הגדרות!$E$5),"",IF(H1835-1&lt;הגדרות!$E$8*(הגדרות!$E$7+1),INT((H1835-1)/(הגדרות!$E$7+1)),הגדרות!$E$8+INT((H1835-1-הגדרות!$E$8*(הגדרות!$E$7+1))/הגדרות!$E$7)))</f>
        <v/>
      </c>
      <c r="J1835" s="0" t="str">
        <f aca="false">IF(I1835="","",IF(H1835-1&lt;הגדרות!$E$8*(הגדרות!$E$7+1),MOD(H1835-1,הגדרות!$E$7+1),MOD(H1835-1-הגדרות!$E$8*(הגדרות!$E$7+1),הגדרות!$E$7)))</f>
        <v/>
      </c>
      <c r="K1835" s="0" t="str">
        <f aca="false">IF(I1835="","",J1835*הגדרות!$E$6+I1835+1)</f>
        <v/>
      </c>
      <c r="L1835" s="0" t="str">
        <f aca="false">IF(K1835="","",MATCH(K1835,$F$2:$F$5001,0))</f>
        <v/>
      </c>
      <c r="M1835" s="0" t="str">
        <f aca="false">IF(I1835="","",INDEX(הגדרות!$A$2:$A$21,MOD(I1835+הגדרות!$E$9,הגדרות!$E$6)+1))</f>
        <v/>
      </c>
    </row>
    <row r="1836" customFormat="false" ht="15" hidden="false" customHeight="false" outlineLevel="0" collapsed="false">
      <c r="A1836" s="0" t="str">
        <f aca="false">IF('הדבקת לידים'!A1836="","",IF(ISNUMBER('הדבקת לידים'!A1836),IF(הגדרות!$E$2&gt;0,TEXT('הדבקת לידים'!A1836,REPT("0",הגדרות!$E$2)),TEXT('הדבקת לידים'!A1836,"0")),TRIM('הדבקת לידים'!A1836)))</f>
        <v/>
      </c>
      <c r="B1836" s="0" t="str">
        <f aca="false">IF('הדבקת לידים'!B1836="","",IF(ISNUMBER('הדבקת לידים'!B1836),IF(הגדרות!$E$3&gt;0,TEXT('הדבקת לידים'!B1836,REPT("0",הגדרות!$E$3)),TEXT('הדבקת לידים'!B1836,"0")),TRIM('הדבקת לידים'!B1836)))</f>
        <v/>
      </c>
      <c r="C1836" s="0" t="n">
        <f aca="false">IF(OR(A1836&lt;&gt;"",B1836&lt;&gt;""),1,0)</f>
        <v>0</v>
      </c>
      <c r="D1836" s="0" t="str">
        <f aca="false">IF(C1836=1,MOD(ABS(SIN(ROW()*12.9898+'הדבקת לידים'!$F$2*78.233+IFERROR(--RIGHT(A1836,6),LEN(A1836))*0.0137+IFERROR(--RIGHT(B1836,6),LEN(B1836))*0.0071))*43758.5453,1),"")</f>
        <v/>
      </c>
      <c r="E1836" s="0" t="str">
        <f aca="false">IF(C1836=1,INT(MOD(ABS(SIN(D1836*7919.123+ROW()*0.618+'הדבקת לידים'!$F$2*1.3))*43758.5453,1)*1000000)*10000+ROW(),"")</f>
        <v/>
      </c>
      <c r="F1836" s="0" t="str">
        <f aca="false">IF(E1836="","",RANK(E1836,$E$2:$E$5001,1))</f>
        <v/>
      </c>
      <c r="G1836" s="0" t="n">
        <f aca="false">IF(A1836="",0,IF(SUMPRODUCT(--($A$2:$A$5001=A1836))&gt;1,1,0))</f>
        <v>0</v>
      </c>
      <c r="H1836" s="0" t="n">
        <f aca="false">ROW()-1</f>
        <v>1835</v>
      </c>
      <c r="I1836" s="0" t="str">
        <f aca="false">IF(OR(הגדרות!$E$6=0,H1836&gt;הגדרות!$E$5),"",IF(H1836-1&lt;הגדרות!$E$8*(הגדרות!$E$7+1),INT((H1836-1)/(הגדרות!$E$7+1)),הגדרות!$E$8+INT((H1836-1-הגדרות!$E$8*(הגדרות!$E$7+1))/הגדרות!$E$7)))</f>
        <v/>
      </c>
      <c r="J1836" s="0" t="str">
        <f aca="false">IF(I1836="","",IF(H1836-1&lt;הגדרות!$E$8*(הגדרות!$E$7+1),MOD(H1836-1,הגדרות!$E$7+1),MOD(H1836-1-הגדרות!$E$8*(הגדרות!$E$7+1),הגדרות!$E$7)))</f>
        <v/>
      </c>
      <c r="K1836" s="0" t="str">
        <f aca="false">IF(I1836="","",J1836*הגדרות!$E$6+I1836+1)</f>
        <v/>
      </c>
      <c r="L1836" s="0" t="str">
        <f aca="false">IF(K1836="","",MATCH(K1836,$F$2:$F$5001,0))</f>
        <v/>
      </c>
      <c r="M1836" s="0" t="str">
        <f aca="false">IF(I1836="","",INDEX(הגדרות!$A$2:$A$21,MOD(I1836+הגדרות!$E$9,הגדרות!$E$6)+1))</f>
        <v/>
      </c>
    </row>
    <row r="1837" customFormat="false" ht="15" hidden="false" customHeight="false" outlineLevel="0" collapsed="false">
      <c r="A1837" s="0" t="str">
        <f aca="false">IF('הדבקת לידים'!A1837="","",IF(ISNUMBER('הדבקת לידים'!A1837),IF(הגדרות!$E$2&gt;0,TEXT('הדבקת לידים'!A1837,REPT("0",הגדרות!$E$2)),TEXT('הדבקת לידים'!A1837,"0")),TRIM('הדבקת לידים'!A1837)))</f>
        <v/>
      </c>
      <c r="B1837" s="0" t="str">
        <f aca="false">IF('הדבקת לידים'!B1837="","",IF(ISNUMBER('הדבקת לידים'!B1837),IF(הגדרות!$E$3&gt;0,TEXT('הדבקת לידים'!B1837,REPT("0",הגדרות!$E$3)),TEXT('הדבקת לידים'!B1837,"0")),TRIM('הדבקת לידים'!B1837)))</f>
        <v/>
      </c>
      <c r="C1837" s="0" t="n">
        <f aca="false">IF(OR(A1837&lt;&gt;"",B1837&lt;&gt;""),1,0)</f>
        <v>0</v>
      </c>
      <c r="D1837" s="0" t="str">
        <f aca="false">IF(C1837=1,MOD(ABS(SIN(ROW()*12.9898+'הדבקת לידים'!$F$2*78.233+IFERROR(--RIGHT(A1837,6),LEN(A1837))*0.0137+IFERROR(--RIGHT(B1837,6),LEN(B1837))*0.0071))*43758.5453,1),"")</f>
        <v/>
      </c>
      <c r="E1837" s="0" t="str">
        <f aca="false">IF(C1837=1,INT(MOD(ABS(SIN(D1837*7919.123+ROW()*0.618+'הדבקת לידים'!$F$2*1.3))*43758.5453,1)*1000000)*10000+ROW(),"")</f>
        <v/>
      </c>
      <c r="F1837" s="0" t="str">
        <f aca="false">IF(E1837="","",RANK(E1837,$E$2:$E$5001,1))</f>
        <v/>
      </c>
      <c r="G1837" s="0" t="n">
        <f aca="false">IF(A1837="",0,IF(SUMPRODUCT(--($A$2:$A$5001=A1837))&gt;1,1,0))</f>
        <v>0</v>
      </c>
      <c r="H1837" s="0" t="n">
        <f aca="false">ROW()-1</f>
        <v>1836</v>
      </c>
      <c r="I1837" s="0" t="str">
        <f aca="false">IF(OR(הגדרות!$E$6=0,H1837&gt;הגדרות!$E$5),"",IF(H1837-1&lt;הגדרות!$E$8*(הגדרות!$E$7+1),INT((H1837-1)/(הגדרות!$E$7+1)),הגדרות!$E$8+INT((H1837-1-הגדרות!$E$8*(הגדרות!$E$7+1))/הגדרות!$E$7)))</f>
        <v/>
      </c>
      <c r="J1837" s="0" t="str">
        <f aca="false">IF(I1837="","",IF(H1837-1&lt;הגדרות!$E$8*(הגדרות!$E$7+1),MOD(H1837-1,הגדרות!$E$7+1),MOD(H1837-1-הגדרות!$E$8*(הגדרות!$E$7+1),הגדרות!$E$7)))</f>
        <v/>
      </c>
      <c r="K1837" s="0" t="str">
        <f aca="false">IF(I1837="","",J1837*הגדרות!$E$6+I1837+1)</f>
        <v/>
      </c>
      <c r="L1837" s="0" t="str">
        <f aca="false">IF(K1837="","",MATCH(K1837,$F$2:$F$5001,0))</f>
        <v/>
      </c>
      <c r="M1837" s="0" t="str">
        <f aca="false">IF(I1837="","",INDEX(הגדרות!$A$2:$A$21,MOD(I1837+הגדרות!$E$9,הגדרות!$E$6)+1))</f>
        <v/>
      </c>
    </row>
    <row r="1838" customFormat="false" ht="15" hidden="false" customHeight="false" outlineLevel="0" collapsed="false">
      <c r="A1838" s="0" t="str">
        <f aca="false">IF('הדבקת לידים'!A1838="","",IF(ISNUMBER('הדבקת לידים'!A1838),IF(הגדרות!$E$2&gt;0,TEXT('הדבקת לידים'!A1838,REPT("0",הגדרות!$E$2)),TEXT('הדבקת לידים'!A1838,"0")),TRIM('הדבקת לידים'!A1838)))</f>
        <v/>
      </c>
      <c r="B1838" s="0" t="str">
        <f aca="false">IF('הדבקת לידים'!B1838="","",IF(ISNUMBER('הדבקת לידים'!B1838),IF(הגדרות!$E$3&gt;0,TEXT('הדבקת לידים'!B1838,REPT("0",הגדרות!$E$3)),TEXT('הדבקת לידים'!B1838,"0")),TRIM('הדבקת לידים'!B1838)))</f>
        <v/>
      </c>
      <c r="C1838" s="0" t="n">
        <f aca="false">IF(OR(A1838&lt;&gt;"",B1838&lt;&gt;""),1,0)</f>
        <v>0</v>
      </c>
      <c r="D1838" s="0" t="str">
        <f aca="false">IF(C1838=1,MOD(ABS(SIN(ROW()*12.9898+'הדבקת לידים'!$F$2*78.233+IFERROR(--RIGHT(A1838,6),LEN(A1838))*0.0137+IFERROR(--RIGHT(B1838,6),LEN(B1838))*0.0071))*43758.5453,1),"")</f>
        <v/>
      </c>
      <c r="E1838" s="0" t="str">
        <f aca="false">IF(C1838=1,INT(MOD(ABS(SIN(D1838*7919.123+ROW()*0.618+'הדבקת לידים'!$F$2*1.3))*43758.5453,1)*1000000)*10000+ROW(),"")</f>
        <v/>
      </c>
      <c r="F1838" s="0" t="str">
        <f aca="false">IF(E1838="","",RANK(E1838,$E$2:$E$5001,1))</f>
        <v/>
      </c>
      <c r="G1838" s="0" t="n">
        <f aca="false">IF(A1838="",0,IF(SUMPRODUCT(--($A$2:$A$5001=A1838))&gt;1,1,0))</f>
        <v>0</v>
      </c>
      <c r="H1838" s="0" t="n">
        <f aca="false">ROW()-1</f>
        <v>1837</v>
      </c>
      <c r="I1838" s="0" t="str">
        <f aca="false">IF(OR(הגדרות!$E$6=0,H1838&gt;הגדרות!$E$5),"",IF(H1838-1&lt;הגדרות!$E$8*(הגדרות!$E$7+1),INT((H1838-1)/(הגדרות!$E$7+1)),הגדרות!$E$8+INT((H1838-1-הגדרות!$E$8*(הגדרות!$E$7+1))/הגדרות!$E$7)))</f>
        <v/>
      </c>
      <c r="J1838" s="0" t="str">
        <f aca="false">IF(I1838="","",IF(H1838-1&lt;הגדרות!$E$8*(הגדרות!$E$7+1),MOD(H1838-1,הגדרות!$E$7+1),MOD(H1838-1-הגדרות!$E$8*(הגדרות!$E$7+1),הגדרות!$E$7)))</f>
        <v/>
      </c>
      <c r="K1838" s="0" t="str">
        <f aca="false">IF(I1838="","",J1838*הגדרות!$E$6+I1838+1)</f>
        <v/>
      </c>
      <c r="L1838" s="0" t="str">
        <f aca="false">IF(K1838="","",MATCH(K1838,$F$2:$F$5001,0))</f>
        <v/>
      </c>
      <c r="M1838" s="0" t="str">
        <f aca="false">IF(I1838="","",INDEX(הגדרות!$A$2:$A$21,MOD(I1838+הגדרות!$E$9,הגדרות!$E$6)+1))</f>
        <v/>
      </c>
    </row>
    <row r="1839" customFormat="false" ht="15" hidden="false" customHeight="false" outlineLevel="0" collapsed="false">
      <c r="A1839" s="0" t="str">
        <f aca="false">IF('הדבקת לידים'!A1839="","",IF(ISNUMBER('הדבקת לידים'!A1839),IF(הגדרות!$E$2&gt;0,TEXT('הדבקת לידים'!A1839,REPT("0",הגדרות!$E$2)),TEXT('הדבקת לידים'!A1839,"0")),TRIM('הדבקת לידים'!A1839)))</f>
        <v/>
      </c>
      <c r="B1839" s="0" t="str">
        <f aca="false">IF('הדבקת לידים'!B1839="","",IF(ISNUMBER('הדבקת לידים'!B1839),IF(הגדרות!$E$3&gt;0,TEXT('הדבקת לידים'!B1839,REPT("0",הגדרות!$E$3)),TEXT('הדבקת לידים'!B1839,"0")),TRIM('הדבקת לידים'!B1839)))</f>
        <v/>
      </c>
      <c r="C1839" s="0" t="n">
        <f aca="false">IF(OR(A1839&lt;&gt;"",B1839&lt;&gt;""),1,0)</f>
        <v>0</v>
      </c>
      <c r="D1839" s="0" t="str">
        <f aca="false">IF(C1839=1,MOD(ABS(SIN(ROW()*12.9898+'הדבקת לידים'!$F$2*78.233+IFERROR(--RIGHT(A1839,6),LEN(A1839))*0.0137+IFERROR(--RIGHT(B1839,6),LEN(B1839))*0.0071))*43758.5453,1),"")</f>
        <v/>
      </c>
      <c r="E1839" s="0" t="str">
        <f aca="false">IF(C1839=1,INT(MOD(ABS(SIN(D1839*7919.123+ROW()*0.618+'הדבקת לידים'!$F$2*1.3))*43758.5453,1)*1000000)*10000+ROW(),"")</f>
        <v/>
      </c>
      <c r="F1839" s="0" t="str">
        <f aca="false">IF(E1839="","",RANK(E1839,$E$2:$E$5001,1))</f>
        <v/>
      </c>
      <c r="G1839" s="0" t="n">
        <f aca="false">IF(A1839="",0,IF(SUMPRODUCT(--($A$2:$A$5001=A1839))&gt;1,1,0))</f>
        <v>0</v>
      </c>
      <c r="H1839" s="0" t="n">
        <f aca="false">ROW()-1</f>
        <v>1838</v>
      </c>
      <c r="I1839" s="0" t="str">
        <f aca="false">IF(OR(הגדרות!$E$6=0,H1839&gt;הגדרות!$E$5),"",IF(H1839-1&lt;הגדרות!$E$8*(הגדרות!$E$7+1),INT((H1839-1)/(הגדרות!$E$7+1)),הגדרות!$E$8+INT((H1839-1-הגדרות!$E$8*(הגדרות!$E$7+1))/הגדרות!$E$7)))</f>
        <v/>
      </c>
      <c r="J1839" s="0" t="str">
        <f aca="false">IF(I1839="","",IF(H1839-1&lt;הגדרות!$E$8*(הגדרות!$E$7+1),MOD(H1839-1,הגדרות!$E$7+1),MOD(H1839-1-הגדרות!$E$8*(הגדרות!$E$7+1),הגדרות!$E$7)))</f>
        <v/>
      </c>
      <c r="K1839" s="0" t="str">
        <f aca="false">IF(I1839="","",J1839*הגדרות!$E$6+I1839+1)</f>
        <v/>
      </c>
      <c r="L1839" s="0" t="str">
        <f aca="false">IF(K1839="","",MATCH(K1839,$F$2:$F$5001,0))</f>
        <v/>
      </c>
      <c r="M1839" s="0" t="str">
        <f aca="false">IF(I1839="","",INDEX(הגדרות!$A$2:$A$21,MOD(I1839+הגדרות!$E$9,הגדרות!$E$6)+1))</f>
        <v/>
      </c>
    </row>
    <row r="1840" customFormat="false" ht="15" hidden="false" customHeight="false" outlineLevel="0" collapsed="false">
      <c r="A1840" s="0" t="str">
        <f aca="false">IF('הדבקת לידים'!A1840="","",IF(ISNUMBER('הדבקת לידים'!A1840),IF(הגדרות!$E$2&gt;0,TEXT('הדבקת לידים'!A1840,REPT("0",הגדרות!$E$2)),TEXT('הדבקת לידים'!A1840,"0")),TRIM('הדבקת לידים'!A1840)))</f>
        <v/>
      </c>
      <c r="B1840" s="0" t="str">
        <f aca="false">IF('הדבקת לידים'!B1840="","",IF(ISNUMBER('הדבקת לידים'!B1840),IF(הגדרות!$E$3&gt;0,TEXT('הדבקת לידים'!B1840,REPT("0",הגדרות!$E$3)),TEXT('הדבקת לידים'!B1840,"0")),TRIM('הדבקת לידים'!B1840)))</f>
        <v/>
      </c>
      <c r="C1840" s="0" t="n">
        <f aca="false">IF(OR(A1840&lt;&gt;"",B1840&lt;&gt;""),1,0)</f>
        <v>0</v>
      </c>
      <c r="D1840" s="0" t="str">
        <f aca="false">IF(C1840=1,MOD(ABS(SIN(ROW()*12.9898+'הדבקת לידים'!$F$2*78.233+IFERROR(--RIGHT(A1840,6),LEN(A1840))*0.0137+IFERROR(--RIGHT(B1840,6),LEN(B1840))*0.0071))*43758.5453,1),"")</f>
        <v/>
      </c>
      <c r="E1840" s="0" t="str">
        <f aca="false">IF(C1840=1,INT(MOD(ABS(SIN(D1840*7919.123+ROW()*0.618+'הדבקת לידים'!$F$2*1.3))*43758.5453,1)*1000000)*10000+ROW(),"")</f>
        <v/>
      </c>
      <c r="F1840" s="0" t="str">
        <f aca="false">IF(E1840="","",RANK(E1840,$E$2:$E$5001,1))</f>
        <v/>
      </c>
      <c r="G1840" s="0" t="n">
        <f aca="false">IF(A1840="",0,IF(SUMPRODUCT(--($A$2:$A$5001=A1840))&gt;1,1,0))</f>
        <v>0</v>
      </c>
      <c r="H1840" s="0" t="n">
        <f aca="false">ROW()-1</f>
        <v>1839</v>
      </c>
      <c r="I1840" s="0" t="str">
        <f aca="false">IF(OR(הגדרות!$E$6=0,H1840&gt;הגדרות!$E$5),"",IF(H1840-1&lt;הגדרות!$E$8*(הגדרות!$E$7+1),INT((H1840-1)/(הגדרות!$E$7+1)),הגדרות!$E$8+INT((H1840-1-הגדרות!$E$8*(הגדרות!$E$7+1))/הגדרות!$E$7)))</f>
        <v/>
      </c>
      <c r="J1840" s="0" t="str">
        <f aca="false">IF(I1840="","",IF(H1840-1&lt;הגדרות!$E$8*(הגדרות!$E$7+1),MOD(H1840-1,הגדרות!$E$7+1),MOD(H1840-1-הגדרות!$E$8*(הגדרות!$E$7+1),הגדרות!$E$7)))</f>
        <v/>
      </c>
      <c r="K1840" s="0" t="str">
        <f aca="false">IF(I1840="","",J1840*הגדרות!$E$6+I1840+1)</f>
        <v/>
      </c>
      <c r="L1840" s="0" t="str">
        <f aca="false">IF(K1840="","",MATCH(K1840,$F$2:$F$5001,0))</f>
        <v/>
      </c>
      <c r="M1840" s="0" t="str">
        <f aca="false">IF(I1840="","",INDEX(הגדרות!$A$2:$A$21,MOD(I1840+הגדרות!$E$9,הגדרות!$E$6)+1))</f>
        <v/>
      </c>
    </row>
    <row r="1841" customFormat="false" ht="15" hidden="false" customHeight="false" outlineLevel="0" collapsed="false">
      <c r="A1841" s="0" t="str">
        <f aca="false">IF('הדבקת לידים'!A1841="","",IF(ISNUMBER('הדבקת לידים'!A1841),IF(הגדרות!$E$2&gt;0,TEXT('הדבקת לידים'!A1841,REPT("0",הגדרות!$E$2)),TEXT('הדבקת לידים'!A1841,"0")),TRIM('הדבקת לידים'!A1841)))</f>
        <v/>
      </c>
      <c r="B1841" s="0" t="str">
        <f aca="false">IF('הדבקת לידים'!B1841="","",IF(ISNUMBER('הדבקת לידים'!B1841),IF(הגדרות!$E$3&gt;0,TEXT('הדבקת לידים'!B1841,REPT("0",הגדרות!$E$3)),TEXT('הדבקת לידים'!B1841,"0")),TRIM('הדבקת לידים'!B1841)))</f>
        <v/>
      </c>
      <c r="C1841" s="0" t="n">
        <f aca="false">IF(OR(A1841&lt;&gt;"",B1841&lt;&gt;""),1,0)</f>
        <v>0</v>
      </c>
      <c r="D1841" s="0" t="str">
        <f aca="false">IF(C1841=1,MOD(ABS(SIN(ROW()*12.9898+'הדבקת לידים'!$F$2*78.233+IFERROR(--RIGHT(A1841,6),LEN(A1841))*0.0137+IFERROR(--RIGHT(B1841,6),LEN(B1841))*0.0071))*43758.5453,1),"")</f>
        <v/>
      </c>
      <c r="E1841" s="0" t="str">
        <f aca="false">IF(C1841=1,INT(MOD(ABS(SIN(D1841*7919.123+ROW()*0.618+'הדבקת לידים'!$F$2*1.3))*43758.5453,1)*1000000)*10000+ROW(),"")</f>
        <v/>
      </c>
      <c r="F1841" s="0" t="str">
        <f aca="false">IF(E1841="","",RANK(E1841,$E$2:$E$5001,1))</f>
        <v/>
      </c>
      <c r="G1841" s="0" t="n">
        <f aca="false">IF(A1841="",0,IF(SUMPRODUCT(--($A$2:$A$5001=A1841))&gt;1,1,0))</f>
        <v>0</v>
      </c>
      <c r="H1841" s="0" t="n">
        <f aca="false">ROW()-1</f>
        <v>1840</v>
      </c>
      <c r="I1841" s="0" t="str">
        <f aca="false">IF(OR(הגדרות!$E$6=0,H1841&gt;הגדרות!$E$5),"",IF(H1841-1&lt;הגדרות!$E$8*(הגדרות!$E$7+1),INT((H1841-1)/(הגדרות!$E$7+1)),הגדרות!$E$8+INT((H1841-1-הגדרות!$E$8*(הגדרות!$E$7+1))/הגדרות!$E$7)))</f>
        <v/>
      </c>
      <c r="J1841" s="0" t="str">
        <f aca="false">IF(I1841="","",IF(H1841-1&lt;הגדרות!$E$8*(הגדרות!$E$7+1),MOD(H1841-1,הגדרות!$E$7+1),MOD(H1841-1-הגדרות!$E$8*(הגדרות!$E$7+1),הגדרות!$E$7)))</f>
        <v/>
      </c>
      <c r="K1841" s="0" t="str">
        <f aca="false">IF(I1841="","",J1841*הגדרות!$E$6+I1841+1)</f>
        <v/>
      </c>
      <c r="L1841" s="0" t="str">
        <f aca="false">IF(K1841="","",MATCH(K1841,$F$2:$F$5001,0))</f>
        <v/>
      </c>
      <c r="M1841" s="0" t="str">
        <f aca="false">IF(I1841="","",INDEX(הגדרות!$A$2:$A$21,MOD(I1841+הגדרות!$E$9,הגדרות!$E$6)+1))</f>
        <v/>
      </c>
    </row>
    <row r="1842" customFormat="false" ht="15" hidden="false" customHeight="false" outlineLevel="0" collapsed="false">
      <c r="A1842" s="0" t="str">
        <f aca="false">IF('הדבקת לידים'!A1842="","",IF(ISNUMBER('הדבקת לידים'!A1842),IF(הגדרות!$E$2&gt;0,TEXT('הדבקת לידים'!A1842,REPT("0",הגדרות!$E$2)),TEXT('הדבקת לידים'!A1842,"0")),TRIM('הדבקת לידים'!A1842)))</f>
        <v/>
      </c>
      <c r="B1842" s="0" t="str">
        <f aca="false">IF('הדבקת לידים'!B1842="","",IF(ISNUMBER('הדבקת לידים'!B1842),IF(הגדרות!$E$3&gt;0,TEXT('הדבקת לידים'!B1842,REPT("0",הגדרות!$E$3)),TEXT('הדבקת לידים'!B1842,"0")),TRIM('הדבקת לידים'!B1842)))</f>
        <v/>
      </c>
      <c r="C1842" s="0" t="n">
        <f aca="false">IF(OR(A1842&lt;&gt;"",B1842&lt;&gt;""),1,0)</f>
        <v>0</v>
      </c>
      <c r="D1842" s="0" t="str">
        <f aca="false">IF(C1842=1,MOD(ABS(SIN(ROW()*12.9898+'הדבקת לידים'!$F$2*78.233+IFERROR(--RIGHT(A1842,6),LEN(A1842))*0.0137+IFERROR(--RIGHT(B1842,6),LEN(B1842))*0.0071))*43758.5453,1),"")</f>
        <v/>
      </c>
      <c r="E1842" s="0" t="str">
        <f aca="false">IF(C1842=1,INT(MOD(ABS(SIN(D1842*7919.123+ROW()*0.618+'הדבקת לידים'!$F$2*1.3))*43758.5453,1)*1000000)*10000+ROW(),"")</f>
        <v/>
      </c>
      <c r="F1842" s="0" t="str">
        <f aca="false">IF(E1842="","",RANK(E1842,$E$2:$E$5001,1))</f>
        <v/>
      </c>
      <c r="G1842" s="0" t="n">
        <f aca="false">IF(A1842="",0,IF(SUMPRODUCT(--($A$2:$A$5001=A1842))&gt;1,1,0))</f>
        <v>0</v>
      </c>
      <c r="H1842" s="0" t="n">
        <f aca="false">ROW()-1</f>
        <v>1841</v>
      </c>
      <c r="I1842" s="0" t="str">
        <f aca="false">IF(OR(הגדרות!$E$6=0,H1842&gt;הגדרות!$E$5),"",IF(H1842-1&lt;הגדרות!$E$8*(הגדרות!$E$7+1),INT((H1842-1)/(הגדרות!$E$7+1)),הגדרות!$E$8+INT((H1842-1-הגדרות!$E$8*(הגדרות!$E$7+1))/הגדרות!$E$7)))</f>
        <v/>
      </c>
      <c r="J1842" s="0" t="str">
        <f aca="false">IF(I1842="","",IF(H1842-1&lt;הגדרות!$E$8*(הגדרות!$E$7+1),MOD(H1842-1,הגדרות!$E$7+1),MOD(H1842-1-הגדרות!$E$8*(הגדרות!$E$7+1),הגדרות!$E$7)))</f>
        <v/>
      </c>
      <c r="K1842" s="0" t="str">
        <f aca="false">IF(I1842="","",J1842*הגדרות!$E$6+I1842+1)</f>
        <v/>
      </c>
      <c r="L1842" s="0" t="str">
        <f aca="false">IF(K1842="","",MATCH(K1842,$F$2:$F$5001,0))</f>
        <v/>
      </c>
      <c r="M1842" s="0" t="str">
        <f aca="false">IF(I1842="","",INDEX(הגדרות!$A$2:$A$21,MOD(I1842+הגדרות!$E$9,הגדרות!$E$6)+1))</f>
        <v/>
      </c>
    </row>
    <row r="1843" customFormat="false" ht="15" hidden="false" customHeight="false" outlineLevel="0" collapsed="false">
      <c r="A1843" s="0" t="str">
        <f aca="false">IF('הדבקת לידים'!A1843="","",IF(ISNUMBER('הדבקת לידים'!A1843),IF(הגדרות!$E$2&gt;0,TEXT('הדבקת לידים'!A1843,REPT("0",הגדרות!$E$2)),TEXT('הדבקת לידים'!A1843,"0")),TRIM('הדבקת לידים'!A1843)))</f>
        <v/>
      </c>
      <c r="B1843" s="0" t="str">
        <f aca="false">IF('הדבקת לידים'!B1843="","",IF(ISNUMBER('הדבקת לידים'!B1843),IF(הגדרות!$E$3&gt;0,TEXT('הדבקת לידים'!B1843,REPT("0",הגדרות!$E$3)),TEXT('הדבקת לידים'!B1843,"0")),TRIM('הדבקת לידים'!B1843)))</f>
        <v/>
      </c>
      <c r="C1843" s="0" t="n">
        <f aca="false">IF(OR(A1843&lt;&gt;"",B1843&lt;&gt;""),1,0)</f>
        <v>0</v>
      </c>
      <c r="D1843" s="0" t="str">
        <f aca="false">IF(C1843=1,MOD(ABS(SIN(ROW()*12.9898+'הדבקת לידים'!$F$2*78.233+IFERROR(--RIGHT(A1843,6),LEN(A1843))*0.0137+IFERROR(--RIGHT(B1843,6),LEN(B1843))*0.0071))*43758.5453,1),"")</f>
        <v/>
      </c>
      <c r="E1843" s="0" t="str">
        <f aca="false">IF(C1843=1,INT(MOD(ABS(SIN(D1843*7919.123+ROW()*0.618+'הדבקת לידים'!$F$2*1.3))*43758.5453,1)*1000000)*10000+ROW(),"")</f>
        <v/>
      </c>
      <c r="F1843" s="0" t="str">
        <f aca="false">IF(E1843="","",RANK(E1843,$E$2:$E$5001,1))</f>
        <v/>
      </c>
      <c r="G1843" s="0" t="n">
        <f aca="false">IF(A1843="",0,IF(SUMPRODUCT(--($A$2:$A$5001=A1843))&gt;1,1,0))</f>
        <v>0</v>
      </c>
      <c r="H1843" s="0" t="n">
        <f aca="false">ROW()-1</f>
        <v>1842</v>
      </c>
      <c r="I1843" s="0" t="str">
        <f aca="false">IF(OR(הגדרות!$E$6=0,H1843&gt;הגדרות!$E$5),"",IF(H1843-1&lt;הגדרות!$E$8*(הגדרות!$E$7+1),INT((H1843-1)/(הגדרות!$E$7+1)),הגדרות!$E$8+INT((H1843-1-הגדרות!$E$8*(הגדרות!$E$7+1))/הגדרות!$E$7)))</f>
        <v/>
      </c>
      <c r="J1843" s="0" t="str">
        <f aca="false">IF(I1843="","",IF(H1843-1&lt;הגדרות!$E$8*(הגדרות!$E$7+1),MOD(H1843-1,הגדרות!$E$7+1),MOD(H1843-1-הגדרות!$E$8*(הגדרות!$E$7+1),הגדרות!$E$7)))</f>
        <v/>
      </c>
      <c r="K1843" s="0" t="str">
        <f aca="false">IF(I1843="","",J1843*הגדרות!$E$6+I1843+1)</f>
        <v/>
      </c>
      <c r="L1843" s="0" t="str">
        <f aca="false">IF(K1843="","",MATCH(K1843,$F$2:$F$5001,0))</f>
        <v/>
      </c>
      <c r="M1843" s="0" t="str">
        <f aca="false">IF(I1843="","",INDEX(הגדרות!$A$2:$A$21,MOD(I1843+הגדרות!$E$9,הגדרות!$E$6)+1))</f>
        <v/>
      </c>
    </row>
    <row r="1844" customFormat="false" ht="15" hidden="false" customHeight="false" outlineLevel="0" collapsed="false">
      <c r="A1844" s="0" t="str">
        <f aca="false">IF('הדבקת לידים'!A1844="","",IF(ISNUMBER('הדבקת לידים'!A1844),IF(הגדרות!$E$2&gt;0,TEXT('הדבקת לידים'!A1844,REPT("0",הגדרות!$E$2)),TEXT('הדבקת לידים'!A1844,"0")),TRIM('הדבקת לידים'!A1844)))</f>
        <v/>
      </c>
      <c r="B1844" s="0" t="str">
        <f aca="false">IF('הדבקת לידים'!B1844="","",IF(ISNUMBER('הדבקת לידים'!B1844),IF(הגדרות!$E$3&gt;0,TEXT('הדבקת לידים'!B1844,REPT("0",הגדרות!$E$3)),TEXT('הדבקת לידים'!B1844,"0")),TRIM('הדבקת לידים'!B1844)))</f>
        <v/>
      </c>
      <c r="C1844" s="0" t="n">
        <f aca="false">IF(OR(A1844&lt;&gt;"",B1844&lt;&gt;""),1,0)</f>
        <v>0</v>
      </c>
      <c r="D1844" s="0" t="str">
        <f aca="false">IF(C1844=1,MOD(ABS(SIN(ROW()*12.9898+'הדבקת לידים'!$F$2*78.233+IFERROR(--RIGHT(A1844,6),LEN(A1844))*0.0137+IFERROR(--RIGHT(B1844,6),LEN(B1844))*0.0071))*43758.5453,1),"")</f>
        <v/>
      </c>
      <c r="E1844" s="0" t="str">
        <f aca="false">IF(C1844=1,INT(MOD(ABS(SIN(D1844*7919.123+ROW()*0.618+'הדבקת לידים'!$F$2*1.3))*43758.5453,1)*1000000)*10000+ROW(),"")</f>
        <v/>
      </c>
      <c r="F1844" s="0" t="str">
        <f aca="false">IF(E1844="","",RANK(E1844,$E$2:$E$5001,1))</f>
        <v/>
      </c>
      <c r="G1844" s="0" t="n">
        <f aca="false">IF(A1844="",0,IF(SUMPRODUCT(--($A$2:$A$5001=A1844))&gt;1,1,0))</f>
        <v>0</v>
      </c>
      <c r="H1844" s="0" t="n">
        <f aca="false">ROW()-1</f>
        <v>1843</v>
      </c>
      <c r="I1844" s="0" t="str">
        <f aca="false">IF(OR(הגדרות!$E$6=0,H1844&gt;הגדרות!$E$5),"",IF(H1844-1&lt;הגדרות!$E$8*(הגדרות!$E$7+1),INT((H1844-1)/(הגדרות!$E$7+1)),הגדרות!$E$8+INT((H1844-1-הגדרות!$E$8*(הגדרות!$E$7+1))/הגדרות!$E$7)))</f>
        <v/>
      </c>
      <c r="J1844" s="0" t="str">
        <f aca="false">IF(I1844="","",IF(H1844-1&lt;הגדרות!$E$8*(הגדרות!$E$7+1),MOD(H1844-1,הגדרות!$E$7+1),MOD(H1844-1-הגדרות!$E$8*(הגדרות!$E$7+1),הגדרות!$E$7)))</f>
        <v/>
      </c>
      <c r="K1844" s="0" t="str">
        <f aca="false">IF(I1844="","",J1844*הגדרות!$E$6+I1844+1)</f>
        <v/>
      </c>
      <c r="L1844" s="0" t="str">
        <f aca="false">IF(K1844="","",MATCH(K1844,$F$2:$F$5001,0))</f>
        <v/>
      </c>
      <c r="M1844" s="0" t="str">
        <f aca="false">IF(I1844="","",INDEX(הגדרות!$A$2:$A$21,MOD(I1844+הגדרות!$E$9,הגדרות!$E$6)+1))</f>
        <v/>
      </c>
    </row>
    <row r="1845" customFormat="false" ht="15" hidden="false" customHeight="false" outlineLevel="0" collapsed="false">
      <c r="A1845" s="0" t="str">
        <f aca="false">IF('הדבקת לידים'!A1845="","",IF(ISNUMBER('הדבקת לידים'!A1845),IF(הגדרות!$E$2&gt;0,TEXT('הדבקת לידים'!A1845,REPT("0",הגדרות!$E$2)),TEXT('הדבקת לידים'!A1845,"0")),TRIM('הדבקת לידים'!A1845)))</f>
        <v/>
      </c>
      <c r="B1845" s="0" t="str">
        <f aca="false">IF('הדבקת לידים'!B1845="","",IF(ISNUMBER('הדבקת לידים'!B1845),IF(הגדרות!$E$3&gt;0,TEXT('הדבקת לידים'!B1845,REPT("0",הגדרות!$E$3)),TEXT('הדבקת לידים'!B1845,"0")),TRIM('הדבקת לידים'!B1845)))</f>
        <v/>
      </c>
      <c r="C1845" s="0" t="n">
        <f aca="false">IF(OR(A1845&lt;&gt;"",B1845&lt;&gt;""),1,0)</f>
        <v>0</v>
      </c>
      <c r="D1845" s="0" t="str">
        <f aca="false">IF(C1845=1,MOD(ABS(SIN(ROW()*12.9898+'הדבקת לידים'!$F$2*78.233+IFERROR(--RIGHT(A1845,6),LEN(A1845))*0.0137+IFERROR(--RIGHT(B1845,6),LEN(B1845))*0.0071))*43758.5453,1),"")</f>
        <v/>
      </c>
      <c r="E1845" s="0" t="str">
        <f aca="false">IF(C1845=1,INT(MOD(ABS(SIN(D1845*7919.123+ROW()*0.618+'הדבקת לידים'!$F$2*1.3))*43758.5453,1)*1000000)*10000+ROW(),"")</f>
        <v/>
      </c>
      <c r="F1845" s="0" t="str">
        <f aca="false">IF(E1845="","",RANK(E1845,$E$2:$E$5001,1))</f>
        <v/>
      </c>
      <c r="G1845" s="0" t="n">
        <f aca="false">IF(A1845="",0,IF(SUMPRODUCT(--($A$2:$A$5001=A1845))&gt;1,1,0))</f>
        <v>0</v>
      </c>
      <c r="H1845" s="0" t="n">
        <f aca="false">ROW()-1</f>
        <v>1844</v>
      </c>
      <c r="I1845" s="0" t="str">
        <f aca="false">IF(OR(הגדרות!$E$6=0,H1845&gt;הגדרות!$E$5),"",IF(H1845-1&lt;הגדרות!$E$8*(הגדרות!$E$7+1),INT((H1845-1)/(הגדרות!$E$7+1)),הגדרות!$E$8+INT((H1845-1-הגדרות!$E$8*(הגדרות!$E$7+1))/הגדרות!$E$7)))</f>
        <v/>
      </c>
      <c r="J1845" s="0" t="str">
        <f aca="false">IF(I1845="","",IF(H1845-1&lt;הגדרות!$E$8*(הגדרות!$E$7+1),MOD(H1845-1,הגדרות!$E$7+1),MOD(H1845-1-הגדרות!$E$8*(הגדרות!$E$7+1),הגדרות!$E$7)))</f>
        <v/>
      </c>
      <c r="K1845" s="0" t="str">
        <f aca="false">IF(I1845="","",J1845*הגדרות!$E$6+I1845+1)</f>
        <v/>
      </c>
      <c r="L1845" s="0" t="str">
        <f aca="false">IF(K1845="","",MATCH(K1845,$F$2:$F$5001,0))</f>
        <v/>
      </c>
      <c r="M1845" s="0" t="str">
        <f aca="false">IF(I1845="","",INDEX(הגדרות!$A$2:$A$21,MOD(I1845+הגדרות!$E$9,הגדרות!$E$6)+1))</f>
        <v/>
      </c>
    </row>
    <row r="1846" customFormat="false" ht="15" hidden="false" customHeight="false" outlineLevel="0" collapsed="false">
      <c r="A1846" s="0" t="str">
        <f aca="false">IF('הדבקת לידים'!A1846="","",IF(ISNUMBER('הדבקת לידים'!A1846),IF(הגדרות!$E$2&gt;0,TEXT('הדבקת לידים'!A1846,REPT("0",הגדרות!$E$2)),TEXT('הדבקת לידים'!A1846,"0")),TRIM('הדבקת לידים'!A1846)))</f>
        <v/>
      </c>
      <c r="B1846" s="0" t="str">
        <f aca="false">IF('הדבקת לידים'!B1846="","",IF(ISNUMBER('הדבקת לידים'!B1846),IF(הגדרות!$E$3&gt;0,TEXT('הדבקת לידים'!B1846,REPT("0",הגדרות!$E$3)),TEXT('הדבקת לידים'!B1846,"0")),TRIM('הדבקת לידים'!B1846)))</f>
        <v/>
      </c>
      <c r="C1846" s="0" t="n">
        <f aca="false">IF(OR(A1846&lt;&gt;"",B1846&lt;&gt;""),1,0)</f>
        <v>0</v>
      </c>
      <c r="D1846" s="0" t="str">
        <f aca="false">IF(C1846=1,MOD(ABS(SIN(ROW()*12.9898+'הדבקת לידים'!$F$2*78.233+IFERROR(--RIGHT(A1846,6),LEN(A1846))*0.0137+IFERROR(--RIGHT(B1846,6),LEN(B1846))*0.0071))*43758.5453,1),"")</f>
        <v/>
      </c>
      <c r="E1846" s="0" t="str">
        <f aca="false">IF(C1846=1,INT(MOD(ABS(SIN(D1846*7919.123+ROW()*0.618+'הדבקת לידים'!$F$2*1.3))*43758.5453,1)*1000000)*10000+ROW(),"")</f>
        <v/>
      </c>
      <c r="F1846" s="0" t="str">
        <f aca="false">IF(E1846="","",RANK(E1846,$E$2:$E$5001,1))</f>
        <v/>
      </c>
      <c r="G1846" s="0" t="n">
        <f aca="false">IF(A1846="",0,IF(SUMPRODUCT(--($A$2:$A$5001=A1846))&gt;1,1,0))</f>
        <v>0</v>
      </c>
      <c r="H1846" s="0" t="n">
        <f aca="false">ROW()-1</f>
        <v>1845</v>
      </c>
      <c r="I1846" s="0" t="str">
        <f aca="false">IF(OR(הגדרות!$E$6=0,H1846&gt;הגדרות!$E$5),"",IF(H1846-1&lt;הגדרות!$E$8*(הגדרות!$E$7+1),INT((H1846-1)/(הגדרות!$E$7+1)),הגדרות!$E$8+INT((H1846-1-הגדרות!$E$8*(הגדרות!$E$7+1))/הגדרות!$E$7)))</f>
        <v/>
      </c>
      <c r="J1846" s="0" t="str">
        <f aca="false">IF(I1846="","",IF(H1846-1&lt;הגדרות!$E$8*(הגדרות!$E$7+1),MOD(H1846-1,הגדרות!$E$7+1),MOD(H1846-1-הגדרות!$E$8*(הגדרות!$E$7+1),הגדרות!$E$7)))</f>
        <v/>
      </c>
      <c r="K1846" s="0" t="str">
        <f aca="false">IF(I1846="","",J1846*הגדרות!$E$6+I1846+1)</f>
        <v/>
      </c>
      <c r="L1846" s="0" t="str">
        <f aca="false">IF(K1846="","",MATCH(K1846,$F$2:$F$5001,0))</f>
        <v/>
      </c>
      <c r="M1846" s="0" t="str">
        <f aca="false">IF(I1846="","",INDEX(הגדרות!$A$2:$A$21,MOD(I1846+הגדרות!$E$9,הגדרות!$E$6)+1))</f>
        <v/>
      </c>
    </row>
    <row r="1847" customFormat="false" ht="15" hidden="false" customHeight="false" outlineLevel="0" collapsed="false">
      <c r="A1847" s="0" t="str">
        <f aca="false">IF('הדבקת לידים'!A1847="","",IF(ISNUMBER('הדבקת לידים'!A1847),IF(הגדרות!$E$2&gt;0,TEXT('הדבקת לידים'!A1847,REPT("0",הגדרות!$E$2)),TEXT('הדבקת לידים'!A1847,"0")),TRIM('הדבקת לידים'!A1847)))</f>
        <v/>
      </c>
      <c r="B1847" s="0" t="str">
        <f aca="false">IF('הדבקת לידים'!B1847="","",IF(ISNUMBER('הדבקת לידים'!B1847),IF(הגדרות!$E$3&gt;0,TEXT('הדבקת לידים'!B1847,REPT("0",הגדרות!$E$3)),TEXT('הדבקת לידים'!B1847,"0")),TRIM('הדבקת לידים'!B1847)))</f>
        <v/>
      </c>
      <c r="C1847" s="0" t="n">
        <f aca="false">IF(OR(A1847&lt;&gt;"",B1847&lt;&gt;""),1,0)</f>
        <v>0</v>
      </c>
      <c r="D1847" s="0" t="str">
        <f aca="false">IF(C1847=1,MOD(ABS(SIN(ROW()*12.9898+'הדבקת לידים'!$F$2*78.233+IFERROR(--RIGHT(A1847,6),LEN(A1847))*0.0137+IFERROR(--RIGHT(B1847,6),LEN(B1847))*0.0071))*43758.5453,1),"")</f>
        <v/>
      </c>
      <c r="E1847" s="0" t="str">
        <f aca="false">IF(C1847=1,INT(MOD(ABS(SIN(D1847*7919.123+ROW()*0.618+'הדבקת לידים'!$F$2*1.3))*43758.5453,1)*1000000)*10000+ROW(),"")</f>
        <v/>
      </c>
      <c r="F1847" s="0" t="str">
        <f aca="false">IF(E1847="","",RANK(E1847,$E$2:$E$5001,1))</f>
        <v/>
      </c>
      <c r="G1847" s="0" t="n">
        <f aca="false">IF(A1847="",0,IF(SUMPRODUCT(--($A$2:$A$5001=A1847))&gt;1,1,0))</f>
        <v>0</v>
      </c>
      <c r="H1847" s="0" t="n">
        <f aca="false">ROW()-1</f>
        <v>1846</v>
      </c>
      <c r="I1847" s="0" t="str">
        <f aca="false">IF(OR(הגדרות!$E$6=0,H1847&gt;הגדרות!$E$5),"",IF(H1847-1&lt;הגדרות!$E$8*(הגדרות!$E$7+1),INT((H1847-1)/(הגדרות!$E$7+1)),הגדרות!$E$8+INT((H1847-1-הגדרות!$E$8*(הגדרות!$E$7+1))/הגדרות!$E$7)))</f>
        <v/>
      </c>
      <c r="J1847" s="0" t="str">
        <f aca="false">IF(I1847="","",IF(H1847-1&lt;הגדרות!$E$8*(הגדרות!$E$7+1),MOD(H1847-1,הגדרות!$E$7+1),MOD(H1847-1-הגדרות!$E$8*(הגדרות!$E$7+1),הגדרות!$E$7)))</f>
        <v/>
      </c>
      <c r="K1847" s="0" t="str">
        <f aca="false">IF(I1847="","",J1847*הגדרות!$E$6+I1847+1)</f>
        <v/>
      </c>
      <c r="L1847" s="0" t="str">
        <f aca="false">IF(K1847="","",MATCH(K1847,$F$2:$F$5001,0))</f>
        <v/>
      </c>
      <c r="M1847" s="0" t="str">
        <f aca="false">IF(I1847="","",INDEX(הגדרות!$A$2:$A$21,MOD(I1847+הגדרות!$E$9,הגדרות!$E$6)+1))</f>
        <v/>
      </c>
    </row>
    <row r="1848" customFormat="false" ht="15" hidden="false" customHeight="false" outlineLevel="0" collapsed="false">
      <c r="A1848" s="0" t="str">
        <f aca="false">IF('הדבקת לידים'!A1848="","",IF(ISNUMBER('הדבקת לידים'!A1848),IF(הגדרות!$E$2&gt;0,TEXT('הדבקת לידים'!A1848,REPT("0",הגדרות!$E$2)),TEXT('הדבקת לידים'!A1848,"0")),TRIM('הדבקת לידים'!A1848)))</f>
        <v/>
      </c>
      <c r="B1848" s="0" t="str">
        <f aca="false">IF('הדבקת לידים'!B1848="","",IF(ISNUMBER('הדבקת לידים'!B1848),IF(הגדרות!$E$3&gt;0,TEXT('הדבקת לידים'!B1848,REPT("0",הגדרות!$E$3)),TEXT('הדבקת לידים'!B1848,"0")),TRIM('הדבקת לידים'!B1848)))</f>
        <v/>
      </c>
      <c r="C1848" s="0" t="n">
        <f aca="false">IF(OR(A1848&lt;&gt;"",B1848&lt;&gt;""),1,0)</f>
        <v>0</v>
      </c>
      <c r="D1848" s="0" t="str">
        <f aca="false">IF(C1848=1,MOD(ABS(SIN(ROW()*12.9898+'הדבקת לידים'!$F$2*78.233+IFERROR(--RIGHT(A1848,6),LEN(A1848))*0.0137+IFERROR(--RIGHT(B1848,6),LEN(B1848))*0.0071))*43758.5453,1),"")</f>
        <v/>
      </c>
      <c r="E1848" s="0" t="str">
        <f aca="false">IF(C1848=1,INT(MOD(ABS(SIN(D1848*7919.123+ROW()*0.618+'הדבקת לידים'!$F$2*1.3))*43758.5453,1)*1000000)*10000+ROW(),"")</f>
        <v/>
      </c>
      <c r="F1848" s="0" t="str">
        <f aca="false">IF(E1848="","",RANK(E1848,$E$2:$E$5001,1))</f>
        <v/>
      </c>
      <c r="G1848" s="0" t="n">
        <f aca="false">IF(A1848="",0,IF(SUMPRODUCT(--($A$2:$A$5001=A1848))&gt;1,1,0))</f>
        <v>0</v>
      </c>
      <c r="H1848" s="0" t="n">
        <f aca="false">ROW()-1</f>
        <v>1847</v>
      </c>
      <c r="I1848" s="0" t="str">
        <f aca="false">IF(OR(הגדרות!$E$6=0,H1848&gt;הגדרות!$E$5),"",IF(H1848-1&lt;הגדרות!$E$8*(הגדרות!$E$7+1),INT((H1848-1)/(הגדרות!$E$7+1)),הגדרות!$E$8+INT((H1848-1-הגדרות!$E$8*(הגדרות!$E$7+1))/הגדרות!$E$7)))</f>
        <v/>
      </c>
      <c r="J1848" s="0" t="str">
        <f aca="false">IF(I1848="","",IF(H1848-1&lt;הגדרות!$E$8*(הגדרות!$E$7+1),MOD(H1848-1,הגדרות!$E$7+1),MOD(H1848-1-הגדרות!$E$8*(הגדרות!$E$7+1),הגדרות!$E$7)))</f>
        <v/>
      </c>
      <c r="K1848" s="0" t="str">
        <f aca="false">IF(I1848="","",J1848*הגדרות!$E$6+I1848+1)</f>
        <v/>
      </c>
      <c r="L1848" s="0" t="str">
        <f aca="false">IF(K1848="","",MATCH(K1848,$F$2:$F$5001,0))</f>
        <v/>
      </c>
      <c r="M1848" s="0" t="str">
        <f aca="false">IF(I1848="","",INDEX(הגדרות!$A$2:$A$21,MOD(I1848+הגדרות!$E$9,הגדרות!$E$6)+1))</f>
        <v/>
      </c>
    </row>
    <row r="1849" customFormat="false" ht="15" hidden="false" customHeight="false" outlineLevel="0" collapsed="false">
      <c r="A1849" s="0" t="str">
        <f aca="false">IF('הדבקת לידים'!A1849="","",IF(ISNUMBER('הדבקת לידים'!A1849),IF(הגדרות!$E$2&gt;0,TEXT('הדבקת לידים'!A1849,REPT("0",הגדרות!$E$2)),TEXT('הדבקת לידים'!A1849,"0")),TRIM('הדבקת לידים'!A1849)))</f>
        <v/>
      </c>
      <c r="B1849" s="0" t="str">
        <f aca="false">IF('הדבקת לידים'!B1849="","",IF(ISNUMBER('הדבקת לידים'!B1849),IF(הגדרות!$E$3&gt;0,TEXT('הדבקת לידים'!B1849,REPT("0",הגדרות!$E$3)),TEXT('הדבקת לידים'!B1849,"0")),TRIM('הדבקת לידים'!B1849)))</f>
        <v/>
      </c>
      <c r="C1849" s="0" t="n">
        <f aca="false">IF(OR(A1849&lt;&gt;"",B1849&lt;&gt;""),1,0)</f>
        <v>0</v>
      </c>
      <c r="D1849" s="0" t="str">
        <f aca="false">IF(C1849=1,MOD(ABS(SIN(ROW()*12.9898+'הדבקת לידים'!$F$2*78.233+IFERROR(--RIGHT(A1849,6),LEN(A1849))*0.0137+IFERROR(--RIGHT(B1849,6),LEN(B1849))*0.0071))*43758.5453,1),"")</f>
        <v/>
      </c>
      <c r="E1849" s="0" t="str">
        <f aca="false">IF(C1849=1,INT(MOD(ABS(SIN(D1849*7919.123+ROW()*0.618+'הדבקת לידים'!$F$2*1.3))*43758.5453,1)*1000000)*10000+ROW(),"")</f>
        <v/>
      </c>
      <c r="F1849" s="0" t="str">
        <f aca="false">IF(E1849="","",RANK(E1849,$E$2:$E$5001,1))</f>
        <v/>
      </c>
      <c r="G1849" s="0" t="n">
        <f aca="false">IF(A1849="",0,IF(SUMPRODUCT(--($A$2:$A$5001=A1849))&gt;1,1,0))</f>
        <v>0</v>
      </c>
      <c r="H1849" s="0" t="n">
        <f aca="false">ROW()-1</f>
        <v>1848</v>
      </c>
      <c r="I1849" s="0" t="str">
        <f aca="false">IF(OR(הגדרות!$E$6=0,H1849&gt;הגדרות!$E$5),"",IF(H1849-1&lt;הגדרות!$E$8*(הגדרות!$E$7+1),INT((H1849-1)/(הגדרות!$E$7+1)),הגדרות!$E$8+INT((H1849-1-הגדרות!$E$8*(הגדרות!$E$7+1))/הגדרות!$E$7)))</f>
        <v/>
      </c>
      <c r="J1849" s="0" t="str">
        <f aca="false">IF(I1849="","",IF(H1849-1&lt;הגדרות!$E$8*(הגדרות!$E$7+1),MOD(H1849-1,הגדרות!$E$7+1),MOD(H1849-1-הגדרות!$E$8*(הגדרות!$E$7+1),הגדרות!$E$7)))</f>
        <v/>
      </c>
      <c r="K1849" s="0" t="str">
        <f aca="false">IF(I1849="","",J1849*הגדרות!$E$6+I1849+1)</f>
        <v/>
      </c>
      <c r="L1849" s="0" t="str">
        <f aca="false">IF(K1849="","",MATCH(K1849,$F$2:$F$5001,0))</f>
        <v/>
      </c>
      <c r="M1849" s="0" t="str">
        <f aca="false">IF(I1849="","",INDEX(הגדרות!$A$2:$A$21,MOD(I1849+הגדרות!$E$9,הגדרות!$E$6)+1))</f>
        <v/>
      </c>
    </row>
    <row r="1850" customFormat="false" ht="15" hidden="false" customHeight="false" outlineLevel="0" collapsed="false">
      <c r="A1850" s="0" t="str">
        <f aca="false">IF('הדבקת לידים'!A1850="","",IF(ISNUMBER('הדבקת לידים'!A1850),IF(הגדרות!$E$2&gt;0,TEXT('הדבקת לידים'!A1850,REPT("0",הגדרות!$E$2)),TEXT('הדבקת לידים'!A1850,"0")),TRIM('הדבקת לידים'!A1850)))</f>
        <v/>
      </c>
      <c r="B1850" s="0" t="str">
        <f aca="false">IF('הדבקת לידים'!B1850="","",IF(ISNUMBER('הדבקת לידים'!B1850),IF(הגדרות!$E$3&gt;0,TEXT('הדבקת לידים'!B1850,REPT("0",הגדרות!$E$3)),TEXT('הדבקת לידים'!B1850,"0")),TRIM('הדבקת לידים'!B1850)))</f>
        <v/>
      </c>
      <c r="C1850" s="0" t="n">
        <f aca="false">IF(OR(A1850&lt;&gt;"",B1850&lt;&gt;""),1,0)</f>
        <v>0</v>
      </c>
      <c r="D1850" s="0" t="str">
        <f aca="false">IF(C1850=1,MOD(ABS(SIN(ROW()*12.9898+'הדבקת לידים'!$F$2*78.233+IFERROR(--RIGHT(A1850,6),LEN(A1850))*0.0137+IFERROR(--RIGHT(B1850,6),LEN(B1850))*0.0071))*43758.5453,1),"")</f>
        <v/>
      </c>
      <c r="E1850" s="0" t="str">
        <f aca="false">IF(C1850=1,INT(MOD(ABS(SIN(D1850*7919.123+ROW()*0.618+'הדבקת לידים'!$F$2*1.3))*43758.5453,1)*1000000)*10000+ROW(),"")</f>
        <v/>
      </c>
      <c r="F1850" s="0" t="str">
        <f aca="false">IF(E1850="","",RANK(E1850,$E$2:$E$5001,1))</f>
        <v/>
      </c>
      <c r="G1850" s="0" t="n">
        <f aca="false">IF(A1850="",0,IF(SUMPRODUCT(--($A$2:$A$5001=A1850))&gt;1,1,0))</f>
        <v>0</v>
      </c>
      <c r="H1850" s="0" t="n">
        <f aca="false">ROW()-1</f>
        <v>1849</v>
      </c>
      <c r="I1850" s="0" t="str">
        <f aca="false">IF(OR(הגדרות!$E$6=0,H1850&gt;הגדרות!$E$5),"",IF(H1850-1&lt;הגדרות!$E$8*(הגדרות!$E$7+1),INT((H1850-1)/(הגדרות!$E$7+1)),הגדרות!$E$8+INT((H1850-1-הגדרות!$E$8*(הגדרות!$E$7+1))/הגדרות!$E$7)))</f>
        <v/>
      </c>
      <c r="J1850" s="0" t="str">
        <f aca="false">IF(I1850="","",IF(H1850-1&lt;הגדרות!$E$8*(הגדרות!$E$7+1),MOD(H1850-1,הגדרות!$E$7+1),MOD(H1850-1-הגדרות!$E$8*(הגדרות!$E$7+1),הגדרות!$E$7)))</f>
        <v/>
      </c>
      <c r="K1850" s="0" t="str">
        <f aca="false">IF(I1850="","",J1850*הגדרות!$E$6+I1850+1)</f>
        <v/>
      </c>
      <c r="L1850" s="0" t="str">
        <f aca="false">IF(K1850="","",MATCH(K1850,$F$2:$F$5001,0))</f>
        <v/>
      </c>
      <c r="M1850" s="0" t="str">
        <f aca="false">IF(I1850="","",INDEX(הגדרות!$A$2:$A$21,MOD(I1850+הגדרות!$E$9,הגדרות!$E$6)+1))</f>
        <v/>
      </c>
    </row>
    <row r="1851" customFormat="false" ht="15" hidden="false" customHeight="false" outlineLevel="0" collapsed="false">
      <c r="A1851" s="0" t="str">
        <f aca="false">IF('הדבקת לידים'!A1851="","",IF(ISNUMBER('הדבקת לידים'!A1851),IF(הגדרות!$E$2&gt;0,TEXT('הדבקת לידים'!A1851,REPT("0",הגדרות!$E$2)),TEXT('הדבקת לידים'!A1851,"0")),TRIM('הדבקת לידים'!A1851)))</f>
        <v/>
      </c>
      <c r="B1851" s="0" t="str">
        <f aca="false">IF('הדבקת לידים'!B1851="","",IF(ISNUMBER('הדבקת לידים'!B1851),IF(הגדרות!$E$3&gt;0,TEXT('הדבקת לידים'!B1851,REPT("0",הגדרות!$E$3)),TEXT('הדבקת לידים'!B1851,"0")),TRIM('הדבקת לידים'!B1851)))</f>
        <v/>
      </c>
      <c r="C1851" s="0" t="n">
        <f aca="false">IF(OR(A1851&lt;&gt;"",B1851&lt;&gt;""),1,0)</f>
        <v>0</v>
      </c>
      <c r="D1851" s="0" t="str">
        <f aca="false">IF(C1851=1,MOD(ABS(SIN(ROW()*12.9898+'הדבקת לידים'!$F$2*78.233+IFERROR(--RIGHT(A1851,6),LEN(A1851))*0.0137+IFERROR(--RIGHT(B1851,6),LEN(B1851))*0.0071))*43758.5453,1),"")</f>
        <v/>
      </c>
      <c r="E1851" s="0" t="str">
        <f aca="false">IF(C1851=1,INT(MOD(ABS(SIN(D1851*7919.123+ROW()*0.618+'הדבקת לידים'!$F$2*1.3))*43758.5453,1)*1000000)*10000+ROW(),"")</f>
        <v/>
      </c>
      <c r="F1851" s="0" t="str">
        <f aca="false">IF(E1851="","",RANK(E1851,$E$2:$E$5001,1))</f>
        <v/>
      </c>
      <c r="G1851" s="0" t="n">
        <f aca="false">IF(A1851="",0,IF(SUMPRODUCT(--($A$2:$A$5001=A1851))&gt;1,1,0))</f>
        <v>0</v>
      </c>
      <c r="H1851" s="0" t="n">
        <f aca="false">ROW()-1</f>
        <v>1850</v>
      </c>
      <c r="I1851" s="0" t="str">
        <f aca="false">IF(OR(הגדרות!$E$6=0,H1851&gt;הגדרות!$E$5),"",IF(H1851-1&lt;הגדרות!$E$8*(הגדרות!$E$7+1),INT((H1851-1)/(הגדרות!$E$7+1)),הגדרות!$E$8+INT((H1851-1-הגדרות!$E$8*(הגדרות!$E$7+1))/הגדרות!$E$7)))</f>
        <v/>
      </c>
      <c r="J1851" s="0" t="str">
        <f aca="false">IF(I1851="","",IF(H1851-1&lt;הגדרות!$E$8*(הגדרות!$E$7+1),MOD(H1851-1,הגדרות!$E$7+1),MOD(H1851-1-הגדרות!$E$8*(הגדרות!$E$7+1),הגדרות!$E$7)))</f>
        <v/>
      </c>
      <c r="K1851" s="0" t="str">
        <f aca="false">IF(I1851="","",J1851*הגדרות!$E$6+I1851+1)</f>
        <v/>
      </c>
      <c r="L1851" s="0" t="str">
        <f aca="false">IF(K1851="","",MATCH(K1851,$F$2:$F$5001,0))</f>
        <v/>
      </c>
      <c r="M1851" s="0" t="str">
        <f aca="false">IF(I1851="","",INDEX(הגדרות!$A$2:$A$21,MOD(I1851+הגדרות!$E$9,הגדרות!$E$6)+1))</f>
        <v/>
      </c>
    </row>
    <row r="1852" customFormat="false" ht="15" hidden="false" customHeight="false" outlineLevel="0" collapsed="false">
      <c r="A1852" s="0" t="str">
        <f aca="false">IF('הדבקת לידים'!A1852="","",IF(ISNUMBER('הדבקת לידים'!A1852),IF(הגדרות!$E$2&gt;0,TEXT('הדבקת לידים'!A1852,REPT("0",הגדרות!$E$2)),TEXT('הדבקת לידים'!A1852,"0")),TRIM('הדבקת לידים'!A1852)))</f>
        <v/>
      </c>
      <c r="B1852" s="0" t="str">
        <f aca="false">IF('הדבקת לידים'!B1852="","",IF(ISNUMBER('הדבקת לידים'!B1852),IF(הגדרות!$E$3&gt;0,TEXT('הדבקת לידים'!B1852,REPT("0",הגדרות!$E$3)),TEXT('הדבקת לידים'!B1852,"0")),TRIM('הדבקת לידים'!B1852)))</f>
        <v/>
      </c>
      <c r="C1852" s="0" t="n">
        <f aca="false">IF(OR(A1852&lt;&gt;"",B1852&lt;&gt;""),1,0)</f>
        <v>0</v>
      </c>
      <c r="D1852" s="0" t="str">
        <f aca="false">IF(C1852=1,MOD(ABS(SIN(ROW()*12.9898+'הדבקת לידים'!$F$2*78.233+IFERROR(--RIGHT(A1852,6),LEN(A1852))*0.0137+IFERROR(--RIGHT(B1852,6),LEN(B1852))*0.0071))*43758.5453,1),"")</f>
        <v/>
      </c>
      <c r="E1852" s="0" t="str">
        <f aca="false">IF(C1852=1,INT(MOD(ABS(SIN(D1852*7919.123+ROW()*0.618+'הדבקת לידים'!$F$2*1.3))*43758.5453,1)*1000000)*10000+ROW(),"")</f>
        <v/>
      </c>
      <c r="F1852" s="0" t="str">
        <f aca="false">IF(E1852="","",RANK(E1852,$E$2:$E$5001,1))</f>
        <v/>
      </c>
      <c r="G1852" s="0" t="n">
        <f aca="false">IF(A1852="",0,IF(SUMPRODUCT(--($A$2:$A$5001=A1852))&gt;1,1,0))</f>
        <v>0</v>
      </c>
      <c r="H1852" s="0" t="n">
        <f aca="false">ROW()-1</f>
        <v>1851</v>
      </c>
      <c r="I1852" s="0" t="str">
        <f aca="false">IF(OR(הגדרות!$E$6=0,H1852&gt;הגדרות!$E$5),"",IF(H1852-1&lt;הגדרות!$E$8*(הגדרות!$E$7+1),INT((H1852-1)/(הגדרות!$E$7+1)),הגדרות!$E$8+INT((H1852-1-הגדרות!$E$8*(הגדרות!$E$7+1))/הגדרות!$E$7)))</f>
        <v/>
      </c>
      <c r="J1852" s="0" t="str">
        <f aca="false">IF(I1852="","",IF(H1852-1&lt;הגדרות!$E$8*(הגדרות!$E$7+1),MOD(H1852-1,הגדרות!$E$7+1),MOD(H1852-1-הגדרות!$E$8*(הגדרות!$E$7+1),הגדרות!$E$7)))</f>
        <v/>
      </c>
      <c r="K1852" s="0" t="str">
        <f aca="false">IF(I1852="","",J1852*הגדרות!$E$6+I1852+1)</f>
        <v/>
      </c>
      <c r="L1852" s="0" t="str">
        <f aca="false">IF(K1852="","",MATCH(K1852,$F$2:$F$5001,0))</f>
        <v/>
      </c>
      <c r="M1852" s="0" t="str">
        <f aca="false">IF(I1852="","",INDEX(הגדרות!$A$2:$A$21,MOD(I1852+הגדרות!$E$9,הגדרות!$E$6)+1))</f>
        <v/>
      </c>
    </row>
    <row r="1853" customFormat="false" ht="15" hidden="false" customHeight="false" outlineLevel="0" collapsed="false">
      <c r="A1853" s="0" t="str">
        <f aca="false">IF('הדבקת לידים'!A1853="","",IF(ISNUMBER('הדבקת לידים'!A1853),IF(הגדרות!$E$2&gt;0,TEXT('הדבקת לידים'!A1853,REPT("0",הגדרות!$E$2)),TEXT('הדבקת לידים'!A1853,"0")),TRIM('הדבקת לידים'!A1853)))</f>
        <v/>
      </c>
      <c r="B1853" s="0" t="str">
        <f aca="false">IF('הדבקת לידים'!B1853="","",IF(ISNUMBER('הדבקת לידים'!B1853),IF(הגדרות!$E$3&gt;0,TEXT('הדבקת לידים'!B1853,REPT("0",הגדרות!$E$3)),TEXT('הדבקת לידים'!B1853,"0")),TRIM('הדבקת לידים'!B1853)))</f>
        <v/>
      </c>
      <c r="C1853" s="0" t="n">
        <f aca="false">IF(OR(A1853&lt;&gt;"",B1853&lt;&gt;""),1,0)</f>
        <v>0</v>
      </c>
      <c r="D1853" s="0" t="str">
        <f aca="false">IF(C1853=1,MOD(ABS(SIN(ROW()*12.9898+'הדבקת לידים'!$F$2*78.233+IFERROR(--RIGHT(A1853,6),LEN(A1853))*0.0137+IFERROR(--RIGHT(B1853,6),LEN(B1853))*0.0071))*43758.5453,1),"")</f>
        <v/>
      </c>
      <c r="E1853" s="0" t="str">
        <f aca="false">IF(C1853=1,INT(MOD(ABS(SIN(D1853*7919.123+ROW()*0.618+'הדבקת לידים'!$F$2*1.3))*43758.5453,1)*1000000)*10000+ROW(),"")</f>
        <v/>
      </c>
      <c r="F1853" s="0" t="str">
        <f aca="false">IF(E1853="","",RANK(E1853,$E$2:$E$5001,1))</f>
        <v/>
      </c>
      <c r="G1853" s="0" t="n">
        <f aca="false">IF(A1853="",0,IF(SUMPRODUCT(--($A$2:$A$5001=A1853))&gt;1,1,0))</f>
        <v>0</v>
      </c>
      <c r="H1853" s="0" t="n">
        <f aca="false">ROW()-1</f>
        <v>1852</v>
      </c>
      <c r="I1853" s="0" t="str">
        <f aca="false">IF(OR(הגדרות!$E$6=0,H1853&gt;הגדרות!$E$5),"",IF(H1853-1&lt;הגדרות!$E$8*(הגדרות!$E$7+1),INT((H1853-1)/(הגדרות!$E$7+1)),הגדרות!$E$8+INT((H1853-1-הגדרות!$E$8*(הגדרות!$E$7+1))/הגדרות!$E$7)))</f>
        <v/>
      </c>
      <c r="J1853" s="0" t="str">
        <f aca="false">IF(I1853="","",IF(H1853-1&lt;הגדרות!$E$8*(הגדרות!$E$7+1),MOD(H1853-1,הגדרות!$E$7+1),MOD(H1853-1-הגדרות!$E$8*(הגדרות!$E$7+1),הגדרות!$E$7)))</f>
        <v/>
      </c>
      <c r="K1853" s="0" t="str">
        <f aca="false">IF(I1853="","",J1853*הגדרות!$E$6+I1853+1)</f>
        <v/>
      </c>
      <c r="L1853" s="0" t="str">
        <f aca="false">IF(K1853="","",MATCH(K1853,$F$2:$F$5001,0))</f>
        <v/>
      </c>
      <c r="M1853" s="0" t="str">
        <f aca="false">IF(I1853="","",INDEX(הגדרות!$A$2:$A$21,MOD(I1853+הגדרות!$E$9,הגדרות!$E$6)+1))</f>
        <v/>
      </c>
    </row>
    <row r="1854" customFormat="false" ht="15" hidden="false" customHeight="false" outlineLevel="0" collapsed="false">
      <c r="A1854" s="0" t="str">
        <f aca="false">IF('הדבקת לידים'!A1854="","",IF(ISNUMBER('הדבקת לידים'!A1854),IF(הגדרות!$E$2&gt;0,TEXT('הדבקת לידים'!A1854,REPT("0",הגדרות!$E$2)),TEXT('הדבקת לידים'!A1854,"0")),TRIM('הדבקת לידים'!A1854)))</f>
        <v/>
      </c>
      <c r="B1854" s="0" t="str">
        <f aca="false">IF('הדבקת לידים'!B1854="","",IF(ISNUMBER('הדבקת לידים'!B1854),IF(הגדרות!$E$3&gt;0,TEXT('הדבקת לידים'!B1854,REPT("0",הגדרות!$E$3)),TEXT('הדבקת לידים'!B1854,"0")),TRIM('הדבקת לידים'!B1854)))</f>
        <v/>
      </c>
      <c r="C1854" s="0" t="n">
        <f aca="false">IF(OR(A1854&lt;&gt;"",B1854&lt;&gt;""),1,0)</f>
        <v>0</v>
      </c>
      <c r="D1854" s="0" t="str">
        <f aca="false">IF(C1854=1,MOD(ABS(SIN(ROW()*12.9898+'הדבקת לידים'!$F$2*78.233+IFERROR(--RIGHT(A1854,6),LEN(A1854))*0.0137+IFERROR(--RIGHT(B1854,6),LEN(B1854))*0.0071))*43758.5453,1),"")</f>
        <v/>
      </c>
      <c r="E1854" s="0" t="str">
        <f aca="false">IF(C1854=1,INT(MOD(ABS(SIN(D1854*7919.123+ROW()*0.618+'הדבקת לידים'!$F$2*1.3))*43758.5453,1)*1000000)*10000+ROW(),"")</f>
        <v/>
      </c>
      <c r="F1854" s="0" t="str">
        <f aca="false">IF(E1854="","",RANK(E1854,$E$2:$E$5001,1))</f>
        <v/>
      </c>
      <c r="G1854" s="0" t="n">
        <f aca="false">IF(A1854="",0,IF(SUMPRODUCT(--($A$2:$A$5001=A1854))&gt;1,1,0))</f>
        <v>0</v>
      </c>
      <c r="H1854" s="0" t="n">
        <f aca="false">ROW()-1</f>
        <v>1853</v>
      </c>
      <c r="I1854" s="0" t="str">
        <f aca="false">IF(OR(הגדרות!$E$6=0,H1854&gt;הגדרות!$E$5),"",IF(H1854-1&lt;הגדרות!$E$8*(הגדרות!$E$7+1),INT((H1854-1)/(הגדרות!$E$7+1)),הגדרות!$E$8+INT((H1854-1-הגדרות!$E$8*(הגדרות!$E$7+1))/הגדרות!$E$7)))</f>
        <v/>
      </c>
      <c r="J1854" s="0" t="str">
        <f aca="false">IF(I1854="","",IF(H1854-1&lt;הגדרות!$E$8*(הגדרות!$E$7+1),MOD(H1854-1,הגדרות!$E$7+1),MOD(H1854-1-הגדרות!$E$8*(הגדרות!$E$7+1),הגדרות!$E$7)))</f>
        <v/>
      </c>
      <c r="K1854" s="0" t="str">
        <f aca="false">IF(I1854="","",J1854*הגדרות!$E$6+I1854+1)</f>
        <v/>
      </c>
      <c r="L1854" s="0" t="str">
        <f aca="false">IF(K1854="","",MATCH(K1854,$F$2:$F$5001,0))</f>
        <v/>
      </c>
      <c r="M1854" s="0" t="str">
        <f aca="false">IF(I1854="","",INDEX(הגדרות!$A$2:$A$21,MOD(I1854+הגדרות!$E$9,הגדרות!$E$6)+1))</f>
        <v/>
      </c>
    </row>
    <row r="1855" customFormat="false" ht="15" hidden="false" customHeight="false" outlineLevel="0" collapsed="false">
      <c r="A1855" s="0" t="str">
        <f aca="false">IF('הדבקת לידים'!A1855="","",IF(ISNUMBER('הדבקת לידים'!A1855),IF(הגדרות!$E$2&gt;0,TEXT('הדבקת לידים'!A1855,REPT("0",הגדרות!$E$2)),TEXT('הדבקת לידים'!A1855,"0")),TRIM('הדבקת לידים'!A1855)))</f>
        <v/>
      </c>
      <c r="B1855" s="0" t="str">
        <f aca="false">IF('הדבקת לידים'!B1855="","",IF(ISNUMBER('הדבקת לידים'!B1855),IF(הגדרות!$E$3&gt;0,TEXT('הדבקת לידים'!B1855,REPT("0",הגדרות!$E$3)),TEXT('הדבקת לידים'!B1855,"0")),TRIM('הדבקת לידים'!B1855)))</f>
        <v/>
      </c>
      <c r="C1855" s="0" t="n">
        <f aca="false">IF(OR(A1855&lt;&gt;"",B1855&lt;&gt;""),1,0)</f>
        <v>0</v>
      </c>
      <c r="D1855" s="0" t="str">
        <f aca="false">IF(C1855=1,MOD(ABS(SIN(ROW()*12.9898+'הדבקת לידים'!$F$2*78.233+IFERROR(--RIGHT(A1855,6),LEN(A1855))*0.0137+IFERROR(--RIGHT(B1855,6),LEN(B1855))*0.0071))*43758.5453,1),"")</f>
        <v/>
      </c>
      <c r="E1855" s="0" t="str">
        <f aca="false">IF(C1855=1,INT(MOD(ABS(SIN(D1855*7919.123+ROW()*0.618+'הדבקת לידים'!$F$2*1.3))*43758.5453,1)*1000000)*10000+ROW(),"")</f>
        <v/>
      </c>
      <c r="F1855" s="0" t="str">
        <f aca="false">IF(E1855="","",RANK(E1855,$E$2:$E$5001,1))</f>
        <v/>
      </c>
      <c r="G1855" s="0" t="n">
        <f aca="false">IF(A1855="",0,IF(SUMPRODUCT(--($A$2:$A$5001=A1855))&gt;1,1,0))</f>
        <v>0</v>
      </c>
      <c r="H1855" s="0" t="n">
        <f aca="false">ROW()-1</f>
        <v>1854</v>
      </c>
      <c r="I1855" s="0" t="str">
        <f aca="false">IF(OR(הגדרות!$E$6=0,H1855&gt;הגדרות!$E$5),"",IF(H1855-1&lt;הגדרות!$E$8*(הגדרות!$E$7+1),INT((H1855-1)/(הגדרות!$E$7+1)),הגדרות!$E$8+INT((H1855-1-הגדרות!$E$8*(הגדרות!$E$7+1))/הגדרות!$E$7)))</f>
        <v/>
      </c>
      <c r="J1855" s="0" t="str">
        <f aca="false">IF(I1855="","",IF(H1855-1&lt;הגדרות!$E$8*(הגדרות!$E$7+1),MOD(H1855-1,הגדרות!$E$7+1),MOD(H1855-1-הגדרות!$E$8*(הגדרות!$E$7+1),הגדרות!$E$7)))</f>
        <v/>
      </c>
      <c r="K1855" s="0" t="str">
        <f aca="false">IF(I1855="","",J1855*הגדרות!$E$6+I1855+1)</f>
        <v/>
      </c>
      <c r="L1855" s="0" t="str">
        <f aca="false">IF(K1855="","",MATCH(K1855,$F$2:$F$5001,0))</f>
        <v/>
      </c>
      <c r="M1855" s="0" t="str">
        <f aca="false">IF(I1855="","",INDEX(הגדרות!$A$2:$A$21,MOD(I1855+הגדרות!$E$9,הגדרות!$E$6)+1))</f>
        <v/>
      </c>
    </row>
    <row r="1856" customFormat="false" ht="15" hidden="false" customHeight="false" outlineLevel="0" collapsed="false">
      <c r="A1856" s="0" t="str">
        <f aca="false">IF('הדבקת לידים'!A1856="","",IF(ISNUMBER('הדבקת לידים'!A1856),IF(הגדרות!$E$2&gt;0,TEXT('הדבקת לידים'!A1856,REPT("0",הגדרות!$E$2)),TEXT('הדבקת לידים'!A1856,"0")),TRIM('הדבקת לידים'!A1856)))</f>
        <v/>
      </c>
      <c r="B1856" s="0" t="str">
        <f aca="false">IF('הדבקת לידים'!B1856="","",IF(ISNUMBER('הדבקת לידים'!B1856),IF(הגדרות!$E$3&gt;0,TEXT('הדבקת לידים'!B1856,REPT("0",הגדרות!$E$3)),TEXT('הדבקת לידים'!B1856,"0")),TRIM('הדבקת לידים'!B1856)))</f>
        <v/>
      </c>
      <c r="C1856" s="0" t="n">
        <f aca="false">IF(OR(A1856&lt;&gt;"",B1856&lt;&gt;""),1,0)</f>
        <v>0</v>
      </c>
      <c r="D1856" s="0" t="str">
        <f aca="false">IF(C1856=1,MOD(ABS(SIN(ROW()*12.9898+'הדבקת לידים'!$F$2*78.233+IFERROR(--RIGHT(A1856,6),LEN(A1856))*0.0137+IFERROR(--RIGHT(B1856,6),LEN(B1856))*0.0071))*43758.5453,1),"")</f>
        <v/>
      </c>
      <c r="E1856" s="0" t="str">
        <f aca="false">IF(C1856=1,INT(MOD(ABS(SIN(D1856*7919.123+ROW()*0.618+'הדבקת לידים'!$F$2*1.3))*43758.5453,1)*1000000)*10000+ROW(),"")</f>
        <v/>
      </c>
      <c r="F1856" s="0" t="str">
        <f aca="false">IF(E1856="","",RANK(E1856,$E$2:$E$5001,1))</f>
        <v/>
      </c>
      <c r="G1856" s="0" t="n">
        <f aca="false">IF(A1856="",0,IF(SUMPRODUCT(--($A$2:$A$5001=A1856))&gt;1,1,0))</f>
        <v>0</v>
      </c>
      <c r="H1856" s="0" t="n">
        <f aca="false">ROW()-1</f>
        <v>1855</v>
      </c>
      <c r="I1856" s="0" t="str">
        <f aca="false">IF(OR(הגדרות!$E$6=0,H1856&gt;הגדרות!$E$5),"",IF(H1856-1&lt;הגדרות!$E$8*(הגדרות!$E$7+1),INT((H1856-1)/(הגדרות!$E$7+1)),הגדרות!$E$8+INT((H1856-1-הגדרות!$E$8*(הגדרות!$E$7+1))/הגדרות!$E$7)))</f>
        <v/>
      </c>
      <c r="J1856" s="0" t="str">
        <f aca="false">IF(I1856="","",IF(H1856-1&lt;הגדרות!$E$8*(הגדרות!$E$7+1),MOD(H1856-1,הגדרות!$E$7+1),MOD(H1856-1-הגדרות!$E$8*(הגדרות!$E$7+1),הגדרות!$E$7)))</f>
        <v/>
      </c>
      <c r="K1856" s="0" t="str">
        <f aca="false">IF(I1856="","",J1856*הגדרות!$E$6+I1856+1)</f>
        <v/>
      </c>
      <c r="L1856" s="0" t="str">
        <f aca="false">IF(K1856="","",MATCH(K1856,$F$2:$F$5001,0))</f>
        <v/>
      </c>
      <c r="M1856" s="0" t="str">
        <f aca="false">IF(I1856="","",INDEX(הגדרות!$A$2:$A$21,MOD(I1856+הגדרות!$E$9,הגדרות!$E$6)+1))</f>
        <v/>
      </c>
    </row>
    <row r="1857" customFormat="false" ht="15" hidden="false" customHeight="false" outlineLevel="0" collapsed="false">
      <c r="A1857" s="0" t="str">
        <f aca="false">IF('הדבקת לידים'!A1857="","",IF(ISNUMBER('הדבקת לידים'!A1857),IF(הגדרות!$E$2&gt;0,TEXT('הדבקת לידים'!A1857,REPT("0",הגדרות!$E$2)),TEXT('הדבקת לידים'!A1857,"0")),TRIM('הדבקת לידים'!A1857)))</f>
        <v/>
      </c>
      <c r="B1857" s="0" t="str">
        <f aca="false">IF('הדבקת לידים'!B1857="","",IF(ISNUMBER('הדבקת לידים'!B1857),IF(הגדרות!$E$3&gt;0,TEXT('הדבקת לידים'!B1857,REPT("0",הגדרות!$E$3)),TEXT('הדבקת לידים'!B1857,"0")),TRIM('הדבקת לידים'!B1857)))</f>
        <v/>
      </c>
      <c r="C1857" s="0" t="n">
        <f aca="false">IF(OR(A1857&lt;&gt;"",B1857&lt;&gt;""),1,0)</f>
        <v>0</v>
      </c>
      <c r="D1857" s="0" t="str">
        <f aca="false">IF(C1857=1,MOD(ABS(SIN(ROW()*12.9898+'הדבקת לידים'!$F$2*78.233+IFERROR(--RIGHT(A1857,6),LEN(A1857))*0.0137+IFERROR(--RIGHT(B1857,6),LEN(B1857))*0.0071))*43758.5453,1),"")</f>
        <v/>
      </c>
      <c r="E1857" s="0" t="str">
        <f aca="false">IF(C1857=1,INT(MOD(ABS(SIN(D1857*7919.123+ROW()*0.618+'הדבקת לידים'!$F$2*1.3))*43758.5453,1)*1000000)*10000+ROW(),"")</f>
        <v/>
      </c>
      <c r="F1857" s="0" t="str">
        <f aca="false">IF(E1857="","",RANK(E1857,$E$2:$E$5001,1))</f>
        <v/>
      </c>
      <c r="G1857" s="0" t="n">
        <f aca="false">IF(A1857="",0,IF(SUMPRODUCT(--($A$2:$A$5001=A1857))&gt;1,1,0))</f>
        <v>0</v>
      </c>
      <c r="H1857" s="0" t="n">
        <f aca="false">ROW()-1</f>
        <v>1856</v>
      </c>
      <c r="I1857" s="0" t="str">
        <f aca="false">IF(OR(הגדרות!$E$6=0,H1857&gt;הגדרות!$E$5),"",IF(H1857-1&lt;הגדרות!$E$8*(הגדרות!$E$7+1),INT((H1857-1)/(הגדרות!$E$7+1)),הגדרות!$E$8+INT((H1857-1-הגדרות!$E$8*(הגדרות!$E$7+1))/הגדרות!$E$7)))</f>
        <v/>
      </c>
      <c r="J1857" s="0" t="str">
        <f aca="false">IF(I1857="","",IF(H1857-1&lt;הגדרות!$E$8*(הגדרות!$E$7+1),MOD(H1857-1,הגדרות!$E$7+1),MOD(H1857-1-הגדרות!$E$8*(הגדרות!$E$7+1),הגדרות!$E$7)))</f>
        <v/>
      </c>
      <c r="K1857" s="0" t="str">
        <f aca="false">IF(I1857="","",J1857*הגדרות!$E$6+I1857+1)</f>
        <v/>
      </c>
      <c r="L1857" s="0" t="str">
        <f aca="false">IF(K1857="","",MATCH(K1857,$F$2:$F$5001,0))</f>
        <v/>
      </c>
      <c r="M1857" s="0" t="str">
        <f aca="false">IF(I1857="","",INDEX(הגדרות!$A$2:$A$21,MOD(I1857+הגדרות!$E$9,הגדרות!$E$6)+1))</f>
        <v/>
      </c>
    </row>
    <row r="1858" customFormat="false" ht="15" hidden="false" customHeight="false" outlineLevel="0" collapsed="false">
      <c r="A1858" s="0" t="str">
        <f aca="false">IF('הדבקת לידים'!A1858="","",IF(ISNUMBER('הדבקת לידים'!A1858),IF(הגדרות!$E$2&gt;0,TEXT('הדבקת לידים'!A1858,REPT("0",הגדרות!$E$2)),TEXT('הדבקת לידים'!A1858,"0")),TRIM('הדבקת לידים'!A1858)))</f>
        <v/>
      </c>
      <c r="B1858" s="0" t="str">
        <f aca="false">IF('הדבקת לידים'!B1858="","",IF(ISNUMBER('הדבקת לידים'!B1858),IF(הגדרות!$E$3&gt;0,TEXT('הדבקת לידים'!B1858,REPT("0",הגדרות!$E$3)),TEXT('הדבקת לידים'!B1858,"0")),TRIM('הדבקת לידים'!B1858)))</f>
        <v/>
      </c>
      <c r="C1858" s="0" t="n">
        <f aca="false">IF(OR(A1858&lt;&gt;"",B1858&lt;&gt;""),1,0)</f>
        <v>0</v>
      </c>
      <c r="D1858" s="0" t="str">
        <f aca="false">IF(C1858=1,MOD(ABS(SIN(ROW()*12.9898+'הדבקת לידים'!$F$2*78.233+IFERROR(--RIGHT(A1858,6),LEN(A1858))*0.0137+IFERROR(--RIGHT(B1858,6),LEN(B1858))*0.0071))*43758.5453,1),"")</f>
        <v/>
      </c>
      <c r="E1858" s="0" t="str">
        <f aca="false">IF(C1858=1,INT(MOD(ABS(SIN(D1858*7919.123+ROW()*0.618+'הדבקת לידים'!$F$2*1.3))*43758.5453,1)*1000000)*10000+ROW(),"")</f>
        <v/>
      </c>
      <c r="F1858" s="0" t="str">
        <f aca="false">IF(E1858="","",RANK(E1858,$E$2:$E$5001,1))</f>
        <v/>
      </c>
      <c r="G1858" s="0" t="n">
        <f aca="false">IF(A1858="",0,IF(SUMPRODUCT(--($A$2:$A$5001=A1858))&gt;1,1,0))</f>
        <v>0</v>
      </c>
      <c r="H1858" s="0" t="n">
        <f aca="false">ROW()-1</f>
        <v>1857</v>
      </c>
      <c r="I1858" s="0" t="str">
        <f aca="false">IF(OR(הגדרות!$E$6=0,H1858&gt;הגדרות!$E$5),"",IF(H1858-1&lt;הגדרות!$E$8*(הגדרות!$E$7+1),INT((H1858-1)/(הגדרות!$E$7+1)),הגדרות!$E$8+INT((H1858-1-הגדרות!$E$8*(הגדרות!$E$7+1))/הגדרות!$E$7)))</f>
        <v/>
      </c>
      <c r="J1858" s="0" t="str">
        <f aca="false">IF(I1858="","",IF(H1858-1&lt;הגדרות!$E$8*(הגדרות!$E$7+1),MOD(H1858-1,הגדרות!$E$7+1),MOD(H1858-1-הגדרות!$E$8*(הגדרות!$E$7+1),הגדרות!$E$7)))</f>
        <v/>
      </c>
      <c r="K1858" s="0" t="str">
        <f aca="false">IF(I1858="","",J1858*הגדרות!$E$6+I1858+1)</f>
        <v/>
      </c>
      <c r="L1858" s="0" t="str">
        <f aca="false">IF(K1858="","",MATCH(K1858,$F$2:$F$5001,0))</f>
        <v/>
      </c>
      <c r="M1858" s="0" t="str">
        <f aca="false">IF(I1858="","",INDEX(הגדרות!$A$2:$A$21,MOD(I1858+הגדרות!$E$9,הגדרות!$E$6)+1))</f>
        <v/>
      </c>
    </row>
    <row r="1859" customFormat="false" ht="15" hidden="false" customHeight="false" outlineLevel="0" collapsed="false">
      <c r="A1859" s="0" t="str">
        <f aca="false">IF('הדבקת לידים'!A1859="","",IF(ISNUMBER('הדבקת לידים'!A1859),IF(הגדרות!$E$2&gt;0,TEXT('הדבקת לידים'!A1859,REPT("0",הגדרות!$E$2)),TEXT('הדבקת לידים'!A1859,"0")),TRIM('הדבקת לידים'!A1859)))</f>
        <v/>
      </c>
      <c r="B1859" s="0" t="str">
        <f aca="false">IF('הדבקת לידים'!B1859="","",IF(ISNUMBER('הדבקת לידים'!B1859),IF(הגדרות!$E$3&gt;0,TEXT('הדבקת לידים'!B1859,REPT("0",הגדרות!$E$3)),TEXT('הדבקת לידים'!B1859,"0")),TRIM('הדבקת לידים'!B1859)))</f>
        <v/>
      </c>
      <c r="C1859" s="0" t="n">
        <f aca="false">IF(OR(A1859&lt;&gt;"",B1859&lt;&gt;""),1,0)</f>
        <v>0</v>
      </c>
      <c r="D1859" s="0" t="str">
        <f aca="false">IF(C1859=1,MOD(ABS(SIN(ROW()*12.9898+'הדבקת לידים'!$F$2*78.233+IFERROR(--RIGHT(A1859,6),LEN(A1859))*0.0137+IFERROR(--RIGHT(B1859,6),LEN(B1859))*0.0071))*43758.5453,1),"")</f>
        <v/>
      </c>
      <c r="E1859" s="0" t="str">
        <f aca="false">IF(C1859=1,INT(MOD(ABS(SIN(D1859*7919.123+ROW()*0.618+'הדבקת לידים'!$F$2*1.3))*43758.5453,1)*1000000)*10000+ROW(),"")</f>
        <v/>
      </c>
      <c r="F1859" s="0" t="str">
        <f aca="false">IF(E1859="","",RANK(E1859,$E$2:$E$5001,1))</f>
        <v/>
      </c>
      <c r="G1859" s="0" t="n">
        <f aca="false">IF(A1859="",0,IF(SUMPRODUCT(--($A$2:$A$5001=A1859))&gt;1,1,0))</f>
        <v>0</v>
      </c>
      <c r="H1859" s="0" t="n">
        <f aca="false">ROW()-1</f>
        <v>1858</v>
      </c>
      <c r="I1859" s="0" t="str">
        <f aca="false">IF(OR(הגדרות!$E$6=0,H1859&gt;הגדרות!$E$5),"",IF(H1859-1&lt;הגדרות!$E$8*(הגדרות!$E$7+1),INT((H1859-1)/(הגדרות!$E$7+1)),הגדרות!$E$8+INT((H1859-1-הגדרות!$E$8*(הגדרות!$E$7+1))/הגדרות!$E$7)))</f>
        <v/>
      </c>
      <c r="J1859" s="0" t="str">
        <f aca="false">IF(I1859="","",IF(H1859-1&lt;הגדרות!$E$8*(הגדרות!$E$7+1),MOD(H1859-1,הגדרות!$E$7+1),MOD(H1859-1-הגדרות!$E$8*(הגדרות!$E$7+1),הגדרות!$E$7)))</f>
        <v/>
      </c>
      <c r="K1859" s="0" t="str">
        <f aca="false">IF(I1859="","",J1859*הגדרות!$E$6+I1859+1)</f>
        <v/>
      </c>
      <c r="L1859" s="0" t="str">
        <f aca="false">IF(K1859="","",MATCH(K1859,$F$2:$F$5001,0))</f>
        <v/>
      </c>
      <c r="M1859" s="0" t="str">
        <f aca="false">IF(I1859="","",INDEX(הגדרות!$A$2:$A$21,MOD(I1859+הגדרות!$E$9,הגדרות!$E$6)+1))</f>
        <v/>
      </c>
    </row>
    <row r="1860" customFormat="false" ht="15" hidden="false" customHeight="false" outlineLevel="0" collapsed="false">
      <c r="A1860" s="0" t="str">
        <f aca="false">IF('הדבקת לידים'!A1860="","",IF(ISNUMBER('הדבקת לידים'!A1860),IF(הגדרות!$E$2&gt;0,TEXT('הדבקת לידים'!A1860,REPT("0",הגדרות!$E$2)),TEXT('הדבקת לידים'!A1860,"0")),TRIM('הדבקת לידים'!A1860)))</f>
        <v/>
      </c>
      <c r="B1860" s="0" t="str">
        <f aca="false">IF('הדבקת לידים'!B1860="","",IF(ISNUMBER('הדבקת לידים'!B1860),IF(הגדרות!$E$3&gt;0,TEXT('הדבקת לידים'!B1860,REPT("0",הגדרות!$E$3)),TEXT('הדבקת לידים'!B1860,"0")),TRIM('הדבקת לידים'!B1860)))</f>
        <v/>
      </c>
      <c r="C1860" s="0" t="n">
        <f aca="false">IF(OR(A1860&lt;&gt;"",B1860&lt;&gt;""),1,0)</f>
        <v>0</v>
      </c>
      <c r="D1860" s="0" t="str">
        <f aca="false">IF(C1860=1,MOD(ABS(SIN(ROW()*12.9898+'הדבקת לידים'!$F$2*78.233+IFERROR(--RIGHT(A1860,6),LEN(A1860))*0.0137+IFERROR(--RIGHT(B1860,6),LEN(B1860))*0.0071))*43758.5453,1),"")</f>
        <v/>
      </c>
      <c r="E1860" s="0" t="str">
        <f aca="false">IF(C1860=1,INT(MOD(ABS(SIN(D1860*7919.123+ROW()*0.618+'הדבקת לידים'!$F$2*1.3))*43758.5453,1)*1000000)*10000+ROW(),"")</f>
        <v/>
      </c>
      <c r="F1860" s="0" t="str">
        <f aca="false">IF(E1860="","",RANK(E1860,$E$2:$E$5001,1))</f>
        <v/>
      </c>
      <c r="G1860" s="0" t="n">
        <f aca="false">IF(A1860="",0,IF(SUMPRODUCT(--($A$2:$A$5001=A1860))&gt;1,1,0))</f>
        <v>0</v>
      </c>
      <c r="H1860" s="0" t="n">
        <f aca="false">ROW()-1</f>
        <v>1859</v>
      </c>
      <c r="I1860" s="0" t="str">
        <f aca="false">IF(OR(הגדרות!$E$6=0,H1860&gt;הגדרות!$E$5),"",IF(H1860-1&lt;הגדרות!$E$8*(הגדרות!$E$7+1),INT((H1860-1)/(הגדרות!$E$7+1)),הגדרות!$E$8+INT((H1860-1-הגדרות!$E$8*(הגדרות!$E$7+1))/הגדרות!$E$7)))</f>
        <v/>
      </c>
      <c r="J1860" s="0" t="str">
        <f aca="false">IF(I1860="","",IF(H1860-1&lt;הגדרות!$E$8*(הגדרות!$E$7+1),MOD(H1860-1,הגדרות!$E$7+1),MOD(H1860-1-הגדרות!$E$8*(הגדרות!$E$7+1),הגדרות!$E$7)))</f>
        <v/>
      </c>
      <c r="K1860" s="0" t="str">
        <f aca="false">IF(I1860="","",J1860*הגדרות!$E$6+I1860+1)</f>
        <v/>
      </c>
      <c r="L1860" s="0" t="str">
        <f aca="false">IF(K1860="","",MATCH(K1860,$F$2:$F$5001,0))</f>
        <v/>
      </c>
      <c r="M1860" s="0" t="str">
        <f aca="false">IF(I1860="","",INDEX(הגדרות!$A$2:$A$21,MOD(I1860+הגדרות!$E$9,הגדרות!$E$6)+1))</f>
        <v/>
      </c>
    </row>
    <row r="1861" customFormat="false" ht="15" hidden="false" customHeight="false" outlineLevel="0" collapsed="false">
      <c r="A1861" s="0" t="str">
        <f aca="false">IF('הדבקת לידים'!A1861="","",IF(ISNUMBER('הדבקת לידים'!A1861),IF(הגדרות!$E$2&gt;0,TEXT('הדבקת לידים'!A1861,REPT("0",הגדרות!$E$2)),TEXT('הדבקת לידים'!A1861,"0")),TRIM('הדבקת לידים'!A1861)))</f>
        <v/>
      </c>
      <c r="B1861" s="0" t="str">
        <f aca="false">IF('הדבקת לידים'!B1861="","",IF(ISNUMBER('הדבקת לידים'!B1861),IF(הגדרות!$E$3&gt;0,TEXT('הדבקת לידים'!B1861,REPT("0",הגדרות!$E$3)),TEXT('הדבקת לידים'!B1861,"0")),TRIM('הדבקת לידים'!B1861)))</f>
        <v/>
      </c>
      <c r="C1861" s="0" t="n">
        <f aca="false">IF(OR(A1861&lt;&gt;"",B1861&lt;&gt;""),1,0)</f>
        <v>0</v>
      </c>
      <c r="D1861" s="0" t="str">
        <f aca="false">IF(C1861=1,MOD(ABS(SIN(ROW()*12.9898+'הדבקת לידים'!$F$2*78.233+IFERROR(--RIGHT(A1861,6),LEN(A1861))*0.0137+IFERROR(--RIGHT(B1861,6),LEN(B1861))*0.0071))*43758.5453,1),"")</f>
        <v/>
      </c>
      <c r="E1861" s="0" t="str">
        <f aca="false">IF(C1861=1,INT(MOD(ABS(SIN(D1861*7919.123+ROW()*0.618+'הדבקת לידים'!$F$2*1.3))*43758.5453,1)*1000000)*10000+ROW(),"")</f>
        <v/>
      </c>
      <c r="F1861" s="0" t="str">
        <f aca="false">IF(E1861="","",RANK(E1861,$E$2:$E$5001,1))</f>
        <v/>
      </c>
      <c r="G1861" s="0" t="n">
        <f aca="false">IF(A1861="",0,IF(SUMPRODUCT(--($A$2:$A$5001=A1861))&gt;1,1,0))</f>
        <v>0</v>
      </c>
      <c r="H1861" s="0" t="n">
        <f aca="false">ROW()-1</f>
        <v>1860</v>
      </c>
      <c r="I1861" s="0" t="str">
        <f aca="false">IF(OR(הגדרות!$E$6=0,H1861&gt;הגדרות!$E$5),"",IF(H1861-1&lt;הגדרות!$E$8*(הגדרות!$E$7+1),INT((H1861-1)/(הגדרות!$E$7+1)),הגדרות!$E$8+INT((H1861-1-הגדרות!$E$8*(הגדרות!$E$7+1))/הגדרות!$E$7)))</f>
        <v/>
      </c>
      <c r="J1861" s="0" t="str">
        <f aca="false">IF(I1861="","",IF(H1861-1&lt;הגדרות!$E$8*(הגדרות!$E$7+1),MOD(H1861-1,הגדרות!$E$7+1),MOD(H1861-1-הגדרות!$E$8*(הגדרות!$E$7+1),הגדרות!$E$7)))</f>
        <v/>
      </c>
      <c r="K1861" s="0" t="str">
        <f aca="false">IF(I1861="","",J1861*הגדרות!$E$6+I1861+1)</f>
        <v/>
      </c>
      <c r="L1861" s="0" t="str">
        <f aca="false">IF(K1861="","",MATCH(K1861,$F$2:$F$5001,0))</f>
        <v/>
      </c>
      <c r="M1861" s="0" t="str">
        <f aca="false">IF(I1861="","",INDEX(הגדרות!$A$2:$A$21,MOD(I1861+הגדרות!$E$9,הגדרות!$E$6)+1))</f>
        <v/>
      </c>
    </row>
    <row r="1862" customFormat="false" ht="15" hidden="false" customHeight="false" outlineLevel="0" collapsed="false">
      <c r="A1862" s="0" t="str">
        <f aca="false">IF('הדבקת לידים'!A1862="","",IF(ISNUMBER('הדבקת לידים'!A1862),IF(הגדרות!$E$2&gt;0,TEXT('הדבקת לידים'!A1862,REPT("0",הגדרות!$E$2)),TEXT('הדבקת לידים'!A1862,"0")),TRIM('הדבקת לידים'!A1862)))</f>
        <v/>
      </c>
      <c r="B1862" s="0" t="str">
        <f aca="false">IF('הדבקת לידים'!B1862="","",IF(ISNUMBER('הדבקת לידים'!B1862),IF(הגדרות!$E$3&gt;0,TEXT('הדבקת לידים'!B1862,REPT("0",הגדרות!$E$3)),TEXT('הדבקת לידים'!B1862,"0")),TRIM('הדבקת לידים'!B1862)))</f>
        <v/>
      </c>
      <c r="C1862" s="0" t="n">
        <f aca="false">IF(OR(A1862&lt;&gt;"",B1862&lt;&gt;""),1,0)</f>
        <v>0</v>
      </c>
      <c r="D1862" s="0" t="str">
        <f aca="false">IF(C1862=1,MOD(ABS(SIN(ROW()*12.9898+'הדבקת לידים'!$F$2*78.233+IFERROR(--RIGHT(A1862,6),LEN(A1862))*0.0137+IFERROR(--RIGHT(B1862,6),LEN(B1862))*0.0071))*43758.5453,1),"")</f>
        <v/>
      </c>
      <c r="E1862" s="0" t="str">
        <f aca="false">IF(C1862=1,INT(MOD(ABS(SIN(D1862*7919.123+ROW()*0.618+'הדבקת לידים'!$F$2*1.3))*43758.5453,1)*1000000)*10000+ROW(),"")</f>
        <v/>
      </c>
      <c r="F1862" s="0" t="str">
        <f aca="false">IF(E1862="","",RANK(E1862,$E$2:$E$5001,1))</f>
        <v/>
      </c>
      <c r="G1862" s="0" t="n">
        <f aca="false">IF(A1862="",0,IF(SUMPRODUCT(--($A$2:$A$5001=A1862))&gt;1,1,0))</f>
        <v>0</v>
      </c>
      <c r="H1862" s="0" t="n">
        <f aca="false">ROW()-1</f>
        <v>1861</v>
      </c>
      <c r="I1862" s="0" t="str">
        <f aca="false">IF(OR(הגדרות!$E$6=0,H1862&gt;הגדרות!$E$5),"",IF(H1862-1&lt;הגדרות!$E$8*(הגדרות!$E$7+1),INT((H1862-1)/(הגדרות!$E$7+1)),הגדרות!$E$8+INT((H1862-1-הגדרות!$E$8*(הגדרות!$E$7+1))/הגדרות!$E$7)))</f>
        <v/>
      </c>
      <c r="J1862" s="0" t="str">
        <f aca="false">IF(I1862="","",IF(H1862-1&lt;הגדרות!$E$8*(הגדרות!$E$7+1),MOD(H1862-1,הגדרות!$E$7+1),MOD(H1862-1-הגדרות!$E$8*(הגדרות!$E$7+1),הגדרות!$E$7)))</f>
        <v/>
      </c>
      <c r="K1862" s="0" t="str">
        <f aca="false">IF(I1862="","",J1862*הגדרות!$E$6+I1862+1)</f>
        <v/>
      </c>
      <c r="L1862" s="0" t="str">
        <f aca="false">IF(K1862="","",MATCH(K1862,$F$2:$F$5001,0))</f>
        <v/>
      </c>
      <c r="M1862" s="0" t="str">
        <f aca="false">IF(I1862="","",INDEX(הגדרות!$A$2:$A$21,MOD(I1862+הגדרות!$E$9,הגדרות!$E$6)+1))</f>
        <v/>
      </c>
    </row>
    <row r="1863" customFormat="false" ht="15" hidden="false" customHeight="false" outlineLevel="0" collapsed="false">
      <c r="A1863" s="0" t="str">
        <f aca="false">IF('הדבקת לידים'!A1863="","",IF(ISNUMBER('הדבקת לידים'!A1863),IF(הגדרות!$E$2&gt;0,TEXT('הדבקת לידים'!A1863,REPT("0",הגדרות!$E$2)),TEXT('הדבקת לידים'!A1863,"0")),TRIM('הדבקת לידים'!A1863)))</f>
        <v/>
      </c>
      <c r="B1863" s="0" t="str">
        <f aca="false">IF('הדבקת לידים'!B1863="","",IF(ISNUMBER('הדבקת לידים'!B1863),IF(הגדרות!$E$3&gt;0,TEXT('הדבקת לידים'!B1863,REPT("0",הגדרות!$E$3)),TEXT('הדבקת לידים'!B1863,"0")),TRIM('הדבקת לידים'!B1863)))</f>
        <v/>
      </c>
      <c r="C1863" s="0" t="n">
        <f aca="false">IF(OR(A1863&lt;&gt;"",B1863&lt;&gt;""),1,0)</f>
        <v>0</v>
      </c>
      <c r="D1863" s="0" t="str">
        <f aca="false">IF(C1863=1,MOD(ABS(SIN(ROW()*12.9898+'הדבקת לידים'!$F$2*78.233+IFERROR(--RIGHT(A1863,6),LEN(A1863))*0.0137+IFERROR(--RIGHT(B1863,6),LEN(B1863))*0.0071))*43758.5453,1),"")</f>
        <v/>
      </c>
      <c r="E1863" s="0" t="str">
        <f aca="false">IF(C1863=1,INT(MOD(ABS(SIN(D1863*7919.123+ROW()*0.618+'הדבקת לידים'!$F$2*1.3))*43758.5453,1)*1000000)*10000+ROW(),"")</f>
        <v/>
      </c>
      <c r="F1863" s="0" t="str">
        <f aca="false">IF(E1863="","",RANK(E1863,$E$2:$E$5001,1))</f>
        <v/>
      </c>
      <c r="G1863" s="0" t="n">
        <f aca="false">IF(A1863="",0,IF(SUMPRODUCT(--($A$2:$A$5001=A1863))&gt;1,1,0))</f>
        <v>0</v>
      </c>
      <c r="H1863" s="0" t="n">
        <f aca="false">ROW()-1</f>
        <v>1862</v>
      </c>
      <c r="I1863" s="0" t="str">
        <f aca="false">IF(OR(הגדרות!$E$6=0,H1863&gt;הגדרות!$E$5),"",IF(H1863-1&lt;הגדרות!$E$8*(הגדרות!$E$7+1),INT((H1863-1)/(הגדרות!$E$7+1)),הגדרות!$E$8+INT((H1863-1-הגדרות!$E$8*(הגדרות!$E$7+1))/הגדרות!$E$7)))</f>
        <v/>
      </c>
      <c r="J1863" s="0" t="str">
        <f aca="false">IF(I1863="","",IF(H1863-1&lt;הגדרות!$E$8*(הגדרות!$E$7+1),MOD(H1863-1,הגדרות!$E$7+1),MOD(H1863-1-הגדרות!$E$8*(הגדרות!$E$7+1),הגדרות!$E$7)))</f>
        <v/>
      </c>
      <c r="K1863" s="0" t="str">
        <f aca="false">IF(I1863="","",J1863*הגדרות!$E$6+I1863+1)</f>
        <v/>
      </c>
      <c r="L1863" s="0" t="str">
        <f aca="false">IF(K1863="","",MATCH(K1863,$F$2:$F$5001,0))</f>
        <v/>
      </c>
      <c r="M1863" s="0" t="str">
        <f aca="false">IF(I1863="","",INDEX(הגדרות!$A$2:$A$21,MOD(I1863+הגדרות!$E$9,הגדרות!$E$6)+1))</f>
        <v/>
      </c>
    </row>
    <row r="1864" customFormat="false" ht="15" hidden="false" customHeight="false" outlineLevel="0" collapsed="false">
      <c r="A1864" s="0" t="str">
        <f aca="false">IF('הדבקת לידים'!A1864="","",IF(ISNUMBER('הדבקת לידים'!A1864),IF(הגדרות!$E$2&gt;0,TEXT('הדבקת לידים'!A1864,REPT("0",הגדרות!$E$2)),TEXT('הדבקת לידים'!A1864,"0")),TRIM('הדבקת לידים'!A1864)))</f>
        <v/>
      </c>
      <c r="B1864" s="0" t="str">
        <f aca="false">IF('הדבקת לידים'!B1864="","",IF(ISNUMBER('הדבקת לידים'!B1864),IF(הגדרות!$E$3&gt;0,TEXT('הדבקת לידים'!B1864,REPT("0",הגדרות!$E$3)),TEXT('הדבקת לידים'!B1864,"0")),TRIM('הדבקת לידים'!B1864)))</f>
        <v/>
      </c>
      <c r="C1864" s="0" t="n">
        <f aca="false">IF(OR(A1864&lt;&gt;"",B1864&lt;&gt;""),1,0)</f>
        <v>0</v>
      </c>
      <c r="D1864" s="0" t="str">
        <f aca="false">IF(C1864=1,MOD(ABS(SIN(ROW()*12.9898+'הדבקת לידים'!$F$2*78.233+IFERROR(--RIGHT(A1864,6),LEN(A1864))*0.0137+IFERROR(--RIGHT(B1864,6),LEN(B1864))*0.0071))*43758.5453,1),"")</f>
        <v/>
      </c>
      <c r="E1864" s="0" t="str">
        <f aca="false">IF(C1864=1,INT(MOD(ABS(SIN(D1864*7919.123+ROW()*0.618+'הדבקת לידים'!$F$2*1.3))*43758.5453,1)*1000000)*10000+ROW(),"")</f>
        <v/>
      </c>
      <c r="F1864" s="0" t="str">
        <f aca="false">IF(E1864="","",RANK(E1864,$E$2:$E$5001,1))</f>
        <v/>
      </c>
      <c r="G1864" s="0" t="n">
        <f aca="false">IF(A1864="",0,IF(SUMPRODUCT(--($A$2:$A$5001=A1864))&gt;1,1,0))</f>
        <v>0</v>
      </c>
      <c r="H1864" s="0" t="n">
        <f aca="false">ROW()-1</f>
        <v>1863</v>
      </c>
      <c r="I1864" s="0" t="str">
        <f aca="false">IF(OR(הגדרות!$E$6=0,H1864&gt;הגדרות!$E$5),"",IF(H1864-1&lt;הגדרות!$E$8*(הגדרות!$E$7+1),INT((H1864-1)/(הגדרות!$E$7+1)),הגדרות!$E$8+INT((H1864-1-הגדרות!$E$8*(הגדרות!$E$7+1))/הגדרות!$E$7)))</f>
        <v/>
      </c>
      <c r="J1864" s="0" t="str">
        <f aca="false">IF(I1864="","",IF(H1864-1&lt;הגדרות!$E$8*(הגדרות!$E$7+1),MOD(H1864-1,הגדרות!$E$7+1),MOD(H1864-1-הגדרות!$E$8*(הגדרות!$E$7+1),הגדרות!$E$7)))</f>
        <v/>
      </c>
      <c r="K1864" s="0" t="str">
        <f aca="false">IF(I1864="","",J1864*הגדרות!$E$6+I1864+1)</f>
        <v/>
      </c>
      <c r="L1864" s="0" t="str">
        <f aca="false">IF(K1864="","",MATCH(K1864,$F$2:$F$5001,0))</f>
        <v/>
      </c>
      <c r="M1864" s="0" t="str">
        <f aca="false">IF(I1864="","",INDEX(הגדרות!$A$2:$A$21,MOD(I1864+הגדרות!$E$9,הגדרות!$E$6)+1))</f>
        <v/>
      </c>
    </row>
    <row r="1865" customFormat="false" ht="15" hidden="false" customHeight="false" outlineLevel="0" collapsed="false">
      <c r="A1865" s="0" t="str">
        <f aca="false">IF('הדבקת לידים'!A1865="","",IF(ISNUMBER('הדבקת לידים'!A1865),IF(הגדרות!$E$2&gt;0,TEXT('הדבקת לידים'!A1865,REPT("0",הגדרות!$E$2)),TEXT('הדבקת לידים'!A1865,"0")),TRIM('הדבקת לידים'!A1865)))</f>
        <v/>
      </c>
      <c r="B1865" s="0" t="str">
        <f aca="false">IF('הדבקת לידים'!B1865="","",IF(ISNUMBER('הדבקת לידים'!B1865),IF(הגדרות!$E$3&gt;0,TEXT('הדבקת לידים'!B1865,REPT("0",הגדרות!$E$3)),TEXT('הדבקת לידים'!B1865,"0")),TRIM('הדבקת לידים'!B1865)))</f>
        <v/>
      </c>
      <c r="C1865" s="0" t="n">
        <f aca="false">IF(OR(A1865&lt;&gt;"",B1865&lt;&gt;""),1,0)</f>
        <v>0</v>
      </c>
      <c r="D1865" s="0" t="str">
        <f aca="false">IF(C1865=1,MOD(ABS(SIN(ROW()*12.9898+'הדבקת לידים'!$F$2*78.233+IFERROR(--RIGHT(A1865,6),LEN(A1865))*0.0137+IFERROR(--RIGHT(B1865,6),LEN(B1865))*0.0071))*43758.5453,1),"")</f>
        <v/>
      </c>
      <c r="E1865" s="0" t="str">
        <f aca="false">IF(C1865=1,INT(MOD(ABS(SIN(D1865*7919.123+ROW()*0.618+'הדבקת לידים'!$F$2*1.3))*43758.5453,1)*1000000)*10000+ROW(),"")</f>
        <v/>
      </c>
      <c r="F1865" s="0" t="str">
        <f aca="false">IF(E1865="","",RANK(E1865,$E$2:$E$5001,1))</f>
        <v/>
      </c>
      <c r="G1865" s="0" t="n">
        <f aca="false">IF(A1865="",0,IF(SUMPRODUCT(--($A$2:$A$5001=A1865))&gt;1,1,0))</f>
        <v>0</v>
      </c>
      <c r="H1865" s="0" t="n">
        <f aca="false">ROW()-1</f>
        <v>1864</v>
      </c>
      <c r="I1865" s="0" t="str">
        <f aca="false">IF(OR(הגדרות!$E$6=0,H1865&gt;הגדרות!$E$5),"",IF(H1865-1&lt;הגדרות!$E$8*(הגדרות!$E$7+1),INT((H1865-1)/(הגדרות!$E$7+1)),הגדרות!$E$8+INT((H1865-1-הגדרות!$E$8*(הגדרות!$E$7+1))/הגדרות!$E$7)))</f>
        <v/>
      </c>
      <c r="J1865" s="0" t="str">
        <f aca="false">IF(I1865="","",IF(H1865-1&lt;הגדרות!$E$8*(הגדרות!$E$7+1),MOD(H1865-1,הגדרות!$E$7+1),MOD(H1865-1-הגדרות!$E$8*(הגדרות!$E$7+1),הגדרות!$E$7)))</f>
        <v/>
      </c>
      <c r="K1865" s="0" t="str">
        <f aca="false">IF(I1865="","",J1865*הגדרות!$E$6+I1865+1)</f>
        <v/>
      </c>
      <c r="L1865" s="0" t="str">
        <f aca="false">IF(K1865="","",MATCH(K1865,$F$2:$F$5001,0))</f>
        <v/>
      </c>
      <c r="M1865" s="0" t="str">
        <f aca="false">IF(I1865="","",INDEX(הגדרות!$A$2:$A$21,MOD(I1865+הגדרות!$E$9,הגדרות!$E$6)+1))</f>
        <v/>
      </c>
    </row>
    <row r="1866" customFormat="false" ht="15" hidden="false" customHeight="false" outlineLevel="0" collapsed="false">
      <c r="A1866" s="0" t="str">
        <f aca="false">IF('הדבקת לידים'!A1866="","",IF(ISNUMBER('הדבקת לידים'!A1866),IF(הגדרות!$E$2&gt;0,TEXT('הדבקת לידים'!A1866,REPT("0",הגדרות!$E$2)),TEXT('הדבקת לידים'!A1866,"0")),TRIM('הדבקת לידים'!A1866)))</f>
        <v/>
      </c>
      <c r="B1866" s="0" t="str">
        <f aca="false">IF('הדבקת לידים'!B1866="","",IF(ISNUMBER('הדבקת לידים'!B1866),IF(הגדרות!$E$3&gt;0,TEXT('הדבקת לידים'!B1866,REPT("0",הגדרות!$E$3)),TEXT('הדבקת לידים'!B1866,"0")),TRIM('הדבקת לידים'!B1866)))</f>
        <v/>
      </c>
      <c r="C1866" s="0" t="n">
        <f aca="false">IF(OR(A1866&lt;&gt;"",B1866&lt;&gt;""),1,0)</f>
        <v>0</v>
      </c>
      <c r="D1866" s="0" t="str">
        <f aca="false">IF(C1866=1,MOD(ABS(SIN(ROW()*12.9898+'הדבקת לידים'!$F$2*78.233+IFERROR(--RIGHT(A1866,6),LEN(A1866))*0.0137+IFERROR(--RIGHT(B1866,6),LEN(B1866))*0.0071))*43758.5453,1),"")</f>
        <v/>
      </c>
      <c r="E1866" s="0" t="str">
        <f aca="false">IF(C1866=1,INT(MOD(ABS(SIN(D1866*7919.123+ROW()*0.618+'הדבקת לידים'!$F$2*1.3))*43758.5453,1)*1000000)*10000+ROW(),"")</f>
        <v/>
      </c>
      <c r="F1866" s="0" t="str">
        <f aca="false">IF(E1866="","",RANK(E1866,$E$2:$E$5001,1))</f>
        <v/>
      </c>
      <c r="G1866" s="0" t="n">
        <f aca="false">IF(A1866="",0,IF(SUMPRODUCT(--($A$2:$A$5001=A1866))&gt;1,1,0))</f>
        <v>0</v>
      </c>
      <c r="H1866" s="0" t="n">
        <f aca="false">ROW()-1</f>
        <v>1865</v>
      </c>
      <c r="I1866" s="0" t="str">
        <f aca="false">IF(OR(הגדרות!$E$6=0,H1866&gt;הגדרות!$E$5),"",IF(H1866-1&lt;הגדרות!$E$8*(הגדרות!$E$7+1),INT((H1866-1)/(הגדרות!$E$7+1)),הגדרות!$E$8+INT((H1866-1-הגדרות!$E$8*(הגדרות!$E$7+1))/הגדרות!$E$7)))</f>
        <v/>
      </c>
      <c r="J1866" s="0" t="str">
        <f aca="false">IF(I1866="","",IF(H1866-1&lt;הגדרות!$E$8*(הגדרות!$E$7+1),MOD(H1866-1,הגדרות!$E$7+1),MOD(H1866-1-הגדרות!$E$8*(הגדרות!$E$7+1),הגדרות!$E$7)))</f>
        <v/>
      </c>
      <c r="K1866" s="0" t="str">
        <f aca="false">IF(I1866="","",J1866*הגדרות!$E$6+I1866+1)</f>
        <v/>
      </c>
      <c r="L1866" s="0" t="str">
        <f aca="false">IF(K1866="","",MATCH(K1866,$F$2:$F$5001,0))</f>
        <v/>
      </c>
      <c r="M1866" s="0" t="str">
        <f aca="false">IF(I1866="","",INDEX(הגדרות!$A$2:$A$21,MOD(I1866+הגדרות!$E$9,הגדרות!$E$6)+1))</f>
        <v/>
      </c>
    </row>
    <row r="1867" customFormat="false" ht="15" hidden="false" customHeight="false" outlineLevel="0" collapsed="false">
      <c r="A1867" s="0" t="str">
        <f aca="false">IF('הדבקת לידים'!A1867="","",IF(ISNUMBER('הדבקת לידים'!A1867),IF(הגדרות!$E$2&gt;0,TEXT('הדבקת לידים'!A1867,REPT("0",הגדרות!$E$2)),TEXT('הדבקת לידים'!A1867,"0")),TRIM('הדבקת לידים'!A1867)))</f>
        <v/>
      </c>
      <c r="B1867" s="0" t="str">
        <f aca="false">IF('הדבקת לידים'!B1867="","",IF(ISNUMBER('הדבקת לידים'!B1867),IF(הגדרות!$E$3&gt;0,TEXT('הדבקת לידים'!B1867,REPT("0",הגדרות!$E$3)),TEXT('הדבקת לידים'!B1867,"0")),TRIM('הדבקת לידים'!B1867)))</f>
        <v/>
      </c>
      <c r="C1867" s="0" t="n">
        <f aca="false">IF(OR(A1867&lt;&gt;"",B1867&lt;&gt;""),1,0)</f>
        <v>0</v>
      </c>
      <c r="D1867" s="0" t="str">
        <f aca="false">IF(C1867=1,MOD(ABS(SIN(ROW()*12.9898+'הדבקת לידים'!$F$2*78.233+IFERROR(--RIGHT(A1867,6),LEN(A1867))*0.0137+IFERROR(--RIGHT(B1867,6),LEN(B1867))*0.0071))*43758.5453,1),"")</f>
        <v/>
      </c>
      <c r="E1867" s="0" t="str">
        <f aca="false">IF(C1867=1,INT(MOD(ABS(SIN(D1867*7919.123+ROW()*0.618+'הדבקת לידים'!$F$2*1.3))*43758.5453,1)*1000000)*10000+ROW(),"")</f>
        <v/>
      </c>
      <c r="F1867" s="0" t="str">
        <f aca="false">IF(E1867="","",RANK(E1867,$E$2:$E$5001,1))</f>
        <v/>
      </c>
      <c r="G1867" s="0" t="n">
        <f aca="false">IF(A1867="",0,IF(SUMPRODUCT(--($A$2:$A$5001=A1867))&gt;1,1,0))</f>
        <v>0</v>
      </c>
      <c r="H1867" s="0" t="n">
        <f aca="false">ROW()-1</f>
        <v>1866</v>
      </c>
      <c r="I1867" s="0" t="str">
        <f aca="false">IF(OR(הגדרות!$E$6=0,H1867&gt;הגדרות!$E$5),"",IF(H1867-1&lt;הגדרות!$E$8*(הגדרות!$E$7+1),INT((H1867-1)/(הגדרות!$E$7+1)),הגדרות!$E$8+INT((H1867-1-הגדרות!$E$8*(הגדרות!$E$7+1))/הגדרות!$E$7)))</f>
        <v/>
      </c>
      <c r="J1867" s="0" t="str">
        <f aca="false">IF(I1867="","",IF(H1867-1&lt;הגדרות!$E$8*(הגדרות!$E$7+1),MOD(H1867-1,הגדרות!$E$7+1),MOD(H1867-1-הגדרות!$E$8*(הגדרות!$E$7+1),הגדרות!$E$7)))</f>
        <v/>
      </c>
      <c r="K1867" s="0" t="str">
        <f aca="false">IF(I1867="","",J1867*הגדרות!$E$6+I1867+1)</f>
        <v/>
      </c>
      <c r="L1867" s="0" t="str">
        <f aca="false">IF(K1867="","",MATCH(K1867,$F$2:$F$5001,0))</f>
        <v/>
      </c>
      <c r="M1867" s="0" t="str">
        <f aca="false">IF(I1867="","",INDEX(הגדרות!$A$2:$A$21,MOD(I1867+הגדרות!$E$9,הגדרות!$E$6)+1))</f>
        <v/>
      </c>
    </row>
    <row r="1868" customFormat="false" ht="15" hidden="false" customHeight="false" outlineLevel="0" collapsed="false">
      <c r="A1868" s="0" t="str">
        <f aca="false">IF('הדבקת לידים'!A1868="","",IF(ISNUMBER('הדבקת לידים'!A1868),IF(הגדרות!$E$2&gt;0,TEXT('הדבקת לידים'!A1868,REPT("0",הגדרות!$E$2)),TEXT('הדבקת לידים'!A1868,"0")),TRIM('הדבקת לידים'!A1868)))</f>
        <v/>
      </c>
      <c r="B1868" s="0" t="str">
        <f aca="false">IF('הדבקת לידים'!B1868="","",IF(ISNUMBER('הדבקת לידים'!B1868),IF(הגדרות!$E$3&gt;0,TEXT('הדבקת לידים'!B1868,REPT("0",הגדרות!$E$3)),TEXT('הדבקת לידים'!B1868,"0")),TRIM('הדבקת לידים'!B1868)))</f>
        <v/>
      </c>
      <c r="C1868" s="0" t="n">
        <f aca="false">IF(OR(A1868&lt;&gt;"",B1868&lt;&gt;""),1,0)</f>
        <v>0</v>
      </c>
      <c r="D1868" s="0" t="str">
        <f aca="false">IF(C1868=1,MOD(ABS(SIN(ROW()*12.9898+'הדבקת לידים'!$F$2*78.233+IFERROR(--RIGHT(A1868,6),LEN(A1868))*0.0137+IFERROR(--RIGHT(B1868,6),LEN(B1868))*0.0071))*43758.5453,1),"")</f>
        <v/>
      </c>
      <c r="E1868" s="0" t="str">
        <f aca="false">IF(C1868=1,INT(MOD(ABS(SIN(D1868*7919.123+ROW()*0.618+'הדבקת לידים'!$F$2*1.3))*43758.5453,1)*1000000)*10000+ROW(),"")</f>
        <v/>
      </c>
      <c r="F1868" s="0" t="str">
        <f aca="false">IF(E1868="","",RANK(E1868,$E$2:$E$5001,1))</f>
        <v/>
      </c>
      <c r="G1868" s="0" t="n">
        <f aca="false">IF(A1868="",0,IF(SUMPRODUCT(--($A$2:$A$5001=A1868))&gt;1,1,0))</f>
        <v>0</v>
      </c>
      <c r="H1868" s="0" t="n">
        <f aca="false">ROW()-1</f>
        <v>1867</v>
      </c>
      <c r="I1868" s="0" t="str">
        <f aca="false">IF(OR(הגדרות!$E$6=0,H1868&gt;הגדרות!$E$5),"",IF(H1868-1&lt;הגדרות!$E$8*(הגדרות!$E$7+1),INT((H1868-1)/(הגדרות!$E$7+1)),הגדרות!$E$8+INT((H1868-1-הגדרות!$E$8*(הגדרות!$E$7+1))/הגדרות!$E$7)))</f>
        <v/>
      </c>
      <c r="J1868" s="0" t="str">
        <f aca="false">IF(I1868="","",IF(H1868-1&lt;הגדרות!$E$8*(הגדרות!$E$7+1),MOD(H1868-1,הגדרות!$E$7+1),MOD(H1868-1-הגדרות!$E$8*(הגדרות!$E$7+1),הגדרות!$E$7)))</f>
        <v/>
      </c>
      <c r="K1868" s="0" t="str">
        <f aca="false">IF(I1868="","",J1868*הגדרות!$E$6+I1868+1)</f>
        <v/>
      </c>
      <c r="L1868" s="0" t="str">
        <f aca="false">IF(K1868="","",MATCH(K1868,$F$2:$F$5001,0))</f>
        <v/>
      </c>
      <c r="M1868" s="0" t="str">
        <f aca="false">IF(I1868="","",INDEX(הגדרות!$A$2:$A$21,MOD(I1868+הגדרות!$E$9,הגדרות!$E$6)+1))</f>
        <v/>
      </c>
    </row>
    <row r="1869" customFormat="false" ht="15" hidden="false" customHeight="false" outlineLevel="0" collapsed="false">
      <c r="A1869" s="0" t="str">
        <f aca="false">IF('הדבקת לידים'!A1869="","",IF(ISNUMBER('הדבקת לידים'!A1869),IF(הגדרות!$E$2&gt;0,TEXT('הדבקת לידים'!A1869,REPT("0",הגדרות!$E$2)),TEXT('הדבקת לידים'!A1869,"0")),TRIM('הדבקת לידים'!A1869)))</f>
        <v/>
      </c>
      <c r="B1869" s="0" t="str">
        <f aca="false">IF('הדבקת לידים'!B1869="","",IF(ISNUMBER('הדבקת לידים'!B1869),IF(הגדרות!$E$3&gt;0,TEXT('הדבקת לידים'!B1869,REPT("0",הגדרות!$E$3)),TEXT('הדבקת לידים'!B1869,"0")),TRIM('הדבקת לידים'!B1869)))</f>
        <v/>
      </c>
      <c r="C1869" s="0" t="n">
        <f aca="false">IF(OR(A1869&lt;&gt;"",B1869&lt;&gt;""),1,0)</f>
        <v>0</v>
      </c>
      <c r="D1869" s="0" t="str">
        <f aca="false">IF(C1869=1,MOD(ABS(SIN(ROW()*12.9898+'הדבקת לידים'!$F$2*78.233+IFERROR(--RIGHT(A1869,6),LEN(A1869))*0.0137+IFERROR(--RIGHT(B1869,6),LEN(B1869))*0.0071))*43758.5453,1),"")</f>
        <v/>
      </c>
      <c r="E1869" s="0" t="str">
        <f aca="false">IF(C1869=1,INT(MOD(ABS(SIN(D1869*7919.123+ROW()*0.618+'הדבקת לידים'!$F$2*1.3))*43758.5453,1)*1000000)*10000+ROW(),"")</f>
        <v/>
      </c>
      <c r="F1869" s="0" t="str">
        <f aca="false">IF(E1869="","",RANK(E1869,$E$2:$E$5001,1))</f>
        <v/>
      </c>
      <c r="G1869" s="0" t="n">
        <f aca="false">IF(A1869="",0,IF(SUMPRODUCT(--($A$2:$A$5001=A1869))&gt;1,1,0))</f>
        <v>0</v>
      </c>
      <c r="H1869" s="0" t="n">
        <f aca="false">ROW()-1</f>
        <v>1868</v>
      </c>
      <c r="I1869" s="0" t="str">
        <f aca="false">IF(OR(הגדרות!$E$6=0,H1869&gt;הגדרות!$E$5),"",IF(H1869-1&lt;הגדרות!$E$8*(הגדרות!$E$7+1),INT((H1869-1)/(הגדרות!$E$7+1)),הגדרות!$E$8+INT((H1869-1-הגדרות!$E$8*(הגדרות!$E$7+1))/הגדרות!$E$7)))</f>
        <v/>
      </c>
      <c r="J1869" s="0" t="str">
        <f aca="false">IF(I1869="","",IF(H1869-1&lt;הגדרות!$E$8*(הגדרות!$E$7+1),MOD(H1869-1,הגדרות!$E$7+1),MOD(H1869-1-הגדרות!$E$8*(הגדרות!$E$7+1),הגדרות!$E$7)))</f>
        <v/>
      </c>
      <c r="K1869" s="0" t="str">
        <f aca="false">IF(I1869="","",J1869*הגדרות!$E$6+I1869+1)</f>
        <v/>
      </c>
      <c r="L1869" s="0" t="str">
        <f aca="false">IF(K1869="","",MATCH(K1869,$F$2:$F$5001,0))</f>
        <v/>
      </c>
      <c r="M1869" s="0" t="str">
        <f aca="false">IF(I1869="","",INDEX(הגדרות!$A$2:$A$21,MOD(I1869+הגדרות!$E$9,הגדרות!$E$6)+1))</f>
        <v/>
      </c>
    </row>
    <row r="1870" customFormat="false" ht="15" hidden="false" customHeight="false" outlineLevel="0" collapsed="false">
      <c r="A1870" s="0" t="str">
        <f aca="false">IF('הדבקת לידים'!A1870="","",IF(ISNUMBER('הדבקת לידים'!A1870),IF(הגדרות!$E$2&gt;0,TEXT('הדבקת לידים'!A1870,REPT("0",הגדרות!$E$2)),TEXT('הדבקת לידים'!A1870,"0")),TRIM('הדבקת לידים'!A1870)))</f>
        <v/>
      </c>
      <c r="B1870" s="0" t="str">
        <f aca="false">IF('הדבקת לידים'!B1870="","",IF(ISNUMBER('הדבקת לידים'!B1870),IF(הגדרות!$E$3&gt;0,TEXT('הדבקת לידים'!B1870,REPT("0",הגדרות!$E$3)),TEXT('הדבקת לידים'!B1870,"0")),TRIM('הדבקת לידים'!B1870)))</f>
        <v/>
      </c>
      <c r="C1870" s="0" t="n">
        <f aca="false">IF(OR(A1870&lt;&gt;"",B1870&lt;&gt;""),1,0)</f>
        <v>0</v>
      </c>
      <c r="D1870" s="0" t="str">
        <f aca="false">IF(C1870=1,MOD(ABS(SIN(ROW()*12.9898+'הדבקת לידים'!$F$2*78.233+IFERROR(--RIGHT(A1870,6),LEN(A1870))*0.0137+IFERROR(--RIGHT(B1870,6),LEN(B1870))*0.0071))*43758.5453,1),"")</f>
        <v/>
      </c>
      <c r="E1870" s="0" t="str">
        <f aca="false">IF(C1870=1,INT(MOD(ABS(SIN(D1870*7919.123+ROW()*0.618+'הדבקת לידים'!$F$2*1.3))*43758.5453,1)*1000000)*10000+ROW(),"")</f>
        <v/>
      </c>
      <c r="F1870" s="0" t="str">
        <f aca="false">IF(E1870="","",RANK(E1870,$E$2:$E$5001,1))</f>
        <v/>
      </c>
      <c r="G1870" s="0" t="n">
        <f aca="false">IF(A1870="",0,IF(SUMPRODUCT(--($A$2:$A$5001=A1870))&gt;1,1,0))</f>
        <v>0</v>
      </c>
      <c r="H1870" s="0" t="n">
        <f aca="false">ROW()-1</f>
        <v>1869</v>
      </c>
      <c r="I1870" s="0" t="str">
        <f aca="false">IF(OR(הגדרות!$E$6=0,H1870&gt;הגדרות!$E$5),"",IF(H1870-1&lt;הגדרות!$E$8*(הגדרות!$E$7+1),INT((H1870-1)/(הגדרות!$E$7+1)),הגדרות!$E$8+INT((H1870-1-הגדרות!$E$8*(הגדרות!$E$7+1))/הגדרות!$E$7)))</f>
        <v/>
      </c>
      <c r="J1870" s="0" t="str">
        <f aca="false">IF(I1870="","",IF(H1870-1&lt;הגדרות!$E$8*(הגדרות!$E$7+1),MOD(H1870-1,הגדרות!$E$7+1),MOD(H1870-1-הגדרות!$E$8*(הגדרות!$E$7+1),הגדרות!$E$7)))</f>
        <v/>
      </c>
      <c r="K1870" s="0" t="str">
        <f aca="false">IF(I1870="","",J1870*הגדרות!$E$6+I1870+1)</f>
        <v/>
      </c>
      <c r="L1870" s="0" t="str">
        <f aca="false">IF(K1870="","",MATCH(K1870,$F$2:$F$5001,0))</f>
        <v/>
      </c>
      <c r="M1870" s="0" t="str">
        <f aca="false">IF(I1870="","",INDEX(הגדרות!$A$2:$A$21,MOD(I1870+הגדרות!$E$9,הגדרות!$E$6)+1))</f>
        <v/>
      </c>
    </row>
    <row r="1871" customFormat="false" ht="15" hidden="false" customHeight="false" outlineLevel="0" collapsed="false">
      <c r="A1871" s="0" t="str">
        <f aca="false">IF('הדבקת לידים'!A1871="","",IF(ISNUMBER('הדבקת לידים'!A1871),IF(הגדרות!$E$2&gt;0,TEXT('הדבקת לידים'!A1871,REPT("0",הגדרות!$E$2)),TEXT('הדבקת לידים'!A1871,"0")),TRIM('הדבקת לידים'!A1871)))</f>
        <v/>
      </c>
      <c r="B1871" s="0" t="str">
        <f aca="false">IF('הדבקת לידים'!B1871="","",IF(ISNUMBER('הדבקת לידים'!B1871),IF(הגדרות!$E$3&gt;0,TEXT('הדבקת לידים'!B1871,REPT("0",הגדרות!$E$3)),TEXT('הדבקת לידים'!B1871,"0")),TRIM('הדבקת לידים'!B1871)))</f>
        <v/>
      </c>
      <c r="C1871" s="0" t="n">
        <f aca="false">IF(OR(A1871&lt;&gt;"",B1871&lt;&gt;""),1,0)</f>
        <v>0</v>
      </c>
      <c r="D1871" s="0" t="str">
        <f aca="false">IF(C1871=1,MOD(ABS(SIN(ROW()*12.9898+'הדבקת לידים'!$F$2*78.233+IFERROR(--RIGHT(A1871,6),LEN(A1871))*0.0137+IFERROR(--RIGHT(B1871,6),LEN(B1871))*0.0071))*43758.5453,1),"")</f>
        <v/>
      </c>
      <c r="E1871" s="0" t="str">
        <f aca="false">IF(C1871=1,INT(MOD(ABS(SIN(D1871*7919.123+ROW()*0.618+'הדבקת לידים'!$F$2*1.3))*43758.5453,1)*1000000)*10000+ROW(),"")</f>
        <v/>
      </c>
      <c r="F1871" s="0" t="str">
        <f aca="false">IF(E1871="","",RANK(E1871,$E$2:$E$5001,1))</f>
        <v/>
      </c>
      <c r="G1871" s="0" t="n">
        <f aca="false">IF(A1871="",0,IF(SUMPRODUCT(--($A$2:$A$5001=A1871))&gt;1,1,0))</f>
        <v>0</v>
      </c>
      <c r="H1871" s="0" t="n">
        <f aca="false">ROW()-1</f>
        <v>1870</v>
      </c>
      <c r="I1871" s="0" t="str">
        <f aca="false">IF(OR(הגדרות!$E$6=0,H1871&gt;הגדרות!$E$5),"",IF(H1871-1&lt;הגדרות!$E$8*(הגדרות!$E$7+1),INT((H1871-1)/(הגדרות!$E$7+1)),הגדרות!$E$8+INT((H1871-1-הגדרות!$E$8*(הגדרות!$E$7+1))/הגדרות!$E$7)))</f>
        <v/>
      </c>
      <c r="J1871" s="0" t="str">
        <f aca="false">IF(I1871="","",IF(H1871-1&lt;הגדרות!$E$8*(הגדרות!$E$7+1),MOD(H1871-1,הגדרות!$E$7+1),MOD(H1871-1-הגדרות!$E$8*(הגדרות!$E$7+1),הגדרות!$E$7)))</f>
        <v/>
      </c>
      <c r="K1871" s="0" t="str">
        <f aca="false">IF(I1871="","",J1871*הגדרות!$E$6+I1871+1)</f>
        <v/>
      </c>
      <c r="L1871" s="0" t="str">
        <f aca="false">IF(K1871="","",MATCH(K1871,$F$2:$F$5001,0))</f>
        <v/>
      </c>
      <c r="M1871" s="0" t="str">
        <f aca="false">IF(I1871="","",INDEX(הגדרות!$A$2:$A$21,MOD(I1871+הגדרות!$E$9,הגדרות!$E$6)+1))</f>
        <v/>
      </c>
    </row>
    <row r="1872" customFormat="false" ht="15" hidden="false" customHeight="false" outlineLevel="0" collapsed="false">
      <c r="A1872" s="0" t="str">
        <f aca="false">IF('הדבקת לידים'!A1872="","",IF(ISNUMBER('הדבקת לידים'!A1872),IF(הגדרות!$E$2&gt;0,TEXT('הדבקת לידים'!A1872,REPT("0",הגדרות!$E$2)),TEXT('הדבקת לידים'!A1872,"0")),TRIM('הדבקת לידים'!A1872)))</f>
        <v/>
      </c>
      <c r="B1872" s="0" t="str">
        <f aca="false">IF('הדבקת לידים'!B1872="","",IF(ISNUMBER('הדבקת לידים'!B1872),IF(הגדרות!$E$3&gt;0,TEXT('הדבקת לידים'!B1872,REPT("0",הגדרות!$E$3)),TEXT('הדבקת לידים'!B1872,"0")),TRIM('הדבקת לידים'!B1872)))</f>
        <v/>
      </c>
      <c r="C1872" s="0" t="n">
        <f aca="false">IF(OR(A1872&lt;&gt;"",B1872&lt;&gt;""),1,0)</f>
        <v>0</v>
      </c>
      <c r="D1872" s="0" t="str">
        <f aca="false">IF(C1872=1,MOD(ABS(SIN(ROW()*12.9898+'הדבקת לידים'!$F$2*78.233+IFERROR(--RIGHT(A1872,6),LEN(A1872))*0.0137+IFERROR(--RIGHT(B1872,6),LEN(B1872))*0.0071))*43758.5453,1),"")</f>
        <v/>
      </c>
      <c r="E1872" s="0" t="str">
        <f aca="false">IF(C1872=1,INT(MOD(ABS(SIN(D1872*7919.123+ROW()*0.618+'הדבקת לידים'!$F$2*1.3))*43758.5453,1)*1000000)*10000+ROW(),"")</f>
        <v/>
      </c>
      <c r="F1872" s="0" t="str">
        <f aca="false">IF(E1872="","",RANK(E1872,$E$2:$E$5001,1))</f>
        <v/>
      </c>
      <c r="G1872" s="0" t="n">
        <f aca="false">IF(A1872="",0,IF(SUMPRODUCT(--($A$2:$A$5001=A1872))&gt;1,1,0))</f>
        <v>0</v>
      </c>
      <c r="H1872" s="0" t="n">
        <f aca="false">ROW()-1</f>
        <v>1871</v>
      </c>
      <c r="I1872" s="0" t="str">
        <f aca="false">IF(OR(הגדרות!$E$6=0,H1872&gt;הגדרות!$E$5),"",IF(H1872-1&lt;הגדרות!$E$8*(הגדרות!$E$7+1),INT((H1872-1)/(הגדרות!$E$7+1)),הגדרות!$E$8+INT((H1872-1-הגדרות!$E$8*(הגדרות!$E$7+1))/הגדרות!$E$7)))</f>
        <v/>
      </c>
      <c r="J1872" s="0" t="str">
        <f aca="false">IF(I1872="","",IF(H1872-1&lt;הגדרות!$E$8*(הגדרות!$E$7+1),MOD(H1872-1,הגדרות!$E$7+1),MOD(H1872-1-הגדרות!$E$8*(הגדרות!$E$7+1),הגדרות!$E$7)))</f>
        <v/>
      </c>
      <c r="K1872" s="0" t="str">
        <f aca="false">IF(I1872="","",J1872*הגדרות!$E$6+I1872+1)</f>
        <v/>
      </c>
      <c r="L1872" s="0" t="str">
        <f aca="false">IF(K1872="","",MATCH(K1872,$F$2:$F$5001,0))</f>
        <v/>
      </c>
      <c r="M1872" s="0" t="str">
        <f aca="false">IF(I1872="","",INDEX(הגדרות!$A$2:$A$21,MOD(I1872+הגדרות!$E$9,הגדרות!$E$6)+1))</f>
        <v/>
      </c>
    </row>
    <row r="1873" customFormat="false" ht="15" hidden="false" customHeight="false" outlineLevel="0" collapsed="false">
      <c r="A1873" s="0" t="str">
        <f aca="false">IF('הדבקת לידים'!A1873="","",IF(ISNUMBER('הדבקת לידים'!A1873),IF(הגדרות!$E$2&gt;0,TEXT('הדבקת לידים'!A1873,REPT("0",הגדרות!$E$2)),TEXT('הדבקת לידים'!A1873,"0")),TRIM('הדבקת לידים'!A1873)))</f>
        <v/>
      </c>
      <c r="B1873" s="0" t="str">
        <f aca="false">IF('הדבקת לידים'!B1873="","",IF(ISNUMBER('הדבקת לידים'!B1873),IF(הגדרות!$E$3&gt;0,TEXT('הדבקת לידים'!B1873,REPT("0",הגדרות!$E$3)),TEXT('הדבקת לידים'!B1873,"0")),TRIM('הדבקת לידים'!B1873)))</f>
        <v/>
      </c>
      <c r="C1873" s="0" t="n">
        <f aca="false">IF(OR(A1873&lt;&gt;"",B1873&lt;&gt;""),1,0)</f>
        <v>0</v>
      </c>
      <c r="D1873" s="0" t="str">
        <f aca="false">IF(C1873=1,MOD(ABS(SIN(ROW()*12.9898+'הדבקת לידים'!$F$2*78.233+IFERROR(--RIGHT(A1873,6),LEN(A1873))*0.0137+IFERROR(--RIGHT(B1873,6),LEN(B1873))*0.0071))*43758.5453,1),"")</f>
        <v/>
      </c>
      <c r="E1873" s="0" t="str">
        <f aca="false">IF(C1873=1,INT(MOD(ABS(SIN(D1873*7919.123+ROW()*0.618+'הדבקת לידים'!$F$2*1.3))*43758.5453,1)*1000000)*10000+ROW(),"")</f>
        <v/>
      </c>
      <c r="F1873" s="0" t="str">
        <f aca="false">IF(E1873="","",RANK(E1873,$E$2:$E$5001,1))</f>
        <v/>
      </c>
      <c r="G1873" s="0" t="n">
        <f aca="false">IF(A1873="",0,IF(SUMPRODUCT(--($A$2:$A$5001=A1873))&gt;1,1,0))</f>
        <v>0</v>
      </c>
      <c r="H1873" s="0" t="n">
        <f aca="false">ROW()-1</f>
        <v>1872</v>
      </c>
      <c r="I1873" s="0" t="str">
        <f aca="false">IF(OR(הגדרות!$E$6=0,H1873&gt;הגדרות!$E$5),"",IF(H1873-1&lt;הגדרות!$E$8*(הגדרות!$E$7+1),INT((H1873-1)/(הגדרות!$E$7+1)),הגדרות!$E$8+INT((H1873-1-הגדרות!$E$8*(הגדרות!$E$7+1))/הגדרות!$E$7)))</f>
        <v/>
      </c>
      <c r="J1873" s="0" t="str">
        <f aca="false">IF(I1873="","",IF(H1873-1&lt;הגדרות!$E$8*(הגדרות!$E$7+1),MOD(H1873-1,הגדרות!$E$7+1),MOD(H1873-1-הגדרות!$E$8*(הגדרות!$E$7+1),הגדרות!$E$7)))</f>
        <v/>
      </c>
      <c r="K1873" s="0" t="str">
        <f aca="false">IF(I1873="","",J1873*הגדרות!$E$6+I1873+1)</f>
        <v/>
      </c>
      <c r="L1873" s="0" t="str">
        <f aca="false">IF(K1873="","",MATCH(K1873,$F$2:$F$5001,0))</f>
        <v/>
      </c>
      <c r="M1873" s="0" t="str">
        <f aca="false">IF(I1873="","",INDEX(הגדרות!$A$2:$A$21,MOD(I1873+הגדרות!$E$9,הגדרות!$E$6)+1))</f>
        <v/>
      </c>
    </row>
    <row r="1874" customFormat="false" ht="15" hidden="false" customHeight="false" outlineLevel="0" collapsed="false">
      <c r="A1874" s="0" t="str">
        <f aca="false">IF('הדבקת לידים'!A1874="","",IF(ISNUMBER('הדבקת לידים'!A1874),IF(הגדרות!$E$2&gt;0,TEXT('הדבקת לידים'!A1874,REPT("0",הגדרות!$E$2)),TEXT('הדבקת לידים'!A1874,"0")),TRIM('הדבקת לידים'!A1874)))</f>
        <v/>
      </c>
      <c r="B1874" s="0" t="str">
        <f aca="false">IF('הדבקת לידים'!B1874="","",IF(ISNUMBER('הדבקת לידים'!B1874),IF(הגדרות!$E$3&gt;0,TEXT('הדבקת לידים'!B1874,REPT("0",הגדרות!$E$3)),TEXT('הדבקת לידים'!B1874,"0")),TRIM('הדבקת לידים'!B1874)))</f>
        <v/>
      </c>
      <c r="C1874" s="0" t="n">
        <f aca="false">IF(OR(A1874&lt;&gt;"",B1874&lt;&gt;""),1,0)</f>
        <v>0</v>
      </c>
      <c r="D1874" s="0" t="str">
        <f aca="false">IF(C1874=1,MOD(ABS(SIN(ROW()*12.9898+'הדבקת לידים'!$F$2*78.233+IFERROR(--RIGHT(A1874,6),LEN(A1874))*0.0137+IFERROR(--RIGHT(B1874,6),LEN(B1874))*0.0071))*43758.5453,1),"")</f>
        <v/>
      </c>
      <c r="E1874" s="0" t="str">
        <f aca="false">IF(C1874=1,INT(MOD(ABS(SIN(D1874*7919.123+ROW()*0.618+'הדבקת לידים'!$F$2*1.3))*43758.5453,1)*1000000)*10000+ROW(),"")</f>
        <v/>
      </c>
      <c r="F1874" s="0" t="str">
        <f aca="false">IF(E1874="","",RANK(E1874,$E$2:$E$5001,1))</f>
        <v/>
      </c>
      <c r="G1874" s="0" t="n">
        <f aca="false">IF(A1874="",0,IF(SUMPRODUCT(--($A$2:$A$5001=A1874))&gt;1,1,0))</f>
        <v>0</v>
      </c>
      <c r="H1874" s="0" t="n">
        <f aca="false">ROW()-1</f>
        <v>1873</v>
      </c>
      <c r="I1874" s="0" t="str">
        <f aca="false">IF(OR(הגדרות!$E$6=0,H1874&gt;הגדרות!$E$5),"",IF(H1874-1&lt;הגדרות!$E$8*(הגדרות!$E$7+1),INT((H1874-1)/(הגדרות!$E$7+1)),הגדרות!$E$8+INT((H1874-1-הגדרות!$E$8*(הגדרות!$E$7+1))/הגדרות!$E$7)))</f>
        <v/>
      </c>
      <c r="J1874" s="0" t="str">
        <f aca="false">IF(I1874="","",IF(H1874-1&lt;הגדרות!$E$8*(הגדרות!$E$7+1),MOD(H1874-1,הגדרות!$E$7+1),MOD(H1874-1-הגדרות!$E$8*(הגדרות!$E$7+1),הגדרות!$E$7)))</f>
        <v/>
      </c>
      <c r="K1874" s="0" t="str">
        <f aca="false">IF(I1874="","",J1874*הגדרות!$E$6+I1874+1)</f>
        <v/>
      </c>
      <c r="L1874" s="0" t="str">
        <f aca="false">IF(K1874="","",MATCH(K1874,$F$2:$F$5001,0))</f>
        <v/>
      </c>
      <c r="M1874" s="0" t="str">
        <f aca="false">IF(I1874="","",INDEX(הגדרות!$A$2:$A$21,MOD(I1874+הגדרות!$E$9,הגדרות!$E$6)+1))</f>
        <v/>
      </c>
    </row>
    <row r="1875" customFormat="false" ht="15" hidden="false" customHeight="false" outlineLevel="0" collapsed="false">
      <c r="A1875" s="0" t="str">
        <f aca="false">IF('הדבקת לידים'!A1875="","",IF(ISNUMBER('הדבקת לידים'!A1875),IF(הגדרות!$E$2&gt;0,TEXT('הדבקת לידים'!A1875,REPT("0",הגדרות!$E$2)),TEXT('הדבקת לידים'!A1875,"0")),TRIM('הדבקת לידים'!A1875)))</f>
        <v/>
      </c>
      <c r="B1875" s="0" t="str">
        <f aca="false">IF('הדבקת לידים'!B1875="","",IF(ISNUMBER('הדבקת לידים'!B1875),IF(הגדרות!$E$3&gt;0,TEXT('הדבקת לידים'!B1875,REPT("0",הגדרות!$E$3)),TEXT('הדבקת לידים'!B1875,"0")),TRIM('הדבקת לידים'!B1875)))</f>
        <v/>
      </c>
      <c r="C1875" s="0" t="n">
        <f aca="false">IF(OR(A1875&lt;&gt;"",B1875&lt;&gt;""),1,0)</f>
        <v>0</v>
      </c>
      <c r="D1875" s="0" t="str">
        <f aca="false">IF(C1875=1,MOD(ABS(SIN(ROW()*12.9898+'הדבקת לידים'!$F$2*78.233+IFERROR(--RIGHT(A1875,6),LEN(A1875))*0.0137+IFERROR(--RIGHT(B1875,6),LEN(B1875))*0.0071))*43758.5453,1),"")</f>
        <v/>
      </c>
      <c r="E1875" s="0" t="str">
        <f aca="false">IF(C1875=1,INT(MOD(ABS(SIN(D1875*7919.123+ROW()*0.618+'הדבקת לידים'!$F$2*1.3))*43758.5453,1)*1000000)*10000+ROW(),"")</f>
        <v/>
      </c>
      <c r="F1875" s="0" t="str">
        <f aca="false">IF(E1875="","",RANK(E1875,$E$2:$E$5001,1))</f>
        <v/>
      </c>
      <c r="G1875" s="0" t="n">
        <f aca="false">IF(A1875="",0,IF(SUMPRODUCT(--($A$2:$A$5001=A1875))&gt;1,1,0))</f>
        <v>0</v>
      </c>
      <c r="H1875" s="0" t="n">
        <f aca="false">ROW()-1</f>
        <v>1874</v>
      </c>
      <c r="I1875" s="0" t="str">
        <f aca="false">IF(OR(הגדרות!$E$6=0,H1875&gt;הגדרות!$E$5),"",IF(H1875-1&lt;הגדרות!$E$8*(הגדרות!$E$7+1),INT((H1875-1)/(הגדרות!$E$7+1)),הגדרות!$E$8+INT((H1875-1-הגדרות!$E$8*(הגדרות!$E$7+1))/הגדרות!$E$7)))</f>
        <v/>
      </c>
      <c r="J1875" s="0" t="str">
        <f aca="false">IF(I1875="","",IF(H1875-1&lt;הגדרות!$E$8*(הגדרות!$E$7+1),MOD(H1875-1,הגדרות!$E$7+1),MOD(H1875-1-הגדרות!$E$8*(הגדרות!$E$7+1),הגדרות!$E$7)))</f>
        <v/>
      </c>
      <c r="K1875" s="0" t="str">
        <f aca="false">IF(I1875="","",J1875*הגדרות!$E$6+I1875+1)</f>
        <v/>
      </c>
      <c r="L1875" s="0" t="str">
        <f aca="false">IF(K1875="","",MATCH(K1875,$F$2:$F$5001,0))</f>
        <v/>
      </c>
      <c r="M1875" s="0" t="str">
        <f aca="false">IF(I1875="","",INDEX(הגדרות!$A$2:$A$21,MOD(I1875+הגדרות!$E$9,הגדרות!$E$6)+1))</f>
        <v/>
      </c>
    </row>
    <row r="1876" customFormat="false" ht="15" hidden="false" customHeight="false" outlineLevel="0" collapsed="false">
      <c r="A1876" s="0" t="str">
        <f aca="false">IF('הדבקת לידים'!A1876="","",IF(ISNUMBER('הדבקת לידים'!A1876),IF(הגדרות!$E$2&gt;0,TEXT('הדבקת לידים'!A1876,REPT("0",הגדרות!$E$2)),TEXT('הדבקת לידים'!A1876,"0")),TRIM('הדבקת לידים'!A1876)))</f>
        <v/>
      </c>
      <c r="B1876" s="0" t="str">
        <f aca="false">IF('הדבקת לידים'!B1876="","",IF(ISNUMBER('הדבקת לידים'!B1876),IF(הגדרות!$E$3&gt;0,TEXT('הדבקת לידים'!B1876,REPT("0",הגדרות!$E$3)),TEXT('הדבקת לידים'!B1876,"0")),TRIM('הדבקת לידים'!B1876)))</f>
        <v/>
      </c>
      <c r="C1876" s="0" t="n">
        <f aca="false">IF(OR(A1876&lt;&gt;"",B1876&lt;&gt;""),1,0)</f>
        <v>0</v>
      </c>
      <c r="D1876" s="0" t="str">
        <f aca="false">IF(C1876=1,MOD(ABS(SIN(ROW()*12.9898+'הדבקת לידים'!$F$2*78.233+IFERROR(--RIGHT(A1876,6),LEN(A1876))*0.0137+IFERROR(--RIGHT(B1876,6),LEN(B1876))*0.0071))*43758.5453,1),"")</f>
        <v/>
      </c>
      <c r="E1876" s="0" t="str">
        <f aca="false">IF(C1876=1,INT(MOD(ABS(SIN(D1876*7919.123+ROW()*0.618+'הדבקת לידים'!$F$2*1.3))*43758.5453,1)*1000000)*10000+ROW(),"")</f>
        <v/>
      </c>
      <c r="F1876" s="0" t="str">
        <f aca="false">IF(E1876="","",RANK(E1876,$E$2:$E$5001,1))</f>
        <v/>
      </c>
      <c r="G1876" s="0" t="n">
        <f aca="false">IF(A1876="",0,IF(SUMPRODUCT(--($A$2:$A$5001=A1876))&gt;1,1,0))</f>
        <v>0</v>
      </c>
      <c r="H1876" s="0" t="n">
        <f aca="false">ROW()-1</f>
        <v>1875</v>
      </c>
      <c r="I1876" s="0" t="str">
        <f aca="false">IF(OR(הגדרות!$E$6=0,H1876&gt;הגדרות!$E$5),"",IF(H1876-1&lt;הגדרות!$E$8*(הגדרות!$E$7+1),INT((H1876-1)/(הגדרות!$E$7+1)),הגדרות!$E$8+INT((H1876-1-הגדרות!$E$8*(הגדרות!$E$7+1))/הגדרות!$E$7)))</f>
        <v/>
      </c>
      <c r="J1876" s="0" t="str">
        <f aca="false">IF(I1876="","",IF(H1876-1&lt;הגדרות!$E$8*(הגדרות!$E$7+1),MOD(H1876-1,הגדרות!$E$7+1),MOD(H1876-1-הגדרות!$E$8*(הגדרות!$E$7+1),הגדרות!$E$7)))</f>
        <v/>
      </c>
      <c r="K1876" s="0" t="str">
        <f aca="false">IF(I1876="","",J1876*הגדרות!$E$6+I1876+1)</f>
        <v/>
      </c>
      <c r="L1876" s="0" t="str">
        <f aca="false">IF(K1876="","",MATCH(K1876,$F$2:$F$5001,0))</f>
        <v/>
      </c>
      <c r="M1876" s="0" t="str">
        <f aca="false">IF(I1876="","",INDEX(הגדרות!$A$2:$A$21,MOD(I1876+הגדרות!$E$9,הגדרות!$E$6)+1))</f>
        <v/>
      </c>
    </row>
    <row r="1877" customFormat="false" ht="15" hidden="false" customHeight="false" outlineLevel="0" collapsed="false">
      <c r="A1877" s="0" t="str">
        <f aca="false">IF('הדבקת לידים'!A1877="","",IF(ISNUMBER('הדבקת לידים'!A1877),IF(הגדרות!$E$2&gt;0,TEXT('הדבקת לידים'!A1877,REPT("0",הגדרות!$E$2)),TEXT('הדבקת לידים'!A1877,"0")),TRIM('הדבקת לידים'!A1877)))</f>
        <v/>
      </c>
      <c r="B1877" s="0" t="str">
        <f aca="false">IF('הדבקת לידים'!B1877="","",IF(ISNUMBER('הדבקת לידים'!B1877),IF(הגדרות!$E$3&gt;0,TEXT('הדבקת לידים'!B1877,REPT("0",הגדרות!$E$3)),TEXT('הדבקת לידים'!B1877,"0")),TRIM('הדבקת לידים'!B1877)))</f>
        <v/>
      </c>
      <c r="C1877" s="0" t="n">
        <f aca="false">IF(OR(A1877&lt;&gt;"",B1877&lt;&gt;""),1,0)</f>
        <v>0</v>
      </c>
      <c r="D1877" s="0" t="str">
        <f aca="false">IF(C1877=1,MOD(ABS(SIN(ROW()*12.9898+'הדבקת לידים'!$F$2*78.233+IFERROR(--RIGHT(A1877,6),LEN(A1877))*0.0137+IFERROR(--RIGHT(B1877,6),LEN(B1877))*0.0071))*43758.5453,1),"")</f>
        <v/>
      </c>
      <c r="E1877" s="0" t="str">
        <f aca="false">IF(C1877=1,INT(MOD(ABS(SIN(D1877*7919.123+ROW()*0.618+'הדבקת לידים'!$F$2*1.3))*43758.5453,1)*1000000)*10000+ROW(),"")</f>
        <v/>
      </c>
      <c r="F1877" s="0" t="str">
        <f aca="false">IF(E1877="","",RANK(E1877,$E$2:$E$5001,1))</f>
        <v/>
      </c>
      <c r="G1877" s="0" t="n">
        <f aca="false">IF(A1877="",0,IF(SUMPRODUCT(--($A$2:$A$5001=A1877))&gt;1,1,0))</f>
        <v>0</v>
      </c>
      <c r="H1877" s="0" t="n">
        <f aca="false">ROW()-1</f>
        <v>1876</v>
      </c>
      <c r="I1877" s="0" t="str">
        <f aca="false">IF(OR(הגדרות!$E$6=0,H1877&gt;הגדרות!$E$5),"",IF(H1877-1&lt;הגדרות!$E$8*(הגדרות!$E$7+1),INT((H1877-1)/(הגדרות!$E$7+1)),הגדרות!$E$8+INT((H1877-1-הגדרות!$E$8*(הגדרות!$E$7+1))/הגדרות!$E$7)))</f>
        <v/>
      </c>
      <c r="J1877" s="0" t="str">
        <f aca="false">IF(I1877="","",IF(H1877-1&lt;הגדרות!$E$8*(הגדרות!$E$7+1),MOD(H1877-1,הגדרות!$E$7+1),MOD(H1877-1-הגדרות!$E$8*(הגדרות!$E$7+1),הגדרות!$E$7)))</f>
        <v/>
      </c>
      <c r="K1877" s="0" t="str">
        <f aca="false">IF(I1877="","",J1877*הגדרות!$E$6+I1877+1)</f>
        <v/>
      </c>
      <c r="L1877" s="0" t="str">
        <f aca="false">IF(K1877="","",MATCH(K1877,$F$2:$F$5001,0))</f>
        <v/>
      </c>
      <c r="M1877" s="0" t="str">
        <f aca="false">IF(I1877="","",INDEX(הגדרות!$A$2:$A$21,MOD(I1877+הגדרות!$E$9,הגדרות!$E$6)+1))</f>
        <v/>
      </c>
    </row>
    <row r="1878" customFormat="false" ht="15" hidden="false" customHeight="false" outlineLevel="0" collapsed="false">
      <c r="A1878" s="0" t="str">
        <f aca="false">IF('הדבקת לידים'!A1878="","",IF(ISNUMBER('הדבקת לידים'!A1878),IF(הגדרות!$E$2&gt;0,TEXT('הדבקת לידים'!A1878,REPT("0",הגדרות!$E$2)),TEXT('הדבקת לידים'!A1878,"0")),TRIM('הדבקת לידים'!A1878)))</f>
        <v/>
      </c>
      <c r="B1878" s="0" t="str">
        <f aca="false">IF('הדבקת לידים'!B1878="","",IF(ISNUMBER('הדבקת לידים'!B1878),IF(הגדרות!$E$3&gt;0,TEXT('הדבקת לידים'!B1878,REPT("0",הגדרות!$E$3)),TEXT('הדבקת לידים'!B1878,"0")),TRIM('הדבקת לידים'!B1878)))</f>
        <v/>
      </c>
      <c r="C1878" s="0" t="n">
        <f aca="false">IF(OR(A1878&lt;&gt;"",B1878&lt;&gt;""),1,0)</f>
        <v>0</v>
      </c>
      <c r="D1878" s="0" t="str">
        <f aca="false">IF(C1878=1,MOD(ABS(SIN(ROW()*12.9898+'הדבקת לידים'!$F$2*78.233+IFERROR(--RIGHT(A1878,6),LEN(A1878))*0.0137+IFERROR(--RIGHT(B1878,6),LEN(B1878))*0.0071))*43758.5453,1),"")</f>
        <v/>
      </c>
      <c r="E1878" s="0" t="str">
        <f aca="false">IF(C1878=1,INT(MOD(ABS(SIN(D1878*7919.123+ROW()*0.618+'הדבקת לידים'!$F$2*1.3))*43758.5453,1)*1000000)*10000+ROW(),"")</f>
        <v/>
      </c>
      <c r="F1878" s="0" t="str">
        <f aca="false">IF(E1878="","",RANK(E1878,$E$2:$E$5001,1))</f>
        <v/>
      </c>
      <c r="G1878" s="0" t="n">
        <f aca="false">IF(A1878="",0,IF(SUMPRODUCT(--($A$2:$A$5001=A1878))&gt;1,1,0))</f>
        <v>0</v>
      </c>
      <c r="H1878" s="0" t="n">
        <f aca="false">ROW()-1</f>
        <v>1877</v>
      </c>
      <c r="I1878" s="0" t="str">
        <f aca="false">IF(OR(הגדרות!$E$6=0,H1878&gt;הגדרות!$E$5),"",IF(H1878-1&lt;הגדרות!$E$8*(הגדרות!$E$7+1),INT((H1878-1)/(הגדרות!$E$7+1)),הגדרות!$E$8+INT((H1878-1-הגדרות!$E$8*(הגדרות!$E$7+1))/הגדרות!$E$7)))</f>
        <v/>
      </c>
      <c r="J1878" s="0" t="str">
        <f aca="false">IF(I1878="","",IF(H1878-1&lt;הגדרות!$E$8*(הגדרות!$E$7+1),MOD(H1878-1,הגדרות!$E$7+1),MOD(H1878-1-הגדרות!$E$8*(הגדרות!$E$7+1),הגדרות!$E$7)))</f>
        <v/>
      </c>
      <c r="K1878" s="0" t="str">
        <f aca="false">IF(I1878="","",J1878*הגדרות!$E$6+I1878+1)</f>
        <v/>
      </c>
      <c r="L1878" s="0" t="str">
        <f aca="false">IF(K1878="","",MATCH(K1878,$F$2:$F$5001,0))</f>
        <v/>
      </c>
      <c r="M1878" s="0" t="str">
        <f aca="false">IF(I1878="","",INDEX(הגדרות!$A$2:$A$21,MOD(I1878+הגדרות!$E$9,הגדרות!$E$6)+1))</f>
        <v/>
      </c>
    </row>
    <row r="1879" customFormat="false" ht="15" hidden="false" customHeight="false" outlineLevel="0" collapsed="false">
      <c r="A1879" s="0" t="str">
        <f aca="false">IF('הדבקת לידים'!A1879="","",IF(ISNUMBER('הדבקת לידים'!A1879),IF(הגדרות!$E$2&gt;0,TEXT('הדבקת לידים'!A1879,REPT("0",הגדרות!$E$2)),TEXT('הדבקת לידים'!A1879,"0")),TRIM('הדבקת לידים'!A1879)))</f>
        <v/>
      </c>
      <c r="B1879" s="0" t="str">
        <f aca="false">IF('הדבקת לידים'!B1879="","",IF(ISNUMBER('הדבקת לידים'!B1879),IF(הגדרות!$E$3&gt;0,TEXT('הדבקת לידים'!B1879,REPT("0",הגדרות!$E$3)),TEXT('הדבקת לידים'!B1879,"0")),TRIM('הדבקת לידים'!B1879)))</f>
        <v/>
      </c>
      <c r="C1879" s="0" t="n">
        <f aca="false">IF(OR(A1879&lt;&gt;"",B1879&lt;&gt;""),1,0)</f>
        <v>0</v>
      </c>
      <c r="D1879" s="0" t="str">
        <f aca="false">IF(C1879=1,MOD(ABS(SIN(ROW()*12.9898+'הדבקת לידים'!$F$2*78.233+IFERROR(--RIGHT(A1879,6),LEN(A1879))*0.0137+IFERROR(--RIGHT(B1879,6),LEN(B1879))*0.0071))*43758.5453,1),"")</f>
        <v/>
      </c>
      <c r="E1879" s="0" t="str">
        <f aca="false">IF(C1879=1,INT(MOD(ABS(SIN(D1879*7919.123+ROW()*0.618+'הדבקת לידים'!$F$2*1.3))*43758.5453,1)*1000000)*10000+ROW(),"")</f>
        <v/>
      </c>
      <c r="F1879" s="0" t="str">
        <f aca="false">IF(E1879="","",RANK(E1879,$E$2:$E$5001,1))</f>
        <v/>
      </c>
      <c r="G1879" s="0" t="n">
        <f aca="false">IF(A1879="",0,IF(SUMPRODUCT(--($A$2:$A$5001=A1879))&gt;1,1,0))</f>
        <v>0</v>
      </c>
      <c r="H1879" s="0" t="n">
        <f aca="false">ROW()-1</f>
        <v>1878</v>
      </c>
      <c r="I1879" s="0" t="str">
        <f aca="false">IF(OR(הגדרות!$E$6=0,H1879&gt;הגדרות!$E$5),"",IF(H1879-1&lt;הגדרות!$E$8*(הגדרות!$E$7+1),INT((H1879-1)/(הגדרות!$E$7+1)),הגדרות!$E$8+INT((H1879-1-הגדרות!$E$8*(הגדרות!$E$7+1))/הגדרות!$E$7)))</f>
        <v/>
      </c>
      <c r="J1879" s="0" t="str">
        <f aca="false">IF(I1879="","",IF(H1879-1&lt;הגדרות!$E$8*(הגדרות!$E$7+1),MOD(H1879-1,הגדרות!$E$7+1),MOD(H1879-1-הגדרות!$E$8*(הגדרות!$E$7+1),הגדרות!$E$7)))</f>
        <v/>
      </c>
      <c r="K1879" s="0" t="str">
        <f aca="false">IF(I1879="","",J1879*הגדרות!$E$6+I1879+1)</f>
        <v/>
      </c>
      <c r="L1879" s="0" t="str">
        <f aca="false">IF(K1879="","",MATCH(K1879,$F$2:$F$5001,0))</f>
        <v/>
      </c>
      <c r="M1879" s="0" t="str">
        <f aca="false">IF(I1879="","",INDEX(הגדרות!$A$2:$A$21,MOD(I1879+הגדרות!$E$9,הגדרות!$E$6)+1))</f>
        <v/>
      </c>
    </row>
    <row r="1880" customFormat="false" ht="15" hidden="false" customHeight="false" outlineLevel="0" collapsed="false">
      <c r="A1880" s="0" t="str">
        <f aca="false">IF('הדבקת לידים'!A1880="","",IF(ISNUMBER('הדבקת לידים'!A1880),IF(הגדרות!$E$2&gt;0,TEXT('הדבקת לידים'!A1880,REPT("0",הגדרות!$E$2)),TEXT('הדבקת לידים'!A1880,"0")),TRIM('הדבקת לידים'!A1880)))</f>
        <v/>
      </c>
      <c r="B1880" s="0" t="str">
        <f aca="false">IF('הדבקת לידים'!B1880="","",IF(ISNUMBER('הדבקת לידים'!B1880),IF(הגדרות!$E$3&gt;0,TEXT('הדבקת לידים'!B1880,REPT("0",הגדרות!$E$3)),TEXT('הדבקת לידים'!B1880,"0")),TRIM('הדבקת לידים'!B1880)))</f>
        <v/>
      </c>
      <c r="C1880" s="0" t="n">
        <f aca="false">IF(OR(A1880&lt;&gt;"",B1880&lt;&gt;""),1,0)</f>
        <v>0</v>
      </c>
      <c r="D1880" s="0" t="str">
        <f aca="false">IF(C1880=1,MOD(ABS(SIN(ROW()*12.9898+'הדבקת לידים'!$F$2*78.233+IFERROR(--RIGHT(A1880,6),LEN(A1880))*0.0137+IFERROR(--RIGHT(B1880,6),LEN(B1880))*0.0071))*43758.5453,1),"")</f>
        <v/>
      </c>
      <c r="E1880" s="0" t="str">
        <f aca="false">IF(C1880=1,INT(MOD(ABS(SIN(D1880*7919.123+ROW()*0.618+'הדבקת לידים'!$F$2*1.3))*43758.5453,1)*1000000)*10000+ROW(),"")</f>
        <v/>
      </c>
      <c r="F1880" s="0" t="str">
        <f aca="false">IF(E1880="","",RANK(E1880,$E$2:$E$5001,1))</f>
        <v/>
      </c>
      <c r="G1880" s="0" t="n">
        <f aca="false">IF(A1880="",0,IF(SUMPRODUCT(--($A$2:$A$5001=A1880))&gt;1,1,0))</f>
        <v>0</v>
      </c>
      <c r="H1880" s="0" t="n">
        <f aca="false">ROW()-1</f>
        <v>1879</v>
      </c>
      <c r="I1880" s="0" t="str">
        <f aca="false">IF(OR(הגדרות!$E$6=0,H1880&gt;הגדרות!$E$5),"",IF(H1880-1&lt;הגדרות!$E$8*(הגדרות!$E$7+1),INT((H1880-1)/(הגדרות!$E$7+1)),הגדרות!$E$8+INT((H1880-1-הגדרות!$E$8*(הגדרות!$E$7+1))/הגדרות!$E$7)))</f>
        <v/>
      </c>
      <c r="J1880" s="0" t="str">
        <f aca="false">IF(I1880="","",IF(H1880-1&lt;הגדרות!$E$8*(הגדרות!$E$7+1),MOD(H1880-1,הגדרות!$E$7+1),MOD(H1880-1-הגדרות!$E$8*(הגדרות!$E$7+1),הגדרות!$E$7)))</f>
        <v/>
      </c>
      <c r="K1880" s="0" t="str">
        <f aca="false">IF(I1880="","",J1880*הגדרות!$E$6+I1880+1)</f>
        <v/>
      </c>
      <c r="L1880" s="0" t="str">
        <f aca="false">IF(K1880="","",MATCH(K1880,$F$2:$F$5001,0))</f>
        <v/>
      </c>
      <c r="M1880" s="0" t="str">
        <f aca="false">IF(I1880="","",INDEX(הגדרות!$A$2:$A$21,MOD(I1880+הגדרות!$E$9,הגדרות!$E$6)+1))</f>
        <v/>
      </c>
    </row>
    <row r="1881" customFormat="false" ht="15" hidden="false" customHeight="false" outlineLevel="0" collapsed="false">
      <c r="A1881" s="0" t="str">
        <f aca="false">IF('הדבקת לידים'!A1881="","",IF(ISNUMBER('הדבקת לידים'!A1881),IF(הגדרות!$E$2&gt;0,TEXT('הדבקת לידים'!A1881,REPT("0",הגדרות!$E$2)),TEXT('הדבקת לידים'!A1881,"0")),TRIM('הדבקת לידים'!A1881)))</f>
        <v/>
      </c>
      <c r="B1881" s="0" t="str">
        <f aca="false">IF('הדבקת לידים'!B1881="","",IF(ISNUMBER('הדבקת לידים'!B1881),IF(הגדרות!$E$3&gt;0,TEXT('הדבקת לידים'!B1881,REPT("0",הגדרות!$E$3)),TEXT('הדבקת לידים'!B1881,"0")),TRIM('הדבקת לידים'!B1881)))</f>
        <v/>
      </c>
      <c r="C1881" s="0" t="n">
        <f aca="false">IF(OR(A1881&lt;&gt;"",B1881&lt;&gt;""),1,0)</f>
        <v>0</v>
      </c>
      <c r="D1881" s="0" t="str">
        <f aca="false">IF(C1881=1,MOD(ABS(SIN(ROW()*12.9898+'הדבקת לידים'!$F$2*78.233+IFERROR(--RIGHT(A1881,6),LEN(A1881))*0.0137+IFERROR(--RIGHT(B1881,6),LEN(B1881))*0.0071))*43758.5453,1),"")</f>
        <v/>
      </c>
      <c r="E1881" s="0" t="str">
        <f aca="false">IF(C1881=1,INT(MOD(ABS(SIN(D1881*7919.123+ROW()*0.618+'הדבקת לידים'!$F$2*1.3))*43758.5453,1)*1000000)*10000+ROW(),"")</f>
        <v/>
      </c>
      <c r="F1881" s="0" t="str">
        <f aca="false">IF(E1881="","",RANK(E1881,$E$2:$E$5001,1))</f>
        <v/>
      </c>
      <c r="G1881" s="0" t="n">
        <f aca="false">IF(A1881="",0,IF(SUMPRODUCT(--($A$2:$A$5001=A1881))&gt;1,1,0))</f>
        <v>0</v>
      </c>
      <c r="H1881" s="0" t="n">
        <f aca="false">ROW()-1</f>
        <v>1880</v>
      </c>
      <c r="I1881" s="0" t="str">
        <f aca="false">IF(OR(הגדרות!$E$6=0,H1881&gt;הגדרות!$E$5),"",IF(H1881-1&lt;הגדרות!$E$8*(הגדרות!$E$7+1),INT((H1881-1)/(הגדרות!$E$7+1)),הגדרות!$E$8+INT((H1881-1-הגדרות!$E$8*(הגדרות!$E$7+1))/הגדרות!$E$7)))</f>
        <v/>
      </c>
      <c r="J1881" s="0" t="str">
        <f aca="false">IF(I1881="","",IF(H1881-1&lt;הגדרות!$E$8*(הגדרות!$E$7+1),MOD(H1881-1,הגדרות!$E$7+1),MOD(H1881-1-הגדרות!$E$8*(הגדרות!$E$7+1),הגדרות!$E$7)))</f>
        <v/>
      </c>
      <c r="K1881" s="0" t="str">
        <f aca="false">IF(I1881="","",J1881*הגדרות!$E$6+I1881+1)</f>
        <v/>
      </c>
      <c r="L1881" s="0" t="str">
        <f aca="false">IF(K1881="","",MATCH(K1881,$F$2:$F$5001,0))</f>
        <v/>
      </c>
      <c r="M1881" s="0" t="str">
        <f aca="false">IF(I1881="","",INDEX(הגדרות!$A$2:$A$21,MOD(I1881+הגדרות!$E$9,הגדרות!$E$6)+1))</f>
        <v/>
      </c>
    </row>
    <row r="1882" customFormat="false" ht="15" hidden="false" customHeight="false" outlineLevel="0" collapsed="false">
      <c r="A1882" s="0" t="str">
        <f aca="false">IF('הדבקת לידים'!A1882="","",IF(ISNUMBER('הדבקת לידים'!A1882),IF(הגדרות!$E$2&gt;0,TEXT('הדבקת לידים'!A1882,REPT("0",הגדרות!$E$2)),TEXT('הדבקת לידים'!A1882,"0")),TRIM('הדבקת לידים'!A1882)))</f>
        <v/>
      </c>
      <c r="B1882" s="0" t="str">
        <f aca="false">IF('הדבקת לידים'!B1882="","",IF(ISNUMBER('הדבקת לידים'!B1882),IF(הגדרות!$E$3&gt;0,TEXT('הדבקת לידים'!B1882,REPT("0",הגדרות!$E$3)),TEXT('הדבקת לידים'!B1882,"0")),TRIM('הדבקת לידים'!B1882)))</f>
        <v/>
      </c>
      <c r="C1882" s="0" t="n">
        <f aca="false">IF(OR(A1882&lt;&gt;"",B1882&lt;&gt;""),1,0)</f>
        <v>0</v>
      </c>
      <c r="D1882" s="0" t="str">
        <f aca="false">IF(C1882=1,MOD(ABS(SIN(ROW()*12.9898+'הדבקת לידים'!$F$2*78.233+IFERROR(--RIGHT(A1882,6),LEN(A1882))*0.0137+IFERROR(--RIGHT(B1882,6),LEN(B1882))*0.0071))*43758.5453,1),"")</f>
        <v/>
      </c>
      <c r="E1882" s="0" t="str">
        <f aca="false">IF(C1882=1,INT(MOD(ABS(SIN(D1882*7919.123+ROW()*0.618+'הדבקת לידים'!$F$2*1.3))*43758.5453,1)*1000000)*10000+ROW(),"")</f>
        <v/>
      </c>
      <c r="F1882" s="0" t="str">
        <f aca="false">IF(E1882="","",RANK(E1882,$E$2:$E$5001,1))</f>
        <v/>
      </c>
      <c r="G1882" s="0" t="n">
        <f aca="false">IF(A1882="",0,IF(SUMPRODUCT(--($A$2:$A$5001=A1882))&gt;1,1,0))</f>
        <v>0</v>
      </c>
      <c r="H1882" s="0" t="n">
        <f aca="false">ROW()-1</f>
        <v>1881</v>
      </c>
      <c r="I1882" s="0" t="str">
        <f aca="false">IF(OR(הגדרות!$E$6=0,H1882&gt;הגדרות!$E$5),"",IF(H1882-1&lt;הגדרות!$E$8*(הגדרות!$E$7+1),INT((H1882-1)/(הגדרות!$E$7+1)),הגדרות!$E$8+INT((H1882-1-הגדרות!$E$8*(הגדרות!$E$7+1))/הגדרות!$E$7)))</f>
        <v/>
      </c>
      <c r="J1882" s="0" t="str">
        <f aca="false">IF(I1882="","",IF(H1882-1&lt;הגדרות!$E$8*(הגדרות!$E$7+1),MOD(H1882-1,הגדרות!$E$7+1),MOD(H1882-1-הגדרות!$E$8*(הגדרות!$E$7+1),הגדרות!$E$7)))</f>
        <v/>
      </c>
      <c r="K1882" s="0" t="str">
        <f aca="false">IF(I1882="","",J1882*הגדרות!$E$6+I1882+1)</f>
        <v/>
      </c>
      <c r="L1882" s="0" t="str">
        <f aca="false">IF(K1882="","",MATCH(K1882,$F$2:$F$5001,0))</f>
        <v/>
      </c>
      <c r="M1882" s="0" t="str">
        <f aca="false">IF(I1882="","",INDEX(הגדרות!$A$2:$A$21,MOD(I1882+הגדרות!$E$9,הגדרות!$E$6)+1))</f>
        <v/>
      </c>
    </row>
    <row r="1883" customFormat="false" ht="15" hidden="false" customHeight="false" outlineLevel="0" collapsed="false">
      <c r="A1883" s="0" t="str">
        <f aca="false">IF('הדבקת לידים'!A1883="","",IF(ISNUMBER('הדבקת לידים'!A1883),IF(הגדרות!$E$2&gt;0,TEXT('הדבקת לידים'!A1883,REPT("0",הגדרות!$E$2)),TEXT('הדבקת לידים'!A1883,"0")),TRIM('הדבקת לידים'!A1883)))</f>
        <v/>
      </c>
      <c r="B1883" s="0" t="str">
        <f aca="false">IF('הדבקת לידים'!B1883="","",IF(ISNUMBER('הדבקת לידים'!B1883),IF(הגדרות!$E$3&gt;0,TEXT('הדבקת לידים'!B1883,REPT("0",הגדרות!$E$3)),TEXT('הדבקת לידים'!B1883,"0")),TRIM('הדבקת לידים'!B1883)))</f>
        <v/>
      </c>
      <c r="C1883" s="0" t="n">
        <f aca="false">IF(OR(A1883&lt;&gt;"",B1883&lt;&gt;""),1,0)</f>
        <v>0</v>
      </c>
      <c r="D1883" s="0" t="str">
        <f aca="false">IF(C1883=1,MOD(ABS(SIN(ROW()*12.9898+'הדבקת לידים'!$F$2*78.233+IFERROR(--RIGHT(A1883,6),LEN(A1883))*0.0137+IFERROR(--RIGHT(B1883,6),LEN(B1883))*0.0071))*43758.5453,1),"")</f>
        <v/>
      </c>
      <c r="E1883" s="0" t="str">
        <f aca="false">IF(C1883=1,INT(MOD(ABS(SIN(D1883*7919.123+ROW()*0.618+'הדבקת לידים'!$F$2*1.3))*43758.5453,1)*1000000)*10000+ROW(),"")</f>
        <v/>
      </c>
      <c r="F1883" s="0" t="str">
        <f aca="false">IF(E1883="","",RANK(E1883,$E$2:$E$5001,1))</f>
        <v/>
      </c>
      <c r="G1883" s="0" t="n">
        <f aca="false">IF(A1883="",0,IF(SUMPRODUCT(--($A$2:$A$5001=A1883))&gt;1,1,0))</f>
        <v>0</v>
      </c>
      <c r="H1883" s="0" t="n">
        <f aca="false">ROW()-1</f>
        <v>1882</v>
      </c>
      <c r="I1883" s="0" t="str">
        <f aca="false">IF(OR(הגדרות!$E$6=0,H1883&gt;הגדרות!$E$5),"",IF(H1883-1&lt;הגדרות!$E$8*(הגדרות!$E$7+1),INT((H1883-1)/(הגדרות!$E$7+1)),הגדרות!$E$8+INT((H1883-1-הגדרות!$E$8*(הגדרות!$E$7+1))/הגדרות!$E$7)))</f>
        <v/>
      </c>
      <c r="J1883" s="0" t="str">
        <f aca="false">IF(I1883="","",IF(H1883-1&lt;הגדרות!$E$8*(הגדרות!$E$7+1),MOD(H1883-1,הגדרות!$E$7+1),MOD(H1883-1-הגדרות!$E$8*(הגדרות!$E$7+1),הגדרות!$E$7)))</f>
        <v/>
      </c>
      <c r="K1883" s="0" t="str">
        <f aca="false">IF(I1883="","",J1883*הגדרות!$E$6+I1883+1)</f>
        <v/>
      </c>
      <c r="L1883" s="0" t="str">
        <f aca="false">IF(K1883="","",MATCH(K1883,$F$2:$F$5001,0))</f>
        <v/>
      </c>
      <c r="M1883" s="0" t="str">
        <f aca="false">IF(I1883="","",INDEX(הגדרות!$A$2:$A$21,MOD(I1883+הגדרות!$E$9,הגדרות!$E$6)+1))</f>
        <v/>
      </c>
    </row>
    <row r="1884" customFormat="false" ht="15" hidden="false" customHeight="false" outlineLevel="0" collapsed="false">
      <c r="A1884" s="0" t="str">
        <f aca="false">IF('הדבקת לידים'!A1884="","",IF(ISNUMBER('הדבקת לידים'!A1884),IF(הגדרות!$E$2&gt;0,TEXT('הדבקת לידים'!A1884,REPT("0",הגדרות!$E$2)),TEXT('הדבקת לידים'!A1884,"0")),TRIM('הדבקת לידים'!A1884)))</f>
        <v/>
      </c>
      <c r="B1884" s="0" t="str">
        <f aca="false">IF('הדבקת לידים'!B1884="","",IF(ISNUMBER('הדבקת לידים'!B1884),IF(הגדרות!$E$3&gt;0,TEXT('הדבקת לידים'!B1884,REPT("0",הגדרות!$E$3)),TEXT('הדבקת לידים'!B1884,"0")),TRIM('הדבקת לידים'!B1884)))</f>
        <v/>
      </c>
      <c r="C1884" s="0" t="n">
        <f aca="false">IF(OR(A1884&lt;&gt;"",B1884&lt;&gt;""),1,0)</f>
        <v>0</v>
      </c>
      <c r="D1884" s="0" t="str">
        <f aca="false">IF(C1884=1,MOD(ABS(SIN(ROW()*12.9898+'הדבקת לידים'!$F$2*78.233+IFERROR(--RIGHT(A1884,6),LEN(A1884))*0.0137+IFERROR(--RIGHT(B1884,6),LEN(B1884))*0.0071))*43758.5453,1),"")</f>
        <v/>
      </c>
      <c r="E1884" s="0" t="str">
        <f aca="false">IF(C1884=1,INT(MOD(ABS(SIN(D1884*7919.123+ROW()*0.618+'הדבקת לידים'!$F$2*1.3))*43758.5453,1)*1000000)*10000+ROW(),"")</f>
        <v/>
      </c>
      <c r="F1884" s="0" t="str">
        <f aca="false">IF(E1884="","",RANK(E1884,$E$2:$E$5001,1))</f>
        <v/>
      </c>
      <c r="G1884" s="0" t="n">
        <f aca="false">IF(A1884="",0,IF(SUMPRODUCT(--($A$2:$A$5001=A1884))&gt;1,1,0))</f>
        <v>0</v>
      </c>
      <c r="H1884" s="0" t="n">
        <f aca="false">ROW()-1</f>
        <v>1883</v>
      </c>
      <c r="I1884" s="0" t="str">
        <f aca="false">IF(OR(הגדרות!$E$6=0,H1884&gt;הגדרות!$E$5),"",IF(H1884-1&lt;הגדרות!$E$8*(הגדרות!$E$7+1),INT((H1884-1)/(הגדרות!$E$7+1)),הגדרות!$E$8+INT((H1884-1-הגדרות!$E$8*(הגדרות!$E$7+1))/הגדרות!$E$7)))</f>
        <v/>
      </c>
      <c r="J1884" s="0" t="str">
        <f aca="false">IF(I1884="","",IF(H1884-1&lt;הגדרות!$E$8*(הגדרות!$E$7+1),MOD(H1884-1,הגדרות!$E$7+1),MOD(H1884-1-הגדרות!$E$8*(הגדרות!$E$7+1),הגדרות!$E$7)))</f>
        <v/>
      </c>
      <c r="K1884" s="0" t="str">
        <f aca="false">IF(I1884="","",J1884*הגדרות!$E$6+I1884+1)</f>
        <v/>
      </c>
      <c r="L1884" s="0" t="str">
        <f aca="false">IF(K1884="","",MATCH(K1884,$F$2:$F$5001,0))</f>
        <v/>
      </c>
      <c r="M1884" s="0" t="str">
        <f aca="false">IF(I1884="","",INDEX(הגדרות!$A$2:$A$21,MOD(I1884+הגדרות!$E$9,הגדרות!$E$6)+1))</f>
        <v/>
      </c>
    </row>
    <row r="1885" customFormat="false" ht="15" hidden="false" customHeight="false" outlineLevel="0" collapsed="false">
      <c r="A1885" s="0" t="str">
        <f aca="false">IF('הדבקת לידים'!A1885="","",IF(ISNUMBER('הדבקת לידים'!A1885),IF(הגדרות!$E$2&gt;0,TEXT('הדבקת לידים'!A1885,REPT("0",הגדרות!$E$2)),TEXT('הדבקת לידים'!A1885,"0")),TRIM('הדבקת לידים'!A1885)))</f>
        <v/>
      </c>
      <c r="B1885" s="0" t="str">
        <f aca="false">IF('הדבקת לידים'!B1885="","",IF(ISNUMBER('הדבקת לידים'!B1885),IF(הגדרות!$E$3&gt;0,TEXT('הדבקת לידים'!B1885,REPT("0",הגדרות!$E$3)),TEXT('הדבקת לידים'!B1885,"0")),TRIM('הדבקת לידים'!B1885)))</f>
        <v/>
      </c>
      <c r="C1885" s="0" t="n">
        <f aca="false">IF(OR(A1885&lt;&gt;"",B1885&lt;&gt;""),1,0)</f>
        <v>0</v>
      </c>
      <c r="D1885" s="0" t="str">
        <f aca="false">IF(C1885=1,MOD(ABS(SIN(ROW()*12.9898+'הדבקת לידים'!$F$2*78.233+IFERROR(--RIGHT(A1885,6),LEN(A1885))*0.0137+IFERROR(--RIGHT(B1885,6),LEN(B1885))*0.0071))*43758.5453,1),"")</f>
        <v/>
      </c>
      <c r="E1885" s="0" t="str">
        <f aca="false">IF(C1885=1,INT(MOD(ABS(SIN(D1885*7919.123+ROW()*0.618+'הדבקת לידים'!$F$2*1.3))*43758.5453,1)*1000000)*10000+ROW(),"")</f>
        <v/>
      </c>
      <c r="F1885" s="0" t="str">
        <f aca="false">IF(E1885="","",RANK(E1885,$E$2:$E$5001,1))</f>
        <v/>
      </c>
      <c r="G1885" s="0" t="n">
        <f aca="false">IF(A1885="",0,IF(SUMPRODUCT(--($A$2:$A$5001=A1885))&gt;1,1,0))</f>
        <v>0</v>
      </c>
      <c r="H1885" s="0" t="n">
        <f aca="false">ROW()-1</f>
        <v>1884</v>
      </c>
      <c r="I1885" s="0" t="str">
        <f aca="false">IF(OR(הגדרות!$E$6=0,H1885&gt;הגדרות!$E$5),"",IF(H1885-1&lt;הגדרות!$E$8*(הגדרות!$E$7+1),INT((H1885-1)/(הגדרות!$E$7+1)),הגדרות!$E$8+INT((H1885-1-הגדרות!$E$8*(הגדרות!$E$7+1))/הגדרות!$E$7)))</f>
        <v/>
      </c>
      <c r="J1885" s="0" t="str">
        <f aca="false">IF(I1885="","",IF(H1885-1&lt;הגדרות!$E$8*(הגדרות!$E$7+1),MOD(H1885-1,הגדרות!$E$7+1),MOD(H1885-1-הגדרות!$E$8*(הגדרות!$E$7+1),הגדרות!$E$7)))</f>
        <v/>
      </c>
      <c r="K1885" s="0" t="str">
        <f aca="false">IF(I1885="","",J1885*הגדרות!$E$6+I1885+1)</f>
        <v/>
      </c>
      <c r="L1885" s="0" t="str">
        <f aca="false">IF(K1885="","",MATCH(K1885,$F$2:$F$5001,0))</f>
        <v/>
      </c>
      <c r="M1885" s="0" t="str">
        <f aca="false">IF(I1885="","",INDEX(הגדרות!$A$2:$A$21,MOD(I1885+הגדרות!$E$9,הגדרות!$E$6)+1))</f>
        <v/>
      </c>
    </row>
    <row r="1886" customFormat="false" ht="15" hidden="false" customHeight="false" outlineLevel="0" collapsed="false">
      <c r="A1886" s="0" t="str">
        <f aca="false">IF('הדבקת לידים'!A1886="","",IF(ISNUMBER('הדבקת לידים'!A1886),IF(הגדרות!$E$2&gt;0,TEXT('הדבקת לידים'!A1886,REPT("0",הגדרות!$E$2)),TEXT('הדבקת לידים'!A1886,"0")),TRIM('הדבקת לידים'!A1886)))</f>
        <v/>
      </c>
      <c r="B1886" s="0" t="str">
        <f aca="false">IF('הדבקת לידים'!B1886="","",IF(ISNUMBER('הדבקת לידים'!B1886),IF(הגדרות!$E$3&gt;0,TEXT('הדבקת לידים'!B1886,REPT("0",הגדרות!$E$3)),TEXT('הדבקת לידים'!B1886,"0")),TRIM('הדבקת לידים'!B1886)))</f>
        <v/>
      </c>
      <c r="C1886" s="0" t="n">
        <f aca="false">IF(OR(A1886&lt;&gt;"",B1886&lt;&gt;""),1,0)</f>
        <v>0</v>
      </c>
      <c r="D1886" s="0" t="str">
        <f aca="false">IF(C1886=1,MOD(ABS(SIN(ROW()*12.9898+'הדבקת לידים'!$F$2*78.233+IFERROR(--RIGHT(A1886,6),LEN(A1886))*0.0137+IFERROR(--RIGHT(B1886,6),LEN(B1886))*0.0071))*43758.5453,1),"")</f>
        <v/>
      </c>
      <c r="E1886" s="0" t="str">
        <f aca="false">IF(C1886=1,INT(MOD(ABS(SIN(D1886*7919.123+ROW()*0.618+'הדבקת לידים'!$F$2*1.3))*43758.5453,1)*1000000)*10000+ROW(),"")</f>
        <v/>
      </c>
      <c r="F1886" s="0" t="str">
        <f aca="false">IF(E1886="","",RANK(E1886,$E$2:$E$5001,1))</f>
        <v/>
      </c>
      <c r="G1886" s="0" t="n">
        <f aca="false">IF(A1886="",0,IF(SUMPRODUCT(--($A$2:$A$5001=A1886))&gt;1,1,0))</f>
        <v>0</v>
      </c>
      <c r="H1886" s="0" t="n">
        <f aca="false">ROW()-1</f>
        <v>1885</v>
      </c>
      <c r="I1886" s="0" t="str">
        <f aca="false">IF(OR(הגדרות!$E$6=0,H1886&gt;הגדרות!$E$5),"",IF(H1886-1&lt;הגדרות!$E$8*(הגדרות!$E$7+1),INT((H1886-1)/(הגדרות!$E$7+1)),הגדרות!$E$8+INT((H1886-1-הגדרות!$E$8*(הגדרות!$E$7+1))/הגדרות!$E$7)))</f>
        <v/>
      </c>
      <c r="J1886" s="0" t="str">
        <f aca="false">IF(I1886="","",IF(H1886-1&lt;הגדרות!$E$8*(הגדרות!$E$7+1),MOD(H1886-1,הגדרות!$E$7+1),MOD(H1886-1-הגדרות!$E$8*(הגדרות!$E$7+1),הגדרות!$E$7)))</f>
        <v/>
      </c>
      <c r="K1886" s="0" t="str">
        <f aca="false">IF(I1886="","",J1886*הגדרות!$E$6+I1886+1)</f>
        <v/>
      </c>
      <c r="L1886" s="0" t="str">
        <f aca="false">IF(K1886="","",MATCH(K1886,$F$2:$F$5001,0))</f>
        <v/>
      </c>
      <c r="M1886" s="0" t="str">
        <f aca="false">IF(I1886="","",INDEX(הגדרות!$A$2:$A$21,MOD(I1886+הגדרות!$E$9,הגדרות!$E$6)+1))</f>
        <v/>
      </c>
    </row>
    <row r="1887" customFormat="false" ht="15" hidden="false" customHeight="false" outlineLevel="0" collapsed="false">
      <c r="A1887" s="0" t="str">
        <f aca="false">IF('הדבקת לידים'!A1887="","",IF(ISNUMBER('הדבקת לידים'!A1887),IF(הגדרות!$E$2&gt;0,TEXT('הדבקת לידים'!A1887,REPT("0",הגדרות!$E$2)),TEXT('הדבקת לידים'!A1887,"0")),TRIM('הדבקת לידים'!A1887)))</f>
        <v/>
      </c>
      <c r="B1887" s="0" t="str">
        <f aca="false">IF('הדבקת לידים'!B1887="","",IF(ISNUMBER('הדבקת לידים'!B1887),IF(הגדרות!$E$3&gt;0,TEXT('הדבקת לידים'!B1887,REPT("0",הגדרות!$E$3)),TEXT('הדבקת לידים'!B1887,"0")),TRIM('הדבקת לידים'!B1887)))</f>
        <v/>
      </c>
      <c r="C1887" s="0" t="n">
        <f aca="false">IF(OR(A1887&lt;&gt;"",B1887&lt;&gt;""),1,0)</f>
        <v>0</v>
      </c>
      <c r="D1887" s="0" t="str">
        <f aca="false">IF(C1887=1,MOD(ABS(SIN(ROW()*12.9898+'הדבקת לידים'!$F$2*78.233+IFERROR(--RIGHT(A1887,6),LEN(A1887))*0.0137+IFERROR(--RIGHT(B1887,6),LEN(B1887))*0.0071))*43758.5453,1),"")</f>
        <v/>
      </c>
      <c r="E1887" s="0" t="str">
        <f aca="false">IF(C1887=1,INT(MOD(ABS(SIN(D1887*7919.123+ROW()*0.618+'הדבקת לידים'!$F$2*1.3))*43758.5453,1)*1000000)*10000+ROW(),"")</f>
        <v/>
      </c>
      <c r="F1887" s="0" t="str">
        <f aca="false">IF(E1887="","",RANK(E1887,$E$2:$E$5001,1))</f>
        <v/>
      </c>
      <c r="G1887" s="0" t="n">
        <f aca="false">IF(A1887="",0,IF(SUMPRODUCT(--($A$2:$A$5001=A1887))&gt;1,1,0))</f>
        <v>0</v>
      </c>
      <c r="H1887" s="0" t="n">
        <f aca="false">ROW()-1</f>
        <v>1886</v>
      </c>
      <c r="I1887" s="0" t="str">
        <f aca="false">IF(OR(הגדרות!$E$6=0,H1887&gt;הגדרות!$E$5),"",IF(H1887-1&lt;הגדרות!$E$8*(הגדרות!$E$7+1),INT((H1887-1)/(הגדרות!$E$7+1)),הגדרות!$E$8+INT((H1887-1-הגדרות!$E$8*(הגדרות!$E$7+1))/הגדרות!$E$7)))</f>
        <v/>
      </c>
      <c r="J1887" s="0" t="str">
        <f aca="false">IF(I1887="","",IF(H1887-1&lt;הגדרות!$E$8*(הגדרות!$E$7+1),MOD(H1887-1,הגדרות!$E$7+1),MOD(H1887-1-הגדרות!$E$8*(הגדרות!$E$7+1),הגדרות!$E$7)))</f>
        <v/>
      </c>
      <c r="K1887" s="0" t="str">
        <f aca="false">IF(I1887="","",J1887*הגדרות!$E$6+I1887+1)</f>
        <v/>
      </c>
      <c r="L1887" s="0" t="str">
        <f aca="false">IF(K1887="","",MATCH(K1887,$F$2:$F$5001,0))</f>
        <v/>
      </c>
      <c r="M1887" s="0" t="str">
        <f aca="false">IF(I1887="","",INDEX(הגדרות!$A$2:$A$21,MOD(I1887+הגדרות!$E$9,הגדרות!$E$6)+1))</f>
        <v/>
      </c>
    </row>
    <row r="1888" customFormat="false" ht="15" hidden="false" customHeight="false" outlineLevel="0" collapsed="false">
      <c r="A1888" s="0" t="str">
        <f aca="false">IF('הדבקת לידים'!A1888="","",IF(ISNUMBER('הדבקת לידים'!A1888),IF(הגדרות!$E$2&gt;0,TEXT('הדבקת לידים'!A1888,REPT("0",הגדרות!$E$2)),TEXT('הדבקת לידים'!A1888,"0")),TRIM('הדבקת לידים'!A1888)))</f>
        <v/>
      </c>
      <c r="B1888" s="0" t="str">
        <f aca="false">IF('הדבקת לידים'!B1888="","",IF(ISNUMBER('הדבקת לידים'!B1888),IF(הגדרות!$E$3&gt;0,TEXT('הדבקת לידים'!B1888,REPT("0",הגדרות!$E$3)),TEXT('הדבקת לידים'!B1888,"0")),TRIM('הדבקת לידים'!B1888)))</f>
        <v/>
      </c>
      <c r="C1888" s="0" t="n">
        <f aca="false">IF(OR(A1888&lt;&gt;"",B1888&lt;&gt;""),1,0)</f>
        <v>0</v>
      </c>
      <c r="D1888" s="0" t="str">
        <f aca="false">IF(C1888=1,MOD(ABS(SIN(ROW()*12.9898+'הדבקת לידים'!$F$2*78.233+IFERROR(--RIGHT(A1888,6),LEN(A1888))*0.0137+IFERROR(--RIGHT(B1888,6),LEN(B1888))*0.0071))*43758.5453,1),"")</f>
        <v/>
      </c>
      <c r="E1888" s="0" t="str">
        <f aca="false">IF(C1888=1,INT(MOD(ABS(SIN(D1888*7919.123+ROW()*0.618+'הדבקת לידים'!$F$2*1.3))*43758.5453,1)*1000000)*10000+ROW(),"")</f>
        <v/>
      </c>
      <c r="F1888" s="0" t="str">
        <f aca="false">IF(E1888="","",RANK(E1888,$E$2:$E$5001,1))</f>
        <v/>
      </c>
      <c r="G1888" s="0" t="n">
        <f aca="false">IF(A1888="",0,IF(SUMPRODUCT(--($A$2:$A$5001=A1888))&gt;1,1,0))</f>
        <v>0</v>
      </c>
      <c r="H1888" s="0" t="n">
        <f aca="false">ROW()-1</f>
        <v>1887</v>
      </c>
      <c r="I1888" s="0" t="str">
        <f aca="false">IF(OR(הגדרות!$E$6=0,H1888&gt;הגדרות!$E$5),"",IF(H1888-1&lt;הגדרות!$E$8*(הגדרות!$E$7+1),INT((H1888-1)/(הגדרות!$E$7+1)),הגדרות!$E$8+INT((H1888-1-הגדרות!$E$8*(הגדרות!$E$7+1))/הגדרות!$E$7)))</f>
        <v/>
      </c>
      <c r="J1888" s="0" t="str">
        <f aca="false">IF(I1888="","",IF(H1888-1&lt;הגדרות!$E$8*(הגדרות!$E$7+1),MOD(H1888-1,הגדרות!$E$7+1),MOD(H1888-1-הגדרות!$E$8*(הגדרות!$E$7+1),הגדרות!$E$7)))</f>
        <v/>
      </c>
      <c r="K1888" s="0" t="str">
        <f aca="false">IF(I1888="","",J1888*הגדרות!$E$6+I1888+1)</f>
        <v/>
      </c>
      <c r="L1888" s="0" t="str">
        <f aca="false">IF(K1888="","",MATCH(K1888,$F$2:$F$5001,0))</f>
        <v/>
      </c>
      <c r="M1888" s="0" t="str">
        <f aca="false">IF(I1888="","",INDEX(הגדרות!$A$2:$A$21,MOD(I1888+הגדרות!$E$9,הגדרות!$E$6)+1))</f>
        <v/>
      </c>
    </row>
    <row r="1889" customFormat="false" ht="15" hidden="false" customHeight="false" outlineLevel="0" collapsed="false">
      <c r="A1889" s="0" t="str">
        <f aca="false">IF('הדבקת לידים'!A1889="","",IF(ISNUMBER('הדבקת לידים'!A1889),IF(הגדרות!$E$2&gt;0,TEXT('הדבקת לידים'!A1889,REPT("0",הגדרות!$E$2)),TEXT('הדבקת לידים'!A1889,"0")),TRIM('הדבקת לידים'!A1889)))</f>
        <v/>
      </c>
      <c r="B1889" s="0" t="str">
        <f aca="false">IF('הדבקת לידים'!B1889="","",IF(ISNUMBER('הדבקת לידים'!B1889),IF(הגדרות!$E$3&gt;0,TEXT('הדבקת לידים'!B1889,REPT("0",הגדרות!$E$3)),TEXT('הדבקת לידים'!B1889,"0")),TRIM('הדבקת לידים'!B1889)))</f>
        <v/>
      </c>
      <c r="C1889" s="0" t="n">
        <f aca="false">IF(OR(A1889&lt;&gt;"",B1889&lt;&gt;""),1,0)</f>
        <v>0</v>
      </c>
      <c r="D1889" s="0" t="str">
        <f aca="false">IF(C1889=1,MOD(ABS(SIN(ROW()*12.9898+'הדבקת לידים'!$F$2*78.233+IFERROR(--RIGHT(A1889,6),LEN(A1889))*0.0137+IFERROR(--RIGHT(B1889,6),LEN(B1889))*0.0071))*43758.5453,1),"")</f>
        <v/>
      </c>
      <c r="E1889" s="0" t="str">
        <f aca="false">IF(C1889=1,INT(MOD(ABS(SIN(D1889*7919.123+ROW()*0.618+'הדבקת לידים'!$F$2*1.3))*43758.5453,1)*1000000)*10000+ROW(),"")</f>
        <v/>
      </c>
      <c r="F1889" s="0" t="str">
        <f aca="false">IF(E1889="","",RANK(E1889,$E$2:$E$5001,1))</f>
        <v/>
      </c>
      <c r="G1889" s="0" t="n">
        <f aca="false">IF(A1889="",0,IF(SUMPRODUCT(--($A$2:$A$5001=A1889))&gt;1,1,0))</f>
        <v>0</v>
      </c>
      <c r="H1889" s="0" t="n">
        <f aca="false">ROW()-1</f>
        <v>1888</v>
      </c>
      <c r="I1889" s="0" t="str">
        <f aca="false">IF(OR(הגדרות!$E$6=0,H1889&gt;הגדרות!$E$5),"",IF(H1889-1&lt;הגדרות!$E$8*(הגדרות!$E$7+1),INT((H1889-1)/(הגדרות!$E$7+1)),הגדרות!$E$8+INT((H1889-1-הגדרות!$E$8*(הגדרות!$E$7+1))/הגדרות!$E$7)))</f>
        <v/>
      </c>
      <c r="J1889" s="0" t="str">
        <f aca="false">IF(I1889="","",IF(H1889-1&lt;הגדרות!$E$8*(הגדרות!$E$7+1),MOD(H1889-1,הגדרות!$E$7+1),MOD(H1889-1-הגדרות!$E$8*(הגדרות!$E$7+1),הגדרות!$E$7)))</f>
        <v/>
      </c>
      <c r="K1889" s="0" t="str">
        <f aca="false">IF(I1889="","",J1889*הגדרות!$E$6+I1889+1)</f>
        <v/>
      </c>
      <c r="L1889" s="0" t="str">
        <f aca="false">IF(K1889="","",MATCH(K1889,$F$2:$F$5001,0))</f>
        <v/>
      </c>
      <c r="M1889" s="0" t="str">
        <f aca="false">IF(I1889="","",INDEX(הגדרות!$A$2:$A$21,MOD(I1889+הגדרות!$E$9,הגדרות!$E$6)+1))</f>
        <v/>
      </c>
    </row>
    <row r="1890" customFormat="false" ht="15" hidden="false" customHeight="false" outlineLevel="0" collapsed="false">
      <c r="A1890" s="0" t="str">
        <f aca="false">IF('הדבקת לידים'!A1890="","",IF(ISNUMBER('הדבקת לידים'!A1890),IF(הגדרות!$E$2&gt;0,TEXT('הדבקת לידים'!A1890,REPT("0",הגדרות!$E$2)),TEXT('הדבקת לידים'!A1890,"0")),TRIM('הדבקת לידים'!A1890)))</f>
        <v/>
      </c>
      <c r="B1890" s="0" t="str">
        <f aca="false">IF('הדבקת לידים'!B1890="","",IF(ISNUMBER('הדבקת לידים'!B1890),IF(הגדרות!$E$3&gt;0,TEXT('הדבקת לידים'!B1890,REPT("0",הגדרות!$E$3)),TEXT('הדבקת לידים'!B1890,"0")),TRIM('הדבקת לידים'!B1890)))</f>
        <v/>
      </c>
      <c r="C1890" s="0" t="n">
        <f aca="false">IF(OR(A1890&lt;&gt;"",B1890&lt;&gt;""),1,0)</f>
        <v>0</v>
      </c>
      <c r="D1890" s="0" t="str">
        <f aca="false">IF(C1890=1,MOD(ABS(SIN(ROW()*12.9898+'הדבקת לידים'!$F$2*78.233+IFERROR(--RIGHT(A1890,6),LEN(A1890))*0.0137+IFERROR(--RIGHT(B1890,6),LEN(B1890))*0.0071))*43758.5453,1),"")</f>
        <v/>
      </c>
      <c r="E1890" s="0" t="str">
        <f aca="false">IF(C1890=1,INT(MOD(ABS(SIN(D1890*7919.123+ROW()*0.618+'הדבקת לידים'!$F$2*1.3))*43758.5453,1)*1000000)*10000+ROW(),"")</f>
        <v/>
      </c>
      <c r="F1890" s="0" t="str">
        <f aca="false">IF(E1890="","",RANK(E1890,$E$2:$E$5001,1))</f>
        <v/>
      </c>
      <c r="G1890" s="0" t="n">
        <f aca="false">IF(A1890="",0,IF(SUMPRODUCT(--($A$2:$A$5001=A1890))&gt;1,1,0))</f>
        <v>0</v>
      </c>
      <c r="H1890" s="0" t="n">
        <f aca="false">ROW()-1</f>
        <v>1889</v>
      </c>
      <c r="I1890" s="0" t="str">
        <f aca="false">IF(OR(הגדרות!$E$6=0,H1890&gt;הגדרות!$E$5),"",IF(H1890-1&lt;הגדרות!$E$8*(הגדרות!$E$7+1),INT((H1890-1)/(הגדרות!$E$7+1)),הגדרות!$E$8+INT((H1890-1-הגדרות!$E$8*(הגדרות!$E$7+1))/הגדרות!$E$7)))</f>
        <v/>
      </c>
      <c r="J1890" s="0" t="str">
        <f aca="false">IF(I1890="","",IF(H1890-1&lt;הגדרות!$E$8*(הגדרות!$E$7+1),MOD(H1890-1,הגדרות!$E$7+1),MOD(H1890-1-הגדרות!$E$8*(הגדרות!$E$7+1),הגדרות!$E$7)))</f>
        <v/>
      </c>
      <c r="K1890" s="0" t="str">
        <f aca="false">IF(I1890="","",J1890*הגדרות!$E$6+I1890+1)</f>
        <v/>
      </c>
      <c r="L1890" s="0" t="str">
        <f aca="false">IF(K1890="","",MATCH(K1890,$F$2:$F$5001,0))</f>
        <v/>
      </c>
      <c r="M1890" s="0" t="str">
        <f aca="false">IF(I1890="","",INDEX(הגדרות!$A$2:$A$21,MOD(I1890+הגדרות!$E$9,הגדרות!$E$6)+1))</f>
        <v/>
      </c>
    </row>
    <row r="1891" customFormat="false" ht="15" hidden="false" customHeight="false" outlineLevel="0" collapsed="false">
      <c r="A1891" s="0" t="str">
        <f aca="false">IF('הדבקת לידים'!A1891="","",IF(ISNUMBER('הדבקת לידים'!A1891),IF(הגדרות!$E$2&gt;0,TEXT('הדבקת לידים'!A1891,REPT("0",הגדרות!$E$2)),TEXT('הדבקת לידים'!A1891,"0")),TRIM('הדבקת לידים'!A1891)))</f>
        <v/>
      </c>
      <c r="B1891" s="0" t="str">
        <f aca="false">IF('הדבקת לידים'!B1891="","",IF(ISNUMBER('הדבקת לידים'!B1891),IF(הגדרות!$E$3&gt;0,TEXT('הדבקת לידים'!B1891,REPT("0",הגדרות!$E$3)),TEXT('הדבקת לידים'!B1891,"0")),TRIM('הדבקת לידים'!B1891)))</f>
        <v/>
      </c>
      <c r="C1891" s="0" t="n">
        <f aca="false">IF(OR(A1891&lt;&gt;"",B1891&lt;&gt;""),1,0)</f>
        <v>0</v>
      </c>
      <c r="D1891" s="0" t="str">
        <f aca="false">IF(C1891=1,MOD(ABS(SIN(ROW()*12.9898+'הדבקת לידים'!$F$2*78.233+IFERROR(--RIGHT(A1891,6),LEN(A1891))*0.0137+IFERROR(--RIGHT(B1891,6),LEN(B1891))*0.0071))*43758.5453,1),"")</f>
        <v/>
      </c>
      <c r="E1891" s="0" t="str">
        <f aca="false">IF(C1891=1,INT(MOD(ABS(SIN(D1891*7919.123+ROW()*0.618+'הדבקת לידים'!$F$2*1.3))*43758.5453,1)*1000000)*10000+ROW(),"")</f>
        <v/>
      </c>
      <c r="F1891" s="0" t="str">
        <f aca="false">IF(E1891="","",RANK(E1891,$E$2:$E$5001,1))</f>
        <v/>
      </c>
      <c r="G1891" s="0" t="n">
        <f aca="false">IF(A1891="",0,IF(SUMPRODUCT(--($A$2:$A$5001=A1891))&gt;1,1,0))</f>
        <v>0</v>
      </c>
      <c r="H1891" s="0" t="n">
        <f aca="false">ROW()-1</f>
        <v>1890</v>
      </c>
      <c r="I1891" s="0" t="str">
        <f aca="false">IF(OR(הגדרות!$E$6=0,H1891&gt;הגדרות!$E$5),"",IF(H1891-1&lt;הגדרות!$E$8*(הגדרות!$E$7+1),INT((H1891-1)/(הגדרות!$E$7+1)),הגדרות!$E$8+INT((H1891-1-הגדרות!$E$8*(הגדרות!$E$7+1))/הגדרות!$E$7)))</f>
        <v/>
      </c>
      <c r="J1891" s="0" t="str">
        <f aca="false">IF(I1891="","",IF(H1891-1&lt;הגדרות!$E$8*(הגדרות!$E$7+1),MOD(H1891-1,הגדרות!$E$7+1),MOD(H1891-1-הגדרות!$E$8*(הגדרות!$E$7+1),הגדרות!$E$7)))</f>
        <v/>
      </c>
      <c r="K1891" s="0" t="str">
        <f aca="false">IF(I1891="","",J1891*הגדרות!$E$6+I1891+1)</f>
        <v/>
      </c>
      <c r="L1891" s="0" t="str">
        <f aca="false">IF(K1891="","",MATCH(K1891,$F$2:$F$5001,0))</f>
        <v/>
      </c>
      <c r="M1891" s="0" t="str">
        <f aca="false">IF(I1891="","",INDEX(הגדרות!$A$2:$A$21,MOD(I1891+הגדרות!$E$9,הגדרות!$E$6)+1))</f>
        <v/>
      </c>
    </row>
    <row r="1892" customFormat="false" ht="15" hidden="false" customHeight="false" outlineLevel="0" collapsed="false">
      <c r="A1892" s="0" t="str">
        <f aca="false">IF('הדבקת לידים'!A1892="","",IF(ISNUMBER('הדבקת לידים'!A1892),IF(הגדרות!$E$2&gt;0,TEXT('הדבקת לידים'!A1892,REPT("0",הגדרות!$E$2)),TEXT('הדבקת לידים'!A1892,"0")),TRIM('הדבקת לידים'!A1892)))</f>
        <v/>
      </c>
      <c r="B1892" s="0" t="str">
        <f aca="false">IF('הדבקת לידים'!B1892="","",IF(ISNUMBER('הדבקת לידים'!B1892),IF(הגדרות!$E$3&gt;0,TEXT('הדבקת לידים'!B1892,REPT("0",הגדרות!$E$3)),TEXT('הדבקת לידים'!B1892,"0")),TRIM('הדבקת לידים'!B1892)))</f>
        <v/>
      </c>
      <c r="C1892" s="0" t="n">
        <f aca="false">IF(OR(A1892&lt;&gt;"",B1892&lt;&gt;""),1,0)</f>
        <v>0</v>
      </c>
      <c r="D1892" s="0" t="str">
        <f aca="false">IF(C1892=1,MOD(ABS(SIN(ROW()*12.9898+'הדבקת לידים'!$F$2*78.233+IFERROR(--RIGHT(A1892,6),LEN(A1892))*0.0137+IFERROR(--RIGHT(B1892,6),LEN(B1892))*0.0071))*43758.5453,1),"")</f>
        <v/>
      </c>
      <c r="E1892" s="0" t="str">
        <f aca="false">IF(C1892=1,INT(MOD(ABS(SIN(D1892*7919.123+ROW()*0.618+'הדבקת לידים'!$F$2*1.3))*43758.5453,1)*1000000)*10000+ROW(),"")</f>
        <v/>
      </c>
      <c r="F1892" s="0" t="str">
        <f aca="false">IF(E1892="","",RANK(E1892,$E$2:$E$5001,1))</f>
        <v/>
      </c>
      <c r="G1892" s="0" t="n">
        <f aca="false">IF(A1892="",0,IF(SUMPRODUCT(--($A$2:$A$5001=A1892))&gt;1,1,0))</f>
        <v>0</v>
      </c>
      <c r="H1892" s="0" t="n">
        <f aca="false">ROW()-1</f>
        <v>1891</v>
      </c>
      <c r="I1892" s="0" t="str">
        <f aca="false">IF(OR(הגדרות!$E$6=0,H1892&gt;הגדרות!$E$5),"",IF(H1892-1&lt;הגדרות!$E$8*(הגדרות!$E$7+1),INT((H1892-1)/(הגדרות!$E$7+1)),הגדרות!$E$8+INT((H1892-1-הגדרות!$E$8*(הגדרות!$E$7+1))/הגדרות!$E$7)))</f>
        <v/>
      </c>
      <c r="J1892" s="0" t="str">
        <f aca="false">IF(I1892="","",IF(H1892-1&lt;הגדרות!$E$8*(הגדרות!$E$7+1),MOD(H1892-1,הגדרות!$E$7+1),MOD(H1892-1-הגדרות!$E$8*(הגדרות!$E$7+1),הגדרות!$E$7)))</f>
        <v/>
      </c>
      <c r="K1892" s="0" t="str">
        <f aca="false">IF(I1892="","",J1892*הגדרות!$E$6+I1892+1)</f>
        <v/>
      </c>
      <c r="L1892" s="0" t="str">
        <f aca="false">IF(K1892="","",MATCH(K1892,$F$2:$F$5001,0))</f>
        <v/>
      </c>
      <c r="M1892" s="0" t="str">
        <f aca="false">IF(I1892="","",INDEX(הגדרות!$A$2:$A$21,MOD(I1892+הגדרות!$E$9,הגדרות!$E$6)+1))</f>
        <v/>
      </c>
    </row>
    <row r="1893" customFormat="false" ht="15" hidden="false" customHeight="false" outlineLevel="0" collapsed="false">
      <c r="A1893" s="0" t="str">
        <f aca="false">IF('הדבקת לידים'!A1893="","",IF(ISNUMBER('הדבקת לידים'!A1893),IF(הגדרות!$E$2&gt;0,TEXT('הדבקת לידים'!A1893,REPT("0",הגדרות!$E$2)),TEXT('הדבקת לידים'!A1893,"0")),TRIM('הדבקת לידים'!A1893)))</f>
        <v/>
      </c>
      <c r="B1893" s="0" t="str">
        <f aca="false">IF('הדבקת לידים'!B1893="","",IF(ISNUMBER('הדבקת לידים'!B1893),IF(הגדרות!$E$3&gt;0,TEXT('הדבקת לידים'!B1893,REPT("0",הגדרות!$E$3)),TEXT('הדבקת לידים'!B1893,"0")),TRIM('הדבקת לידים'!B1893)))</f>
        <v/>
      </c>
      <c r="C1893" s="0" t="n">
        <f aca="false">IF(OR(A1893&lt;&gt;"",B1893&lt;&gt;""),1,0)</f>
        <v>0</v>
      </c>
      <c r="D1893" s="0" t="str">
        <f aca="false">IF(C1893=1,MOD(ABS(SIN(ROW()*12.9898+'הדבקת לידים'!$F$2*78.233+IFERROR(--RIGHT(A1893,6),LEN(A1893))*0.0137+IFERROR(--RIGHT(B1893,6),LEN(B1893))*0.0071))*43758.5453,1),"")</f>
        <v/>
      </c>
      <c r="E1893" s="0" t="str">
        <f aca="false">IF(C1893=1,INT(MOD(ABS(SIN(D1893*7919.123+ROW()*0.618+'הדבקת לידים'!$F$2*1.3))*43758.5453,1)*1000000)*10000+ROW(),"")</f>
        <v/>
      </c>
      <c r="F1893" s="0" t="str">
        <f aca="false">IF(E1893="","",RANK(E1893,$E$2:$E$5001,1))</f>
        <v/>
      </c>
      <c r="G1893" s="0" t="n">
        <f aca="false">IF(A1893="",0,IF(SUMPRODUCT(--($A$2:$A$5001=A1893))&gt;1,1,0))</f>
        <v>0</v>
      </c>
      <c r="H1893" s="0" t="n">
        <f aca="false">ROW()-1</f>
        <v>1892</v>
      </c>
      <c r="I1893" s="0" t="str">
        <f aca="false">IF(OR(הגדרות!$E$6=0,H1893&gt;הגדרות!$E$5),"",IF(H1893-1&lt;הגדרות!$E$8*(הגדרות!$E$7+1),INT((H1893-1)/(הגדרות!$E$7+1)),הגדרות!$E$8+INT((H1893-1-הגדרות!$E$8*(הגדרות!$E$7+1))/הגדרות!$E$7)))</f>
        <v/>
      </c>
      <c r="J1893" s="0" t="str">
        <f aca="false">IF(I1893="","",IF(H1893-1&lt;הגדרות!$E$8*(הגדרות!$E$7+1),MOD(H1893-1,הגדרות!$E$7+1),MOD(H1893-1-הגדרות!$E$8*(הגדרות!$E$7+1),הגדרות!$E$7)))</f>
        <v/>
      </c>
      <c r="K1893" s="0" t="str">
        <f aca="false">IF(I1893="","",J1893*הגדרות!$E$6+I1893+1)</f>
        <v/>
      </c>
      <c r="L1893" s="0" t="str">
        <f aca="false">IF(K1893="","",MATCH(K1893,$F$2:$F$5001,0))</f>
        <v/>
      </c>
      <c r="M1893" s="0" t="str">
        <f aca="false">IF(I1893="","",INDEX(הגדרות!$A$2:$A$21,MOD(I1893+הגדרות!$E$9,הגדרות!$E$6)+1))</f>
        <v/>
      </c>
    </row>
    <row r="1894" customFormat="false" ht="15" hidden="false" customHeight="false" outlineLevel="0" collapsed="false">
      <c r="A1894" s="0" t="str">
        <f aca="false">IF('הדבקת לידים'!A1894="","",IF(ISNUMBER('הדבקת לידים'!A1894),IF(הגדרות!$E$2&gt;0,TEXT('הדבקת לידים'!A1894,REPT("0",הגדרות!$E$2)),TEXT('הדבקת לידים'!A1894,"0")),TRIM('הדבקת לידים'!A1894)))</f>
        <v/>
      </c>
      <c r="B1894" s="0" t="str">
        <f aca="false">IF('הדבקת לידים'!B1894="","",IF(ISNUMBER('הדבקת לידים'!B1894),IF(הגדרות!$E$3&gt;0,TEXT('הדבקת לידים'!B1894,REPT("0",הגדרות!$E$3)),TEXT('הדבקת לידים'!B1894,"0")),TRIM('הדבקת לידים'!B1894)))</f>
        <v/>
      </c>
      <c r="C1894" s="0" t="n">
        <f aca="false">IF(OR(A1894&lt;&gt;"",B1894&lt;&gt;""),1,0)</f>
        <v>0</v>
      </c>
      <c r="D1894" s="0" t="str">
        <f aca="false">IF(C1894=1,MOD(ABS(SIN(ROW()*12.9898+'הדבקת לידים'!$F$2*78.233+IFERROR(--RIGHT(A1894,6),LEN(A1894))*0.0137+IFERROR(--RIGHT(B1894,6),LEN(B1894))*0.0071))*43758.5453,1),"")</f>
        <v/>
      </c>
      <c r="E1894" s="0" t="str">
        <f aca="false">IF(C1894=1,INT(MOD(ABS(SIN(D1894*7919.123+ROW()*0.618+'הדבקת לידים'!$F$2*1.3))*43758.5453,1)*1000000)*10000+ROW(),"")</f>
        <v/>
      </c>
      <c r="F1894" s="0" t="str">
        <f aca="false">IF(E1894="","",RANK(E1894,$E$2:$E$5001,1))</f>
        <v/>
      </c>
      <c r="G1894" s="0" t="n">
        <f aca="false">IF(A1894="",0,IF(SUMPRODUCT(--($A$2:$A$5001=A1894))&gt;1,1,0))</f>
        <v>0</v>
      </c>
      <c r="H1894" s="0" t="n">
        <f aca="false">ROW()-1</f>
        <v>1893</v>
      </c>
      <c r="I1894" s="0" t="str">
        <f aca="false">IF(OR(הגדרות!$E$6=0,H1894&gt;הגדרות!$E$5),"",IF(H1894-1&lt;הגדרות!$E$8*(הגדרות!$E$7+1),INT((H1894-1)/(הגדרות!$E$7+1)),הגדרות!$E$8+INT((H1894-1-הגדרות!$E$8*(הגדרות!$E$7+1))/הגדרות!$E$7)))</f>
        <v/>
      </c>
      <c r="J1894" s="0" t="str">
        <f aca="false">IF(I1894="","",IF(H1894-1&lt;הגדרות!$E$8*(הגדרות!$E$7+1),MOD(H1894-1,הגדרות!$E$7+1),MOD(H1894-1-הגדרות!$E$8*(הגדרות!$E$7+1),הגדרות!$E$7)))</f>
        <v/>
      </c>
      <c r="K1894" s="0" t="str">
        <f aca="false">IF(I1894="","",J1894*הגדרות!$E$6+I1894+1)</f>
        <v/>
      </c>
      <c r="L1894" s="0" t="str">
        <f aca="false">IF(K1894="","",MATCH(K1894,$F$2:$F$5001,0))</f>
        <v/>
      </c>
      <c r="M1894" s="0" t="str">
        <f aca="false">IF(I1894="","",INDEX(הגדרות!$A$2:$A$21,MOD(I1894+הגדרות!$E$9,הגדרות!$E$6)+1))</f>
        <v/>
      </c>
    </row>
    <row r="1895" customFormat="false" ht="15" hidden="false" customHeight="false" outlineLevel="0" collapsed="false">
      <c r="A1895" s="0" t="str">
        <f aca="false">IF('הדבקת לידים'!A1895="","",IF(ISNUMBER('הדבקת לידים'!A1895),IF(הגדרות!$E$2&gt;0,TEXT('הדבקת לידים'!A1895,REPT("0",הגדרות!$E$2)),TEXT('הדבקת לידים'!A1895,"0")),TRIM('הדבקת לידים'!A1895)))</f>
        <v/>
      </c>
      <c r="B1895" s="0" t="str">
        <f aca="false">IF('הדבקת לידים'!B1895="","",IF(ISNUMBER('הדבקת לידים'!B1895),IF(הגדרות!$E$3&gt;0,TEXT('הדבקת לידים'!B1895,REPT("0",הגדרות!$E$3)),TEXT('הדבקת לידים'!B1895,"0")),TRIM('הדבקת לידים'!B1895)))</f>
        <v/>
      </c>
      <c r="C1895" s="0" t="n">
        <f aca="false">IF(OR(A1895&lt;&gt;"",B1895&lt;&gt;""),1,0)</f>
        <v>0</v>
      </c>
      <c r="D1895" s="0" t="str">
        <f aca="false">IF(C1895=1,MOD(ABS(SIN(ROW()*12.9898+'הדבקת לידים'!$F$2*78.233+IFERROR(--RIGHT(A1895,6),LEN(A1895))*0.0137+IFERROR(--RIGHT(B1895,6),LEN(B1895))*0.0071))*43758.5453,1),"")</f>
        <v/>
      </c>
      <c r="E1895" s="0" t="str">
        <f aca="false">IF(C1895=1,INT(MOD(ABS(SIN(D1895*7919.123+ROW()*0.618+'הדבקת לידים'!$F$2*1.3))*43758.5453,1)*1000000)*10000+ROW(),"")</f>
        <v/>
      </c>
      <c r="F1895" s="0" t="str">
        <f aca="false">IF(E1895="","",RANK(E1895,$E$2:$E$5001,1))</f>
        <v/>
      </c>
      <c r="G1895" s="0" t="n">
        <f aca="false">IF(A1895="",0,IF(SUMPRODUCT(--($A$2:$A$5001=A1895))&gt;1,1,0))</f>
        <v>0</v>
      </c>
      <c r="H1895" s="0" t="n">
        <f aca="false">ROW()-1</f>
        <v>1894</v>
      </c>
      <c r="I1895" s="0" t="str">
        <f aca="false">IF(OR(הגדרות!$E$6=0,H1895&gt;הגדרות!$E$5),"",IF(H1895-1&lt;הגדרות!$E$8*(הגדרות!$E$7+1),INT((H1895-1)/(הגדרות!$E$7+1)),הגדרות!$E$8+INT((H1895-1-הגדרות!$E$8*(הגדרות!$E$7+1))/הגדרות!$E$7)))</f>
        <v/>
      </c>
      <c r="J1895" s="0" t="str">
        <f aca="false">IF(I1895="","",IF(H1895-1&lt;הגדרות!$E$8*(הגדרות!$E$7+1),MOD(H1895-1,הגדרות!$E$7+1),MOD(H1895-1-הגדרות!$E$8*(הגדרות!$E$7+1),הגדרות!$E$7)))</f>
        <v/>
      </c>
      <c r="K1895" s="0" t="str">
        <f aca="false">IF(I1895="","",J1895*הגדרות!$E$6+I1895+1)</f>
        <v/>
      </c>
      <c r="L1895" s="0" t="str">
        <f aca="false">IF(K1895="","",MATCH(K1895,$F$2:$F$5001,0))</f>
        <v/>
      </c>
      <c r="M1895" s="0" t="str">
        <f aca="false">IF(I1895="","",INDEX(הגדרות!$A$2:$A$21,MOD(I1895+הגדרות!$E$9,הגדרות!$E$6)+1))</f>
        <v/>
      </c>
    </row>
    <row r="1896" customFormat="false" ht="15" hidden="false" customHeight="false" outlineLevel="0" collapsed="false">
      <c r="A1896" s="0" t="str">
        <f aca="false">IF('הדבקת לידים'!A1896="","",IF(ISNUMBER('הדבקת לידים'!A1896),IF(הגדרות!$E$2&gt;0,TEXT('הדבקת לידים'!A1896,REPT("0",הגדרות!$E$2)),TEXT('הדבקת לידים'!A1896,"0")),TRIM('הדבקת לידים'!A1896)))</f>
        <v/>
      </c>
      <c r="B1896" s="0" t="str">
        <f aca="false">IF('הדבקת לידים'!B1896="","",IF(ISNUMBER('הדבקת לידים'!B1896),IF(הגדרות!$E$3&gt;0,TEXT('הדבקת לידים'!B1896,REPT("0",הגדרות!$E$3)),TEXT('הדבקת לידים'!B1896,"0")),TRIM('הדבקת לידים'!B1896)))</f>
        <v/>
      </c>
      <c r="C1896" s="0" t="n">
        <f aca="false">IF(OR(A1896&lt;&gt;"",B1896&lt;&gt;""),1,0)</f>
        <v>0</v>
      </c>
      <c r="D1896" s="0" t="str">
        <f aca="false">IF(C1896=1,MOD(ABS(SIN(ROW()*12.9898+'הדבקת לידים'!$F$2*78.233+IFERROR(--RIGHT(A1896,6),LEN(A1896))*0.0137+IFERROR(--RIGHT(B1896,6),LEN(B1896))*0.0071))*43758.5453,1),"")</f>
        <v/>
      </c>
      <c r="E1896" s="0" t="str">
        <f aca="false">IF(C1896=1,INT(MOD(ABS(SIN(D1896*7919.123+ROW()*0.618+'הדבקת לידים'!$F$2*1.3))*43758.5453,1)*1000000)*10000+ROW(),"")</f>
        <v/>
      </c>
      <c r="F1896" s="0" t="str">
        <f aca="false">IF(E1896="","",RANK(E1896,$E$2:$E$5001,1))</f>
        <v/>
      </c>
      <c r="G1896" s="0" t="n">
        <f aca="false">IF(A1896="",0,IF(SUMPRODUCT(--($A$2:$A$5001=A1896))&gt;1,1,0))</f>
        <v>0</v>
      </c>
      <c r="H1896" s="0" t="n">
        <f aca="false">ROW()-1</f>
        <v>1895</v>
      </c>
      <c r="I1896" s="0" t="str">
        <f aca="false">IF(OR(הגדרות!$E$6=0,H1896&gt;הגדרות!$E$5),"",IF(H1896-1&lt;הגדרות!$E$8*(הגדרות!$E$7+1),INT((H1896-1)/(הגדרות!$E$7+1)),הגדרות!$E$8+INT((H1896-1-הגדרות!$E$8*(הגדרות!$E$7+1))/הגדרות!$E$7)))</f>
        <v/>
      </c>
      <c r="J1896" s="0" t="str">
        <f aca="false">IF(I1896="","",IF(H1896-1&lt;הגדרות!$E$8*(הגדרות!$E$7+1),MOD(H1896-1,הגדרות!$E$7+1),MOD(H1896-1-הגדרות!$E$8*(הגדרות!$E$7+1),הגדרות!$E$7)))</f>
        <v/>
      </c>
      <c r="K1896" s="0" t="str">
        <f aca="false">IF(I1896="","",J1896*הגדרות!$E$6+I1896+1)</f>
        <v/>
      </c>
      <c r="L1896" s="0" t="str">
        <f aca="false">IF(K1896="","",MATCH(K1896,$F$2:$F$5001,0))</f>
        <v/>
      </c>
      <c r="M1896" s="0" t="str">
        <f aca="false">IF(I1896="","",INDEX(הגדרות!$A$2:$A$21,MOD(I1896+הגדרות!$E$9,הגדרות!$E$6)+1))</f>
        <v/>
      </c>
    </row>
    <row r="1897" customFormat="false" ht="15" hidden="false" customHeight="false" outlineLevel="0" collapsed="false">
      <c r="A1897" s="0" t="str">
        <f aca="false">IF('הדבקת לידים'!A1897="","",IF(ISNUMBER('הדבקת לידים'!A1897),IF(הגדרות!$E$2&gt;0,TEXT('הדבקת לידים'!A1897,REPT("0",הגדרות!$E$2)),TEXT('הדבקת לידים'!A1897,"0")),TRIM('הדבקת לידים'!A1897)))</f>
        <v/>
      </c>
      <c r="B1897" s="0" t="str">
        <f aca="false">IF('הדבקת לידים'!B1897="","",IF(ISNUMBER('הדבקת לידים'!B1897),IF(הגדרות!$E$3&gt;0,TEXT('הדבקת לידים'!B1897,REPT("0",הגדרות!$E$3)),TEXT('הדבקת לידים'!B1897,"0")),TRIM('הדבקת לידים'!B1897)))</f>
        <v/>
      </c>
      <c r="C1897" s="0" t="n">
        <f aca="false">IF(OR(A1897&lt;&gt;"",B1897&lt;&gt;""),1,0)</f>
        <v>0</v>
      </c>
      <c r="D1897" s="0" t="str">
        <f aca="false">IF(C1897=1,MOD(ABS(SIN(ROW()*12.9898+'הדבקת לידים'!$F$2*78.233+IFERROR(--RIGHT(A1897,6),LEN(A1897))*0.0137+IFERROR(--RIGHT(B1897,6),LEN(B1897))*0.0071))*43758.5453,1),"")</f>
        <v/>
      </c>
      <c r="E1897" s="0" t="str">
        <f aca="false">IF(C1897=1,INT(MOD(ABS(SIN(D1897*7919.123+ROW()*0.618+'הדבקת לידים'!$F$2*1.3))*43758.5453,1)*1000000)*10000+ROW(),"")</f>
        <v/>
      </c>
      <c r="F1897" s="0" t="str">
        <f aca="false">IF(E1897="","",RANK(E1897,$E$2:$E$5001,1))</f>
        <v/>
      </c>
      <c r="G1897" s="0" t="n">
        <f aca="false">IF(A1897="",0,IF(SUMPRODUCT(--($A$2:$A$5001=A1897))&gt;1,1,0))</f>
        <v>0</v>
      </c>
      <c r="H1897" s="0" t="n">
        <f aca="false">ROW()-1</f>
        <v>1896</v>
      </c>
      <c r="I1897" s="0" t="str">
        <f aca="false">IF(OR(הגדרות!$E$6=0,H1897&gt;הגדרות!$E$5),"",IF(H1897-1&lt;הגדרות!$E$8*(הגדרות!$E$7+1),INT((H1897-1)/(הגדרות!$E$7+1)),הגדרות!$E$8+INT((H1897-1-הגדרות!$E$8*(הגדרות!$E$7+1))/הגדרות!$E$7)))</f>
        <v/>
      </c>
      <c r="J1897" s="0" t="str">
        <f aca="false">IF(I1897="","",IF(H1897-1&lt;הגדרות!$E$8*(הגדרות!$E$7+1),MOD(H1897-1,הגדרות!$E$7+1),MOD(H1897-1-הגדרות!$E$8*(הגדרות!$E$7+1),הגדרות!$E$7)))</f>
        <v/>
      </c>
      <c r="K1897" s="0" t="str">
        <f aca="false">IF(I1897="","",J1897*הגדרות!$E$6+I1897+1)</f>
        <v/>
      </c>
      <c r="L1897" s="0" t="str">
        <f aca="false">IF(K1897="","",MATCH(K1897,$F$2:$F$5001,0))</f>
        <v/>
      </c>
      <c r="M1897" s="0" t="str">
        <f aca="false">IF(I1897="","",INDEX(הגדרות!$A$2:$A$21,MOD(I1897+הגדרות!$E$9,הגדרות!$E$6)+1))</f>
        <v/>
      </c>
    </row>
    <row r="1898" customFormat="false" ht="15" hidden="false" customHeight="false" outlineLevel="0" collapsed="false">
      <c r="A1898" s="0" t="str">
        <f aca="false">IF('הדבקת לידים'!A1898="","",IF(ISNUMBER('הדבקת לידים'!A1898),IF(הגדרות!$E$2&gt;0,TEXT('הדבקת לידים'!A1898,REPT("0",הגדרות!$E$2)),TEXT('הדבקת לידים'!A1898,"0")),TRIM('הדבקת לידים'!A1898)))</f>
        <v/>
      </c>
      <c r="B1898" s="0" t="str">
        <f aca="false">IF('הדבקת לידים'!B1898="","",IF(ISNUMBER('הדבקת לידים'!B1898),IF(הגדרות!$E$3&gt;0,TEXT('הדבקת לידים'!B1898,REPT("0",הגדרות!$E$3)),TEXT('הדבקת לידים'!B1898,"0")),TRIM('הדבקת לידים'!B1898)))</f>
        <v/>
      </c>
      <c r="C1898" s="0" t="n">
        <f aca="false">IF(OR(A1898&lt;&gt;"",B1898&lt;&gt;""),1,0)</f>
        <v>0</v>
      </c>
      <c r="D1898" s="0" t="str">
        <f aca="false">IF(C1898=1,MOD(ABS(SIN(ROW()*12.9898+'הדבקת לידים'!$F$2*78.233+IFERROR(--RIGHT(A1898,6),LEN(A1898))*0.0137+IFERROR(--RIGHT(B1898,6),LEN(B1898))*0.0071))*43758.5453,1),"")</f>
        <v/>
      </c>
      <c r="E1898" s="0" t="str">
        <f aca="false">IF(C1898=1,INT(MOD(ABS(SIN(D1898*7919.123+ROW()*0.618+'הדבקת לידים'!$F$2*1.3))*43758.5453,1)*1000000)*10000+ROW(),"")</f>
        <v/>
      </c>
      <c r="F1898" s="0" t="str">
        <f aca="false">IF(E1898="","",RANK(E1898,$E$2:$E$5001,1))</f>
        <v/>
      </c>
      <c r="G1898" s="0" t="n">
        <f aca="false">IF(A1898="",0,IF(SUMPRODUCT(--($A$2:$A$5001=A1898))&gt;1,1,0))</f>
        <v>0</v>
      </c>
      <c r="H1898" s="0" t="n">
        <f aca="false">ROW()-1</f>
        <v>1897</v>
      </c>
      <c r="I1898" s="0" t="str">
        <f aca="false">IF(OR(הגדרות!$E$6=0,H1898&gt;הגדרות!$E$5),"",IF(H1898-1&lt;הגדרות!$E$8*(הגדרות!$E$7+1),INT((H1898-1)/(הגדרות!$E$7+1)),הגדרות!$E$8+INT((H1898-1-הגדרות!$E$8*(הגדרות!$E$7+1))/הגדרות!$E$7)))</f>
        <v/>
      </c>
      <c r="J1898" s="0" t="str">
        <f aca="false">IF(I1898="","",IF(H1898-1&lt;הגדרות!$E$8*(הגדרות!$E$7+1),MOD(H1898-1,הגדרות!$E$7+1),MOD(H1898-1-הגדרות!$E$8*(הגדרות!$E$7+1),הגדרות!$E$7)))</f>
        <v/>
      </c>
      <c r="K1898" s="0" t="str">
        <f aca="false">IF(I1898="","",J1898*הגדרות!$E$6+I1898+1)</f>
        <v/>
      </c>
      <c r="L1898" s="0" t="str">
        <f aca="false">IF(K1898="","",MATCH(K1898,$F$2:$F$5001,0))</f>
        <v/>
      </c>
      <c r="M1898" s="0" t="str">
        <f aca="false">IF(I1898="","",INDEX(הגדרות!$A$2:$A$21,MOD(I1898+הגדרות!$E$9,הגדרות!$E$6)+1))</f>
        <v/>
      </c>
    </row>
    <row r="1899" customFormat="false" ht="15" hidden="false" customHeight="false" outlineLevel="0" collapsed="false">
      <c r="A1899" s="0" t="str">
        <f aca="false">IF('הדבקת לידים'!A1899="","",IF(ISNUMBER('הדבקת לידים'!A1899),IF(הגדרות!$E$2&gt;0,TEXT('הדבקת לידים'!A1899,REPT("0",הגדרות!$E$2)),TEXT('הדבקת לידים'!A1899,"0")),TRIM('הדבקת לידים'!A1899)))</f>
        <v/>
      </c>
      <c r="B1899" s="0" t="str">
        <f aca="false">IF('הדבקת לידים'!B1899="","",IF(ISNUMBER('הדבקת לידים'!B1899),IF(הגדרות!$E$3&gt;0,TEXT('הדבקת לידים'!B1899,REPT("0",הגדרות!$E$3)),TEXT('הדבקת לידים'!B1899,"0")),TRIM('הדבקת לידים'!B1899)))</f>
        <v/>
      </c>
      <c r="C1899" s="0" t="n">
        <f aca="false">IF(OR(A1899&lt;&gt;"",B1899&lt;&gt;""),1,0)</f>
        <v>0</v>
      </c>
      <c r="D1899" s="0" t="str">
        <f aca="false">IF(C1899=1,MOD(ABS(SIN(ROW()*12.9898+'הדבקת לידים'!$F$2*78.233+IFERROR(--RIGHT(A1899,6),LEN(A1899))*0.0137+IFERROR(--RIGHT(B1899,6),LEN(B1899))*0.0071))*43758.5453,1),"")</f>
        <v/>
      </c>
      <c r="E1899" s="0" t="str">
        <f aca="false">IF(C1899=1,INT(MOD(ABS(SIN(D1899*7919.123+ROW()*0.618+'הדבקת לידים'!$F$2*1.3))*43758.5453,1)*1000000)*10000+ROW(),"")</f>
        <v/>
      </c>
      <c r="F1899" s="0" t="str">
        <f aca="false">IF(E1899="","",RANK(E1899,$E$2:$E$5001,1))</f>
        <v/>
      </c>
      <c r="G1899" s="0" t="n">
        <f aca="false">IF(A1899="",0,IF(SUMPRODUCT(--($A$2:$A$5001=A1899))&gt;1,1,0))</f>
        <v>0</v>
      </c>
      <c r="H1899" s="0" t="n">
        <f aca="false">ROW()-1</f>
        <v>1898</v>
      </c>
      <c r="I1899" s="0" t="str">
        <f aca="false">IF(OR(הגדרות!$E$6=0,H1899&gt;הגדרות!$E$5),"",IF(H1899-1&lt;הגדרות!$E$8*(הגדרות!$E$7+1),INT((H1899-1)/(הגדרות!$E$7+1)),הגדרות!$E$8+INT((H1899-1-הגדרות!$E$8*(הגדרות!$E$7+1))/הגדרות!$E$7)))</f>
        <v/>
      </c>
      <c r="J1899" s="0" t="str">
        <f aca="false">IF(I1899="","",IF(H1899-1&lt;הגדרות!$E$8*(הגדרות!$E$7+1),MOD(H1899-1,הגדרות!$E$7+1),MOD(H1899-1-הגדרות!$E$8*(הגדרות!$E$7+1),הגדרות!$E$7)))</f>
        <v/>
      </c>
      <c r="K1899" s="0" t="str">
        <f aca="false">IF(I1899="","",J1899*הגדרות!$E$6+I1899+1)</f>
        <v/>
      </c>
      <c r="L1899" s="0" t="str">
        <f aca="false">IF(K1899="","",MATCH(K1899,$F$2:$F$5001,0))</f>
        <v/>
      </c>
      <c r="M1899" s="0" t="str">
        <f aca="false">IF(I1899="","",INDEX(הגדרות!$A$2:$A$21,MOD(I1899+הגדרות!$E$9,הגדרות!$E$6)+1))</f>
        <v/>
      </c>
    </row>
    <row r="1900" customFormat="false" ht="15" hidden="false" customHeight="false" outlineLevel="0" collapsed="false">
      <c r="A1900" s="0" t="str">
        <f aca="false">IF('הדבקת לידים'!A1900="","",IF(ISNUMBER('הדבקת לידים'!A1900),IF(הגדרות!$E$2&gt;0,TEXT('הדבקת לידים'!A1900,REPT("0",הגדרות!$E$2)),TEXT('הדבקת לידים'!A1900,"0")),TRIM('הדבקת לידים'!A1900)))</f>
        <v/>
      </c>
      <c r="B1900" s="0" t="str">
        <f aca="false">IF('הדבקת לידים'!B1900="","",IF(ISNUMBER('הדבקת לידים'!B1900),IF(הגדרות!$E$3&gt;0,TEXT('הדבקת לידים'!B1900,REPT("0",הגדרות!$E$3)),TEXT('הדבקת לידים'!B1900,"0")),TRIM('הדבקת לידים'!B1900)))</f>
        <v/>
      </c>
      <c r="C1900" s="0" t="n">
        <f aca="false">IF(OR(A1900&lt;&gt;"",B1900&lt;&gt;""),1,0)</f>
        <v>0</v>
      </c>
      <c r="D1900" s="0" t="str">
        <f aca="false">IF(C1900=1,MOD(ABS(SIN(ROW()*12.9898+'הדבקת לידים'!$F$2*78.233+IFERROR(--RIGHT(A1900,6),LEN(A1900))*0.0137+IFERROR(--RIGHT(B1900,6),LEN(B1900))*0.0071))*43758.5453,1),"")</f>
        <v/>
      </c>
      <c r="E1900" s="0" t="str">
        <f aca="false">IF(C1900=1,INT(MOD(ABS(SIN(D1900*7919.123+ROW()*0.618+'הדבקת לידים'!$F$2*1.3))*43758.5453,1)*1000000)*10000+ROW(),"")</f>
        <v/>
      </c>
      <c r="F1900" s="0" t="str">
        <f aca="false">IF(E1900="","",RANK(E1900,$E$2:$E$5001,1))</f>
        <v/>
      </c>
      <c r="G1900" s="0" t="n">
        <f aca="false">IF(A1900="",0,IF(SUMPRODUCT(--($A$2:$A$5001=A1900))&gt;1,1,0))</f>
        <v>0</v>
      </c>
      <c r="H1900" s="0" t="n">
        <f aca="false">ROW()-1</f>
        <v>1899</v>
      </c>
      <c r="I1900" s="0" t="str">
        <f aca="false">IF(OR(הגדרות!$E$6=0,H1900&gt;הגדרות!$E$5),"",IF(H1900-1&lt;הגדרות!$E$8*(הגדרות!$E$7+1),INT((H1900-1)/(הגדרות!$E$7+1)),הגדרות!$E$8+INT((H1900-1-הגדרות!$E$8*(הגדרות!$E$7+1))/הגדרות!$E$7)))</f>
        <v/>
      </c>
      <c r="J1900" s="0" t="str">
        <f aca="false">IF(I1900="","",IF(H1900-1&lt;הגדרות!$E$8*(הגדרות!$E$7+1),MOD(H1900-1,הגדרות!$E$7+1),MOD(H1900-1-הגדרות!$E$8*(הגדרות!$E$7+1),הגדרות!$E$7)))</f>
        <v/>
      </c>
      <c r="K1900" s="0" t="str">
        <f aca="false">IF(I1900="","",J1900*הגדרות!$E$6+I1900+1)</f>
        <v/>
      </c>
      <c r="L1900" s="0" t="str">
        <f aca="false">IF(K1900="","",MATCH(K1900,$F$2:$F$5001,0))</f>
        <v/>
      </c>
      <c r="M1900" s="0" t="str">
        <f aca="false">IF(I1900="","",INDEX(הגדרות!$A$2:$A$21,MOD(I1900+הגדרות!$E$9,הגדרות!$E$6)+1))</f>
        <v/>
      </c>
    </row>
    <row r="1901" customFormat="false" ht="15" hidden="false" customHeight="false" outlineLevel="0" collapsed="false">
      <c r="A1901" s="0" t="str">
        <f aca="false">IF('הדבקת לידים'!A1901="","",IF(ISNUMBER('הדבקת לידים'!A1901),IF(הגדרות!$E$2&gt;0,TEXT('הדבקת לידים'!A1901,REPT("0",הגדרות!$E$2)),TEXT('הדבקת לידים'!A1901,"0")),TRIM('הדבקת לידים'!A1901)))</f>
        <v/>
      </c>
      <c r="B1901" s="0" t="str">
        <f aca="false">IF('הדבקת לידים'!B1901="","",IF(ISNUMBER('הדבקת לידים'!B1901),IF(הגדרות!$E$3&gt;0,TEXT('הדבקת לידים'!B1901,REPT("0",הגדרות!$E$3)),TEXT('הדבקת לידים'!B1901,"0")),TRIM('הדבקת לידים'!B1901)))</f>
        <v/>
      </c>
      <c r="C1901" s="0" t="n">
        <f aca="false">IF(OR(A1901&lt;&gt;"",B1901&lt;&gt;""),1,0)</f>
        <v>0</v>
      </c>
      <c r="D1901" s="0" t="str">
        <f aca="false">IF(C1901=1,MOD(ABS(SIN(ROW()*12.9898+'הדבקת לידים'!$F$2*78.233+IFERROR(--RIGHT(A1901,6),LEN(A1901))*0.0137+IFERROR(--RIGHT(B1901,6),LEN(B1901))*0.0071))*43758.5453,1),"")</f>
        <v/>
      </c>
      <c r="E1901" s="0" t="str">
        <f aca="false">IF(C1901=1,INT(MOD(ABS(SIN(D1901*7919.123+ROW()*0.618+'הדבקת לידים'!$F$2*1.3))*43758.5453,1)*1000000)*10000+ROW(),"")</f>
        <v/>
      </c>
      <c r="F1901" s="0" t="str">
        <f aca="false">IF(E1901="","",RANK(E1901,$E$2:$E$5001,1))</f>
        <v/>
      </c>
      <c r="G1901" s="0" t="n">
        <f aca="false">IF(A1901="",0,IF(SUMPRODUCT(--($A$2:$A$5001=A1901))&gt;1,1,0))</f>
        <v>0</v>
      </c>
      <c r="H1901" s="0" t="n">
        <f aca="false">ROW()-1</f>
        <v>1900</v>
      </c>
      <c r="I1901" s="0" t="str">
        <f aca="false">IF(OR(הגדרות!$E$6=0,H1901&gt;הגדרות!$E$5),"",IF(H1901-1&lt;הגדרות!$E$8*(הגדרות!$E$7+1),INT((H1901-1)/(הגדרות!$E$7+1)),הגדרות!$E$8+INT((H1901-1-הגדרות!$E$8*(הגדרות!$E$7+1))/הגדרות!$E$7)))</f>
        <v/>
      </c>
      <c r="J1901" s="0" t="str">
        <f aca="false">IF(I1901="","",IF(H1901-1&lt;הגדרות!$E$8*(הגדרות!$E$7+1),MOD(H1901-1,הגדרות!$E$7+1),MOD(H1901-1-הגדרות!$E$8*(הגדרות!$E$7+1),הגדרות!$E$7)))</f>
        <v/>
      </c>
      <c r="K1901" s="0" t="str">
        <f aca="false">IF(I1901="","",J1901*הגדרות!$E$6+I1901+1)</f>
        <v/>
      </c>
      <c r="L1901" s="0" t="str">
        <f aca="false">IF(K1901="","",MATCH(K1901,$F$2:$F$5001,0))</f>
        <v/>
      </c>
      <c r="M1901" s="0" t="str">
        <f aca="false">IF(I1901="","",INDEX(הגדרות!$A$2:$A$21,MOD(I1901+הגדרות!$E$9,הגדרות!$E$6)+1))</f>
        <v/>
      </c>
    </row>
    <row r="1902" customFormat="false" ht="15" hidden="false" customHeight="false" outlineLevel="0" collapsed="false">
      <c r="A1902" s="0" t="str">
        <f aca="false">IF('הדבקת לידים'!A1902="","",IF(ISNUMBER('הדבקת לידים'!A1902),IF(הגדרות!$E$2&gt;0,TEXT('הדבקת לידים'!A1902,REPT("0",הגדרות!$E$2)),TEXT('הדבקת לידים'!A1902,"0")),TRIM('הדבקת לידים'!A1902)))</f>
        <v/>
      </c>
      <c r="B1902" s="0" t="str">
        <f aca="false">IF('הדבקת לידים'!B1902="","",IF(ISNUMBER('הדבקת לידים'!B1902),IF(הגדרות!$E$3&gt;0,TEXT('הדבקת לידים'!B1902,REPT("0",הגדרות!$E$3)),TEXT('הדבקת לידים'!B1902,"0")),TRIM('הדבקת לידים'!B1902)))</f>
        <v/>
      </c>
      <c r="C1902" s="0" t="n">
        <f aca="false">IF(OR(A1902&lt;&gt;"",B1902&lt;&gt;""),1,0)</f>
        <v>0</v>
      </c>
      <c r="D1902" s="0" t="str">
        <f aca="false">IF(C1902=1,MOD(ABS(SIN(ROW()*12.9898+'הדבקת לידים'!$F$2*78.233+IFERROR(--RIGHT(A1902,6),LEN(A1902))*0.0137+IFERROR(--RIGHT(B1902,6),LEN(B1902))*0.0071))*43758.5453,1),"")</f>
        <v/>
      </c>
      <c r="E1902" s="0" t="str">
        <f aca="false">IF(C1902=1,INT(MOD(ABS(SIN(D1902*7919.123+ROW()*0.618+'הדבקת לידים'!$F$2*1.3))*43758.5453,1)*1000000)*10000+ROW(),"")</f>
        <v/>
      </c>
      <c r="F1902" s="0" t="str">
        <f aca="false">IF(E1902="","",RANK(E1902,$E$2:$E$5001,1))</f>
        <v/>
      </c>
      <c r="G1902" s="0" t="n">
        <f aca="false">IF(A1902="",0,IF(SUMPRODUCT(--($A$2:$A$5001=A1902))&gt;1,1,0))</f>
        <v>0</v>
      </c>
      <c r="H1902" s="0" t="n">
        <f aca="false">ROW()-1</f>
        <v>1901</v>
      </c>
      <c r="I1902" s="0" t="str">
        <f aca="false">IF(OR(הגדרות!$E$6=0,H1902&gt;הגדרות!$E$5),"",IF(H1902-1&lt;הגדרות!$E$8*(הגדרות!$E$7+1),INT((H1902-1)/(הגדרות!$E$7+1)),הגדרות!$E$8+INT((H1902-1-הגדרות!$E$8*(הגדרות!$E$7+1))/הגדרות!$E$7)))</f>
        <v/>
      </c>
      <c r="J1902" s="0" t="str">
        <f aca="false">IF(I1902="","",IF(H1902-1&lt;הגדרות!$E$8*(הגדרות!$E$7+1),MOD(H1902-1,הגדרות!$E$7+1),MOD(H1902-1-הגדרות!$E$8*(הגדרות!$E$7+1),הגדרות!$E$7)))</f>
        <v/>
      </c>
      <c r="K1902" s="0" t="str">
        <f aca="false">IF(I1902="","",J1902*הגדרות!$E$6+I1902+1)</f>
        <v/>
      </c>
      <c r="L1902" s="0" t="str">
        <f aca="false">IF(K1902="","",MATCH(K1902,$F$2:$F$5001,0))</f>
        <v/>
      </c>
      <c r="M1902" s="0" t="str">
        <f aca="false">IF(I1902="","",INDEX(הגדרות!$A$2:$A$21,MOD(I1902+הגדרות!$E$9,הגדרות!$E$6)+1))</f>
        <v/>
      </c>
    </row>
    <row r="1903" customFormat="false" ht="15" hidden="false" customHeight="false" outlineLevel="0" collapsed="false">
      <c r="A1903" s="0" t="str">
        <f aca="false">IF('הדבקת לידים'!A1903="","",IF(ISNUMBER('הדבקת לידים'!A1903),IF(הגדרות!$E$2&gt;0,TEXT('הדבקת לידים'!A1903,REPT("0",הגדרות!$E$2)),TEXT('הדבקת לידים'!A1903,"0")),TRIM('הדבקת לידים'!A1903)))</f>
        <v/>
      </c>
      <c r="B1903" s="0" t="str">
        <f aca="false">IF('הדבקת לידים'!B1903="","",IF(ISNUMBER('הדבקת לידים'!B1903),IF(הגדרות!$E$3&gt;0,TEXT('הדבקת לידים'!B1903,REPT("0",הגדרות!$E$3)),TEXT('הדבקת לידים'!B1903,"0")),TRIM('הדבקת לידים'!B1903)))</f>
        <v/>
      </c>
      <c r="C1903" s="0" t="n">
        <f aca="false">IF(OR(A1903&lt;&gt;"",B1903&lt;&gt;""),1,0)</f>
        <v>0</v>
      </c>
      <c r="D1903" s="0" t="str">
        <f aca="false">IF(C1903=1,MOD(ABS(SIN(ROW()*12.9898+'הדבקת לידים'!$F$2*78.233+IFERROR(--RIGHT(A1903,6),LEN(A1903))*0.0137+IFERROR(--RIGHT(B1903,6),LEN(B1903))*0.0071))*43758.5453,1),"")</f>
        <v/>
      </c>
      <c r="E1903" s="0" t="str">
        <f aca="false">IF(C1903=1,INT(MOD(ABS(SIN(D1903*7919.123+ROW()*0.618+'הדבקת לידים'!$F$2*1.3))*43758.5453,1)*1000000)*10000+ROW(),"")</f>
        <v/>
      </c>
      <c r="F1903" s="0" t="str">
        <f aca="false">IF(E1903="","",RANK(E1903,$E$2:$E$5001,1))</f>
        <v/>
      </c>
      <c r="G1903" s="0" t="n">
        <f aca="false">IF(A1903="",0,IF(SUMPRODUCT(--($A$2:$A$5001=A1903))&gt;1,1,0))</f>
        <v>0</v>
      </c>
      <c r="H1903" s="0" t="n">
        <f aca="false">ROW()-1</f>
        <v>1902</v>
      </c>
      <c r="I1903" s="0" t="str">
        <f aca="false">IF(OR(הגדרות!$E$6=0,H1903&gt;הגדרות!$E$5),"",IF(H1903-1&lt;הגדרות!$E$8*(הגדרות!$E$7+1),INT((H1903-1)/(הגדרות!$E$7+1)),הגדרות!$E$8+INT((H1903-1-הגדרות!$E$8*(הגדרות!$E$7+1))/הגדרות!$E$7)))</f>
        <v/>
      </c>
      <c r="J1903" s="0" t="str">
        <f aca="false">IF(I1903="","",IF(H1903-1&lt;הגדרות!$E$8*(הגדרות!$E$7+1),MOD(H1903-1,הגדרות!$E$7+1),MOD(H1903-1-הגדרות!$E$8*(הגדרות!$E$7+1),הגדרות!$E$7)))</f>
        <v/>
      </c>
      <c r="K1903" s="0" t="str">
        <f aca="false">IF(I1903="","",J1903*הגדרות!$E$6+I1903+1)</f>
        <v/>
      </c>
      <c r="L1903" s="0" t="str">
        <f aca="false">IF(K1903="","",MATCH(K1903,$F$2:$F$5001,0))</f>
        <v/>
      </c>
      <c r="M1903" s="0" t="str">
        <f aca="false">IF(I1903="","",INDEX(הגדרות!$A$2:$A$21,MOD(I1903+הגדרות!$E$9,הגדרות!$E$6)+1))</f>
        <v/>
      </c>
    </row>
    <row r="1904" customFormat="false" ht="15" hidden="false" customHeight="false" outlineLevel="0" collapsed="false">
      <c r="A1904" s="0" t="str">
        <f aca="false">IF('הדבקת לידים'!A1904="","",IF(ISNUMBER('הדבקת לידים'!A1904),IF(הגדרות!$E$2&gt;0,TEXT('הדבקת לידים'!A1904,REPT("0",הגדרות!$E$2)),TEXT('הדבקת לידים'!A1904,"0")),TRIM('הדבקת לידים'!A1904)))</f>
        <v/>
      </c>
      <c r="B1904" s="0" t="str">
        <f aca="false">IF('הדבקת לידים'!B1904="","",IF(ISNUMBER('הדבקת לידים'!B1904),IF(הגדרות!$E$3&gt;0,TEXT('הדבקת לידים'!B1904,REPT("0",הגדרות!$E$3)),TEXT('הדבקת לידים'!B1904,"0")),TRIM('הדבקת לידים'!B1904)))</f>
        <v/>
      </c>
      <c r="C1904" s="0" t="n">
        <f aca="false">IF(OR(A1904&lt;&gt;"",B1904&lt;&gt;""),1,0)</f>
        <v>0</v>
      </c>
      <c r="D1904" s="0" t="str">
        <f aca="false">IF(C1904=1,MOD(ABS(SIN(ROW()*12.9898+'הדבקת לידים'!$F$2*78.233+IFERROR(--RIGHT(A1904,6),LEN(A1904))*0.0137+IFERROR(--RIGHT(B1904,6),LEN(B1904))*0.0071))*43758.5453,1),"")</f>
        <v/>
      </c>
      <c r="E1904" s="0" t="str">
        <f aca="false">IF(C1904=1,INT(MOD(ABS(SIN(D1904*7919.123+ROW()*0.618+'הדבקת לידים'!$F$2*1.3))*43758.5453,1)*1000000)*10000+ROW(),"")</f>
        <v/>
      </c>
      <c r="F1904" s="0" t="str">
        <f aca="false">IF(E1904="","",RANK(E1904,$E$2:$E$5001,1))</f>
        <v/>
      </c>
      <c r="G1904" s="0" t="n">
        <f aca="false">IF(A1904="",0,IF(SUMPRODUCT(--($A$2:$A$5001=A1904))&gt;1,1,0))</f>
        <v>0</v>
      </c>
      <c r="H1904" s="0" t="n">
        <f aca="false">ROW()-1</f>
        <v>1903</v>
      </c>
      <c r="I1904" s="0" t="str">
        <f aca="false">IF(OR(הגדרות!$E$6=0,H1904&gt;הגדרות!$E$5),"",IF(H1904-1&lt;הגדרות!$E$8*(הגדרות!$E$7+1),INT((H1904-1)/(הגדרות!$E$7+1)),הגדרות!$E$8+INT((H1904-1-הגדרות!$E$8*(הגדרות!$E$7+1))/הגדרות!$E$7)))</f>
        <v/>
      </c>
      <c r="J1904" s="0" t="str">
        <f aca="false">IF(I1904="","",IF(H1904-1&lt;הגדרות!$E$8*(הגדרות!$E$7+1),MOD(H1904-1,הגדרות!$E$7+1),MOD(H1904-1-הגדרות!$E$8*(הגדרות!$E$7+1),הגדרות!$E$7)))</f>
        <v/>
      </c>
      <c r="K1904" s="0" t="str">
        <f aca="false">IF(I1904="","",J1904*הגדרות!$E$6+I1904+1)</f>
        <v/>
      </c>
      <c r="L1904" s="0" t="str">
        <f aca="false">IF(K1904="","",MATCH(K1904,$F$2:$F$5001,0))</f>
        <v/>
      </c>
      <c r="M1904" s="0" t="str">
        <f aca="false">IF(I1904="","",INDEX(הגדרות!$A$2:$A$21,MOD(I1904+הגדרות!$E$9,הגדרות!$E$6)+1))</f>
        <v/>
      </c>
    </row>
    <row r="1905" customFormat="false" ht="15" hidden="false" customHeight="false" outlineLevel="0" collapsed="false">
      <c r="A1905" s="0" t="str">
        <f aca="false">IF('הדבקת לידים'!A1905="","",IF(ISNUMBER('הדבקת לידים'!A1905),IF(הגדרות!$E$2&gt;0,TEXT('הדבקת לידים'!A1905,REPT("0",הגדרות!$E$2)),TEXT('הדבקת לידים'!A1905,"0")),TRIM('הדבקת לידים'!A1905)))</f>
        <v/>
      </c>
      <c r="B1905" s="0" t="str">
        <f aca="false">IF('הדבקת לידים'!B1905="","",IF(ISNUMBER('הדבקת לידים'!B1905),IF(הגדרות!$E$3&gt;0,TEXT('הדבקת לידים'!B1905,REPT("0",הגדרות!$E$3)),TEXT('הדבקת לידים'!B1905,"0")),TRIM('הדבקת לידים'!B1905)))</f>
        <v/>
      </c>
      <c r="C1905" s="0" t="n">
        <f aca="false">IF(OR(A1905&lt;&gt;"",B1905&lt;&gt;""),1,0)</f>
        <v>0</v>
      </c>
      <c r="D1905" s="0" t="str">
        <f aca="false">IF(C1905=1,MOD(ABS(SIN(ROW()*12.9898+'הדבקת לידים'!$F$2*78.233+IFERROR(--RIGHT(A1905,6),LEN(A1905))*0.0137+IFERROR(--RIGHT(B1905,6),LEN(B1905))*0.0071))*43758.5453,1),"")</f>
        <v/>
      </c>
      <c r="E1905" s="0" t="str">
        <f aca="false">IF(C1905=1,INT(MOD(ABS(SIN(D1905*7919.123+ROW()*0.618+'הדבקת לידים'!$F$2*1.3))*43758.5453,1)*1000000)*10000+ROW(),"")</f>
        <v/>
      </c>
      <c r="F1905" s="0" t="str">
        <f aca="false">IF(E1905="","",RANK(E1905,$E$2:$E$5001,1))</f>
        <v/>
      </c>
      <c r="G1905" s="0" t="n">
        <f aca="false">IF(A1905="",0,IF(SUMPRODUCT(--($A$2:$A$5001=A1905))&gt;1,1,0))</f>
        <v>0</v>
      </c>
      <c r="H1905" s="0" t="n">
        <f aca="false">ROW()-1</f>
        <v>1904</v>
      </c>
      <c r="I1905" s="0" t="str">
        <f aca="false">IF(OR(הגדרות!$E$6=0,H1905&gt;הגדרות!$E$5),"",IF(H1905-1&lt;הגדרות!$E$8*(הגדרות!$E$7+1),INT((H1905-1)/(הגדרות!$E$7+1)),הגדרות!$E$8+INT((H1905-1-הגדרות!$E$8*(הגדרות!$E$7+1))/הגדרות!$E$7)))</f>
        <v/>
      </c>
      <c r="J1905" s="0" t="str">
        <f aca="false">IF(I1905="","",IF(H1905-1&lt;הגדרות!$E$8*(הגדרות!$E$7+1),MOD(H1905-1,הגדרות!$E$7+1),MOD(H1905-1-הגדרות!$E$8*(הגדרות!$E$7+1),הגדרות!$E$7)))</f>
        <v/>
      </c>
      <c r="K1905" s="0" t="str">
        <f aca="false">IF(I1905="","",J1905*הגדרות!$E$6+I1905+1)</f>
        <v/>
      </c>
      <c r="L1905" s="0" t="str">
        <f aca="false">IF(K1905="","",MATCH(K1905,$F$2:$F$5001,0))</f>
        <v/>
      </c>
      <c r="M1905" s="0" t="str">
        <f aca="false">IF(I1905="","",INDEX(הגדרות!$A$2:$A$21,MOD(I1905+הגדרות!$E$9,הגדרות!$E$6)+1))</f>
        <v/>
      </c>
    </row>
    <row r="1906" customFormat="false" ht="15" hidden="false" customHeight="false" outlineLevel="0" collapsed="false">
      <c r="A1906" s="0" t="str">
        <f aca="false">IF('הדבקת לידים'!A1906="","",IF(ISNUMBER('הדבקת לידים'!A1906),IF(הגדרות!$E$2&gt;0,TEXT('הדבקת לידים'!A1906,REPT("0",הגדרות!$E$2)),TEXT('הדבקת לידים'!A1906,"0")),TRIM('הדבקת לידים'!A1906)))</f>
        <v/>
      </c>
      <c r="B1906" s="0" t="str">
        <f aca="false">IF('הדבקת לידים'!B1906="","",IF(ISNUMBER('הדבקת לידים'!B1906),IF(הגדרות!$E$3&gt;0,TEXT('הדבקת לידים'!B1906,REPT("0",הגדרות!$E$3)),TEXT('הדבקת לידים'!B1906,"0")),TRIM('הדבקת לידים'!B1906)))</f>
        <v/>
      </c>
      <c r="C1906" s="0" t="n">
        <f aca="false">IF(OR(A1906&lt;&gt;"",B1906&lt;&gt;""),1,0)</f>
        <v>0</v>
      </c>
      <c r="D1906" s="0" t="str">
        <f aca="false">IF(C1906=1,MOD(ABS(SIN(ROW()*12.9898+'הדבקת לידים'!$F$2*78.233+IFERROR(--RIGHT(A1906,6),LEN(A1906))*0.0137+IFERROR(--RIGHT(B1906,6),LEN(B1906))*0.0071))*43758.5453,1),"")</f>
        <v/>
      </c>
      <c r="E1906" s="0" t="str">
        <f aca="false">IF(C1906=1,INT(MOD(ABS(SIN(D1906*7919.123+ROW()*0.618+'הדבקת לידים'!$F$2*1.3))*43758.5453,1)*1000000)*10000+ROW(),"")</f>
        <v/>
      </c>
      <c r="F1906" s="0" t="str">
        <f aca="false">IF(E1906="","",RANK(E1906,$E$2:$E$5001,1))</f>
        <v/>
      </c>
      <c r="G1906" s="0" t="n">
        <f aca="false">IF(A1906="",0,IF(SUMPRODUCT(--($A$2:$A$5001=A1906))&gt;1,1,0))</f>
        <v>0</v>
      </c>
      <c r="H1906" s="0" t="n">
        <f aca="false">ROW()-1</f>
        <v>1905</v>
      </c>
      <c r="I1906" s="0" t="str">
        <f aca="false">IF(OR(הגדרות!$E$6=0,H1906&gt;הגדרות!$E$5),"",IF(H1906-1&lt;הגדרות!$E$8*(הגדרות!$E$7+1),INT((H1906-1)/(הגדרות!$E$7+1)),הגדרות!$E$8+INT((H1906-1-הגדרות!$E$8*(הגדרות!$E$7+1))/הגדרות!$E$7)))</f>
        <v/>
      </c>
      <c r="J1906" s="0" t="str">
        <f aca="false">IF(I1906="","",IF(H1906-1&lt;הגדרות!$E$8*(הגדרות!$E$7+1),MOD(H1906-1,הגדרות!$E$7+1),MOD(H1906-1-הגדרות!$E$8*(הגדרות!$E$7+1),הגדרות!$E$7)))</f>
        <v/>
      </c>
      <c r="K1906" s="0" t="str">
        <f aca="false">IF(I1906="","",J1906*הגדרות!$E$6+I1906+1)</f>
        <v/>
      </c>
      <c r="L1906" s="0" t="str">
        <f aca="false">IF(K1906="","",MATCH(K1906,$F$2:$F$5001,0))</f>
        <v/>
      </c>
      <c r="M1906" s="0" t="str">
        <f aca="false">IF(I1906="","",INDEX(הגדרות!$A$2:$A$21,MOD(I1906+הגדרות!$E$9,הגדרות!$E$6)+1))</f>
        <v/>
      </c>
    </row>
    <row r="1907" customFormat="false" ht="15" hidden="false" customHeight="false" outlineLevel="0" collapsed="false">
      <c r="A1907" s="0" t="str">
        <f aca="false">IF('הדבקת לידים'!A1907="","",IF(ISNUMBER('הדבקת לידים'!A1907),IF(הגדרות!$E$2&gt;0,TEXT('הדבקת לידים'!A1907,REPT("0",הגדרות!$E$2)),TEXT('הדבקת לידים'!A1907,"0")),TRIM('הדבקת לידים'!A1907)))</f>
        <v/>
      </c>
      <c r="B1907" s="0" t="str">
        <f aca="false">IF('הדבקת לידים'!B1907="","",IF(ISNUMBER('הדבקת לידים'!B1907),IF(הגדרות!$E$3&gt;0,TEXT('הדבקת לידים'!B1907,REPT("0",הגדרות!$E$3)),TEXT('הדבקת לידים'!B1907,"0")),TRIM('הדבקת לידים'!B1907)))</f>
        <v/>
      </c>
      <c r="C1907" s="0" t="n">
        <f aca="false">IF(OR(A1907&lt;&gt;"",B1907&lt;&gt;""),1,0)</f>
        <v>0</v>
      </c>
      <c r="D1907" s="0" t="str">
        <f aca="false">IF(C1907=1,MOD(ABS(SIN(ROW()*12.9898+'הדבקת לידים'!$F$2*78.233+IFERROR(--RIGHT(A1907,6),LEN(A1907))*0.0137+IFERROR(--RIGHT(B1907,6),LEN(B1907))*0.0071))*43758.5453,1),"")</f>
        <v/>
      </c>
      <c r="E1907" s="0" t="str">
        <f aca="false">IF(C1907=1,INT(MOD(ABS(SIN(D1907*7919.123+ROW()*0.618+'הדבקת לידים'!$F$2*1.3))*43758.5453,1)*1000000)*10000+ROW(),"")</f>
        <v/>
      </c>
      <c r="F1907" s="0" t="str">
        <f aca="false">IF(E1907="","",RANK(E1907,$E$2:$E$5001,1))</f>
        <v/>
      </c>
      <c r="G1907" s="0" t="n">
        <f aca="false">IF(A1907="",0,IF(SUMPRODUCT(--($A$2:$A$5001=A1907))&gt;1,1,0))</f>
        <v>0</v>
      </c>
      <c r="H1907" s="0" t="n">
        <f aca="false">ROW()-1</f>
        <v>1906</v>
      </c>
      <c r="I1907" s="0" t="str">
        <f aca="false">IF(OR(הגדרות!$E$6=0,H1907&gt;הגדרות!$E$5),"",IF(H1907-1&lt;הגדרות!$E$8*(הגדרות!$E$7+1),INT((H1907-1)/(הגדרות!$E$7+1)),הגדרות!$E$8+INT((H1907-1-הגדרות!$E$8*(הגדרות!$E$7+1))/הגדרות!$E$7)))</f>
        <v/>
      </c>
      <c r="J1907" s="0" t="str">
        <f aca="false">IF(I1907="","",IF(H1907-1&lt;הגדרות!$E$8*(הגדרות!$E$7+1),MOD(H1907-1,הגדרות!$E$7+1),MOD(H1907-1-הגדרות!$E$8*(הגדרות!$E$7+1),הגדרות!$E$7)))</f>
        <v/>
      </c>
      <c r="K1907" s="0" t="str">
        <f aca="false">IF(I1907="","",J1907*הגדרות!$E$6+I1907+1)</f>
        <v/>
      </c>
      <c r="L1907" s="0" t="str">
        <f aca="false">IF(K1907="","",MATCH(K1907,$F$2:$F$5001,0))</f>
        <v/>
      </c>
      <c r="M1907" s="0" t="str">
        <f aca="false">IF(I1907="","",INDEX(הגדרות!$A$2:$A$21,MOD(I1907+הגדרות!$E$9,הגדרות!$E$6)+1))</f>
        <v/>
      </c>
    </row>
    <row r="1908" customFormat="false" ht="15" hidden="false" customHeight="false" outlineLevel="0" collapsed="false">
      <c r="A1908" s="0" t="str">
        <f aca="false">IF('הדבקת לידים'!A1908="","",IF(ISNUMBER('הדבקת לידים'!A1908),IF(הגדרות!$E$2&gt;0,TEXT('הדבקת לידים'!A1908,REPT("0",הגדרות!$E$2)),TEXT('הדבקת לידים'!A1908,"0")),TRIM('הדבקת לידים'!A1908)))</f>
        <v/>
      </c>
      <c r="B1908" s="0" t="str">
        <f aca="false">IF('הדבקת לידים'!B1908="","",IF(ISNUMBER('הדבקת לידים'!B1908),IF(הגדרות!$E$3&gt;0,TEXT('הדבקת לידים'!B1908,REPT("0",הגדרות!$E$3)),TEXT('הדבקת לידים'!B1908,"0")),TRIM('הדבקת לידים'!B1908)))</f>
        <v/>
      </c>
      <c r="C1908" s="0" t="n">
        <f aca="false">IF(OR(A1908&lt;&gt;"",B1908&lt;&gt;""),1,0)</f>
        <v>0</v>
      </c>
      <c r="D1908" s="0" t="str">
        <f aca="false">IF(C1908=1,MOD(ABS(SIN(ROW()*12.9898+'הדבקת לידים'!$F$2*78.233+IFERROR(--RIGHT(A1908,6),LEN(A1908))*0.0137+IFERROR(--RIGHT(B1908,6),LEN(B1908))*0.0071))*43758.5453,1),"")</f>
        <v/>
      </c>
      <c r="E1908" s="0" t="str">
        <f aca="false">IF(C1908=1,INT(MOD(ABS(SIN(D1908*7919.123+ROW()*0.618+'הדבקת לידים'!$F$2*1.3))*43758.5453,1)*1000000)*10000+ROW(),"")</f>
        <v/>
      </c>
      <c r="F1908" s="0" t="str">
        <f aca="false">IF(E1908="","",RANK(E1908,$E$2:$E$5001,1))</f>
        <v/>
      </c>
      <c r="G1908" s="0" t="n">
        <f aca="false">IF(A1908="",0,IF(SUMPRODUCT(--($A$2:$A$5001=A1908))&gt;1,1,0))</f>
        <v>0</v>
      </c>
      <c r="H1908" s="0" t="n">
        <f aca="false">ROW()-1</f>
        <v>1907</v>
      </c>
      <c r="I1908" s="0" t="str">
        <f aca="false">IF(OR(הגדרות!$E$6=0,H1908&gt;הגדרות!$E$5),"",IF(H1908-1&lt;הגדרות!$E$8*(הגדרות!$E$7+1),INT((H1908-1)/(הגדרות!$E$7+1)),הגדרות!$E$8+INT((H1908-1-הגדרות!$E$8*(הגדרות!$E$7+1))/הגדרות!$E$7)))</f>
        <v/>
      </c>
      <c r="J1908" s="0" t="str">
        <f aca="false">IF(I1908="","",IF(H1908-1&lt;הגדרות!$E$8*(הגדרות!$E$7+1),MOD(H1908-1,הגדרות!$E$7+1),MOD(H1908-1-הגדרות!$E$8*(הגדרות!$E$7+1),הגדרות!$E$7)))</f>
        <v/>
      </c>
      <c r="K1908" s="0" t="str">
        <f aca="false">IF(I1908="","",J1908*הגדרות!$E$6+I1908+1)</f>
        <v/>
      </c>
      <c r="L1908" s="0" t="str">
        <f aca="false">IF(K1908="","",MATCH(K1908,$F$2:$F$5001,0))</f>
        <v/>
      </c>
      <c r="M1908" s="0" t="str">
        <f aca="false">IF(I1908="","",INDEX(הגדרות!$A$2:$A$21,MOD(I1908+הגדרות!$E$9,הגדרות!$E$6)+1))</f>
        <v/>
      </c>
    </row>
    <row r="1909" customFormat="false" ht="15" hidden="false" customHeight="false" outlineLevel="0" collapsed="false">
      <c r="A1909" s="0" t="str">
        <f aca="false">IF('הדבקת לידים'!A1909="","",IF(ISNUMBER('הדבקת לידים'!A1909),IF(הגדרות!$E$2&gt;0,TEXT('הדבקת לידים'!A1909,REPT("0",הגדרות!$E$2)),TEXT('הדבקת לידים'!A1909,"0")),TRIM('הדבקת לידים'!A1909)))</f>
        <v/>
      </c>
      <c r="B1909" s="0" t="str">
        <f aca="false">IF('הדבקת לידים'!B1909="","",IF(ISNUMBER('הדבקת לידים'!B1909),IF(הגדרות!$E$3&gt;0,TEXT('הדבקת לידים'!B1909,REPT("0",הגדרות!$E$3)),TEXT('הדבקת לידים'!B1909,"0")),TRIM('הדבקת לידים'!B1909)))</f>
        <v/>
      </c>
      <c r="C1909" s="0" t="n">
        <f aca="false">IF(OR(A1909&lt;&gt;"",B1909&lt;&gt;""),1,0)</f>
        <v>0</v>
      </c>
      <c r="D1909" s="0" t="str">
        <f aca="false">IF(C1909=1,MOD(ABS(SIN(ROW()*12.9898+'הדבקת לידים'!$F$2*78.233+IFERROR(--RIGHT(A1909,6),LEN(A1909))*0.0137+IFERROR(--RIGHT(B1909,6),LEN(B1909))*0.0071))*43758.5453,1),"")</f>
        <v/>
      </c>
      <c r="E1909" s="0" t="str">
        <f aca="false">IF(C1909=1,INT(MOD(ABS(SIN(D1909*7919.123+ROW()*0.618+'הדבקת לידים'!$F$2*1.3))*43758.5453,1)*1000000)*10000+ROW(),"")</f>
        <v/>
      </c>
      <c r="F1909" s="0" t="str">
        <f aca="false">IF(E1909="","",RANK(E1909,$E$2:$E$5001,1))</f>
        <v/>
      </c>
      <c r="G1909" s="0" t="n">
        <f aca="false">IF(A1909="",0,IF(SUMPRODUCT(--($A$2:$A$5001=A1909))&gt;1,1,0))</f>
        <v>0</v>
      </c>
      <c r="H1909" s="0" t="n">
        <f aca="false">ROW()-1</f>
        <v>1908</v>
      </c>
      <c r="I1909" s="0" t="str">
        <f aca="false">IF(OR(הגדרות!$E$6=0,H1909&gt;הגדרות!$E$5),"",IF(H1909-1&lt;הגדרות!$E$8*(הגדרות!$E$7+1),INT((H1909-1)/(הגדרות!$E$7+1)),הגדרות!$E$8+INT((H1909-1-הגדרות!$E$8*(הגדרות!$E$7+1))/הגדרות!$E$7)))</f>
        <v/>
      </c>
      <c r="J1909" s="0" t="str">
        <f aca="false">IF(I1909="","",IF(H1909-1&lt;הגדרות!$E$8*(הגדרות!$E$7+1),MOD(H1909-1,הגדרות!$E$7+1),MOD(H1909-1-הגדרות!$E$8*(הגדרות!$E$7+1),הגדרות!$E$7)))</f>
        <v/>
      </c>
      <c r="K1909" s="0" t="str">
        <f aca="false">IF(I1909="","",J1909*הגדרות!$E$6+I1909+1)</f>
        <v/>
      </c>
      <c r="L1909" s="0" t="str">
        <f aca="false">IF(K1909="","",MATCH(K1909,$F$2:$F$5001,0))</f>
        <v/>
      </c>
      <c r="M1909" s="0" t="str">
        <f aca="false">IF(I1909="","",INDEX(הגדרות!$A$2:$A$21,MOD(I1909+הגדרות!$E$9,הגדרות!$E$6)+1))</f>
        <v/>
      </c>
    </row>
    <row r="1910" customFormat="false" ht="15" hidden="false" customHeight="false" outlineLevel="0" collapsed="false">
      <c r="A1910" s="0" t="str">
        <f aca="false">IF('הדבקת לידים'!A1910="","",IF(ISNUMBER('הדבקת לידים'!A1910),IF(הגדרות!$E$2&gt;0,TEXT('הדבקת לידים'!A1910,REPT("0",הגדרות!$E$2)),TEXT('הדבקת לידים'!A1910,"0")),TRIM('הדבקת לידים'!A1910)))</f>
        <v/>
      </c>
      <c r="B1910" s="0" t="str">
        <f aca="false">IF('הדבקת לידים'!B1910="","",IF(ISNUMBER('הדבקת לידים'!B1910),IF(הגדרות!$E$3&gt;0,TEXT('הדבקת לידים'!B1910,REPT("0",הגדרות!$E$3)),TEXT('הדבקת לידים'!B1910,"0")),TRIM('הדבקת לידים'!B1910)))</f>
        <v/>
      </c>
      <c r="C1910" s="0" t="n">
        <f aca="false">IF(OR(A1910&lt;&gt;"",B1910&lt;&gt;""),1,0)</f>
        <v>0</v>
      </c>
      <c r="D1910" s="0" t="str">
        <f aca="false">IF(C1910=1,MOD(ABS(SIN(ROW()*12.9898+'הדבקת לידים'!$F$2*78.233+IFERROR(--RIGHT(A1910,6),LEN(A1910))*0.0137+IFERROR(--RIGHT(B1910,6),LEN(B1910))*0.0071))*43758.5453,1),"")</f>
        <v/>
      </c>
      <c r="E1910" s="0" t="str">
        <f aca="false">IF(C1910=1,INT(MOD(ABS(SIN(D1910*7919.123+ROW()*0.618+'הדבקת לידים'!$F$2*1.3))*43758.5453,1)*1000000)*10000+ROW(),"")</f>
        <v/>
      </c>
      <c r="F1910" s="0" t="str">
        <f aca="false">IF(E1910="","",RANK(E1910,$E$2:$E$5001,1))</f>
        <v/>
      </c>
      <c r="G1910" s="0" t="n">
        <f aca="false">IF(A1910="",0,IF(SUMPRODUCT(--($A$2:$A$5001=A1910))&gt;1,1,0))</f>
        <v>0</v>
      </c>
      <c r="H1910" s="0" t="n">
        <f aca="false">ROW()-1</f>
        <v>1909</v>
      </c>
      <c r="I1910" s="0" t="str">
        <f aca="false">IF(OR(הגדרות!$E$6=0,H1910&gt;הגדרות!$E$5),"",IF(H1910-1&lt;הגדרות!$E$8*(הגדרות!$E$7+1),INT((H1910-1)/(הגדרות!$E$7+1)),הגדרות!$E$8+INT((H1910-1-הגדרות!$E$8*(הגדרות!$E$7+1))/הגדרות!$E$7)))</f>
        <v/>
      </c>
      <c r="J1910" s="0" t="str">
        <f aca="false">IF(I1910="","",IF(H1910-1&lt;הגדרות!$E$8*(הגדרות!$E$7+1),MOD(H1910-1,הגדרות!$E$7+1),MOD(H1910-1-הגדרות!$E$8*(הגדרות!$E$7+1),הגדרות!$E$7)))</f>
        <v/>
      </c>
      <c r="K1910" s="0" t="str">
        <f aca="false">IF(I1910="","",J1910*הגדרות!$E$6+I1910+1)</f>
        <v/>
      </c>
      <c r="L1910" s="0" t="str">
        <f aca="false">IF(K1910="","",MATCH(K1910,$F$2:$F$5001,0))</f>
        <v/>
      </c>
      <c r="M1910" s="0" t="str">
        <f aca="false">IF(I1910="","",INDEX(הגדרות!$A$2:$A$21,MOD(I1910+הגדרות!$E$9,הגדרות!$E$6)+1))</f>
        <v/>
      </c>
    </row>
    <row r="1911" customFormat="false" ht="15" hidden="false" customHeight="false" outlineLevel="0" collapsed="false">
      <c r="A1911" s="0" t="str">
        <f aca="false">IF('הדבקת לידים'!A1911="","",IF(ISNUMBER('הדבקת לידים'!A1911),IF(הגדרות!$E$2&gt;0,TEXT('הדבקת לידים'!A1911,REPT("0",הגדרות!$E$2)),TEXT('הדבקת לידים'!A1911,"0")),TRIM('הדבקת לידים'!A1911)))</f>
        <v/>
      </c>
      <c r="B1911" s="0" t="str">
        <f aca="false">IF('הדבקת לידים'!B1911="","",IF(ISNUMBER('הדבקת לידים'!B1911),IF(הגדרות!$E$3&gt;0,TEXT('הדבקת לידים'!B1911,REPT("0",הגדרות!$E$3)),TEXT('הדבקת לידים'!B1911,"0")),TRIM('הדבקת לידים'!B1911)))</f>
        <v/>
      </c>
      <c r="C1911" s="0" t="n">
        <f aca="false">IF(OR(A1911&lt;&gt;"",B1911&lt;&gt;""),1,0)</f>
        <v>0</v>
      </c>
      <c r="D1911" s="0" t="str">
        <f aca="false">IF(C1911=1,MOD(ABS(SIN(ROW()*12.9898+'הדבקת לידים'!$F$2*78.233+IFERROR(--RIGHT(A1911,6),LEN(A1911))*0.0137+IFERROR(--RIGHT(B1911,6),LEN(B1911))*0.0071))*43758.5453,1),"")</f>
        <v/>
      </c>
      <c r="E1911" s="0" t="str">
        <f aca="false">IF(C1911=1,INT(MOD(ABS(SIN(D1911*7919.123+ROW()*0.618+'הדבקת לידים'!$F$2*1.3))*43758.5453,1)*1000000)*10000+ROW(),"")</f>
        <v/>
      </c>
      <c r="F1911" s="0" t="str">
        <f aca="false">IF(E1911="","",RANK(E1911,$E$2:$E$5001,1))</f>
        <v/>
      </c>
      <c r="G1911" s="0" t="n">
        <f aca="false">IF(A1911="",0,IF(SUMPRODUCT(--($A$2:$A$5001=A1911))&gt;1,1,0))</f>
        <v>0</v>
      </c>
      <c r="H1911" s="0" t="n">
        <f aca="false">ROW()-1</f>
        <v>1910</v>
      </c>
      <c r="I1911" s="0" t="str">
        <f aca="false">IF(OR(הגדרות!$E$6=0,H1911&gt;הגדרות!$E$5),"",IF(H1911-1&lt;הגדרות!$E$8*(הגדרות!$E$7+1),INT((H1911-1)/(הגדרות!$E$7+1)),הגדרות!$E$8+INT((H1911-1-הגדרות!$E$8*(הגדרות!$E$7+1))/הגדרות!$E$7)))</f>
        <v/>
      </c>
      <c r="J1911" s="0" t="str">
        <f aca="false">IF(I1911="","",IF(H1911-1&lt;הגדרות!$E$8*(הגדרות!$E$7+1),MOD(H1911-1,הגדרות!$E$7+1),MOD(H1911-1-הגדרות!$E$8*(הגדרות!$E$7+1),הגדרות!$E$7)))</f>
        <v/>
      </c>
      <c r="K1911" s="0" t="str">
        <f aca="false">IF(I1911="","",J1911*הגדרות!$E$6+I1911+1)</f>
        <v/>
      </c>
      <c r="L1911" s="0" t="str">
        <f aca="false">IF(K1911="","",MATCH(K1911,$F$2:$F$5001,0))</f>
        <v/>
      </c>
      <c r="M1911" s="0" t="str">
        <f aca="false">IF(I1911="","",INDEX(הגדרות!$A$2:$A$21,MOD(I1911+הגדרות!$E$9,הגדרות!$E$6)+1))</f>
        <v/>
      </c>
    </row>
    <row r="1912" customFormat="false" ht="15" hidden="false" customHeight="false" outlineLevel="0" collapsed="false">
      <c r="A1912" s="0" t="str">
        <f aca="false">IF('הדבקת לידים'!A1912="","",IF(ISNUMBER('הדבקת לידים'!A1912),IF(הגדרות!$E$2&gt;0,TEXT('הדבקת לידים'!A1912,REPT("0",הגדרות!$E$2)),TEXT('הדבקת לידים'!A1912,"0")),TRIM('הדבקת לידים'!A1912)))</f>
        <v/>
      </c>
      <c r="B1912" s="0" t="str">
        <f aca="false">IF('הדבקת לידים'!B1912="","",IF(ISNUMBER('הדבקת לידים'!B1912),IF(הגדרות!$E$3&gt;0,TEXT('הדבקת לידים'!B1912,REPT("0",הגדרות!$E$3)),TEXT('הדבקת לידים'!B1912,"0")),TRIM('הדבקת לידים'!B1912)))</f>
        <v/>
      </c>
      <c r="C1912" s="0" t="n">
        <f aca="false">IF(OR(A1912&lt;&gt;"",B1912&lt;&gt;""),1,0)</f>
        <v>0</v>
      </c>
      <c r="D1912" s="0" t="str">
        <f aca="false">IF(C1912=1,MOD(ABS(SIN(ROW()*12.9898+'הדבקת לידים'!$F$2*78.233+IFERROR(--RIGHT(A1912,6),LEN(A1912))*0.0137+IFERROR(--RIGHT(B1912,6),LEN(B1912))*0.0071))*43758.5453,1),"")</f>
        <v/>
      </c>
      <c r="E1912" s="0" t="str">
        <f aca="false">IF(C1912=1,INT(MOD(ABS(SIN(D1912*7919.123+ROW()*0.618+'הדבקת לידים'!$F$2*1.3))*43758.5453,1)*1000000)*10000+ROW(),"")</f>
        <v/>
      </c>
      <c r="F1912" s="0" t="str">
        <f aca="false">IF(E1912="","",RANK(E1912,$E$2:$E$5001,1))</f>
        <v/>
      </c>
      <c r="G1912" s="0" t="n">
        <f aca="false">IF(A1912="",0,IF(SUMPRODUCT(--($A$2:$A$5001=A1912))&gt;1,1,0))</f>
        <v>0</v>
      </c>
      <c r="H1912" s="0" t="n">
        <f aca="false">ROW()-1</f>
        <v>1911</v>
      </c>
      <c r="I1912" s="0" t="str">
        <f aca="false">IF(OR(הגדרות!$E$6=0,H1912&gt;הגדרות!$E$5),"",IF(H1912-1&lt;הגדרות!$E$8*(הגדרות!$E$7+1),INT((H1912-1)/(הגדרות!$E$7+1)),הגדרות!$E$8+INT((H1912-1-הגדרות!$E$8*(הגדרות!$E$7+1))/הגדרות!$E$7)))</f>
        <v/>
      </c>
      <c r="J1912" s="0" t="str">
        <f aca="false">IF(I1912="","",IF(H1912-1&lt;הגדרות!$E$8*(הגדרות!$E$7+1),MOD(H1912-1,הגדרות!$E$7+1),MOD(H1912-1-הגדרות!$E$8*(הגדרות!$E$7+1),הגדרות!$E$7)))</f>
        <v/>
      </c>
      <c r="K1912" s="0" t="str">
        <f aca="false">IF(I1912="","",J1912*הגדרות!$E$6+I1912+1)</f>
        <v/>
      </c>
      <c r="L1912" s="0" t="str">
        <f aca="false">IF(K1912="","",MATCH(K1912,$F$2:$F$5001,0))</f>
        <v/>
      </c>
      <c r="M1912" s="0" t="str">
        <f aca="false">IF(I1912="","",INDEX(הגדרות!$A$2:$A$21,MOD(I1912+הגדרות!$E$9,הגדרות!$E$6)+1))</f>
        <v/>
      </c>
    </row>
    <row r="1913" customFormat="false" ht="15" hidden="false" customHeight="false" outlineLevel="0" collapsed="false">
      <c r="A1913" s="0" t="str">
        <f aca="false">IF('הדבקת לידים'!A1913="","",IF(ISNUMBER('הדבקת לידים'!A1913),IF(הגדרות!$E$2&gt;0,TEXT('הדבקת לידים'!A1913,REPT("0",הגדרות!$E$2)),TEXT('הדבקת לידים'!A1913,"0")),TRIM('הדבקת לידים'!A1913)))</f>
        <v/>
      </c>
      <c r="B1913" s="0" t="str">
        <f aca="false">IF('הדבקת לידים'!B1913="","",IF(ISNUMBER('הדבקת לידים'!B1913),IF(הגדרות!$E$3&gt;0,TEXT('הדבקת לידים'!B1913,REPT("0",הגדרות!$E$3)),TEXT('הדבקת לידים'!B1913,"0")),TRIM('הדבקת לידים'!B1913)))</f>
        <v/>
      </c>
      <c r="C1913" s="0" t="n">
        <f aca="false">IF(OR(A1913&lt;&gt;"",B1913&lt;&gt;""),1,0)</f>
        <v>0</v>
      </c>
      <c r="D1913" s="0" t="str">
        <f aca="false">IF(C1913=1,MOD(ABS(SIN(ROW()*12.9898+'הדבקת לידים'!$F$2*78.233+IFERROR(--RIGHT(A1913,6),LEN(A1913))*0.0137+IFERROR(--RIGHT(B1913,6),LEN(B1913))*0.0071))*43758.5453,1),"")</f>
        <v/>
      </c>
      <c r="E1913" s="0" t="str">
        <f aca="false">IF(C1913=1,INT(MOD(ABS(SIN(D1913*7919.123+ROW()*0.618+'הדבקת לידים'!$F$2*1.3))*43758.5453,1)*1000000)*10000+ROW(),"")</f>
        <v/>
      </c>
      <c r="F1913" s="0" t="str">
        <f aca="false">IF(E1913="","",RANK(E1913,$E$2:$E$5001,1))</f>
        <v/>
      </c>
      <c r="G1913" s="0" t="n">
        <f aca="false">IF(A1913="",0,IF(SUMPRODUCT(--($A$2:$A$5001=A1913))&gt;1,1,0))</f>
        <v>0</v>
      </c>
      <c r="H1913" s="0" t="n">
        <f aca="false">ROW()-1</f>
        <v>1912</v>
      </c>
      <c r="I1913" s="0" t="str">
        <f aca="false">IF(OR(הגדרות!$E$6=0,H1913&gt;הגדרות!$E$5),"",IF(H1913-1&lt;הגדרות!$E$8*(הגדרות!$E$7+1),INT((H1913-1)/(הגדרות!$E$7+1)),הגדרות!$E$8+INT((H1913-1-הגדרות!$E$8*(הגדרות!$E$7+1))/הגדרות!$E$7)))</f>
        <v/>
      </c>
      <c r="J1913" s="0" t="str">
        <f aca="false">IF(I1913="","",IF(H1913-1&lt;הגדרות!$E$8*(הגדרות!$E$7+1),MOD(H1913-1,הגדרות!$E$7+1),MOD(H1913-1-הגדרות!$E$8*(הגדרות!$E$7+1),הגדרות!$E$7)))</f>
        <v/>
      </c>
      <c r="K1913" s="0" t="str">
        <f aca="false">IF(I1913="","",J1913*הגדרות!$E$6+I1913+1)</f>
        <v/>
      </c>
      <c r="L1913" s="0" t="str">
        <f aca="false">IF(K1913="","",MATCH(K1913,$F$2:$F$5001,0))</f>
        <v/>
      </c>
      <c r="M1913" s="0" t="str">
        <f aca="false">IF(I1913="","",INDEX(הגדרות!$A$2:$A$21,MOD(I1913+הגדרות!$E$9,הגדרות!$E$6)+1))</f>
        <v/>
      </c>
    </row>
    <row r="1914" customFormat="false" ht="15" hidden="false" customHeight="false" outlineLevel="0" collapsed="false">
      <c r="A1914" s="0" t="str">
        <f aca="false">IF('הדבקת לידים'!A1914="","",IF(ISNUMBER('הדבקת לידים'!A1914),IF(הגדרות!$E$2&gt;0,TEXT('הדבקת לידים'!A1914,REPT("0",הגדרות!$E$2)),TEXT('הדבקת לידים'!A1914,"0")),TRIM('הדבקת לידים'!A1914)))</f>
        <v/>
      </c>
      <c r="B1914" s="0" t="str">
        <f aca="false">IF('הדבקת לידים'!B1914="","",IF(ISNUMBER('הדבקת לידים'!B1914),IF(הגדרות!$E$3&gt;0,TEXT('הדבקת לידים'!B1914,REPT("0",הגדרות!$E$3)),TEXT('הדבקת לידים'!B1914,"0")),TRIM('הדבקת לידים'!B1914)))</f>
        <v/>
      </c>
      <c r="C1914" s="0" t="n">
        <f aca="false">IF(OR(A1914&lt;&gt;"",B1914&lt;&gt;""),1,0)</f>
        <v>0</v>
      </c>
      <c r="D1914" s="0" t="str">
        <f aca="false">IF(C1914=1,MOD(ABS(SIN(ROW()*12.9898+'הדבקת לידים'!$F$2*78.233+IFERROR(--RIGHT(A1914,6),LEN(A1914))*0.0137+IFERROR(--RIGHT(B1914,6),LEN(B1914))*0.0071))*43758.5453,1),"")</f>
        <v/>
      </c>
      <c r="E1914" s="0" t="str">
        <f aca="false">IF(C1914=1,INT(MOD(ABS(SIN(D1914*7919.123+ROW()*0.618+'הדבקת לידים'!$F$2*1.3))*43758.5453,1)*1000000)*10000+ROW(),"")</f>
        <v/>
      </c>
      <c r="F1914" s="0" t="str">
        <f aca="false">IF(E1914="","",RANK(E1914,$E$2:$E$5001,1))</f>
        <v/>
      </c>
      <c r="G1914" s="0" t="n">
        <f aca="false">IF(A1914="",0,IF(SUMPRODUCT(--($A$2:$A$5001=A1914))&gt;1,1,0))</f>
        <v>0</v>
      </c>
      <c r="H1914" s="0" t="n">
        <f aca="false">ROW()-1</f>
        <v>1913</v>
      </c>
      <c r="I1914" s="0" t="str">
        <f aca="false">IF(OR(הגדרות!$E$6=0,H1914&gt;הגדרות!$E$5),"",IF(H1914-1&lt;הגדרות!$E$8*(הגדרות!$E$7+1),INT((H1914-1)/(הגדרות!$E$7+1)),הגדרות!$E$8+INT((H1914-1-הגדרות!$E$8*(הגדרות!$E$7+1))/הגדרות!$E$7)))</f>
        <v/>
      </c>
      <c r="J1914" s="0" t="str">
        <f aca="false">IF(I1914="","",IF(H1914-1&lt;הגדרות!$E$8*(הגדרות!$E$7+1),MOD(H1914-1,הגדרות!$E$7+1),MOD(H1914-1-הגדרות!$E$8*(הגדרות!$E$7+1),הגדרות!$E$7)))</f>
        <v/>
      </c>
      <c r="K1914" s="0" t="str">
        <f aca="false">IF(I1914="","",J1914*הגדרות!$E$6+I1914+1)</f>
        <v/>
      </c>
      <c r="L1914" s="0" t="str">
        <f aca="false">IF(K1914="","",MATCH(K1914,$F$2:$F$5001,0))</f>
        <v/>
      </c>
      <c r="M1914" s="0" t="str">
        <f aca="false">IF(I1914="","",INDEX(הגדרות!$A$2:$A$21,MOD(I1914+הגדרות!$E$9,הגדרות!$E$6)+1))</f>
        <v/>
      </c>
    </row>
    <row r="1915" customFormat="false" ht="15" hidden="false" customHeight="false" outlineLevel="0" collapsed="false">
      <c r="A1915" s="0" t="str">
        <f aca="false">IF('הדבקת לידים'!A1915="","",IF(ISNUMBER('הדבקת לידים'!A1915),IF(הגדרות!$E$2&gt;0,TEXT('הדבקת לידים'!A1915,REPT("0",הגדרות!$E$2)),TEXT('הדבקת לידים'!A1915,"0")),TRIM('הדבקת לידים'!A1915)))</f>
        <v/>
      </c>
      <c r="B1915" s="0" t="str">
        <f aca="false">IF('הדבקת לידים'!B1915="","",IF(ISNUMBER('הדבקת לידים'!B1915),IF(הגדרות!$E$3&gt;0,TEXT('הדבקת לידים'!B1915,REPT("0",הגדרות!$E$3)),TEXT('הדבקת לידים'!B1915,"0")),TRIM('הדבקת לידים'!B1915)))</f>
        <v/>
      </c>
      <c r="C1915" s="0" t="n">
        <f aca="false">IF(OR(A1915&lt;&gt;"",B1915&lt;&gt;""),1,0)</f>
        <v>0</v>
      </c>
      <c r="D1915" s="0" t="str">
        <f aca="false">IF(C1915=1,MOD(ABS(SIN(ROW()*12.9898+'הדבקת לידים'!$F$2*78.233+IFERROR(--RIGHT(A1915,6),LEN(A1915))*0.0137+IFERROR(--RIGHT(B1915,6),LEN(B1915))*0.0071))*43758.5453,1),"")</f>
        <v/>
      </c>
      <c r="E1915" s="0" t="str">
        <f aca="false">IF(C1915=1,INT(MOD(ABS(SIN(D1915*7919.123+ROW()*0.618+'הדבקת לידים'!$F$2*1.3))*43758.5453,1)*1000000)*10000+ROW(),"")</f>
        <v/>
      </c>
      <c r="F1915" s="0" t="str">
        <f aca="false">IF(E1915="","",RANK(E1915,$E$2:$E$5001,1))</f>
        <v/>
      </c>
      <c r="G1915" s="0" t="n">
        <f aca="false">IF(A1915="",0,IF(SUMPRODUCT(--($A$2:$A$5001=A1915))&gt;1,1,0))</f>
        <v>0</v>
      </c>
      <c r="H1915" s="0" t="n">
        <f aca="false">ROW()-1</f>
        <v>1914</v>
      </c>
      <c r="I1915" s="0" t="str">
        <f aca="false">IF(OR(הגדרות!$E$6=0,H1915&gt;הגדרות!$E$5),"",IF(H1915-1&lt;הגדרות!$E$8*(הגדרות!$E$7+1),INT((H1915-1)/(הגדרות!$E$7+1)),הגדרות!$E$8+INT((H1915-1-הגדרות!$E$8*(הגדרות!$E$7+1))/הגדרות!$E$7)))</f>
        <v/>
      </c>
      <c r="J1915" s="0" t="str">
        <f aca="false">IF(I1915="","",IF(H1915-1&lt;הגדרות!$E$8*(הגדרות!$E$7+1),MOD(H1915-1,הגדרות!$E$7+1),MOD(H1915-1-הגדרות!$E$8*(הגדרות!$E$7+1),הגדרות!$E$7)))</f>
        <v/>
      </c>
      <c r="K1915" s="0" t="str">
        <f aca="false">IF(I1915="","",J1915*הגדרות!$E$6+I1915+1)</f>
        <v/>
      </c>
      <c r="L1915" s="0" t="str">
        <f aca="false">IF(K1915="","",MATCH(K1915,$F$2:$F$5001,0))</f>
        <v/>
      </c>
      <c r="M1915" s="0" t="str">
        <f aca="false">IF(I1915="","",INDEX(הגדרות!$A$2:$A$21,MOD(I1915+הגדרות!$E$9,הגדרות!$E$6)+1))</f>
        <v/>
      </c>
    </row>
    <row r="1916" customFormat="false" ht="15" hidden="false" customHeight="false" outlineLevel="0" collapsed="false">
      <c r="A1916" s="0" t="str">
        <f aca="false">IF('הדבקת לידים'!A1916="","",IF(ISNUMBER('הדבקת לידים'!A1916),IF(הגדרות!$E$2&gt;0,TEXT('הדבקת לידים'!A1916,REPT("0",הגדרות!$E$2)),TEXT('הדבקת לידים'!A1916,"0")),TRIM('הדבקת לידים'!A1916)))</f>
        <v/>
      </c>
      <c r="B1916" s="0" t="str">
        <f aca="false">IF('הדבקת לידים'!B1916="","",IF(ISNUMBER('הדבקת לידים'!B1916),IF(הגדרות!$E$3&gt;0,TEXT('הדבקת לידים'!B1916,REPT("0",הגדרות!$E$3)),TEXT('הדבקת לידים'!B1916,"0")),TRIM('הדבקת לידים'!B1916)))</f>
        <v/>
      </c>
      <c r="C1916" s="0" t="n">
        <f aca="false">IF(OR(A1916&lt;&gt;"",B1916&lt;&gt;""),1,0)</f>
        <v>0</v>
      </c>
      <c r="D1916" s="0" t="str">
        <f aca="false">IF(C1916=1,MOD(ABS(SIN(ROW()*12.9898+'הדבקת לידים'!$F$2*78.233+IFERROR(--RIGHT(A1916,6),LEN(A1916))*0.0137+IFERROR(--RIGHT(B1916,6),LEN(B1916))*0.0071))*43758.5453,1),"")</f>
        <v/>
      </c>
      <c r="E1916" s="0" t="str">
        <f aca="false">IF(C1916=1,INT(MOD(ABS(SIN(D1916*7919.123+ROW()*0.618+'הדבקת לידים'!$F$2*1.3))*43758.5453,1)*1000000)*10000+ROW(),"")</f>
        <v/>
      </c>
      <c r="F1916" s="0" t="str">
        <f aca="false">IF(E1916="","",RANK(E1916,$E$2:$E$5001,1))</f>
        <v/>
      </c>
      <c r="G1916" s="0" t="n">
        <f aca="false">IF(A1916="",0,IF(SUMPRODUCT(--($A$2:$A$5001=A1916))&gt;1,1,0))</f>
        <v>0</v>
      </c>
      <c r="H1916" s="0" t="n">
        <f aca="false">ROW()-1</f>
        <v>1915</v>
      </c>
      <c r="I1916" s="0" t="str">
        <f aca="false">IF(OR(הגדרות!$E$6=0,H1916&gt;הגדרות!$E$5),"",IF(H1916-1&lt;הגדרות!$E$8*(הגדרות!$E$7+1),INT((H1916-1)/(הגדרות!$E$7+1)),הגדרות!$E$8+INT((H1916-1-הגדרות!$E$8*(הגדרות!$E$7+1))/הגדרות!$E$7)))</f>
        <v/>
      </c>
      <c r="J1916" s="0" t="str">
        <f aca="false">IF(I1916="","",IF(H1916-1&lt;הגדרות!$E$8*(הגדרות!$E$7+1),MOD(H1916-1,הגדרות!$E$7+1),MOD(H1916-1-הגדרות!$E$8*(הגדרות!$E$7+1),הגדרות!$E$7)))</f>
        <v/>
      </c>
      <c r="K1916" s="0" t="str">
        <f aca="false">IF(I1916="","",J1916*הגדרות!$E$6+I1916+1)</f>
        <v/>
      </c>
      <c r="L1916" s="0" t="str">
        <f aca="false">IF(K1916="","",MATCH(K1916,$F$2:$F$5001,0))</f>
        <v/>
      </c>
      <c r="M1916" s="0" t="str">
        <f aca="false">IF(I1916="","",INDEX(הגדרות!$A$2:$A$21,MOD(I1916+הגדרות!$E$9,הגדרות!$E$6)+1))</f>
        <v/>
      </c>
    </row>
    <row r="1917" customFormat="false" ht="15" hidden="false" customHeight="false" outlineLevel="0" collapsed="false">
      <c r="A1917" s="0" t="str">
        <f aca="false">IF('הדבקת לידים'!A1917="","",IF(ISNUMBER('הדבקת לידים'!A1917),IF(הגדרות!$E$2&gt;0,TEXT('הדבקת לידים'!A1917,REPT("0",הגדרות!$E$2)),TEXT('הדבקת לידים'!A1917,"0")),TRIM('הדבקת לידים'!A1917)))</f>
        <v/>
      </c>
      <c r="B1917" s="0" t="str">
        <f aca="false">IF('הדבקת לידים'!B1917="","",IF(ISNUMBER('הדבקת לידים'!B1917),IF(הגדרות!$E$3&gt;0,TEXT('הדבקת לידים'!B1917,REPT("0",הגדרות!$E$3)),TEXT('הדבקת לידים'!B1917,"0")),TRIM('הדבקת לידים'!B1917)))</f>
        <v/>
      </c>
      <c r="C1917" s="0" t="n">
        <f aca="false">IF(OR(A1917&lt;&gt;"",B1917&lt;&gt;""),1,0)</f>
        <v>0</v>
      </c>
      <c r="D1917" s="0" t="str">
        <f aca="false">IF(C1917=1,MOD(ABS(SIN(ROW()*12.9898+'הדבקת לידים'!$F$2*78.233+IFERROR(--RIGHT(A1917,6),LEN(A1917))*0.0137+IFERROR(--RIGHT(B1917,6),LEN(B1917))*0.0071))*43758.5453,1),"")</f>
        <v/>
      </c>
      <c r="E1917" s="0" t="str">
        <f aca="false">IF(C1917=1,INT(MOD(ABS(SIN(D1917*7919.123+ROW()*0.618+'הדבקת לידים'!$F$2*1.3))*43758.5453,1)*1000000)*10000+ROW(),"")</f>
        <v/>
      </c>
      <c r="F1917" s="0" t="str">
        <f aca="false">IF(E1917="","",RANK(E1917,$E$2:$E$5001,1))</f>
        <v/>
      </c>
      <c r="G1917" s="0" t="n">
        <f aca="false">IF(A1917="",0,IF(SUMPRODUCT(--($A$2:$A$5001=A1917))&gt;1,1,0))</f>
        <v>0</v>
      </c>
      <c r="H1917" s="0" t="n">
        <f aca="false">ROW()-1</f>
        <v>1916</v>
      </c>
      <c r="I1917" s="0" t="str">
        <f aca="false">IF(OR(הגדרות!$E$6=0,H1917&gt;הגדרות!$E$5),"",IF(H1917-1&lt;הגדרות!$E$8*(הגדרות!$E$7+1),INT((H1917-1)/(הגדרות!$E$7+1)),הגדרות!$E$8+INT((H1917-1-הגדרות!$E$8*(הגדרות!$E$7+1))/הגדרות!$E$7)))</f>
        <v/>
      </c>
      <c r="J1917" s="0" t="str">
        <f aca="false">IF(I1917="","",IF(H1917-1&lt;הגדרות!$E$8*(הגדרות!$E$7+1),MOD(H1917-1,הגדרות!$E$7+1),MOD(H1917-1-הגדרות!$E$8*(הגדרות!$E$7+1),הגדרות!$E$7)))</f>
        <v/>
      </c>
      <c r="K1917" s="0" t="str">
        <f aca="false">IF(I1917="","",J1917*הגדרות!$E$6+I1917+1)</f>
        <v/>
      </c>
      <c r="L1917" s="0" t="str">
        <f aca="false">IF(K1917="","",MATCH(K1917,$F$2:$F$5001,0))</f>
        <v/>
      </c>
      <c r="M1917" s="0" t="str">
        <f aca="false">IF(I1917="","",INDEX(הגדרות!$A$2:$A$21,MOD(I1917+הגדרות!$E$9,הגדרות!$E$6)+1))</f>
        <v/>
      </c>
    </row>
    <row r="1918" customFormat="false" ht="15" hidden="false" customHeight="false" outlineLevel="0" collapsed="false">
      <c r="A1918" s="0" t="str">
        <f aca="false">IF('הדבקת לידים'!A1918="","",IF(ISNUMBER('הדבקת לידים'!A1918),IF(הגדרות!$E$2&gt;0,TEXT('הדבקת לידים'!A1918,REPT("0",הגדרות!$E$2)),TEXT('הדבקת לידים'!A1918,"0")),TRIM('הדבקת לידים'!A1918)))</f>
        <v/>
      </c>
      <c r="B1918" s="0" t="str">
        <f aca="false">IF('הדבקת לידים'!B1918="","",IF(ISNUMBER('הדבקת לידים'!B1918),IF(הגדרות!$E$3&gt;0,TEXT('הדבקת לידים'!B1918,REPT("0",הגדרות!$E$3)),TEXT('הדבקת לידים'!B1918,"0")),TRIM('הדבקת לידים'!B1918)))</f>
        <v/>
      </c>
      <c r="C1918" s="0" t="n">
        <f aca="false">IF(OR(A1918&lt;&gt;"",B1918&lt;&gt;""),1,0)</f>
        <v>0</v>
      </c>
      <c r="D1918" s="0" t="str">
        <f aca="false">IF(C1918=1,MOD(ABS(SIN(ROW()*12.9898+'הדבקת לידים'!$F$2*78.233+IFERROR(--RIGHT(A1918,6),LEN(A1918))*0.0137+IFERROR(--RIGHT(B1918,6),LEN(B1918))*0.0071))*43758.5453,1),"")</f>
        <v/>
      </c>
      <c r="E1918" s="0" t="str">
        <f aca="false">IF(C1918=1,INT(MOD(ABS(SIN(D1918*7919.123+ROW()*0.618+'הדבקת לידים'!$F$2*1.3))*43758.5453,1)*1000000)*10000+ROW(),"")</f>
        <v/>
      </c>
      <c r="F1918" s="0" t="str">
        <f aca="false">IF(E1918="","",RANK(E1918,$E$2:$E$5001,1))</f>
        <v/>
      </c>
      <c r="G1918" s="0" t="n">
        <f aca="false">IF(A1918="",0,IF(SUMPRODUCT(--($A$2:$A$5001=A1918))&gt;1,1,0))</f>
        <v>0</v>
      </c>
      <c r="H1918" s="0" t="n">
        <f aca="false">ROW()-1</f>
        <v>1917</v>
      </c>
      <c r="I1918" s="0" t="str">
        <f aca="false">IF(OR(הגדרות!$E$6=0,H1918&gt;הגדרות!$E$5),"",IF(H1918-1&lt;הגדרות!$E$8*(הגדרות!$E$7+1),INT((H1918-1)/(הגדרות!$E$7+1)),הגדרות!$E$8+INT((H1918-1-הגדרות!$E$8*(הגדרות!$E$7+1))/הגדרות!$E$7)))</f>
        <v/>
      </c>
      <c r="J1918" s="0" t="str">
        <f aca="false">IF(I1918="","",IF(H1918-1&lt;הגדרות!$E$8*(הגדרות!$E$7+1),MOD(H1918-1,הגדרות!$E$7+1),MOD(H1918-1-הגדרות!$E$8*(הגדרות!$E$7+1),הגדרות!$E$7)))</f>
        <v/>
      </c>
      <c r="K1918" s="0" t="str">
        <f aca="false">IF(I1918="","",J1918*הגדרות!$E$6+I1918+1)</f>
        <v/>
      </c>
      <c r="L1918" s="0" t="str">
        <f aca="false">IF(K1918="","",MATCH(K1918,$F$2:$F$5001,0))</f>
        <v/>
      </c>
      <c r="M1918" s="0" t="str">
        <f aca="false">IF(I1918="","",INDEX(הגדרות!$A$2:$A$21,MOD(I1918+הגדרות!$E$9,הגדרות!$E$6)+1))</f>
        <v/>
      </c>
    </row>
    <row r="1919" customFormat="false" ht="15" hidden="false" customHeight="false" outlineLevel="0" collapsed="false">
      <c r="A1919" s="0" t="str">
        <f aca="false">IF('הדבקת לידים'!A1919="","",IF(ISNUMBER('הדבקת לידים'!A1919),IF(הגדרות!$E$2&gt;0,TEXT('הדבקת לידים'!A1919,REPT("0",הגדרות!$E$2)),TEXT('הדבקת לידים'!A1919,"0")),TRIM('הדבקת לידים'!A1919)))</f>
        <v/>
      </c>
      <c r="B1919" s="0" t="str">
        <f aca="false">IF('הדבקת לידים'!B1919="","",IF(ISNUMBER('הדבקת לידים'!B1919),IF(הגדרות!$E$3&gt;0,TEXT('הדבקת לידים'!B1919,REPT("0",הגדרות!$E$3)),TEXT('הדבקת לידים'!B1919,"0")),TRIM('הדבקת לידים'!B1919)))</f>
        <v/>
      </c>
      <c r="C1919" s="0" t="n">
        <f aca="false">IF(OR(A1919&lt;&gt;"",B1919&lt;&gt;""),1,0)</f>
        <v>0</v>
      </c>
      <c r="D1919" s="0" t="str">
        <f aca="false">IF(C1919=1,MOD(ABS(SIN(ROW()*12.9898+'הדבקת לידים'!$F$2*78.233+IFERROR(--RIGHT(A1919,6),LEN(A1919))*0.0137+IFERROR(--RIGHT(B1919,6),LEN(B1919))*0.0071))*43758.5453,1),"")</f>
        <v/>
      </c>
      <c r="E1919" s="0" t="str">
        <f aca="false">IF(C1919=1,INT(MOD(ABS(SIN(D1919*7919.123+ROW()*0.618+'הדבקת לידים'!$F$2*1.3))*43758.5453,1)*1000000)*10000+ROW(),"")</f>
        <v/>
      </c>
      <c r="F1919" s="0" t="str">
        <f aca="false">IF(E1919="","",RANK(E1919,$E$2:$E$5001,1))</f>
        <v/>
      </c>
      <c r="G1919" s="0" t="n">
        <f aca="false">IF(A1919="",0,IF(SUMPRODUCT(--($A$2:$A$5001=A1919))&gt;1,1,0))</f>
        <v>0</v>
      </c>
      <c r="H1919" s="0" t="n">
        <f aca="false">ROW()-1</f>
        <v>1918</v>
      </c>
      <c r="I1919" s="0" t="str">
        <f aca="false">IF(OR(הגדרות!$E$6=0,H1919&gt;הגדרות!$E$5),"",IF(H1919-1&lt;הגדרות!$E$8*(הגדרות!$E$7+1),INT((H1919-1)/(הגדרות!$E$7+1)),הגדרות!$E$8+INT((H1919-1-הגדרות!$E$8*(הגדרות!$E$7+1))/הגדרות!$E$7)))</f>
        <v/>
      </c>
      <c r="J1919" s="0" t="str">
        <f aca="false">IF(I1919="","",IF(H1919-1&lt;הגדרות!$E$8*(הגדרות!$E$7+1),MOD(H1919-1,הגדרות!$E$7+1),MOD(H1919-1-הגדרות!$E$8*(הגדרות!$E$7+1),הגדרות!$E$7)))</f>
        <v/>
      </c>
      <c r="K1919" s="0" t="str">
        <f aca="false">IF(I1919="","",J1919*הגדרות!$E$6+I1919+1)</f>
        <v/>
      </c>
      <c r="L1919" s="0" t="str">
        <f aca="false">IF(K1919="","",MATCH(K1919,$F$2:$F$5001,0))</f>
        <v/>
      </c>
      <c r="M1919" s="0" t="str">
        <f aca="false">IF(I1919="","",INDEX(הגדרות!$A$2:$A$21,MOD(I1919+הגדרות!$E$9,הגדרות!$E$6)+1))</f>
        <v/>
      </c>
    </row>
    <row r="1920" customFormat="false" ht="15" hidden="false" customHeight="false" outlineLevel="0" collapsed="false">
      <c r="A1920" s="0" t="str">
        <f aca="false">IF('הדבקת לידים'!A1920="","",IF(ISNUMBER('הדבקת לידים'!A1920),IF(הגדרות!$E$2&gt;0,TEXT('הדבקת לידים'!A1920,REPT("0",הגדרות!$E$2)),TEXT('הדבקת לידים'!A1920,"0")),TRIM('הדבקת לידים'!A1920)))</f>
        <v/>
      </c>
      <c r="B1920" s="0" t="str">
        <f aca="false">IF('הדבקת לידים'!B1920="","",IF(ISNUMBER('הדבקת לידים'!B1920),IF(הגדרות!$E$3&gt;0,TEXT('הדבקת לידים'!B1920,REPT("0",הגדרות!$E$3)),TEXT('הדבקת לידים'!B1920,"0")),TRIM('הדבקת לידים'!B1920)))</f>
        <v/>
      </c>
      <c r="C1920" s="0" t="n">
        <f aca="false">IF(OR(A1920&lt;&gt;"",B1920&lt;&gt;""),1,0)</f>
        <v>0</v>
      </c>
      <c r="D1920" s="0" t="str">
        <f aca="false">IF(C1920=1,MOD(ABS(SIN(ROW()*12.9898+'הדבקת לידים'!$F$2*78.233+IFERROR(--RIGHT(A1920,6),LEN(A1920))*0.0137+IFERROR(--RIGHT(B1920,6),LEN(B1920))*0.0071))*43758.5453,1),"")</f>
        <v/>
      </c>
      <c r="E1920" s="0" t="str">
        <f aca="false">IF(C1920=1,INT(MOD(ABS(SIN(D1920*7919.123+ROW()*0.618+'הדבקת לידים'!$F$2*1.3))*43758.5453,1)*1000000)*10000+ROW(),"")</f>
        <v/>
      </c>
      <c r="F1920" s="0" t="str">
        <f aca="false">IF(E1920="","",RANK(E1920,$E$2:$E$5001,1))</f>
        <v/>
      </c>
      <c r="G1920" s="0" t="n">
        <f aca="false">IF(A1920="",0,IF(SUMPRODUCT(--($A$2:$A$5001=A1920))&gt;1,1,0))</f>
        <v>0</v>
      </c>
      <c r="H1920" s="0" t="n">
        <f aca="false">ROW()-1</f>
        <v>1919</v>
      </c>
      <c r="I1920" s="0" t="str">
        <f aca="false">IF(OR(הגדרות!$E$6=0,H1920&gt;הגדרות!$E$5),"",IF(H1920-1&lt;הגדרות!$E$8*(הגדרות!$E$7+1),INT((H1920-1)/(הגדרות!$E$7+1)),הגדרות!$E$8+INT((H1920-1-הגדרות!$E$8*(הגדרות!$E$7+1))/הגדרות!$E$7)))</f>
        <v/>
      </c>
      <c r="J1920" s="0" t="str">
        <f aca="false">IF(I1920="","",IF(H1920-1&lt;הגדרות!$E$8*(הגדרות!$E$7+1),MOD(H1920-1,הגדרות!$E$7+1),MOD(H1920-1-הגדרות!$E$8*(הגדרות!$E$7+1),הגדרות!$E$7)))</f>
        <v/>
      </c>
      <c r="K1920" s="0" t="str">
        <f aca="false">IF(I1920="","",J1920*הגדרות!$E$6+I1920+1)</f>
        <v/>
      </c>
      <c r="L1920" s="0" t="str">
        <f aca="false">IF(K1920="","",MATCH(K1920,$F$2:$F$5001,0))</f>
        <v/>
      </c>
      <c r="M1920" s="0" t="str">
        <f aca="false">IF(I1920="","",INDEX(הגדרות!$A$2:$A$21,MOD(I1920+הגדרות!$E$9,הגדרות!$E$6)+1))</f>
        <v/>
      </c>
    </row>
    <row r="1921" customFormat="false" ht="15" hidden="false" customHeight="false" outlineLevel="0" collapsed="false">
      <c r="A1921" s="0" t="str">
        <f aca="false">IF('הדבקת לידים'!A1921="","",IF(ISNUMBER('הדבקת לידים'!A1921),IF(הגדרות!$E$2&gt;0,TEXT('הדבקת לידים'!A1921,REPT("0",הגדרות!$E$2)),TEXT('הדבקת לידים'!A1921,"0")),TRIM('הדבקת לידים'!A1921)))</f>
        <v/>
      </c>
      <c r="B1921" s="0" t="str">
        <f aca="false">IF('הדבקת לידים'!B1921="","",IF(ISNUMBER('הדבקת לידים'!B1921),IF(הגדרות!$E$3&gt;0,TEXT('הדבקת לידים'!B1921,REPT("0",הגדרות!$E$3)),TEXT('הדבקת לידים'!B1921,"0")),TRIM('הדבקת לידים'!B1921)))</f>
        <v/>
      </c>
      <c r="C1921" s="0" t="n">
        <f aca="false">IF(OR(A1921&lt;&gt;"",B1921&lt;&gt;""),1,0)</f>
        <v>0</v>
      </c>
      <c r="D1921" s="0" t="str">
        <f aca="false">IF(C1921=1,MOD(ABS(SIN(ROW()*12.9898+'הדבקת לידים'!$F$2*78.233+IFERROR(--RIGHT(A1921,6),LEN(A1921))*0.0137+IFERROR(--RIGHT(B1921,6),LEN(B1921))*0.0071))*43758.5453,1),"")</f>
        <v/>
      </c>
      <c r="E1921" s="0" t="str">
        <f aca="false">IF(C1921=1,INT(MOD(ABS(SIN(D1921*7919.123+ROW()*0.618+'הדבקת לידים'!$F$2*1.3))*43758.5453,1)*1000000)*10000+ROW(),"")</f>
        <v/>
      </c>
      <c r="F1921" s="0" t="str">
        <f aca="false">IF(E1921="","",RANK(E1921,$E$2:$E$5001,1))</f>
        <v/>
      </c>
      <c r="G1921" s="0" t="n">
        <f aca="false">IF(A1921="",0,IF(SUMPRODUCT(--($A$2:$A$5001=A1921))&gt;1,1,0))</f>
        <v>0</v>
      </c>
      <c r="H1921" s="0" t="n">
        <f aca="false">ROW()-1</f>
        <v>1920</v>
      </c>
      <c r="I1921" s="0" t="str">
        <f aca="false">IF(OR(הגדרות!$E$6=0,H1921&gt;הגדרות!$E$5),"",IF(H1921-1&lt;הגדרות!$E$8*(הגדרות!$E$7+1),INT((H1921-1)/(הגדרות!$E$7+1)),הגדרות!$E$8+INT((H1921-1-הגדרות!$E$8*(הגדרות!$E$7+1))/הגדרות!$E$7)))</f>
        <v/>
      </c>
      <c r="J1921" s="0" t="str">
        <f aca="false">IF(I1921="","",IF(H1921-1&lt;הגדרות!$E$8*(הגדרות!$E$7+1),MOD(H1921-1,הגדרות!$E$7+1),MOD(H1921-1-הגדרות!$E$8*(הגדרות!$E$7+1),הגדרות!$E$7)))</f>
        <v/>
      </c>
      <c r="K1921" s="0" t="str">
        <f aca="false">IF(I1921="","",J1921*הגדרות!$E$6+I1921+1)</f>
        <v/>
      </c>
      <c r="L1921" s="0" t="str">
        <f aca="false">IF(K1921="","",MATCH(K1921,$F$2:$F$5001,0))</f>
        <v/>
      </c>
      <c r="M1921" s="0" t="str">
        <f aca="false">IF(I1921="","",INDEX(הגדרות!$A$2:$A$21,MOD(I1921+הגדרות!$E$9,הגדרות!$E$6)+1))</f>
        <v/>
      </c>
    </row>
    <row r="1922" customFormat="false" ht="15" hidden="false" customHeight="false" outlineLevel="0" collapsed="false">
      <c r="A1922" s="0" t="str">
        <f aca="false">IF('הדבקת לידים'!A1922="","",IF(ISNUMBER('הדבקת לידים'!A1922),IF(הגדרות!$E$2&gt;0,TEXT('הדבקת לידים'!A1922,REPT("0",הגדרות!$E$2)),TEXT('הדבקת לידים'!A1922,"0")),TRIM('הדבקת לידים'!A1922)))</f>
        <v/>
      </c>
      <c r="B1922" s="0" t="str">
        <f aca="false">IF('הדבקת לידים'!B1922="","",IF(ISNUMBER('הדבקת לידים'!B1922),IF(הגדרות!$E$3&gt;0,TEXT('הדבקת לידים'!B1922,REPT("0",הגדרות!$E$3)),TEXT('הדבקת לידים'!B1922,"0")),TRIM('הדבקת לידים'!B1922)))</f>
        <v/>
      </c>
      <c r="C1922" s="0" t="n">
        <f aca="false">IF(OR(A1922&lt;&gt;"",B1922&lt;&gt;""),1,0)</f>
        <v>0</v>
      </c>
      <c r="D1922" s="0" t="str">
        <f aca="false">IF(C1922=1,MOD(ABS(SIN(ROW()*12.9898+'הדבקת לידים'!$F$2*78.233+IFERROR(--RIGHT(A1922,6),LEN(A1922))*0.0137+IFERROR(--RIGHT(B1922,6),LEN(B1922))*0.0071))*43758.5453,1),"")</f>
        <v/>
      </c>
      <c r="E1922" s="0" t="str">
        <f aca="false">IF(C1922=1,INT(MOD(ABS(SIN(D1922*7919.123+ROW()*0.618+'הדבקת לידים'!$F$2*1.3))*43758.5453,1)*1000000)*10000+ROW(),"")</f>
        <v/>
      </c>
      <c r="F1922" s="0" t="str">
        <f aca="false">IF(E1922="","",RANK(E1922,$E$2:$E$5001,1))</f>
        <v/>
      </c>
      <c r="G1922" s="0" t="n">
        <f aca="false">IF(A1922="",0,IF(SUMPRODUCT(--($A$2:$A$5001=A1922))&gt;1,1,0))</f>
        <v>0</v>
      </c>
      <c r="H1922" s="0" t="n">
        <f aca="false">ROW()-1</f>
        <v>1921</v>
      </c>
      <c r="I1922" s="0" t="str">
        <f aca="false">IF(OR(הגדרות!$E$6=0,H1922&gt;הגדרות!$E$5),"",IF(H1922-1&lt;הגדרות!$E$8*(הגדרות!$E$7+1),INT((H1922-1)/(הגדרות!$E$7+1)),הגדרות!$E$8+INT((H1922-1-הגדרות!$E$8*(הגדרות!$E$7+1))/הגדרות!$E$7)))</f>
        <v/>
      </c>
      <c r="J1922" s="0" t="str">
        <f aca="false">IF(I1922="","",IF(H1922-1&lt;הגדרות!$E$8*(הגדרות!$E$7+1),MOD(H1922-1,הגדרות!$E$7+1),MOD(H1922-1-הגדרות!$E$8*(הגדרות!$E$7+1),הגדרות!$E$7)))</f>
        <v/>
      </c>
      <c r="K1922" s="0" t="str">
        <f aca="false">IF(I1922="","",J1922*הגדרות!$E$6+I1922+1)</f>
        <v/>
      </c>
      <c r="L1922" s="0" t="str">
        <f aca="false">IF(K1922="","",MATCH(K1922,$F$2:$F$5001,0))</f>
        <v/>
      </c>
      <c r="M1922" s="0" t="str">
        <f aca="false">IF(I1922="","",INDEX(הגדרות!$A$2:$A$21,MOD(I1922+הגדרות!$E$9,הגדרות!$E$6)+1))</f>
        <v/>
      </c>
    </row>
    <row r="1923" customFormat="false" ht="15" hidden="false" customHeight="false" outlineLevel="0" collapsed="false">
      <c r="A1923" s="0" t="str">
        <f aca="false">IF('הדבקת לידים'!A1923="","",IF(ISNUMBER('הדבקת לידים'!A1923),IF(הגדרות!$E$2&gt;0,TEXT('הדבקת לידים'!A1923,REPT("0",הגדרות!$E$2)),TEXT('הדבקת לידים'!A1923,"0")),TRIM('הדבקת לידים'!A1923)))</f>
        <v/>
      </c>
      <c r="B1923" s="0" t="str">
        <f aca="false">IF('הדבקת לידים'!B1923="","",IF(ISNUMBER('הדבקת לידים'!B1923),IF(הגדרות!$E$3&gt;0,TEXT('הדבקת לידים'!B1923,REPT("0",הגדרות!$E$3)),TEXT('הדבקת לידים'!B1923,"0")),TRIM('הדבקת לידים'!B1923)))</f>
        <v/>
      </c>
      <c r="C1923" s="0" t="n">
        <f aca="false">IF(OR(A1923&lt;&gt;"",B1923&lt;&gt;""),1,0)</f>
        <v>0</v>
      </c>
      <c r="D1923" s="0" t="str">
        <f aca="false">IF(C1923=1,MOD(ABS(SIN(ROW()*12.9898+'הדבקת לידים'!$F$2*78.233+IFERROR(--RIGHT(A1923,6),LEN(A1923))*0.0137+IFERROR(--RIGHT(B1923,6),LEN(B1923))*0.0071))*43758.5453,1),"")</f>
        <v/>
      </c>
      <c r="E1923" s="0" t="str">
        <f aca="false">IF(C1923=1,INT(MOD(ABS(SIN(D1923*7919.123+ROW()*0.618+'הדבקת לידים'!$F$2*1.3))*43758.5453,1)*1000000)*10000+ROW(),"")</f>
        <v/>
      </c>
      <c r="F1923" s="0" t="str">
        <f aca="false">IF(E1923="","",RANK(E1923,$E$2:$E$5001,1))</f>
        <v/>
      </c>
      <c r="G1923" s="0" t="n">
        <f aca="false">IF(A1923="",0,IF(SUMPRODUCT(--($A$2:$A$5001=A1923))&gt;1,1,0))</f>
        <v>0</v>
      </c>
      <c r="H1923" s="0" t="n">
        <f aca="false">ROW()-1</f>
        <v>1922</v>
      </c>
      <c r="I1923" s="0" t="str">
        <f aca="false">IF(OR(הגדרות!$E$6=0,H1923&gt;הגדרות!$E$5),"",IF(H1923-1&lt;הגדרות!$E$8*(הגדרות!$E$7+1),INT((H1923-1)/(הגדרות!$E$7+1)),הגדרות!$E$8+INT((H1923-1-הגדרות!$E$8*(הגדרות!$E$7+1))/הגדרות!$E$7)))</f>
        <v/>
      </c>
      <c r="J1923" s="0" t="str">
        <f aca="false">IF(I1923="","",IF(H1923-1&lt;הגדרות!$E$8*(הגדרות!$E$7+1),MOD(H1923-1,הגדרות!$E$7+1),MOD(H1923-1-הגדרות!$E$8*(הגדרות!$E$7+1),הגדרות!$E$7)))</f>
        <v/>
      </c>
      <c r="K1923" s="0" t="str">
        <f aca="false">IF(I1923="","",J1923*הגדרות!$E$6+I1923+1)</f>
        <v/>
      </c>
      <c r="L1923" s="0" t="str">
        <f aca="false">IF(K1923="","",MATCH(K1923,$F$2:$F$5001,0))</f>
        <v/>
      </c>
      <c r="M1923" s="0" t="str">
        <f aca="false">IF(I1923="","",INDEX(הגדרות!$A$2:$A$21,MOD(I1923+הגדרות!$E$9,הגדרות!$E$6)+1))</f>
        <v/>
      </c>
    </row>
    <row r="1924" customFormat="false" ht="15" hidden="false" customHeight="false" outlineLevel="0" collapsed="false">
      <c r="A1924" s="0" t="str">
        <f aca="false">IF('הדבקת לידים'!A1924="","",IF(ISNUMBER('הדבקת לידים'!A1924),IF(הגדרות!$E$2&gt;0,TEXT('הדבקת לידים'!A1924,REPT("0",הגדרות!$E$2)),TEXT('הדבקת לידים'!A1924,"0")),TRIM('הדבקת לידים'!A1924)))</f>
        <v/>
      </c>
      <c r="B1924" s="0" t="str">
        <f aca="false">IF('הדבקת לידים'!B1924="","",IF(ISNUMBER('הדבקת לידים'!B1924),IF(הגדרות!$E$3&gt;0,TEXT('הדבקת לידים'!B1924,REPT("0",הגדרות!$E$3)),TEXT('הדבקת לידים'!B1924,"0")),TRIM('הדבקת לידים'!B1924)))</f>
        <v/>
      </c>
      <c r="C1924" s="0" t="n">
        <f aca="false">IF(OR(A1924&lt;&gt;"",B1924&lt;&gt;""),1,0)</f>
        <v>0</v>
      </c>
      <c r="D1924" s="0" t="str">
        <f aca="false">IF(C1924=1,MOD(ABS(SIN(ROW()*12.9898+'הדבקת לידים'!$F$2*78.233+IFERROR(--RIGHT(A1924,6),LEN(A1924))*0.0137+IFERROR(--RIGHT(B1924,6),LEN(B1924))*0.0071))*43758.5453,1),"")</f>
        <v/>
      </c>
      <c r="E1924" s="0" t="str">
        <f aca="false">IF(C1924=1,INT(MOD(ABS(SIN(D1924*7919.123+ROW()*0.618+'הדבקת לידים'!$F$2*1.3))*43758.5453,1)*1000000)*10000+ROW(),"")</f>
        <v/>
      </c>
      <c r="F1924" s="0" t="str">
        <f aca="false">IF(E1924="","",RANK(E1924,$E$2:$E$5001,1))</f>
        <v/>
      </c>
      <c r="G1924" s="0" t="n">
        <f aca="false">IF(A1924="",0,IF(SUMPRODUCT(--($A$2:$A$5001=A1924))&gt;1,1,0))</f>
        <v>0</v>
      </c>
      <c r="H1924" s="0" t="n">
        <f aca="false">ROW()-1</f>
        <v>1923</v>
      </c>
      <c r="I1924" s="0" t="str">
        <f aca="false">IF(OR(הגדרות!$E$6=0,H1924&gt;הגדרות!$E$5),"",IF(H1924-1&lt;הגדרות!$E$8*(הגדרות!$E$7+1),INT((H1924-1)/(הגדרות!$E$7+1)),הגדרות!$E$8+INT((H1924-1-הגדרות!$E$8*(הגדרות!$E$7+1))/הגדרות!$E$7)))</f>
        <v/>
      </c>
      <c r="J1924" s="0" t="str">
        <f aca="false">IF(I1924="","",IF(H1924-1&lt;הגדרות!$E$8*(הגדרות!$E$7+1),MOD(H1924-1,הגדרות!$E$7+1),MOD(H1924-1-הגדרות!$E$8*(הגדרות!$E$7+1),הגדרות!$E$7)))</f>
        <v/>
      </c>
      <c r="K1924" s="0" t="str">
        <f aca="false">IF(I1924="","",J1924*הגדרות!$E$6+I1924+1)</f>
        <v/>
      </c>
      <c r="L1924" s="0" t="str">
        <f aca="false">IF(K1924="","",MATCH(K1924,$F$2:$F$5001,0))</f>
        <v/>
      </c>
      <c r="M1924" s="0" t="str">
        <f aca="false">IF(I1924="","",INDEX(הגדרות!$A$2:$A$21,MOD(I1924+הגדרות!$E$9,הגדרות!$E$6)+1))</f>
        <v/>
      </c>
    </row>
    <row r="1925" customFormat="false" ht="15" hidden="false" customHeight="false" outlineLevel="0" collapsed="false">
      <c r="A1925" s="0" t="str">
        <f aca="false">IF('הדבקת לידים'!A1925="","",IF(ISNUMBER('הדבקת לידים'!A1925),IF(הגדרות!$E$2&gt;0,TEXT('הדבקת לידים'!A1925,REPT("0",הגדרות!$E$2)),TEXT('הדבקת לידים'!A1925,"0")),TRIM('הדבקת לידים'!A1925)))</f>
        <v/>
      </c>
      <c r="B1925" s="0" t="str">
        <f aca="false">IF('הדבקת לידים'!B1925="","",IF(ISNUMBER('הדבקת לידים'!B1925),IF(הגדרות!$E$3&gt;0,TEXT('הדבקת לידים'!B1925,REPT("0",הגדרות!$E$3)),TEXT('הדבקת לידים'!B1925,"0")),TRIM('הדבקת לידים'!B1925)))</f>
        <v/>
      </c>
      <c r="C1925" s="0" t="n">
        <f aca="false">IF(OR(A1925&lt;&gt;"",B1925&lt;&gt;""),1,0)</f>
        <v>0</v>
      </c>
      <c r="D1925" s="0" t="str">
        <f aca="false">IF(C1925=1,MOD(ABS(SIN(ROW()*12.9898+'הדבקת לידים'!$F$2*78.233+IFERROR(--RIGHT(A1925,6),LEN(A1925))*0.0137+IFERROR(--RIGHT(B1925,6),LEN(B1925))*0.0071))*43758.5453,1),"")</f>
        <v/>
      </c>
      <c r="E1925" s="0" t="str">
        <f aca="false">IF(C1925=1,INT(MOD(ABS(SIN(D1925*7919.123+ROW()*0.618+'הדבקת לידים'!$F$2*1.3))*43758.5453,1)*1000000)*10000+ROW(),"")</f>
        <v/>
      </c>
      <c r="F1925" s="0" t="str">
        <f aca="false">IF(E1925="","",RANK(E1925,$E$2:$E$5001,1))</f>
        <v/>
      </c>
      <c r="G1925" s="0" t="n">
        <f aca="false">IF(A1925="",0,IF(SUMPRODUCT(--($A$2:$A$5001=A1925))&gt;1,1,0))</f>
        <v>0</v>
      </c>
      <c r="H1925" s="0" t="n">
        <f aca="false">ROW()-1</f>
        <v>1924</v>
      </c>
      <c r="I1925" s="0" t="str">
        <f aca="false">IF(OR(הגדרות!$E$6=0,H1925&gt;הגדרות!$E$5),"",IF(H1925-1&lt;הגדרות!$E$8*(הגדרות!$E$7+1),INT((H1925-1)/(הגדרות!$E$7+1)),הגדרות!$E$8+INT((H1925-1-הגדרות!$E$8*(הגדרות!$E$7+1))/הגדרות!$E$7)))</f>
        <v/>
      </c>
      <c r="J1925" s="0" t="str">
        <f aca="false">IF(I1925="","",IF(H1925-1&lt;הגדרות!$E$8*(הגדרות!$E$7+1),MOD(H1925-1,הגדרות!$E$7+1),MOD(H1925-1-הגדרות!$E$8*(הגדרות!$E$7+1),הגדרות!$E$7)))</f>
        <v/>
      </c>
      <c r="K1925" s="0" t="str">
        <f aca="false">IF(I1925="","",J1925*הגדרות!$E$6+I1925+1)</f>
        <v/>
      </c>
      <c r="L1925" s="0" t="str">
        <f aca="false">IF(K1925="","",MATCH(K1925,$F$2:$F$5001,0))</f>
        <v/>
      </c>
      <c r="M1925" s="0" t="str">
        <f aca="false">IF(I1925="","",INDEX(הגדרות!$A$2:$A$21,MOD(I1925+הגדרות!$E$9,הגדרות!$E$6)+1))</f>
        <v/>
      </c>
    </row>
    <row r="1926" customFormat="false" ht="15" hidden="false" customHeight="false" outlineLevel="0" collapsed="false">
      <c r="A1926" s="0" t="str">
        <f aca="false">IF('הדבקת לידים'!A1926="","",IF(ISNUMBER('הדבקת לידים'!A1926),IF(הגדרות!$E$2&gt;0,TEXT('הדבקת לידים'!A1926,REPT("0",הגדרות!$E$2)),TEXT('הדבקת לידים'!A1926,"0")),TRIM('הדבקת לידים'!A1926)))</f>
        <v/>
      </c>
      <c r="B1926" s="0" t="str">
        <f aca="false">IF('הדבקת לידים'!B1926="","",IF(ISNUMBER('הדבקת לידים'!B1926),IF(הגדרות!$E$3&gt;0,TEXT('הדבקת לידים'!B1926,REPT("0",הגדרות!$E$3)),TEXT('הדבקת לידים'!B1926,"0")),TRIM('הדבקת לידים'!B1926)))</f>
        <v/>
      </c>
      <c r="C1926" s="0" t="n">
        <f aca="false">IF(OR(A1926&lt;&gt;"",B1926&lt;&gt;""),1,0)</f>
        <v>0</v>
      </c>
      <c r="D1926" s="0" t="str">
        <f aca="false">IF(C1926=1,MOD(ABS(SIN(ROW()*12.9898+'הדבקת לידים'!$F$2*78.233+IFERROR(--RIGHT(A1926,6),LEN(A1926))*0.0137+IFERROR(--RIGHT(B1926,6),LEN(B1926))*0.0071))*43758.5453,1),"")</f>
        <v/>
      </c>
      <c r="E1926" s="0" t="str">
        <f aca="false">IF(C1926=1,INT(MOD(ABS(SIN(D1926*7919.123+ROW()*0.618+'הדבקת לידים'!$F$2*1.3))*43758.5453,1)*1000000)*10000+ROW(),"")</f>
        <v/>
      </c>
      <c r="F1926" s="0" t="str">
        <f aca="false">IF(E1926="","",RANK(E1926,$E$2:$E$5001,1))</f>
        <v/>
      </c>
      <c r="G1926" s="0" t="n">
        <f aca="false">IF(A1926="",0,IF(SUMPRODUCT(--($A$2:$A$5001=A1926))&gt;1,1,0))</f>
        <v>0</v>
      </c>
      <c r="H1926" s="0" t="n">
        <f aca="false">ROW()-1</f>
        <v>1925</v>
      </c>
      <c r="I1926" s="0" t="str">
        <f aca="false">IF(OR(הגדרות!$E$6=0,H1926&gt;הגדרות!$E$5),"",IF(H1926-1&lt;הגדרות!$E$8*(הגדרות!$E$7+1),INT((H1926-1)/(הגדרות!$E$7+1)),הגדרות!$E$8+INT((H1926-1-הגדרות!$E$8*(הגדרות!$E$7+1))/הגדרות!$E$7)))</f>
        <v/>
      </c>
      <c r="J1926" s="0" t="str">
        <f aca="false">IF(I1926="","",IF(H1926-1&lt;הגדרות!$E$8*(הגדרות!$E$7+1),MOD(H1926-1,הגדרות!$E$7+1),MOD(H1926-1-הגדרות!$E$8*(הגדרות!$E$7+1),הגדרות!$E$7)))</f>
        <v/>
      </c>
      <c r="K1926" s="0" t="str">
        <f aca="false">IF(I1926="","",J1926*הגדרות!$E$6+I1926+1)</f>
        <v/>
      </c>
      <c r="L1926" s="0" t="str">
        <f aca="false">IF(K1926="","",MATCH(K1926,$F$2:$F$5001,0))</f>
        <v/>
      </c>
      <c r="M1926" s="0" t="str">
        <f aca="false">IF(I1926="","",INDEX(הגדרות!$A$2:$A$21,MOD(I1926+הגדרות!$E$9,הגדרות!$E$6)+1))</f>
        <v/>
      </c>
    </row>
    <row r="1927" customFormat="false" ht="15" hidden="false" customHeight="false" outlineLevel="0" collapsed="false">
      <c r="A1927" s="0" t="str">
        <f aca="false">IF('הדבקת לידים'!A1927="","",IF(ISNUMBER('הדבקת לידים'!A1927),IF(הגדרות!$E$2&gt;0,TEXT('הדבקת לידים'!A1927,REPT("0",הגדרות!$E$2)),TEXT('הדבקת לידים'!A1927,"0")),TRIM('הדבקת לידים'!A1927)))</f>
        <v/>
      </c>
      <c r="B1927" s="0" t="str">
        <f aca="false">IF('הדבקת לידים'!B1927="","",IF(ISNUMBER('הדבקת לידים'!B1927),IF(הגדרות!$E$3&gt;0,TEXT('הדבקת לידים'!B1927,REPT("0",הגדרות!$E$3)),TEXT('הדבקת לידים'!B1927,"0")),TRIM('הדבקת לידים'!B1927)))</f>
        <v/>
      </c>
      <c r="C1927" s="0" t="n">
        <f aca="false">IF(OR(A1927&lt;&gt;"",B1927&lt;&gt;""),1,0)</f>
        <v>0</v>
      </c>
      <c r="D1927" s="0" t="str">
        <f aca="false">IF(C1927=1,MOD(ABS(SIN(ROW()*12.9898+'הדבקת לידים'!$F$2*78.233+IFERROR(--RIGHT(A1927,6),LEN(A1927))*0.0137+IFERROR(--RIGHT(B1927,6),LEN(B1927))*0.0071))*43758.5453,1),"")</f>
        <v/>
      </c>
      <c r="E1927" s="0" t="str">
        <f aca="false">IF(C1927=1,INT(MOD(ABS(SIN(D1927*7919.123+ROW()*0.618+'הדבקת לידים'!$F$2*1.3))*43758.5453,1)*1000000)*10000+ROW(),"")</f>
        <v/>
      </c>
      <c r="F1927" s="0" t="str">
        <f aca="false">IF(E1927="","",RANK(E1927,$E$2:$E$5001,1))</f>
        <v/>
      </c>
      <c r="G1927" s="0" t="n">
        <f aca="false">IF(A1927="",0,IF(SUMPRODUCT(--($A$2:$A$5001=A1927))&gt;1,1,0))</f>
        <v>0</v>
      </c>
      <c r="H1927" s="0" t="n">
        <f aca="false">ROW()-1</f>
        <v>1926</v>
      </c>
      <c r="I1927" s="0" t="str">
        <f aca="false">IF(OR(הגדרות!$E$6=0,H1927&gt;הגדרות!$E$5),"",IF(H1927-1&lt;הגדרות!$E$8*(הגדרות!$E$7+1),INT((H1927-1)/(הגדרות!$E$7+1)),הגדרות!$E$8+INT((H1927-1-הגדרות!$E$8*(הגדרות!$E$7+1))/הגדרות!$E$7)))</f>
        <v/>
      </c>
      <c r="J1927" s="0" t="str">
        <f aca="false">IF(I1927="","",IF(H1927-1&lt;הגדרות!$E$8*(הגדרות!$E$7+1),MOD(H1927-1,הגדרות!$E$7+1),MOD(H1927-1-הגדרות!$E$8*(הגדרות!$E$7+1),הגדרות!$E$7)))</f>
        <v/>
      </c>
      <c r="K1927" s="0" t="str">
        <f aca="false">IF(I1927="","",J1927*הגדרות!$E$6+I1927+1)</f>
        <v/>
      </c>
      <c r="L1927" s="0" t="str">
        <f aca="false">IF(K1927="","",MATCH(K1927,$F$2:$F$5001,0))</f>
        <v/>
      </c>
      <c r="M1927" s="0" t="str">
        <f aca="false">IF(I1927="","",INDEX(הגדרות!$A$2:$A$21,MOD(I1927+הגדרות!$E$9,הגדרות!$E$6)+1))</f>
        <v/>
      </c>
    </row>
    <row r="1928" customFormat="false" ht="15" hidden="false" customHeight="false" outlineLevel="0" collapsed="false">
      <c r="A1928" s="0" t="str">
        <f aca="false">IF('הדבקת לידים'!A1928="","",IF(ISNUMBER('הדבקת לידים'!A1928),IF(הגדרות!$E$2&gt;0,TEXT('הדבקת לידים'!A1928,REPT("0",הגדרות!$E$2)),TEXT('הדבקת לידים'!A1928,"0")),TRIM('הדבקת לידים'!A1928)))</f>
        <v/>
      </c>
      <c r="B1928" s="0" t="str">
        <f aca="false">IF('הדבקת לידים'!B1928="","",IF(ISNUMBER('הדבקת לידים'!B1928),IF(הגדרות!$E$3&gt;0,TEXT('הדבקת לידים'!B1928,REPT("0",הגדרות!$E$3)),TEXT('הדבקת לידים'!B1928,"0")),TRIM('הדבקת לידים'!B1928)))</f>
        <v/>
      </c>
      <c r="C1928" s="0" t="n">
        <f aca="false">IF(OR(A1928&lt;&gt;"",B1928&lt;&gt;""),1,0)</f>
        <v>0</v>
      </c>
      <c r="D1928" s="0" t="str">
        <f aca="false">IF(C1928=1,MOD(ABS(SIN(ROW()*12.9898+'הדבקת לידים'!$F$2*78.233+IFERROR(--RIGHT(A1928,6),LEN(A1928))*0.0137+IFERROR(--RIGHT(B1928,6),LEN(B1928))*0.0071))*43758.5453,1),"")</f>
        <v/>
      </c>
      <c r="E1928" s="0" t="str">
        <f aca="false">IF(C1928=1,INT(MOD(ABS(SIN(D1928*7919.123+ROW()*0.618+'הדבקת לידים'!$F$2*1.3))*43758.5453,1)*1000000)*10000+ROW(),"")</f>
        <v/>
      </c>
      <c r="F1928" s="0" t="str">
        <f aca="false">IF(E1928="","",RANK(E1928,$E$2:$E$5001,1))</f>
        <v/>
      </c>
      <c r="G1928" s="0" t="n">
        <f aca="false">IF(A1928="",0,IF(SUMPRODUCT(--($A$2:$A$5001=A1928))&gt;1,1,0))</f>
        <v>0</v>
      </c>
      <c r="H1928" s="0" t="n">
        <f aca="false">ROW()-1</f>
        <v>1927</v>
      </c>
      <c r="I1928" s="0" t="str">
        <f aca="false">IF(OR(הגדרות!$E$6=0,H1928&gt;הגדרות!$E$5),"",IF(H1928-1&lt;הגדרות!$E$8*(הגדרות!$E$7+1),INT((H1928-1)/(הגדרות!$E$7+1)),הגדרות!$E$8+INT((H1928-1-הגדרות!$E$8*(הגדרות!$E$7+1))/הגדרות!$E$7)))</f>
        <v/>
      </c>
      <c r="J1928" s="0" t="str">
        <f aca="false">IF(I1928="","",IF(H1928-1&lt;הגדרות!$E$8*(הגדרות!$E$7+1),MOD(H1928-1,הגדרות!$E$7+1),MOD(H1928-1-הגדרות!$E$8*(הגדרות!$E$7+1),הגדרות!$E$7)))</f>
        <v/>
      </c>
      <c r="K1928" s="0" t="str">
        <f aca="false">IF(I1928="","",J1928*הגדרות!$E$6+I1928+1)</f>
        <v/>
      </c>
      <c r="L1928" s="0" t="str">
        <f aca="false">IF(K1928="","",MATCH(K1928,$F$2:$F$5001,0))</f>
        <v/>
      </c>
      <c r="M1928" s="0" t="str">
        <f aca="false">IF(I1928="","",INDEX(הגדרות!$A$2:$A$21,MOD(I1928+הגדרות!$E$9,הגדרות!$E$6)+1))</f>
        <v/>
      </c>
    </row>
    <row r="1929" customFormat="false" ht="15" hidden="false" customHeight="false" outlineLevel="0" collapsed="false">
      <c r="A1929" s="0" t="str">
        <f aca="false">IF('הדבקת לידים'!A1929="","",IF(ISNUMBER('הדבקת לידים'!A1929),IF(הגדרות!$E$2&gt;0,TEXT('הדבקת לידים'!A1929,REPT("0",הגדרות!$E$2)),TEXT('הדבקת לידים'!A1929,"0")),TRIM('הדבקת לידים'!A1929)))</f>
        <v/>
      </c>
      <c r="B1929" s="0" t="str">
        <f aca="false">IF('הדבקת לידים'!B1929="","",IF(ISNUMBER('הדבקת לידים'!B1929),IF(הגדרות!$E$3&gt;0,TEXT('הדבקת לידים'!B1929,REPT("0",הגדרות!$E$3)),TEXT('הדבקת לידים'!B1929,"0")),TRIM('הדבקת לידים'!B1929)))</f>
        <v/>
      </c>
      <c r="C1929" s="0" t="n">
        <f aca="false">IF(OR(A1929&lt;&gt;"",B1929&lt;&gt;""),1,0)</f>
        <v>0</v>
      </c>
      <c r="D1929" s="0" t="str">
        <f aca="false">IF(C1929=1,MOD(ABS(SIN(ROW()*12.9898+'הדבקת לידים'!$F$2*78.233+IFERROR(--RIGHT(A1929,6),LEN(A1929))*0.0137+IFERROR(--RIGHT(B1929,6),LEN(B1929))*0.0071))*43758.5453,1),"")</f>
        <v/>
      </c>
      <c r="E1929" s="0" t="str">
        <f aca="false">IF(C1929=1,INT(MOD(ABS(SIN(D1929*7919.123+ROW()*0.618+'הדבקת לידים'!$F$2*1.3))*43758.5453,1)*1000000)*10000+ROW(),"")</f>
        <v/>
      </c>
      <c r="F1929" s="0" t="str">
        <f aca="false">IF(E1929="","",RANK(E1929,$E$2:$E$5001,1))</f>
        <v/>
      </c>
      <c r="G1929" s="0" t="n">
        <f aca="false">IF(A1929="",0,IF(SUMPRODUCT(--($A$2:$A$5001=A1929))&gt;1,1,0))</f>
        <v>0</v>
      </c>
      <c r="H1929" s="0" t="n">
        <f aca="false">ROW()-1</f>
        <v>1928</v>
      </c>
      <c r="I1929" s="0" t="str">
        <f aca="false">IF(OR(הגדרות!$E$6=0,H1929&gt;הגדרות!$E$5),"",IF(H1929-1&lt;הגדרות!$E$8*(הגדרות!$E$7+1),INT((H1929-1)/(הגדרות!$E$7+1)),הגדרות!$E$8+INT((H1929-1-הגדרות!$E$8*(הגדרות!$E$7+1))/הגדרות!$E$7)))</f>
        <v/>
      </c>
      <c r="J1929" s="0" t="str">
        <f aca="false">IF(I1929="","",IF(H1929-1&lt;הגדרות!$E$8*(הגדרות!$E$7+1),MOD(H1929-1,הגדרות!$E$7+1),MOD(H1929-1-הגדרות!$E$8*(הגדרות!$E$7+1),הגדרות!$E$7)))</f>
        <v/>
      </c>
      <c r="K1929" s="0" t="str">
        <f aca="false">IF(I1929="","",J1929*הגדרות!$E$6+I1929+1)</f>
        <v/>
      </c>
      <c r="L1929" s="0" t="str">
        <f aca="false">IF(K1929="","",MATCH(K1929,$F$2:$F$5001,0))</f>
        <v/>
      </c>
      <c r="M1929" s="0" t="str">
        <f aca="false">IF(I1929="","",INDEX(הגדרות!$A$2:$A$21,MOD(I1929+הגדרות!$E$9,הגדרות!$E$6)+1))</f>
        <v/>
      </c>
    </row>
    <row r="1930" customFormat="false" ht="15" hidden="false" customHeight="false" outlineLevel="0" collapsed="false">
      <c r="A1930" s="0" t="str">
        <f aca="false">IF('הדבקת לידים'!A1930="","",IF(ISNUMBER('הדבקת לידים'!A1930),IF(הגדרות!$E$2&gt;0,TEXT('הדבקת לידים'!A1930,REPT("0",הגדרות!$E$2)),TEXT('הדבקת לידים'!A1930,"0")),TRIM('הדבקת לידים'!A1930)))</f>
        <v/>
      </c>
      <c r="B1930" s="0" t="str">
        <f aca="false">IF('הדבקת לידים'!B1930="","",IF(ISNUMBER('הדבקת לידים'!B1930),IF(הגדרות!$E$3&gt;0,TEXT('הדבקת לידים'!B1930,REPT("0",הגדרות!$E$3)),TEXT('הדבקת לידים'!B1930,"0")),TRIM('הדבקת לידים'!B1930)))</f>
        <v/>
      </c>
      <c r="C1930" s="0" t="n">
        <f aca="false">IF(OR(A1930&lt;&gt;"",B1930&lt;&gt;""),1,0)</f>
        <v>0</v>
      </c>
      <c r="D1930" s="0" t="str">
        <f aca="false">IF(C1930=1,MOD(ABS(SIN(ROW()*12.9898+'הדבקת לידים'!$F$2*78.233+IFERROR(--RIGHT(A1930,6),LEN(A1930))*0.0137+IFERROR(--RIGHT(B1930,6),LEN(B1930))*0.0071))*43758.5453,1),"")</f>
        <v/>
      </c>
      <c r="E1930" s="0" t="str">
        <f aca="false">IF(C1930=1,INT(MOD(ABS(SIN(D1930*7919.123+ROW()*0.618+'הדבקת לידים'!$F$2*1.3))*43758.5453,1)*1000000)*10000+ROW(),"")</f>
        <v/>
      </c>
      <c r="F1930" s="0" t="str">
        <f aca="false">IF(E1930="","",RANK(E1930,$E$2:$E$5001,1))</f>
        <v/>
      </c>
      <c r="G1930" s="0" t="n">
        <f aca="false">IF(A1930="",0,IF(SUMPRODUCT(--($A$2:$A$5001=A1930))&gt;1,1,0))</f>
        <v>0</v>
      </c>
      <c r="H1930" s="0" t="n">
        <f aca="false">ROW()-1</f>
        <v>1929</v>
      </c>
      <c r="I1930" s="0" t="str">
        <f aca="false">IF(OR(הגדרות!$E$6=0,H1930&gt;הגדרות!$E$5),"",IF(H1930-1&lt;הגדרות!$E$8*(הגדרות!$E$7+1),INT((H1930-1)/(הגדרות!$E$7+1)),הגדרות!$E$8+INT((H1930-1-הגדרות!$E$8*(הגדרות!$E$7+1))/הגדרות!$E$7)))</f>
        <v/>
      </c>
      <c r="J1930" s="0" t="str">
        <f aca="false">IF(I1930="","",IF(H1930-1&lt;הגדרות!$E$8*(הגדרות!$E$7+1),MOD(H1930-1,הגדרות!$E$7+1),MOD(H1930-1-הגדרות!$E$8*(הגדרות!$E$7+1),הגדרות!$E$7)))</f>
        <v/>
      </c>
      <c r="K1930" s="0" t="str">
        <f aca="false">IF(I1930="","",J1930*הגדרות!$E$6+I1930+1)</f>
        <v/>
      </c>
      <c r="L1930" s="0" t="str">
        <f aca="false">IF(K1930="","",MATCH(K1930,$F$2:$F$5001,0))</f>
        <v/>
      </c>
      <c r="M1930" s="0" t="str">
        <f aca="false">IF(I1930="","",INDEX(הגדרות!$A$2:$A$21,MOD(I1930+הגדרות!$E$9,הגדרות!$E$6)+1))</f>
        <v/>
      </c>
    </row>
    <row r="1931" customFormat="false" ht="15" hidden="false" customHeight="false" outlineLevel="0" collapsed="false">
      <c r="A1931" s="0" t="str">
        <f aca="false">IF('הדבקת לידים'!A1931="","",IF(ISNUMBER('הדבקת לידים'!A1931),IF(הגדרות!$E$2&gt;0,TEXT('הדבקת לידים'!A1931,REPT("0",הגדרות!$E$2)),TEXT('הדבקת לידים'!A1931,"0")),TRIM('הדבקת לידים'!A1931)))</f>
        <v/>
      </c>
      <c r="B1931" s="0" t="str">
        <f aca="false">IF('הדבקת לידים'!B1931="","",IF(ISNUMBER('הדבקת לידים'!B1931),IF(הגדרות!$E$3&gt;0,TEXT('הדבקת לידים'!B1931,REPT("0",הגדרות!$E$3)),TEXT('הדבקת לידים'!B1931,"0")),TRIM('הדבקת לידים'!B1931)))</f>
        <v/>
      </c>
      <c r="C1931" s="0" t="n">
        <f aca="false">IF(OR(A1931&lt;&gt;"",B1931&lt;&gt;""),1,0)</f>
        <v>0</v>
      </c>
      <c r="D1931" s="0" t="str">
        <f aca="false">IF(C1931=1,MOD(ABS(SIN(ROW()*12.9898+'הדבקת לידים'!$F$2*78.233+IFERROR(--RIGHT(A1931,6),LEN(A1931))*0.0137+IFERROR(--RIGHT(B1931,6),LEN(B1931))*0.0071))*43758.5453,1),"")</f>
        <v/>
      </c>
      <c r="E1931" s="0" t="str">
        <f aca="false">IF(C1931=1,INT(MOD(ABS(SIN(D1931*7919.123+ROW()*0.618+'הדבקת לידים'!$F$2*1.3))*43758.5453,1)*1000000)*10000+ROW(),"")</f>
        <v/>
      </c>
      <c r="F1931" s="0" t="str">
        <f aca="false">IF(E1931="","",RANK(E1931,$E$2:$E$5001,1))</f>
        <v/>
      </c>
      <c r="G1931" s="0" t="n">
        <f aca="false">IF(A1931="",0,IF(SUMPRODUCT(--($A$2:$A$5001=A1931))&gt;1,1,0))</f>
        <v>0</v>
      </c>
      <c r="H1931" s="0" t="n">
        <f aca="false">ROW()-1</f>
        <v>1930</v>
      </c>
      <c r="I1931" s="0" t="str">
        <f aca="false">IF(OR(הגדרות!$E$6=0,H1931&gt;הגדרות!$E$5),"",IF(H1931-1&lt;הגדרות!$E$8*(הגדרות!$E$7+1),INT((H1931-1)/(הגדרות!$E$7+1)),הגדרות!$E$8+INT((H1931-1-הגדרות!$E$8*(הגדרות!$E$7+1))/הגדרות!$E$7)))</f>
        <v/>
      </c>
      <c r="J1931" s="0" t="str">
        <f aca="false">IF(I1931="","",IF(H1931-1&lt;הגדרות!$E$8*(הגדרות!$E$7+1),MOD(H1931-1,הגדרות!$E$7+1),MOD(H1931-1-הגדרות!$E$8*(הגדרות!$E$7+1),הגדרות!$E$7)))</f>
        <v/>
      </c>
      <c r="K1931" s="0" t="str">
        <f aca="false">IF(I1931="","",J1931*הגדרות!$E$6+I1931+1)</f>
        <v/>
      </c>
      <c r="L1931" s="0" t="str">
        <f aca="false">IF(K1931="","",MATCH(K1931,$F$2:$F$5001,0))</f>
        <v/>
      </c>
      <c r="M1931" s="0" t="str">
        <f aca="false">IF(I1931="","",INDEX(הגדרות!$A$2:$A$21,MOD(I1931+הגדרות!$E$9,הגדרות!$E$6)+1))</f>
        <v/>
      </c>
    </row>
    <row r="1932" customFormat="false" ht="15" hidden="false" customHeight="false" outlineLevel="0" collapsed="false">
      <c r="A1932" s="0" t="str">
        <f aca="false">IF('הדבקת לידים'!A1932="","",IF(ISNUMBER('הדבקת לידים'!A1932),IF(הגדרות!$E$2&gt;0,TEXT('הדבקת לידים'!A1932,REPT("0",הגדרות!$E$2)),TEXT('הדבקת לידים'!A1932,"0")),TRIM('הדבקת לידים'!A1932)))</f>
        <v/>
      </c>
      <c r="B1932" s="0" t="str">
        <f aca="false">IF('הדבקת לידים'!B1932="","",IF(ISNUMBER('הדבקת לידים'!B1932),IF(הגדרות!$E$3&gt;0,TEXT('הדבקת לידים'!B1932,REPT("0",הגדרות!$E$3)),TEXT('הדבקת לידים'!B1932,"0")),TRIM('הדבקת לידים'!B1932)))</f>
        <v/>
      </c>
      <c r="C1932" s="0" t="n">
        <f aca="false">IF(OR(A1932&lt;&gt;"",B1932&lt;&gt;""),1,0)</f>
        <v>0</v>
      </c>
      <c r="D1932" s="0" t="str">
        <f aca="false">IF(C1932=1,MOD(ABS(SIN(ROW()*12.9898+'הדבקת לידים'!$F$2*78.233+IFERROR(--RIGHT(A1932,6),LEN(A1932))*0.0137+IFERROR(--RIGHT(B1932,6),LEN(B1932))*0.0071))*43758.5453,1),"")</f>
        <v/>
      </c>
      <c r="E1932" s="0" t="str">
        <f aca="false">IF(C1932=1,INT(MOD(ABS(SIN(D1932*7919.123+ROW()*0.618+'הדבקת לידים'!$F$2*1.3))*43758.5453,1)*1000000)*10000+ROW(),"")</f>
        <v/>
      </c>
      <c r="F1932" s="0" t="str">
        <f aca="false">IF(E1932="","",RANK(E1932,$E$2:$E$5001,1))</f>
        <v/>
      </c>
      <c r="G1932" s="0" t="n">
        <f aca="false">IF(A1932="",0,IF(SUMPRODUCT(--($A$2:$A$5001=A1932))&gt;1,1,0))</f>
        <v>0</v>
      </c>
      <c r="H1932" s="0" t="n">
        <f aca="false">ROW()-1</f>
        <v>1931</v>
      </c>
      <c r="I1932" s="0" t="str">
        <f aca="false">IF(OR(הגדרות!$E$6=0,H1932&gt;הגדרות!$E$5),"",IF(H1932-1&lt;הגדרות!$E$8*(הגדרות!$E$7+1),INT((H1932-1)/(הגדרות!$E$7+1)),הגדרות!$E$8+INT((H1932-1-הגדרות!$E$8*(הגדרות!$E$7+1))/הגדרות!$E$7)))</f>
        <v/>
      </c>
      <c r="J1932" s="0" t="str">
        <f aca="false">IF(I1932="","",IF(H1932-1&lt;הגדרות!$E$8*(הגדרות!$E$7+1),MOD(H1932-1,הגדרות!$E$7+1),MOD(H1932-1-הגדרות!$E$8*(הגדרות!$E$7+1),הגדרות!$E$7)))</f>
        <v/>
      </c>
      <c r="K1932" s="0" t="str">
        <f aca="false">IF(I1932="","",J1932*הגדרות!$E$6+I1932+1)</f>
        <v/>
      </c>
      <c r="L1932" s="0" t="str">
        <f aca="false">IF(K1932="","",MATCH(K1932,$F$2:$F$5001,0))</f>
        <v/>
      </c>
      <c r="M1932" s="0" t="str">
        <f aca="false">IF(I1932="","",INDEX(הגדרות!$A$2:$A$21,MOD(I1932+הגדרות!$E$9,הגדרות!$E$6)+1))</f>
        <v/>
      </c>
    </row>
    <row r="1933" customFormat="false" ht="15" hidden="false" customHeight="false" outlineLevel="0" collapsed="false">
      <c r="A1933" s="0" t="str">
        <f aca="false">IF('הדבקת לידים'!A1933="","",IF(ISNUMBER('הדבקת לידים'!A1933),IF(הגדרות!$E$2&gt;0,TEXT('הדבקת לידים'!A1933,REPT("0",הגדרות!$E$2)),TEXT('הדבקת לידים'!A1933,"0")),TRIM('הדבקת לידים'!A1933)))</f>
        <v/>
      </c>
      <c r="B1933" s="0" t="str">
        <f aca="false">IF('הדבקת לידים'!B1933="","",IF(ISNUMBER('הדבקת לידים'!B1933),IF(הגדרות!$E$3&gt;0,TEXT('הדבקת לידים'!B1933,REPT("0",הגדרות!$E$3)),TEXT('הדבקת לידים'!B1933,"0")),TRIM('הדבקת לידים'!B1933)))</f>
        <v/>
      </c>
      <c r="C1933" s="0" t="n">
        <f aca="false">IF(OR(A1933&lt;&gt;"",B1933&lt;&gt;""),1,0)</f>
        <v>0</v>
      </c>
      <c r="D1933" s="0" t="str">
        <f aca="false">IF(C1933=1,MOD(ABS(SIN(ROW()*12.9898+'הדבקת לידים'!$F$2*78.233+IFERROR(--RIGHT(A1933,6),LEN(A1933))*0.0137+IFERROR(--RIGHT(B1933,6),LEN(B1933))*0.0071))*43758.5453,1),"")</f>
        <v/>
      </c>
      <c r="E1933" s="0" t="str">
        <f aca="false">IF(C1933=1,INT(MOD(ABS(SIN(D1933*7919.123+ROW()*0.618+'הדבקת לידים'!$F$2*1.3))*43758.5453,1)*1000000)*10000+ROW(),"")</f>
        <v/>
      </c>
      <c r="F1933" s="0" t="str">
        <f aca="false">IF(E1933="","",RANK(E1933,$E$2:$E$5001,1))</f>
        <v/>
      </c>
      <c r="G1933" s="0" t="n">
        <f aca="false">IF(A1933="",0,IF(SUMPRODUCT(--($A$2:$A$5001=A1933))&gt;1,1,0))</f>
        <v>0</v>
      </c>
      <c r="H1933" s="0" t="n">
        <f aca="false">ROW()-1</f>
        <v>1932</v>
      </c>
      <c r="I1933" s="0" t="str">
        <f aca="false">IF(OR(הגדרות!$E$6=0,H1933&gt;הגדרות!$E$5),"",IF(H1933-1&lt;הגדרות!$E$8*(הגדרות!$E$7+1),INT((H1933-1)/(הגדרות!$E$7+1)),הגדרות!$E$8+INT((H1933-1-הגדרות!$E$8*(הגדרות!$E$7+1))/הגדרות!$E$7)))</f>
        <v/>
      </c>
      <c r="J1933" s="0" t="str">
        <f aca="false">IF(I1933="","",IF(H1933-1&lt;הגדרות!$E$8*(הגדרות!$E$7+1),MOD(H1933-1,הגדרות!$E$7+1),MOD(H1933-1-הגדרות!$E$8*(הגדרות!$E$7+1),הגדרות!$E$7)))</f>
        <v/>
      </c>
      <c r="K1933" s="0" t="str">
        <f aca="false">IF(I1933="","",J1933*הגדרות!$E$6+I1933+1)</f>
        <v/>
      </c>
      <c r="L1933" s="0" t="str">
        <f aca="false">IF(K1933="","",MATCH(K1933,$F$2:$F$5001,0))</f>
        <v/>
      </c>
      <c r="M1933" s="0" t="str">
        <f aca="false">IF(I1933="","",INDEX(הגדרות!$A$2:$A$21,MOD(I1933+הגדרות!$E$9,הגדרות!$E$6)+1))</f>
        <v/>
      </c>
    </row>
    <row r="1934" customFormat="false" ht="15" hidden="false" customHeight="false" outlineLevel="0" collapsed="false">
      <c r="A1934" s="0" t="str">
        <f aca="false">IF('הדבקת לידים'!A1934="","",IF(ISNUMBER('הדבקת לידים'!A1934),IF(הגדרות!$E$2&gt;0,TEXT('הדבקת לידים'!A1934,REPT("0",הגדרות!$E$2)),TEXT('הדבקת לידים'!A1934,"0")),TRIM('הדבקת לידים'!A1934)))</f>
        <v/>
      </c>
      <c r="B1934" s="0" t="str">
        <f aca="false">IF('הדבקת לידים'!B1934="","",IF(ISNUMBER('הדבקת לידים'!B1934),IF(הגדרות!$E$3&gt;0,TEXT('הדבקת לידים'!B1934,REPT("0",הגדרות!$E$3)),TEXT('הדבקת לידים'!B1934,"0")),TRIM('הדבקת לידים'!B1934)))</f>
        <v/>
      </c>
      <c r="C1934" s="0" t="n">
        <f aca="false">IF(OR(A1934&lt;&gt;"",B1934&lt;&gt;""),1,0)</f>
        <v>0</v>
      </c>
      <c r="D1934" s="0" t="str">
        <f aca="false">IF(C1934=1,MOD(ABS(SIN(ROW()*12.9898+'הדבקת לידים'!$F$2*78.233+IFERROR(--RIGHT(A1934,6),LEN(A1934))*0.0137+IFERROR(--RIGHT(B1934,6),LEN(B1934))*0.0071))*43758.5453,1),"")</f>
        <v/>
      </c>
      <c r="E1934" s="0" t="str">
        <f aca="false">IF(C1934=1,INT(MOD(ABS(SIN(D1934*7919.123+ROW()*0.618+'הדבקת לידים'!$F$2*1.3))*43758.5453,1)*1000000)*10000+ROW(),"")</f>
        <v/>
      </c>
      <c r="F1934" s="0" t="str">
        <f aca="false">IF(E1934="","",RANK(E1934,$E$2:$E$5001,1))</f>
        <v/>
      </c>
      <c r="G1934" s="0" t="n">
        <f aca="false">IF(A1934="",0,IF(SUMPRODUCT(--($A$2:$A$5001=A1934))&gt;1,1,0))</f>
        <v>0</v>
      </c>
      <c r="H1934" s="0" t="n">
        <f aca="false">ROW()-1</f>
        <v>1933</v>
      </c>
      <c r="I1934" s="0" t="str">
        <f aca="false">IF(OR(הגדרות!$E$6=0,H1934&gt;הגדרות!$E$5),"",IF(H1934-1&lt;הגדרות!$E$8*(הגדרות!$E$7+1),INT((H1934-1)/(הגדרות!$E$7+1)),הגדרות!$E$8+INT((H1934-1-הגדרות!$E$8*(הגדרות!$E$7+1))/הגדרות!$E$7)))</f>
        <v/>
      </c>
      <c r="J1934" s="0" t="str">
        <f aca="false">IF(I1934="","",IF(H1934-1&lt;הגדרות!$E$8*(הגדרות!$E$7+1),MOD(H1934-1,הגדרות!$E$7+1),MOD(H1934-1-הגדרות!$E$8*(הגדרות!$E$7+1),הגדרות!$E$7)))</f>
        <v/>
      </c>
      <c r="K1934" s="0" t="str">
        <f aca="false">IF(I1934="","",J1934*הגדרות!$E$6+I1934+1)</f>
        <v/>
      </c>
      <c r="L1934" s="0" t="str">
        <f aca="false">IF(K1934="","",MATCH(K1934,$F$2:$F$5001,0))</f>
        <v/>
      </c>
      <c r="M1934" s="0" t="str">
        <f aca="false">IF(I1934="","",INDEX(הגדרות!$A$2:$A$21,MOD(I1934+הגדרות!$E$9,הגדרות!$E$6)+1))</f>
        <v/>
      </c>
    </row>
    <row r="1935" customFormat="false" ht="15" hidden="false" customHeight="false" outlineLevel="0" collapsed="false">
      <c r="A1935" s="0" t="str">
        <f aca="false">IF('הדבקת לידים'!A1935="","",IF(ISNUMBER('הדבקת לידים'!A1935),IF(הגדרות!$E$2&gt;0,TEXT('הדבקת לידים'!A1935,REPT("0",הגדרות!$E$2)),TEXT('הדבקת לידים'!A1935,"0")),TRIM('הדבקת לידים'!A1935)))</f>
        <v/>
      </c>
      <c r="B1935" s="0" t="str">
        <f aca="false">IF('הדבקת לידים'!B1935="","",IF(ISNUMBER('הדבקת לידים'!B1935),IF(הגדרות!$E$3&gt;0,TEXT('הדבקת לידים'!B1935,REPT("0",הגדרות!$E$3)),TEXT('הדבקת לידים'!B1935,"0")),TRIM('הדבקת לידים'!B1935)))</f>
        <v/>
      </c>
      <c r="C1935" s="0" t="n">
        <f aca="false">IF(OR(A1935&lt;&gt;"",B1935&lt;&gt;""),1,0)</f>
        <v>0</v>
      </c>
      <c r="D1935" s="0" t="str">
        <f aca="false">IF(C1935=1,MOD(ABS(SIN(ROW()*12.9898+'הדבקת לידים'!$F$2*78.233+IFERROR(--RIGHT(A1935,6),LEN(A1935))*0.0137+IFERROR(--RIGHT(B1935,6),LEN(B1935))*0.0071))*43758.5453,1),"")</f>
        <v/>
      </c>
      <c r="E1935" s="0" t="str">
        <f aca="false">IF(C1935=1,INT(MOD(ABS(SIN(D1935*7919.123+ROW()*0.618+'הדבקת לידים'!$F$2*1.3))*43758.5453,1)*1000000)*10000+ROW(),"")</f>
        <v/>
      </c>
      <c r="F1935" s="0" t="str">
        <f aca="false">IF(E1935="","",RANK(E1935,$E$2:$E$5001,1))</f>
        <v/>
      </c>
      <c r="G1935" s="0" t="n">
        <f aca="false">IF(A1935="",0,IF(SUMPRODUCT(--($A$2:$A$5001=A1935))&gt;1,1,0))</f>
        <v>0</v>
      </c>
      <c r="H1935" s="0" t="n">
        <f aca="false">ROW()-1</f>
        <v>1934</v>
      </c>
      <c r="I1935" s="0" t="str">
        <f aca="false">IF(OR(הגדרות!$E$6=0,H1935&gt;הגדרות!$E$5),"",IF(H1935-1&lt;הגדרות!$E$8*(הגדרות!$E$7+1),INT((H1935-1)/(הגדרות!$E$7+1)),הגדרות!$E$8+INT((H1935-1-הגדרות!$E$8*(הגדרות!$E$7+1))/הגדרות!$E$7)))</f>
        <v/>
      </c>
      <c r="J1935" s="0" t="str">
        <f aca="false">IF(I1935="","",IF(H1935-1&lt;הגדרות!$E$8*(הגדרות!$E$7+1),MOD(H1935-1,הגדרות!$E$7+1),MOD(H1935-1-הגדרות!$E$8*(הגדרות!$E$7+1),הגדרות!$E$7)))</f>
        <v/>
      </c>
      <c r="K1935" s="0" t="str">
        <f aca="false">IF(I1935="","",J1935*הגדרות!$E$6+I1935+1)</f>
        <v/>
      </c>
      <c r="L1935" s="0" t="str">
        <f aca="false">IF(K1935="","",MATCH(K1935,$F$2:$F$5001,0))</f>
        <v/>
      </c>
      <c r="M1935" s="0" t="str">
        <f aca="false">IF(I1935="","",INDEX(הגדרות!$A$2:$A$21,MOD(I1935+הגדרות!$E$9,הגדרות!$E$6)+1))</f>
        <v/>
      </c>
    </row>
    <row r="1936" customFormat="false" ht="15" hidden="false" customHeight="false" outlineLevel="0" collapsed="false">
      <c r="A1936" s="0" t="str">
        <f aca="false">IF('הדבקת לידים'!A1936="","",IF(ISNUMBER('הדבקת לידים'!A1936),IF(הגדרות!$E$2&gt;0,TEXT('הדבקת לידים'!A1936,REPT("0",הגדרות!$E$2)),TEXT('הדבקת לידים'!A1936,"0")),TRIM('הדבקת לידים'!A1936)))</f>
        <v/>
      </c>
      <c r="B1936" s="0" t="str">
        <f aca="false">IF('הדבקת לידים'!B1936="","",IF(ISNUMBER('הדבקת לידים'!B1936),IF(הגדרות!$E$3&gt;0,TEXT('הדבקת לידים'!B1936,REPT("0",הגדרות!$E$3)),TEXT('הדבקת לידים'!B1936,"0")),TRIM('הדבקת לידים'!B1936)))</f>
        <v/>
      </c>
      <c r="C1936" s="0" t="n">
        <f aca="false">IF(OR(A1936&lt;&gt;"",B1936&lt;&gt;""),1,0)</f>
        <v>0</v>
      </c>
      <c r="D1936" s="0" t="str">
        <f aca="false">IF(C1936=1,MOD(ABS(SIN(ROW()*12.9898+'הדבקת לידים'!$F$2*78.233+IFERROR(--RIGHT(A1936,6),LEN(A1936))*0.0137+IFERROR(--RIGHT(B1936,6),LEN(B1936))*0.0071))*43758.5453,1),"")</f>
        <v/>
      </c>
      <c r="E1936" s="0" t="str">
        <f aca="false">IF(C1936=1,INT(MOD(ABS(SIN(D1936*7919.123+ROW()*0.618+'הדבקת לידים'!$F$2*1.3))*43758.5453,1)*1000000)*10000+ROW(),"")</f>
        <v/>
      </c>
      <c r="F1936" s="0" t="str">
        <f aca="false">IF(E1936="","",RANK(E1936,$E$2:$E$5001,1))</f>
        <v/>
      </c>
      <c r="G1936" s="0" t="n">
        <f aca="false">IF(A1936="",0,IF(SUMPRODUCT(--($A$2:$A$5001=A1936))&gt;1,1,0))</f>
        <v>0</v>
      </c>
      <c r="H1936" s="0" t="n">
        <f aca="false">ROW()-1</f>
        <v>1935</v>
      </c>
      <c r="I1936" s="0" t="str">
        <f aca="false">IF(OR(הגדרות!$E$6=0,H1936&gt;הגדרות!$E$5),"",IF(H1936-1&lt;הגדרות!$E$8*(הגדרות!$E$7+1),INT((H1936-1)/(הגדרות!$E$7+1)),הגדרות!$E$8+INT((H1936-1-הגדרות!$E$8*(הגדרות!$E$7+1))/הגדרות!$E$7)))</f>
        <v/>
      </c>
      <c r="J1936" s="0" t="str">
        <f aca="false">IF(I1936="","",IF(H1936-1&lt;הגדרות!$E$8*(הגדרות!$E$7+1),MOD(H1936-1,הגדרות!$E$7+1),MOD(H1936-1-הגדרות!$E$8*(הגדרות!$E$7+1),הגדרות!$E$7)))</f>
        <v/>
      </c>
      <c r="K1936" s="0" t="str">
        <f aca="false">IF(I1936="","",J1936*הגדרות!$E$6+I1936+1)</f>
        <v/>
      </c>
      <c r="L1936" s="0" t="str">
        <f aca="false">IF(K1936="","",MATCH(K1936,$F$2:$F$5001,0))</f>
        <v/>
      </c>
      <c r="M1936" s="0" t="str">
        <f aca="false">IF(I1936="","",INDEX(הגדרות!$A$2:$A$21,MOD(I1936+הגדרות!$E$9,הגדרות!$E$6)+1))</f>
        <v/>
      </c>
    </row>
    <row r="1937" customFormat="false" ht="15" hidden="false" customHeight="false" outlineLevel="0" collapsed="false">
      <c r="A1937" s="0" t="str">
        <f aca="false">IF('הדבקת לידים'!A1937="","",IF(ISNUMBER('הדבקת לידים'!A1937),IF(הגדרות!$E$2&gt;0,TEXT('הדבקת לידים'!A1937,REPT("0",הגדרות!$E$2)),TEXT('הדבקת לידים'!A1937,"0")),TRIM('הדבקת לידים'!A1937)))</f>
        <v/>
      </c>
      <c r="B1937" s="0" t="str">
        <f aca="false">IF('הדבקת לידים'!B1937="","",IF(ISNUMBER('הדבקת לידים'!B1937),IF(הגדרות!$E$3&gt;0,TEXT('הדבקת לידים'!B1937,REPT("0",הגדרות!$E$3)),TEXT('הדבקת לידים'!B1937,"0")),TRIM('הדבקת לידים'!B1937)))</f>
        <v/>
      </c>
      <c r="C1937" s="0" t="n">
        <f aca="false">IF(OR(A1937&lt;&gt;"",B1937&lt;&gt;""),1,0)</f>
        <v>0</v>
      </c>
      <c r="D1937" s="0" t="str">
        <f aca="false">IF(C1937=1,MOD(ABS(SIN(ROW()*12.9898+'הדבקת לידים'!$F$2*78.233+IFERROR(--RIGHT(A1937,6),LEN(A1937))*0.0137+IFERROR(--RIGHT(B1937,6),LEN(B1937))*0.0071))*43758.5453,1),"")</f>
        <v/>
      </c>
      <c r="E1937" s="0" t="str">
        <f aca="false">IF(C1937=1,INT(MOD(ABS(SIN(D1937*7919.123+ROW()*0.618+'הדבקת לידים'!$F$2*1.3))*43758.5453,1)*1000000)*10000+ROW(),"")</f>
        <v/>
      </c>
      <c r="F1937" s="0" t="str">
        <f aca="false">IF(E1937="","",RANK(E1937,$E$2:$E$5001,1))</f>
        <v/>
      </c>
      <c r="G1937" s="0" t="n">
        <f aca="false">IF(A1937="",0,IF(SUMPRODUCT(--($A$2:$A$5001=A1937))&gt;1,1,0))</f>
        <v>0</v>
      </c>
      <c r="H1937" s="0" t="n">
        <f aca="false">ROW()-1</f>
        <v>1936</v>
      </c>
      <c r="I1937" s="0" t="str">
        <f aca="false">IF(OR(הגדרות!$E$6=0,H1937&gt;הגדרות!$E$5),"",IF(H1937-1&lt;הגדרות!$E$8*(הגדרות!$E$7+1),INT((H1937-1)/(הגדרות!$E$7+1)),הגדרות!$E$8+INT((H1937-1-הגדרות!$E$8*(הגדרות!$E$7+1))/הגדרות!$E$7)))</f>
        <v/>
      </c>
      <c r="J1937" s="0" t="str">
        <f aca="false">IF(I1937="","",IF(H1937-1&lt;הגדרות!$E$8*(הגדרות!$E$7+1),MOD(H1937-1,הגדרות!$E$7+1),MOD(H1937-1-הגדרות!$E$8*(הגדרות!$E$7+1),הגדרות!$E$7)))</f>
        <v/>
      </c>
      <c r="K1937" s="0" t="str">
        <f aca="false">IF(I1937="","",J1937*הגדרות!$E$6+I1937+1)</f>
        <v/>
      </c>
      <c r="L1937" s="0" t="str">
        <f aca="false">IF(K1937="","",MATCH(K1937,$F$2:$F$5001,0))</f>
        <v/>
      </c>
      <c r="M1937" s="0" t="str">
        <f aca="false">IF(I1937="","",INDEX(הגדרות!$A$2:$A$21,MOD(I1937+הגדרות!$E$9,הגדרות!$E$6)+1))</f>
        <v/>
      </c>
    </row>
    <row r="1938" customFormat="false" ht="15" hidden="false" customHeight="false" outlineLevel="0" collapsed="false">
      <c r="A1938" s="0" t="str">
        <f aca="false">IF('הדבקת לידים'!A1938="","",IF(ISNUMBER('הדבקת לידים'!A1938),IF(הגדרות!$E$2&gt;0,TEXT('הדבקת לידים'!A1938,REPT("0",הגדרות!$E$2)),TEXT('הדבקת לידים'!A1938,"0")),TRIM('הדבקת לידים'!A1938)))</f>
        <v/>
      </c>
      <c r="B1938" s="0" t="str">
        <f aca="false">IF('הדבקת לידים'!B1938="","",IF(ISNUMBER('הדבקת לידים'!B1938),IF(הגדרות!$E$3&gt;0,TEXT('הדבקת לידים'!B1938,REPT("0",הגדרות!$E$3)),TEXT('הדבקת לידים'!B1938,"0")),TRIM('הדבקת לידים'!B1938)))</f>
        <v/>
      </c>
      <c r="C1938" s="0" t="n">
        <f aca="false">IF(OR(A1938&lt;&gt;"",B1938&lt;&gt;""),1,0)</f>
        <v>0</v>
      </c>
      <c r="D1938" s="0" t="str">
        <f aca="false">IF(C1938=1,MOD(ABS(SIN(ROW()*12.9898+'הדבקת לידים'!$F$2*78.233+IFERROR(--RIGHT(A1938,6),LEN(A1938))*0.0137+IFERROR(--RIGHT(B1938,6),LEN(B1938))*0.0071))*43758.5453,1),"")</f>
        <v/>
      </c>
      <c r="E1938" s="0" t="str">
        <f aca="false">IF(C1938=1,INT(MOD(ABS(SIN(D1938*7919.123+ROW()*0.618+'הדבקת לידים'!$F$2*1.3))*43758.5453,1)*1000000)*10000+ROW(),"")</f>
        <v/>
      </c>
      <c r="F1938" s="0" t="str">
        <f aca="false">IF(E1938="","",RANK(E1938,$E$2:$E$5001,1))</f>
        <v/>
      </c>
      <c r="G1938" s="0" t="n">
        <f aca="false">IF(A1938="",0,IF(SUMPRODUCT(--($A$2:$A$5001=A1938))&gt;1,1,0))</f>
        <v>0</v>
      </c>
      <c r="H1938" s="0" t="n">
        <f aca="false">ROW()-1</f>
        <v>1937</v>
      </c>
      <c r="I1938" s="0" t="str">
        <f aca="false">IF(OR(הגדרות!$E$6=0,H1938&gt;הגדרות!$E$5),"",IF(H1938-1&lt;הגדרות!$E$8*(הגדרות!$E$7+1),INT((H1938-1)/(הגדרות!$E$7+1)),הגדרות!$E$8+INT((H1938-1-הגדרות!$E$8*(הגדרות!$E$7+1))/הגדרות!$E$7)))</f>
        <v/>
      </c>
      <c r="J1938" s="0" t="str">
        <f aca="false">IF(I1938="","",IF(H1938-1&lt;הגדרות!$E$8*(הגדרות!$E$7+1),MOD(H1938-1,הגדרות!$E$7+1),MOD(H1938-1-הגדרות!$E$8*(הגדרות!$E$7+1),הגדרות!$E$7)))</f>
        <v/>
      </c>
      <c r="K1938" s="0" t="str">
        <f aca="false">IF(I1938="","",J1938*הגדרות!$E$6+I1938+1)</f>
        <v/>
      </c>
      <c r="L1938" s="0" t="str">
        <f aca="false">IF(K1938="","",MATCH(K1938,$F$2:$F$5001,0))</f>
        <v/>
      </c>
      <c r="M1938" s="0" t="str">
        <f aca="false">IF(I1938="","",INDEX(הגדרות!$A$2:$A$21,MOD(I1938+הגדרות!$E$9,הגדרות!$E$6)+1))</f>
        <v/>
      </c>
    </row>
    <row r="1939" customFormat="false" ht="15" hidden="false" customHeight="false" outlineLevel="0" collapsed="false">
      <c r="A1939" s="0" t="str">
        <f aca="false">IF('הדבקת לידים'!A1939="","",IF(ISNUMBER('הדבקת לידים'!A1939),IF(הגדרות!$E$2&gt;0,TEXT('הדבקת לידים'!A1939,REPT("0",הגדרות!$E$2)),TEXT('הדבקת לידים'!A1939,"0")),TRIM('הדבקת לידים'!A1939)))</f>
        <v/>
      </c>
      <c r="B1939" s="0" t="str">
        <f aca="false">IF('הדבקת לידים'!B1939="","",IF(ISNUMBER('הדבקת לידים'!B1939),IF(הגדרות!$E$3&gt;0,TEXT('הדבקת לידים'!B1939,REPT("0",הגדרות!$E$3)),TEXT('הדבקת לידים'!B1939,"0")),TRIM('הדבקת לידים'!B1939)))</f>
        <v/>
      </c>
      <c r="C1939" s="0" t="n">
        <f aca="false">IF(OR(A1939&lt;&gt;"",B1939&lt;&gt;""),1,0)</f>
        <v>0</v>
      </c>
      <c r="D1939" s="0" t="str">
        <f aca="false">IF(C1939=1,MOD(ABS(SIN(ROW()*12.9898+'הדבקת לידים'!$F$2*78.233+IFERROR(--RIGHT(A1939,6),LEN(A1939))*0.0137+IFERROR(--RIGHT(B1939,6),LEN(B1939))*0.0071))*43758.5453,1),"")</f>
        <v/>
      </c>
      <c r="E1939" s="0" t="str">
        <f aca="false">IF(C1939=1,INT(MOD(ABS(SIN(D1939*7919.123+ROW()*0.618+'הדבקת לידים'!$F$2*1.3))*43758.5453,1)*1000000)*10000+ROW(),"")</f>
        <v/>
      </c>
      <c r="F1939" s="0" t="str">
        <f aca="false">IF(E1939="","",RANK(E1939,$E$2:$E$5001,1))</f>
        <v/>
      </c>
      <c r="G1939" s="0" t="n">
        <f aca="false">IF(A1939="",0,IF(SUMPRODUCT(--($A$2:$A$5001=A1939))&gt;1,1,0))</f>
        <v>0</v>
      </c>
      <c r="H1939" s="0" t="n">
        <f aca="false">ROW()-1</f>
        <v>1938</v>
      </c>
      <c r="I1939" s="0" t="str">
        <f aca="false">IF(OR(הגדרות!$E$6=0,H1939&gt;הגדרות!$E$5),"",IF(H1939-1&lt;הגדרות!$E$8*(הגדרות!$E$7+1),INT((H1939-1)/(הגדרות!$E$7+1)),הגדרות!$E$8+INT((H1939-1-הגדרות!$E$8*(הגדרות!$E$7+1))/הגדרות!$E$7)))</f>
        <v/>
      </c>
      <c r="J1939" s="0" t="str">
        <f aca="false">IF(I1939="","",IF(H1939-1&lt;הגדרות!$E$8*(הגדרות!$E$7+1),MOD(H1939-1,הגדרות!$E$7+1),MOD(H1939-1-הגדרות!$E$8*(הגדרות!$E$7+1),הגדרות!$E$7)))</f>
        <v/>
      </c>
      <c r="K1939" s="0" t="str">
        <f aca="false">IF(I1939="","",J1939*הגדרות!$E$6+I1939+1)</f>
        <v/>
      </c>
      <c r="L1939" s="0" t="str">
        <f aca="false">IF(K1939="","",MATCH(K1939,$F$2:$F$5001,0))</f>
        <v/>
      </c>
      <c r="M1939" s="0" t="str">
        <f aca="false">IF(I1939="","",INDEX(הגדרות!$A$2:$A$21,MOD(I1939+הגדרות!$E$9,הגדרות!$E$6)+1))</f>
        <v/>
      </c>
    </row>
    <row r="1940" customFormat="false" ht="15" hidden="false" customHeight="false" outlineLevel="0" collapsed="false">
      <c r="A1940" s="0" t="str">
        <f aca="false">IF('הדבקת לידים'!A1940="","",IF(ISNUMBER('הדבקת לידים'!A1940),IF(הגדרות!$E$2&gt;0,TEXT('הדבקת לידים'!A1940,REPT("0",הגדרות!$E$2)),TEXT('הדבקת לידים'!A1940,"0")),TRIM('הדבקת לידים'!A1940)))</f>
        <v/>
      </c>
      <c r="B1940" s="0" t="str">
        <f aca="false">IF('הדבקת לידים'!B1940="","",IF(ISNUMBER('הדבקת לידים'!B1940),IF(הגדרות!$E$3&gt;0,TEXT('הדבקת לידים'!B1940,REPT("0",הגדרות!$E$3)),TEXT('הדבקת לידים'!B1940,"0")),TRIM('הדבקת לידים'!B1940)))</f>
        <v/>
      </c>
      <c r="C1940" s="0" t="n">
        <f aca="false">IF(OR(A1940&lt;&gt;"",B1940&lt;&gt;""),1,0)</f>
        <v>0</v>
      </c>
      <c r="D1940" s="0" t="str">
        <f aca="false">IF(C1940=1,MOD(ABS(SIN(ROW()*12.9898+'הדבקת לידים'!$F$2*78.233+IFERROR(--RIGHT(A1940,6),LEN(A1940))*0.0137+IFERROR(--RIGHT(B1940,6),LEN(B1940))*0.0071))*43758.5453,1),"")</f>
        <v/>
      </c>
      <c r="E1940" s="0" t="str">
        <f aca="false">IF(C1940=1,INT(MOD(ABS(SIN(D1940*7919.123+ROW()*0.618+'הדבקת לידים'!$F$2*1.3))*43758.5453,1)*1000000)*10000+ROW(),"")</f>
        <v/>
      </c>
      <c r="F1940" s="0" t="str">
        <f aca="false">IF(E1940="","",RANK(E1940,$E$2:$E$5001,1))</f>
        <v/>
      </c>
      <c r="G1940" s="0" t="n">
        <f aca="false">IF(A1940="",0,IF(SUMPRODUCT(--($A$2:$A$5001=A1940))&gt;1,1,0))</f>
        <v>0</v>
      </c>
      <c r="H1940" s="0" t="n">
        <f aca="false">ROW()-1</f>
        <v>1939</v>
      </c>
      <c r="I1940" s="0" t="str">
        <f aca="false">IF(OR(הגדרות!$E$6=0,H1940&gt;הגדרות!$E$5),"",IF(H1940-1&lt;הגדרות!$E$8*(הגדרות!$E$7+1),INT((H1940-1)/(הגדרות!$E$7+1)),הגדרות!$E$8+INT((H1940-1-הגדרות!$E$8*(הגדרות!$E$7+1))/הגדרות!$E$7)))</f>
        <v/>
      </c>
      <c r="J1940" s="0" t="str">
        <f aca="false">IF(I1940="","",IF(H1940-1&lt;הגדרות!$E$8*(הגדרות!$E$7+1),MOD(H1940-1,הגדרות!$E$7+1),MOD(H1940-1-הגדרות!$E$8*(הגדרות!$E$7+1),הגדרות!$E$7)))</f>
        <v/>
      </c>
      <c r="K1940" s="0" t="str">
        <f aca="false">IF(I1940="","",J1940*הגדרות!$E$6+I1940+1)</f>
        <v/>
      </c>
      <c r="L1940" s="0" t="str">
        <f aca="false">IF(K1940="","",MATCH(K1940,$F$2:$F$5001,0))</f>
        <v/>
      </c>
      <c r="M1940" s="0" t="str">
        <f aca="false">IF(I1940="","",INDEX(הגדרות!$A$2:$A$21,MOD(I1940+הגדרות!$E$9,הגדרות!$E$6)+1))</f>
        <v/>
      </c>
    </row>
    <row r="1941" customFormat="false" ht="15" hidden="false" customHeight="false" outlineLevel="0" collapsed="false">
      <c r="A1941" s="0" t="str">
        <f aca="false">IF('הדבקת לידים'!A1941="","",IF(ISNUMBER('הדבקת לידים'!A1941),IF(הגדרות!$E$2&gt;0,TEXT('הדבקת לידים'!A1941,REPT("0",הגדרות!$E$2)),TEXT('הדבקת לידים'!A1941,"0")),TRIM('הדבקת לידים'!A1941)))</f>
        <v/>
      </c>
      <c r="B1941" s="0" t="str">
        <f aca="false">IF('הדבקת לידים'!B1941="","",IF(ISNUMBER('הדבקת לידים'!B1941),IF(הגדרות!$E$3&gt;0,TEXT('הדבקת לידים'!B1941,REPT("0",הגדרות!$E$3)),TEXT('הדבקת לידים'!B1941,"0")),TRIM('הדבקת לידים'!B1941)))</f>
        <v/>
      </c>
      <c r="C1941" s="0" t="n">
        <f aca="false">IF(OR(A1941&lt;&gt;"",B1941&lt;&gt;""),1,0)</f>
        <v>0</v>
      </c>
      <c r="D1941" s="0" t="str">
        <f aca="false">IF(C1941=1,MOD(ABS(SIN(ROW()*12.9898+'הדבקת לידים'!$F$2*78.233+IFERROR(--RIGHT(A1941,6),LEN(A1941))*0.0137+IFERROR(--RIGHT(B1941,6),LEN(B1941))*0.0071))*43758.5453,1),"")</f>
        <v/>
      </c>
      <c r="E1941" s="0" t="str">
        <f aca="false">IF(C1941=1,INT(MOD(ABS(SIN(D1941*7919.123+ROW()*0.618+'הדבקת לידים'!$F$2*1.3))*43758.5453,1)*1000000)*10000+ROW(),"")</f>
        <v/>
      </c>
      <c r="F1941" s="0" t="str">
        <f aca="false">IF(E1941="","",RANK(E1941,$E$2:$E$5001,1))</f>
        <v/>
      </c>
      <c r="G1941" s="0" t="n">
        <f aca="false">IF(A1941="",0,IF(SUMPRODUCT(--($A$2:$A$5001=A1941))&gt;1,1,0))</f>
        <v>0</v>
      </c>
      <c r="H1941" s="0" t="n">
        <f aca="false">ROW()-1</f>
        <v>1940</v>
      </c>
      <c r="I1941" s="0" t="str">
        <f aca="false">IF(OR(הגדרות!$E$6=0,H1941&gt;הגדרות!$E$5),"",IF(H1941-1&lt;הגדרות!$E$8*(הגדרות!$E$7+1),INT((H1941-1)/(הגדרות!$E$7+1)),הגדרות!$E$8+INT((H1941-1-הגדרות!$E$8*(הגדרות!$E$7+1))/הגדרות!$E$7)))</f>
        <v/>
      </c>
      <c r="J1941" s="0" t="str">
        <f aca="false">IF(I1941="","",IF(H1941-1&lt;הגדרות!$E$8*(הגדרות!$E$7+1),MOD(H1941-1,הגדרות!$E$7+1),MOD(H1941-1-הגדרות!$E$8*(הגדרות!$E$7+1),הגדרות!$E$7)))</f>
        <v/>
      </c>
      <c r="K1941" s="0" t="str">
        <f aca="false">IF(I1941="","",J1941*הגדרות!$E$6+I1941+1)</f>
        <v/>
      </c>
      <c r="L1941" s="0" t="str">
        <f aca="false">IF(K1941="","",MATCH(K1941,$F$2:$F$5001,0))</f>
        <v/>
      </c>
      <c r="M1941" s="0" t="str">
        <f aca="false">IF(I1941="","",INDEX(הגדרות!$A$2:$A$21,MOD(I1941+הגדרות!$E$9,הגדרות!$E$6)+1))</f>
        <v/>
      </c>
    </row>
    <row r="1942" customFormat="false" ht="15" hidden="false" customHeight="false" outlineLevel="0" collapsed="false">
      <c r="A1942" s="0" t="str">
        <f aca="false">IF('הדבקת לידים'!A1942="","",IF(ISNUMBER('הדבקת לידים'!A1942),IF(הגדרות!$E$2&gt;0,TEXT('הדבקת לידים'!A1942,REPT("0",הגדרות!$E$2)),TEXT('הדבקת לידים'!A1942,"0")),TRIM('הדבקת לידים'!A1942)))</f>
        <v/>
      </c>
      <c r="B1942" s="0" t="str">
        <f aca="false">IF('הדבקת לידים'!B1942="","",IF(ISNUMBER('הדבקת לידים'!B1942),IF(הגדרות!$E$3&gt;0,TEXT('הדבקת לידים'!B1942,REPT("0",הגדרות!$E$3)),TEXT('הדבקת לידים'!B1942,"0")),TRIM('הדבקת לידים'!B1942)))</f>
        <v/>
      </c>
      <c r="C1942" s="0" t="n">
        <f aca="false">IF(OR(A1942&lt;&gt;"",B1942&lt;&gt;""),1,0)</f>
        <v>0</v>
      </c>
      <c r="D1942" s="0" t="str">
        <f aca="false">IF(C1942=1,MOD(ABS(SIN(ROW()*12.9898+'הדבקת לידים'!$F$2*78.233+IFERROR(--RIGHT(A1942,6),LEN(A1942))*0.0137+IFERROR(--RIGHT(B1942,6),LEN(B1942))*0.0071))*43758.5453,1),"")</f>
        <v/>
      </c>
      <c r="E1942" s="0" t="str">
        <f aca="false">IF(C1942=1,INT(MOD(ABS(SIN(D1942*7919.123+ROW()*0.618+'הדבקת לידים'!$F$2*1.3))*43758.5453,1)*1000000)*10000+ROW(),"")</f>
        <v/>
      </c>
      <c r="F1942" s="0" t="str">
        <f aca="false">IF(E1942="","",RANK(E1942,$E$2:$E$5001,1))</f>
        <v/>
      </c>
      <c r="G1942" s="0" t="n">
        <f aca="false">IF(A1942="",0,IF(SUMPRODUCT(--($A$2:$A$5001=A1942))&gt;1,1,0))</f>
        <v>0</v>
      </c>
      <c r="H1942" s="0" t="n">
        <f aca="false">ROW()-1</f>
        <v>1941</v>
      </c>
      <c r="I1942" s="0" t="str">
        <f aca="false">IF(OR(הגדרות!$E$6=0,H1942&gt;הגדרות!$E$5),"",IF(H1942-1&lt;הגדרות!$E$8*(הגדרות!$E$7+1),INT((H1942-1)/(הגדרות!$E$7+1)),הגדרות!$E$8+INT((H1942-1-הגדרות!$E$8*(הגדרות!$E$7+1))/הגדרות!$E$7)))</f>
        <v/>
      </c>
      <c r="J1942" s="0" t="str">
        <f aca="false">IF(I1942="","",IF(H1942-1&lt;הגדרות!$E$8*(הגדרות!$E$7+1),MOD(H1942-1,הגדרות!$E$7+1),MOD(H1942-1-הגדרות!$E$8*(הגדרות!$E$7+1),הגדרות!$E$7)))</f>
        <v/>
      </c>
      <c r="K1942" s="0" t="str">
        <f aca="false">IF(I1942="","",J1942*הגדרות!$E$6+I1942+1)</f>
        <v/>
      </c>
      <c r="L1942" s="0" t="str">
        <f aca="false">IF(K1942="","",MATCH(K1942,$F$2:$F$5001,0))</f>
        <v/>
      </c>
      <c r="M1942" s="0" t="str">
        <f aca="false">IF(I1942="","",INDEX(הגדרות!$A$2:$A$21,MOD(I1942+הגדרות!$E$9,הגדרות!$E$6)+1))</f>
        <v/>
      </c>
    </row>
    <row r="1943" customFormat="false" ht="15" hidden="false" customHeight="false" outlineLevel="0" collapsed="false">
      <c r="A1943" s="0" t="str">
        <f aca="false">IF('הדבקת לידים'!A1943="","",IF(ISNUMBER('הדבקת לידים'!A1943),IF(הגדרות!$E$2&gt;0,TEXT('הדבקת לידים'!A1943,REPT("0",הגדרות!$E$2)),TEXT('הדבקת לידים'!A1943,"0")),TRIM('הדבקת לידים'!A1943)))</f>
        <v/>
      </c>
      <c r="B1943" s="0" t="str">
        <f aca="false">IF('הדבקת לידים'!B1943="","",IF(ISNUMBER('הדבקת לידים'!B1943),IF(הגדרות!$E$3&gt;0,TEXT('הדבקת לידים'!B1943,REPT("0",הגדרות!$E$3)),TEXT('הדבקת לידים'!B1943,"0")),TRIM('הדבקת לידים'!B1943)))</f>
        <v/>
      </c>
      <c r="C1943" s="0" t="n">
        <f aca="false">IF(OR(A1943&lt;&gt;"",B1943&lt;&gt;""),1,0)</f>
        <v>0</v>
      </c>
      <c r="D1943" s="0" t="str">
        <f aca="false">IF(C1943=1,MOD(ABS(SIN(ROW()*12.9898+'הדבקת לידים'!$F$2*78.233+IFERROR(--RIGHT(A1943,6),LEN(A1943))*0.0137+IFERROR(--RIGHT(B1943,6),LEN(B1943))*0.0071))*43758.5453,1),"")</f>
        <v/>
      </c>
      <c r="E1943" s="0" t="str">
        <f aca="false">IF(C1943=1,INT(MOD(ABS(SIN(D1943*7919.123+ROW()*0.618+'הדבקת לידים'!$F$2*1.3))*43758.5453,1)*1000000)*10000+ROW(),"")</f>
        <v/>
      </c>
      <c r="F1943" s="0" t="str">
        <f aca="false">IF(E1943="","",RANK(E1943,$E$2:$E$5001,1))</f>
        <v/>
      </c>
      <c r="G1943" s="0" t="n">
        <f aca="false">IF(A1943="",0,IF(SUMPRODUCT(--($A$2:$A$5001=A1943))&gt;1,1,0))</f>
        <v>0</v>
      </c>
      <c r="H1943" s="0" t="n">
        <f aca="false">ROW()-1</f>
        <v>1942</v>
      </c>
      <c r="I1943" s="0" t="str">
        <f aca="false">IF(OR(הגדרות!$E$6=0,H1943&gt;הגדרות!$E$5),"",IF(H1943-1&lt;הגדרות!$E$8*(הגדרות!$E$7+1),INT((H1943-1)/(הגדרות!$E$7+1)),הגדרות!$E$8+INT((H1943-1-הגדרות!$E$8*(הגדרות!$E$7+1))/הגדרות!$E$7)))</f>
        <v/>
      </c>
      <c r="J1943" s="0" t="str">
        <f aca="false">IF(I1943="","",IF(H1943-1&lt;הגדרות!$E$8*(הגדרות!$E$7+1),MOD(H1943-1,הגדרות!$E$7+1),MOD(H1943-1-הגדרות!$E$8*(הגדרות!$E$7+1),הגדרות!$E$7)))</f>
        <v/>
      </c>
      <c r="K1943" s="0" t="str">
        <f aca="false">IF(I1943="","",J1943*הגדרות!$E$6+I1943+1)</f>
        <v/>
      </c>
      <c r="L1943" s="0" t="str">
        <f aca="false">IF(K1943="","",MATCH(K1943,$F$2:$F$5001,0))</f>
        <v/>
      </c>
      <c r="M1943" s="0" t="str">
        <f aca="false">IF(I1943="","",INDEX(הגדרות!$A$2:$A$21,MOD(I1943+הגדרות!$E$9,הגדרות!$E$6)+1))</f>
        <v/>
      </c>
    </row>
    <row r="1944" customFormat="false" ht="15" hidden="false" customHeight="false" outlineLevel="0" collapsed="false">
      <c r="A1944" s="0" t="str">
        <f aca="false">IF('הדבקת לידים'!A1944="","",IF(ISNUMBER('הדבקת לידים'!A1944),IF(הגדרות!$E$2&gt;0,TEXT('הדבקת לידים'!A1944,REPT("0",הגדרות!$E$2)),TEXT('הדבקת לידים'!A1944,"0")),TRIM('הדבקת לידים'!A1944)))</f>
        <v/>
      </c>
      <c r="B1944" s="0" t="str">
        <f aca="false">IF('הדבקת לידים'!B1944="","",IF(ISNUMBER('הדבקת לידים'!B1944),IF(הגדרות!$E$3&gt;0,TEXT('הדבקת לידים'!B1944,REPT("0",הגדרות!$E$3)),TEXT('הדבקת לידים'!B1944,"0")),TRIM('הדבקת לידים'!B1944)))</f>
        <v/>
      </c>
      <c r="C1944" s="0" t="n">
        <f aca="false">IF(OR(A1944&lt;&gt;"",B1944&lt;&gt;""),1,0)</f>
        <v>0</v>
      </c>
      <c r="D1944" s="0" t="str">
        <f aca="false">IF(C1944=1,MOD(ABS(SIN(ROW()*12.9898+'הדבקת לידים'!$F$2*78.233+IFERROR(--RIGHT(A1944,6),LEN(A1944))*0.0137+IFERROR(--RIGHT(B1944,6),LEN(B1944))*0.0071))*43758.5453,1),"")</f>
        <v/>
      </c>
      <c r="E1944" s="0" t="str">
        <f aca="false">IF(C1944=1,INT(MOD(ABS(SIN(D1944*7919.123+ROW()*0.618+'הדבקת לידים'!$F$2*1.3))*43758.5453,1)*1000000)*10000+ROW(),"")</f>
        <v/>
      </c>
      <c r="F1944" s="0" t="str">
        <f aca="false">IF(E1944="","",RANK(E1944,$E$2:$E$5001,1))</f>
        <v/>
      </c>
      <c r="G1944" s="0" t="n">
        <f aca="false">IF(A1944="",0,IF(SUMPRODUCT(--($A$2:$A$5001=A1944))&gt;1,1,0))</f>
        <v>0</v>
      </c>
      <c r="H1944" s="0" t="n">
        <f aca="false">ROW()-1</f>
        <v>1943</v>
      </c>
      <c r="I1944" s="0" t="str">
        <f aca="false">IF(OR(הגדרות!$E$6=0,H1944&gt;הגדרות!$E$5),"",IF(H1944-1&lt;הגדרות!$E$8*(הגדרות!$E$7+1),INT((H1944-1)/(הגדרות!$E$7+1)),הגדרות!$E$8+INT((H1944-1-הגדרות!$E$8*(הגדרות!$E$7+1))/הגדרות!$E$7)))</f>
        <v/>
      </c>
      <c r="J1944" s="0" t="str">
        <f aca="false">IF(I1944="","",IF(H1944-1&lt;הגדרות!$E$8*(הגדרות!$E$7+1),MOD(H1944-1,הגדרות!$E$7+1),MOD(H1944-1-הגדרות!$E$8*(הגדרות!$E$7+1),הגדרות!$E$7)))</f>
        <v/>
      </c>
      <c r="K1944" s="0" t="str">
        <f aca="false">IF(I1944="","",J1944*הגדרות!$E$6+I1944+1)</f>
        <v/>
      </c>
      <c r="L1944" s="0" t="str">
        <f aca="false">IF(K1944="","",MATCH(K1944,$F$2:$F$5001,0))</f>
        <v/>
      </c>
      <c r="M1944" s="0" t="str">
        <f aca="false">IF(I1944="","",INDEX(הגדרות!$A$2:$A$21,MOD(I1944+הגדרות!$E$9,הגדרות!$E$6)+1))</f>
        <v/>
      </c>
    </row>
    <row r="1945" customFormat="false" ht="15" hidden="false" customHeight="false" outlineLevel="0" collapsed="false">
      <c r="A1945" s="0" t="str">
        <f aca="false">IF('הדבקת לידים'!A1945="","",IF(ISNUMBER('הדבקת לידים'!A1945),IF(הגדרות!$E$2&gt;0,TEXT('הדבקת לידים'!A1945,REPT("0",הגדרות!$E$2)),TEXT('הדבקת לידים'!A1945,"0")),TRIM('הדבקת לידים'!A1945)))</f>
        <v/>
      </c>
      <c r="B1945" s="0" t="str">
        <f aca="false">IF('הדבקת לידים'!B1945="","",IF(ISNUMBER('הדבקת לידים'!B1945),IF(הגדרות!$E$3&gt;0,TEXT('הדבקת לידים'!B1945,REPT("0",הגדרות!$E$3)),TEXT('הדבקת לידים'!B1945,"0")),TRIM('הדבקת לידים'!B1945)))</f>
        <v/>
      </c>
      <c r="C1945" s="0" t="n">
        <f aca="false">IF(OR(A1945&lt;&gt;"",B1945&lt;&gt;""),1,0)</f>
        <v>0</v>
      </c>
      <c r="D1945" s="0" t="str">
        <f aca="false">IF(C1945=1,MOD(ABS(SIN(ROW()*12.9898+'הדבקת לידים'!$F$2*78.233+IFERROR(--RIGHT(A1945,6),LEN(A1945))*0.0137+IFERROR(--RIGHT(B1945,6),LEN(B1945))*0.0071))*43758.5453,1),"")</f>
        <v/>
      </c>
      <c r="E1945" s="0" t="str">
        <f aca="false">IF(C1945=1,INT(MOD(ABS(SIN(D1945*7919.123+ROW()*0.618+'הדבקת לידים'!$F$2*1.3))*43758.5453,1)*1000000)*10000+ROW(),"")</f>
        <v/>
      </c>
      <c r="F1945" s="0" t="str">
        <f aca="false">IF(E1945="","",RANK(E1945,$E$2:$E$5001,1))</f>
        <v/>
      </c>
      <c r="G1945" s="0" t="n">
        <f aca="false">IF(A1945="",0,IF(SUMPRODUCT(--($A$2:$A$5001=A1945))&gt;1,1,0))</f>
        <v>0</v>
      </c>
      <c r="H1945" s="0" t="n">
        <f aca="false">ROW()-1</f>
        <v>1944</v>
      </c>
      <c r="I1945" s="0" t="str">
        <f aca="false">IF(OR(הגדרות!$E$6=0,H1945&gt;הגדרות!$E$5),"",IF(H1945-1&lt;הגדרות!$E$8*(הגדרות!$E$7+1),INT((H1945-1)/(הגדרות!$E$7+1)),הגדרות!$E$8+INT((H1945-1-הגדרות!$E$8*(הגדרות!$E$7+1))/הגדרות!$E$7)))</f>
        <v/>
      </c>
      <c r="J1945" s="0" t="str">
        <f aca="false">IF(I1945="","",IF(H1945-1&lt;הגדרות!$E$8*(הגדרות!$E$7+1),MOD(H1945-1,הגדרות!$E$7+1),MOD(H1945-1-הגדרות!$E$8*(הגדרות!$E$7+1),הגדרות!$E$7)))</f>
        <v/>
      </c>
      <c r="K1945" s="0" t="str">
        <f aca="false">IF(I1945="","",J1945*הגדרות!$E$6+I1945+1)</f>
        <v/>
      </c>
      <c r="L1945" s="0" t="str">
        <f aca="false">IF(K1945="","",MATCH(K1945,$F$2:$F$5001,0))</f>
        <v/>
      </c>
      <c r="M1945" s="0" t="str">
        <f aca="false">IF(I1945="","",INDEX(הגדרות!$A$2:$A$21,MOD(I1945+הגדרות!$E$9,הגדרות!$E$6)+1))</f>
        <v/>
      </c>
    </row>
    <row r="1946" customFormat="false" ht="15" hidden="false" customHeight="false" outlineLevel="0" collapsed="false">
      <c r="A1946" s="0" t="str">
        <f aca="false">IF('הדבקת לידים'!A1946="","",IF(ISNUMBER('הדבקת לידים'!A1946),IF(הגדרות!$E$2&gt;0,TEXT('הדבקת לידים'!A1946,REPT("0",הגדרות!$E$2)),TEXT('הדבקת לידים'!A1946,"0")),TRIM('הדבקת לידים'!A1946)))</f>
        <v/>
      </c>
      <c r="B1946" s="0" t="str">
        <f aca="false">IF('הדבקת לידים'!B1946="","",IF(ISNUMBER('הדבקת לידים'!B1946),IF(הגדרות!$E$3&gt;0,TEXT('הדבקת לידים'!B1946,REPT("0",הגדרות!$E$3)),TEXT('הדבקת לידים'!B1946,"0")),TRIM('הדבקת לידים'!B1946)))</f>
        <v/>
      </c>
      <c r="C1946" s="0" t="n">
        <f aca="false">IF(OR(A1946&lt;&gt;"",B1946&lt;&gt;""),1,0)</f>
        <v>0</v>
      </c>
      <c r="D1946" s="0" t="str">
        <f aca="false">IF(C1946=1,MOD(ABS(SIN(ROW()*12.9898+'הדבקת לידים'!$F$2*78.233+IFERROR(--RIGHT(A1946,6),LEN(A1946))*0.0137+IFERROR(--RIGHT(B1946,6),LEN(B1946))*0.0071))*43758.5453,1),"")</f>
        <v/>
      </c>
      <c r="E1946" s="0" t="str">
        <f aca="false">IF(C1946=1,INT(MOD(ABS(SIN(D1946*7919.123+ROW()*0.618+'הדבקת לידים'!$F$2*1.3))*43758.5453,1)*1000000)*10000+ROW(),"")</f>
        <v/>
      </c>
      <c r="F1946" s="0" t="str">
        <f aca="false">IF(E1946="","",RANK(E1946,$E$2:$E$5001,1))</f>
        <v/>
      </c>
      <c r="G1946" s="0" t="n">
        <f aca="false">IF(A1946="",0,IF(SUMPRODUCT(--($A$2:$A$5001=A1946))&gt;1,1,0))</f>
        <v>0</v>
      </c>
      <c r="H1946" s="0" t="n">
        <f aca="false">ROW()-1</f>
        <v>1945</v>
      </c>
      <c r="I1946" s="0" t="str">
        <f aca="false">IF(OR(הגדרות!$E$6=0,H1946&gt;הגדרות!$E$5),"",IF(H1946-1&lt;הגדרות!$E$8*(הגדרות!$E$7+1),INT((H1946-1)/(הגדרות!$E$7+1)),הגדרות!$E$8+INT((H1946-1-הגדרות!$E$8*(הגדרות!$E$7+1))/הגדרות!$E$7)))</f>
        <v/>
      </c>
      <c r="J1946" s="0" t="str">
        <f aca="false">IF(I1946="","",IF(H1946-1&lt;הגדרות!$E$8*(הגדרות!$E$7+1),MOD(H1946-1,הגדרות!$E$7+1),MOD(H1946-1-הגדרות!$E$8*(הגדרות!$E$7+1),הגדרות!$E$7)))</f>
        <v/>
      </c>
      <c r="K1946" s="0" t="str">
        <f aca="false">IF(I1946="","",J1946*הגדרות!$E$6+I1946+1)</f>
        <v/>
      </c>
      <c r="L1946" s="0" t="str">
        <f aca="false">IF(K1946="","",MATCH(K1946,$F$2:$F$5001,0))</f>
        <v/>
      </c>
      <c r="M1946" s="0" t="str">
        <f aca="false">IF(I1946="","",INDEX(הגדרות!$A$2:$A$21,MOD(I1946+הגדרות!$E$9,הגדרות!$E$6)+1))</f>
        <v/>
      </c>
    </row>
    <row r="1947" customFormat="false" ht="15" hidden="false" customHeight="false" outlineLevel="0" collapsed="false">
      <c r="A1947" s="0" t="str">
        <f aca="false">IF('הדבקת לידים'!A1947="","",IF(ISNUMBER('הדבקת לידים'!A1947),IF(הגדרות!$E$2&gt;0,TEXT('הדבקת לידים'!A1947,REPT("0",הגדרות!$E$2)),TEXT('הדבקת לידים'!A1947,"0")),TRIM('הדבקת לידים'!A1947)))</f>
        <v/>
      </c>
      <c r="B1947" s="0" t="str">
        <f aca="false">IF('הדבקת לידים'!B1947="","",IF(ISNUMBER('הדבקת לידים'!B1947),IF(הגדרות!$E$3&gt;0,TEXT('הדבקת לידים'!B1947,REPT("0",הגדרות!$E$3)),TEXT('הדבקת לידים'!B1947,"0")),TRIM('הדבקת לידים'!B1947)))</f>
        <v/>
      </c>
      <c r="C1947" s="0" t="n">
        <f aca="false">IF(OR(A1947&lt;&gt;"",B1947&lt;&gt;""),1,0)</f>
        <v>0</v>
      </c>
      <c r="D1947" s="0" t="str">
        <f aca="false">IF(C1947=1,MOD(ABS(SIN(ROW()*12.9898+'הדבקת לידים'!$F$2*78.233+IFERROR(--RIGHT(A1947,6),LEN(A1947))*0.0137+IFERROR(--RIGHT(B1947,6),LEN(B1947))*0.0071))*43758.5453,1),"")</f>
        <v/>
      </c>
      <c r="E1947" s="0" t="str">
        <f aca="false">IF(C1947=1,INT(MOD(ABS(SIN(D1947*7919.123+ROW()*0.618+'הדבקת לידים'!$F$2*1.3))*43758.5453,1)*1000000)*10000+ROW(),"")</f>
        <v/>
      </c>
      <c r="F1947" s="0" t="str">
        <f aca="false">IF(E1947="","",RANK(E1947,$E$2:$E$5001,1))</f>
        <v/>
      </c>
      <c r="G1947" s="0" t="n">
        <f aca="false">IF(A1947="",0,IF(SUMPRODUCT(--($A$2:$A$5001=A1947))&gt;1,1,0))</f>
        <v>0</v>
      </c>
      <c r="H1947" s="0" t="n">
        <f aca="false">ROW()-1</f>
        <v>1946</v>
      </c>
      <c r="I1947" s="0" t="str">
        <f aca="false">IF(OR(הגדרות!$E$6=0,H1947&gt;הגדרות!$E$5),"",IF(H1947-1&lt;הגדרות!$E$8*(הגדרות!$E$7+1),INT((H1947-1)/(הגדרות!$E$7+1)),הגדרות!$E$8+INT((H1947-1-הגדרות!$E$8*(הגדרות!$E$7+1))/הגדרות!$E$7)))</f>
        <v/>
      </c>
      <c r="J1947" s="0" t="str">
        <f aca="false">IF(I1947="","",IF(H1947-1&lt;הגדרות!$E$8*(הגדרות!$E$7+1),MOD(H1947-1,הגדרות!$E$7+1),MOD(H1947-1-הגדרות!$E$8*(הגדרות!$E$7+1),הגדרות!$E$7)))</f>
        <v/>
      </c>
      <c r="K1947" s="0" t="str">
        <f aca="false">IF(I1947="","",J1947*הגדרות!$E$6+I1947+1)</f>
        <v/>
      </c>
      <c r="L1947" s="0" t="str">
        <f aca="false">IF(K1947="","",MATCH(K1947,$F$2:$F$5001,0))</f>
        <v/>
      </c>
      <c r="M1947" s="0" t="str">
        <f aca="false">IF(I1947="","",INDEX(הגדרות!$A$2:$A$21,MOD(I1947+הגדרות!$E$9,הגדרות!$E$6)+1))</f>
        <v/>
      </c>
    </row>
    <row r="1948" customFormat="false" ht="15" hidden="false" customHeight="false" outlineLevel="0" collapsed="false">
      <c r="A1948" s="0" t="str">
        <f aca="false">IF('הדבקת לידים'!A1948="","",IF(ISNUMBER('הדבקת לידים'!A1948),IF(הגדרות!$E$2&gt;0,TEXT('הדבקת לידים'!A1948,REPT("0",הגדרות!$E$2)),TEXT('הדבקת לידים'!A1948,"0")),TRIM('הדבקת לידים'!A1948)))</f>
        <v/>
      </c>
      <c r="B1948" s="0" t="str">
        <f aca="false">IF('הדבקת לידים'!B1948="","",IF(ISNUMBER('הדבקת לידים'!B1948),IF(הגדרות!$E$3&gt;0,TEXT('הדבקת לידים'!B1948,REPT("0",הגדרות!$E$3)),TEXT('הדבקת לידים'!B1948,"0")),TRIM('הדבקת לידים'!B1948)))</f>
        <v/>
      </c>
      <c r="C1948" s="0" t="n">
        <f aca="false">IF(OR(A1948&lt;&gt;"",B1948&lt;&gt;""),1,0)</f>
        <v>0</v>
      </c>
      <c r="D1948" s="0" t="str">
        <f aca="false">IF(C1948=1,MOD(ABS(SIN(ROW()*12.9898+'הדבקת לידים'!$F$2*78.233+IFERROR(--RIGHT(A1948,6),LEN(A1948))*0.0137+IFERROR(--RIGHT(B1948,6),LEN(B1948))*0.0071))*43758.5453,1),"")</f>
        <v/>
      </c>
      <c r="E1948" s="0" t="str">
        <f aca="false">IF(C1948=1,INT(MOD(ABS(SIN(D1948*7919.123+ROW()*0.618+'הדבקת לידים'!$F$2*1.3))*43758.5453,1)*1000000)*10000+ROW(),"")</f>
        <v/>
      </c>
      <c r="F1948" s="0" t="str">
        <f aca="false">IF(E1948="","",RANK(E1948,$E$2:$E$5001,1))</f>
        <v/>
      </c>
      <c r="G1948" s="0" t="n">
        <f aca="false">IF(A1948="",0,IF(SUMPRODUCT(--($A$2:$A$5001=A1948))&gt;1,1,0))</f>
        <v>0</v>
      </c>
      <c r="H1948" s="0" t="n">
        <f aca="false">ROW()-1</f>
        <v>1947</v>
      </c>
      <c r="I1948" s="0" t="str">
        <f aca="false">IF(OR(הגדרות!$E$6=0,H1948&gt;הגדרות!$E$5),"",IF(H1948-1&lt;הגדרות!$E$8*(הגדרות!$E$7+1),INT((H1948-1)/(הגדרות!$E$7+1)),הגדרות!$E$8+INT((H1948-1-הגדרות!$E$8*(הגדרות!$E$7+1))/הגדרות!$E$7)))</f>
        <v/>
      </c>
      <c r="J1948" s="0" t="str">
        <f aca="false">IF(I1948="","",IF(H1948-1&lt;הגדרות!$E$8*(הגדרות!$E$7+1),MOD(H1948-1,הגדרות!$E$7+1),MOD(H1948-1-הגדרות!$E$8*(הגדרות!$E$7+1),הגדרות!$E$7)))</f>
        <v/>
      </c>
      <c r="K1948" s="0" t="str">
        <f aca="false">IF(I1948="","",J1948*הגדרות!$E$6+I1948+1)</f>
        <v/>
      </c>
      <c r="L1948" s="0" t="str">
        <f aca="false">IF(K1948="","",MATCH(K1948,$F$2:$F$5001,0))</f>
        <v/>
      </c>
      <c r="M1948" s="0" t="str">
        <f aca="false">IF(I1948="","",INDEX(הגדרות!$A$2:$A$21,MOD(I1948+הגדרות!$E$9,הגדרות!$E$6)+1))</f>
        <v/>
      </c>
    </row>
    <row r="1949" customFormat="false" ht="15" hidden="false" customHeight="false" outlineLevel="0" collapsed="false">
      <c r="A1949" s="0" t="str">
        <f aca="false">IF('הדבקת לידים'!A1949="","",IF(ISNUMBER('הדבקת לידים'!A1949),IF(הגדרות!$E$2&gt;0,TEXT('הדבקת לידים'!A1949,REPT("0",הגדרות!$E$2)),TEXT('הדבקת לידים'!A1949,"0")),TRIM('הדבקת לידים'!A1949)))</f>
        <v/>
      </c>
      <c r="B1949" s="0" t="str">
        <f aca="false">IF('הדבקת לידים'!B1949="","",IF(ISNUMBER('הדבקת לידים'!B1949),IF(הגדרות!$E$3&gt;0,TEXT('הדבקת לידים'!B1949,REPT("0",הגדרות!$E$3)),TEXT('הדבקת לידים'!B1949,"0")),TRIM('הדבקת לידים'!B1949)))</f>
        <v/>
      </c>
      <c r="C1949" s="0" t="n">
        <f aca="false">IF(OR(A1949&lt;&gt;"",B1949&lt;&gt;""),1,0)</f>
        <v>0</v>
      </c>
      <c r="D1949" s="0" t="str">
        <f aca="false">IF(C1949=1,MOD(ABS(SIN(ROW()*12.9898+'הדבקת לידים'!$F$2*78.233+IFERROR(--RIGHT(A1949,6),LEN(A1949))*0.0137+IFERROR(--RIGHT(B1949,6),LEN(B1949))*0.0071))*43758.5453,1),"")</f>
        <v/>
      </c>
      <c r="E1949" s="0" t="str">
        <f aca="false">IF(C1949=1,INT(MOD(ABS(SIN(D1949*7919.123+ROW()*0.618+'הדבקת לידים'!$F$2*1.3))*43758.5453,1)*1000000)*10000+ROW(),"")</f>
        <v/>
      </c>
      <c r="F1949" s="0" t="str">
        <f aca="false">IF(E1949="","",RANK(E1949,$E$2:$E$5001,1))</f>
        <v/>
      </c>
      <c r="G1949" s="0" t="n">
        <f aca="false">IF(A1949="",0,IF(SUMPRODUCT(--($A$2:$A$5001=A1949))&gt;1,1,0))</f>
        <v>0</v>
      </c>
      <c r="H1949" s="0" t="n">
        <f aca="false">ROW()-1</f>
        <v>1948</v>
      </c>
      <c r="I1949" s="0" t="str">
        <f aca="false">IF(OR(הגדרות!$E$6=0,H1949&gt;הגדרות!$E$5),"",IF(H1949-1&lt;הגדרות!$E$8*(הגדרות!$E$7+1),INT((H1949-1)/(הגדרות!$E$7+1)),הגדרות!$E$8+INT((H1949-1-הגדרות!$E$8*(הגדרות!$E$7+1))/הגדרות!$E$7)))</f>
        <v/>
      </c>
      <c r="J1949" s="0" t="str">
        <f aca="false">IF(I1949="","",IF(H1949-1&lt;הגדרות!$E$8*(הגדרות!$E$7+1),MOD(H1949-1,הגדרות!$E$7+1),MOD(H1949-1-הגדרות!$E$8*(הגדרות!$E$7+1),הגדרות!$E$7)))</f>
        <v/>
      </c>
      <c r="K1949" s="0" t="str">
        <f aca="false">IF(I1949="","",J1949*הגדרות!$E$6+I1949+1)</f>
        <v/>
      </c>
      <c r="L1949" s="0" t="str">
        <f aca="false">IF(K1949="","",MATCH(K1949,$F$2:$F$5001,0))</f>
        <v/>
      </c>
      <c r="M1949" s="0" t="str">
        <f aca="false">IF(I1949="","",INDEX(הגדרות!$A$2:$A$21,MOD(I1949+הגדרות!$E$9,הגדרות!$E$6)+1))</f>
        <v/>
      </c>
    </row>
    <row r="1950" customFormat="false" ht="15" hidden="false" customHeight="false" outlineLevel="0" collapsed="false">
      <c r="A1950" s="0" t="str">
        <f aca="false">IF('הדבקת לידים'!A1950="","",IF(ISNUMBER('הדבקת לידים'!A1950),IF(הגדרות!$E$2&gt;0,TEXT('הדבקת לידים'!A1950,REPT("0",הגדרות!$E$2)),TEXT('הדבקת לידים'!A1950,"0")),TRIM('הדבקת לידים'!A1950)))</f>
        <v/>
      </c>
      <c r="B1950" s="0" t="str">
        <f aca="false">IF('הדבקת לידים'!B1950="","",IF(ISNUMBER('הדבקת לידים'!B1950),IF(הגדרות!$E$3&gt;0,TEXT('הדבקת לידים'!B1950,REPT("0",הגדרות!$E$3)),TEXT('הדבקת לידים'!B1950,"0")),TRIM('הדבקת לידים'!B1950)))</f>
        <v/>
      </c>
      <c r="C1950" s="0" t="n">
        <f aca="false">IF(OR(A1950&lt;&gt;"",B1950&lt;&gt;""),1,0)</f>
        <v>0</v>
      </c>
      <c r="D1950" s="0" t="str">
        <f aca="false">IF(C1950=1,MOD(ABS(SIN(ROW()*12.9898+'הדבקת לידים'!$F$2*78.233+IFERROR(--RIGHT(A1950,6),LEN(A1950))*0.0137+IFERROR(--RIGHT(B1950,6),LEN(B1950))*0.0071))*43758.5453,1),"")</f>
        <v/>
      </c>
      <c r="E1950" s="0" t="str">
        <f aca="false">IF(C1950=1,INT(MOD(ABS(SIN(D1950*7919.123+ROW()*0.618+'הדבקת לידים'!$F$2*1.3))*43758.5453,1)*1000000)*10000+ROW(),"")</f>
        <v/>
      </c>
      <c r="F1950" s="0" t="str">
        <f aca="false">IF(E1950="","",RANK(E1950,$E$2:$E$5001,1))</f>
        <v/>
      </c>
      <c r="G1950" s="0" t="n">
        <f aca="false">IF(A1950="",0,IF(SUMPRODUCT(--($A$2:$A$5001=A1950))&gt;1,1,0))</f>
        <v>0</v>
      </c>
      <c r="H1950" s="0" t="n">
        <f aca="false">ROW()-1</f>
        <v>1949</v>
      </c>
      <c r="I1950" s="0" t="str">
        <f aca="false">IF(OR(הגדרות!$E$6=0,H1950&gt;הגדרות!$E$5),"",IF(H1950-1&lt;הגדרות!$E$8*(הגדרות!$E$7+1),INT((H1950-1)/(הגדרות!$E$7+1)),הגדרות!$E$8+INT((H1950-1-הגדרות!$E$8*(הגדרות!$E$7+1))/הגדרות!$E$7)))</f>
        <v/>
      </c>
      <c r="J1950" s="0" t="str">
        <f aca="false">IF(I1950="","",IF(H1950-1&lt;הגדרות!$E$8*(הגדרות!$E$7+1),MOD(H1950-1,הגדרות!$E$7+1),MOD(H1950-1-הגדרות!$E$8*(הגדרות!$E$7+1),הגדרות!$E$7)))</f>
        <v/>
      </c>
      <c r="K1950" s="0" t="str">
        <f aca="false">IF(I1950="","",J1950*הגדרות!$E$6+I1950+1)</f>
        <v/>
      </c>
      <c r="L1950" s="0" t="str">
        <f aca="false">IF(K1950="","",MATCH(K1950,$F$2:$F$5001,0))</f>
        <v/>
      </c>
      <c r="M1950" s="0" t="str">
        <f aca="false">IF(I1950="","",INDEX(הגדרות!$A$2:$A$21,MOD(I1950+הגדרות!$E$9,הגדרות!$E$6)+1))</f>
        <v/>
      </c>
    </row>
    <row r="1951" customFormat="false" ht="15" hidden="false" customHeight="false" outlineLevel="0" collapsed="false">
      <c r="A1951" s="0" t="str">
        <f aca="false">IF('הדבקת לידים'!A1951="","",IF(ISNUMBER('הדבקת לידים'!A1951),IF(הגדרות!$E$2&gt;0,TEXT('הדבקת לידים'!A1951,REPT("0",הגדרות!$E$2)),TEXT('הדבקת לידים'!A1951,"0")),TRIM('הדבקת לידים'!A1951)))</f>
        <v/>
      </c>
      <c r="B1951" s="0" t="str">
        <f aca="false">IF('הדבקת לידים'!B1951="","",IF(ISNUMBER('הדבקת לידים'!B1951),IF(הגדרות!$E$3&gt;0,TEXT('הדבקת לידים'!B1951,REPT("0",הגדרות!$E$3)),TEXT('הדבקת לידים'!B1951,"0")),TRIM('הדבקת לידים'!B1951)))</f>
        <v/>
      </c>
      <c r="C1951" s="0" t="n">
        <f aca="false">IF(OR(A1951&lt;&gt;"",B1951&lt;&gt;""),1,0)</f>
        <v>0</v>
      </c>
      <c r="D1951" s="0" t="str">
        <f aca="false">IF(C1951=1,MOD(ABS(SIN(ROW()*12.9898+'הדבקת לידים'!$F$2*78.233+IFERROR(--RIGHT(A1951,6),LEN(A1951))*0.0137+IFERROR(--RIGHT(B1951,6),LEN(B1951))*0.0071))*43758.5453,1),"")</f>
        <v/>
      </c>
      <c r="E1951" s="0" t="str">
        <f aca="false">IF(C1951=1,INT(MOD(ABS(SIN(D1951*7919.123+ROW()*0.618+'הדבקת לידים'!$F$2*1.3))*43758.5453,1)*1000000)*10000+ROW(),"")</f>
        <v/>
      </c>
      <c r="F1951" s="0" t="str">
        <f aca="false">IF(E1951="","",RANK(E1951,$E$2:$E$5001,1))</f>
        <v/>
      </c>
      <c r="G1951" s="0" t="n">
        <f aca="false">IF(A1951="",0,IF(SUMPRODUCT(--($A$2:$A$5001=A1951))&gt;1,1,0))</f>
        <v>0</v>
      </c>
      <c r="H1951" s="0" t="n">
        <f aca="false">ROW()-1</f>
        <v>1950</v>
      </c>
      <c r="I1951" s="0" t="str">
        <f aca="false">IF(OR(הגדרות!$E$6=0,H1951&gt;הגדרות!$E$5),"",IF(H1951-1&lt;הגדרות!$E$8*(הגדרות!$E$7+1),INT((H1951-1)/(הגדרות!$E$7+1)),הגדרות!$E$8+INT((H1951-1-הגדרות!$E$8*(הגדרות!$E$7+1))/הגדרות!$E$7)))</f>
        <v/>
      </c>
      <c r="J1951" s="0" t="str">
        <f aca="false">IF(I1951="","",IF(H1951-1&lt;הגדרות!$E$8*(הגדרות!$E$7+1),MOD(H1951-1,הגדרות!$E$7+1),MOD(H1951-1-הגדרות!$E$8*(הגדרות!$E$7+1),הגדרות!$E$7)))</f>
        <v/>
      </c>
      <c r="K1951" s="0" t="str">
        <f aca="false">IF(I1951="","",J1951*הגדרות!$E$6+I1951+1)</f>
        <v/>
      </c>
      <c r="L1951" s="0" t="str">
        <f aca="false">IF(K1951="","",MATCH(K1951,$F$2:$F$5001,0))</f>
        <v/>
      </c>
      <c r="M1951" s="0" t="str">
        <f aca="false">IF(I1951="","",INDEX(הגדרות!$A$2:$A$21,MOD(I1951+הגדרות!$E$9,הגדרות!$E$6)+1))</f>
        <v/>
      </c>
    </row>
    <row r="1952" customFormat="false" ht="15" hidden="false" customHeight="false" outlineLevel="0" collapsed="false">
      <c r="A1952" s="0" t="str">
        <f aca="false">IF('הדבקת לידים'!A1952="","",IF(ISNUMBER('הדבקת לידים'!A1952),IF(הגדרות!$E$2&gt;0,TEXT('הדבקת לידים'!A1952,REPT("0",הגדרות!$E$2)),TEXT('הדבקת לידים'!A1952,"0")),TRIM('הדבקת לידים'!A1952)))</f>
        <v/>
      </c>
      <c r="B1952" s="0" t="str">
        <f aca="false">IF('הדבקת לידים'!B1952="","",IF(ISNUMBER('הדבקת לידים'!B1952),IF(הגדרות!$E$3&gt;0,TEXT('הדבקת לידים'!B1952,REPT("0",הגדרות!$E$3)),TEXT('הדבקת לידים'!B1952,"0")),TRIM('הדבקת לידים'!B1952)))</f>
        <v/>
      </c>
      <c r="C1952" s="0" t="n">
        <f aca="false">IF(OR(A1952&lt;&gt;"",B1952&lt;&gt;""),1,0)</f>
        <v>0</v>
      </c>
      <c r="D1952" s="0" t="str">
        <f aca="false">IF(C1952=1,MOD(ABS(SIN(ROW()*12.9898+'הדבקת לידים'!$F$2*78.233+IFERROR(--RIGHT(A1952,6),LEN(A1952))*0.0137+IFERROR(--RIGHT(B1952,6),LEN(B1952))*0.0071))*43758.5453,1),"")</f>
        <v/>
      </c>
      <c r="E1952" s="0" t="str">
        <f aca="false">IF(C1952=1,INT(MOD(ABS(SIN(D1952*7919.123+ROW()*0.618+'הדבקת לידים'!$F$2*1.3))*43758.5453,1)*1000000)*10000+ROW(),"")</f>
        <v/>
      </c>
      <c r="F1952" s="0" t="str">
        <f aca="false">IF(E1952="","",RANK(E1952,$E$2:$E$5001,1))</f>
        <v/>
      </c>
      <c r="G1952" s="0" t="n">
        <f aca="false">IF(A1952="",0,IF(SUMPRODUCT(--($A$2:$A$5001=A1952))&gt;1,1,0))</f>
        <v>0</v>
      </c>
      <c r="H1952" s="0" t="n">
        <f aca="false">ROW()-1</f>
        <v>1951</v>
      </c>
      <c r="I1952" s="0" t="str">
        <f aca="false">IF(OR(הגדרות!$E$6=0,H1952&gt;הגדרות!$E$5),"",IF(H1952-1&lt;הגדרות!$E$8*(הגדרות!$E$7+1),INT((H1952-1)/(הגדרות!$E$7+1)),הגדרות!$E$8+INT((H1952-1-הגדרות!$E$8*(הגדרות!$E$7+1))/הגדרות!$E$7)))</f>
        <v/>
      </c>
      <c r="J1952" s="0" t="str">
        <f aca="false">IF(I1952="","",IF(H1952-1&lt;הגדרות!$E$8*(הגדרות!$E$7+1),MOD(H1952-1,הגדרות!$E$7+1),MOD(H1952-1-הגדרות!$E$8*(הגדרות!$E$7+1),הגדרות!$E$7)))</f>
        <v/>
      </c>
      <c r="K1952" s="0" t="str">
        <f aca="false">IF(I1952="","",J1952*הגדרות!$E$6+I1952+1)</f>
        <v/>
      </c>
      <c r="L1952" s="0" t="str">
        <f aca="false">IF(K1952="","",MATCH(K1952,$F$2:$F$5001,0))</f>
        <v/>
      </c>
      <c r="M1952" s="0" t="str">
        <f aca="false">IF(I1952="","",INDEX(הגדרות!$A$2:$A$21,MOD(I1952+הגדרות!$E$9,הגדרות!$E$6)+1))</f>
        <v/>
      </c>
    </row>
    <row r="1953" customFormat="false" ht="15" hidden="false" customHeight="false" outlineLevel="0" collapsed="false">
      <c r="A1953" s="0" t="str">
        <f aca="false">IF('הדבקת לידים'!A1953="","",IF(ISNUMBER('הדבקת לידים'!A1953),IF(הגדרות!$E$2&gt;0,TEXT('הדבקת לידים'!A1953,REPT("0",הגדרות!$E$2)),TEXT('הדבקת לידים'!A1953,"0")),TRIM('הדבקת לידים'!A1953)))</f>
        <v/>
      </c>
      <c r="B1953" s="0" t="str">
        <f aca="false">IF('הדבקת לידים'!B1953="","",IF(ISNUMBER('הדבקת לידים'!B1953),IF(הגדרות!$E$3&gt;0,TEXT('הדבקת לידים'!B1953,REPT("0",הגדרות!$E$3)),TEXT('הדבקת לידים'!B1953,"0")),TRIM('הדבקת לידים'!B1953)))</f>
        <v/>
      </c>
      <c r="C1953" s="0" t="n">
        <f aca="false">IF(OR(A1953&lt;&gt;"",B1953&lt;&gt;""),1,0)</f>
        <v>0</v>
      </c>
      <c r="D1953" s="0" t="str">
        <f aca="false">IF(C1953=1,MOD(ABS(SIN(ROW()*12.9898+'הדבקת לידים'!$F$2*78.233+IFERROR(--RIGHT(A1953,6),LEN(A1953))*0.0137+IFERROR(--RIGHT(B1953,6),LEN(B1953))*0.0071))*43758.5453,1),"")</f>
        <v/>
      </c>
      <c r="E1953" s="0" t="str">
        <f aca="false">IF(C1953=1,INT(MOD(ABS(SIN(D1953*7919.123+ROW()*0.618+'הדבקת לידים'!$F$2*1.3))*43758.5453,1)*1000000)*10000+ROW(),"")</f>
        <v/>
      </c>
      <c r="F1953" s="0" t="str">
        <f aca="false">IF(E1953="","",RANK(E1953,$E$2:$E$5001,1))</f>
        <v/>
      </c>
      <c r="G1953" s="0" t="n">
        <f aca="false">IF(A1953="",0,IF(SUMPRODUCT(--($A$2:$A$5001=A1953))&gt;1,1,0))</f>
        <v>0</v>
      </c>
      <c r="H1953" s="0" t="n">
        <f aca="false">ROW()-1</f>
        <v>1952</v>
      </c>
      <c r="I1953" s="0" t="str">
        <f aca="false">IF(OR(הגדרות!$E$6=0,H1953&gt;הגדרות!$E$5),"",IF(H1953-1&lt;הגדרות!$E$8*(הגדרות!$E$7+1),INT((H1953-1)/(הגדרות!$E$7+1)),הגדרות!$E$8+INT((H1953-1-הגדרות!$E$8*(הגדרות!$E$7+1))/הגדרות!$E$7)))</f>
        <v/>
      </c>
      <c r="J1953" s="0" t="str">
        <f aca="false">IF(I1953="","",IF(H1953-1&lt;הגדרות!$E$8*(הגדרות!$E$7+1),MOD(H1953-1,הגדרות!$E$7+1),MOD(H1953-1-הגדרות!$E$8*(הגדרות!$E$7+1),הגדרות!$E$7)))</f>
        <v/>
      </c>
      <c r="K1953" s="0" t="str">
        <f aca="false">IF(I1953="","",J1953*הגדרות!$E$6+I1953+1)</f>
        <v/>
      </c>
      <c r="L1953" s="0" t="str">
        <f aca="false">IF(K1953="","",MATCH(K1953,$F$2:$F$5001,0))</f>
        <v/>
      </c>
      <c r="M1953" s="0" t="str">
        <f aca="false">IF(I1953="","",INDEX(הגדרות!$A$2:$A$21,MOD(I1953+הגדרות!$E$9,הגדרות!$E$6)+1))</f>
        <v/>
      </c>
    </row>
    <row r="1954" customFormat="false" ht="15" hidden="false" customHeight="false" outlineLevel="0" collapsed="false">
      <c r="A1954" s="0" t="str">
        <f aca="false">IF('הדבקת לידים'!A1954="","",IF(ISNUMBER('הדבקת לידים'!A1954),IF(הגדרות!$E$2&gt;0,TEXT('הדבקת לידים'!A1954,REPT("0",הגדרות!$E$2)),TEXT('הדבקת לידים'!A1954,"0")),TRIM('הדבקת לידים'!A1954)))</f>
        <v/>
      </c>
      <c r="B1954" s="0" t="str">
        <f aca="false">IF('הדבקת לידים'!B1954="","",IF(ISNUMBER('הדבקת לידים'!B1954),IF(הגדרות!$E$3&gt;0,TEXT('הדבקת לידים'!B1954,REPT("0",הגדרות!$E$3)),TEXT('הדבקת לידים'!B1954,"0")),TRIM('הדבקת לידים'!B1954)))</f>
        <v/>
      </c>
      <c r="C1954" s="0" t="n">
        <f aca="false">IF(OR(A1954&lt;&gt;"",B1954&lt;&gt;""),1,0)</f>
        <v>0</v>
      </c>
      <c r="D1954" s="0" t="str">
        <f aca="false">IF(C1954=1,MOD(ABS(SIN(ROW()*12.9898+'הדבקת לידים'!$F$2*78.233+IFERROR(--RIGHT(A1954,6),LEN(A1954))*0.0137+IFERROR(--RIGHT(B1954,6),LEN(B1954))*0.0071))*43758.5453,1),"")</f>
        <v/>
      </c>
      <c r="E1954" s="0" t="str">
        <f aca="false">IF(C1954=1,INT(MOD(ABS(SIN(D1954*7919.123+ROW()*0.618+'הדבקת לידים'!$F$2*1.3))*43758.5453,1)*1000000)*10000+ROW(),"")</f>
        <v/>
      </c>
      <c r="F1954" s="0" t="str">
        <f aca="false">IF(E1954="","",RANK(E1954,$E$2:$E$5001,1))</f>
        <v/>
      </c>
      <c r="G1954" s="0" t="n">
        <f aca="false">IF(A1954="",0,IF(SUMPRODUCT(--($A$2:$A$5001=A1954))&gt;1,1,0))</f>
        <v>0</v>
      </c>
      <c r="H1954" s="0" t="n">
        <f aca="false">ROW()-1</f>
        <v>1953</v>
      </c>
      <c r="I1954" s="0" t="str">
        <f aca="false">IF(OR(הגדרות!$E$6=0,H1954&gt;הגדרות!$E$5),"",IF(H1954-1&lt;הגדרות!$E$8*(הגדרות!$E$7+1),INT((H1954-1)/(הגדרות!$E$7+1)),הגדרות!$E$8+INT((H1954-1-הגדרות!$E$8*(הגדרות!$E$7+1))/הגדרות!$E$7)))</f>
        <v/>
      </c>
      <c r="J1954" s="0" t="str">
        <f aca="false">IF(I1954="","",IF(H1954-1&lt;הגדרות!$E$8*(הגדרות!$E$7+1),MOD(H1954-1,הגדרות!$E$7+1),MOD(H1954-1-הגדרות!$E$8*(הגדרות!$E$7+1),הגדרות!$E$7)))</f>
        <v/>
      </c>
      <c r="K1954" s="0" t="str">
        <f aca="false">IF(I1954="","",J1954*הגדרות!$E$6+I1954+1)</f>
        <v/>
      </c>
      <c r="L1954" s="0" t="str">
        <f aca="false">IF(K1954="","",MATCH(K1954,$F$2:$F$5001,0))</f>
        <v/>
      </c>
      <c r="M1954" s="0" t="str">
        <f aca="false">IF(I1954="","",INDEX(הגדרות!$A$2:$A$21,MOD(I1954+הגדרות!$E$9,הגדרות!$E$6)+1))</f>
        <v/>
      </c>
    </row>
    <row r="1955" customFormat="false" ht="15" hidden="false" customHeight="false" outlineLevel="0" collapsed="false">
      <c r="A1955" s="0" t="str">
        <f aca="false">IF('הדבקת לידים'!A1955="","",IF(ISNUMBER('הדבקת לידים'!A1955),IF(הגדרות!$E$2&gt;0,TEXT('הדבקת לידים'!A1955,REPT("0",הגדרות!$E$2)),TEXT('הדבקת לידים'!A1955,"0")),TRIM('הדבקת לידים'!A1955)))</f>
        <v/>
      </c>
      <c r="B1955" s="0" t="str">
        <f aca="false">IF('הדבקת לידים'!B1955="","",IF(ISNUMBER('הדבקת לידים'!B1955),IF(הגדרות!$E$3&gt;0,TEXT('הדבקת לידים'!B1955,REPT("0",הגדרות!$E$3)),TEXT('הדבקת לידים'!B1955,"0")),TRIM('הדבקת לידים'!B1955)))</f>
        <v/>
      </c>
      <c r="C1955" s="0" t="n">
        <f aca="false">IF(OR(A1955&lt;&gt;"",B1955&lt;&gt;""),1,0)</f>
        <v>0</v>
      </c>
      <c r="D1955" s="0" t="str">
        <f aca="false">IF(C1955=1,MOD(ABS(SIN(ROW()*12.9898+'הדבקת לידים'!$F$2*78.233+IFERROR(--RIGHT(A1955,6),LEN(A1955))*0.0137+IFERROR(--RIGHT(B1955,6),LEN(B1955))*0.0071))*43758.5453,1),"")</f>
        <v/>
      </c>
      <c r="E1955" s="0" t="str">
        <f aca="false">IF(C1955=1,INT(MOD(ABS(SIN(D1955*7919.123+ROW()*0.618+'הדבקת לידים'!$F$2*1.3))*43758.5453,1)*1000000)*10000+ROW(),"")</f>
        <v/>
      </c>
      <c r="F1955" s="0" t="str">
        <f aca="false">IF(E1955="","",RANK(E1955,$E$2:$E$5001,1))</f>
        <v/>
      </c>
      <c r="G1955" s="0" t="n">
        <f aca="false">IF(A1955="",0,IF(SUMPRODUCT(--($A$2:$A$5001=A1955))&gt;1,1,0))</f>
        <v>0</v>
      </c>
      <c r="H1955" s="0" t="n">
        <f aca="false">ROW()-1</f>
        <v>1954</v>
      </c>
      <c r="I1955" s="0" t="str">
        <f aca="false">IF(OR(הגדרות!$E$6=0,H1955&gt;הגדרות!$E$5),"",IF(H1955-1&lt;הגדרות!$E$8*(הגדרות!$E$7+1),INT((H1955-1)/(הגדרות!$E$7+1)),הגדרות!$E$8+INT((H1955-1-הגדרות!$E$8*(הגדרות!$E$7+1))/הגדרות!$E$7)))</f>
        <v/>
      </c>
      <c r="J1955" s="0" t="str">
        <f aca="false">IF(I1955="","",IF(H1955-1&lt;הגדרות!$E$8*(הגדרות!$E$7+1),MOD(H1955-1,הגדרות!$E$7+1),MOD(H1955-1-הגדרות!$E$8*(הגדרות!$E$7+1),הגדרות!$E$7)))</f>
        <v/>
      </c>
      <c r="K1955" s="0" t="str">
        <f aca="false">IF(I1955="","",J1955*הגדרות!$E$6+I1955+1)</f>
        <v/>
      </c>
      <c r="L1955" s="0" t="str">
        <f aca="false">IF(K1955="","",MATCH(K1955,$F$2:$F$5001,0))</f>
        <v/>
      </c>
      <c r="M1955" s="0" t="str">
        <f aca="false">IF(I1955="","",INDEX(הגדרות!$A$2:$A$21,MOD(I1955+הגדרות!$E$9,הגדרות!$E$6)+1))</f>
        <v/>
      </c>
    </row>
    <row r="1956" customFormat="false" ht="15" hidden="false" customHeight="false" outlineLevel="0" collapsed="false">
      <c r="A1956" s="0" t="str">
        <f aca="false">IF('הדבקת לידים'!A1956="","",IF(ISNUMBER('הדבקת לידים'!A1956),IF(הגדרות!$E$2&gt;0,TEXT('הדבקת לידים'!A1956,REPT("0",הגדרות!$E$2)),TEXT('הדבקת לידים'!A1956,"0")),TRIM('הדבקת לידים'!A1956)))</f>
        <v/>
      </c>
      <c r="B1956" s="0" t="str">
        <f aca="false">IF('הדבקת לידים'!B1956="","",IF(ISNUMBER('הדבקת לידים'!B1956),IF(הגדרות!$E$3&gt;0,TEXT('הדבקת לידים'!B1956,REPT("0",הגדרות!$E$3)),TEXT('הדבקת לידים'!B1956,"0")),TRIM('הדבקת לידים'!B1956)))</f>
        <v/>
      </c>
      <c r="C1956" s="0" t="n">
        <f aca="false">IF(OR(A1956&lt;&gt;"",B1956&lt;&gt;""),1,0)</f>
        <v>0</v>
      </c>
      <c r="D1956" s="0" t="str">
        <f aca="false">IF(C1956=1,MOD(ABS(SIN(ROW()*12.9898+'הדבקת לידים'!$F$2*78.233+IFERROR(--RIGHT(A1956,6),LEN(A1956))*0.0137+IFERROR(--RIGHT(B1956,6),LEN(B1956))*0.0071))*43758.5453,1),"")</f>
        <v/>
      </c>
      <c r="E1956" s="0" t="str">
        <f aca="false">IF(C1956=1,INT(MOD(ABS(SIN(D1956*7919.123+ROW()*0.618+'הדבקת לידים'!$F$2*1.3))*43758.5453,1)*1000000)*10000+ROW(),"")</f>
        <v/>
      </c>
      <c r="F1956" s="0" t="str">
        <f aca="false">IF(E1956="","",RANK(E1956,$E$2:$E$5001,1))</f>
        <v/>
      </c>
      <c r="G1956" s="0" t="n">
        <f aca="false">IF(A1956="",0,IF(SUMPRODUCT(--($A$2:$A$5001=A1956))&gt;1,1,0))</f>
        <v>0</v>
      </c>
      <c r="H1956" s="0" t="n">
        <f aca="false">ROW()-1</f>
        <v>1955</v>
      </c>
      <c r="I1956" s="0" t="str">
        <f aca="false">IF(OR(הגדרות!$E$6=0,H1956&gt;הגדרות!$E$5),"",IF(H1956-1&lt;הגדרות!$E$8*(הגדרות!$E$7+1),INT((H1956-1)/(הגדרות!$E$7+1)),הגדרות!$E$8+INT((H1956-1-הגדרות!$E$8*(הגדרות!$E$7+1))/הגדרות!$E$7)))</f>
        <v/>
      </c>
      <c r="J1956" s="0" t="str">
        <f aca="false">IF(I1956="","",IF(H1956-1&lt;הגדרות!$E$8*(הגדרות!$E$7+1),MOD(H1956-1,הגדרות!$E$7+1),MOD(H1956-1-הגדרות!$E$8*(הגדרות!$E$7+1),הגדרות!$E$7)))</f>
        <v/>
      </c>
      <c r="K1956" s="0" t="str">
        <f aca="false">IF(I1956="","",J1956*הגדרות!$E$6+I1956+1)</f>
        <v/>
      </c>
      <c r="L1956" s="0" t="str">
        <f aca="false">IF(K1956="","",MATCH(K1956,$F$2:$F$5001,0))</f>
        <v/>
      </c>
      <c r="M1956" s="0" t="str">
        <f aca="false">IF(I1956="","",INDEX(הגדרות!$A$2:$A$21,MOD(I1956+הגדרות!$E$9,הגדרות!$E$6)+1))</f>
        <v/>
      </c>
    </row>
    <row r="1957" customFormat="false" ht="15" hidden="false" customHeight="false" outlineLevel="0" collapsed="false">
      <c r="A1957" s="0" t="str">
        <f aca="false">IF('הדבקת לידים'!A1957="","",IF(ISNUMBER('הדבקת לידים'!A1957),IF(הגדרות!$E$2&gt;0,TEXT('הדבקת לידים'!A1957,REPT("0",הגדרות!$E$2)),TEXT('הדבקת לידים'!A1957,"0")),TRIM('הדבקת לידים'!A1957)))</f>
        <v/>
      </c>
      <c r="B1957" s="0" t="str">
        <f aca="false">IF('הדבקת לידים'!B1957="","",IF(ISNUMBER('הדבקת לידים'!B1957),IF(הגדרות!$E$3&gt;0,TEXT('הדבקת לידים'!B1957,REPT("0",הגדרות!$E$3)),TEXT('הדבקת לידים'!B1957,"0")),TRIM('הדבקת לידים'!B1957)))</f>
        <v/>
      </c>
      <c r="C1957" s="0" t="n">
        <f aca="false">IF(OR(A1957&lt;&gt;"",B1957&lt;&gt;""),1,0)</f>
        <v>0</v>
      </c>
      <c r="D1957" s="0" t="str">
        <f aca="false">IF(C1957=1,MOD(ABS(SIN(ROW()*12.9898+'הדבקת לידים'!$F$2*78.233+IFERROR(--RIGHT(A1957,6),LEN(A1957))*0.0137+IFERROR(--RIGHT(B1957,6),LEN(B1957))*0.0071))*43758.5453,1),"")</f>
        <v/>
      </c>
      <c r="E1957" s="0" t="str">
        <f aca="false">IF(C1957=1,INT(MOD(ABS(SIN(D1957*7919.123+ROW()*0.618+'הדבקת לידים'!$F$2*1.3))*43758.5453,1)*1000000)*10000+ROW(),"")</f>
        <v/>
      </c>
      <c r="F1957" s="0" t="str">
        <f aca="false">IF(E1957="","",RANK(E1957,$E$2:$E$5001,1))</f>
        <v/>
      </c>
      <c r="G1957" s="0" t="n">
        <f aca="false">IF(A1957="",0,IF(SUMPRODUCT(--($A$2:$A$5001=A1957))&gt;1,1,0))</f>
        <v>0</v>
      </c>
      <c r="H1957" s="0" t="n">
        <f aca="false">ROW()-1</f>
        <v>1956</v>
      </c>
      <c r="I1957" s="0" t="str">
        <f aca="false">IF(OR(הגדרות!$E$6=0,H1957&gt;הגדרות!$E$5),"",IF(H1957-1&lt;הגדרות!$E$8*(הגדרות!$E$7+1),INT((H1957-1)/(הגדרות!$E$7+1)),הגדרות!$E$8+INT((H1957-1-הגדרות!$E$8*(הגדרות!$E$7+1))/הגדרות!$E$7)))</f>
        <v/>
      </c>
      <c r="J1957" s="0" t="str">
        <f aca="false">IF(I1957="","",IF(H1957-1&lt;הגדרות!$E$8*(הגדרות!$E$7+1),MOD(H1957-1,הגדרות!$E$7+1),MOD(H1957-1-הגדרות!$E$8*(הגדרות!$E$7+1),הגדרות!$E$7)))</f>
        <v/>
      </c>
      <c r="K1957" s="0" t="str">
        <f aca="false">IF(I1957="","",J1957*הגדרות!$E$6+I1957+1)</f>
        <v/>
      </c>
      <c r="L1957" s="0" t="str">
        <f aca="false">IF(K1957="","",MATCH(K1957,$F$2:$F$5001,0))</f>
        <v/>
      </c>
      <c r="M1957" s="0" t="str">
        <f aca="false">IF(I1957="","",INDEX(הגדרות!$A$2:$A$21,MOD(I1957+הגדרות!$E$9,הגדרות!$E$6)+1))</f>
        <v/>
      </c>
    </row>
    <row r="1958" customFormat="false" ht="15" hidden="false" customHeight="false" outlineLevel="0" collapsed="false">
      <c r="A1958" s="0" t="str">
        <f aca="false">IF('הדבקת לידים'!A1958="","",IF(ISNUMBER('הדבקת לידים'!A1958),IF(הגדרות!$E$2&gt;0,TEXT('הדבקת לידים'!A1958,REPT("0",הגדרות!$E$2)),TEXT('הדבקת לידים'!A1958,"0")),TRIM('הדבקת לידים'!A1958)))</f>
        <v/>
      </c>
      <c r="B1958" s="0" t="str">
        <f aca="false">IF('הדבקת לידים'!B1958="","",IF(ISNUMBER('הדבקת לידים'!B1958),IF(הגדרות!$E$3&gt;0,TEXT('הדבקת לידים'!B1958,REPT("0",הגדרות!$E$3)),TEXT('הדבקת לידים'!B1958,"0")),TRIM('הדבקת לידים'!B1958)))</f>
        <v/>
      </c>
      <c r="C1958" s="0" t="n">
        <f aca="false">IF(OR(A1958&lt;&gt;"",B1958&lt;&gt;""),1,0)</f>
        <v>0</v>
      </c>
      <c r="D1958" s="0" t="str">
        <f aca="false">IF(C1958=1,MOD(ABS(SIN(ROW()*12.9898+'הדבקת לידים'!$F$2*78.233+IFERROR(--RIGHT(A1958,6),LEN(A1958))*0.0137+IFERROR(--RIGHT(B1958,6),LEN(B1958))*0.0071))*43758.5453,1),"")</f>
        <v/>
      </c>
      <c r="E1958" s="0" t="str">
        <f aca="false">IF(C1958=1,INT(MOD(ABS(SIN(D1958*7919.123+ROW()*0.618+'הדבקת לידים'!$F$2*1.3))*43758.5453,1)*1000000)*10000+ROW(),"")</f>
        <v/>
      </c>
      <c r="F1958" s="0" t="str">
        <f aca="false">IF(E1958="","",RANK(E1958,$E$2:$E$5001,1))</f>
        <v/>
      </c>
      <c r="G1958" s="0" t="n">
        <f aca="false">IF(A1958="",0,IF(SUMPRODUCT(--($A$2:$A$5001=A1958))&gt;1,1,0))</f>
        <v>0</v>
      </c>
      <c r="H1958" s="0" t="n">
        <f aca="false">ROW()-1</f>
        <v>1957</v>
      </c>
      <c r="I1958" s="0" t="str">
        <f aca="false">IF(OR(הגדרות!$E$6=0,H1958&gt;הגדרות!$E$5),"",IF(H1958-1&lt;הגדרות!$E$8*(הגדרות!$E$7+1),INT((H1958-1)/(הגדרות!$E$7+1)),הגדרות!$E$8+INT((H1958-1-הגדרות!$E$8*(הגדרות!$E$7+1))/הגדרות!$E$7)))</f>
        <v/>
      </c>
      <c r="J1958" s="0" t="str">
        <f aca="false">IF(I1958="","",IF(H1958-1&lt;הגדרות!$E$8*(הגדרות!$E$7+1),MOD(H1958-1,הגדרות!$E$7+1),MOD(H1958-1-הגדרות!$E$8*(הגדרות!$E$7+1),הגדרות!$E$7)))</f>
        <v/>
      </c>
      <c r="K1958" s="0" t="str">
        <f aca="false">IF(I1958="","",J1958*הגדרות!$E$6+I1958+1)</f>
        <v/>
      </c>
      <c r="L1958" s="0" t="str">
        <f aca="false">IF(K1958="","",MATCH(K1958,$F$2:$F$5001,0))</f>
        <v/>
      </c>
      <c r="M1958" s="0" t="str">
        <f aca="false">IF(I1958="","",INDEX(הגדרות!$A$2:$A$21,MOD(I1958+הגדרות!$E$9,הגדרות!$E$6)+1))</f>
        <v/>
      </c>
    </row>
    <row r="1959" customFormat="false" ht="15" hidden="false" customHeight="false" outlineLevel="0" collapsed="false">
      <c r="A1959" s="0" t="str">
        <f aca="false">IF('הדבקת לידים'!A1959="","",IF(ISNUMBER('הדבקת לידים'!A1959),IF(הגדרות!$E$2&gt;0,TEXT('הדבקת לידים'!A1959,REPT("0",הגדרות!$E$2)),TEXT('הדבקת לידים'!A1959,"0")),TRIM('הדבקת לידים'!A1959)))</f>
        <v/>
      </c>
      <c r="B1959" s="0" t="str">
        <f aca="false">IF('הדבקת לידים'!B1959="","",IF(ISNUMBER('הדבקת לידים'!B1959),IF(הגדרות!$E$3&gt;0,TEXT('הדבקת לידים'!B1959,REPT("0",הגדרות!$E$3)),TEXT('הדבקת לידים'!B1959,"0")),TRIM('הדבקת לידים'!B1959)))</f>
        <v/>
      </c>
      <c r="C1959" s="0" t="n">
        <f aca="false">IF(OR(A1959&lt;&gt;"",B1959&lt;&gt;""),1,0)</f>
        <v>0</v>
      </c>
      <c r="D1959" s="0" t="str">
        <f aca="false">IF(C1959=1,MOD(ABS(SIN(ROW()*12.9898+'הדבקת לידים'!$F$2*78.233+IFERROR(--RIGHT(A1959,6),LEN(A1959))*0.0137+IFERROR(--RIGHT(B1959,6),LEN(B1959))*0.0071))*43758.5453,1),"")</f>
        <v/>
      </c>
      <c r="E1959" s="0" t="str">
        <f aca="false">IF(C1959=1,INT(MOD(ABS(SIN(D1959*7919.123+ROW()*0.618+'הדבקת לידים'!$F$2*1.3))*43758.5453,1)*1000000)*10000+ROW(),"")</f>
        <v/>
      </c>
      <c r="F1959" s="0" t="str">
        <f aca="false">IF(E1959="","",RANK(E1959,$E$2:$E$5001,1))</f>
        <v/>
      </c>
      <c r="G1959" s="0" t="n">
        <f aca="false">IF(A1959="",0,IF(SUMPRODUCT(--($A$2:$A$5001=A1959))&gt;1,1,0))</f>
        <v>0</v>
      </c>
      <c r="H1959" s="0" t="n">
        <f aca="false">ROW()-1</f>
        <v>1958</v>
      </c>
      <c r="I1959" s="0" t="str">
        <f aca="false">IF(OR(הגדרות!$E$6=0,H1959&gt;הגדרות!$E$5),"",IF(H1959-1&lt;הגדרות!$E$8*(הגדרות!$E$7+1),INT((H1959-1)/(הגדרות!$E$7+1)),הגדרות!$E$8+INT((H1959-1-הגדרות!$E$8*(הגדרות!$E$7+1))/הגדרות!$E$7)))</f>
        <v/>
      </c>
      <c r="J1959" s="0" t="str">
        <f aca="false">IF(I1959="","",IF(H1959-1&lt;הגדרות!$E$8*(הגדרות!$E$7+1),MOD(H1959-1,הגדרות!$E$7+1),MOD(H1959-1-הגדרות!$E$8*(הגדרות!$E$7+1),הגדרות!$E$7)))</f>
        <v/>
      </c>
      <c r="K1959" s="0" t="str">
        <f aca="false">IF(I1959="","",J1959*הגדרות!$E$6+I1959+1)</f>
        <v/>
      </c>
      <c r="L1959" s="0" t="str">
        <f aca="false">IF(K1959="","",MATCH(K1959,$F$2:$F$5001,0))</f>
        <v/>
      </c>
      <c r="M1959" s="0" t="str">
        <f aca="false">IF(I1959="","",INDEX(הגדרות!$A$2:$A$21,MOD(I1959+הגדרות!$E$9,הגדרות!$E$6)+1))</f>
        <v/>
      </c>
    </row>
    <row r="1960" customFormat="false" ht="15" hidden="false" customHeight="false" outlineLevel="0" collapsed="false">
      <c r="A1960" s="0" t="str">
        <f aca="false">IF('הדבקת לידים'!A1960="","",IF(ISNUMBER('הדבקת לידים'!A1960),IF(הגדרות!$E$2&gt;0,TEXT('הדבקת לידים'!A1960,REPT("0",הגדרות!$E$2)),TEXT('הדבקת לידים'!A1960,"0")),TRIM('הדבקת לידים'!A1960)))</f>
        <v/>
      </c>
      <c r="B1960" s="0" t="str">
        <f aca="false">IF('הדבקת לידים'!B1960="","",IF(ISNUMBER('הדבקת לידים'!B1960),IF(הגדרות!$E$3&gt;0,TEXT('הדבקת לידים'!B1960,REPT("0",הגדרות!$E$3)),TEXT('הדבקת לידים'!B1960,"0")),TRIM('הדבקת לידים'!B1960)))</f>
        <v/>
      </c>
      <c r="C1960" s="0" t="n">
        <f aca="false">IF(OR(A1960&lt;&gt;"",B1960&lt;&gt;""),1,0)</f>
        <v>0</v>
      </c>
      <c r="D1960" s="0" t="str">
        <f aca="false">IF(C1960=1,MOD(ABS(SIN(ROW()*12.9898+'הדבקת לידים'!$F$2*78.233+IFERROR(--RIGHT(A1960,6),LEN(A1960))*0.0137+IFERROR(--RIGHT(B1960,6),LEN(B1960))*0.0071))*43758.5453,1),"")</f>
        <v/>
      </c>
      <c r="E1960" s="0" t="str">
        <f aca="false">IF(C1960=1,INT(MOD(ABS(SIN(D1960*7919.123+ROW()*0.618+'הדבקת לידים'!$F$2*1.3))*43758.5453,1)*1000000)*10000+ROW(),"")</f>
        <v/>
      </c>
      <c r="F1960" s="0" t="str">
        <f aca="false">IF(E1960="","",RANK(E1960,$E$2:$E$5001,1))</f>
        <v/>
      </c>
      <c r="G1960" s="0" t="n">
        <f aca="false">IF(A1960="",0,IF(SUMPRODUCT(--($A$2:$A$5001=A1960))&gt;1,1,0))</f>
        <v>0</v>
      </c>
      <c r="H1960" s="0" t="n">
        <f aca="false">ROW()-1</f>
        <v>1959</v>
      </c>
      <c r="I1960" s="0" t="str">
        <f aca="false">IF(OR(הגדרות!$E$6=0,H1960&gt;הגדרות!$E$5),"",IF(H1960-1&lt;הגדרות!$E$8*(הגדרות!$E$7+1),INT((H1960-1)/(הגדרות!$E$7+1)),הגדרות!$E$8+INT((H1960-1-הגדרות!$E$8*(הגדרות!$E$7+1))/הגדרות!$E$7)))</f>
        <v/>
      </c>
      <c r="J1960" s="0" t="str">
        <f aca="false">IF(I1960="","",IF(H1960-1&lt;הגדרות!$E$8*(הגדרות!$E$7+1),MOD(H1960-1,הגדרות!$E$7+1),MOD(H1960-1-הגדרות!$E$8*(הגדרות!$E$7+1),הגדרות!$E$7)))</f>
        <v/>
      </c>
      <c r="K1960" s="0" t="str">
        <f aca="false">IF(I1960="","",J1960*הגדרות!$E$6+I1960+1)</f>
        <v/>
      </c>
      <c r="L1960" s="0" t="str">
        <f aca="false">IF(K1960="","",MATCH(K1960,$F$2:$F$5001,0))</f>
        <v/>
      </c>
      <c r="M1960" s="0" t="str">
        <f aca="false">IF(I1960="","",INDEX(הגדרות!$A$2:$A$21,MOD(I1960+הגדרות!$E$9,הגדרות!$E$6)+1))</f>
        <v/>
      </c>
    </row>
    <row r="1961" customFormat="false" ht="15" hidden="false" customHeight="false" outlineLevel="0" collapsed="false">
      <c r="A1961" s="0" t="str">
        <f aca="false">IF('הדבקת לידים'!A1961="","",IF(ISNUMBER('הדבקת לידים'!A1961),IF(הגדרות!$E$2&gt;0,TEXT('הדבקת לידים'!A1961,REPT("0",הגדרות!$E$2)),TEXT('הדבקת לידים'!A1961,"0")),TRIM('הדבקת לידים'!A1961)))</f>
        <v/>
      </c>
      <c r="B1961" s="0" t="str">
        <f aca="false">IF('הדבקת לידים'!B1961="","",IF(ISNUMBER('הדבקת לידים'!B1961),IF(הגדרות!$E$3&gt;0,TEXT('הדבקת לידים'!B1961,REPT("0",הגדרות!$E$3)),TEXT('הדבקת לידים'!B1961,"0")),TRIM('הדבקת לידים'!B1961)))</f>
        <v/>
      </c>
      <c r="C1961" s="0" t="n">
        <f aca="false">IF(OR(A1961&lt;&gt;"",B1961&lt;&gt;""),1,0)</f>
        <v>0</v>
      </c>
      <c r="D1961" s="0" t="str">
        <f aca="false">IF(C1961=1,MOD(ABS(SIN(ROW()*12.9898+'הדבקת לידים'!$F$2*78.233+IFERROR(--RIGHT(A1961,6),LEN(A1961))*0.0137+IFERROR(--RIGHT(B1961,6),LEN(B1961))*0.0071))*43758.5453,1),"")</f>
        <v/>
      </c>
      <c r="E1961" s="0" t="str">
        <f aca="false">IF(C1961=1,INT(MOD(ABS(SIN(D1961*7919.123+ROW()*0.618+'הדבקת לידים'!$F$2*1.3))*43758.5453,1)*1000000)*10000+ROW(),"")</f>
        <v/>
      </c>
      <c r="F1961" s="0" t="str">
        <f aca="false">IF(E1961="","",RANK(E1961,$E$2:$E$5001,1))</f>
        <v/>
      </c>
      <c r="G1961" s="0" t="n">
        <f aca="false">IF(A1961="",0,IF(SUMPRODUCT(--($A$2:$A$5001=A1961))&gt;1,1,0))</f>
        <v>0</v>
      </c>
      <c r="H1961" s="0" t="n">
        <f aca="false">ROW()-1</f>
        <v>1960</v>
      </c>
      <c r="I1961" s="0" t="str">
        <f aca="false">IF(OR(הגדרות!$E$6=0,H1961&gt;הגדרות!$E$5),"",IF(H1961-1&lt;הגדרות!$E$8*(הגדרות!$E$7+1),INT((H1961-1)/(הגדרות!$E$7+1)),הגדרות!$E$8+INT((H1961-1-הגדרות!$E$8*(הגדרות!$E$7+1))/הגדרות!$E$7)))</f>
        <v/>
      </c>
      <c r="J1961" s="0" t="str">
        <f aca="false">IF(I1961="","",IF(H1961-1&lt;הגדרות!$E$8*(הגדרות!$E$7+1),MOD(H1961-1,הגדרות!$E$7+1),MOD(H1961-1-הגדרות!$E$8*(הגדרות!$E$7+1),הגדרות!$E$7)))</f>
        <v/>
      </c>
      <c r="K1961" s="0" t="str">
        <f aca="false">IF(I1961="","",J1961*הגדרות!$E$6+I1961+1)</f>
        <v/>
      </c>
      <c r="L1961" s="0" t="str">
        <f aca="false">IF(K1961="","",MATCH(K1961,$F$2:$F$5001,0))</f>
        <v/>
      </c>
      <c r="M1961" s="0" t="str">
        <f aca="false">IF(I1961="","",INDEX(הגדרות!$A$2:$A$21,MOD(I1961+הגדרות!$E$9,הגדרות!$E$6)+1))</f>
        <v/>
      </c>
    </row>
    <row r="1962" customFormat="false" ht="15" hidden="false" customHeight="false" outlineLevel="0" collapsed="false">
      <c r="A1962" s="0" t="str">
        <f aca="false">IF('הדבקת לידים'!A1962="","",IF(ISNUMBER('הדבקת לידים'!A1962),IF(הגדרות!$E$2&gt;0,TEXT('הדבקת לידים'!A1962,REPT("0",הגדרות!$E$2)),TEXT('הדבקת לידים'!A1962,"0")),TRIM('הדבקת לידים'!A1962)))</f>
        <v/>
      </c>
      <c r="B1962" s="0" t="str">
        <f aca="false">IF('הדבקת לידים'!B1962="","",IF(ISNUMBER('הדבקת לידים'!B1962),IF(הגדרות!$E$3&gt;0,TEXT('הדבקת לידים'!B1962,REPT("0",הגדרות!$E$3)),TEXT('הדבקת לידים'!B1962,"0")),TRIM('הדבקת לידים'!B1962)))</f>
        <v/>
      </c>
      <c r="C1962" s="0" t="n">
        <f aca="false">IF(OR(A1962&lt;&gt;"",B1962&lt;&gt;""),1,0)</f>
        <v>0</v>
      </c>
      <c r="D1962" s="0" t="str">
        <f aca="false">IF(C1962=1,MOD(ABS(SIN(ROW()*12.9898+'הדבקת לידים'!$F$2*78.233+IFERROR(--RIGHT(A1962,6),LEN(A1962))*0.0137+IFERROR(--RIGHT(B1962,6),LEN(B1962))*0.0071))*43758.5453,1),"")</f>
        <v/>
      </c>
      <c r="E1962" s="0" t="str">
        <f aca="false">IF(C1962=1,INT(MOD(ABS(SIN(D1962*7919.123+ROW()*0.618+'הדבקת לידים'!$F$2*1.3))*43758.5453,1)*1000000)*10000+ROW(),"")</f>
        <v/>
      </c>
      <c r="F1962" s="0" t="str">
        <f aca="false">IF(E1962="","",RANK(E1962,$E$2:$E$5001,1))</f>
        <v/>
      </c>
      <c r="G1962" s="0" t="n">
        <f aca="false">IF(A1962="",0,IF(SUMPRODUCT(--($A$2:$A$5001=A1962))&gt;1,1,0))</f>
        <v>0</v>
      </c>
      <c r="H1962" s="0" t="n">
        <f aca="false">ROW()-1</f>
        <v>1961</v>
      </c>
      <c r="I1962" s="0" t="str">
        <f aca="false">IF(OR(הגדרות!$E$6=0,H1962&gt;הגדרות!$E$5),"",IF(H1962-1&lt;הגדרות!$E$8*(הגדרות!$E$7+1),INT((H1962-1)/(הגדרות!$E$7+1)),הגדרות!$E$8+INT((H1962-1-הגדרות!$E$8*(הגדרות!$E$7+1))/הגדרות!$E$7)))</f>
        <v/>
      </c>
      <c r="J1962" s="0" t="str">
        <f aca="false">IF(I1962="","",IF(H1962-1&lt;הגדרות!$E$8*(הגדרות!$E$7+1),MOD(H1962-1,הגדרות!$E$7+1),MOD(H1962-1-הגדרות!$E$8*(הגדרות!$E$7+1),הגדרות!$E$7)))</f>
        <v/>
      </c>
      <c r="K1962" s="0" t="str">
        <f aca="false">IF(I1962="","",J1962*הגדרות!$E$6+I1962+1)</f>
        <v/>
      </c>
      <c r="L1962" s="0" t="str">
        <f aca="false">IF(K1962="","",MATCH(K1962,$F$2:$F$5001,0))</f>
        <v/>
      </c>
      <c r="M1962" s="0" t="str">
        <f aca="false">IF(I1962="","",INDEX(הגדרות!$A$2:$A$21,MOD(I1962+הגדרות!$E$9,הגדרות!$E$6)+1))</f>
        <v/>
      </c>
    </row>
    <row r="1963" customFormat="false" ht="15" hidden="false" customHeight="false" outlineLevel="0" collapsed="false">
      <c r="A1963" s="0" t="str">
        <f aca="false">IF('הדבקת לידים'!A1963="","",IF(ISNUMBER('הדבקת לידים'!A1963),IF(הגדרות!$E$2&gt;0,TEXT('הדבקת לידים'!A1963,REPT("0",הגדרות!$E$2)),TEXT('הדבקת לידים'!A1963,"0")),TRIM('הדבקת לידים'!A1963)))</f>
        <v/>
      </c>
      <c r="B1963" s="0" t="str">
        <f aca="false">IF('הדבקת לידים'!B1963="","",IF(ISNUMBER('הדבקת לידים'!B1963),IF(הגדרות!$E$3&gt;0,TEXT('הדבקת לידים'!B1963,REPT("0",הגדרות!$E$3)),TEXT('הדבקת לידים'!B1963,"0")),TRIM('הדבקת לידים'!B1963)))</f>
        <v/>
      </c>
      <c r="C1963" s="0" t="n">
        <f aca="false">IF(OR(A1963&lt;&gt;"",B1963&lt;&gt;""),1,0)</f>
        <v>0</v>
      </c>
      <c r="D1963" s="0" t="str">
        <f aca="false">IF(C1963=1,MOD(ABS(SIN(ROW()*12.9898+'הדבקת לידים'!$F$2*78.233+IFERROR(--RIGHT(A1963,6),LEN(A1963))*0.0137+IFERROR(--RIGHT(B1963,6),LEN(B1963))*0.0071))*43758.5453,1),"")</f>
        <v/>
      </c>
      <c r="E1963" s="0" t="str">
        <f aca="false">IF(C1963=1,INT(MOD(ABS(SIN(D1963*7919.123+ROW()*0.618+'הדבקת לידים'!$F$2*1.3))*43758.5453,1)*1000000)*10000+ROW(),"")</f>
        <v/>
      </c>
      <c r="F1963" s="0" t="str">
        <f aca="false">IF(E1963="","",RANK(E1963,$E$2:$E$5001,1))</f>
        <v/>
      </c>
      <c r="G1963" s="0" t="n">
        <f aca="false">IF(A1963="",0,IF(SUMPRODUCT(--($A$2:$A$5001=A1963))&gt;1,1,0))</f>
        <v>0</v>
      </c>
      <c r="H1963" s="0" t="n">
        <f aca="false">ROW()-1</f>
        <v>1962</v>
      </c>
      <c r="I1963" s="0" t="str">
        <f aca="false">IF(OR(הגדרות!$E$6=0,H1963&gt;הגדרות!$E$5),"",IF(H1963-1&lt;הגדרות!$E$8*(הגדרות!$E$7+1),INT((H1963-1)/(הגדרות!$E$7+1)),הגדרות!$E$8+INT((H1963-1-הגדרות!$E$8*(הגדרות!$E$7+1))/הגדרות!$E$7)))</f>
        <v/>
      </c>
      <c r="J1963" s="0" t="str">
        <f aca="false">IF(I1963="","",IF(H1963-1&lt;הגדרות!$E$8*(הגדרות!$E$7+1),MOD(H1963-1,הגדרות!$E$7+1),MOD(H1963-1-הגדרות!$E$8*(הגדרות!$E$7+1),הגדרות!$E$7)))</f>
        <v/>
      </c>
      <c r="K1963" s="0" t="str">
        <f aca="false">IF(I1963="","",J1963*הגדרות!$E$6+I1963+1)</f>
        <v/>
      </c>
      <c r="L1963" s="0" t="str">
        <f aca="false">IF(K1963="","",MATCH(K1963,$F$2:$F$5001,0))</f>
        <v/>
      </c>
      <c r="M1963" s="0" t="str">
        <f aca="false">IF(I1963="","",INDEX(הגדרות!$A$2:$A$21,MOD(I1963+הגדרות!$E$9,הגדרות!$E$6)+1))</f>
        <v/>
      </c>
    </row>
    <row r="1964" customFormat="false" ht="15" hidden="false" customHeight="false" outlineLevel="0" collapsed="false">
      <c r="A1964" s="0" t="str">
        <f aca="false">IF('הדבקת לידים'!A1964="","",IF(ISNUMBER('הדבקת לידים'!A1964),IF(הגדרות!$E$2&gt;0,TEXT('הדבקת לידים'!A1964,REPT("0",הגדרות!$E$2)),TEXT('הדבקת לידים'!A1964,"0")),TRIM('הדבקת לידים'!A1964)))</f>
        <v/>
      </c>
      <c r="B1964" s="0" t="str">
        <f aca="false">IF('הדבקת לידים'!B1964="","",IF(ISNUMBER('הדבקת לידים'!B1964),IF(הגדרות!$E$3&gt;0,TEXT('הדבקת לידים'!B1964,REPT("0",הגדרות!$E$3)),TEXT('הדבקת לידים'!B1964,"0")),TRIM('הדבקת לידים'!B1964)))</f>
        <v/>
      </c>
      <c r="C1964" s="0" t="n">
        <f aca="false">IF(OR(A1964&lt;&gt;"",B1964&lt;&gt;""),1,0)</f>
        <v>0</v>
      </c>
      <c r="D1964" s="0" t="str">
        <f aca="false">IF(C1964=1,MOD(ABS(SIN(ROW()*12.9898+'הדבקת לידים'!$F$2*78.233+IFERROR(--RIGHT(A1964,6),LEN(A1964))*0.0137+IFERROR(--RIGHT(B1964,6),LEN(B1964))*0.0071))*43758.5453,1),"")</f>
        <v/>
      </c>
      <c r="E1964" s="0" t="str">
        <f aca="false">IF(C1964=1,INT(MOD(ABS(SIN(D1964*7919.123+ROW()*0.618+'הדבקת לידים'!$F$2*1.3))*43758.5453,1)*1000000)*10000+ROW(),"")</f>
        <v/>
      </c>
      <c r="F1964" s="0" t="str">
        <f aca="false">IF(E1964="","",RANK(E1964,$E$2:$E$5001,1))</f>
        <v/>
      </c>
      <c r="G1964" s="0" t="n">
        <f aca="false">IF(A1964="",0,IF(SUMPRODUCT(--($A$2:$A$5001=A1964))&gt;1,1,0))</f>
        <v>0</v>
      </c>
      <c r="H1964" s="0" t="n">
        <f aca="false">ROW()-1</f>
        <v>1963</v>
      </c>
      <c r="I1964" s="0" t="str">
        <f aca="false">IF(OR(הגדרות!$E$6=0,H1964&gt;הגדרות!$E$5),"",IF(H1964-1&lt;הגדרות!$E$8*(הגדרות!$E$7+1),INT((H1964-1)/(הגדרות!$E$7+1)),הגדרות!$E$8+INT((H1964-1-הגדרות!$E$8*(הגדרות!$E$7+1))/הגדרות!$E$7)))</f>
        <v/>
      </c>
      <c r="J1964" s="0" t="str">
        <f aca="false">IF(I1964="","",IF(H1964-1&lt;הגדרות!$E$8*(הגדרות!$E$7+1),MOD(H1964-1,הגדרות!$E$7+1),MOD(H1964-1-הגדרות!$E$8*(הגדרות!$E$7+1),הגדרות!$E$7)))</f>
        <v/>
      </c>
      <c r="K1964" s="0" t="str">
        <f aca="false">IF(I1964="","",J1964*הגדרות!$E$6+I1964+1)</f>
        <v/>
      </c>
      <c r="L1964" s="0" t="str">
        <f aca="false">IF(K1964="","",MATCH(K1964,$F$2:$F$5001,0))</f>
        <v/>
      </c>
      <c r="M1964" s="0" t="str">
        <f aca="false">IF(I1964="","",INDEX(הגדרות!$A$2:$A$21,MOD(I1964+הגדרות!$E$9,הגדרות!$E$6)+1))</f>
        <v/>
      </c>
    </row>
    <row r="1965" customFormat="false" ht="15" hidden="false" customHeight="false" outlineLevel="0" collapsed="false">
      <c r="A1965" s="0" t="str">
        <f aca="false">IF('הדבקת לידים'!A1965="","",IF(ISNUMBER('הדבקת לידים'!A1965),IF(הגדרות!$E$2&gt;0,TEXT('הדבקת לידים'!A1965,REPT("0",הגדרות!$E$2)),TEXT('הדבקת לידים'!A1965,"0")),TRIM('הדבקת לידים'!A1965)))</f>
        <v/>
      </c>
      <c r="B1965" s="0" t="str">
        <f aca="false">IF('הדבקת לידים'!B1965="","",IF(ISNUMBER('הדבקת לידים'!B1965),IF(הגדרות!$E$3&gt;0,TEXT('הדבקת לידים'!B1965,REPT("0",הגדרות!$E$3)),TEXT('הדבקת לידים'!B1965,"0")),TRIM('הדבקת לידים'!B1965)))</f>
        <v/>
      </c>
      <c r="C1965" s="0" t="n">
        <f aca="false">IF(OR(A1965&lt;&gt;"",B1965&lt;&gt;""),1,0)</f>
        <v>0</v>
      </c>
      <c r="D1965" s="0" t="str">
        <f aca="false">IF(C1965=1,MOD(ABS(SIN(ROW()*12.9898+'הדבקת לידים'!$F$2*78.233+IFERROR(--RIGHT(A1965,6),LEN(A1965))*0.0137+IFERROR(--RIGHT(B1965,6),LEN(B1965))*0.0071))*43758.5453,1),"")</f>
        <v/>
      </c>
      <c r="E1965" s="0" t="str">
        <f aca="false">IF(C1965=1,INT(MOD(ABS(SIN(D1965*7919.123+ROW()*0.618+'הדבקת לידים'!$F$2*1.3))*43758.5453,1)*1000000)*10000+ROW(),"")</f>
        <v/>
      </c>
      <c r="F1965" s="0" t="str">
        <f aca="false">IF(E1965="","",RANK(E1965,$E$2:$E$5001,1))</f>
        <v/>
      </c>
      <c r="G1965" s="0" t="n">
        <f aca="false">IF(A1965="",0,IF(SUMPRODUCT(--($A$2:$A$5001=A1965))&gt;1,1,0))</f>
        <v>0</v>
      </c>
      <c r="H1965" s="0" t="n">
        <f aca="false">ROW()-1</f>
        <v>1964</v>
      </c>
      <c r="I1965" s="0" t="str">
        <f aca="false">IF(OR(הגדרות!$E$6=0,H1965&gt;הגדרות!$E$5),"",IF(H1965-1&lt;הגדרות!$E$8*(הגדרות!$E$7+1),INT((H1965-1)/(הגדרות!$E$7+1)),הגדרות!$E$8+INT((H1965-1-הגדרות!$E$8*(הגדרות!$E$7+1))/הגדרות!$E$7)))</f>
        <v/>
      </c>
      <c r="J1965" s="0" t="str">
        <f aca="false">IF(I1965="","",IF(H1965-1&lt;הגדרות!$E$8*(הגדרות!$E$7+1),MOD(H1965-1,הגדרות!$E$7+1),MOD(H1965-1-הגדרות!$E$8*(הגדרות!$E$7+1),הגדרות!$E$7)))</f>
        <v/>
      </c>
      <c r="K1965" s="0" t="str">
        <f aca="false">IF(I1965="","",J1965*הגדרות!$E$6+I1965+1)</f>
        <v/>
      </c>
      <c r="L1965" s="0" t="str">
        <f aca="false">IF(K1965="","",MATCH(K1965,$F$2:$F$5001,0))</f>
        <v/>
      </c>
      <c r="M1965" s="0" t="str">
        <f aca="false">IF(I1965="","",INDEX(הגדרות!$A$2:$A$21,MOD(I1965+הגדרות!$E$9,הגדרות!$E$6)+1))</f>
        <v/>
      </c>
    </row>
    <row r="1966" customFormat="false" ht="15" hidden="false" customHeight="false" outlineLevel="0" collapsed="false">
      <c r="A1966" s="0" t="str">
        <f aca="false">IF('הדבקת לידים'!A1966="","",IF(ISNUMBER('הדבקת לידים'!A1966),IF(הגדרות!$E$2&gt;0,TEXT('הדבקת לידים'!A1966,REPT("0",הגדרות!$E$2)),TEXT('הדבקת לידים'!A1966,"0")),TRIM('הדבקת לידים'!A1966)))</f>
        <v/>
      </c>
      <c r="B1966" s="0" t="str">
        <f aca="false">IF('הדבקת לידים'!B1966="","",IF(ISNUMBER('הדבקת לידים'!B1966),IF(הגדרות!$E$3&gt;0,TEXT('הדבקת לידים'!B1966,REPT("0",הגדרות!$E$3)),TEXT('הדבקת לידים'!B1966,"0")),TRIM('הדבקת לידים'!B1966)))</f>
        <v/>
      </c>
      <c r="C1966" s="0" t="n">
        <f aca="false">IF(OR(A1966&lt;&gt;"",B1966&lt;&gt;""),1,0)</f>
        <v>0</v>
      </c>
      <c r="D1966" s="0" t="str">
        <f aca="false">IF(C1966=1,MOD(ABS(SIN(ROW()*12.9898+'הדבקת לידים'!$F$2*78.233+IFERROR(--RIGHT(A1966,6),LEN(A1966))*0.0137+IFERROR(--RIGHT(B1966,6),LEN(B1966))*0.0071))*43758.5453,1),"")</f>
        <v/>
      </c>
      <c r="E1966" s="0" t="str">
        <f aca="false">IF(C1966=1,INT(MOD(ABS(SIN(D1966*7919.123+ROW()*0.618+'הדבקת לידים'!$F$2*1.3))*43758.5453,1)*1000000)*10000+ROW(),"")</f>
        <v/>
      </c>
      <c r="F1966" s="0" t="str">
        <f aca="false">IF(E1966="","",RANK(E1966,$E$2:$E$5001,1))</f>
        <v/>
      </c>
      <c r="G1966" s="0" t="n">
        <f aca="false">IF(A1966="",0,IF(SUMPRODUCT(--($A$2:$A$5001=A1966))&gt;1,1,0))</f>
        <v>0</v>
      </c>
      <c r="H1966" s="0" t="n">
        <f aca="false">ROW()-1</f>
        <v>1965</v>
      </c>
      <c r="I1966" s="0" t="str">
        <f aca="false">IF(OR(הגדרות!$E$6=0,H1966&gt;הגדרות!$E$5),"",IF(H1966-1&lt;הגדרות!$E$8*(הגדרות!$E$7+1),INT((H1966-1)/(הגדרות!$E$7+1)),הגדרות!$E$8+INT((H1966-1-הגדרות!$E$8*(הגדרות!$E$7+1))/הגדרות!$E$7)))</f>
        <v/>
      </c>
      <c r="J1966" s="0" t="str">
        <f aca="false">IF(I1966="","",IF(H1966-1&lt;הגדרות!$E$8*(הגדרות!$E$7+1),MOD(H1966-1,הגדרות!$E$7+1),MOD(H1966-1-הגדרות!$E$8*(הגדרות!$E$7+1),הגדרות!$E$7)))</f>
        <v/>
      </c>
      <c r="K1966" s="0" t="str">
        <f aca="false">IF(I1966="","",J1966*הגדרות!$E$6+I1966+1)</f>
        <v/>
      </c>
      <c r="L1966" s="0" t="str">
        <f aca="false">IF(K1966="","",MATCH(K1966,$F$2:$F$5001,0))</f>
        <v/>
      </c>
      <c r="M1966" s="0" t="str">
        <f aca="false">IF(I1966="","",INDEX(הגדרות!$A$2:$A$21,MOD(I1966+הגדרות!$E$9,הגדרות!$E$6)+1))</f>
        <v/>
      </c>
    </row>
    <row r="1967" customFormat="false" ht="15" hidden="false" customHeight="false" outlineLevel="0" collapsed="false">
      <c r="A1967" s="0" t="str">
        <f aca="false">IF('הדבקת לידים'!A1967="","",IF(ISNUMBER('הדבקת לידים'!A1967),IF(הגדרות!$E$2&gt;0,TEXT('הדבקת לידים'!A1967,REPT("0",הגדרות!$E$2)),TEXT('הדבקת לידים'!A1967,"0")),TRIM('הדבקת לידים'!A1967)))</f>
        <v/>
      </c>
      <c r="B1967" s="0" t="str">
        <f aca="false">IF('הדבקת לידים'!B1967="","",IF(ISNUMBER('הדבקת לידים'!B1967),IF(הגדרות!$E$3&gt;0,TEXT('הדבקת לידים'!B1967,REPT("0",הגדרות!$E$3)),TEXT('הדבקת לידים'!B1967,"0")),TRIM('הדבקת לידים'!B1967)))</f>
        <v/>
      </c>
      <c r="C1967" s="0" t="n">
        <f aca="false">IF(OR(A1967&lt;&gt;"",B1967&lt;&gt;""),1,0)</f>
        <v>0</v>
      </c>
      <c r="D1967" s="0" t="str">
        <f aca="false">IF(C1967=1,MOD(ABS(SIN(ROW()*12.9898+'הדבקת לידים'!$F$2*78.233+IFERROR(--RIGHT(A1967,6),LEN(A1967))*0.0137+IFERROR(--RIGHT(B1967,6),LEN(B1967))*0.0071))*43758.5453,1),"")</f>
        <v/>
      </c>
      <c r="E1967" s="0" t="str">
        <f aca="false">IF(C1967=1,INT(MOD(ABS(SIN(D1967*7919.123+ROW()*0.618+'הדבקת לידים'!$F$2*1.3))*43758.5453,1)*1000000)*10000+ROW(),"")</f>
        <v/>
      </c>
      <c r="F1967" s="0" t="str">
        <f aca="false">IF(E1967="","",RANK(E1967,$E$2:$E$5001,1))</f>
        <v/>
      </c>
      <c r="G1967" s="0" t="n">
        <f aca="false">IF(A1967="",0,IF(SUMPRODUCT(--($A$2:$A$5001=A1967))&gt;1,1,0))</f>
        <v>0</v>
      </c>
      <c r="H1967" s="0" t="n">
        <f aca="false">ROW()-1</f>
        <v>1966</v>
      </c>
      <c r="I1967" s="0" t="str">
        <f aca="false">IF(OR(הגדרות!$E$6=0,H1967&gt;הגדרות!$E$5),"",IF(H1967-1&lt;הגדרות!$E$8*(הגדרות!$E$7+1),INT((H1967-1)/(הגדרות!$E$7+1)),הגדרות!$E$8+INT((H1967-1-הגדרות!$E$8*(הגדרות!$E$7+1))/הגדרות!$E$7)))</f>
        <v/>
      </c>
      <c r="J1967" s="0" t="str">
        <f aca="false">IF(I1967="","",IF(H1967-1&lt;הגדרות!$E$8*(הגדרות!$E$7+1),MOD(H1967-1,הגדרות!$E$7+1),MOD(H1967-1-הגדרות!$E$8*(הגדרות!$E$7+1),הגדרות!$E$7)))</f>
        <v/>
      </c>
      <c r="K1967" s="0" t="str">
        <f aca="false">IF(I1967="","",J1967*הגדרות!$E$6+I1967+1)</f>
        <v/>
      </c>
      <c r="L1967" s="0" t="str">
        <f aca="false">IF(K1967="","",MATCH(K1967,$F$2:$F$5001,0))</f>
        <v/>
      </c>
      <c r="M1967" s="0" t="str">
        <f aca="false">IF(I1967="","",INDEX(הגדרות!$A$2:$A$21,MOD(I1967+הגדרות!$E$9,הגדרות!$E$6)+1))</f>
        <v/>
      </c>
    </row>
    <row r="1968" customFormat="false" ht="15" hidden="false" customHeight="false" outlineLevel="0" collapsed="false">
      <c r="A1968" s="0" t="str">
        <f aca="false">IF('הדבקת לידים'!A1968="","",IF(ISNUMBER('הדבקת לידים'!A1968),IF(הגדרות!$E$2&gt;0,TEXT('הדבקת לידים'!A1968,REPT("0",הגדרות!$E$2)),TEXT('הדבקת לידים'!A1968,"0")),TRIM('הדבקת לידים'!A1968)))</f>
        <v/>
      </c>
      <c r="B1968" s="0" t="str">
        <f aca="false">IF('הדבקת לידים'!B1968="","",IF(ISNUMBER('הדבקת לידים'!B1968),IF(הגדרות!$E$3&gt;0,TEXT('הדבקת לידים'!B1968,REPT("0",הגדרות!$E$3)),TEXT('הדבקת לידים'!B1968,"0")),TRIM('הדבקת לידים'!B1968)))</f>
        <v/>
      </c>
      <c r="C1968" s="0" t="n">
        <f aca="false">IF(OR(A1968&lt;&gt;"",B1968&lt;&gt;""),1,0)</f>
        <v>0</v>
      </c>
      <c r="D1968" s="0" t="str">
        <f aca="false">IF(C1968=1,MOD(ABS(SIN(ROW()*12.9898+'הדבקת לידים'!$F$2*78.233+IFERROR(--RIGHT(A1968,6),LEN(A1968))*0.0137+IFERROR(--RIGHT(B1968,6),LEN(B1968))*0.0071))*43758.5453,1),"")</f>
        <v/>
      </c>
      <c r="E1968" s="0" t="str">
        <f aca="false">IF(C1968=1,INT(MOD(ABS(SIN(D1968*7919.123+ROW()*0.618+'הדבקת לידים'!$F$2*1.3))*43758.5453,1)*1000000)*10000+ROW(),"")</f>
        <v/>
      </c>
      <c r="F1968" s="0" t="str">
        <f aca="false">IF(E1968="","",RANK(E1968,$E$2:$E$5001,1))</f>
        <v/>
      </c>
      <c r="G1968" s="0" t="n">
        <f aca="false">IF(A1968="",0,IF(SUMPRODUCT(--($A$2:$A$5001=A1968))&gt;1,1,0))</f>
        <v>0</v>
      </c>
      <c r="H1968" s="0" t="n">
        <f aca="false">ROW()-1</f>
        <v>1967</v>
      </c>
      <c r="I1968" s="0" t="str">
        <f aca="false">IF(OR(הגדרות!$E$6=0,H1968&gt;הגדרות!$E$5),"",IF(H1968-1&lt;הגדרות!$E$8*(הגדרות!$E$7+1),INT((H1968-1)/(הגדרות!$E$7+1)),הגדרות!$E$8+INT((H1968-1-הגדרות!$E$8*(הגדרות!$E$7+1))/הגדרות!$E$7)))</f>
        <v/>
      </c>
      <c r="J1968" s="0" t="str">
        <f aca="false">IF(I1968="","",IF(H1968-1&lt;הגדרות!$E$8*(הגדרות!$E$7+1),MOD(H1968-1,הגדרות!$E$7+1),MOD(H1968-1-הגדרות!$E$8*(הגדרות!$E$7+1),הגדרות!$E$7)))</f>
        <v/>
      </c>
      <c r="K1968" s="0" t="str">
        <f aca="false">IF(I1968="","",J1968*הגדרות!$E$6+I1968+1)</f>
        <v/>
      </c>
      <c r="L1968" s="0" t="str">
        <f aca="false">IF(K1968="","",MATCH(K1968,$F$2:$F$5001,0))</f>
        <v/>
      </c>
      <c r="M1968" s="0" t="str">
        <f aca="false">IF(I1968="","",INDEX(הגדרות!$A$2:$A$21,MOD(I1968+הגדרות!$E$9,הגדרות!$E$6)+1))</f>
        <v/>
      </c>
    </row>
    <row r="1969" customFormat="false" ht="15" hidden="false" customHeight="false" outlineLevel="0" collapsed="false">
      <c r="A1969" s="0" t="str">
        <f aca="false">IF('הדבקת לידים'!A1969="","",IF(ISNUMBER('הדבקת לידים'!A1969),IF(הגדרות!$E$2&gt;0,TEXT('הדבקת לידים'!A1969,REPT("0",הגדרות!$E$2)),TEXT('הדבקת לידים'!A1969,"0")),TRIM('הדבקת לידים'!A1969)))</f>
        <v/>
      </c>
      <c r="B1969" s="0" t="str">
        <f aca="false">IF('הדבקת לידים'!B1969="","",IF(ISNUMBER('הדבקת לידים'!B1969),IF(הגדרות!$E$3&gt;0,TEXT('הדבקת לידים'!B1969,REPT("0",הגדרות!$E$3)),TEXT('הדבקת לידים'!B1969,"0")),TRIM('הדבקת לידים'!B1969)))</f>
        <v/>
      </c>
      <c r="C1969" s="0" t="n">
        <f aca="false">IF(OR(A1969&lt;&gt;"",B1969&lt;&gt;""),1,0)</f>
        <v>0</v>
      </c>
      <c r="D1969" s="0" t="str">
        <f aca="false">IF(C1969=1,MOD(ABS(SIN(ROW()*12.9898+'הדבקת לידים'!$F$2*78.233+IFERROR(--RIGHT(A1969,6),LEN(A1969))*0.0137+IFERROR(--RIGHT(B1969,6),LEN(B1969))*0.0071))*43758.5453,1),"")</f>
        <v/>
      </c>
      <c r="E1969" s="0" t="str">
        <f aca="false">IF(C1969=1,INT(MOD(ABS(SIN(D1969*7919.123+ROW()*0.618+'הדבקת לידים'!$F$2*1.3))*43758.5453,1)*1000000)*10000+ROW(),"")</f>
        <v/>
      </c>
      <c r="F1969" s="0" t="str">
        <f aca="false">IF(E1969="","",RANK(E1969,$E$2:$E$5001,1))</f>
        <v/>
      </c>
      <c r="G1969" s="0" t="n">
        <f aca="false">IF(A1969="",0,IF(SUMPRODUCT(--($A$2:$A$5001=A1969))&gt;1,1,0))</f>
        <v>0</v>
      </c>
      <c r="H1969" s="0" t="n">
        <f aca="false">ROW()-1</f>
        <v>1968</v>
      </c>
      <c r="I1969" s="0" t="str">
        <f aca="false">IF(OR(הגדרות!$E$6=0,H1969&gt;הגדרות!$E$5),"",IF(H1969-1&lt;הגדרות!$E$8*(הגדרות!$E$7+1),INT((H1969-1)/(הגדרות!$E$7+1)),הגדרות!$E$8+INT((H1969-1-הגדרות!$E$8*(הגדרות!$E$7+1))/הגדרות!$E$7)))</f>
        <v/>
      </c>
      <c r="J1969" s="0" t="str">
        <f aca="false">IF(I1969="","",IF(H1969-1&lt;הגדרות!$E$8*(הגדרות!$E$7+1),MOD(H1969-1,הגדרות!$E$7+1),MOD(H1969-1-הגדרות!$E$8*(הגדרות!$E$7+1),הגדרות!$E$7)))</f>
        <v/>
      </c>
      <c r="K1969" s="0" t="str">
        <f aca="false">IF(I1969="","",J1969*הגדרות!$E$6+I1969+1)</f>
        <v/>
      </c>
      <c r="L1969" s="0" t="str">
        <f aca="false">IF(K1969="","",MATCH(K1969,$F$2:$F$5001,0))</f>
        <v/>
      </c>
      <c r="M1969" s="0" t="str">
        <f aca="false">IF(I1969="","",INDEX(הגדרות!$A$2:$A$21,MOD(I1969+הגדרות!$E$9,הגדרות!$E$6)+1))</f>
        <v/>
      </c>
    </row>
    <row r="1970" customFormat="false" ht="15" hidden="false" customHeight="false" outlineLevel="0" collapsed="false">
      <c r="A1970" s="0" t="str">
        <f aca="false">IF('הדבקת לידים'!A1970="","",IF(ISNUMBER('הדבקת לידים'!A1970),IF(הגדרות!$E$2&gt;0,TEXT('הדבקת לידים'!A1970,REPT("0",הגדרות!$E$2)),TEXT('הדבקת לידים'!A1970,"0")),TRIM('הדבקת לידים'!A1970)))</f>
        <v/>
      </c>
      <c r="B1970" s="0" t="str">
        <f aca="false">IF('הדבקת לידים'!B1970="","",IF(ISNUMBER('הדבקת לידים'!B1970),IF(הגדרות!$E$3&gt;0,TEXT('הדבקת לידים'!B1970,REPT("0",הגדרות!$E$3)),TEXT('הדבקת לידים'!B1970,"0")),TRIM('הדבקת לידים'!B1970)))</f>
        <v/>
      </c>
      <c r="C1970" s="0" t="n">
        <f aca="false">IF(OR(A1970&lt;&gt;"",B1970&lt;&gt;""),1,0)</f>
        <v>0</v>
      </c>
      <c r="D1970" s="0" t="str">
        <f aca="false">IF(C1970=1,MOD(ABS(SIN(ROW()*12.9898+'הדבקת לידים'!$F$2*78.233+IFERROR(--RIGHT(A1970,6),LEN(A1970))*0.0137+IFERROR(--RIGHT(B1970,6),LEN(B1970))*0.0071))*43758.5453,1),"")</f>
        <v/>
      </c>
      <c r="E1970" s="0" t="str">
        <f aca="false">IF(C1970=1,INT(MOD(ABS(SIN(D1970*7919.123+ROW()*0.618+'הדבקת לידים'!$F$2*1.3))*43758.5453,1)*1000000)*10000+ROW(),"")</f>
        <v/>
      </c>
      <c r="F1970" s="0" t="str">
        <f aca="false">IF(E1970="","",RANK(E1970,$E$2:$E$5001,1))</f>
        <v/>
      </c>
      <c r="G1970" s="0" t="n">
        <f aca="false">IF(A1970="",0,IF(SUMPRODUCT(--($A$2:$A$5001=A1970))&gt;1,1,0))</f>
        <v>0</v>
      </c>
      <c r="H1970" s="0" t="n">
        <f aca="false">ROW()-1</f>
        <v>1969</v>
      </c>
      <c r="I1970" s="0" t="str">
        <f aca="false">IF(OR(הגדרות!$E$6=0,H1970&gt;הגדרות!$E$5),"",IF(H1970-1&lt;הגדרות!$E$8*(הגדרות!$E$7+1),INT((H1970-1)/(הגדרות!$E$7+1)),הגדרות!$E$8+INT((H1970-1-הגדרות!$E$8*(הגדרות!$E$7+1))/הגדרות!$E$7)))</f>
        <v/>
      </c>
      <c r="J1970" s="0" t="str">
        <f aca="false">IF(I1970="","",IF(H1970-1&lt;הגדרות!$E$8*(הגדרות!$E$7+1),MOD(H1970-1,הגדרות!$E$7+1),MOD(H1970-1-הגדרות!$E$8*(הגדרות!$E$7+1),הגדרות!$E$7)))</f>
        <v/>
      </c>
      <c r="K1970" s="0" t="str">
        <f aca="false">IF(I1970="","",J1970*הגדרות!$E$6+I1970+1)</f>
        <v/>
      </c>
      <c r="L1970" s="0" t="str">
        <f aca="false">IF(K1970="","",MATCH(K1970,$F$2:$F$5001,0))</f>
        <v/>
      </c>
      <c r="M1970" s="0" t="str">
        <f aca="false">IF(I1970="","",INDEX(הגדרות!$A$2:$A$21,MOD(I1970+הגדרות!$E$9,הגדרות!$E$6)+1))</f>
        <v/>
      </c>
    </row>
    <row r="1971" customFormat="false" ht="15" hidden="false" customHeight="false" outlineLevel="0" collapsed="false">
      <c r="A1971" s="0" t="str">
        <f aca="false">IF('הדבקת לידים'!A1971="","",IF(ISNUMBER('הדבקת לידים'!A1971),IF(הגדרות!$E$2&gt;0,TEXT('הדבקת לידים'!A1971,REPT("0",הגדרות!$E$2)),TEXT('הדבקת לידים'!A1971,"0")),TRIM('הדבקת לידים'!A1971)))</f>
        <v/>
      </c>
      <c r="B1971" s="0" t="str">
        <f aca="false">IF('הדבקת לידים'!B1971="","",IF(ISNUMBER('הדבקת לידים'!B1971),IF(הגדרות!$E$3&gt;0,TEXT('הדבקת לידים'!B1971,REPT("0",הגדרות!$E$3)),TEXT('הדבקת לידים'!B1971,"0")),TRIM('הדבקת לידים'!B1971)))</f>
        <v/>
      </c>
      <c r="C1971" s="0" t="n">
        <f aca="false">IF(OR(A1971&lt;&gt;"",B1971&lt;&gt;""),1,0)</f>
        <v>0</v>
      </c>
      <c r="D1971" s="0" t="str">
        <f aca="false">IF(C1971=1,MOD(ABS(SIN(ROW()*12.9898+'הדבקת לידים'!$F$2*78.233+IFERROR(--RIGHT(A1971,6),LEN(A1971))*0.0137+IFERROR(--RIGHT(B1971,6),LEN(B1971))*0.0071))*43758.5453,1),"")</f>
        <v/>
      </c>
      <c r="E1971" s="0" t="str">
        <f aca="false">IF(C1971=1,INT(MOD(ABS(SIN(D1971*7919.123+ROW()*0.618+'הדבקת לידים'!$F$2*1.3))*43758.5453,1)*1000000)*10000+ROW(),"")</f>
        <v/>
      </c>
      <c r="F1971" s="0" t="str">
        <f aca="false">IF(E1971="","",RANK(E1971,$E$2:$E$5001,1))</f>
        <v/>
      </c>
      <c r="G1971" s="0" t="n">
        <f aca="false">IF(A1971="",0,IF(SUMPRODUCT(--($A$2:$A$5001=A1971))&gt;1,1,0))</f>
        <v>0</v>
      </c>
      <c r="H1971" s="0" t="n">
        <f aca="false">ROW()-1</f>
        <v>1970</v>
      </c>
      <c r="I1971" s="0" t="str">
        <f aca="false">IF(OR(הגדרות!$E$6=0,H1971&gt;הגדרות!$E$5),"",IF(H1971-1&lt;הגדרות!$E$8*(הגדרות!$E$7+1),INT((H1971-1)/(הגדרות!$E$7+1)),הגדרות!$E$8+INT((H1971-1-הגדרות!$E$8*(הגדרות!$E$7+1))/הגדרות!$E$7)))</f>
        <v/>
      </c>
      <c r="J1971" s="0" t="str">
        <f aca="false">IF(I1971="","",IF(H1971-1&lt;הגדרות!$E$8*(הגדרות!$E$7+1),MOD(H1971-1,הגדרות!$E$7+1),MOD(H1971-1-הגדרות!$E$8*(הגדרות!$E$7+1),הגדרות!$E$7)))</f>
        <v/>
      </c>
      <c r="K1971" s="0" t="str">
        <f aca="false">IF(I1971="","",J1971*הגדרות!$E$6+I1971+1)</f>
        <v/>
      </c>
      <c r="L1971" s="0" t="str">
        <f aca="false">IF(K1971="","",MATCH(K1971,$F$2:$F$5001,0))</f>
        <v/>
      </c>
      <c r="M1971" s="0" t="str">
        <f aca="false">IF(I1971="","",INDEX(הגדרות!$A$2:$A$21,MOD(I1971+הגדרות!$E$9,הגדרות!$E$6)+1))</f>
        <v/>
      </c>
    </row>
    <row r="1972" customFormat="false" ht="15" hidden="false" customHeight="false" outlineLevel="0" collapsed="false">
      <c r="A1972" s="0" t="str">
        <f aca="false">IF('הדבקת לידים'!A1972="","",IF(ISNUMBER('הדבקת לידים'!A1972),IF(הגדרות!$E$2&gt;0,TEXT('הדבקת לידים'!A1972,REPT("0",הגדרות!$E$2)),TEXT('הדבקת לידים'!A1972,"0")),TRIM('הדבקת לידים'!A1972)))</f>
        <v/>
      </c>
      <c r="B1972" s="0" t="str">
        <f aca="false">IF('הדבקת לידים'!B1972="","",IF(ISNUMBER('הדבקת לידים'!B1972),IF(הגדרות!$E$3&gt;0,TEXT('הדבקת לידים'!B1972,REPT("0",הגדרות!$E$3)),TEXT('הדבקת לידים'!B1972,"0")),TRIM('הדבקת לידים'!B1972)))</f>
        <v/>
      </c>
      <c r="C1972" s="0" t="n">
        <f aca="false">IF(OR(A1972&lt;&gt;"",B1972&lt;&gt;""),1,0)</f>
        <v>0</v>
      </c>
      <c r="D1972" s="0" t="str">
        <f aca="false">IF(C1972=1,MOD(ABS(SIN(ROW()*12.9898+'הדבקת לידים'!$F$2*78.233+IFERROR(--RIGHT(A1972,6),LEN(A1972))*0.0137+IFERROR(--RIGHT(B1972,6),LEN(B1972))*0.0071))*43758.5453,1),"")</f>
        <v/>
      </c>
      <c r="E1972" s="0" t="str">
        <f aca="false">IF(C1972=1,INT(MOD(ABS(SIN(D1972*7919.123+ROW()*0.618+'הדבקת לידים'!$F$2*1.3))*43758.5453,1)*1000000)*10000+ROW(),"")</f>
        <v/>
      </c>
      <c r="F1972" s="0" t="str">
        <f aca="false">IF(E1972="","",RANK(E1972,$E$2:$E$5001,1))</f>
        <v/>
      </c>
      <c r="G1972" s="0" t="n">
        <f aca="false">IF(A1972="",0,IF(SUMPRODUCT(--($A$2:$A$5001=A1972))&gt;1,1,0))</f>
        <v>0</v>
      </c>
      <c r="H1972" s="0" t="n">
        <f aca="false">ROW()-1</f>
        <v>1971</v>
      </c>
      <c r="I1972" s="0" t="str">
        <f aca="false">IF(OR(הגדרות!$E$6=0,H1972&gt;הגדרות!$E$5),"",IF(H1972-1&lt;הגדרות!$E$8*(הגדרות!$E$7+1),INT((H1972-1)/(הגדרות!$E$7+1)),הגדרות!$E$8+INT((H1972-1-הגדרות!$E$8*(הגדרות!$E$7+1))/הגדרות!$E$7)))</f>
        <v/>
      </c>
      <c r="J1972" s="0" t="str">
        <f aca="false">IF(I1972="","",IF(H1972-1&lt;הגדרות!$E$8*(הגדרות!$E$7+1),MOD(H1972-1,הגדרות!$E$7+1),MOD(H1972-1-הגדרות!$E$8*(הגדרות!$E$7+1),הגדרות!$E$7)))</f>
        <v/>
      </c>
      <c r="K1972" s="0" t="str">
        <f aca="false">IF(I1972="","",J1972*הגדרות!$E$6+I1972+1)</f>
        <v/>
      </c>
      <c r="L1972" s="0" t="str">
        <f aca="false">IF(K1972="","",MATCH(K1972,$F$2:$F$5001,0))</f>
        <v/>
      </c>
      <c r="M1972" s="0" t="str">
        <f aca="false">IF(I1972="","",INDEX(הגדרות!$A$2:$A$21,MOD(I1972+הגדרות!$E$9,הגדרות!$E$6)+1))</f>
        <v/>
      </c>
    </row>
    <row r="1973" customFormat="false" ht="15" hidden="false" customHeight="false" outlineLevel="0" collapsed="false">
      <c r="A1973" s="0" t="str">
        <f aca="false">IF('הדבקת לידים'!A1973="","",IF(ISNUMBER('הדבקת לידים'!A1973),IF(הגדרות!$E$2&gt;0,TEXT('הדבקת לידים'!A1973,REPT("0",הגדרות!$E$2)),TEXT('הדבקת לידים'!A1973,"0")),TRIM('הדבקת לידים'!A1973)))</f>
        <v/>
      </c>
      <c r="B1973" s="0" t="str">
        <f aca="false">IF('הדבקת לידים'!B1973="","",IF(ISNUMBER('הדבקת לידים'!B1973),IF(הגדרות!$E$3&gt;0,TEXT('הדבקת לידים'!B1973,REPT("0",הגדרות!$E$3)),TEXT('הדבקת לידים'!B1973,"0")),TRIM('הדבקת לידים'!B1973)))</f>
        <v/>
      </c>
      <c r="C1973" s="0" t="n">
        <f aca="false">IF(OR(A1973&lt;&gt;"",B1973&lt;&gt;""),1,0)</f>
        <v>0</v>
      </c>
      <c r="D1973" s="0" t="str">
        <f aca="false">IF(C1973=1,MOD(ABS(SIN(ROW()*12.9898+'הדבקת לידים'!$F$2*78.233+IFERROR(--RIGHT(A1973,6),LEN(A1973))*0.0137+IFERROR(--RIGHT(B1973,6),LEN(B1973))*0.0071))*43758.5453,1),"")</f>
        <v/>
      </c>
      <c r="E1973" s="0" t="str">
        <f aca="false">IF(C1973=1,INT(MOD(ABS(SIN(D1973*7919.123+ROW()*0.618+'הדבקת לידים'!$F$2*1.3))*43758.5453,1)*1000000)*10000+ROW(),"")</f>
        <v/>
      </c>
      <c r="F1973" s="0" t="str">
        <f aca="false">IF(E1973="","",RANK(E1973,$E$2:$E$5001,1))</f>
        <v/>
      </c>
      <c r="G1973" s="0" t="n">
        <f aca="false">IF(A1973="",0,IF(SUMPRODUCT(--($A$2:$A$5001=A1973))&gt;1,1,0))</f>
        <v>0</v>
      </c>
      <c r="H1973" s="0" t="n">
        <f aca="false">ROW()-1</f>
        <v>1972</v>
      </c>
      <c r="I1973" s="0" t="str">
        <f aca="false">IF(OR(הגדרות!$E$6=0,H1973&gt;הגדרות!$E$5),"",IF(H1973-1&lt;הגדרות!$E$8*(הגדרות!$E$7+1),INT((H1973-1)/(הגדרות!$E$7+1)),הגדרות!$E$8+INT((H1973-1-הגדרות!$E$8*(הגדרות!$E$7+1))/הגדרות!$E$7)))</f>
        <v/>
      </c>
      <c r="J1973" s="0" t="str">
        <f aca="false">IF(I1973="","",IF(H1973-1&lt;הגדרות!$E$8*(הגדרות!$E$7+1),MOD(H1973-1,הגדרות!$E$7+1),MOD(H1973-1-הגדרות!$E$8*(הגדרות!$E$7+1),הגדרות!$E$7)))</f>
        <v/>
      </c>
      <c r="K1973" s="0" t="str">
        <f aca="false">IF(I1973="","",J1973*הגדרות!$E$6+I1973+1)</f>
        <v/>
      </c>
      <c r="L1973" s="0" t="str">
        <f aca="false">IF(K1973="","",MATCH(K1973,$F$2:$F$5001,0))</f>
        <v/>
      </c>
      <c r="M1973" s="0" t="str">
        <f aca="false">IF(I1973="","",INDEX(הגדרות!$A$2:$A$21,MOD(I1973+הגדרות!$E$9,הגדרות!$E$6)+1))</f>
        <v/>
      </c>
    </row>
    <row r="1974" customFormat="false" ht="15" hidden="false" customHeight="false" outlineLevel="0" collapsed="false">
      <c r="A1974" s="0" t="str">
        <f aca="false">IF('הדבקת לידים'!A1974="","",IF(ISNUMBER('הדבקת לידים'!A1974),IF(הגדרות!$E$2&gt;0,TEXT('הדבקת לידים'!A1974,REPT("0",הגדרות!$E$2)),TEXT('הדבקת לידים'!A1974,"0")),TRIM('הדבקת לידים'!A1974)))</f>
        <v/>
      </c>
      <c r="B1974" s="0" t="str">
        <f aca="false">IF('הדבקת לידים'!B1974="","",IF(ISNUMBER('הדבקת לידים'!B1974),IF(הגדרות!$E$3&gt;0,TEXT('הדבקת לידים'!B1974,REPT("0",הגדרות!$E$3)),TEXT('הדבקת לידים'!B1974,"0")),TRIM('הדבקת לידים'!B1974)))</f>
        <v/>
      </c>
      <c r="C1974" s="0" t="n">
        <f aca="false">IF(OR(A1974&lt;&gt;"",B1974&lt;&gt;""),1,0)</f>
        <v>0</v>
      </c>
      <c r="D1974" s="0" t="str">
        <f aca="false">IF(C1974=1,MOD(ABS(SIN(ROW()*12.9898+'הדבקת לידים'!$F$2*78.233+IFERROR(--RIGHT(A1974,6),LEN(A1974))*0.0137+IFERROR(--RIGHT(B1974,6),LEN(B1974))*0.0071))*43758.5453,1),"")</f>
        <v/>
      </c>
      <c r="E1974" s="0" t="str">
        <f aca="false">IF(C1974=1,INT(MOD(ABS(SIN(D1974*7919.123+ROW()*0.618+'הדבקת לידים'!$F$2*1.3))*43758.5453,1)*1000000)*10000+ROW(),"")</f>
        <v/>
      </c>
      <c r="F1974" s="0" t="str">
        <f aca="false">IF(E1974="","",RANK(E1974,$E$2:$E$5001,1))</f>
        <v/>
      </c>
      <c r="G1974" s="0" t="n">
        <f aca="false">IF(A1974="",0,IF(SUMPRODUCT(--($A$2:$A$5001=A1974))&gt;1,1,0))</f>
        <v>0</v>
      </c>
      <c r="H1974" s="0" t="n">
        <f aca="false">ROW()-1</f>
        <v>1973</v>
      </c>
      <c r="I1974" s="0" t="str">
        <f aca="false">IF(OR(הגדרות!$E$6=0,H1974&gt;הגדרות!$E$5),"",IF(H1974-1&lt;הגדרות!$E$8*(הגדרות!$E$7+1),INT((H1974-1)/(הגדרות!$E$7+1)),הגדרות!$E$8+INT((H1974-1-הגדרות!$E$8*(הגדרות!$E$7+1))/הגדרות!$E$7)))</f>
        <v/>
      </c>
      <c r="J1974" s="0" t="str">
        <f aca="false">IF(I1974="","",IF(H1974-1&lt;הגדרות!$E$8*(הגדרות!$E$7+1),MOD(H1974-1,הגדרות!$E$7+1),MOD(H1974-1-הגדרות!$E$8*(הגדרות!$E$7+1),הגדרות!$E$7)))</f>
        <v/>
      </c>
      <c r="K1974" s="0" t="str">
        <f aca="false">IF(I1974="","",J1974*הגדרות!$E$6+I1974+1)</f>
        <v/>
      </c>
      <c r="L1974" s="0" t="str">
        <f aca="false">IF(K1974="","",MATCH(K1974,$F$2:$F$5001,0))</f>
        <v/>
      </c>
      <c r="M1974" s="0" t="str">
        <f aca="false">IF(I1974="","",INDEX(הגדרות!$A$2:$A$21,MOD(I1974+הגדרות!$E$9,הגדרות!$E$6)+1))</f>
        <v/>
      </c>
    </row>
    <row r="1975" customFormat="false" ht="15" hidden="false" customHeight="false" outlineLevel="0" collapsed="false">
      <c r="A1975" s="0" t="str">
        <f aca="false">IF('הדבקת לידים'!A1975="","",IF(ISNUMBER('הדבקת לידים'!A1975),IF(הגדרות!$E$2&gt;0,TEXT('הדבקת לידים'!A1975,REPT("0",הגדרות!$E$2)),TEXT('הדבקת לידים'!A1975,"0")),TRIM('הדבקת לידים'!A1975)))</f>
        <v/>
      </c>
      <c r="B1975" s="0" t="str">
        <f aca="false">IF('הדבקת לידים'!B1975="","",IF(ISNUMBER('הדבקת לידים'!B1975),IF(הגדרות!$E$3&gt;0,TEXT('הדבקת לידים'!B1975,REPT("0",הגדרות!$E$3)),TEXT('הדבקת לידים'!B1975,"0")),TRIM('הדבקת לידים'!B1975)))</f>
        <v/>
      </c>
      <c r="C1975" s="0" t="n">
        <f aca="false">IF(OR(A1975&lt;&gt;"",B1975&lt;&gt;""),1,0)</f>
        <v>0</v>
      </c>
      <c r="D1975" s="0" t="str">
        <f aca="false">IF(C1975=1,MOD(ABS(SIN(ROW()*12.9898+'הדבקת לידים'!$F$2*78.233+IFERROR(--RIGHT(A1975,6),LEN(A1975))*0.0137+IFERROR(--RIGHT(B1975,6),LEN(B1975))*0.0071))*43758.5453,1),"")</f>
        <v/>
      </c>
      <c r="E1975" s="0" t="str">
        <f aca="false">IF(C1975=1,INT(MOD(ABS(SIN(D1975*7919.123+ROW()*0.618+'הדבקת לידים'!$F$2*1.3))*43758.5453,1)*1000000)*10000+ROW(),"")</f>
        <v/>
      </c>
      <c r="F1975" s="0" t="str">
        <f aca="false">IF(E1975="","",RANK(E1975,$E$2:$E$5001,1))</f>
        <v/>
      </c>
      <c r="G1975" s="0" t="n">
        <f aca="false">IF(A1975="",0,IF(SUMPRODUCT(--($A$2:$A$5001=A1975))&gt;1,1,0))</f>
        <v>0</v>
      </c>
      <c r="H1975" s="0" t="n">
        <f aca="false">ROW()-1</f>
        <v>1974</v>
      </c>
      <c r="I1975" s="0" t="str">
        <f aca="false">IF(OR(הגדרות!$E$6=0,H1975&gt;הגדרות!$E$5),"",IF(H1975-1&lt;הגדרות!$E$8*(הגדרות!$E$7+1),INT((H1975-1)/(הגדרות!$E$7+1)),הגדרות!$E$8+INT((H1975-1-הגדרות!$E$8*(הגדרות!$E$7+1))/הגדרות!$E$7)))</f>
        <v/>
      </c>
      <c r="J1975" s="0" t="str">
        <f aca="false">IF(I1975="","",IF(H1975-1&lt;הגדרות!$E$8*(הגדרות!$E$7+1),MOD(H1975-1,הגדרות!$E$7+1),MOD(H1975-1-הגדרות!$E$8*(הגדרות!$E$7+1),הגדרות!$E$7)))</f>
        <v/>
      </c>
      <c r="K1975" s="0" t="str">
        <f aca="false">IF(I1975="","",J1975*הגדרות!$E$6+I1975+1)</f>
        <v/>
      </c>
      <c r="L1975" s="0" t="str">
        <f aca="false">IF(K1975="","",MATCH(K1975,$F$2:$F$5001,0))</f>
        <v/>
      </c>
      <c r="M1975" s="0" t="str">
        <f aca="false">IF(I1975="","",INDEX(הגדרות!$A$2:$A$21,MOD(I1975+הגדרות!$E$9,הגדרות!$E$6)+1))</f>
        <v/>
      </c>
    </row>
    <row r="1976" customFormat="false" ht="15" hidden="false" customHeight="false" outlineLevel="0" collapsed="false">
      <c r="A1976" s="0" t="str">
        <f aca="false">IF('הדבקת לידים'!A1976="","",IF(ISNUMBER('הדבקת לידים'!A1976),IF(הגדרות!$E$2&gt;0,TEXT('הדבקת לידים'!A1976,REPT("0",הגדרות!$E$2)),TEXT('הדבקת לידים'!A1976,"0")),TRIM('הדבקת לידים'!A1976)))</f>
        <v/>
      </c>
      <c r="B1976" s="0" t="str">
        <f aca="false">IF('הדבקת לידים'!B1976="","",IF(ISNUMBER('הדבקת לידים'!B1976),IF(הגדרות!$E$3&gt;0,TEXT('הדבקת לידים'!B1976,REPT("0",הגדרות!$E$3)),TEXT('הדבקת לידים'!B1976,"0")),TRIM('הדבקת לידים'!B1976)))</f>
        <v/>
      </c>
      <c r="C1976" s="0" t="n">
        <f aca="false">IF(OR(A1976&lt;&gt;"",B1976&lt;&gt;""),1,0)</f>
        <v>0</v>
      </c>
      <c r="D1976" s="0" t="str">
        <f aca="false">IF(C1976=1,MOD(ABS(SIN(ROW()*12.9898+'הדבקת לידים'!$F$2*78.233+IFERROR(--RIGHT(A1976,6),LEN(A1976))*0.0137+IFERROR(--RIGHT(B1976,6),LEN(B1976))*0.0071))*43758.5453,1),"")</f>
        <v/>
      </c>
      <c r="E1976" s="0" t="str">
        <f aca="false">IF(C1976=1,INT(MOD(ABS(SIN(D1976*7919.123+ROW()*0.618+'הדבקת לידים'!$F$2*1.3))*43758.5453,1)*1000000)*10000+ROW(),"")</f>
        <v/>
      </c>
      <c r="F1976" s="0" t="str">
        <f aca="false">IF(E1976="","",RANK(E1976,$E$2:$E$5001,1))</f>
        <v/>
      </c>
      <c r="G1976" s="0" t="n">
        <f aca="false">IF(A1976="",0,IF(SUMPRODUCT(--($A$2:$A$5001=A1976))&gt;1,1,0))</f>
        <v>0</v>
      </c>
      <c r="H1976" s="0" t="n">
        <f aca="false">ROW()-1</f>
        <v>1975</v>
      </c>
      <c r="I1976" s="0" t="str">
        <f aca="false">IF(OR(הגדרות!$E$6=0,H1976&gt;הגדרות!$E$5),"",IF(H1976-1&lt;הגדרות!$E$8*(הגדרות!$E$7+1),INT((H1976-1)/(הגדרות!$E$7+1)),הגדרות!$E$8+INT((H1976-1-הגדרות!$E$8*(הגדרות!$E$7+1))/הגדרות!$E$7)))</f>
        <v/>
      </c>
      <c r="J1976" s="0" t="str">
        <f aca="false">IF(I1976="","",IF(H1976-1&lt;הגדרות!$E$8*(הגדרות!$E$7+1),MOD(H1976-1,הגדרות!$E$7+1),MOD(H1976-1-הגדרות!$E$8*(הגדרות!$E$7+1),הגדרות!$E$7)))</f>
        <v/>
      </c>
      <c r="K1976" s="0" t="str">
        <f aca="false">IF(I1976="","",J1976*הגדרות!$E$6+I1976+1)</f>
        <v/>
      </c>
      <c r="L1976" s="0" t="str">
        <f aca="false">IF(K1976="","",MATCH(K1976,$F$2:$F$5001,0))</f>
        <v/>
      </c>
      <c r="M1976" s="0" t="str">
        <f aca="false">IF(I1976="","",INDEX(הגדרות!$A$2:$A$21,MOD(I1976+הגדרות!$E$9,הגדרות!$E$6)+1))</f>
        <v/>
      </c>
    </row>
    <row r="1977" customFormat="false" ht="15" hidden="false" customHeight="false" outlineLevel="0" collapsed="false">
      <c r="A1977" s="0" t="str">
        <f aca="false">IF('הדבקת לידים'!A1977="","",IF(ISNUMBER('הדבקת לידים'!A1977),IF(הגדרות!$E$2&gt;0,TEXT('הדבקת לידים'!A1977,REPT("0",הגדרות!$E$2)),TEXT('הדבקת לידים'!A1977,"0")),TRIM('הדבקת לידים'!A1977)))</f>
        <v/>
      </c>
      <c r="B1977" s="0" t="str">
        <f aca="false">IF('הדבקת לידים'!B1977="","",IF(ISNUMBER('הדבקת לידים'!B1977),IF(הגדרות!$E$3&gt;0,TEXT('הדבקת לידים'!B1977,REPT("0",הגדרות!$E$3)),TEXT('הדבקת לידים'!B1977,"0")),TRIM('הדבקת לידים'!B1977)))</f>
        <v/>
      </c>
      <c r="C1977" s="0" t="n">
        <f aca="false">IF(OR(A1977&lt;&gt;"",B1977&lt;&gt;""),1,0)</f>
        <v>0</v>
      </c>
      <c r="D1977" s="0" t="str">
        <f aca="false">IF(C1977=1,MOD(ABS(SIN(ROW()*12.9898+'הדבקת לידים'!$F$2*78.233+IFERROR(--RIGHT(A1977,6),LEN(A1977))*0.0137+IFERROR(--RIGHT(B1977,6),LEN(B1977))*0.0071))*43758.5453,1),"")</f>
        <v/>
      </c>
      <c r="E1977" s="0" t="str">
        <f aca="false">IF(C1977=1,INT(MOD(ABS(SIN(D1977*7919.123+ROW()*0.618+'הדבקת לידים'!$F$2*1.3))*43758.5453,1)*1000000)*10000+ROW(),"")</f>
        <v/>
      </c>
      <c r="F1977" s="0" t="str">
        <f aca="false">IF(E1977="","",RANK(E1977,$E$2:$E$5001,1))</f>
        <v/>
      </c>
      <c r="G1977" s="0" t="n">
        <f aca="false">IF(A1977="",0,IF(SUMPRODUCT(--($A$2:$A$5001=A1977))&gt;1,1,0))</f>
        <v>0</v>
      </c>
      <c r="H1977" s="0" t="n">
        <f aca="false">ROW()-1</f>
        <v>1976</v>
      </c>
      <c r="I1977" s="0" t="str">
        <f aca="false">IF(OR(הגדרות!$E$6=0,H1977&gt;הגדרות!$E$5),"",IF(H1977-1&lt;הגדרות!$E$8*(הגדרות!$E$7+1),INT((H1977-1)/(הגדרות!$E$7+1)),הגדרות!$E$8+INT((H1977-1-הגדרות!$E$8*(הגדרות!$E$7+1))/הגדרות!$E$7)))</f>
        <v/>
      </c>
      <c r="J1977" s="0" t="str">
        <f aca="false">IF(I1977="","",IF(H1977-1&lt;הגדרות!$E$8*(הגדרות!$E$7+1),MOD(H1977-1,הגדרות!$E$7+1),MOD(H1977-1-הגדרות!$E$8*(הגדרות!$E$7+1),הגדרות!$E$7)))</f>
        <v/>
      </c>
      <c r="K1977" s="0" t="str">
        <f aca="false">IF(I1977="","",J1977*הגדרות!$E$6+I1977+1)</f>
        <v/>
      </c>
      <c r="L1977" s="0" t="str">
        <f aca="false">IF(K1977="","",MATCH(K1977,$F$2:$F$5001,0))</f>
        <v/>
      </c>
      <c r="M1977" s="0" t="str">
        <f aca="false">IF(I1977="","",INDEX(הגדרות!$A$2:$A$21,MOD(I1977+הגדרות!$E$9,הגדרות!$E$6)+1))</f>
        <v/>
      </c>
    </row>
    <row r="1978" customFormat="false" ht="15" hidden="false" customHeight="false" outlineLevel="0" collapsed="false">
      <c r="A1978" s="0" t="str">
        <f aca="false">IF('הדבקת לידים'!A1978="","",IF(ISNUMBER('הדבקת לידים'!A1978),IF(הגדרות!$E$2&gt;0,TEXT('הדבקת לידים'!A1978,REPT("0",הגדרות!$E$2)),TEXT('הדבקת לידים'!A1978,"0")),TRIM('הדבקת לידים'!A1978)))</f>
        <v/>
      </c>
      <c r="B1978" s="0" t="str">
        <f aca="false">IF('הדבקת לידים'!B1978="","",IF(ISNUMBER('הדבקת לידים'!B1978),IF(הגדרות!$E$3&gt;0,TEXT('הדבקת לידים'!B1978,REPT("0",הגדרות!$E$3)),TEXT('הדבקת לידים'!B1978,"0")),TRIM('הדבקת לידים'!B1978)))</f>
        <v/>
      </c>
      <c r="C1978" s="0" t="n">
        <f aca="false">IF(OR(A1978&lt;&gt;"",B1978&lt;&gt;""),1,0)</f>
        <v>0</v>
      </c>
      <c r="D1978" s="0" t="str">
        <f aca="false">IF(C1978=1,MOD(ABS(SIN(ROW()*12.9898+'הדבקת לידים'!$F$2*78.233+IFERROR(--RIGHT(A1978,6),LEN(A1978))*0.0137+IFERROR(--RIGHT(B1978,6),LEN(B1978))*0.0071))*43758.5453,1),"")</f>
        <v/>
      </c>
      <c r="E1978" s="0" t="str">
        <f aca="false">IF(C1978=1,INT(MOD(ABS(SIN(D1978*7919.123+ROW()*0.618+'הדבקת לידים'!$F$2*1.3))*43758.5453,1)*1000000)*10000+ROW(),"")</f>
        <v/>
      </c>
      <c r="F1978" s="0" t="str">
        <f aca="false">IF(E1978="","",RANK(E1978,$E$2:$E$5001,1))</f>
        <v/>
      </c>
      <c r="G1978" s="0" t="n">
        <f aca="false">IF(A1978="",0,IF(SUMPRODUCT(--($A$2:$A$5001=A1978))&gt;1,1,0))</f>
        <v>0</v>
      </c>
      <c r="H1978" s="0" t="n">
        <f aca="false">ROW()-1</f>
        <v>1977</v>
      </c>
      <c r="I1978" s="0" t="str">
        <f aca="false">IF(OR(הגדרות!$E$6=0,H1978&gt;הגדרות!$E$5),"",IF(H1978-1&lt;הגדרות!$E$8*(הגדרות!$E$7+1),INT((H1978-1)/(הגדרות!$E$7+1)),הגדרות!$E$8+INT((H1978-1-הגדרות!$E$8*(הגדרות!$E$7+1))/הגדרות!$E$7)))</f>
        <v/>
      </c>
      <c r="J1978" s="0" t="str">
        <f aca="false">IF(I1978="","",IF(H1978-1&lt;הגדרות!$E$8*(הגדרות!$E$7+1),MOD(H1978-1,הגדרות!$E$7+1),MOD(H1978-1-הגדרות!$E$8*(הגדרות!$E$7+1),הגדרות!$E$7)))</f>
        <v/>
      </c>
      <c r="K1978" s="0" t="str">
        <f aca="false">IF(I1978="","",J1978*הגדרות!$E$6+I1978+1)</f>
        <v/>
      </c>
      <c r="L1978" s="0" t="str">
        <f aca="false">IF(K1978="","",MATCH(K1978,$F$2:$F$5001,0))</f>
        <v/>
      </c>
      <c r="M1978" s="0" t="str">
        <f aca="false">IF(I1978="","",INDEX(הגדרות!$A$2:$A$21,MOD(I1978+הגדרות!$E$9,הגדרות!$E$6)+1))</f>
        <v/>
      </c>
    </row>
    <row r="1979" customFormat="false" ht="15" hidden="false" customHeight="false" outlineLevel="0" collapsed="false">
      <c r="A1979" s="0" t="str">
        <f aca="false">IF('הדבקת לידים'!A1979="","",IF(ISNUMBER('הדבקת לידים'!A1979),IF(הגדרות!$E$2&gt;0,TEXT('הדבקת לידים'!A1979,REPT("0",הגדרות!$E$2)),TEXT('הדבקת לידים'!A1979,"0")),TRIM('הדבקת לידים'!A1979)))</f>
        <v/>
      </c>
      <c r="B1979" s="0" t="str">
        <f aca="false">IF('הדבקת לידים'!B1979="","",IF(ISNUMBER('הדבקת לידים'!B1979),IF(הגדרות!$E$3&gt;0,TEXT('הדבקת לידים'!B1979,REPT("0",הגדרות!$E$3)),TEXT('הדבקת לידים'!B1979,"0")),TRIM('הדבקת לידים'!B1979)))</f>
        <v/>
      </c>
      <c r="C1979" s="0" t="n">
        <f aca="false">IF(OR(A1979&lt;&gt;"",B1979&lt;&gt;""),1,0)</f>
        <v>0</v>
      </c>
      <c r="D1979" s="0" t="str">
        <f aca="false">IF(C1979=1,MOD(ABS(SIN(ROW()*12.9898+'הדבקת לידים'!$F$2*78.233+IFERROR(--RIGHT(A1979,6),LEN(A1979))*0.0137+IFERROR(--RIGHT(B1979,6),LEN(B1979))*0.0071))*43758.5453,1),"")</f>
        <v/>
      </c>
      <c r="E1979" s="0" t="str">
        <f aca="false">IF(C1979=1,INT(MOD(ABS(SIN(D1979*7919.123+ROW()*0.618+'הדבקת לידים'!$F$2*1.3))*43758.5453,1)*1000000)*10000+ROW(),"")</f>
        <v/>
      </c>
      <c r="F1979" s="0" t="str">
        <f aca="false">IF(E1979="","",RANK(E1979,$E$2:$E$5001,1))</f>
        <v/>
      </c>
      <c r="G1979" s="0" t="n">
        <f aca="false">IF(A1979="",0,IF(SUMPRODUCT(--($A$2:$A$5001=A1979))&gt;1,1,0))</f>
        <v>0</v>
      </c>
      <c r="H1979" s="0" t="n">
        <f aca="false">ROW()-1</f>
        <v>1978</v>
      </c>
      <c r="I1979" s="0" t="str">
        <f aca="false">IF(OR(הגדרות!$E$6=0,H1979&gt;הגדרות!$E$5),"",IF(H1979-1&lt;הגדרות!$E$8*(הגדרות!$E$7+1),INT((H1979-1)/(הגדרות!$E$7+1)),הגדרות!$E$8+INT((H1979-1-הגדרות!$E$8*(הגדרות!$E$7+1))/הגדרות!$E$7)))</f>
        <v/>
      </c>
      <c r="J1979" s="0" t="str">
        <f aca="false">IF(I1979="","",IF(H1979-1&lt;הגדרות!$E$8*(הגדרות!$E$7+1),MOD(H1979-1,הגדרות!$E$7+1),MOD(H1979-1-הגדרות!$E$8*(הגדרות!$E$7+1),הגדרות!$E$7)))</f>
        <v/>
      </c>
      <c r="K1979" s="0" t="str">
        <f aca="false">IF(I1979="","",J1979*הגדרות!$E$6+I1979+1)</f>
        <v/>
      </c>
      <c r="L1979" s="0" t="str">
        <f aca="false">IF(K1979="","",MATCH(K1979,$F$2:$F$5001,0))</f>
        <v/>
      </c>
      <c r="M1979" s="0" t="str">
        <f aca="false">IF(I1979="","",INDEX(הגדרות!$A$2:$A$21,MOD(I1979+הגדרות!$E$9,הגדרות!$E$6)+1))</f>
        <v/>
      </c>
    </row>
    <row r="1980" customFormat="false" ht="15" hidden="false" customHeight="false" outlineLevel="0" collapsed="false">
      <c r="A1980" s="0" t="str">
        <f aca="false">IF('הדבקת לידים'!A1980="","",IF(ISNUMBER('הדבקת לידים'!A1980),IF(הגדרות!$E$2&gt;0,TEXT('הדבקת לידים'!A1980,REPT("0",הגדרות!$E$2)),TEXT('הדבקת לידים'!A1980,"0")),TRIM('הדבקת לידים'!A1980)))</f>
        <v/>
      </c>
      <c r="B1980" s="0" t="str">
        <f aca="false">IF('הדבקת לידים'!B1980="","",IF(ISNUMBER('הדבקת לידים'!B1980),IF(הגדרות!$E$3&gt;0,TEXT('הדבקת לידים'!B1980,REPT("0",הגדרות!$E$3)),TEXT('הדבקת לידים'!B1980,"0")),TRIM('הדבקת לידים'!B1980)))</f>
        <v/>
      </c>
      <c r="C1980" s="0" t="n">
        <f aca="false">IF(OR(A1980&lt;&gt;"",B1980&lt;&gt;""),1,0)</f>
        <v>0</v>
      </c>
      <c r="D1980" s="0" t="str">
        <f aca="false">IF(C1980=1,MOD(ABS(SIN(ROW()*12.9898+'הדבקת לידים'!$F$2*78.233+IFERROR(--RIGHT(A1980,6),LEN(A1980))*0.0137+IFERROR(--RIGHT(B1980,6),LEN(B1980))*0.0071))*43758.5453,1),"")</f>
        <v/>
      </c>
      <c r="E1980" s="0" t="str">
        <f aca="false">IF(C1980=1,INT(MOD(ABS(SIN(D1980*7919.123+ROW()*0.618+'הדבקת לידים'!$F$2*1.3))*43758.5453,1)*1000000)*10000+ROW(),"")</f>
        <v/>
      </c>
      <c r="F1980" s="0" t="str">
        <f aca="false">IF(E1980="","",RANK(E1980,$E$2:$E$5001,1))</f>
        <v/>
      </c>
      <c r="G1980" s="0" t="n">
        <f aca="false">IF(A1980="",0,IF(SUMPRODUCT(--($A$2:$A$5001=A1980))&gt;1,1,0))</f>
        <v>0</v>
      </c>
      <c r="H1980" s="0" t="n">
        <f aca="false">ROW()-1</f>
        <v>1979</v>
      </c>
      <c r="I1980" s="0" t="str">
        <f aca="false">IF(OR(הגדרות!$E$6=0,H1980&gt;הגדרות!$E$5),"",IF(H1980-1&lt;הגדרות!$E$8*(הגדרות!$E$7+1),INT((H1980-1)/(הגדרות!$E$7+1)),הגדרות!$E$8+INT((H1980-1-הגדרות!$E$8*(הגדרות!$E$7+1))/הגדרות!$E$7)))</f>
        <v/>
      </c>
      <c r="J1980" s="0" t="str">
        <f aca="false">IF(I1980="","",IF(H1980-1&lt;הגדרות!$E$8*(הגדרות!$E$7+1),MOD(H1980-1,הגדרות!$E$7+1),MOD(H1980-1-הגדרות!$E$8*(הגדרות!$E$7+1),הגדרות!$E$7)))</f>
        <v/>
      </c>
      <c r="K1980" s="0" t="str">
        <f aca="false">IF(I1980="","",J1980*הגדרות!$E$6+I1980+1)</f>
        <v/>
      </c>
      <c r="L1980" s="0" t="str">
        <f aca="false">IF(K1980="","",MATCH(K1980,$F$2:$F$5001,0))</f>
        <v/>
      </c>
      <c r="M1980" s="0" t="str">
        <f aca="false">IF(I1980="","",INDEX(הגדרות!$A$2:$A$21,MOD(I1980+הגדרות!$E$9,הגדרות!$E$6)+1))</f>
        <v/>
      </c>
    </row>
    <row r="1981" customFormat="false" ht="15" hidden="false" customHeight="false" outlineLevel="0" collapsed="false">
      <c r="A1981" s="0" t="str">
        <f aca="false">IF('הדבקת לידים'!A1981="","",IF(ISNUMBER('הדבקת לידים'!A1981),IF(הגדרות!$E$2&gt;0,TEXT('הדבקת לידים'!A1981,REPT("0",הגדרות!$E$2)),TEXT('הדבקת לידים'!A1981,"0")),TRIM('הדבקת לידים'!A1981)))</f>
        <v/>
      </c>
      <c r="B1981" s="0" t="str">
        <f aca="false">IF('הדבקת לידים'!B1981="","",IF(ISNUMBER('הדבקת לידים'!B1981),IF(הגדרות!$E$3&gt;0,TEXT('הדבקת לידים'!B1981,REPT("0",הגדרות!$E$3)),TEXT('הדבקת לידים'!B1981,"0")),TRIM('הדבקת לידים'!B1981)))</f>
        <v/>
      </c>
      <c r="C1981" s="0" t="n">
        <f aca="false">IF(OR(A1981&lt;&gt;"",B1981&lt;&gt;""),1,0)</f>
        <v>0</v>
      </c>
      <c r="D1981" s="0" t="str">
        <f aca="false">IF(C1981=1,MOD(ABS(SIN(ROW()*12.9898+'הדבקת לידים'!$F$2*78.233+IFERROR(--RIGHT(A1981,6),LEN(A1981))*0.0137+IFERROR(--RIGHT(B1981,6),LEN(B1981))*0.0071))*43758.5453,1),"")</f>
        <v/>
      </c>
      <c r="E1981" s="0" t="str">
        <f aca="false">IF(C1981=1,INT(MOD(ABS(SIN(D1981*7919.123+ROW()*0.618+'הדבקת לידים'!$F$2*1.3))*43758.5453,1)*1000000)*10000+ROW(),"")</f>
        <v/>
      </c>
      <c r="F1981" s="0" t="str">
        <f aca="false">IF(E1981="","",RANK(E1981,$E$2:$E$5001,1))</f>
        <v/>
      </c>
      <c r="G1981" s="0" t="n">
        <f aca="false">IF(A1981="",0,IF(SUMPRODUCT(--($A$2:$A$5001=A1981))&gt;1,1,0))</f>
        <v>0</v>
      </c>
      <c r="H1981" s="0" t="n">
        <f aca="false">ROW()-1</f>
        <v>1980</v>
      </c>
      <c r="I1981" s="0" t="str">
        <f aca="false">IF(OR(הגדרות!$E$6=0,H1981&gt;הגדרות!$E$5),"",IF(H1981-1&lt;הגדרות!$E$8*(הגדרות!$E$7+1),INT((H1981-1)/(הגדרות!$E$7+1)),הגדרות!$E$8+INT((H1981-1-הגדרות!$E$8*(הגדרות!$E$7+1))/הגדרות!$E$7)))</f>
        <v/>
      </c>
      <c r="J1981" s="0" t="str">
        <f aca="false">IF(I1981="","",IF(H1981-1&lt;הגדרות!$E$8*(הגדרות!$E$7+1),MOD(H1981-1,הגדרות!$E$7+1),MOD(H1981-1-הגדרות!$E$8*(הגדרות!$E$7+1),הגדרות!$E$7)))</f>
        <v/>
      </c>
      <c r="K1981" s="0" t="str">
        <f aca="false">IF(I1981="","",J1981*הגדרות!$E$6+I1981+1)</f>
        <v/>
      </c>
      <c r="L1981" s="0" t="str">
        <f aca="false">IF(K1981="","",MATCH(K1981,$F$2:$F$5001,0))</f>
        <v/>
      </c>
      <c r="M1981" s="0" t="str">
        <f aca="false">IF(I1981="","",INDEX(הגדרות!$A$2:$A$21,MOD(I1981+הגדרות!$E$9,הגדרות!$E$6)+1))</f>
        <v/>
      </c>
    </row>
    <row r="1982" customFormat="false" ht="15" hidden="false" customHeight="false" outlineLevel="0" collapsed="false">
      <c r="A1982" s="0" t="str">
        <f aca="false">IF('הדבקת לידים'!A1982="","",IF(ISNUMBER('הדבקת לידים'!A1982),IF(הגדרות!$E$2&gt;0,TEXT('הדבקת לידים'!A1982,REPT("0",הגדרות!$E$2)),TEXT('הדבקת לידים'!A1982,"0")),TRIM('הדבקת לידים'!A1982)))</f>
        <v/>
      </c>
      <c r="B1982" s="0" t="str">
        <f aca="false">IF('הדבקת לידים'!B1982="","",IF(ISNUMBER('הדבקת לידים'!B1982),IF(הגדרות!$E$3&gt;0,TEXT('הדבקת לידים'!B1982,REPT("0",הגדרות!$E$3)),TEXT('הדבקת לידים'!B1982,"0")),TRIM('הדבקת לידים'!B1982)))</f>
        <v/>
      </c>
      <c r="C1982" s="0" t="n">
        <f aca="false">IF(OR(A1982&lt;&gt;"",B1982&lt;&gt;""),1,0)</f>
        <v>0</v>
      </c>
      <c r="D1982" s="0" t="str">
        <f aca="false">IF(C1982=1,MOD(ABS(SIN(ROW()*12.9898+'הדבקת לידים'!$F$2*78.233+IFERROR(--RIGHT(A1982,6),LEN(A1982))*0.0137+IFERROR(--RIGHT(B1982,6),LEN(B1982))*0.0071))*43758.5453,1),"")</f>
        <v/>
      </c>
      <c r="E1982" s="0" t="str">
        <f aca="false">IF(C1982=1,INT(MOD(ABS(SIN(D1982*7919.123+ROW()*0.618+'הדבקת לידים'!$F$2*1.3))*43758.5453,1)*1000000)*10000+ROW(),"")</f>
        <v/>
      </c>
      <c r="F1982" s="0" t="str">
        <f aca="false">IF(E1982="","",RANK(E1982,$E$2:$E$5001,1))</f>
        <v/>
      </c>
      <c r="G1982" s="0" t="n">
        <f aca="false">IF(A1982="",0,IF(SUMPRODUCT(--($A$2:$A$5001=A1982))&gt;1,1,0))</f>
        <v>0</v>
      </c>
      <c r="H1982" s="0" t="n">
        <f aca="false">ROW()-1</f>
        <v>1981</v>
      </c>
      <c r="I1982" s="0" t="str">
        <f aca="false">IF(OR(הגדרות!$E$6=0,H1982&gt;הגדרות!$E$5),"",IF(H1982-1&lt;הגדרות!$E$8*(הגדרות!$E$7+1),INT((H1982-1)/(הגדרות!$E$7+1)),הגדרות!$E$8+INT((H1982-1-הגדרות!$E$8*(הגדרות!$E$7+1))/הגדרות!$E$7)))</f>
        <v/>
      </c>
      <c r="J1982" s="0" t="str">
        <f aca="false">IF(I1982="","",IF(H1982-1&lt;הגדרות!$E$8*(הגדרות!$E$7+1),MOD(H1982-1,הגדרות!$E$7+1),MOD(H1982-1-הגדרות!$E$8*(הגדרות!$E$7+1),הגדרות!$E$7)))</f>
        <v/>
      </c>
      <c r="K1982" s="0" t="str">
        <f aca="false">IF(I1982="","",J1982*הגדרות!$E$6+I1982+1)</f>
        <v/>
      </c>
      <c r="L1982" s="0" t="str">
        <f aca="false">IF(K1982="","",MATCH(K1982,$F$2:$F$5001,0))</f>
        <v/>
      </c>
      <c r="M1982" s="0" t="str">
        <f aca="false">IF(I1982="","",INDEX(הגדרות!$A$2:$A$21,MOD(I1982+הגדרות!$E$9,הגדרות!$E$6)+1))</f>
        <v/>
      </c>
    </row>
    <row r="1983" customFormat="false" ht="15" hidden="false" customHeight="false" outlineLevel="0" collapsed="false">
      <c r="A1983" s="0" t="str">
        <f aca="false">IF('הדבקת לידים'!A1983="","",IF(ISNUMBER('הדבקת לידים'!A1983),IF(הגדרות!$E$2&gt;0,TEXT('הדבקת לידים'!A1983,REPT("0",הגדרות!$E$2)),TEXT('הדבקת לידים'!A1983,"0")),TRIM('הדבקת לידים'!A1983)))</f>
        <v/>
      </c>
      <c r="B1983" s="0" t="str">
        <f aca="false">IF('הדבקת לידים'!B1983="","",IF(ISNUMBER('הדבקת לידים'!B1983),IF(הגדרות!$E$3&gt;0,TEXT('הדבקת לידים'!B1983,REPT("0",הגדרות!$E$3)),TEXT('הדבקת לידים'!B1983,"0")),TRIM('הדבקת לידים'!B1983)))</f>
        <v/>
      </c>
      <c r="C1983" s="0" t="n">
        <f aca="false">IF(OR(A1983&lt;&gt;"",B1983&lt;&gt;""),1,0)</f>
        <v>0</v>
      </c>
      <c r="D1983" s="0" t="str">
        <f aca="false">IF(C1983=1,MOD(ABS(SIN(ROW()*12.9898+'הדבקת לידים'!$F$2*78.233+IFERROR(--RIGHT(A1983,6),LEN(A1983))*0.0137+IFERROR(--RIGHT(B1983,6),LEN(B1983))*0.0071))*43758.5453,1),"")</f>
        <v/>
      </c>
      <c r="E1983" s="0" t="str">
        <f aca="false">IF(C1983=1,INT(MOD(ABS(SIN(D1983*7919.123+ROW()*0.618+'הדבקת לידים'!$F$2*1.3))*43758.5453,1)*1000000)*10000+ROW(),"")</f>
        <v/>
      </c>
      <c r="F1983" s="0" t="str">
        <f aca="false">IF(E1983="","",RANK(E1983,$E$2:$E$5001,1))</f>
        <v/>
      </c>
      <c r="G1983" s="0" t="n">
        <f aca="false">IF(A1983="",0,IF(SUMPRODUCT(--($A$2:$A$5001=A1983))&gt;1,1,0))</f>
        <v>0</v>
      </c>
      <c r="H1983" s="0" t="n">
        <f aca="false">ROW()-1</f>
        <v>1982</v>
      </c>
      <c r="I1983" s="0" t="str">
        <f aca="false">IF(OR(הגדרות!$E$6=0,H1983&gt;הגדרות!$E$5),"",IF(H1983-1&lt;הגדרות!$E$8*(הגדרות!$E$7+1),INT((H1983-1)/(הגדרות!$E$7+1)),הגדרות!$E$8+INT((H1983-1-הגדרות!$E$8*(הגדרות!$E$7+1))/הגדרות!$E$7)))</f>
        <v/>
      </c>
      <c r="J1983" s="0" t="str">
        <f aca="false">IF(I1983="","",IF(H1983-1&lt;הגדרות!$E$8*(הגדרות!$E$7+1),MOD(H1983-1,הגדרות!$E$7+1),MOD(H1983-1-הגדרות!$E$8*(הגדרות!$E$7+1),הגדרות!$E$7)))</f>
        <v/>
      </c>
      <c r="K1983" s="0" t="str">
        <f aca="false">IF(I1983="","",J1983*הגדרות!$E$6+I1983+1)</f>
        <v/>
      </c>
      <c r="L1983" s="0" t="str">
        <f aca="false">IF(K1983="","",MATCH(K1983,$F$2:$F$5001,0))</f>
        <v/>
      </c>
      <c r="M1983" s="0" t="str">
        <f aca="false">IF(I1983="","",INDEX(הגדרות!$A$2:$A$21,MOD(I1983+הגדרות!$E$9,הגדרות!$E$6)+1))</f>
        <v/>
      </c>
    </row>
    <row r="1984" customFormat="false" ht="15" hidden="false" customHeight="false" outlineLevel="0" collapsed="false">
      <c r="A1984" s="0" t="str">
        <f aca="false">IF('הדבקת לידים'!A1984="","",IF(ISNUMBER('הדבקת לידים'!A1984),IF(הגדרות!$E$2&gt;0,TEXT('הדבקת לידים'!A1984,REPT("0",הגדרות!$E$2)),TEXT('הדבקת לידים'!A1984,"0")),TRIM('הדבקת לידים'!A1984)))</f>
        <v/>
      </c>
      <c r="B1984" s="0" t="str">
        <f aca="false">IF('הדבקת לידים'!B1984="","",IF(ISNUMBER('הדבקת לידים'!B1984),IF(הגדרות!$E$3&gt;0,TEXT('הדבקת לידים'!B1984,REPT("0",הגדרות!$E$3)),TEXT('הדבקת לידים'!B1984,"0")),TRIM('הדבקת לידים'!B1984)))</f>
        <v/>
      </c>
      <c r="C1984" s="0" t="n">
        <f aca="false">IF(OR(A1984&lt;&gt;"",B1984&lt;&gt;""),1,0)</f>
        <v>0</v>
      </c>
      <c r="D1984" s="0" t="str">
        <f aca="false">IF(C1984=1,MOD(ABS(SIN(ROW()*12.9898+'הדבקת לידים'!$F$2*78.233+IFERROR(--RIGHT(A1984,6),LEN(A1984))*0.0137+IFERROR(--RIGHT(B1984,6),LEN(B1984))*0.0071))*43758.5453,1),"")</f>
        <v/>
      </c>
      <c r="E1984" s="0" t="str">
        <f aca="false">IF(C1984=1,INT(MOD(ABS(SIN(D1984*7919.123+ROW()*0.618+'הדבקת לידים'!$F$2*1.3))*43758.5453,1)*1000000)*10000+ROW(),"")</f>
        <v/>
      </c>
      <c r="F1984" s="0" t="str">
        <f aca="false">IF(E1984="","",RANK(E1984,$E$2:$E$5001,1))</f>
        <v/>
      </c>
      <c r="G1984" s="0" t="n">
        <f aca="false">IF(A1984="",0,IF(SUMPRODUCT(--($A$2:$A$5001=A1984))&gt;1,1,0))</f>
        <v>0</v>
      </c>
      <c r="H1984" s="0" t="n">
        <f aca="false">ROW()-1</f>
        <v>1983</v>
      </c>
      <c r="I1984" s="0" t="str">
        <f aca="false">IF(OR(הגדרות!$E$6=0,H1984&gt;הגדרות!$E$5),"",IF(H1984-1&lt;הגדרות!$E$8*(הגדרות!$E$7+1),INT((H1984-1)/(הגדרות!$E$7+1)),הגדרות!$E$8+INT((H1984-1-הגדרות!$E$8*(הגדרות!$E$7+1))/הגדרות!$E$7)))</f>
        <v/>
      </c>
      <c r="J1984" s="0" t="str">
        <f aca="false">IF(I1984="","",IF(H1984-1&lt;הגדרות!$E$8*(הגדרות!$E$7+1),MOD(H1984-1,הגדרות!$E$7+1),MOD(H1984-1-הגדרות!$E$8*(הגדרות!$E$7+1),הגדרות!$E$7)))</f>
        <v/>
      </c>
      <c r="K1984" s="0" t="str">
        <f aca="false">IF(I1984="","",J1984*הגדרות!$E$6+I1984+1)</f>
        <v/>
      </c>
      <c r="L1984" s="0" t="str">
        <f aca="false">IF(K1984="","",MATCH(K1984,$F$2:$F$5001,0))</f>
        <v/>
      </c>
      <c r="M1984" s="0" t="str">
        <f aca="false">IF(I1984="","",INDEX(הגדרות!$A$2:$A$21,MOD(I1984+הגדרות!$E$9,הגדרות!$E$6)+1))</f>
        <v/>
      </c>
    </row>
    <row r="1985" customFormat="false" ht="15" hidden="false" customHeight="false" outlineLevel="0" collapsed="false">
      <c r="A1985" s="0" t="str">
        <f aca="false">IF('הדבקת לידים'!A1985="","",IF(ISNUMBER('הדבקת לידים'!A1985),IF(הגדרות!$E$2&gt;0,TEXT('הדבקת לידים'!A1985,REPT("0",הגדרות!$E$2)),TEXT('הדבקת לידים'!A1985,"0")),TRIM('הדבקת לידים'!A1985)))</f>
        <v/>
      </c>
      <c r="B1985" s="0" t="str">
        <f aca="false">IF('הדבקת לידים'!B1985="","",IF(ISNUMBER('הדבקת לידים'!B1985),IF(הגדרות!$E$3&gt;0,TEXT('הדבקת לידים'!B1985,REPT("0",הגדרות!$E$3)),TEXT('הדבקת לידים'!B1985,"0")),TRIM('הדבקת לידים'!B1985)))</f>
        <v/>
      </c>
      <c r="C1985" s="0" t="n">
        <f aca="false">IF(OR(A1985&lt;&gt;"",B1985&lt;&gt;""),1,0)</f>
        <v>0</v>
      </c>
      <c r="D1985" s="0" t="str">
        <f aca="false">IF(C1985=1,MOD(ABS(SIN(ROW()*12.9898+'הדבקת לידים'!$F$2*78.233+IFERROR(--RIGHT(A1985,6),LEN(A1985))*0.0137+IFERROR(--RIGHT(B1985,6),LEN(B1985))*0.0071))*43758.5453,1),"")</f>
        <v/>
      </c>
      <c r="E1985" s="0" t="str">
        <f aca="false">IF(C1985=1,INT(MOD(ABS(SIN(D1985*7919.123+ROW()*0.618+'הדבקת לידים'!$F$2*1.3))*43758.5453,1)*1000000)*10000+ROW(),"")</f>
        <v/>
      </c>
      <c r="F1985" s="0" t="str">
        <f aca="false">IF(E1985="","",RANK(E1985,$E$2:$E$5001,1))</f>
        <v/>
      </c>
      <c r="G1985" s="0" t="n">
        <f aca="false">IF(A1985="",0,IF(SUMPRODUCT(--($A$2:$A$5001=A1985))&gt;1,1,0))</f>
        <v>0</v>
      </c>
      <c r="H1985" s="0" t="n">
        <f aca="false">ROW()-1</f>
        <v>1984</v>
      </c>
      <c r="I1985" s="0" t="str">
        <f aca="false">IF(OR(הגדרות!$E$6=0,H1985&gt;הגדרות!$E$5),"",IF(H1985-1&lt;הגדרות!$E$8*(הגדרות!$E$7+1),INT((H1985-1)/(הגדרות!$E$7+1)),הגדרות!$E$8+INT((H1985-1-הגדרות!$E$8*(הגדרות!$E$7+1))/הגדרות!$E$7)))</f>
        <v/>
      </c>
      <c r="J1985" s="0" t="str">
        <f aca="false">IF(I1985="","",IF(H1985-1&lt;הגדרות!$E$8*(הגדרות!$E$7+1),MOD(H1985-1,הגדרות!$E$7+1),MOD(H1985-1-הגדרות!$E$8*(הגדרות!$E$7+1),הגדרות!$E$7)))</f>
        <v/>
      </c>
      <c r="K1985" s="0" t="str">
        <f aca="false">IF(I1985="","",J1985*הגדרות!$E$6+I1985+1)</f>
        <v/>
      </c>
      <c r="L1985" s="0" t="str">
        <f aca="false">IF(K1985="","",MATCH(K1985,$F$2:$F$5001,0))</f>
        <v/>
      </c>
      <c r="M1985" s="0" t="str">
        <f aca="false">IF(I1985="","",INDEX(הגדרות!$A$2:$A$21,MOD(I1985+הגדרות!$E$9,הגדרות!$E$6)+1))</f>
        <v/>
      </c>
    </row>
    <row r="1986" customFormat="false" ht="15" hidden="false" customHeight="false" outlineLevel="0" collapsed="false">
      <c r="A1986" s="0" t="str">
        <f aca="false">IF('הדבקת לידים'!A1986="","",IF(ISNUMBER('הדבקת לידים'!A1986),IF(הגדרות!$E$2&gt;0,TEXT('הדבקת לידים'!A1986,REPT("0",הגדרות!$E$2)),TEXT('הדבקת לידים'!A1986,"0")),TRIM('הדבקת לידים'!A1986)))</f>
        <v/>
      </c>
      <c r="B1986" s="0" t="str">
        <f aca="false">IF('הדבקת לידים'!B1986="","",IF(ISNUMBER('הדבקת לידים'!B1986),IF(הגדרות!$E$3&gt;0,TEXT('הדבקת לידים'!B1986,REPT("0",הגדרות!$E$3)),TEXT('הדבקת לידים'!B1986,"0")),TRIM('הדבקת לידים'!B1986)))</f>
        <v/>
      </c>
      <c r="C1986" s="0" t="n">
        <f aca="false">IF(OR(A1986&lt;&gt;"",B1986&lt;&gt;""),1,0)</f>
        <v>0</v>
      </c>
      <c r="D1986" s="0" t="str">
        <f aca="false">IF(C1986=1,MOD(ABS(SIN(ROW()*12.9898+'הדבקת לידים'!$F$2*78.233+IFERROR(--RIGHT(A1986,6),LEN(A1986))*0.0137+IFERROR(--RIGHT(B1986,6),LEN(B1986))*0.0071))*43758.5453,1),"")</f>
        <v/>
      </c>
      <c r="E1986" s="0" t="str">
        <f aca="false">IF(C1986=1,INT(MOD(ABS(SIN(D1986*7919.123+ROW()*0.618+'הדבקת לידים'!$F$2*1.3))*43758.5453,1)*1000000)*10000+ROW(),"")</f>
        <v/>
      </c>
      <c r="F1986" s="0" t="str">
        <f aca="false">IF(E1986="","",RANK(E1986,$E$2:$E$5001,1))</f>
        <v/>
      </c>
      <c r="G1986" s="0" t="n">
        <f aca="false">IF(A1986="",0,IF(SUMPRODUCT(--($A$2:$A$5001=A1986))&gt;1,1,0))</f>
        <v>0</v>
      </c>
      <c r="H1986" s="0" t="n">
        <f aca="false">ROW()-1</f>
        <v>1985</v>
      </c>
      <c r="I1986" s="0" t="str">
        <f aca="false">IF(OR(הגדרות!$E$6=0,H1986&gt;הגדרות!$E$5),"",IF(H1986-1&lt;הגדרות!$E$8*(הגדרות!$E$7+1),INT((H1986-1)/(הגדרות!$E$7+1)),הגדרות!$E$8+INT((H1986-1-הגדרות!$E$8*(הגדרות!$E$7+1))/הגדרות!$E$7)))</f>
        <v/>
      </c>
      <c r="J1986" s="0" t="str">
        <f aca="false">IF(I1986="","",IF(H1986-1&lt;הגדרות!$E$8*(הגדרות!$E$7+1),MOD(H1986-1,הגדרות!$E$7+1),MOD(H1986-1-הגדרות!$E$8*(הגדרות!$E$7+1),הגדרות!$E$7)))</f>
        <v/>
      </c>
      <c r="K1986" s="0" t="str">
        <f aca="false">IF(I1986="","",J1986*הגדרות!$E$6+I1986+1)</f>
        <v/>
      </c>
      <c r="L1986" s="0" t="str">
        <f aca="false">IF(K1986="","",MATCH(K1986,$F$2:$F$5001,0))</f>
        <v/>
      </c>
      <c r="M1986" s="0" t="str">
        <f aca="false">IF(I1986="","",INDEX(הגדרות!$A$2:$A$21,MOD(I1986+הגדרות!$E$9,הגדרות!$E$6)+1))</f>
        <v/>
      </c>
    </row>
    <row r="1987" customFormat="false" ht="15" hidden="false" customHeight="false" outlineLevel="0" collapsed="false">
      <c r="A1987" s="0" t="str">
        <f aca="false">IF('הדבקת לידים'!A1987="","",IF(ISNUMBER('הדבקת לידים'!A1987),IF(הגדרות!$E$2&gt;0,TEXT('הדבקת לידים'!A1987,REPT("0",הגדרות!$E$2)),TEXT('הדבקת לידים'!A1987,"0")),TRIM('הדבקת לידים'!A1987)))</f>
        <v/>
      </c>
      <c r="B1987" s="0" t="str">
        <f aca="false">IF('הדבקת לידים'!B1987="","",IF(ISNUMBER('הדבקת לידים'!B1987),IF(הגדרות!$E$3&gt;0,TEXT('הדבקת לידים'!B1987,REPT("0",הגדרות!$E$3)),TEXT('הדבקת לידים'!B1987,"0")),TRIM('הדבקת לידים'!B1987)))</f>
        <v/>
      </c>
      <c r="C1987" s="0" t="n">
        <f aca="false">IF(OR(A1987&lt;&gt;"",B1987&lt;&gt;""),1,0)</f>
        <v>0</v>
      </c>
      <c r="D1987" s="0" t="str">
        <f aca="false">IF(C1987=1,MOD(ABS(SIN(ROW()*12.9898+'הדבקת לידים'!$F$2*78.233+IFERROR(--RIGHT(A1987,6),LEN(A1987))*0.0137+IFERROR(--RIGHT(B1987,6),LEN(B1987))*0.0071))*43758.5453,1),"")</f>
        <v/>
      </c>
      <c r="E1987" s="0" t="str">
        <f aca="false">IF(C1987=1,INT(MOD(ABS(SIN(D1987*7919.123+ROW()*0.618+'הדבקת לידים'!$F$2*1.3))*43758.5453,1)*1000000)*10000+ROW(),"")</f>
        <v/>
      </c>
      <c r="F1987" s="0" t="str">
        <f aca="false">IF(E1987="","",RANK(E1987,$E$2:$E$5001,1))</f>
        <v/>
      </c>
      <c r="G1987" s="0" t="n">
        <f aca="false">IF(A1987="",0,IF(SUMPRODUCT(--($A$2:$A$5001=A1987))&gt;1,1,0))</f>
        <v>0</v>
      </c>
      <c r="H1987" s="0" t="n">
        <f aca="false">ROW()-1</f>
        <v>1986</v>
      </c>
      <c r="I1987" s="0" t="str">
        <f aca="false">IF(OR(הגדרות!$E$6=0,H1987&gt;הגדרות!$E$5),"",IF(H1987-1&lt;הגדרות!$E$8*(הגדרות!$E$7+1),INT((H1987-1)/(הגדרות!$E$7+1)),הגדרות!$E$8+INT((H1987-1-הגדרות!$E$8*(הגדרות!$E$7+1))/הגדרות!$E$7)))</f>
        <v/>
      </c>
      <c r="J1987" s="0" t="str">
        <f aca="false">IF(I1987="","",IF(H1987-1&lt;הגדרות!$E$8*(הגדרות!$E$7+1),MOD(H1987-1,הגדרות!$E$7+1),MOD(H1987-1-הגדרות!$E$8*(הגדרות!$E$7+1),הגדרות!$E$7)))</f>
        <v/>
      </c>
      <c r="K1987" s="0" t="str">
        <f aca="false">IF(I1987="","",J1987*הגדרות!$E$6+I1987+1)</f>
        <v/>
      </c>
      <c r="L1987" s="0" t="str">
        <f aca="false">IF(K1987="","",MATCH(K1987,$F$2:$F$5001,0))</f>
        <v/>
      </c>
      <c r="M1987" s="0" t="str">
        <f aca="false">IF(I1987="","",INDEX(הגדרות!$A$2:$A$21,MOD(I1987+הגדרות!$E$9,הגדרות!$E$6)+1))</f>
        <v/>
      </c>
    </row>
    <row r="1988" customFormat="false" ht="15" hidden="false" customHeight="false" outlineLevel="0" collapsed="false">
      <c r="A1988" s="0" t="str">
        <f aca="false">IF('הדבקת לידים'!A1988="","",IF(ISNUMBER('הדבקת לידים'!A1988),IF(הגדרות!$E$2&gt;0,TEXT('הדבקת לידים'!A1988,REPT("0",הגדרות!$E$2)),TEXT('הדבקת לידים'!A1988,"0")),TRIM('הדבקת לידים'!A1988)))</f>
        <v/>
      </c>
      <c r="B1988" s="0" t="str">
        <f aca="false">IF('הדבקת לידים'!B1988="","",IF(ISNUMBER('הדבקת לידים'!B1988),IF(הגדרות!$E$3&gt;0,TEXT('הדבקת לידים'!B1988,REPT("0",הגדרות!$E$3)),TEXT('הדבקת לידים'!B1988,"0")),TRIM('הדבקת לידים'!B1988)))</f>
        <v/>
      </c>
      <c r="C1988" s="0" t="n">
        <f aca="false">IF(OR(A1988&lt;&gt;"",B1988&lt;&gt;""),1,0)</f>
        <v>0</v>
      </c>
      <c r="D1988" s="0" t="str">
        <f aca="false">IF(C1988=1,MOD(ABS(SIN(ROW()*12.9898+'הדבקת לידים'!$F$2*78.233+IFERROR(--RIGHT(A1988,6),LEN(A1988))*0.0137+IFERROR(--RIGHT(B1988,6),LEN(B1988))*0.0071))*43758.5453,1),"")</f>
        <v/>
      </c>
      <c r="E1988" s="0" t="str">
        <f aca="false">IF(C1988=1,INT(MOD(ABS(SIN(D1988*7919.123+ROW()*0.618+'הדבקת לידים'!$F$2*1.3))*43758.5453,1)*1000000)*10000+ROW(),"")</f>
        <v/>
      </c>
      <c r="F1988" s="0" t="str">
        <f aca="false">IF(E1988="","",RANK(E1988,$E$2:$E$5001,1))</f>
        <v/>
      </c>
      <c r="G1988" s="0" t="n">
        <f aca="false">IF(A1988="",0,IF(SUMPRODUCT(--($A$2:$A$5001=A1988))&gt;1,1,0))</f>
        <v>0</v>
      </c>
      <c r="H1988" s="0" t="n">
        <f aca="false">ROW()-1</f>
        <v>1987</v>
      </c>
      <c r="I1988" s="0" t="str">
        <f aca="false">IF(OR(הגדרות!$E$6=0,H1988&gt;הגדרות!$E$5),"",IF(H1988-1&lt;הגדרות!$E$8*(הגדרות!$E$7+1),INT((H1988-1)/(הגדרות!$E$7+1)),הגדרות!$E$8+INT((H1988-1-הגדרות!$E$8*(הגדרות!$E$7+1))/הגדרות!$E$7)))</f>
        <v/>
      </c>
      <c r="J1988" s="0" t="str">
        <f aca="false">IF(I1988="","",IF(H1988-1&lt;הגדרות!$E$8*(הגדרות!$E$7+1),MOD(H1988-1,הגדרות!$E$7+1),MOD(H1988-1-הגדרות!$E$8*(הגדרות!$E$7+1),הגדרות!$E$7)))</f>
        <v/>
      </c>
      <c r="K1988" s="0" t="str">
        <f aca="false">IF(I1988="","",J1988*הגדרות!$E$6+I1988+1)</f>
        <v/>
      </c>
      <c r="L1988" s="0" t="str">
        <f aca="false">IF(K1988="","",MATCH(K1988,$F$2:$F$5001,0))</f>
        <v/>
      </c>
      <c r="M1988" s="0" t="str">
        <f aca="false">IF(I1988="","",INDEX(הגדרות!$A$2:$A$21,MOD(I1988+הגדרות!$E$9,הגדרות!$E$6)+1))</f>
        <v/>
      </c>
    </row>
    <row r="1989" customFormat="false" ht="15" hidden="false" customHeight="false" outlineLevel="0" collapsed="false">
      <c r="A1989" s="0" t="str">
        <f aca="false">IF('הדבקת לידים'!A1989="","",IF(ISNUMBER('הדבקת לידים'!A1989),IF(הגדרות!$E$2&gt;0,TEXT('הדבקת לידים'!A1989,REPT("0",הגדרות!$E$2)),TEXT('הדבקת לידים'!A1989,"0")),TRIM('הדבקת לידים'!A1989)))</f>
        <v/>
      </c>
      <c r="B1989" s="0" t="str">
        <f aca="false">IF('הדבקת לידים'!B1989="","",IF(ISNUMBER('הדבקת לידים'!B1989),IF(הגדרות!$E$3&gt;0,TEXT('הדבקת לידים'!B1989,REPT("0",הגדרות!$E$3)),TEXT('הדבקת לידים'!B1989,"0")),TRIM('הדבקת לידים'!B1989)))</f>
        <v/>
      </c>
      <c r="C1989" s="0" t="n">
        <f aca="false">IF(OR(A1989&lt;&gt;"",B1989&lt;&gt;""),1,0)</f>
        <v>0</v>
      </c>
      <c r="D1989" s="0" t="str">
        <f aca="false">IF(C1989=1,MOD(ABS(SIN(ROW()*12.9898+'הדבקת לידים'!$F$2*78.233+IFERROR(--RIGHT(A1989,6),LEN(A1989))*0.0137+IFERROR(--RIGHT(B1989,6),LEN(B1989))*0.0071))*43758.5453,1),"")</f>
        <v/>
      </c>
      <c r="E1989" s="0" t="str">
        <f aca="false">IF(C1989=1,INT(MOD(ABS(SIN(D1989*7919.123+ROW()*0.618+'הדבקת לידים'!$F$2*1.3))*43758.5453,1)*1000000)*10000+ROW(),"")</f>
        <v/>
      </c>
      <c r="F1989" s="0" t="str">
        <f aca="false">IF(E1989="","",RANK(E1989,$E$2:$E$5001,1))</f>
        <v/>
      </c>
      <c r="G1989" s="0" t="n">
        <f aca="false">IF(A1989="",0,IF(SUMPRODUCT(--($A$2:$A$5001=A1989))&gt;1,1,0))</f>
        <v>0</v>
      </c>
      <c r="H1989" s="0" t="n">
        <f aca="false">ROW()-1</f>
        <v>1988</v>
      </c>
      <c r="I1989" s="0" t="str">
        <f aca="false">IF(OR(הגדרות!$E$6=0,H1989&gt;הגדרות!$E$5),"",IF(H1989-1&lt;הגדרות!$E$8*(הגדרות!$E$7+1),INT((H1989-1)/(הגדרות!$E$7+1)),הגדרות!$E$8+INT((H1989-1-הגדרות!$E$8*(הגדרות!$E$7+1))/הגדרות!$E$7)))</f>
        <v/>
      </c>
      <c r="J1989" s="0" t="str">
        <f aca="false">IF(I1989="","",IF(H1989-1&lt;הגדרות!$E$8*(הגדרות!$E$7+1),MOD(H1989-1,הגדרות!$E$7+1),MOD(H1989-1-הגדרות!$E$8*(הגדרות!$E$7+1),הגדרות!$E$7)))</f>
        <v/>
      </c>
      <c r="K1989" s="0" t="str">
        <f aca="false">IF(I1989="","",J1989*הגדרות!$E$6+I1989+1)</f>
        <v/>
      </c>
      <c r="L1989" s="0" t="str">
        <f aca="false">IF(K1989="","",MATCH(K1989,$F$2:$F$5001,0))</f>
        <v/>
      </c>
      <c r="M1989" s="0" t="str">
        <f aca="false">IF(I1989="","",INDEX(הגדרות!$A$2:$A$21,MOD(I1989+הגדרות!$E$9,הגדרות!$E$6)+1))</f>
        <v/>
      </c>
    </row>
    <row r="1990" customFormat="false" ht="15" hidden="false" customHeight="false" outlineLevel="0" collapsed="false">
      <c r="A1990" s="0" t="str">
        <f aca="false">IF('הדבקת לידים'!A1990="","",IF(ISNUMBER('הדבקת לידים'!A1990),IF(הגדרות!$E$2&gt;0,TEXT('הדבקת לידים'!A1990,REPT("0",הגדרות!$E$2)),TEXT('הדבקת לידים'!A1990,"0")),TRIM('הדבקת לידים'!A1990)))</f>
        <v/>
      </c>
      <c r="B1990" s="0" t="str">
        <f aca="false">IF('הדבקת לידים'!B1990="","",IF(ISNUMBER('הדבקת לידים'!B1990),IF(הגדרות!$E$3&gt;0,TEXT('הדבקת לידים'!B1990,REPT("0",הגדרות!$E$3)),TEXT('הדבקת לידים'!B1990,"0")),TRIM('הדבקת לידים'!B1990)))</f>
        <v/>
      </c>
      <c r="C1990" s="0" t="n">
        <f aca="false">IF(OR(A1990&lt;&gt;"",B1990&lt;&gt;""),1,0)</f>
        <v>0</v>
      </c>
      <c r="D1990" s="0" t="str">
        <f aca="false">IF(C1990=1,MOD(ABS(SIN(ROW()*12.9898+'הדבקת לידים'!$F$2*78.233+IFERROR(--RIGHT(A1990,6),LEN(A1990))*0.0137+IFERROR(--RIGHT(B1990,6),LEN(B1990))*0.0071))*43758.5453,1),"")</f>
        <v/>
      </c>
      <c r="E1990" s="0" t="str">
        <f aca="false">IF(C1990=1,INT(MOD(ABS(SIN(D1990*7919.123+ROW()*0.618+'הדבקת לידים'!$F$2*1.3))*43758.5453,1)*1000000)*10000+ROW(),"")</f>
        <v/>
      </c>
      <c r="F1990" s="0" t="str">
        <f aca="false">IF(E1990="","",RANK(E1990,$E$2:$E$5001,1))</f>
        <v/>
      </c>
      <c r="G1990" s="0" t="n">
        <f aca="false">IF(A1990="",0,IF(SUMPRODUCT(--($A$2:$A$5001=A1990))&gt;1,1,0))</f>
        <v>0</v>
      </c>
      <c r="H1990" s="0" t="n">
        <f aca="false">ROW()-1</f>
        <v>1989</v>
      </c>
      <c r="I1990" s="0" t="str">
        <f aca="false">IF(OR(הגדרות!$E$6=0,H1990&gt;הגדרות!$E$5),"",IF(H1990-1&lt;הגדרות!$E$8*(הגדרות!$E$7+1),INT((H1990-1)/(הגדרות!$E$7+1)),הגדרות!$E$8+INT((H1990-1-הגדרות!$E$8*(הגדרות!$E$7+1))/הגדרות!$E$7)))</f>
        <v/>
      </c>
      <c r="J1990" s="0" t="str">
        <f aca="false">IF(I1990="","",IF(H1990-1&lt;הגדרות!$E$8*(הגדרות!$E$7+1),MOD(H1990-1,הגדרות!$E$7+1),MOD(H1990-1-הגדרות!$E$8*(הגדרות!$E$7+1),הגדרות!$E$7)))</f>
        <v/>
      </c>
      <c r="K1990" s="0" t="str">
        <f aca="false">IF(I1990="","",J1990*הגדרות!$E$6+I1990+1)</f>
        <v/>
      </c>
      <c r="L1990" s="0" t="str">
        <f aca="false">IF(K1990="","",MATCH(K1990,$F$2:$F$5001,0))</f>
        <v/>
      </c>
      <c r="M1990" s="0" t="str">
        <f aca="false">IF(I1990="","",INDEX(הגדרות!$A$2:$A$21,MOD(I1990+הגדרות!$E$9,הגדרות!$E$6)+1))</f>
        <v/>
      </c>
    </row>
    <row r="1991" customFormat="false" ht="15" hidden="false" customHeight="false" outlineLevel="0" collapsed="false">
      <c r="A1991" s="0" t="str">
        <f aca="false">IF('הדבקת לידים'!A1991="","",IF(ISNUMBER('הדבקת לידים'!A1991),IF(הגדרות!$E$2&gt;0,TEXT('הדבקת לידים'!A1991,REPT("0",הגדרות!$E$2)),TEXT('הדבקת לידים'!A1991,"0")),TRIM('הדבקת לידים'!A1991)))</f>
        <v/>
      </c>
      <c r="B1991" s="0" t="str">
        <f aca="false">IF('הדבקת לידים'!B1991="","",IF(ISNUMBER('הדבקת לידים'!B1991),IF(הגדרות!$E$3&gt;0,TEXT('הדבקת לידים'!B1991,REPT("0",הגדרות!$E$3)),TEXT('הדבקת לידים'!B1991,"0")),TRIM('הדבקת לידים'!B1991)))</f>
        <v/>
      </c>
      <c r="C1991" s="0" t="n">
        <f aca="false">IF(OR(A1991&lt;&gt;"",B1991&lt;&gt;""),1,0)</f>
        <v>0</v>
      </c>
      <c r="D1991" s="0" t="str">
        <f aca="false">IF(C1991=1,MOD(ABS(SIN(ROW()*12.9898+'הדבקת לידים'!$F$2*78.233+IFERROR(--RIGHT(A1991,6),LEN(A1991))*0.0137+IFERROR(--RIGHT(B1991,6),LEN(B1991))*0.0071))*43758.5453,1),"")</f>
        <v/>
      </c>
      <c r="E1991" s="0" t="str">
        <f aca="false">IF(C1991=1,INT(MOD(ABS(SIN(D1991*7919.123+ROW()*0.618+'הדבקת לידים'!$F$2*1.3))*43758.5453,1)*1000000)*10000+ROW(),"")</f>
        <v/>
      </c>
      <c r="F1991" s="0" t="str">
        <f aca="false">IF(E1991="","",RANK(E1991,$E$2:$E$5001,1))</f>
        <v/>
      </c>
      <c r="G1991" s="0" t="n">
        <f aca="false">IF(A1991="",0,IF(SUMPRODUCT(--($A$2:$A$5001=A1991))&gt;1,1,0))</f>
        <v>0</v>
      </c>
      <c r="H1991" s="0" t="n">
        <f aca="false">ROW()-1</f>
        <v>1990</v>
      </c>
      <c r="I1991" s="0" t="str">
        <f aca="false">IF(OR(הגדרות!$E$6=0,H1991&gt;הגדרות!$E$5),"",IF(H1991-1&lt;הגדרות!$E$8*(הגדרות!$E$7+1),INT((H1991-1)/(הגדרות!$E$7+1)),הגדרות!$E$8+INT((H1991-1-הגדרות!$E$8*(הגדרות!$E$7+1))/הגדרות!$E$7)))</f>
        <v/>
      </c>
      <c r="J1991" s="0" t="str">
        <f aca="false">IF(I1991="","",IF(H1991-1&lt;הגדרות!$E$8*(הגדרות!$E$7+1),MOD(H1991-1,הגדרות!$E$7+1),MOD(H1991-1-הגדרות!$E$8*(הגדרות!$E$7+1),הגדרות!$E$7)))</f>
        <v/>
      </c>
      <c r="K1991" s="0" t="str">
        <f aca="false">IF(I1991="","",J1991*הגדרות!$E$6+I1991+1)</f>
        <v/>
      </c>
      <c r="L1991" s="0" t="str">
        <f aca="false">IF(K1991="","",MATCH(K1991,$F$2:$F$5001,0))</f>
        <v/>
      </c>
      <c r="M1991" s="0" t="str">
        <f aca="false">IF(I1991="","",INDEX(הגדרות!$A$2:$A$21,MOD(I1991+הגדרות!$E$9,הגדרות!$E$6)+1))</f>
        <v/>
      </c>
    </row>
    <row r="1992" customFormat="false" ht="15" hidden="false" customHeight="false" outlineLevel="0" collapsed="false">
      <c r="A1992" s="0" t="str">
        <f aca="false">IF('הדבקת לידים'!A1992="","",IF(ISNUMBER('הדבקת לידים'!A1992),IF(הגדרות!$E$2&gt;0,TEXT('הדבקת לידים'!A1992,REPT("0",הגדרות!$E$2)),TEXT('הדבקת לידים'!A1992,"0")),TRIM('הדבקת לידים'!A1992)))</f>
        <v/>
      </c>
      <c r="B1992" s="0" t="str">
        <f aca="false">IF('הדבקת לידים'!B1992="","",IF(ISNUMBER('הדבקת לידים'!B1992),IF(הגדרות!$E$3&gt;0,TEXT('הדבקת לידים'!B1992,REPT("0",הגדרות!$E$3)),TEXT('הדבקת לידים'!B1992,"0")),TRIM('הדבקת לידים'!B1992)))</f>
        <v/>
      </c>
      <c r="C1992" s="0" t="n">
        <f aca="false">IF(OR(A1992&lt;&gt;"",B1992&lt;&gt;""),1,0)</f>
        <v>0</v>
      </c>
      <c r="D1992" s="0" t="str">
        <f aca="false">IF(C1992=1,MOD(ABS(SIN(ROW()*12.9898+'הדבקת לידים'!$F$2*78.233+IFERROR(--RIGHT(A1992,6),LEN(A1992))*0.0137+IFERROR(--RIGHT(B1992,6),LEN(B1992))*0.0071))*43758.5453,1),"")</f>
        <v/>
      </c>
      <c r="E1992" s="0" t="str">
        <f aca="false">IF(C1992=1,INT(MOD(ABS(SIN(D1992*7919.123+ROW()*0.618+'הדבקת לידים'!$F$2*1.3))*43758.5453,1)*1000000)*10000+ROW(),"")</f>
        <v/>
      </c>
      <c r="F1992" s="0" t="str">
        <f aca="false">IF(E1992="","",RANK(E1992,$E$2:$E$5001,1))</f>
        <v/>
      </c>
      <c r="G1992" s="0" t="n">
        <f aca="false">IF(A1992="",0,IF(SUMPRODUCT(--($A$2:$A$5001=A1992))&gt;1,1,0))</f>
        <v>0</v>
      </c>
      <c r="H1992" s="0" t="n">
        <f aca="false">ROW()-1</f>
        <v>1991</v>
      </c>
      <c r="I1992" s="0" t="str">
        <f aca="false">IF(OR(הגדרות!$E$6=0,H1992&gt;הגדרות!$E$5),"",IF(H1992-1&lt;הגדרות!$E$8*(הגדרות!$E$7+1),INT((H1992-1)/(הגדרות!$E$7+1)),הגדרות!$E$8+INT((H1992-1-הגדרות!$E$8*(הגדרות!$E$7+1))/הגדרות!$E$7)))</f>
        <v/>
      </c>
      <c r="J1992" s="0" t="str">
        <f aca="false">IF(I1992="","",IF(H1992-1&lt;הגדרות!$E$8*(הגדרות!$E$7+1),MOD(H1992-1,הגדרות!$E$7+1),MOD(H1992-1-הגדרות!$E$8*(הגדרות!$E$7+1),הגדרות!$E$7)))</f>
        <v/>
      </c>
      <c r="K1992" s="0" t="str">
        <f aca="false">IF(I1992="","",J1992*הגדרות!$E$6+I1992+1)</f>
        <v/>
      </c>
      <c r="L1992" s="0" t="str">
        <f aca="false">IF(K1992="","",MATCH(K1992,$F$2:$F$5001,0))</f>
        <v/>
      </c>
      <c r="M1992" s="0" t="str">
        <f aca="false">IF(I1992="","",INDEX(הגדרות!$A$2:$A$21,MOD(I1992+הגדרות!$E$9,הגדרות!$E$6)+1))</f>
        <v/>
      </c>
    </row>
    <row r="1993" customFormat="false" ht="15" hidden="false" customHeight="false" outlineLevel="0" collapsed="false">
      <c r="A1993" s="0" t="str">
        <f aca="false">IF('הדבקת לידים'!A1993="","",IF(ISNUMBER('הדבקת לידים'!A1993),IF(הגדרות!$E$2&gt;0,TEXT('הדבקת לידים'!A1993,REPT("0",הגדרות!$E$2)),TEXT('הדבקת לידים'!A1993,"0")),TRIM('הדבקת לידים'!A1993)))</f>
        <v/>
      </c>
      <c r="B1993" s="0" t="str">
        <f aca="false">IF('הדבקת לידים'!B1993="","",IF(ISNUMBER('הדבקת לידים'!B1993),IF(הגדרות!$E$3&gt;0,TEXT('הדבקת לידים'!B1993,REPT("0",הגדרות!$E$3)),TEXT('הדבקת לידים'!B1993,"0")),TRIM('הדבקת לידים'!B1993)))</f>
        <v/>
      </c>
      <c r="C1993" s="0" t="n">
        <f aca="false">IF(OR(A1993&lt;&gt;"",B1993&lt;&gt;""),1,0)</f>
        <v>0</v>
      </c>
      <c r="D1993" s="0" t="str">
        <f aca="false">IF(C1993=1,MOD(ABS(SIN(ROW()*12.9898+'הדבקת לידים'!$F$2*78.233+IFERROR(--RIGHT(A1993,6),LEN(A1993))*0.0137+IFERROR(--RIGHT(B1993,6),LEN(B1993))*0.0071))*43758.5453,1),"")</f>
        <v/>
      </c>
      <c r="E1993" s="0" t="str">
        <f aca="false">IF(C1993=1,INT(MOD(ABS(SIN(D1993*7919.123+ROW()*0.618+'הדבקת לידים'!$F$2*1.3))*43758.5453,1)*1000000)*10000+ROW(),"")</f>
        <v/>
      </c>
      <c r="F1993" s="0" t="str">
        <f aca="false">IF(E1993="","",RANK(E1993,$E$2:$E$5001,1))</f>
        <v/>
      </c>
      <c r="G1993" s="0" t="n">
        <f aca="false">IF(A1993="",0,IF(SUMPRODUCT(--($A$2:$A$5001=A1993))&gt;1,1,0))</f>
        <v>0</v>
      </c>
      <c r="H1993" s="0" t="n">
        <f aca="false">ROW()-1</f>
        <v>1992</v>
      </c>
      <c r="I1993" s="0" t="str">
        <f aca="false">IF(OR(הגדרות!$E$6=0,H1993&gt;הגדרות!$E$5),"",IF(H1993-1&lt;הגדרות!$E$8*(הגדרות!$E$7+1),INT((H1993-1)/(הגדרות!$E$7+1)),הגדרות!$E$8+INT((H1993-1-הגדרות!$E$8*(הגדרות!$E$7+1))/הגדרות!$E$7)))</f>
        <v/>
      </c>
      <c r="J1993" s="0" t="str">
        <f aca="false">IF(I1993="","",IF(H1993-1&lt;הגדרות!$E$8*(הגדרות!$E$7+1),MOD(H1993-1,הגדרות!$E$7+1),MOD(H1993-1-הגדרות!$E$8*(הגדרות!$E$7+1),הגדרות!$E$7)))</f>
        <v/>
      </c>
      <c r="K1993" s="0" t="str">
        <f aca="false">IF(I1993="","",J1993*הגדרות!$E$6+I1993+1)</f>
        <v/>
      </c>
      <c r="L1993" s="0" t="str">
        <f aca="false">IF(K1993="","",MATCH(K1993,$F$2:$F$5001,0))</f>
        <v/>
      </c>
      <c r="M1993" s="0" t="str">
        <f aca="false">IF(I1993="","",INDEX(הגדרות!$A$2:$A$21,MOD(I1993+הגדרות!$E$9,הגדרות!$E$6)+1))</f>
        <v/>
      </c>
    </row>
    <row r="1994" customFormat="false" ht="15" hidden="false" customHeight="false" outlineLevel="0" collapsed="false">
      <c r="A1994" s="0" t="str">
        <f aca="false">IF('הדבקת לידים'!A1994="","",IF(ISNUMBER('הדבקת לידים'!A1994),IF(הגדרות!$E$2&gt;0,TEXT('הדבקת לידים'!A1994,REPT("0",הגדרות!$E$2)),TEXT('הדבקת לידים'!A1994,"0")),TRIM('הדבקת לידים'!A1994)))</f>
        <v/>
      </c>
      <c r="B1994" s="0" t="str">
        <f aca="false">IF('הדבקת לידים'!B1994="","",IF(ISNUMBER('הדבקת לידים'!B1994),IF(הגדרות!$E$3&gt;0,TEXT('הדבקת לידים'!B1994,REPT("0",הגדרות!$E$3)),TEXT('הדבקת לידים'!B1994,"0")),TRIM('הדבקת לידים'!B1994)))</f>
        <v/>
      </c>
      <c r="C1994" s="0" t="n">
        <f aca="false">IF(OR(A1994&lt;&gt;"",B1994&lt;&gt;""),1,0)</f>
        <v>0</v>
      </c>
      <c r="D1994" s="0" t="str">
        <f aca="false">IF(C1994=1,MOD(ABS(SIN(ROW()*12.9898+'הדבקת לידים'!$F$2*78.233+IFERROR(--RIGHT(A1994,6),LEN(A1994))*0.0137+IFERROR(--RIGHT(B1994,6),LEN(B1994))*0.0071))*43758.5453,1),"")</f>
        <v/>
      </c>
      <c r="E1994" s="0" t="str">
        <f aca="false">IF(C1994=1,INT(MOD(ABS(SIN(D1994*7919.123+ROW()*0.618+'הדבקת לידים'!$F$2*1.3))*43758.5453,1)*1000000)*10000+ROW(),"")</f>
        <v/>
      </c>
      <c r="F1994" s="0" t="str">
        <f aca="false">IF(E1994="","",RANK(E1994,$E$2:$E$5001,1))</f>
        <v/>
      </c>
      <c r="G1994" s="0" t="n">
        <f aca="false">IF(A1994="",0,IF(SUMPRODUCT(--($A$2:$A$5001=A1994))&gt;1,1,0))</f>
        <v>0</v>
      </c>
      <c r="H1994" s="0" t="n">
        <f aca="false">ROW()-1</f>
        <v>1993</v>
      </c>
      <c r="I1994" s="0" t="str">
        <f aca="false">IF(OR(הגדרות!$E$6=0,H1994&gt;הגדרות!$E$5),"",IF(H1994-1&lt;הגדרות!$E$8*(הגדרות!$E$7+1),INT((H1994-1)/(הגדרות!$E$7+1)),הגדרות!$E$8+INT((H1994-1-הגדרות!$E$8*(הגדרות!$E$7+1))/הגדרות!$E$7)))</f>
        <v/>
      </c>
      <c r="J1994" s="0" t="str">
        <f aca="false">IF(I1994="","",IF(H1994-1&lt;הגדרות!$E$8*(הגדרות!$E$7+1),MOD(H1994-1,הגדרות!$E$7+1),MOD(H1994-1-הגדרות!$E$8*(הגדרות!$E$7+1),הגדרות!$E$7)))</f>
        <v/>
      </c>
      <c r="K1994" s="0" t="str">
        <f aca="false">IF(I1994="","",J1994*הגדרות!$E$6+I1994+1)</f>
        <v/>
      </c>
      <c r="L1994" s="0" t="str">
        <f aca="false">IF(K1994="","",MATCH(K1994,$F$2:$F$5001,0))</f>
        <v/>
      </c>
      <c r="M1994" s="0" t="str">
        <f aca="false">IF(I1994="","",INDEX(הגדרות!$A$2:$A$21,MOD(I1994+הגדרות!$E$9,הגדרות!$E$6)+1))</f>
        <v/>
      </c>
    </row>
    <row r="1995" customFormat="false" ht="15" hidden="false" customHeight="false" outlineLevel="0" collapsed="false">
      <c r="A1995" s="0" t="str">
        <f aca="false">IF('הדבקת לידים'!A1995="","",IF(ISNUMBER('הדבקת לידים'!A1995),IF(הגדרות!$E$2&gt;0,TEXT('הדבקת לידים'!A1995,REPT("0",הגדרות!$E$2)),TEXT('הדבקת לידים'!A1995,"0")),TRIM('הדבקת לידים'!A1995)))</f>
        <v/>
      </c>
      <c r="B1995" s="0" t="str">
        <f aca="false">IF('הדבקת לידים'!B1995="","",IF(ISNUMBER('הדבקת לידים'!B1995),IF(הגדרות!$E$3&gt;0,TEXT('הדבקת לידים'!B1995,REPT("0",הגדרות!$E$3)),TEXT('הדבקת לידים'!B1995,"0")),TRIM('הדבקת לידים'!B1995)))</f>
        <v/>
      </c>
      <c r="C1995" s="0" t="n">
        <f aca="false">IF(OR(A1995&lt;&gt;"",B1995&lt;&gt;""),1,0)</f>
        <v>0</v>
      </c>
      <c r="D1995" s="0" t="str">
        <f aca="false">IF(C1995=1,MOD(ABS(SIN(ROW()*12.9898+'הדבקת לידים'!$F$2*78.233+IFERROR(--RIGHT(A1995,6),LEN(A1995))*0.0137+IFERROR(--RIGHT(B1995,6),LEN(B1995))*0.0071))*43758.5453,1),"")</f>
        <v/>
      </c>
      <c r="E1995" s="0" t="str">
        <f aca="false">IF(C1995=1,INT(MOD(ABS(SIN(D1995*7919.123+ROW()*0.618+'הדבקת לידים'!$F$2*1.3))*43758.5453,1)*1000000)*10000+ROW(),"")</f>
        <v/>
      </c>
      <c r="F1995" s="0" t="str">
        <f aca="false">IF(E1995="","",RANK(E1995,$E$2:$E$5001,1))</f>
        <v/>
      </c>
      <c r="G1995" s="0" t="n">
        <f aca="false">IF(A1995="",0,IF(SUMPRODUCT(--($A$2:$A$5001=A1995))&gt;1,1,0))</f>
        <v>0</v>
      </c>
      <c r="H1995" s="0" t="n">
        <f aca="false">ROW()-1</f>
        <v>1994</v>
      </c>
      <c r="I1995" s="0" t="str">
        <f aca="false">IF(OR(הגדרות!$E$6=0,H1995&gt;הגדרות!$E$5),"",IF(H1995-1&lt;הגדרות!$E$8*(הגדרות!$E$7+1),INT((H1995-1)/(הגדרות!$E$7+1)),הגדרות!$E$8+INT((H1995-1-הגדרות!$E$8*(הגדרות!$E$7+1))/הגדרות!$E$7)))</f>
        <v/>
      </c>
      <c r="J1995" s="0" t="str">
        <f aca="false">IF(I1995="","",IF(H1995-1&lt;הגדרות!$E$8*(הגדרות!$E$7+1),MOD(H1995-1,הגדרות!$E$7+1),MOD(H1995-1-הגדרות!$E$8*(הגדרות!$E$7+1),הגדרות!$E$7)))</f>
        <v/>
      </c>
      <c r="K1995" s="0" t="str">
        <f aca="false">IF(I1995="","",J1995*הגדרות!$E$6+I1995+1)</f>
        <v/>
      </c>
      <c r="L1995" s="0" t="str">
        <f aca="false">IF(K1995="","",MATCH(K1995,$F$2:$F$5001,0))</f>
        <v/>
      </c>
      <c r="M1995" s="0" t="str">
        <f aca="false">IF(I1995="","",INDEX(הגדרות!$A$2:$A$21,MOD(I1995+הגדרות!$E$9,הגדרות!$E$6)+1))</f>
        <v/>
      </c>
    </row>
    <row r="1996" customFormat="false" ht="15" hidden="false" customHeight="false" outlineLevel="0" collapsed="false">
      <c r="A1996" s="0" t="str">
        <f aca="false">IF('הדבקת לידים'!A1996="","",IF(ISNUMBER('הדבקת לידים'!A1996),IF(הגדרות!$E$2&gt;0,TEXT('הדבקת לידים'!A1996,REPT("0",הגדרות!$E$2)),TEXT('הדבקת לידים'!A1996,"0")),TRIM('הדבקת לידים'!A1996)))</f>
        <v/>
      </c>
      <c r="B1996" s="0" t="str">
        <f aca="false">IF('הדבקת לידים'!B1996="","",IF(ISNUMBER('הדבקת לידים'!B1996),IF(הגדרות!$E$3&gt;0,TEXT('הדבקת לידים'!B1996,REPT("0",הגדרות!$E$3)),TEXT('הדבקת לידים'!B1996,"0")),TRIM('הדבקת לידים'!B1996)))</f>
        <v/>
      </c>
      <c r="C1996" s="0" t="n">
        <f aca="false">IF(OR(A1996&lt;&gt;"",B1996&lt;&gt;""),1,0)</f>
        <v>0</v>
      </c>
      <c r="D1996" s="0" t="str">
        <f aca="false">IF(C1996=1,MOD(ABS(SIN(ROW()*12.9898+'הדבקת לידים'!$F$2*78.233+IFERROR(--RIGHT(A1996,6),LEN(A1996))*0.0137+IFERROR(--RIGHT(B1996,6),LEN(B1996))*0.0071))*43758.5453,1),"")</f>
        <v/>
      </c>
      <c r="E1996" s="0" t="str">
        <f aca="false">IF(C1996=1,INT(MOD(ABS(SIN(D1996*7919.123+ROW()*0.618+'הדבקת לידים'!$F$2*1.3))*43758.5453,1)*1000000)*10000+ROW(),"")</f>
        <v/>
      </c>
      <c r="F1996" s="0" t="str">
        <f aca="false">IF(E1996="","",RANK(E1996,$E$2:$E$5001,1))</f>
        <v/>
      </c>
      <c r="G1996" s="0" t="n">
        <f aca="false">IF(A1996="",0,IF(SUMPRODUCT(--($A$2:$A$5001=A1996))&gt;1,1,0))</f>
        <v>0</v>
      </c>
      <c r="H1996" s="0" t="n">
        <f aca="false">ROW()-1</f>
        <v>1995</v>
      </c>
      <c r="I1996" s="0" t="str">
        <f aca="false">IF(OR(הגדרות!$E$6=0,H1996&gt;הגדרות!$E$5),"",IF(H1996-1&lt;הגדרות!$E$8*(הגדרות!$E$7+1),INT((H1996-1)/(הגדרות!$E$7+1)),הגדרות!$E$8+INT((H1996-1-הגדרות!$E$8*(הגדרות!$E$7+1))/הגדרות!$E$7)))</f>
        <v/>
      </c>
      <c r="J1996" s="0" t="str">
        <f aca="false">IF(I1996="","",IF(H1996-1&lt;הגדרות!$E$8*(הגדרות!$E$7+1),MOD(H1996-1,הגדרות!$E$7+1),MOD(H1996-1-הגדרות!$E$8*(הגדרות!$E$7+1),הגדרות!$E$7)))</f>
        <v/>
      </c>
      <c r="K1996" s="0" t="str">
        <f aca="false">IF(I1996="","",J1996*הגדרות!$E$6+I1996+1)</f>
        <v/>
      </c>
      <c r="L1996" s="0" t="str">
        <f aca="false">IF(K1996="","",MATCH(K1996,$F$2:$F$5001,0))</f>
        <v/>
      </c>
      <c r="M1996" s="0" t="str">
        <f aca="false">IF(I1996="","",INDEX(הגדרות!$A$2:$A$21,MOD(I1996+הגדרות!$E$9,הגדרות!$E$6)+1))</f>
        <v/>
      </c>
    </row>
    <row r="1997" customFormat="false" ht="15" hidden="false" customHeight="false" outlineLevel="0" collapsed="false">
      <c r="A1997" s="0" t="str">
        <f aca="false">IF('הדבקת לידים'!A1997="","",IF(ISNUMBER('הדבקת לידים'!A1997),IF(הגדרות!$E$2&gt;0,TEXT('הדבקת לידים'!A1997,REPT("0",הגדרות!$E$2)),TEXT('הדבקת לידים'!A1997,"0")),TRIM('הדבקת לידים'!A1997)))</f>
        <v/>
      </c>
      <c r="B1997" s="0" t="str">
        <f aca="false">IF('הדבקת לידים'!B1997="","",IF(ISNUMBER('הדבקת לידים'!B1997),IF(הגדרות!$E$3&gt;0,TEXT('הדבקת לידים'!B1997,REPT("0",הגדרות!$E$3)),TEXT('הדבקת לידים'!B1997,"0")),TRIM('הדבקת לידים'!B1997)))</f>
        <v/>
      </c>
      <c r="C1997" s="0" t="n">
        <f aca="false">IF(OR(A1997&lt;&gt;"",B1997&lt;&gt;""),1,0)</f>
        <v>0</v>
      </c>
      <c r="D1997" s="0" t="str">
        <f aca="false">IF(C1997=1,MOD(ABS(SIN(ROW()*12.9898+'הדבקת לידים'!$F$2*78.233+IFERROR(--RIGHT(A1997,6),LEN(A1997))*0.0137+IFERROR(--RIGHT(B1997,6),LEN(B1997))*0.0071))*43758.5453,1),"")</f>
        <v/>
      </c>
      <c r="E1997" s="0" t="str">
        <f aca="false">IF(C1997=1,INT(MOD(ABS(SIN(D1997*7919.123+ROW()*0.618+'הדבקת לידים'!$F$2*1.3))*43758.5453,1)*1000000)*10000+ROW(),"")</f>
        <v/>
      </c>
      <c r="F1997" s="0" t="str">
        <f aca="false">IF(E1997="","",RANK(E1997,$E$2:$E$5001,1))</f>
        <v/>
      </c>
      <c r="G1997" s="0" t="n">
        <f aca="false">IF(A1997="",0,IF(SUMPRODUCT(--($A$2:$A$5001=A1997))&gt;1,1,0))</f>
        <v>0</v>
      </c>
      <c r="H1997" s="0" t="n">
        <f aca="false">ROW()-1</f>
        <v>1996</v>
      </c>
      <c r="I1997" s="0" t="str">
        <f aca="false">IF(OR(הגדרות!$E$6=0,H1997&gt;הגדרות!$E$5),"",IF(H1997-1&lt;הגדרות!$E$8*(הגדרות!$E$7+1),INT((H1997-1)/(הגדרות!$E$7+1)),הגדרות!$E$8+INT((H1997-1-הגדרות!$E$8*(הגדרות!$E$7+1))/הגדרות!$E$7)))</f>
        <v/>
      </c>
      <c r="J1997" s="0" t="str">
        <f aca="false">IF(I1997="","",IF(H1997-1&lt;הגדרות!$E$8*(הגדרות!$E$7+1),MOD(H1997-1,הגדרות!$E$7+1),MOD(H1997-1-הגדרות!$E$8*(הגדרות!$E$7+1),הגדרות!$E$7)))</f>
        <v/>
      </c>
      <c r="K1997" s="0" t="str">
        <f aca="false">IF(I1997="","",J1997*הגדרות!$E$6+I1997+1)</f>
        <v/>
      </c>
      <c r="L1997" s="0" t="str">
        <f aca="false">IF(K1997="","",MATCH(K1997,$F$2:$F$5001,0))</f>
        <v/>
      </c>
      <c r="M1997" s="0" t="str">
        <f aca="false">IF(I1997="","",INDEX(הגדרות!$A$2:$A$21,MOD(I1997+הגדרות!$E$9,הגדרות!$E$6)+1))</f>
        <v/>
      </c>
    </row>
    <row r="1998" customFormat="false" ht="15" hidden="false" customHeight="false" outlineLevel="0" collapsed="false">
      <c r="A1998" s="0" t="str">
        <f aca="false">IF('הדבקת לידים'!A1998="","",IF(ISNUMBER('הדבקת לידים'!A1998),IF(הגדרות!$E$2&gt;0,TEXT('הדבקת לידים'!A1998,REPT("0",הגדרות!$E$2)),TEXT('הדבקת לידים'!A1998,"0")),TRIM('הדבקת לידים'!A1998)))</f>
        <v/>
      </c>
      <c r="B1998" s="0" t="str">
        <f aca="false">IF('הדבקת לידים'!B1998="","",IF(ISNUMBER('הדבקת לידים'!B1998),IF(הגדרות!$E$3&gt;0,TEXT('הדבקת לידים'!B1998,REPT("0",הגדרות!$E$3)),TEXT('הדבקת לידים'!B1998,"0")),TRIM('הדבקת לידים'!B1998)))</f>
        <v/>
      </c>
      <c r="C1998" s="0" t="n">
        <f aca="false">IF(OR(A1998&lt;&gt;"",B1998&lt;&gt;""),1,0)</f>
        <v>0</v>
      </c>
      <c r="D1998" s="0" t="str">
        <f aca="false">IF(C1998=1,MOD(ABS(SIN(ROW()*12.9898+'הדבקת לידים'!$F$2*78.233+IFERROR(--RIGHT(A1998,6),LEN(A1998))*0.0137+IFERROR(--RIGHT(B1998,6),LEN(B1998))*0.0071))*43758.5453,1),"")</f>
        <v/>
      </c>
      <c r="E1998" s="0" t="str">
        <f aca="false">IF(C1998=1,INT(MOD(ABS(SIN(D1998*7919.123+ROW()*0.618+'הדבקת לידים'!$F$2*1.3))*43758.5453,1)*1000000)*10000+ROW(),"")</f>
        <v/>
      </c>
      <c r="F1998" s="0" t="str">
        <f aca="false">IF(E1998="","",RANK(E1998,$E$2:$E$5001,1))</f>
        <v/>
      </c>
      <c r="G1998" s="0" t="n">
        <f aca="false">IF(A1998="",0,IF(SUMPRODUCT(--($A$2:$A$5001=A1998))&gt;1,1,0))</f>
        <v>0</v>
      </c>
      <c r="H1998" s="0" t="n">
        <f aca="false">ROW()-1</f>
        <v>1997</v>
      </c>
      <c r="I1998" s="0" t="str">
        <f aca="false">IF(OR(הגדרות!$E$6=0,H1998&gt;הגדרות!$E$5),"",IF(H1998-1&lt;הגדרות!$E$8*(הגדרות!$E$7+1),INT((H1998-1)/(הגדרות!$E$7+1)),הגדרות!$E$8+INT((H1998-1-הגדרות!$E$8*(הגדרות!$E$7+1))/הגדרות!$E$7)))</f>
        <v/>
      </c>
      <c r="J1998" s="0" t="str">
        <f aca="false">IF(I1998="","",IF(H1998-1&lt;הגדרות!$E$8*(הגדרות!$E$7+1),MOD(H1998-1,הגדרות!$E$7+1),MOD(H1998-1-הגדרות!$E$8*(הגדרות!$E$7+1),הגדרות!$E$7)))</f>
        <v/>
      </c>
      <c r="K1998" s="0" t="str">
        <f aca="false">IF(I1998="","",J1998*הגדרות!$E$6+I1998+1)</f>
        <v/>
      </c>
      <c r="L1998" s="0" t="str">
        <f aca="false">IF(K1998="","",MATCH(K1998,$F$2:$F$5001,0))</f>
        <v/>
      </c>
      <c r="M1998" s="0" t="str">
        <f aca="false">IF(I1998="","",INDEX(הגדרות!$A$2:$A$21,MOD(I1998+הגדרות!$E$9,הגדרות!$E$6)+1))</f>
        <v/>
      </c>
    </row>
    <row r="1999" customFormat="false" ht="15" hidden="false" customHeight="false" outlineLevel="0" collapsed="false">
      <c r="A1999" s="0" t="str">
        <f aca="false">IF('הדבקת לידים'!A1999="","",IF(ISNUMBER('הדבקת לידים'!A1999),IF(הגדרות!$E$2&gt;0,TEXT('הדבקת לידים'!A1999,REPT("0",הגדרות!$E$2)),TEXT('הדבקת לידים'!A1999,"0")),TRIM('הדבקת לידים'!A1999)))</f>
        <v/>
      </c>
      <c r="B1999" s="0" t="str">
        <f aca="false">IF('הדבקת לידים'!B1999="","",IF(ISNUMBER('הדבקת לידים'!B1999),IF(הגדרות!$E$3&gt;0,TEXT('הדבקת לידים'!B1999,REPT("0",הגדרות!$E$3)),TEXT('הדבקת לידים'!B1999,"0")),TRIM('הדבקת לידים'!B1999)))</f>
        <v/>
      </c>
      <c r="C1999" s="0" t="n">
        <f aca="false">IF(OR(A1999&lt;&gt;"",B1999&lt;&gt;""),1,0)</f>
        <v>0</v>
      </c>
      <c r="D1999" s="0" t="str">
        <f aca="false">IF(C1999=1,MOD(ABS(SIN(ROW()*12.9898+'הדבקת לידים'!$F$2*78.233+IFERROR(--RIGHT(A1999,6),LEN(A1999))*0.0137+IFERROR(--RIGHT(B1999,6),LEN(B1999))*0.0071))*43758.5453,1),"")</f>
        <v/>
      </c>
      <c r="E1999" s="0" t="str">
        <f aca="false">IF(C1999=1,INT(MOD(ABS(SIN(D1999*7919.123+ROW()*0.618+'הדבקת לידים'!$F$2*1.3))*43758.5453,1)*1000000)*10000+ROW(),"")</f>
        <v/>
      </c>
      <c r="F1999" s="0" t="str">
        <f aca="false">IF(E1999="","",RANK(E1999,$E$2:$E$5001,1))</f>
        <v/>
      </c>
      <c r="G1999" s="0" t="n">
        <f aca="false">IF(A1999="",0,IF(SUMPRODUCT(--($A$2:$A$5001=A1999))&gt;1,1,0))</f>
        <v>0</v>
      </c>
      <c r="H1999" s="0" t="n">
        <f aca="false">ROW()-1</f>
        <v>1998</v>
      </c>
      <c r="I1999" s="0" t="str">
        <f aca="false">IF(OR(הגדרות!$E$6=0,H1999&gt;הגדרות!$E$5),"",IF(H1999-1&lt;הגדרות!$E$8*(הגדרות!$E$7+1),INT((H1999-1)/(הגדרות!$E$7+1)),הגדרות!$E$8+INT((H1999-1-הגדרות!$E$8*(הגדרות!$E$7+1))/הגדרות!$E$7)))</f>
        <v/>
      </c>
      <c r="J1999" s="0" t="str">
        <f aca="false">IF(I1999="","",IF(H1999-1&lt;הגדרות!$E$8*(הגדרות!$E$7+1),MOD(H1999-1,הגדרות!$E$7+1),MOD(H1999-1-הגדרות!$E$8*(הגדרות!$E$7+1),הגדרות!$E$7)))</f>
        <v/>
      </c>
      <c r="K1999" s="0" t="str">
        <f aca="false">IF(I1999="","",J1999*הגדרות!$E$6+I1999+1)</f>
        <v/>
      </c>
      <c r="L1999" s="0" t="str">
        <f aca="false">IF(K1999="","",MATCH(K1999,$F$2:$F$5001,0))</f>
        <v/>
      </c>
      <c r="M1999" s="0" t="str">
        <f aca="false">IF(I1999="","",INDEX(הגדרות!$A$2:$A$21,MOD(I1999+הגדרות!$E$9,הגדרות!$E$6)+1))</f>
        <v/>
      </c>
    </row>
    <row r="2000" customFormat="false" ht="15" hidden="false" customHeight="false" outlineLevel="0" collapsed="false">
      <c r="A2000" s="0" t="str">
        <f aca="false">IF('הדבקת לידים'!A2000="","",IF(ISNUMBER('הדבקת לידים'!A2000),IF(הגדרות!$E$2&gt;0,TEXT('הדבקת לידים'!A2000,REPT("0",הגדרות!$E$2)),TEXT('הדבקת לידים'!A2000,"0")),TRIM('הדבקת לידים'!A2000)))</f>
        <v/>
      </c>
      <c r="B2000" s="0" t="str">
        <f aca="false">IF('הדבקת לידים'!B2000="","",IF(ISNUMBER('הדבקת לידים'!B2000),IF(הגדרות!$E$3&gt;0,TEXT('הדבקת לידים'!B2000,REPT("0",הגדרות!$E$3)),TEXT('הדבקת לידים'!B2000,"0")),TRIM('הדבקת לידים'!B2000)))</f>
        <v/>
      </c>
      <c r="C2000" s="0" t="n">
        <f aca="false">IF(OR(A2000&lt;&gt;"",B2000&lt;&gt;""),1,0)</f>
        <v>0</v>
      </c>
      <c r="D2000" s="0" t="str">
        <f aca="false">IF(C2000=1,MOD(ABS(SIN(ROW()*12.9898+'הדבקת לידים'!$F$2*78.233+IFERROR(--RIGHT(A2000,6),LEN(A2000))*0.0137+IFERROR(--RIGHT(B2000,6),LEN(B2000))*0.0071))*43758.5453,1),"")</f>
        <v/>
      </c>
      <c r="E2000" s="0" t="str">
        <f aca="false">IF(C2000=1,INT(MOD(ABS(SIN(D2000*7919.123+ROW()*0.618+'הדבקת לידים'!$F$2*1.3))*43758.5453,1)*1000000)*10000+ROW(),"")</f>
        <v/>
      </c>
      <c r="F2000" s="0" t="str">
        <f aca="false">IF(E2000="","",RANK(E2000,$E$2:$E$5001,1))</f>
        <v/>
      </c>
      <c r="G2000" s="0" t="n">
        <f aca="false">IF(A2000="",0,IF(SUMPRODUCT(--($A$2:$A$5001=A2000))&gt;1,1,0))</f>
        <v>0</v>
      </c>
      <c r="H2000" s="0" t="n">
        <f aca="false">ROW()-1</f>
        <v>1999</v>
      </c>
      <c r="I2000" s="0" t="str">
        <f aca="false">IF(OR(הגדרות!$E$6=0,H2000&gt;הגדרות!$E$5),"",IF(H2000-1&lt;הגדרות!$E$8*(הגדרות!$E$7+1),INT((H2000-1)/(הגדרות!$E$7+1)),הגדרות!$E$8+INT((H2000-1-הגדרות!$E$8*(הגדרות!$E$7+1))/הגדרות!$E$7)))</f>
        <v/>
      </c>
      <c r="J2000" s="0" t="str">
        <f aca="false">IF(I2000="","",IF(H2000-1&lt;הגדרות!$E$8*(הגדרות!$E$7+1),MOD(H2000-1,הגדרות!$E$7+1),MOD(H2000-1-הגדרות!$E$8*(הגדרות!$E$7+1),הגדרות!$E$7)))</f>
        <v/>
      </c>
      <c r="K2000" s="0" t="str">
        <f aca="false">IF(I2000="","",J2000*הגדרות!$E$6+I2000+1)</f>
        <v/>
      </c>
      <c r="L2000" s="0" t="str">
        <f aca="false">IF(K2000="","",MATCH(K2000,$F$2:$F$5001,0))</f>
        <v/>
      </c>
      <c r="M2000" s="0" t="str">
        <f aca="false">IF(I2000="","",INDEX(הגדרות!$A$2:$A$21,MOD(I2000+הגדרות!$E$9,הגדרות!$E$6)+1))</f>
        <v/>
      </c>
    </row>
    <row r="2001" customFormat="false" ht="15" hidden="false" customHeight="false" outlineLevel="0" collapsed="false">
      <c r="A2001" s="0" t="str">
        <f aca="false">IF('הדבקת לידים'!A2001="","",IF(ISNUMBER('הדבקת לידים'!A2001),IF(הגדרות!$E$2&gt;0,TEXT('הדבקת לידים'!A2001,REPT("0",הגדרות!$E$2)),TEXT('הדבקת לידים'!A2001,"0")),TRIM('הדבקת לידים'!A2001)))</f>
        <v/>
      </c>
      <c r="B2001" s="0" t="str">
        <f aca="false">IF('הדבקת לידים'!B2001="","",IF(ISNUMBER('הדבקת לידים'!B2001),IF(הגדרות!$E$3&gt;0,TEXT('הדבקת לידים'!B2001,REPT("0",הגדרות!$E$3)),TEXT('הדבקת לידים'!B2001,"0")),TRIM('הדבקת לידים'!B2001)))</f>
        <v/>
      </c>
      <c r="C2001" s="0" t="n">
        <f aca="false">IF(OR(A2001&lt;&gt;"",B2001&lt;&gt;""),1,0)</f>
        <v>0</v>
      </c>
      <c r="D2001" s="0" t="str">
        <f aca="false">IF(C2001=1,MOD(ABS(SIN(ROW()*12.9898+'הדבקת לידים'!$F$2*78.233+IFERROR(--RIGHT(A2001,6),LEN(A2001))*0.0137+IFERROR(--RIGHT(B2001,6),LEN(B2001))*0.0071))*43758.5453,1),"")</f>
        <v/>
      </c>
      <c r="E2001" s="0" t="str">
        <f aca="false">IF(C2001=1,INT(MOD(ABS(SIN(D2001*7919.123+ROW()*0.618+'הדבקת לידים'!$F$2*1.3))*43758.5453,1)*1000000)*10000+ROW(),"")</f>
        <v/>
      </c>
      <c r="F2001" s="0" t="str">
        <f aca="false">IF(E2001="","",RANK(E2001,$E$2:$E$5001,1))</f>
        <v/>
      </c>
      <c r="G2001" s="0" t="n">
        <f aca="false">IF(A2001="",0,IF(SUMPRODUCT(--($A$2:$A$5001=A2001))&gt;1,1,0))</f>
        <v>0</v>
      </c>
      <c r="H2001" s="0" t="n">
        <f aca="false">ROW()-1</f>
        <v>2000</v>
      </c>
      <c r="I2001" s="0" t="str">
        <f aca="false">IF(OR(הגדרות!$E$6=0,H2001&gt;הגדרות!$E$5),"",IF(H2001-1&lt;הגדרות!$E$8*(הגדרות!$E$7+1),INT((H2001-1)/(הגדרות!$E$7+1)),הגדרות!$E$8+INT((H2001-1-הגדרות!$E$8*(הגדרות!$E$7+1))/הגדרות!$E$7)))</f>
        <v/>
      </c>
      <c r="J2001" s="0" t="str">
        <f aca="false">IF(I2001="","",IF(H2001-1&lt;הגדרות!$E$8*(הגדרות!$E$7+1),MOD(H2001-1,הגדרות!$E$7+1),MOD(H2001-1-הגדרות!$E$8*(הגדרות!$E$7+1),הגדרות!$E$7)))</f>
        <v/>
      </c>
      <c r="K2001" s="0" t="str">
        <f aca="false">IF(I2001="","",J2001*הגדרות!$E$6+I2001+1)</f>
        <v/>
      </c>
      <c r="L2001" s="0" t="str">
        <f aca="false">IF(K2001="","",MATCH(K2001,$F$2:$F$5001,0))</f>
        <v/>
      </c>
      <c r="M2001" s="0" t="str">
        <f aca="false">IF(I2001="","",INDEX(הגדרות!$A$2:$A$21,MOD(I2001+הגדרות!$E$9,הגדרות!$E$6)+1))</f>
        <v/>
      </c>
    </row>
    <row r="2002" customFormat="false" ht="15" hidden="false" customHeight="false" outlineLevel="0" collapsed="false">
      <c r="A2002" s="0" t="str">
        <f aca="false">IF('הדבקת לידים'!A2002="","",IF(ISNUMBER('הדבקת לידים'!A2002),IF(הגדרות!$E$2&gt;0,TEXT('הדבקת לידים'!A2002,REPT("0",הגדרות!$E$2)),TEXT('הדבקת לידים'!A2002,"0")),TRIM('הדבקת לידים'!A2002)))</f>
        <v/>
      </c>
      <c r="B2002" s="0" t="str">
        <f aca="false">IF('הדבקת לידים'!B2002="","",IF(ISNUMBER('הדבקת לידים'!B2002),IF(הגדרות!$E$3&gt;0,TEXT('הדבקת לידים'!B2002,REPT("0",הגדרות!$E$3)),TEXT('הדבקת לידים'!B2002,"0")),TRIM('הדבקת לידים'!B2002)))</f>
        <v/>
      </c>
      <c r="C2002" s="0" t="n">
        <f aca="false">IF(OR(A2002&lt;&gt;"",B2002&lt;&gt;""),1,0)</f>
        <v>0</v>
      </c>
      <c r="D2002" s="0" t="str">
        <f aca="false">IF(C2002=1,MOD(ABS(SIN(ROW()*12.9898+'הדבקת לידים'!$F$2*78.233+IFERROR(--RIGHT(A2002,6),LEN(A2002))*0.0137+IFERROR(--RIGHT(B2002,6),LEN(B2002))*0.0071))*43758.5453,1),"")</f>
        <v/>
      </c>
      <c r="E2002" s="0" t="str">
        <f aca="false">IF(C2002=1,INT(MOD(ABS(SIN(D2002*7919.123+ROW()*0.618+'הדבקת לידים'!$F$2*1.3))*43758.5453,1)*1000000)*10000+ROW(),"")</f>
        <v/>
      </c>
      <c r="F2002" s="0" t="str">
        <f aca="false">IF(E2002="","",RANK(E2002,$E$2:$E$5001,1))</f>
        <v/>
      </c>
      <c r="G2002" s="0" t="n">
        <f aca="false">IF(A2002="",0,IF(SUMPRODUCT(--($A$2:$A$5001=A2002))&gt;1,1,0))</f>
        <v>0</v>
      </c>
      <c r="H2002" s="0" t="n">
        <f aca="false">ROW()-1</f>
        <v>2001</v>
      </c>
      <c r="I2002" s="0" t="str">
        <f aca="false">IF(OR(הגדרות!$E$6=0,H2002&gt;הגדרות!$E$5),"",IF(H2002-1&lt;הגדרות!$E$8*(הגדרות!$E$7+1),INT((H2002-1)/(הגדרות!$E$7+1)),הגדרות!$E$8+INT((H2002-1-הגדרות!$E$8*(הגדרות!$E$7+1))/הגדרות!$E$7)))</f>
        <v/>
      </c>
      <c r="J2002" s="0" t="str">
        <f aca="false">IF(I2002="","",IF(H2002-1&lt;הגדרות!$E$8*(הגדרות!$E$7+1),MOD(H2002-1,הגדרות!$E$7+1),MOD(H2002-1-הגדרות!$E$8*(הגדרות!$E$7+1),הגדרות!$E$7)))</f>
        <v/>
      </c>
      <c r="K2002" s="0" t="str">
        <f aca="false">IF(I2002="","",J2002*הגדרות!$E$6+I2002+1)</f>
        <v/>
      </c>
      <c r="L2002" s="0" t="str">
        <f aca="false">IF(K2002="","",MATCH(K2002,$F$2:$F$5001,0))</f>
        <v/>
      </c>
      <c r="M2002" s="0" t="str">
        <f aca="false">IF(I2002="","",INDEX(הגדרות!$A$2:$A$21,MOD(I2002+הגדרות!$E$9,הגדרות!$E$6)+1))</f>
        <v/>
      </c>
    </row>
    <row r="2003" customFormat="false" ht="15" hidden="false" customHeight="false" outlineLevel="0" collapsed="false">
      <c r="A2003" s="0" t="str">
        <f aca="false">IF('הדבקת לידים'!A2003="","",IF(ISNUMBER('הדבקת לידים'!A2003),IF(הגדרות!$E$2&gt;0,TEXT('הדבקת לידים'!A2003,REPT("0",הגדרות!$E$2)),TEXT('הדבקת לידים'!A2003,"0")),TRIM('הדבקת לידים'!A2003)))</f>
        <v/>
      </c>
      <c r="B2003" s="0" t="str">
        <f aca="false">IF('הדבקת לידים'!B2003="","",IF(ISNUMBER('הדבקת לידים'!B2003),IF(הגדרות!$E$3&gt;0,TEXT('הדבקת לידים'!B2003,REPT("0",הגדרות!$E$3)),TEXT('הדבקת לידים'!B2003,"0")),TRIM('הדבקת לידים'!B2003)))</f>
        <v/>
      </c>
      <c r="C2003" s="0" t="n">
        <f aca="false">IF(OR(A2003&lt;&gt;"",B2003&lt;&gt;""),1,0)</f>
        <v>0</v>
      </c>
      <c r="D2003" s="0" t="str">
        <f aca="false">IF(C2003=1,MOD(ABS(SIN(ROW()*12.9898+'הדבקת לידים'!$F$2*78.233+IFERROR(--RIGHT(A2003,6),LEN(A2003))*0.0137+IFERROR(--RIGHT(B2003,6),LEN(B2003))*0.0071))*43758.5453,1),"")</f>
        <v/>
      </c>
      <c r="E2003" s="0" t="str">
        <f aca="false">IF(C2003=1,INT(MOD(ABS(SIN(D2003*7919.123+ROW()*0.618+'הדבקת לידים'!$F$2*1.3))*43758.5453,1)*1000000)*10000+ROW(),"")</f>
        <v/>
      </c>
      <c r="F2003" s="0" t="str">
        <f aca="false">IF(E2003="","",RANK(E2003,$E$2:$E$5001,1))</f>
        <v/>
      </c>
      <c r="G2003" s="0" t="n">
        <f aca="false">IF(A2003="",0,IF(SUMPRODUCT(--($A$2:$A$5001=A2003))&gt;1,1,0))</f>
        <v>0</v>
      </c>
      <c r="H2003" s="0" t="n">
        <f aca="false">ROW()-1</f>
        <v>2002</v>
      </c>
      <c r="I2003" s="0" t="str">
        <f aca="false">IF(OR(הגדרות!$E$6=0,H2003&gt;הגדרות!$E$5),"",IF(H2003-1&lt;הגדרות!$E$8*(הגדרות!$E$7+1),INT((H2003-1)/(הגדרות!$E$7+1)),הגדרות!$E$8+INT((H2003-1-הגדרות!$E$8*(הגדרות!$E$7+1))/הגדרות!$E$7)))</f>
        <v/>
      </c>
      <c r="J2003" s="0" t="str">
        <f aca="false">IF(I2003="","",IF(H2003-1&lt;הגדרות!$E$8*(הגדרות!$E$7+1),MOD(H2003-1,הגדרות!$E$7+1),MOD(H2003-1-הגדרות!$E$8*(הגדרות!$E$7+1),הגדרות!$E$7)))</f>
        <v/>
      </c>
      <c r="K2003" s="0" t="str">
        <f aca="false">IF(I2003="","",J2003*הגדרות!$E$6+I2003+1)</f>
        <v/>
      </c>
      <c r="L2003" s="0" t="str">
        <f aca="false">IF(K2003="","",MATCH(K2003,$F$2:$F$5001,0))</f>
        <v/>
      </c>
      <c r="M2003" s="0" t="str">
        <f aca="false">IF(I2003="","",INDEX(הגדרות!$A$2:$A$21,MOD(I2003+הגדרות!$E$9,הגדרות!$E$6)+1))</f>
        <v/>
      </c>
    </row>
    <row r="2004" customFormat="false" ht="15" hidden="false" customHeight="false" outlineLevel="0" collapsed="false">
      <c r="A2004" s="0" t="str">
        <f aca="false">IF('הדבקת לידים'!A2004="","",IF(ISNUMBER('הדבקת לידים'!A2004),IF(הגדרות!$E$2&gt;0,TEXT('הדבקת לידים'!A2004,REPT("0",הגדרות!$E$2)),TEXT('הדבקת לידים'!A2004,"0")),TRIM('הדבקת לידים'!A2004)))</f>
        <v/>
      </c>
      <c r="B2004" s="0" t="str">
        <f aca="false">IF('הדבקת לידים'!B2004="","",IF(ISNUMBER('הדבקת לידים'!B2004),IF(הגדרות!$E$3&gt;0,TEXT('הדבקת לידים'!B2004,REPT("0",הגדרות!$E$3)),TEXT('הדבקת לידים'!B2004,"0")),TRIM('הדבקת לידים'!B2004)))</f>
        <v/>
      </c>
      <c r="C2004" s="0" t="n">
        <f aca="false">IF(OR(A2004&lt;&gt;"",B2004&lt;&gt;""),1,0)</f>
        <v>0</v>
      </c>
      <c r="D2004" s="0" t="str">
        <f aca="false">IF(C2004=1,MOD(ABS(SIN(ROW()*12.9898+'הדבקת לידים'!$F$2*78.233+IFERROR(--RIGHT(A2004,6),LEN(A2004))*0.0137+IFERROR(--RIGHT(B2004,6),LEN(B2004))*0.0071))*43758.5453,1),"")</f>
        <v/>
      </c>
      <c r="E2004" s="0" t="str">
        <f aca="false">IF(C2004=1,INT(MOD(ABS(SIN(D2004*7919.123+ROW()*0.618+'הדבקת לידים'!$F$2*1.3))*43758.5453,1)*1000000)*10000+ROW(),"")</f>
        <v/>
      </c>
      <c r="F2004" s="0" t="str">
        <f aca="false">IF(E2004="","",RANK(E2004,$E$2:$E$5001,1))</f>
        <v/>
      </c>
      <c r="G2004" s="0" t="n">
        <f aca="false">IF(A2004="",0,IF(SUMPRODUCT(--($A$2:$A$5001=A2004))&gt;1,1,0))</f>
        <v>0</v>
      </c>
      <c r="H2004" s="0" t="n">
        <f aca="false">ROW()-1</f>
        <v>2003</v>
      </c>
      <c r="I2004" s="0" t="str">
        <f aca="false">IF(OR(הגדרות!$E$6=0,H2004&gt;הגדרות!$E$5),"",IF(H2004-1&lt;הגדרות!$E$8*(הגדרות!$E$7+1),INT((H2004-1)/(הגדרות!$E$7+1)),הגדרות!$E$8+INT((H2004-1-הגדרות!$E$8*(הגדרות!$E$7+1))/הגדרות!$E$7)))</f>
        <v/>
      </c>
      <c r="J2004" s="0" t="str">
        <f aca="false">IF(I2004="","",IF(H2004-1&lt;הגדרות!$E$8*(הגדרות!$E$7+1),MOD(H2004-1,הגדרות!$E$7+1),MOD(H2004-1-הגדרות!$E$8*(הגדרות!$E$7+1),הגדרות!$E$7)))</f>
        <v/>
      </c>
      <c r="K2004" s="0" t="str">
        <f aca="false">IF(I2004="","",J2004*הגדרות!$E$6+I2004+1)</f>
        <v/>
      </c>
      <c r="L2004" s="0" t="str">
        <f aca="false">IF(K2004="","",MATCH(K2004,$F$2:$F$5001,0))</f>
        <v/>
      </c>
      <c r="M2004" s="0" t="str">
        <f aca="false">IF(I2004="","",INDEX(הגדרות!$A$2:$A$21,MOD(I2004+הגדרות!$E$9,הגדרות!$E$6)+1))</f>
        <v/>
      </c>
    </row>
    <row r="2005" customFormat="false" ht="15" hidden="false" customHeight="false" outlineLevel="0" collapsed="false">
      <c r="A2005" s="0" t="str">
        <f aca="false">IF('הדבקת לידים'!A2005="","",IF(ISNUMBER('הדבקת לידים'!A2005),IF(הגדרות!$E$2&gt;0,TEXT('הדבקת לידים'!A2005,REPT("0",הגדרות!$E$2)),TEXT('הדבקת לידים'!A2005,"0")),TRIM('הדבקת לידים'!A2005)))</f>
        <v/>
      </c>
      <c r="B2005" s="0" t="str">
        <f aca="false">IF('הדבקת לידים'!B2005="","",IF(ISNUMBER('הדבקת לידים'!B2005),IF(הגדרות!$E$3&gt;0,TEXT('הדבקת לידים'!B2005,REPT("0",הגדרות!$E$3)),TEXT('הדבקת לידים'!B2005,"0")),TRIM('הדבקת לידים'!B2005)))</f>
        <v/>
      </c>
      <c r="C2005" s="0" t="n">
        <f aca="false">IF(OR(A2005&lt;&gt;"",B2005&lt;&gt;""),1,0)</f>
        <v>0</v>
      </c>
      <c r="D2005" s="0" t="str">
        <f aca="false">IF(C2005=1,MOD(ABS(SIN(ROW()*12.9898+'הדבקת לידים'!$F$2*78.233+IFERROR(--RIGHT(A2005,6),LEN(A2005))*0.0137+IFERROR(--RIGHT(B2005,6),LEN(B2005))*0.0071))*43758.5453,1),"")</f>
        <v/>
      </c>
      <c r="E2005" s="0" t="str">
        <f aca="false">IF(C2005=1,INT(MOD(ABS(SIN(D2005*7919.123+ROW()*0.618+'הדבקת לידים'!$F$2*1.3))*43758.5453,1)*1000000)*10000+ROW(),"")</f>
        <v/>
      </c>
      <c r="F2005" s="0" t="str">
        <f aca="false">IF(E2005="","",RANK(E2005,$E$2:$E$5001,1))</f>
        <v/>
      </c>
      <c r="G2005" s="0" t="n">
        <f aca="false">IF(A2005="",0,IF(SUMPRODUCT(--($A$2:$A$5001=A2005))&gt;1,1,0))</f>
        <v>0</v>
      </c>
      <c r="H2005" s="0" t="n">
        <f aca="false">ROW()-1</f>
        <v>2004</v>
      </c>
      <c r="I2005" s="0" t="str">
        <f aca="false">IF(OR(הגדרות!$E$6=0,H2005&gt;הגדרות!$E$5),"",IF(H2005-1&lt;הגדרות!$E$8*(הגדרות!$E$7+1),INT((H2005-1)/(הגדרות!$E$7+1)),הגדרות!$E$8+INT((H2005-1-הגדרות!$E$8*(הגדרות!$E$7+1))/הגדרות!$E$7)))</f>
        <v/>
      </c>
      <c r="J2005" s="0" t="str">
        <f aca="false">IF(I2005="","",IF(H2005-1&lt;הגדרות!$E$8*(הגדרות!$E$7+1),MOD(H2005-1,הגדרות!$E$7+1),MOD(H2005-1-הגדרות!$E$8*(הגדרות!$E$7+1),הגדרות!$E$7)))</f>
        <v/>
      </c>
      <c r="K2005" s="0" t="str">
        <f aca="false">IF(I2005="","",J2005*הגדרות!$E$6+I2005+1)</f>
        <v/>
      </c>
      <c r="L2005" s="0" t="str">
        <f aca="false">IF(K2005="","",MATCH(K2005,$F$2:$F$5001,0))</f>
        <v/>
      </c>
      <c r="M2005" s="0" t="str">
        <f aca="false">IF(I2005="","",INDEX(הגדרות!$A$2:$A$21,MOD(I2005+הגדרות!$E$9,הגדרות!$E$6)+1))</f>
        <v/>
      </c>
    </row>
    <row r="2006" customFormat="false" ht="15" hidden="false" customHeight="false" outlineLevel="0" collapsed="false">
      <c r="A2006" s="0" t="str">
        <f aca="false">IF('הדבקת לידים'!A2006="","",IF(ISNUMBER('הדבקת לידים'!A2006),IF(הגדרות!$E$2&gt;0,TEXT('הדבקת לידים'!A2006,REPT("0",הגדרות!$E$2)),TEXT('הדבקת לידים'!A2006,"0")),TRIM('הדבקת לידים'!A2006)))</f>
        <v/>
      </c>
      <c r="B2006" s="0" t="str">
        <f aca="false">IF('הדבקת לידים'!B2006="","",IF(ISNUMBER('הדבקת לידים'!B2006),IF(הגדרות!$E$3&gt;0,TEXT('הדבקת לידים'!B2006,REPT("0",הגדרות!$E$3)),TEXT('הדבקת לידים'!B2006,"0")),TRIM('הדבקת לידים'!B2006)))</f>
        <v/>
      </c>
      <c r="C2006" s="0" t="n">
        <f aca="false">IF(OR(A2006&lt;&gt;"",B2006&lt;&gt;""),1,0)</f>
        <v>0</v>
      </c>
      <c r="D2006" s="0" t="str">
        <f aca="false">IF(C2006=1,MOD(ABS(SIN(ROW()*12.9898+'הדבקת לידים'!$F$2*78.233+IFERROR(--RIGHT(A2006,6),LEN(A2006))*0.0137+IFERROR(--RIGHT(B2006,6),LEN(B2006))*0.0071))*43758.5453,1),"")</f>
        <v/>
      </c>
      <c r="E2006" s="0" t="str">
        <f aca="false">IF(C2006=1,INT(MOD(ABS(SIN(D2006*7919.123+ROW()*0.618+'הדבקת לידים'!$F$2*1.3))*43758.5453,1)*1000000)*10000+ROW(),"")</f>
        <v/>
      </c>
      <c r="F2006" s="0" t="str">
        <f aca="false">IF(E2006="","",RANK(E2006,$E$2:$E$5001,1))</f>
        <v/>
      </c>
      <c r="G2006" s="0" t="n">
        <f aca="false">IF(A2006="",0,IF(SUMPRODUCT(--($A$2:$A$5001=A2006))&gt;1,1,0))</f>
        <v>0</v>
      </c>
      <c r="H2006" s="0" t="n">
        <f aca="false">ROW()-1</f>
        <v>2005</v>
      </c>
      <c r="I2006" s="0" t="str">
        <f aca="false">IF(OR(הגדרות!$E$6=0,H2006&gt;הגדרות!$E$5),"",IF(H2006-1&lt;הגדרות!$E$8*(הגדרות!$E$7+1),INT((H2006-1)/(הגדרות!$E$7+1)),הגדרות!$E$8+INT((H2006-1-הגדרות!$E$8*(הגדרות!$E$7+1))/הגדרות!$E$7)))</f>
        <v/>
      </c>
      <c r="J2006" s="0" t="str">
        <f aca="false">IF(I2006="","",IF(H2006-1&lt;הגדרות!$E$8*(הגדרות!$E$7+1),MOD(H2006-1,הגדרות!$E$7+1),MOD(H2006-1-הגדרות!$E$8*(הגדרות!$E$7+1),הגדרות!$E$7)))</f>
        <v/>
      </c>
      <c r="K2006" s="0" t="str">
        <f aca="false">IF(I2006="","",J2006*הגדרות!$E$6+I2006+1)</f>
        <v/>
      </c>
      <c r="L2006" s="0" t="str">
        <f aca="false">IF(K2006="","",MATCH(K2006,$F$2:$F$5001,0))</f>
        <v/>
      </c>
      <c r="M2006" s="0" t="str">
        <f aca="false">IF(I2006="","",INDEX(הגדרות!$A$2:$A$21,MOD(I2006+הגדרות!$E$9,הגדרות!$E$6)+1))</f>
        <v/>
      </c>
    </row>
    <row r="2007" customFormat="false" ht="15" hidden="false" customHeight="false" outlineLevel="0" collapsed="false">
      <c r="A2007" s="0" t="str">
        <f aca="false">IF('הדבקת לידים'!A2007="","",IF(ISNUMBER('הדבקת לידים'!A2007),IF(הגדרות!$E$2&gt;0,TEXT('הדבקת לידים'!A2007,REPT("0",הגדרות!$E$2)),TEXT('הדבקת לידים'!A2007,"0")),TRIM('הדבקת לידים'!A2007)))</f>
        <v/>
      </c>
      <c r="B2007" s="0" t="str">
        <f aca="false">IF('הדבקת לידים'!B2007="","",IF(ISNUMBER('הדבקת לידים'!B2007),IF(הגדרות!$E$3&gt;0,TEXT('הדבקת לידים'!B2007,REPT("0",הגדרות!$E$3)),TEXT('הדבקת לידים'!B2007,"0")),TRIM('הדבקת לידים'!B2007)))</f>
        <v/>
      </c>
      <c r="C2007" s="0" t="n">
        <f aca="false">IF(OR(A2007&lt;&gt;"",B2007&lt;&gt;""),1,0)</f>
        <v>0</v>
      </c>
      <c r="D2007" s="0" t="str">
        <f aca="false">IF(C2007=1,MOD(ABS(SIN(ROW()*12.9898+'הדבקת לידים'!$F$2*78.233+IFERROR(--RIGHT(A2007,6),LEN(A2007))*0.0137+IFERROR(--RIGHT(B2007,6),LEN(B2007))*0.0071))*43758.5453,1),"")</f>
        <v/>
      </c>
      <c r="E2007" s="0" t="str">
        <f aca="false">IF(C2007=1,INT(MOD(ABS(SIN(D2007*7919.123+ROW()*0.618+'הדבקת לידים'!$F$2*1.3))*43758.5453,1)*1000000)*10000+ROW(),"")</f>
        <v/>
      </c>
      <c r="F2007" s="0" t="str">
        <f aca="false">IF(E2007="","",RANK(E2007,$E$2:$E$5001,1))</f>
        <v/>
      </c>
      <c r="G2007" s="0" t="n">
        <f aca="false">IF(A2007="",0,IF(SUMPRODUCT(--($A$2:$A$5001=A2007))&gt;1,1,0))</f>
        <v>0</v>
      </c>
      <c r="H2007" s="0" t="n">
        <f aca="false">ROW()-1</f>
        <v>2006</v>
      </c>
      <c r="I2007" s="0" t="str">
        <f aca="false">IF(OR(הגדרות!$E$6=0,H2007&gt;הגדרות!$E$5),"",IF(H2007-1&lt;הגדרות!$E$8*(הגדרות!$E$7+1),INT((H2007-1)/(הגדרות!$E$7+1)),הגדרות!$E$8+INT((H2007-1-הגדרות!$E$8*(הגדרות!$E$7+1))/הגדרות!$E$7)))</f>
        <v/>
      </c>
      <c r="J2007" s="0" t="str">
        <f aca="false">IF(I2007="","",IF(H2007-1&lt;הגדרות!$E$8*(הגדרות!$E$7+1),MOD(H2007-1,הגדרות!$E$7+1),MOD(H2007-1-הגדרות!$E$8*(הגדרות!$E$7+1),הגדרות!$E$7)))</f>
        <v/>
      </c>
      <c r="K2007" s="0" t="str">
        <f aca="false">IF(I2007="","",J2007*הגדרות!$E$6+I2007+1)</f>
        <v/>
      </c>
      <c r="L2007" s="0" t="str">
        <f aca="false">IF(K2007="","",MATCH(K2007,$F$2:$F$5001,0))</f>
        <v/>
      </c>
      <c r="M2007" s="0" t="str">
        <f aca="false">IF(I2007="","",INDEX(הגדרות!$A$2:$A$21,MOD(I2007+הגדרות!$E$9,הגדרות!$E$6)+1))</f>
        <v/>
      </c>
    </row>
    <row r="2008" customFormat="false" ht="15" hidden="false" customHeight="false" outlineLevel="0" collapsed="false">
      <c r="A2008" s="0" t="str">
        <f aca="false">IF('הדבקת לידים'!A2008="","",IF(ISNUMBER('הדבקת לידים'!A2008),IF(הגדרות!$E$2&gt;0,TEXT('הדבקת לידים'!A2008,REPT("0",הגדרות!$E$2)),TEXT('הדבקת לידים'!A2008,"0")),TRIM('הדבקת לידים'!A2008)))</f>
        <v/>
      </c>
      <c r="B2008" s="0" t="str">
        <f aca="false">IF('הדבקת לידים'!B2008="","",IF(ISNUMBER('הדבקת לידים'!B2008),IF(הגדרות!$E$3&gt;0,TEXT('הדבקת לידים'!B2008,REPT("0",הגדרות!$E$3)),TEXT('הדבקת לידים'!B2008,"0")),TRIM('הדבקת לידים'!B2008)))</f>
        <v/>
      </c>
      <c r="C2008" s="0" t="n">
        <f aca="false">IF(OR(A2008&lt;&gt;"",B2008&lt;&gt;""),1,0)</f>
        <v>0</v>
      </c>
      <c r="D2008" s="0" t="str">
        <f aca="false">IF(C2008=1,MOD(ABS(SIN(ROW()*12.9898+'הדבקת לידים'!$F$2*78.233+IFERROR(--RIGHT(A2008,6),LEN(A2008))*0.0137+IFERROR(--RIGHT(B2008,6),LEN(B2008))*0.0071))*43758.5453,1),"")</f>
        <v/>
      </c>
      <c r="E2008" s="0" t="str">
        <f aca="false">IF(C2008=1,INT(MOD(ABS(SIN(D2008*7919.123+ROW()*0.618+'הדבקת לידים'!$F$2*1.3))*43758.5453,1)*1000000)*10000+ROW(),"")</f>
        <v/>
      </c>
      <c r="F2008" s="0" t="str">
        <f aca="false">IF(E2008="","",RANK(E2008,$E$2:$E$5001,1))</f>
        <v/>
      </c>
      <c r="G2008" s="0" t="n">
        <f aca="false">IF(A2008="",0,IF(SUMPRODUCT(--($A$2:$A$5001=A2008))&gt;1,1,0))</f>
        <v>0</v>
      </c>
      <c r="H2008" s="0" t="n">
        <f aca="false">ROW()-1</f>
        <v>2007</v>
      </c>
      <c r="I2008" s="0" t="str">
        <f aca="false">IF(OR(הגדרות!$E$6=0,H2008&gt;הגדרות!$E$5),"",IF(H2008-1&lt;הגדרות!$E$8*(הגדרות!$E$7+1),INT((H2008-1)/(הגדרות!$E$7+1)),הגדרות!$E$8+INT((H2008-1-הגדרות!$E$8*(הגדרות!$E$7+1))/הגדרות!$E$7)))</f>
        <v/>
      </c>
      <c r="J2008" s="0" t="str">
        <f aca="false">IF(I2008="","",IF(H2008-1&lt;הגדרות!$E$8*(הגדרות!$E$7+1),MOD(H2008-1,הגדרות!$E$7+1),MOD(H2008-1-הגדרות!$E$8*(הגדרות!$E$7+1),הגדרות!$E$7)))</f>
        <v/>
      </c>
      <c r="K2008" s="0" t="str">
        <f aca="false">IF(I2008="","",J2008*הגדרות!$E$6+I2008+1)</f>
        <v/>
      </c>
      <c r="L2008" s="0" t="str">
        <f aca="false">IF(K2008="","",MATCH(K2008,$F$2:$F$5001,0))</f>
        <v/>
      </c>
      <c r="M2008" s="0" t="str">
        <f aca="false">IF(I2008="","",INDEX(הגדרות!$A$2:$A$21,MOD(I2008+הגדרות!$E$9,הגדרות!$E$6)+1))</f>
        <v/>
      </c>
    </row>
    <row r="2009" customFormat="false" ht="15" hidden="false" customHeight="false" outlineLevel="0" collapsed="false">
      <c r="A2009" s="0" t="str">
        <f aca="false">IF('הדבקת לידים'!A2009="","",IF(ISNUMBER('הדבקת לידים'!A2009),IF(הגדרות!$E$2&gt;0,TEXT('הדבקת לידים'!A2009,REPT("0",הגדרות!$E$2)),TEXT('הדבקת לידים'!A2009,"0")),TRIM('הדבקת לידים'!A2009)))</f>
        <v/>
      </c>
      <c r="B2009" s="0" t="str">
        <f aca="false">IF('הדבקת לידים'!B2009="","",IF(ISNUMBER('הדבקת לידים'!B2009),IF(הגדרות!$E$3&gt;0,TEXT('הדבקת לידים'!B2009,REPT("0",הגדרות!$E$3)),TEXT('הדבקת לידים'!B2009,"0")),TRIM('הדבקת לידים'!B2009)))</f>
        <v/>
      </c>
      <c r="C2009" s="0" t="n">
        <f aca="false">IF(OR(A2009&lt;&gt;"",B2009&lt;&gt;""),1,0)</f>
        <v>0</v>
      </c>
      <c r="D2009" s="0" t="str">
        <f aca="false">IF(C2009=1,MOD(ABS(SIN(ROW()*12.9898+'הדבקת לידים'!$F$2*78.233+IFERROR(--RIGHT(A2009,6),LEN(A2009))*0.0137+IFERROR(--RIGHT(B2009,6),LEN(B2009))*0.0071))*43758.5453,1),"")</f>
        <v/>
      </c>
      <c r="E2009" s="0" t="str">
        <f aca="false">IF(C2009=1,INT(MOD(ABS(SIN(D2009*7919.123+ROW()*0.618+'הדבקת לידים'!$F$2*1.3))*43758.5453,1)*1000000)*10000+ROW(),"")</f>
        <v/>
      </c>
      <c r="F2009" s="0" t="str">
        <f aca="false">IF(E2009="","",RANK(E2009,$E$2:$E$5001,1))</f>
        <v/>
      </c>
      <c r="G2009" s="0" t="n">
        <f aca="false">IF(A2009="",0,IF(SUMPRODUCT(--($A$2:$A$5001=A2009))&gt;1,1,0))</f>
        <v>0</v>
      </c>
      <c r="H2009" s="0" t="n">
        <f aca="false">ROW()-1</f>
        <v>2008</v>
      </c>
      <c r="I2009" s="0" t="str">
        <f aca="false">IF(OR(הגדרות!$E$6=0,H2009&gt;הגדרות!$E$5),"",IF(H2009-1&lt;הגדרות!$E$8*(הגדרות!$E$7+1),INT((H2009-1)/(הגדרות!$E$7+1)),הגדרות!$E$8+INT((H2009-1-הגדרות!$E$8*(הגדרות!$E$7+1))/הגדרות!$E$7)))</f>
        <v/>
      </c>
      <c r="J2009" s="0" t="str">
        <f aca="false">IF(I2009="","",IF(H2009-1&lt;הגדרות!$E$8*(הגדרות!$E$7+1),MOD(H2009-1,הגדרות!$E$7+1),MOD(H2009-1-הגדרות!$E$8*(הגדרות!$E$7+1),הגדרות!$E$7)))</f>
        <v/>
      </c>
      <c r="K2009" s="0" t="str">
        <f aca="false">IF(I2009="","",J2009*הגדרות!$E$6+I2009+1)</f>
        <v/>
      </c>
      <c r="L2009" s="0" t="str">
        <f aca="false">IF(K2009="","",MATCH(K2009,$F$2:$F$5001,0))</f>
        <v/>
      </c>
      <c r="M2009" s="0" t="str">
        <f aca="false">IF(I2009="","",INDEX(הגדרות!$A$2:$A$21,MOD(I2009+הגדרות!$E$9,הגדרות!$E$6)+1))</f>
        <v/>
      </c>
    </row>
    <row r="2010" customFormat="false" ht="15" hidden="false" customHeight="false" outlineLevel="0" collapsed="false">
      <c r="A2010" s="0" t="str">
        <f aca="false">IF('הדבקת לידים'!A2010="","",IF(ISNUMBER('הדבקת לידים'!A2010),IF(הגדרות!$E$2&gt;0,TEXT('הדבקת לידים'!A2010,REPT("0",הגדרות!$E$2)),TEXT('הדבקת לידים'!A2010,"0")),TRIM('הדבקת לידים'!A2010)))</f>
        <v/>
      </c>
      <c r="B2010" s="0" t="str">
        <f aca="false">IF('הדבקת לידים'!B2010="","",IF(ISNUMBER('הדבקת לידים'!B2010),IF(הגדרות!$E$3&gt;0,TEXT('הדבקת לידים'!B2010,REPT("0",הגדרות!$E$3)),TEXT('הדבקת לידים'!B2010,"0")),TRIM('הדבקת לידים'!B2010)))</f>
        <v/>
      </c>
      <c r="C2010" s="0" t="n">
        <f aca="false">IF(OR(A2010&lt;&gt;"",B2010&lt;&gt;""),1,0)</f>
        <v>0</v>
      </c>
      <c r="D2010" s="0" t="str">
        <f aca="false">IF(C2010=1,MOD(ABS(SIN(ROW()*12.9898+'הדבקת לידים'!$F$2*78.233+IFERROR(--RIGHT(A2010,6),LEN(A2010))*0.0137+IFERROR(--RIGHT(B2010,6),LEN(B2010))*0.0071))*43758.5453,1),"")</f>
        <v/>
      </c>
      <c r="E2010" s="0" t="str">
        <f aca="false">IF(C2010=1,INT(MOD(ABS(SIN(D2010*7919.123+ROW()*0.618+'הדבקת לידים'!$F$2*1.3))*43758.5453,1)*1000000)*10000+ROW(),"")</f>
        <v/>
      </c>
      <c r="F2010" s="0" t="str">
        <f aca="false">IF(E2010="","",RANK(E2010,$E$2:$E$5001,1))</f>
        <v/>
      </c>
      <c r="G2010" s="0" t="n">
        <f aca="false">IF(A2010="",0,IF(SUMPRODUCT(--($A$2:$A$5001=A2010))&gt;1,1,0))</f>
        <v>0</v>
      </c>
      <c r="H2010" s="0" t="n">
        <f aca="false">ROW()-1</f>
        <v>2009</v>
      </c>
      <c r="I2010" s="0" t="str">
        <f aca="false">IF(OR(הגדרות!$E$6=0,H2010&gt;הגדרות!$E$5),"",IF(H2010-1&lt;הגדרות!$E$8*(הגדרות!$E$7+1),INT((H2010-1)/(הגדרות!$E$7+1)),הגדרות!$E$8+INT((H2010-1-הגדרות!$E$8*(הגדרות!$E$7+1))/הגדרות!$E$7)))</f>
        <v/>
      </c>
      <c r="J2010" s="0" t="str">
        <f aca="false">IF(I2010="","",IF(H2010-1&lt;הגדרות!$E$8*(הגדרות!$E$7+1),MOD(H2010-1,הגדרות!$E$7+1),MOD(H2010-1-הגדרות!$E$8*(הגדרות!$E$7+1),הגדרות!$E$7)))</f>
        <v/>
      </c>
      <c r="K2010" s="0" t="str">
        <f aca="false">IF(I2010="","",J2010*הגדרות!$E$6+I2010+1)</f>
        <v/>
      </c>
      <c r="L2010" s="0" t="str">
        <f aca="false">IF(K2010="","",MATCH(K2010,$F$2:$F$5001,0))</f>
        <v/>
      </c>
      <c r="M2010" s="0" t="str">
        <f aca="false">IF(I2010="","",INDEX(הגדרות!$A$2:$A$21,MOD(I2010+הגדרות!$E$9,הגדרות!$E$6)+1))</f>
        <v/>
      </c>
    </row>
    <row r="2011" customFormat="false" ht="15" hidden="false" customHeight="false" outlineLevel="0" collapsed="false">
      <c r="A2011" s="0" t="str">
        <f aca="false">IF('הדבקת לידים'!A2011="","",IF(ISNUMBER('הדבקת לידים'!A2011),IF(הגדרות!$E$2&gt;0,TEXT('הדבקת לידים'!A2011,REPT("0",הגדרות!$E$2)),TEXT('הדבקת לידים'!A2011,"0")),TRIM('הדבקת לידים'!A2011)))</f>
        <v/>
      </c>
      <c r="B2011" s="0" t="str">
        <f aca="false">IF('הדבקת לידים'!B2011="","",IF(ISNUMBER('הדבקת לידים'!B2011),IF(הגדרות!$E$3&gt;0,TEXT('הדבקת לידים'!B2011,REPT("0",הגדרות!$E$3)),TEXT('הדבקת לידים'!B2011,"0")),TRIM('הדבקת לידים'!B2011)))</f>
        <v/>
      </c>
      <c r="C2011" s="0" t="n">
        <f aca="false">IF(OR(A2011&lt;&gt;"",B2011&lt;&gt;""),1,0)</f>
        <v>0</v>
      </c>
      <c r="D2011" s="0" t="str">
        <f aca="false">IF(C2011=1,MOD(ABS(SIN(ROW()*12.9898+'הדבקת לידים'!$F$2*78.233+IFERROR(--RIGHT(A2011,6),LEN(A2011))*0.0137+IFERROR(--RIGHT(B2011,6),LEN(B2011))*0.0071))*43758.5453,1),"")</f>
        <v/>
      </c>
      <c r="E2011" s="0" t="str">
        <f aca="false">IF(C2011=1,INT(MOD(ABS(SIN(D2011*7919.123+ROW()*0.618+'הדבקת לידים'!$F$2*1.3))*43758.5453,1)*1000000)*10000+ROW(),"")</f>
        <v/>
      </c>
      <c r="F2011" s="0" t="str">
        <f aca="false">IF(E2011="","",RANK(E2011,$E$2:$E$5001,1))</f>
        <v/>
      </c>
      <c r="G2011" s="0" t="n">
        <f aca="false">IF(A2011="",0,IF(SUMPRODUCT(--($A$2:$A$5001=A2011))&gt;1,1,0))</f>
        <v>0</v>
      </c>
      <c r="H2011" s="0" t="n">
        <f aca="false">ROW()-1</f>
        <v>2010</v>
      </c>
      <c r="I2011" s="0" t="str">
        <f aca="false">IF(OR(הגדרות!$E$6=0,H2011&gt;הגדרות!$E$5),"",IF(H2011-1&lt;הגדרות!$E$8*(הגדרות!$E$7+1),INT((H2011-1)/(הגדרות!$E$7+1)),הגדרות!$E$8+INT((H2011-1-הגדרות!$E$8*(הגדרות!$E$7+1))/הגדרות!$E$7)))</f>
        <v/>
      </c>
      <c r="J2011" s="0" t="str">
        <f aca="false">IF(I2011="","",IF(H2011-1&lt;הגדרות!$E$8*(הגדרות!$E$7+1),MOD(H2011-1,הגדרות!$E$7+1),MOD(H2011-1-הגדרות!$E$8*(הגדרות!$E$7+1),הגדרות!$E$7)))</f>
        <v/>
      </c>
      <c r="K2011" s="0" t="str">
        <f aca="false">IF(I2011="","",J2011*הגדרות!$E$6+I2011+1)</f>
        <v/>
      </c>
      <c r="L2011" s="0" t="str">
        <f aca="false">IF(K2011="","",MATCH(K2011,$F$2:$F$5001,0))</f>
        <v/>
      </c>
      <c r="M2011" s="0" t="str">
        <f aca="false">IF(I2011="","",INDEX(הגדרות!$A$2:$A$21,MOD(I2011+הגדרות!$E$9,הגדרות!$E$6)+1))</f>
        <v/>
      </c>
    </row>
    <row r="2012" customFormat="false" ht="15" hidden="false" customHeight="false" outlineLevel="0" collapsed="false">
      <c r="A2012" s="0" t="str">
        <f aca="false">IF('הדבקת לידים'!A2012="","",IF(ISNUMBER('הדבקת לידים'!A2012),IF(הגדרות!$E$2&gt;0,TEXT('הדבקת לידים'!A2012,REPT("0",הגדרות!$E$2)),TEXT('הדבקת לידים'!A2012,"0")),TRIM('הדבקת לידים'!A2012)))</f>
        <v/>
      </c>
      <c r="B2012" s="0" t="str">
        <f aca="false">IF('הדבקת לידים'!B2012="","",IF(ISNUMBER('הדבקת לידים'!B2012),IF(הגדרות!$E$3&gt;0,TEXT('הדבקת לידים'!B2012,REPT("0",הגדרות!$E$3)),TEXT('הדבקת לידים'!B2012,"0")),TRIM('הדבקת לידים'!B2012)))</f>
        <v/>
      </c>
      <c r="C2012" s="0" t="n">
        <f aca="false">IF(OR(A2012&lt;&gt;"",B2012&lt;&gt;""),1,0)</f>
        <v>0</v>
      </c>
      <c r="D2012" s="0" t="str">
        <f aca="false">IF(C2012=1,MOD(ABS(SIN(ROW()*12.9898+'הדבקת לידים'!$F$2*78.233+IFERROR(--RIGHT(A2012,6),LEN(A2012))*0.0137+IFERROR(--RIGHT(B2012,6),LEN(B2012))*0.0071))*43758.5453,1),"")</f>
        <v/>
      </c>
      <c r="E2012" s="0" t="str">
        <f aca="false">IF(C2012=1,INT(MOD(ABS(SIN(D2012*7919.123+ROW()*0.618+'הדבקת לידים'!$F$2*1.3))*43758.5453,1)*1000000)*10000+ROW(),"")</f>
        <v/>
      </c>
      <c r="F2012" s="0" t="str">
        <f aca="false">IF(E2012="","",RANK(E2012,$E$2:$E$5001,1))</f>
        <v/>
      </c>
      <c r="G2012" s="0" t="n">
        <f aca="false">IF(A2012="",0,IF(SUMPRODUCT(--($A$2:$A$5001=A2012))&gt;1,1,0))</f>
        <v>0</v>
      </c>
      <c r="H2012" s="0" t="n">
        <f aca="false">ROW()-1</f>
        <v>2011</v>
      </c>
      <c r="I2012" s="0" t="str">
        <f aca="false">IF(OR(הגדרות!$E$6=0,H2012&gt;הגדרות!$E$5),"",IF(H2012-1&lt;הגדרות!$E$8*(הגדרות!$E$7+1),INT((H2012-1)/(הגדרות!$E$7+1)),הגדרות!$E$8+INT((H2012-1-הגדרות!$E$8*(הגדרות!$E$7+1))/הגדרות!$E$7)))</f>
        <v/>
      </c>
      <c r="J2012" s="0" t="str">
        <f aca="false">IF(I2012="","",IF(H2012-1&lt;הגדרות!$E$8*(הגדרות!$E$7+1),MOD(H2012-1,הגדרות!$E$7+1),MOD(H2012-1-הגדרות!$E$8*(הגדרות!$E$7+1),הגדרות!$E$7)))</f>
        <v/>
      </c>
      <c r="K2012" s="0" t="str">
        <f aca="false">IF(I2012="","",J2012*הגדרות!$E$6+I2012+1)</f>
        <v/>
      </c>
      <c r="L2012" s="0" t="str">
        <f aca="false">IF(K2012="","",MATCH(K2012,$F$2:$F$5001,0))</f>
        <v/>
      </c>
      <c r="M2012" s="0" t="str">
        <f aca="false">IF(I2012="","",INDEX(הגדרות!$A$2:$A$21,MOD(I2012+הגדרות!$E$9,הגדרות!$E$6)+1))</f>
        <v/>
      </c>
    </row>
    <row r="2013" customFormat="false" ht="15" hidden="false" customHeight="false" outlineLevel="0" collapsed="false">
      <c r="A2013" s="0" t="str">
        <f aca="false">IF('הדבקת לידים'!A2013="","",IF(ISNUMBER('הדבקת לידים'!A2013),IF(הגדרות!$E$2&gt;0,TEXT('הדבקת לידים'!A2013,REPT("0",הגדרות!$E$2)),TEXT('הדבקת לידים'!A2013,"0")),TRIM('הדבקת לידים'!A2013)))</f>
        <v/>
      </c>
      <c r="B2013" s="0" t="str">
        <f aca="false">IF('הדבקת לידים'!B2013="","",IF(ISNUMBER('הדבקת לידים'!B2013),IF(הגדרות!$E$3&gt;0,TEXT('הדבקת לידים'!B2013,REPT("0",הגדרות!$E$3)),TEXT('הדבקת לידים'!B2013,"0")),TRIM('הדבקת לידים'!B2013)))</f>
        <v/>
      </c>
      <c r="C2013" s="0" t="n">
        <f aca="false">IF(OR(A2013&lt;&gt;"",B2013&lt;&gt;""),1,0)</f>
        <v>0</v>
      </c>
      <c r="D2013" s="0" t="str">
        <f aca="false">IF(C2013=1,MOD(ABS(SIN(ROW()*12.9898+'הדבקת לידים'!$F$2*78.233+IFERROR(--RIGHT(A2013,6),LEN(A2013))*0.0137+IFERROR(--RIGHT(B2013,6),LEN(B2013))*0.0071))*43758.5453,1),"")</f>
        <v/>
      </c>
      <c r="E2013" s="0" t="str">
        <f aca="false">IF(C2013=1,INT(MOD(ABS(SIN(D2013*7919.123+ROW()*0.618+'הדבקת לידים'!$F$2*1.3))*43758.5453,1)*1000000)*10000+ROW(),"")</f>
        <v/>
      </c>
      <c r="F2013" s="0" t="str">
        <f aca="false">IF(E2013="","",RANK(E2013,$E$2:$E$5001,1))</f>
        <v/>
      </c>
      <c r="G2013" s="0" t="n">
        <f aca="false">IF(A2013="",0,IF(SUMPRODUCT(--($A$2:$A$5001=A2013))&gt;1,1,0))</f>
        <v>0</v>
      </c>
      <c r="H2013" s="0" t="n">
        <f aca="false">ROW()-1</f>
        <v>2012</v>
      </c>
      <c r="I2013" s="0" t="str">
        <f aca="false">IF(OR(הגדרות!$E$6=0,H2013&gt;הגדרות!$E$5),"",IF(H2013-1&lt;הגדרות!$E$8*(הגדרות!$E$7+1),INT((H2013-1)/(הגדרות!$E$7+1)),הגדרות!$E$8+INT((H2013-1-הגדרות!$E$8*(הגדרות!$E$7+1))/הגדרות!$E$7)))</f>
        <v/>
      </c>
      <c r="J2013" s="0" t="str">
        <f aca="false">IF(I2013="","",IF(H2013-1&lt;הגדרות!$E$8*(הגדרות!$E$7+1),MOD(H2013-1,הגדרות!$E$7+1),MOD(H2013-1-הגדרות!$E$8*(הגדרות!$E$7+1),הגדרות!$E$7)))</f>
        <v/>
      </c>
      <c r="K2013" s="0" t="str">
        <f aca="false">IF(I2013="","",J2013*הגדרות!$E$6+I2013+1)</f>
        <v/>
      </c>
      <c r="L2013" s="0" t="str">
        <f aca="false">IF(K2013="","",MATCH(K2013,$F$2:$F$5001,0))</f>
        <v/>
      </c>
      <c r="M2013" s="0" t="str">
        <f aca="false">IF(I2013="","",INDEX(הגדרות!$A$2:$A$21,MOD(I2013+הגדרות!$E$9,הגדרות!$E$6)+1))</f>
        <v/>
      </c>
    </row>
    <row r="2014" customFormat="false" ht="15" hidden="false" customHeight="false" outlineLevel="0" collapsed="false">
      <c r="A2014" s="0" t="str">
        <f aca="false">IF('הדבקת לידים'!A2014="","",IF(ISNUMBER('הדבקת לידים'!A2014),IF(הגדרות!$E$2&gt;0,TEXT('הדבקת לידים'!A2014,REPT("0",הגדרות!$E$2)),TEXT('הדבקת לידים'!A2014,"0")),TRIM('הדבקת לידים'!A2014)))</f>
        <v/>
      </c>
      <c r="B2014" s="0" t="str">
        <f aca="false">IF('הדבקת לידים'!B2014="","",IF(ISNUMBER('הדבקת לידים'!B2014),IF(הגדרות!$E$3&gt;0,TEXT('הדבקת לידים'!B2014,REPT("0",הגדרות!$E$3)),TEXT('הדבקת לידים'!B2014,"0")),TRIM('הדבקת לידים'!B2014)))</f>
        <v/>
      </c>
      <c r="C2014" s="0" t="n">
        <f aca="false">IF(OR(A2014&lt;&gt;"",B2014&lt;&gt;""),1,0)</f>
        <v>0</v>
      </c>
      <c r="D2014" s="0" t="str">
        <f aca="false">IF(C2014=1,MOD(ABS(SIN(ROW()*12.9898+'הדבקת לידים'!$F$2*78.233+IFERROR(--RIGHT(A2014,6),LEN(A2014))*0.0137+IFERROR(--RIGHT(B2014,6),LEN(B2014))*0.0071))*43758.5453,1),"")</f>
        <v/>
      </c>
      <c r="E2014" s="0" t="str">
        <f aca="false">IF(C2014=1,INT(MOD(ABS(SIN(D2014*7919.123+ROW()*0.618+'הדבקת לידים'!$F$2*1.3))*43758.5453,1)*1000000)*10000+ROW(),"")</f>
        <v/>
      </c>
      <c r="F2014" s="0" t="str">
        <f aca="false">IF(E2014="","",RANK(E2014,$E$2:$E$5001,1))</f>
        <v/>
      </c>
      <c r="G2014" s="0" t="n">
        <f aca="false">IF(A2014="",0,IF(SUMPRODUCT(--($A$2:$A$5001=A2014))&gt;1,1,0))</f>
        <v>0</v>
      </c>
      <c r="H2014" s="0" t="n">
        <f aca="false">ROW()-1</f>
        <v>2013</v>
      </c>
      <c r="I2014" s="0" t="str">
        <f aca="false">IF(OR(הגדרות!$E$6=0,H2014&gt;הגדרות!$E$5),"",IF(H2014-1&lt;הגדרות!$E$8*(הגדרות!$E$7+1),INT((H2014-1)/(הגדרות!$E$7+1)),הגדרות!$E$8+INT((H2014-1-הגדרות!$E$8*(הגדרות!$E$7+1))/הגדרות!$E$7)))</f>
        <v/>
      </c>
      <c r="J2014" s="0" t="str">
        <f aca="false">IF(I2014="","",IF(H2014-1&lt;הגדרות!$E$8*(הגדרות!$E$7+1),MOD(H2014-1,הגדרות!$E$7+1),MOD(H2014-1-הגדרות!$E$8*(הגדרות!$E$7+1),הגדרות!$E$7)))</f>
        <v/>
      </c>
      <c r="K2014" s="0" t="str">
        <f aca="false">IF(I2014="","",J2014*הגדרות!$E$6+I2014+1)</f>
        <v/>
      </c>
      <c r="L2014" s="0" t="str">
        <f aca="false">IF(K2014="","",MATCH(K2014,$F$2:$F$5001,0))</f>
        <v/>
      </c>
      <c r="M2014" s="0" t="str">
        <f aca="false">IF(I2014="","",INDEX(הגדרות!$A$2:$A$21,MOD(I2014+הגדרות!$E$9,הגדרות!$E$6)+1))</f>
        <v/>
      </c>
    </row>
    <row r="2015" customFormat="false" ht="15" hidden="false" customHeight="false" outlineLevel="0" collapsed="false">
      <c r="A2015" s="0" t="str">
        <f aca="false">IF('הדבקת לידים'!A2015="","",IF(ISNUMBER('הדבקת לידים'!A2015),IF(הגדרות!$E$2&gt;0,TEXT('הדבקת לידים'!A2015,REPT("0",הגדרות!$E$2)),TEXT('הדבקת לידים'!A2015,"0")),TRIM('הדבקת לידים'!A2015)))</f>
        <v/>
      </c>
      <c r="B2015" s="0" t="str">
        <f aca="false">IF('הדבקת לידים'!B2015="","",IF(ISNUMBER('הדבקת לידים'!B2015),IF(הגדרות!$E$3&gt;0,TEXT('הדבקת לידים'!B2015,REPT("0",הגדרות!$E$3)),TEXT('הדבקת לידים'!B2015,"0")),TRIM('הדבקת לידים'!B2015)))</f>
        <v/>
      </c>
      <c r="C2015" s="0" t="n">
        <f aca="false">IF(OR(A2015&lt;&gt;"",B2015&lt;&gt;""),1,0)</f>
        <v>0</v>
      </c>
      <c r="D2015" s="0" t="str">
        <f aca="false">IF(C2015=1,MOD(ABS(SIN(ROW()*12.9898+'הדבקת לידים'!$F$2*78.233+IFERROR(--RIGHT(A2015,6),LEN(A2015))*0.0137+IFERROR(--RIGHT(B2015,6),LEN(B2015))*0.0071))*43758.5453,1),"")</f>
        <v/>
      </c>
      <c r="E2015" s="0" t="str">
        <f aca="false">IF(C2015=1,INT(MOD(ABS(SIN(D2015*7919.123+ROW()*0.618+'הדבקת לידים'!$F$2*1.3))*43758.5453,1)*1000000)*10000+ROW(),"")</f>
        <v/>
      </c>
      <c r="F2015" s="0" t="str">
        <f aca="false">IF(E2015="","",RANK(E2015,$E$2:$E$5001,1))</f>
        <v/>
      </c>
      <c r="G2015" s="0" t="n">
        <f aca="false">IF(A2015="",0,IF(SUMPRODUCT(--($A$2:$A$5001=A2015))&gt;1,1,0))</f>
        <v>0</v>
      </c>
      <c r="H2015" s="0" t="n">
        <f aca="false">ROW()-1</f>
        <v>2014</v>
      </c>
      <c r="I2015" s="0" t="str">
        <f aca="false">IF(OR(הגדרות!$E$6=0,H2015&gt;הגדרות!$E$5),"",IF(H2015-1&lt;הגדרות!$E$8*(הגדרות!$E$7+1),INT((H2015-1)/(הגדרות!$E$7+1)),הגדרות!$E$8+INT((H2015-1-הגדרות!$E$8*(הגדרות!$E$7+1))/הגדרות!$E$7)))</f>
        <v/>
      </c>
      <c r="J2015" s="0" t="str">
        <f aca="false">IF(I2015="","",IF(H2015-1&lt;הגדרות!$E$8*(הגדרות!$E$7+1),MOD(H2015-1,הגדרות!$E$7+1),MOD(H2015-1-הגדרות!$E$8*(הגדרות!$E$7+1),הגדרות!$E$7)))</f>
        <v/>
      </c>
      <c r="K2015" s="0" t="str">
        <f aca="false">IF(I2015="","",J2015*הגדרות!$E$6+I2015+1)</f>
        <v/>
      </c>
      <c r="L2015" s="0" t="str">
        <f aca="false">IF(K2015="","",MATCH(K2015,$F$2:$F$5001,0))</f>
        <v/>
      </c>
      <c r="M2015" s="0" t="str">
        <f aca="false">IF(I2015="","",INDEX(הגדרות!$A$2:$A$21,MOD(I2015+הגדרות!$E$9,הגדרות!$E$6)+1))</f>
        <v/>
      </c>
    </row>
    <row r="2016" customFormat="false" ht="15" hidden="false" customHeight="false" outlineLevel="0" collapsed="false">
      <c r="A2016" s="0" t="str">
        <f aca="false">IF('הדבקת לידים'!A2016="","",IF(ISNUMBER('הדבקת לידים'!A2016),IF(הגדרות!$E$2&gt;0,TEXT('הדבקת לידים'!A2016,REPT("0",הגדרות!$E$2)),TEXT('הדבקת לידים'!A2016,"0")),TRIM('הדבקת לידים'!A2016)))</f>
        <v/>
      </c>
      <c r="B2016" s="0" t="str">
        <f aca="false">IF('הדבקת לידים'!B2016="","",IF(ISNUMBER('הדבקת לידים'!B2016),IF(הגדרות!$E$3&gt;0,TEXT('הדבקת לידים'!B2016,REPT("0",הגדרות!$E$3)),TEXT('הדבקת לידים'!B2016,"0")),TRIM('הדבקת לידים'!B2016)))</f>
        <v/>
      </c>
      <c r="C2016" s="0" t="n">
        <f aca="false">IF(OR(A2016&lt;&gt;"",B2016&lt;&gt;""),1,0)</f>
        <v>0</v>
      </c>
      <c r="D2016" s="0" t="str">
        <f aca="false">IF(C2016=1,MOD(ABS(SIN(ROW()*12.9898+'הדבקת לידים'!$F$2*78.233+IFERROR(--RIGHT(A2016,6),LEN(A2016))*0.0137+IFERROR(--RIGHT(B2016,6),LEN(B2016))*0.0071))*43758.5453,1),"")</f>
        <v/>
      </c>
      <c r="E2016" s="0" t="str">
        <f aca="false">IF(C2016=1,INT(MOD(ABS(SIN(D2016*7919.123+ROW()*0.618+'הדבקת לידים'!$F$2*1.3))*43758.5453,1)*1000000)*10000+ROW(),"")</f>
        <v/>
      </c>
      <c r="F2016" s="0" t="str">
        <f aca="false">IF(E2016="","",RANK(E2016,$E$2:$E$5001,1))</f>
        <v/>
      </c>
      <c r="G2016" s="0" t="n">
        <f aca="false">IF(A2016="",0,IF(SUMPRODUCT(--($A$2:$A$5001=A2016))&gt;1,1,0))</f>
        <v>0</v>
      </c>
      <c r="H2016" s="0" t="n">
        <f aca="false">ROW()-1</f>
        <v>2015</v>
      </c>
      <c r="I2016" s="0" t="str">
        <f aca="false">IF(OR(הגדרות!$E$6=0,H2016&gt;הגדרות!$E$5),"",IF(H2016-1&lt;הגדרות!$E$8*(הגדרות!$E$7+1),INT((H2016-1)/(הגדרות!$E$7+1)),הגדרות!$E$8+INT((H2016-1-הגדרות!$E$8*(הגדרות!$E$7+1))/הגדרות!$E$7)))</f>
        <v/>
      </c>
      <c r="J2016" s="0" t="str">
        <f aca="false">IF(I2016="","",IF(H2016-1&lt;הגדרות!$E$8*(הגדרות!$E$7+1),MOD(H2016-1,הגדרות!$E$7+1),MOD(H2016-1-הגדרות!$E$8*(הגדרות!$E$7+1),הגדרות!$E$7)))</f>
        <v/>
      </c>
      <c r="K2016" s="0" t="str">
        <f aca="false">IF(I2016="","",J2016*הגדרות!$E$6+I2016+1)</f>
        <v/>
      </c>
      <c r="L2016" s="0" t="str">
        <f aca="false">IF(K2016="","",MATCH(K2016,$F$2:$F$5001,0))</f>
        <v/>
      </c>
      <c r="M2016" s="0" t="str">
        <f aca="false">IF(I2016="","",INDEX(הגדרות!$A$2:$A$21,MOD(I2016+הגדרות!$E$9,הגדרות!$E$6)+1))</f>
        <v/>
      </c>
    </row>
    <row r="2017" customFormat="false" ht="15" hidden="false" customHeight="false" outlineLevel="0" collapsed="false">
      <c r="A2017" s="0" t="str">
        <f aca="false">IF('הדבקת לידים'!A2017="","",IF(ISNUMBER('הדבקת לידים'!A2017),IF(הגדרות!$E$2&gt;0,TEXT('הדבקת לידים'!A2017,REPT("0",הגדרות!$E$2)),TEXT('הדבקת לידים'!A2017,"0")),TRIM('הדבקת לידים'!A2017)))</f>
        <v/>
      </c>
      <c r="B2017" s="0" t="str">
        <f aca="false">IF('הדבקת לידים'!B2017="","",IF(ISNUMBER('הדבקת לידים'!B2017),IF(הגדרות!$E$3&gt;0,TEXT('הדבקת לידים'!B2017,REPT("0",הגדרות!$E$3)),TEXT('הדבקת לידים'!B2017,"0")),TRIM('הדבקת לידים'!B2017)))</f>
        <v/>
      </c>
      <c r="C2017" s="0" t="n">
        <f aca="false">IF(OR(A2017&lt;&gt;"",B2017&lt;&gt;""),1,0)</f>
        <v>0</v>
      </c>
      <c r="D2017" s="0" t="str">
        <f aca="false">IF(C2017=1,MOD(ABS(SIN(ROW()*12.9898+'הדבקת לידים'!$F$2*78.233+IFERROR(--RIGHT(A2017,6),LEN(A2017))*0.0137+IFERROR(--RIGHT(B2017,6),LEN(B2017))*0.0071))*43758.5453,1),"")</f>
        <v/>
      </c>
      <c r="E2017" s="0" t="str">
        <f aca="false">IF(C2017=1,INT(MOD(ABS(SIN(D2017*7919.123+ROW()*0.618+'הדבקת לידים'!$F$2*1.3))*43758.5453,1)*1000000)*10000+ROW(),"")</f>
        <v/>
      </c>
      <c r="F2017" s="0" t="str">
        <f aca="false">IF(E2017="","",RANK(E2017,$E$2:$E$5001,1))</f>
        <v/>
      </c>
      <c r="G2017" s="0" t="n">
        <f aca="false">IF(A2017="",0,IF(SUMPRODUCT(--($A$2:$A$5001=A2017))&gt;1,1,0))</f>
        <v>0</v>
      </c>
      <c r="H2017" s="0" t="n">
        <f aca="false">ROW()-1</f>
        <v>2016</v>
      </c>
      <c r="I2017" s="0" t="str">
        <f aca="false">IF(OR(הגדרות!$E$6=0,H2017&gt;הגדרות!$E$5),"",IF(H2017-1&lt;הגדרות!$E$8*(הגדרות!$E$7+1),INT((H2017-1)/(הגדרות!$E$7+1)),הגדרות!$E$8+INT((H2017-1-הגדרות!$E$8*(הגדרות!$E$7+1))/הגדרות!$E$7)))</f>
        <v/>
      </c>
      <c r="J2017" s="0" t="str">
        <f aca="false">IF(I2017="","",IF(H2017-1&lt;הגדרות!$E$8*(הגדרות!$E$7+1),MOD(H2017-1,הגדרות!$E$7+1),MOD(H2017-1-הגדרות!$E$8*(הגדרות!$E$7+1),הגדרות!$E$7)))</f>
        <v/>
      </c>
      <c r="K2017" s="0" t="str">
        <f aca="false">IF(I2017="","",J2017*הגדרות!$E$6+I2017+1)</f>
        <v/>
      </c>
      <c r="L2017" s="0" t="str">
        <f aca="false">IF(K2017="","",MATCH(K2017,$F$2:$F$5001,0))</f>
        <v/>
      </c>
      <c r="M2017" s="0" t="str">
        <f aca="false">IF(I2017="","",INDEX(הגדרות!$A$2:$A$21,MOD(I2017+הגדרות!$E$9,הגדרות!$E$6)+1))</f>
        <v/>
      </c>
    </row>
    <row r="2018" customFormat="false" ht="15" hidden="false" customHeight="false" outlineLevel="0" collapsed="false">
      <c r="A2018" s="0" t="str">
        <f aca="false">IF('הדבקת לידים'!A2018="","",IF(ISNUMBER('הדבקת לידים'!A2018),IF(הגדרות!$E$2&gt;0,TEXT('הדבקת לידים'!A2018,REPT("0",הגדרות!$E$2)),TEXT('הדבקת לידים'!A2018,"0")),TRIM('הדבקת לידים'!A2018)))</f>
        <v/>
      </c>
      <c r="B2018" s="0" t="str">
        <f aca="false">IF('הדבקת לידים'!B2018="","",IF(ISNUMBER('הדבקת לידים'!B2018),IF(הגדרות!$E$3&gt;0,TEXT('הדבקת לידים'!B2018,REPT("0",הגדרות!$E$3)),TEXT('הדבקת לידים'!B2018,"0")),TRIM('הדבקת לידים'!B2018)))</f>
        <v/>
      </c>
      <c r="C2018" s="0" t="n">
        <f aca="false">IF(OR(A2018&lt;&gt;"",B2018&lt;&gt;""),1,0)</f>
        <v>0</v>
      </c>
      <c r="D2018" s="0" t="str">
        <f aca="false">IF(C2018=1,MOD(ABS(SIN(ROW()*12.9898+'הדבקת לידים'!$F$2*78.233+IFERROR(--RIGHT(A2018,6),LEN(A2018))*0.0137+IFERROR(--RIGHT(B2018,6),LEN(B2018))*0.0071))*43758.5453,1),"")</f>
        <v/>
      </c>
      <c r="E2018" s="0" t="str">
        <f aca="false">IF(C2018=1,INT(MOD(ABS(SIN(D2018*7919.123+ROW()*0.618+'הדבקת לידים'!$F$2*1.3))*43758.5453,1)*1000000)*10000+ROW(),"")</f>
        <v/>
      </c>
      <c r="F2018" s="0" t="str">
        <f aca="false">IF(E2018="","",RANK(E2018,$E$2:$E$5001,1))</f>
        <v/>
      </c>
      <c r="G2018" s="0" t="n">
        <f aca="false">IF(A2018="",0,IF(SUMPRODUCT(--($A$2:$A$5001=A2018))&gt;1,1,0))</f>
        <v>0</v>
      </c>
      <c r="H2018" s="0" t="n">
        <f aca="false">ROW()-1</f>
        <v>2017</v>
      </c>
      <c r="I2018" s="0" t="str">
        <f aca="false">IF(OR(הגדרות!$E$6=0,H2018&gt;הגדרות!$E$5),"",IF(H2018-1&lt;הגדרות!$E$8*(הגדרות!$E$7+1),INT((H2018-1)/(הגדרות!$E$7+1)),הגדרות!$E$8+INT((H2018-1-הגדרות!$E$8*(הגדרות!$E$7+1))/הגדרות!$E$7)))</f>
        <v/>
      </c>
      <c r="J2018" s="0" t="str">
        <f aca="false">IF(I2018="","",IF(H2018-1&lt;הגדרות!$E$8*(הגדרות!$E$7+1),MOD(H2018-1,הגדרות!$E$7+1),MOD(H2018-1-הגדרות!$E$8*(הגדרות!$E$7+1),הגדרות!$E$7)))</f>
        <v/>
      </c>
      <c r="K2018" s="0" t="str">
        <f aca="false">IF(I2018="","",J2018*הגדרות!$E$6+I2018+1)</f>
        <v/>
      </c>
      <c r="L2018" s="0" t="str">
        <f aca="false">IF(K2018="","",MATCH(K2018,$F$2:$F$5001,0))</f>
        <v/>
      </c>
      <c r="M2018" s="0" t="str">
        <f aca="false">IF(I2018="","",INDEX(הגדרות!$A$2:$A$21,MOD(I2018+הגדרות!$E$9,הגדרות!$E$6)+1))</f>
        <v/>
      </c>
    </row>
    <row r="2019" customFormat="false" ht="15" hidden="false" customHeight="false" outlineLevel="0" collapsed="false">
      <c r="A2019" s="0" t="str">
        <f aca="false">IF('הדבקת לידים'!A2019="","",IF(ISNUMBER('הדבקת לידים'!A2019),IF(הגדרות!$E$2&gt;0,TEXT('הדבקת לידים'!A2019,REPT("0",הגדרות!$E$2)),TEXT('הדבקת לידים'!A2019,"0")),TRIM('הדבקת לידים'!A2019)))</f>
        <v/>
      </c>
      <c r="B2019" s="0" t="str">
        <f aca="false">IF('הדבקת לידים'!B2019="","",IF(ISNUMBER('הדבקת לידים'!B2019),IF(הגדרות!$E$3&gt;0,TEXT('הדבקת לידים'!B2019,REPT("0",הגדרות!$E$3)),TEXT('הדבקת לידים'!B2019,"0")),TRIM('הדבקת לידים'!B2019)))</f>
        <v/>
      </c>
      <c r="C2019" s="0" t="n">
        <f aca="false">IF(OR(A2019&lt;&gt;"",B2019&lt;&gt;""),1,0)</f>
        <v>0</v>
      </c>
      <c r="D2019" s="0" t="str">
        <f aca="false">IF(C2019=1,MOD(ABS(SIN(ROW()*12.9898+'הדבקת לידים'!$F$2*78.233+IFERROR(--RIGHT(A2019,6),LEN(A2019))*0.0137+IFERROR(--RIGHT(B2019,6),LEN(B2019))*0.0071))*43758.5453,1),"")</f>
        <v/>
      </c>
      <c r="E2019" s="0" t="str">
        <f aca="false">IF(C2019=1,INT(MOD(ABS(SIN(D2019*7919.123+ROW()*0.618+'הדבקת לידים'!$F$2*1.3))*43758.5453,1)*1000000)*10000+ROW(),"")</f>
        <v/>
      </c>
      <c r="F2019" s="0" t="str">
        <f aca="false">IF(E2019="","",RANK(E2019,$E$2:$E$5001,1))</f>
        <v/>
      </c>
      <c r="G2019" s="0" t="n">
        <f aca="false">IF(A2019="",0,IF(SUMPRODUCT(--($A$2:$A$5001=A2019))&gt;1,1,0))</f>
        <v>0</v>
      </c>
      <c r="H2019" s="0" t="n">
        <f aca="false">ROW()-1</f>
        <v>2018</v>
      </c>
      <c r="I2019" s="0" t="str">
        <f aca="false">IF(OR(הגדרות!$E$6=0,H2019&gt;הגדרות!$E$5),"",IF(H2019-1&lt;הגדרות!$E$8*(הגדרות!$E$7+1),INT((H2019-1)/(הגדרות!$E$7+1)),הגדרות!$E$8+INT((H2019-1-הגדרות!$E$8*(הגדרות!$E$7+1))/הגדרות!$E$7)))</f>
        <v/>
      </c>
      <c r="J2019" s="0" t="str">
        <f aca="false">IF(I2019="","",IF(H2019-1&lt;הגדרות!$E$8*(הגדרות!$E$7+1),MOD(H2019-1,הגדרות!$E$7+1),MOD(H2019-1-הגדרות!$E$8*(הגדרות!$E$7+1),הגדרות!$E$7)))</f>
        <v/>
      </c>
      <c r="K2019" s="0" t="str">
        <f aca="false">IF(I2019="","",J2019*הגדרות!$E$6+I2019+1)</f>
        <v/>
      </c>
      <c r="L2019" s="0" t="str">
        <f aca="false">IF(K2019="","",MATCH(K2019,$F$2:$F$5001,0))</f>
        <v/>
      </c>
      <c r="M2019" s="0" t="str">
        <f aca="false">IF(I2019="","",INDEX(הגדרות!$A$2:$A$21,MOD(I2019+הגדרות!$E$9,הגדרות!$E$6)+1))</f>
        <v/>
      </c>
    </row>
    <row r="2020" customFormat="false" ht="15" hidden="false" customHeight="false" outlineLevel="0" collapsed="false">
      <c r="A2020" s="0" t="str">
        <f aca="false">IF('הדבקת לידים'!A2020="","",IF(ISNUMBER('הדבקת לידים'!A2020),IF(הגדרות!$E$2&gt;0,TEXT('הדבקת לידים'!A2020,REPT("0",הגדרות!$E$2)),TEXT('הדבקת לידים'!A2020,"0")),TRIM('הדבקת לידים'!A2020)))</f>
        <v/>
      </c>
      <c r="B2020" s="0" t="str">
        <f aca="false">IF('הדבקת לידים'!B2020="","",IF(ISNUMBER('הדבקת לידים'!B2020),IF(הגדרות!$E$3&gt;0,TEXT('הדבקת לידים'!B2020,REPT("0",הגדרות!$E$3)),TEXT('הדבקת לידים'!B2020,"0")),TRIM('הדבקת לידים'!B2020)))</f>
        <v/>
      </c>
      <c r="C2020" s="0" t="n">
        <f aca="false">IF(OR(A2020&lt;&gt;"",B2020&lt;&gt;""),1,0)</f>
        <v>0</v>
      </c>
      <c r="D2020" s="0" t="str">
        <f aca="false">IF(C2020=1,MOD(ABS(SIN(ROW()*12.9898+'הדבקת לידים'!$F$2*78.233+IFERROR(--RIGHT(A2020,6),LEN(A2020))*0.0137+IFERROR(--RIGHT(B2020,6),LEN(B2020))*0.0071))*43758.5453,1),"")</f>
        <v/>
      </c>
      <c r="E2020" s="0" t="str">
        <f aca="false">IF(C2020=1,INT(MOD(ABS(SIN(D2020*7919.123+ROW()*0.618+'הדבקת לידים'!$F$2*1.3))*43758.5453,1)*1000000)*10000+ROW(),"")</f>
        <v/>
      </c>
      <c r="F2020" s="0" t="str">
        <f aca="false">IF(E2020="","",RANK(E2020,$E$2:$E$5001,1))</f>
        <v/>
      </c>
      <c r="G2020" s="0" t="n">
        <f aca="false">IF(A2020="",0,IF(SUMPRODUCT(--($A$2:$A$5001=A2020))&gt;1,1,0))</f>
        <v>0</v>
      </c>
      <c r="H2020" s="0" t="n">
        <f aca="false">ROW()-1</f>
        <v>2019</v>
      </c>
      <c r="I2020" s="0" t="str">
        <f aca="false">IF(OR(הגדרות!$E$6=0,H2020&gt;הגדרות!$E$5),"",IF(H2020-1&lt;הגדרות!$E$8*(הגדרות!$E$7+1),INT((H2020-1)/(הגדרות!$E$7+1)),הגדרות!$E$8+INT((H2020-1-הגדרות!$E$8*(הגדרות!$E$7+1))/הגדרות!$E$7)))</f>
        <v/>
      </c>
      <c r="J2020" s="0" t="str">
        <f aca="false">IF(I2020="","",IF(H2020-1&lt;הגדרות!$E$8*(הגדרות!$E$7+1),MOD(H2020-1,הגדרות!$E$7+1),MOD(H2020-1-הגדרות!$E$8*(הגדרות!$E$7+1),הגדרות!$E$7)))</f>
        <v/>
      </c>
      <c r="K2020" s="0" t="str">
        <f aca="false">IF(I2020="","",J2020*הגדרות!$E$6+I2020+1)</f>
        <v/>
      </c>
      <c r="L2020" s="0" t="str">
        <f aca="false">IF(K2020="","",MATCH(K2020,$F$2:$F$5001,0))</f>
        <v/>
      </c>
      <c r="M2020" s="0" t="str">
        <f aca="false">IF(I2020="","",INDEX(הגדרות!$A$2:$A$21,MOD(I2020+הגדרות!$E$9,הגדרות!$E$6)+1))</f>
        <v/>
      </c>
    </row>
    <row r="2021" customFormat="false" ht="15" hidden="false" customHeight="false" outlineLevel="0" collapsed="false">
      <c r="A2021" s="0" t="str">
        <f aca="false">IF('הדבקת לידים'!A2021="","",IF(ISNUMBER('הדבקת לידים'!A2021),IF(הגדרות!$E$2&gt;0,TEXT('הדבקת לידים'!A2021,REPT("0",הגדרות!$E$2)),TEXT('הדבקת לידים'!A2021,"0")),TRIM('הדבקת לידים'!A2021)))</f>
        <v/>
      </c>
      <c r="B2021" s="0" t="str">
        <f aca="false">IF('הדבקת לידים'!B2021="","",IF(ISNUMBER('הדבקת לידים'!B2021),IF(הגדרות!$E$3&gt;0,TEXT('הדבקת לידים'!B2021,REPT("0",הגדרות!$E$3)),TEXT('הדבקת לידים'!B2021,"0")),TRIM('הדבקת לידים'!B2021)))</f>
        <v/>
      </c>
      <c r="C2021" s="0" t="n">
        <f aca="false">IF(OR(A2021&lt;&gt;"",B2021&lt;&gt;""),1,0)</f>
        <v>0</v>
      </c>
      <c r="D2021" s="0" t="str">
        <f aca="false">IF(C2021=1,MOD(ABS(SIN(ROW()*12.9898+'הדבקת לידים'!$F$2*78.233+IFERROR(--RIGHT(A2021,6),LEN(A2021))*0.0137+IFERROR(--RIGHT(B2021,6),LEN(B2021))*0.0071))*43758.5453,1),"")</f>
        <v/>
      </c>
      <c r="E2021" s="0" t="str">
        <f aca="false">IF(C2021=1,INT(MOD(ABS(SIN(D2021*7919.123+ROW()*0.618+'הדבקת לידים'!$F$2*1.3))*43758.5453,1)*1000000)*10000+ROW(),"")</f>
        <v/>
      </c>
      <c r="F2021" s="0" t="str">
        <f aca="false">IF(E2021="","",RANK(E2021,$E$2:$E$5001,1))</f>
        <v/>
      </c>
      <c r="G2021" s="0" t="n">
        <f aca="false">IF(A2021="",0,IF(SUMPRODUCT(--($A$2:$A$5001=A2021))&gt;1,1,0))</f>
        <v>0</v>
      </c>
      <c r="H2021" s="0" t="n">
        <f aca="false">ROW()-1</f>
        <v>2020</v>
      </c>
      <c r="I2021" s="0" t="str">
        <f aca="false">IF(OR(הגדרות!$E$6=0,H2021&gt;הגדרות!$E$5),"",IF(H2021-1&lt;הגדרות!$E$8*(הגדרות!$E$7+1),INT((H2021-1)/(הגדרות!$E$7+1)),הגדרות!$E$8+INT((H2021-1-הגדרות!$E$8*(הגדרות!$E$7+1))/הגדרות!$E$7)))</f>
        <v/>
      </c>
      <c r="J2021" s="0" t="str">
        <f aca="false">IF(I2021="","",IF(H2021-1&lt;הגדרות!$E$8*(הגדרות!$E$7+1),MOD(H2021-1,הגדרות!$E$7+1),MOD(H2021-1-הגדרות!$E$8*(הגדרות!$E$7+1),הגדרות!$E$7)))</f>
        <v/>
      </c>
      <c r="K2021" s="0" t="str">
        <f aca="false">IF(I2021="","",J2021*הגדרות!$E$6+I2021+1)</f>
        <v/>
      </c>
      <c r="L2021" s="0" t="str">
        <f aca="false">IF(K2021="","",MATCH(K2021,$F$2:$F$5001,0))</f>
        <v/>
      </c>
      <c r="M2021" s="0" t="str">
        <f aca="false">IF(I2021="","",INDEX(הגדרות!$A$2:$A$21,MOD(I2021+הגדרות!$E$9,הגדרות!$E$6)+1))</f>
        <v/>
      </c>
    </row>
    <row r="2022" customFormat="false" ht="15" hidden="false" customHeight="false" outlineLevel="0" collapsed="false">
      <c r="A2022" s="0" t="str">
        <f aca="false">IF('הדבקת לידים'!A2022="","",IF(ISNUMBER('הדבקת לידים'!A2022),IF(הגדרות!$E$2&gt;0,TEXT('הדבקת לידים'!A2022,REPT("0",הגדרות!$E$2)),TEXT('הדבקת לידים'!A2022,"0")),TRIM('הדבקת לידים'!A2022)))</f>
        <v/>
      </c>
      <c r="B2022" s="0" t="str">
        <f aca="false">IF('הדבקת לידים'!B2022="","",IF(ISNUMBER('הדבקת לידים'!B2022),IF(הגדרות!$E$3&gt;0,TEXT('הדבקת לידים'!B2022,REPT("0",הגדרות!$E$3)),TEXT('הדבקת לידים'!B2022,"0")),TRIM('הדבקת לידים'!B2022)))</f>
        <v/>
      </c>
      <c r="C2022" s="0" t="n">
        <f aca="false">IF(OR(A2022&lt;&gt;"",B2022&lt;&gt;""),1,0)</f>
        <v>0</v>
      </c>
      <c r="D2022" s="0" t="str">
        <f aca="false">IF(C2022=1,MOD(ABS(SIN(ROW()*12.9898+'הדבקת לידים'!$F$2*78.233+IFERROR(--RIGHT(A2022,6),LEN(A2022))*0.0137+IFERROR(--RIGHT(B2022,6),LEN(B2022))*0.0071))*43758.5453,1),"")</f>
        <v/>
      </c>
      <c r="E2022" s="0" t="str">
        <f aca="false">IF(C2022=1,INT(MOD(ABS(SIN(D2022*7919.123+ROW()*0.618+'הדבקת לידים'!$F$2*1.3))*43758.5453,1)*1000000)*10000+ROW(),"")</f>
        <v/>
      </c>
      <c r="F2022" s="0" t="str">
        <f aca="false">IF(E2022="","",RANK(E2022,$E$2:$E$5001,1))</f>
        <v/>
      </c>
      <c r="G2022" s="0" t="n">
        <f aca="false">IF(A2022="",0,IF(SUMPRODUCT(--($A$2:$A$5001=A2022))&gt;1,1,0))</f>
        <v>0</v>
      </c>
      <c r="H2022" s="0" t="n">
        <f aca="false">ROW()-1</f>
        <v>2021</v>
      </c>
      <c r="I2022" s="0" t="str">
        <f aca="false">IF(OR(הגדרות!$E$6=0,H2022&gt;הגדרות!$E$5),"",IF(H2022-1&lt;הגדרות!$E$8*(הגדרות!$E$7+1),INT((H2022-1)/(הגדרות!$E$7+1)),הגדרות!$E$8+INT((H2022-1-הגדרות!$E$8*(הגדרות!$E$7+1))/הגדרות!$E$7)))</f>
        <v/>
      </c>
      <c r="J2022" s="0" t="str">
        <f aca="false">IF(I2022="","",IF(H2022-1&lt;הגדרות!$E$8*(הגדרות!$E$7+1),MOD(H2022-1,הגדרות!$E$7+1),MOD(H2022-1-הגדרות!$E$8*(הגדרות!$E$7+1),הגדרות!$E$7)))</f>
        <v/>
      </c>
      <c r="K2022" s="0" t="str">
        <f aca="false">IF(I2022="","",J2022*הגדרות!$E$6+I2022+1)</f>
        <v/>
      </c>
      <c r="L2022" s="0" t="str">
        <f aca="false">IF(K2022="","",MATCH(K2022,$F$2:$F$5001,0))</f>
        <v/>
      </c>
      <c r="M2022" s="0" t="str">
        <f aca="false">IF(I2022="","",INDEX(הגדרות!$A$2:$A$21,MOD(I2022+הגדרות!$E$9,הגדרות!$E$6)+1))</f>
        <v/>
      </c>
    </row>
    <row r="2023" customFormat="false" ht="15" hidden="false" customHeight="false" outlineLevel="0" collapsed="false">
      <c r="A2023" s="0" t="str">
        <f aca="false">IF('הדבקת לידים'!A2023="","",IF(ISNUMBER('הדבקת לידים'!A2023),IF(הגדרות!$E$2&gt;0,TEXT('הדבקת לידים'!A2023,REPT("0",הגדרות!$E$2)),TEXT('הדבקת לידים'!A2023,"0")),TRIM('הדבקת לידים'!A2023)))</f>
        <v/>
      </c>
      <c r="B2023" s="0" t="str">
        <f aca="false">IF('הדבקת לידים'!B2023="","",IF(ISNUMBER('הדבקת לידים'!B2023),IF(הגדרות!$E$3&gt;0,TEXT('הדבקת לידים'!B2023,REPT("0",הגדרות!$E$3)),TEXT('הדבקת לידים'!B2023,"0")),TRIM('הדבקת לידים'!B2023)))</f>
        <v/>
      </c>
      <c r="C2023" s="0" t="n">
        <f aca="false">IF(OR(A2023&lt;&gt;"",B2023&lt;&gt;""),1,0)</f>
        <v>0</v>
      </c>
      <c r="D2023" s="0" t="str">
        <f aca="false">IF(C2023=1,MOD(ABS(SIN(ROW()*12.9898+'הדבקת לידים'!$F$2*78.233+IFERROR(--RIGHT(A2023,6),LEN(A2023))*0.0137+IFERROR(--RIGHT(B2023,6),LEN(B2023))*0.0071))*43758.5453,1),"")</f>
        <v/>
      </c>
      <c r="E2023" s="0" t="str">
        <f aca="false">IF(C2023=1,INT(MOD(ABS(SIN(D2023*7919.123+ROW()*0.618+'הדבקת לידים'!$F$2*1.3))*43758.5453,1)*1000000)*10000+ROW(),"")</f>
        <v/>
      </c>
      <c r="F2023" s="0" t="str">
        <f aca="false">IF(E2023="","",RANK(E2023,$E$2:$E$5001,1))</f>
        <v/>
      </c>
      <c r="G2023" s="0" t="n">
        <f aca="false">IF(A2023="",0,IF(SUMPRODUCT(--($A$2:$A$5001=A2023))&gt;1,1,0))</f>
        <v>0</v>
      </c>
      <c r="H2023" s="0" t="n">
        <f aca="false">ROW()-1</f>
        <v>2022</v>
      </c>
      <c r="I2023" s="0" t="str">
        <f aca="false">IF(OR(הגדרות!$E$6=0,H2023&gt;הגדרות!$E$5),"",IF(H2023-1&lt;הגדרות!$E$8*(הגדרות!$E$7+1),INT((H2023-1)/(הגדרות!$E$7+1)),הגדרות!$E$8+INT((H2023-1-הגדרות!$E$8*(הגדרות!$E$7+1))/הגדרות!$E$7)))</f>
        <v/>
      </c>
      <c r="J2023" s="0" t="str">
        <f aca="false">IF(I2023="","",IF(H2023-1&lt;הגדרות!$E$8*(הגדרות!$E$7+1),MOD(H2023-1,הגדרות!$E$7+1),MOD(H2023-1-הגדרות!$E$8*(הגדרות!$E$7+1),הגדרות!$E$7)))</f>
        <v/>
      </c>
      <c r="K2023" s="0" t="str">
        <f aca="false">IF(I2023="","",J2023*הגדרות!$E$6+I2023+1)</f>
        <v/>
      </c>
      <c r="L2023" s="0" t="str">
        <f aca="false">IF(K2023="","",MATCH(K2023,$F$2:$F$5001,0))</f>
        <v/>
      </c>
      <c r="M2023" s="0" t="str">
        <f aca="false">IF(I2023="","",INDEX(הגדרות!$A$2:$A$21,MOD(I2023+הגדרות!$E$9,הגדרות!$E$6)+1))</f>
        <v/>
      </c>
    </row>
    <row r="2024" customFormat="false" ht="15" hidden="false" customHeight="false" outlineLevel="0" collapsed="false">
      <c r="A2024" s="0" t="str">
        <f aca="false">IF('הדבקת לידים'!A2024="","",IF(ISNUMBER('הדבקת לידים'!A2024),IF(הגדרות!$E$2&gt;0,TEXT('הדבקת לידים'!A2024,REPT("0",הגדרות!$E$2)),TEXT('הדבקת לידים'!A2024,"0")),TRIM('הדבקת לידים'!A2024)))</f>
        <v/>
      </c>
      <c r="B2024" s="0" t="str">
        <f aca="false">IF('הדבקת לידים'!B2024="","",IF(ISNUMBER('הדבקת לידים'!B2024),IF(הגדרות!$E$3&gt;0,TEXT('הדבקת לידים'!B2024,REPT("0",הגדרות!$E$3)),TEXT('הדבקת לידים'!B2024,"0")),TRIM('הדבקת לידים'!B2024)))</f>
        <v/>
      </c>
      <c r="C2024" s="0" t="n">
        <f aca="false">IF(OR(A2024&lt;&gt;"",B2024&lt;&gt;""),1,0)</f>
        <v>0</v>
      </c>
      <c r="D2024" s="0" t="str">
        <f aca="false">IF(C2024=1,MOD(ABS(SIN(ROW()*12.9898+'הדבקת לידים'!$F$2*78.233+IFERROR(--RIGHT(A2024,6),LEN(A2024))*0.0137+IFERROR(--RIGHT(B2024,6),LEN(B2024))*0.0071))*43758.5453,1),"")</f>
        <v/>
      </c>
      <c r="E2024" s="0" t="str">
        <f aca="false">IF(C2024=1,INT(MOD(ABS(SIN(D2024*7919.123+ROW()*0.618+'הדבקת לידים'!$F$2*1.3))*43758.5453,1)*1000000)*10000+ROW(),"")</f>
        <v/>
      </c>
      <c r="F2024" s="0" t="str">
        <f aca="false">IF(E2024="","",RANK(E2024,$E$2:$E$5001,1))</f>
        <v/>
      </c>
      <c r="G2024" s="0" t="n">
        <f aca="false">IF(A2024="",0,IF(SUMPRODUCT(--($A$2:$A$5001=A2024))&gt;1,1,0))</f>
        <v>0</v>
      </c>
      <c r="H2024" s="0" t="n">
        <f aca="false">ROW()-1</f>
        <v>2023</v>
      </c>
      <c r="I2024" s="0" t="str">
        <f aca="false">IF(OR(הגדרות!$E$6=0,H2024&gt;הגדרות!$E$5),"",IF(H2024-1&lt;הגדרות!$E$8*(הגדרות!$E$7+1),INT((H2024-1)/(הגדרות!$E$7+1)),הגדרות!$E$8+INT((H2024-1-הגדרות!$E$8*(הגדרות!$E$7+1))/הגדרות!$E$7)))</f>
        <v/>
      </c>
      <c r="J2024" s="0" t="str">
        <f aca="false">IF(I2024="","",IF(H2024-1&lt;הגדרות!$E$8*(הגדרות!$E$7+1),MOD(H2024-1,הגדרות!$E$7+1),MOD(H2024-1-הגדרות!$E$8*(הגדרות!$E$7+1),הגדרות!$E$7)))</f>
        <v/>
      </c>
      <c r="K2024" s="0" t="str">
        <f aca="false">IF(I2024="","",J2024*הגדרות!$E$6+I2024+1)</f>
        <v/>
      </c>
      <c r="L2024" s="0" t="str">
        <f aca="false">IF(K2024="","",MATCH(K2024,$F$2:$F$5001,0))</f>
        <v/>
      </c>
      <c r="M2024" s="0" t="str">
        <f aca="false">IF(I2024="","",INDEX(הגדרות!$A$2:$A$21,MOD(I2024+הגדרות!$E$9,הגדרות!$E$6)+1))</f>
        <v/>
      </c>
    </row>
    <row r="2025" customFormat="false" ht="15" hidden="false" customHeight="false" outlineLevel="0" collapsed="false">
      <c r="A2025" s="0" t="str">
        <f aca="false">IF('הדבקת לידים'!A2025="","",IF(ISNUMBER('הדבקת לידים'!A2025),IF(הגדרות!$E$2&gt;0,TEXT('הדבקת לידים'!A2025,REPT("0",הגדרות!$E$2)),TEXT('הדבקת לידים'!A2025,"0")),TRIM('הדבקת לידים'!A2025)))</f>
        <v/>
      </c>
      <c r="B2025" s="0" t="str">
        <f aca="false">IF('הדבקת לידים'!B2025="","",IF(ISNUMBER('הדבקת לידים'!B2025),IF(הגדרות!$E$3&gt;0,TEXT('הדבקת לידים'!B2025,REPT("0",הגדרות!$E$3)),TEXT('הדבקת לידים'!B2025,"0")),TRIM('הדבקת לידים'!B2025)))</f>
        <v/>
      </c>
      <c r="C2025" s="0" t="n">
        <f aca="false">IF(OR(A2025&lt;&gt;"",B2025&lt;&gt;""),1,0)</f>
        <v>0</v>
      </c>
      <c r="D2025" s="0" t="str">
        <f aca="false">IF(C2025=1,MOD(ABS(SIN(ROW()*12.9898+'הדבקת לידים'!$F$2*78.233+IFERROR(--RIGHT(A2025,6),LEN(A2025))*0.0137+IFERROR(--RIGHT(B2025,6),LEN(B2025))*0.0071))*43758.5453,1),"")</f>
        <v/>
      </c>
      <c r="E2025" s="0" t="str">
        <f aca="false">IF(C2025=1,INT(MOD(ABS(SIN(D2025*7919.123+ROW()*0.618+'הדבקת לידים'!$F$2*1.3))*43758.5453,1)*1000000)*10000+ROW(),"")</f>
        <v/>
      </c>
      <c r="F2025" s="0" t="str">
        <f aca="false">IF(E2025="","",RANK(E2025,$E$2:$E$5001,1))</f>
        <v/>
      </c>
      <c r="G2025" s="0" t="n">
        <f aca="false">IF(A2025="",0,IF(SUMPRODUCT(--($A$2:$A$5001=A2025))&gt;1,1,0))</f>
        <v>0</v>
      </c>
      <c r="H2025" s="0" t="n">
        <f aca="false">ROW()-1</f>
        <v>2024</v>
      </c>
      <c r="I2025" s="0" t="str">
        <f aca="false">IF(OR(הגדרות!$E$6=0,H2025&gt;הגדרות!$E$5),"",IF(H2025-1&lt;הגדרות!$E$8*(הגדרות!$E$7+1),INT((H2025-1)/(הגדרות!$E$7+1)),הגדרות!$E$8+INT((H2025-1-הגדרות!$E$8*(הגדרות!$E$7+1))/הגדרות!$E$7)))</f>
        <v/>
      </c>
      <c r="J2025" s="0" t="str">
        <f aca="false">IF(I2025="","",IF(H2025-1&lt;הגדרות!$E$8*(הגדרות!$E$7+1),MOD(H2025-1,הגדרות!$E$7+1),MOD(H2025-1-הגדרות!$E$8*(הגדרות!$E$7+1),הגדרות!$E$7)))</f>
        <v/>
      </c>
      <c r="K2025" s="0" t="str">
        <f aca="false">IF(I2025="","",J2025*הגדרות!$E$6+I2025+1)</f>
        <v/>
      </c>
      <c r="L2025" s="0" t="str">
        <f aca="false">IF(K2025="","",MATCH(K2025,$F$2:$F$5001,0))</f>
        <v/>
      </c>
      <c r="M2025" s="0" t="str">
        <f aca="false">IF(I2025="","",INDEX(הגדרות!$A$2:$A$21,MOD(I2025+הגדרות!$E$9,הגדרות!$E$6)+1))</f>
        <v/>
      </c>
    </row>
    <row r="2026" customFormat="false" ht="15" hidden="false" customHeight="false" outlineLevel="0" collapsed="false">
      <c r="A2026" s="0" t="str">
        <f aca="false">IF('הדבקת לידים'!A2026="","",IF(ISNUMBER('הדבקת לידים'!A2026),IF(הגדרות!$E$2&gt;0,TEXT('הדבקת לידים'!A2026,REPT("0",הגדרות!$E$2)),TEXT('הדבקת לידים'!A2026,"0")),TRIM('הדבקת לידים'!A2026)))</f>
        <v/>
      </c>
      <c r="B2026" s="0" t="str">
        <f aca="false">IF('הדבקת לידים'!B2026="","",IF(ISNUMBER('הדבקת לידים'!B2026),IF(הגדרות!$E$3&gt;0,TEXT('הדבקת לידים'!B2026,REPT("0",הגדרות!$E$3)),TEXT('הדבקת לידים'!B2026,"0")),TRIM('הדבקת לידים'!B2026)))</f>
        <v/>
      </c>
      <c r="C2026" s="0" t="n">
        <f aca="false">IF(OR(A2026&lt;&gt;"",B2026&lt;&gt;""),1,0)</f>
        <v>0</v>
      </c>
      <c r="D2026" s="0" t="str">
        <f aca="false">IF(C2026=1,MOD(ABS(SIN(ROW()*12.9898+'הדבקת לידים'!$F$2*78.233+IFERROR(--RIGHT(A2026,6),LEN(A2026))*0.0137+IFERROR(--RIGHT(B2026,6),LEN(B2026))*0.0071))*43758.5453,1),"")</f>
        <v/>
      </c>
      <c r="E2026" s="0" t="str">
        <f aca="false">IF(C2026=1,INT(MOD(ABS(SIN(D2026*7919.123+ROW()*0.618+'הדבקת לידים'!$F$2*1.3))*43758.5453,1)*1000000)*10000+ROW(),"")</f>
        <v/>
      </c>
      <c r="F2026" s="0" t="str">
        <f aca="false">IF(E2026="","",RANK(E2026,$E$2:$E$5001,1))</f>
        <v/>
      </c>
      <c r="G2026" s="0" t="n">
        <f aca="false">IF(A2026="",0,IF(SUMPRODUCT(--($A$2:$A$5001=A2026))&gt;1,1,0))</f>
        <v>0</v>
      </c>
      <c r="H2026" s="0" t="n">
        <f aca="false">ROW()-1</f>
        <v>2025</v>
      </c>
      <c r="I2026" s="0" t="str">
        <f aca="false">IF(OR(הגדרות!$E$6=0,H2026&gt;הגדרות!$E$5),"",IF(H2026-1&lt;הגדרות!$E$8*(הגדרות!$E$7+1),INT((H2026-1)/(הגדרות!$E$7+1)),הגדרות!$E$8+INT((H2026-1-הגדרות!$E$8*(הגדרות!$E$7+1))/הגדרות!$E$7)))</f>
        <v/>
      </c>
      <c r="J2026" s="0" t="str">
        <f aca="false">IF(I2026="","",IF(H2026-1&lt;הגדרות!$E$8*(הגדרות!$E$7+1),MOD(H2026-1,הגדרות!$E$7+1),MOD(H2026-1-הגדרות!$E$8*(הגדרות!$E$7+1),הגדרות!$E$7)))</f>
        <v/>
      </c>
      <c r="K2026" s="0" t="str">
        <f aca="false">IF(I2026="","",J2026*הגדרות!$E$6+I2026+1)</f>
        <v/>
      </c>
      <c r="L2026" s="0" t="str">
        <f aca="false">IF(K2026="","",MATCH(K2026,$F$2:$F$5001,0))</f>
        <v/>
      </c>
      <c r="M2026" s="0" t="str">
        <f aca="false">IF(I2026="","",INDEX(הגדרות!$A$2:$A$21,MOD(I2026+הגדרות!$E$9,הגדרות!$E$6)+1))</f>
        <v/>
      </c>
    </row>
    <row r="2027" customFormat="false" ht="15" hidden="false" customHeight="false" outlineLevel="0" collapsed="false">
      <c r="A2027" s="0" t="str">
        <f aca="false">IF('הדבקת לידים'!A2027="","",IF(ISNUMBER('הדבקת לידים'!A2027),IF(הגדרות!$E$2&gt;0,TEXT('הדבקת לידים'!A2027,REPT("0",הגדרות!$E$2)),TEXT('הדבקת לידים'!A2027,"0")),TRIM('הדבקת לידים'!A2027)))</f>
        <v/>
      </c>
      <c r="B2027" s="0" t="str">
        <f aca="false">IF('הדבקת לידים'!B2027="","",IF(ISNUMBER('הדבקת לידים'!B2027),IF(הגדרות!$E$3&gt;0,TEXT('הדבקת לידים'!B2027,REPT("0",הגדרות!$E$3)),TEXT('הדבקת לידים'!B2027,"0")),TRIM('הדבקת לידים'!B2027)))</f>
        <v/>
      </c>
      <c r="C2027" s="0" t="n">
        <f aca="false">IF(OR(A2027&lt;&gt;"",B2027&lt;&gt;""),1,0)</f>
        <v>0</v>
      </c>
      <c r="D2027" s="0" t="str">
        <f aca="false">IF(C2027=1,MOD(ABS(SIN(ROW()*12.9898+'הדבקת לידים'!$F$2*78.233+IFERROR(--RIGHT(A2027,6),LEN(A2027))*0.0137+IFERROR(--RIGHT(B2027,6),LEN(B2027))*0.0071))*43758.5453,1),"")</f>
        <v/>
      </c>
      <c r="E2027" s="0" t="str">
        <f aca="false">IF(C2027=1,INT(MOD(ABS(SIN(D2027*7919.123+ROW()*0.618+'הדבקת לידים'!$F$2*1.3))*43758.5453,1)*1000000)*10000+ROW(),"")</f>
        <v/>
      </c>
      <c r="F2027" s="0" t="str">
        <f aca="false">IF(E2027="","",RANK(E2027,$E$2:$E$5001,1))</f>
        <v/>
      </c>
      <c r="G2027" s="0" t="n">
        <f aca="false">IF(A2027="",0,IF(SUMPRODUCT(--($A$2:$A$5001=A2027))&gt;1,1,0))</f>
        <v>0</v>
      </c>
      <c r="H2027" s="0" t="n">
        <f aca="false">ROW()-1</f>
        <v>2026</v>
      </c>
      <c r="I2027" s="0" t="str">
        <f aca="false">IF(OR(הגדרות!$E$6=0,H2027&gt;הגדרות!$E$5),"",IF(H2027-1&lt;הגדרות!$E$8*(הגדרות!$E$7+1),INT((H2027-1)/(הגדרות!$E$7+1)),הגדרות!$E$8+INT((H2027-1-הגדרות!$E$8*(הגדרות!$E$7+1))/הגדרות!$E$7)))</f>
        <v/>
      </c>
      <c r="J2027" s="0" t="str">
        <f aca="false">IF(I2027="","",IF(H2027-1&lt;הגדרות!$E$8*(הגדרות!$E$7+1),MOD(H2027-1,הגדרות!$E$7+1),MOD(H2027-1-הגדרות!$E$8*(הגדרות!$E$7+1),הגדרות!$E$7)))</f>
        <v/>
      </c>
      <c r="K2027" s="0" t="str">
        <f aca="false">IF(I2027="","",J2027*הגדרות!$E$6+I2027+1)</f>
        <v/>
      </c>
      <c r="L2027" s="0" t="str">
        <f aca="false">IF(K2027="","",MATCH(K2027,$F$2:$F$5001,0))</f>
        <v/>
      </c>
      <c r="M2027" s="0" t="str">
        <f aca="false">IF(I2027="","",INDEX(הגדרות!$A$2:$A$21,MOD(I2027+הגדרות!$E$9,הגדרות!$E$6)+1))</f>
        <v/>
      </c>
    </row>
    <row r="2028" customFormat="false" ht="15" hidden="false" customHeight="false" outlineLevel="0" collapsed="false">
      <c r="A2028" s="0" t="str">
        <f aca="false">IF('הדבקת לידים'!A2028="","",IF(ISNUMBER('הדבקת לידים'!A2028),IF(הגדרות!$E$2&gt;0,TEXT('הדבקת לידים'!A2028,REPT("0",הגדרות!$E$2)),TEXT('הדבקת לידים'!A2028,"0")),TRIM('הדבקת לידים'!A2028)))</f>
        <v/>
      </c>
      <c r="B2028" s="0" t="str">
        <f aca="false">IF('הדבקת לידים'!B2028="","",IF(ISNUMBER('הדבקת לידים'!B2028),IF(הגדרות!$E$3&gt;0,TEXT('הדבקת לידים'!B2028,REPT("0",הגדרות!$E$3)),TEXT('הדבקת לידים'!B2028,"0")),TRIM('הדבקת לידים'!B2028)))</f>
        <v/>
      </c>
      <c r="C2028" s="0" t="n">
        <f aca="false">IF(OR(A2028&lt;&gt;"",B2028&lt;&gt;""),1,0)</f>
        <v>0</v>
      </c>
      <c r="D2028" s="0" t="str">
        <f aca="false">IF(C2028=1,MOD(ABS(SIN(ROW()*12.9898+'הדבקת לידים'!$F$2*78.233+IFERROR(--RIGHT(A2028,6),LEN(A2028))*0.0137+IFERROR(--RIGHT(B2028,6),LEN(B2028))*0.0071))*43758.5453,1),"")</f>
        <v/>
      </c>
      <c r="E2028" s="0" t="str">
        <f aca="false">IF(C2028=1,INT(MOD(ABS(SIN(D2028*7919.123+ROW()*0.618+'הדבקת לידים'!$F$2*1.3))*43758.5453,1)*1000000)*10000+ROW(),"")</f>
        <v/>
      </c>
      <c r="F2028" s="0" t="str">
        <f aca="false">IF(E2028="","",RANK(E2028,$E$2:$E$5001,1))</f>
        <v/>
      </c>
      <c r="G2028" s="0" t="n">
        <f aca="false">IF(A2028="",0,IF(SUMPRODUCT(--($A$2:$A$5001=A2028))&gt;1,1,0))</f>
        <v>0</v>
      </c>
      <c r="H2028" s="0" t="n">
        <f aca="false">ROW()-1</f>
        <v>2027</v>
      </c>
      <c r="I2028" s="0" t="str">
        <f aca="false">IF(OR(הגדרות!$E$6=0,H2028&gt;הגדרות!$E$5),"",IF(H2028-1&lt;הגדרות!$E$8*(הגדרות!$E$7+1),INT((H2028-1)/(הגדרות!$E$7+1)),הגדרות!$E$8+INT((H2028-1-הגדרות!$E$8*(הגדרות!$E$7+1))/הגדרות!$E$7)))</f>
        <v/>
      </c>
      <c r="J2028" s="0" t="str">
        <f aca="false">IF(I2028="","",IF(H2028-1&lt;הגדרות!$E$8*(הגדרות!$E$7+1),MOD(H2028-1,הגדרות!$E$7+1),MOD(H2028-1-הגדרות!$E$8*(הגדרות!$E$7+1),הגדרות!$E$7)))</f>
        <v/>
      </c>
      <c r="K2028" s="0" t="str">
        <f aca="false">IF(I2028="","",J2028*הגדרות!$E$6+I2028+1)</f>
        <v/>
      </c>
      <c r="L2028" s="0" t="str">
        <f aca="false">IF(K2028="","",MATCH(K2028,$F$2:$F$5001,0))</f>
        <v/>
      </c>
      <c r="M2028" s="0" t="str">
        <f aca="false">IF(I2028="","",INDEX(הגדרות!$A$2:$A$21,MOD(I2028+הגדרות!$E$9,הגדרות!$E$6)+1))</f>
        <v/>
      </c>
    </row>
    <row r="2029" customFormat="false" ht="15" hidden="false" customHeight="false" outlineLevel="0" collapsed="false">
      <c r="A2029" s="0" t="str">
        <f aca="false">IF('הדבקת לידים'!A2029="","",IF(ISNUMBER('הדבקת לידים'!A2029),IF(הגדרות!$E$2&gt;0,TEXT('הדבקת לידים'!A2029,REPT("0",הגדרות!$E$2)),TEXT('הדבקת לידים'!A2029,"0")),TRIM('הדבקת לידים'!A2029)))</f>
        <v/>
      </c>
      <c r="B2029" s="0" t="str">
        <f aca="false">IF('הדבקת לידים'!B2029="","",IF(ISNUMBER('הדבקת לידים'!B2029),IF(הגדרות!$E$3&gt;0,TEXT('הדבקת לידים'!B2029,REPT("0",הגדרות!$E$3)),TEXT('הדבקת לידים'!B2029,"0")),TRIM('הדבקת לידים'!B2029)))</f>
        <v/>
      </c>
      <c r="C2029" s="0" t="n">
        <f aca="false">IF(OR(A2029&lt;&gt;"",B2029&lt;&gt;""),1,0)</f>
        <v>0</v>
      </c>
      <c r="D2029" s="0" t="str">
        <f aca="false">IF(C2029=1,MOD(ABS(SIN(ROW()*12.9898+'הדבקת לידים'!$F$2*78.233+IFERROR(--RIGHT(A2029,6),LEN(A2029))*0.0137+IFERROR(--RIGHT(B2029,6),LEN(B2029))*0.0071))*43758.5453,1),"")</f>
        <v/>
      </c>
      <c r="E2029" s="0" t="str">
        <f aca="false">IF(C2029=1,INT(MOD(ABS(SIN(D2029*7919.123+ROW()*0.618+'הדבקת לידים'!$F$2*1.3))*43758.5453,1)*1000000)*10000+ROW(),"")</f>
        <v/>
      </c>
      <c r="F2029" s="0" t="str">
        <f aca="false">IF(E2029="","",RANK(E2029,$E$2:$E$5001,1))</f>
        <v/>
      </c>
      <c r="G2029" s="0" t="n">
        <f aca="false">IF(A2029="",0,IF(SUMPRODUCT(--($A$2:$A$5001=A2029))&gt;1,1,0))</f>
        <v>0</v>
      </c>
      <c r="H2029" s="0" t="n">
        <f aca="false">ROW()-1</f>
        <v>2028</v>
      </c>
      <c r="I2029" s="0" t="str">
        <f aca="false">IF(OR(הגדרות!$E$6=0,H2029&gt;הגדרות!$E$5),"",IF(H2029-1&lt;הגדרות!$E$8*(הגדרות!$E$7+1),INT((H2029-1)/(הגדרות!$E$7+1)),הגדרות!$E$8+INT((H2029-1-הגדרות!$E$8*(הגדרות!$E$7+1))/הגדרות!$E$7)))</f>
        <v/>
      </c>
      <c r="J2029" s="0" t="str">
        <f aca="false">IF(I2029="","",IF(H2029-1&lt;הגדרות!$E$8*(הגדרות!$E$7+1),MOD(H2029-1,הגדרות!$E$7+1),MOD(H2029-1-הגדרות!$E$8*(הגדרות!$E$7+1),הגדרות!$E$7)))</f>
        <v/>
      </c>
      <c r="K2029" s="0" t="str">
        <f aca="false">IF(I2029="","",J2029*הגדרות!$E$6+I2029+1)</f>
        <v/>
      </c>
      <c r="L2029" s="0" t="str">
        <f aca="false">IF(K2029="","",MATCH(K2029,$F$2:$F$5001,0))</f>
        <v/>
      </c>
      <c r="M2029" s="0" t="str">
        <f aca="false">IF(I2029="","",INDEX(הגדרות!$A$2:$A$21,MOD(I2029+הגדרות!$E$9,הגדרות!$E$6)+1))</f>
        <v/>
      </c>
    </row>
    <row r="2030" customFormat="false" ht="15" hidden="false" customHeight="false" outlineLevel="0" collapsed="false">
      <c r="A2030" s="0" t="str">
        <f aca="false">IF('הדבקת לידים'!A2030="","",IF(ISNUMBER('הדבקת לידים'!A2030),IF(הגדרות!$E$2&gt;0,TEXT('הדבקת לידים'!A2030,REPT("0",הגדרות!$E$2)),TEXT('הדבקת לידים'!A2030,"0")),TRIM('הדבקת לידים'!A2030)))</f>
        <v/>
      </c>
      <c r="B2030" s="0" t="str">
        <f aca="false">IF('הדבקת לידים'!B2030="","",IF(ISNUMBER('הדבקת לידים'!B2030),IF(הגדרות!$E$3&gt;0,TEXT('הדבקת לידים'!B2030,REPT("0",הגדרות!$E$3)),TEXT('הדבקת לידים'!B2030,"0")),TRIM('הדבקת לידים'!B2030)))</f>
        <v/>
      </c>
      <c r="C2030" s="0" t="n">
        <f aca="false">IF(OR(A2030&lt;&gt;"",B2030&lt;&gt;""),1,0)</f>
        <v>0</v>
      </c>
      <c r="D2030" s="0" t="str">
        <f aca="false">IF(C2030=1,MOD(ABS(SIN(ROW()*12.9898+'הדבקת לידים'!$F$2*78.233+IFERROR(--RIGHT(A2030,6),LEN(A2030))*0.0137+IFERROR(--RIGHT(B2030,6),LEN(B2030))*0.0071))*43758.5453,1),"")</f>
        <v/>
      </c>
      <c r="E2030" s="0" t="str">
        <f aca="false">IF(C2030=1,INT(MOD(ABS(SIN(D2030*7919.123+ROW()*0.618+'הדבקת לידים'!$F$2*1.3))*43758.5453,1)*1000000)*10000+ROW(),"")</f>
        <v/>
      </c>
      <c r="F2030" s="0" t="str">
        <f aca="false">IF(E2030="","",RANK(E2030,$E$2:$E$5001,1))</f>
        <v/>
      </c>
      <c r="G2030" s="0" t="n">
        <f aca="false">IF(A2030="",0,IF(SUMPRODUCT(--($A$2:$A$5001=A2030))&gt;1,1,0))</f>
        <v>0</v>
      </c>
      <c r="H2030" s="0" t="n">
        <f aca="false">ROW()-1</f>
        <v>2029</v>
      </c>
      <c r="I2030" s="0" t="str">
        <f aca="false">IF(OR(הגדרות!$E$6=0,H2030&gt;הגדרות!$E$5),"",IF(H2030-1&lt;הגדרות!$E$8*(הגדרות!$E$7+1),INT((H2030-1)/(הגדרות!$E$7+1)),הגדרות!$E$8+INT((H2030-1-הגדרות!$E$8*(הגדרות!$E$7+1))/הגדרות!$E$7)))</f>
        <v/>
      </c>
      <c r="J2030" s="0" t="str">
        <f aca="false">IF(I2030="","",IF(H2030-1&lt;הגדרות!$E$8*(הגדרות!$E$7+1),MOD(H2030-1,הגדרות!$E$7+1),MOD(H2030-1-הגדרות!$E$8*(הגדרות!$E$7+1),הגדרות!$E$7)))</f>
        <v/>
      </c>
      <c r="K2030" s="0" t="str">
        <f aca="false">IF(I2030="","",J2030*הגדרות!$E$6+I2030+1)</f>
        <v/>
      </c>
      <c r="L2030" s="0" t="str">
        <f aca="false">IF(K2030="","",MATCH(K2030,$F$2:$F$5001,0))</f>
        <v/>
      </c>
      <c r="M2030" s="0" t="str">
        <f aca="false">IF(I2030="","",INDEX(הגדרות!$A$2:$A$21,MOD(I2030+הגדרות!$E$9,הגדרות!$E$6)+1))</f>
        <v/>
      </c>
    </row>
    <row r="2031" customFormat="false" ht="15" hidden="false" customHeight="false" outlineLevel="0" collapsed="false">
      <c r="A2031" s="0" t="str">
        <f aca="false">IF('הדבקת לידים'!A2031="","",IF(ISNUMBER('הדבקת לידים'!A2031),IF(הגדרות!$E$2&gt;0,TEXT('הדבקת לידים'!A2031,REPT("0",הגדרות!$E$2)),TEXT('הדבקת לידים'!A2031,"0")),TRIM('הדבקת לידים'!A2031)))</f>
        <v/>
      </c>
      <c r="B2031" s="0" t="str">
        <f aca="false">IF('הדבקת לידים'!B2031="","",IF(ISNUMBER('הדבקת לידים'!B2031),IF(הגדרות!$E$3&gt;0,TEXT('הדבקת לידים'!B2031,REPT("0",הגדרות!$E$3)),TEXT('הדבקת לידים'!B2031,"0")),TRIM('הדבקת לידים'!B2031)))</f>
        <v/>
      </c>
      <c r="C2031" s="0" t="n">
        <f aca="false">IF(OR(A2031&lt;&gt;"",B2031&lt;&gt;""),1,0)</f>
        <v>0</v>
      </c>
      <c r="D2031" s="0" t="str">
        <f aca="false">IF(C2031=1,MOD(ABS(SIN(ROW()*12.9898+'הדבקת לידים'!$F$2*78.233+IFERROR(--RIGHT(A2031,6),LEN(A2031))*0.0137+IFERROR(--RIGHT(B2031,6),LEN(B2031))*0.0071))*43758.5453,1),"")</f>
        <v/>
      </c>
      <c r="E2031" s="0" t="str">
        <f aca="false">IF(C2031=1,INT(MOD(ABS(SIN(D2031*7919.123+ROW()*0.618+'הדבקת לידים'!$F$2*1.3))*43758.5453,1)*1000000)*10000+ROW(),"")</f>
        <v/>
      </c>
      <c r="F2031" s="0" t="str">
        <f aca="false">IF(E2031="","",RANK(E2031,$E$2:$E$5001,1))</f>
        <v/>
      </c>
      <c r="G2031" s="0" t="n">
        <f aca="false">IF(A2031="",0,IF(SUMPRODUCT(--($A$2:$A$5001=A2031))&gt;1,1,0))</f>
        <v>0</v>
      </c>
      <c r="H2031" s="0" t="n">
        <f aca="false">ROW()-1</f>
        <v>2030</v>
      </c>
      <c r="I2031" s="0" t="str">
        <f aca="false">IF(OR(הגדרות!$E$6=0,H2031&gt;הגדרות!$E$5),"",IF(H2031-1&lt;הגדרות!$E$8*(הגדרות!$E$7+1),INT((H2031-1)/(הגדרות!$E$7+1)),הגדרות!$E$8+INT((H2031-1-הגדרות!$E$8*(הגדרות!$E$7+1))/הגדרות!$E$7)))</f>
        <v/>
      </c>
      <c r="J2031" s="0" t="str">
        <f aca="false">IF(I2031="","",IF(H2031-1&lt;הגדרות!$E$8*(הגדרות!$E$7+1),MOD(H2031-1,הגדרות!$E$7+1),MOD(H2031-1-הגדרות!$E$8*(הגדרות!$E$7+1),הגדרות!$E$7)))</f>
        <v/>
      </c>
      <c r="K2031" s="0" t="str">
        <f aca="false">IF(I2031="","",J2031*הגדרות!$E$6+I2031+1)</f>
        <v/>
      </c>
      <c r="L2031" s="0" t="str">
        <f aca="false">IF(K2031="","",MATCH(K2031,$F$2:$F$5001,0))</f>
        <v/>
      </c>
      <c r="M2031" s="0" t="str">
        <f aca="false">IF(I2031="","",INDEX(הגדרות!$A$2:$A$21,MOD(I2031+הגדרות!$E$9,הגדרות!$E$6)+1))</f>
        <v/>
      </c>
    </row>
    <row r="2032" customFormat="false" ht="15" hidden="false" customHeight="false" outlineLevel="0" collapsed="false">
      <c r="A2032" s="0" t="str">
        <f aca="false">IF('הדבקת לידים'!A2032="","",IF(ISNUMBER('הדבקת לידים'!A2032),IF(הגדרות!$E$2&gt;0,TEXT('הדבקת לידים'!A2032,REPT("0",הגדרות!$E$2)),TEXT('הדבקת לידים'!A2032,"0")),TRIM('הדבקת לידים'!A2032)))</f>
        <v/>
      </c>
      <c r="B2032" s="0" t="str">
        <f aca="false">IF('הדבקת לידים'!B2032="","",IF(ISNUMBER('הדבקת לידים'!B2032),IF(הגדרות!$E$3&gt;0,TEXT('הדבקת לידים'!B2032,REPT("0",הגדרות!$E$3)),TEXT('הדבקת לידים'!B2032,"0")),TRIM('הדבקת לידים'!B2032)))</f>
        <v/>
      </c>
      <c r="C2032" s="0" t="n">
        <f aca="false">IF(OR(A2032&lt;&gt;"",B2032&lt;&gt;""),1,0)</f>
        <v>0</v>
      </c>
      <c r="D2032" s="0" t="str">
        <f aca="false">IF(C2032=1,MOD(ABS(SIN(ROW()*12.9898+'הדבקת לידים'!$F$2*78.233+IFERROR(--RIGHT(A2032,6),LEN(A2032))*0.0137+IFERROR(--RIGHT(B2032,6),LEN(B2032))*0.0071))*43758.5453,1),"")</f>
        <v/>
      </c>
      <c r="E2032" s="0" t="str">
        <f aca="false">IF(C2032=1,INT(MOD(ABS(SIN(D2032*7919.123+ROW()*0.618+'הדבקת לידים'!$F$2*1.3))*43758.5453,1)*1000000)*10000+ROW(),"")</f>
        <v/>
      </c>
      <c r="F2032" s="0" t="str">
        <f aca="false">IF(E2032="","",RANK(E2032,$E$2:$E$5001,1))</f>
        <v/>
      </c>
      <c r="G2032" s="0" t="n">
        <f aca="false">IF(A2032="",0,IF(SUMPRODUCT(--($A$2:$A$5001=A2032))&gt;1,1,0))</f>
        <v>0</v>
      </c>
      <c r="H2032" s="0" t="n">
        <f aca="false">ROW()-1</f>
        <v>2031</v>
      </c>
      <c r="I2032" s="0" t="str">
        <f aca="false">IF(OR(הגדרות!$E$6=0,H2032&gt;הגדרות!$E$5),"",IF(H2032-1&lt;הגדרות!$E$8*(הגדרות!$E$7+1),INT((H2032-1)/(הגדרות!$E$7+1)),הגדרות!$E$8+INT((H2032-1-הגדרות!$E$8*(הגדרות!$E$7+1))/הגדרות!$E$7)))</f>
        <v/>
      </c>
      <c r="J2032" s="0" t="str">
        <f aca="false">IF(I2032="","",IF(H2032-1&lt;הגדרות!$E$8*(הגדרות!$E$7+1),MOD(H2032-1,הגדרות!$E$7+1),MOD(H2032-1-הגדרות!$E$8*(הגדרות!$E$7+1),הגדרות!$E$7)))</f>
        <v/>
      </c>
      <c r="K2032" s="0" t="str">
        <f aca="false">IF(I2032="","",J2032*הגדרות!$E$6+I2032+1)</f>
        <v/>
      </c>
      <c r="L2032" s="0" t="str">
        <f aca="false">IF(K2032="","",MATCH(K2032,$F$2:$F$5001,0))</f>
        <v/>
      </c>
      <c r="M2032" s="0" t="str">
        <f aca="false">IF(I2032="","",INDEX(הגדרות!$A$2:$A$21,MOD(I2032+הגדרות!$E$9,הגדרות!$E$6)+1))</f>
        <v/>
      </c>
    </row>
    <row r="2033" customFormat="false" ht="15" hidden="false" customHeight="false" outlineLevel="0" collapsed="false">
      <c r="A2033" s="0" t="str">
        <f aca="false">IF('הדבקת לידים'!A2033="","",IF(ISNUMBER('הדבקת לידים'!A2033),IF(הגדרות!$E$2&gt;0,TEXT('הדבקת לידים'!A2033,REPT("0",הגדרות!$E$2)),TEXT('הדבקת לידים'!A2033,"0")),TRIM('הדבקת לידים'!A2033)))</f>
        <v/>
      </c>
      <c r="B2033" s="0" t="str">
        <f aca="false">IF('הדבקת לידים'!B2033="","",IF(ISNUMBER('הדבקת לידים'!B2033),IF(הגדרות!$E$3&gt;0,TEXT('הדבקת לידים'!B2033,REPT("0",הגדרות!$E$3)),TEXT('הדבקת לידים'!B2033,"0")),TRIM('הדבקת לידים'!B2033)))</f>
        <v/>
      </c>
      <c r="C2033" s="0" t="n">
        <f aca="false">IF(OR(A2033&lt;&gt;"",B2033&lt;&gt;""),1,0)</f>
        <v>0</v>
      </c>
      <c r="D2033" s="0" t="str">
        <f aca="false">IF(C2033=1,MOD(ABS(SIN(ROW()*12.9898+'הדבקת לידים'!$F$2*78.233+IFERROR(--RIGHT(A2033,6),LEN(A2033))*0.0137+IFERROR(--RIGHT(B2033,6),LEN(B2033))*0.0071))*43758.5453,1),"")</f>
        <v/>
      </c>
      <c r="E2033" s="0" t="str">
        <f aca="false">IF(C2033=1,INT(MOD(ABS(SIN(D2033*7919.123+ROW()*0.618+'הדבקת לידים'!$F$2*1.3))*43758.5453,1)*1000000)*10000+ROW(),"")</f>
        <v/>
      </c>
      <c r="F2033" s="0" t="str">
        <f aca="false">IF(E2033="","",RANK(E2033,$E$2:$E$5001,1))</f>
        <v/>
      </c>
      <c r="G2033" s="0" t="n">
        <f aca="false">IF(A2033="",0,IF(SUMPRODUCT(--($A$2:$A$5001=A2033))&gt;1,1,0))</f>
        <v>0</v>
      </c>
      <c r="H2033" s="0" t="n">
        <f aca="false">ROW()-1</f>
        <v>2032</v>
      </c>
      <c r="I2033" s="0" t="str">
        <f aca="false">IF(OR(הגדרות!$E$6=0,H2033&gt;הגדרות!$E$5),"",IF(H2033-1&lt;הגדרות!$E$8*(הגדרות!$E$7+1),INT((H2033-1)/(הגדרות!$E$7+1)),הגדרות!$E$8+INT((H2033-1-הגדרות!$E$8*(הגדרות!$E$7+1))/הגדרות!$E$7)))</f>
        <v/>
      </c>
      <c r="J2033" s="0" t="str">
        <f aca="false">IF(I2033="","",IF(H2033-1&lt;הגדרות!$E$8*(הגדרות!$E$7+1),MOD(H2033-1,הגדרות!$E$7+1),MOD(H2033-1-הגדרות!$E$8*(הגדרות!$E$7+1),הגדרות!$E$7)))</f>
        <v/>
      </c>
      <c r="K2033" s="0" t="str">
        <f aca="false">IF(I2033="","",J2033*הגדרות!$E$6+I2033+1)</f>
        <v/>
      </c>
      <c r="L2033" s="0" t="str">
        <f aca="false">IF(K2033="","",MATCH(K2033,$F$2:$F$5001,0))</f>
        <v/>
      </c>
      <c r="M2033" s="0" t="str">
        <f aca="false">IF(I2033="","",INDEX(הגדרות!$A$2:$A$21,MOD(I2033+הגדרות!$E$9,הגדרות!$E$6)+1))</f>
        <v/>
      </c>
    </row>
    <row r="2034" customFormat="false" ht="15" hidden="false" customHeight="false" outlineLevel="0" collapsed="false">
      <c r="A2034" s="0" t="str">
        <f aca="false">IF('הדבקת לידים'!A2034="","",IF(ISNUMBER('הדבקת לידים'!A2034),IF(הגדרות!$E$2&gt;0,TEXT('הדבקת לידים'!A2034,REPT("0",הגדרות!$E$2)),TEXT('הדבקת לידים'!A2034,"0")),TRIM('הדבקת לידים'!A2034)))</f>
        <v/>
      </c>
      <c r="B2034" s="0" t="str">
        <f aca="false">IF('הדבקת לידים'!B2034="","",IF(ISNUMBER('הדבקת לידים'!B2034),IF(הגדרות!$E$3&gt;0,TEXT('הדבקת לידים'!B2034,REPT("0",הגדרות!$E$3)),TEXT('הדבקת לידים'!B2034,"0")),TRIM('הדבקת לידים'!B2034)))</f>
        <v/>
      </c>
      <c r="C2034" s="0" t="n">
        <f aca="false">IF(OR(A2034&lt;&gt;"",B2034&lt;&gt;""),1,0)</f>
        <v>0</v>
      </c>
      <c r="D2034" s="0" t="str">
        <f aca="false">IF(C2034=1,MOD(ABS(SIN(ROW()*12.9898+'הדבקת לידים'!$F$2*78.233+IFERROR(--RIGHT(A2034,6),LEN(A2034))*0.0137+IFERROR(--RIGHT(B2034,6),LEN(B2034))*0.0071))*43758.5453,1),"")</f>
        <v/>
      </c>
      <c r="E2034" s="0" t="str">
        <f aca="false">IF(C2034=1,INT(MOD(ABS(SIN(D2034*7919.123+ROW()*0.618+'הדבקת לידים'!$F$2*1.3))*43758.5453,1)*1000000)*10000+ROW(),"")</f>
        <v/>
      </c>
      <c r="F2034" s="0" t="str">
        <f aca="false">IF(E2034="","",RANK(E2034,$E$2:$E$5001,1))</f>
        <v/>
      </c>
      <c r="G2034" s="0" t="n">
        <f aca="false">IF(A2034="",0,IF(SUMPRODUCT(--($A$2:$A$5001=A2034))&gt;1,1,0))</f>
        <v>0</v>
      </c>
      <c r="H2034" s="0" t="n">
        <f aca="false">ROW()-1</f>
        <v>2033</v>
      </c>
      <c r="I2034" s="0" t="str">
        <f aca="false">IF(OR(הגדרות!$E$6=0,H2034&gt;הגדרות!$E$5),"",IF(H2034-1&lt;הגדרות!$E$8*(הגדרות!$E$7+1),INT((H2034-1)/(הגדרות!$E$7+1)),הגדרות!$E$8+INT((H2034-1-הגדרות!$E$8*(הגדרות!$E$7+1))/הגדרות!$E$7)))</f>
        <v/>
      </c>
      <c r="J2034" s="0" t="str">
        <f aca="false">IF(I2034="","",IF(H2034-1&lt;הגדרות!$E$8*(הגדרות!$E$7+1),MOD(H2034-1,הגדרות!$E$7+1),MOD(H2034-1-הגדרות!$E$8*(הגדרות!$E$7+1),הגדרות!$E$7)))</f>
        <v/>
      </c>
      <c r="K2034" s="0" t="str">
        <f aca="false">IF(I2034="","",J2034*הגדרות!$E$6+I2034+1)</f>
        <v/>
      </c>
      <c r="L2034" s="0" t="str">
        <f aca="false">IF(K2034="","",MATCH(K2034,$F$2:$F$5001,0))</f>
        <v/>
      </c>
      <c r="M2034" s="0" t="str">
        <f aca="false">IF(I2034="","",INDEX(הגדרות!$A$2:$A$21,MOD(I2034+הגדרות!$E$9,הגדרות!$E$6)+1))</f>
        <v/>
      </c>
    </row>
    <row r="2035" customFormat="false" ht="15" hidden="false" customHeight="false" outlineLevel="0" collapsed="false">
      <c r="A2035" s="0" t="str">
        <f aca="false">IF('הדבקת לידים'!A2035="","",IF(ISNUMBER('הדבקת לידים'!A2035),IF(הגדרות!$E$2&gt;0,TEXT('הדבקת לידים'!A2035,REPT("0",הגדרות!$E$2)),TEXT('הדבקת לידים'!A2035,"0")),TRIM('הדבקת לידים'!A2035)))</f>
        <v/>
      </c>
      <c r="B2035" s="0" t="str">
        <f aca="false">IF('הדבקת לידים'!B2035="","",IF(ISNUMBER('הדבקת לידים'!B2035),IF(הגדרות!$E$3&gt;0,TEXT('הדבקת לידים'!B2035,REPT("0",הגדרות!$E$3)),TEXT('הדבקת לידים'!B2035,"0")),TRIM('הדבקת לידים'!B2035)))</f>
        <v/>
      </c>
      <c r="C2035" s="0" t="n">
        <f aca="false">IF(OR(A2035&lt;&gt;"",B2035&lt;&gt;""),1,0)</f>
        <v>0</v>
      </c>
      <c r="D2035" s="0" t="str">
        <f aca="false">IF(C2035=1,MOD(ABS(SIN(ROW()*12.9898+'הדבקת לידים'!$F$2*78.233+IFERROR(--RIGHT(A2035,6),LEN(A2035))*0.0137+IFERROR(--RIGHT(B2035,6),LEN(B2035))*0.0071))*43758.5453,1),"")</f>
        <v/>
      </c>
      <c r="E2035" s="0" t="str">
        <f aca="false">IF(C2035=1,INT(MOD(ABS(SIN(D2035*7919.123+ROW()*0.618+'הדבקת לידים'!$F$2*1.3))*43758.5453,1)*1000000)*10000+ROW(),"")</f>
        <v/>
      </c>
      <c r="F2035" s="0" t="str">
        <f aca="false">IF(E2035="","",RANK(E2035,$E$2:$E$5001,1))</f>
        <v/>
      </c>
      <c r="G2035" s="0" t="n">
        <f aca="false">IF(A2035="",0,IF(SUMPRODUCT(--($A$2:$A$5001=A2035))&gt;1,1,0))</f>
        <v>0</v>
      </c>
      <c r="H2035" s="0" t="n">
        <f aca="false">ROW()-1</f>
        <v>2034</v>
      </c>
      <c r="I2035" s="0" t="str">
        <f aca="false">IF(OR(הגדרות!$E$6=0,H2035&gt;הגדרות!$E$5),"",IF(H2035-1&lt;הגדרות!$E$8*(הגדרות!$E$7+1),INT((H2035-1)/(הגדרות!$E$7+1)),הגדרות!$E$8+INT((H2035-1-הגדרות!$E$8*(הגדרות!$E$7+1))/הגדרות!$E$7)))</f>
        <v/>
      </c>
      <c r="J2035" s="0" t="str">
        <f aca="false">IF(I2035="","",IF(H2035-1&lt;הגדרות!$E$8*(הגדרות!$E$7+1),MOD(H2035-1,הגדרות!$E$7+1),MOD(H2035-1-הגדרות!$E$8*(הגדרות!$E$7+1),הגדרות!$E$7)))</f>
        <v/>
      </c>
      <c r="K2035" s="0" t="str">
        <f aca="false">IF(I2035="","",J2035*הגדרות!$E$6+I2035+1)</f>
        <v/>
      </c>
      <c r="L2035" s="0" t="str">
        <f aca="false">IF(K2035="","",MATCH(K2035,$F$2:$F$5001,0))</f>
        <v/>
      </c>
      <c r="M2035" s="0" t="str">
        <f aca="false">IF(I2035="","",INDEX(הגדרות!$A$2:$A$21,MOD(I2035+הגדרות!$E$9,הגדרות!$E$6)+1))</f>
        <v/>
      </c>
    </row>
    <row r="2036" customFormat="false" ht="15" hidden="false" customHeight="false" outlineLevel="0" collapsed="false">
      <c r="A2036" s="0" t="str">
        <f aca="false">IF('הדבקת לידים'!A2036="","",IF(ISNUMBER('הדבקת לידים'!A2036),IF(הגדרות!$E$2&gt;0,TEXT('הדבקת לידים'!A2036,REPT("0",הגדרות!$E$2)),TEXT('הדבקת לידים'!A2036,"0")),TRIM('הדבקת לידים'!A2036)))</f>
        <v/>
      </c>
      <c r="B2036" s="0" t="str">
        <f aca="false">IF('הדבקת לידים'!B2036="","",IF(ISNUMBER('הדבקת לידים'!B2036),IF(הגדרות!$E$3&gt;0,TEXT('הדבקת לידים'!B2036,REPT("0",הגדרות!$E$3)),TEXT('הדבקת לידים'!B2036,"0")),TRIM('הדבקת לידים'!B2036)))</f>
        <v/>
      </c>
      <c r="C2036" s="0" t="n">
        <f aca="false">IF(OR(A2036&lt;&gt;"",B2036&lt;&gt;""),1,0)</f>
        <v>0</v>
      </c>
      <c r="D2036" s="0" t="str">
        <f aca="false">IF(C2036=1,MOD(ABS(SIN(ROW()*12.9898+'הדבקת לידים'!$F$2*78.233+IFERROR(--RIGHT(A2036,6),LEN(A2036))*0.0137+IFERROR(--RIGHT(B2036,6),LEN(B2036))*0.0071))*43758.5453,1),"")</f>
        <v/>
      </c>
      <c r="E2036" s="0" t="str">
        <f aca="false">IF(C2036=1,INT(MOD(ABS(SIN(D2036*7919.123+ROW()*0.618+'הדבקת לידים'!$F$2*1.3))*43758.5453,1)*1000000)*10000+ROW(),"")</f>
        <v/>
      </c>
      <c r="F2036" s="0" t="str">
        <f aca="false">IF(E2036="","",RANK(E2036,$E$2:$E$5001,1))</f>
        <v/>
      </c>
      <c r="G2036" s="0" t="n">
        <f aca="false">IF(A2036="",0,IF(SUMPRODUCT(--($A$2:$A$5001=A2036))&gt;1,1,0))</f>
        <v>0</v>
      </c>
      <c r="H2036" s="0" t="n">
        <f aca="false">ROW()-1</f>
        <v>2035</v>
      </c>
      <c r="I2036" s="0" t="str">
        <f aca="false">IF(OR(הגדרות!$E$6=0,H2036&gt;הגדרות!$E$5),"",IF(H2036-1&lt;הגדרות!$E$8*(הגדרות!$E$7+1),INT((H2036-1)/(הגדרות!$E$7+1)),הגדרות!$E$8+INT((H2036-1-הגדרות!$E$8*(הגדרות!$E$7+1))/הגדרות!$E$7)))</f>
        <v/>
      </c>
      <c r="J2036" s="0" t="str">
        <f aca="false">IF(I2036="","",IF(H2036-1&lt;הגדרות!$E$8*(הגדרות!$E$7+1),MOD(H2036-1,הגדרות!$E$7+1),MOD(H2036-1-הגדרות!$E$8*(הגדרות!$E$7+1),הגדרות!$E$7)))</f>
        <v/>
      </c>
      <c r="K2036" s="0" t="str">
        <f aca="false">IF(I2036="","",J2036*הגדרות!$E$6+I2036+1)</f>
        <v/>
      </c>
      <c r="L2036" s="0" t="str">
        <f aca="false">IF(K2036="","",MATCH(K2036,$F$2:$F$5001,0))</f>
        <v/>
      </c>
      <c r="M2036" s="0" t="str">
        <f aca="false">IF(I2036="","",INDEX(הגדרות!$A$2:$A$21,MOD(I2036+הגדרות!$E$9,הגדרות!$E$6)+1))</f>
        <v/>
      </c>
    </row>
    <row r="2037" customFormat="false" ht="15" hidden="false" customHeight="false" outlineLevel="0" collapsed="false">
      <c r="A2037" s="0" t="str">
        <f aca="false">IF('הדבקת לידים'!A2037="","",IF(ISNUMBER('הדבקת לידים'!A2037),IF(הגדרות!$E$2&gt;0,TEXT('הדבקת לידים'!A2037,REPT("0",הגדרות!$E$2)),TEXT('הדבקת לידים'!A2037,"0")),TRIM('הדבקת לידים'!A2037)))</f>
        <v/>
      </c>
      <c r="B2037" s="0" t="str">
        <f aca="false">IF('הדבקת לידים'!B2037="","",IF(ISNUMBER('הדבקת לידים'!B2037),IF(הגדרות!$E$3&gt;0,TEXT('הדבקת לידים'!B2037,REPT("0",הגדרות!$E$3)),TEXT('הדבקת לידים'!B2037,"0")),TRIM('הדבקת לידים'!B2037)))</f>
        <v/>
      </c>
      <c r="C2037" s="0" t="n">
        <f aca="false">IF(OR(A2037&lt;&gt;"",B2037&lt;&gt;""),1,0)</f>
        <v>0</v>
      </c>
      <c r="D2037" s="0" t="str">
        <f aca="false">IF(C2037=1,MOD(ABS(SIN(ROW()*12.9898+'הדבקת לידים'!$F$2*78.233+IFERROR(--RIGHT(A2037,6),LEN(A2037))*0.0137+IFERROR(--RIGHT(B2037,6),LEN(B2037))*0.0071))*43758.5453,1),"")</f>
        <v/>
      </c>
      <c r="E2037" s="0" t="str">
        <f aca="false">IF(C2037=1,INT(MOD(ABS(SIN(D2037*7919.123+ROW()*0.618+'הדבקת לידים'!$F$2*1.3))*43758.5453,1)*1000000)*10000+ROW(),"")</f>
        <v/>
      </c>
      <c r="F2037" s="0" t="str">
        <f aca="false">IF(E2037="","",RANK(E2037,$E$2:$E$5001,1))</f>
        <v/>
      </c>
      <c r="G2037" s="0" t="n">
        <f aca="false">IF(A2037="",0,IF(SUMPRODUCT(--($A$2:$A$5001=A2037))&gt;1,1,0))</f>
        <v>0</v>
      </c>
      <c r="H2037" s="0" t="n">
        <f aca="false">ROW()-1</f>
        <v>2036</v>
      </c>
      <c r="I2037" s="0" t="str">
        <f aca="false">IF(OR(הגדרות!$E$6=0,H2037&gt;הגדרות!$E$5),"",IF(H2037-1&lt;הגדרות!$E$8*(הגדרות!$E$7+1),INT((H2037-1)/(הגדרות!$E$7+1)),הגדרות!$E$8+INT((H2037-1-הגדרות!$E$8*(הגדרות!$E$7+1))/הגדרות!$E$7)))</f>
        <v/>
      </c>
      <c r="J2037" s="0" t="str">
        <f aca="false">IF(I2037="","",IF(H2037-1&lt;הגדרות!$E$8*(הגדרות!$E$7+1),MOD(H2037-1,הגדרות!$E$7+1),MOD(H2037-1-הגדרות!$E$8*(הגדרות!$E$7+1),הגדרות!$E$7)))</f>
        <v/>
      </c>
      <c r="K2037" s="0" t="str">
        <f aca="false">IF(I2037="","",J2037*הגדרות!$E$6+I2037+1)</f>
        <v/>
      </c>
      <c r="L2037" s="0" t="str">
        <f aca="false">IF(K2037="","",MATCH(K2037,$F$2:$F$5001,0))</f>
        <v/>
      </c>
      <c r="M2037" s="0" t="str">
        <f aca="false">IF(I2037="","",INDEX(הגדרות!$A$2:$A$21,MOD(I2037+הגדרות!$E$9,הגדרות!$E$6)+1))</f>
        <v/>
      </c>
    </row>
    <row r="2038" customFormat="false" ht="15" hidden="false" customHeight="false" outlineLevel="0" collapsed="false">
      <c r="A2038" s="0" t="str">
        <f aca="false">IF('הדבקת לידים'!A2038="","",IF(ISNUMBER('הדבקת לידים'!A2038),IF(הגדרות!$E$2&gt;0,TEXT('הדבקת לידים'!A2038,REPT("0",הגדרות!$E$2)),TEXT('הדבקת לידים'!A2038,"0")),TRIM('הדבקת לידים'!A2038)))</f>
        <v/>
      </c>
      <c r="B2038" s="0" t="str">
        <f aca="false">IF('הדבקת לידים'!B2038="","",IF(ISNUMBER('הדבקת לידים'!B2038),IF(הגדרות!$E$3&gt;0,TEXT('הדבקת לידים'!B2038,REPT("0",הגדרות!$E$3)),TEXT('הדבקת לידים'!B2038,"0")),TRIM('הדבקת לידים'!B2038)))</f>
        <v/>
      </c>
      <c r="C2038" s="0" t="n">
        <f aca="false">IF(OR(A2038&lt;&gt;"",B2038&lt;&gt;""),1,0)</f>
        <v>0</v>
      </c>
      <c r="D2038" s="0" t="str">
        <f aca="false">IF(C2038=1,MOD(ABS(SIN(ROW()*12.9898+'הדבקת לידים'!$F$2*78.233+IFERROR(--RIGHT(A2038,6),LEN(A2038))*0.0137+IFERROR(--RIGHT(B2038,6),LEN(B2038))*0.0071))*43758.5453,1),"")</f>
        <v/>
      </c>
      <c r="E2038" s="0" t="str">
        <f aca="false">IF(C2038=1,INT(MOD(ABS(SIN(D2038*7919.123+ROW()*0.618+'הדבקת לידים'!$F$2*1.3))*43758.5453,1)*1000000)*10000+ROW(),"")</f>
        <v/>
      </c>
      <c r="F2038" s="0" t="str">
        <f aca="false">IF(E2038="","",RANK(E2038,$E$2:$E$5001,1))</f>
        <v/>
      </c>
      <c r="G2038" s="0" t="n">
        <f aca="false">IF(A2038="",0,IF(SUMPRODUCT(--($A$2:$A$5001=A2038))&gt;1,1,0))</f>
        <v>0</v>
      </c>
      <c r="H2038" s="0" t="n">
        <f aca="false">ROW()-1</f>
        <v>2037</v>
      </c>
      <c r="I2038" s="0" t="str">
        <f aca="false">IF(OR(הגדרות!$E$6=0,H2038&gt;הגדרות!$E$5),"",IF(H2038-1&lt;הגדרות!$E$8*(הגדרות!$E$7+1),INT((H2038-1)/(הגדרות!$E$7+1)),הגדרות!$E$8+INT((H2038-1-הגדרות!$E$8*(הגדרות!$E$7+1))/הגדרות!$E$7)))</f>
        <v/>
      </c>
      <c r="J2038" s="0" t="str">
        <f aca="false">IF(I2038="","",IF(H2038-1&lt;הגדרות!$E$8*(הגדרות!$E$7+1),MOD(H2038-1,הגדרות!$E$7+1),MOD(H2038-1-הגדרות!$E$8*(הגדרות!$E$7+1),הגדרות!$E$7)))</f>
        <v/>
      </c>
      <c r="K2038" s="0" t="str">
        <f aca="false">IF(I2038="","",J2038*הגדרות!$E$6+I2038+1)</f>
        <v/>
      </c>
      <c r="L2038" s="0" t="str">
        <f aca="false">IF(K2038="","",MATCH(K2038,$F$2:$F$5001,0))</f>
        <v/>
      </c>
      <c r="M2038" s="0" t="str">
        <f aca="false">IF(I2038="","",INDEX(הגדרות!$A$2:$A$21,MOD(I2038+הגדרות!$E$9,הגדרות!$E$6)+1))</f>
        <v/>
      </c>
    </row>
    <row r="2039" customFormat="false" ht="15" hidden="false" customHeight="false" outlineLevel="0" collapsed="false">
      <c r="A2039" s="0" t="str">
        <f aca="false">IF('הדבקת לידים'!A2039="","",IF(ISNUMBER('הדבקת לידים'!A2039),IF(הגדרות!$E$2&gt;0,TEXT('הדבקת לידים'!A2039,REPT("0",הגדרות!$E$2)),TEXT('הדבקת לידים'!A2039,"0")),TRIM('הדבקת לידים'!A2039)))</f>
        <v/>
      </c>
      <c r="B2039" s="0" t="str">
        <f aca="false">IF('הדבקת לידים'!B2039="","",IF(ISNUMBER('הדבקת לידים'!B2039),IF(הגדרות!$E$3&gt;0,TEXT('הדבקת לידים'!B2039,REPT("0",הגדרות!$E$3)),TEXT('הדבקת לידים'!B2039,"0")),TRIM('הדבקת לידים'!B2039)))</f>
        <v/>
      </c>
      <c r="C2039" s="0" t="n">
        <f aca="false">IF(OR(A2039&lt;&gt;"",B2039&lt;&gt;""),1,0)</f>
        <v>0</v>
      </c>
      <c r="D2039" s="0" t="str">
        <f aca="false">IF(C2039=1,MOD(ABS(SIN(ROW()*12.9898+'הדבקת לידים'!$F$2*78.233+IFERROR(--RIGHT(A2039,6),LEN(A2039))*0.0137+IFERROR(--RIGHT(B2039,6),LEN(B2039))*0.0071))*43758.5453,1),"")</f>
        <v/>
      </c>
      <c r="E2039" s="0" t="str">
        <f aca="false">IF(C2039=1,INT(MOD(ABS(SIN(D2039*7919.123+ROW()*0.618+'הדבקת לידים'!$F$2*1.3))*43758.5453,1)*1000000)*10000+ROW(),"")</f>
        <v/>
      </c>
      <c r="F2039" s="0" t="str">
        <f aca="false">IF(E2039="","",RANK(E2039,$E$2:$E$5001,1))</f>
        <v/>
      </c>
      <c r="G2039" s="0" t="n">
        <f aca="false">IF(A2039="",0,IF(SUMPRODUCT(--($A$2:$A$5001=A2039))&gt;1,1,0))</f>
        <v>0</v>
      </c>
      <c r="H2039" s="0" t="n">
        <f aca="false">ROW()-1</f>
        <v>2038</v>
      </c>
      <c r="I2039" s="0" t="str">
        <f aca="false">IF(OR(הגדרות!$E$6=0,H2039&gt;הגדרות!$E$5),"",IF(H2039-1&lt;הגדרות!$E$8*(הגדרות!$E$7+1),INT((H2039-1)/(הגדרות!$E$7+1)),הגדרות!$E$8+INT((H2039-1-הגדרות!$E$8*(הגדרות!$E$7+1))/הגדרות!$E$7)))</f>
        <v/>
      </c>
      <c r="J2039" s="0" t="str">
        <f aca="false">IF(I2039="","",IF(H2039-1&lt;הגדרות!$E$8*(הגדרות!$E$7+1),MOD(H2039-1,הגדרות!$E$7+1),MOD(H2039-1-הגדרות!$E$8*(הגדרות!$E$7+1),הגדרות!$E$7)))</f>
        <v/>
      </c>
      <c r="K2039" s="0" t="str">
        <f aca="false">IF(I2039="","",J2039*הגדרות!$E$6+I2039+1)</f>
        <v/>
      </c>
      <c r="L2039" s="0" t="str">
        <f aca="false">IF(K2039="","",MATCH(K2039,$F$2:$F$5001,0))</f>
        <v/>
      </c>
      <c r="M2039" s="0" t="str">
        <f aca="false">IF(I2039="","",INDEX(הגדרות!$A$2:$A$21,MOD(I2039+הגדרות!$E$9,הגדרות!$E$6)+1))</f>
        <v/>
      </c>
    </row>
    <row r="2040" customFormat="false" ht="15" hidden="false" customHeight="false" outlineLevel="0" collapsed="false">
      <c r="A2040" s="0" t="str">
        <f aca="false">IF('הדבקת לידים'!A2040="","",IF(ISNUMBER('הדבקת לידים'!A2040),IF(הגדרות!$E$2&gt;0,TEXT('הדבקת לידים'!A2040,REPT("0",הגדרות!$E$2)),TEXT('הדבקת לידים'!A2040,"0")),TRIM('הדבקת לידים'!A2040)))</f>
        <v/>
      </c>
      <c r="B2040" s="0" t="str">
        <f aca="false">IF('הדבקת לידים'!B2040="","",IF(ISNUMBER('הדבקת לידים'!B2040),IF(הגדרות!$E$3&gt;0,TEXT('הדבקת לידים'!B2040,REPT("0",הגדרות!$E$3)),TEXT('הדבקת לידים'!B2040,"0")),TRIM('הדבקת לידים'!B2040)))</f>
        <v/>
      </c>
      <c r="C2040" s="0" t="n">
        <f aca="false">IF(OR(A2040&lt;&gt;"",B2040&lt;&gt;""),1,0)</f>
        <v>0</v>
      </c>
      <c r="D2040" s="0" t="str">
        <f aca="false">IF(C2040=1,MOD(ABS(SIN(ROW()*12.9898+'הדבקת לידים'!$F$2*78.233+IFERROR(--RIGHT(A2040,6),LEN(A2040))*0.0137+IFERROR(--RIGHT(B2040,6),LEN(B2040))*0.0071))*43758.5453,1),"")</f>
        <v/>
      </c>
      <c r="E2040" s="0" t="str">
        <f aca="false">IF(C2040=1,INT(MOD(ABS(SIN(D2040*7919.123+ROW()*0.618+'הדבקת לידים'!$F$2*1.3))*43758.5453,1)*1000000)*10000+ROW(),"")</f>
        <v/>
      </c>
      <c r="F2040" s="0" t="str">
        <f aca="false">IF(E2040="","",RANK(E2040,$E$2:$E$5001,1))</f>
        <v/>
      </c>
      <c r="G2040" s="0" t="n">
        <f aca="false">IF(A2040="",0,IF(SUMPRODUCT(--($A$2:$A$5001=A2040))&gt;1,1,0))</f>
        <v>0</v>
      </c>
      <c r="H2040" s="0" t="n">
        <f aca="false">ROW()-1</f>
        <v>2039</v>
      </c>
      <c r="I2040" s="0" t="str">
        <f aca="false">IF(OR(הגדרות!$E$6=0,H2040&gt;הגדרות!$E$5),"",IF(H2040-1&lt;הגדרות!$E$8*(הגדרות!$E$7+1),INT((H2040-1)/(הגדרות!$E$7+1)),הגדרות!$E$8+INT((H2040-1-הגדרות!$E$8*(הגדרות!$E$7+1))/הגדרות!$E$7)))</f>
        <v/>
      </c>
      <c r="J2040" s="0" t="str">
        <f aca="false">IF(I2040="","",IF(H2040-1&lt;הגדרות!$E$8*(הגדרות!$E$7+1),MOD(H2040-1,הגדרות!$E$7+1),MOD(H2040-1-הגדרות!$E$8*(הגדרות!$E$7+1),הגדרות!$E$7)))</f>
        <v/>
      </c>
      <c r="K2040" s="0" t="str">
        <f aca="false">IF(I2040="","",J2040*הגדרות!$E$6+I2040+1)</f>
        <v/>
      </c>
      <c r="L2040" s="0" t="str">
        <f aca="false">IF(K2040="","",MATCH(K2040,$F$2:$F$5001,0))</f>
        <v/>
      </c>
      <c r="M2040" s="0" t="str">
        <f aca="false">IF(I2040="","",INDEX(הגדרות!$A$2:$A$21,MOD(I2040+הגדרות!$E$9,הגדרות!$E$6)+1))</f>
        <v/>
      </c>
    </row>
    <row r="2041" customFormat="false" ht="15" hidden="false" customHeight="false" outlineLevel="0" collapsed="false">
      <c r="A2041" s="0" t="str">
        <f aca="false">IF('הדבקת לידים'!A2041="","",IF(ISNUMBER('הדבקת לידים'!A2041),IF(הגדרות!$E$2&gt;0,TEXT('הדבקת לידים'!A2041,REPT("0",הגדרות!$E$2)),TEXT('הדבקת לידים'!A2041,"0")),TRIM('הדבקת לידים'!A2041)))</f>
        <v/>
      </c>
      <c r="B2041" s="0" t="str">
        <f aca="false">IF('הדבקת לידים'!B2041="","",IF(ISNUMBER('הדבקת לידים'!B2041),IF(הגדרות!$E$3&gt;0,TEXT('הדבקת לידים'!B2041,REPT("0",הגדרות!$E$3)),TEXT('הדבקת לידים'!B2041,"0")),TRIM('הדבקת לידים'!B2041)))</f>
        <v/>
      </c>
      <c r="C2041" s="0" t="n">
        <f aca="false">IF(OR(A2041&lt;&gt;"",B2041&lt;&gt;""),1,0)</f>
        <v>0</v>
      </c>
      <c r="D2041" s="0" t="str">
        <f aca="false">IF(C2041=1,MOD(ABS(SIN(ROW()*12.9898+'הדבקת לידים'!$F$2*78.233+IFERROR(--RIGHT(A2041,6),LEN(A2041))*0.0137+IFERROR(--RIGHT(B2041,6),LEN(B2041))*0.0071))*43758.5453,1),"")</f>
        <v/>
      </c>
      <c r="E2041" s="0" t="str">
        <f aca="false">IF(C2041=1,INT(MOD(ABS(SIN(D2041*7919.123+ROW()*0.618+'הדבקת לידים'!$F$2*1.3))*43758.5453,1)*1000000)*10000+ROW(),"")</f>
        <v/>
      </c>
      <c r="F2041" s="0" t="str">
        <f aca="false">IF(E2041="","",RANK(E2041,$E$2:$E$5001,1))</f>
        <v/>
      </c>
      <c r="G2041" s="0" t="n">
        <f aca="false">IF(A2041="",0,IF(SUMPRODUCT(--($A$2:$A$5001=A2041))&gt;1,1,0))</f>
        <v>0</v>
      </c>
      <c r="H2041" s="0" t="n">
        <f aca="false">ROW()-1</f>
        <v>2040</v>
      </c>
      <c r="I2041" s="0" t="str">
        <f aca="false">IF(OR(הגדרות!$E$6=0,H2041&gt;הגדרות!$E$5),"",IF(H2041-1&lt;הגדרות!$E$8*(הגדרות!$E$7+1),INT((H2041-1)/(הגדרות!$E$7+1)),הגדרות!$E$8+INT((H2041-1-הגדרות!$E$8*(הגדרות!$E$7+1))/הגדרות!$E$7)))</f>
        <v/>
      </c>
      <c r="J2041" s="0" t="str">
        <f aca="false">IF(I2041="","",IF(H2041-1&lt;הגדרות!$E$8*(הגדרות!$E$7+1),MOD(H2041-1,הגדרות!$E$7+1),MOD(H2041-1-הגדרות!$E$8*(הגדרות!$E$7+1),הגדרות!$E$7)))</f>
        <v/>
      </c>
      <c r="K2041" s="0" t="str">
        <f aca="false">IF(I2041="","",J2041*הגדרות!$E$6+I2041+1)</f>
        <v/>
      </c>
      <c r="L2041" s="0" t="str">
        <f aca="false">IF(K2041="","",MATCH(K2041,$F$2:$F$5001,0))</f>
        <v/>
      </c>
      <c r="M2041" s="0" t="str">
        <f aca="false">IF(I2041="","",INDEX(הגדרות!$A$2:$A$21,MOD(I2041+הגדרות!$E$9,הגדרות!$E$6)+1))</f>
        <v/>
      </c>
    </row>
    <row r="2042" customFormat="false" ht="15" hidden="false" customHeight="false" outlineLevel="0" collapsed="false">
      <c r="A2042" s="0" t="str">
        <f aca="false">IF('הדבקת לידים'!A2042="","",IF(ISNUMBER('הדבקת לידים'!A2042),IF(הגדרות!$E$2&gt;0,TEXT('הדבקת לידים'!A2042,REPT("0",הגדרות!$E$2)),TEXT('הדבקת לידים'!A2042,"0")),TRIM('הדבקת לידים'!A2042)))</f>
        <v/>
      </c>
      <c r="B2042" s="0" t="str">
        <f aca="false">IF('הדבקת לידים'!B2042="","",IF(ISNUMBER('הדבקת לידים'!B2042),IF(הגדרות!$E$3&gt;0,TEXT('הדבקת לידים'!B2042,REPT("0",הגדרות!$E$3)),TEXT('הדבקת לידים'!B2042,"0")),TRIM('הדבקת לידים'!B2042)))</f>
        <v/>
      </c>
      <c r="C2042" s="0" t="n">
        <f aca="false">IF(OR(A2042&lt;&gt;"",B2042&lt;&gt;""),1,0)</f>
        <v>0</v>
      </c>
      <c r="D2042" s="0" t="str">
        <f aca="false">IF(C2042=1,MOD(ABS(SIN(ROW()*12.9898+'הדבקת לידים'!$F$2*78.233+IFERROR(--RIGHT(A2042,6),LEN(A2042))*0.0137+IFERROR(--RIGHT(B2042,6),LEN(B2042))*0.0071))*43758.5453,1),"")</f>
        <v/>
      </c>
      <c r="E2042" s="0" t="str">
        <f aca="false">IF(C2042=1,INT(MOD(ABS(SIN(D2042*7919.123+ROW()*0.618+'הדבקת לידים'!$F$2*1.3))*43758.5453,1)*1000000)*10000+ROW(),"")</f>
        <v/>
      </c>
      <c r="F2042" s="0" t="str">
        <f aca="false">IF(E2042="","",RANK(E2042,$E$2:$E$5001,1))</f>
        <v/>
      </c>
      <c r="G2042" s="0" t="n">
        <f aca="false">IF(A2042="",0,IF(SUMPRODUCT(--($A$2:$A$5001=A2042))&gt;1,1,0))</f>
        <v>0</v>
      </c>
      <c r="H2042" s="0" t="n">
        <f aca="false">ROW()-1</f>
        <v>2041</v>
      </c>
      <c r="I2042" s="0" t="str">
        <f aca="false">IF(OR(הגדרות!$E$6=0,H2042&gt;הגדרות!$E$5),"",IF(H2042-1&lt;הגדרות!$E$8*(הגדרות!$E$7+1),INT((H2042-1)/(הגדרות!$E$7+1)),הגדרות!$E$8+INT((H2042-1-הגדרות!$E$8*(הגדרות!$E$7+1))/הגדרות!$E$7)))</f>
        <v/>
      </c>
      <c r="J2042" s="0" t="str">
        <f aca="false">IF(I2042="","",IF(H2042-1&lt;הגדרות!$E$8*(הגדרות!$E$7+1),MOD(H2042-1,הגדרות!$E$7+1),MOD(H2042-1-הגדרות!$E$8*(הגדרות!$E$7+1),הגדרות!$E$7)))</f>
        <v/>
      </c>
      <c r="K2042" s="0" t="str">
        <f aca="false">IF(I2042="","",J2042*הגדרות!$E$6+I2042+1)</f>
        <v/>
      </c>
      <c r="L2042" s="0" t="str">
        <f aca="false">IF(K2042="","",MATCH(K2042,$F$2:$F$5001,0))</f>
        <v/>
      </c>
      <c r="M2042" s="0" t="str">
        <f aca="false">IF(I2042="","",INDEX(הגדרות!$A$2:$A$21,MOD(I2042+הגדרות!$E$9,הגדרות!$E$6)+1))</f>
        <v/>
      </c>
    </row>
    <row r="2043" customFormat="false" ht="15" hidden="false" customHeight="false" outlineLevel="0" collapsed="false">
      <c r="A2043" s="0" t="str">
        <f aca="false">IF('הדבקת לידים'!A2043="","",IF(ISNUMBER('הדבקת לידים'!A2043),IF(הגדרות!$E$2&gt;0,TEXT('הדבקת לידים'!A2043,REPT("0",הגדרות!$E$2)),TEXT('הדבקת לידים'!A2043,"0")),TRIM('הדבקת לידים'!A2043)))</f>
        <v/>
      </c>
      <c r="B2043" s="0" t="str">
        <f aca="false">IF('הדבקת לידים'!B2043="","",IF(ISNUMBER('הדבקת לידים'!B2043),IF(הגדרות!$E$3&gt;0,TEXT('הדבקת לידים'!B2043,REPT("0",הגדרות!$E$3)),TEXT('הדבקת לידים'!B2043,"0")),TRIM('הדבקת לידים'!B2043)))</f>
        <v/>
      </c>
      <c r="C2043" s="0" t="n">
        <f aca="false">IF(OR(A2043&lt;&gt;"",B2043&lt;&gt;""),1,0)</f>
        <v>0</v>
      </c>
      <c r="D2043" s="0" t="str">
        <f aca="false">IF(C2043=1,MOD(ABS(SIN(ROW()*12.9898+'הדבקת לידים'!$F$2*78.233+IFERROR(--RIGHT(A2043,6),LEN(A2043))*0.0137+IFERROR(--RIGHT(B2043,6),LEN(B2043))*0.0071))*43758.5453,1),"")</f>
        <v/>
      </c>
      <c r="E2043" s="0" t="str">
        <f aca="false">IF(C2043=1,INT(MOD(ABS(SIN(D2043*7919.123+ROW()*0.618+'הדבקת לידים'!$F$2*1.3))*43758.5453,1)*1000000)*10000+ROW(),"")</f>
        <v/>
      </c>
      <c r="F2043" s="0" t="str">
        <f aca="false">IF(E2043="","",RANK(E2043,$E$2:$E$5001,1))</f>
        <v/>
      </c>
      <c r="G2043" s="0" t="n">
        <f aca="false">IF(A2043="",0,IF(SUMPRODUCT(--($A$2:$A$5001=A2043))&gt;1,1,0))</f>
        <v>0</v>
      </c>
      <c r="H2043" s="0" t="n">
        <f aca="false">ROW()-1</f>
        <v>2042</v>
      </c>
      <c r="I2043" s="0" t="str">
        <f aca="false">IF(OR(הגדרות!$E$6=0,H2043&gt;הגדרות!$E$5),"",IF(H2043-1&lt;הגדרות!$E$8*(הגדרות!$E$7+1),INT((H2043-1)/(הגדרות!$E$7+1)),הגדרות!$E$8+INT((H2043-1-הגדרות!$E$8*(הגדרות!$E$7+1))/הגדרות!$E$7)))</f>
        <v/>
      </c>
      <c r="J2043" s="0" t="str">
        <f aca="false">IF(I2043="","",IF(H2043-1&lt;הגדרות!$E$8*(הגדרות!$E$7+1),MOD(H2043-1,הגדרות!$E$7+1),MOD(H2043-1-הגדרות!$E$8*(הגדרות!$E$7+1),הגדרות!$E$7)))</f>
        <v/>
      </c>
      <c r="K2043" s="0" t="str">
        <f aca="false">IF(I2043="","",J2043*הגדרות!$E$6+I2043+1)</f>
        <v/>
      </c>
      <c r="L2043" s="0" t="str">
        <f aca="false">IF(K2043="","",MATCH(K2043,$F$2:$F$5001,0))</f>
        <v/>
      </c>
      <c r="M2043" s="0" t="str">
        <f aca="false">IF(I2043="","",INDEX(הגדרות!$A$2:$A$21,MOD(I2043+הגדרות!$E$9,הגדרות!$E$6)+1))</f>
        <v/>
      </c>
    </row>
    <row r="2044" customFormat="false" ht="15" hidden="false" customHeight="false" outlineLevel="0" collapsed="false">
      <c r="A2044" s="0" t="str">
        <f aca="false">IF('הדבקת לידים'!A2044="","",IF(ISNUMBER('הדבקת לידים'!A2044),IF(הגדרות!$E$2&gt;0,TEXT('הדבקת לידים'!A2044,REPT("0",הגדרות!$E$2)),TEXT('הדבקת לידים'!A2044,"0")),TRIM('הדבקת לידים'!A2044)))</f>
        <v/>
      </c>
      <c r="B2044" s="0" t="str">
        <f aca="false">IF('הדבקת לידים'!B2044="","",IF(ISNUMBER('הדבקת לידים'!B2044),IF(הגדרות!$E$3&gt;0,TEXT('הדבקת לידים'!B2044,REPT("0",הגדרות!$E$3)),TEXT('הדבקת לידים'!B2044,"0")),TRIM('הדבקת לידים'!B2044)))</f>
        <v/>
      </c>
      <c r="C2044" s="0" t="n">
        <f aca="false">IF(OR(A2044&lt;&gt;"",B2044&lt;&gt;""),1,0)</f>
        <v>0</v>
      </c>
      <c r="D2044" s="0" t="str">
        <f aca="false">IF(C2044=1,MOD(ABS(SIN(ROW()*12.9898+'הדבקת לידים'!$F$2*78.233+IFERROR(--RIGHT(A2044,6),LEN(A2044))*0.0137+IFERROR(--RIGHT(B2044,6),LEN(B2044))*0.0071))*43758.5453,1),"")</f>
        <v/>
      </c>
      <c r="E2044" s="0" t="str">
        <f aca="false">IF(C2044=1,INT(MOD(ABS(SIN(D2044*7919.123+ROW()*0.618+'הדבקת לידים'!$F$2*1.3))*43758.5453,1)*1000000)*10000+ROW(),"")</f>
        <v/>
      </c>
      <c r="F2044" s="0" t="str">
        <f aca="false">IF(E2044="","",RANK(E2044,$E$2:$E$5001,1))</f>
        <v/>
      </c>
      <c r="G2044" s="0" t="n">
        <f aca="false">IF(A2044="",0,IF(SUMPRODUCT(--($A$2:$A$5001=A2044))&gt;1,1,0))</f>
        <v>0</v>
      </c>
      <c r="H2044" s="0" t="n">
        <f aca="false">ROW()-1</f>
        <v>2043</v>
      </c>
      <c r="I2044" s="0" t="str">
        <f aca="false">IF(OR(הגדרות!$E$6=0,H2044&gt;הגדרות!$E$5),"",IF(H2044-1&lt;הגדרות!$E$8*(הגדרות!$E$7+1),INT((H2044-1)/(הגדרות!$E$7+1)),הגדרות!$E$8+INT((H2044-1-הגדרות!$E$8*(הגדרות!$E$7+1))/הגדרות!$E$7)))</f>
        <v/>
      </c>
      <c r="J2044" s="0" t="str">
        <f aca="false">IF(I2044="","",IF(H2044-1&lt;הגדרות!$E$8*(הגדרות!$E$7+1),MOD(H2044-1,הגדרות!$E$7+1),MOD(H2044-1-הגדרות!$E$8*(הגדרות!$E$7+1),הגדרות!$E$7)))</f>
        <v/>
      </c>
      <c r="K2044" s="0" t="str">
        <f aca="false">IF(I2044="","",J2044*הגדרות!$E$6+I2044+1)</f>
        <v/>
      </c>
      <c r="L2044" s="0" t="str">
        <f aca="false">IF(K2044="","",MATCH(K2044,$F$2:$F$5001,0))</f>
        <v/>
      </c>
      <c r="M2044" s="0" t="str">
        <f aca="false">IF(I2044="","",INDEX(הגדרות!$A$2:$A$21,MOD(I2044+הגדרות!$E$9,הגדרות!$E$6)+1))</f>
        <v/>
      </c>
    </row>
    <row r="2045" customFormat="false" ht="15" hidden="false" customHeight="false" outlineLevel="0" collapsed="false">
      <c r="A2045" s="0" t="str">
        <f aca="false">IF('הדבקת לידים'!A2045="","",IF(ISNUMBER('הדבקת לידים'!A2045),IF(הגדרות!$E$2&gt;0,TEXT('הדבקת לידים'!A2045,REPT("0",הגדרות!$E$2)),TEXT('הדבקת לידים'!A2045,"0")),TRIM('הדבקת לידים'!A2045)))</f>
        <v/>
      </c>
      <c r="B2045" s="0" t="str">
        <f aca="false">IF('הדבקת לידים'!B2045="","",IF(ISNUMBER('הדבקת לידים'!B2045),IF(הגדרות!$E$3&gt;0,TEXT('הדבקת לידים'!B2045,REPT("0",הגדרות!$E$3)),TEXT('הדבקת לידים'!B2045,"0")),TRIM('הדבקת לידים'!B2045)))</f>
        <v/>
      </c>
      <c r="C2045" s="0" t="n">
        <f aca="false">IF(OR(A2045&lt;&gt;"",B2045&lt;&gt;""),1,0)</f>
        <v>0</v>
      </c>
      <c r="D2045" s="0" t="str">
        <f aca="false">IF(C2045=1,MOD(ABS(SIN(ROW()*12.9898+'הדבקת לידים'!$F$2*78.233+IFERROR(--RIGHT(A2045,6),LEN(A2045))*0.0137+IFERROR(--RIGHT(B2045,6),LEN(B2045))*0.0071))*43758.5453,1),"")</f>
        <v/>
      </c>
      <c r="E2045" s="0" t="str">
        <f aca="false">IF(C2045=1,INT(MOD(ABS(SIN(D2045*7919.123+ROW()*0.618+'הדבקת לידים'!$F$2*1.3))*43758.5453,1)*1000000)*10000+ROW(),"")</f>
        <v/>
      </c>
      <c r="F2045" s="0" t="str">
        <f aca="false">IF(E2045="","",RANK(E2045,$E$2:$E$5001,1))</f>
        <v/>
      </c>
      <c r="G2045" s="0" t="n">
        <f aca="false">IF(A2045="",0,IF(SUMPRODUCT(--($A$2:$A$5001=A2045))&gt;1,1,0))</f>
        <v>0</v>
      </c>
      <c r="H2045" s="0" t="n">
        <f aca="false">ROW()-1</f>
        <v>2044</v>
      </c>
      <c r="I2045" s="0" t="str">
        <f aca="false">IF(OR(הגדרות!$E$6=0,H2045&gt;הגדרות!$E$5),"",IF(H2045-1&lt;הגדרות!$E$8*(הגדרות!$E$7+1),INT((H2045-1)/(הגדרות!$E$7+1)),הגדרות!$E$8+INT((H2045-1-הגדרות!$E$8*(הגדרות!$E$7+1))/הגדרות!$E$7)))</f>
        <v/>
      </c>
      <c r="J2045" s="0" t="str">
        <f aca="false">IF(I2045="","",IF(H2045-1&lt;הגדרות!$E$8*(הגדרות!$E$7+1),MOD(H2045-1,הגדרות!$E$7+1),MOD(H2045-1-הגדרות!$E$8*(הגדרות!$E$7+1),הגדרות!$E$7)))</f>
        <v/>
      </c>
      <c r="K2045" s="0" t="str">
        <f aca="false">IF(I2045="","",J2045*הגדרות!$E$6+I2045+1)</f>
        <v/>
      </c>
      <c r="L2045" s="0" t="str">
        <f aca="false">IF(K2045="","",MATCH(K2045,$F$2:$F$5001,0))</f>
        <v/>
      </c>
      <c r="M2045" s="0" t="str">
        <f aca="false">IF(I2045="","",INDEX(הגדרות!$A$2:$A$21,MOD(I2045+הגדרות!$E$9,הגדרות!$E$6)+1))</f>
        <v/>
      </c>
    </row>
    <row r="2046" customFormat="false" ht="15" hidden="false" customHeight="false" outlineLevel="0" collapsed="false">
      <c r="A2046" s="0" t="str">
        <f aca="false">IF('הדבקת לידים'!A2046="","",IF(ISNUMBER('הדבקת לידים'!A2046),IF(הגדרות!$E$2&gt;0,TEXT('הדבקת לידים'!A2046,REPT("0",הגדרות!$E$2)),TEXT('הדבקת לידים'!A2046,"0")),TRIM('הדבקת לידים'!A2046)))</f>
        <v/>
      </c>
      <c r="B2046" s="0" t="str">
        <f aca="false">IF('הדבקת לידים'!B2046="","",IF(ISNUMBER('הדבקת לידים'!B2046),IF(הגדרות!$E$3&gt;0,TEXT('הדבקת לידים'!B2046,REPT("0",הגדרות!$E$3)),TEXT('הדבקת לידים'!B2046,"0")),TRIM('הדבקת לידים'!B2046)))</f>
        <v/>
      </c>
      <c r="C2046" s="0" t="n">
        <f aca="false">IF(OR(A2046&lt;&gt;"",B2046&lt;&gt;""),1,0)</f>
        <v>0</v>
      </c>
      <c r="D2046" s="0" t="str">
        <f aca="false">IF(C2046=1,MOD(ABS(SIN(ROW()*12.9898+'הדבקת לידים'!$F$2*78.233+IFERROR(--RIGHT(A2046,6),LEN(A2046))*0.0137+IFERROR(--RIGHT(B2046,6),LEN(B2046))*0.0071))*43758.5453,1),"")</f>
        <v/>
      </c>
      <c r="E2046" s="0" t="str">
        <f aca="false">IF(C2046=1,INT(MOD(ABS(SIN(D2046*7919.123+ROW()*0.618+'הדבקת לידים'!$F$2*1.3))*43758.5453,1)*1000000)*10000+ROW(),"")</f>
        <v/>
      </c>
      <c r="F2046" s="0" t="str">
        <f aca="false">IF(E2046="","",RANK(E2046,$E$2:$E$5001,1))</f>
        <v/>
      </c>
      <c r="G2046" s="0" t="n">
        <f aca="false">IF(A2046="",0,IF(SUMPRODUCT(--($A$2:$A$5001=A2046))&gt;1,1,0))</f>
        <v>0</v>
      </c>
      <c r="H2046" s="0" t="n">
        <f aca="false">ROW()-1</f>
        <v>2045</v>
      </c>
      <c r="I2046" s="0" t="str">
        <f aca="false">IF(OR(הגדרות!$E$6=0,H2046&gt;הגדרות!$E$5),"",IF(H2046-1&lt;הגדרות!$E$8*(הגדרות!$E$7+1),INT((H2046-1)/(הגדרות!$E$7+1)),הגדרות!$E$8+INT((H2046-1-הגדרות!$E$8*(הגדרות!$E$7+1))/הגדרות!$E$7)))</f>
        <v/>
      </c>
      <c r="J2046" s="0" t="str">
        <f aca="false">IF(I2046="","",IF(H2046-1&lt;הגדרות!$E$8*(הגדרות!$E$7+1),MOD(H2046-1,הגדרות!$E$7+1),MOD(H2046-1-הגדרות!$E$8*(הגדרות!$E$7+1),הגדרות!$E$7)))</f>
        <v/>
      </c>
      <c r="K2046" s="0" t="str">
        <f aca="false">IF(I2046="","",J2046*הגדרות!$E$6+I2046+1)</f>
        <v/>
      </c>
      <c r="L2046" s="0" t="str">
        <f aca="false">IF(K2046="","",MATCH(K2046,$F$2:$F$5001,0))</f>
        <v/>
      </c>
      <c r="M2046" s="0" t="str">
        <f aca="false">IF(I2046="","",INDEX(הגדרות!$A$2:$A$21,MOD(I2046+הגדרות!$E$9,הגדרות!$E$6)+1))</f>
        <v/>
      </c>
    </row>
    <row r="2047" customFormat="false" ht="15" hidden="false" customHeight="false" outlineLevel="0" collapsed="false">
      <c r="A2047" s="0" t="str">
        <f aca="false">IF('הדבקת לידים'!A2047="","",IF(ISNUMBER('הדבקת לידים'!A2047),IF(הגדרות!$E$2&gt;0,TEXT('הדבקת לידים'!A2047,REPT("0",הגדרות!$E$2)),TEXT('הדבקת לידים'!A2047,"0")),TRIM('הדבקת לידים'!A2047)))</f>
        <v/>
      </c>
      <c r="B2047" s="0" t="str">
        <f aca="false">IF('הדבקת לידים'!B2047="","",IF(ISNUMBER('הדבקת לידים'!B2047),IF(הגדרות!$E$3&gt;0,TEXT('הדבקת לידים'!B2047,REPT("0",הגדרות!$E$3)),TEXT('הדבקת לידים'!B2047,"0")),TRIM('הדבקת לידים'!B2047)))</f>
        <v/>
      </c>
      <c r="C2047" s="0" t="n">
        <f aca="false">IF(OR(A2047&lt;&gt;"",B2047&lt;&gt;""),1,0)</f>
        <v>0</v>
      </c>
      <c r="D2047" s="0" t="str">
        <f aca="false">IF(C2047=1,MOD(ABS(SIN(ROW()*12.9898+'הדבקת לידים'!$F$2*78.233+IFERROR(--RIGHT(A2047,6),LEN(A2047))*0.0137+IFERROR(--RIGHT(B2047,6),LEN(B2047))*0.0071))*43758.5453,1),"")</f>
        <v/>
      </c>
      <c r="E2047" s="0" t="str">
        <f aca="false">IF(C2047=1,INT(MOD(ABS(SIN(D2047*7919.123+ROW()*0.618+'הדבקת לידים'!$F$2*1.3))*43758.5453,1)*1000000)*10000+ROW(),"")</f>
        <v/>
      </c>
      <c r="F2047" s="0" t="str">
        <f aca="false">IF(E2047="","",RANK(E2047,$E$2:$E$5001,1))</f>
        <v/>
      </c>
      <c r="G2047" s="0" t="n">
        <f aca="false">IF(A2047="",0,IF(SUMPRODUCT(--($A$2:$A$5001=A2047))&gt;1,1,0))</f>
        <v>0</v>
      </c>
      <c r="H2047" s="0" t="n">
        <f aca="false">ROW()-1</f>
        <v>2046</v>
      </c>
      <c r="I2047" s="0" t="str">
        <f aca="false">IF(OR(הגדרות!$E$6=0,H2047&gt;הגדרות!$E$5),"",IF(H2047-1&lt;הגדרות!$E$8*(הגדרות!$E$7+1),INT((H2047-1)/(הגדרות!$E$7+1)),הגדרות!$E$8+INT((H2047-1-הגדרות!$E$8*(הגדרות!$E$7+1))/הגדרות!$E$7)))</f>
        <v/>
      </c>
      <c r="J2047" s="0" t="str">
        <f aca="false">IF(I2047="","",IF(H2047-1&lt;הגדרות!$E$8*(הגדרות!$E$7+1),MOD(H2047-1,הגדרות!$E$7+1),MOD(H2047-1-הגדרות!$E$8*(הגדרות!$E$7+1),הגדרות!$E$7)))</f>
        <v/>
      </c>
      <c r="K2047" s="0" t="str">
        <f aca="false">IF(I2047="","",J2047*הגדרות!$E$6+I2047+1)</f>
        <v/>
      </c>
      <c r="L2047" s="0" t="str">
        <f aca="false">IF(K2047="","",MATCH(K2047,$F$2:$F$5001,0))</f>
        <v/>
      </c>
      <c r="M2047" s="0" t="str">
        <f aca="false">IF(I2047="","",INDEX(הגדרות!$A$2:$A$21,MOD(I2047+הגדרות!$E$9,הגדרות!$E$6)+1))</f>
        <v/>
      </c>
    </row>
    <row r="2048" customFormat="false" ht="15" hidden="false" customHeight="false" outlineLevel="0" collapsed="false">
      <c r="A2048" s="0" t="str">
        <f aca="false">IF('הדבקת לידים'!A2048="","",IF(ISNUMBER('הדבקת לידים'!A2048),IF(הגדרות!$E$2&gt;0,TEXT('הדבקת לידים'!A2048,REPT("0",הגדרות!$E$2)),TEXT('הדבקת לידים'!A2048,"0")),TRIM('הדבקת לידים'!A2048)))</f>
        <v/>
      </c>
      <c r="B2048" s="0" t="str">
        <f aca="false">IF('הדבקת לידים'!B2048="","",IF(ISNUMBER('הדבקת לידים'!B2048),IF(הגדרות!$E$3&gt;0,TEXT('הדבקת לידים'!B2048,REPT("0",הגדרות!$E$3)),TEXT('הדבקת לידים'!B2048,"0")),TRIM('הדבקת לידים'!B2048)))</f>
        <v/>
      </c>
      <c r="C2048" s="0" t="n">
        <f aca="false">IF(OR(A2048&lt;&gt;"",B2048&lt;&gt;""),1,0)</f>
        <v>0</v>
      </c>
      <c r="D2048" s="0" t="str">
        <f aca="false">IF(C2048=1,MOD(ABS(SIN(ROW()*12.9898+'הדבקת לידים'!$F$2*78.233+IFERROR(--RIGHT(A2048,6),LEN(A2048))*0.0137+IFERROR(--RIGHT(B2048,6),LEN(B2048))*0.0071))*43758.5453,1),"")</f>
        <v/>
      </c>
      <c r="E2048" s="0" t="str">
        <f aca="false">IF(C2048=1,INT(MOD(ABS(SIN(D2048*7919.123+ROW()*0.618+'הדבקת לידים'!$F$2*1.3))*43758.5453,1)*1000000)*10000+ROW(),"")</f>
        <v/>
      </c>
      <c r="F2048" s="0" t="str">
        <f aca="false">IF(E2048="","",RANK(E2048,$E$2:$E$5001,1))</f>
        <v/>
      </c>
      <c r="G2048" s="0" t="n">
        <f aca="false">IF(A2048="",0,IF(SUMPRODUCT(--($A$2:$A$5001=A2048))&gt;1,1,0))</f>
        <v>0</v>
      </c>
      <c r="H2048" s="0" t="n">
        <f aca="false">ROW()-1</f>
        <v>2047</v>
      </c>
      <c r="I2048" s="0" t="str">
        <f aca="false">IF(OR(הגדרות!$E$6=0,H2048&gt;הגדרות!$E$5),"",IF(H2048-1&lt;הגדרות!$E$8*(הגדרות!$E$7+1),INT((H2048-1)/(הגדרות!$E$7+1)),הגדרות!$E$8+INT((H2048-1-הגדרות!$E$8*(הגדרות!$E$7+1))/הגדרות!$E$7)))</f>
        <v/>
      </c>
      <c r="J2048" s="0" t="str">
        <f aca="false">IF(I2048="","",IF(H2048-1&lt;הגדרות!$E$8*(הגדרות!$E$7+1),MOD(H2048-1,הגדרות!$E$7+1),MOD(H2048-1-הגדרות!$E$8*(הגדרות!$E$7+1),הגדרות!$E$7)))</f>
        <v/>
      </c>
      <c r="K2048" s="0" t="str">
        <f aca="false">IF(I2048="","",J2048*הגדרות!$E$6+I2048+1)</f>
        <v/>
      </c>
      <c r="L2048" s="0" t="str">
        <f aca="false">IF(K2048="","",MATCH(K2048,$F$2:$F$5001,0))</f>
        <v/>
      </c>
      <c r="M2048" s="0" t="str">
        <f aca="false">IF(I2048="","",INDEX(הגדרות!$A$2:$A$21,MOD(I2048+הגדרות!$E$9,הגדרות!$E$6)+1))</f>
        <v/>
      </c>
    </row>
    <row r="2049" customFormat="false" ht="15" hidden="false" customHeight="false" outlineLevel="0" collapsed="false">
      <c r="A2049" s="0" t="str">
        <f aca="false">IF('הדבקת לידים'!A2049="","",IF(ISNUMBER('הדבקת לידים'!A2049),IF(הגדרות!$E$2&gt;0,TEXT('הדבקת לידים'!A2049,REPT("0",הגדרות!$E$2)),TEXT('הדבקת לידים'!A2049,"0")),TRIM('הדבקת לידים'!A2049)))</f>
        <v/>
      </c>
      <c r="B2049" s="0" t="str">
        <f aca="false">IF('הדבקת לידים'!B2049="","",IF(ISNUMBER('הדבקת לידים'!B2049),IF(הגדרות!$E$3&gt;0,TEXT('הדבקת לידים'!B2049,REPT("0",הגדרות!$E$3)),TEXT('הדבקת לידים'!B2049,"0")),TRIM('הדבקת לידים'!B2049)))</f>
        <v/>
      </c>
      <c r="C2049" s="0" t="n">
        <f aca="false">IF(OR(A2049&lt;&gt;"",B2049&lt;&gt;""),1,0)</f>
        <v>0</v>
      </c>
      <c r="D2049" s="0" t="str">
        <f aca="false">IF(C2049=1,MOD(ABS(SIN(ROW()*12.9898+'הדבקת לידים'!$F$2*78.233+IFERROR(--RIGHT(A2049,6),LEN(A2049))*0.0137+IFERROR(--RIGHT(B2049,6),LEN(B2049))*0.0071))*43758.5453,1),"")</f>
        <v/>
      </c>
      <c r="E2049" s="0" t="str">
        <f aca="false">IF(C2049=1,INT(MOD(ABS(SIN(D2049*7919.123+ROW()*0.618+'הדבקת לידים'!$F$2*1.3))*43758.5453,1)*1000000)*10000+ROW(),"")</f>
        <v/>
      </c>
      <c r="F2049" s="0" t="str">
        <f aca="false">IF(E2049="","",RANK(E2049,$E$2:$E$5001,1))</f>
        <v/>
      </c>
      <c r="G2049" s="0" t="n">
        <f aca="false">IF(A2049="",0,IF(SUMPRODUCT(--($A$2:$A$5001=A2049))&gt;1,1,0))</f>
        <v>0</v>
      </c>
      <c r="H2049" s="0" t="n">
        <f aca="false">ROW()-1</f>
        <v>2048</v>
      </c>
      <c r="I2049" s="0" t="str">
        <f aca="false">IF(OR(הגדרות!$E$6=0,H2049&gt;הגדרות!$E$5),"",IF(H2049-1&lt;הגדרות!$E$8*(הגדרות!$E$7+1),INT((H2049-1)/(הגדרות!$E$7+1)),הגדרות!$E$8+INT((H2049-1-הגדרות!$E$8*(הגדרות!$E$7+1))/הגדרות!$E$7)))</f>
        <v/>
      </c>
      <c r="J2049" s="0" t="str">
        <f aca="false">IF(I2049="","",IF(H2049-1&lt;הגדרות!$E$8*(הגדרות!$E$7+1),MOD(H2049-1,הגדרות!$E$7+1),MOD(H2049-1-הגדרות!$E$8*(הגדרות!$E$7+1),הגדרות!$E$7)))</f>
        <v/>
      </c>
      <c r="K2049" s="0" t="str">
        <f aca="false">IF(I2049="","",J2049*הגדרות!$E$6+I2049+1)</f>
        <v/>
      </c>
      <c r="L2049" s="0" t="str">
        <f aca="false">IF(K2049="","",MATCH(K2049,$F$2:$F$5001,0))</f>
        <v/>
      </c>
      <c r="M2049" s="0" t="str">
        <f aca="false">IF(I2049="","",INDEX(הגדרות!$A$2:$A$21,MOD(I2049+הגדרות!$E$9,הגדרות!$E$6)+1))</f>
        <v/>
      </c>
    </row>
    <row r="2050" customFormat="false" ht="15" hidden="false" customHeight="false" outlineLevel="0" collapsed="false">
      <c r="A2050" s="0" t="str">
        <f aca="false">IF('הדבקת לידים'!A2050="","",IF(ISNUMBER('הדבקת לידים'!A2050),IF(הגדרות!$E$2&gt;0,TEXT('הדבקת לידים'!A2050,REPT("0",הגדרות!$E$2)),TEXT('הדבקת לידים'!A2050,"0")),TRIM('הדבקת לידים'!A2050)))</f>
        <v/>
      </c>
      <c r="B2050" s="0" t="str">
        <f aca="false">IF('הדבקת לידים'!B2050="","",IF(ISNUMBER('הדבקת לידים'!B2050),IF(הגדרות!$E$3&gt;0,TEXT('הדבקת לידים'!B2050,REPT("0",הגדרות!$E$3)),TEXT('הדבקת לידים'!B2050,"0")),TRIM('הדבקת לידים'!B2050)))</f>
        <v/>
      </c>
      <c r="C2050" s="0" t="n">
        <f aca="false">IF(OR(A2050&lt;&gt;"",B2050&lt;&gt;""),1,0)</f>
        <v>0</v>
      </c>
      <c r="D2050" s="0" t="str">
        <f aca="false">IF(C2050=1,MOD(ABS(SIN(ROW()*12.9898+'הדבקת לידים'!$F$2*78.233+IFERROR(--RIGHT(A2050,6),LEN(A2050))*0.0137+IFERROR(--RIGHT(B2050,6),LEN(B2050))*0.0071))*43758.5453,1),"")</f>
        <v/>
      </c>
      <c r="E2050" s="0" t="str">
        <f aca="false">IF(C2050=1,INT(MOD(ABS(SIN(D2050*7919.123+ROW()*0.618+'הדבקת לידים'!$F$2*1.3))*43758.5453,1)*1000000)*10000+ROW(),"")</f>
        <v/>
      </c>
      <c r="F2050" s="0" t="str">
        <f aca="false">IF(E2050="","",RANK(E2050,$E$2:$E$5001,1))</f>
        <v/>
      </c>
      <c r="G2050" s="0" t="n">
        <f aca="false">IF(A2050="",0,IF(SUMPRODUCT(--($A$2:$A$5001=A2050))&gt;1,1,0))</f>
        <v>0</v>
      </c>
      <c r="H2050" s="0" t="n">
        <f aca="false">ROW()-1</f>
        <v>2049</v>
      </c>
      <c r="I2050" s="0" t="str">
        <f aca="false">IF(OR(הגדרות!$E$6=0,H2050&gt;הגדרות!$E$5),"",IF(H2050-1&lt;הגדרות!$E$8*(הגדרות!$E$7+1),INT((H2050-1)/(הגדרות!$E$7+1)),הגדרות!$E$8+INT((H2050-1-הגדרות!$E$8*(הגדרות!$E$7+1))/הגדרות!$E$7)))</f>
        <v/>
      </c>
      <c r="J2050" s="0" t="str">
        <f aca="false">IF(I2050="","",IF(H2050-1&lt;הגדרות!$E$8*(הגדרות!$E$7+1),MOD(H2050-1,הגדרות!$E$7+1),MOD(H2050-1-הגדרות!$E$8*(הגדרות!$E$7+1),הגדרות!$E$7)))</f>
        <v/>
      </c>
      <c r="K2050" s="0" t="str">
        <f aca="false">IF(I2050="","",J2050*הגדרות!$E$6+I2050+1)</f>
        <v/>
      </c>
      <c r="L2050" s="0" t="str">
        <f aca="false">IF(K2050="","",MATCH(K2050,$F$2:$F$5001,0))</f>
        <v/>
      </c>
      <c r="M2050" s="0" t="str">
        <f aca="false">IF(I2050="","",INDEX(הגדרות!$A$2:$A$21,MOD(I2050+הגדרות!$E$9,הגדרות!$E$6)+1))</f>
        <v/>
      </c>
    </row>
    <row r="2051" customFormat="false" ht="15" hidden="false" customHeight="false" outlineLevel="0" collapsed="false">
      <c r="A2051" s="0" t="str">
        <f aca="false">IF('הדבקת לידים'!A2051="","",IF(ISNUMBER('הדבקת לידים'!A2051),IF(הגדרות!$E$2&gt;0,TEXT('הדבקת לידים'!A2051,REPT("0",הגדרות!$E$2)),TEXT('הדבקת לידים'!A2051,"0")),TRIM('הדבקת לידים'!A2051)))</f>
        <v/>
      </c>
      <c r="B2051" s="0" t="str">
        <f aca="false">IF('הדבקת לידים'!B2051="","",IF(ISNUMBER('הדבקת לידים'!B2051),IF(הגדרות!$E$3&gt;0,TEXT('הדבקת לידים'!B2051,REPT("0",הגדרות!$E$3)),TEXT('הדבקת לידים'!B2051,"0")),TRIM('הדבקת לידים'!B2051)))</f>
        <v/>
      </c>
      <c r="C2051" s="0" t="n">
        <f aca="false">IF(OR(A2051&lt;&gt;"",B2051&lt;&gt;""),1,0)</f>
        <v>0</v>
      </c>
      <c r="D2051" s="0" t="str">
        <f aca="false">IF(C2051=1,MOD(ABS(SIN(ROW()*12.9898+'הדבקת לידים'!$F$2*78.233+IFERROR(--RIGHT(A2051,6),LEN(A2051))*0.0137+IFERROR(--RIGHT(B2051,6),LEN(B2051))*0.0071))*43758.5453,1),"")</f>
        <v/>
      </c>
      <c r="E2051" s="0" t="str">
        <f aca="false">IF(C2051=1,INT(MOD(ABS(SIN(D2051*7919.123+ROW()*0.618+'הדבקת לידים'!$F$2*1.3))*43758.5453,1)*1000000)*10000+ROW(),"")</f>
        <v/>
      </c>
      <c r="F2051" s="0" t="str">
        <f aca="false">IF(E2051="","",RANK(E2051,$E$2:$E$5001,1))</f>
        <v/>
      </c>
      <c r="G2051" s="0" t="n">
        <f aca="false">IF(A2051="",0,IF(SUMPRODUCT(--($A$2:$A$5001=A2051))&gt;1,1,0))</f>
        <v>0</v>
      </c>
      <c r="H2051" s="0" t="n">
        <f aca="false">ROW()-1</f>
        <v>2050</v>
      </c>
      <c r="I2051" s="0" t="str">
        <f aca="false">IF(OR(הגדרות!$E$6=0,H2051&gt;הגדרות!$E$5),"",IF(H2051-1&lt;הגדרות!$E$8*(הגדרות!$E$7+1),INT((H2051-1)/(הגדרות!$E$7+1)),הגדרות!$E$8+INT((H2051-1-הגדרות!$E$8*(הגדרות!$E$7+1))/הגדרות!$E$7)))</f>
        <v/>
      </c>
      <c r="J2051" s="0" t="str">
        <f aca="false">IF(I2051="","",IF(H2051-1&lt;הגדרות!$E$8*(הגדרות!$E$7+1),MOD(H2051-1,הגדרות!$E$7+1),MOD(H2051-1-הגדרות!$E$8*(הגדרות!$E$7+1),הגדרות!$E$7)))</f>
        <v/>
      </c>
      <c r="K2051" s="0" t="str">
        <f aca="false">IF(I2051="","",J2051*הגדרות!$E$6+I2051+1)</f>
        <v/>
      </c>
      <c r="L2051" s="0" t="str">
        <f aca="false">IF(K2051="","",MATCH(K2051,$F$2:$F$5001,0))</f>
        <v/>
      </c>
      <c r="M2051" s="0" t="str">
        <f aca="false">IF(I2051="","",INDEX(הגדרות!$A$2:$A$21,MOD(I2051+הגדרות!$E$9,הגדרות!$E$6)+1))</f>
        <v/>
      </c>
    </row>
    <row r="2052" customFormat="false" ht="15" hidden="false" customHeight="false" outlineLevel="0" collapsed="false">
      <c r="A2052" s="0" t="str">
        <f aca="false">IF('הדבקת לידים'!A2052="","",IF(ISNUMBER('הדבקת לידים'!A2052),IF(הגדרות!$E$2&gt;0,TEXT('הדבקת לידים'!A2052,REPT("0",הגדרות!$E$2)),TEXT('הדבקת לידים'!A2052,"0")),TRIM('הדבקת לידים'!A2052)))</f>
        <v/>
      </c>
      <c r="B2052" s="0" t="str">
        <f aca="false">IF('הדבקת לידים'!B2052="","",IF(ISNUMBER('הדבקת לידים'!B2052),IF(הגדרות!$E$3&gt;0,TEXT('הדבקת לידים'!B2052,REPT("0",הגדרות!$E$3)),TEXT('הדבקת לידים'!B2052,"0")),TRIM('הדבקת לידים'!B2052)))</f>
        <v/>
      </c>
      <c r="C2052" s="0" t="n">
        <f aca="false">IF(OR(A2052&lt;&gt;"",B2052&lt;&gt;""),1,0)</f>
        <v>0</v>
      </c>
      <c r="D2052" s="0" t="str">
        <f aca="false">IF(C2052=1,MOD(ABS(SIN(ROW()*12.9898+'הדבקת לידים'!$F$2*78.233+IFERROR(--RIGHT(A2052,6),LEN(A2052))*0.0137+IFERROR(--RIGHT(B2052,6),LEN(B2052))*0.0071))*43758.5453,1),"")</f>
        <v/>
      </c>
      <c r="E2052" s="0" t="str">
        <f aca="false">IF(C2052=1,INT(MOD(ABS(SIN(D2052*7919.123+ROW()*0.618+'הדבקת לידים'!$F$2*1.3))*43758.5453,1)*1000000)*10000+ROW(),"")</f>
        <v/>
      </c>
      <c r="F2052" s="0" t="str">
        <f aca="false">IF(E2052="","",RANK(E2052,$E$2:$E$5001,1))</f>
        <v/>
      </c>
      <c r="G2052" s="0" t="n">
        <f aca="false">IF(A2052="",0,IF(SUMPRODUCT(--($A$2:$A$5001=A2052))&gt;1,1,0))</f>
        <v>0</v>
      </c>
      <c r="H2052" s="0" t="n">
        <f aca="false">ROW()-1</f>
        <v>2051</v>
      </c>
      <c r="I2052" s="0" t="str">
        <f aca="false">IF(OR(הגדרות!$E$6=0,H2052&gt;הגדרות!$E$5),"",IF(H2052-1&lt;הגדרות!$E$8*(הגדרות!$E$7+1),INT((H2052-1)/(הגדרות!$E$7+1)),הגדרות!$E$8+INT((H2052-1-הגדרות!$E$8*(הגדרות!$E$7+1))/הגדרות!$E$7)))</f>
        <v/>
      </c>
      <c r="J2052" s="0" t="str">
        <f aca="false">IF(I2052="","",IF(H2052-1&lt;הגדרות!$E$8*(הגדרות!$E$7+1),MOD(H2052-1,הגדרות!$E$7+1),MOD(H2052-1-הגדרות!$E$8*(הגדרות!$E$7+1),הגדרות!$E$7)))</f>
        <v/>
      </c>
      <c r="K2052" s="0" t="str">
        <f aca="false">IF(I2052="","",J2052*הגדרות!$E$6+I2052+1)</f>
        <v/>
      </c>
      <c r="L2052" s="0" t="str">
        <f aca="false">IF(K2052="","",MATCH(K2052,$F$2:$F$5001,0))</f>
        <v/>
      </c>
      <c r="M2052" s="0" t="str">
        <f aca="false">IF(I2052="","",INDEX(הגדרות!$A$2:$A$21,MOD(I2052+הגדרות!$E$9,הגדרות!$E$6)+1))</f>
        <v/>
      </c>
    </row>
    <row r="2053" customFormat="false" ht="15" hidden="false" customHeight="false" outlineLevel="0" collapsed="false">
      <c r="A2053" s="0" t="str">
        <f aca="false">IF('הדבקת לידים'!A2053="","",IF(ISNUMBER('הדבקת לידים'!A2053),IF(הגדרות!$E$2&gt;0,TEXT('הדבקת לידים'!A2053,REPT("0",הגדרות!$E$2)),TEXT('הדבקת לידים'!A2053,"0")),TRIM('הדבקת לידים'!A2053)))</f>
        <v/>
      </c>
      <c r="B2053" s="0" t="str">
        <f aca="false">IF('הדבקת לידים'!B2053="","",IF(ISNUMBER('הדבקת לידים'!B2053),IF(הגדרות!$E$3&gt;0,TEXT('הדבקת לידים'!B2053,REPT("0",הגדרות!$E$3)),TEXT('הדבקת לידים'!B2053,"0")),TRIM('הדבקת לידים'!B2053)))</f>
        <v/>
      </c>
      <c r="C2053" s="0" t="n">
        <f aca="false">IF(OR(A2053&lt;&gt;"",B2053&lt;&gt;""),1,0)</f>
        <v>0</v>
      </c>
      <c r="D2053" s="0" t="str">
        <f aca="false">IF(C2053=1,MOD(ABS(SIN(ROW()*12.9898+'הדבקת לידים'!$F$2*78.233+IFERROR(--RIGHT(A2053,6),LEN(A2053))*0.0137+IFERROR(--RIGHT(B2053,6),LEN(B2053))*0.0071))*43758.5453,1),"")</f>
        <v/>
      </c>
      <c r="E2053" s="0" t="str">
        <f aca="false">IF(C2053=1,INT(MOD(ABS(SIN(D2053*7919.123+ROW()*0.618+'הדבקת לידים'!$F$2*1.3))*43758.5453,1)*1000000)*10000+ROW(),"")</f>
        <v/>
      </c>
      <c r="F2053" s="0" t="str">
        <f aca="false">IF(E2053="","",RANK(E2053,$E$2:$E$5001,1))</f>
        <v/>
      </c>
      <c r="G2053" s="0" t="n">
        <f aca="false">IF(A2053="",0,IF(SUMPRODUCT(--($A$2:$A$5001=A2053))&gt;1,1,0))</f>
        <v>0</v>
      </c>
      <c r="H2053" s="0" t="n">
        <f aca="false">ROW()-1</f>
        <v>2052</v>
      </c>
      <c r="I2053" s="0" t="str">
        <f aca="false">IF(OR(הגדרות!$E$6=0,H2053&gt;הגדרות!$E$5),"",IF(H2053-1&lt;הגדרות!$E$8*(הגדרות!$E$7+1),INT((H2053-1)/(הגדרות!$E$7+1)),הגדרות!$E$8+INT((H2053-1-הגדרות!$E$8*(הגדרות!$E$7+1))/הגדרות!$E$7)))</f>
        <v/>
      </c>
      <c r="J2053" s="0" t="str">
        <f aca="false">IF(I2053="","",IF(H2053-1&lt;הגדרות!$E$8*(הגדרות!$E$7+1),MOD(H2053-1,הגדרות!$E$7+1),MOD(H2053-1-הגדרות!$E$8*(הגדרות!$E$7+1),הגדרות!$E$7)))</f>
        <v/>
      </c>
      <c r="K2053" s="0" t="str">
        <f aca="false">IF(I2053="","",J2053*הגדרות!$E$6+I2053+1)</f>
        <v/>
      </c>
      <c r="L2053" s="0" t="str">
        <f aca="false">IF(K2053="","",MATCH(K2053,$F$2:$F$5001,0))</f>
        <v/>
      </c>
      <c r="M2053" s="0" t="str">
        <f aca="false">IF(I2053="","",INDEX(הגדרות!$A$2:$A$21,MOD(I2053+הגדרות!$E$9,הגדרות!$E$6)+1))</f>
        <v/>
      </c>
    </row>
    <row r="2054" customFormat="false" ht="15" hidden="false" customHeight="false" outlineLevel="0" collapsed="false">
      <c r="A2054" s="0" t="str">
        <f aca="false">IF('הדבקת לידים'!A2054="","",IF(ISNUMBER('הדבקת לידים'!A2054),IF(הגדרות!$E$2&gt;0,TEXT('הדבקת לידים'!A2054,REPT("0",הגדרות!$E$2)),TEXT('הדבקת לידים'!A2054,"0")),TRIM('הדבקת לידים'!A2054)))</f>
        <v/>
      </c>
      <c r="B2054" s="0" t="str">
        <f aca="false">IF('הדבקת לידים'!B2054="","",IF(ISNUMBER('הדבקת לידים'!B2054),IF(הגדרות!$E$3&gt;0,TEXT('הדבקת לידים'!B2054,REPT("0",הגדרות!$E$3)),TEXT('הדבקת לידים'!B2054,"0")),TRIM('הדבקת לידים'!B2054)))</f>
        <v/>
      </c>
      <c r="C2054" s="0" t="n">
        <f aca="false">IF(OR(A2054&lt;&gt;"",B2054&lt;&gt;""),1,0)</f>
        <v>0</v>
      </c>
      <c r="D2054" s="0" t="str">
        <f aca="false">IF(C2054=1,MOD(ABS(SIN(ROW()*12.9898+'הדבקת לידים'!$F$2*78.233+IFERROR(--RIGHT(A2054,6),LEN(A2054))*0.0137+IFERROR(--RIGHT(B2054,6),LEN(B2054))*0.0071))*43758.5453,1),"")</f>
        <v/>
      </c>
      <c r="E2054" s="0" t="str">
        <f aca="false">IF(C2054=1,INT(MOD(ABS(SIN(D2054*7919.123+ROW()*0.618+'הדבקת לידים'!$F$2*1.3))*43758.5453,1)*1000000)*10000+ROW(),"")</f>
        <v/>
      </c>
      <c r="F2054" s="0" t="str">
        <f aca="false">IF(E2054="","",RANK(E2054,$E$2:$E$5001,1))</f>
        <v/>
      </c>
      <c r="G2054" s="0" t="n">
        <f aca="false">IF(A2054="",0,IF(SUMPRODUCT(--($A$2:$A$5001=A2054))&gt;1,1,0))</f>
        <v>0</v>
      </c>
      <c r="H2054" s="0" t="n">
        <f aca="false">ROW()-1</f>
        <v>2053</v>
      </c>
      <c r="I2054" s="0" t="str">
        <f aca="false">IF(OR(הגדרות!$E$6=0,H2054&gt;הגדרות!$E$5),"",IF(H2054-1&lt;הגדרות!$E$8*(הגדרות!$E$7+1),INT((H2054-1)/(הגדרות!$E$7+1)),הגדרות!$E$8+INT((H2054-1-הגדרות!$E$8*(הגדרות!$E$7+1))/הגדרות!$E$7)))</f>
        <v/>
      </c>
      <c r="J2054" s="0" t="str">
        <f aca="false">IF(I2054="","",IF(H2054-1&lt;הגדרות!$E$8*(הגדרות!$E$7+1),MOD(H2054-1,הגדרות!$E$7+1),MOD(H2054-1-הגדרות!$E$8*(הגדרות!$E$7+1),הגדרות!$E$7)))</f>
        <v/>
      </c>
      <c r="K2054" s="0" t="str">
        <f aca="false">IF(I2054="","",J2054*הגדרות!$E$6+I2054+1)</f>
        <v/>
      </c>
      <c r="L2054" s="0" t="str">
        <f aca="false">IF(K2054="","",MATCH(K2054,$F$2:$F$5001,0))</f>
        <v/>
      </c>
      <c r="M2054" s="0" t="str">
        <f aca="false">IF(I2054="","",INDEX(הגדרות!$A$2:$A$21,MOD(I2054+הגדרות!$E$9,הגדרות!$E$6)+1))</f>
        <v/>
      </c>
    </row>
    <row r="2055" customFormat="false" ht="15" hidden="false" customHeight="false" outlineLevel="0" collapsed="false">
      <c r="A2055" s="0" t="str">
        <f aca="false">IF('הדבקת לידים'!A2055="","",IF(ISNUMBER('הדבקת לידים'!A2055),IF(הגדרות!$E$2&gt;0,TEXT('הדבקת לידים'!A2055,REPT("0",הגדרות!$E$2)),TEXT('הדבקת לידים'!A2055,"0")),TRIM('הדבקת לידים'!A2055)))</f>
        <v/>
      </c>
      <c r="B2055" s="0" t="str">
        <f aca="false">IF('הדבקת לידים'!B2055="","",IF(ISNUMBER('הדבקת לידים'!B2055),IF(הגדרות!$E$3&gt;0,TEXT('הדבקת לידים'!B2055,REPT("0",הגדרות!$E$3)),TEXT('הדבקת לידים'!B2055,"0")),TRIM('הדבקת לידים'!B2055)))</f>
        <v/>
      </c>
      <c r="C2055" s="0" t="n">
        <f aca="false">IF(OR(A2055&lt;&gt;"",B2055&lt;&gt;""),1,0)</f>
        <v>0</v>
      </c>
      <c r="D2055" s="0" t="str">
        <f aca="false">IF(C2055=1,MOD(ABS(SIN(ROW()*12.9898+'הדבקת לידים'!$F$2*78.233+IFERROR(--RIGHT(A2055,6),LEN(A2055))*0.0137+IFERROR(--RIGHT(B2055,6),LEN(B2055))*0.0071))*43758.5453,1),"")</f>
        <v/>
      </c>
      <c r="E2055" s="0" t="str">
        <f aca="false">IF(C2055=1,INT(MOD(ABS(SIN(D2055*7919.123+ROW()*0.618+'הדבקת לידים'!$F$2*1.3))*43758.5453,1)*1000000)*10000+ROW(),"")</f>
        <v/>
      </c>
      <c r="F2055" s="0" t="str">
        <f aca="false">IF(E2055="","",RANK(E2055,$E$2:$E$5001,1))</f>
        <v/>
      </c>
      <c r="G2055" s="0" t="n">
        <f aca="false">IF(A2055="",0,IF(SUMPRODUCT(--($A$2:$A$5001=A2055))&gt;1,1,0))</f>
        <v>0</v>
      </c>
      <c r="H2055" s="0" t="n">
        <f aca="false">ROW()-1</f>
        <v>2054</v>
      </c>
      <c r="I2055" s="0" t="str">
        <f aca="false">IF(OR(הגדרות!$E$6=0,H2055&gt;הגדרות!$E$5),"",IF(H2055-1&lt;הגדרות!$E$8*(הגדרות!$E$7+1),INT((H2055-1)/(הגדרות!$E$7+1)),הגדרות!$E$8+INT((H2055-1-הגדרות!$E$8*(הגדרות!$E$7+1))/הגדרות!$E$7)))</f>
        <v/>
      </c>
      <c r="J2055" s="0" t="str">
        <f aca="false">IF(I2055="","",IF(H2055-1&lt;הגדרות!$E$8*(הגדרות!$E$7+1),MOD(H2055-1,הגדרות!$E$7+1),MOD(H2055-1-הגדרות!$E$8*(הגדרות!$E$7+1),הגדרות!$E$7)))</f>
        <v/>
      </c>
      <c r="K2055" s="0" t="str">
        <f aca="false">IF(I2055="","",J2055*הגדרות!$E$6+I2055+1)</f>
        <v/>
      </c>
      <c r="L2055" s="0" t="str">
        <f aca="false">IF(K2055="","",MATCH(K2055,$F$2:$F$5001,0))</f>
        <v/>
      </c>
      <c r="M2055" s="0" t="str">
        <f aca="false">IF(I2055="","",INDEX(הגדרות!$A$2:$A$21,MOD(I2055+הגדרות!$E$9,הגדרות!$E$6)+1))</f>
        <v/>
      </c>
    </row>
    <row r="2056" customFormat="false" ht="15" hidden="false" customHeight="false" outlineLevel="0" collapsed="false">
      <c r="A2056" s="0" t="str">
        <f aca="false">IF('הדבקת לידים'!A2056="","",IF(ISNUMBER('הדבקת לידים'!A2056),IF(הגדרות!$E$2&gt;0,TEXT('הדבקת לידים'!A2056,REPT("0",הגדרות!$E$2)),TEXT('הדבקת לידים'!A2056,"0")),TRIM('הדבקת לידים'!A2056)))</f>
        <v/>
      </c>
      <c r="B2056" s="0" t="str">
        <f aca="false">IF('הדבקת לידים'!B2056="","",IF(ISNUMBER('הדבקת לידים'!B2056),IF(הגדרות!$E$3&gt;0,TEXT('הדבקת לידים'!B2056,REPT("0",הגדרות!$E$3)),TEXT('הדבקת לידים'!B2056,"0")),TRIM('הדבקת לידים'!B2056)))</f>
        <v/>
      </c>
      <c r="C2056" s="0" t="n">
        <f aca="false">IF(OR(A2056&lt;&gt;"",B2056&lt;&gt;""),1,0)</f>
        <v>0</v>
      </c>
      <c r="D2056" s="0" t="str">
        <f aca="false">IF(C2056=1,MOD(ABS(SIN(ROW()*12.9898+'הדבקת לידים'!$F$2*78.233+IFERROR(--RIGHT(A2056,6),LEN(A2056))*0.0137+IFERROR(--RIGHT(B2056,6),LEN(B2056))*0.0071))*43758.5453,1),"")</f>
        <v/>
      </c>
      <c r="E2056" s="0" t="str">
        <f aca="false">IF(C2056=1,INT(MOD(ABS(SIN(D2056*7919.123+ROW()*0.618+'הדבקת לידים'!$F$2*1.3))*43758.5453,1)*1000000)*10000+ROW(),"")</f>
        <v/>
      </c>
      <c r="F2056" s="0" t="str">
        <f aca="false">IF(E2056="","",RANK(E2056,$E$2:$E$5001,1))</f>
        <v/>
      </c>
      <c r="G2056" s="0" t="n">
        <f aca="false">IF(A2056="",0,IF(SUMPRODUCT(--($A$2:$A$5001=A2056))&gt;1,1,0))</f>
        <v>0</v>
      </c>
      <c r="H2056" s="0" t="n">
        <f aca="false">ROW()-1</f>
        <v>2055</v>
      </c>
      <c r="I2056" s="0" t="str">
        <f aca="false">IF(OR(הגדרות!$E$6=0,H2056&gt;הגדרות!$E$5),"",IF(H2056-1&lt;הגדרות!$E$8*(הגדרות!$E$7+1),INT((H2056-1)/(הגדרות!$E$7+1)),הגדרות!$E$8+INT((H2056-1-הגדרות!$E$8*(הגדרות!$E$7+1))/הגדרות!$E$7)))</f>
        <v/>
      </c>
      <c r="J2056" s="0" t="str">
        <f aca="false">IF(I2056="","",IF(H2056-1&lt;הגדרות!$E$8*(הגדרות!$E$7+1),MOD(H2056-1,הגדרות!$E$7+1),MOD(H2056-1-הגדרות!$E$8*(הגדרות!$E$7+1),הגדרות!$E$7)))</f>
        <v/>
      </c>
      <c r="K2056" s="0" t="str">
        <f aca="false">IF(I2056="","",J2056*הגדרות!$E$6+I2056+1)</f>
        <v/>
      </c>
      <c r="L2056" s="0" t="str">
        <f aca="false">IF(K2056="","",MATCH(K2056,$F$2:$F$5001,0))</f>
        <v/>
      </c>
      <c r="M2056" s="0" t="str">
        <f aca="false">IF(I2056="","",INDEX(הגדרות!$A$2:$A$21,MOD(I2056+הגדרות!$E$9,הגדרות!$E$6)+1))</f>
        <v/>
      </c>
    </row>
    <row r="2057" customFormat="false" ht="15" hidden="false" customHeight="false" outlineLevel="0" collapsed="false">
      <c r="A2057" s="0" t="str">
        <f aca="false">IF('הדבקת לידים'!A2057="","",IF(ISNUMBER('הדבקת לידים'!A2057),IF(הגדרות!$E$2&gt;0,TEXT('הדבקת לידים'!A2057,REPT("0",הגדרות!$E$2)),TEXT('הדבקת לידים'!A2057,"0")),TRIM('הדבקת לידים'!A2057)))</f>
        <v/>
      </c>
      <c r="B2057" s="0" t="str">
        <f aca="false">IF('הדבקת לידים'!B2057="","",IF(ISNUMBER('הדבקת לידים'!B2057),IF(הגדרות!$E$3&gt;0,TEXT('הדבקת לידים'!B2057,REPT("0",הגדרות!$E$3)),TEXT('הדבקת לידים'!B2057,"0")),TRIM('הדבקת לידים'!B2057)))</f>
        <v/>
      </c>
      <c r="C2057" s="0" t="n">
        <f aca="false">IF(OR(A2057&lt;&gt;"",B2057&lt;&gt;""),1,0)</f>
        <v>0</v>
      </c>
      <c r="D2057" s="0" t="str">
        <f aca="false">IF(C2057=1,MOD(ABS(SIN(ROW()*12.9898+'הדבקת לידים'!$F$2*78.233+IFERROR(--RIGHT(A2057,6),LEN(A2057))*0.0137+IFERROR(--RIGHT(B2057,6),LEN(B2057))*0.0071))*43758.5453,1),"")</f>
        <v/>
      </c>
      <c r="E2057" s="0" t="str">
        <f aca="false">IF(C2057=1,INT(MOD(ABS(SIN(D2057*7919.123+ROW()*0.618+'הדבקת לידים'!$F$2*1.3))*43758.5453,1)*1000000)*10000+ROW(),"")</f>
        <v/>
      </c>
      <c r="F2057" s="0" t="str">
        <f aca="false">IF(E2057="","",RANK(E2057,$E$2:$E$5001,1))</f>
        <v/>
      </c>
      <c r="G2057" s="0" t="n">
        <f aca="false">IF(A2057="",0,IF(SUMPRODUCT(--($A$2:$A$5001=A2057))&gt;1,1,0))</f>
        <v>0</v>
      </c>
      <c r="H2057" s="0" t="n">
        <f aca="false">ROW()-1</f>
        <v>2056</v>
      </c>
      <c r="I2057" s="0" t="str">
        <f aca="false">IF(OR(הגדרות!$E$6=0,H2057&gt;הגדרות!$E$5),"",IF(H2057-1&lt;הגדרות!$E$8*(הגדרות!$E$7+1),INT((H2057-1)/(הגדרות!$E$7+1)),הגדרות!$E$8+INT((H2057-1-הגדרות!$E$8*(הגדרות!$E$7+1))/הגדרות!$E$7)))</f>
        <v/>
      </c>
      <c r="J2057" s="0" t="str">
        <f aca="false">IF(I2057="","",IF(H2057-1&lt;הגדרות!$E$8*(הגדרות!$E$7+1),MOD(H2057-1,הגדרות!$E$7+1),MOD(H2057-1-הגדרות!$E$8*(הגדרות!$E$7+1),הגדרות!$E$7)))</f>
        <v/>
      </c>
      <c r="K2057" s="0" t="str">
        <f aca="false">IF(I2057="","",J2057*הגדרות!$E$6+I2057+1)</f>
        <v/>
      </c>
      <c r="L2057" s="0" t="str">
        <f aca="false">IF(K2057="","",MATCH(K2057,$F$2:$F$5001,0))</f>
        <v/>
      </c>
      <c r="M2057" s="0" t="str">
        <f aca="false">IF(I2057="","",INDEX(הגדרות!$A$2:$A$21,MOD(I2057+הגדרות!$E$9,הגדרות!$E$6)+1))</f>
        <v/>
      </c>
    </row>
    <row r="2058" customFormat="false" ht="15" hidden="false" customHeight="false" outlineLevel="0" collapsed="false">
      <c r="A2058" s="0" t="str">
        <f aca="false">IF('הדבקת לידים'!A2058="","",IF(ISNUMBER('הדבקת לידים'!A2058),IF(הגדרות!$E$2&gt;0,TEXT('הדבקת לידים'!A2058,REPT("0",הגדרות!$E$2)),TEXT('הדבקת לידים'!A2058,"0")),TRIM('הדבקת לידים'!A2058)))</f>
        <v/>
      </c>
      <c r="B2058" s="0" t="str">
        <f aca="false">IF('הדבקת לידים'!B2058="","",IF(ISNUMBER('הדבקת לידים'!B2058),IF(הגדרות!$E$3&gt;0,TEXT('הדבקת לידים'!B2058,REPT("0",הגדרות!$E$3)),TEXT('הדבקת לידים'!B2058,"0")),TRIM('הדבקת לידים'!B2058)))</f>
        <v/>
      </c>
      <c r="C2058" s="0" t="n">
        <f aca="false">IF(OR(A2058&lt;&gt;"",B2058&lt;&gt;""),1,0)</f>
        <v>0</v>
      </c>
      <c r="D2058" s="0" t="str">
        <f aca="false">IF(C2058=1,MOD(ABS(SIN(ROW()*12.9898+'הדבקת לידים'!$F$2*78.233+IFERROR(--RIGHT(A2058,6),LEN(A2058))*0.0137+IFERROR(--RIGHT(B2058,6),LEN(B2058))*0.0071))*43758.5453,1),"")</f>
        <v/>
      </c>
      <c r="E2058" s="0" t="str">
        <f aca="false">IF(C2058=1,INT(MOD(ABS(SIN(D2058*7919.123+ROW()*0.618+'הדבקת לידים'!$F$2*1.3))*43758.5453,1)*1000000)*10000+ROW(),"")</f>
        <v/>
      </c>
      <c r="F2058" s="0" t="str">
        <f aca="false">IF(E2058="","",RANK(E2058,$E$2:$E$5001,1))</f>
        <v/>
      </c>
      <c r="G2058" s="0" t="n">
        <f aca="false">IF(A2058="",0,IF(SUMPRODUCT(--($A$2:$A$5001=A2058))&gt;1,1,0))</f>
        <v>0</v>
      </c>
      <c r="H2058" s="0" t="n">
        <f aca="false">ROW()-1</f>
        <v>2057</v>
      </c>
      <c r="I2058" s="0" t="str">
        <f aca="false">IF(OR(הגדרות!$E$6=0,H2058&gt;הגדרות!$E$5),"",IF(H2058-1&lt;הגדרות!$E$8*(הגדרות!$E$7+1),INT((H2058-1)/(הגדרות!$E$7+1)),הגדרות!$E$8+INT((H2058-1-הגדרות!$E$8*(הגדרות!$E$7+1))/הגדרות!$E$7)))</f>
        <v/>
      </c>
      <c r="J2058" s="0" t="str">
        <f aca="false">IF(I2058="","",IF(H2058-1&lt;הגדרות!$E$8*(הגדרות!$E$7+1),MOD(H2058-1,הגדרות!$E$7+1),MOD(H2058-1-הגדרות!$E$8*(הגדרות!$E$7+1),הגדרות!$E$7)))</f>
        <v/>
      </c>
      <c r="K2058" s="0" t="str">
        <f aca="false">IF(I2058="","",J2058*הגדרות!$E$6+I2058+1)</f>
        <v/>
      </c>
      <c r="L2058" s="0" t="str">
        <f aca="false">IF(K2058="","",MATCH(K2058,$F$2:$F$5001,0))</f>
        <v/>
      </c>
      <c r="M2058" s="0" t="str">
        <f aca="false">IF(I2058="","",INDEX(הגדרות!$A$2:$A$21,MOD(I2058+הגדרות!$E$9,הגדרות!$E$6)+1))</f>
        <v/>
      </c>
    </row>
    <row r="2059" customFormat="false" ht="15" hidden="false" customHeight="false" outlineLevel="0" collapsed="false">
      <c r="A2059" s="0" t="str">
        <f aca="false">IF('הדבקת לידים'!A2059="","",IF(ISNUMBER('הדבקת לידים'!A2059),IF(הגדרות!$E$2&gt;0,TEXT('הדבקת לידים'!A2059,REPT("0",הגדרות!$E$2)),TEXT('הדבקת לידים'!A2059,"0")),TRIM('הדבקת לידים'!A2059)))</f>
        <v/>
      </c>
      <c r="B2059" s="0" t="str">
        <f aca="false">IF('הדבקת לידים'!B2059="","",IF(ISNUMBER('הדבקת לידים'!B2059),IF(הגדרות!$E$3&gt;0,TEXT('הדבקת לידים'!B2059,REPT("0",הגדרות!$E$3)),TEXT('הדבקת לידים'!B2059,"0")),TRIM('הדבקת לידים'!B2059)))</f>
        <v/>
      </c>
      <c r="C2059" s="0" t="n">
        <f aca="false">IF(OR(A2059&lt;&gt;"",B2059&lt;&gt;""),1,0)</f>
        <v>0</v>
      </c>
      <c r="D2059" s="0" t="str">
        <f aca="false">IF(C2059=1,MOD(ABS(SIN(ROW()*12.9898+'הדבקת לידים'!$F$2*78.233+IFERROR(--RIGHT(A2059,6),LEN(A2059))*0.0137+IFERROR(--RIGHT(B2059,6),LEN(B2059))*0.0071))*43758.5453,1),"")</f>
        <v/>
      </c>
      <c r="E2059" s="0" t="str">
        <f aca="false">IF(C2059=1,INT(MOD(ABS(SIN(D2059*7919.123+ROW()*0.618+'הדבקת לידים'!$F$2*1.3))*43758.5453,1)*1000000)*10000+ROW(),"")</f>
        <v/>
      </c>
      <c r="F2059" s="0" t="str">
        <f aca="false">IF(E2059="","",RANK(E2059,$E$2:$E$5001,1))</f>
        <v/>
      </c>
      <c r="G2059" s="0" t="n">
        <f aca="false">IF(A2059="",0,IF(SUMPRODUCT(--($A$2:$A$5001=A2059))&gt;1,1,0))</f>
        <v>0</v>
      </c>
      <c r="H2059" s="0" t="n">
        <f aca="false">ROW()-1</f>
        <v>2058</v>
      </c>
      <c r="I2059" s="0" t="str">
        <f aca="false">IF(OR(הגדרות!$E$6=0,H2059&gt;הגדרות!$E$5),"",IF(H2059-1&lt;הגדרות!$E$8*(הגדרות!$E$7+1),INT((H2059-1)/(הגדרות!$E$7+1)),הגדרות!$E$8+INT((H2059-1-הגדרות!$E$8*(הגדרות!$E$7+1))/הגדרות!$E$7)))</f>
        <v/>
      </c>
      <c r="J2059" s="0" t="str">
        <f aca="false">IF(I2059="","",IF(H2059-1&lt;הגדרות!$E$8*(הגדרות!$E$7+1),MOD(H2059-1,הגדרות!$E$7+1),MOD(H2059-1-הגדרות!$E$8*(הגדרות!$E$7+1),הגדרות!$E$7)))</f>
        <v/>
      </c>
      <c r="K2059" s="0" t="str">
        <f aca="false">IF(I2059="","",J2059*הגדרות!$E$6+I2059+1)</f>
        <v/>
      </c>
      <c r="L2059" s="0" t="str">
        <f aca="false">IF(K2059="","",MATCH(K2059,$F$2:$F$5001,0))</f>
        <v/>
      </c>
      <c r="M2059" s="0" t="str">
        <f aca="false">IF(I2059="","",INDEX(הגדרות!$A$2:$A$21,MOD(I2059+הגדרות!$E$9,הגדרות!$E$6)+1))</f>
        <v/>
      </c>
    </row>
    <row r="2060" customFormat="false" ht="15" hidden="false" customHeight="false" outlineLevel="0" collapsed="false">
      <c r="A2060" s="0" t="str">
        <f aca="false">IF('הדבקת לידים'!A2060="","",IF(ISNUMBER('הדבקת לידים'!A2060),IF(הגדרות!$E$2&gt;0,TEXT('הדבקת לידים'!A2060,REPT("0",הגדרות!$E$2)),TEXT('הדבקת לידים'!A2060,"0")),TRIM('הדבקת לידים'!A2060)))</f>
        <v/>
      </c>
      <c r="B2060" s="0" t="str">
        <f aca="false">IF('הדבקת לידים'!B2060="","",IF(ISNUMBER('הדבקת לידים'!B2060),IF(הגדרות!$E$3&gt;0,TEXT('הדבקת לידים'!B2060,REPT("0",הגדרות!$E$3)),TEXT('הדבקת לידים'!B2060,"0")),TRIM('הדבקת לידים'!B2060)))</f>
        <v/>
      </c>
      <c r="C2060" s="0" t="n">
        <f aca="false">IF(OR(A2060&lt;&gt;"",B2060&lt;&gt;""),1,0)</f>
        <v>0</v>
      </c>
      <c r="D2060" s="0" t="str">
        <f aca="false">IF(C2060=1,MOD(ABS(SIN(ROW()*12.9898+'הדבקת לידים'!$F$2*78.233+IFERROR(--RIGHT(A2060,6),LEN(A2060))*0.0137+IFERROR(--RIGHT(B2060,6),LEN(B2060))*0.0071))*43758.5453,1),"")</f>
        <v/>
      </c>
      <c r="E2060" s="0" t="str">
        <f aca="false">IF(C2060=1,INT(MOD(ABS(SIN(D2060*7919.123+ROW()*0.618+'הדבקת לידים'!$F$2*1.3))*43758.5453,1)*1000000)*10000+ROW(),"")</f>
        <v/>
      </c>
      <c r="F2060" s="0" t="str">
        <f aca="false">IF(E2060="","",RANK(E2060,$E$2:$E$5001,1))</f>
        <v/>
      </c>
      <c r="G2060" s="0" t="n">
        <f aca="false">IF(A2060="",0,IF(SUMPRODUCT(--($A$2:$A$5001=A2060))&gt;1,1,0))</f>
        <v>0</v>
      </c>
      <c r="H2060" s="0" t="n">
        <f aca="false">ROW()-1</f>
        <v>2059</v>
      </c>
      <c r="I2060" s="0" t="str">
        <f aca="false">IF(OR(הגדרות!$E$6=0,H2060&gt;הגדרות!$E$5),"",IF(H2060-1&lt;הגדרות!$E$8*(הגדרות!$E$7+1),INT((H2060-1)/(הגדרות!$E$7+1)),הגדרות!$E$8+INT((H2060-1-הגדרות!$E$8*(הגדרות!$E$7+1))/הגדרות!$E$7)))</f>
        <v/>
      </c>
      <c r="J2060" s="0" t="str">
        <f aca="false">IF(I2060="","",IF(H2060-1&lt;הגדרות!$E$8*(הגדרות!$E$7+1),MOD(H2060-1,הגדרות!$E$7+1),MOD(H2060-1-הגדרות!$E$8*(הגדרות!$E$7+1),הגדרות!$E$7)))</f>
        <v/>
      </c>
      <c r="K2060" s="0" t="str">
        <f aca="false">IF(I2060="","",J2060*הגדרות!$E$6+I2060+1)</f>
        <v/>
      </c>
      <c r="L2060" s="0" t="str">
        <f aca="false">IF(K2060="","",MATCH(K2060,$F$2:$F$5001,0))</f>
        <v/>
      </c>
      <c r="M2060" s="0" t="str">
        <f aca="false">IF(I2060="","",INDEX(הגדרות!$A$2:$A$21,MOD(I2060+הגדרות!$E$9,הגדרות!$E$6)+1))</f>
        <v/>
      </c>
    </row>
    <row r="2061" customFormat="false" ht="15" hidden="false" customHeight="false" outlineLevel="0" collapsed="false">
      <c r="A2061" s="0" t="str">
        <f aca="false">IF('הדבקת לידים'!A2061="","",IF(ISNUMBER('הדבקת לידים'!A2061),IF(הגדרות!$E$2&gt;0,TEXT('הדבקת לידים'!A2061,REPT("0",הגדרות!$E$2)),TEXT('הדבקת לידים'!A2061,"0")),TRIM('הדבקת לידים'!A2061)))</f>
        <v/>
      </c>
      <c r="B2061" s="0" t="str">
        <f aca="false">IF('הדבקת לידים'!B2061="","",IF(ISNUMBER('הדבקת לידים'!B2061),IF(הגדרות!$E$3&gt;0,TEXT('הדבקת לידים'!B2061,REPT("0",הגדרות!$E$3)),TEXT('הדבקת לידים'!B2061,"0")),TRIM('הדבקת לידים'!B2061)))</f>
        <v/>
      </c>
      <c r="C2061" s="0" t="n">
        <f aca="false">IF(OR(A2061&lt;&gt;"",B2061&lt;&gt;""),1,0)</f>
        <v>0</v>
      </c>
      <c r="D2061" s="0" t="str">
        <f aca="false">IF(C2061=1,MOD(ABS(SIN(ROW()*12.9898+'הדבקת לידים'!$F$2*78.233+IFERROR(--RIGHT(A2061,6),LEN(A2061))*0.0137+IFERROR(--RIGHT(B2061,6),LEN(B2061))*0.0071))*43758.5453,1),"")</f>
        <v/>
      </c>
      <c r="E2061" s="0" t="str">
        <f aca="false">IF(C2061=1,INT(MOD(ABS(SIN(D2061*7919.123+ROW()*0.618+'הדבקת לידים'!$F$2*1.3))*43758.5453,1)*1000000)*10000+ROW(),"")</f>
        <v/>
      </c>
      <c r="F2061" s="0" t="str">
        <f aca="false">IF(E2061="","",RANK(E2061,$E$2:$E$5001,1))</f>
        <v/>
      </c>
      <c r="G2061" s="0" t="n">
        <f aca="false">IF(A2061="",0,IF(SUMPRODUCT(--($A$2:$A$5001=A2061))&gt;1,1,0))</f>
        <v>0</v>
      </c>
      <c r="H2061" s="0" t="n">
        <f aca="false">ROW()-1</f>
        <v>2060</v>
      </c>
      <c r="I2061" s="0" t="str">
        <f aca="false">IF(OR(הגדרות!$E$6=0,H2061&gt;הגדרות!$E$5),"",IF(H2061-1&lt;הגדרות!$E$8*(הגדרות!$E$7+1),INT((H2061-1)/(הגדרות!$E$7+1)),הגדרות!$E$8+INT((H2061-1-הגדרות!$E$8*(הגדרות!$E$7+1))/הגדרות!$E$7)))</f>
        <v/>
      </c>
      <c r="J2061" s="0" t="str">
        <f aca="false">IF(I2061="","",IF(H2061-1&lt;הגדרות!$E$8*(הגדרות!$E$7+1),MOD(H2061-1,הגדרות!$E$7+1),MOD(H2061-1-הגדרות!$E$8*(הגדרות!$E$7+1),הגדרות!$E$7)))</f>
        <v/>
      </c>
      <c r="K2061" s="0" t="str">
        <f aca="false">IF(I2061="","",J2061*הגדרות!$E$6+I2061+1)</f>
        <v/>
      </c>
      <c r="L2061" s="0" t="str">
        <f aca="false">IF(K2061="","",MATCH(K2061,$F$2:$F$5001,0))</f>
        <v/>
      </c>
      <c r="M2061" s="0" t="str">
        <f aca="false">IF(I2061="","",INDEX(הגדרות!$A$2:$A$21,MOD(I2061+הגדרות!$E$9,הגדרות!$E$6)+1))</f>
        <v/>
      </c>
    </row>
    <row r="2062" customFormat="false" ht="15" hidden="false" customHeight="false" outlineLevel="0" collapsed="false">
      <c r="A2062" s="0" t="str">
        <f aca="false">IF('הדבקת לידים'!A2062="","",IF(ISNUMBER('הדבקת לידים'!A2062),IF(הגדרות!$E$2&gt;0,TEXT('הדבקת לידים'!A2062,REPT("0",הגדרות!$E$2)),TEXT('הדבקת לידים'!A2062,"0")),TRIM('הדבקת לידים'!A2062)))</f>
        <v/>
      </c>
      <c r="B2062" s="0" t="str">
        <f aca="false">IF('הדבקת לידים'!B2062="","",IF(ISNUMBER('הדבקת לידים'!B2062),IF(הגדרות!$E$3&gt;0,TEXT('הדבקת לידים'!B2062,REPT("0",הגדרות!$E$3)),TEXT('הדבקת לידים'!B2062,"0")),TRIM('הדבקת לידים'!B2062)))</f>
        <v/>
      </c>
      <c r="C2062" s="0" t="n">
        <f aca="false">IF(OR(A2062&lt;&gt;"",B2062&lt;&gt;""),1,0)</f>
        <v>0</v>
      </c>
      <c r="D2062" s="0" t="str">
        <f aca="false">IF(C2062=1,MOD(ABS(SIN(ROW()*12.9898+'הדבקת לידים'!$F$2*78.233+IFERROR(--RIGHT(A2062,6),LEN(A2062))*0.0137+IFERROR(--RIGHT(B2062,6),LEN(B2062))*0.0071))*43758.5453,1),"")</f>
        <v/>
      </c>
      <c r="E2062" s="0" t="str">
        <f aca="false">IF(C2062=1,INT(MOD(ABS(SIN(D2062*7919.123+ROW()*0.618+'הדבקת לידים'!$F$2*1.3))*43758.5453,1)*1000000)*10000+ROW(),"")</f>
        <v/>
      </c>
      <c r="F2062" s="0" t="str">
        <f aca="false">IF(E2062="","",RANK(E2062,$E$2:$E$5001,1))</f>
        <v/>
      </c>
      <c r="G2062" s="0" t="n">
        <f aca="false">IF(A2062="",0,IF(SUMPRODUCT(--($A$2:$A$5001=A2062))&gt;1,1,0))</f>
        <v>0</v>
      </c>
      <c r="H2062" s="0" t="n">
        <f aca="false">ROW()-1</f>
        <v>2061</v>
      </c>
      <c r="I2062" s="0" t="str">
        <f aca="false">IF(OR(הגדרות!$E$6=0,H2062&gt;הגדרות!$E$5),"",IF(H2062-1&lt;הגדרות!$E$8*(הגדרות!$E$7+1),INT((H2062-1)/(הגדרות!$E$7+1)),הגדרות!$E$8+INT((H2062-1-הגדרות!$E$8*(הגדרות!$E$7+1))/הגדרות!$E$7)))</f>
        <v/>
      </c>
      <c r="J2062" s="0" t="str">
        <f aca="false">IF(I2062="","",IF(H2062-1&lt;הגדרות!$E$8*(הגדרות!$E$7+1),MOD(H2062-1,הגדרות!$E$7+1),MOD(H2062-1-הגדרות!$E$8*(הגדרות!$E$7+1),הגדרות!$E$7)))</f>
        <v/>
      </c>
      <c r="K2062" s="0" t="str">
        <f aca="false">IF(I2062="","",J2062*הגדרות!$E$6+I2062+1)</f>
        <v/>
      </c>
      <c r="L2062" s="0" t="str">
        <f aca="false">IF(K2062="","",MATCH(K2062,$F$2:$F$5001,0))</f>
        <v/>
      </c>
      <c r="M2062" s="0" t="str">
        <f aca="false">IF(I2062="","",INDEX(הגדרות!$A$2:$A$21,MOD(I2062+הגדרות!$E$9,הגדרות!$E$6)+1))</f>
        <v/>
      </c>
    </row>
    <row r="2063" customFormat="false" ht="15" hidden="false" customHeight="false" outlineLevel="0" collapsed="false">
      <c r="A2063" s="0" t="str">
        <f aca="false">IF('הדבקת לידים'!A2063="","",IF(ISNUMBER('הדבקת לידים'!A2063),IF(הגדרות!$E$2&gt;0,TEXT('הדבקת לידים'!A2063,REPT("0",הגדרות!$E$2)),TEXT('הדבקת לידים'!A2063,"0")),TRIM('הדבקת לידים'!A2063)))</f>
        <v/>
      </c>
      <c r="B2063" s="0" t="str">
        <f aca="false">IF('הדבקת לידים'!B2063="","",IF(ISNUMBER('הדבקת לידים'!B2063),IF(הגדרות!$E$3&gt;0,TEXT('הדבקת לידים'!B2063,REPT("0",הגדרות!$E$3)),TEXT('הדבקת לידים'!B2063,"0")),TRIM('הדבקת לידים'!B2063)))</f>
        <v/>
      </c>
      <c r="C2063" s="0" t="n">
        <f aca="false">IF(OR(A2063&lt;&gt;"",B2063&lt;&gt;""),1,0)</f>
        <v>0</v>
      </c>
      <c r="D2063" s="0" t="str">
        <f aca="false">IF(C2063=1,MOD(ABS(SIN(ROW()*12.9898+'הדבקת לידים'!$F$2*78.233+IFERROR(--RIGHT(A2063,6),LEN(A2063))*0.0137+IFERROR(--RIGHT(B2063,6),LEN(B2063))*0.0071))*43758.5453,1),"")</f>
        <v/>
      </c>
      <c r="E2063" s="0" t="str">
        <f aca="false">IF(C2063=1,INT(MOD(ABS(SIN(D2063*7919.123+ROW()*0.618+'הדבקת לידים'!$F$2*1.3))*43758.5453,1)*1000000)*10000+ROW(),"")</f>
        <v/>
      </c>
      <c r="F2063" s="0" t="str">
        <f aca="false">IF(E2063="","",RANK(E2063,$E$2:$E$5001,1))</f>
        <v/>
      </c>
      <c r="G2063" s="0" t="n">
        <f aca="false">IF(A2063="",0,IF(SUMPRODUCT(--($A$2:$A$5001=A2063))&gt;1,1,0))</f>
        <v>0</v>
      </c>
      <c r="H2063" s="0" t="n">
        <f aca="false">ROW()-1</f>
        <v>2062</v>
      </c>
      <c r="I2063" s="0" t="str">
        <f aca="false">IF(OR(הגדרות!$E$6=0,H2063&gt;הגדרות!$E$5),"",IF(H2063-1&lt;הגדרות!$E$8*(הגדרות!$E$7+1),INT((H2063-1)/(הגדרות!$E$7+1)),הגדרות!$E$8+INT((H2063-1-הגדרות!$E$8*(הגדרות!$E$7+1))/הגדרות!$E$7)))</f>
        <v/>
      </c>
      <c r="J2063" s="0" t="str">
        <f aca="false">IF(I2063="","",IF(H2063-1&lt;הגדרות!$E$8*(הגדרות!$E$7+1),MOD(H2063-1,הגדרות!$E$7+1),MOD(H2063-1-הגדרות!$E$8*(הגדרות!$E$7+1),הגדרות!$E$7)))</f>
        <v/>
      </c>
      <c r="K2063" s="0" t="str">
        <f aca="false">IF(I2063="","",J2063*הגדרות!$E$6+I2063+1)</f>
        <v/>
      </c>
      <c r="L2063" s="0" t="str">
        <f aca="false">IF(K2063="","",MATCH(K2063,$F$2:$F$5001,0))</f>
        <v/>
      </c>
      <c r="M2063" s="0" t="str">
        <f aca="false">IF(I2063="","",INDEX(הגדרות!$A$2:$A$21,MOD(I2063+הגדרות!$E$9,הגדרות!$E$6)+1))</f>
        <v/>
      </c>
    </row>
    <row r="2064" customFormat="false" ht="15" hidden="false" customHeight="false" outlineLevel="0" collapsed="false">
      <c r="A2064" s="0" t="str">
        <f aca="false">IF('הדבקת לידים'!A2064="","",IF(ISNUMBER('הדבקת לידים'!A2064),IF(הגדרות!$E$2&gt;0,TEXT('הדבקת לידים'!A2064,REPT("0",הגדרות!$E$2)),TEXT('הדבקת לידים'!A2064,"0")),TRIM('הדבקת לידים'!A2064)))</f>
        <v/>
      </c>
      <c r="B2064" s="0" t="str">
        <f aca="false">IF('הדבקת לידים'!B2064="","",IF(ISNUMBER('הדבקת לידים'!B2064),IF(הגדרות!$E$3&gt;0,TEXT('הדבקת לידים'!B2064,REPT("0",הגדרות!$E$3)),TEXT('הדבקת לידים'!B2064,"0")),TRIM('הדבקת לידים'!B2064)))</f>
        <v/>
      </c>
      <c r="C2064" s="0" t="n">
        <f aca="false">IF(OR(A2064&lt;&gt;"",B2064&lt;&gt;""),1,0)</f>
        <v>0</v>
      </c>
      <c r="D2064" s="0" t="str">
        <f aca="false">IF(C2064=1,MOD(ABS(SIN(ROW()*12.9898+'הדבקת לידים'!$F$2*78.233+IFERROR(--RIGHT(A2064,6),LEN(A2064))*0.0137+IFERROR(--RIGHT(B2064,6),LEN(B2064))*0.0071))*43758.5453,1),"")</f>
        <v/>
      </c>
      <c r="E2064" s="0" t="str">
        <f aca="false">IF(C2064=1,INT(MOD(ABS(SIN(D2064*7919.123+ROW()*0.618+'הדבקת לידים'!$F$2*1.3))*43758.5453,1)*1000000)*10000+ROW(),"")</f>
        <v/>
      </c>
      <c r="F2064" s="0" t="str">
        <f aca="false">IF(E2064="","",RANK(E2064,$E$2:$E$5001,1))</f>
        <v/>
      </c>
      <c r="G2064" s="0" t="n">
        <f aca="false">IF(A2064="",0,IF(SUMPRODUCT(--($A$2:$A$5001=A2064))&gt;1,1,0))</f>
        <v>0</v>
      </c>
      <c r="H2064" s="0" t="n">
        <f aca="false">ROW()-1</f>
        <v>2063</v>
      </c>
      <c r="I2064" s="0" t="str">
        <f aca="false">IF(OR(הגדרות!$E$6=0,H2064&gt;הגדרות!$E$5),"",IF(H2064-1&lt;הגדרות!$E$8*(הגדרות!$E$7+1),INT((H2064-1)/(הגדרות!$E$7+1)),הגדרות!$E$8+INT((H2064-1-הגדרות!$E$8*(הגדרות!$E$7+1))/הגדרות!$E$7)))</f>
        <v/>
      </c>
      <c r="J2064" s="0" t="str">
        <f aca="false">IF(I2064="","",IF(H2064-1&lt;הגדרות!$E$8*(הגדרות!$E$7+1),MOD(H2064-1,הגדרות!$E$7+1),MOD(H2064-1-הגדרות!$E$8*(הגדרות!$E$7+1),הגדרות!$E$7)))</f>
        <v/>
      </c>
      <c r="K2064" s="0" t="str">
        <f aca="false">IF(I2064="","",J2064*הגדרות!$E$6+I2064+1)</f>
        <v/>
      </c>
      <c r="L2064" s="0" t="str">
        <f aca="false">IF(K2064="","",MATCH(K2064,$F$2:$F$5001,0))</f>
        <v/>
      </c>
      <c r="M2064" s="0" t="str">
        <f aca="false">IF(I2064="","",INDEX(הגדרות!$A$2:$A$21,MOD(I2064+הגדרות!$E$9,הגדרות!$E$6)+1))</f>
        <v/>
      </c>
    </row>
    <row r="2065" customFormat="false" ht="15" hidden="false" customHeight="false" outlineLevel="0" collapsed="false">
      <c r="A2065" s="0" t="str">
        <f aca="false">IF('הדבקת לידים'!A2065="","",IF(ISNUMBER('הדבקת לידים'!A2065),IF(הגדרות!$E$2&gt;0,TEXT('הדבקת לידים'!A2065,REPT("0",הגדרות!$E$2)),TEXT('הדבקת לידים'!A2065,"0")),TRIM('הדבקת לידים'!A2065)))</f>
        <v/>
      </c>
      <c r="B2065" s="0" t="str">
        <f aca="false">IF('הדבקת לידים'!B2065="","",IF(ISNUMBER('הדבקת לידים'!B2065),IF(הגדרות!$E$3&gt;0,TEXT('הדבקת לידים'!B2065,REPT("0",הגדרות!$E$3)),TEXT('הדבקת לידים'!B2065,"0")),TRIM('הדבקת לידים'!B2065)))</f>
        <v/>
      </c>
      <c r="C2065" s="0" t="n">
        <f aca="false">IF(OR(A2065&lt;&gt;"",B2065&lt;&gt;""),1,0)</f>
        <v>0</v>
      </c>
      <c r="D2065" s="0" t="str">
        <f aca="false">IF(C2065=1,MOD(ABS(SIN(ROW()*12.9898+'הדבקת לידים'!$F$2*78.233+IFERROR(--RIGHT(A2065,6),LEN(A2065))*0.0137+IFERROR(--RIGHT(B2065,6),LEN(B2065))*0.0071))*43758.5453,1),"")</f>
        <v/>
      </c>
      <c r="E2065" s="0" t="str">
        <f aca="false">IF(C2065=1,INT(MOD(ABS(SIN(D2065*7919.123+ROW()*0.618+'הדבקת לידים'!$F$2*1.3))*43758.5453,1)*1000000)*10000+ROW(),"")</f>
        <v/>
      </c>
      <c r="F2065" s="0" t="str">
        <f aca="false">IF(E2065="","",RANK(E2065,$E$2:$E$5001,1))</f>
        <v/>
      </c>
      <c r="G2065" s="0" t="n">
        <f aca="false">IF(A2065="",0,IF(SUMPRODUCT(--($A$2:$A$5001=A2065))&gt;1,1,0))</f>
        <v>0</v>
      </c>
      <c r="H2065" s="0" t="n">
        <f aca="false">ROW()-1</f>
        <v>2064</v>
      </c>
      <c r="I2065" s="0" t="str">
        <f aca="false">IF(OR(הגדרות!$E$6=0,H2065&gt;הגדרות!$E$5),"",IF(H2065-1&lt;הגדרות!$E$8*(הגדרות!$E$7+1),INT((H2065-1)/(הגדרות!$E$7+1)),הגדרות!$E$8+INT((H2065-1-הגדרות!$E$8*(הגדרות!$E$7+1))/הגדרות!$E$7)))</f>
        <v/>
      </c>
      <c r="J2065" s="0" t="str">
        <f aca="false">IF(I2065="","",IF(H2065-1&lt;הגדרות!$E$8*(הגדרות!$E$7+1),MOD(H2065-1,הגדרות!$E$7+1),MOD(H2065-1-הגדרות!$E$8*(הגדרות!$E$7+1),הגדרות!$E$7)))</f>
        <v/>
      </c>
      <c r="K2065" s="0" t="str">
        <f aca="false">IF(I2065="","",J2065*הגדרות!$E$6+I2065+1)</f>
        <v/>
      </c>
      <c r="L2065" s="0" t="str">
        <f aca="false">IF(K2065="","",MATCH(K2065,$F$2:$F$5001,0))</f>
        <v/>
      </c>
      <c r="M2065" s="0" t="str">
        <f aca="false">IF(I2065="","",INDEX(הגדרות!$A$2:$A$21,MOD(I2065+הגדרות!$E$9,הגדרות!$E$6)+1))</f>
        <v/>
      </c>
    </row>
    <row r="2066" customFormat="false" ht="15" hidden="false" customHeight="false" outlineLevel="0" collapsed="false">
      <c r="A2066" s="0" t="str">
        <f aca="false">IF('הדבקת לידים'!A2066="","",IF(ISNUMBER('הדבקת לידים'!A2066),IF(הגדרות!$E$2&gt;0,TEXT('הדבקת לידים'!A2066,REPT("0",הגדרות!$E$2)),TEXT('הדבקת לידים'!A2066,"0")),TRIM('הדבקת לידים'!A2066)))</f>
        <v/>
      </c>
      <c r="B2066" s="0" t="str">
        <f aca="false">IF('הדבקת לידים'!B2066="","",IF(ISNUMBER('הדבקת לידים'!B2066),IF(הגדרות!$E$3&gt;0,TEXT('הדבקת לידים'!B2066,REPT("0",הגדרות!$E$3)),TEXT('הדבקת לידים'!B2066,"0")),TRIM('הדבקת לידים'!B2066)))</f>
        <v/>
      </c>
      <c r="C2066" s="0" t="n">
        <f aca="false">IF(OR(A2066&lt;&gt;"",B2066&lt;&gt;""),1,0)</f>
        <v>0</v>
      </c>
      <c r="D2066" s="0" t="str">
        <f aca="false">IF(C2066=1,MOD(ABS(SIN(ROW()*12.9898+'הדבקת לידים'!$F$2*78.233+IFERROR(--RIGHT(A2066,6),LEN(A2066))*0.0137+IFERROR(--RIGHT(B2066,6),LEN(B2066))*0.0071))*43758.5453,1),"")</f>
        <v/>
      </c>
      <c r="E2066" s="0" t="str">
        <f aca="false">IF(C2066=1,INT(MOD(ABS(SIN(D2066*7919.123+ROW()*0.618+'הדבקת לידים'!$F$2*1.3))*43758.5453,1)*1000000)*10000+ROW(),"")</f>
        <v/>
      </c>
      <c r="F2066" s="0" t="str">
        <f aca="false">IF(E2066="","",RANK(E2066,$E$2:$E$5001,1))</f>
        <v/>
      </c>
      <c r="G2066" s="0" t="n">
        <f aca="false">IF(A2066="",0,IF(SUMPRODUCT(--($A$2:$A$5001=A2066))&gt;1,1,0))</f>
        <v>0</v>
      </c>
      <c r="H2066" s="0" t="n">
        <f aca="false">ROW()-1</f>
        <v>2065</v>
      </c>
      <c r="I2066" s="0" t="str">
        <f aca="false">IF(OR(הגדרות!$E$6=0,H2066&gt;הגדרות!$E$5),"",IF(H2066-1&lt;הגדרות!$E$8*(הגדרות!$E$7+1),INT((H2066-1)/(הגדרות!$E$7+1)),הגדרות!$E$8+INT((H2066-1-הגדרות!$E$8*(הגדרות!$E$7+1))/הגדרות!$E$7)))</f>
        <v/>
      </c>
      <c r="J2066" s="0" t="str">
        <f aca="false">IF(I2066="","",IF(H2066-1&lt;הגדרות!$E$8*(הגדרות!$E$7+1),MOD(H2066-1,הגדרות!$E$7+1),MOD(H2066-1-הגדרות!$E$8*(הגדרות!$E$7+1),הגדרות!$E$7)))</f>
        <v/>
      </c>
      <c r="K2066" s="0" t="str">
        <f aca="false">IF(I2066="","",J2066*הגדרות!$E$6+I2066+1)</f>
        <v/>
      </c>
      <c r="L2066" s="0" t="str">
        <f aca="false">IF(K2066="","",MATCH(K2066,$F$2:$F$5001,0))</f>
        <v/>
      </c>
      <c r="M2066" s="0" t="str">
        <f aca="false">IF(I2066="","",INDEX(הגדרות!$A$2:$A$21,MOD(I2066+הגדרות!$E$9,הגדרות!$E$6)+1))</f>
        <v/>
      </c>
    </row>
    <row r="2067" customFormat="false" ht="15" hidden="false" customHeight="false" outlineLevel="0" collapsed="false">
      <c r="A2067" s="0" t="str">
        <f aca="false">IF('הדבקת לידים'!A2067="","",IF(ISNUMBER('הדבקת לידים'!A2067),IF(הגדרות!$E$2&gt;0,TEXT('הדבקת לידים'!A2067,REPT("0",הגדרות!$E$2)),TEXT('הדבקת לידים'!A2067,"0")),TRIM('הדבקת לידים'!A2067)))</f>
        <v/>
      </c>
      <c r="B2067" s="0" t="str">
        <f aca="false">IF('הדבקת לידים'!B2067="","",IF(ISNUMBER('הדבקת לידים'!B2067),IF(הגדרות!$E$3&gt;0,TEXT('הדבקת לידים'!B2067,REPT("0",הגדרות!$E$3)),TEXT('הדבקת לידים'!B2067,"0")),TRIM('הדבקת לידים'!B2067)))</f>
        <v/>
      </c>
      <c r="C2067" s="0" t="n">
        <f aca="false">IF(OR(A2067&lt;&gt;"",B2067&lt;&gt;""),1,0)</f>
        <v>0</v>
      </c>
      <c r="D2067" s="0" t="str">
        <f aca="false">IF(C2067=1,MOD(ABS(SIN(ROW()*12.9898+'הדבקת לידים'!$F$2*78.233+IFERROR(--RIGHT(A2067,6),LEN(A2067))*0.0137+IFERROR(--RIGHT(B2067,6),LEN(B2067))*0.0071))*43758.5453,1),"")</f>
        <v/>
      </c>
      <c r="E2067" s="0" t="str">
        <f aca="false">IF(C2067=1,INT(MOD(ABS(SIN(D2067*7919.123+ROW()*0.618+'הדבקת לידים'!$F$2*1.3))*43758.5453,1)*1000000)*10000+ROW(),"")</f>
        <v/>
      </c>
      <c r="F2067" s="0" t="str">
        <f aca="false">IF(E2067="","",RANK(E2067,$E$2:$E$5001,1))</f>
        <v/>
      </c>
      <c r="G2067" s="0" t="n">
        <f aca="false">IF(A2067="",0,IF(SUMPRODUCT(--($A$2:$A$5001=A2067))&gt;1,1,0))</f>
        <v>0</v>
      </c>
      <c r="H2067" s="0" t="n">
        <f aca="false">ROW()-1</f>
        <v>2066</v>
      </c>
      <c r="I2067" s="0" t="str">
        <f aca="false">IF(OR(הגדרות!$E$6=0,H2067&gt;הגדרות!$E$5),"",IF(H2067-1&lt;הגדרות!$E$8*(הגדרות!$E$7+1),INT((H2067-1)/(הגדרות!$E$7+1)),הגדרות!$E$8+INT((H2067-1-הגדרות!$E$8*(הגדרות!$E$7+1))/הגדרות!$E$7)))</f>
        <v/>
      </c>
      <c r="J2067" s="0" t="str">
        <f aca="false">IF(I2067="","",IF(H2067-1&lt;הגדרות!$E$8*(הגדרות!$E$7+1),MOD(H2067-1,הגדרות!$E$7+1),MOD(H2067-1-הגדרות!$E$8*(הגדרות!$E$7+1),הגדרות!$E$7)))</f>
        <v/>
      </c>
      <c r="K2067" s="0" t="str">
        <f aca="false">IF(I2067="","",J2067*הגדרות!$E$6+I2067+1)</f>
        <v/>
      </c>
      <c r="L2067" s="0" t="str">
        <f aca="false">IF(K2067="","",MATCH(K2067,$F$2:$F$5001,0))</f>
        <v/>
      </c>
      <c r="M2067" s="0" t="str">
        <f aca="false">IF(I2067="","",INDEX(הגדרות!$A$2:$A$21,MOD(I2067+הגדרות!$E$9,הגדרות!$E$6)+1))</f>
        <v/>
      </c>
    </row>
    <row r="2068" customFormat="false" ht="15" hidden="false" customHeight="false" outlineLevel="0" collapsed="false">
      <c r="A2068" s="0" t="str">
        <f aca="false">IF('הדבקת לידים'!A2068="","",IF(ISNUMBER('הדבקת לידים'!A2068),IF(הגדרות!$E$2&gt;0,TEXT('הדבקת לידים'!A2068,REPT("0",הגדרות!$E$2)),TEXT('הדבקת לידים'!A2068,"0")),TRIM('הדבקת לידים'!A2068)))</f>
        <v/>
      </c>
      <c r="B2068" s="0" t="str">
        <f aca="false">IF('הדבקת לידים'!B2068="","",IF(ISNUMBER('הדבקת לידים'!B2068),IF(הגדרות!$E$3&gt;0,TEXT('הדבקת לידים'!B2068,REPT("0",הגדרות!$E$3)),TEXT('הדבקת לידים'!B2068,"0")),TRIM('הדבקת לידים'!B2068)))</f>
        <v/>
      </c>
      <c r="C2068" s="0" t="n">
        <f aca="false">IF(OR(A2068&lt;&gt;"",B2068&lt;&gt;""),1,0)</f>
        <v>0</v>
      </c>
      <c r="D2068" s="0" t="str">
        <f aca="false">IF(C2068=1,MOD(ABS(SIN(ROW()*12.9898+'הדבקת לידים'!$F$2*78.233+IFERROR(--RIGHT(A2068,6),LEN(A2068))*0.0137+IFERROR(--RIGHT(B2068,6),LEN(B2068))*0.0071))*43758.5453,1),"")</f>
        <v/>
      </c>
      <c r="E2068" s="0" t="str">
        <f aca="false">IF(C2068=1,INT(MOD(ABS(SIN(D2068*7919.123+ROW()*0.618+'הדבקת לידים'!$F$2*1.3))*43758.5453,1)*1000000)*10000+ROW(),"")</f>
        <v/>
      </c>
      <c r="F2068" s="0" t="str">
        <f aca="false">IF(E2068="","",RANK(E2068,$E$2:$E$5001,1))</f>
        <v/>
      </c>
      <c r="G2068" s="0" t="n">
        <f aca="false">IF(A2068="",0,IF(SUMPRODUCT(--($A$2:$A$5001=A2068))&gt;1,1,0))</f>
        <v>0</v>
      </c>
      <c r="H2068" s="0" t="n">
        <f aca="false">ROW()-1</f>
        <v>2067</v>
      </c>
      <c r="I2068" s="0" t="str">
        <f aca="false">IF(OR(הגדרות!$E$6=0,H2068&gt;הגדרות!$E$5),"",IF(H2068-1&lt;הגדרות!$E$8*(הגדרות!$E$7+1),INT((H2068-1)/(הגדרות!$E$7+1)),הגדרות!$E$8+INT((H2068-1-הגדרות!$E$8*(הגדרות!$E$7+1))/הגדרות!$E$7)))</f>
        <v/>
      </c>
      <c r="J2068" s="0" t="str">
        <f aca="false">IF(I2068="","",IF(H2068-1&lt;הגדרות!$E$8*(הגדרות!$E$7+1),MOD(H2068-1,הגדרות!$E$7+1),MOD(H2068-1-הגדרות!$E$8*(הגדרות!$E$7+1),הגדרות!$E$7)))</f>
        <v/>
      </c>
      <c r="K2068" s="0" t="str">
        <f aca="false">IF(I2068="","",J2068*הגדרות!$E$6+I2068+1)</f>
        <v/>
      </c>
      <c r="L2068" s="0" t="str">
        <f aca="false">IF(K2068="","",MATCH(K2068,$F$2:$F$5001,0))</f>
        <v/>
      </c>
      <c r="M2068" s="0" t="str">
        <f aca="false">IF(I2068="","",INDEX(הגדרות!$A$2:$A$21,MOD(I2068+הגדרות!$E$9,הגדרות!$E$6)+1))</f>
        <v/>
      </c>
    </row>
    <row r="2069" customFormat="false" ht="15" hidden="false" customHeight="false" outlineLevel="0" collapsed="false">
      <c r="A2069" s="0" t="str">
        <f aca="false">IF('הדבקת לידים'!A2069="","",IF(ISNUMBER('הדבקת לידים'!A2069),IF(הגדרות!$E$2&gt;0,TEXT('הדבקת לידים'!A2069,REPT("0",הגדרות!$E$2)),TEXT('הדבקת לידים'!A2069,"0")),TRIM('הדבקת לידים'!A2069)))</f>
        <v/>
      </c>
      <c r="B2069" s="0" t="str">
        <f aca="false">IF('הדבקת לידים'!B2069="","",IF(ISNUMBER('הדבקת לידים'!B2069),IF(הגדרות!$E$3&gt;0,TEXT('הדבקת לידים'!B2069,REPT("0",הגדרות!$E$3)),TEXT('הדבקת לידים'!B2069,"0")),TRIM('הדבקת לידים'!B2069)))</f>
        <v/>
      </c>
      <c r="C2069" s="0" t="n">
        <f aca="false">IF(OR(A2069&lt;&gt;"",B2069&lt;&gt;""),1,0)</f>
        <v>0</v>
      </c>
      <c r="D2069" s="0" t="str">
        <f aca="false">IF(C2069=1,MOD(ABS(SIN(ROW()*12.9898+'הדבקת לידים'!$F$2*78.233+IFERROR(--RIGHT(A2069,6),LEN(A2069))*0.0137+IFERROR(--RIGHT(B2069,6),LEN(B2069))*0.0071))*43758.5453,1),"")</f>
        <v/>
      </c>
      <c r="E2069" s="0" t="str">
        <f aca="false">IF(C2069=1,INT(MOD(ABS(SIN(D2069*7919.123+ROW()*0.618+'הדבקת לידים'!$F$2*1.3))*43758.5453,1)*1000000)*10000+ROW(),"")</f>
        <v/>
      </c>
      <c r="F2069" s="0" t="str">
        <f aca="false">IF(E2069="","",RANK(E2069,$E$2:$E$5001,1))</f>
        <v/>
      </c>
      <c r="G2069" s="0" t="n">
        <f aca="false">IF(A2069="",0,IF(SUMPRODUCT(--($A$2:$A$5001=A2069))&gt;1,1,0))</f>
        <v>0</v>
      </c>
      <c r="H2069" s="0" t="n">
        <f aca="false">ROW()-1</f>
        <v>2068</v>
      </c>
      <c r="I2069" s="0" t="str">
        <f aca="false">IF(OR(הגדרות!$E$6=0,H2069&gt;הגדרות!$E$5),"",IF(H2069-1&lt;הגדרות!$E$8*(הגדרות!$E$7+1),INT((H2069-1)/(הגדרות!$E$7+1)),הגדרות!$E$8+INT((H2069-1-הגדרות!$E$8*(הגדרות!$E$7+1))/הגדרות!$E$7)))</f>
        <v/>
      </c>
      <c r="J2069" s="0" t="str">
        <f aca="false">IF(I2069="","",IF(H2069-1&lt;הגדרות!$E$8*(הגדרות!$E$7+1),MOD(H2069-1,הגדרות!$E$7+1),MOD(H2069-1-הגדרות!$E$8*(הגדרות!$E$7+1),הגדרות!$E$7)))</f>
        <v/>
      </c>
      <c r="K2069" s="0" t="str">
        <f aca="false">IF(I2069="","",J2069*הגדרות!$E$6+I2069+1)</f>
        <v/>
      </c>
      <c r="L2069" s="0" t="str">
        <f aca="false">IF(K2069="","",MATCH(K2069,$F$2:$F$5001,0))</f>
        <v/>
      </c>
      <c r="M2069" s="0" t="str">
        <f aca="false">IF(I2069="","",INDEX(הגדרות!$A$2:$A$21,MOD(I2069+הגדרות!$E$9,הגדרות!$E$6)+1))</f>
        <v/>
      </c>
    </row>
    <row r="2070" customFormat="false" ht="15" hidden="false" customHeight="false" outlineLevel="0" collapsed="false">
      <c r="A2070" s="0" t="str">
        <f aca="false">IF('הדבקת לידים'!A2070="","",IF(ISNUMBER('הדבקת לידים'!A2070),IF(הגדרות!$E$2&gt;0,TEXT('הדבקת לידים'!A2070,REPT("0",הגדרות!$E$2)),TEXT('הדבקת לידים'!A2070,"0")),TRIM('הדבקת לידים'!A2070)))</f>
        <v/>
      </c>
      <c r="B2070" s="0" t="str">
        <f aca="false">IF('הדבקת לידים'!B2070="","",IF(ISNUMBER('הדבקת לידים'!B2070),IF(הגדרות!$E$3&gt;0,TEXT('הדבקת לידים'!B2070,REPT("0",הגדרות!$E$3)),TEXT('הדבקת לידים'!B2070,"0")),TRIM('הדבקת לידים'!B2070)))</f>
        <v/>
      </c>
      <c r="C2070" s="0" t="n">
        <f aca="false">IF(OR(A2070&lt;&gt;"",B2070&lt;&gt;""),1,0)</f>
        <v>0</v>
      </c>
      <c r="D2070" s="0" t="str">
        <f aca="false">IF(C2070=1,MOD(ABS(SIN(ROW()*12.9898+'הדבקת לידים'!$F$2*78.233+IFERROR(--RIGHT(A2070,6),LEN(A2070))*0.0137+IFERROR(--RIGHT(B2070,6),LEN(B2070))*0.0071))*43758.5453,1),"")</f>
        <v/>
      </c>
      <c r="E2070" s="0" t="str">
        <f aca="false">IF(C2070=1,INT(MOD(ABS(SIN(D2070*7919.123+ROW()*0.618+'הדבקת לידים'!$F$2*1.3))*43758.5453,1)*1000000)*10000+ROW(),"")</f>
        <v/>
      </c>
      <c r="F2070" s="0" t="str">
        <f aca="false">IF(E2070="","",RANK(E2070,$E$2:$E$5001,1))</f>
        <v/>
      </c>
      <c r="G2070" s="0" t="n">
        <f aca="false">IF(A2070="",0,IF(SUMPRODUCT(--($A$2:$A$5001=A2070))&gt;1,1,0))</f>
        <v>0</v>
      </c>
      <c r="H2070" s="0" t="n">
        <f aca="false">ROW()-1</f>
        <v>2069</v>
      </c>
      <c r="I2070" s="0" t="str">
        <f aca="false">IF(OR(הגדרות!$E$6=0,H2070&gt;הגדרות!$E$5),"",IF(H2070-1&lt;הגדרות!$E$8*(הגדרות!$E$7+1),INT((H2070-1)/(הגדרות!$E$7+1)),הגדרות!$E$8+INT((H2070-1-הגדרות!$E$8*(הגדרות!$E$7+1))/הגדרות!$E$7)))</f>
        <v/>
      </c>
      <c r="J2070" s="0" t="str">
        <f aca="false">IF(I2070="","",IF(H2070-1&lt;הגדרות!$E$8*(הגדרות!$E$7+1),MOD(H2070-1,הגדרות!$E$7+1),MOD(H2070-1-הגדרות!$E$8*(הגדרות!$E$7+1),הגדרות!$E$7)))</f>
        <v/>
      </c>
      <c r="K2070" s="0" t="str">
        <f aca="false">IF(I2070="","",J2070*הגדרות!$E$6+I2070+1)</f>
        <v/>
      </c>
      <c r="L2070" s="0" t="str">
        <f aca="false">IF(K2070="","",MATCH(K2070,$F$2:$F$5001,0))</f>
        <v/>
      </c>
      <c r="M2070" s="0" t="str">
        <f aca="false">IF(I2070="","",INDEX(הגדרות!$A$2:$A$21,MOD(I2070+הגדרות!$E$9,הגדרות!$E$6)+1))</f>
        <v/>
      </c>
    </row>
    <row r="2071" customFormat="false" ht="15" hidden="false" customHeight="false" outlineLevel="0" collapsed="false">
      <c r="A2071" s="0" t="str">
        <f aca="false">IF('הדבקת לידים'!A2071="","",IF(ISNUMBER('הדבקת לידים'!A2071),IF(הגדרות!$E$2&gt;0,TEXT('הדבקת לידים'!A2071,REPT("0",הגדרות!$E$2)),TEXT('הדבקת לידים'!A2071,"0")),TRIM('הדבקת לידים'!A2071)))</f>
        <v/>
      </c>
      <c r="B2071" s="0" t="str">
        <f aca="false">IF('הדבקת לידים'!B2071="","",IF(ISNUMBER('הדבקת לידים'!B2071),IF(הגדרות!$E$3&gt;0,TEXT('הדבקת לידים'!B2071,REPT("0",הגדרות!$E$3)),TEXT('הדבקת לידים'!B2071,"0")),TRIM('הדבקת לידים'!B2071)))</f>
        <v/>
      </c>
      <c r="C2071" s="0" t="n">
        <f aca="false">IF(OR(A2071&lt;&gt;"",B2071&lt;&gt;""),1,0)</f>
        <v>0</v>
      </c>
      <c r="D2071" s="0" t="str">
        <f aca="false">IF(C2071=1,MOD(ABS(SIN(ROW()*12.9898+'הדבקת לידים'!$F$2*78.233+IFERROR(--RIGHT(A2071,6),LEN(A2071))*0.0137+IFERROR(--RIGHT(B2071,6),LEN(B2071))*0.0071))*43758.5453,1),"")</f>
        <v/>
      </c>
      <c r="E2071" s="0" t="str">
        <f aca="false">IF(C2071=1,INT(MOD(ABS(SIN(D2071*7919.123+ROW()*0.618+'הדבקת לידים'!$F$2*1.3))*43758.5453,1)*1000000)*10000+ROW(),"")</f>
        <v/>
      </c>
      <c r="F2071" s="0" t="str">
        <f aca="false">IF(E2071="","",RANK(E2071,$E$2:$E$5001,1))</f>
        <v/>
      </c>
      <c r="G2071" s="0" t="n">
        <f aca="false">IF(A2071="",0,IF(SUMPRODUCT(--($A$2:$A$5001=A2071))&gt;1,1,0))</f>
        <v>0</v>
      </c>
      <c r="H2071" s="0" t="n">
        <f aca="false">ROW()-1</f>
        <v>2070</v>
      </c>
      <c r="I2071" s="0" t="str">
        <f aca="false">IF(OR(הגדרות!$E$6=0,H2071&gt;הגדרות!$E$5),"",IF(H2071-1&lt;הגדרות!$E$8*(הגדרות!$E$7+1),INT((H2071-1)/(הגדרות!$E$7+1)),הגדרות!$E$8+INT((H2071-1-הגדרות!$E$8*(הגדרות!$E$7+1))/הגדרות!$E$7)))</f>
        <v/>
      </c>
      <c r="J2071" s="0" t="str">
        <f aca="false">IF(I2071="","",IF(H2071-1&lt;הגדרות!$E$8*(הגדרות!$E$7+1),MOD(H2071-1,הגדרות!$E$7+1),MOD(H2071-1-הגדרות!$E$8*(הגדרות!$E$7+1),הגדרות!$E$7)))</f>
        <v/>
      </c>
      <c r="K2071" s="0" t="str">
        <f aca="false">IF(I2071="","",J2071*הגדרות!$E$6+I2071+1)</f>
        <v/>
      </c>
      <c r="L2071" s="0" t="str">
        <f aca="false">IF(K2071="","",MATCH(K2071,$F$2:$F$5001,0))</f>
        <v/>
      </c>
      <c r="M2071" s="0" t="str">
        <f aca="false">IF(I2071="","",INDEX(הגדרות!$A$2:$A$21,MOD(I2071+הגדרות!$E$9,הגדרות!$E$6)+1))</f>
        <v/>
      </c>
    </row>
    <row r="2072" customFormat="false" ht="15" hidden="false" customHeight="false" outlineLevel="0" collapsed="false">
      <c r="A2072" s="0" t="str">
        <f aca="false">IF('הדבקת לידים'!A2072="","",IF(ISNUMBER('הדבקת לידים'!A2072),IF(הגדרות!$E$2&gt;0,TEXT('הדבקת לידים'!A2072,REPT("0",הגדרות!$E$2)),TEXT('הדבקת לידים'!A2072,"0")),TRIM('הדבקת לידים'!A2072)))</f>
        <v/>
      </c>
      <c r="B2072" s="0" t="str">
        <f aca="false">IF('הדבקת לידים'!B2072="","",IF(ISNUMBER('הדבקת לידים'!B2072),IF(הגדרות!$E$3&gt;0,TEXT('הדבקת לידים'!B2072,REPT("0",הגדרות!$E$3)),TEXT('הדבקת לידים'!B2072,"0")),TRIM('הדבקת לידים'!B2072)))</f>
        <v/>
      </c>
      <c r="C2072" s="0" t="n">
        <f aca="false">IF(OR(A2072&lt;&gt;"",B2072&lt;&gt;""),1,0)</f>
        <v>0</v>
      </c>
      <c r="D2072" s="0" t="str">
        <f aca="false">IF(C2072=1,MOD(ABS(SIN(ROW()*12.9898+'הדבקת לידים'!$F$2*78.233+IFERROR(--RIGHT(A2072,6),LEN(A2072))*0.0137+IFERROR(--RIGHT(B2072,6),LEN(B2072))*0.0071))*43758.5453,1),"")</f>
        <v/>
      </c>
      <c r="E2072" s="0" t="str">
        <f aca="false">IF(C2072=1,INT(MOD(ABS(SIN(D2072*7919.123+ROW()*0.618+'הדבקת לידים'!$F$2*1.3))*43758.5453,1)*1000000)*10000+ROW(),"")</f>
        <v/>
      </c>
      <c r="F2072" s="0" t="str">
        <f aca="false">IF(E2072="","",RANK(E2072,$E$2:$E$5001,1))</f>
        <v/>
      </c>
      <c r="G2072" s="0" t="n">
        <f aca="false">IF(A2072="",0,IF(SUMPRODUCT(--($A$2:$A$5001=A2072))&gt;1,1,0))</f>
        <v>0</v>
      </c>
      <c r="H2072" s="0" t="n">
        <f aca="false">ROW()-1</f>
        <v>2071</v>
      </c>
      <c r="I2072" s="0" t="str">
        <f aca="false">IF(OR(הגדרות!$E$6=0,H2072&gt;הגדרות!$E$5),"",IF(H2072-1&lt;הגדרות!$E$8*(הגדרות!$E$7+1),INT((H2072-1)/(הגדרות!$E$7+1)),הגדרות!$E$8+INT((H2072-1-הגדרות!$E$8*(הגדרות!$E$7+1))/הגדרות!$E$7)))</f>
        <v/>
      </c>
      <c r="J2072" s="0" t="str">
        <f aca="false">IF(I2072="","",IF(H2072-1&lt;הגדרות!$E$8*(הגדרות!$E$7+1),MOD(H2072-1,הגדרות!$E$7+1),MOD(H2072-1-הגדרות!$E$8*(הגדרות!$E$7+1),הגדרות!$E$7)))</f>
        <v/>
      </c>
      <c r="K2072" s="0" t="str">
        <f aca="false">IF(I2072="","",J2072*הגדרות!$E$6+I2072+1)</f>
        <v/>
      </c>
      <c r="L2072" s="0" t="str">
        <f aca="false">IF(K2072="","",MATCH(K2072,$F$2:$F$5001,0))</f>
        <v/>
      </c>
      <c r="M2072" s="0" t="str">
        <f aca="false">IF(I2072="","",INDEX(הגדרות!$A$2:$A$21,MOD(I2072+הגדרות!$E$9,הגדרות!$E$6)+1))</f>
        <v/>
      </c>
    </row>
    <row r="2073" customFormat="false" ht="15" hidden="false" customHeight="false" outlineLevel="0" collapsed="false">
      <c r="A2073" s="0" t="str">
        <f aca="false">IF('הדבקת לידים'!A2073="","",IF(ISNUMBER('הדבקת לידים'!A2073),IF(הגדרות!$E$2&gt;0,TEXT('הדבקת לידים'!A2073,REPT("0",הגדרות!$E$2)),TEXT('הדבקת לידים'!A2073,"0")),TRIM('הדבקת לידים'!A2073)))</f>
        <v/>
      </c>
      <c r="B2073" s="0" t="str">
        <f aca="false">IF('הדבקת לידים'!B2073="","",IF(ISNUMBER('הדבקת לידים'!B2073),IF(הגדרות!$E$3&gt;0,TEXT('הדבקת לידים'!B2073,REPT("0",הגדרות!$E$3)),TEXT('הדבקת לידים'!B2073,"0")),TRIM('הדבקת לידים'!B2073)))</f>
        <v/>
      </c>
      <c r="C2073" s="0" t="n">
        <f aca="false">IF(OR(A2073&lt;&gt;"",B2073&lt;&gt;""),1,0)</f>
        <v>0</v>
      </c>
      <c r="D2073" s="0" t="str">
        <f aca="false">IF(C2073=1,MOD(ABS(SIN(ROW()*12.9898+'הדבקת לידים'!$F$2*78.233+IFERROR(--RIGHT(A2073,6),LEN(A2073))*0.0137+IFERROR(--RIGHT(B2073,6),LEN(B2073))*0.0071))*43758.5453,1),"")</f>
        <v/>
      </c>
      <c r="E2073" s="0" t="str">
        <f aca="false">IF(C2073=1,INT(MOD(ABS(SIN(D2073*7919.123+ROW()*0.618+'הדבקת לידים'!$F$2*1.3))*43758.5453,1)*1000000)*10000+ROW(),"")</f>
        <v/>
      </c>
      <c r="F2073" s="0" t="str">
        <f aca="false">IF(E2073="","",RANK(E2073,$E$2:$E$5001,1))</f>
        <v/>
      </c>
      <c r="G2073" s="0" t="n">
        <f aca="false">IF(A2073="",0,IF(SUMPRODUCT(--($A$2:$A$5001=A2073))&gt;1,1,0))</f>
        <v>0</v>
      </c>
      <c r="H2073" s="0" t="n">
        <f aca="false">ROW()-1</f>
        <v>2072</v>
      </c>
      <c r="I2073" s="0" t="str">
        <f aca="false">IF(OR(הגדרות!$E$6=0,H2073&gt;הגדרות!$E$5),"",IF(H2073-1&lt;הגדרות!$E$8*(הגדרות!$E$7+1),INT((H2073-1)/(הגדרות!$E$7+1)),הגדרות!$E$8+INT((H2073-1-הגדרות!$E$8*(הגדרות!$E$7+1))/הגדרות!$E$7)))</f>
        <v/>
      </c>
      <c r="J2073" s="0" t="str">
        <f aca="false">IF(I2073="","",IF(H2073-1&lt;הגדרות!$E$8*(הגדרות!$E$7+1),MOD(H2073-1,הגדרות!$E$7+1),MOD(H2073-1-הגדרות!$E$8*(הגדרות!$E$7+1),הגדרות!$E$7)))</f>
        <v/>
      </c>
      <c r="K2073" s="0" t="str">
        <f aca="false">IF(I2073="","",J2073*הגדרות!$E$6+I2073+1)</f>
        <v/>
      </c>
      <c r="L2073" s="0" t="str">
        <f aca="false">IF(K2073="","",MATCH(K2073,$F$2:$F$5001,0))</f>
        <v/>
      </c>
      <c r="M2073" s="0" t="str">
        <f aca="false">IF(I2073="","",INDEX(הגדרות!$A$2:$A$21,MOD(I2073+הגדרות!$E$9,הגדרות!$E$6)+1))</f>
        <v/>
      </c>
    </row>
    <row r="2074" customFormat="false" ht="15" hidden="false" customHeight="false" outlineLevel="0" collapsed="false">
      <c r="A2074" s="0" t="str">
        <f aca="false">IF('הדבקת לידים'!A2074="","",IF(ISNUMBER('הדבקת לידים'!A2074),IF(הגדרות!$E$2&gt;0,TEXT('הדבקת לידים'!A2074,REPT("0",הגדרות!$E$2)),TEXT('הדבקת לידים'!A2074,"0")),TRIM('הדבקת לידים'!A2074)))</f>
        <v/>
      </c>
      <c r="B2074" s="0" t="str">
        <f aca="false">IF('הדבקת לידים'!B2074="","",IF(ISNUMBER('הדבקת לידים'!B2074),IF(הגדרות!$E$3&gt;0,TEXT('הדבקת לידים'!B2074,REPT("0",הגדרות!$E$3)),TEXT('הדבקת לידים'!B2074,"0")),TRIM('הדבקת לידים'!B2074)))</f>
        <v/>
      </c>
      <c r="C2074" s="0" t="n">
        <f aca="false">IF(OR(A2074&lt;&gt;"",B2074&lt;&gt;""),1,0)</f>
        <v>0</v>
      </c>
      <c r="D2074" s="0" t="str">
        <f aca="false">IF(C2074=1,MOD(ABS(SIN(ROW()*12.9898+'הדבקת לידים'!$F$2*78.233+IFERROR(--RIGHT(A2074,6),LEN(A2074))*0.0137+IFERROR(--RIGHT(B2074,6),LEN(B2074))*0.0071))*43758.5453,1),"")</f>
        <v/>
      </c>
      <c r="E2074" s="0" t="str">
        <f aca="false">IF(C2074=1,INT(MOD(ABS(SIN(D2074*7919.123+ROW()*0.618+'הדבקת לידים'!$F$2*1.3))*43758.5453,1)*1000000)*10000+ROW(),"")</f>
        <v/>
      </c>
      <c r="F2074" s="0" t="str">
        <f aca="false">IF(E2074="","",RANK(E2074,$E$2:$E$5001,1))</f>
        <v/>
      </c>
      <c r="G2074" s="0" t="n">
        <f aca="false">IF(A2074="",0,IF(SUMPRODUCT(--($A$2:$A$5001=A2074))&gt;1,1,0))</f>
        <v>0</v>
      </c>
      <c r="H2074" s="0" t="n">
        <f aca="false">ROW()-1</f>
        <v>2073</v>
      </c>
      <c r="I2074" s="0" t="str">
        <f aca="false">IF(OR(הגדרות!$E$6=0,H2074&gt;הגדרות!$E$5),"",IF(H2074-1&lt;הגדרות!$E$8*(הגדרות!$E$7+1),INT((H2074-1)/(הגדרות!$E$7+1)),הגדרות!$E$8+INT((H2074-1-הגדרות!$E$8*(הגדרות!$E$7+1))/הגדרות!$E$7)))</f>
        <v/>
      </c>
      <c r="J2074" s="0" t="str">
        <f aca="false">IF(I2074="","",IF(H2074-1&lt;הגדרות!$E$8*(הגדרות!$E$7+1),MOD(H2074-1,הגדרות!$E$7+1),MOD(H2074-1-הגדרות!$E$8*(הגדרות!$E$7+1),הגדרות!$E$7)))</f>
        <v/>
      </c>
      <c r="K2074" s="0" t="str">
        <f aca="false">IF(I2074="","",J2074*הגדרות!$E$6+I2074+1)</f>
        <v/>
      </c>
      <c r="L2074" s="0" t="str">
        <f aca="false">IF(K2074="","",MATCH(K2074,$F$2:$F$5001,0))</f>
        <v/>
      </c>
      <c r="M2074" s="0" t="str">
        <f aca="false">IF(I2074="","",INDEX(הגדרות!$A$2:$A$21,MOD(I2074+הגדרות!$E$9,הגדרות!$E$6)+1))</f>
        <v/>
      </c>
    </row>
    <row r="2075" customFormat="false" ht="15" hidden="false" customHeight="false" outlineLevel="0" collapsed="false">
      <c r="A2075" s="0" t="str">
        <f aca="false">IF('הדבקת לידים'!A2075="","",IF(ISNUMBER('הדבקת לידים'!A2075),IF(הגדרות!$E$2&gt;0,TEXT('הדבקת לידים'!A2075,REPT("0",הגדרות!$E$2)),TEXT('הדבקת לידים'!A2075,"0")),TRIM('הדבקת לידים'!A2075)))</f>
        <v/>
      </c>
      <c r="B2075" s="0" t="str">
        <f aca="false">IF('הדבקת לידים'!B2075="","",IF(ISNUMBER('הדבקת לידים'!B2075),IF(הגדרות!$E$3&gt;0,TEXT('הדבקת לידים'!B2075,REPT("0",הגדרות!$E$3)),TEXT('הדבקת לידים'!B2075,"0")),TRIM('הדבקת לידים'!B2075)))</f>
        <v/>
      </c>
      <c r="C2075" s="0" t="n">
        <f aca="false">IF(OR(A2075&lt;&gt;"",B2075&lt;&gt;""),1,0)</f>
        <v>0</v>
      </c>
      <c r="D2075" s="0" t="str">
        <f aca="false">IF(C2075=1,MOD(ABS(SIN(ROW()*12.9898+'הדבקת לידים'!$F$2*78.233+IFERROR(--RIGHT(A2075,6),LEN(A2075))*0.0137+IFERROR(--RIGHT(B2075,6),LEN(B2075))*0.0071))*43758.5453,1),"")</f>
        <v/>
      </c>
      <c r="E2075" s="0" t="str">
        <f aca="false">IF(C2075=1,INT(MOD(ABS(SIN(D2075*7919.123+ROW()*0.618+'הדבקת לידים'!$F$2*1.3))*43758.5453,1)*1000000)*10000+ROW(),"")</f>
        <v/>
      </c>
      <c r="F2075" s="0" t="str">
        <f aca="false">IF(E2075="","",RANK(E2075,$E$2:$E$5001,1))</f>
        <v/>
      </c>
      <c r="G2075" s="0" t="n">
        <f aca="false">IF(A2075="",0,IF(SUMPRODUCT(--($A$2:$A$5001=A2075))&gt;1,1,0))</f>
        <v>0</v>
      </c>
      <c r="H2075" s="0" t="n">
        <f aca="false">ROW()-1</f>
        <v>2074</v>
      </c>
      <c r="I2075" s="0" t="str">
        <f aca="false">IF(OR(הגדרות!$E$6=0,H2075&gt;הגדרות!$E$5),"",IF(H2075-1&lt;הגדרות!$E$8*(הגדרות!$E$7+1),INT((H2075-1)/(הגדרות!$E$7+1)),הגדרות!$E$8+INT((H2075-1-הגדרות!$E$8*(הגדרות!$E$7+1))/הגדרות!$E$7)))</f>
        <v/>
      </c>
      <c r="J2075" s="0" t="str">
        <f aca="false">IF(I2075="","",IF(H2075-1&lt;הגדרות!$E$8*(הגדרות!$E$7+1),MOD(H2075-1,הגדרות!$E$7+1),MOD(H2075-1-הגדרות!$E$8*(הגדרות!$E$7+1),הגדרות!$E$7)))</f>
        <v/>
      </c>
      <c r="K2075" s="0" t="str">
        <f aca="false">IF(I2075="","",J2075*הגדרות!$E$6+I2075+1)</f>
        <v/>
      </c>
      <c r="L2075" s="0" t="str">
        <f aca="false">IF(K2075="","",MATCH(K2075,$F$2:$F$5001,0))</f>
        <v/>
      </c>
      <c r="M2075" s="0" t="str">
        <f aca="false">IF(I2075="","",INDEX(הגדרות!$A$2:$A$21,MOD(I2075+הגדרות!$E$9,הגדרות!$E$6)+1))</f>
        <v/>
      </c>
    </row>
    <row r="2076" customFormat="false" ht="15" hidden="false" customHeight="false" outlineLevel="0" collapsed="false">
      <c r="A2076" s="0" t="str">
        <f aca="false">IF('הדבקת לידים'!A2076="","",IF(ISNUMBER('הדבקת לידים'!A2076),IF(הגדרות!$E$2&gt;0,TEXT('הדבקת לידים'!A2076,REPT("0",הגדרות!$E$2)),TEXT('הדבקת לידים'!A2076,"0")),TRIM('הדבקת לידים'!A2076)))</f>
        <v/>
      </c>
      <c r="B2076" s="0" t="str">
        <f aca="false">IF('הדבקת לידים'!B2076="","",IF(ISNUMBER('הדבקת לידים'!B2076),IF(הגדרות!$E$3&gt;0,TEXT('הדבקת לידים'!B2076,REPT("0",הגדרות!$E$3)),TEXT('הדבקת לידים'!B2076,"0")),TRIM('הדבקת לידים'!B2076)))</f>
        <v/>
      </c>
      <c r="C2076" s="0" t="n">
        <f aca="false">IF(OR(A2076&lt;&gt;"",B2076&lt;&gt;""),1,0)</f>
        <v>0</v>
      </c>
      <c r="D2076" s="0" t="str">
        <f aca="false">IF(C2076=1,MOD(ABS(SIN(ROW()*12.9898+'הדבקת לידים'!$F$2*78.233+IFERROR(--RIGHT(A2076,6),LEN(A2076))*0.0137+IFERROR(--RIGHT(B2076,6),LEN(B2076))*0.0071))*43758.5453,1),"")</f>
        <v/>
      </c>
      <c r="E2076" s="0" t="str">
        <f aca="false">IF(C2076=1,INT(MOD(ABS(SIN(D2076*7919.123+ROW()*0.618+'הדבקת לידים'!$F$2*1.3))*43758.5453,1)*1000000)*10000+ROW(),"")</f>
        <v/>
      </c>
      <c r="F2076" s="0" t="str">
        <f aca="false">IF(E2076="","",RANK(E2076,$E$2:$E$5001,1))</f>
        <v/>
      </c>
      <c r="G2076" s="0" t="n">
        <f aca="false">IF(A2076="",0,IF(SUMPRODUCT(--($A$2:$A$5001=A2076))&gt;1,1,0))</f>
        <v>0</v>
      </c>
      <c r="H2076" s="0" t="n">
        <f aca="false">ROW()-1</f>
        <v>2075</v>
      </c>
      <c r="I2076" s="0" t="str">
        <f aca="false">IF(OR(הגדרות!$E$6=0,H2076&gt;הגדרות!$E$5),"",IF(H2076-1&lt;הגדרות!$E$8*(הגדרות!$E$7+1),INT((H2076-1)/(הגדרות!$E$7+1)),הגדרות!$E$8+INT((H2076-1-הגדרות!$E$8*(הגדרות!$E$7+1))/הגדרות!$E$7)))</f>
        <v/>
      </c>
      <c r="J2076" s="0" t="str">
        <f aca="false">IF(I2076="","",IF(H2076-1&lt;הגדרות!$E$8*(הגדרות!$E$7+1),MOD(H2076-1,הגדרות!$E$7+1),MOD(H2076-1-הגדרות!$E$8*(הגדרות!$E$7+1),הגדרות!$E$7)))</f>
        <v/>
      </c>
      <c r="K2076" s="0" t="str">
        <f aca="false">IF(I2076="","",J2076*הגדרות!$E$6+I2076+1)</f>
        <v/>
      </c>
      <c r="L2076" s="0" t="str">
        <f aca="false">IF(K2076="","",MATCH(K2076,$F$2:$F$5001,0))</f>
        <v/>
      </c>
      <c r="M2076" s="0" t="str">
        <f aca="false">IF(I2076="","",INDEX(הגדרות!$A$2:$A$21,MOD(I2076+הגדרות!$E$9,הגדרות!$E$6)+1))</f>
        <v/>
      </c>
    </row>
    <row r="2077" customFormat="false" ht="15" hidden="false" customHeight="false" outlineLevel="0" collapsed="false">
      <c r="A2077" s="0" t="str">
        <f aca="false">IF('הדבקת לידים'!A2077="","",IF(ISNUMBER('הדבקת לידים'!A2077),IF(הגדרות!$E$2&gt;0,TEXT('הדבקת לידים'!A2077,REPT("0",הגדרות!$E$2)),TEXT('הדבקת לידים'!A2077,"0")),TRIM('הדבקת לידים'!A2077)))</f>
        <v/>
      </c>
      <c r="B2077" s="0" t="str">
        <f aca="false">IF('הדבקת לידים'!B2077="","",IF(ISNUMBER('הדבקת לידים'!B2077),IF(הגדרות!$E$3&gt;0,TEXT('הדבקת לידים'!B2077,REPT("0",הגדרות!$E$3)),TEXT('הדבקת לידים'!B2077,"0")),TRIM('הדבקת לידים'!B2077)))</f>
        <v/>
      </c>
      <c r="C2077" s="0" t="n">
        <f aca="false">IF(OR(A2077&lt;&gt;"",B2077&lt;&gt;""),1,0)</f>
        <v>0</v>
      </c>
      <c r="D2077" s="0" t="str">
        <f aca="false">IF(C2077=1,MOD(ABS(SIN(ROW()*12.9898+'הדבקת לידים'!$F$2*78.233+IFERROR(--RIGHT(A2077,6),LEN(A2077))*0.0137+IFERROR(--RIGHT(B2077,6),LEN(B2077))*0.0071))*43758.5453,1),"")</f>
        <v/>
      </c>
      <c r="E2077" s="0" t="str">
        <f aca="false">IF(C2077=1,INT(MOD(ABS(SIN(D2077*7919.123+ROW()*0.618+'הדבקת לידים'!$F$2*1.3))*43758.5453,1)*1000000)*10000+ROW(),"")</f>
        <v/>
      </c>
      <c r="F2077" s="0" t="str">
        <f aca="false">IF(E2077="","",RANK(E2077,$E$2:$E$5001,1))</f>
        <v/>
      </c>
      <c r="G2077" s="0" t="n">
        <f aca="false">IF(A2077="",0,IF(SUMPRODUCT(--($A$2:$A$5001=A2077))&gt;1,1,0))</f>
        <v>0</v>
      </c>
      <c r="H2077" s="0" t="n">
        <f aca="false">ROW()-1</f>
        <v>2076</v>
      </c>
      <c r="I2077" s="0" t="str">
        <f aca="false">IF(OR(הגדרות!$E$6=0,H2077&gt;הגדרות!$E$5),"",IF(H2077-1&lt;הגדרות!$E$8*(הגדרות!$E$7+1),INT((H2077-1)/(הגדרות!$E$7+1)),הגדרות!$E$8+INT((H2077-1-הגדרות!$E$8*(הגדרות!$E$7+1))/הגדרות!$E$7)))</f>
        <v/>
      </c>
      <c r="J2077" s="0" t="str">
        <f aca="false">IF(I2077="","",IF(H2077-1&lt;הגדרות!$E$8*(הגדרות!$E$7+1),MOD(H2077-1,הגדרות!$E$7+1),MOD(H2077-1-הגדרות!$E$8*(הגדרות!$E$7+1),הגדרות!$E$7)))</f>
        <v/>
      </c>
      <c r="K2077" s="0" t="str">
        <f aca="false">IF(I2077="","",J2077*הגדרות!$E$6+I2077+1)</f>
        <v/>
      </c>
      <c r="L2077" s="0" t="str">
        <f aca="false">IF(K2077="","",MATCH(K2077,$F$2:$F$5001,0))</f>
        <v/>
      </c>
      <c r="M2077" s="0" t="str">
        <f aca="false">IF(I2077="","",INDEX(הגדרות!$A$2:$A$21,MOD(I2077+הגדרות!$E$9,הגדרות!$E$6)+1))</f>
        <v/>
      </c>
    </row>
    <row r="2078" customFormat="false" ht="15" hidden="false" customHeight="false" outlineLevel="0" collapsed="false">
      <c r="A2078" s="0" t="str">
        <f aca="false">IF('הדבקת לידים'!A2078="","",IF(ISNUMBER('הדבקת לידים'!A2078),IF(הגדרות!$E$2&gt;0,TEXT('הדבקת לידים'!A2078,REPT("0",הגדרות!$E$2)),TEXT('הדבקת לידים'!A2078,"0")),TRIM('הדבקת לידים'!A2078)))</f>
        <v/>
      </c>
      <c r="B2078" s="0" t="str">
        <f aca="false">IF('הדבקת לידים'!B2078="","",IF(ISNUMBER('הדבקת לידים'!B2078),IF(הגדרות!$E$3&gt;0,TEXT('הדבקת לידים'!B2078,REPT("0",הגדרות!$E$3)),TEXT('הדבקת לידים'!B2078,"0")),TRIM('הדבקת לידים'!B2078)))</f>
        <v/>
      </c>
      <c r="C2078" s="0" t="n">
        <f aca="false">IF(OR(A2078&lt;&gt;"",B2078&lt;&gt;""),1,0)</f>
        <v>0</v>
      </c>
      <c r="D2078" s="0" t="str">
        <f aca="false">IF(C2078=1,MOD(ABS(SIN(ROW()*12.9898+'הדבקת לידים'!$F$2*78.233+IFERROR(--RIGHT(A2078,6),LEN(A2078))*0.0137+IFERROR(--RIGHT(B2078,6),LEN(B2078))*0.0071))*43758.5453,1),"")</f>
        <v/>
      </c>
      <c r="E2078" s="0" t="str">
        <f aca="false">IF(C2078=1,INT(MOD(ABS(SIN(D2078*7919.123+ROW()*0.618+'הדבקת לידים'!$F$2*1.3))*43758.5453,1)*1000000)*10000+ROW(),"")</f>
        <v/>
      </c>
      <c r="F2078" s="0" t="str">
        <f aca="false">IF(E2078="","",RANK(E2078,$E$2:$E$5001,1))</f>
        <v/>
      </c>
      <c r="G2078" s="0" t="n">
        <f aca="false">IF(A2078="",0,IF(SUMPRODUCT(--($A$2:$A$5001=A2078))&gt;1,1,0))</f>
        <v>0</v>
      </c>
      <c r="H2078" s="0" t="n">
        <f aca="false">ROW()-1</f>
        <v>2077</v>
      </c>
      <c r="I2078" s="0" t="str">
        <f aca="false">IF(OR(הגדרות!$E$6=0,H2078&gt;הגדרות!$E$5),"",IF(H2078-1&lt;הגדרות!$E$8*(הגדרות!$E$7+1),INT((H2078-1)/(הגדרות!$E$7+1)),הגדרות!$E$8+INT((H2078-1-הגדרות!$E$8*(הגדרות!$E$7+1))/הגדרות!$E$7)))</f>
        <v/>
      </c>
      <c r="J2078" s="0" t="str">
        <f aca="false">IF(I2078="","",IF(H2078-1&lt;הגדרות!$E$8*(הגדרות!$E$7+1),MOD(H2078-1,הגדרות!$E$7+1),MOD(H2078-1-הגדרות!$E$8*(הגדרות!$E$7+1),הגדרות!$E$7)))</f>
        <v/>
      </c>
      <c r="K2078" s="0" t="str">
        <f aca="false">IF(I2078="","",J2078*הגדרות!$E$6+I2078+1)</f>
        <v/>
      </c>
      <c r="L2078" s="0" t="str">
        <f aca="false">IF(K2078="","",MATCH(K2078,$F$2:$F$5001,0))</f>
        <v/>
      </c>
      <c r="M2078" s="0" t="str">
        <f aca="false">IF(I2078="","",INDEX(הגדרות!$A$2:$A$21,MOD(I2078+הגדרות!$E$9,הגדרות!$E$6)+1))</f>
        <v/>
      </c>
    </row>
    <row r="2079" customFormat="false" ht="15" hidden="false" customHeight="false" outlineLevel="0" collapsed="false">
      <c r="A2079" s="0" t="str">
        <f aca="false">IF('הדבקת לידים'!A2079="","",IF(ISNUMBER('הדבקת לידים'!A2079),IF(הגדרות!$E$2&gt;0,TEXT('הדבקת לידים'!A2079,REPT("0",הגדרות!$E$2)),TEXT('הדבקת לידים'!A2079,"0")),TRIM('הדבקת לידים'!A2079)))</f>
        <v/>
      </c>
      <c r="B2079" s="0" t="str">
        <f aca="false">IF('הדבקת לידים'!B2079="","",IF(ISNUMBER('הדבקת לידים'!B2079),IF(הגדרות!$E$3&gt;0,TEXT('הדבקת לידים'!B2079,REPT("0",הגדרות!$E$3)),TEXT('הדבקת לידים'!B2079,"0")),TRIM('הדבקת לידים'!B2079)))</f>
        <v/>
      </c>
      <c r="C2079" s="0" t="n">
        <f aca="false">IF(OR(A2079&lt;&gt;"",B2079&lt;&gt;""),1,0)</f>
        <v>0</v>
      </c>
      <c r="D2079" s="0" t="str">
        <f aca="false">IF(C2079=1,MOD(ABS(SIN(ROW()*12.9898+'הדבקת לידים'!$F$2*78.233+IFERROR(--RIGHT(A2079,6),LEN(A2079))*0.0137+IFERROR(--RIGHT(B2079,6),LEN(B2079))*0.0071))*43758.5453,1),"")</f>
        <v/>
      </c>
      <c r="E2079" s="0" t="str">
        <f aca="false">IF(C2079=1,INT(MOD(ABS(SIN(D2079*7919.123+ROW()*0.618+'הדבקת לידים'!$F$2*1.3))*43758.5453,1)*1000000)*10000+ROW(),"")</f>
        <v/>
      </c>
      <c r="F2079" s="0" t="str">
        <f aca="false">IF(E2079="","",RANK(E2079,$E$2:$E$5001,1))</f>
        <v/>
      </c>
      <c r="G2079" s="0" t="n">
        <f aca="false">IF(A2079="",0,IF(SUMPRODUCT(--($A$2:$A$5001=A2079))&gt;1,1,0))</f>
        <v>0</v>
      </c>
      <c r="H2079" s="0" t="n">
        <f aca="false">ROW()-1</f>
        <v>2078</v>
      </c>
      <c r="I2079" s="0" t="str">
        <f aca="false">IF(OR(הגדרות!$E$6=0,H2079&gt;הגדרות!$E$5),"",IF(H2079-1&lt;הגדרות!$E$8*(הגדרות!$E$7+1),INT((H2079-1)/(הגדרות!$E$7+1)),הגדרות!$E$8+INT((H2079-1-הגדרות!$E$8*(הגדרות!$E$7+1))/הגדרות!$E$7)))</f>
        <v/>
      </c>
      <c r="J2079" s="0" t="str">
        <f aca="false">IF(I2079="","",IF(H2079-1&lt;הגדרות!$E$8*(הגדרות!$E$7+1),MOD(H2079-1,הגדרות!$E$7+1),MOD(H2079-1-הגדרות!$E$8*(הגדרות!$E$7+1),הגדרות!$E$7)))</f>
        <v/>
      </c>
      <c r="K2079" s="0" t="str">
        <f aca="false">IF(I2079="","",J2079*הגדרות!$E$6+I2079+1)</f>
        <v/>
      </c>
      <c r="L2079" s="0" t="str">
        <f aca="false">IF(K2079="","",MATCH(K2079,$F$2:$F$5001,0))</f>
        <v/>
      </c>
      <c r="M2079" s="0" t="str">
        <f aca="false">IF(I2079="","",INDEX(הגדרות!$A$2:$A$21,MOD(I2079+הגדרות!$E$9,הגדרות!$E$6)+1))</f>
        <v/>
      </c>
    </row>
    <row r="2080" customFormat="false" ht="15" hidden="false" customHeight="false" outlineLevel="0" collapsed="false">
      <c r="A2080" s="0" t="str">
        <f aca="false">IF('הדבקת לידים'!A2080="","",IF(ISNUMBER('הדבקת לידים'!A2080),IF(הגדרות!$E$2&gt;0,TEXT('הדבקת לידים'!A2080,REPT("0",הגדרות!$E$2)),TEXT('הדבקת לידים'!A2080,"0")),TRIM('הדבקת לידים'!A2080)))</f>
        <v/>
      </c>
      <c r="B2080" s="0" t="str">
        <f aca="false">IF('הדבקת לידים'!B2080="","",IF(ISNUMBER('הדבקת לידים'!B2080),IF(הגדרות!$E$3&gt;0,TEXT('הדבקת לידים'!B2080,REPT("0",הגדרות!$E$3)),TEXT('הדבקת לידים'!B2080,"0")),TRIM('הדבקת לידים'!B2080)))</f>
        <v/>
      </c>
      <c r="C2080" s="0" t="n">
        <f aca="false">IF(OR(A2080&lt;&gt;"",B2080&lt;&gt;""),1,0)</f>
        <v>0</v>
      </c>
      <c r="D2080" s="0" t="str">
        <f aca="false">IF(C2080=1,MOD(ABS(SIN(ROW()*12.9898+'הדבקת לידים'!$F$2*78.233+IFERROR(--RIGHT(A2080,6),LEN(A2080))*0.0137+IFERROR(--RIGHT(B2080,6),LEN(B2080))*0.0071))*43758.5453,1),"")</f>
        <v/>
      </c>
      <c r="E2080" s="0" t="str">
        <f aca="false">IF(C2080=1,INT(MOD(ABS(SIN(D2080*7919.123+ROW()*0.618+'הדבקת לידים'!$F$2*1.3))*43758.5453,1)*1000000)*10000+ROW(),"")</f>
        <v/>
      </c>
      <c r="F2080" s="0" t="str">
        <f aca="false">IF(E2080="","",RANK(E2080,$E$2:$E$5001,1))</f>
        <v/>
      </c>
      <c r="G2080" s="0" t="n">
        <f aca="false">IF(A2080="",0,IF(SUMPRODUCT(--($A$2:$A$5001=A2080))&gt;1,1,0))</f>
        <v>0</v>
      </c>
      <c r="H2080" s="0" t="n">
        <f aca="false">ROW()-1</f>
        <v>2079</v>
      </c>
      <c r="I2080" s="0" t="str">
        <f aca="false">IF(OR(הגדרות!$E$6=0,H2080&gt;הגדרות!$E$5),"",IF(H2080-1&lt;הגדרות!$E$8*(הגדרות!$E$7+1),INT((H2080-1)/(הגדרות!$E$7+1)),הגדרות!$E$8+INT((H2080-1-הגדרות!$E$8*(הגדרות!$E$7+1))/הגדרות!$E$7)))</f>
        <v/>
      </c>
      <c r="J2080" s="0" t="str">
        <f aca="false">IF(I2080="","",IF(H2080-1&lt;הגדרות!$E$8*(הגדרות!$E$7+1),MOD(H2080-1,הגדרות!$E$7+1),MOD(H2080-1-הגדרות!$E$8*(הגדרות!$E$7+1),הגדרות!$E$7)))</f>
        <v/>
      </c>
      <c r="K2080" s="0" t="str">
        <f aca="false">IF(I2080="","",J2080*הגדרות!$E$6+I2080+1)</f>
        <v/>
      </c>
      <c r="L2080" s="0" t="str">
        <f aca="false">IF(K2080="","",MATCH(K2080,$F$2:$F$5001,0))</f>
        <v/>
      </c>
      <c r="M2080" s="0" t="str">
        <f aca="false">IF(I2080="","",INDEX(הגדרות!$A$2:$A$21,MOD(I2080+הגדרות!$E$9,הגדרות!$E$6)+1))</f>
        <v/>
      </c>
    </row>
    <row r="2081" customFormat="false" ht="15" hidden="false" customHeight="false" outlineLevel="0" collapsed="false">
      <c r="A2081" s="0" t="str">
        <f aca="false">IF('הדבקת לידים'!A2081="","",IF(ISNUMBER('הדבקת לידים'!A2081),IF(הגדרות!$E$2&gt;0,TEXT('הדבקת לידים'!A2081,REPT("0",הגדרות!$E$2)),TEXT('הדבקת לידים'!A2081,"0")),TRIM('הדבקת לידים'!A2081)))</f>
        <v/>
      </c>
      <c r="B2081" s="0" t="str">
        <f aca="false">IF('הדבקת לידים'!B2081="","",IF(ISNUMBER('הדבקת לידים'!B2081),IF(הגדרות!$E$3&gt;0,TEXT('הדבקת לידים'!B2081,REPT("0",הגדרות!$E$3)),TEXT('הדבקת לידים'!B2081,"0")),TRIM('הדבקת לידים'!B2081)))</f>
        <v/>
      </c>
      <c r="C2081" s="0" t="n">
        <f aca="false">IF(OR(A2081&lt;&gt;"",B2081&lt;&gt;""),1,0)</f>
        <v>0</v>
      </c>
      <c r="D2081" s="0" t="str">
        <f aca="false">IF(C2081=1,MOD(ABS(SIN(ROW()*12.9898+'הדבקת לידים'!$F$2*78.233+IFERROR(--RIGHT(A2081,6),LEN(A2081))*0.0137+IFERROR(--RIGHT(B2081,6),LEN(B2081))*0.0071))*43758.5453,1),"")</f>
        <v/>
      </c>
      <c r="E2081" s="0" t="str">
        <f aca="false">IF(C2081=1,INT(MOD(ABS(SIN(D2081*7919.123+ROW()*0.618+'הדבקת לידים'!$F$2*1.3))*43758.5453,1)*1000000)*10000+ROW(),"")</f>
        <v/>
      </c>
      <c r="F2081" s="0" t="str">
        <f aca="false">IF(E2081="","",RANK(E2081,$E$2:$E$5001,1))</f>
        <v/>
      </c>
      <c r="G2081" s="0" t="n">
        <f aca="false">IF(A2081="",0,IF(SUMPRODUCT(--($A$2:$A$5001=A2081))&gt;1,1,0))</f>
        <v>0</v>
      </c>
      <c r="H2081" s="0" t="n">
        <f aca="false">ROW()-1</f>
        <v>2080</v>
      </c>
      <c r="I2081" s="0" t="str">
        <f aca="false">IF(OR(הגדרות!$E$6=0,H2081&gt;הגדרות!$E$5),"",IF(H2081-1&lt;הגדרות!$E$8*(הגדרות!$E$7+1),INT((H2081-1)/(הגדרות!$E$7+1)),הגדרות!$E$8+INT((H2081-1-הגדרות!$E$8*(הגדרות!$E$7+1))/הגדרות!$E$7)))</f>
        <v/>
      </c>
      <c r="J2081" s="0" t="str">
        <f aca="false">IF(I2081="","",IF(H2081-1&lt;הגדרות!$E$8*(הגדרות!$E$7+1),MOD(H2081-1,הגדרות!$E$7+1),MOD(H2081-1-הגדרות!$E$8*(הגדרות!$E$7+1),הגדרות!$E$7)))</f>
        <v/>
      </c>
      <c r="K2081" s="0" t="str">
        <f aca="false">IF(I2081="","",J2081*הגדרות!$E$6+I2081+1)</f>
        <v/>
      </c>
      <c r="L2081" s="0" t="str">
        <f aca="false">IF(K2081="","",MATCH(K2081,$F$2:$F$5001,0))</f>
        <v/>
      </c>
      <c r="M2081" s="0" t="str">
        <f aca="false">IF(I2081="","",INDEX(הגדרות!$A$2:$A$21,MOD(I2081+הגדרות!$E$9,הגדרות!$E$6)+1))</f>
        <v/>
      </c>
    </row>
    <row r="2082" customFormat="false" ht="15" hidden="false" customHeight="false" outlineLevel="0" collapsed="false">
      <c r="A2082" s="0" t="str">
        <f aca="false">IF('הדבקת לידים'!A2082="","",IF(ISNUMBER('הדבקת לידים'!A2082),IF(הגדרות!$E$2&gt;0,TEXT('הדבקת לידים'!A2082,REPT("0",הגדרות!$E$2)),TEXT('הדבקת לידים'!A2082,"0")),TRIM('הדבקת לידים'!A2082)))</f>
        <v/>
      </c>
      <c r="B2082" s="0" t="str">
        <f aca="false">IF('הדבקת לידים'!B2082="","",IF(ISNUMBER('הדבקת לידים'!B2082),IF(הגדרות!$E$3&gt;0,TEXT('הדבקת לידים'!B2082,REPT("0",הגדרות!$E$3)),TEXT('הדבקת לידים'!B2082,"0")),TRIM('הדבקת לידים'!B2082)))</f>
        <v/>
      </c>
      <c r="C2082" s="0" t="n">
        <f aca="false">IF(OR(A2082&lt;&gt;"",B2082&lt;&gt;""),1,0)</f>
        <v>0</v>
      </c>
      <c r="D2082" s="0" t="str">
        <f aca="false">IF(C2082=1,MOD(ABS(SIN(ROW()*12.9898+'הדבקת לידים'!$F$2*78.233+IFERROR(--RIGHT(A2082,6),LEN(A2082))*0.0137+IFERROR(--RIGHT(B2082,6),LEN(B2082))*0.0071))*43758.5453,1),"")</f>
        <v/>
      </c>
      <c r="E2082" s="0" t="str">
        <f aca="false">IF(C2082=1,INT(MOD(ABS(SIN(D2082*7919.123+ROW()*0.618+'הדבקת לידים'!$F$2*1.3))*43758.5453,1)*1000000)*10000+ROW(),"")</f>
        <v/>
      </c>
      <c r="F2082" s="0" t="str">
        <f aca="false">IF(E2082="","",RANK(E2082,$E$2:$E$5001,1))</f>
        <v/>
      </c>
      <c r="G2082" s="0" t="n">
        <f aca="false">IF(A2082="",0,IF(SUMPRODUCT(--($A$2:$A$5001=A2082))&gt;1,1,0))</f>
        <v>0</v>
      </c>
      <c r="H2082" s="0" t="n">
        <f aca="false">ROW()-1</f>
        <v>2081</v>
      </c>
      <c r="I2082" s="0" t="str">
        <f aca="false">IF(OR(הגדרות!$E$6=0,H2082&gt;הגדרות!$E$5),"",IF(H2082-1&lt;הגדרות!$E$8*(הגדרות!$E$7+1),INT((H2082-1)/(הגדרות!$E$7+1)),הגדרות!$E$8+INT((H2082-1-הגדרות!$E$8*(הגדרות!$E$7+1))/הגדרות!$E$7)))</f>
        <v/>
      </c>
      <c r="J2082" s="0" t="str">
        <f aca="false">IF(I2082="","",IF(H2082-1&lt;הגדרות!$E$8*(הגדרות!$E$7+1),MOD(H2082-1,הגדרות!$E$7+1),MOD(H2082-1-הגדרות!$E$8*(הגדרות!$E$7+1),הגדרות!$E$7)))</f>
        <v/>
      </c>
      <c r="K2082" s="0" t="str">
        <f aca="false">IF(I2082="","",J2082*הגדרות!$E$6+I2082+1)</f>
        <v/>
      </c>
      <c r="L2082" s="0" t="str">
        <f aca="false">IF(K2082="","",MATCH(K2082,$F$2:$F$5001,0))</f>
        <v/>
      </c>
      <c r="M2082" s="0" t="str">
        <f aca="false">IF(I2082="","",INDEX(הגדרות!$A$2:$A$21,MOD(I2082+הגדרות!$E$9,הגדרות!$E$6)+1))</f>
        <v/>
      </c>
    </row>
    <row r="2083" customFormat="false" ht="15" hidden="false" customHeight="false" outlineLevel="0" collapsed="false">
      <c r="A2083" s="0" t="str">
        <f aca="false">IF('הדבקת לידים'!A2083="","",IF(ISNUMBER('הדבקת לידים'!A2083),IF(הגדרות!$E$2&gt;0,TEXT('הדבקת לידים'!A2083,REPT("0",הגדרות!$E$2)),TEXT('הדבקת לידים'!A2083,"0")),TRIM('הדבקת לידים'!A2083)))</f>
        <v/>
      </c>
      <c r="B2083" s="0" t="str">
        <f aca="false">IF('הדבקת לידים'!B2083="","",IF(ISNUMBER('הדבקת לידים'!B2083),IF(הגדרות!$E$3&gt;0,TEXT('הדבקת לידים'!B2083,REPT("0",הגדרות!$E$3)),TEXT('הדבקת לידים'!B2083,"0")),TRIM('הדבקת לידים'!B2083)))</f>
        <v/>
      </c>
      <c r="C2083" s="0" t="n">
        <f aca="false">IF(OR(A2083&lt;&gt;"",B2083&lt;&gt;""),1,0)</f>
        <v>0</v>
      </c>
      <c r="D2083" s="0" t="str">
        <f aca="false">IF(C2083=1,MOD(ABS(SIN(ROW()*12.9898+'הדבקת לידים'!$F$2*78.233+IFERROR(--RIGHT(A2083,6),LEN(A2083))*0.0137+IFERROR(--RIGHT(B2083,6),LEN(B2083))*0.0071))*43758.5453,1),"")</f>
        <v/>
      </c>
      <c r="E2083" s="0" t="str">
        <f aca="false">IF(C2083=1,INT(MOD(ABS(SIN(D2083*7919.123+ROW()*0.618+'הדבקת לידים'!$F$2*1.3))*43758.5453,1)*1000000)*10000+ROW(),"")</f>
        <v/>
      </c>
      <c r="F2083" s="0" t="str">
        <f aca="false">IF(E2083="","",RANK(E2083,$E$2:$E$5001,1))</f>
        <v/>
      </c>
      <c r="G2083" s="0" t="n">
        <f aca="false">IF(A2083="",0,IF(SUMPRODUCT(--($A$2:$A$5001=A2083))&gt;1,1,0))</f>
        <v>0</v>
      </c>
      <c r="H2083" s="0" t="n">
        <f aca="false">ROW()-1</f>
        <v>2082</v>
      </c>
      <c r="I2083" s="0" t="str">
        <f aca="false">IF(OR(הגדרות!$E$6=0,H2083&gt;הגדרות!$E$5),"",IF(H2083-1&lt;הגדרות!$E$8*(הגדרות!$E$7+1),INT((H2083-1)/(הגדרות!$E$7+1)),הגדרות!$E$8+INT((H2083-1-הגדרות!$E$8*(הגדרות!$E$7+1))/הגדרות!$E$7)))</f>
        <v/>
      </c>
      <c r="J2083" s="0" t="str">
        <f aca="false">IF(I2083="","",IF(H2083-1&lt;הגדרות!$E$8*(הגדרות!$E$7+1),MOD(H2083-1,הגדרות!$E$7+1),MOD(H2083-1-הגדרות!$E$8*(הגדרות!$E$7+1),הגדרות!$E$7)))</f>
        <v/>
      </c>
      <c r="K2083" s="0" t="str">
        <f aca="false">IF(I2083="","",J2083*הגדרות!$E$6+I2083+1)</f>
        <v/>
      </c>
      <c r="L2083" s="0" t="str">
        <f aca="false">IF(K2083="","",MATCH(K2083,$F$2:$F$5001,0))</f>
        <v/>
      </c>
      <c r="M2083" s="0" t="str">
        <f aca="false">IF(I2083="","",INDEX(הגדרות!$A$2:$A$21,MOD(I2083+הגדרות!$E$9,הגדרות!$E$6)+1))</f>
        <v/>
      </c>
    </row>
    <row r="2084" customFormat="false" ht="15" hidden="false" customHeight="false" outlineLevel="0" collapsed="false">
      <c r="A2084" s="0" t="str">
        <f aca="false">IF('הדבקת לידים'!A2084="","",IF(ISNUMBER('הדבקת לידים'!A2084),IF(הגדרות!$E$2&gt;0,TEXT('הדבקת לידים'!A2084,REPT("0",הגדרות!$E$2)),TEXT('הדבקת לידים'!A2084,"0")),TRIM('הדבקת לידים'!A2084)))</f>
        <v/>
      </c>
      <c r="B2084" s="0" t="str">
        <f aca="false">IF('הדבקת לידים'!B2084="","",IF(ISNUMBER('הדבקת לידים'!B2084),IF(הגדרות!$E$3&gt;0,TEXT('הדבקת לידים'!B2084,REPT("0",הגדרות!$E$3)),TEXT('הדבקת לידים'!B2084,"0")),TRIM('הדבקת לידים'!B2084)))</f>
        <v/>
      </c>
      <c r="C2084" s="0" t="n">
        <f aca="false">IF(OR(A2084&lt;&gt;"",B2084&lt;&gt;""),1,0)</f>
        <v>0</v>
      </c>
      <c r="D2084" s="0" t="str">
        <f aca="false">IF(C2084=1,MOD(ABS(SIN(ROW()*12.9898+'הדבקת לידים'!$F$2*78.233+IFERROR(--RIGHT(A2084,6),LEN(A2084))*0.0137+IFERROR(--RIGHT(B2084,6),LEN(B2084))*0.0071))*43758.5453,1),"")</f>
        <v/>
      </c>
      <c r="E2084" s="0" t="str">
        <f aca="false">IF(C2084=1,INT(MOD(ABS(SIN(D2084*7919.123+ROW()*0.618+'הדבקת לידים'!$F$2*1.3))*43758.5453,1)*1000000)*10000+ROW(),"")</f>
        <v/>
      </c>
      <c r="F2084" s="0" t="str">
        <f aca="false">IF(E2084="","",RANK(E2084,$E$2:$E$5001,1))</f>
        <v/>
      </c>
      <c r="G2084" s="0" t="n">
        <f aca="false">IF(A2084="",0,IF(SUMPRODUCT(--($A$2:$A$5001=A2084))&gt;1,1,0))</f>
        <v>0</v>
      </c>
      <c r="H2084" s="0" t="n">
        <f aca="false">ROW()-1</f>
        <v>2083</v>
      </c>
      <c r="I2084" s="0" t="str">
        <f aca="false">IF(OR(הגדרות!$E$6=0,H2084&gt;הגדרות!$E$5),"",IF(H2084-1&lt;הגדרות!$E$8*(הגדרות!$E$7+1),INT((H2084-1)/(הגדרות!$E$7+1)),הגדרות!$E$8+INT((H2084-1-הגדרות!$E$8*(הגדרות!$E$7+1))/הגדרות!$E$7)))</f>
        <v/>
      </c>
      <c r="J2084" s="0" t="str">
        <f aca="false">IF(I2084="","",IF(H2084-1&lt;הגדרות!$E$8*(הגדרות!$E$7+1),MOD(H2084-1,הגדרות!$E$7+1),MOD(H2084-1-הגדרות!$E$8*(הגדרות!$E$7+1),הגדרות!$E$7)))</f>
        <v/>
      </c>
      <c r="K2084" s="0" t="str">
        <f aca="false">IF(I2084="","",J2084*הגדרות!$E$6+I2084+1)</f>
        <v/>
      </c>
      <c r="L2084" s="0" t="str">
        <f aca="false">IF(K2084="","",MATCH(K2084,$F$2:$F$5001,0))</f>
        <v/>
      </c>
      <c r="M2084" s="0" t="str">
        <f aca="false">IF(I2084="","",INDEX(הגדרות!$A$2:$A$21,MOD(I2084+הגדרות!$E$9,הגדרות!$E$6)+1))</f>
        <v/>
      </c>
    </row>
    <row r="2085" customFormat="false" ht="15" hidden="false" customHeight="false" outlineLevel="0" collapsed="false">
      <c r="A2085" s="0" t="str">
        <f aca="false">IF('הדבקת לידים'!A2085="","",IF(ISNUMBER('הדבקת לידים'!A2085),IF(הגדרות!$E$2&gt;0,TEXT('הדבקת לידים'!A2085,REPT("0",הגדרות!$E$2)),TEXT('הדבקת לידים'!A2085,"0")),TRIM('הדבקת לידים'!A2085)))</f>
        <v/>
      </c>
      <c r="B2085" s="0" t="str">
        <f aca="false">IF('הדבקת לידים'!B2085="","",IF(ISNUMBER('הדבקת לידים'!B2085),IF(הגדרות!$E$3&gt;0,TEXT('הדבקת לידים'!B2085,REPT("0",הגדרות!$E$3)),TEXT('הדבקת לידים'!B2085,"0")),TRIM('הדבקת לידים'!B2085)))</f>
        <v/>
      </c>
      <c r="C2085" s="0" t="n">
        <f aca="false">IF(OR(A2085&lt;&gt;"",B2085&lt;&gt;""),1,0)</f>
        <v>0</v>
      </c>
      <c r="D2085" s="0" t="str">
        <f aca="false">IF(C2085=1,MOD(ABS(SIN(ROW()*12.9898+'הדבקת לידים'!$F$2*78.233+IFERROR(--RIGHT(A2085,6),LEN(A2085))*0.0137+IFERROR(--RIGHT(B2085,6),LEN(B2085))*0.0071))*43758.5453,1),"")</f>
        <v/>
      </c>
      <c r="E2085" s="0" t="str">
        <f aca="false">IF(C2085=1,INT(MOD(ABS(SIN(D2085*7919.123+ROW()*0.618+'הדבקת לידים'!$F$2*1.3))*43758.5453,1)*1000000)*10000+ROW(),"")</f>
        <v/>
      </c>
      <c r="F2085" s="0" t="str">
        <f aca="false">IF(E2085="","",RANK(E2085,$E$2:$E$5001,1))</f>
        <v/>
      </c>
      <c r="G2085" s="0" t="n">
        <f aca="false">IF(A2085="",0,IF(SUMPRODUCT(--($A$2:$A$5001=A2085))&gt;1,1,0))</f>
        <v>0</v>
      </c>
      <c r="H2085" s="0" t="n">
        <f aca="false">ROW()-1</f>
        <v>2084</v>
      </c>
      <c r="I2085" s="0" t="str">
        <f aca="false">IF(OR(הגדרות!$E$6=0,H2085&gt;הגדרות!$E$5),"",IF(H2085-1&lt;הגדרות!$E$8*(הגדרות!$E$7+1),INT((H2085-1)/(הגדרות!$E$7+1)),הגדרות!$E$8+INT((H2085-1-הגדרות!$E$8*(הגדרות!$E$7+1))/הגדרות!$E$7)))</f>
        <v/>
      </c>
      <c r="J2085" s="0" t="str">
        <f aca="false">IF(I2085="","",IF(H2085-1&lt;הגדרות!$E$8*(הגדרות!$E$7+1),MOD(H2085-1,הגדרות!$E$7+1),MOD(H2085-1-הגדרות!$E$8*(הגדרות!$E$7+1),הגדרות!$E$7)))</f>
        <v/>
      </c>
      <c r="K2085" s="0" t="str">
        <f aca="false">IF(I2085="","",J2085*הגדרות!$E$6+I2085+1)</f>
        <v/>
      </c>
      <c r="L2085" s="0" t="str">
        <f aca="false">IF(K2085="","",MATCH(K2085,$F$2:$F$5001,0))</f>
        <v/>
      </c>
      <c r="M2085" s="0" t="str">
        <f aca="false">IF(I2085="","",INDEX(הגדרות!$A$2:$A$21,MOD(I2085+הגדרות!$E$9,הגדרות!$E$6)+1))</f>
        <v/>
      </c>
    </row>
    <row r="2086" customFormat="false" ht="15" hidden="false" customHeight="false" outlineLevel="0" collapsed="false">
      <c r="A2086" s="0" t="str">
        <f aca="false">IF('הדבקת לידים'!A2086="","",IF(ISNUMBER('הדבקת לידים'!A2086),IF(הגדרות!$E$2&gt;0,TEXT('הדבקת לידים'!A2086,REPT("0",הגדרות!$E$2)),TEXT('הדבקת לידים'!A2086,"0")),TRIM('הדבקת לידים'!A2086)))</f>
        <v/>
      </c>
      <c r="B2086" s="0" t="str">
        <f aca="false">IF('הדבקת לידים'!B2086="","",IF(ISNUMBER('הדבקת לידים'!B2086),IF(הגדרות!$E$3&gt;0,TEXT('הדבקת לידים'!B2086,REPT("0",הגדרות!$E$3)),TEXT('הדבקת לידים'!B2086,"0")),TRIM('הדבקת לידים'!B2086)))</f>
        <v/>
      </c>
      <c r="C2086" s="0" t="n">
        <f aca="false">IF(OR(A2086&lt;&gt;"",B2086&lt;&gt;""),1,0)</f>
        <v>0</v>
      </c>
      <c r="D2086" s="0" t="str">
        <f aca="false">IF(C2086=1,MOD(ABS(SIN(ROW()*12.9898+'הדבקת לידים'!$F$2*78.233+IFERROR(--RIGHT(A2086,6),LEN(A2086))*0.0137+IFERROR(--RIGHT(B2086,6),LEN(B2086))*0.0071))*43758.5453,1),"")</f>
        <v/>
      </c>
      <c r="E2086" s="0" t="str">
        <f aca="false">IF(C2086=1,INT(MOD(ABS(SIN(D2086*7919.123+ROW()*0.618+'הדבקת לידים'!$F$2*1.3))*43758.5453,1)*1000000)*10000+ROW(),"")</f>
        <v/>
      </c>
      <c r="F2086" s="0" t="str">
        <f aca="false">IF(E2086="","",RANK(E2086,$E$2:$E$5001,1))</f>
        <v/>
      </c>
      <c r="G2086" s="0" t="n">
        <f aca="false">IF(A2086="",0,IF(SUMPRODUCT(--($A$2:$A$5001=A2086))&gt;1,1,0))</f>
        <v>0</v>
      </c>
      <c r="H2086" s="0" t="n">
        <f aca="false">ROW()-1</f>
        <v>2085</v>
      </c>
      <c r="I2086" s="0" t="str">
        <f aca="false">IF(OR(הגדרות!$E$6=0,H2086&gt;הגדרות!$E$5),"",IF(H2086-1&lt;הגדרות!$E$8*(הגדרות!$E$7+1),INT((H2086-1)/(הגדרות!$E$7+1)),הגדרות!$E$8+INT((H2086-1-הגדרות!$E$8*(הגדרות!$E$7+1))/הגדרות!$E$7)))</f>
        <v/>
      </c>
      <c r="J2086" s="0" t="str">
        <f aca="false">IF(I2086="","",IF(H2086-1&lt;הגדרות!$E$8*(הגדרות!$E$7+1),MOD(H2086-1,הגדרות!$E$7+1),MOD(H2086-1-הגדרות!$E$8*(הגדרות!$E$7+1),הגדרות!$E$7)))</f>
        <v/>
      </c>
      <c r="K2086" s="0" t="str">
        <f aca="false">IF(I2086="","",J2086*הגדרות!$E$6+I2086+1)</f>
        <v/>
      </c>
      <c r="L2086" s="0" t="str">
        <f aca="false">IF(K2086="","",MATCH(K2086,$F$2:$F$5001,0))</f>
        <v/>
      </c>
      <c r="M2086" s="0" t="str">
        <f aca="false">IF(I2086="","",INDEX(הגדרות!$A$2:$A$21,MOD(I2086+הגדרות!$E$9,הגדרות!$E$6)+1))</f>
        <v/>
      </c>
    </row>
    <row r="2087" customFormat="false" ht="15" hidden="false" customHeight="false" outlineLevel="0" collapsed="false">
      <c r="A2087" s="0" t="str">
        <f aca="false">IF('הדבקת לידים'!A2087="","",IF(ISNUMBER('הדבקת לידים'!A2087),IF(הגדרות!$E$2&gt;0,TEXT('הדבקת לידים'!A2087,REPT("0",הגדרות!$E$2)),TEXT('הדבקת לידים'!A2087,"0")),TRIM('הדבקת לידים'!A2087)))</f>
        <v/>
      </c>
      <c r="B2087" s="0" t="str">
        <f aca="false">IF('הדבקת לידים'!B2087="","",IF(ISNUMBER('הדבקת לידים'!B2087),IF(הגדרות!$E$3&gt;0,TEXT('הדבקת לידים'!B2087,REPT("0",הגדרות!$E$3)),TEXT('הדבקת לידים'!B2087,"0")),TRIM('הדבקת לידים'!B2087)))</f>
        <v/>
      </c>
      <c r="C2087" s="0" t="n">
        <f aca="false">IF(OR(A2087&lt;&gt;"",B2087&lt;&gt;""),1,0)</f>
        <v>0</v>
      </c>
      <c r="D2087" s="0" t="str">
        <f aca="false">IF(C2087=1,MOD(ABS(SIN(ROW()*12.9898+'הדבקת לידים'!$F$2*78.233+IFERROR(--RIGHT(A2087,6),LEN(A2087))*0.0137+IFERROR(--RIGHT(B2087,6),LEN(B2087))*0.0071))*43758.5453,1),"")</f>
        <v/>
      </c>
      <c r="E2087" s="0" t="str">
        <f aca="false">IF(C2087=1,INT(MOD(ABS(SIN(D2087*7919.123+ROW()*0.618+'הדבקת לידים'!$F$2*1.3))*43758.5453,1)*1000000)*10000+ROW(),"")</f>
        <v/>
      </c>
      <c r="F2087" s="0" t="str">
        <f aca="false">IF(E2087="","",RANK(E2087,$E$2:$E$5001,1))</f>
        <v/>
      </c>
      <c r="G2087" s="0" t="n">
        <f aca="false">IF(A2087="",0,IF(SUMPRODUCT(--($A$2:$A$5001=A2087))&gt;1,1,0))</f>
        <v>0</v>
      </c>
      <c r="H2087" s="0" t="n">
        <f aca="false">ROW()-1</f>
        <v>2086</v>
      </c>
      <c r="I2087" s="0" t="str">
        <f aca="false">IF(OR(הגדרות!$E$6=0,H2087&gt;הגדרות!$E$5),"",IF(H2087-1&lt;הגדרות!$E$8*(הגדרות!$E$7+1),INT((H2087-1)/(הגדרות!$E$7+1)),הגדרות!$E$8+INT((H2087-1-הגדרות!$E$8*(הגדרות!$E$7+1))/הגדרות!$E$7)))</f>
        <v/>
      </c>
      <c r="J2087" s="0" t="str">
        <f aca="false">IF(I2087="","",IF(H2087-1&lt;הגדרות!$E$8*(הגדרות!$E$7+1),MOD(H2087-1,הגדרות!$E$7+1),MOD(H2087-1-הגדרות!$E$8*(הגדרות!$E$7+1),הגדרות!$E$7)))</f>
        <v/>
      </c>
      <c r="K2087" s="0" t="str">
        <f aca="false">IF(I2087="","",J2087*הגדרות!$E$6+I2087+1)</f>
        <v/>
      </c>
      <c r="L2087" s="0" t="str">
        <f aca="false">IF(K2087="","",MATCH(K2087,$F$2:$F$5001,0))</f>
        <v/>
      </c>
      <c r="M2087" s="0" t="str">
        <f aca="false">IF(I2087="","",INDEX(הגדרות!$A$2:$A$21,MOD(I2087+הגדרות!$E$9,הגדרות!$E$6)+1))</f>
        <v/>
      </c>
    </row>
    <row r="2088" customFormat="false" ht="15" hidden="false" customHeight="false" outlineLevel="0" collapsed="false">
      <c r="A2088" s="0" t="str">
        <f aca="false">IF('הדבקת לידים'!A2088="","",IF(ISNUMBER('הדבקת לידים'!A2088),IF(הגדרות!$E$2&gt;0,TEXT('הדבקת לידים'!A2088,REPT("0",הגדרות!$E$2)),TEXT('הדבקת לידים'!A2088,"0")),TRIM('הדבקת לידים'!A2088)))</f>
        <v/>
      </c>
      <c r="B2088" s="0" t="str">
        <f aca="false">IF('הדבקת לידים'!B2088="","",IF(ISNUMBER('הדבקת לידים'!B2088),IF(הגדרות!$E$3&gt;0,TEXT('הדבקת לידים'!B2088,REPT("0",הגדרות!$E$3)),TEXT('הדבקת לידים'!B2088,"0")),TRIM('הדבקת לידים'!B2088)))</f>
        <v/>
      </c>
      <c r="C2088" s="0" t="n">
        <f aca="false">IF(OR(A2088&lt;&gt;"",B2088&lt;&gt;""),1,0)</f>
        <v>0</v>
      </c>
      <c r="D2088" s="0" t="str">
        <f aca="false">IF(C2088=1,MOD(ABS(SIN(ROW()*12.9898+'הדבקת לידים'!$F$2*78.233+IFERROR(--RIGHT(A2088,6),LEN(A2088))*0.0137+IFERROR(--RIGHT(B2088,6),LEN(B2088))*0.0071))*43758.5453,1),"")</f>
        <v/>
      </c>
      <c r="E2088" s="0" t="str">
        <f aca="false">IF(C2088=1,INT(MOD(ABS(SIN(D2088*7919.123+ROW()*0.618+'הדבקת לידים'!$F$2*1.3))*43758.5453,1)*1000000)*10000+ROW(),"")</f>
        <v/>
      </c>
      <c r="F2088" s="0" t="str">
        <f aca="false">IF(E2088="","",RANK(E2088,$E$2:$E$5001,1))</f>
        <v/>
      </c>
      <c r="G2088" s="0" t="n">
        <f aca="false">IF(A2088="",0,IF(SUMPRODUCT(--($A$2:$A$5001=A2088))&gt;1,1,0))</f>
        <v>0</v>
      </c>
      <c r="H2088" s="0" t="n">
        <f aca="false">ROW()-1</f>
        <v>2087</v>
      </c>
      <c r="I2088" s="0" t="str">
        <f aca="false">IF(OR(הגדרות!$E$6=0,H2088&gt;הגדרות!$E$5),"",IF(H2088-1&lt;הגדרות!$E$8*(הגדרות!$E$7+1),INT((H2088-1)/(הגדרות!$E$7+1)),הגדרות!$E$8+INT((H2088-1-הגדרות!$E$8*(הגדרות!$E$7+1))/הגדרות!$E$7)))</f>
        <v/>
      </c>
      <c r="J2088" s="0" t="str">
        <f aca="false">IF(I2088="","",IF(H2088-1&lt;הגדרות!$E$8*(הגדרות!$E$7+1),MOD(H2088-1,הגדרות!$E$7+1),MOD(H2088-1-הגדרות!$E$8*(הגדרות!$E$7+1),הגדרות!$E$7)))</f>
        <v/>
      </c>
      <c r="K2088" s="0" t="str">
        <f aca="false">IF(I2088="","",J2088*הגדרות!$E$6+I2088+1)</f>
        <v/>
      </c>
      <c r="L2088" s="0" t="str">
        <f aca="false">IF(K2088="","",MATCH(K2088,$F$2:$F$5001,0))</f>
        <v/>
      </c>
      <c r="M2088" s="0" t="str">
        <f aca="false">IF(I2088="","",INDEX(הגדרות!$A$2:$A$21,MOD(I2088+הגדרות!$E$9,הגדרות!$E$6)+1))</f>
        <v/>
      </c>
    </row>
    <row r="2089" customFormat="false" ht="15" hidden="false" customHeight="false" outlineLevel="0" collapsed="false">
      <c r="A2089" s="0" t="str">
        <f aca="false">IF('הדבקת לידים'!A2089="","",IF(ISNUMBER('הדבקת לידים'!A2089),IF(הגדרות!$E$2&gt;0,TEXT('הדבקת לידים'!A2089,REPT("0",הגדרות!$E$2)),TEXT('הדבקת לידים'!A2089,"0")),TRIM('הדבקת לידים'!A2089)))</f>
        <v/>
      </c>
      <c r="B2089" s="0" t="str">
        <f aca="false">IF('הדבקת לידים'!B2089="","",IF(ISNUMBER('הדבקת לידים'!B2089),IF(הגדרות!$E$3&gt;0,TEXT('הדבקת לידים'!B2089,REPT("0",הגדרות!$E$3)),TEXT('הדבקת לידים'!B2089,"0")),TRIM('הדבקת לידים'!B2089)))</f>
        <v/>
      </c>
      <c r="C2089" s="0" t="n">
        <f aca="false">IF(OR(A2089&lt;&gt;"",B2089&lt;&gt;""),1,0)</f>
        <v>0</v>
      </c>
      <c r="D2089" s="0" t="str">
        <f aca="false">IF(C2089=1,MOD(ABS(SIN(ROW()*12.9898+'הדבקת לידים'!$F$2*78.233+IFERROR(--RIGHT(A2089,6),LEN(A2089))*0.0137+IFERROR(--RIGHT(B2089,6),LEN(B2089))*0.0071))*43758.5453,1),"")</f>
        <v/>
      </c>
      <c r="E2089" s="0" t="str">
        <f aca="false">IF(C2089=1,INT(MOD(ABS(SIN(D2089*7919.123+ROW()*0.618+'הדבקת לידים'!$F$2*1.3))*43758.5453,1)*1000000)*10000+ROW(),"")</f>
        <v/>
      </c>
      <c r="F2089" s="0" t="str">
        <f aca="false">IF(E2089="","",RANK(E2089,$E$2:$E$5001,1))</f>
        <v/>
      </c>
      <c r="G2089" s="0" t="n">
        <f aca="false">IF(A2089="",0,IF(SUMPRODUCT(--($A$2:$A$5001=A2089))&gt;1,1,0))</f>
        <v>0</v>
      </c>
      <c r="H2089" s="0" t="n">
        <f aca="false">ROW()-1</f>
        <v>2088</v>
      </c>
      <c r="I2089" s="0" t="str">
        <f aca="false">IF(OR(הגדרות!$E$6=0,H2089&gt;הגדרות!$E$5),"",IF(H2089-1&lt;הגדרות!$E$8*(הגדרות!$E$7+1),INT((H2089-1)/(הגדרות!$E$7+1)),הגדרות!$E$8+INT((H2089-1-הגדרות!$E$8*(הגדרות!$E$7+1))/הגדרות!$E$7)))</f>
        <v/>
      </c>
      <c r="J2089" s="0" t="str">
        <f aca="false">IF(I2089="","",IF(H2089-1&lt;הגדרות!$E$8*(הגדרות!$E$7+1),MOD(H2089-1,הגדרות!$E$7+1),MOD(H2089-1-הגדרות!$E$8*(הגדרות!$E$7+1),הגדרות!$E$7)))</f>
        <v/>
      </c>
      <c r="K2089" s="0" t="str">
        <f aca="false">IF(I2089="","",J2089*הגדרות!$E$6+I2089+1)</f>
        <v/>
      </c>
      <c r="L2089" s="0" t="str">
        <f aca="false">IF(K2089="","",MATCH(K2089,$F$2:$F$5001,0))</f>
        <v/>
      </c>
      <c r="M2089" s="0" t="str">
        <f aca="false">IF(I2089="","",INDEX(הגדרות!$A$2:$A$21,MOD(I2089+הגדרות!$E$9,הגדרות!$E$6)+1))</f>
        <v/>
      </c>
    </row>
    <row r="2090" customFormat="false" ht="15" hidden="false" customHeight="false" outlineLevel="0" collapsed="false">
      <c r="A2090" s="0" t="str">
        <f aca="false">IF('הדבקת לידים'!A2090="","",IF(ISNUMBER('הדבקת לידים'!A2090),IF(הגדרות!$E$2&gt;0,TEXT('הדבקת לידים'!A2090,REPT("0",הגדרות!$E$2)),TEXT('הדבקת לידים'!A2090,"0")),TRIM('הדבקת לידים'!A2090)))</f>
        <v/>
      </c>
      <c r="B2090" s="0" t="str">
        <f aca="false">IF('הדבקת לידים'!B2090="","",IF(ISNUMBER('הדבקת לידים'!B2090),IF(הגדרות!$E$3&gt;0,TEXT('הדבקת לידים'!B2090,REPT("0",הגדרות!$E$3)),TEXT('הדבקת לידים'!B2090,"0")),TRIM('הדבקת לידים'!B2090)))</f>
        <v/>
      </c>
      <c r="C2090" s="0" t="n">
        <f aca="false">IF(OR(A2090&lt;&gt;"",B2090&lt;&gt;""),1,0)</f>
        <v>0</v>
      </c>
      <c r="D2090" s="0" t="str">
        <f aca="false">IF(C2090=1,MOD(ABS(SIN(ROW()*12.9898+'הדבקת לידים'!$F$2*78.233+IFERROR(--RIGHT(A2090,6),LEN(A2090))*0.0137+IFERROR(--RIGHT(B2090,6),LEN(B2090))*0.0071))*43758.5453,1),"")</f>
        <v/>
      </c>
      <c r="E2090" s="0" t="str">
        <f aca="false">IF(C2090=1,INT(MOD(ABS(SIN(D2090*7919.123+ROW()*0.618+'הדבקת לידים'!$F$2*1.3))*43758.5453,1)*1000000)*10000+ROW(),"")</f>
        <v/>
      </c>
      <c r="F2090" s="0" t="str">
        <f aca="false">IF(E2090="","",RANK(E2090,$E$2:$E$5001,1))</f>
        <v/>
      </c>
      <c r="G2090" s="0" t="n">
        <f aca="false">IF(A2090="",0,IF(SUMPRODUCT(--($A$2:$A$5001=A2090))&gt;1,1,0))</f>
        <v>0</v>
      </c>
      <c r="H2090" s="0" t="n">
        <f aca="false">ROW()-1</f>
        <v>2089</v>
      </c>
      <c r="I2090" s="0" t="str">
        <f aca="false">IF(OR(הגדרות!$E$6=0,H2090&gt;הגדרות!$E$5),"",IF(H2090-1&lt;הגדרות!$E$8*(הגדרות!$E$7+1),INT((H2090-1)/(הגדרות!$E$7+1)),הגדרות!$E$8+INT((H2090-1-הגדרות!$E$8*(הגדרות!$E$7+1))/הגדרות!$E$7)))</f>
        <v/>
      </c>
      <c r="J2090" s="0" t="str">
        <f aca="false">IF(I2090="","",IF(H2090-1&lt;הגדרות!$E$8*(הגדרות!$E$7+1),MOD(H2090-1,הגדרות!$E$7+1),MOD(H2090-1-הגדרות!$E$8*(הגדרות!$E$7+1),הגדרות!$E$7)))</f>
        <v/>
      </c>
      <c r="K2090" s="0" t="str">
        <f aca="false">IF(I2090="","",J2090*הגדרות!$E$6+I2090+1)</f>
        <v/>
      </c>
      <c r="L2090" s="0" t="str">
        <f aca="false">IF(K2090="","",MATCH(K2090,$F$2:$F$5001,0))</f>
        <v/>
      </c>
      <c r="M2090" s="0" t="str">
        <f aca="false">IF(I2090="","",INDEX(הגדרות!$A$2:$A$21,MOD(I2090+הגדרות!$E$9,הגדרות!$E$6)+1))</f>
        <v/>
      </c>
    </row>
    <row r="2091" customFormat="false" ht="15" hidden="false" customHeight="false" outlineLevel="0" collapsed="false">
      <c r="A2091" s="0" t="str">
        <f aca="false">IF('הדבקת לידים'!A2091="","",IF(ISNUMBER('הדבקת לידים'!A2091),IF(הגדרות!$E$2&gt;0,TEXT('הדבקת לידים'!A2091,REPT("0",הגדרות!$E$2)),TEXT('הדבקת לידים'!A2091,"0")),TRIM('הדבקת לידים'!A2091)))</f>
        <v/>
      </c>
      <c r="B2091" s="0" t="str">
        <f aca="false">IF('הדבקת לידים'!B2091="","",IF(ISNUMBER('הדבקת לידים'!B2091),IF(הגדרות!$E$3&gt;0,TEXT('הדבקת לידים'!B2091,REPT("0",הגדרות!$E$3)),TEXT('הדבקת לידים'!B2091,"0")),TRIM('הדבקת לידים'!B2091)))</f>
        <v/>
      </c>
      <c r="C2091" s="0" t="n">
        <f aca="false">IF(OR(A2091&lt;&gt;"",B2091&lt;&gt;""),1,0)</f>
        <v>0</v>
      </c>
      <c r="D2091" s="0" t="str">
        <f aca="false">IF(C2091=1,MOD(ABS(SIN(ROW()*12.9898+'הדבקת לידים'!$F$2*78.233+IFERROR(--RIGHT(A2091,6),LEN(A2091))*0.0137+IFERROR(--RIGHT(B2091,6),LEN(B2091))*0.0071))*43758.5453,1),"")</f>
        <v/>
      </c>
      <c r="E2091" s="0" t="str">
        <f aca="false">IF(C2091=1,INT(MOD(ABS(SIN(D2091*7919.123+ROW()*0.618+'הדבקת לידים'!$F$2*1.3))*43758.5453,1)*1000000)*10000+ROW(),"")</f>
        <v/>
      </c>
      <c r="F2091" s="0" t="str">
        <f aca="false">IF(E2091="","",RANK(E2091,$E$2:$E$5001,1))</f>
        <v/>
      </c>
      <c r="G2091" s="0" t="n">
        <f aca="false">IF(A2091="",0,IF(SUMPRODUCT(--($A$2:$A$5001=A2091))&gt;1,1,0))</f>
        <v>0</v>
      </c>
      <c r="H2091" s="0" t="n">
        <f aca="false">ROW()-1</f>
        <v>2090</v>
      </c>
      <c r="I2091" s="0" t="str">
        <f aca="false">IF(OR(הגדרות!$E$6=0,H2091&gt;הגדרות!$E$5),"",IF(H2091-1&lt;הגדרות!$E$8*(הגדרות!$E$7+1),INT((H2091-1)/(הגדרות!$E$7+1)),הגדרות!$E$8+INT((H2091-1-הגדרות!$E$8*(הגדרות!$E$7+1))/הגדרות!$E$7)))</f>
        <v/>
      </c>
      <c r="J2091" s="0" t="str">
        <f aca="false">IF(I2091="","",IF(H2091-1&lt;הגדרות!$E$8*(הגדרות!$E$7+1),MOD(H2091-1,הגדרות!$E$7+1),MOD(H2091-1-הגדרות!$E$8*(הגדרות!$E$7+1),הגדרות!$E$7)))</f>
        <v/>
      </c>
      <c r="K2091" s="0" t="str">
        <f aca="false">IF(I2091="","",J2091*הגדרות!$E$6+I2091+1)</f>
        <v/>
      </c>
      <c r="L2091" s="0" t="str">
        <f aca="false">IF(K2091="","",MATCH(K2091,$F$2:$F$5001,0))</f>
        <v/>
      </c>
      <c r="M2091" s="0" t="str">
        <f aca="false">IF(I2091="","",INDEX(הגדרות!$A$2:$A$21,MOD(I2091+הגדרות!$E$9,הגדרות!$E$6)+1))</f>
        <v/>
      </c>
    </row>
    <row r="2092" customFormat="false" ht="15" hidden="false" customHeight="false" outlineLevel="0" collapsed="false">
      <c r="A2092" s="0" t="str">
        <f aca="false">IF('הדבקת לידים'!A2092="","",IF(ISNUMBER('הדבקת לידים'!A2092),IF(הגדרות!$E$2&gt;0,TEXT('הדבקת לידים'!A2092,REPT("0",הגדרות!$E$2)),TEXT('הדבקת לידים'!A2092,"0")),TRIM('הדבקת לידים'!A2092)))</f>
        <v/>
      </c>
      <c r="B2092" s="0" t="str">
        <f aca="false">IF('הדבקת לידים'!B2092="","",IF(ISNUMBER('הדבקת לידים'!B2092),IF(הגדרות!$E$3&gt;0,TEXT('הדבקת לידים'!B2092,REPT("0",הגדרות!$E$3)),TEXT('הדבקת לידים'!B2092,"0")),TRIM('הדבקת לידים'!B2092)))</f>
        <v/>
      </c>
      <c r="C2092" s="0" t="n">
        <f aca="false">IF(OR(A2092&lt;&gt;"",B2092&lt;&gt;""),1,0)</f>
        <v>0</v>
      </c>
      <c r="D2092" s="0" t="str">
        <f aca="false">IF(C2092=1,MOD(ABS(SIN(ROW()*12.9898+'הדבקת לידים'!$F$2*78.233+IFERROR(--RIGHT(A2092,6),LEN(A2092))*0.0137+IFERROR(--RIGHT(B2092,6),LEN(B2092))*0.0071))*43758.5453,1),"")</f>
        <v/>
      </c>
      <c r="E2092" s="0" t="str">
        <f aca="false">IF(C2092=1,INT(MOD(ABS(SIN(D2092*7919.123+ROW()*0.618+'הדבקת לידים'!$F$2*1.3))*43758.5453,1)*1000000)*10000+ROW(),"")</f>
        <v/>
      </c>
      <c r="F2092" s="0" t="str">
        <f aca="false">IF(E2092="","",RANK(E2092,$E$2:$E$5001,1))</f>
        <v/>
      </c>
      <c r="G2092" s="0" t="n">
        <f aca="false">IF(A2092="",0,IF(SUMPRODUCT(--($A$2:$A$5001=A2092))&gt;1,1,0))</f>
        <v>0</v>
      </c>
      <c r="H2092" s="0" t="n">
        <f aca="false">ROW()-1</f>
        <v>2091</v>
      </c>
      <c r="I2092" s="0" t="str">
        <f aca="false">IF(OR(הגדרות!$E$6=0,H2092&gt;הגדרות!$E$5),"",IF(H2092-1&lt;הגדרות!$E$8*(הגדרות!$E$7+1),INT((H2092-1)/(הגדרות!$E$7+1)),הגדרות!$E$8+INT((H2092-1-הגדרות!$E$8*(הגדרות!$E$7+1))/הגדרות!$E$7)))</f>
        <v/>
      </c>
      <c r="J2092" s="0" t="str">
        <f aca="false">IF(I2092="","",IF(H2092-1&lt;הגדרות!$E$8*(הגדרות!$E$7+1),MOD(H2092-1,הגדרות!$E$7+1),MOD(H2092-1-הגדרות!$E$8*(הגדרות!$E$7+1),הגדרות!$E$7)))</f>
        <v/>
      </c>
      <c r="K2092" s="0" t="str">
        <f aca="false">IF(I2092="","",J2092*הגדרות!$E$6+I2092+1)</f>
        <v/>
      </c>
      <c r="L2092" s="0" t="str">
        <f aca="false">IF(K2092="","",MATCH(K2092,$F$2:$F$5001,0))</f>
        <v/>
      </c>
      <c r="M2092" s="0" t="str">
        <f aca="false">IF(I2092="","",INDEX(הגדרות!$A$2:$A$21,MOD(I2092+הגדרות!$E$9,הגדרות!$E$6)+1))</f>
        <v/>
      </c>
    </row>
    <row r="2093" customFormat="false" ht="15" hidden="false" customHeight="false" outlineLevel="0" collapsed="false">
      <c r="A2093" s="0" t="str">
        <f aca="false">IF('הדבקת לידים'!A2093="","",IF(ISNUMBER('הדבקת לידים'!A2093),IF(הגדרות!$E$2&gt;0,TEXT('הדבקת לידים'!A2093,REPT("0",הגדרות!$E$2)),TEXT('הדבקת לידים'!A2093,"0")),TRIM('הדבקת לידים'!A2093)))</f>
        <v/>
      </c>
      <c r="B2093" s="0" t="str">
        <f aca="false">IF('הדבקת לידים'!B2093="","",IF(ISNUMBER('הדבקת לידים'!B2093),IF(הגדרות!$E$3&gt;0,TEXT('הדבקת לידים'!B2093,REPT("0",הגדרות!$E$3)),TEXT('הדבקת לידים'!B2093,"0")),TRIM('הדבקת לידים'!B2093)))</f>
        <v/>
      </c>
      <c r="C2093" s="0" t="n">
        <f aca="false">IF(OR(A2093&lt;&gt;"",B2093&lt;&gt;""),1,0)</f>
        <v>0</v>
      </c>
      <c r="D2093" s="0" t="str">
        <f aca="false">IF(C2093=1,MOD(ABS(SIN(ROW()*12.9898+'הדבקת לידים'!$F$2*78.233+IFERROR(--RIGHT(A2093,6),LEN(A2093))*0.0137+IFERROR(--RIGHT(B2093,6),LEN(B2093))*0.0071))*43758.5453,1),"")</f>
        <v/>
      </c>
      <c r="E2093" s="0" t="str">
        <f aca="false">IF(C2093=1,INT(MOD(ABS(SIN(D2093*7919.123+ROW()*0.618+'הדבקת לידים'!$F$2*1.3))*43758.5453,1)*1000000)*10000+ROW(),"")</f>
        <v/>
      </c>
      <c r="F2093" s="0" t="str">
        <f aca="false">IF(E2093="","",RANK(E2093,$E$2:$E$5001,1))</f>
        <v/>
      </c>
      <c r="G2093" s="0" t="n">
        <f aca="false">IF(A2093="",0,IF(SUMPRODUCT(--($A$2:$A$5001=A2093))&gt;1,1,0))</f>
        <v>0</v>
      </c>
      <c r="H2093" s="0" t="n">
        <f aca="false">ROW()-1</f>
        <v>2092</v>
      </c>
      <c r="I2093" s="0" t="str">
        <f aca="false">IF(OR(הגדרות!$E$6=0,H2093&gt;הגדרות!$E$5),"",IF(H2093-1&lt;הגדרות!$E$8*(הגדרות!$E$7+1),INT((H2093-1)/(הגדרות!$E$7+1)),הגדרות!$E$8+INT((H2093-1-הגדרות!$E$8*(הגדרות!$E$7+1))/הגדרות!$E$7)))</f>
        <v/>
      </c>
      <c r="J2093" s="0" t="str">
        <f aca="false">IF(I2093="","",IF(H2093-1&lt;הגדרות!$E$8*(הגדרות!$E$7+1),MOD(H2093-1,הגדרות!$E$7+1),MOD(H2093-1-הגדרות!$E$8*(הגדרות!$E$7+1),הגדרות!$E$7)))</f>
        <v/>
      </c>
      <c r="K2093" s="0" t="str">
        <f aca="false">IF(I2093="","",J2093*הגדרות!$E$6+I2093+1)</f>
        <v/>
      </c>
      <c r="L2093" s="0" t="str">
        <f aca="false">IF(K2093="","",MATCH(K2093,$F$2:$F$5001,0))</f>
        <v/>
      </c>
      <c r="M2093" s="0" t="str">
        <f aca="false">IF(I2093="","",INDEX(הגדרות!$A$2:$A$21,MOD(I2093+הגדרות!$E$9,הגדרות!$E$6)+1))</f>
        <v/>
      </c>
    </row>
    <row r="2094" customFormat="false" ht="15" hidden="false" customHeight="false" outlineLevel="0" collapsed="false">
      <c r="A2094" s="0" t="str">
        <f aca="false">IF('הדבקת לידים'!A2094="","",IF(ISNUMBER('הדבקת לידים'!A2094),IF(הגדרות!$E$2&gt;0,TEXT('הדבקת לידים'!A2094,REPT("0",הגדרות!$E$2)),TEXT('הדבקת לידים'!A2094,"0")),TRIM('הדבקת לידים'!A2094)))</f>
        <v/>
      </c>
      <c r="B2094" s="0" t="str">
        <f aca="false">IF('הדבקת לידים'!B2094="","",IF(ISNUMBER('הדבקת לידים'!B2094),IF(הגדרות!$E$3&gt;0,TEXT('הדבקת לידים'!B2094,REPT("0",הגדרות!$E$3)),TEXT('הדבקת לידים'!B2094,"0")),TRIM('הדבקת לידים'!B2094)))</f>
        <v/>
      </c>
      <c r="C2094" s="0" t="n">
        <f aca="false">IF(OR(A2094&lt;&gt;"",B2094&lt;&gt;""),1,0)</f>
        <v>0</v>
      </c>
      <c r="D2094" s="0" t="str">
        <f aca="false">IF(C2094=1,MOD(ABS(SIN(ROW()*12.9898+'הדבקת לידים'!$F$2*78.233+IFERROR(--RIGHT(A2094,6),LEN(A2094))*0.0137+IFERROR(--RIGHT(B2094,6),LEN(B2094))*0.0071))*43758.5453,1),"")</f>
        <v/>
      </c>
      <c r="E2094" s="0" t="str">
        <f aca="false">IF(C2094=1,INT(MOD(ABS(SIN(D2094*7919.123+ROW()*0.618+'הדבקת לידים'!$F$2*1.3))*43758.5453,1)*1000000)*10000+ROW(),"")</f>
        <v/>
      </c>
      <c r="F2094" s="0" t="str">
        <f aca="false">IF(E2094="","",RANK(E2094,$E$2:$E$5001,1))</f>
        <v/>
      </c>
      <c r="G2094" s="0" t="n">
        <f aca="false">IF(A2094="",0,IF(SUMPRODUCT(--($A$2:$A$5001=A2094))&gt;1,1,0))</f>
        <v>0</v>
      </c>
      <c r="H2094" s="0" t="n">
        <f aca="false">ROW()-1</f>
        <v>2093</v>
      </c>
      <c r="I2094" s="0" t="str">
        <f aca="false">IF(OR(הגדרות!$E$6=0,H2094&gt;הגדרות!$E$5),"",IF(H2094-1&lt;הגדרות!$E$8*(הגדרות!$E$7+1),INT((H2094-1)/(הגדרות!$E$7+1)),הגדרות!$E$8+INT((H2094-1-הגדרות!$E$8*(הגדרות!$E$7+1))/הגדרות!$E$7)))</f>
        <v/>
      </c>
      <c r="J2094" s="0" t="str">
        <f aca="false">IF(I2094="","",IF(H2094-1&lt;הגדרות!$E$8*(הגדרות!$E$7+1),MOD(H2094-1,הגדרות!$E$7+1),MOD(H2094-1-הגדרות!$E$8*(הגדרות!$E$7+1),הגדרות!$E$7)))</f>
        <v/>
      </c>
      <c r="K2094" s="0" t="str">
        <f aca="false">IF(I2094="","",J2094*הגדרות!$E$6+I2094+1)</f>
        <v/>
      </c>
      <c r="L2094" s="0" t="str">
        <f aca="false">IF(K2094="","",MATCH(K2094,$F$2:$F$5001,0))</f>
        <v/>
      </c>
      <c r="M2094" s="0" t="str">
        <f aca="false">IF(I2094="","",INDEX(הגדרות!$A$2:$A$21,MOD(I2094+הגדרות!$E$9,הגדרות!$E$6)+1))</f>
        <v/>
      </c>
    </row>
    <row r="2095" customFormat="false" ht="15" hidden="false" customHeight="false" outlineLevel="0" collapsed="false">
      <c r="A2095" s="0" t="str">
        <f aca="false">IF('הדבקת לידים'!A2095="","",IF(ISNUMBER('הדבקת לידים'!A2095),IF(הגדרות!$E$2&gt;0,TEXT('הדבקת לידים'!A2095,REPT("0",הגדרות!$E$2)),TEXT('הדבקת לידים'!A2095,"0")),TRIM('הדבקת לידים'!A2095)))</f>
        <v/>
      </c>
      <c r="B2095" s="0" t="str">
        <f aca="false">IF('הדבקת לידים'!B2095="","",IF(ISNUMBER('הדבקת לידים'!B2095),IF(הגדרות!$E$3&gt;0,TEXT('הדבקת לידים'!B2095,REPT("0",הגדרות!$E$3)),TEXT('הדבקת לידים'!B2095,"0")),TRIM('הדבקת לידים'!B2095)))</f>
        <v/>
      </c>
      <c r="C2095" s="0" t="n">
        <f aca="false">IF(OR(A2095&lt;&gt;"",B2095&lt;&gt;""),1,0)</f>
        <v>0</v>
      </c>
      <c r="D2095" s="0" t="str">
        <f aca="false">IF(C2095=1,MOD(ABS(SIN(ROW()*12.9898+'הדבקת לידים'!$F$2*78.233+IFERROR(--RIGHT(A2095,6),LEN(A2095))*0.0137+IFERROR(--RIGHT(B2095,6),LEN(B2095))*0.0071))*43758.5453,1),"")</f>
        <v/>
      </c>
      <c r="E2095" s="0" t="str">
        <f aca="false">IF(C2095=1,INT(MOD(ABS(SIN(D2095*7919.123+ROW()*0.618+'הדבקת לידים'!$F$2*1.3))*43758.5453,1)*1000000)*10000+ROW(),"")</f>
        <v/>
      </c>
      <c r="F2095" s="0" t="str">
        <f aca="false">IF(E2095="","",RANK(E2095,$E$2:$E$5001,1))</f>
        <v/>
      </c>
      <c r="G2095" s="0" t="n">
        <f aca="false">IF(A2095="",0,IF(SUMPRODUCT(--($A$2:$A$5001=A2095))&gt;1,1,0))</f>
        <v>0</v>
      </c>
      <c r="H2095" s="0" t="n">
        <f aca="false">ROW()-1</f>
        <v>2094</v>
      </c>
      <c r="I2095" s="0" t="str">
        <f aca="false">IF(OR(הגדרות!$E$6=0,H2095&gt;הגדרות!$E$5),"",IF(H2095-1&lt;הגדרות!$E$8*(הגדרות!$E$7+1),INT((H2095-1)/(הגדרות!$E$7+1)),הגדרות!$E$8+INT((H2095-1-הגדרות!$E$8*(הגדרות!$E$7+1))/הגדרות!$E$7)))</f>
        <v/>
      </c>
      <c r="J2095" s="0" t="str">
        <f aca="false">IF(I2095="","",IF(H2095-1&lt;הגדרות!$E$8*(הגדרות!$E$7+1),MOD(H2095-1,הגדרות!$E$7+1),MOD(H2095-1-הגדרות!$E$8*(הגדרות!$E$7+1),הגדרות!$E$7)))</f>
        <v/>
      </c>
      <c r="K2095" s="0" t="str">
        <f aca="false">IF(I2095="","",J2095*הגדרות!$E$6+I2095+1)</f>
        <v/>
      </c>
      <c r="L2095" s="0" t="str">
        <f aca="false">IF(K2095="","",MATCH(K2095,$F$2:$F$5001,0))</f>
        <v/>
      </c>
      <c r="M2095" s="0" t="str">
        <f aca="false">IF(I2095="","",INDEX(הגדרות!$A$2:$A$21,MOD(I2095+הגדרות!$E$9,הגדרות!$E$6)+1))</f>
        <v/>
      </c>
    </row>
    <row r="2096" customFormat="false" ht="15" hidden="false" customHeight="false" outlineLevel="0" collapsed="false">
      <c r="A2096" s="0" t="str">
        <f aca="false">IF('הדבקת לידים'!A2096="","",IF(ISNUMBER('הדבקת לידים'!A2096),IF(הגדרות!$E$2&gt;0,TEXT('הדבקת לידים'!A2096,REPT("0",הגדרות!$E$2)),TEXT('הדבקת לידים'!A2096,"0")),TRIM('הדבקת לידים'!A2096)))</f>
        <v/>
      </c>
      <c r="B2096" s="0" t="str">
        <f aca="false">IF('הדבקת לידים'!B2096="","",IF(ISNUMBER('הדבקת לידים'!B2096),IF(הגדרות!$E$3&gt;0,TEXT('הדבקת לידים'!B2096,REPT("0",הגדרות!$E$3)),TEXT('הדבקת לידים'!B2096,"0")),TRIM('הדבקת לידים'!B2096)))</f>
        <v/>
      </c>
      <c r="C2096" s="0" t="n">
        <f aca="false">IF(OR(A2096&lt;&gt;"",B2096&lt;&gt;""),1,0)</f>
        <v>0</v>
      </c>
      <c r="D2096" s="0" t="str">
        <f aca="false">IF(C2096=1,MOD(ABS(SIN(ROW()*12.9898+'הדבקת לידים'!$F$2*78.233+IFERROR(--RIGHT(A2096,6),LEN(A2096))*0.0137+IFERROR(--RIGHT(B2096,6),LEN(B2096))*0.0071))*43758.5453,1),"")</f>
        <v/>
      </c>
      <c r="E2096" s="0" t="str">
        <f aca="false">IF(C2096=1,INT(MOD(ABS(SIN(D2096*7919.123+ROW()*0.618+'הדבקת לידים'!$F$2*1.3))*43758.5453,1)*1000000)*10000+ROW(),"")</f>
        <v/>
      </c>
      <c r="F2096" s="0" t="str">
        <f aca="false">IF(E2096="","",RANK(E2096,$E$2:$E$5001,1))</f>
        <v/>
      </c>
      <c r="G2096" s="0" t="n">
        <f aca="false">IF(A2096="",0,IF(SUMPRODUCT(--($A$2:$A$5001=A2096))&gt;1,1,0))</f>
        <v>0</v>
      </c>
      <c r="H2096" s="0" t="n">
        <f aca="false">ROW()-1</f>
        <v>2095</v>
      </c>
      <c r="I2096" s="0" t="str">
        <f aca="false">IF(OR(הגדרות!$E$6=0,H2096&gt;הגדרות!$E$5),"",IF(H2096-1&lt;הגדרות!$E$8*(הגדרות!$E$7+1),INT((H2096-1)/(הגדרות!$E$7+1)),הגדרות!$E$8+INT((H2096-1-הגדרות!$E$8*(הגדרות!$E$7+1))/הגדרות!$E$7)))</f>
        <v/>
      </c>
      <c r="J2096" s="0" t="str">
        <f aca="false">IF(I2096="","",IF(H2096-1&lt;הגדרות!$E$8*(הגדרות!$E$7+1),MOD(H2096-1,הגדרות!$E$7+1),MOD(H2096-1-הגדרות!$E$8*(הגדרות!$E$7+1),הגדרות!$E$7)))</f>
        <v/>
      </c>
      <c r="K2096" s="0" t="str">
        <f aca="false">IF(I2096="","",J2096*הגדרות!$E$6+I2096+1)</f>
        <v/>
      </c>
      <c r="L2096" s="0" t="str">
        <f aca="false">IF(K2096="","",MATCH(K2096,$F$2:$F$5001,0))</f>
        <v/>
      </c>
      <c r="M2096" s="0" t="str">
        <f aca="false">IF(I2096="","",INDEX(הגדרות!$A$2:$A$21,MOD(I2096+הגדרות!$E$9,הגדרות!$E$6)+1))</f>
        <v/>
      </c>
    </row>
    <row r="2097" customFormat="false" ht="15" hidden="false" customHeight="false" outlineLevel="0" collapsed="false">
      <c r="A2097" s="0" t="str">
        <f aca="false">IF('הדבקת לידים'!A2097="","",IF(ISNUMBER('הדבקת לידים'!A2097),IF(הגדרות!$E$2&gt;0,TEXT('הדבקת לידים'!A2097,REPT("0",הגדרות!$E$2)),TEXT('הדבקת לידים'!A2097,"0")),TRIM('הדבקת לידים'!A2097)))</f>
        <v/>
      </c>
      <c r="B2097" s="0" t="str">
        <f aca="false">IF('הדבקת לידים'!B2097="","",IF(ISNUMBER('הדבקת לידים'!B2097),IF(הגדרות!$E$3&gt;0,TEXT('הדבקת לידים'!B2097,REPT("0",הגדרות!$E$3)),TEXT('הדבקת לידים'!B2097,"0")),TRIM('הדבקת לידים'!B2097)))</f>
        <v/>
      </c>
      <c r="C2097" s="0" t="n">
        <f aca="false">IF(OR(A2097&lt;&gt;"",B2097&lt;&gt;""),1,0)</f>
        <v>0</v>
      </c>
      <c r="D2097" s="0" t="str">
        <f aca="false">IF(C2097=1,MOD(ABS(SIN(ROW()*12.9898+'הדבקת לידים'!$F$2*78.233+IFERROR(--RIGHT(A2097,6),LEN(A2097))*0.0137+IFERROR(--RIGHT(B2097,6),LEN(B2097))*0.0071))*43758.5453,1),"")</f>
        <v/>
      </c>
      <c r="E2097" s="0" t="str">
        <f aca="false">IF(C2097=1,INT(MOD(ABS(SIN(D2097*7919.123+ROW()*0.618+'הדבקת לידים'!$F$2*1.3))*43758.5453,1)*1000000)*10000+ROW(),"")</f>
        <v/>
      </c>
      <c r="F2097" s="0" t="str">
        <f aca="false">IF(E2097="","",RANK(E2097,$E$2:$E$5001,1))</f>
        <v/>
      </c>
      <c r="G2097" s="0" t="n">
        <f aca="false">IF(A2097="",0,IF(SUMPRODUCT(--($A$2:$A$5001=A2097))&gt;1,1,0))</f>
        <v>0</v>
      </c>
      <c r="H2097" s="0" t="n">
        <f aca="false">ROW()-1</f>
        <v>2096</v>
      </c>
      <c r="I2097" s="0" t="str">
        <f aca="false">IF(OR(הגדרות!$E$6=0,H2097&gt;הגדרות!$E$5),"",IF(H2097-1&lt;הגדרות!$E$8*(הגדרות!$E$7+1),INT((H2097-1)/(הגדרות!$E$7+1)),הגדרות!$E$8+INT((H2097-1-הגדרות!$E$8*(הגדרות!$E$7+1))/הגדרות!$E$7)))</f>
        <v/>
      </c>
      <c r="J2097" s="0" t="str">
        <f aca="false">IF(I2097="","",IF(H2097-1&lt;הגדרות!$E$8*(הגדרות!$E$7+1),MOD(H2097-1,הגדרות!$E$7+1),MOD(H2097-1-הגדרות!$E$8*(הגדרות!$E$7+1),הגדרות!$E$7)))</f>
        <v/>
      </c>
      <c r="K2097" s="0" t="str">
        <f aca="false">IF(I2097="","",J2097*הגדרות!$E$6+I2097+1)</f>
        <v/>
      </c>
      <c r="L2097" s="0" t="str">
        <f aca="false">IF(K2097="","",MATCH(K2097,$F$2:$F$5001,0))</f>
        <v/>
      </c>
      <c r="M2097" s="0" t="str">
        <f aca="false">IF(I2097="","",INDEX(הגדרות!$A$2:$A$21,MOD(I2097+הגדרות!$E$9,הגדרות!$E$6)+1))</f>
        <v/>
      </c>
    </row>
    <row r="2098" customFormat="false" ht="15" hidden="false" customHeight="false" outlineLevel="0" collapsed="false">
      <c r="A2098" s="0" t="str">
        <f aca="false">IF('הדבקת לידים'!A2098="","",IF(ISNUMBER('הדבקת לידים'!A2098),IF(הגדרות!$E$2&gt;0,TEXT('הדבקת לידים'!A2098,REPT("0",הגדרות!$E$2)),TEXT('הדבקת לידים'!A2098,"0")),TRIM('הדבקת לידים'!A2098)))</f>
        <v/>
      </c>
      <c r="B2098" s="0" t="str">
        <f aca="false">IF('הדבקת לידים'!B2098="","",IF(ISNUMBER('הדבקת לידים'!B2098),IF(הגדרות!$E$3&gt;0,TEXT('הדבקת לידים'!B2098,REPT("0",הגדרות!$E$3)),TEXT('הדבקת לידים'!B2098,"0")),TRIM('הדבקת לידים'!B2098)))</f>
        <v/>
      </c>
      <c r="C2098" s="0" t="n">
        <f aca="false">IF(OR(A2098&lt;&gt;"",B2098&lt;&gt;""),1,0)</f>
        <v>0</v>
      </c>
      <c r="D2098" s="0" t="str">
        <f aca="false">IF(C2098=1,MOD(ABS(SIN(ROW()*12.9898+'הדבקת לידים'!$F$2*78.233+IFERROR(--RIGHT(A2098,6),LEN(A2098))*0.0137+IFERROR(--RIGHT(B2098,6),LEN(B2098))*0.0071))*43758.5453,1),"")</f>
        <v/>
      </c>
      <c r="E2098" s="0" t="str">
        <f aca="false">IF(C2098=1,INT(MOD(ABS(SIN(D2098*7919.123+ROW()*0.618+'הדבקת לידים'!$F$2*1.3))*43758.5453,1)*1000000)*10000+ROW(),"")</f>
        <v/>
      </c>
      <c r="F2098" s="0" t="str">
        <f aca="false">IF(E2098="","",RANK(E2098,$E$2:$E$5001,1))</f>
        <v/>
      </c>
      <c r="G2098" s="0" t="n">
        <f aca="false">IF(A2098="",0,IF(SUMPRODUCT(--($A$2:$A$5001=A2098))&gt;1,1,0))</f>
        <v>0</v>
      </c>
      <c r="H2098" s="0" t="n">
        <f aca="false">ROW()-1</f>
        <v>2097</v>
      </c>
      <c r="I2098" s="0" t="str">
        <f aca="false">IF(OR(הגדרות!$E$6=0,H2098&gt;הגדרות!$E$5),"",IF(H2098-1&lt;הגדרות!$E$8*(הגדרות!$E$7+1),INT((H2098-1)/(הגדרות!$E$7+1)),הגדרות!$E$8+INT((H2098-1-הגדרות!$E$8*(הגדרות!$E$7+1))/הגדרות!$E$7)))</f>
        <v/>
      </c>
      <c r="J2098" s="0" t="str">
        <f aca="false">IF(I2098="","",IF(H2098-1&lt;הגדרות!$E$8*(הגדרות!$E$7+1),MOD(H2098-1,הגדרות!$E$7+1),MOD(H2098-1-הגדרות!$E$8*(הגדרות!$E$7+1),הגדרות!$E$7)))</f>
        <v/>
      </c>
      <c r="K2098" s="0" t="str">
        <f aca="false">IF(I2098="","",J2098*הגדרות!$E$6+I2098+1)</f>
        <v/>
      </c>
      <c r="L2098" s="0" t="str">
        <f aca="false">IF(K2098="","",MATCH(K2098,$F$2:$F$5001,0))</f>
        <v/>
      </c>
      <c r="M2098" s="0" t="str">
        <f aca="false">IF(I2098="","",INDEX(הגדרות!$A$2:$A$21,MOD(I2098+הגדרות!$E$9,הגדרות!$E$6)+1))</f>
        <v/>
      </c>
    </row>
    <row r="2099" customFormat="false" ht="15" hidden="false" customHeight="false" outlineLevel="0" collapsed="false">
      <c r="A2099" s="0" t="str">
        <f aca="false">IF('הדבקת לידים'!A2099="","",IF(ISNUMBER('הדבקת לידים'!A2099),IF(הגדרות!$E$2&gt;0,TEXT('הדבקת לידים'!A2099,REPT("0",הגדרות!$E$2)),TEXT('הדבקת לידים'!A2099,"0")),TRIM('הדבקת לידים'!A2099)))</f>
        <v/>
      </c>
      <c r="B2099" s="0" t="str">
        <f aca="false">IF('הדבקת לידים'!B2099="","",IF(ISNUMBER('הדבקת לידים'!B2099),IF(הגדרות!$E$3&gt;0,TEXT('הדבקת לידים'!B2099,REPT("0",הגדרות!$E$3)),TEXT('הדבקת לידים'!B2099,"0")),TRIM('הדבקת לידים'!B2099)))</f>
        <v/>
      </c>
      <c r="C2099" s="0" t="n">
        <f aca="false">IF(OR(A2099&lt;&gt;"",B2099&lt;&gt;""),1,0)</f>
        <v>0</v>
      </c>
      <c r="D2099" s="0" t="str">
        <f aca="false">IF(C2099=1,MOD(ABS(SIN(ROW()*12.9898+'הדבקת לידים'!$F$2*78.233+IFERROR(--RIGHT(A2099,6),LEN(A2099))*0.0137+IFERROR(--RIGHT(B2099,6),LEN(B2099))*0.0071))*43758.5453,1),"")</f>
        <v/>
      </c>
      <c r="E2099" s="0" t="str">
        <f aca="false">IF(C2099=1,INT(MOD(ABS(SIN(D2099*7919.123+ROW()*0.618+'הדבקת לידים'!$F$2*1.3))*43758.5453,1)*1000000)*10000+ROW(),"")</f>
        <v/>
      </c>
      <c r="F2099" s="0" t="str">
        <f aca="false">IF(E2099="","",RANK(E2099,$E$2:$E$5001,1))</f>
        <v/>
      </c>
      <c r="G2099" s="0" t="n">
        <f aca="false">IF(A2099="",0,IF(SUMPRODUCT(--($A$2:$A$5001=A2099))&gt;1,1,0))</f>
        <v>0</v>
      </c>
      <c r="H2099" s="0" t="n">
        <f aca="false">ROW()-1</f>
        <v>2098</v>
      </c>
      <c r="I2099" s="0" t="str">
        <f aca="false">IF(OR(הגדרות!$E$6=0,H2099&gt;הגדרות!$E$5),"",IF(H2099-1&lt;הגדרות!$E$8*(הגדרות!$E$7+1),INT((H2099-1)/(הגדרות!$E$7+1)),הגדרות!$E$8+INT((H2099-1-הגדרות!$E$8*(הגדרות!$E$7+1))/הגדרות!$E$7)))</f>
        <v/>
      </c>
      <c r="J2099" s="0" t="str">
        <f aca="false">IF(I2099="","",IF(H2099-1&lt;הגדרות!$E$8*(הגדרות!$E$7+1),MOD(H2099-1,הגדרות!$E$7+1),MOD(H2099-1-הגדרות!$E$8*(הגדרות!$E$7+1),הגדרות!$E$7)))</f>
        <v/>
      </c>
      <c r="K2099" s="0" t="str">
        <f aca="false">IF(I2099="","",J2099*הגדרות!$E$6+I2099+1)</f>
        <v/>
      </c>
      <c r="L2099" s="0" t="str">
        <f aca="false">IF(K2099="","",MATCH(K2099,$F$2:$F$5001,0))</f>
        <v/>
      </c>
      <c r="M2099" s="0" t="str">
        <f aca="false">IF(I2099="","",INDEX(הגדרות!$A$2:$A$21,MOD(I2099+הגדרות!$E$9,הגדרות!$E$6)+1))</f>
        <v/>
      </c>
    </row>
    <row r="2100" customFormat="false" ht="15" hidden="false" customHeight="false" outlineLevel="0" collapsed="false">
      <c r="A2100" s="0" t="str">
        <f aca="false">IF('הדבקת לידים'!A2100="","",IF(ISNUMBER('הדבקת לידים'!A2100),IF(הגדרות!$E$2&gt;0,TEXT('הדבקת לידים'!A2100,REPT("0",הגדרות!$E$2)),TEXT('הדבקת לידים'!A2100,"0")),TRIM('הדבקת לידים'!A2100)))</f>
        <v/>
      </c>
      <c r="B2100" s="0" t="str">
        <f aca="false">IF('הדבקת לידים'!B2100="","",IF(ISNUMBER('הדבקת לידים'!B2100),IF(הגדרות!$E$3&gt;0,TEXT('הדבקת לידים'!B2100,REPT("0",הגדרות!$E$3)),TEXT('הדבקת לידים'!B2100,"0")),TRIM('הדבקת לידים'!B2100)))</f>
        <v/>
      </c>
      <c r="C2100" s="0" t="n">
        <f aca="false">IF(OR(A2100&lt;&gt;"",B2100&lt;&gt;""),1,0)</f>
        <v>0</v>
      </c>
      <c r="D2100" s="0" t="str">
        <f aca="false">IF(C2100=1,MOD(ABS(SIN(ROW()*12.9898+'הדבקת לידים'!$F$2*78.233+IFERROR(--RIGHT(A2100,6),LEN(A2100))*0.0137+IFERROR(--RIGHT(B2100,6),LEN(B2100))*0.0071))*43758.5453,1),"")</f>
        <v/>
      </c>
      <c r="E2100" s="0" t="str">
        <f aca="false">IF(C2100=1,INT(MOD(ABS(SIN(D2100*7919.123+ROW()*0.618+'הדבקת לידים'!$F$2*1.3))*43758.5453,1)*1000000)*10000+ROW(),"")</f>
        <v/>
      </c>
      <c r="F2100" s="0" t="str">
        <f aca="false">IF(E2100="","",RANK(E2100,$E$2:$E$5001,1))</f>
        <v/>
      </c>
      <c r="G2100" s="0" t="n">
        <f aca="false">IF(A2100="",0,IF(SUMPRODUCT(--($A$2:$A$5001=A2100))&gt;1,1,0))</f>
        <v>0</v>
      </c>
      <c r="H2100" s="0" t="n">
        <f aca="false">ROW()-1</f>
        <v>2099</v>
      </c>
      <c r="I2100" s="0" t="str">
        <f aca="false">IF(OR(הגדרות!$E$6=0,H2100&gt;הגדרות!$E$5),"",IF(H2100-1&lt;הגדרות!$E$8*(הגדרות!$E$7+1),INT((H2100-1)/(הגדרות!$E$7+1)),הגדרות!$E$8+INT((H2100-1-הגדרות!$E$8*(הגדרות!$E$7+1))/הגדרות!$E$7)))</f>
        <v/>
      </c>
      <c r="J2100" s="0" t="str">
        <f aca="false">IF(I2100="","",IF(H2100-1&lt;הגדרות!$E$8*(הגדרות!$E$7+1),MOD(H2100-1,הגדרות!$E$7+1),MOD(H2100-1-הגדרות!$E$8*(הגדרות!$E$7+1),הגדרות!$E$7)))</f>
        <v/>
      </c>
      <c r="K2100" s="0" t="str">
        <f aca="false">IF(I2100="","",J2100*הגדרות!$E$6+I2100+1)</f>
        <v/>
      </c>
      <c r="L2100" s="0" t="str">
        <f aca="false">IF(K2100="","",MATCH(K2100,$F$2:$F$5001,0))</f>
        <v/>
      </c>
      <c r="M2100" s="0" t="str">
        <f aca="false">IF(I2100="","",INDEX(הגדרות!$A$2:$A$21,MOD(I2100+הגדרות!$E$9,הגדרות!$E$6)+1))</f>
        <v/>
      </c>
    </row>
    <row r="2101" customFormat="false" ht="15" hidden="false" customHeight="false" outlineLevel="0" collapsed="false">
      <c r="A2101" s="0" t="str">
        <f aca="false">IF('הדבקת לידים'!A2101="","",IF(ISNUMBER('הדבקת לידים'!A2101),IF(הגדרות!$E$2&gt;0,TEXT('הדבקת לידים'!A2101,REPT("0",הגדרות!$E$2)),TEXT('הדבקת לידים'!A2101,"0")),TRIM('הדבקת לידים'!A2101)))</f>
        <v/>
      </c>
      <c r="B2101" s="0" t="str">
        <f aca="false">IF('הדבקת לידים'!B2101="","",IF(ISNUMBER('הדבקת לידים'!B2101),IF(הגדרות!$E$3&gt;0,TEXT('הדבקת לידים'!B2101,REPT("0",הגדרות!$E$3)),TEXT('הדבקת לידים'!B2101,"0")),TRIM('הדבקת לידים'!B2101)))</f>
        <v/>
      </c>
      <c r="C2101" s="0" t="n">
        <f aca="false">IF(OR(A2101&lt;&gt;"",B2101&lt;&gt;""),1,0)</f>
        <v>0</v>
      </c>
      <c r="D2101" s="0" t="str">
        <f aca="false">IF(C2101=1,MOD(ABS(SIN(ROW()*12.9898+'הדבקת לידים'!$F$2*78.233+IFERROR(--RIGHT(A2101,6),LEN(A2101))*0.0137+IFERROR(--RIGHT(B2101,6),LEN(B2101))*0.0071))*43758.5453,1),"")</f>
        <v/>
      </c>
      <c r="E2101" s="0" t="str">
        <f aca="false">IF(C2101=1,INT(MOD(ABS(SIN(D2101*7919.123+ROW()*0.618+'הדבקת לידים'!$F$2*1.3))*43758.5453,1)*1000000)*10000+ROW(),"")</f>
        <v/>
      </c>
      <c r="F2101" s="0" t="str">
        <f aca="false">IF(E2101="","",RANK(E2101,$E$2:$E$5001,1))</f>
        <v/>
      </c>
      <c r="G2101" s="0" t="n">
        <f aca="false">IF(A2101="",0,IF(SUMPRODUCT(--($A$2:$A$5001=A2101))&gt;1,1,0))</f>
        <v>0</v>
      </c>
      <c r="H2101" s="0" t="n">
        <f aca="false">ROW()-1</f>
        <v>2100</v>
      </c>
      <c r="I2101" s="0" t="str">
        <f aca="false">IF(OR(הגדרות!$E$6=0,H2101&gt;הגדרות!$E$5),"",IF(H2101-1&lt;הגדרות!$E$8*(הגדרות!$E$7+1),INT((H2101-1)/(הגדרות!$E$7+1)),הגדרות!$E$8+INT((H2101-1-הגדרות!$E$8*(הגדרות!$E$7+1))/הגדרות!$E$7)))</f>
        <v/>
      </c>
      <c r="J2101" s="0" t="str">
        <f aca="false">IF(I2101="","",IF(H2101-1&lt;הגדרות!$E$8*(הגדרות!$E$7+1),MOD(H2101-1,הגדרות!$E$7+1),MOD(H2101-1-הגדרות!$E$8*(הגדרות!$E$7+1),הגדרות!$E$7)))</f>
        <v/>
      </c>
      <c r="K2101" s="0" t="str">
        <f aca="false">IF(I2101="","",J2101*הגדרות!$E$6+I2101+1)</f>
        <v/>
      </c>
      <c r="L2101" s="0" t="str">
        <f aca="false">IF(K2101="","",MATCH(K2101,$F$2:$F$5001,0))</f>
        <v/>
      </c>
      <c r="M2101" s="0" t="str">
        <f aca="false">IF(I2101="","",INDEX(הגדרות!$A$2:$A$21,MOD(I2101+הגדרות!$E$9,הגדרות!$E$6)+1))</f>
        <v/>
      </c>
    </row>
    <row r="2102" customFormat="false" ht="15" hidden="false" customHeight="false" outlineLevel="0" collapsed="false">
      <c r="A2102" s="0" t="str">
        <f aca="false">IF('הדבקת לידים'!A2102="","",IF(ISNUMBER('הדבקת לידים'!A2102),IF(הגדרות!$E$2&gt;0,TEXT('הדבקת לידים'!A2102,REPT("0",הגדרות!$E$2)),TEXT('הדבקת לידים'!A2102,"0")),TRIM('הדבקת לידים'!A2102)))</f>
        <v/>
      </c>
      <c r="B2102" s="0" t="str">
        <f aca="false">IF('הדבקת לידים'!B2102="","",IF(ISNUMBER('הדבקת לידים'!B2102),IF(הגדרות!$E$3&gt;0,TEXT('הדבקת לידים'!B2102,REPT("0",הגדרות!$E$3)),TEXT('הדבקת לידים'!B2102,"0")),TRIM('הדבקת לידים'!B2102)))</f>
        <v/>
      </c>
      <c r="C2102" s="0" t="n">
        <f aca="false">IF(OR(A2102&lt;&gt;"",B2102&lt;&gt;""),1,0)</f>
        <v>0</v>
      </c>
      <c r="D2102" s="0" t="str">
        <f aca="false">IF(C2102=1,MOD(ABS(SIN(ROW()*12.9898+'הדבקת לידים'!$F$2*78.233+IFERROR(--RIGHT(A2102,6),LEN(A2102))*0.0137+IFERROR(--RIGHT(B2102,6),LEN(B2102))*0.0071))*43758.5453,1),"")</f>
        <v/>
      </c>
      <c r="E2102" s="0" t="str">
        <f aca="false">IF(C2102=1,INT(MOD(ABS(SIN(D2102*7919.123+ROW()*0.618+'הדבקת לידים'!$F$2*1.3))*43758.5453,1)*1000000)*10000+ROW(),"")</f>
        <v/>
      </c>
      <c r="F2102" s="0" t="str">
        <f aca="false">IF(E2102="","",RANK(E2102,$E$2:$E$5001,1))</f>
        <v/>
      </c>
      <c r="G2102" s="0" t="n">
        <f aca="false">IF(A2102="",0,IF(SUMPRODUCT(--($A$2:$A$5001=A2102))&gt;1,1,0))</f>
        <v>0</v>
      </c>
      <c r="H2102" s="0" t="n">
        <f aca="false">ROW()-1</f>
        <v>2101</v>
      </c>
      <c r="I2102" s="0" t="str">
        <f aca="false">IF(OR(הגדרות!$E$6=0,H2102&gt;הגדרות!$E$5),"",IF(H2102-1&lt;הגדרות!$E$8*(הגדרות!$E$7+1),INT((H2102-1)/(הגדרות!$E$7+1)),הגדרות!$E$8+INT((H2102-1-הגדרות!$E$8*(הגדרות!$E$7+1))/הגדרות!$E$7)))</f>
        <v/>
      </c>
      <c r="J2102" s="0" t="str">
        <f aca="false">IF(I2102="","",IF(H2102-1&lt;הגדרות!$E$8*(הגדרות!$E$7+1),MOD(H2102-1,הגדרות!$E$7+1),MOD(H2102-1-הגדרות!$E$8*(הגדרות!$E$7+1),הגדרות!$E$7)))</f>
        <v/>
      </c>
      <c r="K2102" s="0" t="str">
        <f aca="false">IF(I2102="","",J2102*הגדרות!$E$6+I2102+1)</f>
        <v/>
      </c>
      <c r="L2102" s="0" t="str">
        <f aca="false">IF(K2102="","",MATCH(K2102,$F$2:$F$5001,0))</f>
        <v/>
      </c>
      <c r="M2102" s="0" t="str">
        <f aca="false">IF(I2102="","",INDEX(הגדרות!$A$2:$A$21,MOD(I2102+הגדרות!$E$9,הגדרות!$E$6)+1))</f>
        <v/>
      </c>
    </row>
    <row r="2103" customFormat="false" ht="15" hidden="false" customHeight="false" outlineLevel="0" collapsed="false">
      <c r="A2103" s="0" t="str">
        <f aca="false">IF('הדבקת לידים'!A2103="","",IF(ISNUMBER('הדבקת לידים'!A2103),IF(הגדרות!$E$2&gt;0,TEXT('הדבקת לידים'!A2103,REPT("0",הגדרות!$E$2)),TEXT('הדבקת לידים'!A2103,"0")),TRIM('הדבקת לידים'!A2103)))</f>
        <v/>
      </c>
      <c r="B2103" s="0" t="str">
        <f aca="false">IF('הדבקת לידים'!B2103="","",IF(ISNUMBER('הדבקת לידים'!B2103),IF(הגדרות!$E$3&gt;0,TEXT('הדבקת לידים'!B2103,REPT("0",הגדרות!$E$3)),TEXT('הדבקת לידים'!B2103,"0")),TRIM('הדבקת לידים'!B2103)))</f>
        <v/>
      </c>
      <c r="C2103" s="0" t="n">
        <f aca="false">IF(OR(A2103&lt;&gt;"",B2103&lt;&gt;""),1,0)</f>
        <v>0</v>
      </c>
      <c r="D2103" s="0" t="str">
        <f aca="false">IF(C2103=1,MOD(ABS(SIN(ROW()*12.9898+'הדבקת לידים'!$F$2*78.233+IFERROR(--RIGHT(A2103,6),LEN(A2103))*0.0137+IFERROR(--RIGHT(B2103,6),LEN(B2103))*0.0071))*43758.5453,1),"")</f>
        <v/>
      </c>
      <c r="E2103" s="0" t="str">
        <f aca="false">IF(C2103=1,INT(MOD(ABS(SIN(D2103*7919.123+ROW()*0.618+'הדבקת לידים'!$F$2*1.3))*43758.5453,1)*1000000)*10000+ROW(),"")</f>
        <v/>
      </c>
      <c r="F2103" s="0" t="str">
        <f aca="false">IF(E2103="","",RANK(E2103,$E$2:$E$5001,1))</f>
        <v/>
      </c>
      <c r="G2103" s="0" t="n">
        <f aca="false">IF(A2103="",0,IF(SUMPRODUCT(--($A$2:$A$5001=A2103))&gt;1,1,0))</f>
        <v>0</v>
      </c>
      <c r="H2103" s="0" t="n">
        <f aca="false">ROW()-1</f>
        <v>2102</v>
      </c>
      <c r="I2103" s="0" t="str">
        <f aca="false">IF(OR(הגדרות!$E$6=0,H2103&gt;הגדרות!$E$5),"",IF(H2103-1&lt;הגדרות!$E$8*(הגדרות!$E$7+1),INT((H2103-1)/(הגדרות!$E$7+1)),הגדרות!$E$8+INT((H2103-1-הגדרות!$E$8*(הגדרות!$E$7+1))/הגדרות!$E$7)))</f>
        <v/>
      </c>
      <c r="J2103" s="0" t="str">
        <f aca="false">IF(I2103="","",IF(H2103-1&lt;הגדרות!$E$8*(הגדרות!$E$7+1),MOD(H2103-1,הגדרות!$E$7+1),MOD(H2103-1-הגדרות!$E$8*(הגדרות!$E$7+1),הגדרות!$E$7)))</f>
        <v/>
      </c>
      <c r="K2103" s="0" t="str">
        <f aca="false">IF(I2103="","",J2103*הגדרות!$E$6+I2103+1)</f>
        <v/>
      </c>
      <c r="L2103" s="0" t="str">
        <f aca="false">IF(K2103="","",MATCH(K2103,$F$2:$F$5001,0))</f>
        <v/>
      </c>
      <c r="M2103" s="0" t="str">
        <f aca="false">IF(I2103="","",INDEX(הגדרות!$A$2:$A$21,MOD(I2103+הגדרות!$E$9,הגדרות!$E$6)+1))</f>
        <v/>
      </c>
    </row>
    <row r="2104" customFormat="false" ht="15" hidden="false" customHeight="false" outlineLevel="0" collapsed="false">
      <c r="A2104" s="0" t="str">
        <f aca="false">IF('הדבקת לידים'!A2104="","",IF(ISNUMBER('הדבקת לידים'!A2104),IF(הגדרות!$E$2&gt;0,TEXT('הדבקת לידים'!A2104,REPT("0",הגדרות!$E$2)),TEXT('הדבקת לידים'!A2104,"0")),TRIM('הדבקת לידים'!A2104)))</f>
        <v/>
      </c>
      <c r="B2104" s="0" t="str">
        <f aca="false">IF('הדבקת לידים'!B2104="","",IF(ISNUMBER('הדבקת לידים'!B2104),IF(הגדרות!$E$3&gt;0,TEXT('הדבקת לידים'!B2104,REPT("0",הגדרות!$E$3)),TEXT('הדבקת לידים'!B2104,"0")),TRIM('הדבקת לידים'!B2104)))</f>
        <v/>
      </c>
      <c r="C2104" s="0" t="n">
        <f aca="false">IF(OR(A2104&lt;&gt;"",B2104&lt;&gt;""),1,0)</f>
        <v>0</v>
      </c>
      <c r="D2104" s="0" t="str">
        <f aca="false">IF(C2104=1,MOD(ABS(SIN(ROW()*12.9898+'הדבקת לידים'!$F$2*78.233+IFERROR(--RIGHT(A2104,6),LEN(A2104))*0.0137+IFERROR(--RIGHT(B2104,6),LEN(B2104))*0.0071))*43758.5453,1),"")</f>
        <v/>
      </c>
      <c r="E2104" s="0" t="str">
        <f aca="false">IF(C2104=1,INT(MOD(ABS(SIN(D2104*7919.123+ROW()*0.618+'הדבקת לידים'!$F$2*1.3))*43758.5453,1)*1000000)*10000+ROW(),"")</f>
        <v/>
      </c>
      <c r="F2104" s="0" t="str">
        <f aca="false">IF(E2104="","",RANK(E2104,$E$2:$E$5001,1))</f>
        <v/>
      </c>
      <c r="G2104" s="0" t="n">
        <f aca="false">IF(A2104="",0,IF(SUMPRODUCT(--($A$2:$A$5001=A2104))&gt;1,1,0))</f>
        <v>0</v>
      </c>
      <c r="H2104" s="0" t="n">
        <f aca="false">ROW()-1</f>
        <v>2103</v>
      </c>
      <c r="I2104" s="0" t="str">
        <f aca="false">IF(OR(הגדרות!$E$6=0,H2104&gt;הגדרות!$E$5),"",IF(H2104-1&lt;הגדרות!$E$8*(הגדרות!$E$7+1),INT((H2104-1)/(הגדרות!$E$7+1)),הגדרות!$E$8+INT((H2104-1-הגדרות!$E$8*(הגדרות!$E$7+1))/הגדרות!$E$7)))</f>
        <v/>
      </c>
      <c r="J2104" s="0" t="str">
        <f aca="false">IF(I2104="","",IF(H2104-1&lt;הגדרות!$E$8*(הגדרות!$E$7+1),MOD(H2104-1,הגדרות!$E$7+1),MOD(H2104-1-הגדרות!$E$8*(הגדרות!$E$7+1),הגדרות!$E$7)))</f>
        <v/>
      </c>
      <c r="K2104" s="0" t="str">
        <f aca="false">IF(I2104="","",J2104*הגדרות!$E$6+I2104+1)</f>
        <v/>
      </c>
      <c r="L2104" s="0" t="str">
        <f aca="false">IF(K2104="","",MATCH(K2104,$F$2:$F$5001,0))</f>
        <v/>
      </c>
      <c r="M2104" s="0" t="str">
        <f aca="false">IF(I2104="","",INDEX(הגדרות!$A$2:$A$21,MOD(I2104+הגדרות!$E$9,הגדרות!$E$6)+1))</f>
        <v/>
      </c>
    </row>
    <row r="2105" customFormat="false" ht="15" hidden="false" customHeight="false" outlineLevel="0" collapsed="false">
      <c r="A2105" s="0" t="str">
        <f aca="false">IF('הדבקת לידים'!A2105="","",IF(ISNUMBER('הדבקת לידים'!A2105),IF(הגדרות!$E$2&gt;0,TEXT('הדבקת לידים'!A2105,REPT("0",הגדרות!$E$2)),TEXT('הדבקת לידים'!A2105,"0")),TRIM('הדבקת לידים'!A2105)))</f>
        <v/>
      </c>
      <c r="B2105" s="0" t="str">
        <f aca="false">IF('הדבקת לידים'!B2105="","",IF(ISNUMBER('הדבקת לידים'!B2105),IF(הגדרות!$E$3&gt;0,TEXT('הדבקת לידים'!B2105,REPT("0",הגדרות!$E$3)),TEXT('הדבקת לידים'!B2105,"0")),TRIM('הדבקת לידים'!B2105)))</f>
        <v/>
      </c>
      <c r="C2105" s="0" t="n">
        <f aca="false">IF(OR(A2105&lt;&gt;"",B2105&lt;&gt;""),1,0)</f>
        <v>0</v>
      </c>
      <c r="D2105" s="0" t="str">
        <f aca="false">IF(C2105=1,MOD(ABS(SIN(ROW()*12.9898+'הדבקת לידים'!$F$2*78.233+IFERROR(--RIGHT(A2105,6),LEN(A2105))*0.0137+IFERROR(--RIGHT(B2105,6),LEN(B2105))*0.0071))*43758.5453,1),"")</f>
        <v/>
      </c>
      <c r="E2105" s="0" t="str">
        <f aca="false">IF(C2105=1,INT(MOD(ABS(SIN(D2105*7919.123+ROW()*0.618+'הדבקת לידים'!$F$2*1.3))*43758.5453,1)*1000000)*10000+ROW(),"")</f>
        <v/>
      </c>
      <c r="F2105" s="0" t="str">
        <f aca="false">IF(E2105="","",RANK(E2105,$E$2:$E$5001,1))</f>
        <v/>
      </c>
      <c r="G2105" s="0" t="n">
        <f aca="false">IF(A2105="",0,IF(SUMPRODUCT(--($A$2:$A$5001=A2105))&gt;1,1,0))</f>
        <v>0</v>
      </c>
      <c r="H2105" s="0" t="n">
        <f aca="false">ROW()-1</f>
        <v>2104</v>
      </c>
      <c r="I2105" s="0" t="str">
        <f aca="false">IF(OR(הגדרות!$E$6=0,H2105&gt;הגדרות!$E$5),"",IF(H2105-1&lt;הגדרות!$E$8*(הגדרות!$E$7+1),INT((H2105-1)/(הגדרות!$E$7+1)),הגדרות!$E$8+INT((H2105-1-הגדרות!$E$8*(הגדרות!$E$7+1))/הגדרות!$E$7)))</f>
        <v/>
      </c>
      <c r="J2105" s="0" t="str">
        <f aca="false">IF(I2105="","",IF(H2105-1&lt;הגדרות!$E$8*(הגדרות!$E$7+1),MOD(H2105-1,הגדרות!$E$7+1),MOD(H2105-1-הגדרות!$E$8*(הגדרות!$E$7+1),הגדרות!$E$7)))</f>
        <v/>
      </c>
      <c r="K2105" s="0" t="str">
        <f aca="false">IF(I2105="","",J2105*הגדרות!$E$6+I2105+1)</f>
        <v/>
      </c>
      <c r="L2105" s="0" t="str">
        <f aca="false">IF(K2105="","",MATCH(K2105,$F$2:$F$5001,0))</f>
        <v/>
      </c>
      <c r="M2105" s="0" t="str">
        <f aca="false">IF(I2105="","",INDEX(הגדרות!$A$2:$A$21,MOD(I2105+הגדרות!$E$9,הגדרות!$E$6)+1))</f>
        <v/>
      </c>
    </row>
    <row r="2106" customFormat="false" ht="15" hidden="false" customHeight="false" outlineLevel="0" collapsed="false">
      <c r="A2106" s="0" t="str">
        <f aca="false">IF('הדבקת לידים'!A2106="","",IF(ISNUMBER('הדבקת לידים'!A2106),IF(הגדרות!$E$2&gt;0,TEXT('הדבקת לידים'!A2106,REPT("0",הגדרות!$E$2)),TEXT('הדבקת לידים'!A2106,"0")),TRIM('הדבקת לידים'!A2106)))</f>
        <v/>
      </c>
      <c r="B2106" s="0" t="str">
        <f aca="false">IF('הדבקת לידים'!B2106="","",IF(ISNUMBER('הדבקת לידים'!B2106),IF(הגדרות!$E$3&gt;0,TEXT('הדבקת לידים'!B2106,REPT("0",הגדרות!$E$3)),TEXT('הדבקת לידים'!B2106,"0")),TRIM('הדבקת לידים'!B2106)))</f>
        <v/>
      </c>
      <c r="C2106" s="0" t="n">
        <f aca="false">IF(OR(A2106&lt;&gt;"",B2106&lt;&gt;""),1,0)</f>
        <v>0</v>
      </c>
      <c r="D2106" s="0" t="str">
        <f aca="false">IF(C2106=1,MOD(ABS(SIN(ROW()*12.9898+'הדבקת לידים'!$F$2*78.233+IFERROR(--RIGHT(A2106,6),LEN(A2106))*0.0137+IFERROR(--RIGHT(B2106,6),LEN(B2106))*0.0071))*43758.5453,1),"")</f>
        <v/>
      </c>
      <c r="E2106" s="0" t="str">
        <f aca="false">IF(C2106=1,INT(MOD(ABS(SIN(D2106*7919.123+ROW()*0.618+'הדבקת לידים'!$F$2*1.3))*43758.5453,1)*1000000)*10000+ROW(),"")</f>
        <v/>
      </c>
      <c r="F2106" s="0" t="str">
        <f aca="false">IF(E2106="","",RANK(E2106,$E$2:$E$5001,1))</f>
        <v/>
      </c>
      <c r="G2106" s="0" t="n">
        <f aca="false">IF(A2106="",0,IF(SUMPRODUCT(--($A$2:$A$5001=A2106))&gt;1,1,0))</f>
        <v>0</v>
      </c>
      <c r="H2106" s="0" t="n">
        <f aca="false">ROW()-1</f>
        <v>2105</v>
      </c>
      <c r="I2106" s="0" t="str">
        <f aca="false">IF(OR(הגדרות!$E$6=0,H2106&gt;הגדרות!$E$5),"",IF(H2106-1&lt;הגדרות!$E$8*(הגדרות!$E$7+1),INT((H2106-1)/(הגדרות!$E$7+1)),הגדרות!$E$8+INT((H2106-1-הגדרות!$E$8*(הגדרות!$E$7+1))/הגדרות!$E$7)))</f>
        <v/>
      </c>
      <c r="J2106" s="0" t="str">
        <f aca="false">IF(I2106="","",IF(H2106-1&lt;הגדרות!$E$8*(הגדרות!$E$7+1),MOD(H2106-1,הגדרות!$E$7+1),MOD(H2106-1-הגדרות!$E$8*(הגדרות!$E$7+1),הגדרות!$E$7)))</f>
        <v/>
      </c>
      <c r="K2106" s="0" t="str">
        <f aca="false">IF(I2106="","",J2106*הגדרות!$E$6+I2106+1)</f>
        <v/>
      </c>
      <c r="L2106" s="0" t="str">
        <f aca="false">IF(K2106="","",MATCH(K2106,$F$2:$F$5001,0))</f>
        <v/>
      </c>
      <c r="M2106" s="0" t="str">
        <f aca="false">IF(I2106="","",INDEX(הגדרות!$A$2:$A$21,MOD(I2106+הגדרות!$E$9,הגדרות!$E$6)+1))</f>
        <v/>
      </c>
    </row>
    <row r="2107" customFormat="false" ht="15" hidden="false" customHeight="false" outlineLevel="0" collapsed="false">
      <c r="A2107" s="0" t="str">
        <f aca="false">IF('הדבקת לידים'!A2107="","",IF(ISNUMBER('הדבקת לידים'!A2107),IF(הגדרות!$E$2&gt;0,TEXT('הדבקת לידים'!A2107,REPT("0",הגדרות!$E$2)),TEXT('הדבקת לידים'!A2107,"0")),TRIM('הדבקת לידים'!A2107)))</f>
        <v/>
      </c>
      <c r="B2107" s="0" t="str">
        <f aca="false">IF('הדבקת לידים'!B2107="","",IF(ISNUMBER('הדבקת לידים'!B2107),IF(הגדרות!$E$3&gt;0,TEXT('הדבקת לידים'!B2107,REPT("0",הגדרות!$E$3)),TEXT('הדבקת לידים'!B2107,"0")),TRIM('הדבקת לידים'!B2107)))</f>
        <v/>
      </c>
      <c r="C2107" s="0" t="n">
        <f aca="false">IF(OR(A2107&lt;&gt;"",B2107&lt;&gt;""),1,0)</f>
        <v>0</v>
      </c>
      <c r="D2107" s="0" t="str">
        <f aca="false">IF(C2107=1,MOD(ABS(SIN(ROW()*12.9898+'הדבקת לידים'!$F$2*78.233+IFERROR(--RIGHT(A2107,6),LEN(A2107))*0.0137+IFERROR(--RIGHT(B2107,6),LEN(B2107))*0.0071))*43758.5453,1),"")</f>
        <v/>
      </c>
      <c r="E2107" s="0" t="str">
        <f aca="false">IF(C2107=1,INT(MOD(ABS(SIN(D2107*7919.123+ROW()*0.618+'הדבקת לידים'!$F$2*1.3))*43758.5453,1)*1000000)*10000+ROW(),"")</f>
        <v/>
      </c>
      <c r="F2107" s="0" t="str">
        <f aca="false">IF(E2107="","",RANK(E2107,$E$2:$E$5001,1))</f>
        <v/>
      </c>
      <c r="G2107" s="0" t="n">
        <f aca="false">IF(A2107="",0,IF(SUMPRODUCT(--($A$2:$A$5001=A2107))&gt;1,1,0))</f>
        <v>0</v>
      </c>
      <c r="H2107" s="0" t="n">
        <f aca="false">ROW()-1</f>
        <v>2106</v>
      </c>
      <c r="I2107" s="0" t="str">
        <f aca="false">IF(OR(הגדרות!$E$6=0,H2107&gt;הגדרות!$E$5),"",IF(H2107-1&lt;הגדרות!$E$8*(הגדרות!$E$7+1),INT((H2107-1)/(הגדרות!$E$7+1)),הגדרות!$E$8+INT((H2107-1-הגדרות!$E$8*(הגדרות!$E$7+1))/הגדרות!$E$7)))</f>
        <v/>
      </c>
      <c r="J2107" s="0" t="str">
        <f aca="false">IF(I2107="","",IF(H2107-1&lt;הגדרות!$E$8*(הגדרות!$E$7+1),MOD(H2107-1,הגדרות!$E$7+1),MOD(H2107-1-הגדרות!$E$8*(הגדרות!$E$7+1),הגדרות!$E$7)))</f>
        <v/>
      </c>
      <c r="K2107" s="0" t="str">
        <f aca="false">IF(I2107="","",J2107*הגדרות!$E$6+I2107+1)</f>
        <v/>
      </c>
      <c r="L2107" s="0" t="str">
        <f aca="false">IF(K2107="","",MATCH(K2107,$F$2:$F$5001,0))</f>
        <v/>
      </c>
      <c r="M2107" s="0" t="str">
        <f aca="false">IF(I2107="","",INDEX(הגדרות!$A$2:$A$21,MOD(I2107+הגדרות!$E$9,הגדרות!$E$6)+1))</f>
        <v/>
      </c>
    </row>
    <row r="2108" customFormat="false" ht="15" hidden="false" customHeight="false" outlineLevel="0" collapsed="false">
      <c r="A2108" s="0" t="str">
        <f aca="false">IF('הדבקת לידים'!A2108="","",IF(ISNUMBER('הדבקת לידים'!A2108),IF(הגדרות!$E$2&gt;0,TEXT('הדבקת לידים'!A2108,REPT("0",הגדרות!$E$2)),TEXT('הדבקת לידים'!A2108,"0")),TRIM('הדבקת לידים'!A2108)))</f>
        <v/>
      </c>
      <c r="B2108" s="0" t="str">
        <f aca="false">IF('הדבקת לידים'!B2108="","",IF(ISNUMBER('הדבקת לידים'!B2108),IF(הגדרות!$E$3&gt;0,TEXT('הדבקת לידים'!B2108,REPT("0",הגדרות!$E$3)),TEXT('הדבקת לידים'!B2108,"0")),TRIM('הדבקת לידים'!B2108)))</f>
        <v/>
      </c>
      <c r="C2108" s="0" t="n">
        <f aca="false">IF(OR(A2108&lt;&gt;"",B2108&lt;&gt;""),1,0)</f>
        <v>0</v>
      </c>
      <c r="D2108" s="0" t="str">
        <f aca="false">IF(C2108=1,MOD(ABS(SIN(ROW()*12.9898+'הדבקת לידים'!$F$2*78.233+IFERROR(--RIGHT(A2108,6),LEN(A2108))*0.0137+IFERROR(--RIGHT(B2108,6),LEN(B2108))*0.0071))*43758.5453,1),"")</f>
        <v/>
      </c>
      <c r="E2108" s="0" t="str">
        <f aca="false">IF(C2108=1,INT(MOD(ABS(SIN(D2108*7919.123+ROW()*0.618+'הדבקת לידים'!$F$2*1.3))*43758.5453,1)*1000000)*10000+ROW(),"")</f>
        <v/>
      </c>
      <c r="F2108" s="0" t="str">
        <f aca="false">IF(E2108="","",RANK(E2108,$E$2:$E$5001,1))</f>
        <v/>
      </c>
      <c r="G2108" s="0" t="n">
        <f aca="false">IF(A2108="",0,IF(SUMPRODUCT(--($A$2:$A$5001=A2108))&gt;1,1,0))</f>
        <v>0</v>
      </c>
      <c r="H2108" s="0" t="n">
        <f aca="false">ROW()-1</f>
        <v>2107</v>
      </c>
      <c r="I2108" s="0" t="str">
        <f aca="false">IF(OR(הגדרות!$E$6=0,H2108&gt;הגדרות!$E$5),"",IF(H2108-1&lt;הגדרות!$E$8*(הגדרות!$E$7+1),INT((H2108-1)/(הגדרות!$E$7+1)),הגדרות!$E$8+INT((H2108-1-הגדרות!$E$8*(הגדרות!$E$7+1))/הגדרות!$E$7)))</f>
        <v/>
      </c>
      <c r="J2108" s="0" t="str">
        <f aca="false">IF(I2108="","",IF(H2108-1&lt;הגדרות!$E$8*(הגדרות!$E$7+1),MOD(H2108-1,הגדרות!$E$7+1),MOD(H2108-1-הגדרות!$E$8*(הגדרות!$E$7+1),הגדרות!$E$7)))</f>
        <v/>
      </c>
      <c r="K2108" s="0" t="str">
        <f aca="false">IF(I2108="","",J2108*הגדרות!$E$6+I2108+1)</f>
        <v/>
      </c>
      <c r="L2108" s="0" t="str">
        <f aca="false">IF(K2108="","",MATCH(K2108,$F$2:$F$5001,0))</f>
        <v/>
      </c>
      <c r="M2108" s="0" t="str">
        <f aca="false">IF(I2108="","",INDEX(הגדרות!$A$2:$A$21,MOD(I2108+הגדרות!$E$9,הגדרות!$E$6)+1))</f>
        <v/>
      </c>
    </row>
    <row r="2109" customFormat="false" ht="15" hidden="false" customHeight="false" outlineLevel="0" collapsed="false">
      <c r="A2109" s="0" t="str">
        <f aca="false">IF('הדבקת לידים'!A2109="","",IF(ISNUMBER('הדבקת לידים'!A2109),IF(הגדרות!$E$2&gt;0,TEXT('הדבקת לידים'!A2109,REPT("0",הגדרות!$E$2)),TEXT('הדבקת לידים'!A2109,"0")),TRIM('הדבקת לידים'!A2109)))</f>
        <v/>
      </c>
      <c r="B2109" s="0" t="str">
        <f aca="false">IF('הדבקת לידים'!B2109="","",IF(ISNUMBER('הדבקת לידים'!B2109),IF(הגדרות!$E$3&gt;0,TEXT('הדבקת לידים'!B2109,REPT("0",הגדרות!$E$3)),TEXT('הדבקת לידים'!B2109,"0")),TRIM('הדבקת לידים'!B2109)))</f>
        <v/>
      </c>
      <c r="C2109" s="0" t="n">
        <f aca="false">IF(OR(A2109&lt;&gt;"",B2109&lt;&gt;""),1,0)</f>
        <v>0</v>
      </c>
      <c r="D2109" s="0" t="str">
        <f aca="false">IF(C2109=1,MOD(ABS(SIN(ROW()*12.9898+'הדבקת לידים'!$F$2*78.233+IFERROR(--RIGHT(A2109,6),LEN(A2109))*0.0137+IFERROR(--RIGHT(B2109,6),LEN(B2109))*0.0071))*43758.5453,1),"")</f>
        <v/>
      </c>
      <c r="E2109" s="0" t="str">
        <f aca="false">IF(C2109=1,INT(MOD(ABS(SIN(D2109*7919.123+ROW()*0.618+'הדבקת לידים'!$F$2*1.3))*43758.5453,1)*1000000)*10000+ROW(),"")</f>
        <v/>
      </c>
      <c r="F2109" s="0" t="str">
        <f aca="false">IF(E2109="","",RANK(E2109,$E$2:$E$5001,1))</f>
        <v/>
      </c>
      <c r="G2109" s="0" t="n">
        <f aca="false">IF(A2109="",0,IF(SUMPRODUCT(--($A$2:$A$5001=A2109))&gt;1,1,0))</f>
        <v>0</v>
      </c>
      <c r="H2109" s="0" t="n">
        <f aca="false">ROW()-1</f>
        <v>2108</v>
      </c>
      <c r="I2109" s="0" t="str">
        <f aca="false">IF(OR(הגדרות!$E$6=0,H2109&gt;הגדרות!$E$5),"",IF(H2109-1&lt;הגדרות!$E$8*(הגדרות!$E$7+1),INT((H2109-1)/(הגדרות!$E$7+1)),הגדרות!$E$8+INT((H2109-1-הגדרות!$E$8*(הגדרות!$E$7+1))/הגדרות!$E$7)))</f>
        <v/>
      </c>
      <c r="J2109" s="0" t="str">
        <f aca="false">IF(I2109="","",IF(H2109-1&lt;הגדרות!$E$8*(הגדרות!$E$7+1),MOD(H2109-1,הגדרות!$E$7+1),MOD(H2109-1-הגדרות!$E$8*(הגדרות!$E$7+1),הגדרות!$E$7)))</f>
        <v/>
      </c>
      <c r="K2109" s="0" t="str">
        <f aca="false">IF(I2109="","",J2109*הגדרות!$E$6+I2109+1)</f>
        <v/>
      </c>
      <c r="L2109" s="0" t="str">
        <f aca="false">IF(K2109="","",MATCH(K2109,$F$2:$F$5001,0))</f>
        <v/>
      </c>
      <c r="M2109" s="0" t="str">
        <f aca="false">IF(I2109="","",INDEX(הגדרות!$A$2:$A$21,MOD(I2109+הגדרות!$E$9,הגדרות!$E$6)+1))</f>
        <v/>
      </c>
    </row>
    <row r="2110" customFormat="false" ht="15" hidden="false" customHeight="false" outlineLevel="0" collapsed="false">
      <c r="A2110" s="0" t="str">
        <f aca="false">IF('הדבקת לידים'!A2110="","",IF(ISNUMBER('הדבקת לידים'!A2110),IF(הגדרות!$E$2&gt;0,TEXT('הדבקת לידים'!A2110,REPT("0",הגדרות!$E$2)),TEXT('הדבקת לידים'!A2110,"0")),TRIM('הדבקת לידים'!A2110)))</f>
        <v/>
      </c>
      <c r="B2110" s="0" t="str">
        <f aca="false">IF('הדבקת לידים'!B2110="","",IF(ISNUMBER('הדבקת לידים'!B2110),IF(הגדרות!$E$3&gt;0,TEXT('הדבקת לידים'!B2110,REPT("0",הגדרות!$E$3)),TEXT('הדבקת לידים'!B2110,"0")),TRIM('הדבקת לידים'!B2110)))</f>
        <v/>
      </c>
      <c r="C2110" s="0" t="n">
        <f aca="false">IF(OR(A2110&lt;&gt;"",B2110&lt;&gt;""),1,0)</f>
        <v>0</v>
      </c>
      <c r="D2110" s="0" t="str">
        <f aca="false">IF(C2110=1,MOD(ABS(SIN(ROW()*12.9898+'הדבקת לידים'!$F$2*78.233+IFERROR(--RIGHT(A2110,6),LEN(A2110))*0.0137+IFERROR(--RIGHT(B2110,6),LEN(B2110))*0.0071))*43758.5453,1),"")</f>
        <v/>
      </c>
      <c r="E2110" s="0" t="str">
        <f aca="false">IF(C2110=1,INT(MOD(ABS(SIN(D2110*7919.123+ROW()*0.618+'הדבקת לידים'!$F$2*1.3))*43758.5453,1)*1000000)*10000+ROW(),"")</f>
        <v/>
      </c>
      <c r="F2110" s="0" t="str">
        <f aca="false">IF(E2110="","",RANK(E2110,$E$2:$E$5001,1))</f>
        <v/>
      </c>
      <c r="G2110" s="0" t="n">
        <f aca="false">IF(A2110="",0,IF(SUMPRODUCT(--($A$2:$A$5001=A2110))&gt;1,1,0))</f>
        <v>0</v>
      </c>
      <c r="H2110" s="0" t="n">
        <f aca="false">ROW()-1</f>
        <v>2109</v>
      </c>
      <c r="I2110" s="0" t="str">
        <f aca="false">IF(OR(הגדרות!$E$6=0,H2110&gt;הגדרות!$E$5),"",IF(H2110-1&lt;הגדרות!$E$8*(הגדרות!$E$7+1),INT((H2110-1)/(הגדרות!$E$7+1)),הגדרות!$E$8+INT((H2110-1-הגדרות!$E$8*(הגדרות!$E$7+1))/הגדרות!$E$7)))</f>
        <v/>
      </c>
      <c r="J2110" s="0" t="str">
        <f aca="false">IF(I2110="","",IF(H2110-1&lt;הגדרות!$E$8*(הגדרות!$E$7+1),MOD(H2110-1,הגדרות!$E$7+1),MOD(H2110-1-הגדרות!$E$8*(הגדרות!$E$7+1),הגדרות!$E$7)))</f>
        <v/>
      </c>
      <c r="K2110" s="0" t="str">
        <f aca="false">IF(I2110="","",J2110*הגדרות!$E$6+I2110+1)</f>
        <v/>
      </c>
      <c r="L2110" s="0" t="str">
        <f aca="false">IF(K2110="","",MATCH(K2110,$F$2:$F$5001,0))</f>
        <v/>
      </c>
      <c r="M2110" s="0" t="str">
        <f aca="false">IF(I2110="","",INDEX(הגדרות!$A$2:$A$21,MOD(I2110+הגדרות!$E$9,הגדרות!$E$6)+1))</f>
        <v/>
      </c>
    </row>
    <row r="2111" customFormat="false" ht="15" hidden="false" customHeight="false" outlineLevel="0" collapsed="false">
      <c r="A2111" s="0" t="str">
        <f aca="false">IF('הדבקת לידים'!A2111="","",IF(ISNUMBER('הדבקת לידים'!A2111),IF(הגדרות!$E$2&gt;0,TEXT('הדבקת לידים'!A2111,REPT("0",הגדרות!$E$2)),TEXT('הדבקת לידים'!A2111,"0")),TRIM('הדבקת לידים'!A2111)))</f>
        <v/>
      </c>
      <c r="B2111" s="0" t="str">
        <f aca="false">IF('הדבקת לידים'!B2111="","",IF(ISNUMBER('הדבקת לידים'!B2111),IF(הגדרות!$E$3&gt;0,TEXT('הדבקת לידים'!B2111,REPT("0",הגדרות!$E$3)),TEXT('הדבקת לידים'!B2111,"0")),TRIM('הדבקת לידים'!B2111)))</f>
        <v/>
      </c>
      <c r="C2111" s="0" t="n">
        <f aca="false">IF(OR(A2111&lt;&gt;"",B2111&lt;&gt;""),1,0)</f>
        <v>0</v>
      </c>
      <c r="D2111" s="0" t="str">
        <f aca="false">IF(C2111=1,MOD(ABS(SIN(ROW()*12.9898+'הדבקת לידים'!$F$2*78.233+IFERROR(--RIGHT(A2111,6),LEN(A2111))*0.0137+IFERROR(--RIGHT(B2111,6),LEN(B2111))*0.0071))*43758.5453,1),"")</f>
        <v/>
      </c>
      <c r="E2111" s="0" t="str">
        <f aca="false">IF(C2111=1,INT(MOD(ABS(SIN(D2111*7919.123+ROW()*0.618+'הדבקת לידים'!$F$2*1.3))*43758.5453,1)*1000000)*10000+ROW(),"")</f>
        <v/>
      </c>
      <c r="F2111" s="0" t="str">
        <f aca="false">IF(E2111="","",RANK(E2111,$E$2:$E$5001,1))</f>
        <v/>
      </c>
      <c r="G2111" s="0" t="n">
        <f aca="false">IF(A2111="",0,IF(SUMPRODUCT(--($A$2:$A$5001=A2111))&gt;1,1,0))</f>
        <v>0</v>
      </c>
      <c r="H2111" s="0" t="n">
        <f aca="false">ROW()-1</f>
        <v>2110</v>
      </c>
      <c r="I2111" s="0" t="str">
        <f aca="false">IF(OR(הגדרות!$E$6=0,H2111&gt;הגדרות!$E$5),"",IF(H2111-1&lt;הגדרות!$E$8*(הגדרות!$E$7+1),INT((H2111-1)/(הגדרות!$E$7+1)),הגדרות!$E$8+INT((H2111-1-הגדרות!$E$8*(הגדרות!$E$7+1))/הגדרות!$E$7)))</f>
        <v/>
      </c>
      <c r="J2111" s="0" t="str">
        <f aca="false">IF(I2111="","",IF(H2111-1&lt;הגדרות!$E$8*(הגדרות!$E$7+1),MOD(H2111-1,הגדרות!$E$7+1),MOD(H2111-1-הגדרות!$E$8*(הגדרות!$E$7+1),הגדרות!$E$7)))</f>
        <v/>
      </c>
      <c r="K2111" s="0" t="str">
        <f aca="false">IF(I2111="","",J2111*הגדרות!$E$6+I2111+1)</f>
        <v/>
      </c>
      <c r="L2111" s="0" t="str">
        <f aca="false">IF(K2111="","",MATCH(K2111,$F$2:$F$5001,0))</f>
        <v/>
      </c>
      <c r="M2111" s="0" t="str">
        <f aca="false">IF(I2111="","",INDEX(הגדרות!$A$2:$A$21,MOD(I2111+הגדרות!$E$9,הגדרות!$E$6)+1))</f>
        <v/>
      </c>
    </row>
    <row r="2112" customFormat="false" ht="15" hidden="false" customHeight="false" outlineLevel="0" collapsed="false">
      <c r="A2112" s="0" t="str">
        <f aca="false">IF('הדבקת לידים'!A2112="","",IF(ISNUMBER('הדבקת לידים'!A2112),IF(הגדרות!$E$2&gt;0,TEXT('הדבקת לידים'!A2112,REPT("0",הגדרות!$E$2)),TEXT('הדבקת לידים'!A2112,"0")),TRIM('הדבקת לידים'!A2112)))</f>
        <v/>
      </c>
      <c r="B2112" s="0" t="str">
        <f aca="false">IF('הדבקת לידים'!B2112="","",IF(ISNUMBER('הדבקת לידים'!B2112),IF(הגדרות!$E$3&gt;0,TEXT('הדבקת לידים'!B2112,REPT("0",הגדרות!$E$3)),TEXT('הדבקת לידים'!B2112,"0")),TRIM('הדבקת לידים'!B2112)))</f>
        <v/>
      </c>
      <c r="C2112" s="0" t="n">
        <f aca="false">IF(OR(A2112&lt;&gt;"",B2112&lt;&gt;""),1,0)</f>
        <v>0</v>
      </c>
      <c r="D2112" s="0" t="str">
        <f aca="false">IF(C2112=1,MOD(ABS(SIN(ROW()*12.9898+'הדבקת לידים'!$F$2*78.233+IFERROR(--RIGHT(A2112,6),LEN(A2112))*0.0137+IFERROR(--RIGHT(B2112,6),LEN(B2112))*0.0071))*43758.5453,1),"")</f>
        <v/>
      </c>
      <c r="E2112" s="0" t="str">
        <f aca="false">IF(C2112=1,INT(MOD(ABS(SIN(D2112*7919.123+ROW()*0.618+'הדבקת לידים'!$F$2*1.3))*43758.5453,1)*1000000)*10000+ROW(),"")</f>
        <v/>
      </c>
      <c r="F2112" s="0" t="str">
        <f aca="false">IF(E2112="","",RANK(E2112,$E$2:$E$5001,1))</f>
        <v/>
      </c>
      <c r="G2112" s="0" t="n">
        <f aca="false">IF(A2112="",0,IF(SUMPRODUCT(--($A$2:$A$5001=A2112))&gt;1,1,0))</f>
        <v>0</v>
      </c>
      <c r="H2112" s="0" t="n">
        <f aca="false">ROW()-1</f>
        <v>2111</v>
      </c>
      <c r="I2112" s="0" t="str">
        <f aca="false">IF(OR(הגדרות!$E$6=0,H2112&gt;הגדרות!$E$5),"",IF(H2112-1&lt;הגדרות!$E$8*(הגדרות!$E$7+1),INT((H2112-1)/(הגדרות!$E$7+1)),הגדרות!$E$8+INT((H2112-1-הגדרות!$E$8*(הגדרות!$E$7+1))/הגדרות!$E$7)))</f>
        <v/>
      </c>
      <c r="J2112" s="0" t="str">
        <f aca="false">IF(I2112="","",IF(H2112-1&lt;הגדרות!$E$8*(הגדרות!$E$7+1),MOD(H2112-1,הגדרות!$E$7+1),MOD(H2112-1-הגדרות!$E$8*(הגדרות!$E$7+1),הגדרות!$E$7)))</f>
        <v/>
      </c>
      <c r="K2112" s="0" t="str">
        <f aca="false">IF(I2112="","",J2112*הגדרות!$E$6+I2112+1)</f>
        <v/>
      </c>
      <c r="L2112" s="0" t="str">
        <f aca="false">IF(K2112="","",MATCH(K2112,$F$2:$F$5001,0))</f>
        <v/>
      </c>
      <c r="M2112" s="0" t="str">
        <f aca="false">IF(I2112="","",INDEX(הגדרות!$A$2:$A$21,MOD(I2112+הגדרות!$E$9,הגדרות!$E$6)+1))</f>
        <v/>
      </c>
    </row>
    <row r="2113" customFormat="false" ht="15" hidden="false" customHeight="false" outlineLevel="0" collapsed="false">
      <c r="A2113" s="0" t="str">
        <f aca="false">IF('הדבקת לידים'!A2113="","",IF(ISNUMBER('הדבקת לידים'!A2113),IF(הגדרות!$E$2&gt;0,TEXT('הדבקת לידים'!A2113,REPT("0",הגדרות!$E$2)),TEXT('הדבקת לידים'!A2113,"0")),TRIM('הדבקת לידים'!A2113)))</f>
        <v/>
      </c>
      <c r="B2113" s="0" t="str">
        <f aca="false">IF('הדבקת לידים'!B2113="","",IF(ISNUMBER('הדבקת לידים'!B2113),IF(הגדרות!$E$3&gt;0,TEXT('הדבקת לידים'!B2113,REPT("0",הגדרות!$E$3)),TEXT('הדבקת לידים'!B2113,"0")),TRIM('הדבקת לידים'!B2113)))</f>
        <v/>
      </c>
      <c r="C2113" s="0" t="n">
        <f aca="false">IF(OR(A2113&lt;&gt;"",B2113&lt;&gt;""),1,0)</f>
        <v>0</v>
      </c>
      <c r="D2113" s="0" t="str">
        <f aca="false">IF(C2113=1,MOD(ABS(SIN(ROW()*12.9898+'הדבקת לידים'!$F$2*78.233+IFERROR(--RIGHT(A2113,6),LEN(A2113))*0.0137+IFERROR(--RIGHT(B2113,6),LEN(B2113))*0.0071))*43758.5453,1),"")</f>
        <v/>
      </c>
      <c r="E2113" s="0" t="str">
        <f aca="false">IF(C2113=1,INT(MOD(ABS(SIN(D2113*7919.123+ROW()*0.618+'הדבקת לידים'!$F$2*1.3))*43758.5453,1)*1000000)*10000+ROW(),"")</f>
        <v/>
      </c>
      <c r="F2113" s="0" t="str">
        <f aca="false">IF(E2113="","",RANK(E2113,$E$2:$E$5001,1))</f>
        <v/>
      </c>
      <c r="G2113" s="0" t="n">
        <f aca="false">IF(A2113="",0,IF(SUMPRODUCT(--($A$2:$A$5001=A2113))&gt;1,1,0))</f>
        <v>0</v>
      </c>
      <c r="H2113" s="0" t="n">
        <f aca="false">ROW()-1</f>
        <v>2112</v>
      </c>
      <c r="I2113" s="0" t="str">
        <f aca="false">IF(OR(הגדרות!$E$6=0,H2113&gt;הגדרות!$E$5),"",IF(H2113-1&lt;הגדרות!$E$8*(הגדרות!$E$7+1),INT((H2113-1)/(הגדרות!$E$7+1)),הגדרות!$E$8+INT((H2113-1-הגדרות!$E$8*(הגדרות!$E$7+1))/הגדרות!$E$7)))</f>
        <v/>
      </c>
      <c r="J2113" s="0" t="str">
        <f aca="false">IF(I2113="","",IF(H2113-1&lt;הגדרות!$E$8*(הגדרות!$E$7+1),MOD(H2113-1,הגדרות!$E$7+1),MOD(H2113-1-הגדרות!$E$8*(הגדרות!$E$7+1),הגדרות!$E$7)))</f>
        <v/>
      </c>
      <c r="K2113" s="0" t="str">
        <f aca="false">IF(I2113="","",J2113*הגדרות!$E$6+I2113+1)</f>
        <v/>
      </c>
      <c r="L2113" s="0" t="str">
        <f aca="false">IF(K2113="","",MATCH(K2113,$F$2:$F$5001,0))</f>
        <v/>
      </c>
      <c r="M2113" s="0" t="str">
        <f aca="false">IF(I2113="","",INDEX(הגדרות!$A$2:$A$21,MOD(I2113+הגדרות!$E$9,הגדרות!$E$6)+1))</f>
        <v/>
      </c>
    </row>
    <row r="2114" customFormat="false" ht="15" hidden="false" customHeight="false" outlineLevel="0" collapsed="false">
      <c r="A2114" s="0" t="str">
        <f aca="false">IF('הדבקת לידים'!A2114="","",IF(ISNUMBER('הדבקת לידים'!A2114),IF(הגדרות!$E$2&gt;0,TEXT('הדבקת לידים'!A2114,REPT("0",הגדרות!$E$2)),TEXT('הדבקת לידים'!A2114,"0")),TRIM('הדבקת לידים'!A2114)))</f>
        <v/>
      </c>
      <c r="B2114" s="0" t="str">
        <f aca="false">IF('הדבקת לידים'!B2114="","",IF(ISNUMBER('הדבקת לידים'!B2114),IF(הגדרות!$E$3&gt;0,TEXT('הדבקת לידים'!B2114,REPT("0",הגדרות!$E$3)),TEXT('הדבקת לידים'!B2114,"0")),TRIM('הדבקת לידים'!B2114)))</f>
        <v/>
      </c>
      <c r="C2114" s="0" t="n">
        <f aca="false">IF(OR(A2114&lt;&gt;"",B2114&lt;&gt;""),1,0)</f>
        <v>0</v>
      </c>
      <c r="D2114" s="0" t="str">
        <f aca="false">IF(C2114=1,MOD(ABS(SIN(ROW()*12.9898+'הדבקת לידים'!$F$2*78.233+IFERROR(--RIGHT(A2114,6),LEN(A2114))*0.0137+IFERROR(--RIGHT(B2114,6),LEN(B2114))*0.0071))*43758.5453,1),"")</f>
        <v/>
      </c>
      <c r="E2114" s="0" t="str">
        <f aca="false">IF(C2114=1,INT(MOD(ABS(SIN(D2114*7919.123+ROW()*0.618+'הדבקת לידים'!$F$2*1.3))*43758.5453,1)*1000000)*10000+ROW(),"")</f>
        <v/>
      </c>
      <c r="F2114" s="0" t="str">
        <f aca="false">IF(E2114="","",RANK(E2114,$E$2:$E$5001,1))</f>
        <v/>
      </c>
      <c r="G2114" s="0" t="n">
        <f aca="false">IF(A2114="",0,IF(SUMPRODUCT(--($A$2:$A$5001=A2114))&gt;1,1,0))</f>
        <v>0</v>
      </c>
      <c r="H2114" s="0" t="n">
        <f aca="false">ROW()-1</f>
        <v>2113</v>
      </c>
      <c r="I2114" s="0" t="str">
        <f aca="false">IF(OR(הגדרות!$E$6=0,H2114&gt;הגדרות!$E$5),"",IF(H2114-1&lt;הגדרות!$E$8*(הגדרות!$E$7+1),INT((H2114-1)/(הגדרות!$E$7+1)),הגדרות!$E$8+INT((H2114-1-הגדרות!$E$8*(הגדרות!$E$7+1))/הגדרות!$E$7)))</f>
        <v/>
      </c>
      <c r="J2114" s="0" t="str">
        <f aca="false">IF(I2114="","",IF(H2114-1&lt;הגדרות!$E$8*(הגדרות!$E$7+1),MOD(H2114-1,הגדרות!$E$7+1),MOD(H2114-1-הגדרות!$E$8*(הגדרות!$E$7+1),הגדרות!$E$7)))</f>
        <v/>
      </c>
      <c r="K2114" s="0" t="str">
        <f aca="false">IF(I2114="","",J2114*הגדרות!$E$6+I2114+1)</f>
        <v/>
      </c>
      <c r="L2114" s="0" t="str">
        <f aca="false">IF(K2114="","",MATCH(K2114,$F$2:$F$5001,0))</f>
        <v/>
      </c>
      <c r="M2114" s="0" t="str">
        <f aca="false">IF(I2114="","",INDEX(הגדרות!$A$2:$A$21,MOD(I2114+הגדרות!$E$9,הגדרות!$E$6)+1))</f>
        <v/>
      </c>
    </row>
    <row r="2115" customFormat="false" ht="15" hidden="false" customHeight="false" outlineLevel="0" collapsed="false">
      <c r="A2115" s="0" t="str">
        <f aca="false">IF('הדבקת לידים'!A2115="","",IF(ISNUMBER('הדבקת לידים'!A2115),IF(הגדרות!$E$2&gt;0,TEXT('הדבקת לידים'!A2115,REPT("0",הגדרות!$E$2)),TEXT('הדבקת לידים'!A2115,"0")),TRIM('הדבקת לידים'!A2115)))</f>
        <v/>
      </c>
      <c r="B2115" s="0" t="str">
        <f aca="false">IF('הדבקת לידים'!B2115="","",IF(ISNUMBER('הדבקת לידים'!B2115),IF(הגדרות!$E$3&gt;0,TEXT('הדבקת לידים'!B2115,REPT("0",הגדרות!$E$3)),TEXT('הדבקת לידים'!B2115,"0")),TRIM('הדבקת לידים'!B2115)))</f>
        <v/>
      </c>
      <c r="C2115" s="0" t="n">
        <f aca="false">IF(OR(A2115&lt;&gt;"",B2115&lt;&gt;""),1,0)</f>
        <v>0</v>
      </c>
      <c r="D2115" s="0" t="str">
        <f aca="false">IF(C2115=1,MOD(ABS(SIN(ROW()*12.9898+'הדבקת לידים'!$F$2*78.233+IFERROR(--RIGHT(A2115,6),LEN(A2115))*0.0137+IFERROR(--RIGHT(B2115,6),LEN(B2115))*0.0071))*43758.5453,1),"")</f>
        <v/>
      </c>
      <c r="E2115" s="0" t="str">
        <f aca="false">IF(C2115=1,INT(MOD(ABS(SIN(D2115*7919.123+ROW()*0.618+'הדבקת לידים'!$F$2*1.3))*43758.5453,1)*1000000)*10000+ROW(),"")</f>
        <v/>
      </c>
      <c r="F2115" s="0" t="str">
        <f aca="false">IF(E2115="","",RANK(E2115,$E$2:$E$5001,1))</f>
        <v/>
      </c>
      <c r="G2115" s="0" t="n">
        <f aca="false">IF(A2115="",0,IF(SUMPRODUCT(--($A$2:$A$5001=A2115))&gt;1,1,0))</f>
        <v>0</v>
      </c>
      <c r="H2115" s="0" t="n">
        <f aca="false">ROW()-1</f>
        <v>2114</v>
      </c>
      <c r="I2115" s="0" t="str">
        <f aca="false">IF(OR(הגדרות!$E$6=0,H2115&gt;הגדרות!$E$5),"",IF(H2115-1&lt;הגדרות!$E$8*(הגדרות!$E$7+1),INT((H2115-1)/(הגדרות!$E$7+1)),הגדרות!$E$8+INT((H2115-1-הגדרות!$E$8*(הגדרות!$E$7+1))/הגדרות!$E$7)))</f>
        <v/>
      </c>
      <c r="J2115" s="0" t="str">
        <f aca="false">IF(I2115="","",IF(H2115-1&lt;הגדרות!$E$8*(הגדרות!$E$7+1),MOD(H2115-1,הגדרות!$E$7+1),MOD(H2115-1-הגדרות!$E$8*(הגדרות!$E$7+1),הגדרות!$E$7)))</f>
        <v/>
      </c>
      <c r="K2115" s="0" t="str">
        <f aca="false">IF(I2115="","",J2115*הגדרות!$E$6+I2115+1)</f>
        <v/>
      </c>
      <c r="L2115" s="0" t="str">
        <f aca="false">IF(K2115="","",MATCH(K2115,$F$2:$F$5001,0))</f>
        <v/>
      </c>
      <c r="M2115" s="0" t="str">
        <f aca="false">IF(I2115="","",INDEX(הגדרות!$A$2:$A$21,MOD(I2115+הגדרות!$E$9,הגדרות!$E$6)+1))</f>
        <v/>
      </c>
    </row>
    <row r="2116" customFormat="false" ht="15" hidden="false" customHeight="false" outlineLevel="0" collapsed="false">
      <c r="A2116" s="0" t="str">
        <f aca="false">IF('הדבקת לידים'!A2116="","",IF(ISNUMBER('הדבקת לידים'!A2116),IF(הגדרות!$E$2&gt;0,TEXT('הדבקת לידים'!A2116,REPT("0",הגדרות!$E$2)),TEXT('הדבקת לידים'!A2116,"0")),TRIM('הדבקת לידים'!A2116)))</f>
        <v/>
      </c>
      <c r="B2116" s="0" t="str">
        <f aca="false">IF('הדבקת לידים'!B2116="","",IF(ISNUMBER('הדבקת לידים'!B2116),IF(הגדרות!$E$3&gt;0,TEXT('הדבקת לידים'!B2116,REPT("0",הגדרות!$E$3)),TEXT('הדבקת לידים'!B2116,"0")),TRIM('הדבקת לידים'!B2116)))</f>
        <v/>
      </c>
      <c r="C2116" s="0" t="n">
        <f aca="false">IF(OR(A2116&lt;&gt;"",B2116&lt;&gt;""),1,0)</f>
        <v>0</v>
      </c>
      <c r="D2116" s="0" t="str">
        <f aca="false">IF(C2116=1,MOD(ABS(SIN(ROW()*12.9898+'הדבקת לידים'!$F$2*78.233+IFERROR(--RIGHT(A2116,6),LEN(A2116))*0.0137+IFERROR(--RIGHT(B2116,6),LEN(B2116))*0.0071))*43758.5453,1),"")</f>
        <v/>
      </c>
      <c r="E2116" s="0" t="str">
        <f aca="false">IF(C2116=1,INT(MOD(ABS(SIN(D2116*7919.123+ROW()*0.618+'הדבקת לידים'!$F$2*1.3))*43758.5453,1)*1000000)*10000+ROW(),"")</f>
        <v/>
      </c>
      <c r="F2116" s="0" t="str">
        <f aca="false">IF(E2116="","",RANK(E2116,$E$2:$E$5001,1))</f>
        <v/>
      </c>
      <c r="G2116" s="0" t="n">
        <f aca="false">IF(A2116="",0,IF(SUMPRODUCT(--($A$2:$A$5001=A2116))&gt;1,1,0))</f>
        <v>0</v>
      </c>
      <c r="H2116" s="0" t="n">
        <f aca="false">ROW()-1</f>
        <v>2115</v>
      </c>
      <c r="I2116" s="0" t="str">
        <f aca="false">IF(OR(הגדרות!$E$6=0,H2116&gt;הגדרות!$E$5),"",IF(H2116-1&lt;הגדרות!$E$8*(הגדרות!$E$7+1),INT((H2116-1)/(הגדרות!$E$7+1)),הגדרות!$E$8+INT((H2116-1-הגדרות!$E$8*(הגדרות!$E$7+1))/הגדרות!$E$7)))</f>
        <v/>
      </c>
      <c r="J2116" s="0" t="str">
        <f aca="false">IF(I2116="","",IF(H2116-1&lt;הגדרות!$E$8*(הגדרות!$E$7+1),MOD(H2116-1,הגדרות!$E$7+1),MOD(H2116-1-הגדרות!$E$8*(הגדרות!$E$7+1),הגדרות!$E$7)))</f>
        <v/>
      </c>
      <c r="K2116" s="0" t="str">
        <f aca="false">IF(I2116="","",J2116*הגדרות!$E$6+I2116+1)</f>
        <v/>
      </c>
      <c r="L2116" s="0" t="str">
        <f aca="false">IF(K2116="","",MATCH(K2116,$F$2:$F$5001,0))</f>
        <v/>
      </c>
      <c r="M2116" s="0" t="str">
        <f aca="false">IF(I2116="","",INDEX(הגדרות!$A$2:$A$21,MOD(I2116+הגדרות!$E$9,הגדרות!$E$6)+1))</f>
        <v/>
      </c>
    </row>
    <row r="2117" customFormat="false" ht="15" hidden="false" customHeight="false" outlineLevel="0" collapsed="false">
      <c r="A2117" s="0" t="str">
        <f aca="false">IF('הדבקת לידים'!A2117="","",IF(ISNUMBER('הדבקת לידים'!A2117),IF(הגדרות!$E$2&gt;0,TEXT('הדבקת לידים'!A2117,REPT("0",הגדרות!$E$2)),TEXT('הדבקת לידים'!A2117,"0")),TRIM('הדבקת לידים'!A2117)))</f>
        <v/>
      </c>
      <c r="B2117" s="0" t="str">
        <f aca="false">IF('הדבקת לידים'!B2117="","",IF(ISNUMBER('הדבקת לידים'!B2117),IF(הגדרות!$E$3&gt;0,TEXT('הדבקת לידים'!B2117,REPT("0",הגדרות!$E$3)),TEXT('הדבקת לידים'!B2117,"0")),TRIM('הדבקת לידים'!B2117)))</f>
        <v/>
      </c>
      <c r="C2117" s="0" t="n">
        <f aca="false">IF(OR(A2117&lt;&gt;"",B2117&lt;&gt;""),1,0)</f>
        <v>0</v>
      </c>
      <c r="D2117" s="0" t="str">
        <f aca="false">IF(C2117=1,MOD(ABS(SIN(ROW()*12.9898+'הדבקת לידים'!$F$2*78.233+IFERROR(--RIGHT(A2117,6),LEN(A2117))*0.0137+IFERROR(--RIGHT(B2117,6),LEN(B2117))*0.0071))*43758.5453,1),"")</f>
        <v/>
      </c>
      <c r="E2117" s="0" t="str">
        <f aca="false">IF(C2117=1,INT(MOD(ABS(SIN(D2117*7919.123+ROW()*0.618+'הדבקת לידים'!$F$2*1.3))*43758.5453,1)*1000000)*10000+ROW(),"")</f>
        <v/>
      </c>
      <c r="F2117" s="0" t="str">
        <f aca="false">IF(E2117="","",RANK(E2117,$E$2:$E$5001,1))</f>
        <v/>
      </c>
      <c r="G2117" s="0" t="n">
        <f aca="false">IF(A2117="",0,IF(SUMPRODUCT(--($A$2:$A$5001=A2117))&gt;1,1,0))</f>
        <v>0</v>
      </c>
      <c r="H2117" s="0" t="n">
        <f aca="false">ROW()-1</f>
        <v>2116</v>
      </c>
      <c r="I2117" s="0" t="str">
        <f aca="false">IF(OR(הגדרות!$E$6=0,H2117&gt;הגדרות!$E$5),"",IF(H2117-1&lt;הגדרות!$E$8*(הגדרות!$E$7+1),INT((H2117-1)/(הגדרות!$E$7+1)),הגדרות!$E$8+INT((H2117-1-הגדרות!$E$8*(הגדרות!$E$7+1))/הגדרות!$E$7)))</f>
        <v/>
      </c>
      <c r="J2117" s="0" t="str">
        <f aca="false">IF(I2117="","",IF(H2117-1&lt;הגדרות!$E$8*(הגדרות!$E$7+1),MOD(H2117-1,הגדרות!$E$7+1),MOD(H2117-1-הגדרות!$E$8*(הגדרות!$E$7+1),הגדרות!$E$7)))</f>
        <v/>
      </c>
      <c r="K2117" s="0" t="str">
        <f aca="false">IF(I2117="","",J2117*הגדרות!$E$6+I2117+1)</f>
        <v/>
      </c>
      <c r="L2117" s="0" t="str">
        <f aca="false">IF(K2117="","",MATCH(K2117,$F$2:$F$5001,0))</f>
        <v/>
      </c>
      <c r="M2117" s="0" t="str">
        <f aca="false">IF(I2117="","",INDEX(הגדרות!$A$2:$A$21,MOD(I2117+הגדרות!$E$9,הגדרות!$E$6)+1))</f>
        <v/>
      </c>
    </row>
    <row r="2118" customFormat="false" ht="15" hidden="false" customHeight="false" outlineLevel="0" collapsed="false">
      <c r="A2118" s="0" t="str">
        <f aca="false">IF('הדבקת לידים'!A2118="","",IF(ISNUMBER('הדבקת לידים'!A2118),IF(הגדרות!$E$2&gt;0,TEXT('הדבקת לידים'!A2118,REPT("0",הגדרות!$E$2)),TEXT('הדבקת לידים'!A2118,"0")),TRIM('הדבקת לידים'!A2118)))</f>
        <v/>
      </c>
      <c r="B2118" s="0" t="str">
        <f aca="false">IF('הדבקת לידים'!B2118="","",IF(ISNUMBER('הדבקת לידים'!B2118),IF(הגדרות!$E$3&gt;0,TEXT('הדבקת לידים'!B2118,REPT("0",הגדרות!$E$3)),TEXT('הדבקת לידים'!B2118,"0")),TRIM('הדבקת לידים'!B2118)))</f>
        <v/>
      </c>
      <c r="C2118" s="0" t="n">
        <f aca="false">IF(OR(A2118&lt;&gt;"",B2118&lt;&gt;""),1,0)</f>
        <v>0</v>
      </c>
      <c r="D2118" s="0" t="str">
        <f aca="false">IF(C2118=1,MOD(ABS(SIN(ROW()*12.9898+'הדבקת לידים'!$F$2*78.233+IFERROR(--RIGHT(A2118,6),LEN(A2118))*0.0137+IFERROR(--RIGHT(B2118,6),LEN(B2118))*0.0071))*43758.5453,1),"")</f>
        <v/>
      </c>
      <c r="E2118" s="0" t="str">
        <f aca="false">IF(C2118=1,INT(MOD(ABS(SIN(D2118*7919.123+ROW()*0.618+'הדבקת לידים'!$F$2*1.3))*43758.5453,1)*1000000)*10000+ROW(),"")</f>
        <v/>
      </c>
      <c r="F2118" s="0" t="str">
        <f aca="false">IF(E2118="","",RANK(E2118,$E$2:$E$5001,1))</f>
        <v/>
      </c>
      <c r="G2118" s="0" t="n">
        <f aca="false">IF(A2118="",0,IF(SUMPRODUCT(--($A$2:$A$5001=A2118))&gt;1,1,0))</f>
        <v>0</v>
      </c>
      <c r="H2118" s="0" t="n">
        <f aca="false">ROW()-1</f>
        <v>2117</v>
      </c>
      <c r="I2118" s="0" t="str">
        <f aca="false">IF(OR(הגדרות!$E$6=0,H2118&gt;הגדרות!$E$5),"",IF(H2118-1&lt;הגדרות!$E$8*(הגדרות!$E$7+1),INT((H2118-1)/(הגדרות!$E$7+1)),הגדרות!$E$8+INT((H2118-1-הגדרות!$E$8*(הגדרות!$E$7+1))/הגדרות!$E$7)))</f>
        <v/>
      </c>
      <c r="J2118" s="0" t="str">
        <f aca="false">IF(I2118="","",IF(H2118-1&lt;הגדרות!$E$8*(הגדרות!$E$7+1),MOD(H2118-1,הגדרות!$E$7+1),MOD(H2118-1-הגדרות!$E$8*(הגדרות!$E$7+1),הגדרות!$E$7)))</f>
        <v/>
      </c>
      <c r="K2118" s="0" t="str">
        <f aca="false">IF(I2118="","",J2118*הגדרות!$E$6+I2118+1)</f>
        <v/>
      </c>
      <c r="L2118" s="0" t="str">
        <f aca="false">IF(K2118="","",MATCH(K2118,$F$2:$F$5001,0))</f>
        <v/>
      </c>
      <c r="M2118" s="0" t="str">
        <f aca="false">IF(I2118="","",INDEX(הגדרות!$A$2:$A$21,MOD(I2118+הגדרות!$E$9,הגדרות!$E$6)+1))</f>
        <v/>
      </c>
    </row>
    <row r="2119" customFormat="false" ht="15" hidden="false" customHeight="false" outlineLevel="0" collapsed="false">
      <c r="A2119" s="0" t="str">
        <f aca="false">IF('הדבקת לידים'!A2119="","",IF(ISNUMBER('הדבקת לידים'!A2119),IF(הגדרות!$E$2&gt;0,TEXT('הדבקת לידים'!A2119,REPT("0",הגדרות!$E$2)),TEXT('הדבקת לידים'!A2119,"0")),TRIM('הדבקת לידים'!A2119)))</f>
        <v/>
      </c>
      <c r="B2119" s="0" t="str">
        <f aca="false">IF('הדבקת לידים'!B2119="","",IF(ISNUMBER('הדבקת לידים'!B2119),IF(הגדרות!$E$3&gt;0,TEXT('הדבקת לידים'!B2119,REPT("0",הגדרות!$E$3)),TEXT('הדבקת לידים'!B2119,"0")),TRIM('הדבקת לידים'!B2119)))</f>
        <v/>
      </c>
      <c r="C2119" s="0" t="n">
        <f aca="false">IF(OR(A2119&lt;&gt;"",B2119&lt;&gt;""),1,0)</f>
        <v>0</v>
      </c>
      <c r="D2119" s="0" t="str">
        <f aca="false">IF(C2119=1,MOD(ABS(SIN(ROW()*12.9898+'הדבקת לידים'!$F$2*78.233+IFERROR(--RIGHT(A2119,6),LEN(A2119))*0.0137+IFERROR(--RIGHT(B2119,6),LEN(B2119))*0.0071))*43758.5453,1),"")</f>
        <v/>
      </c>
      <c r="E2119" s="0" t="str">
        <f aca="false">IF(C2119=1,INT(MOD(ABS(SIN(D2119*7919.123+ROW()*0.618+'הדבקת לידים'!$F$2*1.3))*43758.5453,1)*1000000)*10000+ROW(),"")</f>
        <v/>
      </c>
      <c r="F2119" s="0" t="str">
        <f aca="false">IF(E2119="","",RANK(E2119,$E$2:$E$5001,1))</f>
        <v/>
      </c>
      <c r="G2119" s="0" t="n">
        <f aca="false">IF(A2119="",0,IF(SUMPRODUCT(--($A$2:$A$5001=A2119))&gt;1,1,0))</f>
        <v>0</v>
      </c>
      <c r="H2119" s="0" t="n">
        <f aca="false">ROW()-1</f>
        <v>2118</v>
      </c>
      <c r="I2119" s="0" t="str">
        <f aca="false">IF(OR(הגדרות!$E$6=0,H2119&gt;הגדרות!$E$5),"",IF(H2119-1&lt;הגדרות!$E$8*(הגדרות!$E$7+1),INT((H2119-1)/(הגדרות!$E$7+1)),הגדרות!$E$8+INT((H2119-1-הגדרות!$E$8*(הגדרות!$E$7+1))/הגדרות!$E$7)))</f>
        <v/>
      </c>
      <c r="J2119" s="0" t="str">
        <f aca="false">IF(I2119="","",IF(H2119-1&lt;הגדרות!$E$8*(הגדרות!$E$7+1),MOD(H2119-1,הגדרות!$E$7+1),MOD(H2119-1-הגדרות!$E$8*(הגדרות!$E$7+1),הגדרות!$E$7)))</f>
        <v/>
      </c>
      <c r="K2119" s="0" t="str">
        <f aca="false">IF(I2119="","",J2119*הגדרות!$E$6+I2119+1)</f>
        <v/>
      </c>
      <c r="L2119" s="0" t="str">
        <f aca="false">IF(K2119="","",MATCH(K2119,$F$2:$F$5001,0))</f>
        <v/>
      </c>
      <c r="M2119" s="0" t="str">
        <f aca="false">IF(I2119="","",INDEX(הגדרות!$A$2:$A$21,MOD(I2119+הגדרות!$E$9,הגדרות!$E$6)+1))</f>
        <v/>
      </c>
    </row>
    <row r="2120" customFormat="false" ht="15" hidden="false" customHeight="false" outlineLevel="0" collapsed="false">
      <c r="A2120" s="0" t="str">
        <f aca="false">IF('הדבקת לידים'!A2120="","",IF(ISNUMBER('הדבקת לידים'!A2120),IF(הגדרות!$E$2&gt;0,TEXT('הדבקת לידים'!A2120,REPT("0",הגדרות!$E$2)),TEXT('הדבקת לידים'!A2120,"0")),TRIM('הדבקת לידים'!A2120)))</f>
        <v/>
      </c>
      <c r="B2120" s="0" t="str">
        <f aca="false">IF('הדבקת לידים'!B2120="","",IF(ISNUMBER('הדבקת לידים'!B2120),IF(הגדרות!$E$3&gt;0,TEXT('הדבקת לידים'!B2120,REPT("0",הגדרות!$E$3)),TEXT('הדבקת לידים'!B2120,"0")),TRIM('הדבקת לידים'!B2120)))</f>
        <v/>
      </c>
      <c r="C2120" s="0" t="n">
        <f aca="false">IF(OR(A2120&lt;&gt;"",B2120&lt;&gt;""),1,0)</f>
        <v>0</v>
      </c>
      <c r="D2120" s="0" t="str">
        <f aca="false">IF(C2120=1,MOD(ABS(SIN(ROW()*12.9898+'הדבקת לידים'!$F$2*78.233+IFERROR(--RIGHT(A2120,6),LEN(A2120))*0.0137+IFERROR(--RIGHT(B2120,6),LEN(B2120))*0.0071))*43758.5453,1),"")</f>
        <v/>
      </c>
      <c r="E2120" s="0" t="str">
        <f aca="false">IF(C2120=1,INT(MOD(ABS(SIN(D2120*7919.123+ROW()*0.618+'הדבקת לידים'!$F$2*1.3))*43758.5453,1)*1000000)*10000+ROW(),"")</f>
        <v/>
      </c>
      <c r="F2120" s="0" t="str">
        <f aca="false">IF(E2120="","",RANK(E2120,$E$2:$E$5001,1))</f>
        <v/>
      </c>
      <c r="G2120" s="0" t="n">
        <f aca="false">IF(A2120="",0,IF(SUMPRODUCT(--($A$2:$A$5001=A2120))&gt;1,1,0))</f>
        <v>0</v>
      </c>
      <c r="H2120" s="0" t="n">
        <f aca="false">ROW()-1</f>
        <v>2119</v>
      </c>
      <c r="I2120" s="0" t="str">
        <f aca="false">IF(OR(הגדרות!$E$6=0,H2120&gt;הגדרות!$E$5),"",IF(H2120-1&lt;הגדרות!$E$8*(הגדרות!$E$7+1),INT((H2120-1)/(הגדרות!$E$7+1)),הגדרות!$E$8+INT((H2120-1-הגדרות!$E$8*(הגדרות!$E$7+1))/הגדרות!$E$7)))</f>
        <v/>
      </c>
      <c r="J2120" s="0" t="str">
        <f aca="false">IF(I2120="","",IF(H2120-1&lt;הגדרות!$E$8*(הגדרות!$E$7+1),MOD(H2120-1,הגדרות!$E$7+1),MOD(H2120-1-הגדרות!$E$8*(הגדרות!$E$7+1),הגדרות!$E$7)))</f>
        <v/>
      </c>
      <c r="K2120" s="0" t="str">
        <f aca="false">IF(I2120="","",J2120*הגדרות!$E$6+I2120+1)</f>
        <v/>
      </c>
      <c r="L2120" s="0" t="str">
        <f aca="false">IF(K2120="","",MATCH(K2120,$F$2:$F$5001,0))</f>
        <v/>
      </c>
      <c r="M2120" s="0" t="str">
        <f aca="false">IF(I2120="","",INDEX(הגדרות!$A$2:$A$21,MOD(I2120+הגדרות!$E$9,הגדרות!$E$6)+1))</f>
        <v/>
      </c>
    </row>
    <row r="2121" customFormat="false" ht="15" hidden="false" customHeight="false" outlineLevel="0" collapsed="false">
      <c r="A2121" s="0" t="str">
        <f aca="false">IF('הדבקת לידים'!A2121="","",IF(ISNUMBER('הדבקת לידים'!A2121),IF(הגדרות!$E$2&gt;0,TEXT('הדבקת לידים'!A2121,REPT("0",הגדרות!$E$2)),TEXT('הדבקת לידים'!A2121,"0")),TRIM('הדבקת לידים'!A2121)))</f>
        <v/>
      </c>
      <c r="B2121" s="0" t="str">
        <f aca="false">IF('הדבקת לידים'!B2121="","",IF(ISNUMBER('הדבקת לידים'!B2121),IF(הגדרות!$E$3&gt;0,TEXT('הדבקת לידים'!B2121,REPT("0",הגדרות!$E$3)),TEXT('הדבקת לידים'!B2121,"0")),TRIM('הדבקת לידים'!B2121)))</f>
        <v/>
      </c>
      <c r="C2121" s="0" t="n">
        <f aca="false">IF(OR(A2121&lt;&gt;"",B2121&lt;&gt;""),1,0)</f>
        <v>0</v>
      </c>
      <c r="D2121" s="0" t="str">
        <f aca="false">IF(C2121=1,MOD(ABS(SIN(ROW()*12.9898+'הדבקת לידים'!$F$2*78.233+IFERROR(--RIGHT(A2121,6),LEN(A2121))*0.0137+IFERROR(--RIGHT(B2121,6),LEN(B2121))*0.0071))*43758.5453,1),"")</f>
        <v/>
      </c>
      <c r="E2121" s="0" t="str">
        <f aca="false">IF(C2121=1,INT(MOD(ABS(SIN(D2121*7919.123+ROW()*0.618+'הדבקת לידים'!$F$2*1.3))*43758.5453,1)*1000000)*10000+ROW(),"")</f>
        <v/>
      </c>
      <c r="F2121" s="0" t="str">
        <f aca="false">IF(E2121="","",RANK(E2121,$E$2:$E$5001,1))</f>
        <v/>
      </c>
      <c r="G2121" s="0" t="n">
        <f aca="false">IF(A2121="",0,IF(SUMPRODUCT(--($A$2:$A$5001=A2121))&gt;1,1,0))</f>
        <v>0</v>
      </c>
      <c r="H2121" s="0" t="n">
        <f aca="false">ROW()-1</f>
        <v>2120</v>
      </c>
      <c r="I2121" s="0" t="str">
        <f aca="false">IF(OR(הגדרות!$E$6=0,H2121&gt;הגדרות!$E$5),"",IF(H2121-1&lt;הגדרות!$E$8*(הגדרות!$E$7+1),INT((H2121-1)/(הגדרות!$E$7+1)),הגדרות!$E$8+INT((H2121-1-הגדרות!$E$8*(הגדרות!$E$7+1))/הגדרות!$E$7)))</f>
        <v/>
      </c>
      <c r="J2121" s="0" t="str">
        <f aca="false">IF(I2121="","",IF(H2121-1&lt;הגדרות!$E$8*(הגדרות!$E$7+1),MOD(H2121-1,הגדרות!$E$7+1),MOD(H2121-1-הגדרות!$E$8*(הגדרות!$E$7+1),הגדרות!$E$7)))</f>
        <v/>
      </c>
      <c r="K2121" s="0" t="str">
        <f aca="false">IF(I2121="","",J2121*הגדרות!$E$6+I2121+1)</f>
        <v/>
      </c>
      <c r="L2121" s="0" t="str">
        <f aca="false">IF(K2121="","",MATCH(K2121,$F$2:$F$5001,0))</f>
        <v/>
      </c>
      <c r="M2121" s="0" t="str">
        <f aca="false">IF(I2121="","",INDEX(הגדרות!$A$2:$A$21,MOD(I2121+הגדרות!$E$9,הגדרות!$E$6)+1))</f>
        <v/>
      </c>
    </row>
    <row r="2122" customFormat="false" ht="15" hidden="false" customHeight="false" outlineLevel="0" collapsed="false">
      <c r="A2122" s="0" t="str">
        <f aca="false">IF('הדבקת לידים'!A2122="","",IF(ISNUMBER('הדבקת לידים'!A2122),IF(הגדרות!$E$2&gt;0,TEXT('הדבקת לידים'!A2122,REPT("0",הגדרות!$E$2)),TEXT('הדבקת לידים'!A2122,"0")),TRIM('הדבקת לידים'!A2122)))</f>
        <v/>
      </c>
      <c r="B2122" s="0" t="str">
        <f aca="false">IF('הדבקת לידים'!B2122="","",IF(ISNUMBER('הדבקת לידים'!B2122),IF(הגדרות!$E$3&gt;0,TEXT('הדבקת לידים'!B2122,REPT("0",הגדרות!$E$3)),TEXT('הדבקת לידים'!B2122,"0")),TRIM('הדבקת לידים'!B2122)))</f>
        <v/>
      </c>
      <c r="C2122" s="0" t="n">
        <f aca="false">IF(OR(A2122&lt;&gt;"",B2122&lt;&gt;""),1,0)</f>
        <v>0</v>
      </c>
      <c r="D2122" s="0" t="str">
        <f aca="false">IF(C2122=1,MOD(ABS(SIN(ROW()*12.9898+'הדבקת לידים'!$F$2*78.233+IFERROR(--RIGHT(A2122,6),LEN(A2122))*0.0137+IFERROR(--RIGHT(B2122,6),LEN(B2122))*0.0071))*43758.5453,1),"")</f>
        <v/>
      </c>
      <c r="E2122" s="0" t="str">
        <f aca="false">IF(C2122=1,INT(MOD(ABS(SIN(D2122*7919.123+ROW()*0.618+'הדבקת לידים'!$F$2*1.3))*43758.5453,1)*1000000)*10000+ROW(),"")</f>
        <v/>
      </c>
      <c r="F2122" s="0" t="str">
        <f aca="false">IF(E2122="","",RANK(E2122,$E$2:$E$5001,1))</f>
        <v/>
      </c>
      <c r="G2122" s="0" t="n">
        <f aca="false">IF(A2122="",0,IF(SUMPRODUCT(--($A$2:$A$5001=A2122))&gt;1,1,0))</f>
        <v>0</v>
      </c>
      <c r="H2122" s="0" t="n">
        <f aca="false">ROW()-1</f>
        <v>2121</v>
      </c>
      <c r="I2122" s="0" t="str">
        <f aca="false">IF(OR(הגדרות!$E$6=0,H2122&gt;הגדרות!$E$5),"",IF(H2122-1&lt;הגדרות!$E$8*(הגדרות!$E$7+1),INT((H2122-1)/(הגדרות!$E$7+1)),הגדרות!$E$8+INT((H2122-1-הגדרות!$E$8*(הגדרות!$E$7+1))/הגדרות!$E$7)))</f>
        <v/>
      </c>
      <c r="J2122" s="0" t="str">
        <f aca="false">IF(I2122="","",IF(H2122-1&lt;הגדרות!$E$8*(הגדרות!$E$7+1),MOD(H2122-1,הגדרות!$E$7+1),MOD(H2122-1-הגדרות!$E$8*(הגדרות!$E$7+1),הגדרות!$E$7)))</f>
        <v/>
      </c>
      <c r="K2122" s="0" t="str">
        <f aca="false">IF(I2122="","",J2122*הגדרות!$E$6+I2122+1)</f>
        <v/>
      </c>
      <c r="L2122" s="0" t="str">
        <f aca="false">IF(K2122="","",MATCH(K2122,$F$2:$F$5001,0))</f>
        <v/>
      </c>
      <c r="M2122" s="0" t="str">
        <f aca="false">IF(I2122="","",INDEX(הגדרות!$A$2:$A$21,MOD(I2122+הגדרות!$E$9,הגדרות!$E$6)+1))</f>
        <v/>
      </c>
    </row>
    <row r="2123" customFormat="false" ht="15" hidden="false" customHeight="false" outlineLevel="0" collapsed="false">
      <c r="A2123" s="0" t="str">
        <f aca="false">IF('הדבקת לידים'!A2123="","",IF(ISNUMBER('הדבקת לידים'!A2123),IF(הגדרות!$E$2&gt;0,TEXT('הדבקת לידים'!A2123,REPT("0",הגדרות!$E$2)),TEXT('הדבקת לידים'!A2123,"0")),TRIM('הדבקת לידים'!A2123)))</f>
        <v/>
      </c>
      <c r="B2123" s="0" t="str">
        <f aca="false">IF('הדבקת לידים'!B2123="","",IF(ISNUMBER('הדבקת לידים'!B2123),IF(הגדרות!$E$3&gt;0,TEXT('הדבקת לידים'!B2123,REPT("0",הגדרות!$E$3)),TEXT('הדבקת לידים'!B2123,"0")),TRIM('הדבקת לידים'!B2123)))</f>
        <v/>
      </c>
      <c r="C2123" s="0" t="n">
        <f aca="false">IF(OR(A2123&lt;&gt;"",B2123&lt;&gt;""),1,0)</f>
        <v>0</v>
      </c>
      <c r="D2123" s="0" t="str">
        <f aca="false">IF(C2123=1,MOD(ABS(SIN(ROW()*12.9898+'הדבקת לידים'!$F$2*78.233+IFERROR(--RIGHT(A2123,6),LEN(A2123))*0.0137+IFERROR(--RIGHT(B2123,6),LEN(B2123))*0.0071))*43758.5453,1),"")</f>
        <v/>
      </c>
      <c r="E2123" s="0" t="str">
        <f aca="false">IF(C2123=1,INT(MOD(ABS(SIN(D2123*7919.123+ROW()*0.618+'הדבקת לידים'!$F$2*1.3))*43758.5453,1)*1000000)*10000+ROW(),"")</f>
        <v/>
      </c>
      <c r="F2123" s="0" t="str">
        <f aca="false">IF(E2123="","",RANK(E2123,$E$2:$E$5001,1))</f>
        <v/>
      </c>
      <c r="G2123" s="0" t="n">
        <f aca="false">IF(A2123="",0,IF(SUMPRODUCT(--($A$2:$A$5001=A2123))&gt;1,1,0))</f>
        <v>0</v>
      </c>
      <c r="H2123" s="0" t="n">
        <f aca="false">ROW()-1</f>
        <v>2122</v>
      </c>
      <c r="I2123" s="0" t="str">
        <f aca="false">IF(OR(הגדרות!$E$6=0,H2123&gt;הגדרות!$E$5),"",IF(H2123-1&lt;הגדרות!$E$8*(הגדרות!$E$7+1),INT((H2123-1)/(הגדרות!$E$7+1)),הגדרות!$E$8+INT((H2123-1-הגדרות!$E$8*(הגדרות!$E$7+1))/הגדרות!$E$7)))</f>
        <v/>
      </c>
      <c r="J2123" s="0" t="str">
        <f aca="false">IF(I2123="","",IF(H2123-1&lt;הגדרות!$E$8*(הגדרות!$E$7+1),MOD(H2123-1,הגדרות!$E$7+1),MOD(H2123-1-הגדרות!$E$8*(הגדרות!$E$7+1),הגדרות!$E$7)))</f>
        <v/>
      </c>
      <c r="K2123" s="0" t="str">
        <f aca="false">IF(I2123="","",J2123*הגדרות!$E$6+I2123+1)</f>
        <v/>
      </c>
      <c r="L2123" s="0" t="str">
        <f aca="false">IF(K2123="","",MATCH(K2123,$F$2:$F$5001,0))</f>
        <v/>
      </c>
      <c r="M2123" s="0" t="str">
        <f aca="false">IF(I2123="","",INDEX(הגדרות!$A$2:$A$21,MOD(I2123+הגדרות!$E$9,הגדרות!$E$6)+1))</f>
        <v/>
      </c>
    </row>
    <row r="2124" customFormat="false" ht="15" hidden="false" customHeight="false" outlineLevel="0" collapsed="false">
      <c r="A2124" s="0" t="str">
        <f aca="false">IF('הדבקת לידים'!A2124="","",IF(ISNUMBER('הדבקת לידים'!A2124),IF(הגדרות!$E$2&gt;0,TEXT('הדבקת לידים'!A2124,REPT("0",הגדרות!$E$2)),TEXT('הדבקת לידים'!A2124,"0")),TRIM('הדבקת לידים'!A2124)))</f>
        <v/>
      </c>
      <c r="B2124" s="0" t="str">
        <f aca="false">IF('הדבקת לידים'!B2124="","",IF(ISNUMBER('הדבקת לידים'!B2124),IF(הגדרות!$E$3&gt;0,TEXT('הדבקת לידים'!B2124,REPT("0",הגדרות!$E$3)),TEXT('הדבקת לידים'!B2124,"0")),TRIM('הדבקת לידים'!B2124)))</f>
        <v/>
      </c>
      <c r="C2124" s="0" t="n">
        <f aca="false">IF(OR(A2124&lt;&gt;"",B2124&lt;&gt;""),1,0)</f>
        <v>0</v>
      </c>
      <c r="D2124" s="0" t="str">
        <f aca="false">IF(C2124=1,MOD(ABS(SIN(ROW()*12.9898+'הדבקת לידים'!$F$2*78.233+IFERROR(--RIGHT(A2124,6),LEN(A2124))*0.0137+IFERROR(--RIGHT(B2124,6),LEN(B2124))*0.0071))*43758.5453,1),"")</f>
        <v/>
      </c>
      <c r="E2124" s="0" t="str">
        <f aca="false">IF(C2124=1,INT(MOD(ABS(SIN(D2124*7919.123+ROW()*0.618+'הדבקת לידים'!$F$2*1.3))*43758.5453,1)*1000000)*10000+ROW(),"")</f>
        <v/>
      </c>
      <c r="F2124" s="0" t="str">
        <f aca="false">IF(E2124="","",RANK(E2124,$E$2:$E$5001,1))</f>
        <v/>
      </c>
      <c r="G2124" s="0" t="n">
        <f aca="false">IF(A2124="",0,IF(SUMPRODUCT(--($A$2:$A$5001=A2124))&gt;1,1,0))</f>
        <v>0</v>
      </c>
      <c r="H2124" s="0" t="n">
        <f aca="false">ROW()-1</f>
        <v>2123</v>
      </c>
      <c r="I2124" s="0" t="str">
        <f aca="false">IF(OR(הגדרות!$E$6=0,H2124&gt;הגדרות!$E$5),"",IF(H2124-1&lt;הגדרות!$E$8*(הגדרות!$E$7+1),INT((H2124-1)/(הגדרות!$E$7+1)),הגדרות!$E$8+INT((H2124-1-הגדרות!$E$8*(הגדרות!$E$7+1))/הגדרות!$E$7)))</f>
        <v/>
      </c>
      <c r="J2124" s="0" t="str">
        <f aca="false">IF(I2124="","",IF(H2124-1&lt;הגדרות!$E$8*(הגדרות!$E$7+1),MOD(H2124-1,הגדרות!$E$7+1),MOD(H2124-1-הגדרות!$E$8*(הגדרות!$E$7+1),הגדרות!$E$7)))</f>
        <v/>
      </c>
      <c r="K2124" s="0" t="str">
        <f aca="false">IF(I2124="","",J2124*הגדרות!$E$6+I2124+1)</f>
        <v/>
      </c>
      <c r="L2124" s="0" t="str">
        <f aca="false">IF(K2124="","",MATCH(K2124,$F$2:$F$5001,0))</f>
        <v/>
      </c>
      <c r="M2124" s="0" t="str">
        <f aca="false">IF(I2124="","",INDEX(הגדרות!$A$2:$A$21,MOD(I2124+הגדרות!$E$9,הגדרות!$E$6)+1))</f>
        <v/>
      </c>
    </row>
    <row r="2125" customFormat="false" ht="15" hidden="false" customHeight="false" outlineLevel="0" collapsed="false">
      <c r="A2125" s="0" t="str">
        <f aca="false">IF('הדבקת לידים'!A2125="","",IF(ISNUMBER('הדבקת לידים'!A2125),IF(הגדרות!$E$2&gt;0,TEXT('הדבקת לידים'!A2125,REPT("0",הגדרות!$E$2)),TEXT('הדבקת לידים'!A2125,"0")),TRIM('הדבקת לידים'!A2125)))</f>
        <v/>
      </c>
      <c r="B2125" s="0" t="str">
        <f aca="false">IF('הדבקת לידים'!B2125="","",IF(ISNUMBER('הדבקת לידים'!B2125),IF(הגדרות!$E$3&gt;0,TEXT('הדבקת לידים'!B2125,REPT("0",הגדרות!$E$3)),TEXT('הדבקת לידים'!B2125,"0")),TRIM('הדבקת לידים'!B2125)))</f>
        <v/>
      </c>
      <c r="C2125" s="0" t="n">
        <f aca="false">IF(OR(A2125&lt;&gt;"",B2125&lt;&gt;""),1,0)</f>
        <v>0</v>
      </c>
      <c r="D2125" s="0" t="str">
        <f aca="false">IF(C2125=1,MOD(ABS(SIN(ROW()*12.9898+'הדבקת לידים'!$F$2*78.233+IFERROR(--RIGHT(A2125,6),LEN(A2125))*0.0137+IFERROR(--RIGHT(B2125,6),LEN(B2125))*0.0071))*43758.5453,1),"")</f>
        <v/>
      </c>
      <c r="E2125" s="0" t="str">
        <f aca="false">IF(C2125=1,INT(MOD(ABS(SIN(D2125*7919.123+ROW()*0.618+'הדבקת לידים'!$F$2*1.3))*43758.5453,1)*1000000)*10000+ROW(),"")</f>
        <v/>
      </c>
      <c r="F2125" s="0" t="str">
        <f aca="false">IF(E2125="","",RANK(E2125,$E$2:$E$5001,1))</f>
        <v/>
      </c>
      <c r="G2125" s="0" t="n">
        <f aca="false">IF(A2125="",0,IF(SUMPRODUCT(--($A$2:$A$5001=A2125))&gt;1,1,0))</f>
        <v>0</v>
      </c>
      <c r="H2125" s="0" t="n">
        <f aca="false">ROW()-1</f>
        <v>2124</v>
      </c>
      <c r="I2125" s="0" t="str">
        <f aca="false">IF(OR(הגדרות!$E$6=0,H2125&gt;הגדרות!$E$5),"",IF(H2125-1&lt;הגדרות!$E$8*(הגדרות!$E$7+1),INT((H2125-1)/(הגדרות!$E$7+1)),הגדרות!$E$8+INT((H2125-1-הגדרות!$E$8*(הגדרות!$E$7+1))/הגדרות!$E$7)))</f>
        <v/>
      </c>
      <c r="J2125" s="0" t="str">
        <f aca="false">IF(I2125="","",IF(H2125-1&lt;הגדרות!$E$8*(הגדרות!$E$7+1),MOD(H2125-1,הגדרות!$E$7+1),MOD(H2125-1-הגדרות!$E$8*(הגדרות!$E$7+1),הגדרות!$E$7)))</f>
        <v/>
      </c>
      <c r="K2125" s="0" t="str">
        <f aca="false">IF(I2125="","",J2125*הגדרות!$E$6+I2125+1)</f>
        <v/>
      </c>
      <c r="L2125" s="0" t="str">
        <f aca="false">IF(K2125="","",MATCH(K2125,$F$2:$F$5001,0))</f>
        <v/>
      </c>
      <c r="M2125" s="0" t="str">
        <f aca="false">IF(I2125="","",INDEX(הגדרות!$A$2:$A$21,MOD(I2125+הגדרות!$E$9,הגדרות!$E$6)+1))</f>
        <v/>
      </c>
    </row>
    <row r="2126" customFormat="false" ht="15" hidden="false" customHeight="false" outlineLevel="0" collapsed="false">
      <c r="A2126" s="0" t="str">
        <f aca="false">IF('הדבקת לידים'!A2126="","",IF(ISNUMBER('הדבקת לידים'!A2126),IF(הגדרות!$E$2&gt;0,TEXT('הדבקת לידים'!A2126,REPT("0",הגדרות!$E$2)),TEXT('הדבקת לידים'!A2126,"0")),TRIM('הדבקת לידים'!A2126)))</f>
        <v/>
      </c>
      <c r="B2126" s="0" t="str">
        <f aca="false">IF('הדבקת לידים'!B2126="","",IF(ISNUMBER('הדבקת לידים'!B2126),IF(הגדרות!$E$3&gt;0,TEXT('הדבקת לידים'!B2126,REPT("0",הגדרות!$E$3)),TEXT('הדבקת לידים'!B2126,"0")),TRIM('הדבקת לידים'!B2126)))</f>
        <v/>
      </c>
      <c r="C2126" s="0" t="n">
        <f aca="false">IF(OR(A2126&lt;&gt;"",B2126&lt;&gt;""),1,0)</f>
        <v>0</v>
      </c>
      <c r="D2126" s="0" t="str">
        <f aca="false">IF(C2126=1,MOD(ABS(SIN(ROW()*12.9898+'הדבקת לידים'!$F$2*78.233+IFERROR(--RIGHT(A2126,6),LEN(A2126))*0.0137+IFERROR(--RIGHT(B2126,6),LEN(B2126))*0.0071))*43758.5453,1),"")</f>
        <v/>
      </c>
      <c r="E2126" s="0" t="str">
        <f aca="false">IF(C2126=1,INT(MOD(ABS(SIN(D2126*7919.123+ROW()*0.618+'הדבקת לידים'!$F$2*1.3))*43758.5453,1)*1000000)*10000+ROW(),"")</f>
        <v/>
      </c>
      <c r="F2126" s="0" t="str">
        <f aca="false">IF(E2126="","",RANK(E2126,$E$2:$E$5001,1))</f>
        <v/>
      </c>
      <c r="G2126" s="0" t="n">
        <f aca="false">IF(A2126="",0,IF(SUMPRODUCT(--($A$2:$A$5001=A2126))&gt;1,1,0))</f>
        <v>0</v>
      </c>
      <c r="H2126" s="0" t="n">
        <f aca="false">ROW()-1</f>
        <v>2125</v>
      </c>
      <c r="I2126" s="0" t="str">
        <f aca="false">IF(OR(הגדרות!$E$6=0,H2126&gt;הגדרות!$E$5),"",IF(H2126-1&lt;הגדרות!$E$8*(הגדרות!$E$7+1),INT((H2126-1)/(הגדרות!$E$7+1)),הגדרות!$E$8+INT((H2126-1-הגדרות!$E$8*(הגדרות!$E$7+1))/הגדרות!$E$7)))</f>
        <v/>
      </c>
      <c r="J2126" s="0" t="str">
        <f aca="false">IF(I2126="","",IF(H2126-1&lt;הגדרות!$E$8*(הגדרות!$E$7+1),MOD(H2126-1,הגדרות!$E$7+1),MOD(H2126-1-הגדרות!$E$8*(הגדרות!$E$7+1),הגדרות!$E$7)))</f>
        <v/>
      </c>
      <c r="K2126" s="0" t="str">
        <f aca="false">IF(I2126="","",J2126*הגדרות!$E$6+I2126+1)</f>
        <v/>
      </c>
      <c r="L2126" s="0" t="str">
        <f aca="false">IF(K2126="","",MATCH(K2126,$F$2:$F$5001,0))</f>
        <v/>
      </c>
      <c r="M2126" s="0" t="str">
        <f aca="false">IF(I2126="","",INDEX(הגדרות!$A$2:$A$21,MOD(I2126+הגדרות!$E$9,הגדרות!$E$6)+1))</f>
        <v/>
      </c>
    </row>
    <row r="2127" customFormat="false" ht="15" hidden="false" customHeight="false" outlineLevel="0" collapsed="false">
      <c r="A2127" s="0" t="str">
        <f aca="false">IF('הדבקת לידים'!A2127="","",IF(ISNUMBER('הדבקת לידים'!A2127),IF(הגדרות!$E$2&gt;0,TEXT('הדבקת לידים'!A2127,REPT("0",הגדרות!$E$2)),TEXT('הדבקת לידים'!A2127,"0")),TRIM('הדבקת לידים'!A2127)))</f>
        <v/>
      </c>
      <c r="B2127" s="0" t="str">
        <f aca="false">IF('הדבקת לידים'!B2127="","",IF(ISNUMBER('הדבקת לידים'!B2127),IF(הגדרות!$E$3&gt;0,TEXT('הדבקת לידים'!B2127,REPT("0",הגדרות!$E$3)),TEXT('הדבקת לידים'!B2127,"0")),TRIM('הדבקת לידים'!B2127)))</f>
        <v/>
      </c>
      <c r="C2127" s="0" t="n">
        <f aca="false">IF(OR(A2127&lt;&gt;"",B2127&lt;&gt;""),1,0)</f>
        <v>0</v>
      </c>
      <c r="D2127" s="0" t="str">
        <f aca="false">IF(C2127=1,MOD(ABS(SIN(ROW()*12.9898+'הדבקת לידים'!$F$2*78.233+IFERROR(--RIGHT(A2127,6),LEN(A2127))*0.0137+IFERROR(--RIGHT(B2127,6),LEN(B2127))*0.0071))*43758.5453,1),"")</f>
        <v/>
      </c>
      <c r="E2127" s="0" t="str">
        <f aca="false">IF(C2127=1,INT(MOD(ABS(SIN(D2127*7919.123+ROW()*0.618+'הדבקת לידים'!$F$2*1.3))*43758.5453,1)*1000000)*10000+ROW(),"")</f>
        <v/>
      </c>
      <c r="F2127" s="0" t="str">
        <f aca="false">IF(E2127="","",RANK(E2127,$E$2:$E$5001,1))</f>
        <v/>
      </c>
      <c r="G2127" s="0" t="n">
        <f aca="false">IF(A2127="",0,IF(SUMPRODUCT(--($A$2:$A$5001=A2127))&gt;1,1,0))</f>
        <v>0</v>
      </c>
      <c r="H2127" s="0" t="n">
        <f aca="false">ROW()-1</f>
        <v>2126</v>
      </c>
      <c r="I2127" s="0" t="str">
        <f aca="false">IF(OR(הגדרות!$E$6=0,H2127&gt;הגדרות!$E$5),"",IF(H2127-1&lt;הגדרות!$E$8*(הגדרות!$E$7+1),INT((H2127-1)/(הגדרות!$E$7+1)),הגדרות!$E$8+INT((H2127-1-הגדרות!$E$8*(הגדרות!$E$7+1))/הגדרות!$E$7)))</f>
        <v/>
      </c>
      <c r="J2127" s="0" t="str">
        <f aca="false">IF(I2127="","",IF(H2127-1&lt;הגדרות!$E$8*(הגדרות!$E$7+1),MOD(H2127-1,הגדרות!$E$7+1),MOD(H2127-1-הגדרות!$E$8*(הגדרות!$E$7+1),הגדרות!$E$7)))</f>
        <v/>
      </c>
      <c r="K2127" s="0" t="str">
        <f aca="false">IF(I2127="","",J2127*הגדרות!$E$6+I2127+1)</f>
        <v/>
      </c>
      <c r="L2127" s="0" t="str">
        <f aca="false">IF(K2127="","",MATCH(K2127,$F$2:$F$5001,0))</f>
        <v/>
      </c>
      <c r="M2127" s="0" t="str">
        <f aca="false">IF(I2127="","",INDEX(הגדרות!$A$2:$A$21,MOD(I2127+הגדרות!$E$9,הגדרות!$E$6)+1))</f>
        <v/>
      </c>
    </row>
    <row r="2128" customFormat="false" ht="15" hidden="false" customHeight="false" outlineLevel="0" collapsed="false">
      <c r="A2128" s="0" t="str">
        <f aca="false">IF('הדבקת לידים'!A2128="","",IF(ISNUMBER('הדבקת לידים'!A2128),IF(הגדרות!$E$2&gt;0,TEXT('הדבקת לידים'!A2128,REPT("0",הגדרות!$E$2)),TEXT('הדבקת לידים'!A2128,"0")),TRIM('הדבקת לידים'!A2128)))</f>
        <v/>
      </c>
      <c r="B2128" s="0" t="str">
        <f aca="false">IF('הדבקת לידים'!B2128="","",IF(ISNUMBER('הדבקת לידים'!B2128),IF(הגדרות!$E$3&gt;0,TEXT('הדבקת לידים'!B2128,REPT("0",הגדרות!$E$3)),TEXT('הדבקת לידים'!B2128,"0")),TRIM('הדבקת לידים'!B2128)))</f>
        <v/>
      </c>
      <c r="C2128" s="0" t="n">
        <f aca="false">IF(OR(A2128&lt;&gt;"",B2128&lt;&gt;""),1,0)</f>
        <v>0</v>
      </c>
      <c r="D2128" s="0" t="str">
        <f aca="false">IF(C2128=1,MOD(ABS(SIN(ROW()*12.9898+'הדבקת לידים'!$F$2*78.233+IFERROR(--RIGHT(A2128,6),LEN(A2128))*0.0137+IFERROR(--RIGHT(B2128,6),LEN(B2128))*0.0071))*43758.5453,1),"")</f>
        <v/>
      </c>
      <c r="E2128" s="0" t="str">
        <f aca="false">IF(C2128=1,INT(MOD(ABS(SIN(D2128*7919.123+ROW()*0.618+'הדבקת לידים'!$F$2*1.3))*43758.5453,1)*1000000)*10000+ROW(),"")</f>
        <v/>
      </c>
      <c r="F2128" s="0" t="str">
        <f aca="false">IF(E2128="","",RANK(E2128,$E$2:$E$5001,1))</f>
        <v/>
      </c>
      <c r="G2128" s="0" t="n">
        <f aca="false">IF(A2128="",0,IF(SUMPRODUCT(--($A$2:$A$5001=A2128))&gt;1,1,0))</f>
        <v>0</v>
      </c>
      <c r="H2128" s="0" t="n">
        <f aca="false">ROW()-1</f>
        <v>2127</v>
      </c>
      <c r="I2128" s="0" t="str">
        <f aca="false">IF(OR(הגדרות!$E$6=0,H2128&gt;הגדרות!$E$5),"",IF(H2128-1&lt;הגדרות!$E$8*(הגדרות!$E$7+1),INT((H2128-1)/(הגדרות!$E$7+1)),הגדרות!$E$8+INT((H2128-1-הגדרות!$E$8*(הגדרות!$E$7+1))/הגדרות!$E$7)))</f>
        <v/>
      </c>
      <c r="J2128" s="0" t="str">
        <f aca="false">IF(I2128="","",IF(H2128-1&lt;הגדרות!$E$8*(הגדרות!$E$7+1),MOD(H2128-1,הגדרות!$E$7+1),MOD(H2128-1-הגדרות!$E$8*(הגדרות!$E$7+1),הגדרות!$E$7)))</f>
        <v/>
      </c>
      <c r="K2128" s="0" t="str">
        <f aca="false">IF(I2128="","",J2128*הגדרות!$E$6+I2128+1)</f>
        <v/>
      </c>
      <c r="L2128" s="0" t="str">
        <f aca="false">IF(K2128="","",MATCH(K2128,$F$2:$F$5001,0))</f>
        <v/>
      </c>
      <c r="M2128" s="0" t="str">
        <f aca="false">IF(I2128="","",INDEX(הגדרות!$A$2:$A$21,MOD(I2128+הגדרות!$E$9,הגדרות!$E$6)+1))</f>
        <v/>
      </c>
    </row>
    <row r="2129" customFormat="false" ht="15" hidden="false" customHeight="false" outlineLevel="0" collapsed="false">
      <c r="A2129" s="0" t="str">
        <f aca="false">IF('הדבקת לידים'!A2129="","",IF(ISNUMBER('הדבקת לידים'!A2129),IF(הגדרות!$E$2&gt;0,TEXT('הדבקת לידים'!A2129,REPT("0",הגדרות!$E$2)),TEXT('הדבקת לידים'!A2129,"0")),TRIM('הדבקת לידים'!A2129)))</f>
        <v/>
      </c>
      <c r="B2129" s="0" t="str">
        <f aca="false">IF('הדבקת לידים'!B2129="","",IF(ISNUMBER('הדבקת לידים'!B2129),IF(הגדרות!$E$3&gt;0,TEXT('הדבקת לידים'!B2129,REPT("0",הגדרות!$E$3)),TEXT('הדבקת לידים'!B2129,"0")),TRIM('הדבקת לידים'!B2129)))</f>
        <v/>
      </c>
      <c r="C2129" s="0" t="n">
        <f aca="false">IF(OR(A2129&lt;&gt;"",B2129&lt;&gt;""),1,0)</f>
        <v>0</v>
      </c>
      <c r="D2129" s="0" t="str">
        <f aca="false">IF(C2129=1,MOD(ABS(SIN(ROW()*12.9898+'הדבקת לידים'!$F$2*78.233+IFERROR(--RIGHT(A2129,6),LEN(A2129))*0.0137+IFERROR(--RIGHT(B2129,6),LEN(B2129))*0.0071))*43758.5453,1),"")</f>
        <v/>
      </c>
      <c r="E2129" s="0" t="str">
        <f aca="false">IF(C2129=1,INT(MOD(ABS(SIN(D2129*7919.123+ROW()*0.618+'הדבקת לידים'!$F$2*1.3))*43758.5453,1)*1000000)*10000+ROW(),"")</f>
        <v/>
      </c>
      <c r="F2129" s="0" t="str">
        <f aca="false">IF(E2129="","",RANK(E2129,$E$2:$E$5001,1))</f>
        <v/>
      </c>
      <c r="G2129" s="0" t="n">
        <f aca="false">IF(A2129="",0,IF(SUMPRODUCT(--($A$2:$A$5001=A2129))&gt;1,1,0))</f>
        <v>0</v>
      </c>
      <c r="H2129" s="0" t="n">
        <f aca="false">ROW()-1</f>
        <v>2128</v>
      </c>
      <c r="I2129" s="0" t="str">
        <f aca="false">IF(OR(הגדרות!$E$6=0,H2129&gt;הגדרות!$E$5),"",IF(H2129-1&lt;הגדרות!$E$8*(הגדרות!$E$7+1),INT((H2129-1)/(הגדרות!$E$7+1)),הגדרות!$E$8+INT((H2129-1-הגדרות!$E$8*(הגדרות!$E$7+1))/הגדרות!$E$7)))</f>
        <v/>
      </c>
      <c r="J2129" s="0" t="str">
        <f aca="false">IF(I2129="","",IF(H2129-1&lt;הגדרות!$E$8*(הגדרות!$E$7+1),MOD(H2129-1,הגדרות!$E$7+1),MOD(H2129-1-הגדרות!$E$8*(הגדרות!$E$7+1),הגדרות!$E$7)))</f>
        <v/>
      </c>
      <c r="K2129" s="0" t="str">
        <f aca="false">IF(I2129="","",J2129*הגדרות!$E$6+I2129+1)</f>
        <v/>
      </c>
      <c r="L2129" s="0" t="str">
        <f aca="false">IF(K2129="","",MATCH(K2129,$F$2:$F$5001,0))</f>
        <v/>
      </c>
      <c r="M2129" s="0" t="str">
        <f aca="false">IF(I2129="","",INDEX(הגדרות!$A$2:$A$21,MOD(I2129+הגדרות!$E$9,הגדרות!$E$6)+1))</f>
        <v/>
      </c>
    </row>
    <row r="2130" customFormat="false" ht="15" hidden="false" customHeight="false" outlineLevel="0" collapsed="false">
      <c r="A2130" s="0" t="str">
        <f aca="false">IF('הדבקת לידים'!A2130="","",IF(ISNUMBER('הדבקת לידים'!A2130),IF(הגדרות!$E$2&gt;0,TEXT('הדבקת לידים'!A2130,REPT("0",הגדרות!$E$2)),TEXT('הדבקת לידים'!A2130,"0")),TRIM('הדבקת לידים'!A2130)))</f>
        <v/>
      </c>
      <c r="B2130" s="0" t="str">
        <f aca="false">IF('הדבקת לידים'!B2130="","",IF(ISNUMBER('הדבקת לידים'!B2130),IF(הגדרות!$E$3&gt;0,TEXT('הדבקת לידים'!B2130,REPT("0",הגדרות!$E$3)),TEXT('הדבקת לידים'!B2130,"0")),TRIM('הדבקת לידים'!B2130)))</f>
        <v/>
      </c>
      <c r="C2130" s="0" t="n">
        <f aca="false">IF(OR(A2130&lt;&gt;"",B2130&lt;&gt;""),1,0)</f>
        <v>0</v>
      </c>
      <c r="D2130" s="0" t="str">
        <f aca="false">IF(C2130=1,MOD(ABS(SIN(ROW()*12.9898+'הדבקת לידים'!$F$2*78.233+IFERROR(--RIGHT(A2130,6),LEN(A2130))*0.0137+IFERROR(--RIGHT(B2130,6),LEN(B2130))*0.0071))*43758.5453,1),"")</f>
        <v/>
      </c>
      <c r="E2130" s="0" t="str">
        <f aca="false">IF(C2130=1,INT(MOD(ABS(SIN(D2130*7919.123+ROW()*0.618+'הדבקת לידים'!$F$2*1.3))*43758.5453,1)*1000000)*10000+ROW(),"")</f>
        <v/>
      </c>
      <c r="F2130" s="0" t="str">
        <f aca="false">IF(E2130="","",RANK(E2130,$E$2:$E$5001,1))</f>
        <v/>
      </c>
      <c r="G2130" s="0" t="n">
        <f aca="false">IF(A2130="",0,IF(SUMPRODUCT(--($A$2:$A$5001=A2130))&gt;1,1,0))</f>
        <v>0</v>
      </c>
      <c r="H2130" s="0" t="n">
        <f aca="false">ROW()-1</f>
        <v>2129</v>
      </c>
      <c r="I2130" s="0" t="str">
        <f aca="false">IF(OR(הגדרות!$E$6=0,H2130&gt;הגדרות!$E$5),"",IF(H2130-1&lt;הגדרות!$E$8*(הגדרות!$E$7+1),INT((H2130-1)/(הגדרות!$E$7+1)),הגדרות!$E$8+INT((H2130-1-הגדרות!$E$8*(הגדרות!$E$7+1))/הגדרות!$E$7)))</f>
        <v/>
      </c>
      <c r="J2130" s="0" t="str">
        <f aca="false">IF(I2130="","",IF(H2130-1&lt;הגדרות!$E$8*(הגדרות!$E$7+1),MOD(H2130-1,הגדרות!$E$7+1),MOD(H2130-1-הגדרות!$E$8*(הגדרות!$E$7+1),הגדרות!$E$7)))</f>
        <v/>
      </c>
      <c r="K2130" s="0" t="str">
        <f aca="false">IF(I2130="","",J2130*הגדרות!$E$6+I2130+1)</f>
        <v/>
      </c>
      <c r="L2130" s="0" t="str">
        <f aca="false">IF(K2130="","",MATCH(K2130,$F$2:$F$5001,0))</f>
        <v/>
      </c>
      <c r="M2130" s="0" t="str">
        <f aca="false">IF(I2130="","",INDEX(הגדרות!$A$2:$A$21,MOD(I2130+הגדרות!$E$9,הגדרות!$E$6)+1))</f>
        <v/>
      </c>
    </row>
    <row r="2131" customFormat="false" ht="15" hidden="false" customHeight="false" outlineLevel="0" collapsed="false">
      <c r="A2131" s="0" t="str">
        <f aca="false">IF('הדבקת לידים'!A2131="","",IF(ISNUMBER('הדבקת לידים'!A2131),IF(הגדרות!$E$2&gt;0,TEXT('הדבקת לידים'!A2131,REPT("0",הגדרות!$E$2)),TEXT('הדבקת לידים'!A2131,"0")),TRIM('הדבקת לידים'!A2131)))</f>
        <v/>
      </c>
      <c r="B2131" s="0" t="str">
        <f aca="false">IF('הדבקת לידים'!B2131="","",IF(ISNUMBER('הדבקת לידים'!B2131),IF(הגדרות!$E$3&gt;0,TEXT('הדבקת לידים'!B2131,REPT("0",הגדרות!$E$3)),TEXT('הדבקת לידים'!B2131,"0")),TRIM('הדבקת לידים'!B2131)))</f>
        <v/>
      </c>
      <c r="C2131" s="0" t="n">
        <f aca="false">IF(OR(A2131&lt;&gt;"",B2131&lt;&gt;""),1,0)</f>
        <v>0</v>
      </c>
      <c r="D2131" s="0" t="str">
        <f aca="false">IF(C2131=1,MOD(ABS(SIN(ROW()*12.9898+'הדבקת לידים'!$F$2*78.233+IFERROR(--RIGHT(A2131,6),LEN(A2131))*0.0137+IFERROR(--RIGHT(B2131,6),LEN(B2131))*0.0071))*43758.5453,1),"")</f>
        <v/>
      </c>
      <c r="E2131" s="0" t="str">
        <f aca="false">IF(C2131=1,INT(MOD(ABS(SIN(D2131*7919.123+ROW()*0.618+'הדבקת לידים'!$F$2*1.3))*43758.5453,1)*1000000)*10000+ROW(),"")</f>
        <v/>
      </c>
      <c r="F2131" s="0" t="str">
        <f aca="false">IF(E2131="","",RANK(E2131,$E$2:$E$5001,1))</f>
        <v/>
      </c>
      <c r="G2131" s="0" t="n">
        <f aca="false">IF(A2131="",0,IF(SUMPRODUCT(--($A$2:$A$5001=A2131))&gt;1,1,0))</f>
        <v>0</v>
      </c>
      <c r="H2131" s="0" t="n">
        <f aca="false">ROW()-1</f>
        <v>2130</v>
      </c>
      <c r="I2131" s="0" t="str">
        <f aca="false">IF(OR(הגדרות!$E$6=0,H2131&gt;הגדרות!$E$5),"",IF(H2131-1&lt;הגדרות!$E$8*(הגדרות!$E$7+1),INT((H2131-1)/(הגדרות!$E$7+1)),הגדרות!$E$8+INT((H2131-1-הגדרות!$E$8*(הגדרות!$E$7+1))/הגדרות!$E$7)))</f>
        <v/>
      </c>
      <c r="J2131" s="0" t="str">
        <f aca="false">IF(I2131="","",IF(H2131-1&lt;הגדרות!$E$8*(הגדרות!$E$7+1),MOD(H2131-1,הגדרות!$E$7+1),MOD(H2131-1-הגדרות!$E$8*(הגדרות!$E$7+1),הגדרות!$E$7)))</f>
        <v/>
      </c>
      <c r="K2131" s="0" t="str">
        <f aca="false">IF(I2131="","",J2131*הגדרות!$E$6+I2131+1)</f>
        <v/>
      </c>
      <c r="L2131" s="0" t="str">
        <f aca="false">IF(K2131="","",MATCH(K2131,$F$2:$F$5001,0))</f>
        <v/>
      </c>
      <c r="M2131" s="0" t="str">
        <f aca="false">IF(I2131="","",INDEX(הגדרות!$A$2:$A$21,MOD(I2131+הגדרות!$E$9,הגדרות!$E$6)+1))</f>
        <v/>
      </c>
    </row>
    <row r="2132" customFormat="false" ht="15" hidden="false" customHeight="false" outlineLevel="0" collapsed="false">
      <c r="A2132" s="0" t="str">
        <f aca="false">IF('הדבקת לידים'!A2132="","",IF(ISNUMBER('הדבקת לידים'!A2132),IF(הגדרות!$E$2&gt;0,TEXT('הדבקת לידים'!A2132,REPT("0",הגדרות!$E$2)),TEXT('הדבקת לידים'!A2132,"0")),TRIM('הדבקת לידים'!A2132)))</f>
        <v/>
      </c>
      <c r="B2132" s="0" t="str">
        <f aca="false">IF('הדבקת לידים'!B2132="","",IF(ISNUMBER('הדבקת לידים'!B2132),IF(הגדרות!$E$3&gt;0,TEXT('הדבקת לידים'!B2132,REPT("0",הגדרות!$E$3)),TEXT('הדבקת לידים'!B2132,"0")),TRIM('הדבקת לידים'!B2132)))</f>
        <v/>
      </c>
      <c r="C2132" s="0" t="n">
        <f aca="false">IF(OR(A2132&lt;&gt;"",B2132&lt;&gt;""),1,0)</f>
        <v>0</v>
      </c>
      <c r="D2132" s="0" t="str">
        <f aca="false">IF(C2132=1,MOD(ABS(SIN(ROW()*12.9898+'הדבקת לידים'!$F$2*78.233+IFERROR(--RIGHT(A2132,6),LEN(A2132))*0.0137+IFERROR(--RIGHT(B2132,6),LEN(B2132))*0.0071))*43758.5453,1),"")</f>
        <v/>
      </c>
      <c r="E2132" s="0" t="str">
        <f aca="false">IF(C2132=1,INT(MOD(ABS(SIN(D2132*7919.123+ROW()*0.618+'הדבקת לידים'!$F$2*1.3))*43758.5453,1)*1000000)*10000+ROW(),"")</f>
        <v/>
      </c>
      <c r="F2132" s="0" t="str">
        <f aca="false">IF(E2132="","",RANK(E2132,$E$2:$E$5001,1))</f>
        <v/>
      </c>
      <c r="G2132" s="0" t="n">
        <f aca="false">IF(A2132="",0,IF(SUMPRODUCT(--($A$2:$A$5001=A2132))&gt;1,1,0))</f>
        <v>0</v>
      </c>
      <c r="H2132" s="0" t="n">
        <f aca="false">ROW()-1</f>
        <v>2131</v>
      </c>
      <c r="I2132" s="0" t="str">
        <f aca="false">IF(OR(הגדרות!$E$6=0,H2132&gt;הגדרות!$E$5),"",IF(H2132-1&lt;הגדרות!$E$8*(הגדרות!$E$7+1),INT((H2132-1)/(הגדרות!$E$7+1)),הגדרות!$E$8+INT((H2132-1-הגדרות!$E$8*(הגדרות!$E$7+1))/הגדרות!$E$7)))</f>
        <v/>
      </c>
      <c r="J2132" s="0" t="str">
        <f aca="false">IF(I2132="","",IF(H2132-1&lt;הגדרות!$E$8*(הגדרות!$E$7+1),MOD(H2132-1,הגדרות!$E$7+1),MOD(H2132-1-הגדרות!$E$8*(הגדרות!$E$7+1),הגדרות!$E$7)))</f>
        <v/>
      </c>
      <c r="K2132" s="0" t="str">
        <f aca="false">IF(I2132="","",J2132*הגדרות!$E$6+I2132+1)</f>
        <v/>
      </c>
      <c r="L2132" s="0" t="str">
        <f aca="false">IF(K2132="","",MATCH(K2132,$F$2:$F$5001,0))</f>
        <v/>
      </c>
      <c r="M2132" s="0" t="str">
        <f aca="false">IF(I2132="","",INDEX(הגדרות!$A$2:$A$21,MOD(I2132+הגדרות!$E$9,הגדרות!$E$6)+1))</f>
        <v/>
      </c>
    </row>
    <row r="2133" customFormat="false" ht="15" hidden="false" customHeight="false" outlineLevel="0" collapsed="false">
      <c r="A2133" s="0" t="str">
        <f aca="false">IF('הדבקת לידים'!A2133="","",IF(ISNUMBER('הדבקת לידים'!A2133),IF(הגדרות!$E$2&gt;0,TEXT('הדבקת לידים'!A2133,REPT("0",הגדרות!$E$2)),TEXT('הדבקת לידים'!A2133,"0")),TRIM('הדבקת לידים'!A2133)))</f>
        <v/>
      </c>
      <c r="B2133" s="0" t="str">
        <f aca="false">IF('הדבקת לידים'!B2133="","",IF(ISNUMBER('הדבקת לידים'!B2133),IF(הגדרות!$E$3&gt;0,TEXT('הדבקת לידים'!B2133,REPT("0",הגדרות!$E$3)),TEXT('הדבקת לידים'!B2133,"0")),TRIM('הדבקת לידים'!B2133)))</f>
        <v/>
      </c>
      <c r="C2133" s="0" t="n">
        <f aca="false">IF(OR(A2133&lt;&gt;"",B2133&lt;&gt;""),1,0)</f>
        <v>0</v>
      </c>
      <c r="D2133" s="0" t="str">
        <f aca="false">IF(C2133=1,MOD(ABS(SIN(ROW()*12.9898+'הדבקת לידים'!$F$2*78.233+IFERROR(--RIGHT(A2133,6),LEN(A2133))*0.0137+IFERROR(--RIGHT(B2133,6),LEN(B2133))*0.0071))*43758.5453,1),"")</f>
        <v/>
      </c>
      <c r="E2133" s="0" t="str">
        <f aca="false">IF(C2133=1,INT(MOD(ABS(SIN(D2133*7919.123+ROW()*0.618+'הדבקת לידים'!$F$2*1.3))*43758.5453,1)*1000000)*10000+ROW(),"")</f>
        <v/>
      </c>
      <c r="F2133" s="0" t="str">
        <f aca="false">IF(E2133="","",RANK(E2133,$E$2:$E$5001,1))</f>
        <v/>
      </c>
      <c r="G2133" s="0" t="n">
        <f aca="false">IF(A2133="",0,IF(SUMPRODUCT(--($A$2:$A$5001=A2133))&gt;1,1,0))</f>
        <v>0</v>
      </c>
      <c r="H2133" s="0" t="n">
        <f aca="false">ROW()-1</f>
        <v>2132</v>
      </c>
      <c r="I2133" s="0" t="str">
        <f aca="false">IF(OR(הגדרות!$E$6=0,H2133&gt;הגדרות!$E$5),"",IF(H2133-1&lt;הגדרות!$E$8*(הגדרות!$E$7+1),INT((H2133-1)/(הגדרות!$E$7+1)),הגדרות!$E$8+INT((H2133-1-הגדרות!$E$8*(הגדרות!$E$7+1))/הגדרות!$E$7)))</f>
        <v/>
      </c>
      <c r="J2133" s="0" t="str">
        <f aca="false">IF(I2133="","",IF(H2133-1&lt;הגדרות!$E$8*(הגדרות!$E$7+1),MOD(H2133-1,הגדרות!$E$7+1),MOD(H2133-1-הגדרות!$E$8*(הגדרות!$E$7+1),הגדרות!$E$7)))</f>
        <v/>
      </c>
      <c r="K2133" s="0" t="str">
        <f aca="false">IF(I2133="","",J2133*הגדרות!$E$6+I2133+1)</f>
        <v/>
      </c>
      <c r="L2133" s="0" t="str">
        <f aca="false">IF(K2133="","",MATCH(K2133,$F$2:$F$5001,0))</f>
        <v/>
      </c>
      <c r="M2133" s="0" t="str">
        <f aca="false">IF(I2133="","",INDEX(הגדרות!$A$2:$A$21,MOD(I2133+הגדרות!$E$9,הגדרות!$E$6)+1))</f>
        <v/>
      </c>
    </row>
    <row r="2134" customFormat="false" ht="15" hidden="false" customHeight="false" outlineLevel="0" collapsed="false">
      <c r="A2134" s="0" t="str">
        <f aca="false">IF('הדבקת לידים'!A2134="","",IF(ISNUMBER('הדבקת לידים'!A2134),IF(הגדרות!$E$2&gt;0,TEXT('הדבקת לידים'!A2134,REPT("0",הגדרות!$E$2)),TEXT('הדבקת לידים'!A2134,"0")),TRIM('הדבקת לידים'!A2134)))</f>
        <v/>
      </c>
      <c r="B2134" s="0" t="str">
        <f aca="false">IF('הדבקת לידים'!B2134="","",IF(ISNUMBER('הדבקת לידים'!B2134),IF(הגדרות!$E$3&gt;0,TEXT('הדבקת לידים'!B2134,REPT("0",הגדרות!$E$3)),TEXT('הדבקת לידים'!B2134,"0")),TRIM('הדבקת לידים'!B2134)))</f>
        <v/>
      </c>
      <c r="C2134" s="0" t="n">
        <f aca="false">IF(OR(A2134&lt;&gt;"",B2134&lt;&gt;""),1,0)</f>
        <v>0</v>
      </c>
      <c r="D2134" s="0" t="str">
        <f aca="false">IF(C2134=1,MOD(ABS(SIN(ROW()*12.9898+'הדבקת לידים'!$F$2*78.233+IFERROR(--RIGHT(A2134,6),LEN(A2134))*0.0137+IFERROR(--RIGHT(B2134,6),LEN(B2134))*0.0071))*43758.5453,1),"")</f>
        <v/>
      </c>
      <c r="E2134" s="0" t="str">
        <f aca="false">IF(C2134=1,INT(MOD(ABS(SIN(D2134*7919.123+ROW()*0.618+'הדבקת לידים'!$F$2*1.3))*43758.5453,1)*1000000)*10000+ROW(),"")</f>
        <v/>
      </c>
      <c r="F2134" s="0" t="str">
        <f aca="false">IF(E2134="","",RANK(E2134,$E$2:$E$5001,1))</f>
        <v/>
      </c>
      <c r="G2134" s="0" t="n">
        <f aca="false">IF(A2134="",0,IF(SUMPRODUCT(--($A$2:$A$5001=A2134))&gt;1,1,0))</f>
        <v>0</v>
      </c>
      <c r="H2134" s="0" t="n">
        <f aca="false">ROW()-1</f>
        <v>2133</v>
      </c>
      <c r="I2134" s="0" t="str">
        <f aca="false">IF(OR(הגדרות!$E$6=0,H2134&gt;הגדרות!$E$5),"",IF(H2134-1&lt;הגדרות!$E$8*(הגדרות!$E$7+1),INT((H2134-1)/(הגדרות!$E$7+1)),הגדרות!$E$8+INT((H2134-1-הגדרות!$E$8*(הגדרות!$E$7+1))/הגדרות!$E$7)))</f>
        <v/>
      </c>
      <c r="J2134" s="0" t="str">
        <f aca="false">IF(I2134="","",IF(H2134-1&lt;הגדרות!$E$8*(הגדרות!$E$7+1),MOD(H2134-1,הגדרות!$E$7+1),MOD(H2134-1-הגדרות!$E$8*(הגדרות!$E$7+1),הגדרות!$E$7)))</f>
        <v/>
      </c>
      <c r="K2134" s="0" t="str">
        <f aca="false">IF(I2134="","",J2134*הגדרות!$E$6+I2134+1)</f>
        <v/>
      </c>
      <c r="L2134" s="0" t="str">
        <f aca="false">IF(K2134="","",MATCH(K2134,$F$2:$F$5001,0))</f>
        <v/>
      </c>
      <c r="M2134" s="0" t="str">
        <f aca="false">IF(I2134="","",INDEX(הגדרות!$A$2:$A$21,MOD(I2134+הגדרות!$E$9,הגדרות!$E$6)+1))</f>
        <v/>
      </c>
    </row>
    <row r="2135" customFormat="false" ht="15" hidden="false" customHeight="false" outlineLevel="0" collapsed="false">
      <c r="A2135" s="0" t="str">
        <f aca="false">IF('הדבקת לידים'!A2135="","",IF(ISNUMBER('הדבקת לידים'!A2135),IF(הגדרות!$E$2&gt;0,TEXT('הדבקת לידים'!A2135,REPT("0",הגדרות!$E$2)),TEXT('הדבקת לידים'!A2135,"0")),TRIM('הדבקת לידים'!A2135)))</f>
        <v/>
      </c>
      <c r="B2135" s="0" t="str">
        <f aca="false">IF('הדבקת לידים'!B2135="","",IF(ISNUMBER('הדבקת לידים'!B2135),IF(הגדרות!$E$3&gt;0,TEXT('הדבקת לידים'!B2135,REPT("0",הגדרות!$E$3)),TEXT('הדבקת לידים'!B2135,"0")),TRIM('הדבקת לידים'!B2135)))</f>
        <v/>
      </c>
      <c r="C2135" s="0" t="n">
        <f aca="false">IF(OR(A2135&lt;&gt;"",B2135&lt;&gt;""),1,0)</f>
        <v>0</v>
      </c>
      <c r="D2135" s="0" t="str">
        <f aca="false">IF(C2135=1,MOD(ABS(SIN(ROW()*12.9898+'הדבקת לידים'!$F$2*78.233+IFERROR(--RIGHT(A2135,6),LEN(A2135))*0.0137+IFERROR(--RIGHT(B2135,6),LEN(B2135))*0.0071))*43758.5453,1),"")</f>
        <v/>
      </c>
      <c r="E2135" s="0" t="str">
        <f aca="false">IF(C2135=1,INT(MOD(ABS(SIN(D2135*7919.123+ROW()*0.618+'הדבקת לידים'!$F$2*1.3))*43758.5453,1)*1000000)*10000+ROW(),"")</f>
        <v/>
      </c>
      <c r="F2135" s="0" t="str">
        <f aca="false">IF(E2135="","",RANK(E2135,$E$2:$E$5001,1))</f>
        <v/>
      </c>
      <c r="G2135" s="0" t="n">
        <f aca="false">IF(A2135="",0,IF(SUMPRODUCT(--($A$2:$A$5001=A2135))&gt;1,1,0))</f>
        <v>0</v>
      </c>
      <c r="H2135" s="0" t="n">
        <f aca="false">ROW()-1</f>
        <v>2134</v>
      </c>
      <c r="I2135" s="0" t="str">
        <f aca="false">IF(OR(הגדרות!$E$6=0,H2135&gt;הגדרות!$E$5),"",IF(H2135-1&lt;הגדרות!$E$8*(הגדרות!$E$7+1),INT((H2135-1)/(הגדרות!$E$7+1)),הגדרות!$E$8+INT((H2135-1-הגדרות!$E$8*(הגדרות!$E$7+1))/הגדרות!$E$7)))</f>
        <v/>
      </c>
      <c r="J2135" s="0" t="str">
        <f aca="false">IF(I2135="","",IF(H2135-1&lt;הגדרות!$E$8*(הגדרות!$E$7+1),MOD(H2135-1,הגדרות!$E$7+1),MOD(H2135-1-הגדרות!$E$8*(הגדרות!$E$7+1),הגדרות!$E$7)))</f>
        <v/>
      </c>
      <c r="K2135" s="0" t="str">
        <f aca="false">IF(I2135="","",J2135*הגדרות!$E$6+I2135+1)</f>
        <v/>
      </c>
      <c r="L2135" s="0" t="str">
        <f aca="false">IF(K2135="","",MATCH(K2135,$F$2:$F$5001,0))</f>
        <v/>
      </c>
      <c r="M2135" s="0" t="str">
        <f aca="false">IF(I2135="","",INDEX(הגדרות!$A$2:$A$21,MOD(I2135+הגדרות!$E$9,הגדרות!$E$6)+1))</f>
        <v/>
      </c>
    </row>
    <row r="2136" customFormat="false" ht="15" hidden="false" customHeight="false" outlineLevel="0" collapsed="false">
      <c r="A2136" s="0" t="str">
        <f aca="false">IF('הדבקת לידים'!A2136="","",IF(ISNUMBER('הדבקת לידים'!A2136),IF(הגדרות!$E$2&gt;0,TEXT('הדבקת לידים'!A2136,REPT("0",הגדרות!$E$2)),TEXT('הדבקת לידים'!A2136,"0")),TRIM('הדבקת לידים'!A2136)))</f>
        <v/>
      </c>
      <c r="B2136" s="0" t="str">
        <f aca="false">IF('הדבקת לידים'!B2136="","",IF(ISNUMBER('הדבקת לידים'!B2136),IF(הגדרות!$E$3&gt;0,TEXT('הדבקת לידים'!B2136,REPT("0",הגדרות!$E$3)),TEXT('הדבקת לידים'!B2136,"0")),TRIM('הדבקת לידים'!B2136)))</f>
        <v/>
      </c>
      <c r="C2136" s="0" t="n">
        <f aca="false">IF(OR(A2136&lt;&gt;"",B2136&lt;&gt;""),1,0)</f>
        <v>0</v>
      </c>
      <c r="D2136" s="0" t="str">
        <f aca="false">IF(C2136=1,MOD(ABS(SIN(ROW()*12.9898+'הדבקת לידים'!$F$2*78.233+IFERROR(--RIGHT(A2136,6),LEN(A2136))*0.0137+IFERROR(--RIGHT(B2136,6),LEN(B2136))*0.0071))*43758.5453,1),"")</f>
        <v/>
      </c>
      <c r="E2136" s="0" t="str">
        <f aca="false">IF(C2136=1,INT(MOD(ABS(SIN(D2136*7919.123+ROW()*0.618+'הדבקת לידים'!$F$2*1.3))*43758.5453,1)*1000000)*10000+ROW(),"")</f>
        <v/>
      </c>
      <c r="F2136" s="0" t="str">
        <f aca="false">IF(E2136="","",RANK(E2136,$E$2:$E$5001,1))</f>
        <v/>
      </c>
      <c r="G2136" s="0" t="n">
        <f aca="false">IF(A2136="",0,IF(SUMPRODUCT(--($A$2:$A$5001=A2136))&gt;1,1,0))</f>
        <v>0</v>
      </c>
      <c r="H2136" s="0" t="n">
        <f aca="false">ROW()-1</f>
        <v>2135</v>
      </c>
      <c r="I2136" s="0" t="str">
        <f aca="false">IF(OR(הגדרות!$E$6=0,H2136&gt;הגדרות!$E$5),"",IF(H2136-1&lt;הגדרות!$E$8*(הגדרות!$E$7+1),INT((H2136-1)/(הגדרות!$E$7+1)),הגדרות!$E$8+INT((H2136-1-הגדרות!$E$8*(הגדרות!$E$7+1))/הגדרות!$E$7)))</f>
        <v/>
      </c>
      <c r="J2136" s="0" t="str">
        <f aca="false">IF(I2136="","",IF(H2136-1&lt;הגדרות!$E$8*(הגדרות!$E$7+1),MOD(H2136-1,הגדרות!$E$7+1),MOD(H2136-1-הגדרות!$E$8*(הגדרות!$E$7+1),הגדרות!$E$7)))</f>
        <v/>
      </c>
      <c r="K2136" s="0" t="str">
        <f aca="false">IF(I2136="","",J2136*הגדרות!$E$6+I2136+1)</f>
        <v/>
      </c>
      <c r="L2136" s="0" t="str">
        <f aca="false">IF(K2136="","",MATCH(K2136,$F$2:$F$5001,0))</f>
        <v/>
      </c>
      <c r="M2136" s="0" t="str">
        <f aca="false">IF(I2136="","",INDEX(הגדרות!$A$2:$A$21,MOD(I2136+הגדרות!$E$9,הגדרות!$E$6)+1))</f>
        <v/>
      </c>
    </row>
    <row r="2137" customFormat="false" ht="15" hidden="false" customHeight="false" outlineLevel="0" collapsed="false">
      <c r="A2137" s="0" t="str">
        <f aca="false">IF('הדבקת לידים'!A2137="","",IF(ISNUMBER('הדבקת לידים'!A2137),IF(הגדרות!$E$2&gt;0,TEXT('הדבקת לידים'!A2137,REPT("0",הגדרות!$E$2)),TEXT('הדבקת לידים'!A2137,"0")),TRIM('הדבקת לידים'!A2137)))</f>
        <v/>
      </c>
      <c r="B2137" s="0" t="str">
        <f aca="false">IF('הדבקת לידים'!B2137="","",IF(ISNUMBER('הדבקת לידים'!B2137),IF(הגדרות!$E$3&gt;0,TEXT('הדבקת לידים'!B2137,REPT("0",הגדרות!$E$3)),TEXT('הדבקת לידים'!B2137,"0")),TRIM('הדבקת לידים'!B2137)))</f>
        <v/>
      </c>
      <c r="C2137" s="0" t="n">
        <f aca="false">IF(OR(A2137&lt;&gt;"",B2137&lt;&gt;""),1,0)</f>
        <v>0</v>
      </c>
      <c r="D2137" s="0" t="str">
        <f aca="false">IF(C2137=1,MOD(ABS(SIN(ROW()*12.9898+'הדבקת לידים'!$F$2*78.233+IFERROR(--RIGHT(A2137,6),LEN(A2137))*0.0137+IFERROR(--RIGHT(B2137,6),LEN(B2137))*0.0071))*43758.5453,1),"")</f>
        <v/>
      </c>
      <c r="E2137" s="0" t="str">
        <f aca="false">IF(C2137=1,INT(MOD(ABS(SIN(D2137*7919.123+ROW()*0.618+'הדבקת לידים'!$F$2*1.3))*43758.5453,1)*1000000)*10000+ROW(),"")</f>
        <v/>
      </c>
      <c r="F2137" s="0" t="str">
        <f aca="false">IF(E2137="","",RANK(E2137,$E$2:$E$5001,1))</f>
        <v/>
      </c>
      <c r="G2137" s="0" t="n">
        <f aca="false">IF(A2137="",0,IF(SUMPRODUCT(--($A$2:$A$5001=A2137))&gt;1,1,0))</f>
        <v>0</v>
      </c>
      <c r="H2137" s="0" t="n">
        <f aca="false">ROW()-1</f>
        <v>2136</v>
      </c>
      <c r="I2137" s="0" t="str">
        <f aca="false">IF(OR(הגדרות!$E$6=0,H2137&gt;הגדרות!$E$5),"",IF(H2137-1&lt;הגדרות!$E$8*(הגדרות!$E$7+1),INT((H2137-1)/(הגדרות!$E$7+1)),הגדרות!$E$8+INT((H2137-1-הגדרות!$E$8*(הגדרות!$E$7+1))/הגדרות!$E$7)))</f>
        <v/>
      </c>
      <c r="J2137" s="0" t="str">
        <f aca="false">IF(I2137="","",IF(H2137-1&lt;הגדרות!$E$8*(הגדרות!$E$7+1),MOD(H2137-1,הגדרות!$E$7+1),MOD(H2137-1-הגדרות!$E$8*(הגדרות!$E$7+1),הגדרות!$E$7)))</f>
        <v/>
      </c>
      <c r="K2137" s="0" t="str">
        <f aca="false">IF(I2137="","",J2137*הגדרות!$E$6+I2137+1)</f>
        <v/>
      </c>
      <c r="L2137" s="0" t="str">
        <f aca="false">IF(K2137="","",MATCH(K2137,$F$2:$F$5001,0))</f>
        <v/>
      </c>
      <c r="M2137" s="0" t="str">
        <f aca="false">IF(I2137="","",INDEX(הגדרות!$A$2:$A$21,MOD(I2137+הגדרות!$E$9,הגדרות!$E$6)+1))</f>
        <v/>
      </c>
    </row>
    <row r="2138" customFormat="false" ht="15" hidden="false" customHeight="false" outlineLevel="0" collapsed="false">
      <c r="A2138" s="0" t="str">
        <f aca="false">IF('הדבקת לידים'!A2138="","",IF(ISNUMBER('הדבקת לידים'!A2138),IF(הגדרות!$E$2&gt;0,TEXT('הדבקת לידים'!A2138,REPT("0",הגדרות!$E$2)),TEXT('הדבקת לידים'!A2138,"0")),TRIM('הדבקת לידים'!A2138)))</f>
        <v/>
      </c>
      <c r="B2138" s="0" t="str">
        <f aca="false">IF('הדבקת לידים'!B2138="","",IF(ISNUMBER('הדבקת לידים'!B2138),IF(הגדרות!$E$3&gt;0,TEXT('הדבקת לידים'!B2138,REPT("0",הגדרות!$E$3)),TEXT('הדבקת לידים'!B2138,"0")),TRIM('הדבקת לידים'!B2138)))</f>
        <v/>
      </c>
      <c r="C2138" s="0" t="n">
        <f aca="false">IF(OR(A2138&lt;&gt;"",B2138&lt;&gt;""),1,0)</f>
        <v>0</v>
      </c>
      <c r="D2138" s="0" t="str">
        <f aca="false">IF(C2138=1,MOD(ABS(SIN(ROW()*12.9898+'הדבקת לידים'!$F$2*78.233+IFERROR(--RIGHT(A2138,6),LEN(A2138))*0.0137+IFERROR(--RIGHT(B2138,6),LEN(B2138))*0.0071))*43758.5453,1),"")</f>
        <v/>
      </c>
      <c r="E2138" s="0" t="str">
        <f aca="false">IF(C2138=1,INT(MOD(ABS(SIN(D2138*7919.123+ROW()*0.618+'הדבקת לידים'!$F$2*1.3))*43758.5453,1)*1000000)*10000+ROW(),"")</f>
        <v/>
      </c>
      <c r="F2138" s="0" t="str">
        <f aca="false">IF(E2138="","",RANK(E2138,$E$2:$E$5001,1))</f>
        <v/>
      </c>
      <c r="G2138" s="0" t="n">
        <f aca="false">IF(A2138="",0,IF(SUMPRODUCT(--($A$2:$A$5001=A2138))&gt;1,1,0))</f>
        <v>0</v>
      </c>
      <c r="H2138" s="0" t="n">
        <f aca="false">ROW()-1</f>
        <v>2137</v>
      </c>
      <c r="I2138" s="0" t="str">
        <f aca="false">IF(OR(הגדרות!$E$6=0,H2138&gt;הגדרות!$E$5),"",IF(H2138-1&lt;הגדרות!$E$8*(הגדרות!$E$7+1),INT((H2138-1)/(הגדרות!$E$7+1)),הגדרות!$E$8+INT((H2138-1-הגדרות!$E$8*(הגדרות!$E$7+1))/הגדרות!$E$7)))</f>
        <v/>
      </c>
      <c r="J2138" s="0" t="str">
        <f aca="false">IF(I2138="","",IF(H2138-1&lt;הגדרות!$E$8*(הגדרות!$E$7+1),MOD(H2138-1,הגדרות!$E$7+1),MOD(H2138-1-הגדרות!$E$8*(הגדרות!$E$7+1),הגדרות!$E$7)))</f>
        <v/>
      </c>
      <c r="K2138" s="0" t="str">
        <f aca="false">IF(I2138="","",J2138*הגדרות!$E$6+I2138+1)</f>
        <v/>
      </c>
      <c r="L2138" s="0" t="str">
        <f aca="false">IF(K2138="","",MATCH(K2138,$F$2:$F$5001,0))</f>
        <v/>
      </c>
      <c r="M2138" s="0" t="str">
        <f aca="false">IF(I2138="","",INDEX(הגדרות!$A$2:$A$21,MOD(I2138+הגדרות!$E$9,הגדרות!$E$6)+1))</f>
        <v/>
      </c>
    </row>
    <row r="2139" customFormat="false" ht="15" hidden="false" customHeight="false" outlineLevel="0" collapsed="false">
      <c r="A2139" s="0" t="str">
        <f aca="false">IF('הדבקת לידים'!A2139="","",IF(ISNUMBER('הדבקת לידים'!A2139),IF(הגדרות!$E$2&gt;0,TEXT('הדבקת לידים'!A2139,REPT("0",הגדרות!$E$2)),TEXT('הדבקת לידים'!A2139,"0")),TRIM('הדבקת לידים'!A2139)))</f>
        <v/>
      </c>
      <c r="B2139" s="0" t="str">
        <f aca="false">IF('הדבקת לידים'!B2139="","",IF(ISNUMBER('הדבקת לידים'!B2139),IF(הגדרות!$E$3&gt;0,TEXT('הדבקת לידים'!B2139,REPT("0",הגדרות!$E$3)),TEXT('הדבקת לידים'!B2139,"0")),TRIM('הדבקת לידים'!B2139)))</f>
        <v/>
      </c>
      <c r="C2139" s="0" t="n">
        <f aca="false">IF(OR(A2139&lt;&gt;"",B2139&lt;&gt;""),1,0)</f>
        <v>0</v>
      </c>
      <c r="D2139" s="0" t="str">
        <f aca="false">IF(C2139=1,MOD(ABS(SIN(ROW()*12.9898+'הדבקת לידים'!$F$2*78.233+IFERROR(--RIGHT(A2139,6),LEN(A2139))*0.0137+IFERROR(--RIGHT(B2139,6),LEN(B2139))*0.0071))*43758.5453,1),"")</f>
        <v/>
      </c>
      <c r="E2139" s="0" t="str">
        <f aca="false">IF(C2139=1,INT(MOD(ABS(SIN(D2139*7919.123+ROW()*0.618+'הדבקת לידים'!$F$2*1.3))*43758.5453,1)*1000000)*10000+ROW(),"")</f>
        <v/>
      </c>
      <c r="F2139" s="0" t="str">
        <f aca="false">IF(E2139="","",RANK(E2139,$E$2:$E$5001,1))</f>
        <v/>
      </c>
      <c r="G2139" s="0" t="n">
        <f aca="false">IF(A2139="",0,IF(SUMPRODUCT(--($A$2:$A$5001=A2139))&gt;1,1,0))</f>
        <v>0</v>
      </c>
      <c r="H2139" s="0" t="n">
        <f aca="false">ROW()-1</f>
        <v>2138</v>
      </c>
      <c r="I2139" s="0" t="str">
        <f aca="false">IF(OR(הגדרות!$E$6=0,H2139&gt;הגדרות!$E$5),"",IF(H2139-1&lt;הגדרות!$E$8*(הגדרות!$E$7+1),INT((H2139-1)/(הגדרות!$E$7+1)),הגדרות!$E$8+INT((H2139-1-הגדרות!$E$8*(הגדרות!$E$7+1))/הגדרות!$E$7)))</f>
        <v/>
      </c>
      <c r="J2139" s="0" t="str">
        <f aca="false">IF(I2139="","",IF(H2139-1&lt;הגדרות!$E$8*(הגדרות!$E$7+1),MOD(H2139-1,הגדרות!$E$7+1),MOD(H2139-1-הגדרות!$E$8*(הגדרות!$E$7+1),הגדרות!$E$7)))</f>
        <v/>
      </c>
      <c r="K2139" s="0" t="str">
        <f aca="false">IF(I2139="","",J2139*הגדרות!$E$6+I2139+1)</f>
        <v/>
      </c>
      <c r="L2139" s="0" t="str">
        <f aca="false">IF(K2139="","",MATCH(K2139,$F$2:$F$5001,0))</f>
        <v/>
      </c>
      <c r="M2139" s="0" t="str">
        <f aca="false">IF(I2139="","",INDEX(הגדרות!$A$2:$A$21,MOD(I2139+הגדרות!$E$9,הגדרות!$E$6)+1))</f>
        <v/>
      </c>
    </row>
    <row r="2140" customFormat="false" ht="15" hidden="false" customHeight="false" outlineLevel="0" collapsed="false">
      <c r="A2140" s="0" t="str">
        <f aca="false">IF('הדבקת לידים'!A2140="","",IF(ISNUMBER('הדבקת לידים'!A2140),IF(הגדרות!$E$2&gt;0,TEXT('הדבקת לידים'!A2140,REPT("0",הגדרות!$E$2)),TEXT('הדבקת לידים'!A2140,"0")),TRIM('הדבקת לידים'!A2140)))</f>
        <v/>
      </c>
      <c r="B2140" s="0" t="str">
        <f aca="false">IF('הדבקת לידים'!B2140="","",IF(ISNUMBER('הדבקת לידים'!B2140),IF(הגדרות!$E$3&gt;0,TEXT('הדבקת לידים'!B2140,REPT("0",הגדרות!$E$3)),TEXT('הדבקת לידים'!B2140,"0")),TRIM('הדבקת לידים'!B2140)))</f>
        <v/>
      </c>
      <c r="C2140" s="0" t="n">
        <f aca="false">IF(OR(A2140&lt;&gt;"",B2140&lt;&gt;""),1,0)</f>
        <v>0</v>
      </c>
      <c r="D2140" s="0" t="str">
        <f aca="false">IF(C2140=1,MOD(ABS(SIN(ROW()*12.9898+'הדבקת לידים'!$F$2*78.233+IFERROR(--RIGHT(A2140,6),LEN(A2140))*0.0137+IFERROR(--RIGHT(B2140,6),LEN(B2140))*0.0071))*43758.5453,1),"")</f>
        <v/>
      </c>
      <c r="E2140" s="0" t="str">
        <f aca="false">IF(C2140=1,INT(MOD(ABS(SIN(D2140*7919.123+ROW()*0.618+'הדבקת לידים'!$F$2*1.3))*43758.5453,1)*1000000)*10000+ROW(),"")</f>
        <v/>
      </c>
      <c r="F2140" s="0" t="str">
        <f aca="false">IF(E2140="","",RANK(E2140,$E$2:$E$5001,1))</f>
        <v/>
      </c>
      <c r="G2140" s="0" t="n">
        <f aca="false">IF(A2140="",0,IF(SUMPRODUCT(--($A$2:$A$5001=A2140))&gt;1,1,0))</f>
        <v>0</v>
      </c>
      <c r="H2140" s="0" t="n">
        <f aca="false">ROW()-1</f>
        <v>2139</v>
      </c>
      <c r="I2140" s="0" t="str">
        <f aca="false">IF(OR(הגדרות!$E$6=0,H2140&gt;הגדרות!$E$5),"",IF(H2140-1&lt;הגדרות!$E$8*(הגדרות!$E$7+1),INT((H2140-1)/(הגדרות!$E$7+1)),הגדרות!$E$8+INT((H2140-1-הגדרות!$E$8*(הגדרות!$E$7+1))/הגדרות!$E$7)))</f>
        <v/>
      </c>
      <c r="J2140" s="0" t="str">
        <f aca="false">IF(I2140="","",IF(H2140-1&lt;הגדרות!$E$8*(הגדרות!$E$7+1),MOD(H2140-1,הגדרות!$E$7+1),MOD(H2140-1-הגדרות!$E$8*(הגדרות!$E$7+1),הגדרות!$E$7)))</f>
        <v/>
      </c>
      <c r="K2140" s="0" t="str">
        <f aca="false">IF(I2140="","",J2140*הגדרות!$E$6+I2140+1)</f>
        <v/>
      </c>
      <c r="L2140" s="0" t="str">
        <f aca="false">IF(K2140="","",MATCH(K2140,$F$2:$F$5001,0))</f>
        <v/>
      </c>
      <c r="M2140" s="0" t="str">
        <f aca="false">IF(I2140="","",INDEX(הגדרות!$A$2:$A$21,MOD(I2140+הגדרות!$E$9,הגדרות!$E$6)+1))</f>
        <v/>
      </c>
    </row>
    <row r="2141" customFormat="false" ht="15" hidden="false" customHeight="false" outlineLevel="0" collapsed="false">
      <c r="A2141" s="0" t="str">
        <f aca="false">IF('הדבקת לידים'!A2141="","",IF(ISNUMBER('הדבקת לידים'!A2141),IF(הגדרות!$E$2&gt;0,TEXT('הדבקת לידים'!A2141,REPT("0",הגדרות!$E$2)),TEXT('הדבקת לידים'!A2141,"0")),TRIM('הדבקת לידים'!A2141)))</f>
        <v/>
      </c>
      <c r="B2141" s="0" t="str">
        <f aca="false">IF('הדבקת לידים'!B2141="","",IF(ISNUMBER('הדבקת לידים'!B2141),IF(הגדרות!$E$3&gt;0,TEXT('הדבקת לידים'!B2141,REPT("0",הגדרות!$E$3)),TEXT('הדבקת לידים'!B2141,"0")),TRIM('הדבקת לידים'!B2141)))</f>
        <v/>
      </c>
      <c r="C2141" s="0" t="n">
        <f aca="false">IF(OR(A2141&lt;&gt;"",B2141&lt;&gt;""),1,0)</f>
        <v>0</v>
      </c>
      <c r="D2141" s="0" t="str">
        <f aca="false">IF(C2141=1,MOD(ABS(SIN(ROW()*12.9898+'הדבקת לידים'!$F$2*78.233+IFERROR(--RIGHT(A2141,6),LEN(A2141))*0.0137+IFERROR(--RIGHT(B2141,6),LEN(B2141))*0.0071))*43758.5453,1),"")</f>
        <v/>
      </c>
      <c r="E2141" s="0" t="str">
        <f aca="false">IF(C2141=1,INT(MOD(ABS(SIN(D2141*7919.123+ROW()*0.618+'הדבקת לידים'!$F$2*1.3))*43758.5453,1)*1000000)*10000+ROW(),"")</f>
        <v/>
      </c>
      <c r="F2141" s="0" t="str">
        <f aca="false">IF(E2141="","",RANK(E2141,$E$2:$E$5001,1))</f>
        <v/>
      </c>
      <c r="G2141" s="0" t="n">
        <f aca="false">IF(A2141="",0,IF(SUMPRODUCT(--($A$2:$A$5001=A2141))&gt;1,1,0))</f>
        <v>0</v>
      </c>
      <c r="H2141" s="0" t="n">
        <f aca="false">ROW()-1</f>
        <v>2140</v>
      </c>
      <c r="I2141" s="0" t="str">
        <f aca="false">IF(OR(הגדרות!$E$6=0,H2141&gt;הגדרות!$E$5),"",IF(H2141-1&lt;הגדרות!$E$8*(הגדרות!$E$7+1),INT((H2141-1)/(הגדרות!$E$7+1)),הגדרות!$E$8+INT((H2141-1-הגדרות!$E$8*(הגדרות!$E$7+1))/הגדרות!$E$7)))</f>
        <v/>
      </c>
      <c r="J2141" s="0" t="str">
        <f aca="false">IF(I2141="","",IF(H2141-1&lt;הגדרות!$E$8*(הגדרות!$E$7+1),MOD(H2141-1,הגדרות!$E$7+1),MOD(H2141-1-הגדרות!$E$8*(הגדרות!$E$7+1),הגדרות!$E$7)))</f>
        <v/>
      </c>
      <c r="K2141" s="0" t="str">
        <f aca="false">IF(I2141="","",J2141*הגדרות!$E$6+I2141+1)</f>
        <v/>
      </c>
      <c r="L2141" s="0" t="str">
        <f aca="false">IF(K2141="","",MATCH(K2141,$F$2:$F$5001,0))</f>
        <v/>
      </c>
      <c r="M2141" s="0" t="str">
        <f aca="false">IF(I2141="","",INDEX(הגדרות!$A$2:$A$21,MOD(I2141+הגדרות!$E$9,הגדרות!$E$6)+1))</f>
        <v/>
      </c>
    </row>
    <row r="2142" customFormat="false" ht="15" hidden="false" customHeight="false" outlineLevel="0" collapsed="false">
      <c r="A2142" s="0" t="str">
        <f aca="false">IF('הדבקת לידים'!A2142="","",IF(ISNUMBER('הדבקת לידים'!A2142),IF(הגדרות!$E$2&gt;0,TEXT('הדבקת לידים'!A2142,REPT("0",הגדרות!$E$2)),TEXT('הדבקת לידים'!A2142,"0")),TRIM('הדבקת לידים'!A2142)))</f>
        <v/>
      </c>
      <c r="B2142" s="0" t="str">
        <f aca="false">IF('הדבקת לידים'!B2142="","",IF(ISNUMBER('הדבקת לידים'!B2142),IF(הגדרות!$E$3&gt;0,TEXT('הדבקת לידים'!B2142,REPT("0",הגדרות!$E$3)),TEXT('הדבקת לידים'!B2142,"0")),TRIM('הדבקת לידים'!B2142)))</f>
        <v/>
      </c>
      <c r="C2142" s="0" t="n">
        <f aca="false">IF(OR(A2142&lt;&gt;"",B2142&lt;&gt;""),1,0)</f>
        <v>0</v>
      </c>
      <c r="D2142" s="0" t="str">
        <f aca="false">IF(C2142=1,MOD(ABS(SIN(ROW()*12.9898+'הדבקת לידים'!$F$2*78.233+IFERROR(--RIGHT(A2142,6),LEN(A2142))*0.0137+IFERROR(--RIGHT(B2142,6),LEN(B2142))*0.0071))*43758.5453,1),"")</f>
        <v/>
      </c>
      <c r="E2142" s="0" t="str">
        <f aca="false">IF(C2142=1,INT(MOD(ABS(SIN(D2142*7919.123+ROW()*0.618+'הדבקת לידים'!$F$2*1.3))*43758.5453,1)*1000000)*10000+ROW(),"")</f>
        <v/>
      </c>
      <c r="F2142" s="0" t="str">
        <f aca="false">IF(E2142="","",RANK(E2142,$E$2:$E$5001,1))</f>
        <v/>
      </c>
      <c r="G2142" s="0" t="n">
        <f aca="false">IF(A2142="",0,IF(SUMPRODUCT(--($A$2:$A$5001=A2142))&gt;1,1,0))</f>
        <v>0</v>
      </c>
      <c r="H2142" s="0" t="n">
        <f aca="false">ROW()-1</f>
        <v>2141</v>
      </c>
      <c r="I2142" s="0" t="str">
        <f aca="false">IF(OR(הגדרות!$E$6=0,H2142&gt;הגדרות!$E$5),"",IF(H2142-1&lt;הגדרות!$E$8*(הגדרות!$E$7+1),INT((H2142-1)/(הגדרות!$E$7+1)),הגדרות!$E$8+INT((H2142-1-הגדרות!$E$8*(הגדרות!$E$7+1))/הגדרות!$E$7)))</f>
        <v/>
      </c>
      <c r="J2142" s="0" t="str">
        <f aca="false">IF(I2142="","",IF(H2142-1&lt;הגדרות!$E$8*(הגדרות!$E$7+1),MOD(H2142-1,הגדרות!$E$7+1),MOD(H2142-1-הגדרות!$E$8*(הגדרות!$E$7+1),הגדרות!$E$7)))</f>
        <v/>
      </c>
      <c r="K2142" s="0" t="str">
        <f aca="false">IF(I2142="","",J2142*הגדרות!$E$6+I2142+1)</f>
        <v/>
      </c>
      <c r="L2142" s="0" t="str">
        <f aca="false">IF(K2142="","",MATCH(K2142,$F$2:$F$5001,0))</f>
        <v/>
      </c>
      <c r="M2142" s="0" t="str">
        <f aca="false">IF(I2142="","",INDEX(הגדרות!$A$2:$A$21,MOD(I2142+הגדרות!$E$9,הגדרות!$E$6)+1))</f>
        <v/>
      </c>
    </row>
    <row r="2143" customFormat="false" ht="15" hidden="false" customHeight="false" outlineLevel="0" collapsed="false">
      <c r="A2143" s="0" t="str">
        <f aca="false">IF('הדבקת לידים'!A2143="","",IF(ISNUMBER('הדבקת לידים'!A2143),IF(הגדרות!$E$2&gt;0,TEXT('הדבקת לידים'!A2143,REPT("0",הגדרות!$E$2)),TEXT('הדבקת לידים'!A2143,"0")),TRIM('הדבקת לידים'!A2143)))</f>
        <v/>
      </c>
      <c r="B2143" s="0" t="str">
        <f aca="false">IF('הדבקת לידים'!B2143="","",IF(ISNUMBER('הדבקת לידים'!B2143),IF(הגדרות!$E$3&gt;0,TEXT('הדבקת לידים'!B2143,REPT("0",הגדרות!$E$3)),TEXT('הדבקת לידים'!B2143,"0")),TRIM('הדבקת לידים'!B2143)))</f>
        <v/>
      </c>
      <c r="C2143" s="0" t="n">
        <f aca="false">IF(OR(A2143&lt;&gt;"",B2143&lt;&gt;""),1,0)</f>
        <v>0</v>
      </c>
      <c r="D2143" s="0" t="str">
        <f aca="false">IF(C2143=1,MOD(ABS(SIN(ROW()*12.9898+'הדבקת לידים'!$F$2*78.233+IFERROR(--RIGHT(A2143,6),LEN(A2143))*0.0137+IFERROR(--RIGHT(B2143,6),LEN(B2143))*0.0071))*43758.5453,1),"")</f>
        <v/>
      </c>
      <c r="E2143" s="0" t="str">
        <f aca="false">IF(C2143=1,INT(MOD(ABS(SIN(D2143*7919.123+ROW()*0.618+'הדבקת לידים'!$F$2*1.3))*43758.5453,1)*1000000)*10000+ROW(),"")</f>
        <v/>
      </c>
      <c r="F2143" s="0" t="str">
        <f aca="false">IF(E2143="","",RANK(E2143,$E$2:$E$5001,1))</f>
        <v/>
      </c>
      <c r="G2143" s="0" t="n">
        <f aca="false">IF(A2143="",0,IF(SUMPRODUCT(--($A$2:$A$5001=A2143))&gt;1,1,0))</f>
        <v>0</v>
      </c>
      <c r="H2143" s="0" t="n">
        <f aca="false">ROW()-1</f>
        <v>2142</v>
      </c>
      <c r="I2143" s="0" t="str">
        <f aca="false">IF(OR(הגדרות!$E$6=0,H2143&gt;הגדרות!$E$5),"",IF(H2143-1&lt;הגדרות!$E$8*(הגדרות!$E$7+1),INT((H2143-1)/(הגדרות!$E$7+1)),הגדרות!$E$8+INT((H2143-1-הגדרות!$E$8*(הגדרות!$E$7+1))/הגדרות!$E$7)))</f>
        <v/>
      </c>
      <c r="J2143" s="0" t="str">
        <f aca="false">IF(I2143="","",IF(H2143-1&lt;הגדרות!$E$8*(הגדרות!$E$7+1),MOD(H2143-1,הגדרות!$E$7+1),MOD(H2143-1-הגדרות!$E$8*(הגדרות!$E$7+1),הגדרות!$E$7)))</f>
        <v/>
      </c>
      <c r="K2143" s="0" t="str">
        <f aca="false">IF(I2143="","",J2143*הגדרות!$E$6+I2143+1)</f>
        <v/>
      </c>
      <c r="L2143" s="0" t="str">
        <f aca="false">IF(K2143="","",MATCH(K2143,$F$2:$F$5001,0))</f>
        <v/>
      </c>
      <c r="M2143" s="0" t="str">
        <f aca="false">IF(I2143="","",INDEX(הגדרות!$A$2:$A$21,MOD(I2143+הגדרות!$E$9,הגדרות!$E$6)+1))</f>
        <v/>
      </c>
    </row>
    <row r="2144" customFormat="false" ht="15" hidden="false" customHeight="false" outlineLevel="0" collapsed="false">
      <c r="A2144" s="0" t="str">
        <f aca="false">IF('הדבקת לידים'!A2144="","",IF(ISNUMBER('הדבקת לידים'!A2144),IF(הגדרות!$E$2&gt;0,TEXT('הדבקת לידים'!A2144,REPT("0",הגדרות!$E$2)),TEXT('הדבקת לידים'!A2144,"0")),TRIM('הדבקת לידים'!A2144)))</f>
        <v/>
      </c>
      <c r="B2144" s="0" t="str">
        <f aca="false">IF('הדבקת לידים'!B2144="","",IF(ISNUMBER('הדבקת לידים'!B2144),IF(הגדרות!$E$3&gt;0,TEXT('הדבקת לידים'!B2144,REPT("0",הגדרות!$E$3)),TEXT('הדבקת לידים'!B2144,"0")),TRIM('הדבקת לידים'!B2144)))</f>
        <v/>
      </c>
      <c r="C2144" s="0" t="n">
        <f aca="false">IF(OR(A2144&lt;&gt;"",B2144&lt;&gt;""),1,0)</f>
        <v>0</v>
      </c>
      <c r="D2144" s="0" t="str">
        <f aca="false">IF(C2144=1,MOD(ABS(SIN(ROW()*12.9898+'הדבקת לידים'!$F$2*78.233+IFERROR(--RIGHT(A2144,6),LEN(A2144))*0.0137+IFERROR(--RIGHT(B2144,6),LEN(B2144))*0.0071))*43758.5453,1),"")</f>
        <v/>
      </c>
      <c r="E2144" s="0" t="str">
        <f aca="false">IF(C2144=1,INT(MOD(ABS(SIN(D2144*7919.123+ROW()*0.618+'הדבקת לידים'!$F$2*1.3))*43758.5453,1)*1000000)*10000+ROW(),"")</f>
        <v/>
      </c>
      <c r="F2144" s="0" t="str">
        <f aca="false">IF(E2144="","",RANK(E2144,$E$2:$E$5001,1))</f>
        <v/>
      </c>
      <c r="G2144" s="0" t="n">
        <f aca="false">IF(A2144="",0,IF(SUMPRODUCT(--($A$2:$A$5001=A2144))&gt;1,1,0))</f>
        <v>0</v>
      </c>
      <c r="H2144" s="0" t="n">
        <f aca="false">ROW()-1</f>
        <v>2143</v>
      </c>
      <c r="I2144" s="0" t="str">
        <f aca="false">IF(OR(הגדרות!$E$6=0,H2144&gt;הגדרות!$E$5),"",IF(H2144-1&lt;הגדרות!$E$8*(הגדרות!$E$7+1),INT((H2144-1)/(הגדרות!$E$7+1)),הגדרות!$E$8+INT((H2144-1-הגדרות!$E$8*(הגדרות!$E$7+1))/הגדרות!$E$7)))</f>
        <v/>
      </c>
      <c r="J2144" s="0" t="str">
        <f aca="false">IF(I2144="","",IF(H2144-1&lt;הגדרות!$E$8*(הגדרות!$E$7+1),MOD(H2144-1,הגדרות!$E$7+1),MOD(H2144-1-הגדרות!$E$8*(הגדרות!$E$7+1),הגדרות!$E$7)))</f>
        <v/>
      </c>
      <c r="K2144" s="0" t="str">
        <f aca="false">IF(I2144="","",J2144*הגדרות!$E$6+I2144+1)</f>
        <v/>
      </c>
      <c r="L2144" s="0" t="str">
        <f aca="false">IF(K2144="","",MATCH(K2144,$F$2:$F$5001,0))</f>
        <v/>
      </c>
      <c r="M2144" s="0" t="str">
        <f aca="false">IF(I2144="","",INDEX(הגדרות!$A$2:$A$21,MOD(I2144+הגדרות!$E$9,הגדרות!$E$6)+1))</f>
        <v/>
      </c>
    </row>
    <row r="2145" customFormat="false" ht="15" hidden="false" customHeight="false" outlineLevel="0" collapsed="false">
      <c r="A2145" s="0" t="str">
        <f aca="false">IF('הדבקת לידים'!A2145="","",IF(ISNUMBER('הדבקת לידים'!A2145),IF(הגדרות!$E$2&gt;0,TEXT('הדבקת לידים'!A2145,REPT("0",הגדרות!$E$2)),TEXT('הדבקת לידים'!A2145,"0")),TRIM('הדבקת לידים'!A2145)))</f>
        <v/>
      </c>
      <c r="B2145" s="0" t="str">
        <f aca="false">IF('הדבקת לידים'!B2145="","",IF(ISNUMBER('הדבקת לידים'!B2145),IF(הגדרות!$E$3&gt;0,TEXT('הדבקת לידים'!B2145,REPT("0",הגדרות!$E$3)),TEXT('הדבקת לידים'!B2145,"0")),TRIM('הדבקת לידים'!B2145)))</f>
        <v/>
      </c>
      <c r="C2145" s="0" t="n">
        <f aca="false">IF(OR(A2145&lt;&gt;"",B2145&lt;&gt;""),1,0)</f>
        <v>0</v>
      </c>
      <c r="D2145" s="0" t="str">
        <f aca="false">IF(C2145=1,MOD(ABS(SIN(ROW()*12.9898+'הדבקת לידים'!$F$2*78.233+IFERROR(--RIGHT(A2145,6),LEN(A2145))*0.0137+IFERROR(--RIGHT(B2145,6),LEN(B2145))*0.0071))*43758.5453,1),"")</f>
        <v/>
      </c>
      <c r="E2145" s="0" t="str">
        <f aca="false">IF(C2145=1,INT(MOD(ABS(SIN(D2145*7919.123+ROW()*0.618+'הדבקת לידים'!$F$2*1.3))*43758.5453,1)*1000000)*10000+ROW(),"")</f>
        <v/>
      </c>
      <c r="F2145" s="0" t="str">
        <f aca="false">IF(E2145="","",RANK(E2145,$E$2:$E$5001,1))</f>
        <v/>
      </c>
      <c r="G2145" s="0" t="n">
        <f aca="false">IF(A2145="",0,IF(SUMPRODUCT(--($A$2:$A$5001=A2145))&gt;1,1,0))</f>
        <v>0</v>
      </c>
      <c r="H2145" s="0" t="n">
        <f aca="false">ROW()-1</f>
        <v>2144</v>
      </c>
      <c r="I2145" s="0" t="str">
        <f aca="false">IF(OR(הגדרות!$E$6=0,H2145&gt;הגדרות!$E$5),"",IF(H2145-1&lt;הגדרות!$E$8*(הגדרות!$E$7+1),INT((H2145-1)/(הגדרות!$E$7+1)),הגדרות!$E$8+INT((H2145-1-הגדרות!$E$8*(הגדרות!$E$7+1))/הגדרות!$E$7)))</f>
        <v/>
      </c>
      <c r="J2145" s="0" t="str">
        <f aca="false">IF(I2145="","",IF(H2145-1&lt;הגדרות!$E$8*(הגדרות!$E$7+1),MOD(H2145-1,הגדרות!$E$7+1),MOD(H2145-1-הגדרות!$E$8*(הגדרות!$E$7+1),הגדרות!$E$7)))</f>
        <v/>
      </c>
      <c r="K2145" s="0" t="str">
        <f aca="false">IF(I2145="","",J2145*הגדרות!$E$6+I2145+1)</f>
        <v/>
      </c>
      <c r="L2145" s="0" t="str">
        <f aca="false">IF(K2145="","",MATCH(K2145,$F$2:$F$5001,0))</f>
        <v/>
      </c>
      <c r="M2145" s="0" t="str">
        <f aca="false">IF(I2145="","",INDEX(הגדרות!$A$2:$A$21,MOD(I2145+הגדרות!$E$9,הגדרות!$E$6)+1))</f>
        <v/>
      </c>
    </row>
    <row r="2146" customFormat="false" ht="15" hidden="false" customHeight="false" outlineLevel="0" collapsed="false">
      <c r="A2146" s="0" t="str">
        <f aca="false">IF('הדבקת לידים'!A2146="","",IF(ISNUMBER('הדבקת לידים'!A2146),IF(הגדרות!$E$2&gt;0,TEXT('הדבקת לידים'!A2146,REPT("0",הגדרות!$E$2)),TEXT('הדבקת לידים'!A2146,"0")),TRIM('הדבקת לידים'!A2146)))</f>
        <v/>
      </c>
      <c r="B2146" s="0" t="str">
        <f aca="false">IF('הדבקת לידים'!B2146="","",IF(ISNUMBER('הדבקת לידים'!B2146),IF(הגדרות!$E$3&gt;0,TEXT('הדבקת לידים'!B2146,REPT("0",הגדרות!$E$3)),TEXT('הדבקת לידים'!B2146,"0")),TRIM('הדבקת לידים'!B2146)))</f>
        <v/>
      </c>
      <c r="C2146" s="0" t="n">
        <f aca="false">IF(OR(A2146&lt;&gt;"",B2146&lt;&gt;""),1,0)</f>
        <v>0</v>
      </c>
      <c r="D2146" s="0" t="str">
        <f aca="false">IF(C2146=1,MOD(ABS(SIN(ROW()*12.9898+'הדבקת לידים'!$F$2*78.233+IFERROR(--RIGHT(A2146,6),LEN(A2146))*0.0137+IFERROR(--RIGHT(B2146,6),LEN(B2146))*0.0071))*43758.5453,1),"")</f>
        <v/>
      </c>
      <c r="E2146" s="0" t="str">
        <f aca="false">IF(C2146=1,INT(MOD(ABS(SIN(D2146*7919.123+ROW()*0.618+'הדבקת לידים'!$F$2*1.3))*43758.5453,1)*1000000)*10000+ROW(),"")</f>
        <v/>
      </c>
      <c r="F2146" s="0" t="str">
        <f aca="false">IF(E2146="","",RANK(E2146,$E$2:$E$5001,1))</f>
        <v/>
      </c>
      <c r="G2146" s="0" t="n">
        <f aca="false">IF(A2146="",0,IF(SUMPRODUCT(--($A$2:$A$5001=A2146))&gt;1,1,0))</f>
        <v>0</v>
      </c>
      <c r="H2146" s="0" t="n">
        <f aca="false">ROW()-1</f>
        <v>2145</v>
      </c>
      <c r="I2146" s="0" t="str">
        <f aca="false">IF(OR(הגדרות!$E$6=0,H2146&gt;הגדרות!$E$5),"",IF(H2146-1&lt;הגדרות!$E$8*(הגדרות!$E$7+1),INT((H2146-1)/(הגדרות!$E$7+1)),הגדרות!$E$8+INT((H2146-1-הגדרות!$E$8*(הגדרות!$E$7+1))/הגדרות!$E$7)))</f>
        <v/>
      </c>
      <c r="J2146" s="0" t="str">
        <f aca="false">IF(I2146="","",IF(H2146-1&lt;הגדרות!$E$8*(הגדרות!$E$7+1),MOD(H2146-1,הגדרות!$E$7+1),MOD(H2146-1-הגדרות!$E$8*(הגדרות!$E$7+1),הגדרות!$E$7)))</f>
        <v/>
      </c>
      <c r="K2146" s="0" t="str">
        <f aca="false">IF(I2146="","",J2146*הגדרות!$E$6+I2146+1)</f>
        <v/>
      </c>
      <c r="L2146" s="0" t="str">
        <f aca="false">IF(K2146="","",MATCH(K2146,$F$2:$F$5001,0))</f>
        <v/>
      </c>
      <c r="M2146" s="0" t="str">
        <f aca="false">IF(I2146="","",INDEX(הגדרות!$A$2:$A$21,MOD(I2146+הגדרות!$E$9,הגדרות!$E$6)+1))</f>
        <v/>
      </c>
    </row>
    <row r="2147" customFormat="false" ht="15" hidden="false" customHeight="false" outlineLevel="0" collapsed="false">
      <c r="A2147" s="0" t="str">
        <f aca="false">IF('הדבקת לידים'!A2147="","",IF(ISNUMBER('הדבקת לידים'!A2147),IF(הגדרות!$E$2&gt;0,TEXT('הדבקת לידים'!A2147,REPT("0",הגדרות!$E$2)),TEXT('הדבקת לידים'!A2147,"0")),TRIM('הדבקת לידים'!A2147)))</f>
        <v/>
      </c>
      <c r="B2147" s="0" t="str">
        <f aca="false">IF('הדבקת לידים'!B2147="","",IF(ISNUMBER('הדבקת לידים'!B2147),IF(הגדרות!$E$3&gt;0,TEXT('הדבקת לידים'!B2147,REPT("0",הגדרות!$E$3)),TEXT('הדבקת לידים'!B2147,"0")),TRIM('הדבקת לידים'!B2147)))</f>
        <v/>
      </c>
      <c r="C2147" s="0" t="n">
        <f aca="false">IF(OR(A2147&lt;&gt;"",B2147&lt;&gt;""),1,0)</f>
        <v>0</v>
      </c>
      <c r="D2147" s="0" t="str">
        <f aca="false">IF(C2147=1,MOD(ABS(SIN(ROW()*12.9898+'הדבקת לידים'!$F$2*78.233+IFERROR(--RIGHT(A2147,6),LEN(A2147))*0.0137+IFERROR(--RIGHT(B2147,6),LEN(B2147))*0.0071))*43758.5453,1),"")</f>
        <v/>
      </c>
      <c r="E2147" s="0" t="str">
        <f aca="false">IF(C2147=1,INT(MOD(ABS(SIN(D2147*7919.123+ROW()*0.618+'הדבקת לידים'!$F$2*1.3))*43758.5453,1)*1000000)*10000+ROW(),"")</f>
        <v/>
      </c>
      <c r="F2147" s="0" t="str">
        <f aca="false">IF(E2147="","",RANK(E2147,$E$2:$E$5001,1))</f>
        <v/>
      </c>
      <c r="G2147" s="0" t="n">
        <f aca="false">IF(A2147="",0,IF(SUMPRODUCT(--($A$2:$A$5001=A2147))&gt;1,1,0))</f>
        <v>0</v>
      </c>
      <c r="H2147" s="0" t="n">
        <f aca="false">ROW()-1</f>
        <v>2146</v>
      </c>
      <c r="I2147" s="0" t="str">
        <f aca="false">IF(OR(הגדרות!$E$6=0,H2147&gt;הגדרות!$E$5),"",IF(H2147-1&lt;הגדרות!$E$8*(הגדרות!$E$7+1),INT((H2147-1)/(הגדרות!$E$7+1)),הגדרות!$E$8+INT((H2147-1-הגדרות!$E$8*(הגדרות!$E$7+1))/הגדרות!$E$7)))</f>
        <v/>
      </c>
      <c r="J2147" s="0" t="str">
        <f aca="false">IF(I2147="","",IF(H2147-1&lt;הגדרות!$E$8*(הגדרות!$E$7+1),MOD(H2147-1,הגדרות!$E$7+1),MOD(H2147-1-הגדרות!$E$8*(הגדרות!$E$7+1),הגדרות!$E$7)))</f>
        <v/>
      </c>
      <c r="K2147" s="0" t="str">
        <f aca="false">IF(I2147="","",J2147*הגדרות!$E$6+I2147+1)</f>
        <v/>
      </c>
      <c r="L2147" s="0" t="str">
        <f aca="false">IF(K2147="","",MATCH(K2147,$F$2:$F$5001,0))</f>
        <v/>
      </c>
      <c r="M2147" s="0" t="str">
        <f aca="false">IF(I2147="","",INDEX(הגדרות!$A$2:$A$21,MOD(I2147+הגדרות!$E$9,הגדרות!$E$6)+1))</f>
        <v/>
      </c>
    </row>
    <row r="2148" customFormat="false" ht="15" hidden="false" customHeight="false" outlineLevel="0" collapsed="false">
      <c r="A2148" s="0" t="str">
        <f aca="false">IF('הדבקת לידים'!A2148="","",IF(ISNUMBER('הדבקת לידים'!A2148),IF(הגדרות!$E$2&gt;0,TEXT('הדבקת לידים'!A2148,REPT("0",הגדרות!$E$2)),TEXT('הדבקת לידים'!A2148,"0")),TRIM('הדבקת לידים'!A2148)))</f>
        <v/>
      </c>
      <c r="B2148" s="0" t="str">
        <f aca="false">IF('הדבקת לידים'!B2148="","",IF(ISNUMBER('הדבקת לידים'!B2148),IF(הגדרות!$E$3&gt;0,TEXT('הדבקת לידים'!B2148,REPT("0",הגדרות!$E$3)),TEXT('הדבקת לידים'!B2148,"0")),TRIM('הדבקת לידים'!B2148)))</f>
        <v/>
      </c>
      <c r="C2148" s="0" t="n">
        <f aca="false">IF(OR(A2148&lt;&gt;"",B2148&lt;&gt;""),1,0)</f>
        <v>0</v>
      </c>
      <c r="D2148" s="0" t="str">
        <f aca="false">IF(C2148=1,MOD(ABS(SIN(ROW()*12.9898+'הדבקת לידים'!$F$2*78.233+IFERROR(--RIGHT(A2148,6),LEN(A2148))*0.0137+IFERROR(--RIGHT(B2148,6),LEN(B2148))*0.0071))*43758.5453,1),"")</f>
        <v/>
      </c>
      <c r="E2148" s="0" t="str">
        <f aca="false">IF(C2148=1,INT(MOD(ABS(SIN(D2148*7919.123+ROW()*0.618+'הדבקת לידים'!$F$2*1.3))*43758.5453,1)*1000000)*10000+ROW(),"")</f>
        <v/>
      </c>
      <c r="F2148" s="0" t="str">
        <f aca="false">IF(E2148="","",RANK(E2148,$E$2:$E$5001,1))</f>
        <v/>
      </c>
      <c r="G2148" s="0" t="n">
        <f aca="false">IF(A2148="",0,IF(SUMPRODUCT(--($A$2:$A$5001=A2148))&gt;1,1,0))</f>
        <v>0</v>
      </c>
      <c r="H2148" s="0" t="n">
        <f aca="false">ROW()-1</f>
        <v>2147</v>
      </c>
      <c r="I2148" s="0" t="str">
        <f aca="false">IF(OR(הגדרות!$E$6=0,H2148&gt;הגדרות!$E$5),"",IF(H2148-1&lt;הגדרות!$E$8*(הגדרות!$E$7+1),INT((H2148-1)/(הגדרות!$E$7+1)),הגדרות!$E$8+INT((H2148-1-הגדרות!$E$8*(הגדרות!$E$7+1))/הגדרות!$E$7)))</f>
        <v/>
      </c>
      <c r="J2148" s="0" t="str">
        <f aca="false">IF(I2148="","",IF(H2148-1&lt;הגדרות!$E$8*(הגדרות!$E$7+1),MOD(H2148-1,הגדרות!$E$7+1),MOD(H2148-1-הגדרות!$E$8*(הגדרות!$E$7+1),הגדרות!$E$7)))</f>
        <v/>
      </c>
      <c r="K2148" s="0" t="str">
        <f aca="false">IF(I2148="","",J2148*הגדרות!$E$6+I2148+1)</f>
        <v/>
      </c>
      <c r="L2148" s="0" t="str">
        <f aca="false">IF(K2148="","",MATCH(K2148,$F$2:$F$5001,0))</f>
        <v/>
      </c>
      <c r="M2148" s="0" t="str">
        <f aca="false">IF(I2148="","",INDEX(הגדרות!$A$2:$A$21,MOD(I2148+הגדרות!$E$9,הגדרות!$E$6)+1))</f>
        <v/>
      </c>
    </row>
    <row r="2149" customFormat="false" ht="15" hidden="false" customHeight="false" outlineLevel="0" collapsed="false">
      <c r="A2149" s="0" t="str">
        <f aca="false">IF('הדבקת לידים'!A2149="","",IF(ISNUMBER('הדבקת לידים'!A2149),IF(הגדרות!$E$2&gt;0,TEXT('הדבקת לידים'!A2149,REPT("0",הגדרות!$E$2)),TEXT('הדבקת לידים'!A2149,"0")),TRIM('הדבקת לידים'!A2149)))</f>
        <v/>
      </c>
      <c r="B2149" s="0" t="str">
        <f aca="false">IF('הדבקת לידים'!B2149="","",IF(ISNUMBER('הדבקת לידים'!B2149),IF(הגדרות!$E$3&gt;0,TEXT('הדבקת לידים'!B2149,REPT("0",הגדרות!$E$3)),TEXT('הדבקת לידים'!B2149,"0")),TRIM('הדבקת לידים'!B2149)))</f>
        <v/>
      </c>
      <c r="C2149" s="0" t="n">
        <f aca="false">IF(OR(A2149&lt;&gt;"",B2149&lt;&gt;""),1,0)</f>
        <v>0</v>
      </c>
      <c r="D2149" s="0" t="str">
        <f aca="false">IF(C2149=1,MOD(ABS(SIN(ROW()*12.9898+'הדבקת לידים'!$F$2*78.233+IFERROR(--RIGHT(A2149,6),LEN(A2149))*0.0137+IFERROR(--RIGHT(B2149,6),LEN(B2149))*0.0071))*43758.5453,1),"")</f>
        <v/>
      </c>
      <c r="E2149" s="0" t="str">
        <f aca="false">IF(C2149=1,INT(MOD(ABS(SIN(D2149*7919.123+ROW()*0.618+'הדבקת לידים'!$F$2*1.3))*43758.5453,1)*1000000)*10000+ROW(),"")</f>
        <v/>
      </c>
      <c r="F2149" s="0" t="str">
        <f aca="false">IF(E2149="","",RANK(E2149,$E$2:$E$5001,1))</f>
        <v/>
      </c>
      <c r="G2149" s="0" t="n">
        <f aca="false">IF(A2149="",0,IF(SUMPRODUCT(--($A$2:$A$5001=A2149))&gt;1,1,0))</f>
        <v>0</v>
      </c>
      <c r="H2149" s="0" t="n">
        <f aca="false">ROW()-1</f>
        <v>2148</v>
      </c>
      <c r="I2149" s="0" t="str">
        <f aca="false">IF(OR(הגדרות!$E$6=0,H2149&gt;הגדרות!$E$5),"",IF(H2149-1&lt;הגדרות!$E$8*(הגדרות!$E$7+1),INT((H2149-1)/(הגדרות!$E$7+1)),הגדרות!$E$8+INT((H2149-1-הגדרות!$E$8*(הגדרות!$E$7+1))/הגדרות!$E$7)))</f>
        <v/>
      </c>
      <c r="J2149" s="0" t="str">
        <f aca="false">IF(I2149="","",IF(H2149-1&lt;הגדרות!$E$8*(הגדרות!$E$7+1),MOD(H2149-1,הגדרות!$E$7+1),MOD(H2149-1-הגדרות!$E$8*(הגדרות!$E$7+1),הגדרות!$E$7)))</f>
        <v/>
      </c>
      <c r="K2149" s="0" t="str">
        <f aca="false">IF(I2149="","",J2149*הגדרות!$E$6+I2149+1)</f>
        <v/>
      </c>
      <c r="L2149" s="0" t="str">
        <f aca="false">IF(K2149="","",MATCH(K2149,$F$2:$F$5001,0))</f>
        <v/>
      </c>
      <c r="M2149" s="0" t="str">
        <f aca="false">IF(I2149="","",INDEX(הגדרות!$A$2:$A$21,MOD(I2149+הגדרות!$E$9,הגדרות!$E$6)+1))</f>
        <v/>
      </c>
    </row>
    <row r="2150" customFormat="false" ht="15" hidden="false" customHeight="false" outlineLevel="0" collapsed="false">
      <c r="A2150" s="0" t="str">
        <f aca="false">IF('הדבקת לידים'!A2150="","",IF(ISNUMBER('הדבקת לידים'!A2150),IF(הגדרות!$E$2&gt;0,TEXT('הדבקת לידים'!A2150,REPT("0",הגדרות!$E$2)),TEXT('הדבקת לידים'!A2150,"0")),TRIM('הדבקת לידים'!A2150)))</f>
        <v/>
      </c>
      <c r="B2150" s="0" t="str">
        <f aca="false">IF('הדבקת לידים'!B2150="","",IF(ISNUMBER('הדבקת לידים'!B2150),IF(הגדרות!$E$3&gt;0,TEXT('הדבקת לידים'!B2150,REPT("0",הגדרות!$E$3)),TEXT('הדבקת לידים'!B2150,"0")),TRIM('הדבקת לידים'!B2150)))</f>
        <v/>
      </c>
      <c r="C2150" s="0" t="n">
        <f aca="false">IF(OR(A2150&lt;&gt;"",B2150&lt;&gt;""),1,0)</f>
        <v>0</v>
      </c>
      <c r="D2150" s="0" t="str">
        <f aca="false">IF(C2150=1,MOD(ABS(SIN(ROW()*12.9898+'הדבקת לידים'!$F$2*78.233+IFERROR(--RIGHT(A2150,6),LEN(A2150))*0.0137+IFERROR(--RIGHT(B2150,6),LEN(B2150))*0.0071))*43758.5453,1),"")</f>
        <v/>
      </c>
      <c r="E2150" s="0" t="str">
        <f aca="false">IF(C2150=1,INT(MOD(ABS(SIN(D2150*7919.123+ROW()*0.618+'הדבקת לידים'!$F$2*1.3))*43758.5453,1)*1000000)*10000+ROW(),"")</f>
        <v/>
      </c>
      <c r="F2150" s="0" t="str">
        <f aca="false">IF(E2150="","",RANK(E2150,$E$2:$E$5001,1))</f>
        <v/>
      </c>
      <c r="G2150" s="0" t="n">
        <f aca="false">IF(A2150="",0,IF(SUMPRODUCT(--($A$2:$A$5001=A2150))&gt;1,1,0))</f>
        <v>0</v>
      </c>
      <c r="H2150" s="0" t="n">
        <f aca="false">ROW()-1</f>
        <v>2149</v>
      </c>
      <c r="I2150" s="0" t="str">
        <f aca="false">IF(OR(הגדרות!$E$6=0,H2150&gt;הגדרות!$E$5),"",IF(H2150-1&lt;הגדרות!$E$8*(הגדרות!$E$7+1),INT((H2150-1)/(הגדרות!$E$7+1)),הגדרות!$E$8+INT((H2150-1-הגדרות!$E$8*(הגדרות!$E$7+1))/הגדרות!$E$7)))</f>
        <v/>
      </c>
      <c r="J2150" s="0" t="str">
        <f aca="false">IF(I2150="","",IF(H2150-1&lt;הגדרות!$E$8*(הגדרות!$E$7+1),MOD(H2150-1,הגדרות!$E$7+1),MOD(H2150-1-הגדרות!$E$8*(הגדרות!$E$7+1),הגדרות!$E$7)))</f>
        <v/>
      </c>
      <c r="K2150" s="0" t="str">
        <f aca="false">IF(I2150="","",J2150*הגדרות!$E$6+I2150+1)</f>
        <v/>
      </c>
      <c r="L2150" s="0" t="str">
        <f aca="false">IF(K2150="","",MATCH(K2150,$F$2:$F$5001,0))</f>
        <v/>
      </c>
      <c r="M2150" s="0" t="str">
        <f aca="false">IF(I2150="","",INDEX(הגדרות!$A$2:$A$21,MOD(I2150+הגדרות!$E$9,הגדרות!$E$6)+1))</f>
        <v/>
      </c>
    </row>
    <row r="2151" customFormat="false" ht="15" hidden="false" customHeight="false" outlineLevel="0" collapsed="false">
      <c r="A2151" s="0" t="str">
        <f aca="false">IF('הדבקת לידים'!A2151="","",IF(ISNUMBER('הדבקת לידים'!A2151),IF(הגדרות!$E$2&gt;0,TEXT('הדבקת לידים'!A2151,REPT("0",הגדרות!$E$2)),TEXT('הדבקת לידים'!A2151,"0")),TRIM('הדבקת לידים'!A2151)))</f>
        <v/>
      </c>
      <c r="B2151" s="0" t="str">
        <f aca="false">IF('הדבקת לידים'!B2151="","",IF(ISNUMBER('הדבקת לידים'!B2151),IF(הגדרות!$E$3&gt;0,TEXT('הדבקת לידים'!B2151,REPT("0",הגדרות!$E$3)),TEXT('הדבקת לידים'!B2151,"0")),TRIM('הדבקת לידים'!B2151)))</f>
        <v/>
      </c>
      <c r="C2151" s="0" t="n">
        <f aca="false">IF(OR(A2151&lt;&gt;"",B2151&lt;&gt;""),1,0)</f>
        <v>0</v>
      </c>
      <c r="D2151" s="0" t="str">
        <f aca="false">IF(C2151=1,MOD(ABS(SIN(ROW()*12.9898+'הדבקת לידים'!$F$2*78.233+IFERROR(--RIGHT(A2151,6),LEN(A2151))*0.0137+IFERROR(--RIGHT(B2151,6),LEN(B2151))*0.0071))*43758.5453,1),"")</f>
        <v/>
      </c>
      <c r="E2151" s="0" t="str">
        <f aca="false">IF(C2151=1,INT(MOD(ABS(SIN(D2151*7919.123+ROW()*0.618+'הדבקת לידים'!$F$2*1.3))*43758.5453,1)*1000000)*10000+ROW(),"")</f>
        <v/>
      </c>
      <c r="F2151" s="0" t="str">
        <f aca="false">IF(E2151="","",RANK(E2151,$E$2:$E$5001,1))</f>
        <v/>
      </c>
      <c r="G2151" s="0" t="n">
        <f aca="false">IF(A2151="",0,IF(SUMPRODUCT(--($A$2:$A$5001=A2151))&gt;1,1,0))</f>
        <v>0</v>
      </c>
      <c r="H2151" s="0" t="n">
        <f aca="false">ROW()-1</f>
        <v>2150</v>
      </c>
      <c r="I2151" s="0" t="str">
        <f aca="false">IF(OR(הגדרות!$E$6=0,H2151&gt;הגדרות!$E$5),"",IF(H2151-1&lt;הגדרות!$E$8*(הגדרות!$E$7+1),INT((H2151-1)/(הגדרות!$E$7+1)),הגדרות!$E$8+INT((H2151-1-הגדרות!$E$8*(הגדרות!$E$7+1))/הגדרות!$E$7)))</f>
        <v/>
      </c>
      <c r="J2151" s="0" t="str">
        <f aca="false">IF(I2151="","",IF(H2151-1&lt;הגדרות!$E$8*(הגדרות!$E$7+1),MOD(H2151-1,הגדרות!$E$7+1),MOD(H2151-1-הגדרות!$E$8*(הגדרות!$E$7+1),הגדרות!$E$7)))</f>
        <v/>
      </c>
      <c r="K2151" s="0" t="str">
        <f aca="false">IF(I2151="","",J2151*הגדרות!$E$6+I2151+1)</f>
        <v/>
      </c>
      <c r="L2151" s="0" t="str">
        <f aca="false">IF(K2151="","",MATCH(K2151,$F$2:$F$5001,0))</f>
        <v/>
      </c>
      <c r="M2151" s="0" t="str">
        <f aca="false">IF(I2151="","",INDEX(הגדרות!$A$2:$A$21,MOD(I2151+הגדרות!$E$9,הגדרות!$E$6)+1))</f>
        <v/>
      </c>
    </row>
    <row r="2152" customFormat="false" ht="15" hidden="false" customHeight="false" outlineLevel="0" collapsed="false">
      <c r="A2152" s="0" t="str">
        <f aca="false">IF('הדבקת לידים'!A2152="","",IF(ISNUMBER('הדבקת לידים'!A2152),IF(הגדרות!$E$2&gt;0,TEXT('הדבקת לידים'!A2152,REPT("0",הגדרות!$E$2)),TEXT('הדבקת לידים'!A2152,"0")),TRIM('הדבקת לידים'!A2152)))</f>
        <v/>
      </c>
      <c r="B2152" s="0" t="str">
        <f aca="false">IF('הדבקת לידים'!B2152="","",IF(ISNUMBER('הדבקת לידים'!B2152),IF(הגדרות!$E$3&gt;0,TEXT('הדבקת לידים'!B2152,REPT("0",הגדרות!$E$3)),TEXT('הדבקת לידים'!B2152,"0")),TRIM('הדבקת לידים'!B2152)))</f>
        <v/>
      </c>
      <c r="C2152" s="0" t="n">
        <f aca="false">IF(OR(A2152&lt;&gt;"",B2152&lt;&gt;""),1,0)</f>
        <v>0</v>
      </c>
      <c r="D2152" s="0" t="str">
        <f aca="false">IF(C2152=1,MOD(ABS(SIN(ROW()*12.9898+'הדבקת לידים'!$F$2*78.233+IFERROR(--RIGHT(A2152,6),LEN(A2152))*0.0137+IFERROR(--RIGHT(B2152,6),LEN(B2152))*0.0071))*43758.5453,1),"")</f>
        <v/>
      </c>
      <c r="E2152" s="0" t="str">
        <f aca="false">IF(C2152=1,INT(MOD(ABS(SIN(D2152*7919.123+ROW()*0.618+'הדבקת לידים'!$F$2*1.3))*43758.5453,1)*1000000)*10000+ROW(),"")</f>
        <v/>
      </c>
      <c r="F2152" s="0" t="str">
        <f aca="false">IF(E2152="","",RANK(E2152,$E$2:$E$5001,1))</f>
        <v/>
      </c>
      <c r="G2152" s="0" t="n">
        <f aca="false">IF(A2152="",0,IF(SUMPRODUCT(--($A$2:$A$5001=A2152))&gt;1,1,0))</f>
        <v>0</v>
      </c>
      <c r="H2152" s="0" t="n">
        <f aca="false">ROW()-1</f>
        <v>2151</v>
      </c>
      <c r="I2152" s="0" t="str">
        <f aca="false">IF(OR(הגדרות!$E$6=0,H2152&gt;הגדרות!$E$5),"",IF(H2152-1&lt;הגדרות!$E$8*(הגדרות!$E$7+1),INT((H2152-1)/(הגדרות!$E$7+1)),הגדרות!$E$8+INT((H2152-1-הגדרות!$E$8*(הגדרות!$E$7+1))/הגדרות!$E$7)))</f>
        <v/>
      </c>
      <c r="J2152" s="0" t="str">
        <f aca="false">IF(I2152="","",IF(H2152-1&lt;הגדרות!$E$8*(הגדרות!$E$7+1),MOD(H2152-1,הגדרות!$E$7+1),MOD(H2152-1-הגדרות!$E$8*(הגדרות!$E$7+1),הגדרות!$E$7)))</f>
        <v/>
      </c>
      <c r="K2152" s="0" t="str">
        <f aca="false">IF(I2152="","",J2152*הגדרות!$E$6+I2152+1)</f>
        <v/>
      </c>
      <c r="L2152" s="0" t="str">
        <f aca="false">IF(K2152="","",MATCH(K2152,$F$2:$F$5001,0))</f>
        <v/>
      </c>
      <c r="M2152" s="0" t="str">
        <f aca="false">IF(I2152="","",INDEX(הגדרות!$A$2:$A$21,MOD(I2152+הגדרות!$E$9,הגדרות!$E$6)+1))</f>
        <v/>
      </c>
    </row>
    <row r="2153" customFormat="false" ht="15" hidden="false" customHeight="false" outlineLevel="0" collapsed="false">
      <c r="A2153" s="0" t="str">
        <f aca="false">IF('הדבקת לידים'!A2153="","",IF(ISNUMBER('הדבקת לידים'!A2153),IF(הגדרות!$E$2&gt;0,TEXT('הדבקת לידים'!A2153,REPT("0",הגדרות!$E$2)),TEXT('הדבקת לידים'!A2153,"0")),TRIM('הדבקת לידים'!A2153)))</f>
        <v/>
      </c>
      <c r="B2153" s="0" t="str">
        <f aca="false">IF('הדבקת לידים'!B2153="","",IF(ISNUMBER('הדבקת לידים'!B2153),IF(הגדרות!$E$3&gt;0,TEXT('הדבקת לידים'!B2153,REPT("0",הגדרות!$E$3)),TEXT('הדבקת לידים'!B2153,"0")),TRIM('הדבקת לידים'!B2153)))</f>
        <v/>
      </c>
      <c r="C2153" s="0" t="n">
        <f aca="false">IF(OR(A2153&lt;&gt;"",B2153&lt;&gt;""),1,0)</f>
        <v>0</v>
      </c>
      <c r="D2153" s="0" t="str">
        <f aca="false">IF(C2153=1,MOD(ABS(SIN(ROW()*12.9898+'הדבקת לידים'!$F$2*78.233+IFERROR(--RIGHT(A2153,6),LEN(A2153))*0.0137+IFERROR(--RIGHT(B2153,6),LEN(B2153))*0.0071))*43758.5453,1),"")</f>
        <v/>
      </c>
      <c r="E2153" s="0" t="str">
        <f aca="false">IF(C2153=1,INT(MOD(ABS(SIN(D2153*7919.123+ROW()*0.618+'הדבקת לידים'!$F$2*1.3))*43758.5453,1)*1000000)*10000+ROW(),"")</f>
        <v/>
      </c>
      <c r="F2153" s="0" t="str">
        <f aca="false">IF(E2153="","",RANK(E2153,$E$2:$E$5001,1))</f>
        <v/>
      </c>
      <c r="G2153" s="0" t="n">
        <f aca="false">IF(A2153="",0,IF(SUMPRODUCT(--($A$2:$A$5001=A2153))&gt;1,1,0))</f>
        <v>0</v>
      </c>
      <c r="H2153" s="0" t="n">
        <f aca="false">ROW()-1</f>
        <v>2152</v>
      </c>
      <c r="I2153" s="0" t="str">
        <f aca="false">IF(OR(הגדרות!$E$6=0,H2153&gt;הגדרות!$E$5),"",IF(H2153-1&lt;הגדרות!$E$8*(הגדרות!$E$7+1),INT((H2153-1)/(הגדרות!$E$7+1)),הגדרות!$E$8+INT((H2153-1-הגדרות!$E$8*(הגדרות!$E$7+1))/הגדרות!$E$7)))</f>
        <v/>
      </c>
      <c r="J2153" s="0" t="str">
        <f aca="false">IF(I2153="","",IF(H2153-1&lt;הגדרות!$E$8*(הגדרות!$E$7+1),MOD(H2153-1,הגדרות!$E$7+1),MOD(H2153-1-הגדרות!$E$8*(הגדרות!$E$7+1),הגדרות!$E$7)))</f>
        <v/>
      </c>
      <c r="K2153" s="0" t="str">
        <f aca="false">IF(I2153="","",J2153*הגדרות!$E$6+I2153+1)</f>
        <v/>
      </c>
      <c r="L2153" s="0" t="str">
        <f aca="false">IF(K2153="","",MATCH(K2153,$F$2:$F$5001,0))</f>
        <v/>
      </c>
      <c r="M2153" s="0" t="str">
        <f aca="false">IF(I2153="","",INDEX(הגדרות!$A$2:$A$21,MOD(I2153+הגדרות!$E$9,הגדרות!$E$6)+1))</f>
        <v/>
      </c>
    </row>
    <row r="2154" customFormat="false" ht="15" hidden="false" customHeight="false" outlineLevel="0" collapsed="false">
      <c r="A2154" s="0" t="str">
        <f aca="false">IF('הדבקת לידים'!A2154="","",IF(ISNUMBER('הדבקת לידים'!A2154),IF(הגדרות!$E$2&gt;0,TEXT('הדבקת לידים'!A2154,REPT("0",הגדרות!$E$2)),TEXT('הדבקת לידים'!A2154,"0")),TRIM('הדבקת לידים'!A2154)))</f>
        <v/>
      </c>
      <c r="B2154" s="0" t="str">
        <f aca="false">IF('הדבקת לידים'!B2154="","",IF(ISNUMBER('הדבקת לידים'!B2154),IF(הגדרות!$E$3&gt;0,TEXT('הדבקת לידים'!B2154,REPT("0",הגדרות!$E$3)),TEXT('הדבקת לידים'!B2154,"0")),TRIM('הדבקת לידים'!B2154)))</f>
        <v/>
      </c>
      <c r="C2154" s="0" t="n">
        <f aca="false">IF(OR(A2154&lt;&gt;"",B2154&lt;&gt;""),1,0)</f>
        <v>0</v>
      </c>
      <c r="D2154" s="0" t="str">
        <f aca="false">IF(C2154=1,MOD(ABS(SIN(ROW()*12.9898+'הדבקת לידים'!$F$2*78.233+IFERROR(--RIGHT(A2154,6),LEN(A2154))*0.0137+IFERROR(--RIGHT(B2154,6),LEN(B2154))*0.0071))*43758.5453,1),"")</f>
        <v/>
      </c>
      <c r="E2154" s="0" t="str">
        <f aca="false">IF(C2154=1,INT(MOD(ABS(SIN(D2154*7919.123+ROW()*0.618+'הדבקת לידים'!$F$2*1.3))*43758.5453,1)*1000000)*10000+ROW(),"")</f>
        <v/>
      </c>
      <c r="F2154" s="0" t="str">
        <f aca="false">IF(E2154="","",RANK(E2154,$E$2:$E$5001,1))</f>
        <v/>
      </c>
      <c r="G2154" s="0" t="n">
        <f aca="false">IF(A2154="",0,IF(SUMPRODUCT(--($A$2:$A$5001=A2154))&gt;1,1,0))</f>
        <v>0</v>
      </c>
      <c r="H2154" s="0" t="n">
        <f aca="false">ROW()-1</f>
        <v>2153</v>
      </c>
      <c r="I2154" s="0" t="str">
        <f aca="false">IF(OR(הגדרות!$E$6=0,H2154&gt;הגדרות!$E$5),"",IF(H2154-1&lt;הגדרות!$E$8*(הגדרות!$E$7+1),INT((H2154-1)/(הגדרות!$E$7+1)),הגדרות!$E$8+INT((H2154-1-הגדרות!$E$8*(הגדרות!$E$7+1))/הגדרות!$E$7)))</f>
        <v/>
      </c>
      <c r="J2154" s="0" t="str">
        <f aca="false">IF(I2154="","",IF(H2154-1&lt;הגדרות!$E$8*(הגדרות!$E$7+1),MOD(H2154-1,הגדרות!$E$7+1),MOD(H2154-1-הגדרות!$E$8*(הגדרות!$E$7+1),הגדרות!$E$7)))</f>
        <v/>
      </c>
      <c r="K2154" s="0" t="str">
        <f aca="false">IF(I2154="","",J2154*הגדרות!$E$6+I2154+1)</f>
        <v/>
      </c>
      <c r="L2154" s="0" t="str">
        <f aca="false">IF(K2154="","",MATCH(K2154,$F$2:$F$5001,0))</f>
        <v/>
      </c>
      <c r="M2154" s="0" t="str">
        <f aca="false">IF(I2154="","",INDEX(הגדרות!$A$2:$A$21,MOD(I2154+הגדרות!$E$9,הגדרות!$E$6)+1))</f>
        <v/>
      </c>
    </row>
    <row r="2155" customFormat="false" ht="15" hidden="false" customHeight="false" outlineLevel="0" collapsed="false">
      <c r="A2155" s="0" t="str">
        <f aca="false">IF('הדבקת לידים'!A2155="","",IF(ISNUMBER('הדבקת לידים'!A2155),IF(הגדרות!$E$2&gt;0,TEXT('הדבקת לידים'!A2155,REPT("0",הגדרות!$E$2)),TEXT('הדבקת לידים'!A2155,"0")),TRIM('הדבקת לידים'!A2155)))</f>
        <v/>
      </c>
      <c r="B2155" s="0" t="str">
        <f aca="false">IF('הדבקת לידים'!B2155="","",IF(ISNUMBER('הדבקת לידים'!B2155),IF(הגדרות!$E$3&gt;0,TEXT('הדבקת לידים'!B2155,REPT("0",הגדרות!$E$3)),TEXT('הדבקת לידים'!B2155,"0")),TRIM('הדבקת לידים'!B2155)))</f>
        <v/>
      </c>
      <c r="C2155" s="0" t="n">
        <f aca="false">IF(OR(A2155&lt;&gt;"",B2155&lt;&gt;""),1,0)</f>
        <v>0</v>
      </c>
      <c r="D2155" s="0" t="str">
        <f aca="false">IF(C2155=1,MOD(ABS(SIN(ROW()*12.9898+'הדבקת לידים'!$F$2*78.233+IFERROR(--RIGHT(A2155,6),LEN(A2155))*0.0137+IFERROR(--RIGHT(B2155,6),LEN(B2155))*0.0071))*43758.5453,1),"")</f>
        <v/>
      </c>
      <c r="E2155" s="0" t="str">
        <f aca="false">IF(C2155=1,INT(MOD(ABS(SIN(D2155*7919.123+ROW()*0.618+'הדבקת לידים'!$F$2*1.3))*43758.5453,1)*1000000)*10000+ROW(),"")</f>
        <v/>
      </c>
      <c r="F2155" s="0" t="str">
        <f aca="false">IF(E2155="","",RANK(E2155,$E$2:$E$5001,1))</f>
        <v/>
      </c>
      <c r="G2155" s="0" t="n">
        <f aca="false">IF(A2155="",0,IF(SUMPRODUCT(--($A$2:$A$5001=A2155))&gt;1,1,0))</f>
        <v>0</v>
      </c>
      <c r="H2155" s="0" t="n">
        <f aca="false">ROW()-1</f>
        <v>2154</v>
      </c>
      <c r="I2155" s="0" t="str">
        <f aca="false">IF(OR(הגדרות!$E$6=0,H2155&gt;הגדרות!$E$5),"",IF(H2155-1&lt;הגדרות!$E$8*(הגדרות!$E$7+1),INT((H2155-1)/(הגדרות!$E$7+1)),הגדרות!$E$8+INT((H2155-1-הגדרות!$E$8*(הגדרות!$E$7+1))/הגדרות!$E$7)))</f>
        <v/>
      </c>
      <c r="J2155" s="0" t="str">
        <f aca="false">IF(I2155="","",IF(H2155-1&lt;הגדרות!$E$8*(הגדרות!$E$7+1),MOD(H2155-1,הגדרות!$E$7+1),MOD(H2155-1-הגדרות!$E$8*(הגדרות!$E$7+1),הגדרות!$E$7)))</f>
        <v/>
      </c>
      <c r="K2155" s="0" t="str">
        <f aca="false">IF(I2155="","",J2155*הגדרות!$E$6+I2155+1)</f>
        <v/>
      </c>
      <c r="L2155" s="0" t="str">
        <f aca="false">IF(K2155="","",MATCH(K2155,$F$2:$F$5001,0))</f>
        <v/>
      </c>
      <c r="M2155" s="0" t="str">
        <f aca="false">IF(I2155="","",INDEX(הגדרות!$A$2:$A$21,MOD(I2155+הגדרות!$E$9,הגדרות!$E$6)+1))</f>
        <v/>
      </c>
    </row>
    <row r="2156" customFormat="false" ht="15" hidden="false" customHeight="false" outlineLevel="0" collapsed="false">
      <c r="A2156" s="0" t="str">
        <f aca="false">IF('הדבקת לידים'!A2156="","",IF(ISNUMBER('הדבקת לידים'!A2156),IF(הגדרות!$E$2&gt;0,TEXT('הדבקת לידים'!A2156,REPT("0",הגדרות!$E$2)),TEXT('הדבקת לידים'!A2156,"0")),TRIM('הדבקת לידים'!A2156)))</f>
        <v/>
      </c>
      <c r="B2156" s="0" t="str">
        <f aca="false">IF('הדבקת לידים'!B2156="","",IF(ISNUMBER('הדבקת לידים'!B2156),IF(הגדרות!$E$3&gt;0,TEXT('הדבקת לידים'!B2156,REPT("0",הגדרות!$E$3)),TEXT('הדבקת לידים'!B2156,"0")),TRIM('הדבקת לידים'!B2156)))</f>
        <v/>
      </c>
      <c r="C2156" s="0" t="n">
        <f aca="false">IF(OR(A2156&lt;&gt;"",B2156&lt;&gt;""),1,0)</f>
        <v>0</v>
      </c>
      <c r="D2156" s="0" t="str">
        <f aca="false">IF(C2156=1,MOD(ABS(SIN(ROW()*12.9898+'הדבקת לידים'!$F$2*78.233+IFERROR(--RIGHT(A2156,6),LEN(A2156))*0.0137+IFERROR(--RIGHT(B2156,6),LEN(B2156))*0.0071))*43758.5453,1),"")</f>
        <v/>
      </c>
      <c r="E2156" s="0" t="str">
        <f aca="false">IF(C2156=1,INT(MOD(ABS(SIN(D2156*7919.123+ROW()*0.618+'הדבקת לידים'!$F$2*1.3))*43758.5453,1)*1000000)*10000+ROW(),"")</f>
        <v/>
      </c>
      <c r="F2156" s="0" t="str">
        <f aca="false">IF(E2156="","",RANK(E2156,$E$2:$E$5001,1))</f>
        <v/>
      </c>
      <c r="G2156" s="0" t="n">
        <f aca="false">IF(A2156="",0,IF(SUMPRODUCT(--($A$2:$A$5001=A2156))&gt;1,1,0))</f>
        <v>0</v>
      </c>
      <c r="H2156" s="0" t="n">
        <f aca="false">ROW()-1</f>
        <v>2155</v>
      </c>
      <c r="I2156" s="0" t="str">
        <f aca="false">IF(OR(הגדרות!$E$6=0,H2156&gt;הגדרות!$E$5),"",IF(H2156-1&lt;הגדרות!$E$8*(הגדרות!$E$7+1),INT((H2156-1)/(הגדרות!$E$7+1)),הגדרות!$E$8+INT((H2156-1-הגדרות!$E$8*(הגדרות!$E$7+1))/הגדרות!$E$7)))</f>
        <v/>
      </c>
      <c r="J2156" s="0" t="str">
        <f aca="false">IF(I2156="","",IF(H2156-1&lt;הגדרות!$E$8*(הגדרות!$E$7+1),MOD(H2156-1,הגדרות!$E$7+1),MOD(H2156-1-הגדרות!$E$8*(הגדרות!$E$7+1),הגדרות!$E$7)))</f>
        <v/>
      </c>
      <c r="K2156" s="0" t="str">
        <f aca="false">IF(I2156="","",J2156*הגדרות!$E$6+I2156+1)</f>
        <v/>
      </c>
      <c r="L2156" s="0" t="str">
        <f aca="false">IF(K2156="","",MATCH(K2156,$F$2:$F$5001,0))</f>
        <v/>
      </c>
      <c r="M2156" s="0" t="str">
        <f aca="false">IF(I2156="","",INDEX(הגדרות!$A$2:$A$21,MOD(I2156+הגדרות!$E$9,הגדרות!$E$6)+1))</f>
        <v/>
      </c>
    </row>
    <row r="2157" customFormat="false" ht="15" hidden="false" customHeight="false" outlineLevel="0" collapsed="false">
      <c r="A2157" s="0" t="str">
        <f aca="false">IF('הדבקת לידים'!A2157="","",IF(ISNUMBER('הדבקת לידים'!A2157),IF(הגדרות!$E$2&gt;0,TEXT('הדבקת לידים'!A2157,REPT("0",הגדרות!$E$2)),TEXT('הדבקת לידים'!A2157,"0")),TRIM('הדבקת לידים'!A2157)))</f>
        <v/>
      </c>
      <c r="B2157" s="0" t="str">
        <f aca="false">IF('הדבקת לידים'!B2157="","",IF(ISNUMBER('הדבקת לידים'!B2157),IF(הגדרות!$E$3&gt;0,TEXT('הדבקת לידים'!B2157,REPT("0",הגדרות!$E$3)),TEXT('הדבקת לידים'!B2157,"0")),TRIM('הדבקת לידים'!B2157)))</f>
        <v/>
      </c>
      <c r="C2157" s="0" t="n">
        <f aca="false">IF(OR(A2157&lt;&gt;"",B2157&lt;&gt;""),1,0)</f>
        <v>0</v>
      </c>
      <c r="D2157" s="0" t="str">
        <f aca="false">IF(C2157=1,MOD(ABS(SIN(ROW()*12.9898+'הדבקת לידים'!$F$2*78.233+IFERROR(--RIGHT(A2157,6),LEN(A2157))*0.0137+IFERROR(--RIGHT(B2157,6),LEN(B2157))*0.0071))*43758.5453,1),"")</f>
        <v/>
      </c>
      <c r="E2157" s="0" t="str">
        <f aca="false">IF(C2157=1,INT(MOD(ABS(SIN(D2157*7919.123+ROW()*0.618+'הדבקת לידים'!$F$2*1.3))*43758.5453,1)*1000000)*10000+ROW(),"")</f>
        <v/>
      </c>
      <c r="F2157" s="0" t="str">
        <f aca="false">IF(E2157="","",RANK(E2157,$E$2:$E$5001,1))</f>
        <v/>
      </c>
      <c r="G2157" s="0" t="n">
        <f aca="false">IF(A2157="",0,IF(SUMPRODUCT(--($A$2:$A$5001=A2157))&gt;1,1,0))</f>
        <v>0</v>
      </c>
      <c r="H2157" s="0" t="n">
        <f aca="false">ROW()-1</f>
        <v>2156</v>
      </c>
      <c r="I2157" s="0" t="str">
        <f aca="false">IF(OR(הגדרות!$E$6=0,H2157&gt;הגדרות!$E$5),"",IF(H2157-1&lt;הגדרות!$E$8*(הגדרות!$E$7+1),INT((H2157-1)/(הגדרות!$E$7+1)),הגדרות!$E$8+INT((H2157-1-הגדרות!$E$8*(הגדרות!$E$7+1))/הגדרות!$E$7)))</f>
        <v/>
      </c>
      <c r="J2157" s="0" t="str">
        <f aca="false">IF(I2157="","",IF(H2157-1&lt;הגדרות!$E$8*(הגדרות!$E$7+1),MOD(H2157-1,הגדרות!$E$7+1),MOD(H2157-1-הגדרות!$E$8*(הגדרות!$E$7+1),הגדרות!$E$7)))</f>
        <v/>
      </c>
      <c r="K2157" s="0" t="str">
        <f aca="false">IF(I2157="","",J2157*הגדרות!$E$6+I2157+1)</f>
        <v/>
      </c>
      <c r="L2157" s="0" t="str">
        <f aca="false">IF(K2157="","",MATCH(K2157,$F$2:$F$5001,0))</f>
        <v/>
      </c>
      <c r="M2157" s="0" t="str">
        <f aca="false">IF(I2157="","",INDEX(הגדרות!$A$2:$A$21,MOD(I2157+הגדרות!$E$9,הגדרות!$E$6)+1))</f>
        <v/>
      </c>
    </row>
    <row r="2158" customFormat="false" ht="15" hidden="false" customHeight="false" outlineLevel="0" collapsed="false">
      <c r="A2158" s="0" t="str">
        <f aca="false">IF('הדבקת לידים'!A2158="","",IF(ISNUMBER('הדבקת לידים'!A2158),IF(הגדרות!$E$2&gt;0,TEXT('הדבקת לידים'!A2158,REPT("0",הגדרות!$E$2)),TEXT('הדבקת לידים'!A2158,"0")),TRIM('הדבקת לידים'!A2158)))</f>
        <v/>
      </c>
      <c r="B2158" s="0" t="str">
        <f aca="false">IF('הדבקת לידים'!B2158="","",IF(ISNUMBER('הדבקת לידים'!B2158),IF(הגדרות!$E$3&gt;0,TEXT('הדבקת לידים'!B2158,REPT("0",הגדרות!$E$3)),TEXT('הדבקת לידים'!B2158,"0")),TRIM('הדבקת לידים'!B2158)))</f>
        <v/>
      </c>
      <c r="C2158" s="0" t="n">
        <f aca="false">IF(OR(A2158&lt;&gt;"",B2158&lt;&gt;""),1,0)</f>
        <v>0</v>
      </c>
      <c r="D2158" s="0" t="str">
        <f aca="false">IF(C2158=1,MOD(ABS(SIN(ROW()*12.9898+'הדבקת לידים'!$F$2*78.233+IFERROR(--RIGHT(A2158,6),LEN(A2158))*0.0137+IFERROR(--RIGHT(B2158,6),LEN(B2158))*0.0071))*43758.5453,1),"")</f>
        <v/>
      </c>
      <c r="E2158" s="0" t="str">
        <f aca="false">IF(C2158=1,INT(MOD(ABS(SIN(D2158*7919.123+ROW()*0.618+'הדבקת לידים'!$F$2*1.3))*43758.5453,1)*1000000)*10000+ROW(),"")</f>
        <v/>
      </c>
      <c r="F2158" s="0" t="str">
        <f aca="false">IF(E2158="","",RANK(E2158,$E$2:$E$5001,1))</f>
        <v/>
      </c>
      <c r="G2158" s="0" t="n">
        <f aca="false">IF(A2158="",0,IF(SUMPRODUCT(--($A$2:$A$5001=A2158))&gt;1,1,0))</f>
        <v>0</v>
      </c>
      <c r="H2158" s="0" t="n">
        <f aca="false">ROW()-1</f>
        <v>2157</v>
      </c>
      <c r="I2158" s="0" t="str">
        <f aca="false">IF(OR(הגדרות!$E$6=0,H2158&gt;הגדרות!$E$5),"",IF(H2158-1&lt;הגדרות!$E$8*(הגדרות!$E$7+1),INT((H2158-1)/(הגדרות!$E$7+1)),הגדרות!$E$8+INT((H2158-1-הגדרות!$E$8*(הגדרות!$E$7+1))/הגדרות!$E$7)))</f>
        <v/>
      </c>
      <c r="J2158" s="0" t="str">
        <f aca="false">IF(I2158="","",IF(H2158-1&lt;הגדרות!$E$8*(הגדרות!$E$7+1),MOD(H2158-1,הגדרות!$E$7+1),MOD(H2158-1-הגדרות!$E$8*(הגדרות!$E$7+1),הגדרות!$E$7)))</f>
        <v/>
      </c>
      <c r="K2158" s="0" t="str">
        <f aca="false">IF(I2158="","",J2158*הגדרות!$E$6+I2158+1)</f>
        <v/>
      </c>
      <c r="L2158" s="0" t="str">
        <f aca="false">IF(K2158="","",MATCH(K2158,$F$2:$F$5001,0))</f>
        <v/>
      </c>
      <c r="M2158" s="0" t="str">
        <f aca="false">IF(I2158="","",INDEX(הגדרות!$A$2:$A$21,MOD(I2158+הגדרות!$E$9,הגדרות!$E$6)+1))</f>
        <v/>
      </c>
    </row>
    <row r="2159" customFormat="false" ht="15" hidden="false" customHeight="false" outlineLevel="0" collapsed="false">
      <c r="A2159" s="0" t="str">
        <f aca="false">IF('הדבקת לידים'!A2159="","",IF(ISNUMBER('הדבקת לידים'!A2159),IF(הגדרות!$E$2&gt;0,TEXT('הדבקת לידים'!A2159,REPT("0",הגדרות!$E$2)),TEXT('הדבקת לידים'!A2159,"0")),TRIM('הדבקת לידים'!A2159)))</f>
        <v/>
      </c>
      <c r="B2159" s="0" t="str">
        <f aca="false">IF('הדבקת לידים'!B2159="","",IF(ISNUMBER('הדבקת לידים'!B2159),IF(הגדרות!$E$3&gt;0,TEXT('הדבקת לידים'!B2159,REPT("0",הגדרות!$E$3)),TEXT('הדבקת לידים'!B2159,"0")),TRIM('הדבקת לידים'!B2159)))</f>
        <v/>
      </c>
      <c r="C2159" s="0" t="n">
        <f aca="false">IF(OR(A2159&lt;&gt;"",B2159&lt;&gt;""),1,0)</f>
        <v>0</v>
      </c>
      <c r="D2159" s="0" t="str">
        <f aca="false">IF(C2159=1,MOD(ABS(SIN(ROW()*12.9898+'הדבקת לידים'!$F$2*78.233+IFERROR(--RIGHT(A2159,6),LEN(A2159))*0.0137+IFERROR(--RIGHT(B2159,6),LEN(B2159))*0.0071))*43758.5453,1),"")</f>
        <v/>
      </c>
      <c r="E2159" s="0" t="str">
        <f aca="false">IF(C2159=1,INT(MOD(ABS(SIN(D2159*7919.123+ROW()*0.618+'הדבקת לידים'!$F$2*1.3))*43758.5453,1)*1000000)*10000+ROW(),"")</f>
        <v/>
      </c>
      <c r="F2159" s="0" t="str">
        <f aca="false">IF(E2159="","",RANK(E2159,$E$2:$E$5001,1))</f>
        <v/>
      </c>
      <c r="G2159" s="0" t="n">
        <f aca="false">IF(A2159="",0,IF(SUMPRODUCT(--($A$2:$A$5001=A2159))&gt;1,1,0))</f>
        <v>0</v>
      </c>
      <c r="H2159" s="0" t="n">
        <f aca="false">ROW()-1</f>
        <v>2158</v>
      </c>
      <c r="I2159" s="0" t="str">
        <f aca="false">IF(OR(הגדרות!$E$6=0,H2159&gt;הגדרות!$E$5),"",IF(H2159-1&lt;הגדרות!$E$8*(הגדרות!$E$7+1),INT((H2159-1)/(הגדרות!$E$7+1)),הגדרות!$E$8+INT((H2159-1-הגדרות!$E$8*(הגדרות!$E$7+1))/הגדרות!$E$7)))</f>
        <v/>
      </c>
      <c r="J2159" s="0" t="str">
        <f aca="false">IF(I2159="","",IF(H2159-1&lt;הגדרות!$E$8*(הגדרות!$E$7+1),MOD(H2159-1,הגדרות!$E$7+1),MOD(H2159-1-הגדרות!$E$8*(הגדרות!$E$7+1),הגדרות!$E$7)))</f>
        <v/>
      </c>
      <c r="K2159" s="0" t="str">
        <f aca="false">IF(I2159="","",J2159*הגדרות!$E$6+I2159+1)</f>
        <v/>
      </c>
      <c r="L2159" s="0" t="str">
        <f aca="false">IF(K2159="","",MATCH(K2159,$F$2:$F$5001,0))</f>
        <v/>
      </c>
      <c r="M2159" s="0" t="str">
        <f aca="false">IF(I2159="","",INDEX(הגדרות!$A$2:$A$21,MOD(I2159+הגדרות!$E$9,הגדרות!$E$6)+1))</f>
        <v/>
      </c>
    </row>
    <row r="2160" customFormat="false" ht="15" hidden="false" customHeight="false" outlineLevel="0" collapsed="false">
      <c r="A2160" s="0" t="str">
        <f aca="false">IF('הדבקת לידים'!A2160="","",IF(ISNUMBER('הדבקת לידים'!A2160),IF(הגדרות!$E$2&gt;0,TEXT('הדבקת לידים'!A2160,REPT("0",הגדרות!$E$2)),TEXT('הדבקת לידים'!A2160,"0")),TRIM('הדבקת לידים'!A2160)))</f>
        <v/>
      </c>
      <c r="B2160" s="0" t="str">
        <f aca="false">IF('הדבקת לידים'!B2160="","",IF(ISNUMBER('הדבקת לידים'!B2160),IF(הגדרות!$E$3&gt;0,TEXT('הדבקת לידים'!B2160,REPT("0",הגדרות!$E$3)),TEXT('הדבקת לידים'!B2160,"0")),TRIM('הדבקת לידים'!B2160)))</f>
        <v/>
      </c>
      <c r="C2160" s="0" t="n">
        <f aca="false">IF(OR(A2160&lt;&gt;"",B2160&lt;&gt;""),1,0)</f>
        <v>0</v>
      </c>
      <c r="D2160" s="0" t="str">
        <f aca="false">IF(C2160=1,MOD(ABS(SIN(ROW()*12.9898+'הדבקת לידים'!$F$2*78.233+IFERROR(--RIGHT(A2160,6),LEN(A2160))*0.0137+IFERROR(--RIGHT(B2160,6),LEN(B2160))*0.0071))*43758.5453,1),"")</f>
        <v/>
      </c>
      <c r="E2160" s="0" t="str">
        <f aca="false">IF(C2160=1,INT(MOD(ABS(SIN(D2160*7919.123+ROW()*0.618+'הדבקת לידים'!$F$2*1.3))*43758.5453,1)*1000000)*10000+ROW(),"")</f>
        <v/>
      </c>
      <c r="F2160" s="0" t="str">
        <f aca="false">IF(E2160="","",RANK(E2160,$E$2:$E$5001,1))</f>
        <v/>
      </c>
      <c r="G2160" s="0" t="n">
        <f aca="false">IF(A2160="",0,IF(SUMPRODUCT(--($A$2:$A$5001=A2160))&gt;1,1,0))</f>
        <v>0</v>
      </c>
      <c r="H2160" s="0" t="n">
        <f aca="false">ROW()-1</f>
        <v>2159</v>
      </c>
      <c r="I2160" s="0" t="str">
        <f aca="false">IF(OR(הגדרות!$E$6=0,H2160&gt;הגדרות!$E$5),"",IF(H2160-1&lt;הגדרות!$E$8*(הגדרות!$E$7+1),INT((H2160-1)/(הגדרות!$E$7+1)),הגדרות!$E$8+INT((H2160-1-הגדרות!$E$8*(הגדרות!$E$7+1))/הגדרות!$E$7)))</f>
        <v/>
      </c>
      <c r="J2160" s="0" t="str">
        <f aca="false">IF(I2160="","",IF(H2160-1&lt;הגדרות!$E$8*(הגדרות!$E$7+1),MOD(H2160-1,הגדרות!$E$7+1),MOD(H2160-1-הגדרות!$E$8*(הגדרות!$E$7+1),הגדרות!$E$7)))</f>
        <v/>
      </c>
      <c r="K2160" s="0" t="str">
        <f aca="false">IF(I2160="","",J2160*הגדרות!$E$6+I2160+1)</f>
        <v/>
      </c>
      <c r="L2160" s="0" t="str">
        <f aca="false">IF(K2160="","",MATCH(K2160,$F$2:$F$5001,0))</f>
        <v/>
      </c>
      <c r="M2160" s="0" t="str">
        <f aca="false">IF(I2160="","",INDEX(הגדרות!$A$2:$A$21,MOD(I2160+הגדרות!$E$9,הגדרות!$E$6)+1))</f>
        <v/>
      </c>
    </row>
    <row r="2161" customFormat="false" ht="15" hidden="false" customHeight="false" outlineLevel="0" collapsed="false">
      <c r="A2161" s="0" t="str">
        <f aca="false">IF('הדבקת לידים'!A2161="","",IF(ISNUMBER('הדבקת לידים'!A2161),IF(הגדרות!$E$2&gt;0,TEXT('הדבקת לידים'!A2161,REPT("0",הגדרות!$E$2)),TEXT('הדבקת לידים'!A2161,"0")),TRIM('הדבקת לידים'!A2161)))</f>
        <v/>
      </c>
      <c r="B2161" s="0" t="str">
        <f aca="false">IF('הדבקת לידים'!B2161="","",IF(ISNUMBER('הדבקת לידים'!B2161),IF(הגדרות!$E$3&gt;0,TEXT('הדבקת לידים'!B2161,REPT("0",הגדרות!$E$3)),TEXT('הדבקת לידים'!B2161,"0")),TRIM('הדבקת לידים'!B2161)))</f>
        <v/>
      </c>
      <c r="C2161" s="0" t="n">
        <f aca="false">IF(OR(A2161&lt;&gt;"",B2161&lt;&gt;""),1,0)</f>
        <v>0</v>
      </c>
      <c r="D2161" s="0" t="str">
        <f aca="false">IF(C2161=1,MOD(ABS(SIN(ROW()*12.9898+'הדבקת לידים'!$F$2*78.233+IFERROR(--RIGHT(A2161,6),LEN(A2161))*0.0137+IFERROR(--RIGHT(B2161,6),LEN(B2161))*0.0071))*43758.5453,1),"")</f>
        <v/>
      </c>
      <c r="E2161" s="0" t="str">
        <f aca="false">IF(C2161=1,INT(MOD(ABS(SIN(D2161*7919.123+ROW()*0.618+'הדבקת לידים'!$F$2*1.3))*43758.5453,1)*1000000)*10000+ROW(),"")</f>
        <v/>
      </c>
      <c r="F2161" s="0" t="str">
        <f aca="false">IF(E2161="","",RANK(E2161,$E$2:$E$5001,1))</f>
        <v/>
      </c>
      <c r="G2161" s="0" t="n">
        <f aca="false">IF(A2161="",0,IF(SUMPRODUCT(--($A$2:$A$5001=A2161))&gt;1,1,0))</f>
        <v>0</v>
      </c>
      <c r="H2161" s="0" t="n">
        <f aca="false">ROW()-1</f>
        <v>2160</v>
      </c>
      <c r="I2161" s="0" t="str">
        <f aca="false">IF(OR(הגדרות!$E$6=0,H2161&gt;הגדרות!$E$5),"",IF(H2161-1&lt;הגדרות!$E$8*(הגדרות!$E$7+1),INT((H2161-1)/(הגדרות!$E$7+1)),הגדרות!$E$8+INT((H2161-1-הגדרות!$E$8*(הגדרות!$E$7+1))/הגדרות!$E$7)))</f>
        <v/>
      </c>
      <c r="J2161" s="0" t="str">
        <f aca="false">IF(I2161="","",IF(H2161-1&lt;הגדרות!$E$8*(הגדרות!$E$7+1),MOD(H2161-1,הגדרות!$E$7+1),MOD(H2161-1-הגדרות!$E$8*(הגדרות!$E$7+1),הגדרות!$E$7)))</f>
        <v/>
      </c>
      <c r="K2161" s="0" t="str">
        <f aca="false">IF(I2161="","",J2161*הגדרות!$E$6+I2161+1)</f>
        <v/>
      </c>
      <c r="L2161" s="0" t="str">
        <f aca="false">IF(K2161="","",MATCH(K2161,$F$2:$F$5001,0))</f>
        <v/>
      </c>
      <c r="M2161" s="0" t="str">
        <f aca="false">IF(I2161="","",INDEX(הגדרות!$A$2:$A$21,MOD(I2161+הגדרות!$E$9,הגדרות!$E$6)+1))</f>
        <v/>
      </c>
    </row>
    <row r="2162" customFormat="false" ht="15" hidden="false" customHeight="false" outlineLevel="0" collapsed="false">
      <c r="A2162" s="0" t="str">
        <f aca="false">IF('הדבקת לידים'!A2162="","",IF(ISNUMBER('הדבקת לידים'!A2162),IF(הגדרות!$E$2&gt;0,TEXT('הדבקת לידים'!A2162,REPT("0",הגדרות!$E$2)),TEXT('הדבקת לידים'!A2162,"0")),TRIM('הדבקת לידים'!A2162)))</f>
        <v/>
      </c>
      <c r="B2162" s="0" t="str">
        <f aca="false">IF('הדבקת לידים'!B2162="","",IF(ISNUMBER('הדבקת לידים'!B2162),IF(הגדרות!$E$3&gt;0,TEXT('הדבקת לידים'!B2162,REPT("0",הגדרות!$E$3)),TEXT('הדבקת לידים'!B2162,"0")),TRIM('הדבקת לידים'!B2162)))</f>
        <v/>
      </c>
      <c r="C2162" s="0" t="n">
        <f aca="false">IF(OR(A2162&lt;&gt;"",B2162&lt;&gt;""),1,0)</f>
        <v>0</v>
      </c>
      <c r="D2162" s="0" t="str">
        <f aca="false">IF(C2162=1,MOD(ABS(SIN(ROW()*12.9898+'הדבקת לידים'!$F$2*78.233+IFERROR(--RIGHT(A2162,6),LEN(A2162))*0.0137+IFERROR(--RIGHT(B2162,6),LEN(B2162))*0.0071))*43758.5453,1),"")</f>
        <v/>
      </c>
      <c r="E2162" s="0" t="str">
        <f aca="false">IF(C2162=1,INT(MOD(ABS(SIN(D2162*7919.123+ROW()*0.618+'הדבקת לידים'!$F$2*1.3))*43758.5453,1)*1000000)*10000+ROW(),"")</f>
        <v/>
      </c>
      <c r="F2162" s="0" t="str">
        <f aca="false">IF(E2162="","",RANK(E2162,$E$2:$E$5001,1))</f>
        <v/>
      </c>
      <c r="G2162" s="0" t="n">
        <f aca="false">IF(A2162="",0,IF(SUMPRODUCT(--($A$2:$A$5001=A2162))&gt;1,1,0))</f>
        <v>0</v>
      </c>
      <c r="H2162" s="0" t="n">
        <f aca="false">ROW()-1</f>
        <v>2161</v>
      </c>
      <c r="I2162" s="0" t="str">
        <f aca="false">IF(OR(הגדרות!$E$6=0,H2162&gt;הגדרות!$E$5),"",IF(H2162-1&lt;הגדרות!$E$8*(הגדרות!$E$7+1),INT((H2162-1)/(הגדרות!$E$7+1)),הגדרות!$E$8+INT((H2162-1-הגדרות!$E$8*(הגדרות!$E$7+1))/הגדרות!$E$7)))</f>
        <v/>
      </c>
      <c r="J2162" s="0" t="str">
        <f aca="false">IF(I2162="","",IF(H2162-1&lt;הגדרות!$E$8*(הגדרות!$E$7+1),MOD(H2162-1,הגדרות!$E$7+1),MOD(H2162-1-הגדרות!$E$8*(הגדרות!$E$7+1),הגדרות!$E$7)))</f>
        <v/>
      </c>
      <c r="K2162" s="0" t="str">
        <f aca="false">IF(I2162="","",J2162*הגדרות!$E$6+I2162+1)</f>
        <v/>
      </c>
      <c r="L2162" s="0" t="str">
        <f aca="false">IF(K2162="","",MATCH(K2162,$F$2:$F$5001,0))</f>
        <v/>
      </c>
      <c r="M2162" s="0" t="str">
        <f aca="false">IF(I2162="","",INDEX(הגדרות!$A$2:$A$21,MOD(I2162+הגדרות!$E$9,הגדרות!$E$6)+1))</f>
        <v/>
      </c>
    </row>
    <row r="2163" customFormat="false" ht="15" hidden="false" customHeight="false" outlineLevel="0" collapsed="false">
      <c r="A2163" s="0" t="str">
        <f aca="false">IF('הדבקת לידים'!A2163="","",IF(ISNUMBER('הדבקת לידים'!A2163),IF(הגדרות!$E$2&gt;0,TEXT('הדבקת לידים'!A2163,REPT("0",הגדרות!$E$2)),TEXT('הדבקת לידים'!A2163,"0")),TRIM('הדבקת לידים'!A2163)))</f>
        <v/>
      </c>
      <c r="B2163" s="0" t="str">
        <f aca="false">IF('הדבקת לידים'!B2163="","",IF(ISNUMBER('הדבקת לידים'!B2163),IF(הגדרות!$E$3&gt;0,TEXT('הדבקת לידים'!B2163,REPT("0",הגדרות!$E$3)),TEXT('הדבקת לידים'!B2163,"0")),TRIM('הדבקת לידים'!B2163)))</f>
        <v/>
      </c>
      <c r="C2163" s="0" t="n">
        <f aca="false">IF(OR(A2163&lt;&gt;"",B2163&lt;&gt;""),1,0)</f>
        <v>0</v>
      </c>
      <c r="D2163" s="0" t="str">
        <f aca="false">IF(C2163=1,MOD(ABS(SIN(ROW()*12.9898+'הדבקת לידים'!$F$2*78.233+IFERROR(--RIGHT(A2163,6),LEN(A2163))*0.0137+IFERROR(--RIGHT(B2163,6),LEN(B2163))*0.0071))*43758.5453,1),"")</f>
        <v/>
      </c>
      <c r="E2163" s="0" t="str">
        <f aca="false">IF(C2163=1,INT(MOD(ABS(SIN(D2163*7919.123+ROW()*0.618+'הדבקת לידים'!$F$2*1.3))*43758.5453,1)*1000000)*10000+ROW(),"")</f>
        <v/>
      </c>
      <c r="F2163" s="0" t="str">
        <f aca="false">IF(E2163="","",RANK(E2163,$E$2:$E$5001,1))</f>
        <v/>
      </c>
      <c r="G2163" s="0" t="n">
        <f aca="false">IF(A2163="",0,IF(SUMPRODUCT(--($A$2:$A$5001=A2163))&gt;1,1,0))</f>
        <v>0</v>
      </c>
      <c r="H2163" s="0" t="n">
        <f aca="false">ROW()-1</f>
        <v>2162</v>
      </c>
      <c r="I2163" s="0" t="str">
        <f aca="false">IF(OR(הגדרות!$E$6=0,H2163&gt;הגדרות!$E$5),"",IF(H2163-1&lt;הגדרות!$E$8*(הגדרות!$E$7+1),INT((H2163-1)/(הגדרות!$E$7+1)),הגדרות!$E$8+INT((H2163-1-הגדרות!$E$8*(הגדרות!$E$7+1))/הגדרות!$E$7)))</f>
        <v/>
      </c>
      <c r="J2163" s="0" t="str">
        <f aca="false">IF(I2163="","",IF(H2163-1&lt;הגדרות!$E$8*(הגדרות!$E$7+1),MOD(H2163-1,הגדרות!$E$7+1),MOD(H2163-1-הגדרות!$E$8*(הגדרות!$E$7+1),הגדרות!$E$7)))</f>
        <v/>
      </c>
      <c r="K2163" s="0" t="str">
        <f aca="false">IF(I2163="","",J2163*הגדרות!$E$6+I2163+1)</f>
        <v/>
      </c>
      <c r="L2163" s="0" t="str">
        <f aca="false">IF(K2163="","",MATCH(K2163,$F$2:$F$5001,0))</f>
        <v/>
      </c>
      <c r="M2163" s="0" t="str">
        <f aca="false">IF(I2163="","",INDEX(הגדרות!$A$2:$A$21,MOD(I2163+הגדרות!$E$9,הגדרות!$E$6)+1))</f>
        <v/>
      </c>
    </row>
    <row r="2164" customFormat="false" ht="15" hidden="false" customHeight="false" outlineLevel="0" collapsed="false">
      <c r="A2164" s="0" t="str">
        <f aca="false">IF('הדבקת לידים'!A2164="","",IF(ISNUMBER('הדבקת לידים'!A2164),IF(הגדרות!$E$2&gt;0,TEXT('הדבקת לידים'!A2164,REPT("0",הגדרות!$E$2)),TEXT('הדבקת לידים'!A2164,"0")),TRIM('הדבקת לידים'!A2164)))</f>
        <v/>
      </c>
      <c r="B2164" s="0" t="str">
        <f aca="false">IF('הדבקת לידים'!B2164="","",IF(ISNUMBER('הדבקת לידים'!B2164),IF(הגדרות!$E$3&gt;0,TEXT('הדבקת לידים'!B2164,REPT("0",הגדרות!$E$3)),TEXT('הדבקת לידים'!B2164,"0")),TRIM('הדבקת לידים'!B2164)))</f>
        <v/>
      </c>
      <c r="C2164" s="0" t="n">
        <f aca="false">IF(OR(A2164&lt;&gt;"",B2164&lt;&gt;""),1,0)</f>
        <v>0</v>
      </c>
      <c r="D2164" s="0" t="str">
        <f aca="false">IF(C2164=1,MOD(ABS(SIN(ROW()*12.9898+'הדבקת לידים'!$F$2*78.233+IFERROR(--RIGHT(A2164,6),LEN(A2164))*0.0137+IFERROR(--RIGHT(B2164,6),LEN(B2164))*0.0071))*43758.5453,1),"")</f>
        <v/>
      </c>
      <c r="E2164" s="0" t="str">
        <f aca="false">IF(C2164=1,INT(MOD(ABS(SIN(D2164*7919.123+ROW()*0.618+'הדבקת לידים'!$F$2*1.3))*43758.5453,1)*1000000)*10000+ROW(),"")</f>
        <v/>
      </c>
      <c r="F2164" s="0" t="str">
        <f aca="false">IF(E2164="","",RANK(E2164,$E$2:$E$5001,1))</f>
        <v/>
      </c>
      <c r="G2164" s="0" t="n">
        <f aca="false">IF(A2164="",0,IF(SUMPRODUCT(--($A$2:$A$5001=A2164))&gt;1,1,0))</f>
        <v>0</v>
      </c>
      <c r="H2164" s="0" t="n">
        <f aca="false">ROW()-1</f>
        <v>2163</v>
      </c>
      <c r="I2164" s="0" t="str">
        <f aca="false">IF(OR(הגדרות!$E$6=0,H2164&gt;הגדרות!$E$5),"",IF(H2164-1&lt;הגדרות!$E$8*(הגדרות!$E$7+1),INT((H2164-1)/(הגדרות!$E$7+1)),הגדרות!$E$8+INT((H2164-1-הגדרות!$E$8*(הגדרות!$E$7+1))/הגדרות!$E$7)))</f>
        <v/>
      </c>
      <c r="J2164" s="0" t="str">
        <f aca="false">IF(I2164="","",IF(H2164-1&lt;הגדרות!$E$8*(הגדרות!$E$7+1),MOD(H2164-1,הגדרות!$E$7+1),MOD(H2164-1-הגדרות!$E$8*(הגדרות!$E$7+1),הגדרות!$E$7)))</f>
        <v/>
      </c>
      <c r="K2164" s="0" t="str">
        <f aca="false">IF(I2164="","",J2164*הגדרות!$E$6+I2164+1)</f>
        <v/>
      </c>
      <c r="L2164" s="0" t="str">
        <f aca="false">IF(K2164="","",MATCH(K2164,$F$2:$F$5001,0))</f>
        <v/>
      </c>
      <c r="M2164" s="0" t="str">
        <f aca="false">IF(I2164="","",INDEX(הגדרות!$A$2:$A$21,MOD(I2164+הגדרות!$E$9,הגדרות!$E$6)+1))</f>
        <v/>
      </c>
    </row>
    <row r="2165" customFormat="false" ht="15" hidden="false" customHeight="false" outlineLevel="0" collapsed="false">
      <c r="A2165" s="0" t="str">
        <f aca="false">IF('הדבקת לידים'!A2165="","",IF(ISNUMBER('הדבקת לידים'!A2165),IF(הגדרות!$E$2&gt;0,TEXT('הדבקת לידים'!A2165,REPT("0",הגדרות!$E$2)),TEXT('הדבקת לידים'!A2165,"0")),TRIM('הדבקת לידים'!A2165)))</f>
        <v/>
      </c>
      <c r="B2165" s="0" t="str">
        <f aca="false">IF('הדבקת לידים'!B2165="","",IF(ISNUMBER('הדבקת לידים'!B2165),IF(הגדרות!$E$3&gt;0,TEXT('הדבקת לידים'!B2165,REPT("0",הגדרות!$E$3)),TEXT('הדבקת לידים'!B2165,"0")),TRIM('הדבקת לידים'!B2165)))</f>
        <v/>
      </c>
      <c r="C2165" s="0" t="n">
        <f aca="false">IF(OR(A2165&lt;&gt;"",B2165&lt;&gt;""),1,0)</f>
        <v>0</v>
      </c>
      <c r="D2165" s="0" t="str">
        <f aca="false">IF(C2165=1,MOD(ABS(SIN(ROW()*12.9898+'הדבקת לידים'!$F$2*78.233+IFERROR(--RIGHT(A2165,6),LEN(A2165))*0.0137+IFERROR(--RIGHT(B2165,6),LEN(B2165))*0.0071))*43758.5453,1),"")</f>
        <v/>
      </c>
      <c r="E2165" s="0" t="str">
        <f aca="false">IF(C2165=1,INT(MOD(ABS(SIN(D2165*7919.123+ROW()*0.618+'הדבקת לידים'!$F$2*1.3))*43758.5453,1)*1000000)*10000+ROW(),"")</f>
        <v/>
      </c>
      <c r="F2165" s="0" t="str">
        <f aca="false">IF(E2165="","",RANK(E2165,$E$2:$E$5001,1))</f>
        <v/>
      </c>
      <c r="G2165" s="0" t="n">
        <f aca="false">IF(A2165="",0,IF(SUMPRODUCT(--($A$2:$A$5001=A2165))&gt;1,1,0))</f>
        <v>0</v>
      </c>
      <c r="H2165" s="0" t="n">
        <f aca="false">ROW()-1</f>
        <v>2164</v>
      </c>
      <c r="I2165" s="0" t="str">
        <f aca="false">IF(OR(הגדרות!$E$6=0,H2165&gt;הגדרות!$E$5),"",IF(H2165-1&lt;הגדרות!$E$8*(הגדרות!$E$7+1),INT((H2165-1)/(הגדרות!$E$7+1)),הגדרות!$E$8+INT((H2165-1-הגדרות!$E$8*(הגדרות!$E$7+1))/הגדרות!$E$7)))</f>
        <v/>
      </c>
      <c r="J2165" s="0" t="str">
        <f aca="false">IF(I2165="","",IF(H2165-1&lt;הגדרות!$E$8*(הגדרות!$E$7+1),MOD(H2165-1,הגדרות!$E$7+1),MOD(H2165-1-הגדרות!$E$8*(הגדרות!$E$7+1),הגדרות!$E$7)))</f>
        <v/>
      </c>
      <c r="K2165" s="0" t="str">
        <f aca="false">IF(I2165="","",J2165*הגדרות!$E$6+I2165+1)</f>
        <v/>
      </c>
      <c r="L2165" s="0" t="str">
        <f aca="false">IF(K2165="","",MATCH(K2165,$F$2:$F$5001,0))</f>
        <v/>
      </c>
      <c r="M2165" s="0" t="str">
        <f aca="false">IF(I2165="","",INDEX(הגדרות!$A$2:$A$21,MOD(I2165+הגדרות!$E$9,הגדרות!$E$6)+1))</f>
        <v/>
      </c>
    </row>
    <row r="2166" customFormat="false" ht="15" hidden="false" customHeight="false" outlineLevel="0" collapsed="false">
      <c r="A2166" s="0" t="str">
        <f aca="false">IF('הדבקת לידים'!A2166="","",IF(ISNUMBER('הדבקת לידים'!A2166),IF(הגדרות!$E$2&gt;0,TEXT('הדבקת לידים'!A2166,REPT("0",הגדרות!$E$2)),TEXT('הדבקת לידים'!A2166,"0")),TRIM('הדבקת לידים'!A2166)))</f>
        <v/>
      </c>
      <c r="B2166" s="0" t="str">
        <f aca="false">IF('הדבקת לידים'!B2166="","",IF(ISNUMBER('הדבקת לידים'!B2166),IF(הגדרות!$E$3&gt;0,TEXT('הדבקת לידים'!B2166,REPT("0",הגדרות!$E$3)),TEXT('הדבקת לידים'!B2166,"0")),TRIM('הדבקת לידים'!B2166)))</f>
        <v/>
      </c>
      <c r="C2166" s="0" t="n">
        <f aca="false">IF(OR(A2166&lt;&gt;"",B2166&lt;&gt;""),1,0)</f>
        <v>0</v>
      </c>
      <c r="D2166" s="0" t="str">
        <f aca="false">IF(C2166=1,MOD(ABS(SIN(ROW()*12.9898+'הדבקת לידים'!$F$2*78.233+IFERROR(--RIGHT(A2166,6),LEN(A2166))*0.0137+IFERROR(--RIGHT(B2166,6),LEN(B2166))*0.0071))*43758.5453,1),"")</f>
        <v/>
      </c>
      <c r="E2166" s="0" t="str">
        <f aca="false">IF(C2166=1,INT(MOD(ABS(SIN(D2166*7919.123+ROW()*0.618+'הדבקת לידים'!$F$2*1.3))*43758.5453,1)*1000000)*10000+ROW(),"")</f>
        <v/>
      </c>
      <c r="F2166" s="0" t="str">
        <f aca="false">IF(E2166="","",RANK(E2166,$E$2:$E$5001,1))</f>
        <v/>
      </c>
      <c r="G2166" s="0" t="n">
        <f aca="false">IF(A2166="",0,IF(SUMPRODUCT(--($A$2:$A$5001=A2166))&gt;1,1,0))</f>
        <v>0</v>
      </c>
      <c r="H2166" s="0" t="n">
        <f aca="false">ROW()-1</f>
        <v>2165</v>
      </c>
      <c r="I2166" s="0" t="str">
        <f aca="false">IF(OR(הגדרות!$E$6=0,H2166&gt;הגדרות!$E$5),"",IF(H2166-1&lt;הגדרות!$E$8*(הגדרות!$E$7+1),INT((H2166-1)/(הגדרות!$E$7+1)),הגדרות!$E$8+INT((H2166-1-הגדרות!$E$8*(הגדרות!$E$7+1))/הגדרות!$E$7)))</f>
        <v/>
      </c>
      <c r="J2166" s="0" t="str">
        <f aca="false">IF(I2166="","",IF(H2166-1&lt;הגדרות!$E$8*(הגדרות!$E$7+1),MOD(H2166-1,הגדרות!$E$7+1),MOD(H2166-1-הגדרות!$E$8*(הגדרות!$E$7+1),הגדרות!$E$7)))</f>
        <v/>
      </c>
      <c r="K2166" s="0" t="str">
        <f aca="false">IF(I2166="","",J2166*הגדרות!$E$6+I2166+1)</f>
        <v/>
      </c>
      <c r="L2166" s="0" t="str">
        <f aca="false">IF(K2166="","",MATCH(K2166,$F$2:$F$5001,0))</f>
        <v/>
      </c>
      <c r="M2166" s="0" t="str">
        <f aca="false">IF(I2166="","",INDEX(הגדרות!$A$2:$A$21,MOD(I2166+הגדרות!$E$9,הגדרות!$E$6)+1))</f>
        <v/>
      </c>
    </row>
    <row r="2167" customFormat="false" ht="15" hidden="false" customHeight="false" outlineLevel="0" collapsed="false">
      <c r="A2167" s="0" t="str">
        <f aca="false">IF('הדבקת לידים'!A2167="","",IF(ISNUMBER('הדבקת לידים'!A2167),IF(הגדרות!$E$2&gt;0,TEXT('הדבקת לידים'!A2167,REPT("0",הגדרות!$E$2)),TEXT('הדבקת לידים'!A2167,"0")),TRIM('הדבקת לידים'!A2167)))</f>
        <v/>
      </c>
      <c r="B2167" s="0" t="str">
        <f aca="false">IF('הדבקת לידים'!B2167="","",IF(ISNUMBER('הדבקת לידים'!B2167),IF(הגדרות!$E$3&gt;0,TEXT('הדבקת לידים'!B2167,REPT("0",הגדרות!$E$3)),TEXT('הדבקת לידים'!B2167,"0")),TRIM('הדבקת לידים'!B2167)))</f>
        <v/>
      </c>
      <c r="C2167" s="0" t="n">
        <f aca="false">IF(OR(A2167&lt;&gt;"",B2167&lt;&gt;""),1,0)</f>
        <v>0</v>
      </c>
      <c r="D2167" s="0" t="str">
        <f aca="false">IF(C2167=1,MOD(ABS(SIN(ROW()*12.9898+'הדבקת לידים'!$F$2*78.233+IFERROR(--RIGHT(A2167,6),LEN(A2167))*0.0137+IFERROR(--RIGHT(B2167,6),LEN(B2167))*0.0071))*43758.5453,1),"")</f>
        <v/>
      </c>
      <c r="E2167" s="0" t="str">
        <f aca="false">IF(C2167=1,INT(MOD(ABS(SIN(D2167*7919.123+ROW()*0.618+'הדבקת לידים'!$F$2*1.3))*43758.5453,1)*1000000)*10000+ROW(),"")</f>
        <v/>
      </c>
      <c r="F2167" s="0" t="str">
        <f aca="false">IF(E2167="","",RANK(E2167,$E$2:$E$5001,1))</f>
        <v/>
      </c>
      <c r="G2167" s="0" t="n">
        <f aca="false">IF(A2167="",0,IF(SUMPRODUCT(--($A$2:$A$5001=A2167))&gt;1,1,0))</f>
        <v>0</v>
      </c>
      <c r="H2167" s="0" t="n">
        <f aca="false">ROW()-1</f>
        <v>2166</v>
      </c>
      <c r="I2167" s="0" t="str">
        <f aca="false">IF(OR(הגדרות!$E$6=0,H2167&gt;הגדרות!$E$5),"",IF(H2167-1&lt;הגדרות!$E$8*(הגדרות!$E$7+1),INT((H2167-1)/(הגדרות!$E$7+1)),הגדרות!$E$8+INT((H2167-1-הגדרות!$E$8*(הגדרות!$E$7+1))/הגדרות!$E$7)))</f>
        <v/>
      </c>
      <c r="J2167" s="0" t="str">
        <f aca="false">IF(I2167="","",IF(H2167-1&lt;הגדרות!$E$8*(הגדרות!$E$7+1),MOD(H2167-1,הגדרות!$E$7+1),MOD(H2167-1-הגדרות!$E$8*(הגדרות!$E$7+1),הגדרות!$E$7)))</f>
        <v/>
      </c>
      <c r="K2167" s="0" t="str">
        <f aca="false">IF(I2167="","",J2167*הגדרות!$E$6+I2167+1)</f>
        <v/>
      </c>
      <c r="L2167" s="0" t="str">
        <f aca="false">IF(K2167="","",MATCH(K2167,$F$2:$F$5001,0))</f>
        <v/>
      </c>
      <c r="M2167" s="0" t="str">
        <f aca="false">IF(I2167="","",INDEX(הגדרות!$A$2:$A$21,MOD(I2167+הגדרות!$E$9,הגדרות!$E$6)+1))</f>
        <v/>
      </c>
    </row>
    <row r="2168" customFormat="false" ht="15" hidden="false" customHeight="false" outlineLevel="0" collapsed="false">
      <c r="A2168" s="0" t="str">
        <f aca="false">IF('הדבקת לידים'!A2168="","",IF(ISNUMBER('הדבקת לידים'!A2168),IF(הגדרות!$E$2&gt;0,TEXT('הדבקת לידים'!A2168,REPT("0",הגדרות!$E$2)),TEXT('הדבקת לידים'!A2168,"0")),TRIM('הדבקת לידים'!A2168)))</f>
        <v/>
      </c>
      <c r="B2168" s="0" t="str">
        <f aca="false">IF('הדבקת לידים'!B2168="","",IF(ISNUMBER('הדבקת לידים'!B2168),IF(הגדרות!$E$3&gt;0,TEXT('הדבקת לידים'!B2168,REPT("0",הגדרות!$E$3)),TEXT('הדבקת לידים'!B2168,"0")),TRIM('הדבקת לידים'!B2168)))</f>
        <v/>
      </c>
      <c r="C2168" s="0" t="n">
        <f aca="false">IF(OR(A2168&lt;&gt;"",B2168&lt;&gt;""),1,0)</f>
        <v>0</v>
      </c>
      <c r="D2168" s="0" t="str">
        <f aca="false">IF(C2168=1,MOD(ABS(SIN(ROW()*12.9898+'הדבקת לידים'!$F$2*78.233+IFERROR(--RIGHT(A2168,6),LEN(A2168))*0.0137+IFERROR(--RIGHT(B2168,6),LEN(B2168))*0.0071))*43758.5453,1),"")</f>
        <v/>
      </c>
      <c r="E2168" s="0" t="str">
        <f aca="false">IF(C2168=1,INT(MOD(ABS(SIN(D2168*7919.123+ROW()*0.618+'הדבקת לידים'!$F$2*1.3))*43758.5453,1)*1000000)*10000+ROW(),"")</f>
        <v/>
      </c>
      <c r="F2168" s="0" t="str">
        <f aca="false">IF(E2168="","",RANK(E2168,$E$2:$E$5001,1))</f>
        <v/>
      </c>
      <c r="G2168" s="0" t="n">
        <f aca="false">IF(A2168="",0,IF(SUMPRODUCT(--($A$2:$A$5001=A2168))&gt;1,1,0))</f>
        <v>0</v>
      </c>
      <c r="H2168" s="0" t="n">
        <f aca="false">ROW()-1</f>
        <v>2167</v>
      </c>
      <c r="I2168" s="0" t="str">
        <f aca="false">IF(OR(הגדרות!$E$6=0,H2168&gt;הגדרות!$E$5),"",IF(H2168-1&lt;הגדרות!$E$8*(הגדרות!$E$7+1),INT((H2168-1)/(הגדרות!$E$7+1)),הגדרות!$E$8+INT((H2168-1-הגדרות!$E$8*(הגדרות!$E$7+1))/הגדרות!$E$7)))</f>
        <v/>
      </c>
      <c r="J2168" s="0" t="str">
        <f aca="false">IF(I2168="","",IF(H2168-1&lt;הגדרות!$E$8*(הגדרות!$E$7+1),MOD(H2168-1,הגדרות!$E$7+1),MOD(H2168-1-הגדרות!$E$8*(הגדרות!$E$7+1),הגדרות!$E$7)))</f>
        <v/>
      </c>
      <c r="K2168" s="0" t="str">
        <f aca="false">IF(I2168="","",J2168*הגדרות!$E$6+I2168+1)</f>
        <v/>
      </c>
      <c r="L2168" s="0" t="str">
        <f aca="false">IF(K2168="","",MATCH(K2168,$F$2:$F$5001,0))</f>
        <v/>
      </c>
      <c r="M2168" s="0" t="str">
        <f aca="false">IF(I2168="","",INDEX(הגדרות!$A$2:$A$21,MOD(I2168+הגדרות!$E$9,הגדרות!$E$6)+1))</f>
        <v/>
      </c>
    </row>
    <row r="2169" customFormat="false" ht="15" hidden="false" customHeight="false" outlineLevel="0" collapsed="false">
      <c r="A2169" s="0" t="str">
        <f aca="false">IF('הדבקת לידים'!A2169="","",IF(ISNUMBER('הדבקת לידים'!A2169),IF(הגדרות!$E$2&gt;0,TEXT('הדבקת לידים'!A2169,REPT("0",הגדרות!$E$2)),TEXT('הדבקת לידים'!A2169,"0")),TRIM('הדבקת לידים'!A2169)))</f>
        <v/>
      </c>
      <c r="B2169" s="0" t="str">
        <f aca="false">IF('הדבקת לידים'!B2169="","",IF(ISNUMBER('הדבקת לידים'!B2169),IF(הגדרות!$E$3&gt;0,TEXT('הדבקת לידים'!B2169,REPT("0",הגדרות!$E$3)),TEXT('הדבקת לידים'!B2169,"0")),TRIM('הדבקת לידים'!B2169)))</f>
        <v/>
      </c>
      <c r="C2169" s="0" t="n">
        <f aca="false">IF(OR(A2169&lt;&gt;"",B2169&lt;&gt;""),1,0)</f>
        <v>0</v>
      </c>
      <c r="D2169" s="0" t="str">
        <f aca="false">IF(C2169=1,MOD(ABS(SIN(ROW()*12.9898+'הדבקת לידים'!$F$2*78.233+IFERROR(--RIGHT(A2169,6),LEN(A2169))*0.0137+IFERROR(--RIGHT(B2169,6),LEN(B2169))*0.0071))*43758.5453,1),"")</f>
        <v/>
      </c>
      <c r="E2169" s="0" t="str">
        <f aca="false">IF(C2169=1,INT(MOD(ABS(SIN(D2169*7919.123+ROW()*0.618+'הדבקת לידים'!$F$2*1.3))*43758.5453,1)*1000000)*10000+ROW(),"")</f>
        <v/>
      </c>
      <c r="F2169" s="0" t="str">
        <f aca="false">IF(E2169="","",RANK(E2169,$E$2:$E$5001,1))</f>
        <v/>
      </c>
      <c r="G2169" s="0" t="n">
        <f aca="false">IF(A2169="",0,IF(SUMPRODUCT(--($A$2:$A$5001=A2169))&gt;1,1,0))</f>
        <v>0</v>
      </c>
      <c r="H2169" s="0" t="n">
        <f aca="false">ROW()-1</f>
        <v>2168</v>
      </c>
      <c r="I2169" s="0" t="str">
        <f aca="false">IF(OR(הגדרות!$E$6=0,H2169&gt;הגדרות!$E$5),"",IF(H2169-1&lt;הגדרות!$E$8*(הגדרות!$E$7+1),INT((H2169-1)/(הגדרות!$E$7+1)),הגדרות!$E$8+INT((H2169-1-הגדרות!$E$8*(הגדרות!$E$7+1))/הגדרות!$E$7)))</f>
        <v/>
      </c>
      <c r="J2169" s="0" t="str">
        <f aca="false">IF(I2169="","",IF(H2169-1&lt;הגדרות!$E$8*(הגדרות!$E$7+1),MOD(H2169-1,הגדרות!$E$7+1),MOD(H2169-1-הגדרות!$E$8*(הגדרות!$E$7+1),הגדרות!$E$7)))</f>
        <v/>
      </c>
      <c r="K2169" s="0" t="str">
        <f aca="false">IF(I2169="","",J2169*הגדרות!$E$6+I2169+1)</f>
        <v/>
      </c>
      <c r="L2169" s="0" t="str">
        <f aca="false">IF(K2169="","",MATCH(K2169,$F$2:$F$5001,0))</f>
        <v/>
      </c>
      <c r="M2169" s="0" t="str">
        <f aca="false">IF(I2169="","",INDEX(הגדרות!$A$2:$A$21,MOD(I2169+הגדרות!$E$9,הגדרות!$E$6)+1))</f>
        <v/>
      </c>
    </row>
    <row r="2170" customFormat="false" ht="15" hidden="false" customHeight="false" outlineLevel="0" collapsed="false">
      <c r="A2170" s="0" t="str">
        <f aca="false">IF('הדבקת לידים'!A2170="","",IF(ISNUMBER('הדבקת לידים'!A2170),IF(הגדרות!$E$2&gt;0,TEXT('הדבקת לידים'!A2170,REPT("0",הגדרות!$E$2)),TEXT('הדבקת לידים'!A2170,"0")),TRIM('הדבקת לידים'!A2170)))</f>
        <v/>
      </c>
      <c r="B2170" s="0" t="str">
        <f aca="false">IF('הדבקת לידים'!B2170="","",IF(ISNUMBER('הדבקת לידים'!B2170),IF(הגדרות!$E$3&gt;0,TEXT('הדבקת לידים'!B2170,REPT("0",הגדרות!$E$3)),TEXT('הדבקת לידים'!B2170,"0")),TRIM('הדבקת לידים'!B2170)))</f>
        <v/>
      </c>
      <c r="C2170" s="0" t="n">
        <f aca="false">IF(OR(A2170&lt;&gt;"",B2170&lt;&gt;""),1,0)</f>
        <v>0</v>
      </c>
      <c r="D2170" s="0" t="str">
        <f aca="false">IF(C2170=1,MOD(ABS(SIN(ROW()*12.9898+'הדבקת לידים'!$F$2*78.233+IFERROR(--RIGHT(A2170,6),LEN(A2170))*0.0137+IFERROR(--RIGHT(B2170,6),LEN(B2170))*0.0071))*43758.5453,1),"")</f>
        <v/>
      </c>
      <c r="E2170" s="0" t="str">
        <f aca="false">IF(C2170=1,INT(MOD(ABS(SIN(D2170*7919.123+ROW()*0.618+'הדבקת לידים'!$F$2*1.3))*43758.5453,1)*1000000)*10000+ROW(),"")</f>
        <v/>
      </c>
      <c r="F2170" s="0" t="str">
        <f aca="false">IF(E2170="","",RANK(E2170,$E$2:$E$5001,1))</f>
        <v/>
      </c>
      <c r="G2170" s="0" t="n">
        <f aca="false">IF(A2170="",0,IF(SUMPRODUCT(--($A$2:$A$5001=A2170))&gt;1,1,0))</f>
        <v>0</v>
      </c>
      <c r="H2170" s="0" t="n">
        <f aca="false">ROW()-1</f>
        <v>2169</v>
      </c>
      <c r="I2170" s="0" t="str">
        <f aca="false">IF(OR(הגדרות!$E$6=0,H2170&gt;הגדרות!$E$5),"",IF(H2170-1&lt;הגדרות!$E$8*(הגדרות!$E$7+1),INT((H2170-1)/(הגדרות!$E$7+1)),הגדרות!$E$8+INT((H2170-1-הגדרות!$E$8*(הגדרות!$E$7+1))/הגדרות!$E$7)))</f>
        <v/>
      </c>
      <c r="J2170" s="0" t="str">
        <f aca="false">IF(I2170="","",IF(H2170-1&lt;הגדרות!$E$8*(הגדרות!$E$7+1),MOD(H2170-1,הגדרות!$E$7+1),MOD(H2170-1-הגדרות!$E$8*(הגדרות!$E$7+1),הגדרות!$E$7)))</f>
        <v/>
      </c>
      <c r="K2170" s="0" t="str">
        <f aca="false">IF(I2170="","",J2170*הגדרות!$E$6+I2170+1)</f>
        <v/>
      </c>
      <c r="L2170" s="0" t="str">
        <f aca="false">IF(K2170="","",MATCH(K2170,$F$2:$F$5001,0))</f>
        <v/>
      </c>
      <c r="M2170" s="0" t="str">
        <f aca="false">IF(I2170="","",INDEX(הגדרות!$A$2:$A$21,MOD(I2170+הגדרות!$E$9,הגדרות!$E$6)+1))</f>
        <v/>
      </c>
    </row>
    <row r="2171" customFormat="false" ht="15" hidden="false" customHeight="false" outlineLevel="0" collapsed="false">
      <c r="A2171" s="0" t="str">
        <f aca="false">IF('הדבקת לידים'!A2171="","",IF(ISNUMBER('הדבקת לידים'!A2171),IF(הגדרות!$E$2&gt;0,TEXT('הדבקת לידים'!A2171,REPT("0",הגדרות!$E$2)),TEXT('הדבקת לידים'!A2171,"0")),TRIM('הדבקת לידים'!A2171)))</f>
        <v/>
      </c>
      <c r="B2171" s="0" t="str">
        <f aca="false">IF('הדבקת לידים'!B2171="","",IF(ISNUMBER('הדבקת לידים'!B2171),IF(הגדרות!$E$3&gt;0,TEXT('הדבקת לידים'!B2171,REPT("0",הגדרות!$E$3)),TEXT('הדבקת לידים'!B2171,"0")),TRIM('הדבקת לידים'!B2171)))</f>
        <v/>
      </c>
      <c r="C2171" s="0" t="n">
        <f aca="false">IF(OR(A2171&lt;&gt;"",B2171&lt;&gt;""),1,0)</f>
        <v>0</v>
      </c>
      <c r="D2171" s="0" t="str">
        <f aca="false">IF(C2171=1,MOD(ABS(SIN(ROW()*12.9898+'הדבקת לידים'!$F$2*78.233+IFERROR(--RIGHT(A2171,6),LEN(A2171))*0.0137+IFERROR(--RIGHT(B2171,6),LEN(B2171))*0.0071))*43758.5453,1),"")</f>
        <v/>
      </c>
      <c r="E2171" s="0" t="str">
        <f aca="false">IF(C2171=1,INT(MOD(ABS(SIN(D2171*7919.123+ROW()*0.618+'הדבקת לידים'!$F$2*1.3))*43758.5453,1)*1000000)*10000+ROW(),"")</f>
        <v/>
      </c>
      <c r="F2171" s="0" t="str">
        <f aca="false">IF(E2171="","",RANK(E2171,$E$2:$E$5001,1))</f>
        <v/>
      </c>
      <c r="G2171" s="0" t="n">
        <f aca="false">IF(A2171="",0,IF(SUMPRODUCT(--($A$2:$A$5001=A2171))&gt;1,1,0))</f>
        <v>0</v>
      </c>
      <c r="H2171" s="0" t="n">
        <f aca="false">ROW()-1</f>
        <v>2170</v>
      </c>
      <c r="I2171" s="0" t="str">
        <f aca="false">IF(OR(הגדרות!$E$6=0,H2171&gt;הגדרות!$E$5),"",IF(H2171-1&lt;הגדרות!$E$8*(הגדרות!$E$7+1),INT((H2171-1)/(הגדרות!$E$7+1)),הגדרות!$E$8+INT((H2171-1-הגדרות!$E$8*(הגדרות!$E$7+1))/הגדרות!$E$7)))</f>
        <v/>
      </c>
      <c r="J2171" s="0" t="str">
        <f aca="false">IF(I2171="","",IF(H2171-1&lt;הגדרות!$E$8*(הגדרות!$E$7+1),MOD(H2171-1,הגדרות!$E$7+1),MOD(H2171-1-הגדרות!$E$8*(הגדרות!$E$7+1),הגדרות!$E$7)))</f>
        <v/>
      </c>
      <c r="K2171" s="0" t="str">
        <f aca="false">IF(I2171="","",J2171*הגדרות!$E$6+I2171+1)</f>
        <v/>
      </c>
      <c r="L2171" s="0" t="str">
        <f aca="false">IF(K2171="","",MATCH(K2171,$F$2:$F$5001,0))</f>
        <v/>
      </c>
      <c r="M2171" s="0" t="str">
        <f aca="false">IF(I2171="","",INDEX(הגדרות!$A$2:$A$21,MOD(I2171+הגדרות!$E$9,הגדרות!$E$6)+1))</f>
        <v/>
      </c>
    </row>
    <row r="2172" customFormat="false" ht="15" hidden="false" customHeight="false" outlineLevel="0" collapsed="false">
      <c r="A2172" s="0" t="str">
        <f aca="false">IF('הדבקת לידים'!A2172="","",IF(ISNUMBER('הדבקת לידים'!A2172),IF(הגדרות!$E$2&gt;0,TEXT('הדבקת לידים'!A2172,REPT("0",הגדרות!$E$2)),TEXT('הדבקת לידים'!A2172,"0")),TRIM('הדבקת לידים'!A2172)))</f>
        <v/>
      </c>
      <c r="B2172" s="0" t="str">
        <f aca="false">IF('הדבקת לידים'!B2172="","",IF(ISNUMBER('הדבקת לידים'!B2172),IF(הגדרות!$E$3&gt;0,TEXT('הדבקת לידים'!B2172,REPT("0",הגדרות!$E$3)),TEXT('הדבקת לידים'!B2172,"0")),TRIM('הדבקת לידים'!B2172)))</f>
        <v/>
      </c>
      <c r="C2172" s="0" t="n">
        <f aca="false">IF(OR(A2172&lt;&gt;"",B2172&lt;&gt;""),1,0)</f>
        <v>0</v>
      </c>
      <c r="D2172" s="0" t="str">
        <f aca="false">IF(C2172=1,MOD(ABS(SIN(ROW()*12.9898+'הדבקת לידים'!$F$2*78.233+IFERROR(--RIGHT(A2172,6),LEN(A2172))*0.0137+IFERROR(--RIGHT(B2172,6),LEN(B2172))*0.0071))*43758.5453,1),"")</f>
        <v/>
      </c>
      <c r="E2172" s="0" t="str">
        <f aca="false">IF(C2172=1,INT(MOD(ABS(SIN(D2172*7919.123+ROW()*0.618+'הדבקת לידים'!$F$2*1.3))*43758.5453,1)*1000000)*10000+ROW(),"")</f>
        <v/>
      </c>
      <c r="F2172" s="0" t="str">
        <f aca="false">IF(E2172="","",RANK(E2172,$E$2:$E$5001,1))</f>
        <v/>
      </c>
      <c r="G2172" s="0" t="n">
        <f aca="false">IF(A2172="",0,IF(SUMPRODUCT(--($A$2:$A$5001=A2172))&gt;1,1,0))</f>
        <v>0</v>
      </c>
      <c r="H2172" s="0" t="n">
        <f aca="false">ROW()-1</f>
        <v>2171</v>
      </c>
      <c r="I2172" s="0" t="str">
        <f aca="false">IF(OR(הגדרות!$E$6=0,H2172&gt;הגדרות!$E$5),"",IF(H2172-1&lt;הגדרות!$E$8*(הגדרות!$E$7+1),INT((H2172-1)/(הגדרות!$E$7+1)),הגדרות!$E$8+INT((H2172-1-הגדרות!$E$8*(הגדרות!$E$7+1))/הגדרות!$E$7)))</f>
        <v/>
      </c>
      <c r="J2172" s="0" t="str">
        <f aca="false">IF(I2172="","",IF(H2172-1&lt;הגדרות!$E$8*(הגדרות!$E$7+1),MOD(H2172-1,הגדרות!$E$7+1),MOD(H2172-1-הגדרות!$E$8*(הגדרות!$E$7+1),הגדרות!$E$7)))</f>
        <v/>
      </c>
      <c r="K2172" s="0" t="str">
        <f aca="false">IF(I2172="","",J2172*הגדרות!$E$6+I2172+1)</f>
        <v/>
      </c>
      <c r="L2172" s="0" t="str">
        <f aca="false">IF(K2172="","",MATCH(K2172,$F$2:$F$5001,0))</f>
        <v/>
      </c>
      <c r="M2172" s="0" t="str">
        <f aca="false">IF(I2172="","",INDEX(הגדרות!$A$2:$A$21,MOD(I2172+הגדרות!$E$9,הגדרות!$E$6)+1))</f>
        <v/>
      </c>
    </row>
    <row r="2173" customFormat="false" ht="15" hidden="false" customHeight="false" outlineLevel="0" collapsed="false">
      <c r="A2173" s="0" t="str">
        <f aca="false">IF('הדבקת לידים'!A2173="","",IF(ISNUMBER('הדבקת לידים'!A2173),IF(הגדרות!$E$2&gt;0,TEXT('הדבקת לידים'!A2173,REPT("0",הגדרות!$E$2)),TEXT('הדבקת לידים'!A2173,"0")),TRIM('הדבקת לידים'!A2173)))</f>
        <v/>
      </c>
      <c r="B2173" s="0" t="str">
        <f aca="false">IF('הדבקת לידים'!B2173="","",IF(ISNUMBER('הדבקת לידים'!B2173),IF(הגדרות!$E$3&gt;0,TEXT('הדבקת לידים'!B2173,REPT("0",הגדרות!$E$3)),TEXT('הדבקת לידים'!B2173,"0")),TRIM('הדבקת לידים'!B2173)))</f>
        <v/>
      </c>
      <c r="C2173" s="0" t="n">
        <f aca="false">IF(OR(A2173&lt;&gt;"",B2173&lt;&gt;""),1,0)</f>
        <v>0</v>
      </c>
      <c r="D2173" s="0" t="str">
        <f aca="false">IF(C2173=1,MOD(ABS(SIN(ROW()*12.9898+'הדבקת לידים'!$F$2*78.233+IFERROR(--RIGHT(A2173,6),LEN(A2173))*0.0137+IFERROR(--RIGHT(B2173,6),LEN(B2173))*0.0071))*43758.5453,1),"")</f>
        <v/>
      </c>
      <c r="E2173" s="0" t="str">
        <f aca="false">IF(C2173=1,INT(MOD(ABS(SIN(D2173*7919.123+ROW()*0.618+'הדבקת לידים'!$F$2*1.3))*43758.5453,1)*1000000)*10000+ROW(),"")</f>
        <v/>
      </c>
      <c r="F2173" s="0" t="str">
        <f aca="false">IF(E2173="","",RANK(E2173,$E$2:$E$5001,1))</f>
        <v/>
      </c>
      <c r="G2173" s="0" t="n">
        <f aca="false">IF(A2173="",0,IF(SUMPRODUCT(--($A$2:$A$5001=A2173))&gt;1,1,0))</f>
        <v>0</v>
      </c>
      <c r="H2173" s="0" t="n">
        <f aca="false">ROW()-1</f>
        <v>2172</v>
      </c>
      <c r="I2173" s="0" t="str">
        <f aca="false">IF(OR(הגדרות!$E$6=0,H2173&gt;הגדרות!$E$5),"",IF(H2173-1&lt;הגדרות!$E$8*(הגדרות!$E$7+1),INT((H2173-1)/(הגדרות!$E$7+1)),הגדרות!$E$8+INT((H2173-1-הגדרות!$E$8*(הגדרות!$E$7+1))/הגדרות!$E$7)))</f>
        <v/>
      </c>
      <c r="J2173" s="0" t="str">
        <f aca="false">IF(I2173="","",IF(H2173-1&lt;הגדרות!$E$8*(הגדרות!$E$7+1),MOD(H2173-1,הגדרות!$E$7+1),MOD(H2173-1-הגדרות!$E$8*(הגדרות!$E$7+1),הגדרות!$E$7)))</f>
        <v/>
      </c>
      <c r="K2173" s="0" t="str">
        <f aca="false">IF(I2173="","",J2173*הגדרות!$E$6+I2173+1)</f>
        <v/>
      </c>
      <c r="L2173" s="0" t="str">
        <f aca="false">IF(K2173="","",MATCH(K2173,$F$2:$F$5001,0))</f>
        <v/>
      </c>
      <c r="M2173" s="0" t="str">
        <f aca="false">IF(I2173="","",INDEX(הגדרות!$A$2:$A$21,MOD(I2173+הגדרות!$E$9,הגדרות!$E$6)+1))</f>
        <v/>
      </c>
    </row>
    <row r="2174" customFormat="false" ht="15" hidden="false" customHeight="false" outlineLevel="0" collapsed="false">
      <c r="A2174" s="0" t="str">
        <f aca="false">IF('הדבקת לידים'!A2174="","",IF(ISNUMBER('הדבקת לידים'!A2174),IF(הגדרות!$E$2&gt;0,TEXT('הדבקת לידים'!A2174,REPT("0",הגדרות!$E$2)),TEXT('הדבקת לידים'!A2174,"0")),TRIM('הדבקת לידים'!A2174)))</f>
        <v/>
      </c>
      <c r="B2174" s="0" t="str">
        <f aca="false">IF('הדבקת לידים'!B2174="","",IF(ISNUMBER('הדבקת לידים'!B2174),IF(הגדרות!$E$3&gt;0,TEXT('הדבקת לידים'!B2174,REPT("0",הגדרות!$E$3)),TEXT('הדבקת לידים'!B2174,"0")),TRIM('הדבקת לידים'!B2174)))</f>
        <v/>
      </c>
      <c r="C2174" s="0" t="n">
        <f aca="false">IF(OR(A2174&lt;&gt;"",B2174&lt;&gt;""),1,0)</f>
        <v>0</v>
      </c>
      <c r="D2174" s="0" t="str">
        <f aca="false">IF(C2174=1,MOD(ABS(SIN(ROW()*12.9898+'הדבקת לידים'!$F$2*78.233+IFERROR(--RIGHT(A2174,6),LEN(A2174))*0.0137+IFERROR(--RIGHT(B2174,6),LEN(B2174))*0.0071))*43758.5453,1),"")</f>
        <v/>
      </c>
      <c r="E2174" s="0" t="str">
        <f aca="false">IF(C2174=1,INT(MOD(ABS(SIN(D2174*7919.123+ROW()*0.618+'הדבקת לידים'!$F$2*1.3))*43758.5453,1)*1000000)*10000+ROW(),"")</f>
        <v/>
      </c>
      <c r="F2174" s="0" t="str">
        <f aca="false">IF(E2174="","",RANK(E2174,$E$2:$E$5001,1))</f>
        <v/>
      </c>
      <c r="G2174" s="0" t="n">
        <f aca="false">IF(A2174="",0,IF(SUMPRODUCT(--($A$2:$A$5001=A2174))&gt;1,1,0))</f>
        <v>0</v>
      </c>
      <c r="H2174" s="0" t="n">
        <f aca="false">ROW()-1</f>
        <v>2173</v>
      </c>
      <c r="I2174" s="0" t="str">
        <f aca="false">IF(OR(הגדרות!$E$6=0,H2174&gt;הגדרות!$E$5),"",IF(H2174-1&lt;הגדרות!$E$8*(הגדרות!$E$7+1),INT((H2174-1)/(הגדרות!$E$7+1)),הגדרות!$E$8+INT((H2174-1-הגדרות!$E$8*(הגדרות!$E$7+1))/הגדרות!$E$7)))</f>
        <v/>
      </c>
      <c r="J2174" s="0" t="str">
        <f aca="false">IF(I2174="","",IF(H2174-1&lt;הגדרות!$E$8*(הגדרות!$E$7+1),MOD(H2174-1,הגדרות!$E$7+1),MOD(H2174-1-הגדרות!$E$8*(הגדרות!$E$7+1),הגדרות!$E$7)))</f>
        <v/>
      </c>
      <c r="K2174" s="0" t="str">
        <f aca="false">IF(I2174="","",J2174*הגדרות!$E$6+I2174+1)</f>
        <v/>
      </c>
      <c r="L2174" s="0" t="str">
        <f aca="false">IF(K2174="","",MATCH(K2174,$F$2:$F$5001,0))</f>
        <v/>
      </c>
      <c r="M2174" s="0" t="str">
        <f aca="false">IF(I2174="","",INDEX(הגדרות!$A$2:$A$21,MOD(I2174+הגדרות!$E$9,הגדרות!$E$6)+1))</f>
        <v/>
      </c>
    </row>
    <row r="2175" customFormat="false" ht="15" hidden="false" customHeight="false" outlineLevel="0" collapsed="false">
      <c r="A2175" s="0" t="str">
        <f aca="false">IF('הדבקת לידים'!A2175="","",IF(ISNUMBER('הדבקת לידים'!A2175),IF(הגדרות!$E$2&gt;0,TEXT('הדבקת לידים'!A2175,REPT("0",הגדרות!$E$2)),TEXT('הדבקת לידים'!A2175,"0")),TRIM('הדבקת לידים'!A2175)))</f>
        <v/>
      </c>
      <c r="B2175" s="0" t="str">
        <f aca="false">IF('הדבקת לידים'!B2175="","",IF(ISNUMBER('הדבקת לידים'!B2175),IF(הגדרות!$E$3&gt;0,TEXT('הדבקת לידים'!B2175,REPT("0",הגדרות!$E$3)),TEXT('הדבקת לידים'!B2175,"0")),TRIM('הדבקת לידים'!B2175)))</f>
        <v/>
      </c>
      <c r="C2175" s="0" t="n">
        <f aca="false">IF(OR(A2175&lt;&gt;"",B2175&lt;&gt;""),1,0)</f>
        <v>0</v>
      </c>
      <c r="D2175" s="0" t="str">
        <f aca="false">IF(C2175=1,MOD(ABS(SIN(ROW()*12.9898+'הדבקת לידים'!$F$2*78.233+IFERROR(--RIGHT(A2175,6),LEN(A2175))*0.0137+IFERROR(--RIGHT(B2175,6),LEN(B2175))*0.0071))*43758.5453,1),"")</f>
        <v/>
      </c>
      <c r="E2175" s="0" t="str">
        <f aca="false">IF(C2175=1,INT(MOD(ABS(SIN(D2175*7919.123+ROW()*0.618+'הדבקת לידים'!$F$2*1.3))*43758.5453,1)*1000000)*10000+ROW(),"")</f>
        <v/>
      </c>
      <c r="F2175" s="0" t="str">
        <f aca="false">IF(E2175="","",RANK(E2175,$E$2:$E$5001,1))</f>
        <v/>
      </c>
      <c r="G2175" s="0" t="n">
        <f aca="false">IF(A2175="",0,IF(SUMPRODUCT(--($A$2:$A$5001=A2175))&gt;1,1,0))</f>
        <v>0</v>
      </c>
      <c r="H2175" s="0" t="n">
        <f aca="false">ROW()-1</f>
        <v>2174</v>
      </c>
      <c r="I2175" s="0" t="str">
        <f aca="false">IF(OR(הגדרות!$E$6=0,H2175&gt;הגדרות!$E$5),"",IF(H2175-1&lt;הגדרות!$E$8*(הגדרות!$E$7+1),INT((H2175-1)/(הגדרות!$E$7+1)),הגדרות!$E$8+INT((H2175-1-הגדרות!$E$8*(הגדרות!$E$7+1))/הגדרות!$E$7)))</f>
        <v/>
      </c>
      <c r="J2175" s="0" t="str">
        <f aca="false">IF(I2175="","",IF(H2175-1&lt;הגדרות!$E$8*(הגדרות!$E$7+1),MOD(H2175-1,הגדרות!$E$7+1),MOD(H2175-1-הגדרות!$E$8*(הגדרות!$E$7+1),הגדרות!$E$7)))</f>
        <v/>
      </c>
      <c r="K2175" s="0" t="str">
        <f aca="false">IF(I2175="","",J2175*הגדרות!$E$6+I2175+1)</f>
        <v/>
      </c>
      <c r="L2175" s="0" t="str">
        <f aca="false">IF(K2175="","",MATCH(K2175,$F$2:$F$5001,0))</f>
        <v/>
      </c>
      <c r="M2175" s="0" t="str">
        <f aca="false">IF(I2175="","",INDEX(הגדרות!$A$2:$A$21,MOD(I2175+הגדרות!$E$9,הגדרות!$E$6)+1))</f>
        <v/>
      </c>
    </row>
    <row r="2176" customFormat="false" ht="15" hidden="false" customHeight="false" outlineLevel="0" collapsed="false">
      <c r="A2176" s="0" t="str">
        <f aca="false">IF('הדבקת לידים'!A2176="","",IF(ISNUMBER('הדבקת לידים'!A2176),IF(הגדרות!$E$2&gt;0,TEXT('הדבקת לידים'!A2176,REPT("0",הגדרות!$E$2)),TEXT('הדבקת לידים'!A2176,"0")),TRIM('הדבקת לידים'!A2176)))</f>
        <v/>
      </c>
      <c r="B2176" s="0" t="str">
        <f aca="false">IF('הדבקת לידים'!B2176="","",IF(ISNUMBER('הדבקת לידים'!B2176),IF(הגדרות!$E$3&gt;0,TEXT('הדבקת לידים'!B2176,REPT("0",הגדרות!$E$3)),TEXT('הדבקת לידים'!B2176,"0")),TRIM('הדבקת לידים'!B2176)))</f>
        <v/>
      </c>
      <c r="C2176" s="0" t="n">
        <f aca="false">IF(OR(A2176&lt;&gt;"",B2176&lt;&gt;""),1,0)</f>
        <v>0</v>
      </c>
      <c r="D2176" s="0" t="str">
        <f aca="false">IF(C2176=1,MOD(ABS(SIN(ROW()*12.9898+'הדבקת לידים'!$F$2*78.233+IFERROR(--RIGHT(A2176,6),LEN(A2176))*0.0137+IFERROR(--RIGHT(B2176,6),LEN(B2176))*0.0071))*43758.5453,1),"")</f>
        <v/>
      </c>
      <c r="E2176" s="0" t="str">
        <f aca="false">IF(C2176=1,INT(MOD(ABS(SIN(D2176*7919.123+ROW()*0.618+'הדבקת לידים'!$F$2*1.3))*43758.5453,1)*1000000)*10000+ROW(),"")</f>
        <v/>
      </c>
      <c r="F2176" s="0" t="str">
        <f aca="false">IF(E2176="","",RANK(E2176,$E$2:$E$5001,1))</f>
        <v/>
      </c>
      <c r="G2176" s="0" t="n">
        <f aca="false">IF(A2176="",0,IF(SUMPRODUCT(--($A$2:$A$5001=A2176))&gt;1,1,0))</f>
        <v>0</v>
      </c>
      <c r="H2176" s="0" t="n">
        <f aca="false">ROW()-1</f>
        <v>2175</v>
      </c>
      <c r="I2176" s="0" t="str">
        <f aca="false">IF(OR(הגדרות!$E$6=0,H2176&gt;הגדרות!$E$5),"",IF(H2176-1&lt;הגדרות!$E$8*(הגדרות!$E$7+1),INT((H2176-1)/(הגדרות!$E$7+1)),הגדרות!$E$8+INT((H2176-1-הגדרות!$E$8*(הגדרות!$E$7+1))/הגדרות!$E$7)))</f>
        <v/>
      </c>
      <c r="J2176" s="0" t="str">
        <f aca="false">IF(I2176="","",IF(H2176-1&lt;הגדרות!$E$8*(הגדרות!$E$7+1),MOD(H2176-1,הגדרות!$E$7+1),MOD(H2176-1-הגדרות!$E$8*(הגדרות!$E$7+1),הגדרות!$E$7)))</f>
        <v/>
      </c>
      <c r="K2176" s="0" t="str">
        <f aca="false">IF(I2176="","",J2176*הגדרות!$E$6+I2176+1)</f>
        <v/>
      </c>
      <c r="L2176" s="0" t="str">
        <f aca="false">IF(K2176="","",MATCH(K2176,$F$2:$F$5001,0))</f>
        <v/>
      </c>
      <c r="M2176" s="0" t="str">
        <f aca="false">IF(I2176="","",INDEX(הגדרות!$A$2:$A$21,MOD(I2176+הגדרות!$E$9,הגדרות!$E$6)+1))</f>
        <v/>
      </c>
    </row>
    <row r="2177" customFormat="false" ht="15" hidden="false" customHeight="false" outlineLevel="0" collapsed="false">
      <c r="A2177" s="0" t="str">
        <f aca="false">IF('הדבקת לידים'!A2177="","",IF(ISNUMBER('הדבקת לידים'!A2177),IF(הגדרות!$E$2&gt;0,TEXT('הדבקת לידים'!A2177,REPT("0",הגדרות!$E$2)),TEXT('הדבקת לידים'!A2177,"0")),TRIM('הדבקת לידים'!A2177)))</f>
        <v/>
      </c>
      <c r="B2177" s="0" t="str">
        <f aca="false">IF('הדבקת לידים'!B2177="","",IF(ISNUMBER('הדבקת לידים'!B2177),IF(הגדרות!$E$3&gt;0,TEXT('הדבקת לידים'!B2177,REPT("0",הגדרות!$E$3)),TEXT('הדבקת לידים'!B2177,"0")),TRIM('הדבקת לידים'!B2177)))</f>
        <v/>
      </c>
      <c r="C2177" s="0" t="n">
        <f aca="false">IF(OR(A2177&lt;&gt;"",B2177&lt;&gt;""),1,0)</f>
        <v>0</v>
      </c>
      <c r="D2177" s="0" t="str">
        <f aca="false">IF(C2177=1,MOD(ABS(SIN(ROW()*12.9898+'הדבקת לידים'!$F$2*78.233+IFERROR(--RIGHT(A2177,6),LEN(A2177))*0.0137+IFERROR(--RIGHT(B2177,6),LEN(B2177))*0.0071))*43758.5453,1),"")</f>
        <v/>
      </c>
      <c r="E2177" s="0" t="str">
        <f aca="false">IF(C2177=1,INT(MOD(ABS(SIN(D2177*7919.123+ROW()*0.618+'הדבקת לידים'!$F$2*1.3))*43758.5453,1)*1000000)*10000+ROW(),"")</f>
        <v/>
      </c>
      <c r="F2177" s="0" t="str">
        <f aca="false">IF(E2177="","",RANK(E2177,$E$2:$E$5001,1))</f>
        <v/>
      </c>
      <c r="G2177" s="0" t="n">
        <f aca="false">IF(A2177="",0,IF(SUMPRODUCT(--($A$2:$A$5001=A2177))&gt;1,1,0))</f>
        <v>0</v>
      </c>
      <c r="H2177" s="0" t="n">
        <f aca="false">ROW()-1</f>
        <v>2176</v>
      </c>
      <c r="I2177" s="0" t="str">
        <f aca="false">IF(OR(הגדרות!$E$6=0,H2177&gt;הגדרות!$E$5),"",IF(H2177-1&lt;הגדרות!$E$8*(הגדרות!$E$7+1),INT((H2177-1)/(הגדרות!$E$7+1)),הגדרות!$E$8+INT((H2177-1-הגדרות!$E$8*(הגדרות!$E$7+1))/הגדרות!$E$7)))</f>
        <v/>
      </c>
      <c r="J2177" s="0" t="str">
        <f aca="false">IF(I2177="","",IF(H2177-1&lt;הגדרות!$E$8*(הגדרות!$E$7+1),MOD(H2177-1,הגדרות!$E$7+1),MOD(H2177-1-הגדרות!$E$8*(הגדרות!$E$7+1),הגדרות!$E$7)))</f>
        <v/>
      </c>
      <c r="K2177" s="0" t="str">
        <f aca="false">IF(I2177="","",J2177*הגדרות!$E$6+I2177+1)</f>
        <v/>
      </c>
      <c r="L2177" s="0" t="str">
        <f aca="false">IF(K2177="","",MATCH(K2177,$F$2:$F$5001,0))</f>
        <v/>
      </c>
      <c r="M2177" s="0" t="str">
        <f aca="false">IF(I2177="","",INDEX(הגדרות!$A$2:$A$21,MOD(I2177+הגדרות!$E$9,הגדרות!$E$6)+1))</f>
        <v/>
      </c>
    </row>
    <row r="2178" customFormat="false" ht="15" hidden="false" customHeight="false" outlineLevel="0" collapsed="false">
      <c r="A2178" s="0" t="str">
        <f aca="false">IF('הדבקת לידים'!A2178="","",IF(ISNUMBER('הדבקת לידים'!A2178),IF(הגדרות!$E$2&gt;0,TEXT('הדבקת לידים'!A2178,REPT("0",הגדרות!$E$2)),TEXT('הדבקת לידים'!A2178,"0")),TRIM('הדבקת לידים'!A2178)))</f>
        <v/>
      </c>
      <c r="B2178" s="0" t="str">
        <f aca="false">IF('הדבקת לידים'!B2178="","",IF(ISNUMBER('הדבקת לידים'!B2178),IF(הגדרות!$E$3&gt;0,TEXT('הדבקת לידים'!B2178,REPT("0",הגדרות!$E$3)),TEXT('הדבקת לידים'!B2178,"0")),TRIM('הדבקת לידים'!B2178)))</f>
        <v/>
      </c>
      <c r="C2178" s="0" t="n">
        <f aca="false">IF(OR(A2178&lt;&gt;"",B2178&lt;&gt;""),1,0)</f>
        <v>0</v>
      </c>
      <c r="D2178" s="0" t="str">
        <f aca="false">IF(C2178=1,MOD(ABS(SIN(ROW()*12.9898+'הדבקת לידים'!$F$2*78.233+IFERROR(--RIGHT(A2178,6),LEN(A2178))*0.0137+IFERROR(--RIGHT(B2178,6),LEN(B2178))*0.0071))*43758.5453,1),"")</f>
        <v/>
      </c>
      <c r="E2178" s="0" t="str">
        <f aca="false">IF(C2178=1,INT(MOD(ABS(SIN(D2178*7919.123+ROW()*0.618+'הדבקת לידים'!$F$2*1.3))*43758.5453,1)*1000000)*10000+ROW(),"")</f>
        <v/>
      </c>
      <c r="F2178" s="0" t="str">
        <f aca="false">IF(E2178="","",RANK(E2178,$E$2:$E$5001,1))</f>
        <v/>
      </c>
      <c r="G2178" s="0" t="n">
        <f aca="false">IF(A2178="",0,IF(SUMPRODUCT(--($A$2:$A$5001=A2178))&gt;1,1,0))</f>
        <v>0</v>
      </c>
      <c r="H2178" s="0" t="n">
        <f aca="false">ROW()-1</f>
        <v>2177</v>
      </c>
      <c r="I2178" s="0" t="str">
        <f aca="false">IF(OR(הגדרות!$E$6=0,H2178&gt;הגדרות!$E$5),"",IF(H2178-1&lt;הגדרות!$E$8*(הגדרות!$E$7+1),INT((H2178-1)/(הגדרות!$E$7+1)),הגדרות!$E$8+INT((H2178-1-הגדרות!$E$8*(הגדרות!$E$7+1))/הגדרות!$E$7)))</f>
        <v/>
      </c>
      <c r="J2178" s="0" t="str">
        <f aca="false">IF(I2178="","",IF(H2178-1&lt;הגדרות!$E$8*(הגדרות!$E$7+1),MOD(H2178-1,הגדרות!$E$7+1),MOD(H2178-1-הגדרות!$E$8*(הגדרות!$E$7+1),הגדרות!$E$7)))</f>
        <v/>
      </c>
      <c r="K2178" s="0" t="str">
        <f aca="false">IF(I2178="","",J2178*הגדרות!$E$6+I2178+1)</f>
        <v/>
      </c>
      <c r="L2178" s="0" t="str">
        <f aca="false">IF(K2178="","",MATCH(K2178,$F$2:$F$5001,0))</f>
        <v/>
      </c>
      <c r="M2178" s="0" t="str">
        <f aca="false">IF(I2178="","",INDEX(הגדרות!$A$2:$A$21,MOD(I2178+הגדרות!$E$9,הגדרות!$E$6)+1))</f>
        <v/>
      </c>
    </row>
    <row r="2179" customFormat="false" ht="15" hidden="false" customHeight="false" outlineLevel="0" collapsed="false">
      <c r="A2179" s="0" t="str">
        <f aca="false">IF('הדבקת לידים'!A2179="","",IF(ISNUMBER('הדבקת לידים'!A2179),IF(הגדרות!$E$2&gt;0,TEXT('הדבקת לידים'!A2179,REPT("0",הגדרות!$E$2)),TEXT('הדבקת לידים'!A2179,"0")),TRIM('הדבקת לידים'!A2179)))</f>
        <v/>
      </c>
      <c r="B2179" s="0" t="str">
        <f aca="false">IF('הדבקת לידים'!B2179="","",IF(ISNUMBER('הדבקת לידים'!B2179),IF(הגדרות!$E$3&gt;0,TEXT('הדבקת לידים'!B2179,REPT("0",הגדרות!$E$3)),TEXT('הדבקת לידים'!B2179,"0")),TRIM('הדבקת לידים'!B2179)))</f>
        <v/>
      </c>
      <c r="C2179" s="0" t="n">
        <f aca="false">IF(OR(A2179&lt;&gt;"",B2179&lt;&gt;""),1,0)</f>
        <v>0</v>
      </c>
      <c r="D2179" s="0" t="str">
        <f aca="false">IF(C2179=1,MOD(ABS(SIN(ROW()*12.9898+'הדבקת לידים'!$F$2*78.233+IFERROR(--RIGHT(A2179,6),LEN(A2179))*0.0137+IFERROR(--RIGHT(B2179,6),LEN(B2179))*0.0071))*43758.5453,1),"")</f>
        <v/>
      </c>
      <c r="E2179" s="0" t="str">
        <f aca="false">IF(C2179=1,INT(MOD(ABS(SIN(D2179*7919.123+ROW()*0.618+'הדבקת לידים'!$F$2*1.3))*43758.5453,1)*1000000)*10000+ROW(),"")</f>
        <v/>
      </c>
      <c r="F2179" s="0" t="str">
        <f aca="false">IF(E2179="","",RANK(E2179,$E$2:$E$5001,1))</f>
        <v/>
      </c>
      <c r="G2179" s="0" t="n">
        <f aca="false">IF(A2179="",0,IF(SUMPRODUCT(--($A$2:$A$5001=A2179))&gt;1,1,0))</f>
        <v>0</v>
      </c>
      <c r="H2179" s="0" t="n">
        <f aca="false">ROW()-1</f>
        <v>2178</v>
      </c>
      <c r="I2179" s="0" t="str">
        <f aca="false">IF(OR(הגדרות!$E$6=0,H2179&gt;הגדרות!$E$5),"",IF(H2179-1&lt;הגדרות!$E$8*(הגדרות!$E$7+1),INT((H2179-1)/(הגדרות!$E$7+1)),הגדרות!$E$8+INT((H2179-1-הגדרות!$E$8*(הגדרות!$E$7+1))/הגדרות!$E$7)))</f>
        <v/>
      </c>
      <c r="J2179" s="0" t="str">
        <f aca="false">IF(I2179="","",IF(H2179-1&lt;הגדרות!$E$8*(הגדרות!$E$7+1),MOD(H2179-1,הגדרות!$E$7+1),MOD(H2179-1-הגדרות!$E$8*(הגדרות!$E$7+1),הגדרות!$E$7)))</f>
        <v/>
      </c>
      <c r="K2179" s="0" t="str">
        <f aca="false">IF(I2179="","",J2179*הגדרות!$E$6+I2179+1)</f>
        <v/>
      </c>
      <c r="L2179" s="0" t="str">
        <f aca="false">IF(K2179="","",MATCH(K2179,$F$2:$F$5001,0))</f>
        <v/>
      </c>
      <c r="M2179" s="0" t="str">
        <f aca="false">IF(I2179="","",INDEX(הגדרות!$A$2:$A$21,MOD(I2179+הגדרות!$E$9,הגדרות!$E$6)+1))</f>
        <v/>
      </c>
    </row>
    <row r="2180" customFormat="false" ht="15" hidden="false" customHeight="false" outlineLevel="0" collapsed="false">
      <c r="A2180" s="0" t="str">
        <f aca="false">IF('הדבקת לידים'!A2180="","",IF(ISNUMBER('הדבקת לידים'!A2180),IF(הגדרות!$E$2&gt;0,TEXT('הדבקת לידים'!A2180,REPT("0",הגדרות!$E$2)),TEXT('הדבקת לידים'!A2180,"0")),TRIM('הדבקת לידים'!A2180)))</f>
        <v/>
      </c>
      <c r="B2180" s="0" t="str">
        <f aca="false">IF('הדבקת לידים'!B2180="","",IF(ISNUMBER('הדבקת לידים'!B2180),IF(הגדרות!$E$3&gt;0,TEXT('הדבקת לידים'!B2180,REPT("0",הגדרות!$E$3)),TEXT('הדבקת לידים'!B2180,"0")),TRIM('הדבקת לידים'!B2180)))</f>
        <v/>
      </c>
      <c r="C2180" s="0" t="n">
        <f aca="false">IF(OR(A2180&lt;&gt;"",B2180&lt;&gt;""),1,0)</f>
        <v>0</v>
      </c>
      <c r="D2180" s="0" t="str">
        <f aca="false">IF(C2180=1,MOD(ABS(SIN(ROW()*12.9898+'הדבקת לידים'!$F$2*78.233+IFERROR(--RIGHT(A2180,6),LEN(A2180))*0.0137+IFERROR(--RIGHT(B2180,6),LEN(B2180))*0.0071))*43758.5453,1),"")</f>
        <v/>
      </c>
      <c r="E2180" s="0" t="str">
        <f aca="false">IF(C2180=1,INT(MOD(ABS(SIN(D2180*7919.123+ROW()*0.618+'הדבקת לידים'!$F$2*1.3))*43758.5453,1)*1000000)*10000+ROW(),"")</f>
        <v/>
      </c>
      <c r="F2180" s="0" t="str">
        <f aca="false">IF(E2180="","",RANK(E2180,$E$2:$E$5001,1))</f>
        <v/>
      </c>
      <c r="G2180" s="0" t="n">
        <f aca="false">IF(A2180="",0,IF(SUMPRODUCT(--($A$2:$A$5001=A2180))&gt;1,1,0))</f>
        <v>0</v>
      </c>
      <c r="H2180" s="0" t="n">
        <f aca="false">ROW()-1</f>
        <v>2179</v>
      </c>
      <c r="I2180" s="0" t="str">
        <f aca="false">IF(OR(הגדרות!$E$6=0,H2180&gt;הגדרות!$E$5),"",IF(H2180-1&lt;הגדרות!$E$8*(הגדרות!$E$7+1),INT((H2180-1)/(הגדרות!$E$7+1)),הגדרות!$E$8+INT((H2180-1-הגדרות!$E$8*(הגדרות!$E$7+1))/הגדרות!$E$7)))</f>
        <v/>
      </c>
      <c r="J2180" s="0" t="str">
        <f aca="false">IF(I2180="","",IF(H2180-1&lt;הגדרות!$E$8*(הגדרות!$E$7+1),MOD(H2180-1,הגדרות!$E$7+1),MOD(H2180-1-הגדרות!$E$8*(הגדרות!$E$7+1),הגדרות!$E$7)))</f>
        <v/>
      </c>
      <c r="K2180" s="0" t="str">
        <f aca="false">IF(I2180="","",J2180*הגדרות!$E$6+I2180+1)</f>
        <v/>
      </c>
      <c r="L2180" s="0" t="str">
        <f aca="false">IF(K2180="","",MATCH(K2180,$F$2:$F$5001,0))</f>
        <v/>
      </c>
      <c r="M2180" s="0" t="str">
        <f aca="false">IF(I2180="","",INDEX(הגדרות!$A$2:$A$21,MOD(I2180+הגדרות!$E$9,הגדרות!$E$6)+1))</f>
        <v/>
      </c>
    </row>
    <row r="2181" customFormat="false" ht="15" hidden="false" customHeight="false" outlineLevel="0" collapsed="false">
      <c r="A2181" s="0" t="str">
        <f aca="false">IF('הדבקת לידים'!A2181="","",IF(ISNUMBER('הדבקת לידים'!A2181),IF(הגדרות!$E$2&gt;0,TEXT('הדבקת לידים'!A2181,REPT("0",הגדרות!$E$2)),TEXT('הדבקת לידים'!A2181,"0")),TRIM('הדבקת לידים'!A2181)))</f>
        <v/>
      </c>
      <c r="B2181" s="0" t="str">
        <f aca="false">IF('הדבקת לידים'!B2181="","",IF(ISNUMBER('הדבקת לידים'!B2181),IF(הגדרות!$E$3&gt;0,TEXT('הדבקת לידים'!B2181,REPT("0",הגדרות!$E$3)),TEXT('הדבקת לידים'!B2181,"0")),TRIM('הדבקת לידים'!B2181)))</f>
        <v/>
      </c>
      <c r="C2181" s="0" t="n">
        <f aca="false">IF(OR(A2181&lt;&gt;"",B2181&lt;&gt;""),1,0)</f>
        <v>0</v>
      </c>
      <c r="D2181" s="0" t="str">
        <f aca="false">IF(C2181=1,MOD(ABS(SIN(ROW()*12.9898+'הדבקת לידים'!$F$2*78.233+IFERROR(--RIGHT(A2181,6),LEN(A2181))*0.0137+IFERROR(--RIGHT(B2181,6),LEN(B2181))*0.0071))*43758.5453,1),"")</f>
        <v/>
      </c>
      <c r="E2181" s="0" t="str">
        <f aca="false">IF(C2181=1,INT(MOD(ABS(SIN(D2181*7919.123+ROW()*0.618+'הדבקת לידים'!$F$2*1.3))*43758.5453,1)*1000000)*10000+ROW(),"")</f>
        <v/>
      </c>
      <c r="F2181" s="0" t="str">
        <f aca="false">IF(E2181="","",RANK(E2181,$E$2:$E$5001,1))</f>
        <v/>
      </c>
      <c r="G2181" s="0" t="n">
        <f aca="false">IF(A2181="",0,IF(SUMPRODUCT(--($A$2:$A$5001=A2181))&gt;1,1,0))</f>
        <v>0</v>
      </c>
      <c r="H2181" s="0" t="n">
        <f aca="false">ROW()-1</f>
        <v>2180</v>
      </c>
      <c r="I2181" s="0" t="str">
        <f aca="false">IF(OR(הגדרות!$E$6=0,H2181&gt;הגדרות!$E$5),"",IF(H2181-1&lt;הגדרות!$E$8*(הגדרות!$E$7+1),INT((H2181-1)/(הגדרות!$E$7+1)),הגדרות!$E$8+INT((H2181-1-הגדרות!$E$8*(הגדרות!$E$7+1))/הגדרות!$E$7)))</f>
        <v/>
      </c>
      <c r="J2181" s="0" t="str">
        <f aca="false">IF(I2181="","",IF(H2181-1&lt;הגדרות!$E$8*(הגדרות!$E$7+1),MOD(H2181-1,הגדרות!$E$7+1),MOD(H2181-1-הגדרות!$E$8*(הגדרות!$E$7+1),הגדרות!$E$7)))</f>
        <v/>
      </c>
      <c r="K2181" s="0" t="str">
        <f aca="false">IF(I2181="","",J2181*הגדרות!$E$6+I2181+1)</f>
        <v/>
      </c>
      <c r="L2181" s="0" t="str">
        <f aca="false">IF(K2181="","",MATCH(K2181,$F$2:$F$5001,0))</f>
        <v/>
      </c>
      <c r="M2181" s="0" t="str">
        <f aca="false">IF(I2181="","",INDEX(הגדרות!$A$2:$A$21,MOD(I2181+הגדרות!$E$9,הגדרות!$E$6)+1))</f>
        <v/>
      </c>
    </row>
    <row r="2182" customFormat="false" ht="15" hidden="false" customHeight="false" outlineLevel="0" collapsed="false">
      <c r="A2182" s="0" t="str">
        <f aca="false">IF('הדבקת לידים'!A2182="","",IF(ISNUMBER('הדבקת לידים'!A2182),IF(הגדרות!$E$2&gt;0,TEXT('הדבקת לידים'!A2182,REPT("0",הגדרות!$E$2)),TEXT('הדבקת לידים'!A2182,"0")),TRIM('הדבקת לידים'!A2182)))</f>
        <v/>
      </c>
      <c r="B2182" s="0" t="str">
        <f aca="false">IF('הדבקת לידים'!B2182="","",IF(ISNUMBER('הדבקת לידים'!B2182),IF(הגדרות!$E$3&gt;0,TEXT('הדבקת לידים'!B2182,REPT("0",הגדרות!$E$3)),TEXT('הדבקת לידים'!B2182,"0")),TRIM('הדבקת לידים'!B2182)))</f>
        <v/>
      </c>
      <c r="C2182" s="0" t="n">
        <f aca="false">IF(OR(A2182&lt;&gt;"",B2182&lt;&gt;""),1,0)</f>
        <v>0</v>
      </c>
      <c r="D2182" s="0" t="str">
        <f aca="false">IF(C2182=1,MOD(ABS(SIN(ROW()*12.9898+'הדבקת לידים'!$F$2*78.233+IFERROR(--RIGHT(A2182,6),LEN(A2182))*0.0137+IFERROR(--RIGHT(B2182,6),LEN(B2182))*0.0071))*43758.5453,1),"")</f>
        <v/>
      </c>
      <c r="E2182" s="0" t="str">
        <f aca="false">IF(C2182=1,INT(MOD(ABS(SIN(D2182*7919.123+ROW()*0.618+'הדבקת לידים'!$F$2*1.3))*43758.5453,1)*1000000)*10000+ROW(),"")</f>
        <v/>
      </c>
      <c r="F2182" s="0" t="str">
        <f aca="false">IF(E2182="","",RANK(E2182,$E$2:$E$5001,1))</f>
        <v/>
      </c>
      <c r="G2182" s="0" t="n">
        <f aca="false">IF(A2182="",0,IF(SUMPRODUCT(--($A$2:$A$5001=A2182))&gt;1,1,0))</f>
        <v>0</v>
      </c>
      <c r="H2182" s="0" t="n">
        <f aca="false">ROW()-1</f>
        <v>2181</v>
      </c>
      <c r="I2182" s="0" t="str">
        <f aca="false">IF(OR(הגדרות!$E$6=0,H2182&gt;הגדרות!$E$5),"",IF(H2182-1&lt;הגדרות!$E$8*(הגדרות!$E$7+1),INT((H2182-1)/(הגדרות!$E$7+1)),הגדרות!$E$8+INT((H2182-1-הגדרות!$E$8*(הגדרות!$E$7+1))/הגדרות!$E$7)))</f>
        <v/>
      </c>
      <c r="J2182" s="0" t="str">
        <f aca="false">IF(I2182="","",IF(H2182-1&lt;הגדרות!$E$8*(הגדרות!$E$7+1),MOD(H2182-1,הגדרות!$E$7+1),MOD(H2182-1-הגדרות!$E$8*(הגדרות!$E$7+1),הגדרות!$E$7)))</f>
        <v/>
      </c>
      <c r="K2182" s="0" t="str">
        <f aca="false">IF(I2182="","",J2182*הגדרות!$E$6+I2182+1)</f>
        <v/>
      </c>
      <c r="L2182" s="0" t="str">
        <f aca="false">IF(K2182="","",MATCH(K2182,$F$2:$F$5001,0))</f>
        <v/>
      </c>
      <c r="M2182" s="0" t="str">
        <f aca="false">IF(I2182="","",INDEX(הגדרות!$A$2:$A$21,MOD(I2182+הגדרות!$E$9,הגדרות!$E$6)+1))</f>
        <v/>
      </c>
    </row>
    <row r="2183" customFormat="false" ht="15" hidden="false" customHeight="false" outlineLevel="0" collapsed="false">
      <c r="A2183" s="0" t="str">
        <f aca="false">IF('הדבקת לידים'!A2183="","",IF(ISNUMBER('הדבקת לידים'!A2183),IF(הגדרות!$E$2&gt;0,TEXT('הדבקת לידים'!A2183,REPT("0",הגדרות!$E$2)),TEXT('הדבקת לידים'!A2183,"0")),TRIM('הדבקת לידים'!A2183)))</f>
        <v/>
      </c>
      <c r="B2183" s="0" t="str">
        <f aca="false">IF('הדבקת לידים'!B2183="","",IF(ISNUMBER('הדבקת לידים'!B2183),IF(הגדרות!$E$3&gt;0,TEXT('הדבקת לידים'!B2183,REPT("0",הגדרות!$E$3)),TEXT('הדבקת לידים'!B2183,"0")),TRIM('הדבקת לידים'!B2183)))</f>
        <v/>
      </c>
      <c r="C2183" s="0" t="n">
        <f aca="false">IF(OR(A2183&lt;&gt;"",B2183&lt;&gt;""),1,0)</f>
        <v>0</v>
      </c>
      <c r="D2183" s="0" t="str">
        <f aca="false">IF(C2183=1,MOD(ABS(SIN(ROW()*12.9898+'הדבקת לידים'!$F$2*78.233+IFERROR(--RIGHT(A2183,6),LEN(A2183))*0.0137+IFERROR(--RIGHT(B2183,6),LEN(B2183))*0.0071))*43758.5453,1),"")</f>
        <v/>
      </c>
      <c r="E2183" s="0" t="str">
        <f aca="false">IF(C2183=1,INT(MOD(ABS(SIN(D2183*7919.123+ROW()*0.618+'הדבקת לידים'!$F$2*1.3))*43758.5453,1)*1000000)*10000+ROW(),"")</f>
        <v/>
      </c>
      <c r="F2183" s="0" t="str">
        <f aca="false">IF(E2183="","",RANK(E2183,$E$2:$E$5001,1))</f>
        <v/>
      </c>
      <c r="G2183" s="0" t="n">
        <f aca="false">IF(A2183="",0,IF(SUMPRODUCT(--($A$2:$A$5001=A2183))&gt;1,1,0))</f>
        <v>0</v>
      </c>
      <c r="H2183" s="0" t="n">
        <f aca="false">ROW()-1</f>
        <v>2182</v>
      </c>
      <c r="I2183" s="0" t="str">
        <f aca="false">IF(OR(הגדרות!$E$6=0,H2183&gt;הגדרות!$E$5),"",IF(H2183-1&lt;הגדרות!$E$8*(הגדרות!$E$7+1),INT((H2183-1)/(הגדרות!$E$7+1)),הגדרות!$E$8+INT((H2183-1-הגדרות!$E$8*(הגדרות!$E$7+1))/הגדרות!$E$7)))</f>
        <v/>
      </c>
      <c r="J2183" s="0" t="str">
        <f aca="false">IF(I2183="","",IF(H2183-1&lt;הגדרות!$E$8*(הגדרות!$E$7+1),MOD(H2183-1,הגדרות!$E$7+1),MOD(H2183-1-הגדרות!$E$8*(הגדרות!$E$7+1),הגדרות!$E$7)))</f>
        <v/>
      </c>
      <c r="K2183" s="0" t="str">
        <f aca="false">IF(I2183="","",J2183*הגדרות!$E$6+I2183+1)</f>
        <v/>
      </c>
      <c r="L2183" s="0" t="str">
        <f aca="false">IF(K2183="","",MATCH(K2183,$F$2:$F$5001,0))</f>
        <v/>
      </c>
      <c r="M2183" s="0" t="str">
        <f aca="false">IF(I2183="","",INDEX(הגדרות!$A$2:$A$21,MOD(I2183+הגדרות!$E$9,הגדרות!$E$6)+1))</f>
        <v/>
      </c>
    </row>
    <row r="2184" customFormat="false" ht="15" hidden="false" customHeight="false" outlineLevel="0" collapsed="false">
      <c r="A2184" s="0" t="str">
        <f aca="false">IF('הדבקת לידים'!A2184="","",IF(ISNUMBER('הדבקת לידים'!A2184),IF(הגדרות!$E$2&gt;0,TEXT('הדבקת לידים'!A2184,REPT("0",הגדרות!$E$2)),TEXT('הדבקת לידים'!A2184,"0")),TRIM('הדבקת לידים'!A2184)))</f>
        <v/>
      </c>
      <c r="B2184" s="0" t="str">
        <f aca="false">IF('הדבקת לידים'!B2184="","",IF(ISNUMBER('הדבקת לידים'!B2184),IF(הגדרות!$E$3&gt;0,TEXT('הדבקת לידים'!B2184,REPT("0",הגדרות!$E$3)),TEXT('הדבקת לידים'!B2184,"0")),TRIM('הדבקת לידים'!B2184)))</f>
        <v/>
      </c>
      <c r="C2184" s="0" t="n">
        <f aca="false">IF(OR(A2184&lt;&gt;"",B2184&lt;&gt;""),1,0)</f>
        <v>0</v>
      </c>
      <c r="D2184" s="0" t="str">
        <f aca="false">IF(C2184=1,MOD(ABS(SIN(ROW()*12.9898+'הדבקת לידים'!$F$2*78.233+IFERROR(--RIGHT(A2184,6),LEN(A2184))*0.0137+IFERROR(--RIGHT(B2184,6),LEN(B2184))*0.0071))*43758.5453,1),"")</f>
        <v/>
      </c>
      <c r="E2184" s="0" t="str">
        <f aca="false">IF(C2184=1,INT(MOD(ABS(SIN(D2184*7919.123+ROW()*0.618+'הדבקת לידים'!$F$2*1.3))*43758.5453,1)*1000000)*10000+ROW(),"")</f>
        <v/>
      </c>
      <c r="F2184" s="0" t="str">
        <f aca="false">IF(E2184="","",RANK(E2184,$E$2:$E$5001,1))</f>
        <v/>
      </c>
      <c r="G2184" s="0" t="n">
        <f aca="false">IF(A2184="",0,IF(SUMPRODUCT(--($A$2:$A$5001=A2184))&gt;1,1,0))</f>
        <v>0</v>
      </c>
      <c r="H2184" s="0" t="n">
        <f aca="false">ROW()-1</f>
        <v>2183</v>
      </c>
      <c r="I2184" s="0" t="str">
        <f aca="false">IF(OR(הגדרות!$E$6=0,H2184&gt;הגדרות!$E$5),"",IF(H2184-1&lt;הגדרות!$E$8*(הגדרות!$E$7+1),INT((H2184-1)/(הגדרות!$E$7+1)),הגדרות!$E$8+INT((H2184-1-הגדרות!$E$8*(הגדרות!$E$7+1))/הגדרות!$E$7)))</f>
        <v/>
      </c>
      <c r="J2184" s="0" t="str">
        <f aca="false">IF(I2184="","",IF(H2184-1&lt;הגדרות!$E$8*(הגדרות!$E$7+1),MOD(H2184-1,הגדרות!$E$7+1),MOD(H2184-1-הגדרות!$E$8*(הגדרות!$E$7+1),הגדרות!$E$7)))</f>
        <v/>
      </c>
      <c r="K2184" s="0" t="str">
        <f aca="false">IF(I2184="","",J2184*הגדרות!$E$6+I2184+1)</f>
        <v/>
      </c>
      <c r="L2184" s="0" t="str">
        <f aca="false">IF(K2184="","",MATCH(K2184,$F$2:$F$5001,0))</f>
        <v/>
      </c>
      <c r="M2184" s="0" t="str">
        <f aca="false">IF(I2184="","",INDEX(הגדרות!$A$2:$A$21,MOD(I2184+הגדרות!$E$9,הגדרות!$E$6)+1))</f>
        <v/>
      </c>
    </row>
    <row r="2185" customFormat="false" ht="15" hidden="false" customHeight="false" outlineLevel="0" collapsed="false">
      <c r="A2185" s="0" t="str">
        <f aca="false">IF('הדבקת לידים'!A2185="","",IF(ISNUMBER('הדבקת לידים'!A2185),IF(הגדרות!$E$2&gt;0,TEXT('הדבקת לידים'!A2185,REPT("0",הגדרות!$E$2)),TEXT('הדבקת לידים'!A2185,"0")),TRIM('הדבקת לידים'!A2185)))</f>
        <v/>
      </c>
      <c r="B2185" s="0" t="str">
        <f aca="false">IF('הדבקת לידים'!B2185="","",IF(ISNUMBER('הדבקת לידים'!B2185),IF(הגדרות!$E$3&gt;0,TEXT('הדבקת לידים'!B2185,REPT("0",הגדרות!$E$3)),TEXT('הדבקת לידים'!B2185,"0")),TRIM('הדבקת לידים'!B2185)))</f>
        <v/>
      </c>
      <c r="C2185" s="0" t="n">
        <f aca="false">IF(OR(A2185&lt;&gt;"",B2185&lt;&gt;""),1,0)</f>
        <v>0</v>
      </c>
      <c r="D2185" s="0" t="str">
        <f aca="false">IF(C2185=1,MOD(ABS(SIN(ROW()*12.9898+'הדבקת לידים'!$F$2*78.233+IFERROR(--RIGHT(A2185,6),LEN(A2185))*0.0137+IFERROR(--RIGHT(B2185,6),LEN(B2185))*0.0071))*43758.5453,1),"")</f>
        <v/>
      </c>
      <c r="E2185" s="0" t="str">
        <f aca="false">IF(C2185=1,INT(MOD(ABS(SIN(D2185*7919.123+ROW()*0.618+'הדבקת לידים'!$F$2*1.3))*43758.5453,1)*1000000)*10000+ROW(),"")</f>
        <v/>
      </c>
      <c r="F2185" s="0" t="str">
        <f aca="false">IF(E2185="","",RANK(E2185,$E$2:$E$5001,1))</f>
        <v/>
      </c>
      <c r="G2185" s="0" t="n">
        <f aca="false">IF(A2185="",0,IF(SUMPRODUCT(--($A$2:$A$5001=A2185))&gt;1,1,0))</f>
        <v>0</v>
      </c>
      <c r="H2185" s="0" t="n">
        <f aca="false">ROW()-1</f>
        <v>2184</v>
      </c>
      <c r="I2185" s="0" t="str">
        <f aca="false">IF(OR(הגדרות!$E$6=0,H2185&gt;הגדרות!$E$5),"",IF(H2185-1&lt;הגדרות!$E$8*(הגדרות!$E$7+1),INT((H2185-1)/(הגדרות!$E$7+1)),הגדרות!$E$8+INT((H2185-1-הגדרות!$E$8*(הגדרות!$E$7+1))/הגדרות!$E$7)))</f>
        <v/>
      </c>
      <c r="J2185" s="0" t="str">
        <f aca="false">IF(I2185="","",IF(H2185-1&lt;הגדרות!$E$8*(הגדרות!$E$7+1),MOD(H2185-1,הגדרות!$E$7+1),MOD(H2185-1-הגדרות!$E$8*(הגדרות!$E$7+1),הגדרות!$E$7)))</f>
        <v/>
      </c>
      <c r="K2185" s="0" t="str">
        <f aca="false">IF(I2185="","",J2185*הגדרות!$E$6+I2185+1)</f>
        <v/>
      </c>
      <c r="L2185" s="0" t="str">
        <f aca="false">IF(K2185="","",MATCH(K2185,$F$2:$F$5001,0))</f>
        <v/>
      </c>
      <c r="M2185" s="0" t="str">
        <f aca="false">IF(I2185="","",INDEX(הגדרות!$A$2:$A$21,MOD(I2185+הגדרות!$E$9,הגדרות!$E$6)+1))</f>
        <v/>
      </c>
    </row>
    <row r="2186" customFormat="false" ht="15" hidden="false" customHeight="false" outlineLevel="0" collapsed="false">
      <c r="A2186" s="0" t="str">
        <f aca="false">IF('הדבקת לידים'!A2186="","",IF(ISNUMBER('הדבקת לידים'!A2186),IF(הגדרות!$E$2&gt;0,TEXT('הדבקת לידים'!A2186,REPT("0",הגדרות!$E$2)),TEXT('הדבקת לידים'!A2186,"0")),TRIM('הדבקת לידים'!A2186)))</f>
        <v/>
      </c>
      <c r="B2186" s="0" t="str">
        <f aca="false">IF('הדבקת לידים'!B2186="","",IF(ISNUMBER('הדבקת לידים'!B2186),IF(הגדרות!$E$3&gt;0,TEXT('הדבקת לידים'!B2186,REPT("0",הגדרות!$E$3)),TEXT('הדבקת לידים'!B2186,"0")),TRIM('הדבקת לידים'!B2186)))</f>
        <v/>
      </c>
      <c r="C2186" s="0" t="n">
        <f aca="false">IF(OR(A2186&lt;&gt;"",B2186&lt;&gt;""),1,0)</f>
        <v>0</v>
      </c>
      <c r="D2186" s="0" t="str">
        <f aca="false">IF(C2186=1,MOD(ABS(SIN(ROW()*12.9898+'הדבקת לידים'!$F$2*78.233+IFERROR(--RIGHT(A2186,6),LEN(A2186))*0.0137+IFERROR(--RIGHT(B2186,6),LEN(B2186))*0.0071))*43758.5453,1),"")</f>
        <v/>
      </c>
      <c r="E2186" s="0" t="str">
        <f aca="false">IF(C2186=1,INT(MOD(ABS(SIN(D2186*7919.123+ROW()*0.618+'הדבקת לידים'!$F$2*1.3))*43758.5453,1)*1000000)*10000+ROW(),"")</f>
        <v/>
      </c>
      <c r="F2186" s="0" t="str">
        <f aca="false">IF(E2186="","",RANK(E2186,$E$2:$E$5001,1))</f>
        <v/>
      </c>
      <c r="G2186" s="0" t="n">
        <f aca="false">IF(A2186="",0,IF(SUMPRODUCT(--($A$2:$A$5001=A2186))&gt;1,1,0))</f>
        <v>0</v>
      </c>
      <c r="H2186" s="0" t="n">
        <f aca="false">ROW()-1</f>
        <v>2185</v>
      </c>
      <c r="I2186" s="0" t="str">
        <f aca="false">IF(OR(הגדרות!$E$6=0,H2186&gt;הגדרות!$E$5),"",IF(H2186-1&lt;הגדרות!$E$8*(הגדרות!$E$7+1),INT((H2186-1)/(הגדרות!$E$7+1)),הגדרות!$E$8+INT((H2186-1-הגדרות!$E$8*(הגדרות!$E$7+1))/הגדרות!$E$7)))</f>
        <v/>
      </c>
      <c r="J2186" s="0" t="str">
        <f aca="false">IF(I2186="","",IF(H2186-1&lt;הגדרות!$E$8*(הגדרות!$E$7+1),MOD(H2186-1,הגדרות!$E$7+1),MOD(H2186-1-הגדרות!$E$8*(הגדרות!$E$7+1),הגדרות!$E$7)))</f>
        <v/>
      </c>
      <c r="K2186" s="0" t="str">
        <f aca="false">IF(I2186="","",J2186*הגדרות!$E$6+I2186+1)</f>
        <v/>
      </c>
      <c r="L2186" s="0" t="str">
        <f aca="false">IF(K2186="","",MATCH(K2186,$F$2:$F$5001,0))</f>
        <v/>
      </c>
      <c r="M2186" s="0" t="str">
        <f aca="false">IF(I2186="","",INDEX(הגדרות!$A$2:$A$21,MOD(I2186+הגדרות!$E$9,הגדרות!$E$6)+1))</f>
        <v/>
      </c>
    </row>
    <row r="2187" customFormat="false" ht="15" hidden="false" customHeight="false" outlineLevel="0" collapsed="false">
      <c r="A2187" s="0" t="str">
        <f aca="false">IF('הדבקת לידים'!A2187="","",IF(ISNUMBER('הדבקת לידים'!A2187),IF(הגדרות!$E$2&gt;0,TEXT('הדבקת לידים'!A2187,REPT("0",הגדרות!$E$2)),TEXT('הדבקת לידים'!A2187,"0")),TRIM('הדבקת לידים'!A2187)))</f>
        <v/>
      </c>
      <c r="B2187" s="0" t="str">
        <f aca="false">IF('הדבקת לידים'!B2187="","",IF(ISNUMBER('הדבקת לידים'!B2187),IF(הגדרות!$E$3&gt;0,TEXT('הדבקת לידים'!B2187,REPT("0",הגדרות!$E$3)),TEXT('הדבקת לידים'!B2187,"0")),TRIM('הדבקת לידים'!B2187)))</f>
        <v/>
      </c>
      <c r="C2187" s="0" t="n">
        <f aca="false">IF(OR(A2187&lt;&gt;"",B2187&lt;&gt;""),1,0)</f>
        <v>0</v>
      </c>
      <c r="D2187" s="0" t="str">
        <f aca="false">IF(C2187=1,MOD(ABS(SIN(ROW()*12.9898+'הדבקת לידים'!$F$2*78.233+IFERROR(--RIGHT(A2187,6),LEN(A2187))*0.0137+IFERROR(--RIGHT(B2187,6),LEN(B2187))*0.0071))*43758.5453,1),"")</f>
        <v/>
      </c>
      <c r="E2187" s="0" t="str">
        <f aca="false">IF(C2187=1,INT(MOD(ABS(SIN(D2187*7919.123+ROW()*0.618+'הדבקת לידים'!$F$2*1.3))*43758.5453,1)*1000000)*10000+ROW(),"")</f>
        <v/>
      </c>
      <c r="F2187" s="0" t="str">
        <f aca="false">IF(E2187="","",RANK(E2187,$E$2:$E$5001,1))</f>
        <v/>
      </c>
      <c r="G2187" s="0" t="n">
        <f aca="false">IF(A2187="",0,IF(SUMPRODUCT(--($A$2:$A$5001=A2187))&gt;1,1,0))</f>
        <v>0</v>
      </c>
      <c r="H2187" s="0" t="n">
        <f aca="false">ROW()-1</f>
        <v>2186</v>
      </c>
      <c r="I2187" s="0" t="str">
        <f aca="false">IF(OR(הגדרות!$E$6=0,H2187&gt;הגדרות!$E$5),"",IF(H2187-1&lt;הגדרות!$E$8*(הגדרות!$E$7+1),INT((H2187-1)/(הגדרות!$E$7+1)),הגדרות!$E$8+INT((H2187-1-הגדרות!$E$8*(הגדרות!$E$7+1))/הגדרות!$E$7)))</f>
        <v/>
      </c>
      <c r="J2187" s="0" t="str">
        <f aca="false">IF(I2187="","",IF(H2187-1&lt;הגדרות!$E$8*(הגדרות!$E$7+1),MOD(H2187-1,הגדרות!$E$7+1),MOD(H2187-1-הגדרות!$E$8*(הגדרות!$E$7+1),הגדרות!$E$7)))</f>
        <v/>
      </c>
      <c r="K2187" s="0" t="str">
        <f aca="false">IF(I2187="","",J2187*הגדרות!$E$6+I2187+1)</f>
        <v/>
      </c>
      <c r="L2187" s="0" t="str">
        <f aca="false">IF(K2187="","",MATCH(K2187,$F$2:$F$5001,0))</f>
        <v/>
      </c>
      <c r="M2187" s="0" t="str">
        <f aca="false">IF(I2187="","",INDEX(הגדרות!$A$2:$A$21,MOD(I2187+הגדרות!$E$9,הגדרות!$E$6)+1))</f>
        <v/>
      </c>
    </row>
    <row r="2188" customFormat="false" ht="15" hidden="false" customHeight="false" outlineLevel="0" collapsed="false">
      <c r="A2188" s="0" t="str">
        <f aca="false">IF('הדבקת לידים'!A2188="","",IF(ISNUMBER('הדבקת לידים'!A2188),IF(הגדרות!$E$2&gt;0,TEXT('הדבקת לידים'!A2188,REPT("0",הגדרות!$E$2)),TEXT('הדבקת לידים'!A2188,"0")),TRIM('הדבקת לידים'!A2188)))</f>
        <v/>
      </c>
      <c r="B2188" s="0" t="str">
        <f aca="false">IF('הדבקת לידים'!B2188="","",IF(ISNUMBER('הדבקת לידים'!B2188),IF(הגדרות!$E$3&gt;0,TEXT('הדבקת לידים'!B2188,REPT("0",הגדרות!$E$3)),TEXT('הדבקת לידים'!B2188,"0")),TRIM('הדבקת לידים'!B2188)))</f>
        <v/>
      </c>
      <c r="C2188" s="0" t="n">
        <f aca="false">IF(OR(A2188&lt;&gt;"",B2188&lt;&gt;""),1,0)</f>
        <v>0</v>
      </c>
      <c r="D2188" s="0" t="str">
        <f aca="false">IF(C2188=1,MOD(ABS(SIN(ROW()*12.9898+'הדבקת לידים'!$F$2*78.233+IFERROR(--RIGHT(A2188,6),LEN(A2188))*0.0137+IFERROR(--RIGHT(B2188,6),LEN(B2188))*0.0071))*43758.5453,1),"")</f>
        <v/>
      </c>
      <c r="E2188" s="0" t="str">
        <f aca="false">IF(C2188=1,INT(MOD(ABS(SIN(D2188*7919.123+ROW()*0.618+'הדבקת לידים'!$F$2*1.3))*43758.5453,1)*1000000)*10000+ROW(),"")</f>
        <v/>
      </c>
      <c r="F2188" s="0" t="str">
        <f aca="false">IF(E2188="","",RANK(E2188,$E$2:$E$5001,1))</f>
        <v/>
      </c>
      <c r="G2188" s="0" t="n">
        <f aca="false">IF(A2188="",0,IF(SUMPRODUCT(--($A$2:$A$5001=A2188))&gt;1,1,0))</f>
        <v>0</v>
      </c>
      <c r="H2188" s="0" t="n">
        <f aca="false">ROW()-1</f>
        <v>2187</v>
      </c>
      <c r="I2188" s="0" t="str">
        <f aca="false">IF(OR(הגדרות!$E$6=0,H2188&gt;הגדרות!$E$5),"",IF(H2188-1&lt;הגדרות!$E$8*(הגדרות!$E$7+1),INT((H2188-1)/(הגדרות!$E$7+1)),הגדרות!$E$8+INT((H2188-1-הגדרות!$E$8*(הגדרות!$E$7+1))/הגדרות!$E$7)))</f>
        <v/>
      </c>
      <c r="J2188" s="0" t="str">
        <f aca="false">IF(I2188="","",IF(H2188-1&lt;הגדרות!$E$8*(הגדרות!$E$7+1),MOD(H2188-1,הגדרות!$E$7+1),MOD(H2188-1-הגדרות!$E$8*(הגדרות!$E$7+1),הגדרות!$E$7)))</f>
        <v/>
      </c>
      <c r="K2188" s="0" t="str">
        <f aca="false">IF(I2188="","",J2188*הגדרות!$E$6+I2188+1)</f>
        <v/>
      </c>
      <c r="L2188" s="0" t="str">
        <f aca="false">IF(K2188="","",MATCH(K2188,$F$2:$F$5001,0))</f>
        <v/>
      </c>
      <c r="M2188" s="0" t="str">
        <f aca="false">IF(I2188="","",INDEX(הגדרות!$A$2:$A$21,MOD(I2188+הגדרות!$E$9,הגדרות!$E$6)+1))</f>
        <v/>
      </c>
    </row>
    <row r="2189" customFormat="false" ht="15" hidden="false" customHeight="false" outlineLevel="0" collapsed="false">
      <c r="A2189" s="0" t="str">
        <f aca="false">IF('הדבקת לידים'!A2189="","",IF(ISNUMBER('הדבקת לידים'!A2189),IF(הגדרות!$E$2&gt;0,TEXT('הדבקת לידים'!A2189,REPT("0",הגדרות!$E$2)),TEXT('הדבקת לידים'!A2189,"0")),TRIM('הדבקת לידים'!A2189)))</f>
        <v/>
      </c>
      <c r="B2189" s="0" t="str">
        <f aca="false">IF('הדבקת לידים'!B2189="","",IF(ISNUMBER('הדבקת לידים'!B2189),IF(הגדרות!$E$3&gt;0,TEXT('הדבקת לידים'!B2189,REPT("0",הגדרות!$E$3)),TEXT('הדבקת לידים'!B2189,"0")),TRIM('הדבקת לידים'!B2189)))</f>
        <v/>
      </c>
      <c r="C2189" s="0" t="n">
        <f aca="false">IF(OR(A2189&lt;&gt;"",B2189&lt;&gt;""),1,0)</f>
        <v>0</v>
      </c>
      <c r="D2189" s="0" t="str">
        <f aca="false">IF(C2189=1,MOD(ABS(SIN(ROW()*12.9898+'הדבקת לידים'!$F$2*78.233+IFERROR(--RIGHT(A2189,6),LEN(A2189))*0.0137+IFERROR(--RIGHT(B2189,6),LEN(B2189))*0.0071))*43758.5453,1),"")</f>
        <v/>
      </c>
      <c r="E2189" s="0" t="str">
        <f aca="false">IF(C2189=1,INT(MOD(ABS(SIN(D2189*7919.123+ROW()*0.618+'הדבקת לידים'!$F$2*1.3))*43758.5453,1)*1000000)*10000+ROW(),"")</f>
        <v/>
      </c>
      <c r="F2189" s="0" t="str">
        <f aca="false">IF(E2189="","",RANK(E2189,$E$2:$E$5001,1))</f>
        <v/>
      </c>
      <c r="G2189" s="0" t="n">
        <f aca="false">IF(A2189="",0,IF(SUMPRODUCT(--($A$2:$A$5001=A2189))&gt;1,1,0))</f>
        <v>0</v>
      </c>
      <c r="H2189" s="0" t="n">
        <f aca="false">ROW()-1</f>
        <v>2188</v>
      </c>
      <c r="I2189" s="0" t="str">
        <f aca="false">IF(OR(הגדרות!$E$6=0,H2189&gt;הגדרות!$E$5),"",IF(H2189-1&lt;הגדרות!$E$8*(הגדרות!$E$7+1),INT((H2189-1)/(הגדרות!$E$7+1)),הגדרות!$E$8+INT((H2189-1-הגדרות!$E$8*(הגדרות!$E$7+1))/הגדרות!$E$7)))</f>
        <v/>
      </c>
      <c r="J2189" s="0" t="str">
        <f aca="false">IF(I2189="","",IF(H2189-1&lt;הגדרות!$E$8*(הגדרות!$E$7+1),MOD(H2189-1,הגדרות!$E$7+1),MOD(H2189-1-הגדרות!$E$8*(הגדרות!$E$7+1),הגדרות!$E$7)))</f>
        <v/>
      </c>
      <c r="K2189" s="0" t="str">
        <f aca="false">IF(I2189="","",J2189*הגדרות!$E$6+I2189+1)</f>
        <v/>
      </c>
      <c r="L2189" s="0" t="str">
        <f aca="false">IF(K2189="","",MATCH(K2189,$F$2:$F$5001,0))</f>
        <v/>
      </c>
      <c r="M2189" s="0" t="str">
        <f aca="false">IF(I2189="","",INDEX(הגדרות!$A$2:$A$21,MOD(I2189+הגדרות!$E$9,הגדרות!$E$6)+1))</f>
        <v/>
      </c>
    </row>
    <row r="2190" customFormat="false" ht="15" hidden="false" customHeight="false" outlineLevel="0" collapsed="false">
      <c r="A2190" s="0" t="str">
        <f aca="false">IF('הדבקת לידים'!A2190="","",IF(ISNUMBER('הדבקת לידים'!A2190),IF(הגדרות!$E$2&gt;0,TEXT('הדבקת לידים'!A2190,REPT("0",הגדרות!$E$2)),TEXT('הדבקת לידים'!A2190,"0")),TRIM('הדבקת לידים'!A2190)))</f>
        <v/>
      </c>
      <c r="B2190" s="0" t="str">
        <f aca="false">IF('הדבקת לידים'!B2190="","",IF(ISNUMBER('הדבקת לידים'!B2190),IF(הגדרות!$E$3&gt;0,TEXT('הדבקת לידים'!B2190,REPT("0",הגדרות!$E$3)),TEXT('הדבקת לידים'!B2190,"0")),TRIM('הדבקת לידים'!B2190)))</f>
        <v/>
      </c>
      <c r="C2190" s="0" t="n">
        <f aca="false">IF(OR(A2190&lt;&gt;"",B2190&lt;&gt;""),1,0)</f>
        <v>0</v>
      </c>
      <c r="D2190" s="0" t="str">
        <f aca="false">IF(C2190=1,MOD(ABS(SIN(ROW()*12.9898+'הדבקת לידים'!$F$2*78.233+IFERROR(--RIGHT(A2190,6),LEN(A2190))*0.0137+IFERROR(--RIGHT(B2190,6),LEN(B2190))*0.0071))*43758.5453,1),"")</f>
        <v/>
      </c>
      <c r="E2190" s="0" t="str">
        <f aca="false">IF(C2190=1,INT(MOD(ABS(SIN(D2190*7919.123+ROW()*0.618+'הדבקת לידים'!$F$2*1.3))*43758.5453,1)*1000000)*10000+ROW(),"")</f>
        <v/>
      </c>
      <c r="F2190" s="0" t="str">
        <f aca="false">IF(E2190="","",RANK(E2190,$E$2:$E$5001,1))</f>
        <v/>
      </c>
      <c r="G2190" s="0" t="n">
        <f aca="false">IF(A2190="",0,IF(SUMPRODUCT(--($A$2:$A$5001=A2190))&gt;1,1,0))</f>
        <v>0</v>
      </c>
      <c r="H2190" s="0" t="n">
        <f aca="false">ROW()-1</f>
        <v>2189</v>
      </c>
      <c r="I2190" s="0" t="str">
        <f aca="false">IF(OR(הגדרות!$E$6=0,H2190&gt;הגדרות!$E$5),"",IF(H2190-1&lt;הגדרות!$E$8*(הגדרות!$E$7+1),INT((H2190-1)/(הגדרות!$E$7+1)),הגדרות!$E$8+INT((H2190-1-הגדרות!$E$8*(הגדרות!$E$7+1))/הגדרות!$E$7)))</f>
        <v/>
      </c>
      <c r="J2190" s="0" t="str">
        <f aca="false">IF(I2190="","",IF(H2190-1&lt;הגדרות!$E$8*(הגדרות!$E$7+1),MOD(H2190-1,הגדרות!$E$7+1),MOD(H2190-1-הגדרות!$E$8*(הגדרות!$E$7+1),הגדרות!$E$7)))</f>
        <v/>
      </c>
      <c r="K2190" s="0" t="str">
        <f aca="false">IF(I2190="","",J2190*הגדרות!$E$6+I2190+1)</f>
        <v/>
      </c>
      <c r="L2190" s="0" t="str">
        <f aca="false">IF(K2190="","",MATCH(K2190,$F$2:$F$5001,0))</f>
        <v/>
      </c>
      <c r="M2190" s="0" t="str">
        <f aca="false">IF(I2190="","",INDEX(הגדרות!$A$2:$A$21,MOD(I2190+הגדרות!$E$9,הגדרות!$E$6)+1))</f>
        <v/>
      </c>
    </row>
    <row r="2191" customFormat="false" ht="15" hidden="false" customHeight="false" outlineLevel="0" collapsed="false">
      <c r="A2191" s="0" t="str">
        <f aca="false">IF('הדבקת לידים'!A2191="","",IF(ISNUMBER('הדבקת לידים'!A2191),IF(הגדרות!$E$2&gt;0,TEXT('הדבקת לידים'!A2191,REPT("0",הגדרות!$E$2)),TEXT('הדבקת לידים'!A2191,"0")),TRIM('הדבקת לידים'!A2191)))</f>
        <v/>
      </c>
      <c r="B2191" s="0" t="str">
        <f aca="false">IF('הדבקת לידים'!B2191="","",IF(ISNUMBER('הדבקת לידים'!B2191),IF(הגדרות!$E$3&gt;0,TEXT('הדבקת לידים'!B2191,REPT("0",הגדרות!$E$3)),TEXT('הדבקת לידים'!B2191,"0")),TRIM('הדבקת לידים'!B2191)))</f>
        <v/>
      </c>
      <c r="C2191" s="0" t="n">
        <f aca="false">IF(OR(A2191&lt;&gt;"",B2191&lt;&gt;""),1,0)</f>
        <v>0</v>
      </c>
      <c r="D2191" s="0" t="str">
        <f aca="false">IF(C2191=1,MOD(ABS(SIN(ROW()*12.9898+'הדבקת לידים'!$F$2*78.233+IFERROR(--RIGHT(A2191,6),LEN(A2191))*0.0137+IFERROR(--RIGHT(B2191,6),LEN(B2191))*0.0071))*43758.5453,1),"")</f>
        <v/>
      </c>
      <c r="E2191" s="0" t="str">
        <f aca="false">IF(C2191=1,INT(MOD(ABS(SIN(D2191*7919.123+ROW()*0.618+'הדבקת לידים'!$F$2*1.3))*43758.5453,1)*1000000)*10000+ROW(),"")</f>
        <v/>
      </c>
      <c r="F2191" s="0" t="str">
        <f aca="false">IF(E2191="","",RANK(E2191,$E$2:$E$5001,1))</f>
        <v/>
      </c>
      <c r="G2191" s="0" t="n">
        <f aca="false">IF(A2191="",0,IF(SUMPRODUCT(--($A$2:$A$5001=A2191))&gt;1,1,0))</f>
        <v>0</v>
      </c>
      <c r="H2191" s="0" t="n">
        <f aca="false">ROW()-1</f>
        <v>2190</v>
      </c>
      <c r="I2191" s="0" t="str">
        <f aca="false">IF(OR(הגדרות!$E$6=0,H2191&gt;הגדרות!$E$5),"",IF(H2191-1&lt;הגדרות!$E$8*(הגדרות!$E$7+1),INT((H2191-1)/(הגדרות!$E$7+1)),הגדרות!$E$8+INT((H2191-1-הגדרות!$E$8*(הגדרות!$E$7+1))/הגדרות!$E$7)))</f>
        <v/>
      </c>
      <c r="J2191" s="0" t="str">
        <f aca="false">IF(I2191="","",IF(H2191-1&lt;הגדרות!$E$8*(הגדרות!$E$7+1),MOD(H2191-1,הגדרות!$E$7+1),MOD(H2191-1-הגדרות!$E$8*(הגדרות!$E$7+1),הגדרות!$E$7)))</f>
        <v/>
      </c>
      <c r="K2191" s="0" t="str">
        <f aca="false">IF(I2191="","",J2191*הגדרות!$E$6+I2191+1)</f>
        <v/>
      </c>
      <c r="L2191" s="0" t="str">
        <f aca="false">IF(K2191="","",MATCH(K2191,$F$2:$F$5001,0))</f>
        <v/>
      </c>
      <c r="M2191" s="0" t="str">
        <f aca="false">IF(I2191="","",INDEX(הגדרות!$A$2:$A$21,MOD(I2191+הגדרות!$E$9,הגדרות!$E$6)+1))</f>
        <v/>
      </c>
    </row>
    <row r="2192" customFormat="false" ht="15" hidden="false" customHeight="false" outlineLevel="0" collapsed="false">
      <c r="A2192" s="0" t="str">
        <f aca="false">IF('הדבקת לידים'!A2192="","",IF(ISNUMBER('הדבקת לידים'!A2192),IF(הגדרות!$E$2&gt;0,TEXT('הדבקת לידים'!A2192,REPT("0",הגדרות!$E$2)),TEXT('הדבקת לידים'!A2192,"0")),TRIM('הדבקת לידים'!A2192)))</f>
        <v/>
      </c>
      <c r="B2192" s="0" t="str">
        <f aca="false">IF('הדבקת לידים'!B2192="","",IF(ISNUMBER('הדבקת לידים'!B2192),IF(הגדרות!$E$3&gt;0,TEXT('הדבקת לידים'!B2192,REPT("0",הגדרות!$E$3)),TEXT('הדבקת לידים'!B2192,"0")),TRIM('הדבקת לידים'!B2192)))</f>
        <v/>
      </c>
      <c r="C2192" s="0" t="n">
        <f aca="false">IF(OR(A2192&lt;&gt;"",B2192&lt;&gt;""),1,0)</f>
        <v>0</v>
      </c>
      <c r="D2192" s="0" t="str">
        <f aca="false">IF(C2192=1,MOD(ABS(SIN(ROW()*12.9898+'הדבקת לידים'!$F$2*78.233+IFERROR(--RIGHT(A2192,6),LEN(A2192))*0.0137+IFERROR(--RIGHT(B2192,6),LEN(B2192))*0.0071))*43758.5453,1),"")</f>
        <v/>
      </c>
      <c r="E2192" s="0" t="str">
        <f aca="false">IF(C2192=1,INT(MOD(ABS(SIN(D2192*7919.123+ROW()*0.618+'הדבקת לידים'!$F$2*1.3))*43758.5453,1)*1000000)*10000+ROW(),"")</f>
        <v/>
      </c>
      <c r="F2192" s="0" t="str">
        <f aca="false">IF(E2192="","",RANK(E2192,$E$2:$E$5001,1))</f>
        <v/>
      </c>
      <c r="G2192" s="0" t="n">
        <f aca="false">IF(A2192="",0,IF(SUMPRODUCT(--($A$2:$A$5001=A2192))&gt;1,1,0))</f>
        <v>0</v>
      </c>
      <c r="H2192" s="0" t="n">
        <f aca="false">ROW()-1</f>
        <v>2191</v>
      </c>
      <c r="I2192" s="0" t="str">
        <f aca="false">IF(OR(הגדרות!$E$6=0,H2192&gt;הגדרות!$E$5),"",IF(H2192-1&lt;הגדרות!$E$8*(הגדרות!$E$7+1),INT((H2192-1)/(הגדרות!$E$7+1)),הגדרות!$E$8+INT((H2192-1-הגדרות!$E$8*(הגדרות!$E$7+1))/הגדרות!$E$7)))</f>
        <v/>
      </c>
      <c r="J2192" s="0" t="str">
        <f aca="false">IF(I2192="","",IF(H2192-1&lt;הגדרות!$E$8*(הגדרות!$E$7+1),MOD(H2192-1,הגדרות!$E$7+1),MOD(H2192-1-הגדרות!$E$8*(הגדרות!$E$7+1),הגדרות!$E$7)))</f>
        <v/>
      </c>
      <c r="K2192" s="0" t="str">
        <f aca="false">IF(I2192="","",J2192*הגדרות!$E$6+I2192+1)</f>
        <v/>
      </c>
      <c r="L2192" s="0" t="str">
        <f aca="false">IF(K2192="","",MATCH(K2192,$F$2:$F$5001,0))</f>
        <v/>
      </c>
      <c r="M2192" s="0" t="str">
        <f aca="false">IF(I2192="","",INDEX(הגדרות!$A$2:$A$21,MOD(I2192+הגדרות!$E$9,הגדרות!$E$6)+1))</f>
        <v/>
      </c>
    </row>
    <row r="2193" customFormat="false" ht="15" hidden="false" customHeight="false" outlineLevel="0" collapsed="false">
      <c r="A2193" s="0" t="str">
        <f aca="false">IF('הדבקת לידים'!A2193="","",IF(ISNUMBER('הדבקת לידים'!A2193),IF(הגדרות!$E$2&gt;0,TEXT('הדבקת לידים'!A2193,REPT("0",הגדרות!$E$2)),TEXT('הדבקת לידים'!A2193,"0")),TRIM('הדבקת לידים'!A2193)))</f>
        <v/>
      </c>
      <c r="B2193" s="0" t="str">
        <f aca="false">IF('הדבקת לידים'!B2193="","",IF(ISNUMBER('הדבקת לידים'!B2193),IF(הגדרות!$E$3&gt;0,TEXT('הדבקת לידים'!B2193,REPT("0",הגדרות!$E$3)),TEXT('הדבקת לידים'!B2193,"0")),TRIM('הדבקת לידים'!B2193)))</f>
        <v/>
      </c>
      <c r="C2193" s="0" t="n">
        <f aca="false">IF(OR(A2193&lt;&gt;"",B2193&lt;&gt;""),1,0)</f>
        <v>0</v>
      </c>
      <c r="D2193" s="0" t="str">
        <f aca="false">IF(C2193=1,MOD(ABS(SIN(ROW()*12.9898+'הדבקת לידים'!$F$2*78.233+IFERROR(--RIGHT(A2193,6),LEN(A2193))*0.0137+IFERROR(--RIGHT(B2193,6),LEN(B2193))*0.0071))*43758.5453,1),"")</f>
        <v/>
      </c>
      <c r="E2193" s="0" t="str">
        <f aca="false">IF(C2193=1,INT(MOD(ABS(SIN(D2193*7919.123+ROW()*0.618+'הדבקת לידים'!$F$2*1.3))*43758.5453,1)*1000000)*10000+ROW(),"")</f>
        <v/>
      </c>
      <c r="F2193" s="0" t="str">
        <f aca="false">IF(E2193="","",RANK(E2193,$E$2:$E$5001,1))</f>
        <v/>
      </c>
      <c r="G2193" s="0" t="n">
        <f aca="false">IF(A2193="",0,IF(SUMPRODUCT(--($A$2:$A$5001=A2193))&gt;1,1,0))</f>
        <v>0</v>
      </c>
      <c r="H2193" s="0" t="n">
        <f aca="false">ROW()-1</f>
        <v>2192</v>
      </c>
      <c r="I2193" s="0" t="str">
        <f aca="false">IF(OR(הגדרות!$E$6=0,H2193&gt;הגדרות!$E$5),"",IF(H2193-1&lt;הגדרות!$E$8*(הגדרות!$E$7+1),INT((H2193-1)/(הגדרות!$E$7+1)),הגדרות!$E$8+INT((H2193-1-הגדרות!$E$8*(הגדרות!$E$7+1))/הגדרות!$E$7)))</f>
        <v/>
      </c>
      <c r="J2193" s="0" t="str">
        <f aca="false">IF(I2193="","",IF(H2193-1&lt;הגדרות!$E$8*(הגדרות!$E$7+1),MOD(H2193-1,הגדרות!$E$7+1),MOD(H2193-1-הגדרות!$E$8*(הגדרות!$E$7+1),הגדרות!$E$7)))</f>
        <v/>
      </c>
      <c r="K2193" s="0" t="str">
        <f aca="false">IF(I2193="","",J2193*הגדרות!$E$6+I2193+1)</f>
        <v/>
      </c>
      <c r="L2193" s="0" t="str">
        <f aca="false">IF(K2193="","",MATCH(K2193,$F$2:$F$5001,0))</f>
        <v/>
      </c>
      <c r="M2193" s="0" t="str">
        <f aca="false">IF(I2193="","",INDEX(הגדרות!$A$2:$A$21,MOD(I2193+הגדרות!$E$9,הגדרות!$E$6)+1))</f>
        <v/>
      </c>
    </row>
    <row r="2194" customFormat="false" ht="15" hidden="false" customHeight="false" outlineLevel="0" collapsed="false">
      <c r="A2194" s="0" t="str">
        <f aca="false">IF('הדבקת לידים'!A2194="","",IF(ISNUMBER('הדבקת לידים'!A2194),IF(הגדרות!$E$2&gt;0,TEXT('הדבקת לידים'!A2194,REPT("0",הגדרות!$E$2)),TEXT('הדבקת לידים'!A2194,"0")),TRIM('הדבקת לידים'!A2194)))</f>
        <v/>
      </c>
      <c r="B2194" s="0" t="str">
        <f aca="false">IF('הדבקת לידים'!B2194="","",IF(ISNUMBER('הדבקת לידים'!B2194),IF(הגדרות!$E$3&gt;0,TEXT('הדבקת לידים'!B2194,REPT("0",הגדרות!$E$3)),TEXT('הדבקת לידים'!B2194,"0")),TRIM('הדבקת לידים'!B2194)))</f>
        <v/>
      </c>
      <c r="C2194" s="0" t="n">
        <f aca="false">IF(OR(A2194&lt;&gt;"",B2194&lt;&gt;""),1,0)</f>
        <v>0</v>
      </c>
      <c r="D2194" s="0" t="str">
        <f aca="false">IF(C2194=1,MOD(ABS(SIN(ROW()*12.9898+'הדבקת לידים'!$F$2*78.233+IFERROR(--RIGHT(A2194,6),LEN(A2194))*0.0137+IFERROR(--RIGHT(B2194,6),LEN(B2194))*0.0071))*43758.5453,1),"")</f>
        <v/>
      </c>
      <c r="E2194" s="0" t="str">
        <f aca="false">IF(C2194=1,INT(MOD(ABS(SIN(D2194*7919.123+ROW()*0.618+'הדבקת לידים'!$F$2*1.3))*43758.5453,1)*1000000)*10000+ROW(),"")</f>
        <v/>
      </c>
      <c r="F2194" s="0" t="str">
        <f aca="false">IF(E2194="","",RANK(E2194,$E$2:$E$5001,1))</f>
        <v/>
      </c>
      <c r="G2194" s="0" t="n">
        <f aca="false">IF(A2194="",0,IF(SUMPRODUCT(--($A$2:$A$5001=A2194))&gt;1,1,0))</f>
        <v>0</v>
      </c>
      <c r="H2194" s="0" t="n">
        <f aca="false">ROW()-1</f>
        <v>2193</v>
      </c>
      <c r="I2194" s="0" t="str">
        <f aca="false">IF(OR(הגדרות!$E$6=0,H2194&gt;הגדרות!$E$5),"",IF(H2194-1&lt;הגדרות!$E$8*(הגדרות!$E$7+1),INT((H2194-1)/(הגדרות!$E$7+1)),הגדרות!$E$8+INT((H2194-1-הגדרות!$E$8*(הגדרות!$E$7+1))/הגדרות!$E$7)))</f>
        <v/>
      </c>
      <c r="J2194" s="0" t="str">
        <f aca="false">IF(I2194="","",IF(H2194-1&lt;הגדרות!$E$8*(הגדרות!$E$7+1),MOD(H2194-1,הגדרות!$E$7+1),MOD(H2194-1-הגדרות!$E$8*(הגדרות!$E$7+1),הגדרות!$E$7)))</f>
        <v/>
      </c>
      <c r="K2194" s="0" t="str">
        <f aca="false">IF(I2194="","",J2194*הגדרות!$E$6+I2194+1)</f>
        <v/>
      </c>
      <c r="L2194" s="0" t="str">
        <f aca="false">IF(K2194="","",MATCH(K2194,$F$2:$F$5001,0))</f>
        <v/>
      </c>
      <c r="M2194" s="0" t="str">
        <f aca="false">IF(I2194="","",INDEX(הגדרות!$A$2:$A$21,MOD(I2194+הגדרות!$E$9,הגדרות!$E$6)+1))</f>
        <v/>
      </c>
    </row>
    <row r="2195" customFormat="false" ht="15" hidden="false" customHeight="false" outlineLevel="0" collapsed="false">
      <c r="A2195" s="0" t="str">
        <f aca="false">IF('הדבקת לידים'!A2195="","",IF(ISNUMBER('הדבקת לידים'!A2195),IF(הגדרות!$E$2&gt;0,TEXT('הדבקת לידים'!A2195,REPT("0",הגדרות!$E$2)),TEXT('הדבקת לידים'!A2195,"0")),TRIM('הדבקת לידים'!A2195)))</f>
        <v/>
      </c>
      <c r="B2195" s="0" t="str">
        <f aca="false">IF('הדבקת לידים'!B2195="","",IF(ISNUMBER('הדבקת לידים'!B2195),IF(הגדרות!$E$3&gt;0,TEXT('הדבקת לידים'!B2195,REPT("0",הגדרות!$E$3)),TEXT('הדבקת לידים'!B2195,"0")),TRIM('הדבקת לידים'!B2195)))</f>
        <v/>
      </c>
      <c r="C2195" s="0" t="n">
        <f aca="false">IF(OR(A2195&lt;&gt;"",B2195&lt;&gt;""),1,0)</f>
        <v>0</v>
      </c>
      <c r="D2195" s="0" t="str">
        <f aca="false">IF(C2195=1,MOD(ABS(SIN(ROW()*12.9898+'הדבקת לידים'!$F$2*78.233+IFERROR(--RIGHT(A2195,6),LEN(A2195))*0.0137+IFERROR(--RIGHT(B2195,6),LEN(B2195))*0.0071))*43758.5453,1),"")</f>
        <v/>
      </c>
      <c r="E2195" s="0" t="str">
        <f aca="false">IF(C2195=1,INT(MOD(ABS(SIN(D2195*7919.123+ROW()*0.618+'הדבקת לידים'!$F$2*1.3))*43758.5453,1)*1000000)*10000+ROW(),"")</f>
        <v/>
      </c>
      <c r="F2195" s="0" t="str">
        <f aca="false">IF(E2195="","",RANK(E2195,$E$2:$E$5001,1))</f>
        <v/>
      </c>
      <c r="G2195" s="0" t="n">
        <f aca="false">IF(A2195="",0,IF(SUMPRODUCT(--($A$2:$A$5001=A2195))&gt;1,1,0))</f>
        <v>0</v>
      </c>
      <c r="H2195" s="0" t="n">
        <f aca="false">ROW()-1</f>
        <v>2194</v>
      </c>
      <c r="I2195" s="0" t="str">
        <f aca="false">IF(OR(הגדרות!$E$6=0,H2195&gt;הגדרות!$E$5),"",IF(H2195-1&lt;הגדרות!$E$8*(הגדרות!$E$7+1),INT((H2195-1)/(הגדרות!$E$7+1)),הגדרות!$E$8+INT((H2195-1-הגדרות!$E$8*(הגדרות!$E$7+1))/הגדרות!$E$7)))</f>
        <v/>
      </c>
      <c r="J2195" s="0" t="str">
        <f aca="false">IF(I2195="","",IF(H2195-1&lt;הגדרות!$E$8*(הגדרות!$E$7+1),MOD(H2195-1,הגדרות!$E$7+1),MOD(H2195-1-הגדרות!$E$8*(הגדרות!$E$7+1),הגדרות!$E$7)))</f>
        <v/>
      </c>
      <c r="K2195" s="0" t="str">
        <f aca="false">IF(I2195="","",J2195*הגדרות!$E$6+I2195+1)</f>
        <v/>
      </c>
      <c r="L2195" s="0" t="str">
        <f aca="false">IF(K2195="","",MATCH(K2195,$F$2:$F$5001,0))</f>
        <v/>
      </c>
      <c r="M2195" s="0" t="str">
        <f aca="false">IF(I2195="","",INDEX(הגדרות!$A$2:$A$21,MOD(I2195+הגדרות!$E$9,הגדרות!$E$6)+1))</f>
        <v/>
      </c>
    </row>
    <row r="2196" customFormat="false" ht="15" hidden="false" customHeight="false" outlineLevel="0" collapsed="false">
      <c r="A2196" s="0" t="str">
        <f aca="false">IF('הדבקת לידים'!A2196="","",IF(ISNUMBER('הדבקת לידים'!A2196),IF(הגדרות!$E$2&gt;0,TEXT('הדבקת לידים'!A2196,REPT("0",הגדרות!$E$2)),TEXT('הדבקת לידים'!A2196,"0")),TRIM('הדבקת לידים'!A2196)))</f>
        <v/>
      </c>
      <c r="B2196" s="0" t="str">
        <f aca="false">IF('הדבקת לידים'!B2196="","",IF(ISNUMBER('הדבקת לידים'!B2196),IF(הגדרות!$E$3&gt;0,TEXT('הדבקת לידים'!B2196,REPT("0",הגדרות!$E$3)),TEXT('הדבקת לידים'!B2196,"0")),TRIM('הדבקת לידים'!B2196)))</f>
        <v/>
      </c>
      <c r="C2196" s="0" t="n">
        <f aca="false">IF(OR(A2196&lt;&gt;"",B2196&lt;&gt;""),1,0)</f>
        <v>0</v>
      </c>
      <c r="D2196" s="0" t="str">
        <f aca="false">IF(C2196=1,MOD(ABS(SIN(ROW()*12.9898+'הדבקת לידים'!$F$2*78.233+IFERROR(--RIGHT(A2196,6),LEN(A2196))*0.0137+IFERROR(--RIGHT(B2196,6),LEN(B2196))*0.0071))*43758.5453,1),"")</f>
        <v/>
      </c>
      <c r="E2196" s="0" t="str">
        <f aca="false">IF(C2196=1,INT(MOD(ABS(SIN(D2196*7919.123+ROW()*0.618+'הדבקת לידים'!$F$2*1.3))*43758.5453,1)*1000000)*10000+ROW(),"")</f>
        <v/>
      </c>
      <c r="F2196" s="0" t="str">
        <f aca="false">IF(E2196="","",RANK(E2196,$E$2:$E$5001,1))</f>
        <v/>
      </c>
      <c r="G2196" s="0" t="n">
        <f aca="false">IF(A2196="",0,IF(SUMPRODUCT(--($A$2:$A$5001=A2196))&gt;1,1,0))</f>
        <v>0</v>
      </c>
      <c r="H2196" s="0" t="n">
        <f aca="false">ROW()-1</f>
        <v>2195</v>
      </c>
      <c r="I2196" s="0" t="str">
        <f aca="false">IF(OR(הגדרות!$E$6=0,H2196&gt;הגדרות!$E$5),"",IF(H2196-1&lt;הגדרות!$E$8*(הגדרות!$E$7+1),INT((H2196-1)/(הגדרות!$E$7+1)),הגדרות!$E$8+INT((H2196-1-הגדרות!$E$8*(הגדרות!$E$7+1))/הגדרות!$E$7)))</f>
        <v/>
      </c>
      <c r="J2196" s="0" t="str">
        <f aca="false">IF(I2196="","",IF(H2196-1&lt;הגדרות!$E$8*(הגדרות!$E$7+1),MOD(H2196-1,הגדרות!$E$7+1),MOD(H2196-1-הגדרות!$E$8*(הגדרות!$E$7+1),הגדרות!$E$7)))</f>
        <v/>
      </c>
      <c r="K2196" s="0" t="str">
        <f aca="false">IF(I2196="","",J2196*הגדרות!$E$6+I2196+1)</f>
        <v/>
      </c>
      <c r="L2196" s="0" t="str">
        <f aca="false">IF(K2196="","",MATCH(K2196,$F$2:$F$5001,0))</f>
        <v/>
      </c>
      <c r="M2196" s="0" t="str">
        <f aca="false">IF(I2196="","",INDEX(הגדרות!$A$2:$A$21,MOD(I2196+הגדרות!$E$9,הגדרות!$E$6)+1))</f>
        <v/>
      </c>
    </row>
    <row r="2197" customFormat="false" ht="15" hidden="false" customHeight="false" outlineLevel="0" collapsed="false">
      <c r="A2197" s="0" t="str">
        <f aca="false">IF('הדבקת לידים'!A2197="","",IF(ISNUMBER('הדבקת לידים'!A2197),IF(הגדרות!$E$2&gt;0,TEXT('הדבקת לידים'!A2197,REPT("0",הגדרות!$E$2)),TEXT('הדבקת לידים'!A2197,"0")),TRIM('הדבקת לידים'!A2197)))</f>
        <v/>
      </c>
      <c r="B2197" s="0" t="str">
        <f aca="false">IF('הדבקת לידים'!B2197="","",IF(ISNUMBER('הדבקת לידים'!B2197),IF(הגדרות!$E$3&gt;0,TEXT('הדבקת לידים'!B2197,REPT("0",הגדרות!$E$3)),TEXT('הדבקת לידים'!B2197,"0")),TRIM('הדבקת לידים'!B2197)))</f>
        <v/>
      </c>
      <c r="C2197" s="0" t="n">
        <f aca="false">IF(OR(A2197&lt;&gt;"",B2197&lt;&gt;""),1,0)</f>
        <v>0</v>
      </c>
      <c r="D2197" s="0" t="str">
        <f aca="false">IF(C2197=1,MOD(ABS(SIN(ROW()*12.9898+'הדבקת לידים'!$F$2*78.233+IFERROR(--RIGHT(A2197,6),LEN(A2197))*0.0137+IFERROR(--RIGHT(B2197,6),LEN(B2197))*0.0071))*43758.5453,1),"")</f>
        <v/>
      </c>
      <c r="E2197" s="0" t="str">
        <f aca="false">IF(C2197=1,INT(MOD(ABS(SIN(D2197*7919.123+ROW()*0.618+'הדבקת לידים'!$F$2*1.3))*43758.5453,1)*1000000)*10000+ROW(),"")</f>
        <v/>
      </c>
      <c r="F2197" s="0" t="str">
        <f aca="false">IF(E2197="","",RANK(E2197,$E$2:$E$5001,1))</f>
        <v/>
      </c>
      <c r="G2197" s="0" t="n">
        <f aca="false">IF(A2197="",0,IF(SUMPRODUCT(--($A$2:$A$5001=A2197))&gt;1,1,0))</f>
        <v>0</v>
      </c>
      <c r="H2197" s="0" t="n">
        <f aca="false">ROW()-1</f>
        <v>2196</v>
      </c>
      <c r="I2197" s="0" t="str">
        <f aca="false">IF(OR(הגדרות!$E$6=0,H2197&gt;הגדרות!$E$5),"",IF(H2197-1&lt;הגדרות!$E$8*(הגדרות!$E$7+1),INT((H2197-1)/(הגדרות!$E$7+1)),הגדרות!$E$8+INT((H2197-1-הגדרות!$E$8*(הגדרות!$E$7+1))/הגדרות!$E$7)))</f>
        <v/>
      </c>
      <c r="J2197" s="0" t="str">
        <f aca="false">IF(I2197="","",IF(H2197-1&lt;הגדרות!$E$8*(הגדרות!$E$7+1),MOD(H2197-1,הגדרות!$E$7+1),MOD(H2197-1-הגדרות!$E$8*(הגדרות!$E$7+1),הגדרות!$E$7)))</f>
        <v/>
      </c>
      <c r="K2197" s="0" t="str">
        <f aca="false">IF(I2197="","",J2197*הגדרות!$E$6+I2197+1)</f>
        <v/>
      </c>
      <c r="L2197" s="0" t="str">
        <f aca="false">IF(K2197="","",MATCH(K2197,$F$2:$F$5001,0))</f>
        <v/>
      </c>
      <c r="M2197" s="0" t="str">
        <f aca="false">IF(I2197="","",INDEX(הגדרות!$A$2:$A$21,MOD(I2197+הגדרות!$E$9,הגדרות!$E$6)+1))</f>
        <v/>
      </c>
    </row>
    <row r="2198" customFormat="false" ht="15" hidden="false" customHeight="false" outlineLevel="0" collapsed="false">
      <c r="A2198" s="0" t="str">
        <f aca="false">IF('הדבקת לידים'!A2198="","",IF(ISNUMBER('הדבקת לידים'!A2198),IF(הגדרות!$E$2&gt;0,TEXT('הדבקת לידים'!A2198,REPT("0",הגדרות!$E$2)),TEXT('הדבקת לידים'!A2198,"0")),TRIM('הדבקת לידים'!A2198)))</f>
        <v/>
      </c>
      <c r="B2198" s="0" t="str">
        <f aca="false">IF('הדבקת לידים'!B2198="","",IF(ISNUMBER('הדבקת לידים'!B2198),IF(הגדרות!$E$3&gt;0,TEXT('הדבקת לידים'!B2198,REPT("0",הגדרות!$E$3)),TEXT('הדבקת לידים'!B2198,"0")),TRIM('הדבקת לידים'!B2198)))</f>
        <v/>
      </c>
      <c r="C2198" s="0" t="n">
        <f aca="false">IF(OR(A2198&lt;&gt;"",B2198&lt;&gt;""),1,0)</f>
        <v>0</v>
      </c>
      <c r="D2198" s="0" t="str">
        <f aca="false">IF(C2198=1,MOD(ABS(SIN(ROW()*12.9898+'הדבקת לידים'!$F$2*78.233+IFERROR(--RIGHT(A2198,6),LEN(A2198))*0.0137+IFERROR(--RIGHT(B2198,6),LEN(B2198))*0.0071))*43758.5453,1),"")</f>
        <v/>
      </c>
      <c r="E2198" s="0" t="str">
        <f aca="false">IF(C2198=1,INT(MOD(ABS(SIN(D2198*7919.123+ROW()*0.618+'הדבקת לידים'!$F$2*1.3))*43758.5453,1)*1000000)*10000+ROW(),"")</f>
        <v/>
      </c>
      <c r="F2198" s="0" t="str">
        <f aca="false">IF(E2198="","",RANK(E2198,$E$2:$E$5001,1))</f>
        <v/>
      </c>
      <c r="G2198" s="0" t="n">
        <f aca="false">IF(A2198="",0,IF(SUMPRODUCT(--($A$2:$A$5001=A2198))&gt;1,1,0))</f>
        <v>0</v>
      </c>
      <c r="H2198" s="0" t="n">
        <f aca="false">ROW()-1</f>
        <v>2197</v>
      </c>
      <c r="I2198" s="0" t="str">
        <f aca="false">IF(OR(הגדרות!$E$6=0,H2198&gt;הגדרות!$E$5),"",IF(H2198-1&lt;הגדרות!$E$8*(הגדרות!$E$7+1),INT((H2198-1)/(הגדרות!$E$7+1)),הגדרות!$E$8+INT((H2198-1-הגדרות!$E$8*(הגדרות!$E$7+1))/הגדרות!$E$7)))</f>
        <v/>
      </c>
      <c r="J2198" s="0" t="str">
        <f aca="false">IF(I2198="","",IF(H2198-1&lt;הגדרות!$E$8*(הגדרות!$E$7+1),MOD(H2198-1,הגדרות!$E$7+1),MOD(H2198-1-הגדרות!$E$8*(הגדרות!$E$7+1),הגדרות!$E$7)))</f>
        <v/>
      </c>
      <c r="K2198" s="0" t="str">
        <f aca="false">IF(I2198="","",J2198*הגדרות!$E$6+I2198+1)</f>
        <v/>
      </c>
      <c r="L2198" s="0" t="str">
        <f aca="false">IF(K2198="","",MATCH(K2198,$F$2:$F$5001,0))</f>
        <v/>
      </c>
      <c r="M2198" s="0" t="str">
        <f aca="false">IF(I2198="","",INDEX(הגדרות!$A$2:$A$21,MOD(I2198+הגדרות!$E$9,הגדרות!$E$6)+1))</f>
        <v/>
      </c>
    </row>
    <row r="2199" customFormat="false" ht="15" hidden="false" customHeight="false" outlineLevel="0" collapsed="false">
      <c r="A2199" s="0" t="str">
        <f aca="false">IF('הדבקת לידים'!A2199="","",IF(ISNUMBER('הדבקת לידים'!A2199),IF(הגדרות!$E$2&gt;0,TEXT('הדבקת לידים'!A2199,REPT("0",הגדרות!$E$2)),TEXT('הדבקת לידים'!A2199,"0")),TRIM('הדבקת לידים'!A2199)))</f>
        <v/>
      </c>
      <c r="B2199" s="0" t="str">
        <f aca="false">IF('הדבקת לידים'!B2199="","",IF(ISNUMBER('הדבקת לידים'!B2199),IF(הגדרות!$E$3&gt;0,TEXT('הדבקת לידים'!B2199,REPT("0",הגדרות!$E$3)),TEXT('הדבקת לידים'!B2199,"0")),TRIM('הדבקת לידים'!B2199)))</f>
        <v/>
      </c>
      <c r="C2199" s="0" t="n">
        <f aca="false">IF(OR(A2199&lt;&gt;"",B2199&lt;&gt;""),1,0)</f>
        <v>0</v>
      </c>
      <c r="D2199" s="0" t="str">
        <f aca="false">IF(C2199=1,MOD(ABS(SIN(ROW()*12.9898+'הדבקת לידים'!$F$2*78.233+IFERROR(--RIGHT(A2199,6),LEN(A2199))*0.0137+IFERROR(--RIGHT(B2199,6),LEN(B2199))*0.0071))*43758.5453,1),"")</f>
        <v/>
      </c>
      <c r="E2199" s="0" t="str">
        <f aca="false">IF(C2199=1,INT(MOD(ABS(SIN(D2199*7919.123+ROW()*0.618+'הדבקת לידים'!$F$2*1.3))*43758.5453,1)*1000000)*10000+ROW(),"")</f>
        <v/>
      </c>
      <c r="F2199" s="0" t="str">
        <f aca="false">IF(E2199="","",RANK(E2199,$E$2:$E$5001,1))</f>
        <v/>
      </c>
      <c r="G2199" s="0" t="n">
        <f aca="false">IF(A2199="",0,IF(SUMPRODUCT(--($A$2:$A$5001=A2199))&gt;1,1,0))</f>
        <v>0</v>
      </c>
      <c r="H2199" s="0" t="n">
        <f aca="false">ROW()-1</f>
        <v>2198</v>
      </c>
      <c r="I2199" s="0" t="str">
        <f aca="false">IF(OR(הגדרות!$E$6=0,H2199&gt;הגדרות!$E$5),"",IF(H2199-1&lt;הגדרות!$E$8*(הגדרות!$E$7+1),INT((H2199-1)/(הגדרות!$E$7+1)),הגדרות!$E$8+INT((H2199-1-הגדרות!$E$8*(הגדרות!$E$7+1))/הגדרות!$E$7)))</f>
        <v/>
      </c>
      <c r="J2199" s="0" t="str">
        <f aca="false">IF(I2199="","",IF(H2199-1&lt;הגדרות!$E$8*(הגדרות!$E$7+1),MOD(H2199-1,הגדרות!$E$7+1),MOD(H2199-1-הגדרות!$E$8*(הגדרות!$E$7+1),הגדרות!$E$7)))</f>
        <v/>
      </c>
      <c r="K2199" s="0" t="str">
        <f aca="false">IF(I2199="","",J2199*הגדרות!$E$6+I2199+1)</f>
        <v/>
      </c>
      <c r="L2199" s="0" t="str">
        <f aca="false">IF(K2199="","",MATCH(K2199,$F$2:$F$5001,0))</f>
        <v/>
      </c>
      <c r="M2199" s="0" t="str">
        <f aca="false">IF(I2199="","",INDEX(הגדרות!$A$2:$A$21,MOD(I2199+הגדרות!$E$9,הגדרות!$E$6)+1))</f>
        <v/>
      </c>
    </row>
    <row r="2200" customFormat="false" ht="15" hidden="false" customHeight="false" outlineLevel="0" collapsed="false">
      <c r="A2200" s="0" t="str">
        <f aca="false">IF('הדבקת לידים'!A2200="","",IF(ISNUMBER('הדבקת לידים'!A2200),IF(הגדרות!$E$2&gt;0,TEXT('הדבקת לידים'!A2200,REPT("0",הגדרות!$E$2)),TEXT('הדבקת לידים'!A2200,"0")),TRIM('הדבקת לידים'!A2200)))</f>
        <v/>
      </c>
      <c r="B2200" s="0" t="str">
        <f aca="false">IF('הדבקת לידים'!B2200="","",IF(ISNUMBER('הדבקת לידים'!B2200),IF(הגדרות!$E$3&gt;0,TEXT('הדבקת לידים'!B2200,REPT("0",הגדרות!$E$3)),TEXT('הדבקת לידים'!B2200,"0")),TRIM('הדבקת לידים'!B2200)))</f>
        <v/>
      </c>
      <c r="C2200" s="0" t="n">
        <f aca="false">IF(OR(A2200&lt;&gt;"",B2200&lt;&gt;""),1,0)</f>
        <v>0</v>
      </c>
      <c r="D2200" s="0" t="str">
        <f aca="false">IF(C2200=1,MOD(ABS(SIN(ROW()*12.9898+'הדבקת לידים'!$F$2*78.233+IFERROR(--RIGHT(A2200,6),LEN(A2200))*0.0137+IFERROR(--RIGHT(B2200,6),LEN(B2200))*0.0071))*43758.5453,1),"")</f>
        <v/>
      </c>
      <c r="E2200" s="0" t="str">
        <f aca="false">IF(C2200=1,INT(MOD(ABS(SIN(D2200*7919.123+ROW()*0.618+'הדבקת לידים'!$F$2*1.3))*43758.5453,1)*1000000)*10000+ROW(),"")</f>
        <v/>
      </c>
      <c r="F2200" s="0" t="str">
        <f aca="false">IF(E2200="","",RANK(E2200,$E$2:$E$5001,1))</f>
        <v/>
      </c>
      <c r="G2200" s="0" t="n">
        <f aca="false">IF(A2200="",0,IF(SUMPRODUCT(--($A$2:$A$5001=A2200))&gt;1,1,0))</f>
        <v>0</v>
      </c>
      <c r="H2200" s="0" t="n">
        <f aca="false">ROW()-1</f>
        <v>2199</v>
      </c>
      <c r="I2200" s="0" t="str">
        <f aca="false">IF(OR(הגדרות!$E$6=0,H2200&gt;הגדרות!$E$5),"",IF(H2200-1&lt;הגדרות!$E$8*(הגדרות!$E$7+1),INT((H2200-1)/(הגדרות!$E$7+1)),הגדרות!$E$8+INT((H2200-1-הגדרות!$E$8*(הגדרות!$E$7+1))/הגדרות!$E$7)))</f>
        <v/>
      </c>
      <c r="J2200" s="0" t="str">
        <f aca="false">IF(I2200="","",IF(H2200-1&lt;הגדרות!$E$8*(הגדרות!$E$7+1),MOD(H2200-1,הגדרות!$E$7+1),MOD(H2200-1-הגדרות!$E$8*(הגדרות!$E$7+1),הגדרות!$E$7)))</f>
        <v/>
      </c>
      <c r="K2200" s="0" t="str">
        <f aca="false">IF(I2200="","",J2200*הגדרות!$E$6+I2200+1)</f>
        <v/>
      </c>
      <c r="L2200" s="0" t="str">
        <f aca="false">IF(K2200="","",MATCH(K2200,$F$2:$F$5001,0))</f>
        <v/>
      </c>
      <c r="M2200" s="0" t="str">
        <f aca="false">IF(I2200="","",INDEX(הגדרות!$A$2:$A$21,MOD(I2200+הגדרות!$E$9,הגדרות!$E$6)+1))</f>
        <v/>
      </c>
    </row>
    <row r="2201" customFormat="false" ht="15" hidden="false" customHeight="false" outlineLevel="0" collapsed="false">
      <c r="A2201" s="0" t="str">
        <f aca="false">IF('הדבקת לידים'!A2201="","",IF(ISNUMBER('הדבקת לידים'!A2201),IF(הגדרות!$E$2&gt;0,TEXT('הדבקת לידים'!A2201,REPT("0",הגדרות!$E$2)),TEXT('הדבקת לידים'!A2201,"0")),TRIM('הדבקת לידים'!A2201)))</f>
        <v/>
      </c>
      <c r="B2201" s="0" t="str">
        <f aca="false">IF('הדבקת לידים'!B2201="","",IF(ISNUMBER('הדבקת לידים'!B2201),IF(הגדרות!$E$3&gt;0,TEXT('הדבקת לידים'!B2201,REPT("0",הגדרות!$E$3)),TEXT('הדבקת לידים'!B2201,"0")),TRIM('הדבקת לידים'!B2201)))</f>
        <v/>
      </c>
      <c r="C2201" s="0" t="n">
        <f aca="false">IF(OR(A2201&lt;&gt;"",B2201&lt;&gt;""),1,0)</f>
        <v>0</v>
      </c>
      <c r="D2201" s="0" t="str">
        <f aca="false">IF(C2201=1,MOD(ABS(SIN(ROW()*12.9898+'הדבקת לידים'!$F$2*78.233+IFERROR(--RIGHT(A2201,6),LEN(A2201))*0.0137+IFERROR(--RIGHT(B2201,6),LEN(B2201))*0.0071))*43758.5453,1),"")</f>
        <v/>
      </c>
      <c r="E2201" s="0" t="str">
        <f aca="false">IF(C2201=1,INT(MOD(ABS(SIN(D2201*7919.123+ROW()*0.618+'הדבקת לידים'!$F$2*1.3))*43758.5453,1)*1000000)*10000+ROW(),"")</f>
        <v/>
      </c>
      <c r="F2201" s="0" t="str">
        <f aca="false">IF(E2201="","",RANK(E2201,$E$2:$E$5001,1))</f>
        <v/>
      </c>
      <c r="G2201" s="0" t="n">
        <f aca="false">IF(A2201="",0,IF(SUMPRODUCT(--($A$2:$A$5001=A2201))&gt;1,1,0))</f>
        <v>0</v>
      </c>
      <c r="H2201" s="0" t="n">
        <f aca="false">ROW()-1</f>
        <v>2200</v>
      </c>
      <c r="I2201" s="0" t="str">
        <f aca="false">IF(OR(הגדרות!$E$6=0,H2201&gt;הגדרות!$E$5),"",IF(H2201-1&lt;הגדרות!$E$8*(הגדרות!$E$7+1),INT((H2201-1)/(הגדרות!$E$7+1)),הגדרות!$E$8+INT((H2201-1-הגדרות!$E$8*(הגדרות!$E$7+1))/הגדרות!$E$7)))</f>
        <v/>
      </c>
      <c r="J2201" s="0" t="str">
        <f aca="false">IF(I2201="","",IF(H2201-1&lt;הגדרות!$E$8*(הגדרות!$E$7+1),MOD(H2201-1,הגדרות!$E$7+1),MOD(H2201-1-הגדרות!$E$8*(הגדרות!$E$7+1),הגדרות!$E$7)))</f>
        <v/>
      </c>
      <c r="K2201" s="0" t="str">
        <f aca="false">IF(I2201="","",J2201*הגדרות!$E$6+I2201+1)</f>
        <v/>
      </c>
      <c r="L2201" s="0" t="str">
        <f aca="false">IF(K2201="","",MATCH(K2201,$F$2:$F$5001,0))</f>
        <v/>
      </c>
      <c r="M2201" s="0" t="str">
        <f aca="false">IF(I2201="","",INDEX(הגדרות!$A$2:$A$21,MOD(I2201+הגדרות!$E$9,הגדרות!$E$6)+1))</f>
        <v/>
      </c>
    </row>
    <row r="2202" customFormat="false" ht="15" hidden="false" customHeight="false" outlineLevel="0" collapsed="false">
      <c r="A2202" s="0" t="str">
        <f aca="false">IF('הדבקת לידים'!A2202="","",IF(ISNUMBER('הדבקת לידים'!A2202),IF(הגדרות!$E$2&gt;0,TEXT('הדבקת לידים'!A2202,REPT("0",הגדרות!$E$2)),TEXT('הדבקת לידים'!A2202,"0")),TRIM('הדבקת לידים'!A2202)))</f>
        <v/>
      </c>
      <c r="B2202" s="0" t="str">
        <f aca="false">IF('הדבקת לידים'!B2202="","",IF(ISNUMBER('הדבקת לידים'!B2202),IF(הגדרות!$E$3&gt;0,TEXT('הדבקת לידים'!B2202,REPT("0",הגדרות!$E$3)),TEXT('הדבקת לידים'!B2202,"0")),TRIM('הדבקת לידים'!B2202)))</f>
        <v/>
      </c>
      <c r="C2202" s="0" t="n">
        <f aca="false">IF(OR(A2202&lt;&gt;"",B2202&lt;&gt;""),1,0)</f>
        <v>0</v>
      </c>
      <c r="D2202" s="0" t="str">
        <f aca="false">IF(C2202=1,MOD(ABS(SIN(ROW()*12.9898+'הדבקת לידים'!$F$2*78.233+IFERROR(--RIGHT(A2202,6),LEN(A2202))*0.0137+IFERROR(--RIGHT(B2202,6),LEN(B2202))*0.0071))*43758.5453,1),"")</f>
        <v/>
      </c>
      <c r="E2202" s="0" t="str">
        <f aca="false">IF(C2202=1,INT(MOD(ABS(SIN(D2202*7919.123+ROW()*0.618+'הדבקת לידים'!$F$2*1.3))*43758.5453,1)*1000000)*10000+ROW(),"")</f>
        <v/>
      </c>
      <c r="F2202" s="0" t="str">
        <f aca="false">IF(E2202="","",RANK(E2202,$E$2:$E$5001,1))</f>
        <v/>
      </c>
      <c r="G2202" s="0" t="n">
        <f aca="false">IF(A2202="",0,IF(SUMPRODUCT(--($A$2:$A$5001=A2202))&gt;1,1,0))</f>
        <v>0</v>
      </c>
      <c r="H2202" s="0" t="n">
        <f aca="false">ROW()-1</f>
        <v>2201</v>
      </c>
      <c r="I2202" s="0" t="str">
        <f aca="false">IF(OR(הגדרות!$E$6=0,H2202&gt;הגדרות!$E$5),"",IF(H2202-1&lt;הגדרות!$E$8*(הגדרות!$E$7+1),INT((H2202-1)/(הגדרות!$E$7+1)),הגדרות!$E$8+INT((H2202-1-הגדרות!$E$8*(הגדרות!$E$7+1))/הגדרות!$E$7)))</f>
        <v/>
      </c>
      <c r="J2202" s="0" t="str">
        <f aca="false">IF(I2202="","",IF(H2202-1&lt;הגדרות!$E$8*(הגדרות!$E$7+1),MOD(H2202-1,הגדרות!$E$7+1),MOD(H2202-1-הגדרות!$E$8*(הגדרות!$E$7+1),הגדרות!$E$7)))</f>
        <v/>
      </c>
      <c r="K2202" s="0" t="str">
        <f aca="false">IF(I2202="","",J2202*הגדרות!$E$6+I2202+1)</f>
        <v/>
      </c>
      <c r="L2202" s="0" t="str">
        <f aca="false">IF(K2202="","",MATCH(K2202,$F$2:$F$5001,0))</f>
        <v/>
      </c>
      <c r="M2202" s="0" t="str">
        <f aca="false">IF(I2202="","",INDEX(הגדרות!$A$2:$A$21,MOD(I2202+הגדרות!$E$9,הגדרות!$E$6)+1))</f>
        <v/>
      </c>
    </row>
    <row r="2203" customFormat="false" ht="15" hidden="false" customHeight="false" outlineLevel="0" collapsed="false">
      <c r="A2203" s="0" t="str">
        <f aca="false">IF('הדבקת לידים'!A2203="","",IF(ISNUMBER('הדבקת לידים'!A2203),IF(הגדרות!$E$2&gt;0,TEXT('הדבקת לידים'!A2203,REPT("0",הגדרות!$E$2)),TEXT('הדבקת לידים'!A2203,"0")),TRIM('הדבקת לידים'!A2203)))</f>
        <v/>
      </c>
      <c r="B2203" s="0" t="str">
        <f aca="false">IF('הדבקת לידים'!B2203="","",IF(ISNUMBER('הדבקת לידים'!B2203),IF(הגדרות!$E$3&gt;0,TEXT('הדבקת לידים'!B2203,REPT("0",הגדרות!$E$3)),TEXT('הדבקת לידים'!B2203,"0")),TRIM('הדבקת לידים'!B2203)))</f>
        <v/>
      </c>
      <c r="C2203" s="0" t="n">
        <f aca="false">IF(OR(A2203&lt;&gt;"",B2203&lt;&gt;""),1,0)</f>
        <v>0</v>
      </c>
      <c r="D2203" s="0" t="str">
        <f aca="false">IF(C2203=1,MOD(ABS(SIN(ROW()*12.9898+'הדבקת לידים'!$F$2*78.233+IFERROR(--RIGHT(A2203,6),LEN(A2203))*0.0137+IFERROR(--RIGHT(B2203,6),LEN(B2203))*0.0071))*43758.5453,1),"")</f>
        <v/>
      </c>
      <c r="E2203" s="0" t="str">
        <f aca="false">IF(C2203=1,INT(MOD(ABS(SIN(D2203*7919.123+ROW()*0.618+'הדבקת לידים'!$F$2*1.3))*43758.5453,1)*1000000)*10000+ROW(),"")</f>
        <v/>
      </c>
      <c r="F2203" s="0" t="str">
        <f aca="false">IF(E2203="","",RANK(E2203,$E$2:$E$5001,1))</f>
        <v/>
      </c>
      <c r="G2203" s="0" t="n">
        <f aca="false">IF(A2203="",0,IF(SUMPRODUCT(--($A$2:$A$5001=A2203))&gt;1,1,0))</f>
        <v>0</v>
      </c>
      <c r="H2203" s="0" t="n">
        <f aca="false">ROW()-1</f>
        <v>2202</v>
      </c>
      <c r="I2203" s="0" t="str">
        <f aca="false">IF(OR(הגדרות!$E$6=0,H2203&gt;הגדרות!$E$5),"",IF(H2203-1&lt;הגדרות!$E$8*(הגדרות!$E$7+1),INT((H2203-1)/(הגדרות!$E$7+1)),הגדרות!$E$8+INT((H2203-1-הגדרות!$E$8*(הגדרות!$E$7+1))/הגדרות!$E$7)))</f>
        <v/>
      </c>
      <c r="J2203" s="0" t="str">
        <f aca="false">IF(I2203="","",IF(H2203-1&lt;הגדרות!$E$8*(הגדרות!$E$7+1),MOD(H2203-1,הגדרות!$E$7+1),MOD(H2203-1-הגדרות!$E$8*(הגדרות!$E$7+1),הגדרות!$E$7)))</f>
        <v/>
      </c>
      <c r="K2203" s="0" t="str">
        <f aca="false">IF(I2203="","",J2203*הגדרות!$E$6+I2203+1)</f>
        <v/>
      </c>
      <c r="L2203" s="0" t="str">
        <f aca="false">IF(K2203="","",MATCH(K2203,$F$2:$F$5001,0))</f>
        <v/>
      </c>
      <c r="M2203" s="0" t="str">
        <f aca="false">IF(I2203="","",INDEX(הגדרות!$A$2:$A$21,MOD(I2203+הגדרות!$E$9,הגדרות!$E$6)+1))</f>
        <v/>
      </c>
    </row>
    <row r="2204" customFormat="false" ht="15" hidden="false" customHeight="false" outlineLevel="0" collapsed="false">
      <c r="A2204" s="0" t="str">
        <f aca="false">IF('הדבקת לידים'!A2204="","",IF(ISNUMBER('הדבקת לידים'!A2204),IF(הגדרות!$E$2&gt;0,TEXT('הדבקת לידים'!A2204,REPT("0",הגדרות!$E$2)),TEXT('הדבקת לידים'!A2204,"0")),TRIM('הדבקת לידים'!A2204)))</f>
        <v/>
      </c>
      <c r="B2204" s="0" t="str">
        <f aca="false">IF('הדבקת לידים'!B2204="","",IF(ISNUMBER('הדבקת לידים'!B2204),IF(הגדרות!$E$3&gt;0,TEXT('הדבקת לידים'!B2204,REPT("0",הגדרות!$E$3)),TEXT('הדבקת לידים'!B2204,"0")),TRIM('הדבקת לידים'!B2204)))</f>
        <v/>
      </c>
      <c r="C2204" s="0" t="n">
        <f aca="false">IF(OR(A2204&lt;&gt;"",B2204&lt;&gt;""),1,0)</f>
        <v>0</v>
      </c>
      <c r="D2204" s="0" t="str">
        <f aca="false">IF(C2204=1,MOD(ABS(SIN(ROW()*12.9898+'הדבקת לידים'!$F$2*78.233+IFERROR(--RIGHT(A2204,6),LEN(A2204))*0.0137+IFERROR(--RIGHT(B2204,6),LEN(B2204))*0.0071))*43758.5453,1),"")</f>
        <v/>
      </c>
      <c r="E2204" s="0" t="str">
        <f aca="false">IF(C2204=1,INT(MOD(ABS(SIN(D2204*7919.123+ROW()*0.618+'הדבקת לידים'!$F$2*1.3))*43758.5453,1)*1000000)*10000+ROW(),"")</f>
        <v/>
      </c>
      <c r="F2204" s="0" t="str">
        <f aca="false">IF(E2204="","",RANK(E2204,$E$2:$E$5001,1))</f>
        <v/>
      </c>
      <c r="G2204" s="0" t="n">
        <f aca="false">IF(A2204="",0,IF(SUMPRODUCT(--($A$2:$A$5001=A2204))&gt;1,1,0))</f>
        <v>0</v>
      </c>
      <c r="H2204" s="0" t="n">
        <f aca="false">ROW()-1</f>
        <v>2203</v>
      </c>
      <c r="I2204" s="0" t="str">
        <f aca="false">IF(OR(הגדרות!$E$6=0,H2204&gt;הגדרות!$E$5),"",IF(H2204-1&lt;הגדרות!$E$8*(הגדרות!$E$7+1),INT((H2204-1)/(הגדרות!$E$7+1)),הגדרות!$E$8+INT((H2204-1-הגדרות!$E$8*(הגדרות!$E$7+1))/הגדרות!$E$7)))</f>
        <v/>
      </c>
      <c r="J2204" s="0" t="str">
        <f aca="false">IF(I2204="","",IF(H2204-1&lt;הגדרות!$E$8*(הגדרות!$E$7+1),MOD(H2204-1,הגדרות!$E$7+1),MOD(H2204-1-הגדרות!$E$8*(הגדרות!$E$7+1),הגדרות!$E$7)))</f>
        <v/>
      </c>
      <c r="K2204" s="0" t="str">
        <f aca="false">IF(I2204="","",J2204*הגדרות!$E$6+I2204+1)</f>
        <v/>
      </c>
      <c r="L2204" s="0" t="str">
        <f aca="false">IF(K2204="","",MATCH(K2204,$F$2:$F$5001,0))</f>
        <v/>
      </c>
      <c r="M2204" s="0" t="str">
        <f aca="false">IF(I2204="","",INDEX(הגדרות!$A$2:$A$21,MOD(I2204+הגדרות!$E$9,הגדרות!$E$6)+1))</f>
        <v/>
      </c>
    </row>
    <row r="2205" customFormat="false" ht="15" hidden="false" customHeight="false" outlineLevel="0" collapsed="false">
      <c r="A2205" s="0" t="str">
        <f aca="false">IF('הדבקת לידים'!A2205="","",IF(ISNUMBER('הדבקת לידים'!A2205),IF(הגדרות!$E$2&gt;0,TEXT('הדבקת לידים'!A2205,REPT("0",הגדרות!$E$2)),TEXT('הדבקת לידים'!A2205,"0")),TRIM('הדבקת לידים'!A2205)))</f>
        <v/>
      </c>
      <c r="B2205" s="0" t="str">
        <f aca="false">IF('הדבקת לידים'!B2205="","",IF(ISNUMBER('הדבקת לידים'!B2205),IF(הגדרות!$E$3&gt;0,TEXT('הדבקת לידים'!B2205,REPT("0",הגדרות!$E$3)),TEXT('הדבקת לידים'!B2205,"0")),TRIM('הדבקת לידים'!B2205)))</f>
        <v/>
      </c>
      <c r="C2205" s="0" t="n">
        <f aca="false">IF(OR(A2205&lt;&gt;"",B2205&lt;&gt;""),1,0)</f>
        <v>0</v>
      </c>
      <c r="D2205" s="0" t="str">
        <f aca="false">IF(C2205=1,MOD(ABS(SIN(ROW()*12.9898+'הדבקת לידים'!$F$2*78.233+IFERROR(--RIGHT(A2205,6),LEN(A2205))*0.0137+IFERROR(--RIGHT(B2205,6),LEN(B2205))*0.0071))*43758.5453,1),"")</f>
        <v/>
      </c>
      <c r="E2205" s="0" t="str">
        <f aca="false">IF(C2205=1,INT(MOD(ABS(SIN(D2205*7919.123+ROW()*0.618+'הדבקת לידים'!$F$2*1.3))*43758.5453,1)*1000000)*10000+ROW(),"")</f>
        <v/>
      </c>
      <c r="F2205" s="0" t="str">
        <f aca="false">IF(E2205="","",RANK(E2205,$E$2:$E$5001,1))</f>
        <v/>
      </c>
      <c r="G2205" s="0" t="n">
        <f aca="false">IF(A2205="",0,IF(SUMPRODUCT(--($A$2:$A$5001=A2205))&gt;1,1,0))</f>
        <v>0</v>
      </c>
      <c r="H2205" s="0" t="n">
        <f aca="false">ROW()-1</f>
        <v>2204</v>
      </c>
      <c r="I2205" s="0" t="str">
        <f aca="false">IF(OR(הגדרות!$E$6=0,H2205&gt;הגדרות!$E$5),"",IF(H2205-1&lt;הגדרות!$E$8*(הגדרות!$E$7+1),INT((H2205-1)/(הגדרות!$E$7+1)),הגדרות!$E$8+INT((H2205-1-הגדרות!$E$8*(הגדרות!$E$7+1))/הגדרות!$E$7)))</f>
        <v/>
      </c>
      <c r="J2205" s="0" t="str">
        <f aca="false">IF(I2205="","",IF(H2205-1&lt;הגדרות!$E$8*(הגדרות!$E$7+1),MOD(H2205-1,הגדרות!$E$7+1),MOD(H2205-1-הגדרות!$E$8*(הגדרות!$E$7+1),הגדרות!$E$7)))</f>
        <v/>
      </c>
      <c r="K2205" s="0" t="str">
        <f aca="false">IF(I2205="","",J2205*הגדרות!$E$6+I2205+1)</f>
        <v/>
      </c>
      <c r="L2205" s="0" t="str">
        <f aca="false">IF(K2205="","",MATCH(K2205,$F$2:$F$5001,0))</f>
        <v/>
      </c>
      <c r="M2205" s="0" t="str">
        <f aca="false">IF(I2205="","",INDEX(הגדרות!$A$2:$A$21,MOD(I2205+הגדרות!$E$9,הגדרות!$E$6)+1))</f>
        <v/>
      </c>
    </row>
    <row r="2206" customFormat="false" ht="15" hidden="false" customHeight="false" outlineLevel="0" collapsed="false">
      <c r="A2206" s="0" t="str">
        <f aca="false">IF('הדבקת לידים'!A2206="","",IF(ISNUMBER('הדבקת לידים'!A2206),IF(הגדרות!$E$2&gt;0,TEXT('הדבקת לידים'!A2206,REPT("0",הגדרות!$E$2)),TEXT('הדבקת לידים'!A2206,"0")),TRIM('הדבקת לידים'!A2206)))</f>
        <v/>
      </c>
      <c r="B2206" s="0" t="str">
        <f aca="false">IF('הדבקת לידים'!B2206="","",IF(ISNUMBER('הדבקת לידים'!B2206),IF(הגדרות!$E$3&gt;0,TEXT('הדבקת לידים'!B2206,REPT("0",הגדרות!$E$3)),TEXT('הדבקת לידים'!B2206,"0")),TRIM('הדבקת לידים'!B2206)))</f>
        <v/>
      </c>
      <c r="C2206" s="0" t="n">
        <f aca="false">IF(OR(A2206&lt;&gt;"",B2206&lt;&gt;""),1,0)</f>
        <v>0</v>
      </c>
      <c r="D2206" s="0" t="str">
        <f aca="false">IF(C2206=1,MOD(ABS(SIN(ROW()*12.9898+'הדבקת לידים'!$F$2*78.233+IFERROR(--RIGHT(A2206,6),LEN(A2206))*0.0137+IFERROR(--RIGHT(B2206,6),LEN(B2206))*0.0071))*43758.5453,1),"")</f>
        <v/>
      </c>
      <c r="E2206" s="0" t="str">
        <f aca="false">IF(C2206=1,INT(MOD(ABS(SIN(D2206*7919.123+ROW()*0.618+'הדבקת לידים'!$F$2*1.3))*43758.5453,1)*1000000)*10000+ROW(),"")</f>
        <v/>
      </c>
      <c r="F2206" s="0" t="str">
        <f aca="false">IF(E2206="","",RANK(E2206,$E$2:$E$5001,1))</f>
        <v/>
      </c>
      <c r="G2206" s="0" t="n">
        <f aca="false">IF(A2206="",0,IF(SUMPRODUCT(--($A$2:$A$5001=A2206))&gt;1,1,0))</f>
        <v>0</v>
      </c>
      <c r="H2206" s="0" t="n">
        <f aca="false">ROW()-1</f>
        <v>2205</v>
      </c>
      <c r="I2206" s="0" t="str">
        <f aca="false">IF(OR(הגדרות!$E$6=0,H2206&gt;הגדרות!$E$5),"",IF(H2206-1&lt;הגדרות!$E$8*(הגדרות!$E$7+1),INT((H2206-1)/(הגדרות!$E$7+1)),הגדרות!$E$8+INT((H2206-1-הגדרות!$E$8*(הגדרות!$E$7+1))/הגדרות!$E$7)))</f>
        <v/>
      </c>
      <c r="J2206" s="0" t="str">
        <f aca="false">IF(I2206="","",IF(H2206-1&lt;הגדרות!$E$8*(הגדרות!$E$7+1),MOD(H2206-1,הגדרות!$E$7+1),MOD(H2206-1-הגדרות!$E$8*(הגדרות!$E$7+1),הגדרות!$E$7)))</f>
        <v/>
      </c>
      <c r="K2206" s="0" t="str">
        <f aca="false">IF(I2206="","",J2206*הגדרות!$E$6+I2206+1)</f>
        <v/>
      </c>
      <c r="L2206" s="0" t="str">
        <f aca="false">IF(K2206="","",MATCH(K2206,$F$2:$F$5001,0))</f>
        <v/>
      </c>
      <c r="M2206" s="0" t="str">
        <f aca="false">IF(I2206="","",INDEX(הגדרות!$A$2:$A$21,MOD(I2206+הגדרות!$E$9,הגדרות!$E$6)+1))</f>
        <v/>
      </c>
    </row>
    <row r="2207" customFormat="false" ht="15" hidden="false" customHeight="false" outlineLevel="0" collapsed="false">
      <c r="A2207" s="0" t="str">
        <f aca="false">IF('הדבקת לידים'!A2207="","",IF(ISNUMBER('הדבקת לידים'!A2207),IF(הגדרות!$E$2&gt;0,TEXT('הדבקת לידים'!A2207,REPT("0",הגדרות!$E$2)),TEXT('הדבקת לידים'!A2207,"0")),TRIM('הדבקת לידים'!A2207)))</f>
        <v/>
      </c>
      <c r="B2207" s="0" t="str">
        <f aca="false">IF('הדבקת לידים'!B2207="","",IF(ISNUMBER('הדבקת לידים'!B2207),IF(הגדרות!$E$3&gt;0,TEXT('הדבקת לידים'!B2207,REPT("0",הגדרות!$E$3)),TEXT('הדבקת לידים'!B2207,"0")),TRIM('הדבקת לידים'!B2207)))</f>
        <v/>
      </c>
      <c r="C2207" s="0" t="n">
        <f aca="false">IF(OR(A2207&lt;&gt;"",B2207&lt;&gt;""),1,0)</f>
        <v>0</v>
      </c>
      <c r="D2207" s="0" t="str">
        <f aca="false">IF(C2207=1,MOD(ABS(SIN(ROW()*12.9898+'הדבקת לידים'!$F$2*78.233+IFERROR(--RIGHT(A2207,6),LEN(A2207))*0.0137+IFERROR(--RIGHT(B2207,6),LEN(B2207))*0.0071))*43758.5453,1),"")</f>
        <v/>
      </c>
      <c r="E2207" s="0" t="str">
        <f aca="false">IF(C2207=1,INT(MOD(ABS(SIN(D2207*7919.123+ROW()*0.618+'הדבקת לידים'!$F$2*1.3))*43758.5453,1)*1000000)*10000+ROW(),"")</f>
        <v/>
      </c>
      <c r="F2207" s="0" t="str">
        <f aca="false">IF(E2207="","",RANK(E2207,$E$2:$E$5001,1))</f>
        <v/>
      </c>
      <c r="G2207" s="0" t="n">
        <f aca="false">IF(A2207="",0,IF(SUMPRODUCT(--($A$2:$A$5001=A2207))&gt;1,1,0))</f>
        <v>0</v>
      </c>
      <c r="H2207" s="0" t="n">
        <f aca="false">ROW()-1</f>
        <v>2206</v>
      </c>
      <c r="I2207" s="0" t="str">
        <f aca="false">IF(OR(הגדרות!$E$6=0,H2207&gt;הגדרות!$E$5),"",IF(H2207-1&lt;הגדרות!$E$8*(הגדרות!$E$7+1),INT((H2207-1)/(הגדרות!$E$7+1)),הגדרות!$E$8+INT((H2207-1-הגדרות!$E$8*(הגדרות!$E$7+1))/הגדרות!$E$7)))</f>
        <v/>
      </c>
      <c r="J2207" s="0" t="str">
        <f aca="false">IF(I2207="","",IF(H2207-1&lt;הגדרות!$E$8*(הגדרות!$E$7+1),MOD(H2207-1,הגדרות!$E$7+1),MOD(H2207-1-הגדרות!$E$8*(הגדרות!$E$7+1),הגדרות!$E$7)))</f>
        <v/>
      </c>
      <c r="K2207" s="0" t="str">
        <f aca="false">IF(I2207="","",J2207*הגדרות!$E$6+I2207+1)</f>
        <v/>
      </c>
      <c r="L2207" s="0" t="str">
        <f aca="false">IF(K2207="","",MATCH(K2207,$F$2:$F$5001,0))</f>
        <v/>
      </c>
      <c r="M2207" s="0" t="str">
        <f aca="false">IF(I2207="","",INDEX(הגדרות!$A$2:$A$21,MOD(I2207+הגדרות!$E$9,הגדרות!$E$6)+1))</f>
        <v/>
      </c>
    </row>
    <row r="2208" customFormat="false" ht="15" hidden="false" customHeight="false" outlineLevel="0" collapsed="false">
      <c r="A2208" s="0" t="str">
        <f aca="false">IF('הדבקת לידים'!A2208="","",IF(ISNUMBER('הדבקת לידים'!A2208),IF(הגדרות!$E$2&gt;0,TEXT('הדבקת לידים'!A2208,REPT("0",הגדרות!$E$2)),TEXT('הדבקת לידים'!A2208,"0")),TRIM('הדבקת לידים'!A2208)))</f>
        <v/>
      </c>
      <c r="B2208" s="0" t="str">
        <f aca="false">IF('הדבקת לידים'!B2208="","",IF(ISNUMBER('הדבקת לידים'!B2208),IF(הגדרות!$E$3&gt;0,TEXT('הדבקת לידים'!B2208,REPT("0",הגדרות!$E$3)),TEXT('הדבקת לידים'!B2208,"0")),TRIM('הדבקת לידים'!B2208)))</f>
        <v/>
      </c>
      <c r="C2208" s="0" t="n">
        <f aca="false">IF(OR(A2208&lt;&gt;"",B2208&lt;&gt;""),1,0)</f>
        <v>0</v>
      </c>
      <c r="D2208" s="0" t="str">
        <f aca="false">IF(C2208=1,MOD(ABS(SIN(ROW()*12.9898+'הדבקת לידים'!$F$2*78.233+IFERROR(--RIGHT(A2208,6),LEN(A2208))*0.0137+IFERROR(--RIGHT(B2208,6),LEN(B2208))*0.0071))*43758.5453,1),"")</f>
        <v/>
      </c>
      <c r="E2208" s="0" t="str">
        <f aca="false">IF(C2208=1,INT(MOD(ABS(SIN(D2208*7919.123+ROW()*0.618+'הדבקת לידים'!$F$2*1.3))*43758.5453,1)*1000000)*10000+ROW(),"")</f>
        <v/>
      </c>
      <c r="F2208" s="0" t="str">
        <f aca="false">IF(E2208="","",RANK(E2208,$E$2:$E$5001,1))</f>
        <v/>
      </c>
      <c r="G2208" s="0" t="n">
        <f aca="false">IF(A2208="",0,IF(SUMPRODUCT(--($A$2:$A$5001=A2208))&gt;1,1,0))</f>
        <v>0</v>
      </c>
      <c r="H2208" s="0" t="n">
        <f aca="false">ROW()-1</f>
        <v>2207</v>
      </c>
      <c r="I2208" s="0" t="str">
        <f aca="false">IF(OR(הגדרות!$E$6=0,H2208&gt;הגדרות!$E$5),"",IF(H2208-1&lt;הגדרות!$E$8*(הגדרות!$E$7+1),INT((H2208-1)/(הגדרות!$E$7+1)),הגדרות!$E$8+INT((H2208-1-הגדרות!$E$8*(הגדרות!$E$7+1))/הגדרות!$E$7)))</f>
        <v/>
      </c>
      <c r="J2208" s="0" t="str">
        <f aca="false">IF(I2208="","",IF(H2208-1&lt;הגדרות!$E$8*(הגדרות!$E$7+1),MOD(H2208-1,הגדרות!$E$7+1),MOD(H2208-1-הגדרות!$E$8*(הגדרות!$E$7+1),הגדרות!$E$7)))</f>
        <v/>
      </c>
      <c r="K2208" s="0" t="str">
        <f aca="false">IF(I2208="","",J2208*הגדרות!$E$6+I2208+1)</f>
        <v/>
      </c>
      <c r="L2208" s="0" t="str">
        <f aca="false">IF(K2208="","",MATCH(K2208,$F$2:$F$5001,0))</f>
        <v/>
      </c>
      <c r="M2208" s="0" t="str">
        <f aca="false">IF(I2208="","",INDEX(הגדרות!$A$2:$A$21,MOD(I2208+הגדרות!$E$9,הגדרות!$E$6)+1))</f>
        <v/>
      </c>
    </row>
    <row r="2209" customFormat="false" ht="15" hidden="false" customHeight="false" outlineLevel="0" collapsed="false">
      <c r="A2209" s="0" t="str">
        <f aca="false">IF('הדבקת לידים'!A2209="","",IF(ISNUMBER('הדבקת לידים'!A2209),IF(הגדרות!$E$2&gt;0,TEXT('הדבקת לידים'!A2209,REPT("0",הגדרות!$E$2)),TEXT('הדבקת לידים'!A2209,"0")),TRIM('הדבקת לידים'!A2209)))</f>
        <v/>
      </c>
      <c r="B2209" s="0" t="str">
        <f aca="false">IF('הדבקת לידים'!B2209="","",IF(ISNUMBER('הדבקת לידים'!B2209),IF(הגדרות!$E$3&gt;0,TEXT('הדבקת לידים'!B2209,REPT("0",הגדרות!$E$3)),TEXT('הדבקת לידים'!B2209,"0")),TRIM('הדבקת לידים'!B2209)))</f>
        <v/>
      </c>
      <c r="C2209" s="0" t="n">
        <f aca="false">IF(OR(A2209&lt;&gt;"",B2209&lt;&gt;""),1,0)</f>
        <v>0</v>
      </c>
      <c r="D2209" s="0" t="str">
        <f aca="false">IF(C2209=1,MOD(ABS(SIN(ROW()*12.9898+'הדבקת לידים'!$F$2*78.233+IFERROR(--RIGHT(A2209,6),LEN(A2209))*0.0137+IFERROR(--RIGHT(B2209,6),LEN(B2209))*0.0071))*43758.5453,1),"")</f>
        <v/>
      </c>
      <c r="E2209" s="0" t="str">
        <f aca="false">IF(C2209=1,INT(MOD(ABS(SIN(D2209*7919.123+ROW()*0.618+'הדבקת לידים'!$F$2*1.3))*43758.5453,1)*1000000)*10000+ROW(),"")</f>
        <v/>
      </c>
      <c r="F2209" s="0" t="str">
        <f aca="false">IF(E2209="","",RANK(E2209,$E$2:$E$5001,1))</f>
        <v/>
      </c>
      <c r="G2209" s="0" t="n">
        <f aca="false">IF(A2209="",0,IF(SUMPRODUCT(--($A$2:$A$5001=A2209))&gt;1,1,0))</f>
        <v>0</v>
      </c>
      <c r="H2209" s="0" t="n">
        <f aca="false">ROW()-1</f>
        <v>2208</v>
      </c>
      <c r="I2209" s="0" t="str">
        <f aca="false">IF(OR(הגדרות!$E$6=0,H2209&gt;הגדרות!$E$5),"",IF(H2209-1&lt;הגדרות!$E$8*(הגדרות!$E$7+1),INT((H2209-1)/(הגדרות!$E$7+1)),הגדרות!$E$8+INT((H2209-1-הגדרות!$E$8*(הגדרות!$E$7+1))/הגדרות!$E$7)))</f>
        <v/>
      </c>
      <c r="J2209" s="0" t="str">
        <f aca="false">IF(I2209="","",IF(H2209-1&lt;הגדרות!$E$8*(הגדרות!$E$7+1),MOD(H2209-1,הגדרות!$E$7+1),MOD(H2209-1-הגדרות!$E$8*(הגדרות!$E$7+1),הגדרות!$E$7)))</f>
        <v/>
      </c>
      <c r="K2209" s="0" t="str">
        <f aca="false">IF(I2209="","",J2209*הגדרות!$E$6+I2209+1)</f>
        <v/>
      </c>
      <c r="L2209" s="0" t="str">
        <f aca="false">IF(K2209="","",MATCH(K2209,$F$2:$F$5001,0))</f>
        <v/>
      </c>
      <c r="M2209" s="0" t="str">
        <f aca="false">IF(I2209="","",INDEX(הגדרות!$A$2:$A$21,MOD(I2209+הגדרות!$E$9,הגדרות!$E$6)+1))</f>
        <v/>
      </c>
    </row>
    <row r="2210" customFormat="false" ht="15" hidden="false" customHeight="false" outlineLevel="0" collapsed="false">
      <c r="A2210" s="0" t="str">
        <f aca="false">IF('הדבקת לידים'!A2210="","",IF(ISNUMBER('הדבקת לידים'!A2210),IF(הגדרות!$E$2&gt;0,TEXT('הדבקת לידים'!A2210,REPT("0",הגדרות!$E$2)),TEXT('הדבקת לידים'!A2210,"0")),TRIM('הדבקת לידים'!A2210)))</f>
        <v/>
      </c>
      <c r="B2210" s="0" t="str">
        <f aca="false">IF('הדבקת לידים'!B2210="","",IF(ISNUMBER('הדבקת לידים'!B2210),IF(הגדרות!$E$3&gt;0,TEXT('הדבקת לידים'!B2210,REPT("0",הגדרות!$E$3)),TEXT('הדבקת לידים'!B2210,"0")),TRIM('הדבקת לידים'!B2210)))</f>
        <v/>
      </c>
      <c r="C2210" s="0" t="n">
        <f aca="false">IF(OR(A2210&lt;&gt;"",B2210&lt;&gt;""),1,0)</f>
        <v>0</v>
      </c>
      <c r="D2210" s="0" t="str">
        <f aca="false">IF(C2210=1,MOD(ABS(SIN(ROW()*12.9898+'הדבקת לידים'!$F$2*78.233+IFERROR(--RIGHT(A2210,6),LEN(A2210))*0.0137+IFERROR(--RIGHT(B2210,6),LEN(B2210))*0.0071))*43758.5453,1),"")</f>
        <v/>
      </c>
      <c r="E2210" s="0" t="str">
        <f aca="false">IF(C2210=1,INT(MOD(ABS(SIN(D2210*7919.123+ROW()*0.618+'הדבקת לידים'!$F$2*1.3))*43758.5453,1)*1000000)*10000+ROW(),"")</f>
        <v/>
      </c>
      <c r="F2210" s="0" t="str">
        <f aca="false">IF(E2210="","",RANK(E2210,$E$2:$E$5001,1))</f>
        <v/>
      </c>
      <c r="G2210" s="0" t="n">
        <f aca="false">IF(A2210="",0,IF(SUMPRODUCT(--($A$2:$A$5001=A2210))&gt;1,1,0))</f>
        <v>0</v>
      </c>
      <c r="H2210" s="0" t="n">
        <f aca="false">ROW()-1</f>
        <v>2209</v>
      </c>
      <c r="I2210" s="0" t="str">
        <f aca="false">IF(OR(הגדרות!$E$6=0,H2210&gt;הגדרות!$E$5),"",IF(H2210-1&lt;הגדרות!$E$8*(הגדרות!$E$7+1),INT((H2210-1)/(הגדרות!$E$7+1)),הגדרות!$E$8+INT((H2210-1-הגדרות!$E$8*(הגדרות!$E$7+1))/הגדרות!$E$7)))</f>
        <v/>
      </c>
      <c r="J2210" s="0" t="str">
        <f aca="false">IF(I2210="","",IF(H2210-1&lt;הגדרות!$E$8*(הגדרות!$E$7+1),MOD(H2210-1,הגדרות!$E$7+1),MOD(H2210-1-הגדרות!$E$8*(הגדרות!$E$7+1),הגדרות!$E$7)))</f>
        <v/>
      </c>
      <c r="K2210" s="0" t="str">
        <f aca="false">IF(I2210="","",J2210*הגדרות!$E$6+I2210+1)</f>
        <v/>
      </c>
      <c r="L2210" s="0" t="str">
        <f aca="false">IF(K2210="","",MATCH(K2210,$F$2:$F$5001,0))</f>
        <v/>
      </c>
      <c r="M2210" s="0" t="str">
        <f aca="false">IF(I2210="","",INDEX(הגדרות!$A$2:$A$21,MOD(I2210+הגדרות!$E$9,הגדרות!$E$6)+1))</f>
        <v/>
      </c>
    </row>
    <row r="2211" customFormat="false" ht="15" hidden="false" customHeight="false" outlineLevel="0" collapsed="false">
      <c r="A2211" s="0" t="str">
        <f aca="false">IF('הדבקת לידים'!A2211="","",IF(ISNUMBER('הדבקת לידים'!A2211),IF(הגדרות!$E$2&gt;0,TEXT('הדבקת לידים'!A2211,REPT("0",הגדרות!$E$2)),TEXT('הדבקת לידים'!A2211,"0")),TRIM('הדבקת לידים'!A2211)))</f>
        <v/>
      </c>
      <c r="B2211" s="0" t="str">
        <f aca="false">IF('הדבקת לידים'!B2211="","",IF(ISNUMBER('הדבקת לידים'!B2211),IF(הגדרות!$E$3&gt;0,TEXT('הדבקת לידים'!B2211,REPT("0",הגדרות!$E$3)),TEXT('הדבקת לידים'!B2211,"0")),TRIM('הדבקת לידים'!B2211)))</f>
        <v/>
      </c>
      <c r="C2211" s="0" t="n">
        <f aca="false">IF(OR(A2211&lt;&gt;"",B2211&lt;&gt;""),1,0)</f>
        <v>0</v>
      </c>
      <c r="D2211" s="0" t="str">
        <f aca="false">IF(C2211=1,MOD(ABS(SIN(ROW()*12.9898+'הדבקת לידים'!$F$2*78.233+IFERROR(--RIGHT(A2211,6),LEN(A2211))*0.0137+IFERROR(--RIGHT(B2211,6),LEN(B2211))*0.0071))*43758.5453,1),"")</f>
        <v/>
      </c>
      <c r="E2211" s="0" t="str">
        <f aca="false">IF(C2211=1,INT(MOD(ABS(SIN(D2211*7919.123+ROW()*0.618+'הדבקת לידים'!$F$2*1.3))*43758.5453,1)*1000000)*10000+ROW(),"")</f>
        <v/>
      </c>
      <c r="F2211" s="0" t="str">
        <f aca="false">IF(E2211="","",RANK(E2211,$E$2:$E$5001,1))</f>
        <v/>
      </c>
      <c r="G2211" s="0" t="n">
        <f aca="false">IF(A2211="",0,IF(SUMPRODUCT(--($A$2:$A$5001=A2211))&gt;1,1,0))</f>
        <v>0</v>
      </c>
      <c r="H2211" s="0" t="n">
        <f aca="false">ROW()-1</f>
        <v>2210</v>
      </c>
      <c r="I2211" s="0" t="str">
        <f aca="false">IF(OR(הגדרות!$E$6=0,H2211&gt;הגדרות!$E$5),"",IF(H2211-1&lt;הגדרות!$E$8*(הגדרות!$E$7+1),INT((H2211-1)/(הגדרות!$E$7+1)),הגדרות!$E$8+INT((H2211-1-הגדרות!$E$8*(הגדרות!$E$7+1))/הגדרות!$E$7)))</f>
        <v/>
      </c>
      <c r="J2211" s="0" t="str">
        <f aca="false">IF(I2211="","",IF(H2211-1&lt;הגדרות!$E$8*(הגדרות!$E$7+1),MOD(H2211-1,הגדרות!$E$7+1),MOD(H2211-1-הגדרות!$E$8*(הגדרות!$E$7+1),הגדרות!$E$7)))</f>
        <v/>
      </c>
      <c r="K2211" s="0" t="str">
        <f aca="false">IF(I2211="","",J2211*הגדרות!$E$6+I2211+1)</f>
        <v/>
      </c>
      <c r="L2211" s="0" t="str">
        <f aca="false">IF(K2211="","",MATCH(K2211,$F$2:$F$5001,0))</f>
        <v/>
      </c>
      <c r="M2211" s="0" t="str">
        <f aca="false">IF(I2211="","",INDEX(הגדרות!$A$2:$A$21,MOD(I2211+הגדרות!$E$9,הגדרות!$E$6)+1))</f>
        <v/>
      </c>
    </row>
    <row r="2212" customFormat="false" ht="15" hidden="false" customHeight="false" outlineLevel="0" collapsed="false">
      <c r="A2212" s="0" t="str">
        <f aca="false">IF('הדבקת לידים'!A2212="","",IF(ISNUMBER('הדבקת לידים'!A2212),IF(הגדרות!$E$2&gt;0,TEXT('הדבקת לידים'!A2212,REPT("0",הגדרות!$E$2)),TEXT('הדבקת לידים'!A2212,"0")),TRIM('הדבקת לידים'!A2212)))</f>
        <v/>
      </c>
      <c r="B2212" s="0" t="str">
        <f aca="false">IF('הדבקת לידים'!B2212="","",IF(ISNUMBER('הדבקת לידים'!B2212),IF(הגדרות!$E$3&gt;0,TEXT('הדבקת לידים'!B2212,REPT("0",הגדרות!$E$3)),TEXT('הדבקת לידים'!B2212,"0")),TRIM('הדבקת לידים'!B2212)))</f>
        <v/>
      </c>
      <c r="C2212" s="0" t="n">
        <f aca="false">IF(OR(A2212&lt;&gt;"",B2212&lt;&gt;""),1,0)</f>
        <v>0</v>
      </c>
      <c r="D2212" s="0" t="str">
        <f aca="false">IF(C2212=1,MOD(ABS(SIN(ROW()*12.9898+'הדבקת לידים'!$F$2*78.233+IFERROR(--RIGHT(A2212,6),LEN(A2212))*0.0137+IFERROR(--RIGHT(B2212,6),LEN(B2212))*0.0071))*43758.5453,1),"")</f>
        <v/>
      </c>
      <c r="E2212" s="0" t="str">
        <f aca="false">IF(C2212=1,INT(MOD(ABS(SIN(D2212*7919.123+ROW()*0.618+'הדבקת לידים'!$F$2*1.3))*43758.5453,1)*1000000)*10000+ROW(),"")</f>
        <v/>
      </c>
      <c r="F2212" s="0" t="str">
        <f aca="false">IF(E2212="","",RANK(E2212,$E$2:$E$5001,1))</f>
        <v/>
      </c>
      <c r="G2212" s="0" t="n">
        <f aca="false">IF(A2212="",0,IF(SUMPRODUCT(--($A$2:$A$5001=A2212))&gt;1,1,0))</f>
        <v>0</v>
      </c>
      <c r="H2212" s="0" t="n">
        <f aca="false">ROW()-1</f>
        <v>2211</v>
      </c>
      <c r="I2212" s="0" t="str">
        <f aca="false">IF(OR(הגדרות!$E$6=0,H2212&gt;הגדרות!$E$5),"",IF(H2212-1&lt;הגדרות!$E$8*(הגדרות!$E$7+1),INT((H2212-1)/(הגדרות!$E$7+1)),הגדרות!$E$8+INT((H2212-1-הגדרות!$E$8*(הגדרות!$E$7+1))/הגדרות!$E$7)))</f>
        <v/>
      </c>
      <c r="J2212" s="0" t="str">
        <f aca="false">IF(I2212="","",IF(H2212-1&lt;הגדרות!$E$8*(הגדרות!$E$7+1),MOD(H2212-1,הגדרות!$E$7+1),MOD(H2212-1-הגדרות!$E$8*(הגדרות!$E$7+1),הגדרות!$E$7)))</f>
        <v/>
      </c>
      <c r="K2212" s="0" t="str">
        <f aca="false">IF(I2212="","",J2212*הגדרות!$E$6+I2212+1)</f>
        <v/>
      </c>
      <c r="L2212" s="0" t="str">
        <f aca="false">IF(K2212="","",MATCH(K2212,$F$2:$F$5001,0))</f>
        <v/>
      </c>
      <c r="M2212" s="0" t="str">
        <f aca="false">IF(I2212="","",INDEX(הגדרות!$A$2:$A$21,MOD(I2212+הגדרות!$E$9,הגדרות!$E$6)+1))</f>
        <v/>
      </c>
    </row>
    <row r="2213" customFormat="false" ht="15" hidden="false" customHeight="false" outlineLevel="0" collapsed="false">
      <c r="A2213" s="0" t="str">
        <f aca="false">IF('הדבקת לידים'!A2213="","",IF(ISNUMBER('הדבקת לידים'!A2213),IF(הגדרות!$E$2&gt;0,TEXT('הדבקת לידים'!A2213,REPT("0",הגדרות!$E$2)),TEXT('הדבקת לידים'!A2213,"0")),TRIM('הדבקת לידים'!A2213)))</f>
        <v/>
      </c>
      <c r="B2213" s="0" t="str">
        <f aca="false">IF('הדבקת לידים'!B2213="","",IF(ISNUMBER('הדבקת לידים'!B2213),IF(הגדרות!$E$3&gt;0,TEXT('הדבקת לידים'!B2213,REPT("0",הגדרות!$E$3)),TEXT('הדבקת לידים'!B2213,"0")),TRIM('הדבקת לידים'!B2213)))</f>
        <v/>
      </c>
      <c r="C2213" s="0" t="n">
        <f aca="false">IF(OR(A2213&lt;&gt;"",B2213&lt;&gt;""),1,0)</f>
        <v>0</v>
      </c>
      <c r="D2213" s="0" t="str">
        <f aca="false">IF(C2213=1,MOD(ABS(SIN(ROW()*12.9898+'הדבקת לידים'!$F$2*78.233+IFERROR(--RIGHT(A2213,6),LEN(A2213))*0.0137+IFERROR(--RIGHT(B2213,6),LEN(B2213))*0.0071))*43758.5453,1),"")</f>
        <v/>
      </c>
      <c r="E2213" s="0" t="str">
        <f aca="false">IF(C2213=1,INT(MOD(ABS(SIN(D2213*7919.123+ROW()*0.618+'הדבקת לידים'!$F$2*1.3))*43758.5453,1)*1000000)*10000+ROW(),"")</f>
        <v/>
      </c>
      <c r="F2213" s="0" t="str">
        <f aca="false">IF(E2213="","",RANK(E2213,$E$2:$E$5001,1))</f>
        <v/>
      </c>
      <c r="G2213" s="0" t="n">
        <f aca="false">IF(A2213="",0,IF(SUMPRODUCT(--($A$2:$A$5001=A2213))&gt;1,1,0))</f>
        <v>0</v>
      </c>
      <c r="H2213" s="0" t="n">
        <f aca="false">ROW()-1</f>
        <v>2212</v>
      </c>
      <c r="I2213" s="0" t="str">
        <f aca="false">IF(OR(הגדרות!$E$6=0,H2213&gt;הגדרות!$E$5),"",IF(H2213-1&lt;הגדרות!$E$8*(הגדרות!$E$7+1),INT((H2213-1)/(הגדרות!$E$7+1)),הגדרות!$E$8+INT((H2213-1-הגדרות!$E$8*(הגדרות!$E$7+1))/הגדרות!$E$7)))</f>
        <v/>
      </c>
      <c r="J2213" s="0" t="str">
        <f aca="false">IF(I2213="","",IF(H2213-1&lt;הגדרות!$E$8*(הגדרות!$E$7+1),MOD(H2213-1,הגדרות!$E$7+1),MOD(H2213-1-הגדרות!$E$8*(הגדרות!$E$7+1),הגדרות!$E$7)))</f>
        <v/>
      </c>
      <c r="K2213" s="0" t="str">
        <f aca="false">IF(I2213="","",J2213*הגדרות!$E$6+I2213+1)</f>
        <v/>
      </c>
      <c r="L2213" s="0" t="str">
        <f aca="false">IF(K2213="","",MATCH(K2213,$F$2:$F$5001,0))</f>
        <v/>
      </c>
      <c r="M2213" s="0" t="str">
        <f aca="false">IF(I2213="","",INDEX(הגדרות!$A$2:$A$21,MOD(I2213+הגדרות!$E$9,הגדרות!$E$6)+1))</f>
        <v/>
      </c>
    </row>
    <row r="2214" customFormat="false" ht="15" hidden="false" customHeight="false" outlineLevel="0" collapsed="false">
      <c r="A2214" s="0" t="str">
        <f aca="false">IF('הדבקת לידים'!A2214="","",IF(ISNUMBER('הדבקת לידים'!A2214),IF(הגדרות!$E$2&gt;0,TEXT('הדבקת לידים'!A2214,REPT("0",הגדרות!$E$2)),TEXT('הדבקת לידים'!A2214,"0")),TRIM('הדבקת לידים'!A2214)))</f>
        <v/>
      </c>
      <c r="B2214" s="0" t="str">
        <f aca="false">IF('הדבקת לידים'!B2214="","",IF(ISNUMBER('הדבקת לידים'!B2214),IF(הגדרות!$E$3&gt;0,TEXT('הדבקת לידים'!B2214,REPT("0",הגדרות!$E$3)),TEXT('הדבקת לידים'!B2214,"0")),TRIM('הדבקת לידים'!B2214)))</f>
        <v/>
      </c>
      <c r="C2214" s="0" t="n">
        <f aca="false">IF(OR(A2214&lt;&gt;"",B2214&lt;&gt;""),1,0)</f>
        <v>0</v>
      </c>
      <c r="D2214" s="0" t="str">
        <f aca="false">IF(C2214=1,MOD(ABS(SIN(ROW()*12.9898+'הדבקת לידים'!$F$2*78.233+IFERROR(--RIGHT(A2214,6),LEN(A2214))*0.0137+IFERROR(--RIGHT(B2214,6),LEN(B2214))*0.0071))*43758.5453,1),"")</f>
        <v/>
      </c>
      <c r="E2214" s="0" t="str">
        <f aca="false">IF(C2214=1,INT(MOD(ABS(SIN(D2214*7919.123+ROW()*0.618+'הדבקת לידים'!$F$2*1.3))*43758.5453,1)*1000000)*10000+ROW(),"")</f>
        <v/>
      </c>
      <c r="F2214" s="0" t="str">
        <f aca="false">IF(E2214="","",RANK(E2214,$E$2:$E$5001,1))</f>
        <v/>
      </c>
      <c r="G2214" s="0" t="n">
        <f aca="false">IF(A2214="",0,IF(SUMPRODUCT(--($A$2:$A$5001=A2214))&gt;1,1,0))</f>
        <v>0</v>
      </c>
      <c r="H2214" s="0" t="n">
        <f aca="false">ROW()-1</f>
        <v>2213</v>
      </c>
      <c r="I2214" s="0" t="str">
        <f aca="false">IF(OR(הגדרות!$E$6=0,H2214&gt;הגדרות!$E$5),"",IF(H2214-1&lt;הגדרות!$E$8*(הגדרות!$E$7+1),INT((H2214-1)/(הגדרות!$E$7+1)),הגדרות!$E$8+INT((H2214-1-הגדרות!$E$8*(הגדרות!$E$7+1))/הגדרות!$E$7)))</f>
        <v/>
      </c>
      <c r="J2214" s="0" t="str">
        <f aca="false">IF(I2214="","",IF(H2214-1&lt;הגדרות!$E$8*(הגדרות!$E$7+1),MOD(H2214-1,הגדרות!$E$7+1),MOD(H2214-1-הגדרות!$E$8*(הגדרות!$E$7+1),הגדרות!$E$7)))</f>
        <v/>
      </c>
      <c r="K2214" s="0" t="str">
        <f aca="false">IF(I2214="","",J2214*הגדרות!$E$6+I2214+1)</f>
        <v/>
      </c>
      <c r="L2214" s="0" t="str">
        <f aca="false">IF(K2214="","",MATCH(K2214,$F$2:$F$5001,0))</f>
        <v/>
      </c>
      <c r="M2214" s="0" t="str">
        <f aca="false">IF(I2214="","",INDEX(הגדרות!$A$2:$A$21,MOD(I2214+הגדרות!$E$9,הגדרות!$E$6)+1))</f>
        <v/>
      </c>
    </row>
    <row r="2215" customFormat="false" ht="15" hidden="false" customHeight="false" outlineLevel="0" collapsed="false">
      <c r="A2215" s="0" t="str">
        <f aca="false">IF('הדבקת לידים'!A2215="","",IF(ISNUMBER('הדבקת לידים'!A2215),IF(הגדרות!$E$2&gt;0,TEXT('הדבקת לידים'!A2215,REPT("0",הגדרות!$E$2)),TEXT('הדבקת לידים'!A2215,"0")),TRIM('הדבקת לידים'!A2215)))</f>
        <v/>
      </c>
      <c r="B2215" s="0" t="str">
        <f aca="false">IF('הדבקת לידים'!B2215="","",IF(ISNUMBER('הדבקת לידים'!B2215),IF(הגדרות!$E$3&gt;0,TEXT('הדבקת לידים'!B2215,REPT("0",הגדרות!$E$3)),TEXT('הדבקת לידים'!B2215,"0")),TRIM('הדבקת לידים'!B2215)))</f>
        <v/>
      </c>
      <c r="C2215" s="0" t="n">
        <f aca="false">IF(OR(A2215&lt;&gt;"",B2215&lt;&gt;""),1,0)</f>
        <v>0</v>
      </c>
      <c r="D2215" s="0" t="str">
        <f aca="false">IF(C2215=1,MOD(ABS(SIN(ROW()*12.9898+'הדבקת לידים'!$F$2*78.233+IFERROR(--RIGHT(A2215,6),LEN(A2215))*0.0137+IFERROR(--RIGHT(B2215,6),LEN(B2215))*0.0071))*43758.5453,1),"")</f>
        <v/>
      </c>
      <c r="E2215" s="0" t="str">
        <f aca="false">IF(C2215=1,INT(MOD(ABS(SIN(D2215*7919.123+ROW()*0.618+'הדבקת לידים'!$F$2*1.3))*43758.5453,1)*1000000)*10000+ROW(),"")</f>
        <v/>
      </c>
      <c r="F2215" s="0" t="str">
        <f aca="false">IF(E2215="","",RANK(E2215,$E$2:$E$5001,1))</f>
        <v/>
      </c>
      <c r="G2215" s="0" t="n">
        <f aca="false">IF(A2215="",0,IF(SUMPRODUCT(--($A$2:$A$5001=A2215))&gt;1,1,0))</f>
        <v>0</v>
      </c>
      <c r="H2215" s="0" t="n">
        <f aca="false">ROW()-1</f>
        <v>2214</v>
      </c>
      <c r="I2215" s="0" t="str">
        <f aca="false">IF(OR(הגדרות!$E$6=0,H2215&gt;הגדרות!$E$5),"",IF(H2215-1&lt;הגדרות!$E$8*(הגדרות!$E$7+1),INT((H2215-1)/(הגדרות!$E$7+1)),הגדרות!$E$8+INT((H2215-1-הגדרות!$E$8*(הגדרות!$E$7+1))/הגדרות!$E$7)))</f>
        <v/>
      </c>
      <c r="J2215" s="0" t="str">
        <f aca="false">IF(I2215="","",IF(H2215-1&lt;הגדרות!$E$8*(הגדרות!$E$7+1),MOD(H2215-1,הגדרות!$E$7+1),MOD(H2215-1-הגדרות!$E$8*(הגדרות!$E$7+1),הגדרות!$E$7)))</f>
        <v/>
      </c>
      <c r="K2215" s="0" t="str">
        <f aca="false">IF(I2215="","",J2215*הגדרות!$E$6+I2215+1)</f>
        <v/>
      </c>
      <c r="L2215" s="0" t="str">
        <f aca="false">IF(K2215="","",MATCH(K2215,$F$2:$F$5001,0))</f>
        <v/>
      </c>
      <c r="M2215" s="0" t="str">
        <f aca="false">IF(I2215="","",INDEX(הגדרות!$A$2:$A$21,MOD(I2215+הגדרות!$E$9,הגדרות!$E$6)+1))</f>
        <v/>
      </c>
    </row>
    <row r="2216" customFormat="false" ht="15" hidden="false" customHeight="false" outlineLevel="0" collapsed="false">
      <c r="A2216" s="0" t="str">
        <f aca="false">IF('הדבקת לידים'!A2216="","",IF(ISNUMBER('הדבקת לידים'!A2216),IF(הגדרות!$E$2&gt;0,TEXT('הדבקת לידים'!A2216,REPT("0",הגדרות!$E$2)),TEXT('הדבקת לידים'!A2216,"0")),TRIM('הדבקת לידים'!A2216)))</f>
        <v/>
      </c>
      <c r="B2216" s="0" t="str">
        <f aca="false">IF('הדבקת לידים'!B2216="","",IF(ISNUMBER('הדבקת לידים'!B2216),IF(הגדרות!$E$3&gt;0,TEXT('הדבקת לידים'!B2216,REPT("0",הגדרות!$E$3)),TEXT('הדבקת לידים'!B2216,"0")),TRIM('הדבקת לידים'!B2216)))</f>
        <v/>
      </c>
      <c r="C2216" s="0" t="n">
        <f aca="false">IF(OR(A2216&lt;&gt;"",B2216&lt;&gt;""),1,0)</f>
        <v>0</v>
      </c>
      <c r="D2216" s="0" t="str">
        <f aca="false">IF(C2216=1,MOD(ABS(SIN(ROW()*12.9898+'הדבקת לידים'!$F$2*78.233+IFERROR(--RIGHT(A2216,6),LEN(A2216))*0.0137+IFERROR(--RIGHT(B2216,6),LEN(B2216))*0.0071))*43758.5453,1),"")</f>
        <v/>
      </c>
      <c r="E2216" s="0" t="str">
        <f aca="false">IF(C2216=1,INT(MOD(ABS(SIN(D2216*7919.123+ROW()*0.618+'הדבקת לידים'!$F$2*1.3))*43758.5453,1)*1000000)*10000+ROW(),"")</f>
        <v/>
      </c>
      <c r="F2216" s="0" t="str">
        <f aca="false">IF(E2216="","",RANK(E2216,$E$2:$E$5001,1))</f>
        <v/>
      </c>
      <c r="G2216" s="0" t="n">
        <f aca="false">IF(A2216="",0,IF(SUMPRODUCT(--($A$2:$A$5001=A2216))&gt;1,1,0))</f>
        <v>0</v>
      </c>
      <c r="H2216" s="0" t="n">
        <f aca="false">ROW()-1</f>
        <v>2215</v>
      </c>
      <c r="I2216" s="0" t="str">
        <f aca="false">IF(OR(הגדרות!$E$6=0,H2216&gt;הגדרות!$E$5),"",IF(H2216-1&lt;הגדרות!$E$8*(הגדרות!$E$7+1),INT((H2216-1)/(הגדרות!$E$7+1)),הגדרות!$E$8+INT((H2216-1-הגדרות!$E$8*(הגדרות!$E$7+1))/הגדרות!$E$7)))</f>
        <v/>
      </c>
      <c r="J2216" s="0" t="str">
        <f aca="false">IF(I2216="","",IF(H2216-1&lt;הגדרות!$E$8*(הגדרות!$E$7+1),MOD(H2216-1,הגדרות!$E$7+1),MOD(H2216-1-הגדרות!$E$8*(הגדרות!$E$7+1),הגדרות!$E$7)))</f>
        <v/>
      </c>
      <c r="K2216" s="0" t="str">
        <f aca="false">IF(I2216="","",J2216*הגדרות!$E$6+I2216+1)</f>
        <v/>
      </c>
      <c r="L2216" s="0" t="str">
        <f aca="false">IF(K2216="","",MATCH(K2216,$F$2:$F$5001,0))</f>
        <v/>
      </c>
      <c r="M2216" s="0" t="str">
        <f aca="false">IF(I2216="","",INDEX(הגדרות!$A$2:$A$21,MOD(I2216+הגדרות!$E$9,הגדרות!$E$6)+1))</f>
        <v/>
      </c>
    </row>
    <row r="2217" customFormat="false" ht="15" hidden="false" customHeight="false" outlineLevel="0" collapsed="false">
      <c r="A2217" s="0" t="str">
        <f aca="false">IF('הדבקת לידים'!A2217="","",IF(ISNUMBER('הדבקת לידים'!A2217),IF(הגדרות!$E$2&gt;0,TEXT('הדבקת לידים'!A2217,REPT("0",הגדרות!$E$2)),TEXT('הדבקת לידים'!A2217,"0")),TRIM('הדבקת לידים'!A2217)))</f>
        <v/>
      </c>
      <c r="B2217" s="0" t="str">
        <f aca="false">IF('הדבקת לידים'!B2217="","",IF(ISNUMBER('הדבקת לידים'!B2217),IF(הגדרות!$E$3&gt;0,TEXT('הדבקת לידים'!B2217,REPT("0",הגדרות!$E$3)),TEXT('הדבקת לידים'!B2217,"0")),TRIM('הדבקת לידים'!B2217)))</f>
        <v/>
      </c>
      <c r="C2217" s="0" t="n">
        <f aca="false">IF(OR(A2217&lt;&gt;"",B2217&lt;&gt;""),1,0)</f>
        <v>0</v>
      </c>
      <c r="D2217" s="0" t="str">
        <f aca="false">IF(C2217=1,MOD(ABS(SIN(ROW()*12.9898+'הדבקת לידים'!$F$2*78.233+IFERROR(--RIGHT(A2217,6),LEN(A2217))*0.0137+IFERROR(--RIGHT(B2217,6),LEN(B2217))*0.0071))*43758.5453,1),"")</f>
        <v/>
      </c>
      <c r="E2217" s="0" t="str">
        <f aca="false">IF(C2217=1,INT(MOD(ABS(SIN(D2217*7919.123+ROW()*0.618+'הדבקת לידים'!$F$2*1.3))*43758.5453,1)*1000000)*10000+ROW(),"")</f>
        <v/>
      </c>
      <c r="F2217" s="0" t="str">
        <f aca="false">IF(E2217="","",RANK(E2217,$E$2:$E$5001,1))</f>
        <v/>
      </c>
      <c r="G2217" s="0" t="n">
        <f aca="false">IF(A2217="",0,IF(SUMPRODUCT(--($A$2:$A$5001=A2217))&gt;1,1,0))</f>
        <v>0</v>
      </c>
      <c r="H2217" s="0" t="n">
        <f aca="false">ROW()-1</f>
        <v>2216</v>
      </c>
      <c r="I2217" s="0" t="str">
        <f aca="false">IF(OR(הגדרות!$E$6=0,H2217&gt;הגדרות!$E$5),"",IF(H2217-1&lt;הגדרות!$E$8*(הגדרות!$E$7+1),INT((H2217-1)/(הגדרות!$E$7+1)),הגדרות!$E$8+INT((H2217-1-הגדרות!$E$8*(הגדרות!$E$7+1))/הגדרות!$E$7)))</f>
        <v/>
      </c>
      <c r="J2217" s="0" t="str">
        <f aca="false">IF(I2217="","",IF(H2217-1&lt;הגדרות!$E$8*(הגדרות!$E$7+1),MOD(H2217-1,הגדרות!$E$7+1),MOD(H2217-1-הגדרות!$E$8*(הגדרות!$E$7+1),הגדרות!$E$7)))</f>
        <v/>
      </c>
      <c r="K2217" s="0" t="str">
        <f aca="false">IF(I2217="","",J2217*הגדרות!$E$6+I2217+1)</f>
        <v/>
      </c>
      <c r="L2217" s="0" t="str">
        <f aca="false">IF(K2217="","",MATCH(K2217,$F$2:$F$5001,0))</f>
        <v/>
      </c>
      <c r="M2217" s="0" t="str">
        <f aca="false">IF(I2217="","",INDEX(הגדרות!$A$2:$A$21,MOD(I2217+הגדרות!$E$9,הגדרות!$E$6)+1))</f>
        <v/>
      </c>
    </row>
    <row r="2218" customFormat="false" ht="15" hidden="false" customHeight="false" outlineLevel="0" collapsed="false">
      <c r="A2218" s="0" t="str">
        <f aca="false">IF('הדבקת לידים'!A2218="","",IF(ISNUMBER('הדבקת לידים'!A2218),IF(הגדרות!$E$2&gt;0,TEXT('הדבקת לידים'!A2218,REPT("0",הגדרות!$E$2)),TEXT('הדבקת לידים'!A2218,"0")),TRIM('הדבקת לידים'!A2218)))</f>
        <v/>
      </c>
      <c r="B2218" s="0" t="str">
        <f aca="false">IF('הדבקת לידים'!B2218="","",IF(ISNUMBER('הדבקת לידים'!B2218),IF(הגדרות!$E$3&gt;0,TEXT('הדבקת לידים'!B2218,REPT("0",הגדרות!$E$3)),TEXT('הדבקת לידים'!B2218,"0")),TRIM('הדבקת לידים'!B2218)))</f>
        <v/>
      </c>
      <c r="C2218" s="0" t="n">
        <f aca="false">IF(OR(A2218&lt;&gt;"",B2218&lt;&gt;""),1,0)</f>
        <v>0</v>
      </c>
      <c r="D2218" s="0" t="str">
        <f aca="false">IF(C2218=1,MOD(ABS(SIN(ROW()*12.9898+'הדבקת לידים'!$F$2*78.233+IFERROR(--RIGHT(A2218,6),LEN(A2218))*0.0137+IFERROR(--RIGHT(B2218,6),LEN(B2218))*0.0071))*43758.5453,1),"")</f>
        <v/>
      </c>
      <c r="E2218" s="0" t="str">
        <f aca="false">IF(C2218=1,INT(MOD(ABS(SIN(D2218*7919.123+ROW()*0.618+'הדבקת לידים'!$F$2*1.3))*43758.5453,1)*1000000)*10000+ROW(),"")</f>
        <v/>
      </c>
      <c r="F2218" s="0" t="str">
        <f aca="false">IF(E2218="","",RANK(E2218,$E$2:$E$5001,1))</f>
        <v/>
      </c>
      <c r="G2218" s="0" t="n">
        <f aca="false">IF(A2218="",0,IF(SUMPRODUCT(--($A$2:$A$5001=A2218))&gt;1,1,0))</f>
        <v>0</v>
      </c>
      <c r="H2218" s="0" t="n">
        <f aca="false">ROW()-1</f>
        <v>2217</v>
      </c>
      <c r="I2218" s="0" t="str">
        <f aca="false">IF(OR(הגדרות!$E$6=0,H2218&gt;הגדרות!$E$5),"",IF(H2218-1&lt;הגדרות!$E$8*(הגדרות!$E$7+1),INT((H2218-1)/(הגדרות!$E$7+1)),הגדרות!$E$8+INT((H2218-1-הגדרות!$E$8*(הגדרות!$E$7+1))/הגדרות!$E$7)))</f>
        <v/>
      </c>
      <c r="J2218" s="0" t="str">
        <f aca="false">IF(I2218="","",IF(H2218-1&lt;הגדרות!$E$8*(הגדרות!$E$7+1),MOD(H2218-1,הגדרות!$E$7+1),MOD(H2218-1-הגדרות!$E$8*(הגדרות!$E$7+1),הגדרות!$E$7)))</f>
        <v/>
      </c>
      <c r="K2218" s="0" t="str">
        <f aca="false">IF(I2218="","",J2218*הגדרות!$E$6+I2218+1)</f>
        <v/>
      </c>
      <c r="L2218" s="0" t="str">
        <f aca="false">IF(K2218="","",MATCH(K2218,$F$2:$F$5001,0))</f>
        <v/>
      </c>
      <c r="M2218" s="0" t="str">
        <f aca="false">IF(I2218="","",INDEX(הגדרות!$A$2:$A$21,MOD(I2218+הגדרות!$E$9,הגדרות!$E$6)+1))</f>
        <v/>
      </c>
    </row>
    <row r="2219" customFormat="false" ht="15" hidden="false" customHeight="false" outlineLevel="0" collapsed="false">
      <c r="A2219" s="0" t="str">
        <f aca="false">IF('הדבקת לידים'!A2219="","",IF(ISNUMBER('הדבקת לידים'!A2219),IF(הגדרות!$E$2&gt;0,TEXT('הדבקת לידים'!A2219,REPT("0",הגדרות!$E$2)),TEXT('הדבקת לידים'!A2219,"0")),TRIM('הדבקת לידים'!A2219)))</f>
        <v/>
      </c>
      <c r="B2219" s="0" t="str">
        <f aca="false">IF('הדבקת לידים'!B2219="","",IF(ISNUMBER('הדבקת לידים'!B2219),IF(הגדרות!$E$3&gt;0,TEXT('הדבקת לידים'!B2219,REPT("0",הגדרות!$E$3)),TEXT('הדבקת לידים'!B2219,"0")),TRIM('הדבקת לידים'!B2219)))</f>
        <v/>
      </c>
      <c r="C2219" s="0" t="n">
        <f aca="false">IF(OR(A2219&lt;&gt;"",B2219&lt;&gt;""),1,0)</f>
        <v>0</v>
      </c>
      <c r="D2219" s="0" t="str">
        <f aca="false">IF(C2219=1,MOD(ABS(SIN(ROW()*12.9898+'הדבקת לידים'!$F$2*78.233+IFERROR(--RIGHT(A2219,6),LEN(A2219))*0.0137+IFERROR(--RIGHT(B2219,6),LEN(B2219))*0.0071))*43758.5453,1),"")</f>
        <v/>
      </c>
      <c r="E2219" s="0" t="str">
        <f aca="false">IF(C2219=1,INT(MOD(ABS(SIN(D2219*7919.123+ROW()*0.618+'הדבקת לידים'!$F$2*1.3))*43758.5453,1)*1000000)*10000+ROW(),"")</f>
        <v/>
      </c>
      <c r="F2219" s="0" t="str">
        <f aca="false">IF(E2219="","",RANK(E2219,$E$2:$E$5001,1))</f>
        <v/>
      </c>
      <c r="G2219" s="0" t="n">
        <f aca="false">IF(A2219="",0,IF(SUMPRODUCT(--($A$2:$A$5001=A2219))&gt;1,1,0))</f>
        <v>0</v>
      </c>
      <c r="H2219" s="0" t="n">
        <f aca="false">ROW()-1</f>
        <v>2218</v>
      </c>
      <c r="I2219" s="0" t="str">
        <f aca="false">IF(OR(הגדרות!$E$6=0,H2219&gt;הגדרות!$E$5),"",IF(H2219-1&lt;הגדרות!$E$8*(הגדרות!$E$7+1),INT((H2219-1)/(הגדרות!$E$7+1)),הגדרות!$E$8+INT((H2219-1-הגדרות!$E$8*(הגדרות!$E$7+1))/הגדרות!$E$7)))</f>
        <v/>
      </c>
      <c r="J2219" s="0" t="str">
        <f aca="false">IF(I2219="","",IF(H2219-1&lt;הגדרות!$E$8*(הגדרות!$E$7+1),MOD(H2219-1,הגדרות!$E$7+1),MOD(H2219-1-הגדרות!$E$8*(הגדרות!$E$7+1),הגדרות!$E$7)))</f>
        <v/>
      </c>
      <c r="K2219" s="0" t="str">
        <f aca="false">IF(I2219="","",J2219*הגדרות!$E$6+I2219+1)</f>
        <v/>
      </c>
      <c r="L2219" s="0" t="str">
        <f aca="false">IF(K2219="","",MATCH(K2219,$F$2:$F$5001,0))</f>
        <v/>
      </c>
      <c r="M2219" s="0" t="str">
        <f aca="false">IF(I2219="","",INDEX(הגדרות!$A$2:$A$21,MOD(I2219+הגדרות!$E$9,הגדרות!$E$6)+1))</f>
        <v/>
      </c>
    </row>
    <row r="2220" customFormat="false" ht="15" hidden="false" customHeight="false" outlineLevel="0" collapsed="false">
      <c r="A2220" s="0" t="str">
        <f aca="false">IF('הדבקת לידים'!A2220="","",IF(ISNUMBER('הדבקת לידים'!A2220),IF(הגדרות!$E$2&gt;0,TEXT('הדבקת לידים'!A2220,REPT("0",הגדרות!$E$2)),TEXT('הדבקת לידים'!A2220,"0")),TRIM('הדבקת לידים'!A2220)))</f>
        <v/>
      </c>
      <c r="B2220" s="0" t="str">
        <f aca="false">IF('הדבקת לידים'!B2220="","",IF(ISNUMBER('הדבקת לידים'!B2220),IF(הגדרות!$E$3&gt;0,TEXT('הדבקת לידים'!B2220,REPT("0",הגדרות!$E$3)),TEXT('הדבקת לידים'!B2220,"0")),TRIM('הדבקת לידים'!B2220)))</f>
        <v/>
      </c>
      <c r="C2220" s="0" t="n">
        <f aca="false">IF(OR(A2220&lt;&gt;"",B2220&lt;&gt;""),1,0)</f>
        <v>0</v>
      </c>
      <c r="D2220" s="0" t="str">
        <f aca="false">IF(C2220=1,MOD(ABS(SIN(ROW()*12.9898+'הדבקת לידים'!$F$2*78.233+IFERROR(--RIGHT(A2220,6),LEN(A2220))*0.0137+IFERROR(--RIGHT(B2220,6),LEN(B2220))*0.0071))*43758.5453,1),"")</f>
        <v/>
      </c>
      <c r="E2220" s="0" t="str">
        <f aca="false">IF(C2220=1,INT(MOD(ABS(SIN(D2220*7919.123+ROW()*0.618+'הדבקת לידים'!$F$2*1.3))*43758.5453,1)*1000000)*10000+ROW(),"")</f>
        <v/>
      </c>
      <c r="F2220" s="0" t="str">
        <f aca="false">IF(E2220="","",RANK(E2220,$E$2:$E$5001,1))</f>
        <v/>
      </c>
      <c r="G2220" s="0" t="n">
        <f aca="false">IF(A2220="",0,IF(SUMPRODUCT(--($A$2:$A$5001=A2220))&gt;1,1,0))</f>
        <v>0</v>
      </c>
      <c r="H2220" s="0" t="n">
        <f aca="false">ROW()-1</f>
        <v>2219</v>
      </c>
      <c r="I2220" s="0" t="str">
        <f aca="false">IF(OR(הגדרות!$E$6=0,H2220&gt;הגדרות!$E$5),"",IF(H2220-1&lt;הגדרות!$E$8*(הגדרות!$E$7+1),INT((H2220-1)/(הגדרות!$E$7+1)),הגדרות!$E$8+INT((H2220-1-הגדרות!$E$8*(הגדרות!$E$7+1))/הגדרות!$E$7)))</f>
        <v/>
      </c>
      <c r="J2220" s="0" t="str">
        <f aca="false">IF(I2220="","",IF(H2220-1&lt;הגדרות!$E$8*(הגדרות!$E$7+1),MOD(H2220-1,הגדרות!$E$7+1),MOD(H2220-1-הגדרות!$E$8*(הגדרות!$E$7+1),הגדרות!$E$7)))</f>
        <v/>
      </c>
      <c r="K2220" s="0" t="str">
        <f aca="false">IF(I2220="","",J2220*הגדרות!$E$6+I2220+1)</f>
        <v/>
      </c>
      <c r="L2220" s="0" t="str">
        <f aca="false">IF(K2220="","",MATCH(K2220,$F$2:$F$5001,0))</f>
        <v/>
      </c>
      <c r="M2220" s="0" t="str">
        <f aca="false">IF(I2220="","",INDEX(הגדרות!$A$2:$A$21,MOD(I2220+הגדרות!$E$9,הגדרות!$E$6)+1))</f>
        <v/>
      </c>
    </row>
    <row r="2221" customFormat="false" ht="15" hidden="false" customHeight="false" outlineLevel="0" collapsed="false">
      <c r="A2221" s="0" t="str">
        <f aca="false">IF('הדבקת לידים'!A2221="","",IF(ISNUMBER('הדבקת לידים'!A2221),IF(הגדרות!$E$2&gt;0,TEXT('הדבקת לידים'!A2221,REPT("0",הגדרות!$E$2)),TEXT('הדבקת לידים'!A2221,"0")),TRIM('הדבקת לידים'!A2221)))</f>
        <v/>
      </c>
      <c r="B2221" s="0" t="str">
        <f aca="false">IF('הדבקת לידים'!B2221="","",IF(ISNUMBER('הדבקת לידים'!B2221),IF(הגדרות!$E$3&gt;0,TEXT('הדבקת לידים'!B2221,REPT("0",הגדרות!$E$3)),TEXT('הדבקת לידים'!B2221,"0")),TRIM('הדבקת לידים'!B2221)))</f>
        <v/>
      </c>
      <c r="C2221" s="0" t="n">
        <f aca="false">IF(OR(A2221&lt;&gt;"",B2221&lt;&gt;""),1,0)</f>
        <v>0</v>
      </c>
      <c r="D2221" s="0" t="str">
        <f aca="false">IF(C2221=1,MOD(ABS(SIN(ROW()*12.9898+'הדבקת לידים'!$F$2*78.233+IFERROR(--RIGHT(A2221,6),LEN(A2221))*0.0137+IFERROR(--RIGHT(B2221,6),LEN(B2221))*0.0071))*43758.5453,1),"")</f>
        <v/>
      </c>
      <c r="E2221" s="0" t="str">
        <f aca="false">IF(C2221=1,INT(MOD(ABS(SIN(D2221*7919.123+ROW()*0.618+'הדבקת לידים'!$F$2*1.3))*43758.5453,1)*1000000)*10000+ROW(),"")</f>
        <v/>
      </c>
      <c r="F2221" s="0" t="str">
        <f aca="false">IF(E2221="","",RANK(E2221,$E$2:$E$5001,1))</f>
        <v/>
      </c>
      <c r="G2221" s="0" t="n">
        <f aca="false">IF(A2221="",0,IF(SUMPRODUCT(--($A$2:$A$5001=A2221))&gt;1,1,0))</f>
        <v>0</v>
      </c>
      <c r="H2221" s="0" t="n">
        <f aca="false">ROW()-1</f>
        <v>2220</v>
      </c>
      <c r="I2221" s="0" t="str">
        <f aca="false">IF(OR(הגדרות!$E$6=0,H2221&gt;הגדרות!$E$5),"",IF(H2221-1&lt;הגדרות!$E$8*(הגדרות!$E$7+1),INT((H2221-1)/(הגדרות!$E$7+1)),הגדרות!$E$8+INT((H2221-1-הגדרות!$E$8*(הגדרות!$E$7+1))/הגדרות!$E$7)))</f>
        <v/>
      </c>
      <c r="J2221" s="0" t="str">
        <f aca="false">IF(I2221="","",IF(H2221-1&lt;הגדרות!$E$8*(הגדרות!$E$7+1),MOD(H2221-1,הגדרות!$E$7+1),MOD(H2221-1-הגדרות!$E$8*(הגדרות!$E$7+1),הגדרות!$E$7)))</f>
        <v/>
      </c>
      <c r="K2221" s="0" t="str">
        <f aca="false">IF(I2221="","",J2221*הגדרות!$E$6+I2221+1)</f>
        <v/>
      </c>
      <c r="L2221" s="0" t="str">
        <f aca="false">IF(K2221="","",MATCH(K2221,$F$2:$F$5001,0))</f>
        <v/>
      </c>
      <c r="M2221" s="0" t="str">
        <f aca="false">IF(I2221="","",INDEX(הגדרות!$A$2:$A$21,MOD(I2221+הגדרות!$E$9,הגדרות!$E$6)+1))</f>
        <v/>
      </c>
    </row>
    <row r="2222" customFormat="false" ht="15" hidden="false" customHeight="false" outlineLevel="0" collapsed="false">
      <c r="A2222" s="0" t="str">
        <f aca="false">IF('הדבקת לידים'!A2222="","",IF(ISNUMBER('הדבקת לידים'!A2222),IF(הגדרות!$E$2&gt;0,TEXT('הדבקת לידים'!A2222,REPT("0",הגדרות!$E$2)),TEXT('הדבקת לידים'!A2222,"0")),TRIM('הדבקת לידים'!A2222)))</f>
        <v/>
      </c>
      <c r="B2222" s="0" t="str">
        <f aca="false">IF('הדבקת לידים'!B2222="","",IF(ISNUMBER('הדבקת לידים'!B2222),IF(הגדרות!$E$3&gt;0,TEXT('הדבקת לידים'!B2222,REPT("0",הגדרות!$E$3)),TEXT('הדבקת לידים'!B2222,"0")),TRIM('הדבקת לידים'!B2222)))</f>
        <v/>
      </c>
      <c r="C2222" s="0" t="n">
        <f aca="false">IF(OR(A2222&lt;&gt;"",B2222&lt;&gt;""),1,0)</f>
        <v>0</v>
      </c>
      <c r="D2222" s="0" t="str">
        <f aca="false">IF(C2222=1,MOD(ABS(SIN(ROW()*12.9898+'הדבקת לידים'!$F$2*78.233+IFERROR(--RIGHT(A2222,6),LEN(A2222))*0.0137+IFERROR(--RIGHT(B2222,6),LEN(B2222))*0.0071))*43758.5453,1),"")</f>
        <v/>
      </c>
      <c r="E2222" s="0" t="str">
        <f aca="false">IF(C2222=1,INT(MOD(ABS(SIN(D2222*7919.123+ROW()*0.618+'הדבקת לידים'!$F$2*1.3))*43758.5453,1)*1000000)*10000+ROW(),"")</f>
        <v/>
      </c>
      <c r="F2222" s="0" t="str">
        <f aca="false">IF(E2222="","",RANK(E2222,$E$2:$E$5001,1))</f>
        <v/>
      </c>
      <c r="G2222" s="0" t="n">
        <f aca="false">IF(A2222="",0,IF(SUMPRODUCT(--($A$2:$A$5001=A2222))&gt;1,1,0))</f>
        <v>0</v>
      </c>
      <c r="H2222" s="0" t="n">
        <f aca="false">ROW()-1</f>
        <v>2221</v>
      </c>
      <c r="I2222" s="0" t="str">
        <f aca="false">IF(OR(הגדרות!$E$6=0,H2222&gt;הגדרות!$E$5),"",IF(H2222-1&lt;הגדרות!$E$8*(הגדרות!$E$7+1),INT((H2222-1)/(הגדרות!$E$7+1)),הגדרות!$E$8+INT((H2222-1-הגדרות!$E$8*(הגדרות!$E$7+1))/הגדרות!$E$7)))</f>
        <v/>
      </c>
      <c r="J2222" s="0" t="str">
        <f aca="false">IF(I2222="","",IF(H2222-1&lt;הגדרות!$E$8*(הגדרות!$E$7+1),MOD(H2222-1,הגדרות!$E$7+1),MOD(H2222-1-הגדרות!$E$8*(הגדרות!$E$7+1),הגדרות!$E$7)))</f>
        <v/>
      </c>
      <c r="K2222" s="0" t="str">
        <f aca="false">IF(I2222="","",J2222*הגדרות!$E$6+I2222+1)</f>
        <v/>
      </c>
      <c r="L2222" s="0" t="str">
        <f aca="false">IF(K2222="","",MATCH(K2222,$F$2:$F$5001,0))</f>
        <v/>
      </c>
      <c r="M2222" s="0" t="str">
        <f aca="false">IF(I2222="","",INDEX(הגדרות!$A$2:$A$21,MOD(I2222+הגדרות!$E$9,הגדרות!$E$6)+1))</f>
        <v/>
      </c>
    </row>
    <row r="2223" customFormat="false" ht="15" hidden="false" customHeight="false" outlineLevel="0" collapsed="false">
      <c r="A2223" s="0" t="str">
        <f aca="false">IF('הדבקת לידים'!A2223="","",IF(ISNUMBER('הדבקת לידים'!A2223),IF(הגדרות!$E$2&gt;0,TEXT('הדבקת לידים'!A2223,REPT("0",הגדרות!$E$2)),TEXT('הדבקת לידים'!A2223,"0")),TRIM('הדבקת לידים'!A2223)))</f>
        <v/>
      </c>
      <c r="B2223" s="0" t="str">
        <f aca="false">IF('הדבקת לידים'!B2223="","",IF(ISNUMBER('הדבקת לידים'!B2223),IF(הגדרות!$E$3&gt;0,TEXT('הדבקת לידים'!B2223,REPT("0",הגדרות!$E$3)),TEXT('הדבקת לידים'!B2223,"0")),TRIM('הדבקת לידים'!B2223)))</f>
        <v/>
      </c>
      <c r="C2223" s="0" t="n">
        <f aca="false">IF(OR(A2223&lt;&gt;"",B2223&lt;&gt;""),1,0)</f>
        <v>0</v>
      </c>
      <c r="D2223" s="0" t="str">
        <f aca="false">IF(C2223=1,MOD(ABS(SIN(ROW()*12.9898+'הדבקת לידים'!$F$2*78.233+IFERROR(--RIGHT(A2223,6),LEN(A2223))*0.0137+IFERROR(--RIGHT(B2223,6),LEN(B2223))*0.0071))*43758.5453,1),"")</f>
        <v/>
      </c>
      <c r="E2223" s="0" t="str">
        <f aca="false">IF(C2223=1,INT(MOD(ABS(SIN(D2223*7919.123+ROW()*0.618+'הדבקת לידים'!$F$2*1.3))*43758.5453,1)*1000000)*10000+ROW(),"")</f>
        <v/>
      </c>
      <c r="F2223" s="0" t="str">
        <f aca="false">IF(E2223="","",RANK(E2223,$E$2:$E$5001,1))</f>
        <v/>
      </c>
      <c r="G2223" s="0" t="n">
        <f aca="false">IF(A2223="",0,IF(SUMPRODUCT(--($A$2:$A$5001=A2223))&gt;1,1,0))</f>
        <v>0</v>
      </c>
      <c r="H2223" s="0" t="n">
        <f aca="false">ROW()-1</f>
        <v>2222</v>
      </c>
      <c r="I2223" s="0" t="str">
        <f aca="false">IF(OR(הגדרות!$E$6=0,H2223&gt;הגדרות!$E$5),"",IF(H2223-1&lt;הגדרות!$E$8*(הגדרות!$E$7+1),INT((H2223-1)/(הגדרות!$E$7+1)),הגדרות!$E$8+INT((H2223-1-הגדרות!$E$8*(הגדרות!$E$7+1))/הגדרות!$E$7)))</f>
        <v/>
      </c>
      <c r="J2223" s="0" t="str">
        <f aca="false">IF(I2223="","",IF(H2223-1&lt;הגדרות!$E$8*(הגדרות!$E$7+1),MOD(H2223-1,הגדרות!$E$7+1),MOD(H2223-1-הגדרות!$E$8*(הגדרות!$E$7+1),הגדרות!$E$7)))</f>
        <v/>
      </c>
      <c r="K2223" s="0" t="str">
        <f aca="false">IF(I2223="","",J2223*הגדרות!$E$6+I2223+1)</f>
        <v/>
      </c>
      <c r="L2223" s="0" t="str">
        <f aca="false">IF(K2223="","",MATCH(K2223,$F$2:$F$5001,0))</f>
        <v/>
      </c>
      <c r="M2223" s="0" t="str">
        <f aca="false">IF(I2223="","",INDEX(הגדרות!$A$2:$A$21,MOD(I2223+הגדרות!$E$9,הגדרות!$E$6)+1))</f>
        <v/>
      </c>
    </row>
    <row r="2224" customFormat="false" ht="15" hidden="false" customHeight="false" outlineLevel="0" collapsed="false">
      <c r="A2224" s="0" t="str">
        <f aca="false">IF('הדבקת לידים'!A2224="","",IF(ISNUMBER('הדבקת לידים'!A2224),IF(הגדרות!$E$2&gt;0,TEXT('הדבקת לידים'!A2224,REPT("0",הגדרות!$E$2)),TEXT('הדבקת לידים'!A2224,"0")),TRIM('הדבקת לידים'!A2224)))</f>
        <v/>
      </c>
      <c r="B2224" s="0" t="str">
        <f aca="false">IF('הדבקת לידים'!B2224="","",IF(ISNUMBER('הדבקת לידים'!B2224),IF(הגדרות!$E$3&gt;0,TEXT('הדבקת לידים'!B2224,REPT("0",הגדרות!$E$3)),TEXT('הדבקת לידים'!B2224,"0")),TRIM('הדבקת לידים'!B2224)))</f>
        <v/>
      </c>
      <c r="C2224" s="0" t="n">
        <f aca="false">IF(OR(A2224&lt;&gt;"",B2224&lt;&gt;""),1,0)</f>
        <v>0</v>
      </c>
      <c r="D2224" s="0" t="str">
        <f aca="false">IF(C2224=1,MOD(ABS(SIN(ROW()*12.9898+'הדבקת לידים'!$F$2*78.233+IFERROR(--RIGHT(A2224,6),LEN(A2224))*0.0137+IFERROR(--RIGHT(B2224,6),LEN(B2224))*0.0071))*43758.5453,1),"")</f>
        <v/>
      </c>
      <c r="E2224" s="0" t="str">
        <f aca="false">IF(C2224=1,INT(MOD(ABS(SIN(D2224*7919.123+ROW()*0.618+'הדבקת לידים'!$F$2*1.3))*43758.5453,1)*1000000)*10000+ROW(),"")</f>
        <v/>
      </c>
      <c r="F2224" s="0" t="str">
        <f aca="false">IF(E2224="","",RANK(E2224,$E$2:$E$5001,1))</f>
        <v/>
      </c>
      <c r="G2224" s="0" t="n">
        <f aca="false">IF(A2224="",0,IF(SUMPRODUCT(--($A$2:$A$5001=A2224))&gt;1,1,0))</f>
        <v>0</v>
      </c>
      <c r="H2224" s="0" t="n">
        <f aca="false">ROW()-1</f>
        <v>2223</v>
      </c>
      <c r="I2224" s="0" t="str">
        <f aca="false">IF(OR(הגדרות!$E$6=0,H2224&gt;הגדרות!$E$5),"",IF(H2224-1&lt;הגדרות!$E$8*(הגדרות!$E$7+1),INT((H2224-1)/(הגדרות!$E$7+1)),הגדרות!$E$8+INT((H2224-1-הגדרות!$E$8*(הגדרות!$E$7+1))/הגדרות!$E$7)))</f>
        <v/>
      </c>
      <c r="J2224" s="0" t="str">
        <f aca="false">IF(I2224="","",IF(H2224-1&lt;הגדרות!$E$8*(הגדרות!$E$7+1),MOD(H2224-1,הגדרות!$E$7+1),MOD(H2224-1-הגדרות!$E$8*(הגדרות!$E$7+1),הגדרות!$E$7)))</f>
        <v/>
      </c>
      <c r="K2224" s="0" t="str">
        <f aca="false">IF(I2224="","",J2224*הגדרות!$E$6+I2224+1)</f>
        <v/>
      </c>
      <c r="L2224" s="0" t="str">
        <f aca="false">IF(K2224="","",MATCH(K2224,$F$2:$F$5001,0))</f>
        <v/>
      </c>
      <c r="M2224" s="0" t="str">
        <f aca="false">IF(I2224="","",INDEX(הגדרות!$A$2:$A$21,MOD(I2224+הגדרות!$E$9,הגדרות!$E$6)+1))</f>
        <v/>
      </c>
    </row>
    <row r="2225" customFormat="false" ht="15" hidden="false" customHeight="false" outlineLevel="0" collapsed="false">
      <c r="A2225" s="0" t="str">
        <f aca="false">IF('הדבקת לידים'!A2225="","",IF(ISNUMBER('הדבקת לידים'!A2225),IF(הגדרות!$E$2&gt;0,TEXT('הדבקת לידים'!A2225,REPT("0",הגדרות!$E$2)),TEXT('הדבקת לידים'!A2225,"0")),TRIM('הדבקת לידים'!A2225)))</f>
        <v/>
      </c>
      <c r="B2225" s="0" t="str">
        <f aca="false">IF('הדבקת לידים'!B2225="","",IF(ISNUMBER('הדבקת לידים'!B2225),IF(הגדרות!$E$3&gt;0,TEXT('הדבקת לידים'!B2225,REPT("0",הגדרות!$E$3)),TEXT('הדבקת לידים'!B2225,"0")),TRIM('הדבקת לידים'!B2225)))</f>
        <v/>
      </c>
      <c r="C2225" s="0" t="n">
        <f aca="false">IF(OR(A2225&lt;&gt;"",B2225&lt;&gt;""),1,0)</f>
        <v>0</v>
      </c>
      <c r="D2225" s="0" t="str">
        <f aca="false">IF(C2225=1,MOD(ABS(SIN(ROW()*12.9898+'הדבקת לידים'!$F$2*78.233+IFERROR(--RIGHT(A2225,6),LEN(A2225))*0.0137+IFERROR(--RIGHT(B2225,6),LEN(B2225))*0.0071))*43758.5453,1),"")</f>
        <v/>
      </c>
      <c r="E2225" s="0" t="str">
        <f aca="false">IF(C2225=1,INT(MOD(ABS(SIN(D2225*7919.123+ROW()*0.618+'הדבקת לידים'!$F$2*1.3))*43758.5453,1)*1000000)*10000+ROW(),"")</f>
        <v/>
      </c>
      <c r="F2225" s="0" t="str">
        <f aca="false">IF(E2225="","",RANK(E2225,$E$2:$E$5001,1))</f>
        <v/>
      </c>
      <c r="G2225" s="0" t="n">
        <f aca="false">IF(A2225="",0,IF(SUMPRODUCT(--($A$2:$A$5001=A2225))&gt;1,1,0))</f>
        <v>0</v>
      </c>
      <c r="H2225" s="0" t="n">
        <f aca="false">ROW()-1</f>
        <v>2224</v>
      </c>
      <c r="I2225" s="0" t="str">
        <f aca="false">IF(OR(הגדרות!$E$6=0,H2225&gt;הגדרות!$E$5),"",IF(H2225-1&lt;הגדרות!$E$8*(הגדרות!$E$7+1),INT((H2225-1)/(הגדרות!$E$7+1)),הגדרות!$E$8+INT((H2225-1-הגדרות!$E$8*(הגדרות!$E$7+1))/הגדרות!$E$7)))</f>
        <v/>
      </c>
      <c r="J2225" s="0" t="str">
        <f aca="false">IF(I2225="","",IF(H2225-1&lt;הגדרות!$E$8*(הגדרות!$E$7+1),MOD(H2225-1,הגדרות!$E$7+1),MOD(H2225-1-הגדרות!$E$8*(הגדרות!$E$7+1),הגדרות!$E$7)))</f>
        <v/>
      </c>
      <c r="K2225" s="0" t="str">
        <f aca="false">IF(I2225="","",J2225*הגדרות!$E$6+I2225+1)</f>
        <v/>
      </c>
      <c r="L2225" s="0" t="str">
        <f aca="false">IF(K2225="","",MATCH(K2225,$F$2:$F$5001,0))</f>
        <v/>
      </c>
      <c r="M2225" s="0" t="str">
        <f aca="false">IF(I2225="","",INDEX(הגדרות!$A$2:$A$21,MOD(I2225+הגדרות!$E$9,הגדרות!$E$6)+1))</f>
        <v/>
      </c>
    </row>
    <row r="2226" customFormat="false" ht="15" hidden="false" customHeight="false" outlineLevel="0" collapsed="false">
      <c r="A2226" s="0" t="str">
        <f aca="false">IF('הדבקת לידים'!A2226="","",IF(ISNUMBER('הדבקת לידים'!A2226),IF(הגדרות!$E$2&gt;0,TEXT('הדבקת לידים'!A2226,REPT("0",הגדרות!$E$2)),TEXT('הדבקת לידים'!A2226,"0")),TRIM('הדבקת לידים'!A2226)))</f>
        <v/>
      </c>
      <c r="B2226" s="0" t="str">
        <f aca="false">IF('הדבקת לידים'!B2226="","",IF(ISNUMBER('הדבקת לידים'!B2226),IF(הגדרות!$E$3&gt;0,TEXT('הדבקת לידים'!B2226,REPT("0",הגדרות!$E$3)),TEXT('הדבקת לידים'!B2226,"0")),TRIM('הדבקת לידים'!B2226)))</f>
        <v/>
      </c>
      <c r="C2226" s="0" t="n">
        <f aca="false">IF(OR(A2226&lt;&gt;"",B2226&lt;&gt;""),1,0)</f>
        <v>0</v>
      </c>
      <c r="D2226" s="0" t="str">
        <f aca="false">IF(C2226=1,MOD(ABS(SIN(ROW()*12.9898+'הדבקת לידים'!$F$2*78.233+IFERROR(--RIGHT(A2226,6),LEN(A2226))*0.0137+IFERROR(--RIGHT(B2226,6),LEN(B2226))*0.0071))*43758.5453,1),"")</f>
        <v/>
      </c>
      <c r="E2226" s="0" t="str">
        <f aca="false">IF(C2226=1,INT(MOD(ABS(SIN(D2226*7919.123+ROW()*0.618+'הדבקת לידים'!$F$2*1.3))*43758.5453,1)*1000000)*10000+ROW(),"")</f>
        <v/>
      </c>
      <c r="F2226" s="0" t="str">
        <f aca="false">IF(E2226="","",RANK(E2226,$E$2:$E$5001,1))</f>
        <v/>
      </c>
      <c r="G2226" s="0" t="n">
        <f aca="false">IF(A2226="",0,IF(SUMPRODUCT(--($A$2:$A$5001=A2226))&gt;1,1,0))</f>
        <v>0</v>
      </c>
      <c r="H2226" s="0" t="n">
        <f aca="false">ROW()-1</f>
        <v>2225</v>
      </c>
      <c r="I2226" s="0" t="str">
        <f aca="false">IF(OR(הגדרות!$E$6=0,H2226&gt;הגדרות!$E$5),"",IF(H2226-1&lt;הגדרות!$E$8*(הגדרות!$E$7+1),INT((H2226-1)/(הגדרות!$E$7+1)),הגדרות!$E$8+INT((H2226-1-הגדרות!$E$8*(הגדרות!$E$7+1))/הגדרות!$E$7)))</f>
        <v/>
      </c>
      <c r="J2226" s="0" t="str">
        <f aca="false">IF(I2226="","",IF(H2226-1&lt;הגדרות!$E$8*(הגדרות!$E$7+1),MOD(H2226-1,הגדרות!$E$7+1),MOD(H2226-1-הגדרות!$E$8*(הגדרות!$E$7+1),הגדרות!$E$7)))</f>
        <v/>
      </c>
      <c r="K2226" s="0" t="str">
        <f aca="false">IF(I2226="","",J2226*הגדרות!$E$6+I2226+1)</f>
        <v/>
      </c>
      <c r="L2226" s="0" t="str">
        <f aca="false">IF(K2226="","",MATCH(K2226,$F$2:$F$5001,0))</f>
        <v/>
      </c>
      <c r="M2226" s="0" t="str">
        <f aca="false">IF(I2226="","",INDEX(הגדרות!$A$2:$A$21,MOD(I2226+הגדרות!$E$9,הגדרות!$E$6)+1))</f>
        <v/>
      </c>
    </row>
    <row r="2227" customFormat="false" ht="15" hidden="false" customHeight="false" outlineLevel="0" collapsed="false">
      <c r="A2227" s="0" t="str">
        <f aca="false">IF('הדבקת לידים'!A2227="","",IF(ISNUMBER('הדבקת לידים'!A2227),IF(הגדרות!$E$2&gt;0,TEXT('הדבקת לידים'!A2227,REPT("0",הגדרות!$E$2)),TEXT('הדבקת לידים'!A2227,"0")),TRIM('הדבקת לידים'!A2227)))</f>
        <v/>
      </c>
      <c r="B2227" s="0" t="str">
        <f aca="false">IF('הדבקת לידים'!B2227="","",IF(ISNUMBER('הדבקת לידים'!B2227),IF(הגדרות!$E$3&gt;0,TEXT('הדבקת לידים'!B2227,REPT("0",הגדרות!$E$3)),TEXT('הדבקת לידים'!B2227,"0")),TRIM('הדבקת לידים'!B2227)))</f>
        <v/>
      </c>
      <c r="C2227" s="0" t="n">
        <f aca="false">IF(OR(A2227&lt;&gt;"",B2227&lt;&gt;""),1,0)</f>
        <v>0</v>
      </c>
      <c r="D2227" s="0" t="str">
        <f aca="false">IF(C2227=1,MOD(ABS(SIN(ROW()*12.9898+'הדבקת לידים'!$F$2*78.233+IFERROR(--RIGHT(A2227,6),LEN(A2227))*0.0137+IFERROR(--RIGHT(B2227,6),LEN(B2227))*0.0071))*43758.5453,1),"")</f>
        <v/>
      </c>
      <c r="E2227" s="0" t="str">
        <f aca="false">IF(C2227=1,INT(MOD(ABS(SIN(D2227*7919.123+ROW()*0.618+'הדבקת לידים'!$F$2*1.3))*43758.5453,1)*1000000)*10000+ROW(),"")</f>
        <v/>
      </c>
      <c r="F2227" s="0" t="str">
        <f aca="false">IF(E2227="","",RANK(E2227,$E$2:$E$5001,1))</f>
        <v/>
      </c>
      <c r="G2227" s="0" t="n">
        <f aca="false">IF(A2227="",0,IF(SUMPRODUCT(--($A$2:$A$5001=A2227))&gt;1,1,0))</f>
        <v>0</v>
      </c>
      <c r="H2227" s="0" t="n">
        <f aca="false">ROW()-1</f>
        <v>2226</v>
      </c>
      <c r="I2227" s="0" t="str">
        <f aca="false">IF(OR(הגדרות!$E$6=0,H2227&gt;הגדרות!$E$5),"",IF(H2227-1&lt;הגדרות!$E$8*(הגדרות!$E$7+1),INT((H2227-1)/(הגדרות!$E$7+1)),הגדרות!$E$8+INT((H2227-1-הגדרות!$E$8*(הגדרות!$E$7+1))/הגדרות!$E$7)))</f>
        <v/>
      </c>
      <c r="J2227" s="0" t="str">
        <f aca="false">IF(I2227="","",IF(H2227-1&lt;הגדרות!$E$8*(הגדרות!$E$7+1),MOD(H2227-1,הגדרות!$E$7+1),MOD(H2227-1-הגדרות!$E$8*(הגדרות!$E$7+1),הגדרות!$E$7)))</f>
        <v/>
      </c>
      <c r="K2227" s="0" t="str">
        <f aca="false">IF(I2227="","",J2227*הגדרות!$E$6+I2227+1)</f>
        <v/>
      </c>
      <c r="L2227" s="0" t="str">
        <f aca="false">IF(K2227="","",MATCH(K2227,$F$2:$F$5001,0))</f>
        <v/>
      </c>
      <c r="M2227" s="0" t="str">
        <f aca="false">IF(I2227="","",INDEX(הגדרות!$A$2:$A$21,MOD(I2227+הגדרות!$E$9,הגדרות!$E$6)+1))</f>
        <v/>
      </c>
    </row>
    <row r="2228" customFormat="false" ht="15" hidden="false" customHeight="false" outlineLevel="0" collapsed="false">
      <c r="A2228" s="0" t="str">
        <f aca="false">IF('הדבקת לידים'!A2228="","",IF(ISNUMBER('הדבקת לידים'!A2228),IF(הגדרות!$E$2&gt;0,TEXT('הדבקת לידים'!A2228,REPT("0",הגדרות!$E$2)),TEXT('הדבקת לידים'!A2228,"0")),TRIM('הדבקת לידים'!A2228)))</f>
        <v/>
      </c>
      <c r="B2228" s="0" t="str">
        <f aca="false">IF('הדבקת לידים'!B2228="","",IF(ISNUMBER('הדבקת לידים'!B2228),IF(הגדרות!$E$3&gt;0,TEXT('הדבקת לידים'!B2228,REPT("0",הגדרות!$E$3)),TEXT('הדבקת לידים'!B2228,"0")),TRIM('הדבקת לידים'!B2228)))</f>
        <v/>
      </c>
      <c r="C2228" s="0" t="n">
        <f aca="false">IF(OR(A2228&lt;&gt;"",B2228&lt;&gt;""),1,0)</f>
        <v>0</v>
      </c>
      <c r="D2228" s="0" t="str">
        <f aca="false">IF(C2228=1,MOD(ABS(SIN(ROW()*12.9898+'הדבקת לידים'!$F$2*78.233+IFERROR(--RIGHT(A2228,6),LEN(A2228))*0.0137+IFERROR(--RIGHT(B2228,6),LEN(B2228))*0.0071))*43758.5453,1),"")</f>
        <v/>
      </c>
      <c r="E2228" s="0" t="str">
        <f aca="false">IF(C2228=1,INT(MOD(ABS(SIN(D2228*7919.123+ROW()*0.618+'הדבקת לידים'!$F$2*1.3))*43758.5453,1)*1000000)*10000+ROW(),"")</f>
        <v/>
      </c>
      <c r="F2228" s="0" t="str">
        <f aca="false">IF(E2228="","",RANK(E2228,$E$2:$E$5001,1))</f>
        <v/>
      </c>
      <c r="G2228" s="0" t="n">
        <f aca="false">IF(A2228="",0,IF(SUMPRODUCT(--($A$2:$A$5001=A2228))&gt;1,1,0))</f>
        <v>0</v>
      </c>
      <c r="H2228" s="0" t="n">
        <f aca="false">ROW()-1</f>
        <v>2227</v>
      </c>
      <c r="I2228" s="0" t="str">
        <f aca="false">IF(OR(הגדרות!$E$6=0,H2228&gt;הגדרות!$E$5),"",IF(H2228-1&lt;הגדרות!$E$8*(הגדרות!$E$7+1),INT((H2228-1)/(הגדרות!$E$7+1)),הגדרות!$E$8+INT((H2228-1-הגדרות!$E$8*(הגדרות!$E$7+1))/הגדרות!$E$7)))</f>
        <v/>
      </c>
      <c r="J2228" s="0" t="str">
        <f aca="false">IF(I2228="","",IF(H2228-1&lt;הגדרות!$E$8*(הגדרות!$E$7+1),MOD(H2228-1,הגדרות!$E$7+1),MOD(H2228-1-הגדרות!$E$8*(הגדרות!$E$7+1),הגדרות!$E$7)))</f>
        <v/>
      </c>
      <c r="K2228" s="0" t="str">
        <f aca="false">IF(I2228="","",J2228*הגדרות!$E$6+I2228+1)</f>
        <v/>
      </c>
      <c r="L2228" s="0" t="str">
        <f aca="false">IF(K2228="","",MATCH(K2228,$F$2:$F$5001,0))</f>
        <v/>
      </c>
      <c r="M2228" s="0" t="str">
        <f aca="false">IF(I2228="","",INDEX(הגדרות!$A$2:$A$21,MOD(I2228+הגדרות!$E$9,הגדרות!$E$6)+1))</f>
        <v/>
      </c>
    </row>
    <row r="2229" customFormat="false" ht="15" hidden="false" customHeight="false" outlineLevel="0" collapsed="false">
      <c r="A2229" s="0" t="str">
        <f aca="false">IF('הדבקת לידים'!A2229="","",IF(ISNUMBER('הדבקת לידים'!A2229),IF(הגדרות!$E$2&gt;0,TEXT('הדבקת לידים'!A2229,REPT("0",הגדרות!$E$2)),TEXT('הדבקת לידים'!A2229,"0")),TRIM('הדבקת לידים'!A2229)))</f>
        <v/>
      </c>
      <c r="B2229" s="0" t="str">
        <f aca="false">IF('הדבקת לידים'!B2229="","",IF(ISNUMBER('הדבקת לידים'!B2229),IF(הגדרות!$E$3&gt;0,TEXT('הדבקת לידים'!B2229,REPT("0",הגדרות!$E$3)),TEXT('הדבקת לידים'!B2229,"0")),TRIM('הדבקת לידים'!B2229)))</f>
        <v/>
      </c>
      <c r="C2229" s="0" t="n">
        <f aca="false">IF(OR(A2229&lt;&gt;"",B2229&lt;&gt;""),1,0)</f>
        <v>0</v>
      </c>
      <c r="D2229" s="0" t="str">
        <f aca="false">IF(C2229=1,MOD(ABS(SIN(ROW()*12.9898+'הדבקת לידים'!$F$2*78.233+IFERROR(--RIGHT(A2229,6),LEN(A2229))*0.0137+IFERROR(--RIGHT(B2229,6),LEN(B2229))*0.0071))*43758.5453,1),"")</f>
        <v/>
      </c>
      <c r="E2229" s="0" t="str">
        <f aca="false">IF(C2229=1,INT(MOD(ABS(SIN(D2229*7919.123+ROW()*0.618+'הדבקת לידים'!$F$2*1.3))*43758.5453,1)*1000000)*10000+ROW(),"")</f>
        <v/>
      </c>
      <c r="F2229" s="0" t="str">
        <f aca="false">IF(E2229="","",RANK(E2229,$E$2:$E$5001,1))</f>
        <v/>
      </c>
      <c r="G2229" s="0" t="n">
        <f aca="false">IF(A2229="",0,IF(SUMPRODUCT(--($A$2:$A$5001=A2229))&gt;1,1,0))</f>
        <v>0</v>
      </c>
      <c r="H2229" s="0" t="n">
        <f aca="false">ROW()-1</f>
        <v>2228</v>
      </c>
      <c r="I2229" s="0" t="str">
        <f aca="false">IF(OR(הגדרות!$E$6=0,H2229&gt;הגדרות!$E$5),"",IF(H2229-1&lt;הגדרות!$E$8*(הגדרות!$E$7+1),INT((H2229-1)/(הגדרות!$E$7+1)),הגדרות!$E$8+INT((H2229-1-הגדרות!$E$8*(הגדרות!$E$7+1))/הגדרות!$E$7)))</f>
        <v/>
      </c>
      <c r="J2229" s="0" t="str">
        <f aca="false">IF(I2229="","",IF(H2229-1&lt;הגדרות!$E$8*(הגדרות!$E$7+1),MOD(H2229-1,הגדרות!$E$7+1),MOD(H2229-1-הגדרות!$E$8*(הגדרות!$E$7+1),הגדרות!$E$7)))</f>
        <v/>
      </c>
      <c r="K2229" s="0" t="str">
        <f aca="false">IF(I2229="","",J2229*הגדרות!$E$6+I2229+1)</f>
        <v/>
      </c>
      <c r="L2229" s="0" t="str">
        <f aca="false">IF(K2229="","",MATCH(K2229,$F$2:$F$5001,0))</f>
        <v/>
      </c>
      <c r="M2229" s="0" t="str">
        <f aca="false">IF(I2229="","",INDEX(הגדרות!$A$2:$A$21,MOD(I2229+הגדרות!$E$9,הגדרות!$E$6)+1))</f>
        <v/>
      </c>
    </row>
    <row r="2230" customFormat="false" ht="15" hidden="false" customHeight="false" outlineLevel="0" collapsed="false">
      <c r="A2230" s="0" t="str">
        <f aca="false">IF('הדבקת לידים'!A2230="","",IF(ISNUMBER('הדבקת לידים'!A2230),IF(הגדרות!$E$2&gt;0,TEXT('הדבקת לידים'!A2230,REPT("0",הגדרות!$E$2)),TEXT('הדבקת לידים'!A2230,"0")),TRIM('הדבקת לידים'!A2230)))</f>
        <v/>
      </c>
      <c r="B2230" s="0" t="str">
        <f aca="false">IF('הדבקת לידים'!B2230="","",IF(ISNUMBER('הדבקת לידים'!B2230),IF(הגדרות!$E$3&gt;0,TEXT('הדבקת לידים'!B2230,REPT("0",הגדרות!$E$3)),TEXT('הדבקת לידים'!B2230,"0")),TRIM('הדבקת לידים'!B2230)))</f>
        <v/>
      </c>
      <c r="C2230" s="0" t="n">
        <f aca="false">IF(OR(A2230&lt;&gt;"",B2230&lt;&gt;""),1,0)</f>
        <v>0</v>
      </c>
      <c r="D2230" s="0" t="str">
        <f aca="false">IF(C2230=1,MOD(ABS(SIN(ROW()*12.9898+'הדבקת לידים'!$F$2*78.233+IFERROR(--RIGHT(A2230,6),LEN(A2230))*0.0137+IFERROR(--RIGHT(B2230,6),LEN(B2230))*0.0071))*43758.5453,1),"")</f>
        <v/>
      </c>
      <c r="E2230" s="0" t="str">
        <f aca="false">IF(C2230=1,INT(MOD(ABS(SIN(D2230*7919.123+ROW()*0.618+'הדבקת לידים'!$F$2*1.3))*43758.5453,1)*1000000)*10000+ROW(),"")</f>
        <v/>
      </c>
      <c r="F2230" s="0" t="str">
        <f aca="false">IF(E2230="","",RANK(E2230,$E$2:$E$5001,1))</f>
        <v/>
      </c>
      <c r="G2230" s="0" t="n">
        <f aca="false">IF(A2230="",0,IF(SUMPRODUCT(--($A$2:$A$5001=A2230))&gt;1,1,0))</f>
        <v>0</v>
      </c>
      <c r="H2230" s="0" t="n">
        <f aca="false">ROW()-1</f>
        <v>2229</v>
      </c>
      <c r="I2230" s="0" t="str">
        <f aca="false">IF(OR(הגדרות!$E$6=0,H2230&gt;הגדרות!$E$5),"",IF(H2230-1&lt;הגדרות!$E$8*(הגדרות!$E$7+1),INT((H2230-1)/(הגדרות!$E$7+1)),הגדרות!$E$8+INT((H2230-1-הגדרות!$E$8*(הגדרות!$E$7+1))/הגדרות!$E$7)))</f>
        <v/>
      </c>
      <c r="J2230" s="0" t="str">
        <f aca="false">IF(I2230="","",IF(H2230-1&lt;הגדרות!$E$8*(הגדרות!$E$7+1),MOD(H2230-1,הגדרות!$E$7+1),MOD(H2230-1-הגדרות!$E$8*(הגדרות!$E$7+1),הגדרות!$E$7)))</f>
        <v/>
      </c>
      <c r="K2230" s="0" t="str">
        <f aca="false">IF(I2230="","",J2230*הגדרות!$E$6+I2230+1)</f>
        <v/>
      </c>
      <c r="L2230" s="0" t="str">
        <f aca="false">IF(K2230="","",MATCH(K2230,$F$2:$F$5001,0))</f>
        <v/>
      </c>
      <c r="M2230" s="0" t="str">
        <f aca="false">IF(I2230="","",INDEX(הגדרות!$A$2:$A$21,MOD(I2230+הגדרות!$E$9,הגדרות!$E$6)+1))</f>
        <v/>
      </c>
    </row>
    <row r="2231" customFormat="false" ht="15" hidden="false" customHeight="false" outlineLevel="0" collapsed="false">
      <c r="A2231" s="0" t="str">
        <f aca="false">IF('הדבקת לידים'!A2231="","",IF(ISNUMBER('הדבקת לידים'!A2231),IF(הגדרות!$E$2&gt;0,TEXT('הדבקת לידים'!A2231,REPT("0",הגדרות!$E$2)),TEXT('הדבקת לידים'!A2231,"0")),TRIM('הדבקת לידים'!A2231)))</f>
        <v/>
      </c>
      <c r="B2231" s="0" t="str">
        <f aca="false">IF('הדבקת לידים'!B2231="","",IF(ISNUMBER('הדבקת לידים'!B2231),IF(הגדרות!$E$3&gt;0,TEXT('הדבקת לידים'!B2231,REPT("0",הגדרות!$E$3)),TEXT('הדבקת לידים'!B2231,"0")),TRIM('הדבקת לידים'!B2231)))</f>
        <v/>
      </c>
      <c r="C2231" s="0" t="n">
        <f aca="false">IF(OR(A2231&lt;&gt;"",B2231&lt;&gt;""),1,0)</f>
        <v>0</v>
      </c>
      <c r="D2231" s="0" t="str">
        <f aca="false">IF(C2231=1,MOD(ABS(SIN(ROW()*12.9898+'הדבקת לידים'!$F$2*78.233+IFERROR(--RIGHT(A2231,6),LEN(A2231))*0.0137+IFERROR(--RIGHT(B2231,6),LEN(B2231))*0.0071))*43758.5453,1),"")</f>
        <v/>
      </c>
      <c r="E2231" s="0" t="str">
        <f aca="false">IF(C2231=1,INT(MOD(ABS(SIN(D2231*7919.123+ROW()*0.618+'הדבקת לידים'!$F$2*1.3))*43758.5453,1)*1000000)*10000+ROW(),"")</f>
        <v/>
      </c>
      <c r="F2231" s="0" t="str">
        <f aca="false">IF(E2231="","",RANK(E2231,$E$2:$E$5001,1))</f>
        <v/>
      </c>
      <c r="G2231" s="0" t="n">
        <f aca="false">IF(A2231="",0,IF(SUMPRODUCT(--($A$2:$A$5001=A2231))&gt;1,1,0))</f>
        <v>0</v>
      </c>
      <c r="H2231" s="0" t="n">
        <f aca="false">ROW()-1</f>
        <v>2230</v>
      </c>
      <c r="I2231" s="0" t="str">
        <f aca="false">IF(OR(הגדרות!$E$6=0,H2231&gt;הגדרות!$E$5),"",IF(H2231-1&lt;הגדרות!$E$8*(הגדרות!$E$7+1),INT((H2231-1)/(הגדרות!$E$7+1)),הגדרות!$E$8+INT((H2231-1-הגדרות!$E$8*(הגדרות!$E$7+1))/הגדרות!$E$7)))</f>
        <v/>
      </c>
      <c r="J2231" s="0" t="str">
        <f aca="false">IF(I2231="","",IF(H2231-1&lt;הגדרות!$E$8*(הגדרות!$E$7+1),MOD(H2231-1,הגדרות!$E$7+1),MOD(H2231-1-הגדרות!$E$8*(הגדרות!$E$7+1),הגדרות!$E$7)))</f>
        <v/>
      </c>
      <c r="K2231" s="0" t="str">
        <f aca="false">IF(I2231="","",J2231*הגדרות!$E$6+I2231+1)</f>
        <v/>
      </c>
      <c r="L2231" s="0" t="str">
        <f aca="false">IF(K2231="","",MATCH(K2231,$F$2:$F$5001,0))</f>
        <v/>
      </c>
      <c r="M2231" s="0" t="str">
        <f aca="false">IF(I2231="","",INDEX(הגדרות!$A$2:$A$21,MOD(I2231+הגדרות!$E$9,הגדרות!$E$6)+1))</f>
        <v/>
      </c>
    </row>
    <row r="2232" customFormat="false" ht="15" hidden="false" customHeight="false" outlineLevel="0" collapsed="false">
      <c r="A2232" s="0" t="str">
        <f aca="false">IF('הדבקת לידים'!A2232="","",IF(ISNUMBER('הדבקת לידים'!A2232),IF(הגדרות!$E$2&gt;0,TEXT('הדבקת לידים'!A2232,REPT("0",הגדרות!$E$2)),TEXT('הדבקת לידים'!A2232,"0")),TRIM('הדבקת לידים'!A2232)))</f>
        <v/>
      </c>
      <c r="B2232" s="0" t="str">
        <f aca="false">IF('הדבקת לידים'!B2232="","",IF(ISNUMBER('הדבקת לידים'!B2232),IF(הגדרות!$E$3&gt;0,TEXT('הדבקת לידים'!B2232,REPT("0",הגדרות!$E$3)),TEXT('הדבקת לידים'!B2232,"0")),TRIM('הדבקת לידים'!B2232)))</f>
        <v/>
      </c>
      <c r="C2232" s="0" t="n">
        <f aca="false">IF(OR(A2232&lt;&gt;"",B2232&lt;&gt;""),1,0)</f>
        <v>0</v>
      </c>
      <c r="D2232" s="0" t="str">
        <f aca="false">IF(C2232=1,MOD(ABS(SIN(ROW()*12.9898+'הדבקת לידים'!$F$2*78.233+IFERROR(--RIGHT(A2232,6),LEN(A2232))*0.0137+IFERROR(--RIGHT(B2232,6),LEN(B2232))*0.0071))*43758.5453,1),"")</f>
        <v/>
      </c>
      <c r="E2232" s="0" t="str">
        <f aca="false">IF(C2232=1,INT(MOD(ABS(SIN(D2232*7919.123+ROW()*0.618+'הדבקת לידים'!$F$2*1.3))*43758.5453,1)*1000000)*10000+ROW(),"")</f>
        <v/>
      </c>
      <c r="F2232" s="0" t="str">
        <f aca="false">IF(E2232="","",RANK(E2232,$E$2:$E$5001,1))</f>
        <v/>
      </c>
      <c r="G2232" s="0" t="n">
        <f aca="false">IF(A2232="",0,IF(SUMPRODUCT(--($A$2:$A$5001=A2232))&gt;1,1,0))</f>
        <v>0</v>
      </c>
      <c r="H2232" s="0" t="n">
        <f aca="false">ROW()-1</f>
        <v>2231</v>
      </c>
      <c r="I2232" s="0" t="str">
        <f aca="false">IF(OR(הגדרות!$E$6=0,H2232&gt;הגדרות!$E$5),"",IF(H2232-1&lt;הגדרות!$E$8*(הגדרות!$E$7+1),INT((H2232-1)/(הגדרות!$E$7+1)),הגדרות!$E$8+INT((H2232-1-הגדרות!$E$8*(הגדרות!$E$7+1))/הגדרות!$E$7)))</f>
        <v/>
      </c>
      <c r="J2232" s="0" t="str">
        <f aca="false">IF(I2232="","",IF(H2232-1&lt;הגדרות!$E$8*(הגדרות!$E$7+1),MOD(H2232-1,הגדרות!$E$7+1),MOD(H2232-1-הגדרות!$E$8*(הגדרות!$E$7+1),הגדרות!$E$7)))</f>
        <v/>
      </c>
      <c r="K2232" s="0" t="str">
        <f aca="false">IF(I2232="","",J2232*הגדרות!$E$6+I2232+1)</f>
        <v/>
      </c>
      <c r="L2232" s="0" t="str">
        <f aca="false">IF(K2232="","",MATCH(K2232,$F$2:$F$5001,0))</f>
        <v/>
      </c>
      <c r="M2232" s="0" t="str">
        <f aca="false">IF(I2232="","",INDEX(הגדרות!$A$2:$A$21,MOD(I2232+הגדרות!$E$9,הגדרות!$E$6)+1))</f>
        <v/>
      </c>
    </row>
    <row r="2233" customFormat="false" ht="15" hidden="false" customHeight="false" outlineLevel="0" collapsed="false">
      <c r="A2233" s="0" t="str">
        <f aca="false">IF('הדבקת לידים'!A2233="","",IF(ISNUMBER('הדבקת לידים'!A2233),IF(הגדרות!$E$2&gt;0,TEXT('הדבקת לידים'!A2233,REPT("0",הגדרות!$E$2)),TEXT('הדבקת לידים'!A2233,"0")),TRIM('הדבקת לידים'!A2233)))</f>
        <v/>
      </c>
      <c r="B2233" s="0" t="str">
        <f aca="false">IF('הדבקת לידים'!B2233="","",IF(ISNUMBER('הדבקת לידים'!B2233),IF(הגדרות!$E$3&gt;0,TEXT('הדבקת לידים'!B2233,REPT("0",הגדרות!$E$3)),TEXT('הדבקת לידים'!B2233,"0")),TRIM('הדבקת לידים'!B2233)))</f>
        <v/>
      </c>
      <c r="C2233" s="0" t="n">
        <f aca="false">IF(OR(A2233&lt;&gt;"",B2233&lt;&gt;""),1,0)</f>
        <v>0</v>
      </c>
      <c r="D2233" s="0" t="str">
        <f aca="false">IF(C2233=1,MOD(ABS(SIN(ROW()*12.9898+'הדבקת לידים'!$F$2*78.233+IFERROR(--RIGHT(A2233,6),LEN(A2233))*0.0137+IFERROR(--RIGHT(B2233,6),LEN(B2233))*0.0071))*43758.5453,1),"")</f>
        <v/>
      </c>
      <c r="E2233" s="0" t="str">
        <f aca="false">IF(C2233=1,INT(MOD(ABS(SIN(D2233*7919.123+ROW()*0.618+'הדבקת לידים'!$F$2*1.3))*43758.5453,1)*1000000)*10000+ROW(),"")</f>
        <v/>
      </c>
      <c r="F2233" s="0" t="str">
        <f aca="false">IF(E2233="","",RANK(E2233,$E$2:$E$5001,1))</f>
        <v/>
      </c>
      <c r="G2233" s="0" t="n">
        <f aca="false">IF(A2233="",0,IF(SUMPRODUCT(--($A$2:$A$5001=A2233))&gt;1,1,0))</f>
        <v>0</v>
      </c>
      <c r="H2233" s="0" t="n">
        <f aca="false">ROW()-1</f>
        <v>2232</v>
      </c>
      <c r="I2233" s="0" t="str">
        <f aca="false">IF(OR(הגדרות!$E$6=0,H2233&gt;הגדרות!$E$5),"",IF(H2233-1&lt;הגדרות!$E$8*(הגדרות!$E$7+1),INT((H2233-1)/(הגדרות!$E$7+1)),הגדרות!$E$8+INT((H2233-1-הגדרות!$E$8*(הגדרות!$E$7+1))/הגדרות!$E$7)))</f>
        <v/>
      </c>
      <c r="J2233" s="0" t="str">
        <f aca="false">IF(I2233="","",IF(H2233-1&lt;הגדרות!$E$8*(הגדרות!$E$7+1),MOD(H2233-1,הגדרות!$E$7+1),MOD(H2233-1-הגדרות!$E$8*(הגדרות!$E$7+1),הגדרות!$E$7)))</f>
        <v/>
      </c>
      <c r="K2233" s="0" t="str">
        <f aca="false">IF(I2233="","",J2233*הגדרות!$E$6+I2233+1)</f>
        <v/>
      </c>
      <c r="L2233" s="0" t="str">
        <f aca="false">IF(K2233="","",MATCH(K2233,$F$2:$F$5001,0))</f>
        <v/>
      </c>
      <c r="M2233" s="0" t="str">
        <f aca="false">IF(I2233="","",INDEX(הגדרות!$A$2:$A$21,MOD(I2233+הגדרות!$E$9,הגדרות!$E$6)+1))</f>
        <v/>
      </c>
    </row>
    <row r="2234" customFormat="false" ht="15" hidden="false" customHeight="false" outlineLevel="0" collapsed="false">
      <c r="A2234" s="0" t="str">
        <f aca="false">IF('הדבקת לידים'!A2234="","",IF(ISNUMBER('הדבקת לידים'!A2234),IF(הגדרות!$E$2&gt;0,TEXT('הדבקת לידים'!A2234,REPT("0",הגדרות!$E$2)),TEXT('הדבקת לידים'!A2234,"0")),TRIM('הדבקת לידים'!A2234)))</f>
        <v/>
      </c>
      <c r="B2234" s="0" t="str">
        <f aca="false">IF('הדבקת לידים'!B2234="","",IF(ISNUMBER('הדבקת לידים'!B2234),IF(הגדרות!$E$3&gt;0,TEXT('הדבקת לידים'!B2234,REPT("0",הגדרות!$E$3)),TEXT('הדבקת לידים'!B2234,"0")),TRIM('הדבקת לידים'!B2234)))</f>
        <v/>
      </c>
      <c r="C2234" s="0" t="n">
        <f aca="false">IF(OR(A2234&lt;&gt;"",B2234&lt;&gt;""),1,0)</f>
        <v>0</v>
      </c>
      <c r="D2234" s="0" t="str">
        <f aca="false">IF(C2234=1,MOD(ABS(SIN(ROW()*12.9898+'הדבקת לידים'!$F$2*78.233+IFERROR(--RIGHT(A2234,6),LEN(A2234))*0.0137+IFERROR(--RIGHT(B2234,6),LEN(B2234))*0.0071))*43758.5453,1),"")</f>
        <v/>
      </c>
      <c r="E2234" s="0" t="str">
        <f aca="false">IF(C2234=1,INT(MOD(ABS(SIN(D2234*7919.123+ROW()*0.618+'הדבקת לידים'!$F$2*1.3))*43758.5453,1)*1000000)*10000+ROW(),"")</f>
        <v/>
      </c>
      <c r="F2234" s="0" t="str">
        <f aca="false">IF(E2234="","",RANK(E2234,$E$2:$E$5001,1))</f>
        <v/>
      </c>
      <c r="G2234" s="0" t="n">
        <f aca="false">IF(A2234="",0,IF(SUMPRODUCT(--($A$2:$A$5001=A2234))&gt;1,1,0))</f>
        <v>0</v>
      </c>
      <c r="H2234" s="0" t="n">
        <f aca="false">ROW()-1</f>
        <v>2233</v>
      </c>
      <c r="I2234" s="0" t="str">
        <f aca="false">IF(OR(הגדרות!$E$6=0,H2234&gt;הגדרות!$E$5),"",IF(H2234-1&lt;הגדרות!$E$8*(הגדרות!$E$7+1),INT((H2234-1)/(הגדרות!$E$7+1)),הגדרות!$E$8+INT((H2234-1-הגדרות!$E$8*(הגדרות!$E$7+1))/הגדרות!$E$7)))</f>
        <v/>
      </c>
      <c r="J2234" s="0" t="str">
        <f aca="false">IF(I2234="","",IF(H2234-1&lt;הגדרות!$E$8*(הגדרות!$E$7+1),MOD(H2234-1,הגדרות!$E$7+1),MOD(H2234-1-הגדרות!$E$8*(הגדרות!$E$7+1),הגדרות!$E$7)))</f>
        <v/>
      </c>
      <c r="K2234" s="0" t="str">
        <f aca="false">IF(I2234="","",J2234*הגדרות!$E$6+I2234+1)</f>
        <v/>
      </c>
      <c r="L2234" s="0" t="str">
        <f aca="false">IF(K2234="","",MATCH(K2234,$F$2:$F$5001,0))</f>
        <v/>
      </c>
      <c r="M2234" s="0" t="str">
        <f aca="false">IF(I2234="","",INDEX(הגדרות!$A$2:$A$21,MOD(I2234+הגדרות!$E$9,הגדרות!$E$6)+1))</f>
        <v/>
      </c>
    </row>
    <row r="2235" customFormat="false" ht="15" hidden="false" customHeight="false" outlineLevel="0" collapsed="false">
      <c r="A2235" s="0" t="str">
        <f aca="false">IF('הדבקת לידים'!A2235="","",IF(ISNUMBER('הדבקת לידים'!A2235),IF(הגדרות!$E$2&gt;0,TEXT('הדבקת לידים'!A2235,REPT("0",הגדרות!$E$2)),TEXT('הדבקת לידים'!A2235,"0")),TRIM('הדבקת לידים'!A2235)))</f>
        <v/>
      </c>
      <c r="B2235" s="0" t="str">
        <f aca="false">IF('הדבקת לידים'!B2235="","",IF(ISNUMBER('הדבקת לידים'!B2235),IF(הגדרות!$E$3&gt;0,TEXT('הדבקת לידים'!B2235,REPT("0",הגדרות!$E$3)),TEXT('הדבקת לידים'!B2235,"0")),TRIM('הדבקת לידים'!B2235)))</f>
        <v/>
      </c>
      <c r="C2235" s="0" t="n">
        <f aca="false">IF(OR(A2235&lt;&gt;"",B2235&lt;&gt;""),1,0)</f>
        <v>0</v>
      </c>
      <c r="D2235" s="0" t="str">
        <f aca="false">IF(C2235=1,MOD(ABS(SIN(ROW()*12.9898+'הדבקת לידים'!$F$2*78.233+IFERROR(--RIGHT(A2235,6),LEN(A2235))*0.0137+IFERROR(--RIGHT(B2235,6),LEN(B2235))*0.0071))*43758.5453,1),"")</f>
        <v/>
      </c>
      <c r="E2235" s="0" t="str">
        <f aca="false">IF(C2235=1,INT(MOD(ABS(SIN(D2235*7919.123+ROW()*0.618+'הדבקת לידים'!$F$2*1.3))*43758.5453,1)*1000000)*10000+ROW(),"")</f>
        <v/>
      </c>
      <c r="F2235" s="0" t="str">
        <f aca="false">IF(E2235="","",RANK(E2235,$E$2:$E$5001,1))</f>
        <v/>
      </c>
      <c r="G2235" s="0" t="n">
        <f aca="false">IF(A2235="",0,IF(SUMPRODUCT(--($A$2:$A$5001=A2235))&gt;1,1,0))</f>
        <v>0</v>
      </c>
      <c r="H2235" s="0" t="n">
        <f aca="false">ROW()-1</f>
        <v>2234</v>
      </c>
      <c r="I2235" s="0" t="str">
        <f aca="false">IF(OR(הגדרות!$E$6=0,H2235&gt;הגדרות!$E$5),"",IF(H2235-1&lt;הגדרות!$E$8*(הגדרות!$E$7+1),INT((H2235-1)/(הגדרות!$E$7+1)),הגדרות!$E$8+INT((H2235-1-הגדרות!$E$8*(הגדרות!$E$7+1))/הגדרות!$E$7)))</f>
        <v/>
      </c>
      <c r="J2235" s="0" t="str">
        <f aca="false">IF(I2235="","",IF(H2235-1&lt;הגדרות!$E$8*(הגדרות!$E$7+1),MOD(H2235-1,הגדרות!$E$7+1),MOD(H2235-1-הגדרות!$E$8*(הגדרות!$E$7+1),הגדרות!$E$7)))</f>
        <v/>
      </c>
      <c r="K2235" s="0" t="str">
        <f aca="false">IF(I2235="","",J2235*הגדרות!$E$6+I2235+1)</f>
        <v/>
      </c>
      <c r="L2235" s="0" t="str">
        <f aca="false">IF(K2235="","",MATCH(K2235,$F$2:$F$5001,0))</f>
        <v/>
      </c>
      <c r="M2235" s="0" t="str">
        <f aca="false">IF(I2235="","",INDEX(הגדרות!$A$2:$A$21,MOD(I2235+הגדרות!$E$9,הגדרות!$E$6)+1))</f>
        <v/>
      </c>
    </row>
    <row r="2236" customFormat="false" ht="15" hidden="false" customHeight="false" outlineLevel="0" collapsed="false">
      <c r="A2236" s="0" t="str">
        <f aca="false">IF('הדבקת לידים'!A2236="","",IF(ISNUMBER('הדבקת לידים'!A2236),IF(הגדרות!$E$2&gt;0,TEXT('הדבקת לידים'!A2236,REPT("0",הגדרות!$E$2)),TEXT('הדבקת לידים'!A2236,"0")),TRIM('הדבקת לידים'!A2236)))</f>
        <v/>
      </c>
      <c r="B2236" s="0" t="str">
        <f aca="false">IF('הדבקת לידים'!B2236="","",IF(ISNUMBER('הדבקת לידים'!B2236),IF(הגדרות!$E$3&gt;0,TEXT('הדבקת לידים'!B2236,REPT("0",הגדרות!$E$3)),TEXT('הדבקת לידים'!B2236,"0")),TRIM('הדבקת לידים'!B2236)))</f>
        <v/>
      </c>
      <c r="C2236" s="0" t="n">
        <f aca="false">IF(OR(A2236&lt;&gt;"",B2236&lt;&gt;""),1,0)</f>
        <v>0</v>
      </c>
      <c r="D2236" s="0" t="str">
        <f aca="false">IF(C2236=1,MOD(ABS(SIN(ROW()*12.9898+'הדבקת לידים'!$F$2*78.233+IFERROR(--RIGHT(A2236,6),LEN(A2236))*0.0137+IFERROR(--RIGHT(B2236,6),LEN(B2236))*0.0071))*43758.5453,1),"")</f>
        <v/>
      </c>
      <c r="E2236" s="0" t="str">
        <f aca="false">IF(C2236=1,INT(MOD(ABS(SIN(D2236*7919.123+ROW()*0.618+'הדבקת לידים'!$F$2*1.3))*43758.5453,1)*1000000)*10000+ROW(),"")</f>
        <v/>
      </c>
      <c r="F2236" s="0" t="str">
        <f aca="false">IF(E2236="","",RANK(E2236,$E$2:$E$5001,1))</f>
        <v/>
      </c>
      <c r="G2236" s="0" t="n">
        <f aca="false">IF(A2236="",0,IF(SUMPRODUCT(--($A$2:$A$5001=A2236))&gt;1,1,0))</f>
        <v>0</v>
      </c>
      <c r="H2236" s="0" t="n">
        <f aca="false">ROW()-1</f>
        <v>2235</v>
      </c>
      <c r="I2236" s="0" t="str">
        <f aca="false">IF(OR(הגדרות!$E$6=0,H2236&gt;הגדרות!$E$5),"",IF(H2236-1&lt;הגדרות!$E$8*(הגדרות!$E$7+1),INT((H2236-1)/(הגדרות!$E$7+1)),הגדרות!$E$8+INT((H2236-1-הגדרות!$E$8*(הגדרות!$E$7+1))/הגדרות!$E$7)))</f>
        <v/>
      </c>
      <c r="J2236" s="0" t="str">
        <f aca="false">IF(I2236="","",IF(H2236-1&lt;הגדרות!$E$8*(הגדרות!$E$7+1),MOD(H2236-1,הגדרות!$E$7+1),MOD(H2236-1-הגדרות!$E$8*(הגדרות!$E$7+1),הגדרות!$E$7)))</f>
        <v/>
      </c>
      <c r="K2236" s="0" t="str">
        <f aca="false">IF(I2236="","",J2236*הגדרות!$E$6+I2236+1)</f>
        <v/>
      </c>
      <c r="L2236" s="0" t="str">
        <f aca="false">IF(K2236="","",MATCH(K2236,$F$2:$F$5001,0))</f>
        <v/>
      </c>
      <c r="M2236" s="0" t="str">
        <f aca="false">IF(I2236="","",INDEX(הגדרות!$A$2:$A$21,MOD(I2236+הגדרות!$E$9,הגדרות!$E$6)+1))</f>
        <v/>
      </c>
    </row>
    <row r="2237" customFormat="false" ht="15" hidden="false" customHeight="false" outlineLevel="0" collapsed="false">
      <c r="A2237" s="0" t="str">
        <f aca="false">IF('הדבקת לידים'!A2237="","",IF(ISNUMBER('הדבקת לידים'!A2237),IF(הגדרות!$E$2&gt;0,TEXT('הדבקת לידים'!A2237,REPT("0",הגדרות!$E$2)),TEXT('הדבקת לידים'!A2237,"0")),TRIM('הדבקת לידים'!A2237)))</f>
        <v/>
      </c>
      <c r="B2237" s="0" t="str">
        <f aca="false">IF('הדבקת לידים'!B2237="","",IF(ISNUMBER('הדבקת לידים'!B2237),IF(הגדרות!$E$3&gt;0,TEXT('הדבקת לידים'!B2237,REPT("0",הגדרות!$E$3)),TEXT('הדבקת לידים'!B2237,"0")),TRIM('הדבקת לידים'!B2237)))</f>
        <v/>
      </c>
      <c r="C2237" s="0" t="n">
        <f aca="false">IF(OR(A2237&lt;&gt;"",B2237&lt;&gt;""),1,0)</f>
        <v>0</v>
      </c>
      <c r="D2237" s="0" t="str">
        <f aca="false">IF(C2237=1,MOD(ABS(SIN(ROW()*12.9898+'הדבקת לידים'!$F$2*78.233+IFERROR(--RIGHT(A2237,6),LEN(A2237))*0.0137+IFERROR(--RIGHT(B2237,6),LEN(B2237))*0.0071))*43758.5453,1),"")</f>
        <v/>
      </c>
      <c r="E2237" s="0" t="str">
        <f aca="false">IF(C2237=1,INT(MOD(ABS(SIN(D2237*7919.123+ROW()*0.618+'הדבקת לידים'!$F$2*1.3))*43758.5453,1)*1000000)*10000+ROW(),"")</f>
        <v/>
      </c>
      <c r="F2237" s="0" t="str">
        <f aca="false">IF(E2237="","",RANK(E2237,$E$2:$E$5001,1))</f>
        <v/>
      </c>
      <c r="G2237" s="0" t="n">
        <f aca="false">IF(A2237="",0,IF(SUMPRODUCT(--($A$2:$A$5001=A2237))&gt;1,1,0))</f>
        <v>0</v>
      </c>
      <c r="H2237" s="0" t="n">
        <f aca="false">ROW()-1</f>
        <v>2236</v>
      </c>
      <c r="I2237" s="0" t="str">
        <f aca="false">IF(OR(הגדרות!$E$6=0,H2237&gt;הגדרות!$E$5),"",IF(H2237-1&lt;הגדרות!$E$8*(הגדרות!$E$7+1),INT((H2237-1)/(הגדרות!$E$7+1)),הגדרות!$E$8+INT((H2237-1-הגדרות!$E$8*(הגדרות!$E$7+1))/הגדרות!$E$7)))</f>
        <v/>
      </c>
      <c r="J2237" s="0" t="str">
        <f aca="false">IF(I2237="","",IF(H2237-1&lt;הגדרות!$E$8*(הגדרות!$E$7+1),MOD(H2237-1,הגדרות!$E$7+1),MOD(H2237-1-הגדרות!$E$8*(הגדרות!$E$7+1),הגדרות!$E$7)))</f>
        <v/>
      </c>
      <c r="K2237" s="0" t="str">
        <f aca="false">IF(I2237="","",J2237*הגדרות!$E$6+I2237+1)</f>
        <v/>
      </c>
      <c r="L2237" s="0" t="str">
        <f aca="false">IF(K2237="","",MATCH(K2237,$F$2:$F$5001,0))</f>
        <v/>
      </c>
      <c r="M2237" s="0" t="str">
        <f aca="false">IF(I2237="","",INDEX(הגדרות!$A$2:$A$21,MOD(I2237+הגדרות!$E$9,הגדרות!$E$6)+1))</f>
        <v/>
      </c>
    </row>
    <row r="2238" customFormat="false" ht="15" hidden="false" customHeight="false" outlineLevel="0" collapsed="false">
      <c r="A2238" s="0" t="str">
        <f aca="false">IF('הדבקת לידים'!A2238="","",IF(ISNUMBER('הדבקת לידים'!A2238),IF(הגדרות!$E$2&gt;0,TEXT('הדבקת לידים'!A2238,REPT("0",הגדרות!$E$2)),TEXT('הדבקת לידים'!A2238,"0")),TRIM('הדבקת לידים'!A2238)))</f>
        <v/>
      </c>
      <c r="B2238" s="0" t="str">
        <f aca="false">IF('הדבקת לידים'!B2238="","",IF(ISNUMBER('הדבקת לידים'!B2238),IF(הגדרות!$E$3&gt;0,TEXT('הדבקת לידים'!B2238,REPT("0",הגדרות!$E$3)),TEXT('הדבקת לידים'!B2238,"0")),TRIM('הדבקת לידים'!B2238)))</f>
        <v/>
      </c>
      <c r="C2238" s="0" t="n">
        <f aca="false">IF(OR(A2238&lt;&gt;"",B2238&lt;&gt;""),1,0)</f>
        <v>0</v>
      </c>
      <c r="D2238" s="0" t="str">
        <f aca="false">IF(C2238=1,MOD(ABS(SIN(ROW()*12.9898+'הדבקת לידים'!$F$2*78.233+IFERROR(--RIGHT(A2238,6),LEN(A2238))*0.0137+IFERROR(--RIGHT(B2238,6),LEN(B2238))*0.0071))*43758.5453,1),"")</f>
        <v/>
      </c>
      <c r="E2238" s="0" t="str">
        <f aca="false">IF(C2238=1,INT(MOD(ABS(SIN(D2238*7919.123+ROW()*0.618+'הדבקת לידים'!$F$2*1.3))*43758.5453,1)*1000000)*10000+ROW(),"")</f>
        <v/>
      </c>
      <c r="F2238" s="0" t="str">
        <f aca="false">IF(E2238="","",RANK(E2238,$E$2:$E$5001,1))</f>
        <v/>
      </c>
      <c r="G2238" s="0" t="n">
        <f aca="false">IF(A2238="",0,IF(SUMPRODUCT(--($A$2:$A$5001=A2238))&gt;1,1,0))</f>
        <v>0</v>
      </c>
      <c r="H2238" s="0" t="n">
        <f aca="false">ROW()-1</f>
        <v>2237</v>
      </c>
      <c r="I2238" s="0" t="str">
        <f aca="false">IF(OR(הגדרות!$E$6=0,H2238&gt;הגדרות!$E$5),"",IF(H2238-1&lt;הגדרות!$E$8*(הגדרות!$E$7+1),INT((H2238-1)/(הגדרות!$E$7+1)),הגדרות!$E$8+INT((H2238-1-הגדרות!$E$8*(הגדרות!$E$7+1))/הגדרות!$E$7)))</f>
        <v/>
      </c>
      <c r="J2238" s="0" t="str">
        <f aca="false">IF(I2238="","",IF(H2238-1&lt;הגדרות!$E$8*(הגדרות!$E$7+1),MOD(H2238-1,הגדרות!$E$7+1),MOD(H2238-1-הגדרות!$E$8*(הגדרות!$E$7+1),הגדרות!$E$7)))</f>
        <v/>
      </c>
      <c r="K2238" s="0" t="str">
        <f aca="false">IF(I2238="","",J2238*הגדרות!$E$6+I2238+1)</f>
        <v/>
      </c>
      <c r="L2238" s="0" t="str">
        <f aca="false">IF(K2238="","",MATCH(K2238,$F$2:$F$5001,0))</f>
        <v/>
      </c>
      <c r="M2238" s="0" t="str">
        <f aca="false">IF(I2238="","",INDEX(הגדרות!$A$2:$A$21,MOD(I2238+הגדרות!$E$9,הגדרות!$E$6)+1))</f>
        <v/>
      </c>
    </row>
    <row r="2239" customFormat="false" ht="15" hidden="false" customHeight="false" outlineLevel="0" collapsed="false">
      <c r="A2239" s="0" t="str">
        <f aca="false">IF('הדבקת לידים'!A2239="","",IF(ISNUMBER('הדבקת לידים'!A2239),IF(הגדרות!$E$2&gt;0,TEXT('הדבקת לידים'!A2239,REPT("0",הגדרות!$E$2)),TEXT('הדבקת לידים'!A2239,"0")),TRIM('הדבקת לידים'!A2239)))</f>
        <v/>
      </c>
      <c r="B2239" s="0" t="str">
        <f aca="false">IF('הדבקת לידים'!B2239="","",IF(ISNUMBER('הדבקת לידים'!B2239),IF(הגדרות!$E$3&gt;0,TEXT('הדבקת לידים'!B2239,REPT("0",הגדרות!$E$3)),TEXT('הדבקת לידים'!B2239,"0")),TRIM('הדבקת לידים'!B2239)))</f>
        <v/>
      </c>
      <c r="C2239" s="0" t="n">
        <f aca="false">IF(OR(A2239&lt;&gt;"",B2239&lt;&gt;""),1,0)</f>
        <v>0</v>
      </c>
      <c r="D2239" s="0" t="str">
        <f aca="false">IF(C2239=1,MOD(ABS(SIN(ROW()*12.9898+'הדבקת לידים'!$F$2*78.233+IFERROR(--RIGHT(A2239,6),LEN(A2239))*0.0137+IFERROR(--RIGHT(B2239,6),LEN(B2239))*0.0071))*43758.5453,1),"")</f>
        <v/>
      </c>
      <c r="E2239" s="0" t="str">
        <f aca="false">IF(C2239=1,INT(MOD(ABS(SIN(D2239*7919.123+ROW()*0.618+'הדבקת לידים'!$F$2*1.3))*43758.5453,1)*1000000)*10000+ROW(),"")</f>
        <v/>
      </c>
      <c r="F2239" s="0" t="str">
        <f aca="false">IF(E2239="","",RANK(E2239,$E$2:$E$5001,1))</f>
        <v/>
      </c>
      <c r="G2239" s="0" t="n">
        <f aca="false">IF(A2239="",0,IF(SUMPRODUCT(--($A$2:$A$5001=A2239))&gt;1,1,0))</f>
        <v>0</v>
      </c>
      <c r="H2239" s="0" t="n">
        <f aca="false">ROW()-1</f>
        <v>2238</v>
      </c>
      <c r="I2239" s="0" t="str">
        <f aca="false">IF(OR(הגדרות!$E$6=0,H2239&gt;הגדרות!$E$5),"",IF(H2239-1&lt;הגדרות!$E$8*(הגדרות!$E$7+1),INT((H2239-1)/(הגדרות!$E$7+1)),הגדרות!$E$8+INT((H2239-1-הגדרות!$E$8*(הגדרות!$E$7+1))/הגדרות!$E$7)))</f>
        <v/>
      </c>
      <c r="J2239" s="0" t="str">
        <f aca="false">IF(I2239="","",IF(H2239-1&lt;הגדרות!$E$8*(הגדרות!$E$7+1),MOD(H2239-1,הגדרות!$E$7+1),MOD(H2239-1-הגדרות!$E$8*(הגדרות!$E$7+1),הגדרות!$E$7)))</f>
        <v/>
      </c>
      <c r="K2239" s="0" t="str">
        <f aca="false">IF(I2239="","",J2239*הגדרות!$E$6+I2239+1)</f>
        <v/>
      </c>
      <c r="L2239" s="0" t="str">
        <f aca="false">IF(K2239="","",MATCH(K2239,$F$2:$F$5001,0))</f>
        <v/>
      </c>
      <c r="M2239" s="0" t="str">
        <f aca="false">IF(I2239="","",INDEX(הגדרות!$A$2:$A$21,MOD(I2239+הגדרות!$E$9,הגדרות!$E$6)+1))</f>
        <v/>
      </c>
    </row>
    <row r="2240" customFormat="false" ht="15" hidden="false" customHeight="false" outlineLevel="0" collapsed="false">
      <c r="A2240" s="0" t="str">
        <f aca="false">IF('הדבקת לידים'!A2240="","",IF(ISNUMBER('הדבקת לידים'!A2240),IF(הגדרות!$E$2&gt;0,TEXT('הדבקת לידים'!A2240,REPT("0",הגדרות!$E$2)),TEXT('הדבקת לידים'!A2240,"0")),TRIM('הדבקת לידים'!A2240)))</f>
        <v/>
      </c>
      <c r="B2240" s="0" t="str">
        <f aca="false">IF('הדבקת לידים'!B2240="","",IF(ISNUMBER('הדבקת לידים'!B2240),IF(הגדרות!$E$3&gt;0,TEXT('הדבקת לידים'!B2240,REPT("0",הגדרות!$E$3)),TEXT('הדבקת לידים'!B2240,"0")),TRIM('הדבקת לידים'!B2240)))</f>
        <v/>
      </c>
      <c r="C2240" s="0" t="n">
        <f aca="false">IF(OR(A2240&lt;&gt;"",B2240&lt;&gt;""),1,0)</f>
        <v>0</v>
      </c>
      <c r="D2240" s="0" t="str">
        <f aca="false">IF(C2240=1,MOD(ABS(SIN(ROW()*12.9898+'הדבקת לידים'!$F$2*78.233+IFERROR(--RIGHT(A2240,6),LEN(A2240))*0.0137+IFERROR(--RIGHT(B2240,6),LEN(B2240))*0.0071))*43758.5453,1),"")</f>
        <v/>
      </c>
      <c r="E2240" s="0" t="str">
        <f aca="false">IF(C2240=1,INT(MOD(ABS(SIN(D2240*7919.123+ROW()*0.618+'הדבקת לידים'!$F$2*1.3))*43758.5453,1)*1000000)*10000+ROW(),"")</f>
        <v/>
      </c>
      <c r="F2240" s="0" t="str">
        <f aca="false">IF(E2240="","",RANK(E2240,$E$2:$E$5001,1))</f>
        <v/>
      </c>
      <c r="G2240" s="0" t="n">
        <f aca="false">IF(A2240="",0,IF(SUMPRODUCT(--($A$2:$A$5001=A2240))&gt;1,1,0))</f>
        <v>0</v>
      </c>
      <c r="H2240" s="0" t="n">
        <f aca="false">ROW()-1</f>
        <v>2239</v>
      </c>
      <c r="I2240" s="0" t="str">
        <f aca="false">IF(OR(הגדרות!$E$6=0,H2240&gt;הגדרות!$E$5),"",IF(H2240-1&lt;הגדרות!$E$8*(הגדרות!$E$7+1),INT((H2240-1)/(הגדרות!$E$7+1)),הגדרות!$E$8+INT((H2240-1-הגדרות!$E$8*(הגדרות!$E$7+1))/הגדרות!$E$7)))</f>
        <v/>
      </c>
      <c r="J2240" s="0" t="str">
        <f aca="false">IF(I2240="","",IF(H2240-1&lt;הגדרות!$E$8*(הגדרות!$E$7+1),MOD(H2240-1,הגדרות!$E$7+1),MOD(H2240-1-הגדרות!$E$8*(הגדרות!$E$7+1),הגדרות!$E$7)))</f>
        <v/>
      </c>
      <c r="K2240" s="0" t="str">
        <f aca="false">IF(I2240="","",J2240*הגדרות!$E$6+I2240+1)</f>
        <v/>
      </c>
      <c r="L2240" s="0" t="str">
        <f aca="false">IF(K2240="","",MATCH(K2240,$F$2:$F$5001,0))</f>
        <v/>
      </c>
      <c r="M2240" s="0" t="str">
        <f aca="false">IF(I2240="","",INDEX(הגדרות!$A$2:$A$21,MOD(I2240+הגדרות!$E$9,הגדרות!$E$6)+1))</f>
        <v/>
      </c>
    </row>
    <row r="2241" customFormat="false" ht="15" hidden="false" customHeight="false" outlineLevel="0" collapsed="false">
      <c r="A2241" s="0" t="str">
        <f aca="false">IF('הדבקת לידים'!A2241="","",IF(ISNUMBER('הדבקת לידים'!A2241),IF(הגדרות!$E$2&gt;0,TEXT('הדבקת לידים'!A2241,REPT("0",הגדרות!$E$2)),TEXT('הדבקת לידים'!A2241,"0")),TRIM('הדבקת לידים'!A2241)))</f>
        <v/>
      </c>
      <c r="B2241" s="0" t="str">
        <f aca="false">IF('הדבקת לידים'!B2241="","",IF(ISNUMBER('הדבקת לידים'!B2241),IF(הגדרות!$E$3&gt;0,TEXT('הדבקת לידים'!B2241,REPT("0",הגדרות!$E$3)),TEXT('הדבקת לידים'!B2241,"0")),TRIM('הדבקת לידים'!B2241)))</f>
        <v/>
      </c>
      <c r="C2241" s="0" t="n">
        <f aca="false">IF(OR(A2241&lt;&gt;"",B2241&lt;&gt;""),1,0)</f>
        <v>0</v>
      </c>
      <c r="D2241" s="0" t="str">
        <f aca="false">IF(C2241=1,MOD(ABS(SIN(ROW()*12.9898+'הדבקת לידים'!$F$2*78.233+IFERROR(--RIGHT(A2241,6),LEN(A2241))*0.0137+IFERROR(--RIGHT(B2241,6),LEN(B2241))*0.0071))*43758.5453,1),"")</f>
        <v/>
      </c>
      <c r="E2241" s="0" t="str">
        <f aca="false">IF(C2241=1,INT(MOD(ABS(SIN(D2241*7919.123+ROW()*0.618+'הדבקת לידים'!$F$2*1.3))*43758.5453,1)*1000000)*10000+ROW(),"")</f>
        <v/>
      </c>
      <c r="F2241" s="0" t="str">
        <f aca="false">IF(E2241="","",RANK(E2241,$E$2:$E$5001,1))</f>
        <v/>
      </c>
      <c r="G2241" s="0" t="n">
        <f aca="false">IF(A2241="",0,IF(SUMPRODUCT(--($A$2:$A$5001=A2241))&gt;1,1,0))</f>
        <v>0</v>
      </c>
      <c r="H2241" s="0" t="n">
        <f aca="false">ROW()-1</f>
        <v>2240</v>
      </c>
      <c r="I2241" s="0" t="str">
        <f aca="false">IF(OR(הגדרות!$E$6=0,H2241&gt;הגדרות!$E$5),"",IF(H2241-1&lt;הגדרות!$E$8*(הגדרות!$E$7+1),INT((H2241-1)/(הגדרות!$E$7+1)),הגדרות!$E$8+INT((H2241-1-הגדרות!$E$8*(הגדרות!$E$7+1))/הגדרות!$E$7)))</f>
        <v/>
      </c>
      <c r="J2241" s="0" t="str">
        <f aca="false">IF(I2241="","",IF(H2241-1&lt;הגדרות!$E$8*(הגדרות!$E$7+1),MOD(H2241-1,הגדרות!$E$7+1),MOD(H2241-1-הגדרות!$E$8*(הגדרות!$E$7+1),הגדרות!$E$7)))</f>
        <v/>
      </c>
      <c r="K2241" s="0" t="str">
        <f aca="false">IF(I2241="","",J2241*הגדרות!$E$6+I2241+1)</f>
        <v/>
      </c>
      <c r="L2241" s="0" t="str">
        <f aca="false">IF(K2241="","",MATCH(K2241,$F$2:$F$5001,0))</f>
        <v/>
      </c>
      <c r="M2241" s="0" t="str">
        <f aca="false">IF(I2241="","",INDEX(הגדרות!$A$2:$A$21,MOD(I2241+הגדרות!$E$9,הגדרות!$E$6)+1))</f>
        <v/>
      </c>
    </row>
    <row r="2242" customFormat="false" ht="15" hidden="false" customHeight="false" outlineLevel="0" collapsed="false">
      <c r="A2242" s="0" t="str">
        <f aca="false">IF('הדבקת לידים'!A2242="","",IF(ISNUMBER('הדבקת לידים'!A2242),IF(הגדרות!$E$2&gt;0,TEXT('הדבקת לידים'!A2242,REPT("0",הגדרות!$E$2)),TEXT('הדבקת לידים'!A2242,"0")),TRIM('הדבקת לידים'!A2242)))</f>
        <v/>
      </c>
      <c r="B2242" s="0" t="str">
        <f aca="false">IF('הדבקת לידים'!B2242="","",IF(ISNUMBER('הדבקת לידים'!B2242),IF(הגדרות!$E$3&gt;0,TEXT('הדבקת לידים'!B2242,REPT("0",הגדרות!$E$3)),TEXT('הדבקת לידים'!B2242,"0")),TRIM('הדבקת לידים'!B2242)))</f>
        <v/>
      </c>
      <c r="C2242" s="0" t="n">
        <f aca="false">IF(OR(A2242&lt;&gt;"",B2242&lt;&gt;""),1,0)</f>
        <v>0</v>
      </c>
      <c r="D2242" s="0" t="str">
        <f aca="false">IF(C2242=1,MOD(ABS(SIN(ROW()*12.9898+'הדבקת לידים'!$F$2*78.233+IFERROR(--RIGHT(A2242,6),LEN(A2242))*0.0137+IFERROR(--RIGHT(B2242,6),LEN(B2242))*0.0071))*43758.5453,1),"")</f>
        <v/>
      </c>
      <c r="E2242" s="0" t="str">
        <f aca="false">IF(C2242=1,INT(MOD(ABS(SIN(D2242*7919.123+ROW()*0.618+'הדבקת לידים'!$F$2*1.3))*43758.5453,1)*1000000)*10000+ROW(),"")</f>
        <v/>
      </c>
      <c r="F2242" s="0" t="str">
        <f aca="false">IF(E2242="","",RANK(E2242,$E$2:$E$5001,1))</f>
        <v/>
      </c>
      <c r="G2242" s="0" t="n">
        <f aca="false">IF(A2242="",0,IF(SUMPRODUCT(--($A$2:$A$5001=A2242))&gt;1,1,0))</f>
        <v>0</v>
      </c>
      <c r="H2242" s="0" t="n">
        <f aca="false">ROW()-1</f>
        <v>2241</v>
      </c>
      <c r="I2242" s="0" t="str">
        <f aca="false">IF(OR(הגדרות!$E$6=0,H2242&gt;הגדרות!$E$5),"",IF(H2242-1&lt;הגדרות!$E$8*(הגדרות!$E$7+1),INT((H2242-1)/(הגדרות!$E$7+1)),הגדרות!$E$8+INT((H2242-1-הגדרות!$E$8*(הגדרות!$E$7+1))/הגדרות!$E$7)))</f>
        <v/>
      </c>
      <c r="J2242" s="0" t="str">
        <f aca="false">IF(I2242="","",IF(H2242-1&lt;הגדרות!$E$8*(הגדרות!$E$7+1),MOD(H2242-1,הגדרות!$E$7+1),MOD(H2242-1-הגדרות!$E$8*(הגדרות!$E$7+1),הגדרות!$E$7)))</f>
        <v/>
      </c>
      <c r="K2242" s="0" t="str">
        <f aca="false">IF(I2242="","",J2242*הגדרות!$E$6+I2242+1)</f>
        <v/>
      </c>
      <c r="L2242" s="0" t="str">
        <f aca="false">IF(K2242="","",MATCH(K2242,$F$2:$F$5001,0))</f>
        <v/>
      </c>
      <c r="M2242" s="0" t="str">
        <f aca="false">IF(I2242="","",INDEX(הגדרות!$A$2:$A$21,MOD(I2242+הגדרות!$E$9,הגדרות!$E$6)+1))</f>
        <v/>
      </c>
    </row>
    <row r="2243" customFormat="false" ht="15" hidden="false" customHeight="false" outlineLevel="0" collapsed="false">
      <c r="A2243" s="0" t="str">
        <f aca="false">IF('הדבקת לידים'!A2243="","",IF(ISNUMBER('הדבקת לידים'!A2243),IF(הגדרות!$E$2&gt;0,TEXT('הדבקת לידים'!A2243,REPT("0",הגדרות!$E$2)),TEXT('הדבקת לידים'!A2243,"0")),TRIM('הדבקת לידים'!A2243)))</f>
        <v/>
      </c>
      <c r="B2243" s="0" t="str">
        <f aca="false">IF('הדבקת לידים'!B2243="","",IF(ISNUMBER('הדבקת לידים'!B2243),IF(הגדרות!$E$3&gt;0,TEXT('הדבקת לידים'!B2243,REPT("0",הגדרות!$E$3)),TEXT('הדבקת לידים'!B2243,"0")),TRIM('הדבקת לידים'!B2243)))</f>
        <v/>
      </c>
      <c r="C2243" s="0" t="n">
        <f aca="false">IF(OR(A2243&lt;&gt;"",B2243&lt;&gt;""),1,0)</f>
        <v>0</v>
      </c>
      <c r="D2243" s="0" t="str">
        <f aca="false">IF(C2243=1,MOD(ABS(SIN(ROW()*12.9898+'הדבקת לידים'!$F$2*78.233+IFERROR(--RIGHT(A2243,6),LEN(A2243))*0.0137+IFERROR(--RIGHT(B2243,6),LEN(B2243))*0.0071))*43758.5453,1),"")</f>
        <v/>
      </c>
      <c r="E2243" s="0" t="str">
        <f aca="false">IF(C2243=1,INT(MOD(ABS(SIN(D2243*7919.123+ROW()*0.618+'הדבקת לידים'!$F$2*1.3))*43758.5453,1)*1000000)*10000+ROW(),"")</f>
        <v/>
      </c>
      <c r="F2243" s="0" t="str">
        <f aca="false">IF(E2243="","",RANK(E2243,$E$2:$E$5001,1))</f>
        <v/>
      </c>
      <c r="G2243" s="0" t="n">
        <f aca="false">IF(A2243="",0,IF(SUMPRODUCT(--($A$2:$A$5001=A2243))&gt;1,1,0))</f>
        <v>0</v>
      </c>
      <c r="H2243" s="0" t="n">
        <f aca="false">ROW()-1</f>
        <v>2242</v>
      </c>
      <c r="I2243" s="0" t="str">
        <f aca="false">IF(OR(הגדרות!$E$6=0,H2243&gt;הגדרות!$E$5),"",IF(H2243-1&lt;הגדרות!$E$8*(הגדרות!$E$7+1),INT((H2243-1)/(הגדרות!$E$7+1)),הגדרות!$E$8+INT((H2243-1-הגדרות!$E$8*(הגדרות!$E$7+1))/הגדרות!$E$7)))</f>
        <v/>
      </c>
      <c r="J2243" s="0" t="str">
        <f aca="false">IF(I2243="","",IF(H2243-1&lt;הגדרות!$E$8*(הגדרות!$E$7+1),MOD(H2243-1,הגדרות!$E$7+1),MOD(H2243-1-הגדרות!$E$8*(הגדרות!$E$7+1),הגדרות!$E$7)))</f>
        <v/>
      </c>
      <c r="K2243" s="0" t="str">
        <f aca="false">IF(I2243="","",J2243*הגדרות!$E$6+I2243+1)</f>
        <v/>
      </c>
      <c r="L2243" s="0" t="str">
        <f aca="false">IF(K2243="","",MATCH(K2243,$F$2:$F$5001,0))</f>
        <v/>
      </c>
      <c r="M2243" s="0" t="str">
        <f aca="false">IF(I2243="","",INDEX(הגדרות!$A$2:$A$21,MOD(I2243+הגדרות!$E$9,הגדרות!$E$6)+1))</f>
        <v/>
      </c>
    </row>
    <row r="2244" customFormat="false" ht="15" hidden="false" customHeight="false" outlineLevel="0" collapsed="false">
      <c r="A2244" s="0" t="str">
        <f aca="false">IF('הדבקת לידים'!A2244="","",IF(ISNUMBER('הדבקת לידים'!A2244),IF(הגדרות!$E$2&gt;0,TEXT('הדבקת לידים'!A2244,REPT("0",הגדרות!$E$2)),TEXT('הדבקת לידים'!A2244,"0")),TRIM('הדבקת לידים'!A2244)))</f>
        <v/>
      </c>
      <c r="B2244" s="0" t="str">
        <f aca="false">IF('הדבקת לידים'!B2244="","",IF(ISNUMBER('הדבקת לידים'!B2244),IF(הגדרות!$E$3&gt;0,TEXT('הדבקת לידים'!B2244,REPT("0",הגדרות!$E$3)),TEXT('הדבקת לידים'!B2244,"0")),TRIM('הדבקת לידים'!B2244)))</f>
        <v/>
      </c>
      <c r="C2244" s="0" t="n">
        <f aca="false">IF(OR(A2244&lt;&gt;"",B2244&lt;&gt;""),1,0)</f>
        <v>0</v>
      </c>
      <c r="D2244" s="0" t="str">
        <f aca="false">IF(C2244=1,MOD(ABS(SIN(ROW()*12.9898+'הדבקת לידים'!$F$2*78.233+IFERROR(--RIGHT(A2244,6),LEN(A2244))*0.0137+IFERROR(--RIGHT(B2244,6),LEN(B2244))*0.0071))*43758.5453,1),"")</f>
        <v/>
      </c>
      <c r="E2244" s="0" t="str">
        <f aca="false">IF(C2244=1,INT(MOD(ABS(SIN(D2244*7919.123+ROW()*0.618+'הדבקת לידים'!$F$2*1.3))*43758.5453,1)*1000000)*10000+ROW(),"")</f>
        <v/>
      </c>
      <c r="F2244" s="0" t="str">
        <f aca="false">IF(E2244="","",RANK(E2244,$E$2:$E$5001,1))</f>
        <v/>
      </c>
      <c r="G2244" s="0" t="n">
        <f aca="false">IF(A2244="",0,IF(SUMPRODUCT(--($A$2:$A$5001=A2244))&gt;1,1,0))</f>
        <v>0</v>
      </c>
      <c r="H2244" s="0" t="n">
        <f aca="false">ROW()-1</f>
        <v>2243</v>
      </c>
      <c r="I2244" s="0" t="str">
        <f aca="false">IF(OR(הגדרות!$E$6=0,H2244&gt;הגדרות!$E$5),"",IF(H2244-1&lt;הגדרות!$E$8*(הגדרות!$E$7+1),INT((H2244-1)/(הגדרות!$E$7+1)),הגדרות!$E$8+INT((H2244-1-הגדרות!$E$8*(הגדרות!$E$7+1))/הגדרות!$E$7)))</f>
        <v/>
      </c>
      <c r="J2244" s="0" t="str">
        <f aca="false">IF(I2244="","",IF(H2244-1&lt;הגדרות!$E$8*(הגדרות!$E$7+1),MOD(H2244-1,הגדרות!$E$7+1),MOD(H2244-1-הגדרות!$E$8*(הגדרות!$E$7+1),הגדרות!$E$7)))</f>
        <v/>
      </c>
      <c r="K2244" s="0" t="str">
        <f aca="false">IF(I2244="","",J2244*הגדרות!$E$6+I2244+1)</f>
        <v/>
      </c>
      <c r="L2244" s="0" t="str">
        <f aca="false">IF(K2244="","",MATCH(K2244,$F$2:$F$5001,0))</f>
        <v/>
      </c>
      <c r="M2244" s="0" t="str">
        <f aca="false">IF(I2244="","",INDEX(הגדרות!$A$2:$A$21,MOD(I2244+הגדרות!$E$9,הגדרות!$E$6)+1))</f>
        <v/>
      </c>
    </row>
    <row r="2245" customFormat="false" ht="15" hidden="false" customHeight="false" outlineLevel="0" collapsed="false">
      <c r="A2245" s="0" t="str">
        <f aca="false">IF('הדבקת לידים'!A2245="","",IF(ISNUMBER('הדבקת לידים'!A2245),IF(הגדרות!$E$2&gt;0,TEXT('הדבקת לידים'!A2245,REPT("0",הגדרות!$E$2)),TEXT('הדבקת לידים'!A2245,"0")),TRIM('הדבקת לידים'!A2245)))</f>
        <v/>
      </c>
      <c r="B2245" s="0" t="str">
        <f aca="false">IF('הדבקת לידים'!B2245="","",IF(ISNUMBER('הדבקת לידים'!B2245),IF(הגדרות!$E$3&gt;0,TEXT('הדבקת לידים'!B2245,REPT("0",הגדרות!$E$3)),TEXT('הדבקת לידים'!B2245,"0")),TRIM('הדבקת לידים'!B2245)))</f>
        <v/>
      </c>
      <c r="C2245" s="0" t="n">
        <f aca="false">IF(OR(A2245&lt;&gt;"",B2245&lt;&gt;""),1,0)</f>
        <v>0</v>
      </c>
      <c r="D2245" s="0" t="str">
        <f aca="false">IF(C2245=1,MOD(ABS(SIN(ROW()*12.9898+'הדבקת לידים'!$F$2*78.233+IFERROR(--RIGHT(A2245,6),LEN(A2245))*0.0137+IFERROR(--RIGHT(B2245,6),LEN(B2245))*0.0071))*43758.5453,1),"")</f>
        <v/>
      </c>
      <c r="E2245" s="0" t="str">
        <f aca="false">IF(C2245=1,INT(MOD(ABS(SIN(D2245*7919.123+ROW()*0.618+'הדבקת לידים'!$F$2*1.3))*43758.5453,1)*1000000)*10000+ROW(),"")</f>
        <v/>
      </c>
      <c r="F2245" s="0" t="str">
        <f aca="false">IF(E2245="","",RANK(E2245,$E$2:$E$5001,1))</f>
        <v/>
      </c>
      <c r="G2245" s="0" t="n">
        <f aca="false">IF(A2245="",0,IF(SUMPRODUCT(--($A$2:$A$5001=A2245))&gt;1,1,0))</f>
        <v>0</v>
      </c>
      <c r="H2245" s="0" t="n">
        <f aca="false">ROW()-1</f>
        <v>2244</v>
      </c>
      <c r="I2245" s="0" t="str">
        <f aca="false">IF(OR(הגדרות!$E$6=0,H2245&gt;הגדרות!$E$5),"",IF(H2245-1&lt;הגדרות!$E$8*(הגדרות!$E$7+1),INT((H2245-1)/(הגדרות!$E$7+1)),הגדרות!$E$8+INT((H2245-1-הגדרות!$E$8*(הגדרות!$E$7+1))/הגדרות!$E$7)))</f>
        <v/>
      </c>
      <c r="J2245" s="0" t="str">
        <f aca="false">IF(I2245="","",IF(H2245-1&lt;הגדרות!$E$8*(הגדרות!$E$7+1),MOD(H2245-1,הגדרות!$E$7+1),MOD(H2245-1-הגדרות!$E$8*(הגדרות!$E$7+1),הגדרות!$E$7)))</f>
        <v/>
      </c>
      <c r="K2245" s="0" t="str">
        <f aca="false">IF(I2245="","",J2245*הגדרות!$E$6+I2245+1)</f>
        <v/>
      </c>
      <c r="L2245" s="0" t="str">
        <f aca="false">IF(K2245="","",MATCH(K2245,$F$2:$F$5001,0))</f>
        <v/>
      </c>
      <c r="M2245" s="0" t="str">
        <f aca="false">IF(I2245="","",INDEX(הגדרות!$A$2:$A$21,MOD(I2245+הגדרות!$E$9,הגדרות!$E$6)+1))</f>
        <v/>
      </c>
    </row>
    <row r="2246" customFormat="false" ht="15" hidden="false" customHeight="false" outlineLevel="0" collapsed="false">
      <c r="A2246" s="0" t="str">
        <f aca="false">IF('הדבקת לידים'!A2246="","",IF(ISNUMBER('הדבקת לידים'!A2246),IF(הגדרות!$E$2&gt;0,TEXT('הדבקת לידים'!A2246,REPT("0",הגדרות!$E$2)),TEXT('הדבקת לידים'!A2246,"0")),TRIM('הדבקת לידים'!A2246)))</f>
        <v/>
      </c>
      <c r="B2246" s="0" t="str">
        <f aca="false">IF('הדבקת לידים'!B2246="","",IF(ISNUMBER('הדבקת לידים'!B2246),IF(הגדרות!$E$3&gt;0,TEXT('הדבקת לידים'!B2246,REPT("0",הגדרות!$E$3)),TEXT('הדבקת לידים'!B2246,"0")),TRIM('הדבקת לידים'!B2246)))</f>
        <v/>
      </c>
      <c r="C2246" s="0" t="n">
        <f aca="false">IF(OR(A2246&lt;&gt;"",B2246&lt;&gt;""),1,0)</f>
        <v>0</v>
      </c>
      <c r="D2246" s="0" t="str">
        <f aca="false">IF(C2246=1,MOD(ABS(SIN(ROW()*12.9898+'הדבקת לידים'!$F$2*78.233+IFERROR(--RIGHT(A2246,6),LEN(A2246))*0.0137+IFERROR(--RIGHT(B2246,6),LEN(B2246))*0.0071))*43758.5453,1),"")</f>
        <v/>
      </c>
      <c r="E2246" s="0" t="str">
        <f aca="false">IF(C2246=1,INT(MOD(ABS(SIN(D2246*7919.123+ROW()*0.618+'הדבקת לידים'!$F$2*1.3))*43758.5453,1)*1000000)*10000+ROW(),"")</f>
        <v/>
      </c>
      <c r="F2246" s="0" t="str">
        <f aca="false">IF(E2246="","",RANK(E2246,$E$2:$E$5001,1))</f>
        <v/>
      </c>
      <c r="G2246" s="0" t="n">
        <f aca="false">IF(A2246="",0,IF(SUMPRODUCT(--($A$2:$A$5001=A2246))&gt;1,1,0))</f>
        <v>0</v>
      </c>
      <c r="H2246" s="0" t="n">
        <f aca="false">ROW()-1</f>
        <v>2245</v>
      </c>
      <c r="I2246" s="0" t="str">
        <f aca="false">IF(OR(הגדרות!$E$6=0,H2246&gt;הגדרות!$E$5),"",IF(H2246-1&lt;הגדרות!$E$8*(הגדרות!$E$7+1),INT((H2246-1)/(הגדרות!$E$7+1)),הגדרות!$E$8+INT((H2246-1-הגדרות!$E$8*(הגדרות!$E$7+1))/הגדרות!$E$7)))</f>
        <v/>
      </c>
      <c r="J2246" s="0" t="str">
        <f aca="false">IF(I2246="","",IF(H2246-1&lt;הגדרות!$E$8*(הגדרות!$E$7+1),MOD(H2246-1,הגדרות!$E$7+1),MOD(H2246-1-הגדרות!$E$8*(הגדרות!$E$7+1),הגדרות!$E$7)))</f>
        <v/>
      </c>
      <c r="K2246" s="0" t="str">
        <f aca="false">IF(I2246="","",J2246*הגדרות!$E$6+I2246+1)</f>
        <v/>
      </c>
      <c r="L2246" s="0" t="str">
        <f aca="false">IF(K2246="","",MATCH(K2246,$F$2:$F$5001,0))</f>
        <v/>
      </c>
      <c r="M2246" s="0" t="str">
        <f aca="false">IF(I2246="","",INDEX(הגדרות!$A$2:$A$21,MOD(I2246+הגדרות!$E$9,הגדרות!$E$6)+1))</f>
        <v/>
      </c>
    </row>
    <row r="2247" customFormat="false" ht="15" hidden="false" customHeight="false" outlineLevel="0" collapsed="false">
      <c r="A2247" s="0" t="str">
        <f aca="false">IF('הדבקת לידים'!A2247="","",IF(ISNUMBER('הדבקת לידים'!A2247),IF(הגדרות!$E$2&gt;0,TEXT('הדבקת לידים'!A2247,REPT("0",הגדרות!$E$2)),TEXT('הדבקת לידים'!A2247,"0")),TRIM('הדבקת לידים'!A2247)))</f>
        <v/>
      </c>
      <c r="B2247" s="0" t="str">
        <f aca="false">IF('הדבקת לידים'!B2247="","",IF(ISNUMBER('הדבקת לידים'!B2247),IF(הגדרות!$E$3&gt;0,TEXT('הדבקת לידים'!B2247,REPT("0",הגדרות!$E$3)),TEXT('הדבקת לידים'!B2247,"0")),TRIM('הדבקת לידים'!B2247)))</f>
        <v/>
      </c>
      <c r="C2247" s="0" t="n">
        <f aca="false">IF(OR(A2247&lt;&gt;"",B2247&lt;&gt;""),1,0)</f>
        <v>0</v>
      </c>
      <c r="D2247" s="0" t="str">
        <f aca="false">IF(C2247=1,MOD(ABS(SIN(ROW()*12.9898+'הדבקת לידים'!$F$2*78.233+IFERROR(--RIGHT(A2247,6),LEN(A2247))*0.0137+IFERROR(--RIGHT(B2247,6),LEN(B2247))*0.0071))*43758.5453,1),"")</f>
        <v/>
      </c>
      <c r="E2247" s="0" t="str">
        <f aca="false">IF(C2247=1,INT(MOD(ABS(SIN(D2247*7919.123+ROW()*0.618+'הדבקת לידים'!$F$2*1.3))*43758.5453,1)*1000000)*10000+ROW(),"")</f>
        <v/>
      </c>
      <c r="F2247" s="0" t="str">
        <f aca="false">IF(E2247="","",RANK(E2247,$E$2:$E$5001,1))</f>
        <v/>
      </c>
      <c r="G2247" s="0" t="n">
        <f aca="false">IF(A2247="",0,IF(SUMPRODUCT(--($A$2:$A$5001=A2247))&gt;1,1,0))</f>
        <v>0</v>
      </c>
      <c r="H2247" s="0" t="n">
        <f aca="false">ROW()-1</f>
        <v>2246</v>
      </c>
      <c r="I2247" s="0" t="str">
        <f aca="false">IF(OR(הגדרות!$E$6=0,H2247&gt;הגדרות!$E$5),"",IF(H2247-1&lt;הגדרות!$E$8*(הגדרות!$E$7+1),INT((H2247-1)/(הגדרות!$E$7+1)),הגדרות!$E$8+INT((H2247-1-הגדרות!$E$8*(הגדרות!$E$7+1))/הגדרות!$E$7)))</f>
        <v/>
      </c>
      <c r="J2247" s="0" t="str">
        <f aca="false">IF(I2247="","",IF(H2247-1&lt;הגדרות!$E$8*(הגדרות!$E$7+1),MOD(H2247-1,הגדרות!$E$7+1),MOD(H2247-1-הגדרות!$E$8*(הגדרות!$E$7+1),הגדרות!$E$7)))</f>
        <v/>
      </c>
      <c r="K2247" s="0" t="str">
        <f aca="false">IF(I2247="","",J2247*הגדרות!$E$6+I2247+1)</f>
        <v/>
      </c>
      <c r="L2247" s="0" t="str">
        <f aca="false">IF(K2247="","",MATCH(K2247,$F$2:$F$5001,0))</f>
        <v/>
      </c>
      <c r="M2247" s="0" t="str">
        <f aca="false">IF(I2247="","",INDEX(הגדרות!$A$2:$A$21,MOD(I2247+הגדרות!$E$9,הגדרות!$E$6)+1))</f>
        <v/>
      </c>
    </row>
    <row r="2248" customFormat="false" ht="15" hidden="false" customHeight="false" outlineLevel="0" collapsed="false">
      <c r="A2248" s="0" t="str">
        <f aca="false">IF('הדבקת לידים'!A2248="","",IF(ISNUMBER('הדבקת לידים'!A2248),IF(הגדרות!$E$2&gt;0,TEXT('הדבקת לידים'!A2248,REPT("0",הגדרות!$E$2)),TEXT('הדבקת לידים'!A2248,"0")),TRIM('הדבקת לידים'!A2248)))</f>
        <v/>
      </c>
      <c r="B2248" s="0" t="str">
        <f aca="false">IF('הדבקת לידים'!B2248="","",IF(ISNUMBER('הדבקת לידים'!B2248),IF(הגדרות!$E$3&gt;0,TEXT('הדבקת לידים'!B2248,REPT("0",הגדרות!$E$3)),TEXT('הדבקת לידים'!B2248,"0")),TRIM('הדבקת לידים'!B2248)))</f>
        <v/>
      </c>
      <c r="C2248" s="0" t="n">
        <f aca="false">IF(OR(A2248&lt;&gt;"",B2248&lt;&gt;""),1,0)</f>
        <v>0</v>
      </c>
      <c r="D2248" s="0" t="str">
        <f aca="false">IF(C2248=1,MOD(ABS(SIN(ROW()*12.9898+'הדבקת לידים'!$F$2*78.233+IFERROR(--RIGHT(A2248,6),LEN(A2248))*0.0137+IFERROR(--RIGHT(B2248,6),LEN(B2248))*0.0071))*43758.5453,1),"")</f>
        <v/>
      </c>
      <c r="E2248" s="0" t="str">
        <f aca="false">IF(C2248=1,INT(MOD(ABS(SIN(D2248*7919.123+ROW()*0.618+'הדבקת לידים'!$F$2*1.3))*43758.5453,1)*1000000)*10000+ROW(),"")</f>
        <v/>
      </c>
      <c r="F2248" s="0" t="str">
        <f aca="false">IF(E2248="","",RANK(E2248,$E$2:$E$5001,1))</f>
        <v/>
      </c>
      <c r="G2248" s="0" t="n">
        <f aca="false">IF(A2248="",0,IF(SUMPRODUCT(--($A$2:$A$5001=A2248))&gt;1,1,0))</f>
        <v>0</v>
      </c>
      <c r="H2248" s="0" t="n">
        <f aca="false">ROW()-1</f>
        <v>2247</v>
      </c>
      <c r="I2248" s="0" t="str">
        <f aca="false">IF(OR(הגדרות!$E$6=0,H2248&gt;הגדרות!$E$5),"",IF(H2248-1&lt;הגדרות!$E$8*(הגדרות!$E$7+1),INT((H2248-1)/(הגדרות!$E$7+1)),הגדרות!$E$8+INT((H2248-1-הגדרות!$E$8*(הגדרות!$E$7+1))/הגדרות!$E$7)))</f>
        <v/>
      </c>
      <c r="J2248" s="0" t="str">
        <f aca="false">IF(I2248="","",IF(H2248-1&lt;הגדרות!$E$8*(הגדרות!$E$7+1),MOD(H2248-1,הגדרות!$E$7+1),MOD(H2248-1-הגדרות!$E$8*(הגדרות!$E$7+1),הגדרות!$E$7)))</f>
        <v/>
      </c>
      <c r="K2248" s="0" t="str">
        <f aca="false">IF(I2248="","",J2248*הגדרות!$E$6+I2248+1)</f>
        <v/>
      </c>
      <c r="L2248" s="0" t="str">
        <f aca="false">IF(K2248="","",MATCH(K2248,$F$2:$F$5001,0))</f>
        <v/>
      </c>
      <c r="M2248" s="0" t="str">
        <f aca="false">IF(I2248="","",INDEX(הגדרות!$A$2:$A$21,MOD(I2248+הגדרות!$E$9,הגדרות!$E$6)+1))</f>
        <v/>
      </c>
    </row>
    <row r="2249" customFormat="false" ht="15" hidden="false" customHeight="false" outlineLevel="0" collapsed="false">
      <c r="A2249" s="0" t="str">
        <f aca="false">IF('הדבקת לידים'!A2249="","",IF(ISNUMBER('הדבקת לידים'!A2249),IF(הגדרות!$E$2&gt;0,TEXT('הדבקת לידים'!A2249,REPT("0",הגדרות!$E$2)),TEXT('הדבקת לידים'!A2249,"0")),TRIM('הדבקת לידים'!A2249)))</f>
        <v/>
      </c>
      <c r="B2249" s="0" t="str">
        <f aca="false">IF('הדבקת לידים'!B2249="","",IF(ISNUMBER('הדבקת לידים'!B2249),IF(הגדרות!$E$3&gt;0,TEXT('הדבקת לידים'!B2249,REPT("0",הגדרות!$E$3)),TEXT('הדבקת לידים'!B2249,"0")),TRIM('הדבקת לידים'!B2249)))</f>
        <v/>
      </c>
      <c r="C2249" s="0" t="n">
        <f aca="false">IF(OR(A2249&lt;&gt;"",B2249&lt;&gt;""),1,0)</f>
        <v>0</v>
      </c>
      <c r="D2249" s="0" t="str">
        <f aca="false">IF(C2249=1,MOD(ABS(SIN(ROW()*12.9898+'הדבקת לידים'!$F$2*78.233+IFERROR(--RIGHT(A2249,6),LEN(A2249))*0.0137+IFERROR(--RIGHT(B2249,6),LEN(B2249))*0.0071))*43758.5453,1),"")</f>
        <v/>
      </c>
      <c r="E2249" s="0" t="str">
        <f aca="false">IF(C2249=1,INT(MOD(ABS(SIN(D2249*7919.123+ROW()*0.618+'הדבקת לידים'!$F$2*1.3))*43758.5453,1)*1000000)*10000+ROW(),"")</f>
        <v/>
      </c>
      <c r="F2249" s="0" t="str">
        <f aca="false">IF(E2249="","",RANK(E2249,$E$2:$E$5001,1))</f>
        <v/>
      </c>
      <c r="G2249" s="0" t="n">
        <f aca="false">IF(A2249="",0,IF(SUMPRODUCT(--($A$2:$A$5001=A2249))&gt;1,1,0))</f>
        <v>0</v>
      </c>
      <c r="H2249" s="0" t="n">
        <f aca="false">ROW()-1</f>
        <v>2248</v>
      </c>
      <c r="I2249" s="0" t="str">
        <f aca="false">IF(OR(הגדרות!$E$6=0,H2249&gt;הגדרות!$E$5),"",IF(H2249-1&lt;הגדרות!$E$8*(הגדרות!$E$7+1),INT((H2249-1)/(הגדרות!$E$7+1)),הגדרות!$E$8+INT((H2249-1-הגדרות!$E$8*(הגדרות!$E$7+1))/הגדרות!$E$7)))</f>
        <v/>
      </c>
      <c r="J2249" s="0" t="str">
        <f aca="false">IF(I2249="","",IF(H2249-1&lt;הגדרות!$E$8*(הגדרות!$E$7+1),MOD(H2249-1,הגדרות!$E$7+1),MOD(H2249-1-הגדרות!$E$8*(הגדרות!$E$7+1),הגדרות!$E$7)))</f>
        <v/>
      </c>
      <c r="K2249" s="0" t="str">
        <f aca="false">IF(I2249="","",J2249*הגדרות!$E$6+I2249+1)</f>
        <v/>
      </c>
      <c r="L2249" s="0" t="str">
        <f aca="false">IF(K2249="","",MATCH(K2249,$F$2:$F$5001,0))</f>
        <v/>
      </c>
      <c r="M2249" s="0" t="str">
        <f aca="false">IF(I2249="","",INDEX(הגדרות!$A$2:$A$21,MOD(I2249+הגדרות!$E$9,הגדרות!$E$6)+1))</f>
        <v/>
      </c>
    </row>
    <row r="2250" customFormat="false" ht="15" hidden="false" customHeight="false" outlineLevel="0" collapsed="false">
      <c r="A2250" s="0" t="str">
        <f aca="false">IF('הדבקת לידים'!A2250="","",IF(ISNUMBER('הדבקת לידים'!A2250),IF(הגדרות!$E$2&gt;0,TEXT('הדבקת לידים'!A2250,REPT("0",הגדרות!$E$2)),TEXT('הדבקת לידים'!A2250,"0")),TRIM('הדבקת לידים'!A2250)))</f>
        <v/>
      </c>
      <c r="B2250" s="0" t="str">
        <f aca="false">IF('הדבקת לידים'!B2250="","",IF(ISNUMBER('הדבקת לידים'!B2250),IF(הגדרות!$E$3&gt;0,TEXT('הדבקת לידים'!B2250,REPT("0",הגדרות!$E$3)),TEXT('הדבקת לידים'!B2250,"0")),TRIM('הדבקת לידים'!B2250)))</f>
        <v/>
      </c>
      <c r="C2250" s="0" t="n">
        <f aca="false">IF(OR(A2250&lt;&gt;"",B2250&lt;&gt;""),1,0)</f>
        <v>0</v>
      </c>
      <c r="D2250" s="0" t="str">
        <f aca="false">IF(C2250=1,MOD(ABS(SIN(ROW()*12.9898+'הדבקת לידים'!$F$2*78.233+IFERROR(--RIGHT(A2250,6),LEN(A2250))*0.0137+IFERROR(--RIGHT(B2250,6),LEN(B2250))*0.0071))*43758.5453,1),"")</f>
        <v/>
      </c>
      <c r="E2250" s="0" t="str">
        <f aca="false">IF(C2250=1,INT(MOD(ABS(SIN(D2250*7919.123+ROW()*0.618+'הדבקת לידים'!$F$2*1.3))*43758.5453,1)*1000000)*10000+ROW(),"")</f>
        <v/>
      </c>
      <c r="F2250" s="0" t="str">
        <f aca="false">IF(E2250="","",RANK(E2250,$E$2:$E$5001,1))</f>
        <v/>
      </c>
      <c r="G2250" s="0" t="n">
        <f aca="false">IF(A2250="",0,IF(SUMPRODUCT(--($A$2:$A$5001=A2250))&gt;1,1,0))</f>
        <v>0</v>
      </c>
      <c r="H2250" s="0" t="n">
        <f aca="false">ROW()-1</f>
        <v>2249</v>
      </c>
      <c r="I2250" s="0" t="str">
        <f aca="false">IF(OR(הגדרות!$E$6=0,H2250&gt;הגדרות!$E$5),"",IF(H2250-1&lt;הגדרות!$E$8*(הגדרות!$E$7+1),INT((H2250-1)/(הגדרות!$E$7+1)),הגדרות!$E$8+INT((H2250-1-הגדרות!$E$8*(הגדרות!$E$7+1))/הגדרות!$E$7)))</f>
        <v/>
      </c>
      <c r="J2250" s="0" t="str">
        <f aca="false">IF(I2250="","",IF(H2250-1&lt;הגדרות!$E$8*(הגדרות!$E$7+1),MOD(H2250-1,הגדרות!$E$7+1),MOD(H2250-1-הגדרות!$E$8*(הגדרות!$E$7+1),הגדרות!$E$7)))</f>
        <v/>
      </c>
      <c r="K2250" s="0" t="str">
        <f aca="false">IF(I2250="","",J2250*הגדרות!$E$6+I2250+1)</f>
        <v/>
      </c>
      <c r="L2250" s="0" t="str">
        <f aca="false">IF(K2250="","",MATCH(K2250,$F$2:$F$5001,0))</f>
        <v/>
      </c>
      <c r="M2250" s="0" t="str">
        <f aca="false">IF(I2250="","",INDEX(הגדרות!$A$2:$A$21,MOD(I2250+הגדרות!$E$9,הגדרות!$E$6)+1))</f>
        <v/>
      </c>
    </row>
    <row r="2251" customFormat="false" ht="15" hidden="false" customHeight="false" outlineLevel="0" collapsed="false">
      <c r="A2251" s="0" t="str">
        <f aca="false">IF('הדבקת לידים'!A2251="","",IF(ISNUMBER('הדבקת לידים'!A2251),IF(הגדרות!$E$2&gt;0,TEXT('הדבקת לידים'!A2251,REPT("0",הגדרות!$E$2)),TEXT('הדבקת לידים'!A2251,"0")),TRIM('הדבקת לידים'!A2251)))</f>
        <v/>
      </c>
      <c r="B2251" s="0" t="str">
        <f aca="false">IF('הדבקת לידים'!B2251="","",IF(ISNUMBER('הדבקת לידים'!B2251),IF(הגדרות!$E$3&gt;0,TEXT('הדבקת לידים'!B2251,REPT("0",הגדרות!$E$3)),TEXT('הדבקת לידים'!B2251,"0")),TRIM('הדבקת לידים'!B2251)))</f>
        <v/>
      </c>
      <c r="C2251" s="0" t="n">
        <f aca="false">IF(OR(A2251&lt;&gt;"",B2251&lt;&gt;""),1,0)</f>
        <v>0</v>
      </c>
      <c r="D2251" s="0" t="str">
        <f aca="false">IF(C2251=1,MOD(ABS(SIN(ROW()*12.9898+'הדבקת לידים'!$F$2*78.233+IFERROR(--RIGHT(A2251,6),LEN(A2251))*0.0137+IFERROR(--RIGHT(B2251,6),LEN(B2251))*0.0071))*43758.5453,1),"")</f>
        <v/>
      </c>
      <c r="E2251" s="0" t="str">
        <f aca="false">IF(C2251=1,INT(MOD(ABS(SIN(D2251*7919.123+ROW()*0.618+'הדבקת לידים'!$F$2*1.3))*43758.5453,1)*1000000)*10000+ROW(),"")</f>
        <v/>
      </c>
      <c r="F2251" s="0" t="str">
        <f aca="false">IF(E2251="","",RANK(E2251,$E$2:$E$5001,1))</f>
        <v/>
      </c>
      <c r="G2251" s="0" t="n">
        <f aca="false">IF(A2251="",0,IF(SUMPRODUCT(--($A$2:$A$5001=A2251))&gt;1,1,0))</f>
        <v>0</v>
      </c>
      <c r="H2251" s="0" t="n">
        <f aca="false">ROW()-1</f>
        <v>2250</v>
      </c>
      <c r="I2251" s="0" t="str">
        <f aca="false">IF(OR(הגדרות!$E$6=0,H2251&gt;הגדרות!$E$5),"",IF(H2251-1&lt;הגדרות!$E$8*(הגדרות!$E$7+1),INT((H2251-1)/(הגדרות!$E$7+1)),הגדרות!$E$8+INT((H2251-1-הגדרות!$E$8*(הגדרות!$E$7+1))/הגדרות!$E$7)))</f>
        <v/>
      </c>
      <c r="J2251" s="0" t="str">
        <f aca="false">IF(I2251="","",IF(H2251-1&lt;הגדרות!$E$8*(הגדרות!$E$7+1),MOD(H2251-1,הגדרות!$E$7+1),MOD(H2251-1-הגדרות!$E$8*(הגדרות!$E$7+1),הגדרות!$E$7)))</f>
        <v/>
      </c>
      <c r="K2251" s="0" t="str">
        <f aca="false">IF(I2251="","",J2251*הגדרות!$E$6+I2251+1)</f>
        <v/>
      </c>
      <c r="L2251" s="0" t="str">
        <f aca="false">IF(K2251="","",MATCH(K2251,$F$2:$F$5001,0))</f>
        <v/>
      </c>
      <c r="M2251" s="0" t="str">
        <f aca="false">IF(I2251="","",INDEX(הגדרות!$A$2:$A$21,MOD(I2251+הגדרות!$E$9,הגדרות!$E$6)+1))</f>
        <v/>
      </c>
    </row>
    <row r="2252" customFormat="false" ht="15" hidden="false" customHeight="false" outlineLevel="0" collapsed="false">
      <c r="A2252" s="0" t="str">
        <f aca="false">IF('הדבקת לידים'!A2252="","",IF(ISNUMBER('הדבקת לידים'!A2252),IF(הגדרות!$E$2&gt;0,TEXT('הדבקת לידים'!A2252,REPT("0",הגדרות!$E$2)),TEXT('הדבקת לידים'!A2252,"0")),TRIM('הדבקת לידים'!A2252)))</f>
        <v/>
      </c>
      <c r="B2252" s="0" t="str">
        <f aca="false">IF('הדבקת לידים'!B2252="","",IF(ISNUMBER('הדבקת לידים'!B2252),IF(הגדרות!$E$3&gt;0,TEXT('הדבקת לידים'!B2252,REPT("0",הגדרות!$E$3)),TEXT('הדבקת לידים'!B2252,"0")),TRIM('הדבקת לידים'!B2252)))</f>
        <v/>
      </c>
      <c r="C2252" s="0" t="n">
        <f aca="false">IF(OR(A2252&lt;&gt;"",B2252&lt;&gt;""),1,0)</f>
        <v>0</v>
      </c>
      <c r="D2252" s="0" t="str">
        <f aca="false">IF(C2252=1,MOD(ABS(SIN(ROW()*12.9898+'הדבקת לידים'!$F$2*78.233+IFERROR(--RIGHT(A2252,6),LEN(A2252))*0.0137+IFERROR(--RIGHT(B2252,6),LEN(B2252))*0.0071))*43758.5453,1),"")</f>
        <v/>
      </c>
      <c r="E2252" s="0" t="str">
        <f aca="false">IF(C2252=1,INT(MOD(ABS(SIN(D2252*7919.123+ROW()*0.618+'הדבקת לידים'!$F$2*1.3))*43758.5453,1)*1000000)*10000+ROW(),"")</f>
        <v/>
      </c>
      <c r="F2252" s="0" t="str">
        <f aca="false">IF(E2252="","",RANK(E2252,$E$2:$E$5001,1))</f>
        <v/>
      </c>
      <c r="G2252" s="0" t="n">
        <f aca="false">IF(A2252="",0,IF(SUMPRODUCT(--($A$2:$A$5001=A2252))&gt;1,1,0))</f>
        <v>0</v>
      </c>
      <c r="H2252" s="0" t="n">
        <f aca="false">ROW()-1</f>
        <v>2251</v>
      </c>
      <c r="I2252" s="0" t="str">
        <f aca="false">IF(OR(הגדרות!$E$6=0,H2252&gt;הגדרות!$E$5),"",IF(H2252-1&lt;הגדרות!$E$8*(הגדרות!$E$7+1),INT((H2252-1)/(הגדרות!$E$7+1)),הגדרות!$E$8+INT((H2252-1-הגדרות!$E$8*(הגדרות!$E$7+1))/הגדרות!$E$7)))</f>
        <v/>
      </c>
      <c r="J2252" s="0" t="str">
        <f aca="false">IF(I2252="","",IF(H2252-1&lt;הגדרות!$E$8*(הגדרות!$E$7+1),MOD(H2252-1,הגדרות!$E$7+1),MOD(H2252-1-הגדרות!$E$8*(הגדרות!$E$7+1),הגדרות!$E$7)))</f>
        <v/>
      </c>
      <c r="K2252" s="0" t="str">
        <f aca="false">IF(I2252="","",J2252*הגדרות!$E$6+I2252+1)</f>
        <v/>
      </c>
      <c r="L2252" s="0" t="str">
        <f aca="false">IF(K2252="","",MATCH(K2252,$F$2:$F$5001,0))</f>
        <v/>
      </c>
      <c r="M2252" s="0" t="str">
        <f aca="false">IF(I2252="","",INDEX(הגדרות!$A$2:$A$21,MOD(I2252+הגדרות!$E$9,הגדרות!$E$6)+1))</f>
        <v/>
      </c>
    </row>
    <row r="2253" customFormat="false" ht="15" hidden="false" customHeight="false" outlineLevel="0" collapsed="false">
      <c r="A2253" s="0" t="str">
        <f aca="false">IF('הדבקת לידים'!A2253="","",IF(ISNUMBER('הדבקת לידים'!A2253),IF(הגדרות!$E$2&gt;0,TEXT('הדבקת לידים'!A2253,REPT("0",הגדרות!$E$2)),TEXT('הדבקת לידים'!A2253,"0")),TRIM('הדבקת לידים'!A2253)))</f>
        <v/>
      </c>
      <c r="B2253" s="0" t="str">
        <f aca="false">IF('הדבקת לידים'!B2253="","",IF(ISNUMBER('הדבקת לידים'!B2253),IF(הגדרות!$E$3&gt;0,TEXT('הדבקת לידים'!B2253,REPT("0",הגדרות!$E$3)),TEXT('הדבקת לידים'!B2253,"0")),TRIM('הדבקת לידים'!B2253)))</f>
        <v/>
      </c>
      <c r="C2253" s="0" t="n">
        <f aca="false">IF(OR(A2253&lt;&gt;"",B2253&lt;&gt;""),1,0)</f>
        <v>0</v>
      </c>
      <c r="D2253" s="0" t="str">
        <f aca="false">IF(C2253=1,MOD(ABS(SIN(ROW()*12.9898+'הדבקת לידים'!$F$2*78.233+IFERROR(--RIGHT(A2253,6),LEN(A2253))*0.0137+IFERROR(--RIGHT(B2253,6),LEN(B2253))*0.0071))*43758.5453,1),"")</f>
        <v/>
      </c>
      <c r="E2253" s="0" t="str">
        <f aca="false">IF(C2253=1,INT(MOD(ABS(SIN(D2253*7919.123+ROW()*0.618+'הדבקת לידים'!$F$2*1.3))*43758.5453,1)*1000000)*10000+ROW(),"")</f>
        <v/>
      </c>
      <c r="F2253" s="0" t="str">
        <f aca="false">IF(E2253="","",RANK(E2253,$E$2:$E$5001,1))</f>
        <v/>
      </c>
      <c r="G2253" s="0" t="n">
        <f aca="false">IF(A2253="",0,IF(SUMPRODUCT(--($A$2:$A$5001=A2253))&gt;1,1,0))</f>
        <v>0</v>
      </c>
      <c r="H2253" s="0" t="n">
        <f aca="false">ROW()-1</f>
        <v>2252</v>
      </c>
      <c r="I2253" s="0" t="str">
        <f aca="false">IF(OR(הגדרות!$E$6=0,H2253&gt;הגדרות!$E$5),"",IF(H2253-1&lt;הגדרות!$E$8*(הגדרות!$E$7+1),INT((H2253-1)/(הגדרות!$E$7+1)),הגדרות!$E$8+INT((H2253-1-הגדרות!$E$8*(הגדרות!$E$7+1))/הגדרות!$E$7)))</f>
        <v/>
      </c>
      <c r="J2253" s="0" t="str">
        <f aca="false">IF(I2253="","",IF(H2253-1&lt;הגדרות!$E$8*(הגדרות!$E$7+1),MOD(H2253-1,הגדרות!$E$7+1),MOD(H2253-1-הגדרות!$E$8*(הגדרות!$E$7+1),הגדרות!$E$7)))</f>
        <v/>
      </c>
      <c r="K2253" s="0" t="str">
        <f aca="false">IF(I2253="","",J2253*הגדרות!$E$6+I2253+1)</f>
        <v/>
      </c>
      <c r="L2253" s="0" t="str">
        <f aca="false">IF(K2253="","",MATCH(K2253,$F$2:$F$5001,0))</f>
        <v/>
      </c>
      <c r="M2253" s="0" t="str">
        <f aca="false">IF(I2253="","",INDEX(הגדרות!$A$2:$A$21,MOD(I2253+הגדרות!$E$9,הגדרות!$E$6)+1))</f>
        <v/>
      </c>
    </row>
    <row r="2254" customFormat="false" ht="15" hidden="false" customHeight="false" outlineLevel="0" collapsed="false">
      <c r="A2254" s="0" t="str">
        <f aca="false">IF('הדבקת לידים'!A2254="","",IF(ISNUMBER('הדבקת לידים'!A2254),IF(הגדרות!$E$2&gt;0,TEXT('הדבקת לידים'!A2254,REPT("0",הגדרות!$E$2)),TEXT('הדבקת לידים'!A2254,"0")),TRIM('הדבקת לידים'!A2254)))</f>
        <v/>
      </c>
      <c r="B2254" s="0" t="str">
        <f aca="false">IF('הדבקת לידים'!B2254="","",IF(ISNUMBER('הדבקת לידים'!B2254),IF(הגדרות!$E$3&gt;0,TEXT('הדבקת לידים'!B2254,REPT("0",הגדרות!$E$3)),TEXT('הדבקת לידים'!B2254,"0")),TRIM('הדבקת לידים'!B2254)))</f>
        <v/>
      </c>
      <c r="C2254" s="0" t="n">
        <f aca="false">IF(OR(A2254&lt;&gt;"",B2254&lt;&gt;""),1,0)</f>
        <v>0</v>
      </c>
      <c r="D2254" s="0" t="str">
        <f aca="false">IF(C2254=1,MOD(ABS(SIN(ROW()*12.9898+'הדבקת לידים'!$F$2*78.233+IFERROR(--RIGHT(A2254,6),LEN(A2254))*0.0137+IFERROR(--RIGHT(B2254,6),LEN(B2254))*0.0071))*43758.5453,1),"")</f>
        <v/>
      </c>
      <c r="E2254" s="0" t="str">
        <f aca="false">IF(C2254=1,INT(MOD(ABS(SIN(D2254*7919.123+ROW()*0.618+'הדבקת לידים'!$F$2*1.3))*43758.5453,1)*1000000)*10000+ROW(),"")</f>
        <v/>
      </c>
      <c r="F2254" s="0" t="str">
        <f aca="false">IF(E2254="","",RANK(E2254,$E$2:$E$5001,1))</f>
        <v/>
      </c>
      <c r="G2254" s="0" t="n">
        <f aca="false">IF(A2254="",0,IF(SUMPRODUCT(--($A$2:$A$5001=A2254))&gt;1,1,0))</f>
        <v>0</v>
      </c>
      <c r="H2254" s="0" t="n">
        <f aca="false">ROW()-1</f>
        <v>2253</v>
      </c>
      <c r="I2254" s="0" t="str">
        <f aca="false">IF(OR(הגדרות!$E$6=0,H2254&gt;הגדרות!$E$5),"",IF(H2254-1&lt;הגדרות!$E$8*(הגדרות!$E$7+1),INT((H2254-1)/(הגדרות!$E$7+1)),הגדרות!$E$8+INT((H2254-1-הגדרות!$E$8*(הגדרות!$E$7+1))/הגדרות!$E$7)))</f>
        <v/>
      </c>
      <c r="J2254" s="0" t="str">
        <f aca="false">IF(I2254="","",IF(H2254-1&lt;הגדרות!$E$8*(הגדרות!$E$7+1),MOD(H2254-1,הגדרות!$E$7+1),MOD(H2254-1-הגדרות!$E$8*(הגדרות!$E$7+1),הגדרות!$E$7)))</f>
        <v/>
      </c>
      <c r="K2254" s="0" t="str">
        <f aca="false">IF(I2254="","",J2254*הגדרות!$E$6+I2254+1)</f>
        <v/>
      </c>
      <c r="L2254" s="0" t="str">
        <f aca="false">IF(K2254="","",MATCH(K2254,$F$2:$F$5001,0))</f>
        <v/>
      </c>
      <c r="M2254" s="0" t="str">
        <f aca="false">IF(I2254="","",INDEX(הגדרות!$A$2:$A$21,MOD(I2254+הגדרות!$E$9,הגדרות!$E$6)+1))</f>
        <v/>
      </c>
    </row>
    <row r="2255" customFormat="false" ht="15" hidden="false" customHeight="false" outlineLevel="0" collapsed="false">
      <c r="A2255" s="0" t="str">
        <f aca="false">IF('הדבקת לידים'!A2255="","",IF(ISNUMBER('הדבקת לידים'!A2255),IF(הגדרות!$E$2&gt;0,TEXT('הדבקת לידים'!A2255,REPT("0",הגדרות!$E$2)),TEXT('הדבקת לידים'!A2255,"0")),TRIM('הדבקת לידים'!A2255)))</f>
        <v/>
      </c>
      <c r="B2255" s="0" t="str">
        <f aca="false">IF('הדבקת לידים'!B2255="","",IF(ISNUMBER('הדבקת לידים'!B2255),IF(הגדרות!$E$3&gt;0,TEXT('הדבקת לידים'!B2255,REPT("0",הגדרות!$E$3)),TEXT('הדבקת לידים'!B2255,"0")),TRIM('הדבקת לידים'!B2255)))</f>
        <v/>
      </c>
      <c r="C2255" s="0" t="n">
        <f aca="false">IF(OR(A2255&lt;&gt;"",B2255&lt;&gt;""),1,0)</f>
        <v>0</v>
      </c>
      <c r="D2255" s="0" t="str">
        <f aca="false">IF(C2255=1,MOD(ABS(SIN(ROW()*12.9898+'הדבקת לידים'!$F$2*78.233+IFERROR(--RIGHT(A2255,6),LEN(A2255))*0.0137+IFERROR(--RIGHT(B2255,6),LEN(B2255))*0.0071))*43758.5453,1),"")</f>
        <v/>
      </c>
      <c r="E2255" s="0" t="str">
        <f aca="false">IF(C2255=1,INT(MOD(ABS(SIN(D2255*7919.123+ROW()*0.618+'הדבקת לידים'!$F$2*1.3))*43758.5453,1)*1000000)*10000+ROW(),"")</f>
        <v/>
      </c>
      <c r="F2255" s="0" t="str">
        <f aca="false">IF(E2255="","",RANK(E2255,$E$2:$E$5001,1))</f>
        <v/>
      </c>
      <c r="G2255" s="0" t="n">
        <f aca="false">IF(A2255="",0,IF(SUMPRODUCT(--($A$2:$A$5001=A2255))&gt;1,1,0))</f>
        <v>0</v>
      </c>
      <c r="H2255" s="0" t="n">
        <f aca="false">ROW()-1</f>
        <v>2254</v>
      </c>
      <c r="I2255" s="0" t="str">
        <f aca="false">IF(OR(הגדרות!$E$6=0,H2255&gt;הגדרות!$E$5),"",IF(H2255-1&lt;הגדרות!$E$8*(הגדרות!$E$7+1),INT((H2255-1)/(הגדרות!$E$7+1)),הגדרות!$E$8+INT((H2255-1-הגדרות!$E$8*(הגדרות!$E$7+1))/הגדרות!$E$7)))</f>
        <v/>
      </c>
      <c r="J2255" s="0" t="str">
        <f aca="false">IF(I2255="","",IF(H2255-1&lt;הגדרות!$E$8*(הגדרות!$E$7+1),MOD(H2255-1,הגדרות!$E$7+1),MOD(H2255-1-הגדרות!$E$8*(הגדרות!$E$7+1),הגדרות!$E$7)))</f>
        <v/>
      </c>
      <c r="K2255" s="0" t="str">
        <f aca="false">IF(I2255="","",J2255*הגדרות!$E$6+I2255+1)</f>
        <v/>
      </c>
      <c r="L2255" s="0" t="str">
        <f aca="false">IF(K2255="","",MATCH(K2255,$F$2:$F$5001,0))</f>
        <v/>
      </c>
      <c r="M2255" s="0" t="str">
        <f aca="false">IF(I2255="","",INDEX(הגדרות!$A$2:$A$21,MOD(I2255+הגדרות!$E$9,הגדרות!$E$6)+1))</f>
        <v/>
      </c>
    </row>
    <row r="2256" customFormat="false" ht="15" hidden="false" customHeight="false" outlineLevel="0" collapsed="false">
      <c r="A2256" s="0" t="str">
        <f aca="false">IF('הדבקת לידים'!A2256="","",IF(ISNUMBER('הדבקת לידים'!A2256),IF(הגדרות!$E$2&gt;0,TEXT('הדבקת לידים'!A2256,REPT("0",הגדרות!$E$2)),TEXT('הדבקת לידים'!A2256,"0")),TRIM('הדבקת לידים'!A2256)))</f>
        <v/>
      </c>
      <c r="B2256" s="0" t="str">
        <f aca="false">IF('הדבקת לידים'!B2256="","",IF(ISNUMBER('הדבקת לידים'!B2256),IF(הגדרות!$E$3&gt;0,TEXT('הדבקת לידים'!B2256,REPT("0",הגדרות!$E$3)),TEXT('הדבקת לידים'!B2256,"0")),TRIM('הדבקת לידים'!B2256)))</f>
        <v/>
      </c>
      <c r="C2256" s="0" t="n">
        <f aca="false">IF(OR(A2256&lt;&gt;"",B2256&lt;&gt;""),1,0)</f>
        <v>0</v>
      </c>
      <c r="D2256" s="0" t="str">
        <f aca="false">IF(C2256=1,MOD(ABS(SIN(ROW()*12.9898+'הדבקת לידים'!$F$2*78.233+IFERROR(--RIGHT(A2256,6),LEN(A2256))*0.0137+IFERROR(--RIGHT(B2256,6),LEN(B2256))*0.0071))*43758.5453,1),"")</f>
        <v/>
      </c>
      <c r="E2256" s="0" t="str">
        <f aca="false">IF(C2256=1,INT(MOD(ABS(SIN(D2256*7919.123+ROW()*0.618+'הדבקת לידים'!$F$2*1.3))*43758.5453,1)*1000000)*10000+ROW(),"")</f>
        <v/>
      </c>
      <c r="F2256" s="0" t="str">
        <f aca="false">IF(E2256="","",RANK(E2256,$E$2:$E$5001,1))</f>
        <v/>
      </c>
      <c r="G2256" s="0" t="n">
        <f aca="false">IF(A2256="",0,IF(SUMPRODUCT(--($A$2:$A$5001=A2256))&gt;1,1,0))</f>
        <v>0</v>
      </c>
      <c r="H2256" s="0" t="n">
        <f aca="false">ROW()-1</f>
        <v>2255</v>
      </c>
      <c r="I2256" s="0" t="str">
        <f aca="false">IF(OR(הגדרות!$E$6=0,H2256&gt;הגדרות!$E$5),"",IF(H2256-1&lt;הגדרות!$E$8*(הגדרות!$E$7+1),INT((H2256-1)/(הגדרות!$E$7+1)),הגדרות!$E$8+INT((H2256-1-הגדרות!$E$8*(הגדרות!$E$7+1))/הגדרות!$E$7)))</f>
        <v/>
      </c>
      <c r="J2256" s="0" t="str">
        <f aca="false">IF(I2256="","",IF(H2256-1&lt;הגדרות!$E$8*(הגדרות!$E$7+1),MOD(H2256-1,הגדרות!$E$7+1),MOD(H2256-1-הגדרות!$E$8*(הגדרות!$E$7+1),הגדרות!$E$7)))</f>
        <v/>
      </c>
      <c r="K2256" s="0" t="str">
        <f aca="false">IF(I2256="","",J2256*הגדרות!$E$6+I2256+1)</f>
        <v/>
      </c>
      <c r="L2256" s="0" t="str">
        <f aca="false">IF(K2256="","",MATCH(K2256,$F$2:$F$5001,0))</f>
        <v/>
      </c>
      <c r="M2256" s="0" t="str">
        <f aca="false">IF(I2256="","",INDEX(הגדרות!$A$2:$A$21,MOD(I2256+הגדרות!$E$9,הגדרות!$E$6)+1))</f>
        <v/>
      </c>
    </row>
    <row r="2257" customFormat="false" ht="15" hidden="false" customHeight="false" outlineLevel="0" collapsed="false">
      <c r="A2257" s="0" t="str">
        <f aca="false">IF('הדבקת לידים'!A2257="","",IF(ISNUMBER('הדבקת לידים'!A2257),IF(הגדרות!$E$2&gt;0,TEXT('הדבקת לידים'!A2257,REPT("0",הגדרות!$E$2)),TEXT('הדבקת לידים'!A2257,"0")),TRIM('הדבקת לידים'!A2257)))</f>
        <v/>
      </c>
      <c r="B2257" s="0" t="str">
        <f aca="false">IF('הדבקת לידים'!B2257="","",IF(ISNUMBER('הדבקת לידים'!B2257),IF(הגדרות!$E$3&gt;0,TEXT('הדבקת לידים'!B2257,REPT("0",הגדרות!$E$3)),TEXT('הדבקת לידים'!B2257,"0")),TRIM('הדבקת לידים'!B2257)))</f>
        <v/>
      </c>
      <c r="C2257" s="0" t="n">
        <f aca="false">IF(OR(A2257&lt;&gt;"",B2257&lt;&gt;""),1,0)</f>
        <v>0</v>
      </c>
      <c r="D2257" s="0" t="str">
        <f aca="false">IF(C2257=1,MOD(ABS(SIN(ROW()*12.9898+'הדבקת לידים'!$F$2*78.233+IFERROR(--RIGHT(A2257,6),LEN(A2257))*0.0137+IFERROR(--RIGHT(B2257,6),LEN(B2257))*0.0071))*43758.5453,1),"")</f>
        <v/>
      </c>
      <c r="E2257" s="0" t="str">
        <f aca="false">IF(C2257=1,INT(MOD(ABS(SIN(D2257*7919.123+ROW()*0.618+'הדבקת לידים'!$F$2*1.3))*43758.5453,1)*1000000)*10000+ROW(),"")</f>
        <v/>
      </c>
      <c r="F2257" s="0" t="str">
        <f aca="false">IF(E2257="","",RANK(E2257,$E$2:$E$5001,1))</f>
        <v/>
      </c>
      <c r="G2257" s="0" t="n">
        <f aca="false">IF(A2257="",0,IF(SUMPRODUCT(--($A$2:$A$5001=A2257))&gt;1,1,0))</f>
        <v>0</v>
      </c>
      <c r="H2257" s="0" t="n">
        <f aca="false">ROW()-1</f>
        <v>2256</v>
      </c>
      <c r="I2257" s="0" t="str">
        <f aca="false">IF(OR(הגדרות!$E$6=0,H2257&gt;הגדרות!$E$5),"",IF(H2257-1&lt;הגדרות!$E$8*(הגדרות!$E$7+1),INT((H2257-1)/(הגדרות!$E$7+1)),הגדרות!$E$8+INT((H2257-1-הגדרות!$E$8*(הגדרות!$E$7+1))/הגדרות!$E$7)))</f>
        <v/>
      </c>
      <c r="J2257" s="0" t="str">
        <f aca="false">IF(I2257="","",IF(H2257-1&lt;הגדרות!$E$8*(הגדרות!$E$7+1),MOD(H2257-1,הגדרות!$E$7+1),MOD(H2257-1-הגדרות!$E$8*(הגדרות!$E$7+1),הגדרות!$E$7)))</f>
        <v/>
      </c>
      <c r="K2257" s="0" t="str">
        <f aca="false">IF(I2257="","",J2257*הגדרות!$E$6+I2257+1)</f>
        <v/>
      </c>
      <c r="L2257" s="0" t="str">
        <f aca="false">IF(K2257="","",MATCH(K2257,$F$2:$F$5001,0))</f>
        <v/>
      </c>
      <c r="M2257" s="0" t="str">
        <f aca="false">IF(I2257="","",INDEX(הגדרות!$A$2:$A$21,MOD(I2257+הגדרות!$E$9,הגדרות!$E$6)+1))</f>
        <v/>
      </c>
    </row>
    <row r="2258" customFormat="false" ht="15" hidden="false" customHeight="false" outlineLevel="0" collapsed="false">
      <c r="A2258" s="0" t="str">
        <f aca="false">IF('הדבקת לידים'!A2258="","",IF(ISNUMBER('הדבקת לידים'!A2258),IF(הגדרות!$E$2&gt;0,TEXT('הדבקת לידים'!A2258,REPT("0",הגדרות!$E$2)),TEXT('הדבקת לידים'!A2258,"0")),TRIM('הדבקת לידים'!A2258)))</f>
        <v/>
      </c>
      <c r="B2258" s="0" t="str">
        <f aca="false">IF('הדבקת לידים'!B2258="","",IF(ISNUMBER('הדבקת לידים'!B2258),IF(הגדרות!$E$3&gt;0,TEXT('הדבקת לידים'!B2258,REPT("0",הגדרות!$E$3)),TEXT('הדבקת לידים'!B2258,"0")),TRIM('הדבקת לידים'!B2258)))</f>
        <v/>
      </c>
      <c r="C2258" s="0" t="n">
        <f aca="false">IF(OR(A2258&lt;&gt;"",B2258&lt;&gt;""),1,0)</f>
        <v>0</v>
      </c>
      <c r="D2258" s="0" t="str">
        <f aca="false">IF(C2258=1,MOD(ABS(SIN(ROW()*12.9898+'הדבקת לידים'!$F$2*78.233+IFERROR(--RIGHT(A2258,6),LEN(A2258))*0.0137+IFERROR(--RIGHT(B2258,6),LEN(B2258))*0.0071))*43758.5453,1),"")</f>
        <v/>
      </c>
      <c r="E2258" s="0" t="str">
        <f aca="false">IF(C2258=1,INT(MOD(ABS(SIN(D2258*7919.123+ROW()*0.618+'הדבקת לידים'!$F$2*1.3))*43758.5453,1)*1000000)*10000+ROW(),"")</f>
        <v/>
      </c>
      <c r="F2258" s="0" t="str">
        <f aca="false">IF(E2258="","",RANK(E2258,$E$2:$E$5001,1))</f>
        <v/>
      </c>
      <c r="G2258" s="0" t="n">
        <f aca="false">IF(A2258="",0,IF(SUMPRODUCT(--($A$2:$A$5001=A2258))&gt;1,1,0))</f>
        <v>0</v>
      </c>
      <c r="H2258" s="0" t="n">
        <f aca="false">ROW()-1</f>
        <v>2257</v>
      </c>
      <c r="I2258" s="0" t="str">
        <f aca="false">IF(OR(הגדרות!$E$6=0,H2258&gt;הגדרות!$E$5),"",IF(H2258-1&lt;הגדרות!$E$8*(הגדרות!$E$7+1),INT((H2258-1)/(הגדרות!$E$7+1)),הגדרות!$E$8+INT((H2258-1-הגדרות!$E$8*(הגדרות!$E$7+1))/הגדרות!$E$7)))</f>
        <v/>
      </c>
      <c r="J2258" s="0" t="str">
        <f aca="false">IF(I2258="","",IF(H2258-1&lt;הגדרות!$E$8*(הגדרות!$E$7+1),MOD(H2258-1,הגדרות!$E$7+1),MOD(H2258-1-הגדרות!$E$8*(הגדרות!$E$7+1),הגדרות!$E$7)))</f>
        <v/>
      </c>
      <c r="K2258" s="0" t="str">
        <f aca="false">IF(I2258="","",J2258*הגדרות!$E$6+I2258+1)</f>
        <v/>
      </c>
      <c r="L2258" s="0" t="str">
        <f aca="false">IF(K2258="","",MATCH(K2258,$F$2:$F$5001,0))</f>
        <v/>
      </c>
      <c r="M2258" s="0" t="str">
        <f aca="false">IF(I2258="","",INDEX(הגדרות!$A$2:$A$21,MOD(I2258+הגדרות!$E$9,הגדרות!$E$6)+1))</f>
        <v/>
      </c>
    </row>
    <row r="2259" customFormat="false" ht="15" hidden="false" customHeight="false" outlineLevel="0" collapsed="false">
      <c r="A2259" s="0" t="str">
        <f aca="false">IF('הדבקת לידים'!A2259="","",IF(ISNUMBER('הדבקת לידים'!A2259),IF(הגדרות!$E$2&gt;0,TEXT('הדבקת לידים'!A2259,REPT("0",הגדרות!$E$2)),TEXT('הדבקת לידים'!A2259,"0")),TRIM('הדבקת לידים'!A2259)))</f>
        <v/>
      </c>
      <c r="B2259" s="0" t="str">
        <f aca="false">IF('הדבקת לידים'!B2259="","",IF(ISNUMBER('הדבקת לידים'!B2259),IF(הגדרות!$E$3&gt;0,TEXT('הדבקת לידים'!B2259,REPT("0",הגדרות!$E$3)),TEXT('הדבקת לידים'!B2259,"0")),TRIM('הדבקת לידים'!B2259)))</f>
        <v/>
      </c>
      <c r="C2259" s="0" t="n">
        <f aca="false">IF(OR(A2259&lt;&gt;"",B2259&lt;&gt;""),1,0)</f>
        <v>0</v>
      </c>
      <c r="D2259" s="0" t="str">
        <f aca="false">IF(C2259=1,MOD(ABS(SIN(ROW()*12.9898+'הדבקת לידים'!$F$2*78.233+IFERROR(--RIGHT(A2259,6),LEN(A2259))*0.0137+IFERROR(--RIGHT(B2259,6),LEN(B2259))*0.0071))*43758.5453,1),"")</f>
        <v/>
      </c>
      <c r="E2259" s="0" t="str">
        <f aca="false">IF(C2259=1,INT(MOD(ABS(SIN(D2259*7919.123+ROW()*0.618+'הדבקת לידים'!$F$2*1.3))*43758.5453,1)*1000000)*10000+ROW(),"")</f>
        <v/>
      </c>
      <c r="F2259" s="0" t="str">
        <f aca="false">IF(E2259="","",RANK(E2259,$E$2:$E$5001,1))</f>
        <v/>
      </c>
      <c r="G2259" s="0" t="n">
        <f aca="false">IF(A2259="",0,IF(SUMPRODUCT(--($A$2:$A$5001=A2259))&gt;1,1,0))</f>
        <v>0</v>
      </c>
      <c r="H2259" s="0" t="n">
        <f aca="false">ROW()-1</f>
        <v>2258</v>
      </c>
      <c r="I2259" s="0" t="str">
        <f aca="false">IF(OR(הגדרות!$E$6=0,H2259&gt;הגדרות!$E$5),"",IF(H2259-1&lt;הגדרות!$E$8*(הגדרות!$E$7+1),INT((H2259-1)/(הגדרות!$E$7+1)),הגדרות!$E$8+INT((H2259-1-הגדרות!$E$8*(הגדרות!$E$7+1))/הגדרות!$E$7)))</f>
        <v/>
      </c>
      <c r="J2259" s="0" t="str">
        <f aca="false">IF(I2259="","",IF(H2259-1&lt;הגדרות!$E$8*(הגדרות!$E$7+1),MOD(H2259-1,הגדרות!$E$7+1),MOD(H2259-1-הגדרות!$E$8*(הגדרות!$E$7+1),הגדרות!$E$7)))</f>
        <v/>
      </c>
      <c r="K2259" s="0" t="str">
        <f aca="false">IF(I2259="","",J2259*הגדרות!$E$6+I2259+1)</f>
        <v/>
      </c>
      <c r="L2259" s="0" t="str">
        <f aca="false">IF(K2259="","",MATCH(K2259,$F$2:$F$5001,0))</f>
        <v/>
      </c>
      <c r="M2259" s="0" t="str">
        <f aca="false">IF(I2259="","",INDEX(הגדרות!$A$2:$A$21,MOD(I2259+הגדרות!$E$9,הגדרות!$E$6)+1))</f>
        <v/>
      </c>
    </row>
    <row r="2260" customFormat="false" ht="15" hidden="false" customHeight="false" outlineLevel="0" collapsed="false">
      <c r="A2260" s="0" t="str">
        <f aca="false">IF('הדבקת לידים'!A2260="","",IF(ISNUMBER('הדבקת לידים'!A2260),IF(הגדרות!$E$2&gt;0,TEXT('הדבקת לידים'!A2260,REPT("0",הגדרות!$E$2)),TEXT('הדבקת לידים'!A2260,"0")),TRIM('הדבקת לידים'!A2260)))</f>
        <v/>
      </c>
      <c r="B2260" s="0" t="str">
        <f aca="false">IF('הדבקת לידים'!B2260="","",IF(ISNUMBER('הדבקת לידים'!B2260),IF(הגדרות!$E$3&gt;0,TEXT('הדבקת לידים'!B2260,REPT("0",הגדרות!$E$3)),TEXT('הדבקת לידים'!B2260,"0")),TRIM('הדבקת לידים'!B2260)))</f>
        <v/>
      </c>
      <c r="C2260" s="0" t="n">
        <f aca="false">IF(OR(A2260&lt;&gt;"",B2260&lt;&gt;""),1,0)</f>
        <v>0</v>
      </c>
      <c r="D2260" s="0" t="str">
        <f aca="false">IF(C2260=1,MOD(ABS(SIN(ROW()*12.9898+'הדבקת לידים'!$F$2*78.233+IFERROR(--RIGHT(A2260,6),LEN(A2260))*0.0137+IFERROR(--RIGHT(B2260,6),LEN(B2260))*0.0071))*43758.5453,1),"")</f>
        <v/>
      </c>
      <c r="E2260" s="0" t="str">
        <f aca="false">IF(C2260=1,INT(MOD(ABS(SIN(D2260*7919.123+ROW()*0.618+'הדבקת לידים'!$F$2*1.3))*43758.5453,1)*1000000)*10000+ROW(),"")</f>
        <v/>
      </c>
      <c r="F2260" s="0" t="str">
        <f aca="false">IF(E2260="","",RANK(E2260,$E$2:$E$5001,1))</f>
        <v/>
      </c>
      <c r="G2260" s="0" t="n">
        <f aca="false">IF(A2260="",0,IF(SUMPRODUCT(--($A$2:$A$5001=A2260))&gt;1,1,0))</f>
        <v>0</v>
      </c>
      <c r="H2260" s="0" t="n">
        <f aca="false">ROW()-1</f>
        <v>2259</v>
      </c>
      <c r="I2260" s="0" t="str">
        <f aca="false">IF(OR(הגדרות!$E$6=0,H2260&gt;הגדרות!$E$5),"",IF(H2260-1&lt;הגדרות!$E$8*(הגדרות!$E$7+1),INT((H2260-1)/(הגדרות!$E$7+1)),הגדרות!$E$8+INT((H2260-1-הגדרות!$E$8*(הגדרות!$E$7+1))/הגדרות!$E$7)))</f>
        <v/>
      </c>
      <c r="J2260" s="0" t="str">
        <f aca="false">IF(I2260="","",IF(H2260-1&lt;הגדרות!$E$8*(הגדרות!$E$7+1),MOD(H2260-1,הגדרות!$E$7+1),MOD(H2260-1-הגדרות!$E$8*(הגדרות!$E$7+1),הגדרות!$E$7)))</f>
        <v/>
      </c>
      <c r="K2260" s="0" t="str">
        <f aca="false">IF(I2260="","",J2260*הגדרות!$E$6+I2260+1)</f>
        <v/>
      </c>
      <c r="L2260" s="0" t="str">
        <f aca="false">IF(K2260="","",MATCH(K2260,$F$2:$F$5001,0))</f>
        <v/>
      </c>
      <c r="M2260" s="0" t="str">
        <f aca="false">IF(I2260="","",INDEX(הגדרות!$A$2:$A$21,MOD(I2260+הגדרות!$E$9,הגדרות!$E$6)+1))</f>
        <v/>
      </c>
    </row>
    <row r="2261" customFormat="false" ht="15" hidden="false" customHeight="false" outlineLevel="0" collapsed="false">
      <c r="A2261" s="0" t="str">
        <f aca="false">IF('הדבקת לידים'!A2261="","",IF(ISNUMBER('הדבקת לידים'!A2261),IF(הגדרות!$E$2&gt;0,TEXT('הדבקת לידים'!A2261,REPT("0",הגדרות!$E$2)),TEXT('הדבקת לידים'!A2261,"0")),TRIM('הדבקת לידים'!A2261)))</f>
        <v/>
      </c>
      <c r="B2261" s="0" t="str">
        <f aca="false">IF('הדבקת לידים'!B2261="","",IF(ISNUMBER('הדבקת לידים'!B2261),IF(הגדרות!$E$3&gt;0,TEXT('הדבקת לידים'!B2261,REPT("0",הגדרות!$E$3)),TEXT('הדבקת לידים'!B2261,"0")),TRIM('הדבקת לידים'!B2261)))</f>
        <v/>
      </c>
      <c r="C2261" s="0" t="n">
        <f aca="false">IF(OR(A2261&lt;&gt;"",B2261&lt;&gt;""),1,0)</f>
        <v>0</v>
      </c>
      <c r="D2261" s="0" t="str">
        <f aca="false">IF(C2261=1,MOD(ABS(SIN(ROW()*12.9898+'הדבקת לידים'!$F$2*78.233+IFERROR(--RIGHT(A2261,6),LEN(A2261))*0.0137+IFERROR(--RIGHT(B2261,6),LEN(B2261))*0.0071))*43758.5453,1),"")</f>
        <v/>
      </c>
      <c r="E2261" s="0" t="str">
        <f aca="false">IF(C2261=1,INT(MOD(ABS(SIN(D2261*7919.123+ROW()*0.618+'הדבקת לידים'!$F$2*1.3))*43758.5453,1)*1000000)*10000+ROW(),"")</f>
        <v/>
      </c>
      <c r="F2261" s="0" t="str">
        <f aca="false">IF(E2261="","",RANK(E2261,$E$2:$E$5001,1))</f>
        <v/>
      </c>
      <c r="G2261" s="0" t="n">
        <f aca="false">IF(A2261="",0,IF(SUMPRODUCT(--($A$2:$A$5001=A2261))&gt;1,1,0))</f>
        <v>0</v>
      </c>
      <c r="H2261" s="0" t="n">
        <f aca="false">ROW()-1</f>
        <v>2260</v>
      </c>
      <c r="I2261" s="0" t="str">
        <f aca="false">IF(OR(הגדרות!$E$6=0,H2261&gt;הגדרות!$E$5),"",IF(H2261-1&lt;הגדרות!$E$8*(הגדרות!$E$7+1),INT((H2261-1)/(הגדרות!$E$7+1)),הגדרות!$E$8+INT((H2261-1-הגדרות!$E$8*(הגדרות!$E$7+1))/הגדרות!$E$7)))</f>
        <v/>
      </c>
      <c r="J2261" s="0" t="str">
        <f aca="false">IF(I2261="","",IF(H2261-1&lt;הגדרות!$E$8*(הגדרות!$E$7+1),MOD(H2261-1,הגדרות!$E$7+1),MOD(H2261-1-הגדרות!$E$8*(הגדרות!$E$7+1),הגדרות!$E$7)))</f>
        <v/>
      </c>
      <c r="K2261" s="0" t="str">
        <f aca="false">IF(I2261="","",J2261*הגדרות!$E$6+I2261+1)</f>
        <v/>
      </c>
      <c r="L2261" s="0" t="str">
        <f aca="false">IF(K2261="","",MATCH(K2261,$F$2:$F$5001,0))</f>
        <v/>
      </c>
      <c r="M2261" s="0" t="str">
        <f aca="false">IF(I2261="","",INDEX(הגדרות!$A$2:$A$21,MOD(I2261+הגדרות!$E$9,הגדרות!$E$6)+1))</f>
        <v/>
      </c>
    </row>
    <row r="2262" customFormat="false" ht="15" hidden="false" customHeight="false" outlineLevel="0" collapsed="false">
      <c r="A2262" s="0" t="str">
        <f aca="false">IF('הדבקת לידים'!A2262="","",IF(ISNUMBER('הדבקת לידים'!A2262),IF(הגדרות!$E$2&gt;0,TEXT('הדבקת לידים'!A2262,REPT("0",הגדרות!$E$2)),TEXT('הדבקת לידים'!A2262,"0")),TRIM('הדבקת לידים'!A2262)))</f>
        <v/>
      </c>
      <c r="B2262" s="0" t="str">
        <f aca="false">IF('הדבקת לידים'!B2262="","",IF(ISNUMBER('הדבקת לידים'!B2262),IF(הגדרות!$E$3&gt;0,TEXT('הדבקת לידים'!B2262,REPT("0",הגדרות!$E$3)),TEXT('הדבקת לידים'!B2262,"0")),TRIM('הדבקת לידים'!B2262)))</f>
        <v/>
      </c>
      <c r="C2262" s="0" t="n">
        <f aca="false">IF(OR(A2262&lt;&gt;"",B2262&lt;&gt;""),1,0)</f>
        <v>0</v>
      </c>
      <c r="D2262" s="0" t="str">
        <f aca="false">IF(C2262=1,MOD(ABS(SIN(ROW()*12.9898+'הדבקת לידים'!$F$2*78.233+IFERROR(--RIGHT(A2262,6),LEN(A2262))*0.0137+IFERROR(--RIGHT(B2262,6),LEN(B2262))*0.0071))*43758.5453,1),"")</f>
        <v/>
      </c>
      <c r="E2262" s="0" t="str">
        <f aca="false">IF(C2262=1,INT(MOD(ABS(SIN(D2262*7919.123+ROW()*0.618+'הדבקת לידים'!$F$2*1.3))*43758.5453,1)*1000000)*10000+ROW(),"")</f>
        <v/>
      </c>
      <c r="F2262" s="0" t="str">
        <f aca="false">IF(E2262="","",RANK(E2262,$E$2:$E$5001,1))</f>
        <v/>
      </c>
      <c r="G2262" s="0" t="n">
        <f aca="false">IF(A2262="",0,IF(SUMPRODUCT(--($A$2:$A$5001=A2262))&gt;1,1,0))</f>
        <v>0</v>
      </c>
      <c r="H2262" s="0" t="n">
        <f aca="false">ROW()-1</f>
        <v>2261</v>
      </c>
      <c r="I2262" s="0" t="str">
        <f aca="false">IF(OR(הגדרות!$E$6=0,H2262&gt;הגדרות!$E$5),"",IF(H2262-1&lt;הגדרות!$E$8*(הגדרות!$E$7+1),INT((H2262-1)/(הגדרות!$E$7+1)),הגדרות!$E$8+INT((H2262-1-הגדרות!$E$8*(הגדרות!$E$7+1))/הגדרות!$E$7)))</f>
        <v/>
      </c>
      <c r="J2262" s="0" t="str">
        <f aca="false">IF(I2262="","",IF(H2262-1&lt;הגדרות!$E$8*(הגדרות!$E$7+1),MOD(H2262-1,הגדרות!$E$7+1),MOD(H2262-1-הגדרות!$E$8*(הגדרות!$E$7+1),הגדרות!$E$7)))</f>
        <v/>
      </c>
      <c r="K2262" s="0" t="str">
        <f aca="false">IF(I2262="","",J2262*הגדרות!$E$6+I2262+1)</f>
        <v/>
      </c>
      <c r="L2262" s="0" t="str">
        <f aca="false">IF(K2262="","",MATCH(K2262,$F$2:$F$5001,0))</f>
        <v/>
      </c>
      <c r="M2262" s="0" t="str">
        <f aca="false">IF(I2262="","",INDEX(הגדרות!$A$2:$A$21,MOD(I2262+הגדרות!$E$9,הגדרות!$E$6)+1))</f>
        <v/>
      </c>
    </row>
    <row r="2263" customFormat="false" ht="15" hidden="false" customHeight="false" outlineLevel="0" collapsed="false">
      <c r="A2263" s="0" t="str">
        <f aca="false">IF('הדבקת לידים'!A2263="","",IF(ISNUMBER('הדבקת לידים'!A2263),IF(הגדרות!$E$2&gt;0,TEXT('הדבקת לידים'!A2263,REPT("0",הגדרות!$E$2)),TEXT('הדבקת לידים'!A2263,"0")),TRIM('הדבקת לידים'!A2263)))</f>
        <v/>
      </c>
      <c r="B2263" s="0" t="str">
        <f aca="false">IF('הדבקת לידים'!B2263="","",IF(ISNUMBER('הדבקת לידים'!B2263),IF(הגדרות!$E$3&gt;0,TEXT('הדבקת לידים'!B2263,REPT("0",הגדרות!$E$3)),TEXT('הדבקת לידים'!B2263,"0")),TRIM('הדבקת לידים'!B2263)))</f>
        <v/>
      </c>
      <c r="C2263" s="0" t="n">
        <f aca="false">IF(OR(A2263&lt;&gt;"",B2263&lt;&gt;""),1,0)</f>
        <v>0</v>
      </c>
      <c r="D2263" s="0" t="str">
        <f aca="false">IF(C2263=1,MOD(ABS(SIN(ROW()*12.9898+'הדבקת לידים'!$F$2*78.233+IFERROR(--RIGHT(A2263,6),LEN(A2263))*0.0137+IFERROR(--RIGHT(B2263,6),LEN(B2263))*0.0071))*43758.5453,1),"")</f>
        <v/>
      </c>
      <c r="E2263" s="0" t="str">
        <f aca="false">IF(C2263=1,INT(MOD(ABS(SIN(D2263*7919.123+ROW()*0.618+'הדבקת לידים'!$F$2*1.3))*43758.5453,1)*1000000)*10000+ROW(),"")</f>
        <v/>
      </c>
      <c r="F2263" s="0" t="str">
        <f aca="false">IF(E2263="","",RANK(E2263,$E$2:$E$5001,1))</f>
        <v/>
      </c>
      <c r="G2263" s="0" t="n">
        <f aca="false">IF(A2263="",0,IF(SUMPRODUCT(--($A$2:$A$5001=A2263))&gt;1,1,0))</f>
        <v>0</v>
      </c>
      <c r="H2263" s="0" t="n">
        <f aca="false">ROW()-1</f>
        <v>2262</v>
      </c>
      <c r="I2263" s="0" t="str">
        <f aca="false">IF(OR(הגדרות!$E$6=0,H2263&gt;הגדרות!$E$5),"",IF(H2263-1&lt;הגדרות!$E$8*(הגדרות!$E$7+1),INT((H2263-1)/(הגדרות!$E$7+1)),הגדרות!$E$8+INT((H2263-1-הגדרות!$E$8*(הגדרות!$E$7+1))/הגדרות!$E$7)))</f>
        <v/>
      </c>
      <c r="J2263" s="0" t="str">
        <f aca="false">IF(I2263="","",IF(H2263-1&lt;הגדרות!$E$8*(הגדרות!$E$7+1),MOD(H2263-1,הגדרות!$E$7+1),MOD(H2263-1-הגדרות!$E$8*(הגדרות!$E$7+1),הגדרות!$E$7)))</f>
        <v/>
      </c>
      <c r="K2263" s="0" t="str">
        <f aca="false">IF(I2263="","",J2263*הגדרות!$E$6+I2263+1)</f>
        <v/>
      </c>
      <c r="L2263" s="0" t="str">
        <f aca="false">IF(K2263="","",MATCH(K2263,$F$2:$F$5001,0))</f>
        <v/>
      </c>
      <c r="M2263" s="0" t="str">
        <f aca="false">IF(I2263="","",INDEX(הגדרות!$A$2:$A$21,MOD(I2263+הגדרות!$E$9,הגדרות!$E$6)+1))</f>
        <v/>
      </c>
    </row>
    <row r="2264" customFormat="false" ht="15" hidden="false" customHeight="false" outlineLevel="0" collapsed="false">
      <c r="A2264" s="0" t="str">
        <f aca="false">IF('הדבקת לידים'!A2264="","",IF(ISNUMBER('הדבקת לידים'!A2264),IF(הגדרות!$E$2&gt;0,TEXT('הדבקת לידים'!A2264,REPT("0",הגדרות!$E$2)),TEXT('הדבקת לידים'!A2264,"0")),TRIM('הדבקת לידים'!A2264)))</f>
        <v/>
      </c>
      <c r="B2264" s="0" t="str">
        <f aca="false">IF('הדבקת לידים'!B2264="","",IF(ISNUMBER('הדבקת לידים'!B2264),IF(הגדרות!$E$3&gt;0,TEXT('הדבקת לידים'!B2264,REPT("0",הגדרות!$E$3)),TEXT('הדבקת לידים'!B2264,"0")),TRIM('הדבקת לידים'!B2264)))</f>
        <v/>
      </c>
      <c r="C2264" s="0" t="n">
        <f aca="false">IF(OR(A2264&lt;&gt;"",B2264&lt;&gt;""),1,0)</f>
        <v>0</v>
      </c>
      <c r="D2264" s="0" t="str">
        <f aca="false">IF(C2264=1,MOD(ABS(SIN(ROW()*12.9898+'הדבקת לידים'!$F$2*78.233+IFERROR(--RIGHT(A2264,6),LEN(A2264))*0.0137+IFERROR(--RIGHT(B2264,6),LEN(B2264))*0.0071))*43758.5453,1),"")</f>
        <v/>
      </c>
      <c r="E2264" s="0" t="str">
        <f aca="false">IF(C2264=1,INT(MOD(ABS(SIN(D2264*7919.123+ROW()*0.618+'הדבקת לידים'!$F$2*1.3))*43758.5453,1)*1000000)*10000+ROW(),"")</f>
        <v/>
      </c>
      <c r="F2264" s="0" t="str">
        <f aca="false">IF(E2264="","",RANK(E2264,$E$2:$E$5001,1))</f>
        <v/>
      </c>
      <c r="G2264" s="0" t="n">
        <f aca="false">IF(A2264="",0,IF(SUMPRODUCT(--($A$2:$A$5001=A2264))&gt;1,1,0))</f>
        <v>0</v>
      </c>
      <c r="H2264" s="0" t="n">
        <f aca="false">ROW()-1</f>
        <v>2263</v>
      </c>
      <c r="I2264" s="0" t="str">
        <f aca="false">IF(OR(הגדרות!$E$6=0,H2264&gt;הגדרות!$E$5),"",IF(H2264-1&lt;הגדרות!$E$8*(הגדרות!$E$7+1),INT((H2264-1)/(הגדרות!$E$7+1)),הגדרות!$E$8+INT((H2264-1-הגדרות!$E$8*(הגדרות!$E$7+1))/הגדרות!$E$7)))</f>
        <v/>
      </c>
      <c r="J2264" s="0" t="str">
        <f aca="false">IF(I2264="","",IF(H2264-1&lt;הגדרות!$E$8*(הגדרות!$E$7+1),MOD(H2264-1,הגדרות!$E$7+1),MOD(H2264-1-הגדרות!$E$8*(הגדרות!$E$7+1),הגדרות!$E$7)))</f>
        <v/>
      </c>
      <c r="K2264" s="0" t="str">
        <f aca="false">IF(I2264="","",J2264*הגדרות!$E$6+I2264+1)</f>
        <v/>
      </c>
      <c r="L2264" s="0" t="str">
        <f aca="false">IF(K2264="","",MATCH(K2264,$F$2:$F$5001,0))</f>
        <v/>
      </c>
      <c r="M2264" s="0" t="str">
        <f aca="false">IF(I2264="","",INDEX(הגדרות!$A$2:$A$21,MOD(I2264+הגדרות!$E$9,הגדרות!$E$6)+1))</f>
        <v/>
      </c>
    </row>
    <row r="2265" customFormat="false" ht="15" hidden="false" customHeight="false" outlineLevel="0" collapsed="false">
      <c r="A2265" s="0" t="str">
        <f aca="false">IF('הדבקת לידים'!A2265="","",IF(ISNUMBER('הדבקת לידים'!A2265),IF(הגדרות!$E$2&gt;0,TEXT('הדבקת לידים'!A2265,REPT("0",הגדרות!$E$2)),TEXT('הדבקת לידים'!A2265,"0")),TRIM('הדבקת לידים'!A2265)))</f>
        <v/>
      </c>
      <c r="B2265" s="0" t="str">
        <f aca="false">IF('הדבקת לידים'!B2265="","",IF(ISNUMBER('הדבקת לידים'!B2265),IF(הגדרות!$E$3&gt;0,TEXT('הדבקת לידים'!B2265,REPT("0",הגדרות!$E$3)),TEXT('הדבקת לידים'!B2265,"0")),TRIM('הדבקת לידים'!B2265)))</f>
        <v/>
      </c>
      <c r="C2265" s="0" t="n">
        <f aca="false">IF(OR(A2265&lt;&gt;"",B2265&lt;&gt;""),1,0)</f>
        <v>0</v>
      </c>
      <c r="D2265" s="0" t="str">
        <f aca="false">IF(C2265=1,MOD(ABS(SIN(ROW()*12.9898+'הדבקת לידים'!$F$2*78.233+IFERROR(--RIGHT(A2265,6),LEN(A2265))*0.0137+IFERROR(--RIGHT(B2265,6),LEN(B2265))*0.0071))*43758.5453,1),"")</f>
        <v/>
      </c>
      <c r="E2265" s="0" t="str">
        <f aca="false">IF(C2265=1,INT(MOD(ABS(SIN(D2265*7919.123+ROW()*0.618+'הדבקת לידים'!$F$2*1.3))*43758.5453,1)*1000000)*10000+ROW(),"")</f>
        <v/>
      </c>
      <c r="F2265" s="0" t="str">
        <f aca="false">IF(E2265="","",RANK(E2265,$E$2:$E$5001,1))</f>
        <v/>
      </c>
      <c r="G2265" s="0" t="n">
        <f aca="false">IF(A2265="",0,IF(SUMPRODUCT(--($A$2:$A$5001=A2265))&gt;1,1,0))</f>
        <v>0</v>
      </c>
      <c r="H2265" s="0" t="n">
        <f aca="false">ROW()-1</f>
        <v>2264</v>
      </c>
      <c r="I2265" s="0" t="str">
        <f aca="false">IF(OR(הגדרות!$E$6=0,H2265&gt;הגדרות!$E$5),"",IF(H2265-1&lt;הגדרות!$E$8*(הגדרות!$E$7+1),INT((H2265-1)/(הגדרות!$E$7+1)),הגדרות!$E$8+INT((H2265-1-הגדרות!$E$8*(הגדרות!$E$7+1))/הגדרות!$E$7)))</f>
        <v/>
      </c>
      <c r="J2265" s="0" t="str">
        <f aca="false">IF(I2265="","",IF(H2265-1&lt;הגדרות!$E$8*(הגדרות!$E$7+1),MOD(H2265-1,הגדרות!$E$7+1),MOD(H2265-1-הגדרות!$E$8*(הגדרות!$E$7+1),הגדרות!$E$7)))</f>
        <v/>
      </c>
      <c r="K2265" s="0" t="str">
        <f aca="false">IF(I2265="","",J2265*הגדרות!$E$6+I2265+1)</f>
        <v/>
      </c>
      <c r="L2265" s="0" t="str">
        <f aca="false">IF(K2265="","",MATCH(K2265,$F$2:$F$5001,0))</f>
        <v/>
      </c>
      <c r="M2265" s="0" t="str">
        <f aca="false">IF(I2265="","",INDEX(הגדרות!$A$2:$A$21,MOD(I2265+הגדרות!$E$9,הגדרות!$E$6)+1))</f>
        <v/>
      </c>
    </row>
    <row r="2266" customFormat="false" ht="15" hidden="false" customHeight="false" outlineLevel="0" collapsed="false">
      <c r="A2266" s="0" t="str">
        <f aca="false">IF('הדבקת לידים'!A2266="","",IF(ISNUMBER('הדבקת לידים'!A2266),IF(הגדרות!$E$2&gt;0,TEXT('הדבקת לידים'!A2266,REPT("0",הגדרות!$E$2)),TEXT('הדבקת לידים'!A2266,"0")),TRIM('הדבקת לידים'!A2266)))</f>
        <v/>
      </c>
      <c r="B2266" s="0" t="str">
        <f aca="false">IF('הדבקת לידים'!B2266="","",IF(ISNUMBER('הדבקת לידים'!B2266),IF(הגדרות!$E$3&gt;0,TEXT('הדבקת לידים'!B2266,REPT("0",הגדרות!$E$3)),TEXT('הדבקת לידים'!B2266,"0")),TRIM('הדבקת לידים'!B2266)))</f>
        <v/>
      </c>
      <c r="C2266" s="0" t="n">
        <f aca="false">IF(OR(A2266&lt;&gt;"",B2266&lt;&gt;""),1,0)</f>
        <v>0</v>
      </c>
      <c r="D2266" s="0" t="str">
        <f aca="false">IF(C2266=1,MOD(ABS(SIN(ROW()*12.9898+'הדבקת לידים'!$F$2*78.233+IFERROR(--RIGHT(A2266,6),LEN(A2266))*0.0137+IFERROR(--RIGHT(B2266,6),LEN(B2266))*0.0071))*43758.5453,1),"")</f>
        <v/>
      </c>
      <c r="E2266" s="0" t="str">
        <f aca="false">IF(C2266=1,INT(MOD(ABS(SIN(D2266*7919.123+ROW()*0.618+'הדבקת לידים'!$F$2*1.3))*43758.5453,1)*1000000)*10000+ROW(),"")</f>
        <v/>
      </c>
      <c r="F2266" s="0" t="str">
        <f aca="false">IF(E2266="","",RANK(E2266,$E$2:$E$5001,1))</f>
        <v/>
      </c>
      <c r="G2266" s="0" t="n">
        <f aca="false">IF(A2266="",0,IF(SUMPRODUCT(--($A$2:$A$5001=A2266))&gt;1,1,0))</f>
        <v>0</v>
      </c>
      <c r="H2266" s="0" t="n">
        <f aca="false">ROW()-1</f>
        <v>2265</v>
      </c>
      <c r="I2266" s="0" t="str">
        <f aca="false">IF(OR(הגדרות!$E$6=0,H2266&gt;הגדרות!$E$5),"",IF(H2266-1&lt;הגדרות!$E$8*(הגדרות!$E$7+1),INT((H2266-1)/(הגדרות!$E$7+1)),הגדרות!$E$8+INT((H2266-1-הגדרות!$E$8*(הגדרות!$E$7+1))/הגדרות!$E$7)))</f>
        <v/>
      </c>
      <c r="J2266" s="0" t="str">
        <f aca="false">IF(I2266="","",IF(H2266-1&lt;הגדרות!$E$8*(הגדרות!$E$7+1),MOD(H2266-1,הגדרות!$E$7+1),MOD(H2266-1-הגדרות!$E$8*(הגדרות!$E$7+1),הגדרות!$E$7)))</f>
        <v/>
      </c>
      <c r="K2266" s="0" t="str">
        <f aca="false">IF(I2266="","",J2266*הגדרות!$E$6+I2266+1)</f>
        <v/>
      </c>
      <c r="L2266" s="0" t="str">
        <f aca="false">IF(K2266="","",MATCH(K2266,$F$2:$F$5001,0))</f>
        <v/>
      </c>
      <c r="M2266" s="0" t="str">
        <f aca="false">IF(I2266="","",INDEX(הגדרות!$A$2:$A$21,MOD(I2266+הגדרות!$E$9,הגדרות!$E$6)+1))</f>
        <v/>
      </c>
    </row>
    <row r="2267" customFormat="false" ht="15" hidden="false" customHeight="false" outlineLevel="0" collapsed="false">
      <c r="A2267" s="0" t="str">
        <f aca="false">IF('הדבקת לידים'!A2267="","",IF(ISNUMBER('הדבקת לידים'!A2267),IF(הגדרות!$E$2&gt;0,TEXT('הדבקת לידים'!A2267,REPT("0",הגדרות!$E$2)),TEXT('הדבקת לידים'!A2267,"0")),TRIM('הדבקת לידים'!A2267)))</f>
        <v/>
      </c>
      <c r="B2267" s="0" t="str">
        <f aca="false">IF('הדבקת לידים'!B2267="","",IF(ISNUMBER('הדבקת לידים'!B2267),IF(הגדרות!$E$3&gt;0,TEXT('הדבקת לידים'!B2267,REPT("0",הגדרות!$E$3)),TEXT('הדבקת לידים'!B2267,"0")),TRIM('הדבקת לידים'!B2267)))</f>
        <v/>
      </c>
      <c r="C2267" s="0" t="n">
        <f aca="false">IF(OR(A2267&lt;&gt;"",B2267&lt;&gt;""),1,0)</f>
        <v>0</v>
      </c>
      <c r="D2267" s="0" t="str">
        <f aca="false">IF(C2267=1,MOD(ABS(SIN(ROW()*12.9898+'הדבקת לידים'!$F$2*78.233+IFERROR(--RIGHT(A2267,6),LEN(A2267))*0.0137+IFERROR(--RIGHT(B2267,6),LEN(B2267))*0.0071))*43758.5453,1),"")</f>
        <v/>
      </c>
      <c r="E2267" s="0" t="str">
        <f aca="false">IF(C2267=1,INT(MOD(ABS(SIN(D2267*7919.123+ROW()*0.618+'הדבקת לידים'!$F$2*1.3))*43758.5453,1)*1000000)*10000+ROW(),"")</f>
        <v/>
      </c>
      <c r="F2267" s="0" t="str">
        <f aca="false">IF(E2267="","",RANK(E2267,$E$2:$E$5001,1))</f>
        <v/>
      </c>
      <c r="G2267" s="0" t="n">
        <f aca="false">IF(A2267="",0,IF(SUMPRODUCT(--($A$2:$A$5001=A2267))&gt;1,1,0))</f>
        <v>0</v>
      </c>
      <c r="H2267" s="0" t="n">
        <f aca="false">ROW()-1</f>
        <v>2266</v>
      </c>
      <c r="I2267" s="0" t="str">
        <f aca="false">IF(OR(הגדרות!$E$6=0,H2267&gt;הגדרות!$E$5),"",IF(H2267-1&lt;הגדרות!$E$8*(הגדרות!$E$7+1),INT((H2267-1)/(הגדרות!$E$7+1)),הגדרות!$E$8+INT((H2267-1-הגדרות!$E$8*(הגדרות!$E$7+1))/הגדרות!$E$7)))</f>
        <v/>
      </c>
      <c r="J2267" s="0" t="str">
        <f aca="false">IF(I2267="","",IF(H2267-1&lt;הגדרות!$E$8*(הגדרות!$E$7+1),MOD(H2267-1,הגדרות!$E$7+1),MOD(H2267-1-הגדרות!$E$8*(הגדרות!$E$7+1),הגדרות!$E$7)))</f>
        <v/>
      </c>
      <c r="K2267" s="0" t="str">
        <f aca="false">IF(I2267="","",J2267*הגדרות!$E$6+I2267+1)</f>
        <v/>
      </c>
      <c r="L2267" s="0" t="str">
        <f aca="false">IF(K2267="","",MATCH(K2267,$F$2:$F$5001,0))</f>
        <v/>
      </c>
      <c r="M2267" s="0" t="str">
        <f aca="false">IF(I2267="","",INDEX(הגדרות!$A$2:$A$21,MOD(I2267+הגדרות!$E$9,הגדרות!$E$6)+1))</f>
        <v/>
      </c>
    </row>
    <row r="2268" customFormat="false" ht="15" hidden="false" customHeight="false" outlineLevel="0" collapsed="false">
      <c r="A2268" s="0" t="str">
        <f aca="false">IF('הדבקת לידים'!A2268="","",IF(ISNUMBER('הדבקת לידים'!A2268),IF(הגדרות!$E$2&gt;0,TEXT('הדבקת לידים'!A2268,REPT("0",הגדרות!$E$2)),TEXT('הדבקת לידים'!A2268,"0")),TRIM('הדבקת לידים'!A2268)))</f>
        <v/>
      </c>
      <c r="B2268" s="0" t="str">
        <f aca="false">IF('הדבקת לידים'!B2268="","",IF(ISNUMBER('הדבקת לידים'!B2268),IF(הגדרות!$E$3&gt;0,TEXT('הדבקת לידים'!B2268,REPT("0",הגדרות!$E$3)),TEXT('הדבקת לידים'!B2268,"0")),TRIM('הדבקת לידים'!B2268)))</f>
        <v/>
      </c>
      <c r="C2268" s="0" t="n">
        <f aca="false">IF(OR(A2268&lt;&gt;"",B2268&lt;&gt;""),1,0)</f>
        <v>0</v>
      </c>
      <c r="D2268" s="0" t="str">
        <f aca="false">IF(C2268=1,MOD(ABS(SIN(ROW()*12.9898+'הדבקת לידים'!$F$2*78.233+IFERROR(--RIGHT(A2268,6),LEN(A2268))*0.0137+IFERROR(--RIGHT(B2268,6),LEN(B2268))*0.0071))*43758.5453,1),"")</f>
        <v/>
      </c>
      <c r="E2268" s="0" t="str">
        <f aca="false">IF(C2268=1,INT(MOD(ABS(SIN(D2268*7919.123+ROW()*0.618+'הדבקת לידים'!$F$2*1.3))*43758.5453,1)*1000000)*10000+ROW(),"")</f>
        <v/>
      </c>
      <c r="F2268" s="0" t="str">
        <f aca="false">IF(E2268="","",RANK(E2268,$E$2:$E$5001,1))</f>
        <v/>
      </c>
      <c r="G2268" s="0" t="n">
        <f aca="false">IF(A2268="",0,IF(SUMPRODUCT(--($A$2:$A$5001=A2268))&gt;1,1,0))</f>
        <v>0</v>
      </c>
      <c r="H2268" s="0" t="n">
        <f aca="false">ROW()-1</f>
        <v>2267</v>
      </c>
      <c r="I2268" s="0" t="str">
        <f aca="false">IF(OR(הגדרות!$E$6=0,H2268&gt;הגדרות!$E$5),"",IF(H2268-1&lt;הגדרות!$E$8*(הגדרות!$E$7+1),INT((H2268-1)/(הגדרות!$E$7+1)),הגדרות!$E$8+INT((H2268-1-הגדרות!$E$8*(הגדרות!$E$7+1))/הגדרות!$E$7)))</f>
        <v/>
      </c>
      <c r="J2268" s="0" t="str">
        <f aca="false">IF(I2268="","",IF(H2268-1&lt;הגדרות!$E$8*(הגדרות!$E$7+1),MOD(H2268-1,הגדרות!$E$7+1),MOD(H2268-1-הגדרות!$E$8*(הגדרות!$E$7+1),הגדרות!$E$7)))</f>
        <v/>
      </c>
      <c r="K2268" s="0" t="str">
        <f aca="false">IF(I2268="","",J2268*הגדרות!$E$6+I2268+1)</f>
        <v/>
      </c>
      <c r="L2268" s="0" t="str">
        <f aca="false">IF(K2268="","",MATCH(K2268,$F$2:$F$5001,0))</f>
        <v/>
      </c>
      <c r="M2268" s="0" t="str">
        <f aca="false">IF(I2268="","",INDEX(הגדרות!$A$2:$A$21,MOD(I2268+הגדרות!$E$9,הגדרות!$E$6)+1))</f>
        <v/>
      </c>
    </row>
    <row r="2269" customFormat="false" ht="15" hidden="false" customHeight="false" outlineLevel="0" collapsed="false">
      <c r="A2269" s="0" t="str">
        <f aca="false">IF('הדבקת לידים'!A2269="","",IF(ISNUMBER('הדבקת לידים'!A2269),IF(הגדרות!$E$2&gt;0,TEXT('הדבקת לידים'!A2269,REPT("0",הגדרות!$E$2)),TEXT('הדבקת לידים'!A2269,"0")),TRIM('הדבקת לידים'!A2269)))</f>
        <v/>
      </c>
      <c r="B2269" s="0" t="str">
        <f aca="false">IF('הדבקת לידים'!B2269="","",IF(ISNUMBER('הדבקת לידים'!B2269),IF(הגדרות!$E$3&gt;0,TEXT('הדבקת לידים'!B2269,REPT("0",הגדרות!$E$3)),TEXT('הדבקת לידים'!B2269,"0")),TRIM('הדבקת לידים'!B2269)))</f>
        <v/>
      </c>
      <c r="C2269" s="0" t="n">
        <f aca="false">IF(OR(A2269&lt;&gt;"",B2269&lt;&gt;""),1,0)</f>
        <v>0</v>
      </c>
      <c r="D2269" s="0" t="str">
        <f aca="false">IF(C2269=1,MOD(ABS(SIN(ROW()*12.9898+'הדבקת לידים'!$F$2*78.233+IFERROR(--RIGHT(A2269,6),LEN(A2269))*0.0137+IFERROR(--RIGHT(B2269,6),LEN(B2269))*0.0071))*43758.5453,1),"")</f>
        <v/>
      </c>
      <c r="E2269" s="0" t="str">
        <f aca="false">IF(C2269=1,INT(MOD(ABS(SIN(D2269*7919.123+ROW()*0.618+'הדבקת לידים'!$F$2*1.3))*43758.5453,1)*1000000)*10000+ROW(),"")</f>
        <v/>
      </c>
      <c r="F2269" s="0" t="str">
        <f aca="false">IF(E2269="","",RANK(E2269,$E$2:$E$5001,1))</f>
        <v/>
      </c>
      <c r="G2269" s="0" t="n">
        <f aca="false">IF(A2269="",0,IF(SUMPRODUCT(--($A$2:$A$5001=A2269))&gt;1,1,0))</f>
        <v>0</v>
      </c>
      <c r="H2269" s="0" t="n">
        <f aca="false">ROW()-1</f>
        <v>2268</v>
      </c>
      <c r="I2269" s="0" t="str">
        <f aca="false">IF(OR(הגדרות!$E$6=0,H2269&gt;הגדרות!$E$5),"",IF(H2269-1&lt;הגדרות!$E$8*(הגדרות!$E$7+1),INT((H2269-1)/(הגדרות!$E$7+1)),הגדרות!$E$8+INT((H2269-1-הגדרות!$E$8*(הגדרות!$E$7+1))/הגדרות!$E$7)))</f>
        <v/>
      </c>
      <c r="J2269" s="0" t="str">
        <f aca="false">IF(I2269="","",IF(H2269-1&lt;הגדרות!$E$8*(הגדרות!$E$7+1),MOD(H2269-1,הגדרות!$E$7+1),MOD(H2269-1-הגדרות!$E$8*(הגדרות!$E$7+1),הגדרות!$E$7)))</f>
        <v/>
      </c>
      <c r="K2269" s="0" t="str">
        <f aca="false">IF(I2269="","",J2269*הגדרות!$E$6+I2269+1)</f>
        <v/>
      </c>
      <c r="L2269" s="0" t="str">
        <f aca="false">IF(K2269="","",MATCH(K2269,$F$2:$F$5001,0))</f>
        <v/>
      </c>
      <c r="M2269" s="0" t="str">
        <f aca="false">IF(I2269="","",INDEX(הגדרות!$A$2:$A$21,MOD(I2269+הגדרות!$E$9,הגדרות!$E$6)+1))</f>
        <v/>
      </c>
    </row>
    <row r="2270" customFormat="false" ht="15" hidden="false" customHeight="false" outlineLevel="0" collapsed="false">
      <c r="A2270" s="0" t="str">
        <f aca="false">IF('הדבקת לידים'!A2270="","",IF(ISNUMBER('הדבקת לידים'!A2270),IF(הגדרות!$E$2&gt;0,TEXT('הדבקת לידים'!A2270,REPT("0",הגדרות!$E$2)),TEXT('הדבקת לידים'!A2270,"0")),TRIM('הדבקת לידים'!A2270)))</f>
        <v/>
      </c>
      <c r="B2270" s="0" t="str">
        <f aca="false">IF('הדבקת לידים'!B2270="","",IF(ISNUMBER('הדבקת לידים'!B2270),IF(הגדרות!$E$3&gt;0,TEXT('הדבקת לידים'!B2270,REPT("0",הגדרות!$E$3)),TEXT('הדבקת לידים'!B2270,"0")),TRIM('הדבקת לידים'!B2270)))</f>
        <v/>
      </c>
      <c r="C2270" s="0" t="n">
        <f aca="false">IF(OR(A2270&lt;&gt;"",B2270&lt;&gt;""),1,0)</f>
        <v>0</v>
      </c>
      <c r="D2270" s="0" t="str">
        <f aca="false">IF(C2270=1,MOD(ABS(SIN(ROW()*12.9898+'הדבקת לידים'!$F$2*78.233+IFERROR(--RIGHT(A2270,6),LEN(A2270))*0.0137+IFERROR(--RIGHT(B2270,6),LEN(B2270))*0.0071))*43758.5453,1),"")</f>
        <v/>
      </c>
      <c r="E2270" s="0" t="str">
        <f aca="false">IF(C2270=1,INT(MOD(ABS(SIN(D2270*7919.123+ROW()*0.618+'הדבקת לידים'!$F$2*1.3))*43758.5453,1)*1000000)*10000+ROW(),"")</f>
        <v/>
      </c>
      <c r="F2270" s="0" t="str">
        <f aca="false">IF(E2270="","",RANK(E2270,$E$2:$E$5001,1))</f>
        <v/>
      </c>
      <c r="G2270" s="0" t="n">
        <f aca="false">IF(A2270="",0,IF(SUMPRODUCT(--($A$2:$A$5001=A2270))&gt;1,1,0))</f>
        <v>0</v>
      </c>
      <c r="H2270" s="0" t="n">
        <f aca="false">ROW()-1</f>
        <v>2269</v>
      </c>
      <c r="I2270" s="0" t="str">
        <f aca="false">IF(OR(הגדרות!$E$6=0,H2270&gt;הגדרות!$E$5),"",IF(H2270-1&lt;הגדרות!$E$8*(הגדרות!$E$7+1),INT((H2270-1)/(הגדרות!$E$7+1)),הגדרות!$E$8+INT((H2270-1-הגדרות!$E$8*(הגדרות!$E$7+1))/הגדרות!$E$7)))</f>
        <v/>
      </c>
      <c r="J2270" s="0" t="str">
        <f aca="false">IF(I2270="","",IF(H2270-1&lt;הגדרות!$E$8*(הגדרות!$E$7+1),MOD(H2270-1,הגדרות!$E$7+1),MOD(H2270-1-הגדרות!$E$8*(הגדרות!$E$7+1),הגדרות!$E$7)))</f>
        <v/>
      </c>
      <c r="K2270" s="0" t="str">
        <f aca="false">IF(I2270="","",J2270*הגדרות!$E$6+I2270+1)</f>
        <v/>
      </c>
      <c r="L2270" s="0" t="str">
        <f aca="false">IF(K2270="","",MATCH(K2270,$F$2:$F$5001,0))</f>
        <v/>
      </c>
      <c r="M2270" s="0" t="str">
        <f aca="false">IF(I2270="","",INDEX(הגדרות!$A$2:$A$21,MOD(I2270+הגדרות!$E$9,הגדרות!$E$6)+1))</f>
        <v/>
      </c>
    </row>
    <row r="2271" customFormat="false" ht="15" hidden="false" customHeight="false" outlineLevel="0" collapsed="false">
      <c r="A2271" s="0" t="str">
        <f aca="false">IF('הדבקת לידים'!A2271="","",IF(ISNUMBER('הדבקת לידים'!A2271),IF(הגדרות!$E$2&gt;0,TEXT('הדבקת לידים'!A2271,REPT("0",הגדרות!$E$2)),TEXT('הדבקת לידים'!A2271,"0")),TRIM('הדבקת לידים'!A2271)))</f>
        <v/>
      </c>
      <c r="B2271" s="0" t="str">
        <f aca="false">IF('הדבקת לידים'!B2271="","",IF(ISNUMBER('הדבקת לידים'!B2271),IF(הגדרות!$E$3&gt;0,TEXT('הדבקת לידים'!B2271,REPT("0",הגדרות!$E$3)),TEXT('הדבקת לידים'!B2271,"0")),TRIM('הדבקת לידים'!B2271)))</f>
        <v/>
      </c>
      <c r="C2271" s="0" t="n">
        <f aca="false">IF(OR(A2271&lt;&gt;"",B2271&lt;&gt;""),1,0)</f>
        <v>0</v>
      </c>
      <c r="D2271" s="0" t="str">
        <f aca="false">IF(C2271=1,MOD(ABS(SIN(ROW()*12.9898+'הדבקת לידים'!$F$2*78.233+IFERROR(--RIGHT(A2271,6),LEN(A2271))*0.0137+IFERROR(--RIGHT(B2271,6),LEN(B2271))*0.0071))*43758.5453,1),"")</f>
        <v/>
      </c>
      <c r="E2271" s="0" t="str">
        <f aca="false">IF(C2271=1,INT(MOD(ABS(SIN(D2271*7919.123+ROW()*0.618+'הדבקת לידים'!$F$2*1.3))*43758.5453,1)*1000000)*10000+ROW(),"")</f>
        <v/>
      </c>
      <c r="F2271" s="0" t="str">
        <f aca="false">IF(E2271="","",RANK(E2271,$E$2:$E$5001,1))</f>
        <v/>
      </c>
      <c r="G2271" s="0" t="n">
        <f aca="false">IF(A2271="",0,IF(SUMPRODUCT(--($A$2:$A$5001=A2271))&gt;1,1,0))</f>
        <v>0</v>
      </c>
      <c r="H2271" s="0" t="n">
        <f aca="false">ROW()-1</f>
        <v>2270</v>
      </c>
      <c r="I2271" s="0" t="str">
        <f aca="false">IF(OR(הגדרות!$E$6=0,H2271&gt;הגדרות!$E$5),"",IF(H2271-1&lt;הגדרות!$E$8*(הגדרות!$E$7+1),INT((H2271-1)/(הגדרות!$E$7+1)),הגדרות!$E$8+INT((H2271-1-הגדרות!$E$8*(הגדרות!$E$7+1))/הגדרות!$E$7)))</f>
        <v/>
      </c>
      <c r="J2271" s="0" t="str">
        <f aca="false">IF(I2271="","",IF(H2271-1&lt;הגדרות!$E$8*(הגדרות!$E$7+1),MOD(H2271-1,הגדרות!$E$7+1),MOD(H2271-1-הגדרות!$E$8*(הגדרות!$E$7+1),הגדרות!$E$7)))</f>
        <v/>
      </c>
      <c r="K2271" s="0" t="str">
        <f aca="false">IF(I2271="","",J2271*הגדרות!$E$6+I2271+1)</f>
        <v/>
      </c>
      <c r="L2271" s="0" t="str">
        <f aca="false">IF(K2271="","",MATCH(K2271,$F$2:$F$5001,0))</f>
        <v/>
      </c>
      <c r="M2271" s="0" t="str">
        <f aca="false">IF(I2271="","",INDEX(הגדרות!$A$2:$A$21,MOD(I2271+הגדרות!$E$9,הגדרות!$E$6)+1))</f>
        <v/>
      </c>
    </row>
    <row r="2272" customFormat="false" ht="15" hidden="false" customHeight="false" outlineLevel="0" collapsed="false">
      <c r="A2272" s="0" t="str">
        <f aca="false">IF('הדבקת לידים'!A2272="","",IF(ISNUMBER('הדבקת לידים'!A2272),IF(הגדרות!$E$2&gt;0,TEXT('הדבקת לידים'!A2272,REPT("0",הגדרות!$E$2)),TEXT('הדבקת לידים'!A2272,"0")),TRIM('הדבקת לידים'!A2272)))</f>
        <v/>
      </c>
      <c r="B2272" s="0" t="str">
        <f aca="false">IF('הדבקת לידים'!B2272="","",IF(ISNUMBER('הדבקת לידים'!B2272),IF(הגדרות!$E$3&gt;0,TEXT('הדבקת לידים'!B2272,REPT("0",הגדרות!$E$3)),TEXT('הדבקת לידים'!B2272,"0")),TRIM('הדבקת לידים'!B2272)))</f>
        <v/>
      </c>
      <c r="C2272" s="0" t="n">
        <f aca="false">IF(OR(A2272&lt;&gt;"",B2272&lt;&gt;""),1,0)</f>
        <v>0</v>
      </c>
      <c r="D2272" s="0" t="str">
        <f aca="false">IF(C2272=1,MOD(ABS(SIN(ROW()*12.9898+'הדבקת לידים'!$F$2*78.233+IFERROR(--RIGHT(A2272,6),LEN(A2272))*0.0137+IFERROR(--RIGHT(B2272,6),LEN(B2272))*0.0071))*43758.5453,1),"")</f>
        <v/>
      </c>
      <c r="E2272" s="0" t="str">
        <f aca="false">IF(C2272=1,INT(MOD(ABS(SIN(D2272*7919.123+ROW()*0.618+'הדבקת לידים'!$F$2*1.3))*43758.5453,1)*1000000)*10000+ROW(),"")</f>
        <v/>
      </c>
      <c r="F2272" s="0" t="str">
        <f aca="false">IF(E2272="","",RANK(E2272,$E$2:$E$5001,1))</f>
        <v/>
      </c>
      <c r="G2272" s="0" t="n">
        <f aca="false">IF(A2272="",0,IF(SUMPRODUCT(--($A$2:$A$5001=A2272))&gt;1,1,0))</f>
        <v>0</v>
      </c>
      <c r="H2272" s="0" t="n">
        <f aca="false">ROW()-1</f>
        <v>2271</v>
      </c>
      <c r="I2272" s="0" t="str">
        <f aca="false">IF(OR(הגדרות!$E$6=0,H2272&gt;הגדרות!$E$5),"",IF(H2272-1&lt;הגדרות!$E$8*(הגדרות!$E$7+1),INT((H2272-1)/(הגדרות!$E$7+1)),הגדרות!$E$8+INT((H2272-1-הגדרות!$E$8*(הגדרות!$E$7+1))/הגדרות!$E$7)))</f>
        <v/>
      </c>
      <c r="J2272" s="0" t="str">
        <f aca="false">IF(I2272="","",IF(H2272-1&lt;הגדרות!$E$8*(הגדרות!$E$7+1),MOD(H2272-1,הגדרות!$E$7+1),MOD(H2272-1-הגדרות!$E$8*(הגדרות!$E$7+1),הגדרות!$E$7)))</f>
        <v/>
      </c>
      <c r="K2272" s="0" t="str">
        <f aca="false">IF(I2272="","",J2272*הגדרות!$E$6+I2272+1)</f>
        <v/>
      </c>
      <c r="L2272" s="0" t="str">
        <f aca="false">IF(K2272="","",MATCH(K2272,$F$2:$F$5001,0))</f>
        <v/>
      </c>
      <c r="M2272" s="0" t="str">
        <f aca="false">IF(I2272="","",INDEX(הגדרות!$A$2:$A$21,MOD(I2272+הגדרות!$E$9,הגדרות!$E$6)+1))</f>
        <v/>
      </c>
    </row>
    <row r="2273" customFormat="false" ht="15" hidden="false" customHeight="false" outlineLevel="0" collapsed="false">
      <c r="A2273" s="0" t="str">
        <f aca="false">IF('הדבקת לידים'!A2273="","",IF(ISNUMBER('הדבקת לידים'!A2273),IF(הגדרות!$E$2&gt;0,TEXT('הדבקת לידים'!A2273,REPT("0",הגדרות!$E$2)),TEXT('הדבקת לידים'!A2273,"0")),TRIM('הדבקת לידים'!A2273)))</f>
        <v/>
      </c>
      <c r="B2273" s="0" t="str">
        <f aca="false">IF('הדבקת לידים'!B2273="","",IF(ISNUMBER('הדבקת לידים'!B2273),IF(הגדרות!$E$3&gt;0,TEXT('הדבקת לידים'!B2273,REPT("0",הגדרות!$E$3)),TEXT('הדבקת לידים'!B2273,"0")),TRIM('הדבקת לידים'!B2273)))</f>
        <v/>
      </c>
      <c r="C2273" s="0" t="n">
        <f aca="false">IF(OR(A2273&lt;&gt;"",B2273&lt;&gt;""),1,0)</f>
        <v>0</v>
      </c>
      <c r="D2273" s="0" t="str">
        <f aca="false">IF(C2273=1,MOD(ABS(SIN(ROW()*12.9898+'הדבקת לידים'!$F$2*78.233+IFERROR(--RIGHT(A2273,6),LEN(A2273))*0.0137+IFERROR(--RIGHT(B2273,6),LEN(B2273))*0.0071))*43758.5453,1),"")</f>
        <v/>
      </c>
      <c r="E2273" s="0" t="str">
        <f aca="false">IF(C2273=1,INT(MOD(ABS(SIN(D2273*7919.123+ROW()*0.618+'הדבקת לידים'!$F$2*1.3))*43758.5453,1)*1000000)*10000+ROW(),"")</f>
        <v/>
      </c>
      <c r="F2273" s="0" t="str">
        <f aca="false">IF(E2273="","",RANK(E2273,$E$2:$E$5001,1))</f>
        <v/>
      </c>
      <c r="G2273" s="0" t="n">
        <f aca="false">IF(A2273="",0,IF(SUMPRODUCT(--($A$2:$A$5001=A2273))&gt;1,1,0))</f>
        <v>0</v>
      </c>
      <c r="H2273" s="0" t="n">
        <f aca="false">ROW()-1</f>
        <v>2272</v>
      </c>
      <c r="I2273" s="0" t="str">
        <f aca="false">IF(OR(הגדרות!$E$6=0,H2273&gt;הגדרות!$E$5),"",IF(H2273-1&lt;הגדרות!$E$8*(הגדרות!$E$7+1),INT((H2273-1)/(הגדרות!$E$7+1)),הגדרות!$E$8+INT((H2273-1-הגדרות!$E$8*(הגדרות!$E$7+1))/הגדרות!$E$7)))</f>
        <v/>
      </c>
      <c r="J2273" s="0" t="str">
        <f aca="false">IF(I2273="","",IF(H2273-1&lt;הגדרות!$E$8*(הגדרות!$E$7+1),MOD(H2273-1,הגדרות!$E$7+1),MOD(H2273-1-הגדרות!$E$8*(הגדרות!$E$7+1),הגדרות!$E$7)))</f>
        <v/>
      </c>
      <c r="K2273" s="0" t="str">
        <f aca="false">IF(I2273="","",J2273*הגדרות!$E$6+I2273+1)</f>
        <v/>
      </c>
      <c r="L2273" s="0" t="str">
        <f aca="false">IF(K2273="","",MATCH(K2273,$F$2:$F$5001,0))</f>
        <v/>
      </c>
      <c r="M2273" s="0" t="str">
        <f aca="false">IF(I2273="","",INDEX(הגדרות!$A$2:$A$21,MOD(I2273+הגדרות!$E$9,הגדרות!$E$6)+1))</f>
        <v/>
      </c>
    </row>
    <row r="2274" customFormat="false" ht="15" hidden="false" customHeight="false" outlineLevel="0" collapsed="false">
      <c r="A2274" s="0" t="str">
        <f aca="false">IF('הדבקת לידים'!A2274="","",IF(ISNUMBER('הדבקת לידים'!A2274),IF(הגדרות!$E$2&gt;0,TEXT('הדבקת לידים'!A2274,REPT("0",הגדרות!$E$2)),TEXT('הדבקת לידים'!A2274,"0")),TRIM('הדבקת לידים'!A2274)))</f>
        <v/>
      </c>
      <c r="B2274" s="0" t="str">
        <f aca="false">IF('הדבקת לידים'!B2274="","",IF(ISNUMBER('הדבקת לידים'!B2274),IF(הגדרות!$E$3&gt;0,TEXT('הדבקת לידים'!B2274,REPT("0",הגדרות!$E$3)),TEXT('הדבקת לידים'!B2274,"0")),TRIM('הדבקת לידים'!B2274)))</f>
        <v/>
      </c>
      <c r="C2274" s="0" t="n">
        <f aca="false">IF(OR(A2274&lt;&gt;"",B2274&lt;&gt;""),1,0)</f>
        <v>0</v>
      </c>
      <c r="D2274" s="0" t="str">
        <f aca="false">IF(C2274=1,MOD(ABS(SIN(ROW()*12.9898+'הדבקת לידים'!$F$2*78.233+IFERROR(--RIGHT(A2274,6),LEN(A2274))*0.0137+IFERROR(--RIGHT(B2274,6),LEN(B2274))*0.0071))*43758.5453,1),"")</f>
        <v/>
      </c>
      <c r="E2274" s="0" t="str">
        <f aca="false">IF(C2274=1,INT(MOD(ABS(SIN(D2274*7919.123+ROW()*0.618+'הדבקת לידים'!$F$2*1.3))*43758.5453,1)*1000000)*10000+ROW(),"")</f>
        <v/>
      </c>
      <c r="F2274" s="0" t="str">
        <f aca="false">IF(E2274="","",RANK(E2274,$E$2:$E$5001,1))</f>
        <v/>
      </c>
      <c r="G2274" s="0" t="n">
        <f aca="false">IF(A2274="",0,IF(SUMPRODUCT(--($A$2:$A$5001=A2274))&gt;1,1,0))</f>
        <v>0</v>
      </c>
      <c r="H2274" s="0" t="n">
        <f aca="false">ROW()-1</f>
        <v>2273</v>
      </c>
      <c r="I2274" s="0" t="str">
        <f aca="false">IF(OR(הגדרות!$E$6=0,H2274&gt;הגדרות!$E$5),"",IF(H2274-1&lt;הגדרות!$E$8*(הגדרות!$E$7+1),INT((H2274-1)/(הגדרות!$E$7+1)),הגדרות!$E$8+INT((H2274-1-הגדרות!$E$8*(הגדרות!$E$7+1))/הגדרות!$E$7)))</f>
        <v/>
      </c>
      <c r="J2274" s="0" t="str">
        <f aca="false">IF(I2274="","",IF(H2274-1&lt;הגדרות!$E$8*(הגדרות!$E$7+1),MOD(H2274-1,הגדרות!$E$7+1),MOD(H2274-1-הגדרות!$E$8*(הגדרות!$E$7+1),הגדרות!$E$7)))</f>
        <v/>
      </c>
      <c r="K2274" s="0" t="str">
        <f aca="false">IF(I2274="","",J2274*הגדרות!$E$6+I2274+1)</f>
        <v/>
      </c>
      <c r="L2274" s="0" t="str">
        <f aca="false">IF(K2274="","",MATCH(K2274,$F$2:$F$5001,0))</f>
        <v/>
      </c>
      <c r="M2274" s="0" t="str">
        <f aca="false">IF(I2274="","",INDEX(הגדרות!$A$2:$A$21,MOD(I2274+הגדרות!$E$9,הגדרות!$E$6)+1))</f>
        <v/>
      </c>
    </row>
    <row r="2275" customFormat="false" ht="15" hidden="false" customHeight="false" outlineLevel="0" collapsed="false">
      <c r="A2275" s="0" t="str">
        <f aca="false">IF('הדבקת לידים'!A2275="","",IF(ISNUMBER('הדבקת לידים'!A2275),IF(הגדרות!$E$2&gt;0,TEXT('הדבקת לידים'!A2275,REPT("0",הגדרות!$E$2)),TEXT('הדבקת לידים'!A2275,"0")),TRIM('הדבקת לידים'!A2275)))</f>
        <v/>
      </c>
      <c r="B2275" s="0" t="str">
        <f aca="false">IF('הדבקת לידים'!B2275="","",IF(ISNUMBER('הדבקת לידים'!B2275),IF(הגדרות!$E$3&gt;0,TEXT('הדבקת לידים'!B2275,REPT("0",הגדרות!$E$3)),TEXT('הדבקת לידים'!B2275,"0")),TRIM('הדבקת לידים'!B2275)))</f>
        <v/>
      </c>
      <c r="C2275" s="0" t="n">
        <f aca="false">IF(OR(A2275&lt;&gt;"",B2275&lt;&gt;""),1,0)</f>
        <v>0</v>
      </c>
      <c r="D2275" s="0" t="str">
        <f aca="false">IF(C2275=1,MOD(ABS(SIN(ROW()*12.9898+'הדבקת לידים'!$F$2*78.233+IFERROR(--RIGHT(A2275,6),LEN(A2275))*0.0137+IFERROR(--RIGHT(B2275,6),LEN(B2275))*0.0071))*43758.5453,1),"")</f>
        <v/>
      </c>
      <c r="E2275" s="0" t="str">
        <f aca="false">IF(C2275=1,INT(MOD(ABS(SIN(D2275*7919.123+ROW()*0.618+'הדבקת לידים'!$F$2*1.3))*43758.5453,1)*1000000)*10000+ROW(),"")</f>
        <v/>
      </c>
      <c r="F2275" s="0" t="str">
        <f aca="false">IF(E2275="","",RANK(E2275,$E$2:$E$5001,1))</f>
        <v/>
      </c>
      <c r="G2275" s="0" t="n">
        <f aca="false">IF(A2275="",0,IF(SUMPRODUCT(--($A$2:$A$5001=A2275))&gt;1,1,0))</f>
        <v>0</v>
      </c>
      <c r="H2275" s="0" t="n">
        <f aca="false">ROW()-1</f>
        <v>2274</v>
      </c>
      <c r="I2275" s="0" t="str">
        <f aca="false">IF(OR(הגדרות!$E$6=0,H2275&gt;הגדרות!$E$5),"",IF(H2275-1&lt;הגדרות!$E$8*(הגדרות!$E$7+1),INT((H2275-1)/(הגדרות!$E$7+1)),הגדרות!$E$8+INT((H2275-1-הגדרות!$E$8*(הגדרות!$E$7+1))/הגדרות!$E$7)))</f>
        <v/>
      </c>
      <c r="J2275" s="0" t="str">
        <f aca="false">IF(I2275="","",IF(H2275-1&lt;הגדרות!$E$8*(הגדרות!$E$7+1),MOD(H2275-1,הגדרות!$E$7+1),MOD(H2275-1-הגדרות!$E$8*(הגדרות!$E$7+1),הגדרות!$E$7)))</f>
        <v/>
      </c>
      <c r="K2275" s="0" t="str">
        <f aca="false">IF(I2275="","",J2275*הגדרות!$E$6+I2275+1)</f>
        <v/>
      </c>
      <c r="L2275" s="0" t="str">
        <f aca="false">IF(K2275="","",MATCH(K2275,$F$2:$F$5001,0))</f>
        <v/>
      </c>
      <c r="M2275" s="0" t="str">
        <f aca="false">IF(I2275="","",INDEX(הגדרות!$A$2:$A$21,MOD(I2275+הגדרות!$E$9,הגדרות!$E$6)+1))</f>
        <v/>
      </c>
    </row>
    <row r="2276" customFormat="false" ht="15" hidden="false" customHeight="false" outlineLevel="0" collapsed="false">
      <c r="A2276" s="0" t="str">
        <f aca="false">IF('הדבקת לידים'!A2276="","",IF(ISNUMBER('הדבקת לידים'!A2276),IF(הגדרות!$E$2&gt;0,TEXT('הדבקת לידים'!A2276,REPT("0",הגדרות!$E$2)),TEXT('הדבקת לידים'!A2276,"0")),TRIM('הדבקת לידים'!A2276)))</f>
        <v/>
      </c>
      <c r="B2276" s="0" t="str">
        <f aca="false">IF('הדבקת לידים'!B2276="","",IF(ISNUMBER('הדבקת לידים'!B2276),IF(הגדרות!$E$3&gt;0,TEXT('הדבקת לידים'!B2276,REPT("0",הגדרות!$E$3)),TEXT('הדבקת לידים'!B2276,"0")),TRIM('הדבקת לידים'!B2276)))</f>
        <v/>
      </c>
      <c r="C2276" s="0" t="n">
        <f aca="false">IF(OR(A2276&lt;&gt;"",B2276&lt;&gt;""),1,0)</f>
        <v>0</v>
      </c>
      <c r="D2276" s="0" t="str">
        <f aca="false">IF(C2276=1,MOD(ABS(SIN(ROW()*12.9898+'הדבקת לידים'!$F$2*78.233+IFERROR(--RIGHT(A2276,6),LEN(A2276))*0.0137+IFERROR(--RIGHT(B2276,6),LEN(B2276))*0.0071))*43758.5453,1),"")</f>
        <v/>
      </c>
      <c r="E2276" s="0" t="str">
        <f aca="false">IF(C2276=1,INT(MOD(ABS(SIN(D2276*7919.123+ROW()*0.618+'הדבקת לידים'!$F$2*1.3))*43758.5453,1)*1000000)*10000+ROW(),"")</f>
        <v/>
      </c>
      <c r="F2276" s="0" t="str">
        <f aca="false">IF(E2276="","",RANK(E2276,$E$2:$E$5001,1))</f>
        <v/>
      </c>
      <c r="G2276" s="0" t="n">
        <f aca="false">IF(A2276="",0,IF(SUMPRODUCT(--($A$2:$A$5001=A2276))&gt;1,1,0))</f>
        <v>0</v>
      </c>
      <c r="H2276" s="0" t="n">
        <f aca="false">ROW()-1</f>
        <v>2275</v>
      </c>
      <c r="I2276" s="0" t="str">
        <f aca="false">IF(OR(הגדרות!$E$6=0,H2276&gt;הגדרות!$E$5),"",IF(H2276-1&lt;הגדרות!$E$8*(הגדרות!$E$7+1),INT((H2276-1)/(הגדרות!$E$7+1)),הגדרות!$E$8+INT((H2276-1-הגדרות!$E$8*(הגדרות!$E$7+1))/הגדרות!$E$7)))</f>
        <v/>
      </c>
      <c r="J2276" s="0" t="str">
        <f aca="false">IF(I2276="","",IF(H2276-1&lt;הגדרות!$E$8*(הגדרות!$E$7+1),MOD(H2276-1,הגדרות!$E$7+1),MOD(H2276-1-הגדרות!$E$8*(הגדרות!$E$7+1),הגדרות!$E$7)))</f>
        <v/>
      </c>
      <c r="K2276" s="0" t="str">
        <f aca="false">IF(I2276="","",J2276*הגדרות!$E$6+I2276+1)</f>
        <v/>
      </c>
      <c r="L2276" s="0" t="str">
        <f aca="false">IF(K2276="","",MATCH(K2276,$F$2:$F$5001,0))</f>
        <v/>
      </c>
      <c r="M2276" s="0" t="str">
        <f aca="false">IF(I2276="","",INDEX(הגדרות!$A$2:$A$21,MOD(I2276+הגדרות!$E$9,הגדרות!$E$6)+1))</f>
        <v/>
      </c>
    </row>
    <row r="2277" customFormat="false" ht="15" hidden="false" customHeight="false" outlineLevel="0" collapsed="false">
      <c r="A2277" s="0" t="str">
        <f aca="false">IF('הדבקת לידים'!A2277="","",IF(ISNUMBER('הדבקת לידים'!A2277),IF(הגדרות!$E$2&gt;0,TEXT('הדבקת לידים'!A2277,REPT("0",הגדרות!$E$2)),TEXT('הדבקת לידים'!A2277,"0")),TRIM('הדבקת לידים'!A2277)))</f>
        <v/>
      </c>
      <c r="B2277" s="0" t="str">
        <f aca="false">IF('הדבקת לידים'!B2277="","",IF(ISNUMBER('הדבקת לידים'!B2277),IF(הגדרות!$E$3&gt;0,TEXT('הדבקת לידים'!B2277,REPT("0",הגדרות!$E$3)),TEXT('הדבקת לידים'!B2277,"0")),TRIM('הדבקת לידים'!B2277)))</f>
        <v/>
      </c>
      <c r="C2277" s="0" t="n">
        <f aca="false">IF(OR(A2277&lt;&gt;"",B2277&lt;&gt;""),1,0)</f>
        <v>0</v>
      </c>
      <c r="D2277" s="0" t="str">
        <f aca="false">IF(C2277=1,MOD(ABS(SIN(ROW()*12.9898+'הדבקת לידים'!$F$2*78.233+IFERROR(--RIGHT(A2277,6),LEN(A2277))*0.0137+IFERROR(--RIGHT(B2277,6),LEN(B2277))*0.0071))*43758.5453,1),"")</f>
        <v/>
      </c>
      <c r="E2277" s="0" t="str">
        <f aca="false">IF(C2277=1,INT(MOD(ABS(SIN(D2277*7919.123+ROW()*0.618+'הדבקת לידים'!$F$2*1.3))*43758.5453,1)*1000000)*10000+ROW(),"")</f>
        <v/>
      </c>
      <c r="F2277" s="0" t="str">
        <f aca="false">IF(E2277="","",RANK(E2277,$E$2:$E$5001,1))</f>
        <v/>
      </c>
      <c r="G2277" s="0" t="n">
        <f aca="false">IF(A2277="",0,IF(SUMPRODUCT(--($A$2:$A$5001=A2277))&gt;1,1,0))</f>
        <v>0</v>
      </c>
      <c r="H2277" s="0" t="n">
        <f aca="false">ROW()-1</f>
        <v>2276</v>
      </c>
      <c r="I2277" s="0" t="str">
        <f aca="false">IF(OR(הגדרות!$E$6=0,H2277&gt;הגדרות!$E$5),"",IF(H2277-1&lt;הגדרות!$E$8*(הגדרות!$E$7+1),INT((H2277-1)/(הגדרות!$E$7+1)),הגדרות!$E$8+INT((H2277-1-הגדרות!$E$8*(הגדרות!$E$7+1))/הגדרות!$E$7)))</f>
        <v/>
      </c>
      <c r="J2277" s="0" t="str">
        <f aca="false">IF(I2277="","",IF(H2277-1&lt;הגדרות!$E$8*(הגדרות!$E$7+1),MOD(H2277-1,הגדרות!$E$7+1),MOD(H2277-1-הגדרות!$E$8*(הגדרות!$E$7+1),הגדרות!$E$7)))</f>
        <v/>
      </c>
      <c r="K2277" s="0" t="str">
        <f aca="false">IF(I2277="","",J2277*הגדרות!$E$6+I2277+1)</f>
        <v/>
      </c>
      <c r="L2277" s="0" t="str">
        <f aca="false">IF(K2277="","",MATCH(K2277,$F$2:$F$5001,0))</f>
        <v/>
      </c>
      <c r="M2277" s="0" t="str">
        <f aca="false">IF(I2277="","",INDEX(הגדרות!$A$2:$A$21,MOD(I2277+הגדרות!$E$9,הגדרות!$E$6)+1))</f>
        <v/>
      </c>
    </row>
    <row r="2278" customFormat="false" ht="15" hidden="false" customHeight="false" outlineLevel="0" collapsed="false">
      <c r="A2278" s="0" t="str">
        <f aca="false">IF('הדבקת לידים'!A2278="","",IF(ISNUMBER('הדבקת לידים'!A2278),IF(הגדרות!$E$2&gt;0,TEXT('הדבקת לידים'!A2278,REPT("0",הגדרות!$E$2)),TEXT('הדבקת לידים'!A2278,"0")),TRIM('הדבקת לידים'!A2278)))</f>
        <v/>
      </c>
      <c r="B2278" s="0" t="str">
        <f aca="false">IF('הדבקת לידים'!B2278="","",IF(ISNUMBER('הדבקת לידים'!B2278),IF(הגדרות!$E$3&gt;0,TEXT('הדבקת לידים'!B2278,REPT("0",הגדרות!$E$3)),TEXT('הדבקת לידים'!B2278,"0")),TRIM('הדבקת לידים'!B2278)))</f>
        <v/>
      </c>
      <c r="C2278" s="0" t="n">
        <f aca="false">IF(OR(A2278&lt;&gt;"",B2278&lt;&gt;""),1,0)</f>
        <v>0</v>
      </c>
      <c r="D2278" s="0" t="str">
        <f aca="false">IF(C2278=1,MOD(ABS(SIN(ROW()*12.9898+'הדבקת לידים'!$F$2*78.233+IFERROR(--RIGHT(A2278,6),LEN(A2278))*0.0137+IFERROR(--RIGHT(B2278,6),LEN(B2278))*0.0071))*43758.5453,1),"")</f>
        <v/>
      </c>
      <c r="E2278" s="0" t="str">
        <f aca="false">IF(C2278=1,INT(MOD(ABS(SIN(D2278*7919.123+ROW()*0.618+'הדבקת לידים'!$F$2*1.3))*43758.5453,1)*1000000)*10000+ROW(),"")</f>
        <v/>
      </c>
      <c r="F2278" s="0" t="str">
        <f aca="false">IF(E2278="","",RANK(E2278,$E$2:$E$5001,1))</f>
        <v/>
      </c>
      <c r="G2278" s="0" t="n">
        <f aca="false">IF(A2278="",0,IF(SUMPRODUCT(--($A$2:$A$5001=A2278))&gt;1,1,0))</f>
        <v>0</v>
      </c>
      <c r="H2278" s="0" t="n">
        <f aca="false">ROW()-1</f>
        <v>2277</v>
      </c>
      <c r="I2278" s="0" t="str">
        <f aca="false">IF(OR(הגדרות!$E$6=0,H2278&gt;הגדרות!$E$5),"",IF(H2278-1&lt;הגדרות!$E$8*(הגדרות!$E$7+1),INT((H2278-1)/(הגדרות!$E$7+1)),הגדרות!$E$8+INT((H2278-1-הגדרות!$E$8*(הגדרות!$E$7+1))/הגדרות!$E$7)))</f>
        <v/>
      </c>
      <c r="J2278" s="0" t="str">
        <f aca="false">IF(I2278="","",IF(H2278-1&lt;הגדרות!$E$8*(הגדרות!$E$7+1),MOD(H2278-1,הגדרות!$E$7+1),MOD(H2278-1-הגדרות!$E$8*(הגדרות!$E$7+1),הגדרות!$E$7)))</f>
        <v/>
      </c>
      <c r="K2278" s="0" t="str">
        <f aca="false">IF(I2278="","",J2278*הגדרות!$E$6+I2278+1)</f>
        <v/>
      </c>
      <c r="L2278" s="0" t="str">
        <f aca="false">IF(K2278="","",MATCH(K2278,$F$2:$F$5001,0))</f>
        <v/>
      </c>
      <c r="M2278" s="0" t="str">
        <f aca="false">IF(I2278="","",INDEX(הגדרות!$A$2:$A$21,MOD(I2278+הגדרות!$E$9,הגדרות!$E$6)+1))</f>
        <v/>
      </c>
    </row>
    <row r="2279" customFormat="false" ht="15" hidden="false" customHeight="false" outlineLevel="0" collapsed="false">
      <c r="A2279" s="0" t="str">
        <f aca="false">IF('הדבקת לידים'!A2279="","",IF(ISNUMBER('הדבקת לידים'!A2279),IF(הגדרות!$E$2&gt;0,TEXT('הדבקת לידים'!A2279,REPT("0",הגדרות!$E$2)),TEXT('הדבקת לידים'!A2279,"0")),TRIM('הדבקת לידים'!A2279)))</f>
        <v/>
      </c>
      <c r="B2279" s="0" t="str">
        <f aca="false">IF('הדבקת לידים'!B2279="","",IF(ISNUMBER('הדבקת לידים'!B2279),IF(הגדרות!$E$3&gt;0,TEXT('הדבקת לידים'!B2279,REPT("0",הגדרות!$E$3)),TEXT('הדבקת לידים'!B2279,"0")),TRIM('הדבקת לידים'!B2279)))</f>
        <v/>
      </c>
      <c r="C2279" s="0" t="n">
        <f aca="false">IF(OR(A2279&lt;&gt;"",B2279&lt;&gt;""),1,0)</f>
        <v>0</v>
      </c>
      <c r="D2279" s="0" t="str">
        <f aca="false">IF(C2279=1,MOD(ABS(SIN(ROW()*12.9898+'הדבקת לידים'!$F$2*78.233+IFERROR(--RIGHT(A2279,6),LEN(A2279))*0.0137+IFERROR(--RIGHT(B2279,6),LEN(B2279))*0.0071))*43758.5453,1),"")</f>
        <v/>
      </c>
      <c r="E2279" s="0" t="str">
        <f aca="false">IF(C2279=1,INT(MOD(ABS(SIN(D2279*7919.123+ROW()*0.618+'הדבקת לידים'!$F$2*1.3))*43758.5453,1)*1000000)*10000+ROW(),"")</f>
        <v/>
      </c>
      <c r="F2279" s="0" t="str">
        <f aca="false">IF(E2279="","",RANK(E2279,$E$2:$E$5001,1))</f>
        <v/>
      </c>
      <c r="G2279" s="0" t="n">
        <f aca="false">IF(A2279="",0,IF(SUMPRODUCT(--($A$2:$A$5001=A2279))&gt;1,1,0))</f>
        <v>0</v>
      </c>
      <c r="H2279" s="0" t="n">
        <f aca="false">ROW()-1</f>
        <v>2278</v>
      </c>
      <c r="I2279" s="0" t="str">
        <f aca="false">IF(OR(הגדרות!$E$6=0,H2279&gt;הגדרות!$E$5),"",IF(H2279-1&lt;הגדרות!$E$8*(הגדרות!$E$7+1),INT((H2279-1)/(הגדרות!$E$7+1)),הגדרות!$E$8+INT((H2279-1-הגדרות!$E$8*(הגדרות!$E$7+1))/הגדרות!$E$7)))</f>
        <v/>
      </c>
      <c r="J2279" s="0" t="str">
        <f aca="false">IF(I2279="","",IF(H2279-1&lt;הגדרות!$E$8*(הגדרות!$E$7+1),MOD(H2279-1,הגדרות!$E$7+1),MOD(H2279-1-הגדרות!$E$8*(הגדרות!$E$7+1),הגדרות!$E$7)))</f>
        <v/>
      </c>
      <c r="K2279" s="0" t="str">
        <f aca="false">IF(I2279="","",J2279*הגדרות!$E$6+I2279+1)</f>
        <v/>
      </c>
      <c r="L2279" s="0" t="str">
        <f aca="false">IF(K2279="","",MATCH(K2279,$F$2:$F$5001,0))</f>
        <v/>
      </c>
      <c r="M2279" s="0" t="str">
        <f aca="false">IF(I2279="","",INDEX(הגדרות!$A$2:$A$21,MOD(I2279+הגדרות!$E$9,הגדרות!$E$6)+1))</f>
        <v/>
      </c>
    </row>
    <row r="2280" customFormat="false" ht="15" hidden="false" customHeight="false" outlineLevel="0" collapsed="false">
      <c r="A2280" s="0" t="str">
        <f aca="false">IF('הדבקת לידים'!A2280="","",IF(ISNUMBER('הדבקת לידים'!A2280),IF(הגדרות!$E$2&gt;0,TEXT('הדבקת לידים'!A2280,REPT("0",הגדרות!$E$2)),TEXT('הדבקת לידים'!A2280,"0")),TRIM('הדבקת לידים'!A2280)))</f>
        <v/>
      </c>
      <c r="B2280" s="0" t="str">
        <f aca="false">IF('הדבקת לידים'!B2280="","",IF(ISNUMBER('הדבקת לידים'!B2280),IF(הגדרות!$E$3&gt;0,TEXT('הדבקת לידים'!B2280,REPT("0",הגדרות!$E$3)),TEXT('הדבקת לידים'!B2280,"0")),TRIM('הדבקת לידים'!B2280)))</f>
        <v/>
      </c>
      <c r="C2280" s="0" t="n">
        <f aca="false">IF(OR(A2280&lt;&gt;"",B2280&lt;&gt;""),1,0)</f>
        <v>0</v>
      </c>
      <c r="D2280" s="0" t="str">
        <f aca="false">IF(C2280=1,MOD(ABS(SIN(ROW()*12.9898+'הדבקת לידים'!$F$2*78.233+IFERROR(--RIGHT(A2280,6),LEN(A2280))*0.0137+IFERROR(--RIGHT(B2280,6),LEN(B2280))*0.0071))*43758.5453,1),"")</f>
        <v/>
      </c>
      <c r="E2280" s="0" t="str">
        <f aca="false">IF(C2280=1,INT(MOD(ABS(SIN(D2280*7919.123+ROW()*0.618+'הדבקת לידים'!$F$2*1.3))*43758.5453,1)*1000000)*10000+ROW(),"")</f>
        <v/>
      </c>
      <c r="F2280" s="0" t="str">
        <f aca="false">IF(E2280="","",RANK(E2280,$E$2:$E$5001,1))</f>
        <v/>
      </c>
      <c r="G2280" s="0" t="n">
        <f aca="false">IF(A2280="",0,IF(SUMPRODUCT(--($A$2:$A$5001=A2280))&gt;1,1,0))</f>
        <v>0</v>
      </c>
      <c r="H2280" s="0" t="n">
        <f aca="false">ROW()-1</f>
        <v>2279</v>
      </c>
      <c r="I2280" s="0" t="str">
        <f aca="false">IF(OR(הגדרות!$E$6=0,H2280&gt;הגדרות!$E$5),"",IF(H2280-1&lt;הגדרות!$E$8*(הגדרות!$E$7+1),INT((H2280-1)/(הגדרות!$E$7+1)),הגדרות!$E$8+INT((H2280-1-הגדרות!$E$8*(הגדרות!$E$7+1))/הגדרות!$E$7)))</f>
        <v/>
      </c>
      <c r="J2280" s="0" t="str">
        <f aca="false">IF(I2280="","",IF(H2280-1&lt;הגדרות!$E$8*(הגדרות!$E$7+1),MOD(H2280-1,הגדרות!$E$7+1),MOD(H2280-1-הגדרות!$E$8*(הגדרות!$E$7+1),הגדרות!$E$7)))</f>
        <v/>
      </c>
      <c r="K2280" s="0" t="str">
        <f aca="false">IF(I2280="","",J2280*הגדרות!$E$6+I2280+1)</f>
        <v/>
      </c>
      <c r="L2280" s="0" t="str">
        <f aca="false">IF(K2280="","",MATCH(K2280,$F$2:$F$5001,0))</f>
        <v/>
      </c>
      <c r="M2280" s="0" t="str">
        <f aca="false">IF(I2280="","",INDEX(הגדרות!$A$2:$A$21,MOD(I2280+הגדרות!$E$9,הגדרות!$E$6)+1))</f>
        <v/>
      </c>
    </row>
    <row r="2281" customFormat="false" ht="15" hidden="false" customHeight="false" outlineLevel="0" collapsed="false">
      <c r="A2281" s="0" t="str">
        <f aca="false">IF('הדבקת לידים'!A2281="","",IF(ISNUMBER('הדבקת לידים'!A2281),IF(הגדרות!$E$2&gt;0,TEXT('הדבקת לידים'!A2281,REPT("0",הגדרות!$E$2)),TEXT('הדבקת לידים'!A2281,"0")),TRIM('הדבקת לידים'!A2281)))</f>
        <v/>
      </c>
      <c r="B2281" s="0" t="str">
        <f aca="false">IF('הדבקת לידים'!B2281="","",IF(ISNUMBER('הדבקת לידים'!B2281),IF(הגדרות!$E$3&gt;0,TEXT('הדבקת לידים'!B2281,REPT("0",הגדרות!$E$3)),TEXT('הדבקת לידים'!B2281,"0")),TRIM('הדבקת לידים'!B2281)))</f>
        <v/>
      </c>
      <c r="C2281" s="0" t="n">
        <f aca="false">IF(OR(A2281&lt;&gt;"",B2281&lt;&gt;""),1,0)</f>
        <v>0</v>
      </c>
      <c r="D2281" s="0" t="str">
        <f aca="false">IF(C2281=1,MOD(ABS(SIN(ROW()*12.9898+'הדבקת לידים'!$F$2*78.233+IFERROR(--RIGHT(A2281,6),LEN(A2281))*0.0137+IFERROR(--RIGHT(B2281,6),LEN(B2281))*0.0071))*43758.5453,1),"")</f>
        <v/>
      </c>
      <c r="E2281" s="0" t="str">
        <f aca="false">IF(C2281=1,INT(MOD(ABS(SIN(D2281*7919.123+ROW()*0.618+'הדבקת לידים'!$F$2*1.3))*43758.5453,1)*1000000)*10000+ROW(),"")</f>
        <v/>
      </c>
      <c r="F2281" s="0" t="str">
        <f aca="false">IF(E2281="","",RANK(E2281,$E$2:$E$5001,1))</f>
        <v/>
      </c>
      <c r="G2281" s="0" t="n">
        <f aca="false">IF(A2281="",0,IF(SUMPRODUCT(--($A$2:$A$5001=A2281))&gt;1,1,0))</f>
        <v>0</v>
      </c>
      <c r="H2281" s="0" t="n">
        <f aca="false">ROW()-1</f>
        <v>2280</v>
      </c>
      <c r="I2281" s="0" t="str">
        <f aca="false">IF(OR(הגדרות!$E$6=0,H2281&gt;הגדרות!$E$5),"",IF(H2281-1&lt;הגדרות!$E$8*(הגדרות!$E$7+1),INT((H2281-1)/(הגדרות!$E$7+1)),הגדרות!$E$8+INT((H2281-1-הגדרות!$E$8*(הגדרות!$E$7+1))/הגדרות!$E$7)))</f>
        <v/>
      </c>
      <c r="J2281" s="0" t="str">
        <f aca="false">IF(I2281="","",IF(H2281-1&lt;הגדרות!$E$8*(הגדרות!$E$7+1),MOD(H2281-1,הגדרות!$E$7+1),MOD(H2281-1-הגדרות!$E$8*(הגדרות!$E$7+1),הגדרות!$E$7)))</f>
        <v/>
      </c>
      <c r="K2281" s="0" t="str">
        <f aca="false">IF(I2281="","",J2281*הגדרות!$E$6+I2281+1)</f>
        <v/>
      </c>
      <c r="L2281" s="0" t="str">
        <f aca="false">IF(K2281="","",MATCH(K2281,$F$2:$F$5001,0))</f>
        <v/>
      </c>
      <c r="M2281" s="0" t="str">
        <f aca="false">IF(I2281="","",INDEX(הגדרות!$A$2:$A$21,MOD(I2281+הגדרות!$E$9,הגדרות!$E$6)+1))</f>
        <v/>
      </c>
    </row>
    <row r="2282" customFormat="false" ht="15" hidden="false" customHeight="false" outlineLevel="0" collapsed="false">
      <c r="A2282" s="0" t="str">
        <f aca="false">IF('הדבקת לידים'!A2282="","",IF(ISNUMBER('הדבקת לידים'!A2282),IF(הגדרות!$E$2&gt;0,TEXT('הדבקת לידים'!A2282,REPT("0",הגדרות!$E$2)),TEXT('הדבקת לידים'!A2282,"0")),TRIM('הדבקת לידים'!A2282)))</f>
        <v/>
      </c>
      <c r="B2282" s="0" t="str">
        <f aca="false">IF('הדבקת לידים'!B2282="","",IF(ISNUMBER('הדבקת לידים'!B2282),IF(הגדרות!$E$3&gt;0,TEXT('הדבקת לידים'!B2282,REPT("0",הגדרות!$E$3)),TEXT('הדבקת לידים'!B2282,"0")),TRIM('הדבקת לידים'!B2282)))</f>
        <v/>
      </c>
      <c r="C2282" s="0" t="n">
        <f aca="false">IF(OR(A2282&lt;&gt;"",B2282&lt;&gt;""),1,0)</f>
        <v>0</v>
      </c>
      <c r="D2282" s="0" t="str">
        <f aca="false">IF(C2282=1,MOD(ABS(SIN(ROW()*12.9898+'הדבקת לידים'!$F$2*78.233+IFERROR(--RIGHT(A2282,6),LEN(A2282))*0.0137+IFERROR(--RIGHT(B2282,6),LEN(B2282))*0.0071))*43758.5453,1),"")</f>
        <v/>
      </c>
      <c r="E2282" s="0" t="str">
        <f aca="false">IF(C2282=1,INT(MOD(ABS(SIN(D2282*7919.123+ROW()*0.618+'הדבקת לידים'!$F$2*1.3))*43758.5453,1)*1000000)*10000+ROW(),"")</f>
        <v/>
      </c>
      <c r="F2282" s="0" t="str">
        <f aca="false">IF(E2282="","",RANK(E2282,$E$2:$E$5001,1))</f>
        <v/>
      </c>
      <c r="G2282" s="0" t="n">
        <f aca="false">IF(A2282="",0,IF(SUMPRODUCT(--($A$2:$A$5001=A2282))&gt;1,1,0))</f>
        <v>0</v>
      </c>
      <c r="H2282" s="0" t="n">
        <f aca="false">ROW()-1</f>
        <v>2281</v>
      </c>
      <c r="I2282" s="0" t="str">
        <f aca="false">IF(OR(הגדרות!$E$6=0,H2282&gt;הגדרות!$E$5),"",IF(H2282-1&lt;הגדרות!$E$8*(הגדרות!$E$7+1),INT((H2282-1)/(הגדרות!$E$7+1)),הגדרות!$E$8+INT((H2282-1-הגדרות!$E$8*(הגדרות!$E$7+1))/הגדרות!$E$7)))</f>
        <v/>
      </c>
      <c r="J2282" s="0" t="str">
        <f aca="false">IF(I2282="","",IF(H2282-1&lt;הגדרות!$E$8*(הגדרות!$E$7+1),MOD(H2282-1,הגדרות!$E$7+1),MOD(H2282-1-הגדרות!$E$8*(הגדרות!$E$7+1),הגדרות!$E$7)))</f>
        <v/>
      </c>
      <c r="K2282" s="0" t="str">
        <f aca="false">IF(I2282="","",J2282*הגדרות!$E$6+I2282+1)</f>
        <v/>
      </c>
      <c r="L2282" s="0" t="str">
        <f aca="false">IF(K2282="","",MATCH(K2282,$F$2:$F$5001,0))</f>
        <v/>
      </c>
      <c r="M2282" s="0" t="str">
        <f aca="false">IF(I2282="","",INDEX(הגדרות!$A$2:$A$21,MOD(I2282+הגדרות!$E$9,הגדרות!$E$6)+1))</f>
        <v/>
      </c>
    </row>
    <row r="2283" customFormat="false" ht="15" hidden="false" customHeight="false" outlineLevel="0" collapsed="false">
      <c r="A2283" s="0" t="str">
        <f aca="false">IF('הדבקת לידים'!A2283="","",IF(ISNUMBER('הדבקת לידים'!A2283),IF(הגדרות!$E$2&gt;0,TEXT('הדבקת לידים'!A2283,REPT("0",הגדרות!$E$2)),TEXT('הדבקת לידים'!A2283,"0")),TRIM('הדבקת לידים'!A2283)))</f>
        <v/>
      </c>
      <c r="B2283" s="0" t="str">
        <f aca="false">IF('הדבקת לידים'!B2283="","",IF(ISNUMBER('הדבקת לידים'!B2283),IF(הגדרות!$E$3&gt;0,TEXT('הדבקת לידים'!B2283,REPT("0",הגדרות!$E$3)),TEXT('הדבקת לידים'!B2283,"0")),TRIM('הדבקת לידים'!B2283)))</f>
        <v/>
      </c>
      <c r="C2283" s="0" t="n">
        <f aca="false">IF(OR(A2283&lt;&gt;"",B2283&lt;&gt;""),1,0)</f>
        <v>0</v>
      </c>
      <c r="D2283" s="0" t="str">
        <f aca="false">IF(C2283=1,MOD(ABS(SIN(ROW()*12.9898+'הדבקת לידים'!$F$2*78.233+IFERROR(--RIGHT(A2283,6),LEN(A2283))*0.0137+IFERROR(--RIGHT(B2283,6),LEN(B2283))*0.0071))*43758.5453,1),"")</f>
        <v/>
      </c>
      <c r="E2283" s="0" t="str">
        <f aca="false">IF(C2283=1,INT(MOD(ABS(SIN(D2283*7919.123+ROW()*0.618+'הדבקת לידים'!$F$2*1.3))*43758.5453,1)*1000000)*10000+ROW(),"")</f>
        <v/>
      </c>
      <c r="F2283" s="0" t="str">
        <f aca="false">IF(E2283="","",RANK(E2283,$E$2:$E$5001,1))</f>
        <v/>
      </c>
      <c r="G2283" s="0" t="n">
        <f aca="false">IF(A2283="",0,IF(SUMPRODUCT(--($A$2:$A$5001=A2283))&gt;1,1,0))</f>
        <v>0</v>
      </c>
      <c r="H2283" s="0" t="n">
        <f aca="false">ROW()-1</f>
        <v>2282</v>
      </c>
      <c r="I2283" s="0" t="str">
        <f aca="false">IF(OR(הגדרות!$E$6=0,H2283&gt;הגדרות!$E$5),"",IF(H2283-1&lt;הגדרות!$E$8*(הגדרות!$E$7+1),INT((H2283-1)/(הגדרות!$E$7+1)),הגדרות!$E$8+INT((H2283-1-הגדרות!$E$8*(הגדרות!$E$7+1))/הגדרות!$E$7)))</f>
        <v/>
      </c>
      <c r="J2283" s="0" t="str">
        <f aca="false">IF(I2283="","",IF(H2283-1&lt;הגדרות!$E$8*(הגדרות!$E$7+1),MOD(H2283-1,הגדרות!$E$7+1),MOD(H2283-1-הגדרות!$E$8*(הגדרות!$E$7+1),הגדרות!$E$7)))</f>
        <v/>
      </c>
      <c r="K2283" s="0" t="str">
        <f aca="false">IF(I2283="","",J2283*הגדרות!$E$6+I2283+1)</f>
        <v/>
      </c>
      <c r="L2283" s="0" t="str">
        <f aca="false">IF(K2283="","",MATCH(K2283,$F$2:$F$5001,0))</f>
        <v/>
      </c>
      <c r="M2283" s="0" t="str">
        <f aca="false">IF(I2283="","",INDEX(הגדרות!$A$2:$A$21,MOD(I2283+הגדרות!$E$9,הגדרות!$E$6)+1))</f>
        <v/>
      </c>
    </row>
    <row r="2284" customFormat="false" ht="15" hidden="false" customHeight="false" outlineLevel="0" collapsed="false">
      <c r="A2284" s="0" t="str">
        <f aca="false">IF('הדבקת לידים'!A2284="","",IF(ISNUMBER('הדבקת לידים'!A2284),IF(הגדרות!$E$2&gt;0,TEXT('הדבקת לידים'!A2284,REPT("0",הגדרות!$E$2)),TEXT('הדבקת לידים'!A2284,"0")),TRIM('הדבקת לידים'!A2284)))</f>
        <v/>
      </c>
      <c r="B2284" s="0" t="str">
        <f aca="false">IF('הדבקת לידים'!B2284="","",IF(ISNUMBER('הדבקת לידים'!B2284),IF(הגדרות!$E$3&gt;0,TEXT('הדבקת לידים'!B2284,REPT("0",הגדרות!$E$3)),TEXT('הדבקת לידים'!B2284,"0")),TRIM('הדבקת לידים'!B2284)))</f>
        <v/>
      </c>
      <c r="C2284" s="0" t="n">
        <f aca="false">IF(OR(A2284&lt;&gt;"",B2284&lt;&gt;""),1,0)</f>
        <v>0</v>
      </c>
      <c r="D2284" s="0" t="str">
        <f aca="false">IF(C2284=1,MOD(ABS(SIN(ROW()*12.9898+'הדבקת לידים'!$F$2*78.233+IFERROR(--RIGHT(A2284,6),LEN(A2284))*0.0137+IFERROR(--RIGHT(B2284,6),LEN(B2284))*0.0071))*43758.5453,1),"")</f>
        <v/>
      </c>
      <c r="E2284" s="0" t="str">
        <f aca="false">IF(C2284=1,INT(MOD(ABS(SIN(D2284*7919.123+ROW()*0.618+'הדבקת לידים'!$F$2*1.3))*43758.5453,1)*1000000)*10000+ROW(),"")</f>
        <v/>
      </c>
      <c r="F2284" s="0" t="str">
        <f aca="false">IF(E2284="","",RANK(E2284,$E$2:$E$5001,1))</f>
        <v/>
      </c>
      <c r="G2284" s="0" t="n">
        <f aca="false">IF(A2284="",0,IF(SUMPRODUCT(--($A$2:$A$5001=A2284))&gt;1,1,0))</f>
        <v>0</v>
      </c>
      <c r="H2284" s="0" t="n">
        <f aca="false">ROW()-1</f>
        <v>2283</v>
      </c>
      <c r="I2284" s="0" t="str">
        <f aca="false">IF(OR(הגדרות!$E$6=0,H2284&gt;הגדרות!$E$5),"",IF(H2284-1&lt;הגדרות!$E$8*(הגדרות!$E$7+1),INT((H2284-1)/(הגדרות!$E$7+1)),הגדרות!$E$8+INT((H2284-1-הגדרות!$E$8*(הגדרות!$E$7+1))/הגדרות!$E$7)))</f>
        <v/>
      </c>
      <c r="J2284" s="0" t="str">
        <f aca="false">IF(I2284="","",IF(H2284-1&lt;הגדרות!$E$8*(הגדרות!$E$7+1),MOD(H2284-1,הגדרות!$E$7+1),MOD(H2284-1-הגדרות!$E$8*(הגדרות!$E$7+1),הגדרות!$E$7)))</f>
        <v/>
      </c>
      <c r="K2284" s="0" t="str">
        <f aca="false">IF(I2284="","",J2284*הגדרות!$E$6+I2284+1)</f>
        <v/>
      </c>
      <c r="L2284" s="0" t="str">
        <f aca="false">IF(K2284="","",MATCH(K2284,$F$2:$F$5001,0))</f>
        <v/>
      </c>
      <c r="M2284" s="0" t="str">
        <f aca="false">IF(I2284="","",INDEX(הגדרות!$A$2:$A$21,MOD(I2284+הגדרות!$E$9,הגדרות!$E$6)+1))</f>
        <v/>
      </c>
    </row>
    <row r="2285" customFormat="false" ht="15" hidden="false" customHeight="false" outlineLevel="0" collapsed="false">
      <c r="A2285" s="0" t="str">
        <f aca="false">IF('הדבקת לידים'!A2285="","",IF(ISNUMBER('הדבקת לידים'!A2285),IF(הגדרות!$E$2&gt;0,TEXT('הדבקת לידים'!A2285,REPT("0",הגדרות!$E$2)),TEXT('הדבקת לידים'!A2285,"0")),TRIM('הדבקת לידים'!A2285)))</f>
        <v/>
      </c>
      <c r="B2285" s="0" t="str">
        <f aca="false">IF('הדבקת לידים'!B2285="","",IF(ISNUMBER('הדבקת לידים'!B2285),IF(הגדרות!$E$3&gt;0,TEXT('הדבקת לידים'!B2285,REPT("0",הגדרות!$E$3)),TEXT('הדבקת לידים'!B2285,"0")),TRIM('הדבקת לידים'!B2285)))</f>
        <v/>
      </c>
      <c r="C2285" s="0" t="n">
        <f aca="false">IF(OR(A2285&lt;&gt;"",B2285&lt;&gt;""),1,0)</f>
        <v>0</v>
      </c>
      <c r="D2285" s="0" t="str">
        <f aca="false">IF(C2285=1,MOD(ABS(SIN(ROW()*12.9898+'הדבקת לידים'!$F$2*78.233+IFERROR(--RIGHT(A2285,6),LEN(A2285))*0.0137+IFERROR(--RIGHT(B2285,6),LEN(B2285))*0.0071))*43758.5453,1),"")</f>
        <v/>
      </c>
      <c r="E2285" s="0" t="str">
        <f aca="false">IF(C2285=1,INT(MOD(ABS(SIN(D2285*7919.123+ROW()*0.618+'הדבקת לידים'!$F$2*1.3))*43758.5453,1)*1000000)*10000+ROW(),"")</f>
        <v/>
      </c>
      <c r="F2285" s="0" t="str">
        <f aca="false">IF(E2285="","",RANK(E2285,$E$2:$E$5001,1))</f>
        <v/>
      </c>
      <c r="G2285" s="0" t="n">
        <f aca="false">IF(A2285="",0,IF(SUMPRODUCT(--($A$2:$A$5001=A2285))&gt;1,1,0))</f>
        <v>0</v>
      </c>
      <c r="H2285" s="0" t="n">
        <f aca="false">ROW()-1</f>
        <v>2284</v>
      </c>
      <c r="I2285" s="0" t="str">
        <f aca="false">IF(OR(הגדרות!$E$6=0,H2285&gt;הגדרות!$E$5),"",IF(H2285-1&lt;הגדרות!$E$8*(הגדרות!$E$7+1),INT((H2285-1)/(הגדרות!$E$7+1)),הגדרות!$E$8+INT((H2285-1-הגדרות!$E$8*(הגדרות!$E$7+1))/הגדרות!$E$7)))</f>
        <v/>
      </c>
      <c r="J2285" s="0" t="str">
        <f aca="false">IF(I2285="","",IF(H2285-1&lt;הגדרות!$E$8*(הגדרות!$E$7+1),MOD(H2285-1,הגדרות!$E$7+1),MOD(H2285-1-הגדרות!$E$8*(הגדרות!$E$7+1),הגדרות!$E$7)))</f>
        <v/>
      </c>
      <c r="K2285" s="0" t="str">
        <f aca="false">IF(I2285="","",J2285*הגדרות!$E$6+I2285+1)</f>
        <v/>
      </c>
      <c r="L2285" s="0" t="str">
        <f aca="false">IF(K2285="","",MATCH(K2285,$F$2:$F$5001,0))</f>
        <v/>
      </c>
      <c r="M2285" s="0" t="str">
        <f aca="false">IF(I2285="","",INDEX(הגדרות!$A$2:$A$21,MOD(I2285+הגדרות!$E$9,הגדרות!$E$6)+1))</f>
        <v/>
      </c>
    </row>
    <row r="2286" customFormat="false" ht="15" hidden="false" customHeight="false" outlineLevel="0" collapsed="false">
      <c r="A2286" s="0" t="str">
        <f aca="false">IF('הדבקת לידים'!A2286="","",IF(ISNUMBER('הדבקת לידים'!A2286),IF(הגדרות!$E$2&gt;0,TEXT('הדבקת לידים'!A2286,REPT("0",הגדרות!$E$2)),TEXT('הדבקת לידים'!A2286,"0")),TRIM('הדבקת לידים'!A2286)))</f>
        <v/>
      </c>
      <c r="B2286" s="0" t="str">
        <f aca="false">IF('הדבקת לידים'!B2286="","",IF(ISNUMBER('הדבקת לידים'!B2286),IF(הגדרות!$E$3&gt;0,TEXT('הדבקת לידים'!B2286,REPT("0",הגדרות!$E$3)),TEXT('הדבקת לידים'!B2286,"0")),TRIM('הדבקת לידים'!B2286)))</f>
        <v/>
      </c>
      <c r="C2286" s="0" t="n">
        <f aca="false">IF(OR(A2286&lt;&gt;"",B2286&lt;&gt;""),1,0)</f>
        <v>0</v>
      </c>
      <c r="D2286" s="0" t="str">
        <f aca="false">IF(C2286=1,MOD(ABS(SIN(ROW()*12.9898+'הדבקת לידים'!$F$2*78.233+IFERROR(--RIGHT(A2286,6),LEN(A2286))*0.0137+IFERROR(--RIGHT(B2286,6),LEN(B2286))*0.0071))*43758.5453,1),"")</f>
        <v/>
      </c>
      <c r="E2286" s="0" t="str">
        <f aca="false">IF(C2286=1,INT(MOD(ABS(SIN(D2286*7919.123+ROW()*0.618+'הדבקת לידים'!$F$2*1.3))*43758.5453,1)*1000000)*10000+ROW(),"")</f>
        <v/>
      </c>
      <c r="F2286" s="0" t="str">
        <f aca="false">IF(E2286="","",RANK(E2286,$E$2:$E$5001,1))</f>
        <v/>
      </c>
      <c r="G2286" s="0" t="n">
        <f aca="false">IF(A2286="",0,IF(SUMPRODUCT(--($A$2:$A$5001=A2286))&gt;1,1,0))</f>
        <v>0</v>
      </c>
      <c r="H2286" s="0" t="n">
        <f aca="false">ROW()-1</f>
        <v>2285</v>
      </c>
      <c r="I2286" s="0" t="str">
        <f aca="false">IF(OR(הגדרות!$E$6=0,H2286&gt;הגדרות!$E$5),"",IF(H2286-1&lt;הגדרות!$E$8*(הגדרות!$E$7+1),INT((H2286-1)/(הגדרות!$E$7+1)),הגדרות!$E$8+INT((H2286-1-הגדרות!$E$8*(הגדרות!$E$7+1))/הגדרות!$E$7)))</f>
        <v/>
      </c>
      <c r="J2286" s="0" t="str">
        <f aca="false">IF(I2286="","",IF(H2286-1&lt;הגדרות!$E$8*(הגדרות!$E$7+1),MOD(H2286-1,הגדרות!$E$7+1),MOD(H2286-1-הגדרות!$E$8*(הגדרות!$E$7+1),הגדרות!$E$7)))</f>
        <v/>
      </c>
      <c r="K2286" s="0" t="str">
        <f aca="false">IF(I2286="","",J2286*הגדרות!$E$6+I2286+1)</f>
        <v/>
      </c>
      <c r="L2286" s="0" t="str">
        <f aca="false">IF(K2286="","",MATCH(K2286,$F$2:$F$5001,0))</f>
        <v/>
      </c>
      <c r="M2286" s="0" t="str">
        <f aca="false">IF(I2286="","",INDEX(הגדרות!$A$2:$A$21,MOD(I2286+הגדרות!$E$9,הגדרות!$E$6)+1))</f>
        <v/>
      </c>
    </row>
    <row r="2287" customFormat="false" ht="15" hidden="false" customHeight="false" outlineLevel="0" collapsed="false">
      <c r="A2287" s="0" t="str">
        <f aca="false">IF('הדבקת לידים'!A2287="","",IF(ISNUMBER('הדבקת לידים'!A2287),IF(הגדרות!$E$2&gt;0,TEXT('הדבקת לידים'!A2287,REPT("0",הגדרות!$E$2)),TEXT('הדבקת לידים'!A2287,"0")),TRIM('הדבקת לידים'!A2287)))</f>
        <v/>
      </c>
      <c r="B2287" s="0" t="str">
        <f aca="false">IF('הדבקת לידים'!B2287="","",IF(ISNUMBER('הדבקת לידים'!B2287),IF(הגדרות!$E$3&gt;0,TEXT('הדבקת לידים'!B2287,REPT("0",הגדרות!$E$3)),TEXT('הדבקת לידים'!B2287,"0")),TRIM('הדבקת לידים'!B2287)))</f>
        <v/>
      </c>
      <c r="C2287" s="0" t="n">
        <f aca="false">IF(OR(A2287&lt;&gt;"",B2287&lt;&gt;""),1,0)</f>
        <v>0</v>
      </c>
      <c r="D2287" s="0" t="str">
        <f aca="false">IF(C2287=1,MOD(ABS(SIN(ROW()*12.9898+'הדבקת לידים'!$F$2*78.233+IFERROR(--RIGHT(A2287,6),LEN(A2287))*0.0137+IFERROR(--RIGHT(B2287,6),LEN(B2287))*0.0071))*43758.5453,1),"")</f>
        <v/>
      </c>
      <c r="E2287" s="0" t="str">
        <f aca="false">IF(C2287=1,INT(MOD(ABS(SIN(D2287*7919.123+ROW()*0.618+'הדבקת לידים'!$F$2*1.3))*43758.5453,1)*1000000)*10000+ROW(),"")</f>
        <v/>
      </c>
      <c r="F2287" s="0" t="str">
        <f aca="false">IF(E2287="","",RANK(E2287,$E$2:$E$5001,1))</f>
        <v/>
      </c>
      <c r="G2287" s="0" t="n">
        <f aca="false">IF(A2287="",0,IF(SUMPRODUCT(--($A$2:$A$5001=A2287))&gt;1,1,0))</f>
        <v>0</v>
      </c>
      <c r="H2287" s="0" t="n">
        <f aca="false">ROW()-1</f>
        <v>2286</v>
      </c>
      <c r="I2287" s="0" t="str">
        <f aca="false">IF(OR(הגדרות!$E$6=0,H2287&gt;הגדרות!$E$5),"",IF(H2287-1&lt;הגדרות!$E$8*(הגדרות!$E$7+1),INT((H2287-1)/(הגדרות!$E$7+1)),הגדרות!$E$8+INT((H2287-1-הגדרות!$E$8*(הגדרות!$E$7+1))/הגדרות!$E$7)))</f>
        <v/>
      </c>
      <c r="J2287" s="0" t="str">
        <f aca="false">IF(I2287="","",IF(H2287-1&lt;הגדרות!$E$8*(הגדרות!$E$7+1),MOD(H2287-1,הגדרות!$E$7+1),MOD(H2287-1-הגדרות!$E$8*(הגדרות!$E$7+1),הגדרות!$E$7)))</f>
        <v/>
      </c>
      <c r="K2287" s="0" t="str">
        <f aca="false">IF(I2287="","",J2287*הגדרות!$E$6+I2287+1)</f>
        <v/>
      </c>
      <c r="L2287" s="0" t="str">
        <f aca="false">IF(K2287="","",MATCH(K2287,$F$2:$F$5001,0))</f>
        <v/>
      </c>
      <c r="M2287" s="0" t="str">
        <f aca="false">IF(I2287="","",INDEX(הגדרות!$A$2:$A$21,MOD(I2287+הגדרות!$E$9,הגדרות!$E$6)+1))</f>
        <v/>
      </c>
    </row>
    <row r="2288" customFormat="false" ht="15" hidden="false" customHeight="false" outlineLevel="0" collapsed="false">
      <c r="A2288" s="0" t="str">
        <f aca="false">IF('הדבקת לידים'!A2288="","",IF(ISNUMBER('הדבקת לידים'!A2288),IF(הגדרות!$E$2&gt;0,TEXT('הדבקת לידים'!A2288,REPT("0",הגדרות!$E$2)),TEXT('הדבקת לידים'!A2288,"0")),TRIM('הדבקת לידים'!A2288)))</f>
        <v/>
      </c>
      <c r="B2288" s="0" t="str">
        <f aca="false">IF('הדבקת לידים'!B2288="","",IF(ISNUMBER('הדבקת לידים'!B2288),IF(הגדרות!$E$3&gt;0,TEXT('הדבקת לידים'!B2288,REPT("0",הגדרות!$E$3)),TEXT('הדבקת לידים'!B2288,"0")),TRIM('הדבקת לידים'!B2288)))</f>
        <v/>
      </c>
      <c r="C2288" s="0" t="n">
        <f aca="false">IF(OR(A2288&lt;&gt;"",B2288&lt;&gt;""),1,0)</f>
        <v>0</v>
      </c>
      <c r="D2288" s="0" t="str">
        <f aca="false">IF(C2288=1,MOD(ABS(SIN(ROW()*12.9898+'הדבקת לידים'!$F$2*78.233+IFERROR(--RIGHT(A2288,6),LEN(A2288))*0.0137+IFERROR(--RIGHT(B2288,6),LEN(B2288))*0.0071))*43758.5453,1),"")</f>
        <v/>
      </c>
      <c r="E2288" s="0" t="str">
        <f aca="false">IF(C2288=1,INT(MOD(ABS(SIN(D2288*7919.123+ROW()*0.618+'הדבקת לידים'!$F$2*1.3))*43758.5453,1)*1000000)*10000+ROW(),"")</f>
        <v/>
      </c>
      <c r="F2288" s="0" t="str">
        <f aca="false">IF(E2288="","",RANK(E2288,$E$2:$E$5001,1))</f>
        <v/>
      </c>
      <c r="G2288" s="0" t="n">
        <f aca="false">IF(A2288="",0,IF(SUMPRODUCT(--($A$2:$A$5001=A2288))&gt;1,1,0))</f>
        <v>0</v>
      </c>
      <c r="H2288" s="0" t="n">
        <f aca="false">ROW()-1</f>
        <v>2287</v>
      </c>
      <c r="I2288" s="0" t="str">
        <f aca="false">IF(OR(הגדרות!$E$6=0,H2288&gt;הגדרות!$E$5),"",IF(H2288-1&lt;הגדרות!$E$8*(הגדרות!$E$7+1),INT((H2288-1)/(הגדרות!$E$7+1)),הגדרות!$E$8+INT((H2288-1-הגדרות!$E$8*(הגדרות!$E$7+1))/הגדרות!$E$7)))</f>
        <v/>
      </c>
      <c r="J2288" s="0" t="str">
        <f aca="false">IF(I2288="","",IF(H2288-1&lt;הגדרות!$E$8*(הגדרות!$E$7+1),MOD(H2288-1,הגדרות!$E$7+1),MOD(H2288-1-הגדרות!$E$8*(הגדרות!$E$7+1),הגדרות!$E$7)))</f>
        <v/>
      </c>
      <c r="K2288" s="0" t="str">
        <f aca="false">IF(I2288="","",J2288*הגדרות!$E$6+I2288+1)</f>
        <v/>
      </c>
      <c r="L2288" s="0" t="str">
        <f aca="false">IF(K2288="","",MATCH(K2288,$F$2:$F$5001,0))</f>
        <v/>
      </c>
      <c r="M2288" s="0" t="str">
        <f aca="false">IF(I2288="","",INDEX(הגדרות!$A$2:$A$21,MOD(I2288+הגדרות!$E$9,הגדרות!$E$6)+1))</f>
        <v/>
      </c>
    </row>
    <row r="2289" customFormat="false" ht="15" hidden="false" customHeight="false" outlineLevel="0" collapsed="false">
      <c r="A2289" s="0" t="str">
        <f aca="false">IF('הדבקת לידים'!A2289="","",IF(ISNUMBER('הדבקת לידים'!A2289),IF(הגדרות!$E$2&gt;0,TEXT('הדבקת לידים'!A2289,REPT("0",הגדרות!$E$2)),TEXT('הדבקת לידים'!A2289,"0")),TRIM('הדבקת לידים'!A2289)))</f>
        <v/>
      </c>
      <c r="B2289" s="0" t="str">
        <f aca="false">IF('הדבקת לידים'!B2289="","",IF(ISNUMBER('הדבקת לידים'!B2289),IF(הגדרות!$E$3&gt;0,TEXT('הדבקת לידים'!B2289,REPT("0",הגדרות!$E$3)),TEXT('הדבקת לידים'!B2289,"0")),TRIM('הדבקת לידים'!B2289)))</f>
        <v/>
      </c>
      <c r="C2289" s="0" t="n">
        <f aca="false">IF(OR(A2289&lt;&gt;"",B2289&lt;&gt;""),1,0)</f>
        <v>0</v>
      </c>
      <c r="D2289" s="0" t="str">
        <f aca="false">IF(C2289=1,MOD(ABS(SIN(ROW()*12.9898+'הדבקת לידים'!$F$2*78.233+IFERROR(--RIGHT(A2289,6),LEN(A2289))*0.0137+IFERROR(--RIGHT(B2289,6),LEN(B2289))*0.0071))*43758.5453,1),"")</f>
        <v/>
      </c>
      <c r="E2289" s="0" t="str">
        <f aca="false">IF(C2289=1,INT(MOD(ABS(SIN(D2289*7919.123+ROW()*0.618+'הדבקת לידים'!$F$2*1.3))*43758.5453,1)*1000000)*10000+ROW(),"")</f>
        <v/>
      </c>
      <c r="F2289" s="0" t="str">
        <f aca="false">IF(E2289="","",RANK(E2289,$E$2:$E$5001,1))</f>
        <v/>
      </c>
      <c r="G2289" s="0" t="n">
        <f aca="false">IF(A2289="",0,IF(SUMPRODUCT(--($A$2:$A$5001=A2289))&gt;1,1,0))</f>
        <v>0</v>
      </c>
      <c r="H2289" s="0" t="n">
        <f aca="false">ROW()-1</f>
        <v>2288</v>
      </c>
      <c r="I2289" s="0" t="str">
        <f aca="false">IF(OR(הגדרות!$E$6=0,H2289&gt;הגדרות!$E$5),"",IF(H2289-1&lt;הגדרות!$E$8*(הגדרות!$E$7+1),INT((H2289-1)/(הגדרות!$E$7+1)),הגדרות!$E$8+INT((H2289-1-הגדרות!$E$8*(הגדרות!$E$7+1))/הגדרות!$E$7)))</f>
        <v/>
      </c>
      <c r="J2289" s="0" t="str">
        <f aca="false">IF(I2289="","",IF(H2289-1&lt;הגדרות!$E$8*(הגדרות!$E$7+1),MOD(H2289-1,הגדרות!$E$7+1),MOD(H2289-1-הגדרות!$E$8*(הגדרות!$E$7+1),הגדרות!$E$7)))</f>
        <v/>
      </c>
      <c r="K2289" s="0" t="str">
        <f aca="false">IF(I2289="","",J2289*הגדרות!$E$6+I2289+1)</f>
        <v/>
      </c>
      <c r="L2289" s="0" t="str">
        <f aca="false">IF(K2289="","",MATCH(K2289,$F$2:$F$5001,0))</f>
        <v/>
      </c>
      <c r="M2289" s="0" t="str">
        <f aca="false">IF(I2289="","",INDEX(הגדרות!$A$2:$A$21,MOD(I2289+הגדרות!$E$9,הגדרות!$E$6)+1))</f>
        <v/>
      </c>
    </row>
    <row r="2290" customFormat="false" ht="15" hidden="false" customHeight="false" outlineLevel="0" collapsed="false">
      <c r="A2290" s="0" t="str">
        <f aca="false">IF('הדבקת לידים'!A2290="","",IF(ISNUMBER('הדבקת לידים'!A2290),IF(הגדרות!$E$2&gt;0,TEXT('הדבקת לידים'!A2290,REPT("0",הגדרות!$E$2)),TEXT('הדבקת לידים'!A2290,"0")),TRIM('הדבקת לידים'!A2290)))</f>
        <v/>
      </c>
      <c r="B2290" s="0" t="str">
        <f aca="false">IF('הדבקת לידים'!B2290="","",IF(ISNUMBER('הדבקת לידים'!B2290),IF(הגדרות!$E$3&gt;0,TEXT('הדבקת לידים'!B2290,REPT("0",הגדרות!$E$3)),TEXT('הדבקת לידים'!B2290,"0")),TRIM('הדבקת לידים'!B2290)))</f>
        <v/>
      </c>
      <c r="C2290" s="0" t="n">
        <f aca="false">IF(OR(A2290&lt;&gt;"",B2290&lt;&gt;""),1,0)</f>
        <v>0</v>
      </c>
      <c r="D2290" s="0" t="str">
        <f aca="false">IF(C2290=1,MOD(ABS(SIN(ROW()*12.9898+'הדבקת לידים'!$F$2*78.233+IFERROR(--RIGHT(A2290,6),LEN(A2290))*0.0137+IFERROR(--RIGHT(B2290,6),LEN(B2290))*0.0071))*43758.5453,1),"")</f>
        <v/>
      </c>
      <c r="E2290" s="0" t="str">
        <f aca="false">IF(C2290=1,INT(MOD(ABS(SIN(D2290*7919.123+ROW()*0.618+'הדבקת לידים'!$F$2*1.3))*43758.5453,1)*1000000)*10000+ROW(),"")</f>
        <v/>
      </c>
      <c r="F2290" s="0" t="str">
        <f aca="false">IF(E2290="","",RANK(E2290,$E$2:$E$5001,1))</f>
        <v/>
      </c>
      <c r="G2290" s="0" t="n">
        <f aca="false">IF(A2290="",0,IF(SUMPRODUCT(--($A$2:$A$5001=A2290))&gt;1,1,0))</f>
        <v>0</v>
      </c>
      <c r="H2290" s="0" t="n">
        <f aca="false">ROW()-1</f>
        <v>2289</v>
      </c>
      <c r="I2290" s="0" t="str">
        <f aca="false">IF(OR(הגדרות!$E$6=0,H2290&gt;הגדרות!$E$5),"",IF(H2290-1&lt;הגדרות!$E$8*(הגדרות!$E$7+1),INT((H2290-1)/(הגדרות!$E$7+1)),הגדרות!$E$8+INT((H2290-1-הגדרות!$E$8*(הגדרות!$E$7+1))/הגדרות!$E$7)))</f>
        <v/>
      </c>
      <c r="J2290" s="0" t="str">
        <f aca="false">IF(I2290="","",IF(H2290-1&lt;הגדרות!$E$8*(הגדרות!$E$7+1),MOD(H2290-1,הגדרות!$E$7+1),MOD(H2290-1-הגדרות!$E$8*(הגדרות!$E$7+1),הגדרות!$E$7)))</f>
        <v/>
      </c>
      <c r="K2290" s="0" t="str">
        <f aca="false">IF(I2290="","",J2290*הגדרות!$E$6+I2290+1)</f>
        <v/>
      </c>
      <c r="L2290" s="0" t="str">
        <f aca="false">IF(K2290="","",MATCH(K2290,$F$2:$F$5001,0))</f>
        <v/>
      </c>
      <c r="M2290" s="0" t="str">
        <f aca="false">IF(I2290="","",INDEX(הגדרות!$A$2:$A$21,MOD(I2290+הגדרות!$E$9,הגדרות!$E$6)+1))</f>
        <v/>
      </c>
    </row>
    <row r="2291" customFormat="false" ht="15" hidden="false" customHeight="false" outlineLevel="0" collapsed="false">
      <c r="A2291" s="0" t="str">
        <f aca="false">IF('הדבקת לידים'!A2291="","",IF(ISNUMBER('הדבקת לידים'!A2291),IF(הגדרות!$E$2&gt;0,TEXT('הדבקת לידים'!A2291,REPT("0",הגדרות!$E$2)),TEXT('הדבקת לידים'!A2291,"0")),TRIM('הדבקת לידים'!A2291)))</f>
        <v/>
      </c>
      <c r="B2291" s="0" t="str">
        <f aca="false">IF('הדבקת לידים'!B2291="","",IF(ISNUMBER('הדבקת לידים'!B2291),IF(הגדרות!$E$3&gt;0,TEXT('הדבקת לידים'!B2291,REPT("0",הגדרות!$E$3)),TEXT('הדבקת לידים'!B2291,"0")),TRIM('הדבקת לידים'!B2291)))</f>
        <v/>
      </c>
      <c r="C2291" s="0" t="n">
        <f aca="false">IF(OR(A2291&lt;&gt;"",B2291&lt;&gt;""),1,0)</f>
        <v>0</v>
      </c>
      <c r="D2291" s="0" t="str">
        <f aca="false">IF(C2291=1,MOD(ABS(SIN(ROW()*12.9898+'הדבקת לידים'!$F$2*78.233+IFERROR(--RIGHT(A2291,6),LEN(A2291))*0.0137+IFERROR(--RIGHT(B2291,6),LEN(B2291))*0.0071))*43758.5453,1),"")</f>
        <v/>
      </c>
      <c r="E2291" s="0" t="str">
        <f aca="false">IF(C2291=1,INT(MOD(ABS(SIN(D2291*7919.123+ROW()*0.618+'הדבקת לידים'!$F$2*1.3))*43758.5453,1)*1000000)*10000+ROW(),"")</f>
        <v/>
      </c>
      <c r="F2291" s="0" t="str">
        <f aca="false">IF(E2291="","",RANK(E2291,$E$2:$E$5001,1))</f>
        <v/>
      </c>
      <c r="G2291" s="0" t="n">
        <f aca="false">IF(A2291="",0,IF(SUMPRODUCT(--($A$2:$A$5001=A2291))&gt;1,1,0))</f>
        <v>0</v>
      </c>
      <c r="H2291" s="0" t="n">
        <f aca="false">ROW()-1</f>
        <v>2290</v>
      </c>
      <c r="I2291" s="0" t="str">
        <f aca="false">IF(OR(הגדרות!$E$6=0,H2291&gt;הגדרות!$E$5),"",IF(H2291-1&lt;הגדרות!$E$8*(הגדרות!$E$7+1),INT((H2291-1)/(הגדרות!$E$7+1)),הגדרות!$E$8+INT((H2291-1-הגדרות!$E$8*(הגדרות!$E$7+1))/הגדרות!$E$7)))</f>
        <v/>
      </c>
      <c r="J2291" s="0" t="str">
        <f aca="false">IF(I2291="","",IF(H2291-1&lt;הגדרות!$E$8*(הגדרות!$E$7+1),MOD(H2291-1,הגדרות!$E$7+1),MOD(H2291-1-הגדרות!$E$8*(הגדרות!$E$7+1),הגדרות!$E$7)))</f>
        <v/>
      </c>
      <c r="K2291" s="0" t="str">
        <f aca="false">IF(I2291="","",J2291*הגדרות!$E$6+I2291+1)</f>
        <v/>
      </c>
      <c r="L2291" s="0" t="str">
        <f aca="false">IF(K2291="","",MATCH(K2291,$F$2:$F$5001,0))</f>
        <v/>
      </c>
      <c r="M2291" s="0" t="str">
        <f aca="false">IF(I2291="","",INDEX(הגדרות!$A$2:$A$21,MOD(I2291+הגדרות!$E$9,הגדרות!$E$6)+1))</f>
        <v/>
      </c>
    </row>
    <row r="2292" customFormat="false" ht="15" hidden="false" customHeight="false" outlineLevel="0" collapsed="false">
      <c r="A2292" s="0" t="str">
        <f aca="false">IF('הדבקת לידים'!A2292="","",IF(ISNUMBER('הדבקת לידים'!A2292),IF(הגדרות!$E$2&gt;0,TEXT('הדבקת לידים'!A2292,REPT("0",הגדרות!$E$2)),TEXT('הדבקת לידים'!A2292,"0")),TRIM('הדבקת לידים'!A2292)))</f>
        <v/>
      </c>
      <c r="B2292" s="0" t="str">
        <f aca="false">IF('הדבקת לידים'!B2292="","",IF(ISNUMBER('הדבקת לידים'!B2292),IF(הגדרות!$E$3&gt;0,TEXT('הדבקת לידים'!B2292,REPT("0",הגדרות!$E$3)),TEXT('הדבקת לידים'!B2292,"0")),TRIM('הדבקת לידים'!B2292)))</f>
        <v/>
      </c>
      <c r="C2292" s="0" t="n">
        <f aca="false">IF(OR(A2292&lt;&gt;"",B2292&lt;&gt;""),1,0)</f>
        <v>0</v>
      </c>
      <c r="D2292" s="0" t="str">
        <f aca="false">IF(C2292=1,MOD(ABS(SIN(ROW()*12.9898+'הדבקת לידים'!$F$2*78.233+IFERROR(--RIGHT(A2292,6),LEN(A2292))*0.0137+IFERROR(--RIGHT(B2292,6),LEN(B2292))*0.0071))*43758.5453,1),"")</f>
        <v/>
      </c>
      <c r="E2292" s="0" t="str">
        <f aca="false">IF(C2292=1,INT(MOD(ABS(SIN(D2292*7919.123+ROW()*0.618+'הדבקת לידים'!$F$2*1.3))*43758.5453,1)*1000000)*10000+ROW(),"")</f>
        <v/>
      </c>
      <c r="F2292" s="0" t="str">
        <f aca="false">IF(E2292="","",RANK(E2292,$E$2:$E$5001,1))</f>
        <v/>
      </c>
      <c r="G2292" s="0" t="n">
        <f aca="false">IF(A2292="",0,IF(SUMPRODUCT(--($A$2:$A$5001=A2292))&gt;1,1,0))</f>
        <v>0</v>
      </c>
      <c r="H2292" s="0" t="n">
        <f aca="false">ROW()-1</f>
        <v>2291</v>
      </c>
      <c r="I2292" s="0" t="str">
        <f aca="false">IF(OR(הגדרות!$E$6=0,H2292&gt;הגדרות!$E$5),"",IF(H2292-1&lt;הגדרות!$E$8*(הגדרות!$E$7+1),INT((H2292-1)/(הגדרות!$E$7+1)),הגדרות!$E$8+INT((H2292-1-הגדרות!$E$8*(הגדרות!$E$7+1))/הגדרות!$E$7)))</f>
        <v/>
      </c>
      <c r="J2292" s="0" t="str">
        <f aca="false">IF(I2292="","",IF(H2292-1&lt;הגדרות!$E$8*(הגדרות!$E$7+1),MOD(H2292-1,הגדרות!$E$7+1),MOD(H2292-1-הגדרות!$E$8*(הגדרות!$E$7+1),הגדרות!$E$7)))</f>
        <v/>
      </c>
      <c r="K2292" s="0" t="str">
        <f aca="false">IF(I2292="","",J2292*הגדרות!$E$6+I2292+1)</f>
        <v/>
      </c>
      <c r="L2292" s="0" t="str">
        <f aca="false">IF(K2292="","",MATCH(K2292,$F$2:$F$5001,0))</f>
        <v/>
      </c>
      <c r="M2292" s="0" t="str">
        <f aca="false">IF(I2292="","",INDEX(הגדרות!$A$2:$A$21,MOD(I2292+הגדרות!$E$9,הגדרות!$E$6)+1))</f>
        <v/>
      </c>
    </row>
    <row r="2293" customFormat="false" ht="15" hidden="false" customHeight="false" outlineLevel="0" collapsed="false">
      <c r="A2293" s="0" t="str">
        <f aca="false">IF('הדבקת לידים'!A2293="","",IF(ISNUMBER('הדבקת לידים'!A2293),IF(הגדרות!$E$2&gt;0,TEXT('הדבקת לידים'!A2293,REPT("0",הגדרות!$E$2)),TEXT('הדבקת לידים'!A2293,"0")),TRIM('הדבקת לידים'!A2293)))</f>
        <v/>
      </c>
      <c r="B2293" s="0" t="str">
        <f aca="false">IF('הדבקת לידים'!B2293="","",IF(ISNUMBER('הדבקת לידים'!B2293),IF(הגדרות!$E$3&gt;0,TEXT('הדבקת לידים'!B2293,REPT("0",הגדרות!$E$3)),TEXT('הדבקת לידים'!B2293,"0")),TRIM('הדבקת לידים'!B2293)))</f>
        <v/>
      </c>
      <c r="C2293" s="0" t="n">
        <f aca="false">IF(OR(A2293&lt;&gt;"",B2293&lt;&gt;""),1,0)</f>
        <v>0</v>
      </c>
      <c r="D2293" s="0" t="str">
        <f aca="false">IF(C2293=1,MOD(ABS(SIN(ROW()*12.9898+'הדבקת לידים'!$F$2*78.233+IFERROR(--RIGHT(A2293,6),LEN(A2293))*0.0137+IFERROR(--RIGHT(B2293,6),LEN(B2293))*0.0071))*43758.5453,1),"")</f>
        <v/>
      </c>
      <c r="E2293" s="0" t="str">
        <f aca="false">IF(C2293=1,INT(MOD(ABS(SIN(D2293*7919.123+ROW()*0.618+'הדבקת לידים'!$F$2*1.3))*43758.5453,1)*1000000)*10000+ROW(),"")</f>
        <v/>
      </c>
      <c r="F2293" s="0" t="str">
        <f aca="false">IF(E2293="","",RANK(E2293,$E$2:$E$5001,1))</f>
        <v/>
      </c>
      <c r="G2293" s="0" t="n">
        <f aca="false">IF(A2293="",0,IF(SUMPRODUCT(--($A$2:$A$5001=A2293))&gt;1,1,0))</f>
        <v>0</v>
      </c>
      <c r="H2293" s="0" t="n">
        <f aca="false">ROW()-1</f>
        <v>2292</v>
      </c>
      <c r="I2293" s="0" t="str">
        <f aca="false">IF(OR(הגדרות!$E$6=0,H2293&gt;הגדרות!$E$5),"",IF(H2293-1&lt;הגדרות!$E$8*(הגדרות!$E$7+1),INT((H2293-1)/(הגדרות!$E$7+1)),הגדרות!$E$8+INT((H2293-1-הגדרות!$E$8*(הגדרות!$E$7+1))/הגדרות!$E$7)))</f>
        <v/>
      </c>
      <c r="J2293" s="0" t="str">
        <f aca="false">IF(I2293="","",IF(H2293-1&lt;הגדרות!$E$8*(הגדרות!$E$7+1),MOD(H2293-1,הגדרות!$E$7+1),MOD(H2293-1-הגדרות!$E$8*(הגדרות!$E$7+1),הגדרות!$E$7)))</f>
        <v/>
      </c>
      <c r="K2293" s="0" t="str">
        <f aca="false">IF(I2293="","",J2293*הגדרות!$E$6+I2293+1)</f>
        <v/>
      </c>
      <c r="L2293" s="0" t="str">
        <f aca="false">IF(K2293="","",MATCH(K2293,$F$2:$F$5001,0))</f>
        <v/>
      </c>
      <c r="M2293" s="0" t="str">
        <f aca="false">IF(I2293="","",INDEX(הגדרות!$A$2:$A$21,MOD(I2293+הגדרות!$E$9,הגדרות!$E$6)+1))</f>
        <v/>
      </c>
    </row>
    <row r="2294" customFormat="false" ht="15" hidden="false" customHeight="false" outlineLevel="0" collapsed="false">
      <c r="A2294" s="0" t="str">
        <f aca="false">IF('הדבקת לידים'!A2294="","",IF(ISNUMBER('הדבקת לידים'!A2294),IF(הגדרות!$E$2&gt;0,TEXT('הדבקת לידים'!A2294,REPT("0",הגדרות!$E$2)),TEXT('הדבקת לידים'!A2294,"0")),TRIM('הדבקת לידים'!A2294)))</f>
        <v/>
      </c>
      <c r="B2294" s="0" t="str">
        <f aca="false">IF('הדבקת לידים'!B2294="","",IF(ISNUMBER('הדבקת לידים'!B2294),IF(הגדרות!$E$3&gt;0,TEXT('הדבקת לידים'!B2294,REPT("0",הגדרות!$E$3)),TEXT('הדבקת לידים'!B2294,"0")),TRIM('הדבקת לידים'!B2294)))</f>
        <v/>
      </c>
      <c r="C2294" s="0" t="n">
        <f aca="false">IF(OR(A2294&lt;&gt;"",B2294&lt;&gt;""),1,0)</f>
        <v>0</v>
      </c>
      <c r="D2294" s="0" t="str">
        <f aca="false">IF(C2294=1,MOD(ABS(SIN(ROW()*12.9898+'הדבקת לידים'!$F$2*78.233+IFERROR(--RIGHT(A2294,6),LEN(A2294))*0.0137+IFERROR(--RIGHT(B2294,6),LEN(B2294))*0.0071))*43758.5453,1),"")</f>
        <v/>
      </c>
      <c r="E2294" s="0" t="str">
        <f aca="false">IF(C2294=1,INT(MOD(ABS(SIN(D2294*7919.123+ROW()*0.618+'הדבקת לידים'!$F$2*1.3))*43758.5453,1)*1000000)*10000+ROW(),"")</f>
        <v/>
      </c>
      <c r="F2294" s="0" t="str">
        <f aca="false">IF(E2294="","",RANK(E2294,$E$2:$E$5001,1))</f>
        <v/>
      </c>
      <c r="G2294" s="0" t="n">
        <f aca="false">IF(A2294="",0,IF(SUMPRODUCT(--($A$2:$A$5001=A2294))&gt;1,1,0))</f>
        <v>0</v>
      </c>
      <c r="H2294" s="0" t="n">
        <f aca="false">ROW()-1</f>
        <v>2293</v>
      </c>
      <c r="I2294" s="0" t="str">
        <f aca="false">IF(OR(הגדרות!$E$6=0,H2294&gt;הגדרות!$E$5),"",IF(H2294-1&lt;הגדרות!$E$8*(הגדרות!$E$7+1),INT((H2294-1)/(הגדרות!$E$7+1)),הגדרות!$E$8+INT((H2294-1-הגדרות!$E$8*(הגדרות!$E$7+1))/הגדרות!$E$7)))</f>
        <v/>
      </c>
      <c r="J2294" s="0" t="str">
        <f aca="false">IF(I2294="","",IF(H2294-1&lt;הגדרות!$E$8*(הגדרות!$E$7+1),MOD(H2294-1,הגדרות!$E$7+1),MOD(H2294-1-הגדרות!$E$8*(הגדרות!$E$7+1),הגדרות!$E$7)))</f>
        <v/>
      </c>
      <c r="K2294" s="0" t="str">
        <f aca="false">IF(I2294="","",J2294*הגדרות!$E$6+I2294+1)</f>
        <v/>
      </c>
      <c r="L2294" s="0" t="str">
        <f aca="false">IF(K2294="","",MATCH(K2294,$F$2:$F$5001,0))</f>
        <v/>
      </c>
      <c r="M2294" s="0" t="str">
        <f aca="false">IF(I2294="","",INDEX(הגדרות!$A$2:$A$21,MOD(I2294+הגדרות!$E$9,הגדרות!$E$6)+1))</f>
        <v/>
      </c>
    </row>
    <row r="2295" customFormat="false" ht="15" hidden="false" customHeight="false" outlineLevel="0" collapsed="false">
      <c r="A2295" s="0" t="str">
        <f aca="false">IF('הדבקת לידים'!A2295="","",IF(ISNUMBER('הדבקת לידים'!A2295),IF(הגדרות!$E$2&gt;0,TEXT('הדבקת לידים'!A2295,REPT("0",הגדרות!$E$2)),TEXT('הדבקת לידים'!A2295,"0")),TRIM('הדבקת לידים'!A2295)))</f>
        <v/>
      </c>
      <c r="B2295" s="0" t="str">
        <f aca="false">IF('הדבקת לידים'!B2295="","",IF(ISNUMBER('הדבקת לידים'!B2295),IF(הגדרות!$E$3&gt;0,TEXT('הדבקת לידים'!B2295,REPT("0",הגדרות!$E$3)),TEXT('הדבקת לידים'!B2295,"0")),TRIM('הדבקת לידים'!B2295)))</f>
        <v/>
      </c>
      <c r="C2295" s="0" t="n">
        <f aca="false">IF(OR(A2295&lt;&gt;"",B2295&lt;&gt;""),1,0)</f>
        <v>0</v>
      </c>
      <c r="D2295" s="0" t="str">
        <f aca="false">IF(C2295=1,MOD(ABS(SIN(ROW()*12.9898+'הדבקת לידים'!$F$2*78.233+IFERROR(--RIGHT(A2295,6),LEN(A2295))*0.0137+IFERROR(--RIGHT(B2295,6),LEN(B2295))*0.0071))*43758.5453,1),"")</f>
        <v/>
      </c>
      <c r="E2295" s="0" t="str">
        <f aca="false">IF(C2295=1,INT(MOD(ABS(SIN(D2295*7919.123+ROW()*0.618+'הדבקת לידים'!$F$2*1.3))*43758.5453,1)*1000000)*10000+ROW(),"")</f>
        <v/>
      </c>
      <c r="F2295" s="0" t="str">
        <f aca="false">IF(E2295="","",RANK(E2295,$E$2:$E$5001,1))</f>
        <v/>
      </c>
      <c r="G2295" s="0" t="n">
        <f aca="false">IF(A2295="",0,IF(SUMPRODUCT(--($A$2:$A$5001=A2295))&gt;1,1,0))</f>
        <v>0</v>
      </c>
      <c r="H2295" s="0" t="n">
        <f aca="false">ROW()-1</f>
        <v>2294</v>
      </c>
      <c r="I2295" s="0" t="str">
        <f aca="false">IF(OR(הגדרות!$E$6=0,H2295&gt;הגדרות!$E$5),"",IF(H2295-1&lt;הגדרות!$E$8*(הגדרות!$E$7+1),INT((H2295-1)/(הגדרות!$E$7+1)),הגדרות!$E$8+INT((H2295-1-הגדרות!$E$8*(הגדרות!$E$7+1))/הגדרות!$E$7)))</f>
        <v/>
      </c>
      <c r="J2295" s="0" t="str">
        <f aca="false">IF(I2295="","",IF(H2295-1&lt;הגדרות!$E$8*(הגדרות!$E$7+1),MOD(H2295-1,הגדרות!$E$7+1),MOD(H2295-1-הגדרות!$E$8*(הגדרות!$E$7+1),הגדרות!$E$7)))</f>
        <v/>
      </c>
      <c r="K2295" s="0" t="str">
        <f aca="false">IF(I2295="","",J2295*הגדרות!$E$6+I2295+1)</f>
        <v/>
      </c>
      <c r="L2295" s="0" t="str">
        <f aca="false">IF(K2295="","",MATCH(K2295,$F$2:$F$5001,0))</f>
        <v/>
      </c>
      <c r="M2295" s="0" t="str">
        <f aca="false">IF(I2295="","",INDEX(הגדרות!$A$2:$A$21,MOD(I2295+הגדרות!$E$9,הגדרות!$E$6)+1))</f>
        <v/>
      </c>
    </row>
    <row r="2296" customFormat="false" ht="15" hidden="false" customHeight="false" outlineLevel="0" collapsed="false">
      <c r="A2296" s="0" t="str">
        <f aca="false">IF('הדבקת לידים'!A2296="","",IF(ISNUMBER('הדבקת לידים'!A2296),IF(הגדרות!$E$2&gt;0,TEXT('הדבקת לידים'!A2296,REPT("0",הגדרות!$E$2)),TEXT('הדבקת לידים'!A2296,"0")),TRIM('הדבקת לידים'!A2296)))</f>
        <v/>
      </c>
      <c r="B2296" s="0" t="str">
        <f aca="false">IF('הדבקת לידים'!B2296="","",IF(ISNUMBER('הדבקת לידים'!B2296),IF(הגדרות!$E$3&gt;0,TEXT('הדבקת לידים'!B2296,REPT("0",הגדרות!$E$3)),TEXT('הדבקת לידים'!B2296,"0")),TRIM('הדבקת לידים'!B2296)))</f>
        <v/>
      </c>
      <c r="C2296" s="0" t="n">
        <f aca="false">IF(OR(A2296&lt;&gt;"",B2296&lt;&gt;""),1,0)</f>
        <v>0</v>
      </c>
      <c r="D2296" s="0" t="str">
        <f aca="false">IF(C2296=1,MOD(ABS(SIN(ROW()*12.9898+'הדבקת לידים'!$F$2*78.233+IFERROR(--RIGHT(A2296,6),LEN(A2296))*0.0137+IFERROR(--RIGHT(B2296,6),LEN(B2296))*0.0071))*43758.5453,1),"")</f>
        <v/>
      </c>
      <c r="E2296" s="0" t="str">
        <f aca="false">IF(C2296=1,INT(MOD(ABS(SIN(D2296*7919.123+ROW()*0.618+'הדבקת לידים'!$F$2*1.3))*43758.5453,1)*1000000)*10000+ROW(),"")</f>
        <v/>
      </c>
      <c r="F2296" s="0" t="str">
        <f aca="false">IF(E2296="","",RANK(E2296,$E$2:$E$5001,1))</f>
        <v/>
      </c>
      <c r="G2296" s="0" t="n">
        <f aca="false">IF(A2296="",0,IF(SUMPRODUCT(--($A$2:$A$5001=A2296))&gt;1,1,0))</f>
        <v>0</v>
      </c>
      <c r="H2296" s="0" t="n">
        <f aca="false">ROW()-1</f>
        <v>2295</v>
      </c>
      <c r="I2296" s="0" t="str">
        <f aca="false">IF(OR(הגדרות!$E$6=0,H2296&gt;הגדרות!$E$5),"",IF(H2296-1&lt;הגדרות!$E$8*(הגדרות!$E$7+1),INT((H2296-1)/(הגדרות!$E$7+1)),הגדרות!$E$8+INT((H2296-1-הגדרות!$E$8*(הגדרות!$E$7+1))/הגדרות!$E$7)))</f>
        <v/>
      </c>
      <c r="J2296" s="0" t="str">
        <f aca="false">IF(I2296="","",IF(H2296-1&lt;הגדרות!$E$8*(הגדרות!$E$7+1),MOD(H2296-1,הגדרות!$E$7+1),MOD(H2296-1-הגדרות!$E$8*(הגדרות!$E$7+1),הגדרות!$E$7)))</f>
        <v/>
      </c>
      <c r="K2296" s="0" t="str">
        <f aca="false">IF(I2296="","",J2296*הגדרות!$E$6+I2296+1)</f>
        <v/>
      </c>
      <c r="L2296" s="0" t="str">
        <f aca="false">IF(K2296="","",MATCH(K2296,$F$2:$F$5001,0))</f>
        <v/>
      </c>
      <c r="M2296" s="0" t="str">
        <f aca="false">IF(I2296="","",INDEX(הגדרות!$A$2:$A$21,MOD(I2296+הגדרות!$E$9,הגדרות!$E$6)+1))</f>
        <v/>
      </c>
    </row>
    <row r="2297" customFormat="false" ht="15" hidden="false" customHeight="false" outlineLevel="0" collapsed="false">
      <c r="A2297" s="0" t="str">
        <f aca="false">IF('הדבקת לידים'!A2297="","",IF(ISNUMBER('הדבקת לידים'!A2297),IF(הגדרות!$E$2&gt;0,TEXT('הדבקת לידים'!A2297,REPT("0",הגדרות!$E$2)),TEXT('הדבקת לידים'!A2297,"0")),TRIM('הדבקת לידים'!A2297)))</f>
        <v/>
      </c>
      <c r="B2297" s="0" t="str">
        <f aca="false">IF('הדבקת לידים'!B2297="","",IF(ISNUMBER('הדבקת לידים'!B2297),IF(הגדרות!$E$3&gt;0,TEXT('הדבקת לידים'!B2297,REPT("0",הגדרות!$E$3)),TEXT('הדבקת לידים'!B2297,"0")),TRIM('הדבקת לידים'!B2297)))</f>
        <v/>
      </c>
      <c r="C2297" s="0" t="n">
        <f aca="false">IF(OR(A2297&lt;&gt;"",B2297&lt;&gt;""),1,0)</f>
        <v>0</v>
      </c>
      <c r="D2297" s="0" t="str">
        <f aca="false">IF(C2297=1,MOD(ABS(SIN(ROW()*12.9898+'הדבקת לידים'!$F$2*78.233+IFERROR(--RIGHT(A2297,6),LEN(A2297))*0.0137+IFERROR(--RIGHT(B2297,6),LEN(B2297))*0.0071))*43758.5453,1),"")</f>
        <v/>
      </c>
      <c r="E2297" s="0" t="str">
        <f aca="false">IF(C2297=1,INT(MOD(ABS(SIN(D2297*7919.123+ROW()*0.618+'הדבקת לידים'!$F$2*1.3))*43758.5453,1)*1000000)*10000+ROW(),"")</f>
        <v/>
      </c>
      <c r="F2297" s="0" t="str">
        <f aca="false">IF(E2297="","",RANK(E2297,$E$2:$E$5001,1))</f>
        <v/>
      </c>
      <c r="G2297" s="0" t="n">
        <f aca="false">IF(A2297="",0,IF(SUMPRODUCT(--($A$2:$A$5001=A2297))&gt;1,1,0))</f>
        <v>0</v>
      </c>
      <c r="H2297" s="0" t="n">
        <f aca="false">ROW()-1</f>
        <v>2296</v>
      </c>
      <c r="I2297" s="0" t="str">
        <f aca="false">IF(OR(הגדרות!$E$6=0,H2297&gt;הגדרות!$E$5),"",IF(H2297-1&lt;הגדרות!$E$8*(הגדרות!$E$7+1),INT((H2297-1)/(הגדרות!$E$7+1)),הגדרות!$E$8+INT((H2297-1-הגדרות!$E$8*(הגדרות!$E$7+1))/הגדרות!$E$7)))</f>
        <v/>
      </c>
      <c r="J2297" s="0" t="str">
        <f aca="false">IF(I2297="","",IF(H2297-1&lt;הגדרות!$E$8*(הגדרות!$E$7+1),MOD(H2297-1,הגדרות!$E$7+1),MOD(H2297-1-הגדרות!$E$8*(הגדרות!$E$7+1),הגדרות!$E$7)))</f>
        <v/>
      </c>
      <c r="K2297" s="0" t="str">
        <f aca="false">IF(I2297="","",J2297*הגדרות!$E$6+I2297+1)</f>
        <v/>
      </c>
      <c r="L2297" s="0" t="str">
        <f aca="false">IF(K2297="","",MATCH(K2297,$F$2:$F$5001,0))</f>
        <v/>
      </c>
      <c r="M2297" s="0" t="str">
        <f aca="false">IF(I2297="","",INDEX(הגדרות!$A$2:$A$21,MOD(I2297+הגדרות!$E$9,הגדרות!$E$6)+1))</f>
        <v/>
      </c>
    </row>
    <row r="2298" customFormat="false" ht="15" hidden="false" customHeight="false" outlineLevel="0" collapsed="false">
      <c r="A2298" s="0" t="str">
        <f aca="false">IF('הדבקת לידים'!A2298="","",IF(ISNUMBER('הדבקת לידים'!A2298),IF(הגדרות!$E$2&gt;0,TEXT('הדבקת לידים'!A2298,REPT("0",הגדרות!$E$2)),TEXT('הדבקת לידים'!A2298,"0")),TRIM('הדבקת לידים'!A2298)))</f>
        <v/>
      </c>
      <c r="B2298" s="0" t="str">
        <f aca="false">IF('הדבקת לידים'!B2298="","",IF(ISNUMBER('הדבקת לידים'!B2298),IF(הגדרות!$E$3&gt;0,TEXT('הדבקת לידים'!B2298,REPT("0",הגדרות!$E$3)),TEXT('הדבקת לידים'!B2298,"0")),TRIM('הדבקת לידים'!B2298)))</f>
        <v/>
      </c>
      <c r="C2298" s="0" t="n">
        <f aca="false">IF(OR(A2298&lt;&gt;"",B2298&lt;&gt;""),1,0)</f>
        <v>0</v>
      </c>
      <c r="D2298" s="0" t="str">
        <f aca="false">IF(C2298=1,MOD(ABS(SIN(ROW()*12.9898+'הדבקת לידים'!$F$2*78.233+IFERROR(--RIGHT(A2298,6),LEN(A2298))*0.0137+IFERROR(--RIGHT(B2298,6),LEN(B2298))*0.0071))*43758.5453,1),"")</f>
        <v/>
      </c>
      <c r="E2298" s="0" t="str">
        <f aca="false">IF(C2298=1,INT(MOD(ABS(SIN(D2298*7919.123+ROW()*0.618+'הדבקת לידים'!$F$2*1.3))*43758.5453,1)*1000000)*10000+ROW(),"")</f>
        <v/>
      </c>
      <c r="F2298" s="0" t="str">
        <f aca="false">IF(E2298="","",RANK(E2298,$E$2:$E$5001,1))</f>
        <v/>
      </c>
      <c r="G2298" s="0" t="n">
        <f aca="false">IF(A2298="",0,IF(SUMPRODUCT(--($A$2:$A$5001=A2298))&gt;1,1,0))</f>
        <v>0</v>
      </c>
      <c r="H2298" s="0" t="n">
        <f aca="false">ROW()-1</f>
        <v>2297</v>
      </c>
      <c r="I2298" s="0" t="str">
        <f aca="false">IF(OR(הגדרות!$E$6=0,H2298&gt;הגדרות!$E$5),"",IF(H2298-1&lt;הגדרות!$E$8*(הגדרות!$E$7+1),INT((H2298-1)/(הגדרות!$E$7+1)),הגדרות!$E$8+INT((H2298-1-הגדרות!$E$8*(הגדרות!$E$7+1))/הגדרות!$E$7)))</f>
        <v/>
      </c>
      <c r="J2298" s="0" t="str">
        <f aca="false">IF(I2298="","",IF(H2298-1&lt;הגדרות!$E$8*(הגדרות!$E$7+1),MOD(H2298-1,הגדרות!$E$7+1),MOD(H2298-1-הגדרות!$E$8*(הגדרות!$E$7+1),הגדרות!$E$7)))</f>
        <v/>
      </c>
      <c r="K2298" s="0" t="str">
        <f aca="false">IF(I2298="","",J2298*הגדרות!$E$6+I2298+1)</f>
        <v/>
      </c>
      <c r="L2298" s="0" t="str">
        <f aca="false">IF(K2298="","",MATCH(K2298,$F$2:$F$5001,0))</f>
        <v/>
      </c>
      <c r="M2298" s="0" t="str">
        <f aca="false">IF(I2298="","",INDEX(הגדרות!$A$2:$A$21,MOD(I2298+הגדרות!$E$9,הגדרות!$E$6)+1))</f>
        <v/>
      </c>
    </row>
    <row r="2299" customFormat="false" ht="15" hidden="false" customHeight="false" outlineLevel="0" collapsed="false">
      <c r="A2299" s="0" t="str">
        <f aca="false">IF('הדבקת לידים'!A2299="","",IF(ISNUMBER('הדבקת לידים'!A2299),IF(הגדרות!$E$2&gt;0,TEXT('הדבקת לידים'!A2299,REPT("0",הגדרות!$E$2)),TEXT('הדבקת לידים'!A2299,"0")),TRIM('הדבקת לידים'!A2299)))</f>
        <v/>
      </c>
      <c r="B2299" s="0" t="str">
        <f aca="false">IF('הדבקת לידים'!B2299="","",IF(ISNUMBER('הדבקת לידים'!B2299),IF(הגדרות!$E$3&gt;0,TEXT('הדבקת לידים'!B2299,REPT("0",הגדרות!$E$3)),TEXT('הדבקת לידים'!B2299,"0")),TRIM('הדבקת לידים'!B2299)))</f>
        <v/>
      </c>
      <c r="C2299" s="0" t="n">
        <f aca="false">IF(OR(A2299&lt;&gt;"",B2299&lt;&gt;""),1,0)</f>
        <v>0</v>
      </c>
      <c r="D2299" s="0" t="str">
        <f aca="false">IF(C2299=1,MOD(ABS(SIN(ROW()*12.9898+'הדבקת לידים'!$F$2*78.233+IFERROR(--RIGHT(A2299,6),LEN(A2299))*0.0137+IFERROR(--RIGHT(B2299,6),LEN(B2299))*0.0071))*43758.5453,1),"")</f>
        <v/>
      </c>
      <c r="E2299" s="0" t="str">
        <f aca="false">IF(C2299=1,INT(MOD(ABS(SIN(D2299*7919.123+ROW()*0.618+'הדבקת לידים'!$F$2*1.3))*43758.5453,1)*1000000)*10000+ROW(),"")</f>
        <v/>
      </c>
      <c r="F2299" s="0" t="str">
        <f aca="false">IF(E2299="","",RANK(E2299,$E$2:$E$5001,1))</f>
        <v/>
      </c>
      <c r="G2299" s="0" t="n">
        <f aca="false">IF(A2299="",0,IF(SUMPRODUCT(--($A$2:$A$5001=A2299))&gt;1,1,0))</f>
        <v>0</v>
      </c>
      <c r="H2299" s="0" t="n">
        <f aca="false">ROW()-1</f>
        <v>2298</v>
      </c>
      <c r="I2299" s="0" t="str">
        <f aca="false">IF(OR(הגדרות!$E$6=0,H2299&gt;הגדרות!$E$5),"",IF(H2299-1&lt;הגדרות!$E$8*(הגדרות!$E$7+1),INT((H2299-1)/(הגדרות!$E$7+1)),הגדרות!$E$8+INT((H2299-1-הגדרות!$E$8*(הגדרות!$E$7+1))/הגדרות!$E$7)))</f>
        <v/>
      </c>
      <c r="J2299" s="0" t="str">
        <f aca="false">IF(I2299="","",IF(H2299-1&lt;הגדרות!$E$8*(הגדרות!$E$7+1),MOD(H2299-1,הגדרות!$E$7+1),MOD(H2299-1-הגדרות!$E$8*(הגדרות!$E$7+1),הגדרות!$E$7)))</f>
        <v/>
      </c>
      <c r="K2299" s="0" t="str">
        <f aca="false">IF(I2299="","",J2299*הגדרות!$E$6+I2299+1)</f>
        <v/>
      </c>
      <c r="L2299" s="0" t="str">
        <f aca="false">IF(K2299="","",MATCH(K2299,$F$2:$F$5001,0))</f>
        <v/>
      </c>
      <c r="M2299" s="0" t="str">
        <f aca="false">IF(I2299="","",INDEX(הגדרות!$A$2:$A$21,MOD(I2299+הגדרות!$E$9,הגדרות!$E$6)+1))</f>
        <v/>
      </c>
    </row>
    <row r="2300" customFormat="false" ht="15" hidden="false" customHeight="false" outlineLevel="0" collapsed="false">
      <c r="A2300" s="0" t="str">
        <f aca="false">IF('הדבקת לידים'!A2300="","",IF(ISNUMBER('הדבקת לידים'!A2300),IF(הגדרות!$E$2&gt;0,TEXT('הדבקת לידים'!A2300,REPT("0",הגדרות!$E$2)),TEXT('הדבקת לידים'!A2300,"0")),TRIM('הדבקת לידים'!A2300)))</f>
        <v/>
      </c>
      <c r="B2300" s="0" t="str">
        <f aca="false">IF('הדבקת לידים'!B2300="","",IF(ISNUMBER('הדבקת לידים'!B2300),IF(הגדרות!$E$3&gt;0,TEXT('הדבקת לידים'!B2300,REPT("0",הגדרות!$E$3)),TEXT('הדבקת לידים'!B2300,"0")),TRIM('הדבקת לידים'!B2300)))</f>
        <v/>
      </c>
      <c r="C2300" s="0" t="n">
        <f aca="false">IF(OR(A2300&lt;&gt;"",B2300&lt;&gt;""),1,0)</f>
        <v>0</v>
      </c>
      <c r="D2300" s="0" t="str">
        <f aca="false">IF(C2300=1,MOD(ABS(SIN(ROW()*12.9898+'הדבקת לידים'!$F$2*78.233+IFERROR(--RIGHT(A2300,6),LEN(A2300))*0.0137+IFERROR(--RIGHT(B2300,6),LEN(B2300))*0.0071))*43758.5453,1),"")</f>
        <v/>
      </c>
      <c r="E2300" s="0" t="str">
        <f aca="false">IF(C2300=1,INT(MOD(ABS(SIN(D2300*7919.123+ROW()*0.618+'הדבקת לידים'!$F$2*1.3))*43758.5453,1)*1000000)*10000+ROW(),"")</f>
        <v/>
      </c>
      <c r="F2300" s="0" t="str">
        <f aca="false">IF(E2300="","",RANK(E2300,$E$2:$E$5001,1))</f>
        <v/>
      </c>
      <c r="G2300" s="0" t="n">
        <f aca="false">IF(A2300="",0,IF(SUMPRODUCT(--($A$2:$A$5001=A2300))&gt;1,1,0))</f>
        <v>0</v>
      </c>
      <c r="H2300" s="0" t="n">
        <f aca="false">ROW()-1</f>
        <v>2299</v>
      </c>
      <c r="I2300" s="0" t="str">
        <f aca="false">IF(OR(הגדרות!$E$6=0,H2300&gt;הגדרות!$E$5),"",IF(H2300-1&lt;הגדרות!$E$8*(הגדרות!$E$7+1),INT((H2300-1)/(הגדרות!$E$7+1)),הגדרות!$E$8+INT((H2300-1-הגדרות!$E$8*(הגדרות!$E$7+1))/הגדרות!$E$7)))</f>
        <v/>
      </c>
      <c r="J2300" s="0" t="str">
        <f aca="false">IF(I2300="","",IF(H2300-1&lt;הגדרות!$E$8*(הגדרות!$E$7+1),MOD(H2300-1,הגדרות!$E$7+1),MOD(H2300-1-הגדרות!$E$8*(הגדרות!$E$7+1),הגדרות!$E$7)))</f>
        <v/>
      </c>
      <c r="K2300" s="0" t="str">
        <f aca="false">IF(I2300="","",J2300*הגדרות!$E$6+I2300+1)</f>
        <v/>
      </c>
      <c r="L2300" s="0" t="str">
        <f aca="false">IF(K2300="","",MATCH(K2300,$F$2:$F$5001,0))</f>
        <v/>
      </c>
      <c r="M2300" s="0" t="str">
        <f aca="false">IF(I2300="","",INDEX(הגדרות!$A$2:$A$21,MOD(I2300+הגדרות!$E$9,הגדרות!$E$6)+1))</f>
        <v/>
      </c>
    </row>
    <row r="2301" customFormat="false" ht="15" hidden="false" customHeight="false" outlineLevel="0" collapsed="false">
      <c r="A2301" s="0" t="str">
        <f aca="false">IF('הדבקת לידים'!A2301="","",IF(ISNUMBER('הדבקת לידים'!A2301),IF(הגדרות!$E$2&gt;0,TEXT('הדבקת לידים'!A2301,REPT("0",הגדרות!$E$2)),TEXT('הדבקת לידים'!A2301,"0")),TRIM('הדבקת לידים'!A2301)))</f>
        <v/>
      </c>
      <c r="B2301" s="0" t="str">
        <f aca="false">IF('הדבקת לידים'!B2301="","",IF(ISNUMBER('הדבקת לידים'!B2301),IF(הגדרות!$E$3&gt;0,TEXT('הדבקת לידים'!B2301,REPT("0",הגדרות!$E$3)),TEXT('הדבקת לידים'!B2301,"0")),TRIM('הדבקת לידים'!B2301)))</f>
        <v/>
      </c>
      <c r="C2301" s="0" t="n">
        <f aca="false">IF(OR(A2301&lt;&gt;"",B2301&lt;&gt;""),1,0)</f>
        <v>0</v>
      </c>
      <c r="D2301" s="0" t="str">
        <f aca="false">IF(C2301=1,MOD(ABS(SIN(ROW()*12.9898+'הדבקת לידים'!$F$2*78.233+IFERROR(--RIGHT(A2301,6),LEN(A2301))*0.0137+IFERROR(--RIGHT(B2301,6),LEN(B2301))*0.0071))*43758.5453,1),"")</f>
        <v/>
      </c>
      <c r="E2301" s="0" t="str">
        <f aca="false">IF(C2301=1,INT(MOD(ABS(SIN(D2301*7919.123+ROW()*0.618+'הדבקת לידים'!$F$2*1.3))*43758.5453,1)*1000000)*10000+ROW(),"")</f>
        <v/>
      </c>
      <c r="F2301" s="0" t="str">
        <f aca="false">IF(E2301="","",RANK(E2301,$E$2:$E$5001,1))</f>
        <v/>
      </c>
      <c r="G2301" s="0" t="n">
        <f aca="false">IF(A2301="",0,IF(SUMPRODUCT(--($A$2:$A$5001=A2301))&gt;1,1,0))</f>
        <v>0</v>
      </c>
      <c r="H2301" s="0" t="n">
        <f aca="false">ROW()-1</f>
        <v>2300</v>
      </c>
      <c r="I2301" s="0" t="str">
        <f aca="false">IF(OR(הגדרות!$E$6=0,H2301&gt;הגדרות!$E$5),"",IF(H2301-1&lt;הגדרות!$E$8*(הגדרות!$E$7+1),INT((H2301-1)/(הגדרות!$E$7+1)),הגדרות!$E$8+INT((H2301-1-הגדרות!$E$8*(הגדרות!$E$7+1))/הגדרות!$E$7)))</f>
        <v/>
      </c>
      <c r="J2301" s="0" t="str">
        <f aca="false">IF(I2301="","",IF(H2301-1&lt;הגדרות!$E$8*(הגדרות!$E$7+1),MOD(H2301-1,הגדרות!$E$7+1),MOD(H2301-1-הגדרות!$E$8*(הגדרות!$E$7+1),הגדרות!$E$7)))</f>
        <v/>
      </c>
      <c r="K2301" s="0" t="str">
        <f aca="false">IF(I2301="","",J2301*הגדרות!$E$6+I2301+1)</f>
        <v/>
      </c>
      <c r="L2301" s="0" t="str">
        <f aca="false">IF(K2301="","",MATCH(K2301,$F$2:$F$5001,0))</f>
        <v/>
      </c>
      <c r="M2301" s="0" t="str">
        <f aca="false">IF(I2301="","",INDEX(הגדרות!$A$2:$A$21,MOD(I2301+הגדרות!$E$9,הגדרות!$E$6)+1))</f>
        <v/>
      </c>
    </row>
    <row r="2302" customFormat="false" ht="15" hidden="false" customHeight="false" outlineLevel="0" collapsed="false">
      <c r="A2302" s="0" t="str">
        <f aca="false">IF('הדבקת לידים'!A2302="","",IF(ISNUMBER('הדבקת לידים'!A2302),IF(הגדרות!$E$2&gt;0,TEXT('הדבקת לידים'!A2302,REPT("0",הגדרות!$E$2)),TEXT('הדבקת לידים'!A2302,"0")),TRIM('הדבקת לידים'!A2302)))</f>
        <v/>
      </c>
      <c r="B2302" s="0" t="str">
        <f aca="false">IF('הדבקת לידים'!B2302="","",IF(ISNUMBER('הדבקת לידים'!B2302),IF(הגדרות!$E$3&gt;0,TEXT('הדבקת לידים'!B2302,REPT("0",הגדרות!$E$3)),TEXT('הדבקת לידים'!B2302,"0")),TRIM('הדבקת לידים'!B2302)))</f>
        <v/>
      </c>
      <c r="C2302" s="0" t="n">
        <f aca="false">IF(OR(A2302&lt;&gt;"",B2302&lt;&gt;""),1,0)</f>
        <v>0</v>
      </c>
      <c r="D2302" s="0" t="str">
        <f aca="false">IF(C2302=1,MOD(ABS(SIN(ROW()*12.9898+'הדבקת לידים'!$F$2*78.233+IFERROR(--RIGHT(A2302,6),LEN(A2302))*0.0137+IFERROR(--RIGHT(B2302,6),LEN(B2302))*0.0071))*43758.5453,1),"")</f>
        <v/>
      </c>
      <c r="E2302" s="0" t="str">
        <f aca="false">IF(C2302=1,INT(MOD(ABS(SIN(D2302*7919.123+ROW()*0.618+'הדבקת לידים'!$F$2*1.3))*43758.5453,1)*1000000)*10000+ROW(),"")</f>
        <v/>
      </c>
      <c r="F2302" s="0" t="str">
        <f aca="false">IF(E2302="","",RANK(E2302,$E$2:$E$5001,1))</f>
        <v/>
      </c>
      <c r="G2302" s="0" t="n">
        <f aca="false">IF(A2302="",0,IF(SUMPRODUCT(--($A$2:$A$5001=A2302))&gt;1,1,0))</f>
        <v>0</v>
      </c>
      <c r="H2302" s="0" t="n">
        <f aca="false">ROW()-1</f>
        <v>2301</v>
      </c>
      <c r="I2302" s="0" t="str">
        <f aca="false">IF(OR(הגדרות!$E$6=0,H2302&gt;הגדרות!$E$5),"",IF(H2302-1&lt;הגדרות!$E$8*(הגדרות!$E$7+1),INT((H2302-1)/(הגדרות!$E$7+1)),הגדרות!$E$8+INT((H2302-1-הגדרות!$E$8*(הגדרות!$E$7+1))/הגדרות!$E$7)))</f>
        <v/>
      </c>
      <c r="J2302" s="0" t="str">
        <f aca="false">IF(I2302="","",IF(H2302-1&lt;הגדרות!$E$8*(הגדרות!$E$7+1),MOD(H2302-1,הגדרות!$E$7+1),MOD(H2302-1-הגדרות!$E$8*(הגדרות!$E$7+1),הגדרות!$E$7)))</f>
        <v/>
      </c>
      <c r="K2302" s="0" t="str">
        <f aca="false">IF(I2302="","",J2302*הגדרות!$E$6+I2302+1)</f>
        <v/>
      </c>
      <c r="L2302" s="0" t="str">
        <f aca="false">IF(K2302="","",MATCH(K2302,$F$2:$F$5001,0))</f>
        <v/>
      </c>
      <c r="M2302" s="0" t="str">
        <f aca="false">IF(I2302="","",INDEX(הגדרות!$A$2:$A$21,MOD(I2302+הגדרות!$E$9,הגדרות!$E$6)+1))</f>
        <v/>
      </c>
    </row>
    <row r="2303" customFormat="false" ht="15" hidden="false" customHeight="false" outlineLevel="0" collapsed="false">
      <c r="A2303" s="0" t="str">
        <f aca="false">IF('הדבקת לידים'!A2303="","",IF(ISNUMBER('הדבקת לידים'!A2303),IF(הגדרות!$E$2&gt;0,TEXT('הדבקת לידים'!A2303,REPT("0",הגדרות!$E$2)),TEXT('הדבקת לידים'!A2303,"0")),TRIM('הדבקת לידים'!A2303)))</f>
        <v/>
      </c>
      <c r="B2303" s="0" t="str">
        <f aca="false">IF('הדבקת לידים'!B2303="","",IF(ISNUMBER('הדבקת לידים'!B2303),IF(הגדרות!$E$3&gt;0,TEXT('הדבקת לידים'!B2303,REPT("0",הגדרות!$E$3)),TEXT('הדבקת לידים'!B2303,"0")),TRIM('הדבקת לידים'!B2303)))</f>
        <v/>
      </c>
      <c r="C2303" s="0" t="n">
        <f aca="false">IF(OR(A2303&lt;&gt;"",B2303&lt;&gt;""),1,0)</f>
        <v>0</v>
      </c>
      <c r="D2303" s="0" t="str">
        <f aca="false">IF(C2303=1,MOD(ABS(SIN(ROW()*12.9898+'הדבקת לידים'!$F$2*78.233+IFERROR(--RIGHT(A2303,6),LEN(A2303))*0.0137+IFERROR(--RIGHT(B2303,6),LEN(B2303))*0.0071))*43758.5453,1),"")</f>
        <v/>
      </c>
      <c r="E2303" s="0" t="str">
        <f aca="false">IF(C2303=1,INT(MOD(ABS(SIN(D2303*7919.123+ROW()*0.618+'הדבקת לידים'!$F$2*1.3))*43758.5453,1)*1000000)*10000+ROW(),"")</f>
        <v/>
      </c>
      <c r="F2303" s="0" t="str">
        <f aca="false">IF(E2303="","",RANK(E2303,$E$2:$E$5001,1))</f>
        <v/>
      </c>
      <c r="G2303" s="0" t="n">
        <f aca="false">IF(A2303="",0,IF(SUMPRODUCT(--($A$2:$A$5001=A2303))&gt;1,1,0))</f>
        <v>0</v>
      </c>
      <c r="H2303" s="0" t="n">
        <f aca="false">ROW()-1</f>
        <v>2302</v>
      </c>
      <c r="I2303" s="0" t="str">
        <f aca="false">IF(OR(הגדרות!$E$6=0,H2303&gt;הגדרות!$E$5),"",IF(H2303-1&lt;הגדרות!$E$8*(הגדרות!$E$7+1),INT((H2303-1)/(הגדרות!$E$7+1)),הגדרות!$E$8+INT((H2303-1-הגדרות!$E$8*(הגדרות!$E$7+1))/הגדרות!$E$7)))</f>
        <v/>
      </c>
      <c r="J2303" s="0" t="str">
        <f aca="false">IF(I2303="","",IF(H2303-1&lt;הגדרות!$E$8*(הגדרות!$E$7+1),MOD(H2303-1,הגדרות!$E$7+1),MOD(H2303-1-הגדרות!$E$8*(הגדרות!$E$7+1),הגדרות!$E$7)))</f>
        <v/>
      </c>
      <c r="K2303" s="0" t="str">
        <f aca="false">IF(I2303="","",J2303*הגדרות!$E$6+I2303+1)</f>
        <v/>
      </c>
      <c r="L2303" s="0" t="str">
        <f aca="false">IF(K2303="","",MATCH(K2303,$F$2:$F$5001,0))</f>
        <v/>
      </c>
      <c r="M2303" s="0" t="str">
        <f aca="false">IF(I2303="","",INDEX(הגדרות!$A$2:$A$21,MOD(I2303+הגדרות!$E$9,הגדרות!$E$6)+1))</f>
        <v/>
      </c>
    </row>
    <row r="2304" customFormat="false" ht="15" hidden="false" customHeight="false" outlineLevel="0" collapsed="false">
      <c r="A2304" s="0" t="str">
        <f aca="false">IF('הדבקת לידים'!A2304="","",IF(ISNUMBER('הדבקת לידים'!A2304),IF(הגדרות!$E$2&gt;0,TEXT('הדבקת לידים'!A2304,REPT("0",הגדרות!$E$2)),TEXT('הדבקת לידים'!A2304,"0")),TRIM('הדבקת לידים'!A2304)))</f>
        <v/>
      </c>
      <c r="B2304" s="0" t="str">
        <f aca="false">IF('הדבקת לידים'!B2304="","",IF(ISNUMBER('הדבקת לידים'!B2304),IF(הגדרות!$E$3&gt;0,TEXT('הדבקת לידים'!B2304,REPT("0",הגדרות!$E$3)),TEXT('הדבקת לידים'!B2304,"0")),TRIM('הדבקת לידים'!B2304)))</f>
        <v/>
      </c>
      <c r="C2304" s="0" t="n">
        <f aca="false">IF(OR(A2304&lt;&gt;"",B2304&lt;&gt;""),1,0)</f>
        <v>0</v>
      </c>
      <c r="D2304" s="0" t="str">
        <f aca="false">IF(C2304=1,MOD(ABS(SIN(ROW()*12.9898+'הדבקת לידים'!$F$2*78.233+IFERROR(--RIGHT(A2304,6),LEN(A2304))*0.0137+IFERROR(--RIGHT(B2304,6),LEN(B2304))*0.0071))*43758.5453,1),"")</f>
        <v/>
      </c>
      <c r="E2304" s="0" t="str">
        <f aca="false">IF(C2304=1,INT(MOD(ABS(SIN(D2304*7919.123+ROW()*0.618+'הדבקת לידים'!$F$2*1.3))*43758.5453,1)*1000000)*10000+ROW(),"")</f>
        <v/>
      </c>
      <c r="F2304" s="0" t="str">
        <f aca="false">IF(E2304="","",RANK(E2304,$E$2:$E$5001,1))</f>
        <v/>
      </c>
      <c r="G2304" s="0" t="n">
        <f aca="false">IF(A2304="",0,IF(SUMPRODUCT(--($A$2:$A$5001=A2304))&gt;1,1,0))</f>
        <v>0</v>
      </c>
      <c r="H2304" s="0" t="n">
        <f aca="false">ROW()-1</f>
        <v>2303</v>
      </c>
      <c r="I2304" s="0" t="str">
        <f aca="false">IF(OR(הגדרות!$E$6=0,H2304&gt;הגדרות!$E$5),"",IF(H2304-1&lt;הגדרות!$E$8*(הגדרות!$E$7+1),INT((H2304-1)/(הגדרות!$E$7+1)),הגדרות!$E$8+INT((H2304-1-הגדרות!$E$8*(הגדרות!$E$7+1))/הגדרות!$E$7)))</f>
        <v/>
      </c>
      <c r="J2304" s="0" t="str">
        <f aca="false">IF(I2304="","",IF(H2304-1&lt;הגדרות!$E$8*(הגדרות!$E$7+1),MOD(H2304-1,הגדרות!$E$7+1),MOD(H2304-1-הגדרות!$E$8*(הגדרות!$E$7+1),הגדרות!$E$7)))</f>
        <v/>
      </c>
      <c r="K2304" s="0" t="str">
        <f aca="false">IF(I2304="","",J2304*הגדרות!$E$6+I2304+1)</f>
        <v/>
      </c>
      <c r="L2304" s="0" t="str">
        <f aca="false">IF(K2304="","",MATCH(K2304,$F$2:$F$5001,0))</f>
        <v/>
      </c>
      <c r="M2304" s="0" t="str">
        <f aca="false">IF(I2304="","",INDEX(הגדרות!$A$2:$A$21,MOD(I2304+הגדרות!$E$9,הגדרות!$E$6)+1))</f>
        <v/>
      </c>
    </row>
    <row r="2305" customFormat="false" ht="15" hidden="false" customHeight="false" outlineLevel="0" collapsed="false">
      <c r="A2305" s="0" t="str">
        <f aca="false">IF('הדבקת לידים'!A2305="","",IF(ISNUMBER('הדבקת לידים'!A2305),IF(הגדרות!$E$2&gt;0,TEXT('הדבקת לידים'!A2305,REPT("0",הגדרות!$E$2)),TEXT('הדבקת לידים'!A2305,"0")),TRIM('הדבקת לידים'!A2305)))</f>
        <v/>
      </c>
      <c r="B2305" s="0" t="str">
        <f aca="false">IF('הדבקת לידים'!B2305="","",IF(ISNUMBER('הדבקת לידים'!B2305),IF(הגדרות!$E$3&gt;0,TEXT('הדבקת לידים'!B2305,REPT("0",הגדרות!$E$3)),TEXT('הדבקת לידים'!B2305,"0")),TRIM('הדבקת לידים'!B2305)))</f>
        <v/>
      </c>
      <c r="C2305" s="0" t="n">
        <f aca="false">IF(OR(A2305&lt;&gt;"",B2305&lt;&gt;""),1,0)</f>
        <v>0</v>
      </c>
      <c r="D2305" s="0" t="str">
        <f aca="false">IF(C2305=1,MOD(ABS(SIN(ROW()*12.9898+'הדבקת לידים'!$F$2*78.233+IFERROR(--RIGHT(A2305,6),LEN(A2305))*0.0137+IFERROR(--RIGHT(B2305,6),LEN(B2305))*0.0071))*43758.5453,1),"")</f>
        <v/>
      </c>
      <c r="E2305" s="0" t="str">
        <f aca="false">IF(C2305=1,INT(MOD(ABS(SIN(D2305*7919.123+ROW()*0.618+'הדבקת לידים'!$F$2*1.3))*43758.5453,1)*1000000)*10000+ROW(),"")</f>
        <v/>
      </c>
      <c r="F2305" s="0" t="str">
        <f aca="false">IF(E2305="","",RANK(E2305,$E$2:$E$5001,1))</f>
        <v/>
      </c>
      <c r="G2305" s="0" t="n">
        <f aca="false">IF(A2305="",0,IF(SUMPRODUCT(--($A$2:$A$5001=A2305))&gt;1,1,0))</f>
        <v>0</v>
      </c>
      <c r="H2305" s="0" t="n">
        <f aca="false">ROW()-1</f>
        <v>2304</v>
      </c>
      <c r="I2305" s="0" t="str">
        <f aca="false">IF(OR(הגדרות!$E$6=0,H2305&gt;הגדרות!$E$5),"",IF(H2305-1&lt;הגדרות!$E$8*(הגדרות!$E$7+1),INT((H2305-1)/(הגדרות!$E$7+1)),הגדרות!$E$8+INT((H2305-1-הגדרות!$E$8*(הגדרות!$E$7+1))/הגדרות!$E$7)))</f>
        <v/>
      </c>
      <c r="J2305" s="0" t="str">
        <f aca="false">IF(I2305="","",IF(H2305-1&lt;הגדרות!$E$8*(הגדרות!$E$7+1),MOD(H2305-1,הגדרות!$E$7+1),MOD(H2305-1-הגדרות!$E$8*(הגדרות!$E$7+1),הגדרות!$E$7)))</f>
        <v/>
      </c>
      <c r="K2305" s="0" t="str">
        <f aca="false">IF(I2305="","",J2305*הגדרות!$E$6+I2305+1)</f>
        <v/>
      </c>
      <c r="L2305" s="0" t="str">
        <f aca="false">IF(K2305="","",MATCH(K2305,$F$2:$F$5001,0))</f>
        <v/>
      </c>
      <c r="M2305" s="0" t="str">
        <f aca="false">IF(I2305="","",INDEX(הגדרות!$A$2:$A$21,MOD(I2305+הגדרות!$E$9,הגדרות!$E$6)+1))</f>
        <v/>
      </c>
    </row>
    <row r="2306" customFormat="false" ht="15" hidden="false" customHeight="false" outlineLevel="0" collapsed="false">
      <c r="A2306" s="0" t="str">
        <f aca="false">IF('הדבקת לידים'!A2306="","",IF(ISNUMBER('הדבקת לידים'!A2306),IF(הגדרות!$E$2&gt;0,TEXT('הדבקת לידים'!A2306,REPT("0",הגדרות!$E$2)),TEXT('הדבקת לידים'!A2306,"0")),TRIM('הדבקת לידים'!A2306)))</f>
        <v/>
      </c>
      <c r="B2306" s="0" t="str">
        <f aca="false">IF('הדבקת לידים'!B2306="","",IF(ISNUMBER('הדבקת לידים'!B2306),IF(הגדרות!$E$3&gt;0,TEXT('הדבקת לידים'!B2306,REPT("0",הגדרות!$E$3)),TEXT('הדבקת לידים'!B2306,"0")),TRIM('הדבקת לידים'!B2306)))</f>
        <v/>
      </c>
      <c r="C2306" s="0" t="n">
        <f aca="false">IF(OR(A2306&lt;&gt;"",B2306&lt;&gt;""),1,0)</f>
        <v>0</v>
      </c>
      <c r="D2306" s="0" t="str">
        <f aca="false">IF(C2306=1,MOD(ABS(SIN(ROW()*12.9898+'הדבקת לידים'!$F$2*78.233+IFERROR(--RIGHT(A2306,6),LEN(A2306))*0.0137+IFERROR(--RIGHT(B2306,6),LEN(B2306))*0.0071))*43758.5453,1),"")</f>
        <v/>
      </c>
      <c r="E2306" s="0" t="str">
        <f aca="false">IF(C2306=1,INT(MOD(ABS(SIN(D2306*7919.123+ROW()*0.618+'הדבקת לידים'!$F$2*1.3))*43758.5453,1)*1000000)*10000+ROW(),"")</f>
        <v/>
      </c>
      <c r="F2306" s="0" t="str">
        <f aca="false">IF(E2306="","",RANK(E2306,$E$2:$E$5001,1))</f>
        <v/>
      </c>
      <c r="G2306" s="0" t="n">
        <f aca="false">IF(A2306="",0,IF(SUMPRODUCT(--($A$2:$A$5001=A2306))&gt;1,1,0))</f>
        <v>0</v>
      </c>
      <c r="H2306" s="0" t="n">
        <f aca="false">ROW()-1</f>
        <v>2305</v>
      </c>
      <c r="I2306" s="0" t="str">
        <f aca="false">IF(OR(הגדרות!$E$6=0,H2306&gt;הגדרות!$E$5),"",IF(H2306-1&lt;הגדרות!$E$8*(הגדרות!$E$7+1),INT((H2306-1)/(הגדרות!$E$7+1)),הגדרות!$E$8+INT((H2306-1-הגדרות!$E$8*(הגדרות!$E$7+1))/הגדרות!$E$7)))</f>
        <v/>
      </c>
      <c r="J2306" s="0" t="str">
        <f aca="false">IF(I2306="","",IF(H2306-1&lt;הגדרות!$E$8*(הגדרות!$E$7+1),MOD(H2306-1,הגדרות!$E$7+1),MOD(H2306-1-הגדרות!$E$8*(הגדרות!$E$7+1),הגדרות!$E$7)))</f>
        <v/>
      </c>
      <c r="K2306" s="0" t="str">
        <f aca="false">IF(I2306="","",J2306*הגדרות!$E$6+I2306+1)</f>
        <v/>
      </c>
      <c r="L2306" s="0" t="str">
        <f aca="false">IF(K2306="","",MATCH(K2306,$F$2:$F$5001,0))</f>
        <v/>
      </c>
      <c r="M2306" s="0" t="str">
        <f aca="false">IF(I2306="","",INDEX(הגדרות!$A$2:$A$21,MOD(I2306+הגדרות!$E$9,הגדרות!$E$6)+1))</f>
        <v/>
      </c>
    </row>
    <row r="2307" customFormat="false" ht="15" hidden="false" customHeight="false" outlineLevel="0" collapsed="false">
      <c r="A2307" s="0" t="str">
        <f aca="false">IF('הדבקת לידים'!A2307="","",IF(ISNUMBER('הדבקת לידים'!A2307),IF(הגדרות!$E$2&gt;0,TEXT('הדבקת לידים'!A2307,REPT("0",הגדרות!$E$2)),TEXT('הדבקת לידים'!A2307,"0")),TRIM('הדבקת לידים'!A2307)))</f>
        <v/>
      </c>
      <c r="B2307" s="0" t="str">
        <f aca="false">IF('הדבקת לידים'!B2307="","",IF(ISNUMBER('הדבקת לידים'!B2307),IF(הגדרות!$E$3&gt;0,TEXT('הדבקת לידים'!B2307,REPT("0",הגדרות!$E$3)),TEXT('הדבקת לידים'!B2307,"0")),TRIM('הדבקת לידים'!B2307)))</f>
        <v/>
      </c>
      <c r="C2307" s="0" t="n">
        <f aca="false">IF(OR(A2307&lt;&gt;"",B2307&lt;&gt;""),1,0)</f>
        <v>0</v>
      </c>
      <c r="D2307" s="0" t="str">
        <f aca="false">IF(C2307=1,MOD(ABS(SIN(ROW()*12.9898+'הדבקת לידים'!$F$2*78.233+IFERROR(--RIGHT(A2307,6),LEN(A2307))*0.0137+IFERROR(--RIGHT(B2307,6),LEN(B2307))*0.0071))*43758.5453,1),"")</f>
        <v/>
      </c>
      <c r="E2307" s="0" t="str">
        <f aca="false">IF(C2307=1,INT(MOD(ABS(SIN(D2307*7919.123+ROW()*0.618+'הדבקת לידים'!$F$2*1.3))*43758.5453,1)*1000000)*10000+ROW(),"")</f>
        <v/>
      </c>
      <c r="F2307" s="0" t="str">
        <f aca="false">IF(E2307="","",RANK(E2307,$E$2:$E$5001,1))</f>
        <v/>
      </c>
      <c r="G2307" s="0" t="n">
        <f aca="false">IF(A2307="",0,IF(SUMPRODUCT(--($A$2:$A$5001=A2307))&gt;1,1,0))</f>
        <v>0</v>
      </c>
      <c r="H2307" s="0" t="n">
        <f aca="false">ROW()-1</f>
        <v>2306</v>
      </c>
      <c r="I2307" s="0" t="str">
        <f aca="false">IF(OR(הגדרות!$E$6=0,H2307&gt;הגדרות!$E$5),"",IF(H2307-1&lt;הגדרות!$E$8*(הגדרות!$E$7+1),INT((H2307-1)/(הגדרות!$E$7+1)),הגדרות!$E$8+INT((H2307-1-הגדרות!$E$8*(הגדרות!$E$7+1))/הגדרות!$E$7)))</f>
        <v/>
      </c>
      <c r="J2307" s="0" t="str">
        <f aca="false">IF(I2307="","",IF(H2307-1&lt;הגדרות!$E$8*(הגדרות!$E$7+1),MOD(H2307-1,הגדרות!$E$7+1),MOD(H2307-1-הגדרות!$E$8*(הגדרות!$E$7+1),הגדרות!$E$7)))</f>
        <v/>
      </c>
      <c r="K2307" s="0" t="str">
        <f aca="false">IF(I2307="","",J2307*הגדרות!$E$6+I2307+1)</f>
        <v/>
      </c>
      <c r="L2307" s="0" t="str">
        <f aca="false">IF(K2307="","",MATCH(K2307,$F$2:$F$5001,0))</f>
        <v/>
      </c>
      <c r="M2307" s="0" t="str">
        <f aca="false">IF(I2307="","",INDEX(הגדרות!$A$2:$A$21,MOD(I2307+הגדרות!$E$9,הגדרות!$E$6)+1))</f>
        <v/>
      </c>
    </row>
    <row r="2308" customFormat="false" ht="15" hidden="false" customHeight="false" outlineLevel="0" collapsed="false">
      <c r="A2308" s="0" t="str">
        <f aca="false">IF('הדבקת לידים'!A2308="","",IF(ISNUMBER('הדבקת לידים'!A2308),IF(הגדרות!$E$2&gt;0,TEXT('הדבקת לידים'!A2308,REPT("0",הגדרות!$E$2)),TEXT('הדבקת לידים'!A2308,"0")),TRIM('הדבקת לידים'!A2308)))</f>
        <v/>
      </c>
      <c r="B2308" s="0" t="str">
        <f aca="false">IF('הדבקת לידים'!B2308="","",IF(ISNUMBER('הדבקת לידים'!B2308),IF(הגדרות!$E$3&gt;0,TEXT('הדבקת לידים'!B2308,REPT("0",הגדרות!$E$3)),TEXT('הדבקת לידים'!B2308,"0")),TRIM('הדבקת לידים'!B2308)))</f>
        <v/>
      </c>
      <c r="C2308" s="0" t="n">
        <f aca="false">IF(OR(A2308&lt;&gt;"",B2308&lt;&gt;""),1,0)</f>
        <v>0</v>
      </c>
      <c r="D2308" s="0" t="str">
        <f aca="false">IF(C2308=1,MOD(ABS(SIN(ROW()*12.9898+'הדבקת לידים'!$F$2*78.233+IFERROR(--RIGHT(A2308,6),LEN(A2308))*0.0137+IFERROR(--RIGHT(B2308,6),LEN(B2308))*0.0071))*43758.5453,1),"")</f>
        <v/>
      </c>
      <c r="E2308" s="0" t="str">
        <f aca="false">IF(C2308=1,INT(MOD(ABS(SIN(D2308*7919.123+ROW()*0.618+'הדבקת לידים'!$F$2*1.3))*43758.5453,1)*1000000)*10000+ROW(),"")</f>
        <v/>
      </c>
      <c r="F2308" s="0" t="str">
        <f aca="false">IF(E2308="","",RANK(E2308,$E$2:$E$5001,1))</f>
        <v/>
      </c>
      <c r="G2308" s="0" t="n">
        <f aca="false">IF(A2308="",0,IF(SUMPRODUCT(--($A$2:$A$5001=A2308))&gt;1,1,0))</f>
        <v>0</v>
      </c>
      <c r="H2308" s="0" t="n">
        <f aca="false">ROW()-1</f>
        <v>2307</v>
      </c>
      <c r="I2308" s="0" t="str">
        <f aca="false">IF(OR(הגדרות!$E$6=0,H2308&gt;הגדרות!$E$5),"",IF(H2308-1&lt;הגדרות!$E$8*(הגדרות!$E$7+1),INT((H2308-1)/(הגדרות!$E$7+1)),הגדרות!$E$8+INT((H2308-1-הגדרות!$E$8*(הגדרות!$E$7+1))/הגדרות!$E$7)))</f>
        <v/>
      </c>
      <c r="J2308" s="0" t="str">
        <f aca="false">IF(I2308="","",IF(H2308-1&lt;הגדרות!$E$8*(הגדרות!$E$7+1),MOD(H2308-1,הגדרות!$E$7+1),MOD(H2308-1-הגדרות!$E$8*(הגדרות!$E$7+1),הגדרות!$E$7)))</f>
        <v/>
      </c>
      <c r="K2308" s="0" t="str">
        <f aca="false">IF(I2308="","",J2308*הגדרות!$E$6+I2308+1)</f>
        <v/>
      </c>
      <c r="L2308" s="0" t="str">
        <f aca="false">IF(K2308="","",MATCH(K2308,$F$2:$F$5001,0))</f>
        <v/>
      </c>
      <c r="M2308" s="0" t="str">
        <f aca="false">IF(I2308="","",INDEX(הגדרות!$A$2:$A$21,MOD(I2308+הגדרות!$E$9,הגדרות!$E$6)+1))</f>
        <v/>
      </c>
    </row>
    <row r="2309" customFormat="false" ht="15" hidden="false" customHeight="false" outlineLevel="0" collapsed="false">
      <c r="A2309" s="0" t="str">
        <f aca="false">IF('הדבקת לידים'!A2309="","",IF(ISNUMBER('הדבקת לידים'!A2309),IF(הגדרות!$E$2&gt;0,TEXT('הדבקת לידים'!A2309,REPT("0",הגדרות!$E$2)),TEXT('הדבקת לידים'!A2309,"0")),TRIM('הדבקת לידים'!A2309)))</f>
        <v/>
      </c>
      <c r="B2309" s="0" t="str">
        <f aca="false">IF('הדבקת לידים'!B2309="","",IF(ISNUMBER('הדבקת לידים'!B2309),IF(הגדרות!$E$3&gt;0,TEXT('הדבקת לידים'!B2309,REPT("0",הגדרות!$E$3)),TEXT('הדבקת לידים'!B2309,"0")),TRIM('הדבקת לידים'!B2309)))</f>
        <v/>
      </c>
      <c r="C2309" s="0" t="n">
        <f aca="false">IF(OR(A2309&lt;&gt;"",B2309&lt;&gt;""),1,0)</f>
        <v>0</v>
      </c>
      <c r="D2309" s="0" t="str">
        <f aca="false">IF(C2309=1,MOD(ABS(SIN(ROW()*12.9898+'הדבקת לידים'!$F$2*78.233+IFERROR(--RIGHT(A2309,6),LEN(A2309))*0.0137+IFERROR(--RIGHT(B2309,6),LEN(B2309))*0.0071))*43758.5453,1),"")</f>
        <v/>
      </c>
      <c r="E2309" s="0" t="str">
        <f aca="false">IF(C2309=1,INT(MOD(ABS(SIN(D2309*7919.123+ROW()*0.618+'הדבקת לידים'!$F$2*1.3))*43758.5453,1)*1000000)*10000+ROW(),"")</f>
        <v/>
      </c>
      <c r="F2309" s="0" t="str">
        <f aca="false">IF(E2309="","",RANK(E2309,$E$2:$E$5001,1))</f>
        <v/>
      </c>
      <c r="G2309" s="0" t="n">
        <f aca="false">IF(A2309="",0,IF(SUMPRODUCT(--($A$2:$A$5001=A2309))&gt;1,1,0))</f>
        <v>0</v>
      </c>
      <c r="H2309" s="0" t="n">
        <f aca="false">ROW()-1</f>
        <v>2308</v>
      </c>
      <c r="I2309" s="0" t="str">
        <f aca="false">IF(OR(הגדרות!$E$6=0,H2309&gt;הגדרות!$E$5),"",IF(H2309-1&lt;הגדרות!$E$8*(הגדרות!$E$7+1),INT((H2309-1)/(הגדרות!$E$7+1)),הגדרות!$E$8+INT((H2309-1-הגדרות!$E$8*(הגדרות!$E$7+1))/הגדרות!$E$7)))</f>
        <v/>
      </c>
      <c r="J2309" s="0" t="str">
        <f aca="false">IF(I2309="","",IF(H2309-1&lt;הגדרות!$E$8*(הגדרות!$E$7+1),MOD(H2309-1,הגדרות!$E$7+1),MOD(H2309-1-הגדרות!$E$8*(הגדרות!$E$7+1),הגדרות!$E$7)))</f>
        <v/>
      </c>
      <c r="K2309" s="0" t="str">
        <f aca="false">IF(I2309="","",J2309*הגדרות!$E$6+I2309+1)</f>
        <v/>
      </c>
      <c r="L2309" s="0" t="str">
        <f aca="false">IF(K2309="","",MATCH(K2309,$F$2:$F$5001,0))</f>
        <v/>
      </c>
      <c r="M2309" s="0" t="str">
        <f aca="false">IF(I2309="","",INDEX(הגדרות!$A$2:$A$21,MOD(I2309+הגדרות!$E$9,הגדרות!$E$6)+1))</f>
        <v/>
      </c>
    </row>
    <row r="2310" customFormat="false" ht="15" hidden="false" customHeight="false" outlineLevel="0" collapsed="false">
      <c r="A2310" s="0" t="str">
        <f aca="false">IF('הדבקת לידים'!A2310="","",IF(ISNUMBER('הדבקת לידים'!A2310),IF(הגדרות!$E$2&gt;0,TEXT('הדבקת לידים'!A2310,REPT("0",הגדרות!$E$2)),TEXT('הדבקת לידים'!A2310,"0")),TRIM('הדבקת לידים'!A2310)))</f>
        <v/>
      </c>
      <c r="B2310" s="0" t="str">
        <f aca="false">IF('הדבקת לידים'!B2310="","",IF(ISNUMBER('הדבקת לידים'!B2310),IF(הגדרות!$E$3&gt;0,TEXT('הדבקת לידים'!B2310,REPT("0",הגדרות!$E$3)),TEXT('הדבקת לידים'!B2310,"0")),TRIM('הדבקת לידים'!B2310)))</f>
        <v/>
      </c>
      <c r="C2310" s="0" t="n">
        <f aca="false">IF(OR(A2310&lt;&gt;"",B2310&lt;&gt;""),1,0)</f>
        <v>0</v>
      </c>
      <c r="D2310" s="0" t="str">
        <f aca="false">IF(C2310=1,MOD(ABS(SIN(ROW()*12.9898+'הדבקת לידים'!$F$2*78.233+IFERROR(--RIGHT(A2310,6),LEN(A2310))*0.0137+IFERROR(--RIGHT(B2310,6),LEN(B2310))*0.0071))*43758.5453,1),"")</f>
        <v/>
      </c>
      <c r="E2310" s="0" t="str">
        <f aca="false">IF(C2310=1,INT(MOD(ABS(SIN(D2310*7919.123+ROW()*0.618+'הדבקת לידים'!$F$2*1.3))*43758.5453,1)*1000000)*10000+ROW(),"")</f>
        <v/>
      </c>
      <c r="F2310" s="0" t="str">
        <f aca="false">IF(E2310="","",RANK(E2310,$E$2:$E$5001,1))</f>
        <v/>
      </c>
      <c r="G2310" s="0" t="n">
        <f aca="false">IF(A2310="",0,IF(SUMPRODUCT(--($A$2:$A$5001=A2310))&gt;1,1,0))</f>
        <v>0</v>
      </c>
      <c r="H2310" s="0" t="n">
        <f aca="false">ROW()-1</f>
        <v>2309</v>
      </c>
      <c r="I2310" s="0" t="str">
        <f aca="false">IF(OR(הגדרות!$E$6=0,H2310&gt;הגדרות!$E$5),"",IF(H2310-1&lt;הגדרות!$E$8*(הגדרות!$E$7+1),INT((H2310-1)/(הגדרות!$E$7+1)),הגדרות!$E$8+INT((H2310-1-הגדרות!$E$8*(הגדרות!$E$7+1))/הגדרות!$E$7)))</f>
        <v/>
      </c>
      <c r="J2310" s="0" t="str">
        <f aca="false">IF(I2310="","",IF(H2310-1&lt;הגדרות!$E$8*(הגדרות!$E$7+1),MOD(H2310-1,הגדרות!$E$7+1),MOD(H2310-1-הגדרות!$E$8*(הגדרות!$E$7+1),הגדרות!$E$7)))</f>
        <v/>
      </c>
      <c r="K2310" s="0" t="str">
        <f aca="false">IF(I2310="","",J2310*הגדרות!$E$6+I2310+1)</f>
        <v/>
      </c>
      <c r="L2310" s="0" t="str">
        <f aca="false">IF(K2310="","",MATCH(K2310,$F$2:$F$5001,0))</f>
        <v/>
      </c>
      <c r="M2310" s="0" t="str">
        <f aca="false">IF(I2310="","",INDEX(הגדרות!$A$2:$A$21,MOD(I2310+הגדרות!$E$9,הגדרות!$E$6)+1))</f>
        <v/>
      </c>
    </row>
    <row r="2311" customFormat="false" ht="15" hidden="false" customHeight="false" outlineLevel="0" collapsed="false">
      <c r="A2311" s="0" t="str">
        <f aca="false">IF('הדבקת לידים'!A2311="","",IF(ISNUMBER('הדבקת לידים'!A2311),IF(הגדרות!$E$2&gt;0,TEXT('הדבקת לידים'!A2311,REPT("0",הגדרות!$E$2)),TEXT('הדבקת לידים'!A2311,"0")),TRIM('הדבקת לידים'!A2311)))</f>
        <v/>
      </c>
      <c r="B2311" s="0" t="str">
        <f aca="false">IF('הדבקת לידים'!B2311="","",IF(ISNUMBER('הדבקת לידים'!B2311),IF(הגדרות!$E$3&gt;0,TEXT('הדבקת לידים'!B2311,REPT("0",הגדרות!$E$3)),TEXT('הדבקת לידים'!B2311,"0")),TRIM('הדבקת לידים'!B2311)))</f>
        <v/>
      </c>
      <c r="C2311" s="0" t="n">
        <f aca="false">IF(OR(A2311&lt;&gt;"",B2311&lt;&gt;""),1,0)</f>
        <v>0</v>
      </c>
      <c r="D2311" s="0" t="str">
        <f aca="false">IF(C2311=1,MOD(ABS(SIN(ROW()*12.9898+'הדבקת לידים'!$F$2*78.233+IFERROR(--RIGHT(A2311,6),LEN(A2311))*0.0137+IFERROR(--RIGHT(B2311,6),LEN(B2311))*0.0071))*43758.5453,1),"")</f>
        <v/>
      </c>
      <c r="E2311" s="0" t="str">
        <f aca="false">IF(C2311=1,INT(MOD(ABS(SIN(D2311*7919.123+ROW()*0.618+'הדבקת לידים'!$F$2*1.3))*43758.5453,1)*1000000)*10000+ROW(),"")</f>
        <v/>
      </c>
      <c r="F2311" s="0" t="str">
        <f aca="false">IF(E2311="","",RANK(E2311,$E$2:$E$5001,1))</f>
        <v/>
      </c>
      <c r="G2311" s="0" t="n">
        <f aca="false">IF(A2311="",0,IF(SUMPRODUCT(--($A$2:$A$5001=A2311))&gt;1,1,0))</f>
        <v>0</v>
      </c>
      <c r="H2311" s="0" t="n">
        <f aca="false">ROW()-1</f>
        <v>2310</v>
      </c>
      <c r="I2311" s="0" t="str">
        <f aca="false">IF(OR(הגדרות!$E$6=0,H2311&gt;הגדרות!$E$5),"",IF(H2311-1&lt;הגדרות!$E$8*(הגדרות!$E$7+1),INT((H2311-1)/(הגדרות!$E$7+1)),הגדרות!$E$8+INT((H2311-1-הגדרות!$E$8*(הגדרות!$E$7+1))/הגדרות!$E$7)))</f>
        <v/>
      </c>
      <c r="J2311" s="0" t="str">
        <f aca="false">IF(I2311="","",IF(H2311-1&lt;הגדרות!$E$8*(הגדרות!$E$7+1),MOD(H2311-1,הגדרות!$E$7+1),MOD(H2311-1-הגדרות!$E$8*(הגדרות!$E$7+1),הגדרות!$E$7)))</f>
        <v/>
      </c>
      <c r="K2311" s="0" t="str">
        <f aca="false">IF(I2311="","",J2311*הגדרות!$E$6+I2311+1)</f>
        <v/>
      </c>
      <c r="L2311" s="0" t="str">
        <f aca="false">IF(K2311="","",MATCH(K2311,$F$2:$F$5001,0))</f>
        <v/>
      </c>
      <c r="M2311" s="0" t="str">
        <f aca="false">IF(I2311="","",INDEX(הגדרות!$A$2:$A$21,MOD(I2311+הגדרות!$E$9,הגדרות!$E$6)+1))</f>
        <v/>
      </c>
    </row>
    <row r="2312" customFormat="false" ht="15" hidden="false" customHeight="false" outlineLevel="0" collapsed="false">
      <c r="A2312" s="0" t="str">
        <f aca="false">IF('הדבקת לידים'!A2312="","",IF(ISNUMBER('הדבקת לידים'!A2312),IF(הגדרות!$E$2&gt;0,TEXT('הדבקת לידים'!A2312,REPT("0",הגדרות!$E$2)),TEXT('הדבקת לידים'!A2312,"0")),TRIM('הדבקת לידים'!A2312)))</f>
        <v/>
      </c>
      <c r="B2312" s="0" t="str">
        <f aca="false">IF('הדבקת לידים'!B2312="","",IF(ISNUMBER('הדבקת לידים'!B2312),IF(הגדרות!$E$3&gt;0,TEXT('הדבקת לידים'!B2312,REPT("0",הגדרות!$E$3)),TEXT('הדבקת לידים'!B2312,"0")),TRIM('הדבקת לידים'!B2312)))</f>
        <v/>
      </c>
      <c r="C2312" s="0" t="n">
        <f aca="false">IF(OR(A2312&lt;&gt;"",B2312&lt;&gt;""),1,0)</f>
        <v>0</v>
      </c>
      <c r="D2312" s="0" t="str">
        <f aca="false">IF(C2312=1,MOD(ABS(SIN(ROW()*12.9898+'הדבקת לידים'!$F$2*78.233+IFERROR(--RIGHT(A2312,6),LEN(A2312))*0.0137+IFERROR(--RIGHT(B2312,6),LEN(B2312))*0.0071))*43758.5453,1),"")</f>
        <v/>
      </c>
      <c r="E2312" s="0" t="str">
        <f aca="false">IF(C2312=1,INT(MOD(ABS(SIN(D2312*7919.123+ROW()*0.618+'הדבקת לידים'!$F$2*1.3))*43758.5453,1)*1000000)*10000+ROW(),"")</f>
        <v/>
      </c>
      <c r="F2312" s="0" t="str">
        <f aca="false">IF(E2312="","",RANK(E2312,$E$2:$E$5001,1))</f>
        <v/>
      </c>
      <c r="G2312" s="0" t="n">
        <f aca="false">IF(A2312="",0,IF(SUMPRODUCT(--($A$2:$A$5001=A2312))&gt;1,1,0))</f>
        <v>0</v>
      </c>
      <c r="H2312" s="0" t="n">
        <f aca="false">ROW()-1</f>
        <v>2311</v>
      </c>
      <c r="I2312" s="0" t="str">
        <f aca="false">IF(OR(הגדרות!$E$6=0,H2312&gt;הגדרות!$E$5),"",IF(H2312-1&lt;הגדרות!$E$8*(הגדרות!$E$7+1),INT((H2312-1)/(הגדרות!$E$7+1)),הגדרות!$E$8+INT((H2312-1-הגדרות!$E$8*(הגדרות!$E$7+1))/הגדרות!$E$7)))</f>
        <v/>
      </c>
      <c r="J2312" s="0" t="str">
        <f aca="false">IF(I2312="","",IF(H2312-1&lt;הגדרות!$E$8*(הגדרות!$E$7+1),MOD(H2312-1,הגדרות!$E$7+1),MOD(H2312-1-הגדרות!$E$8*(הגדרות!$E$7+1),הגדרות!$E$7)))</f>
        <v/>
      </c>
      <c r="K2312" s="0" t="str">
        <f aca="false">IF(I2312="","",J2312*הגדרות!$E$6+I2312+1)</f>
        <v/>
      </c>
      <c r="L2312" s="0" t="str">
        <f aca="false">IF(K2312="","",MATCH(K2312,$F$2:$F$5001,0))</f>
        <v/>
      </c>
      <c r="M2312" s="0" t="str">
        <f aca="false">IF(I2312="","",INDEX(הגדרות!$A$2:$A$21,MOD(I2312+הגדרות!$E$9,הגדרות!$E$6)+1))</f>
        <v/>
      </c>
    </row>
    <row r="2313" customFormat="false" ht="15" hidden="false" customHeight="false" outlineLevel="0" collapsed="false">
      <c r="A2313" s="0" t="str">
        <f aca="false">IF('הדבקת לידים'!A2313="","",IF(ISNUMBER('הדבקת לידים'!A2313),IF(הגדרות!$E$2&gt;0,TEXT('הדבקת לידים'!A2313,REPT("0",הגדרות!$E$2)),TEXT('הדבקת לידים'!A2313,"0")),TRIM('הדבקת לידים'!A2313)))</f>
        <v/>
      </c>
      <c r="B2313" s="0" t="str">
        <f aca="false">IF('הדבקת לידים'!B2313="","",IF(ISNUMBER('הדבקת לידים'!B2313),IF(הגדרות!$E$3&gt;0,TEXT('הדבקת לידים'!B2313,REPT("0",הגדרות!$E$3)),TEXT('הדבקת לידים'!B2313,"0")),TRIM('הדבקת לידים'!B2313)))</f>
        <v/>
      </c>
      <c r="C2313" s="0" t="n">
        <f aca="false">IF(OR(A2313&lt;&gt;"",B2313&lt;&gt;""),1,0)</f>
        <v>0</v>
      </c>
      <c r="D2313" s="0" t="str">
        <f aca="false">IF(C2313=1,MOD(ABS(SIN(ROW()*12.9898+'הדבקת לידים'!$F$2*78.233+IFERROR(--RIGHT(A2313,6),LEN(A2313))*0.0137+IFERROR(--RIGHT(B2313,6),LEN(B2313))*0.0071))*43758.5453,1),"")</f>
        <v/>
      </c>
      <c r="E2313" s="0" t="str">
        <f aca="false">IF(C2313=1,INT(MOD(ABS(SIN(D2313*7919.123+ROW()*0.618+'הדבקת לידים'!$F$2*1.3))*43758.5453,1)*1000000)*10000+ROW(),"")</f>
        <v/>
      </c>
      <c r="F2313" s="0" t="str">
        <f aca="false">IF(E2313="","",RANK(E2313,$E$2:$E$5001,1))</f>
        <v/>
      </c>
      <c r="G2313" s="0" t="n">
        <f aca="false">IF(A2313="",0,IF(SUMPRODUCT(--($A$2:$A$5001=A2313))&gt;1,1,0))</f>
        <v>0</v>
      </c>
      <c r="H2313" s="0" t="n">
        <f aca="false">ROW()-1</f>
        <v>2312</v>
      </c>
      <c r="I2313" s="0" t="str">
        <f aca="false">IF(OR(הגדרות!$E$6=0,H2313&gt;הגדרות!$E$5),"",IF(H2313-1&lt;הגדרות!$E$8*(הגדרות!$E$7+1),INT((H2313-1)/(הגדרות!$E$7+1)),הגדרות!$E$8+INT((H2313-1-הגדרות!$E$8*(הגדרות!$E$7+1))/הגדרות!$E$7)))</f>
        <v/>
      </c>
      <c r="J2313" s="0" t="str">
        <f aca="false">IF(I2313="","",IF(H2313-1&lt;הגדרות!$E$8*(הגדרות!$E$7+1),MOD(H2313-1,הגדרות!$E$7+1),MOD(H2313-1-הגדרות!$E$8*(הגדרות!$E$7+1),הגדרות!$E$7)))</f>
        <v/>
      </c>
      <c r="K2313" s="0" t="str">
        <f aca="false">IF(I2313="","",J2313*הגדרות!$E$6+I2313+1)</f>
        <v/>
      </c>
      <c r="L2313" s="0" t="str">
        <f aca="false">IF(K2313="","",MATCH(K2313,$F$2:$F$5001,0))</f>
        <v/>
      </c>
      <c r="M2313" s="0" t="str">
        <f aca="false">IF(I2313="","",INDEX(הגדרות!$A$2:$A$21,MOD(I2313+הגדרות!$E$9,הגדרות!$E$6)+1))</f>
        <v/>
      </c>
    </row>
    <row r="2314" customFormat="false" ht="15" hidden="false" customHeight="false" outlineLevel="0" collapsed="false">
      <c r="A2314" s="0" t="str">
        <f aca="false">IF('הדבקת לידים'!A2314="","",IF(ISNUMBER('הדבקת לידים'!A2314),IF(הגדרות!$E$2&gt;0,TEXT('הדבקת לידים'!A2314,REPT("0",הגדרות!$E$2)),TEXT('הדבקת לידים'!A2314,"0")),TRIM('הדבקת לידים'!A2314)))</f>
        <v/>
      </c>
      <c r="B2314" s="0" t="str">
        <f aca="false">IF('הדבקת לידים'!B2314="","",IF(ISNUMBER('הדבקת לידים'!B2314),IF(הגדרות!$E$3&gt;0,TEXT('הדבקת לידים'!B2314,REPT("0",הגדרות!$E$3)),TEXT('הדבקת לידים'!B2314,"0")),TRIM('הדבקת לידים'!B2314)))</f>
        <v/>
      </c>
      <c r="C2314" s="0" t="n">
        <f aca="false">IF(OR(A2314&lt;&gt;"",B2314&lt;&gt;""),1,0)</f>
        <v>0</v>
      </c>
      <c r="D2314" s="0" t="str">
        <f aca="false">IF(C2314=1,MOD(ABS(SIN(ROW()*12.9898+'הדבקת לידים'!$F$2*78.233+IFERROR(--RIGHT(A2314,6),LEN(A2314))*0.0137+IFERROR(--RIGHT(B2314,6),LEN(B2314))*0.0071))*43758.5453,1),"")</f>
        <v/>
      </c>
      <c r="E2314" s="0" t="str">
        <f aca="false">IF(C2314=1,INT(MOD(ABS(SIN(D2314*7919.123+ROW()*0.618+'הדבקת לידים'!$F$2*1.3))*43758.5453,1)*1000000)*10000+ROW(),"")</f>
        <v/>
      </c>
      <c r="F2314" s="0" t="str">
        <f aca="false">IF(E2314="","",RANK(E2314,$E$2:$E$5001,1))</f>
        <v/>
      </c>
      <c r="G2314" s="0" t="n">
        <f aca="false">IF(A2314="",0,IF(SUMPRODUCT(--($A$2:$A$5001=A2314))&gt;1,1,0))</f>
        <v>0</v>
      </c>
      <c r="H2314" s="0" t="n">
        <f aca="false">ROW()-1</f>
        <v>2313</v>
      </c>
      <c r="I2314" s="0" t="str">
        <f aca="false">IF(OR(הגדרות!$E$6=0,H2314&gt;הגדרות!$E$5),"",IF(H2314-1&lt;הגדרות!$E$8*(הגדרות!$E$7+1),INT((H2314-1)/(הגדרות!$E$7+1)),הגדרות!$E$8+INT((H2314-1-הגדרות!$E$8*(הגדרות!$E$7+1))/הגדרות!$E$7)))</f>
        <v/>
      </c>
      <c r="J2314" s="0" t="str">
        <f aca="false">IF(I2314="","",IF(H2314-1&lt;הגדרות!$E$8*(הגדרות!$E$7+1),MOD(H2314-1,הגדרות!$E$7+1),MOD(H2314-1-הגדרות!$E$8*(הגדרות!$E$7+1),הגדרות!$E$7)))</f>
        <v/>
      </c>
      <c r="K2314" s="0" t="str">
        <f aca="false">IF(I2314="","",J2314*הגדרות!$E$6+I2314+1)</f>
        <v/>
      </c>
      <c r="L2314" s="0" t="str">
        <f aca="false">IF(K2314="","",MATCH(K2314,$F$2:$F$5001,0))</f>
        <v/>
      </c>
      <c r="M2314" s="0" t="str">
        <f aca="false">IF(I2314="","",INDEX(הגדרות!$A$2:$A$21,MOD(I2314+הגדרות!$E$9,הגדרות!$E$6)+1))</f>
        <v/>
      </c>
    </row>
    <row r="2315" customFormat="false" ht="15" hidden="false" customHeight="false" outlineLevel="0" collapsed="false">
      <c r="A2315" s="0" t="str">
        <f aca="false">IF('הדבקת לידים'!A2315="","",IF(ISNUMBER('הדבקת לידים'!A2315),IF(הגדרות!$E$2&gt;0,TEXT('הדבקת לידים'!A2315,REPT("0",הגדרות!$E$2)),TEXT('הדבקת לידים'!A2315,"0")),TRIM('הדבקת לידים'!A2315)))</f>
        <v/>
      </c>
      <c r="B2315" s="0" t="str">
        <f aca="false">IF('הדבקת לידים'!B2315="","",IF(ISNUMBER('הדבקת לידים'!B2315),IF(הגדרות!$E$3&gt;0,TEXT('הדבקת לידים'!B2315,REPT("0",הגדרות!$E$3)),TEXT('הדבקת לידים'!B2315,"0")),TRIM('הדבקת לידים'!B2315)))</f>
        <v/>
      </c>
      <c r="C2315" s="0" t="n">
        <f aca="false">IF(OR(A2315&lt;&gt;"",B2315&lt;&gt;""),1,0)</f>
        <v>0</v>
      </c>
      <c r="D2315" s="0" t="str">
        <f aca="false">IF(C2315=1,MOD(ABS(SIN(ROW()*12.9898+'הדבקת לידים'!$F$2*78.233+IFERROR(--RIGHT(A2315,6),LEN(A2315))*0.0137+IFERROR(--RIGHT(B2315,6),LEN(B2315))*0.0071))*43758.5453,1),"")</f>
        <v/>
      </c>
      <c r="E2315" s="0" t="str">
        <f aca="false">IF(C2315=1,INT(MOD(ABS(SIN(D2315*7919.123+ROW()*0.618+'הדבקת לידים'!$F$2*1.3))*43758.5453,1)*1000000)*10000+ROW(),"")</f>
        <v/>
      </c>
      <c r="F2315" s="0" t="str">
        <f aca="false">IF(E2315="","",RANK(E2315,$E$2:$E$5001,1))</f>
        <v/>
      </c>
      <c r="G2315" s="0" t="n">
        <f aca="false">IF(A2315="",0,IF(SUMPRODUCT(--($A$2:$A$5001=A2315))&gt;1,1,0))</f>
        <v>0</v>
      </c>
      <c r="H2315" s="0" t="n">
        <f aca="false">ROW()-1</f>
        <v>2314</v>
      </c>
      <c r="I2315" s="0" t="str">
        <f aca="false">IF(OR(הגדרות!$E$6=0,H2315&gt;הגדרות!$E$5),"",IF(H2315-1&lt;הגדרות!$E$8*(הגדרות!$E$7+1),INT((H2315-1)/(הגדרות!$E$7+1)),הגדרות!$E$8+INT((H2315-1-הגדרות!$E$8*(הגדרות!$E$7+1))/הגדרות!$E$7)))</f>
        <v/>
      </c>
      <c r="J2315" s="0" t="str">
        <f aca="false">IF(I2315="","",IF(H2315-1&lt;הגדרות!$E$8*(הגדרות!$E$7+1),MOD(H2315-1,הגדרות!$E$7+1),MOD(H2315-1-הגדרות!$E$8*(הגדרות!$E$7+1),הגדרות!$E$7)))</f>
        <v/>
      </c>
      <c r="K2315" s="0" t="str">
        <f aca="false">IF(I2315="","",J2315*הגדרות!$E$6+I2315+1)</f>
        <v/>
      </c>
      <c r="L2315" s="0" t="str">
        <f aca="false">IF(K2315="","",MATCH(K2315,$F$2:$F$5001,0))</f>
        <v/>
      </c>
      <c r="M2315" s="0" t="str">
        <f aca="false">IF(I2315="","",INDEX(הגדרות!$A$2:$A$21,MOD(I2315+הגדרות!$E$9,הגדרות!$E$6)+1))</f>
        <v/>
      </c>
    </row>
    <row r="2316" customFormat="false" ht="15" hidden="false" customHeight="false" outlineLevel="0" collapsed="false">
      <c r="A2316" s="0" t="str">
        <f aca="false">IF('הדבקת לידים'!A2316="","",IF(ISNUMBER('הדבקת לידים'!A2316),IF(הגדרות!$E$2&gt;0,TEXT('הדבקת לידים'!A2316,REPT("0",הגדרות!$E$2)),TEXT('הדבקת לידים'!A2316,"0")),TRIM('הדבקת לידים'!A2316)))</f>
        <v/>
      </c>
      <c r="B2316" s="0" t="str">
        <f aca="false">IF('הדבקת לידים'!B2316="","",IF(ISNUMBER('הדבקת לידים'!B2316),IF(הגדרות!$E$3&gt;0,TEXT('הדבקת לידים'!B2316,REPT("0",הגדרות!$E$3)),TEXT('הדבקת לידים'!B2316,"0")),TRIM('הדבקת לידים'!B2316)))</f>
        <v/>
      </c>
      <c r="C2316" s="0" t="n">
        <f aca="false">IF(OR(A2316&lt;&gt;"",B2316&lt;&gt;""),1,0)</f>
        <v>0</v>
      </c>
      <c r="D2316" s="0" t="str">
        <f aca="false">IF(C2316=1,MOD(ABS(SIN(ROW()*12.9898+'הדבקת לידים'!$F$2*78.233+IFERROR(--RIGHT(A2316,6),LEN(A2316))*0.0137+IFERROR(--RIGHT(B2316,6),LEN(B2316))*0.0071))*43758.5453,1),"")</f>
        <v/>
      </c>
      <c r="E2316" s="0" t="str">
        <f aca="false">IF(C2316=1,INT(MOD(ABS(SIN(D2316*7919.123+ROW()*0.618+'הדבקת לידים'!$F$2*1.3))*43758.5453,1)*1000000)*10000+ROW(),"")</f>
        <v/>
      </c>
      <c r="F2316" s="0" t="str">
        <f aca="false">IF(E2316="","",RANK(E2316,$E$2:$E$5001,1))</f>
        <v/>
      </c>
      <c r="G2316" s="0" t="n">
        <f aca="false">IF(A2316="",0,IF(SUMPRODUCT(--($A$2:$A$5001=A2316))&gt;1,1,0))</f>
        <v>0</v>
      </c>
      <c r="H2316" s="0" t="n">
        <f aca="false">ROW()-1</f>
        <v>2315</v>
      </c>
      <c r="I2316" s="0" t="str">
        <f aca="false">IF(OR(הגדרות!$E$6=0,H2316&gt;הגדרות!$E$5),"",IF(H2316-1&lt;הגדרות!$E$8*(הגדרות!$E$7+1),INT((H2316-1)/(הגדרות!$E$7+1)),הגדרות!$E$8+INT((H2316-1-הגדרות!$E$8*(הגדרות!$E$7+1))/הגדרות!$E$7)))</f>
        <v/>
      </c>
      <c r="J2316" s="0" t="str">
        <f aca="false">IF(I2316="","",IF(H2316-1&lt;הגדרות!$E$8*(הגדרות!$E$7+1),MOD(H2316-1,הגדרות!$E$7+1),MOD(H2316-1-הגדרות!$E$8*(הגדרות!$E$7+1),הגדרות!$E$7)))</f>
        <v/>
      </c>
      <c r="K2316" s="0" t="str">
        <f aca="false">IF(I2316="","",J2316*הגדרות!$E$6+I2316+1)</f>
        <v/>
      </c>
      <c r="L2316" s="0" t="str">
        <f aca="false">IF(K2316="","",MATCH(K2316,$F$2:$F$5001,0))</f>
        <v/>
      </c>
      <c r="M2316" s="0" t="str">
        <f aca="false">IF(I2316="","",INDEX(הגדרות!$A$2:$A$21,MOD(I2316+הגדרות!$E$9,הגדרות!$E$6)+1))</f>
        <v/>
      </c>
    </row>
    <row r="2317" customFormat="false" ht="15" hidden="false" customHeight="false" outlineLevel="0" collapsed="false">
      <c r="A2317" s="0" t="str">
        <f aca="false">IF('הדבקת לידים'!A2317="","",IF(ISNUMBER('הדבקת לידים'!A2317),IF(הגדרות!$E$2&gt;0,TEXT('הדבקת לידים'!A2317,REPT("0",הגדרות!$E$2)),TEXT('הדבקת לידים'!A2317,"0")),TRIM('הדבקת לידים'!A2317)))</f>
        <v/>
      </c>
      <c r="B2317" s="0" t="str">
        <f aca="false">IF('הדבקת לידים'!B2317="","",IF(ISNUMBER('הדבקת לידים'!B2317),IF(הגדרות!$E$3&gt;0,TEXT('הדבקת לידים'!B2317,REPT("0",הגדרות!$E$3)),TEXT('הדבקת לידים'!B2317,"0")),TRIM('הדבקת לידים'!B2317)))</f>
        <v/>
      </c>
      <c r="C2317" s="0" t="n">
        <f aca="false">IF(OR(A2317&lt;&gt;"",B2317&lt;&gt;""),1,0)</f>
        <v>0</v>
      </c>
      <c r="D2317" s="0" t="str">
        <f aca="false">IF(C2317=1,MOD(ABS(SIN(ROW()*12.9898+'הדבקת לידים'!$F$2*78.233+IFERROR(--RIGHT(A2317,6),LEN(A2317))*0.0137+IFERROR(--RIGHT(B2317,6),LEN(B2317))*0.0071))*43758.5453,1),"")</f>
        <v/>
      </c>
      <c r="E2317" s="0" t="str">
        <f aca="false">IF(C2317=1,INT(MOD(ABS(SIN(D2317*7919.123+ROW()*0.618+'הדבקת לידים'!$F$2*1.3))*43758.5453,1)*1000000)*10000+ROW(),"")</f>
        <v/>
      </c>
      <c r="F2317" s="0" t="str">
        <f aca="false">IF(E2317="","",RANK(E2317,$E$2:$E$5001,1))</f>
        <v/>
      </c>
      <c r="G2317" s="0" t="n">
        <f aca="false">IF(A2317="",0,IF(SUMPRODUCT(--($A$2:$A$5001=A2317))&gt;1,1,0))</f>
        <v>0</v>
      </c>
      <c r="H2317" s="0" t="n">
        <f aca="false">ROW()-1</f>
        <v>2316</v>
      </c>
      <c r="I2317" s="0" t="str">
        <f aca="false">IF(OR(הגדרות!$E$6=0,H2317&gt;הגדרות!$E$5),"",IF(H2317-1&lt;הגדרות!$E$8*(הגדרות!$E$7+1),INT((H2317-1)/(הגדרות!$E$7+1)),הגדרות!$E$8+INT((H2317-1-הגדרות!$E$8*(הגדרות!$E$7+1))/הגדרות!$E$7)))</f>
        <v/>
      </c>
      <c r="J2317" s="0" t="str">
        <f aca="false">IF(I2317="","",IF(H2317-1&lt;הגדרות!$E$8*(הגדרות!$E$7+1),MOD(H2317-1,הגדרות!$E$7+1),MOD(H2317-1-הגדרות!$E$8*(הגדרות!$E$7+1),הגדרות!$E$7)))</f>
        <v/>
      </c>
      <c r="K2317" s="0" t="str">
        <f aca="false">IF(I2317="","",J2317*הגדרות!$E$6+I2317+1)</f>
        <v/>
      </c>
      <c r="L2317" s="0" t="str">
        <f aca="false">IF(K2317="","",MATCH(K2317,$F$2:$F$5001,0))</f>
        <v/>
      </c>
      <c r="M2317" s="0" t="str">
        <f aca="false">IF(I2317="","",INDEX(הגדרות!$A$2:$A$21,MOD(I2317+הגדרות!$E$9,הגדרות!$E$6)+1))</f>
        <v/>
      </c>
    </row>
    <row r="2318" customFormat="false" ht="15" hidden="false" customHeight="false" outlineLevel="0" collapsed="false">
      <c r="A2318" s="0" t="str">
        <f aca="false">IF('הדבקת לידים'!A2318="","",IF(ISNUMBER('הדבקת לידים'!A2318),IF(הגדרות!$E$2&gt;0,TEXT('הדבקת לידים'!A2318,REPT("0",הגדרות!$E$2)),TEXT('הדבקת לידים'!A2318,"0")),TRIM('הדבקת לידים'!A2318)))</f>
        <v/>
      </c>
      <c r="B2318" s="0" t="str">
        <f aca="false">IF('הדבקת לידים'!B2318="","",IF(ISNUMBER('הדבקת לידים'!B2318),IF(הגדרות!$E$3&gt;0,TEXT('הדבקת לידים'!B2318,REPT("0",הגדרות!$E$3)),TEXT('הדבקת לידים'!B2318,"0")),TRIM('הדבקת לידים'!B2318)))</f>
        <v/>
      </c>
      <c r="C2318" s="0" t="n">
        <f aca="false">IF(OR(A2318&lt;&gt;"",B2318&lt;&gt;""),1,0)</f>
        <v>0</v>
      </c>
      <c r="D2318" s="0" t="str">
        <f aca="false">IF(C2318=1,MOD(ABS(SIN(ROW()*12.9898+'הדבקת לידים'!$F$2*78.233+IFERROR(--RIGHT(A2318,6),LEN(A2318))*0.0137+IFERROR(--RIGHT(B2318,6),LEN(B2318))*0.0071))*43758.5453,1),"")</f>
        <v/>
      </c>
      <c r="E2318" s="0" t="str">
        <f aca="false">IF(C2318=1,INT(MOD(ABS(SIN(D2318*7919.123+ROW()*0.618+'הדבקת לידים'!$F$2*1.3))*43758.5453,1)*1000000)*10000+ROW(),"")</f>
        <v/>
      </c>
      <c r="F2318" s="0" t="str">
        <f aca="false">IF(E2318="","",RANK(E2318,$E$2:$E$5001,1))</f>
        <v/>
      </c>
      <c r="G2318" s="0" t="n">
        <f aca="false">IF(A2318="",0,IF(SUMPRODUCT(--($A$2:$A$5001=A2318))&gt;1,1,0))</f>
        <v>0</v>
      </c>
      <c r="H2318" s="0" t="n">
        <f aca="false">ROW()-1</f>
        <v>2317</v>
      </c>
      <c r="I2318" s="0" t="str">
        <f aca="false">IF(OR(הגדרות!$E$6=0,H2318&gt;הגדרות!$E$5),"",IF(H2318-1&lt;הגדרות!$E$8*(הגדרות!$E$7+1),INT((H2318-1)/(הגדרות!$E$7+1)),הגדרות!$E$8+INT((H2318-1-הגדרות!$E$8*(הגדרות!$E$7+1))/הגדרות!$E$7)))</f>
        <v/>
      </c>
      <c r="J2318" s="0" t="str">
        <f aca="false">IF(I2318="","",IF(H2318-1&lt;הגדרות!$E$8*(הגדרות!$E$7+1),MOD(H2318-1,הגדרות!$E$7+1),MOD(H2318-1-הגדרות!$E$8*(הגדרות!$E$7+1),הגדרות!$E$7)))</f>
        <v/>
      </c>
      <c r="K2318" s="0" t="str">
        <f aca="false">IF(I2318="","",J2318*הגדרות!$E$6+I2318+1)</f>
        <v/>
      </c>
      <c r="L2318" s="0" t="str">
        <f aca="false">IF(K2318="","",MATCH(K2318,$F$2:$F$5001,0))</f>
        <v/>
      </c>
      <c r="M2318" s="0" t="str">
        <f aca="false">IF(I2318="","",INDEX(הגדרות!$A$2:$A$21,MOD(I2318+הגדרות!$E$9,הגדרות!$E$6)+1))</f>
        <v/>
      </c>
    </row>
    <row r="2319" customFormat="false" ht="15" hidden="false" customHeight="false" outlineLevel="0" collapsed="false">
      <c r="A2319" s="0" t="str">
        <f aca="false">IF('הדבקת לידים'!A2319="","",IF(ISNUMBER('הדבקת לידים'!A2319),IF(הגדרות!$E$2&gt;0,TEXT('הדבקת לידים'!A2319,REPT("0",הגדרות!$E$2)),TEXT('הדבקת לידים'!A2319,"0")),TRIM('הדבקת לידים'!A2319)))</f>
        <v/>
      </c>
      <c r="B2319" s="0" t="str">
        <f aca="false">IF('הדבקת לידים'!B2319="","",IF(ISNUMBER('הדבקת לידים'!B2319),IF(הגדרות!$E$3&gt;0,TEXT('הדבקת לידים'!B2319,REPT("0",הגדרות!$E$3)),TEXT('הדבקת לידים'!B2319,"0")),TRIM('הדבקת לידים'!B2319)))</f>
        <v/>
      </c>
      <c r="C2319" s="0" t="n">
        <f aca="false">IF(OR(A2319&lt;&gt;"",B2319&lt;&gt;""),1,0)</f>
        <v>0</v>
      </c>
      <c r="D2319" s="0" t="str">
        <f aca="false">IF(C2319=1,MOD(ABS(SIN(ROW()*12.9898+'הדבקת לידים'!$F$2*78.233+IFERROR(--RIGHT(A2319,6),LEN(A2319))*0.0137+IFERROR(--RIGHT(B2319,6),LEN(B2319))*0.0071))*43758.5453,1),"")</f>
        <v/>
      </c>
      <c r="E2319" s="0" t="str">
        <f aca="false">IF(C2319=1,INT(MOD(ABS(SIN(D2319*7919.123+ROW()*0.618+'הדבקת לידים'!$F$2*1.3))*43758.5453,1)*1000000)*10000+ROW(),"")</f>
        <v/>
      </c>
      <c r="F2319" s="0" t="str">
        <f aca="false">IF(E2319="","",RANK(E2319,$E$2:$E$5001,1))</f>
        <v/>
      </c>
      <c r="G2319" s="0" t="n">
        <f aca="false">IF(A2319="",0,IF(SUMPRODUCT(--($A$2:$A$5001=A2319))&gt;1,1,0))</f>
        <v>0</v>
      </c>
      <c r="H2319" s="0" t="n">
        <f aca="false">ROW()-1</f>
        <v>2318</v>
      </c>
      <c r="I2319" s="0" t="str">
        <f aca="false">IF(OR(הגדרות!$E$6=0,H2319&gt;הגדרות!$E$5),"",IF(H2319-1&lt;הגדרות!$E$8*(הגדרות!$E$7+1),INT((H2319-1)/(הגדרות!$E$7+1)),הגדרות!$E$8+INT((H2319-1-הגדרות!$E$8*(הגדרות!$E$7+1))/הגדרות!$E$7)))</f>
        <v/>
      </c>
      <c r="J2319" s="0" t="str">
        <f aca="false">IF(I2319="","",IF(H2319-1&lt;הגדרות!$E$8*(הגדרות!$E$7+1),MOD(H2319-1,הגדרות!$E$7+1),MOD(H2319-1-הגדרות!$E$8*(הגדרות!$E$7+1),הגדרות!$E$7)))</f>
        <v/>
      </c>
      <c r="K2319" s="0" t="str">
        <f aca="false">IF(I2319="","",J2319*הגדרות!$E$6+I2319+1)</f>
        <v/>
      </c>
      <c r="L2319" s="0" t="str">
        <f aca="false">IF(K2319="","",MATCH(K2319,$F$2:$F$5001,0))</f>
        <v/>
      </c>
      <c r="M2319" s="0" t="str">
        <f aca="false">IF(I2319="","",INDEX(הגדרות!$A$2:$A$21,MOD(I2319+הגדרות!$E$9,הגדרות!$E$6)+1))</f>
        <v/>
      </c>
    </row>
    <row r="2320" customFormat="false" ht="15" hidden="false" customHeight="false" outlineLevel="0" collapsed="false">
      <c r="A2320" s="0" t="str">
        <f aca="false">IF('הדבקת לידים'!A2320="","",IF(ISNUMBER('הדבקת לידים'!A2320),IF(הגדרות!$E$2&gt;0,TEXT('הדבקת לידים'!A2320,REPT("0",הגדרות!$E$2)),TEXT('הדבקת לידים'!A2320,"0")),TRIM('הדבקת לידים'!A2320)))</f>
        <v/>
      </c>
      <c r="B2320" s="0" t="str">
        <f aca="false">IF('הדבקת לידים'!B2320="","",IF(ISNUMBER('הדבקת לידים'!B2320),IF(הגדרות!$E$3&gt;0,TEXT('הדבקת לידים'!B2320,REPT("0",הגדרות!$E$3)),TEXT('הדבקת לידים'!B2320,"0")),TRIM('הדבקת לידים'!B2320)))</f>
        <v/>
      </c>
      <c r="C2320" s="0" t="n">
        <f aca="false">IF(OR(A2320&lt;&gt;"",B2320&lt;&gt;""),1,0)</f>
        <v>0</v>
      </c>
      <c r="D2320" s="0" t="str">
        <f aca="false">IF(C2320=1,MOD(ABS(SIN(ROW()*12.9898+'הדבקת לידים'!$F$2*78.233+IFERROR(--RIGHT(A2320,6),LEN(A2320))*0.0137+IFERROR(--RIGHT(B2320,6),LEN(B2320))*0.0071))*43758.5453,1),"")</f>
        <v/>
      </c>
      <c r="E2320" s="0" t="str">
        <f aca="false">IF(C2320=1,INT(MOD(ABS(SIN(D2320*7919.123+ROW()*0.618+'הדבקת לידים'!$F$2*1.3))*43758.5453,1)*1000000)*10000+ROW(),"")</f>
        <v/>
      </c>
      <c r="F2320" s="0" t="str">
        <f aca="false">IF(E2320="","",RANK(E2320,$E$2:$E$5001,1))</f>
        <v/>
      </c>
      <c r="G2320" s="0" t="n">
        <f aca="false">IF(A2320="",0,IF(SUMPRODUCT(--($A$2:$A$5001=A2320))&gt;1,1,0))</f>
        <v>0</v>
      </c>
      <c r="H2320" s="0" t="n">
        <f aca="false">ROW()-1</f>
        <v>2319</v>
      </c>
      <c r="I2320" s="0" t="str">
        <f aca="false">IF(OR(הגדרות!$E$6=0,H2320&gt;הגדרות!$E$5),"",IF(H2320-1&lt;הגדרות!$E$8*(הגדרות!$E$7+1),INT((H2320-1)/(הגדרות!$E$7+1)),הגדרות!$E$8+INT((H2320-1-הגדרות!$E$8*(הגדרות!$E$7+1))/הגדרות!$E$7)))</f>
        <v/>
      </c>
      <c r="J2320" s="0" t="str">
        <f aca="false">IF(I2320="","",IF(H2320-1&lt;הגדרות!$E$8*(הגדרות!$E$7+1),MOD(H2320-1,הגדרות!$E$7+1),MOD(H2320-1-הגדרות!$E$8*(הגדרות!$E$7+1),הגדרות!$E$7)))</f>
        <v/>
      </c>
      <c r="K2320" s="0" t="str">
        <f aca="false">IF(I2320="","",J2320*הגדרות!$E$6+I2320+1)</f>
        <v/>
      </c>
      <c r="L2320" s="0" t="str">
        <f aca="false">IF(K2320="","",MATCH(K2320,$F$2:$F$5001,0))</f>
        <v/>
      </c>
      <c r="M2320" s="0" t="str">
        <f aca="false">IF(I2320="","",INDEX(הגדרות!$A$2:$A$21,MOD(I2320+הגדרות!$E$9,הגדרות!$E$6)+1))</f>
        <v/>
      </c>
    </row>
    <row r="2321" customFormat="false" ht="15" hidden="false" customHeight="false" outlineLevel="0" collapsed="false">
      <c r="A2321" s="0" t="str">
        <f aca="false">IF('הדבקת לידים'!A2321="","",IF(ISNUMBER('הדבקת לידים'!A2321),IF(הגדרות!$E$2&gt;0,TEXT('הדבקת לידים'!A2321,REPT("0",הגדרות!$E$2)),TEXT('הדבקת לידים'!A2321,"0")),TRIM('הדבקת לידים'!A2321)))</f>
        <v/>
      </c>
      <c r="B2321" s="0" t="str">
        <f aca="false">IF('הדבקת לידים'!B2321="","",IF(ISNUMBER('הדבקת לידים'!B2321),IF(הגדרות!$E$3&gt;0,TEXT('הדבקת לידים'!B2321,REPT("0",הגדרות!$E$3)),TEXT('הדבקת לידים'!B2321,"0")),TRIM('הדבקת לידים'!B2321)))</f>
        <v/>
      </c>
      <c r="C2321" s="0" t="n">
        <f aca="false">IF(OR(A2321&lt;&gt;"",B2321&lt;&gt;""),1,0)</f>
        <v>0</v>
      </c>
      <c r="D2321" s="0" t="str">
        <f aca="false">IF(C2321=1,MOD(ABS(SIN(ROW()*12.9898+'הדבקת לידים'!$F$2*78.233+IFERROR(--RIGHT(A2321,6),LEN(A2321))*0.0137+IFERROR(--RIGHT(B2321,6),LEN(B2321))*0.0071))*43758.5453,1),"")</f>
        <v/>
      </c>
      <c r="E2321" s="0" t="str">
        <f aca="false">IF(C2321=1,INT(MOD(ABS(SIN(D2321*7919.123+ROW()*0.618+'הדבקת לידים'!$F$2*1.3))*43758.5453,1)*1000000)*10000+ROW(),"")</f>
        <v/>
      </c>
      <c r="F2321" s="0" t="str">
        <f aca="false">IF(E2321="","",RANK(E2321,$E$2:$E$5001,1))</f>
        <v/>
      </c>
      <c r="G2321" s="0" t="n">
        <f aca="false">IF(A2321="",0,IF(SUMPRODUCT(--($A$2:$A$5001=A2321))&gt;1,1,0))</f>
        <v>0</v>
      </c>
      <c r="H2321" s="0" t="n">
        <f aca="false">ROW()-1</f>
        <v>2320</v>
      </c>
      <c r="I2321" s="0" t="str">
        <f aca="false">IF(OR(הגדרות!$E$6=0,H2321&gt;הגדרות!$E$5),"",IF(H2321-1&lt;הגדרות!$E$8*(הגדרות!$E$7+1),INT((H2321-1)/(הגדרות!$E$7+1)),הגדרות!$E$8+INT((H2321-1-הגדרות!$E$8*(הגדרות!$E$7+1))/הגדרות!$E$7)))</f>
        <v/>
      </c>
      <c r="J2321" s="0" t="str">
        <f aca="false">IF(I2321="","",IF(H2321-1&lt;הגדרות!$E$8*(הגדרות!$E$7+1),MOD(H2321-1,הגדרות!$E$7+1),MOD(H2321-1-הגדרות!$E$8*(הגדרות!$E$7+1),הגדרות!$E$7)))</f>
        <v/>
      </c>
      <c r="K2321" s="0" t="str">
        <f aca="false">IF(I2321="","",J2321*הגדרות!$E$6+I2321+1)</f>
        <v/>
      </c>
      <c r="L2321" s="0" t="str">
        <f aca="false">IF(K2321="","",MATCH(K2321,$F$2:$F$5001,0))</f>
        <v/>
      </c>
      <c r="M2321" s="0" t="str">
        <f aca="false">IF(I2321="","",INDEX(הגדרות!$A$2:$A$21,MOD(I2321+הגדרות!$E$9,הגדרות!$E$6)+1))</f>
        <v/>
      </c>
    </row>
    <row r="2322" customFormat="false" ht="15" hidden="false" customHeight="false" outlineLevel="0" collapsed="false">
      <c r="A2322" s="0" t="str">
        <f aca="false">IF('הדבקת לידים'!A2322="","",IF(ISNUMBER('הדבקת לידים'!A2322),IF(הגדרות!$E$2&gt;0,TEXT('הדבקת לידים'!A2322,REPT("0",הגדרות!$E$2)),TEXT('הדבקת לידים'!A2322,"0")),TRIM('הדבקת לידים'!A2322)))</f>
        <v/>
      </c>
      <c r="B2322" s="0" t="str">
        <f aca="false">IF('הדבקת לידים'!B2322="","",IF(ISNUMBER('הדבקת לידים'!B2322),IF(הגדרות!$E$3&gt;0,TEXT('הדבקת לידים'!B2322,REPT("0",הגדרות!$E$3)),TEXT('הדבקת לידים'!B2322,"0")),TRIM('הדבקת לידים'!B2322)))</f>
        <v/>
      </c>
      <c r="C2322" s="0" t="n">
        <f aca="false">IF(OR(A2322&lt;&gt;"",B2322&lt;&gt;""),1,0)</f>
        <v>0</v>
      </c>
      <c r="D2322" s="0" t="str">
        <f aca="false">IF(C2322=1,MOD(ABS(SIN(ROW()*12.9898+'הדבקת לידים'!$F$2*78.233+IFERROR(--RIGHT(A2322,6),LEN(A2322))*0.0137+IFERROR(--RIGHT(B2322,6),LEN(B2322))*0.0071))*43758.5453,1),"")</f>
        <v/>
      </c>
      <c r="E2322" s="0" t="str">
        <f aca="false">IF(C2322=1,INT(MOD(ABS(SIN(D2322*7919.123+ROW()*0.618+'הדבקת לידים'!$F$2*1.3))*43758.5453,1)*1000000)*10000+ROW(),"")</f>
        <v/>
      </c>
      <c r="F2322" s="0" t="str">
        <f aca="false">IF(E2322="","",RANK(E2322,$E$2:$E$5001,1))</f>
        <v/>
      </c>
      <c r="G2322" s="0" t="n">
        <f aca="false">IF(A2322="",0,IF(SUMPRODUCT(--($A$2:$A$5001=A2322))&gt;1,1,0))</f>
        <v>0</v>
      </c>
      <c r="H2322" s="0" t="n">
        <f aca="false">ROW()-1</f>
        <v>2321</v>
      </c>
      <c r="I2322" s="0" t="str">
        <f aca="false">IF(OR(הגדרות!$E$6=0,H2322&gt;הגדרות!$E$5),"",IF(H2322-1&lt;הגדרות!$E$8*(הגדרות!$E$7+1),INT((H2322-1)/(הגדרות!$E$7+1)),הגדרות!$E$8+INT((H2322-1-הגדרות!$E$8*(הגדרות!$E$7+1))/הגדרות!$E$7)))</f>
        <v/>
      </c>
      <c r="J2322" s="0" t="str">
        <f aca="false">IF(I2322="","",IF(H2322-1&lt;הגדרות!$E$8*(הגדרות!$E$7+1),MOD(H2322-1,הגדרות!$E$7+1),MOD(H2322-1-הגדרות!$E$8*(הגדרות!$E$7+1),הגדרות!$E$7)))</f>
        <v/>
      </c>
      <c r="K2322" s="0" t="str">
        <f aca="false">IF(I2322="","",J2322*הגדרות!$E$6+I2322+1)</f>
        <v/>
      </c>
      <c r="L2322" s="0" t="str">
        <f aca="false">IF(K2322="","",MATCH(K2322,$F$2:$F$5001,0))</f>
        <v/>
      </c>
      <c r="M2322" s="0" t="str">
        <f aca="false">IF(I2322="","",INDEX(הגדרות!$A$2:$A$21,MOD(I2322+הגדרות!$E$9,הגדרות!$E$6)+1))</f>
        <v/>
      </c>
    </row>
    <row r="2323" customFormat="false" ht="15" hidden="false" customHeight="false" outlineLevel="0" collapsed="false">
      <c r="A2323" s="0" t="str">
        <f aca="false">IF('הדבקת לידים'!A2323="","",IF(ISNUMBER('הדבקת לידים'!A2323),IF(הגדרות!$E$2&gt;0,TEXT('הדבקת לידים'!A2323,REPT("0",הגדרות!$E$2)),TEXT('הדבקת לידים'!A2323,"0")),TRIM('הדבקת לידים'!A2323)))</f>
        <v/>
      </c>
      <c r="B2323" s="0" t="str">
        <f aca="false">IF('הדבקת לידים'!B2323="","",IF(ISNUMBER('הדבקת לידים'!B2323),IF(הגדרות!$E$3&gt;0,TEXT('הדבקת לידים'!B2323,REPT("0",הגדרות!$E$3)),TEXT('הדבקת לידים'!B2323,"0")),TRIM('הדבקת לידים'!B2323)))</f>
        <v/>
      </c>
      <c r="C2323" s="0" t="n">
        <f aca="false">IF(OR(A2323&lt;&gt;"",B2323&lt;&gt;""),1,0)</f>
        <v>0</v>
      </c>
      <c r="D2323" s="0" t="str">
        <f aca="false">IF(C2323=1,MOD(ABS(SIN(ROW()*12.9898+'הדבקת לידים'!$F$2*78.233+IFERROR(--RIGHT(A2323,6),LEN(A2323))*0.0137+IFERROR(--RIGHT(B2323,6),LEN(B2323))*0.0071))*43758.5453,1),"")</f>
        <v/>
      </c>
      <c r="E2323" s="0" t="str">
        <f aca="false">IF(C2323=1,INT(MOD(ABS(SIN(D2323*7919.123+ROW()*0.618+'הדבקת לידים'!$F$2*1.3))*43758.5453,1)*1000000)*10000+ROW(),"")</f>
        <v/>
      </c>
      <c r="F2323" s="0" t="str">
        <f aca="false">IF(E2323="","",RANK(E2323,$E$2:$E$5001,1))</f>
        <v/>
      </c>
      <c r="G2323" s="0" t="n">
        <f aca="false">IF(A2323="",0,IF(SUMPRODUCT(--($A$2:$A$5001=A2323))&gt;1,1,0))</f>
        <v>0</v>
      </c>
      <c r="H2323" s="0" t="n">
        <f aca="false">ROW()-1</f>
        <v>2322</v>
      </c>
      <c r="I2323" s="0" t="str">
        <f aca="false">IF(OR(הגדרות!$E$6=0,H2323&gt;הגדרות!$E$5),"",IF(H2323-1&lt;הגדרות!$E$8*(הגדרות!$E$7+1),INT((H2323-1)/(הגדרות!$E$7+1)),הגדרות!$E$8+INT((H2323-1-הגדרות!$E$8*(הגדרות!$E$7+1))/הגדרות!$E$7)))</f>
        <v/>
      </c>
      <c r="J2323" s="0" t="str">
        <f aca="false">IF(I2323="","",IF(H2323-1&lt;הגדרות!$E$8*(הגדרות!$E$7+1),MOD(H2323-1,הגדרות!$E$7+1),MOD(H2323-1-הגדרות!$E$8*(הגדרות!$E$7+1),הגדרות!$E$7)))</f>
        <v/>
      </c>
      <c r="K2323" s="0" t="str">
        <f aca="false">IF(I2323="","",J2323*הגדרות!$E$6+I2323+1)</f>
        <v/>
      </c>
      <c r="L2323" s="0" t="str">
        <f aca="false">IF(K2323="","",MATCH(K2323,$F$2:$F$5001,0))</f>
        <v/>
      </c>
      <c r="M2323" s="0" t="str">
        <f aca="false">IF(I2323="","",INDEX(הגדרות!$A$2:$A$21,MOD(I2323+הגדרות!$E$9,הגדרות!$E$6)+1))</f>
        <v/>
      </c>
    </row>
    <row r="2324" customFormat="false" ht="15" hidden="false" customHeight="false" outlineLevel="0" collapsed="false">
      <c r="A2324" s="0" t="str">
        <f aca="false">IF('הדבקת לידים'!A2324="","",IF(ISNUMBER('הדבקת לידים'!A2324),IF(הגדרות!$E$2&gt;0,TEXT('הדבקת לידים'!A2324,REPT("0",הגדרות!$E$2)),TEXT('הדבקת לידים'!A2324,"0")),TRIM('הדבקת לידים'!A2324)))</f>
        <v/>
      </c>
      <c r="B2324" s="0" t="str">
        <f aca="false">IF('הדבקת לידים'!B2324="","",IF(ISNUMBER('הדבקת לידים'!B2324),IF(הגדרות!$E$3&gt;0,TEXT('הדבקת לידים'!B2324,REPT("0",הגדרות!$E$3)),TEXT('הדבקת לידים'!B2324,"0")),TRIM('הדבקת לידים'!B2324)))</f>
        <v/>
      </c>
      <c r="C2324" s="0" t="n">
        <f aca="false">IF(OR(A2324&lt;&gt;"",B2324&lt;&gt;""),1,0)</f>
        <v>0</v>
      </c>
      <c r="D2324" s="0" t="str">
        <f aca="false">IF(C2324=1,MOD(ABS(SIN(ROW()*12.9898+'הדבקת לידים'!$F$2*78.233+IFERROR(--RIGHT(A2324,6),LEN(A2324))*0.0137+IFERROR(--RIGHT(B2324,6),LEN(B2324))*0.0071))*43758.5453,1),"")</f>
        <v/>
      </c>
      <c r="E2324" s="0" t="str">
        <f aca="false">IF(C2324=1,INT(MOD(ABS(SIN(D2324*7919.123+ROW()*0.618+'הדבקת לידים'!$F$2*1.3))*43758.5453,1)*1000000)*10000+ROW(),"")</f>
        <v/>
      </c>
      <c r="F2324" s="0" t="str">
        <f aca="false">IF(E2324="","",RANK(E2324,$E$2:$E$5001,1))</f>
        <v/>
      </c>
      <c r="G2324" s="0" t="n">
        <f aca="false">IF(A2324="",0,IF(SUMPRODUCT(--($A$2:$A$5001=A2324))&gt;1,1,0))</f>
        <v>0</v>
      </c>
      <c r="H2324" s="0" t="n">
        <f aca="false">ROW()-1</f>
        <v>2323</v>
      </c>
      <c r="I2324" s="0" t="str">
        <f aca="false">IF(OR(הגדרות!$E$6=0,H2324&gt;הגדרות!$E$5),"",IF(H2324-1&lt;הגדרות!$E$8*(הגדרות!$E$7+1),INT((H2324-1)/(הגדרות!$E$7+1)),הגדרות!$E$8+INT((H2324-1-הגדרות!$E$8*(הגדרות!$E$7+1))/הגדרות!$E$7)))</f>
        <v/>
      </c>
      <c r="J2324" s="0" t="str">
        <f aca="false">IF(I2324="","",IF(H2324-1&lt;הגדרות!$E$8*(הגדרות!$E$7+1),MOD(H2324-1,הגדרות!$E$7+1),MOD(H2324-1-הגדרות!$E$8*(הגדרות!$E$7+1),הגדרות!$E$7)))</f>
        <v/>
      </c>
      <c r="K2324" s="0" t="str">
        <f aca="false">IF(I2324="","",J2324*הגדרות!$E$6+I2324+1)</f>
        <v/>
      </c>
      <c r="L2324" s="0" t="str">
        <f aca="false">IF(K2324="","",MATCH(K2324,$F$2:$F$5001,0))</f>
        <v/>
      </c>
      <c r="M2324" s="0" t="str">
        <f aca="false">IF(I2324="","",INDEX(הגדרות!$A$2:$A$21,MOD(I2324+הגדרות!$E$9,הגדרות!$E$6)+1))</f>
        <v/>
      </c>
    </row>
    <row r="2325" customFormat="false" ht="15" hidden="false" customHeight="false" outlineLevel="0" collapsed="false">
      <c r="A2325" s="0" t="str">
        <f aca="false">IF('הדבקת לידים'!A2325="","",IF(ISNUMBER('הדבקת לידים'!A2325),IF(הגדרות!$E$2&gt;0,TEXT('הדבקת לידים'!A2325,REPT("0",הגדרות!$E$2)),TEXT('הדבקת לידים'!A2325,"0")),TRIM('הדבקת לידים'!A2325)))</f>
        <v/>
      </c>
      <c r="B2325" s="0" t="str">
        <f aca="false">IF('הדבקת לידים'!B2325="","",IF(ISNUMBER('הדבקת לידים'!B2325),IF(הגדרות!$E$3&gt;0,TEXT('הדבקת לידים'!B2325,REPT("0",הגדרות!$E$3)),TEXT('הדבקת לידים'!B2325,"0")),TRIM('הדבקת לידים'!B2325)))</f>
        <v/>
      </c>
      <c r="C2325" s="0" t="n">
        <f aca="false">IF(OR(A2325&lt;&gt;"",B2325&lt;&gt;""),1,0)</f>
        <v>0</v>
      </c>
      <c r="D2325" s="0" t="str">
        <f aca="false">IF(C2325=1,MOD(ABS(SIN(ROW()*12.9898+'הדבקת לידים'!$F$2*78.233+IFERROR(--RIGHT(A2325,6),LEN(A2325))*0.0137+IFERROR(--RIGHT(B2325,6),LEN(B2325))*0.0071))*43758.5453,1),"")</f>
        <v/>
      </c>
      <c r="E2325" s="0" t="str">
        <f aca="false">IF(C2325=1,INT(MOD(ABS(SIN(D2325*7919.123+ROW()*0.618+'הדבקת לידים'!$F$2*1.3))*43758.5453,1)*1000000)*10000+ROW(),"")</f>
        <v/>
      </c>
      <c r="F2325" s="0" t="str">
        <f aca="false">IF(E2325="","",RANK(E2325,$E$2:$E$5001,1))</f>
        <v/>
      </c>
      <c r="G2325" s="0" t="n">
        <f aca="false">IF(A2325="",0,IF(SUMPRODUCT(--($A$2:$A$5001=A2325))&gt;1,1,0))</f>
        <v>0</v>
      </c>
      <c r="H2325" s="0" t="n">
        <f aca="false">ROW()-1</f>
        <v>2324</v>
      </c>
      <c r="I2325" s="0" t="str">
        <f aca="false">IF(OR(הגדרות!$E$6=0,H2325&gt;הגדרות!$E$5),"",IF(H2325-1&lt;הגדרות!$E$8*(הגדרות!$E$7+1),INT((H2325-1)/(הגדרות!$E$7+1)),הגדרות!$E$8+INT((H2325-1-הגדרות!$E$8*(הגדרות!$E$7+1))/הגדרות!$E$7)))</f>
        <v/>
      </c>
      <c r="J2325" s="0" t="str">
        <f aca="false">IF(I2325="","",IF(H2325-1&lt;הגדרות!$E$8*(הגדרות!$E$7+1),MOD(H2325-1,הגדרות!$E$7+1),MOD(H2325-1-הגדרות!$E$8*(הגדרות!$E$7+1),הגדרות!$E$7)))</f>
        <v/>
      </c>
      <c r="K2325" s="0" t="str">
        <f aca="false">IF(I2325="","",J2325*הגדרות!$E$6+I2325+1)</f>
        <v/>
      </c>
      <c r="L2325" s="0" t="str">
        <f aca="false">IF(K2325="","",MATCH(K2325,$F$2:$F$5001,0))</f>
        <v/>
      </c>
      <c r="M2325" s="0" t="str">
        <f aca="false">IF(I2325="","",INDEX(הגדרות!$A$2:$A$21,MOD(I2325+הגדרות!$E$9,הגדרות!$E$6)+1))</f>
        <v/>
      </c>
    </row>
    <row r="2326" customFormat="false" ht="15" hidden="false" customHeight="false" outlineLevel="0" collapsed="false">
      <c r="A2326" s="0" t="str">
        <f aca="false">IF('הדבקת לידים'!A2326="","",IF(ISNUMBER('הדבקת לידים'!A2326),IF(הגדרות!$E$2&gt;0,TEXT('הדבקת לידים'!A2326,REPT("0",הגדרות!$E$2)),TEXT('הדבקת לידים'!A2326,"0")),TRIM('הדבקת לידים'!A2326)))</f>
        <v/>
      </c>
      <c r="B2326" s="0" t="str">
        <f aca="false">IF('הדבקת לידים'!B2326="","",IF(ISNUMBER('הדבקת לידים'!B2326),IF(הגדרות!$E$3&gt;0,TEXT('הדבקת לידים'!B2326,REPT("0",הגדרות!$E$3)),TEXT('הדבקת לידים'!B2326,"0")),TRIM('הדבקת לידים'!B2326)))</f>
        <v/>
      </c>
      <c r="C2326" s="0" t="n">
        <f aca="false">IF(OR(A2326&lt;&gt;"",B2326&lt;&gt;""),1,0)</f>
        <v>0</v>
      </c>
      <c r="D2326" s="0" t="str">
        <f aca="false">IF(C2326=1,MOD(ABS(SIN(ROW()*12.9898+'הדבקת לידים'!$F$2*78.233+IFERROR(--RIGHT(A2326,6),LEN(A2326))*0.0137+IFERROR(--RIGHT(B2326,6),LEN(B2326))*0.0071))*43758.5453,1),"")</f>
        <v/>
      </c>
      <c r="E2326" s="0" t="str">
        <f aca="false">IF(C2326=1,INT(MOD(ABS(SIN(D2326*7919.123+ROW()*0.618+'הדבקת לידים'!$F$2*1.3))*43758.5453,1)*1000000)*10000+ROW(),"")</f>
        <v/>
      </c>
      <c r="F2326" s="0" t="str">
        <f aca="false">IF(E2326="","",RANK(E2326,$E$2:$E$5001,1))</f>
        <v/>
      </c>
      <c r="G2326" s="0" t="n">
        <f aca="false">IF(A2326="",0,IF(SUMPRODUCT(--($A$2:$A$5001=A2326))&gt;1,1,0))</f>
        <v>0</v>
      </c>
      <c r="H2326" s="0" t="n">
        <f aca="false">ROW()-1</f>
        <v>2325</v>
      </c>
      <c r="I2326" s="0" t="str">
        <f aca="false">IF(OR(הגדרות!$E$6=0,H2326&gt;הגדרות!$E$5),"",IF(H2326-1&lt;הגדרות!$E$8*(הגדרות!$E$7+1),INT((H2326-1)/(הגדרות!$E$7+1)),הגדרות!$E$8+INT((H2326-1-הגדרות!$E$8*(הגדרות!$E$7+1))/הגדרות!$E$7)))</f>
        <v/>
      </c>
      <c r="J2326" s="0" t="str">
        <f aca="false">IF(I2326="","",IF(H2326-1&lt;הגדרות!$E$8*(הגדרות!$E$7+1),MOD(H2326-1,הגדרות!$E$7+1),MOD(H2326-1-הגדרות!$E$8*(הגדרות!$E$7+1),הגדרות!$E$7)))</f>
        <v/>
      </c>
      <c r="K2326" s="0" t="str">
        <f aca="false">IF(I2326="","",J2326*הגדרות!$E$6+I2326+1)</f>
        <v/>
      </c>
      <c r="L2326" s="0" t="str">
        <f aca="false">IF(K2326="","",MATCH(K2326,$F$2:$F$5001,0))</f>
        <v/>
      </c>
      <c r="M2326" s="0" t="str">
        <f aca="false">IF(I2326="","",INDEX(הגדרות!$A$2:$A$21,MOD(I2326+הגדרות!$E$9,הגדרות!$E$6)+1))</f>
        <v/>
      </c>
    </row>
    <row r="2327" customFormat="false" ht="15" hidden="false" customHeight="false" outlineLevel="0" collapsed="false">
      <c r="A2327" s="0" t="str">
        <f aca="false">IF('הדבקת לידים'!A2327="","",IF(ISNUMBER('הדבקת לידים'!A2327),IF(הגדרות!$E$2&gt;0,TEXT('הדבקת לידים'!A2327,REPT("0",הגדרות!$E$2)),TEXT('הדבקת לידים'!A2327,"0")),TRIM('הדבקת לידים'!A2327)))</f>
        <v/>
      </c>
      <c r="B2327" s="0" t="str">
        <f aca="false">IF('הדבקת לידים'!B2327="","",IF(ISNUMBER('הדבקת לידים'!B2327),IF(הגדרות!$E$3&gt;0,TEXT('הדבקת לידים'!B2327,REPT("0",הגדרות!$E$3)),TEXT('הדבקת לידים'!B2327,"0")),TRIM('הדבקת לידים'!B2327)))</f>
        <v/>
      </c>
      <c r="C2327" s="0" t="n">
        <f aca="false">IF(OR(A2327&lt;&gt;"",B2327&lt;&gt;""),1,0)</f>
        <v>0</v>
      </c>
      <c r="D2327" s="0" t="str">
        <f aca="false">IF(C2327=1,MOD(ABS(SIN(ROW()*12.9898+'הדבקת לידים'!$F$2*78.233+IFERROR(--RIGHT(A2327,6),LEN(A2327))*0.0137+IFERROR(--RIGHT(B2327,6),LEN(B2327))*0.0071))*43758.5453,1),"")</f>
        <v/>
      </c>
      <c r="E2327" s="0" t="str">
        <f aca="false">IF(C2327=1,INT(MOD(ABS(SIN(D2327*7919.123+ROW()*0.618+'הדבקת לידים'!$F$2*1.3))*43758.5453,1)*1000000)*10000+ROW(),"")</f>
        <v/>
      </c>
      <c r="F2327" s="0" t="str">
        <f aca="false">IF(E2327="","",RANK(E2327,$E$2:$E$5001,1))</f>
        <v/>
      </c>
      <c r="G2327" s="0" t="n">
        <f aca="false">IF(A2327="",0,IF(SUMPRODUCT(--($A$2:$A$5001=A2327))&gt;1,1,0))</f>
        <v>0</v>
      </c>
      <c r="H2327" s="0" t="n">
        <f aca="false">ROW()-1</f>
        <v>2326</v>
      </c>
      <c r="I2327" s="0" t="str">
        <f aca="false">IF(OR(הגדרות!$E$6=0,H2327&gt;הגדרות!$E$5),"",IF(H2327-1&lt;הגדרות!$E$8*(הגדרות!$E$7+1),INT((H2327-1)/(הגדרות!$E$7+1)),הגדרות!$E$8+INT((H2327-1-הגדרות!$E$8*(הגדרות!$E$7+1))/הגדרות!$E$7)))</f>
        <v/>
      </c>
      <c r="J2327" s="0" t="str">
        <f aca="false">IF(I2327="","",IF(H2327-1&lt;הגדרות!$E$8*(הגדרות!$E$7+1),MOD(H2327-1,הגדרות!$E$7+1),MOD(H2327-1-הגדרות!$E$8*(הגדרות!$E$7+1),הגדרות!$E$7)))</f>
        <v/>
      </c>
      <c r="K2327" s="0" t="str">
        <f aca="false">IF(I2327="","",J2327*הגדרות!$E$6+I2327+1)</f>
        <v/>
      </c>
      <c r="L2327" s="0" t="str">
        <f aca="false">IF(K2327="","",MATCH(K2327,$F$2:$F$5001,0))</f>
        <v/>
      </c>
      <c r="M2327" s="0" t="str">
        <f aca="false">IF(I2327="","",INDEX(הגדרות!$A$2:$A$21,MOD(I2327+הגדרות!$E$9,הגדרות!$E$6)+1))</f>
        <v/>
      </c>
    </row>
    <row r="2328" customFormat="false" ht="15" hidden="false" customHeight="false" outlineLevel="0" collapsed="false">
      <c r="A2328" s="0" t="str">
        <f aca="false">IF('הדבקת לידים'!A2328="","",IF(ISNUMBER('הדבקת לידים'!A2328),IF(הגדרות!$E$2&gt;0,TEXT('הדבקת לידים'!A2328,REPT("0",הגדרות!$E$2)),TEXT('הדבקת לידים'!A2328,"0")),TRIM('הדבקת לידים'!A2328)))</f>
        <v/>
      </c>
      <c r="B2328" s="0" t="str">
        <f aca="false">IF('הדבקת לידים'!B2328="","",IF(ISNUMBER('הדבקת לידים'!B2328),IF(הגדרות!$E$3&gt;0,TEXT('הדבקת לידים'!B2328,REPT("0",הגדרות!$E$3)),TEXT('הדבקת לידים'!B2328,"0")),TRIM('הדבקת לידים'!B2328)))</f>
        <v/>
      </c>
      <c r="C2328" s="0" t="n">
        <f aca="false">IF(OR(A2328&lt;&gt;"",B2328&lt;&gt;""),1,0)</f>
        <v>0</v>
      </c>
      <c r="D2328" s="0" t="str">
        <f aca="false">IF(C2328=1,MOD(ABS(SIN(ROW()*12.9898+'הדבקת לידים'!$F$2*78.233+IFERROR(--RIGHT(A2328,6),LEN(A2328))*0.0137+IFERROR(--RIGHT(B2328,6),LEN(B2328))*0.0071))*43758.5453,1),"")</f>
        <v/>
      </c>
      <c r="E2328" s="0" t="str">
        <f aca="false">IF(C2328=1,INT(MOD(ABS(SIN(D2328*7919.123+ROW()*0.618+'הדבקת לידים'!$F$2*1.3))*43758.5453,1)*1000000)*10000+ROW(),"")</f>
        <v/>
      </c>
      <c r="F2328" s="0" t="str">
        <f aca="false">IF(E2328="","",RANK(E2328,$E$2:$E$5001,1))</f>
        <v/>
      </c>
      <c r="G2328" s="0" t="n">
        <f aca="false">IF(A2328="",0,IF(SUMPRODUCT(--($A$2:$A$5001=A2328))&gt;1,1,0))</f>
        <v>0</v>
      </c>
      <c r="H2328" s="0" t="n">
        <f aca="false">ROW()-1</f>
        <v>2327</v>
      </c>
      <c r="I2328" s="0" t="str">
        <f aca="false">IF(OR(הגדרות!$E$6=0,H2328&gt;הגדרות!$E$5),"",IF(H2328-1&lt;הגדרות!$E$8*(הגדרות!$E$7+1),INT((H2328-1)/(הגדרות!$E$7+1)),הגדרות!$E$8+INT((H2328-1-הגדרות!$E$8*(הגדרות!$E$7+1))/הגדרות!$E$7)))</f>
        <v/>
      </c>
      <c r="J2328" s="0" t="str">
        <f aca="false">IF(I2328="","",IF(H2328-1&lt;הגדרות!$E$8*(הגדרות!$E$7+1),MOD(H2328-1,הגדרות!$E$7+1),MOD(H2328-1-הגדרות!$E$8*(הגדרות!$E$7+1),הגדרות!$E$7)))</f>
        <v/>
      </c>
      <c r="K2328" s="0" t="str">
        <f aca="false">IF(I2328="","",J2328*הגדרות!$E$6+I2328+1)</f>
        <v/>
      </c>
      <c r="L2328" s="0" t="str">
        <f aca="false">IF(K2328="","",MATCH(K2328,$F$2:$F$5001,0))</f>
        <v/>
      </c>
      <c r="M2328" s="0" t="str">
        <f aca="false">IF(I2328="","",INDEX(הגדרות!$A$2:$A$21,MOD(I2328+הגדרות!$E$9,הגדרות!$E$6)+1))</f>
        <v/>
      </c>
    </row>
    <row r="2329" customFormat="false" ht="15" hidden="false" customHeight="false" outlineLevel="0" collapsed="false">
      <c r="A2329" s="0" t="str">
        <f aca="false">IF('הדבקת לידים'!A2329="","",IF(ISNUMBER('הדבקת לידים'!A2329),IF(הגדרות!$E$2&gt;0,TEXT('הדבקת לידים'!A2329,REPT("0",הגדרות!$E$2)),TEXT('הדבקת לידים'!A2329,"0")),TRIM('הדבקת לידים'!A2329)))</f>
        <v/>
      </c>
      <c r="B2329" s="0" t="str">
        <f aca="false">IF('הדבקת לידים'!B2329="","",IF(ISNUMBER('הדבקת לידים'!B2329),IF(הגדרות!$E$3&gt;0,TEXT('הדבקת לידים'!B2329,REPT("0",הגדרות!$E$3)),TEXT('הדבקת לידים'!B2329,"0")),TRIM('הדבקת לידים'!B2329)))</f>
        <v/>
      </c>
      <c r="C2329" s="0" t="n">
        <f aca="false">IF(OR(A2329&lt;&gt;"",B2329&lt;&gt;""),1,0)</f>
        <v>0</v>
      </c>
      <c r="D2329" s="0" t="str">
        <f aca="false">IF(C2329=1,MOD(ABS(SIN(ROW()*12.9898+'הדבקת לידים'!$F$2*78.233+IFERROR(--RIGHT(A2329,6),LEN(A2329))*0.0137+IFERROR(--RIGHT(B2329,6),LEN(B2329))*0.0071))*43758.5453,1),"")</f>
        <v/>
      </c>
      <c r="E2329" s="0" t="str">
        <f aca="false">IF(C2329=1,INT(MOD(ABS(SIN(D2329*7919.123+ROW()*0.618+'הדבקת לידים'!$F$2*1.3))*43758.5453,1)*1000000)*10000+ROW(),"")</f>
        <v/>
      </c>
      <c r="F2329" s="0" t="str">
        <f aca="false">IF(E2329="","",RANK(E2329,$E$2:$E$5001,1))</f>
        <v/>
      </c>
      <c r="G2329" s="0" t="n">
        <f aca="false">IF(A2329="",0,IF(SUMPRODUCT(--($A$2:$A$5001=A2329))&gt;1,1,0))</f>
        <v>0</v>
      </c>
      <c r="H2329" s="0" t="n">
        <f aca="false">ROW()-1</f>
        <v>2328</v>
      </c>
      <c r="I2329" s="0" t="str">
        <f aca="false">IF(OR(הגדרות!$E$6=0,H2329&gt;הגדרות!$E$5),"",IF(H2329-1&lt;הגדרות!$E$8*(הגדרות!$E$7+1),INT((H2329-1)/(הגדרות!$E$7+1)),הגדרות!$E$8+INT((H2329-1-הגדרות!$E$8*(הגדרות!$E$7+1))/הגדרות!$E$7)))</f>
        <v/>
      </c>
      <c r="J2329" s="0" t="str">
        <f aca="false">IF(I2329="","",IF(H2329-1&lt;הגדרות!$E$8*(הגדרות!$E$7+1),MOD(H2329-1,הגדרות!$E$7+1),MOD(H2329-1-הגדרות!$E$8*(הגדרות!$E$7+1),הגדרות!$E$7)))</f>
        <v/>
      </c>
      <c r="K2329" s="0" t="str">
        <f aca="false">IF(I2329="","",J2329*הגדרות!$E$6+I2329+1)</f>
        <v/>
      </c>
      <c r="L2329" s="0" t="str">
        <f aca="false">IF(K2329="","",MATCH(K2329,$F$2:$F$5001,0))</f>
        <v/>
      </c>
      <c r="M2329" s="0" t="str">
        <f aca="false">IF(I2329="","",INDEX(הגדרות!$A$2:$A$21,MOD(I2329+הגדרות!$E$9,הגדרות!$E$6)+1))</f>
        <v/>
      </c>
    </row>
    <row r="2330" customFormat="false" ht="15" hidden="false" customHeight="false" outlineLevel="0" collapsed="false">
      <c r="A2330" s="0" t="str">
        <f aca="false">IF('הדבקת לידים'!A2330="","",IF(ISNUMBER('הדבקת לידים'!A2330),IF(הגדרות!$E$2&gt;0,TEXT('הדבקת לידים'!A2330,REPT("0",הגדרות!$E$2)),TEXT('הדבקת לידים'!A2330,"0")),TRIM('הדבקת לידים'!A2330)))</f>
        <v/>
      </c>
      <c r="B2330" s="0" t="str">
        <f aca="false">IF('הדבקת לידים'!B2330="","",IF(ISNUMBER('הדבקת לידים'!B2330),IF(הגדרות!$E$3&gt;0,TEXT('הדבקת לידים'!B2330,REPT("0",הגדרות!$E$3)),TEXT('הדבקת לידים'!B2330,"0")),TRIM('הדבקת לידים'!B2330)))</f>
        <v/>
      </c>
      <c r="C2330" s="0" t="n">
        <f aca="false">IF(OR(A2330&lt;&gt;"",B2330&lt;&gt;""),1,0)</f>
        <v>0</v>
      </c>
      <c r="D2330" s="0" t="str">
        <f aca="false">IF(C2330=1,MOD(ABS(SIN(ROW()*12.9898+'הדבקת לידים'!$F$2*78.233+IFERROR(--RIGHT(A2330,6),LEN(A2330))*0.0137+IFERROR(--RIGHT(B2330,6),LEN(B2330))*0.0071))*43758.5453,1),"")</f>
        <v/>
      </c>
      <c r="E2330" s="0" t="str">
        <f aca="false">IF(C2330=1,INT(MOD(ABS(SIN(D2330*7919.123+ROW()*0.618+'הדבקת לידים'!$F$2*1.3))*43758.5453,1)*1000000)*10000+ROW(),"")</f>
        <v/>
      </c>
      <c r="F2330" s="0" t="str">
        <f aca="false">IF(E2330="","",RANK(E2330,$E$2:$E$5001,1))</f>
        <v/>
      </c>
      <c r="G2330" s="0" t="n">
        <f aca="false">IF(A2330="",0,IF(SUMPRODUCT(--($A$2:$A$5001=A2330))&gt;1,1,0))</f>
        <v>0</v>
      </c>
      <c r="H2330" s="0" t="n">
        <f aca="false">ROW()-1</f>
        <v>2329</v>
      </c>
      <c r="I2330" s="0" t="str">
        <f aca="false">IF(OR(הגדרות!$E$6=0,H2330&gt;הגדרות!$E$5),"",IF(H2330-1&lt;הגדרות!$E$8*(הגדרות!$E$7+1),INT((H2330-1)/(הגדרות!$E$7+1)),הגדרות!$E$8+INT((H2330-1-הגדרות!$E$8*(הגדרות!$E$7+1))/הגדרות!$E$7)))</f>
        <v/>
      </c>
      <c r="J2330" s="0" t="str">
        <f aca="false">IF(I2330="","",IF(H2330-1&lt;הגדרות!$E$8*(הגדרות!$E$7+1),MOD(H2330-1,הגדרות!$E$7+1),MOD(H2330-1-הגדרות!$E$8*(הגדרות!$E$7+1),הגדרות!$E$7)))</f>
        <v/>
      </c>
      <c r="K2330" s="0" t="str">
        <f aca="false">IF(I2330="","",J2330*הגדרות!$E$6+I2330+1)</f>
        <v/>
      </c>
      <c r="L2330" s="0" t="str">
        <f aca="false">IF(K2330="","",MATCH(K2330,$F$2:$F$5001,0))</f>
        <v/>
      </c>
      <c r="M2330" s="0" t="str">
        <f aca="false">IF(I2330="","",INDEX(הגדרות!$A$2:$A$21,MOD(I2330+הגדרות!$E$9,הגדרות!$E$6)+1))</f>
        <v/>
      </c>
    </row>
    <row r="2331" customFormat="false" ht="15" hidden="false" customHeight="false" outlineLevel="0" collapsed="false">
      <c r="A2331" s="0" t="str">
        <f aca="false">IF('הדבקת לידים'!A2331="","",IF(ISNUMBER('הדבקת לידים'!A2331),IF(הגדרות!$E$2&gt;0,TEXT('הדבקת לידים'!A2331,REPT("0",הגדרות!$E$2)),TEXT('הדבקת לידים'!A2331,"0")),TRIM('הדבקת לידים'!A2331)))</f>
        <v/>
      </c>
      <c r="B2331" s="0" t="str">
        <f aca="false">IF('הדבקת לידים'!B2331="","",IF(ISNUMBER('הדבקת לידים'!B2331),IF(הגדרות!$E$3&gt;0,TEXT('הדבקת לידים'!B2331,REPT("0",הגדרות!$E$3)),TEXT('הדבקת לידים'!B2331,"0")),TRIM('הדבקת לידים'!B2331)))</f>
        <v/>
      </c>
      <c r="C2331" s="0" t="n">
        <f aca="false">IF(OR(A2331&lt;&gt;"",B2331&lt;&gt;""),1,0)</f>
        <v>0</v>
      </c>
      <c r="D2331" s="0" t="str">
        <f aca="false">IF(C2331=1,MOD(ABS(SIN(ROW()*12.9898+'הדבקת לידים'!$F$2*78.233+IFERROR(--RIGHT(A2331,6),LEN(A2331))*0.0137+IFERROR(--RIGHT(B2331,6),LEN(B2331))*0.0071))*43758.5453,1),"")</f>
        <v/>
      </c>
      <c r="E2331" s="0" t="str">
        <f aca="false">IF(C2331=1,INT(MOD(ABS(SIN(D2331*7919.123+ROW()*0.618+'הדבקת לידים'!$F$2*1.3))*43758.5453,1)*1000000)*10000+ROW(),"")</f>
        <v/>
      </c>
      <c r="F2331" s="0" t="str">
        <f aca="false">IF(E2331="","",RANK(E2331,$E$2:$E$5001,1))</f>
        <v/>
      </c>
      <c r="G2331" s="0" t="n">
        <f aca="false">IF(A2331="",0,IF(SUMPRODUCT(--($A$2:$A$5001=A2331))&gt;1,1,0))</f>
        <v>0</v>
      </c>
      <c r="H2331" s="0" t="n">
        <f aca="false">ROW()-1</f>
        <v>2330</v>
      </c>
      <c r="I2331" s="0" t="str">
        <f aca="false">IF(OR(הגדרות!$E$6=0,H2331&gt;הגדרות!$E$5),"",IF(H2331-1&lt;הגדרות!$E$8*(הגדרות!$E$7+1),INT((H2331-1)/(הגדרות!$E$7+1)),הגדרות!$E$8+INT((H2331-1-הגדרות!$E$8*(הגדרות!$E$7+1))/הגדרות!$E$7)))</f>
        <v/>
      </c>
      <c r="J2331" s="0" t="str">
        <f aca="false">IF(I2331="","",IF(H2331-1&lt;הגדרות!$E$8*(הגדרות!$E$7+1),MOD(H2331-1,הגדרות!$E$7+1),MOD(H2331-1-הגדרות!$E$8*(הגדרות!$E$7+1),הגדרות!$E$7)))</f>
        <v/>
      </c>
      <c r="K2331" s="0" t="str">
        <f aca="false">IF(I2331="","",J2331*הגדרות!$E$6+I2331+1)</f>
        <v/>
      </c>
      <c r="L2331" s="0" t="str">
        <f aca="false">IF(K2331="","",MATCH(K2331,$F$2:$F$5001,0))</f>
        <v/>
      </c>
      <c r="M2331" s="0" t="str">
        <f aca="false">IF(I2331="","",INDEX(הגדרות!$A$2:$A$21,MOD(I2331+הגדרות!$E$9,הגדרות!$E$6)+1))</f>
        <v/>
      </c>
    </row>
    <row r="2332" customFormat="false" ht="15" hidden="false" customHeight="false" outlineLevel="0" collapsed="false">
      <c r="A2332" s="0" t="str">
        <f aca="false">IF('הדבקת לידים'!A2332="","",IF(ISNUMBER('הדבקת לידים'!A2332),IF(הגדרות!$E$2&gt;0,TEXT('הדבקת לידים'!A2332,REPT("0",הגדרות!$E$2)),TEXT('הדבקת לידים'!A2332,"0")),TRIM('הדבקת לידים'!A2332)))</f>
        <v/>
      </c>
      <c r="B2332" s="0" t="str">
        <f aca="false">IF('הדבקת לידים'!B2332="","",IF(ISNUMBER('הדבקת לידים'!B2332),IF(הגדרות!$E$3&gt;0,TEXT('הדבקת לידים'!B2332,REPT("0",הגדרות!$E$3)),TEXT('הדבקת לידים'!B2332,"0")),TRIM('הדבקת לידים'!B2332)))</f>
        <v/>
      </c>
      <c r="C2332" s="0" t="n">
        <f aca="false">IF(OR(A2332&lt;&gt;"",B2332&lt;&gt;""),1,0)</f>
        <v>0</v>
      </c>
      <c r="D2332" s="0" t="str">
        <f aca="false">IF(C2332=1,MOD(ABS(SIN(ROW()*12.9898+'הדבקת לידים'!$F$2*78.233+IFERROR(--RIGHT(A2332,6),LEN(A2332))*0.0137+IFERROR(--RIGHT(B2332,6),LEN(B2332))*0.0071))*43758.5453,1),"")</f>
        <v/>
      </c>
      <c r="E2332" s="0" t="str">
        <f aca="false">IF(C2332=1,INT(MOD(ABS(SIN(D2332*7919.123+ROW()*0.618+'הדבקת לידים'!$F$2*1.3))*43758.5453,1)*1000000)*10000+ROW(),"")</f>
        <v/>
      </c>
      <c r="F2332" s="0" t="str">
        <f aca="false">IF(E2332="","",RANK(E2332,$E$2:$E$5001,1))</f>
        <v/>
      </c>
      <c r="G2332" s="0" t="n">
        <f aca="false">IF(A2332="",0,IF(SUMPRODUCT(--($A$2:$A$5001=A2332))&gt;1,1,0))</f>
        <v>0</v>
      </c>
      <c r="H2332" s="0" t="n">
        <f aca="false">ROW()-1</f>
        <v>2331</v>
      </c>
      <c r="I2332" s="0" t="str">
        <f aca="false">IF(OR(הגדרות!$E$6=0,H2332&gt;הגדרות!$E$5),"",IF(H2332-1&lt;הגדרות!$E$8*(הגדרות!$E$7+1),INT((H2332-1)/(הגדרות!$E$7+1)),הגדרות!$E$8+INT((H2332-1-הגדרות!$E$8*(הגדרות!$E$7+1))/הגדרות!$E$7)))</f>
        <v/>
      </c>
      <c r="J2332" s="0" t="str">
        <f aca="false">IF(I2332="","",IF(H2332-1&lt;הגדרות!$E$8*(הגדרות!$E$7+1),MOD(H2332-1,הגדרות!$E$7+1),MOD(H2332-1-הגדרות!$E$8*(הגדרות!$E$7+1),הגדרות!$E$7)))</f>
        <v/>
      </c>
      <c r="K2332" s="0" t="str">
        <f aca="false">IF(I2332="","",J2332*הגדרות!$E$6+I2332+1)</f>
        <v/>
      </c>
      <c r="L2332" s="0" t="str">
        <f aca="false">IF(K2332="","",MATCH(K2332,$F$2:$F$5001,0))</f>
        <v/>
      </c>
      <c r="M2332" s="0" t="str">
        <f aca="false">IF(I2332="","",INDEX(הגדרות!$A$2:$A$21,MOD(I2332+הגדרות!$E$9,הגדרות!$E$6)+1))</f>
        <v/>
      </c>
    </row>
    <row r="2333" customFormat="false" ht="15" hidden="false" customHeight="false" outlineLevel="0" collapsed="false">
      <c r="A2333" s="0" t="str">
        <f aca="false">IF('הדבקת לידים'!A2333="","",IF(ISNUMBER('הדבקת לידים'!A2333),IF(הגדרות!$E$2&gt;0,TEXT('הדבקת לידים'!A2333,REPT("0",הגדרות!$E$2)),TEXT('הדבקת לידים'!A2333,"0")),TRIM('הדבקת לידים'!A2333)))</f>
        <v/>
      </c>
      <c r="B2333" s="0" t="str">
        <f aca="false">IF('הדבקת לידים'!B2333="","",IF(ISNUMBER('הדבקת לידים'!B2333),IF(הגדרות!$E$3&gt;0,TEXT('הדבקת לידים'!B2333,REPT("0",הגדרות!$E$3)),TEXT('הדבקת לידים'!B2333,"0")),TRIM('הדבקת לידים'!B2333)))</f>
        <v/>
      </c>
      <c r="C2333" s="0" t="n">
        <f aca="false">IF(OR(A2333&lt;&gt;"",B2333&lt;&gt;""),1,0)</f>
        <v>0</v>
      </c>
      <c r="D2333" s="0" t="str">
        <f aca="false">IF(C2333=1,MOD(ABS(SIN(ROW()*12.9898+'הדבקת לידים'!$F$2*78.233+IFERROR(--RIGHT(A2333,6),LEN(A2333))*0.0137+IFERROR(--RIGHT(B2333,6),LEN(B2333))*0.0071))*43758.5453,1),"")</f>
        <v/>
      </c>
      <c r="E2333" s="0" t="str">
        <f aca="false">IF(C2333=1,INT(MOD(ABS(SIN(D2333*7919.123+ROW()*0.618+'הדבקת לידים'!$F$2*1.3))*43758.5453,1)*1000000)*10000+ROW(),"")</f>
        <v/>
      </c>
      <c r="F2333" s="0" t="str">
        <f aca="false">IF(E2333="","",RANK(E2333,$E$2:$E$5001,1))</f>
        <v/>
      </c>
      <c r="G2333" s="0" t="n">
        <f aca="false">IF(A2333="",0,IF(SUMPRODUCT(--($A$2:$A$5001=A2333))&gt;1,1,0))</f>
        <v>0</v>
      </c>
      <c r="H2333" s="0" t="n">
        <f aca="false">ROW()-1</f>
        <v>2332</v>
      </c>
      <c r="I2333" s="0" t="str">
        <f aca="false">IF(OR(הגדרות!$E$6=0,H2333&gt;הגדרות!$E$5),"",IF(H2333-1&lt;הגדרות!$E$8*(הגדרות!$E$7+1),INT((H2333-1)/(הגדרות!$E$7+1)),הגדרות!$E$8+INT((H2333-1-הגדרות!$E$8*(הגדרות!$E$7+1))/הגדרות!$E$7)))</f>
        <v/>
      </c>
      <c r="J2333" s="0" t="str">
        <f aca="false">IF(I2333="","",IF(H2333-1&lt;הגדרות!$E$8*(הגדרות!$E$7+1),MOD(H2333-1,הגדרות!$E$7+1),MOD(H2333-1-הגדרות!$E$8*(הגדרות!$E$7+1),הגדרות!$E$7)))</f>
        <v/>
      </c>
      <c r="K2333" s="0" t="str">
        <f aca="false">IF(I2333="","",J2333*הגדרות!$E$6+I2333+1)</f>
        <v/>
      </c>
      <c r="L2333" s="0" t="str">
        <f aca="false">IF(K2333="","",MATCH(K2333,$F$2:$F$5001,0))</f>
        <v/>
      </c>
      <c r="M2333" s="0" t="str">
        <f aca="false">IF(I2333="","",INDEX(הגדרות!$A$2:$A$21,MOD(I2333+הגדרות!$E$9,הגדרות!$E$6)+1))</f>
        <v/>
      </c>
    </row>
    <row r="2334" customFormat="false" ht="15" hidden="false" customHeight="false" outlineLevel="0" collapsed="false">
      <c r="A2334" s="0" t="str">
        <f aca="false">IF('הדבקת לידים'!A2334="","",IF(ISNUMBER('הדבקת לידים'!A2334),IF(הגדרות!$E$2&gt;0,TEXT('הדבקת לידים'!A2334,REPT("0",הגדרות!$E$2)),TEXT('הדבקת לידים'!A2334,"0")),TRIM('הדבקת לידים'!A2334)))</f>
        <v/>
      </c>
      <c r="B2334" s="0" t="str">
        <f aca="false">IF('הדבקת לידים'!B2334="","",IF(ISNUMBER('הדבקת לידים'!B2334),IF(הגדרות!$E$3&gt;0,TEXT('הדבקת לידים'!B2334,REPT("0",הגדרות!$E$3)),TEXT('הדבקת לידים'!B2334,"0")),TRIM('הדבקת לידים'!B2334)))</f>
        <v/>
      </c>
      <c r="C2334" s="0" t="n">
        <f aca="false">IF(OR(A2334&lt;&gt;"",B2334&lt;&gt;""),1,0)</f>
        <v>0</v>
      </c>
      <c r="D2334" s="0" t="str">
        <f aca="false">IF(C2334=1,MOD(ABS(SIN(ROW()*12.9898+'הדבקת לידים'!$F$2*78.233+IFERROR(--RIGHT(A2334,6),LEN(A2334))*0.0137+IFERROR(--RIGHT(B2334,6),LEN(B2334))*0.0071))*43758.5453,1),"")</f>
        <v/>
      </c>
      <c r="E2334" s="0" t="str">
        <f aca="false">IF(C2334=1,INT(MOD(ABS(SIN(D2334*7919.123+ROW()*0.618+'הדבקת לידים'!$F$2*1.3))*43758.5453,1)*1000000)*10000+ROW(),"")</f>
        <v/>
      </c>
      <c r="F2334" s="0" t="str">
        <f aca="false">IF(E2334="","",RANK(E2334,$E$2:$E$5001,1))</f>
        <v/>
      </c>
      <c r="G2334" s="0" t="n">
        <f aca="false">IF(A2334="",0,IF(SUMPRODUCT(--($A$2:$A$5001=A2334))&gt;1,1,0))</f>
        <v>0</v>
      </c>
      <c r="H2334" s="0" t="n">
        <f aca="false">ROW()-1</f>
        <v>2333</v>
      </c>
      <c r="I2334" s="0" t="str">
        <f aca="false">IF(OR(הגדרות!$E$6=0,H2334&gt;הגדרות!$E$5),"",IF(H2334-1&lt;הגדרות!$E$8*(הגדרות!$E$7+1),INT((H2334-1)/(הגדרות!$E$7+1)),הגדרות!$E$8+INT((H2334-1-הגדרות!$E$8*(הגדרות!$E$7+1))/הגדרות!$E$7)))</f>
        <v/>
      </c>
      <c r="J2334" s="0" t="str">
        <f aca="false">IF(I2334="","",IF(H2334-1&lt;הגדרות!$E$8*(הגדרות!$E$7+1),MOD(H2334-1,הגדרות!$E$7+1),MOD(H2334-1-הגדרות!$E$8*(הגדרות!$E$7+1),הגדרות!$E$7)))</f>
        <v/>
      </c>
      <c r="K2334" s="0" t="str">
        <f aca="false">IF(I2334="","",J2334*הגדרות!$E$6+I2334+1)</f>
        <v/>
      </c>
      <c r="L2334" s="0" t="str">
        <f aca="false">IF(K2334="","",MATCH(K2334,$F$2:$F$5001,0))</f>
        <v/>
      </c>
      <c r="M2334" s="0" t="str">
        <f aca="false">IF(I2334="","",INDEX(הגדרות!$A$2:$A$21,MOD(I2334+הגדרות!$E$9,הגדרות!$E$6)+1))</f>
        <v/>
      </c>
    </row>
    <row r="2335" customFormat="false" ht="15" hidden="false" customHeight="false" outlineLevel="0" collapsed="false">
      <c r="A2335" s="0" t="str">
        <f aca="false">IF('הדבקת לידים'!A2335="","",IF(ISNUMBER('הדבקת לידים'!A2335),IF(הגדרות!$E$2&gt;0,TEXT('הדבקת לידים'!A2335,REPT("0",הגדרות!$E$2)),TEXT('הדבקת לידים'!A2335,"0")),TRIM('הדבקת לידים'!A2335)))</f>
        <v/>
      </c>
      <c r="B2335" s="0" t="str">
        <f aca="false">IF('הדבקת לידים'!B2335="","",IF(ISNUMBER('הדבקת לידים'!B2335),IF(הגדרות!$E$3&gt;0,TEXT('הדבקת לידים'!B2335,REPT("0",הגדרות!$E$3)),TEXT('הדבקת לידים'!B2335,"0")),TRIM('הדבקת לידים'!B2335)))</f>
        <v/>
      </c>
      <c r="C2335" s="0" t="n">
        <f aca="false">IF(OR(A2335&lt;&gt;"",B2335&lt;&gt;""),1,0)</f>
        <v>0</v>
      </c>
      <c r="D2335" s="0" t="str">
        <f aca="false">IF(C2335=1,MOD(ABS(SIN(ROW()*12.9898+'הדבקת לידים'!$F$2*78.233+IFERROR(--RIGHT(A2335,6),LEN(A2335))*0.0137+IFERROR(--RIGHT(B2335,6),LEN(B2335))*0.0071))*43758.5453,1),"")</f>
        <v/>
      </c>
      <c r="E2335" s="0" t="str">
        <f aca="false">IF(C2335=1,INT(MOD(ABS(SIN(D2335*7919.123+ROW()*0.618+'הדבקת לידים'!$F$2*1.3))*43758.5453,1)*1000000)*10000+ROW(),"")</f>
        <v/>
      </c>
      <c r="F2335" s="0" t="str">
        <f aca="false">IF(E2335="","",RANK(E2335,$E$2:$E$5001,1))</f>
        <v/>
      </c>
      <c r="G2335" s="0" t="n">
        <f aca="false">IF(A2335="",0,IF(SUMPRODUCT(--($A$2:$A$5001=A2335))&gt;1,1,0))</f>
        <v>0</v>
      </c>
      <c r="H2335" s="0" t="n">
        <f aca="false">ROW()-1</f>
        <v>2334</v>
      </c>
      <c r="I2335" s="0" t="str">
        <f aca="false">IF(OR(הגדרות!$E$6=0,H2335&gt;הגדרות!$E$5),"",IF(H2335-1&lt;הגדרות!$E$8*(הגדרות!$E$7+1),INT((H2335-1)/(הגדרות!$E$7+1)),הגדרות!$E$8+INT((H2335-1-הגדרות!$E$8*(הגדרות!$E$7+1))/הגדרות!$E$7)))</f>
        <v/>
      </c>
      <c r="J2335" s="0" t="str">
        <f aca="false">IF(I2335="","",IF(H2335-1&lt;הגדרות!$E$8*(הגדרות!$E$7+1),MOD(H2335-1,הגדרות!$E$7+1),MOD(H2335-1-הגדרות!$E$8*(הגדרות!$E$7+1),הגדרות!$E$7)))</f>
        <v/>
      </c>
      <c r="K2335" s="0" t="str">
        <f aca="false">IF(I2335="","",J2335*הגדרות!$E$6+I2335+1)</f>
        <v/>
      </c>
      <c r="L2335" s="0" t="str">
        <f aca="false">IF(K2335="","",MATCH(K2335,$F$2:$F$5001,0))</f>
        <v/>
      </c>
      <c r="M2335" s="0" t="str">
        <f aca="false">IF(I2335="","",INDEX(הגדרות!$A$2:$A$21,MOD(I2335+הגדרות!$E$9,הגדרות!$E$6)+1))</f>
        <v/>
      </c>
    </row>
    <row r="2336" customFormat="false" ht="15" hidden="false" customHeight="false" outlineLevel="0" collapsed="false">
      <c r="A2336" s="0" t="str">
        <f aca="false">IF('הדבקת לידים'!A2336="","",IF(ISNUMBER('הדבקת לידים'!A2336),IF(הגדרות!$E$2&gt;0,TEXT('הדבקת לידים'!A2336,REPT("0",הגדרות!$E$2)),TEXT('הדבקת לידים'!A2336,"0")),TRIM('הדבקת לידים'!A2336)))</f>
        <v/>
      </c>
      <c r="B2336" s="0" t="str">
        <f aca="false">IF('הדבקת לידים'!B2336="","",IF(ISNUMBER('הדבקת לידים'!B2336),IF(הגדרות!$E$3&gt;0,TEXT('הדבקת לידים'!B2336,REPT("0",הגדרות!$E$3)),TEXT('הדבקת לידים'!B2336,"0")),TRIM('הדבקת לידים'!B2336)))</f>
        <v/>
      </c>
      <c r="C2336" s="0" t="n">
        <f aca="false">IF(OR(A2336&lt;&gt;"",B2336&lt;&gt;""),1,0)</f>
        <v>0</v>
      </c>
      <c r="D2336" s="0" t="str">
        <f aca="false">IF(C2336=1,MOD(ABS(SIN(ROW()*12.9898+'הדבקת לידים'!$F$2*78.233+IFERROR(--RIGHT(A2336,6),LEN(A2336))*0.0137+IFERROR(--RIGHT(B2336,6),LEN(B2336))*0.0071))*43758.5453,1),"")</f>
        <v/>
      </c>
      <c r="E2336" s="0" t="str">
        <f aca="false">IF(C2336=1,INT(MOD(ABS(SIN(D2336*7919.123+ROW()*0.618+'הדבקת לידים'!$F$2*1.3))*43758.5453,1)*1000000)*10000+ROW(),"")</f>
        <v/>
      </c>
      <c r="F2336" s="0" t="str">
        <f aca="false">IF(E2336="","",RANK(E2336,$E$2:$E$5001,1))</f>
        <v/>
      </c>
      <c r="G2336" s="0" t="n">
        <f aca="false">IF(A2336="",0,IF(SUMPRODUCT(--($A$2:$A$5001=A2336))&gt;1,1,0))</f>
        <v>0</v>
      </c>
      <c r="H2336" s="0" t="n">
        <f aca="false">ROW()-1</f>
        <v>2335</v>
      </c>
      <c r="I2336" s="0" t="str">
        <f aca="false">IF(OR(הגדרות!$E$6=0,H2336&gt;הגדרות!$E$5),"",IF(H2336-1&lt;הגדרות!$E$8*(הגדרות!$E$7+1),INT((H2336-1)/(הגדרות!$E$7+1)),הגדרות!$E$8+INT((H2336-1-הגדרות!$E$8*(הגדרות!$E$7+1))/הגדרות!$E$7)))</f>
        <v/>
      </c>
      <c r="J2336" s="0" t="str">
        <f aca="false">IF(I2336="","",IF(H2336-1&lt;הגדרות!$E$8*(הגדרות!$E$7+1),MOD(H2336-1,הגדרות!$E$7+1),MOD(H2336-1-הגדרות!$E$8*(הגדרות!$E$7+1),הגדרות!$E$7)))</f>
        <v/>
      </c>
      <c r="K2336" s="0" t="str">
        <f aca="false">IF(I2336="","",J2336*הגדרות!$E$6+I2336+1)</f>
        <v/>
      </c>
      <c r="L2336" s="0" t="str">
        <f aca="false">IF(K2336="","",MATCH(K2336,$F$2:$F$5001,0))</f>
        <v/>
      </c>
      <c r="M2336" s="0" t="str">
        <f aca="false">IF(I2336="","",INDEX(הגדרות!$A$2:$A$21,MOD(I2336+הגדרות!$E$9,הגדרות!$E$6)+1))</f>
        <v/>
      </c>
    </row>
    <row r="2337" customFormat="false" ht="15" hidden="false" customHeight="false" outlineLevel="0" collapsed="false">
      <c r="A2337" s="0" t="str">
        <f aca="false">IF('הדבקת לידים'!A2337="","",IF(ISNUMBER('הדבקת לידים'!A2337),IF(הגדרות!$E$2&gt;0,TEXT('הדבקת לידים'!A2337,REPT("0",הגדרות!$E$2)),TEXT('הדבקת לידים'!A2337,"0")),TRIM('הדבקת לידים'!A2337)))</f>
        <v/>
      </c>
      <c r="B2337" s="0" t="str">
        <f aca="false">IF('הדבקת לידים'!B2337="","",IF(ISNUMBER('הדבקת לידים'!B2337),IF(הגדרות!$E$3&gt;0,TEXT('הדבקת לידים'!B2337,REPT("0",הגדרות!$E$3)),TEXT('הדבקת לידים'!B2337,"0")),TRIM('הדבקת לידים'!B2337)))</f>
        <v/>
      </c>
      <c r="C2337" s="0" t="n">
        <f aca="false">IF(OR(A2337&lt;&gt;"",B2337&lt;&gt;""),1,0)</f>
        <v>0</v>
      </c>
      <c r="D2337" s="0" t="str">
        <f aca="false">IF(C2337=1,MOD(ABS(SIN(ROW()*12.9898+'הדבקת לידים'!$F$2*78.233+IFERROR(--RIGHT(A2337,6),LEN(A2337))*0.0137+IFERROR(--RIGHT(B2337,6),LEN(B2337))*0.0071))*43758.5453,1),"")</f>
        <v/>
      </c>
      <c r="E2337" s="0" t="str">
        <f aca="false">IF(C2337=1,INT(MOD(ABS(SIN(D2337*7919.123+ROW()*0.618+'הדבקת לידים'!$F$2*1.3))*43758.5453,1)*1000000)*10000+ROW(),"")</f>
        <v/>
      </c>
      <c r="F2337" s="0" t="str">
        <f aca="false">IF(E2337="","",RANK(E2337,$E$2:$E$5001,1))</f>
        <v/>
      </c>
      <c r="G2337" s="0" t="n">
        <f aca="false">IF(A2337="",0,IF(SUMPRODUCT(--($A$2:$A$5001=A2337))&gt;1,1,0))</f>
        <v>0</v>
      </c>
      <c r="H2337" s="0" t="n">
        <f aca="false">ROW()-1</f>
        <v>2336</v>
      </c>
      <c r="I2337" s="0" t="str">
        <f aca="false">IF(OR(הגדרות!$E$6=0,H2337&gt;הגדרות!$E$5),"",IF(H2337-1&lt;הגדרות!$E$8*(הגדרות!$E$7+1),INT((H2337-1)/(הגדרות!$E$7+1)),הגדרות!$E$8+INT((H2337-1-הגדרות!$E$8*(הגדרות!$E$7+1))/הגדרות!$E$7)))</f>
        <v/>
      </c>
      <c r="J2337" s="0" t="str">
        <f aca="false">IF(I2337="","",IF(H2337-1&lt;הגדרות!$E$8*(הגדרות!$E$7+1),MOD(H2337-1,הגדרות!$E$7+1),MOD(H2337-1-הגדרות!$E$8*(הגדרות!$E$7+1),הגדרות!$E$7)))</f>
        <v/>
      </c>
      <c r="K2337" s="0" t="str">
        <f aca="false">IF(I2337="","",J2337*הגדרות!$E$6+I2337+1)</f>
        <v/>
      </c>
      <c r="L2337" s="0" t="str">
        <f aca="false">IF(K2337="","",MATCH(K2337,$F$2:$F$5001,0))</f>
        <v/>
      </c>
      <c r="M2337" s="0" t="str">
        <f aca="false">IF(I2337="","",INDEX(הגדרות!$A$2:$A$21,MOD(I2337+הגדרות!$E$9,הגדרות!$E$6)+1))</f>
        <v/>
      </c>
    </row>
    <row r="2338" customFormat="false" ht="15" hidden="false" customHeight="false" outlineLevel="0" collapsed="false">
      <c r="A2338" s="0" t="str">
        <f aca="false">IF('הדבקת לידים'!A2338="","",IF(ISNUMBER('הדבקת לידים'!A2338),IF(הגדרות!$E$2&gt;0,TEXT('הדבקת לידים'!A2338,REPT("0",הגדרות!$E$2)),TEXT('הדבקת לידים'!A2338,"0")),TRIM('הדבקת לידים'!A2338)))</f>
        <v/>
      </c>
      <c r="B2338" s="0" t="str">
        <f aca="false">IF('הדבקת לידים'!B2338="","",IF(ISNUMBER('הדבקת לידים'!B2338),IF(הגדרות!$E$3&gt;0,TEXT('הדבקת לידים'!B2338,REPT("0",הגדרות!$E$3)),TEXT('הדבקת לידים'!B2338,"0")),TRIM('הדבקת לידים'!B2338)))</f>
        <v/>
      </c>
      <c r="C2338" s="0" t="n">
        <f aca="false">IF(OR(A2338&lt;&gt;"",B2338&lt;&gt;""),1,0)</f>
        <v>0</v>
      </c>
      <c r="D2338" s="0" t="str">
        <f aca="false">IF(C2338=1,MOD(ABS(SIN(ROW()*12.9898+'הדבקת לידים'!$F$2*78.233+IFERROR(--RIGHT(A2338,6),LEN(A2338))*0.0137+IFERROR(--RIGHT(B2338,6),LEN(B2338))*0.0071))*43758.5453,1),"")</f>
        <v/>
      </c>
      <c r="E2338" s="0" t="str">
        <f aca="false">IF(C2338=1,INT(MOD(ABS(SIN(D2338*7919.123+ROW()*0.618+'הדבקת לידים'!$F$2*1.3))*43758.5453,1)*1000000)*10000+ROW(),"")</f>
        <v/>
      </c>
      <c r="F2338" s="0" t="str">
        <f aca="false">IF(E2338="","",RANK(E2338,$E$2:$E$5001,1))</f>
        <v/>
      </c>
      <c r="G2338" s="0" t="n">
        <f aca="false">IF(A2338="",0,IF(SUMPRODUCT(--($A$2:$A$5001=A2338))&gt;1,1,0))</f>
        <v>0</v>
      </c>
      <c r="H2338" s="0" t="n">
        <f aca="false">ROW()-1</f>
        <v>2337</v>
      </c>
      <c r="I2338" s="0" t="str">
        <f aca="false">IF(OR(הגדרות!$E$6=0,H2338&gt;הגדרות!$E$5),"",IF(H2338-1&lt;הגדרות!$E$8*(הגדרות!$E$7+1),INT((H2338-1)/(הגדרות!$E$7+1)),הגדרות!$E$8+INT((H2338-1-הגדרות!$E$8*(הגדרות!$E$7+1))/הגדרות!$E$7)))</f>
        <v/>
      </c>
      <c r="J2338" s="0" t="str">
        <f aca="false">IF(I2338="","",IF(H2338-1&lt;הגדרות!$E$8*(הגדרות!$E$7+1),MOD(H2338-1,הגדרות!$E$7+1),MOD(H2338-1-הגדרות!$E$8*(הגדרות!$E$7+1),הגדרות!$E$7)))</f>
        <v/>
      </c>
      <c r="K2338" s="0" t="str">
        <f aca="false">IF(I2338="","",J2338*הגדרות!$E$6+I2338+1)</f>
        <v/>
      </c>
      <c r="L2338" s="0" t="str">
        <f aca="false">IF(K2338="","",MATCH(K2338,$F$2:$F$5001,0))</f>
        <v/>
      </c>
      <c r="M2338" s="0" t="str">
        <f aca="false">IF(I2338="","",INDEX(הגדרות!$A$2:$A$21,MOD(I2338+הגדרות!$E$9,הגדרות!$E$6)+1))</f>
        <v/>
      </c>
    </row>
    <row r="2339" customFormat="false" ht="15" hidden="false" customHeight="false" outlineLevel="0" collapsed="false">
      <c r="A2339" s="0" t="str">
        <f aca="false">IF('הדבקת לידים'!A2339="","",IF(ISNUMBER('הדבקת לידים'!A2339),IF(הגדרות!$E$2&gt;0,TEXT('הדבקת לידים'!A2339,REPT("0",הגדרות!$E$2)),TEXT('הדבקת לידים'!A2339,"0")),TRIM('הדבקת לידים'!A2339)))</f>
        <v/>
      </c>
      <c r="B2339" s="0" t="str">
        <f aca="false">IF('הדבקת לידים'!B2339="","",IF(ISNUMBER('הדבקת לידים'!B2339),IF(הגדרות!$E$3&gt;0,TEXT('הדבקת לידים'!B2339,REPT("0",הגדרות!$E$3)),TEXT('הדבקת לידים'!B2339,"0")),TRIM('הדבקת לידים'!B2339)))</f>
        <v/>
      </c>
      <c r="C2339" s="0" t="n">
        <f aca="false">IF(OR(A2339&lt;&gt;"",B2339&lt;&gt;""),1,0)</f>
        <v>0</v>
      </c>
      <c r="D2339" s="0" t="str">
        <f aca="false">IF(C2339=1,MOD(ABS(SIN(ROW()*12.9898+'הדבקת לידים'!$F$2*78.233+IFERROR(--RIGHT(A2339,6),LEN(A2339))*0.0137+IFERROR(--RIGHT(B2339,6),LEN(B2339))*0.0071))*43758.5453,1),"")</f>
        <v/>
      </c>
      <c r="E2339" s="0" t="str">
        <f aca="false">IF(C2339=1,INT(MOD(ABS(SIN(D2339*7919.123+ROW()*0.618+'הדבקת לידים'!$F$2*1.3))*43758.5453,1)*1000000)*10000+ROW(),"")</f>
        <v/>
      </c>
      <c r="F2339" s="0" t="str">
        <f aca="false">IF(E2339="","",RANK(E2339,$E$2:$E$5001,1))</f>
        <v/>
      </c>
      <c r="G2339" s="0" t="n">
        <f aca="false">IF(A2339="",0,IF(SUMPRODUCT(--($A$2:$A$5001=A2339))&gt;1,1,0))</f>
        <v>0</v>
      </c>
      <c r="H2339" s="0" t="n">
        <f aca="false">ROW()-1</f>
        <v>2338</v>
      </c>
      <c r="I2339" s="0" t="str">
        <f aca="false">IF(OR(הגדרות!$E$6=0,H2339&gt;הגדרות!$E$5),"",IF(H2339-1&lt;הגדרות!$E$8*(הגדרות!$E$7+1),INT((H2339-1)/(הגדרות!$E$7+1)),הגדרות!$E$8+INT((H2339-1-הגדרות!$E$8*(הגדרות!$E$7+1))/הגדרות!$E$7)))</f>
        <v/>
      </c>
      <c r="J2339" s="0" t="str">
        <f aca="false">IF(I2339="","",IF(H2339-1&lt;הגדרות!$E$8*(הגדרות!$E$7+1),MOD(H2339-1,הגדרות!$E$7+1),MOD(H2339-1-הגדרות!$E$8*(הגדרות!$E$7+1),הגדרות!$E$7)))</f>
        <v/>
      </c>
      <c r="K2339" s="0" t="str">
        <f aca="false">IF(I2339="","",J2339*הגדרות!$E$6+I2339+1)</f>
        <v/>
      </c>
      <c r="L2339" s="0" t="str">
        <f aca="false">IF(K2339="","",MATCH(K2339,$F$2:$F$5001,0))</f>
        <v/>
      </c>
      <c r="M2339" s="0" t="str">
        <f aca="false">IF(I2339="","",INDEX(הגדרות!$A$2:$A$21,MOD(I2339+הגדרות!$E$9,הגדרות!$E$6)+1))</f>
        <v/>
      </c>
    </row>
    <row r="2340" customFormat="false" ht="15" hidden="false" customHeight="false" outlineLevel="0" collapsed="false">
      <c r="A2340" s="0" t="str">
        <f aca="false">IF('הדבקת לידים'!A2340="","",IF(ISNUMBER('הדבקת לידים'!A2340),IF(הגדרות!$E$2&gt;0,TEXT('הדבקת לידים'!A2340,REPT("0",הגדרות!$E$2)),TEXT('הדבקת לידים'!A2340,"0")),TRIM('הדבקת לידים'!A2340)))</f>
        <v/>
      </c>
      <c r="B2340" s="0" t="str">
        <f aca="false">IF('הדבקת לידים'!B2340="","",IF(ISNUMBER('הדבקת לידים'!B2340),IF(הגדרות!$E$3&gt;0,TEXT('הדבקת לידים'!B2340,REPT("0",הגדרות!$E$3)),TEXT('הדבקת לידים'!B2340,"0")),TRIM('הדבקת לידים'!B2340)))</f>
        <v/>
      </c>
      <c r="C2340" s="0" t="n">
        <f aca="false">IF(OR(A2340&lt;&gt;"",B2340&lt;&gt;""),1,0)</f>
        <v>0</v>
      </c>
      <c r="D2340" s="0" t="str">
        <f aca="false">IF(C2340=1,MOD(ABS(SIN(ROW()*12.9898+'הדבקת לידים'!$F$2*78.233+IFERROR(--RIGHT(A2340,6),LEN(A2340))*0.0137+IFERROR(--RIGHT(B2340,6),LEN(B2340))*0.0071))*43758.5453,1),"")</f>
        <v/>
      </c>
      <c r="E2340" s="0" t="str">
        <f aca="false">IF(C2340=1,INT(MOD(ABS(SIN(D2340*7919.123+ROW()*0.618+'הדבקת לידים'!$F$2*1.3))*43758.5453,1)*1000000)*10000+ROW(),"")</f>
        <v/>
      </c>
      <c r="F2340" s="0" t="str">
        <f aca="false">IF(E2340="","",RANK(E2340,$E$2:$E$5001,1))</f>
        <v/>
      </c>
      <c r="G2340" s="0" t="n">
        <f aca="false">IF(A2340="",0,IF(SUMPRODUCT(--($A$2:$A$5001=A2340))&gt;1,1,0))</f>
        <v>0</v>
      </c>
      <c r="H2340" s="0" t="n">
        <f aca="false">ROW()-1</f>
        <v>2339</v>
      </c>
      <c r="I2340" s="0" t="str">
        <f aca="false">IF(OR(הגדרות!$E$6=0,H2340&gt;הגדרות!$E$5),"",IF(H2340-1&lt;הגדרות!$E$8*(הגדרות!$E$7+1),INT((H2340-1)/(הגדרות!$E$7+1)),הגדרות!$E$8+INT((H2340-1-הגדרות!$E$8*(הגדרות!$E$7+1))/הגדרות!$E$7)))</f>
        <v/>
      </c>
      <c r="J2340" s="0" t="str">
        <f aca="false">IF(I2340="","",IF(H2340-1&lt;הגדרות!$E$8*(הגדרות!$E$7+1),MOD(H2340-1,הגדרות!$E$7+1),MOD(H2340-1-הגדרות!$E$8*(הגדרות!$E$7+1),הגדרות!$E$7)))</f>
        <v/>
      </c>
      <c r="K2340" s="0" t="str">
        <f aca="false">IF(I2340="","",J2340*הגדרות!$E$6+I2340+1)</f>
        <v/>
      </c>
      <c r="L2340" s="0" t="str">
        <f aca="false">IF(K2340="","",MATCH(K2340,$F$2:$F$5001,0))</f>
        <v/>
      </c>
      <c r="M2340" s="0" t="str">
        <f aca="false">IF(I2340="","",INDEX(הגדרות!$A$2:$A$21,MOD(I2340+הגדרות!$E$9,הגדרות!$E$6)+1))</f>
        <v/>
      </c>
    </row>
    <row r="2341" customFormat="false" ht="15" hidden="false" customHeight="false" outlineLevel="0" collapsed="false">
      <c r="A2341" s="0" t="str">
        <f aca="false">IF('הדבקת לידים'!A2341="","",IF(ISNUMBER('הדבקת לידים'!A2341),IF(הגדרות!$E$2&gt;0,TEXT('הדבקת לידים'!A2341,REPT("0",הגדרות!$E$2)),TEXT('הדבקת לידים'!A2341,"0")),TRIM('הדבקת לידים'!A2341)))</f>
        <v/>
      </c>
      <c r="B2341" s="0" t="str">
        <f aca="false">IF('הדבקת לידים'!B2341="","",IF(ISNUMBER('הדבקת לידים'!B2341),IF(הגדרות!$E$3&gt;0,TEXT('הדבקת לידים'!B2341,REPT("0",הגדרות!$E$3)),TEXT('הדבקת לידים'!B2341,"0")),TRIM('הדבקת לידים'!B2341)))</f>
        <v/>
      </c>
      <c r="C2341" s="0" t="n">
        <f aca="false">IF(OR(A2341&lt;&gt;"",B2341&lt;&gt;""),1,0)</f>
        <v>0</v>
      </c>
      <c r="D2341" s="0" t="str">
        <f aca="false">IF(C2341=1,MOD(ABS(SIN(ROW()*12.9898+'הדבקת לידים'!$F$2*78.233+IFERROR(--RIGHT(A2341,6),LEN(A2341))*0.0137+IFERROR(--RIGHT(B2341,6),LEN(B2341))*0.0071))*43758.5453,1),"")</f>
        <v/>
      </c>
      <c r="E2341" s="0" t="str">
        <f aca="false">IF(C2341=1,INT(MOD(ABS(SIN(D2341*7919.123+ROW()*0.618+'הדבקת לידים'!$F$2*1.3))*43758.5453,1)*1000000)*10000+ROW(),"")</f>
        <v/>
      </c>
      <c r="F2341" s="0" t="str">
        <f aca="false">IF(E2341="","",RANK(E2341,$E$2:$E$5001,1))</f>
        <v/>
      </c>
      <c r="G2341" s="0" t="n">
        <f aca="false">IF(A2341="",0,IF(SUMPRODUCT(--($A$2:$A$5001=A2341))&gt;1,1,0))</f>
        <v>0</v>
      </c>
      <c r="H2341" s="0" t="n">
        <f aca="false">ROW()-1</f>
        <v>2340</v>
      </c>
      <c r="I2341" s="0" t="str">
        <f aca="false">IF(OR(הגדרות!$E$6=0,H2341&gt;הגדרות!$E$5),"",IF(H2341-1&lt;הגדרות!$E$8*(הגדרות!$E$7+1),INT((H2341-1)/(הגדרות!$E$7+1)),הגדרות!$E$8+INT((H2341-1-הגדרות!$E$8*(הגדרות!$E$7+1))/הגדרות!$E$7)))</f>
        <v/>
      </c>
      <c r="J2341" s="0" t="str">
        <f aca="false">IF(I2341="","",IF(H2341-1&lt;הגדרות!$E$8*(הגדרות!$E$7+1),MOD(H2341-1,הגדרות!$E$7+1),MOD(H2341-1-הגדרות!$E$8*(הגדרות!$E$7+1),הגדרות!$E$7)))</f>
        <v/>
      </c>
      <c r="K2341" s="0" t="str">
        <f aca="false">IF(I2341="","",J2341*הגדרות!$E$6+I2341+1)</f>
        <v/>
      </c>
      <c r="L2341" s="0" t="str">
        <f aca="false">IF(K2341="","",MATCH(K2341,$F$2:$F$5001,0))</f>
        <v/>
      </c>
      <c r="M2341" s="0" t="str">
        <f aca="false">IF(I2341="","",INDEX(הגדרות!$A$2:$A$21,MOD(I2341+הגדרות!$E$9,הגדרות!$E$6)+1))</f>
        <v/>
      </c>
    </row>
    <row r="2342" customFormat="false" ht="15" hidden="false" customHeight="false" outlineLevel="0" collapsed="false">
      <c r="A2342" s="0" t="str">
        <f aca="false">IF('הדבקת לידים'!A2342="","",IF(ISNUMBER('הדבקת לידים'!A2342),IF(הגדרות!$E$2&gt;0,TEXT('הדבקת לידים'!A2342,REPT("0",הגדרות!$E$2)),TEXT('הדבקת לידים'!A2342,"0")),TRIM('הדבקת לידים'!A2342)))</f>
        <v/>
      </c>
      <c r="B2342" s="0" t="str">
        <f aca="false">IF('הדבקת לידים'!B2342="","",IF(ISNUMBER('הדבקת לידים'!B2342),IF(הגדרות!$E$3&gt;0,TEXT('הדבקת לידים'!B2342,REPT("0",הגדרות!$E$3)),TEXT('הדבקת לידים'!B2342,"0")),TRIM('הדבקת לידים'!B2342)))</f>
        <v/>
      </c>
      <c r="C2342" s="0" t="n">
        <f aca="false">IF(OR(A2342&lt;&gt;"",B2342&lt;&gt;""),1,0)</f>
        <v>0</v>
      </c>
      <c r="D2342" s="0" t="str">
        <f aca="false">IF(C2342=1,MOD(ABS(SIN(ROW()*12.9898+'הדבקת לידים'!$F$2*78.233+IFERROR(--RIGHT(A2342,6),LEN(A2342))*0.0137+IFERROR(--RIGHT(B2342,6),LEN(B2342))*0.0071))*43758.5453,1),"")</f>
        <v/>
      </c>
      <c r="E2342" s="0" t="str">
        <f aca="false">IF(C2342=1,INT(MOD(ABS(SIN(D2342*7919.123+ROW()*0.618+'הדבקת לידים'!$F$2*1.3))*43758.5453,1)*1000000)*10000+ROW(),"")</f>
        <v/>
      </c>
      <c r="F2342" s="0" t="str">
        <f aca="false">IF(E2342="","",RANK(E2342,$E$2:$E$5001,1))</f>
        <v/>
      </c>
      <c r="G2342" s="0" t="n">
        <f aca="false">IF(A2342="",0,IF(SUMPRODUCT(--($A$2:$A$5001=A2342))&gt;1,1,0))</f>
        <v>0</v>
      </c>
      <c r="H2342" s="0" t="n">
        <f aca="false">ROW()-1</f>
        <v>2341</v>
      </c>
      <c r="I2342" s="0" t="str">
        <f aca="false">IF(OR(הגדרות!$E$6=0,H2342&gt;הגדרות!$E$5),"",IF(H2342-1&lt;הגדרות!$E$8*(הגדרות!$E$7+1),INT((H2342-1)/(הגדרות!$E$7+1)),הגדרות!$E$8+INT((H2342-1-הגדרות!$E$8*(הגדרות!$E$7+1))/הגדרות!$E$7)))</f>
        <v/>
      </c>
      <c r="J2342" s="0" t="str">
        <f aca="false">IF(I2342="","",IF(H2342-1&lt;הגדרות!$E$8*(הגדרות!$E$7+1),MOD(H2342-1,הגדרות!$E$7+1),MOD(H2342-1-הגדרות!$E$8*(הגדרות!$E$7+1),הגדרות!$E$7)))</f>
        <v/>
      </c>
      <c r="K2342" s="0" t="str">
        <f aca="false">IF(I2342="","",J2342*הגדרות!$E$6+I2342+1)</f>
        <v/>
      </c>
      <c r="L2342" s="0" t="str">
        <f aca="false">IF(K2342="","",MATCH(K2342,$F$2:$F$5001,0))</f>
        <v/>
      </c>
      <c r="M2342" s="0" t="str">
        <f aca="false">IF(I2342="","",INDEX(הגדרות!$A$2:$A$21,MOD(I2342+הגדרות!$E$9,הגדרות!$E$6)+1))</f>
        <v/>
      </c>
    </row>
    <row r="2343" customFormat="false" ht="15" hidden="false" customHeight="false" outlineLevel="0" collapsed="false">
      <c r="A2343" s="0" t="str">
        <f aca="false">IF('הדבקת לידים'!A2343="","",IF(ISNUMBER('הדבקת לידים'!A2343),IF(הגדרות!$E$2&gt;0,TEXT('הדבקת לידים'!A2343,REPT("0",הגדרות!$E$2)),TEXT('הדבקת לידים'!A2343,"0")),TRIM('הדבקת לידים'!A2343)))</f>
        <v/>
      </c>
      <c r="B2343" s="0" t="str">
        <f aca="false">IF('הדבקת לידים'!B2343="","",IF(ISNUMBER('הדבקת לידים'!B2343),IF(הגדרות!$E$3&gt;0,TEXT('הדבקת לידים'!B2343,REPT("0",הגדרות!$E$3)),TEXT('הדבקת לידים'!B2343,"0")),TRIM('הדבקת לידים'!B2343)))</f>
        <v/>
      </c>
      <c r="C2343" s="0" t="n">
        <f aca="false">IF(OR(A2343&lt;&gt;"",B2343&lt;&gt;""),1,0)</f>
        <v>0</v>
      </c>
      <c r="D2343" s="0" t="str">
        <f aca="false">IF(C2343=1,MOD(ABS(SIN(ROW()*12.9898+'הדבקת לידים'!$F$2*78.233+IFERROR(--RIGHT(A2343,6),LEN(A2343))*0.0137+IFERROR(--RIGHT(B2343,6),LEN(B2343))*0.0071))*43758.5453,1),"")</f>
        <v/>
      </c>
      <c r="E2343" s="0" t="str">
        <f aca="false">IF(C2343=1,INT(MOD(ABS(SIN(D2343*7919.123+ROW()*0.618+'הדבקת לידים'!$F$2*1.3))*43758.5453,1)*1000000)*10000+ROW(),"")</f>
        <v/>
      </c>
      <c r="F2343" s="0" t="str">
        <f aca="false">IF(E2343="","",RANK(E2343,$E$2:$E$5001,1))</f>
        <v/>
      </c>
      <c r="G2343" s="0" t="n">
        <f aca="false">IF(A2343="",0,IF(SUMPRODUCT(--($A$2:$A$5001=A2343))&gt;1,1,0))</f>
        <v>0</v>
      </c>
      <c r="H2343" s="0" t="n">
        <f aca="false">ROW()-1</f>
        <v>2342</v>
      </c>
      <c r="I2343" s="0" t="str">
        <f aca="false">IF(OR(הגדרות!$E$6=0,H2343&gt;הגדרות!$E$5),"",IF(H2343-1&lt;הגדרות!$E$8*(הגדרות!$E$7+1),INT((H2343-1)/(הגדרות!$E$7+1)),הגדרות!$E$8+INT((H2343-1-הגדרות!$E$8*(הגדרות!$E$7+1))/הגדרות!$E$7)))</f>
        <v/>
      </c>
      <c r="J2343" s="0" t="str">
        <f aca="false">IF(I2343="","",IF(H2343-1&lt;הגדרות!$E$8*(הגדרות!$E$7+1),MOD(H2343-1,הגדרות!$E$7+1),MOD(H2343-1-הגדרות!$E$8*(הגדרות!$E$7+1),הגדרות!$E$7)))</f>
        <v/>
      </c>
      <c r="K2343" s="0" t="str">
        <f aca="false">IF(I2343="","",J2343*הגדרות!$E$6+I2343+1)</f>
        <v/>
      </c>
      <c r="L2343" s="0" t="str">
        <f aca="false">IF(K2343="","",MATCH(K2343,$F$2:$F$5001,0))</f>
        <v/>
      </c>
      <c r="M2343" s="0" t="str">
        <f aca="false">IF(I2343="","",INDEX(הגדרות!$A$2:$A$21,MOD(I2343+הגדרות!$E$9,הגדרות!$E$6)+1))</f>
        <v/>
      </c>
    </row>
    <row r="2344" customFormat="false" ht="15" hidden="false" customHeight="false" outlineLevel="0" collapsed="false">
      <c r="A2344" s="0" t="str">
        <f aca="false">IF('הדבקת לידים'!A2344="","",IF(ISNUMBER('הדבקת לידים'!A2344),IF(הגדרות!$E$2&gt;0,TEXT('הדבקת לידים'!A2344,REPT("0",הגדרות!$E$2)),TEXT('הדבקת לידים'!A2344,"0")),TRIM('הדבקת לידים'!A2344)))</f>
        <v/>
      </c>
      <c r="B2344" s="0" t="str">
        <f aca="false">IF('הדבקת לידים'!B2344="","",IF(ISNUMBER('הדבקת לידים'!B2344),IF(הגדרות!$E$3&gt;0,TEXT('הדבקת לידים'!B2344,REPT("0",הגדרות!$E$3)),TEXT('הדבקת לידים'!B2344,"0")),TRIM('הדבקת לידים'!B2344)))</f>
        <v/>
      </c>
      <c r="C2344" s="0" t="n">
        <f aca="false">IF(OR(A2344&lt;&gt;"",B2344&lt;&gt;""),1,0)</f>
        <v>0</v>
      </c>
      <c r="D2344" s="0" t="str">
        <f aca="false">IF(C2344=1,MOD(ABS(SIN(ROW()*12.9898+'הדבקת לידים'!$F$2*78.233+IFERROR(--RIGHT(A2344,6),LEN(A2344))*0.0137+IFERROR(--RIGHT(B2344,6),LEN(B2344))*0.0071))*43758.5453,1),"")</f>
        <v/>
      </c>
      <c r="E2344" s="0" t="str">
        <f aca="false">IF(C2344=1,INT(MOD(ABS(SIN(D2344*7919.123+ROW()*0.618+'הדבקת לידים'!$F$2*1.3))*43758.5453,1)*1000000)*10000+ROW(),"")</f>
        <v/>
      </c>
      <c r="F2344" s="0" t="str">
        <f aca="false">IF(E2344="","",RANK(E2344,$E$2:$E$5001,1))</f>
        <v/>
      </c>
      <c r="G2344" s="0" t="n">
        <f aca="false">IF(A2344="",0,IF(SUMPRODUCT(--($A$2:$A$5001=A2344))&gt;1,1,0))</f>
        <v>0</v>
      </c>
      <c r="H2344" s="0" t="n">
        <f aca="false">ROW()-1</f>
        <v>2343</v>
      </c>
      <c r="I2344" s="0" t="str">
        <f aca="false">IF(OR(הגדרות!$E$6=0,H2344&gt;הגדרות!$E$5),"",IF(H2344-1&lt;הגדרות!$E$8*(הגדרות!$E$7+1),INT((H2344-1)/(הגדרות!$E$7+1)),הגדרות!$E$8+INT((H2344-1-הגדרות!$E$8*(הגדרות!$E$7+1))/הגדרות!$E$7)))</f>
        <v/>
      </c>
      <c r="J2344" s="0" t="str">
        <f aca="false">IF(I2344="","",IF(H2344-1&lt;הגדרות!$E$8*(הגדרות!$E$7+1),MOD(H2344-1,הגדרות!$E$7+1),MOD(H2344-1-הגדרות!$E$8*(הגדרות!$E$7+1),הגדרות!$E$7)))</f>
        <v/>
      </c>
      <c r="K2344" s="0" t="str">
        <f aca="false">IF(I2344="","",J2344*הגדרות!$E$6+I2344+1)</f>
        <v/>
      </c>
      <c r="L2344" s="0" t="str">
        <f aca="false">IF(K2344="","",MATCH(K2344,$F$2:$F$5001,0))</f>
        <v/>
      </c>
      <c r="M2344" s="0" t="str">
        <f aca="false">IF(I2344="","",INDEX(הגדרות!$A$2:$A$21,MOD(I2344+הגדרות!$E$9,הגדרות!$E$6)+1))</f>
        <v/>
      </c>
    </row>
    <row r="2345" customFormat="false" ht="15" hidden="false" customHeight="false" outlineLevel="0" collapsed="false">
      <c r="A2345" s="0" t="str">
        <f aca="false">IF('הדבקת לידים'!A2345="","",IF(ISNUMBER('הדבקת לידים'!A2345),IF(הגדרות!$E$2&gt;0,TEXT('הדבקת לידים'!A2345,REPT("0",הגדרות!$E$2)),TEXT('הדבקת לידים'!A2345,"0")),TRIM('הדבקת לידים'!A2345)))</f>
        <v/>
      </c>
      <c r="B2345" s="0" t="str">
        <f aca="false">IF('הדבקת לידים'!B2345="","",IF(ISNUMBER('הדבקת לידים'!B2345),IF(הגדרות!$E$3&gt;0,TEXT('הדבקת לידים'!B2345,REPT("0",הגדרות!$E$3)),TEXT('הדבקת לידים'!B2345,"0")),TRIM('הדבקת לידים'!B2345)))</f>
        <v/>
      </c>
      <c r="C2345" s="0" t="n">
        <f aca="false">IF(OR(A2345&lt;&gt;"",B2345&lt;&gt;""),1,0)</f>
        <v>0</v>
      </c>
      <c r="D2345" s="0" t="str">
        <f aca="false">IF(C2345=1,MOD(ABS(SIN(ROW()*12.9898+'הדבקת לידים'!$F$2*78.233+IFERROR(--RIGHT(A2345,6),LEN(A2345))*0.0137+IFERROR(--RIGHT(B2345,6),LEN(B2345))*0.0071))*43758.5453,1),"")</f>
        <v/>
      </c>
      <c r="E2345" s="0" t="str">
        <f aca="false">IF(C2345=1,INT(MOD(ABS(SIN(D2345*7919.123+ROW()*0.618+'הדבקת לידים'!$F$2*1.3))*43758.5453,1)*1000000)*10000+ROW(),"")</f>
        <v/>
      </c>
      <c r="F2345" s="0" t="str">
        <f aca="false">IF(E2345="","",RANK(E2345,$E$2:$E$5001,1))</f>
        <v/>
      </c>
      <c r="G2345" s="0" t="n">
        <f aca="false">IF(A2345="",0,IF(SUMPRODUCT(--($A$2:$A$5001=A2345))&gt;1,1,0))</f>
        <v>0</v>
      </c>
      <c r="H2345" s="0" t="n">
        <f aca="false">ROW()-1</f>
        <v>2344</v>
      </c>
      <c r="I2345" s="0" t="str">
        <f aca="false">IF(OR(הגדרות!$E$6=0,H2345&gt;הגדרות!$E$5),"",IF(H2345-1&lt;הגדרות!$E$8*(הגדרות!$E$7+1),INT((H2345-1)/(הגדרות!$E$7+1)),הגדרות!$E$8+INT((H2345-1-הגדרות!$E$8*(הגדרות!$E$7+1))/הגדרות!$E$7)))</f>
        <v/>
      </c>
      <c r="J2345" s="0" t="str">
        <f aca="false">IF(I2345="","",IF(H2345-1&lt;הגדרות!$E$8*(הגדרות!$E$7+1),MOD(H2345-1,הגדרות!$E$7+1),MOD(H2345-1-הגדרות!$E$8*(הגדרות!$E$7+1),הגדרות!$E$7)))</f>
        <v/>
      </c>
      <c r="K2345" s="0" t="str">
        <f aca="false">IF(I2345="","",J2345*הגדרות!$E$6+I2345+1)</f>
        <v/>
      </c>
      <c r="L2345" s="0" t="str">
        <f aca="false">IF(K2345="","",MATCH(K2345,$F$2:$F$5001,0))</f>
        <v/>
      </c>
      <c r="M2345" s="0" t="str">
        <f aca="false">IF(I2345="","",INDEX(הגדרות!$A$2:$A$21,MOD(I2345+הגדרות!$E$9,הגדרות!$E$6)+1))</f>
        <v/>
      </c>
    </row>
    <row r="2346" customFormat="false" ht="15" hidden="false" customHeight="false" outlineLevel="0" collapsed="false">
      <c r="A2346" s="0" t="str">
        <f aca="false">IF('הדבקת לידים'!A2346="","",IF(ISNUMBER('הדבקת לידים'!A2346),IF(הגדרות!$E$2&gt;0,TEXT('הדבקת לידים'!A2346,REPT("0",הגדרות!$E$2)),TEXT('הדבקת לידים'!A2346,"0")),TRIM('הדבקת לידים'!A2346)))</f>
        <v/>
      </c>
      <c r="B2346" s="0" t="str">
        <f aca="false">IF('הדבקת לידים'!B2346="","",IF(ISNUMBER('הדבקת לידים'!B2346),IF(הגדרות!$E$3&gt;0,TEXT('הדבקת לידים'!B2346,REPT("0",הגדרות!$E$3)),TEXT('הדבקת לידים'!B2346,"0")),TRIM('הדבקת לידים'!B2346)))</f>
        <v/>
      </c>
      <c r="C2346" s="0" t="n">
        <f aca="false">IF(OR(A2346&lt;&gt;"",B2346&lt;&gt;""),1,0)</f>
        <v>0</v>
      </c>
      <c r="D2346" s="0" t="str">
        <f aca="false">IF(C2346=1,MOD(ABS(SIN(ROW()*12.9898+'הדבקת לידים'!$F$2*78.233+IFERROR(--RIGHT(A2346,6),LEN(A2346))*0.0137+IFERROR(--RIGHT(B2346,6),LEN(B2346))*0.0071))*43758.5453,1),"")</f>
        <v/>
      </c>
      <c r="E2346" s="0" t="str">
        <f aca="false">IF(C2346=1,INT(MOD(ABS(SIN(D2346*7919.123+ROW()*0.618+'הדבקת לידים'!$F$2*1.3))*43758.5453,1)*1000000)*10000+ROW(),"")</f>
        <v/>
      </c>
      <c r="F2346" s="0" t="str">
        <f aca="false">IF(E2346="","",RANK(E2346,$E$2:$E$5001,1))</f>
        <v/>
      </c>
      <c r="G2346" s="0" t="n">
        <f aca="false">IF(A2346="",0,IF(SUMPRODUCT(--($A$2:$A$5001=A2346))&gt;1,1,0))</f>
        <v>0</v>
      </c>
      <c r="H2346" s="0" t="n">
        <f aca="false">ROW()-1</f>
        <v>2345</v>
      </c>
      <c r="I2346" s="0" t="str">
        <f aca="false">IF(OR(הגדרות!$E$6=0,H2346&gt;הגדרות!$E$5),"",IF(H2346-1&lt;הגדרות!$E$8*(הגדרות!$E$7+1),INT((H2346-1)/(הגדרות!$E$7+1)),הגדרות!$E$8+INT((H2346-1-הגדרות!$E$8*(הגדרות!$E$7+1))/הגדרות!$E$7)))</f>
        <v/>
      </c>
      <c r="J2346" s="0" t="str">
        <f aca="false">IF(I2346="","",IF(H2346-1&lt;הגדרות!$E$8*(הגדרות!$E$7+1),MOD(H2346-1,הגדרות!$E$7+1),MOD(H2346-1-הגדרות!$E$8*(הגדרות!$E$7+1),הגדרות!$E$7)))</f>
        <v/>
      </c>
      <c r="K2346" s="0" t="str">
        <f aca="false">IF(I2346="","",J2346*הגדרות!$E$6+I2346+1)</f>
        <v/>
      </c>
      <c r="L2346" s="0" t="str">
        <f aca="false">IF(K2346="","",MATCH(K2346,$F$2:$F$5001,0))</f>
        <v/>
      </c>
      <c r="M2346" s="0" t="str">
        <f aca="false">IF(I2346="","",INDEX(הגדרות!$A$2:$A$21,MOD(I2346+הגדרות!$E$9,הגדרות!$E$6)+1))</f>
        <v/>
      </c>
    </row>
    <row r="2347" customFormat="false" ht="15" hidden="false" customHeight="false" outlineLevel="0" collapsed="false">
      <c r="A2347" s="0" t="str">
        <f aca="false">IF('הדבקת לידים'!A2347="","",IF(ISNUMBER('הדבקת לידים'!A2347),IF(הגדרות!$E$2&gt;0,TEXT('הדבקת לידים'!A2347,REPT("0",הגדרות!$E$2)),TEXT('הדבקת לידים'!A2347,"0")),TRIM('הדבקת לידים'!A2347)))</f>
        <v/>
      </c>
      <c r="B2347" s="0" t="str">
        <f aca="false">IF('הדבקת לידים'!B2347="","",IF(ISNUMBER('הדבקת לידים'!B2347),IF(הגדרות!$E$3&gt;0,TEXT('הדבקת לידים'!B2347,REPT("0",הגדרות!$E$3)),TEXT('הדבקת לידים'!B2347,"0")),TRIM('הדבקת לידים'!B2347)))</f>
        <v/>
      </c>
      <c r="C2347" s="0" t="n">
        <f aca="false">IF(OR(A2347&lt;&gt;"",B2347&lt;&gt;""),1,0)</f>
        <v>0</v>
      </c>
      <c r="D2347" s="0" t="str">
        <f aca="false">IF(C2347=1,MOD(ABS(SIN(ROW()*12.9898+'הדבקת לידים'!$F$2*78.233+IFERROR(--RIGHT(A2347,6),LEN(A2347))*0.0137+IFERROR(--RIGHT(B2347,6),LEN(B2347))*0.0071))*43758.5453,1),"")</f>
        <v/>
      </c>
      <c r="E2347" s="0" t="str">
        <f aca="false">IF(C2347=1,INT(MOD(ABS(SIN(D2347*7919.123+ROW()*0.618+'הדבקת לידים'!$F$2*1.3))*43758.5453,1)*1000000)*10000+ROW(),"")</f>
        <v/>
      </c>
      <c r="F2347" s="0" t="str">
        <f aca="false">IF(E2347="","",RANK(E2347,$E$2:$E$5001,1))</f>
        <v/>
      </c>
      <c r="G2347" s="0" t="n">
        <f aca="false">IF(A2347="",0,IF(SUMPRODUCT(--($A$2:$A$5001=A2347))&gt;1,1,0))</f>
        <v>0</v>
      </c>
      <c r="H2347" s="0" t="n">
        <f aca="false">ROW()-1</f>
        <v>2346</v>
      </c>
      <c r="I2347" s="0" t="str">
        <f aca="false">IF(OR(הגדרות!$E$6=0,H2347&gt;הגדרות!$E$5),"",IF(H2347-1&lt;הגדרות!$E$8*(הגדרות!$E$7+1),INT((H2347-1)/(הגדרות!$E$7+1)),הגדרות!$E$8+INT((H2347-1-הגדרות!$E$8*(הגדרות!$E$7+1))/הגדרות!$E$7)))</f>
        <v/>
      </c>
      <c r="J2347" s="0" t="str">
        <f aca="false">IF(I2347="","",IF(H2347-1&lt;הגדרות!$E$8*(הגדרות!$E$7+1),MOD(H2347-1,הגדרות!$E$7+1),MOD(H2347-1-הגדרות!$E$8*(הגדרות!$E$7+1),הגדרות!$E$7)))</f>
        <v/>
      </c>
      <c r="K2347" s="0" t="str">
        <f aca="false">IF(I2347="","",J2347*הגדרות!$E$6+I2347+1)</f>
        <v/>
      </c>
      <c r="L2347" s="0" t="str">
        <f aca="false">IF(K2347="","",MATCH(K2347,$F$2:$F$5001,0))</f>
        <v/>
      </c>
      <c r="M2347" s="0" t="str">
        <f aca="false">IF(I2347="","",INDEX(הגדרות!$A$2:$A$21,MOD(I2347+הגדרות!$E$9,הגדרות!$E$6)+1))</f>
        <v/>
      </c>
    </row>
    <row r="2348" customFormat="false" ht="15" hidden="false" customHeight="false" outlineLevel="0" collapsed="false">
      <c r="A2348" s="0" t="str">
        <f aca="false">IF('הדבקת לידים'!A2348="","",IF(ISNUMBER('הדבקת לידים'!A2348),IF(הגדרות!$E$2&gt;0,TEXT('הדבקת לידים'!A2348,REPT("0",הגדרות!$E$2)),TEXT('הדבקת לידים'!A2348,"0")),TRIM('הדבקת לידים'!A2348)))</f>
        <v/>
      </c>
      <c r="B2348" s="0" t="str">
        <f aca="false">IF('הדבקת לידים'!B2348="","",IF(ISNUMBER('הדבקת לידים'!B2348),IF(הגדרות!$E$3&gt;0,TEXT('הדבקת לידים'!B2348,REPT("0",הגדרות!$E$3)),TEXT('הדבקת לידים'!B2348,"0")),TRIM('הדבקת לידים'!B2348)))</f>
        <v/>
      </c>
      <c r="C2348" s="0" t="n">
        <f aca="false">IF(OR(A2348&lt;&gt;"",B2348&lt;&gt;""),1,0)</f>
        <v>0</v>
      </c>
      <c r="D2348" s="0" t="str">
        <f aca="false">IF(C2348=1,MOD(ABS(SIN(ROW()*12.9898+'הדבקת לידים'!$F$2*78.233+IFERROR(--RIGHT(A2348,6),LEN(A2348))*0.0137+IFERROR(--RIGHT(B2348,6),LEN(B2348))*0.0071))*43758.5453,1),"")</f>
        <v/>
      </c>
      <c r="E2348" s="0" t="str">
        <f aca="false">IF(C2348=1,INT(MOD(ABS(SIN(D2348*7919.123+ROW()*0.618+'הדבקת לידים'!$F$2*1.3))*43758.5453,1)*1000000)*10000+ROW(),"")</f>
        <v/>
      </c>
      <c r="F2348" s="0" t="str">
        <f aca="false">IF(E2348="","",RANK(E2348,$E$2:$E$5001,1))</f>
        <v/>
      </c>
      <c r="G2348" s="0" t="n">
        <f aca="false">IF(A2348="",0,IF(SUMPRODUCT(--($A$2:$A$5001=A2348))&gt;1,1,0))</f>
        <v>0</v>
      </c>
      <c r="H2348" s="0" t="n">
        <f aca="false">ROW()-1</f>
        <v>2347</v>
      </c>
      <c r="I2348" s="0" t="str">
        <f aca="false">IF(OR(הגדרות!$E$6=0,H2348&gt;הגדרות!$E$5),"",IF(H2348-1&lt;הגדרות!$E$8*(הגדרות!$E$7+1),INT((H2348-1)/(הגדרות!$E$7+1)),הגדרות!$E$8+INT((H2348-1-הגדרות!$E$8*(הגדרות!$E$7+1))/הגדרות!$E$7)))</f>
        <v/>
      </c>
      <c r="J2348" s="0" t="str">
        <f aca="false">IF(I2348="","",IF(H2348-1&lt;הגדרות!$E$8*(הגדרות!$E$7+1),MOD(H2348-1,הגדרות!$E$7+1),MOD(H2348-1-הגדרות!$E$8*(הגדרות!$E$7+1),הגדרות!$E$7)))</f>
        <v/>
      </c>
      <c r="K2348" s="0" t="str">
        <f aca="false">IF(I2348="","",J2348*הגדרות!$E$6+I2348+1)</f>
        <v/>
      </c>
      <c r="L2348" s="0" t="str">
        <f aca="false">IF(K2348="","",MATCH(K2348,$F$2:$F$5001,0))</f>
        <v/>
      </c>
      <c r="M2348" s="0" t="str">
        <f aca="false">IF(I2348="","",INDEX(הגדרות!$A$2:$A$21,MOD(I2348+הגדרות!$E$9,הגדרות!$E$6)+1))</f>
        <v/>
      </c>
    </row>
    <row r="2349" customFormat="false" ht="15" hidden="false" customHeight="false" outlineLevel="0" collapsed="false">
      <c r="A2349" s="0" t="str">
        <f aca="false">IF('הדבקת לידים'!A2349="","",IF(ISNUMBER('הדבקת לידים'!A2349),IF(הגדרות!$E$2&gt;0,TEXT('הדבקת לידים'!A2349,REPT("0",הגדרות!$E$2)),TEXT('הדבקת לידים'!A2349,"0")),TRIM('הדבקת לידים'!A2349)))</f>
        <v/>
      </c>
      <c r="B2349" s="0" t="str">
        <f aca="false">IF('הדבקת לידים'!B2349="","",IF(ISNUMBER('הדבקת לידים'!B2349),IF(הגדרות!$E$3&gt;0,TEXT('הדבקת לידים'!B2349,REPT("0",הגדרות!$E$3)),TEXT('הדבקת לידים'!B2349,"0")),TRIM('הדבקת לידים'!B2349)))</f>
        <v/>
      </c>
      <c r="C2349" s="0" t="n">
        <f aca="false">IF(OR(A2349&lt;&gt;"",B2349&lt;&gt;""),1,0)</f>
        <v>0</v>
      </c>
      <c r="D2349" s="0" t="str">
        <f aca="false">IF(C2349=1,MOD(ABS(SIN(ROW()*12.9898+'הדבקת לידים'!$F$2*78.233+IFERROR(--RIGHT(A2349,6),LEN(A2349))*0.0137+IFERROR(--RIGHT(B2349,6),LEN(B2349))*0.0071))*43758.5453,1),"")</f>
        <v/>
      </c>
      <c r="E2349" s="0" t="str">
        <f aca="false">IF(C2349=1,INT(MOD(ABS(SIN(D2349*7919.123+ROW()*0.618+'הדבקת לידים'!$F$2*1.3))*43758.5453,1)*1000000)*10000+ROW(),"")</f>
        <v/>
      </c>
      <c r="F2349" s="0" t="str">
        <f aca="false">IF(E2349="","",RANK(E2349,$E$2:$E$5001,1))</f>
        <v/>
      </c>
      <c r="G2349" s="0" t="n">
        <f aca="false">IF(A2349="",0,IF(SUMPRODUCT(--($A$2:$A$5001=A2349))&gt;1,1,0))</f>
        <v>0</v>
      </c>
      <c r="H2349" s="0" t="n">
        <f aca="false">ROW()-1</f>
        <v>2348</v>
      </c>
      <c r="I2349" s="0" t="str">
        <f aca="false">IF(OR(הגדרות!$E$6=0,H2349&gt;הגדרות!$E$5),"",IF(H2349-1&lt;הגדרות!$E$8*(הגדרות!$E$7+1),INT((H2349-1)/(הגדרות!$E$7+1)),הגדרות!$E$8+INT((H2349-1-הגדרות!$E$8*(הגדרות!$E$7+1))/הגדרות!$E$7)))</f>
        <v/>
      </c>
      <c r="J2349" s="0" t="str">
        <f aca="false">IF(I2349="","",IF(H2349-1&lt;הגדרות!$E$8*(הגדרות!$E$7+1),MOD(H2349-1,הגדרות!$E$7+1),MOD(H2349-1-הגדרות!$E$8*(הגדרות!$E$7+1),הגדרות!$E$7)))</f>
        <v/>
      </c>
      <c r="K2349" s="0" t="str">
        <f aca="false">IF(I2349="","",J2349*הגדרות!$E$6+I2349+1)</f>
        <v/>
      </c>
      <c r="L2349" s="0" t="str">
        <f aca="false">IF(K2349="","",MATCH(K2349,$F$2:$F$5001,0))</f>
        <v/>
      </c>
      <c r="M2349" s="0" t="str">
        <f aca="false">IF(I2349="","",INDEX(הגדרות!$A$2:$A$21,MOD(I2349+הגדרות!$E$9,הגדרות!$E$6)+1))</f>
        <v/>
      </c>
    </row>
    <row r="2350" customFormat="false" ht="15" hidden="false" customHeight="false" outlineLevel="0" collapsed="false">
      <c r="A2350" s="0" t="str">
        <f aca="false">IF('הדבקת לידים'!A2350="","",IF(ISNUMBER('הדבקת לידים'!A2350),IF(הגדרות!$E$2&gt;0,TEXT('הדבקת לידים'!A2350,REPT("0",הגדרות!$E$2)),TEXT('הדבקת לידים'!A2350,"0")),TRIM('הדבקת לידים'!A2350)))</f>
        <v/>
      </c>
      <c r="B2350" s="0" t="str">
        <f aca="false">IF('הדבקת לידים'!B2350="","",IF(ISNUMBER('הדבקת לידים'!B2350),IF(הגדרות!$E$3&gt;0,TEXT('הדבקת לידים'!B2350,REPT("0",הגדרות!$E$3)),TEXT('הדבקת לידים'!B2350,"0")),TRIM('הדבקת לידים'!B2350)))</f>
        <v/>
      </c>
      <c r="C2350" s="0" t="n">
        <f aca="false">IF(OR(A2350&lt;&gt;"",B2350&lt;&gt;""),1,0)</f>
        <v>0</v>
      </c>
      <c r="D2350" s="0" t="str">
        <f aca="false">IF(C2350=1,MOD(ABS(SIN(ROW()*12.9898+'הדבקת לידים'!$F$2*78.233+IFERROR(--RIGHT(A2350,6),LEN(A2350))*0.0137+IFERROR(--RIGHT(B2350,6),LEN(B2350))*0.0071))*43758.5453,1),"")</f>
        <v/>
      </c>
      <c r="E2350" s="0" t="str">
        <f aca="false">IF(C2350=1,INT(MOD(ABS(SIN(D2350*7919.123+ROW()*0.618+'הדבקת לידים'!$F$2*1.3))*43758.5453,1)*1000000)*10000+ROW(),"")</f>
        <v/>
      </c>
      <c r="F2350" s="0" t="str">
        <f aca="false">IF(E2350="","",RANK(E2350,$E$2:$E$5001,1))</f>
        <v/>
      </c>
      <c r="G2350" s="0" t="n">
        <f aca="false">IF(A2350="",0,IF(SUMPRODUCT(--($A$2:$A$5001=A2350))&gt;1,1,0))</f>
        <v>0</v>
      </c>
      <c r="H2350" s="0" t="n">
        <f aca="false">ROW()-1</f>
        <v>2349</v>
      </c>
      <c r="I2350" s="0" t="str">
        <f aca="false">IF(OR(הגדרות!$E$6=0,H2350&gt;הגדרות!$E$5),"",IF(H2350-1&lt;הגדרות!$E$8*(הגדרות!$E$7+1),INT((H2350-1)/(הגדרות!$E$7+1)),הגדרות!$E$8+INT((H2350-1-הגדרות!$E$8*(הגדרות!$E$7+1))/הגדרות!$E$7)))</f>
        <v/>
      </c>
      <c r="J2350" s="0" t="str">
        <f aca="false">IF(I2350="","",IF(H2350-1&lt;הגדרות!$E$8*(הגדרות!$E$7+1),MOD(H2350-1,הגדרות!$E$7+1),MOD(H2350-1-הגדרות!$E$8*(הגדרות!$E$7+1),הגדרות!$E$7)))</f>
        <v/>
      </c>
      <c r="K2350" s="0" t="str">
        <f aca="false">IF(I2350="","",J2350*הגדרות!$E$6+I2350+1)</f>
        <v/>
      </c>
      <c r="L2350" s="0" t="str">
        <f aca="false">IF(K2350="","",MATCH(K2350,$F$2:$F$5001,0))</f>
        <v/>
      </c>
      <c r="M2350" s="0" t="str">
        <f aca="false">IF(I2350="","",INDEX(הגדרות!$A$2:$A$21,MOD(I2350+הגדרות!$E$9,הגדרות!$E$6)+1))</f>
        <v/>
      </c>
    </row>
    <row r="2351" customFormat="false" ht="15" hidden="false" customHeight="false" outlineLevel="0" collapsed="false">
      <c r="A2351" s="0" t="str">
        <f aca="false">IF('הדבקת לידים'!A2351="","",IF(ISNUMBER('הדבקת לידים'!A2351),IF(הגדרות!$E$2&gt;0,TEXT('הדבקת לידים'!A2351,REPT("0",הגדרות!$E$2)),TEXT('הדבקת לידים'!A2351,"0")),TRIM('הדבקת לידים'!A2351)))</f>
        <v/>
      </c>
      <c r="B2351" s="0" t="str">
        <f aca="false">IF('הדבקת לידים'!B2351="","",IF(ISNUMBER('הדבקת לידים'!B2351),IF(הגדרות!$E$3&gt;0,TEXT('הדבקת לידים'!B2351,REPT("0",הגדרות!$E$3)),TEXT('הדבקת לידים'!B2351,"0")),TRIM('הדבקת לידים'!B2351)))</f>
        <v/>
      </c>
      <c r="C2351" s="0" t="n">
        <f aca="false">IF(OR(A2351&lt;&gt;"",B2351&lt;&gt;""),1,0)</f>
        <v>0</v>
      </c>
      <c r="D2351" s="0" t="str">
        <f aca="false">IF(C2351=1,MOD(ABS(SIN(ROW()*12.9898+'הדבקת לידים'!$F$2*78.233+IFERROR(--RIGHT(A2351,6),LEN(A2351))*0.0137+IFERROR(--RIGHT(B2351,6),LEN(B2351))*0.0071))*43758.5453,1),"")</f>
        <v/>
      </c>
      <c r="E2351" s="0" t="str">
        <f aca="false">IF(C2351=1,INT(MOD(ABS(SIN(D2351*7919.123+ROW()*0.618+'הדבקת לידים'!$F$2*1.3))*43758.5453,1)*1000000)*10000+ROW(),"")</f>
        <v/>
      </c>
      <c r="F2351" s="0" t="str">
        <f aca="false">IF(E2351="","",RANK(E2351,$E$2:$E$5001,1))</f>
        <v/>
      </c>
      <c r="G2351" s="0" t="n">
        <f aca="false">IF(A2351="",0,IF(SUMPRODUCT(--($A$2:$A$5001=A2351))&gt;1,1,0))</f>
        <v>0</v>
      </c>
      <c r="H2351" s="0" t="n">
        <f aca="false">ROW()-1</f>
        <v>2350</v>
      </c>
      <c r="I2351" s="0" t="str">
        <f aca="false">IF(OR(הגדרות!$E$6=0,H2351&gt;הגדרות!$E$5),"",IF(H2351-1&lt;הגדרות!$E$8*(הגדרות!$E$7+1),INT((H2351-1)/(הגדרות!$E$7+1)),הגדרות!$E$8+INT((H2351-1-הגדרות!$E$8*(הגדרות!$E$7+1))/הגדרות!$E$7)))</f>
        <v/>
      </c>
      <c r="J2351" s="0" t="str">
        <f aca="false">IF(I2351="","",IF(H2351-1&lt;הגדרות!$E$8*(הגדרות!$E$7+1),MOD(H2351-1,הגדרות!$E$7+1),MOD(H2351-1-הגדרות!$E$8*(הגדרות!$E$7+1),הגדרות!$E$7)))</f>
        <v/>
      </c>
      <c r="K2351" s="0" t="str">
        <f aca="false">IF(I2351="","",J2351*הגדרות!$E$6+I2351+1)</f>
        <v/>
      </c>
      <c r="L2351" s="0" t="str">
        <f aca="false">IF(K2351="","",MATCH(K2351,$F$2:$F$5001,0))</f>
        <v/>
      </c>
      <c r="M2351" s="0" t="str">
        <f aca="false">IF(I2351="","",INDEX(הגדרות!$A$2:$A$21,MOD(I2351+הגדרות!$E$9,הגדרות!$E$6)+1))</f>
        <v/>
      </c>
    </row>
    <row r="2352" customFormat="false" ht="15" hidden="false" customHeight="false" outlineLevel="0" collapsed="false">
      <c r="A2352" s="0" t="str">
        <f aca="false">IF('הדבקת לידים'!A2352="","",IF(ISNUMBER('הדבקת לידים'!A2352),IF(הגדרות!$E$2&gt;0,TEXT('הדבקת לידים'!A2352,REPT("0",הגדרות!$E$2)),TEXT('הדבקת לידים'!A2352,"0")),TRIM('הדבקת לידים'!A2352)))</f>
        <v/>
      </c>
      <c r="B2352" s="0" t="str">
        <f aca="false">IF('הדבקת לידים'!B2352="","",IF(ISNUMBER('הדבקת לידים'!B2352),IF(הגדרות!$E$3&gt;0,TEXT('הדבקת לידים'!B2352,REPT("0",הגדרות!$E$3)),TEXT('הדבקת לידים'!B2352,"0")),TRIM('הדבקת לידים'!B2352)))</f>
        <v/>
      </c>
      <c r="C2352" s="0" t="n">
        <f aca="false">IF(OR(A2352&lt;&gt;"",B2352&lt;&gt;""),1,0)</f>
        <v>0</v>
      </c>
      <c r="D2352" s="0" t="str">
        <f aca="false">IF(C2352=1,MOD(ABS(SIN(ROW()*12.9898+'הדבקת לידים'!$F$2*78.233+IFERROR(--RIGHT(A2352,6),LEN(A2352))*0.0137+IFERROR(--RIGHT(B2352,6),LEN(B2352))*0.0071))*43758.5453,1),"")</f>
        <v/>
      </c>
      <c r="E2352" s="0" t="str">
        <f aca="false">IF(C2352=1,INT(MOD(ABS(SIN(D2352*7919.123+ROW()*0.618+'הדבקת לידים'!$F$2*1.3))*43758.5453,1)*1000000)*10000+ROW(),"")</f>
        <v/>
      </c>
      <c r="F2352" s="0" t="str">
        <f aca="false">IF(E2352="","",RANK(E2352,$E$2:$E$5001,1))</f>
        <v/>
      </c>
      <c r="G2352" s="0" t="n">
        <f aca="false">IF(A2352="",0,IF(SUMPRODUCT(--($A$2:$A$5001=A2352))&gt;1,1,0))</f>
        <v>0</v>
      </c>
      <c r="H2352" s="0" t="n">
        <f aca="false">ROW()-1</f>
        <v>2351</v>
      </c>
      <c r="I2352" s="0" t="str">
        <f aca="false">IF(OR(הגדרות!$E$6=0,H2352&gt;הגדרות!$E$5),"",IF(H2352-1&lt;הגדרות!$E$8*(הגדרות!$E$7+1),INT((H2352-1)/(הגדרות!$E$7+1)),הגדרות!$E$8+INT((H2352-1-הגדרות!$E$8*(הגדרות!$E$7+1))/הגדרות!$E$7)))</f>
        <v/>
      </c>
      <c r="J2352" s="0" t="str">
        <f aca="false">IF(I2352="","",IF(H2352-1&lt;הגדרות!$E$8*(הגדרות!$E$7+1),MOD(H2352-1,הגדרות!$E$7+1),MOD(H2352-1-הגדרות!$E$8*(הגדרות!$E$7+1),הגדרות!$E$7)))</f>
        <v/>
      </c>
      <c r="K2352" s="0" t="str">
        <f aca="false">IF(I2352="","",J2352*הגדרות!$E$6+I2352+1)</f>
        <v/>
      </c>
      <c r="L2352" s="0" t="str">
        <f aca="false">IF(K2352="","",MATCH(K2352,$F$2:$F$5001,0))</f>
        <v/>
      </c>
      <c r="M2352" s="0" t="str">
        <f aca="false">IF(I2352="","",INDEX(הגדרות!$A$2:$A$21,MOD(I2352+הגדרות!$E$9,הגדרות!$E$6)+1))</f>
        <v/>
      </c>
    </row>
    <row r="2353" customFormat="false" ht="15" hidden="false" customHeight="false" outlineLevel="0" collapsed="false">
      <c r="A2353" s="0" t="str">
        <f aca="false">IF('הדבקת לידים'!A2353="","",IF(ISNUMBER('הדבקת לידים'!A2353),IF(הגדרות!$E$2&gt;0,TEXT('הדבקת לידים'!A2353,REPT("0",הגדרות!$E$2)),TEXT('הדבקת לידים'!A2353,"0")),TRIM('הדבקת לידים'!A2353)))</f>
        <v/>
      </c>
      <c r="B2353" s="0" t="str">
        <f aca="false">IF('הדבקת לידים'!B2353="","",IF(ISNUMBER('הדבקת לידים'!B2353),IF(הגדרות!$E$3&gt;0,TEXT('הדבקת לידים'!B2353,REPT("0",הגדרות!$E$3)),TEXT('הדבקת לידים'!B2353,"0")),TRIM('הדבקת לידים'!B2353)))</f>
        <v/>
      </c>
      <c r="C2353" s="0" t="n">
        <f aca="false">IF(OR(A2353&lt;&gt;"",B2353&lt;&gt;""),1,0)</f>
        <v>0</v>
      </c>
      <c r="D2353" s="0" t="str">
        <f aca="false">IF(C2353=1,MOD(ABS(SIN(ROW()*12.9898+'הדבקת לידים'!$F$2*78.233+IFERROR(--RIGHT(A2353,6),LEN(A2353))*0.0137+IFERROR(--RIGHT(B2353,6),LEN(B2353))*0.0071))*43758.5453,1),"")</f>
        <v/>
      </c>
      <c r="E2353" s="0" t="str">
        <f aca="false">IF(C2353=1,INT(MOD(ABS(SIN(D2353*7919.123+ROW()*0.618+'הדבקת לידים'!$F$2*1.3))*43758.5453,1)*1000000)*10000+ROW(),"")</f>
        <v/>
      </c>
      <c r="F2353" s="0" t="str">
        <f aca="false">IF(E2353="","",RANK(E2353,$E$2:$E$5001,1))</f>
        <v/>
      </c>
      <c r="G2353" s="0" t="n">
        <f aca="false">IF(A2353="",0,IF(SUMPRODUCT(--($A$2:$A$5001=A2353))&gt;1,1,0))</f>
        <v>0</v>
      </c>
      <c r="H2353" s="0" t="n">
        <f aca="false">ROW()-1</f>
        <v>2352</v>
      </c>
      <c r="I2353" s="0" t="str">
        <f aca="false">IF(OR(הגדרות!$E$6=0,H2353&gt;הגדרות!$E$5),"",IF(H2353-1&lt;הגדרות!$E$8*(הגדרות!$E$7+1),INT((H2353-1)/(הגדרות!$E$7+1)),הגדרות!$E$8+INT((H2353-1-הגדרות!$E$8*(הגדרות!$E$7+1))/הגדרות!$E$7)))</f>
        <v/>
      </c>
      <c r="J2353" s="0" t="str">
        <f aca="false">IF(I2353="","",IF(H2353-1&lt;הגדרות!$E$8*(הגדרות!$E$7+1),MOD(H2353-1,הגדרות!$E$7+1),MOD(H2353-1-הגדרות!$E$8*(הגדרות!$E$7+1),הגדרות!$E$7)))</f>
        <v/>
      </c>
      <c r="K2353" s="0" t="str">
        <f aca="false">IF(I2353="","",J2353*הגדרות!$E$6+I2353+1)</f>
        <v/>
      </c>
      <c r="L2353" s="0" t="str">
        <f aca="false">IF(K2353="","",MATCH(K2353,$F$2:$F$5001,0))</f>
        <v/>
      </c>
      <c r="M2353" s="0" t="str">
        <f aca="false">IF(I2353="","",INDEX(הגדרות!$A$2:$A$21,MOD(I2353+הגדרות!$E$9,הגדרות!$E$6)+1))</f>
        <v/>
      </c>
    </row>
    <row r="2354" customFormat="false" ht="15" hidden="false" customHeight="false" outlineLevel="0" collapsed="false">
      <c r="A2354" s="0" t="str">
        <f aca="false">IF('הדבקת לידים'!A2354="","",IF(ISNUMBER('הדבקת לידים'!A2354),IF(הגדרות!$E$2&gt;0,TEXT('הדבקת לידים'!A2354,REPT("0",הגדרות!$E$2)),TEXT('הדבקת לידים'!A2354,"0")),TRIM('הדבקת לידים'!A2354)))</f>
        <v/>
      </c>
      <c r="B2354" s="0" t="str">
        <f aca="false">IF('הדבקת לידים'!B2354="","",IF(ISNUMBER('הדבקת לידים'!B2354),IF(הגדרות!$E$3&gt;0,TEXT('הדבקת לידים'!B2354,REPT("0",הגדרות!$E$3)),TEXT('הדבקת לידים'!B2354,"0")),TRIM('הדבקת לידים'!B2354)))</f>
        <v/>
      </c>
      <c r="C2354" s="0" t="n">
        <f aca="false">IF(OR(A2354&lt;&gt;"",B2354&lt;&gt;""),1,0)</f>
        <v>0</v>
      </c>
      <c r="D2354" s="0" t="str">
        <f aca="false">IF(C2354=1,MOD(ABS(SIN(ROW()*12.9898+'הדבקת לידים'!$F$2*78.233+IFERROR(--RIGHT(A2354,6),LEN(A2354))*0.0137+IFERROR(--RIGHT(B2354,6),LEN(B2354))*0.0071))*43758.5453,1),"")</f>
        <v/>
      </c>
      <c r="E2354" s="0" t="str">
        <f aca="false">IF(C2354=1,INT(MOD(ABS(SIN(D2354*7919.123+ROW()*0.618+'הדבקת לידים'!$F$2*1.3))*43758.5453,1)*1000000)*10000+ROW(),"")</f>
        <v/>
      </c>
      <c r="F2354" s="0" t="str">
        <f aca="false">IF(E2354="","",RANK(E2354,$E$2:$E$5001,1))</f>
        <v/>
      </c>
      <c r="G2354" s="0" t="n">
        <f aca="false">IF(A2354="",0,IF(SUMPRODUCT(--($A$2:$A$5001=A2354))&gt;1,1,0))</f>
        <v>0</v>
      </c>
      <c r="H2354" s="0" t="n">
        <f aca="false">ROW()-1</f>
        <v>2353</v>
      </c>
      <c r="I2354" s="0" t="str">
        <f aca="false">IF(OR(הגדרות!$E$6=0,H2354&gt;הגדרות!$E$5),"",IF(H2354-1&lt;הגדרות!$E$8*(הגדרות!$E$7+1),INT((H2354-1)/(הגדרות!$E$7+1)),הגדרות!$E$8+INT((H2354-1-הגדרות!$E$8*(הגדרות!$E$7+1))/הגדרות!$E$7)))</f>
        <v/>
      </c>
      <c r="J2354" s="0" t="str">
        <f aca="false">IF(I2354="","",IF(H2354-1&lt;הגדרות!$E$8*(הגדרות!$E$7+1),MOD(H2354-1,הגדרות!$E$7+1),MOD(H2354-1-הגדרות!$E$8*(הגדרות!$E$7+1),הגדרות!$E$7)))</f>
        <v/>
      </c>
      <c r="K2354" s="0" t="str">
        <f aca="false">IF(I2354="","",J2354*הגדרות!$E$6+I2354+1)</f>
        <v/>
      </c>
      <c r="L2354" s="0" t="str">
        <f aca="false">IF(K2354="","",MATCH(K2354,$F$2:$F$5001,0))</f>
        <v/>
      </c>
      <c r="M2354" s="0" t="str">
        <f aca="false">IF(I2354="","",INDEX(הגדרות!$A$2:$A$21,MOD(I2354+הגדרות!$E$9,הגדרות!$E$6)+1))</f>
        <v/>
      </c>
    </row>
    <row r="2355" customFormat="false" ht="15" hidden="false" customHeight="false" outlineLevel="0" collapsed="false">
      <c r="A2355" s="0" t="str">
        <f aca="false">IF('הדבקת לידים'!A2355="","",IF(ISNUMBER('הדבקת לידים'!A2355),IF(הגדרות!$E$2&gt;0,TEXT('הדבקת לידים'!A2355,REPT("0",הגדרות!$E$2)),TEXT('הדבקת לידים'!A2355,"0")),TRIM('הדבקת לידים'!A2355)))</f>
        <v/>
      </c>
      <c r="B2355" s="0" t="str">
        <f aca="false">IF('הדבקת לידים'!B2355="","",IF(ISNUMBER('הדבקת לידים'!B2355),IF(הגדרות!$E$3&gt;0,TEXT('הדבקת לידים'!B2355,REPT("0",הגדרות!$E$3)),TEXT('הדבקת לידים'!B2355,"0")),TRIM('הדבקת לידים'!B2355)))</f>
        <v/>
      </c>
      <c r="C2355" s="0" t="n">
        <f aca="false">IF(OR(A2355&lt;&gt;"",B2355&lt;&gt;""),1,0)</f>
        <v>0</v>
      </c>
      <c r="D2355" s="0" t="str">
        <f aca="false">IF(C2355=1,MOD(ABS(SIN(ROW()*12.9898+'הדבקת לידים'!$F$2*78.233+IFERROR(--RIGHT(A2355,6),LEN(A2355))*0.0137+IFERROR(--RIGHT(B2355,6),LEN(B2355))*0.0071))*43758.5453,1),"")</f>
        <v/>
      </c>
      <c r="E2355" s="0" t="str">
        <f aca="false">IF(C2355=1,INT(MOD(ABS(SIN(D2355*7919.123+ROW()*0.618+'הדבקת לידים'!$F$2*1.3))*43758.5453,1)*1000000)*10000+ROW(),"")</f>
        <v/>
      </c>
      <c r="F2355" s="0" t="str">
        <f aca="false">IF(E2355="","",RANK(E2355,$E$2:$E$5001,1))</f>
        <v/>
      </c>
      <c r="G2355" s="0" t="n">
        <f aca="false">IF(A2355="",0,IF(SUMPRODUCT(--($A$2:$A$5001=A2355))&gt;1,1,0))</f>
        <v>0</v>
      </c>
      <c r="H2355" s="0" t="n">
        <f aca="false">ROW()-1</f>
        <v>2354</v>
      </c>
      <c r="I2355" s="0" t="str">
        <f aca="false">IF(OR(הגדרות!$E$6=0,H2355&gt;הגדרות!$E$5),"",IF(H2355-1&lt;הגדרות!$E$8*(הגדרות!$E$7+1),INT((H2355-1)/(הגדרות!$E$7+1)),הגדרות!$E$8+INT((H2355-1-הגדרות!$E$8*(הגדרות!$E$7+1))/הגדרות!$E$7)))</f>
        <v/>
      </c>
      <c r="J2355" s="0" t="str">
        <f aca="false">IF(I2355="","",IF(H2355-1&lt;הגדרות!$E$8*(הגדרות!$E$7+1),MOD(H2355-1,הגדרות!$E$7+1),MOD(H2355-1-הגדרות!$E$8*(הגדרות!$E$7+1),הגדרות!$E$7)))</f>
        <v/>
      </c>
      <c r="K2355" s="0" t="str">
        <f aca="false">IF(I2355="","",J2355*הגדרות!$E$6+I2355+1)</f>
        <v/>
      </c>
      <c r="L2355" s="0" t="str">
        <f aca="false">IF(K2355="","",MATCH(K2355,$F$2:$F$5001,0))</f>
        <v/>
      </c>
      <c r="M2355" s="0" t="str">
        <f aca="false">IF(I2355="","",INDEX(הגדרות!$A$2:$A$21,MOD(I2355+הגדרות!$E$9,הגדרות!$E$6)+1))</f>
        <v/>
      </c>
    </row>
    <row r="2356" customFormat="false" ht="15" hidden="false" customHeight="false" outlineLevel="0" collapsed="false">
      <c r="A2356" s="0" t="str">
        <f aca="false">IF('הדבקת לידים'!A2356="","",IF(ISNUMBER('הדבקת לידים'!A2356),IF(הגדרות!$E$2&gt;0,TEXT('הדבקת לידים'!A2356,REPT("0",הגדרות!$E$2)),TEXT('הדבקת לידים'!A2356,"0")),TRIM('הדבקת לידים'!A2356)))</f>
        <v/>
      </c>
      <c r="B2356" s="0" t="str">
        <f aca="false">IF('הדבקת לידים'!B2356="","",IF(ISNUMBER('הדבקת לידים'!B2356),IF(הגדרות!$E$3&gt;0,TEXT('הדבקת לידים'!B2356,REPT("0",הגדרות!$E$3)),TEXT('הדבקת לידים'!B2356,"0")),TRIM('הדבקת לידים'!B2356)))</f>
        <v/>
      </c>
      <c r="C2356" s="0" t="n">
        <f aca="false">IF(OR(A2356&lt;&gt;"",B2356&lt;&gt;""),1,0)</f>
        <v>0</v>
      </c>
      <c r="D2356" s="0" t="str">
        <f aca="false">IF(C2356=1,MOD(ABS(SIN(ROW()*12.9898+'הדבקת לידים'!$F$2*78.233+IFERROR(--RIGHT(A2356,6),LEN(A2356))*0.0137+IFERROR(--RIGHT(B2356,6),LEN(B2356))*0.0071))*43758.5453,1),"")</f>
        <v/>
      </c>
      <c r="E2356" s="0" t="str">
        <f aca="false">IF(C2356=1,INT(MOD(ABS(SIN(D2356*7919.123+ROW()*0.618+'הדבקת לידים'!$F$2*1.3))*43758.5453,1)*1000000)*10000+ROW(),"")</f>
        <v/>
      </c>
      <c r="F2356" s="0" t="str">
        <f aca="false">IF(E2356="","",RANK(E2356,$E$2:$E$5001,1))</f>
        <v/>
      </c>
      <c r="G2356" s="0" t="n">
        <f aca="false">IF(A2356="",0,IF(SUMPRODUCT(--($A$2:$A$5001=A2356))&gt;1,1,0))</f>
        <v>0</v>
      </c>
      <c r="H2356" s="0" t="n">
        <f aca="false">ROW()-1</f>
        <v>2355</v>
      </c>
      <c r="I2356" s="0" t="str">
        <f aca="false">IF(OR(הגדרות!$E$6=0,H2356&gt;הגדרות!$E$5),"",IF(H2356-1&lt;הגדרות!$E$8*(הגדרות!$E$7+1),INT((H2356-1)/(הגדרות!$E$7+1)),הגדרות!$E$8+INT((H2356-1-הגדרות!$E$8*(הגדרות!$E$7+1))/הגדרות!$E$7)))</f>
        <v/>
      </c>
      <c r="J2356" s="0" t="str">
        <f aca="false">IF(I2356="","",IF(H2356-1&lt;הגדרות!$E$8*(הגדרות!$E$7+1),MOD(H2356-1,הגדרות!$E$7+1),MOD(H2356-1-הגדרות!$E$8*(הגדרות!$E$7+1),הגדרות!$E$7)))</f>
        <v/>
      </c>
      <c r="K2356" s="0" t="str">
        <f aca="false">IF(I2356="","",J2356*הגדרות!$E$6+I2356+1)</f>
        <v/>
      </c>
      <c r="L2356" s="0" t="str">
        <f aca="false">IF(K2356="","",MATCH(K2356,$F$2:$F$5001,0))</f>
        <v/>
      </c>
      <c r="M2356" s="0" t="str">
        <f aca="false">IF(I2356="","",INDEX(הגדרות!$A$2:$A$21,MOD(I2356+הגדרות!$E$9,הגדרות!$E$6)+1))</f>
        <v/>
      </c>
    </row>
    <row r="2357" customFormat="false" ht="15" hidden="false" customHeight="false" outlineLevel="0" collapsed="false">
      <c r="A2357" s="0" t="str">
        <f aca="false">IF('הדבקת לידים'!A2357="","",IF(ISNUMBER('הדבקת לידים'!A2357),IF(הגדרות!$E$2&gt;0,TEXT('הדבקת לידים'!A2357,REPT("0",הגדרות!$E$2)),TEXT('הדבקת לידים'!A2357,"0")),TRIM('הדבקת לידים'!A2357)))</f>
        <v/>
      </c>
      <c r="B2357" s="0" t="str">
        <f aca="false">IF('הדבקת לידים'!B2357="","",IF(ISNUMBER('הדבקת לידים'!B2357),IF(הגדרות!$E$3&gt;0,TEXT('הדבקת לידים'!B2357,REPT("0",הגדרות!$E$3)),TEXT('הדבקת לידים'!B2357,"0")),TRIM('הדבקת לידים'!B2357)))</f>
        <v/>
      </c>
      <c r="C2357" s="0" t="n">
        <f aca="false">IF(OR(A2357&lt;&gt;"",B2357&lt;&gt;""),1,0)</f>
        <v>0</v>
      </c>
      <c r="D2357" s="0" t="str">
        <f aca="false">IF(C2357=1,MOD(ABS(SIN(ROW()*12.9898+'הדבקת לידים'!$F$2*78.233+IFERROR(--RIGHT(A2357,6),LEN(A2357))*0.0137+IFERROR(--RIGHT(B2357,6),LEN(B2357))*0.0071))*43758.5453,1),"")</f>
        <v/>
      </c>
      <c r="E2357" s="0" t="str">
        <f aca="false">IF(C2357=1,INT(MOD(ABS(SIN(D2357*7919.123+ROW()*0.618+'הדבקת לידים'!$F$2*1.3))*43758.5453,1)*1000000)*10000+ROW(),"")</f>
        <v/>
      </c>
      <c r="F2357" s="0" t="str">
        <f aca="false">IF(E2357="","",RANK(E2357,$E$2:$E$5001,1))</f>
        <v/>
      </c>
      <c r="G2357" s="0" t="n">
        <f aca="false">IF(A2357="",0,IF(SUMPRODUCT(--($A$2:$A$5001=A2357))&gt;1,1,0))</f>
        <v>0</v>
      </c>
      <c r="H2357" s="0" t="n">
        <f aca="false">ROW()-1</f>
        <v>2356</v>
      </c>
      <c r="I2357" s="0" t="str">
        <f aca="false">IF(OR(הגדרות!$E$6=0,H2357&gt;הגדרות!$E$5),"",IF(H2357-1&lt;הגדרות!$E$8*(הגדרות!$E$7+1),INT((H2357-1)/(הגדרות!$E$7+1)),הגדרות!$E$8+INT((H2357-1-הגדרות!$E$8*(הגדרות!$E$7+1))/הגדרות!$E$7)))</f>
        <v/>
      </c>
      <c r="J2357" s="0" t="str">
        <f aca="false">IF(I2357="","",IF(H2357-1&lt;הגדרות!$E$8*(הגדרות!$E$7+1),MOD(H2357-1,הגדרות!$E$7+1),MOD(H2357-1-הגדרות!$E$8*(הגדרות!$E$7+1),הגדרות!$E$7)))</f>
        <v/>
      </c>
      <c r="K2357" s="0" t="str">
        <f aca="false">IF(I2357="","",J2357*הגדרות!$E$6+I2357+1)</f>
        <v/>
      </c>
      <c r="L2357" s="0" t="str">
        <f aca="false">IF(K2357="","",MATCH(K2357,$F$2:$F$5001,0))</f>
        <v/>
      </c>
      <c r="M2357" s="0" t="str">
        <f aca="false">IF(I2357="","",INDEX(הגדרות!$A$2:$A$21,MOD(I2357+הגדרות!$E$9,הגדרות!$E$6)+1))</f>
        <v/>
      </c>
    </row>
    <row r="2358" customFormat="false" ht="15" hidden="false" customHeight="false" outlineLevel="0" collapsed="false">
      <c r="A2358" s="0" t="str">
        <f aca="false">IF('הדבקת לידים'!A2358="","",IF(ISNUMBER('הדבקת לידים'!A2358),IF(הגדרות!$E$2&gt;0,TEXT('הדבקת לידים'!A2358,REPT("0",הגדרות!$E$2)),TEXT('הדבקת לידים'!A2358,"0")),TRIM('הדבקת לידים'!A2358)))</f>
        <v/>
      </c>
      <c r="B2358" s="0" t="str">
        <f aca="false">IF('הדבקת לידים'!B2358="","",IF(ISNUMBER('הדבקת לידים'!B2358),IF(הגדרות!$E$3&gt;0,TEXT('הדבקת לידים'!B2358,REPT("0",הגדרות!$E$3)),TEXT('הדבקת לידים'!B2358,"0")),TRIM('הדבקת לידים'!B2358)))</f>
        <v/>
      </c>
      <c r="C2358" s="0" t="n">
        <f aca="false">IF(OR(A2358&lt;&gt;"",B2358&lt;&gt;""),1,0)</f>
        <v>0</v>
      </c>
      <c r="D2358" s="0" t="str">
        <f aca="false">IF(C2358=1,MOD(ABS(SIN(ROW()*12.9898+'הדבקת לידים'!$F$2*78.233+IFERROR(--RIGHT(A2358,6),LEN(A2358))*0.0137+IFERROR(--RIGHT(B2358,6),LEN(B2358))*0.0071))*43758.5453,1),"")</f>
        <v/>
      </c>
      <c r="E2358" s="0" t="str">
        <f aca="false">IF(C2358=1,INT(MOD(ABS(SIN(D2358*7919.123+ROW()*0.618+'הדבקת לידים'!$F$2*1.3))*43758.5453,1)*1000000)*10000+ROW(),"")</f>
        <v/>
      </c>
      <c r="F2358" s="0" t="str">
        <f aca="false">IF(E2358="","",RANK(E2358,$E$2:$E$5001,1))</f>
        <v/>
      </c>
      <c r="G2358" s="0" t="n">
        <f aca="false">IF(A2358="",0,IF(SUMPRODUCT(--($A$2:$A$5001=A2358))&gt;1,1,0))</f>
        <v>0</v>
      </c>
      <c r="H2358" s="0" t="n">
        <f aca="false">ROW()-1</f>
        <v>2357</v>
      </c>
      <c r="I2358" s="0" t="str">
        <f aca="false">IF(OR(הגדרות!$E$6=0,H2358&gt;הגדרות!$E$5),"",IF(H2358-1&lt;הגדרות!$E$8*(הגדרות!$E$7+1),INT((H2358-1)/(הגדרות!$E$7+1)),הגדרות!$E$8+INT((H2358-1-הגדרות!$E$8*(הגדרות!$E$7+1))/הגדרות!$E$7)))</f>
        <v/>
      </c>
      <c r="J2358" s="0" t="str">
        <f aca="false">IF(I2358="","",IF(H2358-1&lt;הגדרות!$E$8*(הגדרות!$E$7+1),MOD(H2358-1,הגדרות!$E$7+1),MOD(H2358-1-הגדרות!$E$8*(הגדרות!$E$7+1),הגדרות!$E$7)))</f>
        <v/>
      </c>
      <c r="K2358" s="0" t="str">
        <f aca="false">IF(I2358="","",J2358*הגדרות!$E$6+I2358+1)</f>
        <v/>
      </c>
      <c r="L2358" s="0" t="str">
        <f aca="false">IF(K2358="","",MATCH(K2358,$F$2:$F$5001,0))</f>
        <v/>
      </c>
      <c r="M2358" s="0" t="str">
        <f aca="false">IF(I2358="","",INDEX(הגדרות!$A$2:$A$21,MOD(I2358+הגדרות!$E$9,הגדרות!$E$6)+1))</f>
        <v/>
      </c>
    </row>
    <row r="2359" customFormat="false" ht="15" hidden="false" customHeight="false" outlineLevel="0" collapsed="false">
      <c r="A2359" s="0" t="str">
        <f aca="false">IF('הדבקת לידים'!A2359="","",IF(ISNUMBER('הדבקת לידים'!A2359),IF(הגדרות!$E$2&gt;0,TEXT('הדבקת לידים'!A2359,REPT("0",הגדרות!$E$2)),TEXT('הדבקת לידים'!A2359,"0")),TRIM('הדבקת לידים'!A2359)))</f>
        <v/>
      </c>
      <c r="B2359" s="0" t="str">
        <f aca="false">IF('הדבקת לידים'!B2359="","",IF(ISNUMBER('הדבקת לידים'!B2359),IF(הגדרות!$E$3&gt;0,TEXT('הדבקת לידים'!B2359,REPT("0",הגדרות!$E$3)),TEXT('הדבקת לידים'!B2359,"0")),TRIM('הדבקת לידים'!B2359)))</f>
        <v/>
      </c>
      <c r="C2359" s="0" t="n">
        <f aca="false">IF(OR(A2359&lt;&gt;"",B2359&lt;&gt;""),1,0)</f>
        <v>0</v>
      </c>
      <c r="D2359" s="0" t="str">
        <f aca="false">IF(C2359=1,MOD(ABS(SIN(ROW()*12.9898+'הדבקת לידים'!$F$2*78.233+IFERROR(--RIGHT(A2359,6),LEN(A2359))*0.0137+IFERROR(--RIGHT(B2359,6),LEN(B2359))*0.0071))*43758.5453,1),"")</f>
        <v/>
      </c>
      <c r="E2359" s="0" t="str">
        <f aca="false">IF(C2359=1,INT(MOD(ABS(SIN(D2359*7919.123+ROW()*0.618+'הדבקת לידים'!$F$2*1.3))*43758.5453,1)*1000000)*10000+ROW(),"")</f>
        <v/>
      </c>
      <c r="F2359" s="0" t="str">
        <f aca="false">IF(E2359="","",RANK(E2359,$E$2:$E$5001,1))</f>
        <v/>
      </c>
      <c r="G2359" s="0" t="n">
        <f aca="false">IF(A2359="",0,IF(SUMPRODUCT(--($A$2:$A$5001=A2359))&gt;1,1,0))</f>
        <v>0</v>
      </c>
      <c r="H2359" s="0" t="n">
        <f aca="false">ROW()-1</f>
        <v>2358</v>
      </c>
      <c r="I2359" s="0" t="str">
        <f aca="false">IF(OR(הגדרות!$E$6=0,H2359&gt;הגדרות!$E$5),"",IF(H2359-1&lt;הגדרות!$E$8*(הגדרות!$E$7+1),INT((H2359-1)/(הגדרות!$E$7+1)),הגדרות!$E$8+INT((H2359-1-הגדרות!$E$8*(הגדרות!$E$7+1))/הגדרות!$E$7)))</f>
        <v/>
      </c>
      <c r="J2359" s="0" t="str">
        <f aca="false">IF(I2359="","",IF(H2359-1&lt;הגדרות!$E$8*(הגדרות!$E$7+1),MOD(H2359-1,הגדרות!$E$7+1),MOD(H2359-1-הגדרות!$E$8*(הגדרות!$E$7+1),הגדרות!$E$7)))</f>
        <v/>
      </c>
      <c r="K2359" s="0" t="str">
        <f aca="false">IF(I2359="","",J2359*הגדרות!$E$6+I2359+1)</f>
        <v/>
      </c>
      <c r="L2359" s="0" t="str">
        <f aca="false">IF(K2359="","",MATCH(K2359,$F$2:$F$5001,0))</f>
        <v/>
      </c>
      <c r="M2359" s="0" t="str">
        <f aca="false">IF(I2359="","",INDEX(הגדרות!$A$2:$A$21,MOD(I2359+הגדרות!$E$9,הגדרות!$E$6)+1))</f>
        <v/>
      </c>
    </row>
    <row r="2360" customFormat="false" ht="15" hidden="false" customHeight="false" outlineLevel="0" collapsed="false">
      <c r="A2360" s="0" t="str">
        <f aca="false">IF('הדבקת לידים'!A2360="","",IF(ISNUMBER('הדבקת לידים'!A2360),IF(הגדרות!$E$2&gt;0,TEXT('הדבקת לידים'!A2360,REPT("0",הגדרות!$E$2)),TEXT('הדבקת לידים'!A2360,"0")),TRIM('הדבקת לידים'!A2360)))</f>
        <v/>
      </c>
      <c r="B2360" s="0" t="str">
        <f aca="false">IF('הדבקת לידים'!B2360="","",IF(ISNUMBER('הדבקת לידים'!B2360),IF(הגדרות!$E$3&gt;0,TEXT('הדבקת לידים'!B2360,REPT("0",הגדרות!$E$3)),TEXT('הדבקת לידים'!B2360,"0")),TRIM('הדבקת לידים'!B2360)))</f>
        <v/>
      </c>
      <c r="C2360" s="0" t="n">
        <f aca="false">IF(OR(A2360&lt;&gt;"",B2360&lt;&gt;""),1,0)</f>
        <v>0</v>
      </c>
      <c r="D2360" s="0" t="str">
        <f aca="false">IF(C2360=1,MOD(ABS(SIN(ROW()*12.9898+'הדבקת לידים'!$F$2*78.233+IFERROR(--RIGHT(A2360,6),LEN(A2360))*0.0137+IFERROR(--RIGHT(B2360,6),LEN(B2360))*0.0071))*43758.5453,1),"")</f>
        <v/>
      </c>
      <c r="E2360" s="0" t="str">
        <f aca="false">IF(C2360=1,INT(MOD(ABS(SIN(D2360*7919.123+ROW()*0.618+'הדבקת לידים'!$F$2*1.3))*43758.5453,1)*1000000)*10000+ROW(),"")</f>
        <v/>
      </c>
      <c r="F2360" s="0" t="str">
        <f aca="false">IF(E2360="","",RANK(E2360,$E$2:$E$5001,1))</f>
        <v/>
      </c>
      <c r="G2360" s="0" t="n">
        <f aca="false">IF(A2360="",0,IF(SUMPRODUCT(--($A$2:$A$5001=A2360))&gt;1,1,0))</f>
        <v>0</v>
      </c>
      <c r="H2360" s="0" t="n">
        <f aca="false">ROW()-1</f>
        <v>2359</v>
      </c>
      <c r="I2360" s="0" t="str">
        <f aca="false">IF(OR(הגדרות!$E$6=0,H2360&gt;הגדרות!$E$5),"",IF(H2360-1&lt;הגדרות!$E$8*(הגדרות!$E$7+1),INT((H2360-1)/(הגדרות!$E$7+1)),הגדרות!$E$8+INT((H2360-1-הגדרות!$E$8*(הגדרות!$E$7+1))/הגדרות!$E$7)))</f>
        <v/>
      </c>
      <c r="J2360" s="0" t="str">
        <f aca="false">IF(I2360="","",IF(H2360-1&lt;הגדרות!$E$8*(הגדרות!$E$7+1),MOD(H2360-1,הגדרות!$E$7+1),MOD(H2360-1-הגדרות!$E$8*(הגדרות!$E$7+1),הגדרות!$E$7)))</f>
        <v/>
      </c>
      <c r="K2360" s="0" t="str">
        <f aca="false">IF(I2360="","",J2360*הגדרות!$E$6+I2360+1)</f>
        <v/>
      </c>
      <c r="L2360" s="0" t="str">
        <f aca="false">IF(K2360="","",MATCH(K2360,$F$2:$F$5001,0))</f>
        <v/>
      </c>
      <c r="M2360" s="0" t="str">
        <f aca="false">IF(I2360="","",INDEX(הגדרות!$A$2:$A$21,MOD(I2360+הגדרות!$E$9,הגדרות!$E$6)+1))</f>
        <v/>
      </c>
    </row>
    <row r="2361" customFormat="false" ht="15" hidden="false" customHeight="false" outlineLevel="0" collapsed="false">
      <c r="A2361" s="0" t="str">
        <f aca="false">IF('הדבקת לידים'!A2361="","",IF(ISNUMBER('הדבקת לידים'!A2361),IF(הגדרות!$E$2&gt;0,TEXT('הדבקת לידים'!A2361,REPT("0",הגדרות!$E$2)),TEXT('הדבקת לידים'!A2361,"0")),TRIM('הדבקת לידים'!A2361)))</f>
        <v/>
      </c>
      <c r="B2361" s="0" t="str">
        <f aca="false">IF('הדבקת לידים'!B2361="","",IF(ISNUMBER('הדבקת לידים'!B2361),IF(הגדרות!$E$3&gt;0,TEXT('הדבקת לידים'!B2361,REPT("0",הגדרות!$E$3)),TEXT('הדבקת לידים'!B2361,"0")),TRIM('הדבקת לידים'!B2361)))</f>
        <v/>
      </c>
      <c r="C2361" s="0" t="n">
        <f aca="false">IF(OR(A2361&lt;&gt;"",B2361&lt;&gt;""),1,0)</f>
        <v>0</v>
      </c>
      <c r="D2361" s="0" t="str">
        <f aca="false">IF(C2361=1,MOD(ABS(SIN(ROW()*12.9898+'הדבקת לידים'!$F$2*78.233+IFERROR(--RIGHT(A2361,6),LEN(A2361))*0.0137+IFERROR(--RIGHT(B2361,6),LEN(B2361))*0.0071))*43758.5453,1),"")</f>
        <v/>
      </c>
      <c r="E2361" s="0" t="str">
        <f aca="false">IF(C2361=1,INT(MOD(ABS(SIN(D2361*7919.123+ROW()*0.618+'הדבקת לידים'!$F$2*1.3))*43758.5453,1)*1000000)*10000+ROW(),"")</f>
        <v/>
      </c>
      <c r="F2361" s="0" t="str">
        <f aca="false">IF(E2361="","",RANK(E2361,$E$2:$E$5001,1))</f>
        <v/>
      </c>
      <c r="G2361" s="0" t="n">
        <f aca="false">IF(A2361="",0,IF(SUMPRODUCT(--($A$2:$A$5001=A2361))&gt;1,1,0))</f>
        <v>0</v>
      </c>
      <c r="H2361" s="0" t="n">
        <f aca="false">ROW()-1</f>
        <v>2360</v>
      </c>
      <c r="I2361" s="0" t="str">
        <f aca="false">IF(OR(הגדרות!$E$6=0,H2361&gt;הגדרות!$E$5),"",IF(H2361-1&lt;הגדרות!$E$8*(הגדרות!$E$7+1),INT((H2361-1)/(הגדרות!$E$7+1)),הגדרות!$E$8+INT((H2361-1-הגדרות!$E$8*(הגדרות!$E$7+1))/הגדרות!$E$7)))</f>
        <v/>
      </c>
      <c r="J2361" s="0" t="str">
        <f aca="false">IF(I2361="","",IF(H2361-1&lt;הגדרות!$E$8*(הגדרות!$E$7+1),MOD(H2361-1,הגדרות!$E$7+1),MOD(H2361-1-הגדרות!$E$8*(הגדרות!$E$7+1),הגדרות!$E$7)))</f>
        <v/>
      </c>
      <c r="K2361" s="0" t="str">
        <f aca="false">IF(I2361="","",J2361*הגדרות!$E$6+I2361+1)</f>
        <v/>
      </c>
      <c r="L2361" s="0" t="str">
        <f aca="false">IF(K2361="","",MATCH(K2361,$F$2:$F$5001,0))</f>
        <v/>
      </c>
      <c r="M2361" s="0" t="str">
        <f aca="false">IF(I2361="","",INDEX(הגדרות!$A$2:$A$21,MOD(I2361+הגדרות!$E$9,הגדרות!$E$6)+1))</f>
        <v/>
      </c>
    </row>
    <row r="2362" customFormat="false" ht="15" hidden="false" customHeight="false" outlineLevel="0" collapsed="false">
      <c r="A2362" s="0" t="str">
        <f aca="false">IF('הדבקת לידים'!A2362="","",IF(ISNUMBER('הדבקת לידים'!A2362),IF(הגדרות!$E$2&gt;0,TEXT('הדבקת לידים'!A2362,REPT("0",הגדרות!$E$2)),TEXT('הדבקת לידים'!A2362,"0")),TRIM('הדבקת לידים'!A2362)))</f>
        <v/>
      </c>
      <c r="B2362" s="0" t="str">
        <f aca="false">IF('הדבקת לידים'!B2362="","",IF(ISNUMBER('הדבקת לידים'!B2362),IF(הגדרות!$E$3&gt;0,TEXT('הדבקת לידים'!B2362,REPT("0",הגדרות!$E$3)),TEXT('הדבקת לידים'!B2362,"0")),TRIM('הדבקת לידים'!B2362)))</f>
        <v/>
      </c>
      <c r="C2362" s="0" t="n">
        <f aca="false">IF(OR(A2362&lt;&gt;"",B2362&lt;&gt;""),1,0)</f>
        <v>0</v>
      </c>
      <c r="D2362" s="0" t="str">
        <f aca="false">IF(C2362=1,MOD(ABS(SIN(ROW()*12.9898+'הדבקת לידים'!$F$2*78.233+IFERROR(--RIGHT(A2362,6),LEN(A2362))*0.0137+IFERROR(--RIGHT(B2362,6),LEN(B2362))*0.0071))*43758.5453,1),"")</f>
        <v/>
      </c>
      <c r="E2362" s="0" t="str">
        <f aca="false">IF(C2362=1,INT(MOD(ABS(SIN(D2362*7919.123+ROW()*0.618+'הדבקת לידים'!$F$2*1.3))*43758.5453,1)*1000000)*10000+ROW(),"")</f>
        <v/>
      </c>
      <c r="F2362" s="0" t="str">
        <f aca="false">IF(E2362="","",RANK(E2362,$E$2:$E$5001,1))</f>
        <v/>
      </c>
      <c r="G2362" s="0" t="n">
        <f aca="false">IF(A2362="",0,IF(SUMPRODUCT(--($A$2:$A$5001=A2362))&gt;1,1,0))</f>
        <v>0</v>
      </c>
      <c r="H2362" s="0" t="n">
        <f aca="false">ROW()-1</f>
        <v>2361</v>
      </c>
      <c r="I2362" s="0" t="str">
        <f aca="false">IF(OR(הגדרות!$E$6=0,H2362&gt;הגדרות!$E$5),"",IF(H2362-1&lt;הגדרות!$E$8*(הגדרות!$E$7+1),INT((H2362-1)/(הגדרות!$E$7+1)),הגדרות!$E$8+INT((H2362-1-הגדרות!$E$8*(הגדרות!$E$7+1))/הגדרות!$E$7)))</f>
        <v/>
      </c>
      <c r="J2362" s="0" t="str">
        <f aca="false">IF(I2362="","",IF(H2362-1&lt;הגדרות!$E$8*(הגדרות!$E$7+1),MOD(H2362-1,הגדרות!$E$7+1),MOD(H2362-1-הגדרות!$E$8*(הגדרות!$E$7+1),הגדרות!$E$7)))</f>
        <v/>
      </c>
      <c r="K2362" s="0" t="str">
        <f aca="false">IF(I2362="","",J2362*הגדרות!$E$6+I2362+1)</f>
        <v/>
      </c>
      <c r="L2362" s="0" t="str">
        <f aca="false">IF(K2362="","",MATCH(K2362,$F$2:$F$5001,0))</f>
        <v/>
      </c>
      <c r="M2362" s="0" t="str">
        <f aca="false">IF(I2362="","",INDEX(הגדרות!$A$2:$A$21,MOD(I2362+הגדרות!$E$9,הגדרות!$E$6)+1))</f>
        <v/>
      </c>
    </row>
    <row r="2363" customFormat="false" ht="15" hidden="false" customHeight="false" outlineLevel="0" collapsed="false">
      <c r="A2363" s="0" t="str">
        <f aca="false">IF('הדבקת לידים'!A2363="","",IF(ISNUMBER('הדבקת לידים'!A2363),IF(הגדרות!$E$2&gt;0,TEXT('הדבקת לידים'!A2363,REPT("0",הגדרות!$E$2)),TEXT('הדבקת לידים'!A2363,"0")),TRIM('הדבקת לידים'!A2363)))</f>
        <v/>
      </c>
      <c r="B2363" s="0" t="str">
        <f aca="false">IF('הדבקת לידים'!B2363="","",IF(ISNUMBER('הדבקת לידים'!B2363),IF(הגדרות!$E$3&gt;0,TEXT('הדבקת לידים'!B2363,REPT("0",הגדרות!$E$3)),TEXT('הדבקת לידים'!B2363,"0")),TRIM('הדבקת לידים'!B2363)))</f>
        <v/>
      </c>
      <c r="C2363" s="0" t="n">
        <f aca="false">IF(OR(A2363&lt;&gt;"",B2363&lt;&gt;""),1,0)</f>
        <v>0</v>
      </c>
      <c r="D2363" s="0" t="str">
        <f aca="false">IF(C2363=1,MOD(ABS(SIN(ROW()*12.9898+'הדבקת לידים'!$F$2*78.233+IFERROR(--RIGHT(A2363,6),LEN(A2363))*0.0137+IFERROR(--RIGHT(B2363,6),LEN(B2363))*0.0071))*43758.5453,1),"")</f>
        <v/>
      </c>
      <c r="E2363" s="0" t="str">
        <f aca="false">IF(C2363=1,INT(MOD(ABS(SIN(D2363*7919.123+ROW()*0.618+'הדבקת לידים'!$F$2*1.3))*43758.5453,1)*1000000)*10000+ROW(),"")</f>
        <v/>
      </c>
      <c r="F2363" s="0" t="str">
        <f aca="false">IF(E2363="","",RANK(E2363,$E$2:$E$5001,1))</f>
        <v/>
      </c>
      <c r="G2363" s="0" t="n">
        <f aca="false">IF(A2363="",0,IF(SUMPRODUCT(--($A$2:$A$5001=A2363))&gt;1,1,0))</f>
        <v>0</v>
      </c>
      <c r="H2363" s="0" t="n">
        <f aca="false">ROW()-1</f>
        <v>2362</v>
      </c>
      <c r="I2363" s="0" t="str">
        <f aca="false">IF(OR(הגדרות!$E$6=0,H2363&gt;הגדרות!$E$5),"",IF(H2363-1&lt;הגדרות!$E$8*(הגדרות!$E$7+1),INT((H2363-1)/(הגדרות!$E$7+1)),הגדרות!$E$8+INT((H2363-1-הגדרות!$E$8*(הגדרות!$E$7+1))/הגדרות!$E$7)))</f>
        <v/>
      </c>
      <c r="J2363" s="0" t="str">
        <f aca="false">IF(I2363="","",IF(H2363-1&lt;הגדרות!$E$8*(הגדרות!$E$7+1),MOD(H2363-1,הגדרות!$E$7+1),MOD(H2363-1-הגדרות!$E$8*(הגדרות!$E$7+1),הגדרות!$E$7)))</f>
        <v/>
      </c>
      <c r="K2363" s="0" t="str">
        <f aca="false">IF(I2363="","",J2363*הגדרות!$E$6+I2363+1)</f>
        <v/>
      </c>
      <c r="L2363" s="0" t="str">
        <f aca="false">IF(K2363="","",MATCH(K2363,$F$2:$F$5001,0))</f>
        <v/>
      </c>
      <c r="M2363" s="0" t="str">
        <f aca="false">IF(I2363="","",INDEX(הגדרות!$A$2:$A$21,MOD(I2363+הגדרות!$E$9,הגדרות!$E$6)+1))</f>
        <v/>
      </c>
    </row>
    <row r="2364" customFormat="false" ht="15" hidden="false" customHeight="false" outlineLevel="0" collapsed="false">
      <c r="A2364" s="0" t="str">
        <f aca="false">IF('הדבקת לידים'!A2364="","",IF(ISNUMBER('הדבקת לידים'!A2364),IF(הגדרות!$E$2&gt;0,TEXT('הדבקת לידים'!A2364,REPT("0",הגדרות!$E$2)),TEXT('הדבקת לידים'!A2364,"0")),TRIM('הדבקת לידים'!A2364)))</f>
        <v/>
      </c>
      <c r="B2364" s="0" t="str">
        <f aca="false">IF('הדבקת לידים'!B2364="","",IF(ISNUMBER('הדבקת לידים'!B2364),IF(הגדרות!$E$3&gt;0,TEXT('הדבקת לידים'!B2364,REPT("0",הגדרות!$E$3)),TEXT('הדבקת לידים'!B2364,"0")),TRIM('הדבקת לידים'!B2364)))</f>
        <v/>
      </c>
      <c r="C2364" s="0" t="n">
        <f aca="false">IF(OR(A2364&lt;&gt;"",B2364&lt;&gt;""),1,0)</f>
        <v>0</v>
      </c>
      <c r="D2364" s="0" t="str">
        <f aca="false">IF(C2364=1,MOD(ABS(SIN(ROW()*12.9898+'הדבקת לידים'!$F$2*78.233+IFERROR(--RIGHT(A2364,6),LEN(A2364))*0.0137+IFERROR(--RIGHT(B2364,6),LEN(B2364))*0.0071))*43758.5453,1),"")</f>
        <v/>
      </c>
      <c r="E2364" s="0" t="str">
        <f aca="false">IF(C2364=1,INT(MOD(ABS(SIN(D2364*7919.123+ROW()*0.618+'הדבקת לידים'!$F$2*1.3))*43758.5453,1)*1000000)*10000+ROW(),"")</f>
        <v/>
      </c>
      <c r="F2364" s="0" t="str">
        <f aca="false">IF(E2364="","",RANK(E2364,$E$2:$E$5001,1))</f>
        <v/>
      </c>
      <c r="G2364" s="0" t="n">
        <f aca="false">IF(A2364="",0,IF(SUMPRODUCT(--($A$2:$A$5001=A2364))&gt;1,1,0))</f>
        <v>0</v>
      </c>
      <c r="H2364" s="0" t="n">
        <f aca="false">ROW()-1</f>
        <v>2363</v>
      </c>
      <c r="I2364" s="0" t="str">
        <f aca="false">IF(OR(הגדרות!$E$6=0,H2364&gt;הגדרות!$E$5),"",IF(H2364-1&lt;הגדרות!$E$8*(הגדרות!$E$7+1),INT((H2364-1)/(הגדרות!$E$7+1)),הגדרות!$E$8+INT((H2364-1-הגדרות!$E$8*(הגדרות!$E$7+1))/הגדרות!$E$7)))</f>
        <v/>
      </c>
      <c r="J2364" s="0" t="str">
        <f aca="false">IF(I2364="","",IF(H2364-1&lt;הגדרות!$E$8*(הגדרות!$E$7+1),MOD(H2364-1,הגדרות!$E$7+1),MOD(H2364-1-הגדרות!$E$8*(הגדרות!$E$7+1),הגדרות!$E$7)))</f>
        <v/>
      </c>
      <c r="K2364" s="0" t="str">
        <f aca="false">IF(I2364="","",J2364*הגדרות!$E$6+I2364+1)</f>
        <v/>
      </c>
      <c r="L2364" s="0" t="str">
        <f aca="false">IF(K2364="","",MATCH(K2364,$F$2:$F$5001,0))</f>
        <v/>
      </c>
      <c r="M2364" s="0" t="str">
        <f aca="false">IF(I2364="","",INDEX(הגדרות!$A$2:$A$21,MOD(I2364+הגדרות!$E$9,הגדרות!$E$6)+1))</f>
        <v/>
      </c>
    </row>
    <row r="2365" customFormat="false" ht="15" hidden="false" customHeight="false" outlineLevel="0" collapsed="false">
      <c r="A2365" s="0" t="str">
        <f aca="false">IF('הדבקת לידים'!A2365="","",IF(ISNUMBER('הדבקת לידים'!A2365),IF(הגדרות!$E$2&gt;0,TEXT('הדבקת לידים'!A2365,REPT("0",הגדרות!$E$2)),TEXT('הדבקת לידים'!A2365,"0")),TRIM('הדבקת לידים'!A2365)))</f>
        <v/>
      </c>
      <c r="B2365" s="0" t="str">
        <f aca="false">IF('הדבקת לידים'!B2365="","",IF(ISNUMBER('הדבקת לידים'!B2365),IF(הגדרות!$E$3&gt;0,TEXT('הדבקת לידים'!B2365,REPT("0",הגדרות!$E$3)),TEXT('הדבקת לידים'!B2365,"0")),TRIM('הדבקת לידים'!B2365)))</f>
        <v/>
      </c>
      <c r="C2365" s="0" t="n">
        <f aca="false">IF(OR(A2365&lt;&gt;"",B2365&lt;&gt;""),1,0)</f>
        <v>0</v>
      </c>
      <c r="D2365" s="0" t="str">
        <f aca="false">IF(C2365=1,MOD(ABS(SIN(ROW()*12.9898+'הדבקת לידים'!$F$2*78.233+IFERROR(--RIGHT(A2365,6),LEN(A2365))*0.0137+IFERROR(--RIGHT(B2365,6),LEN(B2365))*0.0071))*43758.5453,1),"")</f>
        <v/>
      </c>
      <c r="E2365" s="0" t="str">
        <f aca="false">IF(C2365=1,INT(MOD(ABS(SIN(D2365*7919.123+ROW()*0.618+'הדבקת לידים'!$F$2*1.3))*43758.5453,1)*1000000)*10000+ROW(),"")</f>
        <v/>
      </c>
      <c r="F2365" s="0" t="str">
        <f aca="false">IF(E2365="","",RANK(E2365,$E$2:$E$5001,1))</f>
        <v/>
      </c>
      <c r="G2365" s="0" t="n">
        <f aca="false">IF(A2365="",0,IF(SUMPRODUCT(--($A$2:$A$5001=A2365))&gt;1,1,0))</f>
        <v>0</v>
      </c>
      <c r="H2365" s="0" t="n">
        <f aca="false">ROW()-1</f>
        <v>2364</v>
      </c>
      <c r="I2365" s="0" t="str">
        <f aca="false">IF(OR(הגדרות!$E$6=0,H2365&gt;הגדרות!$E$5),"",IF(H2365-1&lt;הגדרות!$E$8*(הגדרות!$E$7+1),INT((H2365-1)/(הגדרות!$E$7+1)),הגדרות!$E$8+INT((H2365-1-הגדרות!$E$8*(הגדרות!$E$7+1))/הגדרות!$E$7)))</f>
        <v/>
      </c>
      <c r="J2365" s="0" t="str">
        <f aca="false">IF(I2365="","",IF(H2365-1&lt;הגדרות!$E$8*(הגדרות!$E$7+1),MOD(H2365-1,הגדרות!$E$7+1),MOD(H2365-1-הגדרות!$E$8*(הגדרות!$E$7+1),הגדרות!$E$7)))</f>
        <v/>
      </c>
      <c r="K2365" s="0" t="str">
        <f aca="false">IF(I2365="","",J2365*הגדרות!$E$6+I2365+1)</f>
        <v/>
      </c>
      <c r="L2365" s="0" t="str">
        <f aca="false">IF(K2365="","",MATCH(K2365,$F$2:$F$5001,0))</f>
        <v/>
      </c>
      <c r="M2365" s="0" t="str">
        <f aca="false">IF(I2365="","",INDEX(הגדרות!$A$2:$A$21,MOD(I2365+הגדרות!$E$9,הגדרות!$E$6)+1))</f>
        <v/>
      </c>
    </row>
    <row r="2366" customFormat="false" ht="15" hidden="false" customHeight="false" outlineLevel="0" collapsed="false">
      <c r="A2366" s="0" t="str">
        <f aca="false">IF('הדבקת לידים'!A2366="","",IF(ISNUMBER('הדבקת לידים'!A2366),IF(הגדרות!$E$2&gt;0,TEXT('הדבקת לידים'!A2366,REPT("0",הגדרות!$E$2)),TEXT('הדבקת לידים'!A2366,"0")),TRIM('הדבקת לידים'!A2366)))</f>
        <v/>
      </c>
      <c r="B2366" s="0" t="str">
        <f aca="false">IF('הדבקת לידים'!B2366="","",IF(ISNUMBER('הדבקת לידים'!B2366),IF(הגדרות!$E$3&gt;0,TEXT('הדבקת לידים'!B2366,REPT("0",הגדרות!$E$3)),TEXT('הדבקת לידים'!B2366,"0")),TRIM('הדבקת לידים'!B2366)))</f>
        <v/>
      </c>
      <c r="C2366" s="0" t="n">
        <f aca="false">IF(OR(A2366&lt;&gt;"",B2366&lt;&gt;""),1,0)</f>
        <v>0</v>
      </c>
      <c r="D2366" s="0" t="str">
        <f aca="false">IF(C2366=1,MOD(ABS(SIN(ROW()*12.9898+'הדבקת לידים'!$F$2*78.233+IFERROR(--RIGHT(A2366,6),LEN(A2366))*0.0137+IFERROR(--RIGHT(B2366,6),LEN(B2366))*0.0071))*43758.5453,1),"")</f>
        <v/>
      </c>
      <c r="E2366" s="0" t="str">
        <f aca="false">IF(C2366=1,INT(MOD(ABS(SIN(D2366*7919.123+ROW()*0.618+'הדבקת לידים'!$F$2*1.3))*43758.5453,1)*1000000)*10000+ROW(),"")</f>
        <v/>
      </c>
      <c r="F2366" s="0" t="str">
        <f aca="false">IF(E2366="","",RANK(E2366,$E$2:$E$5001,1))</f>
        <v/>
      </c>
      <c r="G2366" s="0" t="n">
        <f aca="false">IF(A2366="",0,IF(SUMPRODUCT(--($A$2:$A$5001=A2366))&gt;1,1,0))</f>
        <v>0</v>
      </c>
      <c r="H2366" s="0" t="n">
        <f aca="false">ROW()-1</f>
        <v>2365</v>
      </c>
      <c r="I2366" s="0" t="str">
        <f aca="false">IF(OR(הגדרות!$E$6=0,H2366&gt;הגדרות!$E$5),"",IF(H2366-1&lt;הגדרות!$E$8*(הגדרות!$E$7+1),INT((H2366-1)/(הגדרות!$E$7+1)),הגדרות!$E$8+INT((H2366-1-הגדרות!$E$8*(הגדרות!$E$7+1))/הגדרות!$E$7)))</f>
        <v/>
      </c>
      <c r="J2366" s="0" t="str">
        <f aca="false">IF(I2366="","",IF(H2366-1&lt;הגדרות!$E$8*(הגדרות!$E$7+1),MOD(H2366-1,הגדרות!$E$7+1),MOD(H2366-1-הגדרות!$E$8*(הגדרות!$E$7+1),הגדרות!$E$7)))</f>
        <v/>
      </c>
      <c r="K2366" s="0" t="str">
        <f aca="false">IF(I2366="","",J2366*הגדרות!$E$6+I2366+1)</f>
        <v/>
      </c>
      <c r="L2366" s="0" t="str">
        <f aca="false">IF(K2366="","",MATCH(K2366,$F$2:$F$5001,0))</f>
        <v/>
      </c>
      <c r="M2366" s="0" t="str">
        <f aca="false">IF(I2366="","",INDEX(הגדרות!$A$2:$A$21,MOD(I2366+הגדרות!$E$9,הגדרות!$E$6)+1))</f>
        <v/>
      </c>
    </row>
    <row r="2367" customFormat="false" ht="15" hidden="false" customHeight="false" outlineLevel="0" collapsed="false">
      <c r="A2367" s="0" t="str">
        <f aca="false">IF('הדבקת לידים'!A2367="","",IF(ISNUMBER('הדבקת לידים'!A2367),IF(הגדרות!$E$2&gt;0,TEXT('הדבקת לידים'!A2367,REPT("0",הגדרות!$E$2)),TEXT('הדבקת לידים'!A2367,"0")),TRIM('הדבקת לידים'!A2367)))</f>
        <v/>
      </c>
      <c r="B2367" s="0" t="str">
        <f aca="false">IF('הדבקת לידים'!B2367="","",IF(ISNUMBER('הדבקת לידים'!B2367),IF(הגדרות!$E$3&gt;0,TEXT('הדבקת לידים'!B2367,REPT("0",הגדרות!$E$3)),TEXT('הדבקת לידים'!B2367,"0")),TRIM('הדבקת לידים'!B2367)))</f>
        <v/>
      </c>
      <c r="C2367" s="0" t="n">
        <f aca="false">IF(OR(A2367&lt;&gt;"",B2367&lt;&gt;""),1,0)</f>
        <v>0</v>
      </c>
      <c r="D2367" s="0" t="str">
        <f aca="false">IF(C2367=1,MOD(ABS(SIN(ROW()*12.9898+'הדבקת לידים'!$F$2*78.233+IFERROR(--RIGHT(A2367,6),LEN(A2367))*0.0137+IFERROR(--RIGHT(B2367,6),LEN(B2367))*0.0071))*43758.5453,1),"")</f>
        <v/>
      </c>
      <c r="E2367" s="0" t="str">
        <f aca="false">IF(C2367=1,INT(MOD(ABS(SIN(D2367*7919.123+ROW()*0.618+'הדבקת לידים'!$F$2*1.3))*43758.5453,1)*1000000)*10000+ROW(),"")</f>
        <v/>
      </c>
      <c r="F2367" s="0" t="str">
        <f aca="false">IF(E2367="","",RANK(E2367,$E$2:$E$5001,1))</f>
        <v/>
      </c>
      <c r="G2367" s="0" t="n">
        <f aca="false">IF(A2367="",0,IF(SUMPRODUCT(--($A$2:$A$5001=A2367))&gt;1,1,0))</f>
        <v>0</v>
      </c>
      <c r="H2367" s="0" t="n">
        <f aca="false">ROW()-1</f>
        <v>2366</v>
      </c>
      <c r="I2367" s="0" t="str">
        <f aca="false">IF(OR(הגדרות!$E$6=0,H2367&gt;הגדרות!$E$5),"",IF(H2367-1&lt;הגדרות!$E$8*(הגדרות!$E$7+1),INT((H2367-1)/(הגדרות!$E$7+1)),הגדרות!$E$8+INT((H2367-1-הגדרות!$E$8*(הגדרות!$E$7+1))/הגדרות!$E$7)))</f>
        <v/>
      </c>
      <c r="J2367" s="0" t="str">
        <f aca="false">IF(I2367="","",IF(H2367-1&lt;הגדרות!$E$8*(הגדרות!$E$7+1),MOD(H2367-1,הגדרות!$E$7+1),MOD(H2367-1-הגדרות!$E$8*(הגדרות!$E$7+1),הגדרות!$E$7)))</f>
        <v/>
      </c>
      <c r="K2367" s="0" t="str">
        <f aca="false">IF(I2367="","",J2367*הגדרות!$E$6+I2367+1)</f>
        <v/>
      </c>
      <c r="L2367" s="0" t="str">
        <f aca="false">IF(K2367="","",MATCH(K2367,$F$2:$F$5001,0))</f>
        <v/>
      </c>
      <c r="M2367" s="0" t="str">
        <f aca="false">IF(I2367="","",INDEX(הגדרות!$A$2:$A$21,MOD(I2367+הגדרות!$E$9,הגדרות!$E$6)+1))</f>
        <v/>
      </c>
    </row>
    <row r="2368" customFormat="false" ht="15" hidden="false" customHeight="false" outlineLevel="0" collapsed="false">
      <c r="A2368" s="0" t="str">
        <f aca="false">IF('הדבקת לידים'!A2368="","",IF(ISNUMBER('הדבקת לידים'!A2368),IF(הגדרות!$E$2&gt;0,TEXT('הדבקת לידים'!A2368,REPT("0",הגדרות!$E$2)),TEXT('הדבקת לידים'!A2368,"0")),TRIM('הדבקת לידים'!A2368)))</f>
        <v/>
      </c>
      <c r="B2368" s="0" t="str">
        <f aca="false">IF('הדבקת לידים'!B2368="","",IF(ISNUMBER('הדבקת לידים'!B2368),IF(הגדרות!$E$3&gt;0,TEXT('הדבקת לידים'!B2368,REPT("0",הגדרות!$E$3)),TEXT('הדבקת לידים'!B2368,"0")),TRIM('הדבקת לידים'!B2368)))</f>
        <v/>
      </c>
      <c r="C2368" s="0" t="n">
        <f aca="false">IF(OR(A2368&lt;&gt;"",B2368&lt;&gt;""),1,0)</f>
        <v>0</v>
      </c>
      <c r="D2368" s="0" t="str">
        <f aca="false">IF(C2368=1,MOD(ABS(SIN(ROW()*12.9898+'הדבקת לידים'!$F$2*78.233+IFERROR(--RIGHT(A2368,6),LEN(A2368))*0.0137+IFERROR(--RIGHT(B2368,6),LEN(B2368))*0.0071))*43758.5453,1),"")</f>
        <v/>
      </c>
      <c r="E2368" s="0" t="str">
        <f aca="false">IF(C2368=1,INT(MOD(ABS(SIN(D2368*7919.123+ROW()*0.618+'הדבקת לידים'!$F$2*1.3))*43758.5453,1)*1000000)*10000+ROW(),"")</f>
        <v/>
      </c>
      <c r="F2368" s="0" t="str">
        <f aca="false">IF(E2368="","",RANK(E2368,$E$2:$E$5001,1))</f>
        <v/>
      </c>
      <c r="G2368" s="0" t="n">
        <f aca="false">IF(A2368="",0,IF(SUMPRODUCT(--($A$2:$A$5001=A2368))&gt;1,1,0))</f>
        <v>0</v>
      </c>
      <c r="H2368" s="0" t="n">
        <f aca="false">ROW()-1</f>
        <v>2367</v>
      </c>
      <c r="I2368" s="0" t="str">
        <f aca="false">IF(OR(הגדרות!$E$6=0,H2368&gt;הגדרות!$E$5),"",IF(H2368-1&lt;הגדרות!$E$8*(הגדרות!$E$7+1),INT((H2368-1)/(הגדרות!$E$7+1)),הגדרות!$E$8+INT((H2368-1-הגדרות!$E$8*(הגדרות!$E$7+1))/הגדרות!$E$7)))</f>
        <v/>
      </c>
      <c r="J2368" s="0" t="str">
        <f aca="false">IF(I2368="","",IF(H2368-1&lt;הגדרות!$E$8*(הגדרות!$E$7+1),MOD(H2368-1,הגדרות!$E$7+1),MOD(H2368-1-הגדרות!$E$8*(הגדרות!$E$7+1),הגדרות!$E$7)))</f>
        <v/>
      </c>
      <c r="K2368" s="0" t="str">
        <f aca="false">IF(I2368="","",J2368*הגדרות!$E$6+I2368+1)</f>
        <v/>
      </c>
      <c r="L2368" s="0" t="str">
        <f aca="false">IF(K2368="","",MATCH(K2368,$F$2:$F$5001,0))</f>
        <v/>
      </c>
      <c r="M2368" s="0" t="str">
        <f aca="false">IF(I2368="","",INDEX(הגדרות!$A$2:$A$21,MOD(I2368+הגדרות!$E$9,הגדרות!$E$6)+1))</f>
        <v/>
      </c>
    </row>
    <row r="2369" customFormat="false" ht="15" hidden="false" customHeight="false" outlineLevel="0" collapsed="false">
      <c r="A2369" s="0" t="str">
        <f aca="false">IF('הדבקת לידים'!A2369="","",IF(ISNUMBER('הדבקת לידים'!A2369),IF(הגדרות!$E$2&gt;0,TEXT('הדבקת לידים'!A2369,REPT("0",הגדרות!$E$2)),TEXT('הדבקת לידים'!A2369,"0")),TRIM('הדבקת לידים'!A2369)))</f>
        <v/>
      </c>
      <c r="B2369" s="0" t="str">
        <f aca="false">IF('הדבקת לידים'!B2369="","",IF(ISNUMBER('הדבקת לידים'!B2369),IF(הגדרות!$E$3&gt;0,TEXT('הדבקת לידים'!B2369,REPT("0",הגדרות!$E$3)),TEXT('הדבקת לידים'!B2369,"0")),TRIM('הדבקת לידים'!B2369)))</f>
        <v/>
      </c>
      <c r="C2369" s="0" t="n">
        <f aca="false">IF(OR(A2369&lt;&gt;"",B2369&lt;&gt;""),1,0)</f>
        <v>0</v>
      </c>
      <c r="D2369" s="0" t="str">
        <f aca="false">IF(C2369=1,MOD(ABS(SIN(ROW()*12.9898+'הדבקת לידים'!$F$2*78.233+IFERROR(--RIGHT(A2369,6),LEN(A2369))*0.0137+IFERROR(--RIGHT(B2369,6),LEN(B2369))*0.0071))*43758.5453,1),"")</f>
        <v/>
      </c>
      <c r="E2369" s="0" t="str">
        <f aca="false">IF(C2369=1,INT(MOD(ABS(SIN(D2369*7919.123+ROW()*0.618+'הדבקת לידים'!$F$2*1.3))*43758.5453,1)*1000000)*10000+ROW(),"")</f>
        <v/>
      </c>
      <c r="F2369" s="0" t="str">
        <f aca="false">IF(E2369="","",RANK(E2369,$E$2:$E$5001,1))</f>
        <v/>
      </c>
      <c r="G2369" s="0" t="n">
        <f aca="false">IF(A2369="",0,IF(SUMPRODUCT(--($A$2:$A$5001=A2369))&gt;1,1,0))</f>
        <v>0</v>
      </c>
      <c r="H2369" s="0" t="n">
        <f aca="false">ROW()-1</f>
        <v>2368</v>
      </c>
      <c r="I2369" s="0" t="str">
        <f aca="false">IF(OR(הגדרות!$E$6=0,H2369&gt;הגדרות!$E$5),"",IF(H2369-1&lt;הגדרות!$E$8*(הגדרות!$E$7+1),INT((H2369-1)/(הגדרות!$E$7+1)),הגדרות!$E$8+INT((H2369-1-הגדרות!$E$8*(הגדרות!$E$7+1))/הגדרות!$E$7)))</f>
        <v/>
      </c>
      <c r="J2369" s="0" t="str">
        <f aca="false">IF(I2369="","",IF(H2369-1&lt;הגדרות!$E$8*(הגדרות!$E$7+1),MOD(H2369-1,הגדרות!$E$7+1),MOD(H2369-1-הגדרות!$E$8*(הגדרות!$E$7+1),הגדרות!$E$7)))</f>
        <v/>
      </c>
      <c r="K2369" s="0" t="str">
        <f aca="false">IF(I2369="","",J2369*הגדרות!$E$6+I2369+1)</f>
        <v/>
      </c>
      <c r="L2369" s="0" t="str">
        <f aca="false">IF(K2369="","",MATCH(K2369,$F$2:$F$5001,0))</f>
        <v/>
      </c>
      <c r="M2369" s="0" t="str">
        <f aca="false">IF(I2369="","",INDEX(הגדרות!$A$2:$A$21,MOD(I2369+הגדרות!$E$9,הגדרות!$E$6)+1))</f>
        <v/>
      </c>
    </row>
    <row r="2370" customFormat="false" ht="15" hidden="false" customHeight="false" outlineLevel="0" collapsed="false">
      <c r="A2370" s="0" t="str">
        <f aca="false">IF('הדבקת לידים'!A2370="","",IF(ISNUMBER('הדבקת לידים'!A2370),IF(הגדרות!$E$2&gt;0,TEXT('הדבקת לידים'!A2370,REPT("0",הגדרות!$E$2)),TEXT('הדבקת לידים'!A2370,"0")),TRIM('הדבקת לידים'!A2370)))</f>
        <v/>
      </c>
      <c r="B2370" s="0" t="str">
        <f aca="false">IF('הדבקת לידים'!B2370="","",IF(ISNUMBER('הדבקת לידים'!B2370),IF(הגדרות!$E$3&gt;0,TEXT('הדבקת לידים'!B2370,REPT("0",הגדרות!$E$3)),TEXT('הדבקת לידים'!B2370,"0")),TRIM('הדבקת לידים'!B2370)))</f>
        <v/>
      </c>
      <c r="C2370" s="0" t="n">
        <f aca="false">IF(OR(A2370&lt;&gt;"",B2370&lt;&gt;""),1,0)</f>
        <v>0</v>
      </c>
      <c r="D2370" s="0" t="str">
        <f aca="false">IF(C2370=1,MOD(ABS(SIN(ROW()*12.9898+'הדבקת לידים'!$F$2*78.233+IFERROR(--RIGHT(A2370,6),LEN(A2370))*0.0137+IFERROR(--RIGHT(B2370,6),LEN(B2370))*0.0071))*43758.5453,1),"")</f>
        <v/>
      </c>
      <c r="E2370" s="0" t="str">
        <f aca="false">IF(C2370=1,INT(MOD(ABS(SIN(D2370*7919.123+ROW()*0.618+'הדבקת לידים'!$F$2*1.3))*43758.5453,1)*1000000)*10000+ROW(),"")</f>
        <v/>
      </c>
      <c r="F2370" s="0" t="str">
        <f aca="false">IF(E2370="","",RANK(E2370,$E$2:$E$5001,1))</f>
        <v/>
      </c>
      <c r="G2370" s="0" t="n">
        <f aca="false">IF(A2370="",0,IF(SUMPRODUCT(--($A$2:$A$5001=A2370))&gt;1,1,0))</f>
        <v>0</v>
      </c>
      <c r="H2370" s="0" t="n">
        <f aca="false">ROW()-1</f>
        <v>2369</v>
      </c>
      <c r="I2370" s="0" t="str">
        <f aca="false">IF(OR(הגדרות!$E$6=0,H2370&gt;הגדרות!$E$5),"",IF(H2370-1&lt;הגדרות!$E$8*(הגדרות!$E$7+1),INT((H2370-1)/(הגדרות!$E$7+1)),הגדרות!$E$8+INT((H2370-1-הגדרות!$E$8*(הגדרות!$E$7+1))/הגדרות!$E$7)))</f>
        <v/>
      </c>
      <c r="J2370" s="0" t="str">
        <f aca="false">IF(I2370="","",IF(H2370-1&lt;הגדרות!$E$8*(הגדרות!$E$7+1),MOD(H2370-1,הגדרות!$E$7+1),MOD(H2370-1-הגדרות!$E$8*(הגדרות!$E$7+1),הגדרות!$E$7)))</f>
        <v/>
      </c>
      <c r="K2370" s="0" t="str">
        <f aca="false">IF(I2370="","",J2370*הגדרות!$E$6+I2370+1)</f>
        <v/>
      </c>
      <c r="L2370" s="0" t="str">
        <f aca="false">IF(K2370="","",MATCH(K2370,$F$2:$F$5001,0))</f>
        <v/>
      </c>
      <c r="M2370" s="0" t="str">
        <f aca="false">IF(I2370="","",INDEX(הגדרות!$A$2:$A$21,MOD(I2370+הגדרות!$E$9,הגדרות!$E$6)+1))</f>
        <v/>
      </c>
    </row>
    <row r="2371" customFormat="false" ht="15" hidden="false" customHeight="false" outlineLevel="0" collapsed="false">
      <c r="A2371" s="0" t="str">
        <f aca="false">IF('הדבקת לידים'!A2371="","",IF(ISNUMBER('הדבקת לידים'!A2371),IF(הגדרות!$E$2&gt;0,TEXT('הדבקת לידים'!A2371,REPT("0",הגדרות!$E$2)),TEXT('הדבקת לידים'!A2371,"0")),TRIM('הדבקת לידים'!A2371)))</f>
        <v/>
      </c>
      <c r="B2371" s="0" t="str">
        <f aca="false">IF('הדבקת לידים'!B2371="","",IF(ISNUMBER('הדבקת לידים'!B2371),IF(הגדרות!$E$3&gt;0,TEXT('הדבקת לידים'!B2371,REPT("0",הגדרות!$E$3)),TEXT('הדבקת לידים'!B2371,"0")),TRIM('הדבקת לידים'!B2371)))</f>
        <v/>
      </c>
      <c r="C2371" s="0" t="n">
        <f aca="false">IF(OR(A2371&lt;&gt;"",B2371&lt;&gt;""),1,0)</f>
        <v>0</v>
      </c>
      <c r="D2371" s="0" t="str">
        <f aca="false">IF(C2371=1,MOD(ABS(SIN(ROW()*12.9898+'הדבקת לידים'!$F$2*78.233+IFERROR(--RIGHT(A2371,6),LEN(A2371))*0.0137+IFERROR(--RIGHT(B2371,6),LEN(B2371))*0.0071))*43758.5453,1),"")</f>
        <v/>
      </c>
      <c r="E2371" s="0" t="str">
        <f aca="false">IF(C2371=1,INT(MOD(ABS(SIN(D2371*7919.123+ROW()*0.618+'הדבקת לידים'!$F$2*1.3))*43758.5453,1)*1000000)*10000+ROW(),"")</f>
        <v/>
      </c>
      <c r="F2371" s="0" t="str">
        <f aca="false">IF(E2371="","",RANK(E2371,$E$2:$E$5001,1))</f>
        <v/>
      </c>
      <c r="G2371" s="0" t="n">
        <f aca="false">IF(A2371="",0,IF(SUMPRODUCT(--($A$2:$A$5001=A2371))&gt;1,1,0))</f>
        <v>0</v>
      </c>
      <c r="H2371" s="0" t="n">
        <f aca="false">ROW()-1</f>
        <v>2370</v>
      </c>
      <c r="I2371" s="0" t="str">
        <f aca="false">IF(OR(הגדרות!$E$6=0,H2371&gt;הגדרות!$E$5),"",IF(H2371-1&lt;הגדרות!$E$8*(הגדרות!$E$7+1),INT((H2371-1)/(הגדרות!$E$7+1)),הגדרות!$E$8+INT((H2371-1-הגדרות!$E$8*(הגדרות!$E$7+1))/הגדרות!$E$7)))</f>
        <v/>
      </c>
      <c r="J2371" s="0" t="str">
        <f aca="false">IF(I2371="","",IF(H2371-1&lt;הגדרות!$E$8*(הגדרות!$E$7+1),MOD(H2371-1,הגדרות!$E$7+1),MOD(H2371-1-הגדרות!$E$8*(הגדרות!$E$7+1),הגדרות!$E$7)))</f>
        <v/>
      </c>
      <c r="K2371" s="0" t="str">
        <f aca="false">IF(I2371="","",J2371*הגדרות!$E$6+I2371+1)</f>
        <v/>
      </c>
      <c r="L2371" s="0" t="str">
        <f aca="false">IF(K2371="","",MATCH(K2371,$F$2:$F$5001,0))</f>
        <v/>
      </c>
      <c r="M2371" s="0" t="str">
        <f aca="false">IF(I2371="","",INDEX(הגדרות!$A$2:$A$21,MOD(I2371+הגדרות!$E$9,הגדרות!$E$6)+1))</f>
        <v/>
      </c>
    </row>
    <row r="2372" customFormat="false" ht="15" hidden="false" customHeight="false" outlineLevel="0" collapsed="false">
      <c r="A2372" s="0" t="str">
        <f aca="false">IF('הדבקת לידים'!A2372="","",IF(ISNUMBER('הדבקת לידים'!A2372),IF(הגדרות!$E$2&gt;0,TEXT('הדבקת לידים'!A2372,REPT("0",הגדרות!$E$2)),TEXT('הדבקת לידים'!A2372,"0")),TRIM('הדבקת לידים'!A2372)))</f>
        <v/>
      </c>
      <c r="B2372" s="0" t="str">
        <f aca="false">IF('הדבקת לידים'!B2372="","",IF(ISNUMBER('הדבקת לידים'!B2372),IF(הגדרות!$E$3&gt;0,TEXT('הדבקת לידים'!B2372,REPT("0",הגדרות!$E$3)),TEXT('הדבקת לידים'!B2372,"0")),TRIM('הדבקת לידים'!B2372)))</f>
        <v/>
      </c>
      <c r="C2372" s="0" t="n">
        <f aca="false">IF(OR(A2372&lt;&gt;"",B2372&lt;&gt;""),1,0)</f>
        <v>0</v>
      </c>
      <c r="D2372" s="0" t="str">
        <f aca="false">IF(C2372=1,MOD(ABS(SIN(ROW()*12.9898+'הדבקת לידים'!$F$2*78.233+IFERROR(--RIGHT(A2372,6),LEN(A2372))*0.0137+IFERROR(--RIGHT(B2372,6),LEN(B2372))*0.0071))*43758.5453,1),"")</f>
        <v/>
      </c>
      <c r="E2372" s="0" t="str">
        <f aca="false">IF(C2372=1,INT(MOD(ABS(SIN(D2372*7919.123+ROW()*0.618+'הדבקת לידים'!$F$2*1.3))*43758.5453,1)*1000000)*10000+ROW(),"")</f>
        <v/>
      </c>
      <c r="F2372" s="0" t="str">
        <f aca="false">IF(E2372="","",RANK(E2372,$E$2:$E$5001,1))</f>
        <v/>
      </c>
      <c r="G2372" s="0" t="n">
        <f aca="false">IF(A2372="",0,IF(SUMPRODUCT(--($A$2:$A$5001=A2372))&gt;1,1,0))</f>
        <v>0</v>
      </c>
      <c r="H2372" s="0" t="n">
        <f aca="false">ROW()-1</f>
        <v>2371</v>
      </c>
      <c r="I2372" s="0" t="str">
        <f aca="false">IF(OR(הגדרות!$E$6=0,H2372&gt;הגדרות!$E$5),"",IF(H2372-1&lt;הגדרות!$E$8*(הגדרות!$E$7+1),INT((H2372-1)/(הגדרות!$E$7+1)),הגדרות!$E$8+INT((H2372-1-הגדרות!$E$8*(הגדרות!$E$7+1))/הגדרות!$E$7)))</f>
        <v/>
      </c>
      <c r="J2372" s="0" t="str">
        <f aca="false">IF(I2372="","",IF(H2372-1&lt;הגדרות!$E$8*(הגדרות!$E$7+1),MOD(H2372-1,הגדרות!$E$7+1),MOD(H2372-1-הגדרות!$E$8*(הגדרות!$E$7+1),הגדרות!$E$7)))</f>
        <v/>
      </c>
      <c r="K2372" s="0" t="str">
        <f aca="false">IF(I2372="","",J2372*הגדרות!$E$6+I2372+1)</f>
        <v/>
      </c>
      <c r="L2372" s="0" t="str">
        <f aca="false">IF(K2372="","",MATCH(K2372,$F$2:$F$5001,0))</f>
        <v/>
      </c>
      <c r="M2372" s="0" t="str">
        <f aca="false">IF(I2372="","",INDEX(הגדרות!$A$2:$A$21,MOD(I2372+הגדרות!$E$9,הגדרות!$E$6)+1))</f>
        <v/>
      </c>
    </row>
    <row r="2373" customFormat="false" ht="15" hidden="false" customHeight="false" outlineLevel="0" collapsed="false">
      <c r="A2373" s="0" t="str">
        <f aca="false">IF('הדבקת לידים'!A2373="","",IF(ISNUMBER('הדבקת לידים'!A2373),IF(הגדרות!$E$2&gt;0,TEXT('הדבקת לידים'!A2373,REPT("0",הגדרות!$E$2)),TEXT('הדבקת לידים'!A2373,"0")),TRIM('הדבקת לידים'!A2373)))</f>
        <v/>
      </c>
      <c r="B2373" s="0" t="str">
        <f aca="false">IF('הדבקת לידים'!B2373="","",IF(ISNUMBER('הדבקת לידים'!B2373),IF(הגדרות!$E$3&gt;0,TEXT('הדבקת לידים'!B2373,REPT("0",הגדרות!$E$3)),TEXT('הדבקת לידים'!B2373,"0")),TRIM('הדבקת לידים'!B2373)))</f>
        <v/>
      </c>
      <c r="C2373" s="0" t="n">
        <f aca="false">IF(OR(A2373&lt;&gt;"",B2373&lt;&gt;""),1,0)</f>
        <v>0</v>
      </c>
      <c r="D2373" s="0" t="str">
        <f aca="false">IF(C2373=1,MOD(ABS(SIN(ROW()*12.9898+'הדבקת לידים'!$F$2*78.233+IFERROR(--RIGHT(A2373,6),LEN(A2373))*0.0137+IFERROR(--RIGHT(B2373,6),LEN(B2373))*0.0071))*43758.5453,1),"")</f>
        <v/>
      </c>
      <c r="E2373" s="0" t="str">
        <f aca="false">IF(C2373=1,INT(MOD(ABS(SIN(D2373*7919.123+ROW()*0.618+'הדבקת לידים'!$F$2*1.3))*43758.5453,1)*1000000)*10000+ROW(),"")</f>
        <v/>
      </c>
      <c r="F2373" s="0" t="str">
        <f aca="false">IF(E2373="","",RANK(E2373,$E$2:$E$5001,1))</f>
        <v/>
      </c>
      <c r="G2373" s="0" t="n">
        <f aca="false">IF(A2373="",0,IF(SUMPRODUCT(--($A$2:$A$5001=A2373))&gt;1,1,0))</f>
        <v>0</v>
      </c>
      <c r="H2373" s="0" t="n">
        <f aca="false">ROW()-1</f>
        <v>2372</v>
      </c>
      <c r="I2373" s="0" t="str">
        <f aca="false">IF(OR(הגדרות!$E$6=0,H2373&gt;הגדרות!$E$5),"",IF(H2373-1&lt;הגדרות!$E$8*(הגדרות!$E$7+1),INT((H2373-1)/(הגדרות!$E$7+1)),הגדרות!$E$8+INT((H2373-1-הגדרות!$E$8*(הגדרות!$E$7+1))/הגדרות!$E$7)))</f>
        <v/>
      </c>
      <c r="J2373" s="0" t="str">
        <f aca="false">IF(I2373="","",IF(H2373-1&lt;הגדרות!$E$8*(הגדרות!$E$7+1),MOD(H2373-1,הגדרות!$E$7+1),MOD(H2373-1-הגדרות!$E$8*(הגדרות!$E$7+1),הגדרות!$E$7)))</f>
        <v/>
      </c>
      <c r="K2373" s="0" t="str">
        <f aca="false">IF(I2373="","",J2373*הגדרות!$E$6+I2373+1)</f>
        <v/>
      </c>
      <c r="L2373" s="0" t="str">
        <f aca="false">IF(K2373="","",MATCH(K2373,$F$2:$F$5001,0))</f>
        <v/>
      </c>
      <c r="M2373" s="0" t="str">
        <f aca="false">IF(I2373="","",INDEX(הגדרות!$A$2:$A$21,MOD(I2373+הגדרות!$E$9,הגדרות!$E$6)+1))</f>
        <v/>
      </c>
    </row>
    <row r="2374" customFormat="false" ht="15" hidden="false" customHeight="false" outlineLevel="0" collapsed="false">
      <c r="A2374" s="0" t="str">
        <f aca="false">IF('הדבקת לידים'!A2374="","",IF(ISNUMBER('הדבקת לידים'!A2374),IF(הגדרות!$E$2&gt;0,TEXT('הדבקת לידים'!A2374,REPT("0",הגדרות!$E$2)),TEXT('הדבקת לידים'!A2374,"0")),TRIM('הדבקת לידים'!A2374)))</f>
        <v/>
      </c>
      <c r="B2374" s="0" t="str">
        <f aca="false">IF('הדבקת לידים'!B2374="","",IF(ISNUMBER('הדבקת לידים'!B2374),IF(הגדרות!$E$3&gt;0,TEXT('הדבקת לידים'!B2374,REPT("0",הגדרות!$E$3)),TEXT('הדבקת לידים'!B2374,"0")),TRIM('הדבקת לידים'!B2374)))</f>
        <v/>
      </c>
      <c r="C2374" s="0" t="n">
        <f aca="false">IF(OR(A2374&lt;&gt;"",B2374&lt;&gt;""),1,0)</f>
        <v>0</v>
      </c>
      <c r="D2374" s="0" t="str">
        <f aca="false">IF(C2374=1,MOD(ABS(SIN(ROW()*12.9898+'הדבקת לידים'!$F$2*78.233+IFERROR(--RIGHT(A2374,6),LEN(A2374))*0.0137+IFERROR(--RIGHT(B2374,6),LEN(B2374))*0.0071))*43758.5453,1),"")</f>
        <v/>
      </c>
      <c r="E2374" s="0" t="str">
        <f aca="false">IF(C2374=1,INT(MOD(ABS(SIN(D2374*7919.123+ROW()*0.618+'הדבקת לידים'!$F$2*1.3))*43758.5453,1)*1000000)*10000+ROW(),"")</f>
        <v/>
      </c>
      <c r="F2374" s="0" t="str">
        <f aca="false">IF(E2374="","",RANK(E2374,$E$2:$E$5001,1))</f>
        <v/>
      </c>
      <c r="G2374" s="0" t="n">
        <f aca="false">IF(A2374="",0,IF(SUMPRODUCT(--($A$2:$A$5001=A2374))&gt;1,1,0))</f>
        <v>0</v>
      </c>
      <c r="H2374" s="0" t="n">
        <f aca="false">ROW()-1</f>
        <v>2373</v>
      </c>
      <c r="I2374" s="0" t="str">
        <f aca="false">IF(OR(הגדרות!$E$6=0,H2374&gt;הגדרות!$E$5),"",IF(H2374-1&lt;הגדרות!$E$8*(הגדרות!$E$7+1),INT((H2374-1)/(הגדרות!$E$7+1)),הגדרות!$E$8+INT((H2374-1-הגדרות!$E$8*(הגדרות!$E$7+1))/הגדרות!$E$7)))</f>
        <v/>
      </c>
      <c r="J2374" s="0" t="str">
        <f aca="false">IF(I2374="","",IF(H2374-1&lt;הגדרות!$E$8*(הגדרות!$E$7+1),MOD(H2374-1,הגדרות!$E$7+1),MOD(H2374-1-הגדרות!$E$8*(הגדרות!$E$7+1),הגדרות!$E$7)))</f>
        <v/>
      </c>
      <c r="K2374" s="0" t="str">
        <f aca="false">IF(I2374="","",J2374*הגדרות!$E$6+I2374+1)</f>
        <v/>
      </c>
      <c r="L2374" s="0" t="str">
        <f aca="false">IF(K2374="","",MATCH(K2374,$F$2:$F$5001,0))</f>
        <v/>
      </c>
      <c r="M2374" s="0" t="str">
        <f aca="false">IF(I2374="","",INDEX(הגדרות!$A$2:$A$21,MOD(I2374+הגדרות!$E$9,הגדרות!$E$6)+1))</f>
        <v/>
      </c>
    </row>
    <row r="2375" customFormat="false" ht="15" hidden="false" customHeight="false" outlineLevel="0" collapsed="false">
      <c r="A2375" s="0" t="str">
        <f aca="false">IF('הדבקת לידים'!A2375="","",IF(ISNUMBER('הדבקת לידים'!A2375),IF(הגדרות!$E$2&gt;0,TEXT('הדבקת לידים'!A2375,REPT("0",הגדרות!$E$2)),TEXT('הדבקת לידים'!A2375,"0")),TRIM('הדבקת לידים'!A2375)))</f>
        <v/>
      </c>
      <c r="B2375" s="0" t="str">
        <f aca="false">IF('הדבקת לידים'!B2375="","",IF(ISNUMBER('הדבקת לידים'!B2375),IF(הגדרות!$E$3&gt;0,TEXT('הדבקת לידים'!B2375,REPT("0",הגדרות!$E$3)),TEXT('הדבקת לידים'!B2375,"0")),TRIM('הדבקת לידים'!B2375)))</f>
        <v/>
      </c>
      <c r="C2375" s="0" t="n">
        <f aca="false">IF(OR(A2375&lt;&gt;"",B2375&lt;&gt;""),1,0)</f>
        <v>0</v>
      </c>
      <c r="D2375" s="0" t="str">
        <f aca="false">IF(C2375=1,MOD(ABS(SIN(ROW()*12.9898+'הדבקת לידים'!$F$2*78.233+IFERROR(--RIGHT(A2375,6),LEN(A2375))*0.0137+IFERROR(--RIGHT(B2375,6),LEN(B2375))*0.0071))*43758.5453,1),"")</f>
        <v/>
      </c>
      <c r="E2375" s="0" t="str">
        <f aca="false">IF(C2375=1,INT(MOD(ABS(SIN(D2375*7919.123+ROW()*0.618+'הדבקת לידים'!$F$2*1.3))*43758.5453,1)*1000000)*10000+ROW(),"")</f>
        <v/>
      </c>
      <c r="F2375" s="0" t="str">
        <f aca="false">IF(E2375="","",RANK(E2375,$E$2:$E$5001,1))</f>
        <v/>
      </c>
      <c r="G2375" s="0" t="n">
        <f aca="false">IF(A2375="",0,IF(SUMPRODUCT(--($A$2:$A$5001=A2375))&gt;1,1,0))</f>
        <v>0</v>
      </c>
      <c r="H2375" s="0" t="n">
        <f aca="false">ROW()-1</f>
        <v>2374</v>
      </c>
      <c r="I2375" s="0" t="str">
        <f aca="false">IF(OR(הגדרות!$E$6=0,H2375&gt;הגדרות!$E$5),"",IF(H2375-1&lt;הגדרות!$E$8*(הגדרות!$E$7+1),INT((H2375-1)/(הגדרות!$E$7+1)),הגדרות!$E$8+INT((H2375-1-הגדרות!$E$8*(הגדרות!$E$7+1))/הגדרות!$E$7)))</f>
        <v/>
      </c>
      <c r="J2375" s="0" t="str">
        <f aca="false">IF(I2375="","",IF(H2375-1&lt;הגדרות!$E$8*(הגדרות!$E$7+1),MOD(H2375-1,הגדרות!$E$7+1),MOD(H2375-1-הגדרות!$E$8*(הגדרות!$E$7+1),הגדרות!$E$7)))</f>
        <v/>
      </c>
      <c r="K2375" s="0" t="str">
        <f aca="false">IF(I2375="","",J2375*הגדרות!$E$6+I2375+1)</f>
        <v/>
      </c>
      <c r="L2375" s="0" t="str">
        <f aca="false">IF(K2375="","",MATCH(K2375,$F$2:$F$5001,0))</f>
        <v/>
      </c>
      <c r="M2375" s="0" t="str">
        <f aca="false">IF(I2375="","",INDEX(הגדרות!$A$2:$A$21,MOD(I2375+הגדרות!$E$9,הגדרות!$E$6)+1))</f>
        <v/>
      </c>
    </row>
    <row r="2376" customFormat="false" ht="15" hidden="false" customHeight="false" outlineLevel="0" collapsed="false">
      <c r="A2376" s="0" t="str">
        <f aca="false">IF('הדבקת לידים'!A2376="","",IF(ISNUMBER('הדבקת לידים'!A2376),IF(הגדרות!$E$2&gt;0,TEXT('הדבקת לידים'!A2376,REPT("0",הגדרות!$E$2)),TEXT('הדבקת לידים'!A2376,"0")),TRIM('הדבקת לידים'!A2376)))</f>
        <v/>
      </c>
      <c r="B2376" s="0" t="str">
        <f aca="false">IF('הדבקת לידים'!B2376="","",IF(ISNUMBER('הדבקת לידים'!B2376),IF(הגדרות!$E$3&gt;0,TEXT('הדבקת לידים'!B2376,REPT("0",הגדרות!$E$3)),TEXT('הדבקת לידים'!B2376,"0")),TRIM('הדבקת לידים'!B2376)))</f>
        <v/>
      </c>
      <c r="C2376" s="0" t="n">
        <f aca="false">IF(OR(A2376&lt;&gt;"",B2376&lt;&gt;""),1,0)</f>
        <v>0</v>
      </c>
      <c r="D2376" s="0" t="str">
        <f aca="false">IF(C2376=1,MOD(ABS(SIN(ROW()*12.9898+'הדבקת לידים'!$F$2*78.233+IFERROR(--RIGHT(A2376,6),LEN(A2376))*0.0137+IFERROR(--RIGHT(B2376,6),LEN(B2376))*0.0071))*43758.5453,1),"")</f>
        <v/>
      </c>
      <c r="E2376" s="0" t="str">
        <f aca="false">IF(C2376=1,INT(MOD(ABS(SIN(D2376*7919.123+ROW()*0.618+'הדבקת לידים'!$F$2*1.3))*43758.5453,1)*1000000)*10000+ROW(),"")</f>
        <v/>
      </c>
      <c r="F2376" s="0" t="str">
        <f aca="false">IF(E2376="","",RANK(E2376,$E$2:$E$5001,1))</f>
        <v/>
      </c>
      <c r="G2376" s="0" t="n">
        <f aca="false">IF(A2376="",0,IF(SUMPRODUCT(--($A$2:$A$5001=A2376))&gt;1,1,0))</f>
        <v>0</v>
      </c>
      <c r="H2376" s="0" t="n">
        <f aca="false">ROW()-1</f>
        <v>2375</v>
      </c>
      <c r="I2376" s="0" t="str">
        <f aca="false">IF(OR(הגדרות!$E$6=0,H2376&gt;הגדרות!$E$5),"",IF(H2376-1&lt;הגדרות!$E$8*(הגדרות!$E$7+1),INT((H2376-1)/(הגדרות!$E$7+1)),הגדרות!$E$8+INT((H2376-1-הגדרות!$E$8*(הגדרות!$E$7+1))/הגדרות!$E$7)))</f>
        <v/>
      </c>
      <c r="J2376" s="0" t="str">
        <f aca="false">IF(I2376="","",IF(H2376-1&lt;הגדרות!$E$8*(הגדרות!$E$7+1),MOD(H2376-1,הגדרות!$E$7+1),MOD(H2376-1-הגדרות!$E$8*(הגדרות!$E$7+1),הגדרות!$E$7)))</f>
        <v/>
      </c>
      <c r="K2376" s="0" t="str">
        <f aca="false">IF(I2376="","",J2376*הגדרות!$E$6+I2376+1)</f>
        <v/>
      </c>
      <c r="L2376" s="0" t="str">
        <f aca="false">IF(K2376="","",MATCH(K2376,$F$2:$F$5001,0))</f>
        <v/>
      </c>
      <c r="M2376" s="0" t="str">
        <f aca="false">IF(I2376="","",INDEX(הגדרות!$A$2:$A$21,MOD(I2376+הגדרות!$E$9,הגדרות!$E$6)+1))</f>
        <v/>
      </c>
    </row>
    <row r="2377" customFormat="false" ht="15" hidden="false" customHeight="false" outlineLevel="0" collapsed="false">
      <c r="A2377" s="0" t="str">
        <f aca="false">IF('הדבקת לידים'!A2377="","",IF(ISNUMBER('הדבקת לידים'!A2377),IF(הגדרות!$E$2&gt;0,TEXT('הדבקת לידים'!A2377,REPT("0",הגדרות!$E$2)),TEXT('הדבקת לידים'!A2377,"0")),TRIM('הדבקת לידים'!A2377)))</f>
        <v/>
      </c>
      <c r="B2377" s="0" t="str">
        <f aca="false">IF('הדבקת לידים'!B2377="","",IF(ISNUMBER('הדבקת לידים'!B2377),IF(הגדרות!$E$3&gt;0,TEXT('הדבקת לידים'!B2377,REPT("0",הגדרות!$E$3)),TEXT('הדבקת לידים'!B2377,"0")),TRIM('הדבקת לידים'!B2377)))</f>
        <v/>
      </c>
      <c r="C2377" s="0" t="n">
        <f aca="false">IF(OR(A2377&lt;&gt;"",B2377&lt;&gt;""),1,0)</f>
        <v>0</v>
      </c>
      <c r="D2377" s="0" t="str">
        <f aca="false">IF(C2377=1,MOD(ABS(SIN(ROW()*12.9898+'הדבקת לידים'!$F$2*78.233+IFERROR(--RIGHT(A2377,6),LEN(A2377))*0.0137+IFERROR(--RIGHT(B2377,6),LEN(B2377))*0.0071))*43758.5453,1),"")</f>
        <v/>
      </c>
      <c r="E2377" s="0" t="str">
        <f aca="false">IF(C2377=1,INT(MOD(ABS(SIN(D2377*7919.123+ROW()*0.618+'הדבקת לידים'!$F$2*1.3))*43758.5453,1)*1000000)*10000+ROW(),"")</f>
        <v/>
      </c>
      <c r="F2377" s="0" t="str">
        <f aca="false">IF(E2377="","",RANK(E2377,$E$2:$E$5001,1))</f>
        <v/>
      </c>
      <c r="G2377" s="0" t="n">
        <f aca="false">IF(A2377="",0,IF(SUMPRODUCT(--($A$2:$A$5001=A2377))&gt;1,1,0))</f>
        <v>0</v>
      </c>
      <c r="H2377" s="0" t="n">
        <f aca="false">ROW()-1</f>
        <v>2376</v>
      </c>
      <c r="I2377" s="0" t="str">
        <f aca="false">IF(OR(הגדרות!$E$6=0,H2377&gt;הגדרות!$E$5),"",IF(H2377-1&lt;הגדרות!$E$8*(הגדרות!$E$7+1),INT((H2377-1)/(הגדרות!$E$7+1)),הגדרות!$E$8+INT((H2377-1-הגדרות!$E$8*(הגדרות!$E$7+1))/הגדרות!$E$7)))</f>
        <v/>
      </c>
      <c r="J2377" s="0" t="str">
        <f aca="false">IF(I2377="","",IF(H2377-1&lt;הגדרות!$E$8*(הגדרות!$E$7+1),MOD(H2377-1,הגדרות!$E$7+1),MOD(H2377-1-הגדרות!$E$8*(הגדרות!$E$7+1),הגדרות!$E$7)))</f>
        <v/>
      </c>
      <c r="K2377" s="0" t="str">
        <f aca="false">IF(I2377="","",J2377*הגדרות!$E$6+I2377+1)</f>
        <v/>
      </c>
      <c r="L2377" s="0" t="str">
        <f aca="false">IF(K2377="","",MATCH(K2377,$F$2:$F$5001,0))</f>
        <v/>
      </c>
      <c r="M2377" s="0" t="str">
        <f aca="false">IF(I2377="","",INDEX(הגדרות!$A$2:$A$21,MOD(I2377+הגדרות!$E$9,הגדרות!$E$6)+1))</f>
        <v/>
      </c>
    </row>
    <row r="2378" customFormat="false" ht="15" hidden="false" customHeight="false" outlineLevel="0" collapsed="false">
      <c r="A2378" s="0" t="str">
        <f aca="false">IF('הדבקת לידים'!A2378="","",IF(ISNUMBER('הדבקת לידים'!A2378),IF(הגדרות!$E$2&gt;0,TEXT('הדבקת לידים'!A2378,REPT("0",הגדרות!$E$2)),TEXT('הדבקת לידים'!A2378,"0")),TRIM('הדבקת לידים'!A2378)))</f>
        <v/>
      </c>
      <c r="B2378" s="0" t="str">
        <f aca="false">IF('הדבקת לידים'!B2378="","",IF(ISNUMBER('הדבקת לידים'!B2378),IF(הגדרות!$E$3&gt;0,TEXT('הדבקת לידים'!B2378,REPT("0",הגדרות!$E$3)),TEXT('הדבקת לידים'!B2378,"0")),TRIM('הדבקת לידים'!B2378)))</f>
        <v/>
      </c>
      <c r="C2378" s="0" t="n">
        <f aca="false">IF(OR(A2378&lt;&gt;"",B2378&lt;&gt;""),1,0)</f>
        <v>0</v>
      </c>
      <c r="D2378" s="0" t="str">
        <f aca="false">IF(C2378=1,MOD(ABS(SIN(ROW()*12.9898+'הדבקת לידים'!$F$2*78.233+IFERROR(--RIGHT(A2378,6),LEN(A2378))*0.0137+IFERROR(--RIGHT(B2378,6),LEN(B2378))*0.0071))*43758.5453,1),"")</f>
        <v/>
      </c>
      <c r="E2378" s="0" t="str">
        <f aca="false">IF(C2378=1,INT(MOD(ABS(SIN(D2378*7919.123+ROW()*0.618+'הדבקת לידים'!$F$2*1.3))*43758.5453,1)*1000000)*10000+ROW(),"")</f>
        <v/>
      </c>
      <c r="F2378" s="0" t="str">
        <f aca="false">IF(E2378="","",RANK(E2378,$E$2:$E$5001,1))</f>
        <v/>
      </c>
      <c r="G2378" s="0" t="n">
        <f aca="false">IF(A2378="",0,IF(SUMPRODUCT(--($A$2:$A$5001=A2378))&gt;1,1,0))</f>
        <v>0</v>
      </c>
      <c r="H2378" s="0" t="n">
        <f aca="false">ROW()-1</f>
        <v>2377</v>
      </c>
      <c r="I2378" s="0" t="str">
        <f aca="false">IF(OR(הגדרות!$E$6=0,H2378&gt;הגדרות!$E$5),"",IF(H2378-1&lt;הגדרות!$E$8*(הגדרות!$E$7+1),INT((H2378-1)/(הגדרות!$E$7+1)),הגדרות!$E$8+INT((H2378-1-הגדרות!$E$8*(הגדרות!$E$7+1))/הגדרות!$E$7)))</f>
        <v/>
      </c>
      <c r="J2378" s="0" t="str">
        <f aca="false">IF(I2378="","",IF(H2378-1&lt;הגדרות!$E$8*(הגדרות!$E$7+1),MOD(H2378-1,הגדרות!$E$7+1),MOD(H2378-1-הגדרות!$E$8*(הגדרות!$E$7+1),הגדרות!$E$7)))</f>
        <v/>
      </c>
      <c r="K2378" s="0" t="str">
        <f aca="false">IF(I2378="","",J2378*הגדרות!$E$6+I2378+1)</f>
        <v/>
      </c>
      <c r="L2378" s="0" t="str">
        <f aca="false">IF(K2378="","",MATCH(K2378,$F$2:$F$5001,0))</f>
        <v/>
      </c>
      <c r="M2378" s="0" t="str">
        <f aca="false">IF(I2378="","",INDEX(הגדרות!$A$2:$A$21,MOD(I2378+הגדרות!$E$9,הגדרות!$E$6)+1))</f>
        <v/>
      </c>
    </row>
    <row r="2379" customFormat="false" ht="15" hidden="false" customHeight="false" outlineLevel="0" collapsed="false">
      <c r="A2379" s="0" t="str">
        <f aca="false">IF('הדבקת לידים'!A2379="","",IF(ISNUMBER('הדבקת לידים'!A2379),IF(הגדרות!$E$2&gt;0,TEXT('הדבקת לידים'!A2379,REPT("0",הגדרות!$E$2)),TEXT('הדבקת לידים'!A2379,"0")),TRIM('הדבקת לידים'!A2379)))</f>
        <v/>
      </c>
      <c r="B2379" s="0" t="str">
        <f aca="false">IF('הדבקת לידים'!B2379="","",IF(ISNUMBER('הדבקת לידים'!B2379),IF(הגדרות!$E$3&gt;0,TEXT('הדבקת לידים'!B2379,REPT("0",הגדרות!$E$3)),TEXT('הדבקת לידים'!B2379,"0")),TRIM('הדבקת לידים'!B2379)))</f>
        <v/>
      </c>
      <c r="C2379" s="0" t="n">
        <f aca="false">IF(OR(A2379&lt;&gt;"",B2379&lt;&gt;""),1,0)</f>
        <v>0</v>
      </c>
      <c r="D2379" s="0" t="str">
        <f aca="false">IF(C2379=1,MOD(ABS(SIN(ROW()*12.9898+'הדבקת לידים'!$F$2*78.233+IFERROR(--RIGHT(A2379,6),LEN(A2379))*0.0137+IFERROR(--RIGHT(B2379,6),LEN(B2379))*0.0071))*43758.5453,1),"")</f>
        <v/>
      </c>
      <c r="E2379" s="0" t="str">
        <f aca="false">IF(C2379=1,INT(MOD(ABS(SIN(D2379*7919.123+ROW()*0.618+'הדבקת לידים'!$F$2*1.3))*43758.5453,1)*1000000)*10000+ROW(),"")</f>
        <v/>
      </c>
      <c r="F2379" s="0" t="str">
        <f aca="false">IF(E2379="","",RANK(E2379,$E$2:$E$5001,1))</f>
        <v/>
      </c>
      <c r="G2379" s="0" t="n">
        <f aca="false">IF(A2379="",0,IF(SUMPRODUCT(--($A$2:$A$5001=A2379))&gt;1,1,0))</f>
        <v>0</v>
      </c>
      <c r="H2379" s="0" t="n">
        <f aca="false">ROW()-1</f>
        <v>2378</v>
      </c>
      <c r="I2379" s="0" t="str">
        <f aca="false">IF(OR(הגדרות!$E$6=0,H2379&gt;הגדרות!$E$5),"",IF(H2379-1&lt;הגדרות!$E$8*(הגדרות!$E$7+1),INT((H2379-1)/(הגדרות!$E$7+1)),הגדרות!$E$8+INT((H2379-1-הגדרות!$E$8*(הגדרות!$E$7+1))/הגדרות!$E$7)))</f>
        <v/>
      </c>
      <c r="J2379" s="0" t="str">
        <f aca="false">IF(I2379="","",IF(H2379-1&lt;הגדרות!$E$8*(הגדרות!$E$7+1),MOD(H2379-1,הגדרות!$E$7+1),MOD(H2379-1-הגדרות!$E$8*(הגדרות!$E$7+1),הגדרות!$E$7)))</f>
        <v/>
      </c>
      <c r="K2379" s="0" t="str">
        <f aca="false">IF(I2379="","",J2379*הגדרות!$E$6+I2379+1)</f>
        <v/>
      </c>
      <c r="L2379" s="0" t="str">
        <f aca="false">IF(K2379="","",MATCH(K2379,$F$2:$F$5001,0))</f>
        <v/>
      </c>
      <c r="M2379" s="0" t="str">
        <f aca="false">IF(I2379="","",INDEX(הגדרות!$A$2:$A$21,MOD(I2379+הגדרות!$E$9,הגדרות!$E$6)+1))</f>
        <v/>
      </c>
    </row>
    <row r="2380" customFormat="false" ht="15" hidden="false" customHeight="false" outlineLevel="0" collapsed="false">
      <c r="A2380" s="0" t="str">
        <f aca="false">IF('הדבקת לידים'!A2380="","",IF(ISNUMBER('הדבקת לידים'!A2380),IF(הגדרות!$E$2&gt;0,TEXT('הדבקת לידים'!A2380,REPT("0",הגדרות!$E$2)),TEXT('הדבקת לידים'!A2380,"0")),TRIM('הדבקת לידים'!A2380)))</f>
        <v/>
      </c>
      <c r="B2380" s="0" t="str">
        <f aca="false">IF('הדבקת לידים'!B2380="","",IF(ISNUMBER('הדבקת לידים'!B2380),IF(הגדרות!$E$3&gt;0,TEXT('הדבקת לידים'!B2380,REPT("0",הגדרות!$E$3)),TEXT('הדבקת לידים'!B2380,"0")),TRIM('הדבקת לידים'!B2380)))</f>
        <v/>
      </c>
      <c r="C2380" s="0" t="n">
        <f aca="false">IF(OR(A2380&lt;&gt;"",B2380&lt;&gt;""),1,0)</f>
        <v>0</v>
      </c>
      <c r="D2380" s="0" t="str">
        <f aca="false">IF(C2380=1,MOD(ABS(SIN(ROW()*12.9898+'הדבקת לידים'!$F$2*78.233+IFERROR(--RIGHT(A2380,6),LEN(A2380))*0.0137+IFERROR(--RIGHT(B2380,6),LEN(B2380))*0.0071))*43758.5453,1),"")</f>
        <v/>
      </c>
      <c r="E2380" s="0" t="str">
        <f aca="false">IF(C2380=1,INT(MOD(ABS(SIN(D2380*7919.123+ROW()*0.618+'הדבקת לידים'!$F$2*1.3))*43758.5453,1)*1000000)*10000+ROW(),"")</f>
        <v/>
      </c>
      <c r="F2380" s="0" t="str">
        <f aca="false">IF(E2380="","",RANK(E2380,$E$2:$E$5001,1))</f>
        <v/>
      </c>
      <c r="G2380" s="0" t="n">
        <f aca="false">IF(A2380="",0,IF(SUMPRODUCT(--($A$2:$A$5001=A2380))&gt;1,1,0))</f>
        <v>0</v>
      </c>
      <c r="H2380" s="0" t="n">
        <f aca="false">ROW()-1</f>
        <v>2379</v>
      </c>
      <c r="I2380" s="0" t="str">
        <f aca="false">IF(OR(הגדרות!$E$6=0,H2380&gt;הגדרות!$E$5),"",IF(H2380-1&lt;הגדרות!$E$8*(הגדרות!$E$7+1),INT((H2380-1)/(הגדרות!$E$7+1)),הגדרות!$E$8+INT((H2380-1-הגדרות!$E$8*(הגדרות!$E$7+1))/הגדרות!$E$7)))</f>
        <v/>
      </c>
      <c r="J2380" s="0" t="str">
        <f aca="false">IF(I2380="","",IF(H2380-1&lt;הגדרות!$E$8*(הגדרות!$E$7+1),MOD(H2380-1,הגדרות!$E$7+1),MOD(H2380-1-הגדרות!$E$8*(הגדרות!$E$7+1),הגדרות!$E$7)))</f>
        <v/>
      </c>
      <c r="K2380" s="0" t="str">
        <f aca="false">IF(I2380="","",J2380*הגדרות!$E$6+I2380+1)</f>
        <v/>
      </c>
      <c r="L2380" s="0" t="str">
        <f aca="false">IF(K2380="","",MATCH(K2380,$F$2:$F$5001,0))</f>
        <v/>
      </c>
      <c r="M2380" s="0" t="str">
        <f aca="false">IF(I2380="","",INDEX(הגדרות!$A$2:$A$21,MOD(I2380+הגדרות!$E$9,הגדרות!$E$6)+1))</f>
        <v/>
      </c>
    </row>
    <row r="2381" customFormat="false" ht="15" hidden="false" customHeight="false" outlineLevel="0" collapsed="false">
      <c r="A2381" s="0" t="str">
        <f aca="false">IF('הדבקת לידים'!A2381="","",IF(ISNUMBER('הדבקת לידים'!A2381),IF(הגדרות!$E$2&gt;0,TEXT('הדבקת לידים'!A2381,REPT("0",הגדרות!$E$2)),TEXT('הדבקת לידים'!A2381,"0")),TRIM('הדבקת לידים'!A2381)))</f>
        <v/>
      </c>
      <c r="B2381" s="0" t="str">
        <f aca="false">IF('הדבקת לידים'!B2381="","",IF(ISNUMBER('הדבקת לידים'!B2381),IF(הגדרות!$E$3&gt;0,TEXT('הדבקת לידים'!B2381,REPT("0",הגדרות!$E$3)),TEXT('הדבקת לידים'!B2381,"0")),TRIM('הדבקת לידים'!B2381)))</f>
        <v/>
      </c>
      <c r="C2381" s="0" t="n">
        <f aca="false">IF(OR(A2381&lt;&gt;"",B2381&lt;&gt;""),1,0)</f>
        <v>0</v>
      </c>
      <c r="D2381" s="0" t="str">
        <f aca="false">IF(C2381=1,MOD(ABS(SIN(ROW()*12.9898+'הדבקת לידים'!$F$2*78.233+IFERROR(--RIGHT(A2381,6),LEN(A2381))*0.0137+IFERROR(--RIGHT(B2381,6),LEN(B2381))*0.0071))*43758.5453,1),"")</f>
        <v/>
      </c>
      <c r="E2381" s="0" t="str">
        <f aca="false">IF(C2381=1,INT(MOD(ABS(SIN(D2381*7919.123+ROW()*0.618+'הדבקת לידים'!$F$2*1.3))*43758.5453,1)*1000000)*10000+ROW(),"")</f>
        <v/>
      </c>
      <c r="F2381" s="0" t="str">
        <f aca="false">IF(E2381="","",RANK(E2381,$E$2:$E$5001,1))</f>
        <v/>
      </c>
      <c r="G2381" s="0" t="n">
        <f aca="false">IF(A2381="",0,IF(SUMPRODUCT(--($A$2:$A$5001=A2381))&gt;1,1,0))</f>
        <v>0</v>
      </c>
      <c r="H2381" s="0" t="n">
        <f aca="false">ROW()-1</f>
        <v>2380</v>
      </c>
      <c r="I2381" s="0" t="str">
        <f aca="false">IF(OR(הגדרות!$E$6=0,H2381&gt;הגדרות!$E$5),"",IF(H2381-1&lt;הגדרות!$E$8*(הגדרות!$E$7+1),INT((H2381-1)/(הגדרות!$E$7+1)),הגדרות!$E$8+INT((H2381-1-הגדרות!$E$8*(הגדרות!$E$7+1))/הגדרות!$E$7)))</f>
        <v/>
      </c>
      <c r="J2381" s="0" t="str">
        <f aca="false">IF(I2381="","",IF(H2381-1&lt;הגדרות!$E$8*(הגדרות!$E$7+1),MOD(H2381-1,הגדרות!$E$7+1),MOD(H2381-1-הגדרות!$E$8*(הגדרות!$E$7+1),הגדרות!$E$7)))</f>
        <v/>
      </c>
      <c r="K2381" s="0" t="str">
        <f aca="false">IF(I2381="","",J2381*הגדרות!$E$6+I2381+1)</f>
        <v/>
      </c>
      <c r="L2381" s="0" t="str">
        <f aca="false">IF(K2381="","",MATCH(K2381,$F$2:$F$5001,0))</f>
        <v/>
      </c>
      <c r="M2381" s="0" t="str">
        <f aca="false">IF(I2381="","",INDEX(הגדרות!$A$2:$A$21,MOD(I2381+הגדרות!$E$9,הגדרות!$E$6)+1))</f>
        <v/>
      </c>
    </row>
    <row r="2382" customFormat="false" ht="15" hidden="false" customHeight="false" outlineLevel="0" collapsed="false">
      <c r="A2382" s="0" t="str">
        <f aca="false">IF('הדבקת לידים'!A2382="","",IF(ISNUMBER('הדבקת לידים'!A2382),IF(הגדרות!$E$2&gt;0,TEXT('הדבקת לידים'!A2382,REPT("0",הגדרות!$E$2)),TEXT('הדבקת לידים'!A2382,"0")),TRIM('הדבקת לידים'!A2382)))</f>
        <v/>
      </c>
      <c r="B2382" s="0" t="str">
        <f aca="false">IF('הדבקת לידים'!B2382="","",IF(ISNUMBER('הדבקת לידים'!B2382),IF(הגדרות!$E$3&gt;0,TEXT('הדבקת לידים'!B2382,REPT("0",הגדרות!$E$3)),TEXT('הדבקת לידים'!B2382,"0")),TRIM('הדבקת לידים'!B2382)))</f>
        <v/>
      </c>
      <c r="C2382" s="0" t="n">
        <f aca="false">IF(OR(A2382&lt;&gt;"",B2382&lt;&gt;""),1,0)</f>
        <v>0</v>
      </c>
      <c r="D2382" s="0" t="str">
        <f aca="false">IF(C2382=1,MOD(ABS(SIN(ROW()*12.9898+'הדבקת לידים'!$F$2*78.233+IFERROR(--RIGHT(A2382,6),LEN(A2382))*0.0137+IFERROR(--RIGHT(B2382,6),LEN(B2382))*0.0071))*43758.5453,1),"")</f>
        <v/>
      </c>
      <c r="E2382" s="0" t="str">
        <f aca="false">IF(C2382=1,INT(MOD(ABS(SIN(D2382*7919.123+ROW()*0.618+'הדבקת לידים'!$F$2*1.3))*43758.5453,1)*1000000)*10000+ROW(),"")</f>
        <v/>
      </c>
      <c r="F2382" s="0" t="str">
        <f aca="false">IF(E2382="","",RANK(E2382,$E$2:$E$5001,1))</f>
        <v/>
      </c>
      <c r="G2382" s="0" t="n">
        <f aca="false">IF(A2382="",0,IF(SUMPRODUCT(--($A$2:$A$5001=A2382))&gt;1,1,0))</f>
        <v>0</v>
      </c>
      <c r="H2382" s="0" t="n">
        <f aca="false">ROW()-1</f>
        <v>2381</v>
      </c>
      <c r="I2382" s="0" t="str">
        <f aca="false">IF(OR(הגדרות!$E$6=0,H2382&gt;הגדרות!$E$5),"",IF(H2382-1&lt;הגדרות!$E$8*(הגדרות!$E$7+1),INT((H2382-1)/(הגדרות!$E$7+1)),הגדרות!$E$8+INT((H2382-1-הגדרות!$E$8*(הגדרות!$E$7+1))/הגדרות!$E$7)))</f>
        <v/>
      </c>
      <c r="J2382" s="0" t="str">
        <f aca="false">IF(I2382="","",IF(H2382-1&lt;הגדרות!$E$8*(הגדרות!$E$7+1),MOD(H2382-1,הגדרות!$E$7+1),MOD(H2382-1-הגדרות!$E$8*(הגדרות!$E$7+1),הגדרות!$E$7)))</f>
        <v/>
      </c>
      <c r="K2382" s="0" t="str">
        <f aca="false">IF(I2382="","",J2382*הגדרות!$E$6+I2382+1)</f>
        <v/>
      </c>
      <c r="L2382" s="0" t="str">
        <f aca="false">IF(K2382="","",MATCH(K2382,$F$2:$F$5001,0))</f>
        <v/>
      </c>
      <c r="M2382" s="0" t="str">
        <f aca="false">IF(I2382="","",INDEX(הגדרות!$A$2:$A$21,MOD(I2382+הגדרות!$E$9,הגדרות!$E$6)+1))</f>
        <v/>
      </c>
    </row>
    <row r="2383" customFormat="false" ht="15" hidden="false" customHeight="false" outlineLevel="0" collapsed="false">
      <c r="A2383" s="0" t="str">
        <f aca="false">IF('הדבקת לידים'!A2383="","",IF(ISNUMBER('הדבקת לידים'!A2383),IF(הגדרות!$E$2&gt;0,TEXT('הדבקת לידים'!A2383,REPT("0",הגדרות!$E$2)),TEXT('הדבקת לידים'!A2383,"0")),TRIM('הדבקת לידים'!A2383)))</f>
        <v/>
      </c>
      <c r="B2383" s="0" t="str">
        <f aca="false">IF('הדבקת לידים'!B2383="","",IF(ISNUMBER('הדבקת לידים'!B2383),IF(הגדרות!$E$3&gt;0,TEXT('הדבקת לידים'!B2383,REPT("0",הגדרות!$E$3)),TEXT('הדבקת לידים'!B2383,"0")),TRIM('הדבקת לידים'!B2383)))</f>
        <v/>
      </c>
      <c r="C2383" s="0" t="n">
        <f aca="false">IF(OR(A2383&lt;&gt;"",B2383&lt;&gt;""),1,0)</f>
        <v>0</v>
      </c>
      <c r="D2383" s="0" t="str">
        <f aca="false">IF(C2383=1,MOD(ABS(SIN(ROW()*12.9898+'הדבקת לידים'!$F$2*78.233+IFERROR(--RIGHT(A2383,6),LEN(A2383))*0.0137+IFERROR(--RIGHT(B2383,6),LEN(B2383))*0.0071))*43758.5453,1),"")</f>
        <v/>
      </c>
      <c r="E2383" s="0" t="str">
        <f aca="false">IF(C2383=1,INT(MOD(ABS(SIN(D2383*7919.123+ROW()*0.618+'הדבקת לידים'!$F$2*1.3))*43758.5453,1)*1000000)*10000+ROW(),"")</f>
        <v/>
      </c>
      <c r="F2383" s="0" t="str">
        <f aca="false">IF(E2383="","",RANK(E2383,$E$2:$E$5001,1))</f>
        <v/>
      </c>
      <c r="G2383" s="0" t="n">
        <f aca="false">IF(A2383="",0,IF(SUMPRODUCT(--($A$2:$A$5001=A2383))&gt;1,1,0))</f>
        <v>0</v>
      </c>
      <c r="H2383" s="0" t="n">
        <f aca="false">ROW()-1</f>
        <v>2382</v>
      </c>
      <c r="I2383" s="0" t="str">
        <f aca="false">IF(OR(הגדרות!$E$6=0,H2383&gt;הגדרות!$E$5),"",IF(H2383-1&lt;הגדרות!$E$8*(הגדרות!$E$7+1),INT((H2383-1)/(הגדרות!$E$7+1)),הגדרות!$E$8+INT((H2383-1-הגדרות!$E$8*(הגדרות!$E$7+1))/הגדרות!$E$7)))</f>
        <v/>
      </c>
      <c r="J2383" s="0" t="str">
        <f aca="false">IF(I2383="","",IF(H2383-1&lt;הגדרות!$E$8*(הגדרות!$E$7+1),MOD(H2383-1,הגדרות!$E$7+1),MOD(H2383-1-הגדרות!$E$8*(הגדרות!$E$7+1),הגדרות!$E$7)))</f>
        <v/>
      </c>
      <c r="K2383" s="0" t="str">
        <f aca="false">IF(I2383="","",J2383*הגדרות!$E$6+I2383+1)</f>
        <v/>
      </c>
      <c r="L2383" s="0" t="str">
        <f aca="false">IF(K2383="","",MATCH(K2383,$F$2:$F$5001,0))</f>
        <v/>
      </c>
      <c r="M2383" s="0" t="str">
        <f aca="false">IF(I2383="","",INDEX(הגדרות!$A$2:$A$21,MOD(I2383+הגדרות!$E$9,הגדרות!$E$6)+1))</f>
        <v/>
      </c>
    </row>
    <row r="2384" customFormat="false" ht="15" hidden="false" customHeight="false" outlineLevel="0" collapsed="false">
      <c r="A2384" s="0" t="str">
        <f aca="false">IF('הדבקת לידים'!A2384="","",IF(ISNUMBER('הדבקת לידים'!A2384),IF(הגדרות!$E$2&gt;0,TEXT('הדבקת לידים'!A2384,REPT("0",הגדרות!$E$2)),TEXT('הדבקת לידים'!A2384,"0")),TRIM('הדבקת לידים'!A2384)))</f>
        <v/>
      </c>
      <c r="B2384" s="0" t="str">
        <f aca="false">IF('הדבקת לידים'!B2384="","",IF(ISNUMBER('הדבקת לידים'!B2384),IF(הגדרות!$E$3&gt;0,TEXT('הדבקת לידים'!B2384,REPT("0",הגדרות!$E$3)),TEXT('הדבקת לידים'!B2384,"0")),TRIM('הדבקת לידים'!B2384)))</f>
        <v/>
      </c>
      <c r="C2384" s="0" t="n">
        <f aca="false">IF(OR(A2384&lt;&gt;"",B2384&lt;&gt;""),1,0)</f>
        <v>0</v>
      </c>
      <c r="D2384" s="0" t="str">
        <f aca="false">IF(C2384=1,MOD(ABS(SIN(ROW()*12.9898+'הדבקת לידים'!$F$2*78.233+IFERROR(--RIGHT(A2384,6),LEN(A2384))*0.0137+IFERROR(--RIGHT(B2384,6),LEN(B2384))*0.0071))*43758.5453,1),"")</f>
        <v/>
      </c>
      <c r="E2384" s="0" t="str">
        <f aca="false">IF(C2384=1,INT(MOD(ABS(SIN(D2384*7919.123+ROW()*0.618+'הדבקת לידים'!$F$2*1.3))*43758.5453,1)*1000000)*10000+ROW(),"")</f>
        <v/>
      </c>
      <c r="F2384" s="0" t="str">
        <f aca="false">IF(E2384="","",RANK(E2384,$E$2:$E$5001,1))</f>
        <v/>
      </c>
      <c r="G2384" s="0" t="n">
        <f aca="false">IF(A2384="",0,IF(SUMPRODUCT(--($A$2:$A$5001=A2384))&gt;1,1,0))</f>
        <v>0</v>
      </c>
      <c r="H2384" s="0" t="n">
        <f aca="false">ROW()-1</f>
        <v>2383</v>
      </c>
      <c r="I2384" s="0" t="str">
        <f aca="false">IF(OR(הגדרות!$E$6=0,H2384&gt;הגדרות!$E$5),"",IF(H2384-1&lt;הגדרות!$E$8*(הגדרות!$E$7+1),INT((H2384-1)/(הגדרות!$E$7+1)),הגדרות!$E$8+INT((H2384-1-הגדרות!$E$8*(הגדרות!$E$7+1))/הגדרות!$E$7)))</f>
        <v/>
      </c>
      <c r="J2384" s="0" t="str">
        <f aca="false">IF(I2384="","",IF(H2384-1&lt;הגדרות!$E$8*(הגדרות!$E$7+1),MOD(H2384-1,הגדרות!$E$7+1),MOD(H2384-1-הגדרות!$E$8*(הגדרות!$E$7+1),הגדרות!$E$7)))</f>
        <v/>
      </c>
      <c r="K2384" s="0" t="str">
        <f aca="false">IF(I2384="","",J2384*הגדרות!$E$6+I2384+1)</f>
        <v/>
      </c>
      <c r="L2384" s="0" t="str">
        <f aca="false">IF(K2384="","",MATCH(K2384,$F$2:$F$5001,0))</f>
        <v/>
      </c>
      <c r="M2384" s="0" t="str">
        <f aca="false">IF(I2384="","",INDEX(הגדרות!$A$2:$A$21,MOD(I2384+הגדרות!$E$9,הגדרות!$E$6)+1))</f>
        <v/>
      </c>
    </row>
    <row r="2385" customFormat="false" ht="15" hidden="false" customHeight="false" outlineLevel="0" collapsed="false">
      <c r="A2385" s="0" t="str">
        <f aca="false">IF('הדבקת לידים'!A2385="","",IF(ISNUMBER('הדבקת לידים'!A2385),IF(הגדרות!$E$2&gt;0,TEXT('הדבקת לידים'!A2385,REPT("0",הגדרות!$E$2)),TEXT('הדבקת לידים'!A2385,"0")),TRIM('הדבקת לידים'!A2385)))</f>
        <v/>
      </c>
      <c r="B2385" s="0" t="str">
        <f aca="false">IF('הדבקת לידים'!B2385="","",IF(ISNUMBER('הדבקת לידים'!B2385),IF(הגדרות!$E$3&gt;0,TEXT('הדבקת לידים'!B2385,REPT("0",הגדרות!$E$3)),TEXT('הדבקת לידים'!B2385,"0")),TRIM('הדבקת לידים'!B2385)))</f>
        <v/>
      </c>
      <c r="C2385" s="0" t="n">
        <f aca="false">IF(OR(A2385&lt;&gt;"",B2385&lt;&gt;""),1,0)</f>
        <v>0</v>
      </c>
      <c r="D2385" s="0" t="str">
        <f aca="false">IF(C2385=1,MOD(ABS(SIN(ROW()*12.9898+'הדבקת לידים'!$F$2*78.233+IFERROR(--RIGHT(A2385,6),LEN(A2385))*0.0137+IFERROR(--RIGHT(B2385,6),LEN(B2385))*0.0071))*43758.5453,1),"")</f>
        <v/>
      </c>
      <c r="E2385" s="0" t="str">
        <f aca="false">IF(C2385=1,INT(MOD(ABS(SIN(D2385*7919.123+ROW()*0.618+'הדבקת לידים'!$F$2*1.3))*43758.5453,1)*1000000)*10000+ROW(),"")</f>
        <v/>
      </c>
      <c r="F2385" s="0" t="str">
        <f aca="false">IF(E2385="","",RANK(E2385,$E$2:$E$5001,1))</f>
        <v/>
      </c>
      <c r="G2385" s="0" t="n">
        <f aca="false">IF(A2385="",0,IF(SUMPRODUCT(--($A$2:$A$5001=A2385))&gt;1,1,0))</f>
        <v>0</v>
      </c>
      <c r="H2385" s="0" t="n">
        <f aca="false">ROW()-1</f>
        <v>2384</v>
      </c>
      <c r="I2385" s="0" t="str">
        <f aca="false">IF(OR(הגדרות!$E$6=0,H2385&gt;הגדרות!$E$5),"",IF(H2385-1&lt;הגדרות!$E$8*(הגדרות!$E$7+1),INT((H2385-1)/(הגדרות!$E$7+1)),הגדרות!$E$8+INT((H2385-1-הגדרות!$E$8*(הגדרות!$E$7+1))/הגדרות!$E$7)))</f>
        <v/>
      </c>
      <c r="J2385" s="0" t="str">
        <f aca="false">IF(I2385="","",IF(H2385-1&lt;הגדרות!$E$8*(הגדרות!$E$7+1),MOD(H2385-1,הגדרות!$E$7+1),MOD(H2385-1-הגדרות!$E$8*(הגדרות!$E$7+1),הגדרות!$E$7)))</f>
        <v/>
      </c>
      <c r="K2385" s="0" t="str">
        <f aca="false">IF(I2385="","",J2385*הגדרות!$E$6+I2385+1)</f>
        <v/>
      </c>
      <c r="L2385" s="0" t="str">
        <f aca="false">IF(K2385="","",MATCH(K2385,$F$2:$F$5001,0))</f>
        <v/>
      </c>
      <c r="M2385" s="0" t="str">
        <f aca="false">IF(I2385="","",INDEX(הגדרות!$A$2:$A$21,MOD(I2385+הגדרות!$E$9,הגדרות!$E$6)+1))</f>
        <v/>
      </c>
    </row>
    <row r="2386" customFormat="false" ht="15" hidden="false" customHeight="false" outlineLevel="0" collapsed="false">
      <c r="A2386" s="0" t="str">
        <f aca="false">IF('הדבקת לידים'!A2386="","",IF(ISNUMBER('הדבקת לידים'!A2386),IF(הגדרות!$E$2&gt;0,TEXT('הדבקת לידים'!A2386,REPT("0",הגדרות!$E$2)),TEXT('הדבקת לידים'!A2386,"0")),TRIM('הדבקת לידים'!A2386)))</f>
        <v/>
      </c>
      <c r="B2386" s="0" t="str">
        <f aca="false">IF('הדבקת לידים'!B2386="","",IF(ISNUMBER('הדבקת לידים'!B2386),IF(הגדרות!$E$3&gt;0,TEXT('הדבקת לידים'!B2386,REPT("0",הגדרות!$E$3)),TEXT('הדבקת לידים'!B2386,"0")),TRIM('הדבקת לידים'!B2386)))</f>
        <v/>
      </c>
      <c r="C2386" s="0" t="n">
        <f aca="false">IF(OR(A2386&lt;&gt;"",B2386&lt;&gt;""),1,0)</f>
        <v>0</v>
      </c>
      <c r="D2386" s="0" t="str">
        <f aca="false">IF(C2386=1,MOD(ABS(SIN(ROW()*12.9898+'הדבקת לידים'!$F$2*78.233+IFERROR(--RIGHT(A2386,6),LEN(A2386))*0.0137+IFERROR(--RIGHT(B2386,6),LEN(B2386))*0.0071))*43758.5453,1),"")</f>
        <v/>
      </c>
      <c r="E2386" s="0" t="str">
        <f aca="false">IF(C2386=1,INT(MOD(ABS(SIN(D2386*7919.123+ROW()*0.618+'הדבקת לידים'!$F$2*1.3))*43758.5453,1)*1000000)*10000+ROW(),"")</f>
        <v/>
      </c>
      <c r="F2386" s="0" t="str">
        <f aca="false">IF(E2386="","",RANK(E2386,$E$2:$E$5001,1))</f>
        <v/>
      </c>
      <c r="G2386" s="0" t="n">
        <f aca="false">IF(A2386="",0,IF(SUMPRODUCT(--($A$2:$A$5001=A2386))&gt;1,1,0))</f>
        <v>0</v>
      </c>
      <c r="H2386" s="0" t="n">
        <f aca="false">ROW()-1</f>
        <v>2385</v>
      </c>
      <c r="I2386" s="0" t="str">
        <f aca="false">IF(OR(הגדרות!$E$6=0,H2386&gt;הגדרות!$E$5),"",IF(H2386-1&lt;הגדרות!$E$8*(הגדרות!$E$7+1),INT((H2386-1)/(הגדרות!$E$7+1)),הגדרות!$E$8+INT((H2386-1-הגדרות!$E$8*(הגדרות!$E$7+1))/הגדרות!$E$7)))</f>
        <v/>
      </c>
      <c r="J2386" s="0" t="str">
        <f aca="false">IF(I2386="","",IF(H2386-1&lt;הגדרות!$E$8*(הגדרות!$E$7+1),MOD(H2386-1,הגדרות!$E$7+1),MOD(H2386-1-הגדרות!$E$8*(הגדרות!$E$7+1),הגדרות!$E$7)))</f>
        <v/>
      </c>
      <c r="K2386" s="0" t="str">
        <f aca="false">IF(I2386="","",J2386*הגדרות!$E$6+I2386+1)</f>
        <v/>
      </c>
      <c r="L2386" s="0" t="str">
        <f aca="false">IF(K2386="","",MATCH(K2386,$F$2:$F$5001,0))</f>
        <v/>
      </c>
      <c r="M2386" s="0" t="str">
        <f aca="false">IF(I2386="","",INDEX(הגדרות!$A$2:$A$21,MOD(I2386+הגדרות!$E$9,הגדרות!$E$6)+1))</f>
        <v/>
      </c>
    </row>
    <row r="2387" customFormat="false" ht="15" hidden="false" customHeight="false" outlineLevel="0" collapsed="false">
      <c r="A2387" s="0" t="str">
        <f aca="false">IF('הדבקת לידים'!A2387="","",IF(ISNUMBER('הדבקת לידים'!A2387),IF(הגדרות!$E$2&gt;0,TEXT('הדבקת לידים'!A2387,REPT("0",הגדרות!$E$2)),TEXT('הדבקת לידים'!A2387,"0")),TRIM('הדבקת לידים'!A2387)))</f>
        <v/>
      </c>
      <c r="B2387" s="0" t="str">
        <f aca="false">IF('הדבקת לידים'!B2387="","",IF(ISNUMBER('הדבקת לידים'!B2387),IF(הגדרות!$E$3&gt;0,TEXT('הדבקת לידים'!B2387,REPT("0",הגדרות!$E$3)),TEXT('הדבקת לידים'!B2387,"0")),TRIM('הדבקת לידים'!B2387)))</f>
        <v/>
      </c>
      <c r="C2387" s="0" t="n">
        <f aca="false">IF(OR(A2387&lt;&gt;"",B2387&lt;&gt;""),1,0)</f>
        <v>0</v>
      </c>
      <c r="D2387" s="0" t="str">
        <f aca="false">IF(C2387=1,MOD(ABS(SIN(ROW()*12.9898+'הדבקת לידים'!$F$2*78.233+IFERROR(--RIGHT(A2387,6),LEN(A2387))*0.0137+IFERROR(--RIGHT(B2387,6),LEN(B2387))*0.0071))*43758.5453,1),"")</f>
        <v/>
      </c>
      <c r="E2387" s="0" t="str">
        <f aca="false">IF(C2387=1,INT(MOD(ABS(SIN(D2387*7919.123+ROW()*0.618+'הדבקת לידים'!$F$2*1.3))*43758.5453,1)*1000000)*10000+ROW(),"")</f>
        <v/>
      </c>
      <c r="F2387" s="0" t="str">
        <f aca="false">IF(E2387="","",RANK(E2387,$E$2:$E$5001,1))</f>
        <v/>
      </c>
      <c r="G2387" s="0" t="n">
        <f aca="false">IF(A2387="",0,IF(SUMPRODUCT(--($A$2:$A$5001=A2387))&gt;1,1,0))</f>
        <v>0</v>
      </c>
      <c r="H2387" s="0" t="n">
        <f aca="false">ROW()-1</f>
        <v>2386</v>
      </c>
      <c r="I2387" s="0" t="str">
        <f aca="false">IF(OR(הגדרות!$E$6=0,H2387&gt;הגדרות!$E$5),"",IF(H2387-1&lt;הגדרות!$E$8*(הגדרות!$E$7+1),INT((H2387-1)/(הגדרות!$E$7+1)),הגדרות!$E$8+INT((H2387-1-הגדרות!$E$8*(הגדרות!$E$7+1))/הגדרות!$E$7)))</f>
        <v/>
      </c>
      <c r="J2387" s="0" t="str">
        <f aca="false">IF(I2387="","",IF(H2387-1&lt;הגדרות!$E$8*(הגדרות!$E$7+1),MOD(H2387-1,הגדרות!$E$7+1),MOD(H2387-1-הגדרות!$E$8*(הגדרות!$E$7+1),הגדרות!$E$7)))</f>
        <v/>
      </c>
      <c r="K2387" s="0" t="str">
        <f aca="false">IF(I2387="","",J2387*הגדרות!$E$6+I2387+1)</f>
        <v/>
      </c>
      <c r="L2387" s="0" t="str">
        <f aca="false">IF(K2387="","",MATCH(K2387,$F$2:$F$5001,0))</f>
        <v/>
      </c>
      <c r="M2387" s="0" t="str">
        <f aca="false">IF(I2387="","",INDEX(הגדרות!$A$2:$A$21,MOD(I2387+הגדרות!$E$9,הגדרות!$E$6)+1))</f>
        <v/>
      </c>
    </row>
    <row r="2388" customFormat="false" ht="15" hidden="false" customHeight="false" outlineLevel="0" collapsed="false">
      <c r="A2388" s="0" t="str">
        <f aca="false">IF('הדבקת לידים'!A2388="","",IF(ISNUMBER('הדבקת לידים'!A2388),IF(הגדרות!$E$2&gt;0,TEXT('הדבקת לידים'!A2388,REPT("0",הגדרות!$E$2)),TEXT('הדבקת לידים'!A2388,"0")),TRIM('הדבקת לידים'!A2388)))</f>
        <v/>
      </c>
      <c r="B2388" s="0" t="str">
        <f aca="false">IF('הדבקת לידים'!B2388="","",IF(ISNUMBER('הדבקת לידים'!B2388),IF(הגדרות!$E$3&gt;0,TEXT('הדבקת לידים'!B2388,REPT("0",הגדרות!$E$3)),TEXT('הדבקת לידים'!B2388,"0")),TRIM('הדבקת לידים'!B2388)))</f>
        <v/>
      </c>
      <c r="C2388" s="0" t="n">
        <f aca="false">IF(OR(A2388&lt;&gt;"",B2388&lt;&gt;""),1,0)</f>
        <v>0</v>
      </c>
      <c r="D2388" s="0" t="str">
        <f aca="false">IF(C2388=1,MOD(ABS(SIN(ROW()*12.9898+'הדבקת לידים'!$F$2*78.233+IFERROR(--RIGHT(A2388,6),LEN(A2388))*0.0137+IFERROR(--RIGHT(B2388,6),LEN(B2388))*0.0071))*43758.5453,1),"")</f>
        <v/>
      </c>
      <c r="E2388" s="0" t="str">
        <f aca="false">IF(C2388=1,INT(MOD(ABS(SIN(D2388*7919.123+ROW()*0.618+'הדבקת לידים'!$F$2*1.3))*43758.5453,1)*1000000)*10000+ROW(),"")</f>
        <v/>
      </c>
      <c r="F2388" s="0" t="str">
        <f aca="false">IF(E2388="","",RANK(E2388,$E$2:$E$5001,1))</f>
        <v/>
      </c>
      <c r="G2388" s="0" t="n">
        <f aca="false">IF(A2388="",0,IF(SUMPRODUCT(--($A$2:$A$5001=A2388))&gt;1,1,0))</f>
        <v>0</v>
      </c>
      <c r="H2388" s="0" t="n">
        <f aca="false">ROW()-1</f>
        <v>2387</v>
      </c>
      <c r="I2388" s="0" t="str">
        <f aca="false">IF(OR(הגדרות!$E$6=0,H2388&gt;הגדרות!$E$5),"",IF(H2388-1&lt;הגדרות!$E$8*(הגדרות!$E$7+1),INT((H2388-1)/(הגדרות!$E$7+1)),הגדרות!$E$8+INT((H2388-1-הגדרות!$E$8*(הגדרות!$E$7+1))/הגדרות!$E$7)))</f>
        <v/>
      </c>
      <c r="J2388" s="0" t="str">
        <f aca="false">IF(I2388="","",IF(H2388-1&lt;הגדרות!$E$8*(הגדרות!$E$7+1),MOD(H2388-1,הגדרות!$E$7+1),MOD(H2388-1-הגדרות!$E$8*(הגדרות!$E$7+1),הגדרות!$E$7)))</f>
        <v/>
      </c>
      <c r="K2388" s="0" t="str">
        <f aca="false">IF(I2388="","",J2388*הגדרות!$E$6+I2388+1)</f>
        <v/>
      </c>
      <c r="L2388" s="0" t="str">
        <f aca="false">IF(K2388="","",MATCH(K2388,$F$2:$F$5001,0))</f>
        <v/>
      </c>
      <c r="M2388" s="0" t="str">
        <f aca="false">IF(I2388="","",INDEX(הגדרות!$A$2:$A$21,MOD(I2388+הגדרות!$E$9,הגדרות!$E$6)+1))</f>
        <v/>
      </c>
    </row>
    <row r="2389" customFormat="false" ht="15" hidden="false" customHeight="false" outlineLevel="0" collapsed="false">
      <c r="A2389" s="0" t="str">
        <f aca="false">IF('הדבקת לידים'!A2389="","",IF(ISNUMBER('הדבקת לידים'!A2389),IF(הגדרות!$E$2&gt;0,TEXT('הדבקת לידים'!A2389,REPT("0",הגדרות!$E$2)),TEXT('הדבקת לידים'!A2389,"0")),TRIM('הדבקת לידים'!A2389)))</f>
        <v/>
      </c>
      <c r="B2389" s="0" t="str">
        <f aca="false">IF('הדבקת לידים'!B2389="","",IF(ISNUMBER('הדבקת לידים'!B2389),IF(הגדרות!$E$3&gt;0,TEXT('הדבקת לידים'!B2389,REPT("0",הגדרות!$E$3)),TEXT('הדבקת לידים'!B2389,"0")),TRIM('הדבקת לידים'!B2389)))</f>
        <v/>
      </c>
      <c r="C2389" s="0" t="n">
        <f aca="false">IF(OR(A2389&lt;&gt;"",B2389&lt;&gt;""),1,0)</f>
        <v>0</v>
      </c>
      <c r="D2389" s="0" t="str">
        <f aca="false">IF(C2389=1,MOD(ABS(SIN(ROW()*12.9898+'הדבקת לידים'!$F$2*78.233+IFERROR(--RIGHT(A2389,6),LEN(A2389))*0.0137+IFERROR(--RIGHT(B2389,6),LEN(B2389))*0.0071))*43758.5453,1),"")</f>
        <v/>
      </c>
      <c r="E2389" s="0" t="str">
        <f aca="false">IF(C2389=1,INT(MOD(ABS(SIN(D2389*7919.123+ROW()*0.618+'הדבקת לידים'!$F$2*1.3))*43758.5453,1)*1000000)*10000+ROW(),"")</f>
        <v/>
      </c>
      <c r="F2389" s="0" t="str">
        <f aca="false">IF(E2389="","",RANK(E2389,$E$2:$E$5001,1))</f>
        <v/>
      </c>
      <c r="G2389" s="0" t="n">
        <f aca="false">IF(A2389="",0,IF(SUMPRODUCT(--($A$2:$A$5001=A2389))&gt;1,1,0))</f>
        <v>0</v>
      </c>
      <c r="H2389" s="0" t="n">
        <f aca="false">ROW()-1</f>
        <v>2388</v>
      </c>
      <c r="I2389" s="0" t="str">
        <f aca="false">IF(OR(הגדרות!$E$6=0,H2389&gt;הגדרות!$E$5),"",IF(H2389-1&lt;הגדרות!$E$8*(הגדרות!$E$7+1),INT((H2389-1)/(הגדרות!$E$7+1)),הגדרות!$E$8+INT((H2389-1-הגדרות!$E$8*(הגדרות!$E$7+1))/הגדרות!$E$7)))</f>
        <v/>
      </c>
      <c r="J2389" s="0" t="str">
        <f aca="false">IF(I2389="","",IF(H2389-1&lt;הגדרות!$E$8*(הגדרות!$E$7+1),MOD(H2389-1,הגדרות!$E$7+1),MOD(H2389-1-הגדרות!$E$8*(הגדרות!$E$7+1),הגדרות!$E$7)))</f>
        <v/>
      </c>
      <c r="K2389" s="0" t="str">
        <f aca="false">IF(I2389="","",J2389*הגדרות!$E$6+I2389+1)</f>
        <v/>
      </c>
      <c r="L2389" s="0" t="str">
        <f aca="false">IF(K2389="","",MATCH(K2389,$F$2:$F$5001,0))</f>
        <v/>
      </c>
      <c r="M2389" s="0" t="str">
        <f aca="false">IF(I2389="","",INDEX(הגדרות!$A$2:$A$21,MOD(I2389+הגדרות!$E$9,הגדרות!$E$6)+1))</f>
        <v/>
      </c>
    </row>
    <row r="2390" customFormat="false" ht="15" hidden="false" customHeight="false" outlineLevel="0" collapsed="false">
      <c r="A2390" s="0" t="str">
        <f aca="false">IF('הדבקת לידים'!A2390="","",IF(ISNUMBER('הדבקת לידים'!A2390),IF(הגדרות!$E$2&gt;0,TEXT('הדבקת לידים'!A2390,REPT("0",הגדרות!$E$2)),TEXT('הדבקת לידים'!A2390,"0")),TRIM('הדבקת לידים'!A2390)))</f>
        <v/>
      </c>
      <c r="B2390" s="0" t="str">
        <f aca="false">IF('הדבקת לידים'!B2390="","",IF(ISNUMBER('הדבקת לידים'!B2390),IF(הגדרות!$E$3&gt;0,TEXT('הדבקת לידים'!B2390,REPT("0",הגדרות!$E$3)),TEXT('הדבקת לידים'!B2390,"0")),TRIM('הדבקת לידים'!B2390)))</f>
        <v/>
      </c>
      <c r="C2390" s="0" t="n">
        <f aca="false">IF(OR(A2390&lt;&gt;"",B2390&lt;&gt;""),1,0)</f>
        <v>0</v>
      </c>
      <c r="D2390" s="0" t="str">
        <f aca="false">IF(C2390=1,MOD(ABS(SIN(ROW()*12.9898+'הדבקת לידים'!$F$2*78.233+IFERROR(--RIGHT(A2390,6),LEN(A2390))*0.0137+IFERROR(--RIGHT(B2390,6),LEN(B2390))*0.0071))*43758.5453,1),"")</f>
        <v/>
      </c>
      <c r="E2390" s="0" t="str">
        <f aca="false">IF(C2390=1,INT(MOD(ABS(SIN(D2390*7919.123+ROW()*0.618+'הדבקת לידים'!$F$2*1.3))*43758.5453,1)*1000000)*10000+ROW(),"")</f>
        <v/>
      </c>
      <c r="F2390" s="0" t="str">
        <f aca="false">IF(E2390="","",RANK(E2390,$E$2:$E$5001,1))</f>
        <v/>
      </c>
      <c r="G2390" s="0" t="n">
        <f aca="false">IF(A2390="",0,IF(SUMPRODUCT(--($A$2:$A$5001=A2390))&gt;1,1,0))</f>
        <v>0</v>
      </c>
      <c r="H2390" s="0" t="n">
        <f aca="false">ROW()-1</f>
        <v>2389</v>
      </c>
      <c r="I2390" s="0" t="str">
        <f aca="false">IF(OR(הגדרות!$E$6=0,H2390&gt;הגדרות!$E$5),"",IF(H2390-1&lt;הגדרות!$E$8*(הגדרות!$E$7+1),INT((H2390-1)/(הגדרות!$E$7+1)),הגדרות!$E$8+INT((H2390-1-הגדרות!$E$8*(הגדרות!$E$7+1))/הגדרות!$E$7)))</f>
        <v/>
      </c>
      <c r="J2390" s="0" t="str">
        <f aca="false">IF(I2390="","",IF(H2390-1&lt;הגדרות!$E$8*(הגדרות!$E$7+1),MOD(H2390-1,הגדרות!$E$7+1),MOD(H2390-1-הגדרות!$E$8*(הגדרות!$E$7+1),הגדרות!$E$7)))</f>
        <v/>
      </c>
      <c r="K2390" s="0" t="str">
        <f aca="false">IF(I2390="","",J2390*הגדרות!$E$6+I2390+1)</f>
        <v/>
      </c>
      <c r="L2390" s="0" t="str">
        <f aca="false">IF(K2390="","",MATCH(K2390,$F$2:$F$5001,0))</f>
        <v/>
      </c>
      <c r="M2390" s="0" t="str">
        <f aca="false">IF(I2390="","",INDEX(הגדרות!$A$2:$A$21,MOD(I2390+הגדרות!$E$9,הגדרות!$E$6)+1))</f>
        <v/>
      </c>
    </row>
    <row r="2391" customFormat="false" ht="15" hidden="false" customHeight="false" outlineLevel="0" collapsed="false">
      <c r="A2391" s="0" t="str">
        <f aca="false">IF('הדבקת לידים'!A2391="","",IF(ISNUMBER('הדבקת לידים'!A2391),IF(הגדרות!$E$2&gt;0,TEXT('הדבקת לידים'!A2391,REPT("0",הגדרות!$E$2)),TEXT('הדבקת לידים'!A2391,"0")),TRIM('הדבקת לידים'!A2391)))</f>
        <v/>
      </c>
      <c r="B2391" s="0" t="str">
        <f aca="false">IF('הדבקת לידים'!B2391="","",IF(ISNUMBER('הדבקת לידים'!B2391),IF(הגדרות!$E$3&gt;0,TEXT('הדבקת לידים'!B2391,REPT("0",הגדרות!$E$3)),TEXT('הדבקת לידים'!B2391,"0")),TRIM('הדבקת לידים'!B2391)))</f>
        <v/>
      </c>
      <c r="C2391" s="0" t="n">
        <f aca="false">IF(OR(A2391&lt;&gt;"",B2391&lt;&gt;""),1,0)</f>
        <v>0</v>
      </c>
      <c r="D2391" s="0" t="str">
        <f aca="false">IF(C2391=1,MOD(ABS(SIN(ROW()*12.9898+'הדבקת לידים'!$F$2*78.233+IFERROR(--RIGHT(A2391,6),LEN(A2391))*0.0137+IFERROR(--RIGHT(B2391,6),LEN(B2391))*0.0071))*43758.5453,1),"")</f>
        <v/>
      </c>
      <c r="E2391" s="0" t="str">
        <f aca="false">IF(C2391=1,INT(MOD(ABS(SIN(D2391*7919.123+ROW()*0.618+'הדבקת לידים'!$F$2*1.3))*43758.5453,1)*1000000)*10000+ROW(),"")</f>
        <v/>
      </c>
      <c r="F2391" s="0" t="str">
        <f aca="false">IF(E2391="","",RANK(E2391,$E$2:$E$5001,1))</f>
        <v/>
      </c>
      <c r="G2391" s="0" t="n">
        <f aca="false">IF(A2391="",0,IF(SUMPRODUCT(--($A$2:$A$5001=A2391))&gt;1,1,0))</f>
        <v>0</v>
      </c>
      <c r="H2391" s="0" t="n">
        <f aca="false">ROW()-1</f>
        <v>2390</v>
      </c>
      <c r="I2391" s="0" t="str">
        <f aca="false">IF(OR(הגדרות!$E$6=0,H2391&gt;הגדרות!$E$5),"",IF(H2391-1&lt;הגדרות!$E$8*(הגדרות!$E$7+1),INT((H2391-1)/(הגדרות!$E$7+1)),הגדרות!$E$8+INT((H2391-1-הגדרות!$E$8*(הגדרות!$E$7+1))/הגדרות!$E$7)))</f>
        <v/>
      </c>
      <c r="J2391" s="0" t="str">
        <f aca="false">IF(I2391="","",IF(H2391-1&lt;הגדרות!$E$8*(הגדרות!$E$7+1),MOD(H2391-1,הגדרות!$E$7+1),MOD(H2391-1-הגדרות!$E$8*(הגדרות!$E$7+1),הגדרות!$E$7)))</f>
        <v/>
      </c>
      <c r="K2391" s="0" t="str">
        <f aca="false">IF(I2391="","",J2391*הגדרות!$E$6+I2391+1)</f>
        <v/>
      </c>
      <c r="L2391" s="0" t="str">
        <f aca="false">IF(K2391="","",MATCH(K2391,$F$2:$F$5001,0))</f>
        <v/>
      </c>
      <c r="M2391" s="0" t="str">
        <f aca="false">IF(I2391="","",INDEX(הגדרות!$A$2:$A$21,MOD(I2391+הגדרות!$E$9,הגדרות!$E$6)+1))</f>
        <v/>
      </c>
    </row>
    <row r="2392" customFormat="false" ht="15" hidden="false" customHeight="false" outlineLevel="0" collapsed="false">
      <c r="A2392" s="0" t="str">
        <f aca="false">IF('הדבקת לידים'!A2392="","",IF(ISNUMBER('הדבקת לידים'!A2392),IF(הגדרות!$E$2&gt;0,TEXT('הדבקת לידים'!A2392,REPT("0",הגדרות!$E$2)),TEXT('הדבקת לידים'!A2392,"0")),TRIM('הדבקת לידים'!A2392)))</f>
        <v/>
      </c>
      <c r="B2392" s="0" t="str">
        <f aca="false">IF('הדבקת לידים'!B2392="","",IF(ISNUMBER('הדבקת לידים'!B2392),IF(הגדרות!$E$3&gt;0,TEXT('הדבקת לידים'!B2392,REPT("0",הגדרות!$E$3)),TEXT('הדבקת לידים'!B2392,"0")),TRIM('הדבקת לידים'!B2392)))</f>
        <v/>
      </c>
      <c r="C2392" s="0" t="n">
        <f aca="false">IF(OR(A2392&lt;&gt;"",B2392&lt;&gt;""),1,0)</f>
        <v>0</v>
      </c>
      <c r="D2392" s="0" t="str">
        <f aca="false">IF(C2392=1,MOD(ABS(SIN(ROW()*12.9898+'הדבקת לידים'!$F$2*78.233+IFERROR(--RIGHT(A2392,6),LEN(A2392))*0.0137+IFERROR(--RIGHT(B2392,6),LEN(B2392))*0.0071))*43758.5453,1),"")</f>
        <v/>
      </c>
      <c r="E2392" s="0" t="str">
        <f aca="false">IF(C2392=1,INT(MOD(ABS(SIN(D2392*7919.123+ROW()*0.618+'הדבקת לידים'!$F$2*1.3))*43758.5453,1)*1000000)*10000+ROW(),"")</f>
        <v/>
      </c>
      <c r="F2392" s="0" t="str">
        <f aca="false">IF(E2392="","",RANK(E2392,$E$2:$E$5001,1))</f>
        <v/>
      </c>
      <c r="G2392" s="0" t="n">
        <f aca="false">IF(A2392="",0,IF(SUMPRODUCT(--($A$2:$A$5001=A2392))&gt;1,1,0))</f>
        <v>0</v>
      </c>
      <c r="H2392" s="0" t="n">
        <f aca="false">ROW()-1</f>
        <v>2391</v>
      </c>
      <c r="I2392" s="0" t="str">
        <f aca="false">IF(OR(הגדרות!$E$6=0,H2392&gt;הגדרות!$E$5),"",IF(H2392-1&lt;הגדרות!$E$8*(הגדרות!$E$7+1),INT((H2392-1)/(הגדרות!$E$7+1)),הגדרות!$E$8+INT((H2392-1-הגדרות!$E$8*(הגדרות!$E$7+1))/הגדרות!$E$7)))</f>
        <v/>
      </c>
      <c r="J2392" s="0" t="str">
        <f aca="false">IF(I2392="","",IF(H2392-1&lt;הגדרות!$E$8*(הגדרות!$E$7+1),MOD(H2392-1,הגדרות!$E$7+1),MOD(H2392-1-הגדרות!$E$8*(הגדרות!$E$7+1),הגדרות!$E$7)))</f>
        <v/>
      </c>
      <c r="K2392" s="0" t="str">
        <f aca="false">IF(I2392="","",J2392*הגדרות!$E$6+I2392+1)</f>
        <v/>
      </c>
      <c r="L2392" s="0" t="str">
        <f aca="false">IF(K2392="","",MATCH(K2392,$F$2:$F$5001,0))</f>
        <v/>
      </c>
      <c r="M2392" s="0" t="str">
        <f aca="false">IF(I2392="","",INDEX(הגדרות!$A$2:$A$21,MOD(I2392+הגדרות!$E$9,הגדרות!$E$6)+1))</f>
        <v/>
      </c>
    </row>
    <row r="2393" customFormat="false" ht="15" hidden="false" customHeight="false" outlineLevel="0" collapsed="false">
      <c r="A2393" s="0" t="str">
        <f aca="false">IF('הדבקת לידים'!A2393="","",IF(ISNUMBER('הדבקת לידים'!A2393),IF(הגדרות!$E$2&gt;0,TEXT('הדבקת לידים'!A2393,REPT("0",הגדרות!$E$2)),TEXT('הדבקת לידים'!A2393,"0")),TRIM('הדבקת לידים'!A2393)))</f>
        <v/>
      </c>
      <c r="B2393" s="0" t="str">
        <f aca="false">IF('הדבקת לידים'!B2393="","",IF(ISNUMBER('הדבקת לידים'!B2393),IF(הגדרות!$E$3&gt;0,TEXT('הדבקת לידים'!B2393,REPT("0",הגדרות!$E$3)),TEXT('הדבקת לידים'!B2393,"0")),TRIM('הדבקת לידים'!B2393)))</f>
        <v/>
      </c>
      <c r="C2393" s="0" t="n">
        <f aca="false">IF(OR(A2393&lt;&gt;"",B2393&lt;&gt;""),1,0)</f>
        <v>0</v>
      </c>
      <c r="D2393" s="0" t="str">
        <f aca="false">IF(C2393=1,MOD(ABS(SIN(ROW()*12.9898+'הדבקת לידים'!$F$2*78.233+IFERROR(--RIGHT(A2393,6),LEN(A2393))*0.0137+IFERROR(--RIGHT(B2393,6),LEN(B2393))*0.0071))*43758.5453,1),"")</f>
        <v/>
      </c>
      <c r="E2393" s="0" t="str">
        <f aca="false">IF(C2393=1,INT(MOD(ABS(SIN(D2393*7919.123+ROW()*0.618+'הדבקת לידים'!$F$2*1.3))*43758.5453,1)*1000000)*10000+ROW(),"")</f>
        <v/>
      </c>
      <c r="F2393" s="0" t="str">
        <f aca="false">IF(E2393="","",RANK(E2393,$E$2:$E$5001,1))</f>
        <v/>
      </c>
      <c r="G2393" s="0" t="n">
        <f aca="false">IF(A2393="",0,IF(SUMPRODUCT(--($A$2:$A$5001=A2393))&gt;1,1,0))</f>
        <v>0</v>
      </c>
      <c r="H2393" s="0" t="n">
        <f aca="false">ROW()-1</f>
        <v>2392</v>
      </c>
      <c r="I2393" s="0" t="str">
        <f aca="false">IF(OR(הגדרות!$E$6=0,H2393&gt;הגדרות!$E$5),"",IF(H2393-1&lt;הגדרות!$E$8*(הגדרות!$E$7+1),INT((H2393-1)/(הגדרות!$E$7+1)),הגדרות!$E$8+INT((H2393-1-הגדרות!$E$8*(הגדרות!$E$7+1))/הגדרות!$E$7)))</f>
        <v/>
      </c>
      <c r="J2393" s="0" t="str">
        <f aca="false">IF(I2393="","",IF(H2393-1&lt;הגדרות!$E$8*(הגדרות!$E$7+1),MOD(H2393-1,הגדרות!$E$7+1),MOD(H2393-1-הגדרות!$E$8*(הגדרות!$E$7+1),הגדרות!$E$7)))</f>
        <v/>
      </c>
      <c r="K2393" s="0" t="str">
        <f aca="false">IF(I2393="","",J2393*הגדרות!$E$6+I2393+1)</f>
        <v/>
      </c>
      <c r="L2393" s="0" t="str">
        <f aca="false">IF(K2393="","",MATCH(K2393,$F$2:$F$5001,0))</f>
        <v/>
      </c>
      <c r="M2393" s="0" t="str">
        <f aca="false">IF(I2393="","",INDEX(הגדרות!$A$2:$A$21,MOD(I2393+הגדרות!$E$9,הגדרות!$E$6)+1))</f>
        <v/>
      </c>
    </row>
    <row r="2394" customFormat="false" ht="15" hidden="false" customHeight="false" outlineLevel="0" collapsed="false">
      <c r="A2394" s="0" t="str">
        <f aca="false">IF('הדבקת לידים'!A2394="","",IF(ISNUMBER('הדבקת לידים'!A2394),IF(הגדרות!$E$2&gt;0,TEXT('הדבקת לידים'!A2394,REPT("0",הגדרות!$E$2)),TEXT('הדבקת לידים'!A2394,"0")),TRIM('הדבקת לידים'!A2394)))</f>
        <v/>
      </c>
      <c r="B2394" s="0" t="str">
        <f aca="false">IF('הדבקת לידים'!B2394="","",IF(ISNUMBER('הדבקת לידים'!B2394),IF(הגדרות!$E$3&gt;0,TEXT('הדבקת לידים'!B2394,REPT("0",הגדרות!$E$3)),TEXT('הדבקת לידים'!B2394,"0")),TRIM('הדבקת לידים'!B2394)))</f>
        <v/>
      </c>
      <c r="C2394" s="0" t="n">
        <f aca="false">IF(OR(A2394&lt;&gt;"",B2394&lt;&gt;""),1,0)</f>
        <v>0</v>
      </c>
      <c r="D2394" s="0" t="str">
        <f aca="false">IF(C2394=1,MOD(ABS(SIN(ROW()*12.9898+'הדבקת לידים'!$F$2*78.233+IFERROR(--RIGHT(A2394,6),LEN(A2394))*0.0137+IFERROR(--RIGHT(B2394,6),LEN(B2394))*0.0071))*43758.5453,1),"")</f>
        <v/>
      </c>
      <c r="E2394" s="0" t="str">
        <f aca="false">IF(C2394=1,INT(MOD(ABS(SIN(D2394*7919.123+ROW()*0.618+'הדבקת לידים'!$F$2*1.3))*43758.5453,1)*1000000)*10000+ROW(),"")</f>
        <v/>
      </c>
      <c r="F2394" s="0" t="str">
        <f aca="false">IF(E2394="","",RANK(E2394,$E$2:$E$5001,1))</f>
        <v/>
      </c>
      <c r="G2394" s="0" t="n">
        <f aca="false">IF(A2394="",0,IF(SUMPRODUCT(--($A$2:$A$5001=A2394))&gt;1,1,0))</f>
        <v>0</v>
      </c>
      <c r="H2394" s="0" t="n">
        <f aca="false">ROW()-1</f>
        <v>2393</v>
      </c>
      <c r="I2394" s="0" t="str">
        <f aca="false">IF(OR(הגדרות!$E$6=0,H2394&gt;הגדרות!$E$5),"",IF(H2394-1&lt;הגדרות!$E$8*(הגדרות!$E$7+1),INT((H2394-1)/(הגדרות!$E$7+1)),הגדרות!$E$8+INT((H2394-1-הגדרות!$E$8*(הגדרות!$E$7+1))/הגדרות!$E$7)))</f>
        <v/>
      </c>
      <c r="J2394" s="0" t="str">
        <f aca="false">IF(I2394="","",IF(H2394-1&lt;הגדרות!$E$8*(הגדרות!$E$7+1),MOD(H2394-1,הגדרות!$E$7+1),MOD(H2394-1-הגדרות!$E$8*(הגדרות!$E$7+1),הגדרות!$E$7)))</f>
        <v/>
      </c>
      <c r="K2394" s="0" t="str">
        <f aca="false">IF(I2394="","",J2394*הגדרות!$E$6+I2394+1)</f>
        <v/>
      </c>
      <c r="L2394" s="0" t="str">
        <f aca="false">IF(K2394="","",MATCH(K2394,$F$2:$F$5001,0))</f>
        <v/>
      </c>
      <c r="M2394" s="0" t="str">
        <f aca="false">IF(I2394="","",INDEX(הגדרות!$A$2:$A$21,MOD(I2394+הגדרות!$E$9,הגדרות!$E$6)+1))</f>
        <v/>
      </c>
    </row>
    <row r="2395" customFormat="false" ht="15" hidden="false" customHeight="false" outlineLevel="0" collapsed="false">
      <c r="A2395" s="0" t="str">
        <f aca="false">IF('הדבקת לידים'!A2395="","",IF(ISNUMBER('הדבקת לידים'!A2395),IF(הגדרות!$E$2&gt;0,TEXT('הדבקת לידים'!A2395,REPT("0",הגדרות!$E$2)),TEXT('הדבקת לידים'!A2395,"0")),TRIM('הדבקת לידים'!A2395)))</f>
        <v/>
      </c>
      <c r="B2395" s="0" t="str">
        <f aca="false">IF('הדבקת לידים'!B2395="","",IF(ISNUMBER('הדבקת לידים'!B2395),IF(הגדרות!$E$3&gt;0,TEXT('הדבקת לידים'!B2395,REPT("0",הגדרות!$E$3)),TEXT('הדבקת לידים'!B2395,"0")),TRIM('הדבקת לידים'!B2395)))</f>
        <v/>
      </c>
      <c r="C2395" s="0" t="n">
        <f aca="false">IF(OR(A2395&lt;&gt;"",B2395&lt;&gt;""),1,0)</f>
        <v>0</v>
      </c>
      <c r="D2395" s="0" t="str">
        <f aca="false">IF(C2395=1,MOD(ABS(SIN(ROW()*12.9898+'הדבקת לידים'!$F$2*78.233+IFERROR(--RIGHT(A2395,6),LEN(A2395))*0.0137+IFERROR(--RIGHT(B2395,6),LEN(B2395))*0.0071))*43758.5453,1),"")</f>
        <v/>
      </c>
      <c r="E2395" s="0" t="str">
        <f aca="false">IF(C2395=1,INT(MOD(ABS(SIN(D2395*7919.123+ROW()*0.618+'הדבקת לידים'!$F$2*1.3))*43758.5453,1)*1000000)*10000+ROW(),"")</f>
        <v/>
      </c>
      <c r="F2395" s="0" t="str">
        <f aca="false">IF(E2395="","",RANK(E2395,$E$2:$E$5001,1))</f>
        <v/>
      </c>
      <c r="G2395" s="0" t="n">
        <f aca="false">IF(A2395="",0,IF(SUMPRODUCT(--($A$2:$A$5001=A2395))&gt;1,1,0))</f>
        <v>0</v>
      </c>
      <c r="H2395" s="0" t="n">
        <f aca="false">ROW()-1</f>
        <v>2394</v>
      </c>
      <c r="I2395" s="0" t="str">
        <f aca="false">IF(OR(הגדרות!$E$6=0,H2395&gt;הגדרות!$E$5),"",IF(H2395-1&lt;הגדרות!$E$8*(הגדרות!$E$7+1),INT((H2395-1)/(הגדרות!$E$7+1)),הגדרות!$E$8+INT((H2395-1-הגדרות!$E$8*(הגדרות!$E$7+1))/הגדרות!$E$7)))</f>
        <v/>
      </c>
      <c r="J2395" s="0" t="str">
        <f aca="false">IF(I2395="","",IF(H2395-1&lt;הגדרות!$E$8*(הגדרות!$E$7+1),MOD(H2395-1,הגדרות!$E$7+1),MOD(H2395-1-הגדרות!$E$8*(הגדרות!$E$7+1),הגדרות!$E$7)))</f>
        <v/>
      </c>
      <c r="K2395" s="0" t="str">
        <f aca="false">IF(I2395="","",J2395*הגדרות!$E$6+I2395+1)</f>
        <v/>
      </c>
      <c r="L2395" s="0" t="str">
        <f aca="false">IF(K2395="","",MATCH(K2395,$F$2:$F$5001,0))</f>
        <v/>
      </c>
      <c r="M2395" s="0" t="str">
        <f aca="false">IF(I2395="","",INDEX(הגדרות!$A$2:$A$21,MOD(I2395+הגדרות!$E$9,הגדרות!$E$6)+1))</f>
        <v/>
      </c>
    </row>
    <row r="2396" customFormat="false" ht="15" hidden="false" customHeight="false" outlineLevel="0" collapsed="false">
      <c r="A2396" s="0" t="str">
        <f aca="false">IF('הדבקת לידים'!A2396="","",IF(ISNUMBER('הדבקת לידים'!A2396),IF(הגדרות!$E$2&gt;0,TEXT('הדבקת לידים'!A2396,REPT("0",הגדרות!$E$2)),TEXT('הדבקת לידים'!A2396,"0")),TRIM('הדבקת לידים'!A2396)))</f>
        <v/>
      </c>
      <c r="B2396" s="0" t="str">
        <f aca="false">IF('הדבקת לידים'!B2396="","",IF(ISNUMBER('הדבקת לידים'!B2396),IF(הגדרות!$E$3&gt;0,TEXT('הדבקת לידים'!B2396,REPT("0",הגדרות!$E$3)),TEXT('הדבקת לידים'!B2396,"0")),TRIM('הדבקת לידים'!B2396)))</f>
        <v/>
      </c>
      <c r="C2396" s="0" t="n">
        <f aca="false">IF(OR(A2396&lt;&gt;"",B2396&lt;&gt;""),1,0)</f>
        <v>0</v>
      </c>
      <c r="D2396" s="0" t="str">
        <f aca="false">IF(C2396=1,MOD(ABS(SIN(ROW()*12.9898+'הדבקת לידים'!$F$2*78.233+IFERROR(--RIGHT(A2396,6),LEN(A2396))*0.0137+IFERROR(--RIGHT(B2396,6),LEN(B2396))*0.0071))*43758.5453,1),"")</f>
        <v/>
      </c>
      <c r="E2396" s="0" t="str">
        <f aca="false">IF(C2396=1,INT(MOD(ABS(SIN(D2396*7919.123+ROW()*0.618+'הדבקת לידים'!$F$2*1.3))*43758.5453,1)*1000000)*10000+ROW(),"")</f>
        <v/>
      </c>
      <c r="F2396" s="0" t="str">
        <f aca="false">IF(E2396="","",RANK(E2396,$E$2:$E$5001,1))</f>
        <v/>
      </c>
      <c r="G2396" s="0" t="n">
        <f aca="false">IF(A2396="",0,IF(SUMPRODUCT(--($A$2:$A$5001=A2396))&gt;1,1,0))</f>
        <v>0</v>
      </c>
      <c r="H2396" s="0" t="n">
        <f aca="false">ROW()-1</f>
        <v>2395</v>
      </c>
      <c r="I2396" s="0" t="str">
        <f aca="false">IF(OR(הגדרות!$E$6=0,H2396&gt;הגדרות!$E$5),"",IF(H2396-1&lt;הגדרות!$E$8*(הגדרות!$E$7+1),INT((H2396-1)/(הגדרות!$E$7+1)),הגדרות!$E$8+INT((H2396-1-הגדרות!$E$8*(הגדרות!$E$7+1))/הגדרות!$E$7)))</f>
        <v/>
      </c>
      <c r="J2396" s="0" t="str">
        <f aca="false">IF(I2396="","",IF(H2396-1&lt;הגדרות!$E$8*(הגדרות!$E$7+1),MOD(H2396-1,הגדרות!$E$7+1),MOD(H2396-1-הגדרות!$E$8*(הגדרות!$E$7+1),הגדרות!$E$7)))</f>
        <v/>
      </c>
      <c r="K2396" s="0" t="str">
        <f aca="false">IF(I2396="","",J2396*הגדרות!$E$6+I2396+1)</f>
        <v/>
      </c>
      <c r="L2396" s="0" t="str">
        <f aca="false">IF(K2396="","",MATCH(K2396,$F$2:$F$5001,0))</f>
        <v/>
      </c>
      <c r="M2396" s="0" t="str">
        <f aca="false">IF(I2396="","",INDEX(הגדרות!$A$2:$A$21,MOD(I2396+הגדרות!$E$9,הגדרות!$E$6)+1))</f>
        <v/>
      </c>
    </row>
    <row r="2397" customFormat="false" ht="15" hidden="false" customHeight="false" outlineLevel="0" collapsed="false">
      <c r="A2397" s="0" t="str">
        <f aca="false">IF('הדבקת לידים'!A2397="","",IF(ISNUMBER('הדבקת לידים'!A2397),IF(הגדרות!$E$2&gt;0,TEXT('הדבקת לידים'!A2397,REPT("0",הגדרות!$E$2)),TEXT('הדבקת לידים'!A2397,"0")),TRIM('הדבקת לידים'!A2397)))</f>
        <v/>
      </c>
      <c r="B2397" s="0" t="str">
        <f aca="false">IF('הדבקת לידים'!B2397="","",IF(ISNUMBER('הדבקת לידים'!B2397),IF(הגדרות!$E$3&gt;0,TEXT('הדבקת לידים'!B2397,REPT("0",הגדרות!$E$3)),TEXT('הדבקת לידים'!B2397,"0")),TRIM('הדבקת לידים'!B2397)))</f>
        <v/>
      </c>
      <c r="C2397" s="0" t="n">
        <f aca="false">IF(OR(A2397&lt;&gt;"",B2397&lt;&gt;""),1,0)</f>
        <v>0</v>
      </c>
      <c r="D2397" s="0" t="str">
        <f aca="false">IF(C2397=1,MOD(ABS(SIN(ROW()*12.9898+'הדבקת לידים'!$F$2*78.233+IFERROR(--RIGHT(A2397,6),LEN(A2397))*0.0137+IFERROR(--RIGHT(B2397,6),LEN(B2397))*0.0071))*43758.5453,1),"")</f>
        <v/>
      </c>
      <c r="E2397" s="0" t="str">
        <f aca="false">IF(C2397=1,INT(MOD(ABS(SIN(D2397*7919.123+ROW()*0.618+'הדבקת לידים'!$F$2*1.3))*43758.5453,1)*1000000)*10000+ROW(),"")</f>
        <v/>
      </c>
      <c r="F2397" s="0" t="str">
        <f aca="false">IF(E2397="","",RANK(E2397,$E$2:$E$5001,1))</f>
        <v/>
      </c>
      <c r="G2397" s="0" t="n">
        <f aca="false">IF(A2397="",0,IF(SUMPRODUCT(--($A$2:$A$5001=A2397))&gt;1,1,0))</f>
        <v>0</v>
      </c>
      <c r="H2397" s="0" t="n">
        <f aca="false">ROW()-1</f>
        <v>2396</v>
      </c>
      <c r="I2397" s="0" t="str">
        <f aca="false">IF(OR(הגדרות!$E$6=0,H2397&gt;הגדרות!$E$5),"",IF(H2397-1&lt;הגדרות!$E$8*(הגדרות!$E$7+1),INT((H2397-1)/(הגדרות!$E$7+1)),הגדרות!$E$8+INT((H2397-1-הגדרות!$E$8*(הגדרות!$E$7+1))/הגדרות!$E$7)))</f>
        <v/>
      </c>
      <c r="J2397" s="0" t="str">
        <f aca="false">IF(I2397="","",IF(H2397-1&lt;הגדרות!$E$8*(הגדרות!$E$7+1),MOD(H2397-1,הגדרות!$E$7+1),MOD(H2397-1-הגדרות!$E$8*(הגדרות!$E$7+1),הגדרות!$E$7)))</f>
        <v/>
      </c>
      <c r="K2397" s="0" t="str">
        <f aca="false">IF(I2397="","",J2397*הגדרות!$E$6+I2397+1)</f>
        <v/>
      </c>
      <c r="L2397" s="0" t="str">
        <f aca="false">IF(K2397="","",MATCH(K2397,$F$2:$F$5001,0))</f>
        <v/>
      </c>
      <c r="M2397" s="0" t="str">
        <f aca="false">IF(I2397="","",INDEX(הגדרות!$A$2:$A$21,MOD(I2397+הגדרות!$E$9,הגדרות!$E$6)+1))</f>
        <v/>
      </c>
    </row>
    <row r="2398" customFormat="false" ht="15" hidden="false" customHeight="false" outlineLevel="0" collapsed="false">
      <c r="A2398" s="0" t="str">
        <f aca="false">IF('הדבקת לידים'!A2398="","",IF(ISNUMBER('הדבקת לידים'!A2398),IF(הגדרות!$E$2&gt;0,TEXT('הדבקת לידים'!A2398,REPT("0",הגדרות!$E$2)),TEXT('הדבקת לידים'!A2398,"0")),TRIM('הדבקת לידים'!A2398)))</f>
        <v/>
      </c>
      <c r="B2398" s="0" t="str">
        <f aca="false">IF('הדבקת לידים'!B2398="","",IF(ISNUMBER('הדבקת לידים'!B2398),IF(הגדרות!$E$3&gt;0,TEXT('הדבקת לידים'!B2398,REPT("0",הגדרות!$E$3)),TEXT('הדבקת לידים'!B2398,"0")),TRIM('הדבקת לידים'!B2398)))</f>
        <v/>
      </c>
      <c r="C2398" s="0" t="n">
        <f aca="false">IF(OR(A2398&lt;&gt;"",B2398&lt;&gt;""),1,0)</f>
        <v>0</v>
      </c>
      <c r="D2398" s="0" t="str">
        <f aca="false">IF(C2398=1,MOD(ABS(SIN(ROW()*12.9898+'הדבקת לידים'!$F$2*78.233+IFERROR(--RIGHT(A2398,6),LEN(A2398))*0.0137+IFERROR(--RIGHT(B2398,6),LEN(B2398))*0.0071))*43758.5453,1),"")</f>
        <v/>
      </c>
      <c r="E2398" s="0" t="str">
        <f aca="false">IF(C2398=1,INT(MOD(ABS(SIN(D2398*7919.123+ROW()*0.618+'הדבקת לידים'!$F$2*1.3))*43758.5453,1)*1000000)*10000+ROW(),"")</f>
        <v/>
      </c>
      <c r="F2398" s="0" t="str">
        <f aca="false">IF(E2398="","",RANK(E2398,$E$2:$E$5001,1))</f>
        <v/>
      </c>
      <c r="G2398" s="0" t="n">
        <f aca="false">IF(A2398="",0,IF(SUMPRODUCT(--($A$2:$A$5001=A2398))&gt;1,1,0))</f>
        <v>0</v>
      </c>
      <c r="H2398" s="0" t="n">
        <f aca="false">ROW()-1</f>
        <v>2397</v>
      </c>
      <c r="I2398" s="0" t="str">
        <f aca="false">IF(OR(הגדרות!$E$6=0,H2398&gt;הגדרות!$E$5),"",IF(H2398-1&lt;הגדרות!$E$8*(הגדרות!$E$7+1),INT((H2398-1)/(הגדרות!$E$7+1)),הגדרות!$E$8+INT((H2398-1-הגדרות!$E$8*(הגדרות!$E$7+1))/הגדרות!$E$7)))</f>
        <v/>
      </c>
      <c r="J2398" s="0" t="str">
        <f aca="false">IF(I2398="","",IF(H2398-1&lt;הגדרות!$E$8*(הגדרות!$E$7+1),MOD(H2398-1,הגדרות!$E$7+1),MOD(H2398-1-הגדרות!$E$8*(הגדרות!$E$7+1),הגדרות!$E$7)))</f>
        <v/>
      </c>
      <c r="K2398" s="0" t="str">
        <f aca="false">IF(I2398="","",J2398*הגדרות!$E$6+I2398+1)</f>
        <v/>
      </c>
      <c r="L2398" s="0" t="str">
        <f aca="false">IF(K2398="","",MATCH(K2398,$F$2:$F$5001,0))</f>
        <v/>
      </c>
      <c r="M2398" s="0" t="str">
        <f aca="false">IF(I2398="","",INDEX(הגדרות!$A$2:$A$21,MOD(I2398+הגדרות!$E$9,הגדרות!$E$6)+1))</f>
        <v/>
      </c>
    </row>
    <row r="2399" customFormat="false" ht="15" hidden="false" customHeight="false" outlineLevel="0" collapsed="false">
      <c r="A2399" s="0" t="str">
        <f aca="false">IF('הדבקת לידים'!A2399="","",IF(ISNUMBER('הדבקת לידים'!A2399),IF(הגדרות!$E$2&gt;0,TEXT('הדבקת לידים'!A2399,REPT("0",הגדרות!$E$2)),TEXT('הדבקת לידים'!A2399,"0")),TRIM('הדבקת לידים'!A2399)))</f>
        <v/>
      </c>
      <c r="B2399" s="0" t="str">
        <f aca="false">IF('הדבקת לידים'!B2399="","",IF(ISNUMBER('הדבקת לידים'!B2399),IF(הגדרות!$E$3&gt;0,TEXT('הדבקת לידים'!B2399,REPT("0",הגדרות!$E$3)),TEXT('הדבקת לידים'!B2399,"0")),TRIM('הדבקת לידים'!B2399)))</f>
        <v/>
      </c>
      <c r="C2399" s="0" t="n">
        <f aca="false">IF(OR(A2399&lt;&gt;"",B2399&lt;&gt;""),1,0)</f>
        <v>0</v>
      </c>
      <c r="D2399" s="0" t="str">
        <f aca="false">IF(C2399=1,MOD(ABS(SIN(ROW()*12.9898+'הדבקת לידים'!$F$2*78.233+IFERROR(--RIGHT(A2399,6),LEN(A2399))*0.0137+IFERROR(--RIGHT(B2399,6),LEN(B2399))*0.0071))*43758.5453,1),"")</f>
        <v/>
      </c>
      <c r="E2399" s="0" t="str">
        <f aca="false">IF(C2399=1,INT(MOD(ABS(SIN(D2399*7919.123+ROW()*0.618+'הדבקת לידים'!$F$2*1.3))*43758.5453,1)*1000000)*10000+ROW(),"")</f>
        <v/>
      </c>
      <c r="F2399" s="0" t="str">
        <f aca="false">IF(E2399="","",RANK(E2399,$E$2:$E$5001,1))</f>
        <v/>
      </c>
      <c r="G2399" s="0" t="n">
        <f aca="false">IF(A2399="",0,IF(SUMPRODUCT(--($A$2:$A$5001=A2399))&gt;1,1,0))</f>
        <v>0</v>
      </c>
      <c r="H2399" s="0" t="n">
        <f aca="false">ROW()-1</f>
        <v>2398</v>
      </c>
      <c r="I2399" s="0" t="str">
        <f aca="false">IF(OR(הגדרות!$E$6=0,H2399&gt;הגדרות!$E$5),"",IF(H2399-1&lt;הגדרות!$E$8*(הגדרות!$E$7+1),INT((H2399-1)/(הגדרות!$E$7+1)),הגדרות!$E$8+INT((H2399-1-הגדרות!$E$8*(הגדרות!$E$7+1))/הגדרות!$E$7)))</f>
        <v/>
      </c>
      <c r="J2399" s="0" t="str">
        <f aca="false">IF(I2399="","",IF(H2399-1&lt;הגדרות!$E$8*(הגדרות!$E$7+1),MOD(H2399-1,הגדרות!$E$7+1),MOD(H2399-1-הגדרות!$E$8*(הגדרות!$E$7+1),הגדרות!$E$7)))</f>
        <v/>
      </c>
      <c r="K2399" s="0" t="str">
        <f aca="false">IF(I2399="","",J2399*הגדרות!$E$6+I2399+1)</f>
        <v/>
      </c>
      <c r="L2399" s="0" t="str">
        <f aca="false">IF(K2399="","",MATCH(K2399,$F$2:$F$5001,0))</f>
        <v/>
      </c>
      <c r="M2399" s="0" t="str">
        <f aca="false">IF(I2399="","",INDEX(הגדרות!$A$2:$A$21,MOD(I2399+הגדרות!$E$9,הגדרות!$E$6)+1))</f>
        <v/>
      </c>
    </row>
    <row r="2400" customFormat="false" ht="15" hidden="false" customHeight="false" outlineLevel="0" collapsed="false">
      <c r="A2400" s="0" t="str">
        <f aca="false">IF('הדבקת לידים'!A2400="","",IF(ISNUMBER('הדבקת לידים'!A2400),IF(הגדרות!$E$2&gt;0,TEXT('הדבקת לידים'!A2400,REPT("0",הגדרות!$E$2)),TEXT('הדבקת לידים'!A2400,"0")),TRIM('הדבקת לידים'!A2400)))</f>
        <v/>
      </c>
      <c r="B2400" s="0" t="str">
        <f aca="false">IF('הדבקת לידים'!B2400="","",IF(ISNUMBER('הדבקת לידים'!B2400),IF(הגדרות!$E$3&gt;0,TEXT('הדבקת לידים'!B2400,REPT("0",הגדרות!$E$3)),TEXT('הדבקת לידים'!B2400,"0")),TRIM('הדבקת לידים'!B2400)))</f>
        <v/>
      </c>
      <c r="C2400" s="0" t="n">
        <f aca="false">IF(OR(A2400&lt;&gt;"",B2400&lt;&gt;""),1,0)</f>
        <v>0</v>
      </c>
      <c r="D2400" s="0" t="str">
        <f aca="false">IF(C2400=1,MOD(ABS(SIN(ROW()*12.9898+'הדבקת לידים'!$F$2*78.233+IFERROR(--RIGHT(A2400,6),LEN(A2400))*0.0137+IFERROR(--RIGHT(B2400,6),LEN(B2400))*0.0071))*43758.5453,1),"")</f>
        <v/>
      </c>
      <c r="E2400" s="0" t="str">
        <f aca="false">IF(C2400=1,INT(MOD(ABS(SIN(D2400*7919.123+ROW()*0.618+'הדבקת לידים'!$F$2*1.3))*43758.5453,1)*1000000)*10000+ROW(),"")</f>
        <v/>
      </c>
      <c r="F2400" s="0" t="str">
        <f aca="false">IF(E2400="","",RANK(E2400,$E$2:$E$5001,1))</f>
        <v/>
      </c>
      <c r="G2400" s="0" t="n">
        <f aca="false">IF(A2400="",0,IF(SUMPRODUCT(--($A$2:$A$5001=A2400))&gt;1,1,0))</f>
        <v>0</v>
      </c>
      <c r="H2400" s="0" t="n">
        <f aca="false">ROW()-1</f>
        <v>2399</v>
      </c>
      <c r="I2400" s="0" t="str">
        <f aca="false">IF(OR(הגדרות!$E$6=0,H2400&gt;הגדרות!$E$5),"",IF(H2400-1&lt;הגדרות!$E$8*(הגדרות!$E$7+1),INT((H2400-1)/(הגדרות!$E$7+1)),הגדרות!$E$8+INT((H2400-1-הגדרות!$E$8*(הגדרות!$E$7+1))/הגדרות!$E$7)))</f>
        <v/>
      </c>
      <c r="J2400" s="0" t="str">
        <f aca="false">IF(I2400="","",IF(H2400-1&lt;הגדרות!$E$8*(הגדרות!$E$7+1),MOD(H2400-1,הגדרות!$E$7+1),MOD(H2400-1-הגדרות!$E$8*(הגדרות!$E$7+1),הגדרות!$E$7)))</f>
        <v/>
      </c>
      <c r="K2400" s="0" t="str">
        <f aca="false">IF(I2400="","",J2400*הגדרות!$E$6+I2400+1)</f>
        <v/>
      </c>
      <c r="L2400" s="0" t="str">
        <f aca="false">IF(K2400="","",MATCH(K2400,$F$2:$F$5001,0))</f>
        <v/>
      </c>
      <c r="M2400" s="0" t="str">
        <f aca="false">IF(I2400="","",INDEX(הגדרות!$A$2:$A$21,MOD(I2400+הגדרות!$E$9,הגדרות!$E$6)+1))</f>
        <v/>
      </c>
    </row>
    <row r="2401" customFormat="false" ht="15" hidden="false" customHeight="false" outlineLevel="0" collapsed="false">
      <c r="A2401" s="0" t="str">
        <f aca="false">IF('הדבקת לידים'!A2401="","",IF(ISNUMBER('הדבקת לידים'!A2401),IF(הגדרות!$E$2&gt;0,TEXT('הדבקת לידים'!A2401,REPT("0",הגדרות!$E$2)),TEXT('הדבקת לידים'!A2401,"0")),TRIM('הדבקת לידים'!A2401)))</f>
        <v/>
      </c>
      <c r="B2401" s="0" t="str">
        <f aca="false">IF('הדבקת לידים'!B2401="","",IF(ISNUMBER('הדבקת לידים'!B2401),IF(הגדרות!$E$3&gt;0,TEXT('הדבקת לידים'!B2401,REPT("0",הגדרות!$E$3)),TEXT('הדבקת לידים'!B2401,"0")),TRIM('הדבקת לידים'!B2401)))</f>
        <v/>
      </c>
      <c r="C2401" s="0" t="n">
        <f aca="false">IF(OR(A2401&lt;&gt;"",B2401&lt;&gt;""),1,0)</f>
        <v>0</v>
      </c>
      <c r="D2401" s="0" t="str">
        <f aca="false">IF(C2401=1,MOD(ABS(SIN(ROW()*12.9898+'הדבקת לידים'!$F$2*78.233+IFERROR(--RIGHT(A2401,6),LEN(A2401))*0.0137+IFERROR(--RIGHT(B2401,6),LEN(B2401))*0.0071))*43758.5453,1),"")</f>
        <v/>
      </c>
      <c r="E2401" s="0" t="str">
        <f aca="false">IF(C2401=1,INT(MOD(ABS(SIN(D2401*7919.123+ROW()*0.618+'הדבקת לידים'!$F$2*1.3))*43758.5453,1)*1000000)*10000+ROW(),"")</f>
        <v/>
      </c>
      <c r="F2401" s="0" t="str">
        <f aca="false">IF(E2401="","",RANK(E2401,$E$2:$E$5001,1))</f>
        <v/>
      </c>
      <c r="G2401" s="0" t="n">
        <f aca="false">IF(A2401="",0,IF(SUMPRODUCT(--($A$2:$A$5001=A2401))&gt;1,1,0))</f>
        <v>0</v>
      </c>
      <c r="H2401" s="0" t="n">
        <f aca="false">ROW()-1</f>
        <v>2400</v>
      </c>
      <c r="I2401" s="0" t="str">
        <f aca="false">IF(OR(הגדרות!$E$6=0,H2401&gt;הגדרות!$E$5),"",IF(H2401-1&lt;הגדרות!$E$8*(הגדרות!$E$7+1),INT((H2401-1)/(הגדרות!$E$7+1)),הגדרות!$E$8+INT((H2401-1-הגדרות!$E$8*(הגדרות!$E$7+1))/הגדרות!$E$7)))</f>
        <v/>
      </c>
      <c r="J2401" s="0" t="str">
        <f aca="false">IF(I2401="","",IF(H2401-1&lt;הגדרות!$E$8*(הגדרות!$E$7+1),MOD(H2401-1,הגדרות!$E$7+1),MOD(H2401-1-הגדרות!$E$8*(הגדרות!$E$7+1),הגדרות!$E$7)))</f>
        <v/>
      </c>
      <c r="K2401" s="0" t="str">
        <f aca="false">IF(I2401="","",J2401*הגדרות!$E$6+I2401+1)</f>
        <v/>
      </c>
      <c r="L2401" s="0" t="str">
        <f aca="false">IF(K2401="","",MATCH(K2401,$F$2:$F$5001,0))</f>
        <v/>
      </c>
      <c r="M2401" s="0" t="str">
        <f aca="false">IF(I2401="","",INDEX(הגדרות!$A$2:$A$21,MOD(I2401+הגדרות!$E$9,הגדרות!$E$6)+1))</f>
        <v/>
      </c>
    </row>
    <row r="2402" customFormat="false" ht="15" hidden="false" customHeight="false" outlineLevel="0" collapsed="false">
      <c r="A2402" s="0" t="str">
        <f aca="false">IF('הדבקת לידים'!A2402="","",IF(ISNUMBER('הדבקת לידים'!A2402),IF(הגדרות!$E$2&gt;0,TEXT('הדבקת לידים'!A2402,REPT("0",הגדרות!$E$2)),TEXT('הדבקת לידים'!A2402,"0")),TRIM('הדבקת לידים'!A2402)))</f>
        <v/>
      </c>
      <c r="B2402" s="0" t="str">
        <f aca="false">IF('הדבקת לידים'!B2402="","",IF(ISNUMBER('הדבקת לידים'!B2402),IF(הגדרות!$E$3&gt;0,TEXT('הדבקת לידים'!B2402,REPT("0",הגדרות!$E$3)),TEXT('הדבקת לידים'!B2402,"0")),TRIM('הדבקת לידים'!B2402)))</f>
        <v/>
      </c>
      <c r="C2402" s="0" t="n">
        <f aca="false">IF(OR(A2402&lt;&gt;"",B2402&lt;&gt;""),1,0)</f>
        <v>0</v>
      </c>
      <c r="D2402" s="0" t="str">
        <f aca="false">IF(C2402=1,MOD(ABS(SIN(ROW()*12.9898+'הדבקת לידים'!$F$2*78.233+IFERROR(--RIGHT(A2402,6),LEN(A2402))*0.0137+IFERROR(--RIGHT(B2402,6),LEN(B2402))*0.0071))*43758.5453,1),"")</f>
        <v/>
      </c>
      <c r="E2402" s="0" t="str">
        <f aca="false">IF(C2402=1,INT(MOD(ABS(SIN(D2402*7919.123+ROW()*0.618+'הדבקת לידים'!$F$2*1.3))*43758.5453,1)*1000000)*10000+ROW(),"")</f>
        <v/>
      </c>
      <c r="F2402" s="0" t="str">
        <f aca="false">IF(E2402="","",RANK(E2402,$E$2:$E$5001,1))</f>
        <v/>
      </c>
      <c r="G2402" s="0" t="n">
        <f aca="false">IF(A2402="",0,IF(SUMPRODUCT(--($A$2:$A$5001=A2402))&gt;1,1,0))</f>
        <v>0</v>
      </c>
      <c r="H2402" s="0" t="n">
        <f aca="false">ROW()-1</f>
        <v>2401</v>
      </c>
      <c r="I2402" s="0" t="str">
        <f aca="false">IF(OR(הגדרות!$E$6=0,H2402&gt;הגדרות!$E$5),"",IF(H2402-1&lt;הגדרות!$E$8*(הגדרות!$E$7+1),INT((H2402-1)/(הגדרות!$E$7+1)),הגדרות!$E$8+INT((H2402-1-הגדרות!$E$8*(הגדרות!$E$7+1))/הגדרות!$E$7)))</f>
        <v/>
      </c>
      <c r="J2402" s="0" t="str">
        <f aca="false">IF(I2402="","",IF(H2402-1&lt;הגדרות!$E$8*(הגדרות!$E$7+1),MOD(H2402-1,הגדרות!$E$7+1),MOD(H2402-1-הגדרות!$E$8*(הגדרות!$E$7+1),הגדרות!$E$7)))</f>
        <v/>
      </c>
      <c r="K2402" s="0" t="str">
        <f aca="false">IF(I2402="","",J2402*הגדרות!$E$6+I2402+1)</f>
        <v/>
      </c>
      <c r="L2402" s="0" t="str">
        <f aca="false">IF(K2402="","",MATCH(K2402,$F$2:$F$5001,0))</f>
        <v/>
      </c>
      <c r="M2402" s="0" t="str">
        <f aca="false">IF(I2402="","",INDEX(הגדרות!$A$2:$A$21,MOD(I2402+הגדרות!$E$9,הגדרות!$E$6)+1))</f>
        <v/>
      </c>
    </row>
    <row r="2403" customFormat="false" ht="15" hidden="false" customHeight="false" outlineLevel="0" collapsed="false">
      <c r="A2403" s="0" t="str">
        <f aca="false">IF('הדבקת לידים'!A2403="","",IF(ISNUMBER('הדבקת לידים'!A2403),IF(הגדרות!$E$2&gt;0,TEXT('הדבקת לידים'!A2403,REPT("0",הגדרות!$E$2)),TEXT('הדבקת לידים'!A2403,"0")),TRIM('הדבקת לידים'!A2403)))</f>
        <v/>
      </c>
      <c r="B2403" s="0" t="str">
        <f aca="false">IF('הדבקת לידים'!B2403="","",IF(ISNUMBER('הדבקת לידים'!B2403),IF(הגדרות!$E$3&gt;0,TEXT('הדבקת לידים'!B2403,REPT("0",הגדרות!$E$3)),TEXT('הדבקת לידים'!B2403,"0")),TRIM('הדבקת לידים'!B2403)))</f>
        <v/>
      </c>
      <c r="C2403" s="0" t="n">
        <f aca="false">IF(OR(A2403&lt;&gt;"",B2403&lt;&gt;""),1,0)</f>
        <v>0</v>
      </c>
      <c r="D2403" s="0" t="str">
        <f aca="false">IF(C2403=1,MOD(ABS(SIN(ROW()*12.9898+'הדבקת לידים'!$F$2*78.233+IFERROR(--RIGHT(A2403,6),LEN(A2403))*0.0137+IFERROR(--RIGHT(B2403,6),LEN(B2403))*0.0071))*43758.5453,1),"")</f>
        <v/>
      </c>
      <c r="E2403" s="0" t="str">
        <f aca="false">IF(C2403=1,INT(MOD(ABS(SIN(D2403*7919.123+ROW()*0.618+'הדבקת לידים'!$F$2*1.3))*43758.5453,1)*1000000)*10000+ROW(),"")</f>
        <v/>
      </c>
      <c r="F2403" s="0" t="str">
        <f aca="false">IF(E2403="","",RANK(E2403,$E$2:$E$5001,1))</f>
        <v/>
      </c>
      <c r="G2403" s="0" t="n">
        <f aca="false">IF(A2403="",0,IF(SUMPRODUCT(--($A$2:$A$5001=A2403))&gt;1,1,0))</f>
        <v>0</v>
      </c>
      <c r="H2403" s="0" t="n">
        <f aca="false">ROW()-1</f>
        <v>2402</v>
      </c>
      <c r="I2403" s="0" t="str">
        <f aca="false">IF(OR(הגדרות!$E$6=0,H2403&gt;הגדרות!$E$5),"",IF(H2403-1&lt;הגדרות!$E$8*(הגדרות!$E$7+1),INT((H2403-1)/(הגדרות!$E$7+1)),הגדרות!$E$8+INT((H2403-1-הגדרות!$E$8*(הגדרות!$E$7+1))/הגדרות!$E$7)))</f>
        <v/>
      </c>
      <c r="J2403" s="0" t="str">
        <f aca="false">IF(I2403="","",IF(H2403-1&lt;הגדרות!$E$8*(הגדרות!$E$7+1),MOD(H2403-1,הגדרות!$E$7+1),MOD(H2403-1-הגדרות!$E$8*(הגדרות!$E$7+1),הגדרות!$E$7)))</f>
        <v/>
      </c>
      <c r="K2403" s="0" t="str">
        <f aca="false">IF(I2403="","",J2403*הגדרות!$E$6+I2403+1)</f>
        <v/>
      </c>
      <c r="L2403" s="0" t="str">
        <f aca="false">IF(K2403="","",MATCH(K2403,$F$2:$F$5001,0))</f>
        <v/>
      </c>
      <c r="M2403" s="0" t="str">
        <f aca="false">IF(I2403="","",INDEX(הגדרות!$A$2:$A$21,MOD(I2403+הגדרות!$E$9,הגדרות!$E$6)+1))</f>
        <v/>
      </c>
    </row>
    <row r="2404" customFormat="false" ht="15" hidden="false" customHeight="false" outlineLevel="0" collapsed="false">
      <c r="A2404" s="0" t="str">
        <f aca="false">IF('הדבקת לידים'!A2404="","",IF(ISNUMBER('הדבקת לידים'!A2404),IF(הגדרות!$E$2&gt;0,TEXT('הדבקת לידים'!A2404,REPT("0",הגדרות!$E$2)),TEXT('הדבקת לידים'!A2404,"0")),TRIM('הדבקת לידים'!A2404)))</f>
        <v/>
      </c>
      <c r="B2404" s="0" t="str">
        <f aca="false">IF('הדבקת לידים'!B2404="","",IF(ISNUMBER('הדבקת לידים'!B2404),IF(הגדרות!$E$3&gt;0,TEXT('הדבקת לידים'!B2404,REPT("0",הגדרות!$E$3)),TEXT('הדבקת לידים'!B2404,"0")),TRIM('הדבקת לידים'!B2404)))</f>
        <v/>
      </c>
      <c r="C2404" s="0" t="n">
        <f aca="false">IF(OR(A2404&lt;&gt;"",B2404&lt;&gt;""),1,0)</f>
        <v>0</v>
      </c>
      <c r="D2404" s="0" t="str">
        <f aca="false">IF(C2404=1,MOD(ABS(SIN(ROW()*12.9898+'הדבקת לידים'!$F$2*78.233+IFERROR(--RIGHT(A2404,6),LEN(A2404))*0.0137+IFERROR(--RIGHT(B2404,6),LEN(B2404))*0.0071))*43758.5453,1),"")</f>
        <v/>
      </c>
      <c r="E2404" s="0" t="str">
        <f aca="false">IF(C2404=1,INT(MOD(ABS(SIN(D2404*7919.123+ROW()*0.618+'הדבקת לידים'!$F$2*1.3))*43758.5453,1)*1000000)*10000+ROW(),"")</f>
        <v/>
      </c>
      <c r="F2404" s="0" t="str">
        <f aca="false">IF(E2404="","",RANK(E2404,$E$2:$E$5001,1))</f>
        <v/>
      </c>
      <c r="G2404" s="0" t="n">
        <f aca="false">IF(A2404="",0,IF(SUMPRODUCT(--($A$2:$A$5001=A2404))&gt;1,1,0))</f>
        <v>0</v>
      </c>
      <c r="H2404" s="0" t="n">
        <f aca="false">ROW()-1</f>
        <v>2403</v>
      </c>
      <c r="I2404" s="0" t="str">
        <f aca="false">IF(OR(הגדרות!$E$6=0,H2404&gt;הגדרות!$E$5),"",IF(H2404-1&lt;הגדרות!$E$8*(הגדרות!$E$7+1),INT((H2404-1)/(הגדרות!$E$7+1)),הגדרות!$E$8+INT((H2404-1-הגדרות!$E$8*(הגדרות!$E$7+1))/הגדרות!$E$7)))</f>
        <v/>
      </c>
      <c r="J2404" s="0" t="str">
        <f aca="false">IF(I2404="","",IF(H2404-1&lt;הגדרות!$E$8*(הגדרות!$E$7+1),MOD(H2404-1,הגדרות!$E$7+1),MOD(H2404-1-הגדרות!$E$8*(הגדרות!$E$7+1),הגדרות!$E$7)))</f>
        <v/>
      </c>
      <c r="K2404" s="0" t="str">
        <f aca="false">IF(I2404="","",J2404*הגדרות!$E$6+I2404+1)</f>
        <v/>
      </c>
      <c r="L2404" s="0" t="str">
        <f aca="false">IF(K2404="","",MATCH(K2404,$F$2:$F$5001,0))</f>
        <v/>
      </c>
      <c r="M2404" s="0" t="str">
        <f aca="false">IF(I2404="","",INDEX(הגדרות!$A$2:$A$21,MOD(I2404+הגדרות!$E$9,הגדרות!$E$6)+1))</f>
        <v/>
      </c>
    </row>
    <row r="2405" customFormat="false" ht="15" hidden="false" customHeight="false" outlineLevel="0" collapsed="false">
      <c r="A2405" s="0" t="str">
        <f aca="false">IF('הדבקת לידים'!A2405="","",IF(ISNUMBER('הדבקת לידים'!A2405),IF(הגדרות!$E$2&gt;0,TEXT('הדבקת לידים'!A2405,REPT("0",הגדרות!$E$2)),TEXT('הדבקת לידים'!A2405,"0")),TRIM('הדבקת לידים'!A2405)))</f>
        <v/>
      </c>
      <c r="B2405" s="0" t="str">
        <f aca="false">IF('הדבקת לידים'!B2405="","",IF(ISNUMBER('הדבקת לידים'!B2405),IF(הגדרות!$E$3&gt;0,TEXT('הדבקת לידים'!B2405,REPT("0",הגדרות!$E$3)),TEXT('הדבקת לידים'!B2405,"0")),TRIM('הדבקת לידים'!B2405)))</f>
        <v/>
      </c>
      <c r="C2405" s="0" t="n">
        <f aca="false">IF(OR(A2405&lt;&gt;"",B2405&lt;&gt;""),1,0)</f>
        <v>0</v>
      </c>
      <c r="D2405" s="0" t="str">
        <f aca="false">IF(C2405=1,MOD(ABS(SIN(ROW()*12.9898+'הדבקת לידים'!$F$2*78.233+IFERROR(--RIGHT(A2405,6),LEN(A2405))*0.0137+IFERROR(--RIGHT(B2405,6),LEN(B2405))*0.0071))*43758.5453,1),"")</f>
        <v/>
      </c>
      <c r="E2405" s="0" t="str">
        <f aca="false">IF(C2405=1,INT(MOD(ABS(SIN(D2405*7919.123+ROW()*0.618+'הדבקת לידים'!$F$2*1.3))*43758.5453,1)*1000000)*10000+ROW(),"")</f>
        <v/>
      </c>
      <c r="F2405" s="0" t="str">
        <f aca="false">IF(E2405="","",RANK(E2405,$E$2:$E$5001,1))</f>
        <v/>
      </c>
      <c r="G2405" s="0" t="n">
        <f aca="false">IF(A2405="",0,IF(SUMPRODUCT(--($A$2:$A$5001=A2405))&gt;1,1,0))</f>
        <v>0</v>
      </c>
      <c r="H2405" s="0" t="n">
        <f aca="false">ROW()-1</f>
        <v>2404</v>
      </c>
      <c r="I2405" s="0" t="str">
        <f aca="false">IF(OR(הגדרות!$E$6=0,H2405&gt;הגדרות!$E$5),"",IF(H2405-1&lt;הגדרות!$E$8*(הגדרות!$E$7+1),INT((H2405-1)/(הגדרות!$E$7+1)),הגדרות!$E$8+INT((H2405-1-הגדרות!$E$8*(הגדרות!$E$7+1))/הגדרות!$E$7)))</f>
        <v/>
      </c>
      <c r="J2405" s="0" t="str">
        <f aca="false">IF(I2405="","",IF(H2405-1&lt;הגדרות!$E$8*(הגדרות!$E$7+1),MOD(H2405-1,הגדרות!$E$7+1),MOD(H2405-1-הגדרות!$E$8*(הגדרות!$E$7+1),הגדרות!$E$7)))</f>
        <v/>
      </c>
      <c r="K2405" s="0" t="str">
        <f aca="false">IF(I2405="","",J2405*הגדרות!$E$6+I2405+1)</f>
        <v/>
      </c>
      <c r="L2405" s="0" t="str">
        <f aca="false">IF(K2405="","",MATCH(K2405,$F$2:$F$5001,0))</f>
        <v/>
      </c>
      <c r="M2405" s="0" t="str">
        <f aca="false">IF(I2405="","",INDEX(הגדרות!$A$2:$A$21,MOD(I2405+הגדרות!$E$9,הגדרות!$E$6)+1))</f>
        <v/>
      </c>
    </row>
    <row r="2406" customFormat="false" ht="15" hidden="false" customHeight="false" outlineLevel="0" collapsed="false">
      <c r="A2406" s="0" t="str">
        <f aca="false">IF('הדבקת לידים'!A2406="","",IF(ISNUMBER('הדבקת לידים'!A2406),IF(הגדרות!$E$2&gt;0,TEXT('הדבקת לידים'!A2406,REPT("0",הגדרות!$E$2)),TEXT('הדבקת לידים'!A2406,"0")),TRIM('הדבקת לידים'!A2406)))</f>
        <v/>
      </c>
      <c r="B2406" s="0" t="str">
        <f aca="false">IF('הדבקת לידים'!B2406="","",IF(ISNUMBER('הדבקת לידים'!B2406),IF(הגדרות!$E$3&gt;0,TEXT('הדבקת לידים'!B2406,REPT("0",הגדרות!$E$3)),TEXT('הדבקת לידים'!B2406,"0")),TRIM('הדבקת לידים'!B2406)))</f>
        <v/>
      </c>
      <c r="C2406" s="0" t="n">
        <f aca="false">IF(OR(A2406&lt;&gt;"",B2406&lt;&gt;""),1,0)</f>
        <v>0</v>
      </c>
      <c r="D2406" s="0" t="str">
        <f aca="false">IF(C2406=1,MOD(ABS(SIN(ROW()*12.9898+'הדבקת לידים'!$F$2*78.233+IFERROR(--RIGHT(A2406,6),LEN(A2406))*0.0137+IFERROR(--RIGHT(B2406,6),LEN(B2406))*0.0071))*43758.5453,1),"")</f>
        <v/>
      </c>
      <c r="E2406" s="0" t="str">
        <f aca="false">IF(C2406=1,INT(MOD(ABS(SIN(D2406*7919.123+ROW()*0.618+'הדבקת לידים'!$F$2*1.3))*43758.5453,1)*1000000)*10000+ROW(),"")</f>
        <v/>
      </c>
      <c r="F2406" s="0" t="str">
        <f aca="false">IF(E2406="","",RANK(E2406,$E$2:$E$5001,1))</f>
        <v/>
      </c>
      <c r="G2406" s="0" t="n">
        <f aca="false">IF(A2406="",0,IF(SUMPRODUCT(--($A$2:$A$5001=A2406))&gt;1,1,0))</f>
        <v>0</v>
      </c>
      <c r="H2406" s="0" t="n">
        <f aca="false">ROW()-1</f>
        <v>2405</v>
      </c>
      <c r="I2406" s="0" t="str">
        <f aca="false">IF(OR(הגדרות!$E$6=0,H2406&gt;הגדרות!$E$5),"",IF(H2406-1&lt;הגדרות!$E$8*(הגדרות!$E$7+1),INT((H2406-1)/(הגדרות!$E$7+1)),הגדרות!$E$8+INT((H2406-1-הגדרות!$E$8*(הגדרות!$E$7+1))/הגדרות!$E$7)))</f>
        <v/>
      </c>
      <c r="J2406" s="0" t="str">
        <f aca="false">IF(I2406="","",IF(H2406-1&lt;הגדרות!$E$8*(הגדרות!$E$7+1),MOD(H2406-1,הגדרות!$E$7+1),MOD(H2406-1-הגדרות!$E$8*(הגדרות!$E$7+1),הגדרות!$E$7)))</f>
        <v/>
      </c>
      <c r="K2406" s="0" t="str">
        <f aca="false">IF(I2406="","",J2406*הגדרות!$E$6+I2406+1)</f>
        <v/>
      </c>
      <c r="L2406" s="0" t="str">
        <f aca="false">IF(K2406="","",MATCH(K2406,$F$2:$F$5001,0))</f>
        <v/>
      </c>
      <c r="M2406" s="0" t="str">
        <f aca="false">IF(I2406="","",INDEX(הגדרות!$A$2:$A$21,MOD(I2406+הגדרות!$E$9,הגדרות!$E$6)+1))</f>
        <v/>
      </c>
    </row>
    <row r="2407" customFormat="false" ht="15" hidden="false" customHeight="false" outlineLevel="0" collapsed="false">
      <c r="A2407" s="0" t="str">
        <f aca="false">IF('הדבקת לידים'!A2407="","",IF(ISNUMBER('הדבקת לידים'!A2407),IF(הגדרות!$E$2&gt;0,TEXT('הדבקת לידים'!A2407,REPT("0",הגדרות!$E$2)),TEXT('הדבקת לידים'!A2407,"0")),TRIM('הדבקת לידים'!A2407)))</f>
        <v/>
      </c>
      <c r="B2407" s="0" t="str">
        <f aca="false">IF('הדבקת לידים'!B2407="","",IF(ISNUMBER('הדבקת לידים'!B2407),IF(הגדרות!$E$3&gt;0,TEXT('הדבקת לידים'!B2407,REPT("0",הגדרות!$E$3)),TEXT('הדבקת לידים'!B2407,"0")),TRIM('הדבקת לידים'!B2407)))</f>
        <v/>
      </c>
      <c r="C2407" s="0" t="n">
        <f aca="false">IF(OR(A2407&lt;&gt;"",B2407&lt;&gt;""),1,0)</f>
        <v>0</v>
      </c>
      <c r="D2407" s="0" t="str">
        <f aca="false">IF(C2407=1,MOD(ABS(SIN(ROW()*12.9898+'הדבקת לידים'!$F$2*78.233+IFERROR(--RIGHT(A2407,6),LEN(A2407))*0.0137+IFERROR(--RIGHT(B2407,6),LEN(B2407))*0.0071))*43758.5453,1),"")</f>
        <v/>
      </c>
      <c r="E2407" s="0" t="str">
        <f aca="false">IF(C2407=1,INT(MOD(ABS(SIN(D2407*7919.123+ROW()*0.618+'הדבקת לידים'!$F$2*1.3))*43758.5453,1)*1000000)*10000+ROW(),"")</f>
        <v/>
      </c>
      <c r="F2407" s="0" t="str">
        <f aca="false">IF(E2407="","",RANK(E2407,$E$2:$E$5001,1))</f>
        <v/>
      </c>
      <c r="G2407" s="0" t="n">
        <f aca="false">IF(A2407="",0,IF(SUMPRODUCT(--($A$2:$A$5001=A2407))&gt;1,1,0))</f>
        <v>0</v>
      </c>
      <c r="H2407" s="0" t="n">
        <f aca="false">ROW()-1</f>
        <v>2406</v>
      </c>
      <c r="I2407" s="0" t="str">
        <f aca="false">IF(OR(הגדרות!$E$6=0,H2407&gt;הגדרות!$E$5),"",IF(H2407-1&lt;הגדרות!$E$8*(הגדרות!$E$7+1),INT((H2407-1)/(הגדרות!$E$7+1)),הגדרות!$E$8+INT((H2407-1-הגדרות!$E$8*(הגדרות!$E$7+1))/הגדרות!$E$7)))</f>
        <v/>
      </c>
      <c r="J2407" s="0" t="str">
        <f aca="false">IF(I2407="","",IF(H2407-1&lt;הגדרות!$E$8*(הגדרות!$E$7+1),MOD(H2407-1,הגדרות!$E$7+1),MOD(H2407-1-הגדרות!$E$8*(הגדרות!$E$7+1),הגדרות!$E$7)))</f>
        <v/>
      </c>
      <c r="K2407" s="0" t="str">
        <f aca="false">IF(I2407="","",J2407*הגדרות!$E$6+I2407+1)</f>
        <v/>
      </c>
      <c r="L2407" s="0" t="str">
        <f aca="false">IF(K2407="","",MATCH(K2407,$F$2:$F$5001,0))</f>
        <v/>
      </c>
      <c r="M2407" s="0" t="str">
        <f aca="false">IF(I2407="","",INDEX(הגדרות!$A$2:$A$21,MOD(I2407+הגדרות!$E$9,הגדרות!$E$6)+1))</f>
        <v/>
      </c>
    </row>
    <row r="2408" customFormat="false" ht="15" hidden="false" customHeight="false" outlineLevel="0" collapsed="false">
      <c r="A2408" s="0" t="str">
        <f aca="false">IF('הדבקת לידים'!A2408="","",IF(ISNUMBER('הדבקת לידים'!A2408),IF(הגדרות!$E$2&gt;0,TEXT('הדבקת לידים'!A2408,REPT("0",הגדרות!$E$2)),TEXT('הדבקת לידים'!A2408,"0")),TRIM('הדבקת לידים'!A2408)))</f>
        <v/>
      </c>
      <c r="B2408" s="0" t="str">
        <f aca="false">IF('הדבקת לידים'!B2408="","",IF(ISNUMBER('הדבקת לידים'!B2408),IF(הגדרות!$E$3&gt;0,TEXT('הדבקת לידים'!B2408,REPT("0",הגדרות!$E$3)),TEXT('הדבקת לידים'!B2408,"0")),TRIM('הדבקת לידים'!B2408)))</f>
        <v/>
      </c>
      <c r="C2408" s="0" t="n">
        <f aca="false">IF(OR(A2408&lt;&gt;"",B2408&lt;&gt;""),1,0)</f>
        <v>0</v>
      </c>
      <c r="D2408" s="0" t="str">
        <f aca="false">IF(C2408=1,MOD(ABS(SIN(ROW()*12.9898+'הדבקת לידים'!$F$2*78.233+IFERROR(--RIGHT(A2408,6),LEN(A2408))*0.0137+IFERROR(--RIGHT(B2408,6),LEN(B2408))*0.0071))*43758.5453,1),"")</f>
        <v/>
      </c>
      <c r="E2408" s="0" t="str">
        <f aca="false">IF(C2408=1,INT(MOD(ABS(SIN(D2408*7919.123+ROW()*0.618+'הדבקת לידים'!$F$2*1.3))*43758.5453,1)*1000000)*10000+ROW(),"")</f>
        <v/>
      </c>
      <c r="F2408" s="0" t="str">
        <f aca="false">IF(E2408="","",RANK(E2408,$E$2:$E$5001,1))</f>
        <v/>
      </c>
      <c r="G2408" s="0" t="n">
        <f aca="false">IF(A2408="",0,IF(SUMPRODUCT(--($A$2:$A$5001=A2408))&gt;1,1,0))</f>
        <v>0</v>
      </c>
      <c r="H2408" s="0" t="n">
        <f aca="false">ROW()-1</f>
        <v>2407</v>
      </c>
      <c r="I2408" s="0" t="str">
        <f aca="false">IF(OR(הגדרות!$E$6=0,H2408&gt;הגדרות!$E$5),"",IF(H2408-1&lt;הגדרות!$E$8*(הגדרות!$E$7+1),INT((H2408-1)/(הגדרות!$E$7+1)),הגדרות!$E$8+INT((H2408-1-הגדרות!$E$8*(הגדרות!$E$7+1))/הגדרות!$E$7)))</f>
        <v/>
      </c>
      <c r="J2408" s="0" t="str">
        <f aca="false">IF(I2408="","",IF(H2408-1&lt;הגדרות!$E$8*(הגדרות!$E$7+1),MOD(H2408-1,הגדרות!$E$7+1),MOD(H2408-1-הגדרות!$E$8*(הגדרות!$E$7+1),הגדרות!$E$7)))</f>
        <v/>
      </c>
      <c r="K2408" s="0" t="str">
        <f aca="false">IF(I2408="","",J2408*הגדרות!$E$6+I2408+1)</f>
        <v/>
      </c>
      <c r="L2408" s="0" t="str">
        <f aca="false">IF(K2408="","",MATCH(K2408,$F$2:$F$5001,0))</f>
        <v/>
      </c>
      <c r="M2408" s="0" t="str">
        <f aca="false">IF(I2408="","",INDEX(הגדרות!$A$2:$A$21,MOD(I2408+הגדרות!$E$9,הגדרות!$E$6)+1))</f>
        <v/>
      </c>
    </row>
    <row r="2409" customFormat="false" ht="15" hidden="false" customHeight="false" outlineLevel="0" collapsed="false">
      <c r="A2409" s="0" t="str">
        <f aca="false">IF('הדבקת לידים'!A2409="","",IF(ISNUMBER('הדבקת לידים'!A2409),IF(הגדרות!$E$2&gt;0,TEXT('הדבקת לידים'!A2409,REPT("0",הגדרות!$E$2)),TEXT('הדבקת לידים'!A2409,"0")),TRIM('הדבקת לידים'!A2409)))</f>
        <v/>
      </c>
      <c r="B2409" s="0" t="str">
        <f aca="false">IF('הדבקת לידים'!B2409="","",IF(ISNUMBER('הדבקת לידים'!B2409),IF(הגדרות!$E$3&gt;0,TEXT('הדבקת לידים'!B2409,REPT("0",הגדרות!$E$3)),TEXT('הדבקת לידים'!B2409,"0")),TRIM('הדבקת לידים'!B2409)))</f>
        <v/>
      </c>
      <c r="C2409" s="0" t="n">
        <f aca="false">IF(OR(A2409&lt;&gt;"",B2409&lt;&gt;""),1,0)</f>
        <v>0</v>
      </c>
      <c r="D2409" s="0" t="str">
        <f aca="false">IF(C2409=1,MOD(ABS(SIN(ROW()*12.9898+'הדבקת לידים'!$F$2*78.233+IFERROR(--RIGHT(A2409,6),LEN(A2409))*0.0137+IFERROR(--RIGHT(B2409,6),LEN(B2409))*0.0071))*43758.5453,1),"")</f>
        <v/>
      </c>
      <c r="E2409" s="0" t="str">
        <f aca="false">IF(C2409=1,INT(MOD(ABS(SIN(D2409*7919.123+ROW()*0.618+'הדבקת לידים'!$F$2*1.3))*43758.5453,1)*1000000)*10000+ROW(),"")</f>
        <v/>
      </c>
      <c r="F2409" s="0" t="str">
        <f aca="false">IF(E2409="","",RANK(E2409,$E$2:$E$5001,1))</f>
        <v/>
      </c>
      <c r="G2409" s="0" t="n">
        <f aca="false">IF(A2409="",0,IF(SUMPRODUCT(--($A$2:$A$5001=A2409))&gt;1,1,0))</f>
        <v>0</v>
      </c>
      <c r="H2409" s="0" t="n">
        <f aca="false">ROW()-1</f>
        <v>2408</v>
      </c>
      <c r="I2409" s="0" t="str">
        <f aca="false">IF(OR(הגדרות!$E$6=0,H2409&gt;הגדרות!$E$5),"",IF(H2409-1&lt;הגדרות!$E$8*(הגדרות!$E$7+1),INT((H2409-1)/(הגדרות!$E$7+1)),הגדרות!$E$8+INT((H2409-1-הגדרות!$E$8*(הגדרות!$E$7+1))/הגדרות!$E$7)))</f>
        <v/>
      </c>
      <c r="J2409" s="0" t="str">
        <f aca="false">IF(I2409="","",IF(H2409-1&lt;הגדרות!$E$8*(הגדרות!$E$7+1),MOD(H2409-1,הגדרות!$E$7+1),MOD(H2409-1-הגדרות!$E$8*(הגדרות!$E$7+1),הגדרות!$E$7)))</f>
        <v/>
      </c>
      <c r="K2409" s="0" t="str">
        <f aca="false">IF(I2409="","",J2409*הגדרות!$E$6+I2409+1)</f>
        <v/>
      </c>
      <c r="L2409" s="0" t="str">
        <f aca="false">IF(K2409="","",MATCH(K2409,$F$2:$F$5001,0))</f>
        <v/>
      </c>
      <c r="M2409" s="0" t="str">
        <f aca="false">IF(I2409="","",INDEX(הגדרות!$A$2:$A$21,MOD(I2409+הגדרות!$E$9,הגדרות!$E$6)+1))</f>
        <v/>
      </c>
    </row>
    <row r="2410" customFormat="false" ht="15" hidden="false" customHeight="false" outlineLevel="0" collapsed="false">
      <c r="A2410" s="0" t="str">
        <f aca="false">IF('הדבקת לידים'!A2410="","",IF(ISNUMBER('הדבקת לידים'!A2410),IF(הגדרות!$E$2&gt;0,TEXT('הדבקת לידים'!A2410,REPT("0",הגדרות!$E$2)),TEXT('הדבקת לידים'!A2410,"0")),TRIM('הדבקת לידים'!A2410)))</f>
        <v/>
      </c>
      <c r="B2410" s="0" t="str">
        <f aca="false">IF('הדבקת לידים'!B2410="","",IF(ISNUMBER('הדבקת לידים'!B2410),IF(הגדרות!$E$3&gt;0,TEXT('הדבקת לידים'!B2410,REPT("0",הגדרות!$E$3)),TEXT('הדבקת לידים'!B2410,"0")),TRIM('הדבקת לידים'!B2410)))</f>
        <v/>
      </c>
      <c r="C2410" s="0" t="n">
        <f aca="false">IF(OR(A2410&lt;&gt;"",B2410&lt;&gt;""),1,0)</f>
        <v>0</v>
      </c>
      <c r="D2410" s="0" t="str">
        <f aca="false">IF(C2410=1,MOD(ABS(SIN(ROW()*12.9898+'הדבקת לידים'!$F$2*78.233+IFERROR(--RIGHT(A2410,6),LEN(A2410))*0.0137+IFERROR(--RIGHT(B2410,6),LEN(B2410))*0.0071))*43758.5453,1),"")</f>
        <v/>
      </c>
      <c r="E2410" s="0" t="str">
        <f aca="false">IF(C2410=1,INT(MOD(ABS(SIN(D2410*7919.123+ROW()*0.618+'הדבקת לידים'!$F$2*1.3))*43758.5453,1)*1000000)*10000+ROW(),"")</f>
        <v/>
      </c>
      <c r="F2410" s="0" t="str">
        <f aca="false">IF(E2410="","",RANK(E2410,$E$2:$E$5001,1))</f>
        <v/>
      </c>
      <c r="G2410" s="0" t="n">
        <f aca="false">IF(A2410="",0,IF(SUMPRODUCT(--($A$2:$A$5001=A2410))&gt;1,1,0))</f>
        <v>0</v>
      </c>
      <c r="H2410" s="0" t="n">
        <f aca="false">ROW()-1</f>
        <v>2409</v>
      </c>
      <c r="I2410" s="0" t="str">
        <f aca="false">IF(OR(הגדרות!$E$6=0,H2410&gt;הגדרות!$E$5),"",IF(H2410-1&lt;הגדרות!$E$8*(הגדרות!$E$7+1),INT((H2410-1)/(הגדרות!$E$7+1)),הגדרות!$E$8+INT((H2410-1-הגדרות!$E$8*(הגדרות!$E$7+1))/הגדרות!$E$7)))</f>
        <v/>
      </c>
      <c r="J2410" s="0" t="str">
        <f aca="false">IF(I2410="","",IF(H2410-1&lt;הגדרות!$E$8*(הגדרות!$E$7+1),MOD(H2410-1,הגדרות!$E$7+1),MOD(H2410-1-הגדרות!$E$8*(הגדרות!$E$7+1),הגדרות!$E$7)))</f>
        <v/>
      </c>
      <c r="K2410" s="0" t="str">
        <f aca="false">IF(I2410="","",J2410*הגדרות!$E$6+I2410+1)</f>
        <v/>
      </c>
      <c r="L2410" s="0" t="str">
        <f aca="false">IF(K2410="","",MATCH(K2410,$F$2:$F$5001,0))</f>
        <v/>
      </c>
      <c r="M2410" s="0" t="str">
        <f aca="false">IF(I2410="","",INDEX(הגדרות!$A$2:$A$21,MOD(I2410+הגדרות!$E$9,הגדרות!$E$6)+1))</f>
        <v/>
      </c>
    </row>
    <row r="2411" customFormat="false" ht="15" hidden="false" customHeight="false" outlineLevel="0" collapsed="false">
      <c r="A2411" s="0" t="str">
        <f aca="false">IF('הדבקת לידים'!A2411="","",IF(ISNUMBER('הדבקת לידים'!A2411),IF(הגדרות!$E$2&gt;0,TEXT('הדבקת לידים'!A2411,REPT("0",הגדרות!$E$2)),TEXT('הדבקת לידים'!A2411,"0")),TRIM('הדבקת לידים'!A2411)))</f>
        <v/>
      </c>
      <c r="B2411" s="0" t="str">
        <f aca="false">IF('הדבקת לידים'!B2411="","",IF(ISNUMBER('הדבקת לידים'!B2411),IF(הגדרות!$E$3&gt;0,TEXT('הדבקת לידים'!B2411,REPT("0",הגדרות!$E$3)),TEXT('הדבקת לידים'!B2411,"0")),TRIM('הדבקת לידים'!B2411)))</f>
        <v/>
      </c>
      <c r="C2411" s="0" t="n">
        <f aca="false">IF(OR(A2411&lt;&gt;"",B2411&lt;&gt;""),1,0)</f>
        <v>0</v>
      </c>
      <c r="D2411" s="0" t="str">
        <f aca="false">IF(C2411=1,MOD(ABS(SIN(ROW()*12.9898+'הדבקת לידים'!$F$2*78.233+IFERROR(--RIGHT(A2411,6),LEN(A2411))*0.0137+IFERROR(--RIGHT(B2411,6),LEN(B2411))*0.0071))*43758.5453,1),"")</f>
        <v/>
      </c>
      <c r="E2411" s="0" t="str">
        <f aca="false">IF(C2411=1,INT(MOD(ABS(SIN(D2411*7919.123+ROW()*0.618+'הדבקת לידים'!$F$2*1.3))*43758.5453,1)*1000000)*10000+ROW(),"")</f>
        <v/>
      </c>
      <c r="F2411" s="0" t="str">
        <f aca="false">IF(E2411="","",RANK(E2411,$E$2:$E$5001,1))</f>
        <v/>
      </c>
      <c r="G2411" s="0" t="n">
        <f aca="false">IF(A2411="",0,IF(SUMPRODUCT(--($A$2:$A$5001=A2411))&gt;1,1,0))</f>
        <v>0</v>
      </c>
      <c r="H2411" s="0" t="n">
        <f aca="false">ROW()-1</f>
        <v>2410</v>
      </c>
      <c r="I2411" s="0" t="str">
        <f aca="false">IF(OR(הגדרות!$E$6=0,H2411&gt;הגדרות!$E$5),"",IF(H2411-1&lt;הגדרות!$E$8*(הגדרות!$E$7+1),INT((H2411-1)/(הגדרות!$E$7+1)),הגדרות!$E$8+INT((H2411-1-הגדרות!$E$8*(הגדרות!$E$7+1))/הגדרות!$E$7)))</f>
        <v/>
      </c>
      <c r="J2411" s="0" t="str">
        <f aca="false">IF(I2411="","",IF(H2411-1&lt;הגדרות!$E$8*(הגדרות!$E$7+1),MOD(H2411-1,הגדרות!$E$7+1),MOD(H2411-1-הגדרות!$E$8*(הגדרות!$E$7+1),הגדרות!$E$7)))</f>
        <v/>
      </c>
      <c r="K2411" s="0" t="str">
        <f aca="false">IF(I2411="","",J2411*הגדרות!$E$6+I2411+1)</f>
        <v/>
      </c>
      <c r="L2411" s="0" t="str">
        <f aca="false">IF(K2411="","",MATCH(K2411,$F$2:$F$5001,0))</f>
        <v/>
      </c>
      <c r="M2411" s="0" t="str">
        <f aca="false">IF(I2411="","",INDEX(הגדרות!$A$2:$A$21,MOD(I2411+הגדרות!$E$9,הגדרות!$E$6)+1))</f>
        <v/>
      </c>
    </row>
    <row r="2412" customFormat="false" ht="15" hidden="false" customHeight="false" outlineLevel="0" collapsed="false">
      <c r="A2412" s="0" t="str">
        <f aca="false">IF('הדבקת לידים'!A2412="","",IF(ISNUMBER('הדבקת לידים'!A2412),IF(הגדרות!$E$2&gt;0,TEXT('הדבקת לידים'!A2412,REPT("0",הגדרות!$E$2)),TEXT('הדבקת לידים'!A2412,"0")),TRIM('הדבקת לידים'!A2412)))</f>
        <v/>
      </c>
      <c r="B2412" s="0" t="str">
        <f aca="false">IF('הדבקת לידים'!B2412="","",IF(ISNUMBER('הדבקת לידים'!B2412),IF(הגדרות!$E$3&gt;0,TEXT('הדבקת לידים'!B2412,REPT("0",הגדרות!$E$3)),TEXT('הדבקת לידים'!B2412,"0")),TRIM('הדבקת לידים'!B2412)))</f>
        <v/>
      </c>
      <c r="C2412" s="0" t="n">
        <f aca="false">IF(OR(A2412&lt;&gt;"",B2412&lt;&gt;""),1,0)</f>
        <v>0</v>
      </c>
      <c r="D2412" s="0" t="str">
        <f aca="false">IF(C2412=1,MOD(ABS(SIN(ROW()*12.9898+'הדבקת לידים'!$F$2*78.233+IFERROR(--RIGHT(A2412,6),LEN(A2412))*0.0137+IFERROR(--RIGHT(B2412,6),LEN(B2412))*0.0071))*43758.5453,1),"")</f>
        <v/>
      </c>
      <c r="E2412" s="0" t="str">
        <f aca="false">IF(C2412=1,INT(MOD(ABS(SIN(D2412*7919.123+ROW()*0.618+'הדבקת לידים'!$F$2*1.3))*43758.5453,1)*1000000)*10000+ROW(),"")</f>
        <v/>
      </c>
      <c r="F2412" s="0" t="str">
        <f aca="false">IF(E2412="","",RANK(E2412,$E$2:$E$5001,1))</f>
        <v/>
      </c>
      <c r="G2412" s="0" t="n">
        <f aca="false">IF(A2412="",0,IF(SUMPRODUCT(--($A$2:$A$5001=A2412))&gt;1,1,0))</f>
        <v>0</v>
      </c>
      <c r="H2412" s="0" t="n">
        <f aca="false">ROW()-1</f>
        <v>2411</v>
      </c>
      <c r="I2412" s="0" t="str">
        <f aca="false">IF(OR(הגדרות!$E$6=0,H2412&gt;הגדרות!$E$5),"",IF(H2412-1&lt;הגדרות!$E$8*(הגדרות!$E$7+1),INT((H2412-1)/(הגדרות!$E$7+1)),הגדרות!$E$8+INT((H2412-1-הגדרות!$E$8*(הגדרות!$E$7+1))/הגדרות!$E$7)))</f>
        <v/>
      </c>
      <c r="J2412" s="0" t="str">
        <f aca="false">IF(I2412="","",IF(H2412-1&lt;הגדרות!$E$8*(הגדרות!$E$7+1),MOD(H2412-1,הגדרות!$E$7+1),MOD(H2412-1-הגדרות!$E$8*(הגדרות!$E$7+1),הגדרות!$E$7)))</f>
        <v/>
      </c>
      <c r="K2412" s="0" t="str">
        <f aca="false">IF(I2412="","",J2412*הגדרות!$E$6+I2412+1)</f>
        <v/>
      </c>
      <c r="L2412" s="0" t="str">
        <f aca="false">IF(K2412="","",MATCH(K2412,$F$2:$F$5001,0))</f>
        <v/>
      </c>
      <c r="M2412" s="0" t="str">
        <f aca="false">IF(I2412="","",INDEX(הגדרות!$A$2:$A$21,MOD(I2412+הגדרות!$E$9,הגדרות!$E$6)+1))</f>
        <v/>
      </c>
    </row>
    <row r="2413" customFormat="false" ht="15" hidden="false" customHeight="false" outlineLevel="0" collapsed="false">
      <c r="A2413" s="0" t="str">
        <f aca="false">IF('הדבקת לידים'!A2413="","",IF(ISNUMBER('הדבקת לידים'!A2413),IF(הגדרות!$E$2&gt;0,TEXT('הדבקת לידים'!A2413,REPT("0",הגדרות!$E$2)),TEXT('הדבקת לידים'!A2413,"0")),TRIM('הדבקת לידים'!A2413)))</f>
        <v/>
      </c>
      <c r="B2413" s="0" t="str">
        <f aca="false">IF('הדבקת לידים'!B2413="","",IF(ISNUMBER('הדבקת לידים'!B2413),IF(הגדרות!$E$3&gt;0,TEXT('הדבקת לידים'!B2413,REPT("0",הגדרות!$E$3)),TEXT('הדבקת לידים'!B2413,"0")),TRIM('הדבקת לידים'!B2413)))</f>
        <v/>
      </c>
      <c r="C2413" s="0" t="n">
        <f aca="false">IF(OR(A2413&lt;&gt;"",B2413&lt;&gt;""),1,0)</f>
        <v>0</v>
      </c>
      <c r="D2413" s="0" t="str">
        <f aca="false">IF(C2413=1,MOD(ABS(SIN(ROW()*12.9898+'הדבקת לידים'!$F$2*78.233+IFERROR(--RIGHT(A2413,6),LEN(A2413))*0.0137+IFERROR(--RIGHT(B2413,6),LEN(B2413))*0.0071))*43758.5453,1),"")</f>
        <v/>
      </c>
      <c r="E2413" s="0" t="str">
        <f aca="false">IF(C2413=1,INT(MOD(ABS(SIN(D2413*7919.123+ROW()*0.618+'הדבקת לידים'!$F$2*1.3))*43758.5453,1)*1000000)*10000+ROW(),"")</f>
        <v/>
      </c>
      <c r="F2413" s="0" t="str">
        <f aca="false">IF(E2413="","",RANK(E2413,$E$2:$E$5001,1))</f>
        <v/>
      </c>
      <c r="G2413" s="0" t="n">
        <f aca="false">IF(A2413="",0,IF(SUMPRODUCT(--($A$2:$A$5001=A2413))&gt;1,1,0))</f>
        <v>0</v>
      </c>
      <c r="H2413" s="0" t="n">
        <f aca="false">ROW()-1</f>
        <v>2412</v>
      </c>
      <c r="I2413" s="0" t="str">
        <f aca="false">IF(OR(הגדרות!$E$6=0,H2413&gt;הגדרות!$E$5),"",IF(H2413-1&lt;הגדרות!$E$8*(הגדרות!$E$7+1),INT((H2413-1)/(הגדרות!$E$7+1)),הגדרות!$E$8+INT((H2413-1-הגדרות!$E$8*(הגדרות!$E$7+1))/הגדרות!$E$7)))</f>
        <v/>
      </c>
      <c r="J2413" s="0" t="str">
        <f aca="false">IF(I2413="","",IF(H2413-1&lt;הגדרות!$E$8*(הגדרות!$E$7+1),MOD(H2413-1,הגדרות!$E$7+1),MOD(H2413-1-הגדרות!$E$8*(הגדרות!$E$7+1),הגדרות!$E$7)))</f>
        <v/>
      </c>
      <c r="K2413" s="0" t="str">
        <f aca="false">IF(I2413="","",J2413*הגדרות!$E$6+I2413+1)</f>
        <v/>
      </c>
      <c r="L2413" s="0" t="str">
        <f aca="false">IF(K2413="","",MATCH(K2413,$F$2:$F$5001,0))</f>
        <v/>
      </c>
      <c r="M2413" s="0" t="str">
        <f aca="false">IF(I2413="","",INDEX(הגדרות!$A$2:$A$21,MOD(I2413+הגדרות!$E$9,הגדרות!$E$6)+1))</f>
        <v/>
      </c>
    </row>
    <row r="2414" customFormat="false" ht="15" hidden="false" customHeight="false" outlineLevel="0" collapsed="false">
      <c r="A2414" s="0" t="str">
        <f aca="false">IF('הדבקת לידים'!A2414="","",IF(ISNUMBER('הדבקת לידים'!A2414),IF(הגדרות!$E$2&gt;0,TEXT('הדבקת לידים'!A2414,REPT("0",הגדרות!$E$2)),TEXT('הדבקת לידים'!A2414,"0")),TRIM('הדבקת לידים'!A2414)))</f>
        <v/>
      </c>
      <c r="B2414" s="0" t="str">
        <f aca="false">IF('הדבקת לידים'!B2414="","",IF(ISNUMBER('הדבקת לידים'!B2414),IF(הגדרות!$E$3&gt;0,TEXT('הדבקת לידים'!B2414,REPT("0",הגדרות!$E$3)),TEXT('הדבקת לידים'!B2414,"0")),TRIM('הדבקת לידים'!B2414)))</f>
        <v/>
      </c>
      <c r="C2414" s="0" t="n">
        <f aca="false">IF(OR(A2414&lt;&gt;"",B2414&lt;&gt;""),1,0)</f>
        <v>0</v>
      </c>
      <c r="D2414" s="0" t="str">
        <f aca="false">IF(C2414=1,MOD(ABS(SIN(ROW()*12.9898+'הדבקת לידים'!$F$2*78.233+IFERROR(--RIGHT(A2414,6),LEN(A2414))*0.0137+IFERROR(--RIGHT(B2414,6),LEN(B2414))*0.0071))*43758.5453,1),"")</f>
        <v/>
      </c>
      <c r="E2414" s="0" t="str">
        <f aca="false">IF(C2414=1,INT(MOD(ABS(SIN(D2414*7919.123+ROW()*0.618+'הדבקת לידים'!$F$2*1.3))*43758.5453,1)*1000000)*10000+ROW(),"")</f>
        <v/>
      </c>
      <c r="F2414" s="0" t="str">
        <f aca="false">IF(E2414="","",RANK(E2414,$E$2:$E$5001,1))</f>
        <v/>
      </c>
      <c r="G2414" s="0" t="n">
        <f aca="false">IF(A2414="",0,IF(SUMPRODUCT(--($A$2:$A$5001=A2414))&gt;1,1,0))</f>
        <v>0</v>
      </c>
      <c r="H2414" s="0" t="n">
        <f aca="false">ROW()-1</f>
        <v>2413</v>
      </c>
      <c r="I2414" s="0" t="str">
        <f aca="false">IF(OR(הגדרות!$E$6=0,H2414&gt;הגדרות!$E$5),"",IF(H2414-1&lt;הגדרות!$E$8*(הגדרות!$E$7+1),INT((H2414-1)/(הגדרות!$E$7+1)),הגדרות!$E$8+INT((H2414-1-הגדרות!$E$8*(הגדרות!$E$7+1))/הגדרות!$E$7)))</f>
        <v/>
      </c>
      <c r="J2414" s="0" t="str">
        <f aca="false">IF(I2414="","",IF(H2414-1&lt;הגדרות!$E$8*(הגדרות!$E$7+1),MOD(H2414-1,הגדרות!$E$7+1),MOD(H2414-1-הגדרות!$E$8*(הגדרות!$E$7+1),הגדרות!$E$7)))</f>
        <v/>
      </c>
      <c r="K2414" s="0" t="str">
        <f aca="false">IF(I2414="","",J2414*הגדרות!$E$6+I2414+1)</f>
        <v/>
      </c>
      <c r="L2414" s="0" t="str">
        <f aca="false">IF(K2414="","",MATCH(K2414,$F$2:$F$5001,0))</f>
        <v/>
      </c>
      <c r="M2414" s="0" t="str">
        <f aca="false">IF(I2414="","",INDEX(הגדרות!$A$2:$A$21,MOD(I2414+הגדרות!$E$9,הגדרות!$E$6)+1))</f>
        <v/>
      </c>
    </row>
    <row r="2415" customFormat="false" ht="15" hidden="false" customHeight="false" outlineLevel="0" collapsed="false">
      <c r="A2415" s="0" t="str">
        <f aca="false">IF('הדבקת לידים'!A2415="","",IF(ISNUMBER('הדבקת לידים'!A2415),IF(הגדרות!$E$2&gt;0,TEXT('הדבקת לידים'!A2415,REPT("0",הגדרות!$E$2)),TEXT('הדבקת לידים'!A2415,"0")),TRIM('הדבקת לידים'!A2415)))</f>
        <v/>
      </c>
      <c r="B2415" s="0" t="str">
        <f aca="false">IF('הדבקת לידים'!B2415="","",IF(ISNUMBER('הדבקת לידים'!B2415),IF(הגדרות!$E$3&gt;0,TEXT('הדבקת לידים'!B2415,REPT("0",הגדרות!$E$3)),TEXT('הדבקת לידים'!B2415,"0")),TRIM('הדבקת לידים'!B2415)))</f>
        <v/>
      </c>
      <c r="C2415" s="0" t="n">
        <f aca="false">IF(OR(A2415&lt;&gt;"",B2415&lt;&gt;""),1,0)</f>
        <v>0</v>
      </c>
      <c r="D2415" s="0" t="str">
        <f aca="false">IF(C2415=1,MOD(ABS(SIN(ROW()*12.9898+'הדבקת לידים'!$F$2*78.233+IFERROR(--RIGHT(A2415,6),LEN(A2415))*0.0137+IFERROR(--RIGHT(B2415,6),LEN(B2415))*0.0071))*43758.5453,1),"")</f>
        <v/>
      </c>
      <c r="E2415" s="0" t="str">
        <f aca="false">IF(C2415=1,INT(MOD(ABS(SIN(D2415*7919.123+ROW()*0.618+'הדבקת לידים'!$F$2*1.3))*43758.5453,1)*1000000)*10000+ROW(),"")</f>
        <v/>
      </c>
      <c r="F2415" s="0" t="str">
        <f aca="false">IF(E2415="","",RANK(E2415,$E$2:$E$5001,1))</f>
        <v/>
      </c>
      <c r="G2415" s="0" t="n">
        <f aca="false">IF(A2415="",0,IF(SUMPRODUCT(--($A$2:$A$5001=A2415))&gt;1,1,0))</f>
        <v>0</v>
      </c>
      <c r="H2415" s="0" t="n">
        <f aca="false">ROW()-1</f>
        <v>2414</v>
      </c>
      <c r="I2415" s="0" t="str">
        <f aca="false">IF(OR(הגדרות!$E$6=0,H2415&gt;הגדרות!$E$5),"",IF(H2415-1&lt;הגדרות!$E$8*(הגדרות!$E$7+1),INT((H2415-1)/(הגדרות!$E$7+1)),הגדרות!$E$8+INT((H2415-1-הגדרות!$E$8*(הגדרות!$E$7+1))/הגדרות!$E$7)))</f>
        <v/>
      </c>
      <c r="J2415" s="0" t="str">
        <f aca="false">IF(I2415="","",IF(H2415-1&lt;הגדרות!$E$8*(הגדרות!$E$7+1),MOD(H2415-1,הגדרות!$E$7+1),MOD(H2415-1-הגדרות!$E$8*(הגדרות!$E$7+1),הגדרות!$E$7)))</f>
        <v/>
      </c>
      <c r="K2415" s="0" t="str">
        <f aca="false">IF(I2415="","",J2415*הגדרות!$E$6+I2415+1)</f>
        <v/>
      </c>
      <c r="L2415" s="0" t="str">
        <f aca="false">IF(K2415="","",MATCH(K2415,$F$2:$F$5001,0))</f>
        <v/>
      </c>
      <c r="M2415" s="0" t="str">
        <f aca="false">IF(I2415="","",INDEX(הגדרות!$A$2:$A$21,MOD(I2415+הגדרות!$E$9,הגדרות!$E$6)+1))</f>
        <v/>
      </c>
    </row>
    <row r="2416" customFormat="false" ht="15" hidden="false" customHeight="false" outlineLevel="0" collapsed="false">
      <c r="A2416" s="0" t="str">
        <f aca="false">IF('הדבקת לידים'!A2416="","",IF(ISNUMBER('הדבקת לידים'!A2416),IF(הגדרות!$E$2&gt;0,TEXT('הדבקת לידים'!A2416,REPT("0",הגדרות!$E$2)),TEXT('הדבקת לידים'!A2416,"0")),TRIM('הדבקת לידים'!A2416)))</f>
        <v/>
      </c>
      <c r="B2416" s="0" t="str">
        <f aca="false">IF('הדבקת לידים'!B2416="","",IF(ISNUMBER('הדבקת לידים'!B2416),IF(הגדרות!$E$3&gt;0,TEXT('הדבקת לידים'!B2416,REPT("0",הגדרות!$E$3)),TEXT('הדבקת לידים'!B2416,"0")),TRIM('הדבקת לידים'!B2416)))</f>
        <v/>
      </c>
      <c r="C2416" s="0" t="n">
        <f aca="false">IF(OR(A2416&lt;&gt;"",B2416&lt;&gt;""),1,0)</f>
        <v>0</v>
      </c>
      <c r="D2416" s="0" t="str">
        <f aca="false">IF(C2416=1,MOD(ABS(SIN(ROW()*12.9898+'הדבקת לידים'!$F$2*78.233+IFERROR(--RIGHT(A2416,6),LEN(A2416))*0.0137+IFERROR(--RIGHT(B2416,6),LEN(B2416))*0.0071))*43758.5453,1),"")</f>
        <v/>
      </c>
      <c r="E2416" s="0" t="str">
        <f aca="false">IF(C2416=1,INT(MOD(ABS(SIN(D2416*7919.123+ROW()*0.618+'הדבקת לידים'!$F$2*1.3))*43758.5453,1)*1000000)*10000+ROW(),"")</f>
        <v/>
      </c>
      <c r="F2416" s="0" t="str">
        <f aca="false">IF(E2416="","",RANK(E2416,$E$2:$E$5001,1))</f>
        <v/>
      </c>
      <c r="G2416" s="0" t="n">
        <f aca="false">IF(A2416="",0,IF(SUMPRODUCT(--($A$2:$A$5001=A2416))&gt;1,1,0))</f>
        <v>0</v>
      </c>
      <c r="H2416" s="0" t="n">
        <f aca="false">ROW()-1</f>
        <v>2415</v>
      </c>
      <c r="I2416" s="0" t="str">
        <f aca="false">IF(OR(הגדרות!$E$6=0,H2416&gt;הגדרות!$E$5),"",IF(H2416-1&lt;הגדרות!$E$8*(הגדרות!$E$7+1),INT((H2416-1)/(הגדרות!$E$7+1)),הגדרות!$E$8+INT((H2416-1-הגדרות!$E$8*(הגדרות!$E$7+1))/הגדרות!$E$7)))</f>
        <v/>
      </c>
      <c r="J2416" s="0" t="str">
        <f aca="false">IF(I2416="","",IF(H2416-1&lt;הגדרות!$E$8*(הגדרות!$E$7+1),MOD(H2416-1,הגדרות!$E$7+1),MOD(H2416-1-הגדרות!$E$8*(הגדרות!$E$7+1),הגדרות!$E$7)))</f>
        <v/>
      </c>
      <c r="K2416" s="0" t="str">
        <f aca="false">IF(I2416="","",J2416*הגדרות!$E$6+I2416+1)</f>
        <v/>
      </c>
      <c r="L2416" s="0" t="str">
        <f aca="false">IF(K2416="","",MATCH(K2416,$F$2:$F$5001,0))</f>
        <v/>
      </c>
      <c r="M2416" s="0" t="str">
        <f aca="false">IF(I2416="","",INDEX(הגדרות!$A$2:$A$21,MOD(I2416+הגדרות!$E$9,הגדרות!$E$6)+1))</f>
        <v/>
      </c>
    </row>
    <row r="2417" customFormat="false" ht="15" hidden="false" customHeight="false" outlineLevel="0" collapsed="false">
      <c r="A2417" s="0" t="str">
        <f aca="false">IF('הדבקת לידים'!A2417="","",IF(ISNUMBER('הדבקת לידים'!A2417),IF(הגדרות!$E$2&gt;0,TEXT('הדבקת לידים'!A2417,REPT("0",הגדרות!$E$2)),TEXT('הדבקת לידים'!A2417,"0")),TRIM('הדבקת לידים'!A2417)))</f>
        <v/>
      </c>
      <c r="B2417" s="0" t="str">
        <f aca="false">IF('הדבקת לידים'!B2417="","",IF(ISNUMBER('הדבקת לידים'!B2417),IF(הגדרות!$E$3&gt;0,TEXT('הדבקת לידים'!B2417,REPT("0",הגדרות!$E$3)),TEXT('הדבקת לידים'!B2417,"0")),TRIM('הדבקת לידים'!B2417)))</f>
        <v/>
      </c>
      <c r="C2417" s="0" t="n">
        <f aca="false">IF(OR(A2417&lt;&gt;"",B2417&lt;&gt;""),1,0)</f>
        <v>0</v>
      </c>
      <c r="D2417" s="0" t="str">
        <f aca="false">IF(C2417=1,MOD(ABS(SIN(ROW()*12.9898+'הדבקת לידים'!$F$2*78.233+IFERROR(--RIGHT(A2417,6),LEN(A2417))*0.0137+IFERROR(--RIGHT(B2417,6),LEN(B2417))*0.0071))*43758.5453,1),"")</f>
        <v/>
      </c>
      <c r="E2417" s="0" t="str">
        <f aca="false">IF(C2417=1,INT(MOD(ABS(SIN(D2417*7919.123+ROW()*0.618+'הדבקת לידים'!$F$2*1.3))*43758.5453,1)*1000000)*10000+ROW(),"")</f>
        <v/>
      </c>
      <c r="F2417" s="0" t="str">
        <f aca="false">IF(E2417="","",RANK(E2417,$E$2:$E$5001,1))</f>
        <v/>
      </c>
      <c r="G2417" s="0" t="n">
        <f aca="false">IF(A2417="",0,IF(SUMPRODUCT(--($A$2:$A$5001=A2417))&gt;1,1,0))</f>
        <v>0</v>
      </c>
      <c r="H2417" s="0" t="n">
        <f aca="false">ROW()-1</f>
        <v>2416</v>
      </c>
      <c r="I2417" s="0" t="str">
        <f aca="false">IF(OR(הגדרות!$E$6=0,H2417&gt;הגדרות!$E$5),"",IF(H2417-1&lt;הגדרות!$E$8*(הגדרות!$E$7+1),INT((H2417-1)/(הגדרות!$E$7+1)),הגדרות!$E$8+INT((H2417-1-הגדרות!$E$8*(הגדרות!$E$7+1))/הגדרות!$E$7)))</f>
        <v/>
      </c>
      <c r="J2417" s="0" t="str">
        <f aca="false">IF(I2417="","",IF(H2417-1&lt;הגדרות!$E$8*(הגדרות!$E$7+1),MOD(H2417-1,הגדרות!$E$7+1),MOD(H2417-1-הגדרות!$E$8*(הגדרות!$E$7+1),הגדרות!$E$7)))</f>
        <v/>
      </c>
      <c r="K2417" s="0" t="str">
        <f aca="false">IF(I2417="","",J2417*הגדרות!$E$6+I2417+1)</f>
        <v/>
      </c>
      <c r="L2417" s="0" t="str">
        <f aca="false">IF(K2417="","",MATCH(K2417,$F$2:$F$5001,0))</f>
        <v/>
      </c>
      <c r="M2417" s="0" t="str">
        <f aca="false">IF(I2417="","",INDEX(הגדרות!$A$2:$A$21,MOD(I2417+הגדרות!$E$9,הגדרות!$E$6)+1))</f>
        <v/>
      </c>
    </row>
    <row r="2418" customFormat="false" ht="15" hidden="false" customHeight="false" outlineLevel="0" collapsed="false">
      <c r="A2418" s="0" t="str">
        <f aca="false">IF('הדבקת לידים'!A2418="","",IF(ISNUMBER('הדבקת לידים'!A2418),IF(הגדרות!$E$2&gt;0,TEXT('הדבקת לידים'!A2418,REPT("0",הגדרות!$E$2)),TEXT('הדבקת לידים'!A2418,"0")),TRIM('הדבקת לידים'!A2418)))</f>
        <v/>
      </c>
      <c r="B2418" s="0" t="str">
        <f aca="false">IF('הדבקת לידים'!B2418="","",IF(ISNUMBER('הדבקת לידים'!B2418),IF(הגדרות!$E$3&gt;0,TEXT('הדבקת לידים'!B2418,REPT("0",הגדרות!$E$3)),TEXT('הדבקת לידים'!B2418,"0")),TRIM('הדבקת לידים'!B2418)))</f>
        <v/>
      </c>
      <c r="C2418" s="0" t="n">
        <f aca="false">IF(OR(A2418&lt;&gt;"",B2418&lt;&gt;""),1,0)</f>
        <v>0</v>
      </c>
      <c r="D2418" s="0" t="str">
        <f aca="false">IF(C2418=1,MOD(ABS(SIN(ROW()*12.9898+'הדבקת לידים'!$F$2*78.233+IFERROR(--RIGHT(A2418,6),LEN(A2418))*0.0137+IFERROR(--RIGHT(B2418,6),LEN(B2418))*0.0071))*43758.5453,1),"")</f>
        <v/>
      </c>
      <c r="E2418" s="0" t="str">
        <f aca="false">IF(C2418=1,INT(MOD(ABS(SIN(D2418*7919.123+ROW()*0.618+'הדבקת לידים'!$F$2*1.3))*43758.5453,1)*1000000)*10000+ROW(),"")</f>
        <v/>
      </c>
      <c r="F2418" s="0" t="str">
        <f aca="false">IF(E2418="","",RANK(E2418,$E$2:$E$5001,1))</f>
        <v/>
      </c>
      <c r="G2418" s="0" t="n">
        <f aca="false">IF(A2418="",0,IF(SUMPRODUCT(--($A$2:$A$5001=A2418))&gt;1,1,0))</f>
        <v>0</v>
      </c>
      <c r="H2418" s="0" t="n">
        <f aca="false">ROW()-1</f>
        <v>2417</v>
      </c>
      <c r="I2418" s="0" t="str">
        <f aca="false">IF(OR(הגדרות!$E$6=0,H2418&gt;הגדרות!$E$5),"",IF(H2418-1&lt;הגדרות!$E$8*(הגדרות!$E$7+1),INT((H2418-1)/(הגדרות!$E$7+1)),הגדרות!$E$8+INT((H2418-1-הגדרות!$E$8*(הגדרות!$E$7+1))/הגדרות!$E$7)))</f>
        <v/>
      </c>
      <c r="J2418" s="0" t="str">
        <f aca="false">IF(I2418="","",IF(H2418-1&lt;הגדרות!$E$8*(הגדרות!$E$7+1),MOD(H2418-1,הגדרות!$E$7+1),MOD(H2418-1-הגדרות!$E$8*(הגדרות!$E$7+1),הגדרות!$E$7)))</f>
        <v/>
      </c>
      <c r="K2418" s="0" t="str">
        <f aca="false">IF(I2418="","",J2418*הגדרות!$E$6+I2418+1)</f>
        <v/>
      </c>
      <c r="L2418" s="0" t="str">
        <f aca="false">IF(K2418="","",MATCH(K2418,$F$2:$F$5001,0))</f>
        <v/>
      </c>
      <c r="M2418" s="0" t="str">
        <f aca="false">IF(I2418="","",INDEX(הגדרות!$A$2:$A$21,MOD(I2418+הגדרות!$E$9,הגדרות!$E$6)+1))</f>
        <v/>
      </c>
    </row>
    <row r="2419" customFormat="false" ht="15" hidden="false" customHeight="false" outlineLevel="0" collapsed="false">
      <c r="A2419" s="0" t="str">
        <f aca="false">IF('הדבקת לידים'!A2419="","",IF(ISNUMBER('הדבקת לידים'!A2419),IF(הגדרות!$E$2&gt;0,TEXT('הדבקת לידים'!A2419,REPT("0",הגדרות!$E$2)),TEXT('הדבקת לידים'!A2419,"0")),TRIM('הדבקת לידים'!A2419)))</f>
        <v/>
      </c>
      <c r="B2419" s="0" t="str">
        <f aca="false">IF('הדבקת לידים'!B2419="","",IF(ISNUMBER('הדבקת לידים'!B2419),IF(הגדרות!$E$3&gt;0,TEXT('הדבקת לידים'!B2419,REPT("0",הגדרות!$E$3)),TEXT('הדבקת לידים'!B2419,"0")),TRIM('הדבקת לידים'!B2419)))</f>
        <v/>
      </c>
      <c r="C2419" s="0" t="n">
        <f aca="false">IF(OR(A2419&lt;&gt;"",B2419&lt;&gt;""),1,0)</f>
        <v>0</v>
      </c>
      <c r="D2419" s="0" t="str">
        <f aca="false">IF(C2419=1,MOD(ABS(SIN(ROW()*12.9898+'הדבקת לידים'!$F$2*78.233+IFERROR(--RIGHT(A2419,6),LEN(A2419))*0.0137+IFERROR(--RIGHT(B2419,6),LEN(B2419))*0.0071))*43758.5453,1),"")</f>
        <v/>
      </c>
      <c r="E2419" s="0" t="str">
        <f aca="false">IF(C2419=1,INT(MOD(ABS(SIN(D2419*7919.123+ROW()*0.618+'הדבקת לידים'!$F$2*1.3))*43758.5453,1)*1000000)*10000+ROW(),"")</f>
        <v/>
      </c>
      <c r="F2419" s="0" t="str">
        <f aca="false">IF(E2419="","",RANK(E2419,$E$2:$E$5001,1))</f>
        <v/>
      </c>
      <c r="G2419" s="0" t="n">
        <f aca="false">IF(A2419="",0,IF(SUMPRODUCT(--($A$2:$A$5001=A2419))&gt;1,1,0))</f>
        <v>0</v>
      </c>
      <c r="H2419" s="0" t="n">
        <f aca="false">ROW()-1</f>
        <v>2418</v>
      </c>
      <c r="I2419" s="0" t="str">
        <f aca="false">IF(OR(הגדרות!$E$6=0,H2419&gt;הגדרות!$E$5),"",IF(H2419-1&lt;הגדרות!$E$8*(הגדרות!$E$7+1),INT((H2419-1)/(הגדרות!$E$7+1)),הגדרות!$E$8+INT((H2419-1-הגדרות!$E$8*(הגדרות!$E$7+1))/הגדרות!$E$7)))</f>
        <v/>
      </c>
      <c r="J2419" s="0" t="str">
        <f aca="false">IF(I2419="","",IF(H2419-1&lt;הגדרות!$E$8*(הגדרות!$E$7+1),MOD(H2419-1,הגדרות!$E$7+1),MOD(H2419-1-הגדרות!$E$8*(הגדרות!$E$7+1),הגדרות!$E$7)))</f>
        <v/>
      </c>
      <c r="K2419" s="0" t="str">
        <f aca="false">IF(I2419="","",J2419*הגדרות!$E$6+I2419+1)</f>
        <v/>
      </c>
      <c r="L2419" s="0" t="str">
        <f aca="false">IF(K2419="","",MATCH(K2419,$F$2:$F$5001,0))</f>
        <v/>
      </c>
      <c r="M2419" s="0" t="str">
        <f aca="false">IF(I2419="","",INDEX(הגדרות!$A$2:$A$21,MOD(I2419+הגדרות!$E$9,הגדרות!$E$6)+1))</f>
        <v/>
      </c>
    </row>
    <row r="2420" customFormat="false" ht="15" hidden="false" customHeight="false" outlineLevel="0" collapsed="false">
      <c r="A2420" s="0" t="str">
        <f aca="false">IF('הדבקת לידים'!A2420="","",IF(ISNUMBER('הדבקת לידים'!A2420),IF(הגדרות!$E$2&gt;0,TEXT('הדבקת לידים'!A2420,REPT("0",הגדרות!$E$2)),TEXT('הדבקת לידים'!A2420,"0")),TRIM('הדבקת לידים'!A2420)))</f>
        <v/>
      </c>
      <c r="B2420" s="0" t="str">
        <f aca="false">IF('הדבקת לידים'!B2420="","",IF(ISNUMBER('הדבקת לידים'!B2420),IF(הגדרות!$E$3&gt;0,TEXT('הדבקת לידים'!B2420,REPT("0",הגדרות!$E$3)),TEXT('הדבקת לידים'!B2420,"0")),TRIM('הדבקת לידים'!B2420)))</f>
        <v/>
      </c>
      <c r="C2420" s="0" t="n">
        <f aca="false">IF(OR(A2420&lt;&gt;"",B2420&lt;&gt;""),1,0)</f>
        <v>0</v>
      </c>
      <c r="D2420" s="0" t="str">
        <f aca="false">IF(C2420=1,MOD(ABS(SIN(ROW()*12.9898+'הדבקת לידים'!$F$2*78.233+IFERROR(--RIGHT(A2420,6),LEN(A2420))*0.0137+IFERROR(--RIGHT(B2420,6),LEN(B2420))*0.0071))*43758.5453,1),"")</f>
        <v/>
      </c>
      <c r="E2420" s="0" t="str">
        <f aca="false">IF(C2420=1,INT(MOD(ABS(SIN(D2420*7919.123+ROW()*0.618+'הדבקת לידים'!$F$2*1.3))*43758.5453,1)*1000000)*10000+ROW(),"")</f>
        <v/>
      </c>
      <c r="F2420" s="0" t="str">
        <f aca="false">IF(E2420="","",RANK(E2420,$E$2:$E$5001,1))</f>
        <v/>
      </c>
      <c r="G2420" s="0" t="n">
        <f aca="false">IF(A2420="",0,IF(SUMPRODUCT(--($A$2:$A$5001=A2420))&gt;1,1,0))</f>
        <v>0</v>
      </c>
      <c r="H2420" s="0" t="n">
        <f aca="false">ROW()-1</f>
        <v>2419</v>
      </c>
      <c r="I2420" s="0" t="str">
        <f aca="false">IF(OR(הגדרות!$E$6=0,H2420&gt;הגדרות!$E$5),"",IF(H2420-1&lt;הגדרות!$E$8*(הגדרות!$E$7+1),INT((H2420-1)/(הגדרות!$E$7+1)),הגדרות!$E$8+INT((H2420-1-הגדרות!$E$8*(הגדרות!$E$7+1))/הגדרות!$E$7)))</f>
        <v/>
      </c>
      <c r="J2420" s="0" t="str">
        <f aca="false">IF(I2420="","",IF(H2420-1&lt;הגדרות!$E$8*(הגדרות!$E$7+1),MOD(H2420-1,הגדרות!$E$7+1),MOD(H2420-1-הגדרות!$E$8*(הגדרות!$E$7+1),הגדרות!$E$7)))</f>
        <v/>
      </c>
      <c r="K2420" s="0" t="str">
        <f aca="false">IF(I2420="","",J2420*הגדרות!$E$6+I2420+1)</f>
        <v/>
      </c>
      <c r="L2420" s="0" t="str">
        <f aca="false">IF(K2420="","",MATCH(K2420,$F$2:$F$5001,0))</f>
        <v/>
      </c>
      <c r="M2420" s="0" t="str">
        <f aca="false">IF(I2420="","",INDEX(הגדרות!$A$2:$A$21,MOD(I2420+הגדרות!$E$9,הגדרות!$E$6)+1))</f>
        <v/>
      </c>
    </row>
    <row r="2421" customFormat="false" ht="15" hidden="false" customHeight="false" outlineLevel="0" collapsed="false">
      <c r="A2421" s="0" t="str">
        <f aca="false">IF('הדבקת לידים'!A2421="","",IF(ISNUMBER('הדבקת לידים'!A2421),IF(הגדרות!$E$2&gt;0,TEXT('הדבקת לידים'!A2421,REPT("0",הגדרות!$E$2)),TEXT('הדבקת לידים'!A2421,"0")),TRIM('הדבקת לידים'!A2421)))</f>
        <v/>
      </c>
      <c r="B2421" s="0" t="str">
        <f aca="false">IF('הדבקת לידים'!B2421="","",IF(ISNUMBER('הדבקת לידים'!B2421),IF(הגדרות!$E$3&gt;0,TEXT('הדבקת לידים'!B2421,REPT("0",הגדרות!$E$3)),TEXT('הדבקת לידים'!B2421,"0")),TRIM('הדבקת לידים'!B2421)))</f>
        <v/>
      </c>
      <c r="C2421" s="0" t="n">
        <f aca="false">IF(OR(A2421&lt;&gt;"",B2421&lt;&gt;""),1,0)</f>
        <v>0</v>
      </c>
      <c r="D2421" s="0" t="str">
        <f aca="false">IF(C2421=1,MOD(ABS(SIN(ROW()*12.9898+'הדבקת לידים'!$F$2*78.233+IFERROR(--RIGHT(A2421,6),LEN(A2421))*0.0137+IFERROR(--RIGHT(B2421,6),LEN(B2421))*0.0071))*43758.5453,1),"")</f>
        <v/>
      </c>
      <c r="E2421" s="0" t="str">
        <f aca="false">IF(C2421=1,INT(MOD(ABS(SIN(D2421*7919.123+ROW()*0.618+'הדבקת לידים'!$F$2*1.3))*43758.5453,1)*1000000)*10000+ROW(),"")</f>
        <v/>
      </c>
      <c r="F2421" s="0" t="str">
        <f aca="false">IF(E2421="","",RANK(E2421,$E$2:$E$5001,1))</f>
        <v/>
      </c>
      <c r="G2421" s="0" t="n">
        <f aca="false">IF(A2421="",0,IF(SUMPRODUCT(--($A$2:$A$5001=A2421))&gt;1,1,0))</f>
        <v>0</v>
      </c>
      <c r="H2421" s="0" t="n">
        <f aca="false">ROW()-1</f>
        <v>2420</v>
      </c>
      <c r="I2421" s="0" t="str">
        <f aca="false">IF(OR(הגדרות!$E$6=0,H2421&gt;הגדרות!$E$5),"",IF(H2421-1&lt;הגדרות!$E$8*(הגדרות!$E$7+1),INT((H2421-1)/(הגדרות!$E$7+1)),הגדרות!$E$8+INT((H2421-1-הגדרות!$E$8*(הגדרות!$E$7+1))/הגדרות!$E$7)))</f>
        <v/>
      </c>
      <c r="J2421" s="0" t="str">
        <f aca="false">IF(I2421="","",IF(H2421-1&lt;הגדרות!$E$8*(הגדרות!$E$7+1),MOD(H2421-1,הגדרות!$E$7+1),MOD(H2421-1-הגדרות!$E$8*(הגדרות!$E$7+1),הגדרות!$E$7)))</f>
        <v/>
      </c>
      <c r="K2421" s="0" t="str">
        <f aca="false">IF(I2421="","",J2421*הגדרות!$E$6+I2421+1)</f>
        <v/>
      </c>
      <c r="L2421" s="0" t="str">
        <f aca="false">IF(K2421="","",MATCH(K2421,$F$2:$F$5001,0))</f>
        <v/>
      </c>
      <c r="M2421" s="0" t="str">
        <f aca="false">IF(I2421="","",INDEX(הגדרות!$A$2:$A$21,MOD(I2421+הגדרות!$E$9,הגדרות!$E$6)+1))</f>
        <v/>
      </c>
    </row>
    <row r="2422" customFormat="false" ht="15" hidden="false" customHeight="false" outlineLevel="0" collapsed="false">
      <c r="A2422" s="0" t="str">
        <f aca="false">IF('הדבקת לידים'!A2422="","",IF(ISNUMBER('הדבקת לידים'!A2422),IF(הגדרות!$E$2&gt;0,TEXT('הדבקת לידים'!A2422,REPT("0",הגדרות!$E$2)),TEXT('הדבקת לידים'!A2422,"0")),TRIM('הדבקת לידים'!A2422)))</f>
        <v/>
      </c>
      <c r="B2422" s="0" t="str">
        <f aca="false">IF('הדבקת לידים'!B2422="","",IF(ISNUMBER('הדבקת לידים'!B2422),IF(הגדרות!$E$3&gt;0,TEXT('הדבקת לידים'!B2422,REPT("0",הגדרות!$E$3)),TEXT('הדבקת לידים'!B2422,"0")),TRIM('הדבקת לידים'!B2422)))</f>
        <v/>
      </c>
      <c r="C2422" s="0" t="n">
        <f aca="false">IF(OR(A2422&lt;&gt;"",B2422&lt;&gt;""),1,0)</f>
        <v>0</v>
      </c>
      <c r="D2422" s="0" t="str">
        <f aca="false">IF(C2422=1,MOD(ABS(SIN(ROW()*12.9898+'הדבקת לידים'!$F$2*78.233+IFERROR(--RIGHT(A2422,6),LEN(A2422))*0.0137+IFERROR(--RIGHT(B2422,6),LEN(B2422))*0.0071))*43758.5453,1),"")</f>
        <v/>
      </c>
      <c r="E2422" s="0" t="str">
        <f aca="false">IF(C2422=1,INT(MOD(ABS(SIN(D2422*7919.123+ROW()*0.618+'הדבקת לידים'!$F$2*1.3))*43758.5453,1)*1000000)*10000+ROW(),"")</f>
        <v/>
      </c>
      <c r="F2422" s="0" t="str">
        <f aca="false">IF(E2422="","",RANK(E2422,$E$2:$E$5001,1))</f>
        <v/>
      </c>
      <c r="G2422" s="0" t="n">
        <f aca="false">IF(A2422="",0,IF(SUMPRODUCT(--($A$2:$A$5001=A2422))&gt;1,1,0))</f>
        <v>0</v>
      </c>
      <c r="H2422" s="0" t="n">
        <f aca="false">ROW()-1</f>
        <v>2421</v>
      </c>
      <c r="I2422" s="0" t="str">
        <f aca="false">IF(OR(הגדרות!$E$6=0,H2422&gt;הגדרות!$E$5),"",IF(H2422-1&lt;הגדרות!$E$8*(הגדרות!$E$7+1),INT((H2422-1)/(הגדרות!$E$7+1)),הגדרות!$E$8+INT((H2422-1-הגדרות!$E$8*(הגדרות!$E$7+1))/הגדרות!$E$7)))</f>
        <v/>
      </c>
      <c r="J2422" s="0" t="str">
        <f aca="false">IF(I2422="","",IF(H2422-1&lt;הגדרות!$E$8*(הגדרות!$E$7+1),MOD(H2422-1,הגדרות!$E$7+1),MOD(H2422-1-הגדרות!$E$8*(הגדרות!$E$7+1),הגדרות!$E$7)))</f>
        <v/>
      </c>
      <c r="K2422" s="0" t="str">
        <f aca="false">IF(I2422="","",J2422*הגדרות!$E$6+I2422+1)</f>
        <v/>
      </c>
      <c r="L2422" s="0" t="str">
        <f aca="false">IF(K2422="","",MATCH(K2422,$F$2:$F$5001,0))</f>
        <v/>
      </c>
      <c r="M2422" s="0" t="str">
        <f aca="false">IF(I2422="","",INDEX(הגדרות!$A$2:$A$21,MOD(I2422+הגדרות!$E$9,הגדרות!$E$6)+1))</f>
        <v/>
      </c>
    </row>
    <row r="2423" customFormat="false" ht="15" hidden="false" customHeight="false" outlineLevel="0" collapsed="false">
      <c r="A2423" s="0" t="str">
        <f aca="false">IF('הדבקת לידים'!A2423="","",IF(ISNUMBER('הדבקת לידים'!A2423),IF(הגדרות!$E$2&gt;0,TEXT('הדבקת לידים'!A2423,REPT("0",הגדרות!$E$2)),TEXT('הדבקת לידים'!A2423,"0")),TRIM('הדבקת לידים'!A2423)))</f>
        <v/>
      </c>
      <c r="B2423" s="0" t="str">
        <f aca="false">IF('הדבקת לידים'!B2423="","",IF(ISNUMBER('הדבקת לידים'!B2423),IF(הגדרות!$E$3&gt;0,TEXT('הדבקת לידים'!B2423,REPT("0",הגדרות!$E$3)),TEXT('הדבקת לידים'!B2423,"0")),TRIM('הדבקת לידים'!B2423)))</f>
        <v/>
      </c>
      <c r="C2423" s="0" t="n">
        <f aca="false">IF(OR(A2423&lt;&gt;"",B2423&lt;&gt;""),1,0)</f>
        <v>0</v>
      </c>
      <c r="D2423" s="0" t="str">
        <f aca="false">IF(C2423=1,MOD(ABS(SIN(ROW()*12.9898+'הדבקת לידים'!$F$2*78.233+IFERROR(--RIGHT(A2423,6),LEN(A2423))*0.0137+IFERROR(--RIGHT(B2423,6),LEN(B2423))*0.0071))*43758.5453,1),"")</f>
        <v/>
      </c>
      <c r="E2423" s="0" t="str">
        <f aca="false">IF(C2423=1,INT(MOD(ABS(SIN(D2423*7919.123+ROW()*0.618+'הדבקת לידים'!$F$2*1.3))*43758.5453,1)*1000000)*10000+ROW(),"")</f>
        <v/>
      </c>
      <c r="F2423" s="0" t="str">
        <f aca="false">IF(E2423="","",RANK(E2423,$E$2:$E$5001,1))</f>
        <v/>
      </c>
      <c r="G2423" s="0" t="n">
        <f aca="false">IF(A2423="",0,IF(SUMPRODUCT(--($A$2:$A$5001=A2423))&gt;1,1,0))</f>
        <v>0</v>
      </c>
      <c r="H2423" s="0" t="n">
        <f aca="false">ROW()-1</f>
        <v>2422</v>
      </c>
      <c r="I2423" s="0" t="str">
        <f aca="false">IF(OR(הגדרות!$E$6=0,H2423&gt;הגדרות!$E$5),"",IF(H2423-1&lt;הגדרות!$E$8*(הגדרות!$E$7+1),INT((H2423-1)/(הגדרות!$E$7+1)),הגדרות!$E$8+INT((H2423-1-הגדרות!$E$8*(הגדרות!$E$7+1))/הגדרות!$E$7)))</f>
        <v/>
      </c>
      <c r="J2423" s="0" t="str">
        <f aca="false">IF(I2423="","",IF(H2423-1&lt;הגדרות!$E$8*(הגדרות!$E$7+1),MOD(H2423-1,הגדרות!$E$7+1),MOD(H2423-1-הגדרות!$E$8*(הגדרות!$E$7+1),הגדרות!$E$7)))</f>
        <v/>
      </c>
      <c r="K2423" s="0" t="str">
        <f aca="false">IF(I2423="","",J2423*הגדרות!$E$6+I2423+1)</f>
        <v/>
      </c>
      <c r="L2423" s="0" t="str">
        <f aca="false">IF(K2423="","",MATCH(K2423,$F$2:$F$5001,0))</f>
        <v/>
      </c>
      <c r="M2423" s="0" t="str">
        <f aca="false">IF(I2423="","",INDEX(הגדרות!$A$2:$A$21,MOD(I2423+הגדרות!$E$9,הגדרות!$E$6)+1))</f>
        <v/>
      </c>
    </row>
    <row r="2424" customFormat="false" ht="15" hidden="false" customHeight="false" outlineLevel="0" collapsed="false">
      <c r="A2424" s="0" t="str">
        <f aca="false">IF('הדבקת לידים'!A2424="","",IF(ISNUMBER('הדבקת לידים'!A2424),IF(הגדרות!$E$2&gt;0,TEXT('הדבקת לידים'!A2424,REPT("0",הגדרות!$E$2)),TEXT('הדבקת לידים'!A2424,"0")),TRIM('הדבקת לידים'!A2424)))</f>
        <v/>
      </c>
      <c r="B2424" s="0" t="str">
        <f aca="false">IF('הדבקת לידים'!B2424="","",IF(ISNUMBER('הדבקת לידים'!B2424),IF(הגדרות!$E$3&gt;0,TEXT('הדבקת לידים'!B2424,REPT("0",הגדרות!$E$3)),TEXT('הדבקת לידים'!B2424,"0")),TRIM('הדבקת לידים'!B2424)))</f>
        <v/>
      </c>
      <c r="C2424" s="0" t="n">
        <f aca="false">IF(OR(A2424&lt;&gt;"",B2424&lt;&gt;""),1,0)</f>
        <v>0</v>
      </c>
      <c r="D2424" s="0" t="str">
        <f aca="false">IF(C2424=1,MOD(ABS(SIN(ROW()*12.9898+'הדבקת לידים'!$F$2*78.233+IFERROR(--RIGHT(A2424,6),LEN(A2424))*0.0137+IFERROR(--RIGHT(B2424,6),LEN(B2424))*0.0071))*43758.5453,1),"")</f>
        <v/>
      </c>
      <c r="E2424" s="0" t="str">
        <f aca="false">IF(C2424=1,INT(MOD(ABS(SIN(D2424*7919.123+ROW()*0.618+'הדבקת לידים'!$F$2*1.3))*43758.5453,1)*1000000)*10000+ROW(),"")</f>
        <v/>
      </c>
      <c r="F2424" s="0" t="str">
        <f aca="false">IF(E2424="","",RANK(E2424,$E$2:$E$5001,1))</f>
        <v/>
      </c>
      <c r="G2424" s="0" t="n">
        <f aca="false">IF(A2424="",0,IF(SUMPRODUCT(--($A$2:$A$5001=A2424))&gt;1,1,0))</f>
        <v>0</v>
      </c>
      <c r="H2424" s="0" t="n">
        <f aca="false">ROW()-1</f>
        <v>2423</v>
      </c>
      <c r="I2424" s="0" t="str">
        <f aca="false">IF(OR(הגדרות!$E$6=0,H2424&gt;הגדרות!$E$5),"",IF(H2424-1&lt;הגדרות!$E$8*(הגדרות!$E$7+1),INT((H2424-1)/(הגדרות!$E$7+1)),הגדרות!$E$8+INT((H2424-1-הגדרות!$E$8*(הגדרות!$E$7+1))/הגדרות!$E$7)))</f>
        <v/>
      </c>
      <c r="J2424" s="0" t="str">
        <f aca="false">IF(I2424="","",IF(H2424-1&lt;הגדרות!$E$8*(הגדרות!$E$7+1),MOD(H2424-1,הגדרות!$E$7+1),MOD(H2424-1-הגדרות!$E$8*(הגדרות!$E$7+1),הגדרות!$E$7)))</f>
        <v/>
      </c>
      <c r="K2424" s="0" t="str">
        <f aca="false">IF(I2424="","",J2424*הגדרות!$E$6+I2424+1)</f>
        <v/>
      </c>
      <c r="L2424" s="0" t="str">
        <f aca="false">IF(K2424="","",MATCH(K2424,$F$2:$F$5001,0))</f>
        <v/>
      </c>
      <c r="M2424" s="0" t="str">
        <f aca="false">IF(I2424="","",INDEX(הגדרות!$A$2:$A$21,MOD(I2424+הגדרות!$E$9,הגדרות!$E$6)+1))</f>
        <v/>
      </c>
    </row>
    <row r="2425" customFormat="false" ht="15" hidden="false" customHeight="false" outlineLevel="0" collapsed="false">
      <c r="A2425" s="0" t="str">
        <f aca="false">IF('הדבקת לידים'!A2425="","",IF(ISNUMBER('הדבקת לידים'!A2425),IF(הגדרות!$E$2&gt;0,TEXT('הדבקת לידים'!A2425,REPT("0",הגדרות!$E$2)),TEXT('הדבקת לידים'!A2425,"0")),TRIM('הדבקת לידים'!A2425)))</f>
        <v/>
      </c>
      <c r="B2425" s="0" t="str">
        <f aca="false">IF('הדבקת לידים'!B2425="","",IF(ISNUMBER('הדבקת לידים'!B2425),IF(הגדרות!$E$3&gt;0,TEXT('הדבקת לידים'!B2425,REPT("0",הגדרות!$E$3)),TEXT('הדבקת לידים'!B2425,"0")),TRIM('הדבקת לידים'!B2425)))</f>
        <v/>
      </c>
      <c r="C2425" s="0" t="n">
        <f aca="false">IF(OR(A2425&lt;&gt;"",B2425&lt;&gt;""),1,0)</f>
        <v>0</v>
      </c>
      <c r="D2425" s="0" t="str">
        <f aca="false">IF(C2425=1,MOD(ABS(SIN(ROW()*12.9898+'הדבקת לידים'!$F$2*78.233+IFERROR(--RIGHT(A2425,6),LEN(A2425))*0.0137+IFERROR(--RIGHT(B2425,6),LEN(B2425))*0.0071))*43758.5453,1),"")</f>
        <v/>
      </c>
      <c r="E2425" s="0" t="str">
        <f aca="false">IF(C2425=1,INT(MOD(ABS(SIN(D2425*7919.123+ROW()*0.618+'הדבקת לידים'!$F$2*1.3))*43758.5453,1)*1000000)*10000+ROW(),"")</f>
        <v/>
      </c>
      <c r="F2425" s="0" t="str">
        <f aca="false">IF(E2425="","",RANK(E2425,$E$2:$E$5001,1))</f>
        <v/>
      </c>
      <c r="G2425" s="0" t="n">
        <f aca="false">IF(A2425="",0,IF(SUMPRODUCT(--($A$2:$A$5001=A2425))&gt;1,1,0))</f>
        <v>0</v>
      </c>
      <c r="H2425" s="0" t="n">
        <f aca="false">ROW()-1</f>
        <v>2424</v>
      </c>
      <c r="I2425" s="0" t="str">
        <f aca="false">IF(OR(הגדרות!$E$6=0,H2425&gt;הגדרות!$E$5),"",IF(H2425-1&lt;הגדרות!$E$8*(הגדרות!$E$7+1),INT((H2425-1)/(הגדרות!$E$7+1)),הגדרות!$E$8+INT((H2425-1-הגדרות!$E$8*(הגדרות!$E$7+1))/הגדרות!$E$7)))</f>
        <v/>
      </c>
      <c r="J2425" s="0" t="str">
        <f aca="false">IF(I2425="","",IF(H2425-1&lt;הגדרות!$E$8*(הגדרות!$E$7+1),MOD(H2425-1,הגדרות!$E$7+1),MOD(H2425-1-הגדרות!$E$8*(הגדרות!$E$7+1),הגדרות!$E$7)))</f>
        <v/>
      </c>
      <c r="K2425" s="0" t="str">
        <f aca="false">IF(I2425="","",J2425*הגדרות!$E$6+I2425+1)</f>
        <v/>
      </c>
      <c r="L2425" s="0" t="str">
        <f aca="false">IF(K2425="","",MATCH(K2425,$F$2:$F$5001,0))</f>
        <v/>
      </c>
      <c r="M2425" s="0" t="str">
        <f aca="false">IF(I2425="","",INDEX(הגדרות!$A$2:$A$21,MOD(I2425+הגדרות!$E$9,הגדרות!$E$6)+1))</f>
        <v/>
      </c>
    </row>
    <row r="2426" customFormat="false" ht="15" hidden="false" customHeight="false" outlineLevel="0" collapsed="false">
      <c r="A2426" s="0" t="str">
        <f aca="false">IF('הדבקת לידים'!A2426="","",IF(ISNUMBER('הדבקת לידים'!A2426),IF(הגדרות!$E$2&gt;0,TEXT('הדבקת לידים'!A2426,REPT("0",הגדרות!$E$2)),TEXT('הדבקת לידים'!A2426,"0")),TRIM('הדבקת לידים'!A2426)))</f>
        <v/>
      </c>
      <c r="B2426" s="0" t="str">
        <f aca="false">IF('הדבקת לידים'!B2426="","",IF(ISNUMBER('הדבקת לידים'!B2426),IF(הגדרות!$E$3&gt;0,TEXT('הדבקת לידים'!B2426,REPT("0",הגדרות!$E$3)),TEXT('הדבקת לידים'!B2426,"0")),TRIM('הדבקת לידים'!B2426)))</f>
        <v/>
      </c>
      <c r="C2426" s="0" t="n">
        <f aca="false">IF(OR(A2426&lt;&gt;"",B2426&lt;&gt;""),1,0)</f>
        <v>0</v>
      </c>
      <c r="D2426" s="0" t="str">
        <f aca="false">IF(C2426=1,MOD(ABS(SIN(ROW()*12.9898+'הדבקת לידים'!$F$2*78.233+IFERROR(--RIGHT(A2426,6),LEN(A2426))*0.0137+IFERROR(--RIGHT(B2426,6),LEN(B2426))*0.0071))*43758.5453,1),"")</f>
        <v/>
      </c>
      <c r="E2426" s="0" t="str">
        <f aca="false">IF(C2426=1,INT(MOD(ABS(SIN(D2426*7919.123+ROW()*0.618+'הדבקת לידים'!$F$2*1.3))*43758.5453,1)*1000000)*10000+ROW(),"")</f>
        <v/>
      </c>
      <c r="F2426" s="0" t="str">
        <f aca="false">IF(E2426="","",RANK(E2426,$E$2:$E$5001,1))</f>
        <v/>
      </c>
      <c r="G2426" s="0" t="n">
        <f aca="false">IF(A2426="",0,IF(SUMPRODUCT(--($A$2:$A$5001=A2426))&gt;1,1,0))</f>
        <v>0</v>
      </c>
      <c r="H2426" s="0" t="n">
        <f aca="false">ROW()-1</f>
        <v>2425</v>
      </c>
      <c r="I2426" s="0" t="str">
        <f aca="false">IF(OR(הגדרות!$E$6=0,H2426&gt;הגדרות!$E$5),"",IF(H2426-1&lt;הגדרות!$E$8*(הגדרות!$E$7+1),INT((H2426-1)/(הגדרות!$E$7+1)),הגדרות!$E$8+INT((H2426-1-הגדרות!$E$8*(הגדרות!$E$7+1))/הגדרות!$E$7)))</f>
        <v/>
      </c>
      <c r="J2426" s="0" t="str">
        <f aca="false">IF(I2426="","",IF(H2426-1&lt;הגדרות!$E$8*(הגדרות!$E$7+1),MOD(H2426-1,הגדרות!$E$7+1),MOD(H2426-1-הגדרות!$E$8*(הגדרות!$E$7+1),הגדרות!$E$7)))</f>
        <v/>
      </c>
      <c r="K2426" s="0" t="str">
        <f aca="false">IF(I2426="","",J2426*הגדרות!$E$6+I2426+1)</f>
        <v/>
      </c>
      <c r="L2426" s="0" t="str">
        <f aca="false">IF(K2426="","",MATCH(K2426,$F$2:$F$5001,0))</f>
        <v/>
      </c>
      <c r="M2426" s="0" t="str">
        <f aca="false">IF(I2426="","",INDEX(הגדרות!$A$2:$A$21,MOD(I2426+הגדרות!$E$9,הגדרות!$E$6)+1))</f>
        <v/>
      </c>
    </row>
    <row r="2427" customFormat="false" ht="15" hidden="false" customHeight="false" outlineLevel="0" collapsed="false">
      <c r="A2427" s="0" t="str">
        <f aca="false">IF('הדבקת לידים'!A2427="","",IF(ISNUMBER('הדבקת לידים'!A2427),IF(הגדרות!$E$2&gt;0,TEXT('הדבקת לידים'!A2427,REPT("0",הגדרות!$E$2)),TEXT('הדבקת לידים'!A2427,"0")),TRIM('הדבקת לידים'!A2427)))</f>
        <v/>
      </c>
      <c r="B2427" s="0" t="str">
        <f aca="false">IF('הדבקת לידים'!B2427="","",IF(ISNUMBER('הדבקת לידים'!B2427),IF(הגדרות!$E$3&gt;0,TEXT('הדבקת לידים'!B2427,REPT("0",הגדרות!$E$3)),TEXT('הדבקת לידים'!B2427,"0")),TRIM('הדבקת לידים'!B2427)))</f>
        <v/>
      </c>
      <c r="C2427" s="0" t="n">
        <f aca="false">IF(OR(A2427&lt;&gt;"",B2427&lt;&gt;""),1,0)</f>
        <v>0</v>
      </c>
      <c r="D2427" s="0" t="str">
        <f aca="false">IF(C2427=1,MOD(ABS(SIN(ROW()*12.9898+'הדבקת לידים'!$F$2*78.233+IFERROR(--RIGHT(A2427,6),LEN(A2427))*0.0137+IFERROR(--RIGHT(B2427,6),LEN(B2427))*0.0071))*43758.5453,1),"")</f>
        <v/>
      </c>
      <c r="E2427" s="0" t="str">
        <f aca="false">IF(C2427=1,INT(MOD(ABS(SIN(D2427*7919.123+ROW()*0.618+'הדבקת לידים'!$F$2*1.3))*43758.5453,1)*1000000)*10000+ROW(),"")</f>
        <v/>
      </c>
      <c r="F2427" s="0" t="str">
        <f aca="false">IF(E2427="","",RANK(E2427,$E$2:$E$5001,1))</f>
        <v/>
      </c>
      <c r="G2427" s="0" t="n">
        <f aca="false">IF(A2427="",0,IF(SUMPRODUCT(--($A$2:$A$5001=A2427))&gt;1,1,0))</f>
        <v>0</v>
      </c>
      <c r="H2427" s="0" t="n">
        <f aca="false">ROW()-1</f>
        <v>2426</v>
      </c>
      <c r="I2427" s="0" t="str">
        <f aca="false">IF(OR(הגדרות!$E$6=0,H2427&gt;הגדרות!$E$5),"",IF(H2427-1&lt;הגדרות!$E$8*(הגדרות!$E$7+1),INT((H2427-1)/(הגדרות!$E$7+1)),הגדרות!$E$8+INT((H2427-1-הגדרות!$E$8*(הגדרות!$E$7+1))/הגדרות!$E$7)))</f>
        <v/>
      </c>
      <c r="J2427" s="0" t="str">
        <f aca="false">IF(I2427="","",IF(H2427-1&lt;הגדרות!$E$8*(הגדרות!$E$7+1),MOD(H2427-1,הגדרות!$E$7+1),MOD(H2427-1-הגדרות!$E$8*(הגדרות!$E$7+1),הגדרות!$E$7)))</f>
        <v/>
      </c>
      <c r="K2427" s="0" t="str">
        <f aca="false">IF(I2427="","",J2427*הגדרות!$E$6+I2427+1)</f>
        <v/>
      </c>
      <c r="L2427" s="0" t="str">
        <f aca="false">IF(K2427="","",MATCH(K2427,$F$2:$F$5001,0))</f>
        <v/>
      </c>
      <c r="M2427" s="0" t="str">
        <f aca="false">IF(I2427="","",INDEX(הגדרות!$A$2:$A$21,MOD(I2427+הגדרות!$E$9,הגדרות!$E$6)+1))</f>
        <v/>
      </c>
    </row>
    <row r="2428" customFormat="false" ht="15" hidden="false" customHeight="false" outlineLevel="0" collapsed="false">
      <c r="A2428" s="0" t="str">
        <f aca="false">IF('הדבקת לידים'!A2428="","",IF(ISNUMBER('הדבקת לידים'!A2428),IF(הגדרות!$E$2&gt;0,TEXT('הדבקת לידים'!A2428,REPT("0",הגדרות!$E$2)),TEXT('הדבקת לידים'!A2428,"0")),TRIM('הדבקת לידים'!A2428)))</f>
        <v/>
      </c>
      <c r="B2428" s="0" t="str">
        <f aca="false">IF('הדבקת לידים'!B2428="","",IF(ISNUMBER('הדבקת לידים'!B2428),IF(הגדרות!$E$3&gt;0,TEXT('הדבקת לידים'!B2428,REPT("0",הגדרות!$E$3)),TEXT('הדבקת לידים'!B2428,"0")),TRIM('הדבקת לידים'!B2428)))</f>
        <v/>
      </c>
      <c r="C2428" s="0" t="n">
        <f aca="false">IF(OR(A2428&lt;&gt;"",B2428&lt;&gt;""),1,0)</f>
        <v>0</v>
      </c>
      <c r="D2428" s="0" t="str">
        <f aca="false">IF(C2428=1,MOD(ABS(SIN(ROW()*12.9898+'הדבקת לידים'!$F$2*78.233+IFERROR(--RIGHT(A2428,6),LEN(A2428))*0.0137+IFERROR(--RIGHT(B2428,6),LEN(B2428))*0.0071))*43758.5453,1),"")</f>
        <v/>
      </c>
      <c r="E2428" s="0" t="str">
        <f aca="false">IF(C2428=1,INT(MOD(ABS(SIN(D2428*7919.123+ROW()*0.618+'הדבקת לידים'!$F$2*1.3))*43758.5453,1)*1000000)*10000+ROW(),"")</f>
        <v/>
      </c>
      <c r="F2428" s="0" t="str">
        <f aca="false">IF(E2428="","",RANK(E2428,$E$2:$E$5001,1))</f>
        <v/>
      </c>
      <c r="G2428" s="0" t="n">
        <f aca="false">IF(A2428="",0,IF(SUMPRODUCT(--($A$2:$A$5001=A2428))&gt;1,1,0))</f>
        <v>0</v>
      </c>
      <c r="H2428" s="0" t="n">
        <f aca="false">ROW()-1</f>
        <v>2427</v>
      </c>
      <c r="I2428" s="0" t="str">
        <f aca="false">IF(OR(הגדרות!$E$6=0,H2428&gt;הגדרות!$E$5),"",IF(H2428-1&lt;הגדרות!$E$8*(הגדרות!$E$7+1),INT((H2428-1)/(הגדרות!$E$7+1)),הגדרות!$E$8+INT((H2428-1-הגדרות!$E$8*(הגדרות!$E$7+1))/הגדרות!$E$7)))</f>
        <v/>
      </c>
      <c r="J2428" s="0" t="str">
        <f aca="false">IF(I2428="","",IF(H2428-1&lt;הגדרות!$E$8*(הגדרות!$E$7+1),MOD(H2428-1,הגדרות!$E$7+1),MOD(H2428-1-הגדרות!$E$8*(הגדרות!$E$7+1),הגדרות!$E$7)))</f>
        <v/>
      </c>
      <c r="K2428" s="0" t="str">
        <f aca="false">IF(I2428="","",J2428*הגדרות!$E$6+I2428+1)</f>
        <v/>
      </c>
      <c r="L2428" s="0" t="str">
        <f aca="false">IF(K2428="","",MATCH(K2428,$F$2:$F$5001,0))</f>
        <v/>
      </c>
      <c r="M2428" s="0" t="str">
        <f aca="false">IF(I2428="","",INDEX(הגדרות!$A$2:$A$21,MOD(I2428+הגדרות!$E$9,הגדרות!$E$6)+1))</f>
        <v/>
      </c>
    </row>
    <row r="2429" customFormat="false" ht="15" hidden="false" customHeight="false" outlineLevel="0" collapsed="false">
      <c r="A2429" s="0" t="str">
        <f aca="false">IF('הדבקת לידים'!A2429="","",IF(ISNUMBER('הדבקת לידים'!A2429),IF(הגדרות!$E$2&gt;0,TEXT('הדבקת לידים'!A2429,REPT("0",הגדרות!$E$2)),TEXT('הדבקת לידים'!A2429,"0")),TRIM('הדבקת לידים'!A2429)))</f>
        <v/>
      </c>
      <c r="B2429" s="0" t="str">
        <f aca="false">IF('הדבקת לידים'!B2429="","",IF(ISNUMBER('הדבקת לידים'!B2429),IF(הגדרות!$E$3&gt;0,TEXT('הדבקת לידים'!B2429,REPT("0",הגדרות!$E$3)),TEXT('הדבקת לידים'!B2429,"0")),TRIM('הדבקת לידים'!B2429)))</f>
        <v/>
      </c>
      <c r="C2429" s="0" t="n">
        <f aca="false">IF(OR(A2429&lt;&gt;"",B2429&lt;&gt;""),1,0)</f>
        <v>0</v>
      </c>
      <c r="D2429" s="0" t="str">
        <f aca="false">IF(C2429=1,MOD(ABS(SIN(ROW()*12.9898+'הדבקת לידים'!$F$2*78.233+IFERROR(--RIGHT(A2429,6),LEN(A2429))*0.0137+IFERROR(--RIGHT(B2429,6),LEN(B2429))*0.0071))*43758.5453,1),"")</f>
        <v/>
      </c>
      <c r="E2429" s="0" t="str">
        <f aca="false">IF(C2429=1,INT(MOD(ABS(SIN(D2429*7919.123+ROW()*0.618+'הדבקת לידים'!$F$2*1.3))*43758.5453,1)*1000000)*10000+ROW(),"")</f>
        <v/>
      </c>
      <c r="F2429" s="0" t="str">
        <f aca="false">IF(E2429="","",RANK(E2429,$E$2:$E$5001,1))</f>
        <v/>
      </c>
      <c r="G2429" s="0" t="n">
        <f aca="false">IF(A2429="",0,IF(SUMPRODUCT(--($A$2:$A$5001=A2429))&gt;1,1,0))</f>
        <v>0</v>
      </c>
      <c r="H2429" s="0" t="n">
        <f aca="false">ROW()-1</f>
        <v>2428</v>
      </c>
      <c r="I2429" s="0" t="str">
        <f aca="false">IF(OR(הגדרות!$E$6=0,H2429&gt;הגדרות!$E$5),"",IF(H2429-1&lt;הגדרות!$E$8*(הגדרות!$E$7+1),INT((H2429-1)/(הגדרות!$E$7+1)),הגדרות!$E$8+INT((H2429-1-הגדרות!$E$8*(הגדרות!$E$7+1))/הגדרות!$E$7)))</f>
        <v/>
      </c>
      <c r="J2429" s="0" t="str">
        <f aca="false">IF(I2429="","",IF(H2429-1&lt;הגדרות!$E$8*(הגדרות!$E$7+1),MOD(H2429-1,הגדרות!$E$7+1),MOD(H2429-1-הגדרות!$E$8*(הגדרות!$E$7+1),הגדרות!$E$7)))</f>
        <v/>
      </c>
      <c r="K2429" s="0" t="str">
        <f aca="false">IF(I2429="","",J2429*הגדרות!$E$6+I2429+1)</f>
        <v/>
      </c>
      <c r="L2429" s="0" t="str">
        <f aca="false">IF(K2429="","",MATCH(K2429,$F$2:$F$5001,0))</f>
        <v/>
      </c>
      <c r="M2429" s="0" t="str">
        <f aca="false">IF(I2429="","",INDEX(הגדרות!$A$2:$A$21,MOD(I2429+הגדרות!$E$9,הגדרות!$E$6)+1))</f>
        <v/>
      </c>
    </row>
    <row r="2430" customFormat="false" ht="15" hidden="false" customHeight="false" outlineLevel="0" collapsed="false">
      <c r="A2430" s="0" t="str">
        <f aca="false">IF('הדבקת לידים'!A2430="","",IF(ISNUMBER('הדבקת לידים'!A2430),IF(הגדרות!$E$2&gt;0,TEXT('הדבקת לידים'!A2430,REPT("0",הגדרות!$E$2)),TEXT('הדבקת לידים'!A2430,"0")),TRIM('הדבקת לידים'!A2430)))</f>
        <v/>
      </c>
      <c r="B2430" s="0" t="str">
        <f aca="false">IF('הדבקת לידים'!B2430="","",IF(ISNUMBER('הדבקת לידים'!B2430),IF(הגדרות!$E$3&gt;0,TEXT('הדבקת לידים'!B2430,REPT("0",הגדרות!$E$3)),TEXT('הדבקת לידים'!B2430,"0")),TRIM('הדבקת לידים'!B2430)))</f>
        <v/>
      </c>
      <c r="C2430" s="0" t="n">
        <f aca="false">IF(OR(A2430&lt;&gt;"",B2430&lt;&gt;""),1,0)</f>
        <v>0</v>
      </c>
      <c r="D2430" s="0" t="str">
        <f aca="false">IF(C2430=1,MOD(ABS(SIN(ROW()*12.9898+'הדבקת לידים'!$F$2*78.233+IFERROR(--RIGHT(A2430,6),LEN(A2430))*0.0137+IFERROR(--RIGHT(B2430,6),LEN(B2430))*0.0071))*43758.5453,1),"")</f>
        <v/>
      </c>
      <c r="E2430" s="0" t="str">
        <f aca="false">IF(C2430=1,INT(MOD(ABS(SIN(D2430*7919.123+ROW()*0.618+'הדבקת לידים'!$F$2*1.3))*43758.5453,1)*1000000)*10000+ROW(),"")</f>
        <v/>
      </c>
      <c r="F2430" s="0" t="str">
        <f aca="false">IF(E2430="","",RANK(E2430,$E$2:$E$5001,1))</f>
        <v/>
      </c>
      <c r="G2430" s="0" t="n">
        <f aca="false">IF(A2430="",0,IF(SUMPRODUCT(--($A$2:$A$5001=A2430))&gt;1,1,0))</f>
        <v>0</v>
      </c>
      <c r="H2430" s="0" t="n">
        <f aca="false">ROW()-1</f>
        <v>2429</v>
      </c>
      <c r="I2430" s="0" t="str">
        <f aca="false">IF(OR(הגדרות!$E$6=0,H2430&gt;הגדרות!$E$5),"",IF(H2430-1&lt;הגדרות!$E$8*(הגדרות!$E$7+1),INT((H2430-1)/(הגדרות!$E$7+1)),הגדרות!$E$8+INT((H2430-1-הגדרות!$E$8*(הגדרות!$E$7+1))/הגדרות!$E$7)))</f>
        <v/>
      </c>
      <c r="J2430" s="0" t="str">
        <f aca="false">IF(I2430="","",IF(H2430-1&lt;הגדרות!$E$8*(הגדרות!$E$7+1),MOD(H2430-1,הגדרות!$E$7+1),MOD(H2430-1-הגדרות!$E$8*(הגדרות!$E$7+1),הגדרות!$E$7)))</f>
        <v/>
      </c>
      <c r="K2430" s="0" t="str">
        <f aca="false">IF(I2430="","",J2430*הגדרות!$E$6+I2430+1)</f>
        <v/>
      </c>
      <c r="L2430" s="0" t="str">
        <f aca="false">IF(K2430="","",MATCH(K2430,$F$2:$F$5001,0))</f>
        <v/>
      </c>
      <c r="M2430" s="0" t="str">
        <f aca="false">IF(I2430="","",INDEX(הגדרות!$A$2:$A$21,MOD(I2430+הגדרות!$E$9,הגדרות!$E$6)+1))</f>
        <v/>
      </c>
    </row>
    <row r="2431" customFormat="false" ht="15" hidden="false" customHeight="false" outlineLevel="0" collapsed="false">
      <c r="A2431" s="0" t="str">
        <f aca="false">IF('הדבקת לידים'!A2431="","",IF(ISNUMBER('הדבקת לידים'!A2431),IF(הגדרות!$E$2&gt;0,TEXT('הדבקת לידים'!A2431,REPT("0",הגדרות!$E$2)),TEXT('הדבקת לידים'!A2431,"0")),TRIM('הדבקת לידים'!A2431)))</f>
        <v/>
      </c>
      <c r="B2431" s="0" t="str">
        <f aca="false">IF('הדבקת לידים'!B2431="","",IF(ISNUMBER('הדבקת לידים'!B2431),IF(הגדרות!$E$3&gt;0,TEXT('הדבקת לידים'!B2431,REPT("0",הגדרות!$E$3)),TEXT('הדבקת לידים'!B2431,"0")),TRIM('הדבקת לידים'!B2431)))</f>
        <v/>
      </c>
      <c r="C2431" s="0" t="n">
        <f aca="false">IF(OR(A2431&lt;&gt;"",B2431&lt;&gt;""),1,0)</f>
        <v>0</v>
      </c>
      <c r="D2431" s="0" t="str">
        <f aca="false">IF(C2431=1,MOD(ABS(SIN(ROW()*12.9898+'הדבקת לידים'!$F$2*78.233+IFERROR(--RIGHT(A2431,6),LEN(A2431))*0.0137+IFERROR(--RIGHT(B2431,6),LEN(B2431))*0.0071))*43758.5453,1),"")</f>
        <v/>
      </c>
      <c r="E2431" s="0" t="str">
        <f aca="false">IF(C2431=1,INT(MOD(ABS(SIN(D2431*7919.123+ROW()*0.618+'הדבקת לידים'!$F$2*1.3))*43758.5453,1)*1000000)*10000+ROW(),"")</f>
        <v/>
      </c>
      <c r="F2431" s="0" t="str">
        <f aca="false">IF(E2431="","",RANK(E2431,$E$2:$E$5001,1))</f>
        <v/>
      </c>
      <c r="G2431" s="0" t="n">
        <f aca="false">IF(A2431="",0,IF(SUMPRODUCT(--($A$2:$A$5001=A2431))&gt;1,1,0))</f>
        <v>0</v>
      </c>
      <c r="H2431" s="0" t="n">
        <f aca="false">ROW()-1</f>
        <v>2430</v>
      </c>
      <c r="I2431" s="0" t="str">
        <f aca="false">IF(OR(הגדרות!$E$6=0,H2431&gt;הגדרות!$E$5),"",IF(H2431-1&lt;הגדרות!$E$8*(הגדרות!$E$7+1),INT((H2431-1)/(הגדרות!$E$7+1)),הגדרות!$E$8+INT((H2431-1-הגדרות!$E$8*(הגדרות!$E$7+1))/הגדרות!$E$7)))</f>
        <v/>
      </c>
      <c r="J2431" s="0" t="str">
        <f aca="false">IF(I2431="","",IF(H2431-1&lt;הגדרות!$E$8*(הגדרות!$E$7+1),MOD(H2431-1,הגדרות!$E$7+1),MOD(H2431-1-הגדרות!$E$8*(הגדרות!$E$7+1),הגדרות!$E$7)))</f>
        <v/>
      </c>
      <c r="K2431" s="0" t="str">
        <f aca="false">IF(I2431="","",J2431*הגדרות!$E$6+I2431+1)</f>
        <v/>
      </c>
      <c r="L2431" s="0" t="str">
        <f aca="false">IF(K2431="","",MATCH(K2431,$F$2:$F$5001,0))</f>
        <v/>
      </c>
      <c r="M2431" s="0" t="str">
        <f aca="false">IF(I2431="","",INDEX(הגדרות!$A$2:$A$21,MOD(I2431+הגדרות!$E$9,הגדרות!$E$6)+1))</f>
        <v/>
      </c>
    </row>
    <row r="2432" customFormat="false" ht="15" hidden="false" customHeight="false" outlineLevel="0" collapsed="false">
      <c r="A2432" s="0" t="str">
        <f aca="false">IF('הדבקת לידים'!A2432="","",IF(ISNUMBER('הדבקת לידים'!A2432),IF(הגדרות!$E$2&gt;0,TEXT('הדבקת לידים'!A2432,REPT("0",הגדרות!$E$2)),TEXT('הדבקת לידים'!A2432,"0")),TRIM('הדבקת לידים'!A2432)))</f>
        <v/>
      </c>
      <c r="B2432" s="0" t="str">
        <f aca="false">IF('הדבקת לידים'!B2432="","",IF(ISNUMBER('הדבקת לידים'!B2432),IF(הגדרות!$E$3&gt;0,TEXT('הדבקת לידים'!B2432,REPT("0",הגדרות!$E$3)),TEXT('הדבקת לידים'!B2432,"0")),TRIM('הדבקת לידים'!B2432)))</f>
        <v/>
      </c>
      <c r="C2432" s="0" t="n">
        <f aca="false">IF(OR(A2432&lt;&gt;"",B2432&lt;&gt;""),1,0)</f>
        <v>0</v>
      </c>
      <c r="D2432" s="0" t="str">
        <f aca="false">IF(C2432=1,MOD(ABS(SIN(ROW()*12.9898+'הדבקת לידים'!$F$2*78.233+IFERROR(--RIGHT(A2432,6),LEN(A2432))*0.0137+IFERROR(--RIGHT(B2432,6),LEN(B2432))*0.0071))*43758.5453,1),"")</f>
        <v/>
      </c>
      <c r="E2432" s="0" t="str">
        <f aca="false">IF(C2432=1,INT(MOD(ABS(SIN(D2432*7919.123+ROW()*0.618+'הדבקת לידים'!$F$2*1.3))*43758.5453,1)*1000000)*10000+ROW(),"")</f>
        <v/>
      </c>
      <c r="F2432" s="0" t="str">
        <f aca="false">IF(E2432="","",RANK(E2432,$E$2:$E$5001,1))</f>
        <v/>
      </c>
      <c r="G2432" s="0" t="n">
        <f aca="false">IF(A2432="",0,IF(SUMPRODUCT(--($A$2:$A$5001=A2432))&gt;1,1,0))</f>
        <v>0</v>
      </c>
      <c r="H2432" s="0" t="n">
        <f aca="false">ROW()-1</f>
        <v>2431</v>
      </c>
      <c r="I2432" s="0" t="str">
        <f aca="false">IF(OR(הגדרות!$E$6=0,H2432&gt;הגדרות!$E$5),"",IF(H2432-1&lt;הגדרות!$E$8*(הגדרות!$E$7+1),INT((H2432-1)/(הגדרות!$E$7+1)),הגדרות!$E$8+INT((H2432-1-הגדרות!$E$8*(הגדרות!$E$7+1))/הגדרות!$E$7)))</f>
        <v/>
      </c>
      <c r="J2432" s="0" t="str">
        <f aca="false">IF(I2432="","",IF(H2432-1&lt;הגדרות!$E$8*(הגדרות!$E$7+1),MOD(H2432-1,הגדרות!$E$7+1),MOD(H2432-1-הגדרות!$E$8*(הגדרות!$E$7+1),הגדרות!$E$7)))</f>
        <v/>
      </c>
      <c r="K2432" s="0" t="str">
        <f aca="false">IF(I2432="","",J2432*הגדרות!$E$6+I2432+1)</f>
        <v/>
      </c>
      <c r="L2432" s="0" t="str">
        <f aca="false">IF(K2432="","",MATCH(K2432,$F$2:$F$5001,0))</f>
        <v/>
      </c>
      <c r="M2432" s="0" t="str">
        <f aca="false">IF(I2432="","",INDEX(הגדרות!$A$2:$A$21,MOD(I2432+הגדרות!$E$9,הגדרות!$E$6)+1))</f>
        <v/>
      </c>
    </row>
    <row r="2433" customFormat="false" ht="15" hidden="false" customHeight="false" outlineLevel="0" collapsed="false">
      <c r="A2433" s="0" t="str">
        <f aca="false">IF('הדבקת לידים'!A2433="","",IF(ISNUMBER('הדבקת לידים'!A2433),IF(הגדרות!$E$2&gt;0,TEXT('הדבקת לידים'!A2433,REPT("0",הגדרות!$E$2)),TEXT('הדבקת לידים'!A2433,"0")),TRIM('הדבקת לידים'!A2433)))</f>
        <v/>
      </c>
      <c r="B2433" s="0" t="str">
        <f aca="false">IF('הדבקת לידים'!B2433="","",IF(ISNUMBER('הדבקת לידים'!B2433),IF(הגדרות!$E$3&gt;0,TEXT('הדבקת לידים'!B2433,REPT("0",הגדרות!$E$3)),TEXT('הדבקת לידים'!B2433,"0")),TRIM('הדבקת לידים'!B2433)))</f>
        <v/>
      </c>
      <c r="C2433" s="0" t="n">
        <f aca="false">IF(OR(A2433&lt;&gt;"",B2433&lt;&gt;""),1,0)</f>
        <v>0</v>
      </c>
      <c r="D2433" s="0" t="str">
        <f aca="false">IF(C2433=1,MOD(ABS(SIN(ROW()*12.9898+'הדבקת לידים'!$F$2*78.233+IFERROR(--RIGHT(A2433,6),LEN(A2433))*0.0137+IFERROR(--RIGHT(B2433,6),LEN(B2433))*0.0071))*43758.5453,1),"")</f>
        <v/>
      </c>
      <c r="E2433" s="0" t="str">
        <f aca="false">IF(C2433=1,INT(MOD(ABS(SIN(D2433*7919.123+ROW()*0.618+'הדבקת לידים'!$F$2*1.3))*43758.5453,1)*1000000)*10000+ROW(),"")</f>
        <v/>
      </c>
      <c r="F2433" s="0" t="str">
        <f aca="false">IF(E2433="","",RANK(E2433,$E$2:$E$5001,1))</f>
        <v/>
      </c>
      <c r="G2433" s="0" t="n">
        <f aca="false">IF(A2433="",0,IF(SUMPRODUCT(--($A$2:$A$5001=A2433))&gt;1,1,0))</f>
        <v>0</v>
      </c>
      <c r="H2433" s="0" t="n">
        <f aca="false">ROW()-1</f>
        <v>2432</v>
      </c>
      <c r="I2433" s="0" t="str">
        <f aca="false">IF(OR(הגדרות!$E$6=0,H2433&gt;הגדרות!$E$5),"",IF(H2433-1&lt;הגדרות!$E$8*(הגדרות!$E$7+1),INT((H2433-1)/(הגדרות!$E$7+1)),הגדרות!$E$8+INT((H2433-1-הגדרות!$E$8*(הגדרות!$E$7+1))/הגדרות!$E$7)))</f>
        <v/>
      </c>
      <c r="J2433" s="0" t="str">
        <f aca="false">IF(I2433="","",IF(H2433-1&lt;הגדרות!$E$8*(הגדרות!$E$7+1),MOD(H2433-1,הגדרות!$E$7+1),MOD(H2433-1-הגדרות!$E$8*(הגדרות!$E$7+1),הגדרות!$E$7)))</f>
        <v/>
      </c>
      <c r="K2433" s="0" t="str">
        <f aca="false">IF(I2433="","",J2433*הגדרות!$E$6+I2433+1)</f>
        <v/>
      </c>
      <c r="L2433" s="0" t="str">
        <f aca="false">IF(K2433="","",MATCH(K2433,$F$2:$F$5001,0))</f>
        <v/>
      </c>
      <c r="M2433" s="0" t="str">
        <f aca="false">IF(I2433="","",INDEX(הגדרות!$A$2:$A$21,MOD(I2433+הגדרות!$E$9,הגדרות!$E$6)+1))</f>
        <v/>
      </c>
    </row>
    <row r="2434" customFormat="false" ht="15" hidden="false" customHeight="false" outlineLevel="0" collapsed="false">
      <c r="A2434" s="0" t="str">
        <f aca="false">IF('הדבקת לידים'!A2434="","",IF(ISNUMBER('הדבקת לידים'!A2434),IF(הגדרות!$E$2&gt;0,TEXT('הדבקת לידים'!A2434,REPT("0",הגדרות!$E$2)),TEXT('הדבקת לידים'!A2434,"0")),TRIM('הדבקת לידים'!A2434)))</f>
        <v/>
      </c>
      <c r="B2434" s="0" t="str">
        <f aca="false">IF('הדבקת לידים'!B2434="","",IF(ISNUMBER('הדבקת לידים'!B2434),IF(הגדרות!$E$3&gt;0,TEXT('הדבקת לידים'!B2434,REPT("0",הגדרות!$E$3)),TEXT('הדבקת לידים'!B2434,"0")),TRIM('הדבקת לידים'!B2434)))</f>
        <v/>
      </c>
      <c r="C2434" s="0" t="n">
        <f aca="false">IF(OR(A2434&lt;&gt;"",B2434&lt;&gt;""),1,0)</f>
        <v>0</v>
      </c>
      <c r="D2434" s="0" t="str">
        <f aca="false">IF(C2434=1,MOD(ABS(SIN(ROW()*12.9898+'הדבקת לידים'!$F$2*78.233+IFERROR(--RIGHT(A2434,6),LEN(A2434))*0.0137+IFERROR(--RIGHT(B2434,6),LEN(B2434))*0.0071))*43758.5453,1),"")</f>
        <v/>
      </c>
      <c r="E2434" s="0" t="str">
        <f aca="false">IF(C2434=1,INT(MOD(ABS(SIN(D2434*7919.123+ROW()*0.618+'הדבקת לידים'!$F$2*1.3))*43758.5453,1)*1000000)*10000+ROW(),"")</f>
        <v/>
      </c>
      <c r="F2434" s="0" t="str">
        <f aca="false">IF(E2434="","",RANK(E2434,$E$2:$E$5001,1))</f>
        <v/>
      </c>
      <c r="G2434" s="0" t="n">
        <f aca="false">IF(A2434="",0,IF(SUMPRODUCT(--($A$2:$A$5001=A2434))&gt;1,1,0))</f>
        <v>0</v>
      </c>
      <c r="H2434" s="0" t="n">
        <f aca="false">ROW()-1</f>
        <v>2433</v>
      </c>
      <c r="I2434" s="0" t="str">
        <f aca="false">IF(OR(הגדרות!$E$6=0,H2434&gt;הגדרות!$E$5),"",IF(H2434-1&lt;הגדרות!$E$8*(הגדרות!$E$7+1),INT((H2434-1)/(הגדרות!$E$7+1)),הגדרות!$E$8+INT((H2434-1-הגדרות!$E$8*(הגדרות!$E$7+1))/הגדרות!$E$7)))</f>
        <v/>
      </c>
      <c r="J2434" s="0" t="str">
        <f aca="false">IF(I2434="","",IF(H2434-1&lt;הגדרות!$E$8*(הגדרות!$E$7+1),MOD(H2434-1,הגדרות!$E$7+1),MOD(H2434-1-הגדרות!$E$8*(הגדרות!$E$7+1),הגדרות!$E$7)))</f>
        <v/>
      </c>
      <c r="K2434" s="0" t="str">
        <f aca="false">IF(I2434="","",J2434*הגדרות!$E$6+I2434+1)</f>
        <v/>
      </c>
      <c r="L2434" s="0" t="str">
        <f aca="false">IF(K2434="","",MATCH(K2434,$F$2:$F$5001,0))</f>
        <v/>
      </c>
      <c r="M2434" s="0" t="str">
        <f aca="false">IF(I2434="","",INDEX(הגדרות!$A$2:$A$21,MOD(I2434+הגדרות!$E$9,הגדרות!$E$6)+1))</f>
        <v/>
      </c>
    </row>
    <row r="2435" customFormat="false" ht="15" hidden="false" customHeight="false" outlineLevel="0" collapsed="false">
      <c r="A2435" s="0" t="str">
        <f aca="false">IF('הדבקת לידים'!A2435="","",IF(ISNUMBER('הדבקת לידים'!A2435),IF(הגדרות!$E$2&gt;0,TEXT('הדבקת לידים'!A2435,REPT("0",הגדרות!$E$2)),TEXT('הדבקת לידים'!A2435,"0")),TRIM('הדבקת לידים'!A2435)))</f>
        <v/>
      </c>
      <c r="B2435" s="0" t="str">
        <f aca="false">IF('הדבקת לידים'!B2435="","",IF(ISNUMBER('הדבקת לידים'!B2435),IF(הגדרות!$E$3&gt;0,TEXT('הדבקת לידים'!B2435,REPT("0",הגדרות!$E$3)),TEXT('הדבקת לידים'!B2435,"0")),TRIM('הדבקת לידים'!B2435)))</f>
        <v/>
      </c>
      <c r="C2435" s="0" t="n">
        <f aca="false">IF(OR(A2435&lt;&gt;"",B2435&lt;&gt;""),1,0)</f>
        <v>0</v>
      </c>
      <c r="D2435" s="0" t="str">
        <f aca="false">IF(C2435=1,MOD(ABS(SIN(ROW()*12.9898+'הדבקת לידים'!$F$2*78.233+IFERROR(--RIGHT(A2435,6),LEN(A2435))*0.0137+IFERROR(--RIGHT(B2435,6),LEN(B2435))*0.0071))*43758.5453,1),"")</f>
        <v/>
      </c>
      <c r="E2435" s="0" t="str">
        <f aca="false">IF(C2435=1,INT(MOD(ABS(SIN(D2435*7919.123+ROW()*0.618+'הדבקת לידים'!$F$2*1.3))*43758.5453,1)*1000000)*10000+ROW(),"")</f>
        <v/>
      </c>
      <c r="F2435" s="0" t="str">
        <f aca="false">IF(E2435="","",RANK(E2435,$E$2:$E$5001,1))</f>
        <v/>
      </c>
      <c r="G2435" s="0" t="n">
        <f aca="false">IF(A2435="",0,IF(SUMPRODUCT(--($A$2:$A$5001=A2435))&gt;1,1,0))</f>
        <v>0</v>
      </c>
      <c r="H2435" s="0" t="n">
        <f aca="false">ROW()-1</f>
        <v>2434</v>
      </c>
      <c r="I2435" s="0" t="str">
        <f aca="false">IF(OR(הגדרות!$E$6=0,H2435&gt;הגדרות!$E$5),"",IF(H2435-1&lt;הגדרות!$E$8*(הגדרות!$E$7+1),INT((H2435-1)/(הגדרות!$E$7+1)),הגדרות!$E$8+INT((H2435-1-הגדרות!$E$8*(הגדרות!$E$7+1))/הגדרות!$E$7)))</f>
        <v/>
      </c>
      <c r="J2435" s="0" t="str">
        <f aca="false">IF(I2435="","",IF(H2435-1&lt;הגדרות!$E$8*(הגדרות!$E$7+1),MOD(H2435-1,הגדרות!$E$7+1),MOD(H2435-1-הגדרות!$E$8*(הגדרות!$E$7+1),הגדרות!$E$7)))</f>
        <v/>
      </c>
      <c r="K2435" s="0" t="str">
        <f aca="false">IF(I2435="","",J2435*הגדרות!$E$6+I2435+1)</f>
        <v/>
      </c>
      <c r="L2435" s="0" t="str">
        <f aca="false">IF(K2435="","",MATCH(K2435,$F$2:$F$5001,0))</f>
        <v/>
      </c>
      <c r="M2435" s="0" t="str">
        <f aca="false">IF(I2435="","",INDEX(הגדרות!$A$2:$A$21,MOD(I2435+הגדרות!$E$9,הגדרות!$E$6)+1))</f>
        <v/>
      </c>
    </row>
    <row r="2436" customFormat="false" ht="15" hidden="false" customHeight="false" outlineLevel="0" collapsed="false">
      <c r="A2436" s="0" t="str">
        <f aca="false">IF('הדבקת לידים'!A2436="","",IF(ISNUMBER('הדבקת לידים'!A2436),IF(הגדרות!$E$2&gt;0,TEXT('הדבקת לידים'!A2436,REPT("0",הגדרות!$E$2)),TEXT('הדבקת לידים'!A2436,"0")),TRIM('הדבקת לידים'!A2436)))</f>
        <v/>
      </c>
      <c r="B2436" s="0" t="str">
        <f aca="false">IF('הדבקת לידים'!B2436="","",IF(ISNUMBER('הדבקת לידים'!B2436),IF(הגדרות!$E$3&gt;0,TEXT('הדבקת לידים'!B2436,REPT("0",הגדרות!$E$3)),TEXT('הדבקת לידים'!B2436,"0")),TRIM('הדבקת לידים'!B2436)))</f>
        <v/>
      </c>
      <c r="C2436" s="0" t="n">
        <f aca="false">IF(OR(A2436&lt;&gt;"",B2436&lt;&gt;""),1,0)</f>
        <v>0</v>
      </c>
      <c r="D2436" s="0" t="str">
        <f aca="false">IF(C2436=1,MOD(ABS(SIN(ROW()*12.9898+'הדבקת לידים'!$F$2*78.233+IFERROR(--RIGHT(A2436,6),LEN(A2436))*0.0137+IFERROR(--RIGHT(B2436,6),LEN(B2436))*0.0071))*43758.5453,1),"")</f>
        <v/>
      </c>
      <c r="E2436" s="0" t="str">
        <f aca="false">IF(C2436=1,INT(MOD(ABS(SIN(D2436*7919.123+ROW()*0.618+'הדבקת לידים'!$F$2*1.3))*43758.5453,1)*1000000)*10000+ROW(),"")</f>
        <v/>
      </c>
      <c r="F2436" s="0" t="str">
        <f aca="false">IF(E2436="","",RANK(E2436,$E$2:$E$5001,1))</f>
        <v/>
      </c>
      <c r="G2436" s="0" t="n">
        <f aca="false">IF(A2436="",0,IF(SUMPRODUCT(--($A$2:$A$5001=A2436))&gt;1,1,0))</f>
        <v>0</v>
      </c>
      <c r="H2436" s="0" t="n">
        <f aca="false">ROW()-1</f>
        <v>2435</v>
      </c>
      <c r="I2436" s="0" t="str">
        <f aca="false">IF(OR(הגדרות!$E$6=0,H2436&gt;הגדרות!$E$5),"",IF(H2436-1&lt;הגדרות!$E$8*(הגדרות!$E$7+1),INT((H2436-1)/(הגדרות!$E$7+1)),הגדרות!$E$8+INT((H2436-1-הגדרות!$E$8*(הגדרות!$E$7+1))/הגדרות!$E$7)))</f>
        <v/>
      </c>
      <c r="J2436" s="0" t="str">
        <f aca="false">IF(I2436="","",IF(H2436-1&lt;הגדרות!$E$8*(הגדרות!$E$7+1),MOD(H2436-1,הגדרות!$E$7+1),MOD(H2436-1-הגדרות!$E$8*(הגדרות!$E$7+1),הגדרות!$E$7)))</f>
        <v/>
      </c>
      <c r="K2436" s="0" t="str">
        <f aca="false">IF(I2436="","",J2436*הגדרות!$E$6+I2436+1)</f>
        <v/>
      </c>
      <c r="L2436" s="0" t="str">
        <f aca="false">IF(K2436="","",MATCH(K2436,$F$2:$F$5001,0))</f>
        <v/>
      </c>
      <c r="M2436" s="0" t="str">
        <f aca="false">IF(I2436="","",INDEX(הגדרות!$A$2:$A$21,MOD(I2436+הגדרות!$E$9,הגדרות!$E$6)+1))</f>
        <v/>
      </c>
    </row>
    <row r="2437" customFormat="false" ht="15" hidden="false" customHeight="false" outlineLevel="0" collapsed="false">
      <c r="A2437" s="0" t="str">
        <f aca="false">IF('הדבקת לידים'!A2437="","",IF(ISNUMBER('הדבקת לידים'!A2437),IF(הגדרות!$E$2&gt;0,TEXT('הדבקת לידים'!A2437,REPT("0",הגדרות!$E$2)),TEXT('הדבקת לידים'!A2437,"0")),TRIM('הדבקת לידים'!A2437)))</f>
        <v/>
      </c>
      <c r="B2437" s="0" t="str">
        <f aca="false">IF('הדבקת לידים'!B2437="","",IF(ISNUMBER('הדבקת לידים'!B2437),IF(הגדרות!$E$3&gt;0,TEXT('הדבקת לידים'!B2437,REPT("0",הגדרות!$E$3)),TEXT('הדבקת לידים'!B2437,"0")),TRIM('הדבקת לידים'!B2437)))</f>
        <v/>
      </c>
      <c r="C2437" s="0" t="n">
        <f aca="false">IF(OR(A2437&lt;&gt;"",B2437&lt;&gt;""),1,0)</f>
        <v>0</v>
      </c>
      <c r="D2437" s="0" t="str">
        <f aca="false">IF(C2437=1,MOD(ABS(SIN(ROW()*12.9898+'הדבקת לידים'!$F$2*78.233+IFERROR(--RIGHT(A2437,6),LEN(A2437))*0.0137+IFERROR(--RIGHT(B2437,6),LEN(B2437))*0.0071))*43758.5453,1),"")</f>
        <v/>
      </c>
      <c r="E2437" s="0" t="str">
        <f aca="false">IF(C2437=1,INT(MOD(ABS(SIN(D2437*7919.123+ROW()*0.618+'הדבקת לידים'!$F$2*1.3))*43758.5453,1)*1000000)*10000+ROW(),"")</f>
        <v/>
      </c>
      <c r="F2437" s="0" t="str">
        <f aca="false">IF(E2437="","",RANK(E2437,$E$2:$E$5001,1))</f>
        <v/>
      </c>
      <c r="G2437" s="0" t="n">
        <f aca="false">IF(A2437="",0,IF(SUMPRODUCT(--($A$2:$A$5001=A2437))&gt;1,1,0))</f>
        <v>0</v>
      </c>
      <c r="H2437" s="0" t="n">
        <f aca="false">ROW()-1</f>
        <v>2436</v>
      </c>
      <c r="I2437" s="0" t="str">
        <f aca="false">IF(OR(הגדרות!$E$6=0,H2437&gt;הגדרות!$E$5),"",IF(H2437-1&lt;הגדרות!$E$8*(הגדרות!$E$7+1),INT((H2437-1)/(הגדרות!$E$7+1)),הגדרות!$E$8+INT((H2437-1-הגדרות!$E$8*(הגדרות!$E$7+1))/הגדרות!$E$7)))</f>
        <v/>
      </c>
      <c r="J2437" s="0" t="str">
        <f aca="false">IF(I2437="","",IF(H2437-1&lt;הגדרות!$E$8*(הגדרות!$E$7+1),MOD(H2437-1,הגדרות!$E$7+1),MOD(H2437-1-הגדרות!$E$8*(הגדרות!$E$7+1),הגדרות!$E$7)))</f>
        <v/>
      </c>
      <c r="K2437" s="0" t="str">
        <f aca="false">IF(I2437="","",J2437*הגדרות!$E$6+I2437+1)</f>
        <v/>
      </c>
      <c r="L2437" s="0" t="str">
        <f aca="false">IF(K2437="","",MATCH(K2437,$F$2:$F$5001,0))</f>
        <v/>
      </c>
      <c r="M2437" s="0" t="str">
        <f aca="false">IF(I2437="","",INDEX(הגדרות!$A$2:$A$21,MOD(I2437+הגדרות!$E$9,הגדרות!$E$6)+1))</f>
        <v/>
      </c>
    </row>
    <row r="2438" customFormat="false" ht="15" hidden="false" customHeight="false" outlineLevel="0" collapsed="false">
      <c r="A2438" s="0" t="str">
        <f aca="false">IF('הדבקת לידים'!A2438="","",IF(ISNUMBER('הדבקת לידים'!A2438),IF(הגדרות!$E$2&gt;0,TEXT('הדבקת לידים'!A2438,REPT("0",הגדרות!$E$2)),TEXT('הדבקת לידים'!A2438,"0")),TRIM('הדבקת לידים'!A2438)))</f>
        <v/>
      </c>
      <c r="B2438" s="0" t="str">
        <f aca="false">IF('הדבקת לידים'!B2438="","",IF(ISNUMBER('הדבקת לידים'!B2438),IF(הגדרות!$E$3&gt;0,TEXT('הדבקת לידים'!B2438,REPT("0",הגדרות!$E$3)),TEXT('הדבקת לידים'!B2438,"0")),TRIM('הדבקת לידים'!B2438)))</f>
        <v/>
      </c>
      <c r="C2438" s="0" t="n">
        <f aca="false">IF(OR(A2438&lt;&gt;"",B2438&lt;&gt;""),1,0)</f>
        <v>0</v>
      </c>
      <c r="D2438" s="0" t="str">
        <f aca="false">IF(C2438=1,MOD(ABS(SIN(ROW()*12.9898+'הדבקת לידים'!$F$2*78.233+IFERROR(--RIGHT(A2438,6),LEN(A2438))*0.0137+IFERROR(--RIGHT(B2438,6),LEN(B2438))*0.0071))*43758.5453,1),"")</f>
        <v/>
      </c>
      <c r="E2438" s="0" t="str">
        <f aca="false">IF(C2438=1,INT(MOD(ABS(SIN(D2438*7919.123+ROW()*0.618+'הדבקת לידים'!$F$2*1.3))*43758.5453,1)*1000000)*10000+ROW(),"")</f>
        <v/>
      </c>
      <c r="F2438" s="0" t="str">
        <f aca="false">IF(E2438="","",RANK(E2438,$E$2:$E$5001,1))</f>
        <v/>
      </c>
      <c r="G2438" s="0" t="n">
        <f aca="false">IF(A2438="",0,IF(SUMPRODUCT(--($A$2:$A$5001=A2438))&gt;1,1,0))</f>
        <v>0</v>
      </c>
      <c r="H2438" s="0" t="n">
        <f aca="false">ROW()-1</f>
        <v>2437</v>
      </c>
      <c r="I2438" s="0" t="str">
        <f aca="false">IF(OR(הגדרות!$E$6=0,H2438&gt;הגדרות!$E$5),"",IF(H2438-1&lt;הגדרות!$E$8*(הגדרות!$E$7+1),INT((H2438-1)/(הגדרות!$E$7+1)),הגדרות!$E$8+INT((H2438-1-הגדרות!$E$8*(הגדרות!$E$7+1))/הגדרות!$E$7)))</f>
        <v/>
      </c>
      <c r="J2438" s="0" t="str">
        <f aca="false">IF(I2438="","",IF(H2438-1&lt;הגדרות!$E$8*(הגדרות!$E$7+1),MOD(H2438-1,הגדרות!$E$7+1),MOD(H2438-1-הגדרות!$E$8*(הגדרות!$E$7+1),הגדרות!$E$7)))</f>
        <v/>
      </c>
      <c r="K2438" s="0" t="str">
        <f aca="false">IF(I2438="","",J2438*הגדרות!$E$6+I2438+1)</f>
        <v/>
      </c>
      <c r="L2438" s="0" t="str">
        <f aca="false">IF(K2438="","",MATCH(K2438,$F$2:$F$5001,0))</f>
        <v/>
      </c>
      <c r="M2438" s="0" t="str">
        <f aca="false">IF(I2438="","",INDEX(הגדרות!$A$2:$A$21,MOD(I2438+הגדרות!$E$9,הגדרות!$E$6)+1))</f>
        <v/>
      </c>
    </row>
    <row r="2439" customFormat="false" ht="15" hidden="false" customHeight="false" outlineLevel="0" collapsed="false">
      <c r="A2439" s="0" t="str">
        <f aca="false">IF('הדבקת לידים'!A2439="","",IF(ISNUMBER('הדבקת לידים'!A2439),IF(הגדרות!$E$2&gt;0,TEXT('הדבקת לידים'!A2439,REPT("0",הגדרות!$E$2)),TEXT('הדבקת לידים'!A2439,"0")),TRIM('הדבקת לידים'!A2439)))</f>
        <v/>
      </c>
      <c r="B2439" s="0" t="str">
        <f aca="false">IF('הדבקת לידים'!B2439="","",IF(ISNUMBER('הדבקת לידים'!B2439),IF(הגדרות!$E$3&gt;0,TEXT('הדבקת לידים'!B2439,REPT("0",הגדרות!$E$3)),TEXT('הדבקת לידים'!B2439,"0")),TRIM('הדבקת לידים'!B2439)))</f>
        <v/>
      </c>
      <c r="C2439" s="0" t="n">
        <f aca="false">IF(OR(A2439&lt;&gt;"",B2439&lt;&gt;""),1,0)</f>
        <v>0</v>
      </c>
      <c r="D2439" s="0" t="str">
        <f aca="false">IF(C2439=1,MOD(ABS(SIN(ROW()*12.9898+'הדבקת לידים'!$F$2*78.233+IFERROR(--RIGHT(A2439,6),LEN(A2439))*0.0137+IFERROR(--RIGHT(B2439,6),LEN(B2439))*0.0071))*43758.5453,1),"")</f>
        <v/>
      </c>
      <c r="E2439" s="0" t="str">
        <f aca="false">IF(C2439=1,INT(MOD(ABS(SIN(D2439*7919.123+ROW()*0.618+'הדבקת לידים'!$F$2*1.3))*43758.5453,1)*1000000)*10000+ROW(),"")</f>
        <v/>
      </c>
      <c r="F2439" s="0" t="str">
        <f aca="false">IF(E2439="","",RANK(E2439,$E$2:$E$5001,1))</f>
        <v/>
      </c>
      <c r="G2439" s="0" t="n">
        <f aca="false">IF(A2439="",0,IF(SUMPRODUCT(--($A$2:$A$5001=A2439))&gt;1,1,0))</f>
        <v>0</v>
      </c>
      <c r="H2439" s="0" t="n">
        <f aca="false">ROW()-1</f>
        <v>2438</v>
      </c>
      <c r="I2439" s="0" t="str">
        <f aca="false">IF(OR(הגדרות!$E$6=0,H2439&gt;הגדרות!$E$5),"",IF(H2439-1&lt;הגדרות!$E$8*(הגדרות!$E$7+1),INT((H2439-1)/(הגדרות!$E$7+1)),הגדרות!$E$8+INT((H2439-1-הגדרות!$E$8*(הגדרות!$E$7+1))/הגדרות!$E$7)))</f>
        <v/>
      </c>
      <c r="J2439" s="0" t="str">
        <f aca="false">IF(I2439="","",IF(H2439-1&lt;הגדרות!$E$8*(הגדרות!$E$7+1),MOD(H2439-1,הגדרות!$E$7+1),MOD(H2439-1-הגדרות!$E$8*(הגדרות!$E$7+1),הגדרות!$E$7)))</f>
        <v/>
      </c>
      <c r="K2439" s="0" t="str">
        <f aca="false">IF(I2439="","",J2439*הגדרות!$E$6+I2439+1)</f>
        <v/>
      </c>
      <c r="L2439" s="0" t="str">
        <f aca="false">IF(K2439="","",MATCH(K2439,$F$2:$F$5001,0))</f>
        <v/>
      </c>
      <c r="M2439" s="0" t="str">
        <f aca="false">IF(I2439="","",INDEX(הגדרות!$A$2:$A$21,MOD(I2439+הגדרות!$E$9,הגדרות!$E$6)+1))</f>
        <v/>
      </c>
    </row>
    <row r="2440" customFormat="false" ht="15" hidden="false" customHeight="false" outlineLevel="0" collapsed="false">
      <c r="A2440" s="0" t="str">
        <f aca="false">IF('הדבקת לידים'!A2440="","",IF(ISNUMBER('הדבקת לידים'!A2440),IF(הגדרות!$E$2&gt;0,TEXT('הדבקת לידים'!A2440,REPT("0",הגדרות!$E$2)),TEXT('הדבקת לידים'!A2440,"0")),TRIM('הדבקת לידים'!A2440)))</f>
        <v/>
      </c>
      <c r="B2440" s="0" t="str">
        <f aca="false">IF('הדבקת לידים'!B2440="","",IF(ISNUMBER('הדבקת לידים'!B2440),IF(הגדרות!$E$3&gt;0,TEXT('הדבקת לידים'!B2440,REPT("0",הגדרות!$E$3)),TEXT('הדבקת לידים'!B2440,"0")),TRIM('הדבקת לידים'!B2440)))</f>
        <v/>
      </c>
      <c r="C2440" s="0" t="n">
        <f aca="false">IF(OR(A2440&lt;&gt;"",B2440&lt;&gt;""),1,0)</f>
        <v>0</v>
      </c>
      <c r="D2440" s="0" t="str">
        <f aca="false">IF(C2440=1,MOD(ABS(SIN(ROW()*12.9898+'הדבקת לידים'!$F$2*78.233+IFERROR(--RIGHT(A2440,6),LEN(A2440))*0.0137+IFERROR(--RIGHT(B2440,6),LEN(B2440))*0.0071))*43758.5453,1),"")</f>
        <v/>
      </c>
      <c r="E2440" s="0" t="str">
        <f aca="false">IF(C2440=1,INT(MOD(ABS(SIN(D2440*7919.123+ROW()*0.618+'הדבקת לידים'!$F$2*1.3))*43758.5453,1)*1000000)*10000+ROW(),"")</f>
        <v/>
      </c>
      <c r="F2440" s="0" t="str">
        <f aca="false">IF(E2440="","",RANK(E2440,$E$2:$E$5001,1))</f>
        <v/>
      </c>
      <c r="G2440" s="0" t="n">
        <f aca="false">IF(A2440="",0,IF(SUMPRODUCT(--($A$2:$A$5001=A2440))&gt;1,1,0))</f>
        <v>0</v>
      </c>
      <c r="H2440" s="0" t="n">
        <f aca="false">ROW()-1</f>
        <v>2439</v>
      </c>
      <c r="I2440" s="0" t="str">
        <f aca="false">IF(OR(הגדרות!$E$6=0,H2440&gt;הגדרות!$E$5),"",IF(H2440-1&lt;הגדרות!$E$8*(הגדרות!$E$7+1),INT((H2440-1)/(הגדרות!$E$7+1)),הגדרות!$E$8+INT((H2440-1-הגדרות!$E$8*(הגדרות!$E$7+1))/הגדרות!$E$7)))</f>
        <v/>
      </c>
      <c r="J2440" s="0" t="str">
        <f aca="false">IF(I2440="","",IF(H2440-1&lt;הגדרות!$E$8*(הגדרות!$E$7+1),MOD(H2440-1,הגדרות!$E$7+1),MOD(H2440-1-הגדרות!$E$8*(הגדרות!$E$7+1),הגדרות!$E$7)))</f>
        <v/>
      </c>
      <c r="K2440" s="0" t="str">
        <f aca="false">IF(I2440="","",J2440*הגדרות!$E$6+I2440+1)</f>
        <v/>
      </c>
      <c r="L2440" s="0" t="str">
        <f aca="false">IF(K2440="","",MATCH(K2440,$F$2:$F$5001,0))</f>
        <v/>
      </c>
      <c r="M2440" s="0" t="str">
        <f aca="false">IF(I2440="","",INDEX(הגדרות!$A$2:$A$21,MOD(I2440+הגדרות!$E$9,הגדרות!$E$6)+1))</f>
        <v/>
      </c>
    </row>
    <row r="2441" customFormat="false" ht="15" hidden="false" customHeight="false" outlineLevel="0" collapsed="false">
      <c r="A2441" s="0" t="str">
        <f aca="false">IF('הדבקת לידים'!A2441="","",IF(ISNUMBER('הדבקת לידים'!A2441),IF(הגדרות!$E$2&gt;0,TEXT('הדבקת לידים'!A2441,REPT("0",הגדרות!$E$2)),TEXT('הדבקת לידים'!A2441,"0")),TRIM('הדבקת לידים'!A2441)))</f>
        <v/>
      </c>
      <c r="B2441" s="0" t="str">
        <f aca="false">IF('הדבקת לידים'!B2441="","",IF(ISNUMBER('הדבקת לידים'!B2441),IF(הגדרות!$E$3&gt;0,TEXT('הדבקת לידים'!B2441,REPT("0",הגדרות!$E$3)),TEXT('הדבקת לידים'!B2441,"0")),TRIM('הדבקת לידים'!B2441)))</f>
        <v/>
      </c>
      <c r="C2441" s="0" t="n">
        <f aca="false">IF(OR(A2441&lt;&gt;"",B2441&lt;&gt;""),1,0)</f>
        <v>0</v>
      </c>
      <c r="D2441" s="0" t="str">
        <f aca="false">IF(C2441=1,MOD(ABS(SIN(ROW()*12.9898+'הדבקת לידים'!$F$2*78.233+IFERROR(--RIGHT(A2441,6),LEN(A2441))*0.0137+IFERROR(--RIGHT(B2441,6),LEN(B2441))*0.0071))*43758.5453,1),"")</f>
        <v/>
      </c>
      <c r="E2441" s="0" t="str">
        <f aca="false">IF(C2441=1,INT(MOD(ABS(SIN(D2441*7919.123+ROW()*0.618+'הדבקת לידים'!$F$2*1.3))*43758.5453,1)*1000000)*10000+ROW(),"")</f>
        <v/>
      </c>
      <c r="F2441" s="0" t="str">
        <f aca="false">IF(E2441="","",RANK(E2441,$E$2:$E$5001,1))</f>
        <v/>
      </c>
      <c r="G2441" s="0" t="n">
        <f aca="false">IF(A2441="",0,IF(SUMPRODUCT(--($A$2:$A$5001=A2441))&gt;1,1,0))</f>
        <v>0</v>
      </c>
      <c r="H2441" s="0" t="n">
        <f aca="false">ROW()-1</f>
        <v>2440</v>
      </c>
      <c r="I2441" s="0" t="str">
        <f aca="false">IF(OR(הגדרות!$E$6=0,H2441&gt;הגדרות!$E$5),"",IF(H2441-1&lt;הגדרות!$E$8*(הגדרות!$E$7+1),INT((H2441-1)/(הגדרות!$E$7+1)),הגדרות!$E$8+INT((H2441-1-הגדרות!$E$8*(הגדרות!$E$7+1))/הגדרות!$E$7)))</f>
        <v/>
      </c>
      <c r="J2441" s="0" t="str">
        <f aca="false">IF(I2441="","",IF(H2441-1&lt;הגדרות!$E$8*(הגדרות!$E$7+1),MOD(H2441-1,הגדרות!$E$7+1),MOD(H2441-1-הגדרות!$E$8*(הגדרות!$E$7+1),הגדרות!$E$7)))</f>
        <v/>
      </c>
      <c r="K2441" s="0" t="str">
        <f aca="false">IF(I2441="","",J2441*הגדרות!$E$6+I2441+1)</f>
        <v/>
      </c>
      <c r="L2441" s="0" t="str">
        <f aca="false">IF(K2441="","",MATCH(K2441,$F$2:$F$5001,0))</f>
        <v/>
      </c>
      <c r="M2441" s="0" t="str">
        <f aca="false">IF(I2441="","",INDEX(הגדרות!$A$2:$A$21,MOD(I2441+הגדרות!$E$9,הגדרות!$E$6)+1))</f>
        <v/>
      </c>
    </row>
    <row r="2442" customFormat="false" ht="15" hidden="false" customHeight="false" outlineLevel="0" collapsed="false">
      <c r="A2442" s="0" t="str">
        <f aca="false">IF('הדבקת לידים'!A2442="","",IF(ISNUMBER('הדבקת לידים'!A2442),IF(הגדרות!$E$2&gt;0,TEXT('הדבקת לידים'!A2442,REPT("0",הגדרות!$E$2)),TEXT('הדבקת לידים'!A2442,"0")),TRIM('הדבקת לידים'!A2442)))</f>
        <v/>
      </c>
      <c r="B2442" s="0" t="str">
        <f aca="false">IF('הדבקת לידים'!B2442="","",IF(ISNUMBER('הדבקת לידים'!B2442),IF(הגדרות!$E$3&gt;0,TEXT('הדבקת לידים'!B2442,REPT("0",הגדרות!$E$3)),TEXT('הדבקת לידים'!B2442,"0")),TRIM('הדבקת לידים'!B2442)))</f>
        <v/>
      </c>
      <c r="C2442" s="0" t="n">
        <f aca="false">IF(OR(A2442&lt;&gt;"",B2442&lt;&gt;""),1,0)</f>
        <v>0</v>
      </c>
      <c r="D2442" s="0" t="str">
        <f aca="false">IF(C2442=1,MOD(ABS(SIN(ROW()*12.9898+'הדבקת לידים'!$F$2*78.233+IFERROR(--RIGHT(A2442,6),LEN(A2442))*0.0137+IFERROR(--RIGHT(B2442,6),LEN(B2442))*0.0071))*43758.5453,1),"")</f>
        <v/>
      </c>
      <c r="E2442" s="0" t="str">
        <f aca="false">IF(C2442=1,INT(MOD(ABS(SIN(D2442*7919.123+ROW()*0.618+'הדבקת לידים'!$F$2*1.3))*43758.5453,1)*1000000)*10000+ROW(),"")</f>
        <v/>
      </c>
      <c r="F2442" s="0" t="str">
        <f aca="false">IF(E2442="","",RANK(E2442,$E$2:$E$5001,1))</f>
        <v/>
      </c>
      <c r="G2442" s="0" t="n">
        <f aca="false">IF(A2442="",0,IF(SUMPRODUCT(--($A$2:$A$5001=A2442))&gt;1,1,0))</f>
        <v>0</v>
      </c>
      <c r="H2442" s="0" t="n">
        <f aca="false">ROW()-1</f>
        <v>2441</v>
      </c>
      <c r="I2442" s="0" t="str">
        <f aca="false">IF(OR(הגדרות!$E$6=0,H2442&gt;הגדרות!$E$5),"",IF(H2442-1&lt;הגדרות!$E$8*(הגדרות!$E$7+1),INT((H2442-1)/(הגדרות!$E$7+1)),הגדרות!$E$8+INT((H2442-1-הגדרות!$E$8*(הגדרות!$E$7+1))/הגדרות!$E$7)))</f>
        <v/>
      </c>
      <c r="J2442" s="0" t="str">
        <f aca="false">IF(I2442="","",IF(H2442-1&lt;הגדרות!$E$8*(הגדרות!$E$7+1),MOD(H2442-1,הגדרות!$E$7+1),MOD(H2442-1-הגדרות!$E$8*(הגדרות!$E$7+1),הגדרות!$E$7)))</f>
        <v/>
      </c>
      <c r="K2442" s="0" t="str">
        <f aca="false">IF(I2442="","",J2442*הגדרות!$E$6+I2442+1)</f>
        <v/>
      </c>
      <c r="L2442" s="0" t="str">
        <f aca="false">IF(K2442="","",MATCH(K2442,$F$2:$F$5001,0))</f>
        <v/>
      </c>
      <c r="M2442" s="0" t="str">
        <f aca="false">IF(I2442="","",INDEX(הגדרות!$A$2:$A$21,MOD(I2442+הגדרות!$E$9,הגדרות!$E$6)+1))</f>
        <v/>
      </c>
    </row>
    <row r="2443" customFormat="false" ht="15" hidden="false" customHeight="false" outlineLevel="0" collapsed="false">
      <c r="A2443" s="0" t="str">
        <f aca="false">IF('הדבקת לידים'!A2443="","",IF(ISNUMBER('הדבקת לידים'!A2443),IF(הגדרות!$E$2&gt;0,TEXT('הדבקת לידים'!A2443,REPT("0",הגדרות!$E$2)),TEXT('הדבקת לידים'!A2443,"0")),TRIM('הדבקת לידים'!A2443)))</f>
        <v/>
      </c>
      <c r="B2443" s="0" t="str">
        <f aca="false">IF('הדבקת לידים'!B2443="","",IF(ISNUMBER('הדבקת לידים'!B2443),IF(הגדרות!$E$3&gt;0,TEXT('הדבקת לידים'!B2443,REPT("0",הגדרות!$E$3)),TEXT('הדבקת לידים'!B2443,"0")),TRIM('הדבקת לידים'!B2443)))</f>
        <v/>
      </c>
      <c r="C2443" s="0" t="n">
        <f aca="false">IF(OR(A2443&lt;&gt;"",B2443&lt;&gt;""),1,0)</f>
        <v>0</v>
      </c>
      <c r="D2443" s="0" t="str">
        <f aca="false">IF(C2443=1,MOD(ABS(SIN(ROW()*12.9898+'הדבקת לידים'!$F$2*78.233+IFERROR(--RIGHT(A2443,6),LEN(A2443))*0.0137+IFERROR(--RIGHT(B2443,6),LEN(B2443))*0.0071))*43758.5453,1),"")</f>
        <v/>
      </c>
      <c r="E2443" s="0" t="str">
        <f aca="false">IF(C2443=1,INT(MOD(ABS(SIN(D2443*7919.123+ROW()*0.618+'הדבקת לידים'!$F$2*1.3))*43758.5453,1)*1000000)*10000+ROW(),"")</f>
        <v/>
      </c>
      <c r="F2443" s="0" t="str">
        <f aca="false">IF(E2443="","",RANK(E2443,$E$2:$E$5001,1))</f>
        <v/>
      </c>
      <c r="G2443" s="0" t="n">
        <f aca="false">IF(A2443="",0,IF(SUMPRODUCT(--($A$2:$A$5001=A2443))&gt;1,1,0))</f>
        <v>0</v>
      </c>
      <c r="H2443" s="0" t="n">
        <f aca="false">ROW()-1</f>
        <v>2442</v>
      </c>
      <c r="I2443" s="0" t="str">
        <f aca="false">IF(OR(הגדרות!$E$6=0,H2443&gt;הגדרות!$E$5),"",IF(H2443-1&lt;הגדרות!$E$8*(הגדרות!$E$7+1),INT((H2443-1)/(הגדרות!$E$7+1)),הגדרות!$E$8+INT((H2443-1-הגדרות!$E$8*(הגדרות!$E$7+1))/הגדרות!$E$7)))</f>
        <v/>
      </c>
      <c r="J2443" s="0" t="str">
        <f aca="false">IF(I2443="","",IF(H2443-1&lt;הגדרות!$E$8*(הגדרות!$E$7+1),MOD(H2443-1,הגדרות!$E$7+1),MOD(H2443-1-הגדרות!$E$8*(הגדרות!$E$7+1),הגדרות!$E$7)))</f>
        <v/>
      </c>
      <c r="K2443" s="0" t="str">
        <f aca="false">IF(I2443="","",J2443*הגדרות!$E$6+I2443+1)</f>
        <v/>
      </c>
      <c r="L2443" s="0" t="str">
        <f aca="false">IF(K2443="","",MATCH(K2443,$F$2:$F$5001,0))</f>
        <v/>
      </c>
      <c r="M2443" s="0" t="str">
        <f aca="false">IF(I2443="","",INDEX(הגדרות!$A$2:$A$21,MOD(I2443+הגדרות!$E$9,הגדרות!$E$6)+1))</f>
        <v/>
      </c>
    </row>
    <row r="2444" customFormat="false" ht="15" hidden="false" customHeight="false" outlineLevel="0" collapsed="false">
      <c r="A2444" s="0" t="str">
        <f aca="false">IF('הדבקת לידים'!A2444="","",IF(ISNUMBER('הדבקת לידים'!A2444),IF(הגדרות!$E$2&gt;0,TEXT('הדבקת לידים'!A2444,REPT("0",הגדרות!$E$2)),TEXT('הדבקת לידים'!A2444,"0")),TRIM('הדבקת לידים'!A2444)))</f>
        <v/>
      </c>
      <c r="B2444" s="0" t="str">
        <f aca="false">IF('הדבקת לידים'!B2444="","",IF(ISNUMBER('הדבקת לידים'!B2444),IF(הגדרות!$E$3&gt;0,TEXT('הדבקת לידים'!B2444,REPT("0",הגדרות!$E$3)),TEXT('הדבקת לידים'!B2444,"0")),TRIM('הדבקת לידים'!B2444)))</f>
        <v/>
      </c>
      <c r="C2444" s="0" t="n">
        <f aca="false">IF(OR(A2444&lt;&gt;"",B2444&lt;&gt;""),1,0)</f>
        <v>0</v>
      </c>
      <c r="D2444" s="0" t="str">
        <f aca="false">IF(C2444=1,MOD(ABS(SIN(ROW()*12.9898+'הדבקת לידים'!$F$2*78.233+IFERROR(--RIGHT(A2444,6),LEN(A2444))*0.0137+IFERROR(--RIGHT(B2444,6),LEN(B2444))*0.0071))*43758.5453,1),"")</f>
        <v/>
      </c>
      <c r="E2444" s="0" t="str">
        <f aca="false">IF(C2444=1,INT(MOD(ABS(SIN(D2444*7919.123+ROW()*0.618+'הדבקת לידים'!$F$2*1.3))*43758.5453,1)*1000000)*10000+ROW(),"")</f>
        <v/>
      </c>
      <c r="F2444" s="0" t="str">
        <f aca="false">IF(E2444="","",RANK(E2444,$E$2:$E$5001,1))</f>
        <v/>
      </c>
      <c r="G2444" s="0" t="n">
        <f aca="false">IF(A2444="",0,IF(SUMPRODUCT(--($A$2:$A$5001=A2444))&gt;1,1,0))</f>
        <v>0</v>
      </c>
      <c r="H2444" s="0" t="n">
        <f aca="false">ROW()-1</f>
        <v>2443</v>
      </c>
      <c r="I2444" s="0" t="str">
        <f aca="false">IF(OR(הגדרות!$E$6=0,H2444&gt;הגדרות!$E$5),"",IF(H2444-1&lt;הגדרות!$E$8*(הגדרות!$E$7+1),INT((H2444-1)/(הגדרות!$E$7+1)),הגדרות!$E$8+INT((H2444-1-הגדרות!$E$8*(הגדרות!$E$7+1))/הגדרות!$E$7)))</f>
        <v/>
      </c>
      <c r="J2444" s="0" t="str">
        <f aca="false">IF(I2444="","",IF(H2444-1&lt;הגדרות!$E$8*(הגדרות!$E$7+1),MOD(H2444-1,הגדרות!$E$7+1),MOD(H2444-1-הגדרות!$E$8*(הגדרות!$E$7+1),הגדרות!$E$7)))</f>
        <v/>
      </c>
      <c r="K2444" s="0" t="str">
        <f aca="false">IF(I2444="","",J2444*הגדרות!$E$6+I2444+1)</f>
        <v/>
      </c>
      <c r="L2444" s="0" t="str">
        <f aca="false">IF(K2444="","",MATCH(K2444,$F$2:$F$5001,0))</f>
        <v/>
      </c>
      <c r="M2444" s="0" t="str">
        <f aca="false">IF(I2444="","",INDEX(הגדרות!$A$2:$A$21,MOD(I2444+הגדרות!$E$9,הגדרות!$E$6)+1))</f>
        <v/>
      </c>
    </row>
    <row r="2445" customFormat="false" ht="15" hidden="false" customHeight="false" outlineLevel="0" collapsed="false">
      <c r="A2445" s="0" t="str">
        <f aca="false">IF('הדבקת לידים'!A2445="","",IF(ISNUMBER('הדבקת לידים'!A2445),IF(הגדרות!$E$2&gt;0,TEXT('הדבקת לידים'!A2445,REPT("0",הגדרות!$E$2)),TEXT('הדבקת לידים'!A2445,"0")),TRIM('הדבקת לידים'!A2445)))</f>
        <v/>
      </c>
      <c r="B2445" s="0" t="str">
        <f aca="false">IF('הדבקת לידים'!B2445="","",IF(ISNUMBER('הדבקת לידים'!B2445),IF(הגדרות!$E$3&gt;0,TEXT('הדבקת לידים'!B2445,REPT("0",הגדרות!$E$3)),TEXT('הדבקת לידים'!B2445,"0")),TRIM('הדבקת לידים'!B2445)))</f>
        <v/>
      </c>
      <c r="C2445" s="0" t="n">
        <f aca="false">IF(OR(A2445&lt;&gt;"",B2445&lt;&gt;""),1,0)</f>
        <v>0</v>
      </c>
      <c r="D2445" s="0" t="str">
        <f aca="false">IF(C2445=1,MOD(ABS(SIN(ROW()*12.9898+'הדבקת לידים'!$F$2*78.233+IFERROR(--RIGHT(A2445,6),LEN(A2445))*0.0137+IFERROR(--RIGHT(B2445,6),LEN(B2445))*0.0071))*43758.5453,1),"")</f>
        <v/>
      </c>
      <c r="E2445" s="0" t="str">
        <f aca="false">IF(C2445=1,INT(MOD(ABS(SIN(D2445*7919.123+ROW()*0.618+'הדבקת לידים'!$F$2*1.3))*43758.5453,1)*1000000)*10000+ROW(),"")</f>
        <v/>
      </c>
      <c r="F2445" s="0" t="str">
        <f aca="false">IF(E2445="","",RANK(E2445,$E$2:$E$5001,1))</f>
        <v/>
      </c>
      <c r="G2445" s="0" t="n">
        <f aca="false">IF(A2445="",0,IF(SUMPRODUCT(--($A$2:$A$5001=A2445))&gt;1,1,0))</f>
        <v>0</v>
      </c>
      <c r="H2445" s="0" t="n">
        <f aca="false">ROW()-1</f>
        <v>2444</v>
      </c>
      <c r="I2445" s="0" t="str">
        <f aca="false">IF(OR(הגדרות!$E$6=0,H2445&gt;הגדרות!$E$5),"",IF(H2445-1&lt;הגדרות!$E$8*(הגדרות!$E$7+1),INT((H2445-1)/(הגדרות!$E$7+1)),הגדרות!$E$8+INT((H2445-1-הגדרות!$E$8*(הגדרות!$E$7+1))/הגדרות!$E$7)))</f>
        <v/>
      </c>
      <c r="J2445" s="0" t="str">
        <f aca="false">IF(I2445="","",IF(H2445-1&lt;הגדרות!$E$8*(הגדרות!$E$7+1),MOD(H2445-1,הגדרות!$E$7+1),MOD(H2445-1-הגדרות!$E$8*(הגדרות!$E$7+1),הגדרות!$E$7)))</f>
        <v/>
      </c>
      <c r="K2445" s="0" t="str">
        <f aca="false">IF(I2445="","",J2445*הגדרות!$E$6+I2445+1)</f>
        <v/>
      </c>
      <c r="L2445" s="0" t="str">
        <f aca="false">IF(K2445="","",MATCH(K2445,$F$2:$F$5001,0))</f>
        <v/>
      </c>
      <c r="M2445" s="0" t="str">
        <f aca="false">IF(I2445="","",INDEX(הגדרות!$A$2:$A$21,MOD(I2445+הגדרות!$E$9,הגדרות!$E$6)+1))</f>
        <v/>
      </c>
    </row>
    <row r="2446" customFormat="false" ht="15" hidden="false" customHeight="false" outlineLevel="0" collapsed="false">
      <c r="A2446" s="0" t="str">
        <f aca="false">IF('הדבקת לידים'!A2446="","",IF(ISNUMBER('הדבקת לידים'!A2446),IF(הגדרות!$E$2&gt;0,TEXT('הדבקת לידים'!A2446,REPT("0",הגדרות!$E$2)),TEXT('הדבקת לידים'!A2446,"0")),TRIM('הדבקת לידים'!A2446)))</f>
        <v/>
      </c>
      <c r="B2446" s="0" t="str">
        <f aca="false">IF('הדבקת לידים'!B2446="","",IF(ISNUMBER('הדבקת לידים'!B2446),IF(הגדרות!$E$3&gt;0,TEXT('הדבקת לידים'!B2446,REPT("0",הגדרות!$E$3)),TEXT('הדבקת לידים'!B2446,"0")),TRIM('הדבקת לידים'!B2446)))</f>
        <v/>
      </c>
      <c r="C2446" s="0" t="n">
        <f aca="false">IF(OR(A2446&lt;&gt;"",B2446&lt;&gt;""),1,0)</f>
        <v>0</v>
      </c>
      <c r="D2446" s="0" t="str">
        <f aca="false">IF(C2446=1,MOD(ABS(SIN(ROW()*12.9898+'הדבקת לידים'!$F$2*78.233+IFERROR(--RIGHT(A2446,6),LEN(A2446))*0.0137+IFERROR(--RIGHT(B2446,6),LEN(B2446))*0.0071))*43758.5453,1),"")</f>
        <v/>
      </c>
      <c r="E2446" s="0" t="str">
        <f aca="false">IF(C2446=1,INT(MOD(ABS(SIN(D2446*7919.123+ROW()*0.618+'הדבקת לידים'!$F$2*1.3))*43758.5453,1)*1000000)*10000+ROW(),"")</f>
        <v/>
      </c>
      <c r="F2446" s="0" t="str">
        <f aca="false">IF(E2446="","",RANK(E2446,$E$2:$E$5001,1))</f>
        <v/>
      </c>
      <c r="G2446" s="0" t="n">
        <f aca="false">IF(A2446="",0,IF(SUMPRODUCT(--($A$2:$A$5001=A2446))&gt;1,1,0))</f>
        <v>0</v>
      </c>
      <c r="H2446" s="0" t="n">
        <f aca="false">ROW()-1</f>
        <v>2445</v>
      </c>
      <c r="I2446" s="0" t="str">
        <f aca="false">IF(OR(הגדרות!$E$6=0,H2446&gt;הגדרות!$E$5),"",IF(H2446-1&lt;הגדרות!$E$8*(הגדרות!$E$7+1),INT((H2446-1)/(הגדרות!$E$7+1)),הגדרות!$E$8+INT((H2446-1-הגדרות!$E$8*(הגדרות!$E$7+1))/הגדרות!$E$7)))</f>
        <v/>
      </c>
      <c r="J2446" s="0" t="str">
        <f aca="false">IF(I2446="","",IF(H2446-1&lt;הגדרות!$E$8*(הגדרות!$E$7+1),MOD(H2446-1,הגדרות!$E$7+1),MOD(H2446-1-הגדרות!$E$8*(הגדרות!$E$7+1),הגדרות!$E$7)))</f>
        <v/>
      </c>
      <c r="K2446" s="0" t="str">
        <f aca="false">IF(I2446="","",J2446*הגדרות!$E$6+I2446+1)</f>
        <v/>
      </c>
      <c r="L2446" s="0" t="str">
        <f aca="false">IF(K2446="","",MATCH(K2446,$F$2:$F$5001,0))</f>
        <v/>
      </c>
      <c r="M2446" s="0" t="str">
        <f aca="false">IF(I2446="","",INDEX(הגדרות!$A$2:$A$21,MOD(I2446+הגדרות!$E$9,הגדרות!$E$6)+1))</f>
        <v/>
      </c>
    </row>
    <row r="2447" customFormat="false" ht="15" hidden="false" customHeight="false" outlineLevel="0" collapsed="false">
      <c r="A2447" s="0" t="str">
        <f aca="false">IF('הדבקת לידים'!A2447="","",IF(ISNUMBER('הדבקת לידים'!A2447),IF(הגדרות!$E$2&gt;0,TEXT('הדבקת לידים'!A2447,REPT("0",הגדרות!$E$2)),TEXT('הדבקת לידים'!A2447,"0")),TRIM('הדבקת לידים'!A2447)))</f>
        <v/>
      </c>
      <c r="B2447" s="0" t="str">
        <f aca="false">IF('הדבקת לידים'!B2447="","",IF(ISNUMBER('הדבקת לידים'!B2447),IF(הגדרות!$E$3&gt;0,TEXT('הדבקת לידים'!B2447,REPT("0",הגדרות!$E$3)),TEXT('הדבקת לידים'!B2447,"0")),TRIM('הדבקת לידים'!B2447)))</f>
        <v/>
      </c>
      <c r="C2447" s="0" t="n">
        <f aca="false">IF(OR(A2447&lt;&gt;"",B2447&lt;&gt;""),1,0)</f>
        <v>0</v>
      </c>
      <c r="D2447" s="0" t="str">
        <f aca="false">IF(C2447=1,MOD(ABS(SIN(ROW()*12.9898+'הדבקת לידים'!$F$2*78.233+IFERROR(--RIGHT(A2447,6),LEN(A2447))*0.0137+IFERROR(--RIGHT(B2447,6),LEN(B2447))*0.0071))*43758.5453,1),"")</f>
        <v/>
      </c>
      <c r="E2447" s="0" t="str">
        <f aca="false">IF(C2447=1,INT(MOD(ABS(SIN(D2447*7919.123+ROW()*0.618+'הדבקת לידים'!$F$2*1.3))*43758.5453,1)*1000000)*10000+ROW(),"")</f>
        <v/>
      </c>
      <c r="F2447" s="0" t="str">
        <f aca="false">IF(E2447="","",RANK(E2447,$E$2:$E$5001,1))</f>
        <v/>
      </c>
      <c r="G2447" s="0" t="n">
        <f aca="false">IF(A2447="",0,IF(SUMPRODUCT(--($A$2:$A$5001=A2447))&gt;1,1,0))</f>
        <v>0</v>
      </c>
      <c r="H2447" s="0" t="n">
        <f aca="false">ROW()-1</f>
        <v>2446</v>
      </c>
      <c r="I2447" s="0" t="str">
        <f aca="false">IF(OR(הגדרות!$E$6=0,H2447&gt;הגדרות!$E$5),"",IF(H2447-1&lt;הגדרות!$E$8*(הגדרות!$E$7+1),INT((H2447-1)/(הגדרות!$E$7+1)),הגדרות!$E$8+INT((H2447-1-הגדרות!$E$8*(הגדרות!$E$7+1))/הגדרות!$E$7)))</f>
        <v/>
      </c>
      <c r="J2447" s="0" t="str">
        <f aca="false">IF(I2447="","",IF(H2447-1&lt;הגדרות!$E$8*(הגדרות!$E$7+1),MOD(H2447-1,הגדרות!$E$7+1),MOD(H2447-1-הגדרות!$E$8*(הגדרות!$E$7+1),הגדרות!$E$7)))</f>
        <v/>
      </c>
      <c r="K2447" s="0" t="str">
        <f aca="false">IF(I2447="","",J2447*הגדרות!$E$6+I2447+1)</f>
        <v/>
      </c>
      <c r="L2447" s="0" t="str">
        <f aca="false">IF(K2447="","",MATCH(K2447,$F$2:$F$5001,0))</f>
        <v/>
      </c>
      <c r="M2447" s="0" t="str">
        <f aca="false">IF(I2447="","",INDEX(הגדרות!$A$2:$A$21,MOD(I2447+הגדרות!$E$9,הגדרות!$E$6)+1))</f>
        <v/>
      </c>
    </row>
    <row r="2448" customFormat="false" ht="15" hidden="false" customHeight="false" outlineLevel="0" collapsed="false">
      <c r="A2448" s="0" t="str">
        <f aca="false">IF('הדבקת לידים'!A2448="","",IF(ISNUMBER('הדבקת לידים'!A2448),IF(הגדרות!$E$2&gt;0,TEXT('הדבקת לידים'!A2448,REPT("0",הגדרות!$E$2)),TEXT('הדבקת לידים'!A2448,"0")),TRIM('הדבקת לידים'!A2448)))</f>
        <v/>
      </c>
      <c r="B2448" s="0" t="str">
        <f aca="false">IF('הדבקת לידים'!B2448="","",IF(ISNUMBER('הדבקת לידים'!B2448),IF(הגדרות!$E$3&gt;0,TEXT('הדבקת לידים'!B2448,REPT("0",הגדרות!$E$3)),TEXT('הדבקת לידים'!B2448,"0")),TRIM('הדבקת לידים'!B2448)))</f>
        <v/>
      </c>
      <c r="C2448" s="0" t="n">
        <f aca="false">IF(OR(A2448&lt;&gt;"",B2448&lt;&gt;""),1,0)</f>
        <v>0</v>
      </c>
      <c r="D2448" s="0" t="str">
        <f aca="false">IF(C2448=1,MOD(ABS(SIN(ROW()*12.9898+'הדבקת לידים'!$F$2*78.233+IFERROR(--RIGHT(A2448,6),LEN(A2448))*0.0137+IFERROR(--RIGHT(B2448,6),LEN(B2448))*0.0071))*43758.5453,1),"")</f>
        <v/>
      </c>
      <c r="E2448" s="0" t="str">
        <f aca="false">IF(C2448=1,INT(MOD(ABS(SIN(D2448*7919.123+ROW()*0.618+'הדבקת לידים'!$F$2*1.3))*43758.5453,1)*1000000)*10000+ROW(),"")</f>
        <v/>
      </c>
      <c r="F2448" s="0" t="str">
        <f aca="false">IF(E2448="","",RANK(E2448,$E$2:$E$5001,1))</f>
        <v/>
      </c>
      <c r="G2448" s="0" t="n">
        <f aca="false">IF(A2448="",0,IF(SUMPRODUCT(--($A$2:$A$5001=A2448))&gt;1,1,0))</f>
        <v>0</v>
      </c>
      <c r="H2448" s="0" t="n">
        <f aca="false">ROW()-1</f>
        <v>2447</v>
      </c>
      <c r="I2448" s="0" t="str">
        <f aca="false">IF(OR(הגדרות!$E$6=0,H2448&gt;הגדרות!$E$5),"",IF(H2448-1&lt;הגדרות!$E$8*(הגדרות!$E$7+1),INT((H2448-1)/(הגדרות!$E$7+1)),הגדרות!$E$8+INT((H2448-1-הגדרות!$E$8*(הגדרות!$E$7+1))/הגדרות!$E$7)))</f>
        <v/>
      </c>
      <c r="J2448" s="0" t="str">
        <f aca="false">IF(I2448="","",IF(H2448-1&lt;הגדרות!$E$8*(הגדרות!$E$7+1),MOD(H2448-1,הגדרות!$E$7+1),MOD(H2448-1-הגדרות!$E$8*(הגדרות!$E$7+1),הגדרות!$E$7)))</f>
        <v/>
      </c>
      <c r="K2448" s="0" t="str">
        <f aca="false">IF(I2448="","",J2448*הגדרות!$E$6+I2448+1)</f>
        <v/>
      </c>
      <c r="L2448" s="0" t="str">
        <f aca="false">IF(K2448="","",MATCH(K2448,$F$2:$F$5001,0))</f>
        <v/>
      </c>
      <c r="M2448" s="0" t="str">
        <f aca="false">IF(I2448="","",INDEX(הגדרות!$A$2:$A$21,MOD(I2448+הגדרות!$E$9,הגדרות!$E$6)+1))</f>
        <v/>
      </c>
    </row>
    <row r="2449" customFormat="false" ht="15" hidden="false" customHeight="false" outlineLevel="0" collapsed="false">
      <c r="A2449" s="0" t="str">
        <f aca="false">IF('הדבקת לידים'!A2449="","",IF(ISNUMBER('הדבקת לידים'!A2449),IF(הגדרות!$E$2&gt;0,TEXT('הדבקת לידים'!A2449,REPT("0",הגדרות!$E$2)),TEXT('הדבקת לידים'!A2449,"0")),TRIM('הדבקת לידים'!A2449)))</f>
        <v/>
      </c>
      <c r="B2449" s="0" t="str">
        <f aca="false">IF('הדבקת לידים'!B2449="","",IF(ISNUMBER('הדבקת לידים'!B2449),IF(הגדרות!$E$3&gt;0,TEXT('הדבקת לידים'!B2449,REPT("0",הגדרות!$E$3)),TEXT('הדבקת לידים'!B2449,"0")),TRIM('הדבקת לידים'!B2449)))</f>
        <v/>
      </c>
      <c r="C2449" s="0" t="n">
        <f aca="false">IF(OR(A2449&lt;&gt;"",B2449&lt;&gt;""),1,0)</f>
        <v>0</v>
      </c>
      <c r="D2449" s="0" t="str">
        <f aca="false">IF(C2449=1,MOD(ABS(SIN(ROW()*12.9898+'הדבקת לידים'!$F$2*78.233+IFERROR(--RIGHT(A2449,6),LEN(A2449))*0.0137+IFERROR(--RIGHT(B2449,6),LEN(B2449))*0.0071))*43758.5453,1),"")</f>
        <v/>
      </c>
      <c r="E2449" s="0" t="str">
        <f aca="false">IF(C2449=1,INT(MOD(ABS(SIN(D2449*7919.123+ROW()*0.618+'הדבקת לידים'!$F$2*1.3))*43758.5453,1)*1000000)*10000+ROW(),"")</f>
        <v/>
      </c>
      <c r="F2449" s="0" t="str">
        <f aca="false">IF(E2449="","",RANK(E2449,$E$2:$E$5001,1))</f>
        <v/>
      </c>
      <c r="G2449" s="0" t="n">
        <f aca="false">IF(A2449="",0,IF(SUMPRODUCT(--($A$2:$A$5001=A2449))&gt;1,1,0))</f>
        <v>0</v>
      </c>
      <c r="H2449" s="0" t="n">
        <f aca="false">ROW()-1</f>
        <v>2448</v>
      </c>
      <c r="I2449" s="0" t="str">
        <f aca="false">IF(OR(הגדרות!$E$6=0,H2449&gt;הגדרות!$E$5),"",IF(H2449-1&lt;הגדרות!$E$8*(הגדרות!$E$7+1),INT((H2449-1)/(הגדרות!$E$7+1)),הגדרות!$E$8+INT((H2449-1-הגדרות!$E$8*(הגדרות!$E$7+1))/הגדרות!$E$7)))</f>
        <v/>
      </c>
      <c r="J2449" s="0" t="str">
        <f aca="false">IF(I2449="","",IF(H2449-1&lt;הגדרות!$E$8*(הגדרות!$E$7+1),MOD(H2449-1,הגדרות!$E$7+1),MOD(H2449-1-הגדרות!$E$8*(הגדרות!$E$7+1),הגדרות!$E$7)))</f>
        <v/>
      </c>
      <c r="K2449" s="0" t="str">
        <f aca="false">IF(I2449="","",J2449*הגדרות!$E$6+I2449+1)</f>
        <v/>
      </c>
      <c r="L2449" s="0" t="str">
        <f aca="false">IF(K2449="","",MATCH(K2449,$F$2:$F$5001,0))</f>
        <v/>
      </c>
      <c r="M2449" s="0" t="str">
        <f aca="false">IF(I2449="","",INDEX(הגדרות!$A$2:$A$21,MOD(I2449+הגדרות!$E$9,הגדרות!$E$6)+1))</f>
        <v/>
      </c>
    </row>
    <row r="2450" customFormat="false" ht="15" hidden="false" customHeight="false" outlineLevel="0" collapsed="false">
      <c r="A2450" s="0" t="str">
        <f aca="false">IF('הדבקת לידים'!A2450="","",IF(ISNUMBER('הדבקת לידים'!A2450),IF(הגדרות!$E$2&gt;0,TEXT('הדבקת לידים'!A2450,REPT("0",הגדרות!$E$2)),TEXT('הדבקת לידים'!A2450,"0")),TRIM('הדבקת לידים'!A2450)))</f>
        <v/>
      </c>
      <c r="B2450" s="0" t="str">
        <f aca="false">IF('הדבקת לידים'!B2450="","",IF(ISNUMBER('הדבקת לידים'!B2450),IF(הגדרות!$E$3&gt;0,TEXT('הדבקת לידים'!B2450,REPT("0",הגדרות!$E$3)),TEXT('הדבקת לידים'!B2450,"0")),TRIM('הדבקת לידים'!B2450)))</f>
        <v/>
      </c>
      <c r="C2450" s="0" t="n">
        <f aca="false">IF(OR(A2450&lt;&gt;"",B2450&lt;&gt;""),1,0)</f>
        <v>0</v>
      </c>
      <c r="D2450" s="0" t="str">
        <f aca="false">IF(C2450=1,MOD(ABS(SIN(ROW()*12.9898+'הדבקת לידים'!$F$2*78.233+IFERROR(--RIGHT(A2450,6),LEN(A2450))*0.0137+IFERROR(--RIGHT(B2450,6),LEN(B2450))*0.0071))*43758.5453,1),"")</f>
        <v/>
      </c>
      <c r="E2450" s="0" t="str">
        <f aca="false">IF(C2450=1,INT(MOD(ABS(SIN(D2450*7919.123+ROW()*0.618+'הדבקת לידים'!$F$2*1.3))*43758.5453,1)*1000000)*10000+ROW(),"")</f>
        <v/>
      </c>
      <c r="F2450" s="0" t="str">
        <f aca="false">IF(E2450="","",RANK(E2450,$E$2:$E$5001,1))</f>
        <v/>
      </c>
      <c r="G2450" s="0" t="n">
        <f aca="false">IF(A2450="",0,IF(SUMPRODUCT(--($A$2:$A$5001=A2450))&gt;1,1,0))</f>
        <v>0</v>
      </c>
      <c r="H2450" s="0" t="n">
        <f aca="false">ROW()-1</f>
        <v>2449</v>
      </c>
      <c r="I2450" s="0" t="str">
        <f aca="false">IF(OR(הגדרות!$E$6=0,H2450&gt;הגדרות!$E$5),"",IF(H2450-1&lt;הגדרות!$E$8*(הגדרות!$E$7+1),INT((H2450-1)/(הגדרות!$E$7+1)),הגדרות!$E$8+INT((H2450-1-הגדרות!$E$8*(הגדרות!$E$7+1))/הגדרות!$E$7)))</f>
        <v/>
      </c>
      <c r="J2450" s="0" t="str">
        <f aca="false">IF(I2450="","",IF(H2450-1&lt;הגדרות!$E$8*(הגדרות!$E$7+1),MOD(H2450-1,הגדרות!$E$7+1),MOD(H2450-1-הגדרות!$E$8*(הגדרות!$E$7+1),הגדרות!$E$7)))</f>
        <v/>
      </c>
      <c r="K2450" s="0" t="str">
        <f aca="false">IF(I2450="","",J2450*הגדרות!$E$6+I2450+1)</f>
        <v/>
      </c>
      <c r="L2450" s="0" t="str">
        <f aca="false">IF(K2450="","",MATCH(K2450,$F$2:$F$5001,0))</f>
        <v/>
      </c>
      <c r="M2450" s="0" t="str">
        <f aca="false">IF(I2450="","",INDEX(הגדרות!$A$2:$A$21,MOD(I2450+הגדרות!$E$9,הגדרות!$E$6)+1))</f>
        <v/>
      </c>
    </row>
    <row r="2451" customFormat="false" ht="15" hidden="false" customHeight="false" outlineLevel="0" collapsed="false">
      <c r="A2451" s="0" t="str">
        <f aca="false">IF('הדבקת לידים'!A2451="","",IF(ISNUMBER('הדבקת לידים'!A2451),IF(הגדרות!$E$2&gt;0,TEXT('הדבקת לידים'!A2451,REPT("0",הגדרות!$E$2)),TEXT('הדבקת לידים'!A2451,"0")),TRIM('הדבקת לידים'!A2451)))</f>
        <v/>
      </c>
      <c r="B2451" s="0" t="str">
        <f aca="false">IF('הדבקת לידים'!B2451="","",IF(ISNUMBER('הדבקת לידים'!B2451),IF(הגדרות!$E$3&gt;0,TEXT('הדבקת לידים'!B2451,REPT("0",הגדרות!$E$3)),TEXT('הדבקת לידים'!B2451,"0")),TRIM('הדבקת לידים'!B2451)))</f>
        <v/>
      </c>
      <c r="C2451" s="0" t="n">
        <f aca="false">IF(OR(A2451&lt;&gt;"",B2451&lt;&gt;""),1,0)</f>
        <v>0</v>
      </c>
      <c r="D2451" s="0" t="str">
        <f aca="false">IF(C2451=1,MOD(ABS(SIN(ROW()*12.9898+'הדבקת לידים'!$F$2*78.233+IFERROR(--RIGHT(A2451,6),LEN(A2451))*0.0137+IFERROR(--RIGHT(B2451,6),LEN(B2451))*0.0071))*43758.5453,1),"")</f>
        <v/>
      </c>
      <c r="E2451" s="0" t="str">
        <f aca="false">IF(C2451=1,INT(MOD(ABS(SIN(D2451*7919.123+ROW()*0.618+'הדבקת לידים'!$F$2*1.3))*43758.5453,1)*1000000)*10000+ROW(),"")</f>
        <v/>
      </c>
      <c r="F2451" s="0" t="str">
        <f aca="false">IF(E2451="","",RANK(E2451,$E$2:$E$5001,1))</f>
        <v/>
      </c>
      <c r="G2451" s="0" t="n">
        <f aca="false">IF(A2451="",0,IF(SUMPRODUCT(--($A$2:$A$5001=A2451))&gt;1,1,0))</f>
        <v>0</v>
      </c>
      <c r="H2451" s="0" t="n">
        <f aca="false">ROW()-1</f>
        <v>2450</v>
      </c>
      <c r="I2451" s="0" t="str">
        <f aca="false">IF(OR(הגדרות!$E$6=0,H2451&gt;הגדרות!$E$5),"",IF(H2451-1&lt;הגדרות!$E$8*(הגדרות!$E$7+1),INT((H2451-1)/(הגדרות!$E$7+1)),הגדרות!$E$8+INT((H2451-1-הגדרות!$E$8*(הגדרות!$E$7+1))/הגדרות!$E$7)))</f>
        <v/>
      </c>
      <c r="J2451" s="0" t="str">
        <f aca="false">IF(I2451="","",IF(H2451-1&lt;הגדרות!$E$8*(הגדרות!$E$7+1),MOD(H2451-1,הגדרות!$E$7+1),MOD(H2451-1-הגדרות!$E$8*(הגדרות!$E$7+1),הגדרות!$E$7)))</f>
        <v/>
      </c>
      <c r="K2451" s="0" t="str">
        <f aca="false">IF(I2451="","",J2451*הגדרות!$E$6+I2451+1)</f>
        <v/>
      </c>
      <c r="L2451" s="0" t="str">
        <f aca="false">IF(K2451="","",MATCH(K2451,$F$2:$F$5001,0))</f>
        <v/>
      </c>
      <c r="M2451" s="0" t="str">
        <f aca="false">IF(I2451="","",INDEX(הגדרות!$A$2:$A$21,MOD(I2451+הגדרות!$E$9,הגדרות!$E$6)+1))</f>
        <v/>
      </c>
    </row>
    <row r="2452" customFormat="false" ht="15" hidden="false" customHeight="false" outlineLevel="0" collapsed="false">
      <c r="A2452" s="0" t="str">
        <f aca="false">IF('הדבקת לידים'!A2452="","",IF(ISNUMBER('הדבקת לידים'!A2452),IF(הגדרות!$E$2&gt;0,TEXT('הדבקת לידים'!A2452,REPT("0",הגדרות!$E$2)),TEXT('הדבקת לידים'!A2452,"0")),TRIM('הדבקת לידים'!A2452)))</f>
        <v/>
      </c>
      <c r="B2452" s="0" t="str">
        <f aca="false">IF('הדבקת לידים'!B2452="","",IF(ISNUMBER('הדבקת לידים'!B2452),IF(הגדרות!$E$3&gt;0,TEXT('הדבקת לידים'!B2452,REPT("0",הגדרות!$E$3)),TEXT('הדבקת לידים'!B2452,"0")),TRIM('הדבקת לידים'!B2452)))</f>
        <v/>
      </c>
      <c r="C2452" s="0" t="n">
        <f aca="false">IF(OR(A2452&lt;&gt;"",B2452&lt;&gt;""),1,0)</f>
        <v>0</v>
      </c>
      <c r="D2452" s="0" t="str">
        <f aca="false">IF(C2452=1,MOD(ABS(SIN(ROW()*12.9898+'הדבקת לידים'!$F$2*78.233+IFERROR(--RIGHT(A2452,6),LEN(A2452))*0.0137+IFERROR(--RIGHT(B2452,6),LEN(B2452))*0.0071))*43758.5453,1),"")</f>
        <v/>
      </c>
      <c r="E2452" s="0" t="str">
        <f aca="false">IF(C2452=1,INT(MOD(ABS(SIN(D2452*7919.123+ROW()*0.618+'הדבקת לידים'!$F$2*1.3))*43758.5453,1)*1000000)*10000+ROW(),"")</f>
        <v/>
      </c>
      <c r="F2452" s="0" t="str">
        <f aca="false">IF(E2452="","",RANK(E2452,$E$2:$E$5001,1))</f>
        <v/>
      </c>
      <c r="G2452" s="0" t="n">
        <f aca="false">IF(A2452="",0,IF(SUMPRODUCT(--($A$2:$A$5001=A2452))&gt;1,1,0))</f>
        <v>0</v>
      </c>
      <c r="H2452" s="0" t="n">
        <f aca="false">ROW()-1</f>
        <v>2451</v>
      </c>
      <c r="I2452" s="0" t="str">
        <f aca="false">IF(OR(הגדרות!$E$6=0,H2452&gt;הגדרות!$E$5),"",IF(H2452-1&lt;הגדרות!$E$8*(הגדרות!$E$7+1),INT((H2452-1)/(הגדרות!$E$7+1)),הגדרות!$E$8+INT((H2452-1-הגדרות!$E$8*(הגדרות!$E$7+1))/הגדרות!$E$7)))</f>
        <v/>
      </c>
      <c r="J2452" s="0" t="str">
        <f aca="false">IF(I2452="","",IF(H2452-1&lt;הגדרות!$E$8*(הגדרות!$E$7+1),MOD(H2452-1,הגדרות!$E$7+1),MOD(H2452-1-הגדרות!$E$8*(הגדרות!$E$7+1),הגדרות!$E$7)))</f>
        <v/>
      </c>
      <c r="K2452" s="0" t="str">
        <f aca="false">IF(I2452="","",J2452*הגדרות!$E$6+I2452+1)</f>
        <v/>
      </c>
      <c r="L2452" s="0" t="str">
        <f aca="false">IF(K2452="","",MATCH(K2452,$F$2:$F$5001,0))</f>
        <v/>
      </c>
      <c r="M2452" s="0" t="str">
        <f aca="false">IF(I2452="","",INDEX(הגדרות!$A$2:$A$21,MOD(I2452+הגדרות!$E$9,הגדרות!$E$6)+1))</f>
        <v/>
      </c>
    </row>
    <row r="2453" customFormat="false" ht="15" hidden="false" customHeight="false" outlineLevel="0" collapsed="false">
      <c r="A2453" s="0" t="str">
        <f aca="false">IF('הדבקת לידים'!A2453="","",IF(ISNUMBER('הדבקת לידים'!A2453),IF(הגדרות!$E$2&gt;0,TEXT('הדבקת לידים'!A2453,REPT("0",הגדרות!$E$2)),TEXT('הדבקת לידים'!A2453,"0")),TRIM('הדבקת לידים'!A2453)))</f>
        <v/>
      </c>
      <c r="B2453" s="0" t="str">
        <f aca="false">IF('הדבקת לידים'!B2453="","",IF(ISNUMBER('הדבקת לידים'!B2453),IF(הגדרות!$E$3&gt;0,TEXT('הדבקת לידים'!B2453,REPT("0",הגדרות!$E$3)),TEXT('הדבקת לידים'!B2453,"0")),TRIM('הדבקת לידים'!B2453)))</f>
        <v/>
      </c>
      <c r="C2453" s="0" t="n">
        <f aca="false">IF(OR(A2453&lt;&gt;"",B2453&lt;&gt;""),1,0)</f>
        <v>0</v>
      </c>
      <c r="D2453" s="0" t="str">
        <f aca="false">IF(C2453=1,MOD(ABS(SIN(ROW()*12.9898+'הדבקת לידים'!$F$2*78.233+IFERROR(--RIGHT(A2453,6),LEN(A2453))*0.0137+IFERROR(--RIGHT(B2453,6),LEN(B2453))*0.0071))*43758.5453,1),"")</f>
        <v/>
      </c>
      <c r="E2453" s="0" t="str">
        <f aca="false">IF(C2453=1,INT(MOD(ABS(SIN(D2453*7919.123+ROW()*0.618+'הדבקת לידים'!$F$2*1.3))*43758.5453,1)*1000000)*10000+ROW(),"")</f>
        <v/>
      </c>
      <c r="F2453" s="0" t="str">
        <f aca="false">IF(E2453="","",RANK(E2453,$E$2:$E$5001,1))</f>
        <v/>
      </c>
      <c r="G2453" s="0" t="n">
        <f aca="false">IF(A2453="",0,IF(SUMPRODUCT(--($A$2:$A$5001=A2453))&gt;1,1,0))</f>
        <v>0</v>
      </c>
      <c r="H2453" s="0" t="n">
        <f aca="false">ROW()-1</f>
        <v>2452</v>
      </c>
      <c r="I2453" s="0" t="str">
        <f aca="false">IF(OR(הגדרות!$E$6=0,H2453&gt;הגדרות!$E$5),"",IF(H2453-1&lt;הגדרות!$E$8*(הגדרות!$E$7+1),INT((H2453-1)/(הגדרות!$E$7+1)),הגדרות!$E$8+INT((H2453-1-הגדרות!$E$8*(הגדרות!$E$7+1))/הגדרות!$E$7)))</f>
        <v/>
      </c>
      <c r="J2453" s="0" t="str">
        <f aca="false">IF(I2453="","",IF(H2453-1&lt;הגדרות!$E$8*(הגדרות!$E$7+1),MOD(H2453-1,הגדרות!$E$7+1),MOD(H2453-1-הגדרות!$E$8*(הגדרות!$E$7+1),הגדרות!$E$7)))</f>
        <v/>
      </c>
      <c r="K2453" s="0" t="str">
        <f aca="false">IF(I2453="","",J2453*הגדרות!$E$6+I2453+1)</f>
        <v/>
      </c>
      <c r="L2453" s="0" t="str">
        <f aca="false">IF(K2453="","",MATCH(K2453,$F$2:$F$5001,0))</f>
        <v/>
      </c>
      <c r="M2453" s="0" t="str">
        <f aca="false">IF(I2453="","",INDEX(הגדרות!$A$2:$A$21,MOD(I2453+הגדרות!$E$9,הגדרות!$E$6)+1))</f>
        <v/>
      </c>
    </row>
    <row r="2454" customFormat="false" ht="15" hidden="false" customHeight="false" outlineLevel="0" collapsed="false">
      <c r="A2454" s="0" t="str">
        <f aca="false">IF('הדבקת לידים'!A2454="","",IF(ISNUMBER('הדבקת לידים'!A2454),IF(הגדרות!$E$2&gt;0,TEXT('הדבקת לידים'!A2454,REPT("0",הגדרות!$E$2)),TEXT('הדבקת לידים'!A2454,"0")),TRIM('הדבקת לידים'!A2454)))</f>
        <v/>
      </c>
      <c r="B2454" s="0" t="str">
        <f aca="false">IF('הדבקת לידים'!B2454="","",IF(ISNUMBER('הדבקת לידים'!B2454),IF(הגדרות!$E$3&gt;0,TEXT('הדבקת לידים'!B2454,REPT("0",הגדרות!$E$3)),TEXT('הדבקת לידים'!B2454,"0")),TRIM('הדבקת לידים'!B2454)))</f>
        <v/>
      </c>
      <c r="C2454" s="0" t="n">
        <f aca="false">IF(OR(A2454&lt;&gt;"",B2454&lt;&gt;""),1,0)</f>
        <v>0</v>
      </c>
      <c r="D2454" s="0" t="str">
        <f aca="false">IF(C2454=1,MOD(ABS(SIN(ROW()*12.9898+'הדבקת לידים'!$F$2*78.233+IFERROR(--RIGHT(A2454,6),LEN(A2454))*0.0137+IFERROR(--RIGHT(B2454,6),LEN(B2454))*0.0071))*43758.5453,1),"")</f>
        <v/>
      </c>
      <c r="E2454" s="0" t="str">
        <f aca="false">IF(C2454=1,INT(MOD(ABS(SIN(D2454*7919.123+ROW()*0.618+'הדבקת לידים'!$F$2*1.3))*43758.5453,1)*1000000)*10000+ROW(),"")</f>
        <v/>
      </c>
      <c r="F2454" s="0" t="str">
        <f aca="false">IF(E2454="","",RANK(E2454,$E$2:$E$5001,1))</f>
        <v/>
      </c>
      <c r="G2454" s="0" t="n">
        <f aca="false">IF(A2454="",0,IF(SUMPRODUCT(--($A$2:$A$5001=A2454))&gt;1,1,0))</f>
        <v>0</v>
      </c>
      <c r="H2454" s="0" t="n">
        <f aca="false">ROW()-1</f>
        <v>2453</v>
      </c>
      <c r="I2454" s="0" t="str">
        <f aca="false">IF(OR(הגדרות!$E$6=0,H2454&gt;הגדרות!$E$5),"",IF(H2454-1&lt;הגדרות!$E$8*(הגדרות!$E$7+1),INT((H2454-1)/(הגדרות!$E$7+1)),הגדרות!$E$8+INT((H2454-1-הגדרות!$E$8*(הגדרות!$E$7+1))/הגדרות!$E$7)))</f>
        <v/>
      </c>
      <c r="J2454" s="0" t="str">
        <f aca="false">IF(I2454="","",IF(H2454-1&lt;הגדרות!$E$8*(הגדרות!$E$7+1),MOD(H2454-1,הגדרות!$E$7+1),MOD(H2454-1-הגדרות!$E$8*(הגדרות!$E$7+1),הגדרות!$E$7)))</f>
        <v/>
      </c>
      <c r="K2454" s="0" t="str">
        <f aca="false">IF(I2454="","",J2454*הגדרות!$E$6+I2454+1)</f>
        <v/>
      </c>
      <c r="L2454" s="0" t="str">
        <f aca="false">IF(K2454="","",MATCH(K2454,$F$2:$F$5001,0))</f>
        <v/>
      </c>
      <c r="M2454" s="0" t="str">
        <f aca="false">IF(I2454="","",INDEX(הגדרות!$A$2:$A$21,MOD(I2454+הגדרות!$E$9,הגדרות!$E$6)+1))</f>
        <v/>
      </c>
    </row>
    <row r="2455" customFormat="false" ht="15" hidden="false" customHeight="false" outlineLevel="0" collapsed="false">
      <c r="A2455" s="0" t="str">
        <f aca="false">IF('הדבקת לידים'!A2455="","",IF(ISNUMBER('הדבקת לידים'!A2455),IF(הגדרות!$E$2&gt;0,TEXT('הדבקת לידים'!A2455,REPT("0",הגדרות!$E$2)),TEXT('הדבקת לידים'!A2455,"0")),TRIM('הדבקת לידים'!A2455)))</f>
        <v/>
      </c>
      <c r="B2455" s="0" t="str">
        <f aca="false">IF('הדבקת לידים'!B2455="","",IF(ISNUMBER('הדבקת לידים'!B2455),IF(הגדרות!$E$3&gt;0,TEXT('הדבקת לידים'!B2455,REPT("0",הגדרות!$E$3)),TEXT('הדבקת לידים'!B2455,"0")),TRIM('הדבקת לידים'!B2455)))</f>
        <v/>
      </c>
      <c r="C2455" s="0" t="n">
        <f aca="false">IF(OR(A2455&lt;&gt;"",B2455&lt;&gt;""),1,0)</f>
        <v>0</v>
      </c>
      <c r="D2455" s="0" t="str">
        <f aca="false">IF(C2455=1,MOD(ABS(SIN(ROW()*12.9898+'הדבקת לידים'!$F$2*78.233+IFERROR(--RIGHT(A2455,6),LEN(A2455))*0.0137+IFERROR(--RIGHT(B2455,6),LEN(B2455))*0.0071))*43758.5453,1),"")</f>
        <v/>
      </c>
      <c r="E2455" s="0" t="str">
        <f aca="false">IF(C2455=1,INT(MOD(ABS(SIN(D2455*7919.123+ROW()*0.618+'הדבקת לידים'!$F$2*1.3))*43758.5453,1)*1000000)*10000+ROW(),"")</f>
        <v/>
      </c>
      <c r="F2455" s="0" t="str">
        <f aca="false">IF(E2455="","",RANK(E2455,$E$2:$E$5001,1))</f>
        <v/>
      </c>
      <c r="G2455" s="0" t="n">
        <f aca="false">IF(A2455="",0,IF(SUMPRODUCT(--($A$2:$A$5001=A2455))&gt;1,1,0))</f>
        <v>0</v>
      </c>
      <c r="H2455" s="0" t="n">
        <f aca="false">ROW()-1</f>
        <v>2454</v>
      </c>
      <c r="I2455" s="0" t="str">
        <f aca="false">IF(OR(הגדרות!$E$6=0,H2455&gt;הגדרות!$E$5),"",IF(H2455-1&lt;הגדרות!$E$8*(הגדרות!$E$7+1),INT((H2455-1)/(הגדרות!$E$7+1)),הגדרות!$E$8+INT((H2455-1-הגדרות!$E$8*(הגדרות!$E$7+1))/הגדרות!$E$7)))</f>
        <v/>
      </c>
      <c r="J2455" s="0" t="str">
        <f aca="false">IF(I2455="","",IF(H2455-1&lt;הגדרות!$E$8*(הגדרות!$E$7+1),MOD(H2455-1,הגדרות!$E$7+1),MOD(H2455-1-הגדרות!$E$8*(הגדרות!$E$7+1),הגדרות!$E$7)))</f>
        <v/>
      </c>
      <c r="K2455" s="0" t="str">
        <f aca="false">IF(I2455="","",J2455*הגדרות!$E$6+I2455+1)</f>
        <v/>
      </c>
      <c r="L2455" s="0" t="str">
        <f aca="false">IF(K2455="","",MATCH(K2455,$F$2:$F$5001,0))</f>
        <v/>
      </c>
      <c r="M2455" s="0" t="str">
        <f aca="false">IF(I2455="","",INDEX(הגדרות!$A$2:$A$21,MOD(I2455+הגדרות!$E$9,הגדרות!$E$6)+1))</f>
        <v/>
      </c>
    </row>
    <row r="2456" customFormat="false" ht="15" hidden="false" customHeight="false" outlineLevel="0" collapsed="false">
      <c r="A2456" s="0" t="str">
        <f aca="false">IF('הדבקת לידים'!A2456="","",IF(ISNUMBER('הדבקת לידים'!A2456),IF(הגדרות!$E$2&gt;0,TEXT('הדבקת לידים'!A2456,REPT("0",הגדרות!$E$2)),TEXT('הדבקת לידים'!A2456,"0")),TRIM('הדבקת לידים'!A2456)))</f>
        <v/>
      </c>
      <c r="B2456" s="0" t="str">
        <f aca="false">IF('הדבקת לידים'!B2456="","",IF(ISNUMBER('הדבקת לידים'!B2456),IF(הגדרות!$E$3&gt;0,TEXT('הדבקת לידים'!B2456,REPT("0",הגדרות!$E$3)),TEXT('הדבקת לידים'!B2456,"0")),TRIM('הדבקת לידים'!B2456)))</f>
        <v/>
      </c>
      <c r="C2456" s="0" t="n">
        <f aca="false">IF(OR(A2456&lt;&gt;"",B2456&lt;&gt;""),1,0)</f>
        <v>0</v>
      </c>
      <c r="D2456" s="0" t="str">
        <f aca="false">IF(C2456=1,MOD(ABS(SIN(ROW()*12.9898+'הדבקת לידים'!$F$2*78.233+IFERROR(--RIGHT(A2456,6),LEN(A2456))*0.0137+IFERROR(--RIGHT(B2456,6),LEN(B2456))*0.0071))*43758.5453,1),"")</f>
        <v/>
      </c>
      <c r="E2456" s="0" t="str">
        <f aca="false">IF(C2456=1,INT(MOD(ABS(SIN(D2456*7919.123+ROW()*0.618+'הדבקת לידים'!$F$2*1.3))*43758.5453,1)*1000000)*10000+ROW(),"")</f>
        <v/>
      </c>
      <c r="F2456" s="0" t="str">
        <f aca="false">IF(E2456="","",RANK(E2456,$E$2:$E$5001,1))</f>
        <v/>
      </c>
      <c r="G2456" s="0" t="n">
        <f aca="false">IF(A2456="",0,IF(SUMPRODUCT(--($A$2:$A$5001=A2456))&gt;1,1,0))</f>
        <v>0</v>
      </c>
      <c r="H2456" s="0" t="n">
        <f aca="false">ROW()-1</f>
        <v>2455</v>
      </c>
      <c r="I2456" s="0" t="str">
        <f aca="false">IF(OR(הגדרות!$E$6=0,H2456&gt;הגדרות!$E$5),"",IF(H2456-1&lt;הגדרות!$E$8*(הגדרות!$E$7+1),INT((H2456-1)/(הגדרות!$E$7+1)),הגדרות!$E$8+INT((H2456-1-הגדרות!$E$8*(הגדרות!$E$7+1))/הגדרות!$E$7)))</f>
        <v/>
      </c>
      <c r="J2456" s="0" t="str">
        <f aca="false">IF(I2456="","",IF(H2456-1&lt;הגדרות!$E$8*(הגדרות!$E$7+1),MOD(H2456-1,הגדרות!$E$7+1),MOD(H2456-1-הגדרות!$E$8*(הגדרות!$E$7+1),הגדרות!$E$7)))</f>
        <v/>
      </c>
      <c r="K2456" s="0" t="str">
        <f aca="false">IF(I2456="","",J2456*הגדרות!$E$6+I2456+1)</f>
        <v/>
      </c>
      <c r="L2456" s="0" t="str">
        <f aca="false">IF(K2456="","",MATCH(K2456,$F$2:$F$5001,0))</f>
        <v/>
      </c>
      <c r="M2456" s="0" t="str">
        <f aca="false">IF(I2456="","",INDEX(הגדרות!$A$2:$A$21,MOD(I2456+הגדרות!$E$9,הגדרות!$E$6)+1))</f>
        <v/>
      </c>
    </row>
    <row r="2457" customFormat="false" ht="15" hidden="false" customHeight="false" outlineLevel="0" collapsed="false">
      <c r="A2457" s="0" t="str">
        <f aca="false">IF('הדבקת לידים'!A2457="","",IF(ISNUMBER('הדבקת לידים'!A2457),IF(הגדרות!$E$2&gt;0,TEXT('הדבקת לידים'!A2457,REPT("0",הגדרות!$E$2)),TEXT('הדבקת לידים'!A2457,"0")),TRIM('הדבקת לידים'!A2457)))</f>
        <v/>
      </c>
      <c r="B2457" s="0" t="str">
        <f aca="false">IF('הדבקת לידים'!B2457="","",IF(ISNUMBER('הדבקת לידים'!B2457),IF(הגדרות!$E$3&gt;0,TEXT('הדבקת לידים'!B2457,REPT("0",הגדרות!$E$3)),TEXT('הדבקת לידים'!B2457,"0")),TRIM('הדבקת לידים'!B2457)))</f>
        <v/>
      </c>
      <c r="C2457" s="0" t="n">
        <f aca="false">IF(OR(A2457&lt;&gt;"",B2457&lt;&gt;""),1,0)</f>
        <v>0</v>
      </c>
      <c r="D2457" s="0" t="str">
        <f aca="false">IF(C2457=1,MOD(ABS(SIN(ROW()*12.9898+'הדבקת לידים'!$F$2*78.233+IFERROR(--RIGHT(A2457,6),LEN(A2457))*0.0137+IFERROR(--RIGHT(B2457,6),LEN(B2457))*0.0071))*43758.5453,1),"")</f>
        <v/>
      </c>
      <c r="E2457" s="0" t="str">
        <f aca="false">IF(C2457=1,INT(MOD(ABS(SIN(D2457*7919.123+ROW()*0.618+'הדבקת לידים'!$F$2*1.3))*43758.5453,1)*1000000)*10000+ROW(),"")</f>
        <v/>
      </c>
      <c r="F2457" s="0" t="str">
        <f aca="false">IF(E2457="","",RANK(E2457,$E$2:$E$5001,1))</f>
        <v/>
      </c>
      <c r="G2457" s="0" t="n">
        <f aca="false">IF(A2457="",0,IF(SUMPRODUCT(--($A$2:$A$5001=A2457))&gt;1,1,0))</f>
        <v>0</v>
      </c>
      <c r="H2457" s="0" t="n">
        <f aca="false">ROW()-1</f>
        <v>2456</v>
      </c>
      <c r="I2457" s="0" t="str">
        <f aca="false">IF(OR(הגדרות!$E$6=0,H2457&gt;הגדרות!$E$5),"",IF(H2457-1&lt;הגדרות!$E$8*(הגדרות!$E$7+1),INT((H2457-1)/(הגדרות!$E$7+1)),הגדרות!$E$8+INT((H2457-1-הגדרות!$E$8*(הגדרות!$E$7+1))/הגדרות!$E$7)))</f>
        <v/>
      </c>
      <c r="J2457" s="0" t="str">
        <f aca="false">IF(I2457="","",IF(H2457-1&lt;הגדרות!$E$8*(הגדרות!$E$7+1),MOD(H2457-1,הגדרות!$E$7+1),MOD(H2457-1-הגדרות!$E$8*(הגדרות!$E$7+1),הגדרות!$E$7)))</f>
        <v/>
      </c>
      <c r="K2457" s="0" t="str">
        <f aca="false">IF(I2457="","",J2457*הגדרות!$E$6+I2457+1)</f>
        <v/>
      </c>
      <c r="L2457" s="0" t="str">
        <f aca="false">IF(K2457="","",MATCH(K2457,$F$2:$F$5001,0))</f>
        <v/>
      </c>
      <c r="M2457" s="0" t="str">
        <f aca="false">IF(I2457="","",INDEX(הגדרות!$A$2:$A$21,MOD(I2457+הגדרות!$E$9,הגדרות!$E$6)+1))</f>
        <v/>
      </c>
    </row>
    <row r="2458" customFormat="false" ht="15" hidden="false" customHeight="false" outlineLevel="0" collapsed="false">
      <c r="A2458" s="0" t="str">
        <f aca="false">IF('הדבקת לידים'!A2458="","",IF(ISNUMBER('הדבקת לידים'!A2458),IF(הגדרות!$E$2&gt;0,TEXT('הדבקת לידים'!A2458,REPT("0",הגדרות!$E$2)),TEXT('הדבקת לידים'!A2458,"0")),TRIM('הדבקת לידים'!A2458)))</f>
        <v/>
      </c>
      <c r="B2458" s="0" t="str">
        <f aca="false">IF('הדבקת לידים'!B2458="","",IF(ISNUMBER('הדבקת לידים'!B2458),IF(הגדרות!$E$3&gt;0,TEXT('הדבקת לידים'!B2458,REPT("0",הגדרות!$E$3)),TEXT('הדבקת לידים'!B2458,"0")),TRIM('הדבקת לידים'!B2458)))</f>
        <v/>
      </c>
      <c r="C2458" s="0" t="n">
        <f aca="false">IF(OR(A2458&lt;&gt;"",B2458&lt;&gt;""),1,0)</f>
        <v>0</v>
      </c>
      <c r="D2458" s="0" t="str">
        <f aca="false">IF(C2458=1,MOD(ABS(SIN(ROW()*12.9898+'הדבקת לידים'!$F$2*78.233+IFERROR(--RIGHT(A2458,6),LEN(A2458))*0.0137+IFERROR(--RIGHT(B2458,6),LEN(B2458))*0.0071))*43758.5453,1),"")</f>
        <v/>
      </c>
      <c r="E2458" s="0" t="str">
        <f aca="false">IF(C2458=1,INT(MOD(ABS(SIN(D2458*7919.123+ROW()*0.618+'הדבקת לידים'!$F$2*1.3))*43758.5453,1)*1000000)*10000+ROW(),"")</f>
        <v/>
      </c>
      <c r="F2458" s="0" t="str">
        <f aca="false">IF(E2458="","",RANK(E2458,$E$2:$E$5001,1))</f>
        <v/>
      </c>
      <c r="G2458" s="0" t="n">
        <f aca="false">IF(A2458="",0,IF(SUMPRODUCT(--($A$2:$A$5001=A2458))&gt;1,1,0))</f>
        <v>0</v>
      </c>
      <c r="H2458" s="0" t="n">
        <f aca="false">ROW()-1</f>
        <v>2457</v>
      </c>
      <c r="I2458" s="0" t="str">
        <f aca="false">IF(OR(הגדרות!$E$6=0,H2458&gt;הגדרות!$E$5),"",IF(H2458-1&lt;הגדרות!$E$8*(הגדרות!$E$7+1),INT((H2458-1)/(הגדרות!$E$7+1)),הגדרות!$E$8+INT((H2458-1-הגדרות!$E$8*(הגדרות!$E$7+1))/הגדרות!$E$7)))</f>
        <v/>
      </c>
      <c r="J2458" s="0" t="str">
        <f aca="false">IF(I2458="","",IF(H2458-1&lt;הגדרות!$E$8*(הגדרות!$E$7+1),MOD(H2458-1,הגדרות!$E$7+1),MOD(H2458-1-הגדרות!$E$8*(הגדרות!$E$7+1),הגדרות!$E$7)))</f>
        <v/>
      </c>
      <c r="K2458" s="0" t="str">
        <f aca="false">IF(I2458="","",J2458*הגדרות!$E$6+I2458+1)</f>
        <v/>
      </c>
      <c r="L2458" s="0" t="str">
        <f aca="false">IF(K2458="","",MATCH(K2458,$F$2:$F$5001,0))</f>
        <v/>
      </c>
      <c r="M2458" s="0" t="str">
        <f aca="false">IF(I2458="","",INDEX(הגדרות!$A$2:$A$21,MOD(I2458+הגדרות!$E$9,הגדרות!$E$6)+1))</f>
        <v/>
      </c>
    </row>
    <row r="2459" customFormat="false" ht="15" hidden="false" customHeight="false" outlineLevel="0" collapsed="false">
      <c r="A2459" s="0" t="str">
        <f aca="false">IF('הדבקת לידים'!A2459="","",IF(ISNUMBER('הדבקת לידים'!A2459),IF(הגדרות!$E$2&gt;0,TEXT('הדבקת לידים'!A2459,REPT("0",הגדרות!$E$2)),TEXT('הדבקת לידים'!A2459,"0")),TRIM('הדבקת לידים'!A2459)))</f>
        <v/>
      </c>
      <c r="B2459" s="0" t="str">
        <f aca="false">IF('הדבקת לידים'!B2459="","",IF(ISNUMBER('הדבקת לידים'!B2459),IF(הגדרות!$E$3&gt;0,TEXT('הדבקת לידים'!B2459,REPT("0",הגדרות!$E$3)),TEXT('הדבקת לידים'!B2459,"0")),TRIM('הדבקת לידים'!B2459)))</f>
        <v/>
      </c>
      <c r="C2459" s="0" t="n">
        <f aca="false">IF(OR(A2459&lt;&gt;"",B2459&lt;&gt;""),1,0)</f>
        <v>0</v>
      </c>
      <c r="D2459" s="0" t="str">
        <f aca="false">IF(C2459=1,MOD(ABS(SIN(ROW()*12.9898+'הדבקת לידים'!$F$2*78.233+IFERROR(--RIGHT(A2459,6),LEN(A2459))*0.0137+IFERROR(--RIGHT(B2459,6),LEN(B2459))*0.0071))*43758.5453,1),"")</f>
        <v/>
      </c>
      <c r="E2459" s="0" t="str">
        <f aca="false">IF(C2459=1,INT(MOD(ABS(SIN(D2459*7919.123+ROW()*0.618+'הדבקת לידים'!$F$2*1.3))*43758.5453,1)*1000000)*10000+ROW(),"")</f>
        <v/>
      </c>
      <c r="F2459" s="0" t="str">
        <f aca="false">IF(E2459="","",RANK(E2459,$E$2:$E$5001,1))</f>
        <v/>
      </c>
      <c r="G2459" s="0" t="n">
        <f aca="false">IF(A2459="",0,IF(SUMPRODUCT(--($A$2:$A$5001=A2459))&gt;1,1,0))</f>
        <v>0</v>
      </c>
      <c r="H2459" s="0" t="n">
        <f aca="false">ROW()-1</f>
        <v>2458</v>
      </c>
      <c r="I2459" s="0" t="str">
        <f aca="false">IF(OR(הגדרות!$E$6=0,H2459&gt;הגדרות!$E$5),"",IF(H2459-1&lt;הגדרות!$E$8*(הגדרות!$E$7+1),INT((H2459-1)/(הגדרות!$E$7+1)),הגדרות!$E$8+INT((H2459-1-הגדרות!$E$8*(הגדרות!$E$7+1))/הגדרות!$E$7)))</f>
        <v/>
      </c>
      <c r="J2459" s="0" t="str">
        <f aca="false">IF(I2459="","",IF(H2459-1&lt;הגדרות!$E$8*(הגדרות!$E$7+1),MOD(H2459-1,הגדרות!$E$7+1),MOD(H2459-1-הגדרות!$E$8*(הגדרות!$E$7+1),הגדרות!$E$7)))</f>
        <v/>
      </c>
      <c r="K2459" s="0" t="str">
        <f aca="false">IF(I2459="","",J2459*הגדרות!$E$6+I2459+1)</f>
        <v/>
      </c>
      <c r="L2459" s="0" t="str">
        <f aca="false">IF(K2459="","",MATCH(K2459,$F$2:$F$5001,0))</f>
        <v/>
      </c>
      <c r="M2459" s="0" t="str">
        <f aca="false">IF(I2459="","",INDEX(הגדרות!$A$2:$A$21,MOD(I2459+הגדרות!$E$9,הגדרות!$E$6)+1))</f>
        <v/>
      </c>
    </row>
    <row r="2460" customFormat="false" ht="15" hidden="false" customHeight="false" outlineLevel="0" collapsed="false">
      <c r="A2460" s="0" t="str">
        <f aca="false">IF('הדבקת לידים'!A2460="","",IF(ISNUMBER('הדבקת לידים'!A2460),IF(הגדרות!$E$2&gt;0,TEXT('הדבקת לידים'!A2460,REPT("0",הגדרות!$E$2)),TEXT('הדבקת לידים'!A2460,"0")),TRIM('הדבקת לידים'!A2460)))</f>
        <v/>
      </c>
      <c r="B2460" s="0" t="str">
        <f aca="false">IF('הדבקת לידים'!B2460="","",IF(ISNUMBER('הדבקת לידים'!B2460),IF(הגדרות!$E$3&gt;0,TEXT('הדבקת לידים'!B2460,REPT("0",הגדרות!$E$3)),TEXT('הדבקת לידים'!B2460,"0")),TRIM('הדבקת לידים'!B2460)))</f>
        <v/>
      </c>
      <c r="C2460" s="0" t="n">
        <f aca="false">IF(OR(A2460&lt;&gt;"",B2460&lt;&gt;""),1,0)</f>
        <v>0</v>
      </c>
      <c r="D2460" s="0" t="str">
        <f aca="false">IF(C2460=1,MOD(ABS(SIN(ROW()*12.9898+'הדבקת לידים'!$F$2*78.233+IFERROR(--RIGHT(A2460,6),LEN(A2460))*0.0137+IFERROR(--RIGHT(B2460,6),LEN(B2460))*0.0071))*43758.5453,1),"")</f>
        <v/>
      </c>
      <c r="E2460" s="0" t="str">
        <f aca="false">IF(C2460=1,INT(MOD(ABS(SIN(D2460*7919.123+ROW()*0.618+'הדבקת לידים'!$F$2*1.3))*43758.5453,1)*1000000)*10000+ROW(),"")</f>
        <v/>
      </c>
      <c r="F2460" s="0" t="str">
        <f aca="false">IF(E2460="","",RANK(E2460,$E$2:$E$5001,1))</f>
        <v/>
      </c>
      <c r="G2460" s="0" t="n">
        <f aca="false">IF(A2460="",0,IF(SUMPRODUCT(--($A$2:$A$5001=A2460))&gt;1,1,0))</f>
        <v>0</v>
      </c>
      <c r="H2460" s="0" t="n">
        <f aca="false">ROW()-1</f>
        <v>2459</v>
      </c>
      <c r="I2460" s="0" t="str">
        <f aca="false">IF(OR(הגדרות!$E$6=0,H2460&gt;הגדרות!$E$5),"",IF(H2460-1&lt;הגדרות!$E$8*(הגדרות!$E$7+1),INT((H2460-1)/(הגדרות!$E$7+1)),הגדרות!$E$8+INT((H2460-1-הגדרות!$E$8*(הגדרות!$E$7+1))/הגדרות!$E$7)))</f>
        <v/>
      </c>
      <c r="J2460" s="0" t="str">
        <f aca="false">IF(I2460="","",IF(H2460-1&lt;הגדרות!$E$8*(הגדרות!$E$7+1),MOD(H2460-1,הגדרות!$E$7+1),MOD(H2460-1-הגדרות!$E$8*(הגדרות!$E$7+1),הגדרות!$E$7)))</f>
        <v/>
      </c>
      <c r="K2460" s="0" t="str">
        <f aca="false">IF(I2460="","",J2460*הגדרות!$E$6+I2460+1)</f>
        <v/>
      </c>
      <c r="L2460" s="0" t="str">
        <f aca="false">IF(K2460="","",MATCH(K2460,$F$2:$F$5001,0))</f>
        <v/>
      </c>
      <c r="M2460" s="0" t="str">
        <f aca="false">IF(I2460="","",INDEX(הגדרות!$A$2:$A$21,MOD(I2460+הגדרות!$E$9,הגדרות!$E$6)+1))</f>
        <v/>
      </c>
    </row>
    <row r="2461" customFormat="false" ht="15" hidden="false" customHeight="false" outlineLevel="0" collapsed="false">
      <c r="A2461" s="0" t="str">
        <f aca="false">IF('הדבקת לידים'!A2461="","",IF(ISNUMBER('הדבקת לידים'!A2461),IF(הגדרות!$E$2&gt;0,TEXT('הדבקת לידים'!A2461,REPT("0",הגדרות!$E$2)),TEXT('הדבקת לידים'!A2461,"0")),TRIM('הדבקת לידים'!A2461)))</f>
        <v/>
      </c>
      <c r="B2461" s="0" t="str">
        <f aca="false">IF('הדבקת לידים'!B2461="","",IF(ISNUMBER('הדבקת לידים'!B2461),IF(הגדרות!$E$3&gt;0,TEXT('הדבקת לידים'!B2461,REPT("0",הגדרות!$E$3)),TEXT('הדבקת לידים'!B2461,"0")),TRIM('הדבקת לידים'!B2461)))</f>
        <v/>
      </c>
      <c r="C2461" s="0" t="n">
        <f aca="false">IF(OR(A2461&lt;&gt;"",B2461&lt;&gt;""),1,0)</f>
        <v>0</v>
      </c>
      <c r="D2461" s="0" t="str">
        <f aca="false">IF(C2461=1,MOD(ABS(SIN(ROW()*12.9898+'הדבקת לידים'!$F$2*78.233+IFERROR(--RIGHT(A2461,6),LEN(A2461))*0.0137+IFERROR(--RIGHT(B2461,6),LEN(B2461))*0.0071))*43758.5453,1),"")</f>
        <v/>
      </c>
      <c r="E2461" s="0" t="str">
        <f aca="false">IF(C2461=1,INT(MOD(ABS(SIN(D2461*7919.123+ROW()*0.618+'הדבקת לידים'!$F$2*1.3))*43758.5453,1)*1000000)*10000+ROW(),"")</f>
        <v/>
      </c>
      <c r="F2461" s="0" t="str">
        <f aca="false">IF(E2461="","",RANK(E2461,$E$2:$E$5001,1))</f>
        <v/>
      </c>
      <c r="G2461" s="0" t="n">
        <f aca="false">IF(A2461="",0,IF(SUMPRODUCT(--($A$2:$A$5001=A2461))&gt;1,1,0))</f>
        <v>0</v>
      </c>
      <c r="H2461" s="0" t="n">
        <f aca="false">ROW()-1</f>
        <v>2460</v>
      </c>
      <c r="I2461" s="0" t="str">
        <f aca="false">IF(OR(הגדרות!$E$6=0,H2461&gt;הגדרות!$E$5),"",IF(H2461-1&lt;הגדרות!$E$8*(הגדרות!$E$7+1),INT((H2461-1)/(הגדרות!$E$7+1)),הגדרות!$E$8+INT((H2461-1-הגדרות!$E$8*(הגדרות!$E$7+1))/הגדרות!$E$7)))</f>
        <v/>
      </c>
      <c r="J2461" s="0" t="str">
        <f aca="false">IF(I2461="","",IF(H2461-1&lt;הגדרות!$E$8*(הגדרות!$E$7+1),MOD(H2461-1,הגדרות!$E$7+1),MOD(H2461-1-הגדרות!$E$8*(הגדרות!$E$7+1),הגדרות!$E$7)))</f>
        <v/>
      </c>
      <c r="K2461" s="0" t="str">
        <f aca="false">IF(I2461="","",J2461*הגדרות!$E$6+I2461+1)</f>
        <v/>
      </c>
      <c r="L2461" s="0" t="str">
        <f aca="false">IF(K2461="","",MATCH(K2461,$F$2:$F$5001,0))</f>
        <v/>
      </c>
      <c r="M2461" s="0" t="str">
        <f aca="false">IF(I2461="","",INDEX(הגדרות!$A$2:$A$21,MOD(I2461+הגדרות!$E$9,הגדרות!$E$6)+1))</f>
        <v/>
      </c>
    </row>
    <row r="2462" customFormat="false" ht="15" hidden="false" customHeight="false" outlineLevel="0" collapsed="false">
      <c r="A2462" s="0" t="str">
        <f aca="false">IF('הדבקת לידים'!A2462="","",IF(ISNUMBER('הדבקת לידים'!A2462),IF(הגדרות!$E$2&gt;0,TEXT('הדבקת לידים'!A2462,REPT("0",הגדרות!$E$2)),TEXT('הדבקת לידים'!A2462,"0")),TRIM('הדבקת לידים'!A2462)))</f>
        <v/>
      </c>
      <c r="B2462" s="0" t="str">
        <f aca="false">IF('הדבקת לידים'!B2462="","",IF(ISNUMBER('הדבקת לידים'!B2462),IF(הגדרות!$E$3&gt;0,TEXT('הדבקת לידים'!B2462,REPT("0",הגדרות!$E$3)),TEXT('הדבקת לידים'!B2462,"0")),TRIM('הדבקת לידים'!B2462)))</f>
        <v/>
      </c>
      <c r="C2462" s="0" t="n">
        <f aca="false">IF(OR(A2462&lt;&gt;"",B2462&lt;&gt;""),1,0)</f>
        <v>0</v>
      </c>
      <c r="D2462" s="0" t="str">
        <f aca="false">IF(C2462=1,MOD(ABS(SIN(ROW()*12.9898+'הדבקת לידים'!$F$2*78.233+IFERROR(--RIGHT(A2462,6),LEN(A2462))*0.0137+IFERROR(--RIGHT(B2462,6),LEN(B2462))*0.0071))*43758.5453,1),"")</f>
        <v/>
      </c>
      <c r="E2462" s="0" t="str">
        <f aca="false">IF(C2462=1,INT(MOD(ABS(SIN(D2462*7919.123+ROW()*0.618+'הדבקת לידים'!$F$2*1.3))*43758.5453,1)*1000000)*10000+ROW(),"")</f>
        <v/>
      </c>
      <c r="F2462" s="0" t="str">
        <f aca="false">IF(E2462="","",RANK(E2462,$E$2:$E$5001,1))</f>
        <v/>
      </c>
      <c r="G2462" s="0" t="n">
        <f aca="false">IF(A2462="",0,IF(SUMPRODUCT(--($A$2:$A$5001=A2462))&gt;1,1,0))</f>
        <v>0</v>
      </c>
      <c r="H2462" s="0" t="n">
        <f aca="false">ROW()-1</f>
        <v>2461</v>
      </c>
      <c r="I2462" s="0" t="str">
        <f aca="false">IF(OR(הגדרות!$E$6=0,H2462&gt;הגדרות!$E$5),"",IF(H2462-1&lt;הגדרות!$E$8*(הגדרות!$E$7+1),INT((H2462-1)/(הגדרות!$E$7+1)),הגדרות!$E$8+INT((H2462-1-הגדרות!$E$8*(הגדרות!$E$7+1))/הגדרות!$E$7)))</f>
        <v/>
      </c>
      <c r="J2462" s="0" t="str">
        <f aca="false">IF(I2462="","",IF(H2462-1&lt;הגדרות!$E$8*(הגדרות!$E$7+1),MOD(H2462-1,הגדרות!$E$7+1),MOD(H2462-1-הגדרות!$E$8*(הגדרות!$E$7+1),הגדרות!$E$7)))</f>
        <v/>
      </c>
      <c r="K2462" s="0" t="str">
        <f aca="false">IF(I2462="","",J2462*הגדרות!$E$6+I2462+1)</f>
        <v/>
      </c>
      <c r="L2462" s="0" t="str">
        <f aca="false">IF(K2462="","",MATCH(K2462,$F$2:$F$5001,0))</f>
        <v/>
      </c>
      <c r="M2462" s="0" t="str">
        <f aca="false">IF(I2462="","",INDEX(הגדרות!$A$2:$A$21,MOD(I2462+הגדרות!$E$9,הגדרות!$E$6)+1))</f>
        <v/>
      </c>
    </row>
    <row r="2463" customFormat="false" ht="15" hidden="false" customHeight="false" outlineLevel="0" collapsed="false">
      <c r="A2463" s="0" t="str">
        <f aca="false">IF('הדבקת לידים'!A2463="","",IF(ISNUMBER('הדבקת לידים'!A2463),IF(הגדרות!$E$2&gt;0,TEXT('הדבקת לידים'!A2463,REPT("0",הגדרות!$E$2)),TEXT('הדבקת לידים'!A2463,"0")),TRIM('הדבקת לידים'!A2463)))</f>
        <v/>
      </c>
      <c r="B2463" s="0" t="str">
        <f aca="false">IF('הדבקת לידים'!B2463="","",IF(ISNUMBER('הדבקת לידים'!B2463),IF(הגדרות!$E$3&gt;0,TEXT('הדבקת לידים'!B2463,REPT("0",הגדרות!$E$3)),TEXT('הדבקת לידים'!B2463,"0")),TRIM('הדבקת לידים'!B2463)))</f>
        <v/>
      </c>
      <c r="C2463" s="0" t="n">
        <f aca="false">IF(OR(A2463&lt;&gt;"",B2463&lt;&gt;""),1,0)</f>
        <v>0</v>
      </c>
      <c r="D2463" s="0" t="str">
        <f aca="false">IF(C2463=1,MOD(ABS(SIN(ROW()*12.9898+'הדבקת לידים'!$F$2*78.233+IFERROR(--RIGHT(A2463,6),LEN(A2463))*0.0137+IFERROR(--RIGHT(B2463,6),LEN(B2463))*0.0071))*43758.5453,1),"")</f>
        <v/>
      </c>
      <c r="E2463" s="0" t="str">
        <f aca="false">IF(C2463=1,INT(MOD(ABS(SIN(D2463*7919.123+ROW()*0.618+'הדבקת לידים'!$F$2*1.3))*43758.5453,1)*1000000)*10000+ROW(),"")</f>
        <v/>
      </c>
      <c r="F2463" s="0" t="str">
        <f aca="false">IF(E2463="","",RANK(E2463,$E$2:$E$5001,1))</f>
        <v/>
      </c>
      <c r="G2463" s="0" t="n">
        <f aca="false">IF(A2463="",0,IF(SUMPRODUCT(--($A$2:$A$5001=A2463))&gt;1,1,0))</f>
        <v>0</v>
      </c>
      <c r="H2463" s="0" t="n">
        <f aca="false">ROW()-1</f>
        <v>2462</v>
      </c>
      <c r="I2463" s="0" t="str">
        <f aca="false">IF(OR(הגדרות!$E$6=0,H2463&gt;הגדרות!$E$5),"",IF(H2463-1&lt;הגדרות!$E$8*(הגדרות!$E$7+1),INT((H2463-1)/(הגדרות!$E$7+1)),הגדרות!$E$8+INT((H2463-1-הגדרות!$E$8*(הגדרות!$E$7+1))/הגדרות!$E$7)))</f>
        <v/>
      </c>
      <c r="J2463" s="0" t="str">
        <f aca="false">IF(I2463="","",IF(H2463-1&lt;הגדרות!$E$8*(הגדרות!$E$7+1),MOD(H2463-1,הגדרות!$E$7+1),MOD(H2463-1-הגדרות!$E$8*(הגדרות!$E$7+1),הגדרות!$E$7)))</f>
        <v/>
      </c>
      <c r="K2463" s="0" t="str">
        <f aca="false">IF(I2463="","",J2463*הגדרות!$E$6+I2463+1)</f>
        <v/>
      </c>
      <c r="L2463" s="0" t="str">
        <f aca="false">IF(K2463="","",MATCH(K2463,$F$2:$F$5001,0))</f>
        <v/>
      </c>
      <c r="M2463" s="0" t="str">
        <f aca="false">IF(I2463="","",INDEX(הגדרות!$A$2:$A$21,MOD(I2463+הגדרות!$E$9,הגדרות!$E$6)+1))</f>
        <v/>
      </c>
    </row>
    <row r="2464" customFormat="false" ht="15" hidden="false" customHeight="false" outlineLevel="0" collapsed="false">
      <c r="A2464" s="0" t="str">
        <f aca="false">IF('הדבקת לידים'!A2464="","",IF(ISNUMBER('הדבקת לידים'!A2464),IF(הגדרות!$E$2&gt;0,TEXT('הדבקת לידים'!A2464,REPT("0",הגדרות!$E$2)),TEXT('הדבקת לידים'!A2464,"0")),TRIM('הדבקת לידים'!A2464)))</f>
        <v/>
      </c>
      <c r="B2464" s="0" t="str">
        <f aca="false">IF('הדבקת לידים'!B2464="","",IF(ISNUMBER('הדבקת לידים'!B2464),IF(הגדרות!$E$3&gt;0,TEXT('הדבקת לידים'!B2464,REPT("0",הגדרות!$E$3)),TEXT('הדבקת לידים'!B2464,"0")),TRIM('הדבקת לידים'!B2464)))</f>
        <v/>
      </c>
      <c r="C2464" s="0" t="n">
        <f aca="false">IF(OR(A2464&lt;&gt;"",B2464&lt;&gt;""),1,0)</f>
        <v>0</v>
      </c>
      <c r="D2464" s="0" t="str">
        <f aca="false">IF(C2464=1,MOD(ABS(SIN(ROW()*12.9898+'הדבקת לידים'!$F$2*78.233+IFERROR(--RIGHT(A2464,6),LEN(A2464))*0.0137+IFERROR(--RIGHT(B2464,6),LEN(B2464))*0.0071))*43758.5453,1),"")</f>
        <v/>
      </c>
      <c r="E2464" s="0" t="str">
        <f aca="false">IF(C2464=1,INT(MOD(ABS(SIN(D2464*7919.123+ROW()*0.618+'הדבקת לידים'!$F$2*1.3))*43758.5453,1)*1000000)*10000+ROW(),"")</f>
        <v/>
      </c>
      <c r="F2464" s="0" t="str">
        <f aca="false">IF(E2464="","",RANK(E2464,$E$2:$E$5001,1))</f>
        <v/>
      </c>
      <c r="G2464" s="0" t="n">
        <f aca="false">IF(A2464="",0,IF(SUMPRODUCT(--($A$2:$A$5001=A2464))&gt;1,1,0))</f>
        <v>0</v>
      </c>
      <c r="H2464" s="0" t="n">
        <f aca="false">ROW()-1</f>
        <v>2463</v>
      </c>
      <c r="I2464" s="0" t="str">
        <f aca="false">IF(OR(הגדרות!$E$6=0,H2464&gt;הגדרות!$E$5),"",IF(H2464-1&lt;הגדרות!$E$8*(הגדרות!$E$7+1),INT((H2464-1)/(הגדרות!$E$7+1)),הגדרות!$E$8+INT((H2464-1-הגדרות!$E$8*(הגדרות!$E$7+1))/הגדרות!$E$7)))</f>
        <v/>
      </c>
      <c r="J2464" s="0" t="str">
        <f aca="false">IF(I2464="","",IF(H2464-1&lt;הגדרות!$E$8*(הגדרות!$E$7+1),MOD(H2464-1,הגדרות!$E$7+1),MOD(H2464-1-הגדרות!$E$8*(הגדרות!$E$7+1),הגדרות!$E$7)))</f>
        <v/>
      </c>
      <c r="K2464" s="0" t="str">
        <f aca="false">IF(I2464="","",J2464*הגדרות!$E$6+I2464+1)</f>
        <v/>
      </c>
      <c r="L2464" s="0" t="str">
        <f aca="false">IF(K2464="","",MATCH(K2464,$F$2:$F$5001,0))</f>
        <v/>
      </c>
      <c r="M2464" s="0" t="str">
        <f aca="false">IF(I2464="","",INDEX(הגדרות!$A$2:$A$21,MOD(I2464+הגדרות!$E$9,הגדרות!$E$6)+1))</f>
        <v/>
      </c>
    </row>
    <row r="2465" customFormat="false" ht="15" hidden="false" customHeight="false" outlineLevel="0" collapsed="false">
      <c r="A2465" s="0" t="str">
        <f aca="false">IF('הדבקת לידים'!A2465="","",IF(ISNUMBER('הדבקת לידים'!A2465),IF(הגדרות!$E$2&gt;0,TEXT('הדבקת לידים'!A2465,REPT("0",הגדרות!$E$2)),TEXT('הדבקת לידים'!A2465,"0")),TRIM('הדבקת לידים'!A2465)))</f>
        <v/>
      </c>
      <c r="B2465" s="0" t="str">
        <f aca="false">IF('הדבקת לידים'!B2465="","",IF(ISNUMBER('הדבקת לידים'!B2465),IF(הגדרות!$E$3&gt;0,TEXT('הדבקת לידים'!B2465,REPT("0",הגדרות!$E$3)),TEXT('הדבקת לידים'!B2465,"0")),TRIM('הדבקת לידים'!B2465)))</f>
        <v/>
      </c>
      <c r="C2465" s="0" t="n">
        <f aca="false">IF(OR(A2465&lt;&gt;"",B2465&lt;&gt;""),1,0)</f>
        <v>0</v>
      </c>
      <c r="D2465" s="0" t="str">
        <f aca="false">IF(C2465=1,MOD(ABS(SIN(ROW()*12.9898+'הדבקת לידים'!$F$2*78.233+IFERROR(--RIGHT(A2465,6),LEN(A2465))*0.0137+IFERROR(--RIGHT(B2465,6),LEN(B2465))*0.0071))*43758.5453,1),"")</f>
        <v/>
      </c>
      <c r="E2465" s="0" t="str">
        <f aca="false">IF(C2465=1,INT(MOD(ABS(SIN(D2465*7919.123+ROW()*0.618+'הדבקת לידים'!$F$2*1.3))*43758.5453,1)*1000000)*10000+ROW(),"")</f>
        <v/>
      </c>
      <c r="F2465" s="0" t="str">
        <f aca="false">IF(E2465="","",RANK(E2465,$E$2:$E$5001,1))</f>
        <v/>
      </c>
      <c r="G2465" s="0" t="n">
        <f aca="false">IF(A2465="",0,IF(SUMPRODUCT(--($A$2:$A$5001=A2465))&gt;1,1,0))</f>
        <v>0</v>
      </c>
      <c r="H2465" s="0" t="n">
        <f aca="false">ROW()-1</f>
        <v>2464</v>
      </c>
      <c r="I2465" s="0" t="str">
        <f aca="false">IF(OR(הגדרות!$E$6=0,H2465&gt;הגדרות!$E$5),"",IF(H2465-1&lt;הגדרות!$E$8*(הגדרות!$E$7+1),INT((H2465-1)/(הגדרות!$E$7+1)),הגדרות!$E$8+INT((H2465-1-הגדרות!$E$8*(הגדרות!$E$7+1))/הגדרות!$E$7)))</f>
        <v/>
      </c>
      <c r="J2465" s="0" t="str">
        <f aca="false">IF(I2465="","",IF(H2465-1&lt;הגדרות!$E$8*(הגדרות!$E$7+1),MOD(H2465-1,הגדרות!$E$7+1),MOD(H2465-1-הגדרות!$E$8*(הגדרות!$E$7+1),הגדרות!$E$7)))</f>
        <v/>
      </c>
      <c r="K2465" s="0" t="str">
        <f aca="false">IF(I2465="","",J2465*הגדרות!$E$6+I2465+1)</f>
        <v/>
      </c>
      <c r="L2465" s="0" t="str">
        <f aca="false">IF(K2465="","",MATCH(K2465,$F$2:$F$5001,0))</f>
        <v/>
      </c>
      <c r="M2465" s="0" t="str">
        <f aca="false">IF(I2465="","",INDEX(הגדרות!$A$2:$A$21,MOD(I2465+הגדרות!$E$9,הגדרות!$E$6)+1))</f>
        <v/>
      </c>
    </row>
    <row r="2466" customFormat="false" ht="15" hidden="false" customHeight="false" outlineLevel="0" collapsed="false">
      <c r="A2466" s="0" t="str">
        <f aca="false">IF('הדבקת לידים'!A2466="","",IF(ISNUMBER('הדבקת לידים'!A2466),IF(הגדרות!$E$2&gt;0,TEXT('הדבקת לידים'!A2466,REPT("0",הגדרות!$E$2)),TEXT('הדבקת לידים'!A2466,"0")),TRIM('הדבקת לידים'!A2466)))</f>
        <v/>
      </c>
      <c r="B2466" s="0" t="str">
        <f aca="false">IF('הדבקת לידים'!B2466="","",IF(ISNUMBER('הדבקת לידים'!B2466),IF(הגדרות!$E$3&gt;0,TEXT('הדבקת לידים'!B2466,REPT("0",הגדרות!$E$3)),TEXT('הדבקת לידים'!B2466,"0")),TRIM('הדבקת לידים'!B2466)))</f>
        <v/>
      </c>
      <c r="C2466" s="0" t="n">
        <f aca="false">IF(OR(A2466&lt;&gt;"",B2466&lt;&gt;""),1,0)</f>
        <v>0</v>
      </c>
      <c r="D2466" s="0" t="str">
        <f aca="false">IF(C2466=1,MOD(ABS(SIN(ROW()*12.9898+'הדבקת לידים'!$F$2*78.233+IFERROR(--RIGHT(A2466,6),LEN(A2466))*0.0137+IFERROR(--RIGHT(B2466,6),LEN(B2466))*0.0071))*43758.5453,1),"")</f>
        <v/>
      </c>
      <c r="E2466" s="0" t="str">
        <f aca="false">IF(C2466=1,INT(MOD(ABS(SIN(D2466*7919.123+ROW()*0.618+'הדבקת לידים'!$F$2*1.3))*43758.5453,1)*1000000)*10000+ROW(),"")</f>
        <v/>
      </c>
      <c r="F2466" s="0" t="str">
        <f aca="false">IF(E2466="","",RANK(E2466,$E$2:$E$5001,1))</f>
        <v/>
      </c>
      <c r="G2466" s="0" t="n">
        <f aca="false">IF(A2466="",0,IF(SUMPRODUCT(--($A$2:$A$5001=A2466))&gt;1,1,0))</f>
        <v>0</v>
      </c>
      <c r="H2466" s="0" t="n">
        <f aca="false">ROW()-1</f>
        <v>2465</v>
      </c>
      <c r="I2466" s="0" t="str">
        <f aca="false">IF(OR(הגדרות!$E$6=0,H2466&gt;הגדרות!$E$5),"",IF(H2466-1&lt;הגדרות!$E$8*(הגדרות!$E$7+1),INT((H2466-1)/(הגדרות!$E$7+1)),הגדרות!$E$8+INT((H2466-1-הגדרות!$E$8*(הגדרות!$E$7+1))/הגדרות!$E$7)))</f>
        <v/>
      </c>
      <c r="J2466" s="0" t="str">
        <f aca="false">IF(I2466="","",IF(H2466-1&lt;הגדרות!$E$8*(הגדרות!$E$7+1),MOD(H2466-1,הגדרות!$E$7+1),MOD(H2466-1-הגדרות!$E$8*(הגדרות!$E$7+1),הגדרות!$E$7)))</f>
        <v/>
      </c>
      <c r="K2466" s="0" t="str">
        <f aca="false">IF(I2466="","",J2466*הגדרות!$E$6+I2466+1)</f>
        <v/>
      </c>
      <c r="L2466" s="0" t="str">
        <f aca="false">IF(K2466="","",MATCH(K2466,$F$2:$F$5001,0))</f>
        <v/>
      </c>
      <c r="M2466" s="0" t="str">
        <f aca="false">IF(I2466="","",INDEX(הגדרות!$A$2:$A$21,MOD(I2466+הגדרות!$E$9,הגדרות!$E$6)+1))</f>
        <v/>
      </c>
    </row>
    <row r="2467" customFormat="false" ht="15" hidden="false" customHeight="false" outlineLevel="0" collapsed="false">
      <c r="A2467" s="0" t="str">
        <f aca="false">IF('הדבקת לידים'!A2467="","",IF(ISNUMBER('הדבקת לידים'!A2467),IF(הגדרות!$E$2&gt;0,TEXT('הדבקת לידים'!A2467,REPT("0",הגדרות!$E$2)),TEXT('הדבקת לידים'!A2467,"0")),TRIM('הדבקת לידים'!A2467)))</f>
        <v/>
      </c>
      <c r="B2467" s="0" t="str">
        <f aca="false">IF('הדבקת לידים'!B2467="","",IF(ISNUMBER('הדבקת לידים'!B2467),IF(הגדרות!$E$3&gt;0,TEXT('הדבקת לידים'!B2467,REPT("0",הגדרות!$E$3)),TEXT('הדבקת לידים'!B2467,"0")),TRIM('הדבקת לידים'!B2467)))</f>
        <v/>
      </c>
      <c r="C2467" s="0" t="n">
        <f aca="false">IF(OR(A2467&lt;&gt;"",B2467&lt;&gt;""),1,0)</f>
        <v>0</v>
      </c>
      <c r="D2467" s="0" t="str">
        <f aca="false">IF(C2467=1,MOD(ABS(SIN(ROW()*12.9898+'הדבקת לידים'!$F$2*78.233+IFERROR(--RIGHT(A2467,6),LEN(A2467))*0.0137+IFERROR(--RIGHT(B2467,6),LEN(B2467))*0.0071))*43758.5453,1),"")</f>
        <v/>
      </c>
      <c r="E2467" s="0" t="str">
        <f aca="false">IF(C2467=1,INT(MOD(ABS(SIN(D2467*7919.123+ROW()*0.618+'הדבקת לידים'!$F$2*1.3))*43758.5453,1)*1000000)*10000+ROW(),"")</f>
        <v/>
      </c>
      <c r="F2467" s="0" t="str">
        <f aca="false">IF(E2467="","",RANK(E2467,$E$2:$E$5001,1))</f>
        <v/>
      </c>
      <c r="G2467" s="0" t="n">
        <f aca="false">IF(A2467="",0,IF(SUMPRODUCT(--($A$2:$A$5001=A2467))&gt;1,1,0))</f>
        <v>0</v>
      </c>
      <c r="H2467" s="0" t="n">
        <f aca="false">ROW()-1</f>
        <v>2466</v>
      </c>
      <c r="I2467" s="0" t="str">
        <f aca="false">IF(OR(הגדרות!$E$6=0,H2467&gt;הגדרות!$E$5),"",IF(H2467-1&lt;הגדרות!$E$8*(הגדרות!$E$7+1),INT((H2467-1)/(הגדרות!$E$7+1)),הגדרות!$E$8+INT((H2467-1-הגדרות!$E$8*(הגדרות!$E$7+1))/הגדרות!$E$7)))</f>
        <v/>
      </c>
      <c r="J2467" s="0" t="str">
        <f aca="false">IF(I2467="","",IF(H2467-1&lt;הגדרות!$E$8*(הגדרות!$E$7+1),MOD(H2467-1,הגדרות!$E$7+1),MOD(H2467-1-הגדרות!$E$8*(הגדרות!$E$7+1),הגדרות!$E$7)))</f>
        <v/>
      </c>
      <c r="K2467" s="0" t="str">
        <f aca="false">IF(I2467="","",J2467*הגדרות!$E$6+I2467+1)</f>
        <v/>
      </c>
      <c r="L2467" s="0" t="str">
        <f aca="false">IF(K2467="","",MATCH(K2467,$F$2:$F$5001,0))</f>
        <v/>
      </c>
      <c r="M2467" s="0" t="str">
        <f aca="false">IF(I2467="","",INDEX(הגדרות!$A$2:$A$21,MOD(I2467+הגדרות!$E$9,הגדרות!$E$6)+1))</f>
        <v/>
      </c>
    </row>
    <row r="2468" customFormat="false" ht="15" hidden="false" customHeight="false" outlineLevel="0" collapsed="false">
      <c r="A2468" s="0" t="str">
        <f aca="false">IF('הדבקת לידים'!A2468="","",IF(ISNUMBER('הדבקת לידים'!A2468),IF(הגדרות!$E$2&gt;0,TEXT('הדבקת לידים'!A2468,REPT("0",הגדרות!$E$2)),TEXT('הדבקת לידים'!A2468,"0")),TRIM('הדבקת לידים'!A2468)))</f>
        <v/>
      </c>
      <c r="B2468" s="0" t="str">
        <f aca="false">IF('הדבקת לידים'!B2468="","",IF(ISNUMBER('הדבקת לידים'!B2468),IF(הגדרות!$E$3&gt;0,TEXT('הדבקת לידים'!B2468,REPT("0",הגדרות!$E$3)),TEXT('הדבקת לידים'!B2468,"0")),TRIM('הדבקת לידים'!B2468)))</f>
        <v/>
      </c>
      <c r="C2468" s="0" t="n">
        <f aca="false">IF(OR(A2468&lt;&gt;"",B2468&lt;&gt;""),1,0)</f>
        <v>0</v>
      </c>
      <c r="D2468" s="0" t="str">
        <f aca="false">IF(C2468=1,MOD(ABS(SIN(ROW()*12.9898+'הדבקת לידים'!$F$2*78.233+IFERROR(--RIGHT(A2468,6),LEN(A2468))*0.0137+IFERROR(--RIGHT(B2468,6),LEN(B2468))*0.0071))*43758.5453,1),"")</f>
        <v/>
      </c>
      <c r="E2468" s="0" t="str">
        <f aca="false">IF(C2468=1,INT(MOD(ABS(SIN(D2468*7919.123+ROW()*0.618+'הדבקת לידים'!$F$2*1.3))*43758.5453,1)*1000000)*10000+ROW(),"")</f>
        <v/>
      </c>
      <c r="F2468" s="0" t="str">
        <f aca="false">IF(E2468="","",RANK(E2468,$E$2:$E$5001,1))</f>
        <v/>
      </c>
      <c r="G2468" s="0" t="n">
        <f aca="false">IF(A2468="",0,IF(SUMPRODUCT(--($A$2:$A$5001=A2468))&gt;1,1,0))</f>
        <v>0</v>
      </c>
      <c r="H2468" s="0" t="n">
        <f aca="false">ROW()-1</f>
        <v>2467</v>
      </c>
      <c r="I2468" s="0" t="str">
        <f aca="false">IF(OR(הגדרות!$E$6=0,H2468&gt;הגדרות!$E$5),"",IF(H2468-1&lt;הגדרות!$E$8*(הגדרות!$E$7+1),INT((H2468-1)/(הגדרות!$E$7+1)),הגדרות!$E$8+INT((H2468-1-הגדרות!$E$8*(הגדרות!$E$7+1))/הגדרות!$E$7)))</f>
        <v/>
      </c>
      <c r="J2468" s="0" t="str">
        <f aca="false">IF(I2468="","",IF(H2468-1&lt;הגדרות!$E$8*(הגדרות!$E$7+1),MOD(H2468-1,הגדרות!$E$7+1),MOD(H2468-1-הגדרות!$E$8*(הגדרות!$E$7+1),הגדרות!$E$7)))</f>
        <v/>
      </c>
      <c r="K2468" s="0" t="str">
        <f aca="false">IF(I2468="","",J2468*הגדרות!$E$6+I2468+1)</f>
        <v/>
      </c>
      <c r="L2468" s="0" t="str">
        <f aca="false">IF(K2468="","",MATCH(K2468,$F$2:$F$5001,0))</f>
        <v/>
      </c>
      <c r="M2468" s="0" t="str">
        <f aca="false">IF(I2468="","",INDEX(הגדרות!$A$2:$A$21,MOD(I2468+הגדרות!$E$9,הגדרות!$E$6)+1))</f>
        <v/>
      </c>
    </row>
    <row r="2469" customFormat="false" ht="15" hidden="false" customHeight="false" outlineLevel="0" collapsed="false">
      <c r="A2469" s="0" t="str">
        <f aca="false">IF('הדבקת לידים'!A2469="","",IF(ISNUMBER('הדבקת לידים'!A2469),IF(הגדרות!$E$2&gt;0,TEXT('הדבקת לידים'!A2469,REPT("0",הגדרות!$E$2)),TEXT('הדבקת לידים'!A2469,"0")),TRIM('הדבקת לידים'!A2469)))</f>
        <v/>
      </c>
      <c r="B2469" s="0" t="str">
        <f aca="false">IF('הדבקת לידים'!B2469="","",IF(ISNUMBER('הדבקת לידים'!B2469),IF(הגדרות!$E$3&gt;0,TEXT('הדבקת לידים'!B2469,REPT("0",הגדרות!$E$3)),TEXT('הדבקת לידים'!B2469,"0")),TRIM('הדבקת לידים'!B2469)))</f>
        <v/>
      </c>
      <c r="C2469" s="0" t="n">
        <f aca="false">IF(OR(A2469&lt;&gt;"",B2469&lt;&gt;""),1,0)</f>
        <v>0</v>
      </c>
      <c r="D2469" s="0" t="str">
        <f aca="false">IF(C2469=1,MOD(ABS(SIN(ROW()*12.9898+'הדבקת לידים'!$F$2*78.233+IFERROR(--RIGHT(A2469,6),LEN(A2469))*0.0137+IFERROR(--RIGHT(B2469,6),LEN(B2469))*0.0071))*43758.5453,1),"")</f>
        <v/>
      </c>
      <c r="E2469" s="0" t="str">
        <f aca="false">IF(C2469=1,INT(MOD(ABS(SIN(D2469*7919.123+ROW()*0.618+'הדבקת לידים'!$F$2*1.3))*43758.5453,1)*1000000)*10000+ROW(),"")</f>
        <v/>
      </c>
      <c r="F2469" s="0" t="str">
        <f aca="false">IF(E2469="","",RANK(E2469,$E$2:$E$5001,1))</f>
        <v/>
      </c>
      <c r="G2469" s="0" t="n">
        <f aca="false">IF(A2469="",0,IF(SUMPRODUCT(--($A$2:$A$5001=A2469))&gt;1,1,0))</f>
        <v>0</v>
      </c>
      <c r="H2469" s="0" t="n">
        <f aca="false">ROW()-1</f>
        <v>2468</v>
      </c>
      <c r="I2469" s="0" t="str">
        <f aca="false">IF(OR(הגדרות!$E$6=0,H2469&gt;הגדרות!$E$5),"",IF(H2469-1&lt;הגדרות!$E$8*(הגדרות!$E$7+1),INT((H2469-1)/(הגדרות!$E$7+1)),הגדרות!$E$8+INT((H2469-1-הגדרות!$E$8*(הגדרות!$E$7+1))/הגדרות!$E$7)))</f>
        <v/>
      </c>
      <c r="J2469" s="0" t="str">
        <f aca="false">IF(I2469="","",IF(H2469-1&lt;הגדרות!$E$8*(הגדרות!$E$7+1),MOD(H2469-1,הגדרות!$E$7+1),MOD(H2469-1-הגדרות!$E$8*(הגדרות!$E$7+1),הגדרות!$E$7)))</f>
        <v/>
      </c>
      <c r="K2469" s="0" t="str">
        <f aca="false">IF(I2469="","",J2469*הגדרות!$E$6+I2469+1)</f>
        <v/>
      </c>
      <c r="L2469" s="0" t="str">
        <f aca="false">IF(K2469="","",MATCH(K2469,$F$2:$F$5001,0))</f>
        <v/>
      </c>
      <c r="M2469" s="0" t="str">
        <f aca="false">IF(I2469="","",INDEX(הגדרות!$A$2:$A$21,MOD(I2469+הגדרות!$E$9,הגדרות!$E$6)+1))</f>
        <v/>
      </c>
    </row>
    <row r="2470" customFormat="false" ht="15" hidden="false" customHeight="false" outlineLevel="0" collapsed="false">
      <c r="A2470" s="0" t="str">
        <f aca="false">IF('הדבקת לידים'!A2470="","",IF(ISNUMBER('הדבקת לידים'!A2470),IF(הגדרות!$E$2&gt;0,TEXT('הדבקת לידים'!A2470,REPT("0",הגדרות!$E$2)),TEXT('הדבקת לידים'!A2470,"0")),TRIM('הדבקת לידים'!A2470)))</f>
        <v/>
      </c>
      <c r="B2470" s="0" t="str">
        <f aca="false">IF('הדבקת לידים'!B2470="","",IF(ISNUMBER('הדבקת לידים'!B2470),IF(הגדרות!$E$3&gt;0,TEXT('הדבקת לידים'!B2470,REPT("0",הגדרות!$E$3)),TEXT('הדבקת לידים'!B2470,"0")),TRIM('הדבקת לידים'!B2470)))</f>
        <v/>
      </c>
      <c r="C2470" s="0" t="n">
        <f aca="false">IF(OR(A2470&lt;&gt;"",B2470&lt;&gt;""),1,0)</f>
        <v>0</v>
      </c>
      <c r="D2470" s="0" t="str">
        <f aca="false">IF(C2470=1,MOD(ABS(SIN(ROW()*12.9898+'הדבקת לידים'!$F$2*78.233+IFERROR(--RIGHT(A2470,6),LEN(A2470))*0.0137+IFERROR(--RIGHT(B2470,6),LEN(B2470))*0.0071))*43758.5453,1),"")</f>
        <v/>
      </c>
      <c r="E2470" s="0" t="str">
        <f aca="false">IF(C2470=1,INT(MOD(ABS(SIN(D2470*7919.123+ROW()*0.618+'הדבקת לידים'!$F$2*1.3))*43758.5453,1)*1000000)*10000+ROW(),"")</f>
        <v/>
      </c>
      <c r="F2470" s="0" t="str">
        <f aca="false">IF(E2470="","",RANK(E2470,$E$2:$E$5001,1))</f>
        <v/>
      </c>
      <c r="G2470" s="0" t="n">
        <f aca="false">IF(A2470="",0,IF(SUMPRODUCT(--($A$2:$A$5001=A2470))&gt;1,1,0))</f>
        <v>0</v>
      </c>
      <c r="H2470" s="0" t="n">
        <f aca="false">ROW()-1</f>
        <v>2469</v>
      </c>
      <c r="I2470" s="0" t="str">
        <f aca="false">IF(OR(הגדרות!$E$6=0,H2470&gt;הגדרות!$E$5),"",IF(H2470-1&lt;הגדרות!$E$8*(הגדרות!$E$7+1),INT((H2470-1)/(הגדרות!$E$7+1)),הגדרות!$E$8+INT((H2470-1-הגדרות!$E$8*(הגדרות!$E$7+1))/הגדרות!$E$7)))</f>
        <v/>
      </c>
      <c r="J2470" s="0" t="str">
        <f aca="false">IF(I2470="","",IF(H2470-1&lt;הגדרות!$E$8*(הגדרות!$E$7+1),MOD(H2470-1,הגדרות!$E$7+1),MOD(H2470-1-הגדרות!$E$8*(הגדרות!$E$7+1),הגדרות!$E$7)))</f>
        <v/>
      </c>
      <c r="K2470" s="0" t="str">
        <f aca="false">IF(I2470="","",J2470*הגדרות!$E$6+I2470+1)</f>
        <v/>
      </c>
      <c r="L2470" s="0" t="str">
        <f aca="false">IF(K2470="","",MATCH(K2470,$F$2:$F$5001,0))</f>
        <v/>
      </c>
      <c r="M2470" s="0" t="str">
        <f aca="false">IF(I2470="","",INDEX(הגדרות!$A$2:$A$21,MOD(I2470+הגדרות!$E$9,הגדרות!$E$6)+1))</f>
        <v/>
      </c>
    </row>
    <row r="2471" customFormat="false" ht="15" hidden="false" customHeight="false" outlineLevel="0" collapsed="false">
      <c r="A2471" s="0" t="str">
        <f aca="false">IF('הדבקת לידים'!A2471="","",IF(ISNUMBER('הדבקת לידים'!A2471),IF(הגדרות!$E$2&gt;0,TEXT('הדבקת לידים'!A2471,REPT("0",הגדרות!$E$2)),TEXT('הדבקת לידים'!A2471,"0")),TRIM('הדבקת לידים'!A2471)))</f>
        <v/>
      </c>
      <c r="B2471" s="0" t="str">
        <f aca="false">IF('הדבקת לידים'!B2471="","",IF(ISNUMBER('הדבקת לידים'!B2471),IF(הגדרות!$E$3&gt;0,TEXT('הדבקת לידים'!B2471,REPT("0",הגדרות!$E$3)),TEXT('הדבקת לידים'!B2471,"0")),TRIM('הדבקת לידים'!B2471)))</f>
        <v/>
      </c>
      <c r="C2471" s="0" t="n">
        <f aca="false">IF(OR(A2471&lt;&gt;"",B2471&lt;&gt;""),1,0)</f>
        <v>0</v>
      </c>
      <c r="D2471" s="0" t="str">
        <f aca="false">IF(C2471=1,MOD(ABS(SIN(ROW()*12.9898+'הדבקת לידים'!$F$2*78.233+IFERROR(--RIGHT(A2471,6),LEN(A2471))*0.0137+IFERROR(--RIGHT(B2471,6),LEN(B2471))*0.0071))*43758.5453,1),"")</f>
        <v/>
      </c>
      <c r="E2471" s="0" t="str">
        <f aca="false">IF(C2471=1,INT(MOD(ABS(SIN(D2471*7919.123+ROW()*0.618+'הדבקת לידים'!$F$2*1.3))*43758.5453,1)*1000000)*10000+ROW(),"")</f>
        <v/>
      </c>
      <c r="F2471" s="0" t="str">
        <f aca="false">IF(E2471="","",RANK(E2471,$E$2:$E$5001,1))</f>
        <v/>
      </c>
      <c r="G2471" s="0" t="n">
        <f aca="false">IF(A2471="",0,IF(SUMPRODUCT(--($A$2:$A$5001=A2471))&gt;1,1,0))</f>
        <v>0</v>
      </c>
      <c r="H2471" s="0" t="n">
        <f aca="false">ROW()-1</f>
        <v>2470</v>
      </c>
      <c r="I2471" s="0" t="str">
        <f aca="false">IF(OR(הגדרות!$E$6=0,H2471&gt;הגדרות!$E$5),"",IF(H2471-1&lt;הגדרות!$E$8*(הגדרות!$E$7+1),INT((H2471-1)/(הגדרות!$E$7+1)),הגדרות!$E$8+INT((H2471-1-הגדרות!$E$8*(הגדרות!$E$7+1))/הגדרות!$E$7)))</f>
        <v/>
      </c>
      <c r="J2471" s="0" t="str">
        <f aca="false">IF(I2471="","",IF(H2471-1&lt;הגדרות!$E$8*(הגדרות!$E$7+1),MOD(H2471-1,הגדרות!$E$7+1),MOD(H2471-1-הגדרות!$E$8*(הגדרות!$E$7+1),הגדרות!$E$7)))</f>
        <v/>
      </c>
      <c r="K2471" s="0" t="str">
        <f aca="false">IF(I2471="","",J2471*הגדרות!$E$6+I2471+1)</f>
        <v/>
      </c>
      <c r="L2471" s="0" t="str">
        <f aca="false">IF(K2471="","",MATCH(K2471,$F$2:$F$5001,0))</f>
        <v/>
      </c>
      <c r="M2471" s="0" t="str">
        <f aca="false">IF(I2471="","",INDEX(הגדרות!$A$2:$A$21,MOD(I2471+הגדרות!$E$9,הגדרות!$E$6)+1))</f>
        <v/>
      </c>
    </row>
    <row r="2472" customFormat="false" ht="15" hidden="false" customHeight="false" outlineLevel="0" collapsed="false">
      <c r="A2472" s="0" t="str">
        <f aca="false">IF('הדבקת לידים'!A2472="","",IF(ISNUMBER('הדבקת לידים'!A2472),IF(הגדרות!$E$2&gt;0,TEXT('הדבקת לידים'!A2472,REPT("0",הגדרות!$E$2)),TEXT('הדבקת לידים'!A2472,"0")),TRIM('הדבקת לידים'!A2472)))</f>
        <v/>
      </c>
      <c r="B2472" s="0" t="str">
        <f aca="false">IF('הדבקת לידים'!B2472="","",IF(ISNUMBER('הדבקת לידים'!B2472),IF(הגדרות!$E$3&gt;0,TEXT('הדבקת לידים'!B2472,REPT("0",הגדרות!$E$3)),TEXT('הדבקת לידים'!B2472,"0")),TRIM('הדבקת לידים'!B2472)))</f>
        <v/>
      </c>
      <c r="C2472" s="0" t="n">
        <f aca="false">IF(OR(A2472&lt;&gt;"",B2472&lt;&gt;""),1,0)</f>
        <v>0</v>
      </c>
      <c r="D2472" s="0" t="str">
        <f aca="false">IF(C2472=1,MOD(ABS(SIN(ROW()*12.9898+'הדבקת לידים'!$F$2*78.233+IFERROR(--RIGHT(A2472,6),LEN(A2472))*0.0137+IFERROR(--RIGHT(B2472,6),LEN(B2472))*0.0071))*43758.5453,1),"")</f>
        <v/>
      </c>
      <c r="E2472" s="0" t="str">
        <f aca="false">IF(C2472=1,INT(MOD(ABS(SIN(D2472*7919.123+ROW()*0.618+'הדבקת לידים'!$F$2*1.3))*43758.5453,1)*1000000)*10000+ROW(),"")</f>
        <v/>
      </c>
      <c r="F2472" s="0" t="str">
        <f aca="false">IF(E2472="","",RANK(E2472,$E$2:$E$5001,1))</f>
        <v/>
      </c>
      <c r="G2472" s="0" t="n">
        <f aca="false">IF(A2472="",0,IF(SUMPRODUCT(--($A$2:$A$5001=A2472))&gt;1,1,0))</f>
        <v>0</v>
      </c>
      <c r="H2472" s="0" t="n">
        <f aca="false">ROW()-1</f>
        <v>2471</v>
      </c>
      <c r="I2472" s="0" t="str">
        <f aca="false">IF(OR(הגדרות!$E$6=0,H2472&gt;הגדרות!$E$5),"",IF(H2472-1&lt;הגדרות!$E$8*(הגדרות!$E$7+1),INT((H2472-1)/(הגדרות!$E$7+1)),הגדרות!$E$8+INT((H2472-1-הגדרות!$E$8*(הגדרות!$E$7+1))/הגדרות!$E$7)))</f>
        <v/>
      </c>
      <c r="J2472" s="0" t="str">
        <f aca="false">IF(I2472="","",IF(H2472-1&lt;הגדרות!$E$8*(הגדרות!$E$7+1),MOD(H2472-1,הגדרות!$E$7+1),MOD(H2472-1-הגדרות!$E$8*(הגדרות!$E$7+1),הגדרות!$E$7)))</f>
        <v/>
      </c>
      <c r="K2472" s="0" t="str">
        <f aca="false">IF(I2472="","",J2472*הגדרות!$E$6+I2472+1)</f>
        <v/>
      </c>
      <c r="L2472" s="0" t="str">
        <f aca="false">IF(K2472="","",MATCH(K2472,$F$2:$F$5001,0))</f>
        <v/>
      </c>
      <c r="M2472" s="0" t="str">
        <f aca="false">IF(I2472="","",INDEX(הגדרות!$A$2:$A$21,MOD(I2472+הגדרות!$E$9,הגדרות!$E$6)+1))</f>
        <v/>
      </c>
    </row>
    <row r="2473" customFormat="false" ht="15" hidden="false" customHeight="false" outlineLevel="0" collapsed="false">
      <c r="A2473" s="0" t="str">
        <f aca="false">IF('הדבקת לידים'!A2473="","",IF(ISNUMBER('הדבקת לידים'!A2473),IF(הגדרות!$E$2&gt;0,TEXT('הדבקת לידים'!A2473,REPT("0",הגדרות!$E$2)),TEXT('הדבקת לידים'!A2473,"0")),TRIM('הדבקת לידים'!A2473)))</f>
        <v/>
      </c>
      <c r="B2473" s="0" t="str">
        <f aca="false">IF('הדבקת לידים'!B2473="","",IF(ISNUMBER('הדבקת לידים'!B2473),IF(הגדרות!$E$3&gt;0,TEXT('הדבקת לידים'!B2473,REPT("0",הגדרות!$E$3)),TEXT('הדבקת לידים'!B2473,"0")),TRIM('הדבקת לידים'!B2473)))</f>
        <v/>
      </c>
      <c r="C2473" s="0" t="n">
        <f aca="false">IF(OR(A2473&lt;&gt;"",B2473&lt;&gt;""),1,0)</f>
        <v>0</v>
      </c>
      <c r="D2473" s="0" t="str">
        <f aca="false">IF(C2473=1,MOD(ABS(SIN(ROW()*12.9898+'הדבקת לידים'!$F$2*78.233+IFERROR(--RIGHT(A2473,6),LEN(A2473))*0.0137+IFERROR(--RIGHT(B2473,6),LEN(B2473))*0.0071))*43758.5453,1),"")</f>
        <v/>
      </c>
      <c r="E2473" s="0" t="str">
        <f aca="false">IF(C2473=1,INT(MOD(ABS(SIN(D2473*7919.123+ROW()*0.618+'הדבקת לידים'!$F$2*1.3))*43758.5453,1)*1000000)*10000+ROW(),"")</f>
        <v/>
      </c>
      <c r="F2473" s="0" t="str">
        <f aca="false">IF(E2473="","",RANK(E2473,$E$2:$E$5001,1))</f>
        <v/>
      </c>
      <c r="G2473" s="0" t="n">
        <f aca="false">IF(A2473="",0,IF(SUMPRODUCT(--($A$2:$A$5001=A2473))&gt;1,1,0))</f>
        <v>0</v>
      </c>
      <c r="H2473" s="0" t="n">
        <f aca="false">ROW()-1</f>
        <v>2472</v>
      </c>
      <c r="I2473" s="0" t="str">
        <f aca="false">IF(OR(הגדרות!$E$6=0,H2473&gt;הגדרות!$E$5),"",IF(H2473-1&lt;הגדרות!$E$8*(הגדרות!$E$7+1),INT((H2473-1)/(הגדרות!$E$7+1)),הגדרות!$E$8+INT((H2473-1-הגדרות!$E$8*(הגדרות!$E$7+1))/הגדרות!$E$7)))</f>
        <v/>
      </c>
      <c r="J2473" s="0" t="str">
        <f aca="false">IF(I2473="","",IF(H2473-1&lt;הגדרות!$E$8*(הגדרות!$E$7+1),MOD(H2473-1,הגדרות!$E$7+1),MOD(H2473-1-הגדרות!$E$8*(הגדרות!$E$7+1),הגדרות!$E$7)))</f>
        <v/>
      </c>
      <c r="K2473" s="0" t="str">
        <f aca="false">IF(I2473="","",J2473*הגדרות!$E$6+I2473+1)</f>
        <v/>
      </c>
      <c r="L2473" s="0" t="str">
        <f aca="false">IF(K2473="","",MATCH(K2473,$F$2:$F$5001,0))</f>
        <v/>
      </c>
      <c r="M2473" s="0" t="str">
        <f aca="false">IF(I2473="","",INDEX(הגדרות!$A$2:$A$21,MOD(I2473+הגדרות!$E$9,הגדרות!$E$6)+1))</f>
        <v/>
      </c>
    </row>
    <row r="2474" customFormat="false" ht="15" hidden="false" customHeight="false" outlineLevel="0" collapsed="false">
      <c r="A2474" s="0" t="str">
        <f aca="false">IF('הדבקת לידים'!A2474="","",IF(ISNUMBER('הדבקת לידים'!A2474),IF(הגדרות!$E$2&gt;0,TEXT('הדבקת לידים'!A2474,REPT("0",הגדרות!$E$2)),TEXT('הדבקת לידים'!A2474,"0")),TRIM('הדבקת לידים'!A2474)))</f>
        <v/>
      </c>
      <c r="B2474" s="0" t="str">
        <f aca="false">IF('הדבקת לידים'!B2474="","",IF(ISNUMBER('הדבקת לידים'!B2474),IF(הגדרות!$E$3&gt;0,TEXT('הדבקת לידים'!B2474,REPT("0",הגדרות!$E$3)),TEXT('הדבקת לידים'!B2474,"0")),TRIM('הדבקת לידים'!B2474)))</f>
        <v/>
      </c>
      <c r="C2474" s="0" t="n">
        <f aca="false">IF(OR(A2474&lt;&gt;"",B2474&lt;&gt;""),1,0)</f>
        <v>0</v>
      </c>
      <c r="D2474" s="0" t="str">
        <f aca="false">IF(C2474=1,MOD(ABS(SIN(ROW()*12.9898+'הדבקת לידים'!$F$2*78.233+IFERROR(--RIGHT(A2474,6),LEN(A2474))*0.0137+IFERROR(--RIGHT(B2474,6),LEN(B2474))*0.0071))*43758.5453,1),"")</f>
        <v/>
      </c>
      <c r="E2474" s="0" t="str">
        <f aca="false">IF(C2474=1,INT(MOD(ABS(SIN(D2474*7919.123+ROW()*0.618+'הדבקת לידים'!$F$2*1.3))*43758.5453,1)*1000000)*10000+ROW(),"")</f>
        <v/>
      </c>
      <c r="F2474" s="0" t="str">
        <f aca="false">IF(E2474="","",RANK(E2474,$E$2:$E$5001,1))</f>
        <v/>
      </c>
      <c r="G2474" s="0" t="n">
        <f aca="false">IF(A2474="",0,IF(SUMPRODUCT(--($A$2:$A$5001=A2474))&gt;1,1,0))</f>
        <v>0</v>
      </c>
      <c r="H2474" s="0" t="n">
        <f aca="false">ROW()-1</f>
        <v>2473</v>
      </c>
      <c r="I2474" s="0" t="str">
        <f aca="false">IF(OR(הגדרות!$E$6=0,H2474&gt;הגדרות!$E$5),"",IF(H2474-1&lt;הגדרות!$E$8*(הגדרות!$E$7+1),INT((H2474-1)/(הגדרות!$E$7+1)),הגדרות!$E$8+INT((H2474-1-הגדרות!$E$8*(הגדרות!$E$7+1))/הגדרות!$E$7)))</f>
        <v/>
      </c>
      <c r="J2474" s="0" t="str">
        <f aca="false">IF(I2474="","",IF(H2474-1&lt;הגדרות!$E$8*(הגדרות!$E$7+1),MOD(H2474-1,הגדרות!$E$7+1),MOD(H2474-1-הגדרות!$E$8*(הגדרות!$E$7+1),הגדרות!$E$7)))</f>
        <v/>
      </c>
      <c r="K2474" s="0" t="str">
        <f aca="false">IF(I2474="","",J2474*הגדרות!$E$6+I2474+1)</f>
        <v/>
      </c>
      <c r="L2474" s="0" t="str">
        <f aca="false">IF(K2474="","",MATCH(K2474,$F$2:$F$5001,0))</f>
        <v/>
      </c>
      <c r="M2474" s="0" t="str">
        <f aca="false">IF(I2474="","",INDEX(הגדרות!$A$2:$A$21,MOD(I2474+הגדרות!$E$9,הגדרות!$E$6)+1))</f>
        <v/>
      </c>
    </row>
    <row r="2475" customFormat="false" ht="15" hidden="false" customHeight="false" outlineLevel="0" collapsed="false">
      <c r="A2475" s="0" t="str">
        <f aca="false">IF('הדבקת לידים'!A2475="","",IF(ISNUMBER('הדבקת לידים'!A2475),IF(הגדרות!$E$2&gt;0,TEXT('הדבקת לידים'!A2475,REPT("0",הגדרות!$E$2)),TEXT('הדבקת לידים'!A2475,"0")),TRIM('הדבקת לידים'!A2475)))</f>
        <v/>
      </c>
      <c r="B2475" s="0" t="str">
        <f aca="false">IF('הדבקת לידים'!B2475="","",IF(ISNUMBER('הדבקת לידים'!B2475),IF(הגדרות!$E$3&gt;0,TEXT('הדבקת לידים'!B2475,REPT("0",הגדרות!$E$3)),TEXT('הדבקת לידים'!B2475,"0")),TRIM('הדבקת לידים'!B2475)))</f>
        <v/>
      </c>
      <c r="C2475" s="0" t="n">
        <f aca="false">IF(OR(A2475&lt;&gt;"",B2475&lt;&gt;""),1,0)</f>
        <v>0</v>
      </c>
      <c r="D2475" s="0" t="str">
        <f aca="false">IF(C2475=1,MOD(ABS(SIN(ROW()*12.9898+'הדבקת לידים'!$F$2*78.233+IFERROR(--RIGHT(A2475,6),LEN(A2475))*0.0137+IFERROR(--RIGHT(B2475,6),LEN(B2475))*0.0071))*43758.5453,1),"")</f>
        <v/>
      </c>
      <c r="E2475" s="0" t="str">
        <f aca="false">IF(C2475=1,INT(MOD(ABS(SIN(D2475*7919.123+ROW()*0.618+'הדבקת לידים'!$F$2*1.3))*43758.5453,1)*1000000)*10000+ROW(),"")</f>
        <v/>
      </c>
      <c r="F2475" s="0" t="str">
        <f aca="false">IF(E2475="","",RANK(E2475,$E$2:$E$5001,1))</f>
        <v/>
      </c>
      <c r="G2475" s="0" t="n">
        <f aca="false">IF(A2475="",0,IF(SUMPRODUCT(--($A$2:$A$5001=A2475))&gt;1,1,0))</f>
        <v>0</v>
      </c>
      <c r="H2475" s="0" t="n">
        <f aca="false">ROW()-1</f>
        <v>2474</v>
      </c>
      <c r="I2475" s="0" t="str">
        <f aca="false">IF(OR(הגדרות!$E$6=0,H2475&gt;הגדרות!$E$5),"",IF(H2475-1&lt;הגדרות!$E$8*(הגדרות!$E$7+1),INT((H2475-1)/(הגדרות!$E$7+1)),הגדרות!$E$8+INT((H2475-1-הגדרות!$E$8*(הגדרות!$E$7+1))/הגדרות!$E$7)))</f>
        <v/>
      </c>
      <c r="J2475" s="0" t="str">
        <f aca="false">IF(I2475="","",IF(H2475-1&lt;הגדרות!$E$8*(הגדרות!$E$7+1),MOD(H2475-1,הגדרות!$E$7+1),MOD(H2475-1-הגדרות!$E$8*(הגדרות!$E$7+1),הגדרות!$E$7)))</f>
        <v/>
      </c>
      <c r="K2475" s="0" t="str">
        <f aca="false">IF(I2475="","",J2475*הגדרות!$E$6+I2475+1)</f>
        <v/>
      </c>
      <c r="L2475" s="0" t="str">
        <f aca="false">IF(K2475="","",MATCH(K2475,$F$2:$F$5001,0))</f>
        <v/>
      </c>
      <c r="M2475" s="0" t="str">
        <f aca="false">IF(I2475="","",INDEX(הגדרות!$A$2:$A$21,MOD(I2475+הגדרות!$E$9,הגדרות!$E$6)+1))</f>
        <v/>
      </c>
    </row>
    <row r="2476" customFormat="false" ht="15" hidden="false" customHeight="false" outlineLevel="0" collapsed="false">
      <c r="A2476" s="0" t="str">
        <f aca="false">IF('הדבקת לידים'!A2476="","",IF(ISNUMBER('הדבקת לידים'!A2476),IF(הגדרות!$E$2&gt;0,TEXT('הדבקת לידים'!A2476,REPT("0",הגדרות!$E$2)),TEXT('הדבקת לידים'!A2476,"0")),TRIM('הדבקת לידים'!A2476)))</f>
        <v/>
      </c>
      <c r="B2476" s="0" t="str">
        <f aca="false">IF('הדבקת לידים'!B2476="","",IF(ISNUMBER('הדבקת לידים'!B2476),IF(הגדרות!$E$3&gt;0,TEXT('הדבקת לידים'!B2476,REPT("0",הגדרות!$E$3)),TEXT('הדבקת לידים'!B2476,"0")),TRIM('הדבקת לידים'!B2476)))</f>
        <v/>
      </c>
      <c r="C2476" s="0" t="n">
        <f aca="false">IF(OR(A2476&lt;&gt;"",B2476&lt;&gt;""),1,0)</f>
        <v>0</v>
      </c>
      <c r="D2476" s="0" t="str">
        <f aca="false">IF(C2476=1,MOD(ABS(SIN(ROW()*12.9898+'הדבקת לידים'!$F$2*78.233+IFERROR(--RIGHT(A2476,6),LEN(A2476))*0.0137+IFERROR(--RIGHT(B2476,6),LEN(B2476))*0.0071))*43758.5453,1),"")</f>
        <v/>
      </c>
      <c r="E2476" s="0" t="str">
        <f aca="false">IF(C2476=1,INT(MOD(ABS(SIN(D2476*7919.123+ROW()*0.618+'הדבקת לידים'!$F$2*1.3))*43758.5453,1)*1000000)*10000+ROW(),"")</f>
        <v/>
      </c>
      <c r="F2476" s="0" t="str">
        <f aca="false">IF(E2476="","",RANK(E2476,$E$2:$E$5001,1))</f>
        <v/>
      </c>
      <c r="G2476" s="0" t="n">
        <f aca="false">IF(A2476="",0,IF(SUMPRODUCT(--($A$2:$A$5001=A2476))&gt;1,1,0))</f>
        <v>0</v>
      </c>
      <c r="H2476" s="0" t="n">
        <f aca="false">ROW()-1</f>
        <v>2475</v>
      </c>
      <c r="I2476" s="0" t="str">
        <f aca="false">IF(OR(הגדרות!$E$6=0,H2476&gt;הגדרות!$E$5),"",IF(H2476-1&lt;הגדרות!$E$8*(הגדרות!$E$7+1),INT((H2476-1)/(הגדרות!$E$7+1)),הגדרות!$E$8+INT((H2476-1-הגדרות!$E$8*(הגדרות!$E$7+1))/הגדרות!$E$7)))</f>
        <v/>
      </c>
      <c r="J2476" s="0" t="str">
        <f aca="false">IF(I2476="","",IF(H2476-1&lt;הגדרות!$E$8*(הגדרות!$E$7+1),MOD(H2476-1,הגדרות!$E$7+1),MOD(H2476-1-הגדרות!$E$8*(הגדרות!$E$7+1),הגדרות!$E$7)))</f>
        <v/>
      </c>
      <c r="K2476" s="0" t="str">
        <f aca="false">IF(I2476="","",J2476*הגדרות!$E$6+I2476+1)</f>
        <v/>
      </c>
      <c r="L2476" s="0" t="str">
        <f aca="false">IF(K2476="","",MATCH(K2476,$F$2:$F$5001,0))</f>
        <v/>
      </c>
      <c r="M2476" s="0" t="str">
        <f aca="false">IF(I2476="","",INDEX(הגדרות!$A$2:$A$21,MOD(I2476+הגדרות!$E$9,הגדרות!$E$6)+1))</f>
        <v/>
      </c>
    </row>
    <row r="2477" customFormat="false" ht="15" hidden="false" customHeight="false" outlineLevel="0" collapsed="false">
      <c r="A2477" s="0" t="str">
        <f aca="false">IF('הדבקת לידים'!A2477="","",IF(ISNUMBER('הדבקת לידים'!A2477),IF(הגדרות!$E$2&gt;0,TEXT('הדבקת לידים'!A2477,REPT("0",הגדרות!$E$2)),TEXT('הדבקת לידים'!A2477,"0")),TRIM('הדבקת לידים'!A2477)))</f>
        <v/>
      </c>
      <c r="B2477" s="0" t="str">
        <f aca="false">IF('הדבקת לידים'!B2477="","",IF(ISNUMBER('הדבקת לידים'!B2477),IF(הגדרות!$E$3&gt;0,TEXT('הדבקת לידים'!B2477,REPT("0",הגדרות!$E$3)),TEXT('הדבקת לידים'!B2477,"0")),TRIM('הדבקת לידים'!B2477)))</f>
        <v/>
      </c>
      <c r="C2477" s="0" t="n">
        <f aca="false">IF(OR(A2477&lt;&gt;"",B2477&lt;&gt;""),1,0)</f>
        <v>0</v>
      </c>
      <c r="D2477" s="0" t="str">
        <f aca="false">IF(C2477=1,MOD(ABS(SIN(ROW()*12.9898+'הדבקת לידים'!$F$2*78.233+IFERROR(--RIGHT(A2477,6),LEN(A2477))*0.0137+IFERROR(--RIGHT(B2477,6),LEN(B2477))*0.0071))*43758.5453,1),"")</f>
        <v/>
      </c>
      <c r="E2477" s="0" t="str">
        <f aca="false">IF(C2477=1,INT(MOD(ABS(SIN(D2477*7919.123+ROW()*0.618+'הדבקת לידים'!$F$2*1.3))*43758.5453,1)*1000000)*10000+ROW(),"")</f>
        <v/>
      </c>
      <c r="F2477" s="0" t="str">
        <f aca="false">IF(E2477="","",RANK(E2477,$E$2:$E$5001,1))</f>
        <v/>
      </c>
      <c r="G2477" s="0" t="n">
        <f aca="false">IF(A2477="",0,IF(SUMPRODUCT(--($A$2:$A$5001=A2477))&gt;1,1,0))</f>
        <v>0</v>
      </c>
      <c r="H2477" s="0" t="n">
        <f aca="false">ROW()-1</f>
        <v>2476</v>
      </c>
      <c r="I2477" s="0" t="str">
        <f aca="false">IF(OR(הגדרות!$E$6=0,H2477&gt;הגדרות!$E$5),"",IF(H2477-1&lt;הגדרות!$E$8*(הגדרות!$E$7+1),INT((H2477-1)/(הגדרות!$E$7+1)),הגדרות!$E$8+INT((H2477-1-הגדרות!$E$8*(הגדרות!$E$7+1))/הגדרות!$E$7)))</f>
        <v/>
      </c>
      <c r="J2477" s="0" t="str">
        <f aca="false">IF(I2477="","",IF(H2477-1&lt;הגדרות!$E$8*(הגדרות!$E$7+1),MOD(H2477-1,הגדרות!$E$7+1),MOD(H2477-1-הגדרות!$E$8*(הגדרות!$E$7+1),הגדרות!$E$7)))</f>
        <v/>
      </c>
      <c r="K2477" s="0" t="str">
        <f aca="false">IF(I2477="","",J2477*הגדרות!$E$6+I2477+1)</f>
        <v/>
      </c>
      <c r="L2477" s="0" t="str">
        <f aca="false">IF(K2477="","",MATCH(K2477,$F$2:$F$5001,0))</f>
        <v/>
      </c>
      <c r="M2477" s="0" t="str">
        <f aca="false">IF(I2477="","",INDEX(הגדרות!$A$2:$A$21,MOD(I2477+הגדרות!$E$9,הגדרות!$E$6)+1))</f>
        <v/>
      </c>
    </row>
    <row r="2478" customFormat="false" ht="15" hidden="false" customHeight="false" outlineLevel="0" collapsed="false">
      <c r="A2478" s="0" t="str">
        <f aca="false">IF('הדבקת לידים'!A2478="","",IF(ISNUMBER('הדבקת לידים'!A2478),IF(הגדרות!$E$2&gt;0,TEXT('הדבקת לידים'!A2478,REPT("0",הגדרות!$E$2)),TEXT('הדבקת לידים'!A2478,"0")),TRIM('הדבקת לידים'!A2478)))</f>
        <v/>
      </c>
      <c r="B2478" s="0" t="str">
        <f aca="false">IF('הדבקת לידים'!B2478="","",IF(ISNUMBER('הדבקת לידים'!B2478),IF(הגדרות!$E$3&gt;0,TEXT('הדבקת לידים'!B2478,REPT("0",הגדרות!$E$3)),TEXT('הדבקת לידים'!B2478,"0")),TRIM('הדבקת לידים'!B2478)))</f>
        <v/>
      </c>
      <c r="C2478" s="0" t="n">
        <f aca="false">IF(OR(A2478&lt;&gt;"",B2478&lt;&gt;""),1,0)</f>
        <v>0</v>
      </c>
      <c r="D2478" s="0" t="str">
        <f aca="false">IF(C2478=1,MOD(ABS(SIN(ROW()*12.9898+'הדבקת לידים'!$F$2*78.233+IFERROR(--RIGHT(A2478,6),LEN(A2478))*0.0137+IFERROR(--RIGHT(B2478,6),LEN(B2478))*0.0071))*43758.5453,1),"")</f>
        <v/>
      </c>
      <c r="E2478" s="0" t="str">
        <f aca="false">IF(C2478=1,INT(MOD(ABS(SIN(D2478*7919.123+ROW()*0.618+'הדבקת לידים'!$F$2*1.3))*43758.5453,1)*1000000)*10000+ROW(),"")</f>
        <v/>
      </c>
      <c r="F2478" s="0" t="str">
        <f aca="false">IF(E2478="","",RANK(E2478,$E$2:$E$5001,1))</f>
        <v/>
      </c>
      <c r="G2478" s="0" t="n">
        <f aca="false">IF(A2478="",0,IF(SUMPRODUCT(--($A$2:$A$5001=A2478))&gt;1,1,0))</f>
        <v>0</v>
      </c>
      <c r="H2478" s="0" t="n">
        <f aca="false">ROW()-1</f>
        <v>2477</v>
      </c>
      <c r="I2478" s="0" t="str">
        <f aca="false">IF(OR(הגדרות!$E$6=0,H2478&gt;הגדרות!$E$5),"",IF(H2478-1&lt;הגדרות!$E$8*(הגדרות!$E$7+1),INT((H2478-1)/(הגדרות!$E$7+1)),הגדרות!$E$8+INT((H2478-1-הגדרות!$E$8*(הגדרות!$E$7+1))/הגדרות!$E$7)))</f>
        <v/>
      </c>
      <c r="J2478" s="0" t="str">
        <f aca="false">IF(I2478="","",IF(H2478-1&lt;הגדרות!$E$8*(הגדרות!$E$7+1),MOD(H2478-1,הגדרות!$E$7+1),MOD(H2478-1-הגדרות!$E$8*(הגדרות!$E$7+1),הגדרות!$E$7)))</f>
        <v/>
      </c>
      <c r="K2478" s="0" t="str">
        <f aca="false">IF(I2478="","",J2478*הגדרות!$E$6+I2478+1)</f>
        <v/>
      </c>
      <c r="L2478" s="0" t="str">
        <f aca="false">IF(K2478="","",MATCH(K2478,$F$2:$F$5001,0))</f>
        <v/>
      </c>
      <c r="M2478" s="0" t="str">
        <f aca="false">IF(I2478="","",INDEX(הגדרות!$A$2:$A$21,MOD(I2478+הגדרות!$E$9,הגדרות!$E$6)+1))</f>
        <v/>
      </c>
    </row>
    <row r="2479" customFormat="false" ht="15" hidden="false" customHeight="false" outlineLevel="0" collapsed="false">
      <c r="A2479" s="0" t="str">
        <f aca="false">IF('הדבקת לידים'!A2479="","",IF(ISNUMBER('הדבקת לידים'!A2479),IF(הגדרות!$E$2&gt;0,TEXT('הדבקת לידים'!A2479,REPT("0",הגדרות!$E$2)),TEXT('הדבקת לידים'!A2479,"0")),TRIM('הדבקת לידים'!A2479)))</f>
        <v/>
      </c>
      <c r="B2479" s="0" t="str">
        <f aca="false">IF('הדבקת לידים'!B2479="","",IF(ISNUMBER('הדבקת לידים'!B2479),IF(הגדרות!$E$3&gt;0,TEXT('הדבקת לידים'!B2479,REPT("0",הגדרות!$E$3)),TEXT('הדבקת לידים'!B2479,"0")),TRIM('הדבקת לידים'!B2479)))</f>
        <v/>
      </c>
      <c r="C2479" s="0" t="n">
        <f aca="false">IF(OR(A2479&lt;&gt;"",B2479&lt;&gt;""),1,0)</f>
        <v>0</v>
      </c>
      <c r="D2479" s="0" t="str">
        <f aca="false">IF(C2479=1,MOD(ABS(SIN(ROW()*12.9898+'הדבקת לידים'!$F$2*78.233+IFERROR(--RIGHT(A2479,6),LEN(A2479))*0.0137+IFERROR(--RIGHT(B2479,6),LEN(B2479))*0.0071))*43758.5453,1),"")</f>
        <v/>
      </c>
      <c r="E2479" s="0" t="str">
        <f aca="false">IF(C2479=1,INT(MOD(ABS(SIN(D2479*7919.123+ROW()*0.618+'הדבקת לידים'!$F$2*1.3))*43758.5453,1)*1000000)*10000+ROW(),"")</f>
        <v/>
      </c>
      <c r="F2479" s="0" t="str">
        <f aca="false">IF(E2479="","",RANK(E2479,$E$2:$E$5001,1))</f>
        <v/>
      </c>
      <c r="G2479" s="0" t="n">
        <f aca="false">IF(A2479="",0,IF(SUMPRODUCT(--($A$2:$A$5001=A2479))&gt;1,1,0))</f>
        <v>0</v>
      </c>
      <c r="H2479" s="0" t="n">
        <f aca="false">ROW()-1</f>
        <v>2478</v>
      </c>
      <c r="I2479" s="0" t="str">
        <f aca="false">IF(OR(הגדרות!$E$6=0,H2479&gt;הגדרות!$E$5),"",IF(H2479-1&lt;הגדרות!$E$8*(הגדרות!$E$7+1),INT((H2479-1)/(הגדרות!$E$7+1)),הגדרות!$E$8+INT((H2479-1-הגדרות!$E$8*(הגדרות!$E$7+1))/הגדרות!$E$7)))</f>
        <v/>
      </c>
      <c r="J2479" s="0" t="str">
        <f aca="false">IF(I2479="","",IF(H2479-1&lt;הגדרות!$E$8*(הגדרות!$E$7+1),MOD(H2479-1,הגדרות!$E$7+1),MOD(H2479-1-הגדרות!$E$8*(הגדרות!$E$7+1),הגדרות!$E$7)))</f>
        <v/>
      </c>
      <c r="K2479" s="0" t="str">
        <f aca="false">IF(I2479="","",J2479*הגדרות!$E$6+I2479+1)</f>
        <v/>
      </c>
      <c r="L2479" s="0" t="str">
        <f aca="false">IF(K2479="","",MATCH(K2479,$F$2:$F$5001,0))</f>
        <v/>
      </c>
      <c r="M2479" s="0" t="str">
        <f aca="false">IF(I2479="","",INDEX(הגדרות!$A$2:$A$21,MOD(I2479+הגדרות!$E$9,הגדרות!$E$6)+1))</f>
        <v/>
      </c>
    </row>
    <row r="2480" customFormat="false" ht="15" hidden="false" customHeight="false" outlineLevel="0" collapsed="false">
      <c r="A2480" s="0" t="str">
        <f aca="false">IF('הדבקת לידים'!A2480="","",IF(ISNUMBER('הדבקת לידים'!A2480),IF(הגדרות!$E$2&gt;0,TEXT('הדבקת לידים'!A2480,REPT("0",הגדרות!$E$2)),TEXT('הדבקת לידים'!A2480,"0")),TRIM('הדבקת לידים'!A2480)))</f>
        <v/>
      </c>
      <c r="B2480" s="0" t="str">
        <f aca="false">IF('הדבקת לידים'!B2480="","",IF(ISNUMBER('הדבקת לידים'!B2480),IF(הגדרות!$E$3&gt;0,TEXT('הדבקת לידים'!B2480,REPT("0",הגדרות!$E$3)),TEXT('הדבקת לידים'!B2480,"0")),TRIM('הדבקת לידים'!B2480)))</f>
        <v/>
      </c>
      <c r="C2480" s="0" t="n">
        <f aca="false">IF(OR(A2480&lt;&gt;"",B2480&lt;&gt;""),1,0)</f>
        <v>0</v>
      </c>
      <c r="D2480" s="0" t="str">
        <f aca="false">IF(C2480=1,MOD(ABS(SIN(ROW()*12.9898+'הדבקת לידים'!$F$2*78.233+IFERROR(--RIGHT(A2480,6),LEN(A2480))*0.0137+IFERROR(--RIGHT(B2480,6),LEN(B2480))*0.0071))*43758.5453,1),"")</f>
        <v/>
      </c>
      <c r="E2480" s="0" t="str">
        <f aca="false">IF(C2480=1,INT(MOD(ABS(SIN(D2480*7919.123+ROW()*0.618+'הדבקת לידים'!$F$2*1.3))*43758.5453,1)*1000000)*10000+ROW(),"")</f>
        <v/>
      </c>
      <c r="F2480" s="0" t="str">
        <f aca="false">IF(E2480="","",RANK(E2480,$E$2:$E$5001,1))</f>
        <v/>
      </c>
      <c r="G2480" s="0" t="n">
        <f aca="false">IF(A2480="",0,IF(SUMPRODUCT(--($A$2:$A$5001=A2480))&gt;1,1,0))</f>
        <v>0</v>
      </c>
      <c r="H2480" s="0" t="n">
        <f aca="false">ROW()-1</f>
        <v>2479</v>
      </c>
      <c r="I2480" s="0" t="str">
        <f aca="false">IF(OR(הגדרות!$E$6=0,H2480&gt;הגדרות!$E$5),"",IF(H2480-1&lt;הגדרות!$E$8*(הגדרות!$E$7+1),INT((H2480-1)/(הגדרות!$E$7+1)),הגדרות!$E$8+INT((H2480-1-הגדרות!$E$8*(הגדרות!$E$7+1))/הגדרות!$E$7)))</f>
        <v/>
      </c>
      <c r="J2480" s="0" t="str">
        <f aca="false">IF(I2480="","",IF(H2480-1&lt;הגדרות!$E$8*(הגדרות!$E$7+1),MOD(H2480-1,הגדרות!$E$7+1),MOD(H2480-1-הגדרות!$E$8*(הגדרות!$E$7+1),הגדרות!$E$7)))</f>
        <v/>
      </c>
      <c r="K2480" s="0" t="str">
        <f aca="false">IF(I2480="","",J2480*הגדרות!$E$6+I2480+1)</f>
        <v/>
      </c>
      <c r="L2480" s="0" t="str">
        <f aca="false">IF(K2480="","",MATCH(K2480,$F$2:$F$5001,0))</f>
        <v/>
      </c>
      <c r="M2480" s="0" t="str">
        <f aca="false">IF(I2480="","",INDEX(הגדרות!$A$2:$A$21,MOD(I2480+הגדרות!$E$9,הגדרות!$E$6)+1))</f>
        <v/>
      </c>
    </row>
    <row r="2481" customFormat="false" ht="15" hidden="false" customHeight="false" outlineLevel="0" collapsed="false">
      <c r="A2481" s="0" t="str">
        <f aca="false">IF('הדבקת לידים'!A2481="","",IF(ISNUMBER('הדבקת לידים'!A2481),IF(הגדרות!$E$2&gt;0,TEXT('הדבקת לידים'!A2481,REPT("0",הגדרות!$E$2)),TEXT('הדבקת לידים'!A2481,"0")),TRIM('הדבקת לידים'!A2481)))</f>
        <v/>
      </c>
      <c r="B2481" s="0" t="str">
        <f aca="false">IF('הדבקת לידים'!B2481="","",IF(ISNUMBER('הדבקת לידים'!B2481),IF(הגדרות!$E$3&gt;0,TEXT('הדבקת לידים'!B2481,REPT("0",הגדרות!$E$3)),TEXT('הדבקת לידים'!B2481,"0")),TRIM('הדבקת לידים'!B2481)))</f>
        <v/>
      </c>
      <c r="C2481" s="0" t="n">
        <f aca="false">IF(OR(A2481&lt;&gt;"",B2481&lt;&gt;""),1,0)</f>
        <v>0</v>
      </c>
      <c r="D2481" s="0" t="str">
        <f aca="false">IF(C2481=1,MOD(ABS(SIN(ROW()*12.9898+'הדבקת לידים'!$F$2*78.233+IFERROR(--RIGHT(A2481,6),LEN(A2481))*0.0137+IFERROR(--RIGHT(B2481,6),LEN(B2481))*0.0071))*43758.5453,1),"")</f>
        <v/>
      </c>
      <c r="E2481" s="0" t="str">
        <f aca="false">IF(C2481=1,INT(MOD(ABS(SIN(D2481*7919.123+ROW()*0.618+'הדבקת לידים'!$F$2*1.3))*43758.5453,1)*1000000)*10000+ROW(),"")</f>
        <v/>
      </c>
      <c r="F2481" s="0" t="str">
        <f aca="false">IF(E2481="","",RANK(E2481,$E$2:$E$5001,1))</f>
        <v/>
      </c>
      <c r="G2481" s="0" t="n">
        <f aca="false">IF(A2481="",0,IF(SUMPRODUCT(--($A$2:$A$5001=A2481))&gt;1,1,0))</f>
        <v>0</v>
      </c>
      <c r="H2481" s="0" t="n">
        <f aca="false">ROW()-1</f>
        <v>2480</v>
      </c>
      <c r="I2481" s="0" t="str">
        <f aca="false">IF(OR(הגדרות!$E$6=0,H2481&gt;הגדרות!$E$5),"",IF(H2481-1&lt;הגדרות!$E$8*(הגדרות!$E$7+1),INT((H2481-1)/(הגדרות!$E$7+1)),הגדרות!$E$8+INT((H2481-1-הגדרות!$E$8*(הגדרות!$E$7+1))/הגדרות!$E$7)))</f>
        <v/>
      </c>
      <c r="J2481" s="0" t="str">
        <f aca="false">IF(I2481="","",IF(H2481-1&lt;הגדרות!$E$8*(הגדרות!$E$7+1),MOD(H2481-1,הגדרות!$E$7+1),MOD(H2481-1-הגדרות!$E$8*(הגדרות!$E$7+1),הגדרות!$E$7)))</f>
        <v/>
      </c>
      <c r="K2481" s="0" t="str">
        <f aca="false">IF(I2481="","",J2481*הגדרות!$E$6+I2481+1)</f>
        <v/>
      </c>
      <c r="L2481" s="0" t="str">
        <f aca="false">IF(K2481="","",MATCH(K2481,$F$2:$F$5001,0))</f>
        <v/>
      </c>
      <c r="M2481" s="0" t="str">
        <f aca="false">IF(I2481="","",INDEX(הגדרות!$A$2:$A$21,MOD(I2481+הגדרות!$E$9,הגדרות!$E$6)+1))</f>
        <v/>
      </c>
    </row>
    <row r="2482" customFormat="false" ht="15" hidden="false" customHeight="false" outlineLevel="0" collapsed="false">
      <c r="A2482" s="0" t="str">
        <f aca="false">IF('הדבקת לידים'!A2482="","",IF(ISNUMBER('הדבקת לידים'!A2482),IF(הגדרות!$E$2&gt;0,TEXT('הדבקת לידים'!A2482,REPT("0",הגדרות!$E$2)),TEXT('הדבקת לידים'!A2482,"0")),TRIM('הדבקת לידים'!A2482)))</f>
        <v/>
      </c>
      <c r="B2482" s="0" t="str">
        <f aca="false">IF('הדבקת לידים'!B2482="","",IF(ISNUMBER('הדבקת לידים'!B2482),IF(הגדרות!$E$3&gt;0,TEXT('הדבקת לידים'!B2482,REPT("0",הגדרות!$E$3)),TEXT('הדבקת לידים'!B2482,"0")),TRIM('הדבקת לידים'!B2482)))</f>
        <v/>
      </c>
      <c r="C2482" s="0" t="n">
        <f aca="false">IF(OR(A2482&lt;&gt;"",B2482&lt;&gt;""),1,0)</f>
        <v>0</v>
      </c>
      <c r="D2482" s="0" t="str">
        <f aca="false">IF(C2482=1,MOD(ABS(SIN(ROW()*12.9898+'הדבקת לידים'!$F$2*78.233+IFERROR(--RIGHT(A2482,6),LEN(A2482))*0.0137+IFERROR(--RIGHT(B2482,6),LEN(B2482))*0.0071))*43758.5453,1),"")</f>
        <v/>
      </c>
      <c r="E2482" s="0" t="str">
        <f aca="false">IF(C2482=1,INT(MOD(ABS(SIN(D2482*7919.123+ROW()*0.618+'הדבקת לידים'!$F$2*1.3))*43758.5453,1)*1000000)*10000+ROW(),"")</f>
        <v/>
      </c>
      <c r="F2482" s="0" t="str">
        <f aca="false">IF(E2482="","",RANK(E2482,$E$2:$E$5001,1))</f>
        <v/>
      </c>
      <c r="G2482" s="0" t="n">
        <f aca="false">IF(A2482="",0,IF(SUMPRODUCT(--($A$2:$A$5001=A2482))&gt;1,1,0))</f>
        <v>0</v>
      </c>
      <c r="H2482" s="0" t="n">
        <f aca="false">ROW()-1</f>
        <v>2481</v>
      </c>
      <c r="I2482" s="0" t="str">
        <f aca="false">IF(OR(הגדרות!$E$6=0,H2482&gt;הגדרות!$E$5),"",IF(H2482-1&lt;הגדרות!$E$8*(הגדרות!$E$7+1),INT((H2482-1)/(הגדרות!$E$7+1)),הגדרות!$E$8+INT((H2482-1-הגדרות!$E$8*(הגדרות!$E$7+1))/הגדרות!$E$7)))</f>
        <v/>
      </c>
      <c r="J2482" s="0" t="str">
        <f aca="false">IF(I2482="","",IF(H2482-1&lt;הגדרות!$E$8*(הגדרות!$E$7+1),MOD(H2482-1,הגדרות!$E$7+1),MOD(H2482-1-הגדרות!$E$8*(הגדרות!$E$7+1),הגדרות!$E$7)))</f>
        <v/>
      </c>
      <c r="K2482" s="0" t="str">
        <f aca="false">IF(I2482="","",J2482*הגדרות!$E$6+I2482+1)</f>
        <v/>
      </c>
      <c r="L2482" s="0" t="str">
        <f aca="false">IF(K2482="","",MATCH(K2482,$F$2:$F$5001,0))</f>
        <v/>
      </c>
      <c r="M2482" s="0" t="str">
        <f aca="false">IF(I2482="","",INDEX(הגדרות!$A$2:$A$21,MOD(I2482+הגדרות!$E$9,הגדרות!$E$6)+1))</f>
        <v/>
      </c>
    </row>
    <row r="2483" customFormat="false" ht="15" hidden="false" customHeight="false" outlineLevel="0" collapsed="false">
      <c r="A2483" s="0" t="str">
        <f aca="false">IF('הדבקת לידים'!A2483="","",IF(ISNUMBER('הדבקת לידים'!A2483),IF(הגדרות!$E$2&gt;0,TEXT('הדבקת לידים'!A2483,REPT("0",הגדרות!$E$2)),TEXT('הדבקת לידים'!A2483,"0")),TRIM('הדבקת לידים'!A2483)))</f>
        <v/>
      </c>
      <c r="B2483" s="0" t="str">
        <f aca="false">IF('הדבקת לידים'!B2483="","",IF(ISNUMBER('הדבקת לידים'!B2483),IF(הגדרות!$E$3&gt;0,TEXT('הדבקת לידים'!B2483,REPT("0",הגדרות!$E$3)),TEXT('הדבקת לידים'!B2483,"0")),TRIM('הדבקת לידים'!B2483)))</f>
        <v/>
      </c>
      <c r="C2483" s="0" t="n">
        <f aca="false">IF(OR(A2483&lt;&gt;"",B2483&lt;&gt;""),1,0)</f>
        <v>0</v>
      </c>
      <c r="D2483" s="0" t="str">
        <f aca="false">IF(C2483=1,MOD(ABS(SIN(ROW()*12.9898+'הדבקת לידים'!$F$2*78.233+IFERROR(--RIGHT(A2483,6),LEN(A2483))*0.0137+IFERROR(--RIGHT(B2483,6),LEN(B2483))*0.0071))*43758.5453,1),"")</f>
        <v/>
      </c>
      <c r="E2483" s="0" t="str">
        <f aca="false">IF(C2483=1,INT(MOD(ABS(SIN(D2483*7919.123+ROW()*0.618+'הדבקת לידים'!$F$2*1.3))*43758.5453,1)*1000000)*10000+ROW(),"")</f>
        <v/>
      </c>
      <c r="F2483" s="0" t="str">
        <f aca="false">IF(E2483="","",RANK(E2483,$E$2:$E$5001,1))</f>
        <v/>
      </c>
      <c r="G2483" s="0" t="n">
        <f aca="false">IF(A2483="",0,IF(SUMPRODUCT(--($A$2:$A$5001=A2483))&gt;1,1,0))</f>
        <v>0</v>
      </c>
      <c r="H2483" s="0" t="n">
        <f aca="false">ROW()-1</f>
        <v>2482</v>
      </c>
      <c r="I2483" s="0" t="str">
        <f aca="false">IF(OR(הגדרות!$E$6=0,H2483&gt;הגדרות!$E$5),"",IF(H2483-1&lt;הגדרות!$E$8*(הגדרות!$E$7+1),INT((H2483-1)/(הגדרות!$E$7+1)),הגדרות!$E$8+INT((H2483-1-הגדרות!$E$8*(הגדרות!$E$7+1))/הגדרות!$E$7)))</f>
        <v/>
      </c>
      <c r="J2483" s="0" t="str">
        <f aca="false">IF(I2483="","",IF(H2483-1&lt;הגדרות!$E$8*(הגדרות!$E$7+1),MOD(H2483-1,הגדרות!$E$7+1),MOD(H2483-1-הגדרות!$E$8*(הגדרות!$E$7+1),הגדרות!$E$7)))</f>
        <v/>
      </c>
      <c r="K2483" s="0" t="str">
        <f aca="false">IF(I2483="","",J2483*הגדרות!$E$6+I2483+1)</f>
        <v/>
      </c>
      <c r="L2483" s="0" t="str">
        <f aca="false">IF(K2483="","",MATCH(K2483,$F$2:$F$5001,0))</f>
        <v/>
      </c>
      <c r="M2483" s="0" t="str">
        <f aca="false">IF(I2483="","",INDEX(הגדרות!$A$2:$A$21,MOD(I2483+הגדרות!$E$9,הגדרות!$E$6)+1))</f>
        <v/>
      </c>
    </row>
    <row r="2484" customFormat="false" ht="15" hidden="false" customHeight="false" outlineLevel="0" collapsed="false">
      <c r="A2484" s="0" t="str">
        <f aca="false">IF('הדבקת לידים'!A2484="","",IF(ISNUMBER('הדבקת לידים'!A2484),IF(הגדרות!$E$2&gt;0,TEXT('הדבקת לידים'!A2484,REPT("0",הגדרות!$E$2)),TEXT('הדבקת לידים'!A2484,"0")),TRIM('הדבקת לידים'!A2484)))</f>
        <v/>
      </c>
      <c r="B2484" s="0" t="str">
        <f aca="false">IF('הדבקת לידים'!B2484="","",IF(ISNUMBER('הדבקת לידים'!B2484),IF(הגדרות!$E$3&gt;0,TEXT('הדבקת לידים'!B2484,REPT("0",הגדרות!$E$3)),TEXT('הדבקת לידים'!B2484,"0")),TRIM('הדבקת לידים'!B2484)))</f>
        <v/>
      </c>
      <c r="C2484" s="0" t="n">
        <f aca="false">IF(OR(A2484&lt;&gt;"",B2484&lt;&gt;""),1,0)</f>
        <v>0</v>
      </c>
      <c r="D2484" s="0" t="str">
        <f aca="false">IF(C2484=1,MOD(ABS(SIN(ROW()*12.9898+'הדבקת לידים'!$F$2*78.233+IFERROR(--RIGHT(A2484,6),LEN(A2484))*0.0137+IFERROR(--RIGHT(B2484,6),LEN(B2484))*0.0071))*43758.5453,1),"")</f>
        <v/>
      </c>
      <c r="E2484" s="0" t="str">
        <f aca="false">IF(C2484=1,INT(MOD(ABS(SIN(D2484*7919.123+ROW()*0.618+'הדבקת לידים'!$F$2*1.3))*43758.5453,1)*1000000)*10000+ROW(),"")</f>
        <v/>
      </c>
      <c r="F2484" s="0" t="str">
        <f aca="false">IF(E2484="","",RANK(E2484,$E$2:$E$5001,1))</f>
        <v/>
      </c>
      <c r="G2484" s="0" t="n">
        <f aca="false">IF(A2484="",0,IF(SUMPRODUCT(--($A$2:$A$5001=A2484))&gt;1,1,0))</f>
        <v>0</v>
      </c>
      <c r="H2484" s="0" t="n">
        <f aca="false">ROW()-1</f>
        <v>2483</v>
      </c>
      <c r="I2484" s="0" t="str">
        <f aca="false">IF(OR(הגדרות!$E$6=0,H2484&gt;הגדרות!$E$5),"",IF(H2484-1&lt;הגדרות!$E$8*(הגדרות!$E$7+1),INT((H2484-1)/(הגדרות!$E$7+1)),הגדרות!$E$8+INT((H2484-1-הגדרות!$E$8*(הגדרות!$E$7+1))/הגדרות!$E$7)))</f>
        <v/>
      </c>
      <c r="J2484" s="0" t="str">
        <f aca="false">IF(I2484="","",IF(H2484-1&lt;הגדרות!$E$8*(הגדרות!$E$7+1),MOD(H2484-1,הגדרות!$E$7+1),MOD(H2484-1-הגדרות!$E$8*(הגדרות!$E$7+1),הגדרות!$E$7)))</f>
        <v/>
      </c>
      <c r="K2484" s="0" t="str">
        <f aca="false">IF(I2484="","",J2484*הגדרות!$E$6+I2484+1)</f>
        <v/>
      </c>
      <c r="L2484" s="0" t="str">
        <f aca="false">IF(K2484="","",MATCH(K2484,$F$2:$F$5001,0))</f>
        <v/>
      </c>
      <c r="M2484" s="0" t="str">
        <f aca="false">IF(I2484="","",INDEX(הגדרות!$A$2:$A$21,MOD(I2484+הגדרות!$E$9,הגדרות!$E$6)+1))</f>
        <v/>
      </c>
    </row>
    <row r="2485" customFormat="false" ht="15" hidden="false" customHeight="false" outlineLevel="0" collapsed="false">
      <c r="A2485" s="0" t="str">
        <f aca="false">IF('הדבקת לידים'!A2485="","",IF(ISNUMBER('הדבקת לידים'!A2485),IF(הגדרות!$E$2&gt;0,TEXT('הדבקת לידים'!A2485,REPT("0",הגדרות!$E$2)),TEXT('הדבקת לידים'!A2485,"0")),TRIM('הדבקת לידים'!A2485)))</f>
        <v/>
      </c>
      <c r="B2485" s="0" t="str">
        <f aca="false">IF('הדבקת לידים'!B2485="","",IF(ISNUMBER('הדבקת לידים'!B2485),IF(הגדרות!$E$3&gt;0,TEXT('הדבקת לידים'!B2485,REPT("0",הגדרות!$E$3)),TEXT('הדבקת לידים'!B2485,"0")),TRIM('הדבקת לידים'!B2485)))</f>
        <v/>
      </c>
      <c r="C2485" s="0" t="n">
        <f aca="false">IF(OR(A2485&lt;&gt;"",B2485&lt;&gt;""),1,0)</f>
        <v>0</v>
      </c>
      <c r="D2485" s="0" t="str">
        <f aca="false">IF(C2485=1,MOD(ABS(SIN(ROW()*12.9898+'הדבקת לידים'!$F$2*78.233+IFERROR(--RIGHT(A2485,6),LEN(A2485))*0.0137+IFERROR(--RIGHT(B2485,6),LEN(B2485))*0.0071))*43758.5453,1),"")</f>
        <v/>
      </c>
      <c r="E2485" s="0" t="str">
        <f aca="false">IF(C2485=1,INT(MOD(ABS(SIN(D2485*7919.123+ROW()*0.618+'הדבקת לידים'!$F$2*1.3))*43758.5453,1)*1000000)*10000+ROW(),"")</f>
        <v/>
      </c>
      <c r="F2485" s="0" t="str">
        <f aca="false">IF(E2485="","",RANK(E2485,$E$2:$E$5001,1))</f>
        <v/>
      </c>
      <c r="G2485" s="0" t="n">
        <f aca="false">IF(A2485="",0,IF(SUMPRODUCT(--($A$2:$A$5001=A2485))&gt;1,1,0))</f>
        <v>0</v>
      </c>
      <c r="H2485" s="0" t="n">
        <f aca="false">ROW()-1</f>
        <v>2484</v>
      </c>
      <c r="I2485" s="0" t="str">
        <f aca="false">IF(OR(הגדרות!$E$6=0,H2485&gt;הגדרות!$E$5),"",IF(H2485-1&lt;הגדרות!$E$8*(הגדרות!$E$7+1),INT((H2485-1)/(הגדרות!$E$7+1)),הגדרות!$E$8+INT((H2485-1-הגדרות!$E$8*(הגדרות!$E$7+1))/הגדרות!$E$7)))</f>
        <v/>
      </c>
      <c r="J2485" s="0" t="str">
        <f aca="false">IF(I2485="","",IF(H2485-1&lt;הגדרות!$E$8*(הגדרות!$E$7+1),MOD(H2485-1,הגדרות!$E$7+1),MOD(H2485-1-הגדרות!$E$8*(הגדרות!$E$7+1),הגדרות!$E$7)))</f>
        <v/>
      </c>
      <c r="K2485" s="0" t="str">
        <f aca="false">IF(I2485="","",J2485*הגדרות!$E$6+I2485+1)</f>
        <v/>
      </c>
      <c r="L2485" s="0" t="str">
        <f aca="false">IF(K2485="","",MATCH(K2485,$F$2:$F$5001,0))</f>
        <v/>
      </c>
      <c r="M2485" s="0" t="str">
        <f aca="false">IF(I2485="","",INDEX(הגדרות!$A$2:$A$21,MOD(I2485+הגדרות!$E$9,הגדרות!$E$6)+1))</f>
        <v/>
      </c>
    </row>
    <row r="2486" customFormat="false" ht="15" hidden="false" customHeight="false" outlineLevel="0" collapsed="false">
      <c r="A2486" s="0" t="str">
        <f aca="false">IF('הדבקת לידים'!A2486="","",IF(ISNUMBER('הדבקת לידים'!A2486),IF(הגדרות!$E$2&gt;0,TEXT('הדבקת לידים'!A2486,REPT("0",הגדרות!$E$2)),TEXT('הדבקת לידים'!A2486,"0")),TRIM('הדבקת לידים'!A2486)))</f>
        <v/>
      </c>
      <c r="B2486" s="0" t="str">
        <f aca="false">IF('הדבקת לידים'!B2486="","",IF(ISNUMBER('הדבקת לידים'!B2486),IF(הגדרות!$E$3&gt;0,TEXT('הדבקת לידים'!B2486,REPT("0",הגדרות!$E$3)),TEXT('הדבקת לידים'!B2486,"0")),TRIM('הדבקת לידים'!B2486)))</f>
        <v/>
      </c>
      <c r="C2486" s="0" t="n">
        <f aca="false">IF(OR(A2486&lt;&gt;"",B2486&lt;&gt;""),1,0)</f>
        <v>0</v>
      </c>
      <c r="D2486" s="0" t="str">
        <f aca="false">IF(C2486=1,MOD(ABS(SIN(ROW()*12.9898+'הדבקת לידים'!$F$2*78.233+IFERROR(--RIGHT(A2486,6),LEN(A2486))*0.0137+IFERROR(--RIGHT(B2486,6),LEN(B2486))*0.0071))*43758.5453,1),"")</f>
        <v/>
      </c>
      <c r="E2486" s="0" t="str">
        <f aca="false">IF(C2486=1,INT(MOD(ABS(SIN(D2486*7919.123+ROW()*0.618+'הדבקת לידים'!$F$2*1.3))*43758.5453,1)*1000000)*10000+ROW(),"")</f>
        <v/>
      </c>
      <c r="F2486" s="0" t="str">
        <f aca="false">IF(E2486="","",RANK(E2486,$E$2:$E$5001,1))</f>
        <v/>
      </c>
      <c r="G2486" s="0" t="n">
        <f aca="false">IF(A2486="",0,IF(SUMPRODUCT(--($A$2:$A$5001=A2486))&gt;1,1,0))</f>
        <v>0</v>
      </c>
      <c r="H2486" s="0" t="n">
        <f aca="false">ROW()-1</f>
        <v>2485</v>
      </c>
      <c r="I2486" s="0" t="str">
        <f aca="false">IF(OR(הגדרות!$E$6=0,H2486&gt;הגדרות!$E$5),"",IF(H2486-1&lt;הגדרות!$E$8*(הגדרות!$E$7+1),INT((H2486-1)/(הגדרות!$E$7+1)),הגדרות!$E$8+INT((H2486-1-הגדרות!$E$8*(הגדרות!$E$7+1))/הגדרות!$E$7)))</f>
        <v/>
      </c>
      <c r="J2486" s="0" t="str">
        <f aca="false">IF(I2486="","",IF(H2486-1&lt;הגדרות!$E$8*(הגדרות!$E$7+1),MOD(H2486-1,הגדרות!$E$7+1),MOD(H2486-1-הגדרות!$E$8*(הגדרות!$E$7+1),הגדרות!$E$7)))</f>
        <v/>
      </c>
      <c r="K2486" s="0" t="str">
        <f aca="false">IF(I2486="","",J2486*הגדרות!$E$6+I2486+1)</f>
        <v/>
      </c>
      <c r="L2486" s="0" t="str">
        <f aca="false">IF(K2486="","",MATCH(K2486,$F$2:$F$5001,0))</f>
        <v/>
      </c>
      <c r="M2486" s="0" t="str">
        <f aca="false">IF(I2486="","",INDEX(הגדרות!$A$2:$A$21,MOD(I2486+הגדרות!$E$9,הגדרות!$E$6)+1))</f>
        <v/>
      </c>
    </row>
    <row r="2487" customFormat="false" ht="15" hidden="false" customHeight="false" outlineLevel="0" collapsed="false">
      <c r="A2487" s="0" t="str">
        <f aca="false">IF('הדבקת לידים'!A2487="","",IF(ISNUMBER('הדבקת לידים'!A2487),IF(הגדרות!$E$2&gt;0,TEXT('הדבקת לידים'!A2487,REPT("0",הגדרות!$E$2)),TEXT('הדבקת לידים'!A2487,"0")),TRIM('הדבקת לידים'!A2487)))</f>
        <v/>
      </c>
      <c r="B2487" s="0" t="str">
        <f aca="false">IF('הדבקת לידים'!B2487="","",IF(ISNUMBER('הדבקת לידים'!B2487),IF(הגדרות!$E$3&gt;0,TEXT('הדבקת לידים'!B2487,REPT("0",הגדרות!$E$3)),TEXT('הדבקת לידים'!B2487,"0")),TRIM('הדבקת לידים'!B2487)))</f>
        <v/>
      </c>
      <c r="C2487" s="0" t="n">
        <f aca="false">IF(OR(A2487&lt;&gt;"",B2487&lt;&gt;""),1,0)</f>
        <v>0</v>
      </c>
      <c r="D2487" s="0" t="str">
        <f aca="false">IF(C2487=1,MOD(ABS(SIN(ROW()*12.9898+'הדבקת לידים'!$F$2*78.233+IFERROR(--RIGHT(A2487,6),LEN(A2487))*0.0137+IFERROR(--RIGHT(B2487,6),LEN(B2487))*0.0071))*43758.5453,1),"")</f>
        <v/>
      </c>
      <c r="E2487" s="0" t="str">
        <f aca="false">IF(C2487=1,INT(MOD(ABS(SIN(D2487*7919.123+ROW()*0.618+'הדבקת לידים'!$F$2*1.3))*43758.5453,1)*1000000)*10000+ROW(),"")</f>
        <v/>
      </c>
      <c r="F2487" s="0" t="str">
        <f aca="false">IF(E2487="","",RANK(E2487,$E$2:$E$5001,1))</f>
        <v/>
      </c>
      <c r="G2487" s="0" t="n">
        <f aca="false">IF(A2487="",0,IF(SUMPRODUCT(--($A$2:$A$5001=A2487))&gt;1,1,0))</f>
        <v>0</v>
      </c>
      <c r="H2487" s="0" t="n">
        <f aca="false">ROW()-1</f>
        <v>2486</v>
      </c>
      <c r="I2487" s="0" t="str">
        <f aca="false">IF(OR(הגדרות!$E$6=0,H2487&gt;הגדרות!$E$5),"",IF(H2487-1&lt;הגדרות!$E$8*(הגדרות!$E$7+1),INT((H2487-1)/(הגדרות!$E$7+1)),הגדרות!$E$8+INT((H2487-1-הגדרות!$E$8*(הגדרות!$E$7+1))/הגדרות!$E$7)))</f>
        <v/>
      </c>
      <c r="J2487" s="0" t="str">
        <f aca="false">IF(I2487="","",IF(H2487-1&lt;הגדרות!$E$8*(הגדרות!$E$7+1),MOD(H2487-1,הגדרות!$E$7+1),MOD(H2487-1-הגדרות!$E$8*(הגדרות!$E$7+1),הגדרות!$E$7)))</f>
        <v/>
      </c>
      <c r="K2487" s="0" t="str">
        <f aca="false">IF(I2487="","",J2487*הגדרות!$E$6+I2487+1)</f>
        <v/>
      </c>
      <c r="L2487" s="0" t="str">
        <f aca="false">IF(K2487="","",MATCH(K2487,$F$2:$F$5001,0))</f>
        <v/>
      </c>
      <c r="M2487" s="0" t="str">
        <f aca="false">IF(I2487="","",INDEX(הגדרות!$A$2:$A$21,MOD(I2487+הגדרות!$E$9,הגדרות!$E$6)+1))</f>
        <v/>
      </c>
    </row>
    <row r="2488" customFormat="false" ht="15" hidden="false" customHeight="false" outlineLevel="0" collapsed="false">
      <c r="A2488" s="0" t="str">
        <f aca="false">IF('הדבקת לידים'!A2488="","",IF(ISNUMBER('הדבקת לידים'!A2488),IF(הגדרות!$E$2&gt;0,TEXT('הדבקת לידים'!A2488,REPT("0",הגדרות!$E$2)),TEXT('הדבקת לידים'!A2488,"0")),TRIM('הדבקת לידים'!A2488)))</f>
        <v/>
      </c>
      <c r="B2488" s="0" t="str">
        <f aca="false">IF('הדבקת לידים'!B2488="","",IF(ISNUMBER('הדבקת לידים'!B2488),IF(הגדרות!$E$3&gt;0,TEXT('הדבקת לידים'!B2488,REPT("0",הגדרות!$E$3)),TEXT('הדבקת לידים'!B2488,"0")),TRIM('הדבקת לידים'!B2488)))</f>
        <v/>
      </c>
      <c r="C2488" s="0" t="n">
        <f aca="false">IF(OR(A2488&lt;&gt;"",B2488&lt;&gt;""),1,0)</f>
        <v>0</v>
      </c>
      <c r="D2488" s="0" t="str">
        <f aca="false">IF(C2488=1,MOD(ABS(SIN(ROW()*12.9898+'הדבקת לידים'!$F$2*78.233+IFERROR(--RIGHT(A2488,6),LEN(A2488))*0.0137+IFERROR(--RIGHT(B2488,6),LEN(B2488))*0.0071))*43758.5453,1),"")</f>
        <v/>
      </c>
      <c r="E2488" s="0" t="str">
        <f aca="false">IF(C2488=1,INT(MOD(ABS(SIN(D2488*7919.123+ROW()*0.618+'הדבקת לידים'!$F$2*1.3))*43758.5453,1)*1000000)*10000+ROW(),"")</f>
        <v/>
      </c>
      <c r="F2488" s="0" t="str">
        <f aca="false">IF(E2488="","",RANK(E2488,$E$2:$E$5001,1))</f>
        <v/>
      </c>
      <c r="G2488" s="0" t="n">
        <f aca="false">IF(A2488="",0,IF(SUMPRODUCT(--($A$2:$A$5001=A2488))&gt;1,1,0))</f>
        <v>0</v>
      </c>
      <c r="H2488" s="0" t="n">
        <f aca="false">ROW()-1</f>
        <v>2487</v>
      </c>
      <c r="I2488" s="0" t="str">
        <f aca="false">IF(OR(הגדרות!$E$6=0,H2488&gt;הגדרות!$E$5),"",IF(H2488-1&lt;הגדרות!$E$8*(הגדרות!$E$7+1),INT((H2488-1)/(הגדרות!$E$7+1)),הגדרות!$E$8+INT((H2488-1-הגדרות!$E$8*(הגדרות!$E$7+1))/הגדרות!$E$7)))</f>
        <v/>
      </c>
      <c r="J2488" s="0" t="str">
        <f aca="false">IF(I2488="","",IF(H2488-1&lt;הגדרות!$E$8*(הגדרות!$E$7+1),MOD(H2488-1,הגדרות!$E$7+1),MOD(H2488-1-הגדרות!$E$8*(הגדרות!$E$7+1),הגדרות!$E$7)))</f>
        <v/>
      </c>
      <c r="K2488" s="0" t="str">
        <f aca="false">IF(I2488="","",J2488*הגדרות!$E$6+I2488+1)</f>
        <v/>
      </c>
      <c r="L2488" s="0" t="str">
        <f aca="false">IF(K2488="","",MATCH(K2488,$F$2:$F$5001,0))</f>
        <v/>
      </c>
      <c r="M2488" s="0" t="str">
        <f aca="false">IF(I2488="","",INDEX(הגדרות!$A$2:$A$21,MOD(I2488+הגדרות!$E$9,הגדרות!$E$6)+1))</f>
        <v/>
      </c>
    </row>
    <row r="2489" customFormat="false" ht="15" hidden="false" customHeight="false" outlineLevel="0" collapsed="false">
      <c r="A2489" s="0" t="str">
        <f aca="false">IF('הדבקת לידים'!A2489="","",IF(ISNUMBER('הדבקת לידים'!A2489),IF(הגדרות!$E$2&gt;0,TEXT('הדבקת לידים'!A2489,REPT("0",הגדרות!$E$2)),TEXT('הדבקת לידים'!A2489,"0")),TRIM('הדבקת לידים'!A2489)))</f>
        <v/>
      </c>
      <c r="B2489" s="0" t="str">
        <f aca="false">IF('הדבקת לידים'!B2489="","",IF(ISNUMBER('הדבקת לידים'!B2489),IF(הגדרות!$E$3&gt;0,TEXT('הדבקת לידים'!B2489,REPT("0",הגדרות!$E$3)),TEXT('הדבקת לידים'!B2489,"0")),TRIM('הדבקת לידים'!B2489)))</f>
        <v/>
      </c>
      <c r="C2489" s="0" t="n">
        <f aca="false">IF(OR(A2489&lt;&gt;"",B2489&lt;&gt;""),1,0)</f>
        <v>0</v>
      </c>
      <c r="D2489" s="0" t="str">
        <f aca="false">IF(C2489=1,MOD(ABS(SIN(ROW()*12.9898+'הדבקת לידים'!$F$2*78.233+IFERROR(--RIGHT(A2489,6),LEN(A2489))*0.0137+IFERROR(--RIGHT(B2489,6),LEN(B2489))*0.0071))*43758.5453,1),"")</f>
        <v/>
      </c>
      <c r="E2489" s="0" t="str">
        <f aca="false">IF(C2489=1,INT(MOD(ABS(SIN(D2489*7919.123+ROW()*0.618+'הדבקת לידים'!$F$2*1.3))*43758.5453,1)*1000000)*10000+ROW(),"")</f>
        <v/>
      </c>
      <c r="F2489" s="0" t="str">
        <f aca="false">IF(E2489="","",RANK(E2489,$E$2:$E$5001,1))</f>
        <v/>
      </c>
      <c r="G2489" s="0" t="n">
        <f aca="false">IF(A2489="",0,IF(SUMPRODUCT(--($A$2:$A$5001=A2489))&gt;1,1,0))</f>
        <v>0</v>
      </c>
      <c r="H2489" s="0" t="n">
        <f aca="false">ROW()-1</f>
        <v>2488</v>
      </c>
      <c r="I2489" s="0" t="str">
        <f aca="false">IF(OR(הגדרות!$E$6=0,H2489&gt;הגדרות!$E$5),"",IF(H2489-1&lt;הגדרות!$E$8*(הגדרות!$E$7+1),INT((H2489-1)/(הגדרות!$E$7+1)),הגדרות!$E$8+INT((H2489-1-הגדרות!$E$8*(הגדרות!$E$7+1))/הגדרות!$E$7)))</f>
        <v/>
      </c>
      <c r="J2489" s="0" t="str">
        <f aca="false">IF(I2489="","",IF(H2489-1&lt;הגדרות!$E$8*(הגדרות!$E$7+1),MOD(H2489-1,הגדרות!$E$7+1),MOD(H2489-1-הגדרות!$E$8*(הגדרות!$E$7+1),הגדרות!$E$7)))</f>
        <v/>
      </c>
      <c r="K2489" s="0" t="str">
        <f aca="false">IF(I2489="","",J2489*הגדרות!$E$6+I2489+1)</f>
        <v/>
      </c>
      <c r="L2489" s="0" t="str">
        <f aca="false">IF(K2489="","",MATCH(K2489,$F$2:$F$5001,0))</f>
        <v/>
      </c>
      <c r="M2489" s="0" t="str">
        <f aca="false">IF(I2489="","",INDEX(הגדרות!$A$2:$A$21,MOD(I2489+הגדרות!$E$9,הגדרות!$E$6)+1))</f>
        <v/>
      </c>
    </row>
    <row r="2490" customFormat="false" ht="15" hidden="false" customHeight="false" outlineLevel="0" collapsed="false">
      <c r="A2490" s="0" t="str">
        <f aca="false">IF('הדבקת לידים'!A2490="","",IF(ISNUMBER('הדבקת לידים'!A2490),IF(הגדרות!$E$2&gt;0,TEXT('הדבקת לידים'!A2490,REPT("0",הגדרות!$E$2)),TEXT('הדבקת לידים'!A2490,"0")),TRIM('הדבקת לידים'!A2490)))</f>
        <v/>
      </c>
      <c r="B2490" s="0" t="str">
        <f aca="false">IF('הדבקת לידים'!B2490="","",IF(ISNUMBER('הדבקת לידים'!B2490),IF(הגדרות!$E$3&gt;0,TEXT('הדבקת לידים'!B2490,REPT("0",הגדרות!$E$3)),TEXT('הדבקת לידים'!B2490,"0")),TRIM('הדבקת לידים'!B2490)))</f>
        <v/>
      </c>
      <c r="C2490" s="0" t="n">
        <f aca="false">IF(OR(A2490&lt;&gt;"",B2490&lt;&gt;""),1,0)</f>
        <v>0</v>
      </c>
      <c r="D2490" s="0" t="str">
        <f aca="false">IF(C2490=1,MOD(ABS(SIN(ROW()*12.9898+'הדבקת לידים'!$F$2*78.233+IFERROR(--RIGHT(A2490,6),LEN(A2490))*0.0137+IFERROR(--RIGHT(B2490,6),LEN(B2490))*0.0071))*43758.5453,1),"")</f>
        <v/>
      </c>
      <c r="E2490" s="0" t="str">
        <f aca="false">IF(C2490=1,INT(MOD(ABS(SIN(D2490*7919.123+ROW()*0.618+'הדבקת לידים'!$F$2*1.3))*43758.5453,1)*1000000)*10000+ROW(),"")</f>
        <v/>
      </c>
      <c r="F2490" s="0" t="str">
        <f aca="false">IF(E2490="","",RANK(E2490,$E$2:$E$5001,1))</f>
        <v/>
      </c>
      <c r="G2490" s="0" t="n">
        <f aca="false">IF(A2490="",0,IF(SUMPRODUCT(--($A$2:$A$5001=A2490))&gt;1,1,0))</f>
        <v>0</v>
      </c>
      <c r="H2490" s="0" t="n">
        <f aca="false">ROW()-1</f>
        <v>2489</v>
      </c>
      <c r="I2490" s="0" t="str">
        <f aca="false">IF(OR(הגדרות!$E$6=0,H2490&gt;הגדרות!$E$5),"",IF(H2490-1&lt;הגדרות!$E$8*(הגדרות!$E$7+1),INT((H2490-1)/(הגדרות!$E$7+1)),הגדרות!$E$8+INT((H2490-1-הגדרות!$E$8*(הגדרות!$E$7+1))/הגדרות!$E$7)))</f>
        <v/>
      </c>
      <c r="J2490" s="0" t="str">
        <f aca="false">IF(I2490="","",IF(H2490-1&lt;הגדרות!$E$8*(הגדרות!$E$7+1),MOD(H2490-1,הגדרות!$E$7+1),MOD(H2490-1-הגדרות!$E$8*(הגדרות!$E$7+1),הגדרות!$E$7)))</f>
        <v/>
      </c>
      <c r="K2490" s="0" t="str">
        <f aca="false">IF(I2490="","",J2490*הגדרות!$E$6+I2490+1)</f>
        <v/>
      </c>
      <c r="L2490" s="0" t="str">
        <f aca="false">IF(K2490="","",MATCH(K2490,$F$2:$F$5001,0))</f>
        <v/>
      </c>
      <c r="M2490" s="0" t="str">
        <f aca="false">IF(I2490="","",INDEX(הגדרות!$A$2:$A$21,MOD(I2490+הגדרות!$E$9,הגדרות!$E$6)+1))</f>
        <v/>
      </c>
    </row>
    <row r="2491" customFormat="false" ht="15" hidden="false" customHeight="false" outlineLevel="0" collapsed="false">
      <c r="A2491" s="0" t="str">
        <f aca="false">IF('הדבקת לידים'!A2491="","",IF(ISNUMBER('הדבקת לידים'!A2491),IF(הגדרות!$E$2&gt;0,TEXT('הדבקת לידים'!A2491,REPT("0",הגדרות!$E$2)),TEXT('הדבקת לידים'!A2491,"0")),TRIM('הדבקת לידים'!A2491)))</f>
        <v/>
      </c>
      <c r="B2491" s="0" t="str">
        <f aca="false">IF('הדבקת לידים'!B2491="","",IF(ISNUMBER('הדבקת לידים'!B2491),IF(הגדרות!$E$3&gt;0,TEXT('הדבקת לידים'!B2491,REPT("0",הגדרות!$E$3)),TEXT('הדבקת לידים'!B2491,"0")),TRIM('הדבקת לידים'!B2491)))</f>
        <v/>
      </c>
      <c r="C2491" s="0" t="n">
        <f aca="false">IF(OR(A2491&lt;&gt;"",B2491&lt;&gt;""),1,0)</f>
        <v>0</v>
      </c>
      <c r="D2491" s="0" t="str">
        <f aca="false">IF(C2491=1,MOD(ABS(SIN(ROW()*12.9898+'הדבקת לידים'!$F$2*78.233+IFERROR(--RIGHT(A2491,6),LEN(A2491))*0.0137+IFERROR(--RIGHT(B2491,6),LEN(B2491))*0.0071))*43758.5453,1),"")</f>
        <v/>
      </c>
      <c r="E2491" s="0" t="str">
        <f aca="false">IF(C2491=1,INT(MOD(ABS(SIN(D2491*7919.123+ROW()*0.618+'הדבקת לידים'!$F$2*1.3))*43758.5453,1)*1000000)*10000+ROW(),"")</f>
        <v/>
      </c>
      <c r="F2491" s="0" t="str">
        <f aca="false">IF(E2491="","",RANK(E2491,$E$2:$E$5001,1))</f>
        <v/>
      </c>
      <c r="G2491" s="0" t="n">
        <f aca="false">IF(A2491="",0,IF(SUMPRODUCT(--($A$2:$A$5001=A2491))&gt;1,1,0))</f>
        <v>0</v>
      </c>
      <c r="H2491" s="0" t="n">
        <f aca="false">ROW()-1</f>
        <v>2490</v>
      </c>
      <c r="I2491" s="0" t="str">
        <f aca="false">IF(OR(הגדרות!$E$6=0,H2491&gt;הגדרות!$E$5),"",IF(H2491-1&lt;הגדרות!$E$8*(הגדרות!$E$7+1),INT((H2491-1)/(הגדרות!$E$7+1)),הגדרות!$E$8+INT((H2491-1-הגדרות!$E$8*(הגדרות!$E$7+1))/הגדרות!$E$7)))</f>
        <v/>
      </c>
      <c r="J2491" s="0" t="str">
        <f aca="false">IF(I2491="","",IF(H2491-1&lt;הגדרות!$E$8*(הגדרות!$E$7+1),MOD(H2491-1,הגדרות!$E$7+1),MOD(H2491-1-הגדרות!$E$8*(הגדרות!$E$7+1),הגדרות!$E$7)))</f>
        <v/>
      </c>
      <c r="K2491" s="0" t="str">
        <f aca="false">IF(I2491="","",J2491*הגדרות!$E$6+I2491+1)</f>
        <v/>
      </c>
      <c r="L2491" s="0" t="str">
        <f aca="false">IF(K2491="","",MATCH(K2491,$F$2:$F$5001,0))</f>
        <v/>
      </c>
      <c r="M2491" s="0" t="str">
        <f aca="false">IF(I2491="","",INDEX(הגדרות!$A$2:$A$21,MOD(I2491+הגדרות!$E$9,הגדרות!$E$6)+1))</f>
        <v/>
      </c>
    </row>
    <row r="2492" customFormat="false" ht="15" hidden="false" customHeight="false" outlineLevel="0" collapsed="false">
      <c r="A2492" s="0" t="str">
        <f aca="false">IF('הדבקת לידים'!A2492="","",IF(ISNUMBER('הדבקת לידים'!A2492),IF(הגדרות!$E$2&gt;0,TEXT('הדבקת לידים'!A2492,REPT("0",הגדרות!$E$2)),TEXT('הדבקת לידים'!A2492,"0")),TRIM('הדבקת לידים'!A2492)))</f>
        <v/>
      </c>
      <c r="B2492" s="0" t="str">
        <f aca="false">IF('הדבקת לידים'!B2492="","",IF(ISNUMBER('הדבקת לידים'!B2492),IF(הגדרות!$E$3&gt;0,TEXT('הדבקת לידים'!B2492,REPT("0",הגדרות!$E$3)),TEXT('הדבקת לידים'!B2492,"0")),TRIM('הדבקת לידים'!B2492)))</f>
        <v/>
      </c>
      <c r="C2492" s="0" t="n">
        <f aca="false">IF(OR(A2492&lt;&gt;"",B2492&lt;&gt;""),1,0)</f>
        <v>0</v>
      </c>
      <c r="D2492" s="0" t="str">
        <f aca="false">IF(C2492=1,MOD(ABS(SIN(ROW()*12.9898+'הדבקת לידים'!$F$2*78.233+IFERROR(--RIGHT(A2492,6),LEN(A2492))*0.0137+IFERROR(--RIGHT(B2492,6),LEN(B2492))*0.0071))*43758.5453,1),"")</f>
        <v/>
      </c>
      <c r="E2492" s="0" t="str">
        <f aca="false">IF(C2492=1,INT(MOD(ABS(SIN(D2492*7919.123+ROW()*0.618+'הדבקת לידים'!$F$2*1.3))*43758.5453,1)*1000000)*10000+ROW(),"")</f>
        <v/>
      </c>
      <c r="F2492" s="0" t="str">
        <f aca="false">IF(E2492="","",RANK(E2492,$E$2:$E$5001,1))</f>
        <v/>
      </c>
      <c r="G2492" s="0" t="n">
        <f aca="false">IF(A2492="",0,IF(SUMPRODUCT(--($A$2:$A$5001=A2492))&gt;1,1,0))</f>
        <v>0</v>
      </c>
      <c r="H2492" s="0" t="n">
        <f aca="false">ROW()-1</f>
        <v>2491</v>
      </c>
      <c r="I2492" s="0" t="str">
        <f aca="false">IF(OR(הגדרות!$E$6=0,H2492&gt;הגדרות!$E$5),"",IF(H2492-1&lt;הגדרות!$E$8*(הגדרות!$E$7+1),INT((H2492-1)/(הגדרות!$E$7+1)),הגדרות!$E$8+INT((H2492-1-הגדרות!$E$8*(הגדרות!$E$7+1))/הגדרות!$E$7)))</f>
        <v/>
      </c>
      <c r="J2492" s="0" t="str">
        <f aca="false">IF(I2492="","",IF(H2492-1&lt;הגדרות!$E$8*(הגדרות!$E$7+1),MOD(H2492-1,הגדרות!$E$7+1),MOD(H2492-1-הגדרות!$E$8*(הגדרות!$E$7+1),הגדרות!$E$7)))</f>
        <v/>
      </c>
      <c r="K2492" s="0" t="str">
        <f aca="false">IF(I2492="","",J2492*הגדרות!$E$6+I2492+1)</f>
        <v/>
      </c>
      <c r="L2492" s="0" t="str">
        <f aca="false">IF(K2492="","",MATCH(K2492,$F$2:$F$5001,0))</f>
        <v/>
      </c>
      <c r="M2492" s="0" t="str">
        <f aca="false">IF(I2492="","",INDEX(הגדרות!$A$2:$A$21,MOD(I2492+הגדרות!$E$9,הגדרות!$E$6)+1))</f>
        <v/>
      </c>
    </row>
    <row r="2493" customFormat="false" ht="15" hidden="false" customHeight="false" outlineLevel="0" collapsed="false">
      <c r="A2493" s="0" t="str">
        <f aca="false">IF('הדבקת לידים'!A2493="","",IF(ISNUMBER('הדבקת לידים'!A2493),IF(הגדרות!$E$2&gt;0,TEXT('הדבקת לידים'!A2493,REPT("0",הגדרות!$E$2)),TEXT('הדבקת לידים'!A2493,"0")),TRIM('הדבקת לידים'!A2493)))</f>
        <v/>
      </c>
      <c r="B2493" s="0" t="str">
        <f aca="false">IF('הדבקת לידים'!B2493="","",IF(ISNUMBER('הדבקת לידים'!B2493),IF(הגדרות!$E$3&gt;0,TEXT('הדבקת לידים'!B2493,REPT("0",הגדרות!$E$3)),TEXT('הדבקת לידים'!B2493,"0")),TRIM('הדבקת לידים'!B2493)))</f>
        <v/>
      </c>
      <c r="C2493" s="0" t="n">
        <f aca="false">IF(OR(A2493&lt;&gt;"",B2493&lt;&gt;""),1,0)</f>
        <v>0</v>
      </c>
      <c r="D2493" s="0" t="str">
        <f aca="false">IF(C2493=1,MOD(ABS(SIN(ROW()*12.9898+'הדבקת לידים'!$F$2*78.233+IFERROR(--RIGHT(A2493,6),LEN(A2493))*0.0137+IFERROR(--RIGHT(B2493,6),LEN(B2493))*0.0071))*43758.5453,1),"")</f>
        <v/>
      </c>
      <c r="E2493" s="0" t="str">
        <f aca="false">IF(C2493=1,INT(MOD(ABS(SIN(D2493*7919.123+ROW()*0.618+'הדבקת לידים'!$F$2*1.3))*43758.5453,1)*1000000)*10000+ROW(),"")</f>
        <v/>
      </c>
      <c r="F2493" s="0" t="str">
        <f aca="false">IF(E2493="","",RANK(E2493,$E$2:$E$5001,1))</f>
        <v/>
      </c>
      <c r="G2493" s="0" t="n">
        <f aca="false">IF(A2493="",0,IF(SUMPRODUCT(--($A$2:$A$5001=A2493))&gt;1,1,0))</f>
        <v>0</v>
      </c>
      <c r="H2493" s="0" t="n">
        <f aca="false">ROW()-1</f>
        <v>2492</v>
      </c>
      <c r="I2493" s="0" t="str">
        <f aca="false">IF(OR(הגדרות!$E$6=0,H2493&gt;הגדרות!$E$5),"",IF(H2493-1&lt;הגדרות!$E$8*(הגדרות!$E$7+1),INT((H2493-1)/(הגדרות!$E$7+1)),הגדרות!$E$8+INT((H2493-1-הגדרות!$E$8*(הגדרות!$E$7+1))/הגדרות!$E$7)))</f>
        <v/>
      </c>
      <c r="J2493" s="0" t="str">
        <f aca="false">IF(I2493="","",IF(H2493-1&lt;הגדרות!$E$8*(הגדרות!$E$7+1),MOD(H2493-1,הגדרות!$E$7+1),MOD(H2493-1-הגדרות!$E$8*(הגדרות!$E$7+1),הגדרות!$E$7)))</f>
        <v/>
      </c>
      <c r="K2493" s="0" t="str">
        <f aca="false">IF(I2493="","",J2493*הגדרות!$E$6+I2493+1)</f>
        <v/>
      </c>
      <c r="L2493" s="0" t="str">
        <f aca="false">IF(K2493="","",MATCH(K2493,$F$2:$F$5001,0))</f>
        <v/>
      </c>
      <c r="M2493" s="0" t="str">
        <f aca="false">IF(I2493="","",INDEX(הגדרות!$A$2:$A$21,MOD(I2493+הגדרות!$E$9,הגדרות!$E$6)+1))</f>
        <v/>
      </c>
    </row>
    <row r="2494" customFormat="false" ht="15" hidden="false" customHeight="false" outlineLevel="0" collapsed="false">
      <c r="A2494" s="0" t="str">
        <f aca="false">IF('הדבקת לידים'!A2494="","",IF(ISNUMBER('הדבקת לידים'!A2494),IF(הגדרות!$E$2&gt;0,TEXT('הדבקת לידים'!A2494,REPT("0",הגדרות!$E$2)),TEXT('הדבקת לידים'!A2494,"0")),TRIM('הדבקת לידים'!A2494)))</f>
        <v/>
      </c>
      <c r="B2494" s="0" t="str">
        <f aca="false">IF('הדבקת לידים'!B2494="","",IF(ISNUMBER('הדבקת לידים'!B2494),IF(הגדרות!$E$3&gt;0,TEXT('הדבקת לידים'!B2494,REPT("0",הגדרות!$E$3)),TEXT('הדבקת לידים'!B2494,"0")),TRIM('הדבקת לידים'!B2494)))</f>
        <v/>
      </c>
      <c r="C2494" s="0" t="n">
        <f aca="false">IF(OR(A2494&lt;&gt;"",B2494&lt;&gt;""),1,0)</f>
        <v>0</v>
      </c>
      <c r="D2494" s="0" t="str">
        <f aca="false">IF(C2494=1,MOD(ABS(SIN(ROW()*12.9898+'הדבקת לידים'!$F$2*78.233+IFERROR(--RIGHT(A2494,6),LEN(A2494))*0.0137+IFERROR(--RIGHT(B2494,6),LEN(B2494))*0.0071))*43758.5453,1),"")</f>
        <v/>
      </c>
      <c r="E2494" s="0" t="str">
        <f aca="false">IF(C2494=1,INT(MOD(ABS(SIN(D2494*7919.123+ROW()*0.618+'הדבקת לידים'!$F$2*1.3))*43758.5453,1)*1000000)*10000+ROW(),"")</f>
        <v/>
      </c>
      <c r="F2494" s="0" t="str">
        <f aca="false">IF(E2494="","",RANK(E2494,$E$2:$E$5001,1))</f>
        <v/>
      </c>
      <c r="G2494" s="0" t="n">
        <f aca="false">IF(A2494="",0,IF(SUMPRODUCT(--($A$2:$A$5001=A2494))&gt;1,1,0))</f>
        <v>0</v>
      </c>
      <c r="H2494" s="0" t="n">
        <f aca="false">ROW()-1</f>
        <v>2493</v>
      </c>
      <c r="I2494" s="0" t="str">
        <f aca="false">IF(OR(הגדרות!$E$6=0,H2494&gt;הגדרות!$E$5),"",IF(H2494-1&lt;הגדרות!$E$8*(הגדרות!$E$7+1),INT((H2494-1)/(הגדרות!$E$7+1)),הגדרות!$E$8+INT((H2494-1-הגדרות!$E$8*(הגדרות!$E$7+1))/הגדרות!$E$7)))</f>
        <v/>
      </c>
      <c r="J2494" s="0" t="str">
        <f aca="false">IF(I2494="","",IF(H2494-1&lt;הגדרות!$E$8*(הגדרות!$E$7+1),MOD(H2494-1,הגדרות!$E$7+1),MOD(H2494-1-הגדרות!$E$8*(הגדרות!$E$7+1),הגדרות!$E$7)))</f>
        <v/>
      </c>
      <c r="K2494" s="0" t="str">
        <f aca="false">IF(I2494="","",J2494*הגדרות!$E$6+I2494+1)</f>
        <v/>
      </c>
      <c r="L2494" s="0" t="str">
        <f aca="false">IF(K2494="","",MATCH(K2494,$F$2:$F$5001,0))</f>
        <v/>
      </c>
      <c r="M2494" s="0" t="str">
        <f aca="false">IF(I2494="","",INDEX(הגדרות!$A$2:$A$21,MOD(I2494+הגדרות!$E$9,הגדרות!$E$6)+1))</f>
        <v/>
      </c>
    </row>
    <row r="2495" customFormat="false" ht="15" hidden="false" customHeight="false" outlineLevel="0" collapsed="false">
      <c r="A2495" s="0" t="str">
        <f aca="false">IF('הדבקת לידים'!A2495="","",IF(ISNUMBER('הדבקת לידים'!A2495),IF(הגדרות!$E$2&gt;0,TEXT('הדבקת לידים'!A2495,REPT("0",הגדרות!$E$2)),TEXT('הדבקת לידים'!A2495,"0")),TRIM('הדבקת לידים'!A2495)))</f>
        <v/>
      </c>
      <c r="B2495" s="0" t="str">
        <f aca="false">IF('הדבקת לידים'!B2495="","",IF(ISNUMBER('הדבקת לידים'!B2495),IF(הגדרות!$E$3&gt;0,TEXT('הדבקת לידים'!B2495,REPT("0",הגדרות!$E$3)),TEXT('הדבקת לידים'!B2495,"0")),TRIM('הדבקת לידים'!B2495)))</f>
        <v/>
      </c>
      <c r="C2495" s="0" t="n">
        <f aca="false">IF(OR(A2495&lt;&gt;"",B2495&lt;&gt;""),1,0)</f>
        <v>0</v>
      </c>
      <c r="D2495" s="0" t="str">
        <f aca="false">IF(C2495=1,MOD(ABS(SIN(ROW()*12.9898+'הדבקת לידים'!$F$2*78.233+IFERROR(--RIGHT(A2495,6),LEN(A2495))*0.0137+IFERROR(--RIGHT(B2495,6),LEN(B2495))*0.0071))*43758.5453,1),"")</f>
        <v/>
      </c>
      <c r="E2495" s="0" t="str">
        <f aca="false">IF(C2495=1,INT(MOD(ABS(SIN(D2495*7919.123+ROW()*0.618+'הדבקת לידים'!$F$2*1.3))*43758.5453,1)*1000000)*10000+ROW(),"")</f>
        <v/>
      </c>
      <c r="F2495" s="0" t="str">
        <f aca="false">IF(E2495="","",RANK(E2495,$E$2:$E$5001,1))</f>
        <v/>
      </c>
      <c r="G2495" s="0" t="n">
        <f aca="false">IF(A2495="",0,IF(SUMPRODUCT(--($A$2:$A$5001=A2495))&gt;1,1,0))</f>
        <v>0</v>
      </c>
      <c r="H2495" s="0" t="n">
        <f aca="false">ROW()-1</f>
        <v>2494</v>
      </c>
      <c r="I2495" s="0" t="str">
        <f aca="false">IF(OR(הגדרות!$E$6=0,H2495&gt;הגדרות!$E$5),"",IF(H2495-1&lt;הגדרות!$E$8*(הגדרות!$E$7+1),INT((H2495-1)/(הגדרות!$E$7+1)),הגדרות!$E$8+INT((H2495-1-הגדרות!$E$8*(הגדרות!$E$7+1))/הגדרות!$E$7)))</f>
        <v/>
      </c>
      <c r="J2495" s="0" t="str">
        <f aca="false">IF(I2495="","",IF(H2495-1&lt;הגדרות!$E$8*(הגדרות!$E$7+1),MOD(H2495-1,הגדרות!$E$7+1),MOD(H2495-1-הגדרות!$E$8*(הגדרות!$E$7+1),הגדרות!$E$7)))</f>
        <v/>
      </c>
      <c r="K2495" s="0" t="str">
        <f aca="false">IF(I2495="","",J2495*הגדרות!$E$6+I2495+1)</f>
        <v/>
      </c>
      <c r="L2495" s="0" t="str">
        <f aca="false">IF(K2495="","",MATCH(K2495,$F$2:$F$5001,0))</f>
        <v/>
      </c>
      <c r="M2495" s="0" t="str">
        <f aca="false">IF(I2495="","",INDEX(הגדרות!$A$2:$A$21,MOD(I2495+הגדרות!$E$9,הגדרות!$E$6)+1))</f>
        <v/>
      </c>
    </row>
    <row r="2496" customFormat="false" ht="15" hidden="false" customHeight="false" outlineLevel="0" collapsed="false">
      <c r="A2496" s="0" t="str">
        <f aca="false">IF('הדבקת לידים'!A2496="","",IF(ISNUMBER('הדבקת לידים'!A2496),IF(הגדרות!$E$2&gt;0,TEXT('הדבקת לידים'!A2496,REPT("0",הגדרות!$E$2)),TEXT('הדבקת לידים'!A2496,"0")),TRIM('הדבקת לידים'!A2496)))</f>
        <v/>
      </c>
      <c r="B2496" s="0" t="str">
        <f aca="false">IF('הדבקת לידים'!B2496="","",IF(ISNUMBER('הדבקת לידים'!B2496),IF(הגדרות!$E$3&gt;0,TEXT('הדבקת לידים'!B2496,REPT("0",הגדרות!$E$3)),TEXT('הדבקת לידים'!B2496,"0")),TRIM('הדבקת לידים'!B2496)))</f>
        <v/>
      </c>
      <c r="C2496" s="0" t="n">
        <f aca="false">IF(OR(A2496&lt;&gt;"",B2496&lt;&gt;""),1,0)</f>
        <v>0</v>
      </c>
      <c r="D2496" s="0" t="str">
        <f aca="false">IF(C2496=1,MOD(ABS(SIN(ROW()*12.9898+'הדבקת לידים'!$F$2*78.233+IFERROR(--RIGHT(A2496,6),LEN(A2496))*0.0137+IFERROR(--RIGHT(B2496,6),LEN(B2496))*0.0071))*43758.5453,1),"")</f>
        <v/>
      </c>
      <c r="E2496" s="0" t="str">
        <f aca="false">IF(C2496=1,INT(MOD(ABS(SIN(D2496*7919.123+ROW()*0.618+'הדבקת לידים'!$F$2*1.3))*43758.5453,1)*1000000)*10000+ROW(),"")</f>
        <v/>
      </c>
      <c r="F2496" s="0" t="str">
        <f aca="false">IF(E2496="","",RANK(E2496,$E$2:$E$5001,1))</f>
        <v/>
      </c>
      <c r="G2496" s="0" t="n">
        <f aca="false">IF(A2496="",0,IF(SUMPRODUCT(--($A$2:$A$5001=A2496))&gt;1,1,0))</f>
        <v>0</v>
      </c>
      <c r="H2496" s="0" t="n">
        <f aca="false">ROW()-1</f>
        <v>2495</v>
      </c>
      <c r="I2496" s="0" t="str">
        <f aca="false">IF(OR(הגדרות!$E$6=0,H2496&gt;הגדרות!$E$5),"",IF(H2496-1&lt;הגדרות!$E$8*(הגדרות!$E$7+1),INT((H2496-1)/(הגדרות!$E$7+1)),הגדרות!$E$8+INT((H2496-1-הגדרות!$E$8*(הגדרות!$E$7+1))/הגדרות!$E$7)))</f>
        <v/>
      </c>
      <c r="J2496" s="0" t="str">
        <f aca="false">IF(I2496="","",IF(H2496-1&lt;הגדרות!$E$8*(הגדרות!$E$7+1),MOD(H2496-1,הגדרות!$E$7+1),MOD(H2496-1-הגדרות!$E$8*(הגדרות!$E$7+1),הגדרות!$E$7)))</f>
        <v/>
      </c>
      <c r="K2496" s="0" t="str">
        <f aca="false">IF(I2496="","",J2496*הגדרות!$E$6+I2496+1)</f>
        <v/>
      </c>
      <c r="L2496" s="0" t="str">
        <f aca="false">IF(K2496="","",MATCH(K2496,$F$2:$F$5001,0))</f>
        <v/>
      </c>
      <c r="M2496" s="0" t="str">
        <f aca="false">IF(I2496="","",INDEX(הגדרות!$A$2:$A$21,MOD(I2496+הגדרות!$E$9,הגדרות!$E$6)+1))</f>
        <v/>
      </c>
    </row>
    <row r="2497" customFormat="false" ht="15" hidden="false" customHeight="false" outlineLevel="0" collapsed="false">
      <c r="A2497" s="0" t="str">
        <f aca="false">IF('הדבקת לידים'!A2497="","",IF(ISNUMBER('הדבקת לידים'!A2497),IF(הגדרות!$E$2&gt;0,TEXT('הדבקת לידים'!A2497,REPT("0",הגדרות!$E$2)),TEXT('הדבקת לידים'!A2497,"0")),TRIM('הדבקת לידים'!A2497)))</f>
        <v/>
      </c>
      <c r="B2497" s="0" t="str">
        <f aca="false">IF('הדבקת לידים'!B2497="","",IF(ISNUMBER('הדבקת לידים'!B2497),IF(הגדרות!$E$3&gt;0,TEXT('הדבקת לידים'!B2497,REPT("0",הגדרות!$E$3)),TEXT('הדבקת לידים'!B2497,"0")),TRIM('הדבקת לידים'!B2497)))</f>
        <v/>
      </c>
      <c r="C2497" s="0" t="n">
        <f aca="false">IF(OR(A2497&lt;&gt;"",B2497&lt;&gt;""),1,0)</f>
        <v>0</v>
      </c>
      <c r="D2497" s="0" t="str">
        <f aca="false">IF(C2497=1,MOD(ABS(SIN(ROW()*12.9898+'הדבקת לידים'!$F$2*78.233+IFERROR(--RIGHT(A2497,6),LEN(A2497))*0.0137+IFERROR(--RIGHT(B2497,6),LEN(B2497))*0.0071))*43758.5453,1),"")</f>
        <v/>
      </c>
      <c r="E2497" s="0" t="str">
        <f aca="false">IF(C2497=1,INT(MOD(ABS(SIN(D2497*7919.123+ROW()*0.618+'הדבקת לידים'!$F$2*1.3))*43758.5453,1)*1000000)*10000+ROW(),"")</f>
        <v/>
      </c>
      <c r="F2497" s="0" t="str">
        <f aca="false">IF(E2497="","",RANK(E2497,$E$2:$E$5001,1))</f>
        <v/>
      </c>
      <c r="G2497" s="0" t="n">
        <f aca="false">IF(A2497="",0,IF(SUMPRODUCT(--($A$2:$A$5001=A2497))&gt;1,1,0))</f>
        <v>0</v>
      </c>
      <c r="H2497" s="0" t="n">
        <f aca="false">ROW()-1</f>
        <v>2496</v>
      </c>
      <c r="I2497" s="0" t="str">
        <f aca="false">IF(OR(הגדרות!$E$6=0,H2497&gt;הגדרות!$E$5),"",IF(H2497-1&lt;הגדרות!$E$8*(הגדרות!$E$7+1),INT((H2497-1)/(הגדרות!$E$7+1)),הגדרות!$E$8+INT((H2497-1-הגדרות!$E$8*(הגדרות!$E$7+1))/הגדרות!$E$7)))</f>
        <v/>
      </c>
      <c r="J2497" s="0" t="str">
        <f aca="false">IF(I2497="","",IF(H2497-1&lt;הגדרות!$E$8*(הגדרות!$E$7+1),MOD(H2497-1,הגדרות!$E$7+1),MOD(H2497-1-הגדרות!$E$8*(הגדרות!$E$7+1),הגדרות!$E$7)))</f>
        <v/>
      </c>
      <c r="K2497" s="0" t="str">
        <f aca="false">IF(I2497="","",J2497*הגדרות!$E$6+I2497+1)</f>
        <v/>
      </c>
      <c r="L2497" s="0" t="str">
        <f aca="false">IF(K2497="","",MATCH(K2497,$F$2:$F$5001,0))</f>
        <v/>
      </c>
      <c r="M2497" s="0" t="str">
        <f aca="false">IF(I2497="","",INDEX(הגדרות!$A$2:$A$21,MOD(I2497+הגדרות!$E$9,הגדרות!$E$6)+1))</f>
        <v/>
      </c>
    </row>
    <row r="2498" customFormat="false" ht="15" hidden="false" customHeight="false" outlineLevel="0" collapsed="false">
      <c r="A2498" s="0" t="str">
        <f aca="false">IF('הדבקת לידים'!A2498="","",IF(ISNUMBER('הדבקת לידים'!A2498),IF(הגדרות!$E$2&gt;0,TEXT('הדבקת לידים'!A2498,REPT("0",הגדרות!$E$2)),TEXT('הדבקת לידים'!A2498,"0")),TRIM('הדבקת לידים'!A2498)))</f>
        <v/>
      </c>
      <c r="B2498" s="0" t="str">
        <f aca="false">IF('הדבקת לידים'!B2498="","",IF(ISNUMBER('הדבקת לידים'!B2498),IF(הגדרות!$E$3&gt;0,TEXT('הדבקת לידים'!B2498,REPT("0",הגדרות!$E$3)),TEXT('הדבקת לידים'!B2498,"0")),TRIM('הדבקת לידים'!B2498)))</f>
        <v/>
      </c>
      <c r="C2498" s="0" t="n">
        <f aca="false">IF(OR(A2498&lt;&gt;"",B2498&lt;&gt;""),1,0)</f>
        <v>0</v>
      </c>
      <c r="D2498" s="0" t="str">
        <f aca="false">IF(C2498=1,MOD(ABS(SIN(ROW()*12.9898+'הדבקת לידים'!$F$2*78.233+IFERROR(--RIGHT(A2498,6),LEN(A2498))*0.0137+IFERROR(--RIGHT(B2498,6),LEN(B2498))*0.0071))*43758.5453,1),"")</f>
        <v/>
      </c>
      <c r="E2498" s="0" t="str">
        <f aca="false">IF(C2498=1,INT(MOD(ABS(SIN(D2498*7919.123+ROW()*0.618+'הדבקת לידים'!$F$2*1.3))*43758.5453,1)*1000000)*10000+ROW(),"")</f>
        <v/>
      </c>
      <c r="F2498" s="0" t="str">
        <f aca="false">IF(E2498="","",RANK(E2498,$E$2:$E$5001,1))</f>
        <v/>
      </c>
      <c r="G2498" s="0" t="n">
        <f aca="false">IF(A2498="",0,IF(SUMPRODUCT(--($A$2:$A$5001=A2498))&gt;1,1,0))</f>
        <v>0</v>
      </c>
      <c r="H2498" s="0" t="n">
        <f aca="false">ROW()-1</f>
        <v>2497</v>
      </c>
      <c r="I2498" s="0" t="str">
        <f aca="false">IF(OR(הגדרות!$E$6=0,H2498&gt;הגדרות!$E$5),"",IF(H2498-1&lt;הגדרות!$E$8*(הגדרות!$E$7+1),INT((H2498-1)/(הגדרות!$E$7+1)),הגדרות!$E$8+INT((H2498-1-הגדרות!$E$8*(הגדרות!$E$7+1))/הגדרות!$E$7)))</f>
        <v/>
      </c>
      <c r="J2498" s="0" t="str">
        <f aca="false">IF(I2498="","",IF(H2498-1&lt;הגדרות!$E$8*(הגדרות!$E$7+1),MOD(H2498-1,הגדרות!$E$7+1),MOD(H2498-1-הגדרות!$E$8*(הגדרות!$E$7+1),הגדרות!$E$7)))</f>
        <v/>
      </c>
      <c r="K2498" s="0" t="str">
        <f aca="false">IF(I2498="","",J2498*הגדרות!$E$6+I2498+1)</f>
        <v/>
      </c>
      <c r="L2498" s="0" t="str">
        <f aca="false">IF(K2498="","",MATCH(K2498,$F$2:$F$5001,0))</f>
        <v/>
      </c>
      <c r="M2498" s="0" t="str">
        <f aca="false">IF(I2498="","",INDEX(הגדרות!$A$2:$A$21,MOD(I2498+הגדרות!$E$9,הגדרות!$E$6)+1))</f>
        <v/>
      </c>
    </row>
    <row r="2499" customFormat="false" ht="15" hidden="false" customHeight="false" outlineLevel="0" collapsed="false">
      <c r="A2499" s="0" t="str">
        <f aca="false">IF('הדבקת לידים'!A2499="","",IF(ISNUMBER('הדבקת לידים'!A2499),IF(הגדרות!$E$2&gt;0,TEXT('הדבקת לידים'!A2499,REPT("0",הגדרות!$E$2)),TEXT('הדבקת לידים'!A2499,"0")),TRIM('הדבקת לידים'!A2499)))</f>
        <v/>
      </c>
      <c r="B2499" s="0" t="str">
        <f aca="false">IF('הדבקת לידים'!B2499="","",IF(ISNUMBER('הדבקת לידים'!B2499),IF(הגדרות!$E$3&gt;0,TEXT('הדבקת לידים'!B2499,REPT("0",הגדרות!$E$3)),TEXT('הדבקת לידים'!B2499,"0")),TRIM('הדבקת לידים'!B2499)))</f>
        <v/>
      </c>
      <c r="C2499" s="0" t="n">
        <f aca="false">IF(OR(A2499&lt;&gt;"",B2499&lt;&gt;""),1,0)</f>
        <v>0</v>
      </c>
      <c r="D2499" s="0" t="str">
        <f aca="false">IF(C2499=1,MOD(ABS(SIN(ROW()*12.9898+'הדבקת לידים'!$F$2*78.233+IFERROR(--RIGHT(A2499,6),LEN(A2499))*0.0137+IFERROR(--RIGHT(B2499,6),LEN(B2499))*0.0071))*43758.5453,1),"")</f>
        <v/>
      </c>
      <c r="E2499" s="0" t="str">
        <f aca="false">IF(C2499=1,INT(MOD(ABS(SIN(D2499*7919.123+ROW()*0.618+'הדבקת לידים'!$F$2*1.3))*43758.5453,1)*1000000)*10000+ROW(),"")</f>
        <v/>
      </c>
      <c r="F2499" s="0" t="str">
        <f aca="false">IF(E2499="","",RANK(E2499,$E$2:$E$5001,1))</f>
        <v/>
      </c>
      <c r="G2499" s="0" t="n">
        <f aca="false">IF(A2499="",0,IF(SUMPRODUCT(--($A$2:$A$5001=A2499))&gt;1,1,0))</f>
        <v>0</v>
      </c>
      <c r="H2499" s="0" t="n">
        <f aca="false">ROW()-1</f>
        <v>2498</v>
      </c>
      <c r="I2499" s="0" t="str">
        <f aca="false">IF(OR(הגדרות!$E$6=0,H2499&gt;הגדרות!$E$5),"",IF(H2499-1&lt;הגדרות!$E$8*(הגדרות!$E$7+1),INT((H2499-1)/(הגדרות!$E$7+1)),הגדרות!$E$8+INT((H2499-1-הגדרות!$E$8*(הגדרות!$E$7+1))/הגדרות!$E$7)))</f>
        <v/>
      </c>
      <c r="J2499" s="0" t="str">
        <f aca="false">IF(I2499="","",IF(H2499-1&lt;הגדרות!$E$8*(הגדרות!$E$7+1),MOD(H2499-1,הגדרות!$E$7+1),MOD(H2499-1-הגדרות!$E$8*(הגדרות!$E$7+1),הגדרות!$E$7)))</f>
        <v/>
      </c>
      <c r="K2499" s="0" t="str">
        <f aca="false">IF(I2499="","",J2499*הגדרות!$E$6+I2499+1)</f>
        <v/>
      </c>
      <c r="L2499" s="0" t="str">
        <f aca="false">IF(K2499="","",MATCH(K2499,$F$2:$F$5001,0))</f>
        <v/>
      </c>
      <c r="M2499" s="0" t="str">
        <f aca="false">IF(I2499="","",INDEX(הגדרות!$A$2:$A$21,MOD(I2499+הגדרות!$E$9,הגדרות!$E$6)+1))</f>
        <v/>
      </c>
    </row>
    <row r="2500" customFormat="false" ht="15" hidden="false" customHeight="false" outlineLevel="0" collapsed="false">
      <c r="A2500" s="0" t="str">
        <f aca="false">IF('הדבקת לידים'!A2500="","",IF(ISNUMBER('הדבקת לידים'!A2500),IF(הגדרות!$E$2&gt;0,TEXT('הדבקת לידים'!A2500,REPT("0",הגדרות!$E$2)),TEXT('הדבקת לידים'!A2500,"0")),TRIM('הדבקת לידים'!A2500)))</f>
        <v/>
      </c>
      <c r="B2500" s="0" t="str">
        <f aca="false">IF('הדבקת לידים'!B2500="","",IF(ISNUMBER('הדבקת לידים'!B2500),IF(הגדרות!$E$3&gt;0,TEXT('הדבקת לידים'!B2500,REPT("0",הגדרות!$E$3)),TEXT('הדבקת לידים'!B2500,"0")),TRIM('הדבקת לידים'!B2500)))</f>
        <v/>
      </c>
      <c r="C2500" s="0" t="n">
        <f aca="false">IF(OR(A2500&lt;&gt;"",B2500&lt;&gt;""),1,0)</f>
        <v>0</v>
      </c>
      <c r="D2500" s="0" t="str">
        <f aca="false">IF(C2500=1,MOD(ABS(SIN(ROW()*12.9898+'הדבקת לידים'!$F$2*78.233+IFERROR(--RIGHT(A2500,6),LEN(A2500))*0.0137+IFERROR(--RIGHT(B2500,6),LEN(B2500))*0.0071))*43758.5453,1),"")</f>
        <v/>
      </c>
      <c r="E2500" s="0" t="str">
        <f aca="false">IF(C2500=1,INT(MOD(ABS(SIN(D2500*7919.123+ROW()*0.618+'הדבקת לידים'!$F$2*1.3))*43758.5453,1)*1000000)*10000+ROW(),"")</f>
        <v/>
      </c>
      <c r="F2500" s="0" t="str">
        <f aca="false">IF(E2500="","",RANK(E2500,$E$2:$E$5001,1))</f>
        <v/>
      </c>
      <c r="G2500" s="0" t="n">
        <f aca="false">IF(A2500="",0,IF(SUMPRODUCT(--($A$2:$A$5001=A2500))&gt;1,1,0))</f>
        <v>0</v>
      </c>
      <c r="H2500" s="0" t="n">
        <f aca="false">ROW()-1</f>
        <v>2499</v>
      </c>
      <c r="I2500" s="0" t="str">
        <f aca="false">IF(OR(הגדרות!$E$6=0,H2500&gt;הגדרות!$E$5),"",IF(H2500-1&lt;הגדרות!$E$8*(הגדרות!$E$7+1),INT((H2500-1)/(הגדרות!$E$7+1)),הגדרות!$E$8+INT((H2500-1-הגדרות!$E$8*(הגדרות!$E$7+1))/הגדרות!$E$7)))</f>
        <v/>
      </c>
      <c r="J2500" s="0" t="str">
        <f aca="false">IF(I2500="","",IF(H2500-1&lt;הגדרות!$E$8*(הגדרות!$E$7+1),MOD(H2500-1,הגדרות!$E$7+1),MOD(H2500-1-הגדרות!$E$8*(הגדרות!$E$7+1),הגדרות!$E$7)))</f>
        <v/>
      </c>
      <c r="K2500" s="0" t="str">
        <f aca="false">IF(I2500="","",J2500*הגדרות!$E$6+I2500+1)</f>
        <v/>
      </c>
      <c r="L2500" s="0" t="str">
        <f aca="false">IF(K2500="","",MATCH(K2500,$F$2:$F$5001,0))</f>
        <v/>
      </c>
      <c r="M2500" s="0" t="str">
        <f aca="false">IF(I2500="","",INDEX(הגדרות!$A$2:$A$21,MOD(I2500+הגדרות!$E$9,הגדרות!$E$6)+1))</f>
        <v/>
      </c>
    </row>
    <row r="2501" customFormat="false" ht="15" hidden="false" customHeight="false" outlineLevel="0" collapsed="false">
      <c r="A2501" s="0" t="str">
        <f aca="false">IF('הדבקת לידים'!A2501="","",IF(ISNUMBER('הדבקת לידים'!A2501),IF(הגדרות!$E$2&gt;0,TEXT('הדבקת לידים'!A2501,REPT("0",הגדרות!$E$2)),TEXT('הדבקת לידים'!A2501,"0")),TRIM('הדבקת לידים'!A2501)))</f>
        <v/>
      </c>
      <c r="B2501" s="0" t="str">
        <f aca="false">IF('הדבקת לידים'!B2501="","",IF(ISNUMBER('הדבקת לידים'!B2501),IF(הגדרות!$E$3&gt;0,TEXT('הדבקת לידים'!B2501,REPT("0",הגדרות!$E$3)),TEXT('הדבקת לידים'!B2501,"0")),TRIM('הדבקת לידים'!B2501)))</f>
        <v/>
      </c>
      <c r="C2501" s="0" t="n">
        <f aca="false">IF(OR(A2501&lt;&gt;"",B2501&lt;&gt;""),1,0)</f>
        <v>0</v>
      </c>
      <c r="D2501" s="0" t="str">
        <f aca="false">IF(C2501=1,MOD(ABS(SIN(ROW()*12.9898+'הדבקת לידים'!$F$2*78.233+IFERROR(--RIGHT(A2501,6),LEN(A2501))*0.0137+IFERROR(--RIGHT(B2501,6),LEN(B2501))*0.0071))*43758.5453,1),"")</f>
        <v/>
      </c>
      <c r="E2501" s="0" t="str">
        <f aca="false">IF(C2501=1,INT(MOD(ABS(SIN(D2501*7919.123+ROW()*0.618+'הדבקת לידים'!$F$2*1.3))*43758.5453,1)*1000000)*10000+ROW(),"")</f>
        <v/>
      </c>
      <c r="F2501" s="0" t="str">
        <f aca="false">IF(E2501="","",RANK(E2501,$E$2:$E$5001,1))</f>
        <v/>
      </c>
      <c r="G2501" s="0" t="n">
        <f aca="false">IF(A2501="",0,IF(SUMPRODUCT(--($A$2:$A$5001=A2501))&gt;1,1,0))</f>
        <v>0</v>
      </c>
      <c r="H2501" s="0" t="n">
        <f aca="false">ROW()-1</f>
        <v>2500</v>
      </c>
      <c r="I2501" s="0" t="str">
        <f aca="false">IF(OR(הגדרות!$E$6=0,H2501&gt;הגדרות!$E$5),"",IF(H2501-1&lt;הגדרות!$E$8*(הגדרות!$E$7+1),INT((H2501-1)/(הגדרות!$E$7+1)),הגדרות!$E$8+INT((H2501-1-הגדרות!$E$8*(הגדרות!$E$7+1))/הגדרות!$E$7)))</f>
        <v/>
      </c>
      <c r="J2501" s="0" t="str">
        <f aca="false">IF(I2501="","",IF(H2501-1&lt;הגדרות!$E$8*(הגדרות!$E$7+1),MOD(H2501-1,הגדרות!$E$7+1),MOD(H2501-1-הגדרות!$E$8*(הגדרות!$E$7+1),הגדרות!$E$7)))</f>
        <v/>
      </c>
      <c r="K2501" s="0" t="str">
        <f aca="false">IF(I2501="","",J2501*הגדרות!$E$6+I2501+1)</f>
        <v/>
      </c>
      <c r="L2501" s="0" t="str">
        <f aca="false">IF(K2501="","",MATCH(K2501,$F$2:$F$5001,0))</f>
        <v/>
      </c>
      <c r="M2501" s="0" t="str">
        <f aca="false">IF(I2501="","",INDEX(הגדרות!$A$2:$A$21,MOD(I2501+הגדרות!$E$9,הגדרות!$E$6)+1))</f>
        <v/>
      </c>
    </row>
    <row r="2502" customFormat="false" ht="15" hidden="false" customHeight="false" outlineLevel="0" collapsed="false">
      <c r="A2502" s="0" t="str">
        <f aca="false">IF('הדבקת לידים'!A2502="","",IF(ISNUMBER('הדבקת לידים'!A2502),IF(הגדרות!$E$2&gt;0,TEXT('הדבקת לידים'!A2502,REPT("0",הגדרות!$E$2)),TEXT('הדבקת לידים'!A2502,"0")),TRIM('הדבקת לידים'!A2502)))</f>
        <v/>
      </c>
      <c r="B2502" s="0" t="str">
        <f aca="false">IF('הדבקת לידים'!B2502="","",IF(ISNUMBER('הדבקת לידים'!B2502),IF(הגדרות!$E$3&gt;0,TEXT('הדבקת לידים'!B2502,REPT("0",הגדרות!$E$3)),TEXT('הדבקת לידים'!B2502,"0")),TRIM('הדבקת לידים'!B2502)))</f>
        <v/>
      </c>
      <c r="C2502" s="0" t="n">
        <f aca="false">IF(OR(A2502&lt;&gt;"",B2502&lt;&gt;""),1,0)</f>
        <v>0</v>
      </c>
      <c r="D2502" s="0" t="str">
        <f aca="false">IF(C2502=1,MOD(ABS(SIN(ROW()*12.9898+'הדבקת לידים'!$F$2*78.233+IFERROR(--RIGHT(A2502,6),LEN(A2502))*0.0137+IFERROR(--RIGHT(B2502,6),LEN(B2502))*0.0071))*43758.5453,1),"")</f>
        <v/>
      </c>
      <c r="E2502" s="0" t="str">
        <f aca="false">IF(C2502=1,INT(MOD(ABS(SIN(D2502*7919.123+ROW()*0.618+'הדבקת לידים'!$F$2*1.3))*43758.5453,1)*1000000)*10000+ROW(),"")</f>
        <v/>
      </c>
      <c r="F2502" s="0" t="str">
        <f aca="false">IF(E2502="","",RANK(E2502,$E$2:$E$5001,1))</f>
        <v/>
      </c>
      <c r="G2502" s="0" t="n">
        <f aca="false">IF(A2502="",0,IF(SUMPRODUCT(--($A$2:$A$5001=A2502))&gt;1,1,0))</f>
        <v>0</v>
      </c>
      <c r="H2502" s="0" t="n">
        <f aca="false">ROW()-1</f>
        <v>2501</v>
      </c>
      <c r="I2502" s="0" t="str">
        <f aca="false">IF(OR(הגדרות!$E$6=0,H2502&gt;הגדרות!$E$5),"",IF(H2502-1&lt;הגדרות!$E$8*(הגדרות!$E$7+1),INT((H2502-1)/(הגדרות!$E$7+1)),הגדרות!$E$8+INT((H2502-1-הגדרות!$E$8*(הגדרות!$E$7+1))/הגדרות!$E$7)))</f>
        <v/>
      </c>
      <c r="J2502" s="0" t="str">
        <f aca="false">IF(I2502="","",IF(H2502-1&lt;הגדרות!$E$8*(הגדרות!$E$7+1),MOD(H2502-1,הגדרות!$E$7+1),MOD(H2502-1-הגדרות!$E$8*(הגדרות!$E$7+1),הגדרות!$E$7)))</f>
        <v/>
      </c>
      <c r="K2502" s="0" t="str">
        <f aca="false">IF(I2502="","",J2502*הגדרות!$E$6+I2502+1)</f>
        <v/>
      </c>
      <c r="L2502" s="0" t="str">
        <f aca="false">IF(K2502="","",MATCH(K2502,$F$2:$F$5001,0))</f>
        <v/>
      </c>
      <c r="M2502" s="0" t="str">
        <f aca="false">IF(I2502="","",INDEX(הגדרות!$A$2:$A$21,MOD(I2502+הגדרות!$E$9,הגדרות!$E$6)+1))</f>
        <v/>
      </c>
    </row>
    <row r="2503" customFormat="false" ht="15" hidden="false" customHeight="false" outlineLevel="0" collapsed="false">
      <c r="A2503" s="0" t="str">
        <f aca="false">IF('הדבקת לידים'!A2503="","",IF(ISNUMBER('הדבקת לידים'!A2503),IF(הגדרות!$E$2&gt;0,TEXT('הדבקת לידים'!A2503,REPT("0",הגדרות!$E$2)),TEXT('הדבקת לידים'!A2503,"0")),TRIM('הדבקת לידים'!A2503)))</f>
        <v/>
      </c>
      <c r="B2503" s="0" t="str">
        <f aca="false">IF('הדבקת לידים'!B2503="","",IF(ISNUMBER('הדבקת לידים'!B2503),IF(הגדרות!$E$3&gt;0,TEXT('הדבקת לידים'!B2503,REPT("0",הגדרות!$E$3)),TEXT('הדבקת לידים'!B2503,"0")),TRIM('הדבקת לידים'!B2503)))</f>
        <v/>
      </c>
      <c r="C2503" s="0" t="n">
        <f aca="false">IF(OR(A2503&lt;&gt;"",B2503&lt;&gt;""),1,0)</f>
        <v>0</v>
      </c>
      <c r="D2503" s="0" t="str">
        <f aca="false">IF(C2503=1,MOD(ABS(SIN(ROW()*12.9898+'הדבקת לידים'!$F$2*78.233+IFERROR(--RIGHT(A2503,6),LEN(A2503))*0.0137+IFERROR(--RIGHT(B2503,6),LEN(B2503))*0.0071))*43758.5453,1),"")</f>
        <v/>
      </c>
      <c r="E2503" s="0" t="str">
        <f aca="false">IF(C2503=1,INT(MOD(ABS(SIN(D2503*7919.123+ROW()*0.618+'הדבקת לידים'!$F$2*1.3))*43758.5453,1)*1000000)*10000+ROW(),"")</f>
        <v/>
      </c>
      <c r="F2503" s="0" t="str">
        <f aca="false">IF(E2503="","",RANK(E2503,$E$2:$E$5001,1))</f>
        <v/>
      </c>
      <c r="G2503" s="0" t="n">
        <f aca="false">IF(A2503="",0,IF(SUMPRODUCT(--($A$2:$A$5001=A2503))&gt;1,1,0))</f>
        <v>0</v>
      </c>
      <c r="H2503" s="0" t="n">
        <f aca="false">ROW()-1</f>
        <v>2502</v>
      </c>
      <c r="I2503" s="0" t="str">
        <f aca="false">IF(OR(הגדרות!$E$6=0,H2503&gt;הגדרות!$E$5),"",IF(H2503-1&lt;הגדרות!$E$8*(הגדרות!$E$7+1),INT((H2503-1)/(הגדרות!$E$7+1)),הגדרות!$E$8+INT((H2503-1-הגדרות!$E$8*(הגדרות!$E$7+1))/הגדרות!$E$7)))</f>
        <v/>
      </c>
      <c r="J2503" s="0" t="str">
        <f aca="false">IF(I2503="","",IF(H2503-1&lt;הגדרות!$E$8*(הגדרות!$E$7+1),MOD(H2503-1,הגדרות!$E$7+1),MOD(H2503-1-הגדרות!$E$8*(הגדרות!$E$7+1),הגדרות!$E$7)))</f>
        <v/>
      </c>
      <c r="K2503" s="0" t="str">
        <f aca="false">IF(I2503="","",J2503*הגדרות!$E$6+I2503+1)</f>
        <v/>
      </c>
      <c r="L2503" s="0" t="str">
        <f aca="false">IF(K2503="","",MATCH(K2503,$F$2:$F$5001,0))</f>
        <v/>
      </c>
      <c r="M2503" s="0" t="str">
        <f aca="false">IF(I2503="","",INDEX(הגדרות!$A$2:$A$21,MOD(I2503+הגדרות!$E$9,הגדרות!$E$6)+1))</f>
        <v/>
      </c>
    </row>
    <row r="2504" customFormat="false" ht="15" hidden="false" customHeight="false" outlineLevel="0" collapsed="false">
      <c r="A2504" s="0" t="str">
        <f aca="false">IF('הדבקת לידים'!A2504="","",IF(ISNUMBER('הדבקת לידים'!A2504),IF(הגדרות!$E$2&gt;0,TEXT('הדבקת לידים'!A2504,REPT("0",הגדרות!$E$2)),TEXT('הדבקת לידים'!A2504,"0")),TRIM('הדבקת לידים'!A2504)))</f>
        <v/>
      </c>
      <c r="B2504" s="0" t="str">
        <f aca="false">IF('הדבקת לידים'!B2504="","",IF(ISNUMBER('הדבקת לידים'!B2504),IF(הגדרות!$E$3&gt;0,TEXT('הדבקת לידים'!B2504,REPT("0",הגדרות!$E$3)),TEXT('הדבקת לידים'!B2504,"0")),TRIM('הדבקת לידים'!B2504)))</f>
        <v/>
      </c>
      <c r="C2504" s="0" t="n">
        <f aca="false">IF(OR(A2504&lt;&gt;"",B2504&lt;&gt;""),1,0)</f>
        <v>0</v>
      </c>
      <c r="D2504" s="0" t="str">
        <f aca="false">IF(C2504=1,MOD(ABS(SIN(ROW()*12.9898+'הדבקת לידים'!$F$2*78.233+IFERROR(--RIGHT(A2504,6),LEN(A2504))*0.0137+IFERROR(--RIGHT(B2504,6),LEN(B2504))*0.0071))*43758.5453,1),"")</f>
        <v/>
      </c>
      <c r="E2504" s="0" t="str">
        <f aca="false">IF(C2504=1,INT(MOD(ABS(SIN(D2504*7919.123+ROW()*0.618+'הדבקת לידים'!$F$2*1.3))*43758.5453,1)*1000000)*10000+ROW(),"")</f>
        <v/>
      </c>
      <c r="F2504" s="0" t="str">
        <f aca="false">IF(E2504="","",RANK(E2504,$E$2:$E$5001,1))</f>
        <v/>
      </c>
      <c r="G2504" s="0" t="n">
        <f aca="false">IF(A2504="",0,IF(SUMPRODUCT(--($A$2:$A$5001=A2504))&gt;1,1,0))</f>
        <v>0</v>
      </c>
      <c r="H2504" s="0" t="n">
        <f aca="false">ROW()-1</f>
        <v>2503</v>
      </c>
      <c r="I2504" s="0" t="str">
        <f aca="false">IF(OR(הגדרות!$E$6=0,H2504&gt;הגדרות!$E$5),"",IF(H2504-1&lt;הגדרות!$E$8*(הגדרות!$E$7+1),INT((H2504-1)/(הגדרות!$E$7+1)),הגדרות!$E$8+INT((H2504-1-הגדרות!$E$8*(הגדרות!$E$7+1))/הגדרות!$E$7)))</f>
        <v/>
      </c>
      <c r="J2504" s="0" t="str">
        <f aca="false">IF(I2504="","",IF(H2504-1&lt;הגדרות!$E$8*(הגדרות!$E$7+1),MOD(H2504-1,הגדרות!$E$7+1),MOD(H2504-1-הגדרות!$E$8*(הגדרות!$E$7+1),הגדרות!$E$7)))</f>
        <v/>
      </c>
      <c r="K2504" s="0" t="str">
        <f aca="false">IF(I2504="","",J2504*הגדרות!$E$6+I2504+1)</f>
        <v/>
      </c>
      <c r="L2504" s="0" t="str">
        <f aca="false">IF(K2504="","",MATCH(K2504,$F$2:$F$5001,0))</f>
        <v/>
      </c>
      <c r="M2504" s="0" t="str">
        <f aca="false">IF(I2504="","",INDEX(הגדרות!$A$2:$A$21,MOD(I2504+הגדרות!$E$9,הגדרות!$E$6)+1))</f>
        <v/>
      </c>
    </row>
    <row r="2505" customFormat="false" ht="15" hidden="false" customHeight="false" outlineLevel="0" collapsed="false">
      <c r="A2505" s="0" t="str">
        <f aca="false">IF('הדבקת לידים'!A2505="","",IF(ISNUMBER('הדבקת לידים'!A2505),IF(הגדרות!$E$2&gt;0,TEXT('הדבקת לידים'!A2505,REPT("0",הגדרות!$E$2)),TEXT('הדבקת לידים'!A2505,"0")),TRIM('הדבקת לידים'!A2505)))</f>
        <v/>
      </c>
      <c r="B2505" s="0" t="str">
        <f aca="false">IF('הדבקת לידים'!B2505="","",IF(ISNUMBER('הדבקת לידים'!B2505),IF(הגדרות!$E$3&gt;0,TEXT('הדבקת לידים'!B2505,REPT("0",הגדרות!$E$3)),TEXT('הדבקת לידים'!B2505,"0")),TRIM('הדבקת לידים'!B2505)))</f>
        <v/>
      </c>
      <c r="C2505" s="0" t="n">
        <f aca="false">IF(OR(A2505&lt;&gt;"",B2505&lt;&gt;""),1,0)</f>
        <v>0</v>
      </c>
      <c r="D2505" s="0" t="str">
        <f aca="false">IF(C2505=1,MOD(ABS(SIN(ROW()*12.9898+'הדבקת לידים'!$F$2*78.233+IFERROR(--RIGHT(A2505,6),LEN(A2505))*0.0137+IFERROR(--RIGHT(B2505,6),LEN(B2505))*0.0071))*43758.5453,1),"")</f>
        <v/>
      </c>
      <c r="E2505" s="0" t="str">
        <f aca="false">IF(C2505=1,INT(MOD(ABS(SIN(D2505*7919.123+ROW()*0.618+'הדבקת לידים'!$F$2*1.3))*43758.5453,1)*1000000)*10000+ROW(),"")</f>
        <v/>
      </c>
      <c r="F2505" s="0" t="str">
        <f aca="false">IF(E2505="","",RANK(E2505,$E$2:$E$5001,1))</f>
        <v/>
      </c>
      <c r="G2505" s="0" t="n">
        <f aca="false">IF(A2505="",0,IF(SUMPRODUCT(--($A$2:$A$5001=A2505))&gt;1,1,0))</f>
        <v>0</v>
      </c>
      <c r="H2505" s="0" t="n">
        <f aca="false">ROW()-1</f>
        <v>2504</v>
      </c>
      <c r="I2505" s="0" t="str">
        <f aca="false">IF(OR(הגדרות!$E$6=0,H2505&gt;הגדרות!$E$5),"",IF(H2505-1&lt;הגדרות!$E$8*(הגדרות!$E$7+1),INT((H2505-1)/(הגדרות!$E$7+1)),הגדרות!$E$8+INT((H2505-1-הגדרות!$E$8*(הגדרות!$E$7+1))/הגדרות!$E$7)))</f>
        <v/>
      </c>
      <c r="J2505" s="0" t="str">
        <f aca="false">IF(I2505="","",IF(H2505-1&lt;הגדרות!$E$8*(הגדרות!$E$7+1),MOD(H2505-1,הגדרות!$E$7+1),MOD(H2505-1-הגדרות!$E$8*(הגדרות!$E$7+1),הגדרות!$E$7)))</f>
        <v/>
      </c>
      <c r="K2505" s="0" t="str">
        <f aca="false">IF(I2505="","",J2505*הגדרות!$E$6+I2505+1)</f>
        <v/>
      </c>
      <c r="L2505" s="0" t="str">
        <f aca="false">IF(K2505="","",MATCH(K2505,$F$2:$F$5001,0))</f>
        <v/>
      </c>
      <c r="M2505" s="0" t="str">
        <f aca="false">IF(I2505="","",INDEX(הגדרות!$A$2:$A$21,MOD(I2505+הגדרות!$E$9,הגדרות!$E$6)+1))</f>
        <v/>
      </c>
    </row>
    <row r="2506" customFormat="false" ht="15" hidden="false" customHeight="false" outlineLevel="0" collapsed="false">
      <c r="A2506" s="0" t="str">
        <f aca="false">IF('הדבקת לידים'!A2506="","",IF(ISNUMBER('הדבקת לידים'!A2506),IF(הגדרות!$E$2&gt;0,TEXT('הדבקת לידים'!A2506,REPT("0",הגדרות!$E$2)),TEXT('הדבקת לידים'!A2506,"0")),TRIM('הדבקת לידים'!A2506)))</f>
        <v/>
      </c>
      <c r="B2506" s="0" t="str">
        <f aca="false">IF('הדבקת לידים'!B2506="","",IF(ISNUMBER('הדבקת לידים'!B2506),IF(הגדרות!$E$3&gt;0,TEXT('הדבקת לידים'!B2506,REPT("0",הגדרות!$E$3)),TEXT('הדבקת לידים'!B2506,"0")),TRIM('הדבקת לידים'!B2506)))</f>
        <v/>
      </c>
      <c r="C2506" s="0" t="n">
        <f aca="false">IF(OR(A2506&lt;&gt;"",B2506&lt;&gt;""),1,0)</f>
        <v>0</v>
      </c>
      <c r="D2506" s="0" t="str">
        <f aca="false">IF(C2506=1,MOD(ABS(SIN(ROW()*12.9898+'הדבקת לידים'!$F$2*78.233+IFERROR(--RIGHT(A2506,6),LEN(A2506))*0.0137+IFERROR(--RIGHT(B2506,6),LEN(B2506))*0.0071))*43758.5453,1),"")</f>
        <v/>
      </c>
      <c r="E2506" s="0" t="str">
        <f aca="false">IF(C2506=1,INT(MOD(ABS(SIN(D2506*7919.123+ROW()*0.618+'הדבקת לידים'!$F$2*1.3))*43758.5453,1)*1000000)*10000+ROW(),"")</f>
        <v/>
      </c>
      <c r="F2506" s="0" t="str">
        <f aca="false">IF(E2506="","",RANK(E2506,$E$2:$E$5001,1))</f>
        <v/>
      </c>
      <c r="G2506" s="0" t="n">
        <f aca="false">IF(A2506="",0,IF(SUMPRODUCT(--($A$2:$A$5001=A2506))&gt;1,1,0))</f>
        <v>0</v>
      </c>
      <c r="H2506" s="0" t="n">
        <f aca="false">ROW()-1</f>
        <v>2505</v>
      </c>
      <c r="I2506" s="0" t="str">
        <f aca="false">IF(OR(הגדרות!$E$6=0,H2506&gt;הגדרות!$E$5),"",IF(H2506-1&lt;הגדרות!$E$8*(הגדרות!$E$7+1),INT((H2506-1)/(הגדרות!$E$7+1)),הגדרות!$E$8+INT((H2506-1-הגדרות!$E$8*(הגדרות!$E$7+1))/הגדרות!$E$7)))</f>
        <v/>
      </c>
      <c r="J2506" s="0" t="str">
        <f aca="false">IF(I2506="","",IF(H2506-1&lt;הגדרות!$E$8*(הגדרות!$E$7+1),MOD(H2506-1,הגדרות!$E$7+1),MOD(H2506-1-הגדרות!$E$8*(הגדרות!$E$7+1),הגדרות!$E$7)))</f>
        <v/>
      </c>
      <c r="K2506" s="0" t="str">
        <f aca="false">IF(I2506="","",J2506*הגדרות!$E$6+I2506+1)</f>
        <v/>
      </c>
      <c r="L2506" s="0" t="str">
        <f aca="false">IF(K2506="","",MATCH(K2506,$F$2:$F$5001,0))</f>
        <v/>
      </c>
      <c r="M2506" s="0" t="str">
        <f aca="false">IF(I2506="","",INDEX(הגדרות!$A$2:$A$21,MOD(I2506+הגדרות!$E$9,הגדרות!$E$6)+1))</f>
        <v/>
      </c>
    </row>
    <row r="2507" customFormat="false" ht="15" hidden="false" customHeight="false" outlineLevel="0" collapsed="false">
      <c r="A2507" s="0" t="str">
        <f aca="false">IF('הדבקת לידים'!A2507="","",IF(ISNUMBER('הדבקת לידים'!A2507),IF(הגדרות!$E$2&gt;0,TEXT('הדבקת לידים'!A2507,REPT("0",הגדרות!$E$2)),TEXT('הדבקת לידים'!A2507,"0")),TRIM('הדבקת לידים'!A2507)))</f>
        <v/>
      </c>
      <c r="B2507" s="0" t="str">
        <f aca="false">IF('הדבקת לידים'!B2507="","",IF(ISNUMBER('הדבקת לידים'!B2507),IF(הגדרות!$E$3&gt;0,TEXT('הדבקת לידים'!B2507,REPT("0",הגדרות!$E$3)),TEXT('הדבקת לידים'!B2507,"0")),TRIM('הדבקת לידים'!B2507)))</f>
        <v/>
      </c>
      <c r="C2507" s="0" t="n">
        <f aca="false">IF(OR(A2507&lt;&gt;"",B2507&lt;&gt;""),1,0)</f>
        <v>0</v>
      </c>
      <c r="D2507" s="0" t="str">
        <f aca="false">IF(C2507=1,MOD(ABS(SIN(ROW()*12.9898+'הדבקת לידים'!$F$2*78.233+IFERROR(--RIGHT(A2507,6),LEN(A2507))*0.0137+IFERROR(--RIGHT(B2507,6),LEN(B2507))*0.0071))*43758.5453,1),"")</f>
        <v/>
      </c>
      <c r="E2507" s="0" t="str">
        <f aca="false">IF(C2507=1,INT(MOD(ABS(SIN(D2507*7919.123+ROW()*0.618+'הדבקת לידים'!$F$2*1.3))*43758.5453,1)*1000000)*10000+ROW(),"")</f>
        <v/>
      </c>
      <c r="F2507" s="0" t="str">
        <f aca="false">IF(E2507="","",RANK(E2507,$E$2:$E$5001,1))</f>
        <v/>
      </c>
      <c r="G2507" s="0" t="n">
        <f aca="false">IF(A2507="",0,IF(SUMPRODUCT(--($A$2:$A$5001=A2507))&gt;1,1,0))</f>
        <v>0</v>
      </c>
      <c r="H2507" s="0" t="n">
        <f aca="false">ROW()-1</f>
        <v>2506</v>
      </c>
      <c r="I2507" s="0" t="str">
        <f aca="false">IF(OR(הגדרות!$E$6=0,H2507&gt;הגדרות!$E$5),"",IF(H2507-1&lt;הגדרות!$E$8*(הגדרות!$E$7+1),INT((H2507-1)/(הגדרות!$E$7+1)),הגדרות!$E$8+INT((H2507-1-הגדרות!$E$8*(הגדרות!$E$7+1))/הגדרות!$E$7)))</f>
        <v/>
      </c>
      <c r="J2507" s="0" t="str">
        <f aca="false">IF(I2507="","",IF(H2507-1&lt;הגדרות!$E$8*(הגדרות!$E$7+1),MOD(H2507-1,הגדרות!$E$7+1),MOD(H2507-1-הגדרות!$E$8*(הגדרות!$E$7+1),הגדרות!$E$7)))</f>
        <v/>
      </c>
      <c r="K2507" s="0" t="str">
        <f aca="false">IF(I2507="","",J2507*הגדרות!$E$6+I2507+1)</f>
        <v/>
      </c>
      <c r="L2507" s="0" t="str">
        <f aca="false">IF(K2507="","",MATCH(K2507,$F$2:$F$5001,0))</f>
        <v/>
      </c>
      <c r="M2507" s="0" t="str">
        <f aca="false">IF(I2507="","",INDEX(הגדרות!$A$2:$A$21,MOD(I2507+הגדרות!$E$9,הגדרות!$E$6)+1))</f>
        <v/>
      </c>
    </row>
    <row r="2508" customFormat="false" ht="15" hidden="false" customHeight="false" outlineLevel="0" collapsed="false">
      <c r="A2508" s="0" t="str">
        <f aca="false">IF('הדבקת לידים'!A2508="","",IF(ISNUMBER('הדבקת לידים'!A2508),IF(הגדרות!$E$2&gt;0,TEXT('הדבקת לידים'!A2508,REPT("0",הגדרות!$E$2)),TEXT('הדבקת לידים'!A2508,"0")),TRIM('הדבקת לידים'!A2508)))</f>
        <v/>
      </c>
      <c r="B2508" s="0" t="str">
        <f aca="false">IF('הדבקת לידים'!B2508="","",IF(ISNUMBER('הדבקת לידים'!B2508),IF(הגדרות!$E$3&gt;0,TEXT('הדבקת לידים'!B2508,REPT("0",הגדרות!$E$3)),TEXT('הדבקת לידים'!B2508,"0")),TRIM('הדבקת לידים'!B2508)))</f>
        <v/>
      </c>
      <c r="C2508" s="0" t="n">
        <f aca="false">IF(OR(A2508&lt;&gt;"",B2508&lt;&gt;""),1,0)</f>
        <v>0</v>
      </c>
      <c r="D2508" s="0" t="str">
        <f aca="false">IF(C2508=1,MOD(ABS(SIN(ROW()*12.9898+'הדבקת לידים'!$F$2*78.233+IFERROR(--RIGHT(A2508,6),LEN(A2508))*0.0137+IFERROR(--RIGHT(B2508,6),LEN(B2508))*0.0071))*43758.5453,1),"")</f>
        <v/>
      </c>
      <c r="E2508" s="0" t="str">
        <f aca="false">IF(C2508=1,INT(MOD(ABS(SIN(D2508*7919.123+ROW()*0.618+'הדבקת לידים'!$F$2*1.3))*43758.5453,1)*1000000)*10000+ROW(),"")</f>
        <v/>
      </c>
      <c r="F2508" s="0" t="str">
        <f aca="false">IF(E2508="","",RANK(E2508,$E$2:$E$5001,1))</f>
        <v/>
      </c>
      <c r="G2508" s="0" t="n">
        <f aca="false">IF(A2508="",0,IF(SUMPRODUCT(--($A$2:$A$5001=A2508))&gt;1,1,0))</f>
        <v>0</v>
      </c>
      <c r="H2508" s="0" t="n">
        <f aca="false">ROW()-1</f>
        <v>2507</v>
      </c>
      <c r="I2508" s="0" t="str">
        <f aca="false">IF(OR(הגדרות!$E$6=0,H2508&gt;הגדרות!$E$5),"",IF(H2508-1&lt;הגדרות!$E$8*(הגדרות!$E$7+1),INT((H2508-1)/(הגדרות!$E$7+1)),הגדרות!$E$8+INT((H2508-1-הגדרות!$E$8*(הגדרות!$E$7+1))/הגדרות!$E$7)))</f>
        <v/>
      </c>
      <c r="J2508" s="0" t="str">
        <f aca="false">IF(I2508="","",IF(H2508-1&lt;הגדרות!$E$8*(הגדרות!$E$7+1),MOD(H2508-1,הגדרות!$E$7+1),MOD(H2508-1-הגדרות!$E$8*(הגדרות!$E$7+1),הגדרות!$E$7)))</f>
        <v/>
      </c>
      <c r="K2508" s="0" t="str">
        <f aca="false">IF(I2508="","",J2508*הגדרות!$E$6+I2508+1)</f>
        <v/>
      </c>
      <c r="L2508" s="0" t="str">
        <f aca="false">IF(K2508="","",MATCH(K2508,$F$2:$F$5001,0))</f>
        <v/>
      </c>
      <c r="M2508" s="0" t="str">
        <f aca="false">IF(I2508="","",INDEX(הגדרות!$A$2:$A$21,MOD(I2508+הגדרות!$E$9,הגדרות!$E$6)+1))</f>
        <v/>
      </c>
    </row>
    <row r="2509" customFormat="false" ht="15" hidden="false" customHeight="false" outlineLevel="0" collapsed="false">
      <c r="A2509" s="0" t="str">
        <f aca="false">IF('הדבקת לידים'!A2509="","",IF(ISNUMBER('הדבקת לידים'!A2509),IF(הגדרות!$E$2&gt;0,TEXT('הדבקת לידים'!A2509,REPT("0",הגדרות!$E$2)),TEXT('הדבקת לידים'!A2509,"0")),TRIM('הדבקת לידים'!A2509)))</f>
        <v/>
      </c>
      <c r="B2509" s="0" t="str">
        <f aca="false">IF('הדבקת לידים'!B2509="","",IF(ISNUMBER('הדבקת לידים'!B2509),IF(הגדרות!$E$3&gt;0,TEXT('הדבקת לידים'!B2509,REPT("0",הגדרות!$E$3)),TEXT('הדבקת לידים'!B2509,"0")),TRIM('הדבקת לידים'!B2509)))</f>
        <v/>
      </c>
      <c r="C2509" s="0" t="n">
        <f aca="false">IF(OR(A2509&lt;&gt;"",B2509&lt;&gt;""),1,0)</f>
        <v>0</v>
      </c>
      <c r="D2509" s="0" t="str">
        <f aca="false">IF(C2509=1,MOD(ABS(SIN(ROW()*12.9898+'הדבקת לידים'!$F$2*78.233+IFERROR(--RIGHT(A2509,6),LEN(A2509))*0.0137+IFERROR(--RIGHT(B2509,6),LEN(B2509))*0.0071))*43758.5453,1),"")</f>
        <v/>
      </c>
      <c r="E2509" s="0" t="str">
        <f aca="false">IF(C2509=1,INT(MOD(ABS(SIN(D2509*7919.123+ROW()*0.618+'הדבקת לידים'!$F$2*1.3))*43758.5453,1)*1000000)*10000+ROW(),"")</f>
        <v/>
      </c>
      <c r="F2509" s="0" t="str">
        <f aca="false">IF(E2509="","",RANK(E2509,$E$2:$E$5001,1))</f>
        <v/>
      </c>
      <c r="G2509" s="0" t="n">
        <f aca="false">IF(A2509="",0,IF(SUMPRODUCT(--($A$2:$A$5001=A2509))&gt;1,1,0))</f>
        <v>0</v>
      </c>
      <c r="H2509" s="0" t="n">
        <f aca="false">ROW()-1</f>
        <v>2508</v>
      </c>
      <c r="I2509" s="0" t="str">
        <f aca="false">IF(OR(הגדרות!$E$6=0,H2509&gt;הגדרות!$E$5),"",IF(H2509-1&lt;הגדרות!$E$8*(הגדרות!$E$7+1),INT((H2509-1)/(הגדרות!$E$7+1)),הגדרות!$E$8+INT((H2509-1-הגדרות!$E$8*(הגדרות!$E$7+1))/הגדרות!$E$7)))</f>
        <v/>
      </c>
      <c r="J2509" s="0" t="str">
        <f aca="false">IF(I2509="","",IF(H2509-1&lt;הגדרות!$E$8*(הגדרות!$E$7+1),MOD(H2509-1,הגדרות!$E$7+1),MOD(H2509-1-הגדרות!$E$8*(הגדרות!$E$7+1),הגדרות!$E$7)))</f>
        <v/>
      </c>
      <c r="K2509" s="0" t="str">
        <f aca="false">IF(I2509="","",J2509*הגדרות!$E$6+I2509+1)</f>
        <v/>
      </c>
      <c r="L2509" s="0" t="str">
        <f aca="false">IF(K2509="","",MATCH(K2509,$F$2:$F$5001,0))</f>
        <v/>
      </c>
      <c r="M2509" s="0" t="str">
        <f aca="false">IF(I2509="","",INDEX(הגדרות!$A$2:$A$21,MOD(I2509+הגדרות!$E$9,הגדרות!$E$6)+1))</f>
        <v/>
      </c>
    </row>
    <row r="2510" customFormat="false" ht="15" hidden="false" customHeight="false" outlineLevel="0" collapsed="false">
      <c r="A2510" s="0" t="str">
        <f aca="false">IF('הדבקת לידים'!A2510="","",IF(ISNUMBER('הדבקת לידים'!A2510),IF(הגדרות!$E$2&gt;0,TEXT('הדבקת לידים'!A2510,REPT("0",הגדרות!$E$2)),TEXT('הדבקת לידים'!A2510,"0")),TRIM('הדבקת לידים'!A2510)))</f>
        <v/>
      </c>
      <c r="B2510" s="0" t="str">
        <f aca="false">IF('הדבקת לידים'!B2510="","",IF(ISNUMBER('הדבקת לידים'!B2510),IF(הגדרות!$E$3&gt;0,TEXT('הדבקת לידים'!B2510,REPT("0",הגדרות!$E$3)),TEXT('הדבקת לידים'!B2510,"0")),TRIM('הדבקת לידים'!B2510)))</f>
        <v/>
      </c>
      <c r="C2510" s="0" t="n">
        <f aca="false">IF(OR(A2510&lt;&gt;"",B2510&lt;&gt;""),1,0)</f>
        <v>0</v>
      </c>
      <c r="D2510" s="0" t="str">
        <f aca="false">IF(C2510=1,MOD(ABS(SIN(ROW()*12.9898+'הדבקת לידים'!$F$2*78.233+IFERROR(--RIGHT(A2510,6),LEN(A2510))*0.0137+IFERROR(--RIGHT(B2510,6),LEN(B2510))*0.0071))*43758.5453,1),"")</f>
        <v/>
      </c>
      <c r="E2510" s="0" t="str">
        <f aca="false">IF(C2510=1,INT(MOD(ABS(SIN(D2510*7919.123+ROW()*0.618+'הדבקת לידים'!$F$2*1.3))*43758.5453,1)*1000000)*10000+ROW(),"")</f>
        <v/>
      </c>
      <c r="F2510" s="0" t="str">
        <f aca="false">IF(E2510="","",RANK(E2510,$E$2:$E$5001,1))</f>
        <v/>
      </c>
      <c r="G2510" s="0" t="n">
        <f aca="false">IF(A2510="",0,IF(SUMPRODUCT(--($A$2:$A$5001=A2510))&gt;1,1,0))</f>
        <v>0</v>
      </c>
      <c r="H2510" s="0" t="n">
        <f aca="false">ROW()-1</f>
        <v>2509</v>
      </c>
      <c r="I2510" s="0" t="str">
        <f aca="false">IF(OR(הגדרות!$E$6=0,H2510&gt;הגדרות!$E$5),"",IF(H2510-1&lt;הגדרות!$E$8*(הגדרות!$E$7+1),INT((H2510-1)/(הגדרות!$E$7+1)),הגדרות!$E$8+INT((H2510-1-הגדרות!$E$8*(הגדרות!$E$7+1))/הגדרות!$E$7)))</f>
        <v/>
      </c>
      <c r="J2510" s="0" t="str">
        <f aca="false">IF(I2510="","",IF(H2510-1&lt;הגדרות!$E$8*(הגדרות!$E$7+1),MOD(H2510-1,הגדרות!$E$7+1),MOD(H2510-1-הגדרות!$E$8*(הגדרות!$E$7+1),הגדרות!$E$7)))</f>
        <v/>
      </c>
      <c r="K2510" s="0" t="str">
        <f aca="false">IF(I2510="","",J2510*הגדרות!$E$6+I2510+1)</f>
        <v/>
      </c>
      <c r="L2510" s="0" t="str">
        <f aca="false">IF(K2510="","",MATCH(K2510,$F$2:$F$5001,0))</f>
        <v/>
      </c>
      <c r="M2510" s="0" t="str">
        <f aca="false">IF(I2510="","",INDEX(הגדרות!$A$2:$A$21,MOD(I2510+הגדרות!$E$9,הגדרות!$E$6)+1))</f>
        <v/>
      </c>
    </row>
    <row r="2511" customFormat="false" ht="15" hidden="false" customHeight="false" outlineLevel="0" collapsed="false">
      <c r="A2511" s="0" t="str">
        <f aca="false">IF('הדבקת לידים'!A2511="","",IF(ISNUMBER('הדבקת לידים'!A2511),IF(הגדרות!$E$2&gt;0,TEXT('הדבקת לידים'!A2511,REPT("0",הגדרות!$E$2)),TEXT('הדבקת לידים'!A2511,"0")),TRIM('הדבקת לידים'!A2511)))</f>
        <v/>
      </c>
      <c r="B2511" s="0" t="str">
        <f aca="false">IF('הדבקת לידים'!B2511="","",IF(ISNUMBER('הדבקת לידים'!B2511),IF(הגדרות!$E$3&gt;0,TEXT('הדבקת לידים'!B2511,REPT("0",הגדרות!$E$3)),TEXT('הדבקת לידים'!B2511,"0")),TRIM('הדבקת לידים'!B2511)))</f>
        <v/>
      </c>
      <c r="C2511" s="0" t="n">
        <f aca="false">IF(OR(A2511&lt;&gt;"",B2511&lt;&gt;""),1,0)</f>
        <v>0</v>
      </c>
      <c r="D2511" s="0" t="str">
        <f aca="false">IF(C2511=1,MOD(ABS(SIN(ROW()*12.9898+'הדבקת לידים'!$F$2*78.233+IFERROR(--RIGHT(A2511,6),LEN(A2511))*0.0137+IFERROR(--RIGHT(B2511,6),LEN(B2511))*0.0071))*43758.5453,1),"")</f>
        <v/>
      </c>
      <c r="E2511" s="0" t="str">
        <f aca="false">IF(C2511=1,INT(MOD(ABS(SIN(D2511*7919.123+ROW()*0.618+'הדבקת לידים'!$F$2*1.3))*43758.5453,1)*1000000)*10000+ROW(),"")</f>
        <v/>
      </c>
      <c r="F2511" s="0" t="str">
        <f aca="false">IF(E2511="","",RANK(E2511,$E$2:$E$5001,1))</f>
        <v/>
      </c>
      <c r="G2511" s="0" t="n">
        <f aca="false">IF(A2511="",0,IF(SUMPRODUCT(--($A$2:$A$5001=A2511))&gt;1,1,0))</f>
        <v>0</v>
      </c>
      <c r="H2511" s="0" t="n">
        <f aca="false">ROW()-1</f>
        <v>2510</v>
      </c>
      <c r="I2511" s="0" t="str">
        <f aca="false">IF(OR(הגדרות!$E$6=0,H2511&gt;הגדרות!$E$5),"",IF(H2511-1&lt;הגדרות!$E$8*(הגדרות!$E$7+1),INT((H2511-1)/(הגדרות!$E$7+1)),הגדרות!$E$8+INT((H2511-1-הגדרות!$E$8*(הגדרות!$E$7+1))/הגדרות!$E$7)))</f>
        <v/>
      </c>
      <c r="J2511" s="0" t="str">
        <f aca="false">IF(I2511="","",IF(H2511-1&lt;הגדרות!$E$8*(הגדרות!$E$7+1),MOD(H2511-1,הגדרות!$E$7+1),MOD(H2511-1-הגדרות!$E$8*(הגדרות!$E$7+1),הגדרות!$E$7)))</f>
        <v/>
      </c>
      <c r="K2511" s="0" t="str">
        <f aca="false">IF(I2511="","",J2511*הגדרות!$E$6+I2511+1)</f>
        <v/>
      </c>
      <c r="L2511" s="0" t="str">
        <f aca="false">IF(K2511="","",MATCH(K2511,$F$2:$F$5001,0))</f>
        <v/>
      </c>
      <c r="M2511" s="0" t="str">
        <f aca="false">IF(I2511="","",INDEX(הגדרות!$A$2:$A$21,MOD(I2511+הגדרות!$E$9,הגדרות!$E$6)+1))</f>
        <v/>
      </c>
    </row>
    <row r="2512" customFormat="false" ht="15" hidden="false" customHeight="false" outlineLevel="0" collapsed="false">
      <c r="A2512" s="0" t="str">
        <f aca="false">IF('הדבקת לידים'!A2512="","",IF(ISNUMBER('הדבקת לידים'!A2512),IF(הגדרות!$E$2&gt;0,TEXT('הדבקת לידים'!A2512,REPT("0",הגדרות!$E$2)),TEXT('הדבקת לידים'!A2512,"0")),TRIM('הדבקת לידים'!A2512)))</f>
        <v/>
      </c>
      <c r="B2512" s="0" t="str">
        <f aca="false">IF('הדבקת לידים'!B2512="","",IF(ISNUMBER('הדבקת לידים'!B2512),IF(הגדרות!$E$3&gt;0,TEXT('הדבקת לידים'!B2512,REPT("0",הגדרות!$E$3)),TEXT('הדבקת לידים'!B2512,"0")),TRIM('הדבקת לידים'!B2512)))</f>
        <v/>
      </c>
      <c r="C2512" s="0" t="n">
        <f aca="false">IF(OR(A2512&lt;&gt;"",B2512&lt;&gt;""),1,0)</f>
        <v>0</v>
      </c>
      <c r="D2512" s="0" t="str">
        <f aca="false">IF(C2512=1,MOD(ABS(SIN(ROW()*12.9898+'הדבקת לידים'!$F$2*78.233+IFERROR(--RIGHT(A2512,6),LEN(A2512))*0.0137+IFERROR(--RIGHT(B2512,6),LEN(B2512))*0.0071))*43758.5453,1),"")</f>
        <v/>
      </c>
      <c r="E2512" s="0" t="str">
        <f aca="false">IF(C2512=1,INT(MOD(ABS(SIN(D2512*7919.123+ROW()*0.618+'הדבקת לידים'!$F$2*1.3))*43758.5453,1)*1000000)*10000+ROW(),"")</f>
        <v/>
      </c>
      <c r="F2512" s="0" t="str">
        <f aca="false">IF(E2512="","",RANK(E2512,$E$2:$E$5001,1))</f>
        <v/>
      </c>
      <c r="G2512" s="0" t="n">
        <f aca="false">IF(A2512="",0,IF(SUMPRODUCT(--($A$2:$A$5001=A2512))&gt;1,1,0))</f>
        <v>0</v>
      </c>
      <c r="H2512" s="0" t="n">
        <f aca="false">ROW()-1</f>
        <v>2511</v>
      </c>
      <c r="I2512" s="0" t="str">
        <f aca="false">IF(OR(הגדרות!$E$6=0,H2512&gt;הגדרות!$E$5),"",IF(H2512-1&lt;הגדרות!$E$8*(הגדרות!$E$7+1),INT((H2512-1)/(הגדרות!$E$7+1)),הגדרות!$E$8+INT((H2512-1-הגדרות!$E$8*(הגדרות!$E$7+1))/הגדרות!$E$7)))</f>
        <v/>
      </c>
      <c r="J2512" s="0" t="str">
        <f aca="false">IF(I2512="","",IF(H2512-1&lt;הגדרות!$E$8*(הגדרות!$E$7+1),MOD(H2512-1,הגדרות!$E$7+1),MOD(H2512-1-הגדרות!$E$8*(הגדרות!$E$7+1),הגדרות!$E$7)))</f>
        <v/>
      </c>
      <c r="K2512" s="0" t="str">
        <f aca="false">IF(I2512="","",J2512*הגדרות!$E$6+I2512+1)</f>
        <v/>
      </c>
      <c r="L2512" s="0" t="str">
        <f aca="false">IF(K2512="","",MATCH(K2512,$F$2:$F$5001,0))</f>
        <v/>
      </c>
      <c r="M2512" s="0" t="str">
        <f aca="false">IF(I2512="","",INDEX(הגדרות!$A$2:$A$21,MOD(I2512+הגדרות!$E$9,הגדרות!$E$6)+1))</f>
        <v/>
      </c>
    </row>
    <row r="2513" customFormat="false" ht="15" hidden="false" customHeight="false" outlineLevel="0" collapsed="false">
      <c r="A2513" s="0" t="str">
        <f aca="false">IF('הדבקת לידים'!A2513="","",IF(ISNUMBER('הדבקת לידים'!A2513),IF(הגדרות!$E$2&gt;0,TEXT('הדבקת לידים'!A2513,REPT("0",הגדרות!$E$2)),TEXT('הדבקת לידים'!A2513,"0")),TRIM('הדבקת לידים'!A2513)))</f>
        <v/>
      </c>
      <c r="B2513" s="0" t="str">
        <f aca="false">IF('הדבקת לידים'!B2513="","",IF(ISNUMBER('הדבקת לידים'!B2513),IF(הגדרות!$E$3&gt;0,TEXT('הדבקת לידים'!B2513,REPT("0",הגדרות!$E$3)),TEXT('הדבקת לידים'!B2513,"0")),TRIM('הדבקת לידים'!B2513)))</f>
        <v/>
      </c>
      <c r="C2513" s="0" t="n">
        <f aca="false">IF(OR(A2513&lt;&gt;"",B2513&lt;&gt;""),1,0)</f>
        <v>0</v>
      </c>
      <c r="D2513" s="0" t="str">
        <f aca="false">IF(C2513=1,MOD(ABS(SIN(ROW()*12.9898+'הדבקת לידים'!$F$2*78.233+IFERROR(--RIGHT(A2513,6),LEN(A2513))*0.0137+IFERROR(--RIGHT(B2513,6),LEN(B2513))*0.0071))*43758.5453,1),"")</f>
        <v/>
      </c>
      <c r="E2513" s="0" t="str">
        <f aca="false">IF(C2513=1,INT(MOD(ABS(SIN(D2513*7919.123+ROW()*0.618+'הדבקת לידים'!$F$2*1.3))*43758.5453,1)*1000000)*10000+ROW(),"")</f>
        <v/>
      </c>
      <c r="F2513" s="0" t="str">
        <f aca="false">IF(E2513="","",RANK(E2513,$E$2:$E$5001,1))</f>
        <v/>
      </c>
      <c r="G2513" s="0" t="n">
        <f aca="false">IF(A2513="",0,IF(SUMPRODUCT(--($A$2:$A$5001=A2513))&gt;1,1,0))</f>
        <v>0</v>
      </c>
      <c r="H2513" s="0" t="n">
        <f aca="false">ROW()-1</f>
        <v>2512</v>
      </c>
      <c r="I2513" s="0" t="str">
        <f aca="false">IF(OR(הגדרות!$E$6=0,H2513&gt;הגדרות!$E$5),"",IF(H2513-1&lt;הגדרות!$E$8*(הגדרות!$E$7+1),INT((H2513-1)/(הגדרות!$E$7+1)),הגדרות!$E$8+INT((H2513-1-הגדרות!$E$8*(הגדרות!$E$7+1))/הגדרות!$E$7)))</f>
        <v/>
      </c>
      <c r="J2513" s="0" t="str">
        <f aca="false">IF(I2513="","",IF(H2513-1&lt;הגדרות!$E$8*(הגדרות!$E$7+1),MOD(H2513-1,הגדרות!$E$7+1),MOD(H2513-1-הגדרות!$E$8*(הגדרות!$E$7+1),הגדרות!$E$7)))</f>
        <v/>
      </c>
      <c r="K2513" s="0" t="str">
        <f aca="false">IF(I2513="","",J2513*הגדרות!$E$6+I2513+1)</f>
        <v/>
      </c>
      <c r="L2513" s="0" t="str">
        <f aca="false">IF(K2513="","",MATCH(K2513,$F$2:$F$5001,0))</f>
        <v/>
      </c>
      <c r="M2513" s="0" t="str">
        <f aca="false">IF(I2513="","",INDEX(הגדרות!$A$2:$A$21,MOD(I2513+הגדרות!$E$9,הגדרות!$E$6)+1))</f>
        <v/>
      </c>
    </row>
    <row r="2514" customFormat="false" ht="15" hidden="false" customHeight="false" outlineLevel="0" collapsed="false">
      <c r="A2514" s="0" t="str">
        <f aca="false">IF('הדבקת לידים'!A2514="","",IF(ISNUMBER('הדבקת לידים'!A2514),IF(הגדרות!$E$2&gt;0,TEXT('הדבקת לידים'!A2514,REPT("0",הגדרות!$E$2)),TEXT('הדבקת לידים'!A2514,"0")),TRIM('הדבקת לידים'!A2514)))</f>
        <v/>
      </c>
      <c r="B2514" s="0" t="str">
        <f aca="false">IF('הדבקת לידים'!B2514="","",IF(ISNUMBER('הדבקת לידים'!B2514),IF(הגדרות!$E$3&gt;0,TEXT('הדבקת לידים'!B2514,REPT("0",הגדרות!$E$3)),TEXT('הדבקת לידים'!B2514,"0")),TRIM('הדבקת לידים'!B2514)))</f>
        <v/>
      </c>
      <c r="C2514" s="0" t="n">
        <f aca="false">IF(OR(A2514&lt;&gt;"",B2514&lt;&gt;""),1,0)</f>
        <v>0</v>
      </c>
      <c r="D2514" s="0" t="str">
        <f aca="false">IF(C2514=1,MOD(ABS(SIN(ROW()*12.9898+'הדבקת לידים'!$F$2*78.233+IFERROR(--RIGHT(A2514,6),LEN(A2514))*0.0137+IFERROR(--RIGHT(B2514,6),LEN(B2514))*0.0071))*43758.5453,1),"")</f>
        <v/>
      </c>
      <c r="E2514" s="0" t="str">
        <f aca="false">IF(C2514=1,INT(MOD(ABS(SIN(D2514*7919.123+ROW()*0.618+'הדבקת לידים'!$F$2*1.3))*43758.5453,1)*1000000)*10000+ROW(),"")</f>
        <v/>
      </c>
      <c r="F2514" s="0" t="str">
        <f aca="false">IF(E2514="","",RANK(E2514,$E$2:$E$5001,1))</f>
        <v/>
      </c>
      <c r="G2514" s="0" t="n">
        <f aca="false">IF(A2514="",0,IF(SUMPRODUCT(--($A$2:$A$5001=A2514))&gt;1,1,0))</f>
        <v>0</v>
      </c>
      <c r="H2514" s="0" t="n">
        <f aca="false">ROW()-1</f>
        <v>2513</v>
      </c>
      <c r="I2514" s="0" t="str">
        <f aca="false">IF(OR(הגדרות!$E$6=0,H2514&gt;הגדרות!$E$5),"",IF(H2514-1&lt;הגדרות!$E$8*(הגדרות!$E$7+1),INT((H2514-1)/(הגדרות!$E$7+1)),הגדרות!$E$8+INT((H2514-1-הגדרות!$E$8*(הגדרות!$E$7+1))/הגדרות!$E$7)))</f>
        <v/>
      </c>
      <c r="J2514" s="0" t="str">
        <f aca="false">IF(I2514="","",IF(H2514-1&lt;הגדרות!$E$8*(הגדרות!$E$7+1),MOD(H2514-1,הגדרות!$E$7+1),MOD(H2514-1-הגדרות!$E$8*(הגדרות!$E$7+1),הגדרות!$E$7)))</f>
        <v/>
      </c>
      <c r="K2514" s="0" t="str">
        <f aca="false">IF(I2514="","",J2514*הגדרות!$E$6+I2514+1)</f>
        <v/>
      </c>
      <c r="L2514" s="0" t="str">
        <f aca="false">IF(K2514="","",MATCH(K2514,$F$2:$F$5001,0))</f>
        <v/>
      </c>
      <c r="M2514" s="0" t="str">
        <f aca="false">IF(I2514="","",INDEX(הגדרות!$A$2:$A$21,MOD(I2514+הגדרות!$E$9,הגדרות!$E$6)+1))</f>
        <v/>
      </c>
    </row>
    <row r="2515" customFormat="false" ht="15" hidden="false" customHeight="false" outlineLevel="0" collapsed="false">
      <c r="A2515" s="0" t="str">
        <f aca="false">IF('הדבקת לידים'!A2515="","",IF(ISNUMBER('הדבקת לידים'!A2515),IF(הגדרות!$E$2&gt;0,TEXT('הדבקת לידים'!A2515,REPT("0",הגדרות!$E$2)),TEXT('הדבקת לידים'!A2515,"0")),TRIM('הדבקת לידים'!A2515)))</f>
        <v/>
      </c>
      <c r="B2515" s="0" t="str">
        <f aca="false">IF('הדבקת לידים'!B2515="","",IF(ISNUMBER('הדבקת לידים'!B2515),IF(הגדרות!$E$3&gt;0,TEXT('הדבקת לידים'!B2515,REPT("0",הגדרות!$E$3)),TEXT('הדבקת לידים'!B2515,"0")),TRIM('הדבקת לידים'!B2515)))</f>
        <v/>
      </c>
      <c r="C2515" s="0" t="n">
        <f aca="false">IF(OR(A2515&lt;&gt;"",B2515&lt;&gt;""),1,0)</f>
        <v>0</v>
      </c>
      <c r="D2515" s="0" t="str">
        <f aca="false">IF(C2515=1,MOD(ABS(SIN(ROW()*12.9898+'הדבקת לידים'!$F$2*78.233+IFERROR(--RIGHT(A2515,6),LEN(A2515))*0.0137+IFERROR(--RIGHT(B2515,6),LEN(B2515))*0.0071))*43758.5453,1),"")</f>
        <v/>
      </c>
      <c r="E2515" s="0" t="str">
        <f aca="false">IF(C2515=1,INT(MOD(ABS(SIN(D2515*7919.123+ROW()*0.618+'הדבקת לידים'!$F$2*1.3))*43758.5453,1)*1000000)*10000+ROW(),"")</f>
        <v/>
      </c>
      <c r="F2515" s="0" t="str">
        <f aca="false">IF(E2515="","",RANK(E2515,$E$2:$E$5001,1))</f>
        <v/>
      </c>
      <c r="G2515" s="0" t="n">
        <f aca="false">IF(A2515="",0,IF(SUMPRODUCT(--($A$2:$A$5001=A2515))&gt;1,1,0))</f>
        <v>0</v>
      </c>
      <c r="H2515" s="0" t="n">
        <f aca="false">ROW()-1</f>
        <v>2514</v>
      </c>
      <c r="I2515" s="0" t="str">
        <f aca="false">IF(OR(הגדרות!$E$6=0,H2515&gt;הגדרות!$E$5),"",IF(H2515-1&lt;הגדרות!$E$8*(הגדרות!$E$7+1),INT((H2515-1)/(הגדרות!$E$7+1)),הגדרות!$E$8+INT((H2515-1-הגדרות!$E$8*(הגדרות!$E$7+1))/הגדרות!$E$7)))</f>
        <v/>
      </c>
      <c r="J2515" s="0" t="str">
        <f aca="false">IF(I2515="","",IF(H2515-1&lt;הגדרות!$E$8*(הגדרות!$E$7+1),MOD(H2515-1,הגדרות!$E$7+1),MOD(H2515-1-הגדרות!$E$8*(הגדרות!$E$7+1),הגדרות!$E$7)))</f>
        <v/>
      </c>
      <c r="K2515" s="0" t="str">
        <f aca="false">IF(I2515="","",J2515*הגדרות!$E$6+I2515+1)</f>
        <v/>
      </c>
      <c r="L2515" s="0" t="str">
        <f aca="false">IF(K2515="","",MATCH(K2515,$F$2:$F$5001,0))</f>
        <v/>
      </c>
      <c r="M2515" s="0" t="str">
        <f aca="false">IF(I2515="","",INDEX(הגדרות!$A$2:$A$21,MOD(I2515+הגדרות!$E$9,הגדרות!$E$6)+1))</f>
        <v/>
      </c>
    </row>
    <row r="2516" customFormat="false" ht="15" hidden="false" customHeight="false" outlineLevel="0" collapsed="false">
      <c r="A2516" s="0" t="str">
        <f aca="false">IF('הדבקת לידים'!A2516="","",IF(ISNUMBER('הדבקת לידים'!A2516),IF(הגדרות!$E$2&gt;0,TEXT('הדבקת לידים'!A2516,REPT("0",הגדרות!$E$2)),TEXT('הדבקת לידים'!A2516,"0")),TRIM('הדבקת לידים'!A2516)))</f>
        <v/>
      </c>
      <c r="B2516" s="0" t="str">
        <f aca="false">IF('הדבקת לידים'!B2516="","",IF(ISNUMBER('הדבקת לידים'!B2516),IF(הגדרות!$E$3&gt;0,TEXT('הדבקת לידים'!B2516,REPT("0",הגדרות!$E$3)),TEXT('הדבקת לידים'!B2516,"0")),TRIM('הדבקת לידים'!B2516)))</f>
        <v/>
      </c>
      <c r="C2516" s="0" t="n">
        <f aca="false">IF(OR(A2516&lt;&gt;"",B2516&lt;&gt;""),1,0)</f>
        <v>0</v>
      </c>
      <c r="D2516" s="0" t="str">
        <f aca="false">IF(C2516=1,MOD(ABS(SIN(ROW()*12.9898+'הדבקת לידים'!$F$2*78.233+IFERROR(--RIGHT(A2516,6),LEN(A2516))*0.0137+IFERROR(--RIGHT(B2516,6),LEN(B2516))*0.0071))*43758.5453,1),"")</f>
        <v/>
      </c>
      <c r="E2516" s="0" t="str">
        <f aca="false">IF(C2516=1,INT(MOD(ABS(SIN(D2516*7919.123+ROW()*0.618+'הדבקת לידים'!$F$2*1.3))*43758.5453,1)*1000000)*10000+ROW(),"")</f>
        <v/>
      </c>
      <c r="F2516" s="0" t="str">
        <f aca="false">IF(E2516="","",RANK(E2516,$E$2:$E$5001,1))</f>
        <v/>
      </c>
      <c r="G2516" s="0" t="n">
        <f aca="false">IF(A2516="",0,IF(SUMPRODUCT(--($A$2:$A$5001=A2516))&gt;1,1,0))</f>
        <v>0</v>
      </c>
      <c r="H2516" s="0" t="n">
        <f aca="false">ROW()-1</f>
        <v>2515</v>
      </c>
      <c r="I2516" s="0" t="str">
        <f aca="false">IF(OR(הגדרות!$E$6=0,H2516&gt;הגדרות!$E$5),"",IF(H2516-1&lt;הגדרות!$E$8*(הגדרות!$E$7+1),INT((H2516-1)/(הגדרות!$E$7+1)),הגדרות!$E$8+INT((H2516-1-הגדרות!$E$8*(הגדרות!$E$7+1))/הגדרות!$E$7)))</f>
        <v/>
      </c>
      <c r="J2516" s="0" t="str">
        <f aca="false">IF(I2516="","",IF(H2516-1&lt;הגדרות!$E$8*(הגדרות!$E$7+1),MOD(H2516-1,הגדרות!$E$7+1),MOD(H2516-1-הגדרות!$E$8*(הגדרות!$E$7+1),הגדרות!$E$7)))</f>
        <v/>
      </c>
      <c r="K2516" s="0" t="str">
        <f aca="false">IF(I2516="","",J2516*הגדרות!$E$6+I2516+1)</f>
        <v/>
      </c>
      <c r="L2516" s="0" t="str">
        <f aca="false">IF(K2516="","",MATCH(K2516,$F$2:$F$5001,0))</f>
        <v/>
      </c>
      <c r="M2516" s="0" t="str">
        <f aca="false">IF(I2516="","",INDEX(הגדרות!$A$2:$A$21,MOD(I2516+הגדרות!$E$9,הגדרות!$E$6)+1))</f>
        <v/>
      </c>
    </row>
    <row r="2517" customFormat="false" ht="15" hidden="false" customHeight="false" outlineLevel="0" collapsed="false">
      <c r="A2517" s="0" t="str">
        <f aca="false">IF('הדבקת לידים'!A2517="","",IF(ISNUMBER('הדבקת לידים'!A2517),IF(הגדרות!$E$2&gt;0,TEXT('הדבקת לידים'!A2517,REPT("0",הגדרות!$E$2)),TEXT('הדבקת לידים'!A2517,"0")),TRIM('הדבקת לידים'!A2517)))</f>
        <v/>
      </c>
      <c r="B2517" s="0" t="str">
        <f aca="false">IF('הדבקת לידים'!B2517="","",IF(ISNUMBER('הדבקת לידים'!B2517),IF(הגדרות!$E$3&gt;0,TEXT('הדבקת לידים'!B2517,REPT("0",הגדרות!$E$3)),TEXT('הדבקת לידים'!B2517,"0")),TRIM('הדבקת לידים'!B2517)))</f>
        <v/>
      </c>
      <c r="C2517" s="0" t="n">
        <f aca="false">IF(OR(A2517&lt;&gt;"",B2517&lt;&gt;""),1,0)</f>
        <v>0</v>
      </c>
      <c r="D2517" s="0" t="str">
        <f aca="false">IF(C2517=1,MOD(ABS(SIN(ROW()*12.9898+'הדבקת לידים'!$F$2*78.233+IFERROR(--RIGHT(A2517,6),LEN(A2517))*0.0137+IFERROR(--RIGHT(B2517,6),LEN(B2517))*0.0071))*43758.5453,1),"")</f>
        <v/>
      </c>
      <c r="E2517" s="0" t="str">
        <f aca="false">IF(C2517=1,INT(MOD(ABS(SIN(D2517*7919.123+ROW()*0.618+'הדבקת לידים'!$F$2*1.3))*43758.5453,1)*1000000)*10000+ROW(),"")</f>
        <v/>
      </c>
      <c r="F2517" s="0" t="str">
        <f aca="false">IF(E2517="","",RANK(E2517,$E$2:$E$5001,1))</f>
        <v/>
      </c>
      <c r="G2517" s="0" t="n">
        <f aca="false">IF(A2517="",0,IF(SUMPRODUCT(--($A$2:$A$5001=A2517))&gt;1,1,0))</f>
        <v>0</v>
      </c>
      <c r="H2517" s="0" t="n">
        <f aca="false">ROW()-1</f>
        <v>2516</v>
      </c>
      <c r="I2517" s="0" t="str">
        <f aca="false">IF(OR(הגדרות!$E$6=0,H2517&gt;הגדרות!$E$5),"",IF(H2517-1&lt;הגדרות!$E$8*(הגדרות!$E$7+1),INT((H2517-1)/(הגדרות!$E$7+1)),הגדרות!$E$8+INT((H2517-1-הגדרות!$E$8*(הגדרות!$E$7+1))/הגדרות!$E$7)))</f>
        <v/>
      </c>
      <c r="J2517" s="0" t="str">
        <f aca="false">IF(I2517="","",IF(H2517-1&lt;הגדרות!$E$8*(הגדרות!$E$7+1),MOD(H2517-1,הגדרות!$E$7+1),MOD(H2517-1-הגדרות!$E$8*(הגדרות!$E$7+1),הגדרות!$E$7)))</f>
        <v/>
      </c>
      <c r="K2517" s="0" t="str">
        <f aca="false">IF(I2517="","",J2517*הגדרות!$E$6+I2517+1)</f>
        <v/>
      </c>
      <c r="L2517" s="0" t="str">
        <f aca="false">IF(K2517="","",MATCH(K2517,$F$2:$F$5001,0))</f>
        <v/>
      </c>
      <c r="M2517" s="0" t="str">
        <f aca="false">IF(I2517="","",INDEX(הגדרות!$A$2:$A$21,MOD(I2517+הגדרות!$E$9,הגדרות!$E$6)+1))</f>
        <v/>
      </c>
    </row>
    <row r="2518" customFormat="false" ht="15" hidden="false" customHeight="false" outlineLevel="0" collapsed="false">
      <c r="A2518" s="0" t="str">
        <f aca="false">IF('הדבקת לידים'!A2518="","",IF(ISNUMBER('הדבקת לידים'!A2518),IF(הגדרות!$E$2&gt;0,TEXT('הדבקת לידים'!A2518,REPT("0",הגדרות!$E$2)),TEXT('הדבקת לידים'!A2518,"0")),TRIM('הדבקת לידים'!A2518)))</f>
        <v/>
      </c>
      <c r="B2518" s="0" t="str">
        <f aca="false">IF('הדבקת לידים'!B2518="","",IF(ISNUMBER('הדבקת לידים'!B2518),IF(הגדרות!$E$3&gt;0,TEXT('הדבקת לידים'!B2518,REPT("0",הגדרות!$E$3)),TEXT('הדבקת לידים'!B2518,"0")),TRIM('הדבקת לידים'!B2518)))</f>
        <v/>
      </c>
      <c r="C2518" s="0" t="n">
        <f aca="false">IF(OR(A2518&lt;&gt;"",B2518&lt;&gt;""),1,0)</f>
        <v>0</v>
      </c>
      <c r="D2518" s="0" t="str">
        <f aca="false">IF(C2518=1,MOD(ABS(SIN(ROW()*12.9898+'הדבקת לידים'!$F$2*78.233+IFERROR(--RIGHT(A2518,6),LEN(A2518))*0.0137+IFERROR(--RIGHT(B2518,6),LEN(B2518))*0.0071))*43758.5453,1),"")</f>
        <v/>
      </c>
      <c r="E2518" s="0" t="str">
        <f aca="false">IF(C2518=1,INT(MOD(ABS(SIN(D2518*7919.123+ROW()*0.618+'הדבקת לידים'!$F$2*1.3))*43758.5453,1)*1000000)*10000+ROW(),"")</f>
        <v/>
      </c>
      <c r="F2518" s="0" t="str">
        <f aca="false">IF(E2518="","",RANK(E2518,$E$2:$E$5001,1))</f>
        <v/>
      </c>
      <c r="G2518" s="0" t="n">
        <f aca="false">IF(A2518="",0,IF(SUMPRODUCT(--($A$2:$A$5001=A2518))&gt;1,1,0))</f>
        <v>0</v>
      </c>
      <c r="H2518" s="0" t="n">
        <f aca="false">ROW()-1</f>
        <v>2517</v>
      </c>
      <c r="I2518" s="0" t="str">
        <f aca="false">IF(OR(הגדרות!$E$6=0,H2518&gt;הגדרות!$E$5),"",IF(H2518-1&lt;הגדרות!$E$8*(הגדרות!$E$7+1),INT((H2518-1)/(הגדרות!$E$7+1)),הגדרות!$E$8+INT((H2518-1-הגדרות!$E$8*(הגדרות!$E$7+1))/הגדרות!$E$7)))</f>
        <v/>
      </c>
      <c r="J2518" s="0" t="str">
        <f aca="false">IF(I2518="","",IF(H2518-1&lt;הגדרות!$E$8*(הגדרות!$E$7+1),MOD(H2518-1,הגדרות!$E$7+1),MOD(H2518-1-הגדרות!$E$8*(הגדרות!$E$7+1),הגדרות!$E$7)))</f>
        <v/>
      </c>
      <c r="K2518" s="0" t="str">
        <f aca="false">IF(I2518="","",J2518*הגדרות!$E$6+I2518+1)</f>
        <v/>
      </c>
      <c r="L2518" s="0" t="str">
        <f aca="false">IF(K2518="","",MATCH(K2518,$F$2:$F$5001,0))</f>
        <v/>
      </c>
      <c r="M2518" s="0" t="str">
        <f aca="false">IF(I2518="","",INDEX(הגדרות!$A$2:$A$21,MOD(I2518+הגדרות!$E$9,הגדרות!$E$6)+1))</f>
        <v/>
      </c>
    </row>
    <row r="2519" customFormat="false" ht="15" hidden="false" customHeight="false" outlineLevel="0" collapsed="false">
      <c r="A2519" s="0" t="str">
        <f aca="false">IF('הדבקת לידים'!A2519="","",IF(ISNUMBER('הדבקת לידים'!A2519),IF(הגדרות!$E$2&gt;0,TEXT('הדבקת לידים'!A2519,REPT("0",הגדרות!$E$2)),TEXT('הדבקת לידים'!A2519,"0")),TRIM('הדבקת לידים'!A2519)))</f>
        <v/>
      </c>
      <c r="B2519" s="0" t="str">
        <f aca="false">IF('הדבקת לידים'!B2519="","",IF(ISNUMBER('הדבקת לידים'!B2519),IF(הגדרות!$E$3&gt;0,TEXT('הדבקת לידים'!B2519,REPT("0",הגדרות!$E$3)),TEXT('הדבקת לידים'!B2519,"0")),TRIM('הדבקת לידים'!B2519)))</f>
        <v/>
      </c>
      <c r="C2519" s="0" t="n">
        <f aca="false">IF(OR(A2519&lt;&gt;"",B2519&lt;&gt;""),1,0)</f>
        <v>0</v>
      </c>
      <c r="D2519" s="0" t="str">
        <f aca="false">IF(C2519=1,MOD(ABS(SIN(ROW()*12.9898+'הדבקת לידים'!$F$2*78.233+IFERROR(--RIGHT(A2519,6),LEN(A2519))*0.0137+IFERROR(--RIGHT(B2519,6),LEN(B2519))*0.0071))*43758.5453,1),"")</f>
        <v/>
      </c>
      <c r="E2519" s="0" t="str">
        <f aca="false">IF(C2519=1,INT(MOD(ABS(SIN(D2519*7919.123+ROW()*0.618+'הדבקת לידים'!$F$2*1.3))*43758.5453,1)*1000000)*10000+ROW(),"")</f>
        <v/>
      </c>
      <c r="F2519" s="0" t="str">
        <f aca="false">IF(E2519="","",RANK(E2519,$E$2:$E$5001,1))</f>
        <v/>
      </c>
      <c r="G2519" s="0" t="n">
        <f aca="false">IF(A2519="",0,IF(SUMPRODUCT(--($A$2:$A$5001=A2519))&gt;1,1,0))</f>
        <v>0</v>
      </c>
      <c r="H2519" s="0" t="n">
        <f aca="false">ROW()-1</f>
        <v>2518</v>
      </c>
      <c r="I2519" s="0" t="str">
        <f aca="false">IF(OR(הגדרות!$E$6=0,H2519&gt;הגדרות!$E$5),"",IF(H2519-1&lt;הגדרות!$E$8*(הגדרות!$E$7+1),INT((H2519-1)/(הגדרות!$E$7+1)),הגדרות!$E$8+INT((H2519-1-הגדרות!$E$8*(הגדרות!$E$7+1))/הגדרות!$E$7)))</f>
        <v/>
      </c>
      <c r="J2519" s="0" t="str">
        <f aca="false">IF(I2519="","",IF(H2519-1&lt;הגדרות!$E$8*(הגדרות!$E$7+1),MOD(H2519-1,הגדרות!$E$7+1),MOD(H2519-1-הגדרות!$E$8*(הגדרות!$E$7+1),הגדרות!$E$7)))</f>
        <v/>
      </c>
      <c r="K2519" s="0" t="str">
        <f aca="false">IF(I2519="","",J2519*הגדרות!$E$6+I2519+1)</f>
        <v/>
      </c>
      <c r="L2519" s="0" t="str">
        <f aca="false">IF(K2519="","",MATCH(K2519,$F$2:$F$5001,0))</f>
        <v/>
      </c>
      <c r="M2519" s="0" t="str">
        <f aca="false">IF(I2519="","",INDEX(הגדרות!$A$2:$A$21,MOD(I2519+הגדרות!$E$9,הגדרות!$E$6)+1))</f>
        <v/>
      </c>
    </row>
    <row r="2520" customFormat="false" ht="15" hidden="false" customHeight="false" outlineLevel="0" collapsed="false">
      <c r="A2520" s="0" t="str">
        <f aca="false">IF('הדבקת לידים'!A2520="","",IF(ISNUMBER('הדבקת לידים'!A2520),IF(הגדרות!$E$2&gt;0,TEXT('הדבקת לידים'!A2520,REPT("0",הגדרות!$E$2)),TEXT('הדבקת לידים'!A2520,"0")),TRIM('הדבקת לידים'!A2520)))</f>
        <v/>
      </c>
      <c r="B2520" s="0" t="str">
        <f aca="false">IF('הדבקת לידים'!B2520="","",IF(ISNUMBER('הדבקת לידים'!B2520),IF(הגדרות!$E$3&gt;0,TEXT('הדבקת לידים'!B2520,REPT("0",הגדרות!$E$3)),TEXT('הדבקת לידים'!B2520,"0")),TRIM('הדבקת לידים'!B2520)))</f>
        <v/>
      </c>
      <c r="C2520" s="0" t="n">
        <f aca="false">IF(OR(A2520&lt;&gt;"",B2520&lt;&gt;""),1,0)</f>
        <v>0</v>
      </c>
      <c r="D2520" s="0" t="str">
        <f aca="false">IF(C2520=1,MOD(ABS(SIN(ROW()*12.9898+'הדבקת לידים'!$F$2*78.233+IFERROR(--RIGHT(A2520,6),LEN(A2520))*0.0137+IFERROR(--RIGHT(B2520,6),LEN(B2520))*0.0071))*43758.5453,1),"")</f>
        <v/>
      </c>
      <c r="E2520" s="0" t="str">
        <f aca="false">IF(C2520=1,INT(MOD(ABS(SIN(D2520*7919.123+ROW()*0.618+'הדבקת לידים'!$F$2*1.3))*43758.5453,1)*1000000)*10000+ROW(),"")</f>
        <v/>
      </c>
      <c r="F2520" s="0" t="str">
        <f aca="false">IF(E2520="","",RANK(E2520,$E$2:$E$5001,1))</f>
        <v/>
      </c>
      <c r="G2520" s="0" t="n">
        <f aca="false">IF(A2520="",0,IF(SUMPRODUCT(--($A$2:$A$5001=A2520))&gt;1,1,0))</f>
        <v>0</v>
      </c>
      <c r="H2520" s="0" t="n">
        <f aca="false">ROW()-1</f>
        <v>2519</v>
      </c>
      <c r="I2520" s="0" t="str">
        <f aca="false">IF(OR(הגדרות!$E$6=0,H2520&gt;הגדרות!$E$5),"",IF(H2520-1&lt;הגדרות!$E$8*(הגדרות!$E$7+1),INT((H2520-1)/(הגדרות!$E$7+1)),הגדרות!$E$8+INT((H2520-1-הגדרות!$E$8*(הגדרות!$E$7+1))/הגדרות!$E$7)))</f>
        <v/>
      </c>
      <c r="J2520" s="0" t="str">
        <f aca="false">IF(I2520="","",IF(H2520-1&lt;הגדרות!$E$8*(הגדרות!$E$7+1),MOD(H2520-1,הגדרות!$E$7+1),MOD(H2520-1-הגדרות!$E$8*(הגדרות!$E$7+1),הגדרות!$E$7)))</f>
        <v/>
      </c>
      <c r="K2520" s="0" t="str">
        <f aca="false">IF(I2520="","",J2520*הגדרות!$E$6+I2520+1)</f>
        <v/>
      </c>
      <c r="L2520" s="0" t="str">
        <f aca="false">IF(K2520="","",MATCH(K2520,$F$2:$F$5001,0))</f>
        <v/>
      </c>
      <c r="M2520" s="0" t="str">
        <f aca="false">IF(I2520="","",INDEX(הגדרות!$A$2:$A$21,MOD(I2520+הגדרות!$E$9,הגדרות!$E$6)+1))</f>
        <v/>
      </c>
    </row>
    <row r="2521" customFormat="false" ht="15" hidden="false" customHeight="false" outlineLevel="0" collapsed="false">
      <c r="A2521" s="0" t="str">
        <f aca="false">IF('הדבקת לידים'!A2521="","",IF(ISNUMBER('הדבקת לידים'!A2521),IF(הגדרות!$E$2&gt;0,TEXT('הדבקת לידים'!A2521,REPT("0",הגדרות!$E$2)),TEXT('הדבקת לידים'!A2521,"0")),TRIM('הדבקת לידים'!A2521)))</f>
        <v/>
      </c>
      <c r="B2521" s="0" t="str">
        <f aca="false">IF('הדבקת לידים'!B2521="","",IF(ISNUMBER('הדבקת לידים'!B2521),IF(הגדרות!$E$3&gt;0,TEXT('הדבקת לידים'!B2521,REPT("0",הגדרות!$E$3)),TEXT('הדבקת לידים'!B2521,"0")),TRIM('הדבקת לידים'!B2521)))</f>
        <v/>
      </c>
      <c r="C2521" s="0" t="n">
        <f aca="false">IF(OR(A2521&lt;&gt;"",B2521&lt;&gt;""),1,0)</f>
        <v>0</v>
      </c>
      <c r="D2521" s="0" t="str">
        <f aca="false">IF(C2521=1,MOD(ABS(SIN(ROW()*12.9898+'הדבקת לידים'!$F$2*78.233+IFERROR(--RIGHT(A2521,6),LEN(A2521))*0.0137+IFERROR(--RIGHT(B2521,6),LEN(B2521))*0.0071))*43758.5453,1),"")</f>
        <v/>
      </c>
      <c r="E2521" s="0" t="str">
        <f aca="false">IF(C2521=1,INT(MOD(ABS(SIN(D2521*7919.123+ROW()*0.618+'הדבקת לידים'!$F$2*1.3))*43758.5453,1)*1000000)*10000+ROW(),"")</f>
        <v/>
      </c>
      <c r="F2521" s="0" t="str">
        <f aca="false">IF(E2521="","",RANK(E2521,$E$2:$E$5001,1))</f>
        <v/>
      </c>
      <c r="G2521" s="0" t="n">
        <f aca="false">IF(A2521="",0,IF(SUMPRODUCT(--($A$2:$A$5001=A2521))&gt;1,1,0))</f>
        <v>0</v>
      </c>
      <c r="H2521" s="0" t="n">
        <f aca="false">ROW()-1</f>
        <v>2520</v>
      </c>
      <c r="I2521" s="0" t="str">
        <f aca="false">IF(OR(הגדרות!$E$6=0,H2521&gt;הגדרות!$E$5),"",IF(H2521-1&lt;הגדרות!$E$8*(הגדרות!$E$7+1),INT((H2521-1)/(הגדרות!$E$7+1)),הגדרות!$E$8+INT((H2521-1-הגדרות!$E$8*(הגדרות!$E$7+1))/הגדרות!$E$7)))</f>
        <v/>
      </c>
      <c r="J2521" s="0" t="str">
        <f aca="false">IF(I2521="","",IF(H2521-1&lt;הגדרות!$E$8*(הגדרות!$E$7+1),MOD(H2521-1,הגדרות!$E$7+1),MOD(H2521-1-הגדרות!$E$8*(הגדרות!$E$7+1),הגדרות!$E$7)))</f>
        <v/>
      </c>
      <c r="K2521" s="0" t="str">
        <f aca="false">IF(I2521="","",J2521*הגדרות!$E$6+I2521+1)</f>
        <v/>
      </c>
      <c r="L2521" s="0" t="str">
        <f aca="false">IF(K2521="","",MATCH(K2521,$F$2:$F$5001,0))</f>
        <v/>
      </c>
      <c r="M2521" s="0" t="str">
        <f aca="false">IF(I2521="","",INDEX(הגדרות!$A$2:$A$21,MOD(I2521+הגדרות!$E$9,הגדרות!$E$6)+1))</f>
        <v/>
      </c>
    </row>
    <row r="2522" customFormat="false" ht="15" hidden="false" customHeight="false" outlineLevel="0" collapsed="false">
      <c r="A2522" s="0" t="str">
        <f aca="false">IF('הדבקת לידים'!A2522="","",IF(ISNUMBER('הדבקת לידים'!A2522),IF(הגדרות!$E$2&gt;0,TEXT('הדבקת לידים'!A2522,REPT("0",הגדרות!$E$2)),TEXT('הדבקת לידים'!A2522,"0")),TRIM('הדבקת לידים'!A2522)))</f>
        <v/>
      </c>
      <c r="B2522" s="0" t="str">
        <f aca="false">IF('הדבקת לידים'!B2522="","",IF(ISNUMBER('הדבקת לידים'!B2522),IF(הגדרות!$E$3&gt;0,TEXT('הדבקת לידים'!B2522,REPT("0",הגדרות!$E$3)),TEXT('הדבקת לידים'!B2522,"0")),TRIM('הדבקת לידים'!B2522)))</f>
        <v/>
      </c>
      <c r="C2522" s="0" t="n">
        <f aca="false">IF(OR(A2522&lt;&gt;"",B2522&lt;&gt;""),1,0)</f>
        <v>0</v>
      </c>
      <c r="D2522" s="0" t="str">
        <f aca="false">IF(C2522=1,MOD(ABS(SIN(ROW()*12.9898+'הדבקת לידים'!$F$2*78.233+IFERROR(--RIGHT(A2522,6),LEN(A2522))*0.0137+IFERROR(--RIGHT(B2522,6),LEN(B2522))*0.0071))*43758.5453,1),"")</f>
        <v/>
      </c>
      <c r="E2522" s="0" t="str">
        <f aca="false">IF(C2522=1,INT(MOD(ABS(SIN(D2522*7919.123+ROW()*0.618+'הדבקת לידים'!$F$2*1.3))*43758.5453,1)*1000000)*10000+ROW(),"")</f>
        <v/>
      </c>
      <c r="F2522" s="0" t="str">
        <f aca="false">IF(E2522="","",RANK(E2522,$E$2:$E$5001,1))</f>
        <v/>
      </c>
      <c r="G2522" s="0" t="n">
        <f aca="false">IF(A2522="",0,IF(SUMPRODUCT(--($A$2:$A$5001=A2522))&gt;1,1,0))</f>
        <v>0</v>
      </c>
      <c r="H2522" s="0" t="n">
        <f aca="false">ROW()-1</f>
        <v>2521</v>
      </c>
      <c r="I2522" s="0" t="str">
        <f aca="false">IF(OR(הגדרות!$E$6=0,H2522&gt;הגדרות!$E$5),"",IF(H2522-1&lt;הגדרות!$E$8*(הגדרות!$E$7+1),INT((H2522-1)/(הגדרות!$E$7+1)),הגדרות!$E$8+INT((H2522-1-הגדרות!$E$8*(הגדרות!$E$7+1))/הגדרות!$E$7)))</f>
        <v/>
      </c>
      <c r="J2522" s="0" t="str">
        <f aca="false">IF(I2522="","",IF(H2522-1&lt;הגדרות!$E$8*(הגדרות!$E$7+1),MOD(H2522-1,הגדרות!$E$7+1),MOD(H2522-1-הגדרות!$E$8*(הגדרות!$E$7+1),הגדרות!$E$7)))</f>
        <v/>
      </c>
      <c r="K2522" s="0" t="str">
        <f aca="false">IF(I2522="","",J2522*הגדרות!$E$6+I2522+1)</f>
        <v/>
      </c>
      <c r="L2522" s="0" t="str">
        <f aca="false">IF(K2522="","",MATCH(K2522,$F$2:$F$5001,0))</f>
        <v/>
      </c>
      <c r="M2522" s="0" t="str">
        <f aca="false">IF(I2522="","",INDEX(הגדרות!$A$2:$A$21,MOD(I2522+הגדרות!$E$9,הגדרות!$E$6)+1))</f>
        <v/>
      </c>
    </row>
    <row r="2523" customFormat="false" ht="15" hidden="false" customHeight="false" outlineLevel="0" collapsed="false">
      <c r="A2523" s="0" t="str">
        <f aca="false">IF('הדבקת לידים'!A2523="","",IF(ISNUMBER('הדבקת לידים'!A2523),IF(הגדרות!$E$2&gt;0,TEXT('הדבקת לידים'!A2523,REPT("0",הגדרות!$E$2)),TEXT('הדבקת לידים'!A2523,"0")),TRIM('הדבקת לידים'!A2523)))</f>
        <v/>
      </c>
      <c r="B2523" s="0" t="str">
        <f aca="false">IF('הדבקת לידים'!B2523="","",IF(ISNUMBER('הדבקת לידים'!B2523),IF(הגדרות!$E$3&gt;0,TEXT('הדבקת לידים'!B2523,REPT("0",הגדרות!$E$3)),TEXT('הדבקת לידים'!B2523,"0")),TRIM('הדבקת לידים'!B2523)))</f>
        <v/>
      </c>
      <c r="C2523" s="0" t="n">
        <f aca="false">IF(OR(A2523&lt;&gt;"",B2523&lt;&gt;""),1,0)</f>
        <v>0</v>
      </c>
      <c r="D2523" s="0" t="str">
        <f aca="false">IF(C2523=1,MOD(ABS(SIN(ROW()*12.9898+'הדבקת לידים'!$F$2*78.233+IFERROR(--RIGHT(A2523,6),LEN(A2523))*0.0137+IFERROR(--RIGHT(B2523,6),LEN(B2523))*0.0071))*43758.5453,1),"")</f>
        <v/>
      </c>
      <c r="E2523" s="0" t="str">
        <f aca="false">IF(C2523=1,INT(MOD(ABS(SIN(D2523*7919.123+ROW()*0.618+'הדבקת לידים'!$F$2*1.3))*43758.5453,1)*1000000)*10000+ROW(),"")</f>
        <v/>
      </c>
      <c r="F2523" s="0" t="str">
        <f aca="false">IF(E2523="","",RANK(E2523,$E$2:$E$5001,1))</f>
        <v/>
      </c>
      <c r="G2523" s="0" t="n">
        <f aca="false">IF(A2523="",0,IF(SUMPRODUCT(--($A$2:$A$5001=A2523))&gt;1,1,0))</f>
        <v>0</v>
      </c>
      <c r="H2523" s="0" t="n">
        <f aca="false">ROW()-1</f>
        <v>2522</v>
      </c>
      <c r="I2523" s="0" t="str">
        <f aca="false">IF(OR(הגדרות!$E$6=0,H2523&gt;הגדרות!$E$5),"",IF(H2523-1&lt;הגדרות!$E$8*(הגדרות!$E$7+1),INT((H2523-1)/(הגדרות!$E$7+1)),הגדרות!$E$8+INT((H2523-1-הגדרות!$E$8*(הגדרות!$E$7+1))/הגדרות!$E$7)))</f>
        <v/>
      </c>
      <c r="J2523" s="0" t="str">
        <f aca="false">IF(I2523="","",IF(H2523-1&lt;הגדרות!$E$8*(הגדרות!$E$7+1),MOD(H2523-1,הגדרות!$E$7+1),MOD(H2523-1-הגדרות!$E$8*(הגדרות!$E$7+1),הגדרות!$E$7)))</f>
        <v/>
      </c>
      <c r="K2523" s="0" t="str">
        <f aca="false">IF(I2523="","",J2523*הגדרות!$E$6+I2523+1)</f>
        <v/>
      </c>
      <c r="L2523" s="0" t="str">
        <f aca="false">IF(K2523="","",MATCH(K2523,$F$2:$F$5001,0))</f>
        <v/>
      </c>
      <c r="M2523" s="0" t="str">
        <f aca="false">IF(I2523="","",INDEX(הגדרות!$A$2:$A$21,MOD(I2523+הגדרות!$E$9,הגדרות!$E$6)+1))</f>
        <v/>
      </c>
    </row>
    <row r="2524" customFormat="false" ht="15" hidden="false" customHeight="false" outlineLevel="0" collapsed="false">
      <c r="A2524" s="0" t="str">
        <f aca="false">IF('הדבקת לידים'!A2524="","",IF(ISNUMBER('הדבקת לידים'!A2524),IF(הגדרות!$E$2&gt;0,TEXT('הדבקת לידים'!A2524,REPT("0",הגדרות!$E$2)),TEXT('הדבקת לידים'!A2524,"0")),TRIM('הדבקת לידים'!A2524)))</f>
        <v/>
      </c>
      <c r="B2524" s="0" t="str">
        <f aca="false">IF('הדבקת לידים'!B2524="","",IF(ISNUMBER('הדבקת לידים'!B2524),IF(הגדרות!$E$3&gt;0,TEXT('הדבקת לידים'!B2524,REPT("0",הגדרות!$E$3)),TEXT('הדבקת לידים'!B2524,"0")),TRIM('הדבקת לידים'!B2524)))</f>
        <v/>
      </c>
      <c r="C2524" s="0" t="n">
        <f aca="false">IF(OR(A2524&lt;&gt;"",B2524&lt;&gt;""),1,0)</f>
        <v>0</v>
      </c>
      <c r="D2524" s="0" t="str">
        <f aca="false">IF(C2524=1,MOD(ABS(SIN(ROW()*12.9898+'הדבקת לידים'!$F$2*78.233+IFERROR(--RIGHT(A2524,6),LEN(A2524))*0.0137+IFERROR(--RIGHT(B2524,6),LEN(B2524))*0.0071))*43758.5453,1),"")</f>
        <v/>
      </c>
      <c r="E2524" s="0" t="str">
        <f aca="false">IF(C2524=1,INT(MOD(ABS(SIN(D2524*7919.123+ROW()*0.618+'הדבקת לידים'!$F$2*1.3))*43758.5453,1)*1000000)*10000+ROW(),"")</f>
        <v/>
      </c>
      <c r="F2524" s="0" t="str">
        <f aca="false">IF(E2524="","",RANK(E2524,$E$2:$E$5001,1))</f>
        <v/>
      </c>
      <c r="G2524" s="0" t="n">
        <f aca="false">IF(A2524="",0,IF(SUMPRODUCT(--($A$2:$A$5001=A2524))&gt;1,1,0))</f>
        <v>0</v>
      </c>
      <c r="H2524" s="0" t="n">
        <f aca="false">ROW()-1</f>
        <v>2523</v>
      </c>
      <c r="I2524" s="0" t="str">
        <f aca="false">IF(OR(הגדרות!$E$6=0,H2524&gt;הגדרות!$E$5),"",IF(H2524-1&lt;הגדרות!$E$8*(הגדרות!$E$7+1),INT((H2524-1)/(הגדרות!$E$7+1)),הגדרות!$E$8+INT((H2524-1-הגדרות!$E$8*(הגדרות!$E$7+1))/הגדרות!$E$7)))</f>
        <v/>
      </c>
      <c r="J2524" s="0" t="str">
        <f aca="false">IF(I2524="","",IF(H2524-1&lt;הגדרות!$E$8*(הגדרות!$E$7+1),MOD(H2524-1,הגדרות!$E$7+1),MOD(H2524-1-הגדרות!$E$8*(הגדרות!$E$7+1),הגדרות!$E$7)))</f>
        <v/>
      </c>
      <c r="K2524" s="0" t="str">
        <f aca="false">IF(I2524="","",J2524*הגדרות!$E$6+I2524+1)</f>
        <v/>
      </c>
      <c r="L2524" s="0" t="str">
        <f aca="false">IF(K2524="","",MATCH(K2524,$F$2:$F$5001,0))</f>
        <v/>
      </c>
      <c r="M2524" s="0" t="str">
        <f aca="false">IF(I2524="","",INDEX(הגדרות!$A$2:$A$21,MOD(I2524+הגדרות!$E$9,הגדרות!$E$6)+1))</f>
        <v/>
      </c>
    </row>
    <row r="2525" customFormat="false" ht="15" hidden="false" customHeight="false" outlineLevel="0" collapsed="false">
      <c r="A2525" s="0" t="str">
        <f aca="false">IF('הדבקת לידים'!A2525="","",IF(ISNUMBER('הדבקת לידים'!A2525),IF(הגדרות!$E$2&gt;0,TEXT('הדבקת לידים'!A2525,REPT("0",הגדרות!$E$2)),TEXT('הדבקת לידים'!A2525,"0")),TRIM('הדבקת לידים'!A2525)))</f>
        <v/>
      </c>
      <c r="B2525" s="0" t="str">
        <f aca="false">IF('הדבקת לידים'!B2525="","",IF(ISNUMBER('הדבקת לידים'!B2525),IF(הגדרות!$E$3&gt;0,TEXT('הדבקת לידים'!B2525,REPT("0",הגדרות!$E$3)),TEXT('הדבקת לידים'!B2525,"0")),TRIM('הדבקת לידים'!B2525)))</f>
        <v/>
      </c>
      <c r="C2525" s="0" t="n">
        <f aca="false">IF(OR(A2525&lt;&gt;"",B2525&lt;&gt;""),1,0)</f>
        <v>0</v>
      </c>
      <c r="D2525" s="0" t="str">
        <f aca="false">IF(C2525=1,MOD(ABS(SIN(ROW()*12.9898+'הדבקת לידים'!$F$2*78.233+IFERROR(--RIGHT(A2525,6),LEN(A2525))*0.0137+IFERROR(--RIGHT(B2525,6),LEN(B2525))*0.0071))*43758.5453,1),"")</f>
        <v/>
      </c>
      <c r="E2525" s="0" t="str">
        <f aca="false">IF(C2525=1,INT(MOD(ABS(SIN(D2525*7919.123+ROW()*0.618+'הדבקת לידים'!$F$2*1.3))*43758.5453,1)*1000000)*10000+ROW(),"")</f>
        <v/>
      </c>
      <c r="F2525" s="0" t="str">
        <f aca="false">IF(E2525="","",RANK(E2525,$E$2:$E$5001,1))</f>
        <v/>
      </c>
      <c r="G2525" s="0" t="n">
        <f aca="false">IF(A2525="",0,IF(SUMPRODUCT(--($A$2:$A$5001=A2525))&gt;1,1,0))</f>
        <v>0</v>
      </c>
      <c r="H2525" s="0" t="n">
        <f aca="false">ROW()-1</f>
        <v>2524</v>
      </c>
      <c r="I2525" s="0" t="str">
        <f aca="false">IF(OR(הגדרות!$E$6=0,H2525&gt;הגדרות!$E$5),"",IF(H2525-1&lt;הגדרות!$E$8*(הגדרות!$E$7+1),INT((H2525-1)/(הגדרות!$E$7+1)),הגדרות!$E$8+INT((H2525-1-הגדרות!$E$8*(הגדרות!$E$7+1))/הגדרות!$E$7)))</f>
        <v/>
      </c>
      <c r="J2525" s="0" t="str">
        <f aca="false">IF(I2525="","",IF(H2525-1&lt;הגדרות!$E$8*(הגדרות!$E$7+1),MOD(H2525-1,הגדרות!$E$7+1),MOD(H2525-1-הגדרות!$E$8*(הגדרות!$E$7+1),הגדרות!$E$7)))</f>
        <v/>
      </c>
      <c r="K2525" s="0" t="str">
        <f aca="false">IF(I2525="","",J2525*הגדרות!$E$6+I2525+1)</f>
        <v/>
      </c>
      <c r="L2525" s="0" t="str">
        <f aca="false">IF(K2525="","",MATCH(K2525,$F$2:$F$5001,0))</f>
        <v/>
      </c>
      <c r="M2525" s="0" t="str">
        <f aca="false">IF(I2525="","",INDEX(הגדרות!$A$2:$A$21,MOD(I2525+הגדרות!$E$9,הגדרות!$E$6)+1))</f>
        <v/>
      </c>
    </row>
    <row r="2526" customFormat="false" ht="15" hidden="false" customHeight="false" outlineLevel="0" collapsed="false">
      <c r="A2526" s="0" t="str">
        <f aca="false">IF('הדבקת לידים'!A2526="","",IF(ISNUMBER('הדבקת לידים'!A2526),IF(הגדרות!$E$2&gt;0,TEXT('הדבקת לידים'!A2526,REPT("0",הגדרות!$E$2)),TEXT('הדבקת לידים'!A2526,"0")),TRIM('הדבקת לידים'!A2526)))</f>
        <v/>
      </c>
      <c r="B2526" s="0" t="str">
        <f aca="false">IF('הדבקת לידים'!B2526="","",IF(ISNUMBER('הדבקת לידים'!B2526),IF(הגדרות!$E$3&gt;0,TEXT('הדבקת לידים'!B2526,REPT("0",הגדרות!$E$3)),TEXT('הדבקת לידים'!B2526,"0")),TRIM('הדבקת לידים'!B2526)))</f>
        <v/>
      </c>
      <c r="C2526" s="0" t="n">
        <f aca="false">IF(OR(A2526&lt;&gt;"",B2526&lt;&gt;""),1,0)</f>
        <v>0</v>
      </c>
      <c r="D2526" s="0" t="str">
        <f aca="false">IF(C2526=1,MOD(ABS(SIN(ROW()*12.9898+'הדבקת לידים'!$F$2*78.233+IFERROR(--RIGHT(A2526,6),LEN(A2526))*0.0137+IFERROR(--RIGHT(B2526,6),LEN(B2526))*0.0071))*43758.5453,1),"")</f>
        <v/>
      </c>
      <c r="E2526" s="0" t="str">
        <f aca="false">IF(C2526=1,INT(MOD(ABS(SIN(D2526*7919.123+ROW()*0.618+'הדבקת לידים'!$F$2*1.3))*43758.5453,1)*1000000)*10000+ROW(),"")</f>
        <v/>
      </c>
      <c r="F2526" s="0" t="str">
        <f aca="false">IF(E2526="","",RANK(E2526,$E$2:$E$5001,1))</f>
        <v/>
      </c>
      <c r="G2526" s="0" t="n">
        <f aca="false">IF(A2526="",0,IF(SUMPRODUCT(--($A$2:$A$5001=A2526))&gt;1,1,0))</f>
        <v>0</v>
      </c>
      <c r="H2526" s="0" t="n">
        <f aca="false">ROW()-1</f>
        <v>2525</v>
      </c>
      <c r="I2526" s="0" t="str">
        <f aca="false">IF(OR(הגדרות!$E$6=0,H2526&gt;הגדרות!$E$5),"",IF(H2526-1&lt;הגדרות!$E$8*(הגדרות!$E$7+1),INT((H2526-1)/(הגדרות!$E$7+1)),הגדרות!$E$8+INT((H2526-1-הגדרות!$E$8*(הגדרות!$E$7+1))/הגדרות!$E$7)))</f>
        <v/>
      </c>
      <c r="J2526" s="0" t="str">
        <f aca="false">IF(I2526="","",IF(H2526-1&lt;הגדרות!$E$8*(הגדרות!$E$7+1),MOD(H2526-1,הגדרות!$E$7+1),MOD(H2526-1-הגדרות!$E$8*(הגדרות!$E$7+1),הגדרות!$E$7)))</f>
        <v/>
      </c>
      <c r="K2526" s="0" t="str">
        <f aca="false">IF(I2526="","",J2526*הגדרות!$E$6+I2526+1)</f>
        <v/>
      </c>
      <c r="L2526" s="0" t="str">
        <f aca="false">IF(K2526="","",MATCH(K2526,$F$2:$F$5001,0))</f>
        <v/>
      </c>
      <c r="M2526" s="0" t="str">
        <f aca="false">IF(I2526="","",INDEX(הגדרות!$A$2:$A$21,MOD(I2526+הגדרות!$E$9,הגדרות!$E$6)+1))</f>
        <v/>
      </c>
    </row>
    <row r="2527" customFormat="false" ht="15" hidden="false" customHeight="false" outlineLevel="0" collapsed="false">
      <c r="A2527" s="0" t="str">
        <f aca="false">IF('הדבקת לידים'!A2527="","",IF(ISNUMBER('הדבקת לידים'!A2527),IF(הגדרות!$E$2&gt;0,TEXT('הדבקת לידים'!A2527,REPT("0",הגדרות!$E$2)),TEXT('הדבקת לידים'!A2527,"0")),TRIM('הדבקת לידים'!A2527)))</f>
        <v/>
      </c>
      <c r="B2527" s="0" t="str">
        <f aca="false">IF('הדבקת לידים'!B2527="","",IF(ISNUMBER('הדבקת לידים'!B2527),IF(הגדרות!$E$3&gt;0,TEXT('הדבקת לידים'!B2527,REPT("0",הגדרות!$E$3)),TEXT('הדבקת לידים'!B2527,"0")),TRIM('הדבקת לידים'!B2527)))</f>
        <v/>
      </c>
      <c r="C2527" s="0" t="n">
        <f aca="false">IF(OR(A2527&lt;&gt;"",B2527&lt;&gt;""),1,0)</f>
        <v>0</v>
      </c>
      <c r="D2527" s="0" t="str">
        <f aca="false">IF(C2527=1,MOD(ABS(SIN(ROW()*12.9898+'הדבקת לידים'!$F$2*78.233+IFERROR(--RIGHT(A2527,6),LEN(A2527))*0.0137+IFERROR(--RIGHT(B2527,6),LEN(B2527))*0.0071))*43758.5453,1),"")</f>
        <v/>
      </c>
      <c r="E2527" s="0" t="str">
        <f aca="false">IF(C2527=1,INT(MOD(ABS(SIN(D2527*7919.123+ROW()*0.618+'הדבקת לידים'!$F$2*1.3))*43758.5453,1)*1000000)*10000+ROW(),"")</f>
        <v/>
      </c>
      <c r="F2527" s="0" t="str">
        <f aca="false">IF(E2527="","",RANK(E2527,$E$2:$E$5001,1))</f>
        <v/>
      </c>
      <c r="G2527" s="0" t="n">
        <f aca="false">IF(A2527="",0,IF(SUMPRODUCT(--($A$2:$A$5001=A2527))&gt;1,1,0))</f>
        <v>0</v>
      </c>
      <c r="H2527" s="0" t="n">
        <f aca="false">ROW()-1</f>
        <v>2526</v>
      </c>
      <c r="I2527" s="0" t="str">
        <f aca="false">IF(OR(הגדרות!$E$6=0,H2527&gt;הגדרות!$E$5),"",IF(H2527-1&lt;הגדרות!$E$8*(הגדרות!$E$7+1),INT((H2527-1)/(הגדרות!$E$7+1)),הגדרות!$E$8+INT((H2527-1-הגדרות!$E$8*(הגדרות!$E$7+1))/הגדרות!$E$7)))</f>
        <v/>
      </c>
      <c r="J2527" s="0" t="str">
        <f aca="false">IF(I2527="","",IF(H2527-1&lt;הגדרות!$E$8*(הגדרות!$E$7+1),MOD(H2527-1,הגדרות!$E$7+1),MOD(H2527-1-הגדרות!$E$8*(הגדרות!$E$7+1),הגדרות!$E$7)))</f>
        <v/>
      </c>
      <c r="K2527" s="0" t="str">
        <f aca="false">IF(I2527="","",J2527*הגדרות!$E$6+I2527+1)</f>
        <v/>
      </c>
      <c r="L2527" s="0" t="str">
        <f aca="false">IF(K2527="","",MATCH(K2527,$F$2:$F$5001,0))</f>
        <v/>
      </c>
      <c r="M2527" s="0" t="str">
        <f aca="false">IF(I2527="","",INDEX(הגדרות!$A$2:$A$21,MOD(I2527+הגדרות!$E$9,הגדרות!$E$6)+1))</f>
        <v/>
      </c>
    </row>
    <row r="2528" customFormat="false" ht="15" hidden="false" customHeight="false" outlineLevel="0" collapsed="false">
      <c r="A2528" s="0" t="str">
        <f aca="false">IF('הדבקת לידים'!A2528="","",IF(ISNUMBER('הדבקת לידים'!A2528),IF(הגדרות!$E$2&gt;0,TEXT('הדבקת לידים'!A2528,REPT("0",הגדרות!$E$2)),TEXT('הדבקת לידים'!A2528,"0")),TRIM('הדבקת לידים'!A2528)))</f>
        <v/>
      </c>
      <c r="B2528" s="0" t="str">
        <f aca="false">IF('הדבקת לידים'!B2528="","",IF(ISNUMBER('הדבקת לידים'!B2528),IF(הגדרות!$E$3&gt;0,TEXT('הדבקת לידים'!B2528,REPT("0",הגדרות!$E$3)),TEXT('הדבקת לידים'!B2528,"0")),TRIM('הדבקת לידים'!B2528)))</f>
        <v/>
      </c>
      <c r="C2528" s="0" t="n">
        <f aca="false">IF(OR(A2528&lt;&gt;"",B2528&lt;&gt;""),1,0)</f>
        <v>0</v>
      </c>
      <c r="D2528" s="0" t="str">
        <f aca="false">IF(C2528=1,MOD(ABS(SIN(ROW()*12.9898+'הדבקת לידים'!$F$2*78.233+IFERROR(--RIGHT(A2528,6),LEN(A2528))*0.0137+IFERROR(--RIGHT(B2528,6),LEN(B2528))*0.0071))*43758.5453,1),"")</f>
        <v/>
      </c>
      <c r="E2528" s="0" t="str">
        <f aca="false">IF(C2528=1,INT(MOD(ABS(SIN(D2528*7919.123+ROW()*0.618+'הדבקת לידים'!$F$2*1.3))*43758.5453,1)*1000000)*10000+ROW(),"")</f>
        <v/>
      </c>
      <c r="F2528" s="0" t="str">
        <f aca="false">IF(E2528="","",RANK(E2528,$E$2:$E$5001,1))</f>
        <v/>
      </c>
      <c r="G2528" s="0" t="n">
        <f aca="false">IF(A2528="",0,IF(SUMPRODUCT(--($A$2:$A$5001=A2528))&gt;1,1,0))</f>
        <v>0</v>
      </c>
      <c r="H2528" s="0" t="n">
        <f aca="false">ROW()-1</f>
        <v>2527</v>
      </c>
      <c r="I2528" s="0" t="str">
        <f aca="false">IF(OR(הגדרות!$E$6=0,H2528&gt;הגדרות!$E$5),"",IF(H2528-1&lt;הגדרות!$E$8*(הגדרות!$E$7+1),INT((H2528-1)/(הגדרות!$E$7+1)),הגדרות!$E$8+INT((H2528-1-הגדרות!$E$8*(הגדרות!$E$7+1))/הגדרות!$E$7)))</f>
        <v/>
      </c>
      <c r="J2528" s="0" t="str">
        <f aca="false">IF(I2528="","",IF(H2528-1&lt;הגדרות!$E$8*(הגדרות!$E$7+1),MOD(H2528-1,הגדרות!$E$7+1),MOD(H2528-1-הגדרות!$E$8*(הגדרות!$E$7+1),הגדרות!$E$7)))</f>
        <v/>
      </c>
      <c r="K2528" s="0" t="str">
        <f aca="false">IF(I2528="","",J2528*הגדרות!$E$6+I2528+1)</f>
        <v/>
      </c>
      <c r="L2528" s="0" t="str">
        <f aca="false">IF(K2528="","",MATCH(K2528,$F$2:$F$5001,0))</f>
        <v/>
      </c>
      <c r="M2528" s="0" t="str">
        <f aca="false">IF(I2528="","",INDEX(הגדרות!$A$2:$A$21,MOD(I2528+הגדרות!$E$9,הגדרות!$E$6)+1))</f>
        <v/>
      </c>
    </row>
    <row r="2529" customFormat="false" ht="15" hidden="false" customHeight="false" outlineLevel="0" collapsed="false">
      <c r="A2529" s="0" t="str">
        <f aca="false">IF('הדבקת לידים'!A2529="","",IF(ISNUMBER('הדבקת לידים'!A2529),IF(הגדרות!$E$2&gt;0,TEXT('הדבקת לידים'!A2529,REPT("0",הגדרות!$E$2)),TEXT('הדבקת לידים'!A2529,"0")),TRIM('הדבקת לידים'!A2529)))</f>
        <v/>
      </c>
      <c r="B2529" s="0" t="str">
        <f aca="false">IF('הדבקת לידים'!B2529="","",IF(ISNUMBER('הדבקת לידים'!B2529),IF(הגדרות!$E$3&gt;0,TEXT('הדבקת לידים'!B2529,REPT("0",הגדרות!$E$3)),TEXT('הדבקת לידים'!B2529,"0")),TRIM('הדבקת לידים'!B2529)))</f>
        <v/>
      </c>
      <c r="C2529" s="0" t="n">
        <f aca="false">IF(OR(A2529&lt;&gt;"",B2529&lt;&gt;""),1,0)</f>
        <v>0</v>
      </c>
      <c r="D2529" s="0" t="str">
        <f aca="false">IF(C2529=1,MOD(ABS(SIN(ROW()*12.9898+'הדבקת לידים'!$F$2*78.233+IFERROR(--RIGHT(A2529,6),LEN(A2529))*0.0137+IFERROR(--RIGHT(B2529,6),LEN(B2529))*0.0071))*43758.5453,1),"")</f>
        <v/>
      </c>
      <c r="E2529" s="0" t="str">
        <f aca="false">IF(C2529=1,INT(MOD(ABS(SIN(D2529*7919.123+ROW()*0.618+'הדבקת לידים'!$F$2*1.3))*43758.5453,1)*1000000)*10000+ROW(),"")</f>
        <v/>
      </c>
      <c r="F2529" s="0" t="str">
        <f aca="false">IF(E2529="","",RANK(E2529,$E$2:$E$5001,1))</f>
        <v/>
      </c>
      <c r="G2529" s="0" t="n">
        <f aca="false">IF(A2529="",0,IF(SUMPRODUCT(--($A$2:$A$5001=A2529))&gt;1,1,0))</f>
        <v>0</v>
      </c>
      <c r="H2529" s="0" t="n">
        <f aca="false">ROW()-1</f>
        <v>2528</v>
      </c>
      <c r="I2529" s="0" t="str">
        <f aca="false">IF(OR(הגדרות!$E$6=0,H2529&gt;הגדרות!$E$5),"",IF(H2529-1&lt;הגדרות!$E$8*(הגדרות!$E$7+1),INT((H2529-1)/(הגדרות!$E$7+1)),הגדרות!$E$8+INT((H2529-1-הגדרות!$E$8*(הגדרות!$E$7+1))/הגדרות!$E$7)))</f>
        <v/>
      </c>
      <c r="J2529" s="0" t="str">
        <f aca="false">IF(I2529="","",IF(H2529-1&lt;הגדרות!$E$8*(הגדרות!$E$7+1),MOD(H2529-1,הגדרות!$E$7+1),MOD(H2529-1-הגדרות!$E$8*(הגדרות!$E$7+1),הגדרות!$E$7)))</f>
        <v/>
      </c>
      <c r="K2529" s="0" t="str">
        <f aca="false">IF(I2529="","",J2529*הגדרות!$E$6+I2529+1)</f>
        <v/>
      </c>
      <c r="L2529" s="0" t="str">
        <f aca="false">IF(K2529="","",MATCH(K2529,$F$2:$F$5001,0))</f>
        <v/>
      </c>
      <c r="M2529" s="0" t="str">
        <f aca="false">IF(I2529="","",INDEX(הגדרות!$A$2:$A$21,MOD(I2529+הגדרות!$E$9,הגדרות!$E$6)+1))</f>
        <v/>
      </c>
    </row>
    <row r="2530" customFormat="false" ht="15" hidden="false" customHeight="false" outlineLevel="0" collapsed="false">
      <c r="A2530" s="0" t="str">
        <f aca="false">IF('הדבקת לידים'!A2530="","",IF(ISNUMBER('הדבקת לידים'!A2530),IF(הגדרות!$E$2&gt;0,TEXT('הדבקת לידים'!A2530,REPT("0",הגדרות!$E$2)),TEXT('הדבקת לידים'!A2530,"0")),TRIM('הדבקת לידים'!A2530)))</f>
        <v/>
      </c>
      <c r="B2530" s="0" t="str">
        <f aca="false">IF('הדבקת לידים'!B2530="","",IF(ISNUMBER('הדבקת לידים'!B2530),IF(הגדרות!$E$3&gt;0,TEXT('הדבקת לידים'!B2530,REPT("0",הגדרות!$E$3)),TEXT('הדבקת לידים'!B2530,"0")),TRIM('הדבקת לידים'!B2530)))</f>
        <v/>
      </c>
      <c r="C2530" s="0" t="n">
        <f aca="false">IF(OR(A2530&lt;&gt;"",B2530&lt;&gt;""),1,0)</f>
        <v>0</v>
      </c>
      <c r="D2530" s="0" t="str">
        <f aca="false">IF(C2530=1,MOD(ABS(SIN(ROW()*12.9898+'הדבקת לידים'!$F$2*78.233+IFERROR(--RIGHT(A2530,6),LEN(A2530))*0.0137+IFERROR(--RIGHT(B2530,6),LEN(B2530))*0.0071))*43758.5453,1),"")</f>
        <v/>
      </c>
      <c r="E2530" s="0" t="str">
        <f aca="false">IF(C2530=1,INT(MOD(ABS(SIN(D2530*7919.123+ROW()*0.618+'הדבקת לידים'!$F$2*1.3))*43758.5453,1)*1000000)*10000+ROW(),"")</f>
        <v/>
      </c>
      <c r="F2530" s="0" t="str">
        <f aca="false">IF(E2530="","",RANK(E2530,$E$2:$E$5001,1))</f>
        <v/>
      </c>
      <c r="G2530" s="0" t="n">
        <f aca="false">IF(A2530="",0,IF(SUMPRODUCT(--($A$2:$A$5001=A2530))&gt;1,1,0))</f>
        <v>0</v>
      </c>
      <c r="H2530" s="0" t="n">
        <f aca="false">ROW()-1</f>
        <v>2529</v>
      </c>
      <c r="I2530" s="0" t="str">
        <f aca="false">IF(OR(הגדרות!$E$6=0,H2530&gt;הגדרות!$E$5),"",IF(H2530-1&lt;הגדרות!$E$8*(הגדרות!$E$7+1),INT((H2530-1)/(הגדרות!$E$7+1)),הגדרות!$E$8+INT((H2530-1-הגדרות!$E$8*(הגדרות!$E$7+1))/הגדרות!$E$7)))</f>
        <v/>
      </c>
      <c r="J2530" s="0" t="str">
        <f aca="false">IF(I2530="","",IF(H2530-1&lt;הגדרות!$E$8*(הגדרות!$E$7+1),MOD(H2530-1,הגדרות!$E$7+1),MOD(H2530-1-הגדרות!$E$8*(הגדרות!$E$7+1),הגדרות!$E$7)))</f>
        <v/>
      </c>
      <c r="K2530" s="0" t="str">
        <f aca="false">IF(I2530="","",J2530*הגדרות!$E$6+I2530+1)</f>
        <v/>
      </c>
      <c r="L2530" s="0" t="str">
        <f aca="false">IF(K2530="","",MATCH(K2530,$F$2:$F$5001,0))</f>
        <v/>
      </c>
      <c r="M2530" s="0" t="str">
        <f aca="false">IF(I2530="","",INDEX(הגדרות!$A$2:$A$21,MOD(I2530+הגדרות!$E$9,הגדרות!$E$6)+1))</f>
        <v/>
      </c>
    </row>
    <row r="2531" customFormat="false" ht="15" hidden="false" customHeight="false" outlineLevel="0" collapsed="false">
      <c r="A2531" s="0" t="str">
        <f aca="false">IF('הדבקת לידים'!A2531="","",IF(ISNUMBER('הדבקת לידים'!A2531),IF(הגדרות!$E$2&gt;0,TEXT('הדבקת לידים'!A2531,REPT("0",הגדרות!$E$2)),TEXT('הדבקת לידים'!A2531,"0")),TRIM('הדבקת לידים'!A2531)))</f>
        <v/>
      </c>
      <c r="B2531" s="0" t="str">
        <f aca="false">IF('הדבקת לידים'!B2531="","",IF(ISNUMBER('הדבקת לידים'!B2531),IF(הגדרות!$E$3&gt;0,TEXT('הדבקת לידים'!B2531,REPT("0",הגדרות!$E$3)),TEXT('הדבקת לידים'!B2531,"0")),TRIM('הדבקת לידים'!B2531)))</f>
        <v/>
      </c>
      <c r="C2531" s="0" t="n">
        <f aca="false">IF(OR(A2531&lt;&gt;"",B2531&lt;&gt;""),1,0)</f>
        <v>0</v>
      </c>
      <c r="D2531" s="0" t="str">
        <f aca="false">IF(C2531=1,MOD(ABS(SIN(ROW()*12.9898+'הדבקת לידים'!$F$2*78.233+IFERROR(--RIGHT(A2531,6),LEN(A2531))*0.0137+IFERROR(--RIGHT(B2531,6),LEN(B2531))*0.0071))*43758.5453,1),"")</f>
        <v/>
      </c>
      <c r="E2531" s="0" t="str">
        <f aca="false">IF(C2531=1,INT(MOD(ABS(SIN(D2531*7919.123+ROW()*0.618+'הדבקת לידים'!$F$2*1.3))*43758.5453,1)*1000000)*10000+ROW(),"")</f>
        <v/>
      </c>
      <c r="F2531" s="0" t="str">
        <f aca="false">IF(E2531="","",RANK(E2531,$E$2:$E$5001,1))</f>
        <v/>
      </c>
      <c r="G2531" s="0" t="n">
        <f aca="false">IF(A2531="",0,IF(SUMPRODUCT(--($A$2:$A$5001=A2531))&gt;1,1,0))</f>
        <v>0</v>
      </c>
      <c r="H2531" s="0" t="n">
        <f aca="false">ROW()-1</f>
        <v>2530</v>
      </c>
      <c r="I2531" s="0" t="str">
        <f aca="false">IF(OR(הגדרות!$E$6=0,H2531&gt;הגדרות!$E$5),"",IF(H2531-1&lt;הגדרות!$E$8*(הגדרות!$E$7+1),INT((H2531-1)/(הגדרות!$E$7+1)),הגדרות!$E$8+INT((H2531-1-הגדרות!$E$8*(הגדרות!$E$7+1))/הגדרות!$E$7)))</f>
        <v/>
      </c>
      <c r="J2531" s="0" t="str">
        <f aca="false">IF(I2531="","",IF(H2531-1&lt;הגדרות!$E$8*(הגדרות!$E$7+1),MOD(H2531-1,הגדרות!$E$7+1),MOD(H2531-1-הגדרות!$E$8*(הגדרות!$E$7+1),הגדרות!$E$7)))</f>
        <v/>
      </c>
      <c r="K2531" s="0" t="str">
        <f aca="false">IF(I2531="","",J2531*הגדרות!$E$6+I2531+1)</f>
        <v/>
      </c>
      <c r="L2531" s="0" t="str">
        <f aca="false">IF(K2531="","",MATCH(K2531,$F$2:$F$5001,0))</f>
        <v/>
      </c>
      <c r="M2531" s="0" t="str">
        <f aca="false">IF(I2531="","",INDEX(הגדרות!$A$2:$A$21,MOD(I2531+הגדרות!$E$9,הגדרות!$E$6)+1))</f>
        <v/>
      </c>
    </row>
    <row r="2532" customFormat="false" ht="15" hidden="false" customHeight="false" outlineLevel="0" collapsed="false">
      <c r="A2532" s="0" t="str">
        <f aca="false">IF('הדבקת לידים'!A2532="","",IF(ISNUMBER('הדבקת לידים'!A2532),IF(הגדרות!$E$2&gt;0,TEXT('הדבקת לידים'!A2532,REPT("0",הגדרות!$E$2)),TEXT('הדבקת לידים'!A2532,"0")),TRIM('הדבקת לידים'!A2532)))</f>
        <v/>
      </c>
      <c r="B2532" s="0" t="str">
        <f aca="false">IF('הדבקת לידים'!B2532="","",IF(ISNUMBER('הדבקת לידים'!B2532),IF(הגדרות!$E$3&gt;0,TEXT('הדבקת לידים'!B2532,REPT("0",הגדרות!$E$3)),TEXT('הדבקת לידים'!B2532,"0")),TRIM('הדבקת לידים'!B2532)))</f>
        <v/>
      </c>
      <c r="C2532" s="0" t="n">
        <f aca="false">IF(OR(A2532&lt;&gt;"",B2532&lt;&gt;""),1,0)</f>
        <v>0</v>
      </c>
      <c r="D2532" s="0" t="str">
        <f aca="false">IF(C2532=1,MOD(ABS(SIN(ROW()*12.9898+'הדבקת לידים'!$F$2*78.233+IFERROR(--RIGHT(A2532,6),LEN(A2532))*0.0137+IFERROR(--RIGHT(B2532,6),LEN(B2532))*0.0071))*43758.5453,1),"")</f>
        <v/>
      </c>
      <c r="E2532" s="0" t="str">
        <f aca="false">IF(C2532=1,INT(MOD(ABS(SIN(D2532*7919.123+ROW()*0.618+'הדבקת לידים'!$F$2*1.3))*43758.5453,1)*1000000)*10000+ROW(),"")</f>
        <v/>
      </c>
      <c r="F2532" s="0" t="str">
        <f aca="false">IF(E2532="","",RANK(E2532,$E$2:$E$5001,1))</f>
        <v/>
      </c>
      <c r="G2532" s="0" t="n">
        <f aca="false">IF(A2532="",0,IF(SUMPRODUCT(--($A$2:$A$5001=A2532))&gt;1,1,0))</f>
        <v>0</v>
      </c>
      <c r="H2532" s="0" t="n">
        <f aca="false">ROW()-1</f>
        <v>2531</v>
      </c>
      <c r="I2532" s="0" t="str">
        <f aca="false">IF(OR(הגדרות!$E$6=0,H2532&gt;הגדרות!$E$5),"",IF(H2532-1&lt;הגדרות!$E$8*(הגדרות!$E$7+1),INT((H2532-1)/(הגדרות!$E$7+1)),הגדרות!$E$8+INT((H2532-1-הגדרות!$E$8*(הגדרות!$E$7+1))/הגדרות!$E$7)))</f>
        <v/>
      </c>
      <c r="J2532" s="0" t="str">
        <f aca="false">IF(I2532="","",IF(H2532-1&lt;הגדרות!$E$8*(הגדרות!$E$7+1),MOD(H2532-1,הגדרות!$E$7+1),MOD(H2532-1-הגדרות!$E$8*(הגדרות!$E$7+1),הגדרות!$E$7)))</f>
        <v/>
      </c>
      <c r="K2532" s="0" t="str">
        <f aca="false">IF(I2532="","",J2532*הגדרות!$E$6+I2532+1)</f>
        <v/>
      </c>
      <c r="L2532" s="0" t="str">
        <f aca="false">IF(K2532="","",MATCH(K2532,$F$2:$F$5001,0))</f>
        <v/>
      </c>
      <c r="M2532" s="0" t="str">
        <f aca="false">IF(I2532="","",INDEX(הגדרות!$A$2:$A$21,MOD(I2532+הגדרות!$E$9,הגדרות!$E$6)+1))</f>
        <v/>
      </c>
    </row>
    <row r="2533" customFormat="false" ht="15" hidden="false" customHeight="false" outlineLevel="0" collapsed="false">
      <c r="A2533" s="0" t="str">
        <f aca="false">IF('הדבקת לידים'!A2533="","",IF(ISNUMBER('הדבקת לידים'!A2533),IF(הגדרות!$E$2&gt;0,TEXT('הדבקת לידים'!A2533,REPT("0",הגדרות!$E$2)),TEXT('הדבקת לידים'!A2533,"0")),TRIM('הדבקת לידים'!A2533)))</f>
        <v/>
      </c>
      <c r="B2533" s="0" t="str">
        <f aca="false">IF('הדבקת לידים'!B2533="","",IF(ISNUMBER('הדבקת לידים'!B2533),IF(הגדרות!$E$3&gt;0,TEXT('הדבקת לידים'!B2533,REPT("0",הגדרות!$E$3)),TEXT('הדבקת לידים'!B2533,"0")),TRIM('הדבקת לידים'!B2533)))</f>
        <v/>
      </c>
      <c r="C2533" s="0" t="n">
        <f aca="false">IF(OR(A2533&lt;&gt;"",B2533&lt;&gt;""),1,0)</f>
        <v>0</v>
      </c>
      <c r="D2533" s="0" t="str">
        <f aca="false">IF(C2533=1,MOD(ABS(SIN(ROW()*12.9898+'הדבקת לידים'!$F$2*78.233+IFERROR(--RIGHT(A2533,6),LEN(A2533))*0.0137+IFERROR(--RIGHT(B2533,6),LEN(B2533))*0.0071))*43758.5453,1),"")</f>
        <v/>
      </c>
      <c r="E2533" s="0" t="str">
        <f aca="false">IF(C2533=1,INT(MOD(ABS(SIN(D2533*7919.123+ROW()*0.618+'הדבקת לידים'!$F$2*1.3))*43758.5453,1)*1000000)*10000+ROW(),"")</f>
        <v/>
      </c>
      <c r="F2533" s="0" t="str">
        <f aca="false">IF(E2533="","",RANK(E2533,$E$2:$E$5001,1))</f>
        <v/>
      </c>
      <c r="G2533" s="0" t="n">
        <f aca="false">IF(A2533="",0,IF(SUMPRODUCT(--($A$2:$A$5001=A2533))&gt;1,1,0))</f>
        <v>0</v>
      </c>
      <c r="H2533" s="0" t="n">
        <f aca="false">ROW()-1</f>
        <v>2532</v>
      </c>
      <c r="I2533" s="0" t="str">
        <f aca="false">IF(OR(הגדרות!$E$6=0,H2533&gt;הגדרות!$E$5),"",IF(H2533-1&lt;הגדרות!$E$8*(הגדרות!$E$7+1),INT((H2533-1)/(הגדרות!$E$7+1)),הגדרות!$E$8+INT((H2533-1-הגדרות!$E$8*(הגדרות!$E$7+1))/הגדרות!$E$7)))</f>
        <v/>
      </c>
      <c r="J2533" s="0" t="str">
        <f aca="false">IF(I2533="","",IF(H2533-1&lt;הגדרות!$E$8*(הגדרות!$E$7+1),MOD(H2533-1,הגדרות!$E$7+1),MOD(H2533-1-הגדרות!$E$8*(הגדרות!$E$7+1),הגדרות!$E$7)))</f>
        <v/>
      </c>
      <c r="K2533" s="0" t="str">
        <f aca="false">IF(I2533="","",J2533*הגדרות!$E$6+I2533+1)</f>
        <v/>
      </c>
      <c r="L2533" s="0" t="str">
        <f aca="false">IF(K2533="","",MATCH(K2533,$F$2:$F$5001,0))</f>
        <v/>
      </c>
      <c r="M2533" s="0" t="str">
        <f aca="false">IF(I2533="","",INDEX(הגדרות!$A$2:$A$21,MOD(I2533+הגדרות!$E$9,הגדרות!$E$6)+1))</f>
        <v/>
      </c>
    </row>
    <row r="2534" customFormat="false" ht="15" hidden="false" customHeight="false" outlineLevel="0" collapsed="false">
      <c r="A2534" s="0" t="str">
        <f aca="false">IF('הדבקת לידים'!A2534="","",IF(ISNUMBER('הדבקת לידים'!A2534),IF(הגדרות!$E$2&gt;0,TEXT('הדבקת לידים'!A2534,REPT("0",הגדרות!$E$2)),TEXT('הדבקת לידים'!A2534,"0")),TRIM('הדבקת לידים'!A2534)))</f>
        <v/>
      </c>
      <c r="B2534" s="0" t="str">
        <f aca="false">IF('הדבקת לידים'!B2534="","",IF(ISNUMBER('הדבקת לידים'!B2534),IF(הגדרות!$E$3&gt;0,TEXT('הדבקת לידים'!B2534,REPT("0",הגדרות!$E$3)),TEXT('הדבקת לידים'!B2534,"0")),TRIM('הדבקת לידים'!B2534)))</f>
        <v/>
      </c>
      <c r="C2534" s="0" t="n">
        <f aca="false">IF(OR(A2534&lt;&gt;"",B2534&lt;&gt;""),1,0)</f>
        <v>0</v>
      </c>
      <c r="D2534" s="0" t="str">
        <f aca="false">IF(C2534=1,MOD(ABS(SIN(ROW()*12.9898+'הדבקת לידים'!$F$2*78.233+IFERROR(--RIGHT(A2534,6),LEN(A2534))*0.0137+IFERROR(--RIGHT(B2534,6),LEN(B2534))*0.0071))*43758.5453,1),"")</f>
        <v/>
      </c>
      <c r="E2534" s="0" t="str">
        <f aca="false">IF(C2534=1,INT(MOD(ABS(SIN(D2534*7919.123+ROW()*0.618+'הדבקת לידים'!$F$2*1.3))*43758.5453,1)*1000000)*10000+ROW(),"")</f>
        <v/>
      </c>
      <c r="F2534" s="0" t="str">
        <f aca="false">IF(E2534="","",RANK(E2534,$E$2:$E$5001,1))</f>
        <v/>
      </c>
      <c r="G2534" s="0" t="n">
        <f aca="false">IF(A2534="",0,IF(SUMPRODUCT(--($A$2:$A$5001=A2534))&gt;1,1,0))</f>
        <v>0</v>
      </c>
      <c r="H2534" s="0" t="n">
        <f aca="false">ROW()-1</f>
        <v>2533</v>
      </c>
      <c r="I2534" s="0" t="str">
        <f aca="false">IF(OR(הגדרות!$E$6=0,H2534&gt;הגדרות!$E$5),"",IF(H2534-1&lt;הגדרות!$E$8*(הגדרות!$E$7+1),INT((H2534-1)/(הגדרות!$E$7+1)),הגדרות!$E$8+INT((H2534-1-הגדרות!$E$8*(הגדרות!$E$7+1))/הגדרות!$E$7)))</f>
        <v/>
      </c>
      <c r="J2534" s="0" t="str">
        <f aca="false">IF(I2534="","",IF(H2534-1&lt;הגדרות!$E$8*(הגדרות!$E$7+1),MOD(H2534-1,הגדרות!$E$7+1),MOD(H2534-1-הגדרות!$E$8*(הגדרות!$E$7+1),הגדרות!$E$7)))</f>
        <v/>
      </c>
      <c r="K2534" s="0" t="str">
        <f aca="false">IF(I2534="","",J2534*הגדרות!$E$6+I2534+1)</f>
        <v/>
      </c>
      <c r="L2534" s="0" t="str">
        <f aca="false">IF(K2534="","",MATCH(K2534,$F$2:$F$5001,0))</f>
        <v/>
      </c>
      <c r="M2534" s="0" t="str">
        <f aca="false">IF(I2534="","",INDEX(הגדרות!$A$2:$A$21,MOD(I2534+הגדרות!$E$9,הגדרות!$E$6)+1))</f>
        <v/>
      </c>
    </row>
    <row r="2535" customFormat="false" ht="15" hidden="false" customHeight="false" outlineLevel="0" collapsed="false">
      <c r="A2535" s="0" t="str">
        <f aca="false">IF('הדבקת לידים'!A2535="","",IF(ISNUMBER('הדבקת לידים'!A2535),IF(הגדרות!$E$2&gt;0,TEXT('הדבקת לידים'!A2535,REPT("0",הגדרות!$E$2)),TEXT('הדבקת לידים'!A2535,"0")),TRIM('הדבקת לידים'!A2535)))</f>
        <v/>
      </c>
      <c r="B2535" s="0" t="str">
        <f aca="false">IF('הדבקת לידים'!B2535="","",IF(ISNUMBER('הדבקת לידים'!B2535),IF(הגדרות!$E$3&gt;0,TEXT('הדבקת לידים'!B2535,REPT("0",הגדרות!$E$3)),TEXT('הדבקת לידים'!B2535,"0")),TRIM('הדבקת לידים'!B2535)))</f>
        <v/>
      </c>
      <c r="C2535" s="0" t="n">
        <f aca="false">IF(OR(A2535&lt;&gt;"",B2535&lt;&gt;""),1,0)</f>
        <v>0</v>
      </c>
      <c r="D2535" s="0" t="str">
        <f aca="false">IF(C2535=1,MOD(ABS(SIN(ROW()*12.9898+'הדבקת לידים'!$F$2*78.233+IFERROR(--RIGHT(A2535,6),LEN(A2535))*0.0137+IFERROR(--RIGHT(B2535,6),LEN(B2535))*0.0071))*43758.5453,1),"")</f>
        <v/>
      </c>
      <c r="E2535" s="0" t="str">
        <f aca="false">IF(C2535=1,INT(MOD(ABS(SIN(D2535*7919.123+ROW()*0.618+'הדבקת לידים'!$F$2*1.3))*43758.5453,1)*1000000)*10000+ROW(),"")</f>
        <v/>
      </c>
      <c r="F2535" s="0" t="str">
        <f aca="false">IF(E2535="","",RANK(E2535,$E$2:$E$5001,1))</f>
        <v/>
      </c>
      <c r="G2535" s="0" t="n">
        <f aca="false">IF(A2535="",0,IF(SUMPRODUCT(--($A$2:$A$5001=A2535))&gt;1,1,0))</f>
        <v>0</v>
      </c>
      <c r="H2535" s="0" t="n">
        <f aca="false">ROW()-1</f>
        <v>2534</v>
      </c>
      <c r="I2535" s="0" t="str">
        <f aca="false">IF(OR(הגדרות!$E$6=0,H2535&gt;הגדרות!$E$5),"",IF(H2535-1&lt;הגדרות!$E$8*(הגדרות!$E$7+1),INT((H2535-1)/(הגדרות!$E$7+1)),הגדרות!$E$8+INT((H2535-1-הגדרות!$E$8*(הגדרות!$E$7+1))/הגדרות!$E$7)))</f>
        <v/>
      </c>
      <c r="J2535" s="0" t="str">
        <f aca="false">IF(I2535="","",IF(H2535-1&lt;הגדרות!$E$8*(הגדרות!$E$7+1),MOD(H2535-1,הגדרות!$E$7+1),MOD(H2535-1-הגדרות!$E$8*(הגדרות!$E$7+1),הגדרות!$E$7)))</f>
        <v/>
      </c>
      <c r="K2535" s="0" t="str">
        <f aca="false">IF(I2535="","",J2535*הגדרות!$E$6+I2535+1)</f>
        <v/>
      </c>
      <c r="L2535" s="0" t="str">
        <f aca="false">IF(K2535="","",MATCH(K2535,$F$2:$F$5001,0))</f>
        <v/>
      </c>
      <c r="M2535" s="0" t="str">
        <f aca="false">IF(I2535="","",INDEX(הגדרות!$A$2:$A$21,MOD(I2535+הגדרות!$E$9,הגדרות!$E$6)+1))</f>
        <v/>
      </c>
    </row>
    <row r="2536" customFormat="false" ht="15" hidden="false" customHeight="false" outlineLevel="0" collapsed="false">
      <c r="A2536" s="0" t="str">
        <f aca="false">IF('הדבקת לידים'!A2536="","",IF(ISNUMBER('הדבקת לידים'!A2536),IF(הגדרות!$E$2&gt;0,TEXT('הדבקת לידים'!A2536,REPT("0",הגדרות!$E$2)),TEXT('הדבקת לידים'!A2536,"0")),TRIM('הדבקת לידים'!A2536)))</f>
        <v/>
      </c>
      <c r="B2536" s="0" t="str">
        <f aca="false">IF('הדבקת לידים'!B2536="","",IF(ISNUMBER('הדבקת לידים'!B2536),IF(הגדרות!$E$3&gt;0,TEXT('הדבקת לידים'!B2536,REPT("0",הגדרות!$E$3)),TEXT('הדבקת לידים'!B2536,"0")),TRIM('הדבקת לידים'!B2536)))</f>
        <v/>
      </c>
      <c r="C2536" s="0" t="n">
        <f aca="false">IF(OR(A2536&lt;&gt;"",B2536&lt;&gt;""),1,0)</f>
        <v>0</v>
      </c>
      <c r="D2536" s="0" t="str">
        <f aca="false">IF(C2536=1,MOD(ABS(SIN(ROW()*12.9898+'הדבקת לידים'!$F$2*78.233+IFERROR(--RIGHT(A2536,6),LEN(A2536))*0.0137+IFERROR(--RIGHT(B2536,6),LEN(B2536))*0.0071))*43758.5453,1),"")</f>
        <v/>
      </c>
      <c r="E2536" s="0" t="str">
        <f aca="false">IF(C2536=1,INT(MOD(ABS(SIN(D2536*7919.123+ROW()*0.618+'הדבקת לידים'!$F$2*1.3))*43758.5453,1)*1000000)*10000+ROW(),"")</f>
        <v/>
      </c>
      <c r="F2536" s="0" t="str">
        <f aca="false">IF(E2536="","",RANK(E2536,$E$2:$E$5001,1))</f>
        <v/>
      </c>
      <c r="G2536" s="0" t="n">
        <f aca="false">IF(A2536="",0,IF(SUMPRODUCT(--($A$2:$A$5001=A2536))&gt;1,1,0))</f>
        <v>0</v>
      </c>
      <c r="H2536" s="0" t="n">
        <f aca="false">ROW()-1</f>
        <v>2535</v>
      </c>
      <c r="I2536" s="0" t="str">
        <f aca="false">IF(OR(הגדרות!$E$6=0,H2536&gt;הגדרות!$E$5),"",IF(H2536-1&lt;הגדרות!$E$8*(הגדרות!$E$7+1),INT((H2536-1)/(הגדרות!$E$7+1)),הגדרות!$E$8+INT((H2536-1-הגדרות!$E$8*(הגדרות!$E$7+1))/הגדרות!$E$7)))</f>
        <v/>
      </c>
      <c r="J2536" s="0" t="str">
        <f aca="false">IF(I2536="","",IF(H2536-1&lt;הגדרות!$E$8*(הגדרות!$E$7+1),MOD(H2536-1,הגדרות!$E$7+1),MOD(H2536-1-הגדרות!$E$8*(הגדרות!$E$7+1),הגדרות!$E$7)))</f>
        <v/>
      </c>
      <c r="K2536" s="0" t="str">
        <f aca="false">IF(I2536="","",J2536*הגדרות!$E$6+I2536+1)</f>
        <v/>
      </c>
      <c r="L2536" s="0" t="str">
        <f aca="false">IF(K2536="","",MATCH(K2536,$F$2:$F$5001,0))</f>
        <v/>
      </c>
      <c r="M2536" s="0" t="str">
        <f aca="false">IF(I2536="","",INDEX(הגדרות!$A$2:$A$21,MOD(I2536+הגדרות!$E$9,הגדרות!$E$6)+1))</f>
        <v/>
      </c>
    </row>
    <row r="2537" customFormat="false" ht="15" hidden="false" customHeight="false" outlineLevel="0" collapsed="false">
      <c r="A2537" s="0" t="str">
        <f aca="false">IF('הדבקת לידים'!A2537="","",IF(ISNUMBER('הדבקת לידים'!A2537),IF(הגדרות!$E$2&gt;0,TEXT('הדבקת לידים'!A2537,REPT("0",הגדרות!$E$2)),TEXT('הדבקת לידים'!A2537,"0")),TRIM('הדבקת לידים'!A2537)))</f>
        <v/>
      </c>
      <c r="B2537" s="0" t="str">
        <f aca="false">IF('הדבקת לידים'!B2537="","",IF(ISNUMBER('הדבקת לידים'!B2537),IF(הגדרות!$E$3&gt;0,TEXT('הדבקת לידים'!B2537,REPT("0",הגדרות!$E$3)),TEXT('הדבקת לידים'!B2537,"0")),TRIM('הדבקת לידים'!B2537)))</f>
        <v/>
      </c>
      <c r="C2537" s="0" t="n">
        <f aca="false">IF(OR(A2537&lt;&gt;"",B2537&lt;&gt;""),1,0)</f>
        <v>0</v>
      </c>
      <c r="D2537" s="0" t="str">
        <f aca="false">IF(C2537=1,MOD(ABS(SIN(ROW()*12.9898+'הדבקת לידים'!$F$2*78.233+IFERROR(--RIGHT(A2537,6),LEN(A2537))*0.0137+IFERROR(--RIGHT(B2537,6),LEN(B2537))*0.0071))*43758.5453,1),"")</f>
        <v/>
      </c>
      <c r="E2537" s="0" t="str">
        <f aca="false">IF(C2537=1,INT(MOD(ABS(SIN(D2537*7919.123+ROW()*0.618+'הדבקת לידים'!$F$2*1.3))*43758.5453,1)*1000000)*10000+ROW(),"")</f>
        <v/>
      </c>
      <c r="F2537" s="0" t="str">
        <f aca="false">IF(E2537="","",RANK(E2537,$E$2:$E$5001,1))</f>
        <v/>
      </c>
      <c r="G2537" s="0" t="n">
        <f aca="false">IF(A2537="",0,IF(SUMPRODUCT(--($A$2:$A$5001=A2537))&gt;1,1,0))</f>
        <v>0</v>
      </c>
      <c r="H2537" s="0" t="n">
        <f aca="false">ROW()-1</f>
        <v>2536</v>
      </c>
      <c r="I2537" s="0" t="str">
        <f aca="false">IF(OR(הגדרות!$E$6=0,H2537&gt;הגדרות!$E$5),"",IF(H2537-1&lt;הגדרות!$E$8*(הגדרות!$E$7+1),INT((H2537-1)/(הגדרות!$E$7+1)),הגדרות!$E$8+INT((H2537-1-הגדרות!$E$8*(הגדרות!$E$7+1))/הגדרות!$E$7)))</f>
        <v/>
      </c>
      <c r="J2537" s="0" t="str">
        <f aca="false">IF(I2537="","",IF(H2537-1&lt;הגדרות!$E$8*(הגדרות!$E$7+1),MOD(H2537-1,הגדרות!$E$7+1),MOD(H2537-1-הגדרות!$E$8*(הגדרות!$E$7+1),הגדרות!$E$7)))</f>
        <v/>
      </c>
      <c r="K2537" s="0" t="str">
        <f aca="false">IF(I2537="","",J2537*הגדרות!$E$6+I2537+1)</f>
        <v/>
      </c>
      <c r="L2537" s="0" t="str">
        <f aca="false">IF(K2537="","",MATCH(K2537,$F$2:$F$5001,0))</f>
        <v/>
      </c>
      <c r="M2537" s="0" t="str">
        <f aca="false">IF(I2537="","",INDEX(הגדרות!$A$2:$A$21,MOD(I2537+הגדרות!$E$9,הגדרות!$E$6)+1))</f>
        <v/>
      </c>
    </row>
    <row r="2538" customFormat="false" ht="15" hidden="false" customHeight="false" outlineLevel="0" collapsed="false">
      <c r="A2538" s="0" t="str">
        <f aca="false">IF('הדבקת לידים'!A2538="","",IF(ISNUMBER('הדבקת לידים'!A2538),IF(הגדרות!$E$2&gt;0,TEXT('הדבקת לידים'!A2538,REPT("0",הגדרות!$E$2)),TEXT('הדבקת לידים'!A2538,"0")),TRIM('הדבקת לידים'!A2538)))</f>
        <v/>
      </c>
      <c r="B2538" s="0" t="str">
        <f aca="false">IF('הדבקת לידים'!B2538="","",IF(ISNUMBER('הדבקת לידים'!B2538),IF(הגדרות!$E$3&gt;0,TEXT('הדבקת לידים'!B2538,REPT("0",הגדרות!$E$3)),TEXT('הדבקת לידים'!B2538,"0")),TRIM('הדבקת לידים'!B2538)))</f>
        <v/>
      </c>
      <c r="C2538" s="0" t="n">
        <f aca="false">IF(OR(A2538&lt;&gt;"",B2538&lt;&gt;""),1,0)</f>
        <v>0</v>
      </c>
      <c r="D2538" s="0" t="str">
        <f aca="false">IF(C2538=1,MOD(ABS(SIN(ROW()*12.9898+'הדבקת לידים'!$F$2*78.233+IFERROR(--RIGHT(A2538,6),LEN(A2538))*0.0137+IFERROR(--RIGHT(B2538,6),LEN(B2538))*0.0071))*43758.5453,1),"")</f>
        <v/>
      </c>
      <c r="E2538" s="0" t="str">
        <f aca="false">IF(C2538=1,INT(MOD(ABS(SIN(D2538*7919.123+ROW()*0.618+'הדבקת לידים'!$F$2*1.3))*43758.5453,1)*1000000)*10000+ROW(),"")</f>
        <v/>
      </c>
      <c r="F2538" s="0" t="str">
        <f aca="false">IF(E2538="","",RANK(E2538,$E$2:$E$5001,1))</f>
        <v/>
      </c>
      <c r="G2538" s="0" t="n">
        <f aca="false">IF(A2538="",0,IF(SUMPRODUCT(--($A$2:$A$5001=A2538))&gt;1,1,0))</f>
        <v>0</v>
      </c>
      <c r="H2538" s="0" t="n">
        <f aca="false">ROW()-1</f>
        <v>2537</v>
      </c>
      <c r="I2538" s="0" t="str">
        <f aca="false">IF(OR(הגדרות!$E$6=0,H2538&gt;הגדרות!$E$5),"",IF(H2538-1&lt;הגדרות!$E$8*(הגדרות!$E$7+1),INT((H2538-1)/(הגדרות!$E$7+1)),הגדרות!$E$8+INT((H2538-1-הגדרות!$E$8*(הגדרות!$E$7+1))/הגדרות!$E$7)))</f>
        <v/>
      </c>
      <c r="J2538" s="0" t="str">
        <f aca="false">IF(I2538="","",IF(H2538-1&lt;הגדרות!$E$8*(הגדרות!$E$7+1),MOD(H2538-1,הגדרות!$E$7+1),MOD(H2538-1-הגדרות!$E$8*(הגדרות!$E$7+1),הגדרות!$E$7)))</f>
        <v/>
      </c>
      <c r="K2538" s="0" t="str">
        <f aca="false">IF(I2538="","",J2538*הגדרות!$E$6+I2538+1)</f>
        <v/>
      </c>
      <c r="L2538" s="0" t="str">
        <f aca="false">IF(K2538="","",MATCH(K2538,$F$2:$F$5001,0))</f>
        <v/>
      </c>
      <c r="M2538" s="0" t="str">
        <f aca="false">IF(I2538="","",INDEX(הגדרות!$A$2:$A$21,MOD(I2538+הגדרות!$E$9,הגדרות!$E$6)+1))</f>
        <v/>
      </c>
    </row>
    <row r="2539" customFormat="false" ht="15" hidden="false" customHeight="false" outlineLevel="0" collapsed="false">
      <c r="A2539" s="0" t="str">
        <f aca="false">IF('הדבקת לידים'!A2539="","",IF(ISNUMBER('הדבקת לידים'!A2539),IF(הגדרות!$E$2&gt;0,TEXT('הדבקת לידים'!A2539,REPT("0",הגדרות!$E$2)),TEXT('הדבקת לידים'!A2539,"0")),TRIM('הדבקת לידים'!A2539)))</f>
        <v/>
      </c>
      <c r="B2539" s="0" t="str">
        <f aca="false">IF('הדבקת לידים'!B2539="","",IF(ISNUMBER('הדבקת לידים'!B2539),IF(הגדרות!$E$3&gt;0,TEXT('הדבקת לידים'!B2539,REPT("0",הגדרות!$E$3)),TEXT('הדבקת לידים'!B2539,"0")),TRIM('הדבקת לידים'!B2539)))</f>
        <v/>
      </c>
      <c r="C2539" s="0" t="n">
        <f aca="false">IF(OR(A2539&lt;&gt;"",B2539&lt;&gt;""),1,0)</f>
        <v>0</v>
      </c>
      <c r="D2539" s="0" t="str">
        <f aca="false">IF(C2539=1,MOD(ABS(SIN(ROW()*12.9898+'הדבקת לידים'!$F$2*78.233+IFERROR(--RIGHT(A2539,6),LEN(A2539))*0.0137+IFERROR(--RIGHT(B2539,6),LEN(B2539))*0.0071))*43758.5453,1),"")</f>
        <v/>
      </c>
      <c r="E2539" s="0" t="str">
        <f aca="false">IF(C2539=1,INT(MOD(ABS(SIN(D2539*7919.123+ROW()*0.618+'הדבקת לידים'!$F$2*1.3))*43758.5453,1)*1000000)*10000+ROW(),"")</f>
        <v/>
      </c>
      <c r="F2539" s="0" t="str">
        <f aca="false">IF(E2539="","",RANK(E2539,$E$2:$E$5001,1))</f>
        <v/>
      </c>
      <c r="G2539" s="0" t="n">
        <f aca="false">IF(A2539="",0,IF(SUMPRODUCT(--($A$2:$A$5001=A2539))&gt;1,1,0))</f>
        <v>0</v>
      </c>
      <c r="H2539" s="0" t="n">
        <f aca="false">ROW()-1</f>
        <v>2538</v>
      </c>
      <c r="I2539" s="0" t="str">
        <f aca="false">IF(OR(הגדרות!$E$6=0,H2539&gt;הגדרות!$E$5),"",IF(H2539-1&lt;הגדרות!$E$8*(הגדרות!$E$7+1),INT((H2539-1)/(הגדרות!$E$7+1)),הגדרות!$E$8+INT((H2539-1-הגדרות!$E$8*(הגדרות!$E$7+1))/הגדרות!$E$7)))</f>
        <v/>
      </c>
      <c r="J2539" s="0" t="str">
        <f aca="false">IF(I2539="","",IF(H2539-1&lt;הגדרות!$E$8*(הגדרות!$E$7+1),MOD(H2539-1,הגדרות!$E$7+1),MOD(H2539-1-הגדרות!$E$8*(הגדרות!$E$7+1),הגדרות!$E$7)))</f>
        <v/>
      </c>
      <c r="K2539" s="0" t="str">
        <f aca="false">IF(I2539="","",J2539*הגדרות!$E$6+I2539+1)</f>
        <v/>
      </c>
      <c r="L2539" s="0" t="str">
        <f aca="false">IF(K2539="","",MATCH(K2539,$F$2:$F$5001,0))</f>
        <v/>
      </c>
      <c r="M2539" s="0" t="str">
        <f aca="false">IF(I2539="","",INDEX(הגדרות!$A$2:$A$21,MOD(I2539+הגדרות!$E$9,הגדרות!$E$6)+1))</f>
        <v/>
      </c>
    </row>
    <row r="2540" customFormat="false" ht="15" hidden="false" customHeight="false" outlineLevel="0" collapsed="false">
      <c r="A2540" s="0" t="str">
        <f aca="false">IF('הדבקת לידים'!A2540="","",IF(ISNUMBER('הדבקת לידים'!A2540),IF(הגדרות!$E$2&gt;0,TEXT('הדבקת לידים'!A2540,REPT("0",הגדרות!$E$2)),TEXT('הדבקת לידים'!A2540,"0")),TRIM('הדבקת לידים'!A2540)))</f>
        <v/>
      </c>
      <c r="B2540" s="0" t="str">
        <f aca="false">IF('הדבקת לידים'!B2540="","",IF(ISNUMBER('הדבקת לידים'!B2540),IF(הגדרות!$E$3&gt;0,TEXT('הדבקת לידים'!B2540,REPT("0",הגדרות!$E$3)),TEXT('הדבקת לידים'!B2540,"0")),TRIM('הדבקת לידים'!B2540)))</f>
        <v/>
      </c>
      <c r="C2540" s="0" t="n">
        <f aca="false">IF(OR(A2540&lt;&gt;"",B2540&lt;&gt;""),1,0)</f>
        <v>0</v>
      </c>
      <c r="D2540" s="0" t="str">
        <f aca="false">IF(C2540=1,MOD(ABS(SIN(ROW()*12.9898+'הדבקת לידים'!$F$2*78.233+IFERROR(--RIGHT(A2540,6),LEN(A2540))*0.0137+IFERROR(--RIGHT(B2540,6),LEN(B2540))*0.0071))*43758.5453,1),"")</f>
        <v/>
      </c>
      <c r="E2540" s="0" t="str">
        <f aca="false">IF(C2540=1,INT(MOD(ABS(SIN(D2540*7919.123+ROW()*0.618+'הדבקת לידים'!$F$2*1.3))*43758.5453,1)*1000000)*10000+ROW(),"")</f>
        <v/>
      </c>
      <c r="F2540" s="0" t="str">
        <f aca="false">IF(E2540="","",RANK(E2540,$E$2:$E$5001,1))</f>
        <v/>
      </c>
      <c r="G2540" s="0" t="n">
        <f aca="false">IF(A2540="",0,IF(SUMPRODUCT(--($A$2:$A$5001=A2540))&gt;1,1,0))</f>
        <v>0</v>
      </c>
      <c r="H2540" s="0" t="n">
        <f aca="false">ROW()-1</f>
        <v>2539</v>
      </c>
      <c r="I2540" s="0" t="str">
        <f aca="false">IF(OR(הגדרות!$E$6=0,H2540&gt;הגדרות!$E$5),"",IF(H2540-1&lt;הגדרות!$E$8*(הגדרות!$E$7+1),INT((H2540-1)/(הגדרות!$E$7+1)),הגדרות!$E$8+INT((H2540-1-הגדרות!$E$8*(הגדרות!$E$7+1))/הגדרות!$E$7)))</f>
        <v/>
      </c>
      <c r="J2540" s="0" t="str">
        <f aca="false">IF(I2540="","",IF(H2540-1&lt;הגדרות!$E$8*(הגדרות!$E$7+1),MOD(H2540-1,הגדרות!$E$7+1),MOD(H2540-1-הגדרות!$E$8*(הגדרות!$E$7+1),הגדרות!$E$7)))</f>
        <v/>
      </c>
      <c r="K2540" s="0" t="str">
        <f aca="false">IF(I2540="","",J2540*הגדרות!$E$6+I2540+1)</f>
        <v/>
      </c>
      <c r="L2540" s="0" t="str">
        <f aca="false">IF(K2540="","",MATCH(K2540,$F$2:$F$5001,0))</f>
        <v/>
      </c>
      <c r="M2540" s="0" t="str">
        <f aca="false">IF(I2540="","",INDEX(הגדרות!$A$2:$A$21,MOD(I2540+הגדרות!$E$9,הגדרות!$E$6)+1))</f>
        <v/>
      </c>
    </row>
    <row r="2541" customFormat="false" ht="15" hidden="false" customHeight="false" outlineLevel="0" collapsed="false">
      <c r="A2541" s="0" t="str">
        <f aca="false">IF('הדבקת לידים'!A2541="","",IF(ISNUMBER('הדבקת לידים'!A2541),IF(הגדרות!$E$2&gt;0,TEXT('הדבקת לידים'!A2541,REPT("0",הגדרות!$E$2)),TEXT('הדבקת לידים'!A2541,"0")),TRIM('הדבקת לידים'!A2541)))</f>
        <v/>
      </c>
      <c r="B2541" s="0" t="str">
        <f aca="false">IF('הדבקת לידים'!B2541="","",IF(ISNUMBER('הדבקת לידים'!B2541),IF(הגדרות!$E$3&gt;0,TEXT('הדבקת לידים'!B2541,REPT("0",הגדרות!$E$3)),TEXT('הדבקת לידים'!B2541,"0")),TRIM('הדבקת לידים'!B2541)))</f>
        <v/>
      </c>
      <c r="C2541" s="0" t="n">
        <f aca="false">IF(OR(A2541&lt;&gt;"",B2541&lt;&gt;""),1,0)</f>
        <v>0</v>
      </c>
      <c r="D2541" s="0" t="str">
        <f aca="false">IF(C2541=1,MOD(ABS(SIN(ROW()*12.9898+'הדבקת לידים'!$F$2*78.233+IFERROR(--RIGHT(A2541,6),LEN(A2541))*0.0137+IFERROR(--RIGHT(B2541,6),LEN(B2541))*0.0071))*43758.5453,1),"")</f>
        <v/>
      </c>
      <c r="E2541" s="0" t="str">
        <f aca="false">IF(C2541=1,INT(MOD(ABS(SIN(D2541*7919.123+ROW()*0.618+'הדבקת לידים'!$F$2*1.3))*43758.5453,1)*1000000)*10000+ROW(),"")</f>
        <v/>
      </c>
      <c r="F2541" s="0" t="str">
        <f aca="false">IF(E2541="","",RANK(E2541,$E$2:$E$5001,1))</f>
        <v/>
      </c>
      <c r="G2541" s="0" t="n">
        <f aca="false">IF(A2541="",0,IF(SUMPRODUCT(--($A$2:$A$5001=A2541))&gt;1,1,0))</f>
        <v>0</v>
      </c>
      <c r="H2541" s="0" t="n">
        <f aca="false">ROW()-1</f>
        <v>2540</v>
      </c>
      <c r="I2541" s="0" t="str">
        <f aca="false">IF(OR(הגדרות!$E$6=0,H2541&gt;הגדרות!$E$5),"",IF(H2541-1&lt;הגדרות!$E$8*(הגדרות!$E$7+1),INT((H2541-1)/(הגדרות!$E$7+1)),הגדרות!$E$8+INT((H2541-1-הגדרות!$E$8*(הגדרות!$E$7+1))/הגדרות!$E$7)))</f>
        <v/>
      </c>
      <c r="J2541" s="0" t="str">
        <f aca="false">IF(I2541="","",IF(H2541-1&lt;הגדרות!$E$8*(הגדרות!$E$7+1),MOD(H2541-1,הגדרות!$E$7+1),MOD(H2541-1-הגדרות!$E$8*(הגדרות!$E$7+1),הגדרות!$E$7)))</f>
        <v/>
      </c>
      <c r="K2541" s="0" t="str">
        <f aca="false">IF(I2541="","",J2541*הגדרות!$E$6+I2541+1)</f>
        <v/>
      </c>
      <c r="L2541" s="0" t="str">
        <f aca="false">IF(K2541="","",MATCH(K2541,$F$2:$F$5001,0))</f>
        <v/>
      </c>
      <c r="M2541" s="0" t="str">
        <f aca="false">IF(I2541="","",INDEX(הגדרות!$A$2:$A$21,MOD(I2541+הגדרות!$E$9,הגדרות!$E$6)+1))</f>
        <v/>
      </c>
    </row>
    <row r="2542" customFormat="false" ht="15" hidden="false" customHeight="false" outlineLevel="0" collapsed="false">
      <c r="A2542" s="0" t="str">
        <f aca="false">IF('הדבקת לידים'!A2542="","",IF(ISNUMBER('הדבקת לידים'!A2542),IF(הגדרות!$E$2&gt;0,TEXT('הדבקת לידים'!A2542,REPT("0",הגדרות!$E$2)),TEXT('הדבקת לידים'!A2542,"0")),TRIM('הדבקת לידים'!A2542)))</f>
        <v/>
      </c>
      <c r="B2542" s="0" t="str">
        <f aca="false">IF('הדבקת לידים'!B2542="","",IF(ISNUMBER('הדבקת לידים'!B2542),IF(הגדרות!$E$3&gt;0,TEXT('הדבקת לידים'!B2542,REPT("0",הגדרות!$E$3)),TEXT('הדבקת לידים'!B2542,"0")),TRIM('הדבקת לידים'!B2542)))</f>
        <v/>
      </c>
      <c r="C2542" s="0" t="n">
        <f aca="false">IF(OR(A2542&lt;&gt;"",B2542&lt;&gt;""),1,0)</f>
        <v>0</v>
      </c>
      <c r="D2542" s="0" t="str">
        <f aca="false">IF(C2542=1,MOD(ABS(SIN(ROW()*12.9898+'הדבקת לידים'!$F$2*78.233+IFERROR(--RIGHT(A2542,6),LEN(A2542))*0.0137+IFERROR(--RIGHT(B2542,6),LEN(B2542))*0.0071))*43758.5453,1),"")</f>
        <v/>
      </c>
      <c r="E2542" s="0" t="str">
        <f aca="false">IF(C2542=1,INT(MOD(ABS(SIN(D2542*7919.123+ROW()*0.618+'הדבקת לידים'!$F$2*1.3))*43758.5453,1)*1000000)*10000+ROW(),"")</f>
        <v/>
      </c>
      <c r="F2542" s="0" t="str">
        <f aca="false">IF(E2542="","",RANK(E2542,$E$2:$E$5001,1))</f>
        <v/>
      </c>
      <c r="G2542" s="0" t="n">
        <f aca="false">IF(A2542="",0,IF(SUMPRODUCT(--($A$2:$A$5001=A2542))&gt;1,1,0))</f>
        <v>0</v>
      </c>
      <c r="H2542" s="0" t="n">
        <f aca="false">ROW()-1</f>
        <v>2541</v>
      </c>
      <c r="I2542" s="0" t="str">
        <f aca="false">IF(OR(הגדרות!$E$6=0,H2542&gt;הגדרות!$E$5),"",IF(H2542-1&lt;הגדרות!$E$8*(הגדרות!$E$7+1),INT((H2542-1)/(הגדרות!$E$7+1)),הגדרות!$E$8+INT((H2542-1-הגדרות!$E$8*(הגדרות!$E$7+1))/הגדרות!$E$7)))</f>
        <v/>
      </c>
      <c r="J2542" s="0" t="str">
        <f aca="false">IF(I2542="","",IF(H2542-1&lt;הגדרות!$E$8*(הגדרות!$E$7+1),MOD(H2542-1,הגדרות!$E$7+1),MOD(H2542-1-הגדרות!$E$8*(הגדרות!$E$7+1),הגדרות!$E$7)))</f>
        <v/>
      </c>
      <c r="K2542" s="0" t="str">
        <f aca="false">IF(I2542="","",J2542*הגדרות!$E$6+I2542+1)</f>
        <v/>
      </c>
      <c r="L2542" s="0" t="str">
        <f aca="false">IF(K2542="","",MATCH(K2542,$F$2:$F$5001,0))</f>
        <v/>
      </c>
      <c r="M2542" s="0" t="str">
        <f aca="false">IF(I2542="","",INDEX(הגדרות!$A$2:$A$21,MOD(I2542+הגדרות!$E$9,הגדרות!$E$6)+1))</f>
        <v/>
      </c>
    </row>
    <row r="2543" customFormat="false" ht="15" hidden="false" customHeight="false" outlineLevel="0" collapsed="false">
      <c r="A2543" s="0" t="str">
        <f aca="false">IF('הדבקת לידים'!A2543="","",IF(ISNUMBER('הדבקת לידים'!A2543),IF(הגדרות!$E$2&gt;0,TEXT('הדבקת לידים'!A2543,REPT("0",הגדרות!$E$2)),TEXT('הדבקת לידים'!A2543,"0")),TRIM('הדבקת לידים'!A2543)))</f>
        <v/>
      </c>
      <c r="B2543" s="0" t="str">
        <f aca="false">IF('הדבקת לידים'!B2543="","",IF(ISNUMBER('הדבקת לידים'!B2543),IF(הגדרות!$E$3&gt;0,TEXT('הדבקת לידים'!B2543,REPT("0",הגדרות!$E$3)),TEXT('הדבקת לידים'!B2543,"0")),TRIM('הדבקת לידים'!B2543)))</f>
        <v/>
      </c>
      <c r="C2543" s="0" t="n">
        <f aca="false">IF(OR(A2543&lt;&gt;"",B2543&lt;&gt;""),1,0)</f>
        <v>0</v>
      </c>
      <c r="D2543" s="0" t="str">
        <f aca="false">IF(C2543=1,MOD(ABS(SIN(ROW()*12.9898+'הדבקת לידים'!$F$2*78.233+IFERROR(--RIGHT(A2543,6),LEN(A2543))*0.0137+IFERROR(--RIGHT(B2543,6),LEN(B2543))*0.0071))*43758.5453,1),"")</f>
        <v/>
      </c>
      <c r="E2543" s="0" t="str">
        <f aca="false">IF(C2543=1,INT(MOD(ABS(SIN(D2543*7919.123+ROW()*0.618+'הדבקת לידים'!$F$2*1.3))*43758.5453,1)*1000000)*10000+ROW(),"")</f>
        <v/>
      </c>
      <c r="F2543" s="0" t="str">
        <f aca="false">IF(E2543="","",RANK(E2543,$E$2:$E$5001,1))</f>
        <v/>
      </c>
      <c r="G2543" s="0" t="n">
        <f aca="false">IF(A2543="",0,IF(SUMPRODUCT(--($A$2:$A$5001=A2543))&gt;1,1,0))</f>
        <v>0</v>
      </c>
      <c r="H2543" s="0" t="n">
        <f aca="false">ROW()-1</f>
        <v>2542</v>
      </c>
      <c r="I2543" s="0" t="str">
        <f aca="false">IF(OR(הגדרות!$E$6=0,H2543&gt;הגדרות!$E$5),"",IF(H2543-1&lt;הגדרות!$E$8*(הגדרות!$E$7+1),INT((H2543-1)/(הגדרות!$E$7+1)),הגדרות!$E$8+INT((H2543-1-הגדרות!$E$8*(הגדרות!$E$7+1))/הגדרות!$E$7)))</f>
        <v/>
      </c>
      <c r="J2543" s="0" t="str">
        <f aca="false">IF(I2543="","",IF(H2543-1&lt;הגדרות!$E$8*(הגדרות!$E$7+1),MOD(H2543-1,הגדרות!$E$7+1),MOD(H2543-1-הגדרות!$E$8*(הגדרות!$E$7+1),הגדרות!$E$7)))</f>
        <v/>
      </c>
      <c r="K2543" s="0" t="str">
        <f aca="false">IF(I2543="","",J2543*הגדרות!$E$6+I2543+1)</f>
        <v/>
      </c>
      <c r="L2543" s="0" t="str">
        <f aca="false">IF(K2543="","",MATCH(K2543,$F$2:$F$5001,0))</f>
        <v/>
      </c>
      <c r="M2543" s="0" t="str">
        <f aca="false">IF(I2543="","",INDEX(הגדרות!$A$2:$A$21,MOD(I2543+הגדרות!$E$9,הגדרות!$E$6)+1))</f>
        <v/>
      </c>
    </row>
    <row r="2544" customFormat="false" ht="15" hidden="false" customHeight="false" outlineLevel="0" collapsed="false">
      <c r="A2544" s="0" t="str">
        <f aca="false">IF('הדבקת לידים'!A2544="","",IF(ISNUMBER('הדבקת לידים'!A2544),IF(הגדרות!$E$2&gt;0,TEXT('הדבקת לידים'!A2544,REPT("0",הגדרות!$E$2)),TEXT('הדבקת לידים'!A2544,"0")),TRIM('הדבקת לידים'!A2544)))</f>
        <v/>
      </c>
      <c r="B2544" s="0" t="str">
        <f aca="false">IF('הדבקת לידים'!B2544="","",IF(ISNUMBER('הדבקת לידים'!B2544),IF(הגדרות!$E$3&gt;0,TEXT('הדבקת לידים'!B2544,REPT("0",הגדרות!$E$3)),TEXT('הדבקת לידים'!B2544,"0")),TRIM('הדבקת לידים'!B2544)))</f>
        <v/>
      </c>
      <c r="C2544" s="0" t="n">
        <f aca="false">IF(OR(A2544&lt;&gt;"",B2544&lt;&gt;""),1,0)</f>
        <v>0</v>
      </c>
      <c r="D2544" s="0" t="str">
        <f aca="false">IF(C2544=1,MOD(ABS(SIN(ROW()*12.9898+'הדבקת לידים'!$F$2*78.233+IFERROR(--RIGHT(A2544,6),LEN(A2544))*0.0137+IFERROR(--RIGHT(B2544,6),LEN(B2544))*0.0071))*43758.5453,1),"")</f>
        <v/>
      </c>
      <c r="E2544" s="0" t="str">
        <f aca="false">IF(C2544=1,INT(MOD(ABS(SIN(D2544*7919.123+ROW()*0.618+'הדבקת לידים'!$F$2*1.3))*43758.5453,1)*1000000)*10000+ROW(),"")</f>
        <v/>
      </c>
      <c r="F2544" s="0" t="str">
        <f aca="false">IF(E2544="","",RANK(E2544,$E$2:$E$5001,1))</f>
        <v/>
      </c>
      <c r="G2544" s="0" t="n">
        <f aca="false">IF(A2544="",0,IF(SUMPRODUCT(--($A$2:$A$5001=A2544))&gt;1,1,0))</f>
        <v>0</v>
      </c>
      <c r="H2544" s="0" t="n">
        <f aca="false">ROW()-1</f>
        <v>2543</v>
      </c>
      <c r="I2544" s="0" t="str">
        <f aca="false">IF(OR(הגדרות!$E$6=0,H2544&gt;הגדרות!$E$5),"",IF(H2544-1&lt;הגדרות!$E$8*(הגדרות!$E$7+1),INT((H2544-1)/(הגדרות!$E$7+1)),הגדרות!$E$8+INT((H2544-1-הגדרות!$E$8*(הגדרות!$E$7+1))/הגדרות!$E$7)))</f>
        <v/>
      </c>
      <c r="J2544" s="0" t="str">
        <f aca="false">IF(I2544="","",IF(H2544-1&lt;הגדרות!$E$8*(הגדרות!$E$7+1),MOD(H2544-1,הגדרות!$E$7+1),MOD(H2544-1-הגדרות!$E$8*(הגדרות!$E$7+1),הגדרות!$E$7)))</f>
        <v/>
      </c>
      <c r="K2544" s="0" t="str">
        <f aca="false">IF(I2544="","",J2544*הגדרות!$E$6+I2544+1)</f>
        <v/>
      </c>
      <c r="L2544" s="0" t="str">
        <f aca="false">IF(K2544="","",MATCH(K2544,$F$2:$F$5001,0))</f>
        <v/>
      </c>
      <c r="M2544" s="0" t="str">
        <f aca="false">IF(I2544="","",INDEX(הגדרות!$A$2:$A$21,MOD(I2544+הגדרות!$E$9,הגדרות!$E$6)+1))</f>
        <v/>
      </c>
    </row>
    <row r="2545" customFormat="false" ht="15" hidden="false" customHeight="false" outlineLevel="0" collapsed="false">
      <c r="A2545" s="0" t="str">
        <f aca="false">IF('הדבקת לידים'!A2545="","",IF(ISNUMBER('הדבקת לידים'!A2545),IF(הגדרות!$E$2&gt;0,TEXT('הדבקת לידים'!A2545,REPT("0",הגדרות!$E$2)),TEXT('הדבקת לידים'!A2545,"0")),TRIM('הדבקת לידים'!A2545)))</f>
        <v/>
      </c>
      <c r="B2545" s="0" t="str">
        <f aca="false">IF('הדבקת לידים'!B2545="","",IF(ISNUMBER('הדבקת לידים'!B2545),IF(הגדרות!$E$3&gt;0,TEXT('הדבקת לידים'!B2545,REPT("0",הגדרות!$E$3)),TEXT('הדבקת לידים'!B2545,"0")),TRIM('הדבקת לידים'!B2545)))</f>
        <v/>
      </c>
      <c r="C2545" s="0" t="n">
        <f aca="false">IF(OR(A2545&lt;&gt;"",B2545&lt;&gt;""),1,0)</f>
        <v>0</v>
      </c>
      <c r="D2545" s="0" t="str">
        <f aca="false">IF(C2545=1,MOD(ABS(SIN(ROW()*12.9898+'הדבקת לידים'!$F$2*78.233+IFERROR(--RIGHT(A2545,6),LEN(A2545))*0.0137+IFERROR(--RIGHT(B2545,6),LEN(B2545))*0.0071))*43758.5453,1),"")</f>
        <v/>
      </c>
      <c r="E2545" s="0" t="str">
        <f aca="false">IF(C2545=1,INT(MOD(ABS(SIN(D2545*7919.123+ROW()*0.618+'הדבקת לידים'!$F$2*1.3))*43758.5453,1)*1000000)*10000+ROW(),"")</f>
        <v/>
      </c>
      <c r="F2545" s="0" t="str">
        <f aca="false">IF(E2545="","",RANK(E2545,$E$2:$E$5001,1))</f>
        <v/>
      </c>
      <c r="G2545" s="0" t="n">
        <f aca="false">IF(A2545="",0,IF(SUMPRODUCT(--($A$2:$A$5001=A2545))&gt;1,1,0))</f>
        <v>0</v>
      </c>
      <c r="H2545" s="0" t="n">
        <f aca="false">ROW()-1</f>
        <v>2544</v>
      </c>
      <c r="I2545" s="0" t="str">
        <f aca="false">IF(OR(הגדרות!$E$6=0,H2545&gt;הגדרות!$E$5),"",IF(H2545-1&lt;הגדרות!$E$8*(הגדרות!$E$7+1),INT((H2545-1)/(הגדרות!$E$7+1)),הגדרות!$E$8+INT((H2545-1-הגדרות!$E$8*(הגדרות!$E$7+1))/הגדרות!$E$7)))</f>
        <v/>
      </c>
      <c r="J2545" s="0" t="str">
        <f aca="false">IF(I2545="","",IF(H2545-1&lt;הגדרות!$E$8*(הגדרות!$E$7+1),MOD(H2545-1,הגדרות!$E$7+1),MOD(H2545-1-הגדרות!$E$8*(הגדרות!$E$7+1),הגדרות!$E$7)))</f>
        <v/>
      </c>
      <c r="K2545" s="0" t="str">
        <f aca="false">IF(I2545="","",J2545*הגדרות!$E$6+I2545+1)</f>
        <v/>
      </c>
      <c r="L2545" s="0" t="str">
        <f aca="false">IF(K2545="","",MATCH(K2545,$F$2:$F$5001,0))</f>
        <v/>
      </c>
      <c r="M2545" s="0" t="str">
        <f aca="false">IF(I2545="","",INDEX(הגדרות!$A$2:$A$21,MOD(I2545+הגדרות!$E$9,הגדרות!$E$6)+1))</f>
        <v/>
      </c>
    </row>
    <row r="2546" customFormat="false" ht="15" hidden="false" customHeight="false" outlineLevel="0" collapsed="false">
      <c r="A2546" s="0" t="str">
        <f aca="false">IF('הדבקת לידים'!A2546="","",IF(ISNUMBER('הדבקת לידים'!A2546),IF(הגדרות!$E$2&gt;0,TEXT('הדבקת לידים'!A2546,REPT("0",הגדרות!$E$2)),TEXT('הדבקת לידים'!A2546,"0")),TRIM('הדבקת לידים'!A2546)))</f>
        <v/>
      </c>
      <c r="B2546" s="0" t="str">
        <f aca="false">IF('הדבקת לידים'!B2546="","",IF(ISNUMBER('הדבקת לידים'!B2546),IF(הגדרות!$E$3&gt;0,TEXT('הדבקת לידים'!B2546,REPT("0",הגדרות!$E$3)),TEXT('הדבקת לידים'!B2546,"0")),TRIM('הדבקת לידים'!B2546)))</f>
        <v/>
      </c>
      <c r="C2546" s="0" t="n">
        <f aca="false">IF(OR(A2546&lt;&gt;"",B2546&lt;&gt;""),1,0)</f>
        <v>0</v>
      </c>
      <c r="D2546" s="0" t="str">
        <f aca="false">IF(C2546=1,MOD(ABS(SIN(ROW()*12.9898+'הדבקת לידים'!$F$2*78.233+IFERROR(--RIGHT(A2546,6),LEN(A2546))*0.0137+IFERROR(--RIGHT(B2546,6),LEN(B2546))*0.0071))*43758.5453,1),"")</f>
        <v/>
      </c>
      <c r="E2546" s="0" t="str">
        <f aca="false">IF(C2546=1,INT(MOD(ABS(SIN(D2546*7919.123+ROW()*0.618+'הדבקת לידים'!$F$2*1.3))*43758.5453,1)*1000000)*10000+ROW(),"")</f>
        <v/>
      </c>
      <c r="F2546" s="0" t="str">
        <f aca="false">IF(E2546="","",RANK(E2546,$E$2:$E$5001,1))</f>
        <v/>
      </c>
      <c r="G2546" s="0" t="n">
        <f aca="false">IF(A2546="",0,IF(SUMPRODUCT(--($A$2:$A$5001=A2546))&gt;1,1,0))</f>
        <v>0</v>
      </c>
      <c r="H2546" s="0" t="n">
        <f aca="false">ROW()-1</f>
        <v>2545</v>
      </c>
      <c r="I2546" s="0" t="str">
        <f aca="false">IF(OR(הגדרות!$E$6=0,H2546&gt;הגדרות!$E$5),"",IF(H2546-1&lt;הגדרות!$E$8*(הגדרות!$E$7+1),INT((H2546-1)/(הגדרות!$E$7+1)),הגדרות!$E$8+INT((H2546-1-הגדרות!$E$8*(הגדרות!$E$7+1))/הגדרות!$E$7)))</f>
        <v/>
      </c>
      <c r="J2546" s="0" t="str">
        <f aca="false">IF(I2546="","",IF(H2546-1&lt;הגדרות!$E$8*(הגדרות!$E$7+1),MOD(H2546-1,הגדרות!$E$7+1),MOD(H2546-1-הגדרות!$E$8*(הגדרות!$E$7+1),הגדרות!$E$7)))</f>
        <v/>
      </c>
      <c r="K2546" s="0" t="str">
        <f aca="false">IF(I2546="","",J2546*הגדרות!$E$6+I2546+1)</f>
        <v/>
      </c>
      <c r="L2546" s="0" t="str">
        <f aca="false">IF(K2546="","",MATCH(K2546,$F$2:$F$5001,0))</f>
        <v/>
      </c>
      <c r="M2546" s="0" t="str">
        <f aca="false">IF(I2546="","",INDEX(הגדרות!$A$2:$A$21,MOD(I2546+הגדרות!$E$9,הגדרות!$E$6)+1))</f>
        <v/>
      </c>
    </row>
    <row r="2547" customFormat="false" ht="15" hidden="false" customHeight="false" outlineLevel="0" collapsed="false">
      <c r="A2547" s="0" t="str">
        <f aca="false">IF('הדבקת לידים'!A2547="","",IF(ISNUMBER('הדבקת לידים'!A2547),IF(הגדרות!$E$2&gt;0,TEXT('הדבקת לידים'!A2547,REPT("0",הגדרות!$E$2)),TEXT('הדבקת לידים'!A2547,"0")),TRIM('הדבקת לידים'!A2547)))</f>
        <v/>
      </c>
      <c r="B2547" s="0" t="str">
        <f aca="false">IF('הדבקת לידים'!B2547="","",IF(ISNUMBER('הדבקת לידים'!B2547),IF(הגדרות!$E$3&gt;0,TEXT('הדבקת לידים'!B2547,REPT("0",הגדרות!$E$3)),TEXT('הדבקת לידים'!B2547,"0")),TRIM('הדבקת לידים'!B2547)))</f>
        <v/>
      </c>
      <c r="C2547" s="0" t="n">
        <f aca="false">IF(OR(A2547&lt;&gt;"",B2547&lt;&gt;""),1,0)</f>
        <v>0</v>
      </c>
      <c r="D2547" s="0" t="str">
        <f aca="false">IF(C2547=1,MOD(ABS(SIN(ROW()*12.9898+'הדבקת לידים'!$F$2*78.233+IFERROR(--RIGHT(A2547,6),LEN(A2547))*0.0137+IFERROR(--RIGHT(B2547,6),LEN(B2547))*0.0071))*43758.5453,1),"")</f>
        <v/>
      </c>
      <c r="E2547" s="0" t="str">
        <f aca="false">IF(C2547=1,INT(MOD(ABS(SIN(D2547*7919.123+ROW()*0.618+'הדבקת לידים'!$F$2*1.3))*43758.5453,1)*1000000)*10000+ROW(),"")</f>
        <v/>
      </c>
      <c r="F2547" s="0" t="str">
        <f aca="false">IF(E2547="","",RANK(E2547,$E$2:$E$5001,1))</f>
        <v/>
      </c>
      <c r="G2547" s="0" t="n">
        <f aca="false">IF(A2547="",0,IF(SUMPRODUCT(--($A$2:$A$5001=A2547))&gt;1,1,0))</f>
        <v>0</v>
      </c>
      <c r="H2547" s="0" t="n">
        <f aca="false">ROW()-1</f>
        <v>2546</v>
      </c>
      <c r="I2547" s="0" t="str">
        <f aca="false">IF(OR(הגדרות!$E$6=0,H2547&gt;הגדרות!$E$5),"",IF(H2547-1&lt;הגדרות!$E$8*(הגדרות!$E$7+1),INT((H2547-1)/(הגדרות!$E$7+1)),הגדרות!$E$8+INT((H2547-1-הגדרות!$E$8*(הגדרות!$E$7+1))/הגדרות!$E$7)))</f>
        <v/>
      </c>
      <c r="J2547" s="0" t="str">
        <f aca="false">IF(I2547="","",IF(H2547-1&lt;הגדרות!$E$8*(הגדרות!$E$7+1),MOD(H2547-1,הגדרות!$E$7+1),MOD(H2547-1-הגדרות!$E$8*(הגדרות!$E$7+1),הגדרות!$E$7)))</f>
        <v/>
      </c>
      <c r="K2547" s="0" t="str">
        <f aca="false">IF(I2547="","",J2547*הגדרות!$E$6+I2547+1)</f>
        <v/>
      </c>
      <c r="L2547" s="0" t="str">
        <f aca="false">IF(K2547="","",MATCH(K2547,$F$2:$F$5001,0))</f>
        <v/>
      </c>
      <c r="M2547" s="0" t="str">
        <f aca="false">IF(I2547="","",INDEX(הגדרות!$A$2:$A$21,MOD(I2547+הגדרות!$E$9,הגדרות!$E$6)+1))</f>
        <v/>
      </c>
    </row>
    <row r="2548" customFormat="false" ht="15" hidden="false" customHeight="false" outlineLevel="0" collapsed="false">
      <c r="A2548" s="0" t="str">
        <f aca="false">IF('הדבקת לידים'!A2548="","",IF(ISNUMBER('הדבקת לידים'!A2548),IF(הגדרות!$E$2&gt;0,TEXT('הדבקת לידים'!A2548,REPT("0",הגדרות!$E$2)),TEXT('הדבקת לידים'!A2548,"0")),TRIM('הדבקת לידים'!A2548)))</f>
        <v/>
      </c>
      <c r="B2548" s="0" t="str">
        <f aca="false">IF('הדבקת לידים'!B2548="","",IF(ISNUMBER('הדבקת לידים'!B2548),IF(הגדרות!$E$3&gt;0,TEXT('הדבקת לידים'!B2548,REPT("0",הגדרות!$E$3)),TEXT('הדבקת לידים'!B2548,"0")),TRIM('הדבקת לידים'!B2548)))</f>
        <v/>
      </c>
      <c r="C2548" s="0" t="n">
        <f aca="false">IF(OR(A2548&lt;&gt;"",B2548&lt;&gt;""),1,0)</f>
        <v>0</v>
      </c>
      <c r="D2548" s="0" t="str">
        <f aca="false">IF(C2548=1,MOD(ABS(SIN(ROW()*12.9898+'הדבקת לידים'!$F$2*78.233+IFERROR(--RIGHT(A2548,6),LEN(A2548))*0.0137+IFERROR(--RIGHT(B2548,6),LEN(B2548))*0.0071))*43758.5453,1),"")</f>
        <v/>
      </c>
      <c r="E2548" s="0" t="str">
        <f aca="false">IF(C2548=1,INT(MOD(ABS(SIN(D2548*7919.123+ROW()*0.618+'הדבקת לידים'!$F$2*1.3))*43758.5453,1)*1000000)*10000+ROW(),"")</f>
        <v/>
      </c>
      <c r="F2548" s="0" t="str">
        <f aca="false">IF(E2548="","",RANK(E2548,$E$2:$E$5001,1))</f>
        <v/>
      </c>
      <c r="G2548" s="0" t="n">
        <f aca="false">IF(A2548="",0,IF(SUMPRODUCT(--($A$2:$A$5001=A2548))&gt;1,1,0))</f>
        <v>0</v>
      </c>
      <c r="H2548" s="0" t="n">
        <f aca="false">ROW()-1</f>
        <v>2547</v>
      </c>
      <c r="I2548" s="0" t="str">
        <f aca="false">IF(OR(הגדרות!$E$6=0,H2548&gt;הגדרות!$E$5),"",IF(H2548-1&lt;הגדרות!$E$8*(הגדרות!$E$7+1),INT((H2548-1)/(הגדרות!$E$7+1)),הגדרות!$E$8+INT((H2548-1-הגדרות!$E$8*(הגדרות!$E$7+1))/הגדרות!$E$7)))</f>
        <v/>
      </c>
      <c r="J2548" s="0" t="str">
        <f aca="false">IF(I2548="","",IF(H2548-1&lt;הגדרות!$E$8*(הגדרות!$E$7+1),MOD(H2548-1,הגדרות!$E$7+1),MOD(H2548-1-הגדרות!$E$8*(הגדרות!$E$7+1),הגדרות!$E$7)))</f>
        <v/>
      </c>
      <c r="K2548" s="0" t="str">
        <f aca="false">IF(I2548="","",J2548*הגדרות!$E$6+I2548+1)</f>
        <v/>
      </c>
      <c r="L2548" s="0" t="str">
        <f aca="false">IF(K2548="","",MATCH(K2548,$F$2:$F$5001,0))</f>
        <v/>
      </c>
      <c r="M2548" s="0" t="str">
        <f aca="false">IF(I2548="","",INDEX(הגדרות!$A$2:$A$21,MOD(I2548+הגדרות!$E$9,הגדרות!$E$6)+1))</f>
        <v/>
      </c>
    </row>
    <row r="2549" customFormat="false" ht="15" hidden="false" customHeight="false" outlineLevel="0" collapsed="false">
      <c r="A2549" s="0" t="str">
        <f aca="false">IF('הדבקת לידים'!A2549="","",IF(ISNUMBER('הדבקת לידים'!A2549),IF(הגדרות!$E$2&gt;0,TEXT('הדבקת לידים'!A2549,REPT("0",הגדרות!$E$2)),TEXT('הדבקת לידים'!A2549,"0")),TRIM('הדבקת לידים'!A2549)))</f>
        <v/>
      </c>
      <c r="B2549" s="0" t="str">
        <f aca="false">IF('הדבקת לידים'!B2549="","",IF(ISNUMBER('הדבקת לידים'!B2549),IF(הגדרות!$E$3&gt;0,TEXT('הדבקת לידים'!B2549,REPT("0",הגדרות!$E$3)),TEXT('הדבקת לידים'!B2549,"0")),TRIM('הדבקת לידים'!B2549)))</f>
        <v/>
      </c>
      <c r="C2549" s="0" t="n">
        <f aca="false">IF(OR(A2549&lt;&gt;"",B2549&lt;&gt;""),1,0)</f>
        <v>0</v>
      </c>
      <c r="D2549" s="0" t="str">
        <f aca="false">IF(C2549=1,MOD(ABS(SIN(ROW()*12.9898+'הדבקת לידים'!$F$2*78.233+IFERROR(--RIGHT(A2549,6),LEN(A2549))*0.0137+IFERROR(--RIGHT(B2549,6),LEN(B2549))*0.0071))*43758.5453,1),"")</f>
        <v/>
      </c>
      <c r="E2549" s="0" t="str">
        <f aca="false">IF(C2549=1,INT(MOD(ABS(SIN(D2549*7919.123+ROW()*0.618+'הדבקת לידים'!$F$2*1.3))*43758.5453,1)*1000000)*10000+ROW(),"")</f>
        <v/>
      </c>
      <c r="F2549" s="0" t="str">
        <f aca="false">IF(E2549="","",RANK(E2549,$E$2:$E$5001,1))</f>
        <v/>
      </c>
      <c r="G2549" s="0" t="n">
        <f aca="false">IF(A2549="",0,IF(SUMPRODUCT(--($A$2:$A$5001=A2549))&gt;1,1,0))</f>
        <v>0</v>
      </c>
      <c r="H2549" s="0" t="n">
        <f aca="false">ROW()-1</f>
        <v>2548</v>
      </c>
      <c r="I2549" s="0" t="str">
        <f aca="false">IF(OR(הגדרות!$E$6=0,H2549&gt;הגדרות!$E$5),"",IF(H2549-1&lt;הגדרות!$E$8*(הגדרות!$E$7+1),INT((H2549-1)/(הגדרות!$E$7+1)),הגדרות!$E$8+INT((H2549-1-הגדרות!$E$8*(הגדרות!$E$7+1))/הגדרות!$E$7)))</f>
        <v/>
      </c>
      <c r="J2549" s="0" t="str">
        <f aca="false">IF(I2549="","",IF(H2549-1&lt;הגדרות!$E$8*(הגדרות!$E$7+1),MOD(H2549-1,הגדרות!$E$7+1),MOD(H2549-1-הגדרות!$E$8*(הגדרות!$E$7+1),הגדרות!$E$7)))</f>
        <v/>
      </c>
      <c r="K2549" s="0" t="str">
        <f aca="false">IF(I2549="","",J2549*הגדרות!$E$6+I2549+1)</f>
        <v/>
      </c>
      <c r="L2549" s="0" t="str">
        <f aca="false">IF(K2549="","",MATCH(K2549,$F$2:$F$5001,0))</f>
        <v/>
      </c>
      <c r="M2549" s="0" t="str">
        <f aca="false">IF(I2549="","",INDEX(הגדרות!$A$2:$A$21,MOD(I2549+הגדרות!$E$9,הגדרות!$E$6)+1))</f>
        <v/>
      </c>
    </row>
    <row r="2550" customFormat="false" ht="15" hidden="false" customHeight="false" outlineLevel="0" collapsed="false">
      <c r="A2550" s="0" t="str">
        <f aca="false">IF('הדבקת לידים'!A2550="","",IF(ISNUMBER('הדבקת לידים'!A2550),IF(הגדרות!$E$2&gt;0,TEXT('הדבקת לידים'!A2550,REPT("0",הגדרות!$E$2)),TEXT('הדבקת לידים'!A2550,"0")),TRIM('הדבקת לידים'!A2550)))</f>
        <v/>
      </c>
      <c r="B2550" s="0" t="str">
        <f aca="false">IF('הדבקת לידים'!B2550="","",IF(ISNUMBER('הדבקת לידים'!B2550),IF(הגדרות!$E$3&gt;0,TEXT('הדבקת לידים'!B2550,REPT("0",הגדרות!$E$3)),TEXT('הדבקת לידים'!B2550,"0")),TRIM('הדבקת לידים'!B2550)))</f>
        <v/>
      </c>
      <c r="C2550" s="0" t="n">
        <f aca="false">IF(OR(A2550&lt;&gt;"",B2550&lt;&gt;""),1,0)</f>
        <v>0</v>
      </c>
      <c r="D2550" s="0" t="str">
        <f aca="false">IF(C2550=1,MOD(ABS(SIN(ROW()*12.9898+'הדבקת לידים'!$F$2*78.233+IFERROR(--RIGHT(A2550,6),LEN(A2550))*0.0137+IFERROR(--RIGHT(B2550,6),LEN(B2550))*0.0071))*43758.5453,1),"")</f>
        <v/>
      </c>
      <c r="E2550" s="0" t="str">
        <f aca="false">IF(C2550=1,INT(MOD(ABS(SIN(D2550*7919.123+ROW()*0.618+'הדבקת לידים'!$F$2*1.3))*43758.5453,1)*1000000)*10000+ROW(),"")</f>
        <v/>
      </c>
      <c r="F2550" s="0" t="str">
        <f aca="false">IF(E2550="","",RANK(E2550,$E$2:$E$5001,1))</f>
        <v/>
      </c>
      <c r="G2550" s="0" t="n">
        <f aca="false">IF(A2550="",0,IF(SUMPRODUCT(--($A$2:$A$5001=A2550))&gt;1,1,0))</f>
        <v>0</v>
      </c>
      <c r="H2550" s="0" t="n">
        <f aca="false">ROW()-1</f>
        <v>2549</v>
      </c>
      <c r="I2550" s="0" t="str">
        <f aca="false">IF(OR(הגדרות!$E$6=0,H2550&gt;הגדרות!$E$5),"",IF(H2550-1&lt;הגדרות!$E$8*(הגדרות!$E$7+1),INT((H2550-1)/(הגדרות!$E$7+1)),הגדרות!$E$8+INT((H2550-1-הגדרות!$E$8*(הגדרות!$E$7+1))/הגדרות!$E$7)))</f>
        <v/>
      </c>
      <c r="J2550" s="0" t="str">
        <f aca="false">IF(I2550="","",IF(H2550-1&lt;הגדרות!$E$8*(הגדרות!$E$7+1),MOD(H2550-1,הגדרות!$E$7+1),MOD(H2550-1-הגדרות!$E$8*(הגדרות!$E$7+1),הגדרות!$E$7)))</f>
        <v/>
      </c>
      <c r="K2550" s="0" t="str">
        <f aca="false">IF(I2550="","",J2550*הגדרות!$E$6+I2550+1)</f>
        <v/>
      </c>
      <c r="L2550" s="0" t="str">
        <f aca="false">IF(K2550="","",MATCH(K2550,$F$2:$F$5001,0))</f>
        <v/>
      </c>
      <c r="M2550" s="0" t="str">
        <f aca="false">IF(I2550="","",INDEX(הגדרות!$A$2:$A$21,MOD(I2550+הגדרות!$E$9,הגדרות!$E$6)+1))</f>
        <v/>
      </c>
    </row>
    <row r="2551" customFormat="false" ht="15" hidden="false" customHeight="false" outlineLevel="0" collapsed="false">
      <c r="A2551" s="0" t="str">
        <f aca="false">IF('הדבקת לידים'!A2551="","",IF(ISNUMBER('הדבקת לידים'!A2551),IF(הגדרות!$E$2&gt;0,TEXT('הדבקת לידים'!A2551,REPT("0",הגדרות!$E$2)),TEXT('הדבקת לידים'!A2551,"0")),TRIM('הדבקת לידים'!A2551)))</f>
        <v/>
      </c>
      <c r="B2551" s="0" t="str">
        <f aca="false">IF('הדבקת לידים'!B2551="","",IF(ISNUMBER('הדבקת לידים'!B2551),IF(הגדרות!$E$3&gt;0,TEXT('הדבקת לידים'!B2551,REPT("0",הגדרות!$E$3)),TEXT('הדבקת לידים'!B2551,"0")),TRIM('הדבקת לידים'!B2551)))</f>
        <v/>
      </c>
      <c r="C2551" s="0" t="n">
        <f aca="false">IF(OR(A2551&lt;&gt;"",B2551&lt;&gt;""),1,0)</f>
        <v>0</v>
      </c>
      <c r="D2551" s="0" t="str">
        <f aca="false">IF(C2551=1,MOD(ABS(SIN(ROW()*12.9898+'הדבקת לידים'!$F$2*78.233+IFERROR(--RIGHT(A2551,6),LEN(A2551))*0.0137+IFERROR(--RIGHT(B2551,6),LEN(B2551))*0.0071))*43758.5453,1),"")</f>
        <v/>
      </c>
      <c r="E2551" s="0" t="str">
        <f aca="false">IF(C2551=1,INT(MOD(ABS(SIN(D2551*7919.123+ROW()*0.618+'הדבקת לידים'!$F$2*1.3))*43758.5453,1)*1000000)*10000+ROW(),"")</f>
        <v/>
      </c>
      <c r="F2551" s="0" t="str">
        <f aca="false">IF(E2551="","",RANK(E2551,$E$2:$E$5001,1))</f>
        <v/>
      </c>
      <c r="G2551" s="0" t="n">
        <f aca="false">IF(A2551="",0,IF(SUMPRODUCT(--($A$2:$A$5001=A2551))&gt;1,1,0))</f>
        <v>0</v>
      </c>
      <c r="H2551" s="0" t="n">
        <f aca="false">ROW()-1</f>
        <v>2550</v>
      </c>
      <c r="I2551" s="0" t="str">
        <f aca="false">IF(OR(הגדרות!$E$6=0,H2551&gt;הגדרות!$E$5),"",IF(H2551-1&lt;הגדרות!$E$8*(הגדרות!$E$7+1),INT((H2551-1)/(הגדרות!$E$7+1)),הגדרות!$E$8+INT((H2551-1-הגדרות!$E$8*(הגדרות!$E$7+1))/הגדרות!$E$7)))</f>
        <v/>
      </c>
      <c r="J2551" s="0" t="str">
        <f aca="false">IF(I2551="","",IF(H2551-1&lt;הגדרות!$E$8*(הגדרות!$E$7+1),MOD(H2551-1,הגדרות!$E$7+1),MOD(H2551-1-הגדרות!$E$8*(הגדרות!$E$7+1),הגדרות!$E$7)))</f>
        <v/>
      </c>
      <c r="K2551" s="0" t="str">
        <f aca="false">IF(I2551="","",J2551*הגדרות!$E$6+I2551+1)</f>
        <v/>
      </c>
      <c r="L2551" s="0" t="str">
        <f aca="false">IF(K2551="","",MATCH(K2551,$F$2:$F$5001,0))</f>
        <v/>
      </c>
      <c r="M2551" s="0" t="str">
        <f aca="false">IF(I2551="","",INDEX(הגדרות!$A$2:$A$21,MOD(I2551+הגדרות!$E$9,הגדרות!$E$6)+1))</f>
        <v/>
      </c>
    </row>
    <row r="2552" customFormat="false" ht="15" hidden="false" customHeight="false" outlineLevel="0" collapsed="false">
      <c r="A2552" s="0" t="str">
        <f aca="false">IF('הדבקת לידים'!A2552="","",IF(ISNUMBER('הדבקת לידים'!A2552),IF(הגדרות!$E$2&gt;0,TEXT('הדבקת לידים'!A2552,REPT("0",הגדרות!$E$2)),TEXT('הדבקת לידים'!A2552,"0")),TRIM('הדבקת לידים'!A2552)))</f>
        <v/>
      </c>
      <c r="B2552" s="0" t="str">
        <f aca="false">IF('הדבקת לידים'!B2552="","",IF(ISNUMBER('הדבקת לידים'!B2552),IF(הגדרות!$E$3&gt;0,TEXT('הדבקת לידים'!B2552,REPT("0",הגדרות!$E$3)),TEXT('הדבקת לידים'!B2552,"0")),TRIM('הדבקת לידים'!B2552)))</f>
        <v/>
      </c>
      <c r="C2552" s="0" t="n">
        <f aca="false">IF(OR(A2552&lt;&gt;"",B2552&lt;&gt;""),1,0)</f>
        <v>0</v>
      </c>
      <c r="D2552" s="0" t="str">
        <f aca="false">IF(C2552=1,MOD(ABS(SIN(ROW()*12.9898+'הדבקת לידים'!$F$2*78.233+IFERROR(--RIGHT(A2552,6),LEN(A2552))*0.0137+IFERROR(--RIGHT(B2552,6),LEN(B2552))*0.0071))*43758.5453,1),"")</f>
        <v/>
      </c>
      <c r="E2552" s="0" t="str">
        <f aca="false">IF(C2552=1,INT(MOD(ABS(SIN(D2552*7919.123+ROW()*0.618+'הדבקת לידים'!$F$2*1.3))*43758.5453,1)*1000000)*10000+ROW(),"")</f>
        <v/>
      </c>
      <c r="F2552" s="0" t="str">
        <f aca="false">IF(E2552="","",RANK(E2552,$E$2:$E$5001,1))</f>
        <v/>
      </c>
      <c r="G2552" s="0" t="n">
        <f aca="false">IF(A2552="",0,IF(SUMPRODUCT(--($A$2:$A$5001=A2552))&gt;1,1,0))</f>
        <v>0</v>
      </c>
      <c r="H2552" s="0" t="n">
        <f aca="false">ROW()-1</f>
        <v>2551</v>
      </c>
      <c r="I2552" s="0" t="str">
        <f aca="false">IF(OR(הגדרות!$E$6=0,H2552&gt;הגדרות!$E$5),"",IF(H2552-1&lt;הגדרות!$E$8*(הגדרות!$E$7+1),INT((H2552-1)/(הגדרות!$E$7+1)),הגדרות!$E$8+INT((H2552-1-הגדרות!$E$8*(הגדרות!$E$7+1))/הגדרות!$E$7)))</f>
        <v/>
      </c>
      <c r="J2552" s="0" t="str">
        <f aca="false">IF(I2552="","",IF(H2552-1&lt;הגדרות!$E$8*(הגדרות!$E$7+1),MOD(H2552-1,הגדרות!$E$7+1),MOD(H2552-1-הגדרות!$E$8*(הגדרות!$E$7+1),הגדרות!$E$7)))</f>
        <v/>
      </c>
      <c r="K2552" s="0" t="str">
        <f aca="false">IF(I2552="","",J2552*הגדרות!$E$6+I2552+1)</f>
        <v/>
      </c>
      <c r="L2552" s="0" t="str">
        <f aca="false">IF(K2552="","",MATCH(K2552,$F$2:$F$5001,0))</f>
        <v/>
      </c>
      <c r="M2552" s="0" t="str">
        <f aca="false">IF(I2552="","",INDEX(הגדרות!$A$2:$A$21,MOD(I2552+הגדרות!$E$9,הגדרות!$E$6)+1))</f>
        <v/>
      </c>
    </row>
    <row r="2553" customFormat="false" ht="15" hidden="false" customHeight="false" outlineLevel="0" collapsed="false">
      <c r="A2553" s="0" t="str">
        <f aca="false">IF('הדבקת לידים'!A2553="","",IF(ISNUMBER('הדבקת לידים'!A2553),IF(הגדרות!$E$2&gt;0,TEXT('הדבקת לידים'!A2553,REPT("0",הגדרות!$E$2)),TEXT('הדבקת לידים'!A2553,"0")),TRIM('הדבקת לידים'!A2553)))</f>
        <v/>
      </c>
      <c r="B2553" s="0" t="str">
        <f aca="false">IF('הדבקת לידים'!B2553="","",IF(ISNUMBER('הדבקת לידים'!B2553),IF(הגדרות!$E$3&gt;0,TEXT('הדבקת לידים'!B2553,REPT("0",הגדרות!$E$3)),TEXT('הדבקת לידים'!B2553,"0")),TRIM('הדבקת לידים'!B2553)))</f>
        <v/>
      </c>
      <c r="C2553" s="0" t="n">
        <f aca="false">IF(OR(A2553&lt;&gt;"",B2553&lt;&gt;""),1,0)</f>
        <v>0</v>
      </c>
      <c r="D2553" s="0" t="str">
        <f aca="false">IF(C2553=1,MOD(ABS(SIN(ROW()*12.9898+'הדבקת לידים'!$F$2*78.233+IFERROR(--RIGHT(A2553,6),LEN(A2553))*0.0137+IFERROR(--RIGHT(B2553,6),LEN(B2553))*0.0071))*43758.5453,1),"")</f>
        <v/>
      </c>
      <c r="E2553" s="0" t="str">
        <f aca="false">IF(C2553=1,INT(MOD(ABS(SIN(D2553*7919.123+ROW()*0.618+'הדבקת לידים'!$F$2*1.3))*43758.5453,1)*1000000)*10000+ROW(),"")</f>
        <v/>
      </c>
      <c r="F2553" s="0" t="str">
        <f aca="false">IF(E2553="","",RANK(E2553,$E$2:$E$5001,1))</f>
        <v/>
      </c>
      <c r="G2553" s="0" t="n">
        <f aca="false">IF(A2553="",0,IF(SUMPRODUCT(--($A$2:$A$5001=A2553))&gt;1,1,0))</f>
        <v>0</v>
      </c>
      <c r="H2553" s="0" t="n">
        <f aca="false">ROW()-1</f>
        <v>2552</v>
      </c>
      <c r="I2553" s="0" t="str">
        <f aca="false">IF(OR(הגדרות!$E$6=0,H2553&gt;הגדרות!$E$5),"",IF(H2553-1&lt;הגדרות!$E$8*(הגדרות!$E$7+1),INT((H2553-1)/(הגדרות!$E$7+1)),הגדרות!$E$8+INT((H2553-1-הגדרות!$E$8*(הגדרות!$E$7+1))/הגדרות!$E$7)))</f>
        <v/>
      </c>
      <c r="J2553" s="0" t="str">
        <f aca="false">IF(I2553="","",IF(H2553-1&lt;הגדרות!$E$8*(הגדרות!$E$7+1),MOD(H2553-1,הגדרות!$E$7+1),MOD(H2553-1-הגדרות!$E$8*(הגדרות!$E$7+1),הגדרות!$E$7)))</f>
        <v/>
      </c>
      <c r="K2553" s="0" t="str">
        <f aca="false">IF(I2553="","",J2553*הגדרות!$E$6+I2553+1)</f>
        <v/>
      </c>
      <c r="L2553" s="0" t="str">
        <f aca="false">IF(K2553="","",MATCH(K2553,$F$2:$F$5001,0))</f>
        <v/>
      </c>
      <c r="M2553" s="0" t="str">
        <f aca="false">IF(I2553="","",INDEX(הגדרות!$A$2:$A$21,MOD(I2553+הגדרות!$E$9,הגדרות!$E$6)+1))</f>
        <v/>
      </c>
    </row>
    <row r="2554" customFormat="false" ht="15" hidden="false" customHeight="false" outlineLevel="0" collapsed="false">
      <c r="A2554" s="0" t="str">
        <f aca="false">IF('הדבקת לידים'!A2554="","",IF(ISNUMBER('הדבקת לידים'!A2554),IF(הגדרות!$E$2&gt;0,TEXT('הדבקת לידים'!A2554,REPT("0",הגדרות!$E$2)),TEXT('הדבקת לידים'!A2554,"0")),TRIM('הדבקת לידים'!A2554)))</f>
        <v/>
      </c>
      <c r="B2554" s="0" t="str">
        <f aca="false">IF('הדבקת לידים'!B2554="","",IF(ISNUMBER('הדבקת לידים'!B2554),IF(הגדרות!$E$3&gt;0,TEXT('הדבקת לידים'!B2554,REPT("0",הגדרות!$E$3)),TEXT('הדבקת לידים'!B2554,"0")),TRIM('הדבקת לידים'!B2554)))</f>
        <v/>
      </c>
      <c r="C2554" s="0" t="n">
        <f aca="false">IF(OR(A2554&lt;&gt;"",B2554&lt;&gt;""),1,0)</f>
        <v>0</v>
      </c>
      <c r="D2554" s="0" t="str">
        <f aca="false">IF(C2554=1,MOD(ABS(SIN(ROW()*12.9898+'הדבקת לידים'!$F$2*78.233+IFERROR(--RIGHT(A2554,6),LEN(A2554))*0.0137+IFERROR(--RIGHT(B2554,6),LEN(B2554))*0.0071))*43758.5453,1),"")</f>
        <v/>
      </c>
      <c r="E2554" s="0" t="str">
        <f aca="false">IF(C2554=1,INT(MOD(ABS(SIN(D2554*7919.123+ROW()*0.618+'הדבקת לידים'!$F$2*1.3))*43758.5453,1)*1000000)*10000+ROW(),"")</f>
        <v/>
      </c>
      <c r="F2554" s="0" t="str">
        <f aca="false">IF(E2554="","",RANK(E2554,$E$2:$E$5001,1))</f>
        <v/>
      </c>
      <c r="G2554" s="0" t="n">
        <f aca="false">IF(A2554="",0,IF(SUMPRODUCT(--($A$2:$A$5001=A2554))&gt;1,1,0))</f>
        <v>0</v>
      </c>
      <c r="H2554" s="0" t="n">
        <f aca="false">ROW()-1</f>
        <v>2553</v>
      </c>
      <c r="I2554" s="0" t="str">
        <f aca="false">IF(OR(הגדרות!$E$6=0,H2554&gt;הגדרות!$E$5),"",IF(H2554-1&lt;הגדרות!$E$8*(הגדרות!$E$7+1),INT((H2554-1)/(הגדרות!$E$7+1)),הגדרות!$E$8+INT((H2554-1-הגדרות!$E$8*(הגדרות!$E$7+1))/הגדרות!$E$7)))</f>
        <v/>
      </c>
      <c r="J2554" s="0" t="str">
        <f aca="false">IF(I2554="","",IF(H2554-1&lt;הגדרות!$E$8*(הגדרות!$E$7+1),MOD(H2554-1,הגדרות!$E$7+1),MOD(H2554-1-הגדרות!$E$8*(הגדרות!$E$7+1),הגדרות!$E$7)))</f>
        <v/>
      </c>
      <c r="K2554" s="0" t="str">
        <f aca="false">IF(I2554="","",J2554*הגדרות!$E$6+I2554+1)</f>
        <v/>
      </c>
      <c r="L2554" s="0" t="str">
        <f aca="false">IF(K2554="","",MATCH(K2554,$F$2:$F$5001,0))</f>
        <v/>
      </c>
      <c r="M2554" s="0" t="str">
        <f aca="false">IF(I2554="","",INDEX(הגדרות!$A$2:$A$21,MOD(I2554+הגדרות!$E$9,הגדרות!$E$6)+1))</f>
        <v/>
      </c>
    </row>
    <row r="2555" customFormat="false" ht="15" hidden="false" customHeight="false" outlineLevel="0" collapsed="false">
      <c r="A2555" s="0" t="str">
        <f aca="false">IF('הדבקת לידים'!A2555="","",IF(ISNUMBER('הדבקת לידים'!A2555),IF(הגדרות!$E$2&gt;0,TEXT('הדבקת לידים'!A2555,REPT("0",הגדרות!$E$2)),TEXT('הדבקת לידים'!A2555,"0")),TRIM('הדבקת לידים'!A2555)))</f>
        <v/>
      </c>
      <c r="B2555" s="0" t="str">
        <f aca="false">IF('הדבקת לידים'!B2555="","",IF(ISNUMBER('הדבקת לידים'!B2555),IF(הגדרות!$E$3&gt;0,TEXT('הדבקת לידים'!B2555,REPT("0",הגדרות!$E$3)),TEXT('הדבקת לידים'!B2555,"0")),TRIM('הדבקת לידים'!B2555)))</f>
        <v/>
      </c>
      <c r="C2555" s="0" t="n">
        <f aca="false">IF(OR(A2555&lt;&gt;"",B2555&lt;&gt;""),1,0)</f>
        <v>0</v>
      </c>
      <c r="D2555" s="0" t="str">
        <f aca="false">IF(C2555=1,MOD(ABS(SIN(ROW()*12.9898+'הדבקת לידים'!$F$2*78.233+IFERROR(--RIGHT(A2555,6),LEN(A2555))*0.0137+IFERROR(--RIGHT(B2555,6),LEN(B2555))*0.0071))*43758.5453,1),"")</f>
        <v/>
      </c>
      <c r="E2555" s="0" t="str">
        <f aca="false">IF(C2555=1,INT(MOD(ABS(SIN(D2555*7919.123+ROW()*0.618+'הדבקת לידים'!$F$2*1.3))*43758.5453,1)*1000000)*10000+ROW(),"")</f>
        <v/>
      </c>
      <c r="F2555" s="0" t="str">
        <f aca="false">IF(E2555="","",RANK(E2555,$E$2:$E$5001,1))</f>
        <v/>
      </c>
      <c r="G2555" s="0" t="n">
        <f aca="false">IF(A2555="",0,IF(SUMPRODUCT(--($A$2:$A$5001=A2555))&gt;1,1,0))</f>
        <v>0</v>
      </c>
      <c r="H2555" s="0" t="n">
        <f aca="false">ROW()-1</f>
        <v>2554</v>
      </c>
      <c r="I2555" s="0" t="str">
        <f aca="false">IF(OR(הגדרות!$E$6=0,H2555&gt;הגדרות!$E$5),"",IF(H2555-1&lt;הגדרות!$E$8*(הגדרות!$E$7+1),INT((H2555-1)/(הגדרות!$E$7+1)),הגדרות!$E$8+INT((H2555-1-הגדרות!$E$8*(הגדרות!$E$7+1))/הגדרות!$E$7)))</f>
        <v/>
      </c>
      <c r="J2555" s="0" t="str">
        <f aca="false">IF(I2555="","",IF(H2555-1&lt;הגדרות!$E$8*(הגדרות!$E$7+1),MOD(H2555-1,הגדרות!$E$7+1),MOD(H2555-1-הגדרות!$E$8*(הגדרות!$E$7+1),הגדרות!$E$7)))</f>
        <v/>
      </c>
      <c r="K2555" s="0" t="str">
        <f aca="false">IF(I2555="","",J2555*הגדרות!$E$6+I2555+1)</f>
        <v/>
      </c>
      <c r="L2555" s="0" t="str">
        <f aca="false">IF(K2555="","",MATCH(K2555,$F$2:$F$5001,0))</f>
        <v/>
      </c>
      <c r="M2555" s="0" t="str">
        <f aca="false">IF(I2555="","",INDEX(הגדרות!$A$2:$A$21,MOD(I2555+הגדרות!$E$9,הגדרות!$E$6)+1))</f>
        <v/>
      </c>
    </row>
    <row r="2556" customFormat="false" ht="15" hidden="false" customHeight="false" outlineLevel="0" collapsed="false">
      <c r="A2556" s="0" t="str">
        <f aca="false">IF('הדבקת לידים'!A2556="","",IF(ISNUMBER('הדבקת לידים'!A2556),IF(הגדרות!$E$2&gt;0,TEXT('הדבקת לידים'!A2556,REPT("0",הגדרות!$E$2)),TEXT('הדבקת לידים'!A2556,"0")),TRIM('הדבקת לידים'!A2556)))</f>
        <v/>
      </c>
      <c r="B2556" s="0" t="str">
        <f aca="false">IF('הדבקת לידים'!B2556="","",IF(ISNUMBER('הדבקת לידים'!B2556),IF(הגדרות!$E$3&gt;0,TEXT('הדבקת לידים'!B2556,REPT("0",הגדרות!$E$3)),TEXT('הדבקת לידים'!B2556,"0")),TRIM('הדבקת לידים'!B2556)))</f>
        <v/>
      </c>
      <c r="C2556" s="0" t="n">
        <f aca="false">IF(OR(A2556&lt;&gt;"",B2556&lt;&gt;""),1,0)</f>
        <v>0</v>
      </c>
      <c r="D2556" s="0" t="str">
        <f aca="false">IF(C2556=1,MOD(ABS(SIN(ROW()*12.9898+'הדבקת לידים'!$F$2*78.233+IFERROR(--RIGHT(A2556,6),LEN(A2556))*0.0137+IFERROR(--RIGHT(B2556,6),LEN(B2556))*0.0071))*43758.5453,1),"")</f>
        <v/>
      </c>
      <c r="E2556" s="0" t="str">
        <f aca="false">IF(C2556=1,INT(MOD(ABS(SIN(D2556*7919.123+ROW()*0.618+'הדבקת לידים'!$F$2*1.3))*43758.5453,1)*1000000)*10000+ROW(),"")</f>
        <v/>
      </c>
      <c r="F2556" s="0" t="str">
        <f aca="false">IF(E2556="","",RANK(E2556,$E$2:$E$5001,1))</f>
        <v/>
      </c>
      <c r="G2556" s="0" t="n">
        <f aca="false">IF(A2556="",0,IF(SUMPRODUCT(--($A$2:$A$5001=A2556))&gt;1,1,0))</f>
        <v>0</v>
      </c>
      <c r="H2556" s="0" t="n">
        <f aca="false">ROW()-1</f>
        <v>2555</v>
      </c>
      <c r="I2556" s="0" t="str">
        <f aca="false">IF(OR(הגדרות!$E$6=0,H2556&gt;הגדרות!$E$5),"",IF(H2556-1&lt;הגדרות!$E$8*(הגדרות!$E$7+1),INT((H2556-1)/(הגדרות!$E$7+1)),הגדרות!$E$8+INT((H2556-1-הגדרות!$E$8*(הגדרות!$E$7+1))/הגדרות!$E$7)))</f>
        <v/>
      </c>
      <c r="J2556" s="0" t="str">
        <f aca="false">IF(I2556="","",IF(H2556-1&lt;הגדרות!$E$8*(הגדרות!$E$7+1),MOD(H2556-1,הגדרות!$E$7+1),MOD(H2556-1-הגדרות!$E$8*(הגדרות!$E$7+1),הגדרות!$E$7)))</f>
        <v/>
      </c>
      <c r="K2556" s="0" t="str">
        <f aca="false">IF(I2556="","",J2556*הגדרות!$E$6+I2556+1)</f>
        <v/>
      </c>
      <c r="L2556" s="0" t="str">
        <f aca="false">IF(K2556="","",MATCH(K2556,$F$2:$F$5001,0))</f>
        <v/>
      </c>
      <c r="M2556" s="0" t="str">
        <f aca="false">IF(I2556="","",INDEX(הגדרות!$A$2:$A$21,MOD(I2556+הגדרות!$E$9,הגדרות!$E$6)+1))</f>
        <v/>
      </c>
    </row>
    <row r="2557" customFormat="false" ht="15" hidden="false" customHeight="false" outlineLevel="0" collapsed="false">
      <c r="A2557" s="0" t="str">
        <f aca="false">IF('הדבקת לידים'!A2557="","",IF(ISNUMBER('הדבקת לידים'!A2557),IF(הגדרות!$E$2&gt;0,TEXT('הדבקת לידים'!A2557,REPT("0",הגדרות!$E$2)),TEXT('הדבקת לידים'!A2557,"0")),TRIM('הדבקת לידים'!A2557)))</f>
        <v/>
      </c>
      <c r="B2557" s="0" t="str">
        <f aca="false">IF('הדבקת לידים'!B2557="","",IF(ISNUMBER('הדבקת לידים'!B2557),IF(הגדרות!$E$3&gt;0,TEXT('הדבקת לידים'!B2557,REPT("0",הגדרות!$E$3)),TEXT('הדבקת לידים'!B2557,"0")),TRIM('הדבקת לידים'!B2557)))</f>
        <v/>
      </c>
      <c r="C2557" s="0" t="n">
        <f aca="false">IF(OR(A2557&lt;&gt;"",B2557&lt;&gt;""),1,0)</f>
        <v>0</v>
      </c>
      <c r="D2557" s="0" t="str">
        <f aca="false">IF(C2557=1,MOD(ABS(SIN(ROW()*12.9898+'הדבקת לידים'!$F$2*78.233+IFERROR(--RIGHT(A2557,6),LEN(A2557))*0.0137+IFERROR(--RIGHT(B2557,6),LEN(B2557))*0.0071))*43758.5453,1),"")</f>
        <v/>
      </c>
      <c r="E2557" s="0" t="str">
        <f aca="false">IF(C2557=1,INT(MOD(ABS(SIN(D2557*7919.123+ROW()*0.618+'הדבקת לידים'!$F$2*1.3))*43758.5453,1)*1000000)*10000+ROW(),"")</f>
        <v/>
      </c>
      <c r="F2557" s="0" t="str">
        <f aca="false">IF(E2557="","",RANK(E2557,$E$2:$E$5001,1))</f>
        <v/>
      </c>
      <c r="G2557" s="0" t="n">
        <f aca="false">IF(A2557="",0,IF(SUMPRODUCT(--($A$2:$A$5001=A2557))&gt;1,1,0))</f>
        <v>0</v>
      </c>
      <c r="H2557" s="0" t="n">
        <f aca="false">ROW()-1</f>
        <v>2556</v>
      </c>
      <c r="I2557" s="0" t="str">
        <f aca="false">IF(OR(הגדרות!$E$6=0,H2557&gt;הגדרות!$E$5),"",IF(H2557-1&lt;הגדרות!$E$8*(הגדרות!$E$7+1),INT((H2557-1)/(הגדרות!$E$7+1)),הגדרות!$E$8+INT((H2557-1-הגדרות!$E$8*(הגדרות!$E$7+1))/הגדרות!$E$7)))</f>
        <v/>
      </c>
      <c r="J2557" s="0" t="str">
        <f aca="false">IF(I2557="","",IF(H2557-1&lt;הגדרות!$E$8*(הגדרות!$E$7+1),MOD(H2557-1,הגדרות!$E$7+1),MOD(H2557-1-הגדרות!$E$8*(הגדרות!$E$7+1),הגדרות!$E$7)))</f>
        <v/>
      </c>
      <c r="K2557" s="0" t="str">
        <f aca="false">IF(I2557="","",J2557*הגדרות!$E$6+I2557+1)</f>
        <v/>
      </c>
      <c r="L2557" s="0" t="str">
        <f aca="false">IF(K2557="","",MATCH(K2557,$F$2:$F$5001,0))</f>
        <v/>
      </c>
      <c r="M2557" s="0" t="str">
        <f aca="false">IF(I2557="","",INDEX(הגדרות!$A$2:$A$21,MOD(I2557+הגדרות!$E$9,הגדרות!$E$6)+1))</f>
        <v/>
      </c>
    </row>
    <row r="2558" customFormat="false" ht="15" hidden="false" customHeight="false" outlineLevel="0" collapsed="false">
      <c r="A2558" s="0" t="str">
        <f aca="false">IF('הדבקת לידים'!A2558="","",IF(ISNUMBER('הדבקת לידים'!A2558),IF(הגדרות!$E$2&gt;0,TEXT('הדבקת לידים'!A2558,REPT("0",הגדרות!$E$2)),TEXT('הדבקת לידים'!A2558,"0")),TRIM('הדבקת לידים'!A2558)))</f>
        <v/>
      </c>
      <c r="B2558" s="0" t="str">
        <f aca="false">IF('הדבקת לידים'!B2558="","",IF(ISNUMBER('הדבקת לידים'!B2558),IF(הגדרות!$E$3&gt;0,TEXT('הדבקת לידים'!B2558,REPT("0",הגדרות!$E$3)),TEXT('הדבקת לידים'!B2558,"0")),TRIM('הדבקת לידים'!B2558)))</f>
        <v/>
      </c>
      <c r="C2558" s="0" t="n">
        <f aca="false">IF(OR(A2558&lt;&gt;"",B2558&lt;&gt;""),1,0)</f>
        <v>0</v>
      </c>
      <c r="D2558" s="0" t="str">
        <f aca="false">IF(C2558=1,MOD(ABS(SIN(ROW()*12.9898+'הדבקת לידים'!$F$2*78.233+IFERROR(--RIGHT(A2558,6),LEN(A2558))*0.0137+IFERROR(--RIGHT(B2558,6),LEN(B2558))*0.0071))*43758.5453,1),"")</f>
        <v/>
      </c>
      <c r="E2558" s="0" t="str">
        <f aca="false">IF(C2558=1,INT(MOD(ABS(SIN(D2558*7919.123+ROW()*0.618+'הדבקת לידים'!$F$2*1.3))*43758.5453,1)*1000000)*10000+ROW(),"")</f>
        <v/>
      </c>
      <c r="F2558" s="0" t="str">
        <f aca="false">IF(E2558="","",RANK(E2558,$E$2:$E$5001,1))</f>
        <v/>
      </c>
      <c r="G2558" s="0" t="n">
        <f aca="false">IF(A2558="",0,IF(SUMPRODUCT(--($A$2:$A$5001=A2558))&gt;1,1,0))</f>
        <v>0</v>
      </c>
      <c r="H2558" s="0" t="n">
        <f aca="false">ROW()-1</f>
        <v>2557</v>
      </c>
      <c r="I2558" s="0" t="str">
        <f aca="false">IF(OR(הגדרות!$E$6=0,H2558&gt;הגדרות!$E$5),"",IF(H2558-1&lt;הגדרות!$E$8*(הגדרות!$E$7+1),INT((H2558-1)/(הגדרות!$E$7+1)),הגדרות!$E$8+INT((H2558-1-הגדרות!$E$8*(הגדרות!$E$7+1))/הגדרות!$E$7)))</f>
        <v/>
      </c>
      <c r="J2558" s="0" t="str">
        <f aca="false">IF(I2558="","",IF(H2558-1&lt;הגדרות!$E$8*(הגדרות!$E$7+1),MOD(H2558-1,הגדרות!$E$7+1),MOD(H2558-1-הגדרות!$E$8*(הגדרות!$E$7+1),הגדרות!$E$7)))</f>
        <v/>
      </c>
      <c r="K2558" s="0" t="str">
        <f aca="false">IF(I2558="","",J2558*הגדרות!$E$6+I2558+1)</f>
        <v/>
      </c>
      <c r="L2558" s="0" t="str">
        <f aca="false">IF(K2558="","",MATCH(K2558,$F$2:$F$5001,0))</f>
        <v/>
      </c>
      <c r="M2558" s="0" t="str">
        <f aca="false">IF(I2558="","",INDEX(הגדרות!$A$2:$A$21,MOD(I2558+הגדרות!$E$9,הגדרות!$E$6)+1))</f>
        <v/>
      </c>
    </row>
    <row r="2559" customFormat="false" ht="15" hidden="false" customHeight="false" outlineLevel="0" collapsed="false">
      <c r="A2559" s="0" t="str">
        <f aca="false">IF('הדבקת לידים'!A2559="","",IF(ISNUMBER('הדבקת לידים'!A2559),IF(הגדרות!$E$2&gt;0,TEXT('הדבקת לידים'!A2559,REPT("0",הגדרות!$E$2)),TEXT('הדבקת לידים'!A2559,"0")),TRIM('הדבקת לידים'!A2559)))</f>
        <v/>
      </c>
      <c r="B2559" s="0" t="str">
        <f aca="false">IF('הדבקת לידים'!B2559="","",IF(ISNUMBER('הדבקת לידים'!B2559),IF(הגדרות!$E$3&gt;0,TEXT('הדבקת לידים'!B2559,REPT("0",הגדרות!$E$3)),TEXT('הדבקת לידים'!B2559,"0")),TRIM('הדבקת לידים'!B2559)))</f>
        <v/>
      </c>
      <c r="C2559" s="0" t="n">
        <f aca="false">IF(OR(A2559&lt;&gt;"",B2559&lt;&gt;""),1,0)</f>
        <v>0</v>
      </c>
      <c r="D2559" s="0" t="str">
        <f aca="false">IF(C2559=1,MOD(ABS(SIN(ROW()*12.9898+'הדבקת לידים'!$F$2*78.233+IFERROR(--RIGHT(A2559,6),LEN(A2559))*0.0137+IFERROR(--RIGHT(B2559,6),LEN(B2559))*0.0071))*43758.5453,1),"")</f>
        <v/>
      </c>
      <c r="E2559" s="0" t="str">
        <f aca="false">IF(C2559=1,INT(MOD(ABS(SIN(D2559*7919.123+ROW()*0.618+'הדבקת לידים'!$F$2*1.3))*43758.5453,1)*1000000)*10000+ROW(),"")</f>
        <v/>
      </c>
      <c r="F2559" s="0" t="str">
        <f aca="false">IF(E2559="","",RANK(E2559,$E$2:$E$5001,1))</f>
        <v/>
      </c>
      <c r="G2559" s="0" t="n">
        <f aca="false">IF(A2559="",0,IF(SUMPRODUCT(--($A$2:$A$5001=A2559))&gt;1,1,0))</f>
        <v>0</v>
      </c>
      <c r="H2559" s="0" t="n">
        <f aca="false">ROW()-1</f>
        <v>2558</v>
      </c>
      <c r="I2559" s="0" t="str">
        <f aca="false">IF(OR(הגדרות!$E$6=0,H2559&gt;הגדרות!$E$5),"",IF(H2559-1&lt;הגדרות!$E$8*(הגדרות!$E$7+1),INT((H2559-1)/(הגדרות!$E$7+1)),הגדרות!$E$8+INT((H2559-1-הגדרות!$E$8*(הגדרות!$E$7+1))/הגדרות!$E$7)))</f>
        <v/>
      </c>
      <c r="J2559" s="0" t="str">
        <f aca="false">IF(I2559="","",IF(H2559-1&lt;הגדרות!$E$8*(הגדרות!$E$7+1),MOD(H2559-1,הגדרות!$E$7+1),MOD(H2559-1-הגדרות!$E$8*(הגדרות!$E$7+1),הגדרות!$E$7)))</f>
        <v/>
      </c>
      <c r="K2559" s="0" t="str">
        <f aca="false">IF(I2559="","",J2559*הגדרות!$E$6+I2559+1)</f>
        <v/>
      </c>
      <c r="L2559" s="0" t="str">
        <f aca="false">IF(K2559="","",MATCH(K2559,$F$2:$F$5001,0))</f>
        <v/>
      </c>
      <c r="M2559" s="0" t="str">
        <f aca="false">IF(I2559="","",INDEX(הגדרות!$A$2:$A$21,MOD(I2559+הגדרות!$E$9,הגדרות!$E$6)+1))</f>
        <v/>
      </c>
    </row>
    <row r="2560" customFormat="false" ht="15" hidden="false" customHeight="false" outlineLevel="0" collapsed="false">
      <c r="A2560" s="0" t="str">
        <f aca="false">IF('הדבקת לידים'!A2560="","",IF(ISNUMBER('הדבקת לידים'!A2560),IF(הגדרות!$E$2&gt;0,TEXT('הדבקת לידים'!A2560,REPT("0",הגדרות!$E$2)),TEXT('הדבקת לידים'!A2560,"0")),TRIM('הדבקת לידים'!A2560)))</f>
        <v/>
      </c>
      <c r="B2560" s="0" t="str">
        <f aca="false">IF('הדבקת לידים'!B2560="","",IF(ISNUMBER('הדבקת לידים'!B2560),IF(הגדרות!$E$3&gt;0,TEXT('הדבקת לידים'!B2560,REPT("0",הגדרות!$E$3)),TEXT('הדבקת לידים'!B2560,"0")),TRIM('הדבקת לידים'!B2560)))</f>
        <v/>
      </c>
      <c r="C2560" s="0" t="n">
        <f aca="false">IF(OR(A2560&lt;&gt;"",B2560&lt;&gt;""),1,0)</f>
        <v>0</v>
      </c>
      <c r="D2560" s="0" t="str">
        <f aca="false">IF(C2560=1,MOD(ABS(SIN(ROW()*12.9898+'הדבקת לידים'!$F$2*78.233+IFERROR(--RIGHT(A2560,6),LEN(A2560))*0.0137+IFERROR(--RIGHT(B2560,6),LEN(B2560))*0.0071))*43758.5453,1),"")</f>
        <v/>
      </c>
      <c r="E2560" s="0" t="str">
        <f aca="false">IF(C2560=1,INT(MOD(ABS(SIN(D2560*7919.123+ROW()*0.618+'הדבקת לידים'!$F$2*1.3))*43758.5453,1)*1000000)*10000+ROW(),"")</f>
        <v/>
      </c>
      <c r="F2560" s="0" t="str">
        <f aca="false">IF(E2560="","",RANK(E2560,$E$2:$E$5001,1))</f>
        <v/>
      </c>
      <c r="G2560" s="0" t="n">
        <f aca="false">IF(A2560="",0,IF(SUMPRODUCT(--($A$2:$A$5001=A2560))&gt;1,1,0))</f>
        <v>0</v>
      </c>
      <c r="H2560" s="0" t="n">
        <f aca="false">ROW()-1</f>
        <v>2559</v>
      </c>
      <c r="I2560" s="0" t="str">
        <f aca="false">IF(OR(הגדרות!$E$6=0,H2560&gt;הגדרות!$E$5),"",IF(H2560-1&lt;הגדרות!$E$8*(הגדרות!$E$7+1),INT((H2560-1)/(הגדרות!$E$7+1)),הגדרות!$E$8+INT((H2560-1-הגדרות!$E$8*(הגדרות!$E$7+1))/הגדרות!$E$7)))</f>
        <v/>
      </c>
      <c r="J2560" s="0" t="str">
        <f aca="false">IF(I2560="","",IF(H2560-1&lt;הגדרות!$E$8*(הגדרות!$E$7+1),MOD(H2560-1,הגדרות!$E$7+1),MOD(H2560-1-הגדרות!$E$8*(הגדרות!$E$7+1),הגדרות!$E$7)))</f>
        <v/>
      </c>
      <c r="K2560" s="0" t="str">
        <f aca="false">IF(I2560="","",J2560*הגדרות!$E$6+I2560+1)</f>
        <v/>
      </c>
      <c r="L2560" s="0" t="str">
        <f aca="false">IF(K2560="","",MATCH(K2560,$F$2:$F$5001,0))</f>
        <v/>
      </c>
      <c r="M2560" s="0" t="str">
        <f aca="false">IF(I2560="","",INDEX(הגדרות!$A$2:$A$21,MOD(I2560+הגדרות!$E$9,הגדרות!$E$6)+1))</f>
        <v/>
      </c>
    </row>
    <row r="2561" customFormat="false" ht="15" hidden="false" customHeight="false" outlineLevel="0" collapsed="false">
      <c r="A2561" s="0" t="str">
        <f aca="false">IF('הדבקת לידים'!A2561="","",IF(ISNUMBER('הדבקת לידים'!A2561),IF(הגדרות!$E$2&gt;0,TEXT('הדבקת לידים'!A2561,REPT("0",הגדרות!$E$2)),TEXT('הדבקת לידים'!A2561,"0")),TRIM('הדבקת לידים'!A2561)))</f>
        <v/>
      </c>
      <c r="B2561" s="0" t="str">
        <f aca="false">IF('הדבקת לידים'!B2561="","",IF(ISNUMBER('הדבקת לידים'!B2561),IF(הגדרות!$E$3&gt;0,TEXT('הדבקת לידים'!B2561,REPT("0",הגדרות!$E$3)),TEXT('הדבקת לידים'!B2561,"0")),TRIM('הדבקת לידים'!B2561)))</f>
        <v/>
      </c>
      <c r="C2561" s="0" t="n">
        <f aca="false">IF(OR(A2561&lt;&gt;"",B2561&lt;&gt;""),1,0)</f>
        <v>0</v>
      </c>
      <c r="D2561" s="0" t="str">
        <f aca="false">IF(C2561=1,MOD(ABS(SIN(ROW()*12.9898+'הדבקת לידים'!$F$2*78.233+IFERROR(--RIGHT(A2561,6),LEN(A2561))*0.0137+IFERROR(--RIGHT(B2561,6),LEN(B2561))*0.0071))*43758.5453,1),"")</f>
        <v/>
      </c>
      <c r="E2561" s="0" t="str">
        <f aca="false">IF(C2561=1,INT(MOD(ABS(SIN(D2561*7919.123+ROW()*0.618+'הדבקת לידים'!$F$2*1.3))*43758.5453,1)*1000000)*10000+ROW(),"")</f>
        <v/>
      </c>
      <c r="F2561" s="0" t="str">
        <f aca="false">IF(E2561="","",RANK(E2561,$E$2:$E$5001,1))</f>
        <v/>
      </c>
      <c r="G2561" s="0" t="n">
        <f aca="false">IF(A2561="",0,IF(SUMPRODUCT(--($A$2:$A$5001=A2561))&gt;1,1,0))</f>
        <v>0</v>
      </c>
      <c r="H2561" s="0" t="n">
        <f aca="false">ROW()-1</f>
        <v>2560</v>
      </c>
      <c r="I2561" s="0" t="str">
        <f aca="false">IF(OR(הגדרות!$E$6=0,H2561&gt;הגדרות!$E$5),"",IF(H2561-1&lt;הגדרות!$E$8*(הגדרות!$E$7+1),INT((H2561-1)/(הגדרות!$E$7+1)),הגדרות!$E$8+INT((H2561-1-הגדרות!$E$8*(הגדרות!$E$7+1))/הגדרות!$E$7)))</f>
        <v/>
      </c>
      <c r="J2561" s="0" t="str">
        <f aca="false">IF(I2561="","",IF(H2561-1&lt;הגדרות!$E$8*(הגדרות!$E$7+1),MOD(H2561-1,הגדרות!$E$7+1),MOD(H2561-1-הגדרות!$E$8*(הגדרות!$E$7+1),הגדרות!$E$7)))</f>
        <v/>
      </c>
      <c r="K2561" s="0" t="str">
        <f aca="false">IF(I2561="","",J2561*הגדרות!$E$6+I2561+1)</f>
        <v/>
      </c>
      <c r="L2561" s="0" t="str">
        <f aca="false">IF(K2561="","",MATCH(K2561,$F$2:$F$5001,0))</f>
        <v/>
      </c>
      <c r="M2561" s="0" t="str">
        <f aca="false">IF(I2561="","",INDEX(הגדרות!$A$2:$A$21,MOD(I2561+הגדרות!$E$9,הגדרות!$E$6)+1))</f>
        <v/>
      </c>
    </row>
    <row r="2562" customFormat="false" ht="15" hidden="false" customHeight="false" outlineLevel="0" collapsed="false">
      <c r="A2562" s="0" t="str">
        <f aca="false">IF('הדבקת לידים'!A2562="","",IF(ISNUMBER('הדבקת לידים'!A2562),IF(הגדרות!$E$2&gt;0,TEXT('הדבקת לידים'!A2562,REPT("0",הגדרות!$E$2)),TEXT('הדבקת לידים'!A2562,"0")),TRIM('הדבקת לידים'!A2562)))</f>
        <v/>
      </c>
      <c r="B2562" s="0" t="str">
        <f aca="false">IF('הדבקת לידים'!B2562="","",IF(ISNUMBER('הדבקת לידים'!B2562),IF(הגדרות!$E$3&gt;0,TEXT('הדבקת לידים'!B2562,REPT("0",הגדרות!$E$3)),TEXT('הדבקת לידים'!B2562,"0")),TRIM('הדבקת לידים'!B2562)))</f>
        <v/>
      </c>
      <c r="C2562" s="0" t="n">
        <f aca="false">IF(OR(A2562&lt;&gt;"",B2562&lt;&gt;""),1,0)</f>
        <v>0</v>
      </c>
      <c r="D2562" s="0" t="str">
        <f aca="false">IF(C2562=1,MOD(ABS(SIN(ROW()*12.9898+'הדבקת לידים'!$F$2*78.233+IFERROR(--RIGHT(A2562,6),LEN(A2562))*0.0137+IFERROR(--RIGHT(B2562,6),LEN(B2562))*0.0071))*43758.5453,1),"")</f>
        <v/>
      </c>
      <c r="E2562" s="0" t="str">
        <f aca="false">IF(C2562=1,INT(MOD(ABS(SIN(D2562*7919.123+ROW()*0.618+'הדבקת לידים'!$F$2*1.3))*43758.5453,1)*1000000)*10000+ROW(),"")</f>
        <v/>
      </c>
      <c r="F2562" s="0" t="str">
        <f aca="false">IF(E2562="","",RANK(E2562,$E$2:$E$5001,1))</f>
        <v/>
      </c>
      <c r="G2562" s="0" t="n">
        <f aca="false">IF(A2562="",0,IF(SUMPRODUCT(--($A$2:$A$5001=A2562))&gt;1,1,0))</f>
        <v>0</v>
      </c>
      <c r="H2562" s="0" t="n">
        <f aca="false">ROW()-1</f>
        <v>2561</v>
      </c>
      <c r="I2562" s="0" t="str">
        <f aca="false">IF(OR(הגדרות!$E$6=0,H2562&gt;הגדרות!$E$5),"",IF(H2562-1&lt;הגדרות!$E$8*(הגדרות!$E$7+1),INT((H2562-1)/(הגדרות!$E$7+1)),הגדרות!$E$8+INT((H2562-1-הגדרות!$E$8*(הגדרות!$E$7+1))/הגדרות!$E$7)))</f>
        <v/>
      </c>
      <c r="J2562" s="0" t="str">
        <f aca="false">IF(I2562="","",IF(H2562-1&lt;הגדרות!$E$8*(הגדרות!$E$7+1),MOD(H2562-1,הגדרות!$E$7+1),MOD(H2562-1-הגדרות!$E$8*(הגדרות!$E$7+1),הגדרות!$E$7)))</f>
        <v/>
      </c>
      <c r="K2562" s="0" t="str">
        <f aca="false">IF(I2562="","",J2562*הגדרות!$E$6+I2562+1)</f>
        <v/>
      </c>
      <c r="L2562" s="0" t="str">
        <f aca="false">IF(K2562="","",MATCH(K2562,$F$2:$F$5001,0))</f>
        <v/>
      </c>
      <c r="M2562" s="0" t="str">
        <f aca="false">IF(I2562="","",INDEX(הגדרות!$A$2:$A$21,MOD(I2562+הגדרות!$E$9,הגדרות!$E$6)+1))</f>
        <v/>
      </c>
    </row>
    <row r="2563" customFormat="false" ht="15" hidden="false" customHeight="false" outlineLevel="0" collapsed="false">
      <c r="A2563" s="0" t="str">
        <f aca="false">IF('הדבקת לידים'!A2563="","",IF(ISNUMBER('הדבקת לידים'!A2563),IF(הגדרות!$E$2&gt;0,TEXT('הדבקת לידים'!A2563,REPT("0",הגדרות!$E$2)),TEXT('הדבקת לידים'!A2563,"0")),TRIM('הדבקת לידים'!A2563)))</f>
        <v/>
      </c>
      <c r="B2563" s="0" t="str">
        <f aca="false">IF('הדבקת לידים'!B2563="","",IF(ISNUMBER('הדבקת לידים'!B2563),IF(הגדרות!$E$3&gt;0,TEXT('הדבקת לידים'!B2563,REPT("0",הגדרות!$E$3)),TEXT('הדבקת לידים'!B2563,"0")),TRIM('הדבקת לידים'!B2563)))</f>
        <v/>
      </c>
      <c r="C2563" s="0" t="n">
        <f aca="false">IF(OR(A2563&lt;&gt;"",B2563&lt;&gt;""),1,0)</f>
        <v>0</v>
      </c>
      <c r="D2563" s="0" t="str">
        <f aca="false">IF(C2563=1,MOD(ABS(SIN(ROW()*12.9898+'הדבקת לידים'!$F$2*78.233+IFERROR(--RIGHT(A2563,6),LEN(A2563))*0.0137+IFERROR(--RIGHT(B2563,6),LEN(B2563))*0.0071))*43758.5453,1),"")</f>
        <v/>
      </c>
      <c r="E2563" s="0" t="str">
        <f aca="false">IF(C2563=1,INT(MOD(ABS(SIN(D2563*7919.123+ROW()*0.618+'הדבקת לידים'!$F$2*1.3))*43758.5453,1)*1000000)*10000+ROW(),"")</f>
        <v/>
      </c>
      <c r="F2563" s="0" t="str">
        <f aca="false">IF(E2563="","",RANK(E2563,$E$2:$E$5001,1))</f>
        <v/>
      </c>
      <c r="G2563" s="0" t="n">
        <f aca="false">IF(A2563="",0,IF(SUMPRODUCT(--($A$2:$A$5001=A2563))&gt;1,1,0))</f>
        <v>0</v>
      </c>
      <c r="H2563" s="0" t="n">
        <f aca="false">ROW()-1</f>
        <v>2562</v>
      </c>
      <c r="I2563" s="0" t="str">
        <f aca="false">IF(OR(הגדרות!$E$6=0,H2563&gt;הגדרות!$E$5),"",IF(H2563-1&lt;הגדרות!$E$8*(הגדרות!$E$7+1),INT((H2563-1)/(הגדרות!$E$7+1)),הגדרות!$E$8+INT((H2563-1-הגדרות!$E$8*(הגדרות!$E$7+1))/הגדרות!$E$7)))</f>
        <v/>
      </c>
      <c r="J2563" s="0" t="str">
        <f aca="false">IF(I2563="","",IF(H2563-1&lt;הגדרות!$E$8*(הגדרות!$E$7+1),MOD(H2563-1,הגדרות!$E$7+1),MOD(H2563-1-הגדרות!$E$8*(הגדרות!$E$7+1),הגדרות!$E$7)))</f>
        <v/>
      </c>
      <c r="K2563" s="0" t="str">
        <f aca="false">IF(I2563="","",J2563*הגדרות!$E$6+I2563+1)</f>
        <v/>
      </c>
      <c r="L2563" s="0" t="str">
        <f aca="false">IF(K2563="","",MATCH(K2563,$F$2:$F$5001,0))</f>
        <v/>
      </c>
      <c r="M2563" s="0" t="str">
        <f aca="false">IF(I2563="","",INDEX(הגדרות!$A$2:$A$21,MOD(I2563+הגדרות!$E$9,הגדרות!$E$6)+1))</f>
        <v/>
      </c>
    </row>
    <row r="2564" customFormat="false" ht="15" hidden="false" customHeight="false" outlineLevel="0" collapsed="false">
      <c r="A2564" s="0" t="str">
        <f aca="false">IF('הדבקת לידים'!A2564="","",IF(ISNUMBER('הדבקת לידים'!A2564),IF(הגדרות!$E$2&gt;0,TEXT('הדבקת לידים'!A2564,REPT("0",הגדרות!$E$2)),TEXT('הדבקת לידים'!A2564,"0")),TRIM('הדבקת לידים'!A2564)))</f>
        <v/>
      </c>
      <c r="B2564" s="0" t="str">
        <f aca="false">IF('הדבקת לידים'!B2564="","",IF(ISNUMBER('הדבקת לידים'!B2564),IF(הגדרות!$E$3&gt;0,TEXT('הדבקת לידים'!B2564,REPT("0",הגדרות!$E$3)),TEXT('הדבקת לידים'!B2564,"0")),TRIM('הדבקת לידים'!B2564)))</f>
        <v/>
      </c>
      <c r="C2564" s="0" t="n">
        <f aca="false">IF(OR(A2564&lt;&gt;"",B2564&lt;&gt;""),1,0)</f>
        <v>0</v>
      </c>
      <c r="D2564" s="0" t="str">
        <f aca="false">IF(C2564=1,MOD(ABS(SIN(ROW()*12.9898+'הדבקת לידים'!$F$2*78.233+IFERROR(--RIGHT(A2564,6),LEN(A2564))*0.0137+IFERROR(--RIGHT(B2564,6),LEN(B2564))*0.0071))*43758.5453,1),"")</f>
        <v/>
      </c>
      <c r="E2564" s="0" t="str">
        <f aca="false">IF(C2564=1,INT(MOD(ABS(SIN(D2564*7919.123+ROW()*0.618+'הדבקת לידים'!$F$2*1.3))*43758.5453,1)*1000000)*10000+ROW(),"")</f>
        <v/>
      </c>
      <c r="F2564" s="0" t="str">
        <f aca="false">IF(E2564="","",RANK(E2564,$E$2:$E$5001,1))</f>
        <v/>
      </c>
      <c r="G2564" s="0" t="n">
        <f aca="false">IF(A2564="",0,IF(SUMPRODUCT(--($A$2:$A$5001=A2564))&gt;1,1,0))</f>
        <v>0</v>
      </c>
      <c r="H2564" s="0" t="n">
        <f aca="false">ROW()-1</f>
        <v>2563</v>
      </c>
      <c r="I2564" s="0" t="str">
        <f aca="false">IF(OR(הגדרות!$E$6=0,H2564&gt;הגדרות!$E$5),"",IF(H2564-1&lt;הגדרות!$E$8*(הגדרות!$E$7+1),INT((H2564-1)/(הגדרות!$E$7+1)),הגדרות!$E$8+INT((H2564-1-הגדרות!$E$8*(הגדרות!$E$7+1))/הגדרות!$E$7)))</f>
        <v/>
      </c>
      <c r="J2564" s="0" t="str">
        <f aca="false">IF(I2564="","",IF(H2564-1&lt;הגדרות!$E$8*(הגדרות!$E$7+1),MOD(H2564-1,הגדרות!$E$7+1),MOD(H2564-1-הגדרות!$E$8*(הגדרות!$E$7+1),הגדרות!$E$7)))</f>
        <v/>
      </c>
      <c r="K2564" s="0" t="str">
        <f aca="false">IF(I2564="","",J2564*הגדרות!$E$6+I2564+1)</f>
        <v/>
      </c>
      <c r="L2564" s="0" t="str">
        <f aca="false">IF(K2564="","",MATCH(K2564,$F$2:$F$5001,0))</f>
        <v/>
      </c>
      <c r="M2564" s="0" t="str">
        <f aca="false">IF(I2564="","",INDEX(הגדרות!$A$2:$A$21,MOD(I2564+הגדרות!$E$9,הגדרות!$E$6)+1))</f>
        <v/>
      </c>
    </row>
    <row r="2565" customFormat="false" ht="15" hidden="false" customHeight="false" outlineLevel="0" collapsed="false">
      <c r="A2565" s="0" t="str">
        <f aca="false">IF('הדבקת לידים'!A2565="","",IF(ISNUMBER('הדבקת לידים'!A2565),IF(הגדרות!$E$2&gt;0,TEXT('הדבקת לידים'!A2565,REPT("0",הגדרות!$E$2)),TEXT('הדבקת לידים'!A2565,"0")),TRIM('הדבקת לידים'!A2565)))</f>
        <v/>
      </c>
      <c r="B2565" s="0" t="str">
        <f aca="false">IF('הדבקת לידים'!B2565="","",IF(ISNUMBER('הדבקת לידים'!B2565),IF(הגדרות!$E$3&gt;0,TEXT('הדבקת לידים'!B2565,REPT("0",הגדרות!$E$3)),TEXT('הדבקת לידים'!B2565,"0")),TRIM('הדבקת לידים'!B2565)))</f>
        <v/>
      </c>
      <c r="C2565" s="0" t="n">
        <f aca="false">IF(OR(A2565&lt;&gt;"",B2565&lt;&gt;""),1,0)</f>
        <v>0</v>
      </c>
      <c r="D2565" s="0" t="str">
        <f aca="false">IF(C2565=1,MOD(ABS(SIN(ROW()*12.9898+'הדבקת לידים'!$F$2*78.233+IFERROR(--RIGHT(A2565,6),LEN(A2565))*0.0137+IFERROR(--RIGHT(B2565,6),LEN(B2565))*0.0071))*43758.5453,1),"")</f>
        <v/>
      </c>
      <c r="E2565" s="0" t="str">
        <f aca="false">IF(C2565=1,INT(MOD(ABS(SIN(D2565*7919.123+ROW()*0.618+'הדבקת לידים'!$F$2*1.3))*43758.5453,1)*1000000)*10000+ROW(),"")</f>
        <v/>
      </c>
      <c r="F2565" s="0" t="str">
        <f aca="false">IF(E2565="","",RANK(E2565,$E$2:$E$5001,1))</f>
        <v/>
      </c>
      <c r="G2565" s="0" t="n">
        <f aca="false">IF(A2565="",0,IF(SUMPRODUCT(--($A$2:$A$5001=A2565))&gt;1,1,0))</f>
        <v>0</v>
      </c>
      <c r="H2565" s="0" t="n">
        <f aca="false">ROW()-1</f>
        <v>2564</v>
      </c>
      <c r="I2565" s="0" t="str">
        <f aca="false">IF(OR(הגדרות!$E$6=0,H2565&gt;הגדרות!$E$5),"",IF(H2565-1&lt;הגדרות!$E$8*(הגדרות!$E$7+1),INT((H2565-1)/(הגדרות!$E$7+1)),הגדרות!$E$8+INT((H2565-1-הגדרות!$E$8*(הגדרות!$E$7+1))/הגדרות!$E$7)))</f>
        <v/>
      </c>
      <c r="J2565" s="0" t="str">
        <f aca="false">IF(I2565="","",IF(H2565-1&lt;הגדרות!$E$8*(הגדרות!$E$7+1),MOD(H2565-1,הגדרות!$E$7+1),MOD(H2565-1-הגדרות!$E$8*(הגדרות!$E$7+1),הגדרות!$E$7)))</f>
        <v/>
      </c>
      <c r="K2565" s="0" t="str">
        <f aca="false">IF(I2565="","",J2565*הגדרות!$E$6+I2565+1)</f>
        <v/>
      </c>
      <c r="L2565" s="0" t="str">
        <f aca="false">IF(K2565="","",MATCH(K2565,$F$2:$F$5001,0))</f>
        <v/>
      </c>
      <c r="M2565" s="0" t="str">
        <f aca="false">IF(I2565="","",INDEX(הגדרות!$A$2:$A$21,MOD(I2565+הגדרות!$E$9,הגדרות!$E$6)+1))</f>
        <v/>
      </c>
    </row>
    <row r="2566" customFormat="false" ht="15" hidden="false" customHeight="false" outlineLevel="0" collapsed="false">
      <c r="A2566" s="0" t="str">
        <f aca="false">IF('הדבקת לידים'!A2566="","",IF(ISNUMBER('הדבקת לידים'!A2566),IF(הגדרות!$E$2&gt;0,TEXT('הדבקת לידים'!A2566,REPT("0",הגדרות!$E$2)),TEXT('הדבקת לידים'!A2566,"0")),TRIM('הדבקת לידים'!A2566)))</f>
        <v/>
      </c>
      <c r="B2566" s="0" t="str">
        <f aca="false">IF('הדבקת לידים'!B2566="","",IF(ISNUMBER('הדבקת לידים'!B2566),IF(הגדרות!$E$3&gt;0,TEXT('הדבקת לידים'!B2566,REPT("0",הגדרות!$E$3)),TEXT('הדבקת לידים'!B2566,"0")),TRIM('הדבקת לידים'!B2566)))</f>
        <v/>
      </c>
      <c r="C2566" s="0" t="n">
        <f aca="false">IF(OR(A2566&lt;&gt;"",B2566&lt;&gt;""),1,0)</f>
        <v>0</v>
      </c>
      <c r="D2566" s="0" t="str">
        <f aca="false">IF(C2566=1,MOD(ABS(SIN(ROW()*12.9898+'הדבקת לידים'!$F$2*78.233+IFERROR(--RIGHT(A2566,6),LEN(A2566))*0.0137+IFERROR(--RIGHT(B2566,6),LEN(B2566))*0.0071))*43758.5453,1),"")</f>
        <v/>
      </c>
      <c r="E2566" s="0" t="str">
        <f aca="false">IF(C2566=1,INT(MOD(ABS(SIN(D2566*7919.123+ROW()*0.618+'הדבקת לידים'!$F$2*1.3))*43758.5453,1)*1000000)*10000+ROW(),"")</f>
        <v/>
      </c>
      <c r="F2566" s="0" t="str">
        <f aca="false">IF(E2566="","",RANK(E2566,$E$2:$E$5001,1))</f>
        <v/>
      </c>
      <c r="G2566" s="0" t="n">
        <f aca="false">IF(A2566="",0,IF(SUMPRODUCT(--($A$2:$A$5001=A2566))&gt;1,1,0))</f>
        <v>0</v>
      </c>
      <c r="H2566" s="0" t="n">
        <f aca="false">ROW()-1</f>
        <v>2565</v>
      </c>
      <c r="I2566" s="0" t="str">
        <f aca="false">IF(OR(הגדרות!$E$6=0,H2566&gt;הגדרות!$E$5),"",IF(H2566-1&lt;הגדרות!$E$8*(הגדרות!$E$7+1),INT((H2566-1)/(הגדרות!$E$7+1)),הגדרות!$E$8+INT((H2566-1-הגדרות!$E$8*(הגדרות!$E$7+1))/הגדרות!$E$7)))</f>
        <v/>
      </c>
      <c r="J2566" s="0" t="str">
        <f aca="false">IF(I2566="","",IF(H2566-1&lt;הגדרות!$E$8*(הגדרות!$E$7+1),MOD(H2566-1,הגדרות!$E$7+1),MOD(H2566-1-הגדרות!$E$8*(הגדרות!$E$7+1),הגדרות!$E$7)))</f>
        <v/>
      </c>
      <c r="K2566" s="0" t="str">
        <f aca="false">IF(I2566="","",J2566*הגדרות!$E$6+I2566+1)</f>
        <v/>
      </c>
      <c r="L2566" s="0" t="str">
        <f aca="false">IF(K2566="","",MATCH(K2566,$F$2:$F$5001,0))</f>
        <v/>
      </c>
      <c r="M2566" s="0" t="str">
        <f aca="false">IF(I2566="","",INDEX(הגדרות!$A$2:$A$21,MOD(I2566+הגדרות!$E$9,הגדרות!$E$6)+1))</f>
        <v/>
      </c>
    </row>
    <row r="2567" customFormat="false" ht="15" hidden="false" customHeight="false" outlineLevel="0" collapsed="false">
      <c r="A2567" s="0" t="str">
        <f aca="false">IF('הדבקת לידים'!A2567="","",IF(ISNUMBER('הדבקת לידים'!A2567),IF(הגדרות!$E$2&gt;0,TEXT('הדבקת לידים'!A2567,REPT("0",הגדרות!$E$2)),TEXT('הדבקת לידים'!A2567,"0")),TRIM('הדבקת לידים'!A2567)))</f>
        <v/>
      </c>
      <c r="B2567" s="0" t="str">
        <f aca="false">IF('הדבקת לידים'!B2567="","",IF(ISNUMBER('הדבקת לידים'!B2567),IF(הגדרות!$E$3&gt;0,TEXT('הדבקת לידים'!B2567,REPT("0",הגדרות!$E$3)),TEXT('הדבקת לידים'!B2567,"0")),TRIM('הדבקת לידים'!B2567)))</f>
        <v/>
      </c>
      <c r="C2567" s="0" t="n">
        <f aca="false">IF(OR(A2567&lt;&gt;"",B2567&lt;&gt;""),1,0)</f>
        <v>0</v>
      </c>
      <c r="D2567" s="0" t="str">
        <f aca="false">IF(C2567=1,MOD(ABS(SIN(ROW()*12.9898+'הדבקת לידים'!$F$2*78.233+IFERROR(--RIGHT(A2567,6),LEN(A2567))*0.0137+IFERROR(--RIGHT(B2567,6),LEN(B2567))*0.0071))*43758.5453,1),"")</f>
        <v/>
      </c>
      <c r="E2567" s="0" t="str">
        <f aca="false">IF(C2567=1,INT(MOD(ABS(SIN(D2567*7919.123+ROW()*0.618+'הדבקת לידים'!$F$2*1.3))*43758.5453,1)*1000000)*10000+ROW(),"")</f>
        <v/>
      </c>
      <c r="F2567" s="0" t="str">
        <f aca="false">IF(E2567="","",RANK(E2567,$E$2:$E$5001,1))</f>
        <v/>
      </c>
      <c r="G2567" s="0" t="n">
        <f aca="false">IF(A2567="",0,IF(SUMPRODUCT(--($A$2:$A$5001=A2567))&gt;1,1,0))</f>
        <v>0</v>
      </c>
      <c r="H2567" s="0" t="n">
        <f aca="false">ROW()-1</f>
        <v>2566</v>
      </c>
      <c r="I2567" s="0" t="str">
        <f aca="false">IF(OR(הגדרות!$E$6=0,H2567&gt;הגדרות!$E$5),"",IF(H2567-1&lt;הגדרות!$E$8*(הגדרות!$E$7+1),INT((H2567-1)/(הגדרות!$E$7+1)),הגדרות!$E$8+INT((H2567-1-הגדרות!$E$8*(הגדרות!$E$7+1))/הגדרות!$E$7)))</f>
        <v/>
      </c>
      <c r="J2567" s="0" t="str">
        <f aca="false">IF(I2567="","",IF(H2567-1&lt;הגדרות!$E$8*(הגדרות!$E$7+1),MOD(H2567-1,הגדרות!$E$7+1),MOD(H2567-1-הגדרות!$E$8*(הגדרות!$E$7+1),הגדרות!$E$7)))</f>
        <v/>
      </c>
      <c r="K2567" s="0" t="str">
        <f aca="false">IF(I2567="","",J2567*הגדרות!$E$6+I2567+1)</f>
        <v/>
      </c>
      <c r="L2567" s="0" t="str">
        <f aca="false">IF(K2567="","",MATCH(K2567,$F$2:$F$5001,0))</f>
        <v/>
      </c>
      <c r="M2567" s="0" t="str">
        <f aca="false">IF(I2567="","",INDEX(הגדרות!$A$2:$A$21,MOD(I2567+הגדרות!$E$9,הגדרות!$E$6)+1))</f>
        <v/>
      </c>
    </row>
    <row r="2568" customFormat="false" ht="15" hidden="false" customHeight="false" outlineLevel="0" collapsed="false">
      <c r="A2568" s="0" t="str">
        <f aca="false">IF('הדבקת לידים'!A2568="","",IF(ISNUMBER('הדבקת לידים'!A2568),IF(הגדרות!$E$2&gt;0,TEXT('הדבקת לידים'!A2568,REPT("0",הגדרות!$E$2)),TEXT('הדבקת לידים'!A2568,"0")),TRIM('הדבקת לידים'!A2568)))</f>
        <v/>
      </c>
      <c r="B2568" s="0" t="str">
        <f aca="false">IF('הדבקת לידים'!B2568="","",IF(ISNUMBER('הדבקת לידים'!B2568),IF(הגדרות!$E$3&gt;0,TEXT('הדבקת לידים'!B2568,REPT("0",הגדרות!$E$3)),TEXT('הדבקת לידים'!B2568,"0")),TRIM('הדבקת לידים'!B2568)))</f>
        <v/>
      </c>
      <c r="C2568" s="0" t="n">
        <f aca="false">IF(OR(A2568&lt;&gt;"",B2568&lt;&gt;""),1,0)</f>
        <v>0</v>
      </c>
      <c r="D2568" s="0" t="str">
        <f aca="false">IF(C2568=1,MOD(ABS(SIN(ROW()*12.9898+'הדבקת לידים'!$F$2*78.233+IFERROR(--RIGHT(A2568,6),LEN(A2568))*0.0137+IFERROR(--RIGHT(B2568,6),LEN(B2568))*0.0071))*43758.5453,1),"")</f>
        <v/>
      </c>
      <c r="E2568" s="0" t="str">
        <f aca="false">IF(C2568=1,INT(MOD(ABS(SIN(D2568*7919.123+ROW()*0.618+'הדבקת לידים'!$F$2*1.3))*43758.5453,1)*1000000)*10000+ROW(),"")</f>
        <v/>
      </c>
      <c r="F2568" s="0" t="str">
        <f aca="false">IF(E2568="","",RANK(E2568,$E$2:$E$5001,1))</f>
        <v/>
      </c>
      <c r="G2568" s="0" t="n">
        <f aca="false">IF(A2568="",0,IF(SUMPRODUCT(--($A$2:$A$5001=A2568))&gt;1,1,0))</f>
        <v>0</v>
      </c>
      <c r="H2568" s="0" t="n">
        <f aca="false">ROW()-1</f>
        <v>2567</v>
      </c>
      <c r="I2568" s="0" t="str">
        <f aca="false">IF(OR(הגדרות!$E$6=0,H2568&gt;הגדרות!$E$5),"",IF(H2568-1&lt;הגדרות!$E$8*(הגדרות!$E$7+1),INT((H2568-1)/(הגדרות!$E$7+1)),הגדרות!$E$8+INT((H2568-1-הגדרות!$E$8*(הגדרות!$E$7+1))/הגדרות!$E$7)))</f>
        <v/>
      </c>
      <c r="J2568" s="0" t="str">
        <f aca="false">IF(I2568="","",IF(H2568-1&lt;הגדרות!$E$8*(הגדרות!$E$7+1),MOD(H2568-1,הגדרות!$E$7+1),MOD(H2568-1-הגדרות!$E$8*(הגדרות!$E$7+1),הגדרות!$E$7)))</f>
        <v/>
      </c>
      <c r="K2568" s="0" t="str">
        <f aca="false">IF(I2568="","",J2568*הגדרות!$E$6+I2568+1)</f>
        <v/>
      </c>
      <c r="L2568" s="0" t="str">
        <f aca="false">IF(K2568="","",MATCH(K2568,$F$2:$F$5001,0))</f>
        <v/>
      </c>
      <c r="M2568" s="0" t="str">
        <f aca="false">IF(I2568="","",INDEX(הגדרות!$A$2:$A$21,MOD(I2568+הגדרות!$E$9,הגדרות!$E$6)+1))</f>
        <v/>
      </c>
    </row>
    <row r="2569" customFormat="false" ht="15" hidden="false" customHeight="false" outlineLevel="0" collapsed="false">
      <c r="A2569" s="0" t="str">
        <f aca="false">IF('הדבקת לידים'!A2569="","",IF(ISNUMBER('הדבקת לידים'!A2569),IF(הגדרות!$E$2&gt;0,TEXT('הדבקת לידים'!A2569,REPT("0",הגדרות!$E$2)),TEXT('הדבקת לידים'!A2569,"0")),TRIM('הדבקת לידים'!A2569)))</f>
        <v/>
      </c>
      <c r="B2569" s="0" t="str">
        <f aca="false">IF('הדבקת לידים'!B2569="","",IF(ISNUMBER('הדבקת לידים'!B2569),IF(הגדרות!$E$3&gt;0,TEXT('הדבקת לידים'!B2569,REPT("0",הגדרות!$E$3)),TEXT('הדבקת לידים'!B2569,"0")),TRIM('הדבקת לידים'!B2569)))</f>
        <v/>
      </c>
      <c r="C2569" s="0" t="n">
        <f aca="false">IF(OR(A2569&lt;&gt;"",B2569&lt;&gt;""),1,0)</f>
        <v>0</v>
      </c>
      <c r="D2569" s="0" t="str">
        <f aca="false">IF(C2569=1,MOD(ABS(SIN(ROW()*12.9898+'הדבקת לידים'!$F$2*78.233+IFERROR(--RIGHT(A2569,6),LEN(A2569))*0.0137+IFERROR(--RIGHT(B2569,6),LEN(B2569))*0.0071))*43758.5453,1),"")</f>
        <v/>
      </c>
      <c r="E2569" s="0" t="str">
        <f aca="false">IF(C2569=1,INT(MOD(ABS(SIN(D2569*7919.123+ROW()*0.618+'הדבקת לידים'!$F$2*1.3))*43758.5453,1)*1000000)*10000+ROW(),"")</f>
        <v/>
      </c>
      <c r="F2569" s="0" t="str">
        <f aca="false">IF(E2569="","",RANK(E2569,$E$2:$E$5001,1))</f>
        <v/>
      </c>
      <c r="G2569" s="0" t="n">
        <f aca="false">IF(A2569="",0,IF(SUMPRODUCT(--($A$2:$A$5001=A2569))&gt;1,1,0))</f>
        <v>0</v>
      </c>
      <c r="H2569" s="0" t="n">
        <f aca="false">ROW()-1</f>
        <v>2568</v>
      </c>
      <c r="I2569" s="0" t="str">
        <f aca="false">IF(OR(הגדרות!$E$6=0,H2569&gt;הגדרות!$E$5),"",IF(H2569-1&lt;הגדרות!$E$8*(הגדרות!$E$7+1),INT((H2569-1)/(הגדרות!$E$7+1)),הגדרות!$E$8+INT((H2569-1-הגדרות!$E$8*(הגדרות!$E$7+1))/הגדרות!$E$7)))</f>
        <v/>
      </c>
      <c r="J2569" s="0" t="str">
        <f aca="false">IF(I2569="","",IF(H2569-1&lt;הגדרות!$E$8*(הגדרות!$E$7+1),MOD(H2569-1,הגדרות!$E$7+1),MOD(H2569-1-הגדרות!$E$8*(הגדרות!$E$7+1),הגדרות!$E$7)))</f>
        <v/>
      </c>
      <c r="K2569" s="0" t="str">
        <f aca="false">IF(I2569="","",J2569*הגדרות!$E$6+I2569+1)</f>
        <v/>
      </c>
      <c r="L2569" s="0" t="str">
        <f aca="false">IF(K2569="","",MATCH(K2569,$F$2:$F$5001,0))</f>
        <v/>
      </c>
      <c r="M2569" s="0" t="str">
        <f aca="false">IF(I2569="","",INDEX(הגדרות!$A$2:$A$21,MOD(I2569+הגדרות!$E$9,הגדרות!$E$6)+1))</f>
        <v/>
      </c>
    </row>
    <row r="2570" customFormat="false" ht="15" hidden="false" customHeight="false" outlineLevel="0" collapsed="false">
      <c r="A2570" s="0" t="str">
        <f aca="false">IF('הדבקת לידים'!A2570="","",IF(ISNUMBER('הדבקת לידים'!A2570),IF(הגדרות!$E$2&gt;0,TEXT('הדבקת לידים'!A2570,REPT("0",הגדרות!$E$2)),TEXT('הדבקת לידים'!A2570,"0")),TRIM('הדבקת לידים'!A2570)))</f>
        <v/>
      </c>
      <c r="B2570" s="0" t="str">
        <f aca="false">IF('הדבקת לידים'!B2570="","",IF(ISNUMBER('הדבקת לידים'!B2570),IF(הגדרות!$E$3&gt;0,TEXT('הדבקת לידים'!B2570,REPT("0",הגדרות!$E$3)),TEXT('הדבקת לידים'!B2570,"0")),TRIM('הדבקת לידים'!B2570)))</f>
        <v/>
      </c>
      <c r="C2570" s="0" t="n">
        <f aca="false">IF(OR(A2570&lt;&gt;"",B2570&lt;&gt;""),1,0)</f>
        <v>0</v>
      </c>
      <c r="D2570" s="0" t="str">
        <f aca="false">IF(C2570=1,MOD(ABS(SIN(ROW()*12.9898+'הדבקת לידים'!$F$2*78.233+IFERROR(--RIGHT(A2570,6),LEN(A2570))*0.0137+IFERROR(--RIGHT(B2570,6),LEN(B2570))*0.0071))*43758.5453,1),"")</f>
        <v/>
      </c>
      <c r="E2570" s="0" t="str">
        <f aca="false">IF(C2570=1,INT(MOD(ABS(SIN(D2570*7919.123+ROW()*0.618+'הדבקת לידים'!$F$2*1.3))*43758.5453,1)*1000000)*10000+ROW(),"")</f>
        <v/>
      </c>
      <c r="F2570" s="0" t="str">
        <f aca="false">IF(E2570="","",RANK(E2570,$E$2:$E$5001,1))</f>
        <v/>
      </c>
      <c r="G2570" s="0" t="n">
        <f aca="false">IF(A2570="",0,IF(SUMPRODUCT(--($A$2:$A$5001=A2570))&gt;1,1,0))</f>
        <v>0</v>
      </c>
      <c r="H2570" s="0" t="n">
        <f aca="false">ROW()-1</f>
        <v>2569</v>
      </c>
      <c r="I2570" s="0" t="str">
        <f aca="false">IF(OR(הגדרות!$E$6=0,H2570&gt;הגדרות!$E$5),"",IF(H2570-1&lt;הגדרות!$E$8*(הגדרות!$E$7+1),INT((H2570-1)/(הגדרות!$E$7+1)),הגדרות!$E$8+INT((H2570-1-הגדרות!$E$8*(הגדרות!$E$7+1))/הגדרות!$E$7)))</f>
        <v/>
      </c>
      <c r="J2570" s="0" t="str">
        <f aca="false">IF(I2570="","",IF(H2570-1&lt;הגדרות!$E$8*(הגדרות!$E$7+1),MOD(H2570-1,הגדרות!$E$7+1),MOD(H2570-1-הגדרות!$E$8*(הגדרות!$E$7+1),הגדרות!$E$7)))</f>
        <v/>
      </c>
      <c r="K2570" s="0" t="str">
        <f aca="false">IF(I2570="","",J2570*הגדרות!$E$6+I2570+1)</f>
        <v/>
      </c>
      <c r="L2570" s="0" t="str">
        <f aca="false">IF(K2570="","",MATCH(K2570,$F$2:$F$5001,0))</f>
        <v/>
      </c>
      <c r="M2570" s="0" t="str">
        <f aca="false">IF(I2570="","",INDEX(הגדרות!$A$2:$A$21,MOD(I2570+הגדרות!$E$9,הגדרות!$E$6)+1))</f>
        <v/>
      </c>
    </row>
    <row r="2571" customFormat="false" ht="15" hidden="false" customHeight="false" outlineLevel="0" collapsed="false">
      <c r="A2571" s="0" t="str">
        <f aca="false">IF('הדבקת לידים'!A2571="","",IF(ISNUMBER('הדבקת לידים'!A2571),IF(הגדרות!$E$2&gt;0,TEXT('הדבקת לידים'!A2571,REPT("0",הגדרות!$E$2)),TEXT('הדבקת לידים'!A2571,"0")),TRIM('הדבקת לידים'!A2571)))</f>
        <v/>
      </c>
      <c r="B2571" s="0" t="str">
        <f aca="false">IF('הדבקת לידים'!B2571="","",IF(ISNUMBER('הדבקת לידים'!B2571),IF(הגדרות!$E$3&gt;0,TEXT('הדבקת לידים'!B2571,REPT("0",הגדרות!$E$3)),TEXT('הדבקת לידים'!B2571,"0")),TRIM('הדבקת לידים'!B2571)))</f>
        <v/>
      </c>
      <c r="C2571" s="0" t="n">
        <f aca="false">IF(OR(A2571&lt;&gt;"",B2571&lt;&gt;""),1,0)</f>
        <v>0</v>
      </c>
      <c r="D2571" s="0" t="str">
        <f aca="false">IF(C2571=1,MOD(ABS(SIN(ROW()*12.9898+'הדבקת לידים'!$F$2*78.233+IFERROR(--RIGHT(A2571,6),LEN(A2571))*0.0137+IFERROR(--RIGHT(B2571,6),LEN(B2571))*0.0071))*43758.5453,1),"")</f>
        <v/>
      </c>
      <c r="E2571" s="0" t="str">
        <f aca="false">IF(C2571=1,INT(MOD(ABS(SIN(D2571*7919.123+ROW()*0.618+'הדבקת לידים'!$F$2*1.3))*43758.5453,1)*1000000)*10000+ROW(),"")</f>
        <v/>
      </c>
      <c r="F2571" s="0" t="str">
        <f aca="false">IF(E2571="","",RANK(E2571,$E$2:$E$5001,1))</f>
        <v/>
      </c>
      <c r="G2571" s="0" t="n">
        <f aca="false">IF(A2571="",0,IF(SUMPRODUCT(--($A$2:$A$5001=A2571))&gt;1,1,0))</f>
        <v>0</v>
      </c>
      <c r="H2571" s="0" t="n">
        <f aca="false">ROW()-1</f>
        <v>2570</v>
      </c>
      <c r="I2571" s="0" t="str">
        <f aca="false">IF(OR(הגדרות!$E$6=0,H2571&gt;הגדרות!$E$5),"",IF(H2571-1&lt;הגדרות!$E$8*(הגדרות!$E$7+1),INT((H2571-1)/(הגדרות!$E$7+1)),הגדרות!$E$8+INT((H2571-1-הגדרות!$E$8*(הגדרות!$E$7+1))/הגדרות!$E$7)))</f>
        <v/>
      </c>
      <c r="J2571" s="0" t="str">
        <f aca="false">IF(I2571="","",IF(H2571-1&lt;הגדרות!$E$8*(הגדרות!$E$7+1),MOD(H2571-1,הגדרות!$E$7+1),MOD(H2571-1-הגדרות!$E$8*(הגדרות!$E$7+1),הגדרות!$E$7)))</f>
        <v/>
      </c>
      <c r="K2571" s="0" t="str">
        <f aca="false">IF(I2571="","",J2571*הגדרות!$E$6+I2571+1)</f>
        <v/>
      </c>
      <c r="L2571" s="0" t="str">
        <f aca="false">IF(K2571="","",MATCH(K2571,$F$2:$F$5001,0))</f>
        <v/>
      </c>
      <c r="M2571" s="0" t="str">
        <f aca="false">IF(I2571="","",INDEX(הגדרות!$A$2:$A$21,MOD(I2571+הגדרות!$E$9,הגדרות!$E$6)+1))</f>
        <v/>
      </c>
    </row>
    <row r="2572" customFormat="false" ht="15" hidden="false" customHeight="false" outlineLevel="0" collapsed="false">
      <c r="A2572" s="0" t="str">
        <f aca="false">IF('הדבקת לידים'!A2572="","",IF(ISNUMBER('הדבקת לידים'!A2572),IF(הגדרות!$E$2&gt;0,TEXT('הדבקת לידים'!A2572,REPT("0",הגדרות!$E$2)),TEXT('הדבקת לידים'!A2572,"0")),TRIM('הדבקת לידים'!A2572)))</f>
        <v/>
      </c>
      <c r="B2572" s="0" t="str">
        <f aca="false">IF('הדבקת לידים'!B2572="","",IF(ISNUMBER('הדבקת לידים'!B2572),IF(הגדרות!$E$3&gt;0,TEXT('הדבקת לידים'!B2572,REPT("0",הגדרות!$E$3)),TEXT('הדבקת לידים'!B2572,"0")),TRIM('הדבקת לידים'!B2572)))</f>
        <v/>
      </c>
      <c r="C2572" s="0" t="n">
        <f aca="false">IF(OR(A2572&lt;&gt;"",B2572&lt;&gt;""),1,0)</f>
        <v>0</v>
      </c>
      <c r="D2572" s="0" t="str">
        <f aca="false">IF(C2572=1,MOD(ABS(SIN(ROW()*12.9898+'הדבקת לידים'!$F$2*78.233+IFERROR(--RIGHT(A2572,6),LEN(A2572))*0.0137+IFERROR(--RIGHT(B2572,6),LEN(B2572))*0.0071))*43758.5453,1),"")</f>
        <v/>
      </c>
      <c r="E2572" s="0" t="str">
        <f aca="false">IF(C2572=1,INT(MOD(ABS(SIN(D2572*7919.123+ROW()*0.618+'הדבקת לידים'!$F$2*1.3))*43758.5453,1)*1000000)*10000+ROW(),"")</f>
        <v/>
      </c>
      <c r="F2572" s="0" t="str">
        <f aca="false">IF(E2572="","",RANK(E2572,$E$2:$E$5001,1))</f>
        <v/>
      </c>
      <c r="G2572" s="0" t="n">
        <f aca="false">IF(A2572="",0,IF(SUMPRODUCT(--($A$2:$A$5001=A2572))&gt;1,1,0))</f>
        <v>0</v>
      </c>
      <c r="H2572" s="0" t="n">
        <f aca="false">ROW()-1</f>
        <v>2571</v>
      </c>
      <c r="I2572" s="0" t="str">
        <f aca="false">IF(OR(הגדרות!$E$6=0,H2572&gt;הגדרות!$E$5),"",IF(H2572-1&lt;הגדרות!$E$8*(הגדרות!$E$7+1),INT((H2572-1)/(הגדרות!$E$7+1)),הגדרות!$E$8+INT((H2572-1-הגדרות!$E$8*(הגדרות!$E$7+1))/הגדרות!$E$7)))</f>
        <v/>
      </c>
      <c r="J2572" s="0" t="str">
        <f aca="false">IF(I2572="","",IF(H2572-1&lt;הגדרות!$E$8*(הגדרות!$E$7+1),MOD(H2572-1,הגדרות!$E$7+1),MOD(H2572-1-הגדרות!$E$8*(הגדרות!$E$7+1),הגדרות!$E$7)))</f>
        <v/>
      </c>
      <c r="K2572" s="0" t="str">
        <f aca="false">IF(I2572="","",J2572*הגדרות!$E$6+I2572+1)</f>
        <v/>
      </c>
      <c r="L2572" s="0" t="str">
        <f aca="false">IF(K2572="","",MATCH(K2572,$F$2:$F$5001,0))</f>
        <v/>
      </c>
      <c r="M2572" s="0" t="str">
        <f aca="false">IF(I2572="","",INDEX(הגדרות!$A$2:$A$21,MOD(I2572+הגדרות!$E$9,הגדרות!$E$6)+1))</f>
        <v/>
      </c>
    </row>
    <row r="2573" customFormat="false" ht="15" hidden="false" customHeight="false" outlineLevel="0" collapsed="false">
      <c r="A2573" s="0" t="str">
        <f aca="false">IF('הדבקת לידים'!A2573="","",IF(ISNUMBER('הדבקת לידים'!A2573),IF(הגדרות!$E$2&gt;0,TEXT('הדבקת לידים'!A2573,REPT("0",הגדרות!$E$2)),TEXT('הדבקת לידים'!A2573,"0")),TRIM('הדבקת לידים'!A2573)))</f>
        <v/>
      </c>
      <c r="B2573" s="0" t="str">
        <f aca="false">IF('הדבקת לידים'!B2573="","",IF(ISNUMBER('הדבקת לידים'!B2573),IF(הגדרות!$E$3&gt;0,TEXT('הדבקת לידים'!B2573,REPT("0",הגדרות!$E$3)),TEXT('הדבקת לידים'!B2573,"0")),TRIM('הדבקת לידים'!B2573)))</f>
        <v/>
      </c>
      <c r="C2573" s="0" t="n">
        <f aca="false">IF(OR(A2573&lt;&gt;"",B2573&lt;&gt;""),1,0)</f>
        <v>0</v>
      </c>
      <c r="D2573" s="0" t="str">
        <f aca="false">IF(C2573=1,MOD(ABS(SIN(ROW()*12.9898+'הדבקת לידים'!$F$2*78.233+IFERROR(--RIGHT(A2573,6),LEN(A2573))*0.0137+IFERROR(--RIGHT(B2573,6),LEN(B2573))*0.0071))*43758.5453,1),"")</f>
        <v/>
      </c>
      <c r="E2573" s="0" t="str">
        <f aca="false">IF(C2573=1,INT(MOD(ABS(SIN(D2573*7919.123+ROW()*0.618+'הדבקת לידים'!$F$2*1.3))*43758.5453,1)*1000000)*10000+ROW(),"")</f>
        <v/>
      </c>
      <c r="F2573" s="0" t="str">
        <f aca="false">IF(E2573="","",RANK(E2573,$E$2:$E$5001,1))</f>
        <v/>
      </c>
      <c r="G2573" s="0" t="n">
        <f aca="false">IF(A2573="",0,IF(SUMPRODUCT(--($A$2:$A$5001=A2573))&gt;1,1,0))</f>
        <v>0</v>
      </c>
      <c r="H2573" s="0" t="n">
        <f aca="false">ROW()-1</f>
        <v>2572</v>
      </c>
      <c r="I2573" s="0" t="str">
        <f aca="false">IF(OR(הגדרות!$E$6=0,H2573&gt;הגדרות!$E$5),"",IF(H2573-1&lt;הגדרות!$E$8*(הגדרות!$E$7+1),INT((H2573-1)/(הגדרות!$E$7+1)),הגדרות!$E$8+INT((H2573-1-הגדרות!$E$8*(הגדרות!$E$7+1))/הגדרות!$E$7)))</f>
        <v/>
      </c>
      <c r="J2573" s="0" t="str">
        <f aca="false">IF(I2573="","",IF(H2573-1&lt;הגדרות!$E$8*(הגדרות!$E$7+1),MOD(H2573-1,הגדרות!$E$7+1),MOD(H2573-1-הגדרות!$E$8*(הגדרות!$E$7+1),הגדרות!$E$7)))</f>
        <v/>
      </c>
      <c r="K2573" s="0" t="str">
        <f aca="false">IF(I2573="","",J2573*הגדרות!$E$6+I2573+1)</f>
        <v/>
      </c>
      <c r="L2573" s="0" t="str">
        <f aca="false">IF(K2573="","",MATCH(K2573,$F$2:$F$5001,0))</f>
        <v/>
      </c>
      <c r="M2573" s="0" t="str">
        <f aca="false">IF(I2573="","",INDEX(הגדרות!$A$2:$A$21,MOD(I2573+הגדרות!$E$9,הגדרות!$E$6)+1))</f>
        <v/>
      </c>
    </row>
    <row r="2574" customFormat="false" ht="15" hidden="false" customHeight="false" outlineLevel="0" collapsed="false">
      <c r="A2574" s="0" t="str">
        <f aca="false">IF('הדבקת לידים'!A2574="","",IF(ISNUMBER('הדבקת לידים'!A2574),IF(הגדרות!$E$2&gt;0,TEXT('הדבקת לידים'!A2574,REPT("0",הגדרות!$E$2)),TEXT('הדבקת לידים'!A2574,"0")),TRIM('הדבקת לידים'!A2574)))</f>
        <v/>
      </c>
      <c r="B2574" s="0" t="str">
        <f aca="false">IF('הדבקת לידים'!B2574="","",IF(ISNUMBER('הדבקת לידים'!B2574),IF(הגדרות!$E$3&gt;0,TEXT('הדבקת לידים'!B2574,REPT("0",הגדרות!$E$3)),TEXT('הדבקת לידים'!B2574,"0")),TRIM('הדבקת לידים'!B2574)))</f>
        <v/>
      </c>
      <c r="C2574" s="0" t="n">
        <f aca="false">IF(OR(A2574&lt;&gt;"",B2574&lt;&gt;""),1,0)</f>
        <v>0</v>
      </c>
      <c r="D2574" s="0" t="str">
        <f aca="false">IF(C2574=1,MOD(ABS(SIN(ROW()*12.9898+'הדבקת לידים'!$F$2*78.233+IFERROR(--RIGHT(A2574,6),LEN(A2574))*0.0137+IFERROR(--RIGHT(B2574,6),LEN(B2574))*0.0071))*43758.5453,1),"")</f>
        <v/>
      </c>
      <c r="E2574" s="0" t="str">
        <f aca="false">IF(C2574=1,INT(MOD(ABS(SIN(D2574*7919.123+ROW()*0.618+'הדבקת לידים'!$F$2*1.3))*43758.5453,1)*1000000)*10000+ROW(),"")</f>
        <v/>
      </c>
      <c r="F2574" s="0" t="str">
        <f aca="false">IF(E2574="","",RANK(E2574,$E$2:$E$5001,1))</f>
        <v/>
      </c>
      <c r="G2574" s="0" t="n">
        <f aca="false">IF(A2574="",0,IF(SUMPRODUCT(--($A$2:$A$5001=A2574))&gt;1,1,0))</f>
        <v>0</v>
      </c>
      <c r="H2574" s="0" t="n">
        <f aca="false">ROW()-1</f>
        <v>2573</v>
      </c>
      <c r="I2574" s="0" t="str">
        <f aca="false">IF(OR(הגדרות!$E$6=0,H2574&gt;הגדרות!$E$5),"",IF(H2574-1&lt;הגדרות!$E$8*(הגדרות!$E$7+1),INT((H2574-1)/(הגדרות!$E$7+1)),הגדרות!$E$8+INT((H2574-1-הגדרות!$E$8*(הגדרות!$E$7+1))/הגדרות!$E$7)))</f>
        <v/>
      </c>
      <c r="J2574" s="0" t="str">
        <f aca="false">IF(I2574="","",IF(H2574-1&lt;הגדרות!$E$8*(הגדרות!$E$7+1),MOD(H2574-1,הגדרות!$E$7+1),MOD(H2574-1-הגדרות!$E$8*(הגדרות!$E$7+1),הגדרות!$E$7)))</f>
        <v/>
      </c>
      <c r="K2574" s="0" t="str">
        <f aca="false">IF(I2574="","",J2574*הגדרות!$E$6+I2574+1)</f>
        <v/>
      </c>
      <c r="L2574" s="0" t="str">
        <f aca="false">IF(K2574="","",MATCH(K2574,$F$2:$F$5001,0))</f>
        <v/>
      </c>
      <c r="M2574" s="0" t="str">
        <f aca="false">IF(I2574="","",INDEX(הגדרות!$A$2:$A$21,MOD(I2574+הגדרות!$E$9,הגדרות!$E$6)+1))</f>
        <v/>
      </c>
    </row>
    <row r="2575" customFormat="false" ht="15" hidden="false" customHeight="false" outlineLevel="0" collapsed="false">
      <c r="A2575" s="0" t="str">
        <f aca="false">IF('הדבקת לידים'!A2575="","",IF(ISNUMBER('הדבקת לידים'!A2575),IF(הגדרות!$E$2&gt;0,TEXT('הדבקת לידים'!A2575,REPT("0",הגדרות!$E$2)),TEXT('הדבקת לידים'!A2575,"0")),TRIM('הדבקת לידים'!A2575)))</f>
        <v/>
      </c>
      <c r="B2575" s="0" t="str">
        <f aca="false">IF('הדבקת לידים'!B2575="","",IF(ISNUMBER('הדבקת לידים'!B2575),IF(הגדרות!$E$3&gt;0,TEXT('הדבקת לידים'!B2575,REPT("0",הגדרות!$E$3)),TEXT('הדבקת לידים'!B2575,"0")),TRIM('הדבקת לידים'!B2575)))</f>
        <v/>
      </c>
      <c r="C2575" s="0" t="n">
        <f aca="false">IF(OR(A2575&lt;&gt;"",B2575&lt;&gt;""),1,0)</f>
        <v>0</v>
      </c>
      <c r="D2575" s="0" t="str">
        <f aca="false">IF(C2575=1,MOD(ABS(SIN(ROW()*12.9898+'הדבקת לידים'!$F$2*78.233+IFERROR(--RIGHT(A2575,6),LEN(A2575))*0.0137+IFERROR(--RIGHT(B2575,6),LEN(B2575))*0.0071))*43758.5453,1),"")</f>
        <v/>
      </c>
      <c r="E2575" s="0" t="str">
        <f aca="false">IF(C2575=1,INT(MOD(ABS(SIN(D2575*7919.123+ROW()*0.618+'הדבקת לידים'!$F$2*1.3))*43758.5453,1)*1000000)*10000+ROW(),"")</f>
        <v/>
      </c>
      <c r="F2575" s="0" t="str">
        <f aca="false">IF(E2575="","",RANK(E2575,$E$2:$E$5001,1))</f>
        <v/>
      </c>
      <c r="G2575" s="0" t="n">
        <f aca="false">IF(A2575="",0,IF(SUMPRODUCT(--($A$2:$A$5001=A2575))&gt;1,1,0))</f>
        <v>0</v>
      </c>
      <c r="H2575" s="0" t="n">
        <f aca="false">ROW()-1</f>
        <v>2574</v>
      </c>
      <c r="I2575" s="0" t="str">
        <f aca="false">IF(OR(הגדרות!$E$6=0,H2575&gt;הגדרות!$E$5),"",IF(H2575-1&lt;הגדרות!$E$8*(הגדרות!$E$7+1),INT((H2575-1)/(הגדרות!$E$7+1)),הגדרות!$E$8+INT((H2575-1-הגדרות!$E$8*(הגדרות!$E$7+1))/הגדרות!$E$7)))</f>
        <v/>
      </c>
      <c r="J2575" s="0" t="str">
        <f aca="false">IF(I2575="","",IF(H2575-1&lt;הגדרות!$E$8*(הגדרות!$E$7+1),MOD(H2575-1,הגדרות!$E$7+1),MOD(H2575-1-הגדרות!$E$8*(הגדרות!$E$7+1),הגדרות!$E$7)))</f>
        <v/>
      </c>
      <c r="K2575" s="0" t="str">
        <f aca="false">IF(I2575="","",J2575*הגדרות!$E$6+I2575+1)</f>
        <v/>
      </c>
      <c r="L2575" s="0" t="str">
        <f aca="false">IF(K2575="","",MATCH(K2575,$F$2:$F$5001,0))</f>
        <v/>
      </c>
      <c r="M2575" s="0" t="str">
        <f aca="false">IF(I2575="","",INDEX(הגדרות!$A$2:$A$21,MOD(I2575+הגדרות!$E$9,הגדרות!$E$6)+1))</f>
        <v/>
      </c>
    </row>
    <row r="2576" customFormat="false" ht="15" hidden="false" customHeight="false" outlineLevel="0" collapsed="false">
      <c r="A2576" s="0" t="str">
        <f aca="false">IF('הדבקת לידים'!A2576="","",IF(ISNUMBER('הדבקת לידים'!A2576),IF(הגדרות!$E$2&gt;0,TEXT('הדבקת לידים'!A2576,REPT("0",הגדרות!$E$2)),TEXT('הדבקת לידים'!A2576,"0")),TRIM('הדבקת לידים'!A2576)))</f>
        <v/>
      </c>
      <c r="B2576" s="0" t="str">
        <f aca="false">IF('הדבקת לידים'!B2576="","",IF(ISNUMBER('הדבקת לידים'!B2576),IF(הגדרות!$E$3&gt;0,TEXT('הדבקת לידים'!B2576,REPT("0",הגדרות!$E$3)),TEXT('הדבקת לידים'!B2576,"0")),TRIM('הדבקת לידים'!B2576)))</f>
        <v/>
      </c>
      <c r="C2576" s="0" t="n">
        <f aca="false">IF(OR(A2576&lt;&gt;"",B2576&lt;&gt;""),1,0)</f>
        <v>0</v>
      </c>
      <c r="D2576" s="0" t="str">
        <f aca="false">IF(C2576=1,MOD(ABS(SIN(ROW()*12.9898+'הדבקת לידים'!$F$2*78.233+IFERROR(--RIGHT(A2576,6),LEN(A2576))*0.0137+IFERROR(--RIGHT(B2576,6),LEN(B2576))*0.0071))*43758.5453,1),"")</f>
        <v/>
      </c>
      <c r="E2576" s="0" t="str">
        <f aca="false">IF(C2576=1,INT(MOD(ABS(SIN(D2576*7919.123+ROW()*0.618+'הדבקת לידים'!$F$2*1.3))*43758.5453,1)*1000000)*10000+ROW(),"")</f>
        <v/>
      </c>
      <c r="F2576" s="0" t="str">
        <f aca="false">IF(E2576="","",RANK(E2576,$E$2:$E$5001,1))</f>
        <v/>
      </c>
      <c r="G2576" s="0" t="n">
        <f aca="false">IF(A2576="",0,IF(SUMPRODUCT(--($A$2:$A$5001=A2576))&gt;1,1,0))</f>
        <v>0</v>
      </c>
      <c r="H2576" s="0" t="n">
        <f aca="false">ROW()-1</f>
        <v>2575</v>
      </c>
      <c r="I2576" s="0" t="str">
        <f aca="false">IF(OR(הגדרות!$E$6=0,H2576&gt;הגדרות!$E$5),"",IF(H2576-1&lt;הגדרות!$E$8*(הגדרות!$E$7+1),INT((H2576-1)/(הגדרות!$E$7+1)),הגדרות!$E$8+INT((H2576-1-הגדרות!$E$8*(הגדרות!$E$7+1))/הגדרות!$E$7)))</f>
        <v/>
      </c>
      <c r="J2576" s="0" t="str">
        <f aca="false">IF(I2576="","",IF(H2576-1&lt;הגדרות!$E$8*(הגדרות!$E$7+1),MOD(H2576-1,הגדרות!$E$7+1),MOD(H2576-1-הגדרות!$E$8*(הגדרות!$E$7+1),הגדרות!$E$7)))</f>
        <v/>
      </c>
      <c r="K2576" s="0" t="str">
        <f aca="false">IF(I2576="","",J2576*הגדרות!$E$6+I2576+1)</f>
        <v/>
      </c>
      <c r="L2576" s="0" t="str">
        <f aca="false">IF(K2576="","",MATCH(K2576,$F$2:$F$5001,0))</f>
        <v/>
      </c>
      <c r="M2576" s="0" t="str">
        <f aca="false">IF(I2576="","",INDEX(הגדרות!$A$2:$A$21,MOD(I2576+הגדרות!$E$9,הגדרות!$E$6)+1))</f>
        <v/>
      </c>
    </row>
    <row r="2577" customFormat="false" ht="15" hidden="false" customHeight="false" outlineLevel="0" collapsed="false">
      <c r="A2577" s="0" t="str">
        <f aca="false">IF('הדבקת לידים'!A2577="","",IF(ISNUMBER('הדבקת לידים'!A2577),IF(הגדרות!$E$2&gt;0,TEXT('הדבקת לידים'!A2577,REPT("0",הגדרות!$E$2)),TEXT('הדבקת לידים'!A2577,"0")),TRIM('הדבקת לידים'!A2577)))</f>
        <v/>
      </c>
      <c r="B2577" s="0" t="str">
        <f aca="false">IF('הדבקת לידים'!B2577="","",IF(ISNUMBER('הדבקת לידים'!B2577),IF(הגדרות!$E$3&gt;0,TEXT('הדבקת לידים'!B2577,REPT("0",הגדרות!$E$3)),TEXT('הדבקת לידים'!B2577,"0")),TRIM('הדבקת לידים'!B2577)))</f>
        <v/>
      </c>
      <c r="C2577" s="0" t="n">
        <f aca="false">IF(OR(A2577&lt;&gt;"",B2577&lt;&gt;""),1,0)</f>
        <v>0</v>
      </c>
      <c r="D2577" s="0" t="str">
        <f aca="false">IF(C2577=1,MOD(ABS(SIN(ROW()*12.9898+'הדבקת לידים'!$F$2*78.233+IFERROR(--RIGHT(A2577,6),LEN(A2577))*0.0137+IFERROR(--RIGHT(B2577,6),LEN(B2577))*0.0071))*43758.5453,1),"")</f>
        <v/>
      </c>
      <c r="E2577" s="0" t="str">
        <f aca="false">IF(C2577=1,INT(MOD(ABS(SIN(D2577*7919.123+ROW()*0.618+'הדבקת לידים'!$F$2*1.3))*43758.5453,1)*1000000)*10000+ROW(),"")</f>
        <v/>
      </c>
      <c r="F2577" s="0" t="str">
        <f aca="false">IF(E2577="","",RANK(E2577,$E$2:$E$5001,1))</f>
        <v/>
      </c>
      <c r="G2577" s="0" t="n">
        <f aca="false">IF(A2577="",0,IF(SUMPRODUCT(--($A$2:$A$5001=A2577))&gt;1,1,0))</f>
        <v>0</v>
      </c>
      <c r="H2577" s="0" t="n">
        <f aca="false">ROW()-1</f>
        <v>2576</v>
      </c>
      <c r="I2577" s="0" t="str">
        <f aca="false">IF(OR(הגדרות!$E$6=0,H2577&gt;הגדרות!$E$5),"",IF(H2577-1&lt;הגדרות!$E$8*(הגדרות!$E$7+1),INT((H2577-1)/(הגדרות!$E$7+1)),הגדרות!$E$8+INT((H2577-1-הגדרות!$E$8*(הגדרות!$E$7+1))/הגדרות!$E$7)))</f>
        <v/>
      </c>
      <c r="J2577" s="0" t="str">
        <f aca="false">IF(I2577="","",IF(H2577-1&lt;הגדרות!$E$8*(הגדרות!$E$7+1),MOD(H2577-1,הגדרות!$E$7+1),MOD(H2577-1-הגדרות!$E$8*(הגדרות!$E$7+1),הגדרות!$E$7)))</f>
        <v/>
      </c>
      <c r="K2577" s="0" t="str">
        <f aca="false">IF(I2577="","",J2577*הגדרות!$E$6+I2577+1)</f>
        <v/>
      </c>
      <c r="L2577" s="0" t="str">
        <f aca="false">IF(K2577="","",MATCH(K2577,$F$2:$F$5001,0))</f>
        <v/>
      </c>
      <c r="M2577" s="0" t="str">
        <f aca="false">IF(I2577="","",INDEX(הגדרות!$A$2:$A$21,MOD(I2577+הגדרות!$E$9,הגדרות!$E$6)+1))</f>
        <v/>
      </c>
    </row>
    <row r="2578" customFormat="false" ht="15" hidden="false" customHeight="false" outlineLevel="0" collapsed="false">
      <c r="A2578" s="0" t="str">
        <f aca="false">IF('הדבקת לידים'!A2578="","",IF(ISNUMBER('הדבקת לידים'!A2578),IF(הגדרות!$E$2&gt;0,TEXT('הדבקת לידים'!A2578,REPT("0",הגדרות!$E$2)),TEXT('הדבקת לידים'!A2578,"0")),TRIM('הדבקת לידים'!A2578)))</f>
        <v/>
      </c>
      <c r="B2578" s="0" t="str">
        <f aca="false">IF('הדבקת לידים'!B2578="","",IF(ISNUMBER('הדבקת לידים'!B2578),IF(הגדרות!$E$3&gt;0,TEXT('הדבקת לידים'!B2578,REPT("0",הגדרות!$E$3)),TEXT('הדבקת לידים'!B2578,"0")),TRIM('הדבקת לידים'!B2578)))</f>
        <v/>
      </c>
      <c r="C2578" s="0" t="n">
        <f aca="false">IF(OR(A2578&lt;&gt;"",B2578&lt;&gt;""),1,0)</f>
        <v>0</v>
      </c>
      <c r="D2578" s="0" t="str">
        <f aca="false">IF(C2578=1,MOD(ABS(SIN(ROW()*12.9898+'הדבקת לידים'!$F$2*78.233+IFERROR(--RIGHT(A2578,6),LEN(A2578))*0.0137+IFERROR(--RIGHT(B2578,6),LEN(B2578))*0.0071))*43758.5453,1),"")</f>
        <v/>
      </c>
      <c r="E2578" s="0" t="str">
        <f aca="false">IF(C2578=1,INT(MOD(ABS(SIN(D2578*7919.123+ROW()*0.618+'הדבקת לידים'!$F$2*1.3))*43758.5453,1)*1000000)*10000+ROW(),"")</f>
        <v/>
      </c>
      <c r="F2578" s="0" t="str">
        <f aca="false">IF(E2578="","",RANK(E2578,$E$2:$E$5001,1))</f>
        <v/>
      </c>
      <c r="G2578" s="0" t="n">
        <f aca="false">IF(A2578="",0,IF(SUMPRODUCT(--($A$2:$A$5001=A2578))&gt;1,1,0))</f>
        <v>0</v>
      </c>
      <c r="H2578" s="0" t="n">
        <f aca="false">ROW()-1</f>
        <v>2577</v>
      </c>
      <c r="I2578" s="0" t="str">
        <f aca="false">IF(OR(הגדרות!$E$6=0,H2578&gt;הגדרות!$E$5),"",IF(H2578-1&lt;הגדרות!$E$8*(הגדרות!$E$7+1),INT((H2578-1)/(הגדרות!$E$7+1)),הגדרות!$E$8+INT((H2578-1-הגדרות!$E$8*(הגדרות!$E$7+1))/הגדרות!$E$7)))</f>
        <v/>
      </c>
      <c r="J2578" s="0" t="str">
        <f aca="false">IF(I2578="","",IF(H2578-1&lt;הגדרות!$E$8*(הגדרות!$E$7+1),MOD(H2578-1,הגדרות!$E$7+1),MOD(H2578-1-הגדרות!$E$8*(הגדרות!$E$7+1),הגדרות!$E$7)))</f>
        <v/>
      </c>
      <c r="K2578" s="0" t="str">
        <f aca="false">IF(I2578="","",J2578*הגדרות!$E$6+I2578+1)</f>
        <v/>
      </c>
      <c r="L2578" s="0" t="str">
        <f aca="false">IF(K2578="","",MATCH(K2578,$F$2:$F$5001,0))</f>
        <v/>
      </c>
      <c r="M2578" s="0" t="str">
        <f aca="false">IF(I2578="","",INDEX(הגדרות!$A$2:$A$21,MOD(I2578+הגדרות!$E$9,הגדרות!$E$6)+1))</f>
        <v/>
      </c>
    </row>
    <row r="2579" customFormat="false" ht="15" hidden="false" customHeight="false" outlineLevel="0" collapsed="false">
      <c r="A2579" s="0" t="str">
        <f aca="false">IF('הדבקת לידים'!A2579="","",IF(ISNUMBER('הדבקת לידים'!A2579),IF(הגדרות!$E$2&gt;0,TEXT('הדבקת לידים'!A2579,REPT("0",הגדרות!$E$2)),TEXT('הדבקת לידים'!A2579,"0")),TRIM('הדבקת לידים'!A2579)))</f>
        <v/>
      </c>
      <c r="B2579" s="0" t="str">
        <f aca="false">IF('הדבקת לידים'!B2579="","",IF(ISNUMBER('הדבקת לידים'!B2579),IF(הגדרות!$E$3&gt;0,TEXT('הדבקת לידים'!B2579,REPT("0",הגדרות!$E$3)),TEXT('הדבקת לידים'!B2579,"0")),TRIM('הדבקת לידים'!B2579)))</f>
        <v/>
      </c>
      <c r="C2579" s="0" t="n">
        <f aca="false">IF(OR(A2579&lt;&gt;"",B2579&lt;&gt;""),1,0)</f>
        <v>0</v>
      </c>
      <c r="D2579" s="0" t="str">
        <f aca="false">IF(C2579=1,MOD(ABS(SIN(ROW()*12.9898+'הדבקת לידים'!$F$2*78.233+IFERROR(--RIGHT(A2579,6),LEN(A2579))*0.0137+IFERROR(--RIGHT(B2579,6),LEN(B2579))*0.0071))*43758.5453,1),"")</f>
        <v/>
      </c>
      <c r="E2579" s="0" t="str">
        <f aca="false">IF(C2579=1,INT(MOD(ABS(SIN(D2579*7919.123+ROW()*0.618+'הדבקת לידים'!$F$2*1.3))*43758.5453,1)*1000000)*10000+ROW(),"")</f>
        <v/>
      </c>
      <c r="F2579" s="0" t="str">
        <f aca="false">IF(E2579="","",RANK(E2579,$E$2:$E$5001,1))</f>
        <v/>
      </c>
      <c r="G2579" s="0" t="n">
        <f aca="false">IF(A2579="",0,IF(SUMPRODUCT(--($A$2:$A$5001=A2579))&gt;1,1,0))</f>
        <v>0</v>
      </c>
      <c r="H2579" s="0" t="n">
        <f aca="false">ROW()-1</f>
        <v>2578</v>
      </c>
      <c r="I2579" s="0" t="str">
        <f aca="false">IF(OR(הגדרות!$E$6=0,H2579&gt;הגדרות!$E$5),"",IF(H2579-1&lt;הגדרות!$E$8*(הגדרות!$E$7+1),INT((H2579-1)/(הגדרות!$E$7+1)),הגדרות!$E$8+INT((H2579-1-הגדרות!$E$8*(הגדרות!$E$7+1))/הגדרות!$E$7)))</f>
        <v/>
      </c>
      <c r="J2579" s="0" t="str">
        <f aca="false">IF(I2579="","",IF(H2579-1&lt;הגדרות!$E$8*(הגדרות!$E$7+1),MOD(H2579-1,הגדרות!$E$7+1),MOD(H2579-1-הגדרות!$E$8*(הגדרות!$E$7+1),הגדרות!$E$7)))</f>
        <v/>
      </c>
      <c r="K2579" s="0" t="str">
        <f aca="false">IF(I2579="","",J2579*הגדרות!$E$6+I2579+1)</f>
        <v/>
      </c>
      <c r="L2579" s="0" t="str">
        <f aca="false">IF(K2579="","",MATCH(K2579,$F$2:$F$5001,0))</f>
        <v/>
      </c>
      <c r="M2579" s="0" t="str">
        <f aca="false">IF(I2579="","",INDEX(הגדרות!$A$2:$A$21,MOD(I2579+הגדרות!$E$9,הגדרות!$E$6)+1))</f>
        <v/>
      </c>
    </row>
    <row r="2580" customFormat="false" ht="15" hidden="false" customHeight="false" outlineLevel="0" collapsed="false">
      <c r="A2580" s="0" t="str">
        <f aca="false">IF('הדבקת לידים'!A2580="","",IF(ISNUMBER('הדבקת לידים'!A2580),IF(הגדרות!$E$2&gt;0,TEXT('הדבקת לידים'!A2580,REPT("0",הגדרות!$E$2)),TEXT('הדבקת לידים'!A2580,"0")),TRIM('הדבקת לידים'!A2580)))</f>
        <v/>
      </c>
      <c r="B2580" s="0" t="str">
        <f aca="false">IF('הדבקת לידים'!B2580="","",IF(ISNUMBER('הדבקת לידים'!B2580),IF(הגדרות!$E$3&gt;0,TEXT('הדבקת לידים'!B2580,REPT("0",הגדרות!$E$3)),TEXT('הדבקת לידים'!B2580,"0")),TRIM('הדבקת לידים'!B2580)))</f>
        <v/>
      </c>
      <c r="C2580" s="0" t="n">
        <f aca="false">IF(OR(A2580&lt;&gt;"",B2580&lt;&gt;""),1,0)</f>
        <v>0</v>
      </c>
      <c r="D2580" s="0" t="str">
        <f aca="false">IF(C2580=1,MOD(ABS(SIN(ROW()*12.9898+'הדבקת לידים'!$F$2*78.233+IFERROR(--RIGHT(A2580,6),LEN(A2580))*0.0137+IFERROR(--RIGHT(B2580,6),LEN(B2580))*0.0071))*43758.5453,1),"")</f>
        <v/>
      </c>
      <c r="E2580" s="0" t="str">
        <f aca="false">IF(C2580=1,INT(MOD(ABS(SIN(D2580*7919.123+ROW()*0.618+'הדבקת לידים'!$F$2*1.3))*43758.5453,1)*1000000)*10000+ROW(),"")</f>
        <v/>
      </c>
      <c r="F2580" s="0" t="str">
        <f aca="false">IF(E2580="","",RANK(E2580,$E$2:$E$5001,1))</f>
        <v/>
      </c>
      <c r="G2580" s="0" t="n">
        <f aca="false">IF(A2580="",0,IF(SUMPRODUCT(--($A$2:$A$5001=A2580))&gt;1,1,0))</f>
        <v>0</v>
      </c>
      <c r="H2580" s="0" t="n">
        <f aca="false">ROW()-1</f>
        <v>2579</v>
      </c>
      <c r="I2580" s="0" t="str">
        <f aca="false">IF(OR(הגדרות!$E$6=0,H2580&gt;הגדרות!$E$5),"",IF(H2580-1&lt;הגדרות!$E$8*(הגדרות!$E$7+1),INT((H2580-1)/(הגדרות!$E$7+1)),הגדרות!$E$8+INT((H2580-1-הגדרות!$E$8*(הגדרות!$E$7+1))/הגדרות!$E$7)))</f>
        <v/>
      </c>
      <c r="J2580" s="0" t="str">
        <f aca="false">IF(I2580="","",IF(H2580-1&lt;הגדרות!$E$8*(הגדרות!$E$7+1),MOD(H2580-1,הגדרות!$E$7+1),MOD(H2580-1-הגדרות!$E$8*(הגדרות!$E$7+1),הגדרות!$E$7)))</f>
        <v/>
      </c>
      <c r="K2580" s="0" t="str">
        <f aca="false">IF(I2580="","",J2580*הגדרות!$E$6+I2580+1)</f>
        <v/>
      </c>
      <c r="L2580" s="0" t="str">
        <f aca="false">IF(K2580="","",MATCH(K2580,$F$2:$F$5001,0))</f>
        <v/>
      </c>
      <c r="M2580" s="0" t="str">
        <f aca="false">IF(I2580="","",INDEX(הגדרות!$A$2:$A$21,MOD(I2580+הגדרות!$E$9,הגדרות!$E$6)+1))</f>
        <v/>
      </c>
    </row>
    <row r="2581" customFormat="false" ht="15" hidden="false" customHeight="false" outlineLevel="0" collapsed="false">
      <c r="A2581" s="0" t="str">
        <f aca="false">IF('הדבקת לידים'!A2581="","",IF(ISNUMBER('הדבקת לידים'!A2581),IF(הגדרות!$E$2&gt;0,TEXT('הדבקת לידים'!A2581,REPT("0",הגדרות!$E$2)),TEXT('הדבקת לידים'!A2581,"0")),TRIM('הדבקת לידים'!A2581)))</f>
        <v/>
      </c>
      <c r="B2581" s="0" t="str">
        <f aca="false">IF('הדבקת לידים'!B2581="","",IF(ISNUMBER('הדבקת לידים'!B2581),IF(הגדרות!$E$3&gt;0,TEXT('הדבקת לידים'!B2581,REPT("0",הגדרות!$E$3)),TEXT('הדבקת לידים'!B2581,"0")),TRIM('הדבקת לידים'!B2581)))</f>
        <v/>
      </c>
      <c r="C2581" s="0" t="n">
        <f aca="false">IF(OR(A2581&lt;&gt;"",B2581&lt;&gt;""),1,0)</f>
        <v>0</v>
      </c>
      <c r="D2581" s="0" t="str">
        <f aca="false">IF(C2581=1,MOD(ABS(SIN(ROW()*12.9898+'הדבקת לידים'!$F$2*78.233+IFERROR(--RIGHT(A2581,6),LEN(A2581))*0.0137+IFERROR(--RIGHT(B2581,6),LEN(B2581))*0.0071))*43758.5453,1),"")</f>
        <v/>
      </c>
      <c r="E2581" s="0" t="str">
        <f aca="false">IF(C2581=1,INT(MOD(ABS(SIN(D2581*7919.123+ROW()*0.618+'הדבקת לידים'!$F$2*1.3))*43758.5453,1)*1000000)*10000+ROW(),"")</f>
        <v/>
      </c>
      <c r="F2581" s="0" t="str">
        <f aca="false">IF(E2581="","",RANK(E2581,$E$2:$E$5001,1))</f>
        <v/>
      </c>
      <c r="G2581" s="0" t="n">
        <f aca="false">IF(A2581="",0,IF(SUMPRODUCT(--($A$2:$A$5001=A2581))&gt;1,1,0))</f>
        <v>0</v>
      </c>
      <c r="H2581" s="0" t="n">
        <f aca="false">ROW()-1</f>
        <v>2580</v>
      </c>
      <c r="I2581" s="0" t="str">
        <f aca="false">IF(OR(הגדרות!$E$6=0,H2581&gt;הגדרות!$E$5),"",IF(H2581-1&lt;הגדרות!$E$8*(הגדרות!$E$7+1),INT((H2581-1)/(הגדרות!$E$7+1)),הגדרות!$E$8+INT((H2581-1-הגדרות!$E$8*(הגדרות!$E$7+1))/הגדרות!$E$7)))</f>
        <v/>
      </c>
      <c r="J2581" s="0" t="str">
        <f aca="false">IF(I2581="","",IF(H2581-1&lt;הגדרות!$E$8*(הגדרות!$E$7+1),MOD(H2581-1,הגדרות!$E$7+1),MOD(H2581-1-הגדרות!$E$8*(הגדרות!$E$7+1),הגדרות!$E$7)))</f>
        <v/>
      </c>
      <c r="K2581" s="0" t="str">
        <f aca="false">IF(I2581="","",J2581*הגדרות!$E$6+I2581+1)</f>
        <v/>
      </c>
      <c r="L2581" s="0" t="str">
        <f aca="false">IF(K2581="","",MATCH(K2581,$F$2:$F$5001,0))</f>
        <v/>
      </c>
      <c r="M2581" s="0" t="str">
        <f aca="false">IF(I2581="","",INDEX(הגדרות!$A$2:$A$21,MOD(I2581+הגדרות!$E$9,הגדרות!$E$6)+1))</f>
        <v/>
      </c>
    </row>
    <row r="2582" customFormat="false" ht="15" hidden="false" customHeight="false" outlineLevel="0" collapsed="false">
      <c r="A2582" s="0" t="str">
        <f aca="false">IF('הדבקת לידים'!A2582="","",IF(ISNUMBER('הדבקת לידים'!A2582),IF(הגדרות!$E$2&gt;0,TEXT('הדבקת לידים'!A2582,REPT("0",הגדרות!$E$2)),TEXT('הדבקת לידים'!A2582,"0")),TRIM('הדבקת לידים'!A2582)))</f>
        <v/>
      </c>
      <c r="B2582" s="0" t="str">
        <f aca="false">IF('הדבקת לידים'!B2582="","",IF(ISNUMBER('הדבקת לידים'!B2582),IF(הגדרות!$E$3&gt;0,TEXT('הדבקת לידים'!B2582,REPT("0",הגדרות!$E$3)),TEXT('הדבקת לידים'!B2582,"0")),TRIM('הדבקת לידים'!B2582)))</f>
        <v/>
      </c>
      <c r="C2582" s="0" t="n">
        <f aca="false">IF(OR(A2582&lt;&gt;"",B2582&lt;&gt;""),1,0)</f>
        <v>0</v>
      </c>
      <c r="D2582" s="0" t="str">
        <f aca="false">IF(C2582=1,MOD(ABS(SIN(ROW()*12.9898+'הדבקת לידים'!$F$2*78.233+IFERROR(--RIGHT(A2582,6),LEN(A2582))*0.0137+IFERROR(--RIGHT(B2582,6),LEN(B2582))*0.0071))*43758.5453,1),"")</f>
        <v/>
      </c>
      <c r="E2582" s="0" t="str">
        <f aca="false">IF(C2582=1,INT(MOD(ABS(SIN(D2582*7919.123+ROW()*0.618+'הדבקת לידים'!$F$2*1.3))*43758.5453,1)*1000000)*10000+ROW(),"")</f>
        <v/>
      </c>
      <c r="F2582" s="0" t="str">
        <f aca="false">IF(E2582="","",RANK(E2582,$E$2:$E$5001,1))</f>
        <v/>
      </c>
      <c r="G2582" s="0" t="n">
        <f aca="false">IF(A2582="",0,IF(SUMPRODUCT(--($A$2:$A$5001=A2582))&gt;1,1,0))</f>
        <v>0</v>
      </c>
      <c r="H2582" s="0" t="n">
        <f aca="false">ROW()-1</f>
        <v>2581</v>
      </c>
      <c r="I2582" s="0" t="str">
        <f aca="false">IF(OR(הגדרות!$E$6=0,H2582&gt;הגדרות!$E$5),"",IF(H2582-1&lt;הגדרות!$E$8*(הגדרות!$E$7+1),INT((H2582-1)/(הגדרות!$E$7+1)),הגדרות!$E$8+INT((H2582-1-הגדרות!$E$8*(הגדרות!$E$7+1))/הגדרות!$E$7)))</f>
        <v/>
      </c>
      <c r="J2582" s="0" t="str">
        <f aca="false">IF(I2582="","",IF(H2582-1&lt;הגדרות!$E$8*(הגדרות!$E$7+1),MOD(H2582-1,הגדרות!$E$7+1),MOD(H2582-1-הגדרות!$E$8*(הגדרות!$E$7+1),הגדרות!$E$7)))</f>
        <v/>
      </c>
      <c r="K2582" s="0" t="str">
        <f aca="false">IF(I2582="","",J2582*הגדרות!$E$6+I2582+1)</f>
        <v/>
      </c>
      <c r="L2582" s="0" t="str">
        <f aca="false">IF(K2582="","",MATCH(K2582,$F$2:$F$5001,0))</f>
        <v/>
      </c>
      <c r="M2582" s="0" t="str">
        <f aca="false">IF(I2582="","",INDEX(הגדרות!$A$2:$A$21,MOD(I2582+הגדרות!$E$9,הגדרות!$E$6)+1))</f>
        <v/>
      </c>
    </row>
    <row r="2583" customFormat="false" ht="15" hidden="false" customHeight="false" outlineLevel="0" collapsed="false">
      <c r="A2583" s="0" t="str">
        <f aca="false">IF('הדבקת לידים'!A2583="","",IF(ISNUMBER('הדבקת לידים'!A2583),IF(הגדרות!$E$2&gt;0,TEXT('הדבקת לידים'!A2583,REPT("0",הגדרות!$E$2)),TEXT('הדבקת לידים'!A2583,"0")),TRIM('הדבקת לידים'!A2583)))</f>
        <v/>
      </c>
      <c r="B2583" s="0" t="str">
        <f aca="false">IF('הדבקת לידים'!B2583="","",IF(ISNUMBER('הדבקת לידים'!B2583),IF(הגדרות!$E$3&gt;0,TEXT('הדבקת לידים'!B2583,REPT("0",הגדרות!$E$3)),TEXT('הדבקת לידים'!B2583,"0")),TRIM('הדבקת לידים'!B2583)))</f>
        <v/>
      </c>
      <c r="C2583" s="0" t="n">
        <f aca="false">IF(OR(A2583&lt;&gt;"",B2583&lt;&gt;""),1,0)</f>
        <v>0</v>
      </c>
      <c r="D2583" s="0" t="str">
        <f aca="false">IF(C2583=1,MOD(ABS(SIN(ROW()*12.9898+'הדבקת לידים'!$F$2*78.233+IFERROR(--RIGHT(A2583,6),LEN(A2583))*0.0137+IFERROR(--RIGHT(B2583,6),LEN(B2583))*0.0071))*43758.5453,1),"")</f>
        <v/>
      </c>
      <c r="E2583" s="0" t="str">
        <f aca="false">IF(C2583=1,INT(MOD(ABS(SIN(D2583*7919.123+ROW()*0.618+'הדבקת לידים'!$F$2*1.3))*43758.5453,1)*1000000)*10000+ROW(),"")</f>
        <v/>
      </c>
      <c r="F2583" s="0" t="str">
        <f aca="false">IF(E2583="","",RANK(E2583,$E$2:$E$5001,1))</f>
        <v/>
      </c>
      <c r="G2583" s="0" t="n">
        <f aca="false">IF(A2583="",0,IF(SUMPRODUCT(--($A$2:$A$5001=A2583))&gt;1,1,0))</f>
        <v>0</v>
      </c>
      <c r="H2583" s="0" t="n">
        <f aca="false">ROW()-1</f>
        <v>2582</v>
      </c>
      <c r="I2583" s="0" t="str">
        <f aca="false">IF(OR(הגדרות!$E$6=0,H2583&gt;הגדרות!$E$5),"",IF(H2583-1&lt;הגדרות!$E$8*(הגדרות!$E$7+1),INT((H2583-1)/(הגדרות!$E$7+1)),הגדרות!$E$8+INT((H2583-1-הגדרות!$E$8*(הגדרות!$E$7+1))/הגדרות!$E$7)))</f>
        <v/>
      </c>
      <c r="J2583" s="0" t="str">
        <f aca="false">IF(I2583="","",IF(H2583-1&lt;הגדרות!$E$8*(הגדרות!$E$7+1),MOD(H2583-1,הגדרות!$E$7+1),MOD(H2583-1-הגדרות!$E$8*(הגדרות!$E$7+1),הגדרות!$E$7)))</f>
        <v/>
      </c>
      <c r="K2583" s="0" t="str">
        <f aca="false">IF(I2583="","",J2583*הגדרות!$E$6+I2583+1)</f>
        <v/>
      </c>
      <c r="L2583" s="0" t="str">
        <f aca="false">IF(K2583="","",MATCH(K2583,$F$2:$F$5001,0))</f>
        <v/>
      </c>
      <c r="M2583" s="0" t="str">
        <f aca="false">IF(I2583="","",INDEX(הגדרות!$A$2:$A$21,MOD(I2583+הגדרות!$E$9,הגדרות!$E$6)+1))</f>
        <v/>
      </c>
    </row>
    <row r="2584" customFormat="false" ht="15" hidden="false" customHeight="false" outlineLevel="0" collapsed="false">
      <c r="A2584" s="0" t="str">
        <f aca="false">IF('הדבקת לידים'!A2584="","",IF(ISNUMBER('הדבקת לידים'!A2584),IF(הגדרות!$E$2&gt;0,TEXT('הדבקת לידים'!A2584,REPT("0",הגדרות!$E$2)),TEXT('הדבקת לידים'!A2584,"0")),TRIM('הדבקת לידים'!A2584)))</f>
        <v/>
      </c>
      <c r="B2584" s="0" t="str">
        <f aca="false">IF('הדבקת לידים'!B2584="","",IF(ISNUMBER('הדבקת לידים'!B2584),IF(הגדרות!$E$3&gt;0,TEXT('הדבקת לידים'!B2584,REPT("0",הגדרות!$E$3)),TEXT('הדבקת לידים'!B2584,"0")),TRIM('הדבקת לידים'!B2584)))</f>
        <v/>
      </c>
      <c r="C2584" s="0" t="n">
        <f aca="false">IF(OR(A2584&lt;&gt;"",B2584&lt;&gt;""),1,0)</f>
        <v>0</v>
      </c>
      <c r="D2584" s="0" t="str">
        <f aca="false">IF(C2584=1,MOD(ABS(SIN(ROW()*12.9898+'הדבקת לידים'!$F$2*78.233+IFERROR(--RIGHT(A2584,6),LEN(A2584))*0.0137+IFERROR(--RIGHT(B2584,6),LEN(B2584))*0.0071))*43758.5453,1),"")</f>
        <v/>
      </c>
      <c r="E2584" s="0" t="str">
        <f aca="false">IF(C2584=1,INT(MOD(ABS(SIN(D2584*7919.123+ROW()*0.618+'הדבקת לידים'!$F$2*1.3))*43758.5453,1)*1000000)*10000+ROW(),"")</f>
        <v/>
      </c>
      <c r="F2584" s="0" t="str">
        <f aca="false">IF(E2584="","",RANK(E2584,$E$2:$E$5001,1))</f>
        <v/>
      </c>
      <c r="G2584" s="0" t="n">
        <f aca="false">IF(A2584="",0,IF(SUMPRODUCT(--($A$2:$A$5001=A2584))&gt;1,1,0))</f>
        <v>0</v>
      </c>
      <c r="H2584" s="0" t="n">
        <f aca="false">ROW()-1</f>
        <v>2583</v>
      </c>
      <c r="I2584" s="0" t="str">
        <f aca="false">IF(OR(הגדרות!$E$6=0,H2584&gt;הגדרות!$E$5),"",IF(H2584-1&lt;הגדרות!$E$8*(הגדרות!$E$7+1),INT((H2584-1)/(הגדרות!$E$7+1)),הגדרות!$E$8+INT((H2584-1-הגדרות!$E$8*(הגדרות!$E$7+1))/הגדרות!$E$7)))</f>
        <v/>
      </c>
      <c r="J2584" s="0" t="str">
        <f aca="false">IF(I2584="","",IF(H2584-1&lt;הגדרות!$E$8*(הגדרות!$E$7+1),MOD(H2584-1,הגדרות!$E$7+1),MOD(H2584-1-הגדרות!$E$8*(הגדרות!$E$7+1),הגדרות!$E$7)))</f>
        <v/>
      </c>
      <c r="K2584" s="0" t="str">
        <f aca="false">IF(I2584="","",J2584*הגדרות!$E$6+I2584+1)</f>
        <v/>
      </c>
      <c r="L2584" s="0" t="str">
        <f aca="false">IF(K2584="","",MATCH(K2584,$F$2:$F$5001,0))</f>
        <v/>
      </c>
      <c r="M2584" s="0" t="str">
        <f aca="false">IF(I2584="","",INDEX(הגדרות!$A$2:$A$21,MOD(I2584+הגדרות!$E$9,הגדרות!$E$6)+1))</f>
        <v/>
      </c>
    </row>
    <row r="2585" customFormat="false" ht="15" hidden="false" customHeight="false" outlineLevel="0" collapsed="false">
      <c r="A2585" s="0" t="str">
        <f aca="false">IF('הדבקת לידים'!A2585="","",IF(ISNUMBER('הדבקת לידים'!A2585),IF(הגדרות!$E$2&gt;0,TEXT('הדבקת לידים'!A2585,REPT("0",הגדרות!$E$2)),TEXT('הדבקת לידים'!A2585,"0")),TRIM('הדבקת לידים'!A2585)))</f>
        <v/>
      </c>
      <c r="B2585" s="0" t="str">
        <f aca="false">IF('הדבקת לידים'!B2585="","",IF(ISNUMBER('הדבקת לידים'!B2585),IF(הגדרות!$E$3&gt;0,TEXT('הדבקת לידים'!B2585,REPT("0",הגדרות!$E$3)),TEXT('הדבקת לידים'!B2585,"0")),TRIM('הדבקת לידים'!B2585)))</f>
        <v/>
      </c>
      <c r="C2585" s="0" t="n">
        <f aca="false">IF(OR(A2585&lt;&gt;"",B2585&lt;&gt;""),1,0)</f>
        <v>0</v>
      </c>
      <c r="D2585" s="0" t="str">
        <f aca="false">IF(C2585=1,MOD(ABS(SIN(ROW()*12.9898+'הדבקת לידים'!$F$2*78.233+IFERROR(--RIGHT(A2585,6),LEN(A2585))*0.0137+IFERROR(--RIGHT(B2585,6),LEN(B2585))*0.0071))*43758.5453,1),"")</f>
        <v/>
      </c>
      <c r="E2585" s="0" t="str">
        <f aca="false">IF(C2585=1,INT(MOD(ABS(SIN(D2585*7919.123+ROW()*0.618+'הדבקת לידים'!$F$2*1.3))*43758.5453,1)*1000000)*10000+ROW(),"")</f>
        <v/>
      </c>
      <c r="F2585" s="0" t="str">
        <f aca="false">IF(E2585="","",RANK(E2585,$E$2:$E$5001,1))</f>
        <v/>
      </c>
      <c r="G2585" s="0" t="n">
        <f aca="false">IF(A2585="",0,IF(SUMPRODUCT(--($A$2:$A$5001=A2585))&gt;1,1,0))</f>
        <v>0</v>
      </c>
      <c r="H2585" s="0" t="n">
        <f aca="false">ROW()-1</f>
        <v>2584</v>
      </c>
      <c r="I2585" s="0" t="str">
        <f aca="false">IF(OR(הגדרות!$E$6=0,H2585&gt;הגדרות!$E$5),"",IF(H2585-1&lt;הגדרות!$E$8*(הגדרות!$E$7+1),INT((H2585-1)/(הגדרות!$E$7+1)),הגדרות!$E$8+INT((H2585-1-הגדרות!$E$8*(הגדרות!$E$7+1))/הגדרות!$E$7)))</f>
        <v/>
      </c>
      <c r="J2585" s="0" t="str">
        <f aca="false">IF(I2585="","",IF(H2585-1&lt;הגדרות!$E$8*(הגדרות!$E$7+1),MOD(H2585-1,הגדרות!$E$7+1),MOD(H2585-1-הגדרות!$E$8*(הגדרות!$E$7+1),הגדרות!$E$7)))</f>
        <v/>
      </c>
      <c r="K2585" s="0" t="str">
        <f aca="false">IF(I2585="","",J2585*הגדרות!$E$6+I2585+1)</f>
        <v/>
      </c>
      <c r="L2585" s="0" t="str">
        <f aca="false">IF(K2585="","",MATCH(K2585,$F$2:$F$5001,0))</f>
        <v/>
      </c>
      <c r="M2585" s="0" t="str">
        <f aca="false">IF(I2585="","",INDEX(הגדרות!$A$2:$A$21,MOD(I2585+הגדרות!$E$9,הגדרות!$E$6)+1))</f>
        <v/>
      </c>
    </row>
    <row r="2586" customFormat="false" ht="15" hidden="false" customHeight="false" outlineLevel="0" collapsed="false">
      <c r="A2586" s="0" t="str">
        <f aca="false">IF('הדבקת לידים'!A2586="","",IF(ISNUMBER('הדבקת לידים'!A2586),IF(הגדרות!$E$2&gt;0,TEXT('הדבקת לידים'!A2586,REPT("0",הגדרות!$E$2)),TEXT('הדבקת לידים'!A2586,"0")),TRIM('הדבקת לידים'!A2586)))</f>
        <v/>
      </c>
      <c r="B2586" s="0" t="str">
        <f aca="false">IF('הדבקת לידים'!B2586="","",IF(ISNUMBER('הדבקת לידים'!B2586),IF(הגדרות!$E$3&gt;0,TEXT('הדבקת לידים'!B2586,REPT("0",הגדרות!$E$3)),TEXT('הדבקת לידים'!B2586,"0")),TRIM('הדבקת לידים'!B2586)))</f>
        <v/>
      </c>
      <c r="C2586" s="0" t="n">
        <f aca="false">IF(OR(A2586&lt;&gt;"",B2586&lt;&gt;""),1,0)</f>
        <v>0</v>
      </c>
      <c r="D2586" s="0" t="str">
        <f aca="false">IF(C2586=1,MOD(ABS(SIN(ROW()*12.9898+'הדבקת לידים'!$F$2*78.233+IFERROR(--RIGHT(A2586,6),LEN(A2586))*0.0137+IFERROR(--RIGHT(B2586,6),LEN(B2586))*0.0071))*43758.5453,1),"")</f>
        <v/>
      </c>
      <c r="E2586" s="0" t="str">
        <f aca="false">IF(C2586=1,INT(MOD(ABS(SIN(D2586*7919.123+ROW()*0.618+'הדבקת לידים'!$F$2*1.3))*43758.5453,1)*1000000)*10000+ROW(),"")</f>
        <v/>
      </c>
      <c r="F2586" s="0" t="str">
        <f aca="false">IF(E2586="","",RANK(E2586,$E$2:$E$5001,1))</f>
        <v/>
      </c>
      <c r="G2586" s="0" t="n">
        <f aca="false">IF(A2586="",0,IF(SUMPRODUCT(--($A$2:$A$5001=A2586))&gt;1,1,0))</f>
        <v>0</v>
      </c>
      <c r="H2586" s="0" t="n">
        <f aca="false">ROW()-1</f>
        <v>2585</v>
      </c>
      <c r="I2586" s="0" t="str">
        <f aca="false">IF(OR(הגדרות!$E$6=0,H2586&gt;הגדרות!$E$5),"",IF(H2586-1&lt;הגדרות!$E$8*(הגדרות!$E$7+1),INT((H2586-1)/(הגדרות!$E$7+1)),הגדרות!$E$8+INT((H2586-1-הגדרות!$E$8*(הגדרות!$E$7+1))/הגדרות!$E$7)))</f>
        <v/>
      </c>
      <c r="J2586" s="0" t="str">
        <f aca="false">IF(I2586="","",IF(H2586-1&lt;הגדרות!$E$8*(הגדרות!$E$7+1),MOD(H2586-1,הגדרות!$E$7+1),MOD(H2586-1-הגדרות!$E$8*(הגדרות!$E$7+1),הגדרות!$E$7)))</f>
        <v/>
      </c>
      <c r="K2586" s="0" t="str">
        <f aca="false">IF(I2586="","",J2586*הגדרות!$E$6+I2586+1)</f>
        <v/>
      </c>
      <c r="L2586" s="0" t="str">
        <f aca="false">IF(K2586="","",MATCH(K2586,$F$2:$F$5001,0))</f>
        <v/>
      </c>
      <c r="M2586" s="0" t="str">
        <f aca="false">IF(I2586="","",INDEX(הגדרות!$A$2:$A$21,MOD(I2586+הגדרות!$E$9,הגדרות!$E$6)+1))</f>
        <v/>
      </c>
    </row>
    <row r="2587" customFormat="false" ht="15" hidden="false" customHeight="false" outlineLevel="0" collapsed="false">
      <c r="A2587" s="0" t="str">
        <f aca="false">IF('הדבקת לידים'!A2587="","",IF(ISNUMBER('הדבקת לידים'!A2587),IF(הגדרות!$E$2&gt;0,TEXT('הדבקת לידים'!A2587,REPT("0",הגדרות!$E$2)),TEXT('הדבקת לידים'!A2587,"0")),TRIM('הדבקת לידים'!A2587)))</f>
        <v/>
      </c>
      <c r="B2587" s="0" t="str">
        <f aca="false">IF('הדבקת לידים'!B2587="","",IF(ISNUMBER('הדבקת לידים'!B2587),IF(הגדרות!$E$3&gt;0,TEXT('הדבקת לידים'!B2587,REPT("0",הגדרות!$E$3)),TEXT('הדבקת לידים'!B2587,"0")),TRIM('הדבקת לידים'!B2587)))</f>
        <v/>
      </c>
      <c r="C2587" s="0" t="n">
        <f aca="false">IF(OR(A2587&lt;&gt;"",B2587&lt;&gt;""),1,0)</f>
        <v>0</v>
      </c>
      <c r="D2587" s="0" t="str">
        <f aca="false">IF(C2587=1,MOD(ABS(SIN(ROW()*12.9898+'הדבקת לידים'!$F$2*78.233+IFERROR(--RIGHT(A2587,6),LEN(A2587))*0.0137+IFERROR(--RIGHT(B2587,6),LEN(B2587))*0.0071))*43758.5453,1),"")</f>
        <v/>
      </c>
      <c r="E2587" s="0" t="str">
        <f aca="false">IF(C2587=1,INT(MOD(ABS(SIN(D2587*7919.123+ROW()*0.618+'הדבקת לידים'!$F$2*1.3))*43758.5453,1)*1000000)*10000+ROW(),"")</f>
        <v/>
      </c>
      <c r="F2587" s="0" t="str">
        <f aca="false">IF(E2587="","",RANK(E2587,$E$2:$E$5001,1))</f>
        <v/>
      </c>
      <c r="G2587" s="0" t="n">
        <f aca="false">IF(A2587="",0,IF(SUMPRODUCT(--($A$2:$A$5001=A2587))&gt;1,1,0))</f>
        <v>0</v>
      </c>
      <c r="H2587" s="0" t="n">
        <f aca="false">ROW()-1</f>
        <v>2586</v>
      </c>
      <c r="I2587" s="0" t="str">
        <f aca="false">IF(OR(הגדרות!$E$6=0,H2587&gt;הגדרות!$E$5),"",IF(H2587-1&lt;הגדרות!$E$8*(הגדרות!$E$7+1),INT((H2587-1)/(הגדרות!$E$7+1)),הגדרות!$E$8+INT((H2587-1-הגדרות!$E$8*(הגדרות!$E$7+1))/הגדרות!$E$7)))</f>
        <v/>
      </c>
      <c r="J2587" s="0" t="str">
        <f aca="false">IF(I2587="","",IF(H2587-1&lt;הגדרות!$E$8*(הגדרות!$E$7+1),MOD(H2587-1,הגדרות!$E$7+1),MOD(H2587-1-הגדרות!$E$8*(הגדרות!$E$7+1),הגדרות!$E$7)))</f>
        <v/>
      </c>
      <c r="K2587" s="0" t="str">
        <f aca="false">IF(I2587="","",J2587*הגדרות!$E$6+I2587+1)</f>
        <v/>
      </c>
      <c r="L2587" s="0" t="str">
        <f aca="false">IF(K2587="","",MATCH(K2587,$F$2:$F$5001,0))</f>
        <v/>
      </c>
      <c r="M2587" s="0" t="str">
        <f aca="false">IF(I2587="","",INDEX(הגדרות!$A$2:$A$21,MOD(I2587+הגדרות!$E$9,הגדרות!$E$6)+1))</f>
        <v/>
      </c>
    </row>
    <row r="2588" customFormat="false" ht="15" hidden="false" customHeight="false" outlineLevel="0" collapsed="false">
      <c r="A2588" s="0" t="str">
        <f aca="false">IF('הדבקת לידים'!A2588="","",IF(ISNUMBER('הדבקת לידים'!A2588),IF(הגדרות!$E$2&gt;0,TEXT('הדבקת לידים'!A2588,REPT("0",הגדרות!$E$2)),TEXT('הדבקת לידים'!A2588,"0")),TRIM('הדבקת לידים'!A2588)))</f>
        <v/>
      </c>
      <c r="B2588" s="0" t="str">
        <f aca="false">IF('הדבקת לידים'!B2588="","",IF(ISNUMBER('הדבקת לידים'!B2588),IF(הגדרות!$E$3&gt;0,TEXT('הדבקת לידים'!B2588,REPT("0",הגדרות!$E$3)),TEXT('הדבקת לידים'!B2588,"0")),TRIM('הדבקת לידים'!B2588)))</f>
        <v/>
      </c>
      <c r="C2588" s="0" t="n">
        <f aca="false">IF(OR(A2588&lt;&gt;"",B2588&lt;&gt;""),1,0)</f>
        <v>0</v>
      </c>
      <c r="D2588" s="0" t="str">
        <f aca="false">IF(C2588=1,MOD(ABS(SIN(ROW()*12.9898+'הדבקת לידים'!$F$2*78.233+IFERROR(--RIGHT(A2588,6),LEN(A2588))*0.0137+IFERROR(--RIGHT(B2588,6),LEN(B2588))*0.0071))*43758.5453,1),"")</f>
        <v/>
      </c>
      <c r="E2588" s="0" t="str">
        <f aca="false">IF(C2588=1,INT(MOD(ABS(SIN(D2588*7919.123+ROW()*0.618+'הדבקת לידים'!$F$2*1.3))*43758.5453,1)*1000000)*10000+ROW(),"")</f>
        <v/>
      </c>
      <c r="F2588" s="0" t="str">
        <f aca="false">IF(E2588="","",RANK(E2588,$E$2:$E$5001,1))</f>
        <v/>
      </c>
      <c r="G2588" s="0" t="n">
        <f aca="false">IF(A2588="",0,IF(SUMPRODUCT(--($A$2:$A$5001=A2588))&gt;1,1,0))</f>
        <v>0</v>
      </c>
      <c r="H2588" s="0" t="n">
        <f aca="false">ROW()-1</f>
        <v>2587</v>
      </c>
      <c r="I2588" s="0" t="str">
        <f aca="false">IF(OR(הגדרות!$E$6=0,H2588&gt;הגדרות!$E$5),"",IF(H2588-1&lt;הגדרות!$E$8*(הגדרות!$E$7+1),INT((H2588-1)/(הגדרות!$E$7+1)),הגדרות!$E$8+INT((H2588-1-הגדרות!$E$8*(הגדרות!$E$7+1))/הגדרות!$E$7)))</f>
        <v/>
      </c>
      <c r="J2588" s="0" t="str">
        <f aca="false">IF(I2588="","",IF(H2588-1&lt;הגדרות!$E$8*(הגדרות!$E$7+1),MOD(H2588-1,הגדרות!$E$7+1),MOD(H2588-1-הגדרות!$E$8*(הגדרות!$E$7+1),הגדרות!$E$7)))</f>
        <v/>
      </c>
      <c r="K2588" s="0" t="str">
        <f aca="false">IF(I2588="","",J2588*הגדרות!$E$6+I2588+1)</f>
        <v/>
      </c>
      <c r="L2588" s="0" t="str">
        <f aca="false">IF(K2588="","",MATCH(K2588,$F$2:$F$5001,0))</f>
        <v/>
      </c>
      <c r="M2588" s="0" t="str">
        <f aca="false">IF(I2588="","",INDEX(הגדרות!$A$2:$A$21,MOD(I2588+הגדרות!$E$9,הגדרות!$E$6)+1))</f>
        <v/>
      </c>
    </row>
    <row r="2589" customFormat="false" ht="15" hidden="false" customHeight="false" outlineLevel="0" collapsed="false">
      <c r="A2589" s="0" t="str">
        <f aca="false">IF('הדבקת לידים'!A2589="","",IF(ISNUMBER('הדבקת לידים'!A2589),IF(הגדרות!$E$2&gt;0,TEXT('הדבקת לידים'!A2589,REPT("0",הגדרות!$E$2)),TEXT('הדבקת לידים'!A2589,"0")),TRIM('הדבקת לידים'!A2589)))</f>
        <v/>
      </c>
      <c r="B2589" s="0" t="str">
        <f aca="false">IF('הדבקת לידים'!B2589="","",IF(ISNUMBER('הדבקת לידים'!B2589),IF(הגדרות!$E$3&gt;0,TEXT('הדבקת לידים'!B2589,REPT("0",הגדרות!$E$3)),TEXT('הדבקת לידים'!B2589,"0")),TRIM('הדבקת לידים'!B2589)))</f>
        <v/>
      </c>
      <c r="C2589" s="0" t="n">
        <f aca="false">IF(OR(A2589&lt;&gt;"",B2589&lt;&gt;""),1,0)</f>
        <v>0</v>
      </c>
      <c r="D2589" s="0" t="str">
        <f aca="false">IF(C2589=1,MOD(ABS(SIN(ROW()*12.9898+'הדבקת לידים'!$F$2*78.233+IFERROR(--RIGHT(A2589,6),LEN(A2589))*0.0137+IFERROR(--RIGHT(B2589,6),LEN(B2589))*0.0071))*43758.5453,1),"")</f>
        <v/>
      </c>
      <c r="E2589" s="0" t="str">
        <f aca="false">IF(C2589=1,INT(MOD(ABS(SIN(D2589*7919.123+ROW()*0.618+'הדבקת לידים'!$F$2*1.3))*43758.5453,1)*1000000)*10000+ROW(),"")</f>
        <v/>
      </c>
      <c r="F2589" s="0" t="str">
        <f aca="false">IF(E2589="","",RANK(E2589,$E$2:$E$5001,1))</f>
        <v/>
      </c>
      <c r="G2589" s="0" t="n">
        <f aca="false">IF(A2589="",0,IF(SUMPRODUCT(--($A$2:$A$5001=A2589))&gt;1,1,0))</f>
        <v>0</v>
      </c>
      <c r="H2589" s="0" t="n">
        <f aca="false">ROW()-1</f>
        <v>2588</v>
      </c>
      <c r="I2589" s="0" t="str">
        <f aca="false">IF(OR(הגדרות!$E$6=0,H2589&gt;הגדרות!$E$5),"",IF(H2589-1&lt;הגדרות!$E$8*(הגדרות!$E$7+1),INT((H2589-1)/(הגדרות!$E$7+1)),הגדרות!$E$8+INT((H2589-1-הגדרות!$E$8*(הגדרות!$E$7+1))/הגדרות!$E$7)))</f>
        <v/>
      </c>
      <c r="J2589" s="0" t="str">
        <f aca="false">IF(I2589="","",IF(H2589-1&lt;הגדרות!$E$8*(הגדרות!$E$7+1),MOD(H2589-1,הגדרות!$E$7+1),MOD(H2589-1-הגדרות!$E$8*(הגדרות!$E$7+1),הגדרות!$E$7)))</f>
        <v/>
      </c>
      <c r="K2589" s="0" t="str">
        <f aca="false">IF(I2589="","",J2589*הגדרות!$E$6+I2589+1)</f>
        <v/>
      </c>
      <c r="L2589" s="0" t="str">
        <f aca="false">IF(K2589="","",MATCH(K2589,$F$2:$F$5001,0))</f>
        <v/>
      </c>
      <c r="M2589" s="0" t="str">
        <f aca="false">IF(I2589="","",INDEX(הגדרות!$A$2:$A$21,MOD(I2589+הגדרות!$E$9,הגדרות!$E$6)+1))</f>
        <v/>
      </c>
    </row>
    <row r="2590" customFormat="false" ht="15" hidden="false" customHeight="false" outlineLevel="0" collapsed="false">
      <c r="A2590" s="0" t="str">
        <f aca="false">IF('הדבקת לידים'!A2590="","",IF(ISNUMBER('הדבקת לידים'!A2590),IF(הגדרות!$E$2&gt;0,TEXT('הדבקת לידים'!A2590,REPT("0",הגדרות!$E$2)),TEXT('הדבקת לידים'!A2590,"0")),TRIM('הדבקת לידים'!A2590)))</f>
        <v/>
      </c>
      <c r="B2590" s="0" t="str">
        <f aca="false">IF('הדבקת לידים'!B2590="","",IF(ISNUMBER('הדבקת לידים'!B2590),IF(הגדרות!$E$3&gt;0,TEXT('הדבקת לידים'!B2590,REPT("0",הגדרות!$E$3)),TEXT('הדבקת לידים'!B2590,"0")),TRIM('הדבקת לידים'!B2590)))</f>
        <v/>
      </c>
      <c r="C2590" s="0" t="n">
        <f aca="false">IF(OR(A2590&lt;&gt;"",B2590&lt;&gt;""),1,0)</f>
        <v>0</v>
      </c>
      <c r="D2590" s="0" t="str">
        <f aca="false">IF(C2590=1,MOD(ABS(SIN(ROW()*12.9898+'הדבקת לידים'!$F$2*78.233+IFERROR(--RIGHT(A2590,6),LEN(A2590))*0.0137+IFERROR(--RIGHT(B2590,6),LEN(B2590))*0.0071))*43758.5453,1),"")</f>
        <v/>
      </c>
      <c r="E2590" s="0" t="str">
        <f aca="false">IF(C2590=1,INT(MOD(ABS(SIN(D2590*7919.123+ROW()*0.618+'הדבקת לידים'!$F$2*1.3))*43758.5453,1)*1000000)*10000+ROW(),"")</f>
        <v/>
      </c>
      <c r="F2590" s="0" t="str">
        <f aca="false">IF(E2590="","",RANK(E2590,$E$2:$E$5001,1))</f>
        <v/>
      </c>
      <c r="G2590" s="0" t="n">
        <f aca="false">IF(A2590="",0,IF(SUMPRODUCT(--($A$2:$A$5001=A2590))&gt;1,1,0))</f>
        <v>0</v>
      </c>
      <c r="H2590" s="0" t="n">
        <f aca="false">ROW()-1</f>
        <v>2589</v>
      </c>
      <c r="I2590" s="0" t="str">
        <f aca="false">IF(OR(הגדרות!$E$6=0,H2590&gt;הגדרות!$E$5),"",IF(H2590-1&lt;הגדרות!$E$8*(הגדרות!$E$7+1),INT((H2590-1)/(הגדרות!$E$7+1)),הגדרות!$E$8+INT((H2590-1-הגדרות!$E$8*(הגדרות!$E$7+1))/הגדרות!$E$7)))</f>
        <v/>
      </c>
      <c r="J2590" s="0" t="str">
        <f aca="false">IF(I2590="","",IF(H2590-1&lt;הגדרות!$E$8*(הגדרות!$E$7+1),MOD(H2590-1,הגדרות!$E$7+1),MOD(H2590-1-הגדרות!$E$8*(הגדרות!$E$7+1),הגדרות!$E$7)))</f>
        <v/>
      </c>
      <c r="K2590" s="0" t="str">
        <f aca="false">IF(I2590="","",J2590*הגדרות!$E$6+I2590+1)</f>
        <v/>
      </c>
      <c r="L2590" s="0" t="str">
        <f aca="false">IF(K2590="","",MATCH(K2590,$F$2:$F$5001,0))</f>
        <v/>
      </c>
      <c r="M2590" s="0" t="str">
        <f aca="false">IF(I2590="","",INDEX(הגדרות!$A$2:$A$21,MOD(I2590+הגדרות!$E$9,הגדרות!$E$6)+1))</f>
        <v/>
      </c>
    </row>
    <row r="2591" customFormat="false" ht="15" hidden="false" customHeight="false" outlineLevel="0" collapsed="false">
      <c r="A2591" s="0" t="str">
        <f aca="false">IF('הדבקת לידים'!A2591="","",IF(ISNUMBER('הדבקת לידים'!A2591),IF(הגדרות!$E$2&gt;0,TEXT('הדבקת לידים'!A2591,REPT("0",הגדרות!$E$2)),TEXT('הדבקת לידים'!A2591,"0")),TRIM('הדבקת לידים'!A2591)))</f>
        <v/>
      </c>
      <c r="B2591" s="0" t="str">
        <f aca="false">IF('הדבקת לידים'!B2591="","",IF(ISNUMBER('הדבקת לידים'!B2591),IF(הגדרות!$E$3&gt;0,TEXT('הדבקת לידים'!B2591,REPT("0",הגדרות!$E$3)),TEXT('הדבקת לידים'!B2591,"0")),TRIM('הדבקת לידים'!B2591)))</f>
        <v/>
      </c>
      <c r="C2591" s="0" t="n">
        <f aca="false">IF(OR(A2591&lt;&gt;"",B2591&lt;&gt;""),1,0)</f>
        <v>0</v>
      </c>
      <c r="D2591" s="0" t="str">
        <f aca="false">IF(C2591=1,MOD(ABS(SIN(ROW()*12.9898+'הדבקת לידים'!$F$2*78.233+IFERROR(--RIGHT(A2591,6),LEN(A2591))*0.0137+IFERROR(--RIGHT(B2591,6),LEN(B2591))*0.0071))*43758.5453,1),"")</f>
        <v/>
      </c>
      <c r="E2591" s="0" t="str">
        <f aca="false">IF(C2591=1,INT(MOD(ABS(SIN(D2591*7919.123+ROW()*0.618+'הדבקת לידים'!$F$2*1.3))*43758.5453,1)*1000000)*10000+ROW(),"")</f>
        <v/>
      </c>
      <c r="F2591" s="0" t="str">
        <f aca="false">IF(E2591="","",RANK(E2591,$E$2:$E$5001,1))</f>
        <v/>
      </c>
      <c r="G2591" s="0" t="n">
        <f aca="false">IF(A2591="",0,IF(SUMPRODUCT(--($A$2:$A$5001=A2591))&gt;1,1,0))</f>
        <v>0</v>
      </c>
      <c r="H2591" s="0" t="n">
        <f aca="false">ROW()-1</f>
        <v>2590</v>
      </c>
      <c r="I2591" s="0" t="str">
        <f aca="false">IF(OR(הגדרות!$E$6=0,H2591&gt;הגדרות!$E$5),"",IF(H2591-1&lt;הגדרות!$E$8*(הגדרות!$E$7+1),INT((H2591-1)/(הגדרות!$E$7+1)),הגדרות!$E$8+INT((H2591-1-הגדרות!$E$8*(הגדרות!$E$7+1))/הגדרות!$E$7)))</f>
        <v/>
      </c>
      <c r="J2591" s="0" t="str">
        <f aca="false">IF(I2591="","",IF(H2591-1&lt;הגדרות!$E$8*(הגדרות!$E$7+1),MOD(H2591-1,הגדרות!$E$7+1),MOD(H2591-1-הגדרות!$E$8*(הגדרות!$E$7+1),הגדרות!$E$7)))</f>
        <v/>
      </c>
      <c r="K2591" s="0" t="str">
        <f aca="false">IF(I2591="","",J2591*הגדרות!$E$6+I2591+1)</f>
        <v/>
      </c>
      <c r="L2591" s="0" t="str">
        <f aca="false">IF(K2591="","",MATCH(K2591,$F$2:$F$5001,0))</f>
        <v/>
      </c>
      <c r="M2591" s="0" t="str">
        <f aca="false">IF(I2591="","",INDEX(הגדרות!$A$2:$A$21,MOD(I2591+הגדרות!$E$9,הגדרות!$E$6)+1))</f>
        <v/>
      </c>
    </row>
    <row r="2592" customFormat="false" ht="15" hidden="false" customHeight="false" outlineLevel="0" collapsed="false">
      <c r="A2592" s="0" t="str">
        <f aca="false">IF('הדבקת לידים'!A2592="","",IF(ISNUMBER('הדבקת לידים'!A2592),IF(הגדרות!$E$2&gt;0,TEXT('הדבקת לידים'!A2592,REPT("0",הגדרות!$E$2)),TEXT('הדבקת לידים'!A2592,"0")),TRIM('הדבקת לידים'!A2592)))</f>
        <v/>
      </c>
      <c r="B2592" s="0" t="str">
        <f aca="false">IF('הדבקת לידים'!B2592="","",IF(ISNUMBER('הדבקת לידים'!B2592),IF(הגדרות!$E$3&gt;0,TEXT('הדבקת לידים'!B2592,REPT("0",הגדרות!$E$3)),TEXT('הדבקת לידים'!B2592,"0")),TRIM('הדבקת לידים'!B2592)))</f>
        <v/>
      </c>
      <c r="C2592" s="0" t="n">
        <f aca="false">IF(OR(A2592&lt;&gt;"",B2592&lt;&gt;""),1,0)</f>
        <v>0</v>
      </c>
      <c r="D2592" s="0" t="str">
        <f aca="false">IF(C2592=1,MOD(ABS(SIN(ROW()*12.9898+'הדבקת לידים'!$F$2*78.233+IFERROR(--RIGHT(A2592,6),LEN(A2592))*0.0137+IFERROR(--RIGHT(B2592,6),LEN(B2592))*0.0071))*43758.5453,1),"")</f>
        <v/>
      </c>
      <c r="E2592" s="0" t="str">
        <f aca="false">IF(C2592=1,INT(MOD(ABS(SIN(D2592*7919.123+ROW()*0.618+'הדבקת לידים'!$F$2*1.3))*43758.5453,1)*1000000)*10000+ROW(),"")</f>
        <v/>
      </c>
      <c r="F2592" s="0" t="str">
        <f aca="false">IF(E2592="","",RANK(E2592,$E$2:$E$5001,1))</f>
        <v/>
      </c>
      <c r="G2592" s="0" t="n">
        <f aca="false">IF(A2592="",0,IF(SUMPRODUCT(--($A$2:$A$5001=A2592))&gt;1,1,0))</f>
        <v>0</v>
      </c>
      <c r="H2592" s="0" t="n">
        <f aca="false">ROW()-1</f>
        <v>2591</v>
      </c>
      <c r="I2592" s="0" t="str">
        <f aca="false">IF(OR(הגדרות!$E$6=0,H2592&gt;הגדרות!$E$5),"",IF(H2592-1&lt;הגדרות!$E$8*(הגדרות!$E$7+1),INT((H2592-1)/(הגדרות!$E$7+1)),הגדרות!$E$8+INT((H2592-1-הגדרות!$E$8*(הגדרות!$E$7+1))/הגדרות!$E$7)))</f>
        <v/>
      </c>
      <c r="J2592" s="0" t="str">
        <f aca="false">IF(I2592="","",IF(H2592-1&lt;הגדרות!$E$8*(הגדרות!$E$7+1),MOD(H2592-1,הגדרות!$E$7+1),MOD(H2592-1-הגדרות!$E$8*(הגדרות!$E$7+1),הגדרות!$E$7)))</f>
        <v/>
      </c>
      <c r="K2592" s="0" t="str">
        <f aca="false">IF(I2592="","",J2592*הגדרות!$E$6+I2592+1)</f>
        <v/>
      </c>
      <c r="L2592" s="0" t="str">
        <f aca="false">IF(K2592="","",MATCH(K2592,$F$2:$F$5001,0))</f>
        <v/>
      </c>
      <c r="M2592" s="0" t="str">
        <f aca="false">IF(I2592="","",INDEX(הגדרות!$A$2:$A$21,MOD(I2592+הגדרות!$E$9,הגדרות!$E$6)+1))</f>
        <v/>
      </c>
    </row>
    <row r="2593" customFormat="false" ht="15" hidden="false" customHeight="false" outlineLevel="0" collapsed="false">
      <c r="A2593" s="0" t="str">
        <f aca="false">IF('הדבקת לידים'!A2593="","",IF(ISNUMBER('הדבקת לידים'!A2593),IF(הגדרות!$E$2&gt;0,TEXT('הדבקת לידים'!A2593,REPT("0",הגדרות!$E$2)),TEXT('הדבקת לידים'!A2593,"0")),TRIM('הדבקת לידים'!A2593)))</f>
        <v/>
      </c>
      <c r="B2593" s="0" t="str">
        <f aca="false">IF('הדבקת לידים'!B2593="","",IF(ISNUMBER('הדבקת לידים'!B2593),IF(הגדרות!$E$3&gt;0,TEXT('הדבקת לידים'!B2593,REPT("0",הגדרות!$E$3)),TEXT('הדבקת לידים'!B2593,"0")),TRIM('הדבקת לידים'!B2593)))</f>
        <v/>
      </c>
      <c r="C2593" s="0" t="n">
        <f aca="false">IF(OR(A2593&lt;&gt;"",B2593&lt;&gt;""),1,0)</f>
        <v>0</v>
      </c>
      <c r="D2593" s="0" t="str">
        <f aca="false">IF(C2593=1,MOD(ABS(SIN(ROW()*12.9898+'הדבקת לידים'!$F$2*78.233+IFERROR(--RIGHT(A2593,6),LEN(A2593))*0.0137+IFERROR(--RIGHT(B2593,6),LEN(B2593))*0.0071))*43758.5453,1),"")</f>
        <v/>
      </c>
      <c r="E2593" s="0" t="str">
        <f aca="false">IF(C2593=1,INT(MOD(ABS(SIN(D2593*7919.123+ROW()*0.618+'הדבקת לידים'!$F$2*1.3))*43758.5453,1)*1000000)*10000+ROW(),"")</f>
        <v/>
      </c>
      <c r="F2593" s="0" t="str">
        <f aca="false">IF(E2593="","",RANK(E2593,$E$2:$E$5001,1))</f>
        <v/>
      </c>
      <c r="G2593" s="0" t="n">
        <f aca="false">IF(A2593="",0,IF(SUMPRODUCT(--($A$2:$A$5001=A2593))&gt;1,1,0))</f>
        <v>0</v>
      </c>
      <c r="H2593" s="0" t="n">
        <f aca="false">ROW()-1</f>
        <v>2592</v>
      </c>
      <c r="I2593" s="0" t="str">
        <f aca="false">IF(OR(הגדרות!$E$6=0,H2593&gt;הגדרות!$E$5),"",IF(H2593-1&lt;הגדרות!$E$8*(הגדרות!$E$7+1),INT((H2593-1)/(הגדרות!$E$7+1)),הגדרות!$E$8+INT((H2593-1-הגדרות!$E$8*(הגדרות!$E$7+1))/הגדרות!$E$7)))</f>
        <v/>
      </c>
      <c r="J2593" s="0" t="str">
        <f aca="false">IF(I2593="","",IF(H2593-1&lt;הגדרות!$E$8*(הגדרות!$E$7+1),MOD(H2593-1,הגדרות!$E$7+1),MOD(H2593-1-הגדרות!$E$8*(הגדרות!$E$7+1),הגדרות!$E$7)))</f>
        <v/>
      </c>
      <c r="K2593" s="0" t="str">
        <f aca="false">IF(I2593="","",J2593*הגדרות!$E$6+I2593+1)</f>
        <v/>
      </c>
      <c r="L2593" s="0" t="str">
        <f aca="false">IF(K2593="","",MATCH(K2593,$F$2:$F$5001,0))</f>
        <v/>
      </c>
      <c r="M2593" s="0" t="str">
        <f aca="false">IF(I2593="","",INDEX(הגדרות!$A$2:$A$21,MOD(I2593+הגדרות!$E$9,הגדרות!$E$6)+1))</f>
        <v/>
      </c>
    </row>
    <row r="2594" customFormat="false" ht="15" hidden="false" customHeight="false" outlineLevel="0" collapsed="false">
      <c r="A2594" s="0" t="str">
        <f aca="false">IF('הדבקת לידים'!A2594="","",IF(ISNUMBER('הדבקת לידים'!A2594),IF(הגדרות!$E$2&gt;0,TEXT('הדבקת לידים'!A2594,REPT("0",הגדרות!$E$2)),TEXT('הדבקת לידים'!A2594,"0")),TRIM('הדבקת לידים'!A2594)))</f>
        <v/>
      </c>
      <c r="B2594" s="0" t="str">
        <f aca="false">IF('הדבקת לידים'!B2594="","",IF(ISNUMBER('הדבקת לידים'!B2594),IF(הגדרות!$E$3&gt;0,TEXT('הדבקת לידים'!B2594,REPT("0",הגדרות!$E$3)),TEXT('הדבקת לידים'!B2594,"0")),TRIM('הדבקת לידים'!B2594)))</f>
        <v/>
      </c>
      <c r="C2594" s="0" t="n">
        <f aca="false">IF(OR(A2594&lt;&gt;"",B2594&lt;&gt;""),1,0)</f>
        <v>0</v>
      </c>
      <c r="D2594" s="0" t="str">
        <f aca="false">IF(C2594=1,MOD(ABS(SIN(ROW()*12.9898+'הדבקת לידים'!$F$2*78.233+IFERROR(--RIGHT(A2594,6),LEN(A2594))*0.0137+IFERROR(--RIGHT(B2594,6),LEN(B2594))*0.0071))*43758.5453,1),"")</f>
        <v/>
      </c>
      <c r="E2594" s="0" t="str">
        <f aca="false">IF(C2594=1,INT(MOD(ABS(SIN(D2594*7919.123+ROW()*0.618+'הדבקת לידים'!$F$2*1.3))*43758.5453,1)*1000000)*10000+ROW(),"")</f>
        <v/>
      </c>
      <c r="F2594" s="0" t="str">
        <f aca="false">IF(E2594="","",RANK(E2594,$E$2:$E$5001,1))</f>
        <v/>
      </c>
      <c r="G2594" s="0" t="n">
        <f aca="false">IF(A2594="",0,IF(SUMPRODUCT(--($A$2:$A$5001=A2594))&gt;1,1,0))</f>
        <v>0</v>
      </c>
      <c r="H2594" s="0" t="n">
        <f aca="false">ROW()-1</f>
        <v>2593</v>
      </c>
      <c r="I2594" s="0" t="str">
        <f aca="false">IF(OR(הגדרות!$E$6=0,H2594&gt;הגדרות!$E$5),"",IF(H2594-1&lt;הגדרות!$E$8*(הגדרות!$E$7+1),INT((H2594-1)/(הגדרות!$E$7+1)),הגדרות!$E$8+INT((H2594-1-הגדרות!$E$8*(הגדרות!$E$7+1))/הגדרות!$E$7)))</f>
        <v/>
      </c>
      <c r="J2594" s="0" t="str">
        <f aca="false">IF(I2594="","",IF(H2594-1&lt;הגדרות!$E$8*(הגדרות!$E$7+1),MOD(H2594-1,הגדרות!$E$7+1),MOD(H2594-1-הגדרות!$E$8*(הגדרות!$E$7+1),הגדרות!$E$7)))</f>
        <v/>
      </c>
      <c r="K2594" s="0" t="str">
        <f aca="false">IF(I2594="","",J2594*הגדרות!$E$6+I2594+1)</f>
        <v/>
      </c>
      <c r="L2594" s="0" t="str">
        <f aca="false">IF(K2594="","",MATCH(K2594,$F$2:$F$5001,0))</f>
        <v/>
      </c>
      <c r="M2594" s="0" t="str">
        <f aca="false">IF(I2594="","",INDEX(הגדרות!$A$2:$A$21,MOD(I2594+הגדרות!$E$9,הגדרות!$E$6)+1))</f>
        <v/>
      </c>
    </row>
    <row r="2595" customFormat="false" ht="15" hidden="false" customHeight="false" outlineLevel="0" collapsed="false">
      <c r="A2595" s="0" t="str">
        <f aca="false">IF('הדבקת לידים'!A2595="","",IF(ISNUMBER('הדבקת לידים'!A2595),IF(הגדרות!$E$2&gt;0,TEXT('הדבקת לידים'!A2595,REPT("0",הגדרות!$E$2)),TEXT('הדבקת לידים'!A2595,"0")),TRIM('הדבקת לידים'!A2595)))</f>
        <v/>
      </c>
      <c r="B2595" s="0" t="str">
        <f aca="false">IF('הדבקת לידים'!B2595="","",IF(ISNUMBER('הדבקת לידים'!B2595),IF(הגדרות!$E$3&gt;0,TEXT('הדבקת לידים'!B2595,REPT("0",הגדרות!$E$3)),TEXT('הדבקת לידים'!B2595,"0")),TRIM('הדבקת לידים'!B2595)))</f>
        <v/>
      </c>
      <c r="C2595" s="0" t="n">
        <f aca="false">IF(OR(A2595&lt;&gt;"",B2595&lt;&gt;""),1,0)</f>
        <v>0</v>
      </c>
      <c r="D2595" s="0" t="str">
        <f aca="false">IF(C2595=1,MOD(ABS(SIN(ROW()*12.9898+'הדבקת לידים'!$F$2*78.233+IFERROR(--RIGHT(A2595,6),LEN(A2595))*0.0137+IFERROR(--RIGHT(B2595,6),LEN(B2595))*0.0071))*43758.5453,1),"")</f>
        <v/>
      </c>
      <c r="E2595" s="0" t="str">
        <f aca="false">IF(C2595=1,INT(MOD(ABS(SIN(D2595*7919.123+ROW()*0.618+'הדבקת לידים'!$F$2*1.3))*43758.5453,1)*1000000)*10000+ROW(),"")</f>
        <v/>
      </c>
      <c r="F2595" s="0" t="str">
        <f aca="false">IF(E2595="","",RANK(E2595,$E$2:$E$5001,1))</f>
        <v/>
      </c>
      <c r="G2595" s="0" t="n">
        <f aca="false">IF(A2595="",0,IF(SUMPRODUCT(--($A$2:$A$5001=A2595))&gt;1,1,0))</f>
        <v>0</v>
      </c>
      <c r="H2595" s="0" t="n">
        <f aca="false">ROW()-1</f>
        <v>2594</v>
      </c>
      <c r="I2595" s="0" t="str">
        <f aca="false">IF(OR(הגדרות!$E$6=0,H2595&gt;הגדרות!$E$5),"",IF(H2595-1&lt;הגדרות!$E$8*(הגדרות!$E$7+1),INT((H2595-1)/(הגדרות!$E$7+1)),הגדרות!$E$8+INT((H2595-1-הגדרות!$E$8*(הגדרות!$E$7+1))/הגדרות!$E$7)))</f>
        <v/>
      </c>
      <c r="J2595" s="0" t="str">
        <f aca="false">IF(I2595="","",IF(H2595-1&lt;הגדרות!$E$8*(הגדרות!$E$7+1),MOD(H2595-1,הגדרות!$E$7+1),MOD(H2595-1-הגדרות!$E$8*(הגדרות!$E$7+1),הגדרות!$E$7)))</f>
        <v/>
      </c>
      <c r="K2595" s="0" t="str">
        <f aca="false">IF(I2595="","",J2595*הגדרות!$E$6+I2595+1)</f>
        <v/>
      </c>
      <c r="L2595" s="0" t="str">
        <f aca="false">IF(K2595="","",MATCH(K2595,$F$2:$F$5001,0))</f>
        <v/>
      </c>
      <c r="M2595" s="0" t="str">
        <f aca="false">IF(I2595="","",INDEX(הגדרות!$A$2:$A$21,MOD(I2595+הגדרות!$E$9,הגדרות!$E$6)+1))</f>
        <v/>
      </c>
    </row>
    <row r="2596" customFormat="false" ht="15" hidden="false" customHeight="false" outlineLevel="0" collapsed="false">
      <c r="A2596" s="0" t="str">
        <f aca="false">IF('הדבקת לידים'!A2596="","",IF(ISNUMBER('הדבקת לידים'!A2596),IF(הגדרות!$E$2&gt;0,TEXT('הדבקת לידים'!A2596,REPT("0",הגדרות!$E$2)),TEXT('הדבקת לידים'!A2596,"0")),TRIM('הדבקת לידים'!A2596)))</f>
        <v/>
      </c>
      <c r="B2596" s="0" t="str">
        <f aca="false">IF('הדבקת לידים'!B2596="","",IF(ISNUMBER('הדבקת לידים'!B2596),IF(הגדרות!$E$3&gt;0,TEXT('הדבקת לידים'!B2596,REPT("0",הגדרות!$E$3)),TEXT('הדבקת לידים'!B2596,"0")),TRIM('הדבקת לידים'!B2596)))</f>
        <v/>
      </c>
      <c r="C2596" s="0" t="n">
        <f aca="false">IF(OR(A2596&lt;&gt;"",B2596&lt;&gt;""),1,0)</f>
        <v>0</v>
      </c>
      <c r="D2596" s="0" t="str">
        <f aca="false">IF(C2596=1,MOD(ABS(SIN(ROW()*12.9898+'הדבקת לידים'!$F$2*78.233+IFERROR(--RIGHT(A2596,6),LEN(A2596))*0.0137+IFERROR(--RIGHT(B2596,6),LEN(B2596))*0.0071))*43758.5453,1),"")</f>
        <v/>
      </c>
      <c r="E2596" s="0" t="str">
        <f aca="false">IF(C2596=1,INT(MOD(ABS(SIN(D2596*7919.123+ROW()*0.618+'הדבקת לידים'!$F$2*1.3))*43758.5453,1)*1000000)*10000+ROW(),"")</f>
        <v/>
      </c>
      <c r="F2596" s="0" t="str">
        <f aca="false">IF(E2596="","",RANK(E2596,$E$2:$E$5001,1))</f>
        <v/>
      </c>
      <c r="G2596" s="0" t="n">
        <f aca="false">IF(A2596="",0,IF(SUMPRODUCT(--($A$2:$A$5001=A2596))&gt;1,1,0))</f>
        <v>0</v>
      </c>
      <c r="H2596" s="0" t="n">
        <f aca="false">ROW()-1</f>
        <v>2595</v>
      </c>
      <c r="I2596" s="0" t="str">
        <f aca="false">IF(OR(הגדרות!$E$6=0,H2596&gt;הגדרות!$E$5),"",IF(H2596-1&lt;הגדרות!$E$8*(הגדרות!$E$7+1),INT((H2596-1)/(הגדרות!$E$7+1)),הגדרות!$E$8+INT((H2596-1-הגדרות!$E$8*(הגדרות!$E$7+1))/הגדרות!$E$7)))</f>
        <v/>
      </c>
      <c r="J2596" s="0" t="str">
        <f aca="false">IF(I2596="","",IF(H2596-1&lt;הגדרות!$E$8*(הגדרות!$E$7+1),MOD(H2596-1,הגדרות!$E$7+1),MOD(H2596-1-הגדרות!$E$8*(הגדרות!$E$7+1),הגדרות!$E$7)))</f>
        <v/>
      </c>
      <c r="K2596" s="0" t="str">
        <f aca="false">IF(I2596="","",J2596*הגדרות!$E$6+I2596+1)</f>
        <v/>
      </c>
      <c r="L2596" s="0" t="str">
        <f aca="false">IF(K2596="","",MATCH(K2596,$F$2:$F$5001,0))</f>
        <v/>
      </c>
      <c r="M2596" s="0" t="str">
        <f aca="false">IF(I2596="","",INDEX(הגדרות!$A$2:$A$21,MOD(I2596+הגדרות!$E$9,הגדרות!$E$6)+1))</f>
        <v/>
      </c>
    </row>
    <row r="2597" customFormat="false" ht="15" hidden="false" customHeight="false" outlineLevel="0" collapsed="false">
      <c r="A2597" s="0" t="str">
        <f aca="false">IF('הדבקת לידים'!A2597="","",IF(ISNUMBER('הדבקת לידים'!A2597),IF(הגדרות!$E$2&gt;0,TEXT('הדבקת לידים'!A2597,REPT("0",הגדרות!$E$2)),TEXT('הדבקת לידים'!A2597,"0")),TRIM('הדבקת לידים'!A2597)))</f>
        <v/>
      </c>
      <c r="B2597" s="0" t="str">
        <f aca="false">IF('הדבקת לידים'!B2597="","",IF(ISNUMBER('הדבקת לידים'!B2597),IF(הגדרות!$E$3&gt;0,TEXT('הדבקת לידים'!B2597,REPT("0",הגדרות!$E$3)),TEXT('הדבקת לידים'!B2597,"0")),TRIM('הדבקת לידים'!B2597)))</f>
        <v/>
      </c>
      <c r="C2597" s="0" t="n">
        <f aca="false">IF(OR(A2597&lt;&gt;"",B2597&lt;&gt;""),1,0)</f>
        <v>0</v>
      </c>
      <c r="D2597" s="0" t="str">
        <f aca="false">IF(C2597=1,MOD(ABS(SIN(ROW()*12.9898+'הדבקת לידים'!$F$2*78.233+IFERROR(--RIGHT(A2597,6),LEN(A2597))*0.0137+IFERROR(--RIGHT(B2597,6),LEN(B2597))*0.0071))*43758.5453,1),"")</f>
        <v/>
      </c>
      <c r="E2597" s="0" t="str">
        <f aca="false">IF(C2597=1,INT(MOD(ABS(SIN(D2597*7919.123+ROW()*0.618+'הדבקת לידים'!$F$2*1.3))*43758.5453,1)*1000000)*10000+ROW(),"")</f>
        <v/>
      </c>
      <c r="F2597" s="0" t="str">
        <f aca="false">IF(E2597="","",RANK(E2597,$E$2:$E$5001,1))</f>
        <v/>
      </c>
      <c r="G2597" s="0" t="n">
        <f aca="false">IF(A2597="",0,IF(SUMPRODUCT(--($A$2:$A$5001=A2597))&gt;1,1,0))</f>
        <v>0</v>
      </c>
      <c r="H2597" s="0" t="n">
        <f aca="false">ROW()-1</f>
        <v>2596</v>
      </c>
      <c r="I2597" s="0" t="str">
        <f aca="false">IF(OR(הגדרות!$E$6=0,H2597&gt;הגדרות!$E$5),"",IF(H2597-1&lt;הגדרות!$E$8*(הגדרות!$E$7+1),INT((H2597-1)/(הגדרות!$E$7+1)),הגדרות!$E$8+INT((H2597-1-הגדרות!$E$8*(הגדרות!$E$7+1))/הגדרות!$E$7)))</f>
        <v/>
      </c>
      <c r="J2597" s="0" t="str">
        <f aca="false">IF(I2597="","",IF(H2597-1&lt;הגדרות!$E$8*(הגדרות!$E$7+1),MOD(H2597-1,הגדרות!$E$7+1),MOD(H2597-1-הגדרות!$E$8*(הגדרות!$E$7+1),הגדרות!$E$7)))</f>
        <v/>
      </c>
      <c r="K2597" s="0" t="str">
        <f aca="false">IF(I2597="","",J2597*הגדרות!$E$6+I2597+1)</f>
        <v/>
      </c>
      <c r="L2597" s="0" t="str">
        <f aca="false">IF(K2597="","",MATCH(K2597,$F$2:$F$5001,0))</f>
        <v/>
      </c>
      <c r="M2597" s="0" t="str">
        <f aca="false">IF(I2597="","",INDEX(הגדרות!$A$2:$A$21,MOD(I2597+הגדרות!$E$9,הגדרות!$E$6)+1))</f>
        <v/>
      </c>
    </row>
    <row r="2598" customFormat="false" ht="15" hidden="false" customHeight="false" outlineLevel="0" collapsed="false">
      <c r="A2598" s="0" t="str">
        <f aca="false">IF('הדבקת לידים'!A2598="","",IF(ISNUMBER('הדבקת לידים'!A2598),IF(הגדרות!$E$2&gt;0,TEXT('הדבקת לידים'!A2598,REPT("0",הגדרות!$E$2)),TEXT('הדבקת לידים'!A2598,"0")),TRIM('הדבקת לידים'!A2598)))</f>
        <v/>
      </c>
      <c r="B2598" s="0" t="str">
        <f aca="false">IF('הדבקת לידים'!B2598="","",IF(ISNUMBER('הדבקת לידים'!B2598),IF(הגדרות!$E$3&gt;0,TEXT('הדבקת לידים'!B2598,REPT("0",הגדרות!$E$3)),TEXT('הדבקת לידים'!B2598,"0")),TRIM('הדבקת לידים'!B2598)))</f>
        <v/>
      </c>
      <c r="C2598" s="0" t="n">
        <f aca="false">IF(OR(A2598&lt;&gt;"",B2598&lt;&gt;""),1,0)</f>
        <v>0</v>
      </c>
      <c r="D2598" s="0" t="str">
        <f aca="false">IF(C2598=1,MOD(ABS(SIN(ROW()*12.9898+'הדבקת לידים'!$F$2*78.233+IFERROR(--RIGHT(A2598,6),LEN(A2598))*0.0137+IFERROR(--RIGHT(B2598,6),LEN(B2598))*0.0071))*43758.5453,1),"")</f>
        <v/>
      </c>
      <c r="E2598" s="0" t="str">
        <f aca="false">IF(C2598=1,INT(MOD(ABS(SIN(D2598*7919.123+ROW()*0.618+'הדבקת לידים'!$F$2*1.3))*43758.5453,1)*1000000)*10000+ROW(),"")</f>
        <v/>
      </c>
      <c r="F2598" s="0" t="str">
        <f aca="false">IF(E2598="","",RANK(E2598,$E$2:$E$5001,1))</f>
        <v/>
      </c>
      <c r="G2598" s="0" t="n">
        <f aca="false">IF(A2598="",0,IF(SUMPRODUCT(--($A$2:$A$5001=A2598))&gt;1,1,0))</f>
        <v>0</v>
      </c>
      <c r="H2598" s="0" t="n">
        <f aca="false">ROW()-1</f>
        <v>2597</v>
      </c>
      <c r="I2598" s="0" t="str">
        <f aca="false">IF(OR(הגדרות!$E$6=0,H2598&gt;הגדרות!$E$5),"",IF(H2598-1&lt;הגדרות!$E$8*(הגדרות!$E$7+1),INT((H2598-1)/(הגדרות!$E$7+1)),הגדרות!$E$8+INT((H2598-1-הגדרות!$E$8*(הגדרות!$E$7+1))/הגדרות!$E$7)))</f>
        <v/>
      </c>
      <c r="J2598" s="0" t="str">
        <f aca="false">IF(I2598="","",IF(H2598-1&lt;הגדרות!$E$8*(הגדרות!$E$7+1),MOD(H2598-1,הגדרות!$E$7+1),MOD(H2598-1-הגדרות!$E$8*(הגדרות!$E$7+1),הגדרות!$E$7)))</f>
        <v/>
      </c>
      <c r="K2598" s="0" t="str">
        <f aca="false">IF(I2598="","",J2598*הגדרות!$E$6+I2598+1)</f>
        <v/>
      </c>
      <c r="L2598" s="0" t="str">
        <f aca="false">IF(K2598="","",MATCH(K2598,$F$2:$F$5001,0))</f>
        <v/>
      </c>
      <c r="M2598" s="0" t="str">
        <f aca="false">IF(I2598="","",INDEX(הגדרות!$A$2:$A$21,MOD(I2598+הגדרות!$E$9,הגדרות!$E$6)+1))</f>
        <v/>
      </c>
    </row>
    <row r="2599" customFormat="false" ht="15" hidden="false" customHeight="false" outlineLevel="0" collapsed="false">
      <c r="A2599" s="0" t="str">
        <f aca="false">IF('הדבקת לידים'!A2599="","",IF(ISNUMBER('הדבקת לידים'!A2599),IF(הגדרות!$E$2&gt;0,TEXT('הדבקת לידים'!A2599,REPT("0",הגדרות!$E$2)),TEXT('הדבקת לידים'!A2599,"0")),TRIM('הדבקת לידים'!A2599)))</f>
        <v/>
      </c>
      <c r="B2599" s="0" t="str">
        <f aca="false">IF('הדבקת לידים'!B2599="","",IF(ISNUMBER('הדבקת לידים'!B2599),IF(הגדרות!$E$3&gt;0,TEXT('הדבקת לידים'!B2599,REPT("0",הגדרות!$E$3)),TEXT('הדבקת לידים'!B2599,"0")),TRIM('הדבקת לידים'!B2599)))</f>
        <v/>
      </c>
      <c r="C2599" s="0" t="n">
        <f aca="false">IF(OR(A2599&lt;&gt;"",B2599&lt;&gt;""),1,0)</f>
        <v>0</v>
      </c>
      <c r="D2599" s="0" t="str">
        <f aca="false">IF(C2599=1,MOD(ABS(SIN(ROW()*12.9898+'הדבקת לידים'!$F$2*78.233+IFERROR(--RIGHT(A2599,6),LEN(A2599))*0.0137+IFERROR(--RIGHT(B2599,6),LEN(B2599))*0.0071))*43758.5453,1),"")</f>
        <v/>
      </c>
      <c r="E2599" s="0" t="str">
        <f aca="false">IF(C2599=1,INT(MOD(ABS(SIN(D2599*7919.123+ROW()*0.618+'הדבקת לידים'!$F$2*1.3))*43758.5453,1)*1000000)*10000+ROW(),"")</f>
        <v/>
      </c>
      <c r="F2599" s="0" t="str">
        <f aca="false">IF(E2599="","",RANK(E2599,$E$2:$E$5001,1))</f>
        <v/>
      </c>
      <c r="G2599" s="0" t="n">
        <f aca="false">IF(A2599="",0,IF(SUMPRODUCT(--($A$2:$A$5001=A2599))&gt;1,1,0))</f>
        <v>0</v>
      </c>
      <c r="H2599" s="0" t="n">
        <f aca="false">ROW()-1</f>
        <v>2598</v>
      </c>
      <c r="I2599" s="0" t="str">
        <f aca="false">IF(OR(הגדרות!$E$6=0,H2599&gt;הגדרות!$E$5),"",IF(H2599-1&lt;הגדרות!$E$8*(הגדרות!$E$7+1),INT((H2599-1)/(הגדרות!$E$7+1)),הגדרות!$E$8+INT((H2599-1-הגדרות!$E$8*(הגדרות!$E$7+1))/הגדרות!$E$7)))</f>
        <v/>
      </c>
      <c r="J2599" s="0" t="str">
        <f aca="false">IF(I2599="","",IF(H2599-1&lt;הגדרות!$E$8*(הגדרות!$E$7+1),MOD(H2599-1,הגדרות!$E$7+1),MOD(H2599-1-הגדרות!$E$8*(הגדרות!$E$7+1),הגדרות!$E$7)))</f>
        <v/>
      </c>
      <c r="K2599" s="0" t="str">
        <f aca="false">IF(I2599="","",J2599*הגדרות!$E$6+I2599+1)</f>
        <v/>
      </c>
      <c r="L2599" s="0" t="str">
        <f aca="false">IF(K2599="","",MATCH(K2599,$F$2:$F$5001,0))</f>
        <v/>
      </c>
      <c r="M2599" s="0" t="str">
        <f aca="false">IF(I2599="","",INDEX(הגדרות!$A$2:$A$21,MOD(I2599+הגדרות!$E$9,הגדרות!$E$6)+1))</f>
        <v/>
      </c>
    </row>
    <row r="2600" customFormat="false" ht="15" hidden="false" customHeight="false" outlineLevel="0" collapsed="false">
      <c r="A2600" s="0" t="str">
        <f aca="false">IF('הדבקת לידים'!A2600="","",IF(ISNUMBER('הדבקת לידים'!A2600),IF(הגדרות!$E$2&gt;0,TEXT('הדבקת לידים'!A2600,REPT("0",הגדרות!$E$2)),TEXT('הדבקת לידים'!A2600,"0")),TRIM('הדבקת לידים'!A2600)))</f>
        <v/>
      </c>
      <c r="B2600" s="0" t="str">
        <f aca="false">IF('הדבקת לידים'!B2600="","",IF(ISNUMBER('הדבקת לידים'!B2600),IF(הגדרות!$E$3&gt;0,TEXT('הדבקת לידים'!B2600,REPT("0",הגדרות!$E$3)),TEXT('הדבקת לידים'!B2600,"0")),TRIM('הדבקת לידים'!B2600)))</f>
        <v/>
      </c>
      <c r="C2600" s="0" t="n">
        <f aca="false">IF(OR(A2600&lt;&gt;"",B2600&lt;&gt;""),1,0)</f>
        <v>0</v>
      </c>
      <c r="D2600" s="0" t="str">
        <f aca="false">IF(C2600=1,MOD(ABS(SIN(ROW()*12.9898+'הדבקת לידים'!$F$2*78.233+IFERROR(--RIGHT(A2600,6),LEN(A2600))*0.0137+IFERROR(--RIGHT(B2600,6),LEN(B2600))*0.0071))*43758.5453,1),"")</f>
        <v/>
      </c>
      <c r="E2600" s="0" t="str">
        <f aca="false">IF(C2600=1,INT(MOD(ABS(SIN(D2600*7919.123+ROW()*0.618+'הדבקת לידים'!$F$2*1.3))*43758.5453,1)*1000000)*10000+ROW(),"")</f>
        <v/>
      </c>
      <c r="F2600" s="0" t="str">
        <f aca="false">IF(E2600="","",RANK(E2600,$E$2:$E$5001,1))</f>
        <v/>
      </c>
      <c r="G2600" s="0" t="n">
        <f aca="false">IF(A2600="",0,IF(SUMPRODUCT(--($A$2:$A$5001=A2600))&gt;1,1,0))</f>
        <v>0</v>
      </c>
      <c r="H2600" s="0" t="n">
        <f aca="false">ROW()-1</f>
        <v>2599</v>
      </c>
      <c r="I2600" s="0" t="str">
        <f aca="false">IF(OR(הגדרות!$E$6=0,H2600&gt;הגדרות!$E$5),"",IF(H2600-1&lt;הגדרות!$E$8*(הגדרות!$E$7+1),INT((H2600-1)/(הגדרות!$E$7+1)),הגדרות!$E$8+INT((H2600-1-הגדרות!$E$8*(הגדרות!$E$7+1))/הגדרות!$E$7)))</f>
        <v/>
      </c>
      <c r="J2600" s="0" t="str">
        <f aca="false">IF(I2600="","",IF(H2600-1&lt;הגדרות!$E$8*(הגדרות!$E$7+1),MOD(H2600-1,הגדרות!$E$7+1),MOD(H2600-1-הגדרות!$E$8*(הגדרות!$E$7+1),הגדרות!$E$7)))</f>
        <v/>
      </c>
      <c r="K2600" s="0" t="str">
        <f aca="false">IF(I2600="","",J2600*הגדרות!$E$6+I2600+1)</f>
        <v/>
      </c>
      <c r="L2600" s="0" t="str">
        <f aca="false">IF(K2600="","",MATCH(K2600,$F$2:$F$5001,0))</f>
        <v/>
      </c>
      <c r="M2600" s="0" t="str">
        <f aca="false">IF(I2600="","",INDEX(הגדרות!$A$2:$A$21,MOD(I2600+הגדרות!$E$9,הגדרות!$E$6)+1))</f>
        <v/>
      </c>
    </row>
    <row r="2601" customFormat="false" ht="15" hidden="false" customHeight="false" outlineLevel="0" collapsed="false">
      <c r="A2601" s="0" t="str">
        <f aca="false">IF('הדבקת לידים'!A2601="","",IF(ISNUMBER('הדבקת לידים'!A2601),IF(הגדרות!$E$2&gt;0,TEXT('הדבקת לידים'!A2601,REPT("0",הגדרות!$E$2)),TEXT('הדבקת לידים'!A2601,"0")),TRIM('הדבקת לידים'!A2601)))</f>
        <v/>
      </c>
      <c r="B2601" s="0" t="str">
        <f aca="false">IF('הדבקת לידים'!B2601="","",IF(ISNUMBER('הדבקת לידים'!B2601),IF(הגדרות!$E$3&gt;0,TEXT('הדבקת לידים'!B2601,REPT("0",הגדרות!$E$3)),TEXT('הדבקת לידים'!B2601,"0")),TRIM('הדבקת לידים'!B2601)))</f>
        <v/>
      </c>
      <c r="C2601" s="0" t="n">
        <f aca="false">IF(OR(A2601&lt;&gt;"",B2601&lt;&gt;""),1,0)</f>
        <v>0</v>
      </c>
      <c r="D2601" s="0" t="str">
        <f aca="false">IF(C2601=1,MOD(ABS(SIN(ROW()*12.9898+'הדבקת לידים'!$F$2*78.233+IFERROR(--RIGHT(A2601,6),LEN(A2601))*0.0137+IFERROR(--RIGHT(B2601,6),LEN(B2601))*0.0071))*43758.5453,1),"")</f>
        <v/>
      </c>
      <c r="E2601" s="0" t="str">
        <f aca="false">IF(C2601=1,INT(MOD(ABS(SIN(D2601*7919.123+ROW()*0.618+'הדבקת לידים'!$F$2*1.3))*43758.5453,1)*1000000)*10000+ROW(),"")</f>
        <v/>
      </c>
      <c r="F2601" s="0" t="str">
        <f aca="false">IF(E2601="","",RANK(E2601,$E$2:$E$5001,1))</f>
        <v/>
      </c>
      <c r="G2601" s="0" t="n">
        <f aca="false">IF(A2601="",0,IF(SUMPRODUCT(--($A$2:$A$5001=A2601))&gt;1,1,0))</f>
        <v>0</v>
      </c>
      <c r="H2601" s="0" t="n">
        <f aca="false">ROW()-1</f>
        <v>2600</v>
      </c>
      <c r="I2601" s="0" t="str">
        <f aca="false">IF(OR(הגדרות!$E$6=0,H2601&gt;הגדרות!$E$5),"",IF(H2601-1&lt;הגדרות!$E$8*(הגדרות!$E$7+1),INT((H2601-1)/(הגדרות!$E$7+1)),הגדרות!$E$8+INT((H2601-1-הגדרות!$E$8*(הגדרות!$E$7+1))/הגדרות!$E$7)))</f>
        <v/>
      </c>
      <c r="J2601" s="0" t="str">
        <f aca="false">IF(I2601="","",IF(H2601-1&lt;הגדרות!$E$8*(הגדרות!$E$7+1),MOD(H2601-1,הגדרות!$E$7+1),MOD(H2601-1-הגדרות!$E$8*(הגדרות!$E$7+1),הגדרות!$E$7)))</f>
        <v/>
      </c>
      <c r="K2601" s="0" t="str">
        <f aca="false">IF(I2601="","",J2601*הגדרות!$E$6+I2601+1)</f>
        <v/>
      </c>
      <c r="L2601" s="0" t="str">
        <f aca="false">IF(K2601="","",MATCH(K2601,$F$2:$F$5001,0))</f>
        <v/>
      </c>
      <c r="M2601" s="0" t="str">
        <f aca="false">IF(I2601="","",INDEX(הגדרות!$A$2:$A$21,MOD(I2601+הגדרות!$E$9,הגדרות!$E$6)+1))</f>
        <v/>
      </c>
    </row>
    <row r="2602" customFormat="false" ht="15" hidden="false" customHeight="false" outlineLevel="0" collapsed="false">
      <c r="A2602" s="0" t="str">
        <f aca="false">IF('הדבקת לידים'!A2602="","",IF(ISNUMBER('הדבקת לידים'!A2602),IF(הגדרות!$E$2&gt;0,TEXT('הדבקת לידים'!A2602,REPT("0",הגדרות!$E$2)),TEXT('הדבקת לידים'!A2602,"0")),TRIM('הדבקת לידים'!A2602)))</f>
        <v/>
      </c>
      <c r="B2602" s="0" t="str">
        <f aca="false">IF('הדבקת לידים'!B2602="","",IF(ISNUMBER('הדבקת לידים'!B2602),IF(הגדרות!$E$3&gt;0,TEXT('הדבקת לידים'!B2602,REPT("0",הגדרות!$E$3)),TEXT('הדבקת לידים'!B2602,"0")),TRIM('הדבקת לידים'!B2602)))</f>
        <v/>
      </c>
      <c r="C2602" s="0" t="n">
        <f aca="false">IF(OR(A2602&lt;&gt;"",B2602&lt;&gt;""),1,0)</f>
        <v>0</v>
      </c>
      <c r="D2602" s="0" t="str">
        <f aca="false">IF(C2602=1,MOD(ABS(SIN(ROW()*12.9898+'הדבקת לידים'!$F$2*78.233+IFERROR(--RIGHT(A2602,6),LEN(A2602))*0.0137+IFERROR(--RIGHT(B2602,6),LEN(B2602))*0.0071))*43758.5453,1),"")</f>
        <v/>
      </c>
      <c r="E2602" s="0" t="str">
        <f aca="false">IF(C2602=1,INT(MOD(ABS(SIN(D2602*7919.123+ROW()*0.618+'הדבקת לידים'!$F$2*1.3))*43758.5453,1)*1000000)*10000+ROW(),"")</f>
        <v/>
      </c>
      <c r="F2602" s="0" t="str">
        <f aca="false">IF(E2602="","",RANK(E2602,$E$2:$E$5001,1))</f>
        <v/>
      </c>
      <c r="G2602" s="0" t="n">
        <f aca="false">IF(A2602="",0,IF(SUMPRODUCT(--($A$2:$A$5001=A2602))&gt;1,1,0))</f>
        <v>0</v>
      </c>
      <c r="H2602" s="0" t="n">
        <f aca="false">ROW()-1</f>
        <v>2601</v>
      </c>
      <c r="I2602" s="0" t="str">
        <f aca="false">IF(OR(הגדרות!$E$6=0,H2602&gt;הגדרות!$E$5),"",IF(H2602-1&lt;הגדרות!$E$8*(הגדרות!$E$7+1),INT((H2602-1)/(הגדרות!$E$7+1)),הגדרות!$E$8+INT((H2602-1-הגדרות!$E$8*(הגדרות!$E$7+1))/הגדרות!$E$7)))</f>
        <v/>
      </c>
      <c r="J2602" s="0" t="str">
        <f aca="false">IF(I2602="","",IF(H2602-1&lt;הגדרות!$E$8*(הגדרות!$E$7+1),MOD(H2602-1,הגדרות!$E$7+1),MOD(H2602-1-הגדרות!$E$8*(הגדרות!$E$7+1),הגדרות!$E$7)))</f>
        <v/>
      </c>
      <c r="K2602" s="0" t="str">
        <f aca="false">IF(I2602="","",J2602*הגדרות!$E$6+I2602+1)</f>
        <v/>
      </c>
      <c r="L2602" s="0" t="str">
        <f aca="false">IF(K2602="","",MATCH(K2602,$F$2:$F$5001,0))</f>
        <v/>
      </c>
      <c r="M2602" s="0" t="str">
        <f aca="false">IF(I2602="","",INDEX(הגדרות!$A$2:$A$21,MOD(I2602+הגדרות!$E$9,הגדרות!$E$6)+1))</f>
        <v/>
      </c>
    </row>
    <row r="2603" customFormat="false" ht="15" hidden="false" customHeight="false" outlineLevel="0" collapsed="false">
      <c r="A2603" s="0" t="str">
        <f aca="false">IF('הדבקת לידים'!A2603="","",IF(ISNUMBER('הדבקת לידים'!A2603),IF(הגדרות!$E$2&gt;0,TEXT('הדבקת לידים'!A2603,REPT("0",הגדרות!$E$2)),TEXT('הדבקת לידים'!A2603,"0")),TRIM('הדבקת לידים'!A2603)))</f>
        <v/>
      </c>
      <c r="B2603" s="0" t="str">
        <f aca="false">IF('הדבקת לידים'!B2603="","",IF(ISNUMBER('הדבקת לידים'!B2603),IF(הגדרות!$E$3&gt;0,TEXT('הדבקת לידים'!B2603,REPT("0",הגדרות!$E$3)),TEXT('הדבקת לידים'!B2603,"0")),TRIM('הדבקת לידים'!B2603)))</f>
        <v/>
      </c>
      <c r="C2603" s="0" t="n">
        <f aca="false">IF(OR(A2603&lt;&gt;"",B2603&lt;&gt;""),1,0)</f>
        <v>0</v>
      </c>
      <c r="D2603" s="0" t="str">
        <f aca="false">IF(C2603=1,MOD(ABS(SIN(ROW()*12.9898+'הדבקת לידים'!$F$2*78.233+IFERROR(--RIGHT(A2603,6),LEN(A2603))*0.0137+IFERROR(--RIGHT(B2603,6),LEN(B2603))*0.0071))*43758.5453,1),"")</f>
        <v/>
      </c>
      <c r="E2603" s="0" t="str">
        <f aca="false">IF(C2603=1,INT(MOD(ABS(SIN(D2603*7919.123+ROW()*0.618+'הדבקת לידים'!$F$2*1.3))*43758.5453,1)*1000000)*10000+ROW(),"")</f>
        <v/>
      </c>
      <c r="F2603" s="0" t="str">
        <f aca="false">IF(E2603="","",RANK(E2603,$E$2:$E$5001,1))</f>
        <v/>
      </c>
      <c r="G2603" s="0" t="n">
        <f aca="false">IF(A2603="",0,IF(SUMPRODUCT(--($A$2:$A$5001=A2603))&gt;1,1,0))</f>
        <v>0</v>
      </c>
      <c r="H2603" s="0" t="n">
        <f aca="false">ROW()-1</f>
        <v>2602</v>
      </c>
      <c r="I2603" s="0" t="str">
        <f aca="false">IF(OR(הגדרות!$E$6=0,H2603&gt;הגדרות!$E$5),"",IF(H2603-1&lt;הגדרות!$E$8*(הגדרות!$E$7+1),INT((H2603-1)/(הגדרות!$E$7+1)),הגדרות!$E$8+INT((H2603-1-הגדרות!$E$8*(הגדרות!$E$7+1))/הגדרות!$E$7)))</f>
        <v/>
      </c>
      <c r="J2603" s="0" t="str">
        <f aca="false">IF(I2603="","",IF(H2603-1&lt;הגדרות!$E$8*(הגדרות!$E$7+1),MOD(H2603-1,הגדרות!$E$7+1),MOD(H2603-1-הגדרות!$E$8*(הגדרות!$E$7+1),הגדרות!$E$7)))</f>
        <v/>
      </c>
      <c r="K2603" s="0" t="str">
        <f aca="false">IF(I2603="","",J2603*הגדרות!$E$6+I2603+1)</f>
        <v/>
      </c>
      <c r="L2603" s="0" t="str">
        <f aca="false">IF(K2603="","",MATCH(K2603,$F$2:$F$5001,0))</f>
        <v/>
      </c>
      <c r="M2603" s="0" t="str">
        <f aca="false">IF(I2603="","",INDEX(הגדרות!$A$2:$A$21,MOD(I2603+הגדרות!$E$9,הגדרות!$E$6)+1))</f>
        <v/>
      </c>
    </row>
    <row r="2604" customFormat="false" ht="15" hidden="false" customHeight="false" outlineLevel="0" collapsed="false">
      <c r="A2604" s="0" t="str">
        <f aca="false">IF('הדבקת לידים'!A2604="","",IF(ISNUMBER('הדבקת לידים'!A2604),IF(הגדרות!$E$2&gt;0,TEXT('הדבקת לידים'!A2604,REPT("0",הגדרות!$E$2)),TEXT('הדבקת לידים'!A2604,"0")),TRIM('הדבקת לידים'!A2604)))</f>
        <v/>
      </c>
      <c r="B2604" s="0" t="str">
        <f aca="false">IF('הדבקת לידים'!B2604="","",IF(ISNUMBER('הדבקת לידים'!B2604),IF(הגדרות!$E$3&gt;0,TEXT('הדבקת לידים'!B2604,REPT("0",הגדרות!$E$3)),TEXT('הדבקת לידים'!B2604,"0")),TRIM('הדבקת לידים'!B2604)))</f>
        <v/>
      </c>
      <c r="C2604" s="0" t="n">
        <f aca="false">IF(OR(A2604&lt;&gt;"",B2604&lt;&gt;""),1,0)</f>
        <v>0</v>
      </c>
      <c r="D2604" s="0" t="str">
        <f aca="false">IF(C2604=1,MOD(ABS(SIN(ROW()*12.9898+'הדבקת לידים'!$F$2*78.233+IFERROR(--RIGHT(A2604,6),LEN(A2604))*0.0137+IFERROR(--RIGHT(B2604,6),LEN(B2604))*0.0071))*43758.5453,1),"")</f>
        <v/>
      </c>
      <c r="E2604" s="0" t="str">
        <f aca="false">IF(C2604=1,INT(MOD(ABS(SIN(D2604*7919.123+ROW()*0.618+'הדבקת לידים'!$F$2*1.3))*43758.5453,1)*1000000)*10000+ROW(),"")</f>
        <v/>
      </c>
      <c r="F2604" s="0" t="str">
        <f aca="false">IF(E2604="","",RANK(E2604,$E$2:$E$5001,1))</f>
        <v/>
      </c>
      <c r="G2604" s="0" t="n">
        <f aca="false">IF(A2604="",0,IF(SUMPRODUCT(--($A$2:$A$5001=A2604))&gt;1,1,0))</f>
        <v>0</v>
      </c>
      <c r="H2604" s="0" t="n">
        <f aca="false">ROW()-1</f>
        <v>2603</v>
      </c>
      <c r="I2604" s="0" t="str">
        <f aca="false">IF(OR(הגדרות!$E$6=0,H2604&gt;הגדרות!$E$5),"",IF(H2604-1&lt;הגדרות!$E$8*(הגדרות!$E$7+1),INT((H2604-1)/(הגדרות!$E$7+1)),הגדרות!$E$8+INT((H2604-1-הגדרות!$E$8*(הגדרות!$E$7+1))/הגדרות!$E$7)))</f>
        <v/>
      </c>
      <c r="J2604" s="0" t="str">
        <f aca="false">IF(I2604="","",IF(H2604-1&lt;הגדרות!$E$8*(הגדרות!$E$7+1),MOD(H2604-1,הגדרות!$E$7+1),MOD(H2604-1-הגדרות!$E$8*(הגדרות!$E$7+1),הגדרות!$E$7)))</f>
        <v/>
      </c>
      <c r="K2604" s="0" t="str">
        <f aca="false">IF(I2604="","",J2604*הגדרות!$E$6+I2604+1)</f>
        <v/>
      </c>
      <c r="L2604" s="0" t="str">
        <f aca="false">IF(K2604="","",MATCH(K2604,$F$2:$F$5001,0))</f>
        <v/>
      </c>
      <c r="M2604" s="0" t="str">
        <f aca="false">IF(I2604="","",INDEX(הגדרות!$A$2:$A$21,MOD(I2604+הגדרות!$E$9,הגדרות!$E$6)+1))</f>
        <v/>
      </c>
    </row>
    <row r="2605" customFormat="false" ht="15" hidden="false" customHeight="false" outlineLevel="0" collapsed="false">
      <c r="A2605" s="0" t="str">
        <f aca="false">IF('הדבקת לידים'!A2605="","",IF(ISNUMBER('הדבקת לידים'!A2605),IF(הגדרות!$E$2&gt;0,TEXT('הדבקת לידים'!A2605,REPT("0",הגדרות!$E$2)),TEXT('הדבקת לידים'!A2605,"0")),TRIM('הדבקת לידים'!A2605)))</f>
        <v/>
      </c>
      <c r="B2605" s="0" t="str">
        <f aca="false">IF('הדבקת לידים'!B2605="","",IF(ISNUMBER('הדבקת לידים'!B2605),IF(הגדרות!$E$3&gt;0,TEXT('הדבקת לידים'!B2605,REPT("0",הגדרות!$E$3)),TEXT('הדבקת לידים'!B2605,"0")),TRIM('הדבקת לידים'!B2605)))</f>
        <v/>
      </c>
      <c r="C2605" s="0" t="n">
        <f aca="false">IF(OR(A2605&lt;&gt;"",B2605&lt;&gt;""),1,0)</f>
        <v>0</v>
      </c>
      <c r="D2605" s="0" t="str">
        <f aca="false">IF(C2605=1,MOD(ABS(SIN(ROW()*12.9898+'הדבקת לידים'!$F$2*78.233+IFERROR(--RIGHT(A2605,6),LEN(A2605))*0.0137+IFERROR(--RIGHT(B2605,6),LEN(B2605))*0.0071))*43758.5453,1),"")</f>
        <v/>
      </c>
      <c r="E2605" s="0" t="str">
        <f aca="false">IF(C2605=1,INT(MOD(ABS(SIN(D2605*7919.123+ROW()*0.618+'הדבקת לידים'!$F$2*1.3))*43758.5453,1)*1000000)*10000+ROW(),"")</f>
        <v/>
      </c>
      <c r="F2605" s="0" t="str">
        <f aca="false">IF(E2605="","",RANK(E2605,$E$2:$E$5001,1))</f>
        <v/>
      </c>
      <c r="G2605" s="0" t="n">
        <f aca="false">IF(A2605="",0,IF(SUMPRODUCT(--($A$2:$A$5001=A2605))&gt;1,1,0))</f>
        <v>0</v>
      </c>
      <c r="H2605" s="0" t="n">
        <f aca="false">ROW()-1</f>
        <v>2604</v>
      </c>
      <c r="I2605" s="0" t="str">
        <f aca="false">IF(OR(הגדרות!$E$6=0,H2605&gt;הגדרות!$E$5),"",IF(H2605-1&lt;הגדרות!$E$8*(הגדרות!$E$7+1),INT((H2605-1)/(הגדרות!$E$7+1)),הגדרות!$E$8+INT((H2605-1-הגדרות!$E$8*(הגדרות!$E$7+1))/הגדרות!$E$7)))</f>
        <v/>
      </c>
      <c r="J2605" s="0" t="str">
        <f aca="false">IF(I2605="","",IF(H2605-1&lt;הגדרות!$E$8*(הגדרות!$E$7+1),MOD(H2605-1,הגדרות!$E$7+1),MOD(H2605-1-הגדרות!$E$8*(הגדרות!$E$7+1),הגדרות!$E$7)))</f>
        <v/>
      </c>
      <c r="K2605" s="0" t="str">
        <f aca="false">IF(I2605="","",J2605*הגדרות!$E$6+I2605+1)</f>
        <v/>
      </c>
      <c r="L2605" s="0" t="str">
        <f aca="false">IF(K2605="","",MATCH(K2605,$F$2:$F$5001,0))</f>
        <v/>
      </c>
      <c r="M2605" s="0" t="str">
        <f aca="false">IF(I2605="","",INDEX(הגדרות!$A$2:$A$21,MOD(I2605+הגדרות!$E$9,הגדרות!$E$6)+1))</f>
        <v/>
      </c>
    </row>
    <row r="2606" customFormat="false" ht="15" hidden="false" customHeight="false" outlineLevel="0" collapsed="false">
      <c r="A2606" s="0" t="str">
        <f aca="false">IF('הדבקת לידים'!A2606="","",IF(ISNUMBER('הדבקת לידים'!A2606),IF(הגדרות!$E$2&gt;0,TEXT('הדבקת לידים'!A2606,REPT("0",הגדרות!$E$2)),TEXT('הדבקת לידים'!A2606,"0")),TRIM('הדבקת לידים'!A2606)))</f>
        <v/>
      </c>
      <c r="B2606" s="0" t="str">
        <f aca="false">IF('הדבקת לידים'!B2606="","",IF(ISNUMBER('הדבקת לידים'!B2606),IF(הגדרות!$E$3&gt;0,TEXT('הדבקת לידים'!B2606,REPT("0",הגדרות!$E$3)),TEXT('הדבקת לידים'!B2606,"0")),TRIM('הדבקת לידים'!B2606)))</f>
        <v/>
      </c>
      <c r="C2606" s="0" t="n">
        <f aca="false">IF(OR(A2606&lt;&gt;"",B2606&lt;&gt;""),1,0)</f>
        <v>0</v>
      </c>
      <c r="D2606" s="0" t="str">
        <f aca="false">IF(C2606=1,MOD(ABS(SIN(ROW()*12.9898+'הדבקת לידים'!$F$2*78.233+IFERROR(--RIGHT(A2606,6),LEN(A2606))*0.0137+IFERROR(--RIGHT(B2606,6),LEN(B2606))*0.0071))*43758.5453,1),"")</f>
        <v/>
      </c>
      <c r="E2606" s="0" t="str">
        <f aca="false">IF(C2606=1,INT(MOD(ABS(SIN(D2606*7919.123+ROW()*0.618+'הדבקת לידים'!$F$2*1.3))*43758.5453,1)*1000000)*10000+ROW(),"")</f>
        <v/>
      </c>
      <c r="F2606" s="0" t="str">
        <f aca="false">IF(E2606="","",RANK(E2606,$E$2:$E$5001,1))</f>
        <v/>
      </c>
      <c r="G2606" s="0" t="n">
        <f aca="false">IF(A2606="",0,IF(SUMPRODUCT(--($A$2:$A$5001=A2606))&gt;1,1,0))</f>
        <v>0</v>
      </c>
      <c r="H2606" s="0" t="n">
        <f aca="false">ROW()-1</f>
        <v>2605</v>
      </c>
      <c r="I2606" s="0" t="str">
        <f aca="false">IF(OR(הגדרות!$E$6=0,H2606&gt;הגדרות!$E$5),"",IF(H2606-1&lt;הגדרות!$E$8*(הגדרות!$E$7+1),INT((H2606-1)/(הגדרות!$E$7+1)),הגדרות!$E$8+INT((H2606-1-הגדרות!$E$8*(הגדרות!$E$7+1))/הגדרות!$E$7)))</f>
        <v/>
      </c>
      <c r="J2606" s="0" t="str">
        <f aca="false">IF(I2606="","",IF(H2606-1&lt;הגדרות!$E$8*(הגדרות!$E$7+1),MOD(H2606-1,הגדרות!$E$7+1),MOD(H2606-1-הגדרות!$E$8*(הגדרות!$E$7+1),הגדרות!$E$7)))</f>
        <v/>
      </c>
      <c r="K2606" s="0" t="str">
        <f aca="false">IF(I2606="","",J2606*הגדרות!$E$6+I2606+1)</f>
        <v/>
      </c>
      <c r="L2606" s="0" t="str">
        <f aca="false">IF(K2606="","",MATCH(K2606,$F$2:$F$5001,0))</f>
        <v/>
      </c>
      <c r="M2606" s="0" t="str">
        <f aca="false">IF(I2606="","",INDEX(הגדרות!$A$2:$A$21,MOD(I2606+הגדרות!$E$9,הגדרות!$E$6)+1))</f>
        <v/>
      </c>
    </row>
    <row r="2607" customFormat="false" ht="15" hidden="false" customHeight="false" outlineLevel="0" collapsed="false">
      <c r="A2607" s="0" t="str">
        <f aca="false">IF('הדבקת לידים'!A2607="","",IF(ISNUMBER('הדבקת לידים'!A2607),IF(הגדרות!$E$2&gt;0,TEXT('הדבקת לידים'!A2607,REPT("0",הגדרות!$E$2)),TEXT('הדבקת לידים'!A2607,"0")),TRIM('הדבקת לידים'!A2607)))</f>
        <v/>
      </c>
      <c r="B2607" s="0" t="str">
        <f aca="false">IF('הדבקת לידים'!B2607="","",IF(ISNUMBER('הדבקת לידים'!B2607),IF(הגדרות!$E$3&gt;0,TEXT('הדבקת לידים'!B2607,REPT("0",הגדרות!$E$3)),TEXT('הדבקת לידים'!B2607,"0")),TRIM('הדבקת לידים'!B2607)))</f>
        <v/>
      </c>
      <c r="C2607" s="0" t="n">
        <f aca="false">IF(OR(A2607&lt;&gt;"",B2607&lt;&gt;""),1,0)</f>
        <v>0</v>
      </c>
      <c r="D2607" s="0" t="str">
        <f aca="false">IF(C2607=1,MOD(ABS(SIN(ROW()*12.9898+'הדבקת לידים'!$F$2*78.233+IFERROR(--RIGHT(A2607,6),LEN(A2607))*0.0137+IFERROR(--RIGHT(B2607,6),LEN(B2607))*0.0071))*43758.5453,1),"")</f>
        <v/>
      </c>
      <c r="E2607" s="0" t="str">
        <f aca="false">IF(C2607=1,INT(MOD(ABS(SIN(D2607*7919.123+ROW()*0.618+'הדבקת לידים'!$F$2*1.3))*43758.5453,1)*1000000)*10000+ROW(),"")</f>
        <v/>
      </c>
      <c r="F2607" s="0" t="str">
        <f aca="false">IF(E2607="","",RANK(E2607,$E$2:$E$5001,1))</f>
        <v/>
      </c>
      <c r="G2607" s="0" t="n">
        <f aca="false">IF(A2607="",0,IF(SUMPRODUCT(--($A$2:$A$5001=A2607))&gt;1,1,0))</f>
        <v>0</v>
      </c>
      <c r="H2607" s="0" t="n">
        <f aca="false">ROW()-1</f>
        <v>2606</v>
      </c>
      <c r="I2607" s="0" t="str">
        <f aca="false">IF(OR(הגדרות!$E$6=0,H2607&gt;הגדרות!$E$5),"",IF(H2607-1&lt;הגדרות!$E$8*(הגדרות!$E$7+1),INT((H2607-1)/(הגדרות!$E$7+1)),הגדרות!$E$8+INT((H2607-1-הגדרות!$E$8*(הגדרות!$E$7+1))/הגדרות!$E$7)))</f>
        <v/>
      </c>
      <c r="J2607" s="0" t="str">
        <f aca="false">IF(I2607="","",IF(H2607-1&lt;הגדרות!$E$8*(הגדרות!$E$7+1),MOD(H2607-1,הגדרות!$E$7+1),MOD(H2607-1-הגדרות!$E$8*(הגדרות!$E$7+1),הגדרות!$E$7)))</f>
        <v/>
      </c>
      <c r="K2607" s="0" t="str">
        <f aca="false">IF(I2607="","",J2607*הגדרות!$E$6+I2607+1)</f>
        <v/>
      </c>
      <c r="L2607" s="0" t="str">
        <f aca="false">IF(K2607="","",MATCH(K2607,$F$2:$F$5001,0))</f>
        <v/>
      </c>
      <c r="M2607" s="0" t="str">
        <f aca="false">IF(I2607="","",INDEX(הגדרות!$A$2:$A$21,MOD(I2607+הגדרות!$E$9,הגדרות!$E$6)+1))</f>
        <v/>
      </c>
    </row>
    <row r="2608" customFormat="false" ht="15" hidden="false" customHeight="false" outlineLevel="0" collapsed="false">
      <c r="A2608" s="0" t="str">
        <f aca="false">IF('הדבקת לידים'!A2608="","",IF(ISNUMBER('הדבקת לידים'!A2608),IF(הגדרות!$E$2&gt;0,TEXT('הדבקת לידים'!A2608,REPT("0",הגדרות!$E$2)),TEXT('הדבקת לידים'!A2608,"0")),TRIM('הדבקת לידים'!A2608)))</f>
        <v/>
      </c>
      <c r="B2608" s="0" t="str">
        <f aca="false">IF('הדבקת לידים'!B2608="","",IF(ISNUMBER('הדבקת לידים'!B2608),IF(הגדרות!$E$3&gt;0,TEXT('הדבקת לידים'!B2608,REPT("0",הגדרות!$E$3)),TEXT('הדבקת לידים'!B2608,"0")),TRIM('הדבקת לידים'!B2608)))</f>
        <v/>
      </c>
      <c r="C2608" s="0" t="n">
        <f aca="false">IF(OR(A2608&lt;&gt;"",B2608&lt;&gt;""),1,0)</f>
        <v>0</v>
      </c>
      <c r="D2608" s="0" t="str">
        <f aca="false">IF(C2608=1,MOD(ABS(SIN(ROW()*12.9898+'הדבקת לידים'!$F$2*78.233+IFERROR(--RIGHT(A2608,6),LEN(A2608))*0.0137+IFERROR(--RIGHT(B2608,6),LEN(B2608))*0.0071))*43758.5453,1),"")</f>
        <v/>
      </c>
      <c r="E2608" s="0" t="str">
        <f aca="false">IF(C2608=1,INT(MOD(ABS(SIN(D2608*7919.123+ROW()*0.618+'הדבקת לידים'!$F$2*1.3))*43758.5453,1)*1000000)*10000+ROW(),"")</f>
        <v/>
      </c>
      <c r="F2608" s="0" t="str">
        <f aca="false">IF(E2608="","",RANK(E2608,$E$2:$E$5001,1))</f>
        <v/>
      </c>
      <c r="G2608" s="0" t="n">
        <f aca="false">IF(A2608="",0,IF(SUMPRODUCT(--($A$2:$A$5001=A2608))&gt;1,1,0))</f>
        <v>0</v>
      </c>
      <c r="H2608" s="0" t="n">
        <f aca="false">ROW()-1</f>
        <v>2607</v>
      </c>
      <c r="I2608" s="0" t="str">
        <f aca="false">IF(OR(הגדרות!$E$6=0,H2608&gt;הגדרות!$E$5),"",IF(H2608-1&lt;הגדרות!$E$8*(הגדרות!$E$7+1),INT((H2608-1)/(הגדרות!$E$7+1)),הגדרות!$E$8+INT((H2608-1-הגדרות!$E$8*(הגדרות!$E$7+1))/הגדרות!$E$7)))</f>
        <v/>
      </c>
      <c r="J2608" s="0" t="str">
        <f aca="false">IF(I2608="","",IF(H2608-1&lt;הגדרות!$E$8*(הגדרות!$E$7+1),MOD(H2608-1,הגדרות!$E$7+1),MOD(H2608-1-הגדרות!$E$8*(הגדרות!$E$7+1),הגדרות!$E$7)))</f>
        <v/>
      </c>
      <c r="K2608" s="0" t="str">
        <f aca="false">IF(I2608="","",J2608*הגדרות!$E$6+I2608+1)</f>
        <v/>
      </c>
      <c r="L2608" s="0" t="str">
        <f aca="false">IF(K2608="","",MATCH(K2608,$F$2:$F$5001,0))</f>
        <v/>
      </c>
      <c r="M2608" s="0" t="str">
        <f aca="false">IF(I2608="","",INDEX(הגדרות!$A$2:$A$21,MOD(I2608+הגדרות!$E$9,הגדרות!$E$6)+1))</f>
        <v/>
      </c>
    </row>
    <row r="2609" customFormat="false" ht="15" hidden="false" customHeight="false" outlineLevel="0" collapsed="false">
      <c r="A2609" s="0" t="str">
        <f aca="false">IF('הדבקת לידים'!A2609="","",IF(ISNUMBER('הדבקת לידים'!A2609),IF(הגדרות!$E$2&gt;0,TEXT('הדבקת לידים'!A2609,REPT("0",הגדרות!$E$2)),TEXT('הדבקת לידים'!A2609,"0")),TRIM('הדבקת לידים'!A2609)))</f>
        <v/>
      </c>
      <c r="B2609" s="0" t="str">
        <f aca="false">IF('הדבקת לידים'!B2609="","",IF(ISNUMBER('הדבקת לידים'!B2609),IF(הגדרות!$E$3&gt;0,TEXT('הדבקת לידים'!B2609,REPT("0",הגדרות!$E$3)),TEXT('הדבקת לידים'!B2609,"0")),TRIM('הדבקת לידים'!B2609)))</f>
        <v/>
      </c>
      <c r="C2609" s="0" t="n">
        <f aca="false">IF(OR(A2609&lt;&gt;"",B2609&lt;&gt;""),1,0)</f>
        <v>0</v>
      </c>
      <c r="D2609" s="0" t="str">
        <f aca="false">IF(C2609=1,MOD(ABS(SIN(ROW()*12.9898+'הדבקת לידים'!$F$2*78.233+IFERROR(--RIGHT(A2609,6),LEN(A2609))*0.0137+IFERROR(--RIGHT(B2609,6),LEN(B2609))*0.0071))*43758.5453,1),"")</f>
        <v/>
      </c>
      <c r="E2609" s="0" t="str">
        <f aca="false">IF(C2609=1,INT(MOD(ABS(SIN(D2609*7919.123+ROW()*0.618+'הדבקת לידים'!$F$2*1.3))*43758.5453,1)*1000000)*10000+ROW(),"")</f>
        <v/>
      </c>
      <c r="F2609" s="0" t="str">
        <f aca="false">IF(E2609="","",RANK(E2609,$E$2:$E$5001,1))</f>
        <v/>
      </c>
      <c r="G2609" s="0" t="n">
        <f aca="false">IF(A2609="",0,IF(SUMPRODUCT(--($A$2:$A$5001=A2609))&gt;1,1,0))</f>
        <v>0</v>
      </c>
      <c r="H2609" s="0" t="n">
        <f aca="false">ROW()-1</f>
        <v>2608</v>
      </c>
      <c r="I2609" s="0" t="str">
        <f aca="false">IF(OR(הגדרות!$E$6=0,H2609&gt;הגדרות!$E$5),"",IF(H2609-1&lt;הגדרות!$E$8*(הגדרות!$E$7+1),INT((H2609-1)/(הגדרות!$E$7+1)),הגדרות!$E$8+INT((H2609-1-הגדרות!$E$8*(הגדרות!$E$7+1))/הגדרות!$E$7)))</f>
        <v/>
      </c>
      <c r="J2609" s="0" t="str">
        <f aca="false">IF(I2609="","",IF(H2609-1&lt;הגדרות!$E$8*(הגדרות!$E$7+1),MOD(H2609-1,הגדרות!$E$7+1),MOD(H2609-1-הגדרות!$E$8*(הגדרות!$E$7+1),הגדרות!$E$7)))</f>
        <v/>
      </c>
      <c r="K2609" s="0" t="str">
        <f aca="false">IF(I2609="","",J2609*הגדרות!$E$6+I2609+1)</f>
        <v/>
      </c>
      <c r="L2609" s="0" t="str">
        <f aca="false">IF(K2609="","",MATCH(K2609,$F$2:$F$5001,0))</f>
        <v/>
      </c>
      <c r="M2609" s="0" t="str">
        <f aca="false">IF(I2609="","",INDEX(הגדרות!$A$2:$A$21,MOD(I2609+הגדרות!$E$9,הגדרות!$E$6)+1))</f>
        <v/>
      </c>
    </row>
    <row r="2610" customFormat="false" ht="15" hidden="false" customHeight="false" outlineLevel="0" collapsed="false">
      <c r="A2610" s="0" t="str">
        <f aca="false">IF('הדבקת לידים'!A2610="","",IF(ISNUMBER('הדבקת לידים'!A2610),IF(הגדרות!$E$2&gt;0,TEXT('הדבקת לידים'!A2610,REPT("0",הגדרות!$E$2)),TEXT('הדבקת לידים'!A2610,"0")),TRIM('הדבקת לידים'!A2610)))</f>
        <v/>
      </c>
      <c r="B2610" s="0" t="str">
        <f aca="false">IF('הדבקת לידים'!B2610="","",IF(ISNUMBER('הדבקת לידים'!B2610),IF(הגדרות!$E$3&gt;0,TEXT('הדבקת לידים'!B2610,REPT("0",הגדרות!$E$3)),TEXT('הדבקת לידים'!B2610,"0")),TRIM('הדבקת לידים'!B2610)))</f>
        <v/>
      </c>
      <c r="C2610" s="0" t="n">
        <f aca="false">IF(OR(A2610&lt;&gt;"",B2610&lt;&gt;""),1,0)</f>
        <v>0</v>
      </c>
      <c r="D2610" s="0" t="str">
        <f aca="false">IF(C2610=1,MOD(ABS(SIN(ROW()*12.9898+'הדבקת לידים'!$F$2*78.233+IFERROR(--RIGHT(A2610,6),LEN(A2610))*0.0137+IFERROR(--RIGHT(B2610,6),LEN(B2610))*0.0071))*43758.5453,1),"")</f>
        <v/>
      </c>
      <c r="E2610" s="0" t="str">
        <f aca="false">IF(C2610=1,INT(MOD(ABS(SIN(D2610*7919.123+ROW()*0.618+'הדבקת לידים'!$F$2*1.3))*43758.5453,1)*1000000)*10000+ROW(),"")</f>
        <v/>
      </c>
      <c r="F2610" s="0" t="str">
        <f aca="false">IF(E2610="","",RANK(E2610,$E$2:$E$5001,1))</f>
        <v/>
      </c>
      <c r="G2610" s="0" t="n">
        <f aca="false">IF(A2610="",0,IF(SUMPRODUCT(--($A$2:$A$5001=A2610))&gt;1,1,0))</f>
        <v>0</v>
      </c>
      <c r="H2610" s="0" t="n">
        <f aca="false">ROW()-1</f>
        <v>2609</v>
      </c>
      <c r="I2610" s="0" t="str">
        <f aca="false">IF(OR(הגדרות!$E$6=0,H2610&gt;הגדרות!$E$5),"",IF(H2610-1&lt;הגדרות!$E$8*(הגדרות!$E$7+1),INT((H2610-1)/(הגדרות!$E$7+1)),הגדרות!$E$8+INT((H2610-1-הגדרות!$E$8*(הגדרות!$E$7+1))/הגדרות!$E$7)))</f>
        <v/>
      </c>
      <c r="J2610" s="0" t="str">
        <f aca="false">IF(I2610="","",IF(H2610-1&lt;הגדרות!$E$8*(הגדרות!$E$7+1),MOD(H2610-1,הגדרות!$E$7+1),MOD(H2610-1-הגדרות!$E$8*(הגדרות!$E$7+1),הגדרות!$E$7)))</f>
        <v/>
      </c>
      <c r="K2610" s="0" t="str">
        <f aca="false">IF(I2610="","",J2610*הגדרות!$E$6+I2610+1)</f>
        <v/>
      </c>
      <c r="L2610" s="0" t="str">
        <f aca="false">IF(K2610="","",MATCH(K2610,$F$2:$F$5001,0))</f>
        <v/>
      </c>
      <c r="M2610" s="0" t="str">
        <f aca="false">IF(I2610="","",INDEX(הגדרות!$A$2:$A$21,MOD(I2610+הגדרות!$E$9,הגדרות!$E$6)+1))</f>
        <v/>
      </c>
    </row>
    <row r="2611" customFormat="false" ht="15" hidden="false" customHeight="false" outlineLevel="0" collapsed="false">
      <c r="A2611" s="0" t="str">
        <f aca="false">IF('הדבקת לידים'!A2611="","",IF(ISNUMBER('הדבקת לידים'!A2611),IF(הגדרות!$E$2&gt;0,TEXT('הדבקת לידים'!A2611,REPT("0",הגדרות!$E$2)),TEXT('הדבקת לידים'!A2611,"0")),TRIM('הדבקת לידים'!A2611)))</f>
        <v/>
      </c>
      <c r="B2611" s="0" t="str">
        <f aca="false">IF('הדבקת לידים'!B2611="","",IF(ISNUMBER('הדבקת לידים'!B2611),IF(הגדרות!$E$3&gt;0,TEXT('הדבקת לידים'!B2611,REPT("0",הגדרות!$E$3)),TEXT('הדבקת לידים'!B2611,"0")),TRIM('הדבקת לידים'!B2611)))</f>
        <v/>
      </c>
      <c r="C2611" s="0" t="n">
        <f aca="false">IF(OR(A2611&lt;&gt;"",B2611&lt;&gt;""),1,0)</f>
        <v>0</v>
      </c>
      <c r="D2611" s="0" t="str">
        <f aca="false">IF(C2611=1,MOD(ABS(SIN(ROW()*12.9898+'הדבקת לידים'!$F$2*78.233+IFERROR(--RIGHT(A2611,6),LEN(A2611))*0.0137+IFERROR(--RIGHT(B2611,6),LEN(B2611))*0.0071))*43758.5453,1),"")</f>
        <v/>
      </c>
      <c r="E2611" s="0" t="str">
        <f aca="false">IF(C2611=1,INT(MOD(ABS(SIN(D2611*7919.123+ROW()*0.618+'הדבקת לידים'!$F$2*1.3))*43758.5453,1)*1000000)*10000+ROW(),"")</f>
        <v/>
      </c>
      <c r="F2611" s="0" t="str">
        <f aca="false">IF(E2611="","",RANK(E2611,$E$2:$E$5001,1))</f>
        <v/>
      </c>
      <c r="G2611" s="0" t="n">
        <f aca="false">IF(A2611="",0,IF(SUMPRODUCT(--($A$2:$A$5001=A2611))&gt;1,1,0))</f>
        <v>0</v>
      </c>
      <c r="H2611" s="0" t="n">
        <f aca="false">ROW()-1</f>
        <v>2610</v>
      </c>
      <c r="I2611" s="0" t="str">
        <f aca="false">IF(OR(הגדרות!$E$6=0,H2611&gt;הגדרות!$E$5),"",IF(H2611-1&lt;הגדרות!$E$8*(הגדרות!$E$7+1),INT((H2611-1)/(הגדרות!$E$7+1)),הגדרות!$E$8+INT((H2611-1-הגדרות!$E$8*(הגדרות!$E$7+1))/הגדרות!$E$7)))</f>
        <v/>
      </c>
      <c r="J2611" s="0" t="str">
        <f aca="false">IF(I2611="","",IF(H2611-1&lt;הגדרות!$E$8*(הגדרות!$E$7+1),MOD(H2611-1,הגדרות!$E$7+1),MOD(H2611-1-הגדרות!$E$8*(הגדרות!$E$7+1),הגדרות!$E$7)))</f>
        <v/>
      </c>
      <c r="K2611" s="0" t="str">
        <f aca="false">IF(I2611="","",J2611*הגדרות!$E$6+I2611+1)</f>
        <v/>
      </c>
      <c r="L2611" s="0" t="str">
        <f aca="false">IF(K2611="","",MATCH(K2611,$F$2:$F$5001,0))</f>
        <v/>
      </c>
      <c r="M2611" s="0" t="str">
        <f aca="false">IF(I2611="","",INDEX(הגדרות!$A$2:$A$21,MOD(I2611+הגדרות!$E$9,הגדרות!$E$6)+1))</f>
        <v/>
      </c>
    </row>
    <row r="2612" customFormat="false" ht="15" hidden="false" customHeight="false" outlineLevel="0" collapsed="false">
      <c r="A2612" s="0" t="str">
        <f aca="false">IF('הדבקת לידים'!A2612="","",IF(ISNUMBER('הדבקת לידים'!A2612),IF(הגדרות!$E$2&gt;0,TEXT('הדבקת לידים'!A2612,REPT("0",הגדרות!$E$2)),TEXT('הדבקת לידים'!A2612,"0")),TRIM('הדבקת לידים'!A2612)))</f>
        <v/>
      </c>
      <c r="B2612" s="0" t="str">
        <f aca="false">IF('הדבקת לידים'!B2612="","",IF(ISNUMBER('הדבקת לידים'!B2612),IF(הגדרות!$E$3&gt;0,TEXT('הדבקת לידים'!B2612,REPT("0",הגדרות!$E$3)),TEXT('הדבקת לידים'!B2612,"0")),TRIM('הדבקת לידים'!B2612)))</f>
        <v/>
      </c>
      <c r="C2612" s="0" t="n">
        <f aca="false">IF(OR(A2612&lt;&gt;"",B2612&lt;&gt;""),1,0)</f>
        <v>0</v>
      </c>
      <c r="D2612" s="0" t="str">
        <f aca="false">IF(C2612=1,MOD(ABS(SIN(ROW()*12.9898+'הדבקת לידים'!$F$2*78.233+IFERROR(--RIGHT(A2612,6),LEN(A2612))*0.0137+IFERROR(--RIGHT(B2612,6),LEN(B2612))*0.0071))*43758.5453,1),"")</f>
        <v/>
      </c>
      <c r="E2612" s="0" t="str">
        <f aca="false">IF(C2612=1,INT(MOD(ABS(SIN(D2612*7919.123+ROW()*0.618+'הדבקת לידים'!$F$2*1.3))*43758.5453,1)*1000000)*10000+ROW(),"")</f>
        <v/>
      </c>
      <c r="F2612" s="0" t="str">
        <f aca="false">IF(E2612="","",RANK(E2612,$E$2:$E$5001,1))</f>
        <v/>
      </c>
      <c r="G2612" s="0" t="n">
        <f aca="false">IF(A2612="",0,IF(SUMPRODUCT(--($A$2:$A$5001=A2612))&gt;1,1,0))</f>
        <v>0</v>
      </c>
      <c r="H2612" s="0" t="n">
        <f aca="false">ROW()-1</f>
        <v>2611</v>
      </c>
      <c r="I2612" s="0" t="str">
        <f aca="false">IF(OR(הגדרות!$E$6=0,H2612&gt;הגדרות!$E$5),"",IF(H2612-1&lt;הגדרות!$E$8*(הגדרות!$E$7+1),INT((H2612-1)/(הגדרות!$E$7+1)),הגדרות!$E$8+INT((H2612-1-הגדרות!$E$8*(הגדרות!$E$7+1))/הגדרות!$E$7)))</f>
        <v/>
      </c>
      <c r="J2612" s="0" t="str">
        <f aca="false">IF(I2612="","",IF(H2612-1&lt;הגדרות!$E$8*(הגדרות!$E$7+1),MOD(H2612-1,הגדרות!$E$7+1),MOD(H2612-1-הגדרות!$E$8*(הגדרות!$E$7+1),הגדרות!$E$7)))</f>
        <v/>
      </c>
      <c r="K2612" s="0" t="str">
        <f aca="false">IF(I2612="","",J2612*הגדרות!$E$6+I2612+1)</f>
        <v/>
      </c>
      <c r="L2612" s="0" t="str">
        <f aca="false">IF(K2612="","",MATCH(K2612,$F$2:$F$5001,0))</f>
        <v/>
      </c>
      <c r="M2612" s="0" t="str">
        <f aca="false">IF(I2612="","",INDEX(הגדרות!$A$2:$A$21,MOD(I2612+הגדרות!$E$9,הגדרות!$E$6)+1))</f>
        <v/>
      </c>
    </row>
    <row r="2613" customFormat="false" ht="15" hidden="false" customHeight="false" outlineLevel="0" collapsed="false">
      <c r="A2613" s="0" t="str">
        <f aca="false">IF('הדבקת לידים'!A2613="","",IF(ISNUMBER('הדבקת לידים'!A2613),IF(הגדרות!$E$2&gt;0,TEXT('הדבקת לידים'!A2613,REPT("0",הגדרות!$E$2)),TEXT('הדבקת לידים'!A2613,"0")),TRIM('הדבקת לידים'!A2613)))</f>
        <v/>
      </c>
      <c r="B2613" s="0" t="str">
        <f aca="false">IF('הדבקת לידים'!B2613="","",IF(ISNUMBER('הדבקת לידים'!B2613),IF(הגדרות!$E$3&gt;0,TEXT('הדבקת לידים'!B2613,REPT("0",הגדרות!$E$3)),TEXT('הדבקת לידים'!B2613,"0")),TRIM('הדבקת לידים'!B2613)))</f>
        <v/>
      </c>
      <c r="C2613" s="0" t="n">
        <f aca="false">IF(OR(A2613&lt;&gt;"",B2613&lt;&gt;""),1,0)</f>
        <v>0</v>
      </c>
      <c r="D2613" s="0" t="str">
        <f aca="false">IF(C2613=1,MOD(ABS(SIN(ROW()*12.9898+'הדבקת לידים'!$F$2*78.233+IFERROR(--RIGHT(A2613,6),LEN(A2613))*0.0137+IFERROR(--RIGHT(B2613,6),LEN(B2613))*0.0071))*43758.5453,1),"")</f>
        <v/>
      </c>
      <c r="E2613" s="0" t="str">
        <f aca="false">IF(C2613=1,INT(MOD(ABS(SIN(D2613*7919.123+ROW()*0.618+'הדבקת לידים'!$F$2*1.3))*43758.5453,1)*1000000)*10000+ROW(),"")</f>
        <v/>
      </c>
      <c r="F2613" s="0" t="str">
        <f aca="false">IF(E2613="","",RANK(E2613,$E$2:$E$5001,1))</f>
        <v/>
      </c>
      <c r="G2613" s="0" t="n">
        <f aca="false">IF(A2613="",0,IF(SUMPRODUCT(--($A$2:$A$5001=A2613))&gt;1,1,0))</f>
        <v>0</v>
      </c>
      <c r="H2613" s="0" t="n">
        <f aca="false">ROW()-1</f>
        <v>2612</v>
      </c>
      <c r="I2613" s="0" t="str">
        <f aca="false">IF(OR(הגדרות!$E$6=0,H2613&gt;הגדרות!$E$5),"",IF(H2613-1&lt;הגדרות!$E$8*(הגדרות!$E$7+1),INT((H2613-1)/(הגדרות!$E$7+1)),הגדרות!$E$8+INT((H2613-1-הגדרות!$E$8*(הגדרות!$E$7+1))/הגדרות!$E$7)))</f>
        <v/>
      </c>
      <c r="J2613" s="0" t="str">
        <f aca="false">IF(I2613="","",IF(H2613-1&lt;הגדרות!$E$8*(הגדרות!$E$7+1),MOD(H2613-1,הגדרות!$E$7+1),MOD(H2613-1-הגדרות!$E$8*(הגדרות!$E$7+1),הגדרות!$E$7)))</f>
        <v/>
      </c>
      <c r="K2613" s="0" t="str">
        <f aca="false">IF(I2613="","",J2613*הגדרות!$E$6+I2613+1)</f>
        <v/>
      </c>
      <c r="L2613" s="0" t="str">
        <f aca="false">IF(K2613="","",MATCH(K2613,$F$2:$F$5001,0))</f>
        <v/>
      </c>
      <c r="M2613" s="0" t="str">
        <f aca="false">IF(I2613="","",INDEX(הגדרות!$A$2:$A$21,MOD(I2613+הגדרות!$E$9,הגדרות!$E$6)+1))</f>
        <v/>
      </c>
    </row>
    <row r="2614" customFormat="false" ht="15" hidden="false" customHeight="false" outlineLevel="0" collapsed="false">
      <c r="A2614" s="0" t="str">
        <f aca="false">IF('הדבקת לידים'!A2614="","",IF(ISNUMBER('הדבקת לידים'!A2614),IF(הגדרות!$E$2&gt;0,TEXT('הדבקת לידים'!A2614,REPT("0",הגדרות!$E$2)),TEXT('הדבקת לידים'!A2614,"0")),TRIM('הדבקת לידים'!A2614)))</f>
        <v/>
      </c>
      <c r="B2614" s="0" t="str">
        <f aca="false">IF('הדבקת לידים'!B2614="","",IF(ISNUMBER('הדבקת לידים'!B2614),IF(הגדרות!$E$3&gt;0,TEXT('הדבקת לידים'!B2614,REPT("0",הגדרות!$E$3)),TEXT('הדבקת לידים'!B2614,"0")),TRIM('הדבקת לידים'!B2614)))</f>
        <v/>
      </c>
      <c r="C2614" s="0" t="n">
        <f aca="false">IF(OR(A2614&lt;&gt;"",B2614&lt;&gt;""),1,0)</f>
        <v>0</v>
      </c>
      <c r="D2614" s="0" t="str">
        <f aca="false">IF(C2614=1,MOD(ABS(SIN(ROW()*12.9898+'הדבקת לידים'!$F$2*78.233+IFERROR(--RIGHT(A2614,6),LEN(A2614))*0.0137+IFERROR(--RIGHT(B2614,6),LEN(B2614))*0.0071))*43758.5453,1),"")</f>
        <v/>
      </c>
      <c r="E2614" s="0" t="str">
        <f aca="false">IF(C2614=1,INT(MOD(ABS(SIN(D2614*7919.123+ROW()*0.618+'הדבקת לידים'!$F$2*1.3))*43758.5453,1)*1000000)*10000+ROW(),"")</f>
        <v/>
      </c>
      <c r="F2614" s="0" t="str">
        <f aca="false">IF(E2614="","",RANK(E2614,$E$2:$E$5001,1))</f>
        <v/>
      </c>
      <c r="G2614" s="0" t="n">
        <f aca="false">IF(A2614="",0,IF(SUMPRODUCT(--($A$2:$A$5001=A2614))&gt;1,1,0))</f>
        <v>0</v>
      </c>
      <c r="H2614" s="0" t="n">
        <f aca="false">ROW()-1</f>
        <v>2613</v>
      </c>
      <c r="I2614" s="0" t="str">
        <f aca="false">IF(OR(הגדרות!$E$6=0,H2614&gt;הגדרות!$E$5),"",IF(H2614-1&lt;הגדרות!$E$8*(הגדרות!$E$7+1),INT((H2614-1)/(הגדרות!$E$7+1)),הגדרות!$E$8+INT((H2614-1-הגדרות!$E$8*(הגדרות!$E$7+1))/הגדרות!$E$7)))</f>
        <v/>
      </c>
      <c r="J2614" s="0" t="str">
        <f aca="false">IF(I2614="","",IF(H2614-1&lt;הגדרות!$E$8*(הגדרות!$E$7+1),MOD(H2614-1,הגדרות!$E$7+1),MOD(H2614-1-הגדרות!$E$8*(הגדרות!$E$7+1),הגדרות!$E$7)))</f>
        <v/>
      </c>
      <c r="K2614" s="0" t="str">
        <f aca="false">IF(I2614="","",J2614*הגדרות!$E$6+I2614+1)</f>
        <v/>
      </c>
      <c r="L2614" s="0" t="str">
        <f aca="false">IF(K2614="","",MATCH(K2614,$F$2:$F$5001,0))</f>
        <v/>
      </c>
      <c r="M2614" s="0" t="str">
        <f aca="false">IF(I2614="","",INDEX(הגדרות!$A$2:$A$21,MOD(I2614+הגדרות!$E$9,הגדרות!$E$6)+1))</f>
        <v/>
      </c>
    </row>
    <row r="2615" customFormat="false" ht="15" hidden="false" customHeight="false" outlineLevel="0" collapsed="false">
      <c r="A2615" s="0" t="str">
        <f aca="false">IF('הדבקת לידים'!A2615="","",IF(ISNUMBER('הדבקת לידים'!A2615),IF(הגדרות!$E$2&gt;0,TEXT('הדבקת לידים'!A2615,REPT("0",הגדרות!$E$2)),TEXT('הדבקת לידים'!A2615,"0")),TRIM('הדבקת לידים'!A2615)))</f>
        <v/>
      </c>
      <c r="B2615" s="0" t="str">
        <f aca="false">IF('הדבקת לידים'!B2615="","",IF(ISNUMBER('הדבקת לידים'!B2615),IF(הגדרות!$E$3&gt;0,TEXT('הדבקת לידים'!B2615,REPT("0",הגדרות!$E$3)),TEXT('הדבקת לידים'!B2615,"0")),TRIM('הדבקת לידים'!B2615)))</f>
        <v/>
      </c>
      <c r="C2615" s="0" t="n">
        <f aca="false">IF(OR(A2615&lt;&gt;"",B2615&lt;&gt;""),1,0)</f>
        <v>0</v>
      </c>
      <c r="D2615" s="0" t="str">
        <f aca="false">IF(C2615=1,MOD(ABS(SIN(ROW()*12.9898+'הדבקת לידים'!$F$2*78.233+IFERROR(--RIGHT(A2615,6),LEN(A2615))*0.0137+IFERROR(--RIGHT(B2615,6),LEN(B2615))*0.0071))*43758.5453,1),"")</f>
        <v/>
      </c>
      <c r="E2615" s="0" t="str">
        <f aca="false">IF(C2615=1,INT(MOD(ABS(SIN(D2615*7919.123+ROW()*0.618+'הדבקת לידים'!$F$2*1.3))*43758.5453,1)*1000000)*10000+ROW(),"")</f>
        <v/>
      </c>
      <c r="F2615" s="0" t="str">
        <f aca="false">IF(E2615="","",RANK(E2615,$E$2:$E$5001,1))</f>
        <v/>
      </c>
      <c r="G2615" s="0" t="n">
        <f aca="false">IF(A2615="",0,IF(SUMPRODUCT(--($A$2:$A$5001=A2615))&gt;1,1,0))</f>
        <v>0</v>
      </c>
      <c r="H2615" s="0" t="n">
        <f aca="false">ROW()-1</f>
        <v>2614</v>
      </c>
      <c r="I2615" s="0" t="str">
        <f aca="false">IF(OR(הגדרות!$E$6=0,H2615&gt;הגדרות!$E$5),"",IF(H2615-1&lt;הגדרות!$E$8*(הגדרות!$E$7+1),INT((H2615-1)/(הגדרות!$E$7+1)),הגדרות!$E$8+INT((H2615-1-הגדרות!$E$8*(הגדרות!$E$7+1))/הגדרות!$E$7)))</f>
        <v/>
      </c>
      <c r="J2615" s="0" t="str">
        <f aca="false">IF(I2615="","",IF(H2615-1&lt;הגדרות!$E$8*(הגדרות!$E$7+1),MOD(H2615-1,הגדרות!$E$7+1),MOD(H2615-1-הגדרות!$E$8*(הגדרות!$E$7+1),הגדרות!$E$7)))</f>
        <v/>
      </c>
      <c r="K2615" s="0" t="str">
        <f aca="false">IF(I2615="","",J2615*הגדרות!$E$6+I2615+1)</f>
        <v/>
      </c>
      <c r="L2615" s="0" t="str">
        <f aca="false">IF(K2615="","",MATCH(K2615,$F$2:$F$5001,0))</f>
        <v/>
      </c>
      <c r="M2615" s="0" t="str">
        <f aca="false">IF(I2615="","",INDEX(הגדרות!$A$2:$A$21,MOD(I2615+הגדרות!$E$9,הגדרות!$E$6)+1))</f>
        <v/>
      </c>
    </row>
    <row r="2616" customFormat="false" ht="15" hidden="false" customHeight="false" outlineLevel="0" collapsed="false">
      <c r="A2616" s="0" t="str">
        <f aca="false">IF('הדבקת לידים'!A2616="","",IF(ISNUMBER('הדבקת לידים'!A2616),IF(הגדרות!$E$2&gt;0,TEXT('הדבקת לידים'!A2616,REPT("0",הגדרות!$E$2)),TEXT('הדבקת לידים'!A2616,"0")),TRIM('הדבקת לידים'!A2616)))</f>
        <v/>
      </c>
      <c r="B2616" s="0" t="str">
        <f aca="false">IF('הדבקת לידים'!B2616="","",IF(ISNUMBER('הדבקת לידים'!B2616),IF(הגדרות!$E$3&gt;0,TEXT('הדבקת לידים'!B2616,REPT("0",הגדרות!$E$3)),TEXT('הדבקת לידים'!B2616,"0")),TRIM('הדבקת לידים'!B2616)))</f>
        <v/>
      </c>
      <c r="C2616" s="0" t="n">
        <f aca="false">IF(OR(A2616&lt;&gt;"",B2616&lt;&gt;""),1,0)</f>
        <v>0</v>
      </c>
      <c r="D2616" s="0" t="str">
        <f aca="false">IF(C2616=1,MOD(ABS(SIN(ROW()*12.9898+'הדבקת לידים'!$F$2*78.233+IFERROR(--RIGHT(A2616,6),LEN(A2616))*0.0137+IFERROR(--RIGHT(B2616,6),LEN(B2616))*0.0071))*43758.5453,1),"")</f>
        <v/>
      </c>
      <c r="E2616" s="0" t="str">
        <f aca="false">IF(C2616=1,INT(MOD(ABS(SIN(D2616*7919.123+ROW()*0.618+'הדבקת לידים'!$F$2*1.3))*43758.5453,1)*1000000)*10000+ROW(),"")</f>
        <v/>
      </c>
      <c r="F2616" s="0" t="str">
        <f aca="false">IF(E2616="","",RANK(E2616,$E$2:$E$5001,1))</f>
        <v/>
      </c>
      <c r="G2616" s="0" t="n">
        <f aca="false">IF(A2616="",0,IF(SUMPRODUCT(--($A$2:$A$5001=A2616))&gt;1,1,0))</f>
        <v>0</v>
      </c>
      <c r="H2616" s="0" t="n">
        <f aca="false">ROW()-1</f>
        <v>2615</v>
      </c>
      <c r="I2616" s="0" t="str">
        <f aca="false">IF(OR(הגדרות!$E$6=0,H2616&gt;הגדרות!$E$5),"",IF(H2616-1&lt;הגדרות!$E$8*(הגדרות!$E$7+1),INT((H2616-1)/(הגדרות!$E$7+1)),הגדרות!$E$8+INT((H2616-1-הגדרות!$E$8*(הגדרות!$E$7+1))/הגדרות!$E$7)))</f>
        <v/>
      </c>
      <c r="J2616" s="0" t="str">
        <f aca="false">IF(I2616="","",IF(H2616-1&lt;הגדרות!$E$8*(הגדרות!$E$7+1),MOD(H2616-1,הגדרות!$E$7+1),MOD(H2616-1-הגדרות!$E$8*(הגדרות!$E$7+1),הגדרות!$E$7)))</f>
        <v/>
      </c>
      <c r="K2616" s="0" t="str">
        <f aca="false">IF(I2616="","",J2616*הגדרות!$E$6+I2616+1)</f>
        <v/>
      </c>
      <c r="L2616" s="0" t="str">
        <f aca="false">IF(K2616="","",MATCH(K2616,$F$2:$F$5001,0))</f>
        <v/>
      </c>
      <c r="M2616" s="0" t="str">
        <f aca="false">IF(I2616="","",INDEX(הגדרות!$A$2:$A$21,MOD(I2616+הגדרות!$E$9,הגדרות!$E$6)+1))</f>
        <v/>
      </c>
    </row>
    <row r="2617" customFormat="false" ht="15" hidden="false" customHeight="false" outlineLevel="0" collapsed="false">
      <c r="A2617" s="0" t="str">
        <f aca="false">IF('הדבקת לידים'!A2617="","",IF(ISNUMBER('הדבקת לידים'!A2617),IF(הגדרות!$E$2&gt;0,TEXT('הדבקת לידים'!A2617,REPT("0",הגדרות!$E$2)),TEXT('הדבקת לידים'!A2617,"0")),TRIM('הדבקת לידים'!A2617)))</f>
        <v/>
      </c>
      <c r="B2617" s="0" t="str">
        <f aca="false">IF('הדבקת לידים'!B2617="","",IF(ISNUMBER('הדבקת לידים'!B2617),IF(הגדרות!$E$3&gt;0,TEXT('הדבקת לידים'!B2617,REPT("0",הגדרות!$E$3)),TEXT('הדבקת לידים'!B2617,"0")),TRIM('הדבקת לידים'!B2617)))</f>
        <v/>
      </c>
      <c r="C2617" s="0" t="n">
        <f aca="false">IF(OR(A2617&lt;&gt;"",B2617&lt;&gt;""),1,0)</f>
        <v>0</v>
      </c>
      <c r="D2617" s="0" t="str">
        <f aca="false">IF(C2617=1,MOD(ABS(SIN(ROW()*12.9898+'הדבקת לידים'!$F$2*78.233+IFERROR(--RIGHT(A2617,6),LEN(A2617))*0.0137+IFERROR(--RIGHT(B2617,6),LEN(B2617))*0.0071))*43758.5453,1),"")</f>
        <v/>
      </c>
      <c r="E2617" s="0" t="str">
        <f aca="false">IF(C2617=1,INT(MOD(ABS(SIN(D2617*7919.123+ROW()*0.618+'הדבקת לידים'!$F$2*1.3))*43758.5453,1)*1000000)*10000+ROW(),"")</f>
        <v/>
      </c>
      <c r="F2617" s="0" t="str">
        <f aca="false">IF(E2617="","",RANK(E2617,$E$2:$E$5001,1))</f>
        <v/>
      </c>
      <c r="G2617" s="0" t="n">
        <f aca="false">IF(A2617="",0,IF(SUMPRODUCT(--($A$2:$A$5001=A2617))&gt;1,1,0))</f>
        <v>0</v>
      </c>
      <c r="H2617" s="0" t="n">
        <f aca="false">ROW()-1</f>
        <v>2616</v>
      </c>
      <c r="I2617" s="0" t="str">
        <f aca="false">IF(OR(הגדרות!$E$6=0,H2617&gt;הגדרות!$E$5),"",IF(H2617-1&lt;הגדרות!$E$8*(הגדרות!$E$7+1),INT((H2617-1)/(הגדרות!$E$7+1)),הגדרות!$E$8+INT((H2617-1-הגדרות!$E$8*(הגדרות!$E$7+1))/הגדרות!$E$7)))</f>
        <v/>
      </c>
      <c r="J2617" s="0" t="str">
        <f aca="false">IF(I2617="","",IF(H2617-1&lt;הגדרות!$E$8*(הגדרות!$E$7+1),MOD(H2617-1,הגדרות!$E$7+1),MOD(H2617-1-הגדרות!$E$8*(הגדרות!$E$7+1),הגדרות!$E$7)))</f>
        <v/>
      </c>
      <c r="K2617" s="0" t="str">
        <f aca="false">IF(I2617="","",J2617*הגדרות!$E$6+I2617+1)</f>
        <v/>
      </c>
      <c r="L2617" s="0" t="str">
        <f aca="false">IF(K2617="","",MATCH(K2617,$F$2:$F$5001,0))</f>
        <v/>
      </c>
      <c r="M2617" s="0" t="str">
        <f aca="false">IF(I2617="","",INDEX(הגדרות!$A$2:$A$21,MOD(I2617+הגדרות!$E$9,הגדרות!$E$6)+1))</f>
        <v/>
      </c>
    </row>
    <row r="2618" customFormat="false" ht="15" hidden="false" customHeight="false" outlineLevel="0" collapsed="false">
      <c r="A2618" s="0" t="str">
        <f aca="false">IF('הדבקת לידים'!A2618="","",IF(ISNUMBER('הדבקת לידים'!A2618),IF(הגדרות!$E$2&gt;0,TEXT('הדבקת לידים'!A2618,REPT("0",הגדרות!$E$2)),TEXT('הדבקת לידים'!A2618,"0")),TRIM('הדבקת לידים'!A2618)))</f>
        <v/>
      </c>
      <c r="B2618" s="0" t="str">
        <f aca="false">IF('הדבקת לידים'!B2618="","",IF(ISNUMBER('הדבקת לידים'!B2618),IF(הגדרות!$E$3&gt;0,TEXT('הדבקת לידים'!B2618,REPT("0",הגדרות!$E$3)),TEXT('הדבקת לידים'!B2618,"0")),TRIM('הדבקת לידים'!B2618)))</f>
        <v/>
      </c>
      <c r="C2618" s="0" t="n">
        <f aca="false">IF(OR(A2618&lt;&gt;"",B2618&lt;&gt;""),1,0)</f>
        <v>0</v>
      </c>
      <c r="D2618" s="0" t="str">
        <f aca="false">IF(C2618=1,MOD(ABS(SIN(ROW()*12.9898+'הדבקת לידים'!$F$2*78.233+IFERROR(--RIGHT(A2618,6),LEN(A2618))*0.0137+IFERROR(--RIGHT(B2618,6),LEN(B2618))*0.0071))*43758.5453,1),"")</f>
        <v/>
      </c>
      <c r="E2618" s="0" t="str">
        <f aca="false">IF(C2618=1,INT(MOD(ABS(SIN(D2618*7919.123+ROW()*0.618+'הדבקת לידים'!$F$2*1.3))*43758.5453,1)*1000000)*10000+ROW(),"")</f>
        <v/>
      </c>
      <c r="F2618" s="0" t="str">
        <f aca="false">IF(E2618="","",RANK(E2618,$E$2:$E$5001,1))</f>
        <v/>
      </c>
      <c r="G2618" s="0" t="n">
        <f aca="false">IF(A2618="",0,IF(SUMPRODUCT(--($A$2:$A$5001=A2618))&gt;1,1,0))</f>
        <v>0</v>
      </c>
      <c r="H2618" s="0" t="n">
        <f aca="false">ROW()-1</f>
        <v>2617</v>
      </c>
      <c r="I2618" s="0" t="str">
        <f aca="false">IF(OR(הגדרות!$E$6=0,H2618&gt;הגדרות!$E$5),"",IF(H2618-1&lt;הגדרות!$E$8*(הגדרות!$E$7+1),INT((H2618-1)/(הגדרות!$E$7+1)),הגדרות!$E$8+INT((H2618-1-הגדרות!$E$8*(הגדרות!$E$7+1))/הגדרות!$E$7)))</f>
        <v/>
      </c>
      <c r="J2618" s="0" t="str">
        <f aca="false">IF(I2618="","",IF(H2618-1&lt;הגדרות!$E$8*(הגדרות!$E$7+1),MOD(H2618-1,הגדרות!$E$7+1),MOD(H2618-1-הגדרות!$E$8*(הגדרות!$E$7+1),הגדרות!$E$7)))</f>
        <v/>
      </c>
      <c r="K2618" s="0" t="str">
        <f aca="false">IF(I2618="","",J2618*הגדרות!$E$6+I2618+1)</f>
        <v/>
      </c>
      <c r="L2618" s="0" t="str">
        <f aca="false">IF(K2618="","",MATCH(K2618,$F$2:$F$5001,0))</f>
        <v/>
      </c>
      <c r="M2618" s="0" t="str">
        <f aca="false">IF(I2618="","",INDEX(הגדרות!$A$2:$A$21,MOD(I2618+הגדרות!$E$9,הגדרות!$E$6)+1))</f>
        <v/>
      </c>
    </row>
    <row r="2619" customFormat="false" ht="15" hidden="false" customHeight="false" outlineLevel="0" collapsed="false">
      <c r="A2619" s="0" t="str">
        <f aca="false">IF('הדבקת לידים'!A2619="","",IF(ISNUMBER('הדבקת לידים'!A2619),IF(הגדרות!$E$2&gt;0,TEXT('הדבקת לידים'!A2619,REPT("0",הגדרות!$E$2)),TEXT('הדבקת לידים'!A2619,"0")),TRIM('הדבקת לידים'!A2619)))</f>
        <v/>
      </c>
      <c r="B2619" s="0" t="str">
        <f aca="false">IF('הדבקת לידים'!B2619="","",IF(ISNUMBER('הדבקת לידים'!B2619),IF(הגדרות!$E$3&gt;0,TEXT('הדבקת לידים'!B2619,REPT("0",הגדרות!$E$3)),TEXT('הדבקת לידים'!B2619,"0")),TRIM('הדבקת לידים'!B2619)))</f>
        <v/>
      </c>
      <c r="C2619" s="0" t="n">
        <f aca="false">IF(OR(A2619&lt;&gt;"",B2619&lt;&gt;""),1,0)</f>
        <v>0</v>
      </c>
      <c r="D2619" s="0" t="str">
        <f aca="false">IF(C2619=1,MOD(ABS(SIN(ROW()*12.9898+'הדבקת לידים'!$F$2*78.233+IFERROR(--RIGHT(A2619,6),LEN(A2619))*0.0137+IFERROR(--RIGHT(B2619,6),LEN(B2619))*0.0071))*43758.5453,1),"")</f>
        <v/>
      </c>
      <c r="E2619" s="0" t="str">
        <f aca="false">IF(C2619=1,INT(MOD(ABS(SIN(D2619*7919.123+ROW()*0.618+'הדבקת לידים'!$F$2*1.3))*43758.5453,1)*1000000)*10000+ROW(),"")</f>
        <v/>
      </c>
      <c r="F2619" s="0" t="str">
        <f aca="false">IF(E2619="","",RANK(E2619,$E$2:$E$5001,1))</f>
        <v/>
      </c>
      <c r="G2619" s="0" t="n">
        <f aca="false">IF(A2619="",0,IF(SUMPRODUCT(--($A$2:$A$5001=A2619))&gt;1,1,0))</f>
        <v>0</v>
      </c>
      <c r="H2619" s="0" t="n">
        <f aca="false">ROW()-1</f>
        <v>2618</v>
      </c>
      <c r="I2619" s="0" t="str">
        <f aca="false">IF(OR(הגדרות!$E$6=0,H2619&gt;הגדרות!$E$5),"",IF(H2619-1&lt;הגדרות!$E$8*(הגדרות!$E$7+1),INT((H2619-1)/(הגדרות!$E$7+1)),הגדרות!$E$8+INT((H2619-1-הגדרות!$E$8*(הגדרות!$E$7+1))/הגדרות!$E$7)))</f>
        <v/>
      </c>
      <c r="J2619" s="0" t="str">
        <f aca="false">IF(I2619="","",IF(H2619-1&lt;הגדרות!$E$8*(הגדרות!$E$7+1),MOD(H2619-1,הגדרות!$E$7+1),MOD(H2619-1-הגדרות!$E$8*(הגדרות!$E$7+1),הגדרות!$E$7)))</f>
        <v/>
      </c>
      <c r="K2619" s="0" t="str">
        <f aca="false">IF(I2619="","",J2619*הגדרות!$E$6+I2619+1)</f>
        <v/>
      </c>
      <c r="L2619" s="0" t="str">
        <f aca="false">IF(K2619="","",MATCH(K2619,$F$2:$F$5001,0))</f>
        <v/>
      </c>
      <c r="M2619" s="0" t="str">
        <f aca="false">IF(I2619="","",INDEX(הגדרות!$A$2:$A$21,MOD(I2619+הגדרות!$E$9,הגדרות!$E$6)+1))</f>
        <v/>
      </c>
    </row>
    <row r="2620" customFormat="false" ht="15" hidden="false" customHeight="false" outlineLevel="0" collapsed="false">
      <c r="A2620" s="0" t="str">
        <f aca="false">IF('הדבקת לידים'!A2620="","",IF(ISNUMBER('הדבקת לידים'!A2620),IF(הגדרות!$E$2&gt;0,TEXT('הדבקת לידים'!A2620,REPT("0",הגדרות!$E$2)),TEXT('הדבקת לידים'!A2620,"0")),TRIM('הדבקת לידים'!A2620)))</f>
        <v/>
      </c>
      <c r="B2620" s="0" t="str">
        <f aca="false">IF('הדבקת לידים'!B2620="","",IF(ISNUMBER('הדבקת לידים'!B2620),IF(הגדרות!$E$3&gt;0,TEXT('הדבקת לידים'!B2620,REPT("0",הגדרות!$E$3)),TEXT('הדבקת לידים'!B2620,"0")),TRIM('הדבקת לידים'!B2620)))</f>
        <v/>
      </c>
      <c r="C2620" s="0" t="n">
        <f aca="false">IF(OR(A2620&lt;&gt;"",B2620&lt;&gt;""),1,0)</f>
        <v>0</v>
      </c>
      <c r="D2620" s="0" t="str">
        <f aca="false">IF(C2620=1,MOD(ABS(SIN(ROW()*12.9898+'הדבקת לידים'!$F$2*78.233+IFERROR(--RIGHT(A2620,6),LEN(A2620))*0.0137+IFERROR(--RIGHT(B2620,6),LEN(B2620))*0.0071))*43758.5453,1),"")</f>
        <v/>
      </c>
      <c r="E2620" s="0" t="str">
        <f aca="false">IF(C2620=1,INT(MOD(ABS(SIN(D2620*7919.123+ROW()*0.618+'הדבקת לידים'!$F$2*1.3))*43758.5453,1)*1000000)*10000+ROW(),"")</f>
        <v/>
      </c>
      <c r="F2620" s="0" t="str">
        <f aca="false">IF(E2620="","",RANK(E2620,$E$2:$E$5001,1))</f>
        <v/>
      </c>
      <c r="G2620" s="0" t="n">
        <f aca="false">IF(A2620="",0,IF(SUMPRODUCT(--($A$2:$A$5001=A2620))&gt;1,1,0))</f>
        <v>0</v>
      </c>
      <c r="H2620" s="0" t="n">
        <f aca="false">ROW()-1</f>
        <v>2619</v>
      </c>
      <c r="I2620" s="0" t="str">
        <f aca="false">IF(OR(הגדרות!$E$6=0,H2620&gt;הגדרות!$E$5),"",IF(H2620-1&lt;הגדרות!$E$8*(הגדרות!$E$7+1),INT((H2620-1)/(הגדרות!$E$7+1)),הגדרות!$E$8+INT((H2620-1-הגדרות!$E$8*(הגדרות!$E$7+1))/הגדרות!$E$7)))</f>
        <v/>
      </c>
      <c r="J2620" s="0" t="str">
        <f aca="false">IF(I2620="","",IF(H2620-1&lt;הגדרות!$E$8*(הגדרות!$E$7+1),MOD(H2620-1,הגדרות!$E$7+1),MOD(H2620-1-הגדרות!$E$8*(הגדרות!$E$7+1),הגדרות!$E$7)))</f>
        <v/>
      </c>
      <c r="K2620" s="0" t="str">
        <f aca="false">IF(I2620="","",J2620*הגדרות!$E$6+I2620+1)</f>
        <v/>
      </c>
      <c r="L2620" s="0" t="str">
        <f aca="false">IF(K2620="","",MATCH(K2620,$F$2:$F$5001,0))</f>
        <v/>
      </c>
      <c r="M2620" s="0" t="str">
        <f aca="false">IF(I2620="","",INDEX(הגדרות!$A$2:$A$21,MOD(I2620+הגדרות!$E$9,הגדרות!$E$6)+1))</f>
        <v/>
      </c>
    </row>
    <row r="2621" customFormat="false" ht="15" hidden="false" customHeight="false" outlineLevel="0" collapsed="false">
      <c r="A2621" s="0" t="str">
        <f aca="false">IF('הדבקת לידים'!A2621="","",IF(ISNUMBER('הדבקת לידים'!A2621),IF(הגדרות!$E$2&gt;0,TEXT('הדבקת לידים'!A2621,REPT("0",הגדרות!$E$2)),TEXT('הדבקת לידים'!A2621,"0")),TRIM('הדבקת לידים'!A2621)))</f>
        <v/>
      </c>
      <c r="B2621" s="0" t="str">
        <f aca="false">IF('הדבקת לידים'!B2621="","",IF(ISNUMBER('הדבקת לידים'!B2621),IF(הגדרות!$E$3&gt;0,TEXT('הדבקת לידים'!B2621,REPT("0",הגדרות!$E$3)),TEXT('הדבקת לידים'!B2621,"0")),TRIM('הדבקת לידים'!B2621)))</f>
        <v/>
      </c>
      <c r="C2621" s="0" t="n">
        <f aca="false">IF(OR(A2621&lt;&gt;"",B2621&lt;&gt;""),1,0)</f>
        <v>0</v>
      </c>
      <c r="D2621" s="0" t="str">
        <f aca="false">IF(C2621=1,MOD(ABS(SIN(ROW()*12.9898+'הדבקת לידים'!$F$2*78.233+IFERROR(--RIGHT(A2621,6),LEN(A2621))*0.0137+IFERROR(--RIGHT(B2621,6),LEN(B2621))*0.0071))*43758.5453,1),"")</f>
        <v/>
      </c>
      <c r="E2621" s="0" t="str">
        <f aca="false">IF(C2621=1,INT(MOD(ABS(SIN(D2621*7919.123+ROW()*0.618+'הדבקת לידים'!$F$2*1.3))*43758.5453,1)*1000000)*10000+ROW(),"")</f>
        <v/>
      </c>
      <c r="F2621" s="0" t="str">
        <f aca="false">IF(E2621="","",RANK(E2621,$E$2:$E$5001,1))</f>
        <v/>
      </c>
      <c r="G2621" s="0" t="n">
        <f aca="false">IF(A2621="",0,IF(SUMPRODUCT(--($A$2:$A$5001=A2621))&gt;1,1,0))</f>
        <v>0</v>
      </c>
      <c r="H2621" s="0" t="n">
        <f aca="false">ROW()-1</f>
        <v>2620</v>
      </c>
      <c r="I2621" s="0" t="str">
        <f aca="false">IF(OR(הגדרות!$E$6=0,H2621&gt;הגדרות!$E$5),"",IF(H2621-1&lt;הגדרות!$E$8*(הגדרות!$E$7+1),INT((H2621-1)/(הגדרות!$E$7+1)),הגדרות!$E$8+INT((H2621-1-הגדרות!$E$8*(הגדרות!$E$7+1))/הגדרות!$E$7)))</f>
        <v/>
      </c>
      <c r="J2621" s="0" t="str">
        <f aca="false">IF(I2621="","",IF(H2621-1&lt;הגדרות!$E$8*(הגדרות!$E$7+1),MOD(H2621-1,הגדרות!$E$7+1),MOD(H2621-1-הגדרות!$E$8*(הגדרות!$E$7+1),הגדרות!$E$7)))</f>
        <v/>
      </c>
      <c r="K2621" s="0" t="str">
        <f aca="false">IF(I2621="","",J2621*הגדרות!$E$6+I2621+1)</f>
        <v/>
      </c>
      <c r="L2621" s="0" t="str">
        <f aca="false">IF(K2621="","",MATCH(K2621,$F$2:$F$5001,0))</f>
        <v/>
      </c>
      <c r="M2621" s="0" t="str">
        <f aca="false">IF(I2621="","",INDEX(הגדרות!$A$2:$A$21,MOD(I2621+הגדרות!$E$9,הגדרות!$E$6)+1))</f>
        <v/>
      </c>
    </row>
    <row r="2622" customFormat="false" ht="15" hidden="false" customHeight="false" outlineLevel="0" collapsed="false">
      <c r="A2622" s="0" t="str">
        <f aca="false">IF('הדבקת לידים'!A2622="","",IF(ISNUMBER('הדבקת לידים'!A2622),IF(הגדרות!$E$2&gt;0,TEXT('הדבקת לידים'!A2622,REPT("0",הגדרות!$E$2)),TEXT('הדבקת לידים'!A2622,"0")),TRIM('הדבקת לידים'!A2622)))</f>
        <v/>
      </c>
      <c r="B2622" s="0" t="str">
        <f aca="false">IF('הדבקת לידים'!B2622="","",IF(ISNUMBER('הדבקת לידים'!B2622),IF(הגדרות!$E$3&gt;0,TEXT('הדבקת לידים'!B2622,REPT("0",הגדרות!$E$3)),TEXT('הדבקת לידים'!B2622,"0")),TRIM('הדבקת לידים'!B2622)))</f>
        <v/>
      </c>
      <c r="C2622" s="0" t="n">
        <f aca="false">IF(OR(A2622&lt;&gt;"",B2622&lt;&gt;""),1,0)</f>
        <v>0</v>
      </c>
      <c r="D2622" s="0" t="str">
        <f aca="false">IF(C2622=1,MOD(ABS(SIN(ROW()*12.9898+'הדבקת לידים'!$F$2*78.233+IFERROR(--RIGHT(A2622,6),LEN(A2622))*0.0137+IFERROR(--RIGHT(B2622,6),LEN(B2622))*0.0071))*43758.5453,1),"")</f>
        <v/>
      </c>
      <c r="E2622" s="0" t="str">
        <f aca="false">IF(C2622=1,INT(MOD(ABS(SIN(D2622*7919.123+ROW()*0.618+'הדבקת לידים'!$F$2*1.3))*43758.5453,1)*1000000)*10000+ROW(),"")</f>
        <v/>
      </c>
      <c r="F2622" s="0" t="str">
        <f aca="false">IF(E2622="","",RANK(E2622,$E$2:$E$5001,1))</f>
        <v/>
      </c>
      <c r="G2622" s="0" t="n">
        <f aca="false">IF(A2622="",0,IF(SUMPRODUCT(--($A$2:$A$5001=A2622))&gt;1,1,0))</f>
        <v>0</v>
      </c>
      <c r="H2622" s="0" t="n">
        <f aca="false">ROW()-1</f>
        <v>2621</v>
      </c>
      <c r="I2622" s="0" t="str">
        <f aca="false">IF(OR(הגדרות!$E$6=0,H2622&gt;הגדרות!$E$5),"",IF(H2622-1&lt;הגדרות!$E$8*(הגדרות!$E$7+1),INT((H2622-1)/(הגדרות!$E$7+1)),הגדרות!$E$8+INT((H2622-1-הגדרות!$E$8*(הגדרות!$E$7+1))/הגדרות!$E$7)))</f>
        <v/>
      </c>
      <c r="J2622" s="0" t="str">
        <f aca="false">IF(I2622="","",IF(H2622-1&lt;הגדרות!$E$8*(הגדרות!$E$7+1),MOD(H2622-1,הגדרות!$E$7+1),MOD(H2622-1-הגדרות!$E$8*(הגדרות!$E$7+1),הגדרות!$E$7)))</f>
        <v/>
      </c>
      <c r="K2622" s="0" t="str">
        <f aca="false">IF(I2622="","",J2622*הגדרות!$E$6+I2622+1)</f>
        <v/>
      </c>
      <c r="L2622" s="0" t="str">
        <f aca="false">IF(K2622="","",MATCH(K2622,$F$2:$F$5001,0))</f>
        <v/>
      </c>
      <c r="M2622" s="0" t="str">
        <f aca="false">IF(I2622="","",INDEX(הגדרות!$A$2:$A$21,MOD(I2622+הגדרות!$E$9,הגדרות!$E$6)+1))</f>
        <v/>
      </c>
    </row>
    <row r="2623" customFormat="false" ht="15" hidden="false" customHeight="false" outlineLevel="0" collapsed="false">
      <c r="A2623" s="0" t="str">
        <f aca="false">IF('הדבקת לידים'!A2623="","",IF(ISNUMBER('הדבקת לידים'!A2623),IF(הגדרות!$E$2&gt;0,TEXT('הדבקת לידים'!A2623,REPT("0",הגדרות!$E$2)),TEXT('הדבקת לידים'!A2623,"0")),TRIM('הדבקת לידים'!A2623)))</f>
        <v/>
      </c>
      <c r="B2623" s="0" t="str">
        <f aca="false">IF('הדבקת לידים'!B2623="","",IF(ISNUMBER('הדבקת לידים'!B2623),IF(הגדרות!$E$3&gt;0,TEXT('הדבקת לידים'!B2623,REPT("0",הגדרות!$E$3)),TEXT('הדבקת לידים'!B2623,"0")),TRIM('הדבקת לידים'!B2623)))</f>
        <v/>
      </c>
      <c r="C2623" s="0" t="n">
        <f aca="false">IF(OR(A2623&lt;&gt;"",B2623&lt;&gt;""),1,0)</f>
        <v>0</v>
      </c>
      <c r="D2623" s="0" t="str">
        <f aca="false">IF(C2623=1,MOD(ABS(SIN(ROW()*12.9898+'הדבקת לידים'!$F$2*78.233+IFERROR(--RIGHT(A2623,6),LEN(A2623))*0.0137+IFERROR(--RIGHT(B2623,6),LEN(B2623))*0.0071))*43758.5453,1),"")</f>
        <v/>
      </c>
      <c r="E2623" s="0" t="str">
        <f aca="false">IF(C2623=1,INT(MOD(ABS(SIN(D2623*7919.123+ROW()*0.618+'הדבקת לידים'!$F$2*1.3))*43758.5453,1)*1000000)*10000+ROW(),"")</f>
        <v/>
      </c>
      <c r="F2623" s="0" t="str">
        <f aca="false">IF(E2623="","",RANK(E2623,$E$2:$E$5001,1))</f>
        <v/>
      </c>
      <c r="G2623" s="0" t="n">
        <f aca="false">IF(A2623="",0,IF(SUMPRODUCT(--($A$2:$A$5001=A2623))&gt;1,1,0))</f>
        <v>0</v>
      </c>
      <c r="H2623" s="0" t="n">
        <f aca="false">ROW()-1</f>
        <v>2622</v>
      </c>
      <c r="I2623" s="0" t="str">
        <f aca="false">IF(OR(הגדרות!$E$6=0,H2623&gt;הגדרות!$E$5),"",IF(H2623-1&lt;הגדרות!$E$8*(הגדרות!$E$7+1),INT((H2623-1)/(הגדרות!$E$7+1)),הגדרות!$E$8+INT((H2623-1-הגדרות!$E$8*(הגדרות!$E$7+1))/הגדרות!$E$7)))</f>
        <v/>
      </c>
      <c r="J2623" s="0" t="str">
        <f aca="false">IF(I2623="","",IF(H2623-1&lt;הגדרות!$E$8*(הגדרות!$E$7+1),MOD(H2623-1,הגדרות!$E$7+1),MOD(H2623-1-הגדרות!$E$8*(הגדרות!$E$7+1),הגדרות!$E$7)))</f>
        <v/>
      </c>
      <c r="K2623" s="0" t="str">
        <f aca="false">IF(I2623="","",J2623*הגדרות!$E$6+I2623+1)</f>
        <v/>
      </c>
      <c r="L2623" s="0" t="str">
        <f aca="false">IF(K2623="","",MATCH(K2623,$F$2:$F$5001,0))</f>
        <v/>
      </c>
      <c r="M2623" s="0" t="str">
        <f aca="false">IF(I2623="","",INDEX(הגדרות!$A$2:$A$21,MOD(I2623+הגדרות!$E$9,הגדרות!$E$6)+1))</f>
        <v/>
      </c>
    </row>
    <row r="2624" customFormat="false" ht="15" hidden="false" customHeight="false" outlineLevel="0" collapsed="false">
      <c r="A2624" s="0" t="str">
        <f aca="false">IF('הדבקת לידים'!A2624="","",IF(ISNUMBER('הדבקת לידים'!A2624),IF(הגדרות!$E$2&gt;0,TEXT('הדבקת לידים'!A2624,REPT("0",הגדרות!$E$2)),TEXT('הדבקת לידים'!A2624,"0")),TRIM('הדבקת לידים'!A2624)))</f>
        <v/>
      </c>
      <c r="B2624" s="0" t="str">
        <f aca="false">IF('הדבקת לידים'!B2624="","",IF(ISNUMBER('הדבקת לידים'!B2624),IF(הגדרות!$E$3&gt;0,TEXT('הדבקת לידים'!B2624,REPT("0",הגדרות!$E$3)),TEXT('הדבקת לידים'!B2624,"0")),TRIM('הדבקת לידים'!B2624)))</f>
        <v/>
      </c>
      <c r="C2624" s="0" t="n">
        <f aca="false">IF(OR(A2624&lt;&gt;"",B2624&lt;&gt;""),1,0)</f>
        <v>0</v>
      </c>
      <c r="D2624" s="0" t="str">
        <f aca="false">IF(C2624=1,MOD(ABS(SIN(ROW()*12.9898+'הדבקת לידים'!$F$2*78.233+IFERROR(--RIGHT(A2624,6),LEN(A2624))*0.0137+IFERROR(--RIGHT(B2624,6),LEN(B2624))*0.0071))*43758.5453,1),"")</f>
        <v/>
      </c>
      <c r="E2624" s="0" t="str">
        <f aca="false">IF(C2624=1,INT(MOD(ABS(SIN(D2624*7919.123+ROW()*0.618+'הדבקת לידים'!$F$2*1.3))*43758.5453,1)*1000000)*10000+ROW(),"")</f>
        <v/>
      </c>
      <c r="F2624" s="0" t="str">
        <f aca="false">IF(E2624="","",RANK(E2624,$E$2:$E$5001,1))</f>
        <v/>
      </c>
      <c r="G2624" s="0" t="n">
        <f aca="false">IF(A2624="",0,IF(SUMPRODUCT(--($A$2:$A$5001=A2624))&gt;1,1,0))</f>
        <v>0</v>
      </c>
      <c r="H2624" s="0" t="n">
        <f aca="false">ROW()-1</f>
        <v>2623</v>
      </c>
      <c r="I2624" s="0" t="str">
        <f aca="false">IF(OR(הגדרות!$E$6=0,H2624&gt;הגדרות!$E$5),"",IF(H2624-1&lt;הגדרות!$E$8*(הגדרות!$E$7+1),INT((H2624-1)/(הגדרות!$E$7+1)),הגדרות!$E$8+INT((H2624-1-הגדרות!$E$8*(הגדרות!$E$7+1))/הגדרות!$E$7)))</f>
        <v/>
      </c>
      <c r="J2624" s="0" t="str">
        <f aca="false">IF(I2624="","",IF(H2624-1&lt;הגדרות!$E$8*(הגדרות!$E$7+1),MOD(H2624-1,הגדרות!$E$7+1),MOD(H2624-1-הגדרות!$E$8*(הגדרות!$E$7+1),הגדרות!$E$7)))</f>
        <v/>
      </c>
      <c r="K2624" s="0" t="str">
        <f aca="false">IF(I2624="","",J2624*הגדרות!$E$6+I2624+1)</f>
        <v/>
      </c>
      <c r="L2624" s="0" t="str">
        <f aca="false">IF(K2624="","",MATCH(K2624,$F$2:$F$5001,0))</f>
        <v/>
      </c>
      <c r="M2624" s="0" t="str">
        <f aca="false">IF(I2624="","",INDEX(הגדרות!$A$2:$A$21,MOD(I2624+הגדרות!$E$9,הגדרות!$E$6)+1))</f>
        <v/>
      </c>
    </row>
    <row r="2625" customFormat="false" ht="15" hidden="false" customHeight="false" outlineLevel="0" collapsed="false">
      <c r="A2625" s="0" t="str">
        <f aca="false">IF('הדבקת לידים'!A2625="","",IF(ISNUMBER('הדבקת לידים'!A2625),IF(הגדרות!$E$2&gt;0,TEXT('הדבקת לידים'!A2625,REPT("0",הגדרות!$E$2)),TEXT('הדבקת לידים'!A2625,"0")),TRIM('הדבקת לידים'!A2625)))</f>
        <v/>
      </c>
      <c r="B2625" s="0" t="str">
        <f aca="false">IF('הדבקת לידים'!B2625="","",IF(ISNUMBER('הדבקת לידים'!B2625),IF(הגדרות!$E$3&gt;0,TEXT('הדבקת לידים'!B2625,REPT("0",הגדרות!$E$3)),TEXT('הדבקת לידים'!B2625,"0")),TRIM('הדבקת לידים'!B2625)))</f>
        <v/>
      </c>
      <c r="C2625" s="0" t="n">
        <f aca="false">IF(OR(A2625&lt;&gt;"",B2625&lt;&gt;""),1,0)</f>
        <v>0</v>
      </c>
      <c r="D2625" s="0" t="str">
        <f aca="false">IF(C2625=1,MOD(ABS(SIN(ROW()*12.9898+'הדבקת לידים'!$F$2*78.233+IFERROR(--RIGHT(A2625,6),LEN(A2625))*0.0137+IFERROR(--RIGHT(B2625,6),LEN(B2625))*0.0071))*43758.5453,1),"")</f>
        <v/>
      </c>
      <c r="E2625" s="0" t="str">
        <f aca="false">IF(C2625=1,INT(MOD(ABS(SIN(D2625*7919.123+ROW()*0.618+'הדבקת לידים'!$F$2*1.3))*43758.5453,1)*1000000)*10000+ROW(),"")</f>
        <v/>
      </c>
      <c r="F2625" s="0" t="str">
        <f aca="false">IF(E2625="","",RANK(E2625,$E$2:$E$5001,1))</f>
        <v/>
      </c>
      <c r="G2625" s="0" t="n">
        <f aca="false">IF(A2625="",0,IF(SUMPRODUCT(--($A$2:$A$5001=A2625))&gt;1,1,0))</f>
        <v>0</v>
      </c>
      <c r="H2625" s="0" t="n">
        <f aca="false">ROW()-1</f>
        <v>2624</v>
      </c>
      <c r="I2625" s="0" t="str">
        <f aca="false">IF(OR(הגדרות!$E$6=0,H2625&gt;הגדרות!$E$5),"",IF(H2625-1&lt;הגדרות!$E$8*(הגדרות!$E$7+1),INT((H2625-1)/(הגדרות!$E$7+1)),הגדרות!$E$8+INT((H2625-1-הגדרות!$E$8*(הגדרות!$E$7+1))/הגדרות!$E$7)))</f>
        <v/>
      </c>
      <c r="J2625" s="0" t="str">
        <f aca="false">IF(I2625="","",IF(H2625-1&lt;הגדרות!$E$8*(הגדרות!$E$7+1),MOD(H2625-1,הגדרות!$E$7+1),MOD(H2625-1-הגדרות!$E$8*(הגדרות!$E$7+1),הגדרות!$E$7)))</f>
        <v/>
      </c>
      <c r="K2625" s="0" t="str">
        <f aca="false">IF(I2625="","",J2625*הגדרות!$E$6+I2625+1)</f>
        <v/>
      </c>
      <c r="L2625" s="0" t="str">
        <f aca="false">IF(K2625="","",MATCH(K2625,$F$2:$F$5001,0))</f>
        <v/>
      </c>
      <c r="M2625" s="0" t="str">
        <f aca="false">IF(I2625="","",INDEX(הגדרות!$A$2:$A$21,MOD(I2625+הגדרות!$E$9,הגדרות!$E$6)+1))</f>
        <v/>
      </c>
    </row>
    <row r="2626" customFormat="false" ht="15" hidden="false" customHeight="false" outlineLevel="0" collapsed="false">
      <c r="A2626" s="0" t="str">
        <f aca="false">IF('הדבקת לידים'!A2626="","",IF(ISNUMBER('הדבקת לידים'!A2626),IF(הגדרות!$E$2&gt;0,TEXT('הדבקת לידים'!A2626,REPT("0",הגדרות!$E$2)),TEXT('הדבקת לידים'!A2626,"0")),TRIM('הדבקת לידים'!A2626)))</f>
        <v/>
      </c>
      <c r="B2626" s="0" t="str">
        <f aca="false">IF('הדבקת לידים'!B2626="","",IF(ISNUMBER('הדבקת לידים'!B2626),IF(הגדרות!$E$3&gt;0,TEXT('הדבקת לידים'!B2626,REPT("0",הגדרות!$E$3)),TEXT('הדבקת לידים'!B2626,"0")),TRIM('הדבקת לידים'!B2626)))</f>
        <v/>
      </c>
      <c r="C2626" s="0" t="n">
        <f aca="false">IF(OR(A2626&lt;&gt;"",B2626&lt;&gt;""),1,0)</f>
        <v>0</v>
      </c>
      <c r="D2626" s="0" t="str">
        <f aca="false">IF(C2626=1,MOD(ABS(SIN(ROW()*12.9898+'הדבקת לידים'!$F$2*78.233+IFERROR(--RIGHT(A2626,6),LEN(A2626))*0.0137+IFERROR(--RIGHT(B2626,6),LEN(B2626))*0.0071))*43758.5453,1),"")</f>
        <v/>
      </c>
      <c r="E2626" s="0" t="str">
        <f aca="false">IF(C2626=1,INT(MOD(ABS(SIN(D2626*7919.123+ROW()*0.618+'הדבקת לידים'!$F$2*1.3))*43758.5453,1)*1000000)*10000+ROW(),"")</f>
        <v/>
      </c>
      <c r="F2626" s="0" t="str">
        <f aca="false">IF(E2626="","",RANK(E2626,$E$2:$E$5001,1))</f>
        <v/>
      </c>
      <c r="G2626" s="0" t="n">
        <f aca="false">IF(A2626="",0,IF(SUMPRODUCT(--($A$2:$A$5001=A2626))&gt;1,1,0))</f>
        <v>0</v>
      </c>
      <c r="H2626" s="0" t="n">
        <f aca="false">ROW()-1</f>
        <v>2625</v>
      </c>
      <c r="I2626" s="0" t="str">
        <f aca="false">IF(OR(הגדרות!$E$6=0,H2626&gt;הגדרות!$E$5),"",IF(H2626-1&lt;הגדרות!$E$8*(הגדרות!$E$7+1),INT((H2626-1)/(הגדרות!$E$7+1)),הגדרות!$E$8+INT((H2626-1-הגדרות!$E$8*(הגדרות!$E$7+1))/הגדרות!$E$7)))</f>
        <v/>
      </c>
      <c r="J2626" s="0" t="str">
        <f aca="false">IF(I2626="","",IF(H2626-1&lt;הגדרות!$E$8*(הגדרות!$E$7+1),MOD(H2626-1,הגדרות!$E$7+1),MOD(H2626-1-הגדרות!$E$8*(הגדרות!$E$7+1),הגדרות!$E$7)))</f>
        <v/>
      </c>
      <c r="K2626" s="0" t="str">
        <f aca="false">IF(I2626="","",J2626*הגדרות!$E$6+I2626+1)</f>
        <v/>
      </c>
      <c r="L2626" s="0" t="str">
        <f aca="false">IF(K2626="","",MATCH(K2626,$F$2:$F$5001,0))</f>
        <v/>
      </c>
      <c r="M2626" s="0" t="str">
        <f aca="false">IF(I2626="","",INDEX(הגדרות!$A$2:$A$21,MOD(I2626+הגדרות!$E$9,הגדרות!$E$6)+1))</f>
        <v/>
      </c>
    </row>
    <row r="2627" customFormat="false" ht="15" hidden="false" customHeight="false" outlineLevel="0" collapsed="false">
      <c r="A2627" s="0" t="str">
        <f aca="false">IF('הדבקת לידים'!A2627="","",IF(ISNUMBER('הדבקת לידים'!A2627),IF(הגדרות!$E$2&gt;0,TEXT('הדבקת לידים'!A2627,REPT("0",הגדרות!$E$2)),TEXT('הדבקת לידים'!A2627,"0")),TRIM('הדבקת לידים'!A2627)))</f>
        <v/>
      </c>
      <c r="B2627" s="0" t="str">
        <f aca="false">IF('הדבקת לידים'!B2627="","",IF(ISNUMBER('הדבקת לידים'!B2627),IF(הגדרות!$E$3&gt;0,TEXT('הדבקת לידים'!B2627,REPT("0",הגדרות!$E$3)),TEXT('הדבקת לידים'!B2627,"0")),TRIM('הדבקת לידים'!B2627)))</f>
        <v/>
      </c>
      <c r="C2627" s="0" t="n">
        <f aca="false">IF(OR(A2627&lt;&gt;"",B2627&lt;&gt;""),1,0)</f>
        <v>0</v>
      </c>
      <c r="D2627" s="0" t="str">
        <f aca="false">IF(C2627=1,MOD(ABS(SIN(ROW()*12.9898+'הדבקת לידים'!$F$2*78.233+IFERROR(--RIGHT(A2627,6),LEN(A2627))*0.0137+IFERROR(--RIGHT(B2627,6),LEN(B2627))*0.0071))*43758.5453,1),"")</f>
        <v/>
      </c>
      <c r="E2627" s="0" t="str">
        <f aca="false">IF(C2627=1,INT(MOD(ABS(SIN(D2627*7919.123+ROW()*0.618+'הדבקת לידים'!$F$2*1.3))*43758.5453,1)*1000000)*10000+ROW(),"")</f>
        <v/>
      </c>
      <c r="F2627" s="0" t="str">
        <f aca="false">IF(E2627="","",RANK(E2627,$E$2:$E$5001,1))</f>
        <v/>
      </c>
      <c r="G2627" s="0" t="n">
        <f aca="false">IF(A2627="",0,IF(SUMPRODUCT(--($A$2:$A$5001=A2627))&gt;1,1,0))</f>
        <v>0</v>
      </c>
      <c r="H2627" s="0" t="n">
        <f aca="false">ROW()-1</f>
        <v>2626</v>
      </c>
      <c r="I2627" s="0" t="str">
        <f aca="false">IF(OR(הגדרות!$E$6=0,H2627&gt;הגדרות!$E$5),"",IF(H2627-1&lt;הגדרות!$E$8*(הגדרות!$E$7+1),INT((H2627-1)/(הגדרות!$E$7+1)),הגדרות!$E$8+INT((H2627-1-הגדרות!$E$8*(הגדרות!$E$7+1))/הגדרות!$E$7)))</f>
        <v/>
      </c>
      <c r="J2627" s="0" t="str">
        <f aca="false">IF(I2627="","",IF(H2627-1&lt;הגדרות!$E$8*(הגדרות!$E$7+1),MOD(H2627-1,הגדרות!$E$7+1),MOD(H2627-1-הגדרות!$E$8*(הגדרות!$E$7+1),הגדרות!$E$7)))</f>
        <v/>
      </c>
      <c r="K2627" s="0" t="str">
        <f aca="false">IF(I2627="","",J2627*הגדרות!$E$6+I2627+1)</f>
        <v/>
      </c>
      <c r="L2627" s="0" t="str">
        <f aca="false">IF(K2627="","",MATCH(K2627,$F$2:$F$5001,0))</f>
        <v/>
      </c>
      <c r="M2627" s="0" t="str">
        <f aca="false">IF(I2627="","",INDEX(הגדרות!$A$2:$A$21,MOD(I2627+הגדרות!$E$9,הגדרות!$E$6)+1))</f>
        <v/>
      </c>
    </row>
    <row r="2628" customFormat="false" ht="15" hidden="false" customHeight="false" outlineLevel="0" collapsed="false">
      <c r="A2628" s="0" t="str">
        <f aca="false">IF('הדבקת לידים'!A2628="","",IF(ISNUMBER('הדבקת לידים'!A2628),IF(הגדרות!$E$2&gt;0,TEXT('הדבקת לידים'!A2628,REPT("0",הגדרות!$E$2)),TEXT('הדבקת לידים'!A2628,"0")),TRIM('הדבקת לידים'!A2628)))</f>
        <v/>
      </c>
      <c r="B2628" s="0" t="str">
        <f aca="false">IF('הדבקת לידים'!B2628="","",IF(ISNUMBER('הדבקת לידים'!B2628),IF(הגדרות!$E$3&gt;0,TEXT('הדבקת לידים'!B2628,REPT("0",הגדרות!$E$3)),TEXT('הדבקת לידים'!B2628,"0")),TRIM('הדבקת לידים'!B2628)))</f>
        <v/>
      </c>
      <c r="C2628" s="0" t="n">
        <f aca="false">IF(OR(A2628&lt;&gt;"",B2628&lt;&gt;""),1,0)</f>
        <v>0</v>
      </c>
      <c r="D2628" s="0" t="str">
        <f aca="false">IF(C2628=1,MOD(ABS(SIN(ROW()*12.9898+'הדבקת לידים'!$F$2*78.233+IFERROR(--RIGHT(A2628,6),LEN(A2628))*0.0137+IFERROR(--RIGHT(B2628,6),LEN(B2628))*0.0071))*43758.5453,1),"")</f>
        <v/>
      </c>
      <c r="E2628" s="0" t="str">
        <f aca="false">IF(C2628=1,INT(MOD(ABS(SIN(D2628*7919.123+ROW()*0.618+'הדבקת לידים'!$F$2*1.3))*43758.5453,1)*1000000)*10000+ROW(),"")</f>
        <v/>
      </c>
      <c r="F2628" s="0" t="str">
        <f aca="false">IF(E2628="","",RANK(E2628,$E$2:$E$5001,1))</f>
        <v/>
      </c>
      <c r="G2628" s="0" t="n">
        <f aca="false">IF(A2628="",0,IF(SUMPRODUCT(--($A$2:$A$5001=A2628))&gt;1,1,0))</f>
        <v>0</v>
      </c>
      <c r="H2628" s="0" t="n">
        <f aca="false">ROW()-1</f>
        <v>2627</v>
      </c>
      <c r="I2628" s="0" t="str">
        <f aca="false">IF(OR(הגדרות!$E$6=0,H2628&gt;הגדרות!$E$5),"",IF(H2628-1&lt;הגדרות!$E$8*(הגדרות!$E$7+1),INT((H2628-1)/(הגדרות!$E$7+1)),הגדרות!$E$8+INT((H2628-1-הגדרות!$E$8*(הגדרות!$E$7+1))/הגדרות!$E$7)))</f>
        <v/>
      </c>
      <c r="J2628" s="0" t="str">
        <f aca="false">IF(I2628="","",IF(H2628-1&lt;הגדרות!$E$8*(הגדרות!$E$7+1),MOD(H2628-1,הגדרות!$E$7+1),MOD(H2628-1-הגדרות!$E$8*(הגדרות!$E$7+1),הגדרות!$E$7)))</f>
        <v/>
      </c>
      <c r="K2628" s="0" t="str">
        <f aca="false">IF(I2628="","",J2628*הגדרות!$E$6+I2628+1)</f>
        <v/>
      </c>
      <c r="L2628" s="0" t="str">
        <f aca="false">IF(K2628="","",MATCH(K2628,$F$2:$F$5001,0))</f>
        <v/>
      </c>
      <c r="M2628" s="0" t="str">
        <f aca="false">IF(I2628="","",INDEX(הגדרות!$A$2:$A$21,MOD(I2628+הגדרות!$E$9,הגדרות!$E$6)+1))</f>
        <v/>
      </c>
    </row>
    <row r="2629" customFormat="false" ht="15" hidden="false" customHeight="false" outlineLevel="0" collapsed="false">
      <c r="A2629" s="0" t="str">
        <f aca="false">IF('הדבקת לידים'!A2629="","",IF(ISNUMBER('הדבקת לידים'!A2629),IF(הגדרות!$E$2&gt;0,TEXT('הדבקת לידים'!A2629,REPT("0",הגדרות!$E$2)),TEXT('הדבקת לידים'!A2629,"0")),TRIM('הדבקת לידים'!A2629)))</f>
        <v/>
      </c>
      <c r="B2629" s="0" t="str">
        <f aca="false">IF('הדבקת לידים'!B2629="","",IF(ISNUMBER('הדבקת לידים'!B2629),IF(הגדרות!$E$3&gt;0,TEXT('הדבקת לידים'!B2629,REPT("0",הגדרות!$E$3)),TEXT('הדבקת לידים'!B2629,"0")),TRIM('הדבקת לידים'!B2629)))</f>
        <v/>
      </c>
      <c r="C2629" s="0" t="n">
        <f aca="false">IF(OR(A2629&lt;&gt;"",B2629&lt;&gt;""),1,0)</f>
        <v>0</v>
      </c>
      <c r="D2629" s="0" t="str">
        <f aca="false">IF(C2629=1,MOD(ABS(SIN(ROW()*12.9898+'הדבקת לידים'!$F$2*78.233+IFERROR(--RIGHT(A2629,6),LEN(A2629))*0.0137+IFERROR(--RIGHT(B2629,6),LEN(B2629))*0.0071))*43758.5453,1),"")</f>
        <v/>
      </c>
      <c r="E2629" s="0" t="str">
        <f aca="false">IF(C2629=1,INT(MOD(ABS(SIN(D2629*7919.123+ROW()*0.618+'הדבקת לידים'!$F$2*1.3))*43758.5453,1)*1000000)*10000+ROW(),"")</f>
        <v/>
      </c>
      <c r="F2629" s="0" t="str">
        <f aca="false">IF(E2629="","",RANK(E2629,$E$2:$E$5001,1))</f>
        <v/>
      </c>
      <c r="G2629" s="0" t="n">
        <f aca="false">IF(A2629="",0,IF(SUMPRODUCT(--($A$2:$A$5001=A2629))&gt;1,1,0))</f>
        <v>0</v>
      </c>
      <c r="H2629" s="0" t="n">
        <f aca="false">ROW()-1</f>
        <v>2628</v>
      </c>
      <c r="I2629" s="0" t="str">
        <f aca="false">IF(OR(הגדרות!$E$6=0,H2629&gt;הגדרות!$E$5),"",IF(H2629-1&lt;הגדרות!$E$8*(הגדרות!$E$7+1),INT((H2629-1)/(הגדרות!$E$7+1)),הגדרות!$E$8+INT((H2629-1-הגדרות!$E$8*(הגדרות!$E$7+1))/הגדרות!$E$7)))</f>
        <v/>
      </c>
      <c r="J2629" s="0" t="str">
        <f aca="false">IF(I2629="","",IF(H2629-1&lt;הגדרות!$E$8*(הגדרות!$E$7+1),MOD(H2629-1,הגדרות!$E$7+1),MOD(H2629-1-הגדרות!$E$8*(הגדרות!$E$7+1),הגדרות!$E$7)))</f>
        <v/>
      </c>
      <c r="K2629" s="0" t="str">
        <f aca="false">IF(I2629="","",J2629*הגדרות!$E$6+I2629+1)</f>
        <v/>
      </c>
      <c r="L2629" s="0" t="str">
        <f aca="false">IF(K2629="","",MATCH(K2629,$F$2:$F$5001,0))</f>
        <v/>
      </c>
      <c r="M2629" s="0" t="str">
        <f aca="false">IF(I2629="","",INDEX(הגדרות!$A$2:$A$21,MOD(I2629+הגדרות!$E$9,הגדרות!$E$6)+1))</f>
        <v/>
      </c>
    </row>
    <row r="2630" customFormat="false" ht="15" hidden="false" customHeight="false" outlineLevel="0" collapsed="false">
      <c r="A2630" s="0" t="str">
        <f aca="false">IF('הדבקת לידים'!A2630="","",IF(ISNUMBER('הדבקת לידים'!A2630),IF(הגדרות!$E$2&gt;0,TEXT('הדבקת לידים'!A2630,REPT("0",הגדרות!$E$2)),TEXT('הדבקת לידים'!A2630,"0")),TRIM('הדבקת לידים'!A2630)))</f>
        <v/>
      </c>
      <c r="B2630" s="0" t="str">
        <f aca="false">IF('הדבקת לידים'!B2630="","",IF(ISNUMBER('הדבקת לידים'!B2630),IF(הגדרות!$E$3&gt;0,TEXT('הדבקת לידים'!B2630,REPT("0",הגדרות!$E$3)),TEXT('הדבקת לידים'!B2630,"0")),TRIM('הדבקת לידים'!B2630)))</f>
        <v/>
      </c>
      <c r="C2630" s="0" t="n">
        <f aca="false">IF(OR(A2630&lt;&gt;"",B2630&lt;&gt;""),1,0)</f>
        <v>0</v>
      </c>
      <c r="D2630" s="0" t="str">
        <f aca="false">IF(C2630=1,MOD(ABS(SIN(ROW()*12.9898+'הדבקת לידים'!$F$2*78.233+IFERROR(--RIGHT(A2630,6),LEN(A2630))*0.0137+IFERROR(--RIGHT(B2630,6),LEN(B2630))*0.0071))*43758.5453,1),"")</f>
        <v/>
      </c>
      <c r="E2630" s="0" t="str">
        <f aca="false">IF(C2630=1,INT(MOD(ABS(SIN(D2630*7919.123+ROW()*0.618+'הדבקת לידים'!$F$2*1.3))*43758.5453,1)*1000000)*10000+ROW(),"")</f>
        <v/>
      </c>
      <c r="F2630" s="0" t="str">
        <f aca="false">IF(E2630="","",RANK(E2630,$E$2:$E$5001,1))</f>
        <v/>
      </c>
      <c r="G2630" s="0" t="n">
        <f aca="false">IF(A2630="",0,IF(SUMPRODUCT(--($A$2:$A$5001=A2630))&gt;1,1,0))</f>
        <v>0</v>
      </c>
      <c r="H2630" s="0" t="n">
        <f aca="false">ROW()-1</f>
        <v>2629</v>
      </c>
      <c r="I2630" s="0" t="str">
        <f aca="false">IF(OR(הגדרות!$E$6=0,H2630&gt;הגדרות!$E$5),"",IF(H2630-1&lt;הגדרות!$E$8*(הגדרות!$E$7+1),INT((H2630-1)/(הגדרות!$E$7+1)),הגדרות!$E$8+INT((H2630-1-הגדרות!$E$8*(הגדרות!$E$7+1))/הגדרות!$E$7)))</f>
        <v/>
      </c>
      <c r="J2630" s="0" t="str">
        <f aca="false">IF(I2630="","",IF(H2630-1&lt;הגדרות!$E$8*(הגדרות!$E$7+1),MOD(H2630-1,הגדרות!$E$7+1),MOD(H2630-1-הגדרות!$E$8*(הגדרות!$E$7+1),הגדרות!$E$7)))</f>
        <v/>
      </c>
      <c r="K2630" s="0" t="str">
        <f aca="false">IF(I2630="","",J2630*הגדרות!$E$6+I2630+1)</f>
        <v/>
      </c>
      <c r="L2630" s="0" t="str">
        <f aca="false">IF(K2630="","",MATCH(K2630,$F$2:$F$5001,0))</f>
        <v/>
      </c>
      <c r="M2630" s="0" t="str">
        <f aca="false">IF(I2630="","",INDEX(הגדרות!$A$2:$A$21,MOD(I2630+הגדרות!$E$9,הגדרות!$E$6)+1))</f>
        <v/>
      </c>
    </row>
    <row r="2631" customFormat="false" ht="15" hidden="false" customHeight="false" outlineLevel="0" collapsed="false">
      <c r="A2631" s="0" t="str">
        <f aca="false">IF('הדבקת לידים'!A2631="","",IF(ISNUMBER('הדבקת לידים'!A2631),IF(הגדרות!$E$2&gt;0,TEXT('הדבקת לידים'!A2631,REPT("0",הגדרות!$E$2)),TEXT('הדבקת לידים'!A2631,"0")),TRIM('הדבקת לידים'!A2631)))</f>
        <v/>
      </c>
      <c r="B2631" s="0" t="str">
        <f aca="false">IF('הדבקת לידים'!B2631="","",IF(ISNUMBER('הדבקת לידים'!B2631),IF(הגדרות!$E$3&gt;0,TEXT('הדבקת לידים'!B2631,REPT("0",הגדרות!$E$3)),TEXT('הדבקת לידים'!B2631,"0")),TRIM('הדבקת לידים'!B2631)))</f>
        <v/>
      </c>
      <c r="C2631" s="0" t="n">
        <f aca="false">IF(OR(A2631&lt;&gt;"",B2631&lt;&gt;""),1,0)</f>
        <v>0</v>
      </c>
      <c r="D2631" s="0" t="str">
        <f aca="false">IF(C2631=1,MOD(ABS(SIN(ROW()*12.9898+'הדבקת לידים'!$F$2*78.233+IFERROR(--RIGHT(A2631,6),LEN(A2631))*0.0137+IFERROR(--RIGHT(B2631,6),LEN(B2631))*0.0071))*43758.5453,1),"")</f>
        <v/>
      </c>
      <c r="E2631" s="0" t="str">
        <f aca="false">IF(C2631=1,INT(MOD(ABS(SIN(D2631*7919.123+ROW()*0.618+'הדבקת לידים'!$F$2*1.3))*43758.5453,1)*1000000)*10000+ROW(),"")</f>
        <v/>
      </c>
      <c r="F2631" s="0" t="str">
        <f aca="false">IF(E2631="","",RANK(E2631,$E$2:$E$5001,1))</f>
        <v/>
      </c>
      <c r="G2631" s="0" t="n">
        <f aca="false">IF(A2631="",0,IF(SUMPRODUCT(--($A$2:$A$5001=A2631))&gt;1,1,0))</f>
        <v>0</v>
      </c>
      <c r="H2631" s="0" t="n">
        <f aca="false">ROW()-1</f>
        <v>2630</v>
      </c>
      <c r="I2631" s="0" t="str">
        <f aca="false">IF(OR(הגדרות!$E$6=0,H2631&gt;הגדרות!$E$5),"",IF(H2631-1&lt;הגדרות!$E$8*(הגדרות!$E$7+1),INT((H2631-1)/(הגדרות!$E$7+1)),הגדרות!$E$8+INT((H2631-1-הגדרות!$E$8*(הגדרות!$E$7+1))/הגדרות!$E$7)))</f>
        <v/>
      </c>
      <c r="J2631" s="0" t="str">
        <f aca="false">IF(I2631="","",IF(H2631-1&lt;הגדרות!$E$8*(הגדרות!$E$7+1),MOD(H2631-1,הגדרות!$E$7+1),MOD(H2631-1-הגדרות!$E$8*(הגדרות!$E$7+1),הגדרות!$E$7)))</f>
        <v/>
      </c>
      <c r="K2631" s="0" t="str">
        <f aca="false">IF(I2631="","",J2631*הגדרות!$E$6+I2631+1)</f>
        <v/>
      </c>
      <c r="L2631" s="0" t="str">
        <f aca="false">IF(K2631="","",MATCH(K2631,$F$2:$F$5001,0))</f>
        <v/>
      </c>
      <c r="M2631" s="0" t="str">
        <f aca="false">IF(I2631="","",INDEX(הגדרות!$A$2:$A$21,MOD(I2631+הגדרות!$E$9,הגדרות!$E$6)+1))</f>
        <v/>
      </c>
    </row>
    <row r="2632" customFormat="false" ht="15" hidden="false" customHeight="false" outlineLevel="0" collapsed="false">
      <c r="A2632" s="0" t="str">
        <f aca="false">IF('הדבקת לידים'!A2632="","",IF(ISNUMBER('הדבקת לידים'!A2632),IF(הגדרות!$E$2&gt;0,TEXT('הדבקת לידים'!A2632,REPT("0",הגדרות!$E$2)),TEXT('הדבקת לידים'!A2632,"0")),TRIM('הדבקת לידים'!A2632)))</f>
        <v/>
      </c>
      <c r="B2632" s="0" t="str">
        <f aca="false">IF('הדבקת לידים'!B2632="","",IF(ISNUMBER('הדבקת לידים'!B2632),IF(הגדרות!$E$3&gt;0,TEXT('הדבקת לידים'!B2632,REPT("0",הגדרות!$E$3)),TEXT('הדבקת לידים'!B2632,"0")),TRIM('הדבקת לידים'!B2632)))</f>
        <v/>
      </c>
      <c r="C2632" s="0" t="n">
        <f aca="false">IF(OR(A2632&lt;&gt;"",B2632&lt;&gt;""),1,0)</f>
        <v>0</v>
      </c>
      <c r="D2632" s="0" t="str">
        <f aca="false">IF(C2632=1,MOD(ABS(SIN(ROW()*12.9898+'הדבקת לידים'!$F$2*78.233+IFERROR(--RIGHT(A2632,6),LEN(A2632))*0.0137+IFERROR(--RIGHT(B2632,6),LEN(B2632))*0.0071))*43758.5453,1),"")</f>
        <v/>
      </c>
      <c r="E2632" s="0" t="str">
        <f aca="false">IF(C2632=1,INT(MOD(ABS(SIN(D2632*7919.123+ROW()*0.618+'הדבקת לידים'!$F$2*1.3))*43758.5453,1)*1000000)*10000+ROW(),"")</f>
        <v/>
      </c>
      <c r="F2632" s="0" t="str">
        <f aca="false">IF(E2632="","",RANK(E2632,$E$2:$E$5001,1))</f>
        <v/>
      </c>
      <c r="G2632" s="0" t="n">
        <f aca="false">IF(A2632="",0,IF(SUMPRODUCT(--($A$2:$A$5001=A2632))&gt;1,1,0))</f>
        <v>0</v>
      </c>
      <c r="H2632" s="0" t="n">
        <f aca="false">ROW()-1</f>
        <v>2631</v>
      </c>
      <c r="I2632" s="0" t="str">
        <f aca="false">IF(OR(הגדרות!$E$6=0,H2632&gt;הגדרות!$E$5),"",IF(H2632-1&lt;הגדרות!$E$8*(הגדרות!$E$7+1),INT((H2632-1)/(הגדרות!$E$7+1)),הגדרות!$E$8+INT((H2632-1-הגדרות!$E$8*(הגדרות!$E$7+1))/הגדרות!$E$7)))</f>
        <v/>
      </c>
      <c r="J2632" s="0" t="str">
        <f aca="false">IF(I2632="","",IF(H2632-1&lt;הגדרות!$E$8*(הגדרות!$E$7+1),MOD(H2632-1,הגדרות!$E$7+1),MOD(H2632-1-הגדרות!$E$8*(הגדרות!$E$7+1),הגדרות!$E$7)))</f>
        <v/>
      </c>
      <c r="K2632" s="0" t="str">
        <f aca="false">IF(I2632="","",J2632*הגדרות!$E$6+I2632+1)</f>
        <v/>
      </c>
      <c r="L2632" s="0" t="str">
        <f aca="false">IF(K2632="","",MATCH(K2632,$F$2:$F$5001,0))</f>
        <v/>
      </c>
      <c r="M2632" s="0" t="str">
        <f aca="false">IF(I2632="","",INDEX(הגדרות!$A$2:$A$21,MOD(I2632+הגדרות!$E$9,הגדרות!$E$6)+1))</f>
        <v/>
      </c>
    </row>
    <row r="2633" customFormat="false" ht="15" hidden="false" customHeight="false" outlineLevel="0" collapsed="false">
      <c r="A2633" s="0" t="str">
        <f aca="false">IF('הדבקת לידים'!A2633="","",IF(ISNUMBER('הדבקת לידים'!A2633),IF(הגדרות!$E$2&gt;0,TEXT('הדבקת לידים'!A2633,REPT("0",הגדרות!$E$2)),TEXT('הדבקת לידים'!A2633,"0")),TRIM('הדבקת לידים'!A2633)))</f>
        <v/>
      </c>
      <c r="B2633" s="0" t="str">
        <f aca="false">IF('הדבקת לידים'!B2633="","",IF(ISNUMBER('הדבקת לידים'!B2633),IF(הגדרות!$E$3&gt;0,TEXT('הדבקת לידים'!B2633,REPT("0",הגדרות!$E$3)),TEXT('הדבקת לידים'!B2633,"0")),TRIM('הדבקת לידים'!B2633)))</f>
        <v/>
      </c>
      <c r="C2633" s="0" t="n">
        <f aca="false">IF(OR(A2633&lt;&gt;"",B2633&lt;&gt;""),1,0)</f>
        <v>0</v>
      </c>
      <c r="D2633" s="0" t="str">
        <f aca="false">IF(C2633=1,MOD(ABS(SIN(ROW()*12.9898+'הדבקת לידים'!$F$2*78.233+IFERROR(--RIGHT(A2633,6),LEN(A2633))*0.0137+IFERROR(--RIGHT(B2633,6),LEN(B2633))*0.0071))*43758.5453,1),"")</f>
        <v/>
      </c>
      <c r="E2633" s="0" t="str">
        <f aca="false">IF(C2633=1,INT(MOD(ABS(SIN(D2633*7919.123+ROW()*0.618+'הדבקת לידים'!$F$2*1.3))*43758.5453,1)*1000000)*10000+ROW(),"")</f>
        <v/>
      </c>
      <c r="F2633" s="0" t="str">
        <f aca="false">IF(E2633="","",RANK(E2633,$E$2:$E$5001,1))</f>
        <v/>
      </c>
      <c r="G2633" s="0" t="n">
        <f aca="false">IF(A2633="",0,IF(SUMPRODUCT(--($A$2:$A$5001=A2633))&gt;1,1,0))</f>
        <v>0</v>
      </c>
      <c r="H2633" s="0" t="n">
        <f aca="false">ROW()-1</f>
        <v>2632</v>
      </c>
      <c r="I2633" s="0" t="str">
        <f aca="false">IF(OR(הגדרות!$E$6=0,H2633&gt;הגדרות!$E$5),"",IF(H2633-1&lt;הגדרות!$E$8*(הגדרות!$E$7+1),INT((H2633-1)/(הגדרות!$E$7+1)),הגדרות!$E$8+INT((H2633-1-הגדרות!$E$8*(הגדרות!$E$7+1))/הגדרות!$E$7)))</f>
        <v/>
      </c>
      <c r="J2633" s="0" t="str">
        <f aca="false">IF(I2633="","",IF(H2633-1&lt;הגדרות!$E$8*(הגדרות!$E$7+1),MOD(H2633-1,הגדרות!$E$7+1),MOD(H2633-1-הגדרות!$E$8*(הגדרות!$E$7+1),הגדרות!$E$7)))</f>
        <v/>
      </c>
      <c r="K2633" s="0" t="str">
        <f aca="false">IF(I2633="","",J2633*הגדרות!$E$6+I2633+1)</f>
        <v/>
      </c>
      <c r="L2633" s="0" t="str">
        <f aca="false">IF(K2633="","",MATCH(K2633,$F$2:$F$5001,0))</f>
        <v/>
      </c>
      <c r="M2633" s="0" t="str">
        <f aca="false">IF(I2633="","",INDEX(הגדרות!$A$2:$A$21,MOD(I2633+הגדרות!$E$9,הגדרות!$E$6)+1))</f>
        <v/>
      </c>
    </row>
    <row r="2634" customFormat="false" ht="15" hidden="false" customHeight="false" outlineLevel="0" collapsed="false">
      <c r="A2634" s="0" t="str">
        <f aca="false">IF('הדבקת לידים'!A2634="","",IF(ISNUMBER('הדבקת לידים'!A2634),IF(הגדרות!$E$2&gt;0,TEXT('הדבקת לידים'!A2634,REPT("0",הגדרות!$E$2)),TEXT('הדבקת לידים'!A2634,"0")),TRIM('הדבקת לידים'!A2634)))</f>
        <v/>
      </c>
      <c r="B2634" s="0" t="str">
        <f aca="false">IF('הדבקת לידים'!B2634="","",IF(ISNUMBER('הדבקת לידים'!B2634),IF(הגדרות!$E$3&gt;0,TEXT('הדבקת לידים'!B2634,REPT("0",הגדרות!$E$3)),TEXT('הדבקת לידים'!B2634,"0")),TRIM('הדבקת לידים'!B2634)))</f>
        <v/>
      </c>
      <c r="C2634" s="0" t="n">
        <f aca="false">IF(OR(A2634&lt;&gt;"",B2634&lt;&gt;""),1,0)</f>
        <v>0</v>
      </c>
      <c r="D2634" s="0" t="str">
        <f aca="false">IF(C2634=1,MOD(ABS(SIN(ROW()*12.9898+'הדבקת לידים'!$F$2*78.233+IFERROR(--RIGHT(A2634,6),LEN(A2634))*0.0137+IFERROR(--RIGHT(B2634,6),LEN(B2634))*0.0071))*43758.5453,1),"")</f>
        <v/>
      </c>
      <c r="E2634" s="0" t="str">
        <f aca="false">IF(C2634=1,INT(MOD(ABS(SIN(D2634*7919.123+ROW()*0.618+'הדבקת לידים'!$F$2*1.3))*43758.5453,1)*1000000)*10000+ROW(),"")</f>
        <v/>
      </c>
      <c r="F2634" s="0" t="str">
        <f aca="false">IF(E2634="","",RANK(E2634,$E$2:$E$5001,1))</f>
        <v/>
      </c>
      <c r="G2634" s="0" t="n">
        <f aca="false">IF(A2634="",0,IF(SUMPRODUCT(--($A$2:$A$5001=A2634))&gt;1,1,0))</f>
        <v>0</v>
      </c>
      <c r="H2634" s="0" t="n">
        <f aca="false">ROW()-1</f>
        <v>2633</v>
      </c>
      <c r="I2634" s="0" t="str">
        <f aca="false">IF(OR(הגדרות!$E$6=0,H2634&gt;הגדרות!$E$5),"",IF(H2634-1&lt;הגדרות!$E$8*(הגדרות!$E$7+1),INT((H2634-1)/(הגדרות!$E$7+1)),הגדרות!$E$8+INT((H2634-1-הגדרות!$E$8*(הגדרות!$E$7+1))/הגדרות!$E$7)))</f>
        <v/>
      </c>
      <c r="J2634" s="0" t="str">
        <f aca="false">IF(I2634="","",IF(H2634-1&lt;הגדרות!$E$8*(הגדרות!$E$7+1),MOD(H2634-1,הגדרות!$E$7+1),MOD(H2634-1-הגדרות!$E$8*(הגדרות!$E$7+1),הגדרות!$E$7)))</f>
        <v/>
      </c>
      <c r="K2634" s="0" t="str">
        <f aca="false">IF(I2634="","",J2634*הגדרות!$E$6+I2634+1)</f>
        <v/>
      </c>
      <c r="L2634" s="0" t="str">
        <f aca="false">IF(K2634="","",MATCH(K2634,$F$2:$F$5001,0))</f>
        <v/>
      </c>
      <c r="M2634" s="0" t="str">
        <f aca="false">IF(I2634="","",INDEX(הגדרות!$A$2:$A$21,MOD(I2634+הגדרות!$E$9,הגדרות!$E$6)+1))</f>
        <v/>
      </c>
    </row>
    <row r="2635" customFormat="false" ht="15" hidden="false" customHeight="false" outlineLevel="0" collapsed="false">
      <c r="A2635" s="0" t="str">
        <f aca="false">IF('הדבקת לידים'!A2635="","",IF(ISNUMBER('הדבקת לידים'!A2635),IF(הגדרות!$E$2&gt;0,TEXT('הדבקת לידים'!A2635,REPT("0",הגדרות!$E$2)),TEXT('הדבקת לידים'!A2635,"0")),TRIM('הדבקת לידים'!A2635)))</f>
        <v/>
      </c>
      <c r="B2635" s="0" t="str">
        <f aca="false">IF('הדבקת לידים'!B2635="","",IF(ISNUMBER('הדבקת לידים'!B2635),IF(הגדרות!$E$3&gt;0,TEXT('הדבקת לידים'!B2635,REPT("0",הגדרות!$E$3)),TEXT('הדבקת לידים'!B2635,"0")),TRIM('הדבקת לידים'!B2635)))</f>
        <v/>
      </c>
      <c r="C2635" s="0" t="n">
        <f aca="false">IF(OR(A2635&lt;&gt;"",B2635&lt;&gt;""),1,0)</f>
        <v>0</v>
      </c>
      <c r="D2635" s="0" t="str">
        <f aca="false">IF(C2635=1,MOD(ABS(SIN(ROW()*12.9898+'הדבקת לידים'!$F$2*78.233+IFERROR(--RIGHT(A2635,6),LEN(A2635))*0.0137+IFERROR(--RIGHT(B2635,6),LEN(B2635))*0.0071))*43758.5453,1),"")</f>
        <v/>
      </c>
      <c r="E2635" s="0" t="str">
        <f aca="false">IF(C2635=1,INT(MOD(ABS(SIN(D2635*7919.123+ROW()*0.618+'הדבקת לידים'!$F$2*1.3))*43758.5453,1)*1000000)*10000+ROW(),"")</f>
        <v/>
      </c>
      <c r="F2635" s="0" t="str">
        <f aca="false">IF(E2635="","",RANK(E2635,$E$2:$E$5001,1))</f>
        <v/>
      </c>
      <c r="G2635" s="0" t="n">
        <f aca="false">IF(A2635="",0,IF(SUMPRODUCT(--($A$2:$A$5001=A2635))&gt;1,1,0))</f>
        <v>0</v>
      </c>
      <c r="H2635" s="0" t="n">
        <f aca="false">ROW()-1</f>
        <v>2634</v>
      </c>
      <c r="I2635" s="0" t="str">
        <f aca="false">IF(OR(הגדרות!$E$6=0,H2635&gt;הגדרות!$E$5),"",IF(H2635-1&lt;הגדרות!$E$8*(הגדרות!$E$7+1),INT((H2635-1)/(הגדרות!$E$7+1)),הגדרות!$E$8+INT((H2635-1-הגדרות!$E$8*(הגדרות!$E$7+1))/הגדרות!$E$7)))</f>
        <v/>
      </c>
      <c r="J2635" s="0" t="str">
        <f aca="false">IF(I2635="","",IF(H2635-1&lt;הגדרות!$E$8*(הגדרות!$E$7+1),MOD(H2635-1,הגדרות!$E$7+1),MOD(H2635-1-הגדרות!$E$8*(הגדרות!$E$7+1),הגדרות!$E$7)))</f>
        <v/>
      </c>
      <c r="K2635" s="0" t="str">
        <f aca="false">IF(I2635="","",J2635*הגדרות!$E$6+I2635+1)</f>
        <v/>
      </c>
      <c r="L2635" s="0" t="str">
        <f aca="false">IF(K2635="","",MATCH(K2635,$F$2:$F$5001,0))</f>
        <v/>
      </c>
      <c r="M2635" s="0" t="str">
        <f aca="false">IF(I2635="","",INDEX(הגדרות!$A$2:$A$21,MOD(I2635+הגדרות!$E$9,הגדרות!$E$6)+1))</f>
        <v/>
      </c>
    </row>
    <row r="2636" customFormat="false" ht="15" hidden="false" customHeight="false" outlineLevel="0" collapsed="false">
      <c r="A2636" s="0" t="str">
        <f aca="false">IF('הדבקת לידים'!A2636="","",IF(ISNUMBER('הדבקת לידים'!A2636),IF(הגדרות!$E$2&gt;0,TEXT('הדבקת לידים'!A2636,REPT("0",הגדרות!$E$2)),TEXT('הדבקת לידים'!A2636,"0")),TRIM('הדבקת לידים'!A2636)))</f>
        <v/>
      </c>
      <c r="B2636" s="0" t="str">
        <f aca="false">IF('הדבקת לידים'!B2636="","",IF(ISNUMBER('הדבקת לידים'!B2636),IF(הגדרות!$E$3&gt;0,TEXT('הדבקת לידים'!B2636,REPT("0",הגדרות!$E$3)),TEXT('הדבקת לידים'!B2636,"0")),TRIM('הדבקת לידים'!B2636)))</f>
        <v/>
      </c>
      <c r="C2636" s="0" t="n">
        <f aca="false">IF(OR(A2636&lt;&gt;"",B2636&lt;&gt;""),1,0)</f>
        <v>0</v>
      </c>
      <c r="D2636" s="0" t="str">
        <f aca="false">IF(C2636=1,MOD(ABS(SIN(ROW()*12.9898+'הדבקת לידים'!$F$2*78.233+IFERROR(--RIGHT(A2636,6),LEN(A2636))*0.0137+IFERROR(--RIGHT(B2636,6),LEN(B2636))*0.0071))*43758.5453,1),"")</f>
        <v/>
      </c>
      <c r="E2636" s="0" t="str">
        <f aca="false">IF(C2636=1,INT(MOD(ABS(SIN(D2636*7919.123+ROW()*0.618+'הדבקת לידים'!$F$2*1.3))*43758.5453,1)*1000000)*10000+ROW(),"")</f>
        <v/>
      </c>
      <c r="F2636" s="0" t="str">
        <f aca="false">IF(E2636="","",RANK(E2636,$E$2:$E$5001,1))</f>
        <v/>
      </c>
      <c r="G2636" s="0" t="n">
        <f aca="false">IF(A2636="",0,IF(SUMPRODUCT(--($A$2:$A$5001=A2636))&gt;1,1,0))</f>
        <v>0</v>
      </c>
      <c r="H2636" s="0" t="n">
        <f aca="false">ROW()-1</f>
        <v>2635</v>
      </c>
      <c r="I2636" s="0" t="str">
        <f aca="false">IF(OR(הגדרות!$E$6=0,H2636&gt;הגדרות!$E$5),"",IF(H2636-1&lt;הגדרות!$E$8*(הגדרות!$E$7+1),INT((H2636-1)/(הגדרות!$E$7+1)),הגדרות!$E$8+INT((H2636-1-הגדרות!$E$8*(הגדרות!$E$7+1))/הגדרות!$E$7)))</f>
        <v/>
      </c>
      <c r="J2636" s="0" t="str">
        <f aca="false">IF(I2636="","",IF(H2636-1&lt;הגדרות!$E$8*(הגדרות!$E$7+1),MOD(H2636-1,הגדרות!$E$7+1),MOD(H2636-1-הגדרות!$E$8*(הגדרות!$E$7+1),הגדרות!$E$7)))</f>
        <v/>
      </c>
      <c r="K2636" s="0" t="str">
        <f aca="false">IF(I2636="","",J2636*הגדרות!$E$6+I2636+1)</f>
        <v/>
      </c>
      <c r="L2636" s="0" t="str">
        <f aca="false">IF(K2636="","",MATCH(K2636,$F$2:$F$5001,0))</f>
        <v/>
      </c>
      <c r="M2636" s="0" t="str">
        <f aca="false">IF(I2636="","",INDEX(הגדרות!$A$2:$A$21,MOD(I2636+הגדרות!$E$9,הגדרות!$E$6)+1))</f>
        <v/>
      </c>
    </row>
    <row r="2637" customFormat="false" ht="15" hidden="false" customHeight="false" outlineLevel="0" collapsed="false">
      <c r="A2637" s="0" t="str">
        <f aca="false">IF('הדבקת לידים'!A2637="","",IF(ISNUMBER('הדבקת לידים'!A2637),IF(הגדרות!$E$2&gt;0,TEXT('הדבקת לידים'!A2637,REPT("0",הגדרות!$E$2)),TEXT('הדבקת לידים'!A2637,"0")),TRIM('הדבקת לידים'!A2637)))</f>
        <v/>
      </c>
      <c r="B2637" s="0" t="str">
        <f aca="false">IF('הדבקת לידים'!B2637="","",IF(ISNUMBER('הדבקת לידים'!B2637),IF(הגדרות!$E$3&gt;0,TEXT('הדבקת לידים'!B2637,REPT("0",הגדרות!$E$3)),TEXT('הדבקת לידים'!B2637,"0")),TRIM('הדבקת לידים'!B2637)))</f>
        <v/>
      </c>
      <c r="C2637" s="0" t="n">
        <f aca="false">IF(OR(A2637&lt;&gt;"",B2637&lt;&gt;""),1,0)</f>
        <v>0</v>
      </c>
      <c r="D2637" s="0" t="str">
        <f aca="false">IF(C2637=1,MOD(ABS(SIN(ROW()*12.9898+'הדבקת לידים'!$F$2*78.233+IFERROR(--RIGHT(A2637,6),LEN(A2637))*0.0137+IFERROR(--RIGHT(B2637,6),LEN(B2637))*0.0071))*43758.5453,1),"")</f>
        <v/>
      </c>
      <c r="E2637" s="0" t="str">
        <f aca="false">IF(C2637=1,INT(MOD(ABS(SIN(D2637*7919.123+ROW()*0.618+'הדבקת לידים'!$F$2*1.3))*43758.5453,1)*1000000)*10000+ROW(),"")</f>
        <v/>
      </c>
      <c r="F2637" s="0" t="str">
        <f aca="false">IF(E2637="","",RANK(E2637,$E$2:$E$5001,1))</f>
        <v/>
      </c>
      <c r="G2637" s="0" t="n">
        <f aca="false">IF(A2637="",0,IF(SUMPRODUCT(--($A$2:$A$5001=A2637))&gt;1,1,0))</f>
        <v>0</v>
      </c>
      <c r="H2637" s="0" t="n">
        <f aca="false">ROW()-1</f>
        <v>2636</v>
      </c>
      <c r="I2637" s="0" t="str">
        <f aca="false">IF(OR(הגדרות!$E$6=0,H2637&gt;הגדרות!$E$5),"",IF(H2637-1&lt;הגדרות!$E$8*(הגדרות!$E$7+1),INT((H2637-1)/(הגדרות!$E$7+1)),הגדרות!$E$8+INT((H2637-1-הגדרות!$E$8*(הגדרות!$E$7+1))/הגדרות!$E$7)))</f>
        <v/>
      </c>
      <c r="J2637" s="0" t="str">
        <f aca="false">IF(I2637="","",IF(H2637-1&lt;הגדרות!$E$8*(הגדרות!$E$7+1),MOD(H2637-1,הגדרות!$E$7+1),MOD(H2637-1-הגדרות!$E$8*(הגדרות!$E$7+1),הגדרות!$E$7)))</f>
        <v/>
      </c>
      <c r="K2637" s="0" t="str">
        <f aca="false">IF(I2637="","",J2637*הגדרות!$E$6+I2637+1)</f>
        <v/>
      </c>
      <c r="L2637" s="0" t="str">
        <f aca="false">IF(K2637="","",MATCH(K2637,$F$2:$F$5001,0))</f>
        <v/>
      </c>
      <c r="M2637" s="0" t="str">
        <f aca="false">IF(I2637="","",INDEX(הגדרות!$A$2:$A$21,MOD(I2637+הגדרות!$E$9,הגדרות!$E$6)+1))</f>
        <v/>
      </c>
    </row>
    <row r="2638" customFormat="false" ht="15" hidden="false" customHeight="false" outlineLevel="0" collapsed="false">
      <c r="A2638" s="0" t="str">
        <f aca="false">IF('הדבקת לידים'!A2638="","",IF(ISNUMBER('הדבקת לידים'!A2638),IF(הגדרות!$E$2&gt;0,TEXT('הדבקת לידים'!A2638,REPT("0",הגדרות!$E$2)),TEXT('הדבקת לידים'!A2638,"0")),TRIM('הדבקת לידים'!A2638)))</f>
        <v/>
      </c>
      <c r="B2638" s="0" t="str">
        <f aca="false">IF('הדבקת לידים'!B2638="","",IF(ISNUMBER('הדבקת לידים'!B2638),IF(הגדרות!$E$3&gt;0,TEXT('הדבקת לידים'!B2638,REPT("0",הגדרות!$E$3)),TEXT('הדבקת לידים'!B2638,"0")),TRIM('הדבקת לידים'!B2638)))</f>
        <v/>
      </c>
      <c r="C2638" s="0" t="n">
        <f aca="false">IF(OR(A2638&lt;&gt;"",B2638&lt;&gt;""),1,0)</f>
        <v>0</v>
      </c>
      <c r="D2638" s="0" t="str">
        <f aca="false">IF(C2638=1,MOD(ABS(SIN(ROW()*12.9898+'הדבקת לידים'!$F$2*78.233+IFERROR(--RIGHT(A2638,6),LEN(A2638))*0.0137+IFERROR(--RIGHT(B2638,6),LEN(B2638))*0.0071))*43758.5453,1),"")</f>
        <v/>
      </c>
      <c r="E2638" s="0" t="str">
        <f aca="false">IF(C2638=1,INT(MOD(ABS(SIN(D2638*7919.123+ROW()*0.618+'הדבקת לידים'!$F$2*1.3))*43758.5453,1)*1000000)*10000+ROW(),"")</f>
        <v/>
      </c>
      <c r="F2638" s="0" t="str">
        <f aca="false">IF(E2638="","",RANK(E2638,$E$2:$E$5001,1))</f>
        <v/>
      </c>
      <c r="G2638" s="0" t="n">
        <f aca="false">IF(A2638="",0,IF(SUMPRODUCT(--($A$2:$A$5001=A2638))&gt;1,1,0))</f>
        <v>0</v>
      </c>
      <c r="H2638" s="0" t="n">
        <f aca="false">ROW()-1</f>
        <v>2637</v>
      </c>
      <c r="I2638" s="0" t="str">
        <f aca="false">IF(OR(הגדרות!$E$6=0,H2638&gt;הגדרות!$E$5),"",IF(H2638-1&lt;הגדרות!$E$8*(הגדרות!$E$7+1),INT((H2638-1)/(הגדרות!$E$7+1)),הגדרות!$E$8+INT((H2638-1-הגדרות!$E$8*(הגדרות!$E$7+1))/הגדרות!$E$7)))</f>
        <v/>
      </c>
      <c r="J2638" s="0" t="str">
        <f aca="false">IF(I2638="","",IF(H2638-1&lt;הגדרות!$E$8*(הגדרות!$E$7+1),MOD(H2638-1,הגדרות!$E$7+1),MOD(H2638-1-הגדרות!$E$8*(הגדרות!$E$7+1),הגדרות!$E$7)))</f>
        <v/>
      </c>
      <c r="K2638" s="0" t="str">
        <f aca="false">IF(I2638="","",J2638*הגדרות!$E$6+I2638+1)</f>
        <v/>
      </c>
      <c r="L2638" s="0" t="str">
        <f aca="false">IF(K2638="","",MATCH(K2638,$F$2:$F$5001,0))</f>
        <v/>
      </c>
      <c r="M2638" s="0" t="str">
        <f aca="false">IF(I2638="","",INDEX(הגדרות!$A$2:$A$21,MOD(I2638+הגדרות!$E$9,הגדרות!$E$6)+1))</f>
        <v/>
      </c>
    </row>
    <row r="2639" customFormat="false" ht="15" hidden="false" customHeight="false" outlineLevel="0" collapsed="false">
      <c r="A2639" s="0" t="str">
        <f aca="false">IF('הדבקת לידים'!A2639="","",IF(ISNUMBER('הדבקת לידים'!A2639),IF(הגדרות!$E$2&gt;0,TEXT('הדבקת לידים'!A2639,REPT("0",הגדרות!$E$2)),TEXT('הדבקת לידים'!A2639,"0")),TRIM('הדבקת לידים'!A2639)))</f>
        <v/>
      </c>
      <c r="B2639" s="0" t="str">
        <f aca="false">IF('הדבקת לידים'!B2639="","",IF(ISNUMBER('הדבקת לידים'!B2639),IF(הגדרות!$E$3&gt;0,TEXT('הדבקת לידים'!B2639,REPT("0",הגדרות!$E$3)),TEXT('הדבקת לידים'!B2639,"0")),TRIM('הדבקת לידים'!B2639)))</f>
        <v/>
      </c>
      <c r="C2639" s="0" t="n">
        <f aca="false">IF(OR(A2639&lt;&gt;"",B2639&lt;&gt;""),1,0)</f>
        <v>0</v>
      </c>
      <c r="D2639" s="0" t="str">
        <f aca="false">IF(C2639=1,MOD(ABS(SIN(ROW()*12.9898+'הדבקת לידים'!$F$2*78.233+IFERROR(--RIGHT(A2639,6),LEN(A2639))*0.0137+IFERROR(--RIGHT(B2639,6),LEN(B2639))*0.0071))*43758.5453,1),"")</f>
        <v/>
      </c>
      <c r="E2639" s="0" t="str">
        <f aca="false">IF(C2639=1,INT(MOD(ABS(SIN(D2639*7919.123+ROW()*0.618+'הדבקת לידים'!$F$2*1.3))*43758.5453,1)*1000000)*10000+ROW(),"")</f>
        <v/>
      </c>
      <c r="F2639" s="0" t="str">
        <f aca="false">IF(E2639="","",RANK(E2639,$E$2:$E$5001,1))</f>
        <v/>
      </c>
      <c r="G2639" s="0" t="n">
        <f aca="false">IF(A2639="",0,IF(SUMPRODUCT(--($A$2:$A$5001=A2639))&gt;1,1,0))</f>
        <v>0</v>
      </c>
      <c r="H2639" s="0" t="n">
        <f aca="false">ROW()-1</f>
        <v>2638</v>
      </c>
      <c r="I2639" s="0" t="str">
        <f aca="false">IF(OR(הגדרות!$E$6=0,H2639&gt;הגדרות!$E$5),"",IF(H2639-1&lt;הגדרות!$E$8*(הגדרות!$E$7+1),INT((H2639-1)/(הגדרות!$E$7+1)),הגדרות!$E$8+INT((H2639-1-הגדרות!$E$8*(הגדרות!$E$7+1))/הגדרות!$E$7)))</f>
        <v/>
      </c>
      <c r="J2639" s="0" t="str">
        <f aca="false">IF(I2639="","",IF(H2639-1&lt;הגדרות!$E$8*(הגדרות!$E$7+1),MOD(H2639-1,הגדרות!$E$7+1),MOD(H2639-1-הגדרות!$E$8*(הגדרות!$E$7+1),הגדרות!$E$7)))</f>
        <v/>
      </c>
      <c r="K2639" s="0" t="str">
        <f aca="false">IF(I2639="","",J2639*הגדרות!$E$6+I2639+1)</f>
        <v/>
      </c>
      <c r="L2639" s="0" t="str">
        <f aca="false">IF(K2639="","",MATCH(K2639,$F$2:$F$5001,0))</f>
        <v/>
      </c>
      <c r="M2639" s="0" t="str">
        <f aca="false">IF(I2639="","",INDEX(הגדרות!$A$2:$A$21,MOD(I2639+הגדרות!$E$9,הגדרות!$E$6)+1))</f>
        <v/>
      </c>
    </row>
    <row r="2640" customFormat="false" ht="15" hidden="false" customHeight="false" outlineLevel="0" collapsed="false">
      <c r="A2640" s="0" t="str">
        <f aca="false">IF('הדבקת לידים'!A2640="","",IF(ISNUMBER('הדבקת לידים'!A2640),IF(הגדרות!$E$2&gt;0,TEXT('הדבקת לידים'!A2640,REPT("0",הגדרות!$E$2)),TEXT('הדבקת לידים'!A2640,"0")),TRIM('הדבקת לידים'!A2640)))</f>
        <v/>
      </c>
      <c r="B2640" s="0" t="str">
        <f aca="false">IF('הדבקת לידים'!B2640="","",IF(ISNUMBER('הדבקת לידים'!B2640),IF(הגדרות!$E$3&gt;0,TEXT('הדבקת לידים'!B2640,REPT("0",הגדרות!$E$3)),TEXT('הדבקת לידים'!B2640,"0")),TRIM('הדבקת לידים'!B2640)))</f>
        <v/>
      </c>
      <c r="C2640" s="0" t="n">
        <f aca="false">IF(OR(A2640&lt;&gt;"",B2640&lt;&gt;""),1,0)</f>
        <v>0</v>
      </c>
      <c r="D2640" s="0" t="str">
        <f aca="false">IF(C2640=1,MOD(ABS(SIN(ROW()*12.9898+'הדבקת לידים'!$F$2*78.233+IFERROR(--RIGHT(A2640,6),LEN(A2640))*0.0137+IFERROR(--RIGHT(B2640,6),LEN(B2640))*0.0071))*43758.5453,1),"")</f>
        <v/>
      </c>
      <c r="E2640" s="0" t="str">
        <f aca="false">IF(C2640=1,INT(MOD(ABS(SIN(D2640*7919.123+ROW()*0.618+'הדבקת לידים'!$F$2*1.3))*43758.5453,1)*1000000)*10000+ROW(),"")</f>
        <v/>
      </c>
      <c r="F2640" s="0" t="str">
        <f aca="false">IF(E2640="","",RANK(E2640,$E$2:$E$5001,1))</f>
        <v/>
      </c>
      <c r="G2640" s="0" t="n">
        <f aca="false">IF(A2640="",0,IF(SUMPRODUCT(--($A$2:$A$5001=A2640))&gt;1,1,0))</f>
        <v>0</v>
      </c>
      <c r="H2640" s="0" t="n">
        <f aca="false">ROW()-1</f>
        <v>2639</v>
      </c>
      <c r="I2640" s="0" t="str">
        <f aca="false">IF(OR(הגדרות!$E$6=0,H2640&gt;הגדרות!$E$5),"",IF(H2640-1&lt;הגדרות!$E$8*(הגדרות!$E$7+1),INT((H2640-1)/(הגדרות!$E$7+1)),הגדרות!$E$8+INT((H2640-1-הגדרות!$E$8*(הגדרות!$E$7+1))/הגדרות!$E$7)))</f>
        <v/>
      </c>
      <c r="J2640" s="0" t="str">
        <f aca="false">IF(I2640="","",IF(H2640-1&lt;הגדרות!$E$8*(הגדרות!$E$7+1),MOD(H2640-1,הגדרות!$E$7+1),MOD(H2640-1-הגדרות!$E$8*(הגדרות!$E$7+1),הגדרות!$E$7)))</f>
        <v/>
      </c>
      <c r="K2640" s="0" t="str">
        <f aca="false">IF(I2640="","",J2640*הגדרות!$E$6+I2640+1)</f>
        <v/>
      </c>
      <c r="L2640" s="0" t="str">
        <f aca="false">IF(K2640="","",MATCH(K2640,$F$2:$F$5001,0))</f>
        <v/>
      </c>
      <c r="M2640" s="0" t="str">
        <f aca="false">IF(I2640="","",INDEX(הגדרות!$A$2:$A$21,MOD(I2640+הגדרות!$E$9,הגדרות!$E$6)+1))</f>
        <v/>
      </c>
    </row>
    <row r="2641" customFormat="false" ht="15" hidden="false" customHeight="false" outlineLevel="0" collapsed="false">
      <c r="A2641" s="0" t="str">
        <f aca="false">IF('הדבקת לידים'!A2641="","",IF(ISNUMBER('הדבקת לידים'!A2641),IF(הגדרות!$E$2&gt;0,TEXT('הדבקת לידים'!A2641,REPT("0",הגדרות!$E$2)),TEXT('הדבקת לידים'!A2641,"0")),TRIM('הדבקת לידים'!A2641)))</f>
        <v/>
      </c>
      <c r="B2641" s="0" t="str">
        <f aca="false">IF('הדבקת לידים'!B2641="","",IF(ISNUMBER('הדבקת לידים'!B2641),IF(הגדרות!$E$3&gt;0,TEXT('הדבקת לידים'!B2641,REPT("0",הגדרות!$E$3)),TEXT('הדבקת לידים'!B2641,"0")),TRIM('הדבקת לידים'!B2641)))</f>
        <v/>
      </c>
      <c r="C2641" s="0" t="n">
        <f aca="false">IF(OR(A2641&lt;&gt;"",B2641&lt;&gt;""),1,0)</f>
        <v>0</v>
      </c>
      <c r="D2641" s="0" t="str">
        <f aca="false">IF(C2641=1,MOD(ABS(SIN(ROW()*12.9898+'הדבקת לידים'!$F$2*78.233+IFERROR(--RIGHT(A2641,6),LEN(A2641))*0.0137+IFERROR(--RIGHT(B2641,6),LEN(B2641))*0.0071))*43758.5453,1),"")</f>
        <v/>
      </c>
      <c r="E2641" s="0" t="str">
        <f aca="false">IF(C2641=1,INT(MOD(ABS(SIN(D2641*7919.123+ROW()*0.618+'הדבקת לידים'!$F$2*1.3))*43758.5453,1)*1000000)*10000+ROW(),"")</f>
        <v/>
      </c>
      <c r="F2641" s="0" t="str">
        <f aca="false">IF(E2641="","",RANK(E2641,$E$2:$E$5001,1))</f>
        <v/>
      </c>
      <c r="G2641" s="0" t="n">
        <f aca="false">IF(A2641="",0,IF(SUMPRODUCT(--($A$2:$A$5001=A2641))&gt;1,1,0))</f>
        <v>0</v>
      </c>
      <c r="H2641" s="0" t="n">
        <f aca="false">ROW()-1</f>
        <v>2640</v>
      </c>
      <c r="I2641" s="0" t="str">
        <f aca="false">IF(OR(הגדרות!$E$6=0,H2641&gt;הגדרות!$E$5),"",IF(H2641-1&lt;הגדרות!$E$8*(הגדרות!$E$7+1),INT((H2641-1)/(הגדרות!$E$7+1)),הגדרות!$E$8+INT((H2641-1-הגדרות!$E$8*(הגדרות!$E$7+1))/הגדרות!$E$7)))</f>
        <v/>
      </c>
      <c r="J2641" s="0" t="str">
        <f aca="false">IF(I2641="","",IF(H2641-1&lt;הגדרות!$E$8*(הגדרות!$E$7+1),MOD(H2641-1,הגדרות!$E$7+1),MOD(H2641-1-הגדרות!$E$8*(הגדרות!$E$7+1),הגדרות!$E$7)))</f>
        <v/>
      </c>
      <c r="K2641" s="0" t="str">
        <f aca="false">IF(I2641="","",J2641*הגדרות!$E$6+I2641+1)</f>
        <v/>
      </c>
      <c r="L2641" s="0" t="str">
        <f aca="false">IF(K2641="","",MATCH(K2641,$F$2:$F$5001,0))</f>
        <v/>
      </c>
      <c r="M2641" s="0" t="str">
        <f aca="false">IF(I2641="","",INDEX(הגדרות!$A$2:$A$21,MOD(I2641+הגדרות!$E$9,הגדרות!$E$6)+1))</f>
        <v/>
      </c>
    </row>
    <row r="2642" customFormat="false" ht="15" hidden="false" customHeight="false" outlineLevel="0" collapsed="false">
      <c r="A2642" s="0" t="str">
        <f aca="false">IF('הדבקת לידים'!A2642="","",IF(ISNUMBER('הדבקת לידים'!A2642),IF(הגדרות!$E$2&gt;0,TEXT('הדבקת לידים'!A2642,REPT("0",הגדרות!$E$2)),TEXT('הדבקת לידים'!A2642,"0")),TRIM('הדבקת לידים'!A2642)))</f>
        <v/>
      </c>
      <c r="B2642" s="0" t="str">
        <f aca="false">IF('הדבקת לידים'!B2642="","",IF(ISNUMBER('הדבקת לידים'!B2642),IF(הגדרות!$E$3&gt;0,TEXT('הדבקת לידים'!B2642,REPT("0",הגדרות!$E$3)),TEXT('הדבקת לידים'!B2642,"0")),TRIM('הדבקת לידים'!B2642)))</f>
        <v/>
      </c>
      <c r="C2642" s="0" t="n">
        <f aca="false">IF(OR(A2642&lt;&gt;"",B2642&lt;&gt;""),1,0)</f>
        <v>0</v>
      </c>
      <c r="D2642" s="0" t="str">
        <f aca="false">IF(C2642=1,MOD(ABS(SIN(ROW()*12.9898+'הדבקת לידים'!$F$2*78.233+IFERROR(--RIGHT(A2642,6),LEN(A2642))*0.0137+IFERROR(--RIGHT(B2642,6),LEN(B2642))*0.0071))*43758.5453,1),"")</f>
        <v/>
      </c>
      <c r="E2642" s="0" t="str">
        <f aca="false">IF(C2642=1,INT(MOD(ABS(SIN(D2642*7919.123+ROW()*0.618+'הדבקת לידים'!$F$2*1.3))*43758.5453,1)*1000000)*10000+ROW(),"")</f>
        <v/>
      </c>
      <c r="F2642" s="0" t="str">
        <f aca="false">IF(E2642="","",RANK(E2642,$E$2:$E$5001,1))</f>
        <v/>
      </c>
      <c r="G2642" s="0" t="n">
        <f aca="false">IF(A2642="",0,IF(SUMPRODUCT(--($A$2:$A$5001=A2642))&gt;1,1,0))</f>
        <v>0</v>
      </c>
      <c r="H2642" s="0" t="n">
        <f aca="false">ROW()-1</f>
        <v>2641</v>
      </c>
      <c r="I2642" s="0" t="str">
        <f aca="false">IF(OR(הגדרות!$E$6=0,H2642&gt;הגדרות!$E$5),"",IF(H2642-1&lt;הגדרות!$E$8*(הגדרות!$E$7+1),INT((H2642-1)/(הגדרות!$E$7+1)),הגדרות!$E$8+INT((H2642-1-הגדרות!$E$8*(הגדרות!$E$7+1))/הגדרות!$E$7)))</f>
        <v/>
      </c>
      <c r="J2642" s="0" t="str">
        <f aca="false">IF(I2642="","",IF(H2642-1&lt;הגדרות!$E$8*(הגדרות!$E$7+1),MOD(H2642-1,הגדרות!$E$7+1),MOD(H2642-1-הגדרות!$E$8*(הגדרות!$E$7+1),הגדרות!$E$7)))</f>
        <v/>
      </c>
      <c r="K2642" s="0" t="str">
        <f aca="false">IF(I2642="","",J2642*הגדרות!$E$6+I2642+1)</f>
        <v/>
      </c>
      <c r="L2642" s="0" t="str">
        <f aca="false">IF(K2642="","",MATCH(K2642,$F$2:$F$5001,0))</f>
        <v/>
      </c>
      <c r="M2642" s="0" t="str">
        <f aca="false">IF(I2642="","",INDEX(הגדרות!$A$2:$A$21,MOD(I2642+הגדרות!$E$9,הגדרות!$E$6)+1))</f>
        <v/>
      </c>
    </row>
    <row r="2643" customFormat="false" ht="15" hidden="false" customHeight="false" outlineLevel="0" collapsed="false">
      <c r="A2643" s="0" t="str">
        <f aca="false">IF('הדבקת לידים'!A2643="","",IF(ISNUMBER('הדבקת לידים'!A2643),IF(הגדרות!$E$2&gt;0,TEXT('הדבקת לידים'!A2643,REPT("0",הגדרות!$E$2)),TEXT('הדבקת לידים'!A2643,"0")),TRIM('הדבקת לידים'!A2643)))</f>
        <v/>
      </c>
      <c r="B2643" s="0" t="str">
        <f aca="false">IF('הדבקת לידים'!B2643="","",IF(ISNUMBER('הדבקת לידים'!B2643),IF(הגדרות!$E$3&gt;0,TEXT('הדבקת לידים'!B2643,REPT("0",הגדרות!$E$3)),TEXT('הדבקת לידים'!B2643,"0")),TRIM('הדבקת לידים'!B2643)))</f>
        <v/>
      </c>
      <c r="C2643" s="0" t="n">
        <f aca="false">IF(OR(A2643&lt;&gt;"",B2643&lt;&gt;""),1,0)</f>
        <v>0</v>
      </c>
      <c r="D2643" s="0" t="str">
        <f aca="false">IF(C2643=1,MOD(ABS(SIN(ROW()*12.9898+'הדבקת לידים'!$F$2*78.233+IFERROR(--RIGHT(A2643,6),LEN(A2643))*0.0137+IFERROR(--RIGHT(B2643,6),LEN(B2643))*0.0071))*43758.5453,1),"")</f>
        <v/>
      </c>
      <c r="E2643" s="0" t="str">
        <f aca="false">IF(C2643=1,INT(MOD(ABS(SIN(D2643*7919.123+ROW()*0.618+'הדבקת לידים'!$F$2*1.3))*43758.5453,1)*1000000)*10000+ROW(),"")</f>
        <v/>
      </c>
      <c r="F2643" s="0" t="str">
        <f aca="false">IF(E2643="","",RANK(E2643,$E$2:$E$5001,1))</f>
        <v/>
      </c>
      <c r="G2643" s="0" t="n">
        <f aca="false">IF(A2643="",0,IF(SUMPRODUCT(--($A$2:$A$5001=A2643))&gt;1,1,0))</f>
        <v>0</v>
      </c>
      <c r="H2643" s="0" t="n">
        <f aca="false">ROW()-1</f>
        <v>2642</v>
      </c>
      <c r="I2643" s="0" t="str">
        <f aca="false">IF(OR(הגדרות!$E$6=0,H2643&gt;הגדרות!$E$5),"",IF(H2643-1&lt;הגדרות!$E$8*(הגדרות!$E$7+1),INT((H2643-1)/(הגדרות!$E$7+1)),הגדרות!$E$8+INT((H2643-1-הגדרות!$E$8*(הגדרות!$E$7+1))/הגדרות!$E$7)))</f>
        <v/>
      </c>
      <c r="J2643" s="0" t="str">
        <f aca="false">IF(I2643="","",IF(H2643-1&lt;הגדרות!$E$8*(הגדרות!$E$7+1),MOD(H2643-1,הגדרות!$E$7+1),MOD(H2643-1-הגדרות!$E$8*(הגדרות!$E$7+1),הגדרות!$E$7)))</f>
        <v/>
      </c>
      <c r="K2643" s="0" t="str">
        <f aca="false">IF(I2643="","",J2643*הגדרות!$E$6+I2643+1)</f>
        <v/>
      </c>
      <c r="L2643" s="0" t="str">
        <f aca="false">IF(K2643="","",MATCH(K2643,$F$2:$F$5001,0))</f>
        <v/>
      </c>
      <c r="M2643" s="0" t="str">
        <f aca="false">IF(I2643="","",INDEX(הגדרות!$A$2:$A$21,MOD(I2643+הגדרות!$E$9,הגדרות!$E$6)+1))</f>
        <v/>
      </c>
    </row>
    <row r="2644" customFormat="false" ht="15" hidden="false" customHeight="false" outlineLevel="0" collapsed="false">
      <c r="A2644" s="0" t="str">
        <f aca="false">IF('הדבקת לידים'!A2644="","",IF(ISNUMBER('הדבקת לידים'!A2644),IF(הגדרות!$E$2&gt;0,TEXT('הדבקת לידים'!A2644,REPT("0",הגדרות!$E$2)),TEXT('הדבקת לידים'!A2644,"0")),TRIM('הדבקת לידים'!A2644)))</f>
        <v/>
      </c>
      <c r="B2644" s="0" t="str">
        <f aca="false">IF('הדבקת לידים'!B2644="","",IF(ISNUMBER('הדבקת לידים'!B2644),IF(הגדרות!$E$3&gt;0,TEXT('הדבקת לידים'!B2644,REPT("0",הגדרות!$E$3)),TEXT('הדבקת לידים'!B2644,"0")),TRIM('הדבקת לידים'!B2644)))</f>
        <v/>
      </c>
      <c r="C2644" s="0" t="n">
        <f aca="false">IF(OR(A2644&lt;&gt;"",B2644&lt;&gt;""),1,0)</f>
        <v>0</v>
      </c>
      <c r="D2644" s="0" t="str">
        <f aca="false">IF(C2644=1,MOD(ABS(SIN(ROW()*12.9898+'הדבקת לידים'!$F$2*78.233+IFERROR(--RIGHT(A2644,6),LEN(A2644))*0.0137+IFERROR(--RIGHT(B2644,6),LEN(B2644))*0.0071))*43758.5453,1),"")</f>
        <v/>
      </c>
      <c r="E2644" s="0" t="str">
        <f aca="false">IF(C2644=1,INT(MOD(ABS(SIN(D2644*7919.123+ROW()*0.618+'הדבקת לידים'!$F$2*1.3))*43758.5453,1)*1000000)*10000+ROW(),"")</f>
        <v/>
      </c>
      <c r="F2644" s="0" t="str">
        <f aca="false">IF(E2644="","",RANK(E2644,$E$2:$E$5001,1))</f>
        <v/>
      </c>
      <c r="G2644" s="0" t="n">
        <f aca="false">IF(A2644="",0,IF(SUMPRODUCT(--($A$2:$A$5001=A2644))&gt;1,1,0))</f>
        <v>0</v>
      </c>
      <c r="H2644" s="0" t="n">
        <f aca="false">ROW()-1</f>
        <v>2643</v>
      </c>
      <c r="I2644" s="0" t="str">
        <f aca="false">IF(OR(הגדרות!$E$6=0,H2644&gt;הגדרות!$E$5),"",IF(H2644-1&lt;הגדרות!$E$8*(הגדרות!$E$7+1),INT((H2644-1)/(הגדרות!$E$7+1)),הגדרות!$E$8+INT((H2644-1-הגדרות!$E$8*(הגדרות!$E$7+1))/הגדרות!$E$7)))</f>
        <v/>
      </c>
      <c r="J2644" s="0" t="str">
        <f aca="false">IF(I2644="","",IF(H2644-1&lt;הגדרות!$E$8*(הגדרות!$E$7+1),MOD(H2644-1,הגדרות!$E$7+1),MOD(H2644-1-הגדרות!$E$8*(הגדרות!$E$7+1),הגדרות!$E$7)))</f>
        <v/>
      </c>
      <c r="K2644" s="0" t="str">
        <f aca="false">IF(I2644="","",J2644*הגדרות!$E$6+I2644+1)</f>
        <v/>
      </c>
      <c r="L2644" s="0" t="str">
        <f aca="false">IF(K2644="","",MATCH(K2644,$F$2:$F$5001,0))</f>
        <v/>
      </c>
      <c r="M2644" s="0" t="str">
        <f aca="false">IF(I2644="","",INDEX(הגדרות!$A$2:$A$21,MOD(I2644+הגדרות!$E$9,הגדרות!$E$6)+1))</f>
        <v/>
      </c>
    </row>
    <row r="2645" customFormat="false" ht="15" hidden="false" customHeight="false" outlineLevel="0" collapsed="false">
      <c r="A2645" s="0" t="str">
        <f aca="false">IF('הדבקת לידים'!A2645="","",IF(ISNUMBER('הדבקת לידים'!A2645),IF(הגדרות!$E$2&gt;0,TEXT('הדבקת לידים'!A2645,REPT("0",הגדרות!$E$2)),TEXT('הדבקת לידים'!A2645,"0")),TRIM('הדבקת לידים'!A2645)))</f>
        <v/>
      </c>
      <c r="B2645" s="0" t="str">
        <f aca="false">IF('הדבקת לידים'!B2645="","",IF(ISNUMBER('הדבקת לידים'!B2645),IF(הגדרות!$E$3&gt;0,TEXT('הדבקת לידים'!B2645,REPT("0",הגדרות!$E$3)),TEXT('הדבקת לידים'!B2645,"0")),TRIM('הדבקת לידים'!B2645)))</f>
        <v/>
      </c>
      <c r="C2645" s="0" t="n">
        <f aca="false">IF(OR(A2645&lt;&gt;"",B2645&lt;&gt;""),1,0)</f>
        <v>0</v>
      </c>
      <c r="D2645" s="0" t="str">
        <f aca="false">IF(C2645=1,MOD(ABS(SIN(ROW()*12.9898+'הדבקת לידים'!$F$2*78.233+IFERROR(--RIGHT(A2645,6),LEN(A2645))*0.0137+IFERROR(--RIGHT(B2645,6),LEN(B2645))*0.0071))*43758.5453,1),"")</f>
        <v/>
      </c>
      <c r="E2645" s="0" t="str">
        <f aca="false">IF(C2645=1,INT(MOD(ABS(SIN(D2645*7919.123+ROW()*0.618+'הדבקת לידים'!$F$2*1.3))*43758.5453,1)*1000000)*10000+ROW(),"")</f>
        <v/>
      </c>
      <c r="F2645" s="0" t="str">
        <f aca="false">IF(E2645="","",RANK(E2645,$E$2:$E$5001,1))</f>
        <v/>
      </c>
      <c r="G2645" s="0" t="n">
        <f aca="false">IF(A2645="",0,IF(SUMPRODUCT(--($A$2:$A$5001=A2645))&gt;1,1,0))</f>
        <v>0</v>
      </c>
      <c r="H2645" s="0" t="n">
        <f aca="false">ROW()-1</f>
        <v>2644</v>
      </c>
      <c r="I2645" s="0" t="str">
        <f aca="false">IF(OR(הגדרות!$E$6=0,H2645&gt;הגדרות!$E$5),"",IF(H2645-1&lt;הגדרות!$E$8*(הגדרות!$E$7+1),INT((H2645-1)/(הגדרות!$E$7+1)),הגדרות!$E$8+INT((H2645-1-הגדרות!$E$8*(הגדרות!$E$7+1))/הגדרות!$E$7)))</f>
        <v/>
      </c>
      <c r="J2645" s="0" t="str">
        <f aca="false">IF(I2645="","",IF(H2645-1&lt;הגדרות!$E$8*(הגדרות!$E$7+1),MOD(H2645-1,הגדרות!$E$7+1),MOD(H2645-1-הגדרות!$E$8*(הגדרות!$E$7+1),הגדרות!$E$7)))</f>
        <v/>
      </c>
      <c r="K2645" s="0" t="str">
        <f aca="false">IF(I2645="","",J2645*הגדרות!$E$6+I2645+1)</f>
        <v/>
      </c>
      <c r="L2645" s="0" t="str">
        <f aca="false">IF(K2645="","",MATCH(K2645,$F$2:$F$5001,0))</f>
        <v/>
      </c>
      <c r="M2645" s="0" t="str">
        <f aca="false">IF(I2645="","",INDEX(הגדרות!$A$2:$A$21,MOD(I2645+הגדרות!$E$9,הגדרות!$E$6)+1))</f>
        <v/>
      </c>
    </row>
    <row r="2646" customFormat="false" ht="15" hidden="false" customHeight="false" outlineLevel="0" collapsed="false">
      <c r="A2646" s="0" t="str">
        <f aca="false">IF('הדבקת לידים'!A2646="","",IF(ISNUMBER('הדבקת לידים'!A2646),IF(הגדרות!$E$2&gt;0,TEXT('הדבקת לידים'!A2646,REPT("0",הגדרות!$E$2)),TEXT('הדבקת לידים'!A2646,"0")),TRIM('הדבקת לידים'!A2646)))</f>
        <v/>
      </c>
      <c r="B2646" s="0" t="str">
        <f aca="false">IF('הדבקת לידים'!B2646="","",IF(ISNUMBER('הדבקת לידים'!B2646),IF(הגדרות!$E$3&gt;0,TEXT('הדבקת לידים'!B2646,REPT("0",הגדרות!$E$3)),TEXT('הדבקת לידים'!B2646,"0")),TRIM('הדבקת לידים'!B2646)))</f>
        <v/>
      </c>
      <c r="C2646" s="0" t="n">
        <f aca="false">IF(OR(A2646&lt;&gt;"",B2646&lt;&gt;""),1,0)</f>
        <v>0</v>
      </c>
      <c r="D2646" s="0" t="str">
        <f aca="false">IF(C2646=1,MOD(ABS(SIN(ROW()*12.9898+'הדבקת לידים'!$F$2*78.233+IFERROR(--RIGHT(A2646,6),LEN(A2646))*0.0137+IFERROR(--RIGHT(B2646,6),LEN(B2646))*0.0071))*43758.5453,1),"")</f>
        <v/>
      </c>
      <c r="E2646" s="0" t="str">
        <f aca="false">IF(C2646=1,INT(MOD(ABS(SIN(D2646*7919.123+ROW()*0.618+'הדבקת לידים'!$F$2*1.3))*43758.5453,1)*1000000)*10000+ROW(),"")</f>
        <v/>
      </c>
      <c r="F2646" s="0" t="str">
        <f aca="false">IF(E2646="","",RANK(E2646,$E$2:$E$5001,1))</f>
        <v/>
      </c>
      <c r="G2646" s="0" t="n">
        <f aca="false">IF(A2646="",0,IF(SUMPRODUCT(--($A$2:$A$5001=A2646))&gt;1,1,0))</f>
        <v>0</v>
      </c>
      <c r="H2646" s="0" t="n">
        <f aca="false">ROW()-1</f>
        <v>2645</v>
      </c>
      <c r="I2646" s="0" t="str">
        <f aca="false">IF(OR(הגדרות!$E$6=0,H2646&gt;הגדרות!$E$5),"",IF(H2646-1&lt;הגדרות!$E$8*(הגדרות!$E$7+1),INT((H2646-1)/(הגדרות!$E$7+1)),הגדרות!$E$8+INT((H2646-1-הגדרות!$E$8*(הגדרות!$E$7+1))/הגדרות!$E$7)))</f>
        <v/>
      </c>
      <c r="J2646" s="0" t="str">
        <f aca="false">IF(I2646="","",IF(H2646-1&lt;הגדרות!$E$8*(הגדרות!$E$7+1),MOD(H2646-1,הגדרות!$E$7+1),MOD(H2646-1-הגדרות!$E$8*(הגדרות!$E$7+1),הגדרות!$E$7)))</f>
        <v/>
      </c>
      <c r="K2646" s="0" t="str">
        <f aca="false">IF(I2646="","",J2646*הגדרות!$E$6+I2646+1)</f>
        <v/>
      </c>
      <c r="L2646" s="0" t="str">
        <f aca="false">IF(K2646="","",MATCH(K2646,$F$2:$F$5001,0))</f>
        <v/>
      </c>
      <c r="M2646" s="0" t="str">
        <f aca="false">IF(I2646="","",INDEX(הגדרות!$A$2:$A$21,MOD(I2646+הגדרות!$E$9,הגדרות!$E$6)+1))</f>
        <v/>
      </c>
    </row>
    <row r="2647" customFormat="false" ht="15" hidden="false" customHeight="false" outlineLevel="0" collapsed="false">
      <c r="A2647" s="0" t="str">
        <f aca="false">IF('הדבקת לידים'!A2647="","",IF(ISNUMBER('הדבקת לידים'!A2647),IF(הגדרות!$E$2&gt;0,TEXT('הדבקת לידים'!A2647,REPT("0",הגדרות!$E$2)),TEXT('הדבקת לידים'!A2647,"0")),TRIM('הדבקת לידים'!A2647)))</f>
        <v/>
      </c>
      <c r="B2647" s="0" t="str">
        <f aca="false">IF('הדבקת לידים'!B2647="","",IF(ISNUMBER('הדבקת לידים'!B2647),IF(הגדרות!$E$3&gt;0,TEXT('הדבקת לידים'!B2647,REPT("0",הגדרות!$E$3)),TEXT('הדבקת לידים'!B2647,"0")),TRIM('הדבקת לידים'!B2647)))</f>
        <v/>
      </c>
      <c r="C2647" s="0" t="n">
        <f aca="false">IF(OR(A2647&lt;&gt;"",B2647&lt;&gt;""),1,0)</f>
        <v>0</v>
      </c>
      <c r="D2647" s="0" t="str">
        <f aca="false">IF(C2647=1,MOD(ABS(SIN(ROW()*12.9898+'הדבקת לידים'!$F$2*78.233+IFERROR(--RIGHT(A2647,6),LEN(A2647))*0.0137+IFERROR(--RIGHT(B2647,6),LEN(B2647))*0.0071))*43758.5453,1),"")</f>
        <v/>
      </c>
      <c r="E2647" s="0" t="str">
        <f aca="false">IF(C2647=1,INT(MOD(ABS(SIN(D2647*7919.123+ROW()*0.618+'הדבקת לידים'!$F$2*1.3))*43758.5453,1)*1000000)*10000+ROW(),"")</f>
        <v/>
      </c>
      <c r="F2647" s="0" t="str">
        <f aca="false">IF(E2647="","",RANK(E2647,$E$2:$E$5001,1))</f>
        <v/>
      </c>
      <c r="G2647" s="0" t="n">
        <f aca="false">IF(A2647="",0,IF(SUMPRODUCT(--($A$2:$A$5001=A2647))&gt;1,1,0))</f>
        <v>0</v>
      </c>
      <c r="H2647" s="0" t="n">
        <f aca="false">ROW()-1</f>
        <v>2646</v>
      </c>
      <c r="I2647" s="0" t="str">
        <f aca="false">IF(OR(הגדרות!$E$6=0,H2647&gt;הגדרות!$E$5),"",IF(H2647-1&lt;הגדרות!$E$8*(הגדרות!$E$7+1),INT((H2647-1)/(הגדרות!$E$7+1)),הגדרות!$E$8+INT((H2647-1-הגדרות!$E$8*(הגדרות!$E$7+1))/הגדרות!$E$7)))</f>
        <v/>
      </c>
      <c r="J2647" s="0" t="str">
        <f aca="false">IF(I2647="","",IF(H2647-1&lt;הגדרות!$E$8*(הגדרות!$E$7+1),MOD(H2647-1,הגדרות!$E$7+1),MOD(H2647-1-הגדרות!$E$8*(הגדרות!$E$7+1),הגדרות!$E$7)))</f>
        <v/>
      </c>
      <c r="K2647" s="0" t="str">
        <f aca="false">IF(I2647="","",J2647*הגדרות!$E$6+I2647+1)</f>
        <v/>
      </c>
      <c r="L2647" s="0" t="str">
        <f aca="false">IF(K2647="","",MATCH(K2647,$F$2:$F$5001,0))</f>
        <v/>
      </c>
      <c r="M2647" s="0" t="str">
        <f aca="false">IF(I2647="","",INDEX(הגדרות!$A$2:$A$21,MOD(I2647+הגדרות!$E$9,הגדרות!$E$6)+1))</f>
        <v/>
      </c>
    </row>
    <row r="2648" customFormat="false" ht="15" hidden="false" customHeight="false" outlineLevel="0" collapsed="false">
      <c r="A2648" s="0" t="str">
        <f aca="false">IF('הדבקת לידים'!A2648="","",IF(ISNUMBER('הדבקת לידים'!A2648),IF(הגדרות!$E$2&gt;0,TEXT('הדבקת לידים'!A2648,REPT("0",הגדרות!$E$2)),TEXT('הדבקת לידים'!A2648,"0")),TRIM('הדבקת לידים'!A2648)))</f>
        <v/>
      </c>
      <c r="B2648" s="0" t="str">
        <f aca="false">IF('הדבקת לידים'!B2648="","",IF(ISNUMBER('הדבקת לידים'!B2648),IF(הגדרות!$E$3&gt;0,TEXT('הדבקת לידים'!B2648,REPT("0",הגדרות!$E$3)),TEXT('הדבקת לידים'!B2648,"0")),TRIM('הדבקת לידים'!B2648)))</f>
        <v/>
      </c>
      <c r="C2648" s="0" t="n">
        <f aca="false">IF(OR(A2648&lt;&gt;"",B2648&lt;&gt;""),1,0)</f>
        <v>0</v>
      </c>
      <c r="D2648" s="0" t="str">
        <f aca="false">IF(C2648=1,MOD(ABS(SIN(ROW()*12.9898+'הדבקת לידים'!$F$2*78.233+IFERROR(--RIGHT(A2648,6),LEN(A2648))*0.0137+IFERROR(--RIGHT(B2648,6),LEN(B2648))*0.0071))*43758.5453,1),"")</f>
        <v/>
      </c>
      <c r="E2648" s="0" t="str">
        <f aca="false">IF(C2648=1,INT(MOD(ABS(SIN(D2648*7919.123+ROW()*0.618+'הדבקת לידים'!$F$2*1.3))*43758.5453,1)*1000000)*10000+ROW(),"")</f>
        <v/>
      </c>
      <c r="F2648" s="0" t="str">
        <f aca="false">IF(E2648="","",RANK(E2648,$E$2:$E$5001,1))</f>
        <v/>
      </c>
      <c r="G2648" s="0" t="n">
        <f aca="false">IF(A2648="",0,IF(SUMPRODUCT(--($A$2:$A$5001=A2648))&gt;1,1,0))</f>
        <v>0</v>
      </c>
      <c r="H2648" s="0" t="n">
        <f aca="false">ROW()-1</f>
        <v>2647</v>
      </c>
      <c r="I2648" s="0" t="str">
        <f aca="false">IF(OR(הגדרות!$E$6=0,H2648&gt;הגדרות!$E$5),"",IF(H2648-1&lt;הגדרות!$E$8*(הגדרות!$E$7+1),INT((H2648-1)/(הגדרות!$E$7+1)),הגדרות!$E$8+INT((H2648-1-הגדרות!$E$8*(הגדרות!$E$7+1))/הגדרות!$E$7)))</f>
        <v/>
      </c>
      <c r="J2648" s="0" t="str">
        <f aca="false">IF(I2648="","",IF(H2648-1&lt;הגדרות!$E$8*(הגדרות!$E$7+1),MOD(H2648-1,הגדרות!$E$7+1),MOD(H2648-1-הגדרות!$E$8*(הגדרות!$E$7+1),הגדרות!$E$7)))</f>
        <v/>
      </c>
      <c r="K2648" s="0" t="str">
        <f aca="false">IF(I2648="","",J2648*הגדרות!$E$6+I2648+1)</f>
        <v/>
      </c>
      <c r="L2648" s="0" t="str">
        <f aca="false">IF(K2648="","",MATCH(K2648,$F$2:$F$5001,0))</f>
        <v/>
      </c>
      <c r="M2648" s="0" t="str">
        <f aca="false">IF(I2648="","",INDEX(הגדרות!$A$2:$A$21,MOD(I2648+הגדרות!$E$9,הגדרות!$E$6)+1))</f>
        <v/>
      </c>
    </row>
    <row r="2649" customFormat="false" ht="15" hidden="false" customHeight="false" outlineLevel="0" collapsed="false">
      <c r="A2649" s="0" t="str">
        <f aca="false">IF('הדבקת לידים'!A2649="","",IF(ISNUMBER('הדבקת לידים'!A2649),IF(הגדרות!$E$2&gt;0,TEXT('הדבקת לידים'!A2649,REPT("0",הגדרות!$E$2)),TEXT('הדבקת לידים'!A2649,"0")),TRIM('הדבקת לידים'!A2649)))</f>
        <v/>
      </c>
      <c r="B2649" s="0" t="str">
        <f aca="false">IF('הדבקת לידים'!B2649="","",IF(ISNUMBER('הדבקת לידים'!B2649),IF(הגדרות!$E$3&gt;0,TEXT('הדבקת לידים'!B2649,REPT("0",הגדרות!$E$3)),TEXT('הדבקת לידים'!B2649,"0")),TRIM('הדבקת לידים'!B2649)))</f>
        <v/>
      </c>
      <c r="C2649" s="0" t="n">
        <f aca="false">IF(OR(A2649&lt;&gt;"",B2649&lt;&gt;""),1,0)</f>
        <v>0</v>
      </c>
      <c r="D2649" s="0" t="str">
        <f aca="false">IF(C2649=1,MOD(ABS(SIN(ROW()*12.9898+'הדבקת לידים'!$F$2*78.233+IFERROR(--RIGHT(A2649,6),LEN(A2649))*0.0137+IFERROR(--RIGHT(B2649,6),LEN(B2649))*0.0071))*43758.5453,1),"")</f>
        <v/>
      </c>
      <c r="E2649" s="0" t="str">
        <f aca="false">IF(C2649=1,INT(MOD(ABS(SIN(D2649*7919.123+ROW()*0.618+'הדבקת לידים'!$F$2*1.3))*43758.5453,1)*1000000)*10000+ROW(),"")</f>
        <v/>
      </c>
      <c r="F2649" s="0" t="str">
        <f aca="false">IF(E2649="","",RANK(E2649,$E$2:$E$5001,1))</f>
        <v/>
      </c>
      <c r="G2649" s="0" t="n">
        <f aca="false">IF(A2649="",0,IF(SUMPRODUCT(--($A$2:$A$5001=A2649))&gt;1,1,0))</f>
        <v>0</v>
      </c>
      <c r="H2649" s="0" t="n">
        <f aca="false">ROW()-1</f>
        <v>2648</v>
      </c>
      <c r="I2649" s="0" t="str">
        <f aca="false">IF(OR(הגדרות!$E$6=0,H2649&gt;הגדרות!$E$5),"",IF(H2649-1&lt;הגדרות!$E$8*(הגדרות!$E$7+1),INT((H2649-1)/(הגדרות!$E$7+1)),הגדרות!$E$8+INT((H2649-1-הגדרות!$E$8*(הגדרות!$E$7+1))/הגדרות!$E$7)))</f>
        <v/>
      </c>
      <c r="J2649" s="0" t="str">
        <f aca="false">IF(I2649="","",IF(H2649-1&lt;הגדרות!$E$8*(הגדרות!$E$7+1),MOD(H2649-1,הגדרות!$E$7+1),MOD(H2649-1-הגדרות!$E$8*(הגדרות!$E$7+1),הגדרות!$E$7)))</f>
        <v/>
      </c>
      <c r="K2649" s="0" t="str">
        <f aca="false">IF(I2649="","",J2649*הגדרות!$E$6+I2649+1)</f>
        <v/>
      </c>
      <c r="L2649" s="0" t="str">
        <f aca="false">IF(K2649="","",MATCH(K2649,$F$2:$F$5001,0))</f>
        <v/>
      </c>
      <c r="M2649" s="0" t="str">
        <f aca="false">IF(I2649="","",INDEX(הגדרות!$A$2:$A$21,MOD(I2649+הגדרות!$E$9,הגדרות!$E$6)+1))</f>
        <v/>
      </c>
    </row>
    <row r="2650" customFormat="false" ht="15" hidden="false" customHeight="false" outlineLevel="0" collapsed="false">
      <c r="A2650" s="0" t="str">
        <f aca="false">IF('הדבקת לידים'!A2650="","",IF(ISNUMBER('הדבקת לידים'!A2650),IF(הגדרות!$E$2&gt;0,TEXT('הדבקת לידים'!A2650,REPT("0",הגדרות!$E$2)),TEXT('הדבקת לידים'!A2650,"0")),TRIM('הדבקת לידים'!A2650)))</f>
        <v/>
      </c>
      <c r="B2650" s="0" t="str">
        <f aca="false">IF('הדבקת לידים'!B2650="","",IF(ISNUMBER('הדבקת לידים'!B2650),IF(הגדרות!$E$3&gt;0,TEXT('הדבקת לידים'!B2650,REPT("0",הגדרות!$E$3)),TEXT('הדבקת לידים'!B2650,"0")),TRIM('הדבקת לידים'!B2650)))</f>
        <v/>
      </c>
      <c r="C2650" s="0" t="n">
        <f aca="false">IF(OR(A2650&lt;&gt;"",B2650&lt;&gt;""),1,0)</f>
        <v>0</v>
      </c>
      <c r="D2650" s="0" t="str">
        <f aca="false">IF(C2650=1,MOD(ABS(SIN(ROW()*12.9898+'הדבקת לידים'!$F$2*78.233+IFERROR(--RIGHT(A2650,6),LEN(A2650))*0.0137+IFERROR(--RIGHT(B2650,6),LEN(B2650))*0.0071))*43758.5453,1),"")</f>
        <v/>
      </c>
      <c r="E2650" s="0" t="str">
        <f aca="false">IF(C2650=1,INT(MOD(ABS(SIN(D2650*7919.123+ROW()*0.618+'הדבקת לידים'!$F$2*1.3))*43758.5453,1)*1000000)*10000+ROW(),"")</f>
        <v/>
      </c>
      <c r="F2650" s="0" t="str">
        <f aca="false">IF(E2650="","",RANK(E2650,$E$2:$E$5001,1))</f>
        <v/>
      </c>
      <c r="G2650" s="0" t="n">
        <f aca="false">IF(A2650="",0,IF(SUMPRODUCT(--($A$2:$A$5001=A2650))&gt;1,1,0))</f>
        <v>0</v>
      </c>
      <c r="H2650" s="0" t="n">
        <f aca="false">ROW()-1</f>
        <v>2649</v>
      </c>
      <c r="I2650" s="0" t="str">
        <f aca="false">IF(OR(הגדרות!$E$6=0,H2650&gt;הגדרות!$E$5),"",IF(H2650-1&lt;הגדרות!$E$8*(הגדרות!$E$7+1),INT((H2650-1)/(הגדרות!$E$7+1)),הגדרות!$E$8+INT((H2650-1-הגדרות!$E$8*(הגדרות!$E$7+1))/הגדרות!$E$7)))</f>
        <v/>
      </c>
      <c r="J2650" s="0" t="str">
        <f aca="false">IF(I2650="","",IF(H2650-1&lt;הגדרות!$E$8*(הגדרות!$E$7+1),MOD(H2650-1,הגדרות!$E$7+1),MOD(H2650-1-הגדרות!$E$8*(הגדרות!$E$7+1),הגדרות!$E$7)))</f>
        <v/>
      </c>
      <c r="K2650" s="0" t="str">
        <f aca="false">IF(I2650="","",J2650*הגדרות!$E$6+I2650+1)</f>
        <v/>
      </c>
      <c r="L2650" s="0" t="str">
        <f aca="false">IF(K2650="","",MATCH(K2650,$F$2:$F$5001,0))</f>
        <v/>
      </c>
      <c r="M2650" s="0" t="str">
        <f aca="false">IF(I2650="","",INDEX(הגדרות!$A$2:$A$21,MOD(I2650+הגדרות!$E$9,הגדרות!$E$6)+1))</f>
        <v/>
      </c>
    </row>
    <row r="2651" customFormat="false" ht="15" hidden="false" customHeight="false" outlineLevel="0" collapsed="false">
      <c r="A2651" s="0" t="str">
        <f aca="false">IF('הדבקת לידים'!A2651="","",IF(ISNUMBER('הדבקת לידים'!A2651),IF(הגדרות!$E$2&gt;0,TEXT('הדבקת לידים'!A2651,REPT("0",הגדרות!$E$2)),TEXT('הדבקת לידים'!A2651,"0")),TRIM('הדבקת לידים'!A2651)))</f>
        <v/>
      </c>
      <c r="B2651" s="0" t="str">
        <f aca="false">IF('הדבקת לידים'!B2651="","",IF(ISNUMBER('הדבקת לידים'!B2651),IF(הגדרות!$E$3&gt;0,TEXT('הדבקת לידים'!B2651,REPT("0",הגדרות!$E$3)),TEXT('הדבקת לידים'!B2651,"0")),TRIM('הדבקת לידים'!B2651)))</f>
        <v/>
      </c>
      <c r="C2651" s="0" t="n">
        <f aca="false">IF(OR(A2651&lt;&gt;"",B2651&lt;&gt;""),1,0)</f>
        <v>0</v>
      </c>
      <c r="D2651" s="0" t="str">
        <f aca="false">IF(C2651=1,MOD(ABS(SIN(ROW()*12.9898+'הדבקת לידים'!$F$2*78.233+IFERROR(--RIGHT(A2651,6),LEN(A2651))*0.0137+IFERROR(--RIGHT(B2651,6),LEN(B2651))*0.0071))*43758.5453,1),"")</f>
        <v/>
      </c>
      <c r="E2651" s="0" t="str">
        <f aca="false">IF(C2651=1,INT(MOD(ABS(SIN(D2651*7919.123+ROW()*0.618+'הדבקת לידים'!$F$2*1.3))*43758.5453,1)*1000000)*10000+ROW(),"")</f>
        <v/>
      </c>
      <c r="F2651" s="0" t="str">
        <f aca="false">IF(E2651="","",RANK(E2651,$E$2:$E$5001,1))</f>
        <v/>
      </c>
      <c r="G2651" s="0" t="n">
        <f aca="false">IF(A2651="",0,IF(SUMPRODUCT(--($A$2:$A$5001=A2651))&gt;1,1,0))</f>
        <v>0</v>
      </c>
      <c r="H2651" s="0" t="n">
        <f aca="false">ROW()-1</f>
        <v>2650</v>
      </c>
      <c r="I2651" s="0" t="str">
        <f aca="false">IF(OR(הגדרות!$E$6=0,H2651&gt;הגדרות!$E$5),"",IF(H2651-1&lt;הגדרות!$E$8*(הגדרות!$E$7+1),INT((H2651-1)/(הגדרות!$E$7+1)),הגדרות!$E$8+INT((H2651-1-הגדרות!$E$8*(הגדרות!$E$7+1))/הגדרות!$E$7)))</f>
        <v/>
      </c>
      <c r="J2651" s="0" t="str">
        <f aca="false">IF(I2651="","",IF(H2651-1&lt;הגדרות!$E$8*(הגדרות!$E$7+1),MOD(H2651-1,הגדרות!$E$7+1),MOD(H2651-1-הגדרות!$E$8*(הגדרות!$E$7+1),הגדרות!$E$7)))</f>
        <v/>
      </c>
      <c r="K2651" s="0" t="str">
        <f aca="false">IF(I2651="","",J2651*הגדרות!$E$6+I2651+1)</f>
        <v/>
      </c>
      <c r="L2651" s="0" t="str">
        <f aca="false">IF(K2651="","",MATCH(K2651,$F$2:$F$5001,0))</f>
        <v/>
      </c>
      <c r="M2651" s="0" t="str">
        <f aca="false">IF(I2651="","",INDEX(הגדרות!$A$2:$A$21,MOD(I2651+הגדרות!$E$9,הגדרות!$E$6)+1))</f>
        <v/>
      </c>
    </row>
    <row r="2652" customFormat="false" ht="15" hidden="false" customHeight="false" outlineLevel="0" collapsed="false">
      <c r="A2652" s="0" t="str">
        <f aca="false">IF('הדבקת לידים'!A2652="","",IF(ISNUMBER('הדבקת לידים'!A2652),IF(הגדרות!$E$2&gt;0,TEXT('הדבקת לידים'!A2652,REPT("0",הגדרות!$E$2)),TEXT('הדבקת לידים'!A2652,"0")),TRIM('הדבקת לידים'!A2652)))</f>
        <v/>
      </c>
      <c r="B2652" s="0" t="str">
        <f aca="false">IF('הדבקת לידים'!B2652="","",IF(ISNUMBER('הדבקת לידים'!B2652),IF(הגדרות!$E$3&gt;0,TEXT('הדבקת לידים'!B2652,REPT("0",הגדרות!$E$3)),TEXT('הדבקת לידים'!B2652,"0")),TRIM('הדבקת לידים'!B2652)))</f>
        <v/>
      </c>
      <c r="C2652" s="0" t="n">
        <f aca="false">IF(OR(A2652&lt;&gt;"",B2652&lt;&gt;""),1,0)</f>
        <v>0</v>
      </c>
      <c r="D2652" s="0" t="str">
        <f aca="false">IF(C2652=1,MOD(ABS(SIN(ROW()*12.9898+'הדבקת לידים'!$F$2*78.233+IFERROR(--RIGHT(A2652,6),LEN(A2652))*0.0137+IFERROR(--RIGHT(B2652,6),LEN(B2652))*0.0071))*43758.5453,1),"")</f>
        <v/>
      </c>
      <c r="E2652" s="0" t="str">
        <f aca="false">IF(C2652=1,INT(MOD(ABS(SIN(D2652*7919.123+ROW()*0.618+'הדבקת לידים'!$F$2*1.3))*43758.5453,1)*1000000)*10000+ROW(),"")</f>
        <v/>
      </c>
      <c r="F2652" s="0" t="str">
        <f aca="false">IF(E2652="","",RANK(E2652,$E$2:$E$5001,1))</f>
        <v/>
      </c>
      <c r="G2652" s="0" t="n">
        <f aca="false">IF(A2652="",0,IF(SUMPRODUCT(--($A$2:$A$5001=A2652))&gt;1,1,0))</f>
        <v>0</v>
      </c>
      <c r="H2652" s="0" t="n">
        <f aca="false">ROW()-1</f>
        <v>2651</v>
      </c>
      <c r="I2652" s="0" t="str">
        <f aca="false">IF(OR(הגדרות!$E$6=0,H2652&gt;הגדרות!$E$5),"",IF(H2652-1&lt;הגדרות!$E$8*(הגדרות!$E$7+1),INT((H2652-1)/(הגדרות!$E$7+1)),הגדרות!$E$8+INT((H2652-1-הגדרות!$E$8*(הגדרות!$E$7+1))/הגדרות!$E$7)))</f>
        <v/>
      </c>
      <c r="J2652" s="0" t="str">
        <f aca="false">IF(I2652="","",IF(H2652-1&lt;הגדרות!$E$8*(הגדרות!$E$7+1),MOD(H2652-1,הגדרות!$E$7+1),MOD(H2652-1-הגדרות!$E$8*(הגדרות!$E$7+1),הגדרות!$E$7)))</f>
        <v/>
      </c>
      <c r="K2652" s="0" t="str">
        <f aca="false">IF(I2652="","",J2652*הגדרות!$E$6+I2652+1)</f>
        <v/>
      </c>
      <c r="L2652" s="0" t="str">
        <f aca="false">IF(K2652="","",MATCH(K2652,$F$2:$F$5001,0))</f>
        <v/>
      </c>
      <c r="M2652" s="0" t="str">
        <f aca="false">IF(I2652="","",INDEX(הגדרות!$A$2:$A$21,MOD(I2652+הגדרות!$E$9,הגדרות!$E$6)+1))</f>
        <v/>
      </c>
    </row>
    <row r="2653" customFormat="false" ht="15" hidden="false" customHeight="false" outlineLevel="0" collapsed="false">
      <c r="A2653" s="0" t="str">
        <f aca="false">IF('הדבקת לידים'!A2653="","",IF(ISNUMBER('הדבקת לידים'!A2653),IF(הגדרות!$E$2&gt;0,TEXT('הדבקת לידים'!A2653,REPT("0",הגדרות!$E$2)),TEXT('הדבקת לידים'!A2653,"0")),TRIM('הדבקת לידים'!A2653)))</f>
        <v/>
      </c>
      <c r="B2653" s="0" t="str">
        <f aca="false">IF('הדבקת לידים'!B2653="","",IF(ISNUMBER('הדבקת לידים'!B2653),IF(הגדרות!$E$3&gt;0,TEXT('הדבקת לידים'!B2653,REPT("0",הגדרות!$E$3)),TEXT('הדבקת לידים'!B2653,"0")),TRIM('הדבקת לידים'!B2653)))</f>
        <v/>
      </c>
      <c r="C2653" s="0" t="n">
        <f aca="false">IF(OR(A2653&lt;&gt;"",B2653&lt;&gt;""),1,0)</f>
        <v>0</v>
      </c>
      <c r="D2653" s="0" t="str">
        <f aca="false">IF(C2653=1,MOD(ABS(SIN(ROW()*12.9898+'הדבקת לידים'!$F$2*78.233+IFERROR(--RIGHT(A2653,6),LEN(A2653))*0.0137+IFERROR(--RIGHT(B2653,6),LEN(B2653))*0.0071))*43758.5453,1),"")</f>
        <v/>
      </c>
      <c r="E2653" s="0" t="str">
        <f aca="false">IF(C2653=1,INT(MOD(ABS(SIN(D2653*7919.123+ROW()*0.618+'הדבקת לידים'!$F$2*1.3))*43758.5453,1)*1000000)*10000+ROW(),"")</f>
        <v/>
      </c>
      <c r="F2653" s="0" t="str">
        <f aca="false">IF(E2653="","",RANK(E2653,$E$2:$E$5001,1))</f>
        <v/>
      </c>
      <c r="G2653" s="0" t="n">
        <f aca="false">IF(A2653="",0,IF(SUMPRODUCT(--($A$2:$A$5001=A2653))&gt;1,1,0))</f>
        <v>0</v>
      </c>
      <c r="H2653" s="0" t="n">
        <f aca="false">ROW()-1</f>
        <v>2652</v>
      </c>
      <c r="I2653" s="0" t="str">
        <f aca="false">IF(OR(הגדרות!$E$6=0,H2653&gt;הגדרות!$E$5),"",IF(H2653-1&lt;הגדרות!$E$8*(הגדרות!$E$7+1),INT((H2653-1)/(הגדרות!$E$7+1)),הגדרות!$E$8+INT((H2653-1-הגדרות!$E$8*(הגדרות!$E$7+1))/הגדרות!$E$7)))</f>
        <v/>
      </c>
      <c r="J2653" s="0" t="str">
        <f aca="false">IF(I2653="","",IF(H2653-1&lt;הגדרות!$E$8*(הגדרות!$E$7+1),MOD(H2653-1,הגדרות!$E$7+1),MOD(H2653-1-הגדרות!$E$8*(הגדרות!$E$7+1),הגדרות!$E$7)))</f>
        <v/>
      </c>
      <c r="K2653" s="0" t="str">
        <f aca="false">IF(I2653="","",J2653*הגדרות!$E$6+I2653+1)</f>
        <v/>
      </c>
      <c r="L2653" s="0" t="str">
        <f aca="false">IF(K2653="","",MATCH(K2653,$F$2:$F$5001,0))</f>
        <v/>
      </c>
      <c r="M2653" s="0" t="str">
        <f aca="false">IF(I2653="","",INDEX(הגדרות!$A$2:$A$21,MOD(I2653+הגדרות!$E$9,הגדרות!$E$6)+1))</f>
        <v/>
      </c>
    </row>
    <row r="2654" customFormat="false" ht="15" hidden="false" customHeight="false" outlineLevel="0" collapsed="false">
      <c r="A2654" s="0" t="str">
        <f aca="false">IF('הדבקת לידים'!A2654="","",IF(ISNUMBER('הדבקת לידים'!A2654),IF(הגדרות!$E$2&gt;0,TEXT('הדבקת לידים'!A2654,REPT("0",הגדרות!$E$2)),TEXT('הדבקת לידים'!A2654,"0")),TRIM('הדבקת לידים'!A2654)))</f>
        <v/>
      </c>
      <c r="B2654" s="0" t="str">
        <f aca="false">IF('הדבקת לידים'!B2654="","",IF(ISNUMBER('הדבקת לידים'!B2654),IF(הגדרות!$E$3&gt;0,TEXT('הדבקת לידים'!B2654,REPT("0",הגדרות!$E$3)),TEXT('הדבקת לידים'!B2654,"0")),TRIM('הדבקת לידים'!B2654)))</f>
        <v/>
      </c>
      <c r="C2654" s="0" t="n">
        <f aca="false">IF(OR(A2654&lt;&gt;"",B2654&lt;&gt;""),1,0)</f>
        <v>0</v>
      </c>
      <c r="D2654" s="0" t="str">
        <f aca="false">IF(C2654=1,MOD(ABS(SIN(ROW()*12.9898+'הדבקת לידים'!$F$2*78.233+IFERROR(--RIGHT(A2654,6),LEN(A2654))*0.0137+IFERROR(--RIGHT(B2654,6),LEN(B2654))*0.0071))*43758.5453,1),"")</f>
        <v/>
      </c>
      <c r="E2654" s="0" t="str">
        <f aca="false">IF(C2654=1,INT(MOD(ABS(SIN(D2654*7919.123+ROW()*0.618+'הדבקת לידים'!$F$2*1.3))*43758.5453,1)*1000000)*10000+ROW(),"")</f>
        <v/>
      </c>
      <c r="F2654" s="0" t="str">
        <f aca="false">IF(E2654="","",RANK(E2654,$E$2:$E$5001,1))</f>
        <v/>
      </c>
      <c r="G2654" s="0" t="n">
        <f aca="false">IF(A2654="",0,IF(SUMPRODUCT(--($A$2:$A$5001=A2654))&gt;1,1,0))</f>
        <v>0</v>
      </c>
      <c r="H2654" s="0" t="n">
        <f aca="false">ROW()-1</f>
        <v>2653</v>
      </c>
      <c r="I2654" s="0" t="str">
        <f aca="false">IF(OR(הגדרות!$E$6=0,H2654&gt;הגדרות!$E$5),"",IF(H2654-1&lt;הגדרות!$E$8*(הגדרות!$E$7+1),INT((H2654-1)/(הגדרות!$E$7+1)),הגדרות!$E$8+INT((H2654-1-הגדרות!$E$8*(הגדרות!$E$7+1))/הגדרות!$E$7)))</f>
        <v/>
      </c>
      <c r="J2654" s="0" t="str">
        <f aca="false">IF(I2654="","",IF(H2654-1&lt;הגדרות!$E$8*(הגדרות!$E$7+1),MOD(H2654-1,הגדרות!$E$7+1),MOD(H2654-1-הגדרות!$E$8*(הגדרות!$E$7+1),הגדרות!$E$7)))</f>
        <v/>
      </c>
      <c r="K2654" s="0" t="str">
        <f aca="false">IF(I2654="","",J2654*הגדרות!$E$6+I2654+1)</f>
        <v/>
      </c>
      <c r="L2654" s="0" t="str">
        <f aca="false">IF(K2654="","",MATCH(K2654,$F$2:$F$5001,0))</f>
        <v/>
      </c>
      <c r="M2654" s="0" t="str">
        <f aca="false">IF(I2654="","",INDEX(הגדרות!$A$2:$A$21,MOD(I2654+הגדרות!$E$9,הגדרות!$E$6)+1))</f>
        <v/>
      </c>
    </row>
    <row r="2655" customFormat="false" ht="15" hidden="false" customHeight="false" outlineLevel="0" collapsed="false">
      <c r="A2655" s="0" t="str">
        <f aca="false">IF('הדבקת לידים'!A2655="","",IF(ISNUMBER('הדבקת לידים'!A2655),IF(הגדרות!$E$2&gt;0,TEXT('הדבקת לידים'!A2655,REPT("0",הגדרות!$E$2)),TEXT('הדבקת לידים'!A2655,"0")),TRIM('הדבקת לידים'!A2655)))</f>
        <v/>
      </c>
      <c r="B2655" s="0" t="str">
        <f aca="false">IF('הדבקת לידים'!B2655="","",IF(ISNUMBER('הדבקת לידים'!B2655),IF(הגדרות!$E$3&gt;0,TEXT('הדבקת לידים'!B2655,REPT("0",הגדרות!$E$3)),TEXT('הדבקת לידים'!B2655,"0")),TRIM('הדבקת לידים'!B2655)))</f>
        <v/>
      </c>
      <c r="C2655" s="0" t="n">
        <f aca="false">IF(OR(A2655&lt;&gt;"",B2655&lt;&gt;""),1,0)</f>
        <v>0</v>
      </c>
      <c r="D2655" s="0" t="str">
        <f aca="false">IF(C2655=1,MOD(ABS(SIN(ROW()*12.9898+'הדבקת לידים'!$F$2*78.233+IFERROR(--RIGHT(A2655,6),LEN(A2655))*0.0137+IFERROR(--RIGHT(B2655,6),LEN(B2655))*0.0071))*43758.5453,1),"")</f>
        <v/>
      </c>
      <c r="E2655" s="0" t="str">
        <f aca="false">IF(C2655=1,INT(MOD(ABS(SIN(D2655*7919.123+ROW()*0.618+'הדבקת לידים'!$F$2*1.3))*43758.5453,1)*1000000)*10000+ROW(),"")</f>
        <v/>
      </c>
      <c r="F2655" s="0" t="str">
        <f aca="false">IF(E2655="","",RANK(E2655,$E$2:$E$5001,1))</f>
        <v/>
      </c>
      <c r="G2655" s="0" t="n">
        <f aca="false">IF(A2655="",0,IF(SUMPRODUCT(--($A$2:$A$5001=A2655))&gt;1,1,0))</f>
        <v>0</v>
      </c>
      <c r="H2655" s="0" t="n">
        <f aca="false">ROW()-1</f>
        <v>2654</v>
      </c>
      <c r="I2655" s="0" t="str">
        <f aca="false">IF(OR(הגדרות!$E$6=0,H2655&gt;הגדרות!$E$5),"",IF(H2655-1&lt;הגדרות!$E$8*(הגדרות!$E$7+1),INT((H2655-1)/(הגדרות!$E$7+1)),הגדרות!$E$8+INT((H2655-1-הגדרות!$E$8*(הגדרות!$E$7+1))/הגדרות!$E$7)))</f>
        <v/>
      </c>
      <c r="J2655" s="0" t="str">
        <f aca="false">IF(I2655="","",IF(H2655-1&lt;הגדרות!$E$8*(הגדרות!$E$7+1),MOD(H2655-1,הגדרות!$E$7+1),MOD(H2655-1-הגדרות!$E$8*(הגדרות!$E$7+1),הגדרות!$E$7)))</f>
        <v/>
      </c>
      <c r="K2655" s="0" t="str">
        <f aca="false">IF(I2655="","",J2655*הגדרות!$E$6+I2655+1)</f>
        <v/>
      </c>
      <c r="L2655" s="0" t="str">
        <f aca="false">IF(K2655="","",MATCH(K2655,$F$2:$F$5001,0))</f>
        <v/>
      </c>
      <c r="M2655" s="0" t="str">
        <f aca="false">IF(I2655="","",INDEX(הגדרות!$A$2:$A$21,MOD(I2655+הגדרות!$E$9,הגדרות!$E$6)+1))</f>
        <v/>
      </c>
    </row>
    <row r="2656" customFormat="false" ht="15" hidden="false" customHeight="false" outlineLevel="0" collapsed="false">
      <c r="A2656" s="0" t="str">
        <f aca="false">IF('הדבקת לידים'!A2656="","",IF(ISNUMBER('הדבקת לידים'!A2656),IF(הגדרות!$E$2&gt;0,TEXT('הדבקת לידים'!A2656,REPT("0",הגדרות!$E$2)),TEXT('הדבקת לידים'!A2656,"0")),TRIM('הדבקת לידים'!A2656)))</f>
        <v/>
      </c>
      <c r="B2656" s="0" t="str">
        <f aca="false">IF('הדבקת לידים'!B2656="","",IF(ISNUMBER('הדבקת לידים'!B2656),IF(הגדרות!$E$3&gt;0,TEXT('הדבקת לידים'!B2656,REPT("0",הגדרות!$E$3)),TEXT('הדבקת לידים'!B2656,"0")),TRIM('הדבקת לידים'!B2656)))</f>
        <v/>
      </c>
      <c r="C2656" s="0" t="n">
        <f aca="false">IF(OR(A2656&lt;&gt;"",B2656&lt;&gt;""),1,0)</f>
        <v>0</v>
      </c>
      <c r="D2656" s="0" t="str">
        <f aca="false">IF(C2656=1,MOD(ABS(SIN(ROW()*12.9898+'הדבקת לידים'!$F$2*78.233+IFERROR(--RIGHT(A2656,6),LEN(A2656))*0.0137+IFERROR(--RIGHT(B2656,6),LEN(B2656))*0.0071))*43758.5453,1),"")</f>
        <v/>
      </c>
      <c r="E2656" s="0" t="str">
        <f aca="false">IF(C2656=1,INT(MOD(ABS(SIN(D2656*7919.123+ROW()*0.618+'הדבקת לידים'!$F$2*1.3))*43758.5453,1)*1000000)*10000+ROW(),"")</f>
        <v/>
      </c>
      <c r="F2656" s="0" t="str">
        <f aca="false">IF(E2656="","",RANK(E2656,$E$2:$E$5001,1))</f>
        <v/>
      </c>
      <c r="G2656" s="0" t="n">
        <f aca="false">IF(A2656="",0,IF(SUMPRODUCT(--($A$2:$A$5001=A2656))&gt;1,1,0))</f>
        <v>0</v>
      </c>
      <c r="H2656" s="0" t="n">
        <f aca="false">ROW()-1</f>
        <v>2655</v>
      </c>
      <c r="I2656" s="0" t="str">
        <f aca="false">IF(OR(הגדרות!$E$6=0,H2656&gt;הגדרות!$E$5),"",IF(H2656-1&lt;הגדרות!$E$8*(הגדרות!$E$7+1),INT((H2656-1)/(הגדרות!$E$7+1)),הגדרות!$E$8+INT((H2656-1-הגדרות!$E$8*(הגדרות!$E$7+1))/הגדרות!$E$7)))</f>
        <v/>
      </c>
      <c r="J2656" s="0" t="str">
        <f aca="false">IF(I2656="","",IF(H2656-1&lt;הגדרות!$E$8*(הגדרות!$E$7+1),MOD(H2656-1,הגדרות!$E$7+1),MOD(H2656-1-הגדרות!$E$8*(הגדרות!$E$7+1),הגדרות!$E$7)))</f>
        <v/>
      </c>
      <c r="K2656" s="0" t="str">
        <f aca="false">IF(I2656="","",J2656*הגדרות!$E$6+I2656+1)</f>
        <v/>
      </c>
      <c r="L2656" s="0" t="str">
        <f aca="false">IF(K2656="","",MATCH(K2656,$F$2:$F$5001,0))</f>
        <v/>
      </c>
      <c r="M2656" s="0" t="str">
        <f aca="false">IF(I2656="","",INDEX(הגדרות!$A$2:$A$21,MOD(I2656+הגדרות!$E$9,הגדרות!$E$6)+1))</f>
        <v/>
      </c>
    </row>
    <row r="2657" customFormat="false" ht="15" hidden="false" customHeight="false" outlineLevel="0" collapsed="false">
      <c r="A2657" s="0" t="str">
        <f aca="false">IF('הדבקת לידים'!A2657="","",IF(ISNUMBER('הדבקת לידים'!A2657),IF(הגדרות!$E$2&gt;0,TEXT('הדבקת לידים'!A2657,REPT("0",הגדרות!$E$2)),TEXT('הדבקת לידים'!A2657,"0")),TRIM('הדבקת לידים'!A2657)))</f>
        <v/>
      </c>
      <c r="B2657" s="0" t="str">
        <f aca="false">IF('הדבקת לידים'!B2657="","",IF(ISNUMBER('הדבקת לידים'!B2657),IF(הגדרות!$E$3&gt;0,TEXT('הדבקת לידים'!B2657,REPT("0",הגדרות!$E$3)),TEXT('הדבקת לידים'!B2657,"0")),TRIM('הדבקת לידים'!B2657)))</f>
        <v/>
      </c>
      <c r="C2657" s="0" t="n">
        <f aca="false">IF(OR(A2657&lt;&gt;"",B2657&lt;&gt;""),1,0)</f>
        <v>0</v>
      </c>
      <c r="D2657" s="0" t="str">
        <f aca="false">IF(C2657=1,MOD(ABS(SIN(ROW()*12.9898+'הדבקת לידים'!$F$2*78.233+IFERROR(--RIGHT(A2657,6),LEN(A2657))*0.0137+IFERROR(--RIGHT(B2657,6),LEN(B2657))*0.0071))*43758.5453,1),"")</f>
        <v/>
      </c>
      <c r="E2657" s="0" t="str">
        <f aca="false">IF(C2657=1,INT(MOD(ABS(SIN(D2657*7919.123+ROW()*0.618+'הדבקת לידים'!$F$2*1.3))*43758.5453,1)*1000000)*10000+ROW(),"")</f>
        <v/>
      </c>
      <c r="F2657" s="0" t="str">
        <f aca="false">IF(E2657="","",RANK(E2657,$E$2:$E$5001,1))</f>
        <v/>
      </c>
      <c r="G2657" s="0" t="n">
        <f aca="false">IF(A2657="",0,IF(SUMPRODUCT(--($A$2:$A$5001=A2657))&gt;1,1,0))</f>
        <v>0</v>
      </c>
      <c r="H2657" s="0" t="n">
        <f aca="false">ROW()-1</f>
        <v>2656</v>
      </c>
      <c r="I2657" s="0" t="str">
        <f aca="false">IF(OR(הגדרות!$E$6=0,H2657&gt;הגדרות!$E$5),"",IF(H2657-1&lt;הגדרות!$E$8*(הגדרות!$E$7+1),INT((H2657-1)/(הגדרות!$E$7+1)),הגדרות!$E$8+INT((H2657-1-הגדרות!$E$8*(הגדרות!$E$7+1))/הגדרות!$E$7)))</f>
        <v/>
      </c>
      <c r="J2657" s="0" t="str">
        <f aca="false">IF(I2657="","",IF(H2657-1&lt;הגדרות!$E$8*(הגדרות!$E$7+1),MOD(H2657-1,הגדרות!$E$7+1),MOD(H2657-1-הגדרות!$E$8*(הגדרות!$E$7+1),הגדרות!$E$7)))</f>
        <v/>
      </c>
      <c r="K2657" s="0" t="str">
        <f aca="false">IF(I2657="","",J2657*הגדרות!$E$6+I2657+1)</f>
        <v/>
      </c>
      <c r="L2657" s="0" t="str">
        <f aca="false">IF(K2657="","",MATCH(K2657,$F$2:$F$5001,0))</f>
        <v/>
      </c>
      <c r="M2657" s="0" t="str">
        <f aca="false">IF(I2657="","",INDEX(הגדרות!$A$2:$A$21,MOD(I2657+הגדרות!$E$9,הגדרות!$E$6)+1))</f>
        <v/>
      </c>
    </row>
    <row r="2658" customFormat="false" ht="15" hidden="false" customHeight="false" outlineLevel="0" collapsed="false">
      <c r="A2658" s="0" t="str">
        <f aca="false">IF('הדבקת לידים'!A2658="","",IF(ISNUMBER('הדבקת לידים'!A2658),IF(הגדרות!$E$2&gt;0,TEXT('הדבקת לידים'!A2658,REPT("0",הגדרות!$E$2)),TEXT('הדבקת לידים'!A2658,"0")),TRIM('הדבקת לידים'!A2658)))</f>
        <v/>
      </c>
      <c r="B2658" s="0" t="str">
        <f aca="false">IF('הדבקת לידים'!B2658="","",IF(ISNUMBER('הדבקת לידים'!B2658),IF(הגדרות!$E$3&gt;0,TEXT('הדבקת לידים'!B2658,REPT("0",הגדרות!$E$3)),TEXT('הדבקת לידים'!B2658,"0")),TRIM('הדבקת לידים'!B2658)))</f>
        <v/>
      </c>
      <c r="C2658" s="0" t="n">
        <f aca="false">IF(OR(A2658&lt;&gt;"",B2658&lt;&gt;""),1,0)</f>
        <v>0</v>
      </c>
      <c r="D2658" s="0" t="str">
        <f aca="false">IF(C2658=1,MOD(ABS(SIN(ROW()*12.9898+'הדבקת לידים'!$F$2*78.233+IFERROR(--RIGHT(A2658,6),LEN(A2658))*0.0137+IFERROR(--RIGHT(B2658,6),LEN(B2658))*0.0071))*43758.5453,1),"")</f>
        <v/>
      </c>
      <c r="E2658" s="0" t="str">
        <f aca="false">IF(C2658=1,INT(MOD(ABS(SIN(D2658*7919.123+ROW()*0.618+'הדבקת לידים'!$F$2*1.3))*43758.5453,1)*1000000)*10000+ROW(),"")</f>
        <v/>
      </c>
      <c r="F2658" s="0" t="str">
        <f aca="false">IF(E2658="","",RANK(E2658,$E$2:$E$5001,1))</f>
        <v/>
      </c>
      <c r="G2658" s="0" t="n">
        <f aca="false">IF(A2658="",0,IF(SUMPRODUCT(--($A$2:$A$5001=A2658))&gt;1,1,0))</f>
        <v>0</v>
      </c>
      <c r="H2658" s="0" t="n">
        <f aca="false">ROW()-1</f>
        <v>2657</v>
      </c>
      <c r="I2658" s="0" t="str">
        <f aca="false">IF(OR(הגדרות!$E$6=0,H2658&gt;הגדרות!$E$5),"",IF(H2658-1&lt;הגדרות!$E$8*(הגדרות!$E$7+1),INT((H2658-1)/(הגדרות!$E$7+1)),הגדרות!$E$8+INT((H2658-1-הגדרות!$E$8*(הגדרות!$E$7+1))/הגדרות!$E$7)))</f>
        <v/>
      </c>
      <c r="J2658" s="0" t="str">
        <f aca="false">IF(I2658="","",IF(H2658-1&lt;הגדרות!$E$8*(הגדרות!$E$7+1),MOD(H2658-1,הגדרות!$E$7+1),MOD(H2658-1-הגדרות!$E$8*(הגדרות!$E$7+1),הגדרות!$E$7)))</f>
        <v/>
      </c>
      <c r="K2658" s="0" t="str">
        <f aca="false">IF(I2658="","",J2658*הגדרות!$E$6+I2658+1)</f>
        <v/>
      </c>
      <c r="L2658" s="0" t="str">
        <f aca="false">IF(K2658="","",MATCH(K2658,$F$2:$F$5001,0))</f>
        <v/>
      </c>
      <c r="M2658" s="0" t="str">
        <f aca="false">IF(I2658="","",INDEX(הגדרות!$A$2:$A$21,MOD(I2658+הגדרות!$E$9,הגדרות!$E$6)+1))</f>
        <v/>
      </c>
    </row>
    <row r="2659" customFormat="false" ht="15" hidden="false" customHeight="false" outlineLevel="0" collapsed="false">
      <c r="A2659" s="0" t="str">
        <f aca="false">IF('הדבקת לידים'!A2659="","",IF(ISNUMBER('הדבקת לידים'!A2659),IF(הגדרות!$E$2&gt;0,TEXT('הדבקת לידים'!A2659,REPT("0",הגדרות!$E$2)),TEXT('הדבקת לידים'!A2659,"0")),TRIM('הדבקת לידים'!A2659)))</f>
        <v/>
      </c>
      <c r="B2659" s="0" t="str">
        <f aca="false">IF('הדבקת לידים'!B2659="","",IF(ISNUMBER('הדבקת לידים'!B2659),IF(הגדרות!$E$3&gt;0,TEXT('הדבקת לידים'!B2659,REPT("0",הגדרות!$E$3)),TEXT('הדבקת לידים'!B2659,"0")),TRIM('הדבקת לידים'!B2659)))</f>
        <v/>
      </c>
      <c r="C2659" s="0" t="n">
        <f aca="false">IF(OR(A2659&lt;&gt;"",B2659&lt;&gt;""),1,0)</f>
        <v>0</v>
      </c>
      <c r="D2659" s="0" t="str">
        <f aca="false">IF(C2659=1,MOD(ABS(SIN(ROW()*12.9898+'הדבקת לידים'!$F$2*78.233+IFERROR(--RIGHT(A2659,6),LEN(A2659))*0.0137+IFERROR(--RIGHT(B2659,6),LEN(B2659))*0.0071))*43758.5453,1),"")</f>
        <v/>
      </c>
      <c r="E2659" s="0" t="str">
        <f aca="false">IF(C2659=1,INT(MOD(ABS(SIN(D2659*7919.123+ROW()*0.618+'הדבקת לידים'!$F$2*1.3))*43758.5453,1)*1000000)*10000+ROW(),"")</f>
        <v/>
      </c>
      <c r="F2659" s="0" t="str">
        <f aca="false">IF(E2659="","",RANK(E2659,$E$2:$E$5001,1))</f>
        <v/>
      </c>
      <c r="G2659" s="0" t="n">
        <f aca="false">IF(A2659="",0,IF(SUMPRODUCT(--($A$2:$A$5001=A2659))&gt;1,1,0))</f>
        <v>0</v>
      </c>
      <c r="H2659" s="0" t="n">
        <f aca="false">ROW()-1</f>
        <v>2658</v>
      </c>
      <c r="I2659" s="0" t="str">
        <f aca="false">IF(OR(הגדרות!$E$6=0,H2659&gt;הגדרות!$E$5),"",IF(H2659-1&lt;הגדרות!$E$8*(הגדרות!$E$7+1),INT((H2659-1)/(הגדרות!$E$7+1)),הגדרות!$E$8+INT((H2659-1-הגדרות!$E$8*(הגדרות!$E$7+1))/הגדרות!$E$7)))</f>
        <v/>
      </c>
      <c r="J2659" s="0" t="str">
        <f aca="false">IF(I2659="","",IF(H2659-1&lt;הגדרות!$E$8*(הגדרות!$E$7+1),MOD(H2659-1,הגדרות!$E$7+1),MOD(H2659-1-הגדרות!$E$8*(הגדרות!$E$7+1),הגדרות!$E$7)))</f>
        <v/>
      </c>
      <c r="K2659" s="0" t="str">
        <f aca="false">IF(I2659="","",J2659*הגדרות!$E$6+I2659+1)</f>
        <v/>
      </c>
      <c r="L2659" s="0" t="str">
        <f aca="false">IF(K2659="","",MATCH(K2659,$F$2:$F$5001,0))</f>
        <v/>
      </c>
      <c r="M2659" s="0" t="str">
        <f aca="false">IF(I2659="","",INDEX(הגדרות!$A$2:$A$21,MOD(I2659+הגדרות!$E$9,הגדרות!$E$6)+1))</f>
        <v/>
      </c>
    </row>
    <row r="2660" customFormat="false" ht="15" hidden="false" customHeight="false" outlineLevel="0" collapsed="false">
      <c r="A2660" s="0" t="str">
        <f aca="false">IF('הדבקת לידים'!A2660="","",IF(ISNUMBER('הדבקת לידים'!A2660),IF(הגדרות!$E$2&gt;0,TEXT('הדבקת לידים'!A2660,REPT("0",הגדרות!$E$2)),TEXT('הדבקת לידים'!A2660,"0")),TRIM('הדבקת לידים'!A2660)))</f>
        <v/>
      </c>
      <c r="B2660" s="0" t="str">
        <f aca="false">IF('הדבקת לידים'!B2660="","",IF(ISNUMBER('הדבקת לידים'!B2660),IF(הגדרות!$E$3&gt;0,TEXT('הדבקת לידים'!B2660,REPT("0",הגדרות!$E$3)),TEXT('הדבקת לידים'!B2660,"0")),TRIM('הדבקת לידים'!B2660)))</f>
        <v/>
      </c>
      <c r="C2660" s="0" t="n">
        <f aca="false">IF(OR(A2660&lt;&gt;"",B2660&lt;&gt;""),1,0)</f>
        <v>0</v>
      </c>
      <c r="D2660" s="0" t="str">
        <f aca="false">IF(C2660=1,MOD(ABS(SIN(ROW()*12.9898+'הדבקת לידים'!$F$2*78.233+IFERROR(--RIGHT(A2660,6),LEN(A2660))*0.0137+IFERROR(--RIGHT(B2660,6),LEN(B2660))*0.0071))*43758.5453,1),"")</f>
        <v/>
      </c>
      <c r="E2660" s="0" t="str">
        <f aca="false">IF(C2660=1,INT(MOD(ABS(SIN(D2660*7919.123+ROW()*0.618+'הדבקת לידים'!$F$2*1.3))*43758.5453,1)*1000000)*10000+ROW(),"")</f>
        <v/>
      </c>
      <c r="F2660" s="0" t="str">
        <f aca="false">IF(E2660="","",RANK(E2660,$E$2:$E$5001,1))</f>
        <v/>
      </c>
      <c r="G2660" s="0" t="n">
        <f aca="false">IF(A2660="",0,IF(SUMPRODUCT(--($A$2:$A$5001=A2660))&gt;1,1,0))</f>
        <v>0</v>
      </c>
      <c r="H2660" s="0" t="n">
        <f aca="false">ROW()-1</f>
        <v>2659</v>
      </c>
      <c r="I2660" s="0" t="str">
        <f aca="false">IF(OR(הגדרות!$E$6=0,H2660&gt;הגדרות!$E$5),"",IF(H2660-1&lt;הגדרות!$E$8*(הגדרות!$E$7+1),INT((H2660-1)/(הגדרות!$E$7+1)),הגדרות!$E$8+INT((H2660-1-הגדרות!$E$8*(הגדרות!$E$7+1))/הגדרות!$E$7)))</f>
        <v/>
      </c>
      <c r="J2660" s="0" t="str">
        <f aca="false">IF(I2660="","",IF(H2660-1&lt;הגדרות!$E$8*(הגדרות!$E$7+1),MOD(H2660-1,הגדרות!$E$7+1),MOD(H2660-1-הגדרות!$E$8*(הגדרות!$E$7+1),הגדרות!$E$7)))</f>
        <v/>
      </c>
      <c r="K2660" s="0" t="str">
        <f aca="false">IF(I2660="","",J2660*הגדרות!$E$6+I2660+1)</f>
        <v/>
      </c>
      <c r="L2660" s="0" t="str">
        <f aca="false">IF(K2660="","",MATCH(K2660,$F$2:$F$5001,0))</f>
        <v/>
      </c>
      <c r="M2660" s="0" t="str">
        <f aca="false">IF(I2660="","",INDEX(הגדרות!$A$2:$A$21,MOD(I2660+הגדרות!$E$9,הגדרות!$E$6)+1))</f>
        <v/>
      </c>
    </row>
    <row r="2661" customFormat="false" ht="15" hidden="false" customHeight="false" outlineLevel="0" collapsed="false">
      <c r="A2661" s="0" t="str">
        <f aca="false">IF('הדבקת לידים'!A2661="","",IF(ISNUMBER('הדבקת לידים'!A2661),IF(הגדרות!$E$2&gt;0,TEXT('הדבקת לידים'!A2661,REPT("0",הגדרות!$E$2)),TEXT('הדבקת לידים'!A2661,"0")),TRIM('הדבקת לידים'!A2661)))</f>
        <v/>
      </c>
      <c r="B2661" s="0" t="str">
        <f aca="false">IF('הדבקת לידים'!B2661="","",IF(ISNUMBER('הדבקת לידים'!B2661),IF(הגדרות!$E$3&gt;0,TEXT('הדבקת לידים'!B2661,REPT("0",הגדרות!$E$3)),TEXT('הדבקת לידים'!B2661,"0")),TRIM('הדבקת לידים'!B2661)))</f>
        <v/>
      </c>
      <c r="C2661" s="0" t="n">
        <f aca="false">IF(OR(A2661&lt;&gt;"",B2661&lt;&gt;""),1,0)</f>
        <v>0</v>
      </c>
      <c r="D2661" s="0" t="str">
        <f aca="false">IF(C2661=1,MOD(ABS(SIN(ROW()*12.9898+'הדבקת לידים'!$F$2*78.233+IFERROR(--RIGHT(A2661,6),LEN(A2661))*0.0137+IFERROR(--RIGHT(B2661,6),LEN(B2661))*0.0071))*43758.5453,1),"")</f>
        <v/>
      </c>
      <c r="E2661" s="0" t="str">
        <f aca="false">IF(C2661=1,INT(MOD(ABS(SIN(D2661*7919.123+ROW()*0.618+'הדבקת לידים'!$F$2*1.3))*43758.5453,1)*1000000)*10000+ROW(),"")</f>
        <v/>
      </c>
      <c r="F2661" s="0" t="str">
        <f aca="false">IF(E2661="","",RANK(E2661,$E$2:$E$5001,1))</f>
        <v/>
      </c>
      <c r="G2661" s="0" t="n">
        <f aca="false">IF(A2661="",0,IF(SUMPRODUCT(--($A$2:$A$5001=A2661))&gt;1,1,0))</f>
        <v>0</v>
      </c>
      <c r="H2661" s="0" t="n">
        <f aca="false">ROW()-1</f>
        <v>2660</v>
      </c>
      <c r="I2661" s="0" t="str">
        <f aca="false">IF(OR(הגדרות!$E$6=0,H2661&gt;הגדרות!$E$5),"",IF(H2661-1&lt;הגדרות!$E$8*(הגדרות!$E$7+1),INT((H2661-1)/(הגדרות!$E$7+1)),הגדרות!$E$8+INT((H2661-1-הגדרות!$E$8*(הגדרות!$E$7+1))/הגדרות!$E$7)))</f>
        <v/>
      </c>
      <c r="J2661" s="0" t="str">
        <f aca="false">IF(I2661="","",IF(H2661-1&lt;הגדרות!$E$8*(הגדרות!$E$7+1),MOD(H2661-1,הגדרות!$E$7+1),MOD(H2661-1-הגדרות!$E$8*(הגדרות!$E$7+1),הגדרות!$E$7)))</f>
        <v/>
      </c>
      <c r="K2661" s="0" t="str">
        <f aca="false">IF(I2661="","",J2661*הגדרות!$E$6+I2661+1)</f>
        <v/>
      </c>
      <c r="L2661" s="0" t="str">
        <f aca="false">IF(K2661="","",MATCH(K2661,$F$2:$F$5001,0))</f>
        <v/>
      </c>
      <c r="M2661" s="0" t="str">
        <f aca="false">IF(I2661="","",INDEX(הגדרות!$A$2:$A$21,MOD(I2661+הגדרות!$E$9,הגדרות!$E$6)+1))</f>
        <v/>
      </c>
    </row>
    <row r="2662" customFormat="false" ht="15" hidden="false" customHeight="false" outlineLevel="0" collapsed="false">
      <c r="A2662" s="0" t="str">
        <f aca="false">IF('הדבקת לידים'!A2662="","",IF(ISNUMBER('הדבקת לידים'!A2662),IF(הגדרות!$E$2&gt;0,TEXT('הדבקת לידים'!A2662,REPT("0",הגדרות!$E$2)),TEXT('הדבקת לידים'!A2662,"0")),TRIM('הדבקת לידים'!A2662)))</f>
        <v/>
      </c>
      <c r="B2662" s="0" t="str">
        <f aca="false">IF('הדבקת לידים'!B2662="","",IF(ISNUMBER('הדבקת לידים'!B2662),IF(הגדרות!$E$3&gt;0,TEXT('הדבקת לידים'!B2662,REPT("0",הגדרות!$E$3)),TEXT('הדבקת לידים'!B2662,"0")),TRIM('הדבקת לידים'!B2662)))</f>
        <v/>
      </c>
      <c r="C2662" s="0" t="n">
        <f aca="false">IF(OR(A2662&lt;&gt;"",B2662&lt;&gt;""),1,0)</f>
        <v>0</v>
      </c>
      <c r="D2662" s="0" t="str">
        <f aca="false">IF(C2662=1,MOD(ABS(SIN(ROW()*12.9898+'הדבקת לידים'!$F$2*78.233+IFERROR(--RIGHT(A2662,6),LEN(A2662))*0.0137+IFERROR(--RIGHT(B2662,6),LEN(B2662))*0.0071))*43758.5453,1),"")</f>
        <v/>
      </c>
      <c r="E2662" s="0" t="str">
        <f aca="false">IF(C2662=1,INT(MOD(ABS(SIN(D2662*7919.123+ROW()*0.618+'הדבקת לידים'!$F$2*1.3))*43758.5453,1)*1000000)*10000+ROW(),"")</f>
        <v/>
      </c>
      <c r="F2662" s="0" t="str">
        <f aca="false">IF(E2662="","",RANK(E2662,$E$2:$E$5001,1))</f>
        <v/>
      </c>
      <c r="G2662" s="0" t="n">
        <f aca="false">IF(A2662="",0,IF(SUMPRODUCT(--($A$2:$A$5001=A2662))&gt;1,1,0))</f>
        <v>0</v>
      </c>
      <c r="H2662" s="0" t="n">
        <f aca="false">ROW()-1</f>
        <v>2661</v>
      </c>
      <c r="I2662" s="0" t="str">
        <f aca="false">IF(OR(הגדרות!$E$6=0,H2662&gt;הגדרות!$E$5),"",IF(H2662-1&lt;הגדרות!$E$8*(הגדרות!$E$7+1),INT((H2662-1)/(הגדרות!$E$7+1)),הגדרות!$E$8+INT((H2662-1-הגדרות!$E$8*(הגדרות!$E$7+1))/הגדרות!$E$7)))</f>
        <v/>
      </c>
      <c r="J2662" s="0" t="str">
        <f aca="false">IF(I2662="","",IF(H2662-1&lt;הגדרות!$E$8*(הגדרות!$E$7+1),MOD(H2662-1,הגדרות!$E$7+1),MOD(H2662-1-הגדרות!$E$8*(הגדרות!$E$7+1),הגדרות!$E$7)))</f>
        <v/>
      </c>
      <c r="K2662" s="0" t="str">
        <f aca="false">IF(I2662="","",J2662*הגדרות!$E$6+I2662+1)</f>
        <v/>
      </c>
      <c r="L2662" s="0" t="str">
        <f aca="false">IF(K2662="","",MATCH(K2662,$F$2:$F$5001,0))</f>
        <v/>
      </c>
      <c r="M2662" s="0" t="str">
        <f aca="false">IF(I2662="","",INDEX(הגדרות!$A$2:$A$21,MOD(I2662+הגדרות!$E$9,הגדרות!$E$6)+1))</f>
        <v/>
      </c>
    </row>
    <row r="2663" customFormat="false" ht="15" hidden="false" customHeight="false" outlineLevel="0" collapsed="false">
      <c r="A2663" s="0" t="str">
        <f aca="false">IF('הדבקת לידים'!A2663="","",IF(ISNUMBER('הדבקת לידים'!A2663),IF(הגדרות!$E$2&gt;0,TEXT('הדבקת לידים'!A2663,REPT("0",הגדרות!$E$2)),TEXT('הדבקת לידים'!A2663,"0")),TRIM('הדבקת לידים'!A2663)))</f>
        <v/>
      </c>
      <c r="B2663" s="0" t="str">
        <f aca="false">IF('הדבקת לידים'!B2663="","",IF(ISNUMBER('הדבקת לידים'!B2663),IF(הגדרות!$E$3&gt;0,TEXT('הדבקת לידים'!B2663,REPT("0",הגדרות!$E$3)),TEXT('הדבקת לידים'!B2663,"0")),TRIM('הדבקת לידים'!B2663)))</f>
        <v/>
      </c>
      <c r="C2663" s="0" t="n">
        <f aca="false">IF(OR(A2663&lt;&gt;"",B2663&lt;&gt;""),1,0)</f>
        <v>0</v>
      </c>
      <c r="D2663" s="0" t="str">
        <f aca="false">IF(C2663=1,MOD(ABS(SIN(ROW()*12.9898+'הדבקת לידים'!$F$2*78.233+IFERROR(--RIGHT(A2663,6),LEN(A2663))*0.0137+IFERROR(--RIGHT(B2663,6),LEN(B2663))*0.0071))*43758.5453,1),"")</f>
        <v/>
      </c>
      <c r="E2663" s="0" t="str">
        <f aca="false">IF(C2663=1,INT(MOD(ABS(SIN(D2663*7919.123+ROW()*0.618+'הדבקת לידים'!$F$2*1.3))*43758.5453,1)*1000000)*10000+ROW(),"")</f>
        <v/>
      </c>
      <c r="F2663" s="0" t="str">
        <f aca="false">IF(E2663="","",RANK(E2663,$E$2:$E$5001,1))</f>
        <v/>
      </c>
      <c r="G2663" s="0" t="n">
        <f aca="false">IF(A2663="",0,IF(SUMPRODUCT(--($A$2:$A$5001=A2663))&gt;1,1,0))</f>
        <v>0</v>
      </c>
      <c r="H2663" s="0" t="n">
        <f aca="false">ROW()-1</f>
        <v>2662</v>
      </c>
      <c r="I2663" s="0" t="str">
        <f aca="false">IF(OR(הגדרות!$E$6=0,H2663&gt;הגדרות!$E$5),"",IF(H2663-1&lt;הגדרות!$E$8*(הגדרות!$E$7+1),INT((H2663-1)/(הגדרות!$E$7+1)),הגדרות!$E$8+INT((H2663-1-הגדרות!$E$8*(הגדרות!$E$7+1))/הגדרות!$E$7)))</f>
        <v/>
      </c>
      <c r="J2663" s="0" t="str">
        <f aca="false">IF(I2663="","",IF(H2663-1&lt;הגדרות!$E$8*(הגדרות!$E$7+1),MOD(H2663-1,הגדרות!$E$7+1),MOD(H2663-1-הגדרות!$E$8*(הגדרות!$E$7+1),הגדרות!$E$7)))</f>
        <v/>
      </c>
      <c r="K2663" s="0" t="str">
        <f aca="false">IF(I2663="","",J2663*הגדרות!$E$6+I2663+1)</f>
        <v/>
      </c>
      <c r="L2663" s="0" t="str">
        <f aca="false">IF(K2663="","",MATCH(K2663,$F$2:$F$5001,0))</f>
        <v/>
      </c>
      <c r="M2663" s="0" t="str">
        <f aca="false">IF(I2663="","",INDEX(הגדרות!$A$2:$A$21,MOD(I2663+הגדרות!$E$9,הגדרות!$E$6)+1))</f>
        <v/>
      </c>
    </row>
    <row r="2664" customFormat="false" ht="15" hidden="false" customHeight="false" outlineLevel="0" collapsed="false">
      <c r="A2664" s="0" t="str">
        <f aca="false">IF('הדבקת לידים'!A2664="","",IF(ISNUMBER('הדבקת לידים'!A2664),IF(הגדרות!$E$2&gt;0,TEXT('הדבקת לידים'!A2664,REPT("0",הגדרות!$E$2)),TEXT('הדבקת לידים'!A2664,"0")),TRIM('הדבקת לידים'!A2664)))</f>
        <v/>
      </c>
      <c r="B2664" s="0" t="str">
        <f aca="false">IF('הדבקת לידים'!B2664="","",IF(ISNUMBER('הדבקת לידים'!B2664),IF(הגדרות!$E$3&gt;0,TEXT('הדבקת לידים'!B2664,REPT("0",הגדרות!$E$3)),TEXT('הדבקת לידים'!B2664,"0")),TRIM('הדבקת לידים'!B2664)))</f>
        <v/>
      </c>
      <c r="C2664" s="0" t="n">
        <f aca="false">IF(OR(A2664&lt;&gt;"",B2664&lt;&gt;""),1,0)</f>
        <v>0</v>
      </c>
      <c r="D2664" s="0" t="str">
        <f aca="false">IF(C2664=1,MOD(ABS(SIN(ROW()*12.9898+'הדבקת לידים'!$F$2*78.233+IFERROR(--RIGHT(A2664,6),LEN(A2664))*0.0137+IFERROR(--RIGHT(B2664,6),LEN(B2664))*0.0071))*43758.5453,1),"")</f>
        <v/>
      </c>
      <c r="E2664" s="0" t="str">
        <f aca="false">IF(C2664=1,INT(MOD(ABS(SIN(D2664*7919.123+ROW()*0.618+'הדבקת לידים'!$F$2*1.3))*43758.5453,1)*1000000)*10000+ROW(),"")</f>
        <v/>
      </c>
      <c r="F2664" s="0" t="str">
        <f aca="false">IF(E2664="","",RANK(E2664,$E$2:$E$5001,1))</f>
        <v/>
      </c>
      <c r="G2664" s="0" t="n">
        <f aca="false">IF(A2664="",0,IF(SUMPRODUCT(--($A$2:$A$5001=A2664))&gt;1,1,0))</f>
        <v>0</v>
      </c>
      <c r="H2664" s="0" t="n">
        <f aca="false">ROW()-1</f>
        <v>2663</v>
      </c>
      <c r="I2664" s="0" t="str">
        <f aca="false">IF(OR(הגדרות!$E$6=0,H2664&gt;הגדרות!$E$5),"",IF(H2664-1&lt;הגדרות!$E$8*(הגדרות!$E$7+1),INT((H2664-1)/(הגדרות!$E$7+1)),הגדרות!$E$8+INT((H2664-1-הגדרות!$E$8*(הגדרות!$E$7+1))/הגדרות!$E$7)))</f>
        <v/>
      </c>
      <c r="J2664" s="0" t="str">
        <f aca="false">IF(I2664="","",IF(H2664-1&lt;הגדרות!$E$8*(הגדרות!$E$7+1),MOD(H2664-1,הגדרות!$E$7+1),MOD(H2664-1-הגדרות!$E$8*(הגדרות!$E$7+1),הגדרות!$E$7)))</f>
        <v/>
      </c>
      <c r="K2664" s="0" t="str">
        <f aca="false">IF(I2664="","",J2664*הגדרות!$E$6+I2664+1)</f>
        <v/>
      </c>
      <c r="L2664" s="0" t="str">
        <f aca="false">IF(K2664="","",MATCH(K2664,$F$2:$F$5001,0))</f>
        <v/>
      </c>
      <c r="M2664" s="0" t="str">
        <f aca="false">IF(I2664="","",INDEX(הגדרות!$A$2:$A$21,MOD(I2664+הגדרות!$E$9,הגדרות!$E$6)+1))</f>
        <v/>
      </c>
    </row>
    <row r="2665" customFormat="false" ht="15" hidden="false" customHeight="false" outlineLevel="0" collapsed="false">
      <c r="A2665" s="0" t="str">
        <f aca="false">IF('הדבקת לידים'!A2665="","",IF(ISNUMBER('הדבקת לידים'!A2665),IF(הגדרות!$E$2&gt;0,TEXT('הדבקת לידים'!A2665,REPT("0",הגדרות!$E$2)),TEXT('הדבקת לידים'!A2665,"0")),TRIM('הדבקת לידים'!A2665)))</f>
        <v/>
      </c>
      <c r="B2665" s="0" t="str">
        <f aca="false">IF('הדבקת לידים'!B2665="","",IF(ISNUMBER('הדבקת לידים'!B2665),IF(הגדרות!$E$3&gt;0,TEXT('הדבקת לידים'!B2665,REPT("0",הגדרות!$E$3)),TEXT('הדבקת לידים'!B2665,"0")),TRIM('הדבקת לידים'!B2665)))</f>
        <v/>
      </c>
      <c r="C2665" s="0" t="n">
        <f aca="false">IF(OR(A2665&lt;&gt;"",B2665&lt;&gt;""),1,0)</f>
        <v>0</v>
      </c>
      <c r="D2665" s="0" t="str">
        <f aca="false">IF(C2665=1,MOD(ABS(SIN(ROW()*12.9898+'הדבקת לידים'!$F$2*78.233+IFERROR(--RIGHT(A2665,6),LEN(A2665))*0.0137+IFERROR(--RIGHT(B2665,6),LEN(B2665))*0.0071))*43758.5453,1),"")</f>
        <v/>
      </c>
      <c r="E2665" s="0" t="str">
        <f aca="false">IF(C2665=1,INT(MOD(ABS(SIN(D2665*7919.123+ROW()*0.618+'הדבקת לידים'!$F$2*1.3))*43758.5453,1)*1000000)*10000+ROW(),"")</f>
        <v/>
      </c>
      <c r="F2665" s="0" t="str">
        <f aca="false">IF(E2665="","",RANK(E2665,$E$2:$E$5001,1))</f>
        <v/>
      </c>
      <c r="G2665" s="0" t="n">
        <f aca="false">IF(A2665="",0,IF(SUMPRODUCT(--($A$2:$A$5001=A2665))&gt;1,1,0))</f>
        <v>0</v>
      </c>
      <c r="H2665" s="0" t="n">
        <f aca="false">ROW()-1</f>
        <v>2664</v>
      </c>
      <c r="I2665" s="0" t="str">
        <f aca="false">IF(OR(הגדרות!$E$6=0,H2665&gt;הגדרות!$E$5),"",IF(H2665-1&lt;הגדרות!$E$8*(הגדרות!$E$7+1),INT((H2665-1)/(הגדרות!$E$7+1)),הגדרות!$E$8+INT((H2665-1-הגדרות!$E$8*(הגדרות!$E$7+1))/הגדרות!$E$7)))</f>
        <v/>
      </c>
      <c r="J2665" s="0" t="str">
        <f aca="false">IF(I2665="","",IF(H2665-1&lt;הגדרות!$E$8*(הגדרות!$E$7+1),MOD(H2665-1,הגדרות!$E$7+1),MOD(H2665-1-הגדרות!$E$8*(הגדרות!$E$7+1),הגדרות!$E$7)))</f>
        <v/>
      </c>
      <c r="K2665" s="0" t="str">
        <f aca="false">IF(I2665="","",J2665*הגדרות!$E$6+I2665+1)</f>
        <v/>
      </c>
      <c r="L2665" s="0" t="str">
        <f aca="false">IF(K2665="","",MATCH(K2665,$F$2:$F$5001,0))</f>
        <v/>
      </c>
      <c r="M2665" s="0" t="str">
        <f aca="false">IF(I2665="","",INDEX(הגדרות!$A$2:$A$21,MOD(I2665+הגדרות!$E$9,הגדרות!$E$6)+1))</f>
        <v/>
      </c>
    </row>
    <row r="2666" customFormat="false" ht="15" hidden="false" customHeight="false" outlineLevel="0" collapsed="false">
      <c r="A2666" s="0" t="str">
        <f aca="false">IF('הדבקת לידים'!A2666="","",IF(ISNUMBER('הדבקת לידים'!A2666),IF(הגדרות!$E$2&gt;0,TEXT('הדבקת לידים'!A2666,REPT("0",הגדרות!$E$2)),TEXT('הדבקת לידים'!A2666,"0")),TRIM('הדבקת לידים'!A2666)))</f>
        <v/>
      </c>
      <c r="B2666" s="0" t="str">
        <f aca="false">IF('הדבקת לידים'!B2666="","",IF(ISNUMBER('הדבקת לידים'!B2666),IF(הגדרות!$E$3&gt;0,TEXT('הדבקת לידים'!B2666,REPT("0",הגדרות!$E$3)),TEXT('הדבקת לידים'!B2666,"0")),TRIM('הדבקת לידים'!B2666)))</f>
        <v/>
      </c>
      <c r="C2666" s="0" t="n">
        <f aca="false">IF(OR(A2666&lt;&gt;"",B2666&lt;&gt;""),1,0)</f>
        <v>0</v>
      </c>
      <c r="D2666" s="0" t="str">
        <f aca="false">IF(C2666=1,MOD(ABS(SIN(ROW()*12.9898+'הדבקת לידים'!$F$2*78.233+IFERROR(--RIGHT(A2666,6),LEN(A2666))*0.0137+IFERROR(--RIGHT(B2666,6),LEN(B2666))*0.0071))*43758.5453,1),"")</f>
        <v/>
      </c>
      <c r="E2666" s="0" t="str">
        <f aca="false">IF(C2666=1,INT(MOD(ABS(SIN(D2666*7919.123+ROW()*0.618+'הדבקת לידים'!$F$2*1.3))*43758.5453,1)*1000000)*10000+ROW(),"")</f>
        <v/>
      </c>
      <c r="F2666" s="0" t="str">
        <f aca="false">IF(E2666="","",RANK(E2666,$E$2:$E$5001,1))</f>
        <v/>
      </c>
      <c r="G2666" s="0" t="n">
        <f aca="false">IF(A2666="",0,IF(SUMPRODUCT(--($A$2:$A$5001=A2666))&gt;1,1,0))</f>
        <v>0</v>
      </c>
      <c r="H2666" s="0" t="n">
        <f aca="false">ROW()-1</f>
        <v>2665</v>
      </c>
      <c r="I2666" s="0" t="str">
        <f aca="false">IF(OR(הגדרות!$E$6=0,H2666&gt;הגדרות!$E$5),"",IF(H2666-1&lt;הגדרות!$E$8*(הגדרות!$E$7+1),INT((H2666-1)/(הגדרות!$E$7+1)),הגדרות!$E$8+INT((H2666-1-הגדרות!$E$8*(הגדרות!$E$7+1))/הגדרות!$E$7)))</f>
        <v/>
      </c>
      <c r="J2666" s="0" t="str">
        <f aca="false">IF(I2666="","",IF(H2666-1&lt;הגדרות!$E$8*(הגדרות!$E$7+1),MOD(H2666-1,הגדרות!$E$7+1),MOD(H2666-1-הגדרות!$E$8*(הגדרות!$E$7+1),הגדרות!$E$7)))</f>
        <v/>
      </c>
      <c r="K2666" s="0" t="str">
        <f aca="false">IF(I2666="","",J2666*הגדרות!$E$6+I2666+1)</f>
        <v/>
      </c>
      <c r="L2666" s="0" t="str">
        <f aca="false">IF(K2666="","",MATCH(K2666,$F$2:$F$5001,0))</f>
        <v/>
      </c>
      <c r="M2666" s="0" t="str">
        <f aca="false">IF(I2666="","",INDEX(הגדרות!$A$2:$A$21,MOD(I2666+הגדרות!$E$9,הגדרות!$E$6)+1))</f>
        <v/>
      </c>
    </row>
    <row r="2667" customFormat="false" ht="15" hidden="false" customHeight="false" outlineLevel="0" collapsed="false">
      <c r="A2667" s="0" t="str">
        <f aca="false">IF('הדבקת לידים'!A2667="","",IF(ISNUMBER('הדבקת לידים'!A2667),IF(הגדרות!$E$2&gt;0,TEXT('הדבקת לידים'!A2667,REPT("0",הגדרות!$E$2)),TEXT('הדבקת לידים'!A2667,"0")),TRIM('הדבקת לידים'!A2667)))</f>
        <v/>
      </c>
      <c r="B2667" s="0" t="str">
        <f aca="false">IF('הדבקת לידים'!B2667="","",IF(ISNUMBER('הדבקת לידים'!B2667),IF(הגדרות!$E$3&gt;0,TEXT('הדבקת לידים'!B2667,REPT("0",הגדרות!$E$3)),TEXT('הדבקת לידים'!B2667,"0")),TRIM('הדבקת לידים'!B2667)))</f>
        <v/>
      </c>
      <c r="C2667" s="0" t="n">
        <f aca="false">IF(OR(A2667&lt;&gt;"",B2667&lt;&gt;""),1,0)</f>
        <v>0</v>
      </c>
      <c r="D2667" s="0" t="str">
        <f aca="false">IF(C2667=1,MOD(ABS(SIN(ROW()*12.9898+'הדבקת לידים'!$F$2*78.233+IFERROR(--RIGHT(A2667,6),LEN(A2667))*0.0137+IFERROR(--RIGHT(B2667,6),LEN(B2667))*0.0071))*43758.5453,1),"")</f>
        <v/>
      </c>
      <c r="E2667" s="0" t="str">
        <f aca="false">IF(C2667=1,INT(MOD(ABS(SIN(D2667*7919.123+ROW()*0.618+'הדבקת לידים'!$F$2*1.3))*43758.5453,1)*1000000)*10000+ROW(),"")</f>
        <v/>
      </c>
      <c r="F2667" s="0" t="str">
        <f aca="false">IF(E2667="","",RANK(E2667,$E$2:$E$5001,1))</f>
        <v/>
      </c>
      <c r="G2667" s="0" t="n">
        <f aca="false">IF(A2667="",0,IF(SUMPRODUCT(--($A$2:$A$5001=A2667))&gt;1,1,0))</f>
        <v>0</v>
      </c>
      <c r="H2667" s="0" t="n">
        <f aca="false">ROW()-1</f>
        <v>2666</v>
      </c>
      <c r="I2667" s="0" t="str">
        <f aca="false">IF(OR(הגדרות!$E$6=0,H2667&gt;הגדרות!$E$5),"",IF(H2667-1&lt;הגדרות!$E$8*(הגדרות!$E$7+1),INT((H2667-1)/(הגדרות!$E$7+1)),הגדרות!$E$8+INT((H2667-1-הגדרות!$E$8*(הגדרות!$E$7+1))/הגדרות!$E$7)))</f>
        <v/>
      </c>
      <c r="J2667" s="0" t="str">
        <f aca="false">IF(I2667="","",IF(H2667-1&lt;הגדרות!$E$8*(הגדרות!$E$7+1),MOD(H2667-1,הגדרות!$E$7+1),MOD(H2667-1-הגדרות!$E$8*(הגדרות!$E$7+1),הגדרות!$E$7)))</f>
        <v/>
      </c>
      <c r="K2667" s="0" t="str">
        <f aca="false">IF(I2667="","",J2667*הגדרות!$E$6+I2667+1)</f>
        <v/>
      </c>
      <c r="L2667" s="0" t="str">
        <f aca="false">IF(K2667="","",MATCH(K2667,$F$2:$F$5001,0))</f>
        <v/>
      </c>
      <c r="M2667" s="0" t="str">
        <f aca="false">IF(I2667="","",INDEX(הגדרות!$A$2:$A$21,MOD(I2667+הגדרות!$E$9,הגדרות!$E$6)+1))</f>
        <v/>
      </c>
    </row>
    <row r="2668" customFormat="false" ht="15" hidden="false" customHeight="false" outlineLevel="0" collapsed="false">
      <c r="A2668" s="0" t="str">
        <f aca="false">IF('הדבקת לידים'!A2668="","",IF(ISNUMBER('הדבקת לידים'!A2668),IF(הגדרות!$E$2&gt;0,TEXT('הדבקת לידים'!A2668,REPT("0",הגדרות!$E$2)),TEXT('הדבקת לידים'!A2668,"0")),TRIM('הדבקת לידים'!A2668)))</f>
        <v/>
      </c>
      <c r="B2668" s="0" t="str">
        <f aca="false">IF('הדבקת לידים'!B2668="","",IF(ISNUMBER('הדבקת לידים'!B2668),IF(הגדרות!$E$3&gt;0,TEXT('הדבקת לידים'!B2668,REPT("0",הגדרות!$E$3)),TEXT('הדבקת לידים'!B2668,"0")),TRIM('הדבקת לידים'!B2668)))</f>
        <v/>
      </c>
      <c r="C2668" s="0" t="n">
        <f aca="false">IF(OR(A2668&lt;&gt;"",B2668&lt;&gt;""),1,0)</f>
        <v>0</v>
      </c>
      <c r="D2668" s="0" t="str">
        <f aca="false">IF(C2668=1,MOD(ABS(SIN(ROW()*12.9898+'הדבקת לידים'!$F$2*78.233+IFERROR(--RIGHT(A2668,6),LEN(A2668))*0.0137+IFERROR(--RIGHT(B2668,6),LEN(B2668))*0.0071))*43758.5453,1),"")</f>
        <v/>
      </c>
      <c r="E2668" s="0" t="str">
        <f aca="false">IF(C2668=1,INT(MOD(ABS(SIN(D2668*7919.123+ROW()*0.618+'הדבקת לידים'!$F$2*1.3))*43758.5453,1)*1000000)*10000+ROW(),"")</f>
        <v/>
      </c>
      <c r="F2668" s="0" t="str">
        <f aca="false">IF(E2668="","",RANK(E2668,$E$2:$E$5001,1))</f>
        <v/>
      </c>
      <c r="G2668" s="0" t="n">
        <f aca="false">IF(A2668="",0,IF(SUMPRODUCT(--($A$2:$A$5001=A2668))&gt;1,1,0))</f>
        <v>0</v>
      </c>
      <c r="H2668" s="0" t="n">
        <f aca="false">ROW()-1</f>
        <v>2667</v>
      </c>
      <c r="I2668" s="0" t="str">
        <f aca="false">IF(OR(הגדרות!$E$6=0,H2668&gt;הגדרות!$E$5),"",IF(H2668-1&lt;הגדרות!$E$8*(הגדרות!$E$7+1),INT((H2668-1)/(הגדרות!$E$7+1)),הגדרות!$E$8+INT((H2668-1-הגדרות!$E$8*(הגדרות!$E$7+1))/הגדרות!$E$7)))</f>
        <v/>
      </c>
      <c r="J2668" s="0" t="str">
        <f aca="false">IF(I2668="","",IF(H2668-1&lt;הגדרות!$E$8*(הגדרות!$E$7+1),MOD(H2668-1,הגדרות!$E$7+1),MOD(H2668-1-הגדרות!$E$8*(הגדרות!$E$7+1),הגדרות!$E$7)))</f>
        <v/>
      </c>
      <c r="K2668" s="0" t="str">
        <f aca="false">IF(I2668="","",J2668*הגדרות!$E$6+I2668+1)</f>
        <v/>
      </c>
      <c r="L2668" s="0" t="str">
        <f aca="false">IF(K2668="","",MATCH(K2668,$F$2:$F$5001,0))</f>
        <v/>
      </c>
      <c r="M2668" s="0" t="str">
        <f aca="false">IF(I2668="","",INDEX(הגדרות!$A$2:$A$21,MOD(I2668+הגדרות!$E$9,הגדרות!$E$6)+1))</f>
        <v/>
      </c>
    </row>
    <row r="2669" customFormat="false" ht="15" hidden="false" customHeight="false" outlineLevel="0" collapsed="false">
      <c r="A2669" s="0" t="str">
        <f aca="false">IF('הדבקת לידים'!A2669="","",IF(ISNUMBER('הדבקת לידים'!A2669),IF(הגדרות!$E$2&gt;0,TEXT('הדבקת לידים'!A2669,REPT("0",הגדרות!$E$2)),TEXT('הדבקת לידים'!A2669,"0")),TRIM('הדבקת לידים'!A2669)))</f>
        <v/>
      </c>
      <c r="B2669" s="0" t="str">
        <f aca="false">IF('הדבקת לידים'!B2669="","",IF(ISNUMBER('הדבקת לידים'!B2669),IF(הגדרות!$E$3&gt;0,TEXT('הדבקת לידים'!B2669,REPT("0",הגדרות!$E$3)),TEXT('הדבקת לידים'!B2669,"0")),TRIM('הדבקת לידים'!B2669)))</f>
        <v/>
      </c>
      <c r="C2669" s="0" t="n">
        <f aca="false">IF(OR(A2669&lt;&gt;"",B2669&lt;&gt;""),1,0)</f>
        <v>0</v>
      </c>
      <c r="D2669" s="0" t="str">
        <f aca="false">IF(C2669=1,MOD(ABS(SIN(ROW()*12.9898+'הדבקת לידים'!$F$2*78.233+IFERROR(--RIGHT(A2669,6),LEN(A2669))*0.0137+IFERROR(--RIGHT(B2669,6),LEN(B2669))*0.0071))*43758.5453,1),"")</f>
        <v/>
      </c>
      <c r="E2669" s="0" t="str">
        <f aca="false">IF(C2669=1,INT(MOD(ABS(SIN(D2669*7919.123+ROW()*0.618+'הדבקת לידים'!$F$2*1.3))*43758.5453,1)*1000000)*10000+ROW(),"")</f>
        <v/>
      </c>
      <c r="F2669" s="0" t="str">
        <f aca="false">IF(E2669="","",RANK(E2669,$E$2:$E$5001,1))</f>
        <v/>
      </c>
      <c r="G2669" s="0" t="n">
        <f aca="false">IF(A2669="",0,IF(SUMPRODUCT(--($A$2:$A$5001=A2669))&gt;1,1,0))</f>
        <v>0</v>
      </c>
      <c r="H2669" s="0" t="n">
        <f aca="false">ROW()-1</f>
        <v>2668</v>
      </c>
      <c r="I2669" s="0" t="str">
        <f aca="false">IF(OR(הגדרות!$E$6=0,H2669&gt;הגדרות!$E$5),"",IF(H2669-1&lt;הגדרות!$E$8*(הגדרות!$E$7+1),INT((H2669-1)/(הגדרות!$E$7+1)),הגדרות!$E$8+INT((H2669-1-הגדרות!$E$8*(הגדרות!$E$7+1))/הגדרות!$E$7)))</f>
        <v/>
      </c>
      <c r="J2669" s="0" t="str">
        <f aca="false">IF(I2669="","",IF(H2669-1&lt;הגדרות!$E$8*(הגדרות!$E$7+1),MOD(H2669-1,הגדרות!$E$7+1),MOD(H2669-1-הגדרות!$E$8*(הגדרות!$E$7+1),הגדרות!$E$7)))</f>
        <v/>
      </c>
      <c r="K2669" s="0" t="str">
        <f aca="false">IF(I2669="","",J2669*הגדרות!$E$6+I2669+1)</f>
        <v/>
      </c>
      <c r="L2669" s="0" t="str">
        <f aca="false">IF(K2669="","",MATCH(K2669,$F$2:$F$5001,0))</f>
        <v/>
      </c>
      <c r="M2669" s="0" t="str">
        <f aca="false">IF(I2669="","",INDEX(הגדרות!$A$2:$A$21,MOD(I2669+הגדרות!$E$9,הגדרות!$E$6)+1))</f>
        <v/>
      </c>
    </row>
    <row r="2670" customFormat="false" ht="15" hidden="false" customHeight="false" outlineLevel="0" collapsed="false">
      <c r="A2670" s="0" t="str">
        <f aca="false">IF('הדבקת לידים'!A2670="","",IF(ISNUMBER('הדבקת לידים'!A2670),IF(הגדרות!$E$2&gt;0,TEXT('הדבקת לידים'!A2670,REPT("0",הגדרות!$E$2)),TEXT('הדבקת לידים'!A2670,"0")),TRIM('הדבקת לידים'!A2670)))</f>
        <v/>
      </c>
      <c r="B2670" s="0" t="str">
        <f aca="false">IF('הדבקת לידים'!B2670="","",IF(ISNUMBER('הדבקת לידים'!B2670),IF(הגדרות!$E$3&gt;0,TEXT('הדבקת לידים'!B2670,REPT("0",הגדרות!$E$3)),TEXT('הדבקת לידים'!B2670,"0")),TRIM('הדבקת לידים'!B2670)))</f>
        <v/>
      </c>
      <c r="C2670" s="0" t="n">
        <f aca="false">IF(OR(A2670&lt;&gt;"",B2670&lt;&gt;""),1,0)</f>
        <v>0</v>
      </c>
      <c r="D2670" s="0" t="str">
        <f aca="false">IF(C2670=1,MOD(ABS(SIN(ROW()*12.9898+'הדבקת לידים'!$F$2*78.233+IFERROR(--RIGHT(A2670,6),LEN(A2670))*0.0137+IFERROR(--RIGHT(B2670,6),LEN(B2670))*0.0071))*43758.5453,1),"")</f>
        <v/>
      </c>
      <c r="E2670" s="0" t="str">
        <f aca="false">IF(C2670=1,INT(MOD(ABS(SIN(D2670*7919.123+ROW()*0.618+'הדבקת לידים'!$F$2*1.3))*43758.5453,1)*1000000)*10000+ROW(),"")</f>
        <v/>
      </c>
      <c r="F2670" s="0" t="str">
        <f aca="false">IF(E2670="","",RANK(E2670,$E$2:$E$5001,1))</f>
        <v/>
      </c>
      <c r="G2670" s="0" t="n">
        <f aca="false">IF(A2670="",0,IF(SUMPRODUCT(--($A$2:$A$5001=A2670))&gt;1,1,0))</f>
        <v>0</v>
      </c>
      <c r="H2670" s="0" t="n">
        <f aca="false">ROW()-1</f>
        <v>2669</v>
      </c>
      <c r="I2670" s="0" t="str">
        <f aca="false">IF(OR(הגדרות!$E$6=0,H2670&gt;הגדרות!$E$5),"",IF(H2670-1&lt;הגדרות!$E$8*(הגדרות!$E$7+1),INT((H2670-1)/(הגדרות!$E$7+1)),הגדרות!$E$8+INT((H2670-1-הגדרות!$E$8*(הגדרות!$E$7+1))/הגדרות!$E$7)))</f>
        <v/>
      </c>
      <c r="J2670" s="0" t="str">
        <f aca="false">IF(I2670="","",IF(H2670-1&lt;הגדרות!$E$8*(הגדרות!$E$7+1),MOD(H2670-1,הגדרות!$E$7+1),MOD(H2670-1-הגדרות!$E$8*(הגדרות!$E$7+1),הגדרות!$E$7)))</f>
        <v/>
      </c>
      <c r="K2670" s="0" t="str">
        <f aca="false">IF(I2670="","",J2670*הגדרות!$E$6+I2670+1)</f>
        <v/>
      </c>
      <c r="L2670" s="0" t="str">
        <f aca="false">IF(K2670="","",MATCH(K2670,$F$2:$F$5001,0))</f>
        <v/>
      </c>
      <c r="M2670" s="0" t="str">
        <f aca="false">IF(I2670="","",INDEX(הגדרות!$A$2:$A$21,MOD(I2670+הגדרות!$E$9,הגדרות!$E$6)+1))</f>
        <v/>
      </c>
    </row>
    <row r="2671" customFormat="false" ht="15" hidden="false" customHeight="false" outlineLevel="0" collapsed="false">
      <c r="A2671" s="0" t="str">
        <f aca="false">IF('הדבקת לידים'!A2671="","",IF(ISNUMBER('הדבקת לידים'!A2671),IF(הגדרות!$E$2&gt;0,TEXT('הדבקת לידים'!A2671,REPT("0",הגדרות!$E$2)),TEXT('הדבקת לידים'!A2671,"0")),TRIM('הדבקת לידים'!A2671)))</f>
        <v/>
      </c>
      <c r="B2671" s="0" t="str">
        <f aca="false">IF('הדבקת לידים'!B2671="","",IF(ISNUMBER('הדבקת לידים'!B2671),IF(הגדרות!$E$3&gt;0,TEXT('הדבקת לידים'!B2671,REPT("0",הגדרות!$E$3)),TEXT('הדבקת לידים'!B2671,"0")),TRIM('הדבקת לידים'!B2671)))</f>
        <v/>
      </c>
      <c r="C2671" s="0" t="n">
        <f aca="false">IF(OR(A2671&lt;&gt;"",B2671&lt;&gt;""),1,0)</f>
        <v>0</v>
      </c>
      <c r="D2671" s="0" t="str">
        <f aca="false">IF(C2671=1,MOD(ABS(SIN(ROW()*12.9898+'הדבקת לידים'!$F$2*78.233+IFERROR(--RIGHT(A2671,6),LEN(A2671))*0.0137+IFERROR(--RIGHT(B2671,6),LEN(B2671))*0.0071))*43758.5453,1),"")</f>
        <v/>
      </c>
      <c r="E2671" s="0" t="str">
        <f aca="false">IF(C2671=1,INT(MOD(ABS(SIN(D2671*7919.123+ROW()*0.618+'הדבקת לידים'!$F$2*1.3))*43758.5453,1)*1000000)*10000+ROW(),"")</f>
        <v/>
      </c>
      <c r="F2671" s="0" t="str">
        <f aca="false">IF(E2671="","",RANK(E2671,$E$2:$E$5001,1))</f>
        <v/>
      </c>
      <c r="G2671" s="0" t="n">
        <f aca="false">IF(A2671="",0,IF(SUMPRODUCT(--($A$2:$A$5001=A2671))&gt;1,1,0))</f>
        <v>0</v>
      </c>
      <c r="H2671" s="0" t="n">
        <f aca="false">ROW()-1</f>
        <v>2670</v>
      </c>
      <c r="I2671" s="0" t="str">
        <f aca="false">IF(OR(הגדרות!$E$6=0,H2671&gt;הגדרות!$E$5),"",IF(H2671-1&lt;הגדרות!$E$8*(הגדרות!$E$7+1),INT((H2671-1)/(הגדרות!$E$7+1)),הגדרות!$E$8+INT((H2671-1-הגדרות!$E$8*(הגדרות!$E$7+1))/הגדרות!$E$7)))</f>
        <v/>
      </c>
      <c r="J2671" s="0" t="str">
        <f aca="false">IF(I2671="","",IF(H2671-1&lt;הגדרות!$E$8*(הגדרות!$E$7+1),MOD(H2671-1,הגדרות!$E$7+1),MOD(H2671-1-הגדרות!$E$8*(הגדרות!$E$7+1),הגדרות!$E$7)))</f>
        <v/>
      </c>
      <c r="K2671" s="0" t="str">
        <f aca="false">IF(I2671="","",J2671*הגדרות!$E$6+I2671+1)</f>
        <v/>
      </c>
      <c r="L2671" s="0" t="str">
        <f aca="false">IF(K2671="","",MATCH(K2671,$F$2:$F$5001,0))</f>
        <v/>
      </c>
      <c r="M2671" s="0" t="str">
        <f aca="false">IF(I2671="","",INDEX(הגדרות!$A$2:$A$21,MOD(I2671+הגדרות!$E$9,הגדרות!$E$6)+1))</f>
        <v/>
      </c>
    </row>
    <row r="2672" customFormat="false" ht="15" hidden="false" customHeight="false" outlineLevel="0" collapsed="false">
      <c r="A2672" s="0" t="str">
        <f aca="false">IF('הדבקת לידים'!A2672="","",IF(ISNUMBER('הדבקת לידים'!A2672),IF(הגדרות!$E$2&gt;0,TEXT('הדבקת לידים'!A2672,REPT("0",הגדרות!$E$2)),TEXT('הדבקת לידים'!A2672,"0")),TRIM('הדבקת לידים'!A2672)))</f>
        <v/>
      </c>
      <c r="B2672" s="0" t="str">
        <f aca="false">IF('הדבקת לידים'!B2672="","",IF(ISNUMBER('הדבקת לידים'!B2672),IF(הגדרות!$E$3&gt;0,TEXT('הדבקת לידים'!B2672,REPT("0",הגדרות!$E$3)),TEXT('הדבקת לידים'!B2672,"0")),TRIM('הדבקת לידים'!B2672)))</f>
        <v/>
      </c>
      <c r="C2672" s="0" t="n">
        <f aca="false">IF(OR(A2672&lt;&gt;"",B2672&lt;&gt;""),1,0)</f>
        <v>0</v>
      </c>
      <c r="D2672" s="0" t="str">
        <f aca="false">IF(C2672=1,MOD(ABS(SIN(ROW()*12.9898+'הדבקת לידים'!$F$2*78.233+IFERROR(--RIGHT(A2672,6),LEN(A2672))*0.0137+IFERROR(--RIGHT(B2672,6),LEN(B2672))*0.0071))*43758.5453,1),"")</f>
        <v/>
      </c>
      <c r="E2672" s="0" t="str">
        <f aca="false">IF(C2672=1,INT(MOD(ABS(SIN(D2672*7919.123+ROW()*0.618+'הדבקת לידים'!$F$2*1.3))*43758.5453,1)*1000000)*10000+ROW(),"")</f>
        <v/>
      </c>
      <c r="F2672" s="0" t="str">
        <f aca="false">IF(E2672="","",RANK(E2672,$E$2:$E$5001,1))</f>
        <v/>
      </c>
      <c r="G2672" s="0" t="n">
        <f aca="false">IF(A2672="",0,IF(SUMPRODUCT(--($A$2:$A$5001=A2672))&gt;1,1,0))</f>
        <v>0</v>
      </c>
      <c r="H2672" s="0" t="n">
        <f aca="false">ROW()-1</f>
        <v>2671</v>
      </c>
      <c r="I2672" s="0" t="str">
        <f aca="false">IF(OR(הגדרות!$E$6=0,H2672&gt;הגדרות!$E$5),"",IF(H2672-1&lt;הגדרות!$E$8*(הגדרות!$E$7+1),INT((H2672-1)/(הגדרות!$E$7+1)),הגדרות!$E$8+INT((H2672-1-הגדרות!$E$8*(הגדרות!$E$7+1))/הגדרות!$E$7)))</f>
        <v/>
      </c>
      <c r="J2672" s="0" t="str">
        <f aca="false">IF(I2672="","",IF(H2672-1&lt;הגדרות!$E$8*(הגדרות!$E$7+1),MOD(H2672-1,הגדרות!$E$7+1),MOD(H2672-1-הגדרות!$E$8*(הגדרות!$E$7+1),הגדרות!$E$7)))</f>
        <v/>
      </c>
      <c r="K2672" s="0" t="str">
        <f aca="false">IF(I2672="","",J2672*הגדרות!$E$6+I2672+1)</f>
        <v/>
      </c>
      <c r="L2672" s="0" t="str">
        <f aca="false">IF(K2672="","",MATCH(K2672,$F$2:$F$5001,0))</f>
        <v/>
      </c>
      <c r="M2672" s="0" t="str">
        <f aca="false">IF(I2672="","",INDEX(הגדרות!$A$2:$A$21,MOD(I2672+הגדרות!$E$9,הגדרות!$E$6)+1))</f>
        <v/>
      </c>
    </row>
    <row r="2673" customFormat="false" ht="15" hidden="false" customHeight="false" outlineLevel="0" collapsed="false">
      <c r="A2673" s="0" t="str">
        <f aca="false">IF('הדבקת לידים'!A2673="","",IF(ISNUMBER('הדבקת לידים'!A2673),IF(הגדרות!$E$2&gt;0,TEXT('הדבקת לידים'!A2673,REPT("0",הגדרות!$E$2)),TEXT('הדבקת לידים'!A2673,"0")),TRIM('הדבקת לידים'!A2673)))</f>
        <v/>
      </c>
      <c r="B2673" s="0" t="str">
        <f aca="false">IF('הדבקת לידים'!B2673="","",IF(ISNUMBER('הדבקת לידים'!B2673),IF(הגדרות!$E$3&gt;0,TEXT('הדבקת לידים'!B2673,REPT("0",הגדרות!$E$3)),TEXT('הדבקת לידים'!B2673,"0")),TRIM('הדבקת לידים'!B2673)))</f>
        <v/>
      </c>
      <c r="C2673" s="0" t="n">
        <f aca="false">IF(OR(A2673&lt;&gt;"",B2673&lt;&gt;""),1,0)</f>
        <v>0</v>
      </c>
      <c r="D2673" s="0" t="str">
        <f aca="false">IF(C2673=1,MOD(ABS(SIN(ROW()*12.9898+'הדבקת לידים'!$F$2*78.233+IFERROR(--RIGHT(A2673,6),LEN(A2673))*0.0137+IFERROR(--RIGHT(B2673,6),LEN(B2673))*0.0071))*43758.5453,1),"")</f>
        <v/>
      </c>
      <c r="E2673" s="0" t="str">
        <f aca="false">IF(C2673=1,INT(MOD(ABS(SIN(D2673*7919.123+ROW()*0.618+'הדבקת לידים'!$F$2*1.3))*43758.5453,1)*1000000)*10000+ROW(),"")</f>
        <v/>
      </c>
      <c r="F2673" s="0" t="str">
        <f aca="false">IF(E2673="","",RANK(E2673,$E$2:$E$5001,1))</f>
        <v/>
      </c>
      <c r="G2673" s="0" t="n">
        <f aca="false">IF(A2673="",0,IF(SUMPRODUCT(--($A$2:$A$5001=A2673))&gt;1,1,0))</f>
        <v>0</v>
      </c>
      <c r="H2673" s="0" t="n">
        <f aca="false">ROW()-1</f>
        <v>2672</v>
      </c>
      <c r="I2673" s="0" t="str">
        <f aca="false">IF(OR(הגדרות!$E$6=0,H2673&gt;הגדרות!$E$5),"",IF(H2673-1&lt;הגדרות!$E$8*(הגדרות!$E$7+1),INT((H2673-1)/(הגדרות!$E$7+1)),הגדרות!$E$8+INT((H2673-1-הגדרות!$E$8*(הגדרות!$E$7+1))/הגדרות!$E$7)))</f>
        <v/>
      </c>
      <c r="J2673" s="0" t="str">
        <f aca="false">IF(I2673="","",IF(H2673-1&lt;הגדרות!$E$8*(הגדרות!$E$7+1),MOD(H2673-1,הגדרות!$E$7+1),MOD(H2673-1-הגדרות!$E$8*(הגדרות!$E$7+1),הגדרות!$E$7)))</f>
        <v/>
      </c>
      <c r="K2673" s="0" t="str">
        <f aca="false">IF(I2673="","",J2673*הגדרות!$E$6+I2673+1)</f>
        <v/>
      </c>
      <c r="L2673" s="0" t="str">
        <f aca="false">IF(K2673="","",MATCH(K2673,$F$2:$F$5001,0))</f>
        <v/>
      </c>
      <c r="M2673" s="0" t="str">
        <f aca="false">IF(I2673="","",INDEX(הגדרות!$A$2:$A$21,MOD(I2673+הגדרות!$E$9,הגדרות!$E$6)+1))</f>
        <v/>
      </c>
    </row>
    <row r="2674" customFormat="false" ht="15" hidden="false" customHeight="false" outlineLevel="0" collapsed="false">
      <c r="A2674" s="0" t="str">
        <f aca="false">IF('הדבקת לידים'!A2674="","",IF(ISNUMBER('הדבקת לידים'!A2674),IF(הגדרות!$E$2&gt;0,TEXT('הדבקת לידים'!A2674,REPT("0",הגדרות!$E$2)),TEXT('הדבקת לידים'!A2674,"0")),TRIM('הדבקת לידים'!A2674)))</f>
        <v/>
      </c>
      <c r="B2674" s="0" t="str">
        <f aca="false">IF('הדבקת לידים'!B2674="","",IF(ISNUMBER('הדבקת לידים'!B2674),IF(הגדרות!$E$3&gt;0,TEXT('הדבקת לידים'!B2674,REPT("0",הגדרות!$E$3)),TEXT('הדבקת לידים'!B2674,"0")),TRIM('הדבקת לידים'!B2674)))</f>
        <v/>
      </c>
      <c r="C2674" s="0" t="n">
        <f aca="false">IF(OR(A2674&lt;&gt;"",B2674&lt;&gt;""),1,0)</f>
        <v>0</v>
      </c>
      <c r="D2674" s="0" t="str">
        <f aca="false">IF(C2674=1,MOD(ABS(SIN(ROW()*12.9898+'הדבקת לידים'!$F$2*78.233+IFERROR(--RIGHT(A2674,6),LEN(A2674))*0.0137+IFERROR(--RIGHT(B2674,6),LEN(B2674))*0.0071))*43758.5453,1),"")</f>
        <v/>
      </c>
      <c r="E2674" s="0" t="str">
        <f aca="false">IF(C2674=1,INT(MOD(ABS(SIN(D2674*7919.123+ROW()*0.618+'הדבקת לידים'!$F$2*1.3))*43758.5453,1)*1000000)*10000+ROW(),"")</f>
        <v/>
      </c>
      <c r="F2674" s="0" t="str">
        <f aca="false">IF(E2674="","",RANK(E2674,$E$2:$E$5001,1))</f>
        <v/>
      </c>
      <c r="G2674" s="0" t="n">
        <f aca="false">IF(A2674="",0,IF(SUMPRODUCT(--($A$2:$A$5001=A2674))&gt;1,1,0))</f>
        <v>0</v>
      </c>
      <c r="H2674" s="0" t="n">
        <f aca="false">ROW()-1</f>
        <v>2673</v>
      </c>
      <c r="I2674" s="0" t="str">
        <f aca="false">IF(OR(הגדרות!$E$6=0,H2674&gt;הגדרות!$E$5),"",IF(H2674-1&lt;הגדרות!$E$8*(הגדרות!$E$7+1),INT((H2674-1)/(הגדרות!$E$7+1)),הגדרות!$E$8+INT((H2674-1-הגדרות!$E$8*(הגדרות!$E$7+1))/הגדרות!$E$7)))</f>
        <v/>
      </c>
      <c r="J2674" s="0" t="str">
        <f aca="false">IF(I2674="","",IF(H2674-1&lt;הגדרות!$E$8*(הגדרות!$E$7+1),MOD(H2674-1,הגדרות!$E$7+1),MOD(H2674-1-הגדרות!$E$8*(הגדרות!$E$7+1),הגדרות!$E$7)))</f>
        <v/>
      </c>
      <c r="K2674" s="0" t="str">
        <f aca="false">IF(I2674="","",J2674*הגדרות!$E$6+I2674+1)</f>
        <v/>
      </c>
      <c r="L2674" s="0" t="str">
        <f aca="false">IF(K2674="","",MATCH(K2674,$F$2:$F$5001,0))</f>
        <v/>
      </c>
      <c r="M2674" s="0" t="str">
        <f aca="false">IF(I2674="","",INDEX(הגדרות!$A$2:$A$21,MOD(I2674+הגדרות!$E$9,הגדרות!$E$6)+1))</f>
        <v/>
      </c>
    </row>
    <row r="2675" customFormat="false" ht="15" hidden="false" customHeight="false" outlineLevel="0" collapsed="false">
      <c r="A2675" s="0" t="str">
        <f aca="false">IF('הדבקת לידים'!A2675="","",IF(ISNUMBER('הדבקת לידים'!A2675),IF(הגדרות!$E$2&gt;0,TEXT('הדבקת לידים'!A2675,REPT("0",הגדרות!$E$2)),TEXT('הדבקת לידים'!A2675,"0")),TRIM('הדבקת לידים'!A2675)))</f>
        <v/>
      </c>
      <c r="B2675" s="0" t="str">
        <f aca="false">IF('הדבקת לידים'!B2675="","",IF(ISNUMBER('הדבקת לידים'!B2675),IF(הגדרות!$E$3&gt;0,TEXT('הדבקת לידים'!B2675,REPT("0",הגדרות!$E$3)),TEXT('הדבקת לידים'!B2675,"0")),TRIM('הדבקת לידים'!B2675)))</f>
        <v/>
      </c>
      <c r="C2675" s="0" t="n">
        <f aca="false">IF(OR(A2675&lt;&gt;"",B2675&lt;&gt;""),1,0)</f>
        <v>0</v>
      </c>
      <c r="D2675" s="0" t="str">
        <f aca="false">IF(C2675=1,MOD(ABS(SIN(ROW()*12.9898+'הדבקת לידים'!$F$2*78.233+IFERROR(--RIGHT(A2675,6),LEN(A2675))*0.0137+IFERROR(--RIGHT(B2675,6),LEN(B2675))*0.0071))*43758.5453,1),"")</f>
        <v/>
      </c>
      <c r="E2675" s="0" t="str">
        <f aca="false">IF(C2675=1,INT(MOD(ABS(SIN(D2675*7919.123+ROW()*0.618+'הדבקת לידים'!$F$2*1.3))*43758.5453,1)*1000000)*10000+ROW(),"")</f>
        <v/>
      </c>
      <c r="F2675" s="0" t="str">
        <f aca="false">IF(E2675="","",RANK(E2675,$E$2:$E$5001,1))</f>
        <v/>
      </c>
      <c r="G2675" s="0" t="n">
        <f aca="false">IF(A2675="",0,IF(SUMPRODUCT(--($A$2:$A$5001=A2675))&gt;1,1,0))</f>
        <v>0</v>
      </c>
      <c r="H2675" s="0" t="n">
        <f aca="false">ROW()-1</f>
        <v>2674</v>
      </c>
      <c r="I2675" s="0" t="str">
        <f aca="false">IF(OR(הגדרות!$E$6=0,H2675&gt;הגדרות!$E$5),"",IF(H2675-1&lt;הגדרות!$E$8*(הגדרות!$E$7+1),INT((H2675-1)/(הגדרות!$E$7+1)),הגדרות!$E$8+INT((H2675-1-הגדרות!$E$8*(הגדרות!$E$7+1))/הגדרות!$E$7)))</f>
        <v/>
      </c>
      <c r="J2675" s="0" t="str">
        <f aca="false">IF(I2675="","",IF(H2675-1&lt;הגדרות!$E$8*(הגדרות!$E$7+1),MOD(H2675-1,הגדרות!$E$7+1),MOD(H2675-1-הגדרות!$E$8*(הגדרות!$E$7+1),הגדרות!$E$7)))</f>
        <v/>
      </c>
      <c r="K2675" s="0" t="str">
        <f aca="false">IF(I2675="","",J2675*הגדרות!$E$6+I2675+1)</f>
        <v/>
      </c>
      <c r="L2675" s="0" t="str">
        <f aca="false">IF(K2675="","",MATCH(K2675,$F$2:$F$5001,0))</f>
        <v/>
      </c>
      <c r="M2675" s="0" t="str">
        <f aca="false">IF(I2675="","",INDEX(הגדרות!$A$2:$A$21,MOD(I2675+הגדרות!$E$9,הגדרות!$E$6)+1))</f>
        <v/>
      </c>
    </row>
    <row r="2676" customFormat="false" ht="15" hidden="false" customHeight="false" outlineLevel="0" collapsed="false">
      <c r="A2676" s="0" t="str">
        <f aca="false">IF('הדבקת לידים'!A2676="","",IF(ISNUMBER('הדבקת לידים'!A2676),IF(הגדרות!$E$2&gt;0,TEXT('הדבקת לידים'!A2676,REPT("0",הגדרות!$E$2)),TEXT('הדבקת לידים'!A2676,"0")),TRIM('הדבקת לידים'!A2676)))</f>
        <v/>
      </c>
      <c r="B2676" s="0" t="str">
        <f aca="false">IF('הדבקת לידים'!B2676="","",IF(ISNUMBER('הדבקת לידים'!B2676),IF(הגדרות!$E$3&gt;0,TEXT('הדבקת לידים'!B2676,REPT("0",הגדרות!$E$3)),TEXT('הדבקת לידים'!B2676,"0")),TRIM('הדבקת לידים'!B2676)))</f>
        <v/>
      </c>
      <c r="C2676" s="0" t="n">
        <f aca="false">IF(OR(A2676&lt;&gt;"",B2676&lt;&gt;""),1,0)</f>
        <v>0</v>
      </c>
      <c r="D2676" s="0" t="str">
        <f aca="false">IF(C2676=1,MOD(ABS(SIN(ROW()*12.9898+'הדבקת לידים'!$F$2*78.233+IFERROR(--RIGHT(A2676,6),LEN(A2676))*0.0137+IFERROR(--RIGHT(B2676,6),LEN(B2676))*0.0071))*43758.5453,1),"")</f>
        <v/>
      </c>
      <c r="E2676" s="0" t="str">
        <f aca="false">IF(C2676=1,INT(MOD(ABS(SIN(D2676*7919.123+ROW()*0.618+'הדבקת לידים'!$F$2*1.3))*43758.5453,1)*1000000)*10000+ROW(),"")</f>
        <v/>
      </c>
      <c r="F2676" s="0" t="str">
        <f aca="false">IF(E2676="","",RANK(E2676,$E$2:$E$5001,1))</f>
        <v/>
      </c>
      <c r="G2676" s="0" t="n">
        <f aca="false">IF(A2676="",0,IF(SUMPRODUCT(--($A$2:$A$5001=A2676))&gt;1,1,0))</f>
        <v>0</v>
      </c>
      <c r="H2676" s="0" t="n">
        <f aca="false">ROW()-1</f>
        <v>2675</v>
      </c>
      <c r="I2676" s="0" t="str">
        <f aca="false">IF(OR(הגדרות!$E$6=0,H2676&gt;הגדרות!$E$5),"",IF(H2676-1&lt;הגדרות!$E$8*(הגדרות!$E$7+1),INT((H2676-1)/(הגדרות!$E$7+1)),הגדרות!$E$8+INT((H2676-1-הגדרות!$E$8*(הגדרות!$E$7+1))/הגדרות!$E$7)))</f>
        <v/>
      </c>
      <c r="J2676" s="0" t="str">
        <f aca="false">IF(I2676="","",IF(H2676-1&lt;הגדרות!$E$8*(הגדרות!$E$7+1),MOD(H2676-1,הגדרות!$E$7+1),MOD(H2676-1-הגדרות!$E$8*(הגדרות!$E$7+1),הגדרות!$E$7)))</f>
        <v/>
      </c>
      <c r="K2676" s="0" t="str">
        <f aca="false">IF(I2676="","",J2676*הגדרות!$E$6+I2676+1)</f>
        <v/>
      </c>
      <c r="L2676" s="0" t="str">
        <f aca="false">IF(K2676="","",MATCH(K2676,$F$2:$F$5001,0))</f>
        <v/>
      </c>
      <c r="M2676" s="0" t="str">
        <f aca="false">IF(I2676="","",INDEX(הגדרות!$A$2:$A$21,MOD(I2676+הגדרות!$E$9,הגדרות!$E$6)+1))</f>
        <v/>
      </c>
    </row>
    <row r="2677" customFormat="false" ht="15" hidden="false" customHeight="false" outlineLevel="0" collapsed="false">
      <c r="A2677" s="0" t="str">
        <f aca="false">IF('הדבקת לידים'!A2677="","",IF(ISNUMBER('הדבקת לידים'!A2677),IF(הגדרות!$E$2&gt;0,TEXT('הדבקת לידים'!A2677,REPT("0",הגדרות!$E$2)),TEXT('הדבקת לידים'!A2677,"0")),TRIM('הדבקת לידים'!A2677)))</f>
        <v/>
      </c>
      <c r="B2677" s="0" t="str">
        <f aca="false">IF('הדבקת לידים'!B2677="","",IF(ISNUMBER('הדבקת לידים'!B2677),IF(הגדרות!$E$3&gt;0,TEXT('הדבקת לידים'!B2677,REPT("0",הגדרות!$E$3)),TEXT('הדבקת לידים'!B2677,"0")),TRIM('הדבקת לידים'!B2677)))</f>
        <v/>
      </c>
      <c r="C2677" s="0" t="n">
        <f aca="false">IF(OR(A2677&lt;&gt;"",B2677&lt;&gt;""),1,0)</f>
        <v>0</v>
      </c>
      <c r="D2677" s="0" t="str">
        <f aca="false">IF(C2677=1,MOD(ABS(SIN(ROW()*12.9898+'הדבקת לידים'!$F$2*78.233+IFERROR(--RIGHT(A2677,6),LEN(A2677))*0.0137+IFERROR(--RIGHT(B2677,6),LEN(B2677))*0.0071))*43758.5453,1),"")</f>
        <v/>
      </c>
      <c r="E2677" s="0" t="str">
        <f aca="false">IF(C2677=1,INT(MOD(ABS(SIN(D2677*7919.123+ROW()*0.618+'הדבקת לידים'!$F$2*1.3))*43758.5453,1)*1000000)*10000+ROW(),"")</f>
        <v/>
      </c>
      <c r="F2677" s="0" t="str">
        <f aca="false">IF(E2677="","",RANK(E2677,$E$2:$E$5001,1))</f>
        <v/>
      </c>
      <c r="G2677" s="0" t="n">
        <f aca="false">IF(A2677="",0,IF(SUMPRODUCT(--($A$2:$A$5001=A2677))&gt;1,1,0))</f>
        <v>0</v>
      </c>
      <c r="H2677" s="0" t="n">
        <f aca="false">ROW()-1</f>
        <v>2676</v>
      </c>
      <c r="I2677" s="0" t="str">
        <f aca="false">IF(OR(הגדרות!$E$6=0,H2677&gt;הגדרות!$E$5),"",IF(H2677-1&lt;הגדרות!$E$8*(הגדרות!$E$7+1),INT((H2677-1)/(הגדרות!$E$7+1)),הגדרות!$E$8+INT((H2677-1-הגדרות!$E$8*(הגדרות!$E$7+1))/הגדרות!$E$7)))</f>
        <v/>
      </c>
      <c r="J2677" s="0" t="str">
        <f aca="false">IF(I2677="","",IF(H2677-1&lt;הגדרות!$E$8*(הגדרות!$E$7+1),MOD(H2677-1,הגדרות!$E$7+1),MOD(H2677-1-הגדרות!$E$8*(הגדרות!$E$7+1),הגדרות!$E$7)))</f>
        <v/>
      </c>
      <c r="K2677" s="0" t="str">
        <f aca="false">IF(I2677="","",J2677*הגדרות!$E$6+I2677+1)</f>
        <v/>
      </c>
      <c r="L2677" s="0" t="str">
        <f aca="false">IF(K2677="","",MATCH(K2677,$F$2:$F$5001,0))</f>
        <v/>
      </c>
      <c r="M2677" s="0" t="str">
        <f aca="false">IF(I2677="","",INDEX(הגדרות!$A$2:$A$21,MOD(I2677+הגדרות!$E$9,הגדרות!$E$6)+1))</f>
        <v/>
      </c>
    </row>
    <row r="2678" customFormat="false" ht="15" hidden="false" customHeight="false" outlineLevel="0" collapsed="false">
      <c r="A2678" s="0" t="str">
        <f aca="false">IF('הדבקת לידים'!A2678="","",IF(ISNUMBER('הדבקת לידים'!A2678),IF(הגדרות!$E$2&gt;0,TEXT('הדבקת לידים'!A2678,REPT("0",הגדרות!$E$2)),TEXT('הדבקת לידים'!A2678,"0")),TRIM('הדבקת לידים'!A2678)))</f>
        <v/>
      </c>
      <c r="B2678" s="0" t="str">
        <f aca="false">IF('הדבקת לידים'!B2678="","",IF(ISNUMBER('הדבקת לידים'!B2678),IF(הגדרות!$E$3&gt;0,TEXT('הדבקת לידים'!B2678,REPT("0",הגדרות!$E$3)),TEXT('הדבקת לידים'!B2678,"0")),TRIM('הדבקת לידים'!B2678)))</f>
        <v/>
      </c>
      <c r="C2678" s="0" t="n">
        <f aca="false">IF(OR(A2678&lt;&gt;"",B2678&lt;&gt;""),1,0)</f>
        <v>0</v>
      </c>
      <c r="D2678" s="0" t="str">
        <f aca="false">IF(C2678=1,MOD(ABS(SIN(ROW()*12.9898+'הדבקת לידים'!$F$2*78.233+IFERROR(--RIGHT(A2678,6),LEN(A2678))*0.0137+IFERROR(--RIGHT(B2678,6),LEN(B2678))*0.0071))*43758.5453,1),"")</f>
        <v/>
      </c>
      <c r="E2678" s="0" t="str">
        <f aca="false">IF(C2678=1,INT(MOD(ABS(SIN(D2678*7919.123+ROW()*0.618+'הדבקת לידים'!$F$2*1.3))*43758.5453,1)*1000000)*10000+ROW(),"")</f>
        <v/>
      </c>
      <c r="F2678" s="0" t="str">
        <f aca="false">IF(E2678="","",RANK(E2678,$E$2:$E$5001,1))</f>
        <v/>
      </c>
      <c r="G2678" s="0" t="n">
        <f aca="false">IF(A2678="",0,IF(SUMPRODUCT(--($A$2:$A$5001=A2678))&gt;1,1,0))</f>
        <v>0</v>
      </c>
      <c r="H2678" s="0" t="n">
        <f aca="false">ROW()-1</f>
        <v>2677</v>
      </c>
      <c r="I2678" s="0" t="str">
        <f aca="false">IF(OR(הגדרות!$E$6=0,H2678&gt;הגדרות!$E$5),"",IF(H2678-1&lt;הגדרות!$E$8*(הגדרות!$E$7+1),INT((H2678-1)/(הגדרות!$E$7+1)),הגדרות!$E$8+INT((H2678-1-הגדרות!$E$8*(הגדרות!$E$7+1))/הגדרות!$E$7)))</f>
        <v/>
      </c>
      <c r="J2678" s="0" t="str">
        <f aca="false">IF(I2678="","",IF(H2678-1&lt;הגדרות!$E$8*(הגדרות!$E$7+1),MOD(H2678-1,הגדרות!$E$7+1),MOD(H2678-1-הגדרות!$E$8*(הגדרות!$E$7+1),הגדרות!$E$7)))</f>
        <v/>
      </c>
      <c r="K2678" s="0" t="str">
        <f aca="false">IF(I2678="","",J2678*הגדרות!$E$6+I2678+1)</f>
        <v/>
      </c>
      <c r="L2678" s="0" t="str">
        <f aca="false">IF(K2678="","",MATCH(K2678,$F$2:$F$5001,0))</f>
        <v/>
      </c>
      <c r="M2678" s="0" t="str">
        <f aca="false">IF(I2678="","",INDEX(הגדרות!$A$2:$A$21,MOD(I2678+הגדרות!$E$9,הגדרות!$E$6)+1))</f>
        <v/>
      </c>
    </row>
    <row r="2679" customFormat="false" ht="15" hidden="false" customHeight="false" outlineLevel="0" collapsed="false">
      <c r="A2679" s="0" t="str">
        <f aca="false">IF('הדבקת לידים'!A2679="","",IF(ISNUMBER('הדבקת לידים'!A2679),IF(הגדרות!$E$2&gt;0,TEXT('הדבקת לידים'!A2679,REPT("0",הגדרות!$E$2)),TEXT('הדבקת לידים'!A2679,"0")),TRIM('הדבקת לידים'!A2679)))</f>
        <v/>
      </c>
      <c r="B2679" s="0" t="str">
        <f aca="false">IF('הדבקת לידים'!B2679="","",IF(ISNUMBER('הדבקת לידים'!B2679),IF(הגדרות!$E$3&gt;0,TEXT('הדבקת לידים'!B2679,REPT("0",הגדרות!$E$3)),TEXT('הדבקת לידים'!B2679,"0")),TRIM('הדבקת לידים'!B2679)))</f>
        <v/>
      </c>
      <c r="C2679" s="0" t="n">
        <f aca="false">IF(OR(A2679&lt;&gt;"",B2679&lt;&gt;""),1,0)</f>
        <v>0</v>
      </c>
      <c r="D2679" s="0" t="str">
        <f aca="false">IF(C2679=1,MOD(ABS(SIN(ROW()*12.9898+'הדבקת לידים'!$F$2*78.233+IFERROR(--RIGHT(A2679,6),LEN(A2679))*0.0137+IFERROR(--RIGHT(B2679,6),LEN(B2679))*0.0071))*43758.5453,1),"")</f>
        <v/>
      </c>
      <c r="E2679" s="0" t="str">
        <f aca="false">IF(C2679=1,INT(MOD(ABS(SIN(D2679*7919.123+ROW()*0.618+'הדבקת לידים'!$F$2*1.3))*43758.5453,1)*1000000)*10000+ROW(),"")</f>
        <v/>
      </c>
      <c r="F2679" s="0" t="str">
        <f aca="false">IF(E2679="","",RANK(E2679,$E$2:$E$5001,1))</f>
        <v/>
      </c>
      <c r="G2679" s="0" t="n">
        <f aca="false">IF(A2679="",0,IF(SUMPRODUCT(--($A$2:$A$5001=A2679))&gt;1,1,0))</f>
        <v>0</v>
      </c>
      <c r="H2679" s="0" t="n">
        <f aca="false">ROW()-1</f>
        <v>2678</v>
      </c>
      <c r="I2679" s="0" t="str">
        <f aca="false">IF(OR(הגדרות!$E$6=0,H2679&gt;הגדרות!$E$5),"",IF(H2679-1&lt;הגדרות!$E$8*(הגדרות!$E$7+1),INT((H2679-1)/(הגדרות!$E$7+1)),הגדרות!$E$8+INT((H2679-1-הגדרות!$E$8*(הגדרות!$E$7+1))/הגדרות!$E$7)))</f>
        <v/>
      </c>
      <c r="J2679" s="0" t="str">
        <f aca="false">IF(I2679="","",IF(H2679-1&lt;הגדרות!$E$8*(הגדרות!$E$7+1),MOD(H2679-1,הגדרות!$E$7+1),MOD(H2679-1-הגדרות!$E$8*(הגדרות!$E$7+1),הגדרות!$E$7)))</f>
        <v/>
      </c>
      <c r="K2679" s="0" t="str">
        <f aca="false">IF(I2679="","",J2679*הגדרות!$E$6+I2679+1)</f>
        <v/>
      </c>
      <c r="L2679" s="0" t="str">
        <f aca="false">IF(K2679="","",MATCH(K2679,$F$2:$F$5001,0))</f>
        <v/>
      </c>
      <c r="M2679" s="0" t="str">
        <f aca="false">IF(I2679="","",INDEX(הגדרות!$A$2:$A$21,MOD(I2679+הגדרות!$E$9,הגדרות!$E$6)+1))</f>
        <v/>
      </c>
    </row>
    <row r="2680" customFormat="false" ht="15" hidden="false" customHeight="false" outlineLevel="0" collapsed="false">
      <c r="A2680" s="0" t="str">
        <f aca="false">IF('הדבקת לידים'!A2680="","",IF(ISNUMBER('הדבקת לידים'!A2680),IF(הגדרות!$E$2&gt;0,TEXT('הדבקת לידים'!A2680,REPT("0",הגדרות!$E$2)),TEXT('הדבקת לידים'!A2680,"0")),TRIM('הדבקת לידים'!A2680)))</f>
        <v/>
      </c>
      <c r="B2680" s="0" t="str">
        <f aca="false">IF('הדבקת לידים'!B2680="","",IF(ISNUMBER('הדבקת לידים'!B2680),IF(הגדרות!$E$3&gt;0,TEXT('הדבקת לידים'!B2680,REPT("0",הגדרות!$E$3)),TEXT('הדבקת לידים'!B2680,"0")),TRIM('הדבקת לידים'!B2680)))</f>
        <v/>
      </c>
      <c r="C2680" s="0" t="n">
        <f aca="false">IF(OR(A2680&lt;&gt;"",B2680&lt;&gt;""),1,0)</f>
        <v>0</v>
      </c>
      <c r="D2680" s="0" t="str">
        <f aca="false">IF(C2680=1,MOD(ABS(SIN(ROW()*12.9898+'הדבקת לידים'!$F$2*78.233+IFERROR(--RIGHT(A2680,6),LEN(A2680))*0.0137+IFERROR(--RIGHT(B2680,6),LEN(B2680))*0.0071))*43758.5453,1),"")</f>
        <v/>
      </c>
      <c r="E2680" s="0" t="str">
        <f aca="false">IF(C2680=1,INT(MOD(ABS(SIN(D2680*7919.123+ROW()*0.618+'הדבקת לידים'!$F$2*1.3))*43758.5453,1)*1000000)*10000+ROW(),"")</f>
        <v/>
      </c>
      <c r="F2680" s="0" t="str">
        <f aca="false">IF(E2680="","",RANK(E2680,$E$2:$E$5001,1))</f>
        <v/>
      </c>
      <c r="G2680" s="0" t="n">
        <f aca="false">IF(A2680="",0,IF(SUMPRODUCT(--($A$2:$A$5001=A2680))&gt;1,1,0))</f>
        <v>0</v>
      </c>
      <c r="H2680" s="0" t="n">
        <f aca="false">ROW()-1</f>
        <v>2679</v>
      </c>
      <c r="I2680" s="0" t="str">
        <f aca="false">IF(OR(הגדרות!$E$6=0,H2680&gt;הגדרות!$E$5),"",IF(H2680-1&lt;הגדרות!$E$8*(הגדרות!$E$7+1),INT((H2680-1)/(הגדרות!$E$7+1)),הגדרות!$E$8+INT((H2680-1-הגדרות!$E$8*(הגדרות!$E$7+1))/הגדרות!$E$7)))</f>
        <v/>
      </c>
      <c r="J2680" s="0" t="str">
        <f aca="false">IF(I2680="","",IF(H2680-1&lt;הגדרות!$E$8*(הגדרות!$E$7+1),MOD(H2680-1,הגדרות!$E$7+1),MOD(H2680-1-הגדרות!$E$8*(הגדרות!$E$7+1),הגדרות!$E$7)))</f>
        <v/>
      </c>
      <c r="K2680" s="0" t="str">
        <f aca="false">IF(I2680="","",J2680*הגדרות!$E$6+I2680+1)</f>
        <v/>
      </c>
      <c r="L2680" s="0" t="str">
        <f aca="false">IF(K2680="","",MATCH(K2680,$F$2:$F$5001,0))</f>
        <v/>
      </c>
      <c r="M2680" s="0" t="str">
        <f aca="false">IF(I2680="","",INDEX(הגדרות!$A$2:$A$21,MOD(I2680+הגדרות!$E$9,הגדרות!$E$6)+1))</f>
        <v/>
      </c>
    </row>
    <row r="2681" customFormat="false" ht="15" hidden="false" customHeight="false" outlineLevel="0" collapsed="false">
      <c r="A2681" s="0" t="str">
        <f aca="false">IF('הדבקת לידים'!A2681="","",IF(ISNUMBER('הדבקת לידים'!A2681),IF(הגדרות!$E$2&gt;0,TEXT('הדבקת לידים'!A2681,REPT("0",הגדרות!$E$2)),TEXT('הדבקת לידים'!A2681,"0")),TRIM('הדבקת לידים'!A2681)))</f>
        <v/>
      </c>
      <c r="B2681" s="0" t="str">
        <f aca="false">IF('הדבקת לידים'!B2681="","",IF(ISNUMBER('הדבקת לידים'!B2681),IF(הגדרות!$E$3&gt;0,TEXT('הדבקת לידים'!B2681,REPT("0",הגדרות!$E$3)),TEXT('הדבקת לידים'!B2681,"0")),TRIM('הדבקת לידים'!B2681)))</f>
        <v/>
      </c>
      <c r="C2681" s="0" t="n">
        <f aca="false">IF(OR(A2681&lt;&gt;"",B2681&lt;&gt;""),1,0)</f>
        <v>0</v>
      </c>
      <c r="D2681" s="0" t="str">
        <f aca="false">IF(C2681=1,MOD(ABS(SIN(ROW()*12.9898+'הדבקת לידים'!$F$2*78.233+IFERROR(--RIGHT(A2681,6),LEN(A2681))*0.0137+IFERROR(--RIGHT(B2681,6),LEN(B2681))*0.0071))*43758.5453,1),"")</f>
        <v/>
      </c>
      <c r="E2681" s="0" t="str">
        <f aca="false">IF(C2681=1,INT(MOD(ABS(SIN(D2681*7919.123+ROW()*0.618+'הדבקת לידים'!$F$2*1.3))*43758.5453,1)*1000000)*10000+ROW(),"")</f>
        <v/>
      </c>
      <c r="F2681" s="0" t="str">
        <f aca="false">IF(E2681="","",RANK(E2681,$E$2:$E$5001,1))</f>
        <v/>
      </c>
      <c r="G2681" s="0" t="n">
        <f aca="false">IF(A2681="",0,IF(SUMPRODUCT(--($A$2:$A$5001=A2681))&gt;1,1,0))</f>
        <v>0</v>
      </c>
      <c r="H2681" s="0" t="n">
        <f aca="false">ROW()-1</f>
        <v>2680</v>
      </c>
      <c r="I2681" s="0" t="str">
        <f aca="false">IF(OR(הגדרות!$E$6=0,H2681&gt;הגדרות!$E$5),"",IF(H2681-1&lt;הגדרות!$E$8*(הגדרות!$E$7+1),INT((H2681-1)/(הגדרות!$E$7+1)),הגדרות!$E$8+INT((H2681-1-הגדרות!$E$8*(הגדרות!$E$7+1))/הגדרות!$E$7)))</f>
        <v/>
      </c>
      <c r="J2681" s="0" t="str">
        <f aca="false">IF(I2681="","",IF(H2681-1&lt;הגדרות!$E$8*(הגדרות!$E$7+1),MOD(H2681-1,הגדרות!$E$7+1),MOD(H2681-1-הגדרות!$E$8*(הגדרות!$E$7+1),הגדרות!$E$7)))</f>
        <v/>
      </c>
      <c r="K2681" s="0" t="str">
        <f aca="false">IF(I2681="","",J2681*הגדרות!$E$6+I2681+1)</f>
        <v/>
      </c>
      <c r="L2681" s="0" t="str">
        <f aca="false">IF(K2681="","",MATCH(K2681,$F$2:$F$5001,0))</f>
        <v/>
      </c>
      <c r="M2681" s="0" t="str">
        <f aca="false">IF(I2681="","",INDEX(הגדרות!$A$2:$A$21,MOD(I2681+הגדרות!$E$9,הגדרות!$E$6)+1))</f>
        <v/>
      </c>
    </row>
    <row r="2682" customFormat="false" ht="15" hidden="false" customHeight="false" outlineLevel="0" collapsed="false">
      <c r="A2682" s="0" t="str">
        <f aca="false">IF('הדבקת לידים'!A2682="","",IF(ISNUMBER('הדבקת לידים'!A2682),IF(הגדרות!$E$2&gt;0,TEXT('הדבקת לידים'!A2682,REPT("0",הגדרות!$E$2)),TEXT('הדבקת לידים'!A2682,"0")),TRIM('הדבקת לידים'!A2682)))</f>
        <v/>
      </c>
      <c r="B2682" s="0" t="str">
        <f aca="false">IF('הדבקת לידים'!B2682="","",IF(ISNUMBER('הדבקת לידים'!B2682),IF(הגדרות!$E$3&gt;0,TEXT('הדבקת לידים'!B2682,REPT("0",הגדרות!$E$3)),TEXT('הדבקת לידים'!B2682,"0")),TRIM('הדבקת לידים'!B2682)))</f>
        <v/>
      </c>
      <c r="C2682" s="0" t="n">
        <f aca="false">IF(OR(A2682&lt;&gt;"",B2682&lt;&gt;""),1,0)</f>
        <v>0</v>
      </c>
      <c r="D2682" s="0" t="str">
        <f aca="false">IF(C2682=1,MOD(ABS(SIN(ROW()*12.9898+'הדבקת לידים'!$F$2*78.233+IFERROR(--RIGHT(A2682,6),LEN(A2682))*0.0137+IFERROR(--RIGHT(B2682,6),LEN(B2682))*0.0071))*43758.5453,1),"")</f>
        <v/>
      </c>
      <c r="E2682" s="0" t="str">
        <f aca="false">IF(C2682=1,INT(MOD(ABS(SIN(D2682*7919.123+ROW()*0.618+'הדבקת לידים'!$F$2*1.3))*43758.5453,1)*1000000)*10000+ROW(),"")</f>
        <v/>
      </c>
      <c r="F2682" s="0" t="str">
        <f aca="false">IF(E2682="","",RANK(E2682,$E$2:$E$5001,1))</f>
        <v/>
      </c>
      <c r="G2682" s="0" t="n">
        <f aca="false">IF(A2682="",0,IF(SUMPRODUCT(--($A$2:$A$5001=A2682))&gt;1,1,0))</f>
        <v>0</v>
      </c>
      <c r="H2682" s="0" t="n">
        <f aca="false">ROW()-1</f>
        <v>2681</v>
      </c>
      <c r="I2682" s="0" t="str">
        <f aca="false">IF(OR(הגדרות!$E$6=0,H2682&gt;הגדרות!$E$5),"",IF(H2682-1&lt;הגדרות!$E$8*(הגדרות!$E$7+1),INT((H2682-1)/(הגדרות!$E$7+1)),הגדרות!$E$8+INT((H2682-1-הגדרות!$E$8*(הגדרות!$E$7+1))/הגדרות!$E$7)))</f>
        <v/>
      </c>
      <c r="J2682" s="0" t="str">
        <f aca="false">IF(I2682="","",IF(H2682-1&lt;הגדרות!$E$8*(הגדרות!$E$7+1),MOD(H2682-1,הגדרות!$E$7+1),MOD(H2682-1-הגדרות!$E$8*(הגדרות!$E$7+1),הגדרות!$E$7)))</f>
        <v/>
      </c>
      <c r="K2682" s="0" t="str">
        <f aca="false">IF(I2682="","",J2682*הגדרות!$E$6+I2682+1)</f>
        <v/>
      </c>
      <c r="L2682" s="0" t="str">
        <f aca="false">IF(K2682="","",MATCH(K2682,$F$2:$F$5001,0))</f>
        <v/>
      </c>
      <c r="M2682" s="0" t="str">
        <f aca="false">IF(I2682="","",INDEX(הגדרות!$A$2:$A$21,MOD(I2682+הגדרות!$E$9,הגדרות!$E$6)+1))</f>
        <v/>
      </c>
    </row>
    <row r="2683" customFormat="false" ht="15" hidden="false" customHeight="false" outlineLevel="0" collapsed="false">
      <c r="A2683" s="0" t="str">
        <f aca="false">IF('הדבקת לידים'!A2683="","",IF(ISNUMBER('הדבקת לידים'!A2683),IF(הגדרות!$E$2&gt;0,TEXT('הדבקת לידים'!A2683,REPT("0",הגדרות!$E$2)),TEXT('הדבקת לידים'!A2683,"0")),TRIM('הדבקת לידים'!A2683)))</f>
        <v/>
      </c>
      <c r="B2683" s="0" t="str">
        <f aca="false">IF('הדבקת לידים'!B2683="","",IF(ISNUMBER('הדבקת לידים'!B2683),IF(הגדרות!$E$3&gt;0,TEXT('הדבקת לידים'!B2683,REPT("0",הגדרות!$E$3)),TEXT('הדבקת לידים'!B2683,"0")),TRIM('הדבקת לידים'!B2683)))</f>
        <v/>
      </c>
      <c r="C2683" s="0" t="n">
        <f aca="false">IF(OR(A2683&lt;&gt;"",B2683&lt;&gt;""),1,0)</f>
        <v>0</v>
      </c>
      <c r="D2683" s="0" t="str">
        <f aca="false">IF(C2683=1,MOD(ABS(SIN(ROW()*12.9898+'הדבקת לידים'!$F$2*78.233+IFERROR(--RIGHT(A2683,6),LEN(A2683))*0.0137+IFERROR(--RIGHT(B2683,6),LEN(B2683))*0.0071))*43758.5453,1),"")</f>
        <v/>
      </c>
      <c r="E2683" s="0" t="str">
        <f aca="false">IF(C2683=1,INT(MOD(ABS(SIN(D2683*7919.123+ROW()*0.618+'הדבקת לידים'!$F$2*1.3))*43758.5453,1)*1000000)*10000+ROW(),"")</f>
        <v/>
      </c>
      <c r="F2683" s="0" t="str">
        <f aca="false">IF(E2683="","",RANK(E2683,$E$2:$E$5001,1))</f>
        <v/>
      </c>
      <c r="G2683" s="0" t="n">
        <f aca="false">IF(A2683="",0,IF(SUMPRODUCT(--($A$2:$A$5001=A2683))&gt;1,1,0))</f>
        <v>0</v>
      </c>
      <c r="H2683" s="0" t="n">
        <f aca="false">ROW()-1</f>
        <v>2682</v>
      </c>
      <c r="I2683" s="0" t="str">
        <f aca="false">IF(OR(הגדרות!$E$6=0,H2683&gt;הגדרות!$E$5),"",IF(H2683-1&lt;הגדרות!$E$8*(הגדרות!$E$7+1),INT((H2683-1)/(הגדרות!$E$7+1)),הגדרות!$E$8+INT((H2683-1-הגדרות!$E$8*(הגדרות!$E$7+1))/הגדרות!$E$7)))</f>
        <v/>
      </c>
      <c r="J2683" s="0" t="str">
        <f aca="false">IF(I2683="","",IF(H2683-1&lt;הגדרות!$E$8*(הגדרות!$E$7+1),MOD(H2683-1,הגדרות!$E$7+1),MOD(H2683-1-הגדרות!$E$8*(הגדרות!$E$7+1),הגדרות!$E$7)))</f>
        <v/>
      </c>
      <c r="K2683" s="0" t="str">
        <f aca="false">IF(I2683="","",J2683*הגדרות!$E$6+I2683+1)</f>
        <v/>
      </c>
      <c r="L2683" s="0" t="str">
        <f aca="false">IF(K2683="","",MATCH(K2683,$F$2:$F$5001,0))</f>
        <v/>
      </c>
      <c r="M2683" s="0" t="str">
        <f aca="false">IF(I2683="","",INDEX(הגדרות!$A$2:$A$21,MOD(I2683+הגדרות!$E$9,הגדרות!$E$6)+1))</f>
        <v/>
      </c>
    </row>
    <row r="2684" customFormat="false" ht="15" hidden="false" customHeight="false" outlineLevel="0" collapsed="false">
      <c r="A2684" s="0" t="str">
        <f aca="false">IF('הדבקת לידים'!A2684="","",IF(ISNUMBER('הדבקת לידים'!A2684),IF(הגדרות!$E$2&gt;0,TEXT('הדבקת לידים'!A2684,REPT("0",הגדרות!$E$2)),TEXT('הדבקת לידים'!A2684,"0")),TRIM('הדבקת לידים'!A2684)))</f>
        <v/>
      </c>
      <c r="B2684" s="0" t="str">
        <f aca="false">IF('הדבקת לידים'!B2684="","",IF(ISNUMBER('הדבקת לידים'!B2684),IF(הגדרות!$E$3&gt;0,TEXT('הדבקת לידים'!B2684,REPT("0",הגדרות!$E$3)),TEXT('הדבקת לידים'!B2684,"0")),TRIM('הדבקת לידים'!B2684)))</f>
        <v/>
      </c>
      <c r="C2684" s="0" t="n">
        <f aca="false">IF(OR(A2684&lt;&gt;"",B2684&lt;&gt;""),1,0)</f>
        <v>0</v>
      </c>
      <c r="D2684" s="0" t="str">
        <f aca="false">IF(C2684=1,MOD(ABS(SIN(ROW()*12.9898+'הדבקת לידים'!$F$2*78.233+IFERROR(--RIGHT(A2684,6),LEN(A2684))*0.0137+IFERROR(--RIGHT(B2684,6),LEN(B2684))*0.0071))*43758.5453,1),"")</f>
        <v/>
      </c>
      <c r="E2684" s="0" t="str">
        <f aca="false">IF(C2684=1,INT(MOD(ABS(SIN(D2684*7919.123+ROW()*0.618+'הדבקת לידים'!$F$2*1.3))*43758.5453,1)*1000000)*10000+ROW(),"")</f>
        <v/>
      </c>
      <c r="F2684" s="0" t="str">
        <f aca="false">IF(E2684="","",RANK(E2684,$E$2:$E$5001,1))</f>
        <v/>
      </c>
      <c r="G2684" s="0" t="n">
        <f aca="false">IF(A2684="",0,IF(SUMPRODUCT(--($A$2:$A$5001=A2684))&gt;1,1,0))</f>
        <v>0</v>
      </c>
      <c r="H2684" s="0" t="n">
        <f aca="false">ROW()-1</f>
        <v>2683</v>
      </c>
      <c r="I2684" s="0" t="str">
        <f aca="false">IF(OR(הגדרות!$E$6=0,H2684&gt;הגדרות!$E$5),"",IF(H2684-1&lt;הגדרות!$E$8*(הגדרות!$E$7+1),INT((H2684-1)/(הגדרות!$E$7+1)),הגדרות!$E$8+INT((H2684-1-הגדרות!$E$8*(הגדרות!$E$7+1))/הגדרות!$E$7)))</f>
        <v/>
      </c>
      <c r="J2684" s="0" t="str">
        <f aca="false">IF(I2684="","",IF(H2684-1&lt;הגדרות!$E$8*(הגדרות!$E$7+1),MOD(H2684-1,הגדרות!$E$7+1),MOD(H2684-1-הגדרות!$E$8*(הגדרות!$E$7+1),הגדרות!$E$7)))</f>
        <v/>
      </c>
      <c r="K2684" s="0" t="str">
        <f aca="false">IF(I2684="","",J2684*הגדרות!$E$6+I2684+1)</f>
        <v/>
      </c>
      <c r="L2684" s="0" t="str">
        <f aca="false">IF(K2684="","",MATCH(K2684,$F$2:$F$5001,0))</f>
        <v/>
      </c>
      <c r="M2684" s="0" t="str">
        <f aca="false">IF(I2684="","",INDEX(הגדרות!$A$2:$A$21,MOD(I2684+הגדרות!$E$9,הגדרות!$E$6)+1))</f>
        <v/>
      </c>
    </row>
    <row r="2685" customFormat="false" ht="15" hidden="false" customHeight="false" outlineLevel="0" collapsed="false">
      <c r="A2685" s="0" t="str">
        <f aca="false">IF('הדבקת לידים'!A2685="","",IF(ISNUMBER('הדבקת לידים'!A2685),IF(הגדרות!$E$2&gt;0,TEXT('הדבקת לידים'!A2685,REPT("0",הגדרות!$E$2)),TEXT('הדבקת לידים'!A2685,"0")),TRIM('הדבקת לידים'!A2685)))</f>
        <v/>
      </c>
      <c r="B2685" s="0" t="str">
        <f aca="false">IF('הדבקת לידים'!B2685="","",IF(ISNUMBER('הדבקת לידים'!B2685),IF(הגדרות!$E$3&gt;0,TEXT('הדבקת לידים'!B2685,REPT("0",הגדרות!$E$3)),TEXT('הדבקת לידים'!B2685,"0")),TRIM('הדבקת לידים'!B2685)))</f>
        <v/>
      </c>
      <c r="C2685" s="0" t="n">
        <f aca="false">IF(OR(A2685&lt;&gt;"",B2685&lt;&gt;""),1,0)</f>
        <v>0</v>
      </c>
      <c r="D2685" s="0" t="str">
        <f aca="false">IF(C2685=1,MOD(ABS(SIN(ROW()*12.9898+'הדבקת לידים'!$F$2*78.233+IFERROR(--RIGHT(A2685,6),LEN(A2685))*0.0137+IFERROR(--RIGHT(B2685,6),LEN(B2685))*0.0071))*43758.5453,1),"")</f>
        <v/>
      </c>
      <c r="E2685" s="0" t="str">
        <f aca="false">IF(C2685=1,INT(MOD(ABS(SIN(D2685*7919.123+ROW()*0.618+'הדבקת לידים'!$F$2*1.3))*43758.5453,1)*1000000)*10000+ROW(),"")</f>
        <v/>
      </c>
      <c r="F2685" s="0" t="str">
        <f aca="false">IF(E2685="","",RANK(E2685,$E$2:$E$5001,1))</f>
        <v/>
      </c>
      <c r="G2685" s="0" t="n">
        <f aca="false">IF(A2685="",0,IF(SUMPRODUCT(--($A$2:$A$5001=A2685))&gt;1,1,0))</f>
        <v>0</v>
      </c>
      <c r="H2685" s="0" t="n">
        <f aca="false">ROW()-1</f>
        <v>2684</v>
      </c>
      <c r="I2685" s="0" t="str">
        <f aca="false">IF(OR(הגדרות!$E$6=0,H2685&gt;הגדרות!$E$5),"",IF(H2685-1&lt;הגדרות!$E$8*(הגדרות!$E$7+1),INT((H2685-1)/(הגדרות!$E$7+1)),הגדרות!$E$8+INT((H2685-1-הגדרות!$E$8*(הגדרות!$E$7+1))/הגדרות!$E$7)))</f>
        <v/>
      </c>
      <c r="J2685" s="0" t="str">
        <f aca="false">IF(I2685="","",IF(H2685-1&lt;הגדרות!$E$8*(הגדרות!$E$7+1),MOD(H2685-1,הגדרות!$E$7+1),MOD(H2685-1-הגדרות!$E$8*(הגדרות!$E$7+1),הגדרות!$E$7)))</f>
        <v/>
      </c>
      <c r="K2685" s="0" t="str">
        <f aca="false">IF(I2685="","",J2685*הגדרות!$E$6+I2685+1)</f>
        <v/>
      </c>
      <c r="L2685" s="0" t="str">
        <f aca="false">IF(K2685="","",MATCH(K2685,$F$2:$F$5001,0))</f>
        <v/>
      </c>
      <c r="M2685" s="0" t="str">
        <f aca="false">IF(I2685="","",INDEX(הגדרות!$A$2:$A$21,MOD(I2685+הגדרות!$E$9,הגדרות!$E$6)+1))</f>
        <v/>
      </c>
    </row>
    <row r="2686" customFormat="false" ht="15" hidden="false" customHeight="false" outlineLevel="0" collapsed="false">
      <c r="A2686" s="0" t="str">
        <f aca="false">IF('הדבקת לידים'!A2686="","",IF(ISNUMBER('הדבקת לידים'!A2686),IF(הגדרות!$E$2&gt;0,TEXT('הדבקת לידים'!A2686,REPT("0",הגדרות!$E$2)),TEXT('הדבקת לידים'!A2686,"0")),TRIM('הדבקת לידים'!A2686)))</f>
        <v/>
      </c>
      <c r="B2686" s="0" t="str">
        <f aca="false">IF('הדבקת לידים'!B2686="","",IF(ISNUMBER('הדבקת לידים'!B2686),IF(הגדרות!$E$3&gt;0,TEXT('הדבקת לידים'!B2686,REPT("0",הגדרות!$E$3)),TEXT('הדבקת לידים'!B2686,"0")),TRIM('הדבקת לידים'!B2686)))</f>
        <v/>
      </c>
      <c r="C2686" s="0" t="n">
        <f aca="false">IF(OR(A2686&lt;&gt;"",B2686&lt;&gt;""),1,0)</f>
        <v>0</v>
      </c>
      <c r="D2686" s="0" t="str">
        <f aca="false">IF(C2686=1,MOD(ABS(SIN(ROW()*12.9898+'הדבקת לידים'!$F$2*78.233+IFERROR(--RIGHT(A2686,6),LEN(A2686))*0.0137+IFERROR(--RIGHT(B2686,6),LEN(B2686))*0.0071))*43758.5453,1),"")</f>
        <v/>
      </c>
      <c r="E2686" s="0" t="str">
        <f aca="false">IF(C2686=1,INT(MOD(ABS(SIN(D2686*7919.123+ROW()*0.618+'הדבקת לידים'!$F$2*1.3))*43758.5453,1)*1000000)*10000+ROW(),"")</f>
        <v/>
      </c>
      <c r="F2686" s="0" t="str">
        <f aca="false">IF(E2686="","",RANK(E2686,$E$2:$E$5001,1))</f>
        <v/>
      </c>
      <c r="G2686" s="0" t="n">
        <f aca="false">IF(A2686="",0,IF(SUMPRODUCT(--($A$2:$A$5001=A2686))&gt;1,1,0))</f>
        <v>0</v>
      </c>
      <c r="H2686" s="0" t="n">
        <f aca="false">ROW()-1</f>
        <v>2685</v>
      </c>
      <c r="I2686" s="0" t="str">
        <f aca="false">IF(OR(הגדרות!$E$6=0,H2686&gt;הגדרות!$E$5),"",IF(H2686-1&lt;הגדרות!$E$8*(הגדרות!$E$7+1),INT((H2686-1)/(הגדרות!$E$7+1)),הגדרות!$E$8+INT((H2686-1-הגדרות!$E$8*(הגדרות!$E$7+1))/הגדרות!$E$7)))</f>
        <v/>
      </c>
      <c r="J2686" s="0" t="str">
        <f aca="false">IF(I2686="","",IF(H2686-1&lt;הגדרות!$E$8*(הגדרות!$E$7+1),MOD(H2686-1,הגדרות!$E$7+1),MOD(H2686-1-הגדרות!$E$8*(הגדרות!$E$7+1),הגדרות!$E$7)))</f>
        <v/>
      </c>
      <c r="K2686" s="0" t="str">
        <f aca="false">IF(I2686="","",J2686*הגדרות!$E$6+I2686+1)</f>
        <v/>
      </c>
      <c r="L2686" s="0" t="str">
        <f aca="false">IF(K2686="","",MATCH(K2686,$F$2:$F$5001,0))</f>
        <v/>
      </c>
      <c r="M2686" s="0" t="str">
        <f aca="false">IF(I2686="","",INDEX(הגדרות!$A$2:$A$21,MOD(I2686+הגדרות!$E$9,הגדרות!$E$6)+1))</f>
        <v/>
      </c>
    </row>
    <row r="2687" customFormat="false" ht="15" hidden="false" customHeight="false" outlineLevel="0" collapsed="false">
      <c r="A2687" s="0" t="str">
        <f aca="false">IF('הדבקת לידים'!A2687="","",IF(ISNUMBER('הדבקת לידים'!A2687),IF(הגדרות!$E$2&gt;0,TEXT('הדבקת לידים'!A2687,REPT("0",הגדרות!$E$2)),TEXT('הדבקת לידים'!A2687,"0")),TRIM('הדבקת לידים'!A2687)))</f>
        <v/>
      </c>
      <c r="B2687" s="0" t="str">
        <f aca="false">IF('הדבקת לידים'!B2687="","",IF(ISNUMBER('הדבקת לידים'!B2687),IF(הגדרות!$E$3&gt;0,TEXT('הדבקת לידים'!B2687,REPT("0",הגדרות!$E$3)),TEXT('הדבקת לידים'!B2687,"0")),TRIM('הדבקת לידים'!B2687)))</f>
        <v/>
      </c>
      <c r="C2687" s="0" t="n">
        <f aca="false">IF(OR(A2687&lt;&gt;"",B2687&lt;&gt;""),1,0)</f>
        <v>0</v>
      </c>
      <c r="D2687" s="0" t="str">
        <f aca="false">IF(C2687=1,MOD(ABS(SIN(ROW()*12.9898+'הדבקת לידים'!$F$2*78.233+IFERROR(--RIGHT(A2687,6),LEN(A2687))*0.0137+IFERROR(--RIGHT(B2687,6),LEN(B2687))*0.0071))*43758.5453,1),"")</f>
        <v/>
      </c>
      <c r="E2687" s="0" t="str">
        <f aca="false">IF(C2687=1,INT(MOD(ABS(SIN(D2687*7919.123+ROW()*0.618+'הדבקת לידים'!$F$2*1.3))*43758.5453,1)*1000000)*10000+ROW(),"")</f>
        <v/>
      </c>
      <c r="F2687" s="0" t="str">
        <f aca="false">IF(E2687="","",RANK(E2687,$E$2:$E$5001,1))</f>
        <v/>
      </c>
      <c r="G2687" s="0" t="n">
        <f aca="false">IF(A2687="",0,IF(SUMPRODUCT(--($A$2:$A$5001=A2687))&gt;1,1,0))</f>
        <v>0</v>
      </c>
      <c r="H2687" s="0" t="n">
        <f aca="false">ROW()-1</f>
        <v>2686</v>
      </c>
      <c r="I2687" s="0" t="str">
        <f aca="false">IF(OR(הגדרות!$E$6=0,H2687&gt;הגדרות!$E$5),"",IF(H2687-1&lt;הגדרות!$E$8*(הגדרות!$E$7+1),INT((H2687-1)/(הגדרות!$E$7+1)),הגדרות!$E$8+INT((H2687-1-הגדרות!$E$8*(הגדרות!$E$7+1))/הגדרות!$E$7)))</f>
        <v/>
      </c>
      <c r="J2687" s="0" t="str">
        <f aca="false">IF(I2687="","",IF(H2687-1&lt;הגדרות!$E$8*(הגדרות!$E$7+1),MOD(H2687-1,הגדרות!$E$7+1),MOD(H2687-1-הגדרות!$E$8*(הגדרות!$E$7+1),הגדרות!$E$7)))</f>
        <v/>
      </c>
      <c r="K2687" s="0" t="str">
        <f aca="false">IF(I2687="","",J2687*הגדרות!$E$6+I2687+1)</f>
        <v/>
      </c>
      <c r="L2687" s="0" t="str">
        <f aca="false">IF(K2687="","",MATCH(K2687,$F$2:$F$5001,0))</f>
        <v/>
      </c>
      <c r="M2687" s="0" t="str">
        <f aca="false">IF(I2687="","",INDEX(הגדרות!$A$2:$A$21,MOD(I2687+הגדרות!$E$9,הגדרות!$E$6)+1))</f>
        <v/>
      </c>
    </row>
    <row r="2688" customFormat="false" ht="15" hidden="false" customHeight="false" outlineLevel="0" collapsed="false">
      <c r="A2688" s="0" t="str">
        <f aca="false">IF('הדבקת לידים'!A2688="","",IF(ISNUMBER('הדבקת לידים'!A2688),IF(הגדרות!$E$2&gt;0,TEXT('הדבקת לידים'!A2688,REPT("0",הגדרות!$E$2)),TEXT('הדבקת לידים'!A2688,"0")),TRIM('הדבקת לידים'!A2688)))</f>
        <v/>
      </c>
      <c r="B2688" s="0" t="str">
        <f aca="false">IF('הדבקת לידים'!B2688="","",IF(ISNUMBER('הדבקת לידים'!B2688),IF(הגדרות!$E$3&gt;0,TEXT('הדבקת לידים'!B2688,REPT("0",הגדרות!$E$3)),TEXT('הדבקת לידים'!B2688,"0")),TRIM('הדבקת לידים'!B2688)))</f>
        <v/>
      </c>
      <c r="C2688" s="0" t="n">
        <f aca="false">IF(OR(A2688&lt;&gt;"",B2688&lt;&gt;""),1,0)</f>
        <v>0</v>
      </c>
      <c r="D2688" s="0" t="str">
        <f aca="false">IF(C2688=1,MOD(ABS(SIN(ROW()*12.9898+'הדבקת לידים'!$F$2*78.233+IFERROR(--RIGHT(A2688,6),LEN(A2688))*0.0137+IFERROR(--RIGHT(B2688,6),LEN(B2688))*0.0071))*43758.5453,1),"")</f>
        <v/>
      </c>
      <c r="E2688" s="0" t="str">
        <f aca="false">IF(C2688=1,INT(MOD(ABS(SIN(D2688*7919.123+ROW()*0.618+'הדבקת לידים'!$F$2*1.3))*43758.5453,1)*1000000)*10000+ROW(),"")</f>
        <v/>
      </c>
      <c r="F2688" s="0" t="str">
        <f aca="false">IF(E2688="","",RANK(E2688,$E$2:$E$5001,1))</f>
        <v/>
      </c>
      <c r="G2688" s="0" t="n">
        <f aca="false">IF(A2688="",0,IF(SUMPRODUCT(--($A$2:$A$5001=A2688))&gt;1,1,0))</f>
        <v>0</v>
      </c>
      <c r="H2688" s="0" t="n">
        <f aca="false">ROW()-1</f>
        <v>2687</v>
      </c>
      <c r="I2688" s="0" t="str">
        <f aca="false">IF(OR(הגדרות!$E$6=0,H2688&gt;הגדרות!$E$5),"",IF(H2688-1&lt;הגדרות!$E$8*(הגדרות!$E$7+1),INT((H2688-1)/(הגדרות!$E$7+1)),הגדרות!$E$8+INT((H2688-1-הגדרות!$E$8*(הגדרות!$E$7+1))/הגדרות!$E$7)))</f>
        <v/>
      </c>
      <c r="J2688" s="0" t="str">
        <f aca="false">IF(I2688="","",IF(H2688-1&lt;הגדרות!$E$8*(הגדרות!$E$7+1),MOD(H2688-1,הגדרות!$E$7+1),MOD(H2688-1-הגדרות!$E$8*(הגדרות!$E$7+1),הגדרות!$E$7)))</f>
        <v/>
      </c>
      <c r="K2688" s="0" t="str">
        <f aca="false">IF(I2688="","",J2688*הגדרות!$E$6+I2688+1)</f>
        <v/>
      </c>
      <c r="L2688" s="0" t="str">
        <f aca="false">IF(K2688="","",MATCH(K2688,$F$2:$F$5001,0))</f>
        <v/>
      </c>
      <c r="M2688" s="0" t="str">
        <f aca="false">IF(I2688="","",INDEX(הגדרות!$A$2:$A$21,MOD(I2688+הגדרות!$E$9,הגדרות!$E$6)+1))</f>
        <v/>
      </c>
    </row>
    <row r="2689" customFormat="false" ht="15" hidden="false" customHeight="false" outlineLevel="0" collapsed="false">
      <c r="A2689" s="0" t="str">
        <f aca="false">IF('הדבקת לידים'!A2689="","",IF(ISNUMBER('הדבקת לידים'!A2689),IF(הגדרות!$E$2&gt;0,TEXT('הדבקת לידים'!A2689,REPT("0",הגדרות!$E$2)),TEXT('הדבקת לידים'!A2689,"0")),TRIM('הדבקת לידים'!A2689)))</f>
        <v/>
      </c>
      <c r="B2689" s="0" t="str">
        <f aca="false">IF('הדבקת לידים'!B2689="","",IF(ISNUMBER('הדבקת לידים'!B2689),IF(הגדרות!$E$3&gt;0,TEXT('הדבקת לידים'!B2689,REPT("0",הגדרות!$E$3)),TEXT('הדבקת לידים'!B2689,"0")),TRIM('הדבקת לידים'!B2689)))</f>
        <v/>
      </c>
      <c r="C2689" s="0" t="n">
        <f aca="false">IF(OR(A2689&lt;&gt;"",B2689&lt;&gt;""),1,0)</f>
        <v>0</v>
      </c>
      <c r="D2689" s="0" t="str">
        <f aca="false">IF(C2689=1,MOD(ABS(SIN(ROW()*12.9898+'הדבקת לידים'!$F$2*78.233+IFERROR(--RIGHT(A2689,6),LEN(A2689))*0.0137+IFERROR(--RIGHT(B2689,6),LEN(B2689))*0.0071))*43758.5453,1),"")</f>
        <v/>
      </c>
      <c r="E2689" s="0" t="str">
        <f aca="false">IF(C2689=1,INT(MOD(ABS(SIN(D2689*7919.123+ROW()*0.618+'הדבקת לידים'!$F$2*1.3))*43758.5453,1)*1000000)*10000+ROW(),"")</f>
        <v/>
      </c>
      <c r="F2689" s="0" t="str">
        <f aca="false">IF(E2689="","",RANK(E2689,$E$2:$E$5001,1))</f>
        <v/>
      </c>
      <c r="G2689" s="0" t="n">
        <f aca="false">IF(A2689="",0,IF(SUMPRODUCT(--($A$2:$A$5001=A2689))&gt;1,1,0))</f>
        <v>0</v>
      </c>
      <c r="H2689" s="0" t="n">
        <f aca="false">ROW()-1</f>
        <v>2688</v>
      </c>
      <c r="I2689" s="0" t="str">
        <f aca="false">IF(OR(הגדרות!$E$6=0,H2689&gt;הגדרות!$E$5),"",IF(H2689-1&lt;הגדרות!$E$8*(הגדרות!$E$7+1),INT((H2689-1)/(הגדרות!$E$7+1)),הגדרות!$E$8+INT((H2689-1-הגדרות!$E$8*(הגדרות!$E$7+1))/הגדרות!$E$7)))</f>
        <v/>
      </c>
      <c r="J2689" s="0" t="str">
        <f aca="false">IF(I2689="","",IF(H2689-1&lt;הגדרות!$E$8*(הגדרות!$E$7+1),MOD(H2689-1,הגדרות!$E$7+1),MOD(H2689-1-הגדרות!$E$8*(הגדרות!$E$7+1),הגדרות!$E$7)))</f>
        <v/>
      </c>
      <c r="K2689" s="0" t="str">
        <f aca="false">IF(I2689="","",J2689*הגדרות!$E$6+I2689+1)</f>
        <v/>
      </c>
      <c r="L2689" s="0" t="str">
        <f aca="false">IF(K2689="","",MATCH(K2689,$F$2:$F$5001,0))</f>
        <v/>
      </c>
      <c r="M2689" s="0" t="str">
        <f aca="false">IF(I2689="","",INDEX(הגדרות!$A$2:$A$21,MOD(I2689+הגדרות!$E$9,הגדרות!$E$6)+1))</f>
        <v/>
      </c>
    </row>
    <row r="2690" customFormat="false" ht="15" hidden="false" customHeight="false" outlineLevel="0" collapsed="false">
      <c r="A2690" s="0" t="str">
        <f aca="false">IF('הדבקת לידים'!A2690="","",IF(ISNUMBER('הדבקת לידים'!A2690),IF(הגדרות!$E$2&gt;0,TEXT('הדבקת לידים'!A2690,REPT("0",הגדרות!$E$2)),TEXT('הדבקת לידים'!A2690,"0")),TRIM('הדבקת לידים'!A2690)))</f>
        <v/>
      </c>
      <c r="B2690" s="0" t="str">
        <f aca="false">IF('הדבקת לידים'!B2690="","",IF(ISNUMBER('הדבקת לידים'!B2690),IF(הגדרות!$E$3&gt;0,TEXT('הדבקת לידים'!B2690,REPT("0",הגדרות!$E$3)),TEXT('הדבקת לידים'!B2690,"0")),TRIM('הדבקת לידים'!B2690)))</f>
        <v/>
      </c>
      <c r="C2690" s="0" t="n">
        <f aca="false">IF(OR(A2690&lt;&gt;"",B2690&lt;&gt;""),1,0)</f>
        <v>0</v>
      </c>
      <c r="D2690" s="0" t="str">
        <f aca="false">IF(C2690=1,MOD(ABS(SIN(ROW()*12.9898+'הדבקת לידים'!$F$2*78.233+IFERROR(--RIGHT(A2690,6),LEN(A2690))*0.0137+IFERROR(--RIGHT(B2690,6),LEN(B2690))*0.0071))*43758.5453,1),"")</f>
        <v/>
      </c>
      <c r="E2690" s="0" t="str">
        <f aca="false">IF(C2690=1,INT(MOD(ABS(SIN(D2690*7919.123+ROW()*0.618+'הדבקת לידים'!$F$2*1.3))*43758.5453,1)*1000000)*10000+ROW(),"")</f>
        <v/>
      </c>
      <c r="F2690" s="0" t="str">
        <f aca="false">IF(E2690="","",RANK(E2690,$E$2:$E$5001,1))</f>
        <v/>
      </c>
      <c r="G2690" s="0" t="n">
        <f aca="false">IF(A2690="",0,IF(SUMPRODUCT(--($A$2:$A$5001=A2690))&gt;1,1,0))</f>
        <v>0</v>
      </c>
      <c r="H2690" s="0" t="n">
        <f aca="false">ROW()-1</f>
        <v>2689</v>
      </c>
      <c r="I2690" s="0" t="str">
        <f aca="false">IF(OR(הגדרות!$E$6=0,H2690&gt;הגדרות!$E$5),"",IF(H2690-1&lt;הגדרות!$E$8*(הגדרות!$E$7+1),INT((H2690-1)/(הגדרות!$E$7+1)),הגדרות!$E$8+INT((H2690-1-הגדרות!$E$8*(הגדרות!$E$7+1))/הגדרות!$E$7)))</f>
        <v/>
      </c>
      <c r="J2690" s="0" t="str">
        <f aca="false">IF(I2690="","",IF(H2690-1&lt;הגדרות!$E$8*(הגדרות!$E$7+1),MOD(H2690-1,הגדרות!$E$7+1),MOD(H2690-1-הגדרות!$E$8*(הגדרות!$E$7+1),הגדרות!$E$7)))</f>
        <v/>
      </c>
      <c r="K2690" s="0" t="str">
        <f aca="false">IF(I2690="","",J2690*הגדרות!$E$6+I2690+1)</f>
        <v/>
      </c>
      <c r="L2690" s="0" t="str">
        <f aca="false">IF(K2690="","",MATCH(K2690,$F$2:$F$5001,0))</f>
        <v/>
      </c>
      <c r="M2690" s="0" t="str">
        <f aca="false">IF(I2690="","",INDEX(הגדרות!$A$2:$A$21,MOD(I2690+הגדרות!$E$9,הגדרות!$E$6)+1))</f>
        <v/>
      </c>
    </row>
    <row r="2691" customFormat="false" ht="15" hidden="false" customHeight="false" outlineLevel="0" collapsed="false">
      <c r="A2691" s="0" t="str">
        <f aca="false">IF('הדבקת לידים'!A2691="","",IF(ISNUMBER('הדבקת לידים'!A2691),IF(הגדרות!$E$2&gt;0,TEXT('הדבקת לידים'!A2691,REPT("0",הגדרות!$E$2)),TEXT('הדבקת לידים'!A2691,"0")),TRIM('הדבקת לידים'!A2691)))</f>
        <v/>
      </c>
      <c r="B2691" s="0" t="str">
        <f aca="false">IF('הדבקת לידים'!B2691="","",IF(ISNUMBER('הדבקת לידים'!B2691),IF(הגדרות!$E$3&gt;0,TEXT('הדבקת לידים'!B2691,REPT("0",הגדרות!$E$3)),TEXT('הדבקת לידים'!B2691,"0")),TRIM('הדבקת לידים'!B2691)))</f>
        <v/>
      </c>
      <c r="C2691" s="0" t="n">
        <f aca="false">IF(OR(A2691&lt;&gt;"",B2691&lt;&gt;""),1,0)</f>
        <v>0</v>
      </c>
      <c r="D2691" s="0" t="str">
        <f aca="false">IF(C2691=1,MOD(ABS(SIN(ROW()*12.9898+'הדבקת לידים'!$F$2*78.233+IFERROR(--RIGHT(A2691,6),LEN(A2691))*0.0137+IFERROR(--RIGHT(B2691,6),LEN(B2691))*0.0071))*43758.5453,1),"")</f>
        <v/>
      </c>
      <c r="E2691" s="0" t="str">
        <f aca="false">IF(C2691=1,INT(MOD(ABS(SIN(D2691*7919.123+ROW()*0.618+'הדבקת לידים'!$F$2*1.3))*43758.5453,1)*1000000)*10000+ROW(),"")</f>
        <v/>
      </c>
      <c r="F2691" s="0" t="str">
        <f aca="false">IF(E2691="","",RANK(E2691,$E$2:$E$5001,1))</f>
        <v/>
      </c>
      <c r="G2691" s="0" t="n">
        <f aca="false">IF(A2691="",0,IF(SUMPRODUCT(--($A$2:$A$5001=A2691))&gt;1,1,0))</f>
        <v>0</v>
      </c>
      <c r="H2691" s="0" t="n">
        <f aca="false">ROW()-1</f>
        <v>2690</v>
      </c>
      <c r="I2691" s="0" t="str">
        <f aca="false">IF(OR(הגדרות!$E$6=0,H2691&gt;הגדרות!$E$5),"",IF(H2691-1&lt;הגדרות!$E$8*(הגדרות!$E$7+1),INT((H2691-1)/(הגדרות!$E$7+1)),הגדרות!$E$8+INT((H2691-1-הגדרות!$E$8*(הגדרות!$E$7+1))/הגדרות!$E$7)))</f>
        <v/>
      </c>
      <c r="J2691" s="0" t="str">
        <f aca="false">IF(I2691="","",IF(H2691-1&lt;הגדרות!$E$8*(הגדרות!$E$7+1),MOD(H2691-1,הגדרות!$E$7+1),MOD(H2691-1-הגדרות!$E$8*(הגדרות!$E$7+1),הגדרות!$E$7)))</f>
        <v/>
      </c>
      <c r="K2691" s="0" t="str">
        <f aca="false">IF(I2691="","",J2691*הגדרות!$E$6+I2691+1)</f>
        <v/>
      </c>
      <c r="L2691" s="0" t="str">
        <f aca="false">IF(K2691="","",MATCH(K2691,$F$2:$F$5001,0))</f>
        <v/>
      </c>
      <c r="M2691" s="0" t="str">
        <f aca="false">IF(I2691="","",INDEX(הגדרות!$A$2:$A$21,MOD(I2691+הגדרות!$E$9,הגדרות!$E$6)+1))</f>
        <v/>
      </c>
    </row>
    <row r="2692" customFormat="false" ht="15" hidden="false" customHeight="false" outlineLevel="0" collapsed="false">
      <c r="A2692" s="0" t="str">
        <f aca="false">IF('הדבקת לידים'!A2692="","",IF(ISNUMBER('הדבקת לידים'!A2692),IF(הגדרות!$E$2&gt;0,TEXT('הדבקת לידים'!A2692,REPT("0",הגדרות!$E$2)),TEXT('הדבקת לידים'!A2692,"0")),TRIM('הדבקת לידים'!A2692)))</f>
        <v/>
      </c>
      <c r="B2692" s="0" t="str">
        <f aca="false">IF('הדבקת לידים'!B2692="","",IF(ISNUMBER('הדבקת לידים'!B2692),IF(הגדרות!$E$3&gt;0,TEXT('הדבקת לידים'!B2692,REPT("0",הגדרות!$E$3)),TEXT('הדבקת לידים'!B2692,"0")),TRIM('הדבקת לידים'!B2692)))</f>
        <v/>
      </c>
      <c r="C2692" s="0" t="n">
        <f aca="false">IF(OR(A2692&lt;&gt;"",B2692&lt;&gt;""),1,0)</f>
        <v>0</v>
      </c>
      <c r="D2692" s="0" t="str">
        <f aca="false">IF(C2692=1,MOD(ABS(SIN(ROW()*12.9898+'הדבקת לידים'!$F$2*78.233+IFERROR(--RIGHT(A2692,6),LEN(A2692))*0.0137+IFERROR(--RIGHT(B2692,6),LEN(B2692))*0.0071))*43758.5453,1),"")</f>
        <v/>
      </c>
      <c r="E2692" s="0" t="str">
        <f aca="false">IF(C2692=1,INT(MOD(ABS(SIN(D2692*7919.123+ROW()*0.618+'הדבקת לידים'!$F$2*1.3))*43758.5453,1)*1000000)*10000+ROW(),"")</f>
        <v/>
      </c>
      <c r="F2692" s="0" t="str">
        <f aca="false">IF(E2692="","",RANK(E2692,$E$2:$E$5001,1))</f>
        <v/>
      </c>
      <c r="G2692" s="0" t="n">
        <f aca="false">IF(A2692="",0,IF(SUMPRODUCT(--($A$2:$A$5001=A2692))&gt;1,1,0))</f>
        <v>0</v>
      </c>
      <c r="H2692" s="0" t="n">
        <f aca="false">ROW()-1</f>
        <v>2691</v>
      </c>
      <c r="I2692" s="0" t="str">
        <f aca="false">IF(OR(הגדרות!$E$6=0,H2692&gt;הגדרות!$E$5),"",IF(H2692-1&lt;הגדרות!$E$8*(הגדרות!$E$7+1),INT((H2692-1)/(הגדרות!$E$7+1)),הגדרות!$E$8+INT((H2692-1-הגדרות!$E$8*(הגדרות!$E$7+1))/הגדרות!$E$7)))</f>
        <v/>
      </c>
      <c r="J2692" s="0" t="str">
        <f aca="false">IF(I2692="","",IF(H2692-1&lt;הגדרות!$E$8*(הגדרות!$E$7+1),MOD(H2692-1,הגדרות!$E$7+1),MOD(H2692-1-הגדרות!$E$8*(הגדרות!$E$7+1),הגדרות!$E$7)))</f>
        <v/>
      </c>
      <c r="K2692" s="0" t="str">
        <f aca="false">IF(I2692="","",J2692*הגדרות!$E$6+I2692+1)</f>
        <v/>
      </c>
      <c r="L2692" s="0" t="str">
        <f aca="false">IF(K2692="","",MATCH(K2692,$F$2:$F$5001,0))</f>
        <v/>
      </c>
      <c r="M2692" s="0" t="str">
        <f aca="false">IF(I2692="","",INDEX(הגדרות!$A$2:$A$21,MOD(I2692+הגדרות!$E$9,הגדרות!$E$6)+1))</f>
        <v/>
      </c>
    </row>
    <row r="2693" customFormat="false" ht="15" hidden="false" customHeight="false" outlineLevel="0" collapsed="false">
      <c r="A2693" s="0" t="str">
        <f aca="false">IF('הדבקת לידים'!A2693="","",IF(ISNUMBER('הדבקת לידים'!A2693),IF(הגדרות!$E$2&gt;0,TEXT('הדבקת לידים'!A2693,REPT("0",הגדרות!$E$2)),TEXT('הדבקת לידים'!A2693,"0")),TRIM('הדבקת לידים'!A2693)))</f>
        <v/>
      </c>
      <c r="B2693" s="0" t="str">
        <f aca="false">IF('הדבקת לידים'!B2693="","",IF(ISNUMBER('הדבקת לידים'!B2693),IF(הגדרות!$E$3&gt;0,TEXT('הדבקת לידים'!B2693,REPT("0",הגדרות!$E$3)),TEXT('הדבקת לידים'!B2693,"0")),TRIM('הדבקת לידים'!B2693)))</f>
        <v/>
      </c>
      <c r="C2693" s="0" t="n">
        <f aca="false">IF(OR(A2693&lt;&gt;"",B2693&lt;&gt;""),1,0)</f>
        <v>0</v>
      </c>
      <c r="D2693" s="0" t="str">
        <f aca="false">IF(C2693=1,MOD(ABS(SIN(ROW()*12.9898+'הדבקת לידים'!$F$2*78.233+IFERROR(--RIGHT(A2693,6),LEN(A2693))*0.0137+IFERROR(--RIGHT(B2693,6),LEN(B2693))*0.0071))*43758.5453,1),"")</f>
        <v/>
      </c>
      <c r="E2693" s="0" t="str">
        <f aca="false">IF(C2693=1,INT(MOD(ABS(SIN(D2693*7919.123+ROW()*0.618+'הדבקת לידים'!$F$2*1.3))*43758.5453,1)*1000000)*10000+ROW(),"")</f>
        <v/>
      </c>
      <c r="F2693" s="0" t="str">
        <f aca="false">IF(E2693="","",RANK(E2693,$E$2:$E$5001,1))</f>
        <v/>
      </c>
      <c r="G2693" s="0" t="n">
        <f aca="false">IF(A2693="",0,IF(SUMPRODUCT(--($A$2:$A$5001=A2693))&gt;1,1,0))</f>
        <v>0</v>
      </c>
      <c r="H2693" s="0" t="n">
        <f aca="false">ROW()-1</f>
        <v>2692</v>
      </c>
      <c r="I2693" s="0" t="str">
        <f aca="false">IF(OR(הגדרות!$E$6=0,H2693&gt;הגדרות!$E$5),"",IF(H2693-1&lt;הגדרות!$E$8*(הגדרות!$E$7+1),INT((H2693-1)/(הגדרות!$E$7+1)),הגדרות!$E$8+INT((H2693-1-הגדרות!$E$8*(הגדרות!$E$7+1))/הגדרות!$E$7)))</f>
        <v/>
      </c>
      <c r="J2693" s="0" t="str">
        <f aca="false">IF(I2693="","",IF(H2693-1&lt;הגדרות!$E$8*(הגדרות!$E$7+1),MOD(H2693-1,הגדרות!$E$7+1),MOD(H2693-1-הגדרות!$E$8*(הגדרות!$E$7+1),הגדרות!$E$7)))</f>
        <v/>
      </c>
      <c r="K2693" s="0" t="str">
        <f aca="false">IF(I2693="","",J2693*הגדרות!$E$6+I2693+1)</f>
        <v/>
      </c>
      <c r="L2693" s="0" t="str">
        <f aca="false">IF(K2693="","",MATCH(K2693,$F$2:$F$5001,0))</f>
        <v/>
      </c>
      <c r="M2693" s="0" t="str">
        <f aca="false">IF(I2693="","",INDEX(הגדרות!$A$2:$A$21,MOD(I2693+הגדרות!$E$9,הגדרות!$E$6)+1))</f>
        <v/>
      </c>
    </row>
    <row r="2694" customFormat="false" ht="15" hidden="false" customHeight="false" outlineLevel="0" collapsed="false">
      <c r="A2694" s="0" t="str">
        <f aca="false">IF('הדבקת לידים'!A2694="","",IF(ISNUMBER('הדבקת לידים'!A2694),IF(הגדרות!$E$2&gt;0,TEXT('הדבקת לידים'!A2694,REPT("0",הגדרות!$E$2)),TEXT('הדבקת לידים'!A2694,"0")),TRIM('הדבקת לידים'!A2694)))</f>
        <v/>
      </c>
      <c r="B2694" s="0" t="str">
        <f aca="false">IF('הדבקת לידים'!B2694="","",IF(ISNUMBER('הדבקת לידים'!B2694),IF(הגדרות!$E$3&gt;0,TEXT('הדבקת לידים'!B2694,REPT("0",הגדרות!$E$3)),TEXT('הדבקת לידים'!B2694,"0")),TRIM('הדבקת לידים'!B2694)))</f>
        <v/>
      </c>
      <c r="C2694" s="0" t="n">
        <f aca="false">IF(OR(A2694&lt;&gt;"",B2694&lt;&gt;""),1,0)</f>
        <v>0</v>
      </c>
      <c r="D2694" s="0" t="str">
        <f aca="false">IF(C2694=1,MOD(ABS(SIN(ROW()*12.9898+'הדבקת לידים'!$F$2*78.233+IFERROR(--RIGHT(A2694,6),LEN(A2694))*0.0137+IFERROR(--RIGHT(B2694,6),LEN(B2694))*0.0071))*43758.5453,1),"")</f>
        <v/>
      </c>
      <c r="E2694" s="0" t="str">
        <f aca="false">IF(C2694=1,INT(MOD(ABS(SIN(D2694*7919.123+ROW()*0.618+'הדבקת לידים'!$F$2*1.3))*43758.5453,1)*1000000)*10000+ROW(),"")</f>
        <v/>
      </c>
      <c r="F2694" s="0" t="str">
        <f aca="false">IF(E2694="","",RANK(E2694,$E$2:$E$5001,1))</f>
        <v/>
      </c>
      <c r="G2694" s="0" t="n">
        <f aca="false">IF(A2694="",0,IF(SUMPRODUCT(--($A$2:$A$5001=A2694))&gt;1,1,0))</f>
        <v>0</v>
      </c>
      <c r="H2694" s="0" t="n">
        <f aca="false">ROW()-1</f>
        <v>2693</v>
      </c>
      <c r="I2694" s="0" t="str">
        <f aca="false">IF(OR(הגדרות!$E$6=0,H2694&gt;הגדרות!$E$5),"",IF(H2694-1&lt;הגדרות!$E$8*(הגדרות!$E$7+1),INT((H2694-1)/(הגדרות!$E$7+1)),הגדרות!$E$8+INT((H2694-1-הגדרות!$E$8*(הגדרות!$E$7+1))/הגדרות!$E$7)))</f>
        <v/>
      </c>
      <c r="J2694" s="0" t="str">
        <f aca="false">IF(I2694="","",IF(H2694-1&lt;הגדרות!$E$8*(הגדרות!$E$7+1),MOD(H2694-1,הגדרות!$E$7+1),MOD(H2694-1-הגדרות!$E$8*(הגדרות!$E$7+1),הגדרות!$E$7)))</f>
        <v/>
      </c>
      <c r="K2694" s="0" t="str">
        <f aca="false">IF(I2694="","",J2694*הגדרות!$E$6+I2694+1)</f>
        <v/>
      </c>
      <c r="L2694" s="0" t="str">
        <f aca="false">IF(K2694="","",MATCH(K2694,$F$2:$F$5001,0))</f>
        <v/>
      </c>
      <c r="M2694" s="0" t="str">
        <f aca="false">IF(I2694="","",INDEX(הגדרות!$A$2:$A$21,MOD(I2694+הגדרות!$E$9,הגדרות!$E$6)+1))</f>
        <v/>
      </c>
    </row>
    <row r="2695" customFormat="false" ht="15" hidden="false" customHeight="false" outlineLevel="0" collapsed="false">
      <c r="A2695" s="0" t="str">
        <f aca="false">IF('הדבקת לידים'!A2695="","",IF(ISNUMBER('הדבקת לידים'!A2695),IF(הגדרות!$E$2&gt;0,TEXT('הדבקת לידים'!A2695,REPT("0",הגדרות!$E$2)),TEXT('הדבקת לידים'!A2695,"0")),TRIM('הדבקת לידים'!A2695)))</f>
        <v/>
      </c>
      <c r="B2695" s="0" t="str">
        <f aca="false">IF('הדבקת לידים'!B2695="","",IF(ISNUMBER('הדבקת לידים'!B2695),IF(הגדרות!$E$3&gt;0,TEXT('הדבקת לידים'!B2695,REPT("0",הגדרות!$E$3)),TEXT('הדבקת לידים'!B2695,"0")),TRIM('הדבקת לידים'!B2695)))</f>
        <v/>
      </c>
      <c r="C2695" s="0" t="n">
        <f aca="false">IF(OR(A2695&lt;&gt;"",B2695&lt;&gt;""),1,0)</f>
        <v>0</v>
      </c>
      <c r="D2695" s="0" t="str">
        <f aca="false">IF(C2695=1,MOD(ABS(SIN(ROW()*12.9898+'הדבקת לידים'!$F$2*78.233+IFERROR(--RIGHT(A2695,6),LEN(A2695))*0.0137+IFERROR(--RIGHT(B2695,6),LEN(B2695))*0.0071))*43758.5453,1),"")</f>
        <v/>
      </c>
      <c r="E2695" s="0" t="str">
        <f aca="false">IF(C2695=1,INT(MOD(ABS(SIN(D2695*7919.123+ROW()*0.618+'הדבקת לידים'!$F$2*1.3))*43758.5453,1)*1000000)*10000+ROW(),"")</f>
        <v/>
      </c>
      <c r="F2695" s="0" t="str">
        <f aca="false">IF(E2695="","",RANK(E2695,$E$2:$E$5001,1))</f>
        <v/>
      </c>
      <c r="G2695" s="0" t="n">
        <f aca="false">IF(A2695="",0,IF(SUMPRODUCT(--($A$2:$A$5001=A2695))&gt;1,1,0))</f>
        <v>0</v>
      </c>
      <c r="H2695" s="0" t="n">
        <f aca="false">ROW()-1</f>
        <v>2694</v>
      </c>
      <c r="I2695" s="0" t="str">
        <f aca="false">IF(OR(הגדרות!$E$6=0,H2695&gt;הגדרות!$E$5),"",IF(H2695-1&lt;הגדרות!$E$8*(הגדרות!$E$7+1),INT((H2695-1)/(הגדרות!$E$7+1)),הגדרות!$E$8+INT((H2695-1-הגדרות!$E$8*(הגדרות!$E$7+1))/הגדרות!$E$7)))</f>
        <v/>
      </c>
      <c r="J2695" s="0" t="str">
        <f aca="false">IF(I2695="","",IF(H2695-1&lt;הגדרות!$E$8*(הגדרות!$E$7+1),MOD(H2695-1,הגדרות!$E$7+1),MOD(H2695-1-הגדרות!$E$8*(הגדרות!$E$7+1),הגדרות!$E$7)))</f>
        <v/>
      </c>
      <c r="K2695" s="0" t="str">
        <f aca="false">IF(I2695="","",J2695*הגדרות!$E$6+I2695+1)</f>
        <v/>
      </c>
      <c r="L2695" s="0" t="str">
        <f aca="false">IF(K2695="","",MATCH(K2695,$F$2:$F$5001,0))</f>
        <v/>
      </c>
      <c r="M2695" s="0" t="str">
        <f aca="false">IF(I2695="","",INDEX(הגדרות!$A$2:$A$21,MOD(I2695+הגדרות!$E$9,הגדרות!$E$6)+1))</f>
        <v/>
      </c>
    </row>
    <row r="2696" customFormat="false" ht="15" hidden="false" customHeight="false" outlineLevel="0" collapsed="false">
      <c r="A2696" s="0" t="str">
        <f aca="false">IF('הדבקת לידים'!A2696="","",IF(ISNUMBER('הדבקת לידים'!A2696),IF(הגדרות!$E$2&gt;0,TEXT('הדבקת לידים'!A2696,REPT("0",הגדרות!$E$2)),TEXT('הדבקת לידים'!A2696,"0")),TRIM('הדבקת לידים'!A2696)))</f>
        <v/>
      </c>
      <c r="B2696" s="0" t="str">
        <f aca="false">IF('הדבקת לידים'!B2696="","",IF(ISNUMBER('הדבקת לידים'!B2696),IF(הגדרות!$E$3&gt;0,TEXT('הדבקת לידים'!B2696,REPT("0",הגדרות!$E$3)),TEXT('הדבקת לידים'!B2696,"0")),TRIM('הדבקת לידים'!B2696)))</f>
        <v/>
      </c>
      <c r="C2696" s="0" t="n">
        <f aca="false">IF(OR(A2696&lt;&gt;"",B2696&lt;&gt;""),1,0)</f>
        <v>0</v>
      </c>
      <c r="D2696" s="0" t="str">
        <f aca="false">IF(C2696=1,MOD(ABS(SIN(ROW()*12.9898+'הדבקת לידים'!$F$2*78.233+IFERROR(--RIGHT(A2696,6),LEN(A2696))*0.0137+IFERROR(--RIGHT(B2696,6),LEN(B2696))*0.0071))*43758.5453,1),"")</f>
        <v/>
      </c>
      <c r="E2696" s="0" t="str">
        <f aca="false">IF(C2696=1,INT(MOD(ABS(SIN(D2696*7919.123+ROW()*0.618+'הדבקת לידים'!$F$2*1.3))*43758.5453,1)*1000000)*10000+ROW(),"")</f>
        <v/>
      </c>
      <c r="F2696" s="0" t="str">
        <f aca="false">IF(E2696="","",RANK(E2696,$E$2:$E$5001,1))</f>
        <v/>
      </c>
      <c r="G2696" s="0" t="n">
        <f aca="false">IF(A2696="",0,IF(SUMPRODUCT(--($A$2:$A$5001=A2696))&gt;1,1,0))</f>
        <v>0</v>
      </c>
      <c r="H2696" s="0" t="n">
        <f aca="false">ROW()-1</f>
        <v>2695</v>
      </c>
      <c r="I2696" s="0" t="str">
        <f aca="false">IF(OR(הגדרות!$E$6=0,H2696&gt;הגדרות!$E$5),"",IF(H2696-1&lt;הגדרות!$E$8*(הגדרות!$E$7+1),INT((H2696-1)/(הגדרות!$E$7+1)),הגדרות!$E$8+INT((H2696-1-הגדרות!$E$8*(הגדרות!$E$7+1))/הגדרות!$E$7)))</f>
        <v/>
      </c>
      <c r="J2696" s="0" t="str">
        <f aca="false">IF(I2696="","",IF(H2696-1&lt;הגדרות!$E$8*(הגדרות!$E$7+1),MOD(H2696-1,הגדרות!$E$7+1),MOD(H2696-1-הגדרות!$E$8*(הגדרות!$E$7+1),הגדרות!$E$7)))</f>
        <v/>
      </c>
      <c r="K2696" s="0" t="str">
        <f aca="false">IF(I2696="","",J2696*הגדרות!$E$6+I2696+1)</f>
        <v/>
      </c>
      <c r="L2696" s="0" t="str">
        <f aca="false">IF(K2696="","",MATCH(K2696,$F$2:$F$5001,0))</f>
        <v/>
      </c>
      <c r="M2696" s="0" t="str">
        <f aca="false">IF(I2696="","",INDEX(הגדרות!$A$2:$A$21,MOD(I2696+הגדרות!$E$9,הגדרות!$E$6)+1))</f>
        <v/>
      </c>
    </row>
    <row r="2697" customFormat="false" ht="15" hidden="false" customHeight="false" outlineLevel="0" collapsed="false">
      <c r="A2697" s="0" t="str">
        <f aca="false">IF('הדבקת לידים'!A2697="","",IF(ISNUMBER('הדבקת לידים'!A2697),IF(הגדרות!$E$2&gt;0,TEXT('הדבקת לידים'!A2697,REPT("0",הגדרות!$E$2)),TEXT('הדבקת לידים'!A2697,"0")),TRIM('הדבקת לידים'!A2697)))</f>
        <v/>
      </c>
      <c r="B2697" s="0" t="str">
        <f aca="false">IF('הדבקת לידים'!B2697="","",IF(ISNUMBER('הדבקת לידים'!B2697),IF(הגדרות!$E$3&gt;0,TEXT('הדבקת לידים'!B2697,REPT("0",הגדרות!$E$3)),TEXT('הדבקת לידים'!B2697,"0")),TRIM('הדבקת לידים'!B2697)))</f>
        <v/>
      </c>
      <c r="C2697" s="0" t="n">
        <f aca="false">IF(OR(A2697&lt;&gt;"",B2697&lt;&gt;""),1,0)</f>
        <v>0</v>
      </c>
      <c r="D2697" s="0" t="str">
        <f aca="false">IF(C2697=1,MOD(ABS(SIN(ROW()*12.9898+'הדבקת לידים'!$F$2*78.233+IFERROR(--RIGHT(A2697,6),LEN(A2697))*0.0137+IFERROR(--RIGHT(B2697,6),LEN(B2697))*0.0071))*43758.5453,1),"")</f>
        <v/>
      </c>
      <c r="E2697" s="0" t="str">
        <f aca="false">IF(C2697=1,INT(MOD(ABS(SIN(D2697*7919.123+ROW()*0.618+'הדבקת לידים'!$F$2*1.3))*43758.5453,1)*1000000)*10000+ROW(),"")</f>
        <v/>
      </c>
      <c r="F2697" s="0" t="str">
        <f aca="false">IF(E2697="","",RANK(E2697,$E$2:$E$5001,1))</f>
        <v/>
      </c>
      <c r="G2697" s="0" t="n">
        <f aca="false">IF(A2697="",0,IF(SUMPRODUCT(--($A$2:$A$5001=A2697))&gt;1,1,0))</f>
        <v>0</v>
      </c>
      <c r="H2697" s="0" t="n">
        <f aca="false">ROW()-1</f>
        <v>2696</v>
      </c>
      <c r="I2697" s="0" t="str">
        <f aca="false">IF(OR(הגדרות!$E$6=0,H2697&gt;הגדרות!$E$5),"",IF(H2697-1&lt;הגדרות!$E$8*(הגדרות!$E$7+1),INT((H2697-1)/(הגדרות!$E$7+1)),הגדרות!$E$8+INT((H2697-1-הגדרות!$E$8*(הגדרות!$E$7+1))/הגדרות!$E$7)))</f>
        <v/>
      </c>
      <c r="J2697" s="0" t="str">
        <f aca="false">IF(I2697="","",IF(H2697-1&lt;הגדרות!$E$8*(הגדרות!$E$7+1),MOD(H2697-1,הגדרות!$E$7+1),MOD(H2697-1-הגדרות!$E$8*(הגדרות!$E$7+1),הגדרות!$E$7)))</f>
        <v/>
      </c>
      <c r="K2697" s="0" t="str">
        <f aca="false">IF(I2697="","",J2697*הגדרות!$E$6+I2697+1)</f>
        <v/>
      </c>
      <c r="L2697" s="0" t="str">
        <f aca="false">IF(K2697="","",MATCH(K2697,$F$2:$F$5001,0))</f>
        <v/>
      </c>
      <c r="M2697" s="0" t="str">
        <f aca="false">IF(I2697="","",INDEX(הגדרות!$A$2:$A$21,MOD(I2697+הגדרות!$E$9,הגדרות!$E$6)+1))</f>
        <v/>
      </c>
    </row>
    <row r="2698" customFormat="false" ht="15" hidden="false" customHeight="false" outlineLevel="0" collapsed="false">
      <c r="A2698" s="0" t="str">
        <f aca="false">IF('הדבקת לידים'!A2698="","",IF(ISNUMBER('הדבקת לידים'!A2698),IF(הגדרות!$E$2&gt;0,TEXT('הדבקת לידים'!A2698,REPT("0",הגדרות!$E$2)),TEXT('הדבקת לידים'!A2698,"0")),TRIM('הדבקת לידים'!A2698)))</f>
        <v/>
      </c>
      <c r="B2698" s="0" t="str">
        <f aca="false">IF('הדבקת לידים'!B2698="","",IF(ISNUMBER('הדבקת לידים'!B2698),IF(הגדרות!$E$3&gt;0,TEXT('הדבקת לידים'!B2698,REPT("0",הגדרות!$E$3)),TEXT('הדבקת לידים'!B2698,"0")),TRIM('הדבקת לידים'!B2698)))</f>
        <v/>
      </c>
      <c r="C2698" s="0" t="n">
        <f aca="false">IF(OR(A2698&lt;&gt;"",B2698&lt;&gt;""),1,0)</f>
        <v>0</v>
      </c>
      <c r="D2698" s="0" t="str">
        <f aca="false">IF(C2698=1,MOD(ABS(SIN(ROW()*12.9898+'הדבקת לידים'!$F$2*78.233+IFERROR(--RIGHT(A2698,6),LEN(A2698))*0.0137+IFERROR(--RIGHT(B2698,6),LEN(B2698))*0.0071))*43758.5453,1),"")</f>
        <v/>
      </c>
      <c r="E2698" s="0" t="str">
        <f aca="false">IF(C2698=1,INT(MOD(ABS(SIN(D2698*7919.123+ROW()*0.618+'הדבקת לידים'!$F$2*1.3))*43758.5453,1)*1000000)*10000+ROW(),"")</f>
        <v/>
      </c>
      <c r="F2698" s="0" t="str">
        <f aca="false">IF(E2698="","",RANK(E2698,$E$2:$E$5001,1))</f>
        <v/>
      </c>
      <c r="G2698" s="0" t="n">
        <f aca="false">IF(A2698="",0,IF(SUMPRODUCT(--($A$2:$A$5001=A2698))&gt;1,1,0))</f>
        <v>0</v>
      </c>
      <c r="H2698" s="0" t="n">
        <f aca="false">ROW()-1</f>
        <v>2697</v>
      </c>
      <c r="I2698" s="0" t="str">
        <f aca="false">IF(OR(הגדרות!$E$6=0,H2698&gt;הגדרות!$E$5),"",IF(H2698-1&lt;הגדרות!$E$8*(הגדרות!$E$7+1),INT((H2698-1)/(הגדרות!$E$7+1)),הגדרות!$E$8+INT((H2698-1-הגדרות!$E$8*(הגדרות!$E$7+1))/הגדרות!$E$7)))</f>
        <v/>
      </c>
      <c r="J2698" s="0" t="str">
        <f aca="false">IF(I2698="","",IF(H2698-1&lt;הגדרות!$E$8*(הגדרות!$E$7+1),MOD(H2698-1,הגדרות!$E$7+1),MOD(H2698-1-הגדרות!$E$8*(הגדרות!$E$7+1),הגדרות!$E$7)))</f>
        <v/>
      </c>
      <c r="K2698" s="0" t="str">
        <f aca="false">IF(I2698="","",J2698*הגדרות!$E$6+I2698+1)</f>
        <v/>
      </c>
      <c r="L2698" s="0" t="str">
        <f aca="false">IF(K2698="","",MATCH(K2698,$F$2:$F$5001,0))</f>
        <v/>
      </c>
      <c r="M2698" s="0" t="str">
        <f aca="false">IF(I2698="","",INDEX(הגדרות!$A$2:$A$21,MOD(I2698+הגדרות!$E$9,הגדרות!$E$6)+1))</f>
        <v/>
      </c>
    </row>
    <row r="2699" customFormat="false" ht="15" hidden="false" customHeight="false" outlineLevel="0" collapsed="false">
      <c r="A2699" s="0" t="str">
        <f aca="false">IF('הדבקת לידים'!A2699="","",IF(ISNUMBER('הדבקת לידים'!A2699),IF(הגדרות!$E$2&gt;0,TEXT('הדבקת לידים'!A2699,REPT("0",הגדרות!$E$2)),TEXT('הדבקת לידים'!A2699,"0")),TRIM('הדבקת לידים'!A2699)))</f>
        <v/>
      </c>
      <c r="B2699" s="0" t="str">
        <f aca="false">IF('הדבקת לידים'!B2699="","",IF(ISNUMBER('הדבקת לידים'!B2699),IF(הגדרות!$E$3&gt;0,TEXT('הדבקת לידים'!B2699,REPT("0",הגדרות!$E$3)),TEXT('הדבקת לידים'!B2699,"0")),TRIM('הדבקת לידים'!B2699)))</f>
        <v/>
      </c>
      <c r="C2699" s="0" t="n">
        <f aca="false">IF(OR(A2699&lt;&gt;"",B2699&lt;&gt;""),1,0)</f>
        <v>0</v>
      </c>
      <c r="D2699" s="0" t="str">
        <f aca="false">IF(C2699=1,MOD(ABS(SIN(ROW()*12.9898+'הדבקת לידים'!$F$2*78.233+IFERROR(--RIGHT(A2699,6),LEN(A2699))*0.0137+IFERROR(--RIGHT(B2699,6),LEN(B2699))*0.0071))*43758.5453,1),"")</f>
        <v/>
      </c>
      <c r="E2699" s="0" t="str">
        <f aca="false">IF(C2699=1,INT(MOD(ABS(SIN(D2699*7919.123+ROW()*0.618+'הדבקת לידים'!$F$2*1.3))*43758.5453,1)*1000000)*10000+ROW(),"")</f>
        <v/>
      </c>
      <c r="F2699" s="0" t="str">
        <f aca="false">IF(E2699="","",RANK(E2699,$E$2:$E$5001,1))</f>
        <v/>
      </c>
      <c r="G2699" s="0" t="n">
        <f aca="false">IF(A2699="",0,IF(SUMPRODUCT(--($A$2:$A$5001=A2699))&gt;1,1,0))</f>
        <v>0</v>
      </c>
      <c r="H2699" s="0" t="n">
        <f aca="false">ROW()-1</f>
        <v>2698</v>
      </c>
      <c r="I2699" s="0" t="str">
        <f aca="false">IF(OR(הגדרות!$E$6=0,H2699&gt;הגדרות!$E$5),"",IF(H2699-1&lt;הגדרות!$E$8*(הגדרות!$E$7+1),INT((H2699-1)/(הגדרות!$E$7+1)),הגדרות!$E$8+INT((H2699-1-הגדרות!$E$8*(הגדרות!$E$7+1))/הגדרות!$E$7)))</f>
        <v/>
      </c>
      <c r="J2699" s="0" t="str">
        <f aca="false">IF(I2699="","",IF(H2699-1&lt;הגדרות!$E$8*(הגדרות!$E$7+1),MOD(H2699-1,הגדרות!$E$7+1),MOD(H2699-1-הגדרות!$E$8*(הגדרות!$E$7+1),הגדרות!$E$7)))</f>
        <v/>
      </c>
      <c r="K2699" s="0" t="str">
        <f aca="false">IF(I2699="","",J2699*הגדרות!$E$6+I2699+1)</f>
        <v/>
      </c>
      <c r="L2699" s="0" t="str">
        <f aca="false">IF(K2699="","",MATCH(K2699,$F$2:$F$5001,0))</f>
        <v/>
      </c>
      <c r="M2699" s="0" t="str">
        <f aca="false">IF(I2699="","",INDEX(הגדרות!$A$2:$A$21,MOD(I2699+הגדרות!$E$9,הגדרות!$E$6)+1))</f>
        <v/>
      </c>
    </row>
    <row r="2700" customFormat="false" ht="15" hidden="false" customHeight="false" outlineLevel="0" collapsed="false">
      <c r="A2700" s="0" t="str">
        <f aca="false">IF('הדבקת לידים'!A2700="","",IF(ISNUMBER('הדבקת לידים'!A2700),IF(הגדרות!$E$2&gt;0,TEXT('הדבקת לידים'!A2700,REPT("0",הגדרות!$E$2)),TEXT('הדבקת לידים'!A2700,"0")),TRIM('הדבקת לידים'!A2700)))</f>
        <v/>
      </c>
      <c r="B2700" s="0" t="str">
        <f aca="false">IF('הדבקת לידים'!B2700="","",IF(ISNUMBER('הדבקת לידים'!B2700),IF(הגדרות!$E$3&gt;0,TEXT('הדבקת לידים'!B2700,REPT("0",הגדרות!$E$3)),TEXT('הדבקת לידים'!B2700,"0")),TRIM('הדבקת לידים'!B2700)))</f>
        <v/>
      </c>
      <c r="C2700" s="0" t="n">
        <f aca="false">IF(OR(A2700&lt;&gt;"",B2700&lt;&gt;""),1,0)</f>
        <v>0</v>
      </c>
      <c r="D2700" s="0" t="str">
        <f aca="false">IF(C2700=1,MOD(ABS(SIN(ROW()*12.9898+'הדבקת לידים'!$F$2*78.233+IFERROR(--RIGHT(A2700,6),LEN(A2700))*0.0137+IFERROR(--RIGHT(B2700,6),LEN(B2700))*0.0071))*43758.5453,1),"")</f>
        <v/>
      </c>
      <c r="E2700" s="0" t="str">
        <f aca="false">IF(C2700=1,INT(MOD(ABS(SIN(D2700*7919.123+ROW()*0.618+'הדבקת לידים'!$F$2*1.3))*43758.5453,1)*1000000)*10000+ROW(),"")</f>
        <v/>
      </c>
      <c r="F2700" s="0" t="str">
        <f aca="false">IF(E2700="","",RANK(E2700,$E$2:$E$5001,1))</f>
        <v/>
      </c>
      <c r="G2700" s="0" t="n">
        <f aca="false">IF(A2700="",0,IF(SUMPRODUCT(--($A$2:$A$5001=A2700))&gt;1,1,0))</f>
        <v>0</v>
      </c>
      <c r="H2700" s="0" t="n">
        <f aca="false">ROW()-1</f>
        <v>2699</v>
      </c>
      <c r="I2700" s="0" t="str">
        <f aca="false">IF(OR(הגדרות!$E$6=0,H2700&gt;הגדרות!$E$5),"",IF(H2700-1&lt;הגדרות!$E$8*(הגדרות!$E$7+1),INT((H2700-1)/(הגדרות!$E$7+1)),הגדרות!$E$8+INT((H2700-1-הגדרות!$E$8*(הגדרות!$E$7+1))/הגדרות!$E$7)))</f>
        <v/>
      </c>
      <c r="J2700" s="0" t="str">
        <f aca="false">IF(I2700="","",IF(H2700-1&lt;הגדרות!$E$8*(הגדרות!$E$7+1),MOD(H2700-1,הגדרות!$E$7+1),MOD(H2700-1-הגדרות!$E$8*(הגדרות!$E$7+1),הגדרות!$E$7)))</f>
        <v/>
      </c>
      <c r="K2700" s="0" t="str">
        <f aca="false">IF(I2700="","",J2700*הגדרות!$E$6+I2700+1)</f>
        <v/>
      </c>
      <c r="L2700" s="0" t="str">
        <f aca="false">IF(K2700="","",MATCH(K2700,$F$2:$F$5001,0))</f>
        <v/>
      </c>
      <c r="M2700" s="0" t="str">
        <f aca="false">IF(I2700="","",INDEX(הגדרות!$A$2:$A$21,MOD(I2700+הגדרות!$E$9,הגדרות!$E$6)+1))</f>
        <v/>
      </c>
    </row>
    <row r="2701" customFormat="false" ht="15" hidden="false" customHeight="false" outlineLevel="0" collapsed="false">
      <c r="A2701" s="0" t="str">
        <f aca="false">IF('הדבקת לידים'!A2701="","",IF(ISNUMBER('הדבקת לידים'!A2701),IF(הגדרות!$E$2&gt;0,TEXT('הדבקת לידים'!A2701,REPT("0",הגדרות!$E$2)),TEXT('הדבקת לידים'!A2701,"0")),TRIM('הדבקת לידים'!A2701)))</f>
        <v/>
      </c>
      <c r="B2701" s="0" t="str">
        <f aca="false">IF('הדבקת לידים'!B2701="","",IF(ISNUMBER('הדבקת לידים'!B2701),IF(הגדרות!$E$3&gt;0,TEXT('הדבקת לידים'!B2701,REPT("0",הגדרות!$E$3)),TEXT('הדבקת לידים'!B2701,"0")),TRIM('הדבקת לידים'!B2701)))</f>
        <v/>
      </c>
      <c r="C2701" s="0" t="n">
        <f aca="false">IF(OR(A2701&lt;&gt;"",B2701&lt;&gt;""),1,0)</f>
        <v>0</v>
      </c>
      <c r="D2701" s="0" t="str">
        <f aca="false">IF(C2701=1,MOD(ABS(SIN(ROW()*12.9898+'הדבקת לידים'!$F$2*78.233+IFERROR(--RIGHT(A2701,6),LEN(A2701))*0.0137+IFERROR(--RIGHT(B2701,6),LEN(B2701))*0.0071))*43758.5453,1),"")</f>
        <v/>
      </c>
      <c r="E2701" s="0" t="str">
        <f aca="false">IF(C2701=1,INT(MOD(ABS(SIN(D2701*7919.123+ROW()*0.618+'הדבקת לידים'!$F$2*1.3))*43758.5453,1)*1000000)*10000+ROW(),"")</f>
        <v/>
      </c>
      <c r="F2701" s="0" t="str">
        <f aca="false">IF(E2701="","",RANK(E2701,$E$2:$E$5001,1))</f>
        <v/>
      </c>
      <c r="G2701" s="0" t="n">
        <f aca="false">IF(A2701="",0,IF(SUMPRODUCT(--($A$2:$A$5001=A2701))&gt;1,1,0))</f>
        <v>0</v>
      </c>
      <c r="H2701" s="0" t="n">
        <f aca="false">ROW()-1</f>
        <v>2700</v>
      </c>
      <c r="I2701" s="0" t="str">
        <f aca="false">IF(OR(הגדרות!$E$6=0,H2701&gt;הגדרות!$E$5),"",IF(H2701-1&lt;הגדרות!$E$8*(הגדרות!$E$7+1),INT((H2701-1)/(הגדרות!$E$7+1)),הגדרות!$E$8+INT((H2701-1-הגדרות!$E$8*(הגדרות!$E$7+1))/הגדרות!$E$7)))</f>
        <v/>
      </c>
      <c r="J2701" s="0" t="str">
        <f aca="false">IF(I2701="","",IF(H2701-1&lt;הגדרות!$E$8*(הגדרות!$E$7+1),MOD(H2701-1,הגדרות!$E$7+1),MOD(H2701-1-הגדרות!$E$8*(הגדרות!$E$7+1),הגדרות!$E$7)))</f>
        <v/>
      </c>
      <c r="K2701" s="0" t="str">
        <f aca="false">IF(I2701="","",J2701*הגדרות!$E$6+I2701+1)</f>
        <v/>
      </c>
      <c r="L2701" s="0" t="str">
        <f aca="false">IF(K2701="","",MATCH(K2701,$F$2:$F$5001,0))</f>
        <v/>
      </c>
      <c r="M2701" s="0" t="str">
        <f aca="false">IF(I2701="","",INDEX(הגדרות!$A$2:$A$21,MOD(I2701+הגדרות!$E$9,הגדרות!$E$6)+1))</f>
        <v/>
      </c>
    </row>
    <row r="2702" customFormat="false" ht="15" hidden="false" customHeight="false" outlineLevel="0" collapsed="false">
      <c r="A2702" s="0" t="str">
        <f aca="false">IF('הדבקת לידים'!A2702="","",IF(ISNUMBER('הדבקת לידים'!A2702),IF(הגדרות!$E$2&gt;0,TEXT('הדבקת לידים'!A2702,REPT("0",הגדרות!$E$2)),TEXT('הדבקת לידים'!A2702,"0")),TRIM('הדבקת לידים'!A2702)))</f>
        <v/>
      </c>
      <c r="B2702" s="0" t="str">
        <f aca="false">IF('הדבקת לידים'!B2702="","",IF(ISNUMBER('הדבקת לידים'!B2702),IF(הגדרות!$E$3&gt;0,TEXT('הדבקת לידים'!B2702,REPT("0",הגדרות!$E$3)),TEXT('הדבקת לידים'!B2702,"0")),TRIM('הדבקת לידים'!B2702)))</f>
        <v/>
      </c>
      <c r="C2702" s="0" t="n">
        <f aca="false">IF(OR(A2702&lt;&gt;"",B2702&lt;&gt;""),1,0)</f>
        <v>0</v>
      </c>
      <c r="D2702" s="0" t="str">
        <f aca="false">IF(C2702=1,MOD(ABS(SIN(ROW()*12.9898+'הדבקת לידים'!$F$2*78.233+IFERROR(--RIGHT(A2702,6),LEN(A2702))*0.0137+IFERROR(--RIGHT(B2702,6),LEN(B2702))*0.0071))*43758.5453,1),"")</f>
        <v/>
      </c>
      <c r="E2702" s="0" t="str">
        <f aca="false">IF(C2702=1,INT(MOD(ABS(SIN(D2702*7919.123+ROW()*0.618+'הדבקת לידים'!$F$2*1.3))*43758.5453,1)*1000000)*10000+ROW(),"")</f>
        <v/>
      </c>
      <c r="F2702" s="0" t="str">
        <f aca="false">IF(E2702="","",RANK(E2702,$E$2:$E$5001,1))</f>
        <v/>
      </c>
      <c r="G2702" s="0" t="n">
        <f aca="false">IF(A2702="",0,IF(SUMPRODUCT(--($A$2:$A$5001=A2702))&gt;1,1,0))</f>
        <v>0</v>
      </c>
      <c r="H2702" s="0" t="n">
        <f aca="false">ROW()-1</f>
        <v>2701</v>
      </c>
      <c r="I2702" s="0" t="str">
        <f aca="false">IF(OR(הגדרות!$E$6=0,H2702&gt;הגדרות!$E$5),"",IF(H2702-1&lt;הגדרות!$E$8*(הגדרות!$E$7+1),INT((H2702-1)/(הגדרות!$E$7+1)),הגדרות!$E$8+INT((H2702-1-הגדרות!$E$8*(הגדרות!$E$7+1))/הגדרות!$E$7)))</f>
        <v/>
      </c>
      <c r="J2702" s="0" t="str">
        <f aca="false">IF(I2702="","",IF(H2702-1&lt;הגדרות!$E$8*(הגדרות!$E$7+1),MOD(H2702-1,הגדרות!$E$7+1),MOD(H2702-1-הגדרות!$E$8*(הגדרות!$E$7+1),הגדרות!$E$7)))</f>
        <v/>
      </c>
      <c r="K2702" s="0" t="str">
        <f aca="false">IF(I2702="","",J2702*הגדרות!$E$6+I2702+1)</f>
        <v/>
      </c>
      <c r="L2702" s="0" t="str">
        <f aca="false">IF(K2702="","",MATCH(K2702,$F$2:$F$5001,0))</f>
        <v/>
      </c>
      <c r="M2702" s="0" t="str">
        <f aca="false">IF(I2702="","",INDEX(הגדרות!$A$2:$A$21,MOD(I2702+הגדרות!$E$9,הגדרות!$E$6)+1))</f>
        <v/>
      </c>
    </row>
    <row r="2703" customFormat="false" ht="15" hidden="false" customHeight="false" outlineLevel="0" collapsed="false">
      <c r="A2703" s="0" t="str">
        <f aca="false">IF('הדבקת לידים'!A2703="","",IF(ISNUMBER('הדבקת לידים'!A2703),IF(הגדרות!$E$2&gt;0,TEXT('הדבקת לידים'!A2703,REPT("0",הגדרות!$E$2)),TEXT('הדבקת לידים'!A2703,"0")),TRIM('הדבקת לידים'!A2703)))</f>
        <v/>
      </c>
      <c r="B2703" s="0" t="str">
        <f aca="false">IF('הדבקת לידים'!B2703="","",IF(ISNUMBER('הדבקת לידים'!B2703),IF(הגדרות!$E$3&gt;0,TEXT('הדבקת לידים'!B2703,REPT("0",הגדרות!$E$3)),TEXT('הדבקת לידים'!B2703,"0")),TRIM('הדבקת לידים'!B2703)))</f>
        <v/>
      </c>
      <c r="C2703" s="0" t="n">
        <f aca="false">IF(OR(A2703&lt;&gt;"",B2703&lt;&gt;""),1,0)</f>
        <v>0</v>
      </c>
      <c r="D2703" s="0" t="str">
        <f aca="false">IF(C2703=1,MOD(ABS(SIN(ROW()*12.9898+'הדבקת לידים'!$F$2*78.233+IFERROR(--RIGHT(A2703,6),LEN(A2703))*0.0137+IFERROR(--RIGHT(B2703,6),LEN(B2703))*0.0071))*43758.5453,1),"")</f>
        <v/>
      </c>
      <c r="E2703" s="0" t="str">
        <f aca="false">IF(C2703=1,INT(MOD(ABS(SIN(D2703*7919.123+ROW()*0.618+'הדבקת לידים'!$F$2*1.3))*43758.5453,1)*1000000)*10000+ROW(),"")</f>
        <v/>
      </c>
      <c r="F2703" s="0" t="str">
        <f aca="false">IF(E2703="","",RANK(E2703,$E$2:$E$5001,1))</f>
        <v/>
      </c>
      <c r="G2703" s="0" t="n">
        <f aca="false">IF(A2703="",0,IF(SUMPRODUCT(--($A$2:$A$5001=A2703))&gt;1,1,0))</f>
        <v>0</v>
      </c>
      <c r="H2703" s="0" t="n">
        <f aca="false">ROW()-1</f>
        <v>2702</v>
      </c>
      <c r="I2703" s="0" t="str">
        <f aca="false">IF(OR(הגדרות!$E$6=0,H2703&gt;הגדרות!$E$5),"",IF(H2703-1&lt;הגדרות!$E$8*(הגדרות!$E$7+1),INT((H2703-1)/(הגדרות!$E$7+1)),הגדרות!$E$8+INT((H2703-1-הגדרות!$E$8*(הגדרות!$E$7+1))/הגדרות!$E$7)))</f>
        <v/>
      </c>
      <c r="J2703" s="0" t="str">
        <f aca="false">IF(I2703="","",IF(H2703-1&lt;הגדרות!$E$8*(הגדרות!$E$7+1),MOD(H2703-1,הגדרות!$E$7+1),MOD(H2703-1-הגדרות!$E$8*(הגדרות!$E$7+1),הגדרות!$E$7)))</f>
        <v/>
      </c>
      <c r="K2703" s="0" t="str">
        <f aca="false">IF(I2703="","",J2703*הגדרות!$E$6+I2703+1)</f>
        <v/>
      </c>
      <c r="L2703" s="0" t="str">
        <f aca="false">IF(K2703="","",MATCH(K2703,$F$2:$F$5001,0))</f>
        <v/>
      </c>
      <c r="M2703" s="0" t="str">
        <f aca="false">IF(I2703="","",INDEX(הגדרות!$A$2:$A$21,MOD(I2703+הגדרות!$E$9,הגדרות!$E$6)+1))</f>
        <v/>
      </c>
    </row>
    <row r="2704" customFormat="false" ht="15" hidden="false" customHeight="false" outlineLevel="0" collapsed="false">
      <c r="A2704" s="0" t="str">
        <f aca="false">IF('הדבקת לידים'!A2704="","",IF(ISNUMBER('הדבקת לידים'!A2704),IF(הגדרות!$E$2&gt;0,TEXT('הדבקת לידים'!A2704,REPT("0",הגדרות!$E$2)),TEXT('הדבקת לידים'!A2704,"0")),TRIM('הדבקת לידים'!A2704)))</f>
        <v/>
      </c>
      <c r="B2704" s="0" t="str">
        <f aca="false">IF('הדבקת לידים'!B2704="","",IF(ISNUMBER('הדבקת לידים'!B2704),IF(הגדרות!$E$3&gt;0,TEXT('הדבקת לידים'!B2704,REPT("0",הגדרות!$E$3)),TEXT('הדבקת לידים'!B2704,"0")),TRIM('הדבקת לידים'!B2704)))</f>
        <v/>
      </c>
      <c r="C2704" s="0" t="n">
        <f aca="false">IF(OR(A2704&lt;&gt;"",B2704&lt;&gt;""),1,0)</f>
        <v>0</v>
      </c>
      <c r="D2704" s="0" t="str">
        <f aca="false">IF(C2704=1,MOD(ABS(SIN(ROW()*12.9898+'הדבקת לידים'!$F$2*78.233+IFERROR(--RIGHT(A2704,6),LEN(A2704))*0.0137+IFERROR(--RIGHT(B2704,6),LEN(B2704))*0.0071))*43758.5453,1),"")</f>
        <v/>
      </c>
      <c r="E2704" s="0" t="str">
        <f aca="false">IF(C2704=1,INT(MOD(ABS(SIN(D2704*7919.123+ROW()*0.618+'הדבקת לידים'!$F$2*1.3))*43758.5453,1)*1000000)*10000+ROW(),"")</f>
        <v/>
      </c>
      <c r="F2704" s="0" t="str">
        <f aca="false">IF(E2704="","",RANK(E2704,$E$2:$E$5001,1))</f>
        <v/>
      </c>
      <c r="G2704" s="0" t="n">
        <f aca="false">IF(A2704="",0,IF(SUMPRODUCT(--($A$2:$A$5001=A2704))&gt;1,1,0))</f>
        <v>0</v>
      </c>
      <c r="H2704" s="0" t="n">
        <f aca="false">ROW()-1</f>
        <v>2703</v>
      </c>
      <c r="I2704" s="0" t="str">
        <f aca="false">IF(OR(הגדרות!$E$6=0,H2704&gt;הגדרות!$E$5),"",IF(H2704-1&lt;הגדרות!$E$8*(הגדרות!$E$7+1),INT((H2704-1)/(הגדרות!$E$7+1)),הגדרות!$E$8+INT((H2704-1-הגדרות!$E$8*(הגדרות!$E$7+1))/הגדרות!$E$7)))</f>
        <v/>
      </c>
      <c r="J2704" s="0" t="str">
        <f aca="false">IF(I2704="","",IF(H2704-1&lt;הגדרות!$E$8*(הגדרות!$E$7+1),MOD(H2704-1,הגדרות!$E$7+1),MOD(H2704-1-הגדרות!$E$8*(הגדרות!$E$7+1),הגדרות!$E$7)))</f>
        <v/>
      </c>
      <c r="K2704" s="0" t="str">
        <f aca="false">IF(I2704="","",J2704*הגדרות!$E$6+I2704+1)</f>
        <v/>
      </c>
      <c r="L2704" s="0" t="str">
        <f aca="false">IF(K2704="","",MATCH(K2704,$F$2:$F$5001,0))</f>
        <v/>
      </c>
      <c r="M2704" s="0" t="str">
        <f aca="false">IF(I2704="","",INDEX(הגדרות!$A$2:$A$21,MOD(I2704+הגדרות!$E$9,הגדרות!$E$6)+1))</f>
        <v/>
      </c>
    </row>
    <row r="2705" customFormat="false" ht="15" hidden="false" customHeight="false" outlineLevel="0" collapsed="false">
      <c r="A2705" s="0" t="str">
        <f aca="false">IF('הדבקת לידים'!A2705="","",IF(ISNUMBER('הדבקת לידים'!A2705),IF(הגדרות!$E$2&gt;0,TEXT('הדבקת לידים'!A2705,REPT("0",הגדרות!$E$2)),TEXT('הדבקת לידים'!A2705,"0")),TRIM('הדבקת לידים'!A2705)))</f>
        <v/>
      </c>
      <c r="B2705" s="0" t="str">
        <f aca="false">IF('הדבקת לידים'!B2705="","",IF(ISNUMBER('הדבקת לידים'!B2705),IF(הגדרות!$E$3&gt;0,TEXT('הדבקת לידים'!B2705,REPT("0",הגדרות!$E$3)),TEXT('הדבקת לידים'!B2705,"0")),TRIM('הדבקת לידים'!B2705)))</f>
        <v/>
      </c>
      <c r="C2705" s="0" t="n">
        <f aca="false">IF(OR(A2705&lt;&gt;"",B2705&lt;&gt;""),1,0)</f>
        <v>0</v>
      </c>
      <c r="D2705" s="0" t="str">
        <f aca="false">IF(C2705=1,MOD(ABS(SIN(ROW()*12.9898+'הדבקת לידים'!$F$2*78.233+IFERROR(--RIGHT(A2705,6),LEN(A2705))*0.0137+IFERROR(--RIGHT(B2705,6),LEN(B2705))*0.0071))*43758.5453,1),"")</f>
        <v/>
      </c>
      <c r="E2705" s="0" t="str">
        <f aca="false">IF(C2705=1,INT(MOD(ABS(SIN(D2705*7919.123+ROW()*0.618+'הדבקת לידים'!$F$2*1.3))*43758.5453,1)*1000000)*10000+ROW(),"")</f>
        <v/>
      </c>
      <c r="F2705" s="0" t="str">
        <f aca="false">IF(E2705="","",RANK(E2705,$E$2:$E$5001,1))</f>
        <v/>
      </c>
      <c r="G2705" s="0" t="n">
        <f aca="false">IF(A2705="",0,IF(SUMPRODUCT(--($A$2:$A$5001=A2705))&gt;1,1,0))</f>
        <v>0</v>
      </c>
      <c r="H2705" s="0" t="n">
        <f aca="false">ROW()-1</f>
        <v>2704</v>
      </c>
      <c r="I2705" s="0" t="str">
        <f aca="false">IF(OR(הגדרות!$E$6=0,H2705&gt;הגדרות!$E$5),"",IF(H2705-1&lt;הגדרות!$E$8*(הגדרות!$E$7+1),INT((H2705-1)/(הגדרות!$E$7+1)),הגדרות!$E$8+INT((H2705-1-הגדרות!$E$8*(הגדרות!$E$7+1))/הגדרות!$E$7)))</f>
        <v/>
      </c>
      <c r="J2705" s="0" t="str">
        <f aca="false">IF(I2705="","",IF(H2705-1&lt;הגדרות!$E$8*(הגדרות!$E$7+1),MOD(H2705-1,הגדרות!$E$7+1),MOD(H2705-1-הגדרות!$E$8*(הגדרות!$E$7+1),הגדרות!$E$7)))</f>
        <v/>
      </c>
      <c r="K2705" s="0" t="str">
        <f aca="false">IF(I2705="","",J2705*הגדרות!$E$6+I2705+1)</f>
        <v/>
      </c>
      <c r="L2705" s="0" t="str">
        <f aca="false">IF(K2705="","",MATCH(K2705,$F$2:$F$5001,0))</f>
        <v/>
      </c>
      <c r="M2705" s="0" t="str">
        <f aca="false">IF(I2705="","",INDEX(הגדרות!$A$2:$A$21,MOD(I2705+הגדרות!$E$9,הגדרות!$E$6)+1))</f>
        <v/>
      </c>
    </row>
    <row r="2706" customFormat="false" ht="15" hidden="false" customHeight="false" outlineLevel="0" collapsed="false">
      <c r="A2706" s="0" t="str">
        <f aca="false">IF('הדבקת לידים'!A2706="","",IF(ISNUMBER('הדבקת לידים'!A2706),IF(הגדרות!$E$2&gt;0,TEXT('הדבקת לידים'!A2706,REPT("0",הגדרות!$E$2)),TEXT('הדבקת לידים'!A2706,"0")),TRIM('הדבקת לידים'!A2706)))</f>
        <v/>
      </c>
      <c r="B2706" s="0" t="str">
        <f aca="false">IF('הדבקת לידים'!B2706="","",IF(ISNUMBER('הדבקת לידים'!B2706),IF(הגדרות!$E$3&gt;0,TEXT('הדבקת לידים'!B2706,REPT("0",הגדרות!$E$3)),TEXT('הדבקת לידים'!B2706,"0")),TRIM('הדבקת לידים'!B2706)))</f>
        <v/>
      </c>
      <c r="C2706" s="0" t="n">
        <f aca="false">IF(OR(A2706&lt;&gt;"",B2706&lt;&gt;""),1,0)</f>
        <v>0</v>
      </c>
      <c r="D2706" s="0" t="str">
        <f aca="false">IF(C2706=1,MOD(ABS(SIN(ROW()*12.9898+'הדבקת לידים'!$F$2*78.233+IFERROR(--RIGHT(A2706,6),LEN(A2706))*0.0137+IFERROR(--RIGHT(B2706,6),LEN(B2706))*0.0071))*43758.5453,1),"")</f>
        <v/>
      </c>
      <c r="E2706" s="0" t="str">
        <f aca="false">IF(C2706=1,INT(MOD(ABS(SIN(D2706*7919.123+ROW()*0.618+'הדבקת לידים'!$F$2*1.3))*43758.5453,1)*1000000)*10000+ROW(),"")</f>
        <v/>
      </c>
      <c r="F2706" s="0" t="str">
        <f aca="false">IF(E2706="","",RANK(E2706,$E$2:$E$5001,1))</f>
        <v/>
      </c>
      <c r="G2706" s="0" t="n">
        <f aca="false">IF(A2706="",0,IF(SUMPRODUCT(--($A$2:$A$5001=A2706))&gt;1,1,0))</f>
        <v>0</v>
      </c>
      <c r="H2706" s="0" t="n">
        <f aca="false">ROW()-1</f>
        <v>2705</v>
      </c>
      <c r="I2706" s="0" t="str">
        <f aca="false">IF(OR(הגדרות!$E$6=0,H2706&gt;הגדרות!$E$5),"",IF(H2706-1&lt;הגדרות!$E$8*(הגדרות!$E$7+1),INT((H2706-1)/(הגדרות!$E$7+1)),הגדרות!$E$8+INT((H2706-1-הגדרות!$E$8*(הגדרות!$E$7+1))/הגדרות!$E$7)))</f>
        <v/>
      </c>
      <c r="J2706" s="0" t="str">
        <f aca="false">IF(I2706="","",IF(H2706-1&lt;הגדרות!$E$8*(הגדרות!$E$7+1),MOD(H2706-1,הגדרות!$E$7+1),MOD(H2706-1-הגדרות!$E$8*(הגדרות!$E$7+1),הגדרות!$E$7)))</f>
        <v/>
      </c>
      <c r="K2706" s="0" t="str">
        <f aca="false">IF(I2706="","",J2706*הגדרות!$E$6+I2706+1)</f>
        <v/>
      </c>
      <c r="L2706" s="0" t="str">
        <f aca="false">IF(K2706="","",MATCH(K2706,$F$2:$F$5001,0))</f>
        <v/>
      </c>
      <c r="M2706" s="0" t="str">
        <f aca="false">IF(I2706="","",INDEX(הגדרות!$A$2:$A$21,MOD(I2706+הגדרות!$E$9,הגדרות!$E$6)+1))</f>
        <v/>
      </c>
    </row>
    <row r="2707" customFormat="false" ht="15" hidden="false" customHeight="false" outlineLevel="0" collapsed="false">
      <c r="A2707" s="0" t="str">
        <f aca="false">IF('הדבקת לידים'!A2707="","",IF(ISNUMBER('הדבקת לידים'!A2707),IF(הגדרות!$E$2&gt;0,TEXT('הדבקת לידים'!A2707,REPT("0",הגדרות!$E$2)),TEXT('הדבקת לידים'!A2707,"0")),TRIM('הדבקת לידים'!A2707)))</f>
        <v/>
      </c>
      <c r="B2707" s="0" t="str">
        <f aca="false">IF('הדבקת לידים'!B2707="","",IF(ISNUMBER('הדבקת לידים'!B2707),IF(הגדרות!$E$3&gt;0,TEXT('הדבקת לידים'!B2707,REPT("0",הגדרות!$E$3)),TEXT('הדבקת לידים'!B2707,"0")),TRIM('הדבקת לידים'!B2707)))</f>
        <v/>
      </c>
      <c r="C2707" s="0" t="n">
        <f aca="false">IF(OR(A2707&lt;&gt;"",B2707&lt;&gt;""),1,0)</f>
        <v>0</v>
      </c>
      <c r="D2707" s="0" t="str">
        <f aca="false">IF(C2707=1,MOD(ABS(SIN(ROW()*12.9898+'הדבקת לידים'!$F$2*78.233+IFERROR(--RIGHT(A2707,6),LEN(A2707))*0.0137+IFERROR(--RIGHT(B2707,6),LEN(B2707))*0.0071))*43758.5453,1),"")</f>
        <v/>
      </c>
      <c r="E2707" s="0" t="str">
        <f aca="false">IF(C2707=1,INT(MOD(ABS(SIN(D2707*7919.123+ROW()*0.618+'הדבקת לידים'!$F$2*1.3))*43758.5453,1)*1000000)*10000+ROW(),"")</f>
        <v/>
      </c>
      <c r="F2707" s="0" t="str">
        <f aca="false">IF(E2707="","",RANK(E2707,$E$2:$E$5001,1))</f>
        <v/>
      </c>
      <c r="G2707" s="0" t="n">
        <f aca="false">IF(A2707="",0,IF(SUMPRODUCT(--($A$2:$A$5001=A2707))&gt;1,1,0))</f>
        <v>0</v>
      </c>
      <c r="H2707" s="0" t="n">
        <f aca="false">ROW()-1</f>
        <v>2706</v>
      </c>
      <c r="I2707" s="0" t="str">
        <f aca="false">IF(OR(הגדרות!$E$6=0,H2707&gt;הגדרות!$E$5),"",IF(H2707-1&lt;הגדרות!$E$8*(הגדרות!$E$7+1),INT((H2707-1)/(הגדרות!$E$7+1)),הגדרות!$E$8+INT((H2707-1-הגדרות!$E$8*(הגדרות!$E$7+1))/הגדרות!$E$7)))</f>
        <v/>
      </c>
      <c r="J2707" s="0" t="str">
        <f aca="false">IF(I2707="","",IF(H2707-1&lt;הגדרות!$E$8*(הגדרות!$E$7+1),MOD(H2707-1,הגדרות!$E$7+1),MOD(H2707-1-הגדרות!$E$8*(הגדרות!$E$7+1),הגדרות!$E$7)))</f>
        <v/>
      </c>
      <c r="K2707" s="0" t="str">
        <f aca="false">IF(I2707="","",J2707*הגדרות!$E$6+I2707+1)</f>
        <v/>
      </c>
      <c r="L2707" s="0" t="str">
        <f aca="false">IF(K2707="","",MATCH(K2707,$F$2:$F$5001,0))</f>
        <v/>
      </c>
      <c r="M2707" s="0" t="str">
        <f aca="false">IF(I2707="","",INDEX(הגדרות!$A$2:$A$21,MOD(I2707+הגדרות!$E$9,הגדרות!$E$6)+1))</f>
        <v/>
      </c>
    </row>
    <row r="2708" customFormat="false" ht="15" hidden="false" customHeight="false" outlineLevel="0" collapsed="false">
      <c r="A2708" s="0" t="str">
        <f aca="false">IF('הדבקת לידים'!A2708="","",IF(ISNUMBER('הדבקת לידים'!A2708),IF(הגדרות!$E$2&gt;0,TEXT('הדבקת לידים'!A2708,REPT("0",הגדרות!$E$2)),TEXT('הדבקת לידים'!A2708,"0")),TRIM('הדבקת לידים'!A2708)))</f>
        <v/>
      </c>
      <c r="B2708" s="0" t="str">
        <f aca="false">IF('הדבקת לידים'!B2708="","",IF(ISNUMBER('הדבקת לידים'!B2708),IF(הגדרות!$E$3&gt;0,TEXT('הדבקת לידים'!B2708,REPT("0",הגדרות!$E$3)),TEXT('הדבקת לידים'!B2708,"0")),TRIM('הדבקת לידים'!B2708)))</f>
        <v/>
      </c>
      <c r="C2708" s="0" t="n">
        <f aca="false">IF(OR(A2708&lt;&gt;"",B2708&lt;&gt;""),1,0)</f>
        <v>0</v>
      </c>
      <c r="D2708" s="0" t="str">
        <f aca="false">IF(C2708=1,MOD(ABS(SIN(ROW()*12.9898+'הדבקת לידים'!$F$2*78.233+IFERROR(--RIGHT(A2708,6),LEN(A2708))*0.0137+IFERROR(--RIGHT(B2708,6),LEN(B2708))*0.0071))*43758.5453,1),"")</f>
        <v/>
      </c>
      <c r="E2708" s="0" t="str">
        <f aca="false">IF(C2708=1,INT(MOD(ABS(SIN(D2708*7919.123+ROW()*0.618+'הדבקת לידים'!$F$2*1.3))*43758.5453,1)*1000000)*10000+ROW(),"")</f>
        <v/>
      </c>
      <c r="F2708" s="0" t="str">
        <f aca="false">IF(E2708="","",RANK(E2708,$E$2:$E$5001,1))</f>
        <v/>
      </c>
      <c r="G2708" s="0" t="n">
        <f aca="false">IF(A2708="",0,IF(SUMPRODUCT(--($A$2:$A$5001=A2708))&gt;1,1,0))</f>
        <v>0</v>
      </c>
      <c r="H2708" s="0" t="n">
        <f aca="false">ROW()-1</f>
        <v>2707</v>
      </c>
      <c r="I2708" s="0" t="str">
        <f aca="false">IF(OR(הגדרות!$E$6=0,H2708&gt;הגדרות!$E$5),"",IF(H2708-1&lt;הגדרות!$E$8*(הגדרות!$E$7+1),INT((H2708-1)/(הגדרות!$E$7+1)),הגדרות!$E$8+INT((H2708-1-הגדרות!$E$8*(הגדרות!$E$7+1))/הגדרות!$E$7)))</f>
        <v/>
      </c>
      <c r="J2708" s="0" t="str">
        <f aca="false">IF(I2708="","",IF(H2708-1&lt;הגדרות!$E$8*(הגדרות!$E$7+1),MOD(H2708-1,הגדרות!$E$7+1),MOD(H2708-1-הגדרות!$E$8*(הגדרות!$E$7+1),הגדרות!$E$7)))</f>
        <v/>
      </c>
      <c r="K2708" s="0" t="str">
        <f aca="false">IF(I2708="","",J2708*הגדרות!$E$6+I2708+1)</f>
        <v/>
      </c>
      <c r="L2708" s="0" t="str">
        <f aca="false">IF(K2708="","",MATCH(K2708,$F$2:$F$5001,0))</f>
        <v/>
      </c>
      <c r="M2708" s="0" t="str">
        <f aca="false">IF(I2708="","",INDEX(הגדרות!$A$2:$A$21,MOD(I2708+הגדרות!$E$9,הגדרות!$E$6)+1))</f>
        <v/>
      </c>
    </row>
    <row r="2709" customFormat="false" ht="15" hidden="false" customHeight="false" outlineLevel="0" collapsed="false">
      <c r="A2709" s="0" t="str">
        <f aca="false">IF('הדבקת לידים'!A2709="","",IF(ISNUMBER('הדבקת לידים'!A2709),IF(הגדרות!$E$2&gt;0,TEXT('הדבקת לידים'!A2709,REPT("0",הגדרות!$E$2)),TEXT('הדבקת לידים'!A2709,"0")),TRIM('הדבקת לידים'!A2709)))</f>
        <v/>
      </c>
      <c r="B2709" s="0" t="str">
        <f aca="false">IF('הדבקת לידים'!B2709="","",IF(ISNUMBER('הדבקת לידים'!B2709),IF(הגדרות!$E$3&gt;0,TEXT('הדבקת לידים'!B2709,REPT("0",הגדרות!$E$3)),TEXT('הדבקת לידים'!B2709,"0")),TRIM('הדבקת לידים'!B2709)))</f>
        <v/>
      </c>
      <c r="C2709" s="0" t="n">
        <f aca="false">IF(OR(A2709&lt;&gt;"",B2709&lt;&gt;""),1,0)</f>
        <v>0</v>
      </c>
      <c r="D2709" s="0" t="str">
        <f aca="false">IF(C2709=1,MOD(ABS(SIN(ROW()*12.9898+'הדבקת לידים'!$F$2*78.233+IFERROR(--RIGHT(A2709,6),LEN(A2709))*0.0137+IFERROR(--RIGHT(B2709,6),LEN(B2709))*0.0071))*43758.5453,1),"")</f>
        <v/>
      </c>
      <c r="E2709" s="0" t="str">
        <f aca="false">IF(C2709=1,INT(MOD(ABS(SIN(D2709*7919.123+ROW()*0.618+'הדבקת לידים'!$F$2*1.3))*43758.5453,1)*1000000)*10000+ROW(),"")</f>
        <v/>
      </c>
      <c r="F2709" s="0" t="str">
        <f aca="false">IF(E2709="","",RANK(E2709,$E$2:$E$5001,1))</f>
        <v/>
      </c>
      <c r="G2709" s="0" t="n">
        <f aca="false">IF(A2709="",0,IF(SUMPRODUCT(--($A$2:$A$5001=A2709))&gt;1,1,0))</f>
        <v>0</v>
      </c>
      <c r="H2709" s="0" t="n">
        <f aca="false">ROW()-1</f>
        <v>2708</v>
      </c>
      <c r="I2709" s="0" t="str">
        <f aca="false">IF(OR(הגדרות!$E$6=0,H2709&gt;הגדרות!$E$5),"",IF(H2709-1&lt;הגדרות!$E$8*(הגדרות!$E$7+1),INT((H2709-1)/(הגדרות!$E$7+1)),הגדרות!$E$8+INT((H2709-1-הגדרות!$E$8*(הגדרות!$E$7+1))/הגדרות!$E$7)))</f>
        <v/>
      </c>
      <c r="J2709" s="0" t="str">
        <f aca="false">IF(I2709="","",IF(H2709-1&lt;הגדרות!$E$8*(הגדרות!$E$7+1),MOD(H2709-1,הגדרות!$E$7+1),MOD(H2709-1-הגדרות!$E$8*(הגדרות!$E$7+1),הגדרות!$E$7)))</f>
        <v/>
      </c>
      <c r="K2709" s="0" t="str">
        <f aca="false">IF(I2709="","",J2709*הגדרות!$E$6+I2709+1)</f>
        <v/>
      </c>
      <c r="L2709" s="0" t="str">
        <f aca="false">IF(K2709="","",MATCH(K2709,$F$2:$F$5001,0))</f>
        <v/>
      </c>
      <c r="M2709" s="0" t="str">
        <f aca="false">IF(I2709="","",INDEX(הגדרות!$A$2:$A$21,MOD(I2709+הגדרות!$E$9,הגדרות!$E$6)+1))</f>
        <v/>
      </c>
    </row>
    <row r="2710" customFormat="false" ht="15" hidden="false" customHeight="false" outlineLevel="0" collapsed="false">
      <c r="A2710" s="0" t="str">
        <f aca="false">IF('הדבקת לידים'!A2710="","",IF(ISNUMBER('הדבקת לידים'!A2710),IF(הגדרות!$E$2&gt;0,TEXT('הדבקת לידים'!A2710,REPT("0",הגדרות!$E$2)),TEXT('הדבקת לידים'!A2710,"0")),TRIM('הדבקת לידים'!A2710)))</f>
        <v/>
      </c>
      <c r="B2710" s="0" t="str">
        <f aca="false">IF('הדבקת לידים'!B2710="","",IF(ISNUMBER('הדבקת לידים'!B2710),IF(הגדרות!$E$3&gt;0,TEXT('הדבקת לידים'!B2710,REPT("0",הגדרות!$E$3)),TEXT('הדבקת לידים'!B2710,"0")),TRIM('הדבקת לידים'!B2710)))</f>
        <v/>
      </c>
      <c r="C2710" s="0" t="n">
        <f aca="false">IF(OR(A2710&lt;&gt;"",B2710&lt;&gt;""),1,0)</f>
        <v>0</v>
      </c>
      <c r="D2710" s="0" t="str">
        <f aca="false">IF(C2710=1,MOD(ABS(SIN(ROW()*12.9898+'הדבקת לידים'!$F$2*78.233+IFERROR(--RIGHT(A2710,6),LEN(A2710))*0.0137+IFERROR(--RIGHT(B2710,6),LEN(B2710))*0.0071))*43758.5453,1),"")</f>
        <v/>
      </c>
      <c r="E2710" s="0" t="str">
        <f aca="false">IF(C2710=1,INT(MOD(ABS(SIN(D2710*7919.123+ROW()*0.618+'הדבקת לידים'!$F$2*1.3))*43758.5453,1)*1000000)*10000+ROW(),"")</f>
        <v/>
      </c>
      <c r="F2710" s="0" t="str">
        <f aca="false">IF(E2710="","",RANK(E2710,$E$2:$E$5001,1))</f>
        <v/>
      </c>
      <c r="G2710" s="0" t="n">
        <f aca="false">IF(A2710="",0,IF(SUMPRODUCT(--($A$2:$A$5001=A2710))&gt;1,1,0))</f>
        <v>0</v>
      </c>
      <c r="H2710" s="0" t="n">
        <f aca="false">ROW()-1</f>
        <v>2709</v>
      </c>
      <c r="I2710" s="0" t="str">
        <f aca="false">IF(OR(הגדרות!$E$6=0,H2710&gt;הגדרות!$E$5),"",IF(H2710-1&lt;הגדרות!$E$8*(הגדרות!$E$7+1),INT((H2710-1)/(הגדרות!$E$7+1)),הגדרות!$E$8+INT((H2710-1-הגדרות!$E$8*(הגדרות!$E$7+1))/הגדרות!$E$7)))</f>
        <v/>
      </c>
      <c r="J2710" s="0" t="str">
        <f aca="false">IF(I2710="","",IF(H2710-1&lt;הגדרות!$E$8*(הגדרות!$E$7+1),MOD(H2710-1,הגדרות!$E$7+1),MOD(H2710-1-הגדרות!$E$8*(הגדרות!$E$7+1),הגדרות!$E$7)))</f>
        <v/>
      </c>
      <c r="K2710" s="0" t="str">
        <f aca="false">IF(I2710="","",J2710*הגדרות!$E$6+I2710+1)</f>
        <v/>
      </c>
      <c r="L2710" s="0" t="str">
        <f aca="false">IF(K2710="","",MATCH(K2710,$F$2:$F$5001,0))</f>
        <v/>
      </c>
      <c r="M2710" s="0" t="str">
        <f aca="false">IF(I2710="","",INDEX(הגדרות!$A$2:$A$21,MOD(I2710+הגדרות!$E$9,הגדרות!$E$6)+1))</f>
        <v/>
      </c>
    </row>
    <row r="2711" customFormat="false" ht="15" hidden="false" customHeight="false" outlineLevel="0" collapsed="false">
      <c r="A2711" s="0" t="str">
        <f aca="false">IF('הדבקת לידים'!A2711="","",IF(ISNUMBER('הדבקת לידים'!A2711),IF(הגדרות!$E$2&gt;0,TEXT('הדבקת לידים'!A2711,REPT("0",הגדרות!$E$2)),TEXT('הדבקת לידים'!A2711,"0")),TRIM('הדבקת לידים'!A2711)))</f>
        <v/>
      </c>
      <c r="B2711" s="0" t="str">
        <f aca="false">IF('הדבקת לידים'!B2711="","",IF(ISNUMBER('הדבקת לידים'!B2711),IF(הגדרות!$E$3&gt;0,TEXT('הדבקת לידים'!B2711,REPT("0",הגדרות!$E$3)),TEXT('הדבקת לידים'!B2711,"0")),TRIM('הדבקת לידים'!B2711)))</f>
        <v/>
      </c>
      <c r="C2711" s="0" t="n">
        <f aca="false">IF(OR(A2711&lt;&gt;"",B2711&lt;&gt;""),1,0)</f>
        <v>0</v>
      </c>
      <c r="D2711" s="0" t="str">
        <f aca="false">IF(C2711=1,MOD(ABS(SIN(ROW()*12.9898+'הדבקת לידים'!$F$2*78.233+IFERROR(--RIGHT(A2711,6),LEN(A2711))*0.0137+IFERROR(--RIGHT(B2711,6),LEN(B2711))*0.0071))*43758.5453,1),"")</f>
        <v/>
      </c>
      <c r="E2711" s="0" t="str">
        <f aca="false">IF(C2711=1,INT(MOD(ABS(SIN(D2711*7919.123+ROW()*0.618+'הדבקת לידים'!$F$2*1.3))*43758.5453,1)*1000000)*10000+ROW(),"")</f>
        <v/>
      </c>
      <c r="F2711" s="0" t="str">
        <f aca="false">IF(E2711="","",RANK(E2711,$E$2:$E$5001,1))</f>
        <v/>
      </c>
      <c r="G2711" s="0" t="n">
        <f aca="false">IF(A2711="",0,IF(SUMPRODUCT(--($A$2:$A$5001=A2711))&gt;1,1,0))</f>
        <v>0</v>
      </c>
      <c r="H2711" s="0" t="n">
        <f aca="false">ROW()-1</f>
        <v>2710</v>
      </c>
      <c r="I2711" s="0" t="str">
        <f aca="false">IF(OR(הגדרות!$E$6=0,H2711&gt;הגדרות!$E$5),"",IF(H2711-1&lt;הגדרות!$E$8*(הגדרות!$E$7+1),INT((H2711-1)/(הגדרות!$E$7+1)),הגדרות!$E$8+INT((H2711-1-הגדרות!$E$8*(הגדרות!$E$7+1))/הגדרות!$E$7)))</f>
        <v/>
      </c>
      <c r="J2711" s="0" t="str">
        <f aca="false">IF(I2711="","",IF(H2711-1&lt;הגדרות!$E$8*(הגדרות!$E$7+1),MOD(H2711-1,הגדרות!$E$7+1),MOD(H2711-1-הגדרות!$E$8*(הגדרות!$E$7+1),הגדרות!$E$7)))</f>
        <v/>
      </c>
      <c r="K2711" s="0" t="str">
        <f aca="false">IF(I2711="","",J2711*הגדרות!$E$6+I2711+1)</f>
        <v/>
      </c>
      <c r="L2711" s="0" t="str">
        <f aca="false">IF(K2711="","",MATCH(K2711,$F$2:$F$5001,0))</f>
        <v/>
      </c>
      <c r="M2711" s="0" t="str">
        <f aca="false">IF(I2711="","",INDEX(הגדרות!$A$2:$A$21,MOD(I2711+הגדרות!$E$9,הגדרות!$E$6)+1))</f>
        <v/>
      </c>
    </row>
    <row r="2712" customFormat="false" ht="15" hidden="false" customHeight="false" outlineLevel="0" collapsed="false">
      <c r="A2712" s="0" t="str">
        <f aca="false">IF('הדבקת לידים'!A2712="","",IF(ISNUMBER('הדבקת לידים'!A2712),IF(הגדרות!$E$2&gt;0,TEXT('הדבקת לידים'!A2712,REPT("0",הגדרות!$E$2)),TEXT('הדבקת לידים'!A2712,"0")),TRIM('הדבקת לידים'!A2712)))</f>
        <v/>
      </c>
      <c r="B2712" s="0" t="str">
        <f aca="false">IF('הדבקת לידים'!B2712="","",IF(ISNUMBER('הדבקת לידים'!B2712),IF(הגדרות!$E$3&gt;0,TEXT('הדבקת לידים'!B2712,REPT("0",הגדרות!$E$3)),TEXT('הדבקת לידים'!B2712,"0")),TRIM('הדבקת לידים'!B2712)))</f>
        <v/>
      </c>
      <c r="C2712" s="0" t="n">
        <f aca="false">IF(OR(A2712&lt;&gt;"",B2712&lt;&gt;""),1,0)</f>
        <v>0</v>
      </c>
      <c r="D2712" s="0" t="str">
        <f aca="false">IF(C2712=1,MOD(ABS(SIN(ROW()*12.9898+'הדבקת לידים'!$F$2*78.233+IFERROR(--RIGHT(A2712,6),LEN(A2712))*0.0137+IFERROR(--RIGHT(B2712,6),LEN(B2712))*0.0071))*43758.5453,1),"")</f>
        <v/>
      </c>
      <c r="E2712" s="0" t="str">
        <f aca="false">IF(C2712=1,INT(MOD(ABS(SIN(D2712*7919.123+ROW()*0.618+'הדבקת לידים'!$F$2*1.3))*43758.5453,1)*1000000)*10000+ROW(),"")</f>
        <v/>
      </c>
      <c r="F2712" s="0" t="str">
        <f aca="false">IF(E2712="","",RANK(E2712,$E$2:$E$5001,1))</f>
        <v/>
      </c>
      <c r="G2712" s="0" t="n">
        <f aca="false">IF(A2712="",0,IF(SUMPRODUCT(--($A$2:$A$5001=A2712))&gt;1,1,0))</f>
        <v>0</v>
      </c>
      <c r="H2712" s="0" t="n">
        <f aca="false">ROW()-1</f>
        <v>2711</v>
      </c>
      <c r="I2712" s="0" t="str">
        <f aca="false">IF(OR(הגדרות!$E$6=0,H2712&gt;הגדרות!$E$5),"",IF(H2712-1&lt;הגדרות!$E$8*(הגדרות!$E$7+1),INT((H2712-1)/(הגדרות!$E$7+1)),הגדרות!$E$8+INT((H2712-1-הגדרות!$E$8*(הגדרות!$E$7+1))/הגדרות!$E$7)))</f>
        <v/>
      </c>
      <c r="J2712" s="0" t="str">
        <f aca="false">IF(I2712="","",IF(H2712-1&lt;הגדרות!$E$8*(הגדרות!$E$7+1),MOD(H2712-1,הגדרות!$E$7+1),MOD(H2712-1-הגדרות!$E$8*(הגדרות!$E$7+1),הגדרות!$E$7)))</f>
        <v/>
      </c>
      <c r="K2712" s="0" t="str">
        <f aca="false">IF(I2712="","",J2712*הגדרות!$E$6+I2712+1)</f>
        <v/>
      </c>
      <c r="L2712" s="0" t="str">
        <f aca="false">IF(K2712="","",MATCH(K2712,$F$2:$F$5001,0))</f>
        <v/>
      </c>
      <c r="M2712" s="0" t="str">
        <f aca="false">IF(I2712="","",INDEX(הגדרות!$A$2:$A$21,MOD(I2712+הגדרות!$E$9,הגדרות!$E$6)+1))</f>
        <v/>
      </c>
    </row>
    <row r="2713" customFormat="false" ht="15" hidden="false" customHeight="false" outlineLevel="0" collapsed="false">
      <c r="A2713" s="0" t="str">
        <f aca="false">IF('הדבקת לידים'!A2713="","",IF(ISNUMBER('הדבקת לידים'!A2713),IF(הגדרות!$E$2&gt;0,TEXT('הדבקת לידים'!A2713,REPT("0",הגדרות!$E$2)),TEXT('הדבקת לידים'!A2713,"0")),TRIM('הדבקת לידים'!A2713)))</f>
        <v/>
      </c>
      <c r="B2713" s="0" t="str">
        <f aca="false">IF('הדבקת לידים'!B2713="","",IF(ISNUMBER('הדבקת לידים'!B2713),IF(הגדרות!$E$3&gt;0,TEXT('הדבקת לידים'!B2713,REPT("0",הגדרות!$E$3)),TEXT('הדבקת לידים'!B2713,"0")),TRIM('הדבקת לידים'!B2713)))</f>
        <v/>
      </c>
      <c r="C2713" s="0" t="n">
        <f aca="false">IF(OR(A2713&lt;&gt;"",B2713&lt;&gt;""),1,0)</f>
        <v>0</v>
      </c>
      <c r="D2713" s="0" t="str">
        <f aca="false">IF(C2713=1,MOD(ABS(SIN(ROW()*12.9898+'הדבקת לידים'!$F$2*78.233+IFERROR(--RIGHT(A2713,6),LEN(A2713))*0.0137+IFERROR(--RIGHT(B2713,6),LEN(B2713))*0.0071))*43758.5453,1),"")</f>
        <v/>
      </c>
      <c r="E2713" s="0" t="str">
        <f aca="false">IF(C2713=1,INT(MOD(ABS(SIN(D2713*7919.123+ROW()*0.618+'הדבקת לידים'!$F$2*1.3))*43758.5453,1)*1000000)*10000+ROW(),"")</f>
        <v/>
      </c>
      <c r="F2713" s="0" t="str">
        <f aca="false">IF(E2713="","",RANK(E2713,$E$2:$E$5001,1))</f>
        <v/>
      </c>
      <c r="G2713" s="0" t="n">
        <f aca="false">IF(A2713="",0,IF(SUMPRODUCT(--($A$2:$A$5001=A2713))&gt;1,1,0))</f>
        <v>0</v>
      </c>
      <c r="H2713" s="0" t="n">
        <f aca="false">ROW()-1</f>
        <v>2712</v>
      </c>
      <c r="I2713" s="0" t="str">
        <f aca="false">IF(OR(הגדרות!$E$6=0,H2713&gt;הגדרות!$E$5),"",IF(H2713-1&lt;הגדרות!$E$8*(הגדרות!$E$7+1),INT((H2713-1)/(הגדרות!$E$7+1)),הגדרות!$E$8+INT((H2713-1-הגדרות!$E$8*(הגדרות!$E$7+1))/הגדרות!$E$7)))</f>
        <v/>
      </c>
      <c r="J2713" s="0" t="str">
        <f aca="false">IF(I2713="","",IF(H2713-1&lt;הגדרות!$E$8*(הגדרות!$E$7+1),MOD(H2713-1,הגדרות!$E$7+1),MOD(H2713-1-הגדרות!$E$8*(הגדרות!$E$7+1),הגדרות!$E$7)))</f>
        <v/>
      </c>
      <c r="K2713" s="0" t="str">
        <f aca="false">IF(I2713="","",J2713*הגדרות!$E$6+I2713+1)</f>
        <v/>
      </c>
      <c r="L2713" s="0" t="str">
        <f aca="false">IF(K2713="","",MATCH(K2713,$F$2:$F$5001,0))</f>
        <v/>
      </c>
      <c r="M2713" s="0" t="str">
        <f aca="false">IF(I2713="","",INDEX(הגדרות!$A$2:$A$21,MOD(I2713+הגדרות!$E$9,הגדרות!$E$6)+1))</f>
        <v/>
      </c>
    </row>
    <row r="2714" customFormat="false" ht="15" hidden="false" customHeight="false" outlineLevel="0" collapsed="false">
      <c r="A2714" s="0" t="str">
        <f aca="false">IF('הדבקת לידים'!A2714="","",IF(ISNUMBER('הדבקת לידים'!A2714),IF(הגדרות!$E$2&gt;0,TEXT('הדבקת לידים'!A2714,REPT("0",הגדרות!$E$2)),TEXT('הדבקת לידים'!A2714,"0")),TRIM('הדבקת לידים'!A2714)))</f>
        <v/>
      </c>
      <c r="B2714" s="0" t="str">
        <f aca="false">IF('הדבקת לידים'!B2714="","",IF(ISNUMBER('הדבקת לידים'!B2714),IF(הגדרות!$E$3&gt;0,TEXT('הדבקת לידים'!B2714,REPT("0",הגדרות!$E$3)),TEXT('הדבקת לידים'!B2714,"0")),TRIM('הדבקת לידים'!B2714)))</f>
        <v/>
      </c>
      <c r="C2714" s="0" t="n">
        <f aca="false">IF(OR(A2714&lt;&gt;"",B2714&lt;&gt;""),1,0)</f>
        <v>0</v>
      </c>
      <c r="D2714" s="0" t="str">
        <f aca="false">IF(C2714=1,MOD(ABS(SIN(ROW()*12.9898+'הדבקת לידים'!$F$2*78.233+IFERROR(--RIGHT(A2714,6),LEN(A2714))*0.0137+IFERROR(--RIGHT(B2714,6),LEN(B2714))*0.0071))*43758.5453,1),"")</f>
        <v/>
      </c>
      <c r="E2714" s="0" t="str">
        <f aca="false">IF(C2714=1,INT(MOD(ABS(SIN(D2714*7919.123+ROW()*0.618+'הדבקת לידים'!$F$2*1.3))*43758.5453,1)*1000000)*10000+ROW(),"")</f>
        <v/>
      </c>
      <c r="F2714" s="0" t="str">
        <f aca="false">IF(E2714="","",RANK(E2714,$E$2:$E$5001,1))</f>
        <v/>
      </c>
      <c r="G2714" s="0" t="n">
        <f aca="false">IF(A2714="",0,IF(SUMPRODUCT(--($A$2:$A$5001=A2714))&gt;1,1,0))</f>
        <v>0</v>
      </c>
      <c r="H2714" s="0" t="n">
        <f aca="false">ROW()-1</f>
        <v>2713</v>
      </c>
      <c r="I2714" s="0" t="str">
        <f aca="false">IF(OR(הגדרות!$E$6=0,H2714&gt;הגדרות!$E$5),"",IF(H2714-1&lt;הגדרות!$E$8*(הגדרות!$E$7+1),INT((H2714-1)/(הגדרות!$E$7+1)),הגדרות!$E$8+INT((H2714-1-הגדרות!$E$8*(הגדרות!$E$7+1))/הגדרות!$E$7)))</f>
        <v/>
      </c>
      <c r="J2714" s="0" t="str">
        <f aca="false">IF(I2714="","",IF(H2714-1&lt;הגדרות!$E$8*(הגדרות!$E$7+1),MOD(H2714-1,הגדרות!$E$7+1),MOD(H2714-1-הגדרות!$E$8*(הגדרות!$E$7+1),הגדרות!$E$7)))</f>
        <v/>
      </c>
      <c r="K2714" s="0" t="str">
        <f aca="false">IF(I2714="","",J2714*הגדרות!$E$6+I2714+1)</f>
        <v/>
      </c>
      <c r="L2714" s="0" t="str">
        <f aca="false">IF(K2714="","",MATCH(K2714,$F$2:$F$5001,0))</f>
        <v/>
      </c>
      <c r="M2714" s="0" t="str">
        <f aca="false">IF(I2714="","",INDEX(הגדרות!$A$2:$A$21,MOD(I2714+הגדרות!$E$9,הגדרות!$E$6)+1))</f>
        <v/>
      </c>
    </row>
    <row r="2715" customFormat="false" ht="15" hidden="false" customHeight="false" outlineLevel="0" collapsed="false">
      <c r="A2715" s="0" t="str">
        <f aca="false">IF('הדבקת לידים'!A2715="","",IF(ISNUMBER('הדבקת לידים'!A2715),IF(הגדרות!$E$2&gt;0,TEXT('הדבקת לידים'!A2715,REPT("0",הגדרות!$E$2)),TEXT('הדבקת לידים'!A2715,"0")),TRIM('הדבקת לידים'!A2715)))</f>
        <v/>
      </c>
      <c r="B2715" s="0" t="str">
        <f aca="false">IF('הדבקת לידים'!B2715="","",IF(ISNUMBER('הדבקת לידים'!B2715),IF(הגדרות!$E$3&gt;0,TEXT('הדבקת לידים'!B2715,REPT("0",הגדרות!$E$3)),TEXT('הדבקת לידים'!B2715,"0")),TRIM('הדבקת לידים'!B2715)))</f>
        <v/>
      </c>
      <c r="C2715" s="0" t="n">
        <f aca="false">IF(OR(A2715&lt;&gt;"",B2715&lt;&gt;""),1,0)</f>
        <v>0</v>
      </c>
      <c r="D2715" s="0" t="str">
        <f aca="false">IF(C2715=1,MOD(ABS(SIN(ROW()*12.9898+'הדבקת לידים'!$F$2*78.233+IFERROR(--RIGHT(A2715,6),LEN(A2715))*0.0137+IFERROR(--RIGHT(B2715,6),LEN(B2715))*0.0071))*43758.5453,1),"")</f>
        <v/>
      </c>
      <c r="E2715" s="0" t="str">
        <f aca="false">IF(C2715=1,INT(MOD(ABS(SIN(D2715*7919.123+ROW()*0.618+'הדבקת לידים'!$F$2*1.3))*43758.5453,1)*1000000)*10000+ROW(),"")</f>
        <v/>
      </c>
      <c r="F2715" s="0" t="str">
        <f aca="false">IF(E2715="","",RANK(E2715,$E$2:$E$5001,1))</f>
        <v/>
      </c>
      <c r="G2715" s="0" t="n">
        <f aca="false">IF(A2715="",0,IF(SUMPRODUCT(--($A$2:$A$5001=A2715))&gt;1,1,0))</f>
        <v>0</v>
      </c>
      <c r="H2715" s="0" t="n">
        <f aca="false">ROW()-1</f>
        <v>2714</v>
      </c>
      <c r="I2715" s="0" t="str">
        <f aca="false">IF(OR(הגדרות!$E$6=0,H2715&gt;הגדרות!$E$5),"",IF(H2715-1&lt;הגדרות!$E$8*(הגדרות!$E$7+1),INT((H2715-1)/(הגדרות!$E$7+1)),הגדרות!$E$8+INT((H2715-1-הגדרות!$E$8*(הגדרות!$E$7+1))/הגדרות!$E$7)))</f>
        <v/>
      </c>
      <c r="J2715" s="0" t="str">
        <f aca="false">IF(I2715="","",IF(H2715-1&lt;הגדרות!$E$8*(הגדרות!$E$7+1),MOD(H2715-1,הגדרות!$E$7+1),MOD(H2715-1-הגדרות!$E$8*(הגדרות!$E$7+1),הגדרות!$E$7)))</f>
        <v/>
      </c>
      <c r="K2715" s="0" t="str">
        <f aca="false">IF(I2715="","",J2715*הגדרות!$E$6+I2715+1)</f>
        <v/>
      </c>
      <c r="L2715" s="0" t="str">
        <f aca="false">IF(K2715="","",MATCH(K2715,$F$2:$F$5001,0))</f>
        <v/>
      </c>
      <c r="M2715" s="0" t="str">
        <f aca="false">IF(I2715="","",INDEX(הגדרות!$A$2:$A$21,MOD(I2715+הגדרות!$E$9,הגדרות!$E$6)+1))</f>
        <v/>
      </c>
    </row>
    <row r="2716" customFormat="false" ht="15" hidden="false" customHeight="false" outlineLevel="0" collapsed="false">
      <c r="A2716" s="0" t="str">
        <f aca="false">IF('הדבקת לידים'!A2716="","",IF(ISNUMBER('הדבקת לידים'!A2716),IF(הגדרות!$E$2&gt;0,TEXT('הדבקת לידים'!A2716,REPT("0",הגדרות!$E$2)),TEXT('הדבקת לידים'!A2716,"0")),TRIM('הדבקת לידים'!A2716)))</f>
        <v/>
      </c>
      <c r="B2716" s="0" t="str">
        <f aca="false">IF('הדבקת לידים'!B2716="","",IF(ISNUMBER('הדבקת לידים'!B2716),IF(הגדרות!$E$3&gt;0,TEXT('הדבקת לידים'!B2716,REPT("0",הגדרות!$E$3)),TEXT('הדבקת לידים'!B2716,"0")),TRIM('הדבקת לידים'!B2716)))</f>
        <v/>
      </c>
      <c r="C2716" s="0" t="n">
        <f aca="false">IF(OR(A2716&lt;&gt;"",B2716&lt;&gt;""),1,0)</f>
        <v>0</v>
      </c>
      <c r="D2716" s="0" t="str">
        <f aca="false">IF(C2716=1,MOD(ABS(SIN(ROW()*12.9898+'הדבקת לידים'!$F$2*78.233+IFERROR(--RIGHT(A2716,6),LEN(A2716))*0.0137+IFERROR(--RIGHT(B2716,6),LEN(B2716))*0.0071))*43758.5453,1),"")</f>
        <v/>
      </c>
      <c r="E2716" s="0" t="str">
        <f aca="false">IF(C2716=1,INT(MOD(ABS(SIN(D2716*7919.123+ROW()*0.618+'הדבקת לידים'!$F$2*1.3))*43758.5453,1)*1000000)*10000+ROW(),"")</f>
        <v/>
      </c>
      <c r="F2716" s="0" t="str">
        <f aca="false">IF(E2716="","",RANK(E2716,$E$2:$E$5001,1))</f>
        <v/>
      </c>
      <c r="G2716" s="0" t="n">
        <f aca="false">IF(A2716="",0,IF(SUMPRODUCT(--($A$2:$A$5001=A2716))&gt;1,1,0))</f>
        <v>0</v>
      </c>
      <c r="H2716" s="0" t="n">
        <f aca="false">ROW()-1</f>
        <v>2715</v>
      </c>
      <c r="I2716" s="0" t="str">
        <f aca="false">IF(OR(הגדרות!$E$6=0,H2716&gt;הגדרות!$E$5),"",IF(H2716-1&lt;הגדרות!$E$8*(הגדרות!$E$7+1),INT((H2716-1)/(הגדרות!$E$7+1)),הגדרות!$E$8+INT((H2716-1-הגדרות!$E$8*(הגדרות!$E$7+1))/הגדרות!$E$7)))</f>
        <v/>
      </c>
      <c r="J2716" s="0" t="str">
        <f aca="false">IF(I2716="","",IF(H2716-1&lt;הגדרות!$E$8*(הגדרות!$E$7+1),MOD(H2716-1,הגדרות!$E$7+1),MOD(H2716-1-הגדרות!$E$8*(הגדרות!$E$7+1),הגדרות!$E$7)))</f>
        <v/>
      </c>
      <c r="K2716" s="0" t="str">
        <f aca="false">IF(I2716="","",J2716*הגדרות!$E$6+I2716+1)</f>
        <v/>
      </c>
      <c r="L2716" s="0" t="str">
        <f aca="false">IF(K2716="","",MATCH(K2716,$F$2:$F$5001,0))</f>
        <v/>
      </c>
      <c r="M2716" s="0" t="str">
        <f aca="false">IF(I2716="","",INDEX(הגדרות!$A$2:$A$21,MOD(I2716+הגדרות!$E$9,הגדרות!$E$6)+1))</f>
        <v/>
      </c>
    </row>
    <row r="2717" customFormat="false" ht="15" hidden="false" customHeight="false" outlineLevel="0" collapsed="false">
      <c r="A2717" s="0" t="str">
        <f aca="false">IF('הדבקת לידים'!A2717="","",IF(ISNUMBER('הדבקת לידים'!A2717),IF(הגדרות!$E$2&gt;0,TEXT('הדבקת לידים'!A2717,REPT("0",הגדרות!$E$2)),TEXT('הדבקת לידים'!A2717,"0")),TRIM('הדבקת לידים'!A2717)))</f>
        <v/>
      </c>
      <c r="B2717" s="0" t="str">
        <f aca="false">IF('הדבקת לידים'!B2717="","",IF(ISNUMBER('הדבקת לידים'!B2717),IF(הגדרות!$E$3&gt;0,TEXT('הדבקת לידים'!B2717,REPT("0",הגדרות!$E$3)),TEXT('הדבקת לידים'!B2717,"0")),TRIM('הדבקת לידים'!B2717)))</f>
        <v/>
      </c>
      <c r="C2717" s="0" t="n">
        <f aca="false">IF(OR(A2717&lt;&gt;"",B2717&lt;&gt;""),1,0)</f>
        <v>0</v>
      </c>
      <c r="D2717" s="0" t="str">
        <f aca="false">IF(C2717=1,MOD(ABS(SIN(ROW()*12.9898+'הדבקת לידים'!$F$2*78.233+IFERROR(--RIGHT(A2717,6),LEN(A2717))*0.0137+IFERROR(--RIGHT(B2717,6),LEN(B2717))*0.0071))*43758.5453,1),"")</f>
        <v/>
      </c>
      <c r="E2717" s="0" t="str">
        <f aca="false">IF(C2717=1,INT(MOD(ABS(SIN(D2717*7919.123+ROW()*0.618+'הדבקת לידים'!$F$2*1.3))*43758.5453,1)*1000000)*10000+ROW(),"")</f>
        <v/>
      </c>
      <c r="F2717" s="0" t="str">
        <f aca="false">IF(E2717="","",RANK(E2717,$E$2:$E$5001,1))</f>
        <v/>
      </c>
      <c r="G2717" s="0" t="n">
        <f aca="false">IF(A2717="",0,IF(SUMPRODUCT(--($A$2:$A$5001=A2717))&gt;1,1,0))</f>
        <v>0</v>
      </c>
      <c r="H2717" s="0" t="n">
        <f aca="false">ROW()-1</f>
        <v>2716</v>
      </c>
      <c r="I2717" s="0" t="str">
        <f aca="false">IF(OR(הגדרות!$E$6=0,H2717&gt;הגדרות!$E$5),"",IF(H2717-1&lt;הגדרות!$E$8*(הגדרות!$E$7+1),INT((H2717-1)/(הגדרות!$E$7+1)),הגדרות!$E$8+INT((H2717-1-הגדרות!$E$8*(הגדרות!$E$7+1))/הגדרות!$E$7)))</f>
        <v/>
      </c>
      <c r="J2717" s="0" t="str">
        <f aca="false">IF(I2717="","",IF(H2717-1&lt;הגדרות!$E$8*(הגדרות!$E$7+1),MOD(H2717-1,הגדרות!$E$7+1),MOD(H2717-1-הגדרות!$E$8*(הגדרות!$E$7+1),הגדרות!$E$7)))</f>
        <v/>
      </c>
      <c r="K2717" s="0" t="str">
        <f aca="false">IF(I2717="","",J2717*הגדרות!$E$6+I2717+1)</f>
        <v/>
      </c>
      <c r="L2717" s="0" t="str">
        <f aca="false">IF(K2717="","",MATCH(K2717,$F$2:$F$5001,0))</f>
        <v/>
      </c>
      <c r="M2717" s="0" t="str">
        <f aca="false">IF(I2717="","",INDEX(הגדרות!$A$2:$A$21,MOD(I2717+הגדרות!$E$9,הגדרות!$E$6)+1))</f>
        <v/>
      </c>
    </row>
    <row r="2718" customFormat="false" ht="15" hidden="false" customHeight="false" outlineLevel="0" collapsed="false">
      <c r="A2718" s="0" t="str">
        <f aca="false">IF('הדבקת לידים'!A2718="","",IF(ISNUMBER('הדבקת לידים'!A2718),IF(הגדרות!$E$2&gt;0,TEXT('הדבקת לידים'!A2718,REPT("0",הגדרות!$E$2)),TEXT('הדבקת לידים'!A2718,"0")),TRIM('הדבקת לידים'!A2718)))</f>
        <v/>
      </c>
      <c r="B2718" s="0" t="str">
        <f aca="false">IF('הדבקת לידים'!B2718="","",IF(ISNUMBER('הדבקת לידים'!B2718),IF(הגדרות!$E$3&gt;0,TEXT('הדבקת לידים'!B2718,REPT("0",הגדרות!$E$3)),TEXT('הדבקת לידים'!B2718,"0")),TRIM('הדבקת לידים'!B2718)))</f>
        <v/>
      </c>
      <c r="C2718" s="0" t="n">
        <f aca="false">IF(OR(A2718&lt;&gt;"",B2718&lt;&gt;""),1,0)</f>
        <v>0</v>
      </c>
      <c r="D2718" s="0" t="str">
        <f aca="false">IF(C2718=1,MOD(ABS(SIN(ROW()*12.9898+'הדבקת לידים'!$F$2*78.233+IFERROR(--RIGHT(A2718,6),LEN(A2718))*0.0137+IFERROR(--RIGHT(B2718,6),LEN(B2718))*0.0071))*43758.5453,1),"")</f>
        <v/>
      </c>
      <c r="E2718" s="0" t="str">
        <f aca="false">IF(C2718=1,INT(MOD(ABS(SIN(D2718*7919.123+ROW()*0.618+'הדבקת לידים'!$F$2*1.3))*43758.5453,1)*1000000)*10000+ROW(),"")</f>
        <v/>
      </c>
      <c r="F2718" s="0" t="str">
        <f aca="false">IF(E2718="","",RANK(E2718,$E$2:$E$5001,1))</f>
        <v/>
      </c>
      <c r="G2718" s="0" t="n">
        <f aca="false">IF(A2718="",0,IF(SUMPRODUCT(--($A$2:$A$5001=A2718))&gt;1,1,0))</f>
        <v>0</v>
      </c>
      <c r="H2718" s="0" t="n">
        <f aca="false">ROW()-1</f>
        <v>2717</v>
      </c>
      <c r="I2718" s="0" t="str">
        <f aca="false">IF(OR(הגדרות!$E$6=0,H2718&gt;הגדרות!$E$5),"",IF(H2718-1&lt;הגדרות!$E$8*(הגדרות!$E$7+1),INT((H2718-1)/(הגדרות!$E$7+1)),הגדרות!$E$8+INT((H2718-1-הגדרות!$E$8*(הגדרות!$E$7+1))/הגדרות!$E$7)))</f>
        <v/>
      </c>
      <c r="J2718" s="0" t="str">
        <f aca="false">IF(I2718="","",IF(H2718-1&lt;הגדרות!$E$8*(הגדרות!$E$7+1),MOD(H2718-1,הגדרות!$E$7+1),MOD(H2718-1-הגדרות!$E$8*(הגדרות!$E$7+1),הגדרות!$E$7)))</f>
        <v/>
      </c>
      <c r="K2718" s="0" t="str">
        <f aca="false">IF(I2718="","",J2718*הגדרות!$E$6+I2718+1)</f>
        <v/>
      </c>
      <c r="L2718" s="0" t="str">
        <f aca="false">IF(K2718="","",MATCH(K2718,$F$2:$F$5001,0))</f>
        <v/>
      </c>
      <c r="M2718" s="0" t="str">
        <f aca="false">IF(I2718="","",INDEX(הגדרות!$A$2:$A$21,MOD(I2718+הגדרות!$E$9,הגדרות!$E$6)+1))</f>
        <v/>
      </c>
    </row>
    <row r="2719" customFormat="false" ht="15" hidden="false" customHeight="false" outlineLevel="0" collapsed="false">
      <c r="A2719" s="0" t="str">
        <f aca="false">IF('הדבקת לידים'!A2719="","",IF(ISNUMBER('הדבקת לידים'!A2719),IF(הגדרות!$E$2&gt;0,TEXT('הדבקת לידים'!A2719,REPT("0",הגדרות!$E$2)),TEXT('הדבקת לידים'!A2719,"0")),TRIM('הדבקת לידים'!A2719)))</f>
        <v/>
      </c>
      <c r="B2719" s="0" t="str">
        <f aca="false">IF('הדבקת לידים'!B2719="","",IF(ISNUMBER('הדבקת לידים'!B2719),IF(הגדרות!$E$3&gt;0,TEXT('הדבקת לידים'!B2719,REPT("0",הגדרות!$E$3)),TEXT('הדבקת לידים'!B2719,"0")),TRIM('הדבקת לידים'!B2719)))</f>
        <v/>
      </c>
      <c r="C2719" s="0" t="n">
        <f aca="false">IF(OR(A2719&lt;&gt;"",B2719&lt;&gt;""),1,0)</f>
        <v>0</v>
      </c>
      <c r="D2719" s="0" t="str">
        <f aca="false">IF(C2719=1,MOD(ABS(SIN(ROW()*12.9898+'הדבקת לידים'!$F$2*78.233+IFERROR(--RIGHT(A2719,6),LEN(A2719))*0.0137+IFERROR(--RIGHT(B2719,6),LEN(B2719))*0.0071))*43758.5453,1),"")</f>
        <v/>
      </c>
      <c r="E2719" s="0" t="str">
        <f aca="false">IF(C2719=1,INT(MOD(ABS(SIN(D2719*7919.123+ROW()*0.618+'הדבקת לידים'!$F$2*1.3))*43758.5453,1)*1000000)*10000+ROW(),"")</f>
        <v/>
      </c>
      <c r="F2719" s="0" t="str">
        <f aca="false">IF(E2719="","",RANK(E2719,$E$2:$E$5001,1))</f>
        <v/>
      </c>
      <c r="G2719" s="0" t="n">
        <f aca="false">IF(A2719="",0,IF(SUMPRODUCT(--($A$2:$A$5001=A2719))&gt;1,1,0))</f>
        <v>0</v>
      </c>
      <c r="H2719" s="0" t="n">
        <f aca="false">ROW()-1</f>
        <v>2718</v>
      </c>
      <c r="I2719" s="0" t="str">
        <f aca="false">IF(OR(הגדרות!$E$6=0,H2719&gt;הגדרות!$E$5),"",IF(H2719-1&lt;הגדרות!$E$8*(הגדרות!$E$7+1),INT((H2719-1)/(הגדרות!$E$7+1)),הגדרות!$E$8+INT((H2719-1-הגדרות!$E$8*(הגדרות!$E$7+1))/הגדרות!$E$7)))</f>
        <v/>
      </c>
      <c r="J2719" s="0" t="str">
        <f aca="false">IF(I2719="","",IF(H2719-1&lt;הגדרות!$E$8*(הגדרות!$E$7+1),MOD(H2719-1,הגדרות!$E$7+1),MOD(H2719-1-הגדרות!$E$8*(הגדרות!$E$7+1),הגדרות!$E$7)))</f>
        <v/>
      </c>
      <c r="K2719" s="0" t="str">
        <f aca="false">IF(I2719="","",J2719*הגדרות!$E$6+I2719+1)</f>
        <v/>
      </c>
      <c r="L2719" s="0" t="str">
        <f aca="false">IF(K2719="","",MATCH(K2719,$F$2:$F$5001,0))</f>
        <v/>
      </c>
      <c r="M2719" s="0" t="str">
        <f aca="false">IF(I2719="","",INDEX(הגדרות!$A$2:$A$21,MOD(I2719+הגדרות!$E$9,הגדרות!$E$6)+1))</f>
        <v/>
      </c>
    </row>
    <row r="2720" customFormat="false" ht="15" hidden="false" customHeight="false" outlineLevel="0" collapsed="false">
      <c r="A2720" s="0" t="str">
        <f aca="false">IF('הדבקת לידים'!A2720="","",IF(ISNUMBER('הדבקת לידים'!A2720),IF(הגדרות!$E$2&gt;0,TEXT('הדבקת לידים'!A2720,REPT("0",הגדרות!$E$2)),TEXT('הדבקת לידים'!A2720,"0")),TRIM('הדבקת לידים'!A2720)))</f>
        <v/>
      </c>
      <c r="B2720" s="0" t="str">
        <f aca="false">IF('הדבקת לידים'!B2720="","",IF(ISNUMBER('הדבקת לידים'!B2720),IF(הגדרות!$E$3&gt;0,TEXT('הדבקת לידים'!B2720,REPT("0",הגדרות!$E$3)),TEXT('הדבקת לידים'!B2720,"0")),TRIM('הדבקת לידים'!B2720)))</f>
        <v/>
      </c>
      <c r="C2720" s="0" t="n">
        <f aca="false">IF(OR(A2720&lt;&gt;"",B2720&lt;&gt;""),1,0)</f>
        <v>0</v>
      </c>
      <c r="D2720" s="0" t="str">
        <f aca="false">IF(C2720=1,MOD(ABS(SIN(ROW()*12.9898+'הדבקת לידים'!$F$2*78.233+IFERROR(--RIGHT(A2720,6),LEN(A2720))*0.0137+IFERROR(--RIGHT(B2720,6),LEN(B2720))*0.0071))*43758.5453,1),"")</f>
        <v/>
      </c>
      <c r="E2720" s="0" t="str">
        <f aca="false">IF(C2720=1,INT(MOD(ABS(SIN(D2720*7919.123+ROW()*0.618+'הדבקת לידים'!$F$2*1.3))*43758.5453,1)*1000000)*10000+ROW(),"")</f>
        <v/>
      </c>
      <c r="F2720" s="0" t="str">
        <f aca="false">IF(E2720="","",RANK(E2720,$E$2:$E$5001,1))</f>
        <v/>
      </c>
      <c r="G2720" s="0" t="n">
        <f aca="false">IF(A2720="",0,IF(SUMPRODUCT(--($A$2:$A$5001=A2720))&gt;1,1,0))</f>
        <v>0</v>
      </c>
      <c r="H2720" s="0" t="n">
        <f aca="false">ROW()-1</f>
        <v>2719</v>
      </c>
      <c r="I2720" s="0" t="str">
        <f aca="false">IF(OR(הגדרות!$E$6=0,H2720&gt;הגדרות!$E$5),"",IF(H2720-1&lt;הגדרות!$E$8*(הגדרות!$E$7+1),INT((H2720-1)/(הגדרות!$E$7+1)),הגדרות!$E$8+INT((H2720-1-הגדרות!$E$8*(הגדרות!$E$7+1))/הגדרות!$E$7)))</f>
        <v/>
      </c>
      <c r="J2720" s="0" t="str">
        <f aca="false">IF(I2720="","",IF(H2720-1&lt;הגדרות!$E$8*(הגדרות!$E$7+1),MOD(H2720-1,הגדרות!$E$7+1),MOD(H2720-1-הגדרות!$E$8*(הגדרות!$E$7+1),הגדרות!$E$7)))</f>
        <v/>
      </c>
      <c r="K2720" s="0" t="str">
        <f aca="false">IF(I2720="","",J2720*הגדרות!$E$6+I2720+1)</f>
        <v/>
      </c>
      <c r="L2720" s="0" t="str">
        <f aca="false">IF(K2720="","",MATCH(K2720,$F$2:$F$5001,0))</f>
        <v/>
      </c>
      <c r="M2720" s="0" t="str">
        <f aca="false">IF(I2720="","",INDEX(הגדרות!$A$2:$A$21,MOD(I2720+הגדרות!$E$9,הגדרות!$E$6)+1))</f>
        <v/>
      </c>
    </row>
    <row r="2721" customFormat="false" ht="15" hidden="false" customHeight="false" outlineLevel="0" collapsed="false">
      <c r="A2721" s="0" t="str">
        <f aca="false">IF('הדבקת לידים'!A2721="","",IF(ISNUMBER('הדבקת לידים'!A2721),IF(הגדרות!$E$2&gt;0,TEXT('הדבקת לידים'!A2721,REPT("0",הגדרות!$E$2)),TEXT('הדבקת לידים'!A2721,"0")),TRIM('הדבקת לידים'!A2721)))</f>
        <v/>
      </c>
      <c r="B2721" s="0" t="str">
        <f aca="false">IF('הדבקת לידים'!B2721="","",IF(ISNUMBER('הדבקת לידים'!B2721),IF(הגדרות!$E$3&gt;0,TEXT('הדבקת לידים'!B2721,REPT("0",הגדרות!$E$3)),TEXT('הדבקת לידים'!B2721,"0")),TRIM('הדבקת לידים'!B2721)))</f>
        <v/>
      </c>
      <c r="C2721" s="0" t="n">
        <f aca="false">IF(OR(A2721&lt;&gt;"",B2721&lt;&gt;""),1,0)</f>
        <v>0</v>
      </c>
      <c r="D2721" s="0" t="str">
        <f aca="false">IF(C2721=1,MOD(ABS(SIN(ROW()*12.9898+'הדבקת לידים'!$F$2*78.233+IFERROR(--RIGHT(A2721,6),LEN(A2721))*0.0137+IFERROR(--RIGHT(B2721,6),LEN(B2721))*0.0071))*43758.5453,1),"")</f>
        <v/>
      </c>
      <c r="E2721" s="0" t="str">
        <f aca="false">IF(C2721=1,INT(MOD(ABS(SIN(D2721*7919.123+ROW()*0.618+'הדבקת לידים'!$F$2*1.3))*43758.5453,1)*1000000)*10000+ROW(),"")</f>
        <v/>
      </c>
      <c r="F2721" s="0" t="str">
        <f aca="false">IF(E2721="","",RANK(E2721,$E$2:$E$5001,1))</f>
        <v/>
      </c>
      <c r="G2721" s="0" t="n">
        <f aca="false">IF(A2721="",0,IF(SUMPRODUCT(--($A$2:$A$5001=A2721))&gt;1,1,0))</f>
        <v>0</v>
      </c>
      <c r="H2721" s="0" t="n">
        <f aca="false">ROW()-1</f>
        <v>2720</v>
      </c>
      <c r="I2721" s="0" t="str">
        <f aca="false">IF(OR(הגדרות!$E$6=0,H2721&gt;הגדרות!$E$5),"",IF(H2721-1&lt;הגדרות!$E$8*(הגדרות!$E$7+1),INT((H2721-1)/(הגדרות!$E$7+1)),הגדרות!$E$8+INT((H2721-1-הגדרות!$E$8*(הגדרות!$E$7+1))/הגדרות!$E$7)))</f>
        <v/>
      </c>
      <c r="J2721" s="0" t="str">
        <f aca="false">IF(I2721="","",IF(H2721-1&lt;הגדרות!$E$8*(הגדרות!$E$7+1),MOD(H2721-1,הגדרות!$E$7+1),MOD(H2721-1-הגדרות!$E$8*(הגדרות!$E$7+1),הגדרות!$E$7)))</f>
        <v/>
      </c>
      <c r="K2721" s="0" t="str">
        <f aca="false">IF(I2721="","",J2721*הגדרות!$E$6+I2721+1)</f>
        <v/>
      </c>
      <c r="L2721" s="0" t="str">
        <f aca="false">IF(K2721="","",MATCH(K2721,$F$2:$F$5001,0))</f>
        <v/>
      </c>
      <c r="M2721" s="0" t="str">
        <f aca="false">IF(I2721="","",INDEX(הגדרות!$A$2:$A$21,MOD(I2721+הגדרות!$E$9,הגדרות!$E$6)+1))</f>
        <v/>
      </c>
    </row>
    <row r="2722" customFormat="false" ht="15" hidden="false" customHeight="false" outlineLevel="0" collapsed="false">
      <c r="A2722" s="0" t="str">
        <f aca="false">IF('הדבקת לידים'!A2722="","",IF(ISNUMBER('הדבקת לידים'!A2722),IF(הגדרות!$E$2&gt;0,TEXT('הדבקת לידים'!A2722,REPT("0",הגדרות!$E$2)),TEXT('הדבקת לידים'!A2722,"0")),TRIM('הדבקת לידים'!A2722)))</f>
        <v/>
      </c>
      <c r="B2722" s="0" t="str">
        <f aca="false">IF('הדבקת לידים'!B2722="","",IF(ISNUMBER('הדבקת לידים'!B2722),IF(הגדרות!$E$3&gt;0,TEXT('הדבקת לידים'!B2722,REPT("0",הגדרות!$E$3)),TEXT('הדבקת לידים'!B2722,"0")),TRIM('הדבקת לידים'!B2722)))</f>
        <v/>
      </c>
      <c r="C2722" s="0" t="n">
        <f aca="false">IF(OR(A2722&lt;&gt;"",B2722&lt;&gt;""),1,0)</f>
        <v>0</v>
      </c>
      <c r="D2722" s="0" t="str">
        <f aca="false">IF(C2722=1,MOD(ABS(SIN(ROW()*12.9898+'הדבקת לידים'!$F$2*78.233+IFERROR(--RIGHT(A2722,6),LEN(A2722))*0.0137+IFERROR(--RIGHT(B2722,6),LEN(B2722))*0.0071))*43758.5453,1),"")</f>
        <v/>
      </c>
      <c r="E2722" s="0" t="str">
        <f aca="false">IF(C2722=1,INT(MOD(ABS(SIN(D2722*7919.123+ROW()*0.618+'הדבקת לידים'!$F$2*1.3))*43758.5453,1)*1000000)*10000+ROW(),"")</f>
        <v/>
      </c>
      <c r="F2722" s="0" t="str">
        <f aca="false">IF(E2722="","",RANK(E2722,$E$2:$E$5001,1))</f>
        <v/>
      </c>
      <c r="G2722" s="0" t="n">
        <f aca="false">IF(A2722="",0,IF(SUMPRODUCT(--($A$2:$A$5001=A2722))&gt;1,1,0))</f>
        <v>0</v>
      </c>
      <c r="H2722" s="0" t="n">
        <f aca="false">ROW()-1</f>
        <v>2721</v>
      </c>
      <c r="I2722" s="0" t="str">
        <f aca="false">IF(OR(הגדרות!$E$6=0,H2722&gt;הגדרות!$E$5),"",IF(H2722-1&lt;הגדרות!$E$8*(הגדרות!$E$7+1),INT((H2722-1)/(הגדרות!$E$7+1)),הגדרות!$E$8+INT((H2722-1-הגדרות!$E$8*(הגדרות!$E$7+1))/הגדרות!$E$7)))</f>
        <v/>
      </c>
      <c r="J2722" s="0" t="str">
        <f aca="false">IF(I2722="","",IF(H2722-1&lt;הגדרות!$E$8*(הגדרות!$E$7+1),MOD(H2722-1,הגדרות!$E$7+1),MOD(H2722-1-הגדרות!$E$8*(הגדרות!$E$7+1),הגדרות!$E$7)))</f>
        <v/>
      </c>
      <c r="K2722" s="0" t="str">
        <f aca="false">IF(I2722="","",J2722*הגדרות!$E$6+I2722+1)</f>
        <v/>
      </c>
      <c r="L2722" s="0" t="str">
        <f aca="false">IF(K2722="","",MATCH(K2722,$F$2:$F$5001,0))</f>
        <v/>
      </c>
      <c r="M2722" s="0" t="str">
        <f aca="false">IF(I2722="","",INDEX(הגדרות!$A$2:$A$21,MOD(I2722+הגדרות!$E$9,הגדרות!$E$6)+1))</f>
        <v/>
      </c>
    </row>
    <row r="2723" customFormat="false" ht="15" hidden="false" customHeight="false" outlineLevel="0" collapsed="false">
      <c r="A2723" s="0" t="str">
        <f aca="false">IF('הדבקת לידים'!A2723="","",IF(ISNUMBER('הדבקת לידים'!A2723),IF(הגדרות!$E$2&gt;0,TEXT('הדבקת לידים'!A2723,REPT("0",הגדרות!$E$2)),TEXT('הדבקת לידים'!A2723,"0")),TRIM('הדבקת לידים'!A2723)))</f>
        <v/>
      </c>
      <c r="B2723" s="0" t="str">
        <f aca="false">IF('הדבקת לידים'!B2723="","",IF(ISNUMBER('הדבקת לידים'!B2723),IF(הגדרות!$E$3&gt;0,TEXT('הדבקת לידים'!B2723,REPT("0",הגדרות!$E$3)),TEXT('הדבקת לידים'!B2723,"0")),TRIM('הדבקת לידים'!B2723)))</f>
        <v/>
      </c>
      <c r="C2723" s="0" t="n">
        <f aca="false">IF(OR(A2723&lt;&gt;"",B2723&lt;&gt;""),1,0)</f>
        <v>0</v>
      </c>
      <c r="D2723" s="0" t="str">
        <f aca="false">IF(C2723=1,MOD(ABS(SIN(ROW()*12.9898+'הדבקת לידים'!$F$2*78.233+IFERROR(--RIGHT(A2723,6),LEN(A2723))*0.0137+IFERROR(--RIGHT(B2723,6),LEN(B2723))*0.0071))*43758.5453,1),"")</f>
        <v/>
      </c>
      <c r="E2723" s="0" t="str">
        <f aca="false">IF(C2723=1,INT(MOD(ABS(SIN(D2723*7919.123+ROW()*0.618+'הדבקת לידים'!$F$2*1.3))*43758.5453,1)*1000000)*10000+ROW(),"")</f>
        <v/>
      </c>
      <c r="F2723" s="0" t="str">
        <f aca="false">IF(E2723="","",RANK(E2723,$E$2:$E$5001,1))</f>
        <v/>
      </c>
      <c r="G2723" s="0" t="n">
        <f aca="false">IF(A2723="",0,IF(SUMPRODUCT(--($A$2:$A$5001=A2723))&gt;1,1,0))</f>
        <v>0</v>
      </c>
      <c r="H2723" s="0" t="n">
        <f aca="false">ROW()-1</f>
        <v>2722</v>
      </c>
      <c r="I2723" s="0" t="str">
        <f aca="false">IF(OR(הגדרות!$E$6=0,H2723&gt;הגדרות!$E$5),"",IF(H2723-1&lt;הגדרות!$E$8*(הגדרות!$E$7+1),INT((H2723-1)/(הגדרות!$E$7+1)),הגדרות!$E$8+INT((H2723-1-הגדרות!$E$8*(הגדרות!$E$7+1))/הגדרות!$E$7)))</f>
        <v/>
      </c>
      <c r="J2723" s="0" t="str">
        <f aca="false">IF(I2723="","",IF(H2723-1&lt;הגדרות!$E$8*(הגדרות!$E$7+1),MOD(H2723-1,הגדרות!$E$7+1),MOD(H2723-1-הגדרות!$E$8*(הגדרות!$E$7+1),הגדרות!$E$7)))</f>
        <v/>
      </c>
      <c r="K2723" s="0" t="str">
        <f aca="false">IF(I2723="","",J2723*הגדרות!$E$6+I2723+1)</f>
        <v/>
      </c>
      <c r="L2723" s="0" t="str">
        <f aca="false">IF(K2723="","",MATCH(K2723,$F$2:$F$5001,0))</f>
        <v/>
      </c>
      <c r="M2723" s="0" t="str">
        <f aca="false">IF(I2723="","",INDEX(הגדרות!$A$2:$A$21,MOD(I2723+הגדרות!$E$9,הגדרות!$E$6)+1))</f>
        <v/>
      </c>
    </row>
    <row r="2724" customFormat="false" ht="15" hidden="false" customHeight="false" outlineLevel="0" collapsed="false">
      <c r="A2724" s="0" t="str">
        <f aca="false">IF('הדבקת לידים'!A2724="","",IF(ISNUMBER('הדבקת לידים'!A2724),IF(הגדרות!$E$2&gt;0,TEXT('הדבקת לידים'!A2724,REPT("0",הגדרות!$E$2)),TEXT('הדבקת לידים'!A2724,"0")),TRIM('הדבקת לידים'!A2724)))</f>
        <v/>
      </c>
      <c r="B2724" s="0" t="str">
        <f aca="false">IF('הדבקת לידים'!B2724="","",IF(ISNUMBER('הדבקת לידים'!B2724),IF(הגדרות!$E$3&gt;0,TEXT('הדבקת לידים'!B2724,REPT("0",הגדרות!$E$3)),TEXT('הדבקת לידים'!B2724,"0")),TRIM('הדבקת לידים'!B2724)))</f>
        <v/>
      </c>
      <c r="C2724" s="0" t="n">
        <f aca="false">IF(OR(A2724&lt;&gt;"",B2724&lt;&gt;""),1,0)</f>
        <v>0</v>
      </c>
      <c r="D2724" s="0" t="str">
        <f aca="false">IF(C2724=1,MOD(ABS(SIN(ROW()*12.9898+'הדבקת לידים'!$F$2*78.233+IFERROR(--RIGHT(A2724,6),LEN(A2724))*0.0137+IFERROR(--RIGHT(B2724,6),LEN(B2724))*0.0071))*43758.5453,1),"")</f>
        <v/>
      </c>
      <c r="E2724" s="0" t="str">
        <f aca="false">IF(C2724=1,INT(MOD(ABS(SIN(D2724*7919.123+ROW()*0.618+'הדבקת לידים'!$F$2*1.3))*43758.5453,1)*1000000)*10000+ROW(),"")</f>
        <v/>
      </c>
      <c r="F2724" s="0" t="str">
        <f aca="false">IF(E2724="","",RANK(E2724,$E$2:$E$5001,1))</f>
        <v/>
      </c>
      <c r="G2724" s="0" t="n">
        <f aca="false">IF(A2724="",0,IF(SUMPRODUCT(--($A$2:$A$5001=A2724))&gt;1,1,0))</f>
        <v>0</v>
      </c>
      <c r="H2724" s="0" t="n">
        <f aca="false">ROW()-1</f>
        <v>2723</v>
      </c>
      <c r="I2724" s="0" t="str">
        <f aca="false">IF(OR(הגדרות!$E$6=0,H2724&gt;הגדרות!$E$5),"",IF(H2724-1&lt;הגדרות!$E$8*(הגדרות!$E$7+1),INT((H2724-1)/(הגדרות!$E$7+1)),הגדרות!$E$8+INT((H2724-1-הגדרות!$E$8*(הגדרות!$E$7+1))/הגדרות!$E$7)))</f>
        <v/>
      </c>
      <c r="J2724" s="0" t="str">
        <f aca="false">IF(I2724="","",IF(H2724-1&lt;הגדרות!$E$8*(הגדרות!$E$7+1),MOD(H2724-1,הגדרות!$E$7+1),MOD(H2724-1-הגדרות!$E$8*(הגדרות!$E$7+1),הגדרות!$E$7)))</f>
        <v/>
      </c>
      <c r="K2724" s="0" t="str">
        <f aca="false">IF(I2724="","",J2724*הגדרות!$E$6+I2724+1)</f>
        <v/>
      </c>
      <c r="L2724" s="0" t="str">
        <f aca="false">IF(K2724="","",MATCH(K2724,$F$2:$F$5001,0))</f>
        <v/>
      </c>
      <c r="M2724" s="0" t="str">
        <f aca="false">IF(I2724="","",INDEX(הגדרות!$A$2:$A$21,MOD(I2724+הגדרות!$E$9,הגדרות!$E$6)+1))</f>
        <v/>
      </c>
    </row>
    <row r="2725" customFormat="false" ht="15" hidden="false" customHeight="false" outlineLevel="0" collapsed="false">
      <c r="A2725" s="0" t="str">
        <f aca="false">IF('הדבקת לידים'!A2725="","",IF(ISNUMBER('הדבקת לידים'!A2725),IF(הגדרות!$E$2&gt;0,TEXT('הדבקת לידים'!A2725,REPT("0",הגדרות!$E$2)),TEXT('הדבקת לידים'!A2725,"0")),TRIM('הדבקת לידים'!A2725)))</f>
        <v/>
      </c>
      <c r="B2725" s="0" t="str">
        <f aca="false">IF('הדבקת לידים'!B2725="","",IF(ISNUMBER('הדבקת לידים'!B2725),IF(הגדרות!$E$3&gt;0,TEXT('הדבקת לידים'!B2725,REPT("0",הגדרות!$E$3)),TEXT('הדבקת לידים'!B2725,"0")),TRIM('הדבקת לידים'!B2725)))</f>
        <v/>
      </c>
      <c r="C2725" s="0" t="n">
        <f aca="false">IF(OR(A2725&lt;&gt;"",B2725&lt;&gt;""),1,0)</f>
        <v>0</v>
      </c>
      <c r="D2725" s="0" t="str">
        <f aca="false">IF(C2725=1,MOD(ABS(SIN(ROW()*12.9898+'הדבקת לידים'!$F$2*78.233+IFERROR(--RIGHT(A2725,6),LEN(A2725))*0.0137+IFERROR(--RIGHT(B2725,6),LEN(B2725))*0.0071))*43758.5453,1),"")</f>
        <v/>
      </c>
      <c r="E2725" s="0" t="str">
        <f aca="false">IF(C2725=1,INT(MOD(ABS(SIN(D2725*7919.123+ROW()*0.618+'הדבקת לידים'!$F$2*1.3))*43758.5453,1)*1000000)*10000+ROW(),"")</f>
        <v/>
      </c>
      <c r="F2725" s="0" t="str">
        <f aca="false">IF(E2725="","",RANK(E2725,$E$2:$E$5001,1))</f>
        <v/>
      </c>
      <c r="G2725" s="0" t="n">
        <f aca="false">IF(A2725="",0,IF(SUMPRODUCT(--($A$2:$A$5001=A2725))&gt;1,1,0))</f>
        <v>0</v>
      </c>
      <c r="H2725" s="0" t="n">
        <f aca="false">ROW()-1</f>
        <v>2724</v>
      </c>
      <c r="I2725" s="0" t="str">
        <f aca="false">IF(OR(הגדרות!$E$6=0,H2725&gt;הגדרות!$E$5),"",IF(H2725-1&lt;הגדרות!$E$8*(הגדרות!$E$7+1),INT((H2725-1)/(הגדרות!$E$7+1)),הגדרות!$E$8+INT((H2725-1-הגדרות!$E$8*(הגדרות!$E$7+1))/הגדרות!$E$7)))</f>
        <v/>
      </c>
      <c r="J2725" s="0" t="str">
        <f aca="false">IF(I2725="","",IF(H2725-1&lt;הגדרות!$E$8*(הגדרות!$E$7+1),MOD(H2725-1,הגדרות!$E$7+1),MOD(H2725-1-הגדרות!$E$8*(הגדרות!$E$7+1),הגדרות!$E$7)))</f>
        <v/>
      </c>
      <c r="K2725" s="0" t="str">
        <f aca="false">IF(I2725="","",J2725*הגדרות!$E$6+I2725+1)</f>
        <v/>
      </c>
      <c r="L2725" s="0" t="str">
        <f aca="false">IF(K2725="","",MATCH(K2725,$F$2:$F$5001,0))</f>
        <v/>
      </c>
      <c r="M2725" s="0" t="str">
        <f aca="false">IF(I2725="","",INDEX(הגדרות!$A$2:$A$21,MOD(I2725+הגדרות!$E$9,הגדרות!$E$6)+1))</f>
        <v/>
      </c>
    </row>
    <row r="2726" customFormat="false" ht="15" hidden="false" customHeight="false" outlineLevel="0" collapsed="false">
      <c r="A2726" s="0" t="str">
        <f aca="false">IF('הדבקת לידים'!A2726="","",IF(ISNUMBER('הדבקת לידים'!A2726),IF(הגדרות!$E$2&gt;0,TEXT('הדבקת לידים'!A2726,REPT("0",הגדרות!$E$2)),TEXT('הדבקת לידים'!A2726,"0")),TRIM('הדבקת לידים'!A2726)))</f>
        <v/>
      </c>
      <c r="B2726" s="0" t="str">
        <f aca="false">IF('הדבקת לידים'!B2726="","",IF(ISNUMBER('הדבקת לידים'!B2726),IF(הגדרות!$E$3&gt;0,TEXT('הדבקת לידים'!B2726,REPT("0",הגדרות!$E$3)),TEXT('הדבקת לידים'!B2726,"0")),TRIM('הדבקת לידים'!B2726)))</f>
        <v/>
      </c>
      <c r="C2726" s="0" t="n">
        <f aca="false">IF(OR(A2726&lt;&gt;"",B2726&lt;&gt;""),1,0)</f>
        <v>0</v>
      </c>
      <c r="D2726" s="0" t="str">
        <f aca="false">IF(C2726=1,MOD(ABS(SIN(ROW()*12.9898+'הדבקת לידים'!$F$2*78.233+IFERROR(--RIGHT(A2726,6),LEN(A2726))*0.0137+IFERROR(--RIGHT(B2726,6),LEN(B2726))*0.0071))*43758.5453,1),"")</f>
        <v/>
      </c>
      <c r="E2726" s="0" t="str">
        <f aca="false">IF(C2726=1,INT(MOD(ABS(SIN(D2726*7919.123+ROW()*0.618+'הדבקת לידים'!$F$2*1.3))*43758.5453,1)*1000000)*10000+ROW(),"")</f>
        <v/>
      </c>
      <c r="F2726" s="0" t="str">
        <f aca="false">IF(E2726="","",RANK(E2726,$E$2:$E$5001,1))</f>
        <v/>
      </c>
      <c r="G2726" s="0" t="n">
        <f aca="false">IF(A2726="",0,IF(SUMPRODUCT(--($A$2:$A$5001=A2726))&gt;1,1,0))</f>
        <v>0</v>
      </c>
      <c r="H2726" s="0" t="n">
        <f aca="false">ROW()-1</f>
        <v>2725</v>
      </c>
      <c r="I2726" s="0" t="str">
        <f aca="false">IF(OR(הגדרות!$E$6=0,H2726&gt;הגדרות!$E$5),"",IF(H2726-1&lt;הגדרות!$E$8*(הגדרות!$E$7+1),INT((H2726-1)/(הגדרות!$E$7+1)),הגדרות!$E$8+INT((H2726-1-הגדרות!$E$8*(הגדרות!$E$7+1))/הגדרות!$E$7)))</f>
        <v/>
      </c>
      <c r="J2726" s="0" t="str">
        <f aca="false">IF(I2726="","",IF(H2726-1&lt;הגדרות!$E$8*(הגדרות!$E$7+1),MOD(H2726-1,הגדרות!$E$7+1),MOD(H2726-1-הגדרות!$E$8*(הגדרות!$E$7+1),הגדרות!$E$7)))</f>
        <v/>
      </c>
      <c r="K2726" s="0" t="str">
        <f aca="false">IF(I2726="","",J2726*הגדרות!$E$6+I2726+1)</f>
        <v/>
      </c>
      <c r="L2726" s="0" t="str">
        <f aca="false">IF(K2726="","",MATCH(K2726,$F$2:$F$5001,0))</f>
        <v/>
      </c>
      <c r="M2726" s="0" t="str">
        <f aca="false">IF(I2726="","",INDEX(הגדרות!$A$2:$A$21,MOD(I2726+הגדרות!$E$9,הגדרות!$E$6)+1))</f>
        <v/>
      </c>
    </row>
    <row r="2727" customFormat="false" ht="15" hidden="false" customHeight="false" outlineLevel="0" collapsed="false">
      <c r="A2727" s="0" t="str">
        <f aca="false">IF('הדבקת לידים'!A2727="","",IF(ISNUMBER('הדבקת לידים'!A2727),IF(הגדרות!$E$2&gt;0,TEXT('הדבקת לידים'!A2727,REPT("0",הגדרות!$E$2)),TEXT('הדבקת לידים'!A2727,"0")),TRIM('הדבקת לידים'!A2727)))</f>
        <v/>
      </c>
      <c r="B2727" s="0" t="str">
        <f aca="false">IF('הדבקת לידים'!B2727="","",IF(ISNUMBER('הדבקת לידים'!B2727),IF(הגדרות!$E$3&gt;0,TEXT('הדבקת לידים'!B2727,REPT("0",הגדרות!$E$3)),TEXT('הדבקת לידים'!B2727,"0")),TRIM('הדבקת לידים'!B2727)))</f>
        <v/>
      </c>
      <c r="C2727" s="0" t="n">
        <f aca="false">IF(OR(A2727&lt;&gt;"",B2727&lt;&gt;""),1,0)</f>
        <v>0</v>
      </c>
      <c r="D2727" s="0" t="str">
        <f aca="false">IF(C2727=1,MOD(ABS(SIN(ROW()*12.9898+'הדבקת לידים'!$F$2*78.233+IFERROR(--RIGHT(A2727,6),LEN(A2727))*0.0137+IFERROR(--RIGHT(B2727,6),LEN(B2727))*0.0071))*43758.5453,1),"")</f>
        <v/>
      </c>
      <c r="E2727" s="0" t="str">
        <f aca="false">IF(C2727=1,INT(MOD(ABS(SIN(D2727*7919.123+ROW()*0.618+'הדבקת לידים'!$F$2*1.3))*43758.5453,1)*1000000)*10000+ROW(),"")</f>
        <v/>
      </c>
      <c r="F2727" s="0" t="str">
        <f aca="false">IF(E2727="","",RANK(E2727,$E$2:$E$5001,1))</f>
        <v/>
      </c>
      <c r="G2727" s="0" t="n">
        <f aca="false">IF(A2727="",0,IF(SUMPRODUCT(--($A$2:$A$5001=A2727))&gt;1,1,0))</f>
        <v>0</v>
      </c>
      <c r="H2727" s="0" t="n">
        <f aca="false">ROW()-1</f>
        <v>2726</v>
      </c>
      <c r="I2727" s="0" t="str">
        <f aca="false">IF(OR(הגדרות!$E$6=0,H2727&gt;הגדרות!$E$5),"",IF(H2727-1&lt;הגדרות!$E$8*(הגדרות!$E$7+1),INT((H2727-1)/(הגדרות!$E$7+1)),הגדרות!$E$8+INT((H2727-1-הגדרות!$E$8*(הגדרות!$E$7+1))/הגדרות!$E$7)))</f>
        <v/>
      </c>
      <c r="J2727" s="0" t="str">
        <f aca="false">IF(I2727="","",IF(H2727-1&lt;הגדרות!$E$8*(הגדרות!$E$7+1),MOD(H2727-1,הגדרות!$E$7+1),MOD(H2727-1-הגדרות!$E$8*(הגדרות!$E$7+1),הגדרות!$E$7)))</f>
        <v/>
      </c>
      <c r="K2727" s="0" t="str">
        <f aca="false">IF(I2727="","",J2727*הגדרות!$E$6+I2727+1)</f>
        <v/>
      </c>
      <c r="L2727" s="0" t="str">
        <f aca="false">IF(K2727="","",MATCH(K2727,$F$2:$F$5001,0))</f>
        <v/>
      </c>
      <c r="M2727" s="0" t="str">
        <f aca="false">IF(I2727="","",INDEX(הגדרות!$A$2:$A$21,MOD(I2727+הגדרות!$E$9,הגדרות!$E$6)+1))</f>
        <v/>
      </c>
    </row>
    <row r="2728" customFormat="false" ht="15" hidden="false" customHeight="false" outlineLevel="0" collapsed="false">
      <c r="A2728" s="0" t="str">
        <f aca="false">IF('הדבקת לידים'!A2728="","",IF(ISNUMBER('הדבקת לידים'!A2728),IF(הגדרות!$E$2&gt;0,TEXT('הדבקת לידים'!A2728,REPT("0",הגדרות!$E$2)),TEXT('הדבקת לידים'!A2728,"0")),TRIM('הדבקת לידים'!A2728)))</f>
        <v/>
      </c>
      <c r="B2728" s="0" t="str">
        <f aca="false">IF('הדבקת לידים'!B2728="","",IF(ISNUMBER('הדבקת לידים'!B2728),IF(הגדרות!$E$3&gt;0,TEXT('הדבקת לידים'!B2728,REPT("0",הגדרות!$E$3)),TEXT('הדבקת לידים'!B2728,"0")),TRIM('הדבקת לידים'!B2728)))</f>
        <v/>
      </c>
      <c r="C2728" s="0" t="n">
        <f aca="false">IF(OR(A2728&lt;&gt;"",B2728&lt;&gt;""),1,0)</f>
        <v>0</v>
      </c>
      <c r="D2728" s="0" t="str">
        <f aca="false">IF(C2728=1,MOD(ABS(SIN(ROW()*12.9898+'הדבקת לידים'!$F$2*78.233+IFERROR(--RIGHT(A2728,6),LEN(A2728))*0.0137+IFERROR(--RIGHT(B2728,6),LEN(B2728))*0.0071))*43758.5453,1),"")</f>
        <v/>
      </c>
      <c r="E2728" s="0" t="str">
        <f aca="false">IF(C2728=1,INT(MOD(ABS(SIN(D2728*7919.123+ROW()*0.618+'הדבקת לידים'!$F$2*1.3))*43758.5453,1)*1000000)*10000+ROW(),"")</f>
        <v/>
      </c>
      <c r="F2728" s="0" t="str">
        <f aca="false">IF(E2728="","",RANK(E2728,$E$2:$E$5001,1))</f>
        <v/>
      </c>
      <c r="G2728" s="0" t="n">
        <f aca="false">IF(A2728="",0,IF(SUMPRODUCT(--($A$2:$A$5001=A2728))&gt;1,1,0))</f>
        <v>0</v>
      </c>
      <c r="H2728" s="0" t="n">
        <f aca="false">ROW()-1</f>
        <v>2727</v>
      </c>
      <c r="I2728" s="0" t="str">
        <f aca="false">IF(OR(הגדרות!$E$6=0,H2728&gt;הגדרות!$E$5),"",IF(H2728-1&lt;הגדרות!$E$8*(הגדרות!$E$7+1),INT((H2728-1)/(הגדרות!$E$7+1)),הגדרות!$E$8+INT((H2728-1-הגדרות!$E$8*(הגדרות!$E$7+1))/הגדרות!$E$7)))</f>
        <v/>
      </c>
      <c r="J2728" s="0" t="str">
        <f aca="false">IF(I2728="","",IF(H2728-1&lt;הגדרות!$E$8*(הגדרות!$E$7+1),MOD(H2728-1,הגדרות!$E$7+1),MOD(H2728-1-הגדרות!$E$8*(הגדרות!$E$7+1),הגדרות!$E$7)))</f>
        <v/>
      </c>
      <c r="K2728" s="0" t="str">
        <f aca="false">IF(I2728="","",J2728*הגדרות!$E$6+I2728+1)</f>
        <v/>
      </c>
      <c r="L2728" s="0" t="str">
        <f aca="false">IF(K2728="","",MATCH(K2728,$F$2:$F$5001,0))</f>
        <v/>
      </c>
      <c r="M2728" s="0" t="str">
        <f aca="false">IF(I2728="","",INDEX(הגדרות!$A$2:$A$21,MOD(I2728+הגדרות!$E$9,הגדרות!$E$6)+1))</f>
        <v/>
      </c>
    </row>
    <row r="2729" customFormat="false" ht="15" hidden="false" customHeight="false" outlineLevel="0" collapsed="false">
      <c r="A2729" s="0" t="str">
        <f aca="false">IF('הדבקת לידים'!A2729="","",IF(ISNUMBER('הדבקת לידים'!A2729),IF(הגדרות!$E$2&gt;0,TEXT('הדבקת לידים'!A2729,REPT("0",הגדרות!$E$2)),TEXT('הדבקת לידים'!A2729,"0")),TRIM('הדבקת לידים'!A2729)))</f>
        <v/>
      </c>
      <c r="B2729" s="0" t="str">
        <f aca="false">IF('הדבקת לידים'!B2729="","",IF(ISNUMBER('הדבקת לידים'!B2729),IF(הגדרות!$E$3&gt;0,TEXT('הדבקת לידים'!B2729,REPT("0",הגדרות!$E$3)),TEXT('הדבקת לידים'!B2729,"0")),TRIM('הדבקת לידים'!B2729)))</f>
        <v/>
      </c>
      <c r="C2729" s="0" t="n">
        <f aca="false">IF(OR(A2729&lt;&gt;"",B2729&lt;&gt;""),1,0)</f>
        <v>0</v>
      </c>
      <c r="D2729" s="0" t="str">
        <f aca="false">IF(C2729=1,MOD(ABS(SIN(ROW()*12.9898+'הדבקת לידים'!$F$2*78.233+IFERROR(--RIGHT(A2729,6),LEN(A2729))*0.0137+IFERROR(--RIGHT(B2729,6),LEN(B2729))*0.0071))*43758.5453,1),"")</f>
        <v/>
      </c>
      <c r="E2729" s="0" t="str">
        <f aca="false">IF(C2729=1,INT(MOD(ABS(SIN(D2729*7919.123+ROW()*0.618+'הדבקת לידים'!$F$2*1.3))*43758.5453,1)*1000000)*10000+ROW(),"")</f>
        <v/>
      </c>
      <c r="F2729" s="0" t="str">
        <f aca="false">IF(E2729="","",RANK(E2729,$E$2:$E$5001,1))</f>
        <v/>
      </c>
      <c r="G2729" s="0" t="n">
        <f aca="false">IF(A2729="",0,IF(SUMPRODUCT(--($A$2:$A$5001=A2729))&gt;1,1,0))</f>
        <v>0</v>
      </c>
      <c r="H2729" s="0" t="n">
        <f aca="false">ROW()-1</f>
        <v>2728</v>
      </c>
      <c r="I2729" s="0" t="str">
        <f aca="false">IF(OR(הגדרות!$E$6=0,H2729&gt;הגדרות!$E$5),"",IF(H2729-1&lt;הגדרות!$E$8*(הגדרות!$E$7+1),INT((H2729-1)/(הגדרות!$E$7+1)),הגדרות!$E$8+INT((H2729-1-הגדרות!$E$8*(הגדרות!$E$7+1))/הגדרות!$E$7)))</f>
        <v/>
      </c>
      <c r="J2729" s="0" t="str">
        <f aca="false">IF(I2729="","",IF(H2729-1&lt;הגדרות!$E$8*(הגדרות!$E$7+1),MOD(H2729-1,הגדרות!$E$7+1),MOD(H2729-1-הגדרות!$E$8*(הגדרות!$E$7+1),הגדרות!$E$7)))</f>
        <v/>
      </c>
      <c r="K2729" s="0" t="str">
        <f aca="false">IF(I2729="","",J2729*הגדרות!$E$6+I2729+1)</f>
        <v/>
      </c>
      <c r="L2729" s="0" t="str">
        <f aca="false">IF(K2729="","",MATCH(K2729,$F$2:$F$5001,0))</f>
        <v/>
      </c>
      <c r="M2729" s="0" t="str">
        <f aca="false">IF(I2729="","",INDEX(הגדרות!$A$2:$A$21,MOD(I2729+הגדרות!$E$9,הגדרות!$E$6)+1))</f>
        <v/>
      </c>
    </row>
    <row r="2730" customFormat="false" ht="15" hidden="false" customHeight="false" outlineLevel="0" collapsed="false">
      <c r="A2730" s="0" t="str">
        <f aca="false">IF('הדבקת לידים'!A2730="","",IF(ISNUMBER('הדבקת לידים'!A2730),IF(הגדרות!$E$2&gt;0,TEXT('הדבקת לידים'!A2730,REPT("0",הגדרות!$E$2)),TEXT('הדבקת לידים'!A2730,"0")),TRIM('הדבקת לידים'!A2730)))</f>
        <v/>
      </c>
      <c r="B2730" s="0" t="str">
        <f aca="false">IF('הדבקת לידים'!B2730="","",IF(ISNUMBER('הדבקת לידים'!B2730),IF(הגדרות!$E$3&gt;0,TEXT('הדבקת לידים'!B2730,REPT("0",הגדרות!$E$3)),TEXT('הדבקת לידים'!B2730,"0")),TRIM('הדבקת לידים'!B2730)))</f>
        <v/>
      </c>
      <c r="C2730" s="0" t="n">
        <f aca="false">IF(OR(A2730&lt;&gt;"",B2730&lt;&gt;""),1,0)</f>
        <v>0</v>
      </c>
      <c r="D2730" s="0" t="str">
        <f aca="false">IF(C2730=1,MOD(ABS(SIN(ROW()*12.9898+'הדבקת לידים'!$F$2*78.233+IFERROR(--RIGHT(A2730,6),LEN(A2730))*0.0137+IFERROR(--RIGHT(B2730,6),LEN(B2730))*0.0071))*43758.5453,1),"")</f>
        <v/>
      </c>
      <c r="E2730" s="0" t="str">
        <f aca="false">IF(C2730=1,INT(MOD(ABS(SIN(D2730*7919.123+ROW()*0.618+'הדבקת לידים'!$F$2*1.3))*43758.5453,1)*1000000)*10000+ROW(),"")</f>
        <v/>
      </c>
      <c r="F2730" s="0" t="str">
        <f aca="false">IF(E2730="","",RANK(E2730,$E$2:$E$5001,1))</f>
        <v/>
      </c>
      <c r="G2730" s="0" t="n">
        <f aca="false">IF(A2730="",0,IF(SUMPRODUCT(--($A$2:$A$5001=A2730))&gt;1,1,0))</f>
        <v>0</v>
      </c>
      <c r="H2730" s="0" t="n">
        <f aca="false">ROW()-1</f>
        <v>2729</v>
      </c>
      <c r="I2730" s="0" t="str">
        <f aca="false">IF(OR(הגדרות!$E$6=0,H2730&gt;הגדרות!$E$5),"",IF(H2730-1&lt;הגדרות!$E$8*(הגדרות!$E$7+1),INT((H2730-1)/(הגדרות!$E$7+1)),הגדרות!$E$8+INT((H2730-1-הגדרות!$E$8*(הגדרות!$E$7+1))/הגדרות!$E$7)))</f>
        <v/>
      </c>
      <c r="J2730" s="0" t="str">
        <f aca="false">IF(I2730="","",IF(H2730-1&lt;הגדרות!$E$8*(הגדרות!$E$7+1),MOD(H2730-1,הגדרות!$E$7+1),MOD(H2730-1-הגדרות!$E$8*(הגדרות!$E$7+1),הגדרות!$E$7)))</f>
        <v/>
      </c>
      <c r="K2730" s="0" t="str">
        <f aca="false">IF(I2730="","",J2730*הגדרות!$E$6+I2730+1)</f>
        <v/>
      </c>
      <c r="L2730" s="0" t="str">
        <f aca="false">IF(K2730="","",MATCH(K2730,$F$2:$F$5001,0))</f>
        <v/>
      </c>
      <c r="M2730" s="0" t="str">
        <f aca="false">IF(I2730="","",INDEX(הגדרות!$A$2:$A$21,MOD(I2730+הגדרות!$E$9,הגדרות!$E$6)+1))</f>
        <v/>
      </c>
    </row>
    <row r="2731" customFormat="false" ht="15" hidden="false" customHeight="false" outlineLevel="0" collapsed="false">
      <c r="A2731" s="0" t="str">
        <f aca="false">IF('הדבקת לידים'!A2731="","",IF(ISNUMBER('הדבקת לידים'!A2731),IF(הגדרות!$E$2&gt;0,TEXT('הדבקת לידים'!A2731,REPT("0",הגדרות!$E$2)),TEXT('הדבקת לידים'!A2731,"0")),TRIM('הדבקת לידים'!A2731)))</f>
        <v/>
      </c>
      <c r="B2731" s="0" t="str">
        <f aca="false">IF('הדבקת לידים'!B2731="","",IF(ISNUMBER('הדבקת לידים'!B2731),IF(הגדרות!$E$3&gt;0,TEXT('הדבקת לידים'!B2731,REPT("0",הגדרות!$E$3)),TEXT('הדבקת לידים'!B2731,"0")),TRIM('הדבקת לידים'!B2731)))</f>
        <v/>
      </c>
      <c r="C2731" s="0" t="n">
        <f aca="false">IF(OR(A2731&lt;&gt;"",B2731&lt;&gt;""),1,0)</f>
        <v>0</v>
      </c>
      <c r="D2731" s="0" t="str">
        <f aca="false">IF(C2731=1,MOD(ABS(SIN(ROW()*12.9898+'הדבקת לידים'!$F$2*78.233+IFERROR(--RIGHT(A2731,6),LEN(A2731))*0.0137+IFERROR(--RIGHT(B2731,6),LEN(B2731))*0.0071))*43758.5453,1),"")</f>
        <v/>
      </c>
      <c r="E2731" s="0" t="str">
        <f aca="false">IF(C2731=1,INT(MOD(ABS(SIN(D2731*7919.123+ROW()*0.618+'הדבקת לידים'!$F$2*1.3))*43758.5453,1)*1000000)*10000+ROW(),"")</f>
        <v/>
      </c>
      <c r="F2731" s="0" t="str">
        <f aca="false">IF(E2731="","",RANK(E2731,$E$2:$E$5001,1))</f>
        <v/>
      </c>
      <c r="G2731" s="0" t="n">
        <f aca="false">IF(A2731="",0,IF(SUMPRODUCT(--($A$2:$A$5001=A2731))&gt;1,1,0))</f>
        <v>0</v>
      </c>
      <c r="H2731" s="0" t="n">
        <f aca="false">ROW()-1</f>
        <v>2730</v>
      </c>
      <c r="I2731" s="0" t="str">
        <f aca="false">IF(OR(הגדרות!$E$6=0,H2731&gt;הגדרות!$E$5),"",IF(H2731-1&lt;הגדרות!$E$8*(הגדרות!$E$7+1),INT((H2731-1)/(הגדרות!$E$7+1)),הגדרות!$E$8+INT((H2731-1-הגדרות!$E$8*(הגדרות!$E$7+1))/הגדרות!$E$7)))</f>
        <v/>
      </c>
      <c r="J2731" s="0" t="str">
        <f aca="false">IF(I2731="","",IF(H2731-1&lt;הגדרות!$E$8*(הגדרות!$E$7+1),MOD(H2731-1,הגדרות!$E$7+1),MOD(H2731-1-הגדרות!$E$8*(הגדרות!$E$7+1),הגדרות!$E$7)))</f>
        <v/>
      </c>
      <c r="K2731" s="0" t="str">
        <f aca="false">IF(I2731="","",J2731*הגדרות!$E$6+I2731+1)</f>
        <v/>
      </c>
      <c r="L2731" s="0" t="str">
        <f aca="false">IF(K2731="","",MATCH(K2731,$F$2:$F$5001,0))</f>
        <v/>
      </c>
      <c r="M2731" s="0" t="str">
        <f aca="false">IF(I2731="","",INDEX(הגדרות!$A$2:$A$21,MOD(I2731+הגדרות!$E$9,הגדרות!$E$6)+1))</f>
        <v/>
      </c>
    </row>
    <row r="2732" customFormat="false" ht="15" hidden="false" customHeight="false" outlineLevel="0" collapsed="false">
      <c r="A2732" s="0" t="str">
        <f aca="false">IF('הדבקת לידים'!A2732="","",IF(ISNUMBER('הדבקת לידים'!A2732),IF(הגדרות!$E$2&gt;0,TEXT('הדבקת לידים'!A2732,REPT("0",הגדרות!$E$2)),TEXT('הדבקת לידים'!A2732,"0")),TRIM('הדבקת לידים'!A2732)))</f>
        <v/>
      </c>
      <c r="B2732" s="0" t="str">
        <f aca="false">IF('הדבקת לידים'!B2732="","",IF(ISNUMBER('הדבקת לידים'!B2732),IF(הגדרות!$E$3&gt;0,TEXT('הדבקת לידים'!B2732,REPT("0",הגדרות!$E$3)),TEXT('הדבקת לידים'!B2732,"0")),TRIM('הדבקת לידים'!B2732)))</f>
        <v/>
      </c>
      <c r="C2732" s="0" t="n">
        <f aca="false">IF(OR(A2732&lt;&gt;"",B2732&lt;&gt;""),1,0)</f>
        <v>0</v>
      </c>
      <c r="D2732" s="0" t="str">
        <f aca="false">IF(C2732=1,MOD(ABS(SIN(ROW()*12.9898+'הדבקת לידים'!$F$2*78.233+IFERROR(--RIGHT(A2732,6),LEN(A2732))*0.0137+IFERROR(--RIGHT(B2732,6),LEN(B2732))*0.0071))*43758.5453,1),"")</f>
        <v/>
      </c>
      <c r="E2732" s="0" t="str">
        <f aca="false">IF(C2732=1,INT(MOD(ABS(SIN(D2732*7919.123+ROW()*0.618+'הדבקת לידים'!$F$2*1.3))*43758.5453,1)*1000000)*10000+ROW(),"")</f>
        <v/>
      </c>
      <c r="F2732" s="0" t="str">
        <f aca="false">IF(E2732="","",RANK(E2732,$E$2:$E$5001,1))</f>
        <v/>
      </c>
      <c r="G2732" s="0" t="n">
        <f aca="false">IF(A2732="",0,IF(SUMPRODUCT(--($A$2:$A$5001=A2732))&gt;1,1,0))</f>
        <v>0</v>
      </c>
      <c r="H2732" s="0" t="n">
        <f aca="false">ROW()-1</f>
        <v>2731</v>
      </c>
      <c r="I2732" s="0" t="str">
        <f aca="false">IF(OR(הגדרות!$E$6=0,H2732&gt;הגדרות!$E$5),"",IF(H2732-1&lt;הגדרות!$E$8*(הגדרות!$E$7+1),INT((H2732-1)/(הגדרות!$E$7+1)),הגדרות!$E$8+INT((H2732-1-הגדרות!$E$8*(הגדרות!$E$7+1))/הגדרות!$E$7)))</f>
        <v/>
      </c>
      <c r="J2732" s="0" t="str">
        <f aca="false">IF(I2732="","",IF(H2732-1&lt;הגדרות!$E$8*(הגדרות!$E$7+1),MOD(H2732-1,הגדרות!$E$7+1),MOD(H2732-1-הגדרות!$E$8*(הגדרות!$E$7+1),הגדרות!$E$7)))</f>
        <v/>
      </c>
      <c r="K2732" s="0" t="str">
        <f aca="false">IF(I2732="","",J2732*הגדרות!$E$6+I2732+1)</f>
        <v/>
      </c>
      <c r="L2732" s="0" t="str">
        <f aca="false">IF(K2732="","",MATCH(K2732,$F$2:$F$5001,0))</f>
        <v/>
      </c>
      <c r="M2732" s="0" t="str">
        <f aca="false">IF(I2732="","",INDEX(הגדרות!$A$2:$A$21,MOD(I2732+הגדרות!$E$9,הגדרות!$E$6)+1))</f>
        <v/>
      </c>
    </row>
    <row r="2733" customFormat="false" ht="15" hidden="false" customHeight="false" outlineLevel="0" collapsed="false">
      <c r="A2733" s="0" t="str">
        <f aca="false">IF('הדבקת לידים'!A2733="","",IF(ISNUMBER('הדבקת לידים'!A2733),IF(הגדרות!$E$2&gt;0,TEXT('הדבקת לידים'!A2733,REPT("0",הגדרות!$E$2)),TEXT('הדבקת לידים'!A2733,"0")),TRIM('הדבקת לידים'!A2733)))</f>
        <v/>
      </c>
      <c r="B2733" s="0" t="str">
        <f aca="false">IF('הדבקת לידים'!B2733="","",IF(ISNUMBER('הדבקת לידים'!B2733),IF(הגדרות!$E$3&gt;0,TEXT('הדבקת לידים'!B2733,REPT("0",הגדרות!$E$3)),TEXT('הדבקת לידים'!B2733,"0")),TRIM('הדבקת לידים'!B2733)))</f>
        <v/>
      </c>
      <c r="C2733" s="0" t="n">
        <f aca="false">IF(OR(A2733&lt;&gt;"",B2733&lt;&gt;""),1,0)</f>
        <v>0</v>
      </c>
      <c r="D2733" s="0" t="str">
        <f aca="false">IF(C2733=1,MOD(ABS(SIN(ROW()*12.9898+'הדבקת לידים'!$F$2*78.233+IFERROR(--RIGHT(A2733,6),LEN(A2733))*0.0137+IFERROR(--RIGHT(B2733,6),LEN(B2733))*0.0071))*43758.5453,1),"")</f>
        <v/>
      </c>
      <c r="E2733" s="0" t="str">
        <f aca="false">IF(C2733=1,INT(MOD(ABS(SIN(D2733*7919.123+ROW()*0.618+'הדבקת לידים'!$F$2*1.3))*43758.5453,1)*1000000)*10000+ROW(),"")</f>
        <v/>
      </c>
      <c r="F2733" s="0" t="str">
        <f aca="false">IF(E2733="","",RANK(E2733,$E$2:$E$5001,1))</f>
        <v/>
      </c>
      <c r="G2733" s="0" t="n">
        <f aca="false">IF(A2733="",0,IF(SUMPRODUCT(--($A$2:$A$5001=A2733))&gt;1,1,0))</f>
        <v>0</v>
      </c>
      <c r="H2733" s="0" t="n">
        <f aca="false">ROW()-1</f>
        <v>2732</v>
      </c>
      <c r="I2733" s="0" t="str">
        <f aca="false">IF(OR(הגדרות!$E$6=0,H2733&gt;הגדרות!$E$5),"",IF(H2733-1&lt;הגדרות!$E$8*(הגדרות!$E$7+1),INT((H2733-1)/(הגדרות!$E$7+1)),הגדרות!$E$8+INT((H2733-1-הגדרות!$E$8*(הגדרות!$E$7+1))/הגדרות!$E$7)))</f>
        <v/>
      </c>
      <c r="J2733" s="0" t="str">
        <f aca="false">IF(I2733="","",IF(H2733-1&lt;הגדרות!$E$8*(הגדרות!$E$7+1),MOD(H2733-1,הגדרות!$E$7+1),MOD(H2733-1-הגדרות!$E$8*(הגדרות!$E$7+1),הגדרות!$E$7)))</f>
        <v/>
      </c>
      <c r="K2733" s="0" t="str">
        <f aca="false">IF(I2733="","",J2733*הגדרות!$E$6+I2733+1)</f>
        <v/>
      </c>
      <c r="L2733" s="0" t="str">
        <f aca="false">IF(K2733="","",MATCH(K2733,$F$2:$F$5001,0))</f>
        <v/>
      </c>
      <c r="M2733" s="0" t="str">
        <f aca="false">IF(I2733="","",INDEX(הגדרות!$A$2:$A$21,MOD(I2733+הגדרות!$E$9,הגדרות!$E$6)+1))</f>
        <v/>
      </c>
    </row>
    <row r="2734" customFormat="false" ht="15" hidden="false" customHeight="false" outlineLevel="0" collapsed="false">
      <c r="A2734" s="0" t="str">
        <f aca="false">IF('הדבקת לידים'!A2734="","",IF(ISNUMBER('הדבקת לידים'!A2734),IF(הגדרות!$E$2&gt;0,TEXT('הדבקת לידים'!A2734,REPT("0",הגדרות!$E$2)),TEXT('הדבקת לידים'!A2734,"0")),TRIM('הדבקת לידים'!A2734)))</f>
        <v/>
      </c>
      <c r="B2734" s="0" t="str">
        <f aca="false">IF('הדבקת לידים'!B2734="","",IF(ISNUMBER('הדבקת לידים'!B2734),IF(הגדרות!$E$3&gt;0,TEXT('הדבקת לידים'!B2734,REPT("0",הגדרות!$E$3)),TEXT('הדבקת לידים'!B2734,"0")),TRIM('הדבקת לידים'!B2734)))</f>
        <v/>
      </c>
      <c r="C2734" s="0" t="n">
        <f aca="false">IF(OR(A2734&lt;&gt;"",B2734&lt;&gt;""),1,0)</f>
        <v>0</v>
      </c>
      <c r="D2734" s="0" t="str">
        <f aca="false">IF(C2734=1,MOD(ABS(SIN(ROW()*12.9898+'הדבקת לידים'!$F$2*78.233+IFERROR(--RIGHT(A2734,6),LEN(A2734))*0.0137+IFERROR(--RIGHT(B2734,6),LEN(B2734))*0.0071))*43758.5453,1),"")</f>
        <v/>
      </c>
      <c r="E2734" s="0" t="str">
        <f aca="false">IF(C2734=1,INT(MOD(ABS(SIN(D2734*7919.123+ROW()*0.618+'הדבקת לידים'!$F$2*1.3))*43758.5453,1)*1000000)*10000+ROW(),"")</f>
        <v/>
      </c>
      <c r="F2734" s="0" t="str">
        <f aca="false">IF(E2734="","",RANK(E2734,$E$2:$E$5001,1))</f>
        <v/>
      </c>
      <c r="G2734" s="0" t="n">
        <f aca="false">IF(A2734="",0,IF(SUMPRODUCT(--($A$2:$A$5001=A2734))&gt;1,1,0))</f>
        <v>0</v>
      </c>
      <c r="H2734" s="0" t="n">
        <f aca="false">ROW()-1</f>
        <v>2733</v>
      </c>
      <c r="I2734" s="0" t="str">
        <f aca="false">IF(OR(הגדרות!$E$6=0,H2734&gt;הגדרות!$E$5),"",IF(H2734-1&lt;הגדרות!$E$8*(הגדרות!$E$7+1),INT((H2734-1)/(הגדרות!$E$7+1)),הגדרות!$E$8+INT((H2734-1-הגדרות!$E$8*(הגדרות!$E$7+1))/הגדרות!$E$7)))</f>
        <v/>
      </c>
      <c r="J2734" s="0" t="str">
        <f aca="false">IF(I2734="","",IF(H2734-1&lt;הגדרות!$E$8*(הגדרות!$E$7+1),MOD(H2734-1,הגדרות!$E$7+1),MOD(H2734-1-הגדרות!$E$8*(הגדרות!$E$7+1),הגדרות!$E$7)))</f>
        <v/>
      </c>
      <c r="K2734" s="0" t="str">
        <f aca="false">IF(I2734="","",J2734*הגדרות!$E$6+I2734+1)</f>
        <v/>
      </c>
      <c r="L2734" s="0" t="str">
        <f aca="false">IF(K2734="","",MATCH(K2734,$F$2:$F$5001,0))</f>
        <v/>
      </c>
      <c r="M2734" s="0" t="str">
        <f aca="false">IF(I2734="","",INDEX(הגדרות!$A$2:$A$21,MOD(I2734+הגדרות!$E$9,הגדרות!$E$6)+1))</f>
        <v/>
      </c>
    </row>
    <row r="2735" customFormat="false" ht="15" hidden="false" customHeight="false" outlineLevel="0" collapsed="false">
      <c r="A2735" s="0" t="str">
        <f aca="false">IF('הדבקת לידים'!A2735="","",IF(ISNUMBER('הדבקת לידים'!A2735),IF(הגדרות!$E$2&gt;0,TEXT('הדבקת לידים'!A2735,REPT("0",הגדרות!$E$2)),TEXT('הדבקת לידים'!A2735,"0")),TRIM('הדבקת לידים'!A2735)))</f>
        <v/>
      </c>
      <c r="B2735" s="0" t="str">
        <f aca="false">IF('הדבקת לידים'!B2735="","",IF(ISNUMBER('הדבקת לידים'!B2735),IF(הגדרות!$E$3&gt;0,TEXT('הדבקת לידים'!B2735,REPT("0",הגדרות!$E$3)),TEXT('הדבקת לידים'!B2735,"0")),TRIM('הדבקת לידים'!B2735)))</f>
        <v/>
      </c>
      <c r="C2735" s="0" t="n">
        <f aca="false">IF(OR(A2735&lt;&gt;"",B2735&lt;&gt;""),1,0)</f>
        <v>0</v>
      </c>
      <c r="D2735" s="0" t="str">
        <f aca="false">IF(C2735=1,MOD(ABS(SIN(ROW()*12.9898+'הדבקת לידים'!$F$2*78.233+IFERROR(--RIGHT(A2735,6),LEN(A2735))*0.0137+IFERROR(--RIGHT(B2735,6),LEN(B2735))*0.0071))*43758.5453,1),"")</f>
        <v/>
      </c>
      <c r="E2735" s="0" t="str">
        <f aca="false">IF(C2735=1,INT(MOD(ABS(SIN(D2735*7919.123+ROW()*0.618+'הדבקת לידים'!$F$2*1.3))*43758.5453,1)*1000000)*10000+ROW(),"")</f>
        <v/>
      </c>
      <c r="F2735" s="0" t="str">
        <f aca="false">IF(E2735="","",RANK(E2735,$E$2:$E$5001,1))</f>
        <v/>
      </c>
      <c r="G2735" s="0" t="n">
        <f aca="false">IF(A2735="",0,IF(SUMPRODUCT(--($A$2:$A$5001=A2735))&gt;1,1,0))</f>
        <v>0</v>
      </c>
      <c r="H2735" s="0" t="n">
        <f aca="false">ROW()-1</f>
        <v>2734</v>
      </c>
      <c r="I2735" s="0" t="str">
        <f aca="false">IF(OR(הגדרות!$E$6=0,H2735&gt;הגדרות!$E$5),"",IF(H2735-1&lt;הגדרות!$E$8*(הגדרות!$E$7+1),INT((H2735-1)/(הגדרות!$E$7+1)),הגדרות!$E$8+INT((H2735-1-הגדרות!$E$8*(הגדרות!$E$7+1))/הגדרות!$E$7)))</f>
        <v/>
      </c>
      <c r="J2735" s="0" t="str">
        <f aca="false">IF(I2735="","",IF(H2735-1&lt;הגדרות!$E$8*(הגדרות!$E$7+1),MOD(H2735-1,הגדרות!$E$7+1),MOD(H2735-1-הגדרות!$E$8*(הגדרות!$E$7+1),הגדרות!$E$7)))</f>
        <v/>
      </c>
      <c r="K2735" s="0" t="str">
        <f aca="false">IF(I2735="","",J2735*הגדרות!$E$6+I2735+1)</f>
        <v/>
      </c>
      <c r="L2735" s="0" t="str">
        <f aca="false">IF(K2735="","",MATCH(K2735,$F$2:$F$5001,0))</f>
        <v/>
      </c>
      <c r="M2735" s="0" t="str">
        <f aca="false">IF(I2735="","",INDEX(הגדרות!$A$2:$A$21,MOD(I2735+הגדרות!$E$9,הגדרות!$E$6)+1))</f>
        <v/>
      </c>
    </row>
    <row r="2736" customFormat="false" ht="15" hidden="false" customHeight="false" outlineLevel="0" collapsed="false">
      <c r="A2736" s="0" t="str">
        <f aca="false">IF('הדבקת לידים'!A2736="","",IF(ISNUMBER('הדבקת לידים'!A2736),IF(הגדרות!$E$2&gt;0,TEXT('הדבקת לידים'!A2736,REPT("0",הגדרות!$E$2)),TEXT('הדבקת לידים'!A2736,"0")),TRIM('הדבקת לידים'!A2736)))</f>
        <v/>
      </c>
      <c r="B2736" s="0" t="str">
        <f aca="false">IF('הדבקת לידים'!B2736="","",IF(ISNUMBER('הדבקת לידים'!B2736),IF(הגדרות!$E$3&gt;0,TEXT('הדבקת לידים'!B2736,REPT("0",הגדרות!$E$3)),TEXT('הדבקת לידים'!B2736,"0")),TRIM('הדבקת לידים'!B2736)))</f>
        <v/>
      </c>
      <c r="C2736" s="0" t="n">
        <f aca="false">IF(OR(A2736&lt;&gt;"",B2736&lt;&gt;""),1,0)</f>
        <v>0</v>
      </c>
      <c r="D2736" s="0" t="str">
        <f aca="false">IF(C2736=1,MOD(ABS(SIN(ROW()*12.9898+'הדבקת לידים'!$F$2*78.233+IFERROR(--RIGHT(A2736,6),LEN(A2736))*0.0137+IFERROR(--RIGHT(B2736,6),LEN(B2736))*0.0071))*43758.5453,1),"")</f>
        <v/>
      </c>
      <c r="E2736" s="0" t="str">
        <f aca="false">IF(C2736=1,INT(MOD(ABS(SIN(D2736*7919.123+ROW()*0.618+'הדבקת לידים'!$F$2*1.3))*43758.5453,1)*1000000)*10000+ROW(),"")</f>
        <v/>
      </c>
      <c r="F2736" s="0" t="str">
        <f aca="false">IF(E2736="","",RANK(E2736,$E$2:$E$5001,1))</f>
        <v/>
      </c>
      <c r="G2736" s="0" t="n">
        <f aca="false">IF(A2736="",0,IF(SUMPRODUCT(--($A$2:$A$5001=A2736))&gt;1,1,0))</f>
        <v>0</v>
      </c>
      <c r="H2736" s="0" t="n">
        <f aca="false">ROW()-1</f>
        <v>2735</v>
      </c>
      <c r="I2736" s="0" t="str">
        <f aca="false">IF(OR(הגדרות!$E$6=0,H2736&gt;הגדרות!$E$5),"",IF(H2736-1&lt;הגדרות!$E$8*(הגדרות!$E$7+1),INT((H2736-1)/(הגדרות!$E$7+1)),הגדרות!$E$8+INT((H2736-1-הגדרות!$E$8*(הגדרות!$E$7+1))/הגדרות!$E$7)))</f>
        <v/>
      </c>
      <c r="J2736" s="0" t="str">
        <f aca="false">IF(I2736="","",IF(H2736-1&lt;הגדרות!$E$8*(הגדרות!$E$7+1),MOD(H2736-1,הגדרות!$E$7+1),MOD(H2736-1-הגדרות!$E$8*(הגדרות!$E$7+1),הגדרות!$E$7)))</f>
        <v/>
      </c>
      <c r="K2736" s="0" t="str">
        <f aca="false">IF(I2736="","",J2736*הגדרות!$E$6+I2736+1)</f>
        <v/>
      </c>
      <c r="L2736" s="0" t="str">
        <f aca="false">IF(K2736="","",MATCH(K2736,$F$2:$F$5001,0))</f>
        <v/>
      </c>
      <c r="M2736" s="0" t="str">
        <f aca="false">IF(I2736="","",INDEX(הגדרות!$A$2:$A$21,MOD(I2736+הגדרות!$E$9,הגדרות!$E$6)+1))</f>
        <v/>
      </c>
    </row>
    <row r="2737" customFormat="false" ht="15" hidden="false" customHeight="false" outlineLevel="0" collapsed="false">
      <c r="A2737" s="0" t="str">
        <f aca="false">IF('הדבקת לידים'!A2737="","",IF(ISNUMBER('הדבקת לידים'!A2737),IF(הגדרות!$E$2&gt;0,TEXT('הדבקת לידים'!A2737,REPT("0",הגדרות!$E$2)),TEXT('הדבקת לידים'!A2737,"0")),TRIM('הדבקת לידים'!A2737)))</f>
        <v/>
      </c>
      <c r="B2737" s="0" t="str">
        <f aca="false">IF('הדבקת לידים'!B2737="","",IF(ISNUMBER('הדבקת לידים'!B2737),IF(הגדרות!$E$3&gt;0,TEXT('הדבקת לידים'!B2737,REPT("0",הגדרות!$E$3)),TEXT('הדבקת לידים'!B2737,"0")),TRIM('הדבקת לידים'!B2737)))</f>
        <v/>
      </c>
      <c r="C2737" s="0" t="n">
        <f aca="false">IF(OR(A2737&lt;&gt;"",B2737&lt;&gt;""),1,0)</f>
        <v>0</v>
      </c>
      <c r="D2737" s="0" t="str">
        <f aca="false">IF(C2737=1,MOD(ABS(SIN(ROW()*12.9898+'הדבקת לידים'!$F$2*78.233+IFERROR(--RIGHT(A2737,6),LEN(A2737))*0.0137+IFERROR(--RIGHT(B2737,6),LEN(B2737))*0.0071))*43758.5453,1),"")</f>
        <v/>
      </c>
      <c r="E2737" s="0" t="str">
        <f aca="false">IF(C2737=1,INT(MOD(ABS(SIN(D2737*7919.123+ROW()*0.618+'הדבקת לידים'!$F$2*1.3))*43758.5453,1)*1000000)*10000+ROW(),"")</f>
        <v/>
      </c>
      <c r="F2737" s="0" t="str">
        <f aca="false">IF(E2737="","",RANK(E2737,$E$2:$E$5001,1))</f>
        <v/>
      </c>
      <c r="G2737" s="0" t="n">
        <f aca="false">IF(A2737="",0,IF(SUMPRODUCT(--($A$2:$A$5001=A2737))&gt;1,1,0))</f>
        <v>0</v>
      </c>
      <c r="H2737" s="0" t="n">
        <f aca="false">ROW()-1</f>
        <v>2736</v>
      </c>
      <c r="I2737" s="0" t="str">
        <f aca="false">IF(OR(הגדרות!$E$6=0,H2737&gt;הגדרות!$E$5),"",IF(H2737-1&lt;הגדרות!$E$8*(הגדרות!$E$7+1),INT((H2737-1)/(הגדרות!$E$7+1)),הגדרות!$E$8+INT((H2737-1-הגדרות!$E$8*(הגדרות!$E$7+1))/הגדרות!$E$7)))</f>
        <v/>
      </c>
      <c r="J2737" s="0" t="str">
        <f aca="false">IF(I2737="","",IF(H2737-1&lt;הגדרות!$E$8*(הגדרות!$E$7+1),MOD(H2737-1,הגדרות!$E$7+1),MOD(H2737-1-הגדרות!$E$8*(הגדרות!$E$7+1),הגדרות!$E$7)))</f>
        <v/>
      </c>
      <c r="K2737" s="0" t="str">
        <f aca="false">IF(I2737="","",J2737*הגדרות!$E$6+I2737+1)</f>
        <v/>
      </c>
      <c r="L2737" s="0" t="str">
        <f aca="false">IF(K2737="","",MATCH(K2737,$F$2:$F$5001,0))</f>
        <v/>
      </c>
      <c r="M2737" s="0" t="str">
        <f aca="false">IF(I2737="","",INDEX(הגדרות!$A$2:$A$21,MOD(I2737+הגדרות!$E$9,הגדרות!$E$6)+1))</f>
        <v/>
      </c>
    </row>
    <row r="2738" customFormat="false" ht="15" hidden="false" customHeight="false" outlineLevel="0" collapsed="false">
      <c r="A2738" s="0" t="str">
        <f aca="false">IF('הדבקת לידים'!A2738="","",IF(ISNUMBER('הדבקת לידים'!A2738),IF(הגדרות!$E$2&gt;0,TEXT('הדבקת לידים'!A2738,REPT("0",הגדרות!$E$2)),TEXT('הדבקת לידים'!A2738,"0")),TRIM('הדבקת לידים'!A2738)))</f>
        <v/>
      </c>
      <c r="B2738" s="0" t="str">
        <f aca="false">IF('הדבקת לידים'!B2738="","",IF(ISNUMBER('הדבקת לידים'!B2738),IF(הגדרות!$E$3&gt;0,TEXT('הדבקת לידים'!B2738,REPT("0",הגדרות!$E$3)),TEXT('הדבקת לידים'!B2738,"0")),TRIM('הדבקת לידים'!B2738)))</f>
        <v/>
      </c>
      <c r="C2738" s="0" t="n">
        <f aca="false">IF(OR(A2738&lt;&gt;"",B2738&lt;&gt;""),1,0)</f>
        <v>0</v>
      </c>
      <c r="D2738" s="0" t="str">
        <f aca="false">IF(C2738=1,MOD(ABS(SIN(ROW()*12.9898+'הדבקת לידים'!$F$2*78.233+IFERROR(--RIGHT(A2738,6),LEN(A2738))*0.0137+IFERROR(--RIGHT(B2738,6),LEN(B2738))*0.0071))*43758.5453,1),"")</f>
        <v/>
      </c>
      <c r="E2738" s="0" t="str">
        <f aca="false">IF(C2738=1,INT(MOD(ABS(SIN(D2738*7919.123+ROW()*0.618+'הדבקת לידים'!$F$2*1.3))*43758.5453,1)*1000000)*10000+ROW(),"")</f>
        <v/>
      </c>
      <c r="F2738" s="0" t="str">
        <f aca="false">IF(E2738="","",RANK(E2738,$E$2:$E$5001,1))</f>
        <v/>
      </c>
      <c r="G2738" s="0" t="n">
        <f aca="false">IF(A2738="",0,IF(SUMPRODUCT(--($A$2:$A$5001=A2738))&gt;1,1,0))</f>
        <v>0</v>
      </c>
      <c r="H2738" s="0" t="n">
        <f aca="false">ROW()-1</f>
        <v>2737</v>
      </c>
      <c r="I2738" s="0" t="str">
        <f aca="false">IF(OR(הגדרות!$E$6=0,H2738&gt;הגדרות!$E$5),"",IF(H2738-1&lt;הגדרות!$E$8*(הגדרות!$E$7+1),INT((H2738-1)/(הגדרות!$E$7+1)),הגדרות!$E$8+INT((H2738-1-הגדרות!$E$8*(הגדרות!$E$7+1))/הגדרות!$E$7)))</f>
        <v/>
      </c>
      <c r="J2738" s="0" t="str">
        <f aca="false">IF(I2738="","",IF(H2738-1&lt;הגדרות!$E$8*(הגדרות!$E$7+1),MOD(H2738-1,הגדרות!$E$7+1),MOD(H2738-1-הגדרות!$E$8*(הגדרות!$E$7+1),הגדרות!$E$7)))</f>
        <v/>
      </c>
      <c r="K2738" s="0" t="str">
        <f aca="false">IF(I2738="","",J2738*הגדרות!$E$6+I2738+1)</f>
        <v/>
      </c>
      <c r="L2738" s="0" t="str">
        <f aca="false">IF(K2738="","",MATCH(K2738,$F$2:$F$5001,0))</f>
        <v/>
      </c>
      <c r="M2738" s="0" t="str">
        <f aca="false">IF(I2738="","",INDEX(הגדרות!$A$2:$A$21,MOD(I2738+הגדרות!$E$9,הגדרות!$E$6)+1))</f>
        <v/>
      </c>
    </row>
    <row r="2739" customFormat="false" ht="15" hidden="false" customHeight="false" outlineLevel="0" collapsed="false">
      <c r="A2739" s="0" t="str">
        <f aca="false">IF('הדבקת לידים'!A2739="","",IF(ISNUMBER('הדבקת לידים'!A2739),IF(הגדרות!$E$2&gt;0,TEXT('הדבקת לידים'!A2739,REPT("0",הגדרות!$E$2)),TEXT('הדבקת לידים'!A2739,"0")),TRIM('הדבקת לידים'!A2739)))</f>
        <v/>
      </c>
      <c r="B2739" s="0" t="str">
        <f aca="false">IF('הדבקת לידים'!B2739="","",IF(ISNUMBER('הדבקת לידים'!B2739),IF(הגדרות!$E$3&gt;0,TEXT('הדבקת לידים'!B2739,REPT("0",הגדרות!$E$3)),TEXT('הדבקת לידים'!B2739,"0")),TRIM('הדבקת לידים'!B2739)))</f>
        <v/>
      </c>
      <c r="C2739" s="0" t="n">
        <f aca="false">IF(OR(A2739&lt;&gt;"",B2739&lt;&gt;""),1,0)</f>
        <v>0</v>
      </c>
      <c r="D2739" s="0" t="str">
        <f aca="false">IF(C2739=1,MOD(ABS(SIN(ROW()*12.9898+'הדבקת לידים'!$F$2*78.233+IFERROR(--RIGHT(A2739,6),LEN(A2739))*0.0137+IFERROR(--RIGHT(B2739,6),LEN(B2739))*0.0071))*43758.5453,1),"")</f>
        <v/>
      </c>
      <c r="E2739" s="0" t="str">
        <f aca="false">IF(C2739=1,INT(MOD(ABS(SIN(D2739*7919.123+ROW()*0.618+'הדבקת לידים'!$F$2*1.3))*43758.5453,1)*1000000)*10000+ROW(),"")</f>
        <v/>
      </c>
      <c r="F2739" s="0" t="str">
        <f aca="false">IF(E2739="","",RANK(E2739,$E$2:$E$5001,1))</f>
        <v/>
      </c>
      <c r="G2739" s="0" t="n">
        <f aca="false">IF(A2739="",0,IF(SUMPRODUCT(--($A$2:$A$5001=A2739))&gt;1,1,0))</f>
        <v>0</v>
      </c>
      <c r="H2739" s="0" t="n">
        <f aca="false">ROW()-1</f>
        <v>2738</v>
      </c>
      <c r="I2739" s="0" t="str">
        <f aca="false">IF(OR(הגדרות!$E$6=0,H2739&gt;הגדרות!$E$5),"",IF(H2739-1&lt;הגדרות!$E$8*(הגדרות!$E$7+1),INT((H2739-1)/(הגדרות!$E$7+1)),הגדרות!$E$8+INT((H2739-1-הגדרות!$E$8*(הגדרות!$E$7+1))/הגדרות!$E$7)))</f>
        <v/>
      </c>
      <c r="J2739" s="0" t="str">
        <f aca="false">IF(I2739="","",IF(H2739-1&lt;הגדרות!$E$8*(הגדרות!$E$7+1),MOD(H2739-1,הגדרות!$E$7+1),MOD(H2739-1-הגדרות!$E$8*(הגדרות!$E$7+1),הגדרות!$E$7)))</f>
        <v/>
      </c>
      <c r="K2739" s="0" t="str">
        <f aca="false">IF(I2739="","",J2739*הגדרות!$E$6+I2739+1)</f>
        <v/>
      </c>
      <c r="L2739" s="0" t="str">
        <f aca="false">IF(K2739="","",MATCH(K2739,$F$2:$F$5001,0))</f>
        <v/>
      </c>
      <c r="M2739" s="0" t="str">
        <f aca="false">IF(I2739="","",INDEX(הגדרות!$A$2:$A$21,MOD(I2739+הגדרות!$E$9,הגדרות!$E$6)+1))</f>
        <v/>
      </c>
    </row>
    <row r="2740" customFormat="false" ht="15" hidden="false" customHeight="false" outlineLevel="0" collapsed="false">
      <c r="A2740" s="0" t="str">
        <f aca="false">IF('הדבקת לידים'!A2740="","",IF(ISNUMBER('הדבקת לידים'!A2740),IF(הגדרות!$E$2&gt;0,TEXT('הדבקת לידים'!A2740,REPT("0",הגדרות!$E$2)),TEXT('הדבקת לידים'!A2740,"0")),TRIM('הדבקת לידים'!A2740)))</f>
        <v/>
      </c>
      <c r="B2740" s="0" t="str">
        <f aca="false">IF('הדבקת לידים'!B2740="","",IF(ISNUMBER('הדבקת לידים'!B2740),IF(הגדרות!$E$3&gt;0,TEXT('הדבקת לידים'!B2740,REPT("0",הגדרות!$E$3)),TEXT('הדבקת לידים'!B2740,"0")),TRIM('הדבקת לידים'!B2740)))</f>
        <v/>
      </c>
      <c r="C2740" s="0" t="n">
        <f aca="false">IF(OR(A2740&lt;&gt;"",B2740&lt;&gt;""),1,0)</f>
        <v>0</v>
      </c>
      <c r="D2740" s="0" t="str">
        <f aca="false">IF(C2740=1,MOD(ABS(SIN(ROW()*12.9898+'הדבקת לידים'!$F$2*78.233+IFERROR(--RIGHT(A2740,6),LEN(A2740))*0.0137+IFERROR(--RIGHT(B2740,6),LEN(B2740))*0.0071))*43758.5453,1),"")</f>
        <v/>
      </c>
      <c r="E2740" s="0" t="str">
        <f aca="false">IF(C2740=1,INT(MOD(ABS(SIN(D2740*7919.123+ROW()*0.618+'הדבקת לידים'!$F$2*1.3))*43758.5453,1)*1000000)*10000+ROW(),"")</f>
        <v/>
      </c>
      <c r="F2740" s="0" t="str">
        <f aca="false">IF(E2740="","",RANK(E2740,$E$2:$E$5001,1))</f>
        <v/>
      </c>
      <c r="G2740" s="0" t="n">
        <f aca="false">IF(A2740="",0,IF(SUMPRODUCT(--($A$2:$A$5001=A2740))&gt;1,1,0))</f>
        <v>0</v>
      </c>
      <c r="H2740" s="0" t="n">
        <f aca="false">ROW()-1</f>
        <v>2739</v>
      </c>
      <c r="I2740" s="0" t="str">
        <f aca="false">IF(OR(הגדרות!$E$6=0,H2740&gt;הגדרות!$E$5),"",IF(H2740-1&lt;הגדרות!$E$8*(הגדרות!$E$7+1),INT((H2740-1)/(הגדרות!$E$7+1)),הגדרות!$E$8+INT((H2740-1-הגדרות!$E$8*(הגדרות!$E$7+1))/הגדרות!$E$7)))</f>
        <v/>
      </c>
      <c r="J2740" s="0" t="str">
        <f aca="false">IF(I2740="","",IF(H2740-1&lt;הגדרות!$E$8*(הגדרות!$E$7+1),MOD(H2740-1,הגדרות!$E$7+1),MOD(H2740-1-הגדרות!$E$8*(הגדרות!$E$7+1),הגדרות!$E$7)))</f>
        <v/>
      </c>
      <c r="K2740" s="0" t="str">
        <f aca="false">IF(I2740="","",J2740*הגדרות!$E$6+I2740+1)</f>
        <v/>
      </c>
      <c r="L2740" s="0" t="str">
        <f aca="false">IF(K2740="","",MATCH(K2740,$F$2:$F$5001,0))</f>
        <v/>
      </c>
      <c r="M2740" s="0" t="str">
        <f aca="false">IF(I2740="","",INDEX(הגדרות!$A$2:$A$21,MOD(I2740+הגדרות!$E$9,הגדרות!$E$6)+1))</f>
        <v/>
      </c>
    </row>
    <row r="2741" customFormat="false" ht="15" hidden="false" customHeight="false" outlineLevel="0" collapsed="false">
      <c r="A2741" s="0" t="str">
        <f aca="false">IF('הדבקת לידים'!A2741="","",IF(ISNUMBER('הדבקת לידים'!A2741),IF(הגדרות!$E$2&gt;0,TEXT('הדבקת לידים'!A2741,REPT("0",הגדרות!$E$2)),TEXT('הדבקת לידים'!A2741,"0")),TRIM('הדבקת לידים'!A2741)))</f>
        <v/>
      </c>
      <c r="B2741" s="0" t="str">
        <f aca="false">IF('הדבקת לידים'!B2741="","",IF(ISNUMBER('הדבקת לידים'!B2741),IF(הגדרות!$E$3&gt;0,TEXT('הדבקת לידים'!B2741,REPT("0",הגדרות!$E$3)),TEXT('הדבקת לידים'!B2741,"0")),TRIM('הדבקת לידים'!B2741)))</f>
        <v/>
      </c>
      <c r="C2741" s="0" t="n">
        <f aca="false">IF(OR(A2741&lt;&gt;"",B2741&lt;&gt;""),1,0)</f>
        <v>0</v>
      </c>
      <c r="D2741" s="0" t="str">
        <f aca="false">IF(C2741=1,MOD(ABS(SIN(ROW()*12.9898+'הדבקת לידים'!$F$2*78.233+IFERROR(--RIGHT(A2741,6),LEN(A2741))*0.0137+IFERROR(--RIGHT(B2741,6),LEN(B2741))*0.0071))*43758.5453,1),"")</f>
        <v/>
      </c>
      <c r="E2741" s="0" t="str">
        <f aca="false">IF(C2741=1,INT(MOD(ABS(SIN(D2741*7919.123+ROW()*0.618+'הדבקת לידים'!$F$2*1.3))*43758.5453,1)*1000000)*10000+ROW(),"")</f>
        <v/>
      </c>
      <c r="F2741" s="0" t="str">
        <f aca="false">IF(E2741="","",RANK(E2741,$E$2:$E$5001,1))</f>
        <v/>
      </c>
      <c r="G2741" s="0" t="n">
        <f aca="false">IF(A2741="",0,IF(SUMPRODUCT(--($A$2:$A$5001=A2741))&gt;1,1,0))</f>
        <v>0</v>
      </c>
      <c r="H2741" s="0" t="n">
        <f aca="false">ROW()-1</f>
        <v>2740</v>
      </c>
      <c r="I2741" s="0" t="str">
        <f aca="false">IF(OR(הגדרות!$E$6=0,H2741&gt;הגדרות!$E$5),"",IF(H2741-1&lt;הגדרות!$E$8*(הגדרות!$E$7+1),INT((H2741-1)/(הגדרות!$E$7+1)),הגדרות!$E$8+INT((H2741-1-הגדרות!$E$8*(הגדרות!$E$7+1))/הגדרות!$E$7)))</f>
        <v/>
      </c>
      <c r="J2741" s="0" t="str">
        <f aca="false">IF(I2741="","",IF(H2741-1&lt;הגדרות!$E$8*(הגדרות!$E$7+1),MOD(H2741-1,הגדרות!$E$7+1),MOD(H2741-1-הגדרות!$E$8*(הגדרות!$E$7+1),הגדרות!$E$7)))</f>
        <v/>
      </c>
      <c r="K2741" s="0" t="str">
        <f aca="false">IF(I2741="","",J2741*הגדרות!$E$6+I2741+1)</f>
        <v/>
      </c>
      <c r="L2741" s="0" t="str">
        <f aca="false">IF(K2741="","",MATCH(K2741,$F$2:$F$5001,0))</f>
        <v/>
      </c>
      <c r="M2741" s="0" t="str">
        <f aca="false">IF(I2741="","",INDEX(הגדרות!$A$2:$A$21,MOD(I2741+הגדרות!$E$9,הגדרות!$E$6)+1))</f>
        <v/>
      </c>
    </row>
    <row r="2742" customFormat="false" ht="15" hidden="false" customHeight="false" outlineLevel="0" collapsed="false">
      <c r="A2742" s="0" t="str">
        <f aca="false">IF('הדבקת לידים'!A2742="","",IF(ISNUMBER('הדבקת לידים'!A2742),IF(הגדרות!$E$2&gt;0,TEXT('הדבקת לידים'!A2742,REPT("0",הגדרות!$E$2)),TEXT('הדבקת לידים'!A2742,"0")),TRIM('הדבקת לידים'!A2742)))</f>
        <v/>
      </c>
      <c r="B2742" s="0" t="str">
        <f aca="false">IF('הדבקת לידים'!B2742="","",IF(ISNUMBER('הדבקת לידים'!B2742),IF(הגדרות!$E$3&gt;0,TEXT('הדבקת לידים'!B2742,REPT("0",הגדרות!$E$3)),TEXT('הדבקת לידים'!B2742,"0")),TRIM('הדבקת לידים'!B2742)))</f>
        <v/>
      </c>
      <c r="C2742" s="0" t="n">
        <f aca="false">IF(OR(A2742&lt;&gt;"",B2742&lt;&gt;""),1,0)</f>
        <v>0</v>
      </c>
      <c r="D2742" s="0" t="str">
        <f aca="false">IF(C2742=1,MOD(ABS(SIN(ROW()*12.9898+'הדבקת לידים'!$F$2*78.233+IFERROR(--RIGHT(A2742,6),LEN(A2742))*0.0137+IFERROR(--RIGHT(B2742,6),LEN(B2742))*0.0071))*43758.5453,1),"")</f>
        <v/>
      </c>
      <c r="E2742" s="0" t="str">
        <f aca="false">IF(C2742=1,INT(MOD(ABS(SIN(D2742*7919.123+ROW()*0.618+'הדבקת לידים'!$F$2*1.3))*43758.5453,1)*1000000)*10000+ROW(),"")</f>
        <v/>
      </c>
      <c r="F2742" s="0" t="str">
        <f aca="false">IF(E2742="","",RANK(E2742,$E$2:$E$5001,1))</f>
        <v/>
      </c>
      <c r="G2742" s="0" t="n">
        <f aca="false">IF(A2742="",0,IF(SUMPRODUCT(--($A$2:$A$5001=A2742))&gt;1,1,0))</f>
        <v>0</v>
      </c>
      <c r="H2742" s="0" t="n">
        <f aca="false">ROW()-1</f>
        <v>2741</v>
      </c>
      <c r="I2742" s="0" t="str">
        <f aca="false">IF(OR(הגדרות!$E$6=0,H2742&gt;הגדרות!$E$5),"",IF(H2742-1&lt;הגדרות!$E$8*(הגדרות!$E$7+1),INT((H2742-1)/(הגדרות!$E$7+1)),הגדרות!$E$8+INT((H2742-1-הגדרות!$E$8*(הגדרות!$E$7+1))/הגדרות!$E$7)))</f>
        <v/>
      </c>
      <c r="J2742" s="0" t="str">
        <f aca="false">IF(I2742="","",IF(H2742-1&lt;הגדרות!$E$8*(הגדרות!$E$7+1),MOD(H2742-1,הגדרות!$E$7+1),MOD(H2742-1-הגדרות!$E$8*(הגדרות!$E$7+1),הגדרות!$E$7)))</f>
        <v/>
      </c>
      <c r="K2742" s="0" t="str">
        <f aca="false">IF(I2742="","",J2742*הגדרות!$E$6+I2742+1)</f>
        <v/>
      </c>
      <c r="L2742" s="0" t="str">
        <f aca="false">IF(K2742="","",MATCH(K2742,$F$2:$F$5001,0))</f>
        <v/>
      </c>
      <c r="M2742" s="0" t="str">
        <f aca="false">IF(I2742="","",INDEX(הגדרות!$A$2:$A$21,MOD(I2742+הגדרות!$E$9,הגדרות!$E$6)+1))</f>
        <v/>
      </c>
    </row>
    <row r="2743" customFormat="false" ht="15" hidden="false" customHeight="false" outlineLevel="0" collapsed="false">
      <c r="A2743" s="0" t="str">
        <f aca="false">IF('הדבקת לידים'!A2743="","",IF(ISNUMBER('הדבקת לידים'!A2743),IF(הגדרות!$E$2&gt;0,TEXT('הדבקת לידים'!A2743,REPT("0",הגדרות!$E$2)),TEXT('הדבקת לידים'!A2743,"0")),TRIM('הדבקת לידים'!A2743)))</f>
        <v/>
      </c>
      <c r="B2743" s="0" t="str">
        <f aca="false">IF('הדבקת לידים'!B2743="","",IF(ISNUMBER('הדבקת לידים'!B2743),IF(הגדרות!$E$3&gt;0,TEXT('הדבקת לידים'!B2743,REPT("0",הגדרות!$E$3)),TEXT('הדבקת לידים'!B2743,"0")),TRIM('הדבקת לידים'!B2743)))</f>
        <v/>
      </c>
      <c r="C2743" s="0" t="n">
        <f aca="false">IF(OR(A2743&lt;&gt;"",B2743&lt;&gt;""),1,0)</f>
        <v>0</v>
      </c>
      <c r="D2743" s="0" t="str">
        <f aca="false">IF(C2743=1,MOD(ABS(SIN(ROW()*12.9898+'הדבקת לידים'!$F$2*78.233+IFERROR(--RIGHT(A2743,6),LEN(A2743))*0.0137+IFERROR(--RIGHT(B2743,6),LEN(B2743))*0.0071))*43758.5453,1),"")</f>
        <v/>
      </c>
      <c r="E2743" s="0" t="str">
        <f aca="false">IF(C2743=1,INT(MOD(ABS(SIN(D2743*7919.123+ROW()*0.618+'הדבקת לידים'!$F$2*1.3))*43758.5453,1)*1000000)*10000+ROW(),"")</f>
        <v/>
      </c>
      <c r="F2743" s="0" t="str">
        <f aca="false">IF(E2743="","",RANK(E2743,$E$2:$E$5001,1))</f>
        <v/>
      </c>
      <c r="G2743" s="0" t="n">
        <f aca="false">IF(A2743="",0,IF(SUMPRODUCT(--($A$2:$A$5001=A2743))&gt;1,1,0))</f>
        <v>0</v>
      </c>
      <c r="H2743" s="0" t="n">
        <f aca="false">ROW()-1</f>
        <v>2742</v>
      </c>
      <c r="I2743" s="0" t="str">
        <f aca="false">IF(OR(הגדרות!$E$6=0,H2743&gt;הגדרות!$E$5),"",IF(H2743-1&lt;הגדרות!$E$8*(הגדרות!$E$7+1),INT((H2743-1)/(הגדרות!$E$7+1)),הגדרות!$E$8+INT((H2743-1-הגדרות!$E$8*(הגדרות!$E$7+1))/הגדרות!$E$7)))</f>
        <v/>
      </c>
      <c r="J2743" s="0" t="str">
        <f aca="false">IF(I2743="","",IF(H2743-1&lt;הגדרות!$E$8*(הגדרות!$E$7+1),MOD(H2743-1,הגדרות!$E$7+1),MOD(H2743-1-הגדרות!$E$8*(הגדרות!$E$7+1),הגדרות!$E$7)))</f>
        <v/>
      </c>
      <c r="K2743" s="0" t="str">
        <f aca="false">IF(I2743="","",J2743*הגדרות!$E$6+I2743+1)</f>
        <v/>
      </c>
      <c r="L2743" s="0" t="str">
        <f aca="false">IF(K2743="","",MATCH(K2743,$F$2:$F$5001,0))</f>
        <v/>
      </c>
      <c r="M2743" s="0" t="str">
        <f aca="false">IF(I2743="","",INDEX(הגדרות!$A$2:$A$21,MOD(I2743+הגדרות!$E$9,הגדרות!$E$6)+1))</f>
        <v/>
      </c>
    </row>
    <row r="2744" customFormat="false" ht="15" hidden="false" customHeight="false" outlineLevel="0" collapsed="false">
      <c r="A2744" s="0" t="str">
        <f aca="false">IF('הדבקת לידים'!A2744="","",IF(ISNUMBER('הדבקת לידים'!A2744),IF(הגדרות!$E$2&gt;0,TEXT('הדבקת לידים'!A2744,REPT("0",הגדרות!$E$2)),TEXT('הדבקת לידים'!A2744,"0")),TRIM('הדבקת לידים'!A2744)))</f>
        <v/>
      </c>
      <c r="B2744" s="0" t="str">
        <f aca="false">IF('הדבקת לידים'!B2744="","",IF(ISNUMBER('הדבקת לידים'!B2744),IF(הגדרות!$E$3&gt;0,TEXT('הדבקת לידים'!B2744,REPT("0",הגדרות!$E$3)),TEXT('הדבקת לידים'!B2744,"0")),TRIM('הדבקת לידים'!B2744)))</f>
        <v/>
      </c>
      <c r="C2744" s="0" t="n">
        <f aca="false">IF(OR(A2744&lt;&gt;"",B2744&lt;&gt;""),1,0)</f>
        <v>0</v>
      </c>
      <c r="D2744" s="0" t="str">
        <f aca="false">IF(C2744=1,MOD(ABS(SIN(ROW()*12.9898+'הדבקת לידים'!$F$2*78.233+IFERROR(--RIGHT(A2744,6),LEN(A2744))*0.0137+IFERROR(--RIGHT(B2744,6),LEN(B2744))*0.0071))*43758.5453,1),"")</f>
        <v/>
      </c>
      <c r="E2744" s="0" t="str">
        <f aca="false">IF(C2744=1,INT(MOD(ABS(SIN(D2744*7919.123+ROW()*0.618+'הדבקת לידים'!$F$2*1.3))*43758.5453,1)*1000000)*10000+ROW(),"")</f>
        <v/>
      </c>
      <c r="F2744" s="0" t="str">
        <f aca="false">IF(E2744="","",RANK(E2744,$E$2:$E$5001,1))</f>
        <v/>
      </c>
      <c r="G2744" s="0" t="n">
        <f aca="false">IF(A2744="",0,IF(SUMPRODUCT(--($A$2:$A$5001=A2744))&gt;1,1,0))</f>
        <v>0</v>
      </c>
      <c r="H2744" s="0" t="n">
        <f aca="false">ROW()-1</f>
        <v>2743</v>
      </c>
      <c r="I2744" s="0" t="str">
        <f aca="false">IF(OR(הגדרות!$E$6=0,H2744&gt;הגדרות!$E$5),"",IF(H2744-1&lt;הגדרות!$E$8*(הגדרות!$E$7+1),INT((H2744-1)/(הגדרות!$E$7+1)),הגדרות!$E$8+INT((H2744-1-הגדרות!$E$8*(הגדרות!$E$7+1))/הגדרות!$E$7)))</f>
        <v/>
      </c>
      <c r="J2744" s="0" t="str">
        <f aca="false">IF(I2744="","",IF(H2744-1&lt;הגדרות!$E$8*(הגדרות!$E$7+1),MOD(H2744-1,הגדרות!$E$7+1),MOD(H2744-1-הגדרות!$E$8*(הגדרות!$E$7+1),הגדרות!$E$7)))</f>
        <v/>
      </c>
      <c r="K2744" s="0" t="str">
        <f aca="false">IF(I2744="","",J2744*הגדרות!$E$6+I2744+1)</f>
        <v/>
      </c>
      <c r="L2744" s="0" t="str">
        <f aca="false">IF(K2744="","",MATCH(K2744,$F$2:$F$5001,0))</f>
        <v/>
      </c>
      <c r="M2744" s="0" t="str">
        <f aca="false">IF(I2744="","",INDEX(הגדרות!$A$2:$A$21,MOD(I2744+הגדרות!$E$9,הגדרות!$E$6)+1))</f>
        <v/>
      </c>
    </row>
    <row r="2745" customFormat="false" ht="15" hidden="false" customHeight="false" outlineLevel="0" collapsed="false">
      <c r="A2745" s="0" t="str">
        <f aca="false">IF('הדבקת לידים'!A2745="","",IF(ISNUMBER('הדבקת לידים'!A2745),IF(הגדרות!$E$2&gt;0,TEXT('הדבקת לידים'!A2745,REPT("0",הגדרות!$E$2)),TEXT('הדבקת לידים'!A2745,"0")),TRIM('הדבקת לידים'!A2745)))</f>
        <v/>
      </c>
      <c r="B2745" s="0" t="str">
        <f aca="false">IF('הדבקת לידים'!B2745="","",IF(ISNUMBER('הדבקת לידים'!B2745),IF(הגדרות!$E$3&gt;0,TEXT('הדבקת לידים'!B2745,REPT("0",הגדרות!$E$3)),TEXT('הדבקת לידים'!B2745,"0")),TRIM('הדבקת לידים'!B2745)))</f>
        <v/>
      </c>
      <c r="C2745" s="0" t="n">
        <f aca="false">IF(OR(A2745&lt;&gt;"",B2745&lt;&gt;""),1,0)</f>
        <v>0</v>
      </c>
      <c r="D2745" s="0" t="str">
        <f aca="false">IF(C2745=1,MOD(ABS(SIN(ROW()*12.9898+'הדבקת לידים'!$F$2*78.233+IFERROR(--RIGHT(A2745,6),LEN(A2745))*0.0137+IFERROR(--RIGHT(B2745,6),LEN(B2745))*0.0071))*43758.5453,1),"")</f>
        <v/>
      </c>
      <c r="E2745" s="0" t="str">
        <f aca="false">IF(C2745=1,INT(MOD(ABS(SIN(D2745*7919.123+ROW()*0.618+'הדבקת לידים'!$F$2*1.3))*43758.5453,1)*1000000)*10000+ROW(),"")</f>
        <v/>
      </c>
      <c r="F2745" s="0" t="str">
        <f aca="false">IF(E2745="","",RANK(E2745,$E$2:$E$5001,1))</f>
        <v/>
      </c>
      <c r="G2745" s="0" t="n">
        <f aca="false">IF(A2745="",0,IF(SUMPRODUCT(--($A$2:$A$5001=A2745))&gt;1,1,0))</f>
        <v>0</v>
      </c>
      <c r="H2745" s="0" t="n">
        <f aca="false">ROW()-1</f>
        <v>2744</v>
      </c>
      <c r="I2745" s="0" t="str">
        <f aca="false">IF(OR(הגדרות!$E$6=0,H2745&gt;הגדרות!$E$5),"",IF(H2745-1&lt;הגדרות!$E$8*(הגדרות!$E$7+1),INT((H2745-1)/(הגדרות!$E$7+1)),הגדרות!$E$8+INT((H2745-1-הגדרות!$E$8*(הגדרות!$E$7+1))/הגדרות!$E$7)))</f>
        <v/>
      </c>
      <c r="J2745" s="0" t="str">
        <f aca="false">IF(I2745="","",IF(H2745-1&lt;הגדרות!$E$8*(הגדרות!$E$7+1),MOD(H2745-1,הגדרות!$E$7+1),MOD(H2745-1-הגדרות!$E$8*(הגדרות!$E$7+1),הגדרות!$E$7)))</f>
        <v/>
      </c>
      <c r="K2745" s="0" t="str">
        <f aca="false">IF(I2745="","",J2745*הגדרות!$E$6+I2745+1)</f>
        <v/>
      </c>
      <c r="L2745" s="0" t="str">
        <f aca="false">IF(K2745="","",MATCH(K2745,$F$2:$F$5001,0))</f>
        <v/>
      </c>
      <c r="M2745" s="0" t="str">
        <f aca="false">IF(I2745="","",INDEX(הגדרות!$A$2:$A$21,MOD(I2745+הגדרות!$E$9,הגדרות!$E$6)+1))</f>
        <v/>
      </c>
    </row>
    <row r="2746" customFormat="false" ht="15" hidden="false" customHeight="false" outlineLevel="0" collapsed="false">
      <c r="A2746" s="0" t="str">
        <f aca="false">IF('הדבקת לידים'!A2746="","",IF(ISNUMBER('הדבקת לידים'!A2746),IF(הגדרות!$E$2&gt;0,TEXT('הדבקת לידים'!A2746,REPT("0",הגדרות!$E$2)),TEXT('הדבקת לידים'!A2746,"0")),TRIM('הדבקת לידים'!A2746)))</f>
        <v/>
      </c>
      <c r="B2746" s="0" t="str">
        <f aca="false">IF('הדבקת לידים'!B2746="","",IF(ISNUMBER('הדבקת לידים'!B2746),IF(הגדרות!$E$3&gt;0,TEXT('הדבקת לידים'!B2746,REPT("0",הגדרות!$E$3)),TEXT('הדבקת לידים'!B2746,"0")),TRIM('הדבקת לידים'!B2746)))</f>
        <v/>
      </c>
      <c r="C2746" s="0" t="n">
        <f aca="false">IF(OR(A2746&lt;&gt;"",B2746&lt;&gt;""),1,0)</f>
        <v>0</v>
      </c>
      <c r="D2746" s="0" t="str">
        <f aca="false">IF(C2746=1,MOD(ABS(SIN(ROW()*12.9898+'הדבקת לידים'!$F$2*78.233+IFERROR(--RIGHT(A2746,6),LEN(A2746))*0.0137+IFERROR(--RIGHT(B2746,6),LEN(B2746))*0.0071))*43758.5453,1),"")</f>
        <v/>
      </c>
      <c r="E2746" s="0" t="str">
        <f aca="false">IF(C2746=1,INT(MOD(ABS(SIN(D2746*7919.123+ROW()*0.618+'הדבקת לידים'!$F$2*1.3))*43758.5453,1)*1000000)*10000+ROW(),"")</f>
        <v/>
      </c>
      <c r="F2746" s="0" t="str">
        <f aca="false">IF(E2746="","",RANK(E2746,$E$2:$E$5001,1))</f>
        <v/>
      </c>
      <c r="G2746" s="0" t="n">
        <f aca="false">IF(A2746="",0,IF(SUMPRODUCT(--($A$2:$A$5001=A2746))&gt;1,1,0))</f>
        <v>0</v>
      </c>
      <c r="H2746" s="0" t="n">
        <f aca="false">ROW()-1</f>
        <v>2745</v>
      </c>
      <c r="I2746" s="0" t="str">
        <f aca="false">IF(OR(הגדרות!$E$6=0,H2746&gt;הגדרות!$E$5),"",IF(H2746-1&lt;הגדרות!$E$8*(הגדרות!$E$7+1),INT((H2746-1)/(הגדרות!$E$7+1)),הגדרות!$E$8+INT((H2746-1-הגדרות!$E$8*(הגדרות!$E$7+1))/הגדרות!$E$7)))</f>
        <v/>
      </c>
      <c r="J2746" s="0" t="str">
        <f aca="false">IF(I2746="","",IF(H2746-1&lt;הגדרות!$E$8*(הגדרות!$E$7+1),MOD(H2746-1,הגדרות!$E$7+1),MOD(H2746-1-הגדרות!$E$8*(הגדרות!$E$7+1),הגדרות!$E$7)))</f>
        <v/>
      </c>
      <c r="K2746" s="0" t="str">
        <f aca="false">IF(I2746="","",J2746*הגדרות!$E$6+I2746+1)</f>
        <v/>
      </c>
      <c r="L2746" s="0" t="str">
        <f aca="false">IF(K2746="","",MATCH(K2746,$F$2:$F$5001,0))</f>
        <v/>
      </c>
      <c r="M2746" s="0" t="str">
        <f aca="false">IF(I2746="","",INDEX(הגדרות!$A$2:$A$21,MOD(I2746+הגדרות!$E$9,הגדרות!$E$6)+1))</f>
        <v/>
      </c>
    </row>
    <row r="2747" customFormat="false" ht="15" hidden="false" customHeight="false" outlineLevel="0" collapsed="false">
      <c r="A2747" s="0" t="str">
        <f aca="false">IF('הדבקת לידים'!A2747="","",IF(ISNUMBER('הדבקת לידים'!A2747),IF(הגדרות!$E$2&gt;0,TEXT('הדבקת לידים'!A2747,REPT("0",הגדרות!$E$2)),TEXT('הדבקת לידים'!A2747,"0")),TRIM('הדבקת לידים'!A2747)))</f>
        <v/>
      </c>
      <c r="B2747" s="0" t="str">
        <f aca="false">IF('הדבקת לידים'!B2747="","",IF(ISNUMBER('הדבקת לידים'!B2747),IF(הגדרות!$E$3&gt;0,TEXT('הדבקת לידים'!B2747,REPT("0",הגדרות!$E$3)),TEXT('הדבקת לידים'!B2747,"0")),TRIM('הדבקת לידים'!B2747)))</f>
        <v/>
      </c>
      <c r="C2747" s="0" t="n">
        <f aca="false">IF(OR(A2747&lt;&gt;"",B2747&lt;&gt;""),1,0)</f>
        <v>0</v>
      </c>
      <c r="D2747" s="0" t="str">
        <f aca="false">IF(C2747=1,MOD(ABS(SIN(ROW()*12.9898+'הדבקת לידים'!$F$2*78.233+IFERROR(--RIGHT(A2747,6),LEN(A2747))*0.0137+IFERROR(--RIGHT(B2747,6),LEN(B2747))*0.0071))*43758.5453,1),"")</f>
        <v/>
      </c>
      <c r="E2747" s="0" t="str">
        <f aca="false">IF(C2747=1,INT(MOD(ABS(SIN(D2747*7919.123+ROW()*0.618+'הדבקת לידים'!$F$2*1.3))*43758.5453,1)*1000000)*10000+ROW(),"")</f>
        <v/>
      </c>
      <c r="F2747" s="0" t="str">
        <f aca="false">IF(E2747="","",RANK(E2747,$E$2:$E$5001,1))</f>
        <v/>
      </c>
      <c r="G2747" s="0" t="n">
        <f aca="false">IF(A2747="",0,IF(SUMPRODUCT(--($A$2:$A$5001=A2747))&gt;1,1,0))</f>
        <v>0</v>
      </c>
      <c r="H2747" s="0" t="n">
        <f aca="false">ROW()-1</f>
        <v>2746</v>
      </c>
      <c r="I2747" s="0" t="str">
        <f aca="false">IF(OR(הגדרות!$E$6=0,H2747&gt;הגדרות!$E$5),"",IF(H2747-1&lt;הגדרות!$E$8*(הגדרות!$E$7+1),INT((H2747-1)/(הגדרות!$E$7+1)),הגדרות!$E$8+INT((H2747-1-הגדרות!$E$8*(הגדרות!$E$7+1))/הגדרות!$E$7)))</f>
        <v/>
      </c>
      <c r="J2747" s="0" t="str">
        <f aca="false">IF(I2747="","",IF(H2747-1&lt;הגדרות!$E$8*(הגדרות!$E$7+1),MOD(H2747-1,הגדרות!$E$7+1),MOD(H2747-1-הגדרות!$E$8*(הגדרות!$E$7+1),הגדרות!$E$7)))</f>
        <v/>
      </c>
      <c r="K2747" s="0" t="str">
        <f aca="false">IF(I2747="","",J2747*הגדרות!$E$6+I2747+1)</f>
        <v/>
      </c>
      <c r="L2747" s="0" t="str">
        <f aca="false">IF(K2747="","",MATCH(K2747,$F$2:$F$5001,0))</f>
        <v/>
      </c>
      <c r="M2747" s="0" t="str">
        <f aca="false">IF(I2747="","",INDEX(הגדרות!$A$2:$A$21,MOD(I2747+הגדרות!$E$9,הגדרות!$E$6)+1))</f>
        <v/>
      </c>
    </row>
    <row r="2748" customFormat="false" ht="15" hidden="false" customHeight="false" outlineLevel="0" collapsed="false">
      <c r="A2748" s="0" t="str">
        <f aca="false">IF('הדבקת לידים'!A2748="","",IF(ISNUMBER('הדבקת לידים'!A2748),IF(הגדרות!$E$2&gt;0,TEXT('הדבקת לידים'!A2748,REPT("0",הגדרות!$E$2)),TEXT('הדבקת לידים'!A2748,"0")),TRIM('הדבקת לידים'!A2748)))</f>
        <v/>
      </c>
      <c r="B2748" s="0" t="str">
        <f aca="false">IF('הדבקת לידים'!B2748="","",IF(ISNUMBER('הדבקת לידים'!B2748),IF(הגדרות!$E$3&gt;0,TEXT('הדבקת לידים'!B2748,REPT("0",הגדרות!$E$3)),TEXT('הדבקת לידים'!B2748,"0")),TRIM('הדבקת לידים'!B2748)))</f>
        <v/>
      </c>
      <c r="C2748" s="0" t="n">
        <f aca="false">IF(OR(A2748&lt;&gt;"",B2748&lt;&gt;""),1,0)</f>
        <v>0</v>
      </c>
      <c r="D2748" s="0" t="str">
        <f aca="false">IF(C2748=1,MOD(ABS(SIN(ROW()*12.9898+'הדבקת לידים'!$F$2*78.233+IFERROR(--RIGHT(A2748,6),LEN(A2748))*0.0137+IFERROR(--RIGHT(B2748,6),LEN(B2748))*0.0071))*43758.5453,1),"")</f>
        <v/>
      </c>
      <c r="E2748" s="0" t="str">
        <f aca="false">IF(C2748=1,INT(MOD(ABS(SIN(D2748*7919.123+ROW()*0.618+'הדבקת לידים'!$F$2*1.3))*43758.5453,1)*1000000)*10000+ROW(),"")</f>
        <v/>
      </c>
      <c r="F2748" s="0" t="str">
        <f aca="false">IF(E2748="","",RANK(E2748,$E$2:$E$5001,1))</f>
        <v/>
      </c>
      <c r="G2748" s="0" t="n">
        <f aca="false">IF(A2748="",0,IF(SUMPRODUCT(--($A$2:$A$5001=A2748))&gt;1,1,0))</f>
        <v>0</v>
      </c>
      <c r="H2748" s="0" t="n">
        <f aca="false">ROW()-1</f>
        <v>2747</v>
      </c>
      <c r="I2748" s="0" t="str">
        <f aca="false">IF(OR(הגדרות!$E$6=0,H2748&gt;הגדרות!$E$5),"",IF(H2748-1&lt;הגדרות!$E$8*(הגדרות!$E$7+1),INT((H2748-1)/(הגדרות!$E$7+1)),הגדרות!$E$8+INT((H2748-1-הגדרות!$E$8*(הגדרות!$E$7+1))/הגדרות!$E$7)))</f>
        <v/>
      </c>
      <c r="J2748" s="0" t="str">
        <f aca="false">IF(I2748="","",IF(H2748-1&lt;הגדרות!$E$8*(הגדרות!$E$7+1),MOD(H2748-1,הגדרות!$E$7+1),MOD(H2748-1-הגדרות!$E$8*(הגדרות!$E$7+1),הגדרות!$E$7)))</f>
        <v/>
      </c>
      <c r="K2748" s="0" t="str">
        <f aca="false">IF(I2748="","",J2748*הגדרות!$E$6+I2748+1)</f>
        <v/>
      </c>
      <c r="L2748" s="0" t="str">
        <f aca="false">IF(K2748="","",MATCH(K2748,$F$2:$F$5001,0))</f>
        <v/>
      </c>
      <c r="M2748" s="0" t="str">
        <f aca="false">IF(I2748="","",INDEX(הגדרות!$A$2:$A$21,MOD(I2748+הגדרות!$E$9,הגדרות!$E$6)+1))</f>
        <v/>
      </c>
    </row>
    <row r="2749" customFormat="false" ht="15" hidden="false" customHeight="false" outlineLevel="0" collapsed="false">
      <c r="A2749" s="0" t="str">
        <f aca="false">IF('הדבקת לידים'!A2749="","",IF(ISNUMBER('הדבקת לידים'!A2749),IF(הגדרות!$E$2&gt;0,TEXT('הדבקת לידים'!A2749,REPT("0",הגדרות!$E$2)),TEXT('הדבקת לידים'!A2749,"0")),TRIM('הדבקת לידים'!A2749)))</f>
        <v/>
      </c>
      <c r="B2749" s="0" t="str">
        <f aca="false">IF('הדבקת לידים'!B2749="","",IF(ISNUMBER('הדבקת לידים'!B2749),IF(הגדרות!$E$3&gt;0,TEXT('הדבקת לידים'!B2749,REPT("0",הגדרות!$E$3)),TEXT('הדבקת לידים'!B2749,"0")),TRIM('הדבקת לידים'!B2749)))</f>
        <v/>
      </c>
      <c r="C2749" s="0" t="n">
        <f aca="false">IF(OR(A2749&lt;&gt;"",B2749&lt;&gt;""),1,0)</f>
        <v>0</v>
      </c>
      <c r="D2749" s="0" t="str">
        <f aca="false">IF(C2749=1,MOD(ABS(SIN(ROW()*12.9898+'הדבקת לידים'!$F$2*78.233+IFERROR(--RIGHT(A2749,6),LEN(A2749))*0.0137+IFERROR(--RIGHT(B2749,6),LEN(B2749))*0.0071))*43758.5453,1),"")</f>
        <v/>
      </c>
      <c r="E2749" s="0" t="str">
        <f aca="false">IF(C2749=1,INT(MOD(ABS(SIN(D2749*7919.123+ROW()*0.618+'הדבקת לידים'!$F$2*1.3))*43758.5453,1)*1000000)*10000+ROW(),"")</f>
        <v/>
      </c>
      <c r="F2749" s="0" t="str">
        <f aca="false">IF(E2749="","",RANK(E2749,$E$2:$E$5001,1))</f>
        <v/>
      </c>
      <c r="G2749" s="0" t="n">
        <f aca="false">IF(A2749="",0,IF(SUMPRODUCT(--($A$2:$A$5001=A2749))&gt;1,1,0))</f>
        <v>0</v>
      </c>
      <c r="H2749" s="0" t="n">
        <f aca="false">ROW()-1</f>
        <v>2748</v>
      </c>
      <c r="I2749" s="0" t="str">
        <f aca="false">IF(OR(הגדרות!$E$6=0,H2749&gt;הגדרות!$E$5),"",IF(H2749-1&lt;הגדרות!$E$8*(הגדרות!$E$7+1),INT((H2749-1)/(הגדרות!$E$7+1)),הגדרות!$E$8+INT((H2749-1-הגדרות!$E$8*(הגדרות!$E$7+1))/הגדרות!$E$7)))</f>
        <v/>
      </c>
      <c r="J2749" s="0" t="str">
        <f aca="false">IF(I2749="","",IF(H2749-1&lt;הגדרות!$E$8*(הגדרות!$E$7+1),MOD(H2749-1,הגדרות!$E$7+1),MOD(H2749-1-הגדרות!$E$8*(הגדרות!$E$7+1),הגדרות!$E$7)))</f>
        <v/>
      </c>
      <c r="K2749" s="0" t="str">
        <f aca="false">IF(I2749="","",J2749*הגדרות!$E$6+I2749+1)</f>
        <v/>
      </c>
      <c r="L2749" s="0" t="str">
        <f aca="false">IF(K2749="","",MATCH(K2749,$F$2:$F$5001,0))</f>
        <v/>
      </c>
      <c r="M2749" s="0" t="str">
        <f aca="false">IF(I2749="","",INDEX(הגדרות!$A$2:$A$21,MOD(I2749+הגדרות!$E$9,הגדרות!$E$6)+1))</f>
        <v/>
      </c>
    </row>
    <row r="2750" customFormat="false" ht="15" hidden="false" customHeight="false" outlineLevel="0" collapsed="false">
      <c r="A2750" s="0" t="str">
        <f aca="false">IF('הדבקת לידים'!A2750="","",IF(ISNUMBER('הדבקת לידים'!A2750),IF(הגדרות!$E$2&gt;0,TEXT('הדבקת לידים'!A2750,REPT("0",הגדרות!$E$2)),TEXT('הדבקת לידים'!A2750,"0")),TRIM('הדבקת לידים'!A2750)))</f>
        <v/>
      </c>
      <c r="B2750" s="0" t="str">
        <f aca="false">IF('הדבקת לידים'!B2750="","",IF(ISNUMBER('הדבקת לידים'!B2750),IF(הגדרות!$E$3&gt;0,TEXT('הדבקת לידים'!B2750,REPT("0",הגדרות!$E$3)),TEXT('הדבקת לידים'!B2750,"0")),TRIM('הדבקת לידים'!B2750)))</f>
        <v/>
      </c>
      <c r="C2750" s="0" t="n">
        <f aca="false">IF(OR(A2750&lt;&gt;"",B2750&lt;&gt;""),1,0)</f>
        <v>0</v>
      </c>
      <c r="D2750" s="0" t="str">
        <f aca="false">IF(C2750=1,MOD(ABS(SIN(ROW()*12.9898+'הדבקת לידים'!$F$2*78.233+IFERROR(--RIGHT(A2750,6),LEN(A2750))*0.0137+IFERROR(--RIGHT(B2750,6),LEN(B2750))*0.0071))*43758.5453,1),"")</f>
        <v/>
      </c>
      <c r="E2750" s="0" t="str">
        <f aca="false">IF(C2750=1,INT(MOD(ABS(SIN(D2750*7919.123+ROW()*0.618+'הדבקת לידים'!$F$2*1.3))*43758.5453,1)*1000000)*10000+ROW(),"")</f>
        <v/>
      </c>
      <c r="F2750" s="0" t="str">
        <f aca="false">IF(E2750="","",RANK(E2750,$E$2:$E$5001,1))</f>
        <v/>
      </c>
      <c r="G2750" s="0" t="n">
        <f aca="false">IF(A2750="",0,IF(SUMPRODUCT(--($A$2:$A$5001=A2750))&gt;1,1,0))</f>
        <v>0</v>
      </c>
      <c r="H2750" s="0" t="n">
        <f aca="false">ROW()-1</f>
        <v>2749</v>
      </c>
      <c r="I2750" s="0" t="str">
        <f aca="false">IF(OR(הגדרות!$E$6=0,H2750&gt;הגדרות!$E$5),"",IF(H2750-1&lt;הגדרות!$E$8*(הגדרות!$E$7+1),INT((H2750-1)/(הגדרות!$E$7+1)),הגדרות!$E$8+INT((H2750-1-הגדרות!$E$8*(הגדרות!$E$7+1))/הגדרות!$E$7)))</f>
        <v/>
      </c>
      <c r="J2750" s="0" t="str">
        <f aca="false">IF(I2750="","",IF(H2750-1&lt;הגדרות!$E$8*(הגדרות!$E$7+1),MOD(H2750-1,הגדרות!$E$7+1),MOD(H2750-1-הגדרות!$E$8*(הגדרות!$E$7+1),הגדרות!$E$7)))</f>
        <v/>
      </c>
      <c r="K2750" s="0" t="str">
        <f aca="false">IF(I2750="","",J2750*הגדרות!$E$6+I2750+1)</f>
        <v/>
      </c>
      <c r="L2750" s="0" t="str">
        <f aca="false">IF(K2750="","",MATCH(K2750,$F$2:$F$5001,0))</f>
        <v/>
      </c>
      <c r="M2750" s="0" t="str">
        <f aca="false">IF(I2750="","",INDEX(הגדרות!$A$2:$A$21,MOD(I2750+הגדרות!$E$9,הגדרות!$E$6)+1))</f>
        <v/>
      </c>
    </row>
    <row r="2751" customFormat="false" ht="15" hidden="false" customHeight="false" outlineLevel="0" collapsed="false">
      <c r="A2751" s="0" t="str">
        <f aca="false">IF('הדבקת לידים'!A2751="","",IF(ISNUMBER('הדבקת לידים'!A2751),IF(הגדרות!$E$2&gt;0,TEXT('הדבקת לידים'!A2751,REPT("0",הגדרות!$E$2)),TEXT('הדבקת לידים'!A2751,"0")),TRIM('הדבקת לידים'!A2751)))</f>
        <v/>
      </c>
      <c r="B2751" s="0" t="str">
        <f aca="false">IF('הדבקת לידים'!B2751="","",IF(ISNUMBER('הדבקת לידים'!B2751),IF(הגדרות!$E$3&gt;0,TEXT('הדבקת לידים'!B2751,REPT("0",הגדרות!$E$3)),TEXT('הדבקת לידים'!B2751,"0")),TRIM('הדבקת לידים'!B2751)))</f>
        <v/>
      </c>
      <c r="C2751" s="0" t="n">
        <f aca="false">IF(OR(A2751&lt;&gt;"",B2751&lt;&gt;""),1,0)</f>
        <v>0</v>
      </c>
      <c r="D2751" s="0" t="str">
        <f aca="false">IF(C2751=1,MOD(ABS(SIN(ROW()*12.9898+'הדבקת לידים'!$F$2*78.233+IFERROR(--RIGHT(A2751,6),LEN(A2751))*0.0137+IFERROR(--RIGHT(B2751,6),LEN(B2751))*0.0071))*43758.5453,1),"")</f>
        <v/>
      </c>
      <c r="E2751" s="0" t="str">
        <f aca="false">IF(C2751=1,INT(MOD(ABS(SIN(D2751*7919.123+ROW()*0.618+'הדבקת לידים'!$F$2*1.3))*43758.5453,1)*1000000)*10000+ROW(),"")</f>
        <v/>
      </c>
      <c r="F2751" s="0" t="str">
        <f aca="false">IF(E2751="","",RANK(E2751,$E$2:$E$5001,1))</f>
        <v/>
      </c>
      <c r="G2751" s="0" t="n">
        <f aca="false">IF(A2751="",0,IF(SUMPRODUCT(--($A$2:$A$5001=A2751))&gt;1,1,0))</f>
        <v>0</v>
      </c>
      <c r="H2751" s="0" t="n">
        <f aca="false">ROW()-1</f>
        <v>2750</v>
      </c>
      <c r="I2751" s="0" t="str">
        <f aca="false">IF(OR(הגדרות!$E$6=0,H2751&gt;הגדרות!$E$5),"",IF(H2751-1&lt;הגדרות!$E$8*(הגדרות!$E$7+1),INT((H2751-1)/(הגדרות!$E$7+1)),הגדרות!$E$8+INT((H2751-1-הגדרות!$E$8*(הגדרות!$E$7+1))/הגדרות!$E$7)))</f>
        <v/>
      </c>
      <c r="J2751" s="0" t="str">
        <f aca="false">IF(I2751="","",IF(H2751-1&lt;הגדרות!$E$8*(הגדרות!$E$7+1),MOD(H2751-1,הגדרות!$E$7+1),MOD(H2751-1-הגדרות!$E$8*(הגדרות!$E$7+1),הגדרות!$E$7)))</f>
        <v/>
      </c>
      <c r="K2751" s="0" t="str">
        <f aca="false">IF(I2751="","",J2751*הגדרות!$E$6+I2751+1)</f>
        <v/>
      </c>
      <c r="L2751" s="0" t="str">
        <f aca="false">IF(K2751="","",MATCH(K2751,$F$2:$F$5001,0))</f>
        <v/>
      </c>
      <c r="M2751" s="0" t="str">
        <f aca="false">IF(I2751="","",INDEX(הגדרות!$A$2:$A$21,MOD(I2751+הגדרות!$E$9,הגדרות!$E$6)+1))</f>
        <v/>
      </c>
    </row>
    <row r="2752" customFormat="false" ht="15" hidden="false" customHeight="false" outlineLevel="0" collapsed="false">
      <c r="A2752" s="0" t="str">
        <f aca="false">IF('הדבקת לידים'!A2752="","",IF(ISNUMBER('הדבקת לידים'!A2752),IF(הגדרות!$E$2&gt;0,TEXT('הדבקת לידים'!A2752,REPT("0",הגדרות!$E$2)),TEXT('הדבקת לידים'!A2752,"0")),TRIM('הדבקת לידים'!A2752)))</f>
        <v/>
      </c>
      <c r="B2752" s="0" t="str">
        <f aca="false">IF('הדבקת לידים'!B2752="","",IF(ISNUMBER('הדבקת לידים'!B2752),IF(הגדרות!$E$3&gt;0,TEXT('הדבקת לידים'!B2752,REPT("0",הגדרות!$E$3)),TEXT('הדבקת לידים'!B2752,"0")),TRIM('הדבקת לידים'!B2752)))</f>
        <v/>
      </c>
      <c r="C2752" s="0" t="n">
        <f aca="false">IF(OR(A2752&lt;&gt;"",B2752&lt;&gt;""),1,0)</f>
        <v>0</v>
      </c>
      <c r="D2752" s="0" t="str">
        <f aca="false">IF(C2752=1,MOD(ABS(SIN(ROW()*12.9898+'הדבקת לידים'!$F$2*78.233+IFERROR(--RIGHT(A2752,6),LEN(A2752))*0.0137+IFERROR(--RIGHT(B2752,6),LEN(B2752))*0.0071))*43758.5453,1),"")</f>
        <v/>
      </c>
      <c r="E2752" s="0" t="str">
        <f aca="false">IF(C2752=1,INT(MOD(ABS(SIN(D2752*7919.123+ROW()*0.618+'הדבקת לידים'!$F$2*1.3))*43758.5453,1)*1000000)*10000+ROW(),"")</f>
        <v/>
      </c>
      <c r="F2752" s="0" t="str">
        <f aca="false">IF(E2752="","",RANK(E2752,$E$2:$E$5001,1))</f>
        <v/>
      </c>
      <c r="G2752" s="0" t="n">
        <f aca="false">IF(A2752="",0,IF(SUMPRODUCT(--($A$2:$A$5001=A2752))&gt;1,1,0))</f>
        <v>0</v>
      </c>
      <c r="H2752" s="0" t="n">
        <f aca="false">ROW()-1</f>
        <v>2751</v>
      </c>
      <c r="I2752" s="0" t="str">
        <f aca="false">IF(OR(הגדרות!$E$6=0,H2752&gt;הגדרות!$E$5),"",IF(H2752-1&lt;הגדרות!$E$8*(הגדרות!$E$7+1),INT((H2752-1)/(הגדרות!$E$7+1)),הגדרות!$E$8+INT((H2752-1-הגדרות!$E$8*(הגדרות!$E$7+1))/הגדרות!$E$7)))</f>
        <v/>
      </c>
      <c r="J2752" s="0" t="str">
        <f aca="false">IF(I2752="","",IF(H2752-1&lt;הגדרות!$E$8*(הגדרות!$E$7+1),MOD(H2752-1,הגדרות!$E$7+1),MOD(H2752-1-הגדרות!$E$8*(הגדרות!$E$7+1),הגדרות!$E$7)))</f>
        <v/>
      </c>
      <c r="K2752" s="0" t="str">
        <f aca="false">IF(I2752="","",J2752*הגדרות!$E$6+I2752+1)</f>
        <v/>
      </c>
      <c r="L2752" s="0" t="str">
        <f aca="false">IF(K2752="","",MATCH(K2752,$F$2:$F$5001,0))</f>
        <v/>
      </c>
      <c r="M2752" s="0" t="str">
        <f aca="false">IF(I2752="","",INDEX(הגדרות!$A$2:$A$21,MOD(I2752+הגדרות!$E$9,הגדרות!$E$6)+1))</f>
        <v/>
      </c>
    </row>
    <row r="2753" customFormat="false" ht="15" hidden="false" customHeight="false" outlineLevel="0" collapsed="false">
      <c r="A2753" s="0" t="str">
        <f aca="false">IF('הדבקת לידים'!A2753="","",IF(ISNUMBER('הדבקת לידים'!A2753),IF(הגדרות!$E$2&gt;0,TEXT('הדבקת לידים'!A2753,REPT("0",הגדרות!$E$2)),TEXT('הדבקת לידים'!A2753,"0")),TRIM('הדבקת לידים'!A2753)))</f>
        <v/>
      </c>
      <c r="B2753" s="0" t="str">
        <f aca="false">IF('הדבקת לידים'!B2753="","",IF(ISNUMBER('הדבקת לידים'!B2753),IF(הגדרות!$E$3&gt;0,TEXT('הדבקת לידים'!B2753,REPT("0",הגדרות!$E$3)),TEXT('הדבקת לידים'!B2753,"0")),TRIM('הדבקת לידים'!B2753)))</f>
        <v/>
      </c>
      <c r="C2753" s="0" t="n">
        <f aca="false">IF(OR(A2753&lt;&gt;"",B2753&lt;&gt;""),1,0)</f>
        <v>0</v>
      </c>
      <c r="D2753" s="0" t="str">
        <f aca="false">IF(C2753=1,MOD(ABS(SIN(ROW()*12.9898+'הדבקת לידים'!$F$2*78.233+IFERROR(--RIGHT(A2753,6),LEN(A2753))*0.0137+IFERROR(--RIGHT(B2753,6),LEN(B2753))*0.0071))*43758.5453,1),"")</f>
        <v/>
      </c>
      <c r="E2753" s="0" t="str">
        <f aca="false">IF(C2753=1,INT(MOD(ABS(SIN(D2753*7919.123+ROW()*0.618+'הדבקת לידים'!$F$2*1.3))*43758.5453,1)*1000000)*10000+ROW(),"")</f>
        <v/>
      </c>
      <c r="F2753" s="0" t="str">
        <f aca="false">IF(E2753="","",RANK(E2753,$E$2:$E$5001,1))</f>
        <v/>
      </c>
      <c r="G2753" s="0" t="n">
        <f aca="false">IF(A2753="",0,IF(SUMPRODUCT(--($A$2:$A$5001=A2753))&gt;1,1,0))</f>
        <v>0</v>
      </c>
      <c r="H2753" s="0" t="n">
        <f aca="false">ROW()-1</f>
        <v>2752</v>
      </c>
      <c r="I2753" s="0" t="str">
        <f aca="false">IF(OR(הגדרות!$E$6=0,H2753&gt;הגדרות!$E$5),"",IF(H2753-1&lt;הגדרות!$E$8*(הגדרות!$E$7+1),INT((H2753-1)/(הגדרות!$E$7+1)),הגדרות!$E$8+INT((H2753-1-הגדרות!$E$8*(הגדרות!$E$7+1))/הגדרות!$E$7)))</f>
        <v/>
      </c>
      <c r="J2753" s="0" t="str">
        <f aca="false">IF(I2753="","",IF(H2753-1&lt;הגדרות!$E$8*(הגדרות!$E$7+1),MOD(H2753-1,הגדרות!$E$7+1),MOD(H2753-1-הגדרות!$E$8*(הגדרות!$E$7+1),הגדרות!$E$7)))</f>
        <v/>
      </c>
      <c r="K2753" s="0" t="str">
        <f aca="false">IF(I2753="","",J2753*הגדרות!$E$6+I2753+1)</f>
        <v/>
      </c>
      <c r="L2753" s="0" t="str">
        <f aca="false">IF(K2753="","",MATCH(K2753,$F$2:$F$5001,0))</f>
        <v/>
      </c>
      <c r="M2753" s="0" t="str">
        <f aca="false">IF(I2753="","",INDEX(הגדרות!$A$2:$A$21,MOD(I2753+הגדרות!$E$9,הגדרות!$E$6)+1))</f>
        <v/>
      </c>
    </row>
    <row r="2754" customFormat="false" ht="15" hidden="false" customHeight="false" outlineLevel="0" collapsed="false">
      <c r="A2754" s="0" t="str">
        <f aca="false">IF('הדבקת לידים'!A2754="","",IF(ISNUMBER('הדבקת לידים'!A2754),IF(הגדרות!$E$2&gt;0,TEXT('הדבקת לידים'!A2754,REPT("0",הגדרות!$E$2)),TEXT('הדבקת לידים'!A2754,"0")),TRIM('הדבקת לידים'!A2754)))</f>
        <v/>
      </c>
      <c r="B2754" s="0" t="str">
        <f aca="false">IF('הדבקת לידים'!B2754="","",IF(ISNUMBER('הדבקת לידים'!B2754),IF(הגדרות!$E$3&gt;0,TEXT('הדבקת לידים'!B2754,REPT("0",הגדרות!$E$3)),TEXT('הדבקת לידים'!B2754,"0")),TRIM('הדבקת לידים'!B2754)))</f>
        <v/>
      </c>
      <c r="C2754" s="0" t="n">
        <f aca="false">IF(OR(A2754&lt;&gt;"",B2754&lt;&gt;""),1,0)</f>
        <v>0</v>
      </c>
      <c r="D2754" s="0" t="str">
        <f aca="false">IF(C2754=1,MOD(ABS(SIN(ROW()*12.9898+'הדבקת לידים'!$F$2*78.233+IFERROR(--RIGHT(A2754,6),LEN(A2754))*0.0137+IFERROR(--RIGHT(B2754,6),LEN(B2754))*0.0071))*43758.5453,1),"")</f>
        <v/>
      </c>
      <c r="E2754" s="0" t="str">
        <f aca="false">IF(C2754=1,INT(MOD(ABS(SIN(D2754*7919.123+ROW()*0.618+'הדבקת לידים'!$F$2*1.3))*43758.5453,1)*1000000)*10000+ROW(),"")</f>
        <v/>
      </c>
      <c r="F2754" s="0" t="str">
        <f aca="false">IF(E2754="","",RANK(E2754,$E$2:$E$5001,1))</f>
        <v/>
      </c>
      <c r="G2754" s="0" t="n">
        <f aca="false">IF(A2754="",0,IF(SUMPRODUCT(--($A$2:$A$5001=A2754))&gt;1,1,0))</f>
        <v>0</v>
      </c>
      <c r="H2754" s="0" t="n">
        <f aca="false">ROW()-1</f>
        <v>2753</v>
      </c>
      <c r="I2754" s="0" t="str">
        <f aca="false">IF(OR(הגדרות!$E$6=0,H2754&gt;הגדרות!$E$5),"",IF(H2754-1&lt;הגדרות!$E$8*(הגדרות!$E$7+1),INT((H2754-1)/(הגדרות!$E$7+1)),הגדרות!$E$8+INT((H2754-1-הגדרות!$E$8*(הגדרות!$E$7+1))/הגדרות!$E$7)))</f>
        <v/>
      </c>
      <c r="J2754" s="0" t="str">
        <f aca="false">IF(I2754="","",IF(H2754-1&lt;הגדרות!$E$8*(הגדרות!$E$7+1),MOD(H2754-1,הגדרות!$E$7+1),MOD(H2754-1-הגדרות!$E$8*(הגדרות!$E$7+1),הגדרות!$E$7)))</f>
        <v/>
      </c>
      <c r="K2754" s="0" t="str">
        <f aca="false">IF(I2754="","",J2754*הגדרות!$E$6+I2754+1)</f>
        <v/>
      </c>
      <c r="L2754" s="0" t="str">
        <f aca="false">IF(K2754="","",MATCH(K2754,$F$2:$F$5001,0))</f>
        <v/>
      </c>
      <c r="M2754" s="0" t="str">
        <f aca="false">IF(I2754="","",INDEX(הגדרות!$A$2:$A$21,MOD(I2754+הגדרות!$E$9,הגדרות!$E$6)+1))</f>
        <v/>
      </c>
    </row>
    <row r="2755" customFormat="false" ht="15" hidden="false" customHeight="false" outlineLevel="0" collapsed="false">
      <c r="A2755" s="0" t="str">
        <f aca="false">IF('הדבקת לידים'!A2755="","",IF(ISNUMBER('הדבקת לידים'!A2755),IF(הגדרות!$E$2&gt;0,TEXT('הדבקת לידים'!A2755,REPT("0",הגדרות!$E$2)),TEXT('הדבקת לידים'!A2755,"0")),TRIM('הדבקת לידים'!A2755)))</f>
        <v/>
      </c>
      <c r="B2755" s="0" t="str">
        <f aca="false">IF('הדבקת לידים'!B2755="","",IF(ISNUMBER('הדבקת לידים'!B2755),IF(הגדרות!$E$3&gt;0,TEXT('הדבקת לידים'!B2755,REPT("0",הגדרות!$E$3)),TEXT('הדבקת לידים'!B2755,"0")),TRIM('הדבקת לידים'!B2755)))</f>
        <v/>
      </c>
      <c r="C2755" s="0" t="n">
        <f aca="false">IF(OR(A2755&lt;&gt;"",B2755&lt;&gt;""),1,0)</f>
        <v>0</v>
      </c>
      <c r="D2755" s="0" t="str">
        <f aca="false">IF(C2755=1,MOD(ABS(SIN(ROW()*12.9898+'הדבקת לידים'!$F$2*78.233+IFERROR(--RIGHT(A2755,6),LEN(A2755))*0.0137+IFERROR(--RIGHT(B2755,6),LEN(B2755))*0.0071))*43758.5453,1),"")</f>
        <v/>
      </c>
      <c r="E2755" s="0" t="str">
        <f aca="false">IF(C2755=1,INT(MOD(ABS(SIN(D2755*7919.123+ROW()*0.618+'הדבקת לידים'!$F$2*1.3))*43758.5453,1)*1000000)*10000+ROW(),"")</f>
        <v/>
      </c>
      <c r="F2755" s="0" t="str">
        <f aca="false">IF(E2755="","",RANK(E2755,$E$2:$E$5001,1))</f>
        <v/>
      </c>
      <c r="G2755" s="0" t="n">
        <f aca="false">IF(A2755="",0,IF(SUMPRODUCT(--($A$2:$A$5001=A2755))&gt;1,1,0))</f>
        <v>0</v>
      </c>
      <c r="H2755" s="0" t="n">
        <f aca="false">ROW()-1</f>
        <v>2754</v>
      </c>
      <c r="I2755" s="0" t="str">
        <f aca="false">IF(OR(הגדרות!$E$6=0,H2755&gt;הגדרות!$E$5),"",IF(H2755-1&lt;הגדרות!$E$8*(הגדרות!$E$7+1),INT((H2755-1)/(הגדרות!$E$7+1)),הגדרות!$E$8+INT((H2755-1-הגדרות!$E$8*(הגדרות!$E$7+1))/הגדרות!$E$7)))</f>
        <v/>
      </c>
      <c r="J2755" s="0" t="str">
        <f aca="false">IF(I2755="","",IF(H2755-1&lt;הגדרות!$E$8*(הגדרות!$E$7+1),MOD(H2755-1,הגדרות!$E$7+1),MOD(H2755-1-הגדרות!$E$8*(הגדרות!$E$7+1),הגדרות!$E$7)))</f>
        <v/>
      </c>
      <c r="K2755" s="0" t="str">
        <f aca="false">IF(I2755="","",J2755*הגדרות!$E$6+I2755+1)</f>
        <v/>
      </c>
      <c r="L2755" s="0" t="str">
        <f aca="false">IF(K2755="","",MATCH(K2755,$F$2:$F$5001,0))</f>
        <v/>
      </c>
      <c r="M2755" s="0" t="str">
        <f aca="false">IF(I2755="","",INDEX(הגדרות!$A$2:$A$21,MOD(I2755+הגדרות!$E$9,הגדרות!$E$6)+1))</f>
        <v/>
      </c>
    </row>
    <row r="2756" customFormat="false" ht="15" hidden="false" customHeight="false" outlineLevel="0" collapsed="false">
      <c r="A2756" s="0" t="str">
        <f aca="false">IF('הדבקת לידים'!A2756="","",IF(ISNUMBER('הדבקת לידים'!A2756),IF(הגדרות!$E$2&gt;0,TEXT('הדבקת לידים'!A2756,REPT("0",הגדרות!$E$2)),TEXT('הדבקת לידים'!A2756,"0")),TRIM('הדבקת לידים'!A2756)))</f>
        <v/>
      </c>
      <c r="B2756" s="0" t="str">
        <f aca="false">IF('הדבקת לידים'!B2756="","",IF(ISNUMBER('הדבקת לידים'!B2756),IF(הגדרות!$E$3&gt;0,TEXT('הדבקת לידים'!B2756,REPT("0",הגדרות!$E$3)),TEXT('הדבקת לידים'!B2756,"0")),TRIM('הדבקת לידים'!B2756)))</f>
        <v/>
      </c>
      <c r="C2756" s="0" t="n">
        <f aca="false">IF(OR(A2756&lt;&gt;"",B2756&lt;&gt;""),1,0)</f>
        <v>0</v>
      </c>
      <c r="D2756" s="0" t="str">
        <f aca="false">IF(C2756=1,MOD(ABS(SIN(ROW()*12.9898+'הדבקת לידים'!$F$2*78.233+IFERROR(--RIGHT(A2756,6),LEN(A2756))*0.0137+IFERROR(--RIGHT(B2756,6),LEN(B2756))*0.0071))*43758.5453,1),"")</f>
        <v/>
      </c>
      <c r="E2756" s="0" t="str">
        <f aca="false">IF(C2756=1,INT(MOD(ABS(SIN(D2756*7919.123+ROW()*0.618+'הדבקת לידים'!$F$2*1.3))*43758.5453,1)*1000000)*10000+ROW(),"")</f>
        <v/>
      </c>
      <c r="F2756" s="0" t="str">
        <f aca="false">IF(E2756="","",RANK(E2756,$E$2:$E$5001,1))</f>
        <v/>
      </c>
      <c r="G2756" s="0" t="n">
        <f aca="false">IF(A2756="",0,IF(SUMPRODUCT(--($A$2:$A$5001=A2756))&gt;1,1,0))</f>
        <v>0</v>
      </c>
      <c r="H2756" s="0" t="n">
        <f aca="false">ROW()-1</f>
        <v>2755</v>
      </c>
      <c r="I2756" s="0" t="str">
        <f aca="false">IF(OR(הגדרות!$E$6=0,H2756&gt;הגדרות!$E$5),"",IF(H2756-1&lt;הגדרות!$E$8*(הגדרות!$E$7+1),INT((H2756-1)/(הגדרות!$E$7+1)),הגדרות!$E$8+INT((H2756-1-הגדרות!$E$8*(הגדרות!$E$7+1))/הגדרות!$E$7)))</f>
        <v/>
      </c>
      <c r="J2756" s="0" t="str">
        <f aca="false">IF(I2756="","",IF(H2756-1&lt;הגדרות!$E$8*(הגדרות!$E$7+1),MOD(H2756-1,הגדרות!$E$7+1),MOD(H2756-1-הגדרות!$E$8*(הגדרות!$E$7+1),הגדרות!$E$7)))</f>
        <v/>
      </c>
      <c r="K2756" s="0" t="str">
        <f aca="false">IF(I2756="","",J2756*הגדרות!$E$6+I2756+1)</f>
        <v/>
      </c>
      <c r="L2756" s="0" t="str">
        <f aca="false">IF(K2756="","",MATCH(K2756,$F$2:$F$5001,0))</f>
        <v/>
      </c>
      <c r="M2756" s="0" t="str">
        <f aca="false">IF(I2756="","",INDEX(הגדרות!$A$2:$A$21,MOD(I2756+הגדרות!$E$9,הגדרות!$E$6)+1))</f>
        <v/>
      </c>
    </row>
    <row r="2757" customFormat="false" ht="15" hidden="false" customHeight="false" outlineLevel="0" collapsed="false">
      <c r="A2757" s="0" t="str">
        <f aca="false">IF('הדבקת לידים'!A2757="","",IF(ISNUMBER('הדבקת לידים'!A2757),IF(הגדרות!$E$2&gt;0,TEXT('הדבקת לידים'!A2757,REPT("0",הגדרות!$E$2)),TEXT('הדבקת לידים'!A2757,"0")),TRIM('הדבקת לידים'!A2757)))</f>
        <v/>
      </c>
      <c r="B2757" s="0" t="str">
        <f aca="false">IF('הדבקת לידים'!B2757="","",IF(ISNUMBER('הדבקת לידים'!B2757),IF(הגדרות!$E$3&gt;0,TEXT('הדבקת לידים'!B2757,REPT("0",הגדרות!$E$3)),TEXT('הדבקת לידים'!B2757,"0")),TRIM('הדבקת לידים'!B2757)))</f>
        <v/>
      </c>
      <c r="C2757" s="0" t="n">
        <f aca="false">IF(OR(A2757&lt;&gt;"",B2757&lt;&gt;""),1,0)</f>
        <v>0</v>
      </c>
      <c r="D2757" s="0" t="str">
        <f aca="false">IF(C2757=1,MOD(ABS(SIN(ROW()*12.9898+'הדבקת לידים'!$F$2*78.233+IFERROR(--RIGHT(A2757,6),LEN(A2757))*0.0137+IFERROR(--RIGHT(B2757,6),LEN(B2757))*0.0071))*43758.5453,1),"")</f>
        <v/>
      </c>
      <c r="E2757" s="0" t="str">
        <f aca="false">IF(C2757=1,INT(MOD(ABS(SIN(D2757*7919.123+ROW()*0.618+'הדבקת לידים'!$F$2*1.3))*43758.5453,1)*1000000)*10000+ROW(),"")</f>
        <v/>
      </c>
      <c r="F2757" s="0" t="str">
        <f aca="false">IF(E2757="","",RANK(E2757,$E$2:$E$5001,1))</f>
        <v/>
      </c>
      <c r="G2757" s="0" t="n">
        <f aca="false">IF(A2757="",0,IF(SUMPRODUCT(--($A$2:$A$5001=A2757))&gt;1,1,0))</f>
        <v>0</v>
      </c>
      <c r="H2757" s="0" t="n">
        <f aca="false">ROW()-1</f>
        <v>2756</v>
      </c>
      <c r="I2757" s="0" t="str">
        <f aca="false">IF(OR(הגדרות!$E$6=0,H2757&gt;הגדרות!$E$5),"",IF(H2757-1&lt;הגדרות!$E$8*(הגדרות!$E$7+1),INT((H2757-1)/(הגדרות!$E$7+1)),הגדרות!$E$8+INT((H2757-1-הגדרות!$E$8*(הגדרות!$E$7+1))/הגדרות!$E$7)))</f>
        <v/>
      </c>
      <c r="J2757" s="0" t="str">
        <f aca="false">IF(I2757="","",IF(H2757-1&lt;הגדרות!$E$8*(הגדרות!$E$7+1),MOD(H2757-1,הגדרות!$E$7+1),MOD(H2757-1-הגדרות!$E$8*(הגדרות!$E$7+1),הגדרות!$E$7)))</f>
        <v/>
      </c>
      <c r="K2757" s="0" t="str">
        <f aca="false">IF(I2757="","",J2757*הגדרות!$E$6+I2757+1)</f>
        <v/>
      </c>
      <c r="L2757" s="0" t="str">
        <f aca="false">IF(K2757="","",MATCH(K2757,$F$2:$F$5001,0))</f>
        <v/>
      </c>
      <c r="M2757" s="0" t="str">
        <f aca="false">IF(I2757="","",INDEX(הגדרות!$A$2:$A$21,MOD(I2757+הגדרות!$E$9,הגדרות!$E$6)+1))</f>
        <v/>
      </c>
    </row>
    <row r="2758" customFormat="false" ht="15" hidden="false" customHeight="false" outlineLevel="0" collapsed="false">
      <c r="A2758" s="0" t="str">
        <f aca="false">IF('הדבקת לידים'!A2758="","",IF(ISNUMBER('הדבקת לידים'!A2758),IF(הגדרות!$E$2&gt;0,TEXT('הדבקת לידים'!A2758,REPT("0",הגדרות!$E$2)),TEXT('הדבקת לידים'!A2758,"0")),TRIM('הדבקת לידים'!A2758)))</f>
        <v/>
      </c>
      <c r="B2758" s="0" t="str">
        <f aca="false">IF('הדבקת לידים'!B2758="","",IF(ISNUMBER('הדבקת לידים'!B2758),IF(הגדרות!$E$3&gt;0,TEXT('הדבקת לידים'!B2758,REPT("0",הגדרות!$E$3)),TEXT('הדבקת לידים'!B2758,"0")),TRIM('הדבקת לידים'!B2758)))</f>
        <v/>
      </c>
      <c r="C2758" s="0" t="n">
        <f aca="false">IF(OR(A2758&lt;&gt;"",B2758&lt;&gt;""),1,0)</f>
        <v>0</v>
      </c>
      <c r="D2758" s="0" t="str">
        <f aca="false">IF(C2758=1,MOD(ABS(SIN(ROW()*12.9898+'הדבקת לידים'!$F$2*78.233+IFERROR(--RIGHT(A2758,6),LEN(A2758))*0.0137+IFERROR(--RIGHT(B2758,6),LEN(B2758))*0.0071))*43758.5453,1),"")</f>
        <v/>
      </c>
      <c r="E2758" s="0" t="str">
        <f aca="false">IF(C2758=1,INT(MOD(ABS(SIN(D2758*7919.123+ROW()*0.618+'הדבקת לידים'!$F$2*1.3))*43758.5453,1)*1000000)*10000+ROW(),"")</f>
        <v/>
      </c>
      <c r="F2758" s="0" t="str">
        <f aca="false">IF(E2758="","",RANK(E2758,$E$2:$E$5001,1))</f>
        <v/>
      </c>
      <c r="G2758" s="0" t="n">
        <f aca="false">IF(A2758="",0,IF(SUMPRODUCT(--($A$2:$A$5001=A2758))&gt;1,1,0))</f>
        <v>0</v>
      </c>
      <c r="H2758" s="0" t="n">
        <f aca="false">ROW()-1</f>
        <v>2757</v>
      </c>
      <c r="I2758" s="0" t="str">
        <f aca="false">IF(OR(הגדרות!$E$6=0,H2758&gt;הגדרות!$E$5),"",IF(H2758-1&lt;הגדרות!$E$8*(הגדרות!$E$7+1),INT((H2758-1)/(הגדרות!$E$7+1)),הגדרות!$E$8+INT((H2758-1-הגדרות!$E$8*(הגדרות!$E$7+1))/הגדרות!$E$7)))</f>
        <v/>
      </c>
      <c r="J2758" s="0" t="str">
        <f aca="false">IF(I2758="","",IF(H2758-1&lt;הגדרות!$E$8*(הגדרות!$E$7+1),MOD(H2758-1,הגדרות!$E$7+1),MOD(H2758-1-הגדרות!$E$8*(הגדרות!$E$7+1),הגדרות!$E$7)))</f>
        <v/>
      </c>
      <c r="K2758" s="0" t="str">
        <f aca="false">IF(I2758="","",J2758*הגדרות!$E$6+I2758+1)</f>
        <v/>
      </c>
      <c r="L2758" s="0" t="str">
        <f aca="false">IF(K2758="","",MATCH(K2758,$F$2:$F$5001,0))</f>
        <v/>
      </c>
      <c r="M2758" s="0" t="str">
        <f aca="false">IF(I2758="","",INDEX(הגדרות!$A$2:$A$21,MOD(I2758+הגדרות!$E$9,הגדרות!$E$6)+1))</f>
        <v/>
      </c>
    </row>
    <row r="2759" customFormat="false" ht="15" hidden="false" customHeight="false" outlineLevel="0" collapsed="false">
      <c r="A2759" s="0" t="str">
        <f aca="false">IF('הדבקת לידים'!A2759="","",IF(ISNUMBER('הדבקת לידים'!A2759),IF(הגדרות!$E$2&gt;0,TEXT('הדבקת לידים'!A2759,REPT("0",הגדרות!$E$2)),TEXT('הדבקת לידים'!A2759,"0")),TRIM('הדבקת לידים'!A2759)))</f>
        <v/>
      </c>
      <c r="B2759" s="0" t="str">
        <f aca="false">IF('הדבקת לידים'!B2759="","",IF(ISNUMBER('הדבקת לידים'!B2759),IF(הגדרות!$E$3&gt;0,TEXT('הדבקת לידים'!B2759,REPT("0",הגדרות!$E$3)),TEXT('הדבקת לידים'!B2759,"0")),TRIM('הדבקת לידים'!B2759)))</f>
        <v/>
      </c>
      <c r="C2759" s="0" t="n">
        <f aca="false">IF(OR(A2759&lt;&gt;"",B2759&lt;&gt;""),1,0)</f>
        <v>0</v>
      </c>
      <c r="D2759" s="0" t="str">
        <f aca="false">IF(C2759=1,MOD(ABS(SIN(ROW()*12.9898+'הדבקת לידים'!$F$2*78.233+IFERROR(--RIGHT(A2759,6),LEN(A2759))*0.0137+IFERROR(--RIGHT(B2759,6),LEN(B2759))*0.0071))*43758.5453,1),"")</f>
        <v/>
      </c>
      <c r="E2759" s="0" t="str">
        <f aca="false">IF(C2759=1,INT(MOD(ABS(SIN(D2759*7919.123+ROW()*0.618+'הדבקת לידים'!$F$2*1.3))*43758.5453,1)*1000000)*10000+ROW(),"")</f>
        <v/>
      </c>
      <c r="F2759" s="0" t="str">
        <f aca="false">IF(E2759="","",RANK(E2759,$E$2:$E$5001,1))</f>
        <v/>
      </c>
      <c r="G2759" s="0" t="n">
        <f aca="false">IF(A2759="",0,IF(SUMPRODUCT(--($A$2:$A$5001=A2759))&gt;1,1,0))</f>
        <v>0</v>
      </c>
      <c r="H2759" s="0" t="n">
        <f aca="false">ROW()-1</f>
        <v>2758</v>
      </c>
      <c r="I2759" s="0" t="str">
        <f aca="false">IF(OR(הגדרות!$E$6=0,H2759&gt;הגדרות!$E$5),"",IF(H2759-1&lt;הגדרות!$E$8*(הגדרות!$E$7+1),INT((H2759-1)/(הגדרות!$E$7+1)),הגדרות!$E$8+INT((H2759-1-הגדרות!$E$8*(הגדרות!$E$7+1))/הגדרות!$E$7)))</f>
        <v/>
      </c>
      <c r="J2759" s="0" t="str">
        <f aca="false">IF(I2759="","",IF(H2759-1&lt;הגדרות!$E$8*(הגדרות!$E$7+1),MOD(H2759-1,הגדרות!$E$7+1),MOD(H2759-1-הגדרות!$E$8*(הגדרות!$E$7+1),הגדרות!$E$7)))</f>
        <v/>
      </c>
      <c r="K2759" s="0" t="str">
        <f aca="false">IF(I2759="","",J2759*הגדרות!$E$6+I2759+1)</f>
        <v/>
      </c>
      <c r="L2759" s="0" t="str">
        <f aca="false">IF(K2759="","",MATCH(K2759,$F$2:$F$5001,0))</f>
        <v/>
      </c>
      <c r="M2759" s="0" t="str">
        <f aca="false">IF(I2759="","",INDEX(הגדרות!$A$2:$A$21,MOD(I2759+הגדרות!$E$9,הגדרות!$E$6)+1))</f>
        <v/>
      </c>
    </row>
    <row r="2760" customFormat="false" ht="15" hidden="false" customHeight="false" outlineLevel="0" collapsed="false">
      <c r="A2760" s="0" t="str">
        <f aca="false">IF('הדבקת לידים'!A2760="","",IF(ISNUMBER('הדבקת לידים'!A2760),IF(הגדרות!$E$2&gt;0,TEXT('הדבקת לידים'!A2760,REPT("0",הגדרות!$E$2)),TEXT('הדבקת לידים'!A2760,"0")),TRIM('הדבקת לידים'!A2760)))</f>
        <v/>
      </c>
      <c r="B2760" s="0" t="str">
        <f aca="false">IF('הדבקת לידים'!B2760="","",IF(ISNUMBER('הדבקת לידים'!B2760),IF(הגדרות!$E$3&gt;0,TEXT('הדבקת לידים'!B2760,REPT("0",הגדרות!$E$3)),TEXT('הדבקת לידים'!B2760,"0")),TRIM('הדבקת לידים'!B2760)))</f>
        <v/>
      </c>
      <c r="C2760" s="0" t="n">
        <f aca="false">IF(OR(A2760&lt;&gt;"",B2760&lt;&gt;""),1,0)</f>
        <v>0</v>
      </c>
      <c r="D2760" s="0" t="str">
        <f aca="false">IF(C2760=1,MOD(ABS(SIN(ROW()*12.9898+'הדבקת לידים'!$F$2*78.233+IFERROR(--RIGHT(A2760,6),LEN(A2760))*0.0137+IFERROR(--RIGHT(B2760,6),LEN(B2760))*0.0071))*43758.5453,1),"")</f>
        <v/>
      </c>
      <c r="E2760" s="0" t="str">
        <f aca="false">IF(C2760=1,INT(MOD(ABS(SIN(D2760*7919.123+ROW()*0.618+'הדבקת לידים'!$F$2*1.3))*43758.5453,1)*1000000)*10000+ROW(),"")</f>
        <v/>
      </c>
      <c r="F2760" s="0" t="str">
        <f aca="false">IF(E2760="","",RANK(E2760,$E$2:$E$5001,1))</f>
        <v/>
      </c>
      <c r="G2760" s="0" t="n">
        <f aca="false">IF(A2760="",0,IF(SUMPRODUCT(--($A$2:$A$5001=A2760))&gt;1,1,0))</f>
        <v>0</v>
      </c>
      <c r="H2760" s="0" t="n">
        <f aca="false">ROW()-1</f>
        <v>2759</v>
      </c>
      <c r="I2760" s="0" t="str">
        <f aca="false">IF(OR(הגדרות!$E$6=0,H2760&gt;הגדרות!$E$5),"",IF(H2760-1&lt;הגדרות!$E$8*(הגדרות!$E$7+1),INT((H2760-1)/(הגדרות!$E$7+1)),הגדרות!$E$8+INT((H2760-1-הגדרות!$E$8*(הגדרות!$E$7+1))/הגדרות!$E$7)))</f>
        <v/>
      </c>
      <c r="J2760" s="0" t="str">
        <f aca="false">IF(I2760="","",IF(H2760-1&lt;הגדרות!$E$8*(הגדרות!$E$7+1),MOD(H2760-1,הגדרות!$E$7+1),MOD(H2760-1-הגדרות!$E$8*(הגדרות!$E$7+1),הגדרות!$E$7)))</f>
        <v/>
      </c>
      <c r="K2760" s="0" t="str">
        <f aca="false">IF(I2760="","",J2760*הגדרות!$E$6+I2760+1)</f>
        <v/>
      </c>
      <c r="L2760" s="0" t="str">
        <f aca="false">IF(K2760="","",MATCH(K2760,$F$2:$F$5001,0))</f>
        <v/>
      </c>
      <c r="M2760" s="0" t="str">
        <f aca="false">IF(I2760="","",INDEX(הגדרות!$A$2:$A$21,MOD(I2760+הגדרות!$E$9,הגדרות!$E$6)+1))</f>
        <v/>
      </c>
    </row>
    <row r="2761" customFormat="false" ht="15" hidden="false" customHeight="false" outlineLevel="0" collapsed="false">
      <c r="A2761" s="0" t="str">
        <f aca="false">IF('הדבקת לידים'!A2761="","",IF(ISNUMBER('הדבקת לידים'!A2761),IF(הגדרות!$E$2&gt;0,TEXT('הדבקת לידים'!A2761,REPT("0",הגדרות!$E$2)),TEXT('הדבקת לידים'!A2761,"0")),TRIM('הדבקת לידים'!A2761)))</f>
        <v/>
      </c>
      <c r="B2761" s="0" t="str">
        <f aca="false">IF('הדבקת לידים'!B2761="","",IF(ISNUMBER('הדבקת לידים'!B2761),IF(הגדרות!$E$3&gt;0,TEXT('הדבקת לידים'!B2761,REPT("0",הגדרות!$E$3)),TEXT('הדבקת לידים'!B2761,"0")),TRIM('הדבקת לידים'!B2761)))</f>
        <v/>
      </c>
      <c r="C2761" s="0" t="n">
        <f aca="false">IF(OR(A2761&lt;&gt;"",B2761&lt;&gt;""),1,0)</f>
        <v>0</v>
      </c>
      <c r="D2761" s="0" t="str">
        <f aca="false">IF(C2761=1,MOD(ABS(SIN(ROW()*12.9898+'הדבקת לידים'!$F$2*78.233+IFERROR(--RIGHT(A2761,6),LEN(A2761))*0.0137+IFERROR(--RIGHT(B2761,6),LEN(B2761))*0.0071))*43758.5453,1),"")</f>
        <v/>
      </c>
      <c r="E2761" s="0" t="str">
        <f aca="false">IF(C2761=1,INT(MOD(ABS(SIN(D2761*7919.123+ROW()*0.618+'הדבקת לידים'!$F$2*1.3))*43758.5453,1)*1000000)*10000+ROW(),"")</f>
        <v/>
      </c>
      <c r="F2761" s="0" t="str">
        <f aca="false">IF(E2761="","",RANK(E2761,$E$2:$E$5001,1))</f>
        <v/>
      </c>
      <c r="G2761" s="0" t="n">
        <f aca="false">IF(A2761="",0,IF(SUMPRODUCT(--($A$2:$A$5001=A2761))&gt;1,1,0))</f>
        <v>0</v>
      </c>
      <c r="H2761" s="0" t="n">
        <f aca="false">ROW()-1</f>
        <v>2760</v>
      </c>
      <c r="I2761" s="0" t="str">
        <f aca="false">IF(OR(הגדרות!$E$6=0,H2761&gt;הגדרות!$E$5),"",IF(H2761-1&lt;הגדרות!$E$8*(הגדרות!$E$7+1),INT((H2761-1)/(הגדרות!$E$7+1)),הגדרות!$E$8+INT((H2761-1-הגדרות!$E$8*(הגדרות!$E$7+1))/הגדרות!$E$7)))</f>
        <v/>
      </c>
      <c r="J2761" s="0" t="str">
        <f aca="false">IF(I2761="","",IF(H2761-1&lt;הגדרות!$E$8*(הגדרות!$E$7+1),MOD(H2761-1,הגדרות!$E$7+1),MOD(H2761-1-הגדרות!$E$8*(הגדרות!$E$7+1),הגדרות!$E$7)))</f>
        <v/>
      </c>
      <c r="K2761" s="0" t="str">
        <f aca="false">IF(I2761="","",J2761*הגדרות!$E$6+I2761+1)</f>
        <v/>
      </c>
      <c r="L2761" s="0" t="str">
        <f aca="false">IF(K2761="","",MATCH(K2761,$F$2:$F$5001,0))</f>
        <v/>
      </c>
      <c r="M2761" s="0" t="str">
        <f aca="false">IF(I2761="","",INDEX(הגדרות!$A$2:$A$21,MOD(I2761+הגדרות!$E$9,הגדרות!$E$6)+1))</f>
        <v/>
      </c>
    </row>
    <row r="2762" customFormat="false" ht="15" hidden="false" customHeight="false" outlineLevel="0" collapsed="false">
      <c r="A2762" s="0" t="str">
        <f aca="false">IF('הדבקת לידים'!A2762="","",IF(ISNUMBER('הדבקת לידים'!A2762),IF(הגדרות!$E$2&gt;0,TEXT('הדבקת לידים'!A2762,REPT("0",הגדרות!$E$2)),TEXT('הדבקת לידים'!A2762,"0")),TRIM('הדבקת לידים'!A2762)))</f>
        <v/>
      </c>
      <c r="B2762" s="0" t="str">
        <f aca="false">IF('הדבקת לידים'!B2762="","",IF(ISNUMBER('הדבקת לידים'!B2762),IF(הגדרות!$E$3&gt;0,TEXT('הדבקת לידים'!B2762,REPT("0",הגדרות!$E$3)),TEXT('הדבקת לידים'!B2762,"0")),TRIM('הדבקת לידים'!B2762)))</f>
        <v/>
      </c>
      <c r="C2762" s="0" t="n">
        <f aca="false">IF(OR(A2762&lt;&gt;"",B2762&lt;&gt;""),1,0)</f>
        <v>0</v>
      </c>
      <c r="D2762" s="0" t="str">
        <f aca="false">IF(C2762=1,MOD(ABS(SIN(ROW()*12.9898+'הדבקת לידים'!$F$2*78.233+IFERROR(--RIGHT(A2762,6),LEN(A2762))*0.0137+IFERROR(--RIGHT(B2762,6),LEN(B2762))*0.0071))*43758.5453,1),"")</f>
        <v/>
      </c>
      <c r="E2762" s="0" t="str">
        <f aca="false">IF(C2762=1,INT(MOD(ABS(SIN(D2762*7919.123+ROW()*0.618+'הדבקת לידים'!$F$2*1.3))*43758.5453,1)*1000000)*10000+ROW(),"")</f>
        <v/>
      </c>
      <c r="F2762" s="0" t="str">
        <f aca="false">IF(E2762="","",RANK(E2762,$E$2:$E$5001,1))</f>
        <v/>
      </c>
      <c r="G2762" s="0" t="n">
        <f aca="false">IF(A2762="",0,IF(SUMPRODUCT(--($A$2:$A$5001=A2762))&gt;1,1,0))</f>
        <v>0</v>
      </c>
      <c r="H2762" s="0" t="n">
        <f aca="false">ROW()-1</f>
        <v>2761</v>
      </c>
      <c r="I2762" s="0" t="str">
        <f aca="false">IF(OR(הגדרות!$E$6=0,H2762&gt;הגדרות!$E$5),"",IF(H2762-1&lt;הגדרות!$E$8*(הגדרות!$E$7+1),INT((H2762-1)/(הגדרות!$E$7+1)),הגדרות!$E$8+INT((H2762-1-הגדרות!$E$8*(הגדרות!$E$7+1))/הגדרות!$E$7)))</f>
        <v/>
      </c>
      <c r="J2762" s="0" t="str">
        <f aca="false">IF(I2762="","",IF(H2762-1&lt;הגדרות!$E$8*(הגדרות!$E$7+1),MOD(H2762-1,הגדרות!$E$7+1),MOD(H2762-1-הגדרות!$E$8*(הגדרות!$E$7+1),הגדרות!$E$7)))</f>
        <v/>
      </c>
      <c r="K2762" s="0" t="str">
        <f aca="false">IF(I2762="","",J2762*הגדרות!$E$6+I2762+1)</f>
        <v/>
      </c>
      <c r="L2762" s="0" t="str">
        <f aca="false">IF(K2762="","",MATCH(K2762,$F$2:$F$5001,0))</f>
        <v/>
      </c>
      <c r="M2762" s="0" t="str">
        <f aca="false">IF(I2762="","",INDEX(הגדרות!$A$2:$A$21,MOD(I2762+הגדרות!$E$9,הגדרות!$E$6)+1))</f>
        <v/>
      </c>
    </row>
    <row r="2763" customFormat="false" ht="15" hidden="false" customHeight="false" outlineLevel="0" collapsed="false">
      <c r="A2763" s="0" t="str">
        <f aca="false">IF('הדבקת לידים'!A2763="","",IF(ISNUMBER('הדבקת לידים'!A2763),IF(הגדרות!$E$2&gt;0,TEXT('הדבקת לידים'!A2763,REPT("0",הגדרות!$E$2)),TEXT('הדבקת לידים'!A2763,"0")),TRIM('הדבקת לידים'!A2763)))</f>
        <v/>
      </c>
      <c r="B2763" s="0" t="str">
        <f aca="false">IF('הדבקת לידים'!B2763="","",IF(ISNUMBER('הדבקת לידים'!B2763),IF(הגדרות!$E$3&gt;0,TEXT('הדבקת לידים'!B2763,REPT("0",הגדרות!$E$3)),TEXT('הדבקת לידים'!B2763,"0")),TRIM('הדבקת לידים'!B2763)))</f>
        <v/>
      </c>
      <c r="C2763" s="0" t="n">
        <f aca="false">IF(OR(A2763&lt;&gt;"",B2763&lt;&gt;""),1,0)</f>
        <v>0</v>
      </c>
      <c r="D2763" s="0" t="str">
        <f aca="false">IF(C2763=1,MOD(ABS(SIN(ROW()*12.9898+'הדבקת לידים'!$F$2*78.233+IFERROR(--RIGHT(A2763,6),LEN(A2763))*0.0137+IFERROR(--RIGHT(B2763,6),LEN(B2763))*0.0071))*43758.5453,1),"")</f>
        <v/>
      </c>
      <c r="E2763" s="0" t="str">
        <f aca="false">IF(C2763=1,INT(MOD(ABS(SIN(D2763*7919.123+ROW()*0.618+'הדבקת לידים'!$F$2*1.3))*43758.5453,1)*1000000)*10000+ROW(),"")</f>
        <v/>
      </c>
      <c r="F2763" s="0" t="str">
        <f aca="false">IF(E2763="","",RANK(E2763,$E$2:$E$5001,1))</f>
        <v/>
      </c>
      <c r="G2763" s="0" t="n">
        <f aca="false">IF(A2763="",0,IF(SUMPRODUCT(--($A$2:$A$5001=A2763))&gt;1,1,0))</f>
        <v>0</v>
      </c>
      <c r="H2763" s="0" t="n">
        <f aca="false">ROW()-1</f>
        <v>2762</v>
      </c>
      <c r="I2763" s="0" t="str">
        <f aca="false">IF(OR(הגדרות!$E$6=0,H2763&gt;הגדרות!$E$5),"",IF(H2763-1&lt;הגדרות!$E$8*(הגדרות!$E$7+1),INT((H2763-1)/(הגדרות!$E$7+1)),הגדרות!$E$8+INT((H2763-1-הגדרות!$E$8*(הגדרות!$E$7+1))/הגדרות!$E$7)))</f>
        <v/>
      </c>
      <c r="J2763" s="0" t="str">
        <f aca="false">IF(I2763="","",IF(H2763-1&lt;הגדרות!$E$8*(הגדרות!$E$7+1),MOD(H2763-1,הגדרות!$E$7+1),MOD(H2763-1-הגדרות!$E$8*(הגדרות!$E$7+1),הגדרות!$E$7)))</f>
        <v/>
      </c>
      <c r="K2763" s="0" t="str">
        <f aca="false">IF(I2763="","",J2763*הגדרות!$E$6+I2763+1)</f>
        <v/>
      </c>
      <c r="L2763" s="0" t="str">
        <f aca="false">IF(K2763="","",MATCH(K2763,$F$2:$F$5001,0))</f>
        <v/>
      </c>
      <c r="M2763" s="0" t="str">
        <f aca="false">IF(I2763="","",INDEX(הגדרות!$A$2:$A$21,MOD(I2763+הגדרות!$E$9,הגדרות!$E$6)+1))</f>
        <v/>
      </c>
    </row>
    <row r="2764" customFormat="false" ht="15" hidden="false" customHeight="false" outlineLevel="0" collapsed="false">
      <c r="A2764" s="0" t="str">
        <f aca="false">IF('הדבקת לידים'!A2764="","",IF(ISNUMBER('הדבקת לידים'!A2764),IF(הגדרות!$E$2&gt;0,TEXT('הדבקת לידים'!A2764,REPT("0",הגדרות!$E$2)),TEXT('הדבקת לידים'!A2764,"0")),TRIM('הדבקת לידים'!A2764)))</f>
        <v/>
      </c>
      <c r="B2764" s="0" t="str">
        <f aca="false">IF('הדבקת לידים'!B2764="","",IF(ISNUMBER('הדבקת לידים'!B2764),IF(הגדרות!$E$3&gt;0,TEXT('הדבקת לידים'!B2764,REPT("0",הגדרות!$E$3)),TEXT('הדבקת לידים'!B2764,"0")),TRIM('הדבקת לידים'!B2764)))</f>
        <v/>
      </c>
      <c r="C2764" s="0" t="n">
        <f aca="false">IF(OR(A2764&lt;&gt;"",B2764&lt;&gt;""),1,0)</f>
        <v>0</v>
      </c>
      <c r="D2764" s="0" t="str">
        <f aca="false">IF(C2764=1,MOD(ABS(SIN(ROW()*12.9898+'הדבקת לידים'!$F$2*78.233+IFERROR(--RIGHT(A2764,6),LEN(A2764))*0.0137+IFERROR(--RIGHT(B2764,6),LEN(B2764))*0.0071))*43758.5453,1),"")</f>
        <v/>
      </c>
      <c r="E2764" s="0" t="str">
        <f aca="false">IF(C2764=1,INT(MOD(ABS(SIN(D2764*7919.123+ROW()*0.618+'הדבקת לידים'!$F$2*1.3))*43758.5453,1)*1000000)*10000+ROW(),"")</f>
        <v/>
      </c>
      <c r="F2764" s="0" t="str">
        <f aca="false">IF(E2764="","",RANK(E2764,$E$2:$E$5001,1))</f>
        <v/>
      </c>
      <c r="G2764" s="0" t="n">
        <f aca="false">IF(A2764="",0,IF(SUMPRODUCT(--($A$2:$A$5001=A2764))&gt;1,1,0))</f>
        <v>0</v>
      </c>
      <c r="H2764" s="0" t="n">
        <f aca="false">ROW()-1</f>
        <v>2763</v>
      </c>
      <c r="I2764" s="0" t="str">
        <f aca="false">IF(OR(הגדרות!$E$6=0,H2764&gt;הגדרות!$E$5),"",IF(H2764-1&lt;הגדרות!$E$8*(הגדרות!$E$7+1),INT((H2764-1)/(הגדרות!$E$7+1)),הגדרות!$E$8+INT((H2764-1-הגדרות!$E$8*(הגדרות!$E$7+1))/הגדרות!$E$7)))</f>
        <v/>
      </c>
      <c r="J2764" s="0" t="str">
        <f aca="false">IF(I2764="","",IF(H2764-1&lt;הגדרות!$E$8*(הגדרות!$E$7+1),MOD(H2764-1,הגדרות!$E$7+1),MOD(H2764-1-הגדרות!$E$8*(הגדרות!$E$7+1),הגדרות!$E$7)))</f>
        <v/>
      </c>
      <c r="K2764" s="0" t="str">
        <f aca="false">IF(I2764="","",J2764*הגדרות!$E$6+I2764+1)</f>
        <v/>
      </c>
      <c r="L2764" s="0" t="str">
        <f aca="false">IF(K2764="","",MATCH(K2764,$F$2:$F$5001,0))</f>
        <v/>
      </c>
      <c r="M2764" s="0" t="str">
        <f aca="false">IF(I2764="","",INDEX(הגדרות!$A$2:$A$21,MOD(I2764+הגדרות!$E$9,הגדרות!$E$6)+1))</f>
        <v/>
      </c>
    </row>
    <row r="2765" customFormat="false" ht="15" hidden="false" customHeight="false" outlineLevel="0" collapsed="false">
      <c r="A2765" s="0" t="str">
        <f aca="false">IF('הדבקת לידים'!A2765="","",IF(ISNUMBER('הדבקת לידים'!A2765),IF(הגדרות!$E$2&gt;0,TEXT('הדבקת לידים'!A2765,REPT("0",הגדרות!$E$2)),TEXT('הדבקת לידים'!A2765,"0")),TRIM('הדבקת לידים'!A2765)))</f>
        <v/>
      </c>
      <c r="B2765" s="0" t="str">
        <f aca="false">IF('הדבקת לידים'!B2765="","",IF(ISNUMBER('הדבקת לידים'!B2765),IF(הגדרות!$E$3&gt;0,TEXT('הדבקת לידים'!B2765,REPT("0",הגדרות!$E$3)),TEXT('הדבקת לידים'!B2765,"0")),TRIM('הדבקת לידים'!B2765)))</f>
        <v/>
      </c>
      <c r="C2765" s="0" t="n">
        <f aca="false">IF(OR(A2765&lt;&gt;"",B2765&lt;&gt;""),1,0)</f>
        <v>0</v>
      </c>
      <c r="D2765" s="0" t="str">
        <f aca="false">IF(C2765=1,MOD(ABS(SIN(ROW()*12.9898+'הדבקת לידים'!$F$2*78.233+IFERROR(--RIGHT(A2765,6),LEN(A2765))*0.0137+IFERROR(--RIGHT(B2765,6),LEN(B2765))*0.0071))*43758.5453,1),"")</f>
        <v/>
      </c>
      <c r="E2765" s="0" t="str">
        <f aca="false">IF(C2765=1,INT(MOD(ABS(SIN(D2765*7919.123+ROW()*0.618+'הדבקת לידים'!$F$2*1.3))*43758.5453,1)*1000000)*10000+ROW(),"")</f>
        <v/>
      </c>
      <c r="F2765" s="0" t="str">
        <f aca="false">IF(E2765="","",RANK(E2765,$E$2:$E$5001,1))</f>
        <v/>
      </c>
      <c r="G2765" s="0" t="n">
        <f aca="false">IF(A2765="",0,IF(SUMPRODUCT(--($A$2:$A$5001=A2765))&gt;1,1,0))</f>
        <v>0</v>
      </c>
      <c r="H2765" s="0" t="n">
        <f aca="false">ROW()-1</f>
        <v>2764</v>
      </c>
      <c r="I2765" s="0" t="str">
        <f aca="false">IF(OR(הגדרות!$E$6=0,H2765&gt;הגדרות!$E$5),"",IF(H2765-1&lt;הגדרות!$E$8*(הגדרות!$E$7+1),INT((H2765-1)/(הגדרות!$E$7+1)),הגדרות!$E$8+INT((H2765-1-הגדרות!$E$8*(הגדרות!$E$7+1))/הגדרות!$E$7)))</f>
        <v/>
      </c>
      <c r="J2765" s="0" t="str">
        <f aca="false">IF(I2765="","",IF(H2765-1&lt;הגדרות!$E$8*(הגדרות!$E$7+1),MOD(H2765-1,הגדרות!$E$7+1),MOD(H2765-1-הגדרות!$E$8*(הגדרות!$E$7+1),הגדרות!$E$7)))</f>
        <v/>
      </c>
      <c r="K2765" s="0" t="str">
        <f aca="false">IF(I2765="","",J2765*הגדרות!$E$6+I2765+1)</f>
        <v/>
      </c>
      <c r="L2765" s="0" t="str">
        <f aca="false">IF(K2765="","",MATCH(K2765,$F$2:$F$5001,0))</f>
        <v/>
      </c>
      <c r="M2765" s="0" t="str">
        <f aca="false">IF(I2765="","",INDEX(הגדרות!$A$2:$A$21,MOD(I2765+הגדרות!$E$9,הגדרות!$E$6)+1))</f>
        <v/>
      </c>
    </row>
    <row r="2766" customFormat="false" ht="15" hidden="false" customHeight="false" outlineLevel="0" collapsed="false">
      <c r="A2766" s="0" t="str">
        <f aca="false">IF('הדבקת לידים'!A2766="","",IF(ISNUMBER('הדבקת לידים'!A2766),IF(הגדרות!$E$2&gt;0,TEXT('הדבקת לידים'!A2766,REPT("0",הגדרות!$E$2)),TEXT('הדבקת לידים'!A2766,"0")),TRIM('הדבקת לידים'!A2766)))</f>
        <v/>
      </c>
      <c r="B2766" s="0" t="str">
        <f aca="false">IF('הדבקת לידים'!B2766="","",IF(ISNUMBER('הדבקת לידים'!B2766),IF(הגדרות!$E$3&gt;0,TEXT('הדבקת לידים'!B2766,REPT("0",הגדרות!$E$3)),TEXT('הדבקת לידים'!B2766,"0")),TRIM('הדבקת לידים'!B2766)))</f>
        <v/>
      </c>
      <c r="C2766" s="0" t="n">
        <f aca="false">IF(OR(A2766&lt;&gt;"",B2766&lt;&gt;""),1,0)</f>
        <v>0</v>
      </c>
      <c r="D2766" s="0" t="str">
        <f aca="false">IF(C2766=1,MOD(ABS(SIN(ROW()*12.9898+'הדבקת לידים'!$F$2*78.233+IFERROR(--RIGHT(A2766,6),LEN(A2766))*0.0137+IFERROR(--RIGHT(B2766,6),LEN(B2766))*0.0071))*43758.5453,1),"")</f>
        <v/>
      </c>
      <c r="E2766" s="0" t="str">
        <f aca="false">IF(C2766=1,INT(MOD(ABS(SIN(D2766*7919.123+ROW()*0.618+'הדבקת לידים'!$F$2*1.3))*43758.5453,1)*1000000)*10000+ROW(),"")</f>
        <v/>
      </c>
      <c r="F2766" s="0" t="str">
        <f aca="false">IF(E2766="","",RANK(E2766,$E$2:$E$5001,1))</f>
        <v/>
      </c>
      <c r="G2766" s="0" t="n">
        <f aca="false">IF(A2766="",0,IF(SUMPRODUCT(--($A$2:$A$5001=A2766))&gt;1,1,0))</f>
        <v>0</v>
      </c>
      <c r="H2766" s="0" t="n">
        <f aca="false">ROW()-1</f>
        <v>2765</v>
      </c>
      <c r="I2766" s="0" t="str">
        <f aca="false">IF(OR(הגדרות!$E$6=0,H2766&gt;הגדרות!$E$5),"",IF(H2766-1&lt;הגדרות!$E$8*(הגדרות!$E$7+1),INT((H2766-1)/(הגדרות!$E$7+1)),הגדרות!$E$8+INT((H2766-1-הגדרות!$E$8*(הגדרות!$E$7+1))/הגדרות!$E$7)))</f>
        <v/>
      </c>
      <c r="J2766" s="0" t="str">
        <f aca="false">IF(I2766="","",IF(H2766-1&lt;הגדרות!$E$8*(הגדרות!$E$7+1),MOD(H2766-1,הגדרות!$E$7+1),MOD(H2766-1-הגדרות!$E$8*(הגדרות!$E$7+1),הגדרות!$E$7)))</f>
        <v/>
      </c>
      <c r="K2766" s="0" t="str">
        <f aca="false">IF(I2766="","",J2766*הגדרות!$E$6+I2766+1)</f>
        <v/>
      </c>
      <c r="L2766" s="0" t="str">
        <f aca="false">IF(K2766="","",MATCH(K2766,$F$2:$F$5001,0))</f>
        <v/>
      </c>
      <c r="M2766" s="0" t="str">
        <f aca="false">IF(I2766="","",INDEX(הגדרות!$A$2:$A$21,MOD(I2766+הגדרות!$E$9,הגדרות!$E$6)+1))</f>
        <v/>
      </c>
    </row>
    <row r="2767" customFormat="false" ht="15" hidden="false" customHeight="false" outlineLevel="0" collapsed="false">
      <c r="A2767" s="0" t="str">
        <f aca="false">IF('הדבקת לידים'!A2767="","",IF(ISNUMBER('הדבקת לידים'!A2767),IF(הגדרות!$E$2&gt;0,TEXT('הדבקת לידים'!A2767,REPT("0",הגדרות!$E$2)),TEXT('הדבקת לידים'!A2767,"0")),TRIM('הדבקת לידים'!A2767)))</f>
        <v/>
      </c>
      <c r="B2767" s="0" t="str">
        <f aca="false">IF('הדבקת לידים'!B2767="","",IF(ISNUMBER('הדבקת לידים'!B2767),IF(הגדרות!$E$3&gt;0,TEXT('הדבקת לידים'!B2767,REPT("0",הגדרות!$E$3)),TEXT('הדבקת לידים'!B2767,"0")),TRIM('הדבקת לידים'!B2767)))</f>
        <v/>
      </c>
      <c r="C2767" s="0" t="n">
        <f aca="false">IF(OR(A2767&lt;&gt;"",B2767&lt;&gt;""),1,0)</f>
        <v>0</v>
      </c>
      <c r="D2767" s="0" t="str">
        <f aca="false">IF(C2767=1,MOD(ABS(SIN(ROW()*12.9898+'הדבקת לידים'!$F$2*78.233+IFERROR(--RIGHT(A2767,6),LEN(A2767))*0.0137+IFERROR(--RIGHT(B2767,6),LEN(B2767))*0.0071))*43758.5453,1),"")</f>
        <v/>
      </c>
      <c r="E2767" s="0" t="str">
        <f aca="false">IF(C2767=1,INT(MOD(ABS(SIN(D2767*7919.123+ROW()*0.618+'הדבקת לידים'!$F$2*1.3))*43758.5453,1)*1000000)*10000+ROW(),"")</f>
        <v/>
      </c>
      <c r="F2767" s="0" t="str">
        <f aca="false">IF(E2767="","",RANK(E2767,$E$2:$E$5001,1))</f>
        <v/>
      </c>
      <c r="G2767" s="0" t="n">
        <f aca="false">IF(A2767="",0,IF(SUMPRODUCT(--($A$2:$A$5001=A2767))&gt;1,1,0))</f>
        <v>0</v>
      </c>
      <c r="H2767" s="0" t="n">
        <f aca="false">ROW()-1</f>
        <v>2766</v>
      </c>
      <c r="I2767" s="0" t="str">
        <f aca="false">IF(OR(הגדרות!$E$6=0,H2767&gt;הגדרות!$E$5),"",IF(H2767-1&lt;הגדרות!$E$8*(הגדרות!$E$7+1),INT((H2767-1)/(הגדרות!$E$7+1)),הגדרות!$E$8+INT((H2767-1-הגדרות!$E$8*(הגדרות!$E$7+1))/הגדרות!$E$7)))</f>
        <v/>
      </c>
      <c r="J2767" s="0" t="str">
        <f aca="false">IF(I2767="","",IF(H2767-1&lt;הגדרות!$E$8*(הגדרות!$E$7+1),MOD(H2767-1,הגדרות!$E$7+1),MOD(H2767-1-הגדרות!$E$8*(הגדרות!$E$7+1),הגדרות!$E$7)))</f>
        <v/>
      </c>
      <c r="K2767" s="0" t="str">
        <f aca="false">IF(I2767="","",J2767*הגדרות!$E$6+I2767+1)</f>
        <v/>
      </c>
      <c r="L2767" s="0" t="str">
        <f aca="false">IF(K2767="","",MATCH(K2767,$F$2:$F$5001,0))</f>
        <v/>
      </c>
      <c r="M2767" s="0" t="str">
        <f aca="false">IF(I2767="","",INDEX(הגדרות!$A$2:$A$21,MOD(I2767+הגדרות!$E$9,הגדרות!$E$6)+1))</f>
        <v/>
      </c>
    </row>
    <row r="2768" customFormat="false" ht="15" hidden="false" customHeight="false" outlineLevel="0" collapsed="false">
      <c r="A2768" s="0" t="str">
        <f aca="false">IF('הדבקת לידים'!A2768="","",IF(ISNUMBER('הדבקת לידים'!A2768),IF(הגדרות!$E$2&gt;0,TEXT('הדבקת לידים'!A2768,REPT("0",הגדרות!$E$2)),TEXT('הדבקת לידים'!A2768,"0")),TRIM('הדבקת לידים'!A2768)))</f>
        <v/>
      </c>
      <c r="B2768" s="0" t="str">
        <f aca="false">IF('הדבקת לידים'!B2768="","",IF(ISNUMBER('הדבקת לידים'!B2768),IF(הגדרות!$E$3&gt;0,TEXT('הדבקת לידים'!B2768,REPT("0",הגדרות!$E$3)),TEXT('הדבקת לידים'!B2768,"0")),TRIM('הדבקת לידים'!B2768)))</f>
        <v/>
      </c>
      <c r="C2768" s="0" t="n">
        <f aca="false">IF(OR(A2768&lt;&gt;"",B2768&lt;&gt;""),1,0)</f>
        <v>0</v>
      </c>
      <c r="D2768" s="0" t="str">
        <f aca="false">IF(C2768=1,MOD(ABS(SIN(ROW()*12.9898+'הדבקת לידים'!$F$2*78.233+IFERROR(--RIGHT(A2768,6),LEN(A2768))*0.0137+IFERROR(--RIGHT(B2768,6),LEN(B2768))*0.0071))*43758.5453,1),"")</f>
        <v/>
      </c>
      <c r="E2768" s="0" t="str">
        <f aca="false">IF(C2768=1,INT(MOD(ABS(SIN(D2768*7919.123+ROW()*0.618+'הדבקת לידים'!$F$2*1.3))*43758.5453,1)*1000000)*10000+ROW(),"")</f>
        <v/>
      </c>
      <c r="F2768" s="0" t="str">
        <f aca="false">IF(E2768="","",RANK(E2768,$E$2:$E$5001,1))</f>
        <v/>
      </c>
      <c r="G2768" s="0" t="n">
        <f aca="false">IF(A2768="",0,IF(SUMPRODUCT(--($A$2:$A$5001=A2768))&gt;1,1,0))</f>
        <v>0</v>
      </c>
      <c r="H2768" s="0" t="n">
        <f aca="false">ROW()-1</f>
        <v>2767</v>
      </c>
      <c r="I2768" s="0" t="str">
        <f aca="false">IF(OR(הגדרות!$E$6=0,H2768&gt;הגדרות!$E$5),"",IF(H2768-1&lt;הגדרות!$E$8*(הגדרות!$E$7+1),INT((H2768-1)/(הגדרות!$E$7+1)),הגדרות!$E$8+INT((H2768-1-הגדרות!$E$8*(הגדרות!$E$7+1))/הגדרות!$E$7)))</f>
        <v/>
      </c>
      <c r="J2768" s="0" t="str">
        <f aca="false">IF(I2768="","",IF(H2768-1&lt;הגדרות!$E$8*(הגדרות!$E$7+1),MOD(H2768-1,הגדרות!$E$7+1),MOD(H2768-1-הגדרות!$E$8*(הגדרות!$E$7+1),הגדרות!$E$7)))</f>
        <v/>
      </c>
      <c r="K2768" s="0" t="str">
        <f aca="false">IF(I2768="","",J2768*הגדרות!$E$6+I2768+1)</f>
        <v/>
      </c>
      <c r="L2768" s="0" t="str">
        <f aca="false">IF(K2768="","",MATCH(K2768,$F$2:$F$5001,0))</f>
        <v/>
      </c>
      <c r="M2768" s="0" t="str">
        <f aca="false">IF(I2768="","",INDEX(הגדרות!$A$2:$A$21,MOD(I2768+הגדרות!$E$9,הגדרות!$E$6)+1))</f>
        <v/>
      </c>
    </row>
    <row r="2769" customFormat="false" ht="15" hidden="false" customHeight="false" outlineLevel="0" collapsed="false">
      <c r="A2769" s="0" t="str">
        <f aca="false">IF('הדבקת לידים'!A2769="","",IF(ISNUMBER('הדבקת לידים'!A2769),IF(הגדרות!$E$2&gt;0,TEXT('הדבקת לידים'!A2769,REPT("0",הגדרות!$E$2)),TEXT('הדבקת לידים'!A2769,"0")),TRIM('הדבקת לידים'!A2769)))</f>
        <v/>
      </c>
      <c r="B2769" s="0" t="str">
        <f aca="false">IF('הדבקת לידים'!B2769="","",IF(ISNUMBER('הדבקת לידים'!B2769),IF(הגדרות!$E$3&gt;0,TEXT('הדבקת לידים'!B2769,REPT("0",הגדרות!$E$3)),TEXT('הדבקת לידים'!B2769,"0")),TRIM('הדבקת לידים'!B2769)))</f>
        <v/>
      </c>
      <c r="C2769" s="0" t="n">
        <f aca="false">IF(OR(A2769&lt;&gt;"",B2769&lt;&gt;""),1,0)</f>
        <v>0</v>
      </c>
      <c r="D2769" s="0" t="str">
        <f aca="false">IF(C2769=1,MOD(ABS(SIN(ROW()*12.9898+'הדבקת לידים'!$F$2*78.233+IFERROR(--RIGHT(A2769,6),LEN(A2769))*0.0137+IFERROR(--RIGHT(B2769,6),LEN(B2769))*0.0071))*43758.5453,1),"")</f>
        <v/>
      </c>
      <c r="E2769" s="0" t="str">
        <f aca="false">IF(C2769=1,INT(MOD(ABS(SIN(D2769*7919.123+ROW()*0.618+'הדבקת לידים'!$F$2*1.3))*43758.5453,1)*1000000)*10000+ROW(),"")</f>
        <v/>
      </c>
      <c r="F2769" s="0" t="str">
        <f aca="false">IF(E2769="","",RANK(E2769,$E$2:$E$5001,1))</f>
        <v/>
      </c>
      <c r="G2769" s="0" t="n">
        <f aca="false">IF(A2769="",0,IF(SUMPRODUCT(--($A$2:$A$5001=A2769))&gt;1,1,0))</f>
        <v>0</v>
      </c>
      <c r="H2769" s="0" t="n">
        <f aca="false">ROW()-1</f>
        <v>2768</v>
      </c>
      <c r="I2769" s="0" t="str">
        <f aca="false">IF(OR(הגדרות!$E$6=0,H2769&gt;הגדרות!$E$5),"",IF(H2769-1&lt;הגדרות!$E$8*(הגדרות!$E$7+1),INT((H2769-1)/(הגדרות!$E$7+1)),הגדרות!$E$8+INT((H2769-1-הגדרות!$E$8*(הגדרות!$E$7+1))/הגדרות!$E$7)))</f>
        <v/>
      </c>
      <c r="J2769" s="0" t="str">
        <f aca="false">IF(I2769="","",IF(H2769-1&lt;הגדרות!$E$8*(הגדרות!$E$7+1),MOD(H2769-1,הגדרות!$E$7+1),MOD(H2769-1-הגדרות!$E$8*(הגדרות!$E$7+1),הגדרות!$E$7)))</f>
        <v/>
      </c>
      <c r="K2769" s="0" t="str">
        <f aca="false">IF(I2769="","",J2769*הגדרות!$E$6+I2769+1)</f>
        <v/>
      </c>
      <c r="L2769" s="0" t="str">
        <f aca="false">IF(K2769="","",MATCH(K2769,$F$2:$F$5001,0))</f>
        <v/>
      </c>
      <c r="M2769" s="0" t="str">
        <f aca="false">IF(I2769="","",INDEX(הגדרות!$A$2:$A$21,MOD(I2769+הגדרות!$E$9,הגדרות!$E$6)+1))</f>
        <v/>
      </c>
    </row>
    <row r="2770" customFormat="false" ht="15" hidden="false" customHeight="false" outlineLevel="0" collapsed="false">
      <c r="A2770" s="0" t="str">
        <f aca="false">IF('הדבקת לידים'!A2770="","",IF(ISNUMBER('הדבקת לידים'!A2770),IF(הגדרות!$E$2&gt;0,TEXT('הדבקת לידים'!A2770,REPT("0",הגדרות!$E$2)),TEXT('הדבקת לידים'!A2770,"0")),TRIM('הדבקת לידים'!A2770)))</f>
        <v/>
      </c>
      <c r="B2770" s="0" t="str">
        <f aca="false">IF('הדבקת לידים'!B2770="","",IF(ISNUMBER('הדבקת לידים'!B2770),IF(הגדרות!$E$3&gt;0,TEXT('הדבקת לידים'!B2770,REPT("0",הגדרות!$E$3)),TEXT('הדבקת לידים'!B2770,"0")),TRIM('הדבקת לידים'!B2770)))</f>
        <v/>
      </c>
      <c r="C2770" s="0" t="n">
        <f aca="false">IF(OR(A2770&lt;&gt;"",B2770&lt;&gt;""),1,0)</f>
        <v>0</v>
      </c>
      <c r="D2770" s="0" t="str">
        <f aca="false">IF(C2770=1,MOD(ABS(SIN(ROW()*12.9898+'הדבקת לידים'!$F$2*78.233+IFERROR(--RIGHT(A2770,6),LEN(A2770))*0.0137+IFERROR(--RIGHT(B2770,6),LEN(B2770))*0.0071))*43758.5453,1),"")</f>
        <v/>
      </c>
      <c r="E2770" s="0" t="str">
        <f aca="false">IF(C2770=1,INT(MOD(ABS(SIN(D2770*7919.123+ROW()*0.618+'הדבקת לידים'!$F$2*1.3))*43758.5453,1)*1000000)*10000+ROW(),"")</f>
        <v/>
      </c>
      <c r="F2770" s="0" t="str">
        <f aca="false">IF(E2770="","",RANK(E2770,$E$2:$E$5001,1))</f>
        <v/>
      </c>
      <c r="G2770" s="0" t="n">
        <f aca="false">IF(A2770="",0,IF(SUMPRODUCT(--($A$2:$A$5001=A2770))&gt;1,1,0))</f>
        <v>0</v>
      </c>
      <c r="H2770" s="0" t="n">
        <f aca="false">ROW()-1</f>
        <v>2769</v>
      </c>
      <c r="I2770" s="0" t="str">
        <f aca="false">IF(OR(הגדרות!$E$6=0,H2770&gt;הגדרות!$E$5),"",IF(H2770-1&lt;הגדרות!$E$8*(הגדרות!$E$7+1),INT((H2770-1)/(הגדרות!$E$7+1)),הגדרות!$E$8+INT((H2770-1-הגדרות!$E$8*(הגדרות!$E$7+1))/הגדרות!$E$7)))</f>
        <v/>
      </c>
      <c r="J2770" s="0" t="str">
        <f aca="false">IF(I2770="","",IF(H2770-1&lt;הגדרות!$E$8*(הגדרות!$E$7+1),MOD(H2770-1,הגדרות!$E$7+1),MOD(H2770-1-הגדרות!$E$8*(הגדרות!$E$7+1),הגדרות!$E$7)))</f>
        <v/>
      </c>
      <c r="K2770" s="0" t="str">
        <f aca="false">IF(I2770="","",J2770*הגדרות!$E$6+I2770+1)</f>
        <v/>
      </c>
      <c r="L2770" s="0" t="str">
        <f aca="false">IF(K2770="","",MATCH(K2770,$F$2:$F$5001,0))</f>
        <v/>
      </c>
      <c r="M2770" s="0" t="str">
        <f aca="false">IF(I2770="","",INDEX(הגדרות!$A$2:$A$21,MOD(I2770+הגדרות!$E$9,הגדרות!$E$6)+1))</f>
        <v/>
      </c>
    </row>
    <row r="2771" customFormat="false" ht="15" hidden="false" customHeight="false" outlineLevel="0" collapsed="false">
      <c r="A2771" s="0" t="str">
        <f aca="false">IF('הדבקת לידים'!A2771="","",IF(ISNUMBER('הדבקת לידים'!A2771),IF(הגדרות!$E$2&gt;0,TEXT('הדבקת לידים'!A2771,REPT("0",הגדרות!$E$2)),TEXT('הדבקת לידים'!A2771,"0")),TRIM('הדבקת לידים'!A2771)))</f>
        <v/>
      </c>
      <c r="B2771" s="0" t="str">
        <f aca="false">IF('הדבקת לידים'!B2771="","",IF(ISNUMBER('הדבקת לידים'!B2771),IF(הגדרות!$E$3&gt;0,TEXT('הדבקת לידים'!B2771,REPT("0",הגדרות!$E$3)),TEXT('הדבקת לידים'!B2771,"0")),TRIM('הדבקת לידים'!B2771)))</f>
        <v/>
      </c>
      <c r="C2771" s="0" t="n">
        <f aca="false">IF(OR(A2771&lt;&gt;"",B2771&lt;&gt;""),1,0)</f>
        <v>0</v>
      </c>
      <c r="D2771" s="0" t="str">
        <f aca="false">IF(C2771=1,MOD(ABS(SIN(ROW()*12.9898+'הדבקת לידים'!$F$2*78.233+IFERROR(--RIGHT(A2771,6),LEN(A2771))*0.0137+IFERROR(--RIGHT(B2771,6),LEN(B2771))*0.0071))*43758.5453,1),"")</f>
        <v/>
      </c>
      <c r="E2771" s="0" t="str">
        <f aca="false">IF(C2771=1,INT(MOD(ABS(SIN(D2771*7919.123+ROW()*0.618+'הדבקת לידים'!$F$2*1.3))*43758.5453,1)*1000000)*10000+ROW(),"")</f>
        <v/>
      </c>
      <c r="F2771" s="0" t="str">
        <f aca="false">IF(E2771="","",RANK(E2771,$E$2:$E$5001,1))</f>
        <v/>
      </c>
      <c r="G2771" s="0" t="n">
        <f aca="false">IF(A2771="",0,IF(SUMPRODUCT(--($A$2:$A$5001=A2771))&gt;1,1,0))</f>
        <v>0</v>
      </c>
      <c r="H2771" s="0" t="n">
        <f aca="false">ROW()-1</f>
        <v>2770</v>
      </c>
      <c r="I2771" s="0" t="str">
        <f aca="false">IF(OR(הגדרות!$E$6=0,H2771&gt;הגדרות!$E$5),"",IF(H2771-1&lt;הגדרות!$E$8*(הגדרות!$E$7+1),INT((H2771-1)/(הגדרות!$E$7+1)),הגדרות!$E$8+INT((H2771-1-הגדרות!$E$8*(הגדרות!$E$7+1))/הגדרות!$E$7)))</f>
        <v/>
      </c>
      <c r="J2771" s="0" t="str">
        <f aca="false">IF(I2771="","",IF(H2771-1&lt;הגדרות!$E$8*(הגדרות!$E$7+1),MOD(H2771-1,הגדרות!$E$7+1),MOD(H2771-1-הגדרות!$E$8*(הגדרות!$E$7+1),הגדרות!$E$7)))</f>
        <v/>
      </c>
      <c r="K2771" s="0" t="str">
        <f aca="false">IF(I2771="","",J2771*הגדרות!$E$6+I2771+1)</f>
        <v/>
      </c>
      <c r="L2771" s="0" t="str">
        <f aca="false">IF(K2771="","",MATCH(K2771,$F$2:$F$5001,0))</f>
        <v/>
      </c>
      <c r="M2771" s="0" t="str">
        <f aca="false">IF(I2771="","",INDEX(הגדרות!$A$2:$A$21,MOD(I2771+הגדרות!$E$9,הגדרות!$E$6)+1))</f>
        <v/>
      </c>
    </row>
    <row r="2772" customFormat="false" ht="15" hidden="false" customHeight="false" outlineLevel="0" collapsed="false">
      <c r="A2772" s="0" t="str">
        <f aca="false">IF('הדבקת לידים'!A2772="","",IF(ISNUMBER('הדבקת לידים'!A2772),IF(הגדרות!$E$2&gt;0,TEXT('הדבקת לידים'!A2772,REPT("0",הגדרות!$E$2)),TEXT('הדבקת לידים'!A2772,"0")),TRIM('הדבקת לידים'!A2772)))</f>
        <v/>
      </c>
      <c r="B2772" s="0" t="str">
        <f aca="false">IF('הדבקת לידים'!B2772="","",IF(ISNUMBER('הדבקת לידים'!B2772),IF(הגדרות!$E$3&gt;0,TEXT('הדבקת לידים'!B2772,REPT("0",הגדרות!$E$3)),TEXT('הדבקת לידים'!B2772,"0")),TRIM('הדבקת לידים'!B2772)))</f>
        <v/>
      </c>
      <c r="C2772" s="0" t="n">
        <f aca="false">IF(OR(A2772&lt;&gt;"",B2772&lt;&gt;""),1,0)</f>
        <v>0</v>
      </c>
      <c r="D2772" s="0" t="str">
        <f aca="false">IF(C2772=1,MOD(ABS(SIN(ROW()*12.9898+'הדבקת לידים'!$F$2*78.233+IFERROR(--RIGHT(A2772,6),LEN(A2772))*0.0137+IFERROR(--RIGHT(B2772,6),LEN(B2772))*0.0071))*43758.5453,1),"")</f>
        <v/>
      </c>
      <c r="E2772" s="0" t="str">
        <f aca="false">IF(C2772=1,INT(MOD(ABS(SIN(D2772*7919.123+ROW()*0.618+'הדבקת לידים'!$F$2*1.3))*43758.5453,1)*1000000)*10000+ROW(),"")</f>
        <v/>
      </c>
      <c r="F2772" s="0" t="str">
        <f aca="false">IF(E2772="","",RANK(E2772,$E$2:$E$5001,1))</f>
        <v/>
      </c>
      <c r="G2772" s="0" t="n">
        <f aca="false">IF(A2772="",0,IF(SUMPRODUCT(--($A$2:$A$5001=A2772))&gt;1,1,0))</f>
        <v>0</v>
      </c>
      <c r="H2772" s="0" t="n">
        <f aca="false">ROW()-1</f>
        <v>2771</v>
      </c>
      <c r="I2772" s="0" t="str">
        <f aca="false">IF(OR(הגדרות!$E$6=0,H2772&gt;הגדרות!$E$5),"",IF(H2772-1&lt;הגדרות!$E$8*(הגדרות!$E$7+1),INT((H2772-1)/(הגדרות!$E$7+1)),הגדרות!$E$8+INT((H2772-1-הגדרות!$E$8*(הגדרות!$E$7+1))/הגדרות!$E$7)))</f>
        <v/>
      </c>
      <c r="J2772" s="0" t="str">
        <f aca="false">IF(I2772="","",IF(H2772-1&lt;הגדרות!$E$8*(הגדרות!$E$7+1),MOD(H2772-1,הגדרות!$E$7+1),MOD(H2772-1-הגדרות!$E$8*(הגדרות!$E$7+1),הגדרות!$E$7)))</f>
        <v/>
      </c>
      <c r="K2772" s="0" t="str">
        <f aca="false">IF(I2772="","",J2772*הגדרות!$E$6+I2772+1)</f>
        <v/>
      </c>
      <c r="L2772" s="0" t="str">
        <f aca="false">IF(K2772="","",MATCH(K2772,$F$2:$F$5001,0))</f>
        <v/>
      </c>
      <c r="M2772" s="0" t="str">
        <f aca="false">IF(I2772="","",INDEX(הגדרות!$A$2:$A$21,MOD(I2772+הגדרות!$E$9,הגדרות!$E$6)+1))</f>
        <v/>
      </c>
    </row>
    <row r="2773" customFormat="false" ht="15" hidden="false" customHeight="false" outlineLevel="0" collapsed="false">
      <c r="A2773" s="0" t="str">
        <f aca="false">IF('הדבקת לידים'!A2773="","",IF(ISNUMBER('הדבקת לידים'!A2773),IF(הגדרות!$E$2&gt;0,TEXT('הדבקת לידים'!A2773,REPT("0",הגדרות!$E$2)),TEXT('הדבקת לידים'!A2773,"0")),TRIM('הדבקת לידים'!A2773)))</f>
        <v/>
      </c>
      <c r="B2773" s="0" t="str">
        <f aca="false">IF('הדבקת לידים'!B2773="","",IF(ISNUMBER('הדבקת לידים'!B2773),IF(הגדרות!$E$3&gt;0,TEXT('הדבקת לידים'!B2773,REPT("0",הגדרות!$E$3)),TEXT('הדבקת לידים'!B2773,"0")),TRIM('הדבקת לידים'!B2773)))</f>
        <v/>
      </c>
      <c r="C2773" s="0" t="n">
        <f aca="false">IF(OR(A2773&lt;&gt;"",B2773&lt;&gt;""),1,0)</f>
        <v>0</v>
      </c>
      <c r="D2773" s="0" t="str">
        <f aca="false">IF(C2773=1,MOD(ABS(SIN(ROW()*12.9898+'הדבקת לידים'!$F$2*78.233+IFERROR(--RIGHT(A2773,6),LEN(A2773))*0.0137+IFERROR(--RIGHT(B2773,6),LEN(B2773))*0.0071))*43758.5453,1),"")</f>
        <v/>
      </c>
      <c r="E2773" s="0" t="str">
        <f aca="false">IF(C2773=1,INT(MOD(ABS(SIN(D2773*7919.123+ROW()*0.618+'הדבקת לידים'!$F$2*1.3))*43758.5453,1)*1000000)*10000+ROW(),"")</f>
        <v/>
      </c>
      <c r="F2773" s="0" t="str">
        <f aca="false">IF(E2773="","",RANK(E2773,$E$2:$E$5001,1))</f>
        <v/>
      </c>
      <c r="G2773" s="0" t="n">
        <f aca="false">IF(A2773="",0,IF(SUMPRODUCT(--($A$2:$A$5001=A2773))&gt;1,1,0))</f>
        <v>0</v>
      </c>
      <c r="H2773" s="0" t="n">
        <f aca="false">ROW()-1</f>
        <v>2772</v>
      </c>
      <c r="I2773" s="0" t="str">
        <f aca="false">IF(OR(הגדרות!$E$6=0,H2773&gt;הגדרות!$E$5),"",IF(H2773-1&lt;הגדרות!$E$8*(הגדרות!$E$7+1),INT((H2773-1)/(הגדרות!$E$7+1)),הגדרות!$E$8+INT((H2773-1-הגדרות!$E$8*(הגדרות!$E$7+1))/הגדרות!$E$7)))</f>
        <v/>
      </c>
      <c r="J2773" s="0" t="str">
        <f aca="false">IF(I2773="","",IF(H2773-1&lt;הגדרות!$E$8*(הגדרות!$E$7+1),MOD(H2773-1,הגדרות!$E$7+1),MOD(H2773-1-הגדרות!$E$8*(הגדרות!$E$7+1),הגדרות!$E$7)))</f>
        <v/>
      </c>
      <c r="K2773" s="0" t="str">
        <f aca="false">IF(I2773="","",J2773*הגדרות!$E$6+I2773+1)</f>
        <v/>
      </c>
      <c r="L2773" s="0" t="str">
        <f aca="false">IF(K2773="","",MATCH(K2773,$F$2:$F$5001,0))</f>
        <v/>
      </c>
      <c r="M2773" s="0" t="str">
        <f aca="false">IF(I2773="","",INDEX(הגדרות!$A$2:$A$21,MOD(I2773+הגדרות!$E$9,הגדרות!$E$6)+1))</f>
        <v/>
      </c>
    </row>
    <row r="2774" customFormat="false" ht="15" hidden="false" customHeight="false" outlineLevel="0" collapsed="false">
      <c r="A2774" s="0" t="str">
        <f aca="false">IF('הדבקת לידים'!A2774="","",IF(ISNUMBER('הדבקת לידים'!A2774),IF(הגדרות!$E$2&gt;0,TEXT('הדבקת לידים'!A2774,REPT("0",הגדרות!$E$2)),TEXT('הדבקת לידים'!A2774,"0")),TRIM('הדבקת לידים'!A2774)))</f>
        <v/>
      </c>
      <c r="B2774" s="0" t="str">
        <f aca="false">IF('הדבקת לידים'!B2774="","",IF(ISNUMBER('הדבקת לידים'!B2774),IF(הגדרות!$E$3&gt;0,TEXT('הדבקת לידים'!B2774,REPT("0",הגדרות!$E$3)),TEXT('הדבקת לידים'!B2774,"0")),TRIM('הדבקת לידים'!B2774)))</f>
        <v/>
      </c>
      <c r="C2774" s="0" t="n">
        <f aca="false">IF(OR(A2774&lt;&gt;"",B2774&lt;&gt;""),1,0)</f>
        <v>0</v>
      </c>
      <c r="D2774" s="0" t="str">
        <f aca="false">IF(C2774=1,MOD(ABS(SIN(ROW()*12.9898+'הדבקת לידים'!$F$2*78.233+IFERROR(--RIGHT(A2774,6),LEN(A2774))*0.0137+IFERROR(--RIGHT(B2774,6),LEN(B2774))*0.0071))*43758.5453,1),"")</f>
        <v/>
      </c>
      <c r="E2774" s="0" t="str">
        <f aca="false">IF(C2774=1,INT(MOD(ABS(SIN(D2774*7919.123+ROW()*0.618+'הדבקת לידים'!$F$2*1.3))*43758.5453,1)*1000000)*10000+ROW(),"")</f>
        <v/>
      </c>
      <c r="F2774" s="0" t="str">
        <f aca="false">IF(E2774="","",RANK(E2774,$E$2:$E$5001,1))</f>
        <v/>
      </c>
      <c r="G2774" s="0" t="n">
        <f aca="false">IF(A2774="",0,IF(SUMPRODUCT(--($A$2:$A$5001=A2774))&gt;1,1,0))</f>
        <v>0</v>
      </c>
      <c r="H2774" s="0" t="n">
        <f aca="false">ROW()-1</f>
        <v>2773</v>
      </c>
      <c r="I2774" s="0" t="str">
        <f aca="false">IF(OR(הגדרות!$E$6=0,H2774&gt;הגדרות!$E$5),"",IF(H2774-1&lt;הגדרות!$E$8*(הגדרות!$E$7+1),INT((H2774-1)/(הגדרות!$E$7+1)),הגדרות!$E$8+INT((H2774-1-הגדרות!$E$8*(הגדרות!$E$7+1))/הגדרות!$E$7)))</f>
        <v/>
      </c>
      <c r="J2774" s="0" t="str">
        <f aca="false">IF(I2774="","",IF(H2774-1&lt;הגדרות!$E$8*(הגדרות!$E$7+1),MOD(H2774-1,הגדרות!$E$7+1),MOD(H2774-1-הגדרות!$E$8*(הגדרות!$E$7+1),הגדרות!$E$7)))</f>
        <v/>
      </c>
      <c r="K2774" s="0" t="str">
        <f aca="false">IF(I2774="","",J2774*הגדרות!$E$6+I2774+1)</f>
        <v/>
      </c>
      <c r="L2774" s="0" t="str">
        <f aca="false">IF(K2774="","",MATCH(K2774,$F$2:$F$5001,0))</f>
        <v/>
      </c>
      <c r="M2774" s="0" t="str">
        <f aca="false">IF(I2774="","",INDEX(הגדרות!$A$2:$A$21,MOD(I2774+הגדרות!$E$9,הגדרות!$E$6)+1))</f>
        <v/>
      </c>
    </row>
    <row r="2775" customFormat="false" ht="15" hidden="false" customHeight="false" outlineLevel="0" collapsed="false">
      <c r="A2775" s="0" t="str">
        <f aca="false">IF('הדבקת לידים'!A2775="","",IF(ISNUMBER('הדבקת לידים'!A2775),IF(הגדרות!$E$2&gt;0,TEXT('הדבקת לידים'!A2775,REPT("0",הגדרות!$E$2)),TEXT('הדבקת לידים'!A2775,"0")),TRIM('הדבקת לידים'!A2775)))</f>
        <v/>
      </c>
      <c r="B2775" s="0" t="str">
        <f aca="false">IF('הדבקת לידים'!B2775="","",IF(ISNUMBER('הדבקת לידים'!B2775),IF(הגדרות!$E$3&gt;0,TEXT('הדבקת לידים'!B2775,REPT("0",הגדרות!$E$3)),TEXT('הדבקת לידים'!B2775,"0")),TRIM('הדבקת לידים'!B2775)))</f>
        <v/>
      </c>
      <c r="C2775" s="0" t="n">
        <f aca="false">IF(OR(A2775&lt;&gt;"",B2775&lt;&gt;""),1,0)</f>
        <v>0</v>
      </c>
      <c r="D2775" s="0" t="str">
        <f aca="false">IF(C2775=1,MOD(ABS(SIN(ROW()*12.9898+'הדבקת לידים'!$F$2*78.233+IFERROR(--RIGHT(A2775,6),LEN(A2775))*0.0137+IFERROR(--RIGHT(B2775,6),LEN(B2775))*0.0071))*43758.5453,1),"")</f>
        <v/>
      </c>
      <c r="E2775" s="0" t="str">
        <f aca="false">IF(C2775=1,INT(MOD(ABS(SIN(D2775*7919.123+ROW()*0.618+'הדבקת לידים'!$F$2*1.3))*43758.5453,1)*1000000)*10000+ROW(),"")</f>
        <v/>
      </c>
      <c r="F2775" s="0" t="str">
        <f aca="false">IF(E2775="","",RANK(E2775,$E$2:$E$5001,1))</f>
        <v/>
      </c>
      <c r="G2775" s="0" t="n">
        <f aca="false">IF(A2775="",0,IF(SUMPRODUCT(--($A$2:$A$5001=A2775))&gt;1,1,0))</f>
        <v>0</v>
      </c>
      <c r="H2775" s="0" t="n">
        <f aca="false">ROW()-1</f>
        <v>2774</v>
      </c>
      <c r="I2775" s="0" t="str">
        <f aca="false">IF(OR(הגדרות!$E$6=0,H2775&gt;הגדרות!$E$5),"",IF(H2775-1&lt;הגדרות!$E$8*(הגדרות!$E$7+1),INT((H2775-1)/(הגדרות!$E$7+1)),הגדרות!$E$8+INT((H2775-1-הגדרות!$E$8*(הגדרות!$E$7+1))/הגדרות!$E$7)))</f>
        <v/>
      </c>
      <c r="J2775" s="0" t="str">
        <f aca="false">IF(I2775="","",IF(H2775-1&lt;הגדרות!$E$8*(הגדרות!$E$7+1),MOD(H2775-1,הגדרות!$E$7+1),MOD(H2775-1-הגדרות!$E$8*(הגדרות!$E$7+1),הגדרות!$E$7)))</f>
        <v/>
      </c>
      <c r="K2775" s="0" t="str">
        <f aca="false">IF(I2775="","",J2775*הגדרות!$E$6+I2775+1)</f>
        <v/>
      </c>
      <c r="L2775" s="0" t="str">
        <f aca="false">IF(K2775="","",MATCH(K2775,$F$2:$F$5001,0))</f>
        <v/>
      </c>
      <c r="M2775" s="0" t="str">
        <f aca="false">IF(I2775="","",INDEX(הגדרות!$A$2:$A$21,MOD(I2775+הגדרות!$E$9,הגדרות!$E$6)+1))</f>
        <v/>
      </c>
    </row>
    <row r="2776" customFormat="false" ht="15" hidden="false" customHeight="false" outlineLevel="0" collapsed="false">
      <c r="A2776" s="0" t="str">
        <f aca="false">IF('הדבקת לידים'!A2776="","",IF(ISNUMBER('הדבקת לידים'!A2776),IF(הגדרות!$E$2&gt;0,TEXT('הדבקת לידים'!A2776,REPT("0",הגדרות!$E$2)),TEXT('הדבקת לידים'!A2776,"0")),TRIM('הדבקת לידים'!A2776)))</f>
        <v/>
      </c>
      <c r="B2776" s="0" t="str">
        <f aca="false">IF('הדבקת לידים'!B2776="","",IF(ISNUMBER('הדבקת לידים'!B2776),IF(הגדרות!$E$3&gt;0,TEXT('הדבקת לידים'!B2776,REPT("0",הגדרות!$E$3)),TEXT('הדבקת לידים'!B2776,"0")),TRIM('הדבקת לידים'!B2776)))</f>
        <v/>
      </c>
      <c r="C2776" s="0" t="n">
        <f aca="false">IF(OR(A2776&lt;&gt;"",B2776&lt;&gt;""),1,0)</f>
        <v>0</v>
      </c>
      <c r="D2776" s="0" t="str">
        <f aca="false">IF(C2776=1,MOD(ABS(SIN(ROW()*12.9898+'הדבקת לידים'!$F$2*78.233+IFERROR(--RIGHT(A2776,6),LEN(A2776))*0.0137+IFERROR(--RIGHT(B2776,6),LEN(B2776))*0.0071))*43758.5453,1),"")</f>
        <v/>
      </c>
      <c r="E2776" s="0" t="str">
        <f aca="false">IF(C2776=1,INT(MOD(ABS(SIN(D2776*7919.123+ROW()*0.618+'הדבקת לידים'!$F$2*1.3))*43758.5453,1)*1000000)*10000+ROW(),"")</f>
        <v/>
      </c>
      <c r="F2776" s="0" t="str">
        <f aca="false">IF(E2776="","",RANK(E2776,$E$2:$E$5001,1))</f>
        <v/>
      </c>
      <c r="G2776" s="0" t="n">
        <f aca="false">IF(A2776="",0,IF(SUMPRODUCT(--($A$2:$A$5001=A2776))&gt;1,1,0))</f>
        <v>0</v>
      </c>
      <c r="H2776" s="0" t="n">
        <f aca="false">ROW()-1</f>
        <v>2775</v>
      </c>
      <c r="I2776" s="0" t="str">
        <f aca="false">IF(OR(הגדרות!$E$6=0,H2776&gt;הגדרות!$E$5),"",IF(H2776-1&lt;הגדרות!$E$8*(הגדרות!$E$7+1),INT((H2776-1)/(הגדרות!$E$7+1)),הגדרות!$E$8+INT((H2776-1-הגדרות!$E$8*(הגדרות!$E$7+1))/הגדרות!$E$7)))</f>
        <v/>
      </c>
      <c r="J2776" s="0" t="str">
        <f aca="false">IF(I2776="","",IF(H2776-1&lt;הגדרות!$E$8*(הגדרות!$E$7+1),MOD(H2776-1,הגדרות!$E$7+1),MOD(H2776-1-הגדרות!$E$8*(הגדרות!$E$7+1),הגדרות!$E$7)))</f>
        <v/>
      </c>
      <c r="K2776" s="0" t="str">
        <f aca="false">IF(I2776="","",J2776*הגדרות!$E$6+I2776+1)</f>
        <v/>
      </c>
      <c r="L2776" s="0" t="str">
        <f aca="false">IF(K2776="","",MATCH(K2776,$F$2:$F$5001,0))</f>
        <v/>
      </c>
      <c r="M2776" s="0" t="str">
        <f aca="false">IF(I2776="","",INDEX(הגדרות!$A$2:$A$21,MOD(I2776+הגדרות!$E$9,הגדרות!$E$6)+1))</f>
        <v/>
      </c>
    </row>
    <row r="2777" customFormat="false" ht="15" hidden="false" customHeight="false" outlineLevel="0" collapsed="false">
      <c r="A2777" s="0" t="str">
        <f aca="false">IF('הדבקת לידים'!A2777="","",IF(ISNUMBER('הדבקת לידים'!A2777),IF(הגדרות!$E$2&gt;0,TEXT('הדבקת לידים'!A2777,REPT("0",הגדרות!$E$2)),TEXT('הדבקת לידים'!A2777,"0")),TRIM('הדבקת לידים'!A2777)))</f>
        <v/>
      </c>
      <c r="B2777" s="0" t="str">
        <f aca="false">IF('הדבקת לידים'!B2777="","",IF(ISNUMBER('הדבקת לידים'!B2777),IF(הגדרות!$E$3&gt;0,TEXT('הדבקת לידים'!B2777,REPT("0",הגדרות!$E$3)),TEXT('הדבקת לידים'!B2777,"0")),TRIM('הדבקת לידים'!B2777)))</f>
        <v/>
      </c>
      <c r="C2777" s="0" t="n">
        <f aca="false">IF(OR(A2777&lt;&gt;"",B2777&lt;&gt;""),1,0)</f>
        <v>0</v>
      </c>
      <c r="D2777" s="0" t="str">
        <f aca="false">IF(C2777=1,MOD(ABS(SIN(ROW()*12.9898+'הדבקת לידים'!$F$2*78.233+IFERROR(--RIGHT(A2777,6),LEN(A2777))*0.0137+IFERROR(--RIGHT(B2777,6),LEN(B2777))*0.0071))*43758.5453,1),"")</f>
        <v/>
      </c>
      <c r="E2777" s="0" t="str">
        <f aca="false">IF(C2777=1,INT(MOD(ABS(SIN(D2777*7919.123+ROW()*0.618+'הדבקת לידים'!$F$2*1.3))*43758.5453,1)*1000000)*10000+ROW(),"")</f>
        <v/>
      </c>
      <c r="F2777" s="0" t="str">
        <f aca="false">IF(E2777="","",RANK(E2777,$E$2:$E$5001,1))</f>
        <v/>
      </c>
      <c r="G2777" s="0" t="n">
        <f aca="false">IF(A2777="",0,IF(SUMPRODUCT(--($A$2:$A$5001=A2777))&gt;1,1,0))</f>
        <v>0</v>
      </c>
      <c r="H2777" s="0" t="n">
        <f aca="false">ROW()-1</f>
        <v>2776</v>
      </c>
      <c r="I2777" s="0" t="str">
        <f aca="false">IF(OR(הגדרות!$E$6=0,H2777&gt;הגדרות!$E$5),"",IF(H2777-1&lt;הגדרות!$E$8*(הגדרות!$E$7+1),INT((H2777-1)/(הגדרות!$E$7+1)),הגדרות!$E$8+INT((H2777-1-הגדרות!$E$8*(הגדרות!$E$7+1))/הגדרות!$E$7)))</f>
        <v/>
      </c>
      <c r="J2777" s="0" t="str">
        <f aca="false">IF(I2777="","",IF(H2777-1&lt;הגדרות!$E$8*(הגדרות!$E$7+1),MOD(H2777-1,הגדרות!$E$7+1),MOD(H2777-1-הגדרות!$E$8*(הגדרות!$E$7+1),הגדרות!$E$7)))</f>
        <v/>
      </c>
      <c r="K2777" s="0" t="str">
        <f aca="false">IF(I2777="","",J2777*הגדרות!$E$6+I2777+1)</f>
        <v/>
      </c>
      <c r="L2777" s="0" t="str">
        <f aca="false">IF(K2777="","",MATCH(K2777,$F$2:$F$5001,0))</f>
        <v/>
      </c>
      <c r="M2777" s="0" t="str">
        <f aca="false">IF(I2777="","",INDEX(הגדרות!$A$2:$A$21,MOD(I2777+הגדרות!$E$9,הגדרות!$E$6)+1))</f>
        <v/>
      </c>
    </row>
    <row r="2778" customFormat="false" ht="15" hidden="false" customHeight="false" outlineLevel="0" collapsed="false">
      <c r="A2778" s="0" t="str">
        <f aca="false">IF('הדבקת לידים'!A2778="","",IF(ISNUMBER('הדבקת לידים'!A2778),IF(הגדרות!$E$2&gt;0,TEXT('הדבקת לידים'!A2778,REPT("0",הגדרות!$E$2)),TEXT('הדבקת לידים'!A2778,"0")),TRIM('הדבקת לידים'!A2778)))</f>
        <v/>
      </c>
      <c r="B2778" s="0" t="str">
        <f aca="false">IF('הדבקת לידים'!B2778="","",IF(ISNUMBER('הדבקת לידים'!B2778),IF(הגדרות!$E$3&gt;0,TEXT('הדבקת לידים'!B2778,REPT("0",הגדרות!$E$3)),TEXT('הדבקת לידים'!B2778,"0")),TRIM('הדבקת לידים'!B2778)))</f>
        <v/>
      </c>
      <c r="C2778" s="0" t="n">
        <f aca="false">IF(OR(A2778&lt;&gt;"",B2778&lt;&gt;""),1,0)</f>
        <v>0</v>
      </c>
      <c r="D2778" s="0" t="str">
        <f aca="false">IF(C2778=1,MOD(ABS(SIN(ROW()*12.9898+'הדבקת לידים'!$F$2*78.233+IFERROR(--RIGHT(A2778,6),LEN(A2778))*0.0137+IFERROR(--RIGHT(B2778,6),LEN(B2778))*0.0071))*43758.5453,1),"")</f>
        <v/>
      </c>
      <c r="E2778" s="0" t="str">
        <f aca="false">IF(C2778=1,INT(MOD(ABS(SIN(D2778*7919.123+ROW()*0.618+'הדבקת לידים'!$F$2*1.3))*43758.5453,1)*1000000)*10000+ROW(),"")</f>
        <v/>
      </c>
      <c r="F2778" s="0" t="str">
        <f aca="false">IF(E2778="","",RANK(E2778,$E$2:$E$5001,1))</f>
        <v/>
      </c>
      <c r="G2778" s="0" t="n">
        <f aca="false">IF(A2778="",0,IF(SUMPRODUCT(--($A$2:$A$5001=A2778))&gt;1,1,0))</f>
        <v>0</v>
      </c>
      <c r="H2778" s="0" t="n">
        <f aca="false">ROW()-1</f>
        <v>2777</v>
      </c>
      <c r="I2778" s="0" t="str">
        <f aca="false">IF(OR(הגדרות!$E$6=0,H2778&gt;הגדרות!$E$5),"",IF(H2778-1&lt;הגדרות!$E$8*(הגדרות!$E$7+1),INT((H2778-1)/(הגדרות!$E$7+1)),הגדרות!$E$8+INT((H2778-1-הגדרות!$E$8*(הגדרות!$E$7+1))/הגדרות!$E$7)))</f>
        <v/>
      </c>
      <c r="J2778" s="0" t="str">
        <f aca="false">IF(I2778="","",IF(H2778-1&lt;הגדרות!$E$8*(הגדרות!$E$7+1),MOD(H2778-1,הגדרות!$E$7+1),MOD(H2778-1-הגדרות!$E$8*(הגדרות!$E$7+1),הגדרות!$E$7)))</f>
        <v/>
      </c>
      <c r="K2778" s="0" t="str">
        <f aca="false">IF(I2778="","",J2778*הגדרות!$E$6+I2778+1)</f>
        <v/>
      </c>
      <c r="L2778" s="0" t="str">
        <f aca="false">IF(K2778="","",MATCH(K2778,$F$2:$F$5001,0))</f>
        <v/>
      </c>
      <c r="M2778" s="0" t="str">
        <f aca="false">IF(I2778="","",INDEX(הגדרות!$A$2:$A$21,MOD(I2778+הגדרות!$E$9,הגדרות!$E$6)+1))</f>
        <v/>
      </c>
    </row>
    <row r="2779" customFormat="false" ht="15" hidden="false" customHeight="false" outlineLevel="0" collapsed="false">
      <c r="A2779" s="0" t="str">
        <f aca="false">IF('הדבקת לידים'!A2779="","",IF(ISNUMBER('הדבקת לידים'!A2779),IF(הגדרות!$E$2&gt;0,TEXT('הדבקת לידים'!A2779,REPT("0",הגדרות!$E$2)),TEXT('הדבקת לידים'!A2779,"0")),TRIM('הדבקת לידים'!A2779)))</f>
        <v/>
      </c>
      <c r="B2779" s="0" t="str">
        <f aca="false">IF('הדבקת לידים'!B2779="","",IF(ISNUMBER('הדבקת לידים'!B2779),IF(הגדרות!$E$3&gt;0,TEXT('הדבקת לידים'!B2779,REPT("0",הגדרות!$E$3)),TEXT('הדבקת לידים'!B2779,"0")),TRIM('הדבקת לידים'!B2779)))</f>
        <v/>
      </c>
      <c r="C2779" s="0" t="n">
        <f aca="false">IF(OR(A2779&lt;&gt;"",B2779&lt;&gt;""),1,0)</f>
        <v>0</v>
      </c>
      <c r="D2779" s="0" t="str">
        <f aca="false">IF(C2779=1,MOD(ABS(SIN(ROW()*12.9898+'הדבקת לידים'!$F$2*78.233+IFERROR(--RIGHT(A2779,6),LEN(A2779))*0.0137+IFERROR(--RIGHT(B2779,6),LEN(B2779))*0.0071))*43758.5453,1),"")</f>
        <v/>
      </c>
      <c r="E2779" s="0" t="str">
        <f aca="false">IF(C2779=1,INT(MOD(ABS(SIN(D2779*7919.123+ROW()*0.618+'הדבקת לידים'!$F$2*1.3))*43758.5453,1)*1000000)*10000+ROW(),"")</f>
        <v/>
      </c>
      <c r="F2779" s="0" t="str">
        <f aca="false">IF(E2779="","",RANK(E2779,$E$2:$E$5001,1))</f>
        <v/>
      </c>
      <c r="G2779" s="0" t="n">
        <f aca="false">IF(A2779="",0,IF(SUMPRODUCT(--($A$2:$A$5001=A2779))&gt;1,1,0))</f>
        <v>0</v>
      </c>
      <c r="H2779" s="0" t="n">
        <f aca="false">ROW()-1</f>
        <v>2778</v>
      </c>
      <c r="I2779" s="0" t="str">
        <f aca="false">IF(OR(הגדרות!$E$6=0,H2779&gt;הגדרות!$E$5),"",IF(H2779-1&lt;הגדרות!$E$8*(הגדרות!$E$7+1),INT((H2779-1)/(הגדרות!$E$7+1)),הגדרות!$E$8+INT((H2779-1-הגדרות!$E$8*(הגדרות!$E$7+1))/הגדרות!$E$7)))</f>
        <v/>
      </c>
      <c r="J2779" s="0" t="str">
        <f aca="false">IF(I2779="","",IF(H2779-1&lt;הגדרות!$E$8*(הגדרות!$E$7+1),MOD(H2779-1,הגדרות!$E$7+1),MOD(H2779-1-הגדרות!$E$8*(הגדרות!$E$7+1),הגדרות!$E$7)))</f>
        <v/>
      </c>
      <c r="K2779" s="0" t="str">
        <f aca="false">IF(I2779="","",J2779*הגדרות!$E$6+I2779+1)</f>
        <v/>
      </c>
      <c r="L2779" s="0" t="str">
        <f aca="false">IF(K2779="","",MATCH(K2779,$F$2:$F$5001,0))</f>
        <v/>
      </c>
      <c r="M2779" s="0" t="str">
        <f aca="false">IF(I2779="","",INDEX(הגדרות!$A$2:$A$21,MOD(I2779+הגדרות!$E$9,הגדרות!$E$6)+1))</f>
        <v/>
      </c>
    </row>
    <row r="2780" customFormat="false" ht="15" hidden="false" customHeight="false" outlineLevel="0" collapsed="false">
      <c r="A2780" s="0" t="str">
        <f aca="false">IF('הדבקת לידים'!A2780="","",IF(ISNUMBER('הדבקת לידים'!A2780),IF(הגדרות!$E$2&gt;0,TEXT('הדבקת לידים'!A2780,REPT("0",הגדרות!$E$2)),TEXT('הדבקת לידים'!A2780,"0")),TRIM('הדבקת לידים'!A2780)))</f>
        <v/>
      </c>
      <c r="B2780" s="0" t="str">
        <f aca="false">IF('הדבקת לידים'!B2780="","",IF(ISNUMBER('הדבקת לידים'!B2780),IF(הגדרות!$E$3&gt;0,TEXT('הדבקת לידים'!B2780,REPT("0",הגדרות!$E$3)),TEXT('הדבקת לידים'!B2780,"0")),TRIM('הדבקת לידים'!B2780)))</f>
        <v/>
      </c>
      <c r="C2780" s="0" t="n">
        <f aca="false">IF(OR(A2780&lt;&gt;"",B2780&lt;&gt;""),1,0)</f>
        <v>0</v>
      </c>
      <c r="D2780" s="0" t="str">
        <f aca="false">IF(C2780=1,MOD(ABS(SIN(ROW()*12.9898+'הדבקת לידים'!$F$2*78.233+IFERROR(--RIGHT(A2780,6),LEN(A2780))*0.0137+IFERROR(--RIGHT(B2780,6),LEN(B2780))*0.0071))*43758.5453,1),"")</f>
        <v/>
      </c>
      <c r="E2780" s="0" t="str">
        <f aca="false">IF(C2780=1,INT(MOD(ABS(SIN(D2780*7919.123+ROW()*0.618+'הדבקת לידים'!$F$2*1.3))*43758.5453,1)*1000000)*10000+ROW(),"")</f>
        <v/>
      </c>
      <c r="F2780" s="0" t="str">
        <f aca="false">IF(E2780="","",RANK(E2780,$E$2:$E$5001,1))</f>
        <v/>
      </c>
      <c r="G2780" s="0" t="n">
        <f aca="false">IF(A2780="",0,IF(SUMPRODUCT(--($A$2:$A$5001=A2780))&gt;1,1,0))</f>
        <v>0</v>
      </c>
      <c r="H2780" s="0" t="n">
        <f aca="false">ROW()-1</f>
        <v>2779</v>
      </c>
      <c r="I2780" s="0" t="str">
        <f aca="false">IF(OR(הגדרות!$E$6=0,H2780&gt;הגדרות!$E$5),"",IF(H2780-1&lt;הגדרות!$E$8*(הגדרות!$E$7+1),INT((H2780-1)/(הגדרות!$E$7+1)),הגדרות!$E$8+INT((H2780-1-הגדרות!$E$8*(הגדרות!$E$7+1))/הגדרות!$E$7)))</f>
        <v/>
      </c>
      <c r="J2780" s="0" t="str">
        <f aca="false">IF(I2780="","",IF(H2780-1&lt;הגדרות!$E$8*(הגדרות!$E$7+1),MOD(H2780-1,הגדרות!$E$7+1),MOD(H2780-1-הגדרות!$E$8*(הגדרות!$E$7+1),הגדרות!$E$7)))</f>
        <v/>
      </c>
      <c r="K2780" s="0" t="str">
        <f aca="false">IF(I2780="","",J2780*הגדרות!$E$6+I2780+1)</f>
        <v/>
      </c>
      <c r="L2780" s="0" t="str">
        <f aca="false">IF(K2780="","",MATCH(K2780,$F$2:$F$5001,0))</f>
        <v/>
      </c>
      <c r="M2780" s="0" t="str">
        <f aca="false">IF(I2780="","",INDEX(הגדרות!$A$2:$A$21,MOD(I2780+הגדרות!$E$9,הגדרות!$E$6)+1))</f>
        <v/>
      </c>
    </row>
    <row r="2781" customFormat="false" ht="15" hidden="false" customHeight="false" outlineLevel="0" collapsed="false">
      <c r="A2781" s="0" t="str">
        <f aca="false">IF('הדבקת לידים'!A2781="","",IF(ISNUMBER('הדבקת לידים'!A2781),IF(הגדרות!$E$2&gt;0,TEXT('הדבקת לידים'!A2781,REPT("0",הגדרות!$E$2)),TEXT('הדבקת לידים'!A2781,"0")),TRIM('הדבקת לידים'!A2781)))</f>
        <v/>
      </c>
      <c r="B2781" s="0" t="str">
        <f aca="false">IF('הדבקת לידים'!B2781="","",IF(ISNUMBER('הדבקת לידים'!B2781),IF(הגדרות!$E$3&gt;0,TEXT('הדבקת לידים'!B2781,REPT("0",הגדרות!$E$3)),TEXT('הדבקת לידים'!B2781,"0")),TRIM('הדבקת לידים'!B2781)))</f>
        <v/>
      </c>
      <c r="C2781" s="0" t="n">
        <f aca="false">IF(OR(A2781&lt;&gt;"",B2781&lt;&gt;""),1,0)</f>
        <v>0</v>
      </c>
      <c r="D2781" s="0" t="str">
        <f aca="false">IF(C2781=1,MOD(ABS(SIN(ROW()*12.9898+'הדבקת לידים'!$F$2*78.233+IFERROR(--RIGHT(A2781,6),LEN(A2781))*0.0137+IFERROR(--RIGHT(B2781,6),LEN(B2781))*0.0071))*43758.5453,1),"")</f>
        <v/>
      </c>
      <c r="E2781" s="0" t="str">
        <f aca="false">IF(C2781=1,INT(MOD(ABS(SIN(D2781*7919.123+ROW()*0.618+'הדבקת לידים'!$F$2*1.3))*43758.5453,1)*1000000)*10000+ROW(),"")</f>
        <v/>
      </c>
      <c r="F2781" s="0" t="str">
        <f aca="false">IF(E2781="","",RANK(E2781,$E$2:$E$5001,1))</f>
        <v/>
      </c>
      <c r="G2781" s="0" t="n">
        <f aca="false">IF(A2781="",0,IF(SUMPRODUCT(--($A$2:$A$5001=A2781))&gt;1,1,0))</f>
        <v>0</v>
      </c>
      <c r="H2781" s="0" t="n">
        <f aca="false">ROW()-1</f>
        <v>2780</v>
      </c>
      <c r="I2781" s="0" t="str">
        <f aca="false">IF(OR(הגדרות!$E$6=0,H2781&gt;הגדרות!$E$5),"",IF(H2781-1&lt;הגדרות!$E$8*(הגדרות!$E$7+1),INT((H2781-1)/(הגדרות!$E$7+1)),הגדרות!$E$8+INT((H2781-1-הגדרות!$E$8*(הגדרות!$E$7+1))/הגדרות!$E$7)))</f>
        <v/>
      </c>
      <c r="J2781" s="0" t="str">
        <f aca="false">IF(I2781="","",IF(H2781-1&lt;הגדרות!$E$8*(הגדרות!$E$7+1),MOD(H2781-1,הגדרות!$E$7+1),MOD(H2781-1-הגדרות!$E$8*(הגדרות!$E$7+1),הגדרות!$E$7)))</f>
        <v/>
      </c>
      <c r="K2781" s="0" t="str">
        <f aca="false">IF(I2781="","",J2781*הגדרות!$E$6+I2781+1)</f>
        <v/>
      </c>
      <c r="L2781" s="0" t="str">
        <f aca="false">IF(K2781="","",MATCH(K2781,$F$2:$F$5001,0))</f>
        <v/>
      </c>
      <c r="M2781" s="0" t="str">
        <f aca="false">IF(I2781="","",INDEX(הגדרות!$A$2:$A$21,MOD(I2781+הגדרות!$E$9,הגדרות!$E$6)+1))</f>
        <v/>
      </c>
    </row>
    <row r="2782" customFormat="false" ht="15" hidden="false" customHeight="false" outlineLevel="0" collapsed="false">
      <c r="A2782" s="0" t="str">
        <f aca="false">IF('הדבקת לידים'!A2782="","",IF(ISNUMBER('הדבקת לידים'!A2782),IF(הגדרות!$E$2&gt;0,TEXT('הדבקת לידים'!A2782,REPT("0",הגדרות!$E$2)),TEXT('הדבקת לידים'!A2782,"0")),TRIM('הדבקת לידים'!A2782)))</f>
        <v/>
      </c>
      <c r="B2782" s="0" t="str">
        <f aca="false">IF('הדבקת לידים'!B2782="","",IF(ISNUMBER('הדבקת לידים'!B2782),IF(הגדרות!$E$3&gt;0,TEXT('הדבקת לידים'!B2782,REPT("0",הגדרות!$E$3)),TEXT('הדבקת לידים'!B2782,"0")),TRIM('הדבקת לידים'!B2782)))</f>
        <v/>
      </c>
      <c r="C2782" s="0" t="n">
        <f aca="false">IF(OR(A2782&lt;&gt;"",B2782&lt;&gt;""),1,0)</f>
        <v>0</v>
      </c>
      <c r="D2782" s="0" t="str">
        <f aca="false">IF(C2782=1,MOD(ABS(SIN(ROW()*12.9898+'הדבקת לידים'!$F$2*78.233+IFERROR(--RIGHT(A2782,6),LEN(A2782))*0.0137+IFERROR(--RIGHT(B2782,6),LEN(B2782))*0.0071))*43758.5453,1),"")</f>
        <v/>
      </c>
      <c r="E2782" s="0" t="str">
        <f aca="false">IF(C2782=1,INT(MOD(ABS(SIN(D2782*7919.123+ROW()*0.618+'הדבקת לידים'!$F$2*1.3))*43758.5453,1)*1000000)*10000+ROW(),"")</f>
        <v/>
      </c>
      <c r="F2782" s="0" t="str">
        <f aca="false">IF(E2782="","",RANK(E2782,$E$2:$E$5001,1))</f>
        <v/>
      </c>
      <c r="G2782" s="0" t="n">
        <f aca="false">IF(A2782="",0,IF(SUMPRODUCT(--($A$2:$A$5001=A2782))&gt;1,1,0))</f>
        <v>0</v>
      </c>
      <c r="H2782" s="0" t="n">
        <f aca="false">ROW()-1</f>
        <v>2781</v>
      </c>
      <c r="I2782" s="0" t="str">
        <f aca="false">IF(OR(הגדרות!$E$6=0,H2782&gt;הגדרות!$E$5),"",IF(H2782-1&lt;הגדרות!$E$8*(הגדרות!$E$7+1),INT((H2782-1)/(הגדרות!$E$7+1)),הגדרות!$E$8+INT((H2782-1-הגדרות!$E$8*(הגדרות!$E$7+1))/הגדרות!$E$7)))</f>
        <v/>
      </c>
      <c r="J2782" s="0" t="str">
        <f aca="false">IF(I2782="","",IF(H2782-1&lt;הגדרות!$E$8*(הגדרות!$E$7+1),MOD(H2782-1,הגדרות!$E$7+1),MOD(H2782-1-הגדרות!$E$8*(הגדרות!$E$7+1),הגדרות!$E$7)))</f>
        <v/>
      </c>
      <c r="K2782" s="0" t="str">
        <f aca="false">IF(I2782="","",J2782*הגדרות!$E$6+I2782+1)</f>
        <v/>
      </c>
      <c r="L2782" s="0" t="str">
        <f aca="false">IF(K2782="","",MATCH(K2782,$F$2:$F$5001,0))</f>
        <v/>
      </c>
      <c r="M2782" s="0" t="str">
        <f aca="false">IF(I2782="","",INDEX(הגדרות!$A$2:$A$21,MOD(I2782+הגדרות!$E$9,הגדרות!$E$6)+1))</f>
        <v/>
      </c>
    </row>
    <row r="2783" customFormat="false" ht="15" hidden="false" customHeight="false" outlineLevel="0" collapsed="false">
      <c r="A2783" s="0" t="str">
        <f aca="false">IF('הדבקת לידים'!A2783="","",IF(ISNUMBER('הדבקת לידים'!A2783),IF(הגדרות!$E$2&gt;0,TEXT('הדבקת לידים'!A2783,REPT("0",הגדרות!$E$2)),TEXT('הדבקת לידים'!A2783,"0")),TRIM('הדבקת לידים'!A2783)))</f>
        <v/>
      </c>
      <c r="B2783" s="0" t="str">
        <f aca="false">IF('הדבקת לידים'!B2783="","",IF(ISNUMBER('הדבקת לידים'!B2783),IF(הגדרות!$E$3&gt;0,TEXT('הדבקת לידים'!B2783,REPT("0",הגדרות!$E$3)),TEXT('הדבקת לידים'!B2783,"0")),TRIM('הדבקת לידים'!B2783)))</f>
        <v/>
      </c>
      <c r="C2783" s="0" t="n">
        <f aca="false">IF(OR(A2783&lt;&gt;"",B2783&lt;&gt;""),1,0)</f>
        <v>0</v>
      </c>
      <c r="D2783" s="0" t="str">
        <f aca="false">IF(C2783=1,MOD(ABS(SIN(ROW()*12.9898+'הדבקת לידים'!$F$2*78.233+IFERROR(--RIGHT(A2783,6),LEN(A2783))*0.0137+IFERROR(--RIGHT(B2783,6),LEN(B2783))*0.0071))*43758.5453,1),"")</f>
        <v/>
      </c>
      <c r="E2783" s="0" t="str">
        <f aca="false">IF(C2783=1,INT(MOD(ABS(SIN(D2783*7919.123+ROW()*0.618+'הדבקת לידים'!$F$2*1.3))*43758.5453,1)*1000000)*10000+ROW(),"")</f>
        <v/>
      </c>
      <c r="F2783" s="0" t="str">
        <f aca="false">IF(E2783="","",RANK(E2783,$E$2:$E$5001,1))</f>
        <v/>
      </c>
      <c r="G2783" s="0" t="n">
        <f aca="false">IF(A2783="",0,IF(SUMPRODUCT(--($A$2:$A$5001=A2783))&gt;1,1,0))</f>
        <v>0</v>
      </c>
      <c r="H2783" s="0" t="n">
        <f aca="false">ROW()-1</f>
        <v>2782</v>
      </c>
      <c r="I2783" s="0" t="str">
        <f aca="false">IF(OR(הגדרות!$E$6=0,H2783&gt;הגדרות!$E$5),"",IF(H2783-1&lt;הגדרות!$E$8*(הגדרות!$E$7+1),INT((H2783-1)/(הגדרות!$E$7+1)),הגדרות!$E$8+INT((H2783-1-הגדרות!$E$8*(הגדרות!$E$7+1))/הגדרות!$E$7)))</f>
        <v/>
      </c>
      <c r="J2783" s="0" t="str">
        <f aca="false">IF(I2783="","",IF(H2783-1&lt;הגדרות!$E$8*(הגדרות!$E$7+1),MOD(H2783-1,הגדרות!$E$7+1),MOD(H2783-1-הגדרות!$E$8*(הגדרות!$E$7+1),הגדרות!$E$7)))</f>
        <v/>
      </c>
      <c r="K2783" s="0" t="str">
        <f aca="false">IF(I2783="","",J2783*הגדרות!$E$6+I2783+1)</f>
        <v/>
      </c>
      <c r="L2783" s="0" t="str">
        <f aca="false">IF(K2783="","",MATCH(K2783,$F$2:$F$5001,0))</f>
        <v/>
      </c>
      <c r="M2783" s="0" t="str">
        <f aca="false">IF(I2783="","",INDEX(הגדרות!$A$2:$A$21,MOD(I2783+הגדרות!$E$9,הגדרות!$E$6)+1))</f>
        <v/>
      </c>
    </row>
    <row r="2784" customFormat="false" ht="15" hidden="false" customHeight="false" outlineLevel="0" collapsed="false">
      <c r="A2784" s="0" t="str">
        <f aca="false">IF('הדבקת לידים'!A2784="","",IF(ISNUMBER('הדבקת לידים'!A2784),IF(הגדרות!$E$2&gt;0,TEXT('הדבקת לידים'!A2784,REPT("0",הגדרות!$E$2)),TEXT('הדבקת לידים'!A2784,"0")),TRIM('הדבקת לידים'!A2784)))</f>
        <v/>
      </c>
      <c r="B2784" s="0" t="str">
        <f aca="false">IF('הדבקת לידים'!B2784="","",IF(ISNUMBER('הדבקת לידים'!B2784),IF(הגדרות!$E$3&gt;0,TEXT('הדבקת לידים'!B2784,REPT("0",הגדרות!$E$3)),TEXT('הדבקת לידים'!B2784,"0")),TRIM('הדבקת לידים'!B2784)))</f>
        <v/>
      </c>
      <c r="C2784" s="0" t="n">
        <f aca="false">IF(OR(A2784&lt;&gt;"",B2784&lt;&gt;""),1,0)</f>
        <v>0</v>
      </c>
      <c r="D2784" s="0" t="str">
        <f aca="false">IF(C2784=1,MOD(ABS(SIN(ROW()*12.9898+'הדבקת לידים'!$F$2*78.233+IFERROR(--RIGHT(A2784,6),LEN(A2784))*0.0137+IFERROR(--RIGHT(B2784,6),LEN(B2784))*0.0071))*43758.5453,1),"")</f>
        <v/>
      </c>
      <c r="E2784" s="0" t="str">
        <f aca="false">IF(C2784=1,INT(MOD(ABS(SIN(D2784*7919.123+ROW()*0.618+'הדבקת לידים'!$F$2*1.3))*43758.5453,1)*1000000)*10000+ROW(),"")</f>
        <v/>
      </c>
      <c r="F2784" s="0" t="str">
        <f aca="false">IF(E2784="","",RANK(E2784,$E$2:$E$5001,1))</f>
        <v/>
      </c>
      <c r="G2784" s="0" t="n">
        <f aca="false">IF(A2784="",0,IF(SUMPRODUCT(--($A$2:$A$5001=A2784))&gt;1,1,0))</f>
        <v>0</v>
      </c>
      <c r="H2784" s="0" t="n">
        <f aca="false">ROW()-1</f>
        <v>2783</v>
      </c>
      <c r="I2784" s="0" t="str">
        <f aca="false">IF(OR(הגדרות!$E$6=0,H2784&gt;הגדרות!$E$5),"",IF(H2784-1&lt;הגדרות!$E$8*(הגדרות!$E$7+1),INT((H2784-1)/(הגדרות!$E$7+1)),הגדרות!$E$8+INT((H2784-1-הגדרות!$E$8*(הגדרות!$E$7+1))/הגדרות!$E$7)))</f>
        <v/>
      </c>
      <c r="J2784" s="0" t="str">
        <f aca="false">IF(I2784="","",IF(H2784-1&lt;הגדרות!$E$8*(הגדרות!$E$7+1),MOD(H2784-1,הגדרות!$E$7+1),MOD(H2784-1-הגדרות!$E$8*(הגדרות!$E$7+1),הגדרות!$E$7)))</f>
        <v/>
      </c>
      <c r="K2784" s="0" t="str">
        <f aca="false">IF(I2784="","",J2784*הגדרות!$E$6+I2784+1)</f>
        <v/>
      </c>
      <c r="L2784" s="0" t="str">
        <f aca="false">IF(K2784="","",MATCH(K2784,$F$2:$F$5001,0))</f>
        <v/>
      </c>
      <c r="M2784" s="0" t="str">
        <f aca="false">IF(I2784="","",INDEX(הגדרות!$A$2:$A$21,MOD(I2784+הגדרות!$E$9,הגדרות!$E$6)+1))</f>
        <v/>
      </c>
    </row>
    <row r="2785" customFormat="false" ht="15" hidden="false" customHeight="false" outlineLevel="0" collapsed="false">
      <c r="A2785" s="0" t="str">
        <f aca="false">IF('הדבקת לידים'!A2785="","",IF(ISNUMBER('הדבקת לידים'!A2785),IF(הגדרות!$E$2&gt;0,TEXT('הדבקת לידים'!A2785,REPT("0",הגדרות!$E$2)),TEXT('הדבקת לידים'!A2785,"0")),TRIM('הדבקת לידים'!A2785)))</f>
        <v/>
      </c>
      <c r="B2785" s="0" t="str">
        <f aca="false">IF('הדבקת לידים'!B2785="","",IF(ISNUMBER('הדבקת לידים'!B2785),IF(הגדרות!$E$3&gt;0,TEXT('הדבקת לידים'!B2785,REPT("0",הגדרות!$E$3)),TEXT('הדבקת לידים'!B2785,"0")),TRIM('הדבקת לידים'!B2785)))</f>
        <v/>
      </c>
      <c r="C2785" s="0" t="n">
        <f aca="false">IF(OR(A2785&lt;&gt;"",B2785&lt;&gt;""),1,0)</f>
        <v>0</v>
      </c>
      <c r="D2785" s="0" t="str">
        <f aca="false">IF(C2785=1,MOD(ABS(SIN(ROW()*12.9898+'הדבקת לידים'!$F$2*78.233+IFERROR(--RIGHT(A2785,6),LEN(A2785))*0.0137+IFERROR(--RIGHT(B2785,6),LEN(B2785))*0.0071))*43758.5453,1),"")</f>
        <v/>
      </c>
      <c r="E2785" s="0" t="str">
        <f aca="false">IF(C2785=1,INT(MOD(ABS(SIN(D2785*7919.123+ROW()*0.618+'הדבקת לידים'!$F$2*1.3))*43758.5453,1)*1000000)*10000+ROW(),"")</f>
        <v/>
      </c>
      <c r="F2785" s="0" t="str">
        <f aca="false">IF(E2785="","",RANK(E2785,$E$2:$E$5001,1))</f>
        <v/>
      </c>
      <c r="G2785" s="0" t="n">
        <f aca="false">IF(A2785="",0,IF(SUMPRODUCT(--($A$2:$A$5001=A2785))&gt;1,1,0))</f>
        <v>0</v>
      </c>
      <c r="H2785" s="0" t="n">
        <f aca="false">ROW()-1</f>
        <v>2784</v>
      </c>
      <c r="I2785" s="0" t="str">
        <f aca="false">IF(OR(הגדרות!$E$6=0,H2785&gt;הגדרות!$E$5),"",IF(H2785-1&lt;הגדרות!$E$8*(הגדרות!$E$7+1),INT((H2785-1)/(הגדרות!$E$7+1)),הגדרות!$E$8+INT((H2785-1-הגדרות!$E$8*(הגדרות!$E$7+1))/הגדרות!$E$7)))</f>
        <v/>
      </c>
      <c r="J2785" s="0" t="str">
        <f aca="false">IF(I2785="","",IF(H2785-1&lt;הגדרות!$E$8*(הגדרות!$E$7+1),MOD(H2785-1,הגדרות!$E$7+1),MOD(H2785-1-הגדרות!$E$8*(הגדרות!$E$7+1),הגדרות!$E$7)))</f>
        <v/>
      </c>
      <c r="K2785" s="0" t="str">
        <f aca="false">IF(I2785="","",J2785*הגדרות!$E$6+I2785+1)</f>
        <v/>
      </c>
      <c r="L2785" s="0" t="str">
        <f aca="false">IF(K2785="","",MATCH(K2785,$F$2:$F$5001,0))</f>
        <v/>
      </c>
      <c r="M2785" s="0" t="str">
        <f aca="false">IF(I2785="","",INDEX(הגדרות!$A$2:$A$21,MOD(I2785+הגדרות!$E$9,הגדרות!$E$6)+1))</f>
        <v/>
      </c>
    </row>
    <row r="2786" customFormat="false" ht="15" hidden="false" customHeight="false" outlineLevel="0" collapsed="false">
      <c r="A2786" s="0" t="str">
        <f aca="false">IF('הדבקת לידים'!A2786="","",IF(ISNUMBER('הדבקת לידים'!A2786),IF(הגדרות!$E$2&gt;0,TEXT('הדבקת לידים'!A2786,REPT("0",הגדרות!$E$2)),TEXT('הדבקת לידים'!A2786,"0")),TRIM('הדבקת לידים'!A2786)))</f>
        <v/>
      </c>
      <c r="B2786" s="0" t="str">
        <f aca="false">IF('הדבקת לידים'!B2786="","",IF(ISNUMBER('הדבקת לידים'!B2786),IF(הגדרות!$E$3&gt;0,TEXT('הדבקת לידים'!B2786,REPT("0",הגדרות!$E$3)),TEXT('הדבקת לידים'!B2786,"0")),TRIM('הדבקת לידים'!B2786)))</f>
        <v/>
      </c>
      <c r="C2786" s="0" t="n">
        <f aca="false">IF(OR(A2786&lt;&gt;"",B2786&lt;&gt;""),1,0)</f>
        <v>0</v>
      </c>
      <c r="D2786" s="0" t="str">
        <f aca="false">IF(C2786=1,MOD(ABS(SIN(ROW()*12.9898+'הדבקת לידים'!$F$2*78.233+IFERROR(--RIGHT(A2786,6),LEN(A2786))*0.0137+IFERROR(--RIGHT(B2786,6),LEN(B2786))*0.0071))*43758.5453,1),"")</f>
        <v/>
      </c>
      <c r="E2786" s="0" t="str">
        <f aca="false">IF(C2786=1,INT(MOD(ABS(SIN(D2786*7919.123+ROW()*0.618+'הדבקת לידים'!$F$2*1.3))*43758.5453,1)*1000000)*10000+ROW(),"")</f>
        <v/>
      </c>
      <c r="F2786" s="0" t="str">
        <f aca="false">IF(E2786="","",RANK(E2786,$E$2:$E$5001,1))</f>
        <v/>
      </c>
      <c r="G2786" s="0" t="n">
        <f aca="false">IF(A2786="",0,IF(SUMPRODUCT(--($A$2:$A$5001=A2786))&gt;1,1,0))</f>
        <v>0</v>
      </c>
      <c r="H2786" s="0" t="n">
        <f aca="false">ROW()-1</f>
        <v>2785</v>
      </c>
      <c r="I2786" s="0" t="str">
        <f aca="false">IF(OR(הגדרות!$E$6=0,H2786&gt;הגדרות!$E$5),"",IF(H2786-1&lt;הגדרות!$E$8*(הגדרות!$E$7+1),INT((H2786-1)/(הגדרות!$E$7+1)),הגדרות!$E$8+INT((H2786-1-הגדרות!$E$8*(הגדרות!$E$7+1))/הגדרות!$E$7)))</f>
        <v/>
      </c>
      <c r="J2786" s="0" t="str">
        <f aca="false">IF(I2786="","",IF(H2786-1&lt;הגדרות!$E$8*(הגדרות!$E$7+1),MOD(H2786-1,הגדרות!$E$7+1),MOD(H2786-1-הגדרות!$E$8*(הגדרות!$E$7+1),הגדרות!$E$7)))</f>
        <v/>
      </c>
      <c r="K2786" s="0" t="str">
        <f aca="false">IF(I2786="","",J2786*הגדרות!$E$6+I2786+1)</f>
        <v/>
      </c>
      <c r="L2786" s="0" t="str">
        <f aca="false">IF(K2786="","",MATCH(K2786,$F$2:$F$5001,0))</f>
        <v/>
      </c>
      <c r="M2786" s="0" t="str">
        <f aca="false">IF(I2786="","",INDEX(הגדרות!$A$2:$A$21,MOD(I2786+הגדרות!$E$9,הגדרות!$E$6)+1))</f>
        <v/>
      </c>
    </row>
    <row r="2787" customFormat="false" ht="15" hidden="false" customHeight="false" outlineLevel="0" collapsed="false">
      <c r="A2787" s="0" t="str">
        <f aca="false">IF('הדבקת לידים'!A2787="","",IF(ISNUMBER('הדבקת לידים'!A2787),IF(הגדרות!$E$2&gt;0,TEXT('הדבקת לידים'!A2787,REPT("0",הגדרות!$E$2)),TEXT('הדבקת לידים'!A2787,"0")),TRIM('הדבקת לידים'!A2787)))</f>
        <v/>
      </c>
      <c r="B2787" s="0" t="str">
        <f aca="false">IF('הדבקת לידים'!B2787="","",IF(ISNUMBER('הדבקת לידים'!B2787),IF(הגדרות!$E$3&gt;0,TEXT('הדבקת לידים'!B2787,REPT("0",הגדרות!$E$3)),TEXT('הדבקת לידים'!B2787,"0")),TRIM('הדבקת לידים'!B2787)))</f>
        <v/>
      </c>
      <c r="C2787" s="0" t="n">
        <f aca="false">IF(OR(A2787&lt;&gt;"",B2787&lt;&gt;""),1,0)</f>
        <v>0</v>
      </c>
      <c r="D2787" s="0" t="str">
        <f aca="false">IF(C2787=1,MOD(ABS(SIN(ROW()*12.9898+'הדבקת לידים'!$F$2*78.233+IFERROR(--RIGHT(A2787,6),LEN(A2787))*0.0137+IFERROR(--RIGHT(B2787,6),LEN(B2787))*0.0071))*43758.5453,1),"")</f>
        <v/>
      </c>
      <c r="E2787" s="0" t="str">
        <f aca="false">IF(C2787=1,INT(MOD(ABS(SIN(D2787*7919.123+ROW()*0.618+'הדבקת לידים'!$F$2*1.3))*43758.5453,1)*1000000)*10000+ROW(),"")</f>
        <v/>
      </c>
      <c r="F2787" s="0" t="str">
        <f aca="false">IF(E2787="","",RANK(E2787,$E$2:$E$5001,1))</f>
        <v/>
      </c>
      <c r="G2787" s="0" t="n">
        <f aca="false">IF(A2787="",0,IF(SUMPRODUCT(--($A$2:$A$5001=A2787))&gt;1,1,0))</f>
        <v>0</v>
      </c>
      <c r="H2787" s="0" t="n">
        <f aca="false">ROW()-1</f>
        <v>2786</v>
      </c>
      <c r="I2787" s="0" t="str">
        <f aca="false">IF(OR(הגדרות!$E$6=0,H2787&gt;הגדרות!$E$5),"",IF(H2787-1&lt;הגדרות!$E$8*(הגדרות!$E$7+1),INT((H2787-1)/(הגדרות!$E$7+1)),הגדרות!$E$8+INT((H2787-1-הגדרות!$E$8*(הגדרות!$E$7+1))/הגדרות!$E$7)))</f>
        <v/>
      </c>
      <c r="J2787" s="0" t="str">
        <f aca="false">IF(I2787="","",IF(H2787-1&lt;הגדרות!$E$8*(הגדרות!$E$7+1),MOD(H2787-1,הגדרות!$E$7+1),MOD(H2787-1-הגדרות!$E$8*(הגדרות!$E$7+1),הגדרות!$E$7)))</f>
        <v/>
      </c>
      <c r="K2787" s="0" t="str">
        <f aca="false">IF(I2787="","",J2787*הגדרות!$E$6+I2787+1)</f>
        <v/>
      </c>
      <c r="L2787" s="0" t="str">
        <f aca="false">IF(K2787="","",MATCH(K2787,$F$2:$F$5001,0))</f>
        <v/>
      </c>
      <c r="M2787" s="0" t="str">
        <f aca="false">IF(I2787="","",INDEX(הגדרות!$A$2:$A$21,MOD(I2787+הגדרות!$E$9,הגדרות!$E$6)+1))</f>
        <v/>
      </c>
    </row>
    <row r="2788" customFormat="false" ht="15" hidden="false" customHeight="false" outlineLevel="0" collapsed="false">
      <c r="A2788" s="0" t="str">
        <f aca="false">IF('הדבקת לידים'!A2788="","",IF(ISNUMBER('הדבקת לידים'!A2788),IF(הגדרות!$E$2&gt;0,TEXT('הדבקת לידים'!A2788,REPT("0",הגדרות!$E$2)),TEXT('הדבקת לידים'!A2788,"0")),TRIM('הדבקת לידים'!A2788)))</f>
        <v/>
      </c>
      <c r="B2788" s="0" t="str">
        <f aca="false">IF('הדבקת לידים'!B2788="","",IF(ISNUMBER('הדבקת לידים'!B2788),IF(הגדרות!$E$3&gt;0,TEXT('הדבקת לידים'!B2788,REPT("0",הגדרות!$E$3)),TEXT('הדבקת לידים'!B2788,"0")),TRIM('הדבקת לידים'!B2788)))</f>
        <v/>
      </c>
      <c r="C2788" s="0" t="n">
        <f aca="false">IF(OR(A2788&lt;&gt;"",B2788&lt;&gt;""),1,0)</f>
        <v>0</v>
      </c>
      <c r="D2788" s="0" t="str">
        <f aca="false">IF(C2788=1,MOD(ABS(SIN(ROW()*12.9898+'הדבקת לידים'!$F$2*78.233+IFERROR(--RIGHT(A2788,6),LEN(A2788))*0.0137+IFERROR(--RIGHT(B2788,6),LEN(B2788))*0.0071))*43758.5453,1),"")</f>
        <v/>
      </c>
      <c r="E2788" s="0" t="str">
        <f aca="false">IF(C2788=1,INT(MOD(ABS(SIN(D2788*7919.123+ROW()*0.618+'הדבקת לידים'!$F$2*1.3))*43758.5453,1)*1000000)*10000+ROW(),"")</f>
        <v/>
      </c>
      <c r="F2788" s="0" t="str">
        <f aca="false">IF(E2788="","",RANK(E2788,$E$2:$E$5001,1))</f>
        <v/>
      </c>
      <c r="G2788" s="0" t="n">
        <f aca="false">IF(A2788="",0,IF(SUMPRODUCT(--($A$2:$A$5001=A2788))&gt;1,1,0))</f>
        <v>0</v>
      </c>
      <c r="H2788" s="0" t="n">
        <f aca="false">ROW()-1</f>
        <v>2787</v>
      </c>
      <c r="I2788" s="0" t="str">
        <f aca="false">IF(OR(הגדרות!$E$6=0,H2788&gt;הגדרות!$E$5),"",IF(H2788-1&lt;הגדרות!$E$8*(הגדרות!$E$7+1),INT((H2788-1)/(הגדרות!$E$7+1)),הגדרות!$E$8+INT((H2788-1-הגדרות!$E$8*(הגדרות!$E$7+1))/הגדרות!$E$7)))</f>
        <v/>
      </c>
      <c r="J2788" s="0" t="str">
        <f aca="false">IF(I2788="","",IF(H2788-1&lt;הגדרות!$E$8*(הגדרות!$E$7+1),MOD(H2788-1,הגדרות!$E$7+1),MOD(H2788-1-הגדרות!$E$8*(הגדרות!$E$7+1),הגדרות!$E$7)))</f>
        <v/>
      </c>
      <c r="K2788" s="0" t="str">
        <f aca="false">IF(I2788="","",J2788*הגדרות!$E$6+I2788+1)</f>
        <v/>
      </c>
      <c r="L2788" s="0" t="str">
        <f aca="false">IF(K2788="","",MATCH(K2788,$F$2:$F$5001,0))</f>
        <v/>
      </c>
      <c r="M2788" s="0" t="str">
        <f aca="false">IF(I2788="","",INDEX(הגדרות!$A$2:$A$21,MOD(I2788+הגדרות!$E$9,הגדרות!$E$6)+1))</f>
        <v/>
      </c>
    </row>
    <row r="2789" customFormat="false" ht="15" hidden="false" customHeight="false" outlineLevel="0" collapsed="false">
      <c r="A2789" s="0" t="str">
        <f aca="false">IF('הדבקת לידים'!A2789="","",IF(ISNUMBER('הדבקת לידים'!A2789),IF(הגדרות!$E$2&gt;0,TEXT('הדבקת לידים'!A2789,REPT("0",הגדרות!$E$2)),TEXT('הדבקת לידים'!A2789,"0")),TRIM('הדבקת לידים'!A2789)))</f>
        <v/>
      </c>
      <c r="B2789" s="0" t="str">
        <f aca="false">IF('הדבקת לידים'!B2789="","",IF(ISNUMBER('הדבקת לידים'!B2789),IF(הגדרות!$E$3&gt;0,TEXT('הדבקת לידים'!B2789,REPT("0",הגדרות!$E$3)),TEXT('הדבקת לידים'!B2789,"0")),TRIM('הדבקת לידים'!B2789)))</f>
        <v/>
      </c>
      <c r="C2789" s="0" t="n">
        <f aca="false">IF(OR(A2789&lt;&gt;"",B2789&lt;&gt;""),1,0)</f>
        <v>0</v>
      </c>
      <c r="D2789" s="0" t="str">
        <f aca="false">IF(C2789=1,MOD(ABS(SIN(ROW()*12.9898+'הדבקת לידים'!$F$2*78.233+IFERROR(--RIGHT(A2789,6),LEN(A2789))*0.0137+IFERROR(--RIGHT(B2789,6),LEN(B2789))*0.0071))*43758.5453,1),"")</f>
        <v/>
      </c>
      <c r="E2789" s="0" t="str">
        <f aca="false">IF(C2789=1,INT(MOD(ABS(SIN(D2789*7919.123+ROW()*0.618+'הדבקת לידים'!$F$2*1.3))*43758.5453,1)*1000000)*10000+ROW(),"")</f>
        <v/>
      </c>
      <c r="F2789" s="0" t="str">
        <f aca="false">IF(E2789="","",RANK(E2789,$E$2:$E$5001,1))</f>
        <v/>
      </c>
      <c r="G2789" s="0" t="n">
        <f aca="false">IF(A2789="",0,IF(SUMPRODUCT(--($A$2:$A$5001=A2789))&gt;1,1,0))</f>
        <v>0</v>
      </c>
      <c r="H2789" s="0" t="n">
        <f aca="false">ROW()-1</f>
        <v>2788</v>
      </c>
      <c r="I2789" s="0" t="str">
        <f aca="false">IF(OR(הגדרות!$E$6=0,H2789&gt;הגדרות!$E$5),"",IF(H2789-1&lt;הגדרות!$E$8*(הגדרות!$E$7+1),INT((H2789-1)/(הגדרות!$E$7+1)),הגדרות!$E$8+INT((H2789-1-הגדרות!$E$8*(הגדרות!$E$7+1))/הגדרות!$E$7)))</f>
        <v/>
      </c>
      <c r="J2789" s="0" t="str">
        <f aca="false">IF(I2789="","",IF(H2789-1&lt;הגדרות!$E$8*(הגדרות!$E$7+1),MOD(H2789-1,הגדרות!$E$7+1),MOD(H2789-1-הגדרות!$E$8*(הגדרות!$E$7+1),הגדרות!$E$7)))</f>
        <v/>
      </c>
      <c r="K2789" s="0" t="str">
        <f aca="false">IF(I2789="","",J2789*הגדרות!$E$6+I2789+1)</f>
        <v/>
      </c>
      <c r="L2789" s="0" t="str">
        <f aca="false">IF(K2789="","",MATCH(K2789,$F$2:$F$5001,0))</f>
        <v/>
      </c>
      <c r="M2789" s="0" t="str">
        <f aca="false">IF(I2789="","",INDEX(הגדרות!$A$2:$A$21,MOD(I2789+הגדרות!$E$9,הגדרות!$E$6)+1))</f>
        <v/>
      </c>
    </row>
    <row r="2790" customFormat="false" ht="15" hidden="false" customHeight="false" outlineLevel="0" collapsed="false">
      <c r="A2790" s="0" t="str">
        <f aca="false">IF('הדבקת לידים'!A2790="","",IF(ISNUMBER('הדבקת לידים'!A2790),IF(הגדרות!$E$2&gt;0,TEXT('הדבקת לידים'!A2790,REPT("0",הגדרות!$E$2)),TEXT('הדבקת לידים'!A2790,"0")),TRIM('הדבקת לידים'!A2790)))</f>
        <v/>
      </c>
      <c r="B2790" s="0" t="str">
        <f aca="false">IF('הדבקת לידים'!B2790="","",IF(ISNUMBER('הדבקת לידים'!B2790),IF(הגדרות!$E$3&gt;0,TEXT('הדבקת לידים'!B2790,REPT("0",הגדרות!$E$3)),TEXT('הדבקת לידים'!B2790,"0")),TRIM('הדבקת לידים'!B2790)))</f>
        <v/>
      </c>
      <c r="C2790" s="0" t="n">
        <f aca="false">IF(OR(A2790&lt;&gt;"",B2790&lt;&gt;""),1,0)</f>
        <v>0</v>
      </c>
      <c r="D2790" s="0" t="str">
        <f aca="false">IF(C2790=1,MOD(ABS(SIN(ROW()*12.9898+'הדבקת לידים'!$F$2*78.233+IFERROR(--RIGHT(A2790,6),LEN(A2790))*0.0137+IFERROR(--RIGHT(B2790,6),LEN(B2790))*0.0071))*43758.5453,1),"")</f>
        <v/>
      </c>
      <c r="E2790" s="0" t="str">
        <f aca="false">IF(C2790=1,INT(MOD(ABS(SIN(D2790*7919.123+ROW()*0.618+'הדבקת לידים'!$F$2*1.3))*43758.5453,1)*1000000)*10000+ROW(),"")</f>
        <v/>
      </c>
      <c r="F2790" s="0" t="str">
        <f aca="false">IF(E2790="","",RANK(E2790,$E$2:$E$5001,1))</f>
        <v/>
      </c>
      <c r="G2790" s="0" t="n">
        <f aca="false">IF(A2790="",0,IF(SUMPRODUCT(--($A$2:$A$5001=A2790))&gt;1,1,0))</f>
        <v>0</v>
      </c>
      <c r="H2790" s="0" t="n">
        <f aca="false">ROW()-1</f>
        <v>2789</v>
      </c>
      <c r="I2790" s="0" t="str">
        <f aca="false">IF(OR(הגדרות!$E$6=0,H2790&gt;הגדרות!$E$5),"",IF(H2790-1&lt;הגדרות!$E$8*(הגדרות!$E$7+1),INT((H2790-1)/(הגדרות!$E$7+1)),הגדרות!$E$8+INT((H2790-1-הגדרות!$E$8*(הגדרות!$E$7+1))/הגדרות!$E$7)))</f>
        <v/>
      </c>
      <c r="J2790" s="0" t="str">
        <f aca="false">IF(I2790="","",IF(H2790-1&lt;הגדרות!$E$8*(הגדרות!$E$7+1),MOD(H2790-1,הגדרות!$E$7+1),MOD(H2790-1-הגדרות!$E$8*(הגדרות!$E$7+1),הגדרות!$E$7)))</f>
        <v/>
      </c>
      <c r="K2790" s="0" t="str">
        <f aca="false">IF(I2790="","",J2790*הגדרות!$E$6+I2790+1)</f>
        <v/>
      </c>
      <c r="L2790" s="0" t="str">
        <f aca="false">IF(K2790="","",MATCH(K2790,$F$2:$F$5001,0))</f>
        <v/>
      </c>
      <c r="M2790" s="0" t="str">
        <f aca="false">IF(I2790="","",INDEX(הגדרות!$A$2:$A$21,MOD(I2790+הגדרות!$E$9,הגדרות!$E$6)+1))</f>
        <v/>
      </c>
    </row>
    <row r="2791" customFormat="false" ht="15" hidden="false" customHeight="false" outlineLevel="0" collapsed="false">
      <c r="A2791" s="0" t="str">
        <f aca="false">IF('הדבקת לידים'!A2791="","",IF(ISNUMBER('הדבקת לידים'!A2791),IF(הגדרות!$E$2&gt;0,TEXT('הדבקת לידים'!A2791,REPT("0",הגדרות!$E$2)),TEXT('הדבקת לידים'!A2791,"0")),TRIM('הדבקת לידים'!A2791)))</f>
        <v/>
      </c>
      <c r="B2791" s="0" t="str">
        <f aca="false">IF('הדבקת לידים'!B2791="","",IF(ISNUMBER('הדבקת לידים'!B2791),IF(הגדרות!$E$3&gt;0,TEXT('הדבקת לידים'!B2791,REPT("0",הגדרות!$E$3)),TEXT('הדבקת לידים'!B2791,"0")),TRIM('הדבקת לידים'!B2791)))</f>
        <v/>
      </c>
      <c r="C2791" s="0" t="n">
        <f aca="false">IF(OR(A2791&lt;&gt;"",B2791&lt;&gt;""),1,0)</f>
        <v>0</v>
      </c>
      <c r="D2791" s="0" t="str">
        <f aca="false">IF(C2791=1,MOD(ABS(SIN(ROW()*12.9898+'הדבקת לידים'!$F$2*78.233+IFERROR(--RIGHT(A2791,6),LEN(A2791))*0.0137+IFERROR(--RIGHT(B2791,6),LEN(B2791))*0.0071))*43758.5453,1),"")</f>
        <v/>
      </c>
      <c r="E2791" s="0" t="str">
        <f aca="false">IF(C2791=1,INT(MOD(ABS(SIN(D2791*7919.123+ROW()*0.618+'הדבקת לידים'!$F$2*1.3))*43758.5453,1)*1000000)*10000+ROW(),"")</f>
        <v/>
      </c>
      <c r="F2791" s="0" t="str">
        <f aca="false">IF(E2791="","",RANK(E2791,$E$2:$E$5001,1))</f>
        <v/>
      </c>
      <c r="G2791" s="0" t="n">
        <f aca="false">IF(A2791="",0,IF(SUMPRODUCT(--($A$2:$A$5001=A2791))&gt;1,1,0))</f>
        <v>0</v>
      </c>
      <c r="H2791" s="0" t="n">
        <f aca="false">ROW()-1</f>
        <v>2790</v>
      </c>
      <c r="I2791" s="0" t="str">
        <f aca="false">IF(OR(הגדרות!$E$6=0,H2791&gt;הגדרות!$E$5),"",IF(H2791-1&lt;הגדרות!$E$8*(הגדרות!$E$7+1),INT((H2791-1)/(הגדרות!$E$7+1)),הגדרות!$E$8+INT((H2791-1-הגדרות!$E$8*(הגדרות!$E$7+1))/הגדרות!$E$7)))</f>
        <v/>
      </c>
      <c r="J2791" s="0" t="str">
        <f aca="false">IF(I2791="","",IF(H2791-1&lt;הגדרות!$E$8*(הגדרות!$E$7+1),MOD(H2791-1,הגדרות!$E$7+1),MOD(H2791-1-הגדרות!$E$8*(הגדרות!$E$7+1),הגדרות!$E$7)))</f>
        <v/>
      </c>
      <c r="K2791" s="0" t="str">
        <f aca="false">IF(I2791="","",J2791*הגדרות!$E$6+I2791+1)</f>
        <v/>
      </c>
      <c r="L2791" s="0" t="str">
        <f aca="false">IF(K2791="","",MATCH(K2791,$F$2:$F$5001,0))</f>
        <v/>
      </c>
      <c r="M2791" s="0" t="str">
        <f aca="false">IF(I2791="","",INDEX(הגדרות!$A$2:$A$21,MOD(I2791+הגדרות!$E$9,הגדרות!$E$6)+1))</f>
        <v/>
      </c>
    </row>
    <row r="2792" customFormat="false" ht="15" hidden="false" customHeight="false" outlineLevel="0" collapsed="false">
      <c r="A2792" s="0" t="str">
        <f aca="false">IF('הדבקת לידים'!A2792="","",IF(ISNUMBER('הדבקת לידים'!A2792),IF(הגדרות!$E$2&gt;0,TEXT('הדבקת לידים'!A2792,REPT("0",הגדרות!$E$2)),TEXT('הדבקת לידים'!A2792,"0")),TRIM('הדבקת לידים'!A2792)))</f>
        <v/>
      </c>
      <c r="B2792" s="0" t="str">
        <f aca="false">IF('הדבקת לידים'!B2792="","",IF(ISNUMBER('הדבקת לידים'!B2792),IF(הגדרות!$E$3&gt;0,TEXT('הדבקת לידים'!B2792,REPT("0",הגדרות!$E$3)),TEXT('הדבקת לידים'!B2792,"0")),TRIM('הדבקת לידים'!B2792)))</f>
        <v/>
      </c>
      <c r="C2792" s="0" t="n">
        <f aca="false">IF(OR(A2792&lt;&gt;"",B2792&lt;&gt;""),1,0)</f>
        <v>0</v>
      </c>
      <c r="D2792" s="0" t="str">
        <f aca="false">IF(C2792=1,MOD(ABS(SIN(ROW()*12.9898+'הדבקת לידים'!$F$2*78.233+IFERROR(--RIGHT(A2792,6),LEN(A2792))*0.0137+IFERROR(--RIGHT(B2792,6),LEN(B2792))*0.0071))*43758.5453,1),"")</f>
        <v/>
      </c>
      <c r="E2792" s="0" t="str">
        <f aca="false">IF(C2792=1,INT(MOD(ABS(SIN(D2792*7919.123+ROW()*0.618+'הדבקת לידים'!$F$2*1.3))*43758.5453,1)*1000000)*10000+ROW(),"")</f>
        <v/>
      </c>
      <c r="F2792" s="0" t="str">
        <f aca="false">IF(E2792="","",RANK(E2792,$E$2:$E$5001,1))</f>
        <v/>
      </c>
      <c r="G2792" s="0" t="n">
        <f aca="false">IF(A2792="",0,IF(SUMPRODUCT(--($A$2:$A$5001=A2792))&gt;1,1,0))</f>
        <v>0</v>
      </c>
      <c r="H2792" s="0" t="n">
        <f aca="false">ROW()-1</f>
        <v>2791</v>
      </c>
      <c r="I2792" s="0" t="str">
        <f aca="false">IF(OR(הגדרות!$E$6=0,H2792&gt;הגדרות!$E$5),"",IF(H2792-1&lt;הגדרות!$E$8*(הגדרות!$E$7+1),INT((H2792-1)/(הגדרות!$E$7+1)),הגדרות!$E$8+INT((H2792-1-הגדרות!$E$8*(הגדרות!$E$7+1))/הגדרות!$E$7)))</f>
        <v/>
      </c>
      <c r="J2792" s="0" t="str">
        <f aca="false">IF(I2792="","",IF(H2792-1&lt;הגדרות!$E$8*(הגדרות!$E$7+1),MOD(H2792-1,הגדרות!$E$7+1),MOD(H2792-1-הגדרות!$E$8*(הגדרות!$E$7+1),הגדרות!$E$7)))</f>
        <v/>
      </c>
      <c r="K2792" s="0" t="str">
        <f aca="false">IF(I2792="","",J2792*הגדרות!$E$6+I2792+1)</f>
        <v/>
      </c>
      <c r="L2792" s="0" t="str">
        <f aca="false">IF(K2792="","",MATCH(K2792,$F$2:$F$5001,0))</f>
        <v/>
      </c>
      <c r="M2792" s="0" t="str">
        <f aca="false">IF(I2792="","",INDEX(הגדרות!$A$2:$A$21,MOD(I2792+הגדרות!$E$9,הגדרות!$E$6)+1))</f>
        <v/>
      </c>
    </row>
    <row r="2793" customFormat="false" ht="15" hidden="false" customHeight="false" outlineLevel="0" collapsed="false">
      <c r="A2793" s="0" t="str">
        <f aca="false">IF('הדבקת לידים'!A2793="","",IF(ISNUMBER('הדבקת לידים'!A2793),IF(הגדרות!$E$2&gt;0,TEXT('הדבקת לידים'!A2793,REPT("0",הגדרות!$E$2)),TEXT('הדבקת לידים'!A2793,"0")),TRIM('הדבקת לידים'!A2793)))</f>
        <v/>
      </c>
      <c r="B2793" s="0" t="str">
        <f aca="false">IF('הדבקת לידים'!B2793="","",IF(ISNUMBER('הדבקת לידים'!B2793),IF(הגדרות!$E$3&gt;0,TEXT('הדבקת לידים'!B2793,REPT("0",הגדרות!$E$3)),TEXT('הדבקת לידים'!B2793,"0")),TRIM('הדבקת לידים'!B2793)))</f>
        <v/>
      </c>
      <c r="C2793" s="0" t="n">
        <f aca="false">IF(OR(A2793&lt;&gt;"",B2793&lt;&gt;""),1,0)</f>
        <v>0</v>
      </c>
      <c r="D2793" s="0" t="str">
        <f aca="false">IF(C2793=1,MOD(ABS(SIN(ROW()*12.9898+'הדבקת לידים'!$F$2*78.233+IFERROR(--RIGHT(A2793,6),LEN(A2793))*0.0137+IFERROR(--RIGHT(B2793,6),LEN(B2793))*0.0071))*43758.5453,1),"")</f>
        <v/>
      </c>
      <c r="E2793" s="0" t="str">
        <f aca="false">IF(C2793=1,INT(MOD(ABS(SIN(D2793*7919.123+ROW()*0.618+'הדבקת לידים'!$F$2*1.3))*43758.5453,1)*1000000)*10000+ROW(),"")</f>
        <v/>
      </c>
      <c r="F2793" s="0" t="str">
        <f aca="false">IF(E2793="","",RANK(E2793,$E$2:$E$5001,1))</f>
        <v/>
      </c>
      <c r="G2793" s="0" t="n">
        <f aca="false">IF(A2793="",0,IF(SUMPRODUCT(--($A$2:$A$5001=A2793))&gt;1,1,0))</f>
        <v>0</v>
      </c>
      <c r="H2793" s="0" t="n">
        <f aca="false">ROW()-1</f>
        <v>2792</v>
      </c>
      <c r="I2793" s="0" t="str">
        <f aca="false">IF(OR(הגדרות!$E$6=0,H2793&gt;הגדרות!$E$5),"",IF(H2793-1&lt;הגדרות!$E$8*(הגדרות!$E$7+1),INT((H2793-1)/(הגדרות!$E$7+1)),הגדרות!$E$8+INT((H2793-1-הגדרות!$E$8*(הגדרות!$E$7+1))/הגדרות!$E$7)))</f>
        <v/>
      </c>
      <c r="J2793" s="0" t="str">
        <f aca="false">IF(I2793="","",IF(H2793-1&lt;הגדרות!$E$8*(הגדרות!$E$7+1),MOD(H2793-1,הגדרות!$E$7+1),MOD(H2793-1-הגדרות!$E$8*(הגדרות!$E$7+1),הגדרות!$E$7)))</f>
        <v/>
      </c>
      <c r="K2793" s="0" t="str">
        <f aca="false">IF(I2793="","",J2793*הגדרות!$E$6+I2793+1)</f>
        <v/>
      </c>
      <c r="L2793" s="0" t="str">
        <f aca="false">IF(K2793="","",MATCH(K2793,$F$2:$F$5001,0))</f>
        <v/>
      </c>
      <c r="M2793" s="0" t="str">
        <f aca="false">IF(I2793="","",INDEX(הגדרות!$A$2:$A$21,MOD(I2793+הגדרות!$E$9,הגדרות!$E$6)+1))</f>
        <v/>
      </c>
    </row>
    <row r="2794" customFormat="false" ht="15" hidden="false" customHeight="false" outlineLevel="0" collapsed="false">
      <c r="A2794" s="0" t="str">
        <f aca="false">IF('הדבקת לידים'!A2794="","",IF(ISNUMBER('הדבקת לידים'!A2794),IF(הגדרות!$E$2&gt;0,TEXT('הדבקת לידים'!A2794,REPT("0",הגדרות!$E$2)),TEXT('הדבקת לידים'!A2794,"0")),TRIM('הדבקת לידים'!A2794)))</f>
        <v/>
      </c>
      <c r="B2794" s="0" t="str">
        <f aca="false">IF('הדבקת לידים'!B2794="","",IF(ISNUMBER('הדבקת לידים'!B2794),IF(הגדרות!$E$3&gt;0,TEXT('הדבקת לידים'!B2794,REPT("0",הגדרות!$E$3)),TEXT('הדבקת לידים'!B2794,"0")),TRIM('הדבקת לידים'!B2794)))</f>
        <v/>
      </c>
      <c r="C2794" s="0" t="n">
        <f aca="false">IF(OR(A2794&lt;&gt;"",B2794&lt;&gt;""),1,0)</f>
        <v>0</v>
      </c>
      <c r="D2794" s="0" t="str">
        <f aca="false">IF(C2794=1,MOD(ABS(SIN(ROW()*12.9898+'הדבקת לידים'!$F$2*78.233+IFERROR(--RIGHT(A2794,6),LEN(A2794))*0.0137+IFERROR(--RIGHT(B2794,6),LEN(B2794))*0.0071))*43758.5453,1),"")</f>
        <v/>
      </c>
      <c r="E2794" s="0" t="str">
        <f aca="false">IF(C2794=1,INT(MOD(ABS(SIN(D2794*7919.123+ROW()*0.618+'הדבקת לידים'!$F$2*1.3))*43758.5453,1)*1000000)*10000+ROW(),"")</f>
        <v/>
      </c>
      <c r="F2794" s="0" t="str">
        <f aca="false">IF(E2794="","",RANK(E2794,$E$2:$E$5001,1))</f>
        <v/>
      </c>
      <c r="G2794" s="0" t="n">
        <f aca="false">IF(A2794="",0,IF(SUMPRODUCT(--($A$2:$A$5001=A2794))&gt;1,1,0))</f>
        <v>0</v>
      </c>
      <c r="H2794" s="0" t="n">
        <f aca="false">ROW()-1</f>
        <v>2793</v>
      </c>
      <c r="I2794" s="0" t="str">
        <f aca="false">IF(OR(הגדרות!$E$6=0,H2794&gt;הגדרות!$E$5),"",IF(H2794-1&lt;הגדרות!$E$8*(הגדרות!$E$7+1),INT((H2794-1)/(הגדרות!$E$7+1)),הגדרות!$E$8+INT((H2794-1-הגדרות!$E$8*(הגדרות!$E$7+1))/הגדרות!$E$7)))</f>
        <v/>
      </c>
      <c r="J2794" s="0" t="str">
        <f aca="false">IF(I2794="","",IF(H2794-1&lt;הגדרות!$E$8*(הגדרות!$E$7+1),MOD(H2794-1,הגדרות!$E$7+1),MOD(H2794-1-הגדרות!$E$8*(הגדרות!$E$7+1),הגדרות!$E$7)))</f>
        <v/>
      </c>
      <c r="K2794" s="0" t="str">
        <f aca="false">IF(I2794="","",J2794*הגדרות!$E$6+I2794+1)</f>
        <v/>
      </c>
      <c r="L2794" s="0" t="str">
        <f aca="false">IF(K2794="","",MATCH(K2794,$F$2:$F$5001,0))</f>
        <v/>
      </c>
      <c r="M2794" s="0" t="str">
        <f aca="false">IF(I2794="","",INDEX(הגדרות!$A$2:$A$21,MOD(I2794+הגדרות!$E$9,הגדרות!$E$6)+1))</f>
        <v/>
      </c>
    </row>
    <row r="2795" customFormat="false" ht="15" hidden="false" customHeight="false" outlineLevel="0" collapsed="false">
      <c r="A2795" s="0" t="str">
        <f aca="false">IF('הדבקת לידים'!A2795="","",IF(ISNUMBER('הדבקת לידים'!A2795),IF(הגדרות!$E$2&gt;0,TEXT('הדבקת לידים'!A2795,REPT("0",הגדרות!$E$2)),TEXT('הדבקת לידים'!A2795,"0")),TRIM('הדבקת לידים'!A2795)))</f>
        <v/>
      </c>
      <c r="B2795" s="0" t="str">
        <f aca="false">IF('הדבקת לידים'!B2795="","",IF(ISNUMBER('הדבקת לידים'!B2795),IF(הגדרות!$E$3&gt;0,TEXT('הדבקת לידים'!B2795,REPT("0",הגדרות!$E$3)),TEXT('הדבקת לידים'!B2795,"0")),TRIM('הדבקת לידים'!B2795)))</f>
        <v/>
      </c>
      <c r="C2795" s="0" t="n">
        <f aca="false">IF(OR(A2795&lt;&gt;"",B2795&lt;&gt;""),1,0)</f>
        <v>0</v>
      </c>
      <c r="D2795" s="0" t="str">
        <f aca="false">IF(C2795=1,MOD(ABS(SIN(ROW()*12.9898+'הדבקת לידים'!$F$2*78.233+IFERROR(--RIGHT(A2795,6),LEN(A2795))*0.0137+IFERROR(--RIGHT(B2795,6),LEN(B2795))*0.0071))*43758.5453,1),"")</f>
        <v/>
      </c>
      <c r="E2795" s="0" t="str">
        <f aca="false">IF(C2795=1,INT(MOD(ABS(SIN(D2795*7919.123+ROW()*0.618+'הדבקת לידים'!$F$2*1.3))*43758.5453,1)*1000000)*10000+ROW(),"")</f>
        <v/>
      </c>
      <c r="F2795" s="0" t="str">
        <f aca="false">IF(E2795="","",RANK(E2795,$E$2:$E$5001,1))</f>
        <v/>
      </c>
      <c r="G2795" s="0" t="n">
        <f aca="false">IF(A2795="",0,IF(SUMPRODUCT(--($A$2:$A$5001=A2795))&gt;1,1,0))</f>
        <v>0</v>
      </c>
      <c r="H2795" s="0" t="n">
        <f aca="false">ROW()-1</f>
        <v>2794</v>
      </c>
      <c r="I2795" s="0" t="str">
        <f aca="false">IF(OR(הגדרות!$E$6=0,H2795&gt;הגדרות!$E$5),"",IF(H2795-1&lt;הגדרות!$E$8*(הגדרות!$E$7+1),INT((H2795-1)/(הגדרות!$E$7+1)),הגדרות!$E$8+INT((H2795-1-הגדרות!$E$8*(הגדרות!$E$7+1))/הגדרות!$E$7)))</f>
        <v/>
      </c>
      <c r="J2795" s="0" t="str">
        <f aca="false">IF(I2795="","",IF(H2795-1&lt;הגדרות!$E$8*(הגדרות!$E$7+1),MOD(H2795-1,הגדרות!$E$7+1),MOD(H2795-1-הגדרות!$E$8*(הגדרות!$E$7+1),הגדרות!$E$7)))</f>
        <v/>
      </c>
      <c r="K2795" s="0" t="str">
        <f aca="false">IF(I2795="","",J2795*הגדרות!$E$6+I2795+1)</f>
        <v/>
      </c>
      <c r="L2795" s="0" t="str">
        <f aca="false">IF(K2795="","",MATCH(K2795,$F$2:$F$5001,0))</f>
        <v/>
      </c>
      <c r="M2795" s="0" t="str">
        <f aca="false">IF(I2795="","",INDEX(הגדרות!$A$2:$A$21,MOD(I2795+הגדרות!$E$9,הגדרות!$E$6)+1))</f>
        <v/>
      </c>
    </row>
    <row r="2796" customFormat="false" ht="15" hidden="false" customHeight="false" outlineLevel="0" collapsed="false">
      <c r="A2796" s="0" t="str">
        <f aca="false">IF('הדבקת לידים'!A2796="","",IF(ISNUMBER('הדבקת לידים'!A2796),IF(הגדרות!$E$2&gt;0,TEXT('הדבקת לידים'!A2796,REPT("0",הגדרות!$E$2)),TEXT('הדבקת לידים'!A2796,"0")),TRIM('הדבקת לידים'!A2796)))</f>
        <v/>
      </c>
      <c r="B2796" s="0" t="str">
        <f aca="false">IF('הדבקת לידים'!B2796="","",IF(ISNUMBER('הדבקת לידים'!B2796),IF(הגדרות!$E$3&gt;0,TEXT('הדבקת לידים'!B2796,REPT("0",הגדרות!$E$3)),TEXT('הדבקת לידים'!B2796,"0")),TRIM('הדבקת לידים'!B2796)))</f>
        <v/>
      </c>
      <c r="C2796" s="0" t="n">
        <f aca="false">IF(OR(A2796&lt;&gt;"",B2796&lt;&gt;""),1,0)</f>
        <v>0</v>
      </c>
      <c r="D2796" s="0" t="str">
        <f aca="false">IF(C2796=1,MOD(ABS(SIN(ROW()*12.9898+'הדבקת לידים'!$F$2*78.233+IFERROR(--RIGHT(A2796,6),LEN(A2796))*0.0137+IFERROR(--RIGHT(B2796,6),LEN(B2796))*0.0071))*43758.5453,1),"")</f>
        <v/>
      </c>
      <c r="E2796" s="0" t="str">
        <f aca="false">IF(C2796=1,INT(MOD(ABS(SIN(D2796*7919.123+ROW()*0.618+'הדבקת לידים'!$F$2*1.3))*43758.5453,1)*1000000)*10000+ROW(),"")</f>
        <v/>
      </c>
      <c r="F2796" s="0" t="str">
        <f aca="false">IF(E2796="","",RANK(E2796,$E$2:$E$5001,1))</f>
        <v/>
      </c>
      <c r="G2796" s="0" t="n">
        <f aca="false">IF(A2796="",0,IF(SUMPRODUCT(--($A$2:$A$5001=A2796))&gt;1,1,0))</f>
        <v>0</v>
      </c>
      <c r="H2796" s="0" t="n">
        <f aca="false">ROW()-1</f>
        <v>2795</v>
      </c>
      <c r="I2796" s="0" t="str">
        <f aca="false">IF(OR(הגדרות!$E$6=0,H2796&gt;הגדרות!$E$5),"",IF(H2796-1&lt;הגדרות!$E$8*(הגדרות!$E$7+1),INT((H2796-1)/(הגדרות!$E$7+1)),הגדרות!$E$8+INT((H2796-1-הגדרות!$E$8*(הגדרות!$E$7+1))/הגדרות!$E$7)))</f>
        <v/>
      </c>
      <c r="J2796" s="0" t="str">
        <f aca="false">IF(I2796="","",IF(H2796-1&lt;הגדרות!$E$8*(הגדרות!$E$7+1),MOD(H2796-1,הגדרות!$E$7+1),MOD(H2796-1-הגדרות!$E$8*(הגדרות!$E$7+1),הגדרות!$E$7)))</f>
        <v/>
      </c>
      <c r="K2796" s="0" t="str">
        <f aca="false">IF(I2796="","",J2796*הגדרות!$E$6+I2796+1)</f>
        <v/>
      </c>
      <c r="L2796" s="0" t="str">
        <f aca="false">IF(K2796="","",MATCH(K2796,$F$2:$F$5001,0))</f>
        <v/>
      </c>
      <c r="M2796" s="0" t="str">
        <f aca="false">IF(I2796="","",INDEX(הגדרות!$A$2:$A$21,MOD(I2796+הגדרות!$E$9,הגדרות!$E$6)+1))</f>
        <v/>
      </c>
    </row>
    <row r="2797" customFormat="false" ht="15" hidden="false" customHeight="false" outlineLevel="0" collapsed="false">
      <c r="A2797" s="0" t="str">
        <f aca="false">IF('הדבקת לידים'!A2797="","",IF(ISNUMBER('הדבקת לידים'!A2797),IF(הגדרות!$E$2&gt;0,TEXT('הדבקת לידים'!A2797,REPT("0",הגדרות!$E$2)),TEXT('הדבקת לידים'!A2797,"0")),TRIM('הדבקת לידים'!A2797)))</f>
        <v/>
      </c>
      <c r="B2797" s="0" t="str">
        <f aca="false">IF('הדבקת לידים'!B2797="","",IF(ISNUMBER('הדבקת לידים'!B2797),IF(הגדרות!$E$3&gt;0,TEXT('הדבקת לידים'!B2797,REPT("0",הגדרות!$E$3)),TEXT('הדבקת לידים'!B2797,"0")),TRIM('הדבקת לידים'!B2797)))</f>
        <v/>
      </c>
      <c r="C2797" s="0" t="n">
        <f aca="false">IF(OR(A2797&lt;&gt;"",B2797&lt;&gt;""),1,0)</f>
        <v>0</v>
      </c>
      <c r="D2797" s="0" t="str">
        <f aca="false">IF(C2797=1,MOD(ABS(SIN(ROW()*12.9898+'הדבקת לידים'!$F$2*78.233+IFERROR(--RIGHT(A2797,6),LEN(A2797))*0.0137+IFERROR(--RIGHT(B2797,6),LEN(B2797))*0.0071))*43758.5453,1),"")</f>
        <v/>
      </c>
      <c r="E2797" s="0" t="str">
        <f aca="false">IF(C2797=1,INT(MOD(ABS(SIN(D2797*7919.123+ROW()*0.618+'הדבקת לידים'!$F$2*1.3))*43758.5453,1)*1000000)*10000+ROW(),"")</f>
        <v/>
      </c>
      <c r="F2797" s="0" t="str">
        <f aca="false">IF(E2797="","",RANK(E2797,$E$2:$E$5001,1))</f>
        <v/>
      </c>
      <c r="G2797" s="0" t="n">
        <f aca="false">IF(A2797="",0,IF(SUMPRODUCT(--($A$2:$A$5001=A2797))&gt;1,1,0))</f>
        <v>0</v>
      </c>
      <c r="H2797" s="0" t="n">
        <f aca="false">ROW()-1</f>
        <v>2796</v>
      </c>
      <c r="I2797" s="0" t="str">
        <f aca="false">IF(OR(הגדרות!$E$6=0,H2797&gt;הגדרות!$E$5),"",IF(H2797-1&lt;הגדרות!$E$8*(הגדרות!$E$7+1),INT((H2797-1)/(הגדרות!$E$7+1)),הגדרות!$E$8+INT((H2797-1-הגדרות!$E$8*(הגדרות!$E$7+1))/הגדרות!$E$7)))</f>
        <v/>
      </c>
      <c r="J2797" s="0" t="str">
        <f aca="false">IF(I2797="","",IF(H2797-1&lt;הגדרות!$E$8*(הגדרות!$E$7+1),MOD(H2797-1,הגדרות!$E$7+1),MOD(H2797-1-הגדרות!$E$8*(הגדרות!$E$7+1),הגדרות!$E$7)))</f>
        <v/>
      </c>
      <c r="K2797" s="0" t="str">
        <f aca="false">IF(I2797="","",J2797*הגדרות!$E$6+I2797+1)</f>
        <v/>
      </c>
      <c r="L2797" s="0" t="str">
        <f aca="false">IF(K2797="","",MATCH(K2797,$F$2:$F$5001,0))</f>
        <v/>
      </c>
      <c r="M2797" s="0" t="str">
        <f aca="false">IF(I2797="","",INDEX(הגדרות!$A$2:$A$21,MOD(I2797+הגדרות!$E$9,הגדרות!$E$6)+1))</f>
        <v/>
      </c>
    </row>
    <row r="2798" customFormat="false" ht="15" hidden="false" customHeight="false" outlineLevel="0" collapsed="false">
      <c r="A2798" s="0" t="str">
        <f aca="false">IF('הדבקת לידים'!A2798="","",IF(ISNUMBER('הדבקת לידים'!A2798),IF(הגדרות!$E$2&gt;0,TEXT('הדבקת לידים'!A2798,REPT("0",הגדרות!$E$2)),TEXT('הדבקת לידים'!A2798,"0")),TRIM('הדבקת לידים'!A2798)))</f>
        <v/>
      </c>
      <c r="B2798" s="0" t="str">
        <f aca="false">IF('הדבקת לידים'!B2798="","",IF(ISNUMBER('הדבקת לידים'!B2798),IF(הגדרות!$E$3&gt;0,TEXT('הדבקת לידים'!B2798,REPT("0",הגדרות!$E$3)),TEXT('הדבקת לידים'!B2798,"0")),TRIM('הדבקת לידים'!B2798)))</f>
        <v/>
      </c>
      <c r="C2798" s="0" t="n">
        <f aca="false">IF(OR(A2798&lt;&gt;"",B2798&lt;&gt;""),1,0)</f>
        <v>0</v>
      </c>
      <c r="D2798" s="0" t="str">
        <f aca="false">IF(C2798=1,MOD(ABS(SIN(ROW()*12.9898+'הדבקת לידים'!$F$2*78.233+IFERROR(--RIGHT(A2798,6),LEN(A2798))*0.0137+IFERROR(--RIGHT(B2798,6),LEN(B2798))*0.0071))*43758.5453,1),"")</f>
        <v/>
      </c>
      <c r="E2798" s="0" t="str">
        <f aca="false">IF(C2798=1,INT(MOD(ABS(SIN(D2798*7919.123+ROW()*0.618+'הדבקת לידים'!$F$2*1.3))*43758.5453,1)*1000000)*10000+ROW(),"")</f>
        <v/>
      </c>
      <c r="F2798" s="0" t="str">
        <f aca="false">IF(E2798="","",RANK(E2798,$E$2:$E$5001,1))</f>
        <v/>
      </c>
      <c r="G2798" s="0" t="n">
        <f aca="false">IF(A2798="",0,IF(SUMPRODUCT(--($A$2:$A$5001=A2798))&gt;1,1,0))</f>
        <v>0</v>
      </c>
      <c r="H2798" s="0" t="n">
        <f aca="false">ROW()-1</f>
        <v>2797</v>
      </c>
      <c r="I2798" s="0" t="str">
        <f aca="false">IF(OR(הגדרות!$E$6=0,H2798&gt;הגדרות!$E$5),"",IF(H2798-1&lt;הגדרות!$E$8*(הגדרות!$E$7+1),INT((H2798-1)/(הגדרות!$E$7+1)),הגדרות!$E$8+INT((H2798-1-הגדרות!$E$8*(הגדרות!$E$7+1))/הגדרות!$E$7)))</f>
        <v/>
      </c>
      <c r="J2798" s="0" t="str">
        <f aca="false">IF(I2798="","",IF(H2798-1&lt;הגדרות!$E$8*(הגדרות!$E$7+1),MOD(H2798-1,הגדרות!$E$7+1),MOD(H2798-1-הגדרות!$E$8*(הגדרות!$E$7+1),הגדרות!$E$7)))</f>
        <v/>
      </c>
      <c r="K2798" s="0" t="str">
        <f aca="false">IF(I2798="","",J2798*הגדרות!$E$6+I2798+1)</f>
        <v/>
      </c>
      <c r="L2798" s="0" t="str">
        <f aca="false">IF(K2798="","",MATCH(K2798,$F$2:$F$5001,0))</f>
        <v/>
      </c>
      <c r="M2798" s="0" t="str">
        <f aca="false">IF(I2798="","",INDEX(הגדרות!$A$2:$A$21,MOD(I2798+הגדרות!$E$9,הגדרות!$E$6)+1))</f>
        <v/>
      </c>
    </row>
    <row r="2799" customFormat="false" ht="15" hidden="false" customHeight="false" outlineLevel="0" collapsed="false">
      <c r="A2799" s="0" t="str">
        <f aca="false">IF('הדבקת לידים'!A2799="","",IF(ISNUMBER('הדבקת לידים'!A2799),IF(הגדרות!$E$2&gt;0,TEXT('הדבקת לידים'!A2799,REPT("0",הגדרות!$E$2)),TEXT('הדבקת לידים'!A2799,"0")),TRIM('הדבקת לידים'!A2799)))</f>
        <v/>
      </c>
      <c r="B2799" s="0" t="str">
        <f aca="false">IF('הדבקת לידים'!B2799="","",IF(ISNUMBER('הדבקת לידים'!B2799),IF(הגדרות!$E$3&gt;0,TEXT('הדבקת לידים'!B2799,REPT("0",הגדרות!$E$3)),TEXT('הדבקת לידים'!B2799,"0")),TRIM('הדבקת לידים'!B2799)))</f>
        <v/>
      </c>
      <c r="C2799" s="0" t="n">
        <f aca="false">IF(OR(A2799&lt;&gt;"",B2799&lt;&gt;""),1,0)</f>
        <v>0</v>
      </c>
      <c r="D2799" s="0" t="str">
        <f aca="false">IF(C2799=1,MOD(ABS(SIN(ROW()*12.9898+'הדבקת לידים'!$F$2*78.233+IFERROR(--RIGHT(A2799,6),LEN(A2799))*0.0137+IFERROR(--RIGHT(B2799,6),LEN(B2799))*0.0071))*43758.5453,1),"")</f>
        <v/>
      </c>
      <c r="E2799" s="0" t="str">
        <f aca="false">IF(C2799=1,INT(MOD(ABS(SIN(D2799*7919.123+ROW()*0.618+'הדבקת לידים'!$F$2*1.3))*43758.5453,1)*1000000)*10000+ROW(),"")</f>
        <v/>
      </c>
      <c r="F2799" s="0" t="str">
        <f aca="false">IF(E2799="","",RANK(E2799,$E$2:$E$5001,1))</f>
        <v/>
      </c>
      <c r="G2799" s="0" t="n">
        <f aca="false">IF(A2799="",0,IF(SUMPRODUCT(--($A$2:$A$5001=A2799))&gt;1,1,0))</f>
        <v>0</v>
      </c>
      <c r="H2799" s="0" t="n">
        <f aca="false">ROW()-1</f>
        <v>2798</v>
      </c>
      <c r="I2799" s="0" t="str">
        <f aca="false">IF(OR(הגדרות!$E$6=0,H2799&gt;הגדרות!$E$5),"",IF(H2799-1&lt;הגדרות!$E$8*(הגדרות!$E$7+1),INT((H2799-1)/(הגדרות!$E$7+1)),הגדרות!$E$8+INT((H2799-1-הגדרות!$E$8*(הגדרות!$E$7+1))/הגדרות!$E$7)))</f>
        <v/>
      </c>
      <c r="J2799" s="0" t="str">
        <f aca="false">IF(I2799="","",IF(H2799-1&lt;הגדרות!$E$8*(הגדרות!$E$7+1),MOD(H2799-1,הגדרות!$E$7+1),MOD(H2799-1-הגדרות!$E$8*(הגדרות!$E$7+1),הגדרות!$E$7)))</f>
        <v/>
      </c>
      <c r="K2799" s="0" t="str">
        <f aca="false">IF(I2799="","",J2799*הגדרות!$E$6+I2799+1)</f>
        <v/>
      </c>
      <c r="L2799" s="0" t="str">
        <f aca="false">IF(K2799="","",MATCH(K2799,$F$2:$F$5001,0))</f>
        <v/>
      </c>
      <c r="M2799" s="0" t="str">
        <f aca="false">IF(I2799="","",INDEX(הגדרות!$A$2:$A$21,MOD(I2799+הגדרות!$E$9,הגדרות!$E$6)+1))</f>
        <v/>
      </c>
    </row>
    <row r="2800" customFormat="false" ht="15" hidden="false" customHeight="false" outlineLevel="0" collapsed="false">
      <c r="A2800" s="0" t="str">
        <f aca="false">IF('הדבקת לידים'!A2800="","",IF(ISNUMBER('הדבקת לידים'!A2800),IF(הגדרות!$E$2&gt;0,TEXT('הדבקת לידים'!A2800,REPT("0",הגדרות!$E$2)),TEXT('הדבקת לידים'!A2800,"0")),TRIM('הדבקת לידים'!A2800)))</f>
        <v/>
      </c>
      <c r="B2800" s="0" t="str">
        <f aca="false">IF('הדבקת לידים'!B2800="","",IF(ISNUMBER('הדבקת לידים'!B2800),IF(הגדרות!$E$3&gt;0,TEXT('הדבקת לידים'!B2800,REPT("0",הגדרות!$E$3)),TEXT('הדבקת לידים'!B2800,"0")),TRIM('הדבקת לידים'!B2800)))</f>
        <v/>
      </c>
      <c r="C2800" s="0" t="n">
        <f aca="false">IF(OR(A2800&lt;&gt;"",B2800&lt;&gt;""),1,0)</f>
        <v>0</v>
      </c>
      <c r="D2800" s="0" t="str">
        <f aca="false">IF(C2800=1,MOD(ABS(SIN(ROW()*12.9898+'הדבקת לידים'!$F$2*78.233+IFERROR(--RIGHT(A2800,6),LEN(A2800))*0.0137+IFERROR(--RIGHT(B2800,6),LEN(B2800))*0.0071))*43758.5453,1),"")</f>
        <v/>
      </c>
      <c r="E2800" s="0" t="str">
        <f aca="false">IF(C2800=1,INT(MOD(ABS(SIN(D2800*7919.123+ROW()*0.618+'הדבקת לידים'!$F$2*1.3))*43758.5453,1)*1000000)*10000+ROW(),"")</f>
        <v/>
      </c>
      <c r="F2800" s="0" t="str">
        <f aca="false">IF(E2800="","",RANK(E2800,$E$2:$E$5001,1))</f>
        <v/>
      </c>
      <c r="G2800" s="0" t="n">
        <f aca="false">IF(A2800="",0,IF(SUMPRODUCT(--($A$2:$A$5001=A2800))&gt;1,1,0))</f>
        <v>0</v>
      </c>
      <c r="H2800" s="0" t="n">
        <f aca="false">ROW()-1</f>
        <v>2799</v>
      </c>
      <c r="I2800" s="0" t="str">
        <f aca="false">IF(OR(הגדרות!$E$6=0,H2800&gt;הגדרות!$E$5),"",IF(H2800-1&lt;הגדרות!$E$8*(הגדרות!$E$7+1),INT((H2800-1)/(הגדרות!$E$7+1)),הגדרות!$E$8+INT((H2800-1-הגדרות!$E$8*(הגדרות!$E$7+1))/הגדרות!$E$7)))</f>
        <v/>
      </c>
      <c r="J2800" s="0" t="str">
        <f aca="false">IF(I2800="","",IF(H2800-1&lt;הגדרות!$E$8*(הגדרות!$E$7+1),MOD(H2800-1,הגדרות!$E$7+1),MOD(H2800-1-הגדרות!$E$8*(הגדרות!$E$7+1),הגדרות!$E$7)))</f>
        <v/>
      </c>
      <c r="K2800" s="0" t="str">
        <f aca="false">IF(I2800="","",J2800*הגדרות!$E$6+I2800+1)</f>
        <v/>
      </c>
      <c r="L2800" s="0" t="str">
        <f aca="false">IF(K2800="","",MATCH(K2800,$F$2:$F$5001,0))</f>
        <v/>
      </c>
      <c r="M2800" s="0" t="str">
        <f aca="false">IF(I2800="","",INDEX(הגדרות!$A$2:$A$21,MOD(I2800+הגדרות!$E$9,הגדרות!$E$6)+1))</f>
        <v/>
      </c>
    </row>
    <row r="2801" customFormat="false" ht="15" hidden="false" customHeight="false" outlineLevel="0" collapsed="false">
      <c r="A2801" s="0" t="str">
        <f aca="false">IF('הדבקת לידים'!A2801="","",IF(ISNUMBER('הדבקת לידים'!A2801),IF(הגדרות!$E$2&gt;0,TEXT('הדבקת לידים'!A2801,REPT("0",הגדרות!$E$2)),TEXT('הדבקת לידים'!A2801,"0")),TRIM('הדבקת לידים'!A2801)))</f>
        <v/>
      </c>
      <c r="B2801" s="0" t="str">
        <f aca="false">IF('הדבקת לידים'!B2801="","",IF(ISNUMBER('הדבקת לידים'!B2801),IF(הגדרות!$E$3&gt;0,TEXT('הדבקת לידים'!B2801,REPT("0",הגדרות!$E$3)),TEXT('הדבקת לידים'!B2801,"0")),TRIM('הדבקת לידים'!B2801)))</f>
        <v/>
      </c>
      <c r="C2801" s="0" t="n">
        <f aca="false">IF(OR(A2801&lt;&gt;"",B2801&lt;&gt;""),1,0)</f>
        <v>0</v>
      </c>
      <c r="D2801" s="0" t="str">
        <f aca="false">IF(C2801=1,MOD(ABS(SIN(ROW()*12.9898+'הדבקת לידים'!$F$2*78.233+IFERROR(--RIGHT(A2801,6),LEN(A2801))*0.0137+IFERROR(--RIGHT(B2801,6),LEN(B2801))*0.0071))*43758.5453,1),"")</f>
        <v/>
      </c>
      <c r="E2801" s="0" t="str">
        <f aca="false">IF(C2801=1,INT(MOD(ABS(SIN(D2801*7919.123+ROW()*0.618+'הדבקת לידים'!$F$2*1.3))*43758.5453,1)*1000000)*10000+ROW(),"")</f>
        <v/>
      </c>
      <c r="F2801" s="0" t="str">
        <f aca="false">IF(E2801="","",RANK(E2801,$E$2:$E$5001,1))</f>
        <v/>
      </c>
      <c r="G2801" s="0" t="n">
        <f aca="false">IF(A2801="",0,IF(SUMPRODUCT(--($A$2:$A$5001=A2801))&gt;1,1,0))</f>
        <v>0</v>
      </c>
      <c r="H2801" s="0" t="n">
        <f aca="false">ROW()-1</f>
        <v>2800</v>
      </c>
      <c r="I2801" s="0" t="str">
        <f aca="false">IF(OR(הגדרות!$E$6=0,H2801&gt;הגדרות!$E$5),"",IF(H2801-1&lt;הגדרות!$E$8*(הגדרות!$E$7+1),INT((H2801-1)/(הגדרות!$E$7+1)),הגדרות!$E$8+INT((H2801-1-הגדרות!$E$8*(הגדרות!$E$7+1))/הגדרות!$E$7)))</f>
        <v/>
      </c>
      <c r="J2801" s="0" t="str">
        <f aca="false">IF(I2801="","",IF(H2801-1&lt;הגדרות!$E$8*(הגדרות!$E$7+1),MOD(H2801-1,הגדרות!$E$7+1),MOD(H2801-1-הגדרות!$E$8*(הגדרות!$E$7+1),הגדרות!$E$7)))</f>
        <v/>
      </c>
      <c r="K2801" s="0" t="str">
        <f aca="false">IF(I2801="","",J2801*הגדרות!$E$6+I2801+1)</f>
        <v/>
      </c>
      <c r="L2801" s="0" t="str">
        <f aca="false">IF(K2801="","",MATCH(K2801,$F$2:$F$5001,0))</f>
        <v/>
      </c>
      <c r="M2801" s="0" t="str">
        <f aca="false">IF(I2801="","",INDEX(הגדרות!$A$2:$A$21,MOD(I2801+הגדרות!$E$9,הגדרות!$E$6)+1))</f>
        <v/>
      </c>
    </row>
    <row r="2802" customFormat="false" ht="15" hidden="false" customHeight="false" outlineLevel="0" collapsed="false">
      <c r="A2802" s="0" t="str">
        <f aca="false">IF('הדבקת לידים'!A2802="","",IF(ISNUMBER('הדבקת לידים'!A2802),IF(הגדרות!$E$2&gt;0,TEXT('הדבקת לידים'!A2802,REPT("0",הגדרות!$E$2)),TEXT('הדבקת לידים'!A2802,"0")),TRIM('הדבקת לידים'!A2802)))</f>
        <v/>
      </c>
      <c r="B2802" s="0" t="str">
        <f aca="false">IF('הדבקת לידים'!B2802="","",IF(ISNUMBER('הדבקת לידים'!B2802),IF(הגדרות!$E$3&gt;0,TEXT('הדבקת לידים'!B2802,REPT("0",הגדרות!$E$3)),TEXT('הדבקת לידים'!B2802,"0")),TRIM('הדבקת לידים'!B2802)))</f>
        <v/>
      </c>
      <c r="C2802" s="0" t="n">
        <f aca="false">IF(OR(A2802&lt;&gt;"",B2802&lt;&gt;""),1,0)</f>
        <v>0</v>
      </c>
      <c r="D2802" s="0" t="str">
        <f aca="false">IF(C2802=1,MOD(ABS(SIN(ROW()*12.9898+'הדבקת לידים'!$F$2*78.233+IFERROR(--RIGHT(A2802,6),LEN(A2802))*0.0137+IFERROR(--RIGHT(B2802,6),LEN(B2802))*0.0071))*43758.5453,1),"")</f>
        <v/>
      </c>
      <c r="E2802" s="0" t="str">
        <f aca="false">IF(C2802=1,INT(MOD(ABS(SIN(D2802*7919.123+ROW()*0.618+'הדבקת לידים'!$F$2*1.3))*43758.5453,1)*1000000)*10000+ROW(),"")</f>
        <v/>
      </c>
      <c r="F2802" s="0" t="str">
        <f aca="false">IF(E2802="","",RANK(E2802,$E$2:$E$5001,1))</f>
        <v/>
      </c>
      <c r="G2802" s="0" t="n">
        <f aca="false">IF(A2802="",0,IF(SUMPRODUCT(--($A$2:$A$5001=A2802))&gt;1,1,0))</f>
        <v>0</v>
      </c>
      <c r="H2802" s="0" t="n">
        <f aca="false">ROW()-1</f>
        <v>2801</v>
      </c>
      <c r="I2802" s="0" t="str">
        <f aca="false">IF(OR(הגדרות!$E$6=0,H2802&gt;הגדרות!$E$5),"",IF(H2802-1&lt;הגדרות!$E$8*(הגדרות!$E$7+1),INT((H2802-1)/(הגדרות!$E$7+1)),הגדרות!$E$8+INT((H2802-1-הגדרות!$E$8*(הגדרות!$E$7+1))/הגדרות!$E$7)))</f>
        <v/>
      </c>
      <c r="J2802" s="0" t="str">
        <f aca="false">IF(I2802="","",IF(H2802-1&lt;הגדרות!$E$8*(הגדרות!$E$7+1),MOD(H2802-1,הגדרות!$E$7+1),MOD(H2802-1-הגדרות!$E$8*(הגדרות!$E$7+1),הגדרות!$E$7)))</f>
        <v/>
      </c>
      <c r="K2802" s="0" t="str">
        <f aca="false">IF(I2802="","",J2802*הגדרות!$E$6+I2802+1)</f>
        <v/>
      </c>
      <c r="L2802" s="0" t="str">
        <f aca="false">IF(K2802="","",MATCH(K2802,$F$2:$F$5001,0))</f>
        <v/>
      </c>
      <c r="M2802" s="0" t="str">
        <f aca="false">IF(I2802="","",INDEX(הגדרות!$A$2:$A$21,MOD(I2802+הגדרות!$E$9,הגדרות!$E$6)+1))</f>
        <v/>
      </c>
    </row>
    <row r="2803" customFormat="false" ht="15" hidden="false" customHeight="false" outlineLevel="0" collapsed="false">
      <c r="A2803" s="0" t="str">
        <f aca="false">IF('הדבקת לידים'!A2803="","",IF(ISNUMBER('הדבקת לידים'!A2803),IF(הגדרות!$E$2&gt;0,TEXT('הדבקת לידים'!A2803,REPT("0",הגדרות!$E$2)),TEXT('הדבקת לידים'!A2803,"0")),TRIM('הדבקת לידים'!A2803)))</f>
        <v/>
      </c>
      <c r="B2803" s="0" t="str">
        <f aca="false">IF('הדבקת לידים'!B2803="","",IF(ISNUMBER('הדבקת לידים'!B2803),IF(הגדרות!$E$3&gt;0,TEXT('הדבקת לידים'!B2803,REPT("0",הגדרות!$E$3)),TEXT('הדבקת לידים'!B2803,"0")),TRIM('הדבקת לידים'!B2803)))</f>
        <v/>
      </c>
      <c r="C2803" s="0" t="n">
        <f aca="false">IF(OR(A2803&lt;&gt;"",B2803&lt;&gt;""),1,0)</f>
        <v>0</v>
      </c>
      <c r="D2803" s="0" t="str">
        <f aca="false">IF(C2803=1,MOD(ABS(SIN(ROW()*12.9898+'הדבקת לידים'!$F$2*78.233+IFERROR(--RIGHT(A2803,6),LEN(A2803))*0.0137+IFERROR(--RIGHT(B2803,6),LEN(B2803))*0.0071))*43758.5453,1),"")</f>
        <v/>
      </c>
      <c r="E2803" s="0" t="str">
        <f aca="false">IF(C2803=1,INT(MOD(ABS(SIN(D2803*7919.123+ROW()*0.618+'הדבקת לידים'!$F$2*1.3))*43758.5453,1)*1000000)*10000+ROW(),"")</f>
        <v/>
      </c>
      <c r="F2803" s="0" t="str">
        <f aca="false">IF(E2803="","",RANK(E2803,$E$2:$E$5001,1))</f>
        <v/>
      </c>
      <c r="G2803" s="0" t="n">
        <f aca="false">IF(A2803="",0,IF(SUMPRODUCT(--($A$2:$A$5001=A2803))&gt;1,1,0))</f>
        <v>0</v>
      </c>
      <c r="H2803" s="0" t="n">
        <f aca="false">ROW()-1</f>
        <v>2802</v>
      </c>
      <c r="I2803" s="0" t="str">
        <f aca="false">IF(OR(הגדרות!$E$6=0,H2803&gt;הגדרות!$E$5),"",IF(H2803-1&lt;הגדרות!$E$8*(הגדרות!$E$7+1),INT((H2803-1)/(הגדרות!$E$7+1)),הגדרות!$E$8+INT((H2803-1-הגדרות!$E$8*(הגדרות!$E$7+1))/הגדרות!$E$7)))</f>
        <v/>
      </c>
      <c r="J2803" s="0" t="str">
        <f aca="false">IF(I2803="","",IF(H2803-1&lt;הגדרות!$E$8*(הגדרות!$E$7+1),MOD(H2803-1,הגדרות!$E$7+1),MOD(H2803-1-הגדרות!$E$8*(הגדרות!$E$7+1),הגדרות!$E$7)))</f>
        <v/>
      </c>
      <c r="K2803" s="0" t="str">
        <f aca="false">IF(I2803="","",J2803*הגדרות!$E$6+I2803+1)</f>
        <v/>
      </c>
      <c r="L2803" s="0" t="str">
        <f aca="false">IF(K2803="","",MATCH(K2803,$F$2:$F$5001,0))</f>
        <v/>
      </c>
      <c r="M2803" s="0" t="str">
        <f aca="false">IF(I2803="","",INDEX(הגדרות!$A$2:$A$21,MOD(I2803+הגדרות!$E$9,הגדרות!$E$6)+1))</f>
        <v/>
      </c>
    </row>
    <row r="2804" customFormat="false" ht="15" hidden="false" customHeight="false" outlineLevel="0" collapsed="false">
      <c r="A2804" s="0" t="str">
        <f aca="false">IF('הדבקת לידים'!A2804="","",IF(ISNUMBER('הדבקת לידים'!A2804),IF(הגדרות!$E$2&gt;0,TEXT('הדבקת לידים'!A2804,REPT("0",הגדרות!$E$2)),TEXT('הדבקת לידים'!A2804,"0")),TRIM('הדבקת לידים'!A2804)))</f>
        <v/>
      </c>
      <c r="B2804" s="0" t="str">
        <f aca="false">IF('הדבקת לידים'!B2804="","",IF(ISNUMBER('הדבקת לידים'!B2804),IF(הגדרות!$E$3&gt;0,TEXT('הדבקת לידים'!B2804,REPT("0",הגדרות!$E$3)),TEXT('הדבקת לידים'!B2804,"0")),TRIM('הדבקת לידים'!B2804)))</f>
        <v/>
      </c>
      <c r="C2804" s="0" t="n">
        <f aca="false">IF(OR(A2804&lt;&gt;"",B2804&lt;&gt;""),1,0)</f>
        <v>0</v>
      </c>
      <c r="D2804" s="0" t="str">
        <f aca="false">IF(C2804=1,MOD(ABS(SIN(ROW()*12.9898+'הדבקת לידים'!$F$2*78.233+IFERROR(--RIGHT(A2804,6),LEN(A2804))*0.0137+IFERROR(--RIGHT(B2804,6),LEN(B2804))*0.0071))*43758.5453,1),"")</f>
        <v/>
      </c>
      <c r="E2804" s="0" t="str">
        <f aca="false">IF(C2804=1,INT(MOD(ABS(SIN(D2804*7919.123+ROW()*0.618+'הדבקת לידים'!$F$2*1.3))*43758.5453,1)*1000000)*10000+ROW(),"")</f>
        <v/>
      </c>
      <c r="F2804" s="0" t="str">
        <f aca="false">IF(E2804="","",RANK(E2804,$E$2:$E$5001,1))</f>
        <v/>
      </c>
      <c r="G2804" s="0" t="n">
        <f aca="false">IF(A2804="",0,IF(SUMPRODUCT(--($A$2:$A$5001=A2804))&gt;1,1,0))</f>
        <v>0</v>
      </c>
      <c r="H2804" s="0" t="n">
        <f aca="false">ROW()-1</f>
        <v>2803</v>
      </c>
      <c r="I2804" s="0" t="str">
        <f aca="false">IF(OR(הגדרות!$E$6=0,H2804&gt;הגדרות!$E$5),"",IF(H2804-1&lt;הגדרות!$E$8*(הגדרות!$E$7+1),INT((H2804-1)/(הגדרות!$E$7+1)),הגדרות!$E$8+INT((H2804-1-הגדרות!$E$8*(הגדרות!$E$7+1))/הגדרות!$E$7)))</f>
        <v/>
      </c>
      <c r="J2804" s="0" t="str">
        <f aca="false">IF(I2804="","",IF(H2804-1&lt;הגדרות!$E$8*(הגדרות!$E$7+1),MOD(H2804-1,הגדרות!$E$7+1),MOD(H2804-1-הגדרות!$E$8*(הגדרות!$E$7+1),הגדרות!$E$7)))</f>
        <v/>
      </c>
      <c r="K2804" s="0" t="str">
        <f aca="false">IF(I2804="","",J2804*הגדרות!$E$6+I2804+1)</f>
        <v/>
      </c>
      <c r="L2804" s="0" t="str">
        <f aca="false">IF(K2804="","",MATCH(K2804,$F$2:$F$5001,0))</f>
        <v/>
      </c>
      <c r="M2804" s="0" t="str">
        <f aca="false">IF(I2804="","",INDEX(הגדרות!$A$2:$A$21,MOD(I2804+הגדרות!$E$9,הגדרות!$E$6)+1))</f>
        <v/>
      </c>
    </row>
    <row r="2805" customFormat="false" ht="15" hidden="false" customHeight="false" outlineLevel="0" collapsed="false">
      <c r="A2805" s="0" t="str">
        <f aca="false">IF('הדבקת לידים'!A2805="","",IF(ISNUMBER('הדבקת לידים'!A2805),IF(הגדרות!$E$2&gt;0,TEXT('הדבקת לידים'!A2805,REPT("0",הגדרות!$E$2)),TEXT('הדבקת לידים'!A2805,"0")),TRIM('הדבקת לידים'!A2805)))</f>
        <v/>
      </c>
      <c r="B2805" s="0" t="str">
        <f aca="false">IF('הדבקת לידים'!B2805="","",IF(ISNUMBER('הדבקת לידים'!B2805),IF(הגדרות!$E$3&gt;0,TEXT('הדבקת לידים'!B2805,REPT("0",הגדרות!$E$3)),TEXT('הדבקת לידים'!B2805,"0")),TRIM('הדבקת לידים'!B2805)))</f>
        <v/>
      </c>
      <c r="C2805" s="0" t="n">
        <f aca="false">IF(OR(A2805&lt;&gt;"",B2805&lt;&gt;""),1,0)</f>
        <v>0</v>
      </c>
      <c r="D2805" s="0" t="str">
        <f aca="false">IF(C2805=1,MOD(ABS(SIN(ROW()*12.9898+'הדבקת לידים'!$F$2*78.233+IFERROR(--RIGHT(A2805,6),LEN(A2805))*0.0137+IFERROR(--RIGHT(B2805,6),LEN(B2805))*0.0071))*43758.5453,1),"")</f>
        <v/>
      </c>
      <c r="E2805" s="0" t="str">
        <f aca="false">IF(C2805=1,INT(MOD(ABS(SIN(D2805*7919.123+ROW()*0.618+'הדבקת לידים'!$F$2*1.3))*43758.5453,1)*1000000)*10000+ROW(),"")</f>
        <v/>
      </c>
      <c r="F2805" s="0" t="str">
        <f aca="false">IF(E2805="","",RANK(E2805,$E$2:$E$5001,1))</f>
        <v/>
      </c>
      <c r="G2805" s="0" t="n">
        <f aca="false">IF(A2805="",0,IF(SUMPRODUCT(--($A$2:$A$5001=A2805))&gt;1,1,0))</f>
        <v>0</v>
      </c>
      <c r="H2805" s="0" t="n">
        <f aca="false">ROW()-1</f>
        <v>2804</v>
      </c>
      <c r="I2805" s="0" t="str">
        <f aca="false">IF(OR(הגדרות!$E$6=0,H2805&gt;הגדרות!$E$5),"",IF(H2805-1&lt;הגדרות!$E$8*(הגדרות!$E$7+1),INT((H2805-1)/(הגדרות!$E$7+1)),הגדרות!$E$8+INT((H2805-1-הגדרות!$E$8*(הגדרות!$E$7+1))/הגדרות!$E$7)))</f>
        <v/>
      </c>
      <c r="J2805" s="0" t="str">
        <f aca="false">IF(I2805="","",IF(H2805-1&lt;הגדרות!$E$8*(הגדרות!$E$7+1),MOD(H2805-1,הגדרות!$E$7+1),MOD(H2805-1-הגדרות!$E$8*(הגדרות!$E$7+1),הגדרות!$E$7)))</f>
        <v/>
      </c>
      <c r="K2805" s="0" t="str">
        <f aca="false">IF(I2805="","",J2805*הגדרות!$E$6+I2805+1)</f>
        <v/>
      </c>
      <c r="L2805" s="0" t="str">
        <f aca="false">IF(K2805="","",MATCH(K2805,$F$2:$F$5001,0))</f>
        <v/>
      </c>
      <c r="M2805" s="0" t="str">
        <f aca="false">IF(I2805="","",INDEX(הגדרות!$A$2:$A$21,MOD(I2805+הגדרות!$E$9,הגדרות!$E$6)+1))</f>
        <v/>
      </c>
    </row>
    <row r="2806" customFormat="false" ht="15" hidden="false" customHeight="false" outlineLevel="0" collapsed="false">
      <c r="A2806" s="0" t="str">
        <f aca="false">IF('הדבקת לידים'!A2806="","",IF(ISNUMBER('הדבקת לידים'!A2806),IF(הגדרות!$E$2&gt;0,TEXT('הדבקת לידים'!A2806,REPT("0",הגדרות!$E$2)),TEXT('הדבקת לידים'!A2806,"0")),TRIM('הדבקת לידים'!A2806)))</f>
        <v/>
      </c>
      <c r="B2806" s="0" t="str">
        <f aca="false">IF('הדבקת לידים'!B2806="","",IF(ISNUMBER('הדבקת לידים'!B2806),IF(הגדרות!$E$3&gt;0,TEXT('הדבקת לידים'!B2806,REPT("0",הגדרות!$E$3)),TEXT('הדבקת לידים'!B2806,"0")),TRIM('הדבקת לידים'!B2806)))</f>
        <v/>
      </c>
      <c r="C2806" s="0" t="n">
        <f aca="false">IF(OR(A2806&lt;&gt;"",B2806&lt;&gt;""),1,0)</f>
        <v>0</v>
      </c>
      <c r="D2806" s="0" t="str">
        <f aca="false">IF(C2806=1,MOD(ABS(SIN(ROW()*12.9898+'הדבקת לידים'!$F$2*78.233+IFERROR(--RIGHT(A2806,6),LEN(A2806))*0.0137+IFERROR(--RIGHT(B2806,6),LEN(B2806))*0.0071))*43758.5453,1),"")</f>
        <v/>
      </c>
      <c r="E2806" s="0" t="str">
        <f aca="false">IF(C2806=1,INT(MOD(ABS(SIN(D2806*7919.123+ROW()*0.618+'הדבקת לידים'!$F$2*1.3))*43758.5453,1)*1000000)*10000+ROW(),"")</f>
        <v/>
      </c>
      <c r="F2806" s="0" t="str">
        <f aca="false">IF(E2806="","",RANK(E2806,$E$2:$E$5001,1))</f>
        <v/>
      </c>
      <c r="G2806" s="0" t="n">
        <f aca="false">IF(A2806="",0,IF(SUMPRODUCT(--($A$2:$A$5001=A2806))&gt;1,1,0))</f>
        <v>0</v>
      </c>
      <c r="H2806" s="0" t="n">
        <f aca="false">ROW()-1</f>
        <v>2805</v>
      </c>
      <c r="I2806" s="0" t="str">
        <f aca="false">IF(OR(הגדרות!$E$6=0,H2806&gt;הגדרות!$E$5),"",IF(H2806-1&lt;הגדרות!$E$8*(הגדרות!$E$7+1),INT((H2806-1)/(הגדרות!$E$7+1)),הגדרות!$E$8+INT((H2806-1-הגדרות!$E$8*(הגדרות!$E$7+1))/הגדרות!$E$7)))</f>
        <v/>
      </c>
      <c r="J2806" s="0" t="str">
        <f aca="false">IF(I2806="","",IF(H2806-1&lt;הגדרות!$E$8*(הגדרות!$E$7+1),MOD(H2806-1,הגדרות!$E$7+1),MOD(H2806-1-הגדרות!$E$8*(הגדרות!$E$7+1),הגדרות!$E$7)))</f>
        <v/>
      </c>
      <c r="K2806" s="0" t="str">
        <f aca="false">IF(I2806="","",J2806*הגדרות!$E$6+I2806+1)</f>
        <v/>
      </c>
      <c r="L2806" s="0" t="str">
        <f aca="false">IF(K2806="","",MATCH(K2806,$F$2:$F$5001,0))</f>
        <v/>
      </c>
      <c r="M2806" s="0" t="str">
        <f aca="false">IF(I2806="","",INDEX(הגדרות!$A$2:$A$21,MOD(I2806+הגדרות!$E$9,הגדרות!$E$6)+1))</f>
        <v/>
      </c>
    </row>
    <row r="2807" customFormat="false" ht="15" hidden="false" customHeight="false" outlineLevel="0" collapsed="false">
      <c r="A2807" s="0" t="str">
        <f aca="false">IF('הדבקת לידים'!A2807="","",IF(ISNUMBER('הדבקת לידים'!A2807),IF(הגדרות!$E$2&gt;0,TEXT('הדבקת לידים'!A2807,REPT("0",הגדרות!$E$2)),TEXT('הדבקת לידים'!A2807,"0")),TRIM('הדבקת לידים'!A2807)))</f>
        <v/>
      </c>
      <c r="B2807" s="0" t="str">
        <f aca="false">IF('הדבקת לידים'!B2807="","",IF(ISNUMBER('הדבקת לידים'!B2807),IF(הגדרות!$E$3&gt;0,TEXT('הדבקת לידים'!B2807,REPT("0",הגדרות!$E$3)),TEXT('הדבקת לידים'!B2807,"0")),TRIM('הדבקת לידים'!B2807)))</f>
        <v/>
      </c>
      <c r="C2807" s="0" t="n">
        <f aca="false">IF(OR(A2807&lt;&gt;"",B2807&lt;&gt;""),1,0)</f>
        <v>0</v>
      </c>
      <c r="D2807" s="0" t="str">
        <f aca="false">IF(C2807=1,MOD(ABS(SIN(ROW()*12.9898+'הדבקת לידים'!$F$2*78.233+IFERROR(--RIGHT(A2807,6),LEN(A2807))*0.0137+IFERROR(--RIGHT(B2807,6),LEN(B2807))*0.0071))*43758.5453,1),"")</f>
        <v/>
      </c>
      <c r="E2807" s="0" t="str">
        <f aca="false">IF(C2807=1,INT(MOD(ABS(SIN(D2807*7919.123+ROW()*0.618+'הדבקת לידים'!$F$2*1.3))*43758.5453,1)*1000000)*10000+ROW(),"")</f>
        <v/>
      </c>
      <c r="F2807" s="0" t="str">
        <f aca="false">IF(E2807="","",RANK(E2807,$E$2:$E$5001,1))</f>
        <v/>
      </c>
      <c r="G2807" s="0" t="n">
        <f aca="false">IF(A2807="",0,IF(SUMPRODUCT(--($A$2:$A$5001=A2807))&gt;1,1,0))</f>
        <v>0</v>
      </c>
      <c r="H2807" s="0" t="n">
        <f aca="false">ROW()-1</f>
        <v>2806</v>
      </c>
      <c r="I2807" s="0" t="str">
        <f aca="false">IF(OR(הגדרות!$E$6=0,H2807&gt;הגדרות!$E$5),"",IF(H2807-1&lt;הגדרות!$E$8*(הגדרות!$E$7+1),INT((H2807-1)/(הגדרות!$E$7+1)),הגדרות!$E$8+INT((H2807-1-הגדרות!$E$8*(הגדרות!$E$7+1))/הגדרות!$E$7)))</f>
        <v/>
      </c>
      <c r="J2807" s="0" t="str">
        <f aca="false">IF(I2807="","",IF(H2807-1&lt;הגדרות!$E$8*(הגדרות!$E$7+1),MOD(H2807-1,הגדרות!$E$7+1),MOD(H2807-1-הגדרות!$E$8*(הגדרות!$E$7+1),הגדרות!$E$7)))</f>
        <v/>
      </c>
      <c r="K2807" s="0" t="str">
        <f aca="false">IF(I2807="","",J2807*הגדרות!$E$6+I2807+1)</f>
        <v/>
      </c>
      <c r="L2807" s="0" t="str">
        <f aca="false">IF(K2807="","",MATCH(K2807,$F$2:$F$5001,0))</f>
        <v/>
      </c>
      <c r="M2807" s="0" t="str">
        <f aca="false">IF(I2807="","",INDEX(הגדרות!$A$2:$A$21,MOD(I2807+הגדרות!$E$9,הגדרות!$E$6)+1))</f>
        <v/>
      </c>
    </row>
    <row r="2808" customFormat="false" ht="15" hidden="false" customHeight="false" outlineLevel="0" collapsed="false">
      <c r="A2808" s="0" t="str">
        <f aca="false">IF('הדבקת לידים'!A2808="","",IF(ISNUMBER('הדבקת לידים'!A2808),IF(הגדרות!$E$2&gt;0,TEXT('הדבקת לידים'!A2808,REPT("0",הגדרות!$E$2)),TEXT('הדבקת לידים'!A2808,"0")),TRIM('הדבקת לידים'!A2808)))</f>
        <v/>
      </c>
      <c r="B2808" s="0" t="str">
        <f aca="false">IF('הדבקת לידים'!B2808="","",IF(ISNUMBER('הדבקת לידים'!B2808),IF(הגדרות!$E$3&gt;0,TEXT('הדבקת לידים'!B2808,REPT("0",הגדרות!$E$3)),TEXT('הדבקת לידים'!B2808,"0")),TRIM('הדבקת לידים'!B2808)))</f>
        <v/>
      </c>
      <c r="C2808" s="0" t="n">
        <f aca="false">IF(OR(A2808&lt;&gt;"",B2808&lt;&gt;""),1,0)</f>
        <v>0</v>
      </c>
      <c r="D2808" s="0" t="str">
        <f aca="false">IF(C2808=1,MOD(ABS(SIN(ROW()*12.9898+'הדבקת לידים'!$F$2*78.233+IFERROR(--RIGHT(A2808,6),LEN(A2808))*0.0137+IFERROR(--RIGHT(B2808,6),LEN(B2808))*0.0071))*43758.5453,1),"")</f>
        <v/>
      </c>
      <c r="E2808" s="0" t="str">
        <f aca="false">IF(C2808=1,INT(MOD(ABS(SIN(D2808*7919.123+ROW()*0.618+'הדבקת לידים'!$F$2*1.3))*43758.5453,1)*1000000)*10000+ROW(),"")</f>
        <v/>
      </c>
      <c r="F2808" s="0" t="str">
        <f aca="false">IF(E2808="","",RANK(E2808,$E$2:$E$5001,1))</f>
        <v/>
      </c>
      <c r="G2808" s="0" t="n">
        <f aca="false">IF(A2808="",0,IF(SUMPRODUCT(--($A$2:$A$5001=A2808))&gt;1,1,0))</f>
        <v>0</v>
      </c>
      <c r="H2808" s="0" t="n">
        <f aca="false">ROW()-1</f>
        <v>2807</v>
      </c>
      <c r="I2808" s="0" t="str">
        <f aca="false">IF(OR(הגדרות!$E$6=0,H2808&gt;הגדרות!$E$5),"",IF(H2808-1&lt;הגדרות!$E$8*(הגדרות!$E$7+1),INT((H2808-1)/(הגדרות!$E$7+1)),הגדרות!$E$8+INT((H2808-1-הגדרות!$E$8*(הגדרות!$E$7+1))/הגדרות!$E$7)))</f>
        <v/>
      </c>
      <c r="J2808" s="0" t="str">
        <f aca="false">IF(I2808="","",IF(H2808-1&lt;הגדרות!$E$8*(הגדרות!$E$7+1),MOD(H2808-1,הגדרות!$E$7+1),MOD(H2808-1-הגדרות!$E$8*(הגדרות!$E$7+1),הגדרות!$E$7)))</f>
        <v/>
      </c>
      <c r="K2808" s="0" t="str">
        <f aca="false">IF(I2808="","",J2808*הגדרות!$E$6+I2808+1)</f>
        <v/>
      </c>
      <c r="L2808" s="0" t="str">
        <f aca="false">IF(K2808="","",MATCH(K2808,$F$2:$F$5001,0))</f>
        <v/>
      </c>
      <c r="M2808" s="0" t="str">
        <f aca="false">IF(I2808="","",INDEX(הגדרות!$A$2:$A$21,MOD(I2808+הגדרות!$E$9,הגדרות!$E$6)+1))</f>
        <v/>
      </c>
    </row>
    <row r="2809" customFormat="false" ht="15" hidden="false" customHeight="false" outlineLevel="0" collapsed="false">
      <c r="A2809" s="0" t="str">
        <f aca="false">IF('הדבקת לידים'!A2809="","",IF(ISNUMBER('הדבקת לידים'!A2809),IF(הגדרות!$E$2&gt;0,TEXT('הדבקת לידים'!A2809,REPT("0",הגדרות!$E$2)),TEXT('הדבקת לידים'!A2809,"0")),TRIM('הדבקת לידים'!A2809)))</f>
        <v/>
      </c>
      <c r="B2809" s="0" t="str">
        <f aca="false">IF('הדבקת לידים'!B2809="","",IF(ISNUMBER('הדבקת לידים'!B2809),IF(הגדרות!$E$3&gt;0,TEXT('הדבקת לידים'!B2809,REPT("0",הגדרות!$E$3)),TEXT('הדבקת לידים'!B2809,"0")),TRIM('הדבקת לידים'!B2809)))</f>
        <v/>
      </c>
      <c r="C2809" s="0" t="n">
        <f aca="false">IF(OR(A2809&lt;&gt;"",B2809&lt;&gt;""),1,0)</f>
        <v>0</v>
      </c>
      <c r="D2809" s="0" t="str">
        <f aca="false">IF(C2809=1,MOD(ABS(SIN(ROW()*12.9898+'הדבקת לידים'!$F$2*78.233+IFERROR(--RIGHT(A2809,6),LEN(A2809))*0.0137+IFERROR(--RIGHT(B2809,6),LEN(B2809))*0.0071))*43758.5453,1),"")</f>
        <v/>
      </c>
      <c r="E2809" s="0" t="str">
        <f aca="false">IF(C2809=1,INT(MOD(ABS(SIN(D2809*7919.123+ROW()*0.618+'הדבקת לידים'!$F$2*1.3))*43758.5453,1)*1000000)*10000+ROW(),"")</f>
        <v/>
      </c>
      <c r="F2809" s="0" t="str">
        <f aca="false">IF(E2809="","",RANK(E2809,$E$2:$E$5001,1))</f>
        <v/>
      </c>
      <c r="G2809" s="0" t="n">
        <f aca="false">IF(A2809="",0,IF(SUMPRODUCT(--($A$2:$A$5001=A2809))&gt;1,1,0))</f>
        <v>0</v>
      </c>
      <c r="H2809" s="0" t="n">
        <f aca="false">ROW()-1</f>
        <v>2808</v>
      </c>
      <c r="I2809" s="0" t="str">
        <f aca="false">IF(OR(הגדרות!$E$6=0,H2809&gt;הגדרות!$E$5),"",IF(H2809-1&lt;הגדרות!$E$8*(הגדרות!$E$7+1),INT((H2809-1)/(הגדרות!$E$7+1)),הגדרות!$E$8+INT((H2809-1-הגדרות!$E$8*(הגדרות!$E$7+1))/הגדרות!$E$7)))</f>
        <v/>
      </c>
      <c r="J2809" s="0" t="str">
        <f aca="false">IF(I2809="","",IF(H2809-1&lt;הגדרות!$E$8*(הגדרות!$E$7+1),MOD(H2809-1,הגדרות!$E$7+1),MOD(H2809-1-הגדרות!$E$8*(הגדרות!$E$7+1),הגדרות!$E$7)))</f>
        <v/>
      </c>
      <c r="K2809" s="0" t="str">
        <f aca="false">IF(I2809="","",J2809*הגדרות!$E$6+I2809+1)</f>
        <v/>
      </c>
      <c r="L2809" s="0" t="str">
        <f aca="false">IF(K2809="","",MATCH(K2809,$F$2:$F$5001,0))</f>
        <v/>
      </c>
      <c r="M2809" s="0" t="str">
        <f aca="false">IF(I2809="","",INDEX(הגדרות!$A$2:$A$21,MOD(I2809+הגדרות!$E$9,הגדרות!$E$6)+1))</f>
        <v/>
      </c>
    </row>
    <row r="2810" customFormat="false" ht="15" hidden="false" customHeight="false" outlineLevel="0" collapsed="false">
      <c r="A2810" s="0" t="str">
        <f aca="false">IF('הדבקת לידים'!A2810="","",IF(ISNUMBER('הדבקת לידים'!A2810),IF(הגדרות!$E$2&gt;0,TEXT('הדבקת לידים'!A2810,REPT("0",הגדרות!$E$2)),TEXT('הדבקת לידים'!A2810,"0")),TRIM('הדבקת לידים'!A2810)))</f>
        <v/>
      </c>
      <c r="B2810" s="0" t="str">
        <f aca="false">IF('הדבקת לידים'!B2810="","",IF(ISNUMBER('הדבקת לידים'!B2810),IF(הגדרות!$E$3&gt;0,TEXT('הדבקת לידים'!B2810,REPT("0",הגדרות!$E$3)),TEXT('הדבקת לידים'!B2810,"0")),TRIM('הדבקת לידים'!B2810)))</f>
        <v/>
      </c>
      <c r="C2810" s="0" t="n">
        <f aca="false">IF(OR(A2810&lt;&gt;"",B2810&lt;&gt;""),1,0)</f>
        <v>0</v>
      </c>
      <c r="D2810" s="0" t="str">
        <f aca="false">IF(C2810=1,MOD(ABS(SIN(ROW()*12.9898+'הדבקת לידים'!$F$2*78.233+IFERROR(--RIGHT(A2810,6),LEN(A2810))*0.0137+IFERROR(--RIGHT(B2810,6),LEN(B2810))*0.0071))*43758.5453,1),"")</f>
        <v/>
      </c>
      <c r="E2810" s="0" t="str">
        <f aca="false">IF(C2810=1,INT(MOD(ABS(SIN(D2810*7919.123+ROW()*0.618+'הדבקת לידים'!$F$2*1.3))*43758.5453,1)*1000000)*10000+ROW(),"")</f>
        <v/>
      </c>
      <c r="F2810" s="0" t="str">
        <f aca="false">IF(E2810="","",RANK(E2810,$E$2:$E$5001,1))</f>
        <v/>
      </c>
      <c r="G2810" s="0" t="n">
        <f aca="false">IF(A2810="",0,IF(SUMPRODUCT(--($A$2:$A$5001=A2810))&gt;1,1,0))</f>
        <v>0</v>
      </c>
      <c r="H2810" s="0" t="n">
        <f aca="false">ROW()-1</f>
        <v>2809</v>
      </c>
      <c r="I2810" s="0" t="str">
        <f aca="false">IF(OR(הגדרות!$E$6=0,H2810&gt;הגדרות!$E$5),"",IF(H2810-1&lt;הגדרות!$E$8*(הגדרות!$E$7+1),INT((H2810-1)/(הגדרות!$E$7+1)),הגדרות!$E$8+INT((H2810-1-הגדרות!$E$8*(הגדרות!$E$7+1))/הגדרות!$E$7)))</f>
        <v/>
      </c>
      <c r="J2810" s="0" t="str">
        <f aca="false">IF(I2810="","",IF(H2810-1&lt;הגדרות!$E$8*(הגדרות!$E$7+1),MOD(H2810-1,הגדרות!$E$7+1),MOD(H2810-1-הגדרות!$E$8*(הגדרות!$E$7+1),הגדרות!$E$7)))</f>
        <v/>
      </c>
      <c r="K2810" s="0" t="str">
        <f aca="false">IF(I2810="","",J2810*הגדרות!$E$6+I2810+1)</f>
        <v/>
      </c>
      <c r="L2810" s="0" t="str">
        <f aca="false">IF(K2810="","",MATCH(K2810,$F$2:$F$5001,0))</f>
        <v/>
      </c>
      <c r="M2810" s="0" t="str">
        <f aca="false">IF(I2810="","",INDEX(הגדרות!$A$2:$A$21,MOD(I2810+הגדרות!$E$9,הגדרות!$E$6)+1))</f>
        <v/>
      </c>
    </row>
    <row r="2811" customFormat="false" ht="15" hidden="false" customHeight="false" outlineLevel="0" collapsed="false">
      <c r="A2811" s="0" t="str">
        <f aca="false">IF('הדבקת לידים'!A2811="","",IF(ISNUMBER('הדבקת לידים'!A2811),IF(הגדרות!$E$2&gt;0,TEXT('הדבקת לידים'!A2811,REPT("0",הגדרות!$E$2)),TEXT('הדבקת לידים'!A2811,"0")),TRIM('הדבקת לידים'!A2811)))</f>
        <v/>
      </c>
      <c r="B2811" s="0" t="str">
        <f aca="false">IF('הדבקת לידים'!B2811="","",IF(ISNUMBER('הדבקת לידים'!B2811),IF(הגדרות!$E$3&gt;0,TEXT('הדבקת לידים'!B2811,REPT("0",הגדרות!$E$3)),TEXT('הדבקת לידים'!B2811,"0")),TRIM('הדבקת לידים'!B2811)))</f>
        <v/>
      </c>
      <c r="C2811" s="0" t="n">
        <f aca="false">IF(OR(A2811&lt;&gt;"",B2811&lt;&gt;""),1,0)</f>
        <v>0</v>
      </c>
      <c r="D2811" s="0" t="str">
        <f aca="false">IF(C2811=1,MOD(ABS(SIN(ROW()*12.9898+'הדבקת לידים'!$F$2*78.233+IFERROR(--RIGHT(A2811,6),LEN(A2811))*0.0137+IFERROR(--RIGHT(B2811,6),LEN(B2811))*0.0071))*43758.5453,1),"")</f>
        <v/>
      </c>
      <c r="E2811" s="0" t="str">
        <f aca="false">IF(C2811=1,INT(MOD(ABS(SIN(D2811*7919.123+ROW()*0.618+'הדבקת לידים'!$F$2*1.3))*43758.5453,1)*1000000)*10000+ROW(),"")</f>
        <v/>
      </c>
      <c r="F2811" s="0" t="str">
        <f aca="false">IF(E2811="","",RANK(E2811,$E$2:$E$5001,1))</f>
        <v/>
      </c>
      <c r="G2811" s="0" t="n">
        <f aca="false">IF(A2811="",0,IF(SUMPRODUCT(--($A$2:$A$5001=A2811))&gt;1,1,0))</f>
        <v>0</v>
      </c>
      <c r="H2811" s="0" t="n">
        <f aca="false">ROW()-1</f>
        <v>2810</v>
      </c>
      <c r="I2811" s="0" t="str">
        <f aca="false">IF(OR(הגדרות!$E$6=0,H2811&gt;הגדרות!$E$5),"",IF(H2811-1&lt;הגדרות!$E$8*(הגדרות!$E$7+1),INT((H2811-1)/(הגדרות!$E$7+1)),הגדרות!$E$8+INT((H2811-1-הגדרות!$E$8*(הגדרות!$E$7+1))/הגדרות!$E$7)))</f>
        <v/>
      </c>
      <c r="J2811" s="0" t="str">
        <f aca="false">IF(I2811="","",IF(H2811-1&lt;הגדרות!$E$8*(הגדרות!$E$7+1),MOD(H2811-1,הגדרות!$E$7+1),MOD(H2811-1-הגדרות!$E$8*(הגדרות!$E$7+1),הגדרות!$E$7)))</f>
        <v/>
      </c>
      <c r="K2811" s="0" t="str">
        <f aca="false">IF(I2811="","",J2811*הגדרות!$E$6+I2811+1)</f>
        <v/>
      </c>
      <c r="L2811" s="0" t="str">
        <f aca="false">IF(K2811="","",MATCH(K2811,$F$2:$F$5001,0))</f>
        <v/>
      </c>
      <c r="M2811" s="0" t="str">
        <f aca="false">IF(I2811="","",INDEX(הגדרות!$A$2:$A$21,MOD(I2811+הגדרות!$E$9,הגדרות!$E$6)+1))</f>
        <v/>
      </c>
    </row>
    <row r="2812" customFormat="false" ht="15" hidden="false" customHeight="false" outlineLevel="0" collapsed="false">
      <c r="A2812" s="0" t="str">
        <f aca="false">IF('הדבקת לידים'!A2812="","",IF(ISNUMBER('הדבקת לידים'!A2812),IF(הגדרות!$E$2&gt;0,TEXT('הדבקת לידים'!A2812,REPT("0",הגדרות!$E$2)),TEXT('הדבקת לידים'!A2812,"0")),TRIM('הדבקת לידים'!A2812)))</f>
        <v/>
      </c>
      <c r="B2812" s="0" t="str">
        <f aca="false">IF('הדבקת לידים'!B2812="","",IF(ISNUMBER('הדבקת לידים'!B2812),IF(הגדרות!$E$3&gt;0,TEXT('הדבקת לידים'!B2812,REPT("0",הגדרות!$E$3)),TEXT('הדבקת לידים'!B2812,"0")),TRIM('הדבקת לידים'!B2812)))</f>
        <v/>
      </c>
      <c r="C2812" s="0" t="n">
        <f aca="false">IF(OR(A2812&lt;&gt;"",B2812&lt;&gt;""),1,0)</f>
        <v>0</v>
      </c>
      <c r="D2812" s="0" t="str">
        <f aca="false">IF(C2812=1,MOD(ABS(SIN(ROW()*12.9898+'הדבקת לידים'!$F$2*78.233+IFERROR(--RIGHT(A2812,6),LEN(A2812))*0.0137+IFERROR(--RIGHT(B2812,6),LEN(B2812))*0.0071))*43758.5453,1),"")</f>
        <v/>
      </c>
      <c r="E2812" s="0" t="str">
        <f aca="false">IF(C2812=1,INT(MOD(ABS(SIN(D2812*7919.123+ROW()*0.618+'הדבקת לידים'!$F$2*1.3))*43758.5453,1)*1000000)*10000+ROW(),"")</f>
        <v/>
      </c>
      <c r="F2812" s="0" t="str">
        <f aca="false">IF(E2812="","",RANK(E2812,$E$2:$E$5001,1))</f>
        <v/>
      </c>
      <c r="G2812" s="0" t="n">
        <f aca="false">IF(A2812="",0,IF(SUMPRODUCT(--($A$2:$A$5001=A2812))&gt;1,1,0))</f>
        <v>0</v>
      </c>
      <c r="H2812" s="0" t="n">
        <f aca="false">ROW()-1</f>
        <v>2811</v>
      </c>
      <c r="I2812" s="0" t="str">
        <f aca="false">IF(OR(הגדרות!$E$6=0,H2812&gt;הגדרות!$E$5),"",IF(H2812-1&lt;הגדרות!$E$8*(הגדרות!$E$7+1),INT((H2812-1)/(הגדרות!$E$7+1)),הגדרות!$E$8+INT((H2812-1-הגדרות!$E$8*(הגדרות!$E$7+1))/הגדרות!$E$7)))</f>
        <v/>
      </c>
      <c r="J2812" s="0" t="str">
        <f aca="false">IF(I2812="","",IF(H2812-1&lt;הגדרות!$E$8*(הגדרות!$E$7+1),MOD(H2812-1,הגדרות!$E$7+1),MOD(H2812-1-הגדרות!$E$8*(הגדרות!$E$7+1),הגדרות!$E$7)))</f>
        <v/>
      </c>
      <c r="K2812" s="0" t="str">
        <f aca="false">IF(I2812="","",J2812*הגדרות!$E$6+I2812+1)</f>
        <v/>
      </c>
      <c r="L2812" s="0" t="str">
        <f aca="false">IF(K2812="","",MATCH(K2812,$F$2:$F$5001,0))</f>
        <v/>
      </c>
      <c r="M2812" s="0" t="str">
        <f aca="false">IF(I2812="","",INDEX(הגדרות!$A$2:$A$21,MOD(I2812+הגדרות!$E$9,הגדרות!$E$6)+1))</f>
        <v/>
      </c>
    </row>
    <row r="2813" customFormat="false" ht="15" hidden="false" customHeight="false" outlineLevel="0" collapsed="false">
      <c r="A2813" s="0" t="str">
        <f aca="false">IF('הדבקת לידים'!A2813="","",IF(ISNUMBER('הדבקת לידים'!A2813),IF(הגדרות!$E$2&gt;0,TEXT('הדבקת לידים'!A2813,REPT("0",הגדרות!$E$2)),TEXT('הדבקת לידים'!A2813,"0")),TRIM('הדבקת לידים'!A2813)))</f>
        <v/>
      </c>
      <c r="B2813" s="0" t="str">
        <f aca="false">IF('הדבקת לידים'!B2813="","",IF(ISNUMBER('הדבקת לידים'!B2813),IF(הגדרות!$E$3&gt;0,TEXT('הדבקת לידים'!B2813,REPT("0",הגדרות!$E$3)),TEXT('הדבקת לידים'!B2813,"0")),TRIM('הדבקת לידים'!B2813)))</f>
        <v/>
      </c>
      <c r="C2813" s="0" t="n">
        <f aca="false">IF(OR(A2813&lt;&gt;"",B2813&lt;&gt;""),1,0)</f>
        <v>0</v>
      </c>
      <c r="D2813" s="0" t="str">
        <f aca="false">IF(C2813=1,MOD(ABS(SIN(ROW()*12.9898+'הדבקת לידים'!$F$2*78.233+IFERROR(--RIGHT(A2813,6),LEN(A2813))*0.0137+IFERROR(--RIGHT(B2813,6),LEN(B2813))*0.0071))*43758.5453,1),"")</f>
        <v/>
      </c>
      <c r="E2813" s="0" t="str">
        <f aca="false">IF(C2813=1,INT(MOD(ABS(SIN(D2813*7919.123+ROW()*0.618+'הדבקת לידים'!$F$2*1.3))*43758.5453,1)*1000000)*10000+ROW(),"")</f>
        <v/>
      </c>
      <c r="F2813" s="0" t="str">
        <f aca="false">IF(E2813="","",RANK(E2813,$E$2:$E$5001,1))</f>
        <v/>
      </c>
      <c r="G2813" s="0" t="n">
        <f aca="false">IF(A2813="",0,IF(SUMPRODUCT(--($A$2:$A$5001=A2813))&gt;1,1,0))</f>
        <v>0</v>
      </c>
      <c r="H2813" s="0" t="n">
        <f aca="false">ROW()-1</f>
        <v>2812</v>
      </c>
      <c r="I2813" s="0" t="str">
        <f aca="false">IF(OR(הגדרות!$E$6=0,H2813&gt;הגדרות!$E$5),"",IF(H2813-1&lt;הגדרות!$E$8*(הגדרות!$E$7+1),INT((H2813-1)/(הגדרות!$E$7+1)),הגדרות!$E$8+INT((H2813-1-הגדרות!$E$8*(הגדרות!$E$7+1))/הגדרות!$E$7)))</f>
        <v/>
      </c>
      <c r="J2813" s="0" t="str">
        <f aca="false">IF(I2813="","",IF(H2813-1&lt;הגדרות!$E$8*(הגדרות!$E$7+1),MOD(H2813-1,הגדרות!$E$7+1),MOD(H2813-1-הגדרות!$E$8*(הגדרות!$E$7+1),הגדרות!$E$7)))</f>
        <v/>
      </c>
      <c r="K2813" s="0" t="str">
        <f aca="false">IF(I2813="","",J2813*הגדרות!$E$6+I2813+1)</f>
        <v/>
      </c>
      <c r="L2813" s="0" t="str">
        <f aca="false">IF(K2813="","",MATCH(K2813,$F$2:$F$5001,0))</f>
        <v/>
      </c>
      <c r="M2813" s="0" t="str">
        <f aca="false">IF(I2813="","",INDEX(הגדרות!$A$2:$A$21,MOD(I2813+הגדרות!$E$9,הגדרות!$E$6)+1))</f>
        <v/>
      </c>
    </row>
    <row r="2814" customFormat="false" ht="15" hidden="false" customHeight="false" outlineLevel="0" collapsed="false">
      <c r="A2814" s="0" t="str">
        <f aca="false">IF('הדבקת לידים'!A2814="","",IF(ISNUMBER('הדבקת לידים'!A2814),IF(הגדרות!$E$2&gt;0,TEXT('הדבקת לידים'!A2814,REPT("0",הגדרות!$E$2)),TEXT('הדבקת לידים'!A2814,"0")),TRIM('הדבקת לידים'!A2814)))</f>
        <v/>
      </c>
      <c r="B2814" s="0" t="str">
        <f aca="false">IF('הדבקת לידים'!B2814="","",IF(ISNUMBER('הדבקת לידים'!B2814),IF(הגדרות!$E$3&gt;0,TEXT('הדבקת לידים'!B2814,REPT("0",הגדרות!$E$3)),TEXT('הדבקת לידים'!B2814,"0")),TRIM('הדבקת לידים'!B2814)))</f>
        <v/>
      </c>
      <c r="C2814" s="0" t="n">
        <f aca="false">IF(OR(A2814&lt;&gt;"",B2814&lt;&gt;""),1,0)</f>
        <v>0</v>
      </c>
      <c r="D2814" s="0" t="str">
        <f aca="false">IF(C2814=1,MOD(ABS(SIN(ROW()*12.9898+'הדבקת לידים'!$F$2*78.233+IFERROR(--RIGHT(A2814,6),LEN(A2814))*0.0137+IFERROR(--RIGHT(B2814,6),LEN(B2814))*0.0071))*43758.5453,1),"")</f>
        <v/>
      </c>
      <c r="E2814" s="0" t="str">
        <f aca="false">IF(C2814=1,INT(MOD(ABS(SIN(D2814*7919.123+ROW()*0.618+'הדבקת לידים'!$F$2*1.3))*43758.5453,1)*1000000)*10000+ROW(),"")</f>
        <v/>
      </c>
      <c r="F2814" s="0" t="str">
        <f aca="false">IF(E2814="","",RANK(E2814,$E$2:$E$5001,1))</f>
        <v/>
      </c>
      <c r="G2814" s="0" t="n">
        <f aca="false">IF(A2814="",0,IF(SUMPRODUCT(--($A$2:$A$5001=A2814))&gt;1,1,0))</f>
        <v>0</v>
      </c>
      <c r="H2814" s="0" t="n">
        <f aca="false">ROW()-1</f>
        <v>2813</v>
      </c>
      <c r="I2814" s="0" t="str">
        <f aca="false">IF(OR(הגדרות!$E$6=0,H2814&gt;הגדרות!$E$5),"",IF(H2814-1&lt;הגדרות!$E$8*(הגדרות!$E$7+1),INT((H2814-1)/(הגדרות!$E$7+1)),הגדרות!$E$8+INT((H2814-1-הגדרות!$E$8*(הגדרות!$E$7+1))/הגדרות!$E$7)))</f>
        <v/>
      </c>
      <c r="J2814" s="0" t="str">
        <f aca="false">IF(I2814="","",IF(H2814-1&lt;הגדרות!$E$8*(הגדרות!$E$7+1),MOD(H2814-1,הגדרות!$E$7+1),MOD(H2814-1-הגדרות!$E$8*(הגדרות!$E$7+1),הגדרות!$E$7)))</f>
        <v/>
      </c>
      <c r="K2814" s="0" t="str">
        <f aca="false">IF(I2814="","",J2814*הגדרות!$E$6+I2814+1)</f>
        <v/>
      </c>
      <c r="L2814" s="0" t="str">
        <f aca="false">IF(K2814="","",MATCH(K2814,$F$2:$F$5001,0))</f>
        <v/>
      </c>
      <c r="M2814" s="0" t="str">
        <f aca="false">IF(I2814="","",INDEX(הגדרות!$A$2:$A$21,MOD(I2814+הגדרות!$E$9,הגדרות!$E$6)+1))</f>
        <v/>
      </c>
    </row>
    <row r="2815" customFormat="false" ht="15" hidden="false" customHeight="false" outlineLevel="0" collapsed="false">
      <c r="A2815" s="0" t="str">
        <f aca="false">IF('הדבקת לידים'!A2815="","",IF(ISNUMBER('הדבקת לידים'!A2815),IF(הגדרות!$E$2&gt;0,TEXT('הדבקת לידים'!A2815,REPT("0",הגדרות!$E$2)),TEXT('הדבקת לידים'!A2815,"0")),TRIM('הדבקת לידים'!A2815)))</f>
        <v/>
      </c>
      <c r="B2815" s="0" t="str">
        <f aca="false">IF('הדבקת לידים'!B2815="","",IF(ISNUMBER('הדבקת לידים'!B2815),IF(הגדרות!$E$3&gt;0,TEXT('הדבקת לידים'!B2815,REPT("0",הגדרות!$E$3)),TEXT('הדבקת לידים'!B2815,"0")),TRIM('הדבקת לידים'!B2815)))</f>
        <v/>
      </c>
      <c r="C2815" s="0" t="n">
        <f aca="false">IF(OR(A2815&lt;&gt;"",B2815&lt;&gt;""),1,0)</f>
        <v>0</v>
      </c>
      <c r="D2815" s="0" t="str">
        <f aca="false">IF(C2815=1,MOD(ABS(SIN(ROW()*12.9898+'הדבקת לידים'!$F$2*78.233+IFERROR(--RIGHT(A2815,6),LEN(A2815))*0.0137+IFERROR(--RIGHT(B2815,6),LEN(B2815))*0.0071))*43758.5453,1),"")</f>
        <v/>
      </c>
      <c r="E2815" s="0" t="str">
        <f aca="false">IF(C2815=1,INT(MOD(ABS(SIN(D2815*7919.123+ROW()*0.618+'הדבקת לידים'!$F$2*1.3))*43758.5453,1)*1000000)*10000+ROW(),"")</f>
        <v/>
      </c>
      <c r="F2815" s="0" t="str">
        <f aca="false">IF(E2815="","",RANK(E2815,$E$2:$E$5001,1))</f>
        <v/>
      </c>
      <c r="G2815" s="0" t="n">
        <f aca="false">IF(A2815="",0,IF(SUMPRODUCT(--($A$2:$A$5001=A2815))&gt;1,1,0))</f>
        <v>0</v>
      </c>
      <c r="H2815" s="0" t="n">
        <f aca="false">ROW()-1</f>
        <v>2814</v>
      </c>
      <c r="I2815" s="0" t="str">
        <f aca="false">IF(OR(הגדרות!$E$6=0,H2815&gt;הגדרות!$E$5),"",IF(H2815-1&lt;הגדרות!$E$8*(הגדרות!$E$7+1),INT((H2815-1)/(הגדרות!$E$7+1)),הגדרות!$E$8+INT((H2815-1-הגדרות!$E$8*(הגדרות!$E$7+1))/הגדרות!$E$7)))</f>
        <v/>
      </c>
      <c r="J2815" s="0" t="str">
        <f aca="false">IF(I2815="","",IF(H2815-1&lt;הגדרות!$E$8*(הגדרות!$E$7+1),MOD(H2815-1,הגדרות!$E$7+1),MOD(H2815-1-הגדרות!$E$8*(הגדרות!$E$7+1),הגדרות!$E$7)))</f>
        <v/>
      </c>
      <c r="K2815" s="0" t="str">
        <f aca="false">IF(I2815="","",J2815*הגדרות!$E$6+I2815+1)</f>
        <v/>
      </c>
      <c r="L2815" s="0" t="str">
        <f aca="false">IF(K2815="","",MATCH(K2815,$F$2:$F$5001,0))</f>
        <v/>
      </c>
      <c r="M2815" s="0" t="str">
        <f aca="false">IF(I2815="","",INDEX(הגדרות!$A$2:$A$21,MOD(I2815+הגדרות!$E$9,הגדרות!$E$6)+1))</f>
        <v/>
      </c>
    </row>
    <row r="2816" customFormat="false" ht="15" hidden="false" customHeight="false" outlineLevel="0" collapsed="false">
      <c r="A2816" s="0" t="str">
        <f aca="false">IF('הדבקת לידים'!A2816="","",IF(ISNUMBER('הדבקת לידים'!A2816),IF(הגדרות!$E$2&gt;0,TEXT('הדבקת לידים'!A2816,REPT("0",הגדרות!$E$2)),TEXT('הדבקת לידים'!A2816,"0")),TRIM('הדבקת לידים'!A2816)))</f>
        <v/>
      </c>
      <c r="B2816" s="0" t="str">
        <f aca="false">IF('הדבקת לידים'!B2816="","",IF(ISNUMBER('הדבקת לידים'!B2816),IF(הגדרות!$E$3&gt;0,TEXT('הדבקת לידים'!B2816,REPT("0",הגדרות!$E$3)),TEXT('הדבקת לידים'!B2816,"0")),TRIM('הדבקת לידים'!B2816)))</f>
        <v/>
      </c>
      <c r="C2816" s="0" t="n">
        <f aca="false">IF(OR(A2816&lt;&gt;"",B2816&lt;&gt;""),1,0)</f>
        <v>0</v>
      </c>
      <c r="D2816" s="0" t="str">
        <f aca="false">IF(C2816=1,MOD(ABS(SIN(ROW()*12.9898+'הדבקת לידים'!$F$2*78.233+IFERROR(--RIGHT(A2816,6),LEN(A2816))*0.0137+IFERROR(--RIGHT(B2816,6),LEN(B2816))*0.0071))*43758.5453,1),"")</f>
        <v/>
      </c>
      <c r="E2816" s="0" t="str">
        <f aca="false">IF(C2816=1,INT(MOD(ABS(SIN(D2816*7919.123+ROW()*0.618+'הדבקת לידים'!$F$2*1.3))*43758.5453,1)*1000000)*10000+ROW(),"")</f>
        <v/>
      </c>
      <c r="F2816" s="0" t="str">
        <f aca="false">IF(E2816="","",RANK(E2816,$E$2:$E$5001,1))</f>
        <v/>
      </c>
      <c r="G2816" s="0" t="n">
        <f aca="false">IF(A2816="",0,IF(SUMPRODUCT(--($A$2:$A$5001=A2816))&gt;1,1,0))</f>
        <v>0</v>
      </c>
      <c r="H2816" s="0" t="n">
        <f aca="false">ROW()-1</f>
        <v>2815</v>
      </c>
      <c r="I2816" s="0" t="str">
        <f aca="false">IF(OR(הגדרות!$E$6=0,H2816&gt;הגדרות!$E$5),"",IF(H2816-1&lt;הגדרות!$E$8*(הגדרות!$E$7+1),INT((H2816-1)/(הגדרות!$E$7+1)),הגדרות!$E$8+INT((H2816-1-הגדרות!$E$8*(הגדרות!$E$7+1))/הגדרות!$E$7)))</f>
        <v/>
      </c>
      <c r="J2816" s="0" t="str">
        <f aca="false">IF(I2816="","",IF(H2816-1&lt;הגדרות!$E$8*(הגדרות!$E$7+1),MOD(H2816-1,הגדרות!$E$7+1),MOD(H2816-1-הגדרות!$E$8*(הגדרות!$E$7+1),הגדרות!$E$7)))</f>
        <v/>
      </c>
      <c r="K2816" s="0" t="str">
        <f aca="false">IF(I2816="","",J2816*הגדרות!$E$6+I2816+1)</f>
        <v/>
      </c>
      <c r="L2816" s="0" t="str">
        <f aca="false">IF(K2816="","",MATCH(K2816,$F$2:$F$5001,0))</f>
        <v/>
      </c>
      <c r="M2816" s="0" t="str">
        <f aca="false">IF(I2816="","",INDEX(הגדרות!$A$2:$A$21,MOD(I2816+הגדרות!$E$9,הגדרות!$E$6)+1))</f>
        <v/>
      </c>
    </row>
    <row r="2817" customFormat="false" ht="15" hidden="false" customHeight="false" outlineLevel="0" collapsed="false">
      <c r="A2817" s="0" t="str">
        <f aca="false">IF('הדבקת לידים'!A2817="","",IF(ISNUMBER('הדבקת לידים'!A2817),IF(הגדרות!$E$2&gt;0,TEXT('הדבקת לידים'!A2817,REPT("0",הגדרות!$E$2)),TEXT('הדבקת לידים'!A2817,"0")),TRIM('הדבקת לידים'!A2817)))</f>
        <v/>
      </c>
      <c r="B2817" s="0" t="str">
        <f aca="false">IF('הדבקת לידים'!B2817="","",IF(ISNUMBER('הדבקת לידים'!B2817),IF(הגדרות!$E$3&gt;0,TEXT('הדבקת לידים'!B2817,REPT("0",הגדרות!$E$3)),TEXT('הדבקת לידים'!B2817,"0")),TRIM('הדבקת לידים'!B2817)))</f>
        <v/>
      </c>
      <c r="C2817" s="0" t="n">
        <f aca="false">IF(OR(A2817&lt;&gt;"",B2817&lt;&gt;""),1,0)</f>
        <v>0</v>
      </c>
      <c r="D2817" s="0" t="str">
        <f aca="false">IF(C2817=1,MOD(ABS(SIN(ROW()*12.9898+'הדבקת לידים'!$F$2*78.233+IFERROR(--RIGHT(A2817,6),LEN(A2817))*0.0137+IFERROR(--RIGHT(B2817,6),LEN(B2817))*0.0071))*43758.5453,1),"")</f>
        <v/>
      </c>
      <c r="E2817" s="0" t="str">
        <f aca="false">IF(C2817=1,INT(MOD(ABS(SIN(D2817*7919.123+ROW()*0.618+'הדבקת לידים'!$F$2*1.3))*43758.5453,1)*1000000)*10000+ROW(),"")</f>
        <v/>
      </c>
      <c r="F2817" s="0" t="str">
        <f aca="false">IF(E2817="","",RANK(E2817,$E$2:$E$5001,1))</f>
        <v/>
      </c>
      <c r="G2817" s="0" t="n">
        <f aca="false">IF(A2817="",0,IF(SUMPRODUCT(--($A$2:$A$5001=A2817))&gt;1,1,0))</f>
        <v>0</v>
      </c>
      <c r="H2817" s="0" t="n">
        <f aca="false">ROW()-1</f>
        <v>2816</v>
      </c>
      <c r="I2817" s="0" t="str">
        <f aca="false">IF(OR(הגדרות!$E$6=0,H2817&gt;הגדרות!$E$5),"",IF(H2817-1&lt;הגדרות!$E$8*(הגדרות!$E$7+1),INT((H2817-1)/(הגדרות!$E$7+1)),הגדרות!$E$8+INT((H2817-1-הגדרות!$E$8*(הגדרות!$E$7+1))/הגדרות!$E$7)))</f>
        <v/>
      </c>
      <c r="J2817" s="0" t="str">
        <f aca="false">IF(I2817="","",IF(H2817-1&lt;הגדרות!$E$8*(הגדרות!$E$7+1),MOD(H2817-1,הגדרות!$E$7+1),MOD(H2817-1-הגדרות!$E$8*(הגדרות!$E$7+1),הגדרות!$E$7)))</f>
        <v/>
      </c>
      <c r="K2817" s="0" t="str">
        <f aca="false">IF(I2817="","",J2817*הגדרות!$E$6+I2817+1)</f>
        <v/>
      </c>
      <c r="L2817" s="0" t="str">
        <f aca="false">IF(K2817="","",MATCH(K2817,$F$2:$F$5001,0))</f>
        <v/>
      </c>
      <c r="M2817" s="0" t="str">
        <f aca="false">IF(I2817="","",INDEX(הגדרות!$A$2:$A$21,MOD(I2817+הגדרות!$E$9,הגדרות!$E$6)+1))</f>
        <v/>
      </c>
    </row>
    <row r="2818" customFormat="false" ht="15" hidden="false" customHeight="false" outlineLevel="0" collapsed="false">
      <c r="A2818" s="0" t="str">
        <f aca="false">IF('הדבקת לידים'!A2818="","",IF(ISNUMBER('הדבקת לידים'!A2818),IF(הגדרות!$E$2&gt;0,TEXT('הדבקת לידים'!A2818,REPT("0",הגדרות!$E$2)),TEXT('הדבקת לידים'!A2818,"0")),TRIM('הדבקת לידים'!A2818)))</f>
        <v/>
      </c>
      <c r="B2818" s="0" t="str">
        <f aca="false">IF('הדבקת לידים'!B2818="","",IF(ISNUMBER('הדבקת לידים'!B2818),IF(הגדרות!$E$3&gt;0,TEXT('הדבקת לידים'!B2818,REPT("0",הגדרות!$E$3)),TEXT('הדבקת לידים'!B2818,"0")),TRIM('הדבקת לידים'!B2818)))</f>
        <v/>
      </c>
      <c r="C2818" s="0" t="n">
        <f aca="false">IF(OR(A2818&lt;&gt;"",B2818&lt;&gt;""),1,0)</f>
        <v>0</v>
      </c>
      <c r="D2818" s="0" t="str">
        <f aca="false">IF(C2818=1,MOD(ABS(SIN(ROW()*12.9898+'הדבקת לידים'!$F$2*78.233+IFERROR(--RIGHT(A2818,6),LEN(A2818))*0.0137+IFERROR(--RIGHT(B2818,6),LEN(B2818))*0.0071))*43758.5453,1),"")</f>
        <v/>
      </c>
      <c r="E2818" s="0" t="str">
        <f aca="false">IF(C2818=1,INT(MOD(ABS(SIN(D2818*7919.123+ROW()*0.618+'הדבקת לידים'!$F$2*1.3))*43758.5453,1)*1000000)*10000+ROW(),"")</f>
        <v/>
      </c>
      <c r="F2818" s="0" t="str">
        <f aca="false">IF(E2818="","",RANK(E2818,$E$2:$E$5001,1))</f>
        <v/>
      </c>
      <c r="G2818" s="0" t="n">
        <f aca="false">IF(A2818="",0,IF(SUMPRODUCT(--($A$2:$A$5001=A2818))&gt;1,1,0))</f>
        <v>0</v>
      </c>
      <c r="H2818" s="0" t="n">
        <f aca="false">ROW()-1</f>
        <v>2817</v>
      </c>
      <c r="I2818" s="0" t="str">
        <f aca="false">IF(OR(הגדרות!$E$6=0,H2818&gt;הגדרות!$E$5),"",IF(H2818-1&lt;הגדרות!$E$8*(הגדרות!$E$7+1),INT((H2818-1)/(הגדרות!$E$7+1)),הגדרות!$E$8+INT((H2818-1-הגדרות!$E$8*(הגדרות!$E$7+1))/הגדרות!$E$7)))</f>
        <v/>
      </c>
      <c r="J2818" s="0" t="str">
        <f aca="false">IF(I2818="","",IF(H2818-1&lt;הגדרות!$E$8*(הגדרות!$E$7+1),MOD(H2818-1,הגדרות!$E$7+1),MOD(H2818-1-הגדרות!$E$8*(הגדרות!$E$7+1),הגדרות!$E$7)))</f>
        <v/>
      </c>
      <c r="K2818" s="0" t="str">
        <f aca="false">IF(I2818="","",J2818*הגדרות!$E$6+I2818+1)</f>
        <v/>
      </c>
      <c r="L2818" s="0" t="str">
        <f aca="false">IF(K2818="","",MATCH(K2818,$F$2:$F$5001,0))</f>
        <v/>
      </c>
      <c r="M2818" s="0" t="str">
        <f aca="false">IF(I2818="","",INDEX(הגדרות!$A$2:$A$21,MOD(I2818+הגדרות!$E$9,הגדרות!$E$6)+1))</f>
        <v/>
      </c>
    </row>
    <row r="2819" customFormat="false" ht="15" hidden="false" customHeight="false" outlineLevel="0" collapsed="false">
      <c r="A2819" s="0" t="str">
        <f aca="false">IF('הדבקת לידים'!A2819="","",IF(ISNUMBER('הדבקת לידים'!A2819),IF(הגדרות!$E$2&gt;0,TEXT('הדבקת לידים'!A2819,REPT("0",הגדרות!$E$2)),TEXT('הדבקת לידים'!A2819,"0")),TRIM('הדבקת לידים'!A2819)))</f>
        <v/>
      </c>
      <c r="B2819" s="0" t="str">
        <f aca="false">IF('הדבקת לידים'!B2819="","",IF(ISNUMBER('הדבקת לידים'!B2819),IF(הגדרות!$E$3&gt;0,TEXT('הדבקת לידים'!B2819,REPT("0",הגדרות!$E$3)),TEXT('הדבקת לידים'!B2819,"0")),TRIM('הדבקת לידים'!B2819)))</f>
        <v/>
      </c>
      <c r="C2819" s="0" t="n">
        <f aca="false">IF(OR(A2819&lt;&gt;"",B2819&lt;&gt;""),1,0)</f>
        <v>0</v>
      </c>
      <c r="D2819" s="0" t="str">
        <f aca="false">IF(C2819=1,MOD(ABS(SIN(ROW()*12.9898+'הדבקת לידים'!$F$2*78.233+IFERROR(--RIGHT(A2819,6),LEN(A2819))*0.0137+IFERROR(--RIGHT(B2819,6),LEN(B2819))*0.0071))*43758.5453,1),"")</f>
        <v/>
      </c>
      <c r="E2819" s="0" t="str">
        <f aca="false">IF(C2819=1,INT(MOD(ABS(SIN(D2819*7919.123+ROW()*0.618+'הדבקת לידים'!$F$2*1.3))*43758.5453,1)*1000000)*10000+ROW(),"")</f>
        <v/>
      </c>
      <c r="F2819" s="0" t="str">
        <f aca="false">IF(E2819="","",RANK(E2819,$E$2:$E$5001,1))</f>
        <v/>
      </c>
      <c r="G2819" s="0" t="n">
        <f aca="false">IF(A2819="",0,IF(SUMPRODUCT(--($A$2:$A$5001=A2819))&gt;1,1,0))</f>
        <v>0</v>
      </c>
      <c r="H2819" s="0" t="n">
        <f aca="false">ROW()-1</f>
        <v>2818</v>
      </c>
      <c r="I2819" s="0" t="str">
        <f aca="false">IF(OR(הגדרות!$E$6=0,H2819&gt;הגדרות!$E$5),"",IF(H2819-1&lt;הגדרות!$E$8*(הגדרות!$E$7+1),INT((H2819-1)/(הגדרות!$E$7+1)),הגדרות!$E$8+INT((H2819-1-הגדרות!$E$8*(הגדרות!$E$7+1))/הגדרות!$E$7)))</f>
        <v/>
      </c>
      <c r="J2819" s="0" t="str">
        <f aca="false">IF(I2819="","",IF(H2819-1&lt;הגדרות!$E$8*(הגדרות!$E$7+1),MOD(H2819-1,הגדרות!$E$7+1),MOD(H2819-1-הגדרות!$E$8*(הגדרות!$E$7+1),הגדרות!$E$7)))</f>
        <v/>
      </c>
      <c r="K2819" s="0" t="str">
        <f aca="false">IF(I2819="","",J2819*הגדרות!$E$6+I2819+1)</f>
        <v/>
      </c>
      <c r="L2819" s="0" t="str">
        <f aca="false">IF(K2819="","",MATCH(K2819,$F$2:$F$5001,0))</f>
        <v/>
      </c>
      <c r="M2819" s="0" t="str">
        <f aca="false">IF(I2819="","",INDEX(הגדרות!$A$2:$A$21,MOD(I2819+הגדרות!$E$9,הגדרות!$E$6)+1))</f>
        <v/>
      </c>
    </row>
    <row r="2820" customFormat="false" ht="15" hidden="false" customHeight="false" outlineLevel="0" collapsed="false">
      <c r="A2820" s="0" t="str">
        <f aca="false">IF('הדבקת לידים'!A2820="","",IF(ISNUMBER('הדבקת לידים'!A2820),IF(הגדרות!$E$2&gt;0,TEXT('הדבקת לידים'!A2820,REPT("0",הגדרות!$E$2)),TEXT('הדבקת לידים'!A2820,"0")),TRIM('הדבקת לידים'!A2820)))</f>
        <v/>
      </c>
      <c r="B2820" s="0" t="str">
        <f aca="false">IF('הדבקת לידים'!B2820="","",IF(ISNUMBER('הדבקת לידים'!B2820),IF(הגדרות!$E$3&gt;0,TEXT('הדבקת לידים'!B2820,REPT("0",הגדרות!$E$3)),TEXT('הדבקת לידים'!B2820,"0")),TRIM('הדבקת לידים'!B2820)))</f>
        <v/>
      </c>
      <c r="C2820" s="0" t="n">
        <f aca="false">IF(OR(A2820&lt;&gt;"",B2820&lt;&gt;""),1,0)</f>
        <v>0</v>
      </c>
      <c r="D2820" s="0" t="str">
        <f aca="false">IF(C2820=1,MOD(ABS(SIN(ROW()*12.9898+'הדבקת לידים'!$F$2*78.233+IFERROR(--RIGHT(A2820,6),LEN(A2820))*0.0137+IFERROR(--RIGHT(B2820,6),LEN(B2820))*0.0071))*43758.5453,1),"")</f>
        <v/>
      </c>
      <c r="E2820" s="0" t="str">
        <f aca="false">IF(C2820=1,INT(MOD(ABS(SIN(D2820*7919.123+ROW()*0.618+'הדבקת לידים'!$F$2*1.3))*43758.5453,1)*1000000)*10000+ROW(),"")</f>
        <v/>
      </c>
      <c r="F2820" s="0" t="str">
        <f aca="false">IF(E2820="","",RANK(E2820,$E$2:$E$5001,1))</f>
        <v/>
      </c>
      <c r="G2820" s="0" t="n">
        <f aca="false">IF(A2820="",0,IF(SUMPRODUCT(--($A$2:$A$5001=A2820))&gt;1,1,0))</f>
        <v>0</v>
      </c>
      <c r="H2820" s="0" t="n">
        <f aca="false">ROW()-1</f>
        <v>2819</v>
      </c>
      <c r="I2820" s="0" t="str">
        <f aca="false">IF(OR(הגדרות!$E$6=0,H2820&gt;הגדרות!$E$5),"",IF(H2820-1&lt;הגדרות!$E$8*(הגדרות!$E$7+1),INT((H2820-1)/(הגדרות!$E$7+1)),הגדרות!$E$8+INT((H2820-1-הגדרות!$E$8*(הגדרות!$E$7+1))/הגדרות!$E$7)))</f>
        <v/>
      </c>
      <c r="J2820" s="0" t="str">
        <f aca="false">IF(I2820="","",IF(H2820-1&lt;הגדרות!$E$8*(הגדרות!$E$7+1),MOD(H2820-1,הגדרות!$E$7+1),MOD(H2820-1-הגדרות!$E$8*(הגדרות!$E$7+1),הגדרות!$E$7)))</f>
        <v/>
      </c>
      <c r="K2820" s="0" t="str">
        <f aca="false">IF(I2820="","",J2820*הגדרות!$E$6+I2820+1)</f>
        <v/>
      </c>
      <c r="L2820" s="0" t="str">
        <f aca="false">IF(K2820="","",MATCH(K2820,$F$2:$F$5001,0))</f>
        <v/>
      </c>
      <c r="M2820" s="0" t="str">
        <f aca="false">IF(I2820="","",INDEX(הגדרות!$A$2:$A$21,MOD(I2820+הגדרות!$E$9,הגדרות!$E$6)+1))</f>
        <v/>
      </c>
    </row>
    <row r="2821" customFormat="false" ht="15" hidden="false" customHeight="false" outlineLevel="0" collapsed="false">
      <c r="A2821" s="0" t="str">
        <f aca="false">IF('הדבקת לידים'!A2821="","",IF(ISNUMBER('הדבקת לידים'!A2821),IF(הגדרות!$E$2&gt;0,TEXT('הדבקת לידים'!A2821,REPT("0",הגדרות!$E$2)),TEXT('הדבקת לידים'!A2821,"0")),TRIM('הדבקת לידים'!A2821)))</f>
        <v/>
      </c>
      <c r="B2821" s="0" t="str">
        <f aca="false">IF('הדבקת לידים'!B2821="","",IF(ISNUMBER('הדבקת לידים'!B2821),IF(הגדרות!$E$3&gt;0,TEXT('הדבקת לידים'!B2821,REPT("0",הגדרות!$E$3)),TEXT('הדבקת לידים'!B2821,"0")),TRIM('הדבקת לידים'!B2821)))</f>
        <v/>
      </c>
      <c r="C2821" s="0" t="n">
        <f aca="false">IF(OR(A2821&lt;&gt;"",B2821&lt;&gt;""),1,0)</f>
        <v>0</v>
      </c>
      <c r="D2821" s="0" t="str">
        <f aca="false">IF(C2821=1,MOD(ABS(SIN(ROW()*12.9898+'הדבקת לידים'!$F$2*78.233+IFERROR(--RIGHT(A2821,6),LEN(A2821))*0.0137+IFERROR(--RIGHT(B2821,6),LEN(B2821))*0.0071))*43758.5453,1),"")</f>
        <v/>
      </c>
      <c r="E2821" s="0" t="str">
        <f aca="false">IF(C2821=1,INT(MOD(ABS(SIN(D2821*7919.123+ROW()*0.618+'הדבקת לידים'!$F$2*1.3))*43758.5453,1)*1000000)*10000+ROW(),"")</f>
        <v/>
      </c>
      <c r="F2821" s="0" t="str">
        <f aca="false">IF(E2821="","",RANK(E2821,$E$2:$E$5001,1))</f>
        <v/>
      </c>
      <c r="G2821" s="0" t="n">
        <f aca="false">IF(A2821="",0,IF(SUMPRODUCT(--($A$2:$A$5001=A2821))&gt;1,1,0))</f>
        <v>0</v>
      </c>
      <c r="H2821" s="0" t="n">
        <f aca="false">ROW()-1</f>
        <v>2820</v>
      </c>
      <c r="I2821" s="0" t="str">
        <f aca="false">IF(OR(הגדרות!$E$6=0,H2821&gt;הגדרות!$E$5),"",IF(H2821-1&lt;הגדרות!$E$8*(הגדרות!$E$7+1),INT((H2821-1)/(הגדרות!$E$7+1)),הגדרות!$E$8+INT((H2821-1-הגדרות!$E$8*(הגדרות!$E$7+1))/הגדרות!$E$7)))</f>
        <v/>
      </c>
      <c r="J2821" s="0" t="str">
        <f aca="false">IF(I2821="","",IF(H2821-1&lt;הגדרות!$E$8*(הגדרות!$E$7+1),MOD(H2821-1,הגדרות!$E$7+1),MOD(H2821-1-הגדרות!$E$8*(הגדרות!$E$7+1),הגדרות!$E$7)))</f>
        <v/>
      </c>
      <c r="K2821" s="0" t="str">
        <f aca="false">IF(I2821="","",J2821*הגדרות!$E$6+I2821+1)</f>
        <v/>
      </c>
      <c r="L2821" s="0" t="str">
        <f aca="false">IF(K2821="","",MATCH(K2821,$F$2:$F$5001,0))</f>
        <v/>
      </c>
      <c r="M2821" s="0" t="str">
        <f aca="false">IF(I2821="","",INDEX(הגדרות!$A$2:$A$21,MOD(I2821+הגדרות!$E$9,הגדרות!$E$6)+1))</f>
        <v/>
      </c>
    </row>
    <row r="2822" customFormat="false" ht="15" hidden="false" customHeight="false" outlineLevel="0" collapsed="false">
      <c r="A2822" s="0" t="str">
        <f aca="false">IF('הדבקת לידים'!A2822="","",IF(ISNUMBER('הדבקת לידים'!A2822),IF(הגדרות!$E$2&gt;0,TEXT('הדבקת לידים'!A2822,REPT("0",הגדרות!$E$2)),TEXT('הדבקת לידים'!A2822,"0")),TRIM('הדבקת לידים'!A2822)))</f>
        <v/>
      </c>
      <c r="B2822" s="0" t="str">
        <f aca="false">IF('הדבקת לידים'!B2822="","",IF(ISNUMBER('הדבקת לידים'!B2822),IF(הגדרות!$E$3&gt;0,TEXT('הדבקת לידים'!B2822,REPT("0",הגדרות!$E$3)),TEXT('הדבקת לידים'!B2822,"0")),TRIM('הדבקת לידים'!B2822)))</f>
        <v/>
      </c>
      <c r="C2822" s="0" t="n">
        <f aca="false">IF(OR(A2822&lt;&gt;"",B2822&lt;&gt;""),1,0)</f>
        <v>0</v>
      </c>
      <c r="D2822" s="0" t="str">
        <f aca="false">IF(C2822=1,MOD(ABS(SIN(ROW()*12.9898+'הדבקת לידים'!$F$2*78.233+IFERROR(--RIGHT(A2822,6),LEN(A2822))*0.0137+IFERROR(--RIGHT(B2822,6),LEN(B2822))*0.0071))*43758.5453,1),"")</f>
        <v/>
      </c>
      <c r="E2822" s="0" t="str">
        <f aca="false">IF(C2822=1,INT(MOD(ABS(SIN(D2822*7919.123+ROW()*0.618+'הדבקת לידים'!$F$2*1.3))*43758.5453,1)*1000000)*10000+ROW(),"")</f>
        <v/>
      </c>
      <c r="F2822" s="0" t="str">
        <f aca="false">IF(E2822="","",RANK(E2822,$E$2:$E$5001,1))</f>
        <v/>
      </c>
      <c r="G2822" s="0" t="n">
        <f aca="false">IF(A2822="",0,IF(SUMPRODUCT(--($A$2:$A$5001=A2822))&gt;1,1,0))</f>
        <v>0</v>
      </c>
      <c r="H2822" s="0" t="n">
        <f aca="false">ROW()-1</f>
        <v>2821</v>
      </c>
      <c r="I2822" s="0" t="str">
        <f aca="false">IF(OR(הגדרות!$E$6=0,H2822&gt;הגדרות!$E$5),"",IF(H2822-1&lt;הגדרות!$E$8*(הגדרות!$E$7+1),INT((H2822-1)/(הגדרות!$E$7+1)),הגדרות!$E$8+INT((H2822-1-הגדרות!$E$8*(הגדרות!$E$7+1))/הגדרות!$E$7)))</f>
        <v/>
      </c>
      <c r="J2822" s="0" t="str">
        <f aca="false">IF(I2822="","",IF(H2822-1&lt;הגדרות!$E$8*(הגדרות!$E$7+1),MOD(H2822-1,הגדרות!$E$7+1),MOD(H2822-1-הגדרות!$E$8*(הגדרות!$E$7+1),הגדרות!$E$7)))</f>
        <v/>
      </c>
      <c r="K2822" s="0" t="str">
        <f aca="false">IF(I2822="","",J2822*הגדרות!$E$6+I2822+1)</f>
        <v/>
      </c>
      <c r="L2822" s="0" t="str">
        <f aca="false">IF(K2822="","",MATCH(K2822,$F$2:$F$5001,0))</f>
        <v/>
      </c>
      <c r="M2822" s="0" t="str">
        <f aca="false">IF(I2822="","",INDEX(הגדרות!$A$2:$A$21,MOD(I2822+הגדרות!$E$9,הגדרות!$E$6)+1))</f>
        <v/>
      </c>
    </row>
    <row r="2823" customFormat="false" ht="15" hidden="false" customHeight="false" outlineLevel="0" collapsed="false">
      <c r="A2823" s="0" t="str">
        <f aca="false">IF('הדבקת לידים'!A2823="","",IF(ISNUMBER('הדבקת לידים'!A2823),IF(הגדרות!$E$2&gt;0,TEXT('הדבקת לידים'!A2823,REPT("0",הגדרות!$E$2)),TEXT('הדבקת לידים'!A2823,"0")),TRIM('הדבקת לידים'!A2823)))</f>
        <v/>
      </c>
      <c r="B2823" s="0" t="str">
        <f aca="false">IF('הדבקת לידים'!B2823="","",IF(ISNUMBER('הדבקת לידים'!B2823),IF(הגדרות!$E$3&gt;0,TEXT('הדבקת לידים'!B2823,REPT("0",הגדרות!$E$3)),TEXT('הדבקת לידים'!B2823,"0")),TRIM('הדבקת לידים'!B2823)))</f>
        <v/>
      </c>
      <c r="C2823" s="0" t="n">
        <f aca="false">IF(OR(A2823&lt;&gt;"",B2823&lt;&gt;""),1,0)</f>
        <v>0</v>
      </c>
      <c r="D2823" s="0" t="str">
        <f aca="false">IF(C2823=1,MOD(ABS(SIN(ROW()*12.9898+'הדבקת לידים'!$F$2*78.233+IFERROR(--RIGHT(A2823,6),LEN(A2823))*0.0137+IFERROR(--RIGHT(B2823,6),LEN(B2823))*0.0071))*43758.5453,1),"")</f>
        <v/>
      </c>
      <c r="E2823" s="0" t="str">
        <f aca="false">IF(C2823=1,INT(MOD(ABS(SIN(D2823*7919.123+ROW()*0.618+'הדבקת לידים'!$F$2*1.3))*43758.5453,1)*1000000)*10000+ROW(),"")</f>
        <v/>
      </c>
      <c r="F2823" s="0" t="str">
        <f aca="false">IF(E2823="","",RANK(E2823,$E$2:$E$5001,1))</f>
        <v/>
      </c>
      <c r="G2823" s="0" t="n">
        <f aca="false">IF(A2823="",0,IF(SUMPRODUCT(--($A$2:$A$5001=A2823))&gt;1,1,0))</f>
        <v>0</v>
      </c>
      <c r="H2823" s="0" t="n">
        <f aca="false">ROW()-1</f>
        <v>2822</v>
      </c>
      <c r="I2823" s="0" t="str">
        <f aca="false">IF(OR(הגדרות!$E$6=0,H2823&gt;הגדרות!$E$5),"",IF(H2823-1&lt;הגדרות!$E$8*(הגדרות!$E$7+1),INT((H2823-1)/(הגדרות!$E$7+1)),הגדרות!$E$8+INT((H2823-1-הגדרות!$E$8*(הגדרות!$E$7+1))/הגדרות!$E$7)))</f>
        <v/>
      </c>
      <c r="J2823" s="0" t="str">
        <f aca="false">IF(I2823="","",IF(H2823-1&lt;הגדרות!$E$8*(הגדרות!$E$7+1),MOD(H2823-1,הגדרות!$E$7+1),MOD(H2823-1-הגדרות!$E$8*(הגדרות!$E$7+1),הגדרות!$E$7)))</f>
        <v/>
      </c>
      <c r="K2823" s="0" t="str">
        <f aca="false">IF(I2823="","",J2823*הגדרות!$E$6+I2823+1)</f>
        <v/>
      </c>
      <c r="L2823" s="0" t="str">
        <f aca="false">IF(K2823="","",MATCH(K2823,$F$2:$F$5001,0))</f>
        <v/>
      </c>
      <c r="M2823" s="0" t="str">
        <f aca="false">IF(I2823="","",INDEX(הגדרות!$A$2:$A$21,MOD(I2823+הגדרות!$E$9,הגדרות!$E$6)+1))</f>
        <v/>
      </c>
    </row>
    <row r="2824" customFormat="false" ht="15" hidden="false" customHeight="false" outlineLevel="0" collapsed="false">
      <c r="A2824" s="0" t="str">
        <f aca="false">IF('הדבקת לידים'!A2824="","",IF(ISNUMBER('הדבקת לידים'!A2824),IF(הגדרות!$E$2&gt;0,TEXT('הדבקת לידים'!A2824,REPT("0",הגדרות!$E$2)),TEXT('הדבקת לידים'!A2824,"0")),TRIM('הדבקת לידים'!A2824)))</f>
        <v/>
      </c>
      <c r="B2824" s="0" t="str">
        <f aca="false">IF('הדבקת לידים'!B2824="","",IF(ISNUMBER('הדבקת לידים'!B2824),IF(הגדרות!$E$3&gt;0,TEXT('הדבקת לידים'!B2824,REPT("0",הגדרות!$E$3)),TEXT('הדבקת לידים'!B2824,"0")),TRIM('הדבקת לידים'!B2824)))</f>
        <v/>
      </c>
      <c r="C2824" s="0" t="n">
        <f aca="false">IF(OR(A2824&lt;&gt;"",B2824&lt;&gt;""),1,0)</f>
        <v>0</v>
      </c>
      <c r="D2824" s="0" t="str">
        <f aca="false">IF(C2824=1,MOD(ABS(SIN(ROW()*12.9898+'הדבקת לידים'!$F$2*78.233+IFERROR(--RIGHT(A2824,6),LEN(A2824))*0.0137+IFERROR(--RIGHT(B2824,6),LEN(B2824))*0.0071))*43758.5453,1),"")</f>
        <v/>
      </c>
      <c r="E2824" s="0" t="str">
        <f aca="false">IF(C2824=1,INT(MOD(ABS(SIN(D2824*7919.123+ROW()*0.618+'הדבקת לידים'!$F$2*1.3))*43758.5453,1)*1000000)*10000+ROW(),"")</f>
        <v/>
      </c>
      <c r="F2824" s="0" t="str">
        <f aca="false">IF(E2824="","",RANK(E2824,$E$2:$E$5001,1))</f>
        <v/>
      </c>
      <c r="G2824" s="0" t="n">
        <f aca="false">IF(A2824="",0,IF(SUMPRODUCT(--($A$2:$A$5001=A2824))&gt;1,1,0))</f>
        <v>0</v>
      </c>
      <c r="H2824" s="0" t="n">
        <f aca="false">ROW()-1</f>
        <v>2823</v>
      </c>
      <c r="I2824" s="0" t="str">
        <f aca="false">IF(OR(הגדרות!$E$6=0,H2824&gt;הגדרות!$E$5),"",IF(H2824-1&lt;הגדרות!$E$8*(הגדרות!$E$7+1),INT((H2824-1)/(הגדרות!$E$7+1)),הגדרות!$E$8+INT((H2824-1-הגדרות!$E$8*(הגדרות!$E$7+1))/הגדרות!$E$7)))</f>
        <v/>
      </c>
      <c r="J2824" s="0" t="str">
        <f aca="false">IF(I2824="","",IF(H2824-1&lt;הגדרות!$E$8*(הגדרות!$E$7+1),MOD(H2824-1,הגדרות!$E$7+1),MOD(H2824-1-הגדרות!$E$8*(הגדרות!$E$7+1),הגדרות!$E$7)))</f>
        <v/>
      </c>
      <c r="K2824" s="0" t="str">
        <f aca="false">IF(I2824="","",J2824*הגדרות!$E$6+I2824+1)</f>
        <v/>
      </c>
      <c r="L2824" s="0" t="str">
        <f aca="false">IF(K2824="","",MATCH(K2824,$F$2:$F$5001,0))</f>
        <v/>
      </c>
      <c r="M2824" s="0" t="str">
        <f aca="false">IF(I2824="","",INDEX(הגדרות!$A$2:$A$21,MOD(I2824+הגדרות!$E$9,הגדרות!$E$6)+1))</f>
        <v/>
      </c>
    </row>
    <row r="2825" customFormat="false" ht="15" hidden="false" customHeight="false" outlineLevel="0" collapsed="false">
      <c r="A2825" s="0" t="str">
        <f aca="false">IF('הדבקת לידים'!A2825="","",IF(ISNUMBER('הדבקת לידים'!A2825),IF(הגדרות!$E$2&gt;0,TEXT('הדבקת לידים'!A2825,REPT("0",הגדרות!$E$2)),TEXT('הדבקת לידים'!A2825,"0")),TRIM('הדבקת לידים'!A2825)))</f>
        <v/>
      </c>
      <c r="B2825" s="0" t="str">
        <f aca="false">IF('הדבקת לידים'!B2825="","",IF(ISNUMBER('הדבקת לידים'!B2825),IF(הגדרות!$E$3&gt;0,TEXT('הדבקת לידים'!B2825,REPT("0",הגדרות!$E$3)),TEXT('הדבקת לידים'!B2825,"0")),TRIM('הדבקת לידים'!B2825)))</f>
        <v/>
      </c>
      <c r="C2825" s="0" t="n">
        <f aca="false">IF(OR(A2825&lt;&gt;"",B2825&lt;&gt;""),1,0)</f>
        <v>0</v>
      </c>
      <c r="D2825" s="0" t="str">
        <f aca="false">IF(C2825=1,MOD(ABS(SIN(ROW()*12.9898+'הדבקת לידים'!$F$2*78.233+IFERROR(--RIGHT(A2825,6),LEN(A2825))*0.0137+IFERROR(--RIGHT(B2825,6),LEN(B2825))*0.0071))*43758.5453,1),"")</f>
        <v/>
      </c>
      <c r="E2825" s="0" t="str">
        <f aca="false">IF(C2825=1,INT(MOD(ABS(SIN(D2825*7919.123+ROW()*0.618+'הדבקת לידים'!$F$2*1.3))*43758.5453,1)*1000000)*10000+ROW(),"")</f>
        <v/>
      </c>
      <c r="F2825" s="0" t="str">
        <f aca="false">IF(E2825="","",RANK(E2825,$E$2:$E$5001,1))</f>
        <v/>
      </c>
      <c r="G2825" s="0" t="n">
        <f aca="false">IF(A2825="",0,IF(SUMPRODUCT(--($A$2:$A$5001=A2825))&gt;1,1,0))</f>
        <v>0</v>
      </c>
      <c r="H2825" s="0" t="n">
        <f aca="false">ROW()-1</f>
        <v>2824</v>
      </c>
      <c r="I2825" s="0" t="str">
        <f aca="false">IF(OR(הגדרות!$E$6=0,H2825&gt;הגדרות!$E$5),"",IF(H2825-1&lt;הגדרות!$E$8*(הגדרות!$E$7+1),INT((H2825-1)/(הגדרות!$E$7+1)),הגדרות!$E$8+INT((H2825-1-הגדרות!$E$8*(הגדרות!$E$7+1))/הגדרות!$E$7)))</f>
        <v/>
      </c>
      <c r="J2825" s="0" t="str">
        <f aca="false">IF(I2825="","",IF(H2825-1&lt;הגדרות!$E$8*(הגדרות!$E$7+1),MOD(H2825-1,הגדרות!$E$7+1),MOD(H2825-1-הגדרות!$E$8*(הגדרות!$E$7+1),הגדרות!$E$7)))</f>
        <v/>
      </c>
      <c r="K2825" s="0" t="str">
        <f aca="false">IF(I2825="","",J2825*הגדרות!$E$6+I2825+1)</f>
        <v/>
      </c>
      <c r="L2825" s="0" t="str">
        <f aca="false">IF(K2825="","",MATCH(K2825,$F$2:$F$5001,0))</f>
        <v/>
      </c>
      <c r="M2825" s="0" t="str">
        <f aca="false">IF(I2825="","",INDEX(הגדרות!$A$2:$A$21,MOD(I2825+הגדרות!$E$9,הגדרות!$E$6)+1))</f>
        <v/>
      </c>
    </row>
    <row r="2826" customFormat="false" ht="15" hidden="false" customHeight="false" outlineLevel="0" collapsed="false">
      <c r="A2826" s="0" t="str">
        <f aca="false">IF('הדבקת לידים'!A2826="","",IF(ISNUMBER('הדבקת לידים'!A2826),IF(הגדרות!$E$2&gt;0,TEXT('הדבקת לידים'!A2826,REPT("0",הגדרות!$E$2)),TEXT('הדבקת לידים'!A2826,"0")),TRIM('הדבקת לידים'!A2826)))</f>
        <v/>
      </c>
      <c r="B2826" s="0" t="str">
        <f aca="false">IF('הדבקת לידים'!B2826="","",IF(ISNUMBER('הדבקת לידים'!B2826),IF(הגדרות!$E$3&gt;0,TEXT('הדבקת לידים'!B2826,REPT("0",הגדרות!$E$3)),TEXT('הדבקת לידים'!B2826,"0")),TRIM('הדבקת לידים'!B2826)))</f>
        <v/>
      </c>
      <c r="C2826" s="0" t="n">
        <f aca="false">IF(OR(A2826&lt;&gt;"",B2826&lt;&gt;""),1,0)</f>
        <v>0</v>
      </c>
      <c r="D2826" s="0" t="str">
        <f aca="false">IF(C2826=1,MOD(ABS(SIN(ROW()*12.9898+'הדבקת לידים'!$F$2*78.233+IFERROR(--RIGHT(A2826,6),LEN(A2826))*0.0137+IFERROR(--RIGHT(B2826,6),LEN(B2826))*0.0071))*43758.5453,1),"")</f>
        <v/>
      </c>
      <c r="E2826" s="0" t="str">
        <f aca="false">IF(C2826=1,INT(MOD(ABS(SIN(D2826*7919.123+ROW()*0.618+'הדבקת לידים'!$F$2*1.3))*43758.5453,1)*1000000)*10000+ROW(),"")</f>
        <v/>
      </c>
      <c r="F2826" s="0" t="str">
        <f aca="false">IF(E2826="","",RANK(E2826,$E$2:$E$5001,1))</f>
        <v/>
      </c>
      <c r="G2826" s="0" t="n">
        <f aca="false">IF(A2826="",0,IF(SUMPRODUCT(--($A$2:$A$5001=A2826))&gt;1,1,0))</f>
        <v>0</v>
      </c>
      <c r="H2826" s="0" t="n">
        <f aca="false">ROW()-1</f>
        <v>2825</v>
      </c>
      <c r="I2826" s="0" t="str">
        <f aca="false">IF(OR(הגדרות!$E$6=0,H2826&gt;הגדרות!$E$5),"",IF(H2826-1&lt;הגדרות!$E$8*(הגדרות!$E$7+1),INT((H2826-1)/(הגדרות!$E$7+1)),הגדרות!$E$8+INT((H2826-1-הגדרות!$E$8*(הגדרות!$E$7+1))/הגדרות!$E$7)))</f>
        <v/>
      </c>
      <c r="J2826" s="0" t="str">
        <f aca="false">IF(I2826="","",IF(H2826-1&lt;הגדרות!$E$8*(הגדרות!$E$7+1),MOD(H2826-1,הגדרות!$E$7+1),MOD(H2826-1-הגדרות!$E$8*(הגדרות!$E$7+1),הגדרות!$E$7)))</f>
        <v/>
      </c>
      <c r="K2826" s="0" t="str">
        <f aca="false">IF(I2826="","",J2826*הגדרות!$E$6+I2826+1)</f>
        <v/>
      </c>
      <c r="L2826" s="0" t="str">
        <f aca="false">IF(K2826="","",MATCH(K2826,$F$2:$F$5001,0))</f>
        <v/>
      </c>
      <c r="M2826" s="0" t="str">
        <f aca="false">IF(I2826="","",INDEX(הגדרות!$A$2:$A$21,MOD(I2826+הגדרות!$E$9,הגדרות!$E$6)+1))</f>
        <v/>
      </c>
    </row>
    <row r="2827" customFormat="false" ht="15" hidden="false" customHeight="false" outlineLevel="0" collapsed="false">
      <c r="A2827" s="0" t="str">
        <f aca="false">IF('הדבקת לידים'!A2827="","",IF(ISNUMBER('הדבקת לידים'!A2827),IF(הגדרות!$E$2&gt;0,TEXT('הדבקת לידים'!A2827,REPT("0",הגדרות!$E$2)),TEXT('הדבקת לידים'!A2827,"0")),TRIM('הדבקת לידים'!A2827)))</f>
        <v/>
      </c>
      <c r="B2827" s="0" t="str">
        <f aca="false">IF('הדבקת לידים'!B2827="","",IF(ISNUMBER('הדבקת לידים'!B2827),IF(הגדרות!$E$3&gt;0,TEXT('הדבקת לידים'!B2827,REPT("0",הגדרות!$E$3)),TEXT('הדבקת לידים'!B2827,"0")),TRIM('הדבקת לידים'!B2827)))</f>
        <v/>
      </c>
      <c r="C2827" s="0" t="n">
        <f aca="false">IF(OR(A2827&lt;&gt;"",B2827&lt;&gt;""),1,0)</f>
        <v>0</v>
      </c>
      <c r="D2827" s="0" t="str">
        <f aca="false">IF(C2827=1,MOD(ABS(SIN(ROW()*12.9898+'הדבקת לידים'!$F$2*78.233+IFERROR(--RIGHT(A2827,6),LEN(A2827))*0.0137+IFERROR(--RIGHT(B2827,6),LEN(B2827))*0.0071))*43758.5453,1),"")</f>
        <v/>
      </c>
      <c r="E2827" s="0" t="str">
        <f aca="false">IF(C2827=1,INT(MOD(ABS(SIN(D2827*7919.123+ROW()*0.618+'הדבקת לידים'!$F$2*1.3))*43758.5453,1)*1000000)*10000+ROW(),"")</f>
        <v/>
      </c>
      <c r="F2827" s="0" t="str">
        <f aca="false">IF(E2827="","",RANK(E2827,$E$2:$E$5001,1))</f>
        <v/>
      </c>
      <c r="G2827" s="0" t="n">
        <f aca="false">IF(A2827="",0,IF(SUMPRODUCT(--($A$2:$A$5001=A2827))&gt;1,1,0))</f>
        <v>0</v>
      </c>
      <c r="H2827" s="0" t="n">
        <f aca="false">ROW()-1</f>
        <v>2826</v>
      </c>
      <c r="I2827" s="0" t="str">
        <f aca="false">IF(OR(הגדרות!$E$6=0,H2827&gt;הגדרות!$E$5),"",IF(H2827-1&lt;הגדרות!$E$8*(הגדרות!$E$7+1),INT((H2827-1)/(הגדרות!$E$7+1)),הגדרות!$E$8+INT((H2827-1-הגדרות!$E$8*(הגדרות!$E$7+1))/הגדרות!$E$7)))</f>
        <v/>
      </c>
      <c r="J2827" s="0" t="str">
        <f aca="false">IF(I2827="","",IF(H2827-1&lt;הגדרות!$E$8*(הגדרות!$E$7+1),MOD(H2827-1,הגדרות!$E$7+1),MOD(H2827-1-הגדרות!$E$8*(הגדרות!$E$7+1),הגדרות!$E$7)))</f>
        <v/>
      </c>
      <c r="K2827" s="0" t="str">
        <f aca="false">IF(I2827="","",J2827*הגדרות!$E$6+I2827+1)</f>
        <v/>
      </c>
      <c r="L2827" s="0" t="str">
        <f aca="false">IF(K2827="","",MATCH(K2827,$F$2:$F$5001,0))</f>
        <v/>
      </c>
      <c r="M2827" s="0" t="str">
        <f aca="false">IF(I2827="","",INDEX(הגדרות!$A$2:$A$21,MOD(I2827+הגדרות!$E$9,הגדרות!$E$6)+1))</f>
        <v/>
      </c>
    </row>
    <row r="2828" customFormat="false" ht="15" hidden="false" customHeight="false" outlineLevel="0" collapsed="false">
      <c r="A2828" s="0" t="str">
        <f aca="false">IF('הדבקת לידים'!A2828="","",IF(ISNUMBER('הדבקת לידים'!A2828),IF(הגדרות!$E$2&gt;0,TEXT('הדבקת לידים'!A2828,REPT("0",הגדרות!$E$2)),TEXT('הדבקת לידים'!A2828,"0")),TRIM('הדבקת לידים'!A2828)))</f>
        <v/>
      </c>
      <c r="B2828" s="0" t="str">
        <f aca="false">IF('הדבקת לידים'!B2828="","",IF(ISNUMBER('הדבקת לידים'!B2828),IF(הגדרות!$E$3&gt;0,TEXT('הדבקת לידים'!B2828,REPT("0",הגדרות!$E$3)),TEXT('הדבקת לידים'!B2828,"0")),TRIM('הדבקת לידים'!B2828)))</f>
        <v/>
      </c>
      <c r="C2828" s="0" t="n">
        <f aca="false">IF(OR(A2828&lt;&gt;"",B2828&lt;&gt;""),1,0)</f>
        <v>0</v>
      </c>
      <c r="D2828" s="0" t="str">
        <f aca="false">IF(C2828=1,MOD(ABS(SIN(ROW()*12.9898+'הדבקת לידים'!$F$2*78.233+IFERROR(--RIGHT(A2828,6),LEN(A2828))*0.0137+IFERROR(--RIGHT(B2828,6),LEN(B2828))*0.0071))*43758.5453,1),"")</f>
        <v/>
      </c>
      <c r="E2828" s="0" t="str">
        <f aca="false">IF(C2828=1,INT(MOD(ABS(SIN(D2828*7919.123+ROW()*0.618+'הדבקת לידים'!$F$2*1.3))*43758.5453,1)*1000000)*10000+ROW(),"")</f>
        <v/>
      </c>
      <c r="F2828" s="0" t="str">
        <f aca="false">IF(E2828="","",RANK(E2828,$E$2:$E$5001,1))</f>
        <v/>
      </c>
      <c r="G2828" s="0" t="n">
        <f aca="false">IF(A2828="",0,IF(SUMPRODUCT(--($A$2:$A$5001=A2828))&gt;1,1,0))</f>
        <v>0</v>
      </c>
      <c r="H2828" s="0" t="n">
        <f aca="false">ROW()-1</f>
        <v>2827</v>
      </c>
      <c r="I2828" s="0" t="str">
        <f aca="false">IF(OR(הגדרות!$E$6=0,H2828&gt;הגדרות!$E$5),"",IF(H2828-1&lt;הגדרות!$E$8*(הגדרות!$E$7+1),INT((H2828-1)/(הגדרות!$E$7+1)),הגדרות!$E$8+INT((H2828-1-הגדרות!$E$8*(הגדרות!$E$7+1))/הגדרות!$E$7)))</f>
        <v/>
      </c>
      <c r="J2828" s="0" t="str">
        <f aca="false">IF(I2828="","",IF(H2828-1&lt;הגדרות!$E$8*(הגדרות!$E$7+1),MOD(H2828-1,הגדרות!$E$7+1),MOD(H2828-1-הגדרות!$E$8*(הגדרות!$E$7+1),הגדרות!$E$7)))</f>
        <v/>
      </c>
      <c r="K2828" s="0" t="str">
        <f aca="false">IF(I2828="","",J2828*הגדרות!$E$6+I2828+1)</f>
        <v/>
      </c>
      <c r="L2828" s="0" t="str">
        <f aca="false">IF(K2828="","",MATCH(K2828,$F$2:$F$5001,0))</f>
        <v/>
      </c>
      <c r="M2828" s="0" t="str">
        <f aca="false">IF(I2828="","",INDEX(הגדרות!$A$2:$A$21,MOD(I2828+הגדרות!$E$9,הגדרות!$E$6)+1))</f>
        <v/>
      </c>
    </row>
    <row r="2829" customFormat="false" ht="15" hidden="false" customHeight="false" outlineLevel="0" collapsed="false">
      <c r="A2829" s="0" t="str">
        <f aca="false">IF('הדבקת לידים'!A2829="","",IF(ISNUMBER('הדבקת לידים'!A2829),IF(הגדרות!$E$2&gt;0,TEXT('הדבקת לידים'!A2829,REPT("0",הגדרות!$E$2)),TEXT('הדבקת לידים'!A2829,"0")),TRIM('הדבקת לידים'!A2829)))</f>
        <v/>
      </c>
      <c r="B2829" s="0" t="str">
        <f aca="false">IF('הדבקת לידים'!B2829="","",IF(ISNUMBER('הדבקת לידים'!B2829),IF(הגדרות!$E$3&gt;0,TEXT('הדבקת לידים'!B2829,REPT("0",הגדרות!$E$3)),TEXT('הדבקת לידים'!B2829,"0")),TRIM('הדבקת לידים'!B2829)))</f>
        <v/>
      </c>
      <c r="C2829" s="0" t="n">
        <f aca="false">IF(OR(A2829&lt;&gt;"",B2829&lt;&gt;""),1,0)</f>
        <v>0</v>
      </c>
      <c r="D2829" s="0" t="str">
        <f aca="false">IF(C2829=1,MOD(ABS(SIN(ROW()*12.9898+'הדבקת לידים'!$F$2*78.233+IFERROR(--RIGHT(A2829,6),LEN(A2829))*0.0137+IFERROR(--RIGHT(B2829,6),LEN(B2829))*0.0071))*43758.5453,1),"")</f>
        <v/>
      </c>
      <c r="E2829" s="0" t="str">
        <f aca="false">IF(C2829=1,INT(MOD(ABS(SIN(D2829*7919.123+ROW()*0.618+'הדבקת לידים'!$F$2*1.3))*43758.5453,1)*1000000)*10000+ROW(),"")</f>
        <v/>
      </c>
      <c r="F2829" s="0" t="str">
        <f aca="false">IF(E2829="","",RANK(E2829,$E$2:$E$5001,1))</f>
        <v/>
      </c>
      <c r="G2829" s="0" t="n">
        <f aca="false">IF(A2829="",0,IF(SUMPRODUCT(--($A$2:$A$5001=A2829))&gt;1,1,0))</f>
        <v>0</v>
      </c>
      <c r="H2829" s="0" t="n">
        <f aca="false">ROW()-1</f>
        <v>2828</v>
      </c>
      <c r="I2829" s="0" t="str">
        <f aca="false">IF(OR(הגדרות!$E$6=0,H2829&gt;הגדרות!$E$5),"",IF(H2829-1&lt;הגדרות!$E$8*(הגדרות!$E$7+1),INT((H2829-1)/(הגדרות!$E$7+1)),הגדרות!$E$8+INT((H2829-1-הגדרות!$E$8*(הגדרות!$E$7+1))/הגדרות!$E$7)))</f>
        <v/>
      </c>
      <c r="J2829" s="0" t="str">
        <f aca="false">IF(I2829="","",IF(H2829-1&lt;הגדרות!$E$8*(הגדרות!$E$7+1),MOD(H2829-1,הגדרות!$E$7+1),MOD(H2829-1-הגדרות!$E$8*(הגדרות!$E$7+1),הגדרות!$E$7)))</f>
        <v/>
      </c>
      <c r="K2829" s="0" t="str">
        <f aca="false">IF(I2829="","",J2829*הגדרות!$E$6+I2829+1)</f>
        <v/>
      </c>
      <c r="L2829" s="0" t="str">
        <f aca="false">IF(K2829="","",MATCH(K2829,$F$2:$F$5001,0))</f>
        <v/>
      </c>
      <c r="M2829" s="0" t="str">
        <f aca="false">IF(I2829="","",INDEX(הגדרות!$A$2:$A$21,MOD(I2829+הגדרות!$E$9,הגדרות!$E$6)+1))</f>
        <v/>
      </c>
    </row>
    <row r="2830" customFormat="false" ht="15" hidden="false" customHeight="false" outlineLevel="0" collapsed="false">
      <c r="A2830" s="0" t="str">
        <f aca="false">IF('הדבקת לידים'!A2830="","",IF(ISNUMBER('הדבקת לידים'!A2830),IF(הגדרות!$E$2&gt;0,TEXT('הדבקת לידים'!A2830,REPT("0",הגדרות!$E$2)),TEXT('הדבקת לידים'!A2830,"0")),TRIM('הדבקת לידים'!A2830)))</f>
        <v/>
      </c>
      <c r="B2830" s="0" t="str">
        <f aca="false">IF('הדבקת לידים'!B2830="","",IF(ISNUMBER('הדבקת לידים'!B2830),IF(הגדרות!$E$3&gt;0,TEXT('הדבקת לידים'!B2830,REPT("0",הגדרות!$E$3)),TEXT('הדבקת לידים'!B2830,"0")),TRIM('הדבקת לידים'!B2830)))</f>
        <v/>
      </c>
      <c r="C2830" s="0" t="n">
        <f aca="false">IF(OR(A2830&lt;&gt;"",B2830&lt;&gt;""),1,0)</f>
        <v>0</v>
      </c>
      <c r="D2830" s="0" t="str">
        <f aca="false">IF(C2830=1,MOD(ABS(SIN(ROW()*12.9898+'הדבקת לידים'!$F$2*78.233+IFERROR(--RIGHT(A2830,6),LEN(A2830))*0.0137+IFERROR(--RIGHT(B2830,6),LEN(B2830))*0.0071))*43758.5453,1),"")</f>
        <v/>
      </c>
      <c r="E2830" s="0" t="str">
        <f aca="false">IF(C2830=1,INT(MOD(ABS(SIN(D2830*7919.123+ROW()*0.618+'הדבקת לידים'!$F$2*1.3))*43758.5453,1)*1000000)*10000+ROW(),"")</f>
        <v/>
      </c>
      <c r="F2830" s="0" t="str">
        <f aca="false">IF(E2830="","",RANK(E2830,$E$2:$E$5001,1))</f>
        <v/>
      </c>
      <c r="G2830" s="0" t="n">
        <f aca="false">IF(A2830="",0,IF(SUMPRODUCT(--($A$2:$A$5001=A2830))&gt;1,1,0))</f>
        <v>0</v>
      </c>
      <c r="H2830" s="0" t="n">
        <f aca="false">ROW()-1</f>
        <v>2829</v>
      </c>
      <c r="I2830" s="0" t="str">
        <f aca="false">IF(OR(הגדרות!$E$6=0,H2830&gt;הגדרות!$E$5),"",IF(H2830-1&lt;הגדרות!$E$8*(הגדרות!$E$7+1),INT((H2830-1)/(הגדרות!$E$7+1)),הגדרות!$E$8+INT((H2830-1-הגדרות!$E$8*(הגדרות!$E$7+1))/הגדרות!$E$7)))</f>
        <v/>
      </c>
      <c r="J2830" s="0" t="str">
        <f aca="false">IF(I2830="","",IF(H2830-1&lt;הגדרות!$E$8*(הגדרות!$E$7+1),MOD(H2830-1,הגדרות!$E$7+1),MOD(H2830-1-הגדרות!$E$8*(הגדרות!$E$7+1),הגדרות!$E$7)))</f>
        <v/>
      </c>
      <c r="K2830" s="0" t="str">
        <f aca="false">IF(I2830="","",J2830*הגדרות!$E$6+I2830+1)</f>
        <v/>
      </c>
      <c r="L2830" s="0" t="str">
        <f aca="false">IF(K2830="","",MATCH(K2830,$F$2:$F$5001,0))</f>
        <v/>
      </c>
      <c r="M2830" s="0" t="str">
        <f aca="false">IF(I2830="","",INDEX(הגדרות!$A$2:$A$21,MOD(I2830+הגדרות!$E$9,הגדרות!$E$6)+1))</f>
        <v/>
      </c>
    </row>
    <row r="2831" customFormat="false" ht="15" hidden="false" customHeight="false" outlineLevel="0" collapsed="false">
      <c r="A2831" s="0" t="str">
        <f aca="false">IF('הדבקת לידים'!A2831="","",IF(ISNUMBER('הדבקת לידים'!A2831),IF(הגדרות!$E$2&gt;0,TEXT('הדבקת לידים'!A2831,REPT("0",הגדרות!$E$2)),TEXT('הדבקת לידים'!A2831,"0")),TRIM('הדבקת לידים'!A2831)))</f>
        <v/>
      </c>
      <c r="B2831" s="0" t="str">
        <f aca="false">IF('הדבקת לידים'!B2831="","",IF(ISNUMBER('הדבקת לידים'!B2831),IF(הגדרות!$E$3&gt;0,TEXT('הדבקת לידים'!B2831,REPT("0",הגדרות!$E$3)),TEXT('הדבקת לידים'!B2831,"0")),TRIM('הדבקת לידים'!B2831)))</f>
        <v/>
      </c>
      <c r="C2831" s="0" t="n">
        <f aca="false">IF(OR(A2831&lt;&gt;"",B2831&lt;&gt;""),1,0)</f>
        <v>0</v>
      </c>
      <c r="D2831" s="0" t="str">
        <f aca="false">IF(C2831=1,MOD(ABS(SIN(ROW()*12.9898+'הדבקת לידים'!$F$2*78.233+IFERROR(--RIGHT(A2831,6),LEN(A2831))*0.0137+IFERROR(--RIGHT(B2831,6),LEN(B2831))*0.0071))*43758.5453,1),"")</f>
        <v/>
      </c>
      <c r="E2831" s="0" t="str">
        <f aca="false">IF(C2831=1,INT(MOD(ABS(SIN(D2831*7919.123+ROW()*0.618+'הדבקת לידים'!$F$2*1.3))*43758.5453,1)*1000000)*10000+ROW(),"")</f>
        <v/>
      </c>
      <c r="F2831" s="0" t="str">
        <f aca="false">IF(E2831="","",RANK(E2831,$E$2:$E$5001,1))</f>
        <v/>
      </c>
      <c r="G2831" s="0" t="n">
        <f aca="false">IF(A2831="",0,IF(SUMPRODUCT(--($A$2:$A$5001=A2831))&gt;1,1,0))</f>
        <v>0</v>
      </c>
      <c r="H2831" s="0" t="n">
        <f aca="false">ROW()-1</f>
        <v>2830</v>
      </c>
      <c r="I2831" s="0" t="str">
        <f aca="false">IF(OR(הגדרות!$E$6=0,H2831&gt;הגדרות!$E$5),"",IF(H2831-1&lt;הגדרות!$E$8*(הגדרות!$E$7+1),INT((H2831-1)/(הגדרות!$E$7+1)),הגדרות!$E$8+INT((H2831-1-הגדרות!$E$8*(הגדרות!$E$7+1))/הגדרות!$E$7)))</f>
        <v/>
      </c>
      <c r="J2831" s="0" t="str">
        <f aca="false">IF(I2831="","",IF(H2831-1&lt;הגדרות!$E$8*(הגדרות!$E$7+1),MOD(H2831-1,הגדרות!$E$7+1),MOD(H2831-1-הגדרות!$E$8*(הגדרות!$E$7+1),הגדרות!$E$7)))</f>
        <v/>
      </c>
      <c r="K2831" s="0" t="str">
        <f aca="false">IF(I2831="","",J2831*הגדרות!$E$6+I2831+1)</f>
        <v/>
      </c>
      <c r="L2831" s="0" t="str">
        <f aca="false">IF(K2831="","",MATCH(K2831,$F$2:$F$5001,0))</f>
        <v/>
      </c>
      <c r="M2831" s="0" t="str">
        <f aca="false">IF(I2831="","",INDEX(הגדרות!$A$2:$A$21,MOD(I2831+הגדרות!$E$9,הגדרות!$E$6)+1))</f>
        <v/>
      </c>
    </row>
    <row r="2832" customFormat="false" ht="15" hidden="false" customHeight="false" outlineLevel="0" collapsed="false">
      <c r="A2832" s="0" t="str">
        <f aca="false">IF('הדבקת לידים'!A2832="","",IF(ISNUMBER('הדבקת לידים'!A2832),IF(הגדרות!$E$2&gt;0,TEXT('הדבקת לידים'!A2832,REPT("0",הגדרות!$E$2)),TEXT('הדבקת לידים'!A2832,"0")),TRIM('הדבקת לידים'!A2832)))</f>
        <v/>
      </c>
      <c r="B2832" s="0" t="str">
        <f aca="false">IF('הדבקת לידים'!B2832="","",IF(ISNUMBER('הדבקת לידים'!B2832),IF(הגדרות!$E$3&gt;0,TEXT('הדבקת לידים'!B2832,REPT("0",הגדרות!$E$3)),TEXT('הדבקת לידים'!B2832,"0")),TRIM('הדבקת לידים'!B2832)))</f>
        <v/>
      </c>
      <c r="C2832" s="0" t="n">
        <f aca="false">IF(OR(A2832&lt;&gt;"",B2832&lt;&gt;""),1,0)</f>
        <v>0</v>
      </c>
      <c r="D2832" s="0" t="str">
        <f aca="false">IF(C2832=1,MOD(ABS(SIN(ROW()*12.9898+'הדבקת לידים'!$F$2*78.233+IFERROR(--RIGHT(A2832,6),LEN(A2832))*0.0137+IFERROR(--RIGHT(B2832,6),LEN(B2832))*0.0071))*43758.5453,1),"")</f>
        <v/>
      </c>
      <c r="E2832" s="0" t="str">
        <f aca="false">IF(C2832=1,INT(MOD(ABS(SIN(D2832*7919.123+ROW()*0.618+'הדבקת לידים'!$F$2*1.3))*43758.5453,1)*1000000)*10000+ROW(),"")</f>
        <v/>
      </c>
      <c r="F2832" s="0" t="str">
        <f aca="false">IF(E2832="","",RANK(E2832,$E$2:$E$5001,1))</f>
        <v/>
      </c>
      <c r="G2832" s="0" t="n">
        <f aca="false">IF(A2832="",0,IF(SUMPRODUCT(--($A$2:$A$5001=A2832))&gt;1,1,0))</f>
        <v>0</v>
      </c>
      <c r="H2832" s="0" t="n">
        <f aca="false">ROW()-1</f>
        <v>2831</v>
      </c>
      <c r="I2832" s="0" t="str">
        <f aca="false">IF(OR(הגדרות!$E$6=0,H2832&gt;הגדרות!$E$5),"",IF(H2832-1&lt;הגדרות!$E$8*(הגדרות!$E$7+1),INT((H2832-1)/(הגדרות!$E$7+1)),הגדרות!$E$8+INT((H2832-1-הגדרות!$E$8*(הגדרות!$E$7+1))/הגדרות!$E$7)))</f>
        <v/>
      </c>
      <c r="J2832" s="0" t="str">
        <f aca="false">IF(I2832="","",IF(H2832-1&lt;הגדרות!$E$8*(הגדרות!$E$7+1),MOD(H2832-1,הגדרות!$E$7+1),MOD(H2832-1-הגדרות!$E$8*(הגדרות!$E$7+1),הגדרות!$E$7)))</f>
        <v/>
      </c>
      <c r="K2832" s="0" t="str">
        <f aca="false">IF(I2832="","",J2832*הגדרות!$E$6+I2832+1)</f>
        <v/>
      </c>
      <c r="L2832" s="0" t="str">
        <f aca="false">IF(K2832="","",MATCH(K2832,$F$2:$F$5001,0))</f>
        <v/>
      </c>
      <c r="M2832" s="0" t="str">
        <f aca="false">IF(I2832="","",INDEX(הגדרות!$A$2:$A$21,MOD(I2832+הגדרות!$E$9,הגדרות!$E$6)+1))</f>
        <v/>
      </c>
    </row>
    <row r="2833" customFormat="false" ht="15" hidden="false" customHeight="false" outlineLevel="0" collapsed="false">
      <c r="A2833" s="0" t="str">
        <f aca="false">IF('הדבקת לידים'!A2833="","",IF(ISNUMBER('הדבקת לידים'!A2833),IF(הגדרות!$E$2&gt;0,TEXT('הדבקת לידים'!A2833,REPT("0",הגדרות!$E$2)),TEXT('הדבקת לידים'!A2833,"0")),TRIM('הדבקת לידים'!A2833)))</f>
        <v/>
      </c>
      <c r="B2833" s="0" t="str">
        <f aca="false">IF('הדבקת לידים'!B2833="","",IF(ISNUMBER('הדבקת לידים'!B2833),IF(הגדרות!$E$3&gt;0,TEXT('הדבקת לידים'!B2833,REPT("0",הגדרות!$E$3)),TEXT('הדבקת לידים'!B2833,"0")),TRIM('הדבקת לידים'!B2833)))</f>
        <v/>
      </c>
      <c r="C2833" s="0" t="n">
        <f aca="false">IF(OR(A2833&lt;&gt;"",B2833&lt;&gt;""),1,0)</f>
        <v>0</v>
      </c>
      <c r="D2833" s="0" t="str">
        <f aca="false">IF(C2833=1,MOD(ABS(SIN(ROW()*12.9898+'הדבקת לידים'!$F$2*78.233+IFERROR(--RIGHT(A2833,6),LEN(A2833))*0.0137+IFERROR(--RIGHT(B2833,6),LEN(B2833))*0.0071))*43758.5453,1),"")</f>
        <v/>
      </c>
      <c r="E2833" s="0" t="str">
        <f aca="false">IF(C2833=1,INT(MOD(ABS(SIN(D2833*7919.123+ROW()*0.618+'הדבקת לידים'!$F$2*1.3))*43758.5453,1)*1000000)*10000+ROW(),"")</f>
        <v/>
      </c>
      <c r="F2833" s="0" t="str">
        <f aca="false">IF(E2833="","",RANK(E2833,$E$2:$E$5001,1))</f>
        <v/>
      </c>
      <c r="G2833" s="0" t="n">
        <f aca="false">IF(A2833="",0,IF(SUMPRODUCT(--($A$2:$A$5001=A2833))&gt;1,1,0))</f>
        <v>0</v>
      </c>
      <c r="H2833" s="0" t="n">
        <f aca="false">ROW()-1</f>
        <v>2832</v>
      </c>
      <c r="I2833" s="0" t="str">
        <f aca="false">IF(OR(הגדרות!$E$6=0,H2833&gt;הגדרות!$E$5),"",IF(H2833-1&lt;הגדרות!$E$8*(הגדרות!$E$7+1),INT((H2833-1)/(הגדרות!$E$7+1)),הגדרות!$E$8+INT((H2833-1-הגדרות!$E$8*(הגדרות!$E$7+1))/הגדרות!$E$7)))</f>
        <v/>
      </c>
      <c r="J2833" s="0" t="str">
        <f aca="false">IF(I2833="","",IF(H2833-1&lt;הגדרות!$E$8*(הגדרות!$E$7+1),MOD(H2833-1,הגדרות!$E$7+1),MOD(H2833-1-הגדרות!$E$8*(הגדרות!$E$7+1),הגדרות!$E$7)))</f>
        <v/>
      </c>
      <c r="K2833" s="0" t="str">
        <f aca="false">IF(I2833="","",J2833*הגדרות!$E$6+I2833+1)</f>
        <v/>
      </c>
      <c r="L2833" s="0" t="str">
        <f aca="false">IF(K2833="","",MATCH(K2833,$F$2:$F$5001,0))</f>
        <v/>
      </c>
      <c r="M2833" s="0" t="str">
        <f aca="false">IF(I2833="","",INDEX(הגדרות!$A$2:$A$21,MOD(I2833+הגדרות!$E$9,הגדרות!$E$6)+1))</f>
        <v/>
      </c>
    </row>
    <row r="2834" customFormat="false" ht="15" hidden="false" customHeight="false" outlineLevel="0" collapsed="false">
      <c r="A2834" s="0" t="str">
        <f aca="false">IF('הדבקת לידים'!A2834="","",IF(ISNUMBER('הדבקת לידים'!A2834),IF(הגדרות!$E$2&gt;0,TEXT('הדבקת לידים'!A2834,REPT("0",הגדרות!$E$2)),TEXT('הדבקת לידים'!A2834,"0")),TRIM('הדבקת לידים'!A2834)))</f>
        <v/>
      </c>
      <c r="B2834" s="0" t="str">
        <f aca="false">IF('הדבקת לידים'!B2834="","",IF(ISNUMBER('הדבקת לידים'!B2834),IF(הגדרות!$E$3&gt;0,TEXT('הדבקת לידים'!B2834,REPT("0",הגדרות!$E$3)),TEXT('הדבקת לידים'!B2834,"0")),TRIM('הדבקת לידים'!B2834)))</f>
        <v/>
      </c>
      <c r="C2834" s="0" t="n">
        <f aca="false">IF(OR(A2834&lt;&gt;"",B2834&lt;&gt;""),1,0)</f>
        <v>0</v>
      </c>
      <c r="D2834" s="0" t="str">
        <f aca="false">IF(C2834=1,MOD(ABS(SIN(ROW()*12.9898+'הדבקת לידים'!$F$2*78.233+IFERROR(--RIGHT(A2834,6),LEN(A2834))*0.0137+IFERROR(--RIGHT(B2834,6),LEN(B2834))*0.0071))*43758.5453,1),"")</f>
        <v/>
      </c>
      <c r="E2834" s="0" t="str">
        <f aca="false">IF(C2834=1,INT(MOD(ABS(SIN(D2834*7919.123+ROW()*0.618+'הדבקת לידים'!$F$2*1.3))*43758.5453,1)*1000000)*10000+ROW(),"")</f>
        <v/>
      </c>
      <c r="F2834" s="0" t="str">
        <f aca="false">IF(E2834="","",RANK(E2834,$E$2:$E$5001,1))</f>
        <v/>
      </c>
      <c r="G2834" s="0" t="n">
        <f aca="false">IF(A2834="",0,IF(SUMPRODUCT(--($A$2:$A$5001=A2834))&gt;1,1,0))</f>
        <v>0</v>
      </c>
      <c r="H2834" s="0" t="n">
        <f aca="false">ROW()-1</f>
        <v>2833</v>
      </c>
      <c r="I2834" s="0" t="str">
        <f aca="false">IF(OR(הגדרות!$E$6=0,H2834&gt;הגדרות!$E$5),"",IF(H2834-1&lt;הגדרות!$E$8*(הגדרות!$E$7+1),INT((H2834-1)/(הגדרות!$E$7+1)),הגדרות!$E$8+INT((H2834-1-הגדרות!$E$8*(הגדרות!$E$7+1))/הגדרות!$E$7)))</f>
        <v/>
      </c>
      <c r="J2834" s="0" t="str">
        <f aca="false">IF(I2834="","",IF(H2834-1&lt;הגדרות!$E$8*(הגדרות!$E$7+1),MOD(H2834-1,הגדרות!$E$7+1),MOD(H2834-1-הגדרות!$E$8*(הגדרות!$E$7+1),הגדרות!$E$7)))</f>
        <v/>
      </c>
      <c r="K2834" s="0" t="str">
        <f aca="false">IF(I2834="","",J2834*הגדרות!$E$6+I2834+1)</f>
        <v/>
      </c>
      <c r="L2834" s="0" t="str">
        <f aca="false">IF(K2834="","",MATCH(K2834,$F$2:$F$5001,0))</f>
        <v/>
      </c>
      <c r="M2834" s="0" t="str">
        <f aca="false">IF(I2834="","",INDEX(הגדרות!$A$2:$A$21,MOD(I2834+הגדרות!$E$9,הגדרות!$E$6)+1))</f>
        <v/>
      </c>
    </row>
    <row r="2835" customFormat="false" ht="15" hidden="false" customHeight="false" outlineLevel="0" collapsed="false">
      <c r="A2835" s="0" t="str">
        <f aca="false">IF('הדבקת לידים'!A2835="","",IF(ISNUMBER('הדבקת לידים'!A2835),IF(הגדרות!$E$2&gt;0,TEXT('הדבקת לידים'!A2835,REPT("0",הגדרות!$E$2)),TEXT('הדבקת לידים'!A2835,"0")),TRIM('הדבקת לידים'!A2835)))</f>
        <v/>
      </c>
      <c r="B2835" s="0" t="str">
        <f aca="false">IF('הדבקת לידים'!B2835="","",IF(ISNUMBER('הדבקת לידים'!B2835),IF(הגדרות!$E$3&gt;0,TEXT('הדבקת לידים'!B2835,REPT("0",הגדרות!$E$3)),TEXT('הדבקת לידים'!B2835,"0")),TRIM('הדבקת לידים'!B2835)))</f>
        <v/>
      </c>
      <c r="C2835" s="0" t="n">
        <f aca="false">IF(OR(A2835&lt;&gt;"",B2835&lt;&gt;""),1,0)</f>
        <v>0</v>
      </c>
      <c r="D2835" s="0" t="str">
        <f aca="false">IF(C2835=1,MOD(ABS(SIN(ROW()*12.9898+'הדבקת לידים'!$F$2*78.233+IFERROR(--RIGHT(A2835,6),LEN(A2835))*0.0137+IFERROR(--RIGHT(B2835,6),LEN(B2835))*0.0071))*43758.5453,1),"")</f>
        <v/>
      </c>
      <c r="E2835" s="0" t="str">
        <f aca="false">IF(C2835=1,INT(MOD(ABS(SIN(D2835*7919.123+ROW()*0.618+'הדבקת לידים'!$F$2*1.3))*43758.5453,1)*1000000)*10000+ROW(),"")</f>
        <v/>
      </c>
      <c r="F2835" s="0" t="str">
        <f aca="false">IF(E2835="","",RANK(E2835,$E$2:$E$5001,1))</f>
        <v/>
      </c>
      <c r="G2835" s="0" t="n">
        <f aca="false">IF(A2835="",0,IF(SUMPRODUCT(--($A$2:$A$5001=A2835))&gt;1,1,0))</f>
        <v>0</v>
      </c>
      <c r="H2835" s="0" t="n">
        <f aca="false">ROW()-1</f>
        <v>2834</v>
      </c>
      <c r="I2835" s="0" t="str">
        <f aca="false">IF(OR(הגדרות!$E$6=0,H2835&gt;הגדרות!$E$5),"",IF(H2835-1&lt;הגדרות!$E$8*(הגדרות!$E$7+1),INT((H2835-1)/(הגדרות!$E$7+1)),הגדרות!$E$8+INT((H2835-1-הגדרות!$E$8*(הגדרות!$E$7+1))/הגדרות!$E$7)))</f>
        <v/>
      </c>
      <c r="J2835" s="0" t="str">
        <f aca="false">IF(I2835="","",IF(H2835-1&lt;הגדרות!$E$8*(הגדרות!$E$7+1),MOD(H2835-1,הגדרות!$E$7+1),MOD(H2835-1-הגדרות!$E$8*(הגדרות!$E$7+1),הגדרות!$E$7)))</f>
        <v/>
      </c>
      <c r="K2835" s="0" t="str">
        <f aca="false">IF(I2835="","",J2835*הגדרות!$E$6+I2835+1)</f>
        <v/>
      </c>
      <c r="L2835" s="0" t="str">
        <f aca="false">IF(K2835="","",MATCH(K2835,$F$2:$F$5001,0))</f>
        <v/>
      </c>
      <c r="M2835" s="0" t="str">
        <f aca="false">IF(I2835="","",INDEX(הגדרות!$A$2:$A$21,MOD(I2835+הגדרות!$E$9,הגדרות!$E$6)+1))</f>
        <v/>
      </c>
    </row>
    <row r="2836" customFormat="false" ht="15" hidden="false" customHeight="false" outlineLevel="0" collapsed="false">
      <c r="A2836" s="0" t="str">
        <f aca="false">IF('הדבקת לידים'!A2836="","",IF(ISNUMBER('הדבקת לידים'!A2836),IF(הגדרות!$E$2&gt;0,TEXT('הדבקת לידים'!A2836,REPT("0",הגדרות!$E$2)),TEXT('הדבקת לידים'!A2836,"0")),TRIM('הדבקת לידים'!A2836)))</f>
        <v/>
      </c>
      <c r="B2836" s="0" t="str">
        <f aca="false">IF('הדבקת לידים'!B2836="","",IF(ISNUMBER('הדבקת לידים'!B2836),IF(הגדרות!$E$3&gt;0,TEXT('הדבקת לידים'!B2836,REPT("0",הגדרות!$E$3)),TEXT('הדבקת לידים'!B2836,"0")),TRIM('הדבקת לידים'!B2836)))</f>
        <v/>
      </c>
      <c r="C2836" s="0" t="n">
        <f aca="false">IF(OR(A2836&lt;&gt;"",B2836&lt;&gt;""),1,0)</f>
        <v>0</v>
      </c>
      <c r="D2836" s="0" t="str">
        <f aca="false">IF(C2836=1,MOD(ABS(SIN(ROW()*12.9898+'הדבקת לידים'!$F$2*78.233+IFERROR(--RIGHT(A2836,6),LEN(A2836))*0.0137+IFERROR(--RIGHT(B2836,6),LEN(B2836))*0.0071))*43758.5453,1),"")</f>
        <v/>
      </c>
      <c r="E2836" s="0" t="str">
        <f aca="false">IF(C2836=1,INT(MOD(ABS(SIN(D2836*7919.123+ROW()*0.618+'הדבקת לידים'!$F$2*1.3))*43758.5453,1)*1000000)*10000+ROW(),"")</f>
        <v/>
      </c>
      <c r="F2836" s="0" t="str">
        <f aca="false">IF(E2836="","",RANK(E2836,$E$2:$E$5001,1))</f>
        <v/>
      </c>
      <c r="G2836" s="0" t="n">
        <f aca="false">IF(A2836="",0,IF(SUMPRODUCT(--($A$2:$A$5001=A2836))&gt;1,1,0))</f>
        <v>0</v>
      </c>
      <c r="H2836" s="0" t="n">
        <f aca="false">ROW()-1</f>
        <v>2835</v>
      </c>
      <c r="I2836" s="0" t="str">
        <f aca="false">IF(OR(הגדרות!$E$6=0,H2836&gt;הגדרות!$E$5),"",IF(H2836-1&lt;הגדרות!$E$8*(הגדרות!$E$7+1),INT((H2836-1)/(הגדרות!$E$7+1)),הגדרות!$E$8+INT((H2836-1-הגדרות!$E$8*(הגדרות!$E$7+1))/הגדרות!$E$7)))</f>
        <v/>
      </c>
      <c r="J2836" s="0" t="str">
        <f aca="false">IF(I2836="","",IF(H2836-1&lt;הגדרות!$E$8*(הגדרות!$E$7+1),MOD(H2836-1,הגדרות!$E$7+1),MOD(H2836-1-הגדרות!$E$8*(הגדרות!$E$7+1),הגדרות!$E$7)))</f>
        <v/>
      </c>
      <c r="K2836" s="0" t="str">
        <f aca="false">IF(I2836="","",J2836*הגדרות!$E$6+I2836+1)</f>
        <v/>
      </c>
      <c r="L2836" s="0" t="str">
        <f aca="false">IF(K2836="","",MATCH(K2836,$F$2:$F$5001,0))</f>
        <v/>
      </c>
      <c r="M2836" s="0" t="str">
        <f aca="false">IF(I2836="","",INDEX(הגדרות!$A$2:$A$21,MOD(I2836+הגדרות!$E$9,הגדרות!$E$6)+1))</f>
        <v/>
      </c>
    </row>
    <row r="2837" customFormat="false" ht="15" hidden="false" customHeight="false" outlineLevel="0" collapsed="false">
      <c r="A2837" s="0" t="str">
        <f aca="false">IF('הדבקת לידים'!A2837="","",IF(ISNUMBER('הדבקת לידים'!A2837),IF(הגדרות!$E$2&gt;0,TEXT('הדבקת לידים'!A2837,REPT("0",הגדרות!$E$2)),TEXT('הדבקת לידים'!A2837,"0")),TRIM('הדבקת לידים'!A2837)))</f>
        <v/>
      </c>
      <c r="B2837" s="0" t="str">
        <f aca="false">IF('הדבקת לידים'!B2837="","",IF(ISNUMBER('הדבקת לידים'!B2837),IF(הגדרות!$E$3&gt;0,TEXT('הדבקת לידים'!B2837,REPT("0",הגדרות!$E$3)),TEXT('הדבקת לידים'!B2837,"0")),TRIM('הדבקת לידים'!B2837)))</f>
        <v/>
      </c>
      <c r="C2837" s="0" t="n">
        <f aca="false">IF(OR(A2837&lt;&gt;"",B2837&lt;&gt;""),1,0)</f>
        <v>0</v>
      </c>
      <c r="D2837" s="0" t="str">
        <f aca="false">IF(C2837=1,MOD(ABS(SIN(ROW()*12.9898+'הדבקת לידים'!$F$2*78.233+IFERROR(--RIGHT(A2837,6),LEN(A2837))*0.0137+IFERROR(--RIGHT(B2837,6),LEN(B2837))*0.0071))*43758.5453,1),"")</f>
        <v/>
      </c>
      <c r="E2837" s="0" t="str">
        <f aca="false">IF(C2837=1,INT(MOD(ABS(SIN(D2837*7919.123+ROW()*0.618+'הדבקת לידים'!$F$2*1.3))*43758.5453,1)*1000000)*10000+ROW(),"")</f>
        <v/>
      </c>
      <c r="F2837" s="0" t="str">
        <f aca="false">IF(E2837="","",RANK(E2837,$E$2:$E$5001,1))</f>
        <v/>
      </c>
      <c r="G2837" s="0" t="n">
        <f aca="false">IF(A2837="",0,IF(SUMPRODUCT(--($A$2:$A$5001=A2837))&gt;1,1,0))</f>
        <v>0</v>
      </c>
      <c r="H2837" s="0" t="n">
        <f aca="false">ROW()-1</f>
        <v>2836</v>
      </c>
      <c r="I2837" s="0" t="str">
        <f aca="false">IF(OR(הגדרות!$E$6=0,H2837&gt;הגדרות!$E$5),"",IF(H2837-1&lt;הגדרות!$E$8*(הגדרות!$E$7+1),INT((H2837-1)/(הגדרות!$E$7+1)),הגדרות!$E$8+INT((H2837-1-הגדרות!$E$8*(הגדרות!$E$7+1))/הגדרות!$E$7)))</f>
        <v/>
      </c>
      <c r="J2837" s="0" t="str">
        <f aca="false">IF(I2837="","",IF(H2837-1&lt;הגדרות!$E$8*(הגדרות!$E$7+1),MOD(H2837-1,הגדרות!$E$7+1),MOD(H2837-1-הגדרות!$E$8*(הגדרות!$E$7+1),הגדרות!$E$7)))</f>
        <v/>
      </c>
      <c r="K2837" s="0" t="str">
        <f aca="false">IF(I2837="","",J2837*הגדרות!$E$6+I2837+1)</f>
        <v/>
      </c>
      <c r="L2837" s="0" t="str">
        <f aca="false">IF(K2837="","",MATCH(K2837,$F$2:$F$5001,0))</f>
        <v/>
      </c>
      <c r="M2837" s="0" t="str">
        <f aca="false">IF(I2837="","",INDEX(הגדרות!$A$2:$A$21,MOD(I2837+הגדרות!$E$9,הגדרות!$E$6)+1))</f>
        <v/>
      </c>
    </row>
    <row r="2838" customFormat="false" ht="15" hidden="false" customHeight="false" outlineLevel="0" collapsed="false">
      <c r="A2838" s="0" t="str">
        <f aca="false">IF('הדבקת לידים'!A2838="","",IF(ISNUMBER('הדבקת לידים'!A2838),IF(הגדרות!$E$2&gt;0,TEXT('הדבקת לידים'!A2838,REPT("0",הגדרות!$E$2)),TEXT('הדבקת לידים'!A2838,"0")),TRIM('הדבקת לידים'!A2838)))</f>
        <v/>
      </c>
      <c r="B2838" s="0" t="str">
        <f aca="false">IF('הדבקת לידים'!B2838="","",IF(ISNUMBER('הדבקת לידים'!B2838),IF(הגדרות!$E$3&gt;0,TEXT('הדבקת לידים'!B2838,REPT("0",הגדרות!$E$3)),TEXT('הדבקת לידים'!B2838,"0")),TRIM('הדבקת לידים'!B2838)))</f>
        <v/>
      </c>
      <c r="C2838" s="0" t="n">
        <f aca="false">IF(OR(A2838&lt;&gt;"",B2838&lt;&gt;""),1,0)</f>
        <v>0</v>
      </c>
      <c r="D2838" s="0" t="str">
        <f aca="false">IF(C2838=1,MOD(ABS(SIN(ROW()*12.9898+'הדבקת לידים'!$F$2*78.233+IFERROR(--RIGHT(A2838,6),LEN(A2838))*0.0137+IFERROR(--RIGHT(B2838,6),LEN(B2838))*0.0071))*43758.5453,1),"")</f>
        <v/>
      </c>
      <c r="E2838" s="0" t="str">
        <f aca="false">IF(C2838=1,INT(MOD(ABS(SIN(D2838*7919.123+ROW()*0.618+'הדבקת לידים'!$F$2*1.3))*43758.5453,1)*1000000)*10000+ROW(),"")</f>
        <v/>
      </c>
      <c r="F2838" s="0" t="str">
        <f aca="false">IF(E2838="","",RANK(E2838,$E$2:$E$5001,1))</f>
        <v/>
      </c>
      <c r="G2838" s="0" t="n">
        <f aca="false">IF(A2838="",0,IF(SUMPRODUCT(--($A$2:$A$5001=A2838))&gt;1,1,0))</f>
        <v>0</v>
      </c>
      <c r="H2838" s="0" t="n">
        <f aca="false">ROW()-1</f>
        <v>2837</v>
      </c>
      <c r="I2838" s="0" t="str">
        <f aca="false">IF(OR(הגדרות!$E$6=0,H2838&gt;הגדרות!$E$5),"",IF(H2838-1&lt;הגדרות!$E$8*(הגדרות!$E$7+1),INT((H2838-1)/(הגדרות!$E$7+1)),הגדרות!$E$8+INT((H2838-1-הגדרות!$E$8*(הגדרות!$E$7+1))/הגדרות!$E$7)))</f>
        <v/>
      </c>
      <c r="J2838" s="0" t="str">
        <f aca="false">IF(I2838="","",IF(H2838-1&lt;הגדרות!$E$8*(הגדרות!$E$7+1),MOD(H2838-1,הגדרות!$E$7+1),MOD(H2838-1-הגדרות!$E$8*(הגדרות!$E$7+1),הגדרות!$E$7)))</f>
        <v/>
      </c>
      <c r="K2838" s="0" t="str">
        <f aca="false">IF(I2838="","",J2838*הגדרות!$E$6+I2838+1)</f>
        <v/>
      </c>
      <c r="L2838" s="0" t="str">
        <f aca="false">IF(K2838="","",MATCH(K2838,$F$2:$F$5001,0))</f>
        <v/>
      </c>
      <c r="M2838" s="0" t="str">
        <f aca="false">IF(I2838="","",INDEX(הגדרות!$A$2:$A$21,MOD(I2838+הגדרות!$E$9,הגדרות!$E$6)+1))</f>
        <v/>
      </c>
    </row>
    <row r="2839" customFormat="false" ht="15" hidden="false" customHeight="false" outlineLevel="0" collapsed="false">
      <c r="A2839" s="0" t="str">
        <f aca="false">IF('הדבקת לידים'!A2839="","",IF(ISNUMBER('הדבקת לידים'!A2839),IF(הגדרות!$E$2&gt;0,TEXT('הדבקת לידים'!A2839,REPT("0",הגדרות!$E$2)),TEXT('הדבקת לידים'!A2839,"0")),TRIM('הדבקת לידים'!A2839)))</f>
        <v/>
      </c>
      <c r="B2839" s="0" t="str">
        <f aca="false">IF('הדבקת לידים'!B2839="","",IF(ISNUMBER('הדבקת לידים'!B2839),IF(הגדרות!$E$3&gt;0,TEXT('הדבקת לידים'!B2839,REPT("0",הגדרות!$E$3)),TEXT('הדבקת לידים'!B2839,"0")),TRIM('הדבקת לידים'!B2839)))</f>
        <v/>
      </c>
      <c r="C2839" s="0" t="n">
        <f aca="false">IF(OR(A2839&lt;&gt;"",B2839&lt;&gt;""),1,0)</f>
        <v>0</v>
      </c>
      <c r="D2839" s="0" t="str">
        <f aca="false">IF(C2839=1,MOD(ABS(SIN(ROW()*12.9898+'הדבקת לידים'!$F$2*78.233+IFERROR(--RIGHT(A2839,6),LEN(A2839))*0.0137+IFERROR(--RIGHT(B2839,6),LEN(B2839))*0.0071))*43758.5453,1),"")</f>
        <v/>
      </c>
      <c r="E2839" s="0" t="str">
        <f aca="false">IF(C2839=1,INT(MOD(ABS(SIN(D2839*7919.123+ROW()*0.618+'הדבקת לידים'!$F$2*1.3))*43758.5453,1)*1000000)*10000+ROW(),"")</f>
        <v/>
      </c>
      <c r="F2839" s="0" t="str">
        <f aca="false">IF(E2839="","",RANK(E2839,$E$2:$E$5001,1))</f>
        <v/>
      </c>
      <c r="G2839" s="0" t="n">
        <f aca="false">IF(A2839="",0,IF(SUMPRODUCT(--($A$2:$A$5001=A2839))&gt;1,1,0))</f>
        <v>0</v>
      </c>
      <c r="H2839" s="0" t="n">
        <f aca="false">ROW()-1</f>
        <v>2838</v>
      </c>
      <c r="I2839" s="0" t="str">
        <f aca="false">IF(OR(הגדרות!$E$6=0,H2839&gt;הגדרות!$E$5),"",IF(H2839-1&lt;הגדרות!$E$8*(הגדרות!$E$7+1),INT((H2839-1)/(הגדרות!$E$7+1)),הגדרות!$E$8+INT((H2839-1-הגדרות!$E$8*(הגדרות!$E$7+1))/הגדרות!$E$7)))</f>
        <v/>
      </c>
      <c r="J2839" s="0" t="str">
        <f aca="false">IF(I2839="","",IF(H2839-1&lt;הגדרות!$E$8*(הגדרות!$E$7+1),MOD(H2839-1,הגדרות!$E$7+1),MOD(H2839-1-הגדרות!$E$8*(הגדרות!$E$7+1),הגדרות!$E$7)))</f>
        <v/>
      </c>
      <c r="K2839" s="0" t="str">
        <f aca="false">IF(I2839="","",J2839*הגדרות!$E$6+I2839+1)</f>
        <v/>
      </c>
      <c r="L2839" s="0" t="str">
        <f aca="false">IF(K2839="","",MATCH(K2839,$F$2:$F$5001,0))</f>
        <v/>
      </c>
      <c r="M2839" s="0" t="str">
        <f aca="false">IF(I2839="","",INDEX(הגדרות!$A$2:$A$21,MOD(I2839+הגדרות!$E$9,הגדרות!$E$6)+1))</f>
        <v/>
      </c>
    </row>
    <row r="2840" customFormat="false" ht="15" hidden="false" customHeight="false" outlineLevel="0" collapsed="false">
      <c r="A2840" s="0" t="str">
        <f aca="false">IF('הדבקת לידים'!A2840="","",IF(ISNUMBER('הדבקת לידים'!A2840),IF(הגדרות!$E$2&gt;0,TEXT('הדבקת לידים'!A2840,REPT("0",הגדרות!$E$2)),TEXT('הדבקת לידים'!A2840,"0")),TRIM('הדבקת לידים'!A2840)))</f>
        <v/>
      </c>
      <c r="B2840" s="0" t="str">
        <f aca="false">IF('הדבקת לידים'!B2840="","",IF(ISNUMBER('הדבקת לידים'!B2840),IF(הגדרות!$E$3&gt;0,TEXT('הדבקת לידים'!B2840,REPT("0",הגדרות!$E$3)),TEXT('הדבקת לידים'!B2840,"0")),TRIM('הדבקת לידים'!B2840)))</f>
        <v/>
      </c>
      <c r="C2840" s="0" t="n">
        <f aca="false">IF(OR(A2840&lt;&gt;"",B2840&lt;&gt;""),1,0)</f>
        <v>0</v>
      </c>
      <c r="D2840" s="0" t="str">
        <f aca="false">IF(C2840=1,MOD(ABS(SIN(ROW()*12.9898+'הדבקת לידים'!$F$2*78.233+IFERROR(--RIGHT(A2840,6),LEN(A2840))*0.0137+IFERROR(--RIGHT(B2840,6),LEN(B2840))*0.0071))*43758.5453,1),"")</f>
        <v/>
      </c>
      <c r="E2840" s="0" t="str">
        <f aca="false">IF(C2840=1,INT(MOD(ABS(SIN(D2840*7919.123+ROW()*0.618+'הדבקת לידים'!$F$2*1.3))*43758.5453,1)*1000000)*10000+ROW(),"")</f>
        <v/>
      </c>
      <c r="F2840" s="0" t="str">
        <f aca="false">IF(E2840="","",RANK(E2840,$E$2:$E$5001,1))</f>
        <v/>
      </c>
      <c r="G2840" s="0" t="n">
        <f aca="false">IF(A2840="",0,IF(SUMPRODUCT(--($A$2:$A$5001=A2840))&gt;1,1,0))</f>
        <v>0</v>
      </c>
      <c r="H2840" s="0" t="n">
        <f aca="false">ROW()-1</f>
        <v>2839</v>
      </c>
      <c r="I2840" s="0" t="str">
        <f aca="false">IF(OR(הגדרות!$E$6=0,H2840&gt;הגדרות!$E$5),"",IF(H2840-1&lt;הגדרות!$E$8*(הגדרות!$E$7+1),INT((H2840-1)/(הגדרות!$E$7+1)),הגדרות!$E$8+INT((H2840-1-הגדרות!$E$8*(הגדרות!$E$7+1))/הגדרות!$E$7)))</f>
        <v/>
      </c>
      <c r="J2840" s="0" t="str">
        <f aca="false">IF(I2840="","",IF(H2840-1&lt;הגדרות!$E$8*(הגדרות!$E$7+1),MOD(H2840-1,הגדרות!$E$7+1),MOD(H2840-1-הגדרות!$E$8*(הגדרות!$E$7+1),הגדרות!$E$7)))</f>
        <v/>
      </c>
      <c r="K2840" s="0" t="str">
        <f aca="false">IF(I2840="","",J2840*הגדרות!$E$6+I2840+1)</f>
        <v/>
      </c>
      <c r="L2840" s="0" t="str">
        <f aca="false">IF(K2840="","",MATCH(K2840,$F$2:$F$5001,0))</f>
        <v/>
      </c>
      <c r="M2840" s="0" t="str">
        <f aca="false">IF(I2840="","",INDEX(הגדרות!$A$2:$A$21,MOD(I2840+הגדרות!$E$9,הגדרות!$E$6)+1))</f>
        <v/>
      </c>
    </row>
    <row r="2841" customFormat="false" ht="15" hidden="false" customHeight="false" outlineLevel="0" collapsed="false">
      <c r="A2841" s="0" t="str">
        <f aca="false">IF('הדבקת לידים'!A2841="","",IF(ISNUMBER('הדבקת לידים'!A2841),IF(הגדרות!$E$2&gt;0,TEXT('הדבקת לידים'!A2841,REPT("0",הגדרות!$E$2)),TEXT('הדבקת לידים'!A2841,"0")),TRIM('הדבקת לידים'!A2841)))</f>
        <v/>
      </c>
      <c r="B2841" s="0" t="str">
        <f aca="false">IF('הדבקת לידים'!B2841="","",IF(ISNUMBER('הדבקת לידים'!B2841),IF(הגדרות!$E$3&gt;0,TEXT('הדבקת לידים'!B2841,REPT("0",הגדרות!$E$3)),TEXT('הדבקת לידים'!B2841,"0")),TRIM('הדבקת לידים'!B2841)))</f>
        <v/>
      </c>
      <c r="C2841" s="0" t="n">
        <f aca="false">IF(OR(A2841&lt;&gt;"",B2841&lt;&gt;""),1,0)</f>
        <v>0</v>
      </c>
      <c r="D2841" s="0" t="str">
        <f aca="false">IF(C2841=1,MOD(ABS(SIN(ROW()*12.9898+'הדבקת לידים'!$F$2*78.233+IFERROR(--RIGHT(A2841,6),LEN(A2841))*0.0137+IFERROR(--RIGHT(B2841,6),LEN(B2841))*0.0071))*43758.5453,1),"")</f>
        <v/>
      </c>
      <c r="E2841" s="0" t="str">
        <f aca="false">IF(C2841=1,INT(MOD(ABS(SIN(D2841*7919.123+ROW()*0.618+'הדבקת לידים'!$F$2*1.3))*43758.5453,1)*1000000)*10000+ROW(),"")</f>
        <v/>
      </c>
      <c r="F2841" s="0" t="str">
        <f aca="false">IF(E2841="","",RANK(E2841,$E$2:$E$5001,1))</f>
        <v/>
      </c>
      <c r="G2841" s="0" t="n">
        <f aca="false">IF(A2841="",0,IF(SUMPRODUCT(--($A$2:$A$5001=A2841))&gt;1,1,0))</f>
        <v>0</v>
      </c>
      <c r="H2841" s="0" t="n">
        <f aca="false">ROW()-1</f>
        <v>2840</v>
      </c>
      <c r="I2841" s="0" t="str">
        <f aca="false">IF(OR(הגדרות!$E$6=0,H2841&gt;הגדרות!$E$5),"",IF(H2841-1&lt;הגדרות!$E$8*(הגדרות!$E$7+1),INT((H2841-1)/(הגדרות!$E$7+1)),הגדרות!$E$8+INT((H2841-1-הגדרות!$E$8*(הגדרות!$E$7+1))/הגדרות!$E$7)))</f>
        <v/>
      </c>
      <c r="J2841" s="0" t="str">
        <f aca="false">IF(I2841="","",IF(H2841-1&lt;הגדרות!$E$8*(הגדרות!$E$7+1),MOD(H2841-1,הגדרות!$E$7+1),MOD(H2841-1-הגדרות!$E$8*(הגדרות!$E$7+1),הגדרות!$E$7)))</f>
        <v/>
      </c>
      <c r="K2841" s="0" t="str">
        <f aca="false">IF(I2841="","",J2841*הגדרות!$E$6+I2841+1)</f>
        <v/>
      </c>
      <c r="L2841" s="0" t="str">
        <f aca="false">IF(K2841="","",MATCH(K2841,$F$2:$F$5001,0))</f>
        <v/>
      </c>
      <c r="M2841" s="0" t="str">
        <f aca="false">IF(I2841="","",INDEX(הגדרות!$A$2:$A$21,MOD(I2841+הגדרות!$E$9,הגדרות!$E$6)+1))</f>
        <v/>
      </c>
    </row>
    <row r="2842" customFormat="false" ht="15" hidden="false" customHeight="false" outlineLevel="0" collapsed="false">
      <c r="A2842" s="0" t="str">
        <f aca="false">IF('הדבקת לידים'!A2842="","",IF(ISNUMBER('הדבקת לידים'!A2842),IF(הגדרות!$E$2&gt;0,TEXT('הדבקת לידים'!A2842,REPT("0",הגדרות!$E$2)),TEXT('הדבקת לידים'!A2842,"0")),TRIM('הדבקת לידים'!A2842)))</f>
        <v/>
      </c>
      <c r="B2842" s="0" t="str">
        <f aca="false">IF('הדבקת לידים'!B2842="","",IF(ISNUMBER('הדבקת לידים'!B2842),IF(הגדרות!$E$3&gt;0,TEXT('הדבקת לידים'!B2842,REPT("0",הגדרות!$E$3)),TEXT('הדבקת לידים'!B2842,"0")),TRIM('הדבקת לידים'!B2842)))</f>
        <v/>
      </c>
      <c r="C2842" s="0" t="n">
        <f aca="false">IF(OR(A2842&lt;&gt;"",B2842&lt;&gt;""),1,0)</f>
        <v>0</v>
      </c>
      <c r="D2842" s="0" t="str">
        <f aca="false">IF(C2842=1,MOD(ABS(SIN(ROW()*12.9898+'הדבקת לידים'!$F$2*78.233+IFERROR(--RIGHT(A2842,6),LEN(A2842))*0.0137+IFERROR(--RIGHT(B2842,6),LEN(B2842))*0.0071))*43758.5453,1),"")</f>
        <v/>
      </c>
      <c r="E2842" s="0" t="str">
        <f aca="false">IF(C2842=1,INT(MOD(ABS(SIN(D2842*7919.123+ROW()*0.618+'הדבקת לידים'!$F$2*1.3))*43758.5453,1)*1000000)*10000+ROW(),"")</f>
        <v/>
      </c>
      <c r="F2842" s="0" t="str">
        <f aca="false">IF(E2842="","",RANK(E2842,$E$2:$E$5001,1))</f>
        <v/>
      </c>
      <c r="G2842" s="0" t="n">
        <f aca="false">IF(A2842="",0,IF(SUMPRODUCT(--($A$2:$A$5001=A2842))&gt;1,1,0))</f>
        <v>0</v>
      </c>
      <c r="H2842" s="0" t="n">
        <f aca="false">ROW()-1</f>
        <v>2841</v>
      </c>
      <c r="I2842" s="0" t="str">
        <f aca="false">IF(OR(הגדרות!$E$6=0,H2842&gt;הגדרות!$E$5),"",IF(H2842-1&lt;הגדרות!$E$8*(הגדרות!$E$7+1),INT((H2842-1)/(הגדרות!$E$7+1)),הגדרות!$E$8+INT((H2842-1-הגדרות!$E$8*(הגדרות!$E$7+1))/הגדרות!$E$7)))</f>
        <v/>
      </c>
      <c r="J2842" s="0" t="str">
        <f aca="false">IF(I2842="","",IF(H2842-1&lt;הגדרות!$E$8*(הגדרות!$E$7+1),MOD(H2842-1,הגדרות!$E$7+1),MOD(H2842-1-הגדרות!$E$8*(הגדרות!$E$7+1),הגדרות!$E$7)))</f>
        <v/>
      </c>
      <c r="K2842" s="0" t="str">
        <f aca="false">IF(I2842="","",J2842*הגדרות!$E$6+I2842+1)</f>
        <v/>
      </c>
      <c r="L2842" s="0" t="str">
        <f aca="false">IF(K2842="","",MATCH(K2842,$F$2:$F$5001,0))</f>
        <v/>
      </c>
      <c r="M2842" s="0" t="str">
        <f aca="false">IF(I2842="","",INDEX(הגדרות!$A$2:$A$21,MOD(I2842+הגדרות!$E$9,הגדרות!$E$6)+1))</f>
        <v/>
      </c>
    </row>
    <row r="2843" customFormat="false" ht="15" hidden="false" customHeight="false" outlineLevel="0" collapsed="false">
      <c r="A2843" s="0" t="str">
        <f aca="false">IF('הדבקת לידים'!A2843="","",IF(ISNUMBER('הדבקת לידים'!A2843),IF(הגדרות!$E$2&gt;0,TEXT('הדבקת לידים'!A2843,REPT("0",הגדרות!$E$2)),TEXT('הדבקת לידים'!A2843,"0")),TRIM('הדבקת לידים'!A2843)))</f>
        <v/>
      </c>
      <c r="B2843" s="0" t="str">
        <f aca="false">IF('הדבקת לידים'!B2843="","",IF(ISNUMBER('הדבקת לידים'!B2843),IF(הגדרות!$E$3&gt;0,TEXT('הדבקת לידים'!B2843,REPT("0",הגדרות!$E$3)),TEXT('הדבקת לידים'!B2843,"0")),TRIM('הדבקת לידים'!B2843)))</f>
        <v/>
      </c>
      <c r="C2843" s="0" t="n">
        <f aca="false">IF(OR(A2843&lt;&gt;"",B2843&lt;&gt;""),1,0)</f>
        <v>0</v>
      </c>
      <c r="D2843" s="0" t="str">
        <f aca="false">IF(C2843=1,MOD(ABS(SIN(ROW()*12.9898+'הדבקת לידים'!$F$2*78.233+IFERROR(--RIGHT(A2843,6),LEN(A2843))*0.0137+IFERROR(--RIGHT(B2843,6),LEN(B2843))*0.0071))*43758.5453,1),"")</f>
        <v/>
      </c>
      <c r="E2843" s="0" t="str">
        <f aca="false">IF(C2843=1,INT(MOD(ABS(SIN(D2843*7919.123+ROW()*0.618+'הדבקת לידים'!$F$2*1.3))*43758.5453,1)*1000000)*10000+ROW(),"")</f>
        <v/>
      </c>
      <c r="F2843" s="0" t="str">
        <f aca="false">IF(E2843="","",RANK(E2843,$E$2:$E$5001,1))</f>
        <v/>
      </c>
      <c r="G2843" s="0" t="n">
        <f aca="false">IF(A2843="",0,IF(SUMPRODUCT(--($A$2:$A$5001=A2843))&gt;1,1,0))</f>
        <v>0</v>
      </c>
      <c r="H2843" s="0" t="n">
        <f aca="false">ROW()-1</f>
        <v>2842</v>
      </c>
      <c r="I2843" s="0" t="str">
        <f aca="false">IF(OR(הגדרות!$E$6=0,H2843&gt;הגדרות!$E$5),"",IF(H2843-1&lt;הגדרות!$E$8*(הגדרות!$E$7+1),INT((H2843-1)/(הגדרות!$E$7+1)),הגדרות!$E$8+INT((H2843-1-הגדרות!$E$8*(הגדרות!$E$7+1))/הגדרות!$E$7)))</f>
        <v/>
      </c>
      <c r="J2843" s="0" t="str">
        <f aca="false">IF(I2843="","",IF(H2843-1&lt;הגדרות!$E$8*(הגדרות!$E$7+1),MOD(H2843-1,הגדרות!$E$7+1),MOD(H2843-1-הגדרות!$E$8*(הגדרות!$E$7+1),הגדרות!$E$7)))</f>
        <v/>
      </c>
      <c r="K2843" s="0" t="str">
        <f aca="false">IF(I2843="","",J2843*הגדרות!$E$6+I2843+1)</f>
        <v/>
      </c>
      <c r="L2843" s="0" t="str">
        <f aca="false">IF(K2843="","",MATCH(K2843,$F$2:$F$5001,0))</f>
        <v/>
      </c>
      <c r="M2843" s="0" t="str">
        <f aca="false">IF(I2843="","",INDEX(הגדרות!$A$2:$A$21,MOD(I2843+הגדרות!$E$9,הגדרות!$E$6)+1))</f>
        <v/>
      </c>
    </row>
    <row r="2844" customFormat="false" ht="15" hidden="false" customHeight="false" outlineLevel="0" collapsed="false">
      <c r="A2844" s="0" t="str">
        <f aca="false">IF('הדבקת לידים'!A2844="","",IF(ISNUMBER('הדבקת לידים'!A2844),IF(הגדרות!$E$2&gt;0,TEXT('הדבקת לידים'!A2844,REPT("0",הגדרות!$E$2)),TEXT('הדבקת לידים'!A2844,"0")),TRIM('הדבקת לידים'!A2844)))</f>
        <v/>
      </c>
      <c r="B2844" s="0" t="str">
        <f aca="false">IF('הדבקת לידים'!B2844="","",IF(ISNUMBER('הדבקת לידים'!B2844),IF(הגדרות!$E$3&gt;0,TEXT('הדבקת לידים'!B2844,REPT("0",הגדרות!$E$3)),TEXT('הדבקת לידים'!B2844,"0")),TRIM('הדבקת לידים'!B2844)))</f>
        <v/>
      </c>
      <c r="C2844" s="0" t="n">
        <f aca="false">IF(OR(A2844&lt;&gt;"",B2844&lt;&gt;""),1,0)</f>
        <v>0</v>
      </c>
      <c r="D2844" s="0" t="str">
        <f aca="false">IF(C2844=1,MOD(ABS(SIN(ROW()*12.9898+'הדבקת לידים'!$F$2*78.233+IFERROR(--RIGHT(A2844,6),LEN(A2844))*0.0137+IFERROR(--RIGHT(B2844,6),LEN(B2844))*0.0071))*43758.5453,1),"")</f>
        <v/>
      </c>
      <c r="E2844" s="0" t="str">
        <f aca="false">IF(C2844=1,INT(MOD(ABS(SIN(D2844*7919.123+ROW()*0.618+'הדבקת לידים'!$F$2*1.3))*43758.5453,1)*1000000)*10000+ROW(),"")</f>
        <v/>
      </c>
      <c r="F2844" s="0" t="str">
        <f aca="false">IF(E2844="","",RANK(E2844,$E$2:$E$5001,1))</f>
        <v/>
      </c>
      <c r="G2844" s="0" t="n">
        <f aca="false">IF(A2844="",0,IF(SUMPRODUCT(--($A$2:$A$5001=A2844))&gt;1,1,0))</f>
        <v>0</v>
      </c>
      <c r="H2844" s="0" t="n">
        <f aca="false">ROW()-1</f>
        <v>2843</v>
      </c>
      <c r="I2844" s="0" t="str">
        <f aca="false">IF(OR(הגדרות!$E$6=0,H2844&gt;הגדרות!$E$5),"",IF(H2844-1&lt;הגדרות!$E$8*(הגדרות!$E$7+1),INT((H2844-1)/(הגדרות!$E$7+1)),הגדרות!$E$8+INT((H2844-1-הגדרות!$E$8*(הגדרות!$E$7+1))/הגדרות!$E$7)))</f>
        <v/>
      </c>
      <c r="J2844" s="0" t="str">
        <f aca="false">IF(I2844="","",IF(H2844-1&lt;הגדרות!$E$8*(הגדרות!$E$7+1),MOD(H2844-1,הגדרות!$E$7+1),MOD(H2844-1-הגדרות!$E$8*(הגדרות!$E$7+1),הגדרות!$E$7)))</f>
        <v/>
      </c>
      <c r="K2844" s="0" t="str">
        <f aca="false">IF(I2844="","",J2844*הגדרות!$E$6+I2844+1)</f>
        <v/>
      </c>
      <c r="L2844" s="0" t="str">
        <f aca="false">IF(K2844="","",MATCH(K2844,$F$2:$F$5001,0))</f>
        <v/>
      </c>
      <c r="M2844" s="0" t="str">
        <f aca="false">IF(I2844="","",INDEX(הגדרות!$A$2:$A$21,MOD(I2844+הגדרות!$E$9,הגדרות!$E$6)+1))</f>
        <v/>
      </c>
    </row>
    <row r="2845" customFormat="false" ht="15" hidden="false" customHeight="false" outlineLevel="0" collapsed="false">
      <c r="A2845" s="0" t="str">
        <f aca="false">IF('הדבקת לידים'!A2845="","",IF(ISNUMBER('הדבקת לידים'!A2845),IF(הגדרות!$E$2&gt;0,TEXT('הדבקת לידים'!A2845,REPT("0",הגדרות!$E$2)),TEXT('הדבקת לידים'!A2845,"0")),TRIM('הדבקת לידים'!A2845)))</f>
        <v/>
      </c>
      <c r="B2845" s="0" t="str">
        <f aca="false">IF('הדבקת לידים'!B2845="","",IF(ISNUMBER('הדבקת לידים'!B2845),IF(הגדרות!$E$3&gt;0,TEXT('הדבקת לידים'!B2845,REPT("0",הגדרות!$E$3)),TEXT('הדבקת לידים'!B2845,"0")),TRIM('הדבקת לידים'!B2845)))</f>
        <v/>
      </c>
      <c r="C2845" s="0" t="n">
        <f aca="false">IF(OR(A2845&lt;&gt;"",B2845&lt;&gt;""),1,0)</f>
        <v>0</v>
      </c>
      <c r="D2845" s="0" t="str">
        <f aca="false">IF(C2845=1,MOD(ABS(SIN(ROW()*12.9898+'הדבקת לידים'!$F$2*78.233+IFERROR(--RIGHT(A2845,6),LEN(A2845))*0.0137+IFERROR(--RIGHT(B2845,6),LEN(B2845))*0.0071))*43758.5453,1),"")</f>
        <v/>
      </c>
      <c r="E2845" s="0" t="str">
        <f aca="false">IF(C2845=1,INT(MOD(ABS(SIN(D2845*7919.123+ROW()*0.618+'הדבקת לידים'!$F$2*1.3))*43758.5453,1)*1000000)*10000+ROW(),"")</f>
        <v/>
      </c>
      <c r="F2845" s="0" t="str">
        <f aca="false">IF(E2845="","",RANK(E2845,$E$2:$E$5001,1))</f>
        <v/>
      </c>
      <c r="G2845" s="0" t="n">
        <f aca="false">IF(A2845="",0,IF(SUMPRODUCT(--($A$2:$A$5001=A2845))&gt;1,1,0))</f>
        <v>0</v>
      </c>
      <c r="H2845" s="0" t="n">
        <f aca="false">ROW()-1</f>
        <v>2844</v>
      </c>
      <c r="I2845" s="0" t="str">
        <f aca="false">IF(OR(הגדרות!$E$6=0,H2845&gt;הגדרות!$E$5),"",IF(H2845-1&lt;הגדרות!$E$8*(הגדרות!$E$7+1),INT((H2845-1)/(הגדרות!$E$7+1)),הגדרות!$E$8+INT((H2845-1-הגדרות!$E$8*(הגדרות!$E$7+1))/הגדרות!$E$7)))</f>
        <v/>
      </c>
      <c r="J2845" s="0" t="str">
        <f aca="false">IF(I2845="","",IF(H2845-1&lt;הגדרות!$E$8*(הגדרות!$E$7+1),MOD(H2845-1,הגדרות!$E$7+1),MOD(H2845-1-הגדרות!$E$8*(הגדרות!$E$7+1),הגדרות!$E$7)))</f>
        <v/>
      </c>
      <c r="K2845" s="0" t="str">
        <f aca="false">IF(I2845="","",J2845*הגדרות!$E$6+I2845+1)</f>
        <v/>
      </c>
      <c r="L2845" s="0" t="str">
        <f aca="false">IF(K2845="","",MATCH(K2845,$F$2:$F$5001,0))</f>
        <v/>
      </c>
      <c r="M2845" s="0" t="str">
        <f aca="false">IF(I2845="","",INDEX(הגדרות!$A$2:$A$21,MOD(I2845+הגדרות!$E$9,הגדרות!$E$6)+1))</f>
        <v/>
      </c>
    </row>
    <row r="2846" customFormat="false" ht="15" hidden="false" customHeight="false" outlineLevel="0" collapsed="false">
      <c r="A2846" s="0" t="str">
        <f aca="false">IF('הדבקת לידים'!A2846="","",IF(ISNUMBER('הדבקת לידים'!A2846),IF(הגדרות!$E$2&gt;0,TEXT('הדבקת לידים'!A2846,REPT("0",הגדרות!$E$2)),TEXT('הדבקת לידים'!A2846,"0")),TRIM('הדבקת לידים'!A2846)))</f>
        <v/>
      </c>
      <c r="B2846" s="0" t="str">
        <f aca="false">IF('הדבקת לידים'!B2846="","",IF(ISNUMBER('הדבקת לידים'!B2846),IF(הגדרות!$E$3&gt;0,TEXT('הדבקת לידים'!B2846,REPT("0",הגדרות!$E$3)),TEXT('הדבקת לידים'!B2846,"0")),TRIM('הדבקת לידים'!B2846)))</f>
        <v/>
      </c>
      <c r="C2846" s="0" t="n">
        <f aca="false">IF(OR(A2846&lt;&gt;"",B2846&lt;&gt;""),1,0)</f>
        <v>0</v>
      </c>
      <c r="D2846" s="0" t="str">
        <f aca="false">IF(C2846=1,MOD(ABS(SIN(ROW()*12.9898+'הדבקת לידים'!$F$2*78.233+IFERROR(--RIGHT(A2846,6),LEN(A2846))*0.0137+IFERROR(--RIGHT(B2846,6),LEN(B2846))*0.0071))*43758.5453,1),"")</f>
        <v/>
      </c>
      <c r="E2846" s="0" t="str">
        <f aca="false">IF(C2846=1,INT(MOD(ABS(SIN(D2846*7919.123+ROW()*0.618+'הדבקת לידים'!$F$2*1.3))*43758.5453,1)*1000000)*10000+ROW(),"")</f>
        <v/>
      </c>
      <c r="F2846" s="0" t="str">
        <f aca="false">IF(E2846="","",RANK(E2846,$E$2:$E$5001,1))</f>
        <v/>
      </c>
      <c r="G2846" s="0" t="n">
        <f aca="false">IF(A2846="",0,IF(SUMPRODUCT(--($A$2:$A$5001=A2846))&gt;1,1,0))</f>
        <v>0</v>
      </c>
      <c r="H2846" s="0" t="n">
        <f aca="false">ROW()-1</f>
        <v>2845</v>
      </c>
      <c r="I2846" s="0" t="str">
        <f aca="false">IF(OR(הגדרות!$E$6=0,H2846&gt;הגדרות!$E$5),"",IF(H2846-1&lt;הגדרות!$E$8*(הגדרות!$E$7+1),INT((H2846-1)/(הגדרות!$E$7+1)),הגדרות!$E$8+INT((H2846-1-הגדרות!$E$8*(הגדרות!$E$7+1))/הגדרות!$E$7)))</f>
        <v/>
      </c>
      <c r="J2846" s="0" t="str">
        <f aca="false">IF(I2846="","",IF(H2846-1&lt;הגדרות!$E$8*(הגדרות!$E$7+1),MOD(H2846-1,הגדרות!$E$7+1),MOD(H2846-1-הגדרות!$E$8*(הגדרות!$E$7+1),הגדרות!$E$7)))</f>
        <v/>
      </c>
      <c r="K2846" s="0" t="str">
        <f aca="false">IF(I2846="","",J2846*הגדרות!$E$6+I2846+1)</f>
        <v/>
      </c>
      <c r="L2846" s="0" t="str">
        <f aca="false">IF(K2846="","",MATCH(K2846,$F$2:$F$5001,0))</f>
        <v/>
      </c>
      <c r="M2846" s="0" t="str">
        <f aca="false">IF(I2846="","",INDEX(הגדרות!$A$2:$A$21,MOD(I2846+הגדרות!$E$9,הגדרות!$E$6)+1))</f>
        <v/>
      </c>
    </row>
    <row r="2847" customFormat="false" ht="15" hidden="false" customHeight="false" outlineLevel="0" collapsed="false">
      <c r="A2847" s="0" t="str">
        <f aca="false">IF('הדבקת לידים'!A2847="","",IF(ISNUMBER('הדבקת לידים'!A2847),IF(הגדרות!$E$2&gt;0,TEXT('הדבקת לידים'!A2847,REPT("0",הגדרות!$E$2)),TEXT('הדבקת לידים'!A2847,"0")),TRIM('הדבקת לידים'!A2847)))</f>
        <v/>
      </c>
      <c r="B2847" s="0" t="str">
        <f aca="false">IF('הדבקת לידים'!B2847="","",IF(ISNUMBER('הדבקת לידים'!B2847),IF(הגדרות!$E$3&gt;0,TEXT('הדבקת לידים'!B2847,REPT("0",הגדרות!$E$3)),TEXT('הדבקת לידים'!B2847,"0")),TRIM('הדבקת לידים'!B2847)))</f>
        <v/>
      </c>
      <c r="C2847" s="0" t="n">
        <f aca="false">IF(OR(A2847&lt;&gt;"",B2847&lt;&gt;""),1,0)</f>
        <v>0</v>
      </c>
      <c r="D2847" s="0" t="str">
        <f aca="false">IF(C2847=1,MOD(ABS(SIN(ROW()*12.9898+'הדבקת לידים'!$F$2*78.233+IFERROR(--RIGHT(A2847,6),LEN(A2847))*0.0137+IFERROR(--RIGHT(B2847,6),LEN(B2847))*0.0071))*43758.5453,1),"")</f>
        <v/>
      </c>
      <c r="E2847" s="0" t="str">
        <f aca="false">IF(C2847=1,INT(MOD(ABS(SIN(D2847*7919.123+ROW()*0.618+'הדבקת לידים'!$F$2*1.3))*43758.5453,1)*1000000)*10000+ROW(),"")</f>
        <v/>
      </c>
      <c r="F2847" s="0" t="str">
        <f aca="false">IF(E2847="","",RANK(E2847,$E$2:$E$5001,1))</f>
        <v/>
      </c>
      <c r="G2847" s="0" t="n">
        <f aca="false">IF(A2847="",0,IF(SUMPRODUCT(--($A$2:$A$5001=A2847))&gt;1,1,0))</f>
        <v>0</v>
      </c>
      <c r="H2847" s="0" t="n">
        <f aca="false">ROW()-1</f>
        <v>2846</v>
      </c>
      <c r="I2847" s="0" t="str">
        <f aca="false">IF(OR(הגדרות!$E$6=0,H2847&gt;הגדרות!$E$5),"",IF(H2847-1&lt;הגדרות!$E$8*(הגדרות!$E$7+1),INT((H2847-1)/(הגדרות!$E$7+1)),הגדרות!$E$8+INT((H2847-1-הגדרות!$E$8*(הגדרות!$E$7+1))/הגדרות!$E$7)))</f>
        <v/>
      </c>
      <c r="J2847" s="0" t="str">
        <f aca="false">IF(I2847="","",IF(H2847-1&lt;הגדרות!$E$8*(הגדרות!$E$7+1),MOD(H2847-1,הגדרות!$E$7+1),MOD(H2847-1-הגדרות!$E$8*(הגדרות!$E$7+1),הגדרות!$E$7)))</f>
        <v/>
      </c>
      <c r="K2847" s="0" t="str">
        <f aca="false">IF(I2847="","",J2847*הגדרות!$E$6+I2847+1)</f>
        <v/>
      </c>
      <c r="L2847" s="0" t="str">
        <f aca="false">IF(K2847="","",MATCH(K2847,$F$2:$F$5001,0))</f>
        <v/>
      </c>
      <c r="M2847" s="0" t="str">
        <f aca="false">IF(I2847="","",INDEX(הגדרות!$A$2:$A$21,MOD(I2847+הגדרות!$E$9,הגדרות!$E$6)+1))</f>
        <v/>
      </c>
    </row>
    <row r="2848" customFormat="false" ht="15" hidden="false" customHeight="false" outlineLevel="0" collapsed="false">
      <c r="A2848" s="0" t="str">
        <f aca="false">IF('הדבקת לידים'!A2848="","",IF(ISNUMBER('הדבקת לידים'!A2848),IF(הגדרות!$E$2&gt;0,TEXT('הדבקת לידים'!A2848,REPT("0",הגדרות!$E$2)),TEXT('הדבקת לידים'!A2848,"0")),TRIM('הדבקת לידים'!A2848)))</f>
        <v/>
      </c>
      <c r="B2848" s="0" t="str">
        <f aca="false">IF('הדבקת לידים'!B2848="","",IF(ISNUMBER('הדבקת לידים'!B2848),IF(הגדרות!$E$3&gt;0,TEXT('הדבקת לידים'!B2848,REPT("0",הגדרות!$E$3)),TEXT('הדבקת לידים'!B2848,"0")),TRIM('הדבקת לידים'!B2848)))</f>
        <v/>
      </c>
      <c r="C2848" s="0" t="n">
        <f aca="false">IF(OR(A2848&lt;&gt;"",B2848&lt;&gt;""),1,0)</f>
        <v>0</v>
      </c>
      <c r="D2848" s="0" t="str">
        <f aca="false">IF(C2848=1,MOD(ABS(SIN(ROW()*12.9898+'הדבקת לידים'!$F$2*78.233+IFERROR(--RIGHT(A2848,6),LEN(A2848))*0.0137+IFERROR(--RIGHT(B2848,6),LEN(B2848))*0.0071))*43758.5453,1),"")</f>
        <v/>
      </c>
      <c r="E2848" s="0" t="str">
        <f aca="false">IF(C2848=1,INT(MOD(ABS(SIN(D2848*7919.123+ROW()*0.618+'הדבקת לידים'!$F$2*1.3))*43758.5453,1)*1000000)*10000+ROW(),"")</f>
        <v/>
      </c>
      <c r="F2848" s="0" t="str">
        <f aca="false">IF(E2848="","",RANK(E2848,$E$2:$E$5001,1))</f>
        <v/>
      </c>
      <c r="G2848" s="0" t="n">
        <f aca="false">IF(A2848="",0,IF(SUMPRODUCT(--($A$2:$A$5001=A2848))&gt;1,1,0))</f>
        <v>0</v>
      </c>
      <c r="H2848" s="0" t="n">
        <f aca="false">ROW()-1</f>
        <v>2847</v>
      </c>
      <c r="I2848" s="0" t="str">
        <f aca="false">IF(OR(הגדרות!$E$6=0,H2848&gt;הגדרות!$E$5),"",IF(H2848-1&lt;הגדרות!$E$8*(הגדרות!$E$7+1),INT((H2848-1)/(הגדרות!$E$7+1)),הגדרות!$E$8+INT((H2848-1-הגדרות!$E$8*(הגדרות!$E$7+1))/הגדרות!$E$7)))</f>
        <v/>
      </c>
      <c r="J2848" s="0" t="str">
        <f aca="false">IF(I2848="","",IF(H2848-1&lt;הגדרות!$E$8*(הגדרות!$E$7+1),MOD(H2848-1,הגדרות!$E$7+1),MOD(H2848-1-הגדרות!$E$8*(הגדרות!$E$7+1),הגדרות!$E$7)))</f>
        <v/>
      </c>
      <c r="K2848" s="0" t="str">
        <f aca="false">IF(I2848="","",J2848*הגדרות!$E$6+I2848+1)</f>
        <v/>
      </c>
      <c r="L2848" s="0" t="str">
        <f aca="false">IF(K2848="","",MATCH(K2848,$F$2:$F$5001,0))</f>
        <v/>
      </c>
      <c r="M2848" s="0" t="str">
        <f aca="false">IF(I2848="","",INDEX(הגדרות!$A$2:$A$21,MOD(I2848+הגדרות!$E$9,הגדרות!$E$6)+1))</f>
        <v/>
      </c>
    </row>
    <row r="2849" customFormat="false" ht="15" hidden="false" customHeight="false" outlineLevel="0" collapsed="false">
      <c r="A2849" s="0" t="str">
        <f aca="false">IF('הדבקת לידים'!A2849="","",IF(ISNUMBER('הדבקת לידים'!A2849),IF(הגדרות!$E$2&gt;0,TEXT('הדבקת לידים'!A2849,REPT("0",הגדרות!$E$2)),TEXT('הדבקת לידים'!A2849,"0")),TRIM('הדבקת לידים'!A2849)))</f>
        <v/>
      </c>
      <c r="B2849" s="0" t="str">
        <f aca="false">IF('הדבקת לידים'!B2849="","",IF(ISNUMBER('הדבקת לידים'!B2849),IF(הגדרות!$E$3&gt;0,TEXT('הדבקת לידים'!B2849,REPT("0",הגדרות!$E$3)),TEXT('הדבקת לידים'!B2849,"0")),TRIM('הדבקת לידים'!B2849)))</f>
        <v/>
      </c>
      <c r="C2849" s="0" t="n">
        <f aca="false">IF(OR(A2849&lt;&gt;"",B2849&lt;&gt;""),1,0)</f>
        <v>0</v>
      </c>
      <c r="D2849" s="0" t="str">
        <f aca="false">IF(C2849=1,MOD(ABS(SIN(ROW()*12.9898+'הדבקת לידים'!$F$2*78.233+IFERROR(--RIGHT(A2849,6),LEN(A2849))*0.0137+IFERROR(--RIGHT(B2849,6),LEN(B2849))*0.0071))*43758.5453,1),"")</f>
        <v/>
      </c>
      <c r="E2849" s="0" t="str">
        <f aca="false">IF(C2849=1,INT(MOD(ABS(SIN(D2849*7919.123+ROW()*0.618+'הדבקת לידים'!$F$2*1.3))*43758.5453,1)*1000000)*10000+ROW(),"")</f>
        <v/>
      </c>
      <c r="F2849" s="0" t="str">
        <f aca="false">IF(E2849="","",RANK(E2849,$E$2:$E$5001,1))</f>
        <v/>
      </c>
      <c r="G2849" s="0" t="n">
        <f aca="false">IF(A2849="",0,IF(SUMPRODUCT(--($A$2:$A$5001=A2849))&gt;1,1,0))</f>
        <v>0</v>
      </c>
      <c r="H2849" s="0" t="n">
        <f aca="false">ROW()-1</f>
        <v>2848</v>
      </c>
      <c r="I2849" s="0" t="str">
        <f aca="false">IF(OR(הגדרות!$E$6=0,H2849&gt;הגדרות!$E$5),"",IF(H2849-1&lt;הגדרות!$E$8*(הגדרות!$E$7+1),INT((H2849-1)/(הגדרות!$E$7+1)),הגדרות!$E$8+INT((H2849-1-הגדרות!$E$8*(הגדרות!$E$7+1))/הגדרות!$E$7)))</f>
        <v/>
      </c>
      <c r="J2849" s="0" t="str">
        <f aca="false">IF(I2849="","",IF(H2849-1&lt;הגדרות!$E$8*(הגדרות!$E$7+1),MOD(H2849-1,הגדרות!$E$7+1),MOD(H2849-1-הגדרות!$E$8*(הגדרות!$E$7+1),הגדרות!$E$7)))</f>
        <v/>
      </c>
      <c r="K2849" s="0" t="str">
        <f aca="false">IF(I2849="","",J2849*הגדרות!$E$6+I2849+1)</f>
        <v/>
      </c>
      <c r="L2849" s="0" t="str">
        <f aca="false">IF(K2849="","",MATCH(K2849,$F$2:$F$5001,0))</f>
        <v/>
      </c>
      <c r="M2849" s="0" t="str">
        <f aca="false">IF(I2849="","",INDEX(הגדרות!$A$2:$A$21,MOD(I2849+הגדרות!$E$9,הגדרות!$E$6)+1))</f>
        <v/>
      </c>
    </row>
    <row r="2850" customFormat="false" ht="15" hidden="false" customHeight="false" outlineLevel="0" collapsed="false">
      <c r="A2850" s="0" t="str">
        <f aca="false">IF('הדבקת לידים'!A2850="","",IF(ISNUMBER('הדבקת לידים'!A2850),IF(הגדרות!$E$2&gt;0,TEXT('הדבקת לידים'!A2850,REPT("0",הגדרות!$E$2)),TEXT('הדבקת לידים'!A2850,"0")),TRIM('הדבקת לידים'!A2850)))</f>
        <v/>
      </c>
      <c r="B2850" s="0" t="str">
        <f aca="false">IF('הדבקת לידים'!B2850="","",IF(ISNUMBER('הדבקת לידים'!B2850),IF(הגדרות!$E$3&gt;0,TEXT('הדבקת לידים'!B2850,REPT("0",הגדרות!$E$3)),TEXT('הדבקת לידים'!B2850,"0")),TRIM('הדבקת לידים'!B2850)))</f>
        <v/>
      </c>
      <c r="C2850" s="0" t="n">
        <f aca="false">IF(OR(A2850&lt;&gt;"",B2850&lt;&gt;""),1,0)</f>
        <v>0</v>
      </c>
      <c r="D2850" s="0" t="str">
        <f aca="false">IF(C2850=1,MOD(ABS(SIN(ROW()*12.9898+'הדבקת לידים'!$F$2*78.233+IFERROR(--RIGHT(A2850,6),LEN(A2850))*0.0137+IFERROR(--RIGHT(B2850,6),LEN(B2850))*0.0071))*43758.5453,1),"")</f>
        <v/>
      </c>
      <c r="E2850" s="0" t="str">
        <f aca="false">IF(C2850=1,INT(MOD(ABS(SIN(D2850*7919.123+ROW()*0.618+'הדבקת לידים'!$F$2*1.3))*43758.5453,1)*1000000)*10000+ROW(),"")</f>
        <v/>
      </c>
      <c r="F2850" s="0" t="str">
        <f aca="false">IF(E2850="","",RANK(E2850,$E$2:$E$5001,1))</f>
        <v/>
      </c>
      <c r="G2850" s="0" t="n">
        <f aca="false">IF(A2850="",0,IF(SUMPRODUCT(--($A$2:$A$5001=A2850))&gt;1,1,0))</f>
        <v>0</v>
      </c>
      <c r="H2850" s="0" t="n">
        <f aca="false">ROW()-1</f>
        <v>2849</v>
      </c>
      <c r="I2850" s="0" t="str">
        <f aca="false">IF(OR(הגדרות!$E$6=0,H2850&gt;הגדרות!$E$5),"",IF(H2850-1&lt;הגדרות!$E$8*(הגדרות!$E$7+1),INT((H2850-1)/(הגדרות!$E$7+1)),הגדרות!$E$8+INT((H2850-1-הגדרות!$E$8*(הגדרות!$E$7+1))/הגדרות!$E$7)))</f>
        <v/>
      </c>
      <c r="J2850" s="0" t="str">
        <f aca="false">IF(I2850="","",IF(H2850-1&lt;הגדרות!$E$8*(הגדרות!$E$7+1),MOD(H2850-1,הגדרות!$E$7+1),MOD(H2850-1-הגדרות!$E$8*(הגדרות!$E$7+1),הגדרות!$E$7)))</f>
        <v/>
      </c>
      <c r="K2850" s="0" t="str">
        <f aca="false">IF(I2850="","",J2850*הגדרות!$E$6+I2850+1)</f>
        <v/>
      </c>
      <c r="L2850" s="0" t="str">
        <f aca="false">IF(K2850="","",MATCH(K2850,$F$2:$F$5001,0))</f>
        <v/>
      </c>
      <c r="M2850" s="0" t="str">
        <f aca="false">IF(I2850="","",INDEX(הגדרות!$A$2:$A$21,MOD(I2850+הגדרות!$E$9,הגדרות!$E$6)+1))</f>
        <v/>
      </c>
    </row>
    <row r="2851" customFormat="false" ht="15" hidden="false" customHeight="false" outlineLevel="0" collapsed="false">
      <c r="A2851" s="0" t="str">
        <f aca="false">IF('הדבקת לידים'!A2851="","",IF(ISNUMBER('הדבקת לידים'!A2851),IF(הגדרות!$E$2&gt;0,TEXT('הדבקת לידים'!A2851,REPT("0",הגדרות!$E$2)),TEXT('הדבקת לידים'!A2851,"0")),TRIM('הדבקת לידים'!A2851)))</f>
        <v/>
      </c>
      <c r="B2851" s="0" t="str">
        <f aca="false">IF('הדבקת לידים'!B2851="","",IF(ISNUMBER('הדבקת לידים'!B2851),IF(הגדרות!$E$3&gt;0,TEXT('הדבקת לידים'!B2851,REPT("0",הגדרות!$E$3)),TEXT('הדבקת לידים'!B2851,"0")),TRIM('הדבקת לידים'!B2851)))</f>
        <v/>
      </c>
      <c r="C2851" s="0" t="n">
        <f aca="false">IF(OR(A2851&lt;&gt;"",B2851&lt;&gt;""),1,0)</f>
        <v>0</v>
      </c>
      <c r="D2851" s="0" t="str">
        <f aca="false">IF(C2851=1,MOD(ABS(SIN(ROW()*12.9898+'הדבקת לידים'!$F$2*78.233+IFERROR(--RIGHT(A2851,6),LEN(A2851))*0.0137+IFERROR(--RIGHT(B2851,6),LEN(B2851))*0.0071))*43758.5453,1),"")</f>
        <v/>
      </c>
      <c r="E2851" s="0" t="str">
        <f aca="false">IF(C2851=1,INT(MOD(ABS(SIN(D2851*7919.123+ROW()*0.618+'הדבקת לידים'!$F$2*1.3))*43758.5453,1)*1000000)*10000+ROW(),"")</f>
        <v/>
      </c>
      <c r="F2851" s="0" t="str">
        <f aca="false">IF(E2851="","",RANK(E2851,$E$2:$E$5001,1))</f>
        <v/>
      </c>
      <c r="G2851" s="0" t="n">
        <f aca="false">IF(A2851="",0,IF(SUMPRODUCT(--($A$2:$A$5001=A2851))&gt;1,1,0))</f>
        <v>0</v>
      </c>
      <c r="H2851" s="0" t="n">
        <f aca="false">ROW()-1</f>
        <v>2850</v>
      </c>
      <c r="I2851" s="0" t="str">
        <f aca="false">IF(OR(הגדרות!$E$6=0,H2851&gt;הגדרות!$E$5),"",IF(H2851-1&lt;הגדרות!$E$8*(הגדרות!$E$7+1),INT((H2851-1)/(הגדרות!$E$7+1)),הגדרות!$E$8+INT((H2851-1-הגדרות!$E$8*(הגדרות!$E$7+1))/הגדרות!$E$7)))</f>
        <v/>
      </c>
      <c r="J2851" s="0" t="str">
        <f aca="false">IF(I2851="","",IF(H2851-1&lt;הגדרות!$E$8*(הגדרות!$E$7+1),MOD(H2851-1,הגדרות!$E$7+1),MOD(H2851-1-הגדרות!$E$8*(הגדרות!$E$7+1),הגדרות!$E$7)))</f>
        <v/>
      </c>
      <c r="K2851" s="0" t="str">
        <f aca="false">IF(I2851="","",J2851*הגדרות!$E$6+I2851+1)</f>
        <v/>
      </c>
      <c r="L2851" s="0" t="str">
        <f aca="false">IF(K2851="","",MATCH(K2851,$F$2:$F$5001,0))</f>
        <v/>
      </c>
      <c r="M2851" s="0" t="str">
        <f aca="false">IF(I2851="","",INDEX(הגדרות!$A$2:$A$21,MOD(I2851+הגדרות!$E$9,הגדרות!$E$6)+1))</f>
        <v/>
      </c>
    </row>
    <row r="2852" customFormat="false" ht="15" hidden="false" customHeight="false" outlineLevel="0" collapsed="false">
      <c r="A2852" s="0" t="str">
        <f aca="false">IF('הדבקת לידים'!A2852="","",IF(ISNUMBER('הדבקת לידים'!A2852),IF(הגדרות!$E$2&gt;0,TEXT('הדבקת לידים'!A2852,REPT("0",הגדרות!$E$2)),TEXT('הדבקת לידים'!A2852,"0")),TRIM('הדבקת לידים'!A2852)))</f>
        <v/>
      </c>
      <c r="B2852" s="0" t="str">
        <f aca="false">IF('הדבקת לידים'!B2852="","",IF(ISNUMBER('הדבקת לידים'!B2852),IF(הגדרות!$E$3&gt;0,TEXT('הדבקת לידים'!B2852,REPT("0",הגדרות!$E$3)),TEXT('הדבקת לידים'!B2852,"0")),TRIM('הדבקת לידים'!B2852)))</f>
        <v/>
      </c>
      <c r="C2852" s="0" t="n">
        <f aca="false">IF(OR(A2852&lt;&gt;"",B2852&lt;&gt;""),1,0)</f>
        <v>0</v>
      </c>
      <c r="D2852" s="0" t="str">
        <f aca="false">IF(C2852=1,MOD(ABS(SIN(ROW()*12.9898+'הדבקת לידים'!$F$2*78.233+IFERROR(--RIGHT(A2852,6),LEN(A2852))*0.0137+IFERROR(--RIGHT(B2852,6),LEN(B2852))*0.0071))*43758.5453,1),"")</f>
        <v/>
      </c>
      <c r="E2852" s="0" t="str">
        <f aca="false">IF(C2852=1,INT(MOD(ABS(SIN(D2852*7919.123+ROW()*0.618+'הדבקת לידים'!$F$2*1.3))*43758.5453,1)*1000000)*10000+ROW(),"")</f>
        <v/>
      </c>
      <c r="F2852" s="0" t="str">
        <f aca="false">IF(E2852="","",RANK(E2852,$E$2:$E$5001,1))</f>
        <v/>
      </c>
      <c r="G2852" s="0" t="n">
        <f aca="false">IF(A2852="",0,IF(SUMPRODUCT(--($A$2:$A$5001=A2852))&gt;1,1,0))</f>
        <v>0</v>
      </c>
      <c r="H2852" s="0" t="n">
        <f aca="false">ROW()-1</f>
        <v>2851</v>
      </c>
      <c r="I2852" s="0" t="str">
        <f aca="false">IF(OR(הגדרות!$E$6=0,H2852&gt;הגדרות!$E$5),"",IF(H2852-1&lt;הגדרות!$E$8*(הגדרות!$E$7+1),INT((H2852-1)/(הגדרות!$E$7+1)),הגדרות!$E$8+INT((H2852-1-הגדרות!$E$8*(הגדרות!$E$7+1))/הגדרות!$E$7)))</f>
        <v/>
      </c>
      <c r="J2852" s="0" t="str">
        <f aca="false">IF(I2852="","",IF(H2852-1&lt;הגדרות!$E$8*(הגדרות!$E$7+1),MOD(H2852-1,הגדרות!$E$7+1),MOD(H2852-1-הגדרות!$E$8*(הגדרות!$E$7+1),הגדרות!$E$7)))</f>
        <v/>
      </c>
      <c r="K2852" s="0" t="str">
        <f aca="false">IF(I2852="","",J2852*הגדרות!$E$6+I2852+1)</f>
        <v/>
      </c>
      <c r="L2852" s="0" t="str">
        <f aca="false">IF(K2852="","",MATCH(K2852,$F$2:$F$5001,0))</f>
        <v/>
      </c>
      <c r="M2852" s="0" t="str">
        <f aca="false">IF(I2852="","",INDEX(הגדרות!$A$2:$A$21,MOD(I2852+הגדרות!$E$9,הגדרות!$E$6)+1))</f>
        <v/>
      </c>
    </row>
    <row r="2853" customFormat="false" ht="15" hidden="false" customHeight="false" outlineLevel="0" collapsed="false">
      <c r="A2853" s="0" t="str">
        <f aca="false">IF('הדבקת לידים'!A2853="","",IF(ISNUMBER('הדבקת לידים'!A2853),IF(הגדרות!$E$2&gt;0,TEXT('הדבקת לידים'!A2853,REPT("0",הגדרות!$E$2)),TEXT('הדבקת לידים'!A2853,"0")),TRIM('הדבקת לידים'!A2853)))</f>
        <v/>
      </c>
      <c r="B2853" s="0" t="str">
        <f aca="false">IF('הדבקת לידים'!B2853="","",IF(ISNUMBER('הדבקת לידים'!B2853),IF(הגדרות!$E$3&gt;0,TEXT('הדבקת לידים'!B2853,REPT("0",הגדרות!$E$3)),TEXT('הדבקת לידים'!B2853,"0")),TRIM('הדבקת לידים'!B2853)))</f>
        <v/>
      </c>
      <c r="C2853" s="0" t="n">
        <f aca="false">IF(OR(A2853&lt;&gt;"",B2853&lt;&gt;""),1,0)</f>
        <v>0</v>
      </c>
      <c r="D2853" s="0" t="str">
        <f aca="false">IF(C2853=1,MOD(ABS(SIN(ROW()*12.9898+'הדבקת לידים'!$F$2*78.233+IFERROR(--RIGHT(A2853,6),LEN(A2853))*0.0137+IFERROR(--RIGHT(B2853,6),LEN(B2853))*0.0071))*43758.5453,1),"")</f>
        <v/>
      </c>
      <c r="E2853" s="0" t="str">
        <f aca="false">IF(C2853=1,INT(MOD(ABS(SIN(D2853*7919.123+ROW()*0.618+'הדבקת לידים'!$F$2*1.3))*43758.5453,1)*1000000)*10000+ROW(),"")</f>
        <v/>
      </c>
      <c r="F2853" s="0" t="str">
        <f aca="false">IF(E2853="","",RANK(E2853,$E$2:$E$5001,1))</f>
        <v/>
      </c>
      <c r="G2853" s="0" t="n">
        <f aca="false">IF(A2853="",0,IF(SUMPRODUCT(--($A$2:$A$5001=A2853))&gt;1,1,0))</f>
        <v>0</v>
      </c>
      <c r="H2853" s="0" t="n">
        <f aca="false">ROW()-1</f>
        <v>2852</v>
      </c>
      <c r="I2853" s="0" t="str">
        <f aca="false">IF(OR(הגדרות!$E$6=0,H2853&gt;הגדרות!$E$5),"",IF(H2853-1&lt;הגדרות!$E$8*(הגדרות!$E$7+1),INT((H2853-1)/(הגדרות!$E$7+1)),הגדרות!$E$8+INT((H2853-1-הגדרות!$E$8*(הגדרות!$E$7+1))/הגדרות!$E$7)))</f>
        <v/>
      </c>
      <c r="J2853" s="0" t="str">
        <f aca="false">IF(I2853="","",IF(H2853-1&lt;הגדרות!$E$8*(הגדרות!$E$7+1),MOD(H2853-1,הגדרות!$E$7+1),MOD(H2853-1-הגדרות!$E$8*(הגדרות!$E$7+1),הגדרות!$E$7)))</f>
        <v/>
      </c>
      <c r="K2853" s="0" t="str">
        <f aca="false">IF(I2853="","",J2853*הגדרות!$E$6+I2853+1)</f>
        <v/>
      </c>
      <c r="L2853" s="0" t="str">
        <f aca="false">IF(K2853="","",MATCH(K2853,$F$2:$F$5001,0))</f>
        <v/>
      </c>
      <c r="M2853" s="0" t="str">
        <f aca="false">IF(I2853="","",INDEX(הגדרות!$A$2:$A$21,MOD(I2853+הגדרות!$E$9,הגדרות!$E$6)+1))</f>
        <v/>
      </c>
    </row>
    <row r="2854" customFormat="false" ht="15" hidden="false" customHeight="false" outlineLevel="0" collapsed="false">
      <c r="A2854" s="0" t="str">
        <f aca="false">IF('הדבקת לידים'!A2854="","",IF(ISNUMBER('הדבקת לידים'!A2854),IF(הגדרות!$E$2&gt;0,TEXT('הדבקת לידים'!A2854,REPT("0",הגדרות!$E$2)),TEXT('הדבקת לידים'!A2854,"0")),TRIM('הדבקת לידים'!A2854)))</f>
        <v/>
      </c>
      <c r="B2854" s="0" t="str">
        <f aca="false">IF('הדבקת לידים'!B2854="","",IF(ISNUMBER('הדבקת לידים'!B2854),IF(הגדרות!$E$3&gt;0,TEXT('הדבקת לידים'!B2854,REPT("0",הגדרות!$E$3)),TEXT('הדבקת לידים'!B2854,"0")),TRIM('הדבקת לידים'!B2854)))</f>
        <v/>
      </c>
      <c r="C2854" s="0" t="n">
        <f aca="false">IF(OR(A2854&lt;&gt;"",B2854&lt;&gt;""),1,0)</f>
        <v>0</v>
      </c>
      <c r="D2854" s="0" t="str">
        <f aca="false">IF(C2854=1,MOD(ABS(SIN(ROW()*12.9898+'הדבקת לידים'!$F$2*78.233+IFERROR(--RIGHT(A2854,6),LEN(A2854))*0.0137+IFERROR(--RIGHT(B2854,6),LEN(B2854))*0.0071))*43758.5453,1),"")</f>
        <v/>
      </c>
      <c r="E2854" s="0" t="str">
        <f aca="false">IF(C2854=1,INT(MOD(ABS(SIN(D2854*7919.123+ROW()*0.618+'הדבקת לידים'!$F$2*1.3))*43758.5453,1)*1000000)*10000+ROW(),"")</f>
        <v/>
      </c>
      <c r="F2854" s="0" t="str">
        <f aca="false">IF(E2854="","",RANK(E2854,$E$2:$E$5001,1))</f>
        <v/>
      </c>
      <c r="G2854" s="0" t="n">
        <f aca="false">IF(A2854="",0,IF(SUMPRODUCT(--($A$2:$A$5001=A2854))&gt;1,1,0))</f>
        <v>0</v>
      </c>
      <c r="H2854" s="0" t="n">
        <f aca="false">ROW()-1</f>
        <v>2853</v>
      </c>
      <c r="I2854" s="0" t="str">
        <f aca="false">IF(OR(הגדרות!$E$6=0,H2854&gt;הגדרות!$E$5),"",IF(H2854-1&lt;הגדרות!$E$8*(הגדרות!$E$7+1),INT((H2854-1)/(הגדרות!$E$7+1)),הגדרות!$E$8+INT((H2854-1-הגדרות!$E$8*(הגדרות!$E$7+1))/הגדרות!$E$7)))</f>
        <v/>
      </c>
      <c r="J2854" s="0" t="str">
        <f aca="false">IF(I2854="","",IF(H2854-1&lt;הגדרות!$E$8*(הגדרות!$E$7+1),MOD(H2854-1,הגדרות!$E$7+1),MOD(H2854-1-הגדרות!$E$8*(הגדרות!$E$7+1),הגדרות!$E$7)))</f>
        <v/>
      </c>
      <c r="K2854" s="0" t="str">
        <f aca="false">IF(I2854="","",J2854*הגדרות!$E$6+I2854+1)</f>
        <v/>
      </c>
      <c r="L2854" s="0" t="str">
        <f aca="false">IF(K2854="","",MATCH(K2854,$F$2:$F$5001,0))</f>
        <v/>
      </c>
      <c r="M2854" s="0" t="str">
        <f aca="false">IF(I2854="","",INDEX(הגדרות!$A$2:$A$21,MOD(I2854+הגדרות!$E$9,הגדרות!$E$6)+1))</f>
        <v/>
      </c>
    </row>
    <row r="2855" customFormat="false" ht="15" hidden="false" customHeight="false" outlineLevel="0" collapsed="false">
      <c r="A2855" s="0" t="str">
        <f aca="false">IF('הדבקת לידים'!A2855="","",IF(ISNUMBER('הדבקת לידים'!A2855),IF(הגדרות!$E$2&gt;0,TEXT('הדבקת לידים'!A2855,REPT("0",הגדרות!$E$2)),TEXT('הדבקת לידים'!A2855,"0")),TRIM('הדבקת לידים'!A2855)))</f>
        <v/>
      </c>
      <c r="B2855" s="0" t="str">
        <f aca="false">IF('הדבקת לידים'!B2855="","",IF(ISNUMBER('הדבקת לידים'!B2855),IF(הגדרות!$E$3&gt;0,TEXT('הדבקת לידים'!B2855,REPT("0",הגדרות!$E$3)),TEXT('הדבקת לידים'!B2855,"0")),TRIM('הדבקת לידים'!B2855)))</f>
        <v/>
      </c>
      <c r="C2855" s="0" t="n">
        <f aca="false">IF(OR(A2855&lt;&gt;"",B2855&lt;&gt;""),1,0)</f>
        <v>0</v>
      </c>
      <c r="D2855" s="0" t="str">
        <f aca="false">IF(C2855=1,MOD(ABS(SIN(ROW()*12.9898+'הדבקת לידים'!$F$2*78.233+IFERROR(--RIGHT(A2855,6),LEN(A2855))*0.0137+IFERROR(--RIGHT(B2855,6),LEN(B2855))*0.0071))*43758.5453,1),"")</f>
        <v/>
      </c>
      <c r="E2855" s="0" t="str">
        <f aca="false">IF(C2855=1,INT(MOD(ABS(SIN(D2855*7919.123+ROW()*0.618+'הדבקת לידים'!$F$2*1.3))*43758.5453,1)*1000000)*10000+ROW(),"")</f>
        <v/>
      </c>
      <c r="F2855" s="0" t="str">
        <f aca="false">IF(E2855="","",RANK(E2855,$E$2:$E$5001,1))</f>
        <v/>
      </c>
      <c r="G2855" s="0" t="n">
        <f aca="false">IF(A2855="",0,IF(SUMPRODUCT(--($A$2:$A$5001=A2855))&gt;1,1,0))</f>
        <v>0</v>
      </c>
      <c r="H2855" s="0" t="n">
        <f aca="false">ROW()-1</f>
        <v>2854</v>
      </c>
      <c r="I2855" s="0" t="str">
        <f aca="false">IF(OR(הגדרות!$E$6=0,H2855&gt;הגדרות!$E$5),"",IF(H2855-1&lt;הגדרות!$E$8*(הגדרות!$E$7+1),INT((H2855-1)/(הגדרות!$E$7+1)),הגדרות!$E$8+INT((H2855-1-הגדרות!$E$8*(הגדרות!$E$7+1))/הגדרות!$E$7)))</f>
        <v/>
      </c>
      <c r="J2855" s="0" t="str">
        <f aca="false">IF(I2855="","",IF(H2855-1&lt;הגדרות!$E$8*(הגדרות!$E$7+1),MOD(H2855-1,הגדרות!$E$7+1),MOD(H2855-1-הגדרות!$E$8*(הגדרות!$E$7+1),הגדרות!$E$7)))</f>
        <v/>
      </c>
      <c r="K2855" s="0" t="str">
        <f aca="false">IF(I2855="","",J2855*הגדרות!$E$6+I2855+1)</f>
        <v/>
      </c>
      <c r="L2855" s="0" t="str">
        <f aca="false">IF(K2855="","",MATCH(K2855,$F$2:$F$5001,0))</f>
        <v/>
      </c>
      <c r="M2855" s="0" t="str">
        <f aca="false">IF(I2855="","",INDEX(הגדרות!$A$2:$A$21,MOD(I2855+הגדרות!$E$9,הגדרות!$E$6)+1))</f>
        <v/>
      </c>
    </row>
    <row r="2856" customFormat="false" ht="15" hidden="false" customHeight="false" outlineLevel="0" collapsed="false">
      <c r="A2856" s="0" t="str">
        <f aca="false">IF('הדבקת לידים'!A2856="","",IF(ISNUMBER('הדבקת לידים'!A2856),IF(הגדרות!$E$2&gt;0,TEXT('הדבקת לידים'!A2856,REPT("0",הגדרות!$E$2)),TEXT('הדבקת לידים'!A2856,"0")),TRIM('הדבקת לידים'!A2856)))</f>
        <v/>
      </c>
      <c r="B2856" s="0" t="str">
        <f aca="false">IF('הדבקת לידים'!B2856="","",IF(ISNUMBER('הדבקת לידים'!B2856),IF(הגדרות!$E$3&gt;0,TEXT('הדבקת לידים'!B2856,REPT("0",הגדרות!$E$3)),TEXT('הדבקת לידים'!B2856,"0")),TRIM('הדבקת לידים'!B2856)))</f>
        <v/>
      </c>
      <c r="C2856" s="0" t="n">
        <f aca="false">IF(OR(A2856&lt;&gt;"",B2856&lt;&gt;""),1,0)</f>
        <v>0</v>
      </c>
      <c r="D2856" s="0" t="str">
        <f aca="false">IF(C2856=1,MOD(ABS(SIN(ROW()*12.9898+'הדבקת לידים'!$F$2*78.233+IFERROR(--RIGHT(A2856,6),LEN(A2856))*0.0137+IFERROR(--RIGHT(B2856,6),LEN(B2856))*0.0071))*43758.5453,1),"")</f>
        <v/>
      </c>
      <c r="E2856" s="0" t="str">
        <f aca="false">IF(C2856=1,INT(MOD(ABS(SIN(D2856*7919.123+ROW()*0.618+'הדבקת לידים'!$F$2*1.3))*43758.5453,1)*1000000)*10000+ROW(),"")</f>
        <v/>
      </c>
      <c r="F2856" s="0" t="str">
        <f aca="false">IF(E2856="","",RANK(E2856,$E$2:$E$5001,1))</f>
        <v/>
      </c>
      <c r="G2856" s="0" t="n">
        <f aca="false">IF(A2856="",0,IF(SUMPRODUCT(--($A$2:$A$5001=A2856))&gt;1,1,0))</f>
        <v>0</v>
      </c>
      <c r="H2856" s="0" t="n">
        <f aca="false">ROW()-1</f>
        <v>2855</v>
      </c>
      <c r="I2856" s="0" t="str">
        <f aca="false">IF(OR(הגדרות!$E$6=0,H2856&gt;הגדרות!$E$5),"",IF(H2856-1&lt;הגדרות!$E$8*(הגדרות!$E$7+1),INT((H2856-1)/(הגדרות!$E$7+1)),הגדרות!$E$8+INT((H2856-1-הגדרות!$E$8*(הגדרות!$E$7+1))/הגדרות!$E$7)))</f>
        <v/>
      </c>
      <c r="J2856" s="0" t="str">
        <f aca="false">IF(I2856="","",IF(H2856-1&lt;הגדרות!$E$8*(הגדרות!$E$7+1),MOD(H2856-1,הגדרות!$E$7+1),MOD(H2856-1-הגדרות!$E$8*(הגדרות!$E$7+1),הגדרות!$E$7)))</f>
        <v/>
      </c>
      <c r="K2856" s="0" t="str">
        <f aca="false">IF(I2856="","",J2856*הגדרות!$E$6+I2856+1)</f>
        <v/>
      </c>
      <c r="L2856" s="0" t="str">
        <f aca="false">IF(K2856="","",MATCH(K2856,$F$2:$F$5001,0))</f>
        <v/>
      </c>
      <c r="M2856" s="0" t="str">
        <f aca="false">IF(I2856="","",INDEX(הגדרות!$A$2:$A$21,MOD(I2856+הגדרות!$E$9,הגדרות!$E$6)+1))</f>
        <v/>
      </c>
    </row>
    <row r="2857" customFormat="false" ht="15" hidden="false" customHeight="false" outlineLevel="0" collapsed="false">
      <c r="A2857" s="0" t="str">
        <f aca="false">IF('הדבקת לידים'!A2857="","",IF(ISNUMBER('הדבקת לידים'!A2857),IF(הגדרות!$E$2&gt;0,TEXT('הדבקת לידים'!A2857,REPT("0",הגדרות!$E$2)),TEXT('הדבקת לידים'!A2857,"0")),TRIM('הדבקת לידים'!A2857)))</f>
        <v/>
      </c>
      <c r="B2857" s="0" t="str">
        <f aca="false">IF('הדבקת לידים'!B2857="","",IF(ISNUMBER('הדבקת לידים'!B2857),IF(הגדרות!$E$3&gt;0,TEXT('הדבקת לידים'!B2857,REPT("0",הגדרות!$E$3)),TEXT('הדבקת לידים'!B2857,"0")),TRIM('הדבקת לידים'!B2857)))</f>
        <v/>
      </c>
      <c r="C2857" s="0" t="n">
        <f aca="false">IF(OR(A2857&lt;&gt;"",B2857&lt;&gt;""),1,0)</f>
        <v>0</v>
      </c>
      <c r="D2857" s="0" t="str">
        <f aca="false">IF(C2857=1,MOD(ABS(SIN(ROW()*12.9898+'הדבקת לידים'!$F$2*78.233+IFERROR(--RIGHT(A2857,6),LEN(A2857))*0.0137+IFERROR(--RIGHT(B2857,6),LEN(B2857))*0.0071))*43758.5453,1),"")</f>
        <v/>
      </c>
      <c r="E2857" s="0" t="str">
        <f aca="false">IF(C2857=1,INT(MOD(ABS(SIN(D2857*7919.123+ROW()*0.618+'הדבקת לידים'!$F$2*1.3))*43758.5453,1)*1000000)*10000+ROW(),"")</f>
        <v/>
      </c>
      <c r="F2857" s="0" t="str">
        <f aca="false">IF(E2857="","",RANK(E2857,$E$2:$E$5001,1))</f>
        <v/>
      </c>
      <c r="G2857" s="0" t="n">
        <f aca="false">IF(A2857="",0,IF(SUMPRODUCT(--($A$2:$A$5001=A2857))&gt;1,1,0))</f>
        <v>0</v>
      </c>
      <c r="H2857" s="0" t="n">
        <f aca="false">ROW()-1</f>
        <v>2856</v>
      </c>
      <c r="I2857" s="0" t="str">
        <f aca="false">IF(OR(הגדרות!$E$6=0,H2857&gt;הגדרות!$E$5),"",IF(H2857-1&lt;הגדרות!$E$8*(הגדרות!$E$7+1),INT((H2857-1)/(הגדרות!$E$7+1)),הגדרות!$E$8+INT((H2857-1-הגדרות!$E$8*(הגדרות!$E$7+1))/הגדרות!$E$7)))</f>
        <v/>
      </c>
      <c r="J2857" s="0" t="str">
        <f aca="false">IF(I2857="","",IF(H2857-1&lt;הגדרות!$E$8*(הגדרות!$E$7+1),MOD(H2857-1,הגדרות!$E$7+1),MOD(H2857-1-הגדרות!$E$8*(הגדרות!$E$7+1),הגדרות!$E$7)))</f>
        <v/>
      </c>
      <c r="K2857" s="0" t="str">
        <f aca="false">IF(I2857="","",J2857*הגדרות!$E$6+I2857+1)</f>
        <v/>
      </c>
      <c r="L2857" s="0" t="str">
        <f aca="false">IF(K2857="","",MATCH(K2857,$F$2:$F$5001,0))</f>
        <v/>
      </c>
      <c r="M2857" s="0" t="str">
        <f aca="false">IF(I2857="","",INDEX(הגדרות!$A$2:$A$21,MOD(I2857+הגדרות!$E$9,הגדרות!$E$6)+1))</f>
        <v/>
      </c>
    </row>
    <row r="2858" customFormat="false" ht="15" hidden="false" customHeight="false" outlineLevel="0" collapsed="false">
      <c r="A2858" s="0" t="str">
        <f aca="false">IF('הדבקת לידים'!A2858="","",IF(ISNUMBER('הדבקת לידים'!A2858),IF(הגדרות!$E$2&gt;0,TEXT('הדבקת לידים'!A2858,REPT("0",הגדרות!$E$2)),TEXT('הדבקת לידים'!A2858,"0")),TRIM('הדבקת לידים'!A2858)))</f>
        <v/>
      </c>
      <c r="B2858" s="0" t="str">
        <f aca="false">IF('הדבקת לידים'!B2858="","",IF(ISNUMBER('הדבקת לידים'!B2858),IF(הגדרות!$E$3&gt;0,TEXT('הדבקת לידים'!B2858,REPT("0",הגדרות!$E$3)),TEXT('הדבקת לידים'!B2858,"0")),TRIM('הדבקת לידים'!B2858)))</f>
        <v/>
      </c>
      <c r="C2858" s="0" t="n">
        <f aca="false">IF(OR(A2858&lt;&gt;"",B2858&lt;&gt;""),1,0)</f>
        <v>0</v>
      </c>
      <c r="D2858" s="0" t="str">
        <f aca="false">IF(C2858=1,MOD(ABS(SIN(ROW()*12.9898+'הדבקת לידים'!$F$2*78.233+IFERROR(--RIGHT(A2858,6),LEN(A2858))*0.0137+IFERROR(--RIGHT(B2858,6),LEN(B2858))*0.0071))*43758.5453,1),"")</f>
        <v/>
      </c>
      <c r="E2858" s="0" t="str">
        <f aca="false">IF(C2858=1,INT(MOD(ABS(SIN(D2858*7919.123+ROW()*0.618+'הדבקת לידים'!$F$2*1.3))*43758.5453,1)*1000000)*10000+ROW(),"")</f>
        <v/>
      </c>
      <c r="F2858" s="0" t="str">
        <f aca="false">IF(E2858="","",RANK(E2858,$E$2:$E$5001,1))</f>
        <v/>
      </c>
      <c r="G2858" s="0" t="n">
        <f aca="false">IF(A2858="",0,IF(SUMPRODUCT(--($A$2:$A$5001=A2858))&gt;1,1,0))</f>
        <v>0</v>
      </c>
      <c r="H2858" s="0" t="n">
        <f aca="false">ROW()-1</f>
        <v>2857</v>
      </c>
      <c r="I2858" s="0" t="str">
        <f aca="false">IF(OR(הגדרות!$E$6=0,H2858&gt;הגדרות!$E$5),"",IF(H2858-1&lt;הגדרות!$E$8*(הגדרות!$E$7+1),INT((H2858-1)/(הגדרות!$E$7+1)),הגדרות!$E$8+INT((H2858-1-הגדרות!$E$8*(הגדרות!$E$7+1))/הגדרות!$E$7)))</f>
        <v/>
      </c>
      <c r="J2858" s="0" t="str">
        <f aca="false">IF(I2858="","",IF(H2858-1&lt;הגדרות!$E$8*(הגדרות!$E$7+1),MOD(H2858-1,הגדרות!$E$7+1),MOD(H2858-1-הגדרות!$E$8*(הגדרות!$E$7+1),הגדרות!$E$7)))</f>
        <v/>
      </c>
      <c r="K2858" s="0" t="str">
        <f aca="false">IF(I2858="","",J2858*הגדרות!$E$6+I2858+1)</f>
        <v/>
      </c>
      <c r="L2858" s="0" t="str">
        <f aca="false">IF(K2858="","",MATCH(K2858,$F$2:$F$5001,0))</f>
        <v/>
      </c>
      <c r="M2858" s="0" t="str">
        <f aca="false">IF(I2858="","",INDEX(הגדרות!$A$2:$A$21,MOD(I2858+הגדרות!$E$9,הגדרות!$E$6)+1))</f>
        <v/>
      </c>
    </row>
    <row r="2859" customFormat="false" ht="15" hidden="false" customHeight="false" outlineLevel="0" collapsed="false">
      <c r="A2859" s="0" t="str">
        <f aca="false">IF('הדבקת לידים'!A2859="","",IF(ISNUMBER('הדבקת לידים'!A2859),IF(הגדרות!$E$2&gt;0,TEXT('הדבקת לידים'!A2859,REPT("0",הגדרות!$E$2)),TEXT('הדבקת לידים'!A2859,"0")),TRIM('הדבקת לידים'!A2859)))</f>
        <v/>
      </c>
      <c r="B2859" s="0" t="str">
        <f aca="false">IF('הדבקת לידים'!B2859="","",IF(ISNUMBER('הדבקת לידים'!B2859),IF(הגדרות!$E$3&gt;0,TEXT('הדבקת לידים'!B2859,REPT("0",הגדרות!$E$3)),TEXT('הדבקת לידים'!B2859,"0")),TRIM('הדבקת לידים'!B2859)))</f>
        <v/>
      </c>
      <c r="C2859" s="0" t="n">
        <f aca="false">IF(OR(A2859&lt;&gt;"",B2859&lt;&gt;""),1,0)</f>
        <v>0</v>
      </c>
      <c r="D2859" s="0" t="str">
        <f aca="false">IF(C2859=1,MOD(ABS(SIN(ROW()*12.9898+'הדבקת לידים'!$F$2*78.233+IFERROR(--RIGHT(A2859,6),LEN(A2859))*0.0137+IFERROR(--RIGHT(B2859,6),LEN(B2859))*0.0071))*43758.5453,1),"")</f>
        <v/>
      </c>
      <c r="E2859" s="0" t="str">
        <f aca="false">IF(C2859=1,INT(MOD(ABS(SIN(D2859*7919.123+ROW()*0.618+'הדבקת לידים'!$F$2*1.3))*43758.5453,1)*1000000)*10000+ROW(),"")</f>
        <v/>
      </c>
      <c r="F2859" s="0" t="str">
        <f aca="false">IF(E2859="","",RANK(E2859,$E$2:$E$5001,1))</f>
        <v/>
      </c>
      <c r="G2859" s="0" t="n">
        <f aca="false">IF(A2859="",0,IF(SUMPRODUCT(--($A$2:$A$5001=A2859))&gt;1,1,0))</f>
        <v>0</v>
      </c>
      <c r="H2859" s="0" t="n">
        <f aca="false">ROW()-1</f>
        <v>2858</v>
      </c>
      <c r="I2859" s="0" t="str">
        <f aca="false">IF(OR(הגדרות!$E$6=0,H2859&gt;הגדרות!$E$5),"",IF(H2859-1&lt;הגדרות!$E$8*(הגדרות!$E$7+1),INT((H2859-1)/(הגדרות!$E$7+1)),הגדרות!$E$8+INT((H2859-1-הגדרות!$E$8*(הגדרות!$E$7+1))/הגדרות!$E$7)))</f>
        <v/>
      </c>
      <c r="J2859" s="0" t="str">
        <f aca="false">IF(I2859="","",IF(H2859-1&lt;הגדרות!$E$8*(הגדרות!$E$7+1),MOD(H2859-1,הגדרות!$E$7+1),MOD(H2859-1-הגדרות!$E$8*(הגדרות!$E$7+1),הגדרות!$E$7)))</f>
        <v/>
      </c>
      <c r="K2859" s="0" t="str">
        <f aca="false">IF(I2859="","",J2859*הגדרות!$E$6+I2859+1)</f>
        <v/>
      </c>
      <c r="L2859" s="0" t="str">
        <f aca="false">IF(K2859="","",MATCH(K2859,$F$2:$F$5001,0))</f>
        <v/>
      </c>
      <c r="M2859" s="0" t="str">
        <f aca="false">IF(I2859="","",INDEX(הגדרות!$A$2:$A$21,MOD(I2859+הגדרות!$E$9,הגדרות!$E$6)+1))</f>
        <v/>
      </c>
    </row>
    <row r="2860" customFormat="false" ht="15" hidden="false" customHeight="false" outlineLevel="0" collapsed="false">
      <c r="A2860" s="0" t="str">
        <f aca="false">IF('הדבקת לידים'!A2860="","",IF(ISNUMBER('הדבקת לידים'!A2860),IF(הגדרות!$E$2&gt;0,TEXT('הדבקת לידים'!A2860,REPT("0",הגדרות!$E$2)),TEXT('הדבקת לידים'!A2860,"0")),TRIM('הדבקת לידים'!A2860)))</f>
        <v/>
      </c>
      <c r="B2860" s="0" t="str">
        <f aca="false">IF('הדבקת לידים'!B2860="","",IF(ISNUMBER('הדבקת לידים'!B2860),IF(הגדרות!$E$3&gt;0,TEXT('הדבקת לידים'!B2860,REPT("0",הגדרות!$E$3)),TEXT('הדבקת לידים'!B2860,"0")),TRIM('הדבקת לידים'!B2860)))</f>
        <v/>
      </c>
      <c r="C2860" s="0" t="n">
        <f aca="false">IF(OR(A2860&lt;&gt;"",B2860&lt;&gt;""),1,0)</f>
        <v>0</v>
      </c>
      <c r="D2860" s="0" t="str">
        <f aca="false">IF(C2860=1,MOD(ABS(SIN(ROW()*12.9898+'הדבקת לידים'!$F$2*78.233+IFERROR(--RIGHT(A2860,6),LEN(A2860))*0.0137+IFERROR(--RIGHT(B2860,6),LEN(B2860))*0.0071))*43758.5453,1),"")</f>
        <v/>
      </c>
      <c r="E2860" s="0" t="str">
        <f aca="false">IF(C2860=1,INT(MOD(ABS(SIN(D2860*7919.123+ROW()*0.618+'הדבקת לידים'!$F$2*1.3))*43758.5453,1)*1000000)*10000+ROW(),"")</f>
        <v/>
      </c>
      <c r="F2860" s="0" t="str">
        <f aca="false">IF(E2860="","",RANK(E2860,$E$2:$E$5001,1))</f>
        <v/>
      </c>
      <c r="G2860" s="0" t="n">
        <f aca="false">IF(A2860="",0,IF(SUMPRODUCT(--($A$2:$A$5001=A2860))&gt;1,1,0))</f>
        <v>0</v>
      </c>
      <c r="H2860" s="0" t="n">
        <f aca="false">ROW()-1</f>
        <v>2859</v>
      </c>
      <c r="I2860" s="0" t="str">
        <f aca="false">IF(OR(הגדרות!$E$6=0,H2860&gt;הגדרות!$E$5),"",IF(H2860-1&lt;הגדרות!$E$8*(הגדרות!$E$7+1),INT((H2860-1)/(הגדרות!$E$7+1)),הגדרות!$E$8+INT((H2860-1-הגדרות!$E$8*(הגדרות!$E$7+1))/הגדרות!$E$7)))</f>
        <v/>
      </c>
      <c r="J2860" s="0" t="str">
        <f aca="false">IF(I2860="","",IF(H2860-1&lt;הגדרות!$E$8*(הגדרות!$E$7+1),MOD(H2860-1,הגדרות!$E$7+1),MOD(H2860-1-הגדרות!$E$8*(הגדרות!$E$7+1),הגדרות!$E$7)))</f>
        <v/>
      </c>
      <c r="K2860" s="0" t="str">
        <f aca="false">IF(I2860="","",J2860*הגדרות!$E$6+I2860+1)</f>
        <v/>
      </c>
      <c r="L2860" s="0" t="str">
        <f aca="false">IF(K2860="","",MATCH(K2860,$F$2:$F$5001,0))</f>
        <v/>
      </c>
      <c r="M2860" s="0" t="str">
        <f aca="false">IF(I2860="","",INDEX(הגדרות!$A$2:$A$21,MOD(I2860+הגדרות!$E$9,הגדרות!$E$6)+1))</f>
        <v/>
      </c>
    </row>
    <row r="2861" customFormat="false" ht="15" hidden="false" customHeight="false" outlineLevel="0" collapsed="false">
      <c r="A2861" s="0" t="str">
        <f aca="false">IF('הדבקת לידים'!A2861="","",IF(ISNUMBER('הדבקת לידים'!A2861),IF(הגדרות!$E$2&gt;0,TEXT('הדבקת לידים'!A2861,REPT("0",הגדרות!$E$2)),TEXT('הדבקת לידים'!A2861,"0")),TRIM('הדבקת לידים'!A2861)))</f>
        <v/>
      </c>
      <c r="B2861" s="0" t="str">
        <f aca="false">IF('הדבקת לידים'!B2861="","",IF(ISNUMBER('הדבקת לידים'!B2861),IF(הגדרות!$E$3&gt;0,TEXT('הדבקת לידים'!B2861,REPT("0",הגדרות!$E$3)),TEXT('הדבקת לידים'!B2861,"0")),TRIM('הדבקת לידים'!B2861)))</f>
        <v/>
      </c>
      <c r="C2861" s="0" t="n">
        <f aca="false">IF(OR(A2861&lt;&gt;"",B2861&lt;&gt;""),1,0)</f>
        <v>0</v>
      </c>
      <c r="D2861" s="0" t="str">
        <f aca="false">IF(C2861=1,MOD(ABS(SIN(ROW()*12.9898+'הדבקת לידים'!$F$2*78.233+IFERROR(--RIGHT(A2861,6),LEN(A2861))*0.0137+IFERROR(--RIGHT(B2861,6),LEN(B2861))*0.0071))*43758.5453,1),"")</f>
        <v/>
      </c>
      <c r="E2861" s="0" t="str">
        <f aca="false">IF(C2861=1,INT(MOD(ABS(SIN(D2861*7919.123+ROW()*0.618+'הדבקת לידים'!$F$2*1.3))*43758.5453,1)*1000000)*10000+ROW(),"")</f>
        <v/>
      </c>
      <c r="F2861" s="0" t="str">
        <f aca="false">IF(E2861="","",RANK(E2861,$E$2:$E$5001,1))</f>
        <v/>
      </c>
      <c r="G2861" s="0" t="n">
        <f aca="false">IF(A2861="",0,IF(SUMPRODUCT(--($A$2:$A$5001=A2861))&gt;1,1,0))</f>
        <v>0</v>
      </c>
      <c r="H2861" s="0" t="n">
        <f aca="false">ROW()-1</f>
        <v>2860</v>
      </c>
      <c r="I2861" s="0" t="str">
        <f aca="false">IF(OR(הגדרות!$E$6=0,H2861&gt;הגדרות!$E$5),"",IF(H2861-1&lt;הגדרות!$E$8*(הגדרות!$E$7+1),INT((H2861-1)/(הגדרות!$E$7+1)),הגדרות!$E$8+INT((H2861-1-הגדרות!$E$8*(הגדרות!$E$7+1))/הגדרות!$E$7)))</f>
        <v/>
      </c>
      <c r="J2861" s="0" t="str">
        <f aca="false">IF(I2861="","",IF(H2861-1&lt;הגדרות!$E$8*(הגדרות!$E$7+1),MOD(H2861-1,הגדרות!$E$7+1),MOD(H2861-1-הגדרות!$E$8*(הגדרות!$E$7+1),הגדרות!$E$7)))</f>
        <v/>
      </c>
      <c r="K2861" s="0" t="str">
        <f aca="false">IF(I2861="","",J2861*הגדרות!$E$6+I2861+1)</f>
        <v/>
      </c>
      <c r="L2861" s="0" t="str">
        <f aca="false">IF(K2861="","",MATCH(K2861,$F$2:$F$5001,0))</f>
        <v/>
      </c>
      <c r="M2861" s="0" t="str">
        <f aca="false">IF(I2861="","",INDEX(הגדרות!$A$2:$A$21,MOD(I2861+הגדרות!$E$9,הגדרות!$E$6)+1))</f>
        <v/>
      </c>
    </row>
    <row r="2862" customFormat="false" ht="15" hidden="false" customHeight="false" outlineLevel="0" collapsed="false">
      <c r="A2862" s="0" t="str">
        <f aca="false">IF('הדבקת לידים'!A2862="","",IF(ISNUMBER('הדבקת לידים'!A2862),IF(הגדרות!$E$2&gt;0,TEXT('הדבקת לידים'!A2862,REPT("0",הגדרות!$E$2)),TEXT('הדבקת לידים'!A2862,"0")),TRIM('הדבקת לידים'!A2862)))</f>
        <v/>
      </c>
      <c r="B2862" s="0" t="str">
        <f aca="false">IF('הדבקת לידים'!B2862="","",IF(ISNUMBER('הדבקת לידים'!B2862),IF(הגדרות!$E$3&gt;0,TEXT('הדבקת לידים'!B2862,REPT("0",הגדרות!$E$3)),TEXT('הדבקת לידים'!B2862,"0")),TRIM('הדבקת לידים'!B2862)))</f>
        <v/>
      </c>
      <c r="C2862" s="0" t="n">
        <f aca="false">IF(OR(A2862&lt;&gt;"",B2862&lt;&gt;""),1,0)</f>
        <v>0</v>
      </c>
      <c r="D2862" s="0" t="str">
        <f aca="false">IF(C2862=1,MOD(ABS(SIN(ROW()*12.9898+'הדבקת לידים'!$F$2*78.233+IFERROR(--RIGHT(A2862,6),LEN(A2862))*0.0137+IFERROR(--RIGHT(B2862,6),LEN(B2862))*0.0071))*43758.5453,1),"")</f>
        <v/>
      </c>
      <c r="E2862" s="0" t="str">
        <f aca="false">IF(C2862=1,INT(MOD(ABS(SIN(D2862*7919.123+ROW()*0.618+'הדבקת לידים'!$F$2*1.3))*43758.5453,1)*1000000)*10000+ROW(),"")</f>
        <v/>
      </c>
      <c r="F2862" s="0" t="str">
        <f aca="false">IF(E2862="","",RANK(E2862,$E$2:$E$5001,1))</f>
        <v/>
      </c>
      <c r="G2862" s="0" t="n">
        <f aca="false">IF(A2862="",0,IF(SUMPRODUCT(--($A$2:$A$5001=A2862))&gt;1,1,0))</f>
        <v>0</v>
      </c>
      <c r="H2862" s="0" t="n">
        <f aca="false">ROW()-1</f>
        <v>2861</v>
      </c>
      <c r="I2862" s="0" t="str">
        <f aca="false">IF(OR(הגדרות!$E$6=0,H2862&gt;הגדרות!$E$5),"",IF(H2862-1&lt;הגדרות!$E$8*(הגדרות!$E$7+1),INT((H2862-1)/(הגדרות!$E$7+1)),הגדרות!$E$8+INT((H2862-1-הגדרות!$E$8*(הגדרות!$E$7+1))/הגדרות!$E$7)))</f>
        <v/>
      </c>
      <c r="J2862" s="0" t="str">
        <f aca="false">IF(I2862="","",IF(H2862-1&lt;הגדרות!$E$8*(הגדרות!$E$7+1),MOD(H2862-1,הגדרות!$E$7+1),MOD(H2862-1-הגדרות!$E$8*(הגדרות!$E$7+1),הגדרות!$E$7)))</f>
        <v/>
      </c>
      <c r="K2862" s="0" t="str">
        <f aca="false">IF(I2862="","",J2862*הגדרות!$E$6+I2862+1)</f>
        <v/>
      </c>
      <c r="L2862" s="0" t="str">
        <f aca="false">IF(K2862="","",MATCH(K2862,$F$2:$F$5001,0))</f>
        <v/>
      </c>
      <c r="M2862" s="0" t="str">
        <f aca="false">IF(I2862="","",INDEX(הגדרות!$A$2:$A$21,MOD(I2862+הגדרות!$E$9,הגדרות!$E$6)+1))</f>
        <v/>
      </c>
    </row>
    <row r="2863" customFormat="false" ht="15" hidden="false" customHeight="false" outlineLevel="0" collapsed="false">
      <c r="A2863" s="0" t="str">
        <f aca="false">IF('הדבקת לידים'!A2863="","",IF(ISNUMBER('הדבקת לידים'!A2863),IF(הגדרות!$E$2&gt;0,TEXT('הדבקת לידים'!A2863,REPT("0",הגדרות!$E$2)),TEXT('הדבקת לידים'!A2863,"0")),TRIM('הדבקת לידים'!A2863)))</f>
        <v/>
      </c>
      <c r="B2863" s="0" t="str">
        <f aca="false">IF('הדבקת לידים'!B2863="","",IF(ISNUMBER('הדבקת לידים'!B2863),IF(הגדרות!$E$3&gt;0,TEXT('הדבקת לידים'!B2863,REPT("0",הגדרות!$E$3)),TEXT('הדבקת לידים'!B2863,"0")),TRIM('הדבקת לידים'!B2863)))</f>
        <v/>
      </c>
      <c r="C2863" s="0" t="n">
        <f aca="false">IF(OR(A2863&lt;&gt;"",B2863&lt;&gt;""),1,0)</f>
        <v>0</v>
      </c>
      <c r="D2863" s="0" t="str">
        <f aca="false">IF(C2863=1,MOD(ABS(SIN(ROW()*12.9898+'הדבקת לידים'!$F$2*78.233+IFERROR(--RIGHT(A2863,6),LEN(A2863))*0.0137+IFERROR(--RIGHT(B2863,6),LEN(B2863))*0.0071))*43758.5453,1),"")</f>
        <v/>
      </c>
      <c r="E2863" s="0" t="str">
        <f aca="false">IF(C2863=1,INT(MOD(ABS(SIN(D2863*7919.123+ROW()*0.618+'הדבקת לידים'!$F$2*1.3))*43758.5453,1)*1000000)*10000+ROW(),"")</f>
        <v/>
      </c>
      <c r="F2863" s="0" t="str">
        <f aca="false">IF(E2863="","",RANK(E2863,$E$2:$E$5001,1))</f>
        <v/>
      </c>
      <c r="G2863" s="0" t="n">
        <f aca="false">IF(A2863="",0,IF(SUMPRODUCT(--($A$2:$A$5001=A2863))&gt;1,1,0))</f>
        <v>0</v>
      </c>
      <c r="H2863" s="0" t="n">
        <f aca="false">ROW()-1</f>
        <v>2862</v>
      </c>
      <c r="I2863" s="0" t="str">
        <f aca="false">IF(OR(הגדרות!$E$6=0,H2863&gt;הגדרות!$E$5),"",IF(H2863-1&lt;הגדרות!$E$8*(הגדרות!$E$7+1),INT((H2863-1)/(הגדרות!$E$7+1)),הגדרות!$E$8+INT((H2863-1-הגדרות!$E$8*(הגדרות!$E$7+1))/הגדרות!$E$7)))</f>
        <v/>
      </c>
      <c r="J2863" s="0" t="str">
        <f aca="false">IF(I2863="","",IF(H2863-1&lt;הגדרות!$E$8*(הגדרות!$E$7+1),MOD(H2863-1,הגדרות!$E$7+1),MOD(H2863-1-הגדרות!$E$8*(הגדרות!$E$7+1),הגדרות!$E$7)))</f>
        <v/>
      </c>
      <c r="K2863" s="0" t="str">
        <f aca="false">IF(I2863="","",J2863*הגדרות!$E$6+I2863+1)</f>
        <v/>
      </c>
      <c r="L2863" s="0" t="str">
        <f aca="false">IF(K2863="","",MATCH(K2863,$F$2:$F$5001,0))</f>
        <v/>
      </c>
      <c r="M2863" s="0" t="str">
        <f aca="false">IF(I2863="","",INDEX(הגדרות!$A$2:$A$21,MOD(I2863+הגדרות!$E$9,הגדרות!$E$6)+1))</f>
        <v/>
      </c>
    </row>
    <row r="2864" customFormat="false" ht="15" hidden="false" customHeight="false" outlineLevel="0" collapsed="false">
      <c r="A2864" s="0" t="str">
        <f aca="false">IF('הדבקת לידים'!A2864="","",IF(ISNUMBER('הדבקת לידים'!A2864),IF(הגדרות!$E$2&gt;0,TEXT('הדבקת לידים'!A2864,REPT("0",הגדרות!$E$2)),TEXT('הדבקת לידים'!A2864,"0")),TRIM('הדבקת לידים'!A2864)))</f>
        <v/>
      </c>
      <c r="B2864" s="0" t="str">
        <f aca="false">IF('הדבקת לידים'!B2864="","",IF(ISNUMBER('הדבקת לידים'!B2864),IF(הגדרות!$E$3&gt;0,TEXT('הדבקת לידים'!B2864,REPT("0",הגדרות!$E$3)),TEXT('הדבקת לידים'!B2864,"0")),TRIM('הדבקת לידים'!B2864)))</f>
        <v/>
      </c>
      <c r="C2864" s="0" t="n">
        <f aca="false">IF(OR(A2864&lt;&gt;"",B2864&lt;&gt;""),1,0)</f>
        <v>0</v>
      </c>
      <c r="D2864" s="0" t="str">
        <f aca="false">IF(C2864=1,MOD(ABS(SIN(ROW()*12.9898+'הדבקת לידים'!$F$2*78.233+IFERROR(--RIGHT(A2864,6),LEN(A2864))*0.0137+IFERROR(--RIGHT(B2864,6),LEN(B2864))*0.0071))*43758.5453,1),"")</f>
        <v/>
      </c>
      <c r="E2864" s="0" t="str">
        <f aca="false">IF(C2864=1,INT(MOD(ABS(SIN(D2864*7919.123+ROW()*0.618+'הדבקת לידים'!$F$2*1.3))*43758.5453,1)*1000000)*10000+ROW(),"")</f>
        <v/>
      </c>
      <c r="F2864" s="0" t="str">
        <f aca="false">IF(E2864="","",RANK(E2864,$E$2:$E$5001,1))</f>
        <v/>
      </c>
      <c r="G2864" s="0" t="n">
        <f aca="false">IF(A2864="",0,IF(SUMPRODUCT(--($A$2:$A$5001=A2864))&gt;1,1,0))</f>
        <v>0</v>
      </c>
      <c r="H2864" s="0" t="n">
        <f aca="false">ROW()-1</f>
        <v>2863</v>
      </c>
      <c r="I2864" s="0" t="str">
        <f aca="false">IF(OR(הגדרות!$E$6=0,H2864&gt;הגדרות!$E$5),"",IF(H2864-1&lt;הגדרות!$E$8*(הגדרות!$E$7+1),INT((H2864-1)/(הגדרות!$E$7+1)),הגדרות!$E$8+INT((H2864-1-הגדרות!$E$8*(הגדרות!$E$7+1))/הגדרות!$E$7)))</f>
        <v/>
      </c>
      <c r="J2864" s="0" t="str">
        <f aca="false">IF(I2864="","",IF(H2864-1&lt;הגדרות!$E$8*(הגדרות!$E$7+1),MOD(H2864-1,הגדרות!$E$7+1),MOD(H2864-1-הגדרות!$E$8*(הגדרות!$E$7+1),הגדרות!$E$7)))</f>
        <v/>
      </c>
      <c r="K2864" s="0" t="str">
        <f aca="false">IF(I2864="","",J2864*הגדרות!$E$6+I2864+1)</f>
        <v/>
      </c>
      <c r="L2864" s="0" t="str">
        <f aca="false">IF(K2864="","",MATCH(K2864,$F$2:$F$5001,0))</f>
        <v/>
      </c>
      <c r="M2864" s="0" t="str">
        <f aca="false">IF(I2864="","",INDEX(הגדרות!$A$2:$A$21,MOD(I2864+הגדרות!$E$9,הגדרות!$E$6)+1))</f>
        <v/>
      </c>
    </row>
    <row r="2865" customFormat="false" ht="15" hidden="false" customHeight="false" outlineLevel="0" collapsed="false">
      <c r="A2865" s="0" t="str">
        <f aca="false">IF('הדבקת לידים'!A2865="","",IF(ISNUMBER('הדבקת לידים'!A2865),IF(הגדרות!$E$2&gt;0,TEXT('הדבקת לידים'!A2865,REPT("0",הגדרות!$E$2)),TEXT('הדבקת לידים'!A2865,"0")),TRIM('הדבקת לידים'!A2865)))</f>
        <v/>
      </c>
      <c r="B2865" s="0" t="str">
        <f aca="false">IF('הדבקת לידים'!B2865="","",IF(ISNUMBER('הדבקת לידים'!B2865),IF(הגדרות!$E$3&gt;0,TEXT('הדבקת לידים'!B2865,REPT("0",הגדרות!$E$3)),TEXT('הדבקת לידים'!B2865,"0")),TRIM('הדבקת לידים'!B2865)))</f>
        <v/>
      </c>
      <c r="C2865" s="0" t="n">
        <f aca="false">IF(OR(A2865&lt;&gt;"",B2865&lt;&gt;""),1,0)</f>
        <v>0</v>
      </c>
      <c r="D2865" s="0" t="str">
        <f aca="false">IF(C2865=1,MOD(ABS(SIN(ROW()*12.9898+'הדבקת לידים'!$F$2*78.233+IFERROR(--RIGHT(A2865,6),LEN(A2865))*0.0137+IFERROR(--RIGHT(B2865,6),LEN(B2865))*0.0071))*43758.5453,1),"")</f>
        <v/>
      </c>
      <c r="E2865" s="0" t="str">
        <f aca="false">IF(C2865=1,INT(MOD(ABS(SIN(D2865*7919.123+ROW()*0.618+'הדבקת לידים'!$F$2*1.3))*43758.5453,1)*1000000)*10000+ROW(),"")</f>
        <v/>
      </c>
      <c r="F2865" s="0" t="str">
        <f aca="false">IF(E2865="","",RANK(E2865,$E$2:$E$5001,1))</f>
        <v/>
      </c>
      <c r="G2865" s="0" t="n">
        <f aca="false">IF(A2865="",0,IF(SUMPRODUCT(--($A$2:$A$5001=A2865))&gt;1,1,0))</f>
        <v>0</v>
      </c>
      <c r="H2865" s="0" t="n">
        <f aca="false">ROW()-1</f>
        <v>2864</v>
      </c>
      <c r="I2865" s="0" t="str">
        <f aca="false">IF(OR(הגדרות!$E$6=0,H2865&gt;הגדרות!$E$5),"",IF(H2865-1&lt;הגדרות!$E$8*(הגדרות!$E$7+1),INT((H2865-1)/(הגדרות!$E$7+1)),הגדרות!$E$8+INT((H2865-1-הגדרות!$E$8*(הגדרות!$E$7+1))/הגדרות!$E$7)))</f>
        <v/>
      </c>
      <c r="J2865" s="0" t="str">
        <f aca="false">IF(I2865="","",IF(H2865-1&lt;הגדרות!$E$8*(הגדרות!$E$7+1),MOD(H2865-1,הגדרות!$E$7+1),MOD(H2865-1-הגדרות!$E$8*(הגדרות!$E$7+1),הגדרות!$E$7)))</f>
        <v/>
      </c>
      <c r="K2865" s="0" t="str">
        <f aca="false">IF(I2865="","",J2865*הגדרות!$E$6+I2865+1)</f>
        <v/>
      </c>
      <c r="L2865" s="0" t="str">
        <f aca="false">IF(K2865="","",MATCH(K2865,$F$2:$F$5001,0))</f>
        <v/>
      </c>
      <c r="M2865" s="0" t="str">
        <f aca="false">IF(I2865="","",INDEX(הגדרות!$A$2:$A$21,MOD(I2865+הגדרות!$E$9,הגדרות!$E$6)+1))</f>
        <v/>
      </c>
    </row>
    <row r="2866" customFormat="false" ht="15" hidden="false" customHeight="false" outlineLevel="0" collapsed="false">
      <c r="A2866" s="0" t="str">
        <f aca="false">IF('הדבקת לידים'!A2866="","",IF(ISNUMBER('הדבקת לידים'!A2866),IF(הגדרות!$E$2&gt;0,TEXT('הדבקת לידים'!A2866,REPT("0",הגדרות!$E$2)),TEXT('הדבקת לידים'!A2866,"0")),TRIM('הדבקת לידים'!A2866)))</f>
        <v/>
      </c>
      <c r="B2866" s="0" t="str">
        <f aca="false">IF('הדבקת לידים'!B2866="","",IF(ISNUMBER('הדבקת לידים'!B2866),IF(הגדרות!$E$3&gt;0,TEXT('הדבקת לידים'!B2866,REPT("0",הגדרות!$E$3)),TEXT('הדבקת לידים'!B2866,"0")),TRIM('הדבקת לידים'!B2866)))</f>
        <v/>
      </c>
      <c r="C2866" s="0" t="n">
        <f aca="false">IF(OR(A2866&lt;&gt;"",B2866&lt;&gt;""),1,0)</f>
        <v>0</v>
      </c>
      <c r="D2866" s="0" t="str">
        <f aca="false">IF(C2866=1,MOD(ABS(SIN(ROW()*12.9898+'הדבקת לידים'!$F$2*78.233+IFERROR(--RIGHT(A2866,6),LEN(A2866))*0.0137+IFERROR(--RIGHT(B2866,6),LEN(B2866))*0.0071))*43758.5453,1),"")</f>
        <v/>
      </c>
      <c r="E2866" s="0" t="str">
        <f aca="false">IF(C2866=1,INT(MOD(ABS(SIN(D2866*7919.123+ROW()*0.618+'הדבקת לידים'!$F$2*1.3))*43758.5453,1)*1000000)*10000+ROW(),"")</f>
        <v/>
      </c>
      <c r="F2866" s="0" t="str">
        <f aca="false">IF(E2866="","",RANK(E2866,$E$2:$E$5001,1))</f>
        <v/>
      </c>
      <c r="G2866" s="0" t="n">
        <f aca="false">IF(A2866="",0,IF(SUMPRODUCT(--($A$2:$A$5001=A2866))&gt;1,1,0))</f>
        <v>0</v>
      </c>
      <c r="H2866" s="0" t="n">
        <f aca="false">ROW()-1</f>
        <v>2865</v>
      </c>
      <c r="I2866" s="0" t="str">
        <f aca="false">IF(OR(הגדרות!$E$6=0,H2866&gt;הגדרות!$E$5),"",IF(H2866-1&lt;הגדרות!$E$8*(הגדרות!$E$7+1),INT((H2866-1)/(הגדרות!$E$7+1)),הגדרות!$E$8+INT((H2866-1-הגדרות!$E$8*(הגדרות!$E$7+1))/הגדרות!$E$7)))</f>
        <v/>
      </c>
      <c r="J2866" s="0" t="str">
        <f aca="false">IF(I2866="","",IF(H2866-1&lt;הגדרות!$E$8*(הגדרות!$E$7+1),MOD(H2866-1,הגדרות!$E$7+1),MOD(H2866-1-הגדרות!$E$8*(הגדרות!$E$7+1),הגדרות!$E$7)))</f>
        <v/>
      </c>
      <c r="K2866" s="0" t="str">
        <f aca="false">IF(I2866="","",J2866*הגדרות!$E$6+I2866+1)</f>
        <v/>
      </c>
      <c r="L2866" s="0" t="str">
        <f aca="false">IF(K2866="","",MATCH(K2866,$F$2:$F$5001,0))</f>
        <v/>
      </c>
      <c r="M2866" s="0" t="str">
        <f aca="false">IF(I2866="","",INDEX(הגדרות!$A$2:$A$21,MOD(I2866+הגדרות!$E$9,הגדרות!$E$6)+1))</f>
        <v/>
      </c>
    </row>
    <row r="2867" customFormat="false" ht="15" hidden="false" customHeight="false" outlineLevel="0" collapsed="false">
      <c r="A2867" s="0" t="str">
        <f aca="false">IF('הדבקת לידים'!A2867="","",IF(ISNUMBER('הדבקת לידים'!A2867),IF(הגדרות!$E$2&gt;0,TEXT('הדבקת לידים'!A2867,REPT("0",הגדרות!$E$2)),TEXT('הדבקת לידים'!A2867,"0")),TRIM('הדבקת לידים'!A2867)))</f>
        <v/>
      </c>
      <c r="B2867" s="0" t="str">
        <f aca="false">IF('הדבקת לידים'!B2867="","",IF(ISNUMBER('הדבקת לידים'!B2867),IF(הגדרות!$E$3&gt;0,TEXT('הדבקת לידים'!B2867,REPT("0",הגדרות!$E$3)),TEXT('הדבקת לידים'!B2867,"0")),TRIM('הדבקת לידים'!B2867)))</f>
        <v/>
      </c>
      <c r="C2867" s="0" t="n">
        <f aca="false">IF(OR(A2867&lt;&gt;"",B2867&lt;&gt;""),1,0)</f>
        <v>0</v>
      </c>
      <c r="D2867" s="0" t="str">
        <f aca="false">IF(C2867=1,MOD(ABS(SIN(ROW()*12.9898+'הדבקת לידים'!$F$2*78.233+IFERROR(--RIGHT(A2867,6),LEN(A2867))*0.0137+IFERROR(--RIGHT(B2867,6),LEN(B2867))*0.0071))*43758.5453,1),"")</f>
        <v/>
      </c>
      <c r="E2867" s="0" t="str">
        <f aca="false">IF(C2867=1,INT(MOD(ABS(SIN(D2867*7919.123+ROW()*0.618+'הדבקת לידים'!$F$2*1.3))*43758.5453,1)*1000000)*10000+ROW(),"")</f>
        <v/>
      </c>
      <c r="F2867" s="0" t="str">
        <f aca="false">IF(E2867="","",RANK(E2867,$E$2:$E$5001,1))</f>
        <v/>
      </c>
      <c r="G2867" s="0" t="n">
        <f aca="false">IF(A2867="",0,IF(SUMPRODUCT(--($A$2:$A$5001=A2867))&gt;1,1,0))</f>
        <v>0</v>
      </c>
      <c r="H2867" s="0" t="n">
        <f aca="false">ROW()-1</f>
        <v>2866</v>
      </c>
      <c r="I2867" s="0" t="str">
        <f aca="false">IF(OR(הגדרות!$E$6=0,H2867&gt;הגדרות!$E$5),"",IF(H2867-1&lt;הגדרות!$E$8*(הגדרות!$E$7+1),INT((H2867-1)/(הגדרות!$E$7+1)),הגדרות!$E$8+INT((H2867-1-הגדרות!$E$8*(הגדרות!$E$7+1))/הגדרות!$E$7)))</f>
        <v/>
      </c>
      <c r="J2867" s="0" t="str">
        <f aca="false">IF(I2867="","",IF(H2867-1&lt;הגדרות!$E$8*(הגדרות!$E$7+1),MOD(H2867-1,הגדרות!$E$7+1),MOD(H2867-1-הגדרות!$E$8*(הגדרות!$E$7+1),הגדרות!$E$7)))</f>
        <v/>
      </c>
      <c r="K2867" s="0" t="str">
        <f aca="false">IF(I2867="","",J2867*הגדרות!$E$6+I2867+1)</f>
        <v/>
      </c>
      <c r="L2867" s="0" t="str">
        <f aca="false">IF(K2867="","",MATCH(K2867,$F$2:$F$5001,0))</f>
        <v/>
      </c>
      <c r="M2867" s="0" t="str">
        <f aca="false">IF(I2867="","",INDEX(הגדרות!$A$2:$A$21,MOD(I2867+הגדרות!$E$9,הגדרות!$E$6)+1))</f>
        <v/>
      </c>
    </row>
    <row r="2868" customFormat="false" ht="15" hidden="false" customHeight="false" outlineLevel="0" collapsed="false">
      <c r="A2868" s="0" t="str">
        <f aca="false">IF('הדבקת לידים'!A2868="","",IF(ISNUMBER('הדבקת לידים'!A2868),IF(הגדרות!$E$2&gt;0,TEXT('הדבקת לידים'!A2868,REPT("0",הגדרות!$E$2)),TEXT('הדבקת לידים'!A2868,"0")),TRIM('הדבקת לידים'!A2868)))</f>
        <v/>
      </c>
      <c r="B2868" s="0" t="str">
        <f aca="false">IF('הדבקת לידים'!B2868="","",IF(ISNUMBER('הדבקת לידים'!B2868),IF(הגדרות!$E$3&gt;0,TEXT('הדבקת לידים'!B2868,REPT("0",הגדרות!$E$3)),TEXT('הדבקת לידים'!B2868,"0")),TRIM('הדבקת לידים'!B2868)))</f>
        <v/>
      </c>
      <c r="C2868" s="0" t="n">
        <f aca="false">IF(OR(A2868&lt;&gt;"",B2868&lt;&gt;""),1,0)</f>
        <v>0</v>
      </c>
      <c r="D2868" s="0" t="str">
        <f aca="false">IF(C2868=1,MOD(ABS(SIN(ROW()*12.9898+'הדבקת לידים'!$F$2*78.233+IFERROR(--RIGHT(A2868,6),LEN(A2868))*0.0137+IFERROR(--RIGHT(B2868,6),LEN(B2868))*0.0071))*43758.5453,1),"")</f>
        <v/>
      </c>
      <c r="E2868" s="0" t="str">
        <f aca="false">IF(C2868=1,INT(MOD(ABS(SIN(D2868*7919.123+ROW()*0.618+'הדבקת לידים'!$F$2*1.3))*43758.5453,1)*1000000)*10000+ROW(),"")</f>
        <v/>
      </c>
      <c r="F2868" s="0" t="str">
        <f aca="false">IF(E2868="","",RANK(E2868,$E$2:$E$5001,1))</f>
        <v/>
      </c>
      <c r="G2868" s="0" t="n">
        <f aca="false">IF(A2868="",0,IF(SUMPRODUCT(--($A$2:$A$5001=A2868))&gt;1,1,0))</f>
        <v>0</v>
      </c>
      <c r="H2868" s="0" t="n">
        <f aca="false">ROW()-1</f>
        <v>2867</v>
      </c>
      <c r="I2868" s="0" t="str">
        <f aca="false">IF(OR(הגדרות!$E$6=0,H2868&gt;הגדרות!$E$5),"",IF(H2868-1&lt;הגדרות!$E$8*(הגדרות!$E$7+1),INT((H2868-1)/(הגדרות!$E$7+1)),הגדרות!$E$8+INT((H2868-1-הגדרות!$E$8*(הגדרות!$E$7+1))/הגדרות!$E$7)))</f>
        <v/>
      </c>
      <c r="J2868" s="0" t="str">
        <f aca="false">IF(I2868="","",IF(H2868-1&lt;הגדרות!$E$8*(הגדרות!$E$7+1),MOD(H2868-1,הגדרות!$E$7+1),MOD(H2868-1-הגדרות!$E$8*(הגדרות!$E$7+1),הגדרות!$E$7)))</f>
        <v/>
      </c>
      <c r="K2868" s="0" t="str">
        <f aca="false">IF(I2868="","",J2868*הגדרות!$E$6+I2868+1)</f>
        <v/>
      </c>
      <c r="L2868" s="0" t="str">
        <f aca="false">IF(K2868="","",MATCH(K2868,$F$2:$F$5001,0))</f>
        <v/>
      </c>
      <c r="M2868" s="0" t="str">
        <f aca="false">IF(I2868="","",INDEX(הגדרות!$A$2:$A$21,MOD(I2868+הגדרות!$E$9,הגדרות!$E$6)+1))</f>
        <v/>
      </c>
    </row>
    <row r="2869" customFormat="false" ht="15" hidden="false" customHeight="false" outlineLevel="0" collapsed="false">
      <c r="A2869" s="0" t="str">
        <f aca="false">IF('הדבקת לידים'!A2869="","",IF(ISNUMBER('הדבקת לידים'!A2869),IF(הגדרות!$E$2&gt;0,TEXT('הדבקת לידים'!A2869,REPT("0",הגדרות!$E$2)),TEXT('הדבקת לידים'!A2869,"0")),TRIM('הדבקת לידים'!A2869)))</f>
        <v/>
      </c>
      <c r="B2869" s="0" t="str">
        <f aca="false">IF('הדבקת לידים'!B2869="","",IF(ISNUMBER('הדבקת לידים'!B2869),IF(הגדרות!$E$3&gt;0,TEXT('הדבקת לידים'!B2869,REPT("0",הגדרות!$E$3)),TEXT('הדבקת לידים'!B2869,"0")),TRIM('הדבקת לידים'!B2869)))</f>
        <v/>
      </c>
      <c r="C2869" s="0" t="n">
        <f aca="false">IF(OR(A2869&lt;&gt;"",B2869&lt;&gt;""),1,0)</f>
        <v>0</v>
      </c>
      <c r="D2869" s="0" t="str">
        <f aca="false">IF(C2869=1,MOD(ABS(SIN(ROW()*12.9898+'הדבקת לידים'!$F$2*78.233+IFERROR(--RIGHT(A2869,6),LEN(A2869))*0.0137+IFERROR(--RIGHT(B2869,6),LEN(B2869))*0.0071))*43758.5453,1),"")</f>
        <v/>
      </c>
      <c r="E2869" s="0" t="str">
        <f aca="false">IF(C2869=1,INT(MOD(ABS(SIN(D2869*7919.123+ROW()*0.618+'הדבקת לידים'!$F$2*1.3))*43758.5453,1)*1000000)*10000+ROW(),"")</f>
        <v/>
      </c>
      <c r="F2869" s="0" t="str">
        <f aca="false">IF(E2869="","",RANK(E2869,$E$2:$E$5001,1))</f>
        <v/>
      </c>
      <c r="G2869" s="0" t="n">
        <f aca="false">IF(A2869="",0,IF(SUMPRODUCT(--($A$2:$A$5001=A2869))&gt;1,1,0))</f>
        <v>0</v>
      </c>
      <c r="H2869" s="0" t="n">
        <f aca="false">ROW()-1</f>
        <v>2868</v>
      </c>
      <c r="I2869" s="0" t="str">
        <f aca="false">IF(OR(הגדרות!$E$6=0,H2869&gt;הגדרות!$E$5),"",IF(H2869-1&lt;הגדרות!$E$8*(הגדרות!$E$7+1),INT((H2869-1)/(הגדרות!$E$7+1)),הגדרות!$E$8+INT((H2869-1-הגדרות!$E$8*(הגדרות!$E$7+1))/הגדרות!$E$7)))</f>
        <v/>
      </c>
      <c r="J2869" s="0" t="str">
        <f aca="false">IF(I2869="","",IF(H2869-1&lt;הגדרות!$E$8*(הגדרות!$E$7+1),MOD(H2869-1,הגדרות!$E$7+1),MOD(H2869-1-הגדרות!$E$8*(הגדרות!$E$7+1),הגדרות!$E$7)))</f>
        <v/>
      </c>
      <c r="K2869" s="0" t="str">
        <f aca="false">IF(I2869="","",J2869*הגדרות!$E$6+I2869+1)</f>
        <v/>
      </c>
      <c r="L2869" s="0" t="str">
        <f aca="false">IF(K2869="","",MATCH(K2869,$F$2:$F$5001,0))</f>
        <v/>
      </c>
      <c r="M2869" s="0" t="str">
        <f aca="false">IF(I2869="","",INDEX(הגדרות!$A$2:$A$21,MOD(I2869+הגדרות!$E$9,הגדרות!$E$6)+1))</f>
        <v/>
      </c>
    </row>
    <row r="2870" customFormat="false" ht="15" hidden="false" customHeight="false" outlineLevel="0" collapsed="false">
      <c r="A2870" s="0" t="str">
        <f aca="false">IF('הדבקת לידים'!A2870="","",IF(ISNUMBER('הדבקת לידים'!A2870),IF(הגדרות!$E$2&gt;0,TEXT('הדבקת לידים'!A2870,REPT("0",הגדרות!$E$2)),TEXT('הדבקת לידים'!A2870,"0")),TRIM('הדבקת לידים'!A2870)))</f>
        <v/>
      </c>
      <c r="B2870" s="0" t="str">
        <f aca="false">IF('הדבקת לידים'!B2870="","",IF(ISNUMBER('הדבקת לידים'!B2870),IF(הגדרות!$E$3&gt;0,TEXT('הדבקת לידים'!B2870,REPT("0",הגדרות!$E$3)),TEXT('הדבקת לידים'!B2870,"0")),TRIM('הדבקת לידים'!B2870)))</f>
        <v/>
      </c>
      <c r="C2870" s="0" t="n">
        <f aca="false">IF(OR(A2870&lt;&gt;"",B2870&lt;&gt;""),1,0)</f>
        <v>0</v>
      </c>
      <c r="D2870" s="0" t="str">
        <f aca="false">IF(C2870=1,MOD(ABS(SIN(ROW()*12.9898+'הדבקת לידים'!$F$2*78.233+IFERROR(--RIGHT(A2870,6),LEN(A2870))*0.0137+IFERROR(--RIGHT(B2870,6),LEN(B2870))*0.0071))*43758.5453,1),"")</f>
        <v/>
      </c>
      <c r="E2870" s="0" t="str">
        <f aca="false">IF(C2870=1,INT(MOD(ABS(SIN(D2870*7919.123+ROW()*0.618+'הדבקת לידים'!$F$2*1.3))*43758.5453,1)*1000000)*10000+ROW(),"")</f>
        <v/>
      </c>
      <c r="F2870" s="0" t="str">
        <f aca="false">IF(E2870="","",RANK(E2870,$E$2:$E$5001,1))</f>
        <v/>
      </c>
      <c r="G2870" s="0" t="n">
        <f aca="false">IF(A2870="",0,IF(SUMPRODUCT(--($A$2:$A$5001=A2870))&gt;1,1,0))</f>
        <v>0</v>
      </c>
      <c r="H2870" s="0" t="n">
        <f aca="false">ROW()-1</f>
        <v>2869</v>
      </c>
      <c r="I2870" s="0" t="str">
        <f aca="false">IF(OR(הגדרות!$E$6=0,H2870&gt;הגדרות!$E$5),"",IF(H2870-1&lt;הגדרות!$E$8*(הגדרות!$E$7+1),INT((H2870-1)/(הגדרות!$E$7+1)),הגדרות!$E$8+INT((H2870-1-הגדרות!$E$8*(הגדרות!$E$7+1))/הגדרות!$E$7)))</f>
        <v/>
      </c>
      <c r="J2870" s="0" t="str">
        <f aca="false">IF(I2870="","",IF(H2870-1&lt;הגדרות!$E$8*(הגדרות!$E$7+1),MOD(H2870-1,הגדרות!$E$7+1),MOD(H2870-1-הגדרות!$E$8*(הגדרות!$E$7+1),הגדרות!$E$7)))</f>
        <v/>
      </c>
      <c r="K2870" s="0" t="str">
        <f aca="false">IF(I2870="","",J2870*הגדרות!$E$6+I2870+1)</f>
        <v/>
      </c>
      <c r="L2870" s="0" t="str">
        <f aca="false">IF(K2870="","",MATCH(K2870,$F$2:$F$5001,0))</f>
        <v/>
      </c>
      <c r="M2870" s="0" t="str">
        <f aca="false">IF(I2870="","",INDEX(הגדרות!$A$2:$A$21,MOD(I2870+הגדרות!$E$9,הגדרות!$E$6)+1))</f>
        <v/>
      </c>
    </row>
    <row r="2871" customFormat="false" ht="15" hidden="false" customHeight="false" outlineLevel="0" collapsed="false">
      <c r="A2871" s="0" t="str">
        <f aca="false">IF('הדבקת לידים'!A2871="","",IF(ISNUMBER('הדבקת לידים'!A2871),IF(הגדרות!$E$2&gt;0,TEXT('הדבקת לידים'!A2871,REPT("0",הגדרות!$E$2)),TEXT('הדבקת לידים'!A2871,"0")),TRIM('הדבקת לידים'!A2871)))</f>
        <v/>
      </c>
      <c r="B2871" s="0" t="str">
        <f aca="false">IF('הדבקת לידים'!B2871="","",IF(ISNUMBER('הדבקת לידים'!B2871),IF(הגדרות!$E$3&gt;0,TEXT('הדבקת לידים'!B2871,REPT("0",הגדרות!$E$3)),TEXT('הדבקת לידים'!B2871,"0")),TRIM('הדבקת לידים'!B2871)))</f>
        <v/>
      </c>
      <c r="C2871" s="0" t="n">
        <f aca="false">IF(OR(A2871&lt;&gt;"",B2871&lt;&gt;""),1,0)</f>
        <v>0</v>
      </c>
      <c r="D2871" s="0" t="str">
        <f aca="false">IF(C2871=1,MOD(ABS(SIN(ROW()*12.9898+'הדבקת לידים'!$F$2*78.233+IFERROR(--RIGHT(A2871,6),LEN(A2871))*0.0137+IFERROR(--RIGHT(B2871,6),LEN(B2871))*0.0071))*43758.5453,1),"")</f>
        <v/>
      </c>
      <c r="E2871" s="0" t="str">
        <f aca="false">IF(C2871=1,INT(MOD(ABS(SIN(D2871*7919.123+ROW()*0.618+'הדבקת לידים'!$F$2*1.3))*43758.5453,1)*1000000)*10000+ROW(),"")</f>
        <v/>
      </c>
      <c r="F2871" s="0" t="str">
        <f aca="false">IF(E2871="","",RANK(E2871,$E$2:$E$5001,1))</f>
        <v/>
      </c>
      <c r="G2871" s="0" t="n">
        <f aca="false">IF(A2871="",0,IF(SUMPRODUCT(--($A$2:$A$5001=A2871))&gt;1,1,0))</f>
        <v>0</v>
      </c>
      <c r="H2871" s="0" t="n">
        <f aca="false">ROW()-1</f>
        <v>2870</v>
      </c>
      <c r="I2871" s="0" t="str">
        <f aca="false">IF(OR(הגדרות!$E$6=0,H2871&gt;הגדרות!$E$5),"",IF(H2871-1&lt;הגדרות!$E$8*(הגדרות!$E$7+1),INT((H2871-1)/(הגדרות!$E$7+1)),הגדרות!$E$8+INT((H2871-1-הגדרות!$E$8*(הגדרות!$E$7+1))/הגדרות!$E$7)))</f>
        <v/>
      </c>
      <c r="J2871" s="0" t="str">
        <f aca="false">IF(I2871="","",IF(H2871-1&lt;הגדרות!$E$8*(הגדרות!$E$7+1),MOD(H2871-1,הגדרות!$E$7+1),MOD(H2871-1-הגדרות!$E$8*(הגדרות!$E$7+1),הגדרות!$E$7)))</f>
        <v/>
      </c>
      <c r="K2871" s="0" t="str">
        <f aca="false">IF(I2871="","",J2871*הגדרות!$E$6+I2871+1)</f>
        <v/>
      </c>
      <c r="L2871" s="0" t="str">
        <f aca="false">IF(K2871="","",MATCH(K2871,$F$2:$F$5001,0))</f>
        <v/>
      </c>
      <c r="M2871" s="0" t="str">
        <f aca="false">IF(I2871="","",INDEX(הגדרות!$A$2:$A$21,MOD(I2871+הגדרות!$E$9,הגדרות!$E$6)+1))</f>
        <v/>
      </c>
    </row>
    <row r="2872" customFormat="false" ht="15" hidden="false" customHeight="false" outlineLevel="0" collapsed="false">
      <c r="A2872" s="0" t="str">
        <f aca="false">IF('הדבקת לידים'!A2872="","",IF(ISNUMBER('הדבקת לידים'!A2872),IF(הגדרות!$E$2&gt;0,TEXT('הדבקת לידים'!A2872,REPT("0",הגדרות!$E$2)),TEXT('הדבקת לידים'!A2872,"0")),TRIM('הדבקת לידים'!A2872)))</f>
        <v/>
      </c>
      <c r="B2872" s="0" t="str">
        <f aca="false">IF('הדבקת לידים'!B2872="","",IF(ISNUMBER('הדבקת לידים'!B2872),IF(הגדרות!$E$3&gt;0,TEXT('הדבקת לידים'!B2872,REPT("0",הגדרות!$E$3)),TEXT('הדבקת לידים'!B2872,"0")),TRIM('הדבקת לידים'!B2872)))</f>
        <v/>
      </c>
      <c r="C2872" s="0" t="n">
        <f aca="false">IF(OR(A2872&lt;&gt;"",B2872&lt;&gt;""),1,0)</f>
        <v>0</v>
      </c>
      <c r="D2872" s="0" t="str">
        <f aca="false">IF(C2872=1,MOD(ABS(SIN(ROW()*12.9898+'הדבקת לידים'!$F$2*78.233+IFERROR(--RIGHT(A2872,6),LEN(A2872))*0.0137+IFERROR(--RIGHT(B2872,6),LEN(B2872))*0.0071))*43758.5453,1),"")</f>
        <v/>
      </c>
      <c r="E2872" s="0" t="str">
        <f aca="false">IF(C2872=1,INT(MOD(ABS(SIN(D2872*7919.123+ROW()*0.618+'הדבקת לידים'!$F$2*1.3))*43758.5453,1)*1000000)*10000+ROW(),"")</f>
        <v/>
      </c>
      <c r="F2872" s="0" t="str">
        <f aca="false">IF(E2872="","",RANK(E2872,$E$2:$E$5001,1))</f>
        <v/>
      </c>
      <c r="G2872" s="0" t="n">
        <f aca="false">IF(A2872="",0,IF(SUMPRODUCT(--($A$2:$A$5001=A2872))&gt;1,1,0))</f>
        <v>0</v>
      </c>
      <c r="H2872" s="0" t="n">
        <f aca="false">ROW()-1</f>
        <v>2871</v>
      </c>
      <c r="I2872" s="0" t="str">
        <f aca="false">IF(OR(הגדרות!$E$6=0,H2872&gt;הגדרות!$E$5),"",IF(H2872-1&lt;הגדרות!$E$8*(הגדרות!$E$7+1),INT((H2872-1)/(הגדרות!$E$7+1)),הגדרות!$E$8+INT((H2872-1-הגדרות!$E$8*(הגדרות!$E$7+1))/הגדרות!$E$7)))</f>
        <v/>
      </c>
      <c r="J2872" s="0" t="str">
        <f aca="false">IF(I2872="","",IF(H2872-1&lt;הגדרות!$E$8*(הגדרות!$E$7+1),MOD(H2872-1,הגדרות!$E$7+1),MOD(H2872-1-הגדרות!$E$8*(הגדרות!$E$7+1),הגדרות!$E$7)))</f>
        <v/>
      </c>
      <c r="K2872" s="0" t="str">
        <f aca="false">IF(I2872="","",J2872*הגדרות!$E$6+I2872+1)</f>
        <v/>
      </c>
      <c r="L2872" s="0" t="str">
        <f aca="false">IF(K2872="","",MATCH(K2872,$F$2:$F$5001,0))</f>
        <v/>
      </c>
      <c r="M2872" s="0" t="str">
        <f aca="false">IF(I2872="","",INDEX(הגדרות!$A$2:$A$21,MOD(I2872+הגדרות!$E$9,הגדרות!$E$6)+1))</f>
        <v/>
      </c>
    </row>
    <row r="2873" customFormat="false" ht="15" hidden="false" customHeight="false" outlineLevel="0" collapsed="false">
      <c r="A2873" s="0" t="str">
        <f aca="false">IF('הדבקת לידים'!A2873="","",IF(ISNUMBER('הדבקת לידים'!A2873),IF(הגדרות!$E$2&gt;0,TEXT('הדבקת לידים'!A2873,REPT("0",הגדרות!$E$2)),TEXT('הדבקת לידים'!A2873,"0")),TRIM('הדבקת לידים'!A2873)))</f>
        <v/>
      </c>
      <c r="B2873" s="0" t="str">
        <f aca="false">IF('הדבקת לידים'!B2873="","",IF(ISNUMBER('הדבקת לידים'!B2873),IF(הגדרות!$E$3&gt;0,TEXT('הדבקת לידים'!B2873,REPT("0",הגדרות!$E$3)),TEXT('הדבקת לידים'!B2873,"0")),TRIM('הדבקת לידים'!B2873)))</f>
        <v/>
      </c>
      <c r="C2873" s="0" t="n">
        <f aca="false">IF(OR(A2873&lt;&gt;"",B2873&lt;&gt;""),1,0)</f>
        <v>0</v>
      </c>
      <c r="D2873" s="0" t="str">
        <f aca="false">IF(C2873=1,MOD(ABS(SIN(ROW()*12.9898+'הדבקת לידים'!$F$2*78.233+IFERROR(--RIGHT(A2873,6),LEN(A2873))*0.0137+IFERROR(--RIGHT(B2873,6),LEN(B2873))*0.0071))*43758.5453,1),"")</f>
        <v/>
      </c>
      <c r="E2873" s="0" t="str">
        <f aca="false">IF(C2873=1,INT(MOD(ABS(SIN(D2873*7919.123+ROW()*0.618+'הדבקת לידים'!$F$2*1.3))*43758.5453,1)*1000000)*10000+ROW(),"")</f>
        <v/>
      </c>
      <c r="F2873" s="0" t="str">
        <f aca="false">IF(E2873="","",RANK(E2873,$E$2:$E$5001,1))</f>
        <v/>
      </c>
      <c r="G2873" s="0" t="n">
        <f aca="false">IF(A2873="",0,IF(SUMPRODUCT(--($A$2:$A$5001=A2873))&gt;1,1,0))</f>
        <v>0</v>
      </c>
      <c r="H2873" s="0" t="n">
        <f aca="false">ROW()-1</f>
        <v>2872</v>
      </c>
      <c r="I2873" s="0" t="str">
        <f aca="false">IF(OR(הגדרות!$E$6=0,H2873&gt;הגדרות!$E$5),"",IF(H2873-1&lt;הגדרות!$E$8*(הגדרות!$E$7+1),INT((H2873-1)/(הגדרות!$E$7+1)),הגדרות!$E$8+INT((H2873-1-הגדרות!$E$8*(הגדרות!$E$7+1))/הגדרות!$E$7)))</f>
        <v/>
      </c>
      <c r="J2873" s="0" t="str">
        <f aca="false">IF(I2873="","",IF(H2873-1&lt;הגדרות!$E$8*(הגדרות!$E$7+1),MOD(H2873-1,הגדרות!$E$7+1),MOD(H2873-1-הגדרות!$E$8*(הגדרות!$E$7+1),הגדרות!$E$7)))</f>
        <v/>
      </c>
      <c r="K2873" s="0" t="str">
        <f aca="false">IF(I2873="","",J2873*הגדרות!$E$6+I2873+1)</f>
        <v/>
      </c>
      <c r="L2873" s="0" t="str">
        <f aca="false">IF(K2873="","",MATCH(K2873,$F$2:$F$5001,0))</f>
        <v/>
      </c>
      <c r="M2873" s="0" t="str">
        <f aca="false">IF(I2873="","",INDEX(הגדרות!$A$2:$A$21,MOD(I2873+הגדרות!$E$9,הגדרות!$E$6)+1))</f>
        <v/>
      </c>
    </row>
    <row r="2874" customFormat="false" ht="15" hidden="false" customHeight="false" outlineLevel="0" collapsed="false">
      <c r="A2874" s="0" t="str">
        <f aca="false">IF('הדבקת לידים'!A2874="","",IF(ISNUMBER('הדבקת לידים'!A2874),IF(הגדרות!$E$2&gt;0,TEXT('הדבקת לידים'!A2874,REPT("0",הגדרות!$E$2)),TEXT('הדבקת לידים'!A2874,"0")),TRIM('הדבקת לידים'!A2874)))</f>
        <v/>
      </c>
      <c r="B2874" s="0" t="str">
        <f aca="false">IF('הדבקת לידים'!B2874="","",IF(ISNUMBER('הדבקת לידים'!B2874),IF(הגדרות!$E$3&gt;0,TEXT('הדבקת לידים'!B2874,REPT("0",הגדרות!$E$3)),TEXT('הדבקת לידים'!B2874,"0")),TRIM('הדבקת לידים'!B2874)))</f>
        <v/>
      </c>
      <c r="C2874" s="0" t="n">
        <f aca="false">IF(OR(A2874&lt;&gt;"",B2874&lt;&gt;""),1,0)</f>
        <v>0</v>
      </c>
      <c r="D2874" s="0" t="str">
        <f aca="false">IF(C2874=1,MOD(ABS(SIN(ROW()*12.9898+'הדבקת לידים'!$F$2*78.233+IFERROR(--RIGHT(A2874,6),LEN(A2874))*0.0137+IFERROR(--RIGHT(B2874,6),LEN(B2874))*0.0071))*43758.5453,1),"")</f>
        <v/>
      </c>
      <c r="E2874" s="0" t="str">
        <f aca="false">IF(C2874=1,INT(MOD(ABS(SIN(D2874*7919.123+ROW()*0.618+'הדבקת לידים'!$F$2*1.3))*43758.5453,1)*1000000)*10000+ROW(),"")</f>
        <v/>
      </c>
      <c r="F2874" s="0" t="str">
        <f aca="false">IF(E2874="","",RANK(E2874,$E$2:$E$5001,1))</f>
        <v/>
      </c>
      <c r="G2874" s="0" t="n">
        <f aca="false">IF(A2874="",0,IF(SUMPRODUCT(--($A$2:$A$5001=A2874))&gt;1,1,0))</f>
        <v>0</v>
      </c>
      <c r="H2874" s="0" t="n">
        <f aca="false">ROW()-1</f>
        <v>2873</v>
      </c>
      <c r="I2874" s="0" t="str">
        <f aca="false">IF(OR(הגדרות!$E$6=0,H2874&gt;הגדרות!$E$5),"",IF(H2874-1&lt;הגדרות!$E$8*(הגדרות!$E$7+1),INT((H2874-1)/(הגדרות!$E$7+1)),הגדרות!$E$8+INT((H2874-1-הגדרות!$E$8*(הגדרות!$E$7+1))/הגדרות!$E$7)))</f>
        <v/>
      </c>
      <c r="J2874" s="0" t="str">
        <f aca="false">IF(I2874="","",IF(H2874-1&lt;הגדרות!$E$8*(הגדרות!$E$7+1),MOD(H2874-1,הגדרות!$E$7+1),MOD(H2874-1-הגדרות!$E$8*(הגדרות!$E$7+1),הגדרות!$E$7)))</f>
        <v/>
      </c>
      <c r="K2874" s="0" t="str">
        <f aca="false">IF(I2874="","",J2874*הגדרות!$E$6+I2874+1)</f>
        <v/>
      </c>
      <c r="L2874" s="0" t="str">
        <f aca="false">IF(K2874="","",MATCH(K2874,$F$2:$F$5001,0))</f>
        <v/>
      </c>
      <c r="M2874" s="0" t="str">
        <f aca="false">IF(I2874="","",INDEX(הגדרות!$A$2:$A$21,MOD(I2874+הגדרות!$E$9,הגדרות!$E$6)+1))</f>
        <v/>
      </c>
    </row>
    <row r="2875" customFormat="false" ht="15" hidden="false" customHeight="false" outlineLevel="0" collapsed="false">
      <c r="A2875" s="0" t="str">
        <f aca="false">IF('הדבקת לידים'!A2875="","",IF(ISNUMBER('הדבקת לידים'!A2875),IF(הגדרות!$E$2&gt;0,TEXT('הדבקת לידים'!A2875,REPT("0",הגדרות!$E$2)),TEXT('הדבקת לידים'!A2875,"0")),TRIM('הדבקת לידים'!A2875)))</f>
        <v/>
      </c>
      <c r="B2875" s="0" t="str">
        <f aca="false">IF('הדבקת לידים'!B2875="","",IF(ISNUMBER('הדבקת לידים'!B2875),IF(הגדרות!$E$3&gt;0,TEXT('הדבקת לידים'!B2875,REPT("0",הגדרות!$E$3)),TEXT('הדבקת לידים'!B2875,"0")),TRIM('הדבקת לידים'!B2875)))</f>
        <v/>
      </c>
      <c r="C2875" s="0" t="n">
        <f aca="false">IF(OR(A2875&lt;&gt;"",B2875&lt;&gt;""),1,0)</f>
        <v>0</v>
      </c>
      <c r="D2875" s="0" t="str">
        <f aca="false">IF(C2875=1,MOD(ABS(SIN(ROW()*12.9898+'הדבקת לידים'!$F$2*78.233+IFERROR(--RIGHT(A2875,6),LEN(A2875))*0.0137+IFERROR(--RIGHT(B2875,6),LEN(B2875))*0.0071))*43758.5453,1),"")</f>
        <v/>
      </c>
      <c r="E2875" s="0" t="str">
        <f aca="false">IF(C2875=1,INT(MOD(ABS(SIN(D2875*7919.123+ROW()*0.618+'הדבקת לידים'!$F$2*1.3))*43758.5453,1)*1000000)*10000+ROW(),"")</f>
        <v/>
      </c>
      <c r="F2875" s="0" t="str">
        <f aca="false">IF(E2875="","",RANK(E2875,$E$2:$E$5001,1))</f>
        <v/>
      </c>
      <c r="G2875" s="0" t="n">
        <f aca="false">IF(A2875="",0,IF(SUMPRODUCT(--($A$2:$A$5001=A2875))&gt;1,1,0))</f>
        <v>0</v>
      </c>
      <c r="H2875" s="0" t="n">
        <f aca="false">ROW()-1</f>
        <v>2874</v>
      </c>
      <c r="I2875" s="0" t="str">
        <f aca="false">IF(OR(הגדרות!$E$6=0,H2875&gt;הגדרות!$E$5),"",IF(H2875-1&lt;הגדרות!$E$8*(הגדרות!$E$7+1),INT((H2875-1)/(הגדרות!$E$7+1)),הגדרות!$E$8+INT((H2875-1-הגדרות!$E$8*(הגדרות!$E$7+1))/הגדרות!$E$7)))</f>
        <v/>
      </c>
      <c r="J2875" s="0" t="str">
        <f aca="false">IF(I2875="","",IF(H2875-1&lt;הגדרות!$E$8*(הגדרות!$E$7+1),MOD(H2875-1,הגדרות!$E$7+1),MOD(H2875-1-הגדרות!$E$8*(הגדרות!$E$7+1),הגדרות!$E$7)))</f>
        <v/>
      </c>
      <c r="K2875" s="0" t="str">
        <f aca="false">IF(I2875="","",J2875*הגדרות!$E$6+I2875+1)</f>
        <v/>
      </c>
      <c r="L2875" s="0" t="str">
        <f aca="false">IF(K2875="","",MATCH(K2875,$F$2:$F$5001,0))</f>
        <v/>
      </c>
      <c r="M2875" s="0" t="str">
        <f aca="false">IF(I2875="","",INDEX(הגדרות!$A$2:$A$21,MOD(I2875+הגדרות!$E$9,הגדרות!$E$6)+1))</f>
        <v/>
      </c>
    </row>
    <row r="2876" customFormat="false" ht="15" hidden="false" customHeight="false" outlineLevel="0" collapsed="false">
      <c r="A2876" s="0" t="str">
        <f aca="false">IF('הדבקת לידים'!A2876="","",IF(ISNUMBER('הדבקת לידים'!A2876),IF(הגדרות!$E$2&gt;0,TEXT('הדבקת לידים'!A2876,REPT("0",הגדרות!$E$2)),TEXT('הדבקת לידים'!A2876,"0")),TRIM('הדבקת לידים'!A2876)))</f>
        <v/>
      </c>
      <c r="B2876" s="0" t="str">
        <f aca="false">IF('הדבקת לידים'!B2876="","",IF(ISNUMBER('הדבקת לידים'!B2876),IF(הגדרות!$E$3&gt;0,TEXT('הדבקת לידים'!B2876,REPT("0",הגדרות!$E$3)),TEXT('הדבקת לידים'!B2876,"0")),TRIM('הדבקת לידים'!B2876)))</f>
        <v/>
      </c>
      <c r="C2876" s="0" t="n">
        <f aca="false">IF(OR(A2876&lt;&gt;"",B2876&lt;&gt;""),1,0)</f>
        <v>0</v>
      </c>
      <c r="D2876" s="0" t="str">
        <f aca="false">IF(C2876=1,MOD(ABS(SIN(ROW()*12.9898+'הדבקת לידים'!$F$2*78.233+IFERROR(--RIGHT(A2876,6),LEN(A2876))*0.0137+IFERROR(--RIGHT(B2876,6),LEN(B2876))*0.0071))*43758.5453,1),"")</f>
        <v/>
      </c>
      <c r="E2876" s="0" t="str">
        <f aca="false">IF(C2876=1,INT(MOD(ABS(SIN(D2876*7919.123+ROW()*0.618+'הדבקת לידים'!$F$2*1.3))*43758.5453,1)*1000000)*10000+ROW(),"")</f>
        <v/>
      </c>
      <c r="F2876" s="0" t="str">
        <f aca="false">IF(E2876="","",RANK(E2876,$E$2:$E$5001,1))</f>
        <v/>
      </c>
      <c r="G2876" s="0" t="n">
        <f aca="false">IF(A2876="",0,IF(SUMPRODUCT(--($A$2:$A$5001=A2876))&gt;1,1,0))</f>
        <v>0</v>
      </c>
      <c r="H2876" s="0" t="n">
        <f aca="false">ROW()-1</f>
        <v>2875</v>
      </c>
      <c r="I2876" s="0" t="str">
        <f aca="false">IF(OR(הגדרות!$E$6=0,H2876&gt;הגדרות!$E$5),"",IF(H2876-1&lt;הגדרות!$E$8*(הגדרות!$E$7+1),INT((H2876-1)/(הגדרות!$E$7+1)),הגדרות!$E$8+INT((H2876-1-הגדרות!$E$8*(הגדרות!$E$7+1))/הגדרות!$E$7)))</f>
        <v/>
      </c>
      <c r="J2876" s="0" t="str">
        <f aca="false">IF(I2876="","",IF(H2876-1&lt;הגדרות!$E$8*(הגדרות!$E$7+1),MOD(H2876-1,הגדרות!$E$7+1),MOD(H2876-1-הגדרות!$E$8*(הגדרות!$E$7+1),הגדרות!$E$7)))</f>
        <v/>
      </c>
      <c r="K2876" s="0" t="str">
        <f aca="false">IF(I2876="","",J2876*הגדרות!$E$6+I2876+1)</f>
        <v/>
      </c>
      <c r="L2876" s="0" t="str">
        <f aca="false">IF(K2876="","",MATCH(K2876,$F$2:$F$5001,0))</f>
        <v/>
      </c>
      <c r="M2876" s="0" t="str">
        <f aca="false">IF(I2876="","",INDEX(הגדרות!$A$2:$A$21,MOD(I2876+הגדרות!$E$9,הגדרות!$E$6)+1))</f>
        <v/>
      </c>
    </row>
    <row r="2877" customFormat="false" ht="15" hidden="false" customHeight="false" outlineLevel="0" collapsed="false">
      <c r="A2877" s="0" t="str">
        <f aca="false">IF('הדבקת לידים'!A2877="","",IF(ISNUMBER('הדבקת לידים'!A2877),IF(הגדרות!$E$2&gt;0,TEXT('הדבקת לידים'!A2877,REPT("0",הגדרות!$E$2)),TEXT('הדבקת לידים'!A2877,"0")),TRIM('הדבקת לידים'!A2877)))</f>
        <v/>
      </c>
      <c r="B2877" s="0" t="str">
        <f aca="false">IF('הדבקת לידים'!B2877="","",IF(ISNUMBER('הדבקת לידים'!B2877),IF(הגדרות!$E$3&gt;0,TEXT('הדבקת לידים'!B2877,REPT("0",הגדרות!$E$3)),TEXT('הדבקת לידים'!B2877,"0")),TRIM('הדבקת לידים'!B2877)))</f>
        <v/>
      </c>
      <c r="C2877" s="0" t="n">
        <f aca="false">IF(OR(A2877&lt;&gt;"",B2877&lt;&gt;""),1,0)</f>
        <v>0</v>
      </c>
      <c r="D2877" s="0" t="str">
        <f aca="false">IF(C2877=1,MOD(ABS(SIN(ROW()*12.9898+'הדבקת לידים'!$F$2*78.233+IFERROR(--RIGHT(A2877,6),LEN(A2877))*0.0137+IFERROR(--RIGHT(B2877,6),LEN(B2877))*0.0071))*43758.5453,1),"")</f>
        <v/>
      </c>
      <c r="E2877" s="0" t="str">
        <f aca="false">IF(C2877=1,INT(MOD(ABS(SIN(D2877*7919.123+ROW()*0.618+'הדבקת לידים'!$F$2*1.3))*43758.5453,1)*1000000)*10000+ROW(),"")</f>
        <v/>
      </c>
      <c r="F2877" s="0" t="str">
        <f aca="false">IF(E2877="","",RANK(E2877,$E$2:$E$5001,1))</f>
        <v/>
      </c>
      <c r="G2877" s="0" t="n">
        <f aca="false">IF(A2877="",0,IF(SUMPRODUCT(--($A$2:$A$5001=A2877))&gt;1,1,0))</f>
        <v>0</v>
      </c>
      <c r="H2877" s="0" t="n">
        <f aca="false">ROW()-1</f>
        <v>2876</v>
      </c>
      <c r="I2877" s="0" t="str">
        <f aca="false">IF(OR(הגדרות!$E$6=0,H2877&gt;הגדרות!$E$5),"",IF(H2877-1&lt;הגדרות!$E$8*(הגדרות!$E$7+1),INT((H2877-1)/(הגדרות!$E$7+1)),הגדרות!$E$8+INT((H2877-1-הגדרות!$E$8*(הגדרות!$E$7+1))/הגדרות!$E$7)))</f>
        <v/>
      </c>
      <c r="J2877" s="0" t="str">
        <f aca="false">IF(I2877="","",IF(H2877-1&lt;הגדרות!$E$8*(הגדרות!$E$7+1),MOD(H2877-1,הגדרות!$E$7+1),MOD(H2877-1-הגדרות!$E$8*(הגדרות!$E$7+1),הגדרות!$E$7)))</f>
        <v/>
      </c>
      <c r="K2877" s="0" t="str">
        <f aca="false">IF(I2877="","",J2877*הגדרות!$E$6+I2877+1)</f>
        <v/>
      </c>
      <c r="L2877" s="0" t="str">
        <f aca="false">IF(K2877="","",MATCH(K2877,$F$2:$F$5001,0))</f>
        <v/>
      </c>
      <c r="M2877" s="0" t="str">
        <f aca="false">IF(I2877="","",INDEX(הגדרות!$A$2:$A$21,MOD(I2877+הגדרות!$E$9,הגדרות!$E$6)+1))</f>
        <v/>
      </c>
    </row>
    <row r="2878" customFormat="false" ht="15" hidden="false" customHeight="false" outlineLevel="0" collapsed="false">
      <c r="A2878" s="0" t="str">
        <f aca="false">IF('הדבקת לידים'!A2878="","",IF(ISNUMBER('הדבקת לידים'!A2878),IF(הגדרות!$E$2&gt;0,TEXT('הדבקת לידים'!A2878,REPT("0",הגדרות!$E$2)),TEXT('הדבקת לידים'!A2878,"0")),TRIM('הדבקת לידים'!A2878)))</f>
        <v/>
      </c>
      <c r="B2878" s="0" t="str">
        <f aca="false">IF('הדבקת לידים'!B2878="","",IF(ISNUMBER('הדבקת לידים'!B2878),IF(הגדרות!$E$3&gt;0,TEXT('הדבקת לידים'!B2878,REPT("0",הגדרות!$E$3)),TEXT('הדבקת לידים'!B2878,"0")),TRIM('הדבקת לידים'!B2878)))</f>
        <v/>
      </c>
      <c r="C2878" s="0" t="n">
        <f aca="false">IF(OR(A2878&lt;&gt;"",B2878&lt;&gt;""),1,0)</f>
        <v>0</v>
      </c>
      <c r="D2878" s="0" t="str">
        <f aca="false">IF(C2878=1,MOD(ABS(SIN(ROW()*12.9898+'הדבקת לידים'!$F$2*78.233+IFERROR(--RIGHT(A2878,6),LEN(A2878))*0.0137+IFERROR(--RIGHT(B2878,6),LEN(B2878))*0.0071))*43758.5453,1),"")</f>
        <v/>
      </c>
      <c r="E2878" s="0" t="str">
        <f aca="false">IF(C2878=1,INT(MOD(ABS(SIN(D2878*7919.123+ROW()*0.618+'הדבקת לידים'!$F$2*1.3))*43758.5453,1)*1000000)*10000+ROW(),"")</f>
        <v/>
      </c>
      <c r="F2878" s="0" t="str">
        <f aca="false">IF(E2878="","",RANK(E2878,$E$2:$E$5001,1))</f>
        <v/>
      </c>
      <c r="G2878" s="0" t="n">
        <f aca="false">IF(A2878="",0,IF(SUMPRODUCT(--($A$2:$A$5001=A2878))&gt;1,1,0))</f>
        <v>0</v>
      </c>
      <c r="H2878" s="0" t="n">
        <f aca="false">ROW()-1</f>
        <v>2877</v>
      </c>
      <c r="I2878" s="0" t="str">
        <f aca="false">IF(OR(הגדרות!$E$6=0,H2878&gt;הגדרות!$E$5),"",IF(H2878-1&lt;הגדרות!$E$8*(הגדרות!$E$7+1),INT((H2878-1)/(הגדרות!$E$7+1)),הגדרות!$E$8+INT((H2878-1-הגדרות!$E$8*(הגדרות!$E$7+1))/הגדרות!$E$7)))</f>
        <v/>
      </c>
      <c r="J2878" s="0" t="str">
        <f aca="false">IF(I2878="","",IF(H2878-1&lt;הגדרות!$E$8*(הגדרות!$E$7+1),MOD(H2878-1,הגדרות!$E$7+1),MOD(H2878-1-הגדרות!$E$8*(הגדרות!$E$7+1),הגדרות!$E$7)))</f>
        <v/>
      </c>
      <c r="K2878" s="0" t="str">
        <f aca="false">IF(I2878="","",J2878*הגדרות!$E$6+I2878+1)</f>
        <v/>
      </c>
      <c r="L2878" s="0" t="str">
        <f aca="false">IF(K2878="","",MATCH(K2878,$F$2:$F$5001,0))</f>
        <v/>
      </c>
      <c r="M2878" s="0" t="str">
        <f aca="false">IF(I2878="","",INDEX(הגדרות!$A$2:$A$21,MOD(I2878+הגדרות!$E$9,הגדרות!$E$6)+1))</f>
        <v/>
      </c>
    </row>
    <row r="2879" customFormat="false" ht="15" hidden="false" customHeight="false" outlineLevel="0" collapsed="false">
      <c r="A2879" s="0" t="str">
        <f aca="false">IF('הדבקת לידים'!A2879="","",IF(ISNUMBER('הדבקת לידים'!A2879),IF(הגדרות!$E$2&gt;0,TEXT('הדבקת לידים'!A2879,REPT("0",הגדרות!$E$2)),TEXT('הדבקת לידים'!A2879,"0")),TRIM('הדבקת לידים'!A2879)))</f>
        <v/>
      </c>
      <c r="B2879" s="0" t="str">
        <f aca="false">IF('הדבקת לידים'!B2879="","",IF(ISNUMBER('הדבקת לידים'!B2879),IF(הגדרות!$E$3&gt;0,TEXT('הדבקת לידים'!B2879,REPT("0",הגדרות!$E$3)),TEXT('הדבקת לידים'!B2879,"0")),TRIM('הדבקת לידים'!B2879)))</f>
        <v/>
      </c>
      <c r="C2879" s="0" t="n">
        <f aca="false">IF(OR(A2879&lt;&gt;"",B2879&lt;&gt;""),1,0)</f>
        <v>0</v>
      </c>
      <c r="D2879" s="0" t="str">
        <f aca="false">IF(C2879=1,MOD(ABS(SIN(ROW()*12.9898+'הדבקת לידים'!$F$2*78.233+IFERROR(--RIGHT(A2879,6),LEN(A2879))*0.0137+IFERROR(--RIGHT(B2879,6),LEN(B2879))*0.0071))*43758.5453,1),"")</f>
        <v/>
      </c>
      <c r="E2879" s="0" t="str">
        <f aca="false">IF(C2879=1,INT(MOD(ABS(SIN(D2879*7919.123+ROW()*0.618+'הדבקת לידים'!$F$2*1.3))*43758.5453,1)*1000000)*10000+ROW(),"")</f>
        <v/>
      </c>
      <c r="F2879" s="0" t="str">
        <f aca="false">IF(E2879="","",RANK(E2879,$E$2:$E$5001,1))</f>
        <v/>
      </c>
      <c r="G2879" s="0" t="n">
        <f aca="false">IF(A2879="",0,IF(SUMPRODUCT(--($A$2:$A$5001=A2879))&gt;1,1,0))</f>
        <v>0</v>
      </c>
      <c r="H2879" s="0" t="n">
        <f aca="false">ROW()-1</f>
        <v>2878</v>
      </c>
      <c r="I2879" s="0" t="str">
        <f aca="false">IF(OR(הגדרות!$E$6=0,H2879&gt;הגדרות!$E$5),"",IF(H2879-1&lt;הגדרות!$E$8*(הגדרות!$E$7+1),INT((H2879-1)/(הגדרות!$E$7+1)),הגדרות!$E$8+INT((H2879-1-הגדרות!$E$8*(הגדרות!$E$7+1))/הגדרות!$E$7)))</f>
        <v/>
      </c>
      <c r="J2879" s="0" t="str">
        <f aca="false">IF(I2879="","",IF(H2879-1&lt;הגדרות!$E$8*(הגדרות!$E$7+1),MOD(H2879-1,הגדרות!$E$7+1),MOD(H2879-1-הגדרות!$E$8*(הגדרות!$E$7+1),הגדרות!$E$7)))</f>
        <v/>
      </c>
      <c r="K2879" s="0" t="str">
        <f aca="false">IF(I2879="","",J2879*הגדרות!$E$6+I2879+1)</f>
        <v/>
      </c>
      <c r="L2879" s="0" t="str">
        <f aca="false">IF(K2879="","",MATCH(K2879,$F$2:$F$5001,0))</f>
        <v/>
      </c>
      <c r="M2879" s="0" t="str">
        <f aca="false">IF(I2879="","",INDEX(הגדרות!$A$2:$A$21,MOD(I2879+הגדרות!$E$9,הגדרות!$E$6)+1))</f>
        <v/>
      </c>
    </row>
    <row r="2880" customFormat="false" ht="15" hidden="false" customHeight="false" outlineLevel="0" collapsed="false">
      <c r="A2880" s="0" t="str">
        <f aca="false">IF('הדבקת לידים'!A2880="","",IF(ISNUMBER('הדבקת לידים'!A2880),IF(הגדרות!$E$2&gt;0,TEXT('הדבקת לידים'!A2880,REPT("0",הגדרות!$E$2)),TEXT('הדבקת לידים'!A2880,"0")),TRIM('הדבקת לידים'!A2880)))</f>
        <v/>
      </c>
      <c r="B2880" s="0" t="str">
        <f aca="false">IF('הדבקת לידים'!B2880="","",IF(ISNUMBER('הדבקת לידים'!B2880),IF(הגדרות!$E$3&gt;0,TEXT('הדבקת לידים'!B2880,REPT("0",הגדרות!$E$3)),TEXT('הדבקת לידים'!B2880,"0")),TRIM('הדבקת לידים'!B2880)))</f>
        <v/>
      </c>
      <c r="C2880" s="0" t="n">
        <f aca="false">IF(OR(A2880&lt;&gt;"",B2880&lt;&gt;""),1,0)</f>
        <v>0</v>
      </c>
      <c r="D2880" s="0" t="str">
        <f aca="false">IF(C2880=1,MOD(ABS(SIN(ROW()*12.9898+'הדבקת לידים'!$F$2*78.233+IFERROR(--RIGHT(A2880,6),LEN(A2880))*0.0137+IFERROR(--RIGHT(B2880,6),LEN(B2880))*0.0071))*43758.5453,1),"")</f>
        <v/>
      </c>
      <c r="E2880" s="0" t="str">
        <f aca="false">IF(C2880=1,INT(MOD(ABS(SIN(D2880*7919.123+ROW()*0.618+'הדבקת לידים'!$F$2*1.3))*43758.5453,1)*1000000)*10000+ROW(),"")</f>
        <v/>
      </c>
      <c r="F2880" s="0" t="str">
        <f aca="false">IF(E2880="","",RANK(E2880,$E$2:$E$5001,1))</f>
        <v/>
      </c>
      <c r="G2880" s="0" t="n">
        <f aca="false">IF(A2880="",0,IF(SUMPRODUCT(--($A$2:$A$5001=A2880))&gt;1,1,0))</f>
        <v>0</v>
      </c>
      <c r="H2880" s="0" t="n">
        <f aca="false">ROW()-1</f>
        <v>2879</v>
      </c>
      <c r="I2880" s="0" t="str">
        <f aca="false">IF(OR(הגדרות!$E$6=0,H2880&gt;הגדרות!$E$5),"",IF(H2880-1&lt;הגדרות!$E$8*(הגדרות!$E$7+1),INT((H2880-1)/(הגדרות!$E$7+1)),הגדרות!$E$8+INT((H2880-1-הגדרות!$E$8*(הגדרות!$E$7+1))/הגדרות!$E$7)))</f>
        <v/>
      </c>
      <c r="J2880" s="0" t="str">
        <f aca="false">IF(I2880="","",IF(H2880-1&lt;הגדרות!$E$8*(הגדרות!$E$7+1),MOD(H2880-1,הגדרות!$E$7+1),MOD(H2880-1-הגדרות!$E$8*(הגדרות!$E$7+1),הגדרות!$E$7)))</f>
        <v/>
      </c>
      <c r="K2880" s="0" t="str">
        <f aca="false">IF(I2880="","",J2880*הגדרות!$E$6+I2880+1)</f>
        <v/>
      </c>
      <c r="L2880" s="0" t="str">
        <f aca="false">IF(K2880="","",MATCH(K2880,$F$2:$F$5001,0))</f>
        <v/>
      </c>
      <c r="M2880" s="0" t="str">
        <f aca="false">IF(I2880="","",INDEX(הגדרות!$A$2:$A$21,MOD(I2880+הגדרות!$E$9,הגדרות!$E$6)+1))</f>
        <v/>
      </c>
    </row>
    <row r="2881" customFormat="false" ht="15" hidden="false" customHeight="false" outlineLevel="0" collapsed="false">
      <c r="A2881" s="0" t="str">
        <f aca="false">IF('הדבקת לידים'!A2881="","",IF(ISNUMBER('הדבקת לידים'!A2881),IF(הגדרות!$E$2&gt;0,TEXT('הדבקת לידים'!A2881,REPT("0",הגדרות!$E$2)),TEXT('הדבקת לידים'!A2881,"0")),TRIM('הדבקת לידים'!A2881)))</f>
        <v/>
      </c>
      <c r="B2881" s="0" t="str">
        <f aca="false">IF('הדבקת לידים'!B2881="","",IF(ISNUMBER('הדבקת לידים'!B2881),IF(הגדרות!$E$3&gt;0,TEXT('הדבקת לידים'!B2881,REPT("0",הגדרות!$E$3)),TEXT('הדבקת לידים'!B2881,"0")),TRIM('הדבקת לידים'!B2881)))</f>
        <v/>
      </c>
      <c r="C2881" s="0" t="n">
        <f aca="false">IF(OR(A2881&lt;&gt;"",B2881&lt;&gt;""),1,0)</f>
        <v>0</v>
      </c>
      <c r="D2881" s="0" t="str">
        <f aca="false">IF(C2881=1,MOD(ABS(SIN(ROW()*12.9898+'הדבקת לידים'!$F$2*78.233+IFERROR(--RIGHT(A2881,6),LEN(A2881))*0.0137+IFERROR(--RIGHT(B2881,6),LEN(B2881))*0.0071))*43758.5453,1),"")</f>
        <v/>
      </c>
      <c r="E2881" s="0" t="str">
        <f aca="false">IF(C2881=1,INT(MOD(ABS(SIN(D2881*7919.123+ROW()*0.618+'הדבקת לידים'!$F$2*1.3))*43758.5453,1)*1000000)*10000+ROW(),"")</f>
        <v/>
      </c>
      <c r="F2881" s="0" t="str">
        <f aca="false">IF(E2881="","",RANK(E2881,$E$2:$E$5001,1))</f>
        <v/>
      </c>
      <c r="G2881" s="0" t="n">
        <f aca="false">IF(A2881="",0,IF(SUMPRODUCT(--($A$2:$A$5001=A2881))&gt;1,1,0))</f>
        <v>0</v>
      </c>
      <c r="H2881" s="0" t="n">
        <f aca="false">ROW()-1</f>
        <v>2880</v>
      </c>
      <c r="I2881" s="0" t="str">
        <f aca="false">IF(OR(הגדרות!$E$6=0,H2881&gt;הגדרות!$E$5),"",IF(H2881-1&lt;הגדרות!$E$8*(הגדרות!$E$7+1),INT((H2881-1)/(הגדרות!$E$7+1)),הגדרות!$E$8+INT((H2881-1-הגדרות!$E$8*(הגדרות!$E$7+1))/הגדרות!$E$7)))</f>
        <v/>
      </c>
      <c r="J2881" s="0" t="str">
        <f aca="false">IF(I2881="","",IF(H2881-1&lt;הגדרות!$E$8*(הגדרות!$E$7+1),MOD(H2881-1,הגדרות!$E$7+1),MOD(H2881-1-הגדרות!$E$8*(הגדרות!$E$7+1),הגדרות!$E$7)))</f>
        <v/>
      </c>
      <c r="K2881" s="0" t="str">
        <f aca="false">IF(I2881="","",J2881*הגדרות!$E$6+I2881+1)</f>
        <v/>
      </c>
      <c r="L2881" s="0" t="str">
        <f aca="false">IF(K2881="","",MATCH(K2881,$F$2:$F$5001,0))</f>
        <v/>
      </c>
      <c r="M2881" s="0" t="str">
        <f aca="false">IF(I2881="","",INDEX(הגדרות!$A$2:$A$21,MOD(I2881+הגדרות!$E$9,הגדרות!$E$6)+1))</f>
        <v/>
      </c>
    </row>
    <row r="2882" customFormat="false" ht="15" hidden="false" customHeight="false" outlineLevel="0" collapsed="false">
      <c r="A2882" s="0" t="str">
        <f aca="false">IF('הדבקת לידים'!A2882="","",IF(ISNUMBER('הדבקת לידים'!A2882),IF(הגדרות!$E$2&gt;0,TEXT('הדבקת לידים'!A2882,REPT("0",הגדרות!$E$2)),TEXT('הדבקת לידים'!A2882,"0")),TRIM('הדבקת לידים'!A2882)))</f>
        <v/>
      </c>
      <c r="B2882" s="0" t="str">
        <f aca="false">IF('הדבקת לידים'!B2882="","",IF(ISNUMBER('הדבקת לידים'!B2882),IF(הגדרות!$E$3&gt;0,TEXT('הדבקת לידים'!B2882,REPT("0",הגדרות!$E$3)),TEXT('הדבקת לידים'!B2882,"0")),TRIM('הדבקת לידים'!B2882)))</f>
        <v/>
      </c>
      <c r="C2882" s="0" t="n">
        <f aca="false">IF(OR(A2882&lt;&gt;"",B2882&lt;&gt;""),1,0)</f>
        <v>0</v>
      </c>
      <c r="D2882" s="0" t="str">
        <f aca="false">IF(C2882=1,MOD(ABS(SIN(ROW()*12.9898+'הדבקת לידים'!$F$2*78.233+IFERROR(--RIGHT(A2882,6),LEN(A2882))*0.0137+IFERROR(--RIGHT(B2882,6),LEN(B2882))*0.0071))*43758.5453,1),"")</f>
        <v/>
      </c>
      <c r="E2882" s="0" t="str">
        <f aca="false">IF(C2882=1,INT(MOD(ABS(SIN(D2882*7919.123+ROW()*0.618+'הדבקת לידים'!$F$2*1.3))*43758.5453,1)*1000000)*10000+ROW(),"")</f>
        <v/>
      </c>
      <c r="F2882" s="0" t="str">
        <f aca="false">IF(E2882="","",RANK(E2882,$E$2:$E$5001,1))</f>
        <v/>
      </c>
      <c r="G2882" s="0" t="n">
        <f aca="false">IF(A2882="",0,IF(SUMPRODUCT(--($A$2:$A$5001=A2882))&gt;1,1,0))</f>
        <v>0</v>
      </c>
      <c r="H2882" s="0" t="n">
        <f aca="false">ROW()-1</f>
        <v>2881</v>
      </c>
      <c r="I2882" s="0" t="str">
        <f aca="false">IF(OR(הגדרות!$E$6=0,H2882&gt;הגדרות!$E$5),"",IF(H2882-1&lt;הגדרות!$E$8*(הגדרות!$E$7+1),INT((H2882-1)/(הגדרות!$E$7+1)),הגדרות!$E$8+INT((H2882-1-הגדרות!$E$8*(הגדרות!$E$7+1))/הגדרות!$E$7)))</f>
        <v/>
      </c>
      <c r="J2882" s="0" t="str">
        <f aca="false">IF(I2882="","",IF(H2882-1&lt;הגדרות!$E$8*(הגדרות!$E$7+1),MOD(H2882-1,הגדרות!$E$7+1),MOD(H2882-1-הגדרות!$E$8*(הגדרות!$E$7+1),הגדרות!$E$7)))</f>
        <v/>
      </c>
      <c r="K2882" s="0" t="str">
        <f aca="false">IF(I2882="","",J2882*הגדרות!$E$6+I2882+1)</f>
        <v/>
      </c>
      <c r="L2882" s="0" t="str">
        <f aca="false">IF(K2882="","",MATCH(K2882,$F$2:$F$5001,0))</f>
        <v/>
      </c>
      <c r="M2882" s="0" t="str">
        <f aca="false">IF(I2882="","",INDEX(הגדרות!$A$2:$A$21,MOD(I2882+הגדרות!$E$9,הגדרות!$E$6)+1))</f>
        <v/>
      </c>
    </row>
    <row r="2883" customFormat="false" ht="15" hidden="false" customHeight="false" outlineLevel="0" collapsed="false">
      <c r="A2883" s="0" t="str">
        <f aca="false">IF('הדבקת לידים'!A2883="","",IF(ISNUMBER('הדבקת לידים'!A2883),IF(הגדרות!$E$2&gt;0,TEXT('הדבקת לידים'!A2883,REPT("0",הגדרות!$E$2)),TEXT('הדבקת לידים'!A2883,"0")),TRIM('הדבקת לידים'!A2883)))</f>
        <v/>
      </c>
      <c r="B2883" s="0" t="str">
        <f aca="false">IF('הדבקת לידים'!B2883="","",IF(ISNUMBER('הדבקת לידים'!B2883),IF(הגדרות!$E$3&gt;0,TEXT('הדבקת לידים'!B2883,REPT("0",הגדרות!$E$3)),TEXT('הדבקת לידים'!B2883,"0")),TRIM('הדבקת לידים'!B2883)))</f>
        <v/>
      </c>
      <c r="C2883" s="0" t="n">
        <f aca="false">IF(OR(A2883&lt;&gt;"",B2883&lt;&gt;""),1,0)</f>
        <v>0</v>
      </c>
      <c r="D2883" s="0" t="str">
        <f aca="false">IF(C2883=1,MOD(ABS(SIN(ROW()*12.9898+'הדבקת לידים'!$F$2*78.233+IFERROR(--RIGHT(A2883,6),LEN(A2883))*0.0137+IFERROR(--RIGHT(B2883,6),LEN(B2883))*0.0071))*43758.5453,1),"")</f>
        <v/>
      </c>
      <c r="E2883" s="0" t="str">
        <f aca="false">IF(C2883=1,INT(MOD(ABS(SIN(D2883*7919.123+ROW()*0.618+'הדבקת לידים'!$F$2*1.3))*43758.5453,1)*1000000)*10000+ROW(),"")</f>
        <v/>
      </c>
      <c r="F2883" s="0" t="str">
        <f aca="false">IF(E2883="","",RANK(E2883,$E$2:$E$5001,1))</f>
        <v/>
      </c>
      <c r="G2883" s="0" t="n">
        <f aca="false">IF(A2883="",0,IF(SUMPRODUCT(--($A$2:$A$5001=A2883))&gt;1,1,0))</f>
        <v>0</v>
      </c>
      <c r="H2883" s="0" t="n">
        <f aca="false">ROW()-1</f>
        <v>2882</v>
      </c>
      <c r="I2883" s="0" t="str">
        <f aca="false">IF(OR(הגדרות!$E$6=0,H2883&gt;הגדרות!$E$5),"",IF(H2883-1&lt;הגדרות!$E$8*(הגדרות!$E$7+1),INT((H2883-1)/(הגדרות!$E$7+1)),הגדרות!$E$8+INT((H2883-1-הגדרות!$E$8*(הגדרות!$E$7+1))/הגדרות!$E$7)))</f>
        <v/>
      </c>
      <c r="J2883" s="0" t="str">
        <f aca="false">IF(I2883="","",IF(H2883-1&lt;הגדרות!$E$8*(הגדרות!$E$7+1),MOD(H2883-1,הגדרות!$E$7+1),MOD(H2883-1-הגדרות!$E$8*(הגדרות!$E$7+1),הגדרות!$E$7)))</f>
        <v/>
      </c>
      <c r="K2883" s="0" t="str">
        <f aca="false">IF(I2883="","",J2883*הגדרות!$E$6+I2883+1)</f>
        <v/>
      </c>
      <c r="L2883" s="0" t="str">
        <f aca="false">IF(K2883="","",MATCH(K2883,$F$2:$F$5001,0))</f>
        <v/>
      </c>
      <c r="M2883" s="0" t="str">
        <f aca="false">IF(I2883="","",INDEX(הגדרות!$A$2:$A$21,MOD(I2883+הגדרות!$E$9,הגדרות!$E$6)+1))</f>
        <v/>
      </c>
    </row>
    <row r="2884" customFormat="false" ht="15" hidden="false" customHeight="false" outlineLevel="0" collapsed="false">
      <c r="A2884" s="0" t="str">
        <f aca="false">IF('הדבקת לידים'!A2884="","",IF(ISNUMBER('הדבקת לידים'!A2884),IF(הגדרות!$E$2&gt;0,TEXT('הדבקת לידים'!A2884,REPT("0",הגדרות!$E$2)),TEXT('הדבקת לידים'!A2884,"0")),TRIM('הדבקת לידים'!A2884)))</f>
        <v/>
      </c>
      <c r="B2884" s="0" t="str">
        <f aca="false">IF('הדבקת לידים'!B2884="","",IF(ISNUMBER('הדבקת לידים'!B2884),IF(הגדרות!$E$3&gt;0,TEXT('הדבקת לידים'!B2884,REPT("0",הגדרות!$E$3)),TEXT('הדבקת לידים'!B2884,"0")),TRIM('הדבקת לידים'!B2884)))</f>
        <v/>
      </c>
      <c r="C2884" s="0" t="n">
        <f aca="false">IF(OR(A2884&lt;&gt;"",B2884&lt;&gt;""),1,0)</f>
        <v>0</v>
      </c>
      <c r="D2884" s="0" t="str">
        <f aca="false">IF(C2884=1,MOD(ABS(SIN(ROW()*12.9898+'הדבקת לידים'!$F$2*78.233+IFERROR(--RIGHT(A2884,6),LEN(A2884))*0.0137+IFERROR(--RIGHT(B2884,6),LEN(B2884))*0.0071))*43758.5453,1),"")</f>
        <v/>
      </c>
      <c r="E2884" s="0" t="str">
        <f aca="false">IF(C2884=1,INT(MOD(ABS(SIN(D2884*7919.123+ROW()*0.618+'הדבקת לידים'!$F$2*1.3))*43758.5453,1)*1000000)*10000+ROW(),"")</f>
        <v/>
      </c>
      <c r="F2884" s="0" t="str">
        <f aca="false">IF(E2884="","",RANK(E2884,$E$2:$E$5001,1))</f>
        <v/>
      </c>
      <c r="G2884" s="0" t="n">
        <f aca="false">IF(A2884="",0,IF(SUMPRODUCT(--($A$2:$A$5001=A2884))&gt;1,1,0))</f>
        <v>0</v>
      </c>
      <c r="H2884" s="0" t="n">
        <f aca="false">ROW()-1</f>
        <v>2883</v>
      </c>
      <c r="I2884" s="0" t="str">
        <f aca="false">IF(OR(הגדרות!$E$6=0,H2884&gt;הגדרות!$E$5),"",IF(H2884-1&lt;הגדרות!$E$8*(הגדרות!$E$7+1),INT((H2884-1)/(הגדרות!$E$7+1)),הגדרות!$E$8+INT((H2884-1-הגדרות!$E$8*(הגדרות!$E$7+1))/הגדרות!$E$7)))</f>
        <v/>
      </c>
      <c r="J2884" s="0" t="str">
        <f aca="false">IF(I2884="","",IF(H2884-1&lt;הגדרות!$E$8*(הגדרות!$E$7+1),MOD(H2884-1,הגדרות!$E$7+1),MOD(H2884-1-הגדרות!$E$8*(הגדרות!$E$7+1),הגדרות!$E$7)))</f>
        <v/>
      </c>
      <c r="K2884" s="0" t="str">
        <f aca="false">IF(I2884="","",J2884*הגדרות!$E$6+I2884+1)</f>
        <v/>
      </c>
      <c r="L2884" s="0" t="str">
        <f aca="false">IF(K2884="","",MATCH(K2884,$F$2:$F$5001,0))</f>
        <v/>
      </c>
      <c r="M2884" s="0" t="str">
        <f aca="false">IF(I2884="","",INDEX(הגדרות!$A$2:$A$21,MOD(I2884+הגדרות!$E$9,הגדרות!$E$6)+1))</f>
        <v/>
      </c>
    </row>
    <row r="2885" customFormat="false" ht="15" hidden="false" customHeight="false" outlineLevel="0" collapsed="false">
      <c r="A2885" s="0" t="str">
        <f aca="false">IF('הדבקת לידים'!A2885="","",IF(ISNUMBER('הדבקת לידים'!A2885),IF(הגדרות!$E$2&gt;0,TEXT('הדבקת לידים'!A2885,REPT("0",הגדרות!$E$2)),TEXT('הדבקת לידים'!A2885,"0")),TRIM('הדבקת לידים'!A2885)))</f>
        <v/>
      </c>
      <c r="B2885" s="0" t="str">
        <f aca="false">IF('הדבקת לידים'!B2885="","",IF(ISNUMBER('הדבקת לידים'!B2885),IF(הגדרות!$E$3&gt;0,TEXT('הדבקת לידים'!B2885,REPT("0",הגדרות!$E$3)),TEXT('הדבקת לידים'!B2885,"0")),TRIM('הדבקת לידים'!B2885)))</f>
        <v/>
      </c>
      <c r="C2885" s="0" t="n">
        <f aca="false">IF(OR(A2885&lt;&gt;"",B2885&lt;&gt;""),1,0)</f>
        <v>0</v>
      </c>
      <c r="D2885" s="0" t="str">
        <f aca="false">IF(C2885=1,MOD(ABS(SIN(ROW()*12.9898+'הדבקת לידים'!$F$2*78.233+IFERROR(--RIGHT(A2885,6),LEN(A2885))*0.0137+IFERROR(--RIGHT(B2885,6),LEN(B2885))*0.0071))*43758.5453,1),"")</f>
        <v/>
      </c>
      <c r="E2885" s="0" t="str">
        <f aca="false">IF(C2885=1,INT(MOD(ABS(SIN(D2885*7919.123+ROW()*0.618+'הדבקת לידים'!$F$2*1.3))*43758.5453,1)*1000000)*10000+ROW(),"")</f>
        <v/>
      </c>
      <c r="F2885" s="0" t="str">
        <f aca="false">IF(E2885="","",RANK(E2885,$E$2:$E$5001,1))</f>
        <v/>
      </c>
      <c r="G2885" s="0" t="n">
        <f aca="false">IF(A2885="",0,IF(SUMPRODUCT(--($A$2:$A$5001=A2885))&gt;1,1,0))</f>
        <v>0</v>
      </c>
      <c r="H2885" s="0" t="n">
        <f aca="false">ROW()-1</f>
        <v>2884</v>
      </c>
      <c r="I2885" s="0" t="str">
        <f aca="false">IF(OR(הגדרות!$E$6=0,H2885&gt;הגדרות!$E$5),"",IF(H2885-1&lt;הגדרות!$E$8*(הגדרות!$E$7+1),INT((H2885-1)/(הגדרות!$E$7+1)),הגדרות!$E$8+INT((H2885-1-הגדרות!$E$8*(הגדרות!$E$7+1))/הגדרות!$E$7)))</f>
        <v/>
      </c>
      <c r="J2885" s="0" t="str">
        <f aca="false">IF(I2885="","",IF(H2885-1&lt;הגדרות!$E$8*(הגדרות!$E$7+1),MOD(H2885-1,הגדרות!$E$7+1),MOD(H2885-1-הגדרות!$E$8*(הגדרות!$E$7+1),הגדרות!$E$7)))</f>
        <v/>
      </c>
      <c r="K2885" s="0" t="str">
        <f aca="false">IF(I2885="","",J2885*הגדרות!$E$6+I2885+1)</f>
        <v/>
      </c>
      <c r="L2885" s="0" t="str">
        <f aca="false">IF(K2885="","",MATCH(K2885,$F$2:$F$5001,0))</f>
        <v/>
      </c>
      <c r="M2885" s="0" t="str">
        <f aca="false">IF(I2885="","",INDEX(הגדרות!$A$2:$A$21,MOD(I2885+הגדרות!$E$9,הגדרות!$E$6)+1))</f>
        <v/>
      </c>
    </row>
    <row r="2886" customFormat="false" ht="15" hidden="false" customHeight="false" outlineLevel="0" collapsed="false">
      <c r="A2886" s="0" t="str">
        <f aca="false">IF('הדבקת לידים'!A2886="","",IF(ISNUMBER('הדבקת לידים'!A2886),IF(הגדרות!$E$2&gt;0,TEXT('הדבקת לידים'!A2886,REPT("0",הגדרות!$E$2)),TEXT('הדבקת לידים'!A2886,"0")),TRIM('הדבקת לידים'!A2886)))</f>
        <v/>
      </c>
      <c r="B2886" s="0" t="str">
        <f aca="false">IF('הדבקת לידים'!B2886="","",IF(ISNUMBER('הדבקת לידים'!B2886),IF(הגדרות!$E$3&gt;0,TEXT('הדבקת לידים'!B2886,REPT("0",הגדרות!$E$3)),TEXT('הדבקת לידים'!B2886,"0")),TRIM('הדבקת לידים'!B2886)))</f>
        <v/>
      </c>
      <c r="C2886" s="0" t="n">
        <f aca="false">IF(OR(A2886&lt;&gt;"",B2886&lt;&gt;""),1,0)</f>
        <v>0</v>
      </c>
      <c r="D2886" s="0" t="str">
        <f aca="false">IF(C2886=1,MOD(ABS(SIN(ROW()*12.9898+'הדבקת לידים'!$F$2*78.233+IFERROR(--RIGHT(A2886,6),LEN(A2886))*0.0137+IFERROR(--RIGHT(B2886,6),LEN(B2886))*0.0071))*43758.5453,1),"")</f>
        <v/>
      </c>
      <c r="E2886" s="0" t="str">
        <f aca="false">IF(C2886=1,INT(MOD(ABS(SIN(D2886*7919.123+ROW()*0.618+'הדבקת לידים'!$F$2*1.3))*43758.5453,1)*1000000)*10000+ROW(),"")</f>
        <v/>
      </c>
      <c r="F2886" s="0" t="str">
        <f aca="false">IF(E2886="","",RANK(E2886,$E$2:$E$5001,1))</f>
        <v/>
      </c>
      <c r="G2886" s="0" t="n">
        <f aca="false">IF(A2886="",0,IF(SUMPRODUCT(--($A$2:$A$5001=A2886))&gt;1,1,0))</f>
        <v>0</v>
      </c>
      <c r="H2886" s="0" t="n">
        <f aca="false">ROW()-1</f>
        <v>2885</v>
      </c>
      <c r="I2886" s="0" t="str">
        <f aca="false">IF(OR(הגדרות!$E$6=0,H2886&gt;הגדרות!$E$5),"",IF(H2886-1&lt;הגדרות!$E$8*(הגדרות!$E$7+1),INT((H2886-1)/(הגדרות!$E$7+1)),הגדרות!$E$8+INT((H2886-1-הגדרות!$E$8*(הגדרות!$E$7+1))/הגדרות!$E$7)))</f>
        <v/>
      </c>
      <c r="J2886" s="0" t="str">
        <f aca="false">IF(I2886="","",IF(H2886-1&lt;הגדרות!$E$8*(הגדרות!$E$7+1),MOD(H2886-1,הגדרות!$E$7+1),MOD(H2886-1-הגדרות!$E$8*(הגדרות!$E$7+1),הגדרות!$E$7)))</f>
        <v/>
      </c>
      <c r="K2886" s="0" t="str">
        <f aca="false">IF(I2886="","",J2886*הגדרות!$E$6+I2886+1)</f>
        <v/>
      </c>
      <c r="L2886" s="0" t="str">
        <f aca="false">IF(K2886="","",MATCH(K2886,$F$2:$F$5001,0))</f>
        <v/>
      </c>
      <c r="M2886" s="0" t="str">
        <f aca="false">IF(I2886="","",INDEX(הגדרות!$A$2:$A$21,MOD(I2886+הגדרות!$E$9,הגדרות!$E$6)+1))</f>
        <v/>
      </c>
    </row>
    <row r="2887" customFormat="false" ht="15" hidden="false" customHeight="false" outlineLevel="0" collapsed="false">
      <c r="A2887" s="0" t="str">
        <f aca="false">IF('הדבקת לידים'!A2887="","",IF(ISNUMBER('הדבקת לידים'!A2887),IF(הגדרות!$E$2&gt;0,TEXT('הדבקת לידים'!A2887,REPT("0",הגדרות!$E$2)),TEXT('הדבקת לידים'!A2887,"0")),TRIM('הדבקת לידים'!A2887)))</f>
        <v/>
      </c>
      <c r="B2887" s="0" t="str">
        <f aca="false">IF('הדבקת לידים'!B2887="","",IF(ISNUMBER('הדבקת לידים'!B2887),IF(הגדרות!$E$3&gt;0,TEXT('הדבקת לידים'!B2887,REPT("0",הגדרות!$E$3)),TEXT('הדבקת לידים'!B2887,"0")),TRIM('הדבקת לידים'!B2887)))</f>
        <v/>
      </c>
      <c r="C2887" s="0" t="n">
        <f aca="false">IF(OR(A2887&lt;&gt;"",B2887&lt;&gt;""),1,0)</f>
        <v>0</v>
      </c>
      <c r="D2887" s="0" t="str">
        <f aca="false">IF(C2887=1,MOD(ABS(SIN(ROW()*12.9898+'הדבקת לידים'!$F$2*78.233+IFERROR(--RIGHT(A2887,6),LEN(A2887))*0.0137+IFERROR(--RIGHT(B2887,6),LEN(B2887))*0.0071))*43758.5453,1),"")</f>
        <v/>
      </c>
      <c r="E2887" s="0" t="str">
        <f aca="false">IF(C2887=1,INT(MOD(ABS(SIN(D2887*7919.123+ROW()*0.618+'הדבקת לידים'!$F$2*1.3))*43758.5453,1)*1000000)*10000+ROW(),"")</f>
        <v/>
      </c>
      <c r="F2887" s="0" t="str">
        <f aca="false">IF(E2887="","",RANK(E2887,$E$2:$E$5001,1))</f>
        <v/>
      </c>
      <c r="G2887" s="0" t="n">
        <f aca="false">IF(A2887="",0,IF(SUMPRODUCT(--($A$2:$A$5001=A2887))&gt;1,1,0))</f>
        <v>0</v>
      </c>
      <c r="H2887" s="0" t="n">
        <f aca="false">ROW()-1</f>
        <v>2886</v>
      </c>
      <c r="I2887" s="0" t="str">
        <f aca="false">IF(OR(הגדרות!$E$6=0,H2887&gt;הגדרות!$E$5),"",IF(H2887-1&lt;הגדרות!$E$8*(הגדרות!$E$7+1),INT((H2887-1)/(הגדרות!$E$7+1)),הגדרות!$E$8+INT((H2887-1-הגדרות!$E$8*(הגדרות!$E$7+1))/הגדרות!$E$7)))</f>
        <v/>
      </c>
      <c r="J2887" s="0" t="str">
        <f aca="false">IF(I2887="","",IF(H2887-1&lt;הגדרות!$E$8*(הגדרות!$E$7+1),MOD(H2887-1,הגדרות!$E$7+1),MOD(H2887-1-הגדרות!$E$8*(הגדרות!$E$7+1),הגדרות!$E$7)))</f>
        <v/>
      </c>
      <c r="K2887" s="0" t="str">
        <f aca="false">IF(I2887="","",J2887*הגדרות!$E$6+I2887+1)</f>
        <v/>
      </c>
      <c r="L2887" s="0" t="str">
        <f aca="false">IF(K2887="","",MATCH(K2887,$F$2:$F$5001,0))</f>
        <v/>
      </c>
      <c r="M2887" s="0" t="str">
        <f aca="false">IF(I2887="","",INDEX(הגדרות!$A$2:$A$21,MOD(I2887+הגדרות!$E$9,הגדרות!$E$6)+1))</f>
        <v/>
      </c>
    </row>
    <row r="2888" customFormat="false" ht="15" hidden="false" customHeight="false" outlineLevel="0" collapsed="false">
      <c r="A2888" s="0" t="str">
        <f aca="false">IF('הדבקת לידים'!A2888="","",IF(ISNUMBER('הדבקת לידים'!A2888),IF(הגדרות!$E$2&gt;0,TEXT('הדבקת לידים'!A2888,REPT("0",הגדרות!$E$2)),TEXT('הדבקת לידים'!A2888,"0")),TRIM('הדבקת לידים'!A2888)))</f>
        <v/>
      </c>
      <c r="B2888" s="0" t="str">
        <f aca="false">IF('הדבקת לידים'!B2888="","",IF(ISNUMBER('הדבקת לידים'!B2888),IF(הגדרות!$E$3&gt;0,TEXT('הדבקת לידים'!B2888,REPT("0",הגדרות!$E$3)),TEXT('הדבקת לידים'!B2888,"0")),TRIM('הדבקת לידים'!B2888)))</f>
        <v/>
      </c>
      <c r="C2888" s="0" t="n">
        <f aca="false">IF(OR(A2888&lt;&gt;"",B2888&lt;&gt;""),1,0)</f>
        <v>0</v>
      </c>
      <c r="D2888" s="0" t="str">
        <f aca="false">IF(C2888=1,MOD(ABS(SIN(ROW()*12.9898+'הדבקת לידים'!$F$2*78.233+IFERROR(--RIGHT(A2888,6),LEN(A2888))*0.0137+IFERROR(--RIGHT(B2888,6),LEN(B2888))*0.0071))*43758.5453,1),"")</f>
        <v/>
      </c>
      <c r="E2888" s="0" t="str">
        <f aca="false">IF(C2888=1,INT(MOD(ABS(SIN(D2888*7919.123+ROW()*0.618+'הדבקת לידים'!$F$2*1.3))*43758.5453,1)*1000000)*10000+ROW(),"")</f>
        <v/>
      </c>
      <c r="F2888" s="0" t="str">
        <f aca="false">IF(E2888="","",RANK(E2888,$E$2:$E$5001,1))</f>
        <v/>
      </c>
      <c r="G2888" s="0" t="n">
        <f aca="false">IF(A2888="",0,IF(SUMPRODUCT(--($A$2:$A$5001=A2888))&gt;1,1,0))</f>
        <v>0</v>
      </c>
      <c r="H2888" s="0" t="n">
        <f aca="false">ROW()-1</f>
        <v>2887</v>
      </c>
      <c r="I2888" s="0" t="str">
        <f aca="false">IF(OR(הגדרות!$E$6=0,H2888&gt;הגדרות!$E$5),"",IF(H2888-1&lt;הגדרות!$E$8*(הגדרות!$E$7+1),INT((H2888-1)/(הגדרות!$E$7+1)),הגדרות!$E$8+INT((H2888-1-הגדרות!$E$8*(הגדרות!$E$7+1))/הגדרות!$E$7)))</f>
        <v/>
      </c>
      <c r="J2888" s="0" t="str">
        <f aca="false">IF(I2888="","",IF(H2888-1&lt;הגדרות!$E$8*(הגדרות!$E$7+1),MOD(H2888-1,הגדרות!$E$7+1),MOD(H2888-1-הגדרות!$E$8*(הגדרות!$E$7+1),הגדרות!$E$7)))</f>
        <v/>
      </c>
      <c r="K2888" s="0" t="str">
        <f aca="false">IF(I2888="","",J2888*הגדרות!$E$6+I2888+1)</f>
        <v/>
      </c>
      <c r="L2888" s="0" t="str">
        <f aca="false">IF(K2888="","",MATCH(K2888,$F$2:$F$5001,0))</f>
        <v/>
      </c>
      <c r="M2888" s="0" t="str">
        <f aca="false">IF(I2888="","",INDEX(הגדרות!$A$2:$A$21,MOD(I2888+הגדרות!$E$9,הגדרות!$E$6)+1))</f>
        <v/>
      </c>
    </row>
    <row r="2889" customFormat="false" ht="15" hidden="false" customHeight="false" outlineLevel="0" collapsed="false">
      <c r="A2889" s="0" t="str">
        <f aca="false">IF('הדבקת לידים'!A2889="","",IF(ISNUMBER('הדבקת לידים'!A2889),IF(הגדרות!$E$2&gt;0,TEXT('הדבקת לידים'!A2889,REPT("0",הגדרות!$E$2)),TEXT('הדבקת לידים'!A2889,"0")),TRIM('הדבקת לידים'!A2889)))</f>
        <v/>
      </c>
      <c r="B2889" s="0" t="str">
        <f aca="false">IF('הדבקת לידים'!B2889="","",IF(ISNUMBER('הדבקת לידים'!B2889),IF(הגדרות!$E$3&gt;0,TEXT('הדבקת לידים'!B2889,REPT("0",הגדרות!$E$3)),TEXT('הדבקת לידים'!B2889,"0")),TRIM('הדבקת לידים'!B2889)))</f>
        <v/>
      </c>
      <c r="C2889" s="0" t="n">
        <f aca="false">IF(OR(A2889&lt;&gt;"",B2889&lt;&gt;""),1,0)</f>
        <v>0</v>
      </c>
      <c r="D2889" s="0" t="str">
        <f aca="false">IF(C2889=1,MOD(ABS(SIN(ROW()*12.9898+'הדבקת לידים'!$F$2*78.233+IFERROR(--RIGHT(A2889,6),LEN(A2889))*0.0137+IFERROR(--RIGHT(B2889,6),LEN(B2889))*0.0071))*43758.5453,1),"")</f>
        <v/>
      </c>
      <c r="E2889" s="0" t="str">
        <f aca="false">IF(C2889=1,INT(MOD(ABS(SIN(D2889*7919.123+ROW()*0.618+'הדבקת לידים'!$F$2*1.3))*43758.5453,1)*1000000)*10000+ROW(),"")</f>
        <v/>
      </c>
      <c r="F2889" s="0" t="str">
        <f aca="false">IF(E2889="","",RANK(E2889,$E$2:$E$5001,1))</f>
        <v/>
      </c>
      <c r="G2889" s="0" t="n">
        <f aca="false">IF(A2889="",0,IF(SUMPRODUCT(--($A$2:$A$5001=A2889))&gt;1,1,0))</f>
        <v>0</v>
      </c>
      <c r="H2889" s="0" t="n">
        <f aca="false">ROW()-1</f>
        <v>2888</v>
      </c>
      <c r="I2889" s="0" t="str">
        <f aca="false">IF(OR(הגדרות!$E$6=0,H2889&gt;הגדרות!$E$5),"",IF(H2889-1&lt;הגדרות!$E$8*(הגדרות!$E$7+1),INT((H2889-1)/(הגדרות!$E$7+1)),הגדרות!$E$8+INT((H2889-1-הגדרות!$E$8*(הגדרות!$E$7+1))/הגדרות!$E$7)))</f>
        <v/>
      </c>
      <c r="J2889" s="0" t="str">
        <f aca="false">IF(I2889="","",IF(H2889-1&lt;הגדרות!$E$8*(הגדרות!$E$7+1),MOD(H2889-1,הגדרות!$E$7+1),MOD(H2889-1-הגדרות!$E$8*(הגדרות!$E$7+1),הגדרות!$E$7)))</f>
        <v/>
      </c>
      <c r="K2889" s="0" t="str">
        <f aca="false">IF(I2889="","",J2889*הגדרות!$E$6+I2889+1)</f>
        <v/>
      </c>
      <c r="L2889" s="0" t="str">
        <f aca="false">IF(K2889="","",MATCH(K2889,$F$2:$F$5001,0))</f>
        <v/>
      </c>
      <c r="M2889" s="0" t="str">
        <f aca="false">IF(I2889="","",INDEX(הגדרות!$A$2:$A$21,MOD(I2889+הגדרות!$E$9,הגדרות!$E$6)+1))</f>
        <v/>
      </c>
    </row>
    <row r="2890" customFormat="false" ht="15" hidden="false" customHeight="false" outlineLevel="0" collapsed="false">
      <c r="A2890" s="0" t="str">
        <f aca="false">IF('הדבקת לידים'!A2890="","",IF(ISNUMBER('הדבקת לידים'!A2890),IF(הגדרות!$E$2&gt;0,TEXT('הדבקת לידים'!A2890,REPT("0",הגדרות!$E$2)),TEXT('הדבקת לידים'!A2890,"0")),TRIM('הדבקת לידים'!A2890)))</f>
        <v/>
      </c>
      <c r="B2890" s="0" t="str">
        <f aca="false">IF('הדבקת לידים'!B2890="","",IF(ISNUMBER('הדבקת לידים'!B2890),IF(הגדרות!$E$3&gt;0,TEXT('הדבקת לידים'!B2890,REPT("0",הגדרות!$E$3)),TEXT('הדבקת לידים'!B2890,"0")),TRIM('הדבקת לידים'!B2890)))</f>
        <v/>
      </c>
      <c r="C2890" s="0" t="n">
        <f aca="false">IF(OR(A2890&lt;&gt;"",B2890&lt;&gt;""),1,0)</f>
        <v>0</v>
      </c>
      <c r="D2890" s="0" t="str">
        <f aca="false">IF(C2890=1,MOD(ABS(SIN(ROW()*12.9898+'הדבקת לידים'!$F$2*78.233+IFERROR(--RIGHT(A2890,6),LEN(A2890))*0.0137+IFERROR(--RIGHT(B2890,6),LEN(B2890))*0.0071))*43758.5453,1),"")</f>
        <v/>
      </c>
      <c r="E2890" s="0" t="str">
        <f aca="false">IF(C2890=1,INT(MOD(ABS(SIN(D2890*7919.123+ROW()*0.618+'הדבקת לידים'!$F$2*1.3))*43758.5453,1)*1000000)*10000+ROW(),"")</f>
        <v/>
      </c>
      <c r="F2890" s="0" t="str">
        <f aca="false">IF(E2890="","",RANK(E2890,$E$2:$E$5001,1))</f>
        <v/>
      </c>
      <c r="G2890" s="0" t="n">
        <f aca="false">IF(A2890="",0,IF(SUMPRODUCT(--($A$2:$A$5001=A2890))&gt;1,1,0))</f>
        <v>0</v>
      </c>
      <c r="H2890" s="0" t="n">
        <f aca="false">ROW()-1</f>
        <v>2889</v>
      </c>
      <c r="I2890" s="0" t="str">
        <f aca="false">IF(OR(הגדרות!$E$6=0,H2890&gt;הגדרות!$E$5),"",IF(H2890-1&lt;הגדרות!$E$8*(הגדרות!$E$7+1),INT((H2890-1)/(הגדרות!$E$7+1)),הגדרות!$E$8+INT((H2890-1-הגדרות!$E$8*(הגדרות!$E$7+1))/הגדרות!$E$7)))</f>
        <v/>
      </c>
      <c r="J2890" s="0" t="str">
        <f aca="false">IF(I2890="","",IF(H2890-1&lt;הגדרות!$E$8*(הגדרות!$E$7+1),MOD(H2890-1,הגדרות!$E$7+1),MOD(H2890-1-הגדרות!$E$8*(הגדרות!$E$7+1),הגדרות!$E$7)))</f>
        <v/>
      </c>
      <c r="K2890" s="0" t="str">
        <f aca="false">IF(I2890="","",J2890*הגדרות!$E$6+I2890+1)</f>
        <v/>
      </c>
      <c r="L2890" s="0" t="str">
        <f aca="false">IF(K2890="","",MATCH(K2890,$F$2:$F$5001,0))</f>
        <v/>
      </c>
      <c r="M2890" s="0" t="str">
        <f aca="false">IF(I2890="","",INDEX(הגדרות!$A$2:$A$21,MOD(I2890+הגדרות!$E$9,הגדרות!$E$6)+1))</f>
        <v/>
      </c>
    </row>
    <row r="2891" customFormat="false" ht="15" hidden="false" customHeight="false" outlineLevel="0" collapsed="false">
      <c r="A2891" s="0" t="str">
        <f aca="false">IF('הדבקת לידים'!A2891="","",IF(ISNUMBER('הדבקת לידים'!A2891),IF(הגדרות!$E$2&gt;0,TEXT('הדבקת לידים'!A2891,REPT("0",הגדרות!$E$2)),TEXT('הדבקת לידים'!A2891,"0")),TRIM('הדבקת לידים'!A2891)))</f>
        <v/>
      </c>
      <c r="B2891" s="0" t="str">
        <f aca="false">IF('הדבקת לידים'!B2891="","",IF(ISNUMBER('הדבקת לידים'!B2891),IF(הגדרות!$E$3&gt;0,TEXT('הדבקת לידים'!B2891,REPT("0",הגדרות!$E$3)),TEXT('הדבקת לידים'!B2891,"0")),TRIM('הדבקת לידים'!B2891)))</f>
        <v/>
      </c>
      <c r="C2891" s="0" t="n">
        <f aca="false">IF(OR(A2891&lt;&gt;"",B2891&lt;&gt;""),1,0)</f>
        <v>0</v>
      </c>
      <c r="D2891" s="0" t="str">
        <f aca="false">IF(C2891=1,MOD(ABS(SIN(ROW()*12.9898+'הדבקת לידים'!$F$2*78.233+IFERROR(--RIGHT(A2891,6),LEN(A2891))*0.0137+IFERROR(--RIGHT(B2891,6),LEN(B2891))*0.0071))*43758.5453,1),"")</f>
        <v/>
      </c>
      <c r="E2891" s="0" t="str">
        <f aca="false">IF(C2891=1,INT(MOD(ABS(SIN(D2891*7919.123+ROW()*0.618+'הדבקת לידים'!$F$2*1.3))*43758.5453,1)*1000000)*10000+ROW(),"")</f>
        <v/>
      </c>
      <c r="F2891" s="0" t="str">
        <f aca="false">IF(E2891="","",RANK(E2891,$E$2:$E$5001,1))</f>
        <v/>
      </c>
      <c r="G2891" s="0" t="n">
        <f aca="false">IF(A2891="",0,IF(SUMPRODUCT(--($A$2:$A$5001=A2891))&gt;1,1,0))</f>
        <v>0</v>
      </c>
      <c r="H2891" s="0" t="n">
        <f aca="false">ROW()-1</f>
        <v>2890</v>
      </c>
      <c r="I2891" s="0" t="str">
        <f aca="false">IF(OR(הגדרות!$E$6=0,H2891&gt;הגדרות!$E$5),"",IF(H2891-1&lt;הגדרות!$E$8*(הגדרות!$E$7+1),INT((H2891-1)/(הגדרות!$E$7+1)),הגדרות!$E$8+INT((H2891-1-הגדרות!$E$8*(הגדרות!$E$7+1))/הגדרות!$E$7)))</f>
        <v/>
      </c>
      <c r="J2891" s="0" t="str">
        <f aca="false">IF(I2891="","",IF(H2891-1&lt;הגדרות!$E$8*(הגדרות!$E$7+1),MOD(H2891-1,הגדרות!$E$7+1),MOD(H2891-1-הגדרות!$E$8*(הגדרות!$E$7+1),הגדרות!$E$7)))</f>
        <v/>
      </c>
      <c r="K2891" s="0" t="str">
        <f aca="false">IF(I2891="","",J2891*הגדרות!$E$6+I2891+1)</f>
        <v/>
      </c>
      <c r="L2891" s="0" t="str">
        <f aca="false">IF(K2891="","",MATCH(K2891,$F$2:$F$5001,0))</f>
        <v/>
      </c>
      <c r="M2891" s="0" t="str">
        <f aca="false">IF(I2891="","",INDEX(הגדרות!$A$2:$A$21,MOD(I2891+הגדרות!$E$9,הגדרות!$E$6)+1))</f>
        <v/>
      </c>
    </row>
    <row r="2892" customFormat="false" ht="15" hidden="false" customHeight="false" outlineLevel="0" collapsed="false">
      <c r="A2892" s="0" t="str">
        <f aca="false">IF('הדבקת לידים'!A2892="","",IF(ISNUMBER('הדבקת לידים'!A2892),IF(הגדרות!$E$2&gt;0,TEXT('הדבקת לידים'!A2892,REPT("0",הגדרות!$E$2)),TEXT('הדבקת לידים'!A2892,"0")),TRIM('הדבקת לידים'!A2892)))</f>
        <v/>
      </c>
      <c r="B2892" s="0" t="str">
        <f aca="false">IF('הדבקת לידים'!B2892="","",IF(ISNUMBER('הדבקת לידים'!B2892),IF(הגדרות!$E$3&gt;0,TEXT('הדבקת לידים'!B2892,REPT("0",הגדרות!$E$3)),TEXT('הדבקת לידים'!B2892,"0")),TRIM('הדבקת לידים'!B2892)))</f>
        <v/>
      </c>
      <c r="C2892" s="0" t="n">
        <f aca="false">IF(OR(A2892&lt;&gt;"",B2892&lt;&gt;""),1,0)</f>
        <v>0</v>
      </c>
      <c r="D2892" s="0" t="str">
        <f aca="false">IF(C2892=1,MOD(ABS(SIN(ROW()*12.9898+'הדבקת לידים'!$F$2*78.233+IFERROR(--RIGHT(A2892,6),LEN(A2892))*0.0137+IFERROR(--RIGHT(B2892,6),LEN(B2892))*0.0071))*43758.5453,1),"")</f>
        <v/>
      </c>
      <c r="E2892" s="0" t="str">
        <f aca="false">IF(C2892=1,INT(MOD(ABS(SIN(D2892*7919.123+ROW()*0.618+'הדבקת לידים'!$F$2*1.3))*43758.5453,1)*1000000)*10000+ROW(),"")</f>
        <v/>
      </c>
      <c r="F2892" s="0" t="str">
        <f aca="false">IF(E2892="","",RANK(E2892,$E$2:$E$5001,1))</f>
        <v/>
      </c>
      <c r="G2892" s="0" t="n">
        <f aca="false">IF(A2892="",0,IF(SUMPRODUCT(--($A$2:$A$5001=A2892))&gt;1,1,0))</f>
        <v>0</v>
      </c>
      <c r="H2892" s="0" t="n">
        <f aca="false">ROW()-1</f>
        <v>2891</v>
      </c>
      <c r="I2892" s="0" t="str">
        <f aca="false">IF(OR(הגדרות!$E$6=0,H2892&gt;הגדרות!$E$5),"",IF(H2892-1&lt;הגדרות!$E$8*(הגדרות!$E$7+1),INT((H2892-1)/(הגדרות!$E$7+1)),הגדרות!$E$8+INT((H2892-1-הגדרות!$E$8*(הגדרות!$E$7+1))/הגדרות!$E$7)))</f>
        <v/>
      </c>
      <c r="J2892" s="0" t="str">
        <f aca="false">IF(I2892="","",IF(H2892-1&lt;הגדרות!$E$8*(הגדרות!$E$7+1),MOD(H2892-1,הגדרות!$E$7+1),MOD(H2892-1-הגדרות!$E$8*(הגדרות!$E$7+1),הגדרות!$E$7)))</f>
        <v/>
      </c>
      <c r="K2892" s="0" t="str">
        <f aca="false">IF(I2892="","",J2892*הגדרות!$E$6+I2892+1)</f>
        <v/>
      </c>
      <c r="L2892" s="0" t="str">
        <f aca="false">IF(K2892="","",MATCH(K2892,$F$2:$F$5001,0))</f>
        <v/>
      </c>
      <c r="M2892" s="0" t="str">
        <f aca="false">IF(I2892="","",INDEX(הגדרות!$A$2:$A$21,MOD(I2892+הגדרות!$E$9,הגדרות!$E$6)+1))</f>
        <v/>
      </c>
    </row>
    <row r="2893" customFormat="false" ht="15" hidden="false" customHeight="false" outlineLevel="0" collapsed="false">
      <c r="A2893" s="0" t="str">
        <f aca="false">IF('הדבקת לידים'!A2893="","",IF(ISNUMBER('הדבקת לידים'!A2893),IF(הגדרות!$E$2&gt;0,TEXT('הדבקת לידים'!A2893,REPT("0",הגדרות!$E$2)),TEXT('הדבקת לידים'!A2893,"0")),TRIM('הדבקת לידים'!A2893)))</f>
        <v/>
      </c>
      <c r="B2893" s="0" t="str">
        <f aca="false">IF('הדבקת לידים'!B2893="","",IF(ISNUMBER('הדבקת לידים'!B2893),IF(הגדרות!$E$3&gt;0,TEXT('הדבקת לידים'!B2893,REPT("0",הגדרות!$E$3)),TEXT('הדבקת לידים'!B2893,"0")),TRIM('הדבקת לידים'!B2893)))</f>
        <v/>
      </c>
      <c r="C2893" s="0" t="n">
        <f aca="false">IF(OR(A2893&lt;&gt;"",B2893&lt;&gt;""),1,0)</f>
        <v>0</v>
      </c>
      <c r="D2893" s="0" t="str">
        <f aca="false">IF(C2893=1,MOD(ABS(SIN(ROW()*12.9898+'הדבקת לידים'!$F$2*78.233+IFERROR(--RIGHT(A2893,6),LEN(A2893))*0.0137+IFERROR(--RIGHT(B2893,6),LEN(B2893))*0.0071))*43758.5453,1),"")</f>
        <v/>
      </c>
      <c r="E2893" s="0" t="str">
        <f aca="false">IF(C2893=1,INT(MOD(ABS(SIN(D2893*7919.123+ROW()*0.618+'הדבקת לידים'!$F$2*1.3))*43758.5453,1)*1000000)*10000+ROW(),"")</f>
        <v/>
      </c>
      <c r="F2893" s="0" t="str">
        <f aca="false">IF(E2893="","",RANK(E2893,$E$2:$E$5001,1))</f>
        <v/>
      </c>
      <c r="G2893" s="0" t="n">
        <f aca="false">IF(A2893="",0,IF(SUMPRODUCT(--($A$2:$A$5001=A2893))&gt;1,1,0))</f>
        <v>0</v>
      </c>
      <c r="H2893" s="0" t="n">
        <f aca="false">ROW()-1</f>
        <v>2892</v>
      </c>
      <c r="I2893" s="0" t="str">
        <f aca="false">IF(OR(הגדרות!$E$6=0,H2893&gt;הגדרות!$E$5),"",IF(H2893-1&lt;הגדרות!$E$8*(הגדרות!$E$7+1),INT((H2893-1)/(הגדרות!$E$7+1)),הגדרות!$E$8+INT((H2893-1-הגדרות!$E$8*(הגדרות!$E$7+1))/הגדרות!$E$7)))</f>
        <v/>
      </c>
      <c r="J2893" s="0" t="str">
        <f aca="false">IF(I2893="","",IF(H2893-1&lt;הגדרות!$E$8*(הגדרות!$E$7+1),MOD(H2893-1,הגדרות!$E$7+1),MOD(H2893-1-הגדרות!$E$8*(הגדרות!$E$7+1),הגדרות!$E$7)))</f>
        <v/>
      </c>
      <c r="K2893" s="0" t="str">
        <f aca="false">IF(I2893="","",J2893*הגדרות!$E$6+I2893+1)</f>
        <v/>
      </c>
      <c r="L2893" s="0" t="str">
        <f aca="false">IF(K2893="","",MATCH(K2893,$F$2:$F$5001,0))</f>
        <v/>
      </c>
      <c r="M2893" s="0" t="str">
        <f aca="false">IF(I2893="","",INDEX(הגדרות!$A$2:$A$21,MOD(I2893+הגדרות!$E$9,הגדרות!$E$6)+1))</f>
        <v/>
      </c>
    </row>
    <row r="2894" customFormat="false" ht="15" hidden="false" customHeight="false" outlineLevel="0" collapsed="false">
      <c r="A2894" s="0" t="str">
        <f aca="false">IF('הדבקת לידים'!A2894="","",IF(ISNUMBER('הדבקת לידים'!A2894),IF(הגדרות!$E$2&gt;0,TEXT('הדבקת לידים'!A2894,REPT("0",הגדרות!$E$2)),TEXT('הדבקת לידים'!A2894,"0")),TRIM('הדבקת לידים'!A2894)))</f>
        <v/>
      </c>
      <c r="B2894" s="0" t="str">
        <f aca="false">IF('הדבקת לידים'!B2894="","",IF(ISNUMBER('הדבקת לידים'!B2894),IF(הגדרות!$E$3&gt;0,TEXT('הדבקת לידים'!B2894,REPT("0",הגדרות!$E$3)),TEXT('הדבקת לידים'!B2894,"0")),TRIM('הדבקת לידים'!B2894)))</f>
        <v/>
      </c>
      <c r="C2894" s="0" t="n">
        <f aca="false">IF(OR(A2894&lt;&gt;"",B2894&lt;&gt;""),1,0)</f>
        <v>0</v>
      </c>
      <c r="D2894" s="0" t="str">
        <f aca="false">IF(C2894=1,MOD(ABS(SIN(ROW()*12.9898+'הדבקת לידים'!$F$2*78.233+IFERROR(--RIGHT(A2894,6),LEN(A2894))*0.0137+IFERROR(--RIGHT(B2894,6),LEN(B2894))*0.0071))*43758.5453,1),"")</f>
        <v/>
      </c>
      <c r="E2894" s="0" t="str">
        <f aca="false">IF(C2894=1,INT(MOD(ABS(SIN(D2894*7919.123+ROW()*0.618+'הדבקת לידים'!$F$2*1.3))*43758.5453,1)*1000000)*10000+ROW(),"")</f>
        <v/>
      </c>
      <c r="F2894" s="0" t="str">
        <f aca="false">IF(E2894="","",RANK(E2894,$E$2:$E$5001,1))</f>
        <v/>
      </c>
      <c r="G2894" s="0" t="n">
        <f aca="false">IF(A2894="",0,IF(SUMPRODUCT(--($A$2:$A$5001=A2894))&gt;1,1,0))</f>
        <v>0</v>
      </c>
      <c r="H2894" s="0" t="n">
        <f aca="false">ROW()-1</f>
        <v>2893</v>
      </c>
      <c r="I2894" s="0" t="str">
        <f aca="false">IF(OR(הגדרות!$E$6=0,H2894&gt;הגדרות!$E$5),"",IF(H2894-1&lt;הגדרות!$E$8*(הגדרות!$E$7+1),INT((H2894-1)/(הגדרות!$E$7+1)),הגדרות!$E$8+INT((H2894-1-הגדרות!$E$8*(הגדרות!$E$7+1))/הגדרות!$E$7)))</f>
        <v/>
      </c>
      <c r="J2894" s="0" t="str">
        <f aca="false">IF(I2894="","",IF(H2894-1&lt;הגדרות!$E$8*(הגדרות!$E$7+1),MOD(H2894-1,הגדרות!$E$7+1),MOD(H2894-1-הגדרות!$E$8*(הגדרות!$E$7+1),הגדרות!$E$7)))</f>
        <v/>
      </c>
      <c r="K2894" s="0" t="str">
        <f aca="false">IF(I2894="","",J2894*הגדרות!$E$6+I2894+1)</f>
        <v/>
      </c>
      <c r="L2894" s="0" t="str">
        <f aca="false">IF(K2894="","",MATCH(K2894,$F$2:$F$5001,0))</f>
        <v/>
      </c>
      <c r="M2894" s="0" t="str">
        <f aca="false">IF(I2894="","",INDEX(הגדרות!$A$2:$A$21,MOD(I2894+הגדרות!$E$9,הגדרות!$E$6)+1))</f>
        <v/>
      </c>
    </row>
    <row r="2895" customFormat="false" ht="15" hidden="false" customHeight="false" outlineLevel="0" collapsed="false">
      <c r="A2895" s="0" t="str">
        <f aca="false">IF('הדבקת לידים'!A2895="","",IF(ISNUMBER('הדבקת לידים'!A2895),IF(הגדרות!$E$2&gt;0,TEXT('הדבקת לידים'!A2895,REPT("0",הגדרות!$E$2)),TEXT('הדבקת לידים'!A2895,"0")),TRIM('הדבקת לידים'!A2895)))</f>
        <v/>
      </c>
      <c r="B2895" s="0" t="str">
        <f aca="false">IF('הדבקת לידים'!B2895="","",IF(ISNUMBER('הדבקת לידים'!B2895),IF(הגדרות!$E$3&gt;0,TEXT('הדבקת לידים'!B2895,REPT("0",הגדרות!$E$3)),TEXT('הדבקת לידים'!B2895,"0")),TRIM('הדבקת לידים'!B2895)))</f>
        <v/>
      </c>
      <c r="C2895" s="0" t="n">
        <f aca="false">IF(OR(A2895&lt;&gt;"",B2895&lt;&gt;""),1,0)</f>
        <v>0</v>
      </c>
      <c r="D2895" s="0" t="str">
        <f aca="false">IF(C2895=1,MOD(ABS(SIN(ROW()*12.9898+'הדבקת לידים'!$F$2*78.233+IFERROR(--RIGHT(A2895,6),LEN(A2895))*0.0137+IFERROR(--RIGHT(B2895,6),LEN(B2895))*0.0071))*43758.5453,1),"")</f>
        <v/>
      </c>
      <c r="E2895" s="0" t="str">
        <f aca="false">IF(C2895=1,INT(MOD(ABS(SIN(D2895*7919.123+ROW()*0.618+'הדבקת לידים'!$F$2*1.3))*43758.5453,1)*1000000)*10000+ROW(),"")</f>
        <v/>
      </c>
      <c r="F2895" s="0" t="str">
        <f aca="false">IF(E2895="","",RANK(E2895,$E$2:$E$5001,1))</f>
        <v/>
      </c>
      <c r="G2895" s="0" t="n">
        <f aca="false">IF(A2895="",0,IF(SUMPRODUCT(--($A$2:$A$5001=A2895))&gt;1,1,0))</f>
        <v>0</v>
      </c>
      <c r="H2895" s="0" t="n">
        <f aca="false">ROW()-1</f>
        <v>2894</v>
      </c>
      <c r="I2895" s="0" t="str">
        <f aca="false">IF(OR(הגדרות!$E$6=0,H2895&gt;הגדרות!$E$5),"",IF(H2895-1&lt;הגדרות!$E$8*(הגדרות!$E$7+1),INT((H2895-1)/(הגדרות!$E$7+1)),הגדרות!$E$8+INT((H2895-1-הגדרות!$E$8*(הגדרות!$E$7+1))/הגדרות!$E$7)))</f>
        <v/>
      </c>
      <c r="J2895" s="0" t="str">
        <f aca="false">IF(I2895="","",IF(H2895-1&lt;הגדרות!$E$8*(הגדרות!$E$7+1),MOD(H2895-1,הגדרות!$E$7+1),MOD(H2895-1-הגדרות!$E$8*(הגדרות!$E$7+1),הגדרות!$E$7)))</f>
        <v/>
      </c>
      <c r="K2895" s="0" t="str">
        <f aca="false">IF(I2895="","",J2895*הגדרות!$E$6+I2895+1)</f>
        <v/>
      </c>
      <c r="L2895" s="0" t="str">
        <f aca="false">IF(K2895="","",MATCH(K2895,$F$2:$F$5001,0))</f>
        <v/>
      </c>
      <c r="M2895" s="0" t="str">
        <f aca="false">IF(I2895="","",INDEX(הגדרות!$A$2:$A$21,MOD(I2895+הגדרות!$E$9,הגדרות!$E$6)+1))</f>
        <v/>
      </c>
    </row>
    <row r="2896" customFormat="false" ht="15" hidden="false" customHeight="false" outlineLevel="0" collapsed="false">
      <c r="A2896" s="0" t="str">
        <f aca="false">IF('הדבקת לידים'!A2896="","",IF(ISNUMBER('הדבקת לידים'!A2896),IF(הגדרות!$E$2&gt;0,TEXT('הדבקת לידים'!A2896,REPT("0",הגדרות!$E$2)),TEXT('הדבקת לידים'!A2896,"0")),TRIM('הדבקת לידים'!A2896)))</f>
        <v/>
      </c>
      <c r="B2896" s="0" t="str">
        <f aca="false">IF('הדבקת לידים'!B2896="","",IF(ISNUMBER('הדבקת לידים'!B2896),IF(הגדרות!$E$3&gt;0,TEXT('הדבקת לידים'!B2896,REPT("0",הגדרות!$E$3)),TEXT('הדבקת לידים'!B2896,"0")),TRIM('הדבקת לידים'!B2896)))</f>
        <v/>
      </c>
      <c r="C2896" s="0" t="n">
        <f aca="false">IF(OR(A2896&lt;&gt;"",B2896&lt;&gt;""),1,0)</f>
        <v>0</v>
      </c>
      <c r="D2896" s="0" t="str">
        <f aca="false">IF(C2896=1,MOD(ABS(SIN(ROW()*12.9898+'הדבקת לידים'!$F$2*78.233+IFERROR(--RIGHT(A2896,6),LEN(A2896))*0.0137+IFERROR(--RIGHT(B2896,6),LEN(B2896))*0.0071))*43758.5453,1),"")</f>
        <v/>
      </c>
      <c r="E2896" s="0" t="str">
        <f aca="false">IF(C2896=1,INT(MOD(ABS(SIN(D2896*7919.123+ROW()*0.618+'הדבקת לידים'!$F$2*1.3))*43758.5453,1)*1000000)*10000+ROW(),"")</f>
        <v/>
      </c>
      <c r="F2896" s="0" t="str">
        <f aca="false">IF(E2896="","",RANK(E2896,$E$2:$E$5001,1))</f>
        <v/>
      </c>
      <c r="G2896" s="0" t="n">
        <f aca="false">IF(A2896="",0,IF(SUMPRODUCT(--($A$2:$A$5001=A2896))&gt;1,1,0))</f>
        <v>0</v>
      </c>
      <c r="H2896" s="0" t="n">
        <f aca="false">ROW()-1</f>
        <v>2895</v>
      </c>
      <c r="I2896" s="0" t="str">
        <f aca="false">IF(OR(הגדרות!$E$6=0,H2896&gt;הגדרות!$E$5),"",IF(H2896-1&lt;הגדרות!$E$8*(הגדרות!$E$7+1),INT((H2896-1)/(הגדרות!$E$7+1)),הגדרות!$E$8+INT((H2896-1-הגדרות!$E$8*(הגדרות!$E$7+1))/הגדרות!$E$7)))</f>
        <v/>
      </c>
      <c r="J2896" s="0" t="str">
        <f aca="false">IF(I2896="","",IF(H2896-1&lt;הגדרות!$E$8*(הגדרות!$E$7+1),MOD(H2896-1,הגדרות!$E$7+1),MOD(H2896-1-הגדרות!$E$8*(הגדרות!$E$7+1),הגדרות!$E$7)))</f>
        <v/>
      </c>
      <c r="K2896" s="0" t="str">
        <f aca="false">IF(I2896="","",J2896*הגדרות!$E$6+I2896+1)</f>
        <v/>
      </c>
      <c r="L2896" s="0" t="str">
        <f aca="false">IF(K2896="","",MATCH(K2896,$F$2:$F$5001,0))</f>
        <v/>
      </c>
      <c r="M2896" s="0" t="str">
        <f aca="false">IF(I2896="","",INDEX(הגדרות!$A$2:$A$21,MOD(I2896+הגדרות!$E$9,הגדרות!$E$6)+1))</f>
        <v/>
      </c>
    </row>
    <row r="2897" customFormat="false" ht="15" hidden="false" customHeight="false" outlineLevel="0" collapsed="false">
      <c r="A2897" s="0" t="str">
        <f aca="false">IF('הדבקת לידים'!A2897="","",IF(ISNUMBER('הדבקת לידים'!A2897),IF(הגדרות!$E$2&gt;0,TEXT('הדבקת לידים'!A2897,REPT("0",הגדרות!$E$2)),TEXT('הדבקת לידים'!A2897,"0")),TRIM('הדבקת לידים'!A2897)))</f>
        <v/>
      </c>
      <c r="B2897" s="0" t="str">
        <f aca="false">IF('הדבקת לידים'!B2897="","",IF(ISNUMBER('הדבקת לידים'!B2897),IF(הגדרות!$E$3&gt;0,TEXT('הדבקת לידים'!B2897,REPT("0",הגדרות!$E$3)),TEXT('הדבקת לידים'!B2897,"0")),TRIM('הדבקת לידים'!B2897)))</f>
        <v/>
      </c>
      <c r="C2897" s="0" t="n">
        <f aca="false">IF(OR(A2897&lt;&gt;"",B2897&lt;&gt;""),1,0)</f>
        <v>0</v>
      </c>
      <c r="D2897" s="0" t="str">
        <f aca="false">IF(C2897=1,MOD(ABS(SIN(ROW()*12.9898+'הדבקת לידים'!$F$2*78.233+IFERROR(--RIGHT(A2897,6),LEN(A2897))*0.0137+IFERROR(--RIGHT(B2897,6),LEN(B2897))*0.0071))*43758.5453,1),"")</f>
        <v/>
      </c>
      <c r="E2897" s="0" t="str">
        <f aca="false">IF(C2897=1,INT(MOD(ABS(SIN(D2897*7919.123+ROW()*0.618+'הדבקת לידים'!$F$2*1.3))*43758.5453,1)*1000000)*10000+ROW(),"")</f>
        <v/>
      </c>
      <c r="F2897" s="0" t="str">
        <f aca="false">IF(E2897="","",RANK(E2897,$E$2:$E$5001,1))</f>
        <v/>
      </c>
      <c r="G2897" s="0" t="n">
        <f aca="false">IF(A2897="",0,IF(SUMPRODUCT(--($A$2:$A$5001=A2897))&gt;1,1,0))</f>
        <v>0</v>
      </c>
      <c r="H2897" s="0" t="n">
        <f aca="false">ROW()-1</f>
        <v>2896</v>
      </c>
      <c r="I2897" s="0" t="str">
        <f aca="false">IF(OR(הגדרות!$E$6=0,H2897&gt;הגדרות!$E$5),"",IF(H2897-1&lt;הגדרות!$E$8*(הגדרות!$E$7+1),INT((H2897-1)/(הגדרות!$E$7+1)),הגדרות!$E$8+INT((H2897-1-הגדרות!$E$8*(הגדרות!$E$7+1))/הגדרות!$E$7)))</f>
        <v/>
      </c>
      <c r="J2897" s="0" t="str">
        <f aca="false">IF(I2897="","",IF(H2897-1&lt;הגדרות!$E$8*(הגדרות!$E$7+1),MOD(H2897-1,הגדרות!$E$7+1),MOD(H2897-1-הגדרות!$E$8*(הגדרות!$E$7+1),הגדרות!$E$7)))</f>
        <v/>
      </c>
      <c r="K2897" s="0" t="str">
        <f aca="false">IF(I2897="","",J2897*הגדרות!$E$6+I2897+1)</f>
        <v/>
      </c>
      <c r="L2897" s="0" t="str">
        <f aca="false">IF(K2897="","",MATCH(K2897,$F$2:$F$5001,0))</f>
        <v/>
      </c>
      <c r="M2897" s="0" t="str">
        <f aca="false">IF(I2897="","",INDEX(הגדרות!$A$2:$A$21,MOD(I2897+הגדרות!$E$9,הגדרות!$E$6)+1))</f>
        <v/>
      </c>
    </row>
    <row r="2898" customFormat="false" ht="15" hidden="false" customHeight="false" outlineLevel="0" collapsed="false">
      <c r="A2898" s="0" t="str">
        <f aca="false">IF('הדבקת לידים'!A2898="","",IF(ISNUMBER('הדבקת לידים'!A2898),IF(הגדרות!$E$2&gt;0,TEXT('הדבקת לידים'!A2898,REPT("0",הגדרות!$E$2)),TEXT('הדבקת לידים'!A2898,"0")),TRIM('הדבקת לידים'!A2898)))</f>
        <v/>
      </c>
      <c r="B2898" s="0" t="str">
        <f aca="false">IF('הדבקת לידים'!B2898="","",IF(ISNUMBER('הדבקת לידים'!B2898),IF(הגדרות!$E$3&gt;0,TEXT('הדבקת לידים'!B2898,REPT("0",הגדרות!$E$3)),TEXT('הדבקת לידים'!B2898,"0")),TRIM('הדבקת לידים'!B2898)))</f>
        <v/>
      </c>
      <c r="C2898" s="0" t="n">
        <f aca="false">IF(OR(A2898&lt;&gt;"",B2898&lt;&gt;""),1,0)</f>
        <v>0</v>
      </c>
      <c r="D2898" s="0" t="str">
        <f aca="false">IF(C2898=1,MOD(ABS(SIN(ROW()*12.9898+'הדבקת לידים'!$F$2*78.233+IFERROR(--RIGHT(A2898,6),LEN(A2898))*0.0137+IFERROR(--RIGHT(B2898,6),LEN(B2898))*0.0071))*43758.5453,1),"")</f>
        <v/>
      </c>
      <c r="E2898" s="0" t="str">
        <f aca="false">IF(C2898=1,INT(MOD(ABS(SIN(D2898*7919.123+ROW()*0.618+'הדבקת לידים'!$F$2*1.3))*43758.5453,1)*1000000)*10000+ROW(),"")</f>
        <v/>
      </c>
      <c r="F2898" s="0" t="str">
        <f aca="false">IF(E2898="","",RANK(E2898,$E$2:$E$5001,1))</f>
        <v/>
      </c>
      <c r="G2898" s="0" t="n">
        <f aca="false">IF(A2898="",0,IF(SUMPRODUCT(--($A$2:$A$5001=A2898))&gt;1,1,0))</f>
        <v>0</v>
      </c>
      <c r="H2898" s="0" t="n">
        <f aca="false">ROW()-1</f>
        <v>2897</v>
      </c>
      <c r="I2898" s="0" t="str">
        <f aca="false">IF(OR(הגדרות!$E$6=0,H2898&gt;הגדרות!$E$5),"",IF(H2898-1&lt;הגדרות!$E$8*(הגדרות!$E$7+1),INT((H2898-1)/(הגדרות!$E$7+1)),הגדרות!$E$8+INT((H2898-1-הגדרות!$E$8*(הגדרות!$E$7+1))/הגדרות!$E$7)))</f>
        <v/>
      </c>
      <c r="J2898" s="0" t="str">
        <f aca="false">IF(I2898="","",IF(H2898-1&lt;הגדרות!$E$8*(הגדרות!$E$7+1),MOD(H2898-1,הגדרות!$E$7+1),MOD(H2898-1-הגדרות!$E$8*(הגדרות!$E$7+1),הגדרות!$E$7)))</f>
        <v/>
      </c>
      <c r="K2898" s="0" t="str">
        <f aca="false">IF(I2898="","",J2898*הגדרות!$E$6+I2898+1)</f>
        <v/>
      </c>
      <c r="L2898" s="0" t="str">
        <f aca="false">IF(K2898="","",MATCH(K2898,$F$2:$F$5001,0))</f>
        <v/>
      </c>
      <c r="M2898" s="0" t="str">
        <f aca="false">IF(I2898="","",INDEX(הגדרות!$A$2:$A$21,MOD(I2898+הגדרות!$E$9,הגדרות!$E$6)+1))</f>
        <v/>
      </c>
    </row>
    <row r="2899" customFormat="false" ht="15" hidden="false" customHeight="false" outlineLevel="0" collapsed="false">
      <c r="A2899" s="0" t="str">
        <f aca="false">IF('הדבקת לידים'!A2899="","",IF(ISNUMBER('הדבקת לידים'!A2899),IF(הגדרות!$E$2&gt;0,TEXT('הדבקת לידים'!A2899,REPT("0",הגדרות!$E$2)),TEXT('הדבקת לידים'!A2899,"0")),TRIM('הדבקת לידים'!A2899)))</f>
        <v/>
      </c>
      <c r="B2899" s="0" t="str">
        <f aca="false">IF('הדבקת לידים'!B2899="","",IF(ISNUMBER('הדבקת לידים'!B2899),IF(הגדרות!$E$3&gt;0,TEXT('הדבקת לידים'!B2899,REPT("0",הגדרות!$E$3)),TEXT('הדבקת לידים'!B2899,"0")),TRIM('הדבקת לידים'!B2899)))</f>
        <v/>
      </c>
      <c r="C2899" s="0" t="n">
        <f aca="false">IF(OR(A2899&lt;&gt;"",B2899&lt;&gt;""),1,0)</f>
        <v>0</v>
      </c>
      <c r="D2899" s="0" t="str">
        <f aca="false">IF(C2899=1,MOD(ABS(SIN(ROW()*12.9898+'הדבקת לידים'!$F$2*78.233+IFERROR(--RIGHT(A2899,6),LEN(A2899))*0.0137+IFERROR(--RIGHT(B2899,6),LEN(B2899))*0.0071))*43758.5453,1),"")</f>
        <v/>
      </c>
      <c r="E2899" s="0" t="str">
        <f aca="false">IF(C2899=1,INT(MOD(ABS(SIN(D2899*7919.123+ROW()*0.618+'הדבקת לידים'!$F$2*1.3))*43758.5453,1)*1000000)*10000+ROW(),"")</f>
        <v/>
      </c>
      <c r="F2899" s="0" t="str">
        <f aca="false">IF(E2899="","",RANK(E2899,$E$2:$E$5001,1))</f>
        <v/>
      </c>
      <c r="G2899" s="0" t="n">
        <f aca="false">IF(A2899="",0,IF(SUMPRODUCT(--($A$2:$A$5001=A2899))&gt;1,1,0))</f>
        <v>0</v>
      </c>
      <c r="H2899" s="0" t="n">
        <f aca="false">ROW()-1</f>
        <v>2898</v>
      </c>
      <c r="I2899" s="0" t="str">
        <f aca="false">IF(OR(הגדרות!$E$6=0,H2899&gt;הגדרות!$E$5),"",IF(H2899-1&lt;הגדרות!$E$8*(הגדרות!$E$7+1),INT((H2899-1)/(הגדרות!$E$7+1)),הגדרות!$E$8+INT((H2899-1-הגדרות!$E$8*(הגדרות!$E$7+1))/הגדרות!$E$7)))</f>
        <v/>
      </c>
      <c r="J2899" s="0" t="str">
        <f aca="false">IF(I2899="","",IF(H2899-1&lt;הגדרות!$E$8*(הגדרות!$E$7+1),MOD(H2899-1,הגדרות!$E$7+1),MOD(H2899-1-הגדרות!$E$8*(הגדרות!$E$7+1),הגדרות!$E$7)))</f>
        <v/>
      </c>
      <c r="K2899" s="0" t="str">
        <f aca="false">IF(I2899="","",J2899*הגדרות!$E$6+I2899+1)</f>
        <v/>
      </c>
      <c r="L2899" s="0" t="str">
        <f aca="false">IF(K2899="","",MATCH(K2899,$F$2:$F$5001,0))</f>
        <v/>
      </c>
      <c r="M2899" s="0" t="str">
        <f aca="false">IF(I2899="","",INDEX(הגדרות!$A$2:$A$21,MOD(I2899+הגדרות!$E$9,הגדרות!$E$6)+1))</f>
        <v/>
      </c>
    </row>
    <row r="2900" customFormat="false" ht="15" hidden="false" customHeight="false" outlineLevel="0" collapsed="false">
      <c r="A2900" s="0" t="str">
        <f aca="false">IF('הדבקת לידים'!A2900="","",IF(ISNUMBER('הדבקת לידים'!A2900),IF(הגדרות!$E$2&gt;0,TEXT('הדבקת לידים'!A2900,REPT("0",הגדרות!$E$2)),TEXT('הדבקת לידים'!A2900,"0")),TRIM('הדבקת לידים'!A2900)))</f>
        <v/>
      </c>
      <c r="B2900" s="0" t="str">
        <f aca="false">IF('הדבקת לידים'!B2900="","",IF(ISNUMBER('הדבקת לידים'!B2900),IF(הגדרות!$E$3&gt;0,TEXT('הדבקת לידים'!B2900,REPT("0",הגדרות!$E$3)),TEXT('הדבקת לידים'!B2900,"0")),TRIM('הדבקת לידים'!B2900)))</f>
        <v/>
      </c>
      <c r="C2900" s="0" t="n">
        <f aca="false">IF(OR(A2900&lt;&gt;"",B2900&lt;&gt;""),1,0)</f>
        <v>0</v>
      </c>
      <c r="D2900" s="0" t="str">
        <f aca="false">IF(C2900=1,MOD(ABS(SIN(ROW()*12.9898+'הדבקת לידים'!$F$2*78.233+IFERROR(--RIGHT(A2900,6),LEN(A2900))*0.0137+IFERROR(--RIGHT(B2900,6),LEN(B2900))*0.0071))*43758.5453,1),"")</f>
        <v/>
      </c>
      <c r="E2900" s="0" t="str">
        <f aca="false">IF(C2900=1,INT(MOD(ABS(SIN(D2900*7919.123+ROW()*0.618+'הדבקת לידים'!$F$2*1.3))*43758.5453,1)*1000000)*10000+ROW(),"")</f>
        <v/>
      </c>
      <c r="F2900" s="0" t="str">
        <f aca="false">IF(E2900="","",RANK(E2900,$E$2:$E$5001,1))</f>
        <v/>
      </c>
      <c r="G2900" s="0" t="n">
        <f aca="false">IF(A2900="",0,IF(SUMPRODUCT(--($A$2:$A$5001=A2900))&gt;1,1,0))</f>
        <v>0</v>
      </c>
      <c r="H2900" s="0" t="n">
        <f aca="false">ROW()-1</f>
        <v>2899</v>
      </c>
      <c r="I2900" s="0" t="str">
        <f aca="false">IF(OR(הגדרות!$E$6=0,H2900&gt;הגדרות!$E$5),"",IF(H2900-1&lt;הגדרות!$E$8*(הגדרות!$E$7+1),INT((H2900-1)/(הגדרות!$E$7+1)),הגדרות!$E$8+INT((H2900-1-הגדרות!$E$8*(הגדרות!$E$7+1))/הגדרות!$E$7)))</f>
        <v/>
      </c>
      <c r="J2900" s="0" t="str">
        <f aca="false">IF(I2900="","",IF(H2900-1&lt;הגדרות!$E$8*(הגדרות!$E$7+1),MOD(H2900-1,הגדרות!$E$7+1),MOD(H2900-1-הגדרות!$E$8*(הגדרות!$E$7+1),הגדרות!$E$7)))</f>
        <v/>
      </c>
      <c r="K2900" s="0" t="str">
        <f aca="false">IF(I2900="","",J2900*הגדרות!$E$6+I2900+1)</f>
        <v/>
      </c>
      <c r="L2900" s="0" t="str">
        <f aca="false">IF(K2900="","",MATCH(K2900,$F$2:$F$5001,0))</f>
        <v/>
      </c>
      <c r="M2900" s="0" t="str">
        <f aca="false">IF(I2900="","",INDEX(הגדרות!$A$2:$A$21,MOD(I2900+הגדרות!$E$9,הגדרות!$E$6)+1))</f>
        <v/>
      </c>
    </row>
    <row r="2901" customFormat="false" ht="15" hidden="false" customHeight="false" outlineLevel="0" collapsed="false">
      <c r="A2901" s="0" t="str">
        <f aca="false">IF('הדבקת לידים'!A2901="","",IF(ISNUMBER('הדבקת לידים'!A2901),IF(הגדרות!$E$2&gt;0,TEXT('הדבקת לידים'!A2901,REPT("0",הגדרות!$E$2)),TEXT('הדבקת לידים'!A2901,"0")),TRIM('הדבקת לידים'!A2901)))</f>
        <v/>
      </c>
      <c r="B2901" s="0" t="str">
        <f aca="false">IF('הדבקת לידים'!B2901="","",IF(ISNUMBER('הדבקת לידים'!B2901),IF(הגדרות!$E$3&gt;0,TEXT('הדבקת לידים'!B2901,REPT("0",הגדרות!$E$3)),TEXT('הדבקת לידים'!B2901,"0")),TRIM('הדבקת לידים'!B2901)))</f>
        <v/>
      </c>
      <c r="C2901" s="0" t="n">
        <f aca="false">IF(OR(A2901&lt;&gt;"",B2901&lt;&gt;""),1,0)</f>
        <v>0</v>
      </c>
      <c r="D2901" s="0" t="str">
        <f aca="false">IF(C2901=1,MOD(ABS(SIN(ROW()*12.9898+'הדבקת לידים'!$F$2*78.233+IFERROR(--RIGHT(A2901,6),LEN(A2901))*0.0137+IFERROR(--RIGHT(B2901,6),LEN(B2901))*0.0071))*43758.5453,1),"")</f>
        <v/>
      </c>
      <c r="E2901" s="0" t="str">
        <f aca="false">IF(C2901=1,INT(MOD(ABS(SIN(D2901*7919.123+ROW()*0.618+'הדבקת לידים'!$F$2*1.3))*43758.5453,1)*1000000)*10000+ROW(),"")</f>
        <v/>
      </c>
      <c r="F2901" s="0" t="str">
        <f aca="false">IF(E2901="","",RANK(E2901,$E$2:$E$5001,1))</f>
        <v/>
      </c>
      <c r="G2901" s="0" t="n">
        <f aca="false">IF(A2901="",0,IF(SUMPRODUCT(--($A$2:$A$5001=A2901))&gt;1,1,0))</f>
        <v>0</v>
      </c>
      <c r="H2901" s="0" t="n">
        <f aca="false">ROW()-1</f>
        <v>2900</v>
      </c>
      <c r="I2901" s="0" t="str">
        <f aca="false">IF(OR(הגדרות!$E$6=0,H2901&gt;הגדרות!$E$5),"",IF(H2901-1&lt;הגדרות!$E$8*(הגדרות!$E$7+1),INT((H2901-1)/(הגדרות!$E$7+1)),הגדרות!$E$8+INT((H2901-1-הגדרות!$E$8*(הגדרות!$E$7+1))/הגדרות!$E$7)))</f>
        <v/>
      </c>
      <c r="J2901" s="0" t="str">
        <f aca="false">IF(I2901="","",IF(H2901-1&lt;הגדרות!$E$8*(הגדרות!$E$7+1),MOD(H2901-1,הגדרות!$E$7+1),MOD(H2901-1-הגדרות!$E$8*(הגדרות!$E$7+1),הגדרות!$E$7)))</f>
        <v/>
      </c>
      <c r="K2901" s="0" t="str">
        <f aca="false">IF(I2901="","",J2901*הגדרות!$E$6+I2901+1)</f>
        <v/>
      </c>
      <c r="L2901" s="0" t="str">
        <f aca="false">IF(K2901="","",MATCH(K2901,$F$2:$F$5001,0))</f>
        <v/>
      </c>
      <c r="M2901" s="0" t="str">
        <f aca="false">IF(I2901="","",INDEX(הגדרות!$A$2:$A$21,MOD(I2901+הגדרות!$E$9,הגדרות!$E$6)+1))</f>
        <v/>
      </c>
    </row>
    <row r="2902" customFormat="false" ht="15" hidden="false" customHeight="false" outlineLevel="0" collapsed="false">
      <c r="A2902" s="0" t="str">
        <f aca="false">IF('הדבקת לידים'!A2902="","",IF(ISNUMBER('הדבקת לידים'!A2902),IF(הגדרות!$E$2&gt;0,TEXT('הדבקת לידים'!A2902,REPT("0",הגדרות!$E$2)),TEXT('הדבקת לידים'!A2902,"0")),TRIM('הדבקת לידים'!A2902)))</f>
        <v/>
      </c>
      <c r="B2902" s="0" t="str">
        <f aca="false">IF('הדבקת לידים'!B2902="","",IF(ISNUMBER('הדבקת לידים'!B2902),IF(הגדרות!$E$3&gt;0,TEXT('הדבקת לידים'!B2902,REPT("0",הגדרות!$E$3)),TEXT('הדבקת לידים'!B2902,"0")),TRIM('הדבקת לידים'!B2902)))</f>
        <v/>
      </c>
      <c r="C2902" s="0" t="n">
        <f aca="false">IF(OR(A2902&lt;&gt;"",B2902&lt;&gt;""),1,0)</f>
        <v>0</v>
      </c>
      <c r="D2902" s="0" t="str">
        <f aca="false">IF(C2902=1,MOD(ABS(SIN(ROW()*12.9898+'הדבקת לידים'!$F$2*78.233+IFERROR(--RIGHT(A2902,6),LEN(A2902))*0.0137+IFERROR(--RIGHT(B2902,6),LEN(B2902))*0.0071))*43758.5453,1),"")</f>
        <v/>
      </c>
      <c r="E2902" s="0" t="str">
        <f aca="false">IF(C2902=1,INT(MOD(ABS(SIN(D2902*7919.123+ROW()*0.618+'הדבקת לידים'!$F$2*1.3))*43758.5453,1)*1000000)*10000+ROW(),"")</f>
        <v/>
      </c>
      <c r="F2902" s="0" t="str">
        <f aca="false">IF(E2902="","",RANK(E2902,$E$2:$E$5001,1))</f>
        <v/>
      </c>
      <c r="G2902" s="0" t="n">
        <f aca="false">IF(A2902="",0,IF(SUMPRODUCT(--($A$2:$A$5001=A2902))&gt;1,1,0))</f>
        <v>0</v>
      </c>
      <c r="H2902" s="0" t="n">
        <f aca="false">ROW()-1</f>
        <v>2901</v>
      </c>
      <c r="I2902" s="0" t="str">
        <f aca="false">IF(OR(הגדרות!$E$6=0,H2902&gt;הגדרות!$E$5),"",IF(H2902-1&lt;הגדרות!$E$8*(הגדרות!$E$7+1),INT((H2902-1)/(הגדרות!$E$7+1)),הגדרות!$E$8+INT((H2902-1-הגדרות!$E$8*(הגדרות!$E$7+1))/הגדרות!$E$7)))</f>
        <v/>
      </c>
      <c r="J2902" s="0" t="str">
        <f aca="false">IF(I2902="","",IF(H2902-1&lt;הגדרות!$E$8*(הגדרות!$E$7+1),MOD(H2902-1,הגדרות!$E$7+1),MOD(H2902-1-הגדרות!$E$8*(הגדרות!$E$7+1),הגדרות!$E$7)))</f>
        <v/>
      </c>
      <c r="K2902" s="0" t="str">
        <f aca="false">IF(I2902="","",J2902*הגדרות!$E$6+I2902+1)</f>
        <v/>
      </c>
      <c r="L2902" s="0" t="str">
        <f aca="false">IF(K2902="","",MATCH(K2902,$F$2:$F$5001,0))</f>
        <v/>
      </c>
      <c r="M2902" s="0" t="str">
        <f aca="false">IF(I2902="","",INDEX(הגדרות!$A$2:$A$21,MOD(I2902+הגדרות!$E$9,הגדרות!$E$6)+1))</f>
        <v/>
      </c>
    </row>
    <row r="2903" customFormat="false" ht="15" hidden="false" customHeight="false" outlineLevel="0" collapsed="false">
      <c r="A2903" s="0" t="str">
        <f aca="false">IF('הדבקת לידים'!A2903="","",IF(ISNUMBER('הדבקת לידים'!A2903),IF(הגדרות!$E$2&gt;0,TEXT('הדבקת לידים'!A2903,REPT("0",הגדרות!$E$2)),TEXT('הדבקת לידים'!A2903,"0")),TRIM('הדבקת לידים'!A2903)))</f>
        <v/>
      </c>
      <c r="B2903" s="0" t="str">
        <f aca="false">IF('הדבקת לידים'!B2903="","",IF(ISNUMBER('הדבקת לידים'!B2903),IF(הגדרות!$E$3&gt;0,TEXT('הדבקת לידים'!B2903,REPT("0",הגדרות!$E$3)),TEXT('הדבקת לידים'!B2903,"0")),TRIM('הדבקת לידים'!B2903)))</f>
        <v/>
      </c>
      <c r="C2903" s="0" t="n">
        <f aca="false">IF(OR(A2903&lt;&gt;"",B2903&lt;&gt;""),1,0)</f>
        <v>0</v>
      </c>
      <c r="D2903" s="0" t="str">
        <f aca="false">IF(C2903=1,MOD(ABS(SIN(ROW()*12.9898+'הדבקת לידים'!$F$2*78.233+IFERROR(--RIGHT(A2903,6),LEN(A2903))*0.0137+IFERROR(--RIGHT(B2903,6),LEN(B2903))*0.0071))*43758.5453,1),"")</f>
        <v/>
      </c>
      <c r="E2903" s="0" t="str">
        <f aca="false">IF(C2903=1,INT(MOD(ABS(SIN(D2903*7919.123+ROW()*0.618+'הדבקת לידים'!$F$2*1.3))*43758.5453,1)*1000000)*10000+ROW(),"")</f>
        <v/>
      </c>
      <c r="F2903" s="0" t="str">
        <f aca="false">IF(E2903="","",RANK(E2903,$E$2:$E$5001,1))</f>
        <v/>
      </c>
      <c r="G2903" s="0" t="n">
        <f aca="false">IF(A2903="",0,IF(SUMPRODUCT(--($A$2:$A$5001=A2903))&gt;1,1,0))</f>
        <v>0</v>
      </c>
      <c r="H2903" s="0" t="n">
        <f aca="false">ROW()-1</f>
        <v>2902</v>
      </c>
      <c r="I2903" s="0" t="str">
        <f aca="false">IF(OR(הגדרות!$E$6=0,H2903&gt;הגדרות!$E$5),"",IF(H2903-1&lt;הגדרות!$E$8*(הגדרות!$E$7+1),INT((H2903-1)/(הגדרות!$E$7+1)),הגדרות!$E$8+INT((H2903-1-הגדרות!$E$8*(הגדרות!$E$7+1))/הגדרות!$E$7)))</f>
        <v/>
      </c>
      <c r="J2903" s="0" t="str">
        <f aca="false">IF(I2903="","",IF(H2903-1&lt;הגדרות!$E$8*(הגדרות!$E$7+1),MOD(H2903-1,הגדרות!$E$7+1),MOD(H2903-1-הגדרות!$E$8*(הגדרות!$E$7+1),הגדרות!$E$7)))</f>
        <v/>
      </c>
      <c r="K2903" s="0" t="str">
        <f aca="false">IF(I2903="","",J2903*הגדרות!$E$6+I2903+1)</f>
        <v/>
      </c>
      <c r="L2903" s="0" t="str">
        <f aca="false">IF(K2903="","",MATCH(K2903,$F$2:$F$5001,0))</f>
        <v/>
      </c>
      <c r="M2903" s="0" t="str">
        <f aca="false">IF(I2903="","",INDEX(הגדרות!$A$2:$A$21,MOD(I2903+הגדרות!$E$9,הגדרות!$E$6)+1))</f>
        <v/>
      </c>
    </row>
    <row r="2904" customFormat="false" ht="15" hidden="false" customHeight="false" outlineLevel="0" collapsed="false">
      <c r="A2904" s="0" t="str">
        <f aca="false">IF('הדבקת לידים'!A2904="","",IF(ISNUMBER('הדבקת לידים'!A2904),IF(הגדרות!$E$2&gt;0,TEXT('הדבקת לידים'!A2904,REPT("0",הגדרות!$E$2)),TEXT('הדבקת לידים'!A2904,"0")),TRIM('הדבקת לידים'!A2904)))</f>
        <v/>
      </c>
      <c r="B2904" s="0" t="str">
        <f aca="false">IF('הדבקת לידים'!B2904="","",IF(ISNUMBER('הדבקת לידים'!B2904),IF(הגדרות!$E$3&gt;0,TEXT('הדבקת לידים'!B2904,REPT("0",הגדרות!$E$3)),TEXT('הדבקת לידים'!B2904,"0")),TRIM('הדבקת לידים'!B2904)))</f>
        <v/>
      </c>
      <c r="C2904" s="0" t="n">
        <f aca="false">IF(OR(A2904&lt;&gt;"",B2904&lt;&gt;""),1,0)</f>
        <v>0</v>
      </c>
      <c r="D2904" s="0" t="str">
        <f aca="false">IF(C2904=1,MOD(ABS(SIN(ROW()*12.9898+'הדבקת לידים'!$F$2*78.233+IFERROR(--RIGHT(A2904,6),LEN(A2904))*0.0137+IFERROR(--RIGHT(B2904,6),LEN(B2904))*0.0071))*43758.5453,1),"")</f>
        <v/>
      </c>
      <c r="E2904" s="0" t="str">
        <f aca="false">IF(C2904=1,INT(MOD(ABS(SIN(D2904*7919.123+ROW()*0.618+'הדבקת לידים'!$F$2*1.3))*43758.5453,1)*1000000)*10000+ROW(),"")</f>
        <v/>
      </c>
      <c r="F2904" s="0" t="str">
        <f aca="false">IF(E2904="","",RANK(E2904,$E$2:$E$5001,1))</f>
        <v/>
      </c>
      <c r="G2904" s="0" t="n">
        <f aca="false">IF(A2904="",0,IF(SUMPRODUCT(--($A$2:$A$5001=A2904))&gt;1,1,0))</f>
        <v>0</v>
      </c>
      <c r="H2904" s="0" t="n">
        <f aca="false">ROW()-1</f>
        <v>2903</v>
      </c>
      <c r="I2904" s="0" t="str">
        <f aca="false">IF(OR(הגדרות!$E$6=0,H2904&gt;הגדרות!$E$5),"",IF(H2904-1&lt;הגדרות!$E$8*(הגדרות!$E$7+1),INT((H2904-1)/(הגדרות!$E$7+1)),הגדרות!$E$8+INT((H2904-1-הגדרות!$E$8*(הגדרות!$E$7+1))/הגדרות!$E$7)))</f>
        <v/>
      </c>
      <c r="J2904" s="0" t="str">
        <f aca="false">IF(I2904="","",IF(H2904-1&lt;הגדרות!$E$8*(הגדרות!$E$7+1),MOD(H2904-1,הגדרות!$E$7+1),MOD(H2904-1-הגדרות!$E$8*(הגדרות!$E$7+1),הגדרות!$E$7)))</f>
        <v/>
      </c>
      <c r="K2904" s="0" t="str">
        <f aca="false">IF(I2904="","",J2904*הגדרות!$E$6+I2904+1)</f>
        <v/>
      </c>
      <c r="L2904" s="0" t="str">
        <f aca="false">IF(K2904="","",MATCH(K2904,$F$2:$F$5001,0))</f>
        <v/>
      </c>
      <c r="M2904" s="0" t="str">
        <f aca="false">IF(I2904="","",INDEX(הגדרות!$A$2:$A$21,MOD(I2904+הגדרות!$E$9,הגדרות!$E$6)+1))</f>
        <v/>
      </c>
    </row>
    <row r="2905" customFormat="false" ht="15" hidden="false" customHeight="false" outlineLevel="0" collapsed="false">
      <c r="A2905" s="0" t="str">
        <f aca="false">IF('הדבקת לידים'!A2905="","",IF(ISNUMBER('הדבקת לידים'!A2905),IF(הגדרות!$E$2&gt;0,TEXT('הדבקת לידים'!A2905,REPT("0",הגדרות!$E$2)),TEXT('הדבקת לידים'!A2905,"0")),TRIM('הדבקת לידים'!A2905)))</f>
        <v/>
      </c>
      <c r="B2905" s="0" t="str">
        <f aca="false">IF('הדבקת לידים'!B2905="","",IF(ISNUMBER('הדבקת לידים'!B2905),IF(הגדרות!$E$3&gt;0,TEXT('הדבקת לידים'!B2905,REPT("0",הגדרות!$E$3)),TEXT('הדבקת לידים'!B2905,"0")),TRIM('הדבקת לידים'!B2905)))</f>
        <v/>
      </c>
      <c r="C2905" s="0" t="n">
        <f aca="false">IF(OR(A2905&lt;&gt;"",B2905&lt;&gt;""),1,0)</f>
        <v>0</v>
      </c>
      <c r="D2905" s="0" t="str">
        <f aca="false">IF(C2905=1,MOD(ABS(SIN(ROW()*12.9898+'הדבקת לידים'!$F$2*78.233+IFERROR(--RIGHT(A2905,6),LEN(A2905))*0.0137+IFERROR(--RIGHT(B2905,6),LEN(B2905))*0.0071))*43758.5453,1),"")</f>
        <v/>
      </c>
      <c r="E2905" s="0" t="str">
        <f aca="false">IF(C2905=1,INT(MOD(ABS(SIN(D2905*7919.123+ROW()*0.618+'הדבקת לידים'!$F$2*1.3))*43758.5453,1)*1000000)*10000+ROW(),"")</f>
        <v/>
      </c>
      <c r="F2905" s="0" t="str">
        <f aca="false">IF(E2905="","",RANK(E2905,$E$2:$E$5001,1))</f>
        <v/>
      </c>
      <c r="G2905" s="0" t="n">
        <f aca="false">IF(A2905="",0,IF(SUMPRODUCT(--($A$2:$A$5001=A2905))&gt;1,1,0))</f>
        <v>0</v>
      </c>
      <c r="H2905" s="0" t="n">
        <f aca="false">ROW()-1</f>
        <v>2904</v>
      </c>
      <c r="I2905" s="0" t="str">
        <f aca="false">IF(OR(הגדרות!$E$6=0,H2905&gt;הגדרות!$E$5),"",IF(H2905-1&lt;הגדרות!$E$8*(הגדרות!$E$7+1),INT((H2905-1)/(הגדרות!$E$7+1)),הגדרות!$E$8+INT((H2905-1-הגדרות!$E$8*(הגדרות!$E$7+1))/הגדרות!$E$7)))</f>
        <v/>
      </c>
      <c r="J2905" s="0" t="str">
        <f aca="false">IF(I2905="","",IF(H2905-1&lt;הגדרות!$E$8*(הגדרות!$E$7+1),MOD(H2905-1,הגדרות!$E$7+1),MOD(H2905-1-הגדרות!$E$8*(הגדרות!$E$7+1),הגדרות!$E$7)))</f>
        <v/>
      </c>
      <c r="K2905" s="0" t="str">
        <f aca="false">IF(I2905="","",J2905*הגדרות!$E$6+I2905+1)</f>
        <v/>
      </c>
      <c r="L2905" s="0" t="str">
        <f aca="false">IF(K2905="","",MATCH(K2905,$F$2:$F$5001,0))</f>
        <v/>
      </c>
      <c r="M2905" s="0" t="str">
        <f aca="false">IF(I2905="","",INDEX(הגדרות!$A$2:$A$21,MOD(I2905+הגדרות!$E$9,הגדרות!$E$6)+1))</f>
        <v/>
      </c>
    </row>
    <row r="2906" customFormat="false" ht="15" hidden="false" customHeight="false" outlineLevel="0" collapsed="false">
      <c r="A2906" s="0" t="str">
        <f aca="false">IF('הדבקת לידים'!A2906="","",IF(ISNUMBER('הדבקת לידים'!A2906),IF(הגדרות!$E$2&gt;0,TEXT('הדבקת לידים'!A2906,REPT("0",הגדרות!$E$2)),TEXT('הדבקת לידים'!A2906,"0")),TRIM('הדבקת לידים'!A2906)))</f>
        <v/>
      </c>
      <c r="B2906" s="0" t="str">
        <f aca="false">IF('הדבקת לידים'!B2906="","",IF(ISNUMBER('הדבקת לידים'!B2906),IF(הגדרות!$E$3&gt;0,TEXT('הדבקת לידים'!B2906,REPT("0",הגדרות!$E$3)),TEXT('הדבקת לידים'!B2906,"0")),TRIM('הדבקת לידים'!B2906)))</f>
        <v/>
      </c>
      <c r="C2906" s="0" t="n">
        <f aca="false">IF(OR(A2906&lt;&gt;"",B2906&lt;&gt;""),1,0)</f>
        <v>0</v>
      </c>
      <c r="D2906" s="0" t="str">
        <f aca="false">IF(C2906=1,MOD(ABS(SIN(ROW()*12.9898+'הדבקת לידים'!$F$2*78.233+IFERROR(--RIGHT(A2906,6),LEN(A2906))*0.0137+IFERROR(--RIGHT(B2906,6),LEN(B2906))*0.0071))*43758.5453,1),"")</f>
        <v/>
      </c>
      <c r="E2906" s="0" t="str">
        <f aca="false">IF(C2906=1,INT(MOD(ABS(SIN(D2906*7919.123+ROW()*0.618+'הדבקת לידים'!$F$2*1.3))*43758.5453,1)*1000000)*10000+ROW(),"")</f>
        <v/>
      </c>
      <c r="F2906" s="0" t="str">
        <f aca="false">IF(E2906="","",RANK(E2906,$E$2:$E$5001,1))</f>
        <v/>
      </c>
      <c r="G2906" s="0" t="n">
        <f aca="false">IF(A2906="",0,IF(SUMPRODUCT(--($A$2:$A$5001=A2906))&gt;1,1,0))</f>
        <v>0</v>
      </c>
      <c r="H2906" s="0" t="n">
        <f aca="false">ROW()-1</f>
        <v>2905</v>
      </c>
      <c r="I2906" s="0" t="str">
        <f aca="false">IF(OR(הגדרות!$E$6=0,H2906&gt;הגדרות!$E$5),"",IF(H2906-1&lt;הגדרות!$E$8*(הגדרות!$E$7+1),INT((H2906-1)/(הגדרות!$E$7+1)),הגדרות!$E$8+INT((H2906-1-הגדרות!$E$8*(הגדרות!$E$7+1))/הגדרות!$E$7)))</f>
        <v/>
      </c>
      <c r="J2906" s="0" t="str">
        <f aca="false">IF(I2906="","",IF(H2906-1&lt;הגדרות!$E$8*(הגדרות!$E$7+1),MOD(H2906-1,הגדרות!$E$7+1),MOD(H2906-1-הגדרות!$E$8*(הגדרות!$E$7+1),הגדרות!$E$7)))</f>
        <v/>
      </c>
      <c r="K2906" s="0" t="str">
        <f aca="false">IF(I2906="","",J2906*הגדרות!$E$6+I2906+1)</f>
        <v/>
      </c>
      <c r="L2906" s="0" t="str">
        <f aca="false">IF(K2906="","",MATCH(K2906,$F$2:$F$5001,0))</f>
        <v/>
      </c>
      <c r="M2906" s="0" t="str">
        <f aca="false">IF(I2906="","",INDEX(הגדרות!$A$2:$A$21,MOD(I2906+הגדרות!$E$9,הגדרות!$E$6)+1))</f>
        <v/>
      </c>
    </row>
    <row r="2907" customFormat="false" ht="15" hidden="false" customHeight="false" outlineLevel="0" collapsed="false">
      <c r="A2907" s="0" t="str">
        <f aca="false">IF('הדבקת לידים'!A2907="","",IF(ISNUMBER('הדבקת לידים'!A2907),IF(הגדרות!$E$2&gt;0,TEXT('הדבקת לידים'!A2907,REPT("0",הגדרות!$E$2)),TEXT('הדבקת לידים'!A2907,"0")),TRIM('הדבקת לידים'!A2907)))</f>
        <v/>
      </c>
      <c r="B2907" s="0" t="str">
        <f aca="false">IF('הדבקת לידים'!B2907="","",IF(ISNUMBER('הדבקת לידים'!B2907),IF(הגדרות!$E$3&gt;0,TEXT('הדבקת לידים'!B2907,REPT("0",הגדרות!$E$3)),TEXT('הדבקת לידים'!B2907,"0")),TRIM('הדבקת לידים'!B2907)))</f>
        <v/>
      </c>
      <c r="C2907" s="0" t="n">
        <f aca="false">IF(OR(A2907&lt;&gt;"",B2907&lt;&gt;""),1,0)</f>
        <v>0</v>
      </c>
      <c r="D2907" s="0" t="str">
        <f aca="false">IF(C2907=1,MOD(ABS(SIN(ROW()*12.9898+'הדבקת לידים'!$F$2*78.233+IFERROR(--RIGHT(A2907,6),LEN(A2907))*0.0137+IFERROR(--RIGHT(B2907,6),LEN(B2907))*0.0071))*43758.5453,1),"")</f>
        <v/>
      </c>
      <c r="E2907" s="0" t="str">
        <f aca="false">IF(C2907=1,INT(MOD(ABS(SIN(D2907*7919.123+ROW()*0.618+'הדבקת לידים'!$F$2*1.3))*43758.5453,1)*1000000)*10000+ROW(),"")</f>
        <v/>
      </c>
      <c r="F2907" s="0" t="str">
        <f aca="false">IF(E2907="","",RANK(E2907,$E$2:$E$5001,1))</f>
        <v/>
      </c>
      <c r="G2907" s="0" t="n">
        <f aca="false">IF(A2907="",0,IF(SUMPRODUCT(--($A$2:$A$5001=A2907))&gt;1,1,0))</f>
        <v>0</v>
      </c>
      <c r="H2907" s="0" t="n">
        <f aca="false">ROW()-1</f>
        <v>2906</v>
      </c>
      <c r="I2907" s="0" t="str">
        <f aca="false">IF(OR(הגדרות!$E$6=0,H2907&gt;הגדרות!$E$5),"",IF(H2907-1&lt;הגדרות!$E$8*(הגדרות!$E$7+1),INT((H2907-1)/(הגדרות!$E$7+1)),הגדרות!$E$8+INT((H2907-1-הגדרות!$E$8*(הגדרות!$E$7+1))/הגדרות!$E$7)))</f>
        <v/>
      </c>
      <c r="J2907" s="0" t="str">
        <f aca="false">IF(I2907="","",IF(H2907-1&lt;הגדרות!$E$8*(הגדרות!$E$7+1),MOD(H2907-1,הגדרות!$E$7+1),MOD(H2907-1-הגדרות!$E$8*(הגדרות!$E$7+1),הגדרות!$E$7)))</f>
        <v/>
      </c>
      <c r="K2907" s="0" t="str">
        <f aca="false">IF(I2907="","",J2907*הגדרות!$E$6+I2907+1)</f>
        <v/>
      </c>
      <c r="L2907" s="0" t="str">
        <f aca="false">IF(K2907="","",MATCH(K2907,$F$2:$F$5001,0))</f>
        <v/>
      </c>
      <c r="M2907" s="0" t="str">
        <f aca="false">IF(I2907="","",INDEX(הגדרות!$A$2:$A$21,MOD(I2907+הגדרות!$E$9,הגדרות!$E$6)+1))</f>
        <v/>
      </c>
    </row>
    <row r="2908" customFormat="false" ht="15" hidden="false" customHeight="false" outlineLevel="0" collapsed="false">
      <c r="A2908" s="0" t="str">
        <f aca="false">IF('הדבקת לידים'!A2908="","",IF(ISNUMBER('הדבקת לידים'!A2908),IF(הגדרות!$E$2&gt;0,TEXT('הדבקת לידים'!A2908,REPT("0",הגדרות!$E$2)),TEXT('הדבקת לידים'!A2908,"0")),TRIM('הדבקת לידים'!A2908)))</f>
        <v/>
      </c>
      <c r="B2908" s="0" t="str">
        <f aca="false">IF('הדבקת לידים'!B2908="","",IF(ISNUMBER('הדבקת לידים'!B2908),IF(הגדרות!$E$3&gt;0,TEXT('הדבקת לידים'!B2908,REPT("0",הגדרות!$E$3)),TEXT('הדבקת לידים'!B2908,"0")),TRIM('הדבקת לידים'!B2908)))</f>
        <v/>
      </c>
      <c r="C2908" s="0" t="n">
        <f aca="false">IF(OR(A2908&lt;&gt;"",B2908&lt;&gt;""),1,0)</f>
        <v>0</v>
      </c>
      <c r="D2908" s="0" t="str">
        <f aca="false">IF(C2908=1,MOD(ABS(SIN(ROW()*12.9898+'הדבקת לידים'!$F$2*78.233+IFERROR(--RIGHT(A2908,6),LEN(A2908))*0.0137+IFERROR(--RIGHT(B2908,6),LEN(B2908))*0.0071))*43758.5453,1),"")</f>
        <v/>
      </c>
      <c r="E2908" s="0" t="str">
        <f aca="false">IF(C2908=1,INT(MOD(ABS(SIN(D2908*7919.123+ROW()*0.618+'הדבקת לידים'!$F$2*1.3))*43758.5453,1)*1000000)*10000+ROW(),"")</f>
        <v/>
      </c>
      <c r="F2908" s="0" t="str">
        <f aca="false">IF(E2908="","",RANK(E2908,$E$2:$E$5001,1))</f>
        <v/>
      </c>
      <c r="G2908" s="0" t="n">
        <f aca="false">IF(A2908="",0,IF(SUMPRODUCT(--($A$2:$A$5001=A2908))&gt;1,1,0))</f>
        <v>0</v>
      </c>
      <c r="H2908" s="0" t="n">
        <f aca="false">ROW()-1</f>
        <v>2907</v>
      </c>
      <c r="I2908" s="0" t="str">
        <f aca="false">IF(OR(הגדרות!$E$6=0,H2908&gt;הגדרות!$E$5),"",IF(H2908-1&lt;הגדרות!$E$8*(הגדרות!$E$7+1),INT((H2908-1)/(הגדרות!$E$7+1)),הגדרות!$E$8+INT((H2908-1-הגדרות!$E$8*(הגדרות!$E$7+1))/הגדרות!$E$7)))</f>
        <v/>
      </c>
      <c r="J2908" s="0" t="str">
        <f aca="false">IF(I2908="","",IF(H2908-1&lt;הגדרות!$E$8*(הגדרות!$E$7+1),MOD(H2908-1,הגדרות!$E$7+1),MOD(H2908-1-הגדרות!$E$8*(הגדרות!$E$7+1),הגדרות!$E$7)))</f>
        <v/>
      </c>
      <c r="K2908" s="0" t="str">
        <f aca="false">IF(I2908="","",J2908*הגדרות!$E$6+I2908+1)</f>
        <v/>
      </c>
      <c r="L2908" s="0" t="str">
        <f aca="false">IF(K2908="","",MATCH(K2908,$F$2:$F$5001,0))</f>
        <v/>
      </c>
      <c r="M2908" s="0" t="str">
        <f aca="false">IF(I2908="","",INDEX(הגדרות!$A$2:$A$21,MOD(I2908+הגדרות!$E$9,הגדרות!$E$6)+1))</f>
        <v/>
      </c>
    </row>
    <row r="2909" customFormat="false" ht="15" hidden="false" customHeight="false" outlineLevel="0" collapsed="false">
      <c r="A2909" s="0" t="str">
        <f aca="false">IF('הדבקת לידים'!A2909="","",IF(ISNUMBER('הדבקת לידים'!A2909),IF(הגדרות!$E$2&gt;0,TEXT('הדבקת לידים'!A2909,REPT("0",הגדרות!$E$2)),TEXT('הדבקת לידים'!A2909,"0")),TRIM('הדבקת לידים'!A2909)))</f>
        <v/>
      </c>
      <c r="B2909" s="0" t="str">
        <f aca="false">IF('הדבקת לידים'!B2909="","",IF(ISNUMBER('הדבקת לידים'!B2909),IF(הגדרות!$E$3&gt;0,TEXT('הדבקת לידים'!B2909,REPT("0",הגדרות!$E$3)),TEXT('הדבקת לידים'!B2909,"0")),TRIM('הדבקת לידים'!B2909)))</f>
        <v/>
      </c>
      <c r="C2909" s="0" t="n">
        <f aca="false">IF(OR(A2909&lt;&gt;"",B2909&lt;&gt;""),1,0)</f>
        <v>0</v>
      </c>
      <c r="D2909" s="0" t="str">
        <f aca="false">IF(C2909=1,MOD(ABS(SIN(ROW()*12.9898+'הדבקת לידים'!$F$2*78.233+IFERROR(--RIGHT(A2909,6),LEN(A2909))*0.0137+IFERROR(--RIGHT(B2909,6),LEN(B2909))*0.0071))*43758.5453,1),"")</f>
        <v/>
      </c>
      <c r="E2909" s="0" t="str">
        <f aca="false">IF(C2909=1,INT(MOD(ABS(SIN(D2909*7919.123+ROW()*0.618+'הדבקת לידים'!$F$2*1.3))*43758.5453,1)*1000000)*10000+ROW(),"")</f>
        <v/>
      </c>
      <c r="F2909" s="0" t="str">
        <f aca="false">IF(E2909="","",RANK(E2909,$E$2:$E$5001,1))</f>
        <v/>
      </c>
      <c r="G2909" s="0" t="n">
        <f aca="false">IF(A2909="",0,IF(SUMPRODUCT(--($A$2:$A$5001=A2909))&gt;1,1,0))</f>
        <v>0</v>
      </c>
      <c r="H2909" s="0" t="n">
        <f aca="false">ROW()-1</f>
        <v>2908</v>
      </c>
      <c r="I2909" s="0" t="str">
        <f aca="false">IF(OR(הגדרות!$E$6=0,H2909&gt;הגדרות!$E$5),"",IF(H2909-1&lt;הגדרות!$E$8*(הגדרות!$E$7+1),INT((H2909-1)/(הגדרות!$E$7+1)),הגדרות!$E$8+INT((H2909-1-הגדרות!$E$8*(הגדרות!$E$7+1))/הגדרות!$E$7)))</f>
        <v/>
      </c>
      <c r="J2909" s="0" t="str">
        <f aca="false">IF(I2909="","",IF(H2909-1&lt;הגדרות!$E$8*(הגדרות!$E$7+1),MOD(H2909-1,הגדרות!$E$7+1),MOD(H2909-1-הגדרות!$E$8*(הגדרות!$E$7+1),הגדרות!$E$7)))</f>
        <v/>
      </c>
      <c r="K2909" s="0" t="str">
        <f aca="false">IF(I2909="","",J2909*הגדרות!$E$6+I2909+1)</f>
        <v/>
      </c>
      <c r="L2909" s="0" t="str">
        <f aca="false">IF(K2909="","",MATCH(K2909,$F$2:$F$5001,0))</f>
        <v/>
      </c>
      <c r="M2909" s="0" t="str">
        <f aca="false">IF(I2909="","",INDEX(הגדרות!$A$2:$A$21,MOD(I2909+הגדרות!$E$9,הגדרות!$E$6)+1))</f>
        <v/>
      </c>
    </row>
    <row r="2910" customFormat="false" ht="15" hidden="false" customHeight="false" outlineLevel="0" collapsed="false">
      <c r="A2910" s="0" t="str">
        <f aca="false">IF('הדבקת לידים'!A2910="","",IF(ISNUMBER('הדבקת לידים'!A2910),IF(הגדרות!$E$2&gt;0,TEXT('הדבקת לידים'!A2910,REPT("0",הגדרות!$E$2)),TEXT('הדבקת לידים'!A2910,"0")),TRIM('הדבקת לידים'!A2910)))</f>
        <v/>
      </c>
      <c r="B2910" s="0" t="str">
        <f aca="false">IF('הדבקת לידים'!B2910="","",IF(ISNUMBER('הדבקת לידים'!B2910),IF(הגדרות!$E$3&gt;0,TEXT('הדבקת לידים'!B2910,REPT("0",הגדרות!$E$3)),TEXT('הדבקת לידים'!B2910,"0")),TRIM('הדבקת לידים'!B2910)))</f>
        <v/>
      </c>
      <c r="C2910" s="0" t="n">
        <f aca="false">IF(OR(A2910&lt;&gt;"",B2910&lt;&gt;""),1,0)</f>
        <v>0</v>
      </c>
      <c r="D2910" s="0" t="str">
        <f aca="false">IF(C2910=1,MOD(ABS(SIN(ROW()*12.9898+'הדבקת לידים'!$F$2*78.233+IFERROR(--RIGHT(A2910,6),LEN(A2910))*0.0137+IFERROR(--RIGHT(B2910,6),LEN(B2910))*0.0071))*43758.5453,1),"")</f>
        <v/>
      </c>
      <c r="E2910" s="0" t="str">
        <f aca="false">IF(C2910=1,INT(MOD(ABS(SIN(D2910*7919.123+ROW()*0.618+'הדבקת לידים'!$F$2*1.3))*43758.5453,1)*1000000)*10000+ROW(),"")</f>
        <v/>
      </c>
      <c r="F2910" s="0" t="str">
        <f aca="false">IF(E2910="","",RANK(E2910,$E$2:$E$5001,1))</f>
        <v/>
      </c>
      <c r="G2910" s="0" t="n">
        <f aca="false">IF(A2910="",0,IF(SUMPRODUCT(--($A$2:$A$5001=A2910))&gt;1,1,0))</f>
        <v>0</v>
      </c>
      <c r="H2910" s="0" t="n">
        <f aca="false">ROW()-1</f>
        <v>2909</v>
      </c>
      <c r="I2910" s="0" t="str">
        <f aca="false">IF(OR(הגדרות!$E$6=0,H2910&gt;הגדרות!$E$5),"",IF(H2910-1&lt;הגדרות!$E$8*(הגדרות!$E$7+1),INT((H2910-1)/(הגדרות!$E$7+1)),הגדרות!$E$8+INT((H2910-1-הגדרות!$E$8*(הגדרות!$E$7+1))/הגדרות!$E$7)))</f>
        <v/>
      </c>
      <c r="J2910" s="0" t="str">
        <f aca="false">IF(I2910="","",IF(H2910-1&lt;הגדרות!$E$8*(הגדרות!$E$7+1),MOD(H2910-1,הגדרות!$E$7+1),MOD(H2910-1-הגדרות!$E$8*(הגדרות!$E$7+1),הגדרות!$E$7)))</f>
        <v/>
      </c>
      <c r="K2910" s="0" t="str">
        <f aca="false">IF(I2910="","",J2910*הגדרות!$E$6+I2910+1)</f>
        <v/>
      </c>
      <c r="L2910" s="0" t="str">
        <f aca="false">IF(K2910="","",MATCH(K2910,$F$2:$F$5001,0))</f>
        <v/>
      </c>
      <c r="M2910" s="0" t="str">
        <f aca="false">IF(I2910="","",INDEX(הגדרות!$A$2:$A$21,MOD(I2910+הגדרות!$E$9,הגדרות!$E$6)+1))</f>
        <v/>
      </c>
    </row>
    <row r="2911" customFormat="false" ht="15" hidden="false" customHeight="false" outlineLevel="0" collapsed="false">
      <c r="A2911" s="0" t="str">
        <f aca="false">IF('הדבקת לידים'!A2911="","",IF(ISNUMBER('הדבקת לידים'!A2911),IF(הגדרות!$E$2&gt;0,TEXT('הדבקת לידים'!A2911,REPT("0",הגדרות!$E$2)),TEXT('הדבקת לידים'!A2911,"0")),TRIM('הדבקת לידים'!A2911)))</f>
        <v/>
      </c>
      <c r="B2911" s="0" t="str">
        <f aca="false">IF('הדבקת לידים'!B2911="","",IF(ISNUMBER('הדבקת לידים'!B2911),IF(הגדרות!$E$3&gt;0,TEXT('הדבקת לידים'!B2911,REPT("0",הגדרות!$E$3)),TEXT('הדבקת לידים'!B2911,"0")),TRIM('הדבקת לידים'!B2911)))</f>
        <v/>
      </c>
      <c r="C2911" s="0" t="n">
        <f aca="false">IF(OR(A2911&lt;&gt;"",B2911&lt;&gt;""),1,0)</f>
        <v>0</v>
      </c>
      <c r="D2911" s="0" t="str">
        <f aca="false">IF(C2911=1,MOD(ABS(SIN(ROW()*12.9898+'הדבקת לידים'!$F$2*78.233+IFERROR(--RIGHT(A2911,6),LEN(A2911))*0.0137+IFERROR(--RIGHT(B2911,6),LEN(B2911))*0.0071))*43758.5453,1),"")</f>
        <v/>
      </c>
      <c r="E2911" s="0" t="str">
        <f aca="false">IF(C2911=1,INT(MOD(ABS(SIN(D2911*7919.123+ROW()*0.618+'הדבקת לידים'!$F$2*1.3))*43758.5453,1)*1000000)*10000+ROW(),"")</f>
        <v/>
      </c>
      <c r="F2911" s="0" t="str">
        <f aca="false">IF(E2911="","",RANK(E2911,$E$2:$E$5001,1))</f>
        <v/>
      </c>
      <c r="G2911" s="0" t="n">
        <f aca="false">IF(A2911="",0,IF(SUMPRODUCT(--($A$2:$A$5001=A2911))&gt;1,1,0))</f>
        <v>0</v>
      </c>
      <c r="H2911" s="0" t="n">
        <f aca="false">ROW()-1</f>
        <v>2910</v>
      </c>
      <c r="I2911" s="0" t="str">
        <f aca="false">IF(OR(הגדרות!$E$6=0,H2911&gt;הגדרות!$E$5),"",IF(H2911-1&lt;הגדרות!$E$8*(הגדרות!$E$7+1),INT((H2911-1)/(הגדרות!$E$7+1)),הגדרות!$E$8+INT((H2911-1-הגדרות!$E$8*(הגדרות!$E$7+1))/הגדרות!$E$7)))</f>
        <v/>
      </c>
      <c r="J2911" s="0" t="str">
        <f aca="false">IF(I2911="","",IF(H2911-1&lt;הגדרות!$E$8*(הגדרות!$E$7+1),MOD(H2911-1,הגדרות!$E$7+1),MOD(H2911-1-הגדרות!$E$8*(הגדרות!$E$7+1),הגדרות!$E$7)))</f>
        <v/>
      </c>
      <c r="K2911" s="0" t="str">
        <f aca="false">IF(I2911="","",J2911*הגדרות!$E$6+I2911+1)</f>
        <v/>
      </c>
      <c r="L2911" s="0" t="str">
        <f aca="false">IF(K2911="","",MATCH(K2911,$F$2:$F$5001,0))</f>
        <v/>
      </c>
      <c r="M2911" s="0" t="str">
        <f aca="false">IF(I2911="","",INDEX(הגדרות!$A$2:$A$21,MOD(I2911+הגדרות!$E$9,הגדרות!$E$6)+1))</f>
        <v/>
      </c>
    </row>
    <row r="2912" customFormat="false" ht="15" hidden="false" customHeight="false" outlineLevel="0" collapsed="false">
      <c r="A2912" s="0" t="str">
        <f aca="false">IF('הדבקת לידים'!A2912="","",IF(ISNUMBER('הדבקת לידים'!A2912),IF(הגדרות!$E$2&gt;0,TEXT('הדבקת לידים'!A2912,REPT("0",הגדרות!$E$2)),TEXT('הדבקת לידים'!A2912,"0")),TRIM('הדבקת לידים'!A2912)))</f>
        <v/>
      </c>
      <c r="B2912" s="0" t="str">
        <f aca="false">IF('הדבקת לידים'!B2912="","",IF(ISNUMBER('הדבקת לידים'!B2912),IF(הגדרות!$E$3&gt;0,TEXT('הדבקת לידים'!B2912,REPT("0",הגדרות!$E$3)),TEXT('הדבקת לידים'!B2912,"0")),TRIM('הדבקת לידים'!B2912)))</f>
        <v/>
      </c>
      <c r="C2912" s="0" t="n">
        <f aca="false">IF(OR(A2912&lt;&gt;"",B2912&lt;&gt;""),1,0)</f>
        <v>0</v>
      </c>
      <c r="D2912" s="0" t="str">
        <f aca="false">IF(C2912=1,MOD(ABS(SIN(ROW()*12.9898+'הדבקת לידים'!$F$2*78.233+IFERROR(--RIGHT(A2912,6),LEN(A2912))*0.0137+IFERROR(--RIGHT(B2912,6),LEN(B2912))*0.0071))*43758.5453,1),"")</f>
        <v/>
      </c>
      <c r="E2912" s="0" t="str">
        <f aca="false">IF(C2912=1,INT(MOD(ABS(SIN(D2912*7919.123+ROW()*0.618+'הדבקת לידים'!$F$2*1.3))*43758.5453,1)*1000000)*10000+ROW(),"")</f>
        <v/>
      </c>
      <c r="F2912" s="0" t="str">
        <f aca="false">IF(E2912="","",RANK(E2912,$E$2:$E$5001,1))</f>
        <v/>
      </c>
      <c r="G2912" s="0" t="n">
        <f aca="false">IF(A2912="",0,IF(SUMPRODUCT(--($A$2:$A$5001=A2912))&gt;1,1,0))</f>
        <v>0</v>
      </c>
      <c r="H2912" s="0" t="n">
        <f aca="false">ROW()-1</f>
        <v>2911</v>
      </c>
      <c r="I2912" s="0" t="str">
        <f aca="false">IF(OR(הגדרות!$E$6=0,H2912&gt;הגדרות!$E$5),"",IF(H2912-1&lt;הגדרות!$E$8*(הגדרות!$E$7+1),INT((H2912-1)/(הגדרות!$E$7+1)),הגדרות!$E$8+INT((H2912-1-הגדרות!$E$8*(הגדרות!$E$7+1))/הגדרות!$E$7)))</f>
        <v/>
      </c>
      <c r="J2912" s="0" t="str">
        <f aca="false">IF(I2912="","",IF(H2912-1&lt;הגדרות!$E$8*(הגדרות!$E$7+1),MOD(H2912-1,הגדרות!$E$7+1),MOD(H2912-1-הגדרות!$E$8*(הגדרות!$E$7+1),הגדרות!$E$7)))</f>
        <v/>
      </c>
      <c r="K2912" s="0" t="str">
        <f aca="false">IF(I2912="","",J2912*הגדרות!$E$6+I2912+1)</f>
        <v/>
      </c>
      <c r="L2912" s="0" t="str">
        <f aca="false">IF(K2912="","",MATCH(K2912,$F$2:$F$5001,0))</f>
        <v/>
      </c>
      <c r="M2912" s="0" t="str">
        <f aca="false">IF(I2912="","",INDEX(הגדרות!$A$2:$A$21,MOD(I2912+הגדרות!$E$9,הגדרות!$E$6)+1))</f>
        <v/>
      </c>
    </row>
    <row r="2913" customFormat="false" ht="15" hidden="false" customHeight="false" outlineLevel="0" collapsed="false">
      <c r="A2913" s="0" t="str">
        <f aca="false">IF('הדבקת לידים'!A2913="","",IF(ISNUMBER('הדבקת לידים'!A2913),IF(הגדרות!$E$2&gt;0,TEXT('הדבקת לידים'!A2913,REPT("0",הגדרות!$E$2)),TEXT('הדבקת לידים'!A2913,"0")),TRIM('הדבקת לידים'!A2913)))</f>
        <v/>
      </c>
      <c r="B2913" s="0" t="str">
        <f aca="false">IF('הדבקת לידים'!B2913="","",IF(ISNUMBER('הדבקת לידים'!B2913),IF(הגדרות!$E$3&gt;0,TEXT('הדבקת לידים'!B2913,REPT("0",הגדרות!$E$3)),TEXT('הדבקת לידים'!B2913,"0")),TRIM('הדבקת לידים'!B2913)))</f>
        <v/>
      </c>
      <c r="C2913" s="0" t="n">
        <f aca="false">IF(OR(A2913&lt;&gt;"",B2913&lt;&gt;""),1,0)</f>
        <v>0</v>
      </c>
      <c r="D2913" s="0" t="str">
        <f aca="false">IF(C2913=1,MOD(ABS(SIN(ROW()*12.9898+'הדבקת לידים'!$F$2*78.233+IFERROR(--RIGHT(A2913,6),LEN(A2913))*0.0137+IFERROR(--RIGHT(B2913,6),LEN(B2913))*0.0071))*43758.5453,1),"")</f>
        <v/>
      </c>
      <c r="E2913" s="0" t="str">
        <f aca="false">IF(C2913=1,INT(MOD(ABS(SIN(D2913*7919.123+ROW()*0.618+'הדבקת לידים'!$F$2*1.3))*43758.5453,1)*1000000)*10000+ROW(),"")</f>
        <v/>
      </c>
      <c r="F2913" s="0" t="str">
        <f aca="false">IF(E2913="","",RANK(E2913,$E$2:$E$5001,1))</f>
        <v/>
      </c>
      <c r="G2913" s="0" t="n">
        <f aca="false">IF(A2913="",0,IF(SUMPRODUCT(--($A$2:$A$5001=A2913))&gt;1,1,0))</f>
        <v>0</v>
      </c>
      <c r="H2913" s="0" t="n">
        <f aca="false">ROW()-1</f>
        <v>2912</v>
      </c>
      <c r="I2913" s="0" t="str">
        <f aca="false">IF(OR(הגדרות!$E$6=0,H2913&gt;הגדרות!$E$5),"",IF(H2913-1&lt;הגדרות!$E$8*(הגדרות!$E$7+1),INT((H2913-1)/(הגדרות!$E$7+1)),הגדרות!$E$8+INT((H2913-1-הגדרות!$E$8*(הגדרות!$E$7+1))/הגדרות!$E$7)))</f>
        <v/>
      </c>
      <c r="J2913" s="0" t="str">
        <f aca="false">IF(I2913="","",IF(H2913-1&lt;הגדרות!$E$8*(הגדרות!$E$7+1),MOD(H2913-1,הגדרות!$E$7+1),MOD(H2913-1-הגדרות!$E$8*(הגדרות!$E$7+1),הגדרות!$E$7)))</f>
        <v/>
      </c>
      <c r="K2913" s="0" t="str">
        <f aca="false">IF(I2913="","",J2913*הגדרות!$E$6+I2913+1)</f>
        <v/>
      </c>
      <c r="L2913" s="0" t="str">
        <f aca="false">IF(K2913="","",MATCH(K2913,$F$2:$F$5001,0))</f>
        <v/>
      </c>
      <c r="M2913" s="0" t="str">
        <f aca="false">IF(I2913="","",INDEX(הגדרות!$A$2:$A$21,MOD(I2913+הגדרות!$E$9,הגדרות!$E$6)+1))</f>
        <v/>
      </c>
    </row>
    <row r="2914" customFormat="false" ht="15" hidden="false" customHeight="false" outlineLevel="0" collapsed="false">
      <c r="A2914" s="0" t="str">
        <f aca="false">IF('הדבקת לידים'!A2914="","",IF(ISNUMBER('הדבקת לידים'!A2914),IF(הגדרות!$E$2&gt;0,TEXT('הדבקת לידים'!A2914,REPT("0",הגדרות!$E$2)),TEXT('הדבקת לידים'!A2914,"0")),TRIM('הדבקת לידים'!A2914)))</f>
        <v/>
      </c>
      <c r="B2914" s="0" t="str">
        <f aca="false">IF('הדבקת לידים'!B2914="","",IF(ISNUMBER('הדבקת לידים'!B2914),IF(הגדרות!$E$3&gt;0,TEXT('הדבקת לידים'!B2914,REPT("0",הגדרות!$E$3)),TEXT('הדבקת לידים'!B2914,"0")),TRIM('הדבקת לידים'!B2914)))</f>
        <v/>
      </c>
      <c r="C2914" s="0" t="n">
        <f aca="false">IF(OR(A2914&lt;&gt;"",B2914&lt;&gt;""),1,0)</f>
        <v>0</v>
      </c>
      <c r="D2914" s="0" t="str">
        <f aca="false">IF(C2914=1,MOD(ABS(SIN(ROW()*12.9898+'הדבקת לידים'!$F$2*78.233+IFERROR(--RIGHT(A2914,6),LEN(A2914))*0.0137+IFERROR(--RIGHT(B2914,6),LEN(B2914))*0.0071))*43758.5453,1),"")</f>
        <v/>
      </c>
      <c r="E2914" s="0" t="str">
        <f aca="false">IF(C2914=1,INT(MOD(ABS(SIN(D2914*7919.123+ROW()*0.618+'הדבקת לידים'!$F$2*1.3))*43758.5453,1)*1000000)*10000+ROW(),"")</f>
        <v/>
      </c>
      <c r="F2914" s="0" t="str">
        <f aca="false">IF(E2914="","",RANK(E2914,$E$2:$E$5001,1))</f>
        <v/>
      </c>
      <c r="G2914" s="0" t="n">
        <f aca="false">IF(A2914="",0,IF(SUMPRODUCT(--($A$2:$A$5001=A2914))&gt;1,1,0))</f>
        <v>0</v>
      </c>
      <c r="H2914" s="0" t="n">
        <f aca="false">ROW()-1</f>
        <v>2913</v>
      </c>
      <c r="I2914" s="0" t="str">
        <f aca="false">IF(OR(הגדרות!$E$6=0,H2914&gt;הגדרות!$E$5),"",IF(H2914-1&lt;הגדרות!$E$8*(הגדרות!$E$7+1),INT((H2914-1)/(הגדרות!$E$7+1)),הגדרות!$E$8+INT((H2914-1-הגדרות!$E$8*(הגדרות!$E$7+1))/הגדרות!$E$7)))</f>
        <v/>
      </c>
      <c r="J2914" s="0" t="str">
        <f aca="false">IF(I2914="","",IF(H2914-1&lt;הגדרות!$E$8*(הגדרות!$E$7+1),MOD(H2914-1,הגדרות!$E$7+1),MOD(H2914-1-הגדרות!$E$8*(הגדרות!$E$7+1),הגדרות!$E$7)))</f>
        <v/>
      </c>
      <c r="K2914" s="0" t="str">
        <f aca="false">IF(I2914="","",J2914*הגדרות!$E$6+I2914+1)</f>
        <v/>
      </c>
      <c r="L2914" s="0" t="str">
        <f aca="false">IF(K2914="","",MATCH(K2914,$F$2:$F$5001,0))</f>
        <v/>
      </c>
      <c r="M2914" s="0" t="str">
        <f aca="false">IF(I2914="","",INDEX(הגדרות!$A$2:$A$21,MOD(I2914+הגדרות!$E$9,הגדרות!$E$6)+1))</f>
        <v/>
      </c>
    </row>
    <row r="2915" customFormat="false" ht="15" hidden="false" customHeight="false" outlineLevel="0" collapsed="false">
      <c r="A2915" s="0" t="str">
        <f aca="false">IF('הדבקת לידים'!A2915="","",IF(ISNUMBER('הדבקת לידים'!A2915),IF(הגדרות!$E$2&gt;0,TEXT('הדבקת לידים'!A2915,REPT("0",הגדרות!$E$2)),TEXT('הדבקת לידים'!A2915,"0")),TRIM('הדבקת לידים'!A2915)))</f>
        <v/>
      </c>
      <c r="B2915" s="0" t="str">
        <f aca="false">IF('הדבקת לידים'!B2915="","",IF(ISNUMBER('הדבקת לידים'!B2915),IF(הגדרות!$E$3&gt;0,TEXT('הדבקת לידים'!B2915,REPT("0",הגדרות!$E$3)),TEXT('הדבקת לידים'!B2915,"0")),TRIM('הדבקת לידים'!B2915)))</f>
        <v/>
      </c>
      <c r="C2915" s="0" t="n">
        <f aca="false">IF(OR(A2915&lt;&gt;"",B2915&lt;&gt;""),1,0)</f>
        <v>0</v>
      </c>
      <c r="D2915" s="0" t="str">
        <f aca="false">IF(C2915=1,MOD(ABS(SIN(ROW()*12.9898+'הדבקת לידים'!$F$2*78.233+IFERROR(--RIGHT(A2915,6),LEN(A2915))*0.0137+IFERROR(--RIGHT(B2915,6),LEN(B2915))*0.0071))*43758.5453,1),"")</f>
        <v/>
      </c>
      <c r="E2915" s="0" t="str">
        <f aca="false">IF(C2915=1,INT(MOD(ABS(SIN(D2915*7919.123+ROW()*0.618+'הדבקת לידים'!$F$2*1.3))*43758.5453,1)*1000000)*10000+ROW(),"")</f>
        <v/>
      </c>
      <c r="F2915" s="0" t="str">
        <f aca="false">IF(E2915="","",RANK(E2915,$E$2:$E$5001,1))</f>
        <v/>
      </c>
      <c r="G2915" s="0" t="n">
        <f aca="false">IF(A2915="",0,IF(SUMPRODUCT(--($A$2:$A$5001=A2915))&gt;1,1,0))</f>
        <v>0</v>
      </c>
      <c r="H2915" s="0" t="n">
        <f aca="false">ROW()-1</f>
        <v>2914</v>
      </c>
      <c r="I2915" s="0" t="str">
        <f aca="false">IF(OR(הגדרות!$E$6=0,H2915&gt;הגדרות!$E$5),"",IF(H2915-1&lt;הגדרות!$E$8*(הגדרות!$E$7+1),INT((H2915-1)/(הגדרות!$E$7+1)),הגדרות!$E$8+INT((H2915-1-הגדרות!$E$8*(הגדרות!$E$7+1))/הגדרות!$E$7)))</f>
        <v/>
      </c>
      <c r="J2915" s="0" t="str">
        <f aca="false">IF(I2915="","",IF(H2915-1&lt;הגדרות!$E$8*(הגדרות!$E$7+1),MOD(H2915-1,הגדרות!$E$7+1),MOD(H2915-1-הגדרות!$E$8*(הגדרות!$E$7+1),הגדרות!$E$7)))</f>
        <v/>
      </c>
      <c r="K2915" s="0" t="str">
        <f aca="false">IF(I2915="","",J2915*הגדרות!$E$6+I2915+1)</f>
        <v/>
      </c>
      <c r="L2915" s="0" t="str">
        <f aca="false">IF(K2915="","",MATCH(K2915,$F$2:$F$5001,0))</f>
        <v/>
      </c>
      <c r="M2915" s="0" t="str">
        <f aca="false">IF(I2915="","",INDEX(הגדרות!$A$2:$A$21,MOD(I2915+הגדרות!$E$9,הגדרות!$E$6)+1))</f>
        <v/>
      </c>
    </row>
    <row r="2916" customFormat="false" ht="15" hidden="false" customHeight="false" outlineLevel="0" collapsed="false">
      <c r="A2916" s="0" t="str">
        <f aca="false">IF('הדבקת לידים'!A2916="","",IF(ISNUMBER('הדבקת לידים'!A2916),IF(הגדרות!$E$2&gt;0,TEXT('הדבקת לידים'!A2916,REPT("0",הגדרות!$E$2)),TEXT('הדבקת לידים'!A2916,"0")),TRIM('הדבקת לידים'!A2916)))</f>
        <v/>
      </c>
      <c r="B2916" s="0" t="str">
        <f aca="false">IF('הדבקת לידים'!B2916="","",IF(ISNUMBER('הדבקת לידים'!B2916),IF(הגדרות!$E$3&gt;0,TEXT('הדבקת לידים'!B2916,REPT("0",הגדרות!$E$3)),TEXT('הדבקת לידים'!B2916,"0")),TRIM('הדבקת לידים'!B2916)))</f>
        <v/>
      </c>
      <c r="C2916" s="0" t="n">
        <f aca="false">IF(OR(A2916&lt;&gt;"",B2916&lt;&gt;""),1,0)</f>
        <v>0</v>
      </c>
      <c r="D2916" s="0" t="str">
        <f aca="false">IF(C2916=1,MOD(ABS(SIN(ROW()*12.9898+'הדבקת לידים'!$F$2*78.233+IFERROR(--RIGHT(A2916,6),LEN(A2916))*0.0137+IFERROR(--RIGHT(B2916,6),LEN(B2916))*0.0071))*43758.5453,1),"")</f>
        <v/>
      </c>
      <c r="E2916" s="0" t="str">
        <f aca="false">IF(C2916=1,INT(MOD(ABS(SIN(D2916*7919.123+ROW()*0.618+'הדבקת לידים'!$F$2*1.3))*43758.5453,1)*1000000)*10000+ROW(),"")</f>
        <v/>
      </c>
      <c r="F2916" s="0" t="str">
        <f aca="false">IF(E2916="","",RANK(E2916,$E$2:$E$5001,1))</f>
        <v/>
      </c>
      <c r="G2916" s="0" t="n">
        <f aca="false">IF(A2916="",0,IF(SUMPRODUCT(--($A$2:$A$5001=A2916))&gt;1,1,0))</f>
        <v>0</v>
      </c>
      <c r="H2916" s="0" t="n">
        <f aca="false">ROW()-1</f>
        <v>2915</v>
      </c>
      <c r="I2916" s="0" t="str">
        <f aca="false">IF(OR(הגדרות!$E$6=0,H2916&gt;הגדרות!$E$5),"",IF(H2916-1&lt;הגדרות!$E$8*(הגדרות!$E$7+1),INT((H2916-1)/(הגדרות!$E$7+1)),הגדרות!$E$8+INT((H2916-1-הגדרות!$E$8*(הגדרות!$E$7+1))/הגדרות!$E$7)))</f>
        <v/>
      </c>
      <c r="J2916" s="0" t="str">
        <f aca="false">IF(I2916="","",IF(H2916-1&lt;הגדרות!$E$8*(הגדרות!$E$7+1),MOD(H2916-1,הגדרות!$E$7+1),MOD(H2916-1-הגדרות!$E$8*(הגדרות!$E$7+1),הגדרות!$E$7)))</f>
        <v/>
      </c>
      <c r="K2916" s="0" t="str">
        <f aca="false">IF(I2916="","",J2916*הגדרות!$E$6+I2916+1)</f>
        <v/>
      </c>
      <c r="L2916" s="0" t="str">
        <f aca="false">IF(K2916="","",MATCH(K2916,$F$2:$F$5001,0))</f>
        <v/>
      </c>
      <c r="M2916" s="0" t="str">
        <f aca="false">IF(I2916="","",INDEX(הגדרות!$A$2:$A$21,MOD(I2916+הגדרות!$E$9,הגדרות!$E$6)+1))</f>
        <v/>
      </c>
    </row>
    <row r="2917" customFormat="false" ht="15" hidden="false" customHeight="false" outlineLevel="0" collapsed="false">
      <c r="A2917" s="0" t="str">
        <f aca="false">IF('הדבקת לידים'!A2917="","",IF(ISNUMBER('הדבקת לידים'!A2917),IF(הגדרות!$E$2&gt;0,TEXT('הדבקת לידים'!A2917,REPT("0",הגדרות!$E$2)),TEXT('הדבקת לידים'!A2917,"0")),TRIM('הדבקת לידים'!A2917)))</f>
        <v/>
      </c>
      <c r="B2917" s="0" t="str">
        <f aca="false">IF('הדבקת לידים'!B2917="","",IF(ISNUMBER('הדבקת לידים'!B2917),IF(הגדרות!$E$3&gt;0,TEXT('הדבקת לידים'!B2917,REPT("0",הגדרות!$E$3)),TEXT('הדבקת לידים'!B2917,"0")),TRIM('הדבקת לידים'!B2917)))</f>
        <v/>
      </c>
      <c r="C2917" s="0" t="n">
        <f aca="false">IF(OR(A2917&lt;&gt;"",B2917&lt;&gt;""),1,0)</f>
        <v>0</v>
      </c>
      <c r="D2917" s="0" t="str">
        <f aca="false">IF(C2917=1,MOD(ABS(SIN(ROW()*12.9898+'הדבקת לידים'!$F$2*78.233+IFERROR(--RIGHT(A2917,6),LEN(A2917))*0.0137+IFERROR(--RIGHT(B2917,6),LEN(B2917))*0.0071))*43758.5453,1),"")</f>
        <v/>
      </c>
      <c r="E2917" s="0" t="str">
        <f aca="false">IF(C2917=1,INT(MOD(ABS(SIN(D2917*7919.123+ROW()*0.618+'הדבקת לידים'!$F$2*1.3))*43758.5453,1)*1000000)*10000+ROW(),"")</f>
        <v/>
      </c>
      <c r="F2917" s="0" t="str">
        <f aca="false">IF(E2917="","",RANK(E2917,$E$2:$E$5001,1))</f>
        <v/>
      </c>
      <c r="G2917" s="0" t="n">
        <f aca="false">IF(A2917="",0,IF(SUMPRODUCT(--($A$2:$A$5001=A2917))&gt;1,1,0))</f>
        <v>0</v>
      </c>
      <c r="H2917" s="0" t="n">
        <f aca="false">ROW()-1</f>
        <v>2916</v>
      </c>
      <c r="I2917" s="0" t="str">
        <f aca="false">IF(OR(הגדרות!$E$6=0,H2917&gt;הגדרות!$E$5),"",IF(H2917-1&lt;הגדרות!$E$8*(הגדרות!$E$7+1),INT((H2917-1)/(הגדרות!$E$7+1)),הגדרות!$E$8+INT((H2917-1-הגדרות!$E$8*(הגדרות!$E$7+1))/הגדרות!$E$7)))</f>
        <v/>
      </c>
      <c r="J2917" s="0" t="str">
        <f aca="false">IF(I2917="","",IF(H2917-1&lt;הגדרות!$E$8*(הגדרות!$E$7+1),MOD(H2917-1,הגדרות!$E$7+1),MOD(H2917-1-הגדרות!$E$8*(הגדרות!$E$7+1),הגדרות!$E$7)))</f>
        <v/>
      </c>
      <c r="K2917" s="0" t="str">
        <f aca="false">IF(I2917="","",J2917*הגדרות!$E$6+I2917+1)</f>
        <v/>
      </c>
      <c r="L2917" s="0" t="str">
        <f aca="false">IF(K2917="","",MATCH(K2917,$F$2:$F$5001,0))</f>
        <v/>
      </c>
      <c r="M2917" s="0" t="str">
        <f aca="false">IF(I2917="","",INDEX(הגדרות!$A$2:$A$21,MOD(I2917+הגדרות!$E$9,הגדרות!$E$6)+1))</f>
        <v/>
      </c>
    </row>
    <row r="2918" customFormat="false" ht="15" hidden="false" customHeight="false" outlineLevel="0" collapsed="false">
      <c r="A2918" s="0" t="str">
        <f aca="false">IF('הדבקת לידים'!A2918="","",IF(ISNUMBER('הדבקת לידים'!A2918),IF(הגדרות!$E$2&gt;0,TEXT('הדבקת לידים'!A2918,REPT("0",הגדרות!$E$2)),TEXT('הדבקת לידים'!A2918,"0")),TRIM('הדבקת לידים'!A2918)))</f>
        <v/>
      </c>
      <c r="B2918" s="0" t="str">
        <f aca="false">IF('הדבקת לידים'!B2918="","",IF(ISNUMBER('הדבקת לידים'!B2918),IF(הגדרות!$E$3&gt;0,TEXT('הדבקת לידים'!B2918,REPT("0",הגדרות!$E$3)),TEXT('הדבקת לידים'!B2918,"0")),TRIM('הדבקת לידים'!B2918)))</f>
        <v/>
      </c>
      <c r="C2918" s="0" t="n">
        <f aca="false">IF(OR(A2918&lt;&gt;"",B2918&lt;&gt;""),1,0)</f>
        <v>0</v>
      </c>
      <c r="D2918" s="0" t="str">
        <f aca="false">IF(C2918=1,MOD(ABS(SIN(ROW()*12.9898+'הדבקת לידים'!$F$2*78.233+IFERROR(--RIGHT(A2918,6),LEN(A2918))*0.0137+IFERROR(--RIGHT(B2918,6),LEN(B2918))*0.0071))*43758.5453,1),"")</f>
        <v/>
      </c>
      <c r="E2918" s="0" t="str">
        <f aca="false">IF(C2918=1,INT(MOD(ABS(SIN(D2918*7919.123+ROW()*0.618+'הדבקת לידים'!$F$2*1.3))*43758.5453,1)*1000000)*10000+ROW(),"")</f>
        <v/>
      </c>
      <c r="F2918" s="0" t="str">
        <f aca="false">IF(E2918="","",RANK(E2918,$E$2:$E$5001,1))</f>
        <v/>
      </c>
      <c r="G2918" s="0" t="n">
        <f aca="false">IF(A2918="",0,IF(SUMPRODUCT(--($A$2:$A$5001=A2918))&gt;1,1,0))</f>
        <v>0</v>
      </c>
      <c r="H2918" s="0" t="n">
        <f aca="false">ROW()-1</f>
        <v>2917</v>
      </c>
      <c r="I2918" s="0" t="str">
        <f aca="false">IF(OR(הגדרות!$E$6=0,H2918&gt;הגדרות!$E$5),"",IF(H2918-1&lt;הגדרות!$E$8*(הגדרות!$E$7+1),INT((H2918-1)/(הגדרות!$E$7+1)),הגדרות!$E$8+INT((H2918-1-הגדרות!$E$8*(הגדרות!$E$7+1))/הגדרות!$E$7)))</f>
        <v/>
      </c>
      <c r="J2918" s="0" t="str">
        <f aca="false">IF(I2918="","",IF(H2918-1&lt;הגדרות!$E$8*(הגדרות!$E$7+1),MOD(H2918-1,הגדרות!$E$7+1),MOD(H2918-1-הגדרות!$E$8*(הגדרות!$E$7+1),הגדרות!$E$7)))</f>
        <v/>
      </c>
      <c r="K2918" s="0" t="str">
        <f aca="false">IF(I2918="","",J2918*הגדרות!$E$6+I2918+1)</f>
        <v/>
      </c>
      <c r="L2918" s="0" t="str">
        <f aca="false">IF(K2918="","",MATCH(K2918,$F$2:$F$5001,0))</f>
        <v/>
      </c>
      <c r="M2918" s="0" t="str">
        <f aca="false">IF(I2918="","",INDEX(הגדרות!$A$2:$A$21,MOD(I2918+הגדרות!$E$9,הגדרות!$E$6)+1))</f>
        <v/>
      </c>
    </row>
    <row r="2919" customFormat="false" ht="15" hidden="false" customHeight="false" outlineLevel="0" collapsed="false">
      <c r="A2919" s="0" t="str">
        <f aca="false">IF('הדבקת לידים'!A2919="","",IF(ISNUMBER('הדבקת לידים'!A2919),IF(הגדרות!$E$2&gt;0,TEXT('הדבקת לידים'!A2919,REPT("0",הגדרות!$E$2)),TEXT('הדבקת לידים'!A2919,"0")),TRIM('הדבקת לידים'!A2919)))</f>
        <v/>
      </c>
      <c r="B2919" s="0" t="str">
        <f aca="false">IF('הדבקת לידים'!B2919="","",IF(ISNUMBER('הדבקת לידים'!B2919),IF(הגדרות!$E$3&gt;0,TEXT('הדבקת לידים'!B2919,REPT("0",הגדרות!$E$3)),TEXT('הדבקת לידים'!B2919,"0")),TRIM('הדבקת לידים'!B2919)))</f>
        <v/>
      </c>
      <c r="C2919" s="0" t="n">
        <f aca="false">IF(OR(A2919&lt;&gt;"",B2919&lt;&gt;""),1,0)</f>
        <v>0</v>
      </c>
      <c r="D2919" s="0" t="str">
        <f aca="false">IF(C2919=1,MOD(ABS(SIN(ROW()*12.9898+'הדבקת לידים'!$F$2*78.233+IFERROR(--RIGHT(A2919,6),LEN(A2919))*0.0137+IFERROR(--RIGHT(B2919,6),LEN(B2919))*0.0071))*43758.5453,1),"")</f>
        <v/>
      </c>
      <c r="E2919" s="0" t="str">
        <f aca="false">IF(C2919=1,INT(MOD(ABS(SIN(D2919*7919.123+ROW()*0.618+'הדבקת לידים'!$F$2*1.3))*43758.5453,1)*1000000)*10000+ROW(),"")</f>
        <v/>
      </c>
      <c r="F2919" s="0" t="str">
        <f aca="false">IF(E2919="","",RANK(E2919,$E$2:$E$5001,1))</f>
        <v/>
      </c>
      <c r="G2919" s="0" t="n">
        <f aca="false">IF(A2919="",0,IF(SUMPRODUCT(--($A$2:$A$5001=A2919))&gt;1,1,0))</f>
        <v>0</v>
      </c>
      <c r="H2919" s="0" t="n">
        <f aca="false">ROW()-1</f>
        <v>2918</v>
      </c>
      <c r="I2919" s="0" t="str">
        <f aca="false">IF(OR(הגדרות!$E$6=0,H2919&gt;הגדרות!$E$5),"",IF(H2919-1&lt;הגדרות!$E$8*(הגדרות!$E$7+1),INT((H2919-1)/(הגדרות!$E$7+1)),הגדרות!$E$8+INT((H2919-1-הגדרות!$E$8*(הגדרות!$E$7+1))/הגדרות!$E$7)))</f>
        <v/>
      </c>
      <c r="J2919" s="0" t="str">
        <f aca="false">IF(I2919="","",IF(H2919-1&lt;הגדרות!$E$8*(הגדרות!$E$7+1),MOD(H2919-1,הגדרות!$E$7+1),MOD(H2919-1-הגדרות!$E$8*(הגדרות!$E$7+1),הגדרות!$E$7)))</f>
        <v/>
      </c>
      <c r="K2919" s="0" t="str">
        <f aca="false">IF(I2919="","",J2919*הגדרות!$E$6+I2919+1)</f>
        <v/>
      </c>
      <c r="L2919" s="0" t="str">
        <f aca="false">IF(K2919="","",MATCH(K2919,$F$2:$F$5001,0))</f>
        <v/>
      </c>
      <c r="M2919" s="0" t="str">
        <f aca="false">IF(I2919="","",INDEX(הגדרות!$A$2:$A$21,MOD(I2919+הגדרות!$E$9,הגדרות!$E$6)+1))</f>
        <v/>
      </c>
    </row>
    <row r="2920" customFormat="false" ht="15" hidden="false" customHeight="false" outlineLevel="0" collapsed="false">
      <c r="A2920" s="0" t="str">
        <f aca="false">IF('הדבקת לידים'!A2920="","",IF(ISNUMBER('הדבקת לידים'!A2920),IF(הגדרות!$E$2&gt;0,TEXT('הדבקת לידים'!A2920,REPT("0",הגדרות!$E$2)),TEXT('הדבקת לידים'!A2920,"0")),TRIM('הדבקת לידים'!A2920)))</f>
        <v/>
      </c>
      <c r="B2920" s="0" t="str">
        <f aca="false">IF('הדבקת לידים'!B2920="","",IF(ISNUMBER('הדבקת לידים'!B2920),IF(הגדרות!$E$3&gt;0,TEXT('הדבקת לידים'!B2920,REPT("0",הגדרות!$E$3)),TEXT('הדבקת לידים'!B2920,"0")),TRIM('הדבקת לידים'!B2920)))</f>
        <v/>
      </c>
      <c r="C2920" s="0" t="n">
        <f aca="false">IF(OR(A2920&lt;&gt;"",B2920&lt;&gt;""),1,0)</f>
        <v>0</v>
      </c>
      <c r="D2920" s="0" t="str">
        <f aca="false">IF(C2920=1,MOD(ABS(SIN(ROW()*12.9898+'הדבקת לידים'!$F$2*78.233+IFERROR(--RIGHT(A2920,6),LEN(A2920))*0.0137+IFERROR(--RIGHT(B2920,6),LEN(B2920))*0.0071))*43758.5453,1),"")</f>
        <v/>
      </c>
      <c r="E2920" s="0" t="str">
        <f aca="false">IF(C2920=1,INT(MOD(ABS(SIN(D2920*7919.123+ROW()*0.618+'הדבקת לידים'!$F$2*1.3))*43758.5453,1)*1000000)*10000+ROW(),"")</f>
        <v/>
      </c>
      <c r="F2920" s="0" t="str">
        <f aca="false">IF(E2920="","",RANK(E2920,$E$2:$E$5001,1))</f>
        <v/>
      </c>
      <c r="G2920" s="0" t="n">
        <f aca="false">IF(A2920="",0,IF(SUMPRODUCT(--($A$2:$A$5001=A2920))&gt;1,1,0))</f>
        <v>0</v>
      </c>
      <c r="H2920" s="0" t="n">
        <f aca="false">ROW()-1</f>
        <v>2919</v>
      </c>
      <c r="I2920" s="0" t="str">
        <f aca="false">IF(OR(הגדרות!$E$6=0,H2920&gt;הגדרות!$E$5),"",IF(H2920-1&lt;הגדרות!$E$8*(הגדרות!$E$7+1),INT((H2920-1)/(הגדרות!$E$7+1)),הגדרות!$E$8+INT((H2920-1-הגדרות!$E$8*(הגדרות!$E$7+1))/הגדרות!$E$7)))</f>
        <v/>
      </c>
      <c r="J2920" s="0" t="str">
        <f aca="false">IF(I2920="","",IF(H2920-1&lt;הגדרות!$E$8*(הגדרות!$E$7+1),MOD(H2920-1,הגדרות!$E$7+1),MOD(H2920-1-הגדרות!$E$8*(הגדרות!$E$7+1),הגדרות!$E$7)))</f>
        <v/>
      </c>
      <c r="K2920" s="0" t="str">
        <f aca="false">IF(I2920="","",J2920*הגדרות!$E$6+I2920+1)</f>
        <v/>
      </c>
      <c r="L2920" s="0" t="str">
        <f aca="false">IF(K2920="","",MATCH(K2920,$F$2:$F$5001,0))</f>
        <v/>
      </c>
      <c r="M2920" s="0" t="str">
        <f aca="false">IF(I2920="","",INDEX(הגדרות!$A$2:$A$21,MOD(I2920+הגדרות!$E$9,הגדרות!$E$6)+1))</f>
        <v/>
      </c>
    </row>
    <row r="2921" customFormat="false" ht="15" hidden="false" customHeight="false" outlineLevel="0" collapsed="false">
      <c r="A2921" s="0" t="str">
        <f aca="false">IF('הדבקת לידים'!A2921="","",IF(ISNUMBER('הדבקת לידים'!A2921),IF(הגדרות!$E$2&gt;0,TEXT('הדבקת לידים'!A2921,REPT("0",הגדרות!$E$2)),TEXT('הדבקת לידים'!A2921,"0")),TRIM('הדבקת לידים'!A2921)))</f>
        <v/>
      </c>
      <c r="B2921" s="0" t="str">
        <f aca="false">IF('הדבקת לידים'!B2921="","",IF(ISNUMBER('הדבקת לידים'!B2921),IF(הגדרות!$E$3&gt;0,TEXT('הדבקת לידים'!B2921,REPT("0",הגדרות!$E$3)),TEXT('הדבקת לידים'!B2921,"0")),TRIM('הדבקת לידים'!B2921)))</f>
        <v/>
      </c>
      <c r="C2921" s="0" t="n">
        <f aca="false">IF(OR(A2921&lt;&gt;"",B2921&lt;&gt;""),1,0)</f>
        <v>0</v>
      </c>
      <c r="D2921" s="0" t="str">
        <f aca="false">IF(C2921=1,MOD(ABS(SIN(ROW()*12.9898+'הדבקת לידים'!$F$2*78.233+IFERROR(--RIGHT(A2921,6),LEN(A2921))*0.0137+IFERROR(--RIGHT(B2921,6),LEN(B2921))*0.0071))*43758.5453,1),"")</f>
        <v/>
      </c>
      <c r="E2921" s="0" t="str">
        <f aca="false">IF(C2921=1,INT(MOD(ABS(SIN(D2921*7919.123+ROW()*0.618+'הדבקת לידים'!$F$2*1.3))*43758.5453,1)*1000000)*10000+ROW(),"")</f>
        <v/>
      </c>
      <c r="F2921" s="0" t="str">
        <f aca="false">IF(E2921="","",RANK(E2921,$E$2:$E$5001,1))</f>
        <v/>
      </c>
      <c r="G2921" s="0" t="n">
        <f aca="false">IF(A2921="",0,IF(SUMPRODUCT(--($A$2:$A$5001=A2921))&gt;1,1,0))</f>
        <v>0</v>
      </c>
      <c r="H2921" s="0" t="n">
        <f aca="false">ROW()-1</f>
        <v>2920</v>
      </c>
      <c r="I2921" s="0" t="str">
        <f aca="false">IF(OR(הגדרות!$E$6=0,H2921&gt;הגדרות!$E$5),"",IF(H2921-1&lt;הגדרות!$E$8*(הגדרות!$E$7+1),INT((H2921-1)/(הגדרות!$E$7+1)),הגדרות!$E$8+INT((H2921-1-הגדרות!$E$8*(הגדרות!$E$7+1))/הגדרות!$E$7)))</f>
        <v/>
      </c>
      <c r="J2921" s="0" t="str">
        <f aca="false">IF(I2921="","",IF(H2921-1&lt;הגדרות!$E$8*(הגדרות!$E$7+1),MOD(H2921-1,הגדרות!$E$7+1),MOD(H2921-1-הגדרות!$E$8*(הגדרות!$E$7+1),הגדרות!$E$7)))</f>
        <v/>
      </c>
      <c r="K2921" s="0" t="str">
        <f aca="false">IF(I2921="","",J2921*הגדרות!$E$6+I2921+1)</f>
        <v/>
      </c>
      <c r="L2921" s="0" t="str">
        <f aca="false">IF(K2921="","",MATCH(K2921,$F$2:$F$5001,0))</f>
        <v/>
      </c>
      <c r="M2921" s="0" t="str">
        <f aca="false">IF(I2921="","",INDEX(הגדרות!$A$2:$A$21,MOD(I2921+הגדרות!$E$9,הגדרות!$E$6)+1))</f>
        <v/>
      </c>
    </row>
    <row r="2922" customFormat="false" ht="15" hidden="false" customHeight="false" outlineLevel="0" collapsed="false">
      <c r="A2922" s="0" t="str">
        <f aca="false">IF('הדבקת לידים'!A2922="","",IF(ISNUMBER('הדבקת לידים'!A2922),IF(הגדרות!$E$2&gt;0,TEXT('הדבקת לידים'!A2922,REPT("0",הגדרות!$E$2)),TEXT('הדבקת לידים'!A2922,"0")),TRIM('הדבקת לידים'!A2922)))</f>
        <v/>
      </c>
      <c r="B2922" s="0" t="str">
        <f aca="false">IF('הדבקת לידים'!B2922="","",IF(ISNUMBER('הדבקת לידים'!B2922),IF(הגדרות!$E$3&gt;0,TEXT('הדבקת לידים'!B2922,REPT("0",הגדרות!$E$3)),TEXT('הדבקת לידים'!B2922,"0")),TRIM('הדבקת לידים'!B2922)))</f>
        <v/>
      </c>
      <c r="C2922" s="0" t="n">
        <f aca="false">IF(OR(A2922&lt;&gt;"",B2922&lt;&gt;""),1,0)</f>
        <v>0</v>
      </c>
      <c r="D2922" s="0" t="str">
        <f aca="false">IF(C2922=1,MOD(ABS(SIN(ROW()*12.9898+'הדבקת לידים'!$F$2*78.233+IFERROR(--RIGHT(A2922,6),LEN(A2922))*0.0137+IFERROR(--RIGHT(B2922,6),LEN(B2922))*0.0071))*43758.5453,1),"")</f>
        <v/>
      </c>
      <c r="E2922" s="0" t="str">
        <f aca="false">IF(C2922=1,INT(MOD(ABS(SIN(D2922*7919.123+ROW()*0.618+'הדבקת לידים'!$F$2*1.3))*43758.5453,1)*1000000)*10000+ROW(),"")</f>
        <v/>
      </c>
      <c r="F2922" s="0" t="str">
        <f aca="false">IF(E2922="","",RANK(E2922,$E$2:$E$5001,1))</f>
        <v/>
      </c>
      <c r="G2922" s="0" t="n">
        <f aca="false">IF(A2922="",0,IF(SUMPRODUCT(--($A$2:$A$5001=A2922))&gt;1,1,0))</f>
        <v>0</v>
      </c>
      <c r="H2922" s="0" t="n">
        <f aca="false">ROW()-1</f>
        <v>2921</v>
      </c>
      <c r="I2922" s="0" t="str">
        <f aca="false">IF(OR(הגדרות!$E$6=0,H2922&gt;הגדרות!$E$5),"",IF(H2922-1&lt;הגדרות!$E$8*(הגדרות!$E$7+1),INT((H2922-1)/(הגדרות!$E$7+1)),הגדרות!$E$8+INT((H2922-1-הגדרות!$E$8*(הגדרות!$E$7+1))/הגדרות!$E$7)))</f>
        <v/>
      </c>
      <c r="J2922" s="0" t="str">
        <f aca="false">IF(I2922="","",IF(H2922-1&lt;הגדרות!$E$8*(הגדרות!$E$7+1),MOD(H2922-1,הגדרות!$E$7+1),MOD(H2922-1-הגדרות!$E$8*(הגדרות!$E$7+1),הגדרות!$E$7)))</f>
        <v/>
      </c>
      <c r="K2922" s="0" t="str">
        <f aca="false">IF(I2922="","",J2922*הגדרות!$E$6+I2922+1)</f>
        <v/>
      </c>
      <c r="L2922" s="0" t="str">
        <f aca="false">IF(K2922="","",MATCH(K2922,$F$2:$F$5001,0))</f>
        <v/>
      </c>
      <c r="M2922" s="0" t="str">
        <f aca="false">IF(I2922="","",INDEX(הגדרות!$A$2:$A$21,MOD(I2922+הגדרות!$E$9,הגדרות!$E$6)+1))</f>
        <v/>
      </c>
    </row>
    <row r="2923" customFormat="false" ht="15" hidden="false" customHeight="false" outlineLevel="0" collapsed="false">
      <c r="A2923" s="0" t="str">
        <f aca="false">IF('הדבקת לידים'!A2923="","",IF(ISNUMBER('הדבקת לידים'!A2923),IF(הגדרות!$E$2&gt;0,TEXT('הדבקת לידים'!A2923,REPT("0",הגדרות!$E$2)),TEXT('הדבקת לידים'!A2923,"0")),TRIM('הדבקת לידים'!A2923)))</f>
        <v/>
      </c>
      <c r="B2923" s="0" t="str">
        <f aca="false">IF('הדבקת לידים'!B2923="","",IF(ISNUMBER('הדבקת לידים'!B2923),IF(הגדרות!$E$3&gt;0,TEXT('הדבקת לידים'!B2923,REPT("0",הגדרות!$E$3)),TEXT('הדבקת לידים'!B2923,"0")),TRIM('הדבקת לידים'!B2923)))</f>
        <v/>
      </c>
      <c r="C2923" s="0" t="n">
        <f aca="false">IF(OR(A2923&lt;&gt;"",B2923&lt;&gt;""),1,0)</f>
        <v>0</v>
      </c>
      <c r="D2923" s="0" t="str">
        <f aca="false">IF(C2923=1,MOD(ABS(SIN(ROW()*12.9898+'הדבקת לידים'!$F$2*78.233+IFERROR(--RIGHT(A2923,6),LEN(A2923))*0.0137+IFERROR(--RIGHT(B2923,6),LEN(B2923))*0.0071))*43758.5453,1),"")</f>
        <v/>
      </c>
      <c r="E2923" s="0" t="str">
        <f aca="false">IF(C2923=1,INT(MOD(ABS(SIN(D2923*7919.123+ROW()*0.618+'הדבקת לידים'!$F$2*1.3))*43758.5453,1)*1000000)*10000+ROW(),"")</f>
        <v/>
      </c>
      <c r="F2923" s="0" t="str">
        <f aca="false">IF(E2923="","",RANK(E2923,$E$2:$E$5001,1))</f>
        <v/>
      </c>
      <c r="G2923" s="0" t="n">
        <f aca="false">IF(A2923="",0,IF(SUMPRODUCT(--($A$2:$A$5001=A2923))&gt;1,1,0))</f>
        <v>0</v>
      </c>
      <c r="H2923" s="0" t="n">
        <f aca="false">ROW()-1</f>
        <v>2922</v>
      </c>
      <c r="I2923" s="0" t="str">
        <f aca="false">IF(OR(הגדרות!$E$6=0,H2923&gt;הגדרות!$E$5),"",IF(H2923-1&lt;הגדרות!$E$8*(הגדרות!$E$7+1),INT((H2923-1)/(הגדרות!$E$7+1)),הגדרות!$E$8+INT((H2923-1-הגדרות!$E$8*(הגדרות!$E$7+1))/הגדרות!$E$7)))</f>
        <v/>
      </c>
      <c r="J2923" s="0" t="str">
        <f aca="false">IF(I2923="","",IF(H2923-1&lt;הגדרות!$E$8*(הגדרות!$E$7+1),MOD(H2923-1,הגדרות!$E$7+1),MOD(H2923-1-הגדרות!$E$8*(הגדרות!$E$7+1),הגדרות!$E$7)))</f>
        <v/>
      </c>
      <c r="K2923" s="0" t="str">
        <f aca="false">IF(I2923="","",J2923*הגדרות!$E$6+I2923+1)</f>
        <v/>
      </c>
      <c r="L2923" s="0" t="str">
        <f aca="false">IF(K2923="","",MATCH(K2923,$F$2:$F$5001,0))</f>
        <v/>
      </c>
      <c r="M2923" s="0" t="str">
        <f aca="false">IF(I2923="","",INDEX(הגדרות!$A$2:$A$21,MOD(I2923+הגדרות!$E$9,הגדרות!$E$6)+1))</f>
        <v/>
      </c>
    </row>
    <row r="2924" customFormat="false" ht="15" hidden="false" customHeight="false" outlineLevel="0" collapsed="false">
      <c r="A2924" s="0" t="str">
        <f aca="false">IF('הדבקת לידים'!A2924="","",IF(ISNUMBER('הדבקת לידים'!A2924),IF(הגדרות!$E$2&gt;0,TEXT('הדבקת לידים'!A2924,REPT("0",הגדרות!$E$2)),TEXT('הדבקת לידים'!A2924,"0")),TRIM('הדבקת לידים'!A2924)))</f>
        <v/>
      </c>
      <c r="B2924" s="0" t="str">
        <f aca="false">IF('הדבקת לידים'!B2924="","",IF(ISNUMBER('הדבקת לידים'!B2924),IF(הגדרות!$E$3&gt;0,TEXT('הדבקת לידים'!B2924,REPT("0",הגדרות!$E$3)),TEXT('הדבקת לידים'!B2924,"0")),TRIM('הדבקת לידים'!B2924)))</f>
        <v/>
      </c>
      <c r="C2924" s="0" t="n">
        <f aca="false">IF(OR(A2924&lt;&gt;"",B2924&lt;&gt;""),1,0)</f>
        <v>0</v>
      </c>
      <c r="D2924" s="0" t="str">
        <f aca="false">IF(C2924=1,MOD(ABS(SIN(ROW()*12.9898+'הדבקת לידים'!$F$2*78.233+IFERROR(--RIGHT(A2924,6),LEN(A2924))*0.0137+IFERROR(--RIGHT(B2924,6),LEN(B2924))*0.0071))*43758.5453,1),"")</f>
        <v/>
      </c>
      <c r="E2924" s="0" t="str">
        <f aca="false">IF(C2924=1,INT(MOD(ABS(SIN(D2924*7919.123+ROW()*0.618+'הדבקת לידים'!$F$2*1.3))*43758.5453,1)*1000000)*10000+ROW(),"")</f>
        <v/>
      </c>
      <c r="F2924" s="0" t="str">
        <f aca="false">IF(E2924="","",RANK(E2924,$E$2:$E$5001,1))</f>
        <v/>
      </c>
      <c r="G2924" s="0" t="n">
        <f aca="false">IF(A2924="",0,IF(SUMPRODUCT(--($A$2:$A$5001=A2924))&gt;1,1,0))</f>
        <v>0</v>
      </c>
      <c r="H2924" s="0" t="n">
        <f aca="false">ROW()-1</f>
        <v>2923</v>
      </c>
      <c r="I2924" s="0" t="str">
        <f aca="false">IF(OR(הגדרות!$E$6=0,H2924&gt;הגדרות!$E$5),"",IF(H2924-1&lt;הגדרות!$E$8*(הגדרות!$E$7+1),INT((H2924-1)/(הגדרות!$E$7+1)),הגדרות!$E$8+INT((H2924-1-הגדרות!$E$8*(הגדרות!$E$7+1))/הגדרות!$E$7)))</f>
        <v/>
      </c>
      <c r="J2924" s="0" t="str">
        <f aca="false">IF(I2924="","",IF(H2924-1&lt;הגדרות!$E$8*(הגדרות!$E$7+1),MOD(H2924-1,הגדרות!$E$7+1),MOD(H2924-1-הגדרות!$E$8*(הגדרות!$E$7+1),הגדרות!$E$7)))</f>
        <v/>
      </c>
      <c r="K2924" s="0" t="str">
        <f aca="false">IF(I2924="","",J2924*הגדרות!$E$6+I2924+1)</f>
        <v/>
      </c>
      <c r="L2924" s="0" t="str">
        <f aca="false">IF(K2924="","",MATCH(K2924,$F$2:$F$5001,0))</f>
        <v/>
      </c>
      <c r="M2924" s="0" t="str">
        <f aca="false">IF(I2924="","",INDEX(הגדרות!$A$2:$A$21,MOD(I2924+הגדרות!$E$9,הגדרות!$E$6)+1))</f>
        <v/>
      </c>
    </row>
    <row r="2925" customFormat="false" ht="15" hidden="false" customHeight="false" outlineLevel="0" collapsed="false">
      <c r="A2925" s="0" t="str">
        <f aca="false">IF('הדבקת לידים'!A2925="","",IF(ISNUMBER('הדבקת לידים'!A2925),IF(הגדרות!$E$2&gt;0,TEXT('הדבקת לידים'!A2925,REPT("0",הגדרות!$E$2)),TEXT('הדבקת לידים'!A2925,"0")),TRIM('הדבקת לידים'!A2925)))</f>
        <v/>
      </c>
      <c r="B2925" s="0" t="str">
        <f aca="false">IF('הדבקת לידים'!B2925="","",IF(ISNUMBER('הדבקת לידים'!B2925),IF(הגדרות!$E$3&gt;0,TEXT('הדבקת לידים'!B2925,REPT("0",הגדרות!$E$3)),TEXT('הדבקת לידים'!B2925,"0")),TRIM('הדבקת לידים'!B2925)))</f>
        <v/>
      </c>
      <c r="C2925" s="0" t="n">
        <f aca="false">IF(OR(A2925&lt;&gt;"",B2925&lt;&gt;""),1,0)</f>
        <v>0</v>
      </c>
      <c r="D2925" s="0" t="str">
        <f aca="false">IF(C2925=1,MOD(ABS(SIN(ROW()*12.9898+'הדבקת לידים'!$F$2*78.233+IFERROR(--RIGHT(A2925,6),LEN(A2925))*0.0137+IFERROR(--RIGHT(B2925,6),LEN(B2925))*0.0071))*43758.5453,1),"")</f>
        <v/>
      </c>
      <c r="E2925" s="0" t="str">
        <f aca="false">IF(C2925=1,INT(MOD(ABS(SIN(D2925*7919.123+ROW()*0.618+'הדבקת לידים'!$F$2*1.3))*43758.5453,1)*1000000)*10000+ROW(),"")</f>
        <v/>
      </c>
      <c r="F2925" s="0" t="str">
        <f aca="false">IF(E2925="","",RANK(E2925,$E$2:$E$5001,1))</f>
        <v/>
      </c>
      <c r="G2925" s="0" t="n">
        <f aca="false">IF(A2925="",0,IF(SUMPRODUCT(--($A$2:$A$5001=A2925))&gt;1,1,0))</f>
        <v>0</v>
      </c>
      <c r="H2925" s="0" t="n">
        <f aca="false">ROW()-1</f>
        <v>2924</v>
      </c>
      <c r="I2925" s="0" t="str">
        <f aca="false">IF(OR(הגדרות!$E$6=0,H2925&gt;הגדרות!$E$5),"",IF(H2925-1&lt;הגדרות!$E$8*(הגדרות!$E$7+1),INT((H2925-1)/(הגדרות!$E$7+1)),הגדרות!$E$8+INT((H2925-1-הגדרות!$E$8*(הגדרות!$E$7+1))/הגדרות!$E$7)))</f>
        <v/>
      </c>
      <c r="J2925" s="0" t="str">
        <f aca="false">IF(I2925="","",IF(H2925-1&lt;הגדרות!$E$8*(הגדרות!$E$7+1),MOD(H2925-1,הגדרות!$E$7+1),MOD(H2925-1-הגדרות!$E$8*(הגדרות!$E$7+1),הגדרות!$E$7)))</f>
        <v/>
      </c>
      <c r="K2925" s="0" t="str">
        <f aca="false">IF(I2925="","",J2925*הגדרות!$E$6+I2925+1)</f>
        <v/>
      </c>
      <c r="L2925" s="0" t="str">
        <f aca="false">IF(K2925="","",MATCH(K2925,$F$2:$F$5001,0))</f>
        <v/>
      </c>
      <c r="M2925" s="0" t="str">
        <f aca="false">IF(I2925="","",INDEX(הגדרות!$A$2:$A$21,MOD(I2925+הגדרות!$E$9,הגדרות!$E$6)+1))</f>
        <v/>
      </c>
    </row>
    <row r="2926" customFormat="false" ht="15" hidden="false" customHeight="false" outlineLevel="0" collapsed="false">
      <c r="A2926" s="0" t="str">
        <f aca="false">IF('הדבקת לידים'!A2926="","",IF(ISNUMBER('הדבקת לידים'!A2926),IF(הגדרות!$E$2&gt;0,TEXT('הדבקת לידים'!A2926,REPT("0",הגדרות!$E$2)),TEXT('הדבקת לידים'!A2926,"0")),TRIM('הדבקת לידים'!A2926)))</f>
        <v/>
      </c>
      <c r="B2926" s="0" t="str">
        <f aca="false">IF('הדבקת לידים'!B2926="","",IF(ISNUMBER('הדבקת לידים'!B2926),IF(הגדרות!$E$3&gt;0,TEXT('הדבקת לידים'!B2926,REPT("0",הגדרות!$E$3)),TEXT('הדבקת לידים'!B2926,"0")),TRIM('הדבקת לידים'!B2926)))</f>
        <v/>
      </c>
      <c r="C2926" s="0" t="n">
        <f aca="false">IF(OR(A2926&lt;&gt;"",B2926&lt;&gt;""),1,0)</f>
        <v>0</v>
      </c>
      <c r="D2926" s="0" t="str">
        <f aca="false">IF(C2926=1,MOD(ABS(SIN(ROW()*12.9898+'הדבקת לידים'!$F$2*78.233+IFERROR(--RIGHT(A2926,6),LEN(A2926))*0.0137+IFERROR(--RIGHT(B2926,6),LEN(B2926))*0.0071))*43758.5453,1),"")</f>
        <v/>
      </c>
      <c r="E2926" s="0" t="str">
        <f aca="false">IF(C2926=1,INT(MOD(ABS(SIN(D2926*7919.123+ROW()*0.618+'הדבקת לידים'!$F$2*1.3))*43758.5453,1)*1000000)*10000+ROW(),"")</f>
        <v/>
      </c>
      <c r="F2926" s="0" t="str">
        <f aca="false">IF(E2926="","",RANK(E2926,$E$2:$E$5001,1))</f>
        <v/>
      </c>
      <c r="G2926" s="0" t="n">
        <f aca="false">IF(A2926="",0,IF(SUMPRODUCT(--($A$2:$A$5001=A2926))&gt;1,1,0))</f>
        <v>0</v>
      </c>
      <c r="H2926" s="0" t="n">
        <f aca="false">ROW()-1</f>
        <v>2925</v>
      </c>
      <c r="I2926" s="0" t="str">
        <f aca="false">IF(OR(הגדרות!$E$6=0,H2926&gt;הגדרות!$E$5),"",IF(H2926-1&lt;הגדרות!$E$8*(הגדרות!$E$7+1),INT((H2926-1)/(הגדרות!$E$7+1)),הגדרות!$E$8+INT((H2926-1-הגדרות!$E$8*(הגדרות!$E$7+1))/הגדרות!$E$7)))</f>
        <v/>
      </c>
      <c r="J2926" s="0" t="str">
        <f aca="false">IF(I2926="","",IF(H2926-1&lt;הגדרות!$E$8*(הגדרות!$E$7+1),MOD(H2926-1,הגדרות!$E$7+1),MOD(H2926-1-הגדרות!$E$8*(הגדרות!$E$7+1),הגדרות!$E$7)))</f>
        <v/>
      </c>
      <c r="K2926" s="0" t="str">
        <f aca="false">IF(I2926="","",J2926*הגדרות!$E$6+I2926+1)</f>
        <v/>
      </c>
      <c r="L2926" s="0" t="str">
        <f aca="false">IF(K2926="","",MATCH(K2926,$F$2:$F$5001,0))</f>
        <v/>
      </c>
      <c r="M2926" s="0" t="str">
        <f aca="false">IF(I2926="","",INDEX(הגדרות!$A$2:$A$21,MOD(I2926+הגדרות!$E$9,הגדרות!$E$6)+1))</f>
        <v/>
      </c>
    </row>
    <row r="2927" customFormat="false" ht="15" hidden="false" customHeight="false" outlineLevel="0" collapsed="false">
      <c r="A2927" s="0" t="str">
        <f aca="false">IF('הדבקת לידים'!A2927="","",IF(ISNUMBER('הדבקת לידים'!A2927),IF(הגדרות!$E$2&gt;0,TEXT('הדבקת לידים'!A2927,REPT("0",הגדרות!$E$2)),TEXT('הדבקת לידים'!A2927,"0")),TRIM('הדבקת לידים'!A2927)))</f>
        <v/>
      </c>
      <c r="B2927" s="0" t="str">
        <f aca="false">IF('הדבקת לידים'!B2927="","",IF(ISNUMBER('הדבקת לידים'!B2927),IF(הגדרות!$E$3&gt;0,TEXT('הדבקת לידים'!B2927,REPT("0",הגדרות!$E$3)),TEXT('הדבקת לידים'!B2927,"0")),TRIM('הדבקת לידים'!B2927)))</f>
        <v/>
      </c>
      <c r="C2927" s="0" t="n">
        <f aca="false">IF(OR(A2927&lt;&gt;"",B2927&lt;&gt;""),1,0)</f>
        <v>0</v>
      </c>
      <c r="D2927" s="0" t="str">
        <f aca="false">IF(C2927=1,MOD(ABS(SIN(ROW()*12.9898+'הדבקת לידים'!$F$2*78.233+IFERROR(--RIGHT(A2927,6),LEN(A2927))*0.0137+IFERROR(--RIGHT(B2927,6),LEN(B2927))*0.0071))*43758.5453,1),"")</f>
        <v/>
      </c>
      <c r="E2927" s="0" t="str">
        <f aca="false">IF(C2927=1,INT(MOD(ABS(SIN(D2927*7919.123+ROW()*0.618+'הדבקת לידים'!$F$2*1.3))*43758.5453,1)*1000000)*10000+ROW(),"")</f>
        <v/>
      </c>
      <c r="F2927" s="0" t="str">
        <f aca="false">IF(E2927="","",RANK(E2927,$E$2:$E$5001,1))</f>
        <v/>
      </c>
      <c r="G2927" s="0" t="n">
        <f aca="false">IF(A2927="",0,IF(SUMPRODUCT(--($A$2:$A$5001=A2927))&gt;1,1,0))</f>
        <v>0</v>
      </c>
      <c r="H2927" s="0" t="n">
        <f aca="false">ROW()-1</f>
        <v>2926</v>
      </c>
      <c r="I2927" s="0" t="str">
        <f aca="false">IF(OR(הגדרות!$E$6=0,H2927&gt;הגדרות!$E$5),"",IF(H2927-1&lt;הגדרות!$E$8*(הגדרות!$E$7+1),INT((H2927-1)/(הגדרות!$E$7+1)),הגדרות!$E$8+INT((H2927-1-הגדרות!$E$8*(הגדרות!$E$7+1))/הגדרות!$E$7)))</f>
        <v/>
      </c>
      <c r="J2927" s="0" t="str">
        <f aca="false">IF(I2927="","",IF(H2927-1&lt;הגדרות!$E$8*(הגדרות!$E$7+1),MOD(H2927-1,הגדרות!$E$7+1),MOD(H2927-1-הגדרות!$E$8*(הגדרות!$E$7+1),הגדרות!$E$7)))</f>
        <v/>
      </c>
      <c r="K2927" s="0" t="str">
        <f aca="false">IF(I2927="","",J2927*הגדרות!$E$6+I2927+1)</f>
        <v/>
      </c>
      <c r="L2927" s="0" t="str">
        <f aca="false">IF(K2927="","",MATCH(K2927,$F$2:$F$5001,0))</f>
        <v/>
      </c>
      <c r="M2927" s="0" t="str">
        <f aca="false">IF(I2927="","",INDEX(הגדרות!$A$2:$A$21,MOD(I2927+הגדרות!$E$9,הגדרות!$E$6)+1))</f>
        <v/>
      </c>
    </row>
    <row r="2928" customFormat="false" ht="15" hidden="false" customHeight="false" outlineLevel="0" collapsed="false">
      <c r="A2928" s="0" t="str">
        <f aca="false">IF('הדבקת לידים'!A2928="","",IF(ISNUMBER('הדבקת לידים'!A2928),IF(הגדרות!$E$2&gt;0,TEXT('הדבקת לידים'!A2928,REPT("0",הגדרות!$E$2)),TEXT('הדבקת לידים'!A2928,"0")),TRIM('הדבקת לידים'!A2928)))</f>
        <v/>
      </c>
      <c r="B2928" s="0" t="str">
        <f aca="false">IF('הדבקת לידים'!B2928="","",IF(ISNUMBER('הדבקת לידים'!B2928),IF(הגדרות!$E$3&gt;0,TEXT('הדבקת לידים'!B2928,REPT("0",הגדרות!$E$3)),TEXT('הדבקת לידים'!B2928,"0")),TRIM('הדבקת לידים'!B2928)))</f>
        <v/>
      </c>
      <c r="C2928" s="0" t="n">
        <f aca="false">IF(OR(A2928&lt;&gt;"",B2928&lt;&gt;""),1,0)</f>
        <v>0</v>
      </c>
      <c r="D2928" s="0" t="str">
        <f aca="false">IF(C2928=1,MOD(ABS(SIN(ROW()*12.9898+'הדבקת לידים'!$F$2*78.233+IFERROR(--RIGHT(A2928,6),LEN(A2928))*0.0137+IFERROR(--RIGHT(B2928,6),LEN(B2928))*0.0071))*43758.5453,1),"")</f>
        <v/>
      </c>
      <c r="E2928" s="0" t="str">
        <f aca="false">IF(C2928=1,INT(MOD(ABS(SIN(D2928*7919.123+ROW()*0.618+'הדבקת לידים'!$F$2*1.3))*43758.5453,1)*1000000)*10000+ROW(),"")</f>
        <v/>
      </c>
      <c r="F2928" s="0" t="str">
        <f aca="false">IF(E2928="","",RANK(E2928,$E$2:$E$5001,1))</f>
        <v/>
      </c>
      <c r="G2928" s="0" t="n">
        <f aca="false">IF(A2928="",0,IF(SUMPRODUCT(--($A$2:$A$5001=A2928))&gt;1,1,0))</f>
        <v>0</v>
      </c>
      <c r="H2928" s="0" t="n">
        <f aca="false">ROW()-1</f>
        <v>2927</v>
      </c>
      <c r="I2928" s="0" t="str">
        <f aca="false">IF(OR(הגדרות!$E$6=0,H2928&gt;הגדרות!$E$5),"",IF(H2928-1&lt;הגדרות!$E$8*(הגדרות!$E$7+1),INT((H2928-1)/(הגדרות!$E$7+1)),הגדרות!$E$8+INT((H2928-1-הגדרות!$E$8*(הגדרות!$E$7+1))/הגדרות!$E$7)))</f>
        <v/>
      </c>
      <c r="J2928" s="0" t="str">
        <f aca="false">IF(I2928="","",IF(H2928-1&lt;הגדרות!$E$8*(הגדרות!$E$7+1),MOD(H2928-1,הגדרות!$E$7+1),MOD(H2928-1-הגדרות!$E$8*(הגדרות!$E$7+1),הגדרות!$E$7)))</f>
        <v/>
      </c>
      <c r="K2928" s="0" t="str">
        <f aca="false">IF(I2928="","",J2928*הגדרות!$E$6+I2928+1)</f>
        <v/>
      </c>
      <c r="L2928" s="0" t="str">
        <f aca="false">IF(K2928="","",MATCH(K2928,$F$2:$F$5001,0))</f>
        <v/>
      </c>
      <c r="M2928" s="0" t="str">
        <f aca="false">IF(I2928="","",INDEX(הגדרות!$A$2:$A$21,MOD(I2928+הגדרות!$E$9,הגדרות!$E$6)+1))</f>
        <v/>
      </c>
    </row>
    <row r="2929" customFormat="false" ht="15" hidden="false" customHeight="false" outlineLevel="0" collapsed="false">
      <c r="A2929" s="0" t="str">
        <f aca="false">IF('הדבקת לידים'!A2929="","",IF(ISNUMBER('הדבקת לידים'!A2929),IF(הגדרות!$E$2&gt;0,TEXT('הדבקת לידים'!A2929,REPT("0",הגדרות!$E$2)),TEXT('הדבקת לידים'!A2929,"0")),TRIM('הדבקת לידים'!A2929)))</f>
        <v/>
      </c>
      <c r="B2929" s="0" t="str">
        <f aca="false">IF('הדבקת לידים'!B2929="","",IF(ISNUMBER('הדבקת לידים'!B2929),IF(הגדרות!$E$3&gt;0,TEXT('הדבקת לידים'!B2929,REPT("0",הגדרות!$E$3)),TEXT('הדבקת לידים'!B2929,"0")),TRIM('הדבקת לידים'!B2929)))</f>
        <v/>
      </c>
      <c r="C2929" s="0" t="n">
        <f aca="false">IF(OR(A2929&lt;&gt;"",B2929&lt;&gt;""),1,0)</f>
        <v>0</v>
      </c>
      <c r="D2929" s="0" t="str">
        <f aca="false">IF(C2929=1,MOD(ABS(SIN(ROW()*12.9898+'הדבקת לידים'!$F$2*78.233+IFERROR(--RIGHT(A2929,6),LEN(A2929))*0.0137+IFERROR(--RIGHT(B2929,6),LEN(B2929))*0.0071))*43758.5453,1),"")</f>
        <v/>
      </c>
      <c r="E2929" s="0" t="str">
        <f aca="false">IF(C2929=1,INT(MOD(ABS(SIN(D2929*7919.123+ROW()*0.618+'הדבקת לידים'!$F$2*1.3))*43758.5453,1)*1000000)*10000+ROW(),"")</f>
        <v/>
      </c>
      <c r="F2929" s="0" t="str">
        <f aca="false">IF(E2929="","",RANK(E2929,$E$2:$E$5001,1))</f>
        <v/>
      </c>
      <c r="G2929" s="0" t="n">
        <f aca="false">IF(A2929="",0,IF(SUMPRODUCT(--($A$2:$A$5001=A2929))&gt;1,1,0))</f>
        <v>0</v>
      </c>
      <c r="H2929" s="0" t="n">
        <f aca="false">ROW()-1</f>
        <v>2928</v>
      </c>
      <c r="I2929" s="0" t="str">
        <f aca="false">IF(OR(הגדרות!$E$6=0,H2929&gt;הגדרות!$E$5),"",IF(H2929-1&lt;הגדרות!$E$8*(הגדרות!$E$7+1),INT((H2929-1)/(הגדרות!$E$7+1)),הגדרות!$E$8+INT((H2929-1-הגדרות!$E$8*(הגדרות!$E$7+1))/הגדרות!$E$7)))</f>
        <v/>
      </c>
      <c r="J2929" s="0" t="str">
        <f aca="false">IF(I2929="","",IF(H2929-1&lt;הגדרות!$E$8*(הגדרות!$E$7+1),MOD(H2929-1,הגדרות!$E$7+1),MOD(H2929-1-הגדרות!$E$8*(הגדרות!$E$7+1),הגדרות!$E$7)))</f>
        <v/>
      </c>
      <c r="K2929" s="0" t="str">
        <f aca="false">IF(I2929="","",J2929*הגדרות!$E$6+I2929+1)</f>
        <v/>
      </c>
      <c r="L2929" s="0" t="str">
        <f aca="false">IF(K2929="","",MATCH(K2929,$F$2:$F$5001,0))</f>
        <v/>
      </c>
      <c r="M2929" s="0" t="str">
        <f aca="false">IF(I2929="","",INDEX(הגדרות!$A$2:$A$21,MOD(I2929+הגדרות!$E$9,הגדרות!$E$6)+1))</f>
        <v/>
      </c>
    </row>
    <row r="2930" customFormat="false" ht="15" hidden="false" customHeight="false" outlineLevel="0" collapsed="false">
      <c r="A2930" s="0" t="str">
        <f aca="false">IF('הדבקת לידים'!A2930="","",IF(ISNUMBER('הדבקת לידים'!A2930),IF(הגדרות!$E$2&gt;0,TEXT('הדבקת לידים'!A2930,REPT("0",הגדרות!$E$2)),TEXT('הדבקת לידים'!A2930,"0")),TRIM('הדבקת לידים'!A2930)))</f>
        <v/>
      </c>
      <c r="B2930" s="0" t="str">
        <f aca="false">IF('הדבקת לידים'!B2930="","",IF(ISNUMBER('הדבקת לידים'!B2930),IF(הגדרות!$E$3&gt;0,TEXT('הדבקת לידים'!B2930,REPT("0",הגדרות!$E$3)),TEXT('הדבקת לידים'!B2930,"0")),TRIM('הדבקת לידים'!B2930)))</f>
        <v/>
      </c>
      <c r="C2930" s="0" t="n">
        <f aca="false">IF(OR(A2930&lt;&gt;"",B2930&lt;&gt;""),1,0)</f>
        <v>0</v>
      </c>
      <c r="D2930" s="0" t="str">
        <f aca="false">IF(C2930=1,MOD(ABS(SIN(ROW()*12.9898+'הדבקת לידים'!$F$2*78.233+IFERROR(--RIGHT(A2930,6),LEN(A2930))*0.0137+IFERROR(--RIGHT(B2930,6),LEN(B2930))*0.0071))*43758.5453,1),"")</f>
        <v/>
      </c>
      <c r="E2930" s="0" t="str">
        <f aca="false">IF(C2930=1,INT(MOD(ABS(SIN(D2930*7919.123+ROW()*0.618+'הדבקת לידים'!$F$2*1.3))*43758.5453,1)*1000000)*10000+ROW(),"")</f>
        <v/>
      </c>
      <c r="F2930" s="0" t="str">
        <f aca="false">IF(E2930="","",RANK(E2930,$E$2:$E$5001,1))</f>
        <v/>
      </c>
      <c r="G2930" s="0" t="n">
        <f aca="false">IF(A2930="",0,IF(SUMPRODUCT(--($A$2:$A$5001=A2930))&gt;1,1,0))</f>
        <v>0</v>
      </c>
      <c r="H2930" s="0" t="n">
        <f aca="false">ROW()-1</f>
        <v>2929</v>
      </c>
      <c r="I2930" s="0" t="str">
        <f aca="false">IF(OR(הגדרות!$E$6=0,H2930&gt;הגדרות!$E$5),"",IF(H2930-1&lt;הגדרות!$E$8*(הגדרות!$E$7+1),INT((H2930-1)/(הגדרות!$E$7+1)),הגדרות!$E$8+INT((H2930-1-הגדרות!$E$8*(הגדרות!$E$7+1))/הגדרות!$E$7)))</f>
        <v/>
      </c>
      <c r="J2930" s="0" t="str">
        <f aca="false">IF(I2930="","",IF(H2930-1&lt;הגדרות!$E$8*(הגדרות!$E$7+1),MOD(H2930-1,הגדרות!$E$7+1),MOD(H2930-1-הגדרות!$E$8*(הגדרות!$E$7+1),הגדרות!$E$7)))</f>
        <v/>
      </c>
      <c r="K2930" s="0" t="str">
        <f aca="false">IF(I2930="","",J2930*הגדרות!$E$6+I2930+1)</f>
        <v/>
      </c>
      <c r="L2930" s="0" t="str">
        <f aca="false">IF(K2930="","",MATCH(K2930,$F$2:$F$5001,0))</f>
        <v/>
      </c>
      <c r="M2930" s="0" t="str">
        <f aca="false">IF(I2930="","",INDEX(הגדרות!$A$2:$A$21,MOD(I2930+הגדרות!$E$9,הגדרות!$E$6)+1))</f>
        <v/>
      </c>
    </row>
    <row r="2931" customFormat="false" ht="15" hidden="false" customHeight="false" outlineLevel="0" collapsed="false">
      <c r="A2931" s="0" t="str">
        <f aca="false">IF('הדבקת לידים'!A2931="","",IF(ISNUMBER('הדבקת לידים'!A2931),IF(הגדרות!$E$2&gt;0,TEXT('הדבקת לידים'!A2931,REPT("0",הגדרות!$E$2)),TEXT('הדבקת לידים'!A2931,"0")),TRIM('הדבקת לידים'!A2931)))</f>
        <v/>
      </c>
      <c r="B2931" s="0" t="str">
        <f aca="false">IF('הדבקת לידים'!B2931="","",IF(ISNUMBER('הדבקת לידים'!B2931),IF(הגדרות!$E$3&gt;0,TEXT('הדבקת לידים'!B2931,REPT("0",הגדרות!$E$3)),TEXT('הדבקת לידים'!B2931,"0")),TRIM('הדבקת לידים'!B2931)))</f>
        <v/>
      </c>
      <c r="C2931" s="0" t="n">
        <f aca="false">IF(OR(A2931&lt;&gt;"",B2931&lt;&gt;""),1,0)</f>
        <v>0</v>
      </c>
      <c r="D2931" s="0" t="str">
        <f aca="false">IF(C2931=1,MOD(ABS(SIN(ROW()*12.9898+'הדבקת לידים'!$F$2*78.233+IFERROR(--RIGHT(A2931,6),LEN(A2931))*0.0137+IFERROR(--RIGHT(B2931,6),LEN(B2931))*0.0071))*43758.5453,1),"")</f>
        <v/>
      </c>
      <c r="E2931" s="0" t="str">
        <f aca="false">IF(C2931=1,INT(MOD(ABS(SIN(D2931*7919.123+ROW()*0.618+'הדבקת לידים'!$F$2*1.3))*43758.5453,1)*1000000)*10000+ROW(),"")</f>
        <v/>
      </c>
      <c r="F2931" s="0" t="str">
        <f aca="false">IF(E2931="","",RANK(E2931,$E$2:$E$5001,1))</f>
        <v/>
      </c>
      <c r="G2931" s="0" t="n">
        <f aca="false">IF(A2931="",0,IF(SUMPRODUCT(--($A$2:$A$5001=A2931))&gt;1,1,0))</f>
        <v>0</v>
      </c>
      <c r="H2931" s="0" t="n">
        <f aca="false">ROW()-1</f>
        <v>2930</v>
      </c>
      <c r="I2931" s="0" t="str">
        <f aca="false">IF(OR(הגדרות!$E$6=0,H2931&gt;הגדרות!$E$5),"",IF(H2931-1&lt;הגדרות!$E$8*(הגדרות!$E$7+1),INT((H2931-1)/(הגדרות!$E$7+1)),הגדרות!$E$8+INT((H2931-1-הגדרות!$E$8*(הגדרות!$E$7+1))/הגדרות!$E$7)))</f>
        <v/>
      </c>
      <c r="J2931" s="0" t="str">
        <f aca="false">IF(I2931="","",IF(H2931-1&lt;הגדרות!$E$8*(הגדרות!$E$7+1),MOD(H2931-1,הגדרות!$E$7+1),MOD(H2931-1-הגדרות!$E$8*(הגדרות!$E$7+1),הגדרות!$E$7)))</f>
        <v/>
      </c>
      <c r="K2931" s="0" t="str">
        <f aca="false">IF(I2931="","",J2931*הגדרות!$E$6+I2931+1)</f>
        <v/>
      </c>
      <c r="L2931" s="0" t="str">
        <f aca="false">IF(K2931="","",MATCH(K2931,$F$2:$F$5001,0))</f>
        <v/>
      </c>
      <c r="M2931" s="0" t="str">
        <f aca="false">IF(I2931="","",INDEX(הגדרות!$A$2:$A$21,MOD(I2931+הגדרות!$E$9,הגדרות!$E$6)+1))</f>
        <v/>
      </c>
    </row>
    <row r="2932" customFormat="false" ht="15" hidden="false" customHeight="false" outlineLevel="0" collapsed="false">
      <c r="A2932" s="0" t="str">
        <f aca="false">IF('הדבקת לידים'!A2932="","",IF(ISNUMBER('הדבקת לידים'!A2932),IF(הגדרות!$E$2&gt;0,TEXT('הדבקת לידים'!A2932,REPT("0",הגדרות!$E$2)),TEXT('הדבקת לידים'!A2932,"0")),TRIM('הדבקת לידים'!A2932)))</f>
        <v/>
      </c>
      <c r="B2932" s="0" t="str">
        <f aca="false">IF('הדבקת לידים'!B2932="","",IF(ISNUMBER('הדבקת לידים'!B2932),IF(הגדרות!$E$3&gt;0,TEXT('הדבקת לידים'!B2932,REPT("0",הגדרות!$E$3)),TEXT('הדבקת לידים'!B2932,"0")),TRIM('הדבקת לידים'!B2932)))</f>
        <v/>
      </c>
      <c r="C2932" s="0" t="n">
        <f aca="false">IF(OR(A2932&lt;&gt;"",B2932&lt;&gt;""),1,0)</f>
        <v>0</v>
      </c>
      <c r="D2932" s="0" t="str">
        <f aca="false">IF(C2932=1,MOD(ABS(SIN(ROW()*12.9898+'הדבקת לידים'!$F$2*78.233+IFERROR(--RIGHT(A2932,6),LEN(A2932))*0.0137+IFERROR(--RIGHT(B2932,6),LEN(B2932))*0.0071))*43758.5453,1),"")</f>
        <v/>
      </c>
      <c r="E2932" s="0" t="str">
        <f aca="false">IF(C2932=1,INT(MOD(ABS(SIN(D2932*7919.123+ROW()*0.618+'הדבקת לידים'!$F$2*1.3))*43758.5453,1)*1000000)*10000+ROW(),"")</f>
        <v/>
      </c>
      <c r="F2932" s="0" t="str">
        <f aca="false">IF(E2932="","",RANK(E2932,$E$2:$E$5001,1))</f>
        <v/>
      </c>
      <c r="G2932" s="0" t="n">
        <f aca="false">IF(A2932="",0,IF(SUMPRODUCT(--($A$2:$A$5001=A2932))&gt;1,1,0))</f>
        <v>0</v>
      </c>
      <c r="H2932" s="0" t="n">
        <f aca="false">ROW()-1</f>
        <v>2931</v>
      </c>
      <c r="I2932" s="0" t="str">
        <f aca="false">IF(OR(הגדרות!$E$6=0,H2932&gt;הגדרות!$E$5),"",IF(H2932-1&lt;הגדרות!$E$8*(הגדרות!$E$7+1),INT((H2932-1)/(הגדרות!$E$7+1)),הגדרות!$E$8+INT((H2932-1-הגדרות!$E$8*(הגדרות!$E$7+1))/הגדרות!$E$7)))</f>
        <v/>
      </c>
      <c r="J2932" s="0" t="str">
        <f aca="false">IF(I2932="","",IF(H2932-1&lt;הגדרות!$E$8*(הגדרות!$E$7+1),MOD(H2932-1,הגדרות!$E$7+1),MOD(H2932-1-הגדרות!$E$8*(הגדרות!$E$7+1),הגדרות!$E$7)))</f>
        <v/>
      </c>
      <c r="K2932" s="0" t="str">
        <f aca="false">IF(I2932="","",J2932*הגדרות!$E$6+I2932+1)</f>
        <v/>
      </c>
      <c r="L2932" s="0" t="str">
        <f aca="false">IF(K2932="","",MATCH(K2932,$F$2:$F$5001,0))</f>
        <v/>
      </c>
      <c r="M2932" s="0" t="str">
        <f aca="false">IF(I2932="","",INDEX(הגדרות!$A$2:$A$21,MOD(I2932+הגדרות!$E$9,הגדרות!$E$6)+1))</f>
        <v/>
      </c>
    </row>
    <row r="2933" customFormat="false" ht="15" hidden="false" customHeight="false" outlineLevel="0" collapsed="false">
      <c r="A2933" s="0" t="str">
        <f aca="false">IF('הדבקת לידים'!A2933="","",IF(ISNUMBER('הדבקת לידים'!A2933),IF(הגדרות!$E$2&gt;0,TEXT('הדבקת לידים'!A2933,REPT("0",הגדרות!$E$2)),TEXT('הדבקת לידים'!A2933,"0")),TRIM('הדבקת לידים'!A2933)))</f>
        <v/>
      </c>
      <c r="B2933" s="0" t="str">
        <f aca="false">IF('הדבקת לידים'!B2933="","",IF(ISNUMBER('הדבקת לידים'!B2933),IF(הגדרות!$E$3&gt;0,TEXT('הדבקת לידים'!B2933,REPT("0",הגדרות!$E$3)),TEXT('הדבקת לידים'!B2933,"0")),TRIM('הדבקת לידים'!B2933)))</f>
        <v/>
      </c>
      <c r="C2933" s="0" t="n">
        <f aca="false">IF(OR(A2933&lt;&gt;"",B2933&lt;&gt;""),1,0)</f>
        <v>0</v>
      </c>
      <c r="D2933" s="0" t="str">
        <f aca="false">IF(C2933=1,MOD(ABS(SIN(ROW()*12.9898+'הדבקת לידים'!$F$2*78.233+IFERROR(--RIGHT(A2933,6),LEN(A2933))*0.0137+IFERROR(--RIGHT(B2933,6),LEN(B2933))*0.0071))*43758.5453,1),"")</f>
        <v/>
      </c>
      <c r="E2933" s="0" t="str">
        <f aca="false">IF(C2933=1,INT(MOD(ABS(SIN(D2933*7919.123+ROW()*0.618+'הדבקת לידים'!$F$2*1.3))*43758.5453,1)*1000000)*10000+ROW(),"")</f>
        <v/>
      </c>
      <c r="F2933" s="0" t="str">
        <f aca="false">IF(E2933="","",RANK(E2933,$E$2:$E$5001,1))</f>
        <v/>
      </c>
      <c r="G2933" s="0" t="n">
        <f aca="false">IF(A2933="",0,IF(SUMPRODUCT(--($A$2:$A$5001=A2933))&gt;1,1,0))</f>
        <v>0</v>
      </c>
      <c r="H2933" s="0" t="n">
        <f aca="false">ROW()-1</f>
        <v>2932</v>
      </c>
      <c r="I2933" s="0" t="str">
        <f aca="false">IF(OR(הגדרות!$E$6=0,H2933&gt;הגדרות!$E$5),"",IF(H2933-1&lt;הגדרות!$E$8*(הגדרות!$E$7+1),INT((H2933-1)/(הגדרות!$E$7+1)),הגדרות!$E$8+INT((H2933-1-הגדרות!$E$8*(הגדרות!$E$7+1))/הגדרות!$E$7)))</f>
        <v/>
      </c>
      <c r="J2933" s="0" t="str">
        <f aca="false">IF(I2933="","",IF(H2933-1&lt;הגדרות!$E$8*(הגדרות!$E$7+1),MOD(H2933-1,הגדרות!$E$7+1),MOD(H2933-1-הגדרות!$E$8*(הגדרות!$E$7+1),הגדרות!$E$7)))</f>
        <v/>
      </c>
      <c r="K2933" s="0" t="str">
        <f aca="false">IF(I2933="","",J2933*הגדרות!$E$6+I2933+1)</f>
        <v/>
      </c>
      <c r="L2933" s="0" t="str">
        <f aca="false">IF(K2933="","",MATCH(K2933,$F$2:$F$5001,0))</f>
        <v/>
      </c>
      <c r="M2933" s="0" t="str">
        <f aca="false">IF(I2933="","",INDEX(הגדרות!$A$2:$A$21,MOD(I2933+הגדרות!$E$9,הגדרות!$E$6)+1))</f>
        <v/>
      </c>
    </row>
    <row r="2934" customFormat="false" ht="15" hidden="false" customHeight="false" outlineLevel="0" collapsed="false">
      <c r="A2934" s="0" t="str">
        <f aca="false">IF('הדבקת לידים'!A2934="","",IF(ISNUMBER('הדבקת לידים'!A2934),IF(הגדרות!$E$2&gt;0,TEXT('הדבקת לידים'!A2934,REPT("0",הגדרות!$E$2)),TEXT('הדבקת לידים'!A2934,"0")),TRIM('הדבקת לידים'!A2934)))</f>
        <v/>
      </c>
      <c r="B2934" s="0" t="str">
        <f aca="false">IF('הדבקת לידים'!B2934="","",IF(ISNUMBER('הדבקת לידים'!B2934),IF(הגדרות!$E$3&gt;0,TEXT('הדבקת לידים'!B2934,REPT("0",הגדרות!$E$3)),TEXT('הדבקת לידים'!B2934,"0")),TRIM('הדבקת לידים'!B2934)))</f>
        <v/>
      </c>
      <c r="C2934" s="0" t="n">
        <f aca="false">IF(OR(A2934&lt;&gt;"",B2934&lt;&gt;""),1,0)</f>
        <v>0</v>
      </c>
      <c r="D2934" s="0" t="str">
        <f aca="false">IF(C2934=1,MOD(ABS(SIN(ROW()*12.9898+'הדבקת לידים'!$F$2*78.233+IFERROR(--RIGHT(A2934,6),LEN(A2934))*0.0137+IFERROR(--RIGHT(B2934,6),LEN(B2934))*0.0071))*43758.5453,1),"")</f>
        <v/>
      </c>
      <c r="E2934" s="0" t="str">
        <f aca="false">IF(C2934=1,INT(MOD(ABS(SIN(D2934*7919.123+ROW()*0.618+'הדבקת לידים'!$F$2*1.3))*43758.5453,1)*1000000)*10000+ROW(),"")</f>
        <v/>
      </c>
      <c r="F2934" s="0" t="str">
        <f aca="false">IF(E2934="","",RANK(E2934,$E$2:$E$5001,1))</f>
        <v/>
      </c>
      <c r="G2934" s="0" t="n">
        <f aca="false">IF(A2934="",0,IF(SUMPRODUCT(--($A$2:$A$5001=A2934))&gt;1,1,0))</f>
        <v>0</v>
      </c>
      <c r="H2934" s="0" t="n">
        <f aca="false">ROW()-1</f>
        <v>2933</v>
      </c>
      <c r="I2934" s="0" t="str">
        <f aca="false">IF(OR(הגדרות!$E$6=0,H2934&gt;הגדרות!$E$5),"",IF(H2934-1&lt;הגדרות!$E$8*(הגדרות!$E$7+1),INT((H2934-1)/(הגדרות!$E$7+1)),הגדרות!$E$8+INT((H2934-1-הגדרות!$E$8*(הגדרות!$E$7+1))/הגדרות!$E$7)))</f>
        <v/>
      </c>
      <c r="J2934" s="0" t="str">
        <f aca="false">IF(I2934="","",IF(H2934-1&lt;הגדרות!$E$8*(הגדרות!$E$7+1),MOD(H2934-1,הגדרות!$E$7+1),MOD(H2934-1-הגדרות!$E$8*(הגדרות!$E$7+1),הגדרות!$E$7)))</f>
        <v/>
      </c>
      <c r="K2934" s="0" t="str">
        <f aca="false">IF(I2934="","",J2934*הגדרות!$E$6+I2934+1)</f>
        <v/>
      </c>
      <c r="L2934" s="0" t="str">
        <f aca="false">IF(K2934="","",MATCH(K2934,$F$2:$F$5001,0))</f>
        <v/>
      </c>
      <c r="M2934" s="0" t="str">
        <f aca="false">IF(I2934="","",INDEX(הגדרות!$A$2:$A$21,MOD(I2934+הגדרות!$E$9,הגדרות!$E$6)+1))</f>
        <v/>
      </c>
    </row>
    <row r="2935" customFormat="false" ht="15" hidden="false" customHeight="false" outlineLevel="0" collapsed="false">
      <c r="A2935" s="0" t="str">
        <f aca="false">IF('הדבקת לידים'!A2935="","",IF(ISNUMBER('הדבקת לידים'!A2935),IF(הגדרות!$E$2&gt;0,TEXT('הדבקת לידים'!A2935,REPT("0",הגדרות!$E$2)),TEXT('הדבקת לידים'!A2935,"0")),TRIM('הדבקת לידים'!A2935)))</f>
        <v/>
      </c>
      <c r="B2935" s="0" t="str">
        <f aca="false">IF('הדבקת לידים'!B2935="","",IF(ISNUMBER('הדבקת לידים'!B2935),IF(הגדרות!$E$3&gt;0,TEXT('הדבקת לידים'!B2935,REPT("0",הגדרות!$E$3)),TEXT('הדבקת לידים'!B2935,"0")),TRIM('הדבקת לידים'!B2935)))</f>
        <v/>
      </c>
      <c r="C2935" s="0" t="n">
        <f aca="false">IF(OR(A2935&lt;&gt;"",B2935&lt;&gt;""),1,0)</f>
        <v>0</v>
      </c>
      <c r="D2935" s="0" t="str">
        <f aca="false">IF(C2935=1,MOD(ABS(SIN(ROW()*12.9898+'הדבקת לידים'!$F$2*78.233+IFERROR(--RIGHT(A2935,6),LEN(A2935))*0.0137+IFERROR(--RIGHT(B2935,6),LEN(B2935))*0.0071))*43758.5453,1),"")</f>
        <v/>
      </c>
      <c r="E2935" s="0" t="str">
        <f aca="false">IF(C2935=1,INT(MOD(ABS(SIN(D2935*7919.123+ROW()*0.618+'הדבקת לידים'!$F$2*1.3))*43758.5453,1)*1000000)*10000+ROW(),"")</f>
        <v/>
      </c>
      <c r="F2935" s="0" t="str">
        <f aca="false">IF(E2935="","",RANK(E2935,$E$2:$E$5001,1))</f>
        <v/>
      </c>
      <c r="G2935" s="0" t="n">
        <f aca="false">IF(A2935="",0,IF(SUMPRODUCT(--($A$2:$A$5001=A2935))&gt;1,1,0))</f>
        <v>0</v>
      </c>
      <c r="H2935" s="0" t="n">
        <f aca="false">ROW()-1</f>
        <v>2934</v>
      </c>
      <c r="I2935" s="0" t="str">
        <f aca="false">IF(OR(הגדרות!$E$6=0,H2935&gt;הגדרות!$E$5),"",IF(H2935-1&lt;הגדרות!$E$8*(הגדרות!$E$7+1),INT((H2935-1)/(הגדרות!$E$7+1)),הגדרות!$E$8+INT((H2935-1-הגדרות!$E$8*(הגדרות!$E$7+1))/הגדרות!$E$7)))</f>
        <v/>
      </c>
      <c r="J2935" s="0" t="str">
        <f aca="false">IF(I2935="","",IF(H2935-1&lt;הגדרות!$E$8*(הגדרות!$E$7+1),MOD(H2935-1,הגדרות!$E$7+1),MOD(H2935-1-הגדרות!$E$8*(הגדרות!$E$7+1),הגדרות!$E$7)))</f>
        <v/>
      </c>
      <c r="K2935" s="0" t="str">
        <f aca="false">IF(I2935="","",J2935*הגדרות!$E$6+I2935+1)</f>
        <v/>
      </c>
      <c r="L2935" s="0" t="str">
        <f aca="false">IF(K2935="","",MATCH(K2935,$F$2:$F$5001,0))</f>
        <v/>
      </c>
      <c r="M2935" s="0" t="str">
        <f aca="false">IF(I2935="","",INDEX(הגדרות!$A$2:$A$21,MOD(I2935+הגדרות!$E$9,הגדרות!$E$6)+1))</f>
        <v/>
      </c>
    </row>
    <row r="2936" customFormat="false" ht="15" hidden="false" customHeight="false" outlineLevel="0" collapsed="false">
      <c r="A2936" s="0" t="str">
        <f aca="false">IF('הדבקת לידים'!A2936="","",IF(ISNUMBER('הדבקת לידים'!A2936),IF(הגדרות!$E$2&gt;0,TEXT('הדבקת לידים'!A2936,REPT("0",הגדרות!$E$2)),TEXT('הדבקת לידים'!A2936,"0")),TRIM('הדבקת לידים'!A2936)))</f>
        <v/>
      </c>
      <c r="B2936" s="0" t="str">
        <f aca="false">IF('הדבקת לידים'!B2936="","",IF(ISNUMBER('הדבקת לידים'!B2936),IF(הגדרות!$E$3&gt;0,TEXT('הדבקת לידים'!B2936,REPT("0",הגדרות!$E$3)),TEXT('הדבקת לידים'!B2936,"0")),TRIM('הדבקת לידים'!B2936)))</f>
        <v/>
      </c>
      <c r="C2936" s="0" t="n">
        <f aca="false">IF(OR(A2936&lt;&gt;"",B2936&lt;&gt;""),1,0)</f>
        <v>0</v>
      </c>
      <c r="D2936" s="0" t="str">
        <f aca="false">IF(C2936=1,MOD(ABS(SIN(ROW()*12.9898+'הדבקת לידים'!$F$2*78.233+IFERROR(--RIGHT(A2936,6),LEN(A2936))*0.0137+IFERROR(--RIGHT(B2936,6),LEN(B2936))*0.0071))*43758.5453,1),"")</f>
        <v/>
      </c>
      <c r="E2936" s="0" t="str">
        <f aca="false">IF(C2936=1,INT(MOD(ABS(SIN(D2936*7919.123+ROW()*0.618+'הדבקת לידים'!$F$2*1.3))*43758.5453,1)*1000000)*10000+ROW(),"")</f>
        <v/>
      </c>
      <c r="F2936" s="0" t="str">
        <f aca="false">IF(E2936="","",RANK(E2936,$E$2:$E$5001,1))</f>
        <v/>
      </c>
      <c r="G2936" s="0" t="n">
        <f aca="false">IF(A2936="",0,IF(SUMPRODUCT(--($A$2:$A$5001=A2936))&gt;1,1,0))</f>
        <v>0</v>
      </c>
      <c r="H2936" s="0" t="n">
        <f aca="false">ROW()-1</f>
        <v>2935</v>
      </c>
      <c r="I2936" s="0" t="str">
        <f aca="false">IF(OR(הגדרות!$E$6=0,H2936&gt;הגדרות!$E$5),"",IF(H2936-1&lt;הגדרות!$E$8*(הגדרות!$E$7+1),INT((H2936-1)/(הגדרות!$E$7+1)),הגדרות!$E$8+INT((H2936-1-הגדרות!$E$8*(הגדרות!$E$7+1))/הגדרות!$E$7)))</f>
        <v/>
      </c>
      <c r="J2936" s="0" t="str">
        <f aca="false">IF(I2936="","",IF(H2936-1&lt;הגדרות!$E$8*(הגדרות!$E$7+1),MOD(H2936-1,הגדרות!$E$7+1),MOD(H2936-1-הגדרות!$E$8*(הגדרות!$E$7+1),הגדרות!$E$7)))</f>
        <v/>
      </c>
      <c r="K2936" s="0" t="str">
        <f aca="false">IF(I2936="","",J2936*הגדרות!$E$6+I2936+1)</f>
        <v/>
      </c>
      <c r="L2936" s="0" t="str">
        <f aca="false">IF(K2936="","",MATCH(K2936,$F$2:$F$5001,0))</f>
        <v/>
      </c>
      <c r="M2936" s="0" t="str">
        <f aca="false">IF(I2936="","",INDEX(הגדרות!$A$2:$A$21,MOD(I2936+הגדרות!$E$9,הגדרות!$E$6)+1))</f>
        <v/>
      </c>
    </row>
    <row r="2937" customFormat="false" ht="15" hidden="false" customHeight="false" outlineLevel="0" collapsed="false">
      <c r="A2937" s="0" t="str">
        <f aca="false">IF('הדבקת לידים'!A2937="","",IF(ISNUMBER('הדבקת לידים'!A2937),IF(הגדרות!$E$2&gt;0,TEXT('הדבקת לידים'!A2937,REPT("0",הגדרות!$E$2)),TEXT('הדבקת לידים'!A2937,"0")),TRIM('הדבקת לידים'!A2937)))</f>
        <v/>
      </c>
      <c r="B2937" s="0" t="str">
        <f aca="false">IF('הדבקת לידים'!B2937="","",IF(ISNUMBER('הדבקת לידים'!B2937),IF(הגדרות!$E$3&gt;0,TEXT('הדבקת לידים'!B2937,REPT("0",הגדרות!$E$3)),TEXT('הדבקת לידים'!B2937,"0")),TRIM('הדבקת לידים'!B2937)))</f>
        <v/>
      </c>
      <c r="C2937" s="0" t="n">
        <f aca="false">IF(OR(A2937&lt;&gt;"",B2937&lt;&gt;""),1,0)</f>
        <v>0</v>
      </c>
      <c r="D2937" s="0" t="str">
        <f aca="false">IF(C2937=1,MOD(ABS(SIN(ROW()*12.9898+'הדבקת לידים'!$F$2*78.233+IFERROR(--RIGHT(A2937,6),LEN(A2937))*0.0137+IFERROR(--RIGHT(B2937,6),LEN(B2937))*0.0071))*43758.5453,1),"")</f>
        <v/>
      </c>
      <c r="E2937" s="0" t="str">
        <f aca="false">IF(C2937=1,INT(MOD(ABS(SIN(D2937*7919.123+ROW()*0.618+'הדבקת לידים'!$F$2*1.3))*43758.5453,1)*1000000)*10000+ROW(),"")</f>
        <v/>
      </c>
      <c r="F2937" s="0" t="str">
        <f aca="false">IF(E2937="","",RANK(E2937,$E$2:$E$5001,1))</f>
        <v/>
      </c>
      <c r="G2937" s="0" t="n">
        <f aca="false">IF(A2937="",0,IF(SUMPRODUCT(--($A$2:$A$5001=A2937))&gt;1,1,0))</f>
        <v>0</v>
      </c>
      <c r="H2937" s="0" t="n">
        <f aca="false">ROW()-1</f>
        <v>2936</v>
      </c>
      <c r="I2937" s="0" t="str">
        <f aca="false">IF(OR(הגדרות!$E$6=0,H2937&gt;הגדרות!$E$5),"",IF(H2937-1&lt;הגדרות!$E$8*(הגדרות!$E$7+1),INT((H2937-1)/(הגדרות!$E$7+1)),הגדרות!$E$8+INT((H2937-1-הגדרות!$E$8*(הגדרות!$E$7+1))/הגדרות!$E$7)))</f>
        <v/>
      </c>
      <c r="J2937" s="0" t="str">
        <f aca="false">IF(I2937="","",IF(H2937-1&lt;הגדרות!$E$8*(הגדרות!$E$7+1),MOD(H2937-1,הגדרות!$E$7+1),MOD(H2937-1-הגדרות!$E$8*(הגדרות!$E$7+1),הגדרות!$E$7)))</f>
        <v/>
      </c>
      <c r="K2937" s="0" t="str">
        <f aca="false">IF(I2937="","",J2937*הגדרות!$E$6+I2937+1)</f>
        <v/>
      </c>
      <c r="L2937" s="0" t="str">
        <f aca="false">IF(K2937="","",MATCH(K2937,$F$2:$F$5001,0))</f>
        <v/>
      </c>
      <c r="M2937" s="0" t="str">
        <f aca="false">IF(I2937="","",INDEX(הגדרות!$A$2:$A$21,MOD(I2937+הגדרות!$E$9,הגדרות!$E$6)+1))</f>
        <v/>
      </c>
    </row>
    <row r="2938" customFormat="false" ht="15" hidden="false" customHeight="false" outlineLevel="0" collapsed="false">
      <c r="A2938" s="0" t="str">
        <f aca="false">IF('הדבקת לידים'!A2938="","",IF(ISNUMBER('הדבקת לידים'!A2938),IF(הגדרות!$E$2&gt;0,TEXT('הדבקת לידים'!A2938,REPT("0",הגדרות!$E$2)),TEXT('הדבקת לידים'!A2938,"0")),TRIM('הדבקת לידים'!A2938)))</f>
        <v/>
      </c>
      <c r="B2938" s="0" t="str">
        <f aca="false">IF('הדבקת לידים'!B2938="","",IF(ISNUMBER('הדבקת לידים'!B2938),IF(הגדרות!$E$3&gt;0,TEXT('הדבקת לידים'!B2938,REPT("0",הגדרות!$E$3)),TEXT('הדבקת לידים'!B2938,"0")),TRIM('הדבקת לידים'!B2938)))</f>
        <v/>
      </c>
      <c r="C2938" s="0" t="n">
        <f aca="false">IF(OR(A2938&lt;&gt;"",B2938&lt;&gt;""),1,0)</f>
        <v>0</v>
      </c>
      <c r="D2938" s="0" t="str">
        <f aca="false">IF(C2938=1,MOD(ABS(SIN(ROW()*12.9898+'הדבקת לידים'!$F$2*78.233+IFERROR(--RIGHT(A2938,6),LEN(A2938))*0.0137+IFERROR(--RIGHT(B2938,6),LEN(B2938))*0.0071))*43758.5453,1),"")</f>
        <v/>
      </c>
      <c r="E2938" s="0" t="str">
        <f aca="false">IF(C2938=1,INT(MOD(ABS(SIN(D2938*7919.123+ROW()*0.618+'הדבקת לידים'!$F$2*1.3))*43758.5453,1)*1000000)*10000+ROW(),"")</f>
        <v/>
      </c>
      <c r="F2938" s="0" t="str">
        <f aca="false">IF(E2938="","",RANK(E2938,$E$2:$E$5001,1))</f>
        <v/>
      </c>
      <c r="G2938" s="0" t="n">
        <f aca="false">IF(A2938="",0,IF(SUMPRODUCT(--($A$2:$A$5001=A2938))&gt;1,1,0))</f>
        <v>0</v>
      </c>
      <c r="H2938" s="0" t="n">
        <f aca="false">ROW()-1</f>
        <v>2937</v>
      </c>
      <c r="I2938" s="0" t="str">
        <f aca="false">IF(OR(הגדרות!$E$6=0,H2938&gt;הגדרות!$E$5),"",IF(H2938-1&lt;הגדרות!$E$8*(הגדרות!$E$7+1),INT((H2938-1)/(הגדרות!$E$7+1)),הגדרות!$E$8+INT((H2938-1-הגדרות!$E$8*(הגדרות!$E$7+1))/הגדרות!$E$7)))</f>
        <v/>
      </c>
      <c r="J2938" s="0" t="str">
        <f aca="false">IF(I2938="","",IF(H2938-1&lt;הגדרות!$E$8*(הגדרות!$E$7+1),MOD(H2938-1,הגדרות!$E$7+1),MOD(H2938-1-הגדרות!$E$8*(הגדרות!$E$7+1),הגדרות!$E$7)))</f>
        <v/>
      </c>
      <c r="K2938" s="0" t="str">
        <f aca="false">IF(I2938="","",J2938*הגדרות!$E$6+I2938+1)</f>
        <v/>
      </c>
      <c r="L2938" s="0" t="str">
        <f aca="false">IF(K2938="","",MATCH(K2938,$F$2:$F$5001,0))</f>
        <v/>
      </c>
      <c r="M2938" s="0" t="str">
        <f aca="false">IF(I2938="","",INDEX(הגדרות!$A$2:$A$21,MOD(I2938+הגדרות!$E$9,הגדרות!$E$6)+1))</f>
        <v/>
      </c>
    </row>
    <row r="2939" customFormat="false" ht="15" hidden="false" customHeight="false" outlineLevel="0" collapsed="false">
      <c r="A2939" s="0" t="str">
        <f aca="false">IF('הדבקת לידים'!A2939="","",IF(ISNUMBER('הדבקת לידים'!A2939),IF(הגדרות!$E$2&gt;0,TEXT('הדבקת לידים'!A2939,REPT("0",הגדרות!$E$2)),TEXT('הדבקת לידים'!A2939,"0")),TRIM('הדבקת לידים'!A2939)))</f>
        <v/>
      </c>
      <c r="B2939" s="0" t="str">
        <f aca="false">IF('הדבקת לידים'!B2939="","",IF(ISNUMBER('הדבקת לידים'!B2939),IF(הגדרות!$E$3&gt;0,TEXT('הדבקת לידים'!B2939,REPT("0",הגדרות!$E$3)),TEXT('הדבקת לידים'!B2939,"0")),TRIM('הדבקת לידים'!B2939)))</f>
        <v/>
      </c>
      <c r="C2939" s="0" t="n">
        <f aca="false">IF(OR(A2939&lt;&gt;"",B2939&lt;&gt;""),1,0)</f>
        <v>0</v>
      </c>
      <c r="D2939" s="0" t="str">
        <f aca="false">IF(C2939=1,MOD(ABS(SIN(ROW()*12.9898+'הדבקת לידים'!$F$2*78.233+IFERROR(--RIGHT(A2939,6),LEN(A2939))*0.0137+IFERROR(--RIGHT(B2939,6),LEN(B2939))*0.0071))*43758.5453,1),"")</f>
        <v/>
      </c>
      <c r="E2939" s="0" t="str">
        <f aca="false">IF(C2939=1,INT(MOD(ABS(SIN(D2939*7919.123+ROW()*0.618+'הדבקת לידים'!$F$2*1.3))*43758.5453,1)*1000000)*10000+ROW(),"")</f>
        <v/>
      </c>
      <c r="F2939" s="0" t="str">
        <f aca="false">IF(E2939="","",RANK(E2939,$E$2:$E$5001,1))</f>
        <v/>
      </c>
      <c r="G2939" s="0" t="n">
        <f aca="false">IF(A2939="",0,IF(SUMPRODUCT(--($A$2:$A$5001=A2939))&gt;1,1,0))</f>
        <v>0</v>
      </c>
      <c r="H2939" s="0" t="n">
        <f aca="false">ROW()-1</f>
        <v>2938</v>
      </c>
      <c r="I2939" s="0" t="str">
        <f aca="false">IF(OR(הגדרות!$E$6=0,H2939&gt;הגדרות!$E$5),"",IF(H2939-1&lt;הגדרות!$E$8*(הגדרות!$E$7+1),INT((H2939-1)/(הגדרות!$E$7+1)),הגדרות!$E$8+INT((H2939-1-הגדרות!$E$8*(הגדרות!$E$7+1))/הגדרות!$E$7)))</f>
        <v/>
      </c>
      <c r="J2939" s="0" t="str">
        <f aca="false">IF(I2939="","",IF(H2939-1&lt;הגדרות!$E$8*(הגדרות!$E$7+1),MOD(H2939-1,הגדרות!$E$7+1),MOD(H2939-1-הגדרות!$E$8*(הגדרות!$E$7+1),הגדרות!$E$7)))</f>
        <v/>
      </c>
      <c r="K2939" s="0" t="str">
        <f aca="false">IF(I2939="","",J2939*הגדרות!$E$6+I2939+1)</f>
        <v/>
      </c>
      <c r="L2939" s="0" t="str">
        <f aca="false">IF(K2939="","",MATCH(K2939,$F$2:$F$5001,0))</f>
        <v/>
      </c>
      <c r="M2939" s="0" t="str">
        <f aca="false">IF(I2939="","",INDEX(הגדרות!$A$2:$A$21,MOD(I2939+הגדרות!$E$9,הגדרות!$E$6)+1))</f>
        <v/>
      </c>
    </row>
    <row r="2940" customFormat="false" ht="15" hidden="false" customHeight="false" outlineLevel="0" collapsed="false">
      <c r="A2940" s="0" t="str">
        <f aca="false">IF('הדבקת לידים'!A2940="","",IF(ISNUMBER('הדבקת לידים'!A2940),IF(הגדרות!$E$2&gt;0,TEXT('הדבקת לידים'!A2940,REPT("0",הגדרות!$E$2)),TEXT('הדבקת לידים'!A2940,"0")),TRIM('הדבקת לידים'!A2940)))</f>
        <v/>
      </c>
      <c r="B2940" s="0" t="str">
        <f aca="false">IF('הדבקת לידים'!B2940="","",IF(ISNUMBER('הדבקת לידים'!B2940),IF(הגדרות!$E$3&gt;0,TEXT('הדבקת לידים'!B2940,REPT("0",הגדרות!$E$3)),TEXT('הדבקת לידים'!B2940,"0")),TRIM('הדבקת לידים'!B2940)))</f>
        <v/>
      </c>
      <c r="C2940" s="0" t="n">
        <f aca="false">IF(OR(A2940&lt;&gt;"",B2940&lt;&gt;""),1,0)</f>
        <v>0</v>
      </c>
      <c r="D2940" s="0" t="str">
        <f aca="false">IF(C2940=1,MOD(ABS(SIN(ROW()*12.9898+'הדבקת לידים'!$F$2*78.233+IFERROR(--RIGHT(A2940,6),LEN(A2940))*0.0137+IFERROR(--RIGHT(B2940,6),LEN(B2940))*0.0071))*43758.5453,1),"")</f>
        <v/>
      </c>
      <c r="E2940" s="0" t="str">
        <f aca="false">IF(C2940=1,INT(MOD(ABS(SIN(D2940*7919.123+ROW()*0.618+'הדבקת לידים'!$F$2*1.3))*43758.5453,1)*1000000)*10000+ROW(),"")</f>
        <v/>
      </c>
      <c r="F2940" s="0" t="str">
        <f aca="false">IF(E2940="","",RANK(E2940,$E$2:$E$5001,1))</f>
        <v/>
      </c>
      <c r="G2940" s="0" t="n">
        <f aca="false">IF(A2940="",0,IF(SUMPRODUCT(--($A$2:$A$5001=A2940))&gt;1,1,0))</f>
        <v>0</v>
      </c>
      <c r="H2940" s="0" t="n">
        <f aca="false">ROW()-1</f>
        <v>2939</v>
      </c>
      <c r="I2940" s="0" t="str">
        <f aca="false">IF(OR(הגדרות!$E$6=0,H2940&gt;הגדרות!$E$5),"",IF(H2940-1&lt;הגדרות!$E$8*(הגדרות!$E$7+1),INT((H2940-1)/(הגדרות!$E$7+1)),הגדרות!$E$8+INT((H2940-1-הגדרות!$E$8*(הגדרות!$E$7+1))/הגדרות!$E$7)))</f>
        <v/>
      </c>
      <c r="J2940" s="0" t="str">
        <f aca="false">IF(I2940="","",IF(H2940-1&lt;הגדרות!$E$8*(הגדרות!$E$7+1),MOD(H2940-1,הגדרות!$E$7+1),MOD(H2940-1-הגדרות!$E$8*(הגדרות!$E$7+1),הגדרות!$E$7)))</f>
        <v/>
      </c>
      <c r="K2940" s="0" t="str">
        <f aca="false">IF(I2940="","",J2940*הגדרות!$E$6+I2940+1)</f>
        <v/>
      </c>
      <c r="L2940" s="0" t="str">
        <f aca="false">IF(K2940="","",MATCH(K2940,$F$2:$F$5001,0))</f>
        <v/>
      </c>
      <c r="M2940" s="0" t="str">
        <f aca="false">IF(I2940="","",INDEX(הגדרות!$A$2:$A$21,MOD(I2940+הגדרות!$E$9,הגדרות!$E$6)+1))</f>
        <v/>
      </c>
    </row>
    <row r="2941" customFormat="false" ht="15" hidden="false" customHeight="false" outlineLevel="0" collapsed="false">
      <c r="A2941" s="0" t="str">
        <f aca="false">IF('הדבקת לידים'!A2941="","",IF(ISNUMBER('הדבקת לידים'!A2941),IF(הגדרות!$E$2&gt;0,TEXT('הדבקת לידים'!A2941,REPT("0",הגדרות!$E$2)),TEXT('הדבקת לידים'!A2941,"0")),TRIM('הדבקת לידים'!A2941)))</f>
        <v/>
      </c>
      <c r="B2941" s="0" t="str">
        <f aca="false">IF('הדבקת לידים'!B2941="","",IF(ISNUMBER('הדבקת לידים'!B2941),IF(הגדרות!$E$3&gt;0,TEXT('הדבקת לידים'!B2941,REPT("0",הגדרות!$E$3)),TEXT('הדבקת לידים'!B2941,"0")),TRIM('הדבקת לידים'!B2941)))</f>
        <v/>
      </c>
      <c r="C2941" s="0" t="n">
        <f aca="false">IF(OR(A2941&lt;&gt;"",B2941&lt;&gt;""),1,0)</f>
        <v>0</v>
      </c>
      <c r="D2941" s="0" t="str">
        <f aca="false">IF(C2941=1,MOD(ABS(SIN(ROW()*12.9898+'הדבקת לידים'!$F$2*78.233+IFERROR(--RIGHT(A2941,6),LEN(A2941))*0.0137+IFERROR(--RIGHT(B2941,6),LEN(B2941))*0.0071))*43758.5453,1),"")</f>
        <v/>
      </c>
      <c r="E2941" s="0" t="str">
        <f aca="false">IF(C2941=1,INT(MOD(ABS(SIN(D2941*7919.123+ROW()*0.618+'הדבקת לידים'!$F$2*1.3))*43758.5453,1)*1000000)*10000+ROW(),"")</f>
        <v/>
      </c>
      <c r="F2941" s="0" t="str">
        <f aca="false">IF(E2941="","",RANK(E2941,$E$2:$E$5001,1))</f>
        <v/>
      </c>
      <c r="G2941" s="0" t="n">
        <f aca="false">IF(A2941="",0,IF(SUMPRODUCT(--($A$2:$A$5001=A2941))&gt;1,1,0))</f>
        <v>0</v>
      </c>
      <c r="H2941" s="0" t="n">
        <f aca="false">ROW()-1</f>
        <v>2940</v>
      </c>
      <c r="I2941" s="0" t="str">
        <f aca="false">IF(OR(הגדרות!$E$6=0,H2941&gt;הגדרות!$E$5),"",IF(H2941-1&lt;הגדרות!$E$8*(הגדרות!$E$7+1),INT((H2941-1)/(הגדרות!$E$7+1)),הגדרות!$E$8+INT((H2941-1-הגדרות!$E$8*(הגדרות!$E$7+1))/הגדרות!$E$7)))</f>
        <v/>
      </c>
      <c r="J2941" s="0" t="str">
        <f aca="false">IF(I2941="","",IF(H2941-1&lt;הגדרות!$E$8*(הגדרות!$E$7+1),MOD(H2941-1,הגדרות!$E$7+1),MOD(H2941-1-הגדרות!$E$8*(הגדרות!$E$7+1),הגדרות!$E$7)))</f>
        <v/>
      </c>
      <c r="K2941" s="0" t="str">
        <f aca="false">IF(I2941="","",J2941*הגדרות!$E$6+I2941+1)</f>
        <v/>
      </c>
      <c r="L2941" s="0" t="str">
        <f aca="false">IF(K2941="","",MATCH(K2941,$F$2:$F$5001,0))</f>
        <v/>
      </c>
      <c r="M2941" s="0" t="str">
        <f aca="false">IF(I2941="","",INDEX(הגדרות!$A$2:$A$21,MOD(I2941+הגדרות!$E$9,הגדרות!$E$6)+1))</f>
        <v/>
      </c>
    </row>
    <row r="2942" customFormat="false" ht="15" hidden="false" customHeight="false" outlineLevel="0" collapsed="false">
      <c r="A2942" s="0" t="str">
        <f aca="false">IF('הדבקת לידים'!A2942="","",IF(ISNUMBER('הדבקת לידים'!A2942),IF(הגדרות!$E$2&gt;0,TEXT('הדבקת לידים'!A2942,REPT("0",הגדרות!$E$2)),TEXT('הדבקת לידים'!A2942,"0")),TRIM('הדבקת לידים'!A2942)))</f>
        <v/>
      </c>
      <c r="B2942" s="0" t="str">
        <f aca="false">IF('הדבקת לידים'!B2942="","",IF(ISNUMBER('הדבקת לידים'!B2942),IF(הגדרות!$E$3&gt;0,TEXT('הדבקת לידים'!B2942,REPT("0",הגדרות!$E$3)),TEXT('הדבקת לידים'!B2942,"0")),TRIM('הדבקת לידים'!B2942)))</f>
        <v/>
      </c>
      <c r="C2942" s="0" t="n">
        <f aca="false">IF(OR(A2942&lt;&gt;"",B2942&lt;&gt;""),1,0)</f>
        <v>0</v>
      </c>
      <c r="D2942" s="0" t="str">
        <f aca="false">IF(C2942=1,MOD(ABS(SIN(ROW()*12.9898+'הדבקת לידים'!$F$2*78.233+IFERROR(--RIGHT(A2942,6),LEN(A2942))*0.0137+IFERROR(--RIGHT(B2942,6),LEN(B2942))*0.0071))*43758.5453,1),"")</f>
        <v/>
      </c>
      <c r="E2942" s="0" t="str">
        <f aca="false">IF(C2942=1,INT(MOD(ABS(SIN(D2942*7919.123+ROW()*0.618+'הדבקת לידים'!$F$2*1.3))*43758.5453,1)*1000000)*10000+ROW(),"")</f>
        <v/>
      </c>
      <c r="F2942" s="0" t="str">
        <f aca="false">IF(E2942="","",RANK(E2942,$E$2:$E$5001,1))</f>
        <v/>
      </c>
      <c r="G2942" s="0" t="n">
        <f aca="false">IF(A2942="",0,IF(SUMPRODUCT(--($A$2:$A$5001=A2942))&gt;1,1,0))</f>
        <v>0</v>
      </c>
      <c r="H2942" s="0" t="n">
        <f aca="false">ROW()-1</f>
        <v>2941</v>
      </c>
      <c r="I2942" s="0" t="str">
        <f aca="false">IF(OR(הגדרות!$E$6=0,H2942&gt;הגדרות!$E$5),"",IF(H2942-1&lt;הגדרות!$E$8*(הגדרות!$E$7+1),INT((H2942-1)/(הגדרות!$E$7+1)),הגדרות!$E$8+INT((H2942-1-הגדרות!$E$8*(הגדרות!$E$7+1))/הגדרות!$E$7)))</f>
        <v/>
      </c>
      <c r="J2942" s="0" t="str">
        <f aca="false">IF(I2942="","",IF(H2942-1&lt;הגדרות!$E$8*(הגדרות!$E$7+1),MOD(H2942-1,הגדרות!$E$7+1),MOD(H2942-1-הגדרות!$E$8*(הגדרות!$E$7+1),הגדרות!$E$7)))</f>
        <v/>
      </c>
      <c r="K2942" s="0" t="str">
        <f aca="false">IF(I2942="","",J2942*הגדרות!$E$6+I2942+1)</f>
        <v/>
      </c>
      <c r="L2942" s="0" t="str">
        <f aca="false">IF(K2942="","",MATCH(K2942,$F$2:$F$5001,0))</f>
        <v/>
      </c>
      <c r="M2942" s="0" t="str">
        <f aca="false">IF(I2942="","",INDEX(הגדרות!$A$2:$A$21,MOD(I2942+הגדרות!$E$9,הגדרות!$E$6)+1))</f>
        <v/>
      </c>
    </row>
    <row r="2943" customFormat="false" ht="15" hidden="false" customHeight="false" outlineLevel="0" collapsed="false">
      <c r="A2943" s="0" t="str">
        <f aca="false">IF('הדבקת לידים'!A2943="","",IF(ISNUMBER('הדבקת לידים'!A2943),IF(הגדרות!$E$2&gt;0,TEXT('הדבקת לידים'!A2943,REPT("0",הגדרות!$E$2)),TEXT('הדבקת לידים'!A2943,"0")),TRIM('הדבקת לידים'!A2943)))</f>
        <v/>
      </c>
      <c r="B2943" s="0" t="str">
        <f aca="false">IF('הדבקת לידים'!B2943="","",IF(ISNUMBER('הדבקת לידים'!B2943),IF(הגדרות!$E$3&gt;0,TEXT('הדבקת לידים'!B2943,REPT("0",הגדרות!$E$3)),TEXT('הדבקת לידים'!B2943,"0")),TRIM('הדבקת לידים'!B2943)))</f>
        <v/>
      </c>
      <c r="C2943" s="0" t="n">
        <f aca="false">IF(OR(A2943&lt;&gt;"",B2943&lt;&gt;""),1,0)</f>
        <v>0</v>
      </c>
      <c r="D2943" s="0" t="str">
        <f aca="false">IF(C2943=1,MOD(ABS(SIN(ROW()*12.9898+'הדבקת לידים'!$F$2*78.233+IFERROR(--RIGHT(A2943,6),LEN(A2943))*0.0137+IFERROR(--RIGHT(B2943,6),LEN(B2943))*0.0071))*43758.5453,1),"")</f>
        <v/>
      </c>
      <c r="E2943" s="0" t="str">
        <f aca="false">IF(C2943=1,INT(MOD(ABS(SIN(D2943*7919.123+ROW()*0.618+'הדבקת לידים'!$F$2*1.3))*43758.5453,1)*1000000)*10000+ROW(),"")</f>
        <v/>
      </c>
      <c r="F2943" s="0" t="str">
        <f aca="false">IF(E2943="","",RANK(E2943,$E$2:$E$5001,1))</f>
        <v/>
      </c>
      <c r="G2943" s="0" t="n">
        <f aca="false">IF(A2943="",0,IF(SUMPRODUCT(--($A$2:$A$5001=A2943))&gt;1,1,0))</f>
        <v>0</v>
      </c>
      <c r="H2943" s="0" t="n">
        <f aca="false">ROW()-1</f>
        <v>2942</v>
      </c>
      <c r="I2943" s="0" t="str">
        <f aca="false">IF(OR(הגדרות!$E$6=0,H2943&gt;הגדרות!$E$5),"",IF(H2943-1&lt;הגדרות!$E$8*(הגדרות!$E$7+1),INT((H2943-1)/(הגדרות!$E$7+1)),הגדרות!$E$8+INT((H2943-1-הגדרות!$E$8*(הגדרות!$E$7+1))/הגדרות!$E$7)))</f>
        <v/>
      </c>
      <c r="J2943" s="0" t="str">
        <f aca="false">IF(I2943="","",IF(H2943-1&lt;הגדרות!$E$8*(הגדרות!$E$7+1),MOD(H2943-1,הגדרות!$E$7+1),MOD(H2943-1-הגדרות!$E$8*(הגדרות!$E$7+1),הגדרות!$E$7)))</f>
        <v/>
      </c>
      <c r="K2943" s="0" t="str">
        <f aca="false">IF(I2943="","",J2943*הגדרות!$E$6+I2943+1)</f>
        <v/>
      </c>
      <c r="L2943" s="0" t="str">
        <f aca="false">IF(K2943="","",MATCH(K2943,$F$2:$F$5001,0))</f>
        <v/>
      </c>
      <c r="M2943" s="0" t="str">
        <f aca="false">IF(I2943="","",INDEX(הגדרות!$A$2:$A$21,MOD(I2943+הגדרות!$E$9,הגדרות!$E$6)+1))</f>
        <v/>
      </c>
    </row>
    <row r="2944" customFormat="false" ht="15" hidden="false" customHeight="false" outlineLevel="0" collapsed="false">
      <c r="A2944" s="0" t="str">
        <f aca="false">IF('הדבקת לידים'!A2944="","",IF(ISNUMBER('הדבקת לידים'!A2944),IF(הגדרות!$E$2&gt;0,TEXT('הדבקת לידים'!A2944,REPT("0",הגדרות!$E$2)),TEXT('הדבקת לידים'!A2944,"0")),TRIM('הדבקת לידים'!A2944)))</f>
        <v/>
      </c>
      <c r="B2944" s="0" t="str">
        <f aca="false">IF('הדבקת לידים'!B2944="","",IF(ISNUMBER('הדבקת לידים'!B2944),IF(הגדרות!$E$3&gt;0,TEXT('הדבקת לידים'!B2944,REPT("0",הגדרות!$E$3)),TEXT('הדבקת לידים'!B2944,"0")),TRIM('הדבקת לידים'!B2944)))</f>
        <v/>
      </c>
      <c r="C2944" s="0" t="n">
        <f aca="false">IF(OR(A2944&lt;&gt;"",B2944&lt;&gt;""),1,0)</f>
        <v>0</v>
      </c>
      <c r="D2944" s="0" t="str">
        <f aca="false">IF(C2944=1,MOD(ABS(SIN(ROW()*12.9898+'הדבקת לידים'!$F$2*78.233+IFERROR(--RIGHT(A2944,6),LEN(A2944))*0.0137+IFERROR(--RIGHT(B2944,6),LEN(B2944))*0.0071))*43758.5453,1),"")</f>
        <v/>
      </c>
      <c r="E2944" s="0" t="str">
        <f aca="false">IF(C2944=1,INT(MOD(ABS(SIN(D2944*7919.123+ROW()*0.618+'הדבקת לידים'!$F$2*1.3))*43758.5453,1)*1000000)*10000+ROW(),"")</f>
        <v/>
      </c>
      <c r="F2944" s="0" t="str">
        <f aca="false">IF(E2944="","",RANK(E2944,$E$2:$E$5001,1))</f>
        <v/>
      </c>
      <c r="G2944" s="0" t="n">
        <f aca="false">IF(A2944="",0,IF(SUMPRODUCT(--($A$2:$A$5001=A2944))&gt;1,1,0))</f>
        <v>0</v>
      </c>
      <c r="H2944" s="0" t="n">
        <f aca="false">ROW()-1</f>
        <v>2943</v>
      </c>
      <c r="I2944" s="0" t="str">
        <f aca="false">IF(OR(הגדרות!$E$6=0,H2944&gt;הגדרות!$E$5),"",IF(H2944-1&lt;הגדרות!$E$8*(הגדרות!$E$7+1),INT((H2944-1)/(הגדרות!$E$7+1)),הגדרות!$E$8+INT((H2944-1-הגדרות!$E$8*(הגדרות!$E$7+1))/הגדרות!$E$7)))</f>
        <v/>
      </c>
      <c r="J2944" s="0" t="str">
        <f aca="false">IF(I2944="","",IF(H2944-1&lt;הגדרות!$E$8*(הגדרות!$E$7+1),MOD(H2944-1,הגדרות!$E$7+1),MOD(H2944-1-הגדרות!$E$8*(הגדרות!$E$7+1),הגדרות!$E$7)))</f>
        <v/>
      </c>
      <c r="K2944" s="0" t="str">
        <f aca="false">IF(I2944="","",J2944*הגדרות!$E$6+I2944+1)</f>
        <v/>
      </c>
      <c r="L2944" s="0" t="str">
        <f aca="false">IF(K2944="","",MATCH(K2944,$F$2:$F$5001,0))</f>
        <v/>
      </c>
      <c r="M2944" s="0" t="str">
        <f aca="false">IF(I2944="","",INDEX(הגדרות!$A$2:$A$21,MOD(I2944+הגדרות!$E$9,הגדרות!$E$6)+1))</f>
        <v/>
      </c>
    </row>
    <row r="2945" customFormat="false" ht="15" hidden="false" customHeight="false" outlineLevel="0" collapsed="false">
      <c r="A2945" s="0" t="str">
        <f aca="false">IF('הדבקת לידים'!A2945="","",IF(ISNUMBER('הדבקת לידים'!A2945),IF(הגדרות!$E$2&gt;0,TEXT('הדבקת לידים'!A2945,REPT("0",הגדרות!$E$2)),TEXT('הדבקת לידים'!A2945,"0")),TRIM('הדבקת לידים'!A2945)))</f>
        <v/>
      </c>
      <c r="B2945" s="0" t="str">
        <f aca="false">IF('הדבקת לידים'!B2945="","",IF(ISNUMBER('הדבקת לידים'!B2945),IF(הגדרות!$E$3&gt;0,TEXT('הדבקת לידים'!B2945,REPT("0",הגדרות!$E$3)),TEXT('הדבקת לידים'!B2945,"0")),TRIM('הדבקת לידים'!B2945)))</f>
        <v/>
      </c>
      <c r="C2945" s="0" t="n">
        <f aca="false">IF(OR(A2945&lt;&gt;"",B2945&lt;&gt;""),1,0)</f>
        <v>0</v>
      </c>
      <c r="D2945" s="0" t="str">
        <f aca="false">IF(C2945=1,MOD(ABS(SIN(ROW()*12.9898+'הדבקת לידים'!$F$2*78.233+IFERROR(--RIGHT(A2945,6),LEN(A2945))*0.0137+IFERROR(--RIGHT(B2945,6),LEN(B2945))*0.0071))*43758.5453,1),"")</f>
        <v/>
      </c>
      <c r="E2945" s="0" t="str">
        <f aca="false">IF(C2945=1,INT(MOD(ABS(SIN(D2945*7919.123+ROW()*0.618+'הדבקת לידים'!$F$2*1.3))*43758.5453,1)*1000000)*10000+ROW(),"")</f>
        <v/>
      </c>
      <c r="F2945" s="0" t="str">
        <f aca="false">IF(E2945="","",RANK(E2945,$E$2:$E$5001,1))</f>
        <v/>
      </c>
      <c r="G2945" s="0" t="n">
        <f aca="false">IF(A2945="",0,IF(SUMPRODUCT(--($A$2:$A$5001=A2945))&gt;1,1,0))</f>
        <v>0</v>
      </c>
      <c r="H2945" s="0" t="n">
        <f aca="false">ROW()-1</f>
        <v>2944</v>
      </c>
      <c r="I2945" s="0" t="str">
        <f aca="false">IF(OR(הגדרות!$E$6=0,H2945&gt;הגדרות!$E$5),"",IF(H2945-1&lt;הגדרות!$E$8*(הגדרות!$E$7+1),INT((H2945-1)/(הגדרות!$E$7+1)),הגדרות!$E$8+INT((H2945-1-הגדרות!$E$8*(הגדרות!$E$7+1))/הגדרות!$E$7)))</f>
        <v/>
      </c>
      <c r="J2945" s="0" t="str">
        <f aca="false">IF(I2945="","",IF(H2945-1&lt;הגדרות!$E$8*(הגדרות!$E$7+1),MOD(H2945-1,הגדרות!$E$7+1),MOD(H2945-1-הגדרות!$E$8*(הגדרות!$E$7+1),הגדרות!$E$7)))</f>
        <v/>
      </c>
      <c r="K2945" s="0" t="str">
        <f aca="false">IF(I2945="","",J2945*הגדרות!$E$6+I2945+1)</f>
        <v/>
      </c>
      <c r="L2945" s="0" t="str">
        <f aca="false">IF(K2945="","",MATCH(K2945,$F$2:$F$5001,0))</f>
        <v/>
      </c>
      <c r="M2945" s="0" t="str">
        <f aca="false">IF(I2945="","",INDEX(הגדרות!$A$2:$A$21,MOD(I2945+הגדרות!$E$9,הגדרות!$E$6)+1))</f>
        <v/>
      </c>
    </row>
    <row r="2946" customFormat="false" ht="15" hidden="false" customHeight="false" outlineLevel="0" collapsed="false">
      <c r="A2946" s="0" t="str">
        <f aca="false">IF('הדבקת לידים'!A2946="","",IF(ISNUMBER('הדבקת לידים'!A2946),IF(הגדרות!$E$2&gt;0,TEXT('הדבקת לידים'!A2946,REPT("0",הגדרות!$E$2)),TEXT('הדבקת לידים'!A2946,"0")),TRIM('הדבקת לידים'!A2946)))</f>
        <v/>
      </c>
      <c r="B2946" s="0" t="str">
        <f aca="false">IF('הדבקת לידים'!B2946="","",IF(ISNUMBER('הדבקת לידים'!B2946),IF(הגדרות!$E$3&gt;0,TEXT('הדבקת לידים'!B2946,REPT("0",הגדרות!$E$3)),TEXT('הדבקת לידים'!B2946,"0")),TRIM('הדבקת לידים'!B2946)))</f>
        <v/>
      </c>
      <c r="C2946" s="0" t="n">
        <f aca="false">IF(OR(A2946&lt;&gt;"",B2946&lt;&gt;""),1,0)</f>
        <v>0</v>
      </c>
      <c r="D2946" s="0" t="str">
        <f aca="false">IF(C2946=1,MOD(ABS(SIN(ROW()*12.9898+'הדבקת לידים'!$F$2*78.233+IFERROR(--RIGHT(A2946,6),LEN(A2946))*0.0137+IFERROR(--RIGHT(B2946,6),LEN(B2946))*0.0071))*43758.5453,1),"")</f>
        <v/>
      </c>
      <c r="E2946" s="0" t="str">
        <f aca="false">IF(C2946=1,INT(MOD(ABS(SIN(D2946*7919.123+ROW()*0.618+'הדבקת לידים'!$F$2*1.3))*43758.5453,1)*1000000)*10000+ROW(),"")</f>
        <v/>
      </c>
      <c r="F2946" s="0" t="str">
        <f aca="false">IF(E2946="","",RANK(E2946,$E$2:$E$5001,1))</f>
        <v/>
      </c>
      <c r="G2946" s="0" t="n">
        <f aca="false">IF(A2946="",0,IF(SUMPRODUCT(--($A$2:$A$5001=A2946))&gt;1,1,0))</f>
        <v>0</v>
      </c>
      <c r="H2946" s="0" t="n">
        <f aca="false">ROW()-1</f>
        <v>2945</v>
      </c>
      <c r="I2946" s="0" t="str">
        <f aca="false">IF(OR(הגדרות!$E$6=0,H2946&gt;הגדרות!$E$5),"",IF(H2946-1&lt;הגדרות!$E$8*(הגדרות!$E$7+1),INT((H2946-1)/(הגדרות!$E$7+1)),הגדרות!$E$8+INT((H2946-1-הגדרות!$E$8*(הגדרות!$E$7+1))/הגדרות!$E$7)))</f>
        <v/>
      </c>
      <c r="J2946" s="0" t="str">
        <f aca="false">IF(I2946="","",IF(H2946-1&lt;הגדרות!$E$8*(הגדרות!$E$7+1),MOD(H2946-1,הגדרות!$E$7+1),MOD(H2946-1-הגדרות!$E$8*(הגדרות!$E$7+1),הגדרות!$E$7)))</f>
        <v/>
      </c>
      <c r="K2946" s="0" t="str">
        <f aca="false">IF(I2946="","",J2946*הגדרות!$E$6+I2946+1)</f>
        <v/>
      </c>
      <c r="L2946" s="0" t="str">
        <f aca="false">IF(K2946="","",MATCH(K2946,$F$2:$F$5001,0))</f>
        <v/>
      </c>
      <c r="M2946" s="0" t="str">
        <f aca="false">IF(I2946="","",INDEX(הגדרות!$A$2:$A$21,MOD(I2946+הגדרות!$E$9,הגדרות!$E$6)+1))</f>
        <v/>
      </c>
    </row>
    <row r="2947" customFormat="false" ht="15" hidden="false" customHeight="false" outlineLevel="0" collapsed="false">
      <c r="A2947" s="0" t="str">
        <f aca="false">IF('הדבקת לידים'!A2947="","",IF(ISNUMBER('הדבקת לידים'!A2947),IF(הגדרות!$E$2&gt;0,TEXT('הדבקת לידים'!A2947,REPT("0",הגדרות!$E$2)),TEXT('הדבקת לידים'!A2947,"0")),TRIM('הדבקת לידים'!A2947)))</f>
        <v/>
      </c>
      <c r="B2947" s="0" t="str">
        <f aca="false">IF('הדבקת לידים'!B2947="","",IF(ISNUMBER('הדבקת לידים'!B2947),IF(הגדרות!$E$3&gt;0,TEXT('הדבקת לידים'!B2947,REPT("0",הגדרות!$E$3)),TEXT('הדבקת לידים'!B2947,"0")),TRIM('הדבקת לידים'!B2947)))</f>
        <v/>
      </c>
      <c r="C2947" s="0" t="n">
        <f aca="false">IF(OR(A2947&lt;&gt;"",B2947&lt;&gt;""),1,0)</f>
        <v>0</v>
      </c>
      <c r="D2947" s="0" t="str">
        <f aca="false">IF(C2947=1,MOD(ABS(SIN(ROW()*12.9898+'הדבקת לידים'!$F$2*78.233+IFERROR(--RIGHT(A2947,6),LEN(A2947))*0.0137+IFERROR(--RIGHT(B2947,6),LEN(B2947))*0.0071))*43758.5453,1),"")</f>
        <v/>
      </c>
      <c r="E2947" s="0" t="str">
        <f aca="false">IF(C2947=1,INT(MOD(ABS(SIN(D2947*7919.123+ROW()*0.618+'הדבקת לידים'!$F$2*1.3))*43758.5453,1)*1000000)*10000+ROW(),"")</f>
        <v/>
      </c>
      <c r="F2947" s="0" t="str">
        <f aca="false">IF(E2947="","",RANK(E2947,$E$2:$E$5001,1))</f>
        <v/>
      </c>
      <c r="G2947" s="0" t="n">
        <f aca="false">IF(A2947="",0,IF(SUMPRODUCT(--($A$2:$A$5001=A2947))&gt;1,1,0))</f>
        <v>0</v>
      </c>
      <c r="H2947" s="0" t="n">
        <f aca="false">ROW()-1</f>
        <v>2946</v>
      </c>
      <c r="I2947" s="0" t="str">
        <f aca="false">IF(OR(הגדרות!$E$6=0,H2947&gt;הגדרות!$E$5),"",IF(H2947-1&lt;הגדרות!$E$8*(הגדרות!$E$7+1),INT((H2947-1)/(הגדרות!$E$7+1)),הגדרות!$E$8+INT((H2947-1-הגדרות!$E$8*(הגדרות!$E$7+1))/הגדרות!$E$7)))</f>
        <v/>
      </c>
      <c r="J2947" s="0" t="str">
        <f aca="false">IF(I2947="","",IF(H2947-1&lt;הגדרות!$E$8*(הגדרות!$E$7+1),MOD(H2947-1,הגדרות!$E$7+1),MOD(H2947-1-הגדרות!$E$8*(הגדרות!$E$7+1),הגדרות!$E$7)))</f>
        <v/>
      </c>
      <c r="K2947" s="0" t="str">
        <f aca="false">IF(I2947="","",J2947*הגדרות!$E$6+I2947+1)</f>
        <v/>
      </c>
      <c r="L2947" s="0" t="str">
        <f aca="false">IF(K2947="","",MATCH(K2947,$F$2:$F$5001,0))</f>
        <v/>
      </c>
      <c r="M2947" s="0" t="str">
        <f aca="false">IF(I2947="","",INDEX(הגדרות!$A$2:$A$21,MOD(I2947+הגדרות!$E$9,הגדרות!$E$6)+1))</f>
        <v/>
      </c>
    </row>
    <row r="2948" customFormat="false" ht="15" hidden="false" customHeight="false" outlineLevel="0" collapsed="false">
      <c r="A2948" s="0" t="str">
        <f aca="false">IF('הדבקת לידים'!A2948="","",IF(ISNUMBER('הדבקת לידים'!A2948),IF(הגדרות!$E$2&gt;0,TEXT('הדבקת לידים'!A2948,REPT("0",הגדרות!$E$2)),TEXT('הדבקת לידים'!A2948,"0")),TRIM('הדבקת לידים'!A2948)))</f>
        <v/>
      </c>
      <c r="B2948" s="0" t="str">
        <f aca="false">IF('הדבקת לידים'!B2948="","",IF(ISNUMBER('הדבקת לידים'!B2948),IF(הגדרות!$E$3&gt;0,TEXT('הדבקת לידים'!B2948,REPT("0",הגדרות!$E$3)),TEXT('הדבקת לידים'!B2948,"0")),TRIM('הדבקת לידים'!B2948)))</f>
        <v/>
      </c>
      <c r="C2948" s="0" t="n">
        <f aca="false">IF(OR(A2948&lt;&gt;"",B2948&lt;&gt;""),1,0)</f>
        <v>0</v>
      </c>
      <c r="D2948" s="0" t="str">
        <f aca="false">IF(C2948=1,MOD(ABS(SIN(ROW()*12.9898+'הדבקת לידים'!$F$2*78.233+IFERROR(--RIGHT(A2948,6),LEN(A2948))*0.0137+IFERROR(--RIGHT(B2948,6),LEN(B2948))*0.0071))*43758.5453,1),"")</f>
        <v/>
      </c>
      <c r="E2948" s="0" t="str">
        <f aca="false">IF(C2948=1,INT(MOD(ABS(SIN(D2948*7919.123+ROW()*0.618+'הדבקת לידים'!$F$2*1.3))*43758.5453,1)*1000000)*10000+ROW(),"")</f>
        <v/>
      </c>
      <c r="F2948" s="0" t="str">
        <f aca="false">IF(E2948="","",RANK(E2948,$E$2:$E$5001,1))</f>
        <v/>
      </c>
      <c r="G2948" s="0" t="n">
        <f aca="false">IF(A2948="",0,IF(SUMPRODUCT(--($A$2:$A$5001=A2948))&gt;1,1,0))</f>
        <v>0</v>
      </c>
      <c r="H2948" s="0" t="n">
        <f aca="false">ROW()-1</f>
        <v>2947</v>
      </c>
      <c r="I2948" s="0" t="str">
        <f aca="false">IF(OR(הגדרות!$E$6=0,H2948&gt;הגדרות!$E$5),"",IF(H2948-1&lt;הגדרות!$E$8*(הגדרות!$E$7+1),INT((H2948-1)/(הגדרות!$E$7+1)),הגדרות!$E$8+INT((H2948-1-הגדרות!$E$8*(הגדרות!$E$7+1))/הגדרות!$E$7)))</f>
        <v/>
      </c>
      <c r="J2948" s="0" t="str">
        <f aca="false">IF(I2948="","",IF(H2948-1&lt;הגדרות!$E$8*(הגדרות!$E$7+1),MOD(H2948-1,הגדרות!$E$7+1),MOD(H2948-1-הגדרות!$E$8*(הגדרות!$E$7+1),הגדרות!$E$7)))</f>
        <v/>
      </c>
      <c r="K2948" s="0" t="str">
        <f aca="false">IF(I2948="","",J2948*הגדרות!$E$6+I2948+1)</f>
        <v/>
      </c>
      <c r="L2948" s="0" t="str">
        <f aca="false">IF(K2948="","",MATCH(K2948,$F$2:$F$5001,0))</f>
        <v/>
      </c>
      <c r="M2948" s="0" t="str">
        <f aca="false">IF(I2948="","",INDEX(הגדרות!$A$2:$A$21,MOD(I2948+הגדרות!$E$9,הגדרות!$E$6)+1))</f>
        <v/>
      </c>
    </row>
    <row r="2949" customFormat="false" ht="15" hidden="false" customHeight="false" outlineLevel="0" collapsed="false">
      <c r="A2949" s="0" t="str">
        <f aca="false">IF('הדבקת לידים'!A2949="","",IF(ISNUMBER('הדבקת לידים'!A2949),IF(הגדרות!$E$2&gt;0,TEXT('הדבקת לידים'!A2949,REPT("0",הגדרות!$E$2)),TEXT('הדבקת לידים'!A2949,"0")),TRIM('הדבקת לידים'!A2949)))</f>
        <v/>
      </c>
      <c r="B2949" s="0" t="str">
        <f aca="false">IF('הדבקת לידים'!B2949="","",IF(ISNUMBER('הדבקת לידים'!B2949),IF(הגדרות!$E$3&gt;0,TEXT('הדבקת לידים'!B2949,REPT("0",הגדרות!$E$3)),TEXT('הדבקת לידים'!B2949,"0")),TRIM('הדבקת לידים'!B2949)))</f>
        <v/>
      </c>
      <c r="C2949" s="0" t="n">
        <f aca="false">IF(OR(A2949&lt;&gt;"",B2949&lt;&gt;""),1,0)</f>
        <v>0</v>
      </c>
      <c r="D2949" s="0" t="str">
        <f aca="false">IF(C2949=1,MOD(ABS(SIN(ROW()*12.9898+'הדבקת לידים'!$F$2*78.233+IFERROR(--RIGHT(A2949,6),LEN(A2949))*0.0137+IFERROR(--RIGHT(B2949,6),LEN(B2949))*0.0071))*43758.5453,1),"")</f>
        <v/>
      </c>
      <c r="E2949" s="0" t="str">
        <f aca="false">IF(C2949=1,INT(MOD(ABS(SIN(D2949*7919.123+ROW()*0.618+'הדבקת לידים'!$F$2*1.3))*43758.5453,1)*1000000)*10000+ROW(),"")</f>
        <v/>
      </c>
      <c r="F2949" s="0" t="str">
        <f aca="false">IF(E2949="","",RANK(E2949,$E$2:$E$5001,1))</f>
        <v/>
      </c>
      <c r="G2949" s="0" t="n">
        <f aca="false">IF(A2949="",0,IF(SUMPRODUCT(--($A$2:$A$5001=A2949))&gt;1,1,0))</f>
        <v>0</v>
      </c>
      <c r="H2949" s="0" t="n">
        <f aca="false">ROW()-1</f>
        <v>2948</v>
      </c>
      <c r="I2949" s="0" t="str">
        <f aca="false">IF(OR(הגדרות!$E$6=0,H2949&gt;הגדרות!$E$5),"",IF(H2949-1&lt;הגדרות!$E$8*(הגדרות!$E$7+1),INT((H2949-1)/(הגדרות!$E$7+1)),הגדרות!$E$8+INT((H2949-1-הגדרות!$E$8*(הגדרות!$E$7+1))/הגדרות!$E$7)))</f>
        <v/>
      </c>
      <c r="J2949" s="0" t="str">
        <f aca="false">IF(I2949="","",IF(H2949-1&lt;הגדרות!$E$8*(הגדרות!$E$7+1),MOD(H2949-1,הגדרות!$E$7+1),MOD(H2949-1-הגדרות!$E$8*(הגדרות!$E$7+1),הגדרות!$E$7)))</f>
        <v/>
      </c>
      <c r="K2949" s="0" t="str">
        <f aca="false">IF(I2949="","",J2949*הגדרות!$E$6+I2949+1)</f>
        <v/>
      </c>
      <c r="L2949" s="0" t="str">
        <f aca="false">IF(K2949="","",MATCH(K2949,$F$2:$F$5001,0))</f>
        <v/>
      </c>
      <c r="M2949" s="0" t="str">
        <f aca="false">IF(I2949="","",INDEX(הגדרות!$A$2:$A$21,MOD(I2949+הגדרות!$E$9,הגדרות!$E$6)+1))</f>
        <v/>
      </c>
    </row>
    <row r="2950" customFormat="false" ht="15" hidden="false" customHeight="false" outlineLevel="0" collapsed="false">
      <c r="A2950" s="0" t="str">
        <f aca="false">IF('הדבקת לידים'!A2950="","",IF(ISNUMBER('הדבקת לידים'!A2950),IF(הגדרות!$E$2&gt;0,TEXT('הדבקת לידים'!A2950,REPT("0",הגדרות!$E$2)),TEXT('הדבקת לידים'!A2950,"0")),TRIM('הדבקת לידים'!A2950)))</f>
        <v/>
      </c>
      <c r="B2950" s="0" t="str">
        <f aca="false">IF('הדבקת לידים'!B2950="","",IF(ISNUMBER('הדבקת לידים'!B2950),IF(הגדרות!$E$3&gt;0,TEXT('הדבקת לידים'!B2950,REPT("0",הגדרות!$E$3)),TEXT('הדבקת לידים'!B2950,"0")),TRIM('הדבקת לידים'!B2950)))</f>
        <v/>
      </c>
      <c r="C2950" s="0" t="n">
        <f aca="false">IF(OR(A2950&lt;&gt;"",B2950&lt;&gt;""),1,0)</f>
        <v>0</v>
      </c>
      <c r="D2950" s="0" t="str">
        <f aca="false">IF(C2950=1,MOD(ABS(SIN(ROW()*12.9898+'הדבקת לידים'!$F$2*78.233+IFERROR(--RIGHT(A2950,6),LEN(A2950))*0.0137+IFERROR(--RIGHT(B2950,6),LEN(B2950))*0.0071))*43758.5453,1),"")</f>
        <v/>
      </c>
      <c r="E2950" s="0" t="str">
        <f aca="false">IF(C2950=1,INT(MOD(ABS(SIN(D2950*7919.123+ROW()*0.618+'הדבקת לידים'!$F$2*1.3))*43758.5453,1)*1000000)*10000+ROW(),"")</f>
        <v/>
      </c>
      <c r="F2950" s="0" t="str">
        <f aca="false">IF(E2950="","",RANK(E2950,$E$2:$E$5001,1))</f>
        <v/>
      </c>
      <c r="G2950" s="0" t="n">
        <f aca="false">IF(A2950="",0,IF(SUMPRODUCT(--($A$2:$A$5001=A2950))&gt;1,1,0))</f>
        <v>0</v>
      </c>
      <c r="H2950" s="0" t="n">
        <f aca="false">ROW()-1</f>
        <v>2949</v>
      </c>
      <c r="I2950" s="0" t="str">
        <f aca="false">IF(OR(הגדרות!$E$6=0,H2950&gt;הגדרות!$E$5),"",IF(H2950-1&lt;הגדרות!$E$8*(הגדרות!$E$7+1),INT((H2950-1)/(הגדרות!$E$7+1)),הגדרות!$E$8+INT((H2950-1-הגדרות!$E$8*(הגדרות!$E$7+1))/הגדרות!$E$7)))</f>
        <v/>
      </c>
      <c r="J2950" s="0" t="str">
        <f aca="false">IF(I2950="","",IF(H2950-1&lt;הגדרות!$E$8*(הגדרות!$E$7+1),MOD(H2950-1,הגדרות!$E$7+1),MOD(H2950-1-הגדרות!$E$8*(הגדרות!$E$7+1),הגדרות!$E$7)))</f>
        <v/>
      </c>
      <c r="K2950" s="0" t="str">
        <f aca="false">IF(I2950="","",J2950*הגדרות!$E$6+I2950+1)</f>
        <v/>
      </c>
      <c r="L2950" s="0" t="str">
        <f aca="false">IF(K2950="","",MATCH(K2950,$F$2:$F$5001,0))</f>
        <v/>
      </c>
      <c r="M2950" s="0" t="str">
        <f aca="false">IF(I2950="","",INDEX(הגדרות!$A$2:$A$21,MOD(I2950+הגדרות!$E$9,הגדרות!$E$6)+1))</f>
        <v/>
      </c>
    </row>
    <row r="2951" customFormat="false" ht="15" hidden="false" customHeight="false" outlineLevel="0" collapsed="false">
      <c r="A2951" s="0" t="str">
        <f aca="false">IF('הדבקת לידים'!A2951="","",IF(ISNUMBER('הדבקת לידים'!A2951),IF(הגדרות!$E$2&gt;0,TEXT('הדבקת לידים'!A2951,REPT("0",הגדרות!$E$2)),TEXT('הדבקת לידים'!A2951,"0")),TRIM('הדבקת לידים'!A2951)))</f>
        <v/>
      </c>
      <c r="B2951" s="0" t="str">
        <f aca="false">IF('הדבקת לידים'!B2951="","",IF(ISNUMBER('הדבקת לידים'!B2951),IF(הגדרות!$E$3&gt;0,TEXT('הדבקת לידים'!B2951,REPT("0",הגדרות!$E$3)),TEXT('הדבקת לידים'!B2951,"0")),TRIM('הדבקת לידים'!B2951)))</f>
        <v/>
      </c>
      <c r="C2951" s="0" t="n">
        <f aca="false">IF(OR(A2951&lt;&gt;"",B2951&lt;&gt;""),1,0)</f>
        <v>0</v>
      </c>
      <c r="D2951" s="0" t="str">
        <f aca="false">IF(C2951=1,MOD(ABS(SIN(ROW()*12.9898+'הדבקת לידים'!$F$2*78.233+IFERROR(--RIGHT(A2951,6),LEN(A2951))*0.0137+IFERROR(--RIGHT(B2951,6),LEN(B2951))*0.0071))*43758.5453,1),"")</f>
        <v/>
      </c>
      <c r="E2951" s="0" t="str">
        <f aca="false">IF(C2951=1,INT(MOD(ABS(SIN(D2951*7919.123+ROW()*0.618+'הדבקת לידים'!$F$2*1.3))*43758.5453,1)*1000000)*10000+ROW(),"")</f>
        <v/>
      </c>
      <c r="F2951" s="0" t="str">
        <f aca="false">IF(E2951="","",RANK(E2951,$E$2:$E$5001,1))</f>
        <v/>
      </c>
      <c r="G2951" s="0" t="n">
        <f aca="false">IF(A2951="",0,IF(SUMPRODUCT(--($A$2:$A$5001=A2951))&gt;1,1,0))</f>
        <v>0</v>
      </c>
      <c r="H2951" s="0" t="n">
        <f aca="false">ROW()-1</f>
        <v>2950</v>
      </c>
      <c r="I2951" s="0" t="str">
        <f aca="false">IF(OR(הגדרות!$E$6=0,H2951&gt;הגדרות!$E$5),"",IF(H2951-1&lt;הגדרות!$E$8*(הגדרות!$E$7+1),INT((H2951-1)/(הגדרות!$E$7+1)),הגדרות!$E$8+INT((H2951-1-הגדרות!$E$8*(הגדרות!$E$7+1))/הגדרות!$E$7)))</f>
        <v/>
      </c>
      <c r="J2951" s="0" t="str">
        <f aca="false">IF(I2951="","",IF(H2951-1&lt;הגדרות!$E$8*(הגדרות!$E$7+1),MOD(H2951-1,הגדרות!$E$7+1),MOD(H2951-1-הגדרות!$E$8*(הגדרות!$E$7+1),הגדרות!$E$7)))</f>
        <v/>
      </c>
      <c r="K2951" s="0" t="str">
        <f aca="false">IF(I2951="","",J2951*הגדרות!$E$6+I2951+1)</f>
        <v/>
      </c>
      <c r="L2951" s="0" t="str">
        <f aca="false">IF(K2951="","",MATCH(K2951,$F$2:$F$5001,0))</f>
        <v/>
      </c>
      <c r="M2951" s="0" t="str">
        <f aca="false">IF(I2951="","",INDEX(הגדרות!$A$2:$A$21,MOD(I2951+הגדרות!$E$9,הגדרות!$E$6)+1))</f>
        <v/>
      </c>
    </row>
    <row r="2952" customFormat="false" ht="15" hidden="false" customHeight="false" outlineLevel="0" collapsed="false">
      <c r="A2952" s="0" t="str">
        <f aca="false">IF('הדבקת לידים'!A2952="","",IF(ISNUMBER('הדבקת לידים'!A2952),IF(הגדרות!$E$2&gt;0,TEXT('הדבקת לידים'!A2952,REPT("0",הגדרות!$E$2)),TEXT('הדבקת לידים'!A2952,"0")),TRIM('הדבקת לידים'!A2952)))</f>
        <v/>
      </c>
      <c r="B2952" s="0" t="str">
        <f aca="false">IF('הדבקת לידים'!B2952="","",IF(ISNUMBER('הדבקת לידים'!B2952),IF(הגדרות!$E$3&gt;0,TEXT('הדבקת לידים'!B2952,REPT("0",הגדרות!$E$3)),TEXT('הדבקת לידים'!B2952,"0")),TRIM('הדבקת לידים'!B2952)))</f>
        <v/>
      </c>
      <c r="C2952" s="0" t="n">
        <f aca="false">IF(OR(A2952&lt;&gt;"",B2952&lt;&gt;""),1,0)</f>
        <v>0</v>
      </c>
      <c r="D2952" s="0" t="str">
        <f aca="false">IF(C2952=1,MOD(ABS(SIN(ROW()*12.9898+'הדבקת לידים'!$F$2*78.233+IFERROR(--RIGHT(A2952,6),LEN(A2952))*0.0137+IFERROR(--RIGHT(B2952,6),LEN(B2952))*0.0071))*43758.5453,1),"")</f>
        <v/>
      </c>
      <c r="E2952" s="0" t="str">
        <f aca="false">IF(C2952=1,INT(MOD(ABS(SIN(D2952*7919.123+ROW()*0.618+'הדבקת לידים'!$F$2*1.3))*43758.5453,1)*1000000)*10000+ROW(),"")</f>
        <v/>
      </c>
      <c r="F2952" s="0" t="str">
        <f aca="false">IF(E2952="","",RANK(E2952,$E$2:$E$5001,1))</f>
        <v/>
      </c>
      <c r="G2952" s="0" t="n">
        <f aca="false">IF(A2952="",0,IF(SUMPRODUCT(--($A$2:$A$5001=A2952))&gt;1,1,0))</f>
        <v>0</v>
      </c>
      <c r="H2952" s="0" t="n">
        <f aca="false">ROW()-1</f>
        <v>2951</v>
      </c>
      <c r="I2952" s="0" t="str">
        <f aca="false">IF(OR(הגדרות!$E$6=0,H2952&gt;הגדרות!$E$5),"",IF(H2952-1&lt;הגדרות!$E$8*(הגדרות!$E$7+1),INT((H2952-1)/(הגדרות!$E$7+1)),הגדרות!$E$8+INT((H2952-1-הגדרות!$E$8*(הגדרות!$E$7+1))/הגדרות!$E$7)))</f>
        <v/>
      </c>
      <c r="J2952" s="0" t="str">
        <f aca="false">IF(I2952="","",IF(H2952-1&lt;הגדרות!$E$8*(הגדרות!$E$7+1),MOD(H2952-1,הגדרות!$E$7+1),MOD(H2952-1-הגדרות!$E$8*(הגדרות!$E$7+1),הגדרות!$E$7)))</f>
        <v/>
      </c>
      <c r="K2952" s="0" t="str">
        <f aca="false">IF(I2952="","",J2952*הגדרות!$E$6+I2952+1)</f>
        <v/>
      </c>
      <c r="L2952" s="0" t="str">
        <f aca="false">IF(K2952="","",MATCH(K2952,$F$2:$F$5001,0))</f>
        <v/>
      </c>
      <c r="M2952" s="0" t="str">
        <f aca="false">IF(I2952="","",INDEX(הגדרות!$A$2:$A$21,MOD(I2952+הגדרות!$E$9,הגדרות!$E$6)+1))</f>
        <v/>
      </c>
    </row>
    <row r="2953" customFormat="false" ht="15" hidden="false" customHeight="false" outlineLevel="0" collapsed="false">
      <c r="A2953" s="0" t="str">
        <f aca="false">IF('הדבקת לידים'!A2953="","",IF(ISNUMBER('הדבקת לידים'!A2953),IF(הגדרות!$E$2&gt;0,TEXT('הדבקת לידים'!A2953,REPT("0",הגדרות!$E$2)),TEXT('הדבקת לידים'!A2953,"0")),TRIM('הדבקת לידים'!A2953)))</f>
        <v/>
      </c>
      <c r="B2953" s="0" t="str">
        <f aca="false">IF('הדבקת לידים'!B2953="","",IF(ISNUMBER('הדבקת לידים'!B2953),IF(הגדרות!$E$3&gt;0,TEXT('הדבקת לידים'!B2953,REPT("0",הגדרות!$E$3)),TEXT('הדבקת לידים'!B2953,"0")),TRIM('הדבקת לידים'!B2953)))</f>
        <v/>
      </c>
      <c r="C2953" s="0" t="n">
        <f aca="false">IF(OR(A2953&lt;&gt;"",B2953&lt;&gt;""),1,0)</f>
        <v>0</v>
      </c>
      <c r="D2953" s="0" t="str">
        <f aca="false">IF(C2953=1,MOD(ABS(SIN(ROW()*12.9898+'הדבקת לידים'!$F$2*78.233+IFERROR(--RIGHT(A2953,6),LEN(A2953))*0.0137+IFERROR(--RIGHT(B2953,6),LEN(B2953))*0.0071))*43758.5453,1),"")</f>
        <v/>
      </c>
      <c r="E2953" s="0" t="str">
        <f aca="false">IF(C2953=1,INT(MOD(ABS(SIN(D2953*7919.123+ROW()*0.618+'הדבקת לידים'!$F$2*1.3))*43758.5453,1)*1000000)*10000+ROW(),"")</f>
        <v/>
      </c>
      <c r="F2953" s="0" t="str">
        <f aca="false">IF(E2953="","",RANK(E2953,$E$2:$E$5001,1))</f>
        <v/>
      </c>
      <c r="G2953" s="0" t="n">
        <f aca="false">IF(A2953="",0,IF(SUMPRODUCT(--($A$2:$A$5001=A2953))&gt;1,1,0))</f>
        <v>0</v>
      </c>
      <c r="H2953" s="0" t="n">
        <f aca="false">ROW()-1</f>
        <v>2952</v>
      </c>
      <c r="I2953" s="0" t="str">
        <f aca="false">IF(OR(הגדרות!$E$6=0,H2953&gt;הגדרות!$E$5),"",IF(H2953-1&lt;הגדרות!$E$8*(הגדרות!$E$7+1),INT((H2953-1)/(הגדרות!$E$7+1)),הגדרות!$E$8+INT((H2953-1-הגדרות!$E$8*(הגדרות!$E$7+1))/הגדרות!$E$7)))</f>
        <v/>
      </c>
      <c r="J2953" s="0" t="str">
        <f aca="false">IF(I2953="","",IF(H2953-1&lt;הגדרות!$E$8*(הגדרות!$E$7+1),MOD(H2953-1,הגדרות!$E$7+1),MOD(H2953-1-הגדרות!$E$8*(הגדרות!$E$7+1),הגדרות!$E$7)))</f>
        <v/>
      </c>
      <c r="K2953" s="0" t="str">
        <f aca="false">IF(I2953="","",J2953*הגדרות!$E$6+I2953+1)</f>
        <v/>
      </c>
      <c r="L2953" s="0" t="str">
        <f aca="false">IF(K2953="","",MATCH(K2953,$F$2:$F$5001,0))</f>
        <v/>
      </c>
      <c r="M2953" s="0" t="str">
        <f aca="false">IF(I2953="","",INDEX(הגדרות!$A$2:$A$21,MOD(I2953+הגדרות!$E$9,הגדרות!$E$6)+1))</f>
        <v/>
      </c>
    </row>
    <row r="2954" customFormat="false" ht="15" hidden="false" customHeight="false" outlineLevel="0" collapsed="false">
      <c r="A2954" s="0" t="str">
        <f aca="false">IF('הדבקת לידים'!A2954="","",IF(ISNUMBER('הדבקת לידים'!A2954),IF(הגדרות!$E$2&gt;0,TEXT('הדבקת לידים'!A2954,REPT("0",הגדרות!$E$2)),TEXT('הדבקת לידים'!A2954,"0")),TRIM('הדבקת לידים'!A2954)))</f>
        <v/>
      </c>
      <c r="B2954" s="0" t="str">
        <f aca="false">IF('הדבקת לידים'!B2954="","",IF(ISNUMBER('הדבקת לידים'!B2954),IF(הגדרות!$E$3&gt;0,TEXT('הדבקת לידים'!B2954,REPT("0",הגדרות!$E$3)),TEXT('הדבקת לידים'!B2954,"0")),TRIM('הדבקת לידים'!B2954)))</f>
        <v/>
      </c>
      <c r="C2954" s="0" t="n">
        <f aca="false">IF(OR(A2954&lt;&gt;"",B2954&lt;&gt;""),1,0)</f>
        <v>0</v>
      </c>
      <c r="D2954" s="0" t="str">
        <f aca="false">IF(C2954=1,MOD(ABS(SIN(ROW()*12.9898+'הדבקת לידים'!$F$2*78.233+IFERROR(--RIGHT(A2954,6),LEN(A2954))*0.0137+IFERROR(--RIGHT(B2954,6),LEN(B2954))*0.0071))*43758.5453,1),"")</f>
        <v/>
      </c>
      <c r="E2954" s="0" t="str">
        <f aca="false">IF(C2954=1,INT(MOD(ABS(SIN(D2954*7919.123+ROW()*0.618+'הדבקת לידים'!$F$2*1.3))*43758.5453,1)*1000000)*10000+ROW(),"")</f>
        <v/>
      </c>
      <c r="F2954" s="0" t="str">
        <f aca="false">IF(E2954="","",RANK(E2954,$E$2:$E$5001,1))</f>
        <v/>
      </c>
      <c r="G2954" s="0" t="n">
        <f aca="false">IF(A2954="",0,IF(SUMPRODUCT(--($A$2:$A$5001=A2954))&gt;1,1,0))</f>
        <v>0</v>
      </c>
      <c r="H2954" s="0" t="n">
        <f aca="false">ROW()-1</f>
        <v>2953</v>
      </c>
      <c r="I2954" s="0" t="str">
        <f aca="false">IF(OR(הגדרות!$E$6=0,H2954&gt;הגדרות!$E$5),"",IF(H2954-1&lt;הגדרות!$E$8*(הגדרות!$E$7+1),INT((H2954-1)/(הגדרות!$E$7+1)),הגדרות!$E$8+INT((H2954-1-הגדרות!$E$8*(הגדרות!$E$7+1))/הגדרות!$E$7)))</f>
        <v/>
      </c>
      <c r="J2954" s="0" t="str">
        <f aca="false">IF(I2954="","",IF(H2954-1&lt;הגדרות!$E$8*(הגדרות!$E$7+1),MOD(H2954-1,הגדרות!$E$7+1),MOD(H2954-1-הגדרות!$E$8*(הגדרות!$E$7+1),הגדרות!$E$7)))</f>
        <v/>
      </c>
      <c r="K2954" s="0" t="str">
        <f aca="false">IF(I2954="","",J2954*הגדרות!$E$6+I2954+1)</f>
        <v/>
      </c>
      <c r="L2954" s="0" t="str">
        <f aca="false">IF(K2954="","",MATCH(K2954,$F$2:$F$5001,0))</f>
        <v/>
      </c>
      <c r="M2954" s="0" t="str">
        <f aca="false">IF(I2954="","",INDEX(הגדרות!$A$2:$A$21,MOD(I2954+הגדרות!$E$9,הגדרות!$E$6)+1))</f>
        <v/>
      </c>
    </row>
    <row r="2955" customFormat="false" ht="15" hidden="false" customHeight="false" outlineLevel="0" collapsed="false">
      <c r="A2955" s="0" t="str">
        <f aca="false">IF('הדבקת לידים'!A2955="","",IF(ISNUMBER('הדבקת לידים'!A2955),IF(הגדרות!$E$2&gt;0,TEXT('הדבקת לידים'!A2955,REPT("0",הגדרות!$E$2)),TEXT('הדבקת לידים'!A2955,"0")),TRIM('הדבקת לידים'!A2955)))</f>
        <v/>
      </c>
      <c r="B2955" s="0" t="str">
        <f aca="false">IF('הדבקת לידים'!B2955="","",IF(ISNUMBER('הדבקת לידים'!B2955),IF(הגדרות!$E$3&gt;0,TEXT('הדבקת לידים'!B2955,REPT("0",הגדרות!$E$3)),TEXT('הדבקת לידים'!B2955,"0")),TRIM('הדבקת לידים'!B2955)))</f>
        <v/>
      </c>
      <c r="C2955" s="0" t="n">
        <f aca="false">IF(OR(A2955&lt;&gt;"",B2955&lt;&gt;""),1,0)</f>
        <v>0</v>
      </c>
      <c r="D2955" s="0" t="str">
        <f aca="false">IF(C2955=1,MOD(ABS(SIN(ROW()*12.9898+'הדבקת לידים'!$F$2*78.233+IFERROR(--RIGHT(A2955,6),LEN(A2955))*0.0137+IFERROR(--RIGHT(B2955,6),LEN(B2955))*0.0071))*43758.5453,1),"")</f>
        <v/>
      </c>
      <c r="E2955" s="0" t="str">
        <f aca="false">IF(C2955=1,INT(MOD(ABS(SIN(D2955*7919.123+ROW()*0.618+'הדבקת לידים'!$F$2*1.3))*43758.5453,1)*1000000)*10000+ROW(),"")</f>
        <v/>
      </c>
      <c r="F2955" s="0" t="str">
        <f aca="false">IF(E2955="","",RANK(E2955,$E$2:$E$5001,1))</f>
        <v/>
      </c>
      <c r="G2955" s="0" t="n">
        <f aca="false">IF(A2955="",0,IF(SUMPRODUCT(--($A$2:$A$5001=A2955))&gt;1,1,0))</f>
        <v>0</v>
      </c>
      <c r="H2955" s="0" t="n">
        <f aca="false">ROW()-1</f>
        <v>2954</v>
      </c>
      <c r="I2955" s="0" t="str">
        <f aca="false">IF(OR(הגדרות!$E$6=0,H2955&gt;הגדרות!$E$5),"",IF(H2955-1&lt;הגדרות!$E$8*(הגדרות!$E$7+1),INT((H2955-1)/(הגדרות!$E$7+1)),הגדרות!$E$8+INT((H2955-1-הגדרות!$E$8*(הגדרות!$E$7+1))/הגדרות!$E$7)))</f>
        <v/>
      </c>
      <c r="J2955" s="0" t="str">
        <f aca="false">IF(I2955="","",IF(H2955-1&lt;הגדרות!$E$8*(הגדרות!$E$7+1),MOD(H2955-1,הגדרות!$E$7+1),MOD(H2955-1-הגדרות!$E$8*(הגדרות!$E$7+1),הגדרות!$E$7)))</f>
        <v/>
      </c>
      <c r="K2955" s="0" t="str">
        <f aca="false">IF(I2955="","",J2955*הגדרות!$E$6+I2955+1)</f>
        <v/>
      </c>
      <c r="L2955" s="0" t="str">
        <f aca="false">IF(K2955="","",MATCH(K2955,$F$2:$F$5001,0))</f>
        <v/>
      </c>
      <c r="M2955" s="0" t="str">
        <f aca="false">IF(I2955="","",INDEX(הגדרות!$A$2:$A$21,MOD(I2955+הגדרות!$E$9,הגדרות!$E$6)+1))</f>
        <v/>
      </c>
    </row>
    <row r="2956" customFormat="false" ht="15" hidden="false" customHeight="false" outlineLevel="0" collapsed="false">
      <c r="A2956" s="0" t="str">
        <f aca="false">IF('הדבקת לידים'!A2956="","",IF(ISNUMBER('הדבקת לידים'!A2956),IF(הגדרות!$E$2&gt;0,TEXT('הדבקת לידים'!A2956,REPT("0",הגדרות!$E$2)),TEXT('הדבקת לידים'!A2956,"0")),TRIM('הדבקת לידים'!A2956)))</f>
        <v/>
      </c>
      <c r="B2956" s="0" t="str">
        <f aca="false">IF('הדבקת לידים'!B2956="","",IF(ISNUMBER('הדבקת לידים'!B2956),IF(הגדרות!$E$3&gt;0,TEXT('הדבקת לידים'!B2956,REPT("0",הגדרות!$E$3)),TEXT('הדבקת לידים'!B2956,"0")),TRIM('הדבקת לידים'!B2956)))</f>
        <v/>
      </c>
      <c r="C2956" s="0" t="n">
        <f aca="false">IF(OR(A2956&lt;&gt;"",B2956&lt;&gt;""),1,0)</f>
        <v>0</v>
      </c>
      <c r="D2956" s="0" t="str">
        <f aca="false">IF(C2956=1,MOD(ABS(SIN(ROW()*12.9898+'הדבקת לידים'!$F$2*78.233+IFERROR(--RIGHT(A2956,6),LEN(A2956))*0.0137+IFERROR(--RIGHT(B2956,6),LEN(B2956))*0.0071))*43758.5453,1),"")</f>
        <v/>
      </c>
      <c r="E2956" s="0" t="str">
        <f aca="false">IF(C2956=1,INT(MOD(ABS(SIN(D2956*7919.123+ROW()*0.618+'הדבקת לידים'!$F$2*1.3))*43758.5453,1)*1000000)*10000+ROW(),"")</f>
        <v/>
      </c>
      <c r="F2956" s="0" t="str">
        <f aca="false">IF(E2956="","",RANK(E2956,$E$2:$E$5001,1))</f>
        <v/>
      </c>
      <c r="G2956" s="0" t="n">
        <f aca="false">IF(A2956="",0,IF(SUMPRODUCT(--($A$2:$A$5001=A2956))&gt;1,1,0))</f>
        <v>0</v>
      </c>
      <c r="H2956" s="0" t="n">
        <f aca="false">ROW()-1</f>
        <v>2955</v>
      </c>
      <c r="I2956" s="0" t="str">
        <f aca="false">IF(OR(הגדרות!$E$6=0,H2956&gt;הגדרות!$E$5),"",IF(H2956-1&lt;הגדרות!$E$8*(הגדרות!$E$7+1),INT((H2956-1)/(הגדרות!$E$7+1)),הגדרות!$E$8+INT((H2956-1-הגדרות!$E$8*(הגדרות!$E$7+1))/הגדרות!$E$7)))</f>
        <v/>
      </c>
      <c r="J2956" s="0" t="str">
        <f aca="false">IF(I2956="","",IF(H2956-1&lt;הגדרות!$E$8*(הגדרות!$E$7+1),MOD(H2956-1,הגדרות!$E$7+1),MOD(H2956-1-הגדרות!$E$8*(הגדרות!$E$7+1),הגדרות!$E$7)))</f>
        <v/>
      </c>
      <c r="K2956" s="0" t="str">
        <f aca="false">IF(I2956="","",J2956*הגדרות!$E$6+I2956+1)</f>
        <v/>
      </c>
      <c r="L2956" s="0" t="str">
        <f aca="false">IF(K2956="","",MATCH(K2956,$F$2:$F$5001,0))</f>
        <v/>
      </c>
      <c r="M2956" s="0" t="str">
        <f aca="false">IF(I2956="","",INDEX(הגדרות!$A$2:$A$21,MOD(I2956+הגדרות!$E$9,הגדרות!$E$6)+1))</f>
        <v/>
      </c>
    </row>
    <row r="2957" customFormat="false" ht="15" hidden="false" customHeight="false" outlineLevel="0" collapsed="false">
      <c r="A2957" s="0" t="str">
        <f aca="false">IF('הדבקת לידים'!A2957="","",IF(ISNUMBER('הדבקת לידים'!A2957),IF(הגדרות!$E$2&gt;0,TEXT('הדבקת לידים'!A2957,REPT("0",הגדרות!$E$2)),TEXT('הדבקת לידים'!A2957,"0")),TRIM('הדבקת לידים'!A2957)))</f>
        <v/>
      </c>
      <c r="B2957" s="0" t="str">
        <f aca="false">IF('הדבקת לידים'!B2957="","",IF(ISNUMBER('הדבקת לידים'!B2957),IF(הגדרות!$E$3&gt;0,TEXT('הדבקת לידים'!B2957,REPT("0",הגדרות!$E$3)),TEXT('הדבקת לידים'!B2957,"0")),TRIM('הדבקת לידים'!B2957)))</f>
        <v/>
      </c>
      <c r="C2957" s="0" t="n">
        <f aca="false">IF(OR(A2957&lt;&gt;"",B2957&lt;&gt;""),1,0)</f>
        <v>0</v>
      </c>
      <c r="D2957" s="0" t="str">
        <f aca="false">IF(C2957=1,MOD(ABS(SIN(ROW()*12.9898+'הדבקת לידים'!$F$2*78.233+IFERROR(--RIGHT(A2957,6),LEN(A2957))*0.0137+IFERROR(--RIGHT(B2957,6),LEN(B2957))*0.0071))*43758.5453,1),"")</f>
        <v/>
      </c>
      <c r="E2957" s="0" t="str">
        <f aca="false">IF(C2957=1,INT(MOD(ABS(SIN(D2957*7919.123+ROW()*0.618+'הדבקת לידים'!$F$2*1.3))*43758.5453,1)*1000000)*10000+ROW(),"")</f>
        <v/>
      </c>
      <c r="F2957" s="0" t="str">
        <f aca="false">IF(E2957="","",RANK(E2957,$E$2:$E$5001,1))</f>
        <v/>
      </c>
      <c r="G2957" s="0" t="n">
        <f aca="false">IF(A2957="",0,IF(SUMPRODUCT(--($A$2:$A$5001=A2957))&gt;1,1,0))</f>
        <v>0</v>
      </c>
      <c r="H2957" s="0" t="n">
        <f aca="false">ROW()-1</f>
        <v>2956</v>
      </c>
      <c r="I2957" s="0" t="str">
        <f aca="false">IF(OR(הגדרות!$E$6=0,H2957&gt;הגדרות!$E$5),"",IF(H2957-1&lt;הגדרות!$E$8*(הגדרות!$E$7+1),INT((H2957-1)/(הגדרות!$E$7+1)),הגדרות!$E$8+INT((H2957-1-הגדרות!$E$8*(הגדרות!$E$7+1))/הגדרות!$E$7)))</f>
        <v/>
      </c>
      <c r="J2957" s="0" t="str">
        <f aca="false">IF(I2957="","",IF(H2957-1&lt;הגדרות!$E$8*(הגדרות!$E$7+1),MOD(H2957-1,הגדרות!$E$7+1),MOD(H2957-1-הגדרות!$E$8*(הגדרות!$E$7+1),הגדרות!$E$7)))</f>
        <v/>
      </c>
      <c r="K2957" s="0" t="str">
        <f aca="false">IF(I2957="","",J2957*הגדרות!$E$6+I2957+1)</f>
        <v/>
      </c>
      <c r="L2957" s="0" t="str">
        <f aca="false">IF(K2957="","",MATCH(K2957,$F$2:$F$5001,0))</f>
        <v/>
      </c>
      <c r="M2957" s="0" t="str">
        <f aca="false">IF(I2957="","",INDEX(הגדרות!$A$2:$A$21,MOD(I2957+הגדרות!$E$9,הגדרות!$E$6)+1))</f>
        <v/>
      </c>
    </row>
    <row r="2958" customFormat="false" ht="15" hidden="false" customHeight="false" outlineLevel="0" collapsed="false">
      <c r="A2958" s="0" t="str">
        <f aca="false">IF('הדבקת לידים'!A2958="","",IF(ISNUMBER('הדבקת לידים'!A2958),IF(הגדרות!$E$2&gt;0,TEXT('הדבקת לידים'!A2958,REPT("0",הגדרות!$E$2)),TEXT('הדבקת לידים'!A2958,"0")),TRIM('הדבקת לידים'!A2958)))</f>
        <v/>
      </c>
      <c r="B2958" s="0" t="str">
        <f aca="false">IF('הדבקת לידים'!B2958="","",IF(ISNUMBER('הדבקת לידים'!B2958),IF(הגדרות!$E$3&gt;0,TEXT('הדבקת לידים'!B2958,REPT("0",הגדרות!$E$3)),TEXT('הדבקת לידים'!B2958,"0")),TRIM('הדבקת לידים'!B2958)))</f>
        <v/>
      </c>
      <c r="C2958" s="0" t="n">
        <f aca="false">IF(OR(A2958&lt;&gt;"",B2958&lt;&gt;""),1,0)</f>
        <v>0</v>
      </c>
      <c r="D2958" s="0" t="str">
        <f aca="false">IF(C2958=1,MOD(ABS(SIN(ROW()*12.9898+'הדבקת לידים'!$F$2*78.233+IFERROR(--RIGHT(A2958,6),LEN(A2958))*0.0137+IFERROR(--RIGHT(B2958,6),LEN(B2958))*0.0071))*43758.5453,1),"")</f>
        <v/>
      </c>
      <c r="E2958" s="0" t="str">
        <f aca="false">IF(C2958=1,INT(MOD(ABS(SIN(D2958*7919.123+ROW()*0.618+'הדבקת לידים'!$F$2*1.3))*43758.5453,1)*1000000)*10000+ROW(),"")</f>
        <v/>
      </c>
      <c r="F2958" s="0" t="str">
        <f aca="false">IF(E2958="","",RANK(E2958,$E$2:$E$5001,1))</f>
        <v/>
      </c>
      <c r="G2958" s="0" t="n">
        <f aca="false">IF(A2958="",0,IF(SUMPRODUCT(--($A$2:$A$5001=A2958))&gt;1,1,0))</f>
        <v>0</v>
      </c>
      <c r="H2958" s="0" t="n">
        <f aca="false">ROW()-1</f>
        <v>2957</v>
      </c>
      <c r="I2958" s="0" t="str">
        <f aca="false">IF(OR(הגדרות!$E$6=0,H2958&gt;הגדרות!$E$5),"",IF(H2958-1&lt;הגדרות!$E$8*(הגדרות!$E$7+1),INT((H2958-1)/(הגדרות!$E$7+1)),הגדרות!$E$8+INT((H2958-1-הגדרות!$E$8*(הגדרות!$E$7+1))/הגדרות!$E$7)))</f>
        <v/>
      </c>
      <c r="J2958" s="0" t="str">
        <f aca="false">IF(I2958="","",IF(H2958-1&lt;הגדרות!$E$8*(הגדרות!$E$7+1),MOD(H2958-1,הגדרות!$E$7+1),MOD(H2958-1-הגדרות!$E$8*(הגדרות!$E$7+1),הגדרות!$E$7)))</f>
        <v/>
      </c>
      <c r="K2958" s="0" t="str">
        <f aca="false">IF(I2958="","",J2958*הגדרות!$E$6+I2958+1)</f>
        <v/>
      </c>
      <c r="L2958" s="0" t="str">
        <f aca="false">IF(K2958="","",MATCH(K2958,$F$2:$F$5001,0))</f>
        <v/>
      </c>
      <c r="M2958" s="0" t="str">
        <f aca="false">IF(I2958="","",INDEX(הגדרות!$A$2:$A$21,MOD(I2958+הגדרות!$E$9,הגדרות!$E$6)+1))</f>
        <v/>
      </c>
    </row>
    <row r="2959" customFormat="false" ht="15" hidden="false" customHeight="false" outlineLevel="0" collapsed="false">
      <c r="A2959" s="0" t="str">
        <f aca="false">IF('הדבקת לידים'!A2959="","",IF(ISNUMBER('הדבקת לידים'!A2959),IF(הגדרות!$E$2&gt;0,TEXT('הדבקת לידים'!A2959,REPT("0",הגדרות!$E$2)),TEXT('הדבקת לידים'!A2959,"0")),TRIM('הדבקת לידים'!A2959)))</f>
        <v/>
      </c>
      <c r="B2959" s="0" t="str">
        <f aca="false">IF('הדבקת לידים'!B2959="","",IF(ISNUMBER('הדבקת לידים'!B2959),IF(הגדרות!$E$3&gt;0,TEXT('הדבקת לידים'!B2959,REPT("0",הגדרות!$E$3)),TEXT('הדבקת לידים'!B2959,"0")),TRIM('הדבקת לידים'!B2959)))</f>
        <v/>
      </c>
      <c r="C2959" s="0" t="n">
        <f aca="false">IF(OR(A2959&lt;&gt;"",B2959&lt;&gt;""),1,0)</f>
        <v>0</v>
      </c>
      <c r="D2959" s="0" t="str">
        <f aca="false">IF(C2959=1,MOD(ABS(SIN(ROW()*12.9898+'הדבקת לידים'!$F$2*78.233+IFERROR(--RIGHT(A2959,6),LEN(A2959))*0.0137+IFERROR(--RIGHT(B2959,6),LEN(B2959))*0.0071))*43758.5453,1),"")</f>
        <v/>
      </c>
      <c r="E2959" s="0" t="str">
        <f aca="false">IF(C2959=1,INT(MOD(ABS(SIN(D2959*7919.123+ROW()*0.618+'הדבקת לידים'!$F$2*1.3))*43758.5453,1)*1000000)*10000+ROW(),"")</f>
        <v/>
      </c>
      <c r="F2959" s="0" t="str">
        <f aca="false">IF(E2959="","",RANK(E2959,$E$2:$E$5001,1))</f>
        <v/>
      </c>
      <c r="G2959" s="0" t="n">
        <f aca="false">IF(A2959="",0,IF(SUMPRODUCT(--($A$2:$A$5001=A2959))&gt;1,1,0))</f>
        <v>0</v>
      </c>
      <c r="H2959" s="0" t="n">
        <f aca="false">ROW()-1</f>
        <v>2958</v>
      </c>
      <c r="I2959" s="0" t="str">
        <f aca="false">IF(OR(הגדרות!$E$6=0,H2959&gt;הגדרות!$E$5),"",IF(H2959-1&lt;הגדרות!$E$8*(הגדרות!$E$7+1),INT((H2959-1)/(הגדרות!$E$7+1)),הגדרות!$E$8+INT((H2959-1-הגדרות!$E$8*(הגדרות!$E$7+1))/הגדרות!$E$7)))</f>
        <v/>
      </c>
      <c r="J2959" s="0" t="str">
        <f aca="false">IF(I2959="","",IF(H2959-1&lt;הגדרות!$E$8*(הגדרות!$E$7+1),MOD(H2959-1,הגדרות!$E$7+1),MOD(H2959-1-הגדרות!$E$8*(הגדרות!$E$7+1),הגדרות!$E$7)))</f>
        <v/>
      </c>
      <c r="K2959" s="0" t="str">
        <f aca="false">IF(I2959="","",J2959*הגדרות!$E$6+I2959+1)</f>
        <v/>
      </c>
      <c r="L2959" s="0" t="str">
        <f aca="false">IF(K2959="","",MATCH(K2959,$F$2:$F$5001,0))</f>
        <v/>
      </c>
      <c r="M2959" s="0" t="str">
        <f aca="false">IF(I2959="","",INDEX(הגדרות!$A$2:$A$21,MOD(I2959+הגדרות!$E$9,הגדרות!$E$6)+1))</f>
        <v/>
      </c>
    </row>
    <row r="2960" customFormat="false" ht="15" hidden="false" customHeight="false" outlineLevel="0" collapsed="false">
      <c r="A2960" s="0" t="str">
        <f aca="false">IF('הדבקת לידים'!A2960="","",IF(ISNUMBER('הדבקת לידים'!A2960),IF(הגדרות!$E$2&gt;0,TEXT('הדבקת לידים'!A2960,REPT("0",הגדרות!$E$2)),TEXT('הדבקת לידים'!A2960,"0")),TRIM('הדבקת לידים'!A2960)))</f>
        <v/>
      </c>
      <c r="B2960" s="0" t="str">
        <f aca="false">IF('הדבקת לידים'!B2960="","",IF(ISNUMBER('הדבקת לידים'!B2960),IF(הגדרות!$E$3&gt;0,TEXT('הדבקת לידים'!B2960,REPT("0",הגדרות!$E$3)),TEXT('הדבקת לידים'!B2960,"0")),TRIM('הדבקת לידים'!B2960)))</f>
        <v/>
      </c>
      <c r="C2960" s="0" t="n">
        <f aca="false">IF(OR(A2960&lt;&gt;"",B2960&lt;&gt;""),1,0)</f>
        <v>0</v>
      </c>
      <c r="D2960" s="0" t="str">
        <f aca="false">IF(C2960=1,MOD(ABS(SIN(ROW()*12.9898+'הדבקת לידים'!$F$2*78.233+IFERROR(--RIGHT(A2960,6),LEN(A2960))*0.0137+IFERROR(--RIGHT(B2960,6),LEN(B2960))*0.0071))*43758.5453,1),"")</f>
        <v/>
      </c>
      <c r="E2960" s="0" t="str">
        <f aca="false">IF(C2960=1,INT(MOD(ABS(SIN(D2960*7919.123+ROW()*0.618+'הדבקת לידים'!$F$2*1.3))*43758.5453,1)*1000000)*10000+ROW(),"")</f>
        <v/>
      </c>
      <c r="F2960" s="0" t="str">
        <f aca="false">IF(E2960="","",RANK(E2960,$E$2:$E$5001,1))</f>
        <v/>
      </c>
      <c r="G2960" s="0" t="n">
        <f aca="false">IF(A2960="",0,IF(SUMPRODUCT(--($A$2:$A$5001=A2960))&gt;1,1,0))</f>
        <v>0</v>
      </c>
      <c r="H2960" s="0" t="n">
        <f aca="false">ROW()-1</f>
        <v>2959</v>
      </c>
      <c r="I2960" s="0" t="str">
        <f aca="false">IF(OR(הגדרות!$E$6=0,H2960&gt;הגדרות!$E$5),"",IF(H2960-1&lt;הגדרות!$E$8*(הגדרות!$E$7+1),INT((H2960-1)/(הגדרות!$E$7+1)),הגדרות!$E$8+INT((H2960-1-הגדרות!$E$8*(הגדרות!$E$7+1))/הגדרות!$E$7)))</f>
        <v/>
      </c>
      <c r="J2960" s="0" t="str">
        <f aca="false">IF(I2960="","",IF(H2960-1&lt;הגדרות!$E$8*(הגדרות!$E$7+1),MOD(H2960-1,הגדרות!$E$7+1),MOD(H2960-1-הגדרות!$E$8*(הגדרות!$E$7+1),הגדרות!$E$7)))</f>
        <v/>
      </c>
      <c r="K2960" s="0" t="str">
        <f aca="false">IF(I2960="","",J2960*הגדרות!$E$6+I2960+1)</f>
        <v/>
      </c>
      <c r="L2960" s="0" t="str">
        <f aca="false">IF(K2960="","",MATCH(K2960,$F$2:$F$5001,0))</f>
        <v/>
      </c>
      <c r="M2960" s="0" t="str">
        <f aca="false">IF(I2960="","",INDEX(הגדרות!$A$2:$A$21,MOD(I2960+הגדרות!$E$9,הגדרות!$E$6)+1))</f>
        <v/>
      </c>
    </row>
    <row r="2961" customFormat="false" ht="15" hidden="false" customHeight="false" outlineLevel="0" collapsed="false">
      <c r="A2961" s="0" t="str">
        <f aca="false">IF('הדבקת לידים'!A2961="","",IF(ISNUMBER('הדבקת לידים'!A2961),IF(הגדרות!$E$2&gt;0,TEXT('הדבקת לידים'!A2961,REPT("0",הגדרות!$E$2)),TEXT('הדבקת לידים'!A2961,"0")),TRIM('הדבקת לידים'!A2961)))</f>
        <v/>
      </c>
      <c r="B2961" s="0" t="str">
        <f aca="false">IF('הדבקת לידים'!B2961="","",IF(ISNUMBER('הדבקת לידים'!B2961),IF(הגדרות!$E$3&gt;0,TEXT('הדבקת לידים'!B2961,REPT("0",הגדרות!$E$3)),TEXT('הדבקת לידים'!B2961,"0")),TRIM('הדבקת לידים'!B2961)))</f>
        <v/>
      </c>
      <c r="C2961" s="0" t="n">
        <f aca="false">IF(OR(A2961&lt;&gt;"",B2961&lt;&gt;""),1,0)</f>
        <v>0</v>
      </c>
      <c r="D2961" s="0" t="str">
        <f aca="false">IF(C2961=1,MOD(ABS(SIN(ROW()*12.9898+'הדבקת לידים'!$F$2*78.233+IFERROR(--RIGHT(A2961,6),LEN(A2961))*0.0137+IFERROR(--RIGHT(B2961,6),LEN(B2961))*0.0071))*43758.5453,1),"")</f>
        <v/>
      </c>
      <c r="E2961" s="0" t="str">
        <f aca="false">IF(C2961=1,INT(MOD(ABS(SIN(D2961*7919.123+ROW()*0.618+'הדבקת לידים'!$F$2*1.3))*43758.5453,1)*1000000)*10000+ROW(),"")</f>
        <v/>
      </c>
      <c r="F2961" s="0" t="str">
        <f aca="false">IF(E2961="","",RANK(E2961,$E$2:$E$5001,1))</f>
        <v/>
      </c>
      <c r="G2961" s="0" t="n">
        <f aca="false">IF(A2961="",0,IF(SUMPRODUCT(--($A$2:$A$5001=A2961))&gt;1,1,0))</f>
        <v>0</v>
      </c>
      <c r="H2961" s="0" t="n">
        <f aca="false">ROW()-1</f>
        <v>2960</v>
      </c>
      <c r="I2961" s="0" t="str">
        <f aca="false">IF(OR(הגדרות!$E$6=0,H2961&gt;הגדרות!$E$5),"",IF(H2961-1&lt;הגדרות!$E$8*(הגדרות!$E$7+1),INT((H2961-1)/(הגדרות!$E$7+1)),הגדרות!$E$8+INT((H2961-1-הגדרות!$E$8*(הגדרות!$E$7+1))/הגדרות!$E$7)))</f>
        <v/>
      </c>
      <c r="J2961" s="0" t="str">
        <f aca="false">IF(I2961="","",IF(H2961-1&lt;הגדרות!$E$8*(הגדרות!$E$7+1),MOD(H2961-1,הגדרות!$E$7+1),MOD(H2961-1-הגדרות!$E$8*(הגדרות!$E$7+1),הגדרות!$E$7)))</f>
        <v/>
      </c>
      <c r="K2961" s="0" t="str">
        <f aca="false">IF(I2961="","",J2961*הגדרות!$E$6+I2961+1)</f>
        <v/>
      </c>
      <c r="L2961" s="0" t="str">
        <f aca="false">IF(K2961="","",MATCH(K2961,$F$2:$F$5001,0))</f>
        <v/>
      </c>
      <c r="M2961" s="0" t="str">
        <f aca="false">IF(I2961="","",INDEX(הגדרות!$A$2:$A$21,MOD(I2961+הגדרות!$E$9,הגדרות!$E$6)+1))</f>
        <v/>
      </c>
    </row>
    <row r="2962" customFormat="false" ht="15" hidden="false" customHeight="false" outlineLevel="0" collapsed="false">
      <c r="A2962" s="0" t="str">
        <f aca="false">IF('הדבקת לידים'!A2962="","",IF(ISNUMBER('הדבקת לידים'!A2962),IF(הגדרות!$E$2&gt;0,TEXT('הדבקת לידים'!A2962,REPT("0",הגדרות!$E$2)),TEXT('הדבקת לידים'!A2962,"0")),TRIM('הדבקת לידים'!A2962)))</f>
        <v/>
      </c>
      <c r="B2962" s="0" t="str">
        <f aca="false">IF('הדבקת לידים'!B2962="","",IF(ISNUMBER('הדבקת לידים'!B2962),IF(הגדרות!$E$3&gt;0,TEXT('הדבקת לידים'!B2962,REPT("0",הגדרות!$E$3)),TEXT('הדבקת לידים'!B2962,"0")),TRIM('הדבקת לידים'!B2962)))</f>
        <v/>
      </c>
      <c r="C2962" s="0" t="n">
        <f aca="false">IF(OR(A2962&lt;&gt;"",B2962&lt;&gt;""),1,0)</f>
        <v>0</v>
      </c>
      <c r="D2962" s="0" t="str">
        <f aca="false">IF(C2962=1,MOD(ABS(SIN(ROW()*12.9898+'הדבקת לידים'!$F$2*78.233+IFERROR(--RIGHT(A2962,6),LEN(A2962))*0.0137+IFERROR(--RIGHT(B2962,6),LEN(B2962))*0.0071))*43758.5453,1),"")</f>
        <v/>
      </c>
      <c r="E2962" s="0" t="str">
        <f aca="false">IF(C2962=1,INT(MOD(ABS(SIN(D2962*7919.123+ROW()*0.618+'הדבקת לידים'!$F$2*1.3))*43758.5453,1)*1000000)*10000+ROW(),"")</f>
        <v/>
      </c>
      <c r="F2962" s="0" t="str">
        <f aca="false">IF(E2962="","",RANK(E2962,$E$2:$E$5001,1))</f>
        <v/>
      </c>
      <c r="G2962" s="0" t="n">
        <f aca="false">IF(A2962="",0,IF(SUMPRODUCT(--($A$2:$A$5001=A2962))&gt;1,1,0))</f>
        <v>0</v>
      </c>
      <c r="H2962" s="0" t="n">
        <f aca="false">ROW()-1</f>
        <v>2961</v>
      </c>
      <c r="I2962" s="0" t="str">
        <f aca="false">IF(OR(הגדרות!$E$6=0,H2962&gt;הגדרות!$E$5),"",IF(H2962-1&lt;הגדרות!$E$8*(הגדרות!$E$7+1),INT((H2962-1)/(הגדרות!$E$7+1)),הגדרות!$E$8+INT((H2962-1-הגדרות!$E$8*(הגדרות!$E$7+1))/הגדרות!$E$7)))</f>
        <v/>
      </c>
      <c r="J2962" s="0" t="str">
        <f aca="false">IF(I2962="","",IF(H2962-1&lt;הגדרות!$E$8*(הגדרות!$E$7+1),MOD(H2962-1,הגדרות!$E$7+1),MOD(H2962-1-הגדרות!$E$8*(הגדרות!$E$7+1),הגדרות!$E$7)))</f>
        <v/>
      </c>
      <c r="K2962" s="0" t="str">
        <f aca="false">IF(I2962="","",J2962*הגדרות!$E$6+I2962+1)</f>
        <v/>
      </c>
      <c r="L2962" s="0" t="str">
        <f aca="false">IF(K2962="","",MATCH(K2962,$F$2:$F$5001,0))</f>
        <v/>
      </c>
      <c r="M2962" s="0" t="str">
        <f aca="false">IF(I2962="","",INDEX(הגדרות!$A$2:$A$21,MOD(I2962+הגדרות!$E$9,הגדרות!$E$6)+1))</f>
        <v/>
      </c>
    </row>
    <row r="2963" customFormat="false" ht="15" hidden="false" customHeight="false" outlineLevel="0" collapsed="false">
      <c r="A2963" s="0" t="str">
        <f aca="false">IF('הדבקת לידים'!A2963="","",IF(ISNUMBER('הדבקת לידים'!A2963),IF(הגדרות!$E$2&gt;0,TEXT('הדבקת לידים'!A2963,REPT("0",הגדרות!$E$2)),TEXT('הדבקת לידים'!A2963,"0")),TRIM('הדבקת לידים'!A2963)))</f>
        <v/>
      </c>
      <c r="B2963" s="0" t="str">
        <f aca="false">IF('הדבקת לידים'!B2963="","",IF(ISNUMBER('הדבקת לידים'!B2963),IF(הגדרות!$E$3&gt;0,TEXT('הדבקת לידים'!B2963,REPT("0",הגדרות!$E$3)),TEXT('הדבקת לידים'!B2963,"0")),TRIM('הדבקת לידים'!B2963)))</f>
        <v/>
      </c>
      <c r="C2963" s="0" t="n">
        <f aca="false">IF(OR(A2963&lt;&gt;"",B2963&lt;&gt;""),1,0)</f>
        <v>0</v>
      </c>
      <c r="D2963" s="0" t="str">
        <f aca="false">IF(C2963=1,MOD(ABS(SIN(ROW()*12.9898+'הדבקת לידים'!$F$2*78.233+IFERROR(--RIGHT(A2963,6),LEN(A2963))*0.0137+IFERROR(--RIGHT(B2963,6),LEN(B2963))*0.0071))*43758.5453,1),"")</f>
        <v/>
      </c>
      <c r="E2963" s="0" t="str">
        <f aca="false">IF(C2963=1,INT(MOD(ABS(SIN(D2963*7919.123+ROW()*0.618+'הדבקת לידים'!$F$2*1.3))*43758.5453,1)*1000000)*10000+ROW(),"")</f>
        <v/>
      </c>
      <c r="F2963" s="0" t="str">
        <f aca="false">IF(E2963="","",RANK(E2963,$E$2:$E$5001,1))</f>
        <v/>
      </c>
      <c r="G2963" s="0" t="n">
        <f aca="false">IF(A2963="",0,IF(SUMPRODUCT(--($A$2:$A$5001=A2963))&gt;1,1,0))</f>
        <v>0</v>
      </c>
      <c r="H2963" s="0" t="n">
        <f aca="false">ROW()-1</f>
        <v>2962</v>
      </c>
      <c r="I2963" s="0" t="str">
        <f aca="false">IF(OR(הגדרות!$E$6=0,H2963&gt;הגדרות!$E$5),"",IF(H2963-1&lt;הגדרות!$E$8*(הגדרות!$E$7+1),INT((H2963-1)/(הגדרות!$E$7+1)),הגדרות!$E$8+INT((H2963-1-הגדרות!$E$8*(הגדרות!$E$7+1))/הגדרות!$E$7)))</f>
        <v/>
      </c>
      <c r="J2963" s="0" t="str">
        <f aca="false">IF(I2963="","",IF(H2963-1&lt;הגדרות!$E$8*(הגדרות!$E$7+1),MOD(H2963-1,הגדרות!$E$7+1),MOD(H2963-1-הגדרות!$E$8*(הגדרות!$E$7+1),הגדרות!$E$7)))</f>
        <v/>
      </c>
      <c r="K2963" s="0" t="str">
        <f aca="false">IF(I2963="","",J2963*הגדרות!$E$6+I2963+1)</f>
        <v/>
      </c>
      <c r="L2963" s="0" t="str">
        <f aca="false">IF(K2963="","",MATCH(K2963,$F$2:$F$5001,0))</f>
        <v/>
      </c>
      <c r="M2963" s="0" t="str">
        <f aca="false">IF(I2963="","",INDEX(הגדרות!$A$2:$A$21,MOD(I2963+הגדרות!$E$9,הגדרות!$E$6)+1))</f>
        <v/>
      </c>
    </row>
    <row r="2964" customFormat="false" ht="15" hidden="false" customHeight="false" outlineLevel="0" collapsed="false">
      <c r="A2964" s="0" t="str">
        <f aca="false">IF('הדבקת לידים'!A2964="","",IF(ISNUMBER('הדבקת לידים'!A2964),IF(הגדרות!$E$2&gt;0,TEXT('הדבקת לידים'!A2964,REPT("0",הגדרות!$E$2)),TEXT('הדבקת לידים'!A2964,"0")),TRIM('הדבקת לידים'!A2964)))</f>
        <v/>
      </c>
      <c r="B2964" s="0" t="str">
        <f aca="false">IF('הדבקת לידים'!B2964="","",IF(ISNUMBER('הדבקת לידים'!B2964),IF(הגדרות!$E$3&gt;0,TEXT('הדבקת לידים'!B2964,REPT("0",הגדרות!$E$3)),TEXT('הדבקת לידים'!B2964,"0")),TRIM('הדבקת לידים'!B2964)))</f>
        <v/>
      </c>
      <c r="C2964" s="0" t="n">
        <f aca="false">IF(OR(A2964&lt;&gt;"",B2964&lt;&gt;""),1,0)</f>
        <v>0</v>
      </c>
      <c r="D2964" s="0" t="str">
        <f aca="false">IF(C2964=1,MOD(ABS(SIN(ROW()*12.9898+'הדבקת לידים'!$F$2*78.233+IFERROR(--RIGHT(A2964,6),LEN(A2964))*0.0137+IFERROR(--RIGHT(B2964,6),LEN(B2964))*0.0071))*43758.5453,1),"")</f>
        <v/>
      </c>
      <c r="E2964" s="0" t="str">
        <f aca="false">IF(C2964=1,INT(MOD(ABS(SIN(D2964*7919.123+ROW()*0.618+'הדבקת לידים'!$F$2*1.3))*43758.5453,1)*1000000)*10000+ROW(),"")</f>
        <v/>
      </c>
      <c r="F2964" s="0" t="str">
        <f aca="false">IF(E2964="","",RANK(E2964,$E$2:$E$5001,1))</f>
        <v/>
      </c>
      <c r="G2964" s="0" t="n">
        <f aca="false">IF(A2964="",0,IF(SUMPRODUCT(--($A$2:$A$5001=A2964))&gt;1,1,0))</f>
        <v>0</v>
      </c>
      <c r="H2964" s="0" t="n">
        <f aca="false">ROW()-1</f>
        <v>2963</v>
      </c>
      <c r="I2964" s="0" t="str">
        <f aca="false">IF(OR(הגדרות!$E$6=0,H2964&gt;הגדרות!$E$5),"",IF(H2964-1&lt;הגדרות!$E$8*(הגדרות!$E$7+1),INT((H2964-1)/(הגדרות!$E$7+1)),הגדרות!$E$8+INT((H2964-1-הגדרות!$E$8*(הגדרות!$E$7+1))/הגדרות!$E$7)))</f>
        <v/>
      </c>
      <c r="J2964" s="0" t="str">
        <f aca="false">IF(I2964="","",IF(H2964-1&lt;הגדרות!$E$8*(הגדרות!$E$7+1),MOD(H2964-1,הגדרות!$E$7+1),MOD(H2964-1-הגדרות!$E$8*(הגדרות!$E$7+1),הגדרות!$E$7)))</f>
        <v/>
      </c>
      <c r="K2964" s="0" t="str">
        <f aca="false">IF(I2964="","",J2964*הגדרות!$E$6+I2964+1)</f>
        <v/>
      </c>
      <c r="L2964" s="0" t="str">
        <f aca="false">IF(K2964="","",MATCH(K2964,$F$2:$F$5001,0))</f>
        <v/>
      </c>
      <c r="M2964" s="0" t="str">
        <f aca="false">IF(I2964="","",INDEX(הגדרות!$A$2:$A$21,MOD(I2964+הגדרות!$E$9,הגדרות!$E$6)+1))</f>
        <v/>
      </c>
    </row>
    <row r="2965" customFormat="false" ht="15" hidden="false" customHeight="false" outlineLevel="0" collapsed="false">
      <c r="A2965" s="0" t="str">
        <f aca="false">IF('הדבקת לידים'!A2965="","",IF(ISNUMBER('הדבקת לידים'!A2965),IF(הגדרות!$E$2&gt;0,TEXT('הדבקת לידים'!A2965,REPT("0",הגדרות!$E$2)),TEXT('הדבקת לידים'!A2965,"0")),TRIM('הדבקת לידים'!A2965)))</f>
        <v/>
      </c>
      <c r="B2965" s="0" t="str">
        <f aca="false">IF('הדבקת לידים'!B2965="","",IF(ISNUMBER('הדבקת לידים'!B2965),IF(הגדרות!$E$3&gt;0,TEXT('הדבקת לידים'!B2965,REPT("0",הגדרות!$E$3)),TEXT('הדבקת לידים'!B2965,"0")),TRIM('הדבקת לידים'!B2965)))</f>
        <v/>
      </c>
      <c r="C2965" s="0" t="n">
        <f aca="false">IF(OR(A2965&lt;&gt;"",B2965&lt;&gt;""),1,0)</f>
        <v>0</v>
      </c>
      <c r="D2965" s="0" t="str">
        <f aca="false">IF(C2965=1,MOD(ABS(SIN(ROW()*12.9898+'הדבקת לידים'!$F$2*78.233+IFERROR(--RIGHT(A2965,6),LEN(A2965))*0.0137+IFERROR(--RIGHT(B2965,6),LEN(B2965))*0.0071))*43758.5453,1),"")</f>
        <v/>
      </c>
      <c r="E2965" s="0" t="str">
        <f aca="false">IF(C2965=1,INT(MOD(ABS(SIN(D2965*7919.123+ROW()*0.618+'הדבקת לידים'!$F$2*1.3))*43758.5453,1)*1000000)*10000+ROW(),"")</f>
        <v/>
      </c>
      <c r="F2965" s="0" t="str">
        <f aca="false">IF(E2965="","",RANK(E2965,$E$2:$E$5001,1))</f>
        <v/>
      </c>
      <c r="G2965" s="0" t="n">
        <f aca="false">IF(A2965="",0,IF(SUMPRODUCT(--($A$2:$A$5001=A2965))&gt;1,1,0))</f>
        <v>0</v>
      </c>
      <c r="H2965" s="0" t="n">
        <f aca="false">ROW()-1</f>
        <v>2964</v>
      </c>
      <c r="I2965" s="0" t="str">
        <f aca="false">IF(OR(הגדרות!$E$6=0,H2965&gt;הגדרות!$E$5),"",IF(H2965-1&lt;הגדרות!$E$8*(הגדרות!$E$7+1),INT((H2965-1)/(הגדרות!$E$7+1)),הגדרות!$E$8+INT((H2965-1-הגדרות!$E$8*(הגדרות!$E$7+1))/הגדרות!$E$7)))</f>
        <v/>
      </c>
      <c r="J2965" s="0" t="str">
        <f aca="false">IF(I2965="","",IF(H2965-1&lt;הגדרות!$E$8*(הגדרות!$E$7+1),MOD(H2965-1,הגדרות!$E$7+1),MOD(H2965-1-הגדרות!$E$8*(הגדרות!$E$7+1),הגדרות!$E$7)))</f>
        <v/>
      </c>
      <c r="K2965" s="0" t="str">
        <f aca="false">IF(I2965="","",J2965*הגדרות!$E$6+I2965+1)</f>
        <v/>
      </c>
      <c r="L2965" s="0" t="str">
        <f aca="false">IF(K2965="","",MATCH(K2965,$F$2:$F$5001,0))</f>
        <v/>
      </c>
      <c r="M2965" s="0" t="str">
        <f aca="false">IF(I2965="","",INDEX(הגדרות!$A$2:$A$21,MOD(I2965+הגדרות!$E$9,הגדרות!$E$6)+1))</f>
        <v/>
      </c>
    </row>
    <row r="2966" customFormat="false" ht="15" hidden="false" customHeight="false" outlineLevel="0" collapsed="false">
      <c r="A2966" s="0" t="str">
        <f aca="false">IF('הדבקת לידים'!A2966="","",IF(ISNUMBER('הדבקת לידים'!A2966),IF(הגדרות!$E$2&gt;0,TEXT('הדבקת לידים'!A2966,REPT("0",הגדרות!$E$2)),TEXT('הדבקת לידים'!A2966,"0")),TRIM('הדבקת לידים'!A2966)))</f>
        <v/>
      </c>
      <c r="B2966" s="0" t="str">
        <f aca="false">IF('הדבקת לידים'!B2966="","",IF(ISNUMBER('הדבקת לידים'!B2966),IF(הגדרות!$E$3&gt;0,TEXT('הדבקת לידים'!B2966,REPT("0",הגדרות!$E$3)),TEXT('הדבקת לידים'!B2966,"0")),TRIM('הדבקת לידים'!B2966)))</f>
        <v/>
      </c>
      <c r="C2966" s="0" t="n">
        <f aca="false">IF(OR(A2966&lt;&gt;"",B2966&lt;&gt;""),1,0)</f>
        <v>0</v>
      </c>
      <c r="D2966" s="0" t="str">
        <f aca="false">IF(C2966=1,MOD(ABS(SIN(ROW()*12.9898+'הדבקת לידים'!$F$2*78.233+IFERROR(--RIGHT(A2966,6),LEN(A2966))*0.0137+IFERROR(--RIGHT(B2966,6),LEN(B2966))*0.0071))*43758.5453,1),"")</f>
        <v/>
      </c>
      <c r="E2966" s="0" t="str">
        <f aca="false">IF(C2966=1,INT(MOD(ABS(SIN(D2966*7919.123+ROW()*0.618+'הדבקת לידים'!$F$2*1.3))*43758.5453,1)*1000000)*10000+ROW(),"")</f>
        <v/>
      </c>
      <c r="F2966" s="0" t="str">
        <f aca="false">IF(E2966="","",RANK(E2966,$E$2:$E$5001,1))</f>
        <v/>
      </c>
      <c r="G2966" s="0" t="n">
        <f aca="false">IF(A2966="",0,IF(SUMPRODUCT(--($A$2:$A$5001=A2966))&gt;1,1,0))</f>
        <v>0</v>
      </c>
      <c r="H2966" s="0" t="n">
        <f aca="false">ROW()-1</f>
        <v>2965</v>
      </c>
      <c r="I2966" s="0" t="str">
        <f aca="false">IF(OR(הגדרות!$E$6=0,H2966&gt;הגדרות!$E$5),"",IF(H2966-1&lt;הגדרות!$E$8*(הגדרות!$E$7+1),INT((H2966-1)/(הגדרות!$E$7+1)),הגדרות!$E$8+INT((H2966-1-הגדרות!$E$8*(הגדרות!$E$7+1))/הגדרות!$E$7)))</f>
        <v/>
      </c>
      <c r="J2966" s="0" t="str">
        <f aca="false">IF(I2966="","",IF(H2966-1&lt;הגדרות!$E$8*(הגדרות!$E$7+1),MOD(H2966-1,הגדרות!$E$7+1),MOD(H2966-1-הגדרות!$E$8*(הגדרות!$E$7+1),הגדרות!$E$7)))</f>
        <v/>
      </c>
      <c r="K2966" s="0" t="str">
        <f aca="false">IF(I2966="","",J2966*הגדרות!$E$6+I2966+1)</f>
        <v/>
      </c>
      <c r="L2966" s="0" t="str">
        <f aca="false">IF(K2966="","",MATCH(K2966,$F$2:$F$5001,0))</f>
        <v/>
      </c>
      <c r="M2966" s="0" t="str">
        <f aca="false">IF(I2966="","",INDEX(הגדרות!$A$2:$A$21,MOD(I2966+הגדרות!$E$9,הגדרות!$E$6)+1))</f>
        <v/>
      </c>
    </row>
    <row r="2967" customFormat="false" ht="15" hidden="false" customHeight="false" outlineLevel="0" collapsed="false">
      <c r="A2967" s="0" t="str">
        <f aca="false">IF('הדבקת לידים'!A2967="","",IF(ISNUMBER('הדבקת לידים'!A2967),IF(הגדרות!$E$2&gt;0,TEXT('הדבקת לידים'!A2967,REPT("0",הגדרות!$E$2)),TEXT('הדבקת לידים'!A2967,"0")),TRIM('הדבקת לידים'!A2967)))</f>
        <v/>
      </c>
      <c r="B2967" s="0" t="str">
        <f aca="false">IF('הדבקת לידים'!B2967="","",IF(ISNUMBER('הדבקת לידים'!B2967),IF(הגדרות!$E$3&gt;0,TEXT('הדבקת לידים'!B2967,REPT("0",הגדרות!$E$3)),TEXT('הדבקת לידים'!B2967,"0")),TRIM('הדבקת לידים'!B2967)))</f>
        <v/>
      </c>
      <c r="C2967" s="0" t="n">
        <f aca="false">IF(OR(A2967&lt;&gt;"",B2967&lt;&gt;""),1,0)</f>
        <v>0</v>
      </c>
      <c r="D2967" s="0" t="str">
        <f aca="false">IF(C2967=1,MOD(ABS(SIN(ROW()*12.9898+'הדבקת לידים'!$F$2*78.233+IFERROR(--RIGHT(A2967,6),LEN(A2967))*0.0137+IFERROR(--RIGHT(B2967,6),LEN(B2967))*0.0071))*43758.5453,1),"")</f>
        <v/>
      </c>
      <c r="E2967" s="0" t="str">
        <f aca="false">IF(C2967=1,INT(MOD(ABS(SIN(D2967*7919.123+ROW()*0.618+'הדבקת לידים'!$F$2*1.3))*43758.5453,1)*1000000)*10000+ROW(),"")</f>
        <v/>
      </c>
      <c r="F2967" s="0" t="str">
        <f aca="false">IF(E2967="","",RANK(E2967,$E$2:$E$5001,1))</f>
        <v/>
      </c>
      <c r="G2967" s="0" t="n">
        <f aca="false">IF(A2967="",0,IF(SUMPRODUCT(--($A$2:$A$5001=A2967))&gt;1,1,0))</f>
        <v>0</v>
      </c>
      <c r="H2967" s="0" t="n">
        <f aca="false">ROW()-1</f>
        <v>2966</v>
      </c>
      <c r="I2967" s="0" t="str">
        <f aca="false">IF(OR(הגדרות!$E$6=0,H2967&gt;הגדרות!$E$5),"",IF(H2967-1&lt;הגדרות!$E$8*(הגדרות!$E$7+1),INT((H2967-1)/(הגדרות!$E$7+1)),הגדרות!$E$8+INT((H2967-1-הגדרות!$E$8*(הגדרות!$E$7+1))/הגדרות!$E$7)))</f>
        <v/>
      </c>
      <c r="J2967" s="0" t="str">
        <f aca="false">IF(I2967="","",IF(H2967-1&lt;הגדרות!$E$8*(הגדרות!$E$7+1),MOD(H2967-1,הגדרות!$E$7+1),MOD(H2967-1-הגדרות!$E$8*(הגדרות!$E$7+1),הגדרות!$E$7)))</f>
        <v/>
      </c>
      <c r="K2967" s="0" t="str">
        <f aca="false">IF(I2967="","",J2967*הגדרות!$E$6+I2967+1)</f>
        <v/>
      </c>
      <c r="L2967" s="0" t="str">
        <f aca="false">IF(K2967="","",MATCH(K2967,$F$2:$F$5001,0))</f>
        <v/>
      </c>
      <c r="M2967" s="0" t="str">
        <f aca="false">IF(I2967="","",INDEX(הגדרות!$A$2:$A$21,MOD(I2967+הגדרות!$E$9,הגדרות!$E$6)+1))</f>
        <v/>
      </c>
    </row>
    <row r="2968" customFormat="false" ht="15" hidden="false" customHeight="false" outlineLevel="0" collapsed="false">
      <c r="A2968" s="0" t="str">
        <f aca="false">IF('הדבקת לידים'!A2968="","",IF(ISNUMBER('הדבקת לידים'!A2968),IF(הגדרות!$E$2&gt;0,TEXT('הדבקת לידים'!A2968,REPT("0",הגדרות!$E$2)),TEXT('הדבקת לידים'!A2968,"0")),TRIM('הדבקת לידים'!A2968)))</f>
        <v/>
      </c>
      <c r="B2968" s="0" t="str">
        <f aca="false">IF('הדבקת לידים'!B2968="","",IF(ISNUMBER('הדבקת לידים'!B2968),IF(הגדרות!$E$3&gt;0,TEXT('הדבקת לידים'!B2968,REPT("0",הגדרות!$E$3)),TEXT('הדבקת לידים'!B2968,"0")),TRIM('הדבקת לידים'!B2968)))</f>
        <v/>
      </c>
      <c r="C2968" s="0" t="n">
        <f aca="false">IF(OR(A2968&lt;&gt;"",B2968&lt;&gt;""),1,0)</f>
        <v>0</v>
      </c>
      <c r="D2968" s="0" t="str">
        <f aca="false">IF(C2968=1,MOD(ABS(SIN(ROW()*12.9898+'הדבקת לידים'!$F$2*78.233+IFERROR(--RIGHT(A2968,6),LEN(A2968))*0.0137+IFERROR(--RIGHT(B2968,6),LEN(B2968))*0.0071))*43758.5453,1),"")</f>
        <v/>
      </c>
      <c r="E2968" s="0" t="str">
        <f aca="false">IF(C2968=1,INT(MOD(ABS(SIN(D2968*7919.123+ROW()*0.618+'הדבקת לידים'!$F$2*1.3))*43758.5453,1)*1000000)*10000+ROW(),"")</f>
        <v/>
      </c>
      <c r="F2968" s="0" t="str">
        <f aca="false">IF(E2968="","",RANK(E2968,$E$2:$E$5001,1))</f>
        <v/>
      </c>
      <c r="G2968" s="0" t="n">
        <f aca="false">IF(A2968="",0,IF(SUMPRODUCT(--($A$2:$A$5001=A2968))&gt;1,1,0))</f>
        <v>0</v>
      </c>
      <c r="H2968" s="0" t="n">
        <f aca="false">ROW()-1</f>
        <v>2967</v>
      </c>
      <c r="I2968" s="0" t="str">
        <f aca="false">IF(OR(הגדרות!$E$6=0,H2968&gt;הגדרות!$E$5),"",IF(H2968-1&lt;הגדרות!$E$8*(הגדרות!$E$7+1),INT((H2968-1)/(הגדרות!$E$7+1)),הגדרות!$E$8+INT((H2968-1-הגדרות!$E$8*(הגדרות!$E$7+1))/הגדרות!$E$7)))</f>
        <v/>
      </c>
      <c r="J2968" s="0" t="str">
        <f aca="false">IF(I2968="","",IF(H2968-1&lt;הגדרות!$E$8*(הגדרות!$E$7+1),MOD(H2968-1,הגדרות!$E$7+1),MOD(H2968-1-הגדרות!$E$8*(הגדרות!$E$7+1),הגדרות!$E$7)))</f>
        <v/>
      </c>
      <c r="K2968" s="0" t="str">
        <f aca="false">IF(I2968="","",J2968*הגדרות!$E$6+I2968+1)</f>
        <v/>
      </c>
      <c r="L2968" s="0" t="str">
        <f aca="false">IF(K2968="","",MATCH(K2968,$F$2:$F$5001,0))</f>
        <v/>
      </c>
      <c r="M2968" s="0" t="str">
        <f aca="false">IF(I2968="","",INDEX(הגדרות!$A$2:$A$21,MOD(I2968+הגדרות!$E$9,הגדרות!$E$6)+1))</f>
        <v/>
      </c>
    </row>
    <row r="2969" customFormat="false" ht="15" hidden="false" customHeight="false" outlineLevel="0" collapsed="false">
      <c r="A2969" s="0" t="str">
        <f aca="false">IF('הדבקת לידים'!A2969="","",IF(ISNUMBER('הדבקת לידים'!A2969),IF(הגדרות!$E$2&gt;0,TEXT('הדבקת לידים'!A2969,REPT("0",הגדרות!$E$2)),TEXT('הדבקת לידים'!A2969,"0")),TRIM('הדבקת לידים'!A2969)))</f>
        <v/>
      </c>
      <c r="B2969" s="0" t="str">
        <f aca="false">IF('הדבקת לידים'!B2969="","",IF(ISNUMBER('הדבקת לידים'!B2969),IF(הגדרות!$E$3&gt;0,TEXT('הדבקת לידים'!B2969,REPT("0",הגדרות!$E$3)),TEXT('הדבקת לידים'!B2969,"0")),TRIM('הדבקת לידים'!B2969)))</f>
        <v/>
      </c>
      <c r="C2969" s="0" t="n">
        <f aca="false">IF(OR(A2969&lt;&gt;"",B2969&lt;&gt;""),1,0)</f>
        <v>0</v>
      </c>
      <c r="D2969" s="0" t="str">
        <f aca="false">IF(C2969=1,MOD(ABS(SIN(ROW()*12.9898+'הדבקת לידים'!$F$2*78.233+IFERROR(--RIGHT(A2969,6),LEN(A2969))*0.0137+IFERROR(--RIGHT(B2969,6),LEN(B2969))*0.0071))*43758.5453,1),"")</f>
        <v/>
      </c>
      <c r="E2969" s="0" t="str">
        <f aca="false">IF(C2969=1,INT(MOD(ABS(SIN(D2969*7919.123+ROW()*0.618+'הדבקת לידים'!$F$2*1.3))*43758.5453,1)*1000000)*10000+ROW(),"")</f>
        <v/>
      </c>
      <c r="F2969" s="0" t="str">
        <f aca="false">IF(E2969="","",RANK(E2969,$E$2:$E$5001,1))</f>
        <v/>
      </c>
      <c r="G2969" s="0" t="n">
        <f aca="false">IF(A2969="",0,IF(SUMPRODUCT(--($A$2:$A$5001=A2969))&gt;1,1,0))</f>
        <v>0</v>
      </c>
      <c r="H2969" s="0" t="n">
        <f aca="false">ROW()-1</f>
        <v>2968</v>
      </c>
      <c r="I2969" s="0" t="str">
        <f aca="false">IF(OR(הגדרות!$E$6=0,H2969&gt;הגדרות!$E$5),"",IF(H2969-1&lt;הגדרות!$E$8*(הגדרות!$E$7+1),INT((H2969-1)/(הגדרות!$E$7+1)),הגדרות!$E$8+INT((H2969-1-הגדרות!$E$8*(הגדרות!$E$7+1))/הגדרות!$E$7)))</f>
        <v/>
      </c>
      <c r="J2969" s="0" t="str">
        <f aca="false">IF(I2969="","",IF(H2969-1&lt;הגדרות!$E$8*(הגדרות!$E$7+1),MOD(H2969-1,הגדרות!$E$7+1),MOD(H2969-1-הגדרות!$E$8*(הגדרות!$E$7+1),הגדרות!$E$7)))</f>
        <v/>
      </c>
      <c r="K2969" s="0" t="str">
        <f aca="false">IF(I2969="","",J2969*הגדרות!$E$6+I2969+1)</f>
        <v/>
      </c>
      <c r="L2969" s="0" t="str">
        <f aca="false">IF(K2969="","",MATCH(K2969,$F$2:$F$5001,0))</f>
        <v/>
      </c>
      <c r="M2969" s="0" t="str">
        <f aca="false">IF(I2969="","",INDEX(הגדרות!$A$2:$A$21,MOD(I2969+הגדרות!$E$9,הגדרות!$E$6)+1))</f>
        <v/>
      </c>
    </row>
    <row r="2970" customFormat="false" ht="15" hidden="false" customHeight="false" outlineLevel="0" collapsed="false">
      <c r="A2970" s="0" t="str">
        <f aca="false">IF('הדבקת לידים'!A2970="","",IF(ISNUMBER('הדבקת לידים'!A2970),IF(הגדרות!$E$2&gt;0,TEXT('הדבקת לידים'!A2970,REPT("0",הגדרות!$E$2)),TEXT('הדבקת לידים'!A2970,"0")),TRIM('הדבקת לידים'!A2970)))</f>
        <v/>
      </c>
      <c r="B2970" s="0" t="str">
        <f aca="false">IF('הדבקת לידים'!B2970="","",IF(ISNUMBER('הדבקת לידים'!B2970),IF(הגדרות!$E$3&gt;0,TEXT('הדבקת לידים'!B2970,REPT("0",הגדרות!$E$3)),TEXT('הדבקת לידים'!B2970,"0")),TRIM('הדבקת לידים'!B2970)))</f>
        <v/>
      </c>
      <c r="C2970" s="0" t="n">
        <f aca="false">IF(OR(A2970&lt;&gt;"",B2970&lt;&gt;""),1,0)</f>
        <v>0</v>
      </c>
      <c r="D2970" s="0" t="str">
        <f aca="false">IF(C2970=1,MOD(ABS(SIN(ROW()*12.9898+'הדבקת לידים'!$F$2*78.233+IFERROR(--RIGHT(A2970,6),LEN(A2970))*0.0137+IFERROR(--RIGHT(B2970,6),LEN(B2970))*0.0071))*43758.5453,1),"")</f>
        <v/>
      </c>
      <c r="E2970" s="0" t="str">
        <f aca="false">IF(C2970=1,INT(MOD(ABS(SIN(D2970*7919.123+ROW()*0.618+'הדבקת לידים'!$F$2*1.3))*43758.5453,1)*1000000)*10000+ROW(),"")</f>
        <v/>
      </c>
      <c r="F2970" s="0" t="str">
        <f aca="false">IF(E2970="","",RANK(E2970,$E$2:$E$5001,1))</f>
        <v/>
      </c>
      <c r="G2970" s="0" t="n">
        <f aca="false">IF(A2970="",0,IF(SUMPRODUCT(--($A$2:$A$5001=A2970))&gt;1,1,0))</f>
        <v>0</v>
      </c>
      <c r="H2970" s="0" t="n">
        <f aca="false">ROW()-1</f>
        <v>2969</v>
      </c>
      <c r="I2970" s="0" t="str">
        <f aca="false">IF(OR(הגדרות!$E$6=0,H2970&gt;הגדרות!$E$5),"",IF(H2970-1&lt;הגדרות!$E$8*(הגדרות!$E$7+1),INT((H2970-1)/(הגדרות!$E$7+1)),הגדרות!$E$8+INT((H2970-1-הגדרות!$E$8*(הגדרות!$E$7+1))/הגדרות!$E$7)))</f>
        <v/>
      </c>
      <c r="J2970" s="0" t="str">
        <f aca="false">IF(I2970="","",IF(H2970-1&lt;הגדרות!$E$8*(הגדרות!$E$7+1),MOD(H2970-1,הגדרות!$E$7+1),MOD(H2970-1-הגדרות!$E$8*(הגדרות!$E$7+1),הגדרות!$E$7)))</f>
        <v/>
      </c>
      <c r="K2970" s="0" t="str">
        <f aca="false">IF(I2970="","",J2970*הגדרות!$E$6+I2970+1)</f>
        <v/>
      </c>
      <c r="L2970" s="0" t="str">
        <f aca="false">IF(K2970="","",MATCH(K2970,$F$2:$F$5001,0))</f>
        <v/>
      </c>
      <c r="M2970" s="0" t="str">
        <f aca="false">IF(I2970="","",INDEX(הגדרות!$A$2:$A$21,MOD(I2970+הגדרות!$E$9,הגדרות!$E$6)+1))</f>
        <v/>
      </c>
    </row>
    <row r="2971" customFormat="false" ht="15" hidden="false" customHeight="false" outlineLevel="0" collapsed="false">
      <c r="A2971" s="0" t="str">
        <f aca="false">IF('הדבקת לידים'!A2971="","",IF(ISNUMBER('הדבקת לידים'!A2971),IF(הגדרות!$E$2&gt;0,TEXT('הדבקת לידים'!A2971,REPT("0",הגדרות!$E$2)),TEXT('הדבקת לידים'!A2971,"0")),TRIM('הדבקת לידים'!A2971)))</f>
        <v/>
      </c>
      <c r="B2971" s="0" t="str">
        <f aca="false">IF('הדבקת לידים'!B2971="","",IF(ISNUMBER('הדבקת לידים'!B2971),IF(הגדרות!$E$3&gt;0,TEXT('הדבקת לידים'!B2971,REPT("0",הגדרות!$E$3)),TEXT('הדבקת לידים'!B2971,"0")),TRIM('הדבקת לידים'!B2971)))</f>
        <v/>
      </c>
      <c r="C2971" s="0" t="n">
        <f aca="false">IF(OR(A2971&lt;&gt;"",B2971&lt;&gt;""),1,0)</f>
        <v>0</v>
      </c>
      <c r="D2971" s="0" t="str">
        <f aca="false">IF(C2971=1,MOD(ABS(SIN(ROW()*12.9898+'הדבקת לידים'!$F$2*78.233+IFERROR(--RIGHT(A2971,6),LEN(A2971))*0.0137+IFERROR(--RIGHT(B2971,6),LEN(B2971))*0.0071))*43758.5453,1),"")</f>
        <v/>
      </c>
      <c r="E2971" s="0" t="str">
        <f aca="false">IF(C2971=1,INT(MOD(ABS(SIN(D2971*7919.123+ROW()*0.618+'הדבקת לידים'!$F$2*1.3))*43758.5453,1)*1000000)*10000+ROW(),"")</f>
        <v/>
      </c>
      <c r="F2971" s="0" t="str">
        <f aca="false">IF(E2971="","",RANK(E2971,$E$2:$E$5001,1))</f>
        <v/>
      </c>
      <c r="G2971" s="0" t="n">
        <f aca="false">IF(A2971="",0,IF(SUMPRODUCT(--($A$2:$A$5001=A2971))&gt;1,1,0))</f>
        <v>0</v>
      </c>
      <c r="H2971" s="0" t="n">
        <f aca="false">ROW()-1</f>
        <v>2970</v>
      </c>
      <c r="I2971" s="0" t="str">
        <f aca="false">IF(OR(הגדרות!$E$6=0,H2971&gt;הגדרות!$E$5),"",IF(H2971-1&lt;הגדרות!$E$8*(הגדרות!$E$7+1),INT((H2971-1)/(הגדרות!$E$7+1)),הגדרות!$E$8+INT((H2971-1-הגדרות!$E$8*(הגדרות!$E$7+1))/הגדרות!$E$7)))</f>
        <v/>
      </c>
      <c r="J2971" s="0" t="str">
        <f aca="false">IF(I2971="","",IF(H2971-1&lt;הגדרות!$E$8*(הגדרות!$E$7+1),MOD(H2971-1,הגדרות!$E$7+1),MOD(H2971-1-הגדרות!$E$8*(הגדרות!$E$7+1),הגדרות!$E$7)))</f>
        <v/>
      </c>
      <c r="K2971" s="0" t="str">
        <f aca="false">IF(I2971="","",J2971*הגדרות!$E$6+I2971+1)</f>
        <v/>
      </c>
      <c r="L2971" s="0" t="str">
        <f aca="false">IF(K2971="","",MATCH(K2971,$F$2:$F$5001,0))</f>
        <v/>
      </c>
      <c r="M2971" s="0" t="str">
        <f aca="false">IF(I2971="","",INDEX(הגדרות!$A$2:$A$21,MOD(I2971+הגדרות!$E$9,הגדרות!$E$6)+1))</f>
        <v/>
      </c>
    </row>
    <row r="2972" customFormat="false" ht="15" hidden="false" customHeight="false" outlineLevel="0" collapsed="false">
      <c r="A2972" s="0" t="str">
        <f aca="false">IF('הדבקת לידים'!A2972="","",IF(ISNUMBER('הדבקת לידים'!A2972),IF(הגדרות!$E$2&gt;0,TEXT('הדבקת לידים'!A2972,REPT("0",הגדרות!$E$2)),TEXT('הדבקת לידים'!A2972,"0")),TRIM('הדבקת לידים'!A2972)))</f>
        <v/>
      </c>
      <c r="B2972" s="0" t="str">
        <f aca="false">IF('הדבקת לידים'!B2972="","",IF(ISNUMBER('הדבקת לידים'!B2972),IF(הגדרות!$E$3&gt;0,TEXT('הדבקת לידים'!B2972,REPT("0",הגדרות!$E$3)),TEXT('הדבקת לידים'!B2972,"0")),TRIM('הדבקת לידים'!B2972)))</f>
        <v/>
      </c>
      <c r="C2972" s="0" t="n">
        <f aca="false">IF(OR(A2972&lt;&gt;"",B2972&lt;&gt;""),1,0)</f>
        <v>0</v>
      </c>
      <c r="D2972" s="0" t="str">
        <f aca="false">IF(C2972=1,MOD(ABS(SIN(ROW()*12.9898+'הדבקת לידים'!$F$2*78.233+IFERROR(--RIGHT(A2972,6),LEN(A2972))*0.0137+IFERROR(--RIGHT(B2972,6),LEN(B2972))*0.0071))*43758.5453,1),"")</f>
        <v/>
      </c>
      <c r="E2972" s="0" t="str">
        <f aca="false">IF(C2972=1,INT(MOD(ABS(SIN(D2972*7919.123+ROW()*0.618+'הדבקת לידים'!$F$2*1.3))*43758.5453,1)*1000000)*10000+ROW(),"")</f>
        <v/>
      </c>
      <c r="F2972" s="0" t="str">
        <f aca="false">IF(E2972="","",RANK(E2972,$E$2:$E$5001,1))</f>
        <v/>
      </c>
      <c r="G2972" s="0" t="n">
        <f aca="false">IF(A2972="",0,IF(SUMPRODUCT(--($A$2:$A$5001=A2972))&gt;1,1,0))</f>
        <v>0</v>
      </c>
      <c r="H2972" s="0" t="n">
        <f aca="false">ROW()-1</f>
        <v>2971</v>
      </c>
      <c r="I2972" s="0" t="str">
        <f aca="false">IF(OR(הגדרות!$E$6=0,H2972&gt;הגדרות!$E$5),"",IF(H2972-1&lt;הגדרות!$E$8*(הגדרות!$E$7+1),INT((H2972-1)/(הגדרות!$E$7+1)),הגדרות!$E$8+INT((H2972-1-הגדרות!$E$8*(הגדרות!$E$7+1))/הגדרות!$E$7)))</f>
        <v/>
      </c>
      <c r="J2972" s="0" t="str">
        <f aca="false">IF(I2972="","",IF(H2972-1&lt;הגדרות!$E$8*(הגדרות!$E$7+1),MOD(H2972-1,הגדרות!$E$7+1),MOD(H2972-1-הגדרות!$E$8*(הגדרות!$E$7+1),הגדרות!$E$7)))</f>
        <v/>
      </c>
      <c r="K2972" s="0" t="str">
        <f aca="false">IF(I2972="","",J2972*הגדרות!$E$6+I2972+1)</f>
        <v/>
      </c>
      <c r="L2972" s="0" t="str">
        <f aca="false">IF(K2972="","",MATCH(K2972,$F$2:$F$5001,0))</f>
        <v/>
      </c>
      <c r="M2972" s="0" t="str">
        <f aca="false">IF(I2972="","",INDEX(הגדרות!$A$2:$A$21,MOD(I2972+הגדרות!$E$9,הגדרות!$E$6)+1))</f>
        <v/>
      </c>
    </row>
    <row r="2973" customFormat="false" ht="15" hidden="false" customHeight="false" outlineLevel="0" collapsed="false">
      <c r="A2973" s="0" t="str">
        <f aca="false">IF('הדבקת לידים'!A2973="","",IF(ISNUMBER('הדבקת לידים'!A2973),IF(הגדרות!$E$2&gt;0,TEXT('הדבקת לידים'!A2973,REPT("0",הגדרות!$E$2)),TEXT('הדבקת לידים'!A2973,"0")),TRIM('הדבקת לידים'!A2973)))</f>
        <v/>
      </c>
      <c r="B2973" s="0" t="str">
        <f aca="false">IF('הדבקת לידים'!B2973="","",IF(ISNUMBER('הדבקת לידים'!B2973),IF(הגדרות!$E$3&gt;0,TEXT('הדבקת לידים'!B2973,REPT("0",הגדרות!$E$3)),TEXT('הדבקת לידים'!B2973,"0")),TRIM('הדבקת לידים'!B2973)))</f>
        <v/>
      </c>
      <c r="C2973" s="0" t="n">
        <f aca="false">IF(OR(A2973&lt;&gt;"",B2973&lt;&gt;""),1,0)</f>
        <v>0</v>
      </c>
      <c r="D2973" s="0" t="str">
        <f aca="false">IF(C2973=1,MOD(ABS(SIN(ROW()*12.9898+'הדבקת לידים'!$F$2*78.233+IFERROR(--RIGHT(A2973,6),LEN(A2973))*0.0137+IFERROR(--RIGHT(B2973,6),LEN(B2973))*0.0071))*43758.5453,1),"")</f>
        <v/>
      </c>
      <c r="E2973" s="0" t="str">
        <f aca="false">IF(C2973=1,INT(MOD(ABS(SIN(D2973*7919.123+ROW()*0.618+'הדבקת לידים'!$F$2*1.3))*43758.5453,1)*1000000)*10000+ROW(),"")</f>
        <v/>
      </c>
      <c r="F2973" s="0" t="str">
        <f aca="false">IF(E2973="","",RANK(E2973,$E$2:$E$5001,1))</f>
        <v/>
      </c>
      <c r="G2973" s="0" t="n">
        <f aca="false">IF(A2973="",0,IF(SUMPRODUCT(--($A$2:$A$5001=A2973))&gt;1,1,0))</f>
        <v>0</v>
      </c>
      <c r="H2973" s="0" t="n">
        <f aca="false">ROW()-1</f>
        <v>2972</v>
      </c>
      <c r="I2973" s="0" t="str">
        <f aca="false">IF(OR(הגדרות!$E$6=0,H2973&gt;הגדרות!$E$5),"",IF(H2973-1&lt;הגדרות!$E$8*(הגדרות!$E$7+1),INT((H2973-1)/(הגדרות!$E$7+1)),הגדרות!$E$8+INT((H2973-1-הגדרות!$E$8*(הגדרות!$E$7+1))/הגדרות!$E$7)))</f>
        <v/>
      </c>
      <c r="J2973" s="0" t="str">
        <f aca="false">IF(I2973="","",IF(H2973-1&lt;הגדרות!$E$8*(הגדרות!$E$7+1),MOD(H2973-1,הגדרות!$E$7+1),MOD(H2973-1-הגדרות!$E$8*(הגדרות!$E$7+1),הגדרות!$E$7)))</f>
        <v/>
      </c>
      <c r="K2973" s="0" t="str">
        <f aca="false">IF(I2973="","",J2973*הגדרות!$E$6+I2973+1)</f>
        <v/>
      </c>
      <c r="L2973" s="0" t="str">
        <f aca="false">IF(K2973="","",MATCH(K2973,$F$2:$F$5001,0))</f>
        <v/>
      </c>
      <c r="M2973" s="0" t="str">
        <f aca="false">IF(I2973="","",INDEX(הגדרות!$A$2:$A$21,MOD(I2973+הגדרות!$E$9,הגדרות!$E$6)+1))</f>
        <v/>
      </c>
    </row>
    <row r="2974" customFormat="false" ht="15" hidden="false" customHeight="false" outlineLevel="0" collapsed="false">
      <c r="A2974" s="0" t="str">
        <f aca="false">IF('הדבקת לידים'!A2974="","",IF(ISNUMBER('הדבקת לידים'!A2974),IF(הגדרות!$E$2&gt;0,TEXT('הדבקת לידים'!A2974,REPT("0",הגדרות!$E$2)),TEXT('הדבקת לידים'!A2974,"0")),TRIM('הדבקת לידים'!A2974)))</f>
        <v/>
      </c>
      <c r="B2974" s="0" t="str">
        <f aca="false">IF('הדבקת לידים'!B2974="","",IF(ISNUMBER('הדבקת לידים'!B2974),IF(הגדרות!$E$3&gt;0,TEXT('הדבקת לידים'!B2974,REPT("0",הגדרות!$E$3)),TEXT('הדבקת לידים'!B2974,"0")),TRIM('הדבקת לידים'!B2974)))</f>
        <v/>
      </c>
      <c r="C2974" s="0" t="n">
        <f aca="false">IF(OR(A2974&lt;&gt;"",B2974&lt;&gt;""),1,0)</f>
        <v>0</v>
      </c>
      <c r="D2974" s="0" t="str">
        <f aca="false">IF(C2974=1,MOD(ABS(SIN(ROW()*12.9898+'הדבקת לידים'!$F$2*78.233+IFERROR(--RIGHT(A2974,6),LEN(A2974))*0.0137+IFERROR(--RIGHT(B2974,6),LEN(B2974))*0.0071))*43758.5453,1),"")</f>
        <v/>
      </c>
      <c r="E2974" s="0" t="str">
        <f aca="false">IF(C2974=1,INT(MOD(ABS(SIN(D2974*7919.123+ROW()*0.618+'הדבקת לידים'!$F$2*1.3))*43758.5453,1)*1000000)*10000+ROW(),"")</f>
        <v/>
      </c>
      <c r="F2974" s="0" t="str">
        <f aca="false">IF(E2974="","",RANK(E2974,$E$2:$E$5001,1))</f>
        <v/>
      </c>
      <c r="G2974" s="0" t="n">
        <f aca="false">IF(A2974="",0,IF(SUMPRODUCT(--($A$2:$A$5001=A2974))&gt;1,1,0))</f>
        <v>0</v>
      </c>
      <c r="H2974" s="0" t="n">
        <f aca="false">ROW()-1</f>
        <v>2973</v>
      </c>
      <c r="I2974" s="0" t="str">
        <f aca="false">IF(OR(הגדרות!$E$6=0,H2974&gt;הגדרות!$E$5),"",IF(H2974-1&lt;הגדרות!$E$8*(הגדרות!$E$7+1),INT((H2974-1)/(הגדרות!$E$7+1)),הגדרות!$E$8+INT((H2974-1-הגדרות!$E$8*(הגדרות!$E$7+1))/הגדרות!$E$7)))</f>
        <v/>
      </c>
      <c r="J2974" s="0" t="str">
        <f aca="false">IF(I2974="","",IF(H2974-1&lt;הגדרות!$E$8*(הגדרות!$E$7+1),MOD(H2974-1,הגדרות!$E$7+1),MOD(H2974-1-הגדרות!$E$8*(הגדרות!$E$7+1),הגדרות!$E$7)))</f>
        <v/>
      </c>
      <c r="K2974" s="0" t="str">
        <f aca="false">IF(I2974="","",J2974*הגדרות!$E$6+I2974+1)</f>
        <v/>
      </c>
      <c r="L2974" s="0" t="str">
        <f aca="false">IF(K2974="","",MATCH(K2974,$F$2:$F$5001,0))</f>
        <v/>
      </c>
      <c r="M2974" s="0" t="str">
        <f aca="false">IF(I2974="","",INDEX(הגדרות!$A$2:$A$21,MOD(I2974+הגדרות!$E$9,הגדרות!$E$6)+1))</f>
        <v/>
      </c>
    </row>
    <row r="2975" customFormat="false" ht="15" hidden="false" customHeight="false" outlineLevel="0" collapsed="false">
      <c r="A2975" s="0" t="str">
        <f aca="false">IF('הדבקת לידים'!A2975="","",IF(ISNUMBER('הדבקת לידים'!A2975),IF(הגדרות!$E$2&gt;0,TEXT('הדבקת לידים'!A2975,REPT("0",הגדרות!$E$2)),TEXT('הדבקת לידים'!A2975,"0")),TRIM('הדבקת לידים'!A2975)))</f>
        <v/>
      </c>
      <c r="B2975" s="0" t="str">
        <f aca="false">IF('הדבקת לידים'!B2975="","",IF(ISNUMBER('הדבקת לידים'!B2975),IF(הגדרות!$E$3&gt;0,TEXT('הדבקת לידים'!B2975,REPT("0",הגדרות!$E$3)),TEXT('הדבקת לידים'!B2975,"0")),TRIM('הדבקת לידים'!B2975)))</f>
        <v/>
      </c>
      <c r="C2975" s="0" t="n">
        <f aca="false">IF(OR(A2975&lt;&gt;"",B2975&lt;&gt;""),1,0)</f>
        <v>0</v>
      </c>
      <c r="D2975" s="0" t="str">
        <f aca="false">IF(C2975=1,MOD(ABS(SIN(ROW()*12.9898+'הדבקת לידים'!$F$2*78.233+IFERROR(--RIGHT(A2975,6),LEN(A2975))*0.0137+IFERROR(--RIGHT(B2975,6),LEN(B2975))*0.0071))*43758.5453,1),"")</f>
        <v/>
      </c>
      <c r="E2975" s="0" t="str">
        <f aca="false">IF(C2975=1,INT(MOD(ABS(SIN(D2975*7919.123+ROW()*0.618+'הדבקת לידים'!$F$2*1.3))*43758.5453,1)*1000000)*10000+ROW(),"")</f>
        <v/>
      </c>
      <c r="F2975" s="0" t="str">
        <f aca="false">IF(E2975="","",RANK(E2975,$E$2:$E$5001,1))</f>
        <v/>
      </c>
      <c r="G2975" s="0" t="n">
        <f aca="false">IF(A2975="",0,IF(SUMPRODUCT(--($A$2:$A$5001=A2975))&gt;1,1,0))</f>
        <v>0</v>
      </c>
      <c r="H2975" s="0" t="n">
        <f aca="false">ROW()-1</f>
        <v>2974</v>
      </c>
      <c r="I2975" s="0" t="str">
        <f aca="false">IF(OR(הגדרות!$E$6=0,H2975&gt;הגדרות!$E$5),"",IF(H2975-1&lt;הגדרות!$E$8*(הגדרות!$E$7+1),INT((H2975-1)/(הגדרות!$E$7+1)),הגדרות!$E$8+INT((H2975-1-הגדרות!$E$8*(הגדרות!$E$7+1))/הגדרות!$E$7)))</f>
        <v/>
      </c>
      <c r="J2975" s="0" t="str">
        <f aca="false">IF(I2975="","",IF(H2975-1&lt;הגדרות!$E$8*(הגדרות!$E$7+1),MOD(H2975-1,הגדרות!$E$7+1),MOD(H2975-1-הגדרות!$E$8*(הגדרות!$E$7+1),הגדרות!$E$7)))</f>
        <v/>
      </c>
      <c r="K2975" s="0" t="str">
        <f aca="false">IF(I2975="","",J2975*הגדרות!$E$6+I2975+1)</f>
        <v/>
      </c>
      <c r="L2975" s="0" t="str">
        <f aca="false">IF(K2975="","",MATCH(K2975,$F$2:$F$5001,0))</f>
        <v/>
      </c>
      <c r="M2975" s="0" t="str">
        <f aca="false">IF(I2975="","",INDEX(הגדרות!$A$2:$A$21,MOD(I2975+הגדרות!$E$9,הגדרות!$E$6)+1))</f>
        <v/>
      </c>
    </row>
    <row r="2976" customFormat="false" ht="15" hidden="false" customHeight="false" outlineLevel="0" collapsed="false">
      <c r="A2976" s="0" t="str">
        <f aca="false">IF('הדבקת לידים'!A2976="","",IF(ISNUMBER('הדבקת לידים'!A2976),IF(הגדרות!$E$2&gt;0,TEXT('הדבקת לידים'!A2976,REPT("0",הגדרות!$E$2)),TEXT('הדבקת לידים'!A2976,"0")),TRIM('הדבקת לידים'!A2976)))</f>
        <v/>
      </c>
      <c r="B2976" s="0" t="str">
        <f aca="false">IF('הדבקת לידים'!B2976="","",IF(ISNUMBER('הדבקת לידים'!B2976),IF(הגדרות!$E$3&gt;0,TEXT('הדבקת לידים'!B2976,REPT("0",הגדרות!$E$3)),TEXT('הדבקת לידים'!B2976,"0")),TRIM('הדבקת לידים'!B2976)))</f>
        <v/>
      </c>
      <c r="C2976" s="0" t="n">
        <f aca="false">IF(OR(A2976&lt;&gt;"",B2976&lt;&gt;""),1,0)</f>
        <v>0</v>
      </c>
      <c r="D2976" s="0" t="str">
        <f aca="false">IF(C2976=1,MOD(ABS(SIN(ROW()*12.9898+'הדבקת לידים'!$F$2*78.233+IFERROR(--RIGHT(A2976,6),LEN(A2976))*0.0137+IFERROR(--RIGHT(B2976,6),LEN(B2976))*0.0071))*43758.5453,1),"")</f>
        <v/>
      </c>
      <c r="E2976" s="0" t="str">
        <f aca="false">IF(C2976=1,INT(MOD(ABS(SIN(D2976*7919.123+ROW()*0.618+'הדבקת לידים'!$F$2*1.3))*43758.5453,1)*1000000)*10000+ROW(),"")</f>
        <v/>
      </c>
      <c r="F2976" s="0" t="str">
        <f aca="false">IF(E2976="","",RANK(E2976,$E$2:$E$5001,1))</f>
        <v/>
      </c>
      <c r="G2976" s="0" t="n">
        <f aca="false">IF(A2976="",0,IF(SUMPRODUCT(--($A$2:$A$5001=A2976))&gt;1,1,0))</f>
        <v>0</v>
      </c>
      <c r="H2976" s="0" t="n">
        <f aca="false">ROW()-1</f>
        <v>2975</v>
      </c>
      <c r="I2976" s="0" t="str">
        <f aca="false">IF(OR(הגדרות!$E$6=0,H2976&gt;הגדרות!$E$5),"",IF(H2976-1&lt;הגדרות!$E$8*(הגדרות!$E$7+1),INT((H2976-1)/(הגדרות!$E$7+1)),הגדרות!$E$8+INT((H2976-1-הגדרות!$E$8*(הגדרות!$E$7+1))/הגדרות!$E$7)))</f>
        <v/>
      </c>
      <c r="J2976" s="0" t="str">
        <f aca="false">IF(I2976="","",IF(H2976-1&lt;הגדרות!$E$8*(הגדרות!$E$7+1),MOD(H2976-1,הגדרות!$E$7+1),MOD(H2976-1-הגדרות!$E$8*(הגדרות!$E$7+1),הגדרות!$E$7)))</f>
        <v/>
      </c>
      <c r="K2976" s="0" t="str">
        <f aca="false">IF(I2976="","",J2976*הגדרות!$E$6+I2976+1)</f>
        <v/>
      </c>
      <c r="L2976" s="0" t="str">
        <f aca="false">IF(K2976="","",MATCH(K2976,$F$2:$F$5001,0))</f>
        <v/>
      </c>
      <c r="M2976" s="0" t="str">
        <f aca="false">IF(I2976="","",INDEX(הגדרות!$A$2:$A$21,MOD(I2976+הגדרות!$E$9,הגדרות!$E$6)+1))</f>
        <v/>
      </c>
    </row>
    <row r="2977" customFormat="false" ht="15" hidden="false" customHeight="false" outlineLevel="0" collapsed="false">
      <c r="A2977" s="0" t="str">
        <f aca="false">IF('הדבקת לידים'!A2977="","",IF(ISNUMBER('הדבקת לידים'!A2977),IF(הגדרות!$E$2&gt;0,TEXT('הדבקת לידים'!A2977,REPT("0",הגדרות!$E$2)),TEXT('הדבקת לידים'!A2977,"0")),TRIM('הדבקת לידים'!A2977)))</f>
        <v/>
      </c>
      <c r="B2977" s="0" t="str">
        <f aca="false">IF('הדבקת לידים'!B2977="","",IF(ISNUMBER('הדבקת לידים'!B2977),IF(הגדרות!$E$3&gt;0,TEXT('הדבקת לידים'!B2977,REPT("0",הגדרות!$E$3)),TEXT('הדבקת לידים'!B2977,"0")),TRIM('הדבקת לידים'!B2977)))</f>
        <v/>
      </c>
      <c r="C2977" s="0" t="n">
        <f aca="false">IF(OR(A2977&lt;&gt;"",B2977&lt;&gt;""),1,0)</f>
        <v>0</v>
      </c>
      <c r="D2977" s="0" t="str">
        <f aca="false">IF(C2977=1,MOD(ABS(SIN(ROW()*12.9898+'הדבקת לידים'!$F$2*78.233+IFERROR(--RIGHT(A2977,6),LEN(A2977))*0.0137+IFERROR(--RIGHT(B2977,6),LEN(B2977))*0.0071))*43758.5453,1),"")</f>
        <v/>
      </c>
      <c r="E2977" s="0" t="str">
        <f aca="false">IF(C2977=1,INT(MOD(ABS(SIN(D2977*7919.123+ROW()*0.618+'הדבקת לידים'!$F$2*1.3))*43758.5453,1)*1000000)*10000+ROW(),"")</f>
        <v/>
      </c>
      <c r="F2977" s="0" t="str">
        <f aca="false">IF(E2977="","",RANK(E2977,$E$2:$E$5001,1))</f>
        <v/>
      </c>
      <c r="G2977" s="0" t="n">
        <f aca="false">IF(A2977="",0,IF(SUMPRODUCT(--($A$2:$A$5001=A2977))&gt;1,1,0))</f>
        <v>0</v>
      </c>
      <c r="H2977" s="0" t="n">
        <f aca="false">ROW()-1</f>
        <v>2976</v>
      </c>
      <c r="I2977" s="0" t="str">
        <f aca="false">IF(OR(הגדרות!$E$6=0,H2977&gt;הגדרות!$E$5),"",IF(H2977-1&lt;הגדרות!$E$8*(הגדרות!$E$7+1),INT((H2977-1)/(הגדרות!$E$7+1)),הגדרות!$E$8+INT((H2977-1-הגדרות!$E$8*(הגדרות!$E$7+1))/הגדרות!$E$7)))</f>
        <v/>
      </c>
      <c r="J2977" s="0" t="str">
        <f aca="false">IF(I2977="","",IF(H2977-1&lt;הגדרות!$E$8*(הגדרות!$E$7+1),MOD(H2977-1,הגדרות!$E$7+1),MOD(H2977-1-הגדרות!$E$8*(הגדרות!$E$7+1),הגדרות!$E$7)))</f>
        <v/>
      </c>
      <c r="K2977" s="0" t="str">
        <f aca="false">IF(I2977="","",J2977*הגדרות!$E$6+I2977+1)</f>
        <v/>
      </c>
      <c r="L2977" s="0" t="str">
        <f aca="false">IF(K2977="","",MATCH(K2977,$F$2:$F$5001,0))</f>
        <v/>
      </c>
      <c r="M2977" s="0" t="str">
        <f aca="false">IF(I2977="","",INDEX(הגדרות!$A$2:$A$21,MOD(I2977+הגדרות!$E$9,הגדרות!$E$6)+1))</f>
        <v/>
      </c>
    </row>
    <row r="2978" customFormat="false" ht="15" hidden="false" customHeight="false" outlineLevel="0" collapsed="false">
      <c r="A2978" s="0" t="str">
        <f aca="false">IF('הדבקת לידים'!A2978="","",IF(ISNUMBER('הדבקת לידים'!A2978),IF(הגדרות!$E$2&gt;0,TEXT('הדבקת לידים'!A2978,REPT("0",הגדרות!$E$2)),TEXT('הדבקת לידים'!A2978,"0")),TRIM('הדבקת לידים'!A2978)))</f>
        <v/>
      </c>
      <c r="B2978" s="0" t="str">
        <f aca="false">IF('הדבקת לידים'!B2978="","",IF(ISNUMBER('הדבקת לידים'!B2978),IF(הגדרות!$E$3&gt;0,TEXT('הדבקת לידים'!B2978,REPT("0",הגדרות!$E$3)),TEXT('הדבקת לידים'!B2978,"0")),TRIM('הדבקת לידים'!B2978)))</f>
        <v/>
      </c>
      <c r="C2978" s="0" t="n">
        <f aca="false">IF(OR(A2978&lt;&gt;"",B2978&lt;&gt;""),1,0)</f>
        <v>0</v>
      </c>
      <c r="D2978" s="0" t="str">
        <f aca="false">IF(C2978=1,MOD(ABS(SIN(ROW()*12.9898+'הדבקת לידים'!$F$2*78.233+IFERROR(--RIGHT(A2978,6),LEN(A2978))*0.0137+IFERROR(--RIGHT(B2978,6),LEN(B2978))*0.0071))*43758.5453,1),"")</f>
        <v/>
      </c>
      <c r="E2978" s="0" t="str">
        <f aca="false">IF(C2978=1,INT(MOD(ABS(SIN(D2978*7919.123+ROW()*0.618+'הדבקת לידים'!$F$2*1.3))*43758.5453,1)*1000000)*10000+ROW(),"")</f>
        <v/>
      </c>
      <c r="F2978" s="0" t="str">
        <f aca="false">IF(E2978="","",RANK(E2978,$E$2:$E$5001,1))</f>
        <v/>
      </c>
      <c r="G2978" s="0" t="n">
        <f aca="false">IF(A2978="",0,IF(SUMPRODUCT(--($A$2:$A$5001=A2978))&gt;1,1,0))</f>
        <v>0</v>
      </c>
      <c r="H2978" s="0" t="n">
        <f aca="false">ROW()-1</f>
        <v>2977</v>
      </c>
      <c r="I2978" s="0" t="str">
        <f aca="false">IF(OR(הגדרות!$E$6=0,H2978&gt;הגדרות!$E$5),"",IF(H2978-1&lt;הגדרות!$E$8*(הגדרות!$E$7+1),INT((H2978-1)/(הגדרות!$E$7+1)),הגדרות!$E$8+INT((H2978-1-הגדרות!$E$8*(הגדרות!$E$7+1))/הגדרות!$E$7)))</f>
        <v/>
      </c>
      <c r="J2978" s="0" t="str">
        <f aca="false">IF(I2978="","",IF(H2978-1&lt;הגדרות!$E$8*(הגדרות!$E$7+1),MOD(H2978-1,הגדרות!$E$7+1),MOD(H2978-1-הגדרות!$E$8*(הגדרות!$E$7+1),הגדרות!$E$7)))</f>
        <v/>
      </c>
      <c r="K2978" s="0" t="str">
        <f aca="false">IF(I2978="","",J2978*הגדרות!$E$6+I2978+1)</f>
        <v/>
      </c>
      <c r="L2978" s="0" t="str">
        <f aca="false">IF(K2978="","",MATCH(K2978,$F$2:$F$5001,0))</f>
        <v/>
      </c>
      <c r="M2978" s="0" t="str">
        <f aca="false">IF(I2978="","",INDEX(הגדרות!$A$2:$A$21,MOD(I2978+הגדרות!$E$9,הגדרות!$E$6)+1))</f>
        <v/>
      </c>
    </row>
    <row r="2979" customFormat="false" ht="15" hidden="false" customHeight="false" outlineLevel="0" collapsed="false">
      <c r="A2979" s="0" t="str">
        <f aca="false">IF('הדבקת לידים'!A2979="","",IF(ISNUMBER('הדבקת לידים'!A2979),IF(הגדרות!$E$2&gt;0,TEXT('הדבקת לידים'!A2979,REPT("0",הגדרות!$E$2)),TEXT('הדבקת לידים'!A2979,"0")),TRIM('הדבקת לידים'!A2979)))</f>
        <v/>
      </c>
      <c r="B2979" s="0" t="str">
        <f aca="false">IF('הדבקת לידים'!B2979="","",IF(ISNUMBER('הדבקת לידים'!B2979),IF(הגדרות!$E$3&gt;0,TEXT('הדבקת לידים'!B2979,REPT("0",הגדרות!$E$3)),TEXT('הדבקת לידים'!B2979,"0")),TRIM('הדבקת לידים'!B2979)))</f>
        <v/>
      </c>
      <c r="C2979" s="0" t="n">
        <f aca="false">IF(OR(A2979&lt;&gt;"",B2979&lt;&gt;""),1,0)</f>
        <v>0</v>
      </c>
      <c r="D2979" s="0" t="str">
        <f aca="false">IF(C2979=1,MOD(ABS(SIN(ROW()*12.9898+'הדבקת לידים'!$F$2*78.233+IFERROR(--RIGHT(A2979,6),LEN(A2979))*0.0137+IFERROR(--RIGHT(B2979,6),LEN(B2979))*0.0071))*43758.5453,1),"")</f>
        <v/>
      </c>
      <c r="E2979" s="0" t="str">
        <f aca="false">IF(C2979=1,INT(MOD(ABS(SIN(D2979*7919.123+ROW()*0.618+'הדבקת לידים'!$F$2*1.3))*43758.5453,1)*1000000)*10000+ROW(),"")</f>
        <v/>
      </c>
      <c r="F2979" s="0" t="str">
        <f aca="false">IF(E2979="","",RANK(E2979,$E$2:$E$5001,1))</f>
        <v/>
      </c>
      <c r="G2979" s="0" t="n">
        <f aca="false">IF(A2979="",0,IF(SUMPRODUCT(--($A$2:$A$5001=A2979))&gt;1,1,0))</f>
        <v>0</v>
      </c>
      <c r="H2979" s="0" t="n">
        <f aca="false">ROW()-1</f>
        <v>2978</v>
      </c>
      <c r="I2979" s="0" t="str">
        <f aca="false">IF(OR(הגדרות!$E$6=0,H2979&gt;הגדרות!$E$5),"",IF(H2979-1&lt;הגדרות!$E$8*(הגדרות!$E$7+1),INT((H2979-1)/(הגדרות!$E$7+1)),הגדרות!$E$8+INT((H2979-1-הגדרות!$E$8*(הגדרות!$E$7+1))/הגדרות!$E$7)))</f>
        <v/>
      </c>
      <c r="J2979" s="0" t="str">
        <f aca="false">IF(I2979="","",IF(H2979-1&lt;הגדרות!$E$8*(הגדרות!$E$7+1),MOD(H2979-1,הגדרות!$E$7+1),MOD(H2979-1-הגדרות!$E$8*(הגדרות!$E$7+1),הגדרות!$E$7)))</f>
        <v/>
      </c>
      <c r="K2979" s="0" t="str">
        <f aca="false">IF(I2979="","",J2979*הגדרות!$E$6+I2979+1)</f>
        <v/>
      </c>
      <c r="L2979" s="0" t="str">
        <f aca="false">IF(K2979="","",MATCH(K2979,$F$2:$F$5001,0))</f>
        <v/>
      </c>
      <c r="M2979" s="0" t="str">
        <f aca="false">IF(I2979="","",INDEX(הגדרות!$A$2:$A$21,MOD(I2979+הגדרות!$E$9,הגדרות!$E$6)+1))</f>
        <v/>
      </c>
    </row>
    <row r="2980" customFormat="false" ht="15" hidden="false" customHeight="false" outlineLevel="0" collapsed="false">
      <c r="A2980" s="0" t="str">
        <f aca="false">IF('הדבקת לידים'!A2980="","",IF(ISNUMBER('הדבקת לידים'!A2980),IF(הגדרות!$E$2&gt;0,TEXT('הדבקת לידים'!A2980,REPT("0",הגדרות!$E$2)),TEXT('הדבקת לידים'!A2980,"0")),TRIM('הדבקת לידים'!A2980)))</f>
        <v/>
      </c>
      <c r="B2980" s="0" t="str">
        <f aca="false">IF('הדבקת לידים'!B2980="","",IF(ISNUMBER('הדבקת לידים'!B2980),IF(הגדרות!$E$3&gt;0,TEXT('הדבקת לידים'!B2980,REPT("0",הגדרות!$E$3)),TEXT('הדבקת לידים'!B2980,"0")),TRIM('הדבקת לידים'!B2980)))</f>
        <v/>
      </c>
      <c r="C2980" s="0" t="n">
        <f aca="false">IF(OR(A2980&lt;&gt;"",B2980&lt;&gt;""),1,0)</f>
        <v>0</v>
      </c>
      <c r="D2980" s="0" t="str">
        <f aca="false">IF(C2980=1,MOD(ABS(SIN(ROW()*12.9898+'הדבקת לידים'!$F$2*78.233+IFERROR(--RIGHT(A2980,6),LEN(A2980))*0.0137+IFERROR(--RIGHT(B2980,6),LEN(B2980))*0.0071))*43758.5453,1),"")</f>
        <v/>
      </c>
      <c r="E2980" s="0" t="str">
        <f aca="false">IF(C2980=1,INT(MOD(ABS(SIN(D2980*7919.123+ROW()*0.618+'הדבקת לידים'!$F$2*1.3))*43758.5453,1)*1000000)*10000+ROW(),"")</f>
        <v/>
      </c>
      <c r="F2980" s="0" t="str">
        <f aca="false">IF(E2980="","",RANK(E2980,$E$2:$E$5001,1))</f>
        <v/>
      </c>
      <c r="G2980" s="0" t="n">
        <f aca="false">IF(A2980="",0,IF(SUMPRODUCT(--($A$2:$A$5001=A2980))&gt;1,1,0))</f>
        <v>0</v>
      </c>
      <c r="H2980" s="0" t="n">
        <f aca="false">ROW()-1</f>
        <v>2979</v>
      </c>
      <c r="I2980" s="0" t="str">
        <f aca="false">IF(OR(הגדרות!$E$6=0,H2980&gt;הגדרות!$E$5),"",IF(H2980-1&lt;הגדרות!$E$8*(הגדרות!$E$7+1),INT((H2980-1)/(הגדרות!$E$7+1)),הגדרות!$E$8+INT((H2980-1-הגדרות!$E$8*(הגדרות!$E$7+1))/הגדרות!$E$7)))</f>
        <v/>
      </c>
      <c r="J2980" s="0" t="str">
        <f aca="false">IF(I2980="","",IF(H2980-1&lt;הגדרות!$E$8*(הגדרות!$E$7+1),MOD(H2980-1,הגדרות!$E$7+1),MOD(H2980-1-הגדרות!$E$8*(הגדרות!$E$7+1),הגדרות!$E$7)))</f>
        <v/>
      </c>
      <c r="K2980" s="0" t="str">
        <f aca="false">IF(I2980="","",J2980*הגדרות!$E$6+I2980+1)</f>
        <v/>
      </c>
      <c r="L2980" s="0" t="str">
        <f aca="false">IF(K2980="","",MATCH(K2980,$F$2:$F$5001,0))</f>
        <v/>
      </c>
      <c r="M2980" s="0" t="str">
        <f aca="false">IF(I2980="","",INDEX(הגדרות!$A$2:$A$21,MOD(I2980+הגדרות!$E$9,הגדרות!$E$6)+1))</f>
        <v/>
      </c>
    </row>
    <row r="2981" customFormat="false" ht="15" hidden="false" customHeight="false" outlineLevel="0" collapsed="false">
      <c r="A2981" s="0" t="str">
        <f aca="false">IF('הדבקת לידים'!A2981="","",IF(ISNUMBER('הדבקת לידים'!A2981),IF(הגדרות!$E$2&gt;0,TEXT('הדבקת לידים'!A2981,REPT("0",הגדרות!$E$2)),TEXT('הדבקת לידים'!A2981,"0")),TRIM('הדבקת לידים'!A2981)))</f>
        <v/>
      </c>
      <c r="B2981" s="0" t="str">
        <f aca="false">IF('הדבקת לידים'!B2981="","",IF(ISNUMBER('הדבקת לידים'!B2981),IF(הגדרות!$E$3&gt;0,TEXT('הדבקת לידים'!B2981,REPT("0",הגדרות!$E$3)),TEXT('הדבקת לידים'!B2981,"0")),TRIM('הדבקת לידים'!B2981)))</f>
        <v/>
      </c>
      <c r="C2981" s="0" t="n">
        <f aca="false">IF(OR(A2981&lt;&gt;"",B2981&lt;&gt;""),1,0)</f>
        <v>0</v>
      </c>
      <c r="D2981" s="0" t="str">
        <f aca="false">IF(C2981=1,MOD(ABS(SIN(ROW()*12.9898+'הדבקת לידים'!$F$2*78.233+IFERROR(--RIGHT(A2981,6),LEN(A2981))*0.0137+IFERROR(--RIGHT(B2981,6),LEN(B2981))*0.0071))*43758.5453,1),"")</f>
        <v/>
      </c>
      <c r="E2981" s="0" t="str">
        <f aca="false">IF(C2981=1,INT(MOD(ABS(SIN(D2981*7919.123+ROW()*0.618+'הדבקת לידים'!$F$2*1.3))*43758.5453,1)*1000000)*10000+ROW(),"")</f>
        <v/>
      </c>
      <c r="F2981" s="0" t="str">
        <f aca="false">IF(E2981="","",RANK(E2981,$E$2:$E$5001,1))</f>
        <v/>
      </c>
      <c r="G2981" s="0" t="n">
        <f aca="false">IF(A2981="",0,IF(SUMPRODUCT(--($A$2:$A$5001=A2981))&gt;1,1,0))</f>
        <v>0</v>
      </c>
      <c r="H2981" s="0" t="n">
        <f aca="false">ROW()-1</f>
        <v>2980</v>
      </c>
      <c r="I2981" s="0" t="str">
        <f aca="false">IF(OR(הגדרות!$E$6=0,H2981&gt;הגדרות!$E$5),"",IF(H2981-1&lt;הגדרות!$E$8*(הגדרות!$E$7+1),INT((H2981-1)/(הגדרות!$E$7+1)),הגדרות!$E$8+INT((H2981-1-הגדרות!$E$8*(הגדרות!$E$7+1))/הגדרות!$E$7)))</f>
        <v/>
      </c>
      <c r="J2981" s="0" t="str">
        <f aca="false">IF(I2981="","",IF(H2981-1&lt;הגדרות!$E$8*(הגדרות!$E$7+1),MOD(H2981-1,הגדרות!$E$7+1),MOD(H2981-1-הגדרות!$E$8*(הגדרות!$E$7+1),הגדרות!$E$7)))</f>
        <v/>
      </c>
      <c r="K2981" s="0" t="str">
        <f aca="false">IF(I2981="","",J2981*הגדרות!$E$6+I2981+1)</f>
        <v/>
      </c>
      <c r="L2981" s="0" t="str">
        <f aca="false">IF(K2981="","",MATCH(K2981,$F$2:$F$5001,0))</f>
        <v/>
      </c>
      <c r="M2981" s="0" t="str">
        <f aca="false">IF(I2981="","",INDEX(הגדרות!$A$2:$A$21,MOD(I2981+הגדרות!$E$9,הגדרות!$E$6)+1))</f>
        <v/>
      </c>
    </row>
    <row r="2982" customFormat="false" ht="15" hidden="false" customHeight="false" outlineLevel="0" collapsed="false">
      <c r="A2982" s="0" t="str">
        <f aca="false">IF('הדבקת לידים'!A2982="","",IF(ISNUMBER('הדבקת לידים'!A2982),IF(הגדרות!$E$2&gt;0,TEXT('הדבקת לידים'!A2982,REPT("0",הגדרות!$E$2)),TEXT('הדבקת לידים'!A2982,"0")),TRIM('הדבקת לידים'!A2982)))</f>
        <v/>
      </c>
      <c r="B2982" s="0" t="str">
        <f aca="false">IF('הדבקת לידים'!B2982="","",IF(ISNUMBER('הדבקת לידים'!B2982),IF(הגדרות!$E$3&gt;0,TEXT('הדבקת לידים'!B2982,REPT("0",הגדרות!$E$3)),TEXT('הדבקת לידים'!B2982,"0")),TRIM('הדבקת לידים'!B2982)))</f>
        <v/>
      </c>
      <c r="C2982" s="0" t="n">
        <f aca="false">IF(OR(A2982&lt;&gt;"",B2982&lt;&gt;""),1,0)</f>
        <v>0</v>
      </c>
      <c r="D2982" s="0" t="str">
        <f aca="false">IF(C2982=1,MOD(ABS(SIN(ROW()*12.9898+'הדבקת לידים'!$F$2*78.233+IFERROR(--RIGHT(A2982,6),LEN(A2982))*0.0137+IFERROR(--RIGHT(B2982,6),LEN(B2982))*0.0071))*43758.5453,1),"")</f>
        <v/>
      </c>
      <c r="E2982" s="0" t="str">
        <f aca="false">IF(C2982=1,INT(MOD(ABS(SIN(D2982*7919.123+ROW()*0.618+'הדבקת לידים'!$F$2*1.3))*43758.5453,1)*1000000)*10000+ROW(),"")</f>
        <v/>
      </c>
      <c r="F2982" s="0" t="str">
        <f aca="false">IF(E2982="","",RANK(E2982,$E$2:$E$5001,1))</f>
        <v/>
      </c>
      <c r="G2982" s="0" t="n">
        <f aca="false">IF(A2982="",0,IF(SUMPRODUCT(--($A$2:$A$5001=A2982))&gt;1,1,0))</f>
        <v>0</v>
      </c>
      <c r="H2982" s="0" t="n">
        <f aca="false">ROW()-1</f>
        <v>2981</v>
      </c>
      <c r="I2982" s="0" t="str">
        <f aca="false">IF(OR(הגדרות!$E$6=0,H2982&gt;הגדרות!$E$5),"",IF(H2982-1&lt;הגדרות!$E$8*(הגדרות!$E$7+1),INT((H2982-1)/(הגדרות!$E$7+1)),הגדרות!$E$8+INT((H2982-1-הגדרות!$E$8*(הגדרות!$E$7+1))/הגדרות!$E$7)))</f>
        <v/>
      </c>
      <c r="J2982" s="0" t="str">
        <f aca="false">IF(I2982="","",IF(H2982-1&lt;הגדרות!$E$8*(הגדרות!$E$7+1),MOD(H2982-1,הגדרות!$E$7+1),MOD(H2982-1-הגדרות!$E$8*(הגדרות!$E$7+1),הגדרות!$E$7)))</f>
        <v/>
      </c>
      <c r="K2982" s="0" t="str">
        <f aca="false">IF(I2982="","",J2982*הגדרות!$E$6+I2982+1)</f>
        <v/>
      </c>
      <c r="L2982" s="0" t="str">
        <f aca="false">IF(K2982="","",MATCH(K2982,$F$2:$F$5001,0))</f>
        <v/>
      </c>
      <c r="M2982" s="0" t="str">
        <f aca="false">IF(I2982="","",INDEX(הגדרות!$A$2:$A$21,MOD(I2982+הגדרות!$E$9,הגדרות!$E$6)+1))</f>
        <v/>
      </c>
    </row>
    <row r="2983" customFormat="false" ht="15" hidden="false" customHeight="false" outlineLevel="0" collapsed="false">
      <c r="A2983" s="0" t="str">
        <f aca="false">IF('הדבקת לידים'!A2983="","",IF(ISNUMBER('הדבקת לידים'!A2983),IF(הגדרות!$E$2&gt;0,TEXT('הדבקת לידים'!A2983,REPT("0",הגדרות!$E$2)),TEXT('הדבקת לידים'!A2983,"0")),TRIM('הדבקת לידים'!A2983)))</f>
        <v/>
      </c>
      <c r="B2983" s="0" t="str">
        <f aca="false">IF('הדבקת לידים'!B2983="","",IF(ISNUMBER('הדבקת לידים'!B2983),IF(הגדרות!$E$3&gt;0,TEXT('הדבקת לידים'!B2983,REPT("0",הגדרות!$E$3)),TEXT('הדבקת לידים'!B2983,"0")),TRIM('הדבקת לידים'!B2983)))</f>
        <v/>
      </c>
      <c r="C2983" s="0" t="n">
        <f aca="false">IF(OR(A2983&lt;&gt;"",B2983&lt;&gt;""),1,0)</f>
        <v>0</v>
      </c>
      <c r="D2983" s="0" t="str">
        <f aca="false">IF(C2983=1,MOD(ABS(SIN(ROW()*12.9898+'הדבקת לידים'!$F$2*78.233+IFERROR(--RIGHT(A2983,6),LEN(A2983))*0.0137+IFERROR(--RIGHT(B2983,6),LEN(B2983))*0.0071))*43758.5453,1),"")</f>
        <v/>
      </c>
      <c r="E2983" s="0" t="str">
        <f aca="false">IF(C2983=1,INT(MOD(ABS(SIN(D2983*7919.123+ROW()*0.618+'הדבקת לידים'!$F$2*1.3))*43758.5453,1)*1000000)*10000+ROW(),"")</f>
        <v/>
      </c>
      <c r="F2983" s="0" t="str">
        <f aca="false">IF(E2983="","",RANK(E2983,$E$2:$E$5001,1))</f>
        <v/>
      </c>
      <c r="G2983" s="0" t="n">
        <f aca="false">IF(A2983="",0,IF(SUMPRODUCT(--($A$2:$A$5001=A2983))&gt;1,1,0))</f>
        <v>0</v>
      </c>
      <c r="H2983" s="0" t="n">
        <f aca="false">ROW()-1</f>
        <v>2982</v>
      </c>
      <c r="I2983" s="0" t="str">
        <f aca="false">IF(OR(הגדרות!$E$6=0,H2983&gt;הגדרות!$E$5),"",IF(H2983-1&lt;הגדרות!$E$8*(הגדרות!$E$7+1),INT((H2983-1)/(הגדרות!$E$7+1)),הגדרות!$E$8+INT((H2983-1-הגדרות!$E$8*(הגדרות!$E$7+1))/הגדרות!$E$7)))</f>
        <v/>
      </c>
      <c r="J2983" s="0" t="str">
        <f aca="false">IF(I2983="","",IF(H2983-1&lt;הגדרות!$E$8*(הגדרות!$E$7+1),MOD(H2983-1,הגדרות!$E$7+1),MOD(H2983-1-הגדרות!$E$8*(הגדרות!$E$7+1),הגדרות!$E$7)))</f>
        <v/>
      </c>
      <c r="K2983" s="0" t="str">
        <f aca="false">IF(I2983="","",J2983*הגדרות!$E$6+I2983+1)</f>
        <v/>
      </c>
      <c r="L2983" s="0" t="str">
        <f aca="false">IF(K2983="","",MATCH(K2983,$F$2:$F$5001,0))</f>
        <v/>
      </c>
      <c r="M2983" s="0" t="str">
        <f aca="false">IF(I2983="","",INDEX(הגדרות!$A$2:$A$21,MOD(I2983+הגדרות!$E$9,הגדרות!$E$6)+1))</f>
        <v/>
      </c>
    </row>
    <row r="2984" customFormat="false" ht="15" hidden="false" customHeight="false" outlineLevel="0" collapsed="false">
      <c r="A2984" s="0" t="str">
        <f aca="false">IF('הדבקת לידים'!A2984="","",IF(ISNUMBER('הדבקת לידים'!A2984),IF(הגדרות!$E$2&gt;0,TEXT('הדבקת לידים'!A2984,REPT("0",הגדרות!$E$2)),TEXT('הדבקת לידים'!A2984,"0")),TRIM('הדבקת לידים'!A2984)))</f>
        <v/>
      </c>
      <c r="B2984" s="0" t="str">
        <f aca="false">IF('הדבקת לידים'!B2984="","",IF(ISNUMBER('הדבקת לידים'!B2984),IF(הגדרות!$E$3&gt;0,TEXT('הדבקת לידים'!B2984,REPT("0",הגדרות!$E$3)),TEXT('הדבקת לידים'!B2984,"0")),TRIM('הדבקת לידים'!B2984)))</f>
        <v/>
      </c>
      <c r="C2984" s="0" t="n">
        <f aca="false">IF(OR(A2984&lt;&gt;"",B2984&lt;&gt;""),1,0)</f>
        <v>0</v>
      </c>
      <c r="D2984" s="0" t="str">
        <f aca="false">IF(C2984=1,MOD(ABS(SIN(ROW()*12.9898+'הדבקת לידים'!$F$2*78.233+IFERROR(--RIGHT(A2984,6),LEN(A2984))*0.0137+IFERROR(--RIGHT(B2984,6),LEN(B2984))*0.0071))*43758.5453,1),"")</f>
        <v/>
      </c>
      <c r="E2984" s="0" t="str">
        <f aca="false">IF(C2984=1,INT(MOD(ABS(SIN(D2984*7919.123+ROW()*0.618+'הדבקת לידים'!$F$2*1.3))*43758.5453,1)*1000000)*10000+ROW(),"")</f>
        <v/>
      </c>
      <c r="F2984" s="0" t="str">
        <f aca="false">IF(E2984="","",RANK(E2984,$E$2:$E$5001,1))</f>
        <v/>
      </c>
      <c r="G2984" s="0" t="n">
        <f aca="false">IF(A2984="",0,IF(SUMPRODUCT(--($A$2:$A$5001=A2984))&gt;1,1,0))</f>
        <v>0</v>
      </c>
      <c r="H2984" s="0" t="n">
        <f aca="false">ROW()-1</f>
        <v>2983</v>
      </c>
      <c r="I2984" s="0" t="str">
        <f aca="false">IF(OR(הגדרות!$E$6=0,H2984&gt;הגדרות!$E$5),"",IF(H2984-1&lt;הגדרות!$E$8*(הגדרות!$E$7+1),INT((H2984-1)/(הגדרות!$E$7+1)),הגדרות!$E$8+INT((H2984-1-הגדרות!$E$8*(הגדרות!$E$7+1))/הגדרות!$E$7)))</f>
        <v/>
      </c>
      <c r="J2984" s="0" t="str">
        <f aca="false">IF(I2984="","",IF(H2984-1&lt;הגדרות!$E$8*(הגדרות!$E$7+1),MOD(H2984-1,הגדרות!$E$7+1),MOD(H2984-1-הגדרות!$E$8*(הגדרות!$E$7+1),הגדרות!$E$7)))</f>
        <v/>
      </c>
      <c r="K2984" s="0" t="str">
        <f aca="false">IF(I2984="","",J2984*הגדרות!$E$6+I2984+1)</f>
        <v/>
      </c>
      <c r="L2984" s="0" t="str">
        <f aca="false">IF(K2984="","",MATCH(K2984,$F$2:$F$5001,0))</f>
        <v/>
      </c>
      <c r="M2984" s="0" t="str">
        <f aca="false">IF(I2984="","",INDEX(הגדרות!$A$2:$A$21,MOD(I2984+הגדרות!$E$9,הגדרות!$E$6)+1))</f>
        <v/>
      </c>
    </row>
    <row r="2985" customFormat="false" ht="15" hidden="false" customHeight="false" outlineLevel="0" collapsed="false">
      <c r="A2985" s="0" t="str">
        <f aca="false">IF('הדבקת לידים'!A2985="","",IF(ISNUMBER('הדבקת לידים'!A2985),IF(הגדרות!$E$2&gt;0,TEXT('הדבקת לידים'!A2985,REPT("0",הגדרות!$E$2)),TEXT('הדבקת לידים'!A2985,"0")),TRIM('הדבקת לידים'!A2985)))</f>
        <v/>
      </c>
      <c r="B2985" s="0" t="str">
        <f aca="false">IF('הדבקת לידים'!B2985="","",IF(ISNUMBER('הדבקת לידים'!B2985),IF(הגדרות!$E$3&gt;0,TEXT('הדבקת לידים'!B2985,REPT("0",הגדרות!$E$3)),TEXT('הדבקת לידים'!B2985,"0")),TRIM('הדבקת לידים'!B2985)))</f>
        <v/>
      </c>
      <c r="C2985" s="0" t="n">
        <f aca="false">IF(OR(A2985&lt;&gt;"",B2985&lt;&gt;""),1,0)</f>
        <v>0</v>
      </c>
      <c r="D2985" s="0" t="str">
        <f aca="false">IF(C2985=1,MOD(ABS(SIN(ROW()*12.9898+'הדבקת לידים'!$F$2*78.233+IFERROR(--RIGHT(A2985,6),LEN(A2985))*0.0137+IFERROR(--RIGHT(B2985,6),LEN(B2985))*0.0071))*43758.5453,1),"")</f>
        <v/>
      </c>
      <c r="E2985" s="0" t="str">
        <f aca="false">IF(C2985=1,INT(MOD(ABS(SIN(D2985*7919.123+ROW()*0.618+'הדבקת לידים'!$F$2*1.3))*43758.5453,1)*1000000)*10000+ROW(),"")</f>
        <v/>
      </c>
      <c r="F2985" s="0" t="str">
        <f aca="false">IF(E2985="","",RANK(E2985,$E$2:$E$5001,1))</f>
        <v/>
      </c>
      <c r="G2985" s="0" t="n">
        <f aca="false">IF(A2985="",0,IF(SUMPRODUCT(--($A$2:$A$5001=A2985))&gt;1,1,0))</f>
        <v>0</v>
      </c>
      <c r="H2985" s="0" t="n">
        <f aca="false">ROW()-1</f>
        <v>2984</v>
      </c>
      <c r="I2985" s="0" t="str">
        <f aca="false">IF(OR(הגדרות!$E$6=0,H2985&gt;הגדרות!$E$5),"",IF(H2985-1&lt;הגדרות!$E$8*(הגדרות!$E$7+1),INT((H2985-1)/(הגדרות!$E$7+1)),הגדרות!$E$8+INT((H2985-1-הגדרות!$E$8*(הגדרות!$E$7+1))/הגדרות!$E$7)))</f>
        <v/>
      </c>
      <c r="J2985" s="0" t="str">
        <f aca="false">IF(I2985="","",IF(H2985-1&lt;הגדרות!$E$8*(הגדרות!$E$7+1),MOD(H2985-1,הגדרות!$E$7+1),MOD(H2985-1-הגדרות!$E$8*(הגדרות!$E$7+1),הגדרות!$E$7)))</f>
        <v/>
      </c>
      <c r="K2985" s="0" t="str">
        <f aca="false">IF(I2985="","",J2985*הגדרות!$E$6+I2985+1)</f>
        <v/>
      </c>
      <c r="L2985" s="0" t="str">
        <f aca="false">IF(K2985="","",MATCH(K2985,$F$2:$F$5001,0))</f>
        <v/>
      </c>
      <c r="M2985" s="0" t="str">
        <f aca="false">IF(I2985="","",INDEX(הגדרות!$A$2:$A$21,MOD(I2985+הגדרות!$E$9,הגדרות!$E$6)+1))</f>
        <v/>
      </c>
    </row>
    <row r="2986" customFormat="false" ht="15" hidden="false" customHeight="false" outlineLevel="0" collapsed="false">
      <c r="A2986" s="0" t="str">
        <f aca="false">IF('הדבקת לידים'!A2986="","",IF(ISNUMBER('הדבקת לידים'!A2986),IF(הגדרות!$E$2&gt;0,TEXT('הדבקת לידים'!A2986,REPT("0",הגדרות!$E$2)),TEXT('הדבקת לידים'!A2986,"0")),TRIM('הדבקת לידים'!A2986)))</f>
        <v/>
      </c>
      <c r="B2986" s="0" t="str">
        <f aca="false">IF('הדבקת לידים'!B2986="","",IF(ISNUMBER('הדבקת לידים'!B2986),IF(הגדרות!$E$3&gt;0,TEXT('הדבקת לידים'!B2986,REPT("0",הגדרות!$E$3)),TEXT('הדבקת לידים'!B2986,"0")),TRIM('הדבקת לידים'!B2986)))</f>
        <v/>
      </c>
      <c r="C2986" s="0" t="n">
        <f aca="false">IF(OR(A2986&lt;&gt;"",B2986&lt;&gt;""),1,0)</f>
        <v>0</v>
      </c>
      <c r="D2986" s="0" t="str">
        <f aca="false">IF(C2986=1,MOD(ABS(SIN(ROW()*12.9898+'הדבקת לידים'!$F$2*78.233+IFERROR(--RIGHT(A2986,6),LEN(A2986))*0.0137+IFERROR(--RIGHT(B2986,6),LEN(B2986))*0.0071))*43758.5453,1),"")</f>
        <v/>
      </c>
      <c r="E2986" s="0" t="str">
        <f aca="false">IF(C2986=1,INT(MOD(ABS(SIN(D2986*7919.123+ROW()*0.618+'הדבקת לידים'!$F$2*1.3))*43758.5453,1)*1000000)*10000+ROW(),"")</f>
        <v/>
      </c>
      <c r="F2986" s="0" t="str">
        <f aca="false">IF(E2986="","",RANK(E2986,$E$2:$E$5001,1))</f>
        <v/>
      </c>
      <c r="G2986" s="0" t="n">
        <f aca="false">IF(A2986="",0,IF(SUMPRODUCT(--($A$2:$A$5001=A2986))&gt;1,1,0))</f>
        <v>0</v>
      </c>
      <c r="H2986" s="0" t="n">
        <f aca="false">ROW()-1</f>
        <v>2985</v>
      </c>
      <c r="I2986" s="0" t="str">
        <f aca="false">IF(OR(הגדרות!$E$6=0,H2986&gt;הגדרות!$E$5),"",IF(H2986-1&lt;הגדרות!$E$8*(הגדרות!$E$7+1),INT((H2986-1)/(הגדרות!$E$7+1)),הגדרות!$E$8+INT((H2986-1-הגדרות!$E$8*(הגדרות!$E$7+1))/הגדרות!$E$7)))</f>
        <v/>
      </c>
      <c r="J2986" s="0" t="str">
        <f aca="false">IF(I2986="","",IF(H2986-1&lt;הגדרות!$E$8*(הגדרות!$E$7+1),MOD(H2986-1,הגדרות!$E$7+1),MOD(H2986-1-הגדרות!$E$8*(הגדרות!$E$7+1),הגדרות!$E$7)))</f>
        <v/>
      </c>
      <c r="K2986" s="0" t="str">
        <f aca="false">IF(I2986="","",J2986*הגדרות!$E$6+I2986+1)</f>
        <v/>
      </c>
      <c r="L2986" s="0" t="str">
        <f aca="false">IF(K2986="","",MATCH(K2986,$F$2:$F$5001,0))</f>
        <v/>
      </c>
      <c r="M2986" s="0" t="str">
        <f aca="false">IF(I2986="","",INDEX(הגדרות!$A$2:$A$21,MOD(I2986+הגדרות!$E$9,הגדרות!$E$6)+1))</f>
        <v/>
      </c>
    </row>
    <row r="2987" customFormat="false" ht="15" hidden="false" customHeight="false" outlineLevel="0" collapsed="false">
      <c r="A2987" s="0" t="str">
        <f aca="false">IF('הדבקת לידים'!A2987="","",IF(ISNUMBER('הדבקת לידים'!A2987),IF(הגדרות!$E$2&gt;0,TEXT('הדבקת לידים'!A2987,REPT("0",הגדרות!$E$2)),TEXT('הדבקת לידים'!A2987,"0")),TRIM('הדבקת לידים'!A2987)))</f>
        <v/>
      </c>
      <c r="B2987" s="0" t="str">
        <f aca="false">IF('הדבקת לידים'!B2987="","",IF(ISNUMBER('הדבקת לידים'!B2987),IF(הגדרות!$E$3&gt;0,TEXT('הדבקת לידים'!B2987,REPT("0",הגדרות!$E$3)),TEXT('הדבקת לידים'!B2987,"0")),TRIM('הדבקת לידים'!B2987)))</f>
        <v/>
      </c>
      <c r="C2987" s="0" t="n">
        <f aca="false">IF(OR(A2987&lt;&gt;"",B2987&lt;&gt;""),1,0)</f>
        <v>0</v>
      </c>
      <c r="D2987" s="0" t="str">
        <f aca="false">IF(C2987=1,MOD(ABS(SIN(ROW()*12.9898+'הדבקת לידים'!$F$2*78.233+IFERROR(--RIGHT(A2987,6),LEN(A2987))*0.0137+IFERROR(--RIGHT(B2987,6),LEN(B2987))*0.0071))*43758.5453,1),"")</f>
        <v/>
      </c>
      <c r="E2987" s="0" t="str">
        <f aca="false">IF(C2987=1,INT(MOD(ABS(SIN(D2987*7919.123+ROW()*0.618+'הדבקת לידים'!$F$2*1.3))*43758.5453,1)*1000000)*10000+ROW(),"")</f>
        <v/>
      </c>
      <c r="F2987" s="0" t="str">
        <f aca="false">IF(E2987="","",RANK(E2987,$E$2:$E$5001,1))</f>
        <v/>
      </c>
      <c r="G2987" s="0" t="n">
        <f aca="false">IF(A2987="",0,IF(SUMPRODUCT(--($A$2:$A$5001=A2987))&gt;1,1,0))</f>
        <v>0</v>
      </c>
      <c r="H2987" s="0" t="n">
        <f aca="false">ROW()-1</f>
        <v>2986</v>
      </c>
      <c r="I2987" s="0" t="str">
        <f aca="false">IF(OR(הגדרות!$E$6=0,H2987&gt;הגדרות!$E$5),"",IF(H2987-1&lt;הגדרות!$E$8*(הגדרות!$E$7+1),INT((H2987-1)/(הגדרות!$E$7+1)),הגדרות!$E$8+INT((H2987-1-הגדרות!$E$8*(הגדרות!$E$7+1))/הגדרות!$E$7)))</f>
        <v/>
      </c>
      <c r="J2987" s="0" t="str">
        <f aca="false">IF(I2987="","",IF(H2987-1&lt;הגדרות!$E$8*(הגדרות!$E$7+1),MOD(H2987-1,הגדרות!$E$7+1),MOD(H2987-1-הגדרות!$E$8*(הגדרות!$E$7+1),הגדרות!$E$7)))</f>
        <v/>
      </c>
      <c r="K2987" s="0" t="str">
        <f aca="false">IF(I2987="","",J2987*הגדרות!$E$6+I2987+1)</f>
        <v/>
      </c>
      <c r="L2987" s="0" t="str">
        <f aca="false">IF(K2987="","",MATCH(K2987,$F$2:$F$5001,0))</f>
        <v/>
      </c>
      <c r="M2987" s="0" t="str">
        <f aca="false">IF(I2987="","",INDEX(הגדרות!$A$2:$A$21,MOD(I2987+הגדרות!$E$9,הגדרות!$E$6)+1))</f>
        <v/>
      </c>
    </row>
    <row r="2988" customFormat="false" ht="15" hidden="false" customHeight="false" outlineLevel="0" collapsed="false">
      <c r="A2988" s="0" t="str">
        <f aca="false">IF('הדבקת לידים'!A2988="","",IF(ISNUMBER('הדבקת לידים'!A2988),IF(הגדרות!$E$2&gt;0,TEXT('הדבקת לידים'!A2988,REPT("0",הגדרות!$E$2)),TEXT('הדבקת לידים'!A2988,"0")),TRIM('הדבקת לידים'!A2988)))</f>
        <v/>
      </c>
      <c r="B2988" s="0" t="str">
        <f aca="false">IF('הדבקת לידים'!B2988="","",IF(ISNUMBER('הדבקת לידים'!B2988),IF(הגדרות!$E$3&gt;0,TEXT('הדבקת לידים'!B2988,REPT("0",הגדרות!$E$3)),TEXT('הדבקת לידים'!B2988,"0")),TRIM('הדבקת לידים'!B2988)))</f>
        <v/>
      </c>
      <c r="C2988" s="0" t="n">
        <f aca="false">IF(OR(A2988&lt;&gt;"",B2988&lt;&gt;""),1,0)</f>
        <v>0</v>
      </c>
      <c r="D2988" s="0" t="str">
        <f aca="false">IF(C2988=1,MOD(ABS(SIN(ROW()*12.9898+'הדבקת לידים'!$F$2*78.233+IFERROR(--RIGHT(A2988,6),LEN(A2988))*0.0137+IFERROR(--RIGHT(B2988,6),LEN(B2988))*0.0071))*43758.5453,1),"")</f>
        <v/>
      </c>
      <c r="E2988" s="0" t="str">
        <f aca="false">IF(C2988=1,INT(MOD(ABS(SIN(D2988*7919.123+ROW()*0.618+'הדבקת לידים'!$F$2*1.3))*43758.5453,1)*1000000)*10000+ROW(),"")</f>
        <v/>
      </c>
      <c r="F2988" s="0" t="str">
        <f aca="false">IF(E2988="","",RANK(E2988,$E$2:$E$5001,1))</f>
        <v/>
      </c>
      <c r="G2988" s="0" t="n">
        <f aca="false">IF(A2988="",0,IF(SUMPRODUCT(--($A$2:$A$5001=A2988))&gt;1,1,0))</f>
        <v>0</v>
      </c>
      <c r="H2988" s="0" t="n">
        <f aca="false">ROW()-1</f>
        <v>2987</v>
      </c>
      <c r="I2988" s="0" t="str">
        <f aca="false">IF(OR(הגדרות!$E$6=0,H2988&gt;הגדרות!$E$5),"",IF(H2988-1&lt;הגדרות!$E$8*(הגדרות!$E$7+1),INT((H2988-1)/(הגדרות!$E$7+1)),הגדרות!$E$8+INT((H2988-1-הגדרות!$E$8*(הגדרות!$E$7+1))/הגדרות!$E$7)))</f>
        <v/>
      </c>
      <c r="J2988" s="0" t="str">
        <f aca="false">IF(I2988="","",IF(H2988-1&lt;הגדרות!$E$8*(הגדרות!$E$7+1),MOD(H2988-1,הגדרות!$E$7+1),MOD(H2988-1-הגדרות!$E$8*(הגדרות!$E$7+1),הגדרות!$E$7)))</f>
        <v/>
      </c>
      <c r="K2988" s="0" t="str">
        <f aca="false">IF(I2988="","",J2988*הגדרות!$E$6+I2988+1)</f>
        <v/>
      </c>
      <c r="L2988" s="0" t="str">
        <f aca="false">IF(K2988="","",MATCH(K2988,$F$2:$F$5001,0))</f>
        <v/>
      </c>
      <c r="M2988" s="0" t="str">
        <f aca="false">IF(I2988="","",INDEX(הגדרות!$A$2:$A$21,MOD(I2988+הגדרות!$E$9,הגדרות!$E$6)+1))</f>
        <v/>
      </c>
    </row>
    <row r="2989" customFormat="false" ht="15" hidden="false" customHeight="false" outlineLevel="0" collapsed="false">
      <c r="A2989" s="0" t="str">
        <f aca="false">IF('הדבקת לידים'!A2989="","",IF(ISNUMBER('הדבקת לידים'!A2989),IF(הגדרות!$E$2&gt;0,TEXT('הדבקת לידים'!A2989,REPT("0",הגדרות!$E$2)),TEXT('הדבקת לידים'!A2989,"0")),TRIM('הדבקת לידים'!A2989)))</f>
        <v/>
      </c>
      <c r="B2989" s="0" t="str">
        <f aca="false">IF('הדבקת לידים'!B2989="","",IF(ISNUMBER('הדבקת לידים'!B2989),IF(הגדרות!$E$3&gt;0,TEXT('הדבקת לידים'!B2989,REPT("0",הגדרות!$E$3)),TEXT('הדבקת לידים'!B2989,"0")),TRIM('הדבקת לידים'!B2989)))</f>
        <v/>
      </c>
      <c r="C2989" s="0" t="n">
        <f aca="false">IF(OR(A2989&lt;&gt;"",B2989&lt;&gt;""),1,0)</f>
        <v>0</v>
      </c>
      <c r="D2989" s="0" t="str">
        <f aca="false">IF(C2989=1,MOD(ABS(SIN(ROW()*12.9898+'הדבקת לידים'!$F$2*78.233+IFERROR(--RIGHT(A2989,6),LEN(A2989))*0.0137+IFERROR(--RIGHT(B2989,6),LEN(B2989))*0.0071))*43758.5453,1),"")</f>
        <v/>
      </c>
      <c r="E2989" s="0" t="str">
        <f aca="false">IF(C2989=1,INT(MOD(ABS(SIN(D2989*7919.123+ROW()*0.618+'הדבקת לידים'!$F$2*1.3))*43758.5453,1)*1000000)*10000+ROW(),"")</f>
        <v/>
      </c>
      <c r="F2989" s="0" t="str">
        <f aca="false">IF(E2989="","",RANK(E2989,$E$2:$E$5001,1))</f>
        <v/>
      </c>
      <c r="G2989" s="0" t="n">
        <f aca="false">IF(A2989="",0,IF(SUMPRODUCT(--($A$2:$A$5001=A2989))&gt;1,1,0))</f>
        <v>0</v>
      </c>
      <c r="H2989" s="0" t="n">
        <f aca="false">ROW()-1</f>
        <v>2988</v>
      </c>
      <c r="I2989" s="0" t="str">
        <f aca="false">IF(OR(הגדרות!$E$6=0,H2989&gt;הגדרות!$E$5),"",IF(H2989-1&lt;הגדרות!$E$8*(הגדרות!$E$7+1),INT((H2989-1)/(הגדרות!$E$7+1)),הגדרות!$E$8+INT((H2989-1-הגדרות!$E$8*(הגדרות!$E$7+1))/הגדרות!$E$7)))</f>
        <v/>
      </c>
      <c r="J2989" s="0" t="str">
        <f aca="false">IF(I2989="","",IF(H2989-1&lt;הגדרות!$E$8*(הגדרות!$E$7+1),MOD(H2989-1,הגדרות!$E$7+1),MOD(H2989-1-הגדרות!$E$8*(הגדרות!$E$7+1),הגדרות!$E$7)))</f>
        <v/>
      </c>
      <c r="K2989" s="0" t="str">
        <f aca="false">IF(I2989="","",J2989*הגדרות!$E$6+I2989+1)</f>
        <v/>
      </c>
      <c r="L2989" s="0" t="str">
        <f aca="false">IF(K2989="","",MATCH(K2989,$F$2:$F$5001,0))</f>
        <v/>
      </c>
      <c r="M2989" s="0" t="str">
        <f aca="false">IF(I2989="","",INDEX(הגדרות!$A$2:$A$21,MOD(I2989+הגדרות!$E$9,הגדרות!$E$6)+1))</f>
        <v/>
      </c>
    </row>
    <row r="2990" customFormat="false" ht="15" hidden="false" customHeight="false" outlineLevel="0" collapsed="false">
      <c r="A2990" s="0" t="str">
        <f aca="false">IF('הדבקת לידים'!A2990="","",IF(ISNUMBER('הדבקת לידים'!A2990),IF(הגדרות!$E$2&gt;0,TEXT('הדבקת לידים'!A2990,REPT("0",הגדרות!$E$2)),TEXT('הדבקת לידים'!A2990,"0")),TRIM('הדבקת לידים'!A2990)))</f>
        <v/>
      </c>
      <c r="B2990" s="0" t="str">
        <f aca="false">IF('הדבקת לידים'!B2990="","",IF(ISNUMBER('הדבקת לידים'!B2990),IF(הגדרות!$E$3&gt;0,TEXT('הדבקת לידים'!B2990,REPT("0",הגדרות!$E$3)),TEXT('הדבקת לידים'!B2990,"0")),TRIM('הדבקת לידים'!B2990)))</f>
        <v/>
      </c>
      <c r="C2990" s="0" t="n">
        <f aca="false">IF(OR(A2990&lt;&gt;"",B2990&lt;&gt;""),1,0)</f>
        <v>0</v>
      </c>
      <c r="D2990" s="0" t="str">
        <f aca="false">IF(C2990=1,MOD(ABS(SIN(ROW()*12.9898+'הדבקת לידים'!$F$2*78.233+IFERROR(--RIGHT(A2990,6),LEN(A2990))*0.0137+IFERROR(--RIGHT(B2990,6),LEN(B2990))*0.0071))*43758.5453,1),"")</f>
        <v/>
      </c>
      <c r="E2990" s="0" t="str">
        <f aca="false">IF(C2990=1,INT(MOD(ABS(SIN(D2990*7919.123+ROW()*0.618+'הדבקת לידים'!$F$2*1.3))*43758.5453,1)*1000000)*10000+ROW(),"")</f>
        <v/>
      </c>
      <c r="F2990" s="0" t="str">
        <f aca="false">IF(E2990="","",RANK(E2990,$E$2:$E$5001,1))</f>
        <v/>
      </c>
      <c r="G2990" s="0" t="n">
        <f aca="false">IF(A2990="",0,IF(SUMPRODUCT(--($A$2:$A$5001=A2990))&gt;1,1,0))</f>
        <v>0</v>
      </c>
      <c r="H2990" s="0" t="n">
        <f aca="false">ROW()-1</f>
        <v>2989</v>
      </c>
      <c r="I2990" s="0" t="str">
        <f aca="false">IF(OR(הגדרות!$E$6=0,H2990&gt;הגדרות!$E$5),"",IF(H2990-1&lt;הגדרות!$E$8*(הגדרות!$E$7+1),INT((H2990-1)/(הגדרות!$E$7+1)),הגדרות!$E$8+INT((H2990-1-הגדרות!$E$8*(הגדרות!$E$7+1))/הגדרות!$E$7)))</f>
        <v/>
      </c>
      <c r="J2990" s="0" t="str">
        <f aca="false">IF(I2990="","",IF(H2990-1&lt;הגדרות!$E$8*(הגדרות!$E$7+1),MOD(H2990-1,הגדרות!$E$7+1),MOD(H2990-1-הגדרות!$E$8*(הגדרות!$E$7+1),הגדרות!$E$7)))</f>
        <v/>
      </c>
      <c r="K2990" s="0" t="str">
        <f aca="false">IF(I2990="","",J2990*הגדרות!$E$6+I2990+1)</f>
        <v/>
      </c>
      <c r="L2990" s="0" t="str">
        <f aca="false">IF(K2990="","",MATCH(K2990,$F$2:$F$5001,0))</f>
        <v/>
      </c>
      <c r="M2990" s="0" t="str">
        <f aca="false">IF(I2990="","",INDEX(הגדרות!$A$2:$A$21,MOD(I2990+הגדרות!$E$9,הגדרות!$E$6)+1))</f>
        <v/>
      </c>
    </row>
    <row r="2991" customFormat="false" ht="15" hidden="false" customHeight="false" outlineLevel="0" collapsed="false">
      <c r="A2991" s="0" t="str">
        <f aca="false">IF('הדבקת לידים'!A2991="","",IF(ISNUMBER('הדבקת לידים'!A2991),IF(הגדרות!$E$2&gt;0,TEXT('הדבקת לידים'!A2991,REPT("0",הגדרות!$E$2)),TEXT('הדבקת לידים'!A2991,"0")),TRIM('הדבקת לידים'!A2991)))</f>
        <v/>
      </c>
      <c r="B2991" s="0" t="str">
        <f aca="false">IF('הדבקת לידים'!B2991="","",IF(ISNUMBER('הדבקת לידים'!B2991),IF(הגדרות!$E$3&gt;0,TEXT('הדבקת לידים'!B2991,REPT("0",הגדרות!$E$3)),TEXT('הדבקת לידים'!B2991,"0")),TRIM('הדבקת לידים'!B2991)))</f>
        <v/>
      </c>
      <c r="C2991" s="0" t="n">
        <f aca="false">IF(OR(A2991&lt;&gt;"",B2991&lt;&gt;""),1,0)</f>
        <v>0</v>
      </c>
      <c r="D2991" s="0" t="str">
        <f aca="false">IF(C2991=1,MOD(ABS(SIN(ROW()*12.9898+'הדבקת לידים'!$F$2*78.233+IFERROR(--RIGHT(A2991,6),LEN(A2991))*0.0137+IFERROR(--RIGHT(B2991,6),LEN(B2991))*0.0071))*43758.5453,1),"")</f>
        <v/>
      </c>
      <c r="E2991" s="0" t="str">
        <f aca="false">IF(C2991=1,INT(MOD(ABS(SIN(D2991*7919.123+ROW()*0.618+'הדבקת לידים'!$F$2*1.3))*43758.5453,1)*1000000)*10000+ROW(),"")</f>
        <v/>
      </c>
      <c r="F2991" s="0" t="str">
        <f aca="false">IF(E2991="","",RANK(E2991,$E$2:$E$5001,1))</f>
        <v/>
      </c>
      <c r="G2991" s="0" t="n">
        <f aca="false">IF(A2991="",0,IF(SUMPRODUCT(--($A$2:$A$5001=A2991))&gt;1,1,0))</f>
        <v>0</v>
      </c>
      <c r="H2991" s="0" t="n">
        <f aca="false">ROW()-1</f>
        <v>2990</v>
      </c>
      <c r="I2991" s="0" t="str">
        <f aca="false">IF(OR(הגדרות!$E$6=0,H2991&gt;הגדרות!$E$5),"",IF(H2991-1&lt;הגדרות!$E$8*(הגדרות!$E$7+1),INT((H2991-1)/(הגדרות!$E$7+1)),הגדרות!$E$8+INT((H2991-1-הגדרות!$E$8*(הגדרות!$E$7+1))/הגדרות!$E$7)))</f>
        <v/>
      </c>
      <c r="J2991" s="0" t="str">
        <f aca="false">IF(I2991="","",IF(H2991-1&lt;הגדרות!$E$8*(הגדרות!$E$7+1),MOD(H2991-1,הגדרות!$E$7+1),MOD(H2991-1-הגדרות!$E$8*(הגדרות!$E$7+1),הגדרות!$E$7)))</f>
        <v/>
      </c>
      <c r="K2991" s="0" t="str">
        <f aca="false">IF(I2991="","",J2991*הגדרות!$E$6+I2991+1)</f>
        <v/>
      </c>
      <c r="L2991" s="0" t="str">
        <f aca="false">IF(K2991="","",MATCH(K2991,$F$2:$F$5001,0))</f>
        <v/>
      </c>
      <c r="M2991" s="0" t="str">
        <f aca="false">IF(I2991="","",INDEX(הגדרות!$A$2:$A$21,MOD(I2991+הגדרות!$E$9,הגדרות!$E$6)+1))</f>
        <v/>
      </c>
    </row>
    <row r="2992" customFormat="false" ht="15" hidden="false" customHeight="false" outlineLevel="0" collapsed="false">
      <c r="A2992" s="0" t="str">
        <f aca="false">IF('הדבקת לידים'!A2992="","",IF(ISNUMBER('הדבקת לידים'!A2992),IF(הגדרות!$E$2&gt;0,TEXT('הדבקת לידים'!A2992,REPT("0",הגדרות!$E$2)),TEXT('הדבקת לידים'!A2992,"0")),TRIM('הדבקת לידים'!A2992)))</f>
        <v/>
      </c>
      <c r="B2992" s="0" t="str">
        <f aca="false">IF('הדבקת לידים'!B2992="","",IF(ISNUMBER('הדבקת לידים'!B2992),IF(הגדרות!$E$3&gt;0,TEXT('הדבקת לידים'!B2992,REPT("0",הגדרות!$E$3)),TEXT('הדבקת לידים'!B2992,"0")),TRIM('הדבקת לידים'!B2992)))</f>
        <v/>
      </c>
      <c r="C2992" s="0" t="n">
        <f aca="false">IF(OR(A2992&lt;&gt;"",B2992&lt;&gt;""),1,0)</f>
        <v>0</v>
      </c>
      <c r="D2992" s="0" t="str">
        <f aca="false">IF(C2992=1,MOD(ABS(SIN(ROW()*12.9898+'הדבקת לידים'!$F$2*78.233+IFERROR(--RIGHT(A2992,6),LEN(A2992))*0.0137+IFERROR(--RIGHT(B2992,6),LEN(B2992))*0.0071))*43758.5453,1),"")</f>
        <v/>
      </c>
      <c r="E2992" s="0" t="str">
        <f aca="false">IF(C2992=1,INT(MOD(ABS(SIN(D2992*7919.123+ROW()*0.618+'הדבקת לידים'!$F$2*1.3))*43758.5453,1)*1000000)*10000+ROW(),"")</f>
        <v/>
      </c>
      <c r="F2992" s="0" t="str">
        <f aca="false">IF(E2992="","",RANK(E2992,$E$2:$E$5001,1))</f>
        <v/>
      </c>
      <c r="G2992" s="0" t="n">
        <f aca="false">IF(A2992="",0,IF(SUMPRODUCT(--($A$2:$A$5001=A2992))&gt;1,1,0))</f>
        <v>0</v>
      </c>
      <c r="H2992" s="0" t="n">
        <f aca="false">ROW()-1</f>
        <v>2991</v>
      </c>
      <c r="I2992" s="0" t="str">
        <f aca="false">IF(OR(הגדרות!$E$6=0,H2992&gt;הגדרות!$E$5),"",IF(H2992-1&lt;הגדרות!$E$8*(הגדרות!$E$7+1),INT((H2992-1)/(הגדרות!$E$7+1)),הגדרות!$E$8+INT((H2992-1-הגדרות!$E$8*(הגדרות!$E$7+1))/הגדרות!$E$7)))</f>
        <v/>
      </c>
      <c r="J2992" s="0" t="str">
        <f aca="false">IF(I2992="","",IF(H2992-1&lt;הגדרות!$E$8*(הגדרות!$E$7+1),MOD(H2992-1,הגדרות!$E$7+1),MOD(H2992-1-הגדרות!$E$8*(הגדרות!$E$7+1),הגדרות!$E$7)))</f>
        <v/>
      </c>
      <c r="K2992" s="0" t="str">
        <f aca="false">IF(I2992="","",J2992*הגדרות!$E$6+I2992+1)</f>
        <v/>
      </c>
      <c r="L2992" s="0" t="str">
        <f aca="false">IF(K2992="","",MATCH(K2992,$F$2:$F$5001,0))</f>
        <v/>
      </c>
      <c r="M2992" s="0" t="str">
        <f aca="false">IF(I2992="","",INDEX(הגדרות!$A$2:$A$21,MOD(I2992+הגדרות!$E$9,הגדרות!$E$6)+1))</f>
        <v/>
      </c>
    </row>
    <row r="2993" customFormat="false" ht="15" hidden="false" customHeight="false" outlineLevel="0" collapsed="false">
      <c r="A2993" s="0" t="str">
        <f aca="false">IF('הדבקת לידים'!A2993="","",IF(ISNUMBER('הדבקת לידים'!A2993),IF(הגדרות!$E$2&gt;0,TEXT('הדבקת לידים'!A2993,REPT("0",הגדרות!$E$2)),TEXT('הדבקת לידים'!A2993,"0")),TRIM('הדבקת לידים'!A2993)))</f>
        <v/>
      </c>
      <c r="B2993" s="0" t="str">
        <f aca="false">IF('הדבקת לידים'!B2993="","",IF(ISNUMBER('הדבקת לידים'!B2993),IF(הגדרות!$E$3&gt;0,TEXT('הדבקת לידים'!B2993,REPT("0",הגדרות!$E$3)),TEXT('הדבקת לידים'!B2993,"0")),TRIM('הדבקת לידים'!B2993)))</f>
        <v/>
      </c>
      <c r="C2993" s="0" t="n">
        <f aca="false">IF(OR(A2993&lt;&gt;"",B2993&lt;&gt;""),1,0)</f>
        <v>0</v>
      </c>
      <c r="D2993" s="0" t="str">
        <f aca="false">IF(C2993=1,MOD(ABS(SIN(ROW()*12.9898+'הדבקת לידים'!$F$2*78.233+IFERROR(--RIGHT(A2993,6),LEN(A2993))*0.0137+IFERROR(--RIGHT(B2993,6),LEN(B2993))*0.0071))*43758.5453,1),"")</f>
        <v/>
      </c>
      <c r="E2993" s="0" t="str">
        <f aca="false">IF(C2993=1,INT(MOD(ABS(SIN(D2993*7919.123+ROW()*0.618+'הדבקת לידים'!$F$2*1.3))*43758.5453,1)*1000000)*10000+ROW(),"")</f>
        <v/>
      </c>
      <c r="F2993" s="0" t="str">
        <f aca="false">IF(E2993="","",RANK(E2993,$E$2:$E$5001,1))</f>
        <v/>
      </c>
      <c r="G2993" s="0" t="n">
        <f aca="false">IF(A2993="",0,IF(SUMPRODUCT(--($A$2:$A$5001=A2993))&gt;1,1,0))</f>
        <v>0</v>
      </c>
      <c r="H2993" s="0" t="n">
        <f aca="false">ROW()-1</f>
        <v>2992</v>
      </c>
      <c r="I2993" s="0" t="str">
        <f aca="false">IF(OR(הגדרות!$E$6=0,H2993&gt;הגדרות!$E$5),"",IF(H2993-1&lt;הגדרות!$E$8*(הגדרות!$E$7+1),INT((H2993-1)/(הגדרות!$E$7+1)),הגדרות!$E$8+INT((H2993-1-הגדרות!$E$8*(הגדרות!$E$7+1))/הגדרות!$E$7)))</f>
        <v/>
      </c>
      <c r="J2993" s="0" t="str">
        <f aca="false">IF(I2993="","",IF(H2993-1&lt;הגדרות!$E$8*(הגדרות!$E$7+1),MOD(H2993-1,הגדרות!$E$7+1),MOD(H2993-1-הגדרות!$E$8*(הגדרות!$E$7+1),הגדרות!$E$7)))</f>
        <v/>
      </c>
      <c r="K2993" s="0" t="str">
        <f aca="false">IF(I2993="","",J2993*הגדרות!$E$6+I2993+1)</f>
        <v/>
      </c>
      <c r="L2993" s="0" t="str">
        <f aca="false">IF(K2993="","",MATCH(K2993,$F$2:$F$5001,0))</f>
        <v/>
      </c>
      <c r="M2993" s="0" t="str">
        <f aca="false">IF(I2993="","",INDEX(הגדרות!$A$2:$A$21,MOD(I2993+הגדרות!$E$9,הגדרות!$E$6)+1))</f>
        <v/>
      </c>
    </row>
    <row r="2994" customFormat="false" ht="15" hidden="false" customHeight="false" outlineLevel="0" collapsed="false">
      <c r="A2994" s="0" t="str">
        <f aca="false">IF('הדבקת לידים'!A2994="","",IF(ISNUMBER('הדבקת לידים'!A2994),IF(הגדרות!$E$2&gt;0,TEXT('הדבקת לידים'!A2994,REPT("0",הגדרות!$E$2)),TEXT('הדבקת לידים'!A2994,"0")),TRIM('הדבקת לידים'!A2994)))</f>
        <v/>
      </c>
      <c r="B2994" s="0" t="str">
        <f aca="false">IF('הדבקת לידים'!B2994="","",IF(ISNUMBER('הדבקת לידים'!B2994),IF(הגדרות!$E$3&gt;0,TEXT('הדבקת לידים'!B2994,REPT("0",הגדרות!$E$3)),TEXT('הדבקת לידים'!B2994,"0")),TRIM('הדבקת לידים'!B2994)))</f>
        <v/>
      </c>
      <c r="C2994" s="0" t="n">
        <f aca="false">IF(OR(A2994&lt;&gt;"",B2994&lt;&gt;""),1,0)</f>
        <v>0</v>
      </c>
      <c r="D2994" s="0" t="str">
        <f aca="false">IF(C2994=1,MOD(ABS(SIN(ROW()*12.9898+'הדבקת לידים'!$F$2*78.233+IFERROR(--RIGHT(A2994,6),LEN(A2994))*0.0137+IFERROR(--RIGHT(B2994,6),LEN(B2994))*0.0071))*43758.5453,1),"")</f>
        <v/>
      </c>
      <c r="E2994" s="0" t="str">
        <f aca="false">IF(C2994=1,INT(MOD(ABS(SIN(D2994*7919.123+ROW()*0.618+'הדבקת לידים'!$F$2*1.3))*43758.5453,1)*1000000)*10000+ROW(),"")</f>
        <v/>
      </c>
      <c r="F2994" s="0" t="str">
        <f aca="false">IF(E2994="","",RANK(E2994,$E$2:$E$5001,1))</f>
        <v/>
      </c>
      <c r="G2994" s="0" t="n">
        <f aca="false">IF(A2994="",0,IF(SUMPRODUCT(--($A$2:$A$5001=A2994))&gt;1,1,0))</f>
        <v>0</v>
      </c>
      <c r="H2994" s="0" t="n">
        <f aca="false">ROW()-1</f>
        <v>2993</v>
      </c>
      <c r="I2994" s="0" t="str">
        <f aca="false">IF(OR(הגדרות!$E$6=0,H2994&gt;הגדרות!$E$5),"",IF(H2994-1&lt;הגדרות!$E$8*(הגדרות!$E$7+1),INT((H2994-1)/(הגדרות!$E$7+1)),הגדרות!$E$8+INT((H2994-1-הגדרות!$E$8*(הגדרות!$E$7+1))/הגדרות!$E$7)))</f>
        <v/>
      </c>
      <c r="J2994" s="0" t="str">
        <f aca="false">IF(I2994="","",IF(H2994-1&lt;הגדרות!$E$8*(הגדרות!$E$7+1),MOD(H2994-1,הגדרות!$E$7+1),MOD(H2994-1-הגדרות!$E$8*(הגדרות!$E$7+1),הגדרות!$E$7)))</f>
        <v/>
      </c>
      <c r="K2994" s="0" t="str">
        <f aca="false">IF(I2994="","",J2994*הגדרות!$E$6+I2994+1)</f>
        <v/>
      </c>
      <c r="L2994" s="0" t="str">
        <f aca="false">IF(K2994="","",MATCH(K2994,$F$2:$F$5001,0))</f>
        <v/>
      </c>
      <c r="M2994" s="0" t="str">
        <f aca="false">IF(I2994="","",INDEX(הגדרות!$A$2:$A$21,MOD(I2994+הגדרות!$E$9,הגדרות!$E$6)+1))</f>
        <v/>
      </c>
    </row>
    <row r="2995" customFormat="false" ht="15" hidden="false" customHeight="false" outlineLevel="0" collapsed="false">
      <c r="A2995" s="0" t="str">
        <f aca="false">IF('הדבקת לידים'!A2995="","",IF(ISNUMBER('הדבקת לידים'!A2995),IF(הגדרות!$E$2&gt;0,TEXT('הדבקת לידים'!A2995,REPT("0",הגדרות!$E$2)),TEXT('הדבקת לידים'!A2995,"0")),TRIM('הדבקת לידים'!A2995)))</f>
        <v/>
      </c>
      <c r="B2995" s="0" t="str">
        <f aca="false">IF('הדבקת לידים'!B2995="","",IF(ISNUMBER('הדבקת לידים'!B2995),IF(הגדרות!$E$3&gt;0,TEXT('הדבקת לידים'!B2995,REPT("0",הגדרות!$E$3)),TEXT('הדבקת לידים'!B2995,"0")),TRIM('הדבקת לידים'!B2995)))</f>
        <v/>
      </c>
      <c r="C2995" s="0" t="n">
        <f aca="false">IF(OR(A2995&lt;&gt;"",B2995&lt;&gt;""),1,0)</f>
        <v>0</v>
      </c>
      <c r="D2995" s="0" t="str">
        <f aca="false">IF(C2995=1,MOD(ABS(SIN(ROW()*12.9898+'הדבקת לידים'!$F$2*78.233+IFERROR(--RIGHT(A2995,6),LEN(A2995))*0.0137+IFERROR(--RIGHT(B2995,6),LEN(B2995))*0.0071))*43758.5453,1),"")</f>
        <v/>
      </c>
      <c r="E2995" s="0" t="str">
        <f aca="false">IF(C2995=1,INT(MOD(ABS(SIN(D2995*7919.123+ROW()*0.618+'הדבקת לידים'!$F$2*1.3))*43758.5453,1)*1000000)*10000+ROW(),"")</f>
        <v/>
      </c>
      <c r="F2995" s="0" t="str">
        <f aca="false">IF(E2995="","",RANK(E2995,$E$2:$E$5001,1))</f>
        <v/>
      </c>
      <c r="G2995" s="0" t="n">
        <f aca="false">IF(A2995="",0,IF(SUMPRODUCT(--($A$2:$A$5001=A2995))&gt;1,1,0))</f>
        <v>0</v>
      </c>
      <c r="H2995" s="0" t="n">
        <f aca="false">ROW()-1</f>
        <v>2994</v>
      </c>
      <c r="I2995" s="0" t="str">
        <f aca="false">IF(OR(הגדרות!$E$6=0,H2995&gt;הגדרות!$E$5),"",IF(H2995-1&lt;הגדרות!$E$8*(הגדרות!$E$7+1),INT((H2995-1)/(הגדרות!$E$7+1)),הגדרות!$E$8+INT((H2995-1-הגדרות!$E$8*(הגדרות!$E$7+1))/הגדרות!$E$7)))</f>
        <v/>
      </c>
      <c r="J2995" s="0" t="str">
        <f aca="false">IF(I2995="","",IF(H2995-1&lt;הגדרות!$E$8*(הגדרות!$E$7+1),MOD(H2995-1,הגדרות!$E$7+1),MOD(H2995-1-הגדרות!$E$8*(הגדרות!$E$7+1),הגדרות!$E$7)))</f>
        <v/>
      </c>
      <c r="K2995" s="0" t="str">
        <f aca="false">IF(I2995="","",J2995*הגדרות!$E$6+I2995+1)</f>
        <v/>
      </c>
      <c r="L2995" s="0" t="str">
        <f aca="false">IF(K2995="","",MATCH(K2995,$F$2:$F$5001,0))</f>
        <v/>
      </c>
      <c r="M2995" s="0" t="str">
        <f aca="false">IF(I2995="","",INDEX(הגדרות!$A$2:$A$21,MOD(I2995+הגדרות!$E$9,הגדרות!$E$6)+1))</f>
        <v/>
      </c>
    </row>
    <row r="2996" customFormat="false" ht="15" hidden="false" customHeight="false" outlineLevel="0" collapsed="false">
      <c r="A2996" s="0" t="str">
        <f aca="false">IF('הדבקת לידים'!A2996="","",IF(ISNUMBER('הדבקת לידים'!A2996),IF(הגדרות!$E$2&gt;0,TEXT('הדבקת לידים'!A2996,REPT("0",הגדרות!$E$2)),TEXT('הדבקת לידים'!A2996,"0")),TRIM('הדבקת לידים'!A2996)))</f>
        <v/>
      </c>
      <c r="B2996" s="0" t="str">
        <f aca="false">IF('הדבקת לידים'!B2996="","",IF(ISNUMBER('הדבקת לידים'!B2996),IF(הגדרות!$E$3&gt;0,TEXT('הדבקת לידים'!B2996,REPT("0",הגדרות!$E$3)),TEXT('הדבקת לידים'!B2996,"0")),TRIM('הדבקת לידים'!B2996)))</f>
        <v/>
      </c>
      <c r="C2996" s="0" t="n">
        <f aca="false">IF(OR(A2996&lt;&gt;"",B2996&lt;&gt;""),1,0)</f>
        <v>0</v>
      </c>
      <c r="D2996" s="0" t="str">
        <f aca="false">IF(C2996=1,MOD(ABS(SIN(ROW()*12.9898+'הדבקת לידים'!$F$2*78.233+IFERROR(--RIGHT(A2996,6),LEN(A2996))*0.0137+IFERROR(--RIGHT(B2996,6),LEN(B2996))*0.0071))*43758.5453,1),"")</f>
        <v/>
      </c>
      <c r="E2996" s="0" t="str">
        <f aca="false">IF(C2996=1,INT(MOD(ABS(SIN(D2996*7919.123+ROW()*0.618+'הדבקת לידים'!$F$2*1.3))*43758.5453,1)*1000000)*10000+ROW(),"")</f>
        <v/>
      </c>
      <c r="F2996" s="0" t="str">
        <f aca="false">IF(E2996="","",RANK(E2996,$E$2:$E$5001,1))</f>
        <v/>
      </c>
      <c r="G2996" s="0" t="n">
        <f aca="false">IF(A2996="",0,IF(SUMPRODUCT(--($A$2:$A$5001=A2996))&gt;1,1,0))</f>
        <v>0</v>
      </c>
      <c r="H2996" s="0" t="n">
        <f aca="false">ROW()-1</f>
        <v>2995</v>
      </c>
      <c r="I2996" s="0" t="str">
        <f aca="false">IF(OR(הגדרות!$E$6=0,H2996&gt;הגדרות!$E$5),"",IF(H2996-1&lt;הגדרות!$E$8*(הגדרות!$E$7+1),INT((H2996-1)/(הגדרות!$E$7+1)),הגדרות!$E$8+INT((H2996-1-הגדרות!$E$8*(הגדרות!$E$7+1))/הגדרות!$E$7)))</f>
        <v/>
      </c>
      <c r="J2996" s="0" t="str">
        <f aca="false">IF(I2996="","",IF(H2996-1&lt;הגדרות!$E$8*(הגדרות!$E$7+1),MOD(H2996-1,הגדרות!$E$7+1),MOD(H2996-1-הגדרות!$E$8*(הגדרות!$E$7+1),הגדרות!$E$7)))</f>
        <v/>
      </c>
      <c r="K2996" s="0" t="str">
        <f aca="false">IF(I2996="","",J2996*הגדרות!$E$6+I2996+1)</f>
        <v/>
      </c>
      <c r="L2996" s="0" t="str">
        <f aca="false">IF(K2996="","",MATCH(K2996,$F$2:$F$5001,0))</f>
        <v/>
      </c>
      <c r="M2996" s="0" t="str">
        <f aca="false">IF(I2996="","",INDEX(הגדרות!$A$2:$A$21,MOD(I2996+הגדרות!$E$9,הגדרות!$E$6)+1))</f>
        <v/>
      </c>
    </row>
    <row r="2997" customFormat="false" ht="15" hidden="false" customHeight="false" outlineLevel="0" collapsed="false">
      <c r="A2997" s="0" t="str">
        <f aca="false">IF('הדבקת לידים'!A2997="","",IF(ISNUMBER('הדבקת לידים'!A2997),IF(הגדרות!$E$2&gt;0,TEXT('הדבקת לידים'!A2997,REPT("0",הגדרות!$E$2)),TEXT('הדבקת לידים'!A2997,"0")),TRIM('הדבקת לידים'!A2997)))</f>
        <v/>
      </c>
      <c r="B2997" s="0" t="str">
        <f aca="false">IF('הדבקת לידים'!B2997="","",IF(ISNUMBER('הדבקת לידים'!B2997),IF(הגדרות!$E$3&gt;0,TEXT('הדבקת לידים'!B2997,REPT("0",הגדרות!$E$3)),TEXT('הדבקת לידים'!B2997,"0")),TRIM('הדבקת לידים'!B2997)))</f>
        <v/>
      </c>
      <c r="C2997" s="0" t="n">
        <f aca="false">IF(OR(A2997&lt;&gt;"",B2997&lt;&gt;""),1,0)</f>
        <v>0</v>
      </c>
      <c r="D2997" s="0" t="str">
        <f aca="false">IF(C2997=1,MOD(ABS(SIN(ROW()*12.9898+'הדבקת לידים'!$F$2*78.233+IFERROR(--RIGHT(A2997,6),LEN(A2997))*0.0137+IFERROR(--RIGHT(B2997,6),LEN(B2997))*0.0071))*43758.5453,1),"")</f>
        <v/>
      </c>
      <c r="E2997" s="0" t="str">
        <f aca="false">IF(C2997=1,INT(MOD(ABS(SIN(D2997*7919.123+ROW()*0.618+'הדבקת לידים'!$F$2*1.3))*43758.5453,1)*1000000)*10000+ROW(),"")</f>
        <v/>
      </c>
      <c r="F2997" s="0" t="str">
        <f aca="false">IF(E2997="","",RANK(E2997,$E$2:$E$5001,1))</f>
        <v/>
      </c>
      <c r="G2997" s="0" t="n">
        <f aca="false">IF(A2997="",0,IF(SUMPRODUCT(--($A$2:$A$5001=A2997))&gt;1,1,0))</f>
        <v>0</v>
      </c>
      <c r="H2997" s="0" t="n">
        <f aca="false">ROW()-1</f>
        <v>2996</v>
      </c>
      <c r="I2997" s="0" t="str">
        <f aca="false">IF(OR(הגדרות!$E$6=0,H2997&gt;הגדרות!$E$5),"",IF(H2997-1&lt;הגדרות!$E$8*(הגדרות!$E$7+1),INT((H2997-1)/(הגדרות!$E$7+1)),הגדרות!$E$8+INT((H2997-1-הגדרות!$E$8*(הגדרות!$E$7+1))/הגדרות!$E$7)))</f>
        <v/>
      </c>
      <c r="J2997" s="0" t="str">
        <f aca="false">IF(I2997="","",IF(H2997-1&lt;הגדרות!$E$8*(הגדרות!$E$7+1),MOD(H2997-1,הגדרות!$E$7+1),MOD(H2997-1-הגדרות!$E$8*(הגדרות!$E$7+1),הגדרות!$E$7)))</f>
        <v/>
      </c>
      <c r="K2997" s="0" t="str">
        <f aca="false">IF(I2997="","",J2997*הגדרות!$E$6+I2997+1)</f>
        <v/>
      </c>
      <c r="L2997" s="0" t="str">
        <f aca="false">IF(K2997="","",MATCH(K2997,$F$2:$F$5001,0))</f>
        <v/>
      </c>
      <c r="M2997" s="0" t="str">
        <f aca="false">IF(I2997="","",INDEX(הגדרות!$A$2:$A$21,MOD(I2997+הגדרות!$E$9,הגדרות!$E$6)+1))</f>
        <v/>
      </c>
    </row>
    <row r="2998" customFormat="false" ht="15" hidden="false" customHeight="false" outlineLevel="0" collapsed="false">
      <c r="A2998" s="0" t="str">
        <f aca="false">IF('הדבקת לידים'!A2998="","",IF(ISNUMBER('הדבקת לידים'!A2998),IF(הגדרות!$E$2&gt;0,TEXT('הדבקת לידים'!A2998,REPT("0",הגדרות!$E$2)),TEXT('הדבקת לידים'!A2998,"0")),TRIM('הדבקת לידים'!A2998)))</f>
        <v/>
      </c>
      <c r="B2998" s="0" t="str">
        <f aca="false">IF('הדבקת לידים'!B2998="","",IF(ISNUMBER('הדבקת לידים'!B2998),IF(הגדרות!$E$3&gt;0,TEXT('הדבקת לידים'!B2998,REPT("0",הגדרות!$E$3)),TEXT('הדבקת לידים'!B2998,"0")),TRIM('הדבקת לידים'!B2998)))</f>
        <v/>
      </c>
      <c r="C2998" s="0" t="n">
        <f aca="false">IF(OR(A2998&lt;&gt;"",B2998&lt;&gt;""),1,0)</f>
        <v>0</v>
      </c>
      <c r="D2998" s="0" t="str">
        <f aca="false">IF(C2998=1,MOD(ABS(SIN(ROW()*12.9898+'הדבקת לידים'!$F$2*78.233+IFERROR(--RIGHT(A2998,6),LEN(A2998))*0.0137+IFERROR(--RIGHT(B2998,6),LEN(B2998))*0.0071))*43758.5453,1),"")</f>
        <v/>
      </c>
      <c r="E2998" s="0" t="str">
        <f aca="false">IF(C2998=1,INT(MOD(ABS(SIN(D2998*7919.123+ROW()*0.618+'הדבקת לידים'!$F$2*1.3))*43758.5453,1)*1000000)*10000+ROW(),"")</f>
        <v/>
      </c>
      <c r="F2998" s="0" t="str">
        <f aca="false">IF(E2998="","",RANK(E2998,$E$2:$E$5001,1))</f>
        <v/>
      </c>
      <c r="G2998" s="0" t="n">
        <f aca="false">IF(A2998="",0,IF(SUMPRODUCT(--($A$2:$A$5001=A2998))&gt;1,1,0))</f>
        <v>0</v>
      </c>
      <c r="H2998" s="0" t="n">
        <f aca="false">ROW()-1</f>
        <v>2997</v>
      </c>
      <c r="I2998" s="0" t="str">
        <f aca="false">IF(OR(הגדרות!$E$6=0,H2998&gt;הגדרות!$E$5),"",IF(H2998-1&lt;הגדרות!$E$8*(הגדרות!$E$7+1),INT((H2998-1)/(הגדרות!$E$7+1)),הגדרות!$E$8+INT((H2998-1-הגדרות!$E$8*(הגדרות!$E$7+1))/הגדרות!$E$7)))</f>
        <v/>
      </c>
      <c r="J2998" s="0" t="str">
        <f aca="false">IF(I2998="","",IF(H2998-1&lt;הגדרות!$E$8*(הגדרות!$E$7+1),MOD(H2998-1,הגדרות!$E$7+1),MOD(H2998-1-הגדרות!$E$8*(הגדרות!$E$7+1),הגדרות!$E$7)))</f>
        <v/>
      </c>
      <c r="K2998" s="0" t="str">
        <f aca="false">IF(I2998="","",J2998*הגדרות!$E$6+I2998+1)</f>
        <v/>
      </c>
      <c r="L2998" s="0" t="str">
        <f aca="false">IF(K2998="","",MATCH(K2998,$F$2:$F$5001,0))</f>
        <v/>
      </c>
      <c r="M2998" s="0" t="str">
        <f aca="false">IF(I2998="","",INDEX(הגדרות!$A$2:$A$21,MOD(I2998+הגדרות!$E$9,הגדרות!$E$6)+1))</f>
        <v/>
      </c>
    </row>
    <row r="2999" customFormat="false" ht="15" hidden="false" customHeight="false" outlineLevel="0" collapsed="false">
      <c r="A2999" s="0" t="str">
        <f aca="false">IF('הדבקת לידים'!A2999="","",IF(ISNUMBER('הדבקת לידים'!A2999),IF(הגדרות!$E$2&gt;0,TEXT('הדבקת לידים'!A2999,REPT("0",הגדרות!$E$2)),TEXT('הדבקת לידים'!A2999,"0")),TRIM('הדבקת לידים'!A2999)))</f>
        <v/>
      </c>
      <c r="B2999" s="0" t="str">
        <f aca="false">IF('הדבקת לידים'!B2999="","",IF(ISNUMBER('הדבקת לידים'!B2999),IF(הגדרות!$E$3&gt;0,TEXT('הדבקת לידים'!B2999,REPT("0",הגדרות!$E$3)),TEXT('הדבקת לידים'!B2999,"0")),TRIM('הדבקת לידים'!B2999)))</f>
        <v/>
      </c>
      <c r="C2999" s="0" t="n">
        <f aca="false">IF(OR(A2999&lt;&gt;"",B2999&lt;&gt;""),1,0)</f>
        <v>0</v>
      </c>
      <c r="D2999" s="0" t="str">
        <f aca="false">IF(C2999=1,MOD(ABS(SIN(ROW()*12.9898+'הדבקת לידים'!$F$2*78.233+IFERROR(--RIGHT(A2999,6),LEN(A2999))*0.0137+IFERROR(--RIGHT(B2999,6),LEN(B2999))*0.0071))*43758.5453,1),"")</f>
        <v/>
      </c>
      <c r="E2999" s="0" t="str">
        <f aca="false">IF(C2999=1,INT(MOD(ABS(SIN(D2999*7919.123+ROW()*0.618+'הדבקת לידים'!$F$2*1.3))*43758.5453,1)*1000000)*10000+ROW(),"")</f>
        <v/>
      </c>
      <c r="F2999" s="0" t="str">
        <f aca="false">IF(E2999="","",RANK(E2999,$E$2:$E$5001,1))</f>
        <v/>
      </c>
      <c r="G2999" s="0" t="n">
        <f aca="false">IF(A2999="",0,IF(SUMPRODUCT(--($A$2:$A$5001=A2999))&gt;1,1,0))</f>
        <v>0</v>
      </c>
      <c r="H2999" s="0" t="n">
        <f aca="false">ROW()-1</f>
        <v>2998</v>
      </c>
      <c r="I2999" s="0" t="str">
        <f aca="false">IF(OR(הגדרות!$E$6=0,H2999&gt;הגדרות!$E$5),"",IF(H2999-1&lt;הגדרות!$E$8*(הגדרות!$E$7+1),INT((H2999-1)/(הגדרות!$E$7+1)),הגדרות!$E$8+INT((H2999-1-הגדרות!$E$8*(הגדרות!$E$7+1))/הגדרות!$E$7)))</f>
        <v/>
      </c>
      <c r="J2999" s="0" t="str">
        <f aca="false">IF(I2999="","",IF(H2999-1&lt;הגדרות!$E$8*(הגדרות!$E$7+1),MOD(H2999-1,הגדרות!$E$7+1),MOD(H2999-1-הגדרות!$E$8*(הגדרות!$E$7+1),הגדרות!$E$7)))</f>
        <v/>
      </c>
      <c r="K2999" s="0" t="str">
        <f aca="false">IF(I2999="","",J2999*הגדרות!$E$6+I2999+1)</f>
        <v/>
      </c>
      <c r="L2999" s="0" t="str">
        <f aca="false">IF(K2999="","",MATCH(K2999,$F$2:$F$5001,0))</f>
        <v/>
      </c>
      <c r="M2999" s="0" t="str">
        <f aca="false">IF(I2999="","",INDEX(הגדרות!$A$2:$A$21,MOD(I2999+הגדרות!$E$9,הגדרות!$E$6)+1))</f>
        <v/>
      </c>
    </row>
    <row r="3000" customFormat="false" ht="15" hidden="false" customHeight="false" outlineLevel="0" collapsed="false">
      <c r="A3000" s="0" t="str">
        <f aca="false">IF('הדבקת לידים'!A3000="","",IF(ISNUMBER('הדבקת לידים'!A3000),IF(הגדרות!$E$2&gt;0,TEXT('הדבקת לידים'!A3000,REPT("0",הגדרות!$E$2)),TEXT('הדבקת לידים'!A3000,"0")),TRIM('הדבקת לידים'!A3000)))</f>
        <v/>
      </c>
      <c r="B3000" s="0" t="str">
        <f aca="false">IF('הדבקת לידים'!B3000="","",IF(ISNUMBER('הדבקת לידים'!B3000),IF(הגדרות!$E$3&gt;0,TEXT('הדבקת לידים'!B3000,REPT("0",הגדרות!$E$3)),TEXT('הדבקת לידים'!B3000,"0")),TRIM('הדבקת לידים'!B3000)))</f>
        <v/>
      </c>
      <c r="C3000" s="0" t="n">
        <f aca="false">IF(OR(A3000&lt;&gt;"",B3000&lt;&gt;""),1,0)</f>
        <v>0</v>
      </c>
      <c r="D3000" s="0" t="str">
        <f aca="false">IF(C3000=1,MOD(ABS(SIN(ROW()*12.9898+'הדבקת לידים'!$F$2*78.233+IFERROR(--RIGHT(A3000,6),LEN(A3000))*0.0137+IFERROR(--RIGHT(B3000,6),LEN(B3000))*0.0071))*43758.5453,1),"")</f>
        <v/>
      </c>
      <c r="E3000" s="0" t="str">
        <f aca="false">IF(C3000=1,INT(MOD(ABS(SIN(D3000*7919.123+ROW()*0.618+'הדבקת לידים'!$F$2*1.3))*43758.5453,1)*1000000)*10000+ROW(),"")</f>
        <v/>
      </c>
      <c r="F3000" s="0" t="str">
        <f aca="false">IF(E3000="","",RANK(E3000,$E$2:$E$5001,1))</f>
        <v/>
      </c>
      <c r="G3000" s="0" t="n">
        <f aca="false">IF(A3000="",0,IF(SUMPRODUCT(--($A$2:$A$5001=A3000))&gt;1,1,0))</f>
        <v>0</v>
      </c>
      <c r="H3000" s="0" t="n">
        <f aca="false">ROW()-1</f>
        <v>2999</v>
      </c>
      <c r="I3000" s="0" t="str">
        <f aca="false">IF(OR(הגדרות!$E$6=0,H3000&gt;הגדרות!$E$5),"",IF(H3000-1&lt;הגדרות!$E$8*(הגדרות!$E$7+1),INT((H3000-1)/(הגדרות!$E$7+1)),הגדרות!$E$8+INT((H3000-1-הגדרות!$E$8*(הגדרות!$E$7+1))/הגדרות!$E$7)))</f>
        <v/>
      </c>
      <c r="J3000" s="0" t="str">
        <f aca="false">IF(I3000="","",IF(H3000-1&lt;הגדרות!$E$8*(הגדרות!$E$7+1),MOD(H3000-1,הגדרות!$E$7+1),MOD(H3000-1-הגדרות!$E$8*(הגדרות!$E$7+1),הגדרות!$E$7)))</f>
        <v/>
      </c>
      <c r="K3000" s="0" t="str">
        <f aca="false">IF(I3000="","",J3000*הגדרות!$E$6+I3000+1)</f>
        <v/>
      </c>
      <c r="L3000" s="0" t="str">
        <f aca="false">IF(K3000="","",MATCH(K3000,$F$2:$F$5001,0))</f>
        <v/>
      </c>
      <c r="M3000" s="0" t="str">
        <f aca="false">IF(I3000="","",INDEX(הגדרות!$A$2:$A$21,MOD(I3000+הגדרות!$E$9,הגדרות!$E$6)+1))</f>
        <v/>
      </c>
    </row>
    <row r="3001" customFormat="false" ht="15" hidden="false" customHeight="false" outlineLevel="0" collapsed="false">
      <c r="A3001" s="0" t="str">
        <f aca="false">IF('הדבקת לידים'!A3001="","",IF(ISNUMBER('הדבקת לידים'!A3001),IF(הגדרות!$E$2&gt;0,TEXT('הדבקת לידים'!A3001,REPT("0",הגדרות!$E$2)),TEXT('הדבקת לידים'!A3001,"0")),TRIM('הדבקת לידים'!A3001)))</f>
        <v/>
      </c>
      <c r="B3001" s="0" t="str">
        <f aca="false">IF('הדבקת לידים'!B3001="","",IF(ISNUMBER('הדבקת לידים'!B3001),IF(הגדרות!$E$3&gt;0,TEXT('הדבקת לידים'!B3001,REPT("0",הגדרות!$E$3)),TEXT('הדבקת לידים'!B3001,"0")),TRIM('הדבקת לידים'!B3001)))</f>
        <v/>
      </c>
      <c r="C3001" s="0" t="n">
        <f aca="false">IF(OR(A3001&lt;&gt;"",B3001&lt;&gt;""),1,0)</f>
        <v>0</v>
      </c>
      <c r="D3001" s="0" t="str">
        <f aca="false">IF(C3001=1,MOD(ABS(SIN(ROW()*12.9898+'הדבקת לידים'!$F$2*78.233+IFERROR(--RIGHT(A3001,6),LEN(A3001))*0.0137+IFERROR(--RIGHT(B3001,6),LEN(B3001))*0.0071))*43758.5453,1),"")</f>
        <v/>
      </c>
      <c r="E3001" s="0" t="str">
        <f aca="false">IF(C3001=1,INT(MOD(ABS(SIN(D3001*7919.123+ROW()*0.618+'הדבקת לידים'!$F$2*1.3))*43758.5453,1)*1000000)*10000+ROW(),"")</f>
        <v/>
      </c>
      <c r="F3001" s="0" t="str">
        <f aca="false">IF(E3001="","",RANK(E3001,$E$2:$E$5001,1))</f>
        <v/>
      </c>
      <c r="G3001" s="0" t="n">
        <f aca="false">IF(A3001="",0,IF(SUMPRODUCT(--($A$2:$A$5001=A3001))&gt;1,1,0))</f>
        <v>0</v>
      </c>
      <c r="H3001" s="0" t="n">
        <f aca="false">ROW()-1</f>
        <v>3000</v>
      </c>
      <c r="I3001" s="0" t="str">
        <f aca="false">IF(OR(הגדרות!$E$6=0,H3001&gt;הגדרות!$E$5),"",IF(H3001-1&lt;הגדרות!$E$8*(הגדרות!$E$7+1),INT((H3001-1)/(הגדרות!$E$7+1)),הגדרות!$E$8+INT((H3001-1-הגדרות!$E$8*(הגדרות!$E$7+1))/הגדרות!$E$7)))</f>
        <v/>
      </c>
      <c r="J3001" s="0" t="str">
        <f aca="false">IF(I3001="","",IF(H3001-1&lt;הגדרות!$E$8*(הגדרות!$E$7+1),MOD(H3001-1,הגדרות!$E$7+1),MOD(H3001-1-הגדרות!$E$8*(הגדרות!$E$7+1),הגדרות!$E$7)))</f>
        <v/>
      </c>
      <c r="K3001" s="0" t="str">
        <f aca="false">IF(I3001="","",J3001*הגדרות!$E$6+I3001+1)</f>
        <v/>
      </c>
      <c r="L3001" s="0" t="str">
        <f aca="false">IF(K3001="","",MATCH(K3001,$F$2:$F$5001,0))</f>
        <v/>
      </c>
      <c r="M3001" s="0" t="str">
        <f aca="false">IF(I3001="","",INDEX(הגדרות!$A$2:$A$21,MOD(I3001+הגדרות!$E$9,הגדרות!$E$6)+1))</f>
        <v/>
      </c>
    </row>
    <row r="3002" customFormat="false" ht="15" hidden="false" customHeight="false" outlineLevel="0" collapsed="false">
      <c r="A3002" s="0" t="str">
        <f aca="false">IF('הדבקת לידים'!A3002="","",IF(ISNUMBER('הדבקת לידים'!A3002),IF(הגדרות!$E$2&gt;0,TEXT('הדבקת לידים'!A3002,REPT("0",הגדרות!$E$2)),TEXT('הדבקת לידים'!A3002,"0")),TRIM('הדבקת לידים'!A3002)))</f>
        <v/>
      </c>
      <c r="B3002" s="0" t="str">
        <f aca="false">IF('הדבקת לידים'!B3002="","",IF(ISNUMBER('הדבקת לידים'!B3002),IF(הגדרות!$E$3&gt;0,TEXT('הדבקת לידים'!B3002,REPT("0",הגדרות!$E$3)),TEXT('הדבקת לידים'!B3002,"0")),TRIM('הדבקת לידים'!B3002)))</f>
        <v/>
      </c>
      <c r="C3002" s="0" t="n">
        <f aca="false">IF(OR(A3002&lt;&gt;"",B3002&lt;&gt;""),1,0)</f>
        <v>0</v>
      </c>
      <c r="D3002" s="0" t="str">
        <f aca="false">IF(C3002=1,MOD(ABS(SIN(ROW()*12.9898+'הדבקת לידים'!$F$2*78.233+IFERROR(--RIGHT(A3002,6),LEN(A3002))*0.0137+IFERROR(--RIGHT(B3002,6),LEN(B3002))*0.0071))*43758.5453,1),"")</f>
        <v/>
      </c>
      <c r="E3002" s="0" t="str">
        <f aca="false">IF(C3002=1,INT(MOD(ABS(SIN(D3002*7919.123+ROW()*0.618+'הדבקת לידים'!$F$2*1.3))*43758.5453,1)*1000000)*10000+ROW(),"")</f>
        <v/>
      </c>
      <c r="F3002" s="0" t="str">
        <f aca="false">IF(E3002="","",RANK(E3002,$E$2:$E$5001,1))</f>
        <v/>
      </c>
      <c r="G3002" s="0" t="n">
        <f aca="false">IF(A3002="",0,IF(SUMPRODUCT(--($A$2:$A$5001=A3002))&gt;1,1,0))</f>
        <v>0</v>
      </c>
      <c r="H3002" s="0" t="n">
        <f aca="false">ROW()-1</f>
        <v>3001</v>
      </c>
      <c r="I3002" s="0" t="str">
        <f aca="false">IF(OR(הגדרות!$E$6=0,H3002&gt;הגדרות!$E$5),"",IF(H3002-1&lt;הגדרות!$E$8*(הגדרות!$E$7+1),INT((H3002-1)/(הגדרות!$E$7+1)),הגדרות!$E$8+INT((H3002-1-הגדרות!$E$8*(הגדרות!$E$7+1))/הגדרות!$E$7)))</f>
        <v/>
      </c>
      <c r="J3002" s="0" t="str">
        <f aca="false">IF(I3002="","",IF(H3002-1&lt;הגדרות!$E$8*(הגדרות!$E$7+1),MOD(H3002-1,הגדרות!$E$7+1),MOD(H3002-1-הגדרות!$E$8*(הגדרות!$E$7+1),הגדרות!$E$7)))</f>
        <v/>
      </c>
      <c r="K3002" s="0" t="str">
        <f aca="false">IF(I3002="","",J3002*הגדרות!$E$6+I3002+1)</f>
        <v/>
      </c>
      <c r="L3002" s="0" t="str">
        <f aca="false">IF(K3002="","",MATCH(K3002,$F$2:$F$5001,0))</f>
        <v/>
      </c>
      <c r="M3002" s="0" t="str">
        <f aca="false">IF(I3002="","",INDEX(הגדרות!$A$2:$A$21,MOD(I3002+הגדרות!$E$9,הגדרות!$E$6)+1))</f>
        <v/>
      </c>
    </row>
    <row r="3003" customFormat="false" ht="15" hidden="false" customHeight="false" outlineLevel="0" collapsed="false">
      <c r="A3003" s="0" t="str">
        <f aca="false">IF('הדבקת לידים'!A3003="","",IF(ISNUMBER('הדבקת לידים'!A3003),IF(הגדרות!$E$2&gt;0,TEXT('הדבקת לידים'!A3003,REPT("0",הגדרות!$E$2)),TEXT('הדבקת לידים'!A3003,"0")),TRIM('הדבקת לידים'!A3003)))</f>
        <v/>
      </c>
      <c r="B3003" s="0" t="str">
        <f aca="false">IF('הדבקת לידים'!B3003="","",IF(ISNUMBER('הדבקת לידים'!B3003),IF(הגדרות!$E$3&gt;0,TEXT('הדבקת לידים'!B3003,REPT("0",הגדרות!$E$3)),TEXT('הדבקת לידים'!B3003,"0")),TRIM('הדבקת לידים'!B3003)))</f>
        <v/>
      </c>
      <c r="C3003" s="0" t="n">
        <f aca="false">IF(OR(A3003&lt;&gt;"",B3003&lt;&gt;""),1,0)</f>
        <v>0</v>
      </c>
      <c r="D3003" s="0" t="str">
        <f aca="false">IF(C3003=1,MOD(ABS(SIN(ROW()*12.9898+'הדבקת לידים'!$F$2*78.233+IFERROR(--RIGHT(A3003,6),LEN(A3003))*0.0137+IFERROR(--RIGHT(B3003,6),LEN(B3003))*0.0071))*43758.5453,1),"")</f>
        <v/>
      </c>
      <c r="E3003" s="0" t="str">
        <f aca="false">IF(C3003=1,INT(MOD(ABS(SIN(D3003*7919.123+ROW()*0.618+'הדבקת לידים'!$F$2*1.3))*43758.5453,1)*1000000)*10000+ROW(),"")</f>
        <v/>
      </c>
      <c r="F3003" s="0" t="str">
        <f aca="false">IF(E3003="","",RANK(E3003,$E$2:$E$5001,1))</f>
        <v/>
      </c>
      <c r="G3003" s="0" t="n">
        <f aca="false">IF(A3003="",0,IF(SUMPRODUCT(--($A$2:$A$5001=A3003))&gt;1,1,0))</f>
        <v>0</v>
      </c>
      <c r="H3003" s="0" t="n">
        <f aca="false">ROW()-1</f>
        <v>3002</v>
      </c>
      <c r="I3003" s="0" t="str">
        <f aca="false">IF(OR(הגדרות!$E$6=0,H3003&gt;הגדרות!$E$5),"",IF(H3003-1&lt;הגדרות!$E$8*(הגדרות!$E$7+1),INT((H3003-1)/(הגדרות!$E$7+1)),הגדרות!$E$8+INT((H3003-1-הגדרות!$E$8*(הגדרות!$E$7+1))/הגדרות!$E$7)))</f>
        <v/>
      </c>
      <c r="J3003" s="0" t="str">
        <f aca="false">IF(I3003="","",IF(H3003-1&lt;הגדרות!$E$8*(הגדרות!$E$7+1),MOD(H3003-1,הגדרות!$E$7+1),MOD(H3003-1-הגדרות!$E$8*(הגדרות!$E$7+1),הגדרות!$E$7)))</f>
        <v/>
      </c>
      <c r="K3003" s="0" t="str">
        <f aca="false">IF(I3003="","",J3003*הגדרות!$E$6+I3003+1)</f>
        <v/>
      </c>
      <c r="L3003" s="0" t="str">
        <f aca="false">IF(K3003="","",MATCH(K3003,$F$2:$F$5001,0))</f>
        <v/>
      </c>
      <c r="M3003" s="0" t="str">
        <f aca="false">IF(I3003="","",INDEX(הגדרות!$A$2:$A$21,MOD(I3003+הגדרות!$E$9,הגדרות!$E$6)+1))</f>
        <v/>
      </c>
    </row>
    <row r="3004" customFormat="false" ht="15" hidden="false" customHeight="false" outlineLevel="0" collapsed="false">
      <c r="A3004" s="0" t="str">
        <f aca="false">IF('הדבקת לידים'!A3004="","",IF(ISNUMBER('הדבקת לידים'!A3004),IF(הגדרות!$E$2&gt;0,TEXT('הדבקת לידים'!A3004,REPT("0",הגדרות!$E$2)),TEXT('הדבקת לידים'!A3004,"0")),TRIM('הדבקת לידים'!A3004)))</f>
        <v/>
      </c>
      <c r="B3004" s="0" t="str">
        <f aca="false">IF('הדבקת לידים'!B3004="","",IF(ISNUMBER('הדבקת לידים'!B3004),IF(הגדרות!$E$3&gt;0,TEXT('הדבקת לידים'!B3004,REPT("0",הגדרות!$E$3)),TEXT('הדבקת לידים'!B3004,"0")),TRIM('הדבקת לידים'!B3004)))</f>
        <v/>
      </c>
      <c r="C3004" s="0" t="n">
        <f aca="false">IF(OR(A3004&lt;&gt;"",B3004&lt;&gt;""),1,0)</f>
        <v>0</v>
      </c>
      <c r="D3004" s="0" t="str">
        <f aca="false">IF(C3004=1,MOD(ABS(SIN(ROW()*12.9898+'הדבקת לידים'!$F$2*78.233+IFERROR(--RIGHT(A3004,6),LEN(A3004))*0.0137+IFERROR(--RIGHT(B3004,6),LEN(B3004))*0.0071))*43758.5453,1),"")</f>
        <v/>
      </c>
      <c r="E3004" s="0" t="str">
        <f aca="false">IF(C3004=1,INT(MOD(ABS(SIN(D3004*7919.123+ROW()*0.618+'הדבקת לידים'!$F$2*1.3))*43758.5453,1)*1000000)*10000+ROW(),"")</f>
        <v/>
      </c>
      <c r="F3004" s="0" t="str">
        <f aca="false">IF(E3004="","",RANK(E3004,$E$2:$E$5001,1))</f>
        <v/>
      </c>
      <c r="G3004" s="0" t="n">
        <f aca="false">IF(A3004="",0,IF(SUMPRODUCT(--($A$2:$A$5001=A3004))&gt;1,1,0))</f>
        <v>0</v>
      </c>
      <c r="H3004" s="0" t="n">
        <f aca="false">ROW()-1</f>
        <v>3003</v>
      </c>
      <c r="I3004" s="0" t="str">
        <f aca="false">IF(OR(הגדרות!$E$6=0,H3004&gt;הגדרות!$E$5),"",IF(H3004-1&lt;הגדרות!$E$8*(הגדרות!$E$7+1),INT((H3004-1)/(הגדרות!$E$7+1)),הגדרות!$E$8+INT((H3004-1-הגדרות!$E$8*(הגדרות!$E$7+1))/הגדרות!$E$7)))</f>
        <v/>
      </c>
      <c r="J3004" s="0" t="str">
        <f aca="false">IF(I3004="","",IF(H3004-1&lt;הגדרות!$E$8*(הגדרות!$E$7+1),MOD(H3004-1,הגדרות!$E$7+1),MOD(H3004-1-הגדרות!$E$8*(הגדרות!$E$7+1),הגדרות!$E$7)))</f>
        <v/>
      </c>
      <c r="K3004" s="0" t="str">
        <f aca="false">IF(I3004="","",J3004*הגדרות!$E$6+I3004+1)</f>
        <v/>
      </c>
      <c r="L3004" s="0" t="str">
        <f aca="false">IF(K3004="","",MATCH(K3004,$F$2:$F$5001,0))</f>
        <v/>
      </c>
      <c r="M3004" s="0" t="str">
        <f aca="false">IF(I3004="","",INDEX(הגדרות!$A$2:$A$21,MOD(I3004+הגדרות!$E$9,הגדרות!$E$6)+1))</f>
        <v/>
      </c>
    </row>
    <row r="3005" customFormat="false" ht="15" hidden="false" customHeight="false" outlineLevel="0" collapsed="false">
      <c r="A3005" s="0" t="str">
        <f aca="false">IF('הדבקת לידים'!A3005="","",IF(ISNUMBER('הדבקת לידים'!A3005),IF(הגדרות!$E$2&gt;0,TEXT('הדבקת לידים'!A3005,REPT("0",הגדרות!$E$2)),TEXT('הדבקת לידים'!A3005,"0")),TRIM('הדבקת לידים'!A3005)))</f>
        <v/>
      </c>
      <c r="B3005" s="0" t="str">
        <f aca="false">IF('הדבקת לידים'!B3005="","",IF(ISNUMBER('הדבקת לידים'!B3005),IF(הגדרות!$E$3&gt;0,TEXT('הדבקת לידים'!B3005,REPT("0",הגדרות!$E$3)),TEXT('הדבקת לידים'!B3005,"0")),TRIM('הדבקת לידים'!B3005)))</f>
        <v/>
      </c>
      <c r="C3005" s="0" t="n">
        <f aca="false">IF(OR(A3005&lt;&gt;"",B3005&lt;&gt;""),1,0)</f>
        <v>0</v>
      </c>
      <c r="D3005" s="0" t="str">
        <f aca="false">IF(C3005=1,MOD(ABS(SIN(ROW()*12.9898+'הדבקת לידים'!$F$2*78.233+IFERROR(--RIGHT(A3005,6),LEN(A3005))*0.0137+IFERROR(--RIGHT(B3005,6),LEN(B3005))*0.0071))*43758.5453,1),"")</f>
        <v/>
      </c>
      <c r="E3005" s="0" t="str">
        <f aca="false">IF(C3005=1,INT(MOD(ABS(SIN(D3005*7919.123+ROW()*0.618+'הדבקת לידים'!$F$2*1.3))*43758.5453,1)*1000000)*10000+ROW(),"")</f>
        <v/>
      </c>
      <c r="F3005" s="0" t="str">
        <f aca="false">IF(E3005="","",RANK(E3005,$E$2:$E$5001,1))</f>
        <v/>
      </c>
      <c r="G3005" s="0" t="n">
        <f aca="false">IF(A3005="",0,IF(SUMPRODUCT(--($A$2:$A$5001=A3005))&gt;1,1,0))</f>
        <v>0</v>
      </c>
      <c r="H3005" s="0" t="n">
        <f aca="false">ROW()-1</f>
        <v>3004</v>
      </c>
      <c r="I3005" s="0" t="str">
        <f aca="false">IF(OR(הגדרות!$E$6=0,H3005&gt;הגדרות!$E$5),"",IF(H3005-1&lt;הגדרות!$E$8*(הגדרות!$E$7+1),INT((H3005-1)/(הגדרות!$E$7+1)),הגדרות!$E$8+INT((H3005-1-הגדרות!$E$8*(הגדרות!$E$7+1))/הגדרות!$E$7)))</f>
        <v/>
      </c>
      <c r="J3005" s="0" t="str">
        <f aca="false">IF(I3005="","",IF(H3005-1&lt;הגדרות!$E$8*(הגדרות!$E$7+1),MOD(H3005-1,הגדרות!$E$7+1),MOD(H3005-1-הגדרות!$E$8*(הגדרות!$E$7+1),הגדרות!$E$7)))</f>
        <v/>
      </c>
      <c r="K3005" s="0" t="str">
        <f aca="false">IF(I3005="","",J3005*הגדרות!$E$6+I3005+1)</f>
        <v/>
      </c>
      <c r="L3005" s="0" t="str">
        <f aca="false">IF(K3005="","",MATCH(K3005,$F$2:$F$5001,0))</f>
        <v/>
      </c>
      <c r="M3005" s="0" t="str">
        <f aca="false">IF(I3005="","",INDEX(הגדרות!$A$2:$A$21,MOD(I3005+הגדרות!$E$9,הגדרות!$E$6)+1))</f>
        <v/>
      </c>
    </row>
    <row r="3006" customFormat="false" ht="15" hidden="false" customHeight="false" outlineLevel="0" collapsed="false">
      <c r="A3006" s="0" t="str">
        <f aca="false">IF('הדבקת לידים'!A3006="","",IF(ISNUMBER('הדבקת לידים'!A3006),IF(הגדרות!$E$2&gt;0,TEXT('הדבקת לידים'!A3006,REPT("0",הגדרות!$E$2)),TEXT('הדבקת לידים'!A3006,"0")),TRIM('הדבקת לידים'!A3006)))</f>
        <v/>
      </c>
      <c r="B3006" s="0" t="str">
        <f aca="false">IF('הדבקת לידים'!B3006="","",IF(ISNUMBER('הדבקת לידים'!B3006),IF(הגדרות!$E$3&gt;0,TEXT('הדבקת לידים'!B3006,REPT("0",הגדרות!$E$3)),TEXT('הדבקת לידים'!B3006,"0")),TRIM('הדבקת לידים'!B3006)))</f>
        <v/>
      </c>
      <c r="C3006" s="0" t="n">
        <f aca="false">IF(OR(A3006&lt;&gt;"",B3006&lt;&gt;""),1,0)</f>
        <v>0</v>
      </c>
      <c r="D3006" s="0" t="str">
        <f aca="false">IF(C3006=1,MOD(ABS(SIN(ROW()*12.9898+'הדבקת לידים'!$F$2*78.233+IFERROR(--RIGHT(A3006,6),LEN(A3006))*0.0137+IFERROR(--RIGHT(B3006,6),LEN(B3006))*0.0071))*43758.5453,1),"")</f>
        <v/>
      </c>
      <c r="E3006" s="0" t="str">
        <f aca="false">IF(C3006=1,INT(MOD(ABS(SIN(D3006*7919.123+ROW()*0.618+'הדבקת לידים'!$F$2*1.3))*43758.5453,1)*1000000)*10000+ROW(),"")</f>
        <v/>
      </c>
      <c r="F3006" s="0" t="str">
        <f aca="false">IF(E3006="","",RANK(E3006,$E$2:$E$5001,1))</f>
        <v/>
      </c>
      <c r="G3006" s="0" t="n">
        <f aca="false">IF(A3006="",0,IF(SUMPRODUCT(--($A$2:$A$5001=A3006))&gt;1,1,0))</f>
        <v>0</v>
      </c>
      <c r="H3006" s="0" t="n">
        <f aca="false">ROW()-1</f>
        <v>3005</v>
      </c>
      <c r="I3006" s="0" t="str">
        <f aca="false">IF(OR(הגדרות!$E$6=0,H3006&gt;הגדרות!$E$5),"",IF(H3006-1&lt;הגדרות!$E$8*(הגדרות!$E$7+1),INT((H3006-1)/(הגדרות!$E$7+1)),הגדרות!$E$8+INT((H3006-1-הגדרות!$E$8*(הגדרות!$E$7+1))/הגדרות!$E$7)))</f>
        <v/>
      </c>
      <c r="J3006" s="0" t="str">
        <f aca="false">IF(I3006="","",IF(H3006-1&lt;הגדרות!$E$8*(הגדרות!$E$7+1),MOD(H3006-1,הגדרות!$E$7+1),MOD(H3006-1-הגדרות!$E$8*(הגדרות!$E$7+1),הגדרות!$E$7)))</f>
        <v/>
      </c>
      <c r="K3006" s="0" t="str">
        <f aca="false">IF(I3006="","",J3006*הגדרות!$E$6+I3006+1)</f>
        <v/>
      </c>
      <c r="L3006" s="0" t="str">
        <f aca="false">IF(K3006="","",MATCH(K3006,$F$2:$F$5001,0))</f>
        <v/>
      </c>
      <c r="M3006" s="0" t="str">
        <f aca="false">IF(I3006="","",INDEX(הגדרות!$A$2:$A$21,MOD(I3006+הגדרות!$E$9,הגדרות!$E$6)+1))</f>
        <v/>
      </c>
    </row>
    <row r="3007" customFormat="false" ht="15" hidden="false" customHeight="false" outlineLevel="0" collapsed="false">
      <c r="A3007" s="0" t="str">
        <f aca="false">IF('הדבקת לידים'!A3007="","",IF(ISNUMBER('הדבקת לידים'!A3007),IF(הגדרות!$E$2&gt;0,TEXT('הדבקת לידים'!A3007,REPT("0",הגדרות!$E$2)),TEXT('הדבקת לידים'!A3007,"0")),TRIM('הדבקת לידים'!A3007)))</f>
        <v/>
      </c>
      <c r="B3007" s="0" t="str">
        <f aca="false">IF('הדבקת לידים'!B3007="","",IF(ISNUMBER('הדבקת לידים'!B3007),IF(הגדרות!$E$3&gt;0,TEXT('הדבקת לידים'!B3007,REPT("0",הגדרות!$E$3)),TEXT('הדבקת לידים'!B3007,"0")),TRIM('הדבקת לידים'!B3007)))</f>
        <v/>
      </c>
      <c r="C3007" s="0" t="n">
        <f aca="false">IF(OR(A3007&lt;&gt;"",B3007&lt;&gt;""),1,0)</f>
        <v>0</v>
      </c>
      <c r="D3007" s="0" t="str">
        <f aca="false">IF(C3007=1,MOD(ABS(SIN(ROW()*12.9898+'הדבקת לידים'!$F$2*78.233+IFERROR(--RIGHT(A3007,6),LEN(A3007))*0.0137+IFERROR(--RIGHT(B3007,6),LEN(B3007))*0.0071))*43758.5453,1),"")</f>
        <v/>
      </c>
      <c r="E3007" s="0" t="str">
        <f aca="false">IF(C3007=1,INT(MOD(ABS(SIN(D3007*7919.123+ROW()*0.618+'הדבקת לידים'!$F$2*1.3))*43758.5453,1)*1000000)*10000+ROW(),"")</f>
        <v/>
      </c>
      <c r="F3007" s="0" t="str">
        <f aca="false">IF(E3007="","",RANK(E3007,$E$2:$E$5001,1))</f>
        <v/>
      </c>
      <c r="G3007" s="0" t="n">
        <f aca="false">IF(A3007="",0,IF(SUMPRODUCT(--($A$2:$A$5001=A3007))&gt;1,1,0))</f>
        <v>0</v>
      </c>
      <c r="H3007" s="0" t="n">
        <f aca="false">ROW()-1</f>
        <v>3006</v>
      </c>
      <c r="I3007" s="0" t="str">
        <f aca="false">IF(OR(הגדרות!$E$6=0,H3007&gt;הגדרות!$E$5),"",IF(H3007-1&lt;הגדרות!$E$8*(הגדרות!$E$7+1),INT((H3007-1)/(הגדרות!$E$7+1)),הגדרות!$E$8+INT((H3007-1-הגדרות!$E$8*(הגדרות!$E$7+1))/הגדרות!$E$7)))</f>
        <v/>
      </c>
      <c r="J3007" s="0" t="str">
        <f aca="false">IF(I3007="","",IF(H3007-1&lt;הגדרות!$E$8*(הגדרות!$E$7+1),MOD(H3007-1,הגדרות!$E$7+1),MOD(H3007-1-הגדרות!$E$8*(הגדרות!$E$7+1),הגדרות!$E$7)))</f>
        <v/>
      </c>
      <c r="K3007" s="0" t="str">
        <f aca="false">IF(I3007="","",J3007*הגדרות!$E$6+I3007+1)</f>
        <v/>
      </c>
      <c r="L3007" s="0" t="str">
        <f aca="false">IF(K3007="","",MATCH(K3007,$F$2:$F$5001,0))</f>
        <v/>
      </c>
      <c r="M3007" s="0" t="str">
        <f aca="false">IF(I3007="","",INDEX(הגדרות!$A$2:$A$21,MOD(I3007+הגדרות!$E$9,הגדרות!$E$6)+1))</f>
        <v/>
      </c>
    </row>
    <row r="3008" customFormat="false" ht="15" hidden="false" customHeight="false" outlineLevel="0" collapsed="false">
      <c r="A3008" s="0" t="str">
        <f aca="false">IF('הדבקת לידים'!A3008="","",IF(ISNUMBER('הדבקת לידים'!A3008),IF(הגדרות!$E$2&gt;0,TEXT('הדבקת לידים'!A3008,REPT("0",הגדרות!$E$2)),TEXT('הדבקת לידים'!A3008,"0")),TRIM('הדבקת לידים'!A3008)))</f>
        <v/>
      </c>
      <c r="B3008" s="0" t="str">
        <f aca="false">IF('הדבקת לידים'!B3008="","",IF(ISNUMBER('הדבקת לידים'!B3008),IF(הגדרות!$E$3&gt;0,TEXT('הדבקת לידים'!B3008,REPT("0",הגדרות!$E$3)),TEXT('הדבקת לידים'!B3008,"0")),TRIM('הדבקת לידים'!B3008)))</f>
        <v/>
      </c>
      <c r="C3008" s="0" t="n">
        <f aca="false">IF(OR(A3008&lt;&gt;"",B3008&lt;&gt;""),1,0)</f>
        <v>0</v>
      </c>
      <c r="D3008" s="0" t="str">
        <f aca="false">IF(C3008=1,MOD(ABS(SIN(ROW()*12.9898+'הדבקת לידים'!$F$2*78.233+IFERROR(--RIGHT(A3008,6),LEN(A3008))*0.0137+IFERROR(--RIGHT(B3008,6),LEN(B3008))*0.0071))*43758.5453,1),"")</f>
        <v/>
      </c>
      <c r="E3008" s="0" t="str">
        <f aca="false">IF(C3008=1,INT(MOD(ABS(SIN(D3008*7919.123+ROW()*0.618+'הדבקת לידים'!$F$2*1.3))*43758.5453,1)*1000000)*10000+ROW(),"")</f>
        <v/>
      </c>
      <c r="F3008" s="0" t="str">
        <f aca="false">IF(E3008="","",RANK(E3008,$E$2:$E$5001,1))</f>
        <v/>
      </c>
      <c r="G3008" s="0" t="n">
        <f aca="false">IF(A3008="",0,IF(SUMPRODUCT(--($A$2:$A$5001=A3008))&gt;1,1,0))</f>
        <v>0</v>
      </c>
      <c r="H3008" s="0" t="n">
        <f aca="false">ROW()-1</f>
        <v>3007</v>
      </c>
      <c r="I3008" s="0" t="str">
        <f aca="false">IF(OR(הגדרות!$E$6=0,H3008&gt;הגדרות!$E$5),"",IF(H3008-1&lt;הגדרות!$E$8*(הגדרות!$E$7+1),INT((H3008-1)/(הגדרות!$E$7+1)),הגדרות!$E$8+INT((H3008-1-הגדרות!$E$8*(הגדרות!$E$7+1))/הגדרות!$E$7)))</f>
        <v/>
      </c>
      <c r="J3008" s="0" t="str">
        <f aca="false">IF(I3008="","",IF(H3008-1&lt;הגדרות!$E$8*(הגדרות!$E$7+1),MOD(H3008-1,הגדרות!$E$7+1),MOD(H3008-1-הגדרות!$E$8*(הגדרות!$E$7+1),הגדרות!$E$7)))</f>
        <v/>
      </c>
      <c r="K3008" s="0" t="str">
        <f aca="false">IF(I3008="","",J3008*הגדרות!$E$6+I3008+1)</f>
        <v/>
      </c>
      <c r="L3008" s="0" t="str">
        <f aca="false">IF(K3008="","",MATCH(K3008,$F$2:$F$5001,0))</f>
        <v/>
      </c>
      <c r="M3008" s="0" t="str">
        <f aca="false">IF(I3008="","",INDEX(הגדרות!$A$2:$A$21,MOD(I3008+הגדרות!$E$9,הגדרות!$E$6)+1))</f>
        <v/>
      </c>
    </row>
    <row r="3009" customFormat="false" ht="15" hidden="false" customHeight="false" outlineLevel="0" collapsed="false">
      <c r="A3009" s="0" t="str">
        <f aca="false">IF('הדבקת לידים'!A3009="","",IF(ISNUMBER('הדבקת לידים'!A3009),IF(הגדרות!$E$2&gt;0,TEXT('הדבקת לידים'!A3009,REPT("0",הגדרות!$E$2)),TEXT('הדבקת לידים'!A3009,"0")),TRIM('הדבקת לידים'!A3009)))</f>
        <v/>
      </c>
      <c r="B3009" s="0" t="str">
        <f aca="false">IF('הדבקת לידים'!B3009="","",IF(ISNUMBER('הדבקת לידים'!B3009),IF(הגדרות!$E$3&gt;0,TEXT('הדבקת לידים'!B3009,REPT("0",הגדרות!$E$3)),TEXT('הדבקת לידים'!B3009,"0")),TRIM('הדבקת לידים'!B3009)))</f>
        <v/>
      </c>
      <c r="C3009" s="0" t="n">
        <f aca="false">IF(OR(A3009&lt;&gt;"",B3009&lt;&gt;""),1,0)</f>
        <v>0</v>
      </c>
      <c r="D3009" s="0" t="str">
        <f aca="false">IF(C3009=1,MOD(ABS(SIN(ROW()*12.9898+'הדבקת לידים'!$F$2*78.233+IFERROR(--RIGHT(A3009,6),LEN(A3009))*0.0137+IFERROR(--RIGHT(B3009,6),LEN(B3009))*0.0071))*43758.5453,1),"")</f>
        <v/>
      </c>
      <c r="E3009" s="0" t="str">
        <f aca="false">IF(C3009=1,INT(MOD(ABS(SIN(D3009*7919.123+ROW()*0.618+'הדבקת לידים'!$F$2*1.3))*43758.5453,1)*1000000)*10000+ROW(),"")</f>
        <v/>
      </c>
      <c r="F3009" s="0" t="str">
        <f aca="false">IF(E3009="","",RANK(E3009,$E$2:$E$5001,1))</f>
        <v/>
      </c>
      <c r="G3009" s="0" t="n">
        <f aca="false">IF(A3009="",0,IF(SUMPRODUCT(--($A$2:$A$5001=A3009))&gt;1,1,0))</f>
        <v>0</v>
      </c>
      <c r="H3009" s="0" t="n">
        <f aca="false">ROW()-1</f>
        <v>3008</v>
      </c>
      <c r="I3009" s="0" t="str">
        <f aca="false">IF(OR(הגדרות!$E$6=0,H3009&gt;הגדרות!$E$5),"",IF(H3009-1&lt;הגדרות!$E$8*(הגדרות!$E$7+1),INT((H3009-1)/(הגדרות!$E$7+1)),הגדרות!$E$8+INT((H3009-1-הגדרות!$E$8*(הגדרות!$E$7+1))/הגדרות!$E$7)))</f>
        <v/>
      </c>
      <c r="J3009" s="0" t="str">
        <f aca="false">IF(I3009="","",IF(H3009-1&lt;הגדרות!$E$8*(הגדרות!$E$7+1),MOD(H3009-1,הגדרות!$E$7+1),MOD(H3009-1-הגדרות!$E$8*(הגדרות!$E$7+1),הגדרות!$E$7)))</f>
        <v/>
      </c>
      <c r="K3009" s="0" t="str">
        <f aca="false">IF(I3009="","",J3009*הגדרות!$E$6+I3009+1)</f>
        <v/>
      </c>
      <c r="L3009" s="0" t="str">
        <f aca="false">IF(K3009="","",MATCH(K3009,$F$2:$F$5001,0))</f>
        <v/>
      </c>
      <c r="M3009" s="0" t="str">
        <f aca="false">IF(I3009="","",INDEX(הגדרות!$A$2:$A$21,MOD(I3009+הגדרות!$E$9,הגדרות!$E$6)+1))</f>
        <v/>
      </c>
    </row>
    <row r="3010" customFormat="false" ht="15" hidden="false" customHeight="false" outlineLevel="0" collapsed="false">
      <c r="A3010" s="0" t="str">
        <f aca="false">IF('הדבקת לידים'!A3010="","",IF(ISNUMBER('הדבקת לידים'!A3010),IF(הגדרות!$E$2&gt;0,TEXT('הדבקת לידים'!A3010,REPT("0",הגדרות!$E$2)),TEXT('הדבקת לידים'!A3010,"0")),TRIM('הדבקת לידים'!A3010)))</f>
        <v/>
      </c>
      <c r="B3010" s="0" t="str">
        <f aca="false">IF('הדבקת לידים'!B3010="","",IF(ISNUMBER('הדבקת לידים'!B3010),IF(הגדרות!$E$3&gt;0,TEXT('הדבקת לידים'!B3010,REPT("0",הגדרות!$E$3)),TEXT('הדבקת לידים'!B3010,"0")),TRIM('הדבקת לידים'!B3010)))</f>
        <v/>
      </c>
      <c r="C3010" s="0" t="n">
        <f aca="false">IF(OR(A3010&lt;&gt;"",B3010&lt;&gt;""),1,0)</f>
        <v>0</v>
      </c>
      <c r="D3010" s="0" t="str">
        <f aca="false">IF(C3010=1,MOD(ABS(SIN(ROW()*12.9898+'הדבקת לידים'!$F$2*78.233+IFERROR(--RIGHT(A3010,6),LEN(A3010))*0.0137+IFERROR(--RIGHT(B3010,6),LEN(B3010))*0.0071))*43758.5453,1),"")</f>
        <v/>
      </c>
      <c r="E3010" s="0" t="str">
        <f aca="false">IF(C3010=1,INT(MOD(ABS(SIN(D3010*7919.123+ROW()*0.618+'הדבקת לידים'!$F$2*1.3))*43758.5453,1)*1000000)*10000+ROW(),"")</f>
        <v/>
      </c>
      <c r="F3010" s="0" t="str">
        <f aca="false">IF(E3010="","",RANK(E3010,$E$2:$E$5001,1))</f>
        <v/>
      </c>
      <c r="G3010" s="0" t="n">
        <f aca="false">IF(A3010="",0,IF(SUMPRODUCT(--($A$2:$A$5001=A3010))&gt;1,1,0))</f>
        <v>0</v>
      </c>
      <c r="H3010" s="0" t="n">
        <f aca="false">ROW()-1</f>
        <v>3009</v>
      </c>
      <c r="I3010" s="0" t="str">
        <f aca="false">IF(OR(הגדרות!$E$6=0,H3010&gt;הגדרות!$E$5),"",IF(H3010-1&lt;הגדרות!$E$8*(הגדרות!$E$7+1),INT((H3010-1)/(הגדרות!$E$7+1)),הגדרות!$E$8+INT((H3010-1-הגדרות!$E$8*(הגדרות!$E$7+1))/הגדרות!$E$7)))</f>
        <v/>
      </c>
      <c r="J3010" s="0" t="str">
        <f aca="false">IF(I3010="","",IF(H3010-1&lt;הגדרות!$E$8*(הגדרות!$E$7+1),MOD(H3010-1,הגדרות!$E$7+1),MOD(H3010-1-הגדרות!$E$8*(הגדרות!$E$7+1),הגדרות!$E$7)))</f>
        <v/>
      </c>
      <c r="K3010" s="0" t="str">
        <f aca="false">IF(I3010="","",J3010*הגדרות!$E$6+I3010+1)</f>
        <v/>
      </c>
      <c r="L3010" s="0" t="str">
        <f aca="false">IF(K3010="","",MATCH(K3010,$F$2:$F$5001,0))</f>
        <v/>
      </c>
      <c r="M3010" s="0" t="str">
        <f aca="false">IF(I3010="","",INDEX(הגדרות!$A$2:$A$21,MOD(I3010+הגדרות!$E$9,הגדרות!$E$6)+1))</f>
        <v/>
      </c>
    </row>
    <row r="3011" customFormat="false" ht="15" hidden="false" customHeight="false" outlineLevel="0" collapsed="false">
      <c r="A3011" s="0" t="str">
        <f aca="false">IF('הדבקת לידים'!A3011="","",IF(ISNUMBER('הדבקת לידים'!A3011),IF(הגדרות!$E$2&gt;0,TEXT('הדבקת לידים'!A3011,REPT("0",הגדרות!$E$2)),TEXT('הדבקת לידים'!A3011,"0")),TRIM('הדבקת לידים'!A3011)))</f>
        <v/>
      </c>
      <c r="B3011" s="0" t="str">
        <f aca="false">IF('הדבקת לידים'!B3011="","",IF(ISNUMBER('הדבקת לידים'!B3011),IF(הגדרות!$E$3&gt;0,TEXT('הדבקת לידים'!B3011,REPT("0",הגדרות!$E$3)),TEXT('הדבקת לידים'!B3011,"0")),TRIM('הדבקת לידים'!B3011)))</f>
        <v/>
      </c>
      <c r="C3011" s="0" t="n">
        <f aca="false">IF(OR(A3011&lt;&gt;"",B3011&lt;&gt;""),1,0)</f>
        <v>0</v>
      </c>
      <c r="D3011" s="0" t="str">
        <f aca="false">IF(C3011=1,MOD(ABS(SIN(ROW()*12.9898+'הדבקת לידים'!$F$2*78.233+IFERROR(--RIGHT(A3011,6),LEN(A3011))*0.0137+IFERROR(--RIGHT(B3011,6),LEN(B3011))*0.0071))*43758.5453,1),"")</f>
        <v/>
      </c>
      <c r="E3011" s="0" t="str">
        <f aca="false">IF(C3011=1,INT(MOD(ABS(SIN(D3011*7919.123+ROW()*0.618+'הדבקת לידים'!$F$2*1.3))*43758.5453,1)*1000000)*10000+ROW(),"")</f>
        <v/>
      </c>
      <c r="F3011" s="0" t="str">
        <f aca="false">IF(E3011="","",RANK(E3011,$E$2:$E$5001,1))</f>
        <v/>
      </c>
      <c r="G3011" s="0" t="n">
        <f aca="false">IF(A3011="",0,IF(SUMPRODUCT(--($A$2:$A$5001=A3011))&gt;1,1,0))</f>
        <v>0</v>
      </c>
      <c r="H3011" s="0" t="n">
        <f aca="false">ROW()-1</f>
        <v>3010</v>
      </c>
      <c r="I3011" s="0" t="str">
        <f aca="false">IF(OR(הגדרות!$E$6=0,H3011&gt;הגדרות!$E$5),"",IF(H3011-1&lt;הגדרות!$E$8*(הגדרות!$E$7+1),INT((H3011-1)/(הגדרות!$E$7+1)),הגדרות!$E$8+INT((H3011-1-הגדרות!$E$8*(הגדרות!$E$7+1))/הגדרות!$E$7)))</f>
        <v/>
      </c>
      <c r="J3011" s="0" t="str">
        <f aca="false">IF(I3011="","",IF(H3011-1&lt;הגדרות!$E$8*(הגדרות!$E$7+1),MOD(H3011-1,הגדרות!$E$7+1),MOD(H3011-1-הגדרות!$E$8*(הגדרות!$E$7+1),הגדרות!$E$7)))</f>
        <v/>
      </c>
      <c r="K3011" s="0" t="str">
        <f aca="false">IF(I3011="","",J3011*הגדרות!$E$6+I3011+1)</f>
        <v/>
      </c>
      <c r="L3011" s="0" t="str">
        <f aca="false">IF(K3011="","",MATCH(K3011,$F$2:$F$5001,0))</f>
        <v/>
      </c>
      <c r="M3011" s="0" t="str">
        <f aca="false">IF(I3011="","",INDEX(הגדרות!$A$2:$A$21,MOD(I3011+הגדרות!$E$9,הגדרות!$E$6)+1))</f>
        <v/>
      </c>
    </row>
    <row r="3012" customFormat="false" ht="15" hidden="false" customHeight="false" outlineLevel="0" collapsed="false">
      <c r="A3012" s="0" t="str">
        <f aca="false">IF('הדבקת לידים'!A3012="","",IF(ISNUMBER('הדבקת לידים'!A3012),IF(הגדרות!$E$2&gt;0,TEXT('הדבקת לידים'!A3012,REPT("0",הגדרות!$E$2)),TEXT('הדבקת לידים'!A3012,"0")),TRIM('הדבקת לידים'!A3012)))</f>
        <v/>
      </c>
      <c r="B3012" s="0" t="str">
        <f aca="false">IF('הדבקת לידים'!B3012="","",IF(ISNUMBER('הדבקת לידים'!B3012),IF(הגדרות!$E$3&gt;0,TEXT('הדבקת לידים'!B3012,REPT("0",הגדרות!$E$3)),TEXT('הדבקת לידים'!B3012,"0")),TRIM('הדבקת לידים'!B3012)))</f>
        <v/>
      </c>
      <c r="C3012" s="0" t="n">
        <f aca="false">IF(OR(A3012&lt;&gt;"",B3012&lt;&gt;""),1,0)</f>
        <v>0</v>
      </c>
      <c r="D3012" s="0" t="str">
        <f aca="false">IF(C3012=1,MOD(ABS(SIN(ROW()*12.9898+'הדבקת לידים'!$F$2*78.233+IFERROR(--RIGHT(A3012,6),LEN(A3012))*0.0137+IFERROR(--RIGHT(B3012,6),LEN(B3012))*0.0071))*43758.5453,1),"")</f>
        <v/>
      </c>
      <c r="E3012" s="0" t="str">
        <f aca="false">IF(C3012=1,INT(MOD(ABS(SIN(D3012*7919.123+ROW()*0.618+'הדבקת לידים'!$F$2*1.3))*43758.5453,1)*1000000)*10000+ROW(),"")</f>
        <v/>
      </c>
      <c r="F3012" s="0" t="str">
        <f aca="false">IF(E3012="","",RANK(E3012,$E$2:$E$5001,1))</f>
        <v/>
      </c>
      <c r="G3012" s="0" t="n">
        <f aca="false">IF(A3012="",0,IF(SUMPRODUCT(--($A$2:$A$5001=A3012))&gt;1,1,0))</f>
        <v>0</v>
      </c>
      <c r="H3012" s="0" t="n">
        <f aca="false">ROW()-1</f>
        <v>3011</v>
      </c>
      <c r="I3012" s="0" t="str">
        <f aca="false">IF(OR(הגדרות!$E$6=0,H3012&gt;הגדרות!$E$5),"",IF(H3012-1&lt;הגדרות!$E$8*(הגדרות!$E$7+1),INT((H3012-1)/(הגדרות!$E$7+1)),הגדרות!$E$8+INT((H3012-1-הגדרות!$E$8*(הגדרות!$E$7+1))/הגדרות!$E$7)))</f>
        <v/>
      </c>
      <c r="J3012" s="0" t="str">
        <f aca="false">IF(I3012="","",IF(H3012-1&lt;הגדרות!$E$8*(הגדרות!$E$7+1),MOD(H3012-1,הגדרות!$E$7+1),MOD(H3012-1-הגדרות!$E$8*(הגדרות!$E$7+1),הגדרות!$E$7)))</f>
        <v/>
      </c>
      <c r="K3012" s="0" t="str">
        <f aca="false">IF(I3012="","",J3012*הגדרות!$E$6+I3012+1)</f>
        <v/>
      </c>
      <c r="L3012" s="0" t="str">
        <f aca="false">IF(K3012="","",MATCH(K3012,$F$2:$F$5001,0))</f>
        <v/>
      </c>
      <c r="M3012" s="0" t="str">
        <f aca="false">IF(I3012="","",INDEX(הגדרות!$A$2:$A$21,MOD(I3012+הגדרות!$E$9,הגדרות!$E$6)+1))</f>
        <v/>
      </c>
    </row>
    <row r="3013" customFormat="false" ht="15" hidden="false" customHeight="false" outlineLevel="0" collapsed="false">
      <c r="A3013" s="0" t="str">
        <f aca="false">IF('הדבקת לידים'!A3013="","",IF(ISNUMBER('הדבקת לידים'!A3013),IF(הגדרות!$E$2&gt;0,TEXT('הדבקת לידים'!A3013,REPT("0",הגדרות!$E$2)),TEXT('הדבקת לידים'!A3013,"0")),TRIM('הדבקת לידים'!A3013)))</f>
        <v/>
      </c>
      <c r="B3013" s="0" t="str">
        <f aca="false">IF('הדבקת לידים'!B3013="","",IF(ISNUMBER('הדבקת לידים'!B3013),IF(הגדרות!$E$3&gt;0,TEXT('הדבקת לידים'!B3013,REPT("0",הגדרות!$E$3)),TEXT('הדבקת לידים'!B3013,"0")),TRIM('הדבקת לידים'!B3013)))</f>
        <v/>
      </c>
      <c r="C3013" s="0" t="n">
        <f aca="false">IF(OR(A3013&lt;&gt;"",B3013&lt;&gt;""),1,0)</f>
        <v>0</v>
      </c>
      <c r="D3013" s="0" t="str">
        <f aca="false">IF(C3013=1,MOD(ABS(SIN(ROW()*12.9898+'הדבקת לידים'!$F$2*78.233+IFERROR(--RIGHT(A3013,6),LEN(A3013))*0.0137+IFERROR(--RIGHT(B3013,6),LEN(B3013))*0.0071))*43758.5453,1),"")</f>
        <v/>
      </c>
      <c r="E3013" s="0" t="str">
        <f aca="false">IF(C3013=1,INT(MOD(ABS(SIN(D3013*7919.123+ROW()*0.618+'הדבקת לידים'!$F$2*1.3))*43758.5453,1)*1000000)*10000+ROW(),"")</f>
        <v/>
      </c>
      <c r="F3013" s="0" t="str">
        <f aca="false">IF(E3013="","",RANK(E3013,$E$2:$E$5001,1))</f>
        <v/>
      </c>
      <c r="G3013" s="0" t="n">
        <f aca="false">IF(A3013="",0,IF(SUMPRODUCT(--($A$2:$A$5001=A3013))&gt;1,1,0))</f>
        <v>0</v>
      </c>
      <c r="H3013" s="0" t="n">
        <f aca="false">ROW()-1</f>
        <v>3012</v>
      </c>
      <c r="I3013" s="0" t="str">
        <f aca="false">IF(OR(הגדרות!$E$6=0,H3013&gt;הגדרות!$E$5),"",IF(H3013-1&lt;הגדרות!$E$8*(הגדרות!$E$7+1),INT((H3013-1)/(הגדרות!$E$7+1)),הגדרות!$E$8+INT((H3013-1-הגדרות!$E$8*(הגדרות!$E$7+1))/הגדרות!$E$7)))</f>
        <v/>
      </c>
      <c r="J3013" s="0" t="str">
        <f aca="false">IF(I3013="","",IF(H3013-1&lt;הגדרות!$E$8*(הגדרות!$E$7+1),MOD(H3013-1,הגדרות!$E$7+1),MOD(H3013-1-הגדרות!$E$8*(הגדרות!$E$7+1),הגדרות!$E$7)))</f>
        <v/>
      </c>
      <c r="K3013" s="0" t="str">
        <f aca="false">IF(I3013="","",J3013*הגדרות!$E$6+I3013+1)</f>
        <v/>
      </c>
      <c r="L3013" s="0" t="str">
        <f aca="false">IF(K3013="","",MATCH(K3013,$F$2:$F$5001,0))</f>
        <v/>
      </c>
      <c r="M3013" s="0" t="str">
        <f aca="false">IF(I3013="","",INDEX(הגדרות!$A$2:$A$21,MOD(I3013+הגדרות!$E$9,הגדרות!$E$6)+1))</f>
        <v/>
      </c>
    </row>
    <row r="3014" customFormat="false" ht="15" hidden="false" customHeight="false" outlineLevel="0" collapsed="false">
      <c r="A3014" s="0" t="str">
        <f aca="false">IF('הדבקת לידים'!A3014="","",IF(ISNUMBER('הדבקת לידים'!A3014),IF(הגדרות!$E$2&gt;0,TEXT('הדבקת לידים'!A3014,REPT("0",הגדרות!$E$2)),TEXT('הדבקת לידים'!A3014,"0")),TRIM('הדבקת לידים'!A3014)))</f>
        <v/>
      </c>
      <c r="B3014" s="0" t="str">
        <f aca="false">IF('הדבקת לידים'!B3014="","",IF(ISNUMBER('הדבקת לידים'!B3014),IF(הגדרות!$E$3&gt;0,TEXT('הדבקת לידים'!B3014,REPT("0",הגדרות!$E$3)),TEXT('הדבקת לידים'!B3014,"0")),TRIM('הדבקת לידים'!B3014)))</f>
        <v/>
      </c>
      <c r="C3014" s="0" t="n">
        <f aca="false">IF(OR(A3014&lt;&gt;"",B3014&lt;&gt;""),1,0)</f>
        <v>0</v>
      </c>
      <c r="D3014" s="0" t="str">
        <f aca="false">IF(C3014=1,MOD(ABS(SIN(ROW()*12.9898+'הדבקת לידים'!$F$2*78.233+IFERROR(--RIGHT(A3014,6),LEN(A3014))*0.0137+IFERROR(--RIGHT(B3014,6),LEN(B3014))*0.0071))*43758.5453,1),"")</f>
        <v/>
      </c>
      <c r="E3014" s="0" t="str">
        <f aca="false">IF(C3014=1,INT(MOD(ABS(SIN(D3014*7919.123+ROW()*0.618+'הדבקת לידים'!$F$2*1.3))*43758.5453,1)*1000000)*10000+ROW(),"")</f>
        <v/>
      </c>
      <c r="F3014" s="0" t="str">
        <f aca="false">IF(E3014="","",RANK(E3014,$E$2:$E$5001,1))</f>
        <v/>
      </c>
      <c r="G3014" s="0" t="n">
        <f aca="false">IF(A3014="",0,IF(SUMPRODUCT(--($A$2:$A$5001=A3014))&gt;1,1,0))</f>
        <v>0</v>
      </c>
      <c r="H3014" s="0" t="n">
        <f aca="false">ROW()-1</f>
        <v>3013</v>
      </c>
      <c r="I3014" s="0" t="str">
        <f aca="false">IF(OR(הגדרות!$E$6=0,H3014&gt;הגדרות!$E$5),"",IF(H3014-1&lt;הגדרות!$E$8*(הגדרות!$E$7+1),INT((H3014-1)/(הגדרות!$E$7+1)),הגדרות!$E$8+INT((H3014-1-הגדרות!$E$8*(הגדרות!$E$7+1))/הגדרות!$E$7)))</f>
        <v/>
      </c>
      <c r="J3014" s="0" t="str">
        <f aca="false">IF(I3014="","",IF(H3014-1&lt;הגדרות!$E$8*(הגדרות!$E$7+1),MOD(H3014-1,הגדרות!$E$7+1),MOD(H3014-1-הגדרות!$E$8*(הגדרות!$E$7+1),הגדרות!$E$7)))</f>
        <v/>
      </c>
      <c r="K3014" s="0" t="str">
        <f aca="false">IF(I3014="","",J3014*הגדרות!$E$6+I3014+1)</f>
        <v/>
      </c>
      <c r="L3014" s="0" t="str">
        <f aca="false">IF(K3014="","",MATCH(K3014,$F$2:$F$5001,0))</f>
        <v/>
      </c>
      <c r="M3014" s="0" t="str">
        <f aca="false">IF(I3014="","",INDEX(הגדרות!$A$2:$A$21,MOD(I3014+הגדרות!$E$9,הגדרות!$E$6)+1))</f>
        <v/>
      </c>
    </row>
    <row r="3015" customFormat="false" ht="15" hidden="false" customHeight="false" outlineLevel="0" collapsed="false">
      <c r="A3015" s="0" t="str">
        <f aca="false">IF('הדבקת לידים'!A3015="","",IF(ISNUMBER('הדבקת לידים'!A3015),IF(הגדרות!$E$2&gt;0,TEXT('הדבקת לידים'!A3015,REPT("0",הגדרות!$E$2)),TEXT('הדבקת לידים'!A3015,"0")),TRIM('הדבקת לידים'!A3015)))</f>
        <v/>
      </c>
      <c r="B3015" s="0" t="str">
        <f aca="false">IF('הדבקת לידים'!B3015="","",IF(ISNUMBER('הדבקת לידים'!B3015),IF(הגדרות!$E$3&gt;0,TEXT('הדבקת לידים'!B3015,REPT("0",הגדרות!$E$3)),TEXT('הדבקת לידים'!B3015,"0")),TRIM('הדבקת לידים'!B3015)))</f>
        <v/>
      </c>
      <c r="C3015" s="0" t="n">
        <f aca="false">IF(OR(A3015&lt;&gt;"",B3015&lt;&gt;""),1,0)</f>
        <v>0</v>
      </c>
      <c r="D3015" s="0" t="str">
        <f aca="false">IF(C3015=1,MOD(ABS(SIN(ROW()*12.9898+'הדבקת לידים'!$F$2*78.233+IFERROR(--RIGHT(A3015,6),LEN(A3015))*0.0137+IFERROR(--RIGHT(B3015,6),LEN(B3015))*0.0071))*43758.5453,1),"")</f>
        <v/>
      </c>
      <c r="E3015" s="0" t="str">
        <f aca="false">IF(C3015=1,INT(MOD(ABS(SIN(D3015*7919.123+ROW()*0.618+'הדבקת לידים'!$F$2*1.3))*43758.5453,1)*1000000)*10000+ROW(),"")</f>
        <v/>
      </c>
      <c r="F3015" s="0" t="str">
        <f aca="false">IF(E3015="","",RANK(E3015,$E$2:$E$5001,1))</f>
        <v/>
      </c>
      <c r="G3015" s="0" t="n">
        <f aca="false">IF(A3015="",0,IF(SUMPRODUCT(--($A$2:$A$5001=A3015))&gt;1,1,0))</f>
        <v>0</v>
      </c>
      <c r="H3015" s="0" t="n">
        <f aca="false">ROW()-1</f>
        <v>3014</v>
      </c>
      <c r="I3015" s="0" t="str">
        <f aca="false">IF(OR(הגדרות!$E$6=0,H3015&gt;הגדרות!$E$5),"",IF(H3015-1&lt;הגדרות!$E$8*(הגדרות!$E$7+1),INT((H3015-1)/(הגדרות!$E$7+1)),הגדרות!$E$8+INT((H3015-1-הגדרות!$E$8*(הגדרות!$E$7+1))/הגדרות!$E$7)))</f>
        <v/>
      </c>
      <c r="J3015" s="0" t="str">
        <f aca="false">IF(I3015="","",IF(H3015-1&lt;הגדרות!$E$8*(הגדרות!$E$7+1),MOD(H3015-1,הגדרות!$E$7+1),MOD(H3015-1-הגדרות!$E$8*(הגדרות!$E$7+1),הגדרות!$E$7)))</f>
        <v/>
      </c>
      <c r="K3015" s="0" t="str">
        <f aca="false">IF(I3015="","",J3015*הגדרות!$E$6+I3015+1)</f>
        <v/>
      </c>
      <c r="L3015" s="0" t="str">
        <f aca="false">IF(K3015="","",MATCH(K3015,$F$2:$F$5001,0))</f>
        <v/>
      </c>
      <c r="M3015" s="0" t="str">
        <f aca="false">IF(I3015="","",INDEX(הגדרות!$A$2:$A$21,MOD(I3015+הגדרות!$E$9,הגדרות!$E$6)+1))</f>
        <v/>
      </c>
    </row>
    <row r="3016" customFormat="false" ht="15" hidden="false" customHeight="false" outlineLevel="0" collapsed="false">
      <c r="A3016" s="0" t="str">
        <f aca="false">IF('הדבקת לידים'!A3016="","",IF(ISNUMBER('הדבקת לידים'!A3016),IF(הגדרות!$E$2&gt;0,TEXT('הדבקת לידים'!A3016,REPT("0",הגדרות!$E$2)),TEXT('הדבקת לידים'!A3016,"0")),TRIM('הדבקת לידים'!A3016)))</f>
        <v/>
      </c>
      <c r="B3016" s="0" t="str">
        <f aca="false">IF('הדבקת לידים'!B3016="","",IF(ISNUMBER('הדבקת לידים'!B3016),IF(הגדרות!$E$3&gt;0,TEXT('הדבקת לידים'!B3016,REPT("0",הגדרות!$E$3)),TEXT('הדבקת לידים'!B3016,"0")),TRIM('הדבקת לידים'!B3016)))</f>
        <v/>
      </c>
      <c r="C3016" s="0" t="n">
        <f aca="false">IF(OR(A3016&lt;&gt;"",B3016&lt;&gt;""),1,0)</f>
        <v>0</v>
      </c>
      <c r="D3016" s="0" t="str">
        <f aca="false">IF(C3016=1,MOD(ABS(SIN(ROW()*12.9898+'הדבקת לידים'!$F$2*78.233+IFERROR(--RIGHT(A3016,6),LEN(A3016))*0.0137+IFERROR(--RIGHT(B3016,6),LEN(B3016))*0.0071))*43758.5453,1),"")</f>
        <v/>
      </c>
      <c r="E3016" s="0" t="str">
        <f aca="false">IF(C3016=1,INT(MOD(ABS(SIN(D3016*7919.123+ROW()*0.618+'הדבקת לידים'!$F$2*1.3))*43758.5453,1)*1000000)*10000+ROW(),"")</f>
        <v/>
      </c>
      <c r="F3016" s="0" t="str">
        <f aca="false">IF(E3016="","",RANK(E3016,$E$2:$E$5001,1))</f>
        <v/>
      </c>
      <c r="G3016" s="0" t="n">
        <f aca="false">IF(A3016="",0,IF(SUMPRODUCT(--($A$2:$A$5001=A3016))&gt;1,1,0))</f>
        <v>0</v>
      </c>
      <c r="H3016" s="0" t="n">
        <f aca="false">ROW()-1</f>
        <v>3015</v>
      </c>
      <c r="I3016" s="0" t="str">
        <f aca="false">IF(OR(הגדרות!$E$6=0,H3016&gt;הגדרות!$E$5),"",IF(H3016-1&lt;הגדרות!$E$8*(הגדרות!$E$7+1),INT((H3016-1)/(הגדרות!$E$7+1)),הגדרות!$E$8+INT((H3016-1-הגדרות!$E$8*(הגדרות!$E$7+1))/הגדרות!$E$7)))</f>
        <v/>
      </c>
      <c r="J3016" s="0" t="str">
        <f aca="false">IF(I3016="","",IF(H3016-1&lt;הגדרות!$E$8*(הגדרות!$E$7+1),MOD(H3016-1,הגדרות!$E$7+1),MOD(H3016-1-הגדרות!$E$8*(הגדרות!$E$7+1),הגדרות!$E$7)))</f>
        <v/>
      </c>
      <c r="K3016" s="0" t="str">
        <f aca="false">IF(I3016="","",J3016*הגדרות!$E$6+I3016+1)</f>
        <v/>
      </c>
      <c r="L3016" s="0" t="str">
        <f aca="false">IF(K3016="","",MATCH(K3016,$F$2:$F$5001,0))</f>
        <v/>
      </c>
      <c r="M3016" s="0" t="str">
        <f aca="false">IF(I3016="","",INDEX(הגדרות!$A$2:$A$21,MOD(I3016+הגדרות!$E$9,הגדרות!$E$6)+1))</f>
        <v/>
      </c>
    </row>
    <row r="3017" customFormat="false" ht="15" hidden="false" customHeight="false" outlineLevel="0" collapsed="false">
      <c r="A3017" s="0" t="str">
        <f aca="false">IF('הדבקת לידים'!A3017="","",IF(ISNUMBER('הדבקת לידים'!A3017),IF(הגדרות!$E$2&gt;0,TEXT('הדבקת לידים'!A3017,REPT("0",הגדרות!$E$2)),TEXT('הדבקת לידים'!A3017,"0")),TRIM('הדבקת לידים'!A3017)))</f>
        <v/>
      </c>
      <c r="B3017" s="0" t="str">
        <f aca="false">IF('הדבקת לידים'!B3017="","",IF(ISNUMBER('הדבקת לידים'!B3017),IF(הגדרות!$E$3&gt;0,TEXT('הדבקת לידים'!B3017,REPT("0",הגדרות!$E$3)),TEXT('הדבקת לידים'!B3017,"0")),TRIM('הדבקת לידים'!B3017)))</f>
        <v/>
      </c>
      <c r="C3017" s="0" t="n">
        <f aca="false">IF(OR(A3017&lt;&gt;"",B3017&lt;&gt;""),1,0)</f>
        <v>0</v>
      </c>
      <c r="D3017" s="0" t="str">
        <f aca="false">IF(C3017=1,MOD(ABS(SIN(ROW()*12.9898+'הדבקת לידים'!$F$2*78.233+IFERROR(--RIGHT(A3017,6),LEN(A3017))*0.0137+IFERROR(--RIGHT(B3017,6),LEN(B3017))*0.0071))*43758.5453,1),"")</f>
        <v/>
      </c>
      <c r="E3017" s="0" t="str">
        <f aca="false">IF(C3017=1,INT(MOD(ABS(SIN(D3017*7919.123+ROW()*0.618+'הדבקת לידים'!$F$2*1.3))*43758.5453,1)*1000000)*10000+ROW(),"")</f>
        <v/>
      </c>
      <c r="F3017" s="0" t="str">
        <f aca="false">IF(E3017="","",RANK(E3017,$E$2:$E$5001,1))</f>
        <v/>
      </c>
      <c r="G3017" s="0" t="n">
        <f aca="false">IF(A3017="",0,IF(SUMPRODUCT(--($A$2:$A$5001=A3017))&gt;1,1,0))</f>
        <v>0</v>
      </c>
      <c r="H3017" s="0" t="n">
        <f aca="false">ROW()-1</f>
        <v>3016</v>
      </c>
      <c r="I3017" s="0" t="str">
        <f aca="false">IF(OR(הגדרות!$E$6=0,H3017&gt;הגדרות!$E$5),"",IF(H3017-1&lt;הגדרות!$E$8*(הגדרות!$E$7+1),INT((H3017-1)/(הגדרות!$E$7+1)),הגדרות!$E$8+INT((H3017-1-הגדרות!$E$8*(הגדרות!$E$7+1))/הגדרות!$E$7)))</f>
        <v/>
      </c>
      <c r="J3017" s="0" t="str">
        <f aca="false">IF(I3017="","",IF(H3017-1&lt;הגדרות!$E$8*(הגדרות!$E$7+1),MOD(H3017-1,הגדרות!$E$7+1),MOD(H3017-1-הגדרות!$E$8*(הגדרות!$E$7+1),הגדרות!$E$7)))</f>
        <v/>
      </c>
      <c r="K3017" s="0" t="str">
        <f aca="false">IF(I3017="","",J3017*הגדרות!$E$6+I3017+1)</f>
        <v/>
      </c>
      <c r="L3017" s="0" t="str">
        <f aca="false">IF(K3017="","",MATCH(K3017,$F$2:$F$5001,0))</f>
        <v/>
      </c>
      <c r="M3017" s="0" t="str">
        <f aca="false">IF(I3017="","",INDEX(הגדרות!$A$2:$A$21,MOD(I3017+הגדרות!$E$9,הגדרות!$E$6)+1))</f>
        <v/>
      </c>
    </row>
    <row r="3018" customFormat="false" ht="15" hidden="false" customHeight="false" outlineLevel="0" collapsed="false">
      <c r="A3018" s="0" t="str">
        <f aca="false">IF('הדבקת לידים'!A3018="","",IF(ISNUMBER('הדבקת לידים'!A3018),IF(הגדרות!$E$2&gt;0,TEXT('הדבקת לידים'!A3018,REPT("0",הגדרות!$E$2)),TEXT('הדבקת לידים'!A3018,"0")),TRIM('הדבקת לידים'!A3018)))</f>
        <v/>
      </c>
      <c r="B3018" s="0" t="str">
        <f aca="false">IF('הדבקת לידים'!B3018="","",IF(ISNUMBER('הדבקת לידים'!B3018),IF(הגדרות!$E$3&gt;0,TEXT('הדבקת לידים'!B3018,REPT("0",הגדרות!$E$3)),TEXT('הדבקת לידים'!B3018,"0")),TRIM('הדבקת לידים'!B3018)))</f>
        <v/>
      </c>
      <c r="C3018" s="0" t="n">
        <f aca="false">IF(OR(A3018&lt;&gt;"",B3018&lt;&gt;""),1,0)</f>
        <v>0</v>
      </c>
      <c r="D3018" s="0" t="str">
        <f aca="false">IF(C3018=1,MOD(ABS(SIN(ROW()*12.9898+'הדבקת לידים'!$F$2*78.233+IFERROR(--RIGHT(A3018,6),LEN(A3018))*0.0137+IFERROR(--RIGHT(B3018,6),LEN(B3018))*0.0071))*43758.5453,1),"")</f>
        <v/>
      </c>
      <c r="E3018" s="0" t="str">
        <f aca="false">IF(C3018=1,INT(MOD(ABS(SIN(D3018*7919.123+ROW()*0.618+'הדבקת לידים'!$F$2*1.3))*43758.5453,1)*1000000)*10000+ROW(),"")</f>
        <v/>
      </c>
      <c r="F3018" s="0" t="str">
        <f aca="false">IF(E3018="","",RANK(E3018,$E$2:$E$5001,1))</f>
        <v/>
      </c>
      <c r="G3018" s="0" t="n">
        <f aca="false">IF(A3018="",0,IF(SUMPRODUCT(--($A$2:$A$5001=A3018))&gt;1,1,0))</f>
        <v>0</v>
      </c>
      <c r="H3018" s="0" t="n">
        <f aca="false">ROW()-1</f>
        <v>3017</v>
      </c>
      <c r="I3018" s="0" t="str">
        <f aca="false">IF(OR(הגדרות!$E$6=0,H3018&gt;הגדרות!$E$5),"",IF(H3018-1&lt;הגדרות!$E$8*(הגדרות!$E$7+1),INT((H3018-1)/(הגדרות!$E$7+1)),הגדרות!$E$8+INT((H3018-1-הגדרות!$E$8*(הגדרות!$E$7+1))/הגדרות!$E$7)))</f>
        <v/>
      </c>
      <c r="J3018" s="0" t="str">
        <f aca="false">IF(I3018="","",IF(H3018-1&lt;הגדרות!$E$8*(הגדרות!$E$7+1),MOD(H3018-1,הגדרות!$E$7+1),MOD(H3018-1-הגדרות!$E$8*(הגדרות!$E$7+1),הגדרות!$E$7)))</f>
        <v/>
      </c>
      <c r="K3018" s="0" t="str">
        <f aca="false">IF(I3018="","",J3018*הגדרות!$E$6+I3018+1)</f>
        <v/>
      </c>
      <c r="L3018" s="0" t="str">
        <f aca="false">IF(K3018="","",MATCH(K3018,$F$2:$F$5001,0))</f>
        <v/>
      </c>
      <c r="M3018" s="0" t="str">
        <f aca="false">IF(I3018="","",INDEX(הגדרות!$A$2:$A$21,MOD(I3018+הגדרות!$E$9,הגדרות!$E$6)+1))</f>
        <v/>
      </c>
    </row>
    <row r="3019" customFormat="false" ht="15" hidden="false" customHeight="false" outlineLevel="0" collapsed="false">
      <c r="A3019" s="0" t="str">
        <f aca="false">IF('הדבקת לידים'!A3019="","",IF(ISNUMBER('הדבקת לידים'!A3019),IF(הגדרות!$E$2&gt;0,TEXT('הדבקת לידים'!A3019,REPT("0",הגדרות!$E$2)),TEXT('הדבקת לידים'!A3019,"0")),TRIM('הדבקת לידים'!A3019)))</f>
        <v/>
      </c>
      <c r="B3019" s="0" t="str">
        <f aca="false">IF('הדבקת לידים'!B3019="","",IF(ISNUMBER('הדבקת לידים'!B3019),IF(הגדרות!$E$3&gt;0,TEXT('הדבקת לידים'!B3019,REPT("0",הגדרות!$E$3)),TEXT('הדבקת לידים'!B3019,"0")),TRIM('הדבקת לידים'!B3019)))</f>
        <v/>
      </c>
      <c r="C3019" s="0" t="n">
        <f aca="false">IF(OR(A3019&lt;&gt;"",B3019&lt;&gt;""),1,0)</f>
        <v>0</v>
      </c>
      <c r="D3019" s="0" t="str">
        <f aca="false">IF(C3019=1,MOD(ABS(SIN(ROW()*12.9898+'הדבקת לידים'!$F$2*78.233+IFERROR(--RIGHT(A3019,6),LEN(A3019))*0.0137+IFERROR(--RIGHT(B3019,6),LEN(B3019))*0.0071))*43758.5453,1),"")</f>
        <v/>
      </c>
      <c r="E3019" s="0" t="str">
        <f aca="false">IF(C3019=1,INT(MOD(ABS(SIN(D3019*7919.123+ROW()*0.618+'הדבקת לידים'!$F$2*1.3))*43758.5453,1)*1000000)*10000+ROW(),"")</f>
        <v/>
      </c>
      <c r="F3019" s="0" t="str">
        <f aca="false">IF(E3019="","",RANK(E3019,$E$2:$E$5001,1))</f>
        <v/>
      </c>
      <c r="G3019" s="0" t="n">
        <f aca="false">IF(A3019="",0,IF(SUMPRODUCT(--($A$2:$A$5001=A3019))&gt;1,1,0))</f>
        <v>0</v>
      </c>
      <c r="H3019" s="0" t="n">
        <f aca="false">ROW()-1</f>
        <v>3018</v>
      </c>
      <c r="I3019" s="0" t="str">
        <f aca="false">IF(OR(הגדרות!$E$6=0,H3019&gt;הגדרות!$E$5),"",IF(H3019-1&lt;הגדרות!$E$8*(הגדרות!$E$7+1),INT((H3019-1)/(הגדרות!$E$7+1)),הגדרות!$E$8+INT((H3019-1-הגדרות!$E$8*(הגדרות!$E$7+1))/הגדרות!$E$7)))</f>
        <v/>
      </c>
      <c r="J3019" s="0" t="str">
        <f aca="false">IF(I3019="","",IF(H3019-1&lt;הגדרות!$E$8*(הגדרות!$E$7+1),MOD(H3019-1,הגדרות!$E$7+1),MOD(H3019-1-הגדרות!$E$8*(הגדרות!$E$7+1),הגדרות!$E$7)))</f>
        <v/>
      </c>
      <c r="K3019" s="0" t="str">
        <f aca="false">IF(I3019="","",J3019*הגדרות!$E$6+I3019+1)</f>
        <v/>
      </c>
      <c r="L3019" s="0" t="str">
        <f aca="false">IF(K3019="","",MATCH(K3019,$F$2:$F$5001,0))</f>
        <v/>
      </c>
      <c r="M3019" s="0" t="str">
        <f aca="false">IF(I3019="","",INDEX(הגדרות!$A$2:$A$21,MOD(I3019+הגדרות!$E$9,הגדרות!$E$6)+1))</f>
        <v/>
      </c>
    </row>
    <row r="3020" customFormat="false" ht="15" hidden="false" customHeight="false" outlineLevel="0" collapsed="false">
      <c r="A3020" s="0" t="str">
        <f aca="false">IF('הדבקת לידים'!A3020="","",IF(ISNUMBER('הדבקת לידים'!A3020),IF(הגדרות!$E$2&gt;0,TEXT('הדבקת לידים'!A3020,REPT("0",הגדרות!$E$2)),TEXT('הדבקת לידים'!A3020,"0")),TRIM('הדבקת לידים'!A3020)))</f>
        <v/>
      </c>
      <c r="B3020" s="0" t="str">
        <f aca="false">IF('הדבקת לידים'!B3020="","",IF(ISNUMBER('הדבקת לידים'!B3020),IF(הגדרות!$E$3&gt;0,TEXT('הדבקת לידים'!B3020,REPT("0",הגדרות!$E$3)),TEXT('הדבקת לידים'!B3020,"0")),TRIM('הדבקת לידים'!B3020)))</f>
        <v/>
      </c>
      <c r="C3020" s="0" t="n">
        <f aca="false">IF(OR(A3020&lt;&gt;"",B3020&lt;&gt;""),1,0)</f>
        <v>0</v>
      </c>
      <c r="D3020" s="0" t="str">
        <f aca="false">IF(C3020=1,MOD(ABS(SIN(ROW()*12.9898+'הדבקת לידים'!$F$2*78.233+IFERROR(--RIGHT(A3020,6),LEN(A3020))*0.0137+IFERROR(--RIGHT(B3020,6),LEN(B3020))*0.0071))*43758.5453,1),"")</f>
        <v/>
      </c>
      <c r="E3020" s="0" t="str">
        <f aca="false">IF(C3020=1,INT(MOD(ABS(SIN(D3020*7919.123+ROW()*0.618+'הדבקת לידים'!$F$2*1.3))*43758.5453,1)*1000000)*10000+ROW(),"")</f>
        <v/>
      </c>
      <c r="F3020" s="0" t="str">
        <f aca="false">IF(E3020="","",RANK(E3020,$E$2:$E$5001,1))</f>
        <v/>
      </c>
      <c r="G3020" s="0" t="n">
        <f aca="false">IF(A3020="",0,IF(SUMPRODUCT(--($A$2:$A$5001=A3020))&gt;1,1,0))</f>
        <v>0</v>
      </c>
      <c r="H3020" s="0" t="n">
        <f aca="false">ROW()-1</f>
        <v>3019</v>
      </c>
      <c r="I3020" s="0" t="str">
        <f aca="false">IF(OR(הגדרות!$E$6=0,H3020&gt;הגדרות!$E$5),"",IF(H3020-1&lt;הגדרות!$E$8*(הגדרות!$E$7+1),INT((H3020-1)/(הגדרות!$E$7+1)),הגדרות!$E$8+INT((H3020-1-הגדרות!$E$8*(הגדרות!$E$7+1))/הגדרות!$E$7)))</f>
        <v/>
      </c>
      <c r="J3020" s="0" t="str">
        <f aca="false">IF(I3020="","",IF(H3020-1&lt;הגדרות!$E$8*(הגדרות!$E$7+1),MOD(H3020-1,הגדרות!$E$7+1),MOD(H3020-1-הגדרות!$E$8*(הגדרות!$E$7+1),הגדרות!$E$7)))</f>
        <v/>
      </c>
      <c r="K3020" s="0" t="str">
        <f aca="false">IF(I3020="","",J3020*הגדרות!$E$6+I3020+1)</f>
        <v/>
      </c>
      <c r="L3020" s="0" t="str">
        <f aca="false">IF(K3020="","",MATCH(K3020,$F$2:$F$5001,0))</f>
        <v/>
      </c>
      <c r="M3020" s="0" t="str">
        <f aca="false">IF(I3020="","",INDEX(הגדרות!$A$2:$A$21,MOD(I3020+הגדרות!$E$9,הגדרות!$E$6)+1))</f>
        <v/>
      </c>
    </row>
    <row r="3021" customFormat="false" ht="15" hidden="false" customHeight="false" outlineLevel="0" collapsed="false">
      <c r="A3021" s="0" t="str">
        <f aca="false">IF('הדבקת לידים'!A3021="","",IF(ISNUMBER('הדבקת לידים'!A3021),IF(הגדרות!$E$2&gt;0,TEXT('הדבקת לידים'!A3021,REPT("0",הגדרות!$E$2)),TEXT('הדבקת לידים'!A3021,"0")),TRIM('הדבקת לידים'!A3021)))</f>
        <v/>
      </c>
      <c r="B3021" s="0" t="str">
        <f aca="false">IF('הדבקת לידים'!B3021="","",IF(ISNUMBER('הדבקת לידים'!B3021),IF(הגדרות!$E$3&gt;0,TEXT('הדבקת לידים'!B3021,REPT("0",הגדרות!$E$3)),TEXT('הדבקת לידים'!B3021,"0")),TRIM('הדבקת לידים'!B3021)))</f>
        <v/>
      </c>
      <c r="C3021" s="0" t="n">
        <f aca="false">IF(OR(A3021&lt;&gt;"",B3021&lt;&gt;""),1,0)</f>
        <v>0</v>
      </c>
      <c r="D3021" s="0" t="str">
        <f aca="false">IF(C3021=1,MOD(ABS(SIN(ROW()*12.9898+'הדבקת לידים'!$F$2*78.233+IFERROR(--RIGHT(A3021,6),LEN(A3021))*0.0137+IFERROR(--RIGHT(B3021,6),LEN(B3021))*0.0071))*43758.5453,1),"")</f>
        <v/>
      </c>
      <c r="E3021" s="0" t="str">
        <f aca="false">IF(C3021=1,INT(MOD(ABS(SIN(D3021*7919.123+ROW()*0.618+'הדבקת לידים'!$F$2*1.3))*43758.5453,1)*1000000)*10000+ROW(),"")</f>
        <v/>
      </c>
      <c r="F3021" s="0" t="str">
        <f aca="false">IF(E3021="","",RANK(E3021,$E$2:$E$5001,1))</f>
        <v/>
      </c>
      <c r="G3021" s="0" t="n">
        <f aca="false">IF(A3021="",0,IF(SUMPRODUCT(--($A$2:$A$5001=A3021))&gt;1,1,0))</f>
        <v>0</v>
      </c>
      <c r="H3021" s="0" t="n">
        <f aca="false">ROW()-1</f>
        <v>3020</v>
      </c>
      <c r="I3021" s="0" t="str">
        <f aca="false">IF(OR(הגדרות!$E$6=0,H3021&gt;הגדרות!$E$5),"",IF(H3021-1&lt;הגדרות!$E$8*(הגדרות!$E$7+1),INT((H3021-1)/(הגדרות!$E$7+1)),הגדרות!$E$8+INT((H3021-1-הגדרות!$E$8*(הגדרות!$E$7+1))/הגדרות!$E$7)))</f>
        <v/>
      </c>
      <c r="J3021" s="0" t="str">
        <f aca="false">IF(I3021="","",IF(H3021-1&lt;הגדרות!$E$8*(הגדרות!$E$7+1),MOD(H3021-1,הגדרות!$E$7+1),MOD(H3021-1-הגדרות!$E$8*(הגדרות!$E$7+1),הגדרות!$E$7)))</f>
        <v/>
      </c>
      <c r="K3021" s="0" t="str">
        <f aca="false">IF(I3021="","",J3021*הגדרות!$E$6+I3021+1)</f>
        <v/>
      </c>
      <c r="L3021" s="0" t="str">
        <f aca="false">IF(K3021="","",MATCH(K3021,$F$2:$F$5001,0))</f>
        <v/>
      </c>
      <c r="M3021" s="0" t="str">
        <f aca="false">IF(I3021="","",INDEX(הגדרות!$A$2:$A$21,MOD(I3021+הגדרות!$E$9,הגדרות!$E$6)+1))</f>
        <v/>
      </c>
    </row>
    <row r="3022" customFormat="false" ht="15" hidden="false" customHeight="false" outlineLevel="0" collapsed="false">
      <c r="A3022" s="0" t="str">
        <f aca="false">IF('הדבקת לידים'!A3022="","",IF(ISNUMBER('הדבקת לידים'!A3022),IF(הגדרות!$E$2&gt;0,TEXT('הדבקת לידים'!A3022,REPT("0",הגדרות!$E$2)),TEXT('הדבקת לידים'!A3022,"0")),TRIM('הדבקת לידים'!A3022)))</f>
        <v/>
      </c>
      <c r="B3022" s="0" t="str">
        <f aca="false">IF('הדבקת לידים'!B3022="","",IF(ISNUMBER('הדבקת לידים'!B3022),IF(הגדרות!$E$3&gt;0,TEXT('הדבקת לידים'!B3022,REPT("0",הגדרות!$E$3)),TEXT('הדבקת לידים'!B3022,"0")),TRIM('הדבקת לידים'!B3022)))</f>
        <v/>
      </c>
      <c r="C3022" s="0" t="n">
        <f aca="false">IF(OR(A3022&lt;&gt;"",B3022&lt;&gt;""),1,0)</f>
        <v>0</v>
      </c>
      <c r="D3022" s="0" t="str">
        <f aca="false">IF(C3022=1,MOD(ABS(SIN(ROW()*12.9898+'הדבקת לידים'!$F$2*78.233+IFERROR(--RIGHT(A3022,6),LEN(A3022))*0.0137+IFERROR(--RIGHT(B3022,6),LEN(B3022))*0.0071))*43758.5453,1),"")</f>
        <v/>
      </c>
      <c r="E3022" s="0" t="str">
        <f aca="false">IF(C3022=1,INT(MOD(ABS(SIN(D3022*7919.123+ROW()*0.618+'הדבקת לידים'!$F$2*1.3))*43758.5453,1)*1000000)*10000+ROW(),"")</f>
        <v/>
      </c>
      <c r="F3022" s="0" t="str">
        <f aca="false">IF(E3022="","",RANK(E3022,$E$2:$E$5001,1))</f>
        <v/>
      </c>
      <c r="G3022" s="0" t="n">
        <f aca="false">IF(A3022="",0,IF(SUMPRODUCT(--($A$2:$A$5001=A3022))&gt;1,1,0))</f>
        <v>0</v>
      </c>
      <c r="H3022" s="0" t="n">
        <f aca="false">ROW()-1</f>
        <v>3021</v>
      </c>
      <c r="I3022" s="0" t="str">
        <f aca="false">IF(OR(הגדרות!$E$6=0,H3022&gt;הגדרות!$E$5),"",IF(H3022-1&lt;הגדרות!$E$8*(הגדרות!$E$7+1),INT((H3022-1)/(הגדרות!$E$7+1)),הגדרות!$E$8+INT((H3022-1-הגדרות!$E$8*(הגדרות!$E$7+1))/הגדרות!$E$7)))</f>
        <v/>
      </c>
      <c r="J3022" s="0" t="str">
        <f aca="false">IF(I3022="","",IF(H3022-1&lt;הגדרות!$E$8*(הגדרות!$E$7+1),MOD(H3022-1,הגדרות!$E$7+1),MOD(H3022-1-הגדרות!$E$8*(הגדרות!$E$7+1),הגדרות!$E$7)))</f>
        <v/>
      </c>
      <c r="K3022" s="0" t="str">
        <f aca="false">IF(I3022="","",J3022*הגדרות!$E$6+I3022+1)</f>
        <v/>
      </c>
      <c r="L3022" s="0" t="str">
        <f aca="false">IF(K3022="","",MATCH(K3022,$F$2:$F$5001,0))</f>
        <v/>
      </c>
      <c r="M3022" s="0" t="str">
        <f aca="false">IF(I3022="","",INDEX(הגדרות!$A$2:$A$21,MOD(I3022+הגדרות!$E$9,הגדרות!$E$6)+1))</f>
        <v/>
      </c>
    </row>
    <row r="3023" customFormat="false" ht="15" hidden="false" customHeight="false" outlineLevel="0" collapsed="false">
      <c r="A3023" s="0" t="str">
        <f aca="false">IF('הדבקת לידים'!A3023="","",IF(ISNUMBER('הדבקת לידים'!A3023),IF(הגדרות!$E$2&gt;0,TEXT('הדבקת לידים'!A3023,REPT("0",הגדרות!$E$2)),TEXT('הדבקת לידים'!A3023,"0")),TRIM('הדבקת לידים'!A3023)))</f>
        <v/>
      </c>
      <c r="B3023" s="0" t="str">
        <f aca="false">IF('הדבקת לידים'!B3023="","",IF(ISNUMBER('הדבקת לידים'!B3023),IF(הגדרות!$E$3&gt;0,TEXT('הדבקת לידים'!B3023,REPT("0",הגדרות!$E$3)),TEXT('הדבקת לידים'!B3023,"0")),TRIM('הדבקת לידים'!B3023)))</f>
        <v/>
      </c>
      <c r="C3023" s="0" t="n">
        <f aca="false">IF(OR(A3023&lt;&gt;"",B3023&lt;&gt;""),1,0)</f>
        <v>0</v>
      </c>
      <c r="D3023" s="0" t="str">
        <f aca="false">IF(C3023=1,MOD(ABS(SIN(ROW()*12.9898+'הדבקת לידים'!$F$2*78.233+IFERROR(--RIGHT(A3023,6),LEN(A3023))*0.0137+IFERROR(--RIGHT(B3023,6),LEN(B3023))*0.0071))*43758.5453,1),"")</f>
        <v/>
      </c>
      <c r="E3023" s="0" t="str">
        <f aca="false">IF(C3023=1,INT(MOD(ABS(SIN(D3023*7919.123+ROW()*0.618+'הדבקת לידים'!$F$2*1.3))*43758.5453,1)*1000000)*10000+ROW(),"")</f>
        <v/>
      </c>
      <c r="F3023" s="0" t="str">
        <f aca="false">IF(E3023="","",RANK(E3023,$E$2:$E$5001,1))</f>
        <v/>
      </c>
      <c r="G3023" s="0" t="n">
        <f aca="false">IF(A3023="",0,IF(SUMPRODUCT(--($A$2:$A$5001=A3023))&gt;1,1,0))</f>
        <v>0</v>
      </c>
      <c r="H3023" s="0" t="n">
        <f aca="false">ROW()-1</f>
        <v>3022</v>
      </c>
      <c r="I3023" s="0" t="str">
        <f aca="false">IF(OR(הגדרות!$E$6=0,H3023&gt;הגדרות!$E$5),"",IF(H3023-1&lt;הגדרות!$E$8*(הגדרות!$E$7+1),INT((H3023-1)/(הגדרות!$E$7+1)),הגדרות!$E$8+INT((H3023-1-הגדרות!$E$8*(הגדרות!$E$7+1))/הגדרות!$E$7)))</f>
        <v/>
      </c>
      <c r="J3023" s="0" t="str">
        <f aca="false">IF(I3023="","",IF(H3023-1&lt;הגדרות!$E$8*(הגדרות!$E$7+1),MOD(H3023-1,הגדרות!$E$7+1),MOD(H3023-1-הגדרות!$E$8*(הגדרות!$E$7+1),הגדרות!$E$7)))</f>
        <v/>
      </c>
      <c r="K3023" s="0" t="str">
        <f aca="false">IF(I3023="","",J3023*הגדרות!$E$6+I3023+1)</f>
        <v/>
      </c>
      <c r="L3023" s="0" t="str">
        <f aca="false">IF(K3023="","",MATCH(K3023,$F$2:$F$5001,0))</f>
        <v/>
      </c>
      <c r="M3023" s="0" t="str">
        <f aca="false">IF(I3023="","",INDEX(הגדרות!$A$2:$A$21,MOD(I3023+הגדרות!$E$9,הגדרות!$E$6)+1))</f>
        <v/>
      </c>
    </row>
    <row r="3024" customFormat="false" ht="15" hidden="false" customHeight="false" outlineLevel="0" collapsed="false">
      <c r="A3024" s="0" t="str">
        <f aca="false">IF('הדבקת לידים'!A3024="","",IF(ISNUMBER('הדבקת לידים'!A3024),IF(הגדרות!$E$2&gt;0,TEXT('הדבקת לידים'!A3024,REPT("0",הגדרות!$E$2)),TEXT('הדבקת לידים'!A3024,"0")),TRIM('הדבקת לידים'!A3024)))</f>
        <v/>
      </c>
      <c r="B3024" s="0" t="str">
        <f aca="false">IF('הדבקת לידים'!B3024="","",IF(ISNUMBER('הדבקת לידים'!B3024),IF(הגדרות!$E$3&gt;0,TEXT('הדבקת לידים'!B3024,REPT("0",הגדרות!$E$3)),TEXT('הדבקת לידים'!B3024,"0")),TRIM('הדבקת לידים'!B3024)))</f>
        <v/>
      </c>
      <c r="C3024" s="0" t="n">
        <f aca="false">IF(OR(A3024&lt;&gt;"",B3024&lt;&gt;""),1,0)</f>
        <v>0</v>
      </c>
      <c r="D3024" s="0" t="str">
        <f aca="false">IF(C3024=1,MOD(ABS(SIN(ROW()*12.9898+'הדבקת לידים'!$F$2*78.233+IFERROR(--RIGHT(A3024,6),LEN(A3024))*0.0137+IFERROR(--RIGHT(B3024,6),LEN(B3024))*0.0071))*43758.5453,1),"")</f>
        <v/>
      </c>
      <c r="E3024" s="0" t="str">
        <f aca="false">IF(C3024=1,INT(MOD(ABS(SIN(D3024*7919.123+ROW()*0.618+'הדבקת לידים'!$F$2*1.3))*43758.5453,1)*1000000)*10000+ROW(),"")</f>
        <v/>
      </c>
      <c r="F3024" s="0" t="str">
        <f aca="false">IF(E3024="","",RANK(E3024,$E$2:$E$5001,1))</f>
        <v/>
      </c>
      <c r="G3024" s="0" t="n">
        <f aca="false">IF(A3024="",0,IF(SUMPRODUCT(--($A$2:$A$5001=A3024))&gt;1,1,0))</f>
        <v>0</v>
      </c>
      <c r="H3024" s="0" t="n">
        <f aca="false">ROW()-1</f>
        <v>3023</v>
      </c>
      <c r="I3024" s="0" t="str">
        <f aca="false">IF(OR(הגדרות!$E$6=0,H3024&gt;הגדרות!$E$5),"",IF(H3024-1&lt;הגדרות!$E$8*(הגדרות!$E$7+1),INT((H3024-1)/(הגדרות!$E$7+1)),הגדרות!$E$8+INT((H3024-1-הגדרות!$E$8*(הגדרות!$E$7+1))/הגדרות!$E$7)))</f>
        <v/>
      </c>
      <c r="J3024" s="0" t="str">
        <f aca="false">IF(I3024="","",IF(H3024-1&lt;הגדרות!$E$8*(הגדרות!$E$7+1),MOD(H3024-1,הגדרות!$E$7+1),MOD(H3024-1-הגדרות!$E$8*(הגדרות!$E$7+1),הגדרות!$E$7)))</f>
        <v/>
      </c>
      <c r="K3024" s="0" t="str">
        <f aca="false">IF(I3024="","",J3024*הגדרות!$E$6+I3024+1)</f>
        <v/>
      </c>
      <c r="L3024" s="0" t="str">
        <f aca="false">IF(K3024="","",MATCH(K3024,$F$2:$F$5001,0))</f>
        <v/>
      </c>
      <c r="M3024" s="0" t="str">
        <f aca="false">IF(I3024="","",INDEX(הגדרות!$A$2:$A$21,MOD(I3024+הגדרות!$E$9,הגדרות!$E$6)+1))</f>
        <v/>
      </c>
    </row>
    <row r="3025" customFormat="false" ht="15" hidden="false" customHeight="false" outlineLevel="0" collapsed="false">
      <c r="A3025" s="0" t="str">
        <f aca="false">IF('הדבקת לידים'!A3025="","",IF(ISNUMBER('הדבקת לידים'!A3025),IF(הגדרות!$E$2&gt;0,TEXT('הדבקת לידים'!A3025,REPT("0",הגדרות!$E$2)),TEXT('הדבקת לידים'!A3025,"0")),TRIM('הדבקת לידים'!A3025)))</f>
        <v/>
      </c>
      <c r="B3025" s="0" t="str">
        <f aca="false">IF('הדבקת לידים'!B3025="","",IF(ISNUMBER('הדבקת לידים'!B3025),IF(הגדרות!$E$3&gt;0,TEXT('הדבקת לידים'!B3025,REPT("0",הגדרות!$E$3)),TEXT('הדבקת לידים'!B3025,"0")),TRIM('הדבקת לידים'!B3025)))</f>
        <v/>
      </c>
      <c r="C3025" s="0" t="n">
        <f aca="false">IF(OR(A3025&lt;&gt;"",B3025&lt;&gt;""),1,0)</f>
        <v>0</v>
      </c>
      <c r="D3025" s="0" t="str">
        <f aca="false">IF(C3025=1,MOD(ABS(SIN(ROW()*12.9898+'הדבקת לידים'!$F$2*78.233+IFERROR(--RIGHT(A3025,6),LEN(A3025))*0.0137+IFERROR(--RIGHT(B3025,6),LEN(B3025))*0.0071))*43758.5453,1),"")</f>
        <v/>
      </c>
      <c r="E3025" s="0" t="str">
        <f aca="false">IF(C3025=1,INT(MOD(ABS(SIN(D3025*7919.123+ROW()*0.618+'הדבקת לידים'!$F$2*1.3))*43758.5453,1)*1000000)*10000+ROW(),"")</f>
        <v/>
      </c>
      <c r="F3025" s="0" t="str">
        <f aca="false">IF(E3025="","",RANK(E3025,$E$2:$E$5001,1))</f>
        <v/>
      </c>
      <c r="G3025" s="0" t="n">
        <f aca="false">IF(A3025="",0,IF(SUMPRODUCT(--($A$2:$A$5001=A3025))&gt;1,1,0))</f>
        <v>0</v>
      </c>
      <c r="H3025" s="0" t="n">
        <f aca="false">ROW()-1</f>
        <v>3024</v>
      </c>
      <c r="I3025" s="0" t="str">
        <f aca="false">IF(OR(הגדרות!$E$6=0,H3025&gt;הגדרות!$E$5),"",IF(H3025-1&lt;הגדרות!$E$8*(הגדרות!$E$7+1),INT((H3025-1)/(הגדרות!$E$7+1)),הגדרות!$E$8+INT((H3025-1-הגדרות!$E$8*(הגדרות!$E$7+1))/הגדרות!$E$7)))</f>
        <v/>
      </c>
      <c r="J3025" s="0" t="str">
        <f aca="false">IF(I3025="","",IF(H3025-1&lt;הגדרות!$E$8*(הגדרות!$E$7+1),MOD(H3025-1,הגדרות!$E$7+1),MOD(H3025-1-הגדרות!$E$8*(הגדרות!$E$7+1),הגדרות!$E$7)))</f>
        <v/>
      </c>
      <c r="K3025" s="0" t="str">
        <f aca="false">IF(I3025="","",J3025*הגדרות!$E$6+I3025+1)</f>
        <v/>
      </c>
      <c r="L3025" s="0" t="str">
        <f aca="false">IF(K3025="","",MATCH(K3025,$F$2:$F$5001,0))</f>
        <v/>
      </c>
      <c r="M3025" s="0" t="str">
        <f aca="false">IF(I3025="","",INDEX(הגדרות!$A$2:$A$21,MOD(I3025+הגדרות!$E$9,הגדרות!$E$6)+1))</f>
        <v/>
      </c>
    </row>
    <row r="3026" customFormat="false" ht="15" hidden="false" customHeight="false" outlineLevel="0" collapsed="false">
      <c r="A3026" s="0" t="str">
        <f aca="false">IF('הדבקת לידים'!A3026="","",IF(ISNUMBER('הדבקת לידים'!A3026),IF(הגדרות!$E$2&gt;0,TEXT('הדבקת לידים'!A3026,REPT("0",הגדרות!$E$2)),TEXT('הדבקת לידים'!A3026,"0")),TRIM('הדבקת לידים'!A3026)))</f>
        <v/>
      </c>
      <c r="B3026" s="0" t="str">
        <f aca="false">IF('הדבקת לידים'!B3026="","",IF(ISNUMBER('הדבקת לידים'!B3026),IF(הגדרות!$E$3&gt;0,TEXT('הדבקת לידים'!B3026,REPT("0",הגדרות!$E$3)),TEXT('הדבקת לידים'!B3026,"0")),TRIM('הדבקת לידים'!B3026)))</f>
        <v/>
      </c>
      <c r="C3026" s="0" t="n">
        <f aca="false">IF(OR(A3026&lt;&gt;"",B3026&lt;&gt;""),1,0)</f>
        <v>0</v>
      </c>
      <c r="D3026" s="0" t="str">
        <f aca="false">IF(C3026=1,MOD(ABS(SIN(ROW()*12.9898+'הדבקת לידים'!$F$2*78.233+IFERROR(--RIGHT(A3026,6),LEN(A3026))*0.0137+IFERROR(--RIGHT(B3026,6),LEN(B3026))*0.0071))*43758.5453,1),"")</f>
        <v/>
      </c>
      <c r="E3026" s="0" t="str">
        <f aca="false">IF(C3026=1,INT(MOD(ABS(SIN(D3026*7919.123+ROW()*0.618+'הדבקת לידים'!$F$2*1.3))*43758.5453,1)*1000000)*10000+ROW(),"")</f>
        <v/>
      </c>
      <c r="F3026" s="0" t="str">
        <f aca="false">IF(E3026="","",RANK(E3026,$E$2:$E$5001,1))</f>
        <v/>
      </c>
      <c r="G3026" s="0" t="n">
        <f aca="false">IF(A3026="",0,IF(SUMPRODUCT(--($A$2:$A$5001=A3026))&gt;1,1,0))</f>
        <v>0</v>
      </c>
      <c r="H3026" s="0" t="n">
        <f aca="false">ROW()-1</f>
        <v>3025</v>
      </c>
      <c r="I3026" s="0" t="str">
        <f aca="false">IF(OR(הגדרות!$E$6=0,H3026&gt;הגדרות!$E$5),"",IF(H3026-1&lt;הגדרות!$E$8*(הגדרות!$E$7+1),INT((H3026-1)/(הגדרות!$E$7+1)),הגדרות!$E$8+INT((H3026-1-הגדרות!$E$8*(הגדרות!$E$7+1))/הגדרות!$E$7)))</f>
        <v/>
      </c>
      <c r="J3026" s="0" t="str">
        <f aca="false">IF(I3026="","",IF(H3026-1&lt;הגדרות!$E$8*(הגדרות!$E$7+1),MOD(H3026-1,הגדרות!$E$7+1),MOD(H3026-1-הגדרות!$E$8*(הגדרות!$E$7+1),הגדרות!$E$7)))</f>
        <v/>
      </c>
      <c r="K3026" s="0" t="str">
        <f aca="false">IF(I3026="","",J3026*הגדרות!$E$6+I3026+1)</f>
        <v/>
      </c>
      <c r="L3026" s="0" t="str">
        <f aca="false">IF(K3026="","",MATCH(K3026,$F$2:$F$5001,0))</f>
        <v/>
      </c>
      <c r="M3026" s="0" t="str">
        <f aca="false">IF(I3026="","",INDEX(הגדרות!$A$2:$A$21,MOD(I3026+הגדרות!$E$9,הגדרות!$E$6)+1))</f>
        <v/>
      </c>
    </row>
    <row r="3027" customFormat="false" ht="15" hidden="false" customHeight="false" outlineLevel="0" collapsed="false">
      <c r="A3027" s="0" t="str">
        <f aca="false">IF('הדבקת לידים'!A3027="","",IF(ISNUMBER('הדבקת לידים'!A3027),IF(הגדרות!$E$2&gt;0,TEXT('הדבקת לידים'!A3027,REPT("0",הגדרות!$E$2)),TEXT('הדבקת לידים'!A3027,"0")),TRIM('הדבקת לידים'!A3027)))</f>
        <v/>
      </c>
      <c r="B3027" s="0" t="str">
        <f aca="false">IF('הדבקת לידים'!B3027="","",IF(ISNUMBER('הדבקת לידים'!B3027),IF(הגדרות!$E$3&gt;0,TEXT('הדבקת לידים'!B3027,REPT("0",הגדרות!$E$3)),TEXT('הדבקת לידים'!B3027,"0")),TRIM('הדבקת לידים'!B3027)))</f>
        <v/>
      </c>
      <c r="C3027" s="0" t="n">
        <f aca="false">IF(OR(A3027&lt;&gt;"",B3027&lt;&gt;""),1,0)</f>
        <v>0</v>
      </c>
      <c r="D3027" s="0" t="str">
        <f aca="false">IF(C3027=1,MOD(ABS(SIN(ROW()*12.9898+'הדבקת לידים'!$F$2*78.233+IFERROR(--RIGHT(A3027,6),LEN(A3027))*0.0137+IFERROR(--RIGHT(B3027,6),LEN(B3027))*0.0071))*43758.5453,1),"")</f>
        <v/>
      </c>
      <c r="E3027" s="0" t="str">
        <f aca="false">IF(C3027=1,INT(MOD(ABS(SIN(D3027*7919.123+ROW()*0.618+'הדבקת לידים'!$F$2*1.3))*43758.5453,1)*1000000)*10000+ROW(),"")</f>
        <v/>
      </c>
      <c r="F3027" s="0" t="str">
        <f aca="false">IF(E3027="","",RANK(E3027,$E$2:$E$5001,1))</f>
        <v/>
      </c>
      <c r="G3027" s="0" t="n">
        <f aca="false">IF(A3027="",0,IF(SUMPRODUCT(--($A$2:$A$5001=A3027))&gt;1,1,0))</f>
        <v>0</v>
      </c>
      <c r="H3027" s="0" t="n">
        <f aca="false">ROW()-1</f>
        <v>3026</v>
      </c>
      <c r="I3027" s="0" t="str">
        <f aca="false">IF(OR(הגדרות!$E$6=0,H3027&gt;הגדרות!$E$5),"",IF(H3027-1&lt;הגדרות!$E$8*(הגדרות!$E$7+1),INT((H3027-1)/(הגדרות!$E$7+1)),הגדרות!$E$8+INT((H3027-1-הגדרות!$E$8*(הגדרות!$E$7+1))/הגדרות!$E$7)))</f>
        <v/>
      </c>
      <c r="J3027" s="0" t="str">
        <f aca="false">IF(I3027="","",IF(H3027-1&lt;הגדרות!$E$8*(הגדרות!$E$7+1),MOD(H3027-1,הגדרות!$E$7+1),MOD(H3027-1-הגדרות!$E$8*(הגדרות!$E$7+1),הגדרות!$E$7)))</f>
        <v/>
      </c>
      <c r="K3027" s="0" t="str">
        <f aca="false">IF(I3027="","",J3027*הגדרות!$E$6+I3027+1)</f>
        <v/>
      </c>
      <c r="L3027" s="0" t="str">
        <f aca="false">IF(K3027="","",MATCH(K3027,$F$2:$F$5001,0))</f>
        <v/>
      </c>
      <c r="M3027" s="0" t="str">
        <f aca="false">IF(I3027="","",INDEX(הגדרות!$A$2:$A$21,MOD(I3027+הגדרות!$E$9,הגדרות!$E$6)+1))</f>
        <v/>
      </c>
    </row>
    <row r="3028" customFormat="false" ht="15" hidden="false" customHeight="false" outlineLevel="0" collapsed="false">
      <c r="A3028" s="0" t="str">
        <f aca="false">IF('הדבקת לידים'!A3028="","",IF(ISNUMBER('הדבקת לידים'!A3028),IF(הגדרות!$E$2&gt;0,TEXT('הדבקת לידים'!A3028,REPT("0",הגדרות!$E$2)),TEXT('הדבקת לידים'!A3028,"0")),TRIM('הדבקת לידים'!A3028)))</f>
        <v/>
      </c>
      <c r="B3028" s="0" t="str">
        <f aca="false">IF('הדבקת לידים'!B3028="","",IF(ISNUMBER('הדבקת לידים'!B3028),IF(הגדרות!$E$3&gt;0,TEXT('הדבקת לידים'!B3028,REPT("0",הגדרות!$E$3)),TEXT('הדבקת לידים'!B3028,"0")),TRIM('הדבקת לידים'!B3028)))</f>
        <v/>
      </c>
      <c r="C3028" s="0" t="n">
        <f aca="false">IF(OR(A3028&lt;&gt;"",B3028&lt;&gt;""),1,0)</f>
        <v>0</v>
      </c>
      <c r="D3028" s="0" t="str">
        <f aca="false">IF(C3028=1,MOD(ABS(SIN(ROW()*12.9898+'הדבקת לידים'!$F$2*78.233+IFERROR(--RIGHT(A3028,6),LEN(A3028))*0.0137+IFERROR(--RIGHT(B3028,6),LEN(B3028))*0.0071))*43758.5453,1),"")</f>
        <v/>
      </c>
      <c r="E3028" s="0" t="str">
        <f aca="false">IF(C3028=1,INT(MOD(ABS(SIN(D3028*7919.123+ROW()*0.618+'הדבקת לידים'!$F$2*1.3))*43758.5453,1)*1000000)*10000+ROW(),"")</f>
        <v/>
      </c>
      <c r="F3028" s="0" t="str">
        <f aca="false">IF(E3028="","",RANK(E3028,$E$2:$E$5001,1))</f>
        <v/>
      </c>
      <c r="G3028" s="0" t="n">
        <f aca="false">IF(A3028="",0,IF(SUMPRODUCT(--($A$2:$A$5001=A3028))&gt;1,1,0))</f>
        <v>0</v>
      </c>
      <c r="H3028" s="0" t="n">
        <f aca="false">ROW()-1</f>
        <v>3027</v>
      </c>
      <c r="I3028" s="0" t="str">
        <f aca="false">IF(OR(הגדרות!$E$6=0,H3028&gt;הגדרות!$E$5),"",IF(H3028-1&lt;הגדרות!$E$8*(הגדרות!$E$7+1),INT((H3028-1)/(הגדרות!$E$7+1)),הגדרות!$E$8+INT((H3028-1-הגדרות!$E$8*(הגדרות!$E$7+1))/הגדרות!$E$7)))</f>
        <v/>
      </c>
      <c r="J3028" s="0" t="str">
        <f aca="false">IF(I3028="","",IF(H3028-1&lt;הגדרות!$E$8*(הגדרות!$E$7+1),MOD(H3028-1,הגדרות!$E$7+1),MOD(H3028-1-הגדרות!$E$8*(הגדרות!$E$7+1),הגדרות!$E$7)))</f>
        <v/>
      </c>
      <c r="K3028" s="0" t="str">
        <f aca="false">IF(I3028="","",J3028*הגדרות!$E$6+I3028+1)</f>
        <v/>
      </c>
      <c r="L3028" s="0" t="str">
        <f aca="false">IF(K3028="","",MATCH(K3028,$F$2:$F$5001,0))</f>
        <v/>
      </c>
      <c r="M3028" s="0" t="str">
        <f aca="false">IF(I3028="","",INDEX(הגדרות!$A$2:$A$21,MOD(I3028+הגדרות!$E$9,הגדרות!$E$6)+1))</f>
        <v/>
      </c>
    </row>
    <row r="3029" customFormat="false" ht="15" hidden="false" customHeight="false" outlineLevel="0" collapsed="false">
      <c r="A3029" s="0" t="str">
        <f aca="false">IF('הדבקת לידים'!A3029="","",IF(ISNUMBER('הדבקת לידים'!A3029),IF(הגדרות!$E$2&gt;0,TEXT('הדבקת לידים'!A3029,REPT("0",הגדרות!$E$2)),TEXT('הדבקת לידים'!A3029,"0")),TRIM('הדבקת לידים'!A3029)))</f>
        <v/>
      </c>
      <c r="B3029" s="0" t="str">
        <f aca="false">IF('הדבקת לידים'!B3029="","",IF(ISNUMBER('הדבקת לידים'!B3029),IF(הגדרות!$E$3&gt;0,TEXT('הדבקת לידים'!B3029,REPT("0",הגדרות!$E$3)),TEXT('הדבקת לידים'!B3029,"0")),TRIM('הדבקת לידים'!B3029)))</f>
        <v/>
      </c>
      <c r="C3029" s="0" t="n">
        <f aca="false">IF(OR(A3029&lt;&gt;"",B3029&lt;&gt;""),1,0)</f>
        <v>0</v>
      </c>
      <c r="D3029" s="0" t="str">
        <f aca="false">IF(C3029=1,MOD(ABS(SIN(ROW()*12.9898+'הדבקת לידים'!$F$2*78.233+IFERROR(--RIGHT(A3029,6),LEN(A3029))*0.0137+IFERROR(--RIGHT(B3029,6),LEN(B3029))*0.0071))*43758.5453,1),"")</f>
        <v/>
      </c>
      <c r="E3029" s="0" t="str">
        <f aca="false">IF(C3029=1,INT(MOD(ABS(SIN(D3029*7919.123+ROW()*0.618+'הדבקת לידים'!$F$2*1.3))*43758.5453,1)*1000000)*10000+ROW(),"")</f>
        <v/>
      </c>
      <c r="F3029" s="0" t="str">
        <f aca="false">IF(E3029="","",RANK(E3029,$E$2:$E$5001,1))</f>
        <v/>
      </c>
      <c r="G3029" s="0" t="n">
        <f aca="false">IF(A3029="",0,IF(SUMPRODUCT(--($A$2:$A$5001=A3029))&gt;1,1,0))</f>
        <v>0</v>
      </c>
      <c r="H3029" s="0" t="n">
        <f aca="false">ROW()-1</f>
        <v>3028</v>
      </c>
      <c r="I3029" s="0" t="str">
        <f aca="false">IF(OR(הגדרות!$E$6=0,H3029&gt;הגדרות!$E$5),"",IF(H3029-1&lt;הגדרות!$E$8*(הגדרות!$E$7+1),INT((H3029-1)/(הגדרות!$E$7+1)),הגדרות!$E$8+INT((H3029-1-הגדרות!$E$8*(הגדרות!$E$7+1))/הגדרות!$E$7)))</f>
        <v/>
      </c>
      <c r="J3029" s="0" t="str">
        <f aca="false">IF(I3029="","",IF(H3029-1&lt;הגדרות!$E$8*(הגדרות!$E$7+1),MOD(H3029-1,הגדרות!$E$7+1),MOD(H3029-1-הגדרות!$E$8*(הגדרות!$E$7+1),הגדרות!$E$7)))</f>
        <v/>
      </c>
      <c r="K3029" s="0" t="str">
        <f aca="false">IF(I3029="","",J3029*הגדרות!$E$6+I3029+1)</f>
        <v/>
      </c>
      <c r="L3029" s="0" t="str">
        <f aca="false">IF(K3029="","",MATCH(K3029,$F$2:$F$5001,0))</f>
        <v/>
      </c>
      <c r="M3029" s="0" t="str">
        <f aca="false">IF(I3029="","",INDEX(הגדרות!$A$2:$A$21,MOD(I3029+הגדרות!$E$9,הגדרות!$E$6)+1))</f>
        <v/>
      </c>
    </row>
    <row r="3030" customFormat="false" ht="15" hidden="false" customHeight="false" outlineLevel="0" collapsed="false">
      <c r="A3030" s="0" t="str">
        <f aca="false">IF('הדבקת לידים'!A3030="","",IF(ISNUMBER('הדבקת לידים'!A3030),IF(הגדרות!$E$2&gt;0,TEXT('הדבקת לידים'!A3030,REPT("0",הגדרות!$E$2)),TEXT('הדבקת לידים'!A3030,"0")),TRIM('הדבקת לידים'!A3030)))</f>
        <v/>
      </c>
      <c r="B3030" s="0" t="str">
        <f aca="false">IF('הדבקת לידים'!B3030="","",IF(ISNUMBER('הדבקת לידים'!B3030),IF(הגדרות!$E$3&gt;0,TEXT('הדבקת לידים'!B3030,REPT("0",הגדרות!$E$3)),TEXT('הדבקת לידים'!B3030,"0")),TRIM('הדבקת לידים'!B3030)))</f>
        <v/>
      </c>
      <c r="C3030" s="0" t="n">
        <f aca="false">IF(OR(A3030&lt;&gt;"",B3030&lt;&gt;""),1,0)</f>
        <v>0</v>
      </c>
      <c r="D3030" s="0" t="str">
        <f aca="false">IF(C3030=1,MOD(ABS(SIN(ROW()*12.9898+'הדבקת לידים'!$F$2*78.233+IFERROR(--RIGHT(A3030,6),LEN(A3030))*0.0137+IFERROR(--RIGHT(B3030,6),LEN(B3030))*0.0071))*43758.5453,1),"")</f>
        <v/>
      </c>
      <c r="E3030" s="0" t="str">
        <f aca="false">IF(C3030=1,INT(MOD(ABS(SIN(D3030*7919.123+ROW()*0.618+'הדבקת לידים'!$F$2*1.3))*43758.5453,1)*1000000)*10000+ROW(),"")</f>
        <v/>
      </c>
      <c r="F3030" s="0" t="str">
        <f aca="false">IF(E3030="","",RANK(E3030,$E$2:$E$5001,1))</f>
        <v/>
      </c>
      <c r="G3030" s="0" t="n">
        <f aca="false">IF(A3030="",0,IF(SUMPRODUCT(--($A$2:$A$5001=A3030))&gt;1,1,0))</f>
        <v>0</v>
      </c>
      <c r="H3030" s="0" t="n">
        <f aca="false">ROW()-1</f>
        <v>3029</v>
      </c>
      <c r="I3030" s="0" t="str">
        <f aca="false">IF(OR(הגדרות!$E$6=0,H3030&gt;הגדרות!$E$5),"",IF(H3030-1&lt;הגדרות!$E$8*(הגדרות!$E$7+1),INT((H3030-1)/(הגדרות!$E$7+1)),הגדרות!$E$8+INT((H3030-1-הגדרות!$E$8*(הגדרות!$E$7+1))/הגדרות!$E$7)))</f>
        <v/>
      </c>
      <c r="J3030" s="0" t="str">
        <f aca="false">IF(I3030="","",IF(H3030-1&lt;הגדרות!$E$8*(הגדרות!$E$7+1),MOD(H3030-1,הגדרות!$E$7+1),MOD(H3030-1-הגדרות!$E$8*(הגדרות!$E$7+1),הגדרות!$E$7)))</f>
        <v/>
      </c>
      <c r="K3030" s="0" t="str">
        <f aca="false">IF(I3030="","",J3030*הגדרות!$E$6+I3030+1)</f>
        <v/>
      </c>
      <c r="L3030" s="0" t="str">
        <f aca="false">IF(K3030="","",MATCH(K3030,$F$2:$F$5001,0))</f>
        <v/>
      </c>
      <c r="M3030" s="0" t="str">
        <f aca="false">IF(I3030="","",INDEX(הגדרות!$A$2:$A$21,MOD(I3030+הגדרות!$E$9,הגדרות!$E$6)+1))</f>
        <v/>
      </c>
    </row>
    <row r="3031" customFormat="false" ht="15" hidden="false" customHeight="false" outlineLevel="0" collapsed="false">
      <c r="A3031" s="0" t="str">
        <f aca="false">IF('הדבקת לידים'!A3031="","",IF(ISNUMBER('הדבקת לידים'!A3031),IF(הגדרות!$E$2&gt;0,TEXT('הדבקת לידים'!A3031,REPT("0",הגדרות!$E$2)),TEXT('הדבקת לידים'!A3031,"0")),TRIM('הדבקת לידים'!A3031)))</f>
        <v/>
      </c>
      <c r="B3031" s="0" t="str">
        <f aca="false">IF('הדבקת לידים'!B3031="","",IF(ISNUMBER('הדבקת לידים'!B3031),IF(הגדרות!$E$3&gt;0,TEXT('הדבקת לידים'!B3031,REPT("0",הגדרות!$E$3)),TEXT('הדבקת לידים'!B3031,"0")),TRIM('הדבקת לידים'!B3031)))</f>
        <v/>
      </c>
      <c r="C3031" s="0" t="n">
        <f aca="false">IF(OR(A3031&lt;&gt;"",B3031&lt;&gt;""),1,0)</f>
        <v>0</v>
      </c>
      <c r="D3031" s="0" t="str">
        <f aca="false">IF(C3031=1,MOD(ABS(SIN(ROW()*12.9898+'הדבקת לידים'!$F$2*78.233+IFERROR(--RIGHT(A3031,6),LEN(A3031))*0.0137+IFERROR(--RIGHT(B3031,6),LEN(B3031))*0.0071))*43758.5453,1),"")</f>
        <v/>
      </c>
      <c r="E3031" s="0" t="str">
        <f aca="false">IF(C3031=1,INT(MOD(ABS(SIN(D3031*7919.123+ROW()*0.618+'הדבקת לידים'!$F$2*1.3))*43758.5453,1)*1000000)*10000+ROW(),"")</f>
        <v/>
      </c>
      <c r="F3031" s="0" t="str">
        <f aca="false">IF(E3031="","",RANK(E3031,$E$2:$E$5001,1))</f>
        <v/>
      </c>
      <c r="G3031" s="0" t="n">
        <f aca="false">IF(A3031="",0,IF(SUMPRODUCT(--($A$2:$A$5001=A3031))&gt;1,1,0))</f>
        <v>0</v>
      </c>
      <c r="H3031" s="0" t="n">
        <f aca="false">ROW()-1</f>
        <v>3030</v>
      </c>
      <c r="I3031" s="0" t="str">
        <f aca="false">IF(OR(הגדרות!$E$6=0,H3031&gt;הגדרות!$E$5),"",IF(H3031-1&lt;הגדרות!$E$8*(הגדרות!$E$7+1),INT((H3031-1)/(הגדרות!$E$7+1)),הגדרות!$E$8+INT((H3031-1-הגדרות!$E$8*(הגדרות!$E$7+1))/הגדרות!$E$7)))</f>
        <v/>
      </c>
      <c r="J3031" s="0" t="str">
        <f aca="false">IF(I3031="","",IF(H3031-1&lt;הגדרות!$E$8*(הגדרות!$E$7+1),MOD(H3031-1,הגדרות!$E$7+1),MOD(H3031-1-הגדרות!$E$8*(הגדרות!$E$7+1),הגדרות!$E$7)))</f>
        <v/>
      </c>
      <c r="K3031" s="0" t="str">
        <f aca="false">IF(I3031="","",J3031*הגדרות!$E$6+I3031+1)</f>
        <v/>
      </c>
      <c r="L3031" s="0" t="str">
        <f aca="false">IF(K3031="","",MATCH(K3031,$F$2:$F$5001,0))</f>
        <v/>
      </c>
      <c r="M3031" s="0" t="str">
        <f aca="false">IF(I3031="","",INDEX(הגדרות!$A$2:$A$21,MOD(I3031+הגדרות!$E$9,הגדרות!$E$6)+1))</f>
        <v/>
      </c>
    </row>
    <row r="3032" customFormat="false" ht="15" hidden="false" customHeight="false" outlineLevel="0" collapsed="false">
      <c r="A3032" s="0" t="str">
        <f aca="false">IF('הדבקת לידים'!A3032="","",IF(ISNUMBER('הדבקת לידים'!A3032),IF(הגדרות!$E$2&gt;0,TEXT('הדבקת לידים'!A3032,REPT("0",הגדרות!$E$2)),TEXT('הדבקת לידים'!A3032,"0")),TRIM('הדבקת לידים'!A3032)))</f>
        <v/>
      </c>
      <c r="B3032" s="0" t="str">
        <f aca="false">IF('הדבקת לידים'!B3032="","",IF(ISNUMBER('הדבקת לידים'!B3032),IF(הגדרות!$E$3&gt;0,TEXT('הדבקת לידים'!B3032,REPT("0",הגדרות!$E$3)),TEXT('הדבקת לידים'!B3032,"0")),TRIM('הדבקת לידים'!B3032)))</f>
        <v/>
      </c>
      <c r="C3032" s="0" t="n">
        <f aca="false">IF(OR(A3032&lt;&gt;"",B3032&lt;&gt;""),1,0)</f>
        <v>0</v>
      </c>
      <c r="D3032" s="0" t="str">
        <f aca="false">IF(C3032=1,MOD(ABS(SIN(ROW()*12.9898+'הדבקת לידים'!$F$2*78.233+IFERROR(--RIGHT(A3032,6),LEN(A3032))*0.0137+IFERROR(--RIGHT(B3032,6),LEN(B3032))*0.0071))*43758.5453,1),"")</f>
        <v/>
      </c>
      <c r="E3032" s="0" t="str">
        <f aca="false">IF(C3032=1,INT(MOD(ABS(SIN(D3032*7919.123+ROW()*0.618+'הדבקת לידים'!$F$2*1.3))*43758.5453,1)*1000000)*10000+ROW(),"")</f>
        <v/>
      </c>
      <c r="F3032" s="0" t="str">
        <f aca="false">IF(E3032="","",RANK(E3032,$E$2:$E$5001,1))</f>
        <v/>
      </c>
      <c r="G3032" s="0" t="n">
        <f aca="false">IF(A3032="",0,IF(SUMPRODUCT(--($A$2:$A$5001=A3032))&gt;1,1,0))</f>
        <v>0</v>
      </c>
      <c r="H3032" s="0" t="n">
        <f aca="false">ROW()-1</f>
        <v>3031</v>
      </c>
      <c r="I3032" s="0" t="str">
        <f aca="false">IF(OR(הגדרות!$E$6=0,H3032&gt;הגדרות!$E$5),"",IF(H3032-1&lt;הגדרות!$E$8*(הגדרות!$E$7+1),INT((H3032-1)/(הגדרות!$E$7+1)),הגדרות!$E$8+INT((H3032-1-הגדרות!$E$8*(הגדרות!$E$7+1))/הגדרות!$E$7)))</f>
        <v/>
      </c>
      <c r="J3032" s="0" t="str">
        <f aca="false">IF(I3032="","",IF(H3032-1&lt;הגדרות!$E$8*(הגדרות!$E$7+1),MOD(H3032-1,הגדרות!$E$7+1),MOD(H3032-1-הגדרות!$E$8*(הגדרות!$E$7+1),הגדרות!$E$7)))</f>
        <v/>
      </c>
      <c r="K3032" s="0" t="str">
        <f aca="false">IF(I3032="","",J3032*הגדרות!$E$6+I3032+1)</f>
        <v/>
      </c>
      <c r="L3032" s="0" t="str">
        <f aca="false">IF(K3032="","",MATCH(K3032,$F$2:$F$5001,0))</f>
        <v/>
      </c>
      <c r="M3032" s="0" t="str">
        <f aca="false">IF(I3032="","",INDEX(הגדרות!$A$2:$A$21,MOD(I3032+הגדרות!$E$9,הגדרות!$E$6)+1))</f>
        <v/>
      </c>
    </row>
    <row r="3033" customFormat="false" ht="15" hidden="false" customHeight="false" outlineLevel="0" collapsed="false">
      <c r="A3033" s="0" t="str">
        <f aca="false">IF('הדבקת לידים'!A3033="","",IF(ISNUMBER('הדבקת לידים'!A3033),IF(הגדרות!$E$2&gt;0,TEXT('הדבקת לידים'!A3033,REPT("0",הגדרות!$E$2)),TEXT('הדבקת לידים'!A3033,"0")),TRIM('הדבקת לידים'!A3033)))</f>
        <v/>
      </c>
      <c r="B3033" s="0" t="str">
        <f aca="false">IF('הדבקת לידים'!B3033="","",IF(ISNUMBER('הדבקת לידים'!B3033),IF(הגדרות!$E$3&gt;0,TEXT('הדבקת לידים'!B3033,REPT("0",הגדרות!$E$3)),TEXT('הדבקת לידים'!B3033,"0")),TRIM('הדבקת לידים'!B3033)))</f>
        <v/>
      </c>
      <c r="C3033" s="0" t="n">
        <f aca="false">IF(OR(A3033&lt;&gt;"",B3033&lt;&gt;""),1,0)</f>
        <v>0</v>
      </c>
      <c r="D3033" s="0" t="str">
        <f aca="false">IF(C3033=1,MOD(ABS(SIN(ROW()*12.9898+'הדבקת לידים'!$F$2*78.233+IFERROR(--RIGHT(A3033,6),LEN(A3033))*0.0137+IFERROR(--RIGHT(B3033,6),LEN(B3033))*0.0071))*43758.5453,1),"")</f>
        <v/>
      </c>
      <c r="E3033" s="0" t="str">
        <f aca="false">IF(C3033=1,INT(MOD(ABS(SIN(D3033*7919.123+ROW()*0.618+'הדבקת לידים'!$F$2*1.3))*43758.5453,1)*1000000)*10000+ROW(),"")</f>
        <v/>
      </c>
      <c r="F3033" s="0" t="str">
        <f aca="false">IF(E3033="","",RANK(E3033,$E$2:$E$5001,1))</f>
        <v/>
      </c>
      <c r="G3033" s="0" t="n">
        <f aca="false">IF(A3033="",0,IF(SUMPRODUCT(--($A$2:$A$5001=A3033))&gt;1,1,0))</f>
        <v>0</v>
      </c>
      <c r="H3033" s="0" t="n">
        <f aca="false">ROW()-1</f>
        <v>3032</v>
      </c>
      <c r="I3033" s="0" t="str">
        <f aca="false">IF(OR(הגדרות!$E$6=0,H3033&gt;הגדרות!$E$5),"",IF(H3033-1&lt;הגדרות!$E$8*(הגדרות!$E$7+1),INT((H3033-1)/(הגדרות!$E$7+1)),הגדרות!$E$8+INT((H3033-1-הגדרות!$E$8*(הגדרות!$E$7+1))/הגדרות!$E$7)))</f>
        <v/>
      </c>
      <c r="J3033" s="0" t="str">
        <f aca="false">IF(I3033="","",IF(H3033-1&lt;הגדרות!$E$8*(הגדרות!$E$7+1),MOD(H3033-1,הגדרות!$E$7+1),MOD(H3033-1-הגדרות!$E$8*(הגדרות!$E$7+1),הגדרות!$E$7)))</f>
        <v/>
      </c>
      <c r="K3033" s="0" t="str">
        <f aca="false">IF(I3033="","",J3033*הגדרות!$E$6+I3033+1)</f>
        <v/>
      </c>
      <c r="L3033" s="0" t="str">
        <f aca="false">IF(K3033="","",MATCH(K3033,$F$2:$F$5001,0))</f>
        <v/>
      </c>
      <c r="M3033" s="0" t="str">
        <f aca="false">IF(I3033="","",INDEX(הגדרות!$A$2:$A$21,MOD(I3033+הגדרות!$E$9,הגדרות!$E$6)+1))</f>
        <v/>
      </c>
    </row>
    <row r="3034" customFormat="false" ht="15" hidden="false" customHeight="false" outlineLevel="0" collapsed="false">
      <c r="A3034" s="0" t="str">
        <f aca="false">IF('הדבקת לידים'!A3034="","",IF(ISNUMBER('הדבקת לידים'!A3034),IF(הגדרות!$E$2&gt;0,TEXT('הדבקת לידים'!A3034,REPT("0",הגדרות!$E$2)),TEXT('הדבקת לידים'!A3034,"0")),TRIM('הדבקת לידים'!A3034)))</f>
        <v/>
      </c>
      <c r="B3034" s="0" t="str">
        <f aca="false">IF('הדבקת לידים'!B3034="","",IF(ISNUMBER('הדבקת לידים'!B3034),IF(הגדרות!$E$3&gt;0,TEXT('הדבקת לידים'!B3034,REPT("0",הגדרות!$E$3)),TEXT('הדבקת לידים'!B3034,"0")),TRIM('הדבקת לידים'!B3034)))</f>
        <v/>
      </c>
      <c r="C3034" s="0" t="n">
        <f aca="false">IF(OR(A3034&lt;&gt;"",B3034&lt;&gt;""),1,0)</f>
        <v>0</v>
      </c>
      <c r="D3034" s="0" t="str">
        <f aca="false">IF(C3034=1,MOD(ABS(SIN(ROW()*12.9898+'הדבקת לידים'!$F$2*78.233+IFERROR(--RIGHT(A3034,6),LEN(A3034))*0.0137+IFERROR(--RIGHT(B3034,6),LEN(B3034))*0.0071))*43758.5453,1),"")</f>
        <v/>
      </c>
      <c r="E3034" s="0" t="str">
        <f aca="false">IF(C3034=1,INT(MOD(ABS(SIN(D3034*7919.123+ROW()*0.618+'הדבקת לידים'!$F$2*1.3))*43758.5453,1)*1000000)*10000+ROW(),"")</f>
        <v/>
      </c>
      <c r="F3034" s="0" t="str">
        <f aca="false">IF(E3034="","",RANK(E3034,$E$2:$E$5001,1))</f>
        <v/>
      </c>
      <c r="G3034" s="0" t="n">
        <f aca="false">IF(A3034="",0,IF(SUMPRODUCT(--($A$2:$A$5001=A3034))&gt;1,1,0))</f>
        <v>0</v>
      </c>
      <c r="H3034" s="0" t="n">
        <f aca="false">ROW()-1</f>
        <v>3033</v>
      </c>
      <c r="I3034" s="0" t="str">
        <f aca="false">IF(OR(הגדרות!$E$6=0,H3034&gt;הגדרות!$E$5),"",IF(H3034-1&lt;הגדרות!$E$8*(הגדרות!$E$7+1),INT((H3034-1)/(הגדרות!$E$7+1)),הגדרות!$E$8+INT((H3034-1-הגדרות!$E$8*(הגדרות!$E$7+1))/הגדרות!$E$7)))</f>
        <v/>
      </c>
      <c r="J3034" s="0" t="str">
        <f aca="false">IF(I3034="","",IF(H3034-1&lt;הגדרות!$E$8*(הגדרות!$E$7+1),MOD(H3034-1,הגדרות!$E$7+1),MOD(H3034-1-הגדרות!$E$8*(הגדרות!$E$7+1),הגדרות!$E$7)))</f>
        <v/>
      </c>
      <c r="K3034" s="0" t="str">
        <f aca="false">IF(I3034="","",J3034*הגדרות!$E$6+I3034+1)</f>
        <v/>
      </c>
      <c r="L3034" s="0" t="str">
        <f aca="false">IF(K3034="","",MATCH(K3034,$F$2:$F$5001,0))</f>
        <v/>
      </c>
      <c r="M3034" s="0" t="str">
        <f aca="false">IF(I3034="","",INDEX(הגדרות!$A$2:$A$21,MOD(I3034+הגדרות!$E$9,הגדרות!$E$6)+1))</f>
        <v/>
      </c>
    </row>
    <row r="3035" customFormat="false" ht="15" hidden="false" customHeight="false" outlineLevel="0" collapsed="false">
      <c r="A3035" s="0" t="str">
        <f aca="false">IF('הדבקת לידים'!A3035="","",IF(ISNUMBER('הדבקת לידים'!A3035),IF(הגדרות!$E$2&gt;0,TEXT('הדבקת לידים'!A3035,REPT("0",הגדרות!$E$2)),TEXT('הדבקת לידים'!A3035,"0")),TRIM('הדבקת לידים'!A3035)))</f>
        <v/>
      </c>
      <c r="B3035" s="0" t="str">
        <f aca="false">IF('הדבקת לידים'!B3035="","",IF(ISNUMBER('הדבקת לידים'!B3035),IF(הגדרות!$E$3&gt;0,TEXT('הדבקת לידים'!B3035,REPT("0",הגדרות!$E$3)),TEXT('הדבקת לידים'!B3035,"0")),TRIM('הדבקת לידים'!B3035)))</f>
        <v/>
      </c>
      <c r="C3035" s="0" t="n">
        <f aca="false">IF(OR(A3035&lt;&gt;"",B3035&lt;&gt;""),1,0)</f>
        <v>0</v>
      </c>
      <c r="D3035" s="0" t="str">
        <f aca="false">IF(C3035=1,MOD(ABS(SIN(ROW()*12.9898+'הדבקת לידים'!$F$2*78.233+IFERROR(--RIGHT(A3035,6),LEN(A3035))*0.0137+IFERROR(--RIGHT(B3035,6),LEN(B3035))*0.0071))*43758.5453,1),"")</f>
        <v/>
      </c>
      <c r="E3035" s="0" t="str">
        <f aca="false">IF(C3035=1,INT(MOD(ABS(SIN(D3035*7919.123+ROW()*0.618+'הדבקת לידים'!$F$2*1.3))*43758.5453,1)*1000000)*10000+ROW(),"")</f>
        <v/>
      </c>
      <c r="F3035" s="0" t="str">
        <f aca="false">IF(E3035="","",RANK(E3035,$E$2:$E$5001,1))</f>
        <v/>
      </c>
      <c r="G3035" s="0" t="n">
        <f aca="false">IF(A3035="",0,IF(SUMPRODUCT(--($A$2:$A$5001=A3035))&gt;1,1,0))</f>
        <v>0</v>
      </c>
      <c r="H3035" s="0" t="n">
        <f aca="false">ROW()-1</f>
        <v>3034</v>
      </c>
      <c r="I3035" s="0" t="str">
        <f aca="false">IF(OR(הגדרות!$E$6=0,H3035&gt;הגדרות!$E$5),"",IF(H3035-1&lt;הגדרות!$E$8*(הגדרות!$E$7+1),INT((H3035-1)/(הגדרות!$E$7+1)),הגדרות!$E$8+INT((H3035-1-הגדרות!$E$8*(הגדרות!$E$7+1))/הגדרות!$E$7)))</f>
        <v/>
      </c>
      <c r="J3035" s="0" t="str">
        <f aca="false">IF(I3035="","",IF(H3035-1&lt;הגדרות!$E$8*(הגדרות!$E$7+1),MOD(H3035-1,הגדרות!$E$7+1),MOD(H3035-1-הגדרות!$E$8*(הגדרות!$E$7+1),הגדרות!$E$7)))</f>
        <v/>
      </c>
      <c r="K3035" s="0" t="str">
        <f aca="false">IF(I3035="","",J3035*הגדרות!$E$6+I3035+1)</f>
        <v/>
      </c>
      <c r="L3035" s="0" t="str">
        <f aca="false">IF(K3035="","",MATCH(K3035,$F$2:$F$5001,0))</f>
        <v/>
      </c>
      <c r="M3035" s="0" t="str">
        <f aca="false">IF(I3035="","",INDEX(הגדרות!$A$2:$A$21,MOD(I3035+הגדרות!$E$9,הגדרות!$E$6)+1))</f>
        <v/>
      </c>
    </row>
    <row r="3036" customFormat="false" ht="15" hidden="false" customHeight="false" outlineLevel="0" collapsed="false">
      <c r="A3036" s="0" t="str">
        <f aca="false">IF('הדבקת לידים'!A3036="","",IF(ISNUMBER('הדבקת לידים'!A3036),IF(הגדרות!$E$2&gt;0,TEXT('הדבקת לידים'!A3036,REPT("0",הגדרות!$E$2)),TEXT('הדבקת לידים'!A3036,"0")),TRIM('הדבקת לידים'!A3036)))</f>
        <v/>
      </c>
      <c r="B3036" s="0" t="str">
        <f aca="false">IF('הדבקת לידים'!B3036="","",IF(ISNUMBER('הדבקת לידים'!B3036),IF(הגדרות!$E$3&gt;0,TEXT('הדבקת לידים'!B3036,REPT("0",הגדרות!$E$3)),TEXT('הדבקת לידים'!B3036,"0")),TRIM('הדבקת לידים'!B3036)))</f>
        <v/>
      </c>
      <c r="C3036" s="0" t="n">
        <f aca="false">IF(OR(A3036&lt;&gt;"",B3036&lt;&gt;""),1,0)</f>
        <v>0</v>
      </c>
      <c r="D3036" s="0" t="str">
        <f aca="false">IF(C3036=1,MOD(ABS(SIN(ROW()*12.9898+'הדבקת לידים'!$F$2*78.233+IFERROR(--RIGHT(A3036,6),LEN(A3036))*0.0137+IFERROR(--RIGHT(B3036,6),LEN(B3036))*0.0071))*43758.5453,1),"")</f>
        <v/>
      </c>
      <c r="E3036" s="0" t="str">
        <f aca="false">IF(C3036=1,INT(MOD(ABS(SIN(D3036*7919.123+ROW()*0.618+'הדבקת לידים'!$F$2*1.3))*43758.5453,1)*1000000)*10000+ROW(),"")</f>
        <v/>
      </c>
      <c r="F3036" s="0" t="str">
        <f aca="false">IF(E3036="","",RANK(E3036,$E$2:$E$5001,1))</f>
        <v/>
      </c>
      <c r="G3036" s="0" t="n">
        <f aca="false">IF(A3036="",0,IF(SUMPRODUCT(--($A$2:$A$5001=A3036))&gt;1,1,0))</f>
        <v>0</v>
      </c>
      <c r="H3036" s="0" t="n">
        <f aca="false">ROW()-1</f>
        <v>3035</v>
      </c>
      <c r="I3036" s="0" t="str">
        <f aca="false">IF(OR(הגדרות!$E$6=0,H3036&gt;הגדרות!$E$5),"",IF(H3036-1&lt;הגדרות!$E$8*(הגדרות!$E$7+1),INT((H3036-1)/(הגדרות!$E$7+1)),הגדרות!$E$8+INT((H3036-1-הגדרות!$E$8*(הגדרות!$E$7+1))/הגדרות!$E$7)))</f>
        <v/>
      </c>
      <c r="J3036" s="0" t="str">
        <f aca="false">IF(I3036="","",IF(H3036-1&lt;הגדרות!$E$8*(הגדרות!$E$7+1),MOD(H3036-1,הגדרות!$E$7+1),MOD(H3036-1-הגדרות!$E$8*(הגדרות!$E$7+1),הגדרות!$E$7)))</f>
        <v/>
      </c>
      <c r="K3036" s="0" t="str">
        <f aca="false">IF(I3036="","",J3036*הגדרות!$E$6+I3036+1)</f>
        <v/>
      </c>
      <c r="L3036" s="0" t="str">
        <f aca="false">IF(K3036="","",MATCH(K3036,$F$2:$F$5001,0))</f>
        <v/>
      </c>
      <c r="M3036" s="0" t="str">
        <f aca="false">IF(I3036="","",INDEX(הגדרות!$A$2:$A$21,MOD(I3036+הגדרות!$E$9,הגדרות!$E$6)+1))</f>
        <v/>
      </c>
    </row>
    <row r="3037" customFormat="false" ht="15" hidden="false" customHeight="false" outlineLevel="0" collapsed="false">
      <c r="A3037" s="0" t="str">
        <f aca="false">IF('הדבקת לידים'!A3037="","",IF(ISNUMBER('הדבקת לידים'!A3037),IF(הגדרות!$E$2&gt;0,TEXT('הדבקת לידים'!A3037,REPT("0",הגדרות!$E$2)),TEXT('הדבקת לידים'!A3037,"0")),TRIM('הדבקת לידים'!A3037)))</f>
        <v/>
      </c>
      <c r="B3037" s="0" t="str">
        <f aca="false">IF('הדבקת לידים'!B3037="","",IF(ISNUMBER('הדבקת לידים'!B3037),IF(הגדרות!$E$3&gt;0,TEXT('הדבקת לידים'!B3037,REPT("0",הגדרות!$E$3)),TEXT('הדבקת לידים'!B3037,"0")),TRIM('הדבקת לידים'!B3037)))</f>
        <v/>
      </c>
      <c r="C3037" s="0" t="n">
        <f aca="false">IF(OR(A3037&lt;&gt;"",B3037&lt;&gt;""),1,0)</f>
        <v>0</v>
      </c>
      <c r="D3037" s="0" t="str">
        <f aca="false">IF(C3037=1,MOD(ABS(SIN(ROW()*12.9898+'הדבקת לידים'!$F$2*78.233+IFERROR(--RIGHT(A3037,6),LEN(A3037))*0.0137+IFERROR(--RIGHT(B3037,6),LEN(B3037))*0.0071))*43758.5453,1),"")</f>
        <v/>
      </c>
      <c r="E3037" s="0" t="str">
        <f aca="false">IF(C3037=1,INT(MOD(ABS(SIN(D3037*7919.123+ROW()*0.618+'הדבקת לידים'!$F$2*1.3))*43758.5453,1)*1000000)*10000+ROW(),"")</f>
        <v/>
      </c>
      <c r="F3037" s="0" t="str">
        <f aca="false">IF(E3037="","",RANK(E3037,$E$2:$E$5001,1))</f>
        <v/>
      </c>
      <c r="G3037" s="0" t="n">
        <f aca="false">IF(A3037="",0,IF(SUMPRODUCT(--($A$2:$A$5001=A3037))&gt;1,1,0))</f>
        <v>0</v>
      </c>
      <c r="H3037" s="0" t="n">
        <f aca="false">ROW()-1</f>
        <v>3036</v>
      </c>
      <c r="I3037" s="0" t="str">
        <f aca="false">IF(OR(הגדרות!$E$6=0,H3037&gt;הגדרות!$E$5),"",IF(H3037-1&lt;הגדרות!$E$8*(הגדרות!$E$7+1),INT((H3037-1)/(הגדרות!$E$7+1)),הגדרות!$E$8+INT((H3037-1-הגדרות!$E$8*(הגדרות!$E$7+1))/הגדרות!$E$7)))</f>
        <v/>
      </c>
      <c r="J3037" s="0" t="str">
        <f aca="false">IF(I3037="","",IF(H3037-1&lt;הגדרות!$E$8*(הגדרות!$E$7+1),MOD(H3037-1,הגדרות!$E$7+1),MOD(H3037-1-הגדרות!$E$8*(הגדרות!$E$7+1),הגדרות!$E$7)))</f>
        <v/>
      </c>
      <c r="K3037" s="0" t="str">
        <f aca="false">IF(I3037="","",J3037*הגדרות!$E$6+I3037+1)</f>
        <v/>
      </c>
      <c r="L3037" s="0" t="str">
        <f aca="false">IF(K3037="","",MATCH(K3037,$F$2:$F$5001,0))</f>
        <v/>
      </c>
      <c r="M3037" s="0" t="str">
        <f aca="false">IF(I3037="","",INDEX(הגדרות!$A$2:$A$21,MOD(I3037+הגדרות!$E$9,הגדרות!$E$6)+1))</f>
        <v/>
      </c>
    </row>
    <row r="3038" customFormat="false" ht="15" hidden="false" customHeight="false" outlineLevel="0" collapsed="false">
      <c r="A3038" s="0" t="str">
        <f aca="false">IF('הדבקת לידים'!A3038="","",IF(ISNUMBER('הדבקת לידים'!A3038),IF(הגדרות!$E$2&gt;0,TEXT('הדבקת לידים'!A3038,REPT("0",הגדרות!$E$2)),TEXT('הדבקת לידים'!A3038,"0")),TRIM('הדבקת לידים'!A3038)))</f>
        <v/>
      </c>
      <c r="B3038" s="0" t="str">
        <f aca="false">IF('הדבקת לידים'!B3038="","",IF(ISNUMBER('הדבקת לידים'!B3038),IF(הגדרות!$E$3&gt;0,TEXT('הדבקת לידים'!B3038,REPT("0",הגדרות!$E$3)),TEXT('הדבקת לידים'!B3038,"0")),TRIM('הדבקת לידים'!B3038)))</f>
        <v/>
      </c>
      <c r="C3038" s="0" t="n">
        <f aca="false">IF(OR(A3038&lt;&gt;"",B3038&lt;&gt;""),1,0)</f>
        <v>0</v>
      </c>
      <c r="D3038" s="0" t="str">
        <f aca="false">IF(C3038=1,MOD(ABS(SIN(ROW()*12.9898+'הדבקת לידים'!$F$2*78.233+IFERROR(--RIGHT(A3038,6),LEN(A3038))*0.0137+IFERROR(--RIGHT(B3038,6),LEN(B3038))*0.0071))*43758.5453,1),"")</f>
        <v/>
      </c>
      <c r="E3038" s="0" t="str">
        <f aca="false">IF(C3038=1,INT(MOD(ABS(SIN(D3038*7919.123+ROW()*0.618+'הדבקת לידים'!$F$2*1.3))*43758.5453,1)*1000000)*10000+ROW(),"")</f>
        <v/>
      </c>
      <c r="F3038" s="0" t="str">
        <f aca="false">IF(E3038="","",RANK(E3038,$E$2:$E$5001,1))</f>
        <v/>
      </c>
      <c r="G3038" s="0" t="n">
        <f aca="false">IF(A3038="",0,IF(SUMPRODUCT(--($A$2:$A$5001=A3038))&gt;1,1,0))</f>
        <v>0</v>
      </c>
      <c r="H3038" s="0" t="n">
        <f aca="false">ROW()-1</f>
        <v>3037</v>
      </c>
      <c r="I3038" s="0" t="str">
        <f aca="false">IF(OR(הגדרות!$E$6=0,H3038&gt;הגדרות!$E$5),"",IF(H3038-1&lt;הגדרות!$E$8*(הגדרות!$E$7+1),INT((H3038-1)/(הגדרות!$E$7+1)),הגדרות!$E$8+INT((H3038-1-הגדרות!$E$8*(הגדרות!$E$7+1))/הגדרות!$E$7)))</f>
        <v/>
      </c>
      <c r="J3038" s="0" t="str">
        <f aca="false">IF(I3038="","",IF(H3038-1&lt;הגדרות!$E$8*(הגדרות!$E$7+1),MOD(H3038-1,הגדרות!$E$7+1),MOD(H3038-1-הגדרות!$E$8*(הגדרות!$E$7+1),הגדרות!$E$7)))</f>
        <v/>
      </c>
      <c r="K3038" s="0" t="str">
        <f aca="false">IF(I3038="","",J3038*הגדרות!$E$6+I3038+1)</f>
        <v/>
      </c>
      <c r="L3038" s="0" t="str">
        <f aca="false">IF(K3038="","",MATCH(K3038,$F$2:$F$5001,0))</f>
        <v/>
      </c>
      <c r="M3038" s="0" t="str">
        <f aca="false">IF(I3038="","",INDEX(הגדרות!$A$2:$A$21,MOD(I3038+הגדרות!$E$9,הגדרות!$E$6)+1))</f>
        <v/>
      </c>
    </row>
    <row r="3039" customFormat="false" ht="15" hidden="false" customHeight="false" outlineLevel="0" collapsed="false">
      <c r="A3039" s="0" t="str">
        <f aca="false">IF('הדבקת לידים'!A3039="","",IF(ISNUMBER('הדבקת לידים'!A3039),IF(הגדרות!$E$2&gt;0,TEXT('הדבקת לידים'!A3039,REPT("0",הגדרות!$E$2)),TEXT('הדבקת לידים'!A3039,"0")),TRIM('הדבקת לידים'!A3039)))</f>
        <v/>
      </c>
      <c r="B3039" s="0" t="str">
        <f aca="false">IF('הדבקת לידים'!B3039="","",IF(ISNUMBER('הדבקת לידים'!B3039),IF(הגדרות!$E$3&gt;0,TEXT('הדבקת לידים'!B3039,REPT("0",הגדרות!$E$3)),TEXT('הדבקת לידים'!B3039,"0")),TRIM('הדבקת לידים'!B3039)))</f>
        <v/>
      </c>
      <c r="C3039" s="0" t="n">
        <f aca="false">IF(OR(A3039&lt;&gt;"",B3039&lt;&gt;""),1,0)</f>
        <v>0</v>
      </c>
      <c r="D3039" s="0" t="str">
        <f aca="false">IF(C3039=1,MOD(ABS(SIN(ROW()*12.9898+'הדבקת לידים'!$F$2*78.233+IFERROR(--RIGHT(A3039,6),LEN(A3039))*0.0137+IFERROR(--RIGHT(B3039,6),LEN(B3039))*0.0071))*43758.5453,1),"")</f>
        <v/>
      </c>
      <c r="E3039" s="0" t="str">
        <f aca="false">IF(C3039=1,INT(MOD(ABS(SIN(D3039*7919.123+ROW()*0.618+'הדבקת לידים'!$F$2*1.3))*43758.5453,1)*1000000)*10000+ROW(),"")</f>
        <v/>
      </c>
      <c r="F3039" s="0" t="str">
        <f aca="false">IF(E3039="","",RANK(E3039,$E$2:$E$5001,1))</f>
        <v/>
      </c>
      <c r="G3039" s="0" t="n">
        <f aca="false">IF(A3039="",0,IF(SUMPRODUCT(--($A$2:$A$5001=A3039))&gt;1,1,0))</f>
        <v>0</v>
      </c>
      <c r="H3039" s="0" t="n">
        <f aca="false">ROW()-1</f>
        <v>3038</v>
      </c>
      <c r="I3039" s="0" t="str">
        <f aca="false">IF(OR(הגדרות!$E$6=0,H3039&gt;הגדרות!$E$5),"",IF(H3039-1&lt;הגדרות!$E$8*(הגדרות!$E$7+1),INT((H3039-1)/(הגדרות!$E$7+1)),הגדרות!$E$8+INT((H3039-1-הגדרות!$E$8*(הגדרות!$E$7+1))/הגדרות!$E$7)))</f>
        <v/>
      </c>
      <c r="J3039" s="0" t="str">
        <f aca="false">IF(I3039="","",IF(H3039-1&lt;הגדרות!$E$8*(הגדרות!$E$7+1),MOD(H3039-1,הגדרות!$E$7+1),MOD(H3039-1-הגדרות!$E$8*(הגדרות!$E$7+1),הגדרות!$E$7)))</f>
        <v/>
      </c>
      <c r="K3039" s="0" t="str">
        <f aca="false">IF(I3039="","",J3039*הגדרות!$E$6+I3039+1)</f>
        <v/>
      </c>
      <c r="L3039" s="0" t="str">
        <f aca="false">IF(K3039="","",MATCH(K3039,$F$2:$F$5001,0))</f>
        <v/>
      </c>
      <c r="M3039" s="0" t="str">
        <f aca="false">IF(I3039="","",INDEX(הגדרות!$A$2:$A$21,MOD(I3039+הגדרות!$E$9,הגדרות!$E$6)+1))</f>
        <v/>
      </c>
    </row>
    <row r="3040" customFormat="false" ht="15" hidden="false" customHeight="false" outlineLevel="0" collapsed="false">
      <c r="A3040" s="0" t="str">
        <f aca="false">IF('הדבקת לידים'!A3040="","",IF(ISNUMBER('הדבקת לידים'!A3040),IF(הגדרות!$E$2&gt;0,TEXT('הדבקת לידים'!A3040,REPT("0",הגדרות!$E$2)),TEXT('הדבקת לידים'!A3040,"0")),TRIM('הדבקת לידים'!A3040)))</f>
        <v/>
      </c>
      <c r="B3040" s="0" t="str">
        <f aca="false">IF('הדבקת לידים'!B3040="","",IF(ISNUMBER('הדבקת לידים'!B3040),IF(הגדרות!$E$3&gt;0,TEXT('הדבקת לידים'!B3040,REPT("0",הגדרות!$E$3)),TEXT('הדבקת לידים'!B3040,"0")),TRIM('הדבקת לידים'!B3040)))</f>
        <v/>
      </c>
      <c r="C3040" s="0" t="n">
        <f aca="false">IF(OR(A3040&lt;&gt;"",B3040&lt;&gt;""),1,0)</f>
        <v>0</v>
      </c>
      <c r="D3040" s="0" t="str">
        <f aca="false">IF(C3040=1,MOD(ABS(SIN(ROW()*12.9898+'הדבקת לידים'!$F$2*78.233+IFERROR(--RIGHT(A3040,6),LEN(A3040))*0.0137+IFERROR(--RIGHT(B3040,6),LEN(B3040))*0.0071))*43758.5453,1),"")</f>
        <v/>
      </c>
      <c r="E3040" s="0" t="str">
        <f aca="false">IF(C3040=1,INT(MOD(ABS(SIN(D3040*7919.123+ROW()*0.618+'הדבקת לידים'!$F$2*1.3))*43758.5453,1)*1000000)*10000+ROW(),"")</f>
        <v/>
      </c>
      <c r="F3040" s="0" t="str">
        <f aca="false">IF(E3040="","",RANK(E3040,$E$2:$E$5001,1))</f>
        <v/>
      </c>
      <c r="G3040" s="0" t="n">
        <f aca="false">IF(A3040="",0,IF(SUMPRODUCT(--($A$2:$A$5001=A3040))&gt;1,1,0))</f>
        <v>0</v>
      </c>
      <c r="H3040" s="0" t="n">
        <f aca="false">ROW()-1</f>
        <v>3039</v>
      </c>
      <c r="I3040" s="0" t="str">
        <f aca="false">IF(OR(הגדרות!$E$6=0,H3040&gt;הגדרות!$E$5),"",IF(H3040-1&lt;הגדרות!$E$8*(הגדרות!$E$7+1),INT((H3040-1)/(הגדרות!$E$7+1)),הגדרות!$E$8+INT((H3040-1-הגדרות!$E$8*(הגדרות!$E$7+1))/הגדרות!$E$7)))</f>
        <v/>
      </c>
      <c r="J3040" s="0" t="str">
        <f aca="false">IF(I3040="","",IF(H3040-1&lt;הגדרות!$E$8*(הגדרות!$E$7+1),MOD(H3040-1,הגדרות!$E$7+1),MOD(H3040-1-הגדרות!$E$8*(הגדרות!$E$7+1),הגדרות!$E$7)))</f>
        <v/>
      </c>
      <c r="K3040" s="0" t="str">
        <f aca="false">IF(I3040="","",J3040*הגדרות!$E$6+I3040+1)</f>
        <v/>
      </c>
      <c r="L3040" s="0" t="str">
        <f aca="false">IF(K3040="","",MATCH(K3040,$F$2:$F$5001,0))</f>
        <v/>
      </c>
      <c r="M3040" s="0" t="str">
        <f aca="false">IF(I3040="","",INDEX(הגדרות!$A$2:$A$21,MOD(I3040+הגדרות!$E$9,הגדרות!$E$6)+1))</f>
        <v/>
      </c>
    </row>
    <row r="3041" customFormat="false" ht="15" hidden="false" customHeight="false" outlineLevel="0" collapsed="false">
      <c r="A3041" s="0" t="str">
        <f aca="false">IF('הדבקת לידים'!A3041="","",IF(ISNUMBER('הדבקת לידים'!A3041),IF(הגדרות!$E$2&gt;0,TEXT('הדבקת לידים'!A3041,REPT("0",הגדרות!$E$2)),TEXT('הדבקת לידים'!A3041,"0")),TRIM('הדבקת לידים'!A3041)))</f>
        <v/>
      </c>
      <c r="B3041" s="0" t="str">
        <f aca="false">IF('הדבקת לידים'!B3041="","",IF(ISNUMBER('הדבקת לידים'!B3041),IF(הגדרות!$E$3&gt;0,TEXT('הדבקת לידים'!B3041,REPT("0",הגדרות!$E$3)),TEXT('הדבקת לידים'!B3041,"0")),TRIM('הדבקת לידים'!B3041)))</f>
        <v/>
      </c>
      <c r="C3041" s="0" t="n">
        <f aca="false">IF(OR(A3041&lt;&gt;"",B3041&lt;&gt;""),1,0)</f>
        <v>0</v>
      </c>
      <c r="D3041" s="0" t="str">
        <f aca="false">IF(C3041=1,MOD(ABS(SIN(ROW()*12.9898+'הדבקת לידים'!$F$2*78.233+IFERROR(--RIGHT(A3041,6),LEN(A3041))*0.0137+IFERROR(--RIGHT(B3041,6),LEN(B3041))*0.0071))*43758.5453,1),"")</f>
        <v/>
      </c>
      <c r="E3041" s="0" t="str">
        <f aca="false">IF(C3041=1,INT(MOD(ABS(SIN(D3041*7919.123+ROW()*0.618+'הדבקת לידים'!$F$2*1.3))*43758.5453,1)*1000000)*10000+ROW(),"")</f>
        <v/>
      </c>
      <c r="F3041" s="0" t="str">
        <f aca="false">IF(E3041="","",RANK(E3041,$E$2:$E$5001,1))</f>
        <v/>
      </c>
      <c r="G3041" s="0" t="n">
        <f aca="false">IF(A3041="",0,IF(SUMPRODUCT(--($A$2:$A$5001=A3041))&gt;1,1,0))</f>
        <v>0</v>
      </c>
      <c r="H3041" s="0" t="n">
        <f aca="false">ROW()-1</f>
        <v>3040</v>
      </c>
      <c r="I3041" s="0" t="str">
        <f aca="false">IF(OR(הגדרות!$E$6=0,H3041&gt;הגדרות!$E$5),"",IF(H3041-1&lt;הגדרות!$E$8*(הגדרות!$E$7+1),INT((H3041-1)/(הגדרות!$E$7+1)),הגדרות!$E$8+INT((H3041-1-הגדרות!$E$8*(הגדרות!$E$7+1))/הגדרות!$E$7)))</f>
        <v/>
      </c>
      <c r="J3041" s="0" t="str">
        <f aca="false">IF(I3041="","",IF(H3041-1&lt;הגדרות!$E$8*(הגדרות!$E$7+1),MOD(H3041-1,הגדרות!$E$7+1),MOD(H3041-1-הגדרות!$E$8*(הגדרות!$E$7+1),הגדרות!$E$7)))</f>
        <v/>
      </c>
      <c r="K3041" s="0" t="str">
        <f aca="false">IF(I3041="","",J3041*הגדרות!$E$6+I3041+1)</f>
        <v/>
      </c>
      <c r="L3041" s="0" t="str">
        <f aca="false">IF(K3041="","",MATCH(K3041,$F$2:$F$5001,0))</f>
        <v/>
      </c>
      <c r="M3041" s="0" t="str">
        <f aca="false">IF(I3041="","",INDEX(הגדרות!$A$2:$A$21,MOD(I3041+הגדרות!$E$9,הגדרות!$E$6)+1))</f>
        <v/>
      </c>
    </row>
    <row r="3042" customFormat="false" ht="15" hidden="false" customHeight="false" outlineLevel="0" collapsed="false">
      <c r="A3042" s="0" t="str">
        <f aca="false">IF('הדבקת לידים'!A3042="","",IF(ISNUMBER('הדבקת לידים'!A3042),IF(הגדרות!$E$2&gt;0,TEXT('הדבקת לידים'!A3042,REPT("0",הגדרות!$E$2)),TEXT('הדבקת לידים'!A3042,"0")),TRIM('הדבקת לידים'!A3042)))</f>
        <v/>
      </c>
      <c r="B3042" s="0" t="str">
        <f aca="false">IF('הדבקת לידים'!B3042="","",IF(ISNUMBER('הדבקת לידים'!B3042),IF(הגדרות!$E$3&gt;0,TEXT('הדבקת לידים'!B3042,REPT("0",הגדרות!$E$3)),TEXT('הדבקת לידים'!B3042,"0")),TRIM('הדבקת לידים'!B3042)))</f>
        <v/>
      </c>
      <c r="C3042" s="0" t="n">
        <f aca="false">IF(OR(A3042&lt;&gt;"",B3042&lt;&gt;""),1,0)</f>
        <v>0</v>
      </c>
      <c r="D3042" s="0" t="str">
        <f aca="false">IF(C3042=1,MOD(ABS(SIN(ROW()*12.9898+'הדבקת לידים'!$F$2*78.233+IFERROR(--RIGHT(A3042,6),LEN(A3042))*0.0137+IFERROR(--RIGHT(B3042,6),LEN(B3042))*0.0071))*43758.5453,1),"")</f>
        <v/>
      </c>
      <c r="E3042" s="0" t="str">
        <f aca="false">IF(C3042=1,INT(MOD(ABS(SIN(D3042*7919.123+ROW()*0.618+'הדבקת לידים'!$F$2*1.3))*43758.5453,1)*1000000)*10000+ROW(),"")</f>
        <v/>
      </c>
      <c r="F3042" s="0" t="str">
        <f aca="false">IF(E3042="","",RANK(E3042,$E$2:$E$5001,1))</f>
        <v/>
      </c>
      <c r="G3042" s="0" t="n">
        <f aca="false">IF(A3042="",0,IF(SUMPRODUCT(--($A$2:$A$5001=A3042))&gt;1,1,0))</f>
        <v>0</v>
      </c>
      <c r="H3042" s="0" t="n">
        <f aca="false">ROW()-1</f>
        <v>3041</v>
      </c>
      <c r="I3042" s="0" t="str">
        <f aca="false">IF(OR(הגדרות!$E$6=0,H3042&gt;הגדרות!$E$5),"",IF(H3042-1&lt;הגדרות!$E$8*(הגדרות!$E$7+1),INT((H3042-1)/(הגדרות!$E$7+1)),הגדרות!$E$8+INT((H3042-1-הגדרות!$E$8*(הגדרות!$E$7+1))/הגדרות!$E$7)))</f>
        <v/>
      </c>
      <c r="J3042" s="0" t="str">
        <f aca="false">IF(I3042="","",IF(H3042-1&lt;הגדרות!$E$8*(הגדרות!$E$7+1),MOD(H3042-1,הגדרות!$E$7+1),MOD(H3042-1-הגדרות!$E$8*(הגדרות!$E$7+1),הגדרות!$E$7)))</f>
        <v/>
      </c>
      <c r="K3042" s="0" t="str">
        <f aca="false">IF(I3042="","",J3042*הגדרות!$E$6+I3042+1)</f>
        <v/>
      </c>
      <c r="L3042" s="0" t="str">
        <f aca="false">IF(K3042="","",MATCH(K3042,$F$2:$F$5001,0))</f>
        <v/>
      </c>
      <c r="M3042" s="0" t="str">
        <f aca="false">IF(I3042="","",INDEX(הגדרות!$A$2:$A$21,MOD(I3042+הגדרות!$E$9,הגדרות!$E$6)+1))</f>
        <v/>
      </c>
    </row>
    <row r="3043" customFormat="false" ht="15" hidden="false" customHeight="false" outlineLevel="0" collapsed="false">
      <c r="A3043" s="0" t="str">
        <f aca="false">IF('הדבקת לידים'!A3043="","",IF(ISNUMBER('הדבקת לידים'!A3043),IF(הגדרות!$E$2&gt;0,TEXT('הדבקת לידים'!A3043,REPT("0",הגדרות!$E$2)),TEXT('הדבקת לידים'!A3043,"0")),TRIM('הדבקת לידים'!A3043)))</f>
        <v/>
      </c>
      <c r="B3043" s="0" t="str">
        <f aca="false">IF('הדבקת לידים'!B3043="","",IF(ISNUMBER('הדבקת לידים'!B3043),IF(הגדרות!$E$3&gt;0,TEXT('הדבקת לידים'!B3043,REPT("0",הגדרות!$E$3)),TEXT('הדבקת לידים'!B3043,"0")),TRIM('הדבקת לידים'!B3043)))</f>
        <v/>
      </c>
      <c r="C3043" s="0" t="n">
        <f aca="false">IF(OR(A3043&lt;&gt;"",B3043&lt;&gt;""),1,0)</f>
        <v>0</v>
      </c>
      <c r="D3043" s="0" t="str">
        <f aca="false">IF(C3043=1,MOD(ABS(SIN(ROW()*12.9898+'הדבקת לידים'!$F$2*78.233+IFERROR(--RIGHT(A3043,6),LEN(A3043))*0.0137+IFERROR(--RIGHT(B3043,6),LEN(B3043))*0.0071))*43758.5453,1),"")</f>
        <v/>
      </c>
      <c r="E3043" s="0" t="str">
        <f aca="false">IF(C3043=1,INT(MOD(ABS(SIN(D3043*7919.123+ROW()*0.618+'הדבקת לידים'!$F$2*1.3))*43758.5453,1)*1000000)*10000+ROW(),"")</f>
        <v/>
      </c>
      <c r="F3043" s="0" t="str">
        <f aca="false">IF(E3043="","",RANK(E3043,$E$2:$E$5001,1))</f>
        <v/>
      </c>
      <c r="G3043" s="0" t="n">
        <f aca="false">IF(A3043="",0,IF(SUMPRODUCT(--($A$2:$A$5001=A3043))&gt;1,1,0))</f>
        <v>0</v>
      </c>
      <c r="H3043" s="0" t="n">
        <f aca="false">ROW()-1</f>
        <v>3042</v>
      </c>
      <c r="I3043" s="0" t="str">
        <f aca="false">IF(OR(הגדרות!$E$6=0,H3043&gt;הגדרות!$E$5),"",IF(H3043-1&lt;הגדרות!$E$8*(הגדרות!$E$7+1),INT((H3043-1)/(הגדרות!$E$7+1)),הגדרות!$E$8+INT((H3043-1-הגדרות!$E$8*(הגדרות!$E$7+1))/הגדרות!$E$7)))</f>
        <v/>
      </c>
      <c r="J3043" s="0" t="str">
        <f aca="false">IF(I3043="","",IF(H3043-1&lt;הגדרות!$E$8*(הגדרות!$E$7+1),MOD(H3043-1,הגדרות!$E$7+1),MOD(H3043-1-הגדרות!$E$8*(הגדרות!$E$7+1),הגדרות!$E$7)))</f>
        <v/>
      </c>
      <c r="K3043" s="0" t="str">
        <f aca="false">IF(I3043="","",J3043*הגדרות!$E$6+I3043+1)</f>
        <v/>
      </c>
      <c r="L3043" s="0" t="str">
        <f aca="false">IF(K3043="","",MATCH(K3043,$F$2:$F$5001,0))</f>
        <v/>
      </c>
      <c r="M3043" s="0" t="str">
        <f aca="false">IF(I3043="","",INDEX(הגדרות!$A$2:$A$21,MOD(I3043+הגדרות!$E$9,הגדרות!$E$6)+1))</f>
        <v/>
      </c>
    </row>
    <row r="3044" customFormat="false" ht="15" hidden="false" customHeight="false" outlineLevel="0" collapsed="false">
      <c r="A3044" s="0" t="str">
        <f aca="false">IF('הדבקת לידים'!A3044="","",IF(ISNUMBER('הדבקת לידים'!A3044),IF(הגדרות!$E$2&gt;0,TEXT('הדבקת לידים'!A3044,REPT("0",הגדרות!$E$2)),TEXT('הדבקת לידים'!A3044,"0")),TRIM('הדבקת לידים'!A3044)))</f>
        <v/>
      </c>
      <c r="B3044" s="0" t="str">
        <f aca="false">IF('הדבקת לידים'!B3044="","",IF(ISNUMBER('הדבקת לידים'!B3044),IF(הגדרות!$E$3&gt;0,TEXT('הדבקת לידים'!B3044,REPT("0",הגדרות!$E$3)),TEXT('הדבקת לידים'!B3044,"0")),TRIM('הדבקת לידים'!B3044)))</f>
        <v/>
      </c>
      <c r="C3044" s="0" t="n">
        <f aca="false">IF(OR(A3044&lt;&gt;"",B3044&lt;&gt;""),1,0)</f>
        <v>0</v>
      </c>
      <c r="D3044" s="0" t="str">
        <f aca="false">IF(C3044=1,MOD(ABS(SIN(ROW()*12.9898+'הדבקת לידים'!$F$2*78.233+IFERROR(--RIGHT(A3044,6),LEN(A3044))*0.0137+IFERROR(--RIGHT(B3044,6),LEN(B3044))*0.0071))*43758.5453,1),"")</f>
        <v/>
      </c>
      <c r="E3044" s="0" t="str">
        <f aca="false">IF(C3044=1,INT(MOD(ABS(SIN(D3044*7919.123+ROW()*0.618+'הדבקת לידים'!$F$2*1.3))*43758.5453,1)*1000000)*10000+ROW(),"")</f>
        <v/>
      </c>
      <c r="F3044" s="0" t="str">
        <f aca="false">IF(E3044="","",RANK(E3044,$E$2:$E$5001,1))</f>
        <v/>
      </c>
      <c r="G3044" s="0" t="n">
        <f aca="false">IF(A3044="",0,IF(SUMPRODUCT(--($A$2:$A$5001=A3044))&gt;1,1,0))</f>
        <v>0</v>
      </c>
      <c r="H3044" s="0" t="n">
        <f aca="false">ROW()-1</f>
        <v>3043</v>
      </c>
      <c r="I3044" s="0" t="str">
        <f aca="false">IF(OR(הגדרות!$E$6=0,H3044&gt;הגדרות!$E$5),"",IF(H3044-1&lt;הגדרות!$E$8*(הגדרות!$E$7+1),INT((H3044-1)/(הגדרות!$E$7+1)),הגדרות!$E$8+INT((H3044-1-הגדרות!$E$8*(הגדרות!$E$7+1))/הגדרות!$E$7)))</f>
        <v/>
      </c>
      <c r="J3044" s="0" t="str">
        <f aca="false">IF(I3044="","",IF(H3044-1&lt;הגדרות!$E$8*(הגדרות!$E$7+1),MOD(H3044-1,הגדרות!$E$7+1),MOD(H3044-1-הגדרות!$E$8*(הגדרות!$E$7+1),הגדרות!$E$7)))</f>
        <v/>
      </c>
      <c r="K3044" s="0" t="str">
        <f aca="false">IF(I3044="","",J3044*הגדרות!$E$6+I3044+1)</f>
        <v/>
      </c>
      <c r="L3044" s="0" t="str">
        <f aca="false">IF(K3044="","",MATCH(K3044,$F$2:$F$5001,0))</f>
        <v/>
      </c>
      <c r="M3044" s="0" t="str">
        <f aca="false">IF(I3044="","",INDEX(הגדרות!$A$2:$A$21,MOD(I3044+הגדרות!$E$9,הגדרות!$E$6)+1))</f>
        <v/>
      </c>
    </row>
    <row r="3045" customFormat="false" ht="15" hidden="false" customHeight="false" outlineLevel="0" collapsed="false">
      <c r="A3045" s="0" t="str">
        <f aca="false">IF('הדבקת לידים'!A3045="","",IF(ISNUMBER('הדבקת לידים'!A3045),IF(הגדרות!$E$2&gt;0,TEXT('הדבקת לידים'!A3045,REPT("0",הגדרות!$E$2)),TEXT('הדבקת לידים'!A3045,"0")),TRIM('הדבקת לידים'!A3045)))</f>
        <v/>
      </c>
      <c r="B3045" s="0" t="str">
        <f aca="false">IF('הדבקת לידים'!B3045="","",IF(ISNUMBER('הדבקת לידים'!B3045),IF(הגדרות!$E$3&gt;0,TEXT('הדבקת לידים'!B3045,REPT("0",הגדרות!$E$3)),TEXT('הדבקת לידים'!B3045,"0")),TRIM('הדבקת לידים'!B3045)))</f>
        <v/>
      </c>
      <c r="C3045" s="0" t="n">
        <f aca="false">IF(OR(A3045&lt;&gt;"",B3045&lt;&gt;""),1,0)</f>
        <v>0</v>
      </c>
      <c r="D3045" s="0" t="str">
        <f aca="false">IF(C3045=1,MOD(ABS(SIN(ROW()*12.9898+'הדבקת לידים'!$F$2*78.233+IFERROR(--RIGHT(A3045,6),LEN(A3045))*0.0137+IFERROR(--RIGHT(B3045,6),LEN(B3045))*0.0071))*43758.5453,1),"")</f>
        <v/>
      </c>
      <c r="E3045" s="0" t="str">
        <f aca="false">IF(C3045=1,INT(MOD(ABS(SIN(D3045*7919.123+ROW()*0.618+'הדבקת לידים'!$F$2*1.3))*43758.5453,1)*1000000)*10000+ROW(),"")</f>
        <v/>
      </c>
      <c r="F3045" s="0" t="str">
        <f aca="false">IF(E3045="","",RANK(E3045,$E$2:$E$5001,1))</f>
        <v/>
      </c>
      <c r="G3045" s="0" t="n">
        <f aca="false">IF(A3045="",0,IF(SUMPRODUCT(--($A$2:$A$5001=A3045))&gt;1,1,0))</f>
        <v>0</v>
      </c>
      <c r="H3045" s="0" t="n">
        <f aca="false">ROW()-1</f>
        <v>3044</v>
      </c>
      <c r="I3045" s="0" t="str">
        <f aca="false">IF(OR(הגדרות!$E$6=0,H3045&gt;הגדרות!$E$5),"",IF(H3045-1&lt;הגדרות!$E$8*(הגדרות!$E$7+1),INT((H3045-1)/(הגדרות!$E$7+1)),הגדרות!$E$8+INT((H3045-1-הגדרות!$E$8*(הגדרות!$E$7+1))/הגדרות!$E$7)))</f>
        <v/>
      </c>
      <c r="J3045" s="0" t="str">
        <f aca="false">IF(I3045="","",IF(H3045-1&lt;הגדרות!$E$8*(הגדרות!$E$7+1),MOD(H3045-1,הגדרות!$E$7+1),MOD(H3045-1-הגדרות!$E$8*(הגדרות!$E$7+1),הגדרות!$E$7)))</f>
        <v/>
      </c>
      <c r="K3045" s="0" t="str">
        <f aca="false">IF(I3045="","",J3045*הגדרות!$E$6+I3045+1)</f>
        <v/>
      </c>
      <c r="L3045" s="0" t="str">
        <f aca="false">IF(K3045="","",MATCH(K3045,$F$2:$F$5001,0))</f>
        <v/>
      </c>
      <c r="M3045" s="0" t="str">
        <f aca="false">IF(I3045="","",INDEX(הגדרות!$A$2:$A$21,MOD(I3045+הגדרות!$E$9,הגדרות!$E$6)+1))</f>
        <v/>
      </c>
    </row>
    <row r="3046" customFormat="false" ht="15" hidden="false" customHeight="false" outlineLevel="0" collapsed="false">
      <c r="A3046" s="0" t="str">
        <f aca="false">IF('הדבקת לידים'!A3046="","",IF(ISNUMBER('הדבקת לידים'!A3046),IF(הגדרות!$E$2&gt;0,TEXT('הדבקת לידים'!A3046,REPT("0",הגדרות!$E$2)),TEXT('הדבקת לידים'!A3046,"0")),TRIM('הדבקת לידים'!A3046)))</f>
        <v/>
      </c>
      <c r="B3046" s="0" t="str">
        <f aca="false">IF('הדבקת לידים'!B3046="","",IF(ISNUMBER('הדבקת לידים'!B3046),IF(הגדרות!$E$3&gt;0,TEXT('הדבקת לידים'!B3046,REPT("0",הגדרות!$E$3)),TEXT('הדבקת לידים'!B3046,"0")),TRIM('הדבקת לידים'!B3046)))</f>
        <v/>
      </c>
      <c r="C3046" s="0" t="n">
        <f aca="false">IF(OR(A3046&lt;&gt;"",B3046&lt;&gt;""),1,0)</f>
        <v>0</v>
      </c>
      <c r="D3046" s="0" t="str">
        <f aca="false">IF(C3046=1,MOD(ABS(SIN(ROW()*12.9898+'הדבקת לידים'!$F$2*78.233+IFERROR(--RIGHT(A3046,6),LEN(A3046))*0.0137+IFERROR(--RIGHT(B3046,6),LEN(B3046))*0.0071))*43758.5453,1),"")</f>
        <v/>
      </c>
      <c r="E3046" s="0" t="str">
        <f aca="false">IF(C3046=1,INT(MOD(ABS(SIN(D3046*7919.123+ROW()*0.618+'הדבקת לידים'!$F$2*1.3))*43758.5453,1)*1000000)*10000+ROW(),"")</f>
        <v/>
      </c>
      <c r="F3046" s="0" t="str">
        <f aca="false">IF(E3046="","",RANK(E3046,$E$2:$E$5001,1))</f>
        <v/>
      </c>
      <c r="G3046" s="0" t="n">
        <f aca="false">IF(A3046="",0,IF(SUMPRODUCT(--($A$2:$A$5001=A3046))&gt;1,1,0))</f>
        <v>0</v>
      </c>
      <c r="H3046" s="0" t="n">
        <f aca="false">ROW()-1</f>
        <v>3045</v>
      </c>
      <c r="I3046" s="0" t="str">
        <f aca="false">IF(OR(הגדרות!$E$6=0,H3046&gt;הגדרות!$E$5),"",IF(H3046-1&lt;הגדרות!$E$8*(הגדרות!$E$7+1),INT((H3046-1)/(הגדרות!$E$7+1)),הגדרות!$E$8+INT((H3046-1-הגדרות!$E$8*(הגדרות!$E$7+1))/הגדרות!$E$7)))</f>
        <v/>
      </c>
      <c r="J3046" s="0" t="str">
        <f aca="false">IF(I3046="","",IF(H3046-1&lt;הגדרות!$E$8*(הגדרות!$E$7+1),MOD(H3046-1,הגדרות!$E$7+1),MOD(H3046-1-הגדרות!$E$8*(הגדרות!$E$7+1),הגדרות!$E$7)))</f>
        <v/>
      </c>
      <c r="K3046" s="0" t="str">
        <f aca="false">IF(I3046="","",J3046*הגדרות!$E$6+I3046+1)</f>
        <v/>
      </c>
      <c r="L3046" s="0" t="str">
        <f aca="false">IF(K3046="","",MATCH(K3046,$F$2:$F$5001,0))</f>
        <v/>
      </c>
      <c r="M3046" s="0" t="str">
        <f aca="false">IF(I3046="","",INDEX(הגדרות!$A$2:$A$21,MOD(I3046+הגדרות!$E$9,הגדרות!$E$6)+1))</f>
        <v/>
      </c>
    </row>
    <row r="3047" customFormat="false" ht="15" hidden="false" customHeight="false" outlineLevel="0" collapsed="false">
      <c r="A3047" s="0" t="str">
        <f aca="false">IF('הדבקת לידים'!A3047="","",IF(ISNUMBER('הדבקת לידים'!A3047),IF(הגדרות!$E$2&gt;0,TEXT('הדבקת לידים'!A3047,REPT("0",הגדרות!$E$2)),TEXT('הדבקת לידים'!A3047,"0")),TRIM('הדבקת לידים'!A3047)))</f>
        <v/>
      </c>
      <c r="B3047" s="0" t="str">
        <f aca="false">IF('הדבקת לידים'!B3047="","",IF(ISNUMBER('הדבקת לידים'!B3047),IF(הגדרות!$E$3&gt;0,TEXT('הדבקת לידים'!B3047,REPT("0",הגדרות!$E$3)),TEXT('הדבקת לידים'!B3047,"0")),TRIM('הדבקת לידים'!B3047)))</f>
        <v/>
      </c>
      <c r="C3047" s="0" t="n">
        <f aca="false">IF(OR(A3047&lt;&gt;"",B3047&lt;&gt;""),1,0)</f>
        <v>0</v>
      </c>
      <c r="D3047" s="0" t="str">
        <f aca="false">IF(C3047=1,MOD(ABS(SIN(ROW()*12.9898+'הדבקת לידים'!$F$2*78.233+IFERROR(--RIGHT(A3047,6),LEN(A3047))*0.0137+IFERROR(--RIGHT(B3047,6),LEN(B3047))*0.0071))*43758.5453,1),"")</f>
        <v/>
      </c>
      <c r="E3047" s="0" t="str">
        <f aca="false">IF(C3047=1,INT(MOD(ABS(SIN(D3047*7919.123+ROW()*0.618+'הדבקת לידים'!$F$2*1.3))*43758.5453,1)*1000000)*10000+ROW(),"")</f>
        <v/>
      </c>
      <c r="F3047" s="0" t="str">
        <f aca="false">IF(E3047="","",RANK(E3047,$E$2:$E$5001,1))</f>
        <v/>
      </c>
      <c r="G3047" s="0" t="n">
        <f aca="false">IF(A3047="",0,IF(SUMPRODUCT(--($A$2:$A$5001=A3047))&gt;1,1,0))</f>
        <v>0</v>
      </c>
      <c r="H3047" s="0" t="n">
        <f aca="false">ROW()-1</f>
        <v>3046</v>
      </c>
      <c r="I3047" s="0" t="str">
        <f aca="false">IF(OR(הגדרות!$E$6=0,H3047&gt;הגדרות!$E$5),"",IF(H3047-1&lt;הגדרות!$E$8*(הגדרות!$E$7+1),INT((H3047-1)/(הגדרות!$E$7+1)),הגדרות!$E$8+INT((H3047-1-הגדרות!$E$8*(הגדרות!$E$7+1))/הגדרות!$E$7)))</f>
        <v/>
      </c>
      <c r="J3047" s="0" t="str">
        <f aca="false">IF(I3047="","",IF(H3047-1&lt;הגדרות!$E$8*(הגדרות!$E$7+1),MOD(H3047-1,הגדרות!$E$7+1),MOD(H3047-1-הגדרות!$E$8*(הגדרות!$E$7+1),הגדרות!$E$7)))</f>
        <v/>
      </c>
      <c r="K3047" s="0" t="str">
        <f aca="false">IF(I3047="","",J3047*הגדרות!$E$6+I3047+1)</f>
        <v/>
      </c>
      <c r="L3047" s="0" t="str">
        <f aca="false">IF(K3047="","",MATCH(K3047,$F$2:$F$5001,0))</f>
        <v/>
      </c>
      <c r="M3047" s="0" t="str">
        <f aca="false">IF(I3047="","",INDEX(הגדרות!$A$2:$A$21,MOD(I3047+הגדרות!$E$9,הגדרות!$E$6)+1))</f>
        <v/>
      </c>
    </row>
    <row r="3048" customFormat="false" ht="15" hidden="false" customHeight="false" outlineLevel="0" collapsed="false">
      <c r="A3048" s="0" t="str">
        <f aca="false">IF('הדבקת לידים'!A3048="","",IF(ISNUMBER('הדבקת לידים'!A3048),IF(הגדרות!$E$2&gt;0,TEXT('הדבקת לידים'!A3048,REPT("0",הגדרות!$E$2)),TEXT('הדבקת לידים'!A3048,"0")),TRIM('הדבקת לידים'!A3048)))</f>
        <v/>
      </c>
      <c r="B3048" s="0" t="str">
        <f aca="false">IF('הדבקת לידים'!B3048="","",IF(ISNUMBER('הדבקת לידים'!B3048),IF(הגדרות!$E$3&gt;0,TEXT('הדבקת לידים'!B3048,REPT("0",הגדרות!$E$3)),TEXT('הדבקת לידים'!B3048,"0")),TRIM('הדבקת לידים'!B3048)))</f>
        <v/>
      </c>
      <c r="C3048" s="0" t="n">
        <f aca="false">IF(OR(A3048&lt;&gt;"",B3048&lt;&gt;""),1,0)</f>
        <v>0</v>
      </c>
      <c r="D3048" s="0" t="str">
        <f aca="false">IF(C3048=1,MOD(ABS(SIN(ROW()*12.9898+'הדבקת לידים'!$F$2*78.233+IFERROR(--RIGHT(A3048,6),LEN(A3048))*0.0137+IFERROR(--RIGHT(B3048,6),LEN(B3048))*0.0071))*43758.5453,1),"")</f>
        <v/>
      </c>
      <c r="E3048" s="0" t="str">
        <f aca="false">IF(C3048=1,INT(MOD(ABS(SIN(D3048*7919.123+ROW()*0.618+'הדבקת לידים'!$F$2*1.3))*43758.5453,1)*1000000)*10000+ROW(),"")</f>
        <v/>
      </c>
      <c r="F3048" s="0" t="str">
        <f aca="false">IF(E3048="","",RANK(E3048,$E$2:$E$5001,1))</f>
        <v/>
      </c>
      <c r="G3048" s="0" t="n">
        <f aca="false">IF(A3048="",0,IF(SUMPRODUCT(--($A$2:$A$5001=A3048))&gt;1,1,0))</f>
        <v>0</v>
      </c>
      <c r="H3048" s="0" t="n">
        <f aca="false">ROW()-1</f>
        <v>3047</v>
      </c>
      <c r="I3048" s="0" t="str">
        <f aca="false">IF(OR(הגדרות!$E$6=0,H3048&gt;הגדרות!$E$5),"",IF(H3048-1&lt;הגדרות!$E$8*(הגדרות!$E$7+1),INT((H3048-1)/(הגדרות!$E$7+1)),הגדרות!$E$8+INT((H3048-1-הגדרות!$E$8*(הגדרות!$E$7+1))/הגדרות!$E$7)))</f>
        <v/>
      </c>
      <c r="J3048" s="0" t="str">
        <f aca="false">IF(I3048="","",IF(H3048-1&lt;הגדרות!$E$8*(הגדרות!$E$7+1),MOD(H3048-1,הגדרות!$E$7+1),MOD(H3048-1-הגדרות!$E$8*(הגדרות!$E$7+1),הגדרות!$E$7)))</f>
        <v/>
      </c>
      <c r="K3048" s="0" t="str">
        <f aca="false">IF(I3048="","",J3048*הגדרות!$E$6+I3048+1)</f>
        <v/>
      </c>
      <c r="L3048" s="0" t="str">
        <f aca="false">IF(K3048="","",MATCH(K3048,$F$2:$F$5001,0))</f>
        <v/>
      </c>
      <c r="M3048" s="0" t="str">
        <f aca="false">IF(I3048="","",INDEX(הגדרות!$A$2:$A$21,MOD(I3048+הגדרות!$E$9,הגדרות!$E$6)+1))</f>
        <v/>
      </c>
    </row>
    <row r="3049" customFormat="false" ht="15" hidden="false" customHeight="false" outlineLevel="0" collapsed="false">
      <c r="A3049" s="0" t="str">
        <f aca="false">IF('הדבקת לידים'!A3049="","",IF(ISNUMBER('הדבקת לידים'!A3049),IF(הגדרות!$E$2&gt;0,TEXT('הדבקת לידים'!A3049,REPT("0",הגדרות!$E$2)),TEXT('הדבקת לידים'!A3049,"0")),TRIM('הדבקת לידים'!A3049)))</f>
        <v/>
      </c>
      <c r="B3049" s="0" t="str">
        <f aca="false">IF('הדבקת לידים'!B3049="","",IF(ISNUMBER('הדבקת לידים'!B3049),IF(הגדרות!$E$3&gt;0,TEXT('הדבקת לידים'!B3049,REPT("0",הגדרות!$E$3)),TEXT('הדבקת לידים'!B3049,"0")),TRIM('הדבקת לידים'!B3049)))</f>
        <v/>
      </c>
      <c r="C3049" s="0" t="n">
        <f aca="false">IF(OR(A3049&lt;&gt;"",B3049&lt;&gt;""),1,0)</f>
        <v>0</v>
      </c>
      <c r="D3049" s="0" t="str">
        <f aca="false">IF(C3049=1,MOD(ABS(SIN(ROW()*12.9898+'הדבקת לידים'!$F$2*78.233+IFERROR(--RIGHT(A3049,6),LEN(A3049))*0.0137+IFERROR(--RIGHT(B3049,6),LEN(B3049))*0.0071))*43758.5453,1),"")</f>
        <v/>
      </c>
      <c r="E3049" s="0" t="str">
        <f aca="false">IF(C3049=1,INT(MOD(ABS(SIN(D3049*7919.123+ROW()*0.618+'הדבקת לידים'!$F$2*1.3))*43758.5453,1)*1000000)*10000+ROW(),"")</f>
        <v/>
      </c>
      <c r="F3049" s="0" t="str">
        <f aca="false">IF(E3049="","",RANK(E3049,$E$2:$E$5001,1))</f>
        <v/>
      </c>
      <c r="G3049" s="0" t="n">
        <f aca="false">IF(A3049="",0,IF(SUMPRODUCT(--($A$2:$A$5001=A3049))&gt;1,1,0))</f>
        <v>0</v>
      </c>
      <c r="H3049" s="0" t="n">
        <f aca="false">ROW()-1</f>
        <v>3048</v>
      </c>
      <c r="I3049" s="0" t="str">
        <f aca="false">IF(OR(הגדרות!$E$6=0,H3049&gt;הגדרות!$E$5),"",IF(H3049-1&lt;הגדרות!$E$8*(הגדרות!$E$7+1),INT((H3049-1)/(הגדרות!$E$7+1)),הגדרות!$E$8+INT((H3049-1-הגדרות!$E$8*(הגדרות!$E$7+1))/הגדרות!$E$7)))</f>
        <v/>
      </c>
      <c r="J3049" s="0" t="str">
        <f aca="false">IF(I3049="","",IF(H3049-1&lt;הגדרות!$E$8*(הגדרות!$E$7+1),MOD(H3049-1,הגדרות!$E$7+1),MOD(H3049-1-הגדרות!$E$8*(הגדרות!$E$7+1),הגדרות!$E$7)))</f>
        <v/>
      </c>
      <c r="K3049" s="0" t="str">
        <f aca="false">IF(I3049="","",J3049*הגדרות!$E$6+I3049+1)</f>
        <v/>
      </c>
      <c r="L3049" s="0" t="str">
        <f aca="false">IF(K3049="","",MATCH(K3049,$F$2:$F$5001,0))</f>
        <v/>
      </c>
      <c r="M3049" s="0" t="str">
        <f aca="false">IF(I3049="","",INDEX(הגדרות!$A$2:$A$21,MOD(I3049+הגדרות!$E$9,הגדרות!$E$6)+1))</f>
        <v/>
      </c>
    </row>
    <row r="3050" customFormat="false" ht="15" hidden="false" customHeight="false" outlineLevel="0" collapsed="false">
      <c r="A3050" s="0" t="str">
        <f aca="false">IF('הדבקת לידים'!A3050="","",IF(ISNUMBER('הדבקת לידים'!A3050),IF(הגדרות!$E$2&gt;0,TEXT('הדבקת לידים'!A3050,REPT("0",הגדרות!$E$2)),TEXT('הדבקת לידים'!A3050,"0")),TRIM('הדבקת לידים'!A3050)))</f>
        <v/>
      </c>
      <c r="B3050" s="0" t="str">
        <f aca="false">IF('הדבקת לידים'!B3050="","",IF(ISNUMBER('הדבקת לידים'!B3050),IF(הגדרות!$E$3&gt;0,TEXT('הדבקת לידים'!B3050,REPT("0",הגדרות!$E$3)),TEXT('הדבקת לידים'!B3050,"0")),TRIM('הדבקת לידים'!B3050)))</f>
        <v/>
      </c>
      <c r="C3050" s="0" t="n">
        <f aca="false">IF(OR(A3050&lt;&gt;"",B3050&lt;&gt;""),1,0)</f>
        <v>0</v>
      </c>
      <c r="D3050" s="0" t="str">
        <f aca="false">IF(C3050=1,MOD(ABS(SIN(ROW()*12.9898+'הדבקת לידים'!$F$2*78.233+IFERROR(--RIGHT(A3050,6),LEN(A3050))*0.0137+IFERROR(--RIGHT(B3050,6),LEN(B3050))*0.0071))*43758.5453,1),"")</f>
        <v/>
      </c>
      <c r="E3050" s="0" t="str">
        <f aca="false">IF(C3050=1,INT(MOD(ABS(SIN(D3050*7919.123+ROW()*0.618+'הדבקת לידים'!$F$2*1.3))*43758.5453,1)*1000000)*10000+ROW(),"")</f>
        <v/>
      </c>
      <c r="F3050" s="0" t="str">
        <f aca="false">IF(E3050="","",RANK(E3050,$E$2:$E$5001,1))</f>
        <v/>
      </c>
      <c r="G3050" s="0" t="n">
        <f aca="false">IF(A3050="",0,IF(SUMPRODUCT(--($A$2:$A$5001=A3050))&gt;1,1,0))</f>
        <v>0</v>
      </c>
      <c r="H3050" s="0" t="n">
        <f aca="false">ROW()-1</f>
        <v>3049</v>
      </c>
      <c r="I3050" s="0" t="str">
        <f aca="false">IF(OR(הגדרות!$E$6=0,H3050&gt;הגדרות!$E$5),"",IF(H3050-1&lt;הגדרות!$E$8*(הגדרות!$E$7+1),INT((H3050-1)/(הגדרות!$E$7+1)),הגדרות!$E$8+INT((H3050-1-הגדרות!$E$8*(הגדרות!$E$7+1))/הגדרות!$E$7)))</f>
        <v/>
      </c>
      <c r="J3050" s="0" t="str">
        <f aca="false">IF(I3050="","",IF(H3050-1&lt;הגדרות!$E$8*(הגדרות!$E$7+1),MOD(H3050-1,הגדרות!$E$7+1),MOD(H3050-1-הגדרות!$E$8*(הגדרות!$E$7+1),הגדרות!$E$7)))</f>
        <v/>
      </c>
      <c r="K3050" s="0" t="str">
        <f aca="false">IF(I3050="","",J3050*הגדרות!$E$6+I3050+1)</f>
        <v/>
      </c>
      <c r="L3050" s="0" t="str">
        <f aca="false">IF(K3050="","",MATCH(K3050,$F$2:$F$5001,0))</f>
        <v/>
      </c>
      <c r="M3050" s="0" t="str">
        <f aca="false">IF(I3050="","",INDEX(הגדרות!$A$2:$A$21,MOD(I3050+הגדרות!$E$9,הגדרות!$E$6)+1))</f>
        <v/>
      </c>
    </row>
    <row r="3051" customFormat="false" ht="15" hidden="false" customHeight="false" outlineLevel="0" collapsed="false">
      <c r="A3051" s="0" t="str">
        <f aca="false">IF('הדבקת לידים'!A3051="","",IF(ISNUMBER('הדבקת לידים'!A3051),IF(הגדרות!$E$2&gt;0,TEXT('הדבקת לידים'!A3051,REPT("0",הגדרות!$E$2)),TEXT('הדבקת לידים'!A3051,"0")),TRIM('הדבקת לידים'!A3051)))</f>
        <v/>
      </c>
      <c r="B3051" s="0" t="str">
        <f aca="false">IF('הדבקת לידים'!B3051="","",IF(ISNUMBER('הדבקת לידים'!B3051),IF(הגדרות!$E$3&gt;0,TEXT('הדבקת לידים'!B3051,REPT("0",הגדרות!$E$3)),TEXT('הדבקת לידים'!B3051,"0")),TRIM('הדבקת לידים'!B3051)))</f>
        <v/>
      </c>
      <c r="C3051" s="0" t="n">
        <f aca="false">IF(OR(A3051&lt;&gt;"",B3051&lt;&gt;""),1,0)</f>
        <v>0</v>
      </c>
      <c r="D3051" s="0" t="str">
        <f aca="false">IF(C3051=1,MOD(ABS(SIN(ROW()*12.9898+'הדבקת לידים'!$F$2*78.233+IFERROR(--RIGHT(A3051,6),LEN(A3051))*0.0137+IFERROR(--RIGHT(B3051,6),LEN(B3051))*0.0071))*43758.5453,1),"")</f>
        <v/>
      </c>
      <c r="E3051" s="0" t="str">
        <f aca="false">IF(C3051=1,INT(MOD(ABS(SIN(D3051*7919.123+ROW()*0.618+'הדבקת לידים'!$F$2*1.3))*43758.5453,1)*1000000)*10000+ROW(),"")</f>
        <v/>
      </c>
      <c r="F3051" s="0" t="str">
        <f aca="false">IF(E3051="","",RANK(E3051,$E$2:$E$5001,1))</f>
        <v/>
      </c>
      <c r="G3051" s="0" t="n">
        <f aca="false">IF(A3051="",0,IF(SUMPRODUCT(--($A$2:$A$5001=A3051))&gt;1,1,0))</f>
        <v>0</v>
      </c>
      <c r="H3051" s="0" t="n">
        <f aca="false">ROW()-1</f>
        <v>3050</v>
      </c>
      <c r="I3051" s="0" t="str">
        <f aca="false">IF(OR(הגדרות!$E$6=0,H3051&gt;הגדרות!$E$5),"",IF(H3051-1&lt;הגדרות!$E$8*(הגדרות!$E$7+1),INT((H3051-1)/(הגדרות!$E$7+1)),הגדרות!$E$8+INT((H3051-1-הגדרות!$E$8*(הגדרות!$E$7+1))/הגדרות!$E$7)))</f>
        <v/>
      </c>
      <c r="J3051" s="0" t="str">
        <f aca="false">IF(I3051="","",IF(H3051-1&lt;הגדרות!$E$8*(הגדרות!$E$7+1),MOD(H3051-1,הגדרות!$E$7+1),MOD(H3051-1-הגדרות!$E$8*(הגדרות!$E$7+1),הגדרות!$E$7)))</f>
        <v/>
      </c>
      <c r="K3051" s="0" t="str">
        <f aca="false">IF(I3051="","",J3051*הגדרות!$E$6+I3051+1)</f>
        <v/>
      </c>
      <c r="L3051" s="0" t="str">
        <f aca="false">IF(K3051="","",MATCH(K3051,$F$2:$F$5001,0))</f>
        <v/>
      </c>
      <c r="M3051" s="0" t="str">
        <f aca="false">IF(I3051="","",INDEX(הגדרות!$A$2:$A$21,MOD(I3051+הגדרות!$E$9,הגדרות!$E$6)+1))</f>
        <v/>
      </c>
    </row>
    <row r="3052" customFormat="false" ht="15" hidden="false" customHeight="false" outlineLevel="0" collapsed="false">
      <c r="A3052" s="0" t="str">
        <f aca="false">IF('הדבקת לידים'!A3052="","",IF(ISNUMBER('הדבקת לידים'!A3052),IF(הגדרות!$E$2&gt;0,TEXT('הדבקת לידים'!A3052,REPT("0",הגדרות!$E$2)),TEXT('הדבקת לידים'!A3052,"0")),TRIM('הדבקת לידים'!A3052)))</f>
        <v/>
      </c>
      <c r="B3052" s="0" t="str">
        <f aca="false">IF('הדבקת לידים'!B3052="","",IF(ISNUMBER('הדבקת לידים'!B3052),IF(הגדרות!$E$3&gt;0,TEXT('הדבקת לידים'!B3052,REPT("0",הגדרות!$E$3)),TEXT('הדבקת לידים'!B3052,"0")),TRIM('הדבקת לידים'!B3052)))</f>
        <v/>
      </c>
      <c r="C3052" s="0" t="n">
        <f aca="false">IF(OR(A3052&lt;&gt;"",B3052&lt;&gt;""),1,0)</f>
        <v>0</v>
      </c>
      <c r="D3052" s="0" t="str">
        <f aca="false">IF(C3052=1,MOD(ABS(SIN(ROW()*12.9898+'הדבקת לידים'!$F$2*78.233+IFERROR(--RIGHT(A3052,6),LEN(A3052))*0.0137+IFERROR(--RIGHT(B3052,6),LEN(B3052))*0.0071))*43758.5453,1),"")</f>
        <v/>
      </c>
      <c r="E3052" s="0" t="str">
        <f aca="false">IF(C3052=1,INT(MOD(ABS(SIN(D3052*7919.123+ROW()*0.618+'הדבקת לידים'!$F$2*1.3))*43758.5453,1)*1000000)*10000+ROW(),"")</f>
        <v/>
      </c>
      <c r="F3052" s="0" t="str">
        <f aca="false">IF(E3052="","",RANK(E3052,$E$2:$E$5001,1))</f>
        <v/>
      </c>
      <c r="G3052" s="0" t="n">
        <f aca="false">IF(A3052="",0,IF(SUMPRODUCT(--($A$2:$A$5001=A3052))&gt;1,1,0))</f>
        <v>0</v>
      </c>
      <c r="H3052" s="0" t="n">
        <f aca="false">ROW()-1</f>
        <v>3051</v>
      </c>
      <c r="I3052" s="0" t="str">
        <f aca="false">IF(OR(הגדרות!$E$6=0,H3052&gt;הגדרות!$E$5),"",IF(H3052-1&lt;הגדרות!$E$8*(הגדרות!$E$7+1),INT((H3052-1)/(הגדרות!$E$7+1)),הגדרות!$E$8+INT((H3052-1-הגדרות!$E$8*(הגדרות!$E$7+1))/הגדרות!$E$7)))</f>
        <v/>
      </c>
      <c r="J3052" s="0" t="str">
        <f aca="false">IF(I3052="","",IF(H3052-1&lt;הגדרות!$E$8*(הגדרות!$E$7+1),MOD(H3052-1,הגדרות!$E$7+1),MOD(H3052-1-הגדרות!$E$8*(הגדרות!$E$7+1),הגדרות!$E$7)))</f>
        <v/>
      </c>
      <c r="K3052" s="0" t="str">
        <f aca="false">IF(I3052="","",J3052*הגדרות!$E$6+I3052+1)</f>
        <v/>
      </c>
      <c r="L3052" s="0" t="str">
        <f aca="false">IF(K3052="","",MATCH(K3052,$F$2:$F$5001,0))</f>
        <v/>
      </c>
      <c r="M3052" s="0" t="str">
        <f aca="false">IF(I3052="","",INDEX(הגדרות!$A$2:$A$21,MOD(I3052+הגדרות!$E$9,הגדרות!$E$6)+1))</f>
        <v/>
      </c>
    </row>
    <row r="3053" customFormat="false" ht="15" hidden="false" customHeight="false" outlineLevel="0" collapsed="false">
      <c r="A3053" s="0" t="str">
        <f aca="false">IF('הדבקת לידים'!A3053="","",IF(ISNUMBER('הדבקת לידים'!A3053),IF(הגדרות!$E$2&gt;0,TEXT('הדבקת לידים'!A3053,REPT("0",הגדרות!$E$2)),TEXT('הדבקת לידים'!A3053,"0")),TRIM('הדבקת לידים'!A3053)))</f>
        <v/>
      </c>
      <c r="B3053" s="0" t="str">
        <f aca="false">IF('הדבקת לידים'!B3053="","",IF(ISNUMBER('הדבקת לידים'!B3053),IF(הגדרות!$E$3&gt;0,TEXT('הדבקת לידים'!B3053,REPT("0",הגדרות!$E$3)),TEXT('הדבקת לידים'!B3053,"0")),TRIM('הדבקת לידים'!B3053)))</f>
        <v/>
      </c>
      <c r="C3053" s="0" t="n">
        <f aca="false">IF(OR(A3053&lt;&gt;"",B3053&lt;&gt;""),1,0)</f>
        <v>0</v>
      </c>
      <c r="D3053" s="0" t="str">
        <f aca="false">IF(C3053=1,MOD(ABS(SIN(ROW()*12.9898+'הדבקת לידים'!$F$2*78.233+IFERROR(--RIGHT(A3053,6),LEN(A3053))*0.0137+IFERROR(--RIGHT(B3053,6),LEN(B3053))*0.0071))*43758.5453,1),"")</f>
        <v/>
      </c>
      <c r="E3053" s="0" t="str">
        <f aca="false">IF(C3053=1,INT(MOD(ABS(SIN(D3053*7919.123+ROW()*0.618+'הדבקת לידים'!$F$2*1.3))*43758.5453,1)*1000000)*10000+ROW(),"")</f>
        <v/>
      </c>
      <c r="F3053" s="0" t="str">
        <f aca="false">IF(E3053="","",RANK(E3053,$E$2:$E$5001,1))</f>
        <v/>
      </c>
      <c r="G3053" s="0" t="n">
        <f aca="false">IF(A3053="",0,IF(SUMPRODUCT(--($A$2:$A$5001=A3053))&gt;1,1,0))</f>
        <v>0</v>
      </c>
      <c r="H3053" s="0" t="n">
        <f aca="false">ROW()-1</f>
        <v>3052</v>
      </c>
      <c r="I3053" s="0" t="str">
        <f aca="false">IF(OR(הגדרות!$E$6=0,H3053&gt;הגדרות!$E$5),"",IF(H3053-1&lt;הגדרות!$E$8*(הגדרות!$E$7+1),INT((H3053-1)/(הגדרות!$E$7+1)),הגדרות!$E$8+INT((H3053-1-הגדרות!$E$8*(הגדרות!$E$7+1))/הגדרות!$E$7)))</f>
        <v/>
      </c>
      <c r="J3053" s="0" t="str">
        <f aca="false">IF(I3053="","",IF(H3053-1&lt;הגדרות!$E$8*(הגדרות!$E$7+1),MOD(H3053-1,הגדרות!$E$7+1),MOD(H3053-1-הגדרות!$E$8*(הגדרות!$E$7+1),הגדרות!$E$7)))</f>
        <v/>
      </c>
      <c r="K3053" s="0" t="str">
        <f aca="false">IF(I3053="","",J3053*הגדרות!$E$6+I3053+1)</f>
        <v/>
      </c>
      <c r="L3053" s="0" t="str">
        <f aca="false">IF(K3053="","",MATCH(K3053,$F$2:$F$5001,0))</f>
        <v/>
      </c>
      <c r="M3053" s="0" t="str">
        <f aca="false">IF(I3053="","",INDEX(הגדרות!$A$2:$A$21,MOD(I3053+הגדרות!$E$9,הגדרות!$E$6)+1))</f>
        <v/>
      </c>
    </row>
    <row r="3054" customFormat="false" ht="15" hidden="false" customHeight="false" outlineLevel="0" collapsed="false">
      <c r="A3054" s="0" t="str">
        <f aca="false">IF('הדבקת לידים'!A3054="","",IF(ISNUMBER('הדבקת לידים'!A3054),IF(הגדרות!$E$2&gt;0,TEXT('הדבקת לידים'!A3054,REPT("0",הגדרות!$E$2)),TEXT('הדבקת לידים'!A3054,"0")),TRIM('הדבקת לידים'!A3054)))</f>
        <v/>
      </c>
      <c r="B3054" s="0" t="str">
        <f aca="false">IF('הדבקת לידים'!B3054="","",IF(ISNUMBER('הדבקת לידים'!B3054),IF(הגדרות!$E$3&gt;0,TEXT('הדבקת לידים'!B3054,REPT("0",הגדרות!$E$3)),TEXT('הדבקת לידים'!B3054,"0")),TRIM('הדבקת לידים'!B3054)))</f>
        <v/>
      </c>
      <c r="C3054" s="0" t="n">
        <f aca="false">IF(OR(A3054&lt;&gt;"",B3054&lt;&gt;""),1,0)</f>
        <v>0</v>
      </c>
      <c r="D3054" s="0" t="str">
        <f aca="false">IF(C3054=1,MOD(ABS(SIN(ROW()*12.9898+'הדבקת לידים'!$F$2*78.233+IFERROR(--RIGHT(A3054,6),LEN(A3054))*0.0137+IFERROR(--RIGHT(B3054,6),LEN(B3054))*0.0071))*43758.5453,1),"")</f>
        <v/>
      </c>
      <c r="E3054" s="0" t="str">
        <f aca="false">IF(C3054=1,INT(MOD(ABS(SIN(D3054*7919.123+ROW()*0.618+'הדבקת לידים'!$F$2*1.3))*43758.5453,1)*1000000)*10000+ROW(),"")</f>
        <v/>
      </c>
      <c r="F3054" s="0" t="str">
        <f aca="false">IF(E3054="","",RANK(E3054,$E$2:$E$5001,1))</f>
        <v/>
      </c>
      <c r="G3054" s="0" t="n">
        <f aca="false">IF(A3054="",0,IF(SUMPRODUCT(--($A$2:$A$5001=A3054))&gt;1,1,0))</f>
        <v>0</v>
      </c>
      <c r="H3054" s="0" t="n">
        <f aca="false">ROW()-1</f>
        <v>3053</v>
      </c>
      <c r="I3054" s="0" t="str">
        <f aca="false">IF(OR(הגדרות!$E$6=0,H3054&gt;הגדרות!$E$5),"",IF(H3054-1&lt;הגדרות!$E$8*(הגדרות!$E$7+1),INT((H3054-1)/(הגדרות!$E$7+1)),הגדרות!$E$8+INT((H3054-1-הגדרות!$E$8*(הגדרות!$E$7+1))/הגדרות!$E$7)))</f>
        <v/>
      </c>
      <c r="J3054" s="0" t="str">
        <f aca="false">IF(I3054="","",IF(H3054-1&lt;הגדרות!$E$8*(הגדרות!$E$7+1),MOD(H3054-1,הגדרות!$E$7+1),MOD(H3054-1-הגדרות!$E$8*(הגדרות!$E$7+1),הגדרות!$E$7)))</f>
        <v/>
      </c>
      <c r="K3054" s="0" t="str">
        <f aca="false">IF(I3054="","",J3054*הגדרות!$E$6+I3054+1)</f>
        <v/>
      </c>
      <c r="L3054" s="0" t="str">
        <f aca="false">IF(K3054="","",MATCH(K3054,$F$2:$F$5001,0))</f>
        <v/>
      </c>
      <c r="M3054" s="0" t="str">
        <f aca="false">IF(I3054="","",INDEX(הגדרות!$A$2:$A$21,MOD(I3054+הגדרות!$E$9,הגדרות!$E$6)+1))</f>
        <v/>
      </c>
    </row>
    <row r="3055" customFormat="false" ht="15" hidden="false" customHeight="false" outlineLevel="0" collapsed="false">
      <c r="A3055" s="0" t="str">
        <f aca="false">IF('הדבקת לידים'!A3055="","",IF(ISNUMBER('הדבקת לידים'!A3055),IF(הגדרות!$E$2&gt;0,TEXT('הדבקת לידים'!A3055,REPT("0",הגדרות!$E$2)),TEXT('הדבקת לידים'!A3055,"0")),TRIM('הדבקת לידים'!A3055)))</f>
        <v/>
      </c>
      <c r="B3055" s="0" t="str">
        <f aca="false">IF('הדבקת לידים'!B3055="","",IF(ISNUMBER('הדבקת לידים'!B3055),IF(הגדרות!$E$3&gt;0,TEXT('הדבקת לידים'!B3055,REPT("0",הגדרות!$E$3)),TEXT('הדבקת לידים'!B3055,"0")),TRIM('הדבקת לידים'!B3055)))</f>
        <v/>
      </c>
      <c r="C3055" s="0" t="n">
        <f aca="false">IF(OR(A3055&lt;&gt;"",B3055&lt;&gt;""),1,0)</f>
        <v>0</v>
      </c>
      <c r="D3055" s="0" t="str">
        <f aca="false">IF(C3055=1,MOD(ABS(SIN(ROW()*12.9898+'הדבקת לידים'!$F$2*78.233+IFERROR(--RIGHT(A3055,6),LEN(A3055))*0.0137+IFERROR(--RIGHT(B3055,6),LEN(B3055))*0.0071))*43758.5453,1),"")</f>
        <v/>
      </c>
      <c r="E3055" s="0" t="str">
        <f aca="false">IF(C3055=1,INT(MOD(ABS(SIN(D3055*7919.123+ROW()*0.618+'הדבקת לידים'!$F$2*1.3))*43758.5453,1)*1000000)*10000+ROW(),"")</f>
        <v/>
      </c>
      <c r="F3055" s="0" t="str">
        <f aca="false">IF(E3055="","",RANK(E3055,$E$2:$E$5001,1))</f>
        <v/>
      </c>
      <c r="G3055" s="0" t="n">
        <f aca="false">IF(A3055="",0,IF(SUMPRODUCT(--($A$2:$A$5001=A3055))&gt;1,1,0))</f>
        <v>0</v>
      </c>
      <c r="H3055" s="0" t="n">
        <f aca="false">ROW()-1</f>
        <v>3054</v>
      </c>
      <c r="I3055" s="0" t="str">
        <f aca="false">IF(OR(הגדרות!$E$6=0,H3055&gt;הגדרות!$E$5),"",IF(H3055-1&lt;הגדרות!$E$8*(הגדרות!$E$7+1),INT((H3055-1)/(הגדרות!$E$7+1)),הגדרות!$E$8+INT((H3055-1-הגדרות!$E$8*(הגדרות!$E$7+1))/הגדרות!$E$7)))</f>
        <v/>
      </c>
      <c r="J3055" s="0" t="str">
        <f aca="false">IF(I3055="","",IF(H3055-1&lt;הגדרות!$E$8*(הגדרות!$E$7+1),MOD(H3055-1,הגדרות!$E$7+1),MOD(H3055-1-הגדרות!$E$8*(הגדרות!$E$7+1),הגדרות!$E$7)))</f>
        <v/>
      </c>
      <c r="K3055" s="0" t="str">
        <f aca="false">IF(I3055="","",J3055*הגדרות!$E$6+I3055+1)</f>
        <v/>
      </c>
      <c r="L3055" s="0" t="str">
        <f aca="false">IF(K3055="","",MATCH(K3055,$F$2:$F$5001,0))</f>
        <v/>
      </c>
      <c r="M3055" s="0" t="str">
        <f aca="false">IF(I3055="","",INDEX(הגדרות!$A$2:$A$21,MOD(I3055+הגדרות!$E$9,הגדרות!$E$6)+1))</f>
        <v/>
      </c>
    </row>
    <row r="3056" customFormat="false" ht="15" hidden="false" customHeight="false" outlineLevel="0" collapsed="false">
      <c r="A3056" s="0" t="str">
        <f aca="false">IF('הדבקת לידים'!A3056="","",IF(ISNUMBER('הדבקת לידים'!A3056),IF(הגדרות!$E$2&gt;0,TEXT('הדבקת לידים'!A3056,REPT("0",הגדרות!$E$2)),TEXT('הדבקת לידים'!A3056,"0")),TRIM('הדבקת לידים'!A3056)))</f>
        <v/>
      </c>
      <c r="B3056" s="0" t="str">
        <f aca="false">IF('הדבקת לידים'!B3056="","",IF(ISNUMBER('הדבקת לידים'!B3056),IF(הגדרות!$E$3&gt;0,TEXT('הדבקת לידים'!B3056,REPT("0",הגדרות!$E$3)),TEXT('הדבקת לידים'!B3056,"0")),TRIM('הדבקת לידים'!B3056)))</f>
        <v/>
      </c>
      <c r="C3056" s="0" t="n">
        <f aca="false">IF(OR(A3056&lt;&gt;"",B3056&lt;&gt;""),1,0)</f>
        <v>0</v>
      </c>
      <c r="D3056" s="0" t="str">
        <f aca="false">IF(C3056=1,MOD(ABS(SIN(ROW()*12.9898+'הדבקת לידים'!$F$2*78.233+IFERROR(--RIGHT(A3056,6),LEN(A3056))*0.0137+IFERROR(--RIGHT(B3056,6),LEN(B3056))*0.0071))*43758.5453,1),"")</f>
        <v/>
      </c>
      <c r="E3056" s="0" t="str">
        <f aca="false">IF(C3056=1,INT(MOD(ABS(SIN(D3056*7919.123+ROW()*0.618+'הדבקת לידים'!$F$2*1.3))*43758.5453,1)*1000000)*10000+ROW(),"")</f>
        <v/>
      </c>
      <c r="F3056" s="0" t="str">
        <f aca="false">IF(E3056="","",RANK(E3056,$E$2:$E$5001,1))</f>
        <v/>
      </c>
      <c r="G3056" s="0" t="n">
        <f aca="false">IF(A3056="",0,IF(SUMPRODUCT(--($A$2:$A$5001=A3056))&gt;1,1,0))</f>
        <v>0</v>
      </c>
      <c r="H3056" s="0" t="n">
        <f aca="false">ROW()-1</f>
        <v>3055</v>
      </c>
      <c r="I3056" s="0" t="str">
        <f aca="false">IF(OR(הגדרות!$E$6=0,H3056&gt;הגדרות!$E$5),"",IF(H3056-1&lt;הגדרות!$E$8*(הגדרות!$E$7+1),INT((H3056-1)/(הגדרות!$E$7+1)),הגדרות!$E$8+INT((H3056-1-הגדרות!$E$8*(הגדרות!$E$7+1))/הגדרות!$E$7)))</f>
        <v/>
      </c>
      <c r="J3056" s="0" t="str">
        <f aca="false">IF(I3056="","",IF(H3056-1&lt;הגדרות!$E$8*(הגדרות!$E$7+1),MOD(H3056-1,הגדרות!$E$7+1),MOD(H3056-1-הגדרות!$E$8*(הגדרות!$E$7+1),הגדרות!$E$7)))</f>
        <v/>
      </c>
      <c r="K3056" s="0" t="str">
        <f aca="false">IF(I3056="","",J3056*הגדרות!$E$6+I3056+1)</f>
        <v/>
      </c>
      <c r="L3056" s="0" t="str">
        <f aca="false">IF(K3056="","",MATCH(K3056,$F$2:$F$5001,0))</f>
        <v/>
      </c>
      <c r="M3056" s="0" t="str">
        <f aca="false">IF(I3056="","",INDEX(הגדרות!$A$2:$A$21,MOD(I3056+הגדרות!$E$9,הגדרות!$E$6)+1))</f>
        <v/>
      </c>
    </row>
    <row r="3057" customFormat="false" ht="15" hidden="false" customHeight="false" outlineLevel="0" collapsed="false">
      <c r="A3057" s="0" t="str">
        <f aca="false">IF('הדבקת לידים'!A3057="","",IF(ISNUMBER('הדבקת לידים'!A3057),IF(הגדרות!$E$2&gt;0,TEXT('הדבקת לידים'!A3057,REPT("0",הגדרות!$E$2)),TEXT('הדבקת לידים'!A3057,"0")),TRIM('הדבקת לידים'!A3057)))</f>
        <v/>
      </c>
      <c r="B3057" s="0" t="str">
        <f aca="false">IF('הדבקת לידים'!B3057="","",IF(ISNUMBER('הדבקת לידים'!B3057),IF(הגדרות!$E$3&gt;0,TEXT('הדבקת לידים'!B3057,REPT("0",הגדרות!$E$3)),TEXT('הדבקת לידים'!B3057,"0")),TRIM('הדבקת לידים'!B3057)))</f>
        <v/>
      </c>
      <c r="C3057" s="0" t="n">
        <f aca="false">IF(OR(A3057&lt;&gt;"",B3057&lt;&gt;""),1,0)</f>
        <v>0</v>
      </c>
      <c r="D3057" s="0" t="str">
        <f aca="false">IF(C3057=1,MOD(ABS(SIN(ROW()*12.9898+'הדבקת לידים'!$F$2*78.233+IFERROR(--RIGHT(A3057,6),LEN(A3057))*0.0137+IFERROR(--RIGHT(B3057,6),LEN(B3057))*0.0071))*43758.5453,1),"")</f>
        <v/>
      </c>
      <c r="E3057" s="0" t="str">
        <f aca="false">IF(C3057=1,INT(MOD(ABS(SIN(D3057*7919.123+ROW()*0.618+'הדבקת לידים'!$F$2*1.3))*43758.5453,1)*1000000)*10000+ROW(),"")</f>
        <v/>
      </c>
      <c r="F3057" s="0" t="str">
        <f aca="false">IF(E3057="","",RANK(E3057,$E$2:$E$5001,1))</f>
        <v/>
      </c>
      <c r="G3057" s="0" t="n">
        <f aca="false">IF(A3057="",0,IF(SUMPRODUCT(--($A$2:$A$5001=A3057))&gt;1,1,0))</f>
        <v>0</v>
      </c>
      <c r="H3057" s="0" t="n">
        <f aca="false">ROW()-1</f>
        <v>3056</v>
      </c>
      <c r="I3057" s="0" t="str">
        <f aca="false">IF(OR(הגדרות!$E$6=0,H3057&gt;הגדרות!$E$5),"",IF(H3057-1&lt;הגדרות!$E$8*(הגדרות!$E$7+1),INT((H3057-1)/(הגדרות!$E$7+1)),הגדרות!$E$8+INT((H3057-1-הגדרות!$E$8*(הגדרות!$E$7+1))/הגדרות!$E$7)))</f>
        <v/>
      </c>
      <c r="J3057" s="0" t="str">
        <f aca="false">IF(I3057="","",IF(H3057-1&lt;הגדרות!$E$8*(הגדרות!$E$7+1),MOD(H3057-1,הגדרות!$E$7+1),MOD(H3057-1-הגדרות!$E$8*(הגדרות!$E$7+1),הגדרות!$E$7)))</f>
        <v/>
      </c>
      <c r="K3057" s="0" t="str">
        <f aca="false">IF(I3057="","",J3057*הגדרות!$E$6+I3057+1)</f>
        <v/>
      </c>
      <c r="L3057" s="0" t="str">
        <f aca="false">IF(K3057="","",MATCH(K3057,$F$2:$F$5001,0))</f>
        <v/>
      </c>
      <c r="M3057" s="0" t="str">
        <f aca="false">IF(I3057="","",INDEX(הגדרות!$A$2:$A$21,MOD(I3057+הגדרות!$E$9,הגדרות!$E$6)+1))</f>
        <v/>
      </c>
    </row>
    <row r="3058" customFormat="false" ht="15" hidden="false" customHeight="false" outlineLevel="0" collapsed="false">
      <c r="A3058" s="0" t="str">
        <f aca="false">IF('הדבקת לידים'!A3058="","",IF(ISNUMBER('הדבקת לידים'!A3058),IF(הגדרות!$E$2&gt;0,TEXT('הדבקת לידים'!A3058,REPT("0",הגדרות!$E$2)),TEXT('הדבקת לידים'!A3058,"0")),TRIM('הדבקת לידים'!A3058)))</f>
        <v/>
      </c>
      <c r="B3058" s="0" t="str">
        <f aca="false">IF('הדבקת לידים'!B3058="","",IF(ISNUMBER('הדבקת לידים'!B3058),IF(הגדרות!$E$3&gt;0,TEXT('הדבקת לידים'!B3058,REPT("0",הגדרות!$E$3)),TEXT('הדבקת לידים'!B3058,"0")),TRIM('הדבקת לידים'!B3058)))</f>
        <v/>
      </c>
      <c r="C3058" s="0" t="n">
        <f aca="false">IF(OR(A3058&lt;&gt;"",B3058&lt;&gt;""),1,0)</f>
        <v>0</v>
      </c>
      <c r="D3058" s="0" t="str">
        <f aca="false">IF(C3058=1,MOD(ABS(SIN(ROW()*12.9898+'הדבקת לידים'!$F$2*78.233+IFERROR(--RIGHT(A3058,6),LEN(A3058))*0.0137+IFERROR(--RIGHT(B3058,6),LEN(B3058))*0.0071))*43758.5453,1),"")</f>
        <v/>
      </c>
      <c r="E3058" s="0" t="str">
        <f aca="false">IF(C3058=1,INT(MOD(ABS(SIN(D3058*7919.123+ROW()*0.618+'הדבקת לידים'!$F$2*1.3))*43758.5453,1)*1000000)*10000+ROW(),"")</f>
        <v/>
      </c>
      <c r="F3058" s="0" t="str">
        <f aca="false">IF(E3058="","",RANK(E3058,$E$2:$E$5001,1))</f>
        <v/>
      </c>
      <c r="G3058" s="0" t="n">
        <f aca="false">IF(A3058="",0,IF(SUMPRODUCT(--($A$2:$A$5001=A3058))&gt;1,1,0))</f>
        <v>0</v>
      </c>
      <c r="H3058" s="0" t="n">
        <f aca="false">ROW()-1</f>
        <v>3057</v>
      </c>
      <c r="I3058" s="0" t="str">
        <f aca="false">IF(OR(הגדרות!$E$6=0,H3058&gt;הגדרות!$E$5),"",IF(H3058-1&lt;הגדרות!$E$8*(הגדרות!$E$7+1),INT((H3058-1)/(הגדרות!$E$7+1)),הגדרות!$E$8+INT((H3058-1-הגדרות!$E$8*(הגדרות!$E$7+1))/הגדרות!$E$7)))</f>
        <v/>
      </c>
      <c r="J3058" s="0" t="str">
        <f aca="false">IF(I3058="","",IF(H3058-1&lt;הגדרות!$E$8*(הגדרות!$E$7+1),MOD(H3058-1,הגדרות!$E$7+1),MOD(H3058-1-הגדרות!$E$8*(הגדרות!$E$7+1),הגדרות!$E$7)))</f>
        <v/>
      </c>
      <c r="K3058" s="0" t="str">
        <f aca="false">IF(I3058="","",J3058*הגדרות!$E$6+I3058+1)</f>
        <v/>
      </c>
      <c r="L3058" s="0" t="str">
        <f aca="false">IF(K3058="","",MATCH(K3058,$F$2:$F$5001,0))</f>
        <v/>
      </c>
      <c r="M3058" s="0" t="str">
        <f aca="false">IF(I3058="","",INDEX(הגדרות!$A$2:$A$21,MOD(I3058+הגדרות!$E$9,הגדרות!$E$6)+1))</f>
        <v/>
      </c>
    </row>
    <row r="3059" customFormat="false" ht="15" hidden="false" customHeight="false" outlineLevel="0" collapsed="false">
      <c r="A3059" s="0" t="str">
        <f aca="false">IF('הדבקת לידים'!A3059="","",IF(ISNUMBER('הדבקת לידים'!A3059),IF(הגדרות!$E$2&gt;0,TEXT('הדבקת לידים'!A3059,REPT("0",הגדרות!$E$2)),TEXT('הדבקת לידים'!A3059,"0")),TRIM('הדבקת לידים'!A3059)))</f>
        <v/>
      </c>
      <c r="B3059" s="0" t="str">
        <f aca="false">IF('הדבקת לידים'!B3059="","",IF(ISNUMBER('הדבקת לידים'!B3059),IF(הגדרות!$E$3&gt;0,TEXT('הדבקת לידים'!B3059,REPT("0",הגדרות!$E$3)),TEXT('הדבקת לידים'!B3059,"0")),TRIM('הדבקת לידים'!B3059)))</f>
        <v/>
      </c>
      <c r="C3059" s="0" t="n">
        <f aca="false">IF(OR(A3059&lt;&gt;"",B3059&lt;&gt;""),1,0)</f>
        <v>0</v>
      </c>
      <c r="D3059" s="0" t="str">
        <f aca="false">IF(C3059=1,MOD(ABS(SIN(ROW()*12.9898+'הדבקת לידים'!$F$2*78.233+IFERROR(--RIGHT(A3059,6),LEN(A3059))*0.0137+IFERROR(--RIGHT(B3059,6),LEN(B3059))*0.0071))*43758.5453,1),"")</f>
        <v/>
      </c>
      <c r="E3059" s="0" t="str">
        <f aca="false">IF(C3059=1,INT(MOD(ABS(SIN(D3059*7919.123+ROW()*0.618+'הדבקת לידים'!$F$2*1.3))*43758.5453,1)*1000000)*10000+ROW(),"")</f>
        <v/>
      </c>
      <c r="F3059" s="0" t="str">
        <f aca="false">IF(E3059="","",RANK(E3059,$E$2:$E$5001,1))</f>
        <v/>
      </c>
      <c r="G3059" s="0" t="n">
        <f aca="false">IF(A3059="",0,IF(SUMPRODUCT(--($A$2:$A$5001=A3059))&gt;1,1,0))</f>
        <v>0</v>
      </c>
      <c r="H3059" s="0" t="n">
        <f aca="false">ROW()-1</f>
        <v>3058</v>
      </c>
      <c r="I3059" s="0" t="str">
        <f aca="false">IF(OR(הגדרות!$E$6=0,H3059&gt;הגדרות!$E$5),"",IF(H3059-1&lt;הגדרות!$E$8*(הגדרות!$E$7+1),INT((H3059-1)/(הגדרות!$E$7+1)),הגדרות!$E$8+INT((H3059-1-הגדרות!$E$8*(הגדרות!$E$7+1))/הגדרות!$E$7)))</f>
        <v/>
      </c>
      <c r="J3059" s="0" t="str">
        <f aca="false">IF(I3059="","",IF(H3059-1&lt;הגדרות!$E$8*(הגדרות!$E$7+1),MOD(H3059-1,הגדרות!$E$7+1),MOD(H3059-1-הגדרות!$E$8*(הגדרות!$E$7+1),הגדרות!$E$7)))</f>
        <v/>
      </c>
      <c r="K3059" s="0" t="str">
        <f aca="false">IF(I3059="","",J3059*הגדרות!$E$6+I3059+1)</f>
        <v/>
      </c>
      <c r="L3059" s="0" t="str">
        <f aca="false">IF(K3059="","",MATCH(K3059,$F$2:$F$5001,0))</f>
        <v/>
      </c>
      <c r="M3059" s="0" t="str">
        <f aca="false">IF(I3059="","",INDEX(הגדרות!$A$2:$A$21,MOD(I3059+הגדרות!$E$9,הגדרות!$E$6)+1))</f>
        <v/>
      </c>
    </row>
    <row r="3060" customFormat="false" ht="15" hidden="false" customHeight="false" outlineLevel="0" collapsed="false">
      <c r="A3060" s="0" t="str">
        <f aca="false">IF('הדבקת לידים'!A3060="","",IF(ISNUMBER('הדבקת לידים'!A3060),IF(הגדרות!$E$2&gt;0,TEXT('הדבקת לידים'!A3060,REPT("0",הגדרות!$E$2)),TEXT('הדבקת לידים'!A3060,"0")),TRIM('הדבקת לידים'!A3060)))</f>
        <v/>
      </c>
      <c r="B3060" s="0" t="str">
        <f aca="false">IF('הדבקת לידים'!B3060="","",IF(ISNUMBER('הדבקת לידים'!B3060),IF(הגדרות!$E$3&gt;0,TEXT('הדבקת לידים'!B3060,REPT("0",הגדרות!$E$3)),TEXT('הדבקת לידים'!B3060,"0")),TRIM('הדבקת לידים'!B3060)))</f>
        <v/>
      </c>
      <c r="C3060" s="0" t="n">
        <f aca="false">IF(OR(A3060&lt;&gt;"",B3060&lt;&gt;""),1,0)</f>
        <v>0</v>
      </c>
      <c r="D3060" s="0" t="str">
        <f aca="false">IF(C3060=1,MOD(ABS(SIN(ROW()*12.9898+'הדבקת לידים'!$F$2*78.233+IFERROR(--RIGHT(A3060,6),LEN(A3060))*0.0137+IFERROR(--RIGHT(B3060,6),LEN(B3060))*0.0071))*43758.5453,1),"")</f>
        <v/>
      </c>
      <c r="E3060" s="0" t="str">
        <f aca="false">IF(C3060=1,INT(MOD(ABS(SIN(D3060*7919.123+ROW()*0.618+'הדבקת לידים'!$F$2*1.3))*43758.5453,1)*1000000)*10000+ROW(),"")</f>
        <v/>
      </c>
      <c r="F3060" s="0" t="str">
        <f aca="false">IF(E3060="","",RANK(E3060,$E$2:$E$5001,1))</f>
        <v/>
      </c>
      <c r="G3060" s="0" t="n">
        <f aca="false">IF(A3060="",0,IF(SUMPRODUCT(--($A$2:$A$5001=A3060))&gt;1,1,0))</f>
        <v>0</v>
      </c>
      <c r="H3060" s="0" t="n">
        <f aca="false">ROW()-1</f>
        <v>3059</v>
      </c>
      <c r="I3060" s="0" t="str">
        <f aca="false">IF(OR(הגדרות!$E$6=0,H3060&gt;הגדרות!$E$5),"",IF(H3060-1&lt;הגדרות!$E$8*(הגדרות!$E$7+1),INT((H3060-1)/(הגדרות!$E$7+1)),הגדרות!$E$8+INT((H3060-1-הגדרות!$E$8*(הגדרות!$E$7+1))/הגדרות!$E$7)))</f>
        <v/>
      </c>
      <c r="J3060" s="0" t="str">
        <f aca="false">IF(I3060="","",IF(H3060-1&lt;הגדרות!$E$8*(הגדרות!$E$7+1),MOD(H3060-1,הגדרות!$E$7+1),MOD(H3060-1-הגדרות!$E$8*(הגדרות!$E$7+1),הגדרות!$E$7)))</f>
        <v/>
      </c>
      <c r="K3060" s="0" t="str">
        <f aca="false">IF(I3060="","",J3060*הגדרות!$E$6+I3060+1)</f>
        <v/>
      </c>
      <c r="L3060" s="0" t="str">
        <f aca="false">IF(K3060="","",MATCH(K3060,$F$2:$F$5001,0))</f>
        <v/>
      </c>
      <c r="M3060" s="0" t="str">
        <f aca="false">IF(I3060="","",INDEX(הגדרות!$A$2:$A$21,MOD(I3060+הגדרות!$E$9,הגדרות!$E$6)+1))</f>
        <v/>
      </c>
    </row>
    <row r="3061" customFormat="false" ht="15" hidden="false" customHeight="false" outlineLevel="0" collapsed="false">
      <c r="A3061" s="0" t="str">
        <f aca="false">IF('הדבקת לידים'!A3061="","",IF(ISNUMBER('הדבקת לידים'!A3061),IF(הגדרות!$E$2&gt;0,TEXT('הדבקת לידים'!A3061,REPT("0",הגדרות!$E$2)),TEXT('הדבקת לידים'!A3061,"0")),TRIM('הדבקת לידים'!A3061)))</f>
        <v/>
      </c>
      <c r="B3061" s="0" t="str">
        <f aca="false">IF('הדבקת לידים'!B3061="","",IF(ISNUMBER('הדבקת לידים'!B3061),IF(הגדרות!$E$3&gt;0,TEXT('הדבקת לידים'!B3061,REPT("0",הגדרות!$E$3)),TEXT('הדבקת לידים'!B3061,"0")),TRIM('הדבקת לידים'!B3061)))</f>
        <v/>
      </c>
      <c r="C3061" s="0" t="n">
        <f aca="false">IF(OR(A3061&lt;&gt;"",B3061&lt;&gt;""),1,0)</f>
        <v>0</v>
      </c>
      <c r="D3061" s="0" t="str">
        <f aca="false">IF(C3061=1,MOD(ABS(SIN(ROW()*12.9898+'הדבקת לידים'!$F$2*78.233+IFERROR(--RIGHT(A3061,6),LEN(A3061))*0.0137+IFERROR(--RIGHT(B3061,6),LEN(B3061))*0.0071))*43758.5453,1),"")</f>
        <v/>
      </c>
      <c r="E3061" s="0" t="str">
        <f aca="false">IF(C3061=1,INT(MOD(ABS(SIN(D3061*7919.123+ROW()*0.618+'הדבקת לידים'!$F$2*1.3))*43758.5453,1)*1000000)*10000+ROW(),"")</f>
        <v/>
      </c>
      <c r="F3061" s="0" t="str">
        <f aca="false">IF(E3061="","",RANK(E3061,$E$2:$E$5001,1))</f>
        <v/>
      </c>
      <c r="G3061" s="0" t="n">
        <f aca="false">IF(A3061="",0,IF(SUMPRODUCT(--($A$2:$A$5001=A3061))&gt;1,1,0))</f>
        <v>0</v>
      </c>
      <c r="H3061" s="0" t="n">
        <f aca="false">ROW()-1</f>
        <v>3060</v>
      </c>
      <c r="I3061" s="0" t="str">
        <f aca="false">IF(OR(הגדרות!$E$6=0,H3061&gt;הגדרות!$E$5),"",IF(H3061-1&lt;הגדרות!$E$8*(הגדרות!$E$7+1),INT((H3061-1)/(הגדרות!$E$7+1)),הגדרות!$E$8+INT((H3061-1-הגדרות!$E$8*(הגדרות!$E$7+1))/הגדרות!$E$7)))</f>
        <v/>
      </c>
      <c r="J3061" s="0" t="str">
        <f aca="false">IF(I3061="","",IF(H3061-1&lt;הגדרות!$E$8*(הגדרות!$E$7+1),MOD(H3061-1,הגדרות!$E$7+1),MOD(H3061-1-הגדרות!$E$8*(הגדרות!$E$7+1),הגדרות!$E$7)))</f>
        <v/>
      </c>
      <c r="K3061" s="0" t="str">
        <f aca="false">IF(I3061="","",J3061*הגדרות!$E$6+I3061+1)</f>
        <v/>
      </c>
      <c r="L3061" s="0" t="str">
        <f aca="false">IF(K3061="","",MATCH(K3061,$F$2:$F$5001,0))</f>
        <v/>
      </c>
      <c r="M3061" s="0" t="str">
        <f aca="false">IF(I3061="","",INDEX(הגדרות!$A$2:$A$21,MOD(I3061+הגדרות!$E$9,הגדרות!$E$6)+1))</f>
        <v/>
      </c>
    </row>
    <row r="3062" customFormat="false" ht="15" hidden="false" customHeight="false" outlineLevel="0" collapsed="false">
      <c r="A3062" s="0" t="str">
        <f aca="false">IF('הדבקת לידים'!A3062="","",IF(ISNUMBER('הדבקת לידים'!A3062),IF(הגדרות!$E$2&gt;0,TEXT('הדבקת לידים'!A3062,REPT("0",הגדרות!$E$2)),TEXT('הדבקת לידים'!A3062,"0")),TRIM('הדבקת לידים'!A3062)))</f>
        <v/>
      </c>
      <c r="B3062" s="0" t="str">
        <f aca="false">IF('הדבקת לידים'!B3062="","",IF(ISNUMBER('הדבקת לידים'!B3062),IF(הגדרות!$E$3&gt;0,TEXT('הדבקת לידים'!B3062,REPT("0",הגדרות!$E$3)),TEXT('הדבקת לידים'!B3062,"0")),TRIM('הדבקת לידים'!B3062)))</f>
        <v/>
      </c>
      <c r="C3062" s="0" t="n">
        <f aca="false">IF(OR(A3062&lt;&gt;"",B3062&lt;&gt;""),1,0)</f>
        <v>0</v>
      </c>
      <c r="D3062" s="0" t="str">
        <f aca="false">IF(C3062=1,MOD(ABS(SIN(ROW()*12.9898+'הדבקת לידים'!$F$2*78.233+IFERROR(--RIGHT(A3062,6),LEN(A3062))*0.0137+IFERROR(--RIGHT(B3062,6),LEN(B3062))*0.0071))*43758.5453,1),"")</f>
        <v/>
      </c>
      <c r="E3062" s="0" t="str">
        <f aca="false">IF(C3062=1,INT(MOD(ABS(SIN(D3062*7919.123+ROW()*0.618+'הדבקת לידים'!$F$2*1.3))*43758.5453,1)*1000000)*10000+ROW(),"")</f>
        <v/>
      </c>
      <c r="F3062" s="0" t="str">
        <f aca="false">IF(E3062="","",RANK(E3062,$E$2:$E$5001,1))</f>
        <v/>
      </c>
      <c r="G3062" s="0" t="n">
        <f aca="false">IF(A3062="",0,IF(SUMPRODUCT(--($A$2:$A$5001=A3062))&gt;1,1,0))</f>
        <v>0</v>
      </c>
      <c r="H3062" s="0" t="n">
        <f aca="false">ROW()-1</f>
        <v>3061</v>
      </c>
      <c r="I3062" s="0" t="str">
        <f aca="false">IF(OR(הגדרות!$E$6=0,H3062&gt;הגדרות!$E$5),"",IF(H3062-1&lt;הגדרות!$E$8*(הגדרות!$E$7+1),INT((H3062-1)/(הגדרות!$E$7+1)),הגדרות!$E$8+INT((H3062-1-הגדרות!$E$8*(הגדרות!$E$7+1))/הגדרות!$E$7)))</f>
        <v/>
      </c>
      <c r="J3062" s="0" t="str">
        <f aca="false">IF(I3062="","",IF(H3062-1&lt;הגדרות!$E$8*(הגדרות!$E$7+1),MOD(H3062-1,הגדרות!$E$7+1),MOD(H3062-1-הגדרות!$E$8*(הגדרות!$E$7+1),הגדרות!$E$7)))</f>
        <v/>
      </c>
      <c r="K3062" s="0" t="str">
        <f aca="false">IF(I3062="","",J3062*הגדרות!$E$6+I3062+1)</f>
        <v/>
      </c>
      <c r="L3062" s="0" t="str">
        <f aca="false">IF(K3062="","",MATCH(K3062,$F$2:$F$5001,0))</f>
        <v/>
      </c>
      <c r="M3062" s="0" t="str">
        <f aca="false">IF(I3062="","",INDEX(הגדרות!$A$2:$A$21,MOD(I3062+הגדרות!$E$9,הגדרות!$E$6)+1))</f>
        <v/>
      </c>
    </row>
    <row r="3063" customFormat="false" ht="15" hidden="false" customHeight="false" outlineLevel="0" collapsed="false">
      <c r="A3063" s="0" t="str">
        <f aca="false">IF('הדבקת לידים'!A3063="","",IF(ISNUMBER('הדבקת לידים'!A3063),IF(הגדרות!$E$2&gt;0,TEXT('הדבקת לידים'!A3063,REPT("0",הגדרות!$E$2)),TEXT('הדבקת לידים'!A3063,"0")),TRIM('הדבקת לידים'!A3063)))</f>
        <v/>
      </c>
      <c r="B3063" s="0" t="str">
        <f aca="false">IF('הדבקת לידים'!B3063="","",IF(ISNUMBER('הדבקת לידים'!B3063),IF(הגדרות!$E$3&gt;0,TEXT('הדבקת לידים'!B3063,REPT("0",הגדרות!$E$3)),TEXT('הדבקת לידים'!B3063,"0")),TRIM('הדבקת לידים'!B3063)))</f>
        <v/>
      </c>
      <c r="C3063" s="0" t="n">
        <f aca="false">IF(OR(A3063&lt;&gt;"",B3063&lt;&gt;""),1,0)</f>
        <v>0</v>
      </c>
      <c r="D3063" s="0" t="str">
        <f aca="false">IF(C3063=1,MOD(ABS(SIN(ROW()*12.9898+'הדבקת לידים'!$F$2*78.233+IFERROR(--RIGHT(A3063,6),LEN(A3063))*0.0137+IFERROR(--RIGHT(B3063,6),LEN(B3063))*0.0071))*43758.5453,1),"")</f>
        <v/>
      </c>
      <c r="E3063" s="0" t="str">
        <f aca="false">IF(C3063=1,INT(MOD(ABS(SIN(D3063*7919.123+ROW()*0.618+'הדבקת לידים'!$F$2*1.3))*43758.5453,1)*1000000)*10000+ROW(),"")</f>
        <v/>
      </c>
      <c r="F3063" s="0" t="str">
        <f aca="false">IF(E3063="","",RANK(E3063,$E$2:$E$5001,1))</f>
        <v/>
      </c>
      <c r="G3063" s="0" t="n">
        <f aca="false">IF(A3063="",0,IF(SUMPRODUCT(--($A$2:$A$5001=A3063))&gt;1,1,0))</f>
        <v>0</v>
      </c>
      <c r="H3063" s="0" t="n">
        <f aca="false">ROW()-1</f>
        <v>3062</v>
      </c>
      <c r="I3063" s="0" t="str">
        <f aca="false">IF(OR(הגדרות!$E$6=0,H3063&gt;הגדרות!$E$5),"",IF(H3063-1&lt;הגדרות!$E$8*(הגדרות!$E$7+1),INT((H3063-1)/(הגדרות!$E$7+1)),הגדרות!$E$8+INT((H3063-1-הגדרות!$E$8*(הגדרות!$E$7+1))/הגדרות!$E$7)))</f>
        <v/>
      </c>
      <c r="J3063" s="0" t="str">
        <f aca="false">IF(I3063="","",IF(H3063-1&lt;הגדרות!$E$8*(הגדרות!$E$7+1),MOD(H3063-1,הגדרות!$E$7+1),MOD(H3063-1-הגדרות!$E$8*(הגדרות!$E$7+1),הגדרות!$E$7)))</f>
        <v/>
      </c>
      <c r="K3063" s="0" t="str">
        <f aca="false">IF(I3063="","",J3063*הגדרות!$E$6+I3063+1)</f>
        <v/>
      </c>
      <c r="L3063" s="0" t="str">
        <f aca="false">IF(K3063="","",MATCH(K3063,$F$2:$F$5001,0))</f>
        <v/>
      </c>
      <c r="M3063" s="0" t="str">
        <f aca="false">IF(I3063="","",INDEX(הגדרות!$A$2:$A$21,MOD(I3063+הגדרות!$E$9,הגדרות!$E$6)+1))</f>
        <v/>
      </c>
    </row>
    <row r="3064" customFormat="false" ht="15" hidden="false" customHeight="false" outlineLevel="0" collapsed="false">
      <c r="A3064" s="0" t="str">
        <f aca="false">IF('הדבקת לידים'!A3064="","",IF(ISNUMBER('הדבקת לידים'!A3064),IF(הגדרות!$E$2&gt;0,TEXT('הדבקת לידים'!A3064,REPT("0",הגדרות!$E$2)),TEXT('הדבקת לידים'!A3064,"0")),TRIM('הדבקת לידים'!A3064)))</f>
        <v/>
      </c>
      <c r="B3064" s="0" t="str">
        <f aca="false">IF('הדבקת לידים'!B3064="","",IF(ISNUMBER('הדבקת לידים'!B3064),IF(הגדרות!$E$3&gt;0,TEXT('הדבקת לידים'!B3064,REPT("0",הגדרות!$E$3)),TEXT('הדבקת לידים'!B3064,"0")),TRIM('הדבקת לידים'!B3064)))</f>
        <v/>
      </c>
      <c r="C3064" s="0" t="n">
        <f aca="false">IF(OR(A3064&lt;&gt;"",B3064&lt;&gt;""),1,0)</f>
        <v>0</v>
      </c>
      <c r="D3064" s="0" t="str">
        <f aca="false">IF(C3064=1,MOD(ABS(SIN(ROW()*12.9898+'הדבקת לידים'!$F$2*78.233+IFERROR(--RIGHT(A3064,6),LEN(A3064))*0.0137+IFERROR(--RIGHT(B3064,6),LEN(B3064))*0.0071))*43758.5453,1),"")</f>
        <v/>
      </c>
      <c r="E3064" s="0" t="str">
        <f aca="false">IF(C3064=1,INT(MOD(ABS(SIN(D3064*7919.123+ROW()*0.618+'הדבקת לידים'!$F$2*1.3))*43758.5453,1)*1000000)*10000+ROW(),"")</f>
        <v/>
      </c>
      <c r="F3064" s="0" t="str">
        <f aca="false">IF(E3064="","",RANK(E3064,$E$2:$E$5001,1))</f>
        <v/>
      </c>
      <c r="G3064" s="0" t="n">
        <f aca="false">IF(A3064="",0,IF(SUMPRODUCT(--($A$2:$A$5001=A3064))&gt;1,1,0))</f>
        <v>0</v>
      </c>
      <c r="H3064" s="0" t="n">
        <f aca="false">ROW()-1</f>
        <v>3063</v>
      </c>
      <c r="I3064" s="0" t="str">
        <f aca="false">IF(OR(הגדרות!$E$6=0,H3064&gt;הגדרות!$E$5),"",IF(H3064-1&lt;הגדרות!$E$8*(הגדרות!$E$7+1),INT((H3064-1)/(הגדרות!$E$7+1)),הגדרות!$E$8+INT((H3064-1-הגדרות!$E$8*(הגדרות!$E$7+1))/הגדרות!$E$7)))</f>
        <v/>
      </c>
      <c r="J3064" s="0" t="str">
        <f aca="false">IF(I3064="","",IF(H3064-1&lt;הגדרות!$E$8*(הגדרות!$E$7+1),MOD(H3064-1,הגדרות!$E$7+1),MOD(H3064-1-הגדרות!$E$8*(הגדרות!$E$7+1),הגדרות!$E$7)))</f>
        <v/>
      </c>
      <c r="K3064" s="0" t="str">
        <f aca="false">IF(I3064="","",J3064*הגדרות!$E$6+I3064+1)</f>
        <v/>
      </c>
      <c r="L3064" s="0" t="str">
        <f aca="false">IF(K3064="","",MATCH(K3064,$F$2:$F$5001,0))</f>
        <v/>
      </c>
      <c r="M3064" s="0" t="str">
        <f aca="false">IF(I3064="","",INDEX(הגדרות!$A$2:$A$21,MOD(I3064+הגדרות!$E$9,הגדרות!$E$6)+1))</f>
        <v/>
      </c>
    </row>
    <row r="3065" customFormat="false" ht="15" hidden="false" customHeight="false" outlineLevel="0" collapsed="false">
      <c r="A3065" s="0" t="str">
        <f aca="false">IF('הדבקת לידים'!A3065="","",IF(ISNUMBER('הדבקת לידים'!A3065),IF(הגדרות!$E$2&gt;0,TEXT('הדבקת לידים'!A3065,REPT("0",הגדרות!$E$2)),TEXT('הדבקת לידים'!A3065,"0")),TRIM('הדבקת לידים'!A3065)))</f>
        <v/>
      </c>
      <c r="B3065" s="0" t="str">
        <f aca="false">IF('הדבקת לידים'!B3065="","",IF(ISNUMBER('הדבקת לידים'!B3065),IF(הגדרות!$E$3&gt;0,TEXT('הדבקת לידים'!B3065,REPT("0",הגדרות!$E$3)),TEXT('הדבקת לידים'!B3065,"0")),TRIM('הדבקת לידים'!B3065)))</f>
        <v/>
      </c>
      <c r="C3065" s="0" t="n">
        <f aca="false">IF(OR(A3065&lt;&gt;"",B3065&lt;&gt;""),1,0)</f>
        <v>0</v>
      </c>
      <c r="D3065" s="0" t="str">
        <f aca="false">IF(C3065=1,MOD(ABS(SIN(ROW()*12.9898+'הדבקת לידים'!$F$2*78.233+IFERROR(--RIGHT(A3065,6),LEN(A3065))*0.0137+IFERROR(--RIGHT(B3065,6),LEN(B3065))*0.0071))*43758.5453,1),"")</f>
        <v/>
      </c>
      <c r="E3065" s="0" t="str">
        <f aca="false">IF(C3065=1,INT(MOD(ABS(SIN(D3065*7919.123+ROW()*0.618+'הדבקת לידים'!$F$2*1.3))*43758.5453,1)*1000000)*10000+ROW(),"")</f>
        <v/>
      </c>
      <c r="F3065" s="0" t="str">
        <f aca="false">IF(E3065="","",RANK(E3065,$E$2:$E$5001,1))</f>
        <v/>
      </c>
      <c r="G3065" s="0" t="n">
        <f aca="false">IF(A3065="",0,IF(SUMPRODUCT(--($A$2:$A$5001=A3065))&gt;1,1,0))</f>
        <v>0</v>
      </c>
      <c r="H3065" s="0" t="n">
        <f aca="false">ROW()-1</f>
        <v>3064</v>
      </c>
      <c r="I3065" s="0" t="str">
        <f aca="false">IF(OR(הגדרות!$E$6=0,H3065&gt;הגדרות!$E$5),"",IF(H3065-1&lt;הגדרות!$E$8*(הגדרות!$E$7+1),INT((H3065-1)/(הגדרות!$E$7+1)),הגדרות!$E$8+INT((H3065-1-הגדרות!$E$8*(הגדרות!$E$7+1))/הגדרות!$E$7)))</f>
        <v/>
      </c>
      <c r="J3065" s="0" t="str">
        <f aca="false">IF(I3065="","",IF(H3065-1&lt;הגדרות!$E$8*(הגדרות!$E$7+1),MOD(H3065-1,הגדרות!$E$7+1),MOD(H3065-1-הגדרות!$E$8*(הגדרות!$E$7+1),הגדרות!$E$7)))</f>
        <v/>
      </c>
      <c r="K3065" s="0" t="str">
        <f aca="false">IF(I3065="","",J3065*הגדרות!$E$6+I3065+1)</f>
        <v/>
      </c>
      <c r="L3065" s="0" t="str">
        <f aca="false">IF(K3065="","",MATCH(K3065,$F$2:$F$5001,0))</f>
        <v/>
      </c>
      <c r="M3065" s="0" t="str">
        <f aca="false">IF(I3065="","",INDEX(הגדרות!$A$2:$A$21,MOD(I3065+הגדרות!$E$9,הגדרות!$E$6)+1))</f>
        <v/>
      </c>
    </row>
    <row r="3066" customFormat="false" ht="15" hidden="false" customHeight="false" outlineLevel="0" collapsed="false">
      <c r="A3066" s="0" t="str">
        <f aca="false">IF('הדבקת לידים'!A3066="","",IF(ISNUMBER('הדבקת לידים'!A3066),IF(הגדרות!$E$2&gt;0,TEXT('הדבקת לידים'!A3066,REPT("0",הגדרות!$E$2)),TEXT('הדבקת לידים'!A3066,"0")),TRIM('הדבקת לידים'!A3066)))</f>
        <v/>
      </c>
      <c r="B3066" s="0" t="str">
        <f aca="false">IF('הדבקת לידים'!B3066="","",IF(ISNUMBER('הדבקת לידים'!B3066),IF(הגדרות!$E$3&gt;0,TEXT('הדבקת לידים'!B3066,REPT("0",הגדרות!$E$3)),TEXT('הדבקת לידים'!B3066,"0")),TRIM('הדבקת לידים'!B3066)))</f>
        <v/>
      </c>
      <c r="C3066" s="0" t="n">
        <f aca="false">IF(OR(A3066&lt;&gt;"",B3066&lt;&gt;""),1,0)</f>
        <v>0</v>
      </c>
      <c r="D3066" s="0" t="str">
        <f aca="false">IF(C3066=1,MOD(ABS(SIN(ROW()*12.9898+'הדבקת לידים'!$F$2*78.233+IFERROR(--RIGHT(A3066,6),LEN(A3066))*0.0137+IFERROR(--RIGHT(B3066,6),LEN(B3066))*0.0071))*43758.5453,1),"")</f>
        <v/>
      </c>
      <c r="E3066" s="0" t="str">
        <f aca="false">IF(C3066=1,INT(MOD(ABS(SIN(D3066*7919.123+ROW()*0.618+'הדבקת לידים'!$F$2*1.3))*43758.5453,1)*1000000)*10000+ROW(),"")</f>
        <v/>
      </c>
      <c r="F3066" s="0" t="str">
        <f aca="false">IF(E3066="","",RANK(E3066,$E$2:$E$5001,1))</f>
        <v/>
      </c>
      <c r="G3066" s="0" t="n">
        <f aca="false">IF(A3066="",0,IF(SUMPRODUCT(--($A$2:$A$5001=A3066))&gt;1,1,0))</f>
        <v>0</v>
      </c>
      <c r="H3066" s="0" t="n">
        <f aca="false">ROW()-1</f>
        <v>3065</v>
      </c>
      <c r="I3066" s="0" t="str">
        <f aca="false">IF(OR(הגדרות!$E$6=0,H3066&gt;הגדרות!$E$5),"",IF(H3066-1&lt;הגדרות!$E$8*(הגדרות!$E$7+1),INT((H3066-1)/(הגדרות!$E$7+1)),הגדרות!$E$8+INT((H3066-1-הגדרות!$E$8*(הגדרות!$E$7+1))/הגדרות!$E$7)))</f>
        <v/>
      </c>
      <c r="J3066" s="0" t="str">
        <f aca="false">IF(I3066="","",IF(H3066-1&lt;הגדרות!$E$8*(הגדרות!$E$7+1),MOD(H3066-1,הגדרות!$E$7+1),MOD(H3066-1-הגדרות!$E$8*(הגדרות!$E$7+1),הגדרות!$E$7)))</f>
        <v/>
      </c>
      <c r="K3066" s="0" t="str">
        <f aca="false">IF(I3066="","",J3066*הגדרות!$E$6+I3066+1)</f>
        <v/>
      </c>
      <c r="L3066" s="0" t="str">
        <f aca="false">IF(K3066="","",MATCH(K3066,$F$2:$F$5001,0))</f>
        <v/>
      </c>
      <c r="M3066" s="0" t="str">
        <f aca="false">IF(I3066="","",INDEX(הגדרות!$A$2:$A$21,MOD(I3066+הגדרות!$E$9,הגדרות!$E$6)+1))</f>
        <v/>
      </c>
    </row>
    <row r="3067" customFormat="false" ht="15" hidden="false" customHeight="false" outlineLevel="0" collapsed="false">
      <c r="A3067" s="0" t="str">
        <f aca="false">IF('הדבקת לידים'!A3067="","",IF(ISNUMBER('הדבקת לידים'!A3067),IF(הגדרות!$E$2&gt;0,TEXT('הדבקת לידים'!A3067,REPT("0",הגדרות!$E$2)),TEXT('הדבקת לידים'!A3067,"0")),TRIM('הדבקת לידים'!A3067)))</f>
        <v/>
      </c>
      <c r="B3067" s="0" t="str">
        <f aca="false">IF('הדבקת לידים'!B3067="","",IF(ISNUMBER('הדבקת לידים'!B3067),IF(הגדרות!$E$3&gt;0,TEXT('הדבקת לידים'!B3067,REPT("0",הגדרות!$E$3)),TEXT('הדבקת לידים'!B3067,"0")),TRIM('הדבקת לידים'!B3067)))</f>
        <v/>
      </c>
      <c r="C3067" s="0" t="n">
        <f aca="false">IF(OR(A3067&lt;&gt;"",B3067&lt;&gt;""),1,0)</f>
        <v>0</v>
      </c>
      <c r="D3067" s="0" t="str">
        <f aca="false">IF(C3067=1,MOD(ABS(SIN(ROW()*12.9898+'הדבקת לידים'!$F$2*78.233+IFERROR(--RIGHT(A3067,6),LEN(A3067))*0.0137+IFERROR(--RIGHT(B3067,6),LEN(B3067))*0.0071))*43758.5453,1),"")</f>
        <v/>
      </c>
      <c r="E3067" s="0" t="str">
        <f aca="false">IF(C3067=1,INT(MOD(ABS(SIN(D3067*7919.123+ROW()*0.618+'הדבקת לידים'!$F$2*1.3))*43758.5453,1)*1000000)*10000+ROW(),"")</f>
        <v/>
      </c>
      <c r="F3067" s="0" t="str">
        <f aca="false">IF(E3067="","",RANK(E3067,$E$2:$E$5001,1))</f>
        <v/>
      </c>
      <c r="G3067" s="0" t="n">
        <f aca="false">IF(A3067="",0,IF(SUMPRODUCT(--($A$2:$A$5001=A3067))&gt;1,1,0))</f>
        <v>0</v>
      </c>
      <c r="H3067" s="0" t="n">
        <f aca="false">ROW()-1</f>
        <v>3066</v>
      </c>
      <c r="I3067" s="0" t="str">
        <f aca="false">IF(OR(הגדרות!$E$6=0,H3067&gt;הגדרות!$E$5),"",IF(H3067-1&lt;הגדרות!$E$8*(הגדרות!$E$7+1),INT((H3067-1)/(הגדרות!$E$7+1)),הגדרות!$E$8+INT((H3067-1-הגדרות!$E$8*(הגדרות!$E$7+1))/הגדרות!$E$7)))</f>
        <v/>
      </c>
      <c r="J3067" s="0" t="str">
        <f aca="false">IF(I3067="","",IF(H3067-1&lt;הגדרות!$E$8*(הגדרות!$E$7+1),MOD(H3067-1,הגדרות!$E$7+1),MOD(H3067-1-הגדרות!$E$8*(הגדרות!$E$7+1),הגדרות!$E$7)))</f>
        <v/>
      </c>
      <c r="K3067" s="0" t="str">
        <f aca="false">IF(I3067="","",J3067*הגדרות!$E$6+I3067+1)</f>
        <v/>
      </c>
      <c r="L3067" s="0" t="str">
        <f aca="false">IF(K3067="","",MATCH(K3067,$F$2:$F$5001,0))</f>
        <v/>
      </c>
      <c r="M3067" s="0" t="str">
        <f aca="false">IF(I3067="","",INDEX(הגדרות!$A$2:$A$21,MOD(I3067+הגדרות!$E$9,הגדרות!$E$6)+1))</f>
        <v/>
      </c>
    </row>
    <row r="3068" customFormat="false" ht="15" hidden="false" customHeight="false" outlineLevel="0" collapsed="false">
      <c r="A3068" s="0" t="str">
        <f aca="false">IF('הדבקת לידים'!A3068="","",IF(ISNUMBER('הדבקת לידים'!A3068),IF(הגדרות!$E$2&gt;0,TEXT('הדבקת לידים'!A3068,REPT("0",הגדרות!$E$2)),TEXT('הדבקת לידים'!A3068,"0")),TRIM('הדבקת לידים'!A3068)))</f>
        <v/>
      </c>
      <c r="B3068" s="0" t="str">
        <f aca="false">IF('הדבקת לידים'!B3068="","",IF(ISNUMBER('הדבקת לידים'!B3068),IF(הגדרות!$E$3&gt;0,TEXT('הדבקת לידים'!B3068,REPT("0",הגדרות!$E$3)),TEXT('הדבקת לידים'!B3068,"0")),TRIM('הדבקת לידים'!B3068)))</f>
        <v/>
      </c>
      <c r="C3068" s="0" t="n">
        <f aca="false">IF(OR(A3068&lt;&gt;"",B3068&lt;&gt;""),1,0)</f>
        <v>0</v>
      </c>
      <c r="D3068" s="0" t="str">
        <f aca="false">IF(C3068=1,MOD(ABS(SIN(ROW()*12.9898+'הדבקת לידים'!$F$2*78.233+IFERROR(--RIGHT(A3068,6),LEN(A3068))*0.0137+IFERROR(--RIGHT(B3068,6),LEN(B3068))*0.0071))*43758.5453,1),"")</f>
        <v/>
      </c>
      <c r="E3068" s="0" t="str">
        <f aca="false">IF(C3068=1,INT(MOD(ABS(SIN(D3068*7919.123+ROW()*0.618+'הדבקת לידים'!$F$2*1.3))*43758.5453,1)*1000000)*10000+ROW(),"")</f>
        <v/>
      </c>
      <c r="F3068" s="0" t="str">
        <f aca="false">IF(E3068="","",RANK(E3068,$E$2:$E$5001,1))</f>
        <v/>
      </c>
      <c r="G3068" s="0" t="n">
        <f aca="false">IF(A3068="",0,IF(SUMPRODUCT(--($A$2:$A$5001=A3068))&gt;1,1,0))</f>
        <v>0</v>
      </c>
      <c r="H3068" s="0" t="n">
        <f aca="false">ROW()-1</f>
        <v>3067</v>
      </c>
      <c r="I3068" s="0" t="str">
        <f aca="false">IF(OR(הגדרות!$E$6=0,H3068&gt;הגדרות!$E$5),"",IF(H3068-1&lt;הגדרות!$E$8*(הגדרות!$E$7+1),INT((H3068-1)/(הגדרות!$E$7+1)),הגדרות!$E$8+INT((H3068-1-הגדרות!$E$8*(הגדרות!$E$7+1))/הגדרות!$E$7)))</f>
        <v/>
      </c>
      <c r="J3068" s="0" t="str">
        <f aca="false">IF(I3068="","",IF(H3068-1&lt;הגדרות!$E$8*(הגדרות!$E$7+1),MOD(H3068-1,הגדרות!$E$7+1),MOD(H3068-1-הגדרות!$E$8*(הגדרות!$E$7+1),הגדרות!$E$7)))</f>
        <v/>
      </c>
      <c r="K3068" s="0" t="str">
        <f aca="false">IF(I3068="","",J3068*הגדרות!$E$6+I3068+1)</f>
        <v/>
      </c>
      <c r="L3068" s="0" t="str">
        <f aca="false">IF(K3068="","",MATCH(K3068,$F$2:$F$5001,0))</f>
        <v/>
      </c>
      <c r="M3068" s="0" t="str">
        <f aca="false">IF(I3068="","",INDEX(הגדרות!$A$2:$A$21,MOD(I3068+הגדרות!$E$9,הגדרות!$E$6)+1))</f>
        <v/>
      </c>
    </row>
    <row r="3069" customFormat="false" ht="15" hidden="false" customHeight="false" outlineLevel="0" collapsed="false">
      <c r="A3069" s="0" t="str">
        <f aca="false">IF('הדבקת לידים'!A3069="","",IF(ISNUMBER('הדבקת לידים'!A3069),IF(הגדרות!$E$2&gt;0,TEXT('הדבקת לידים'!A3069,REPT("0",הגדרות!$E$2)),TEXT('הדבקת לידים'!A3069,"0")),TRIM('הדבקת לידים'!A3069)))</f>
        <v/>
      </c>
      <c r="B3069" s="0" t="str">
        <f aca="false">IF('הדבקת לידים'!B3069="","",IF(ISNUMBER('הדבקת לידים'!B3069),IF(הגדרות!$E$3&gt;0,TEXT('הדבקת לידים'!B3069,REPT("0",הגדרות!$E$3)),TEXT('הדבקת לידים'!B3069,"0")),TRIM('הדבקת לידים'!B3069)))</f>
        <v/>
      </c>
      <c r="C3069" s="0" t="n">
        <f aca="false">IF(OR(A3069&lt;&gt;"",B3069&lt;&gt;""),1,0)</f>
        <v>0</v>
      </c>
      <c r="D3069" s="0" t="str">
        <f aca="false">IF(C3069=1,MOD(ABS(SIN(ROW()*12.9898+'הדבקת לידים'!$F$2*78.233+IFERROR(--RIGHT(A3069,6),LEN(A3069))*0.0137+IFERROR(--RIGHT(B3069,6),LEN(B3069))*0.0071))*43758.5453,1),"")</f>
        <v/>
      </c>
      <c r="E3069" s="0" t="str">
        <f aca="false">IF(C3069=1,INT(MOD(ABS(SIN(D3069*7919.123+ROW()*0.618+'הדבקת לידים'!$F$2*1.3))*43758.5453,1)*1000000)*10000+ROW(),"")</f>
        <v/>
      </c>
      <c r="F3069" s="0" t="str">
        <f aca="false">IF(E3069="","",RANK(E3069,$E$2:$E$5001,1))</f>
        <v/>
      </c>
      <c r="G3069" s="0" t="n">
        <f aca="false">IF(A3069="",0,IF(SUMPRODUCT(--($A$2:$A$5001=A3069))&gt;1,1,0))</f>
        <v>0</v>
      </c>
      <c r="H3069" s="0" t="n">
        <f aca="false">ROW()-1</f>
        <v>3068</v>
      </c>
      <c r="I3069" s="0" t="str">
        <f aca="false">IF(OR(הגדרות!$E$6=0,H3069&gt;הגדרות!$E$5),"",IF(H3069-1&lt;הגדרות!$E$8*(הגדרות!$E$7+1),INT((H3069-1)/(הגדרות!$E$7+1)),הגדרות!$E$8+INT((H3069-1-הגדרות!$E$8*(הגדרות!$E$7+1))/הגדרות!$E$7)))</f>
        <v/>
      </c>
      <c r="J3069" s="0" t="str">
        <f aca="false">IF(I3069="","",IF(H3069-1&lt;הגדרות!$E$8*(הגדרות!$E$7+1),MOD(H3069-1,הגדרות!$E$7+1),MOD(H3069-1-הגדרות!$E$8*(הגדרות!$E$7+1),הגדרות!$E$7)))</f>
        <v/>
      </c>
      <c r="K3069" s="0" t="str">
        <f aca="false">IF(I3069="","",J3069*הגדרות!$E$6+I3069+1)</f>
        <v/>
      </c>
      <c r="L3069" s="0" t="str">
        <f aca="false">IF(K3069="","",MATCH(K3069,$F$2:$F$5001,0))</f>
        <v/>
      </c>
      <c r="M3069" s="0" t="str">
        <f aca="false">IF(I3069="","",INDEX(הגדרות!$A$2:$A$21,MOD(I3069+הגדרות!$E$9,הגדרות!$E$6)+1))</f>
        <v/>
      </c>
    </row>
    <row r="3070" customFormat="false" ht="15" hidden="false" customHeight="false" outlineLevel="0" collapsed="false">
      <c r="A3070" s="0" t="str">
        <f aca="false">IF('הדבקת לידים'!A3070="","",IF(ISNUMBER('הדבקת לידים'!A3070),IF(הגדרות!$E$2&gt;0,TEXT('הדבקת לידים'!A3070,REPT("0",הגדרות!$E$2)),TEXT('הדבקת לידים'!A3070,"0")),TRIM('הדבקת לידים'!A3070)))</f>
        <v/>
      </c>
      <c r="B3070" s="0" t="str">
        <f aca="false">IF('הדבקת לידים'!B3070="","",IF(ISNUMBER('הדבקת לידים'!B3070),IF(הגדרות!$E$3&gt;0,TEXT('הדבקת לידים'!B3070,REPT("0",הגדרות!$E$3)),TEXT('הדבקת לידים'!B3070,"0")),TRIM('הדבקת לידים'!B3070)))</f>
        <v/>
      </c>
      <c r="C3070" s="0" t="n">
        <f aca="false">IF(OR(A3070&lt;&gt;"",B3070&lt;&gt;""),1,0)</f>
        <v>0</v>
      </c>
      <c r="D3070" s="0" t="str">
        <f aca="false">IF(C3070=1,MOD(ABS(SIN(ROW()*12.9898+'הדבקת לידים'!$F$2*78.233+IFERROR(--RIGHT(A3070,6),LEN(A3070))*0.0137+IFERROR(--RIGHT(B3070,6),LEN(B3070))*0.0071))*43758.5453,1),"")</f>
        <v/>
      </c>
      <c r="E3070" s="0" t="str">
        <f aca="false">IF(C3070=1,INT(MOD(ABS(SIN(D3070*7919.123+ROW()*0.618+'הדבקת לידים'!$F$2*1.3))*43758.5453,1)*1000000)*10000+ROW(),"")</f>
        <v/>
      </c>
      <c r="F3070" s="0" t="str">
        <f aca="false">IF(E3070="","",RANK(E3070,$E$2:$E$5001,1))</f>
        <v/>
      </c>
      <c r="G3070" s="0" t="n">
        <f aca="false">IF(A3070="",0,IF(SUMPRODUCT(--($A$2:$A$5001=A3070))&gt;1,1,0))</f>
        <v>0</v>
      </c>
      <c r="H3070" s="0" t="n">
        <f aca="false">ROW()-1</f>
        <v>3069</v>
      </c>
      <c r="I3070" s="0" t="str">
        <f aca="false">IF(OR(הגדרות!$E$6=0,H3070&gt;הגדרות!$E$5),"",IF(H3070-1&lt;הגדרות!$E$8*(הגדרות!$E$7+1),INT((H3070-1)/(הגדרות!$E$7+1)),הגדרות!$E$8+INT((H3070-1-הגדרות!$E$8*(הגדרות!$E$7+1))/הגדרות!$E$7)))</f>
        <v/>
      </c>
      <c r="J3070" s="0" t="str">
        <f aca="false">IF(I3070="","",IF(H3070-1&lt;הגדרות!$E$8*(הגדרות!$E$7+1),MOD(H3070-1,הגדרות!$E$7+1),MOD(H3070-1-הגדרות!$E$8*(הגדרות!$E$7+1),הגדרות!$E$7)))</f>
        <v/>
      </c>
      <c r="K3070" s="0" t="str">
        <f aca="false">IF(I3070="","",J3070*הגדרות!$E$6+I3070+1)</f>
        <v/>
      </c>
      <c r="L3070" s="0" t="str">
        <f aca="false">IF(K3070="","",MATCH(K3070,$F$2:$F$5001,0))</f>
        <v/>
      </c>
      <c r="M3070" s="0" t="str">
        <f aca="false">IF(I3070="","",INDEX(הגדרות!$A$2:$A$21,MOD(I3070+הגדרות!$E$9,הגדרות!$E$6)+1))</f>
        <v/>
      </c>
    </row>
    <row r="3071" customFormat="false" ht="15" hidden="false" customHeight="false" outlineLevel="0" collapsed="false">
      <c r="A3071" s="0" t="str">
        <f aca="false">IF('הדבקת לידים'!A3071="","",IF(ISNUMBER('הדבקת לידים'!A3071),IF(הגדרות!$E$2&gt;0,TEXT('הדבקת לידים'!A3071,REPT("0",הגדרות!$E$2)),TEXT('הדבקת לידים'!A3071,"0")),TRIM('הדבקת לידים'!A3071)))</f>
        <v/>
      </c>
      <c r="B3071" s="0" t="str">
        <f aca="false">IF('הדבקת לידים'!B3071="","",IF(ISNUMBER('הדבקת לידים'!B3071),IF(הגדרות!$E$3&gt;0,TEXT('הדבקת לידים'!B3071,REPT("0",הגדרות!$E$3)),TEXT('הדבקת לידים'!B3071,"0")),TRIM('הדבקת לידים'!B3071)))</f>
        <v/>
      </c>
      <c r="C3071" s="0" t="n">
        <f aca="false">IF(OR(A3071&lt;&gt;"",B3071&lt;&gt;""),1,0)</f>
        <v>0</v>
      </c>
      <c r="D3071" s="0" t="str">
        <f aca="false">IF(C3071=1,MOD(ABS(SIN(ROW()*12.9898+'הדבקת לידים'!$F$2*78.233+IFERROR(--RIGHT(A3071,6),LEN(A3071))*0.0137+IFERROR(--RIGHT(B3071,6),LEN(B3071))*0.0071))*43758.5453,1),"")</f>
        <v/>
      </c>
      <c r="E3071" s="0" t="str">
        <f aca="false">IF(C3071=1,INT(MOD(ABS(SIN(D3071*7919.123+ROW()*0.618+'הדבקת לידים'!$F$2*1.3))*43758.5453,1)*1000000)*10000+ROW(),"")</f>
        <v/>
      </c>
      <c r="F3071" s="0" t="str">
        <f aca="false">IF(E3071="","",RANK(E3071,$E$2:$E$5001,1))</f>
        <v/>
      </c>
      <c r="G3071" s="0" t="n">
        <f aca="false">IF(A3071="",0,IF(SUMPRODUCT(--($A$2:$A$5001=A3071))&gt;1,1,0))</f>
        <v>0</v>
      </c>
      <c r="H3071" s="0" t="n">
        <f aca="false">ROW()-1</f>
        <v>3070</v>
      </c>
      <c r="I3071" s="0" t="str">
        <f aca="false">IF(OR(הגדרות!$E$6=0,H3071&gt;הגדרות!$E$5),"",IF(H3071-1&lt;הגדרות!$E$8*(הגדרות!$E$7+1),INT((H3071-1)/(הגדרות!$E$7+1)),הגדרות!$E$8+INT((H3071-1-הגדרות!$E$8*(הגדרות!$E$7+1))/הגדרות!$E$7)))</f>
        <v/>
      </c>
      <c r="J3071" s="0" t="str">
        <f aca="false">IF(I3071="","",IF(H3071-1&lt;הגדרות!$E$8*(הגדרות!$E$7+1),MOD(H3071-1,הגדרות!$E$7+1),MOD(H3071-1-הגדרות!$E$8*(הגדרות!$E$7+1),הגדרות!$E$7)))</f>
        <v/>
      </c>
      <c r="K3071" s="0" t="str">
        <f aca="false">IF(I3071="","",J3071*הגדרות!$E$6+I3071+1)</f>
        <v/>
      </c>
      <c r="L3071" s="0" t="str">
        <f aca="false">IF(K3071="","",MATCH(K3071,$F$2:$F$5001,0))</f>
        <v/>
      </c>
      <c r="M3071" s="0" t="str">
        <f aca="false">IF(I3071="","",INDEX(הגדרות!$A$2:$A$21,MOD(I3071+הגדרות!$E$9,הגדרות!$E$6)+1))</f>
        <v/>
      </c>
    </row>
    <row r="3072" customFormat="false" ht="15" hidden="false" customHeight="false" outlineLevel="0" collapsed="false">
      <c r="A3072" s="0" t="str">
        <f aca="false">IF('הדבקת לידים'!A3072="","",IF(ISNUMBER('הדבקת לידים'!A3072),IF(הגדרות!$E$2&gt;0,TEXT('הדבקת לידים'!A3072,REPT("0",הגדרות!$E$2)),TEXT('הדבקת לידים'!A3072,"0")),TRIM('הדבקת לידים'!A3072)))</f>
        <v/>
      </c>
      <c r="B3072" s="0" t="str">
        <f aca="false">IF('הדבקת לידים'!B3072="","",IF(ISNUMBER('הדבקת לידים'!B3072),IF(הגדרות!$E$3&gt;0,TEXT('הדבקת לידים'!B3072,REPT("0",הגדרות!$E$3)),TEXT('הדבקת לידים'!B3072,"0")),TRIM('הדבקת לידים'!B3072)))</f>
        <v/>
      </c>
      <c r="C3072" s="0" t="n">
        <f aca="false">IF(OR(A3072&lt;&gt;"",B3072&lt;&gt;""),1,0)</f>
        <v>0</v>
      </c>
      <c r="D3072" s="0" t="str">
        <f aca="false">IF(C3072=1,MOD(ABS(SIN(ROW()*12.9898+'הדבקת לידים'!$F$2*78.233+IFERROR(--RIGHT(A3072,6),LEN(A3072))*0.0137+IFERROR(--RIGHT(B3072,6),LEN(B3072))*0.0071))*43758.5453,1),"")</f>
        <v/>
      </c>
      <c r="E3072" s="0" t="str">
        <f aca="false">IF(C3072=1,INT(MOD(ABS(SIN(D3072*7919.123+ROW()*0.618+'הדבקת לידים'!$F$2*1.3))*43758.5453,1)*1000000)*10000+ROW(),"")</f>
        <v/>
      </c>
      <c r="F3072" s="0" t="str">
        <f aca="false">IF(E3072="","",RANK(E3072,$E$2:$E$5001,1))</f>
        <v/>
      </c>
      <c r="G3072" s="0" t="n">
        <f aca="false">IF(A3072="",0,IF(SUMPRODUCT(--($A$2:$A$5001=A3072))&gt;1,1,0))</f>
        <v>0</v>
      </c>
      <c r="H3072" s="0" t="n">
        <f aca="false">ROW()-1</f>
        <v>3071</v>
      </c>
      <c r="I3072" s="0" t="str">
        <f aca="false">IF(OR(הגדרות!$E$6=0,H3072&gt;הגדרות!$E$5),"",IF(H3072-1&lt;הגדרות!$E$8*(הגדרות!$E$7+1),INT((H3072-1)/(הגדרות!$E$7+1)),הגדרות!$E$8+INT((H3072-1-הגדרות!$E$8*(הגדרות!$E$7+1))/הגדרות!$E$7)))</f>
        <v/>
      </c>
      <c r="J3072" s="0" t="str">
        <f aca="false">IF(I3072="","",IF(H3072-1&lt;הגדרות!$E$8*(הגדרות!$E$7+1),MOD(H3072-1,הגדרות!$E$7+1),MOD(H3072-1-הגדרות!$E$8*(הגדרות!$E$7+1),הגדרות!$E$7)))</f>
        <v/>
      </c>
      <c r="K3072" s="0" t="str">
        <f aca="false">IF(I3072="","",J3072*הגדרות!$E$6+I3072+1)</f>
        <v/>
      </c>
      <c r="L3072" s="0" t="str">
        <f aca="false">IF(K3072="","",MATCH(K3072,$F$2:$F$5001,0))</f>
        <v/>
      </c>
      <c r="M3072" s="0" t="str">
        <f aca="false">IF(I3072="","",INDEX(הגדרות!$A$2:$A$21,MOD(I3072+הגדרות!$E$9,הגדרות!$E$6)+1))</f>
        <v/>
      </c>
    </row>
    <row r="3073" customFormat="false" ht="15" hidden="false" customHeight="false" outlineLevel="0" collapsed="false">
      <c r="A3073" s="0" t="str">
        <f aca="false">IF('הדבקת לידים'!A3073="","",IF(ISNUMBER('הדבקת לידים'!A3073),IF(הגדרות!$E$2&gt;0,TEXT('הדבקת לידים'!A3073,REPT("0",הגדרות!$E$2)),TEXT('הדבקת לידים'!A3073,"0")),TRIM('הדבקת לידים'!A3073)))</f>
        <v/>
      </c>
      <c r="B3073" s="0" t="str">
        <f aca="false">IF('הדבקת לידים'!B3073="","",IF(ISNUMBER('הדבקת לידים'!B3073),IF(הגדרות!$E$3&gt;0,TEXT('הדבקת לידים'!B3073,REPT("0",הגדרות!$E$3)),TEXT('הדבקת לידים'!B3073,"0")),TRIM('הדבקת לידים'!B3073)))</f>
        <v/>
      </c>
      <c r="C3073" s="0" t="n">
        <f aca="false">IF(OR(A3073&lt;&gt;"",B3073&lt;&gt;""),1,0)</f>
        <v>0</v>
      </c>
      <c r="D3073" s="0" t="str">
        <f aca="false">IF(C3073=1,MOD(ABS(SIN(ROW()*12.9898+'הדבקת לידים'!$F$2*78.233+IFERROR(--RIGHT(A3073,6),LEN(A3073))*0.0137+IFERROR(--RIGHT(B3073,6),LEN(B3073))*0.0071))*43758.5453,1),"")</f>
        <v/>
      </c>
      <c r="E3073" s="0" t="str">
        <f aca="false">IF(C3073=1,INT(MOD(ABS(SIN(D3073*7919.123+ROW()*0.618+'הדבקת לידים'!$F$2*1.3))*43758.5453,1)*1000000)*10000+ROW(),"")</f>
        <v/>
      </c>
      <c r="F3073" s="0" t="str">
        <f aca="false">IF(E3073="","",RANK(E3073,$E$2:$E$5001,1))</f>
        <v/>
      </c>
      <c r="G3073" s="0" t="n">
        <f aca="false">IF(A3073="",0,IF(SUMPRODUCT(--($A$2:$A$5001=A3073))&gt;1,1,0))</f>
        <v>0</v>
      </c>
      <c r="H3073" s="0" t="n">
        <f aca="false">ROW()-1</f>
        <v>3072</v>
      </c>
      <c r="I3073" s="0" t="str">
        <f aca="false">IF(OR(הגדרות!$E$6=0,H3073&gt;הגדרות!$E$5),"",IF(H3073-1&lt;הגדרות!$E$8*(הגדרות!$E$7+1),INT((H3073-1)/(הגדרות!$E$7+1)),הגדרות!$E$8+INT((H3073-1-הגדרות!$E$8*(הגדרות!$E$7+1))/הגדרות!$E$7)))</f>
        <v/>
      </c>
      <c r="J3073" s="0" t="str">
        <f aca="false">IF(I3073="","",IF(H3073-1&lt;הגדרות!$E$8*(הגדרות!$E$7+1),MOD(H3073-1,הגדרות!$E$7+1),MOD(H3073-1-הגדרות!$E$8*(הגדרות!$E$7+1),הגדרות!$E$7)))</f>
        <v/>
      </c>
      <c r="K3073" s="0" t="str">
        <f aca="false">IF(I3073="","",J3073*הגדרות!$E$6+I3073+1)</f>
        <v/>
      </c>
      <c r="L3073" s="0" t="str">
        <f aca="false">IF(K3073="","",MATCH(K3073,$F$2:$F$5001,0))</f>
        <v/>
      </c>
      <c r="M3073" s="0" t="str">
        <f aca="false">IF(I3073="","",INDEX(הגדרות!$A$2:$A$21,MOD(I3073+הגדרות!$E$9,הגדרות!$E$6)+1))</f>
        <v/>
      </c>
    </row>
    <row r="3074" customFormat="false" ht="15" hidden="false" customHeight="false" outlineLevel="0" collapsed="false">
      <c r="A3074" s="0" t="str">
        <f aca="false">IF('הדבקת לידים'!A3074="","",IF(ISNUMBER('הדבקת לידים'!A3074),IF(הגדרות!$E$2&gt;0,TEXT('הדבקת לידים'!A3074,REPT("0",הגדרות!$E$2)),TEXT('הדבקת לידים'!A3074,"0")),TRIM('הדבקת לידים'!A3074)))</f>
        <v/>
      </c>
      <c r="B3074" s="0" t="str">
        <f aca="false">IF('הדבקת לידים'!B3074="","",IF(ISNUMBER('הדבקת לידים'!B3074),IF(הגדרות!$E$3&gt;0,TEXT('הדבקת לידים'!B3074,REPT("0",הגדרות!$E$3)),TEXT('הדבקת לידים'!B3074,"0")),TRIM('הדבקת לידים'!B3074)))</f>
        <v/>
      </c>
      <c r="C3074" s="0" t="n">
        <f aca="false">IF(OR(A3074&lt;&gt;"",B3074&lt;&gt;""),1,0)</f>
        <v>0</v>
      </c>
      <c r="D3074" s="0" t="str">
        <f aca="false">IF(C3074=1,MOD(ABS(SIN(ROW()*12.9898+'הדבקת לידים'!$F$2*78.233+IFERROR(--RIGHT(A3074,6),LEN(A3074))*0.0137+IFERROR(--RIGHT(B3074,6),LEN(B3074))*0.0071))*43758.5453,1),"")</f>
        <v/>
      </c>
      <c r="E3074" s="0" t="str">
        <f aca="false">IF(C3074=1,INT(MOD(ABS(SIN(D3074*7919.123+ROW()*0.618+'הדבקת לידים'!$F$2*1.3))*43758.5453,1)*1000000)*10000+ROW(),"")</f>
        <v/>
      </c>
      <c r="F3074" s="0" t="str">
        <f aca="false">IF(E3074="","",RANK(E3074,$E$2:$E$5001,1))</f>
        <v/>
      </c>
      <c r="G3074" s="0" t="n">
        <f aca="false">IF(A3074="",0,IF(SUMPRODUCT(--($A$2:$A$5001=A3074))&gt;1,1,0))</f>
        <v>0</v>
      </c>
      <c r="H3074" s="0" t="n">
        <f aca="false">ROW()-1</f>
        <v>3073</v>
      </c>
      <c r="I3074" s="0" t="str">
        <f aca="false">IF(OR(הגדרות!$E$6=0,H3074&gt;הגדרות!$E$5),"",IF(H3074-1&lt;הגדרות!$E$8*(הגדרות!$E$7+1),INT((H3074-1)/(הגדרות!$E$7+1)),הגדרות!$E$8+INT((H3074-1-הגדרות!$E$8*(הגדרות!$E$7+1))/הגדרות!$E$7)))</f>
        <v/>
      </c>
      <c r="J3074" s="0" t="str">
        <f aca="false">IF(I3074="","",IF(H3074-1&lt;הגדרות!$E$8*(הגדרות!$E$7+1),MOD(H3074-1,הגדרות!$E$7+1),MOD(H3074-1-הגדרות!$E$8*(הגדרות!$E$7+1),הגדרות!$E$7)))</f>
        <v/>
      </c>
      <c r="K3074" s="0" t="str">
        <f aca="false">IF(I3074="","",J3074*הגדרות!$E$6+I3074+1)</f>
        <v/>
      </c>
      <c r="L3074" s="0" t="str">
        <f aca="false">IF(K3074="","",MATCH(K3074,$F$2:$F$5001,0))</f>
        <v/>
      </c>
      <c r="M3074" s="0" t="str">
        <f aca="false">IF(I3074="","",INDEX(הגדרות!$A$2:$A$21,MOD(I3074+הגדרות!$E$9,הגדרות!$E$6)+1))</f>
        <v/>
      </c>
    </row>
    <row r="3075" customFormat="false" ht="15" hidden="false" customHeight="false" outlineLevel="0" collapsed="false">
      <c r="A3075" s="0" t="str">
        <f aca="false">IF('הדבקת לידים'!A3075="","",IF(ISNUMBER('הדבקת לידים'!A3075),IF(הגדרות!$E$2&gt;0,TEXT('הדבקת לידים'!A3075,REPT("0",הגדרות!$E$2)),TEXT('הדבקת לידים'!A3075,"0")),TRIM('הדבקת לידים'!A3075)))</f>
        <v/>
      </c>
      <c r="B3075" s="0" t="str">
        <f aca="false">IF('הדבקת לידים'!B3075="","",IF(ISNUMBER('הדבקת לידים'!B3075),IF(הגדרות!$E$3&gt;0,TEXT('הדבקת לידים'!B3075,REPT("0",הגדרות!$E$3)),TEXT('הדבקת לידים'!B3075,"0")),TRIM('הדבקת לידים'!B3075)))</f>
        <v/>
      </c>
      <c r="C3075" s="0" t="n">
        <f aca="false">IF(OR(A3075&lt;&gt;"",B3075&lt;&gt;""),1,0)</f>
        <v>0</v>
      </c>
      <c r="D3075" s="0" t="str">
        <f aca="false">IF(C3075=1,MOD(ABS(SIN(ROW()*12.9898+'הדבקת לידים'!$F$2*78.233+IFERROR(--RIGHT(A3075,6),LEN(A3075))*0.0137+IFERROR(--RIGHT(B3075,6),LEN(B3075))*0.0071))*43758.5453,1),"")</f>
        <v/>
      </c>
      <c r="E3075" s="0" t="str">
        <f aca="false">IF(C3075=1,INT(MOD(ABS(SIN(D3075*7919.123+ROW()*0.618+'הדבקת לידים'!$F$2*1.3))*43758.5453,1)*1000000)*10000+ROW(),"")</f>
        <v/>
      </c>
      <c r="F3075" s="0" t="str">
        <f aca="false">IF(E3075="","",RANK(E3075,$E$2:$E$5001,1))</f>
        <v/>
      </c>
      <c r="G3075" s="0" t="n">
        <f aca="false">IF(A3075="",0,IF(SUMPRODUCT(--($A$2:$A$5001=A3075))&gt;1,1,0))</f>
        <v>0</v>
      </c>
      <c r="H3075" s="0" t="n">
        <f aca="false">ROW()-1</f>
        <v>3074</v>
      </c>
      <c r="I3075" s="0" t="str">
        <f aca="false">IF(OR(הגדרות!$E$6=0,H3075&gt;הגדרות!$E$5),"",IF(H3075-1&lt;הגדרות!$E$8*(הגדרות!$E$7+1),INT((H3075-1)/(הגדרות!$E$7+1)),הגדרות!$E$8+INT((H3075-1-הגדרות!$E$8*(הגדרות!$E$7+1))/הגדרות!$E$7)))</f>
        <v/>
      </c>
      <c r="J3075" s="0" t="str">
        <f aca="false">IF(I3075="","",IF(H3075-1&lt;הגדרות!$E$8*(הגדרות!$E$7+1),MOD(H3075-1,הגדרות!$E$7+1),MOD(H3075-1-הגדרות!$E$8*(הגדרות!$E$7+1),הגדרות!$E$7)))</f>
        <v/>
      </c>
      <c r="K3075" s="0" t="str">
        <f aca="false">IF(I3075="","",J3075*הגדרות!$E$6+I3075+1)</f>
        <v/>
      </c>
      <c r="L3075" s="0" t="str">
        <f aca="false">IF(K3075="","",MATCH(K3075,$F$2:$F$5001,0))</f>
        <v/>
      </c>
      <c r="M3075" s="0" t="str">
        <f aca="false">IF(I3075="","",INDEX(הגדרות!$A$2:$A$21,MOD(I3075+הגדרות!$E$9,הגדרות!$E$6)+1))</f>
        <v/>
      </c>
    </row>
    <row r="3076" customFormat="false" ht="15" hidden="false" customHeight="false" outlineLevel="0" collapsed="false">
      <c r="A3076" s="0" t="str">
        <f aca="false">IF('הדבקת לידים'!A3076="","",IF(ISNUMBER('הדבקת לידים'!A3076),IF(הגדרות!$E$2&gt;0,TEXT('הדבקת לידים'!A3076,REPT("0",הגדרות!$E$2)),TEXT('הדבקת לידים'!A3076,"0")),TRIM('הדבקת לידים'!A3076)))</f>
        <v/>
      </c>
      <c r="B3076" s="0" t="str">
        <f aca="false">IF('הדבקת לידים'!B3076="","",IF(ISNUMBER('הדבקת לידים'!B3076),IF(הגדרות!$E$3&gt;0,TEXT('הדבקת לידים'!B3076,REPT("0",הגדרות!$E$3)),TEXT('הדבקת לידים'!B3076,"0")),TRIM('הדבקת לידים'!B3076)))</f>
        <v/>
      </c>
      <c r="C3076" s="0" t="n">
        <f aca="false">IF(OR(A3076&lt;&gt;"",B3076&lt;&gt;""),1,0)</f>
        <v>0</v>
      </c>
      <c r="D3076" s="0" t="str">
        <f aca="false">IF(C3076=1,MOD(ABS(SIN(ROW()*12.9898+'הדבקת לידים'!$F$2*78.233+IFERROR(--RIGHT(A3076,6),LEN(A3076))*0.0137+IFERROR(--RIGHT(B3076,6),LEN(B3076))*0.0071))*43758.5453,1),"")</f>
        <v/>
      </c>
      <c r="E3076" s="0" t="str">
        <f aca="false">IF(C3076=1,INT(MOD(ABS(SIN(D3076*7919.123+ROW()*0.618+'הדבקת לידים'!$F$2*1.3))*43758.5453,1)*1000000)*10000+ROW(),"")</f>
        <v/>
      </c>
      <c r="F3076" s="0" t="str">
        <f aca="false">IF(E3076="","",RANK(E3076,$E$2:$E$5001,1))</f>
        <v/>
      </c>
      <c r="G3076" s="0" t="n">
        <f aca="false">IF(A3076="",0,IF(SUMPRODUCT(--($A$2:$A$5001=A3076))&gt;1,1,0))</f>
        <v>0</v>
      </c>
      <c r="H3076" s="0" t="n">
        <f aca="false">ROW()-1</f>
        <v>3075</v>
      </c>
      <c r="I3076" s="0" t="str">
        <f aca="false">IF(OR(הגדרות!$E$6=0,H3076&gt;הגדרות!$E$5),"",IF(H3076-1&lt;הגדרות!$E$8*(הגדרות!$E$7+1),INT((H3076-1)/(הגדרות!$E$7+1)),הגדרות!$E$8+INT((H3076-1-הגדרות!$E$8*(הגדרות!$E$7+1))/הגדרות!$E$7)))</f>
        <v/>
      </c>
      <c r="J3076" s="0" t="str">
        <f aca="false">IF(I3076="","",IF(H3076-1&lt;הגדרות!$E$8*(הגדרות!$E$7+1),MOD(H3076-1,הגדרות!$E$7+1),MOD(H3076-1-הגדרות!$E$8*(הגדרות!$E$7+1),הגדרות!$E$7)))</f>
        <v/>
      </c>
      <c r="K3076" s="0" t="str">
        <f aca="false">IF(I3076="","",J3076*הגדרות!$E$6+I3076+1)</f>
        <v/>
      </c>
      <c r="L3076" s="0" t="str">
        <f aca="false">IF(K3076="","",MATCH(K3076,$F$2:$F$5001,0))</f>
        <v/>
      </c>
      <c r="M3076" s="0" t="str">
        <f aca="false">IF(I3076="","",INDEX(הגדרות!$A$2:$A$21,MOD(I3076+הגדרות!$E$9,הגדרות!$E$6)+1))</f>
        <v/>
      </c>
    </row>
    <row r="3077" customFormat="false" ht="15" hidden="false" customHeight="false" outlineLevel="0" collapsed="false">
      <c r="A3077" s="0" t="str">
        <f aca="false">IF('הדבקת לידים'!A3077="","",IF(ISNUMBER('הדבקת לידים'!A3077),IF(הגדרות!$E$2&gt;0,TEXT('הדבקת לידים'!A3077,REPT("0",הגדרות!$E$2)),TEXT('הדבקת לידים'!A3077,"0")),TRIM('הדבקת לידים'!A3077)))</f>
        <v/>
      </c>
      <c r="B3077" s="0" t="str">
        <f aca="false">IF('הדבקת לידים'!B3077="","",IF(ISNUMBER('הדבקת לידים'!B3077),IF(הגדרות!$E$3&gt;0,TEXT('הדבקת לידים'!B3077,REPT("0",הגדרות!$E$3)),TEXT('הדבקת לידים'!B3077,"0")),TRIM('הדבקת לידים'!B3077)))</f>
        <v/>
      </c>
      <c r="C3077" s="0" t="n">
        <f aca="false">IF(OR(A3077&lt;&gt;"",B3077&lt;&gt;""),1,0)</f>
        <v>0</v>
      </c>
      <c r="D3077" s="0" t="str">
        <f aca="false">IF(C3077=1,MOD(ABS(SIN(ROW()*12.9898+'הדבקת לידים'!$F$2*78.233+IFERROR(--RIGHT(A3077,6),LEN(A3077))*0.0137+IFERROR(--RIGHT(B3077,6),LEN(B3077))*0.0071))*43758.5453,1),"")</f>
        <v/>
      </c>
      <c r="E3077" s="0" t="str">
        <f aca="false">IF(C3077=1,INT(MOD(ABS(SIN(D3077*7919.123+ROW()*0.618+'הדבקת לידים'!$F$2*1.3))*43758.5453,1)*1000000)*10000+ROW(),"")</f>
        <v/>
      </c>
      <c r="F3077" s="0" t="str">
        <f aca="false">IF(E3077="","",RANK(E3077,$E$2:$E$5001,1))</f>
        <v/>
      </c>
      <c r="G3077" s="0" t="n">
        <f aca="false">IF(A3077="",0,IF(SUMPRODUCT(--($A$2:$A$5001=A3077))&gt;1,1,0))</f>
        <v>0</v>
      </c>
      <c r="H3077" s="0" t="n">
        <f aca="false">ROW()-1</f>
        <v>3076</v>
      </c>
      <c r="I3077" s="0" t="str">
        <f aca="false">IF(OR(הגדרות!$E$6=0,H3077&gt;הגדרות!$E$5),"",IF(H3077-1&lt;הגדרות!$E$8*(הגדרות!$E$7+1),INT((H3077-1)/(הגדרות!$E$7+1)),הגדרות!$E$8+INT((H3077-1-הגדרות!$E$8*(הגדרות!$E$7+1))/הגדרות!$E$7)))</f>
        <v/>
      </c>
      <c r="J3077" s="0" t="str">
        <f aca="false">IF(I3077="","",IF(H3077-1&lt;הגדרות!$E$8*(הגדרות!$E$7+1),MOD(H3077-1,הגדרות!$E$7+1),MOD(H3077-1-הגדרות!$E$8*(הגדרות!$E$7+1),הגדרות!$E$7)))</f>
        <v/>
      </c>
      <c r="K3077" s="0" t="str">
        <f aca="false">IF(I3077="","",J3077*הגדרות!$E$6+I3077+1)</f>
        <v/>
      </c>
      <c r="L3077" s="0" t="str">
        <f aca="false">IF(K3077="","",MATCH(K3077,$F$2:$F$5001,0))</f>
        <v/>
      </c>
      <c r="M3077" s="0" t="str">
        <f aca="false">IF(I3077="","",INDEX(הגדרות!$A$2:$A$21,MOD(I3077+הגדרות!$E$9,הגדרות!$E$6)+1))</f>
        <v/>
      </c>
    </row>
    <row r="3078" customFormat="false" ht="15" hidden="false" customHeight="false" outlineLevel="0" collapsed="false">
      <c r="A3078" s="0" t="str">
        <f aca="false">IF('הדבקת לידים'!A3078="","",IF(ISNUMBER('הדבקת לידים'!A3078),IF(הגדרות!$E$2&gt;0,TEXT('הדבקת לידים'!A3078,REPT("0",הגדרות!$E$2)),TEXT('הדבקת לידים'!A3078,"0")),TRIM('הדבקת לידים'!A3078)))</f>
        <v/>
      </c>
      <c r="B3078" s="0" t="str">
        <f aca="false">IF('הדבקת לידים'!B3078="","",IF(ISNUMBER('הדבקת לידים'!B3078),IF(הגדרות!$E$3&gt;0,TEXT('הדבקת לידים'!B3078,REPT("0",הגדרות!$E$3)),TEXT('הדבקת לידים'!B3078,"0")),TRIM('הדבקת לידים'!B3078)))</f>
        <v/>
      </c>
      <c r="C3078" s="0" t="n">
        <f aca="false">IF(OR(A3078&lt;&gt;"",B3078&lt;&gt;""),1,0)</f>
        <v>0</v>
      </c>
      <c r="D3078" s="0" t="str">
        <f aca="false">IF(C3078=1,MOD(ABS(SIN(ROW()*12.9898+'הדבקת לידים'!$F$2*78.233+IFERROR(--RIGHT(A3078,6),LEN(A3078))*0.0137+IFERROR(--RIGHT(B3078,6),LEN(B3078))*0.0071))*43758.5453,1),"")</f>
        <v/>
      </c>
      <c r="E3078" s="0" t="str">
        <f aca="false">IF(C3078=1,INT(MOD(ABS(SIN(D3078*7919.123+ROW()*0.618+'הדבקת לידים'!$F$2*1.3))*43758.5453,1)*1000000)*10000+ROW(),"")</f>
        <v/>
      </c>
      <c r="F3078" s="0" t="str">
        <f aca="false">IF(E3078="","",RANK(E3078,$E$2:$E$5001,1))</f>
        <v/>
      </c>
      <c r="G3078" s="0" t="n">
        <f aca="false">IF(A3078="",0,IF(SUMPRODUCT(--($A$2:$A$5001=A3078))&gt;1,1,0))</f>
        <v>0</v>
      </c>
      <c r="H3078" s="0" t="n">
        <f aca="false">ROW()-1</f>
        <v>3077</v>
      </c>
      <c r="I3078" s="0" t="str">
        <f aca="false">IF(OR(הגדרות!$E$6=0,H3078&gt;הגדרות!$E$5),"",IF(H3078-1&lt;הגדרות!$E$8*(הגדרות!$E$7+1),INT((H3078-1)/(הגדרות!$E$7+1)),הגדרות!$E$8+INT((H3078-1-הגדרות!$E$8*(הגדרות!$E$7+1))/הגדרות!$E$7)))</f>
        <v/>
      </c>
      <c r="J3078" s="0" t="str">
        <f aca="false">IF(I3078="","",IF(H3078-1&lt;הגדרות!$E$8*(הגדרות!$E$7+1),MOD(H3078-1,הגדרות!$E$7+1),MOD(H3078-1-הגדרות!$E$8*(הגדרות!$E$7+1),הגדרות!$E$7)))</f>
        <v/>
      </c>
      <c r="K3078" s="0" t="str">
        <f aca="false">IF(I3078="","",J3078*הגדרות!$E$6+I3078+1)</f>
        <v/>
      </c>
      <c r="L3078" s="0" t="str">
        <f aca="false">IF(K3078="","",MATCH(K3078,$F$2:$F$5001,0))</f>
        <v/>
      </c>
      <c r="M3078" s="0" t="str">
        <f aca="false">IF(I3078="","",INDEX(הגדרות!$A$2:$A$21,MOD(I3078+הגדרות!$E$9,הגדרות!$E$6)+1))</f>
        <v/>
      </c>
    </row>
    <row r="3079" customFormat="false" ht="15" hidden="false" customHeight="false" outlineLevel="0" collapsed="false">
      <c r="A3079" s="0" t="str">
        <f aca="false">IF('הדבקת לידים'!A3079="","",IF(ISNUMBER('הדבקת לידים'!A3079),IF(הגדרות!$E$2&gt;0,TEXT('הדבקת לידים'!A3079,REPT("0",הגדרות!$E$2)),TEXT('הדבקת לידים'!A3079,"0")),TRIM('הדבקת לידים'!A3079)))</f>
        <v/>
      </c>
      <c r="B3079" s="0" t="str">
        <f aca="false">IF('הדבקת לידים'!B3079="","",IF(ISNUMBER('הדבקת לידים'!B3079),IF(הגדרות!$E$3&gt;0,TEXT('הדבקת לידים'!B3079,REPT("0",הגדרות!$E$3)),TEXT('הדבקת לידים'!B3079,"0")),TRIM('הדבקת לידים'!B3079)))</f>
        <v/>
      </c>
      <c r="C3079" s="0" t="n">
        <f aca="false">IF(OR(A3079&lt;&gt;"",B3079&lt;&gt;""),1,0)</f>
        <v>0</v>
      </c>
      <c r="D3079" s="0" t="str">
        <f aca="false">IF(C3079=1,MOD(ABS(SIN(ROW()*12.9898+'הדבקת לידים'!$F$2*78.233+IFERROR(--RIGHT(A3079,6),LEN(A3079))*0.0137+IFERROR(--RIGHT(B3079,6),LEN(B3079))*0.0071))*43758.5453,1),"")</f>
        <v/>
      </c>
      <c r="E3079" s="0" t="str">
        <f aca="false">IF(C3079=1,INT(MOD(ABS(SIN(D3079*7919.123+ROW()*0.618+'הדבקת לידים'!$F$2*1.3))*43758.5453,1)*1000000)*10000+ROW(),"")</f>
        <v/>
      </c>
      <c r="F3079" s="0" t="str">
        <f aca="false">IF(E3079="","",RANK(E3079,$E$2:$E$5001,1))</f>
        <v/>
      </c>
      <c r="G3079" s="0" t="n">
        <f aca="false">IF(A3079="",0,IF(SUMPRODUCT(--($A$2:$A$5001=A3079))&gt;1,1,0))</f>
        <v>0</v>
      </c>
      <c r="H3079" s="0" t="n">
        <f aca="false">ROW()-1</f>
        <v>3078</v>
      </c>
      <c r="I3079" s="0" t="str">
        <f aca="false">IF(OR(הגדרות!$E$6=0,H3079&gt;הגדרות!$E$5),"",IF(H3079-1&lt;הגדרות!$E$8*(הגדרות!$E$7+1),INT((H3079-1)/(הגדרות!$E$7+1)),הגדרות!$E$8+INT((H3079-1-הגדרות!$E$8*(הגדרות!$E$7+1))/הגדרות!$E$7)))</f>
        <v/>
      </c>
      <c r="J3079" s="0" t="str">
        <f aca="false">IF(I3079="","",IF(H3079-1&lt;הגדרות!$E$8*(הגדרות!$E$7+1),MOD(H3079-1,הגדרות!$E$7+1),MOD(H3079-1-הגדרות!$E$8*(הגדרות!$E$7+1),הגדרות!$E$7)))</f>
        <v/>
      </c>
      <c r="K3079" s="0" t="str">
        <f aca="false">IF(I3079="","",J3079*הגדרות!$E$6+I3079+1)</f>
        <v/>
      </c>
      <c r="L3079" s="0" t="str">
        <f aca="false">IF(K3079="","",MATCH(K3079,$F$2:$F$5001,0))</f>
        <v/>
      </c>
      <c r="M3079" s="0" t="str">
        <f aca="false">IF(I3079="","",INDEX(הגדרות!$A$2:$A$21,MOD(I3079+הגדרות!$E$9,הגדרות!$E$6)+1))</f>
        <v/>
      </c>
    </row>
    <row r="3080" customFormat="false" ht="15" hidden="false" customHeight="false" outlineLevel="0" collapsed="false">
      <c r="A3080" s="0" t="str">
        <f aca="false">IF('הדבקת לידים'!A3080="","",IF(ISNUMBER('הדבקת לידים'!A3080),IF(הגדרות!$E$2&gt;0,TEXT('הדבקת לידים'!A3080,REPT("0",הגדרות!$E$2)),TEXT('הדבקת לידים'!A3080,"0")),TRIM('הדבקת לידים'!A3080)))</f>
        <v/>
      </c>
      <c r="B3080" s="0" t="str">
        <f aca="false">IF('הדבקת לידים'!B3080="","",IF(ISNUMBER('הדבקת לידים'!B3080),IF(הגדרות!$E$3&gt;0,TEXT('הדבקת לידים'!B3080,REPT("0",הגדרות!$E$3)),TEXT('הדבקת לידים'!B3080,"0")),TRIM('הדבקת לידים'!B3080)))</f>
        <v/>
      </c>
      <c r="C3080" s="0" t="n">
        <f aca="false">IF(OR(A3080&lt;&gt;"",B3080&lt;&gt;""),1,0)</f>
        <v>0</v>
      </c>
      <c r="D3080" s="0" t="str">
        <f aca="false">IF(C3080=1,MOD(ABS(SIN(ROW()*12.9898+'הדבקת לידים'!$F$2*78.233+IFERROR(--RIGHT(A3080,6),LEN(A3080))*0.0137+IFERROR(--RIGHT(B3080,6),LEN(B3080))*0.0071))*43758.5453,1),"")</f>
        <v/>
      </c>
      <c r="E3080" s="0" t="str">
        <f aca="false">IF(C3080=1,INT(MOD(ABS(SIN(D3080*7919.123+ROW()*0.618+'הדבקת לידים'!$F$2*1.3))*43758.5453,1)*1000000)*10000+ROW(),"")</f>
        <v/>
      </c>
      <c r="F3080" s="0" t="str">
        <f aca="false">IF(E3080="","",RANK(E3080,$E$2:$E$5001,1))</f>
        <v/>
      </c>
      <c r="G3080" s="0" t="n">
        <f aca="false">IF(A3080="",0,IF(SUMPRODUCT(--($A$2:$A$5001=A3080))&gt;1,1,0))</f>
        <v>0</v>
      </c>
      <c r="H3080" s="0" t="n">
        <f aca="false">ROW()-1</f>
        <v>3079</v>
      </c>
      <c r="I3080" s="0" t="str">
        <f aca="false">IF(OR(הגדרות!$E$6=0,H3080&gt;הגדרות!$E$5),"",IF(H3080-1&lt;הגדרות!$E$8*(הגדרות!$E$7+1),INT((H3080-1)/(הגדרות!$E$7+1)),הגדרות!$E$8+INT((H3080-1-הגדרות!$E$8*(הגדרות!$E$7+1))/הגדרות!$E$7)))</f>
        <v/>
      </c>
      <c r="J3080" s="0" t="str">
        <f aca="false">IF(I3080="","",IF(H3080-1&lt;הגדרות!$E$8*(הגדרות!$E$7+1),MOD(H3080-1,הגדרות!$E$7+1),MOD(H3080-1-הגדרות!$E$8*(הגדרות!$E$7+1),הגדרות!$E$7)))</f>
        <v/>
      </c>
      <c r="K3080" s="0" t="str">
        <f aca="false">IF(I3080="","",J3080*הגדרות!$E$6+I3080+1)</f>
        <v/>
      </c>
      <c r="L3080" s="0" t="str">
        <f aca="false">IF(K3080="","",MATCH(K3080,$F$2:$F$5001,0))</f>
        <v/>
      </c>
      <c r="M3080" s="0" t="str">
        <f aca="false">IF(I3080="","",INDEX(הגדרות!$A$2:$A$21,MOD(I3080+הגדרות!$E$9,הגדרות!$E$6)+1))</f>
        <v/>
      </c>
    </row>
    <row r="3081" customFormat="false" ht="15" hidden="false" customHeight="false" outlineLevel="0" collapsed="false">
      <c r="A3081" s="0" t="str">
        <f aca="false">IF('הדבקת לידים'!A3081="","",IF(ISNUMBER('הדבקת לידים'!A3081),IF(הגדרות!$E$2&gt;0,TEXT('הדבקת לידים'!A3081,REPT("0",הגדרות!$E$2)),TEXT('הדבקת לידים'!A3081,"0")),TRIM('הדבקת לידים'!A3081)))</f>
        <v/>
      </c>
      <c r="B3081" s="0" t="str">
        <f aca="false">IF('הדבקת לידים'!B3081="","",IF(ISNUMBER('הדבקת לידים'!B3081),IF(הגדרות!$E$3&gt;0,TEXT('הדבקת לידים'!B3081,REPT("0",הגדרות!$E$3)),TEXT('הדבקת לידים'!B3081,"0")),TRIM('הדבקת לידים'!B3081)))</f>
        <v/>
      </c>
      <c r="C3081" s="0" t="n">
        <f aca="false">IF(OR(A3081&lt;&gt;"",B3081&lt;&gt;""),1,0)</f>
        <v>0</v>
      </c>
      <c r="D3081" s="0" t="str">
        <f aca="false">IF(C3081=1,MOD(ABS(SIN(ROW()*12.9898+'הדבקת לידים'!$F$2*78.233+IFERROR(--RIGHT(A3081,6),LEN(A3081))*0.0137+IFERROR(--RIGHT(B3081,6),LEN(B3081))*0.0071))*43758.5453,1),"")</f>
        <v/>
      </c>
      <c r="E3081" s="0" t="str">
        <f aca="false">IF(C3081=1,INT(MOD(ABS(SIN(D3081*7919.123+ROW()*0.618+'הדבקת לידים'!$F$2*1.3))*43758.5453,1)*1000000)*10000+ROW(),"")</f>
        <v/>
      </c>
      <c r="F3081" s="0" t="str">
        <f aca="false">IF(E3081="","",RANK(E3081,$E$2:$E$5001,1))</f>
        <v/>
      </c>
      <c r="G3081" s="0" t="n">
        <f aca="false">IF(A3081="",0,IF(SUMPRODUCT(--($A$2:$A$5001=A3081))&gt;1,1,0))</f>
        <v>0</v>
      </c>
      <c r="H3081" s="0" t="n">
        <f aca="false">ROW()-1</f>
        <v>3080</v>
      </c>
      <c r="I3081" s="0" t="str">
        <f aca="false">IF(OR(הגדרות!$E$6=0,H3081&gt;הגדרות!$E$5),"",IF(H3081-1&lt;הגדרות!$E$8*(הגדרות!$E$7+1),INT((H3081-1)/(הגדרות!$E$7+1)),הגדרות!$E$8+INT((H3081-1-הגדרות!$E$8*(הגדרות!$E$7+1))/הגדרות!$E$7)))</f>
        <v/>
      </c>
      <c r="J3081" s="0" t="str">
        <f aca="false">IF(I3081="","",IF(H3081-1&lt;הגדרות!$E$8*(הגדרות!$E$7+1),MOD(H3081-1,הגדרות!$E$7+1),MOD(H3081-1-הגדרות!$E$8*(הגדרות!$E$7+1),הגדרות!$E$7)))</f>
        <v/>
      </c>
      <c r="K3081" s="0" t="str">
        <f aca="false">IF(I3081="","",J3081*הגדרות!$E$6+I3081+1)</f>
        <v/>
      </c>
      <c r="L3081" s="0" t="str">
        <f aca="false">IF(K3081="","",MATCH(K3081,$F$2:$F$5001,0))</f>
        <v/>
      </c>
      <c r="M3081" s="0" t="str">
        <f aca="false">IF(I3081="","",INDEX(הגדרות!$A$2:$A$21,MOD(I3081+הגדרות!$E$9,הגדרות!$E$6)+1))</f>
        <v/>
      </c>
    </row>
    <row r="3082" customFormat="false" ht="15" hidden="false" customHeight="false" outlineLevel="0" collapsed="false">
      <c r="A3082" s="0" t="str">
        <f aca="false">IF('הדבקת לידים'!A3082="","",IF(ISNUMBER('הדבקת לידים'!A3082),IF(הגדרות!$E$2&gt;0,TEXT('הדבקת לידים'!A3082,REPT("0",הגדרות!$E$2)),TEXT('הדבקת לידים'!A3082,"0")),TRIM('הדבקת לידים'!A3082)))</f>
        <v/>
      </c>
      <c r="B3082" s="0" t="str">
        <f aca="false">IF('הדבקת לידים'!B3082="","",IF(ISNUMBER('הדבקת לידים'!B3082),IF(הגדרות!$E$3&gt;0,TEXT('הדבקת לידים'!B3082,REPT("0",הגדרות!$E$3)),TEXT('הדבקת לידים'!B3082,"0")),TRIM('הדבקת לידים'!B3082)))</f>
        <v/>
      </c>
      <c r="C3082" s="0" t="n">
        <f aca="false">IF(OR(A3082&lt;&gt;"",B3082&lt;&gt;""),1,0)</f>
        <v>0</v>
      </c>
      <c r="D3082" s="0" t="str">
        <f aca="false">IF(C3082=1,MOD(ABS(SIN(ROW()*12.9898+'הדבקת לידים'!$F$2*78.233+IFERROR(--RIGHT(A3082,6),LEN(A3082))*0.0137+IFERROR(--RIGHT(B3082,6),LEN(B3082))*0.0071))*43758.5453,1),"")</f>
        <v/>
      </c>
      <c r="E3082" s="0" t="str">
        <f aca="false">IF(C3082=1,INT(MOD(ABS(SIN(D3082*7919.123+ROW()*0.618+'הדבקת לידים'!$F$2*1.3))*43758.5453,1)*1000000)*10000+ROW(),"")</f>
        <v/>
      </c>
      <c r="F3082" s="0" t="str">
        <f aca="false">IF(E3082="","",RANK(E3082,$E$2:$E$5001,1))</f>
        <v/>
      </c>
      <c r="G3082" s="0" t="n">
        <f aca="false">IF(A3082="",0,IF(SUMPRODUCT(--($A$2:$A$5001=A3082))&gt;1,1,0))</f>
        <v>0</v>
      </c>
      <c r="H3082" s="0" t="n">
        <f aca="false">ROW()-1</f>
        <v>3081</v>
      </c>
      <c r="I3082" s="0" t="str">
        <f aca="false">IF(OR(הגדרות!$E$6=0,H3082&gt;הגדרות!$E$5),"",IF(H3082-1&lt;הגדרות!$E$8*(הגדרות!$E$7+1),INT((H3082-1)/(הגדרות!$E$7+1)),הגדרות!$E$8+INT((H3082-1-הגדרות!$E$8*(הגדרות!$E$7+1))/הגדרות!$E$7)))</f>
        <v/>
      </c>
      <c r="J3082" s="0" t="str">
        <f aca="false">IF(I3082="","",IF(H3082-1&lt;הגדרות!$E$8*(הגדרות!$E$7+1),MOD(H3082-1,הגדרות!$E$7+1),MOD(H3082-1-הגדרות!$E$8*(הגדרות!$E$7+1),הגדרות!$E$7)))</f>
        <v/>
      </c>
      <c r="K3082" s="0" t="str">
        <f aca="false">IF(I3082="","",J3082*הגדרות!$E$6+I3082+1)</f>
        <v/>
      </c>
      <c r="L3082" s="0" t="str">
        <f aca="false">IF(K3082="","",MATCH(K3082,$F$2:$F$5001,0))</f>
        <v/>
      </c>
      <c r="M3082" s="0" t="str">
        <f aca="false">IF(I3082="","",INDEX(הגדרות!$A$2:$A$21,MOD(I3082+הגדרות!$E$9,הגדרות!$E$6)+1))</f>
        <v/>
      </c>
    </row>
    <row r="3083" customFormat="false" ht="15" hidden="false" customHeight="false" outlineLevel="0" collapsed="false">
      <c r="A3083" s="0" t="str">
        <f aca="false">IF('הדבקת לידים'!A3083="","",IF(ISNUMBER('הדבקת לידים'!A3083),IF(הגדרות!$E$2&gt;0,TEXT('הדבקת לידים'!A3083,REPT("0",הגדרות!$E$2)),TEXT('הדבקת לידים'!A3083,"0")),TRIM('הדבקת לידים'!A3083)))</f>
        <v/>
      </c>
      <c r="B3083" s="0" t="str">
        <f aca="false">IF('הדבקת לידים'!B3083="","",IF(ISNUMBER('הדבקת לידים'!B3083),IF(הגדרות!$E$3&gt;0,TEXT('הדבקת לידים'!B3083,REPT("0",הגדרות!$E$3)),TEXT('הדבקת לידים'!B3083,"0")),TRIM('הדבקת לידים'!B3083)))</f>
        <v/>
      </c>
      <c r="C3083" s="0" t="n">
        <f aca="false">IF(OR(A3083&lt;&gt;"",B3083&lt;&gt;""),1,0)</f>
        <v>0</v>
      </c>
      <c r="D3083" s="0" t="str">
        <f aca="false">IF(C3083=1,MOD(ABS(SIN(ROW()*12.9898+'הדבקת לידים'!$F$2*78.233+IFERROR(--RIGHT(A3083,6),LEN(A3083))*0.0137+IFERROR(--RIGHT(B3083,6),LEN(B3083))*0.0071))*43758.5453,1),"")</f>
        <v/>
      </c>
      <c r="E3083" s="0" t="str">
        <f aca="false">IF(C3083=1,INT(MOD(ABS(SIN(D3083*7919.123+ROW()*0.618+'הדבקת לידים'!$F$2*1.3))*43758.5453,1)*1000000)*10000+ROW(),"")</f>
        <v/>
      </c>
      <c r="F3083" s="0" t="str">
        <f aca="false">IF(E3083="","",RANK(E3083,$E$2:$E$5001,1))</f>
        <v/>
      </c>
      <c r="G3083" s="0" t="n">
        <f aca="false">IF(A3083="",0,IF(SUMPRODUCT(--($A$2:$A$5001=A3083))&gt;1,1,0))</f>
        <v>0</v>
      </c>
      <c r="H3083" s="0" t="n">
        <f aca="false">ROW()-1</f>
        <v>3082</v>
      </c>
      <c r="I3083" s="0" t="str">
        <f aca="false">IF(OR(הגדרות!$E$6=0,H3083&gt;הגדרות!$E$5),"",IF(H3083-1&lt;הגדרות!$E$8*(הגדרות!$E$7+1),INT((H3083-1)/(הגדרות!$E$7+1)),הגדרות!$E$8+INT((H3083-1-הגדרות!$E$8*(הגדרות!$E$7+1))/הגדרות!$E$7)))</f>
        <v/>
      </c>
      <c r="J3083" s="0" t="str">
        <f aca="false">IF(I3083="","",IF(H3083-1&lt;הגדרות!$E$8*(הגדרות!$E$7+1),MOD(H3083-1,הגדרות!$E$7+1),MOD(H3083-1-הגדרות!$E$8*(הגדרות!$E$7+1),הגדרות!$E$7)))</f>
        <v/>
      </c>
      <c r="K3083" s="0" t="str">
        <f aca="false">IF(I3083="","",J3083*הגדרות!$E$6+I3083+1)</f>
        <v/>
      </c>
      <c r="L3083" s="0" t="str">
        <f aca="false">IF(K3083="","",MATCH(K3083,$F$2:$F$5001,0))</f>
        <v/>
      </c>
      <c r="M3083" s="0" t="str">
        <f aca="false">IF(I3083="","",INDEX(הגדרות!$A$2:$A$21,MOD(I3083+הגדרות!$E$9,הגדרות!$E$6)+1))</f>
        <v/>
      </c>
    </row>
    <row r="3084" customFormat="false" ht="15" hidden="false" customHeight="false" outlineLevel="0" collapsed="false">
      <c r="A3084" s="0" t="str">
        <f aca="false">IF('הדבקת לידים'!A3084="","",IF(ISNUMBER('הדבקת לידים'!A3084),IF(הגדרות!$E$2&gt;0,TEXT('הדבקת לידים'!A3084,REPT("0",הגדרות!$E$2)),TEXT('הדבקת לידים'!A3084,"0")),TRIM('הדבקת לידים'!A3084)))</f>
        <v/>
      </c>
      <c r="B3084" s="0" t="str">
        <f aca="false">IF('הדבקת לידים'!B3084="","",IF(ISNUMBER('הדבקת לידים'!B3084),IF(הגדרות!$E$3&gt;0,TEXT('הדבקת לידים'!B3084,REPT("0",הגדרות!$E$3)),TEXT('הדבקת לידים'!B3084,"0")),TRIM('הדבקת לידים'!B3084)))</f>
        <v/>
      </c>
      <c r="C3084" s="0" t="n">
        <f aca="false">IF(OR(A3084&lt;&gt;"",B3084&lt;&gt;""),1,0)</f>
        <v>0</v>
      </c>
      <c r="D3084" s="0" t="str">
        <f aca="false">IF(C3084=1,MOD(ABS(SIN(ROW()*12.9898+'הדבקת לידים'!$F$2*78.233+IFERROR(--RIGHT(A3084,6),LEN(A3084))*0.0137+IFERROR(--RIGHT(B3084,6),LEN(B3084))*0.0071))*43758.5453,1),"")</f>
        <v/>
      </c>
      <c r="E3084" s="0" t="str">
        <f aca="false">IF(C3084=1,INT(MOD(ABS(SIN(D3084*7919.123+ROW()*0.618+'הדבקת לידים'!$F$2*1.3))*43758.5453,1)*1000000)*10000+ROW(),"")</f>
        <v/>
      </c>
      <c r="F3084" s="0" t="str">
        <f aca="false">IF(E3084="","",RANK(E3084,$E$2:$E$5001,1))</f>
        <v/>
      </c>
      <c r="G3084" s="0" t="n">
        <f aca="false">IF(A3084="",0,IF(SUMPRODUCT(--($A$2:$A$5001=A3084))&gt;1,1,0))</f>
        <v>0</v>
      </c>
      <c r="H3084" s="0" t="n">
        <f aca="false">ROW()-1</f>
        <v>3083</v>
      </c>
      <c r="I3084" s="0" t="str">
        <f aca="false">IF(OR(הגדרות!$E$6=0,H3084&gt;הגדרות!$E$5),"",IF(H3084-1&lt;הגדרות!$E$8*(הגדרות!$E$7+1),INT((H3084-1)/(הגדרות!$E$7+1)),הגדרות!$E$8+INT((H3084-1-הגדרות!$E$8*(הגדרות!$E$7+1))/הגדרות!$E$7)))</f>
        <v/>
      </c>
      <c r="J3084" s="0" t="str">
        <f aca="false">IF(I3084="","",IF(H3084-1&lt;הגדרות!$E$8*(הגדרות!$E$7+1),MOD(H3084-1,הגדרות!$E$7+1),MOD(H3084-1-הגדרות!$E$8*(הגדרות!$E$7+1),הגדרות!$E$7)))</f>
        <v/>
      </c>
      <c r="K3084" s="0" t="str">
        <f aca="false">IF(I3084="","",J3084*הגדרות!$E$6+I3084+1)</f>
        <v/>
      </c>
      <c r="L3084" s="0" t="str">
        <f aca="false">IF(K3084="","",MATCH(K3084,$F$2:$F$5001,0))</f>
        <v/>
      </c>
      <c r="M3084" s="0" t="str">
        <f aca="false">IF(I3084="","",INDEX(הגדרות!$A$2:$A$21,MOD(I3084+הגדרות!$E$9,הגדרות!$E$6)+1))</f>
        <v/>
      </c>
    </row>
    <row r="3085" customFormat="false" ht="15" hidden="false" customHeight="false" outlineLevel="0" collapsed="false">
      <c r="A3085" s="0" t="str">
        <f aca="false">IF('הדבקת לידים'!A3085="","",IF(ISNUMBER('הדבקת לידים'!A3085),IF(הגדרות!$E$2&gt;0,TEXT('הדבקת לידים'!A3085,REPT("0",הגדרות!$E$2)),TEXT('הדבקת לידים'!A3085,"0")),TRIM('הדבקת לידים'!A3085)))</f>
        <v/>
      </c>
      <c r="B3085" s="0" t="str">
        <f aca="false">IF('הדבקת לידים'!B3085="","",IF(ISNUMBER('הדבקת לידים'!B3085),IF(הגדרות!$E$3&gt;0,TEXT('הדבקת לידים'!B3085,REPT("0",הגדרות!$E$3)),TEXT('הדבקת לידים'!B3085,"0")),TRIM('הדבקת לידים'!B3085)))</f>
        <v/>
      </c>
      <c r="C3085" s="0" t="n">
        <f aca="false">IF(OR(A3085&lt;&gt;"",B3085&lt;&gt;""),1,0)</f>
        <v>0</v>
      </c>
      <c r="D3085" s="0" t="str">
        <f aca="false">IF(C3085=1,MOD(ABS(SIN(ROW()*12.9898+'הדבקת לידים'!$F$2*78.233+IFERROR(--RIGHT(A3085,6),LEN(A3085))*0.0137+IFERROR(--RIGHT(B3085,6),LEN(B3085))*0.0071))*43758.5453,1),"")</f>
        <v/>
      </c>
      <c r="E3085" s="0" t="str">
        <f aca="false">IF(C3085=1,INT(MOD(ABS(SIN(D3085*7919.123+ROW()*0.618+'הדבקת לידים'!$F$2*1.3))*43758.5453,1)*1000000)*10000+ROW(),"")</f>
        <v/>
      </c>
      <c r="F3085" s="0" t="str">
        <f aca="false">IF(E3085="","",RANK(E3085,$E$2:$E$5001,1))</f>
        <v/>
      </c>
      <c r="G3085" s="0" t="n">
        <f aca="false">IF(A3085="",0,IF(SUMPRODUCT(--($A$2:$A$5001=A3085))&gt;1,1,0))</f>
        <v>0</v>
      </c>
      <c r="H3085" s="0" t="n">
        <f aca="false">ROW()-1</f>
        <v>3084</v>
      </c>
      <c r="I3085" s="0" t="str">
        <f aca="false">IF(OR(הגדרות!$E$6=0,H3085&gt;הגדרות!$E$5),"",IF(H3085-1&lt;הגדרות!$E$8*(הגדרות!$E$7+1),INT((H3085-1)/(הגדרות!$E$7+1)),הגדרות!$E$8+INT((H3085-1-הגדרות!$E$8*(הגדרות!$E$7+1))/הגדרות!$E$7)))</f>
        <v/>
      </c>
      <c r="J3085" s="0" t="str">
        <f aca="false">IF(I3085="","",IF(H3085-1&lt;הגדרות!$E$8*(הגדרות!$E$7+1),MOD(H3085-1,הגדרות!$E$7+1),MOD(H3085-1-הגדרות!$E$8*(הגדרות!$E$7+1),הגדרות!$E$7)))</f>
        <v/>
      </c>
      <c r="K3085" s="0" t="str">
        <f aca="false">IF(I3085="","",J3085*הגדרות!$E$6+I3085+1)</f>
        <v/>
      </c>
      <c r="L3085" s="0" t="str">
        <f aca="false">IF(K3085="","",MATCH(K3085,$F$2:$F$5001,0))</f>
        <v/>
      </c>
      <c r="M3085" s="0" t="str">
        <f aca="false">IF(I3085="","",INDEX(הגדרות!$A$2:$A$21,MOD(I3085+הגדרות!$E$9,הגדרות!$E$6)+1))</f>
        <v/>
      </c>
    </row>
    <row r="3086" customFormat="false" ht="15" hidden="false" customHeight="false" outlineLevel="0" collapsed="false">
      <c r="A3086" s="0" t="str">
        <f aca="false">IF('הדבקת לידים'!A3086="","",IF(ISNUMBER('הדבקת לידים'!A3086),IF(הגדרות!$E$2&gt;0,TEXT('הדבקת לידים'!A3086,REPT("0",הגדרות!$E$2)),TEXT('הדבקת לידים'!A3086,"0")),TRIM('הדבקת לידים'!A3086)))</f>
        <v/>
      </c>
      <c r="B3086" s="0" t="str">
        <f aca="false">IF('הדבקת לידים'!B3086="","",IF(ISNUMBER('הדבקת לידים'!B3086),IF(הגדרות!$E$3&gt;0,TEXT('הדבקת לידים'!B3086,REPT("0",הגדרות!$E$3)),TEXT('הדבקת לידים'!B3086,"0")),TRIM('הדבקת לידים'!B3086)))</f>
        <v/>
      </c>
      <c r="C3086" s="0" t="n">
        <f aca="false">IF(OR(A3086&lt;&gt;"",B3086&lt;&gt;""),1,0)</f>
        <v>0</v>
      </c>
      <c r="D3086" s="0" t="str">
        <f aca="false">IF(C3086=1,MOD(ABS(SIN(ROW()*12.9898+'הדבקת לידים'!$F$2*78.233+IFERROR(--RIGHT(A3086,6),LEN(A3086))*0.0137+IFERROR(--RIGHT(B3086,6),LEN(B3086))*0.0071))*43758.5453,1),"")</f>
        <v/>
      </c>
      <c r="E3086" s="0" t="str">
        <f aca="false">IF(C3086=1,INT(MOD(ABS(SIN(D3086*7919.123+ROW()*0.618+'הדבקת לידים'!$F$2*1.3))*43758.5453,1)*1000000)*10000+ROW(),"")</f>
        <v/>
      </c>
      <c r="F3086" s="0" t="str">
        <f aca="false">IF(E3086="","",RANK(E3086,$E$2:$E$5001,1))</f>
        <v/>
      </c>
      <c r="G3086" s="0" t="n">
        <f aca="false">IF(A3086="",0,IF(SUMPRODUCT(--($A$2:$A$5001=A3086))&gt;1,1,0))</f>
        <v>0</v>
      </c>
      <c r="H3086" s="0" t="n">
        <f aca="false">ROW()-1</f>
        <v>3085</v>
      </c>
      <c r="I3086" s="0" t="str">
        <f aca="false">IF(OR(הגדרות!$E$6=0,H3086&gt;הגדרות!$E$5),"",IF(H3086-1&lt;הגדרות!$E$8*(הגדרות!$E$7+1),INT((H3086-1)/(הגדרות!$E$7+1)),הגדרות!$E$8+INT((H3086-1-הגדרות!$E$8*(הגדרות!$E$7+1))/הגדרות!$E$7)))</f>
        <v/>
      </c>
      <c r="J3086" s="0" t="str">
        <f aca="false">IF(I3086="","",IF(H3086-1&lt;הגדרות!$E$8*(הגדרות!$E$7+1),MOD(H3086-1,הגדרות!$E$7+1),MOD(H3086-1-הגדרות!$E$8*(הגדרות!$E$7+1),הגדרות!$E$7)))</f>
        <v/>
      </c>
      <c r="K3086" s="0" t="str">
        <f aca="false">IF(I3086="","",J3086*הגדרות!$E$6+I3086+1)</f>
        <v/>
      </c>
      <c r="L3086" s="0" t="str">
        <f aca="false">IF(K3086="","",MATCH(K3086,$F$2:$F$5001,0))</f>
        <v/>
      </c>
      <c r="M3086" s="0" t="str">
        <f aca="false">IF(I3086="","",INDEX(הגדרות!$A$2:$A$21,MOD(I3086+הגדרות!$E$9,הגדרות!$E$6)+1))</f>
        <v/>
      </c>
    </row>
    <row r="3087" customFormat="false" ht="15" hidden="false" customHeight="false" outlineLevel="0" collapsed="false">
      <c r="A3087" s="0" t="str">
        <f aca="false">IF('הדבקת לידים'!A3087="","",IF(ISNUMBER('הדבקת לידים'!A3087),IF(הגדרות!$E$2&gt;0,TEXT('הדבקת לידים'!A3087,REPT("0",הגדרות!$E$2)),TEXT('הדבקת לידים'!A3087,"0")),TRIM('הדבקת לידים'!A3087)))</f>
        <v/>
      </c>
      <c r="B3087" s="0" t="str">
        <f aca="false">IF('הדבקת לידים'!B3087="","",IF(ISNUMBER('הדבקת לידים'!B3087),IF(הגדרות!$E$3&gt;0,TEXT('הדבקת לידים'!B3087,REPT("0",הגדרות!$E$3)),TEXT('הדבקת לידים'!B3087,"0")),TRIM('הדבקת לידים'!B3087)))</f>
        <v/>
      </c>
      <c r="C3087" s="0" t="n">
        <f aca="false">IF(OR(A3087&lt;&gt;"",B3087&lt;&gt;""),1,0)</f>
        <v>0</v>
      </c>
      <c r="D3087" s="0" t="str">
        <f aca="false">IF(C3087=1,MOD(ABS(SIN(ROW()*12.9898+'הדבקת לידים'!$F$2*78.233+IFERROR(--RIGHT(A3087,6),LEN(A3087))*0.0137+IFERROR(--RIGHT(B3087,6),LEN(B3087))*0.0071))*43758.5453,1),"")</f>
        <v/>
      </c>
      <c r="E3087" s="0" t="str">
        <f aca="false">IF(C3087=1,INT(MOD(ABS(SIN(D3087*7919.123+ROW()*0.618+'הדבקת לידים'!$F$2*1.3))*43758.5453,1)*1000000)*10000+ROW(),"")</f>
        <v/>
      </c>
      <c r="F3087" s="0" t="str">
        <f aca="false">IF(E3087="","",RANK(E3087,$E$2:$E$5001,1))</f>
        <v/>
      </c>
      <c r="G3087" s="0" t="n">
        <f aca="false">IF(A3087="",0,IF(SUMPRODUCT(--($A$2:$A$5001=A3087))&gt;1,1,0))</f>
        <v>0</v>
      </c>
      <c r="H3087" s="0" t="n">
        <f aca="false">ROW()-1</f>
        <v>3086</v>
      </c>
      <c r="I3087" s="0" t="str">
        <f aca="false">IF(OR(הגדרות!$E$6=0,H3087&gt;הגדרות!$E$5),"",IF(H3087-1&lt;הגדרות!$E$8*(הגדרות!$E$7+1),INT((H3087-1)/(הגדרות!$E$7+1)),הגדרות!$E$8+INT((H3087-1-הגדרות!$E$8*(הגדרות!$E$7+1))/הגדרות!$E$7)))</f>
        <v/>
      </c>
      <c r="J3087" s="0" t="str">
        <f aca="false">IF(I3087="","",IF(H3087-1&lt;הגדרות!$E$8*(הגדרות!$E$7+1),MOD(H3087-1,הגדרות!$E$7+1),MOD(H3087-1-הגדרות!$E$8*(הגדרות!$E$7+1),הגדרות!$E$7)))</f>
        <v/>
      </c>
      <c r="K3087" s="0" t="str">
        <f aca="false">IF(I3087="","",J3087*הגדרות!$E$6+I3087+1)</f>
        <v/>
      </c>
      <c r="L3087" s="0" t="str">
        <f aca="false">IF(K3087="","",MATCH(K3087,$F$2:$F$5001,0))</f>
        <v/>
      </c>
      <c r="M3087" s="0" t="str">
        <f aca="false">IF(I3087="","",INDEX(הגדרות!$A$2:$A$21,MOD(I3087+הגדרות!$E$9,הגדרות!$E$6)+1))</f>
        <v/>
      </c>
    </row>
    <row r="3088" customFormat="false" ht="15" hidden="false" customHeight="false" outlineLevel="0" collapsed="false">
      <c r="A3088" s="0" t="str">
        <f aca="false">IF('הדבקת לידים'!A3088="","",IF(ISNUMBER('הדבקת לידים'!A3088),IF(הגדרות!$E$2&gt;0,TEXT('הדבקת לידים'!A3088,REPT("0",הגדרות!$E$2)),TEXT('הדבקת לידים'!A3088,"0")),TRIM('הדבקת לידים'!A3088)))</f>
        <v/>
      </c>
      <c r="B3088" s="0" t="str">
        <f aca="false">IF('הדבקת לידים'!B3088="","",IF(ISNUMBER('הדבקת לידים'!B3088),IF(הגדרות!$E$3&gt;0,TEXT('הדבקת לידים'!B3088,REPT("0",הגדרות!$E$3)),TEXT('הדבקת לידים'!B3088,"0")),TRIM('הדבקת לידים'!B3088)))</f>
        <v/>
      </c>
      <c r="C3088" s="0" t="n">
        <f aca="false">IF(OR(A3088&lt;&gt;"",B3088&lt;&gt;""),1,0)</f>
        <v>0</v>
      </c>
      <c r="D3088" s="0" t="str">
        <f aca="false">IF(C3088=1,MOD(ABS(SIN(ROW()*12.9898+'הדבקת לידים'!$F$2*78.233+IFERROR(--RIGHT(A3088,6),LEN(A3088))*0.0137+IFERROR(--RIGHT(B3088,6),LEN(B3088))*0.0071))*43758.5453,1),"")</f>
        <v/>
      </c>
      <c r="E3088" s="0" t="str">
        <f aca="false">IF(C3088=1,INT(MOD(ABS(SIN(D3088*7919.123+ROW()*0.618+'הדבקת לידים'!$F$2*1.3))*43758.5453,1)*1000000)*10000+ROW(),"")</f>
        <v/>
      </c>
      <c r="F3088" s="0" t="str">
        <f aca="false">IF(E3088="","",RANK(E3088,$E$2:$E$5001,1))</f>
        <v/>
      </c>
      <c r="G3088" s="0" t="n">
        <f aca="false">IF(A3088="",0,IF(SUMPRODUCT(--($A$2:$A$5001=A3088))&gt;1,1,0))</f>
        <v>0</v>
      </c>
      <c r="H3088" s="0" t="n">
        <f aca="false">ROW()-1</f>
        <v>3087</v>
      </c>
      <c r="I3088" s="0" t="str">
        <f aca="false">IF(OR(הגדרות!$E$6=0,H3088&gt;הגדרות!$E$5),"",IF(H3088-1&lt;הגדרות!$E$8*(הגדרות!$E$7+1),INT((H3088-1)/(הגדרות!$E$7+1)),הגדרות!$E$8+INT((H3088-1-הגדרות!$E$8*(הגדרות!$E$7+1))/הגדרות!$E$7)))</f>
        <v/>
      </c>
      <c r="J3088" s="0" t="str">
        <f aca="false">IF(I3088="","",IF(H3088-1&lt;הגדרות!$E$8*(הגדרות!$E$7+1),MOD(H3088-1,הגדרות!$E$7+1),MOD(H3088-1-הגדרות!$E$8*(הגדרות!$E$7+1),הגדרות!$E$7)))</f>
        <v/>
      </c>
      <c r="K3088" s="0" t="str">
        <f aca="false">IF(I3088="","",J3088*הגדרות!$E$6+I3088+1)</f>
        <v/>
      </c>
      <c r="L3088" s="0" t="str">
        <f aca="false">IF(K3088="","",MATCH(K3088,$F$2:$F$5001,0))</f>
        <v/>
      </c>
      <c r="M3088" s="0" t="str">
        <f aca="false">IF(I3088="","",INDEX(הגדרות!$A$2:$A$21,MOD(I3088+הגדרות!$E$9,הגדרות!$E$6)+1))</f>
        <v/>
      </c>
    </row>
    <row r="3089" customFormat="false" ht="15" hidden="false" customHeight="false" outlineLevel="0" collapsed="false">
      <c r="A3089" s="0" t="str">
        <f aca="false">IF('הדבקת לידים'!A3089="","",IF(ISNUMBER('הדבקת לידים'!A3089),IF(הגדרות!$E$2&gt;0,TEXT('הדבקת לידים'!A3089,REPT("0",הגדרות!$E$2)),TEXT('הדבקת לידים'!A3089,"0")),TRIM('הדבקת לידים'!A3089)))</f>
        <v/>
      </c>
      <c r="B3089" s="0" t="str">
        <f aca="false">IF('הדבקת לידים'!B3089="","",IF(ISNUMBER('הדבקת לידים'!B3089),IF(הגדרות!$E$3&gt;0,TEXT('הדבקת לידים'!B3089,REPT("0",הגדרות!$E$3)),TEXT('הדבקת לידים'!B3089,"0")),TRIM('הדבקת לידים'!B3089)))</f>
        <v/>
      </c>
      <c r="C3089" s="0" t="n">
        <f aca="false">IF(OR(A3089&lt;&gt;"",B3089&lt;&gt;""),1,0)</f>
        <v>0</v>
      </c>
      <c r="D3089" s="0" t="str">
        <f aca="false">IF(C3089=1,MOD(ABS(SIN(ROW()*12.9898+'הדבקת לידים'!$F$2*78.233+IFERROR(--RIGHT(A3089,6),LEN(A3089))*0.0137+IFERROR(--RIGHT(B3089,6),LEN(B3089))*0.0071))*43758.5453,1),"")</f>
        <v/>
      </c>
      <c r="E3089" s="0" t="str">
        <f aca="false">IF(C3089=1,INT(MOD(ABS(SIN(D3089*7919.123+ROW()*0.618+'הדבקת לידים'!$F$2*1.3))*43758.5453,1)*1000000)*10000+ROW(),"")</f>
        <v/>
      </c>
      <c r="F3089" s="0" t="str">
        <f aca="false">IF(E3089="","",RANK(E3089,$E$2:$E$5001,1))</f>
        <v/>
      </c>
      <c r="G3089" s="0" t="n">
        <f aca="false">IF(A3089="",0,IF(SUMPRODUCT(--($A$2:$A$5001=A3089))&gt;1,1,0))</f>
        <v>0</v>
      </c>
      <c r="H3089" s="0" t="n">
        <f aca="false">ROW()-1</f>
        <v>3088</v>
      </c>
      <c r="I3089" s="0" t="str">
        <f aca="false">IF(OR(הגדרות!$E$6=0,H3089&gt;הגדרות!$E$5),"",IF(H3089-1&lt;הגדרות!$E$8*(הגדרות!$E$7+1),INT((H3089-1)/(הגדרות!$E$7+1)),הגדרות!$E$8+INT((H3089-1-הגדרות!$E$8*(הגדרות!$E$7+1))/הגדרות!$E$7)))</f>
        <v/>
      </c>
      <c r="J3089" s="0" t="str">
        <f aca="false">IF(I3089="","",IF(H3089-1&lt;הגדרות!$E$8*(הגדרות!$E$7+1),MOD(H3089-1,הגדרות!$E$7+1),MOD(H3089-1-הגדרות!$E$8*(הגדרות!$E$7+1),הגדרות!$E$7)))</f>
        <v/>
      </c>
      <c r="K3089" s="0" t="str">
        <f aca="false">IF(I3089="","",J3089*הגדרות!$E$6+I3089+1)</f>
        <v/>
      </c>
      <c r="L3089" s="0" t="str">
        <f aca="false">IF(K3089="","",MATCH(K3089,$F$2:$F$5001,0))</f>
        <v/>
      </c>
      <c r="M3089" s="0" t="str">
        <f aca="false">IF(I3089="","",INDEX(הגדרות!$A$2:$A$21,MOD(I3089+הגדרות!$E$9,הגדרות!$E$6)+1))</f>
        <v/>
      </c>
    </row>
    <row r="3090" customFormat="false" ht="15" hidden="false" customHeight="false" outlineLevel="0" collapsed="false">
      <c r="A3090" s="0" t="str">
        <f aca="false">IF('הדבקת לידים'!A3090="","",IF(ISNUMBER('הדבקת לידים'!A3090),IF(הגדרות!$E$2&gt;0,TEXT('הדבקת לידים'!A3090,REPT("0",הגדרות!$E$2)),TEXT('הדבקת לידים'!A3090,"0")),TRIM('הדבקת לידים'!A3090)))</f>
        <v/>
      </c>
      <c r="B3090" s="0" t="str">
        <f aca="false">IF('הדבקת לידים'!B3090="","",IF(ISNUMBER('הדבקת לידים'!B3090),IF(הגדרות!$E$3&gt;0,TEXT('הדבקת לידים'!B3090,REPT("0",הגדרות!$E$3)),TEXT('הדבקת לידים'!B3090,"0")),TRIM('הדבקת לידים'!B3090)))</f>
        <v/>
      </c>
      <c r="C3090" s="0" t="n">
        <f aca="false">IF(OR(A3090&lt;&gt;"",B3090&lt;&gt;""),1,0)</f>
        <v>0</v>
      </c>
      <c r="D3090" s="0" t="str">
        <f aca="false">IF(C3090=1,MOD(ABS(SIN(ROW()*12.9898+'הדבקת לידים'!$F$2*78.233+IFERROR(--RIGHT(A3090,6),LEN(A3090))*0.0137+IFERROR(--RIGHT(B3090,6),LEN(B3090))*0.0071))*43758.5453,1),"")</f>
        <v/>
      </c>
      <c r="E3090" s="0" t="str">
        <f aca="false">IF(C3090=1,INT(MOD(ABS(SIN(D3090*7919.123+ROW()*0.618+'הדבקת לידים'!$F$2*1.3))*43758.5453,1)*1000000)*10000+ROW(),"")</f>
        <v/>
      </c>
      <c r="F3090" s="0" t="str">
        <f aca="false">IF(E3090="","",RANK(E3090,$E$2:$E$5001,1))</f>
        <v/>
      </c>
      <c r="G3090" s="0" t="n">
        <f aca="false">IF(A3090="",0,IF(SUMPRODUCT(--($A$2:$A$5001=A3090))&gt;1,1,0))</f>
        <v>0</v>
      </c>
      <c r="H3090" s="0" t="n">
        <f aca="false">ROW()-1</f>
        <v>3089</v>
      </c>
      <c r="I3090" s="0" t="str">
        <f aca="false">IF(OR(הגדרות!$E$6=0,H3090&gt;הגדרות!$E$5),"",IF(H3090-1&lt;הגדרות!$E$8*(הגדרות!$E$7+1),INT((H3090-1)/(הגדרות!$E$7+1)),הגדרות!$E$8+INT((H3090-1-הגדרות!$E$8*(הגדרות!$E$7+1))/הגדרות!$E$7)))</f>
        <v/>
      </c>
      <c r="J3090" s="0" t="str">
        <f aca="false">IF(I3090="","",IF(H3090-1&lt;הגדרות!$E$8*(הגדרות!$E$7+1),MOD(H3090-1,הגדרות!$E$7+1),MOD(H3090-1-הגדרות!$E$8*(הגדרות!$E$7+1),הגדרות!$E$7)))</f>
        <v/>
      </c>
      <c r="K3090" s="0" t="str">
        <f aca="false">IF(I3090="","",J3090*הגדרות!$E$6+I3090+1)</f>
        <v/>
      </c>
      <c r="L3090" s="0" t="str">
        <f aca="false">IF(K3090="","",MATCH(K3090,$F$2:$F$5001,0))</f>
        <v/>
      </c>
      <c r="M3090" s="0" t="str">
        <f aca="false">IF(I3090="","",INDEX(הגדרות!$A$2:$A$21,MOD(I3090+הגדרות!$E$9,הגדרות!$E$6)+1))</f>
        <v/>
      </c>
    </row>
    <row r="3091" customFormat="false" ht="15" hidden="false" customHeight="false" outlineLevel="0" collapsed="false">
      <c r="A3091" s="0" t="str">
        <f aca="false">IF('הדבקת לידים'!A3091="","",IF(ISNUMBER('הדבקת לידים'!A3091),IF(הגדרות!$E$2&gt;0,TEXT('הדבקת לידים'!A3091,REPT("0",הגדרות!$E$2)),TEXT('הדבקת לידים'!A3091,"0")),TRIM('הדבקת לידים'!A3091)))</f>
        <v/>
      </c>
      <c r="B3091" s="0" t="str">
        <f aca="false">IF('הדבקת לידים'!B3091="","",IF(ISNUMBER('הדבקת לידים'!B3091),IF(הגדרות!$E$3&gt;0,TEXT('הדבקת לידים'!B3091,REPT("0",הגדרות!$E$3)),TEXT('הדבקת לידים'!B3091,"0")),TRIM('הדבקת לידים'!B3091)))</f>
        <v/>
      </c>
      <c r="C3091" s="0" t="n">
        <f aca="false">IF(OR(A3091&lt;&gt;"",B3091&lt;&gt;""),1,0)</f>
        <v>0</v>
      </c>
      <c r="D3091" s="0" t="str">
        <f aca="false">IF(C3091=1,MOD(ABS(SIN(ROW()*12.9898+'הדבקת לידים'!$F$2*78.233+IFERROR(--RIGHT(A3091,6),LEN(A3091))*0.0137+IFERROR(--RIGHT(B3091,6),LEN(B3091))*0.0071))*43758.5453,1),"")</f>
        <v/>
      </c>
      <c r="E3091" s="0" t="str">
        <f aca="false">IF(C3091=1,INT(MOD(ABS(SIN(D3091*7919.123+ROW()*0.618+'הדבקת לידים'!$F$2*1.3))*43758.5453,1)*1000000)*10000+ROW(),"")</f>
        <v/>
      </c>
      <c r="F3091" s="0" t="str">
        <f aca="false">IF(E3091="","",RANK(E3091,$E$2:$E$5001,1))</f>
        <v/>
      </c>
      <c r="G3091" s="0" t="n">
        <f aca="false">IF(A3091="",0,IF(SUMPRODUCT(--($A$2:$A$5001=A3091))&gt;1,1,0))</f>
        <v>0</v>
      </c>
      <c r="H3091" s="0" t="n">
        <f aca="false">ROW()-1</f>
        <v>3090</v>
      </c>
      <c r="I3091" s="0" t="str">
        <f aca="false">IF(OR(הגדרות!$E$6=0,H3091&gt;הגדרות!$E$5),"",IF(H3091-1&lt;הגדרות!$E$8*(הגדרות!$E$7+1),INT((H3091-1)/(הגדרות!$E$7+1)),הגדרות!$E$8+INT((H3091-1-הגדרות!$E$8*(הגדרות!$E$7+1))/הגדרות!$E$7)))</f>
        <v/>
      </c>
      <c r="J3091" s="0" t="str">
        <f aca="false">IF(I3091="","",IF(H3091-1&lt;הגדרות!$E$8*(הגדרות!$E$7+1),MOD(H3091-1,הגדרות!$E$7+1),MOD(H3091-1-הגדרות!$E$8*(הגדרות!$E$7+1),הגדרות!$E$7)))</f>
        <v/>
      </c>
      <c r="K3091" s="0" t="str">
        <f aca="false">IF(I3091="","",J3091*הגדרות!$E$6+I3091+1)</f>
        <v/>
      </c>
      <c r="L3091" s="0" t="str">
        <f aca="false">IF(K3091="","",MATCH(K3091,$F$2:$F$5001,0))</f>
        <v/>
      </c>
      <c r="M3091" s="0" t="str">
        <f aca="false">IF(I3091="","",INDEX(הגדרות!$A$2:$A$21,MOD(I3091+הגדרות!$E$9,הגדרות!$E$6)+1))</f>
        <v/>
      </c>
    </row>
    <row r="3092" customFormat="false" ht="15" hidden="false" customHeight="false" outlineLevel="0" collapsed="false">
      <c r="A3092" s="0" t="str">
        <f aca="false">IF('הדבקת לידים'!A3092="","",IF(ISNUMBER('הדבקת לידים'!A3092),IF(הגדרות!$E$2&gt;0,TEXT('הדבקת לידים'!A3092,REPT("0",הגדרות!$E$2)),TEXT('הדבקת לידים'!A3092,"0")),TRIM('הדבקת לידים'!A3092)))</f>
        <v/>
      </c>
      <c r="B3092" s="0" t="str">
        <f aca="false">IF('הדבקת לידים'!B3092="","",IF(ISNUMBER('הדבקת לידים'!B3092),IF(הגדרות!$E$3&gt;0,TEXT('הדבקת לידים'!B3092,REPT("0",הגדרות!$E$3)),TEXT('הדבקת לידים'!B3092,"0")),TRIM('הדבקת לידים'!B3092)))</f>
        <v/>
      </c>
      <c r="C3092" s="0" t="n">
        <f aca="false">IF(OR(A3092&lt;&gt;"",B3092&lt;&gt;""),1,0)</f>
        <v>0</v>
      </c>
      <c r="D3092" s="0" t="str">
        <f aca="false">IF(C3092=1,MOD(ABS(SIN(ROW()*12.9898+'הדבקת לידים'!$F$2*78.233+IFERROR(--RIGHT(A3092,6),LEN(A3092))*0.0137+IFERROR(--RIGHT(B3092,6),LEN(B3092))*0.0071))*43758.5453,1),"")</f>
        <v/>
      </c>
      <c r="E3092" s="0" t="str">
        <f aca="false">IF(C3092=1,INT(MOD(ABS(SIN(D3092*7919.123+ROW()*0.618+'הדבקת לידים'!$F$2*1.3))*43758.5453,1)*1000000)*10000+ROW(),"")</f>
        <v/>
      </c>
      <c r="F3092" s="0" t="str">
        <f aca="false">IF(E3092="","",RANK(E3092,$E$2:$E$5001,1))</f>
        <v/>
      </c>
      <c r="G3092" s="0" t="n">
        <f aca="false">IF(A3092="",0,IF(SUMPRODUCT(--($A$2:$A$5001=A3092))&gt;1,1,0))</f>
        <v>0</v>
      </c>
      <c r="H3092" s="0" t="n">
        <f aca="false">ROW()-1</f>
        <v>3091</v>
      </c>
      <c r="I3092" s="0" t="str">
        <f aca="false">IF(OR(הגדרות!$E$6=0,H3092&gt;הגדרות!$E$5),"",IF(H3092-1&lt;הגדרות!$E$8*(הגדרות!$E$7+1),INT((H3092-1)/(הגדרות!$E$7+1)),הגדרות!$E$8+INT((H3092-1-הגדרות!$E$8*(הגדרות!$E$7+1))/הגדרות!$E$7)))</f>
        <v/>
      </c>
      <c r="J3092" s="0" t="str">
        <f aca="false">IF(I3092="","",IF(H3092-1&lt;הגדרות!$E$8*(הגדרות!$E$7+1),MOD(H3092-1,הגדרות!$E$7+1),MOD(H3092-1-הגדרות!$E$8*(הגדרות!$E$7+1),הגדרות!$E$7)))</f>
        <v/>
      </c>
      <c r="K3092" s="0" t="str">
        <f aca="false">IF(I3092="","",J3092*הגדרות!$E$6+I3092+1)</f>
        <v/>
      </c>
      <c r="L3092" s="0" t="str">
        <f aca="false">IF(K3092="","",MATCH(K3092,$F$2:$F$5001,0))</f>
        <v/>
      </c>
      <c r="M3092" s="0" t="str">
        <f aca="false">IF(I3092="","",INDEX(הגדרות!$A$2:$A$21,MOD(I3092+הגדרות!$E$9,הגדרות!$E$6)+1))</f>
        <v/>
      </c>
    </row>
    <row r="3093" customFormat="false" ht="15" hidden="false" customHeight="false" outlineLevel="0" collapsed="false">
      <c r="A3093" s="0" t="str">
        <f aca="false">IF('הדבקת לידים'!A3093="","",IF(ISNUMBER('הדבקת לידים'!A3093),IF(הגדרות!$E$2&gt;0,TEXT('הדבקת לידים'!A3093,REPT("0",הגדרות!$E$2)),TEXT('הדבקת לידים'!A3093,"0")),TRIM('הדבקת לידים'!A3093)))</f>
        <v/>
      </c>
      <c r="B3093" s="0" t="str">
        <f aca="false">IF('הדבקת לידים'!B3093="","",IF(ISNUMBER('הדבקת לידים'!B3093),IF(הגדרות!$E$3&gt;0,TEXT('הדבקת לידים'!B3093,REPT("0",הגדרות!$E$3)),TEXT('הדבקת לידים'!B3093,"0")),TRIM('הדבקת לידים'!B3093)))</f>
        <v/>
      </c>
      <c r="C3093" s="0" t="n">
        <f aca="false">IF(OR(A3093&lt;&gt;"",B3093&lt;&gt;""),1,0)</f>
        <v>0</v>
      </c>
      <c r="D3093" s="0" t="str">
        <f aca="false">IF(C3093=1,MOD(ABS(SIN(ROW()*12.9898+'הדבקת לידים'!$F$2*78.233+IFERROR(--RIGHT(A3093,6),LEN(A3093))*0.0137+IFERROR(--RIGHT(B3093,6),LEN(B3093))*0.0071))*43758.5453,1),"")</f>
        <v/>
      </c>
      <c r="E3093" s="0" t="str">
        <f aca="false">IF(C3093=1,INT(MOD(ABS(SIN(D3093*7919.123+ROW()*0.618+'הדבקת לידים'!$F$2*1.3))*43758.5453,1)*1000000)*10000+ROW(),"")</f>
        <v/>
      </c>
      <c r="F3093" s="0" t="str">
        <f aca="false">IF(E3093="","",RANK(E3093,$E$2:$E$5001,1))</f>
        <v/>
      </c>
      <c r="G3093" s="0" t="n">
        <f aca="false">IF(A3093="",0,IF(SUMPRODUCT(--($A$2:$A$5001=A3093))&gt;1,1,0))</f>
        <v>0</v>
      </c>
      <c r="H3093" s="0" t="n">
        <f aca="false">ROW()-1</f>
        <v>3092</v>
      </c>
      <c r="I3093" s="0" t="str">
        <f aca="false">IF(OR(הגדרות!$E$6=0,H3093&gt;הגדרות!$E$5),"",IF(H3093-1&lt;הגדרות!$E$8*(הגדרות!$E$7+1),INT((H3093-1)/(הגדרות!$E$7+1)),הגדרות!$E$8+INT((H3093-1-הגדרות!$E$8*(הגדרות!$E$7+1))/הגדרות!$E$7)))</f>
        <v/>
      </c>
      <c r="J3093" s="0" t="str">
        <f aca="false">IF(I3093="","",IF(H3093-1&lt;הגדרות!$E$8*(הגדרות!$E$7+1),MOD(H3093-1,הגדרות!$E$7+1),MOD(H3093-1-הגדרות!$E$8*(הגדרות!$E$7+1),הגדרות!$E$7)))</f>
        <v/>
      </c>
      <c r="K3093" s="0" t="str">
        <f aca="false">IF(I3093="","",J3093*הגדרות!$E$6+I3093+1)</f>
        <v/>
      </c>
      <c r="L3093" s="0" t="str">
        <f aca="false">IF(K3093="","",MATCH(K3093,$F$2:$F$5001,0))</f>
        <v/>
      </c>
      <c r="M3093" s="0" t="str">
        <f aca="false">IF(I3093="","",INDEX(הגדרות!$A$2:$A$21,MOD(I3093+הגדרות!$E$9,הגדרות!$E$6)+1))</f>
        <v/>
      </c>
    </row>
    <row r="3094" customFormat="false" ht="15" hidden="false" customHeight="false" outlineLevel="0" collapsed="false">
      <c r="A3094" s="0" t="str">
        <f aca="false">IF('הדבקת לידים'!A3094="","",IF(ISNUMBER('הדבקת לידים'!A3094),IF(הגדרות!$E$2&gt;0,TEXT('הדבקת לידים'!A3094,REPT("0",הגדרות!$E$2)),TEXT('הדבקת לידים'!A3094,"0")),TRIM('הדבקת לידים'!A3094)))</f>
        <v/>
      </c>
      <c r="B3094" s="0" t="str">
        <f aca="false">IF('הדבקת לידים'!B3094="","",IF(ISNUMBER('הדבקת לידים'!B3094),IF(הגדרות!$E$3&gt;0,TEXT('הדבקת לידים'!B3094,REPT("0",הגדרות!$E$3)),TEXT('הדבקת לידים'!B3094,"0")),TRIM('הדבקת לידים'!B3094)))</f>
        <v/>
      </c>
      <c r="C3094" s="0" t="n">
        <f aca="false">IF(OR(A3094&lt;&gt;"",B3094&lt;&gt;""),1,0)</f>
        <v>0</v>
      </c>
      <c r="D3094" s="0" t="str">
        <f aca="false">IF(C3094=1,MOD(ABS(SIN(ROW()*12.9898+'הדבקת לידים'!$F$2*78.233+IFERROR(--RIGHT(A3094,6),LEN(A3094))*0.0137+IFERROR(--RIGHT(B3094,6),LEN(B3094))*0.0071))*43758.5453,1),"")</f>
        <v/>
      </c>
      <c r="E3094" s="0" t="str">
        <f aca="false">IF(C3094=1,INT(MOD(ABS(SIN(D3094*7919.123+ROW()*0.618+'הדבקת לידים'!$F$2*1.3))*43758.5453,1)*1000000)*10000+ROW(),"")</f>
        <v/>
      </c>
      <c r="F3094" s="0" t="str">
        <f aca="false">IF(E3094="","",RANK(E3094,$E$2:$E$5001,1))</f>
        <v/>
      </c>
      <c r="G3094" s="0" t="n">
        <f aca="false">IF(A3094="",0,IF(SUMPRODUCT(--($A$2:$A$5001=A3094))&gt;1,1,0))</f>
        <v>0</v>
      </c>
      <c r="H3094" s="0" t="n">
        <f aca="false">ROW()-1</f>
        <v>3093</v>
      </c>
      <c r="I3094" s="0" t="str">
        <f aca="false">IF(OR(הגדרות!$E$6=0,H3094&gt;הגדרות!$E$5),"",IF(H3094-1&lt;הגדרות!$E$8*(הגדרות!$E$7+1),INT((H3094-1)/(הגדרות!$E$7+1)),הגדרות!$E$8+INT((H3094-1-הגדרות!$E$8*(הגדרות!$E$7+1))/הגדרות!$E$7)))</f>
        <v/>
      </c>
      <c r="J3094" s="0" t="str">
        <f aca="false">IF(I3094="","",IF(H3094-1&lt;הגדרות!$E$8*(הגדרות!$E$7+1),MOD(H3094-1,הגדרות!$E$7+1),MOD(H3094-1-הגדרות!$E$8*(הגדרות!$E$7+1),הגדרות!$E$7)))</f>
        <v/>
      </c>
      <c r="K3094" s="0" t="str">
        <f aca="false">IF(I3094="","",J3094*הגדרות!$E$6+I3094+1)</f>
        <v/>
      </c>
      <c r="L3094" s="0" t="str">
        <f aca="false">IF(K3094="","",MATCH(K3094,$F$2:$F$5001,0))</f>
        <v/>
      </c>
      <c r="M3094" s="0" t="str">
        <f aca="false">IF(I3094="","",INDEX(הגדרות!$A$2:$A$21,MOD(I3094+הגדרות!$E$9,הגדרות!$E$6)+1))</f>
        <v/>
      </c>
    </row>
    <row r="3095" customFormat="false" ht="15" hidden="false" customHeight="false" outlineLevel="0" collapsed="false">
      <c r="A3095" s="0" t="str">
        <f aca="false">IF('הדבקת לידים'!A3095="","",IF(ISNUMBER('הדבקת לידים'!A3095),IF(הגדרות!$E$2&gt;0,TEXT('הדבקת לידים'!A3095,REPT("0",הגדרות!$E$2)),TEXT('הדבקת לידים'!A3095,"0")),TRIM('הדבקת לידים'!A3095)))</f>
        <v/>
      </c>
      <c r="B3095" s="0" t="str">
        <f aca="false">IF('הדבקת לידים'!B3095="","",IF(ISNUMBER('הדבקת לידים'!B3095),IF(הגדרות!$E$3&gt;0,TEXT('הדבקת לידים'!B3095,REPT("0",הגדרות!$E$3)),TEXT('הדבקת לידים'!B3095,"0")),TRIM('הדבקת לידים'!B3095)))</f>
        <v/>
      </c>
      <c r="C3095" s="0" t="n">
        <f aca="false">IF(OR(A3095&lt;&gt;"",B3095&lt;&gt;""),1,0)</f>
        <v>0</v>
      </c>
      <c r="D3095" s="0" t="str">
        <f aca="false">IF(C3095=1,MOD(ABS(SIN(ROW()*12.9898+'הדבקת לידים'!$F$2*78.233+IFERROR(--RIGHT(A3095,6),LEN(A3095))*0.0137+IFERROR(--RIGHT(B3095,6),LEN(B3095))*0.0071))*43758.5453,1),"")</f>
        <v/>
      </c>
      <c r="E3095" s="0" t="str">
        <f aca="false">IF(C3095=1,INT(MOD(ABS(SIN(D3095*7919.123+ROW()*0.618+'הדבקת לידים'!$F$2*1.3))*43758.5453,1)*1000000)*10000+ROW(),"")</f>
        <v/>
      </c>
      <c r="F3095" s="0" t="str">
        <f aca="false">IF(E3095="","",RANK(E3095,$E$2:$E$5001,1))</f>
        <v/>
      </c>
      <c r="G3095" s="0" t="n">
        <f aca="false">IF(A3095="",0,IF(SUMPRODUCT(--($A$2:$A$5001=A3095))&gt;1,1,0))</f>
        <v>0</v>
      </c>
      <c r="H3095" s="0" t="n">
        <f aca="false">ROW()-1</f>
        <v>3094</v>
      </c>
      <c r="I3095" s="0" t="str">
        <f aca="false">IF(OR(הגדרות!$E$6=0,H3095&gt;הגדרות!$E$5),"",IF(H3095-1&lt;הגדרות!$E$8*(הגדרות!$E$7+1),INT((H3095-1)/(הגדרות!$E$7+1)),הגדרות!$E$8+INT((H3095-1-הגדרות!$E$8*(הגדרות!$E$7+1))/הגדרות!$E$7)))</f>
        <v/>
      </c>
      <c r="J3095" s="0" t="str">
        <f aca="false">IF(I3095="","",IF(H3095-1&lt;הגדרות!$E$8*(הגדרות!$E$7+1),MOD(H3095-1,הגדרות!$E$7+1),MOD(H3095-1-הגדרות!$E$8*(הגדרות!$E$7+1),הגדרות!$E$7)))</f>
        <v/>
      </c>
      <c r="K3095" s="0" t="str">
        <f aca="false">IF(I3095="","",J3095*הגדרות!$E$6+I3095+1)</f>
        <v/>
      </c>
      <c r="L3095" s="0" t="str">
        <f aca="false">IF(K3095="","",MATCH(K3095,$F$2:$F$5001,0))</f>
        <v/>
      </c>
      <c r="M3095" s="0" t="str">
        <f aca="false">IF(I3095="","",INDEX(הגדרות!$A$2:$A$21,MOD(I3095+הגדרות!$E$9,הגדרות!$E$6)+1))</f>
        <v/>
      </c>
    </row>
    <row r="3096" customFormat="false" ht="15" hidden="false" customHeight="false" outlineLevel="0" collapsed="false">
      <c r="A3096" s="0" t="str">
        <f aca="false">IF('הדבקת לידים'!A3096="","",IF(ISNUMBER('הדבקת לידים'!A3096),IF(הגדרות!$E$2&gt;0,TEXT('הדבקת לידים'!A3096,REPT("0",הגדרות!$E$2)),TEXT('הדבקת לידים'!A3096,"0")),TRIM('הדבקת לידים'!A3096)))</f>
        <v/>
      </c>
      <c r="B3096" s="0" t="str">
        <f aca="false">IF('הדבקת לידים'!B3096="","",IF(ISNUMBER('הדבקת לידים'!B3096),IF(הגדרות!$E$3&gt;0,TEXT('הדבקת לידים'!B3096,REPT("0",הגדרות!$E$3)),TEXT('הדבקת לידים'!B3096,"0")),TRIM('הדבקת לידים'!B3096)))</f>
        <v/>
      </c>
      <c r="C3096" s="0" t="n">
        <f aca="false">IF(OR(A3096&lt;&gt;"",B3096&lt;&gt;""),1,0)</f>
        <v>0</v>
      </c>
      <c r="D3096" s="0" t="str">
        <f aca="false">IF(C3096=1,MOD(ABS(SIN(ROW()*12.9898+'הדבקת לידים'!$F$2*78.233+IFERROR(--RIGHT(A3096,6),LEN(A3096))*0.0137+IFERROR(--RIGHT(B3096,6),LEN(B3096))*0.0071))*43758.5453,1),"")</f>
        <v/>
      </c>
      <c r="E3096" s="0" t="str">
        <f aca="false">IF(C3096=1,INT(MOD(ABS(SIN(D3096*7919.123+ROW()*0.618+'הדבקת לידים'!$F$2*1.3))*43758.5453,1)*1000000)*10000+ROW(),"")</f>
        <v/>
      </c>
      <c r="F3096" s="0" t="str">
        <f aca="false">IF(E3096="","",RANK(E3096,$E$2:$E$5001,1))</f>
        <v/>
      </c>
      <c r="G3096" s="0" t="n">
        <f aca="false">IF(A3096="",0,IF(SUMPRODUCT(--($A$2:$A$5001=A3096))&gt;1,1,0))</f>
        <v>0</v>
      </c>
      <c r="H3096" s="0" t="n">
        <f aca="false">ROW()-1</f>
        <v>3095</v>
      </c>
      <c r="I3096" s="0" t="str">
        <f aca="false">IF(OR(הגדרות!$E$6=0,H3096&gt;הגדרות!$E$5),"",IF(H3096-1&lt;הגדרות!$E$8*(הגדרות!$E$7+1),INT((H3096-1)/(הגדרות!$E$7+1)),הגדרות!$E$8+INT((H3096-1-הגדרות!$E$8*(הגדרות!$E$7+1))/הגדרות!$E$7)))</f>
        <v/>
      </c>
      <c r="J3096" s="0" t="str">
        <f aca="false">IF(I3096="","",IF(H3096-1&lt;הגדרות!$E$8*(הגדרות!$E$7+1),MOD(H3096-1,הגדרות!$E$7+1),MOD(H3096-1-הגדרות!$E$8*(הגדרות!$E$7+1),הגדרות!$E$7)))</f>
        <v/>
      </c>
      <c r="K3096" s="0" t="str">
        <f aca="false">IF(I3096="","",J3096*הגדרות!$E$6+I3096+1)</f>
        <v/>
      </c>
      <c r="L3096" s="0" t="str">
        <f aca="false">IF(K3096="","",MATCH(K3096,$F$2:$F$5001,0))</f>
        <v/>
      </c>
      <c r="M3096" s="0" t="str">
        <f aca="false">IF(I3096="","",INDEX(הגדרות!$A$2:$A$21,MOD(I3096+הגדרות!$E$9,הגדרות!$E$6)+1))</f>
        <v/>
      </c>
    </row>
    <row r="3097" customFormat="false" ht="15" hidden="false" customHeight="false" outlineLevel="0" collapsed="false">
      <c r="A3097" s="0" t="str">
        <f aca="false">IF('הדבקת לידים'!A3097="","",IF(ISNUMBER('הדבקת לידים'!A3097),IF(הגדרות!$E$2&gt;0,TEXT('הדבקת לידים'!A3097,REPT("0",הגדרות!$E$2)),TEXT('הדבקת לידים'!A3097,"0")),TRIM('הדבקת לידים'!A3097)))</f>
        <v/>
      </c>
      <c r="B3097" s="0" t="str">
        <f aca="false">IF('הדבקת לידים'!B3097="","",IF(ISNUMBER('הדבקת לידים'!B3097),IF(הגדרות!$E$3&gt;0,TEXT('הדבקת לידים'!B3097,REPT("0",הגדרות!$E$3)),TEXT('הדבקת לידים'!B3097,"0")),TRIM('הדבקת לידים'!B3097)))</f>
        <v/>
      </c>
      <c r="C3097" s="0" t="n">
        <f aca="false">IF(OR(A3097&lt;&gt;"",B3097&lt;&gt;""),1,0)</f>
        <v>0</v>
      </c>
      <c r="D3097" s="0" t="str">
        <f aca="false">IF(C3097=1,MOD(ABS(SIN(ROW()*12.9898+'הדבקת לידים'!$F$2*78.233+IFERROR(--RIGHT(A3097,6),LEN(A3097))*0.0137+IFERROR(--RIGHT(B3097,6),LEN(B3097))*0.0071))*43758.5453,1),"")</f>
        <v/>
      </c>
      <c r="E3097" s="0" t="str">
        <f aca="false">IF(C3097=1,INT(MOD(ABS(SIN(D3097*7919.123+ROW()*0.618+'הדבקת לידים'!$F$2*1.3))*43758.5453,1)*1000000)*10000+ROW(),"")</f>
        <v/>
      </c>
      <c r="F3097" s="0" t="str">
        <f aca="false">IF(E3097="","",RANK(E3097,$E$2:$E$5001,1))</f>
        <v/>
      </c>
      <c r="G3097" s="0" t="n">
        <f aca="false">IF(A3097="",0,IF(SUMPRODUCT(--($A$2:$A$5001=A3097))&gt;1,1,0))</f>
        <v>0</v>
      </c>
      <c r="H3097" s="0" t="n">
        <f aca="false">ROW()-1</f>
        <v>3096</v>
      </c>
      <c r="I3097" s="0" t="str">
        <f aca="false">IF(OR(הגדרות!$E$6=0,H3097&gt;הגדרות!$E$5),"",IF(H3097-1&lt;הגדרות!$E$8*(הגדרות!$E$7+1),INT((H3097-1)/(הגדרות!$E$7+1)),הגדרות!$E$8+INT((H3097-1-הגדרות!$E$8*(הגדרות!$E$7+1))/הגדרות!$E$7)))</f>
        <v/>
      </c>
      <c r="J3097" s="0" t="str">
        <f aca="false">IF(I3097="","",IF(H3097-1&lt;הגדרות!$E$8*(הגדרות!$E$7+1),MOD(H3097-1,הגדרות!$E$7+1),MOD(H3097-1-הגדרות!$E$8*(הגדרות!$E$7+1),הגדרות!$E$7)))</f>
        <v/>
      </c>
      <c r="K3097" s="0" t="str">
        <f aca="false">IF(I3097="","",J3097*הגדרות!$E$6+I3097+1)</f>
        <v/>
      </c>
      <c r="L3097" s="0" t="str">
        <f aca="false">IF(K3097="","",MATCH(K3097,$F$2:$F$5001,0))</f>
        <v/>
      </c>
      <c r="M3097" s="0" t="str">
        <f aca="false">IF(I3097="","",INDEX(הגדרות!$A$2:$A$21,MOD(I3097+הגדרות!$E$9,הגדרות!$E$6)+1))</f>
        <v/>
      </c>
    </row>
    <row r="3098" customFormat="false" ht="15" hidden="false" customHeight="false" outlineLevel="0" collapsed="false">
      <c r="A3098" s="0" t="str">
        <f aca="false">IF('הדבקת לידים'!A3098="","",IF(ISNUMBER('הדבקת לידים'!A3098),IF(הגדרות!$E$2&gt;0,TEXT('הדבקת לידים'!A3098,REPT("0",הגדרות!$E$2)),TEXT('הדבקת לידים'!A3098,"0")),TRIM('הדבקת לידים'!A3098)))</f>
        <v/>
      </c>
      <c r="B3098" s="0" t="str">
        <f aca="false">IF('הדבקת לידים'!B3098="","",IF(ISNUMBER('הדבקת לידים'!B3098),IF(הגדרות!$E$3&gt;0,TEXT('הדבקת לידים'!B3098,REPT("0",הגדרות!$E$3)),TEXT('הדבקת לידים'!B3098,"0")),TRIM('הדבקת לידים'!B3098)))</f>
        <v/>
      </c>
      <c r="C3098" s="0" t="n">
        <f aca="false">IF(OR(A3098&lt;&gt;"",B3098&lt;&gt;""),1,0)</f>
        <v>0</v>
      </c>
      <c r="D3098" s="0" t="str">
        <f aca="false">IF(C3098=1,MOD(ABS(SIN(ROW()*12.9898+'הדבקת לידים'!$F$2*78.233+IFERROR(--RIGHT(A3098,6),LEN(A3098))*0.0137+IFERROR(--RIGHT(B3098,6),LEN(B3098))*0.0071))*43758.5453,1),"")</f>
        <v/>
      </c>
      <c r="E3098" s="0" t="str">
        <f aca="false">IF(C3098=1,INT(MOD(ABS(SIN(D3098*7919.123+ROW()*0.618+'הדבקת לידים'!$F$2*1.3))*43758.5453,1)*1000000)*10000+ROW(),"")</f>
        <v/>
      </c>
      <c r="F3098" s="0" t="str">
        <f aca="false">IF(E3098="","",RANK(E3098,$E$2:$E$5001,1))</f>
        <v/>
      </c>
      <c r="G3098" s="0" t="n">
        <f aca="false">IF(A3098="",0,IF(SUMPRODUCT(--($A$2:$A$5001=A3098))&gt;1,1,0))</f>
        <v>0</v>
      </c>
      <c r="H3098" s="0" t="n">
        <f aca="false">ROW()-1</f>
        <v>3097</v>
      </c>
      <c r="I3098" s="0" t="str">
        <f aca="false">IF(OR(הגדרות!$E$6=0,H3098&gt;הגדרות!$E$5),"",IF(H3098-1&lt;הגדרות!$E$8*(הגדרות!$E$7+1),INT((H3098-1)/(הגדרות!$E$7+1)),הגדרות!$E$8+INT((H3098-1-הגדרות!$E$8*(הגדרות!$E$7+1))/הגדרות!$E$7)))</f>
        <v/>
      </c>
      <c r="J3098" s="0" t="str">
        <f aca="false">IF(I3098="","",IF(H3098-1&lt;הגדרות!$E$8*(הגדרות!$E$7+1),MOD(H3098-1,הגדרות!$E$7+1),MOD(H3098-1-הגדרות!$E$8*(הגדרות!$E$7+1),הגדרות!$E$7)))</f>
        <v/>
      </c>
      <c r="K3098" s="0" t="str">
        <f aca="false">IF(I3098="","",J3098*הגדרות!$E$6+I3098+1)</f>
        <v/>
      </c>
      <c r="L3098" s="0" t="str">
        <f aca="false">IF(K3098="","",MATCH(K3098,$F$2:$F$5001,0))</f>
        <v/>
      </c>
      <c r="M3098" s="0" t="str">
        <f aca="false">IF(I3098="","",INDEX(הגדרות!$A$2:$A$21,MOD(I3098+הגדרות!$E$9,הגדרות!$E$6)+1))</f>
        <v/>
      </c>
    </row>
    <row r="3099" customFormat="false" ht="15" hidden="false" customHeight="false" outlineLevel="0" collapsed="false">
      <c r="A3099" s="0" t="str">
        <f aca="false">IF('הדבקת לידים'!A3099="","",IF(ISNUMBER('הדבקת לידים'!A3099),IF(הגדרות!$E$2&gt;0,TEXT('הדבקת לידים'!A3099,REPT("0",הגדרות!$E$2)),TEXT('הדבקת לידים'!A3099,"0")),TRIM('הדבקת לידים'!A3099)))</f>
        <v/>
      </c>
      <c r="B3099" s="0" t="str">
        <f aca="false">IF('הדבקת לידים'!B3099="","",IF(ISNUMBER('הדבקת לידים'!B3099),IF(הגדרות!$E$3&gt;0,TEXT('הדבקת לידים'!B3099,REPT("0",הגדרות!$E$3)),TEXT('הדבקת לידים'!B3099,"0")),TRIM('הדבקת לידים'!B3099)))</f>
        <v/>
      </c>
      <c r="C3099" s="0" t="n">
        <f aca="false">IF(OR(A3099&lt;&gt;"",B3099&lt;&gt;""),1,0)</f>
        <v>0</v>
      </c>
      <c r="D3099" s="0" t="str">
        <f aca="false">IF(C3099=1,MOD(ABS(SIN(ROW()*12.9898+'הדבקת לידים'!$F$2*78.233+IFERROR(--RIGHT(A3099,6),LEN(A3099))*0.0137+IFERROR(--RIGHT(B3099,6),LEN(B3099))*0.0071))*43758.5453,1),"")</f>
        <v/>
      </c>
      <c r="E3099" s="0" t="str">
        <f aca="false">IF(C3099=1,INT(MOD(ABS(SIN(D3099*7919.123+ROW()*0.618+'הדבקת לידים'!$F$2*1.3))*43758.5453,1)*1000000)*10000+ROW(),"")</f>
        <v/>
      </c>
      <c r="F3099" s="0" t="str">
        <f aca="false">IF(E3099="","",RANK(E3099,$E$2:$E$5001,1))</f>
        <v/>
      </c>
      <c r="G3099" s="0" t="n">
        <f aca="false">IF(A3099="",0,IF(SUMPRODUCT(--($A$2:$A$5001=A3099))&gt;1,1,0))</f>
        <v>0</v>
      </c>
      <c r="H3099" s="0" t="n">
        <f aca="false">ROW()-1</f>
        <v>3098</v>
      </c>
      <c r="I3099" s="0" t="str">
        <f aca="false">IF(OR(הגדרות!$E$6=0,H3099&gt;הגדרות!$E$5),"",IF(H3099-1&lt;הגדרות!$E$8*(הגדרות!$E$7+1),INT((H3099-1)/(הגדרות!$E$7+1)),הגדרות!$E$8+INT((H3099-1-הגדרות!$E$8*(הגדרות!$E$7+1))/הגדרות!$E$7)))</f>
        <v/>
      </c>
      <c r="J3099" s="0" t="str">
        <f aca="false">IF(I3099="","",IF(H3099-1&lt;הגדרות!$E$8*(הגדרות!$E$7+1),MOD(H3099-1,הגדרות!$E$7+1),MOD(H3099-1-הגדרות!$E$8*(הגדרות!$E$7+1),הגדרות!$E$7)))</f>
        <v/>
      </c>
      <c r="K3099" s="0" t="str">
        <f aca="false">IF(I3099="","",J3099*הגדרות!$E$6+I3099+1)</f>
        <v/>
      </c>
      <c r="L3099" s="0" t="str">
        <f aca="false">IF(K3099="","",MATCH(K3099,$F$2:$F$5001,0))</f>
        <v/>
      </c>
      <c r="M3099" s="0" t="str">
        <f aca="false">IF(I3099="","",INDEX(הגדרות!$A$2:$A$21,MOD(I3099+הגדרות!$E$9,הגדרות!$E$6)+1))</f>
        <v/>
      </c>
    </row>
    <row r="3100" customFormat="false" ht="15" hidden="false" customHeight="false" outlineLevel="0" collapsed="false">
      <c r="A3100" s="0" t="str">
        <f aca="false">IF('הדבקת לידים'!A3100="","",IF(ISNUMBER('הדבקת לידים'!A3100),IF(הגדרות!$E$2&gt;0,TEXT('הדבקת לידים'!A3100,REPT("0",הגדרות!$E$2)),TEXT('הדבקת לידים'!A3100,"0")),TRIM('הדבקת לידים'!A3100)))</f>
        <v/>
      </c>
      <c r="B3100" s="0" t="str">
        <f aca="false">IF('הדבקת לידים'!B3100="","",IF(ISNUMBER('הדבקת לידים'!B3100),IF(הגדרות!$E$3&gt;0,TEXT('הדבקת לידים'!B3100,REPT("0",הגדרות!$E$3)),TEXT('הדבקת לידים'!B3100,"0")),TRIM('הדבקת לידים'!B3100)))</f>
        <v/>
      </c>
      <c r="C3100" s="0" t="n">
        <f aca="false">IF(OR(A3100&lt;&gt;"",B3100&lt;&gt;""),1,0)</f>
        <v>0</v>
      </c>
      <c r="D3100" s="0" t="str">
        <f aca="false">IF(C3100=1,MOD(ABS(SIN(ROW()*12.9898+'הדבקת לידים'!$F$2*78.233+IFERROR(--RIGHT(A3100,6),LEN(A3100))*0.0137+IFERROR(--RIGHT(B3100,6),LEN(B3100))*0.0071))*43758.5453,1),"")</f>
        <v/>
      </c>
      <c r="E3100" s="0" t="str">
        <f aca="false">IF(C3100=1,INT(MOD(ABS(SIN(D3100*7919.123+ROW()*0.618+'הדבקת לידים'!$F$2*1.3))*43758.5453,1)*1000000)*10000+ROW(),"")</f>
        <v/>
      </c>
      <c r="F3100" s="0" t="str">
        <f aca="false">IF(E3100="","",RANK(E3100,$E$2:$E$5001,1))</f>
        <v/>
      </c>
      <c r="G3100" s="0" t="n">
        <f aca="false">IF(A3100="",0,IF(SUMPRODUCT(--($A$2:$A$5001=A3100))&gt;1,1,0))</f>
        <v>0</v>
      </c>
      <c r="H3100" s="0" t="n">
        <f aca="false">ROW()-1</f>
        <v>3099</v>
      </c>
      <c r="I3100" s="0" t="str">
        <f aca="false">IF(OR(הגדרות!$E$6=0,H3100&gt;הגדרות!$E$5),"",IF(H3100-1&lt;הגדרות!$E$8*(הגדרות!$E$7+1),INT((H3100-1)/(הגדרות!$E$7+1)),הגדרות!$E$8+INT((H3100-1-הגדרות!$E$8*(הגדרות!$E$7+1))/הגדרות!$E$7)))</f>
        <v/>
      </c>
      <c r="J3100" s="0" t="str">
        <f aca="false">IF(I3100="","",IF(H3100-1&lt;הגדרות!$E$8*(הגדרות!$E$7+1),MOD(H3100-1,הגדרות!$E$7+1),MOD(H3100-1-הגדרות!$E$8*(הגדרות!$E$7+1),הגדרות!$E$7)))</f>
        <v/>
      </c>
      <c r="K3100" s="0" t="str">
        <f aca="false">IF(I3100="","",J3100*הגדרות!$E$6+I3100+1)</f>
        <v/>
      </c>
      <c r="L3100" s="0" t="str">
        <f aca="false">IF(K3100="","",MATCH(K3100,$F$2:$F$5001,0))</f>
        <v/>
      </c>
      <c r="M3100" s="0" t="str">
        <f aca="false">IF(I3100="","",INDEX(הגדרות!$A$2:$A$21,MOD(I3100+הגדרות!$E$9,הגדרות!$E$6)+1))</f>
        <v/>
      </c>
    </row>
    <row r="3101" customFormat="false" ht="15" hidden="false" customHeight="false" outlineLevel="0" collapsed="false">
      <c r="A3101" s="0" t="str">
        <f aca="false">IF('הדבקת לידים'!A3101="","",IF(ISNUMBER('הדבקת לידים'!A3101),IF(הגדרות!$E$2&gt;0,TEXT('הדבקת לידים'!A3101,REPT("0",הגדרות!$E$2)),TEXT('הדבקת לידים'!A3101,"0")),TRIM('הדבקת לידים'!A3101)))</f>
        <v/>
      </c>
      <c r="B3101" s="0" t="str">
        <f aca="false">IF('הדבקת לידים'!B3101="","",IF(ISNUMBER('הדבקת לידים'!B3101),IF(הגדרות!$E$3&gt;0,TEXT('הדבקת לידים'!B3101,REPT("0",הגדרות!$E$3)),TEXT('הדבקת לידים'!B3101,"0")),TRIM('הדבקת לידים'!B3101)))</f>
        <v/>
      </c>
      <c r="C3101" s="0" t="n">
        <f aca="false">IF(OR(A3101&lt;&gt;"",B3101&lt;&gt;""),1,0)</f>
        <v>0</v>
      </c>
      <c r="D3101" s="0" t="str">
        <f aca="false">IF(C3101=1,MOD(ABS(SIN(ROW()*12.9898+'הדבקת לידים'!$F$2*78.233+IFERROR(--RIGHT(A3101,6),LEN(A3101))*0.0137+IFERROR(--RIGHT(B3101,6),LEN(B3101))*0.0071))*43758.5453,1),"")</f>
        <v/>
      </c>
      <c r="E3101" s="0" t="str">
        <f aca="false">IF(C3101=1,INT(MOD(ABS(SIN(D3101*7919.123+ROW()*0.618+'הדבקת לידים'!$F$2*1.3))*43758.5453,1)*1000000)*10000+ROW(),"")</f>
        <v/>
      </c>
      <c r="F3101" s="0" t="str">
        <f aca="false">IF(E3101="","",RANK(E3101,$E$2:$E$5001,1))</f>
        <v/>
      </c>
      <c r="G3101" s="0" t="n">
        <f aca="false">IF(A3101="",0,IF(SUMPRODUCT(--($A$2:$A$5001=A3101))&gt;1,1,0))</f>
        <v>0</v>
      </c>
      <c r="H3101" s="0" t="n">
        <f aca="false">ROW()-1</f>
        <v>3100</v>
      </c>
      <c r="I3101" s="0" t="str">
        <f aca="false">IF(OR(הגדרות!$E$6=0,H3101&gt;הגדרות!$E$5),"",IF(H3101-1&lt;הגדרות!$E$8*(הגדרות!$E$7+1),INT((H3101-1)/(הגדרות!$E$7+1)),הגדרות!$E$8+INT((H3101-1-הגדרות!$E$8*(הגדרות!$E$7+1))/הגדרות!$E$7)))</f>
        <v/>
      </c>
      <c r="J3101" s="0" t="str">
        <f aca="false">IF(I3101="","",IF(H3101-1&lt;הגדרות!$E$8*(הגדרות!$E$7+1),MOD(H3101-1,הגדרות!$E$7+1),MOD(H3101-1-הגדרות!$E$8*(הגדרות!$E$7+1),הגדרות!$E$7)))</f>
        <v/>
      </c>
      <c r="K3101" s="0" t="str">
        <f aca="false">IF(I3101="","",J3101*הגדרות!$E$6+I3101+1)</f>
        <v/>
      </c>
      <c r="L3101" s="0" t="str">
        <f aca="false">IF(K3101="","",MATCH(K3101,$F$2:$F$5001,0))</f>
        <v/>
      </c>
      <c r="M3101" s="0" t="str">
        <f aca="false">IF(I3101="","",INDEX(הגדרות!$A$2:$A$21,MOD(I3101+הגדרות!$E$9,הגדרות!$E$6)+1))</f>
        <v/>
      </c>
    </row>
    <row r="3102" customFormat="false" ht="15" hidden="false" customHeight="false" outlineLevel="0" collapsed="false">
      <c r="A3102" s="0" t="str">
        <f aca="false">IF('הדבקת לידים'!A3102="","",IF(ISNUMBER('הדבקת לידים'!A3102),IF(הגדרות!$E$2&gt;0,TEXT('הדבקת לידים'!A3102,REPT("0",הגדרות!$E$2)),TEXT('הדבקת לידים'!A3102,"0")),TRIM('הדבקת לידים'!A3102)))</f>
        <v/>
      </c>
      <c r="B3102" s="0" t="str">
        <f aca="false">IF('הדבקת לידים'!B3102="","",IF(ISNUMBER('הדבקת לידים'!B3102),IF(הגדרות!$E$3&gt;0,TEXT('הדבקת לידים'!B3102,REPT("0",הגדרות!$E$3)),TEXT('הדבקת לידים'!B3102,"0")),TRIM('הדבקת לידים'!B3102)))</f>
        <v/>
      </c>
      <c r="C3102" s="0" t="n">
        <f aca="false">IF(OR(A3102&lt;&gt;"",B3102&lt;&gt;""),1,0)</f>
        <v>0</v>
      </c>
      <c r="D3102" s="0" t="str">
        <f aca="false">IF(C3102=1,MOD(ABS(SIN(ROW()*12.9898+'הדבקת לידים'!$F$2*78.233+IFERROR(--RIGHT(A3102,6),LEN(A3102))*0.0137+IFERROR(--RIGHT(B3102,6),LEN(B3102))*0.0071))*43758.5453,1),"")</f>
        <v/>
      </c>
      <c r="E3102" s="0" t="str">
        <f aca="false">IF(C3102=1,INT(MOD(ABS(SIN(D3102*7919.123+ROW()*0.618+'הדבקת לידים'!$F$2*1.3))*43758.5453,1)*1000000)*10000+ROW(),"")</f>
        <v/>
      </c>
      <c r="F3102" s="0" t="str">
        <f aca="false">IF(E3102="","",RANK(E3102,$E$2:$E$5001,1))</f>
        <v/>
      </c>
      <c r="G3102" s="0" t="n">
        <f aca="false">IF(A3102="",0,IF(SUMPRODUCT(--($A$2:$A$5001=A3102))&gt;1,1,0))</f>
        <v>0</v>
      </c>
      <c r="H3102" s="0" t="n">
        <f aca="false">ROW()-1</f>
        <v>3101</v>
      </c>
      <c r="I3102" s="0" t="str">
        <f aca="false">IF(OR(הגדרות!$E$6=0,H3102&gt;הגדרות!$E$5),"",IF(H3102-1&lt;הגדרות!$E$8*(הגדרות!$E$7+1),INT((H3102-1)/(הגדרות!$E$7+1)),הגדרות!$E$8+INT((H3102-1-הגדרות!$E$8*(הגדרות!$E$7+1))/הגדרות!$E$7)))</f>
        <v/>
      </c>
      <c r="J3102" s="0" t="str">
        <f aca="false">IF(I3102="","",IF(H3102-1&lt;הגדרות!$E$8*(הגדרות!$E$7+1),MOD(H3102-1,הגדרות!$E$7+1),MOD(H3102-1-הגדרות!$E$8*(הגדרות!$E$7+1),הגדרות!$E$7)))</f>
        <v/>
      </c>
      <c r="K3102" s="0" t="str">
        <f aca="false">IF(I3102="","",J3102*הגדרות!$E$6+I3102+1)</f>
        <v/>
      </c>
      <c r="L3102" s="0" t="str">
        <f aca="false">IF(K3102="","",MATCH(K3102,$F$2:$F$5001,0))</f>
        <v/>
      </c>
      <c r="M3102" s="0" t="str">
        <f aca="false">IF(I3102="","",INDEX(הגדרות!$A$2:$A$21,MOD(I3102+הגדרות!$E$9,הגדרות!$E$6)+1))</f>
        <v/>
      </c>
    </row>
    <row r="3103" customFormat="false" ht="15" hidden="false" customHeight="false" outlineLevel="0" collapsed="false">
      <c r="A3103" s="0" t="str">
        <f aca="false">IF('הדבקת לידים'!A3103="","",IF(ISNUMBER('הדבקת לידים'!A3103),IF(הגדרות!$E$2&gt;0,TEXT('הדבקת לידים'!A3103,REPT("0",הגדרות!$E$2)),TEXT('הדבקת לידים'!A3103,"0")),TRIM('הדבקת לידים'!A3103)))</f>
        <v/>
      </c>
      <c r="B3103" s="0" t="str">
        <f aca="false">IF('הדבקת לידים'!B3103="","",IF(ISNUMBER('הדבקת לידים'!B3103),IF(הגדרות!$E$3&gt;0,TEXT('הדבקת לידים'!B3103,REPT("0",הגדרות!$E$3)),TEXT('הדבקת לידים'!B3103,"0")),TRIM('הדבקת לידים'!B3103)))</f>
        <v/>
      </c>
      <c r="C3103" s="0" t="n">
        <f aca="false">IF(OR(A3103&lt;&gt;"",B3103&lt;&gt;""),1,0)</f>
        <v>0</v>
      </c>
      <c r="D3103" s="0" t="str">
        <f aca="false">IF(C3103=1,MOD(ABS(SIN(ROW()*12.9898+'הדבקת לידים'!$F$2*78.233+IFERROR(--RIGHT(A3103,6),LEN(A3103))*0.0137+IFERROR(--RIGHT(B3103,6),LEN(B3103))*0.0071))*43758.5453,1),"")</f>
        <v/>
      </c>
      <c r="E3103" s="0" t="str">
        <f aca="false">IF(C3103=1,INT(MOD(ABS(SIN(D3103*7919.123+ROW()*0.618+'הדבקת לידים'!$F$2*1.3))*43758.5453,1)*1000000)*10000+ROW(),"")</f>
        <v/>
      </c>
      <c r="F3103" s="0" t="str">
        <f aca="false">IF(E3103="","",RANK(E3103,$E$2:$E$5001,1))</f>
        <v/>
      </c>
      <c r="G3103" s="0" t="n">
        <f aca="false">IF(A3103="",0,IF(SUMPRODUCT(--($A$2:$A$5001=A3103))&gt;1,1,0))</f>
        <v>0</v>
      </c>
      <c r="H3103" s="0" t="n">
        <f aca="false">ROW()-1</f>
        <v>3102</v>
      </c>
      <c r="I3103" s="0" t="str">
        <f aca="false">IF(OR(הגדרות!$E$6=0,H3103&gt;הגדרות!$E$5),"",IF(H3103-1&lt;הגדרות!$E$8*(הגדרות!$E$7+1),INT((H3103-1)/(הגדרות!$E$7+1)),הגדרות!$E$8+INT((H3103-1-הגדרות!$E$8*(הגדרות!$E$7+1))/הגדרות!$E$7)))</f>
        <v/>
      </c>
      <c r="J3103" s="0" t="str">
        <f aca="false">IF(I3103="","",IF(H3103-1&lt;הגדרות!$E$8*(הגדרות!$E$7+1),MOD(H3103-1,הגדרות!$E$7+1),MOD(H3103-1-הגדרות!$E$8*(הגדרות!$E$7+1),הגדרות!$E$7)))</f>
        <v/>
      </c>
      <c r="K3103" s="0" t="str">
        <f aca="false">IF(I3103="","",J3103*הגדרות!$E$6+I3103+1)</f>
        <v/>
      </c>
      <c r="L3103" s="0" t="str">
        <f aca="false">IF(K3103="","",MATCH(K3103,$F$2:$F$5001,0))</f>
        <v/>
      </c>
      <c r="M3103" s="0" t="str">
        <f aca="false">IF(I3103="","",INDEX(הגדרות!$A$2:$A$21,MOD(I3103+הגדרות!$E$9,הגדרות!$E$6)+1))</f>
        <v/>
      </c>
    </row>
    <row r="3104" customFormat="false" ht="15" hidden="false" customHeight="false" outlineLevel="0" collapsed="false">
      <c r="A3104" s="0" t="str">
        <f aca="false">IF('הדבקת לידים'!A3104="","",IF(ISNUMBER('הדבקת לידים'!A3104),IF(הגדרות!$E$2&gt;0,TEXT('הדבקת לידים'!A3104,REPT("0",הגדרות!$E$2)),TEXT('הדבקת לידים'!A3104,"0")),TRIM('הדבקת לידים'!A3104)))</f>
        <v/>
      </c>
      <c r="B3104" s="0" t="str">
        <f aca="false">IF('הדבקת לידים'!B3104="","",IF(ISNUMBER('הדבקת לידים'!B3104),IF(הגדרות!$E$3&gt;0,TEXT('הדבקת לידים'!B3104,REPT("0",הגדרות!$E$3)),TEXT('הדבקת לידים'!B3104,"0")),TRIM('הדבקת לידים'!B3104)))</f>
        <v/>
      </c>
      <c r="C3104" s="0" t="n">
        <f aca="false">IF(OR(A3104&lt;&gt;"",B3104&lt;&gt;""),1,0)</f>
        <v>0</v>
      </c>
      <c r="D3104" s="0" t="str">
        <f aca="false">IF(C3104=1,MOD(ABS(SIN(ROW()*12.9898+'הדבקת לידים'!$F$2*78.233+IFERROR(--RIGHT(A3104,6),LEN(A3104))*0.0137+IFERROR(--RIGHT(B3104,6),LEN(B3104))*0.0071))*43758.5453,1),"")</f>
        <v/>
      </c>
      <c r="E3104" s="0" t="str">
        <f aca="false">IF(C3104=1,INT(MOD(ABS(SIN(D3104*7919.123+ROW()*0.618+'הדבקת לידים'!$F$2*1.3))*43758.5453,1)*1000000)*10000+ROW(),"")</f>
        <v/>
      </c>
      <c r="F3104" s="0" t="str">
        <f aca="false">IF(E3104="","",RANK(E3104,$E$2:$E$5001,1))</f>
        <v/>
      </c>
      <c r="G3104" s="0" t="n">
        <f aca="false">IF(A3104="",0,IF(SUMPRODUCT(--($A$2:$A$5001=A3104))&gt;1,1,0))</f>
        <v>0</v>
      </c>
      <c r="H3104" s="0" t="n">
        <f aca="false">ROW()-1</f>
        <v>3103</v>
      </c>
      <c r="I3104" s="0" t="str">
        <f aca="false">IF(OR(הגדרות!$E$6=0,H3104&gt;הגדרות!$E$5),"",IF(H3104-1&lt;הגדרות!$E$8*(הגדרות!$E$7+1),INT((H3104-1)/(הגדרות!$E$7+1)),הגדרות!$E$8+INT((H3104-1-הגדרות!$E$8*(הגדרות!$E$7+1))/הגדרות!$E$7)))</f>
        <v/>
      </c>
      <c r="J3104" s="0" t="str">
        <f aca="false">IF(I3104="","",IF(H3104-1&lt;הגדרות!$E$8*(הגדרות!$E$7+1),MOD(H3104-1,הגדרות!$E$7+1),MOD(H3104-1-הגדרות!$E$8*(הגדרות!$E$7+1),הגדרות!$E$7)))</f>
        <v/>
      </c>
      <c r="K3104" s="0" t="str">
        <f aca="false">IF(I3104="","",J3104*הגדרות!$E$6+I3104+1)</f>
        <v/>
      </c>
      <c r="L3104" s="0" t="str">
        <f aca="false">IF(K3104="","",MATCH(K3104,$F$2:$F$5001,0))</f>
        <v/>
      </c>
      <c r="M3104" s="0" t="str">
        <f aca="false">IF(I3104="","",INDEX(הגדרות!$A$2:$A$21,MOD(I3104+הגדרות!$E$9,הגדרות!$E$6)+1))</f>
        <v/>
      </c>
    </row>
    <row r="3105" customFormat="false" ht="15" hidden="false" customHeight="false" outlineLevel="0" collapsed="false">
      <c r="A3105" s="0" t="str">
        <f aca="false">IF('הדבקת לידים'!A3105="","",IF(ISNUMBER('הדבקת לידים'!A3105),IF(הגדרות!$E$2&gt;0,TEXT('הדבקת לידים'!A3105,REPT("0",הגדרות!$E$2)),TEXT('הדבקת לידים'!A3105,"0")),TRIM('הדבקת לידים'!A3105)))</f>
        <v/>
      </c>
      <c r="B3105" s="0" t="str">
        <f aca="false">IF('הדבקת לידים'!B3105="","",IF(ISNUMBER('הדבקת לידים'!B3105),IF(הגדרות!$E$3&gt;0,TEXT('הדבקת לידים'!B3105,REPT("0",הגדרות!$E$3)),TEXT('הדבקת לידים'!B3105,"0")),TRIM('הדבקת לידים'!B3105)))</f>
        <v/>
      </c>
      <c r="C3105" s="0" t="n">
        <f aca="false">IF(OR(A3105&lt;&gt;"",B3105&lt;&gt;""),1,0)</f>
        <v>0</v>
      </c>
      <c r="D3105" s="0" t="str">
        <f aca="false">IF(C3105=1,MOD(ABS(SIN(ROW()*12.9898+'הדבקת לידים'!$F$2*78.233+IFERROR(--RIGHT(A3105,6),LEN(A3105))*0.0137+IFERROR(--RIGHT(B3105,6),LEN(B3105))*0.0071))*43758.5453,1),"")</f>
        <v/>
      </c>
      <c r="E3105" s="0" t="str">
        <f aca="false">IF(C3105=1,INT(MOD(ABS(SIN(D3105*7919.123+ROW()*0.618+'הדבקת לידים'!$F$2*1.3))*43758.5453,1)*1000000)*10000+ROW(),"")</f>
        <v/>
      </c>
      <c r="F3105" s="0" t="str">
        <f aca="false">IF(E3105="","",RANK(E3105,$E$2:$E$5001,1))</f>
        <v/>
      </c>
      <c r="G3105" s="0" t="n">
        <f aca="false">IF(A3105="",0,IF(SUMPRODUCT(--($A$2:$A$5001=A3105))&gt;1,1,0))</f>
        <v>0</v>
      </c>
      <c r="H3105" s="0" t="n">
        <f aca="false">ROW()-1</f>
        <v>3104</v>
      </c>
      <c r="I3105" s="0" t="str">
        <f aca="false">IF(OR(הגדרות!$E$6=0,H3105&gt;הגדרות!$E$5),"",IF(H3105-1&lt;הגדרות!$E$8*(הגדרות!$E$7+1),INT((H3105-1)/(הגדרות!$E$7+1)),הגדרות!$E$8+INT((H3105-1-הגדרות!$E$8*(הגדרות!$E$7+1))/הגדרות!$E$7)))</f>
        <v/>
      </c>
      <c r="J3105" s="0" t="str">
        <f aca="false">IF(I3105="","",IF(H3105-1&lt;הגדרות!$E$8*(הגדרות!$E$7+1),MOD(H3105-1,הגדרות!$E$7+1),MOD(H3105-1-הגדרות!$E$8*(הגדרות!$E$7+1),הגדרות!$E$7)))</f>
        <v/>
      </c>
      <c r="K3105" s="0" t="str">
        <f aca="false">IF(I3105="","",J3105*הגדרות!$E$6+I3105+1)</f>
        <v/>
      </c>
      <c r="L3105" s="0" t="str">
        <f aca="false">IF(K3105="","",MATCH(K3105,$F$2:$F$5001,0))</f>
        <v/>
      </c>
      <c r="M3105" s="0" t="str">
        <f aca="false">IF(I3105="","",INDEX(הגדרות!$A$2:$A$21,MOD(I3105+הגדרות!$E$9,הגדרות!$E$6)+1))</f>
        <v/>
      </c>
    </row>
    <row r="3106" customFormat="false" ht="15" hidden="false" customHeight="false" outlineLevel="0" collapsed="false">
      <c r="A3106" s="0" t="str">
        <f aca="false">IF('הדבקת לידים'!A3106="","",IF(ISNUMBER('הדבקת לידים'!A3106),IF(הגדרות!$E$2&gt;0,TEXT('הדבקת לידים'!A3106,REPT("0",הגדרות!$E$2)),TEXT('הדבקת לידים'!A3106,"0")),TRIM('הדבקת לידים'!A3106)))</f>
        <v/>
      </c>
      <c r="B3106" s="0" t="str">
        <f aca="false">IF('הדבקת לידים'!B3106="","",IF(ISNUMBER('הדבקת לידים'!B3106),IF(הגדרות!$E$3&gt;0,TEXT('הדבקת לידים'!B3106,REPT("0",הגדרות!$E$3)),TEXT('הדבקת לידים'!B3106,"0")),TRIM('הדבקת לידים'!B3106)))</f>
        <v/>
      </c>
      <c r="C3106" s="0" t="n">
        <f aca="false">IF(OR(A3106&lt;&gt;"",B3106&lt;&gt;""),1,0)</f>
        <v>0</v>
      </c>
      <c r="D3106" s="0" t="str">
        <f aca="false">IF(C3106=1,MOD(ABS(SIN(ROW()*12.9898+'הדבקת לידים'!$F$2*78.233+IFERROR(--RIGHT(A3106,6),LEN(A3106))*0.0137+IFERROR(--RIGHT(B3106,6),LEN(B3106))*0.0071))*43758.5453,1),"")</f>
        <v/>
      </c>
      <c r="E3106" s="0" t="str">
        <f aca="false">IF(C3106=1,INT(MOD(ABS(SIN(D3106*7919.123+ROW()*0.618+'הדבקת לידים'!$F$2*1.3))*43758.5453,1)*1000000)*10000+ROW(),"")</f>
        <v/>
      </c>
      <c r="F3106" s="0" t="str">
        <f aca="false">IF(E3106="","",RANK(E3106,$E$2:$E$5001,1))</f>
        <v/>
      </c>
      <c r="G3106" s="0" t="n">
        <f aca="false">IF(A3106="",0,IF(SUMPRODUCT(--($A$2:$A$5001=A3106))&gt;1,1,0))</f>
        <v>0</v>
      </c>
      <c r="H3106" s="0" t="n">
        <f aca="false">ROW()-1</f>
        <v>3105</v>
      </c>
      <c r="I3106" s="0" t="str">
        <f aca="false">IF(OR(הגדרות!$E$6=0,H3106&gt;הגדרות!$E$5),"",IF(H3106-1&lt;הגדרות!$E$8*(הגדרות!$E$7+1),INT((H3106-1)/(הגדרות!$E$7+1)),הגדרות!$E$8+INT((H3106-1-הגדרות!$E$8*(הגדרות!$E$7+1))/הגדרות!$E$7)))</f>
        <v/>
      </c>
      <c r="J3106" s="0" t="str">
        <f aca="false">IF(I3106="","",IF(H3106-1&lt;הגדרות!$E$8*(הגדרות!$E$7+1),MOD(H3106-1,הגדרות!$E$7+1),MOD(H3106-1-הגדרות!$E$8*(הגדרות!$E$7+1),הגדרות!$E$7)))</f>
        <v/>
      </c>
      <c r="K3106" s="0" t="str">
        <f aca="false">IF(I3106="","",J3106*הגדרות!$E$6+I3106+1)</f>
        <v/>
      </c>
      <c r="L3106" s="0" t="str">
        <f aca="false">IF(K3106="","",MATCH(K3106,$F$2:$F$5001,0))</f>
        <v/>
      </c>
      <c r="M3106" s="0" t="str">
        <f aca="false">IF(I3106="","",INDEX(הגדרות!$A$2:$A$21,MOD(I3106+הגדרות!$E$9,הגדרות!$E$6)+1))</f>
        <v/>
      </c>
    </row>
    <row r="3107" customFormat="false" ht="15" hidden="false" customHeight="false" outlineLevel="0" collapsed="false">
      <c r="A3107" s="0" t="str">
        <f aca="false">IF('הדבקת לידים'!A3107="","",IF(ISNUMBER('הדבקת לידים'!A3107),IF(הגדרות!$E$2&gt;0,TEXT('הדבקת לידים'!A3107,REPT("0",הגדרות!$E$2)),TEXT('הדבקת לידים'!A3107,"0")),TRIM('הדבקת לידים'!A3107)))</f>
        <v/>
      </c>
      <c r="B3107" s="0" t="str">
        <f aca="false">IF('הדבקת לידים'!B3107="","",IF(ISNUMBER('הדבקת לידים'!B3107),IF(הגדרות!$E$3&gt;0,TEXT('הדבקת לידים'!B3107,REPT("0",הגדרות!$E$3)),TEXT('הדבקת לידים'!B3107,"0")),TRIM('הדבקת לידים'!B3107)))</f>
        <v/>
      </c>
      <c r="C3107" s="0" t="n">
        <f aca="false">IF(OR(A3107&lt;&gt;"",B3107&lt;&gt;""),1,0)</f>
        <v>0</v>
      </c>
      <c r="D3107" s="0" t="str">
        <f aca="false">IF(C3107=1,MOD(ABS(SIN(ROW()*12.9898+'הדבקת לידים'!$F$2*78.233+IFERROR(--RIGHT(A3107,6),LEN(A3107))*0.0137+IFERROR(--RIGHT(B3107,6),LEN(B3107))*0.0071))*43758.5453,1),"")</f>
        <v/>
      </c>
      <c r="E3107" s="0" t="str">
        <f aca="false">IF(C3107=1,INT(MOD(ABS(SIN(D3107*7919.123+ROW()*0.618+'הדבקת לידים'!$F$2*1.3))*43758.5453,1)*1000000)*10000+ROW(),"")</f>
        <v/>
      </c>
      <c r="F3107" s="0" t="str">
        <f aca="false">IF(E3107="","",RANK(E3107,$E$2:$E$5001,1))</f>
        <v/>
      </c>
      <c r="G3107" s="0" t="n">
        <f aca="false">IF(A3107="",0,IF(SUMPRODUCT(--($A$2:$A$5001=A3107))&gt;1,1,0))</f>
        <v>0</v>
      </c>
      <c r="H3107" s="0" t="n">
        <f aca="false">ROW()-1</f>
        <v>3106</v>
      </c>
      <c r="I3107" s="0" t="str">
        <f aca="false">IF(OR(הגדרות!$E$6=0,H3107&gt;הגדרות!$E$5),"",IF(H3107-1&lt;הגדרות!$E$8*(הגדרות!$E$7+1),INT((H3107-1)/(הגדרות!$E$7+1)),הגדרות!$E$8+INT((H3107-1-הגדרות!$E$8*(הגדרות!$E$7+1))/הגדרות!$E$7)))</f>
        <v/>
      </c>
      <c r="J3107" s="0" t="str">
        <f aca="false">IF(I3107="","",IF(H3107-1&lt;הגדרות!$E$8*(הגדרות!$E$7+1),MOD(H3107-1,הגדרות!$E$7+1),MOD(H3107-1-הגדרות!$E$8*(הגדרות!$E$7+1),הגדרות!$E$7)))</f>
        <v/>
      </c>
      <c r="K3107" s="0" t="str">
        <f aca="false">IF(I3107="","",J3107*הגדרות!$E$6+I3107+1)</f>
        <v/>
      </c>
      <c r="L3107" s="0" t="str">
        <f aca="false">IF(K3107="","",MATCH(K3107,$F$2:$F$5001,0))</f>
        <v/>
      </c>
      <c r="M3107" s="0" t="str">
        <f aca="false">IF(I3107="","",INDEX(הגדרות!$A$2:$A$21,MOD(I3107+הגדרות!$E$9,הגדרות!$E$6)+1))</f>
        <v/>
      </c>
    </row>
    <row r="3108" customFormat="false" ht="15" hidden="false" customHeight="false" outlineLevel="0" collapsed="false">
      <c r="A3108" s="0" t="str">
        <f aca="false">IF('הדבקת לידים'!A3108="","",IF(ISNUMBER('הדבקת לידים'!A3108),IF(הגדרות!$E$2&gt;0,TEXT('הדבקת לידים'!A3108,REPT("0",הגדרות!$E$2)),TEXT('הדבקת לידים'!A3108,"0")),TRIM('הדבקת לידים'!A3108)))</f>
        <v/>
      </c>
      <c r="B3108" s="0" t="str">
        <f aca="false">IF('הדבקת לידים'!B3108="","",IF(ISNUMBER('הדבקת לידים'!B3108),IF(הגדרות!$E$3&gt;0,TEXT('הדבקת לידים'!B3108,REPT("0",הגדרות!$E$3)),TEXT('הדבקת לידים'!B3108,"0")),TRIM('הדבקת לידים'!B3108)))</f>
        <v/>
      </c>
      <c r="C3108" s="0" t="n">
        <f aca="false">IF(OR(A3108&lt;&gt;"",B3108&lt;&gt;""),1,0)</f>
        <v>0</v>
      </c>
      <c r="D3108" s="0" t="str">
        <f aca="false">IF(C3108=1,MOD(ABS(SIN(ROW()*12.9898+'הדבקת לידים'!$F$2*78.233+IFERROR(--RIGHT(A3108,6),LEN(A3108))*0.0137+IFERROR(--RIGHT(B3108,6),LEN(B3108))*0.0071))*43758.5453,1),"")</f>
        <v/>
      </c>
      <c r="E3108" s="0" t="str">
        <f aca="false">IF(C3108=1,INT(MOD(ABS(SIN(D3108*7919.123+ROW()*0.618+'הדבקת לידים'!$F$2*1.3))*43758.5453,1)*1000000)*10000+ROW(),"")</f>
        <v/>
      </c>
      <c r="F3108" s="0" t="str">
        <f aca="false">IF(E3108="","",RANK(E3108,$E$2:$E$5001,1))</f>
        <v/>
      </c>
      <c r="G3108" s="0" t="n">
        <f aca="false">IF(A3108="",0,IF(SUMPRODUCT(--($A$2:$A$5001=A3108))&gt;1,1,0))</f>
        <v>0</v>
      </c>
      <c r="H3108" s="0" t="n">
        <f aca="false">ROW()-1</f>
        <v>3107</v>
      </c>
      <c r="I3108" s="0" t="str">
        <f aca="false">IF(OR(הגדרות!$E$6=0,H3108&gt;הגדרות!$E$5),"",IF(H3108-1&lt;הגדרות!$E$8*(הגדרות!$E$7+1),INT((H3108-1)/(הגדרות!$E$7+1)),הגדרות!$E$8+INT((H3108-1-הגדרות!$E$8*(הגדרות!$E$7+1))/הגדרות!$E$7)))</f>
        <v/>
      </c>
      <c r="J3108" s="0" t="str">
        <f aca="false">IF(I3108="","",IF(H3108-1&lt;הגדרות!$E$8*(הגדרות!$E$7+1),MOD(H3108-1,הגדרות!$E$7+1),MOD(H3108-1-הגדרות!$E$8*(הגדרות!$E$7+1),הגדרות!$E$7)))</f>
        <v/>
      </c>
      <c r="K3108" s="0" t="str">
        <f aca="false">IF(I3108="","",J3108*הגדרות!$E$6+I3108+1)</f>
        <v/>
      </c>
      <c r="L3108" s="0" t="str">
        <f aca="false">IF(K3108="","",MATCH(K3108,$F$2:$F$5001,0))</f>
        <v/>
      </c>
      <c r="M3108" s="0" t="str">
        <f aca="false">IF(I3108="","",INDEX(הגדרות!$A$2:$A$21,MOD(I3108+הגדרות!$E$9,הגדרות!$E$6)+1))</f>
        <v/>
      </c>
    </row>
    <row r="3109" customFormat="false" ht="15" hidden="false" customHeight="false" outlineLevel="0" collapsed="false">
      <c r="A3109" s="0" t="str">
        <f aca="false">IF('הדבקת לידים'!A3109="","",IF(ISNUMBER('הדבקת לידים'!A3109),IF(הגדרות!$E$2&gt;0,TEXT('הדבקת לידים'!A3109,REPT("0",הגדרות!$E$2)),TEXT('הדבקת לידים'!A3109,"0")),TRIM('הדבקת לידים'!A3109)))</f>
        <v/>
      </c>
      <c r="B3109" s="0" t="str">
        <f aca="false">IF('הדבקת לידים'!B3109="","",IF(ISNUMBER('הדבקת לידים'!B3109),IF(הגדרות!$E$3&gt;0,TEXT('הדבקת לידים'!B3109,REPT("0",הגדרות!$E$3)),TEXT('הדבקת לידים'!B3109,"0")),TRIM('הדבקת לידים'!B3109)))</f>
        <v/>
      </c>
      <c r="C3109" s="0" t="n">
        <f aca="false">IF(OR(A3109&lt;&gt;"",B3109&lt;&gt;""),1,0)</f>
        <v>0</v>
      </c>
      <c r="D3109" s="0" t="str">
        <f aca="false">IF(C3109=1,MOD(ABS(SIN(ROW()*12.9898+'הדבקת לידים'!$F$2*78.233+IFERROR(--RIGHT(A3109,6),LEN(A3109))*0.0137+IFERROR(--RIGHT(B3109,6),LEN(B3109))*0.0071))*43758.5453,1),"")</f>
        <v/>
      </c>
      <c r="E3109" s="0" t="str">
        <f aca="false">IF(C3109=1,INT(MOD(ABS(SIN(D3109*7919.123+ROW()*0.618+'הדבקת לידים'!$F$2*1.3))*43758.5453,1)*1000000)*10000+ROW(),"")</f>
        <v/>
      </c>
      <c r="F3109" s="0" t="str">
        <f aca="false">IF(E3109="","",RANK(E3109,$E$2:$E$5001,1))</f>
        <v/>
      </c>
      <c r="G3109" s="0" t="n">
        <f aca="false">IF(A3109="",0,IF(SUMPRODUCT(--($A$2:$A$5001=A3109))&gt;1,1,0))</f>
        <v>0</v>
      </c>
      <c r="H3109" s="0" t="n">
        <f aca="false">ROW()-1</f>
        <v>3108</v>
      </c>
      <c r="I3109" s="0" t="str">
        <f aca="false">IF(OR(הגדרות!$E$6=0,H3109&gt;הגדרות!$E$5),"",IF(H3109-1&lt;הגדרות!$E$8*(הגדרות!$E$7+1),INT((H3109-1)/(הגדרות!$E$7+1)),הגדרות!$E$8+INT((H3109-1-הגדרות!$E$8*(הגדרות!$E$7+1))/הגדרות!$E$7)))</f>
        <v/>
      </c>
      <c r="J3109" s="0" t="str">
        <f aca="false">IF(I3109="","",IF(H3109-1&lt;הגדרות!$E$8*(הגדרות!$E$7+1),MOD(H3109-1,הגדרות!$E$7+1),MOD(H3109-1-הגדרות!$E$8*(הגדרות!$E$7+1),הגדרות!$E$7)))</f>
        <v/>
      </c>
      <c r="K3109" s="0" t="str">
        <f aca="false">IF(I3109="","",J3109*הגדרות!$E$6+I3109+1)</f>
        <v/>
      </c>
      <c r="L3109" s="0" t="str">
        <f aca="false">IF(K3109="","",MATCH(K3109,$F$2:$F$5001,0))</f>
        <v/>
      </c>
      <c r="M3109" s="0" t="str">
        <f aca="false">IF(I3109="","",INDEX(הגדרות!$A$2:$A$21,MOD(I3109+הגדרות!$E$9,הגדרות!$E$6)+1))</f>
        <v/>
      </c>
    </row>
    <row r="3110" customFormat="false" ht="15" hidden="false" customHeight="false" outlineLevel="0" collapsed="false">
      <c r="A3110" s="0" t="str">
        <f aca="false">IF('הדבקת לידים'!A3110="","",IF(ISNUMBER('הדבקת לידים'!A3110),IF(הגדרות!$E$2&gt;0,TEXT('הדבקת לידים'!A3110,REPT("0",הגדרות!$E$2)),TEXT('הדבקת לידים'!A3110,"0")),TRIM('הדבקת לידים'!A3110)))</f>
        <v/>
      </c>
      <c r="B3110" s="0" t="str">
        <f aca="false">IF('הדבקת לידים'!B3110="","",IF(ISNUMBER('הדבקת לידים'!B3110),IF(הגדרות!$E$3&gt;0,TEXT('הדבקת לידים'!B3110,REPT("0",הגדרות!$E$3)),TEXT('הדבקת לידים'!B3110,"0")),TRIM('הדבקת לידים'!B3110)))</f>
        <v/>
      </c>
      <c r="C3110" s="0" t="n">
        <f aca="false">IF(OR(A3110&lt;&gt;"",B3110&lt;&gt;""),1,0)</f>
        <v>0</v>
      </c>
      <c r="D3110" s="0" t="str">
        <f aca="false">IF(C3110=1,MOD(ABS(SIN(ROW()*12.9898+'הדבקת לידים'!$F$2*78.233+IFERROR(--RIGHT(A3110,6),LEN(A3110))*0.0137+IFERROR(--RIGHT(B3110,6),LEN(B3110))*0.0071))*43758.5453,1),"")</f>
        <v/>
      </c>
      <c r="E3110" s="0" t="str">
        <f aca="false">IF(C3110=1,INT(MOD(ABS(SIN(D3110*7919.123+ROW()*0.618+'הדבקת לידים'!$F$2*1.3))*43758.5453,1)*1000000)*10000+ROW(),"")</f>
        <v/>
      </c>
      <c r="F3110" s="0" t="str">
        <f aca="false">IF(E3110="","",RANK(E3110,$E$2:$E$5001,1))</f>
        <v/>
      </c>
      <c r="G3110" s="0" t="n">
        <f aca="false">IF(A3110="",0,IF(SUMPRODUCT(--($A$2:$A$5001=A3110))&gt;1,1,0))</f>
        <v>0</v>
      </c>
      <c r="H3110" s="0" t="n">
        <f aca="false">ROW()-1</f>
        <v>3109</v>
      </c>
      <c r="I3110" s="0" t="str">
        <f aca="false">IF(OR(הגדרות!$E$6=0,H3110&gt;הגדרות!$E$5),"",IF(H3110-1&lt;הגדרות!$E$8*(הגדרות!$E$7+1),INT((H3110-1)/(הגדרות!$E$7+1)),הגדרות!$E$8+INT((H3110-1-הגדרות!$E$8*(הגדרות!$E$7+1))/הגדרות!$E$7)))</f>
        <v/>
      </c>
      <c r="J3110" s="0" t="str">
        <f aca="false">IF(I3110="","",IF(H3110-1&lt;הגדרות!$E$8*(הגדרות!$E$7+1),MOD(H3110-1,הגדרות!$E$7+1),MOD(H3110-1-הגדרות!$E$8*(הגדרות!$E$7+1),הגדרות!$E$7)))</f>
        <v/>
      </c>
      <c r="K3110" s="0" t="str">
        <f aca="false">IF(I3110="","",J3110*הגדרות!$E$6+I3110+1)</f>
        <v/>
      </c>
      <c r="L3110" s="0" t="str">
        <f aca="false">IF(K3110="","",MATCH(K3110,$F$2:$F$5001,0))</f>
        <v/>
      </c>
      <c r="M3110" s="0" t="str">
        <f aca="false">IF(I3110="","",INDEX(הגדרות!$A$2:$A$21,MOD(I3110+הגדרות!$E$9,הגדרות!$E$6)+1))</f>
        <v/>
      </c>
    </row>
    <row r="3111" customFormat="false" ht="15" hidden="false" customHeight="false" outlineLevel="0" collapsed="false">
      <c r="A3111" s="0" t="str">
        <f aca="false">IF('הדבקת לידים'!A3111="","",IF(ISNUMBER('הדבקת לידים'!A3111),IF(הגדרות!$E$2&gt;0,TEXT('הדבקת לידים'!A3111,REPT("0",הגדרות!$E$2)),TEXT('הדבקת לידים'!A3111,"0")),TRIM('הדבקת לידים'!A3111)))</f>
        <v/>
      </c>
      <c r="B3111" s="0" t="str">
        <f aca="false">IF('הדבקת לידים'!B3111="","",IF(ISNUMBER('הדבקת לידים'!B3111),IF(הגדרות!$E$3&gt;0,TEXT('הדבקת לידים'!B3111,REPT("0",הגדרות!$E$3)),TEXT('הדבקת לידים'!B3111,"0")),TRIM('הדבקת לידים'!B3111)))</f>
        <v/>
      </c>
      <c r="C3111" s="0" t="n">
        <f aca="false">IF(OR(A3111&lt;&gt;"",B3111&lt;&gt;""),1,0)</f>
        <v>0</v>
      </c>
      <c r="D3111" s="0" t="str">
        <f aca="false">IF(C3111=1,MOD(ABS(SIN(ROW()*12.9898+'הדבקת לידים'!$F$2*78.233+IFERROR(--RIGHT(A3111,6),LEN(A3111))*0.0137+IFERROR(--RIGHT(B3111,6),LEN(B3111))*0.0071))*43758.5453,1),"")</f>
        <v/>
      </c>
      <c r="E3111" s="0" t="str">
        <f aca="false">IF(C3111=1,INT(MOD(ABS(SIN(D3111*7919.123+ROW()*0.618+'הדבקת לידים'!$F$2*1.3))*43758.5453,1)*1000000)*10000+ROW(),"")</f>
        <v/>
      </c>
      <c r="F3111" s="0" t="str">
        <f aca="false">IF(E3111="","",RANK(E3111,$E$2:$E$5001,1))</f>
        <v/>
      </c>
      <c r="G3111" s="0" t="n">
        <f aca="false">IF(A3111="",0,IF(SUMPRODUCT(--($A$2:$A$5001=A3111))&gt;1,1,0))</f>
        <v>0</v>
      </c>
      <c r="H3111" s="0" t="n">
        <f aca="false">ROW()-1</f>
        <v>3110</v>
      </c>
      <c r="I3111" s="0" t="str">
        <f aca="false">IF(OR(הגדרות!$E$6=0,H3111&gt;הגדרות!$E$5),"",IF(H3111-1&lt;הגדרות!$E$8*(הגדרות!$E$7+1),INT((H3111-1)/(הגדרות!$E$7+1)),הגדרות!$E$8+INT((H3111-1-הגדרות!$E$8*(הגדרות!$E$7+1))/הגדרות!$E$7)))</f>
        <v/>
      </c>
      <c r="J3111" s="0" t="str">
        <f aca="false">IF(I3111="","",IF(H3111-1&lt;הגדרות!$E$8*(הגדרות!$E$7+1),MOD(H3111-1,הגדרות!$E$7+1),MOD(H3111-1-הגדרות!$E$8*(הגדרות!$E$7+1),הגדרות!$E$7)))</f>
        <v/>
      </c>
      <c r="K3111" s="0" t="str">
        <f aca="false">IF(I3111="","",J3111*הגדרות!$E$6+I3111+1)</f>
        <v/>
      </c>
      <c r="L3111" s="0" t="str">
        <f aca="false">IF(K3111="","",MATCH(K3111,$F$2:$F$5001,0))</f>
        <v/>
      </c>
      <c r="M3111" s="0" t="str">
        <f aca="false">IF(I3111="","",INDEX(הגדרות!$A$2:$A$21,MOD(I3111+הגדרות!$E$9,הגדרות!$E$6)+1))</f>
        <v/>
      </c>
    </row>
    <row r="3112" customFormat="false" ht="15" hidden="false" customHeight="false" outlineLevel="0" collapsed="false">
      <c r="A3112" s="0" t="str">
        <f aca="false">IF('הדבקת לידים'!A3112="","",IF(ISNUMBER('הדבקת לידים'!A3112),IF(הגדרות!$E$2&gt;0,TEXT('הדבקת לידים'!A3112,REPT("0",הגדרות!$E$2)),TEXT('הדבקת לידים'!A3112,"0")),TRIM('הדבקת לידים'!A3112)))</f>
        <v/>
      </c>
      <c r="B3112" s="0" t="str">
        <f aca="false">IF('הדבקת לידים'!B3112="","",IF(ISNUMBER('הדבקת לידים'!B3112),IF(הגדרות!$E$3&gt;0,TEXT('הדבקת לידים'!B3112,REPT("0",הגדרות!$E$3)),TEXT('הדבקת לידים'!B3112,"0")),TRIM('הדבקת לידים'!B3112)))</f>
        <v/>
      </c>
      <c r="C3112" s="0" t="n">
        <f aca="false">IF(OR(A3112&lt;&gt;"",B3112&lt;&gt;""),1,0)</f>
        <v>0</v>
      </c>
      <c r="D3112" s="0" t="str">
        <f aca="false">IF(C3112=1,MOD(ABS(SIN(ROW()*12.9898+'הדבקת לידים'!$F$2*78.233+IFERROR(--RIGHT(A3112,6),LEN(A3112))*0.0137+IFERROR(--RIGHT(B3112,6),LEN(B3112))*0.0071))*43758.5453,1),"")</f>
        <v/>
      </c>
      <c r="E3112" s="0" t="str">
        <f aca="false">IF(C3112=1,INT(MOD(ABS(SIN(D3112*7919.123+ROW()*0.618+'הדבקת לידים'!$F$2*1.3))*43758.5453,1)*1000000)*10000+ROW(),"")</f>
        <v/>
      </c>
      <c r="F3112" s="0" t="str">
        <f aca="false">IF(E3112="","",RANK(E3112,$E$2:$E$5001,1))</f>
        <v/>
      </c>
      <c r="G3112" s="0" t="n">
        <f aca="false">IF(A3112="",0,IF(SUMPRODUCT(--($A$2:$A$5001=A3112))&gt;1,1,0))</f>
        <v>0</v>
      </c>
      <c r="H3112" s="0" t="n">
        <f aca="false">ROW()-1</f>
        <v>3111</v>
      </c>
      <c r="I3112" s="0" t="str">
        <f aca="false">IF(OR(הגדרות!$E$6=0,H3112&gt;הגדרות!$E$5),"",IF(H3112-1&lt;הגדרות!$E$8*(הגדרות!$E$7+1),INT((H3112-1)/(הגדרות!$E$7+1)),הגדרות!$E$8+INT((H3112-1-הגדרות!$E$8*(הגדרות!$E$7+1))/הגדרות!$E$7)))</f>
        <v/>
      </c>
      <c r="J3112" s="0" t="str">
        <f aca="false">IF(I3112="","",IF(H3112-1&lt;הגדרות!$E$8*(הגדרות!$E$7+1),MOD(H3112-1,הגדרות!$E$7+1),MOD(H3112-1-הגדרות!$E$8*(הגדרות!$E$7+1),הגדרות!$E$7)))</f>
        <v/>
      </c>
      <c r="K3112" s="0" t="str">
        <f aca="false">IF(I3112="","",J3112*הגדרות!$E$6+I3112+1)</f>
        <v/>
      </c>
      <c r="L3112" s="0" t="str">
        <f aca="false">IF(K3112="","",MATCH(K3112,$F$2:$F$5001,0))</f>
        <v/>
      </c>
      <c r="M3112" s="0" t="str">
        <f aca="false">IF(I3112="","",INDEX(הגדרות!$A$2:$A$21,MOD(I3112+הגדרות!$E$9,הגדרות!$E$6)+1))</f>
        <v/>
      </c>
    </row>
    <row r="3113" customFormat="false" ht="15" hidden="false" customHeight="false" outlineLevel="0" collapsed="false">
      <c r="A3113" s="0" t="str">
        <f aca="false">IF('הדבקת לידים'!A3113="","",IF(ISNUMBER('הדבקת לידים'!A3113),IF(הגדרות!$E$2&gt;0,TEXT('הדבקת לידים'!A3113,REPT("0",הגדרות!$E$2)),TEXT('הדבקת לידים'!A3113,"0")),TRIM('הדבקת לידים'!A3113)))</f>
        <v/>
      </c>
      <c r="B3113" s="0" t="str">
        <f aca="false">IF('הדבקת לידים'!B3113="","",IF(ISNUMBER('הדבקת לידים'!B3113),IF(הגדרות!$E$3&gt;0,TEXT('הדבקת לידים'!B3113,REPT("0",הגדרות!$E$3)),TEXT('הדבקת לידים'!B3113,"0")),TRIM('הדבקת לידים'!B3113)))</f>
        <v/>
      </c>
      <c r="C3113" s="0" t="n">
        <f aca="false">IF(OR(A3113&lt;&gt;"",B3113&lt;&gt;""),1,0)</f>
        <v>0</v>
      </c>
      <c r="D3113" s="0" t="str">
        <f aca="false">IF(C3113=1,MOD(ABS(SIN(ROW()*12.9898+'הדבקת לידים'!$F$2*78.233+IFERROR(--RIGHT(A3113,6),LEN(A3113))*0.0137+IFERROR(--RIGHT(B3113,6),LEN(B3113))*0.0071))*43758.5453,1),"")</f>
        <v/>
      </c>
      <c r="E3113" s="0" t="str">
        <f aca="false">IF(C3113=1,INT(MOD(ABS(SIN(D3113*7919.123+ROW()*0.618+'הדבקת לידים'!$F$2*1.3))*43758.5453,1)*1000000)*10000+ROW(),"")</f>
        <v/>
      </c>
      <c r="F3113" s="0" t="str">
        <f aca="false">IF(E3113="","",RANK(E3113,$E$2:$E$5001,1))</f>
        <v/>
      </c>
      <c r="G3113" s="0" t="n">
        <f aca="false">IF(A3113="",0,IF(SUMPRODUCT(--($A$2:$A$5001=A3113))&gt;1,1,0))</f>
        <v>0</v>
      </c>
      <c r="H3113" s="0" t="n">
        <f aca="false">ROW()-1</f>
        <v>3112</v>
      </c>
      <c r="I3113" s="0" t="str">
        <f aca="false">IF(OR(הגדרות!$E$6=0,H3113&gt;הגדרות!$E$5),"",IF(H3113-1&lt;הגדרות!$E$8*(הגדרות!$E$7+1),INT((H3113-1)/(הגדרות!$E$7+1)),הגדרות!$E$8+INT((H3113-1-הגדרות!$E$8*(הגדרות!$E$7+1))/הגדרות!$E$7)))</f>
        <v/>
      </c>
      <c r="J3113" s="0" t="str">
        <f aca="false">IF(I3113="","",IF(H3113-1&lt;הגדרות!$E$8*(הגדרות!$E$7+1),MOD(H3113-1,הגדרות!$E$7+1),MOD(H3113-1-הגדרות!$E$8*(הגדרות!$E$7+1),הגדרות!$E$7)))</f>
        <v/>
      </c>
      <c r="K3113" s="0" t="str">
        <f aca="false">IF(I3113="","",J3113*הגדרות!$E$6+I3113+1)</f>
        <v/>
      </c>
      <c r="L3113" s="0" t="str">
        <f aca="false">IF(K3113="","",MATCH(K3113,$F$2:$F$5001,0))</f>
        <v/>
      </c>
      <c r="M3113" s="0" t="str">
        <f aca="false">IF(I3113="","",INDEX(הגדרות!$A$2:$A$21,MOD(I3113+הגדרות!$E$9,הגדרות!$E$6)+1))</f>
        <v/>
      </c>
    </row>
    <row r="3114" customFormat="false" ht="15" hidden="false" customHeight="false" outlineLevel="0" collapsed="false">
      <c r="A3114" s="0" t="str">
        <f aca="false">IF('הדבקת לידים'!A3114="","",IF(ISNUMBER('הדבקת לידים'!A3114),IF(הגדרות!$E$2&gt;0,TEXT('הדבקת לידים'!A3114,REPT("0",הגדרות!$E$2)),TEXT('הדבקת לידים'!A3114,"0")),TRIM('הדבקת לידים'!A3114)))</f>
        <v/>
      </c>
      <c r="B3114" s="0" t="str">
        <f aca="false">IF('הדבקת לידים'!B3114="","",IF(ISNUMBER('הדבקת לידים'!B3114),IF(הגדרות!$E$3&gt;0,TEXT('הדבקת לידים'!B3114,REPT("0",הגדרות!$E$3)),TEXT('הדבקת לידים'!B3114,"0")),TRIM('הדבקת לידים'!B3114)))</f>
        <v/>
      </c>
      <c r="C3114" s="0" t="n">
        <f aca="false">IF(OR(A3114&lt;&gt;"",B3114&lt;&gt;""),1,0)</f>
        <v>0</v>
      </c>
      <c r="D3114" s="0" t="str">
        <f aca="false">IF(C3114=1,MOD(ABS(SIN(ROW()*12.9898+'הדבקת לידים'!$F$2*78.233+IFERROR(--RIGHT(A3114,6),LEN(A3114))*0.0137+IFERROR(--RIGHT(B3114,6),LEN(B3114))*0.0071))*43758.5453,1),"")</f>
        <v/>
      </c>
      <c r="E3114" s="0" t="str">
        <f aca="false">IF(C3114=1,INT(MOD(ABS(SIN(D3114*7919.123+ROW()*0.618+'הדבקת לידים'!$F$2*1.3))*43758.5453,1)*1000000)*10000+ROW(),"")</f>
        <v/>
      </c>
      <c r="F3114" s="0" t="str">
        <f aca="false">IF(E3114="","",RANK(E3114,$E$2:$E$5001,1))</f>
        <v/>
      </c>
      <c r="G3114" s="0" t="n">
        <f aca="false">IF(A3114="",0,IF(SUMPRODUCT(--($A$2:$A$5001=A3114))&gt;1,1,0))</f>
        <v>0</v>
      </c>
      <c r="H3114" s="0" t="n">
        <f aca="false">ROW()-1</f>
        <v>3113</v>
      </c>
      <c r="I3114" s="0" t="str">
        <f aca="false">IF(OR(הגדרות!$E$6=0,H3114&gt;הגדרות!$E$5),"",IF(H3114-1&lt;הגדרות!$E$8*(הגדרות!$E$7+1),INT((H3114-1)/(הגדרות!$E$7+1)),הגדרות!$E$8+INT((H3114-1-הגדרות!$E$8*(הגדרות!$E$7+1))/הגדרות!$E$7)))</f>
        <v/>
      </c>
      <c r="J3114" s="0" t="str">
        <f aca="false">IF(I3114="","",IF(H3114-1&lt;הגדרות!$E$8*(הגדרות!$E$7+1),MOD(H3114-1,הגדרות!$E$7+1),MOD(H3114-1-הגדרות!$E$8*(הגדרות!$E$7+1),הגדרות!$E$7)))</f>
        <v/>
      </c>
      <c r="K3114" s="0" t="str">
        <f aca="false">IF(I3114="","",J3114*הגדרות!$E$6+I3114+1)</f>
        <v/>
      </c>
      <c r="L3114" s="0" t="str">
        <f aca="false">IF(K3114="","",MATCH(K3114,$F$2:$F$5001,0))</f>
        <v/>
      </c>
      <c r="M3114" s="0" t="str">
        <f aca="false">IF(I3114="","",INDEX(הגדרות!$A$2:$A$21,MOD(I3114+הגדרות!$E$9,הגדרות!$E$6)+1))</f>
        <v/>
      </c>
    </row>
    <row r="3115" customFormat="false" ht="15" hidden="false" customHeight="false" outlineLevel="0" collapsed="false">
      <c r="A3115" s="0" t="str">
        <f aca="false">IF('הדבקת לידים'!A3115="","",IF(ISNUMBER('הדבקת לידים'!A3115),IF(הגדרות!$E$2&gt;0,TEXT('הדבקת לידים'!A3115,REPT("0",הגדרות!$E$2)),TEXT('הדבקת לידים'!A3115,"0")),TRIM('הדבקת לידים'!A3115)))</f>
        <v/>
      </c>
      <c r="B3115" s="0" t="str">
        <f aca="false">IF('הדבקת לידים'!B3115="","",IF(ISNUMBER('הדבקת לידים'!B3115),IF(הגדרות!$E$3&gt;0,TEXT('הדבקת לידים'!B3115,REPT("0",הגדרות!$E$3)),TEXT('הדבקת לידים'!B3115,"0")),TRIM('הדבקת לידים'!B3115)))</f>
        <v/>
      </c>
      <c r="C3115" s="0" t="n">
        <f aca="false">IF(OR(A3115&lt;&gt;"",B3115&lt;&gt;""),1,0)</f>
        <v>0</v>
      </c>
      <c r="D3115" s="0" t="str">
        <f aca="false">IF(C3115=1,MOD(ABS(SIN(ROW()*12.9898+'הדבקת לידים'!$F$2*78.233+IFERROR(--RIGHT(A3115,6),LEN(A3115))*0.0137+IFERROR(--RIGHT(B3115,6),LEN(B3115))*0.0071))*43758.5453,1),"")</f>
        <v/>
      </c>
      <c r="E3115" s="0" t="str">
        <f aca="false">IF(C3115=1,INT(MOD(ABS(SIN(D3115*7919.123+ROW()*0.618+'הדבקת לידים'!$F$2*1.3))*43758.5453,1)*1000000)*10000+ROW(),"")</f>
        <v/>
      </c>
      <c r="F3115" s="0" t="str">
        <f aca="false">IF(E3115="","",RANK(E3115,$E$2:$E$5001,1))</f>
        <v/>
      </c>
      <c r="G3115" s="0" t="n">
        <f aca="false">IF(A3115="",0,IF(SUMPRODUCT(--($A$2:$A$5001=A3115))&gt;1,1,0))</f>
        <v>0</v>
      </c>
      <c r="H3115" s="0" t="n">
        <f aca="false">ROW()-1</f>
        <v>3114</v>
      </c>
      <c r="I3115" s="0" t="str">
        <f aca="false">IF(OR(הגדרות!$E$6=0,H3115&gt;הגדרות!$E$5),"",IF(H3115-1&lt;הגדרות!$E$8*(הגדרות!$E$7+1),INT((H3115-1)/(הגדרות!$E$7+1)),הגדרות!$E$8+INT((H3115-1-הגדרות!$E$8*(הגדרות!$E$7+1))/הגדרות!$E$7)))</f>
        <v/>
      </c>
      <c r="J3115" s="0" t="str">
        <f aca="false">IF(I3115="","",IF(H3115-1&lt;הגדרות!$E$8*(הגדרות!$E$7+1),MOD(H3115-1,הגדרות!$E$7+1),MOD(H3115-1-הגדרות!$E$8*(הגדרות!$E$7+1),הגדרות!$E$7)))</f>
        <v/>
      </c>
      <c r="K3115" s="0" t="str">
        <f aca="false">IF(I3115="","",J3115*הגדרות!$E$6+I3115+1)</f>
        <v/>
      </c>
      <c r="L3115" s="0" t="str">
        <f aca="false">IF(K3115="","",MATCH(K3115,$F$2:$F$5001,0))</f>
        <v/>
      </c>
      <c r="M3115" s="0" t="str">
        <f aca="false">IF(I3115="","",INDEX(הגדרות!$A$2:$A$21,MOD(I3115+הגדרות!$E$9,הגדרות!$E$6)+1))</f>
        <v/>
      </c>
    </row>
    <row r="3116" customFormat="false" ht="15" hidden="false" customHeight="false" outlineLevel="0" collapsed="false">
      <c r="A3116" s="0" t="str">
        <f aca="false">IF('הדבקת לידים'!A3116="","",IF(ISNUMBER('הדבקת לידים'!A3116),IF(הגדרות!$E$2&gt;0,TEXT('הדבקת לידים'!A3116,REPT("0",הגדרות!$E$2)),TEXT('הדבקת לידים'!A3116,"0")),TRIM('הדבקת לידים'!A3116)))</f>
        <v/>
      </c>
      <c r="B3116" s="0" t="str">
        <f aca="false">IF('הדבקת לידים'!B3116="","",IF(ISNUMBER('הדבקת לידים'!B3116),IF(הגדרות!$E$3&gt;0,TEXT('הדבקת לידים'!B3116,REPT("0",הגדרות!$E$3)),TEXT('הדבקת לידים'!B3116,"0")),TRIM('הדבקת לידים'!B3116)))</f>
        <v/>
      </c>
      <c r="C3116" s="0" t="n">
        <f aca="false">IF(OR(A3116&lt;&gt;"",B3116&lt;&gt;""),1,0)</f>
        <v>0</v>
      </c>
      <c r="D3116" s="0" t="str">
        <f aca="false">IF(C3116=1,MOD(ABS(SIN(ROW()*12.9898+'הדבקת לידים'!$F$2*78.233+IFERROR(--RIGHT(A3116,6),LEN(A3116))*0.0137+IFERROR(--RIGHT(B3116,6),LEN(B3116))*0.0071))*43758.5453,1),"")</f>
        <v/>
      </c>
      <c r="E3116" s="0" t="str">
        <f aca="false">IF(C3116=1,INT(MOD(ABS(SIN(D3116*7919.123+ROW()*0.618+'הדבקת לידים'!$F$2*1.3))*43758.5453,1)*1000000)*10000+ROW(),"")</f>
        <v/>
      </c>
      <c r="F3116" s="0" t="str">
        <f aca="false">IF(E3116="","",RANK(E3116,$E$2:$E$5001,1))</f>
        <v/>
      </c>
      <c r="G3116" s="0" t="n">
        <f aca="false">IF(A3116="",0,IF(SUMPRODUCT(--($A$2:$A$5001=A3116))&gt;1,1,0))</f>
        <v>0</v>
      </c>
      <c r="H3116" s="0" t="n">
        <f aca="false">ROW()-1</f>
        <v>3115</v>
      </c>
      <c r="I3116" s="0" t="str">
        <f aca="false">IF(OR(הגדרות!$E$6=0,H3116&gt;הגדרות!$E$5),"",IF(H3116-1&lt;הגדרות!$E$8*(הגדרות!$E$7+1),INT((H3116-1)/(הגדרות!$E$7+1)),הגדרות!$E$8+INT((H3116-1-הגדרות!$E$8*(הגדרות!$E$7+1))/הגדרות!$E$7)))</f>
        <v/>
      </c>
      <c r="J3116" s="0" t="str">
        <f aca="false">IF(I3116="","",IF(H3116-1&lt;הגדרות!$E$8*(הגדרות!$E$7+1),MOD(H3116-1,הגדרות!$E$7+1),MOD(H3116-1-הגדרות!$E$8*(הגדרות!$E$7+1),הגדרות!$E$7)))</f>
        <v/>
      </c>
      <c r="K3116" s="0" t="str">
        <f aca="false">IF(I3116="","",J3116*הגדרות!$E$6+I3116+1)</f>
        <v/>
      </c>
      <c r="L3116" s="0" t="str">
        <f aca="false">IF(K3116="","",MATCH(K3116,$F$2:$F$5001,0))</f>
        <v/>
      </c>
      <c r="M3116" s="0" t="str">
        <f aca="false">IF(I3116="","",INDEX(הגדרות!$A$2:$A$21,MOD(I3116+הגדרות!$E$9,הגדרות!$E$6)+1))</f>
        <v/>
      </c>
    </row>
    <row r="3117" customFormat="false" ht="15" hidden="false" customHeight="false" outlineLevel="0" collapsed="false">
      <c r="A3117" s="0" t="str">
        <f aca="false">IF('הדבקת לידים'!A3117="","",IF(ISNUMBER('הדבקת לידים'!A3117),IF(הגדרות!$E$2&gt;0,TEXT('הדבקת לידים'!A3117,REPT("0",הגדרות!$E$2)),TEXT('הדבקת לידים'!A3117,"0")),TRIM('הדבקת לידים'!A3117)))</f>
        <v/>
      </c>
      <c r="B3117" s="0" t="str">
        <f aca="false">IF('הדבקת לידים'!B3117="","",IF(ISNUMBER('הדבקת לידים'!B3117),IF(הגדרות!$E$3&gt;0,TEXT('הדבקת לידים'!B3117,REPT("0",הגדרות!$E$3)),TEXT('הדבקת לידים'!B3117,"0")),TRIM('הדבקת לידים'!B3117)))</f>
        <v/>
      </c>
      <c r="C3117" s="0" t="n">
        <f aca="false">IF(OR(A3117&lt;&gt;"",B3117&lt;&gt;""),1,0)</f>
        <v>0</v>
      </c>
      <c r="D3117" s="0" t="str">
        <f aca="false">IF(C3117=1,MOD(ABS(SIN(ROW()*12.9898+'הדבקת לידים'!$F$2*78.233+IFERROR(--RIGHT(A3117,6),LEN(A3117))*0.0137+IFERROR(--RIGHT(B3117,6),LEN(B3117))*0.0071))*43758.5453,1),"")</f>
        <v/>
      </c>
      <c r="E3117" s="0" t="str">
        <f aca="false">IF(C3117=1,INT(MOD(ABS(SIN(D3117*7919.123+ROW()*0.618+'הדבקת לידים'!$F$2*1.3))*43758.5453,1)*1000000)*10000+ROW(),"")</f>
        <v/>
      </c>
      <c r="F3117" s="0" t="str">
        <f aca="false">IF(E3117="","",RANK(E3117,$E$2:$E$5001,1))</f>
        <v/>
      </c>
      <c r="G3117" s="0" t="n">
        <f aca="false">IF(A3117="",0,IF(SUMPRODUCT(--($A$2:$A$5001=A3117))&gt;1,1,0))</f>
        <v>0</v>
      </c>
      <c r="H3117" s="0" t="n">
        <f aca="false">ROW()-1</f>
        <v>3116</v>
      </c>
      <c r="I3117" s="0" t="str">
        <f aca="false">IF(OR(הגדרות!$E$6=0,H3117&gt;הגדרות!$E$5),"",IF(H3117-1&lt;הגדרות!$E$8*(הגדרות!$E$7+1),INT((H3117-1)/(הגדרות!$E$7+1)),הגדרות!$E$8+INT((H3117-1-הגדרות!$E$8*(הגדרות!$E$7+1))/הגדרות!$E$7)))</f>
        <v/>
      </c>
      <c r="J3117" s="0" t="str">
        <f aca="false">IF(I3117="","",IF(H3117-1&lt;הגדרות!$E$8*(הגדרות!$E$7+1),MOD(H3117-1,הגדרות!$E$7+1),MOD(H3117-1-הגדרות!$E$8*(הגדרות!$E$7+1),הגדרות!$E$7)))</f>
        <v/>
      </c>
      <c r="K3117" s="0" t="str">
        <f aca="false">IF(I3117="","",J3117*הגדרות!$E$6+I3117+1)</f>
        <v/>
      </c>
      <c r="L3117" s="0" t="str">
        <f aca="false">IF(K3117="","",MATCH(K3117,$F$2:$F$5001,0))</f>
        <v/>
      </c>
      <c r="M3117" s="0" t="str">
        <f aca="false">IF(I3117="","",INDEX(הגדרות!$A$2:$A$21,MOD(I3117+הגדרות!$E$9,הגדרות!$E$6)+1))</f>
        <v/>
      </c>
    </row>
    <row r="3118" customFormat="false" ht="15" hidden="false" customHeight="false" outlineLevel="0" collapsed="false">
      <c r="A3118" s="0" t="str">
        <f aca="false">IF('הדבקת לידים'!A3118="","",IF(ISNUMBER('הדבקת לידים'!A3118),IF(הגדרות!$E$2&gt;0,TEXT('הדבקת לידים'!A3118,REPT("0",הגדרות!$E$2)),TEXT('הדבקת לידים'!A3118,"0")),TRIM('הדבקת לידים'!A3118)))</f>
        <v/>
      </c>
      <c r="B3118" s="0" t="str">
        <f aca="false">IF('הדבקת לידים'!B3118="","",IF(ISNUMBER('הדבקת לידים'!B3118),IF(הגדרות!$E$3&gt;0,TEXT('הדבקת לידים'!B3118,REPT("0",הגדרות!$E$3)),TEXT('הדבקת לידים'!B3118,"0")),TRIM('הדבקת לידים'!B3118)))</f>
        <v/>
      </c>
      <c r="C3118" s="0" t="n">
        <f aca="false">IF(OR(A3118&lt;&gt;"",B3118&lt;&gt;""),1,0)</f>
        <v>0</v>
      </c>
      <c r="D3118" s="0" t="str">
        <f aca="false">IF(C3118=1,MOD(ABS(SIN(ROW()*12.9898+'הדבקת לידים'!$F$2*78.233+IFERROR(--RIGHT(A3118,6),LEN(A3118))*0.0137+IFERROR(--RIGHT(B3118,6),LEN(B3118))*0.0071))*43758.5453,1),"")</f>
        <v/>
      </c>
      <c r="E3118" s="0" t="str">
        <f aca="false">IF(C3118=1,INT(MOD(ABS(SIN(D3118*7919.123+ROW()*0.618+'הדבקת לידים'!$F$2*1.3))*43758.5453,1)*1000000)*10000+ROW(),"")</f>
        <v/>
      </c>
      <c r="F3118" s="0" t="str">
        <f aca="false">IF(E3118="","",RANK(E3118,$E$2:$E$5001,1))</f>
        <v/>
      </c>
      <c r="G3118" s="0" t="n">
        <f aca="false">IF(A3118="",0,IF(SUMPRODUCT(--($A$2:$A$5001=A3118))&gt;1,1,0))</f>
        <v>0</v>
      </c>
      <c r="H3118" s="0" t="n">
        <f aca="false">ROW()-1</f>
        <v>3117</v>
      </c>
      <c r="I3118" s="0" t="str">
        <f aca="false">IF(OR(הגדרות!$E$6=0,H3118&gt;הגדרות!$E$5),"",IF(H3118-1&lt;הגדרות!$E$8*(הגדרות!$E$7+1),INT((H3118-1)/(הגדרות!$E$7+1)),הגדרות!$E$8+INT((H3118-1-הגדרות!$E$8*(הגדרות!$E$7+1))/הגדרות!$E$7)))</f>
        <v/>
      </c>
      <c r="J3118" s="0" t="str">
        <f aca="false">IF(I3118="","",IF(H3118-1&lt;הגדרות!$E$8*(הגדרות!$E$7+1),MOD(H3118-1,הגדרות!$E$7+1),MOD(H3118-1-הגדרות!$E$8*(הגדרות!$E$7+1),הגדרות!$E$7)))</f>
        <v/>
      </c>
      <c r="K3118" s="0" t="str">
        <f aca="false">IF(I3118="","",J3118*הגדרות!$E$6+I3118+1)</f>
        <v/>
      </c>
      <c r="L3118" s="0" t="str">
        <f aca="false">IF(K3118="","",MATCH(K3118,$F$2:$F$5001,0))</f>
        <v/>
      </c>
      <c r="M3118" s="0" t="str">
        <f aca="false">IF(I3118="","",INDEX(הגדרות!$A$2:$A$21,MOD(I3118+הגדרות!$E$9,הגדרות!$E$6)+1))</f>
        <v/>
      </c>
    </row>
    <row r="3119" customFormat="false" ht="15" hidden="false" customHeight="false" outlineLevel="0" collapsed="false">
      <c r="A3119" s="0" t="str">
        <f aca="false">IF('הדבקת לידים'!A3119="","",IF(ISNUMBER('הדבקת לידים'!A3119),IF(הגדרות!$E$2&gt;0,TEXT('הדבקת לידים'!A3119,REPT("0",הגדרות!$E$2)),TEXT('הדבקת לידים'!A3119,"0")),TRIM('הדבקת לידים'!A3119)))</f>
        <v/>
      </c>
      <c r="B3119" s="0" t="str">
        <f aca="false">IF('הדבקת לידים'!B3119="","",IF(ISNUMBER('הדבקת לידים'!B3119),IF(הגדרות!$E$3&gt;0,TEXT('הדבקת לידים'!B3119,REPT("0",הגדרות!$E$3)),TEXT('הדבקת לידים'!B3119,"0")),TRIM('הדבקת לידים'!B3119)))</f>
        <v/>
      </c>
      <c r="C3119" s="0" t="n">
        <f aca="false">IF(OR(A3119&lt;&gt;"",B3119&lt;&gt;""),1,0)</f>
        <v>0</v>
      </c>
      <c r="D3119" s="0" t="str">
        <f aca="false">IF(C3119=1,MOD(ABS(SIN(ROW()*12.9898+'הדבקת לידים'!$F$2*78.233+IFERROR(--RIGHT(A3119,6),LEN(A3119))*0.0137+IFERROR(--RIGHT(B3119,6),LEN(B3119))*0.0071))*43758.5453,1),"")</f>
        <v/>
      </c>
      <c r="E3119" s="0" t="str">
        <f aca="false">IF(C3119=1,INT(MOD(ABS(SIN(D3119*7919.123+ROW()*0.618+'הדבקת לידים'!$F$2*1.3))*43758.5453,1)*1000000)*10000+ROW(),"")</f>
        <v/>
      </c>
      <c r="F3119" s="0" t="str">
        <f aca="false">IF(E3119="","",RANK(E3119,$E$2:$E$5001,1))</f>
        <v/>
      </c>
      <c r="G3119" s="0" t="n">
        <f aca="false">IF(A3119="",0,IF(SUMPRODUCT(--($A$2:$A$5001=A3119))&gt;1,1,0))</f>
        <v>0</v>
      </c>
      <c r="H3119" s="0" t="n">
        <f aca="false">ROW()-1</f>
        <v>3118</v>
      </c>
      <c r="I3119" s="0" t="str">
        <f aca="false">IF(OR(הגדרות!$E$6=0,H3119&gt;הגדרות!$E$5),"",IF(H3119-1&lt;הגדרות!$E$8*(הגדרות!$E$7+1),INT((H3119-1)/(הגדרות!$E$7+1)),הגדרות!$E$8+INT((H3119-1-הגדרות!$E$8*(הגדרות!$E$7+1))/הגדרות!$E$7)))</f>
        <v/>
      </c>
      <c r="J3119" s="0" t="str">
        <f aca="false">IF(I3119="","",IF(H3119-1&lt;הגדרות!$E$8*(הגדרות!$E$7+1),MOD(H3119-1,הגדרות!$E$7+1),MOD(H3119-1-הגדרות!$E$8*(הגדרות!$E$7+1),הגדרות!$E$7)))</f>
        <v/>
      </c>
      <c r="K3119" s="0" t="str">
        <f aca="false">IF(I3119="","",J3119*הגדרות!$E$6+I3119+1)</f>
        <v/>
      </c>
      <c r="L3119" s="0" t="str">
        <f aca="false">IF(K3119="","",MATCH(K3119,$F$2:$F$5001,0))</f>
        <v/>
      </c>
      <c r="M3119" s="0" t="str">
        <f aca="false">IF(I3119="","",INDEX(הגדרות!$A$2:$A$21,MOD(I3119+הגדרות!$E$9,הגדרות!$E$6)+1))</f>
        <v/>
      </c>
    </row>
    <row r="3120" customFormat="false" ht="15" hidden="false" customHeight="false" outlineLevel="0" collapsed="false">
      <c r="A3120" s="0" t="str">
        <f aca="false">IF('הדבקת לידים'!A3120="","",IF(ISNUMBER('הדבקת לידים'!A3120),IF(הגדרות!$E$2&gt;0,TEXT('הדבקת לידים'!A3120,REPT("0",הגדרות!$E$2)),TEXT('הדבקת לידים'!A3120,"0")),TRIM('הדבקת לידים'!A3120)))</f>
        <v/>
      </c>
      <c r="B3120" s="0" t="str">
        <f aca="false">IF('הדבקת לידים'!B3120="","",IF(ISNUMBER('הדבקת לידים'!B3120),IF(הגדרות!$E$3&gt;0,TEXT('הדבקת לידים'!B3120,REPT("0",הגדרות!$E$3)),TEXT('הדבקת לידים'!B3120,"0")),TRIM('הדבקת לידים'!B3120)))</f>
        <v/>
      </c>
      <c r="C3120" s="0" t="n">
        <f aca="false">IF(OR(A3120&lt;&gt;"",B3120&lt;&gt;""),1,0)</f>
        <v>0</v>
      </c>
      <c r="D3120" s="0" t="str">
        <f aca="false">IF(C3120=1,MOD(ABS(SIN(ROW()*12.9898+'הדבקת לידים'!$F$2*78.233+IFERROR(--RIGHT(A3120,6),LEN(A3120))*0.0137+IFERROR(--RIGHT(B3120,6),LEN(B3120))*0.0071))*43758.5453,1),"")</f>
        <v/>
      </c>
      <c r="E3120" s="0" t="str">
        <f aca="false">IF(C3120=1,INT(MOD(ABS(SIN(D3120*7919.123+ROW()*0.618+'הדבקת לידים'!$F$2*1.3))*43758.5453,1)*1000000)*10000+ROW(),"")</f>
        <v/>
      </c>
      <c r="F3120" s="0" t="str">
        <f aca="false">IF(E3120="","",RANK(E3120,$E$2:$E$5001,1))</f>
        <v/>
      </c>
      <c r="G3120" s="0" t="n">
        <f aca="false">IF(A3120="",0,IF(SUMPRODUCT(--($A$2:$A$5001=A3120))&gt;1,1,0))</f>
        <v>0</v>
      </c>
      <c r="H3120" s="0" t="n">
        <f aca="false">ROW()-1</f>
        <v>3119</v>
      </c>
      <c r="I3120" s="0" t="str">
        <f aca="false">IF(OR(הגדרות!$E$6=0,H3120&gt;הגדרות!$E$5),"",IF(H3120-1&lt;הגדרות!$E$8*(הגדרות!$E$7+1),INT((H3120-1)/(הגדרות!$E$7+1)),הגדרות!$E$8+INT((H3120-1-הגדרות!$E$8*(הגדרות!$E$7+1))/הגדרות!$E$7)))</f>
        <v/>
      </c>
      <c r="J3120" s="0" t="str">
        <f aca="false">IF(I3120="","",IF(H3120-1&lt;הגדרות!$E$8*(הגדרות!$E$7+1),MOD(H3120-1,הגדרות!$E$7+1),MOD(H3120-1-הגדרות!$E$8*(הגדרות!$E$7+1),הגדרות!$E$7)))</f>
        <v/>
      </c>
      <c r="K3120" s="0" t="str">
        <f aca="false">IF(I3120="","",J3120*הגדרות!$E$6+I3120+1)</f>
        <v/>
      </c>
      <c r="L3120" s="0" t="str">
        <f aca="false">IF(K3120="","",MATCH(K3120,$F$2:$F$5001,0))</f>
        <v/>
      </c>
      <c r="M3120" s="0" t="str">
        <f aca="false">IF(I3120="","",INDEX(הגדרות!$A$2:$A$21,MOD(I3120+הגדרות!$E$9,הגדרות!$E$6)+1))</f>
        <v/>
      </c>
    </row>
    <row r="3121" customFormat="false" ht="15" hidden="false" customHeight="false" outlineLevel="0" collapsed="false">
      <c r="A3121" s="0" t="str">
        <f aca="false">IF('הדבקת לידים'!A3121="","",IF(ISNUMBER('הדבקת לידים'!A3121),IF(הגדרות!$E$2&gt;0,TEXT('הדבקת לידים'!A3121,REPT("0",הגדרות!$E$2)),TEXT('הדבקת לידים'!A3121,"0")),TRIM('הדבקת לידים'!A3121)))</f>
        <v/>
      </c>
      <c r="B3121" s="0" t="str">
        <f aca="false">IF('הדבקת לידים'!B3121="","",IF(ISNUMBER('הדבקת לידים'!B3121),IF(הגדרות!$E$3&gt;0,TEXT('הדבקת לידים'!B3121,REPT("0",הגדרות!$E$3)),TEXT('הדבקת לידים'!B3121,"0")),TRIM('הדבקת לידים'!B3121)))</f>
        <v/>
      </c>
      <c r="C3121" s="0" t="n">
        <f aca="false">IF(OR(A3121&lt;&gt;"",B3121&lt;&gt;""),1,0)</f>
        <v>0</v>
      </c>
      <c r="D3121" s="0" t="str">
        <f aca="false">IF(C3121=1,MOD(ABS(SIN(ROW()*12.9898+'הדבקת לידים'!$F$2*78.233+IFERROR(--RIGHT(A3121,6),LEN(A3121))*0.0137+IFERROR(--RIGHT(B3121,6),LEN(B3121))*0.0071))*43758.5453,1),"")</f>
        <v/>
      </c>
      <c r="E3121" s="0" t="str">
        <f aca="false">IF(C3121=1,INT(MOD(ABS(SIN(D3121*7919.123+ROW()*0.618+'הדבקת לידים'!$F$2*1.3))*43758.5453,1)*1000000)*10000+ROW(),"")</f>
        <v/>
      </c>
      <c r="F3121" s="0" t="str">
        <f aca="false">IF(E3121="","",RANK(E3121,$E$2:$E$5001,1))</f>
        <v/>
      </c>
      <c r="G3121" s="0" t="n">
        <f aca="false">IF(A3121="",0,IF(SUMPRODUCT(--($A$2:$A$5001=A3121))&gt;1,1,0))</f>
        <v>0</v>
      </c>
      <c r="H3121" s="0" t="n">
        <f aca="false">ROW()-1</f>
        <v>3120</v>
      </c>
      <c r="I3121" s="0" t="str">
        <f aca="false">IF(OR(הגדרות!$E$6=0,H3121&gt;הגדרות!$E$5),"",IF(H3121-1&lt;הגדרות!$E$8*(הגדרות!$E$7+1),INT((H3121-1)/(הגדרות!$E$7+1)),הגדרות!$E$8+INT((H3121-1-הגדרות!$E$8*(הגדרות!$E$7+1))/הגדרות!$E$7)))</f>
        <v/>
      </c>
      <c r="J3121" s="0" t="str">
        <f aca="false">IF(I3121="","",IF(H3121-1&lt;הגדרות!$E$8*(הגדרות!$E$7+1),MOD(H3121-1,הגדרות!$E$7+1),MOD(H3121-1-הגדרות!$E$8*(הגדרות!$E$7+1),הגדרות!$E$7)))</f>
        <v/>
      </c>
      <c r="K3121" s="0" t="str">
        <f aca="false">IF(I3121="","",J3121*הגדרות!$E$6+I3121+1)</f>
        <v/>
      </c>
      <c r="L3121" s="0" t="str">
        <f aca="false">IF(K3121="","",MATCH(K3121,$F$2:$F$5001,0))</f>
        <v/>
      </c>
      <c r="M3121" s="0" t="str">
        <f aca="false">IF(I3121="","",INDEX(הגדרות!$A$2:$A$21,MOD(I3121+הגדרות!$E$9,הגדרות!$E$6)+1))</f>
        <v/>
      </c>
    </row>
    <row r="3122" customFormat="false" ht="15" hidden="false" customHeight="false" outlineLevel="0" collapsed="false">
      <c r="A3122" s="0" t="str">
        <f aca="false">IF('הדבקת לידים'!A3122="","",IF(ISNUMBER('הדבקת לידים'!A3122),IF(הגדרות!$E$2&gt;0,TEXT('הדבקת לידים'!A3122,REPT("0",הגדרות!$E$2)),TEXT('הדבקת לידים'!A3122,"0")),TRIM('הדבקת לידים'!A3122)))</f>
        <v/>
      </c>
      <c r="B3122" s="0" t="str">
        <f aca="false">IF('הדבקת לידים'!B3122="","",IF(ISNUMBER('הדבקת לידים'!B3122),IF(הגדרות!$E$3&gt;0,TEXT('הדבקת לידים'!B3122,REPT("0",הגדרות!$E$3)),TEXT('הדבקת לידים'!B3122,"0")),TRIM('הדבקת לידים'!B3122)))</f>
        <v/>
      </c>
      <c r="C3122" s="0" t="n">
        <f aca="false">IF(OR(A3122&lt;&gt;"",B3122&lt;&gt;""),1,0)</f>
        <v>0</v>
      </c>
      <c r="D3122" s="0" t="str">
        <f aca="false">IF(C3122=1,MOD(ABS(SIN(ROW()*12.9898+'הדבקת לידים'!$F$2*78.233+IFERROR(--RIGHT(A3122,6),LEN(A3122))*0.0137+IFERROR(--RIGHT(B3122,6),LEN(B3122))*0.0071))*43758.5453,1),"")</f>
        <v/>
      </c>
      <c r="E3122" s="0" t="str">
        <f aca="false">IF(C3122=1,INT(MOD(ABS(SIN(D3122*7919.123+ROW()*0.618+'הדבקת לידים'!$F$2*1.3))*43758.5453,1)*1000000)*10000+ROW(),"")</f>
        <v/>
      </c>
      <c r="F3122" s="0" t="str">
        <f aca="false">IF(E3122="","",RANK(E3122,$E$2:$E$5001,1))</f>
        <v/>
      </c>
      <c r="G3122" s="0" t="n">
        <f aca="false">IF(A3122="",0,IF(SUMPRODUCT(--($A$2:$A$5001=A3122))&gt;1,1,0))</f>
        <v>0</v>
      </c>
      <c r="H3122" s="0" t="n">
        <f aca="false">ROW()-1</f>
        <v>3121</v>
      </c>
      <c r="I3122" s="0" t="str">
        <f aca="false">IF(OR(הגדרות!$E$6=0,H3122&gt;הגדרות!$E$5),"",IF(H3122-1&lt;הגדרות!$E$8*(הגדרות!$E$7+1),INT((H3122-1)/(הגדרות!$E$7+1)),הגדרות!$E$8+INT((H3122-1-הגדרות!$E$8*(הגדרות!$E$7+1))/הגדרות!$E$7)))</f>
        <v/>
      </c>
      <c r="J3122" s="0" t="str">
        <f aca="false">IF(I3122="","",IF(H3122-1&lt;הגדרות!$E$8*(הגדרות!$E$7+1),MOD(H3122-1,הגדרות!$E$7+1),MOD(H3122-1-הגדרות!$E$8*(הגדרות!$E$7+1),הגדרות!$E$7)))</f>
        <v/>
      </c>
      <c r="K3122" s="0" t="str">
        <f aca="false">IF(I3122="","",J3122*הגדרות!$E$6+I3122+1)</f>
        <v/>
      </c>
      <c r="L3122" s="0" t="str">
        <f aca="false">IF(K3122="","",MATCH(K3122,$F$2:$F$5001,0))</f>
        <v/>
      </c>
      <c r="M3122" s="0" t="str">
        <f aca="false">IF(I3122="","",INDEX(הגדרות!$A$2:$A$21,MOD(I3122+הגדרות!$E$9,הגדרות!$E$6)+1))</f>
        <v/>
      </c>
    </row>
    <row r="3123" customFormat="false" ht="15" hidden="false" customHeight="false" outlineLevel="0" collapsed="false">
      <c r="A3123" s="0" t="str">
        <f aca="false">IF('הדבקת לידים'!A3123="","",IF(ISNUMBER('הדבקת לידים'!A3123),IF(הגדרות!$E$2&gt;0,TEXT('הדבקת לידים'!A3123,REPT("0",הגדרות!$E$2)),TEXT('הדבקת לידים'!A3123,"0")),TRIM('הדבקת לידים'!A3123)))</f>
        <v/>
      </c>
      <c r="B3123" s="0" t="str">
        <f aca="false">IF('הדבקת לידים'!B3123="","",IF(ISNUMBER('הדבקת לידים'!B3123),IF(הגדרות!$E$3&gt;0,TEXT('הדבקת לידים'!B3123,REPT("0",הגדרות!$E$3)),TEXT('הדבקת לידים'!B3123,"0")),TRIM('הדבקת לידים'!B3123)))</f>
        <v/>
      </c>
      <c r="C3123" s="0" t="n">
        <f aca="false">IF(OR(A3123&lt;&gt;"",B3123&lt;&gt;""),1,0)</f>
        <v>0</v>
      </c>
      <c r="D3123" s="0" t="str">
        <f aca="false">IF(C3123=1,MOD(ABS(SIN(ROW()*12.9898+'הדבקת לידים'!$F$2*78.233+IFERROR(--RIGHT(A3123,6),LEN(A3123))*0.0137+IFERROR(--RIGHT(B3123,6),LEN(B3123))*0.0071))*43758.5453,1),"")</f>
        <v/>
      </c>
      <c r="E3123" s="0" t="str">
        <f aca="false">IF(C3123=1,INT(MOD(ABS(SIN(D3123*7919.123+ROW()*0.618+'הדבקת לידים'!$F$2*1.3))*43758.5453,1)*1000000)*10000+ROW(),"")</f>
        <v/>
      </c>
      <c r="F3123" s="0" t="str">
        <f aca="false">IF(E3123="","",RANK(E3123,$E$2:$E$5001,1))</f>
        <v/>
      </c>
      <c r="G3123" s="0" t="n">
        <f aca="false">IF(A3123="",0,IF(SUMPRODUCT(--($A$2:$A$5001=A3123))&gt;1,1,0))</f>
        <v>0</v>
      </c>
      <c r="H3123" s="0" t="n">
        <f aca="false">ROW()-1</f>
        <v>3122</v>
      </c>
      <c r="I3123" s="0" t="str">
        <f aca="false">IF(OR(הגדרות!$E$6=0,H3123&gt;הגדרות!$E$5),"",IF(H3123-1&lt;הגדרות!$E$8*(הגדרות!$E$7+1),INT((H3123-1)/(הגדרות!$E$7+1)),הגדרות!$E$8+INT((H3123-1-הגדרות!$E$8*(הגדרות!$E$7+1))/הגדרות!$E$7)))</f>
        <v/>
      </c>
      <c r="J3123" s="0" t="str">
        <f aca="false">IF(I3123="","",IF(H3123-1&lt;הגדרות!$E$8*(הגדרות!$E$7+1),MOD(H3123-1,הגדרות!$E$7+1),MOD(H3123-1-הגדרות!$E$8*(הגדרות!$E$7+1),הגדרות!$E$7)))</f>
        <v/>
      </c>
      <c r="K3123" s="0" t="str">
        <f aca="false">IF(I3123="","",J3123*הגדרות!$E$6+I3123+1)</f>
        <v/>
      </c>
      <c r="L3123" s="0" t="str">
        <f aca="false">IF(K3123="","",MATCH(K3123,$F$2:$F$5001,0))</f>
        <v/>
      </c>
      <c r="M3123" s="0" t="str">
        <f aca="false">IF(I3123="","",INDEX(הגדרות!$A$2:$A$21,MOD(I3123+הגדרות!$E$9,הגדרות!$E$6)+1))</f>
        <v/>
      </c>
    </row>
    <row r="3124" customFormat="false" ht="15" hidden="false" customHeight="false" outlineLevel="0" collapsed="false">
      <c r="A3124" s="0" t="str">
        <f aca="false">IF('הדבקת לידים'!A3124="","",IF(ISNUMBER('הדבקת לידים'!A3124),IF(הגדרות!$E$2&gt;0,TEXT('הדבקת לידים'!A3124,REPT("0",הגדרות!$E$2)),TEXT('הדבקת לידים'!A3124,"0")),TRIM('הדבקת לידים'!A3124)))</f>
        <v/>
      </c>
      <c r="B3124" s="0" t="str">
        <f aca="false">IF('הדבקת לידים'!B3124="","",IF(ISNUMBER('הדבקת לידים'!B3124),IF(הגדרות!$E$3&gt;0,TEXT('הדבקת לידים'!B3124,REPT("0",הגדרות!$E$3)),TEXT('הדבקת לידים'!B3124,"0")),TRIM('הדבקת לידים'!B3124)))</f>
        <v/>
      </c>
      <c r="C3124" s="0" t="n">
        <f aca="false">IF(OR(A3124&lt;&gt;"",B3124&lt;&gt;""),1,0)</f>
        <v>0</v>
      </c>
      <c r="D3124" s="0" t="str">
        <f aca="false">IF(C3124=1,MOD(ABS(SIN(ROW()*12.9898+'הדבקת לידים'!$F$2*78.233+IFERROR(--RIGHT(A3124,6),LEN(A3124))*0.0137+IFERROR(--RIGHT(B3124,6),LEN(B3124))*0.0071))*43758.5453,1),"")</f>
        <v/>
      </c>
      <c r="E3124" s="0" t="str">
        <f aca="false">IF(C3124=1,INT(MOD(ABS(SIN(D3124*7919.123+ROW()*0.618+'הדבקת לידים'!$F$2*1.3))*43758.5453,1)*1000000)*10000+ROW(),"")</f>
        <v/>
      </c>
      <c r="F3124" s="0" t="str">
        <f aca="false">IF(E3124="","",RANK(E3124,$E$2:$E$5001,1))</f>
        <v/>
      </c>
      <c r="G3124" s="0" t="n">
        <f aca="false">IF(A3124="",0,IF(SUMPRODUCT(--($A$2:$A$5001=A3124))&gt;1,1,0))</f>
        <v>0</v>
      </c>
      <c r="H3124" s="0" t="n">
        <f aca="false">ROW()-1</f>
        <v>3123</v>
      </c>
      <c r="I3124" s="0" t="str">
        <f aca="false">IF(OR(הגדרות!$E$6=0,H3124&gt;הגדרות!$E$5),"",IF(H3124-1&lt;הגדרות!$E$8*(הגדרות!$E$7+1),INT((H3124-1)/(הגדרות!$E$7+1)),הגדרות!$E$8+INT((H3124-1-הגדרות!$E$8*(הגדרות!$E$7+1))/הגדרות!$E$7)))</f>
        <v/>
      </c>
      <c r="J3124" s="0" t="str">
        <f aca="false">IF(I3124="","",IF(H3124-1&lt;הגדרות!$E$8*(הגדרות!$E$7+1),MOD(H3124-1,הגדרות!$E$7+1),MOD(H3124-1-הגדרות!$E$8*(הגדרות!$E$7+1),הגדרות!$E$7)))</f>
        <v/>
      </c>
      <c r="K3124" s="0" t="str">
        <f aca="false">IF(I3124="","",J3124*הגדרות!$E$6+I3124+1)</f>
        <v/>
      </c>
      <c r="L3124" s="0" t="str">
        <f aca="false">IF(K3124="","",MATCH(K3124,$F$2:$F$5001,0))</f>
        <v/>
      </c>
      <c r="M3124" s="0" t="str">
        <f aca="false">IF(I3124="","",INDEX(הגדרות!$A$2:$A$21,MOD(I3124+הגדרות!$E$9,הגדרות!$E$6)+1))</f>
        <v/>
      </c>
    </row>
    <row r="3125" customFormat="false" ht="15" hidden="false" customHeight="false" outlineLevel="0" collapsed="false">
      <c r="A3125" s="0" t="str">
        <f aca="false">IF('הדבקת לידים'!A3125="","",IF(ISNUMBER('הדבקת לידים'!A3125),IF(הגדרות!$E$2&gt;0,TEXT('הדבקת לידים'!A3125,REPT("0",הגדרות!$E$2)),TEXT('הדבקת לידים'!A3125,"0")),TRIM('הדבקת לידים'!A3125)))</f>
        <v/>
      </c>
      <c r="B3125" s="0" t="str">
        <f aca="false">IF('הדבקת לידים'!B3125="","",IF(ISNUMBER('הדבקת לידים'!B3125),IF(הגדרות!$E$3&gt;0,TEXT('הדבקת לידים'!B3125,REPT("0",הגדרות!$E$3)),TEXT('הדבקת לידים'!B3125,"0")),TRIM('הדבקת לידים'!B3125)))</f>
        <v/>
      </c>
      <c r="C3125" s="0" t="n">
        <f aca="false">IF(OR(A3125&lt;&gt;"",B3125&lt;&gt;""),1,0)</f>
        <v>0</v>
      </c>
      <c r="D3125" s="0" t="str">
        <f aca="false">IF(C3125=1,MOD(ABS(SIN(ROW()*12.9898+'הדבקת לידים'!$F$2*78.233+IFERROR(--RIGHT(A3125,6),LEN(A3125))*0.0137+IFERROR(--RIGHT(B3125,6),LEN(B3125))*0.0071))*43758.5453,1),"")</f>
        <v/>
      </c>
      <c r="E3125" s="0" t="str">
        <f aca="false">IF(C3125=1,INT(MOD(ABS(SIN(D3125*7919.123+ROW()*0.618+'הדבקת לידים'!$F$2*1.3))*43758.5453,1)*1000000)*10000+ROW(),"")</f>
        <v/>
      </c>
      <c r="F3125" s="0" t="str">
        <f aca="false">IF(E3125="","",RANK(E3125,$E$2:$E$5001,1))</f>
        <v/>
      </c>
      <c r="G3125" s="0" t="n">
        <f aca="false">IF(A3125="",0,IF(SUMPRODUCT(--($A$2:$A$5001=A3125))&gt;1,1,0))</f>
        <v>0</v>
      </c>
      <c r="H3125" s="0" t="n">
        <f aca="false">ROW()-1</f>
        <v>3124</v>
      </c>
      <c r="I3125" s="0" t="str">
        <f aca="false">IF(OR(הגדרות!$E$6=0,H3125&gt;הגדרות!$E$5),"",IF(H3125-1&lt;הגדרות!$E$8*(הגדרות!$E$7+1),INT((H3125-1)/(הגדרות!$E$7+1)),הגדרות!$E$8+INT((H3125-1-הגדרות!$E$8*(הגדרות!$E$7+1))/הגדרות!$E$7)))</f>
        <v/>
      </c>
      <c r="J3125" s="0" t="str">
        <f aca="false">IF(I3125="","",IF(H3125-1&lt;הגדרות!$E$8*(הגדרות!$E$7+1),MOD(H3125-1,הגדרות!$E$7+1),MOD(H3125-1-הגדרות!$E$8*(הגדרות!$E$7+1),הגדרות!$E$7)))</f>
        <v/>
      </c>
      <c r="K3125" s="0" t="str">
        <f aca="false">IF(I3125="","",J3125*הגדרות!$E$6+I3125+1)</f>
        <v/>
      </c>
      <c r="L3125" s="0" t="str">
        <f aca="false">IF(K3125="","",MATCH(K3125,$F$2:$F$5001,0))</f>
        <v/>
      </c>
      <c r="M3125" s="0" t="str">
        <f aca="false">IF(I3125="","",INDEX(הגדרות!$A$2:$A$21,MOD(I3125+הגדרות!$E$9,הגדרות!$E$6)+1))</f>
        <v/>
      </c>
    </row>
    <row r="3126" customFormat="false" ht="15" hidden="false" customHeight="false" outlineLevel="0" collapsed="false">
      <c r="A3126" s="0" t="str">
        <f aca="false">IF('הדבקת לידים'!A3126="","",IF(ISNUMBER('הדבקת לידים'!A3126),IF(הגדרות!$E$2&gt;0,TEXT('הדבקת לידים'!A3126,REPT("0",הגדרות!$E$2)),TEXT('הדבקת לידים'!A3126,"0")),TRIM('הדבקת לידים'!A3126)))</f>
        <v/>
      </c>
      <c r="B3126" s="0" t="str">
        <f aca="false">IF('הדבקת לידים'!B3126="","",IF(ISNUMBER('הדבקת לידים'!B3126),IF(הגדרות!$E$3&gt;0,TEXT('הדבקת לידים'!B3126,REPT("0",הגדרות!$E$3)),TEXT('הדבקת לידים'!B3126,"0")),TRIM('הדבקת לידים'!B3126)))</f>
        <v/>
      </c>
      <c r="C3126" s="0" t="n">
        <f aca="false">IF(OR(A3126&lt;&gt;"",B3126&lt;&gt;""),1,0)</f>
        <v>0</v>
      </c>
      <c r="D3126" s="0" t="str">
        <f aca="false">IF(C3126=1,MOD(ABS(SIN(ROW()*12.9898+'הדבקת לידים'!$F$2*78.233+IFERROR(--RIGHT(A3126,6),LEN(A3126))*0.0137+IFERROR(--RIGHT(B3126,6),LEN(B3126))*0.0071))*43758.5453,1),"")</f>
        <v/>
      </c>
      <c r="E3126" s="0" t="str">
        <f aca="false">IF(C3126=1,INT(MOD(ABS(SIN(D3126*7919.123+ROW()*0.618+'הדבקת לידים'!$F$2*1.3))*43758.5453,1)*1000000)*10000+ROW(),"")</f>
        <v/>
      </c>
      <c r="F3126" s="0" t="str">
        <f aca="false">IF(E3126="","",RANK(E3126,$E$2:$E$5001,1))</f>
        <v/>
      </c>
      <c r="G3126" s="0" t="n">
        <f aca="false">IF(A3126="",0,IF(SUMPRODUCT(--($A$2:$A$5001=A3126))&gt;1,1,0))</f>
        <v>0</v>
      </c>
      <c r="H3126" s="0" t="n">
        <f aca="false">ROW()-1</f>
        <v>3125</v>
      </c>
      <c r="I3126" s="0" t="str">
        <f aca="false">IF(OR(הגדרות!$E$6=0,H3126&gt;הגדרות!$E$5),"",IF(H3126-1&lt;הגדרות!$E$8*(הגדרות!$E$7+1),INT((H3126-1)/(הגדרות!$E$7+1)),הגדרות!$E$8+INT((H3126-1-הגדרות!$E$8*(הגדרות!$E$7+1))/הגדרות!$E$7)))</f>
        <v/>
      </c>
      <c r="J3126" s="0" t="str">
        <f aca="false">IF(I3126="","",IF(H3126-1&lt;הגדרות!$E$8*(הגדרות!$E$7+1),MOD(H3126-1,הגדרות!$E$7+1),MOD(H3126-1-הגדרות!$E$8*(הגדרות!$E$7+1),הגדרות!$E$7)))</f>
        <v/>
      </c>
      <c r="K3126" s="0" t="str">
        <f aca="false">IF(I3126="","",J3126*הגדרות!$E$6+I3126+1)</f>
        <v/>
      </c>
      <c r="L3126" s="0" t="str">
        <f aca="false">IF(K3126="","",MATCH(K3126,$F$2:$F$5001,0))</f>
        <v/>
      </c>
      <c r="M3126" s="0" t="str">
        <f aca="false">IF(I3126="","",INDEX(הגדרות!$A$2:$A$21,MOD(I3126+הגדרות!$E$9,הגדרות!$E$6)+1))</f>
        <v/>
      </c>
    </row>
    <row r="3127" customFormat="false" ht="15" hidden="false" customHeight="false" outlineLevel="0" collapsed="false">
      <c r="A3127" s="0" t="str">
        <f aca="false">IF('הדבקת לידים'!A3127="","",IF(ISNUMBER('הדבקת לידים'!A3127),IF(הגדרות!$E$2&gt;0,TEXT('הדבקת לידים'!A3127,REPT("0",הגדרות!$E$2)),TEXT('הדבקת לידים'!A3127,"0")),TRIM('הדבקת לידים'!A3127)))</f>
        <v/>
      </c>
      <c r="B3127" s="0" t="str">
        <f aca="false">IF('הדבקת לידים'!B3127="","",IF(ISNUMBER('הדבקת לידים'!B3127),IF(הגדרות!$E$3&gt;0,TEXT('הדבקת לידים'!B3127,REPT("0",הגדרות!$E$3)),TEXT('הדבקת לידים'!B3127,"0")),TRIM('הדבקת לידים'!B3127)))</f>
        <v/>
      </c>
      <c r="C3127" s="0" t="n">
        <f aca="false">IF(OR(A3127&lt;&gt;"",B3127&lt;&gt;""),1,0)</f>
        <v>0</v>
      </c>
      <c r="D3127" s="0" t="str">
        <f aca="false">IF(C3127=1,MOD(ABS(SIN(ROW()*12.9898+'הדבקת לידים'!$F$2*78.233+IFERROR(--RIGHT(A3127,6),LEN(A3127))*0.0137+IFERROR(--RIGHT(B3127,6),LEN(B3127))*0.0071))*43758.5453,1),"")</f>
        <v/>
      </c>
      <c r="E3127" s="0" t="str">
        <f aca="false">IF(C3127=1,INT(MOD(ABS(SIN(D3127*7919.123+ROW()*0.618+'הדבקת לידים'!$F$2*1.3))*43758.5453,1)*1000000)*10000+ROW(),"")</f>
        <v/>
      </c>
      <c r="F3127" s="0" t="str">
        <f aca="false">IF(E3127="","",RANK(E3127,$E$2:$E$5001,1))</f>
        <v/>
      </c>
      <c r="G3127" s="0" t="n">
        <f aca="false">IF(A3127="",0,IF(SUMPRODUCT(--($A$2:$A$5001=A3127))&gt;1,1,0))</f>
        <v>0</v>
      </c>
      <c r="H3127" s="0" t="n">
        <f aca="false">ROW()-1</f>
        <v>3126</v>
      </c>
      <c r="I3127" s="0" t="str">
        <f aca="false">IF(OR(הגדרות!$E$6=0,H3127&gt;הגדרות!$E$5),"",IF(H3127-1&lt;הגדרות!$E$8*(הגדרות!$E$7+1),INT((H3127-1)/(הגדרות!$E$7+1)),הגדרות!$E$8+INT((H3127-1-הגדרות!$E$8*(הגדרות!$E$7+1))/הגדרות!$E$7)))</f>
        <v/>
      </c>
      <c r="J3127" s="0" t="str">
        <f aca="false">IF(I3127="","",IF(H3127-1&lt;הגדרות!$E$8*(הגדרות!$E$7+1),MOD(H3127-1,הגדרות!$E$7+1),MOD(H3127-1-הגדרות!$E$8*(הגדרות!$E$7+1),הגדרות!$E$7)))</f>
        <v/>
      </c>
      <c r="K3127" s="0" t="str">
        <f aca="false">IF(I3127="","",J3127*הגדרות!$E$6+I3127+1)</f>
        <v/>
      </c>
      <c r="L3127" s="0" t="str">
        <f aca="false">IF(K3127="","",MATCH(K3127,$F$2:$F$5001,0))</f>
        <v/>
      </c>
      <c r="M3127" s="0" t="str">
        <f aca="false">IF(I3127="","",INDEX(הגדרות!$A$2:$A$21,MOD(I3127+הגדרות!$E$9,הגדרות!$E$6)+1))</f>
        <v/>
      </c>
    </row>
    <row r="3128" customFormat="false" ht="15" hidden="false" customHeight="false" outlineLevel="0" collapsed="false">
      <c r="A3128" s="0" t="str">
        <f aca="false">IF('הדבקת לידים'!A3128="","",IF(ISNUMBER('הדבקת לידים'!A3128),IF(הגדרות!$E$2&gt;0,TEXT('הדבקת לידים'!A3128,REPT("0",הגדרות!$E$2)),TEXT('הדבקת לידים'!A3128,"0")),TRIM('הדבקת לידים'!A3128)))</f>
        <v/>
      </c>
      <c r="B3128" s="0" t="str">
        <f aca="false">IF('הדבקת לידים'!B3128="","",IF(ISNUMBER('הדבקת לידים'!B3128),IF(הגדרות!$E$3&gt;0,TEXT('הדבקת לידים'!B3128,REPT("0",הגדרות!$E$3)),TEXT('הדבקת לידים'!B3128,"0")),TRIM('הדבקת לידים'!B3128)))</f>
        <v/>
      </c>
      <c r="C3128" s="0" t="n">
        <f aca="false">IF(OR(A3128&lt;&gt;"",B3128&lt;&gt;""),1,0)</f>
        <v>0</v>
      </c>
      <c r="D3128" s="0" t="str">
        <f aca="false">IF(C3128=1,MOD(ABS(SIN(ROW()*12.9898+'הדבקת לידים'!$F$2*78.233+IFERROR(--RIGHT(A3128,6),LEN(A3128))*0.0137+IFERROR(--RIGHT(B3128,6),LEN(B3128))*0.0071))*43758.5453,1),"")</f>
        <v/>
      </c>
      <c r="E3128" s="0" t="str">
        <f aca="false">IF(C3128=1,INT(MOD(ABS(SIN(D3128*7919.123+ROW()*0.618+'הדבקת לידים'!$F$2*1.3))*43758.5453,1)*1000000)*10000+ROW(),"")</f>
        <v/>
      </c>
      <c r="F3128" s="0" t="str">
        <f aca="false">IF(E3128="","",RANK(E3128,$E$2:$E$5001,1))</f>
        <v/>
      </c>
      <c r="G3128" s="0" t="n">
        <f aca="false">IF(A3128="",0,IF(SUMPRODUCT(--($A$2:$A$5001=A3128))&gt;1,1,0))</f>
        <v>0</v>
      </c>
      <c r="H3128" s="0" t="n">
        <f aca="false">ROW()-1</f>
        <v>3127</v>
      </c>
      <c r="I3128" s="0" t="str">
        <f aca="false">IF(OR(הגדרות!$E$6=0,H3128&gt;הגדרות!$E$5),"",IF(H3128-1&lt;הגדרות!$E$8*(הגדרות!$E$7+1),INT((H3128-1)/(הגדרות!$E$7+1)),הגדרות!$E$8+INT((H3128-1-הגדרות!$E$8*(הגדרות!$E$7+1))/הגדרות!$E$7)))</f>
        <v/>
      </c>
      <c r="J3128" s="0" t="str">
        <f aca="false">IF(I3128="","",IF(H3128-1&lt;הגדרות!$E$8*(הגדרות!$E$7+1),MOD(H3128-1,הגדרות!$E$7+1),MOD(H3128-1-הגדרות!$E$8*(הגדרות!$E$7+1),הגדרות!$E$7)))</f>
        <v/>
      </c>
      <c r="K3128" s="0" t="str">
        <f aca="false">IF(I3128="","",J3128*הגדרות!$E$6+I3128+1)</f>
        <v/>
      </c>
      <c r="L3128" s="0" t="str">
        <f aca="false">IF(K3128="","",MATCH(K3128,$F$2:$F$5001,0))</f>
        <v/>
      </c>
      <c r="M3128" s="0" t="str">
        <f aca="false">IF(I3128="","",INDEX(הגדרות!$A$2:$A$21,MOD(I3128+הגדרות!$E$9,הגדרות!$E$6)+1))</f>
        <v/>
      </c>
    </row>
    <row r="3129" customFormat="false" ht="15" hidden="false" customHeight="false" outlineLevel="0" collapsed="false">
      <c r="A3129" s="0" t="str">
        <f aca="false">IF('הדבקת לידים'!A3129="","",IF(ISNUMBER('הדבקת לידים'!A3129),IF(הגדרות!$E$2&gt;0,TEXT('הדבקת לידים'!A3129,REPT("0",הגדרות!$E$2)),TEXT('הדבקת לידים'!A3129,"0")),TRIM('הדבקת לידים'!A3129)))</f>
        <v/>
      </c>
      <c r="B3129" s="0" t="str">
        <f aca="false">IF('הדבקת לידים'!B3129="","",IF(ISNUMBER('הדבקת לידים'!B3129),IF(הגדרות!$E$3&gt;0,TEXT('הדבקת לידים'!B3129,REPT("0",הגדרות!$E$3)),TEXT('הדבקת לידים'!B3129,"0")),TRIM('הדבקת לידים'!B3129)))</f>
        <v/>
      </c>
      <c r="C3129" s="0" t="n">
        <f aca="false">IF(OR(A3129&lt;&gt;"",B3129&lt;&gt;""),1,0)</f>
        <v>0</v>
      </c>
      <c r="D3129" s="0" t="str">
        <f aca="false">IF(C3129=1,MOD(ABS(SIN(ROW()*12.9898+'הדבקת לידים'!$F$2*78.233+IFERROR(--RIGHT(A3129,6),LEN(A3129))*0.0137+IFERROR(--RIGHT(B3129,6),LEN(B3129))*0.0071))*43758.5453,1),"")</f>
        <v/>
      </c>
      <c r="E3129" s="0" t="str">
        <f aca="false">IF(C3129=1,INT(MOD(ABS(SIN(D3129*7919.123+ROW()*0.618+'הדבקת לידים'!$F$2*1.3))*43758.5453,1)*1000000)*10000+ROW(),"")</f>
        <v/>
      </c>
      <c r="F3129" s="0" t="str">
        <f aca="false">IF(E3129="","",RANK(E3129,$E$2:$E$5001,1))</f>
        <v/>
      </c>
      <c r="G3129" s="0" t="n">
        <f aca="false">IF(A3129="",0,IF(SUMPRODUCT(--($A$2:$A$5001=A3129))&gt;1,1,0))</f>
        <v>0</v>
      </c>
      <c r="H3129" s="0" t="n">
        <f aca="false">ROW()-1</f>
        <v>3128</v>
      </c>
      <c r="I3129" s="0" t="str">
        <f aca="false">IF(OR(הגדרות!$E$6=0,H3129&gt;הגדרות!$E$5),"",IF(H3129-1&lt;הגדרות!$E$8*(הגדרות!$E$7+1),INT((H3129-1)/(הגדרות!$E$7+1)),הגדרות!$E$8+INT((H3129-1-הגדרות!$E$8*(הגדרות!$E$7+1))/הגדרות!$E$7)))</f>
        <v/>
      </c>
      <c r="J3129" s="0" t="str">
        <f aca="false">IF(I3129="","",IF(H3129-1&lt;הגדרות!$E$8*(הגדרות!$E$7+1),MOD(H3129-1,הגדרות!$E$7+1),MOD(H3129-1-הגדרות!$E$8*(הגדרות!$E$7+1),הגדרות!$E$7)))</f>
        <v/>
      </c>
      <c r="K3129" s="0" t="str">
        <f aca="false">IF(I3129="","",J3129*הגדרות!$E$6+I3129+1)</f>
        <v/>
      </c>
      <c r="L3129" s="0" t="str">
        <f aca="false">IF(K3129="","",MATCH(K3129,$F$2:$F$5001,0))</f>
        <v/>
      </c>
      <c r="M3129" s="0" t="str">
        <f aca="false">IF(I3129="","",INDEX(הגדרות!$A$2:$A$21,MOD(I3129+הגדרות!$E$9,הגדרות!$E$6)+1))</f>
        <v/>
      </c>
    </row>
    <row r="3130" customFormat="false" ht="15" hidden="false" customHeight="false" outlineLevel="0" collapsed="false">
      <c r="A3130" s="0" t="str">
        <f aca="false">IF('הדבקת לידים'!A3130="","",IF(ISNUMBER('הדבקת לידים'!A3130),IF(הגדרות!$E$2&gt;0,TEXT('הדבקת לידים'!A3130,REPT("0",הגדרות!$E$2)),TEXT('הדבקת לידים'!A3130,"0")),TRIM('הדבקת לידים'!A3130)))</f>
        <v/>
      </c>
      <c r="B3130" s="0" t="str">
        <f aca="false">IF('הדבקת לידים'!B3130="","",IF(ISNUMBER('הדבקת לידים'!B3130),IF(הגדרות!$E$3&gt;0,TEXT('הדבקת לידים'!B3130,REPT("0",הגדרות!$E$3)),TEXT('הדבקת לידים'!B3130,"0")),TRIM('הדבקת לידים'!B3130)))</f>
        <v/>
      </c>
      <c r="C3130" s="0" t="n">
        <f aca="false">IF(OR(A3130&lt;&gt;"",B3130&lt;&gt;""),1,0)</f>
        <v>0</v>
      </c>
      <c r="D3130" s="0" t="str">
        <f aca="false">IF(C3130=1,MOD(ABS(SIN(ROW()*12.9898+'הדבקת לידים'!$F$2*78.233+IFERROR(--RIGHT(A3130,6),LEN(A3130))*0.0137+IFERROR(--RIGHT(B3130,6),LEN(B3130))*0.0071))*43758.5453,1),"")</f>
        <v/>
      </c>
      <c r="E3130" s="0" t="str">
        <f aca="false">IF(C3130=1,INT(MOD(ABS(SIN(D3130*7919.123+ROW()*0.618+'הדבקת לידים'!$F$2*1.3))*43758.5453,1)*1000000)*10000+ROW(),"")</f>
        <v/>
      </c>
      <c r="F3130" s="0" t="str">
        <f aca="false">IF(E3130="","",RANK(E3130,$E$2:$E$5001,1))</f>
        <v/>
      </c>
      <c r="G3130" s="0" t="n">
        <f aca="false">IF(A3130="",0,IF(SUMPRODUCT(--($A$2:$A$5001=A3130))&gt;1,1,0))</f>
        <v>0</v>
      </c>
      <c r="H3130" s="0" t="n">
        <f aca="false">ROW()-1</f>
        <v>3129</v>
      </c>
      <c r="I3130" s="0" t="str">
        <f aca="false">IF(OR(הגדרות!$E$6=0,H3130&gt;הגדרות!$E$5),"",IF(H3130-1&lt;הגדרות!$E$8*(הגדרות!$E$7+1),INT((H3130-1)/(הגדרות!$E$7+1)),הגדרות!$E$8+INT((H3130-1-הגדרות!$E$8*(הגדרות!$E$7+1))/הגדרות!$E$7)))</f>
        <v/>
      </c>
      <c r="J3130" s="0" t="str">
        <f aca="false">IF(I3130="","",IF(H3130-1&lt;הגדרות!$E$8*(הגדרות!$E$7+1),MOD(H3130-1,הגדרות!$E$7+1),MOD(H3130-1-הגדרות!$E$8*(הגדרות!$E$7+1),הגדרות!$E$7)))</f>
        <v/>
      </c>
      <c r="K3130" s="0" t="str">
        <f aca="false">IF(I3130="","",J3130*הגדרות!$E$6+I3130+1)</f>
        <v/>
      </c>
      <c r="L3130" s="0" t="str">
        <f aca="false">IF(K3130="","",MATCH(K3130,$F$2:$F$5001,0))</f>
        <v/>
      </c>
      <c r="M3130" s="0" t="str">
        <f aca="false">IF(I3130="","",INDEX(הגדרות!$A$2:$A$21,MOD(I3130+הגדרות!$E$9,הגדרות!$E$6)+1))</f>
        <v/>
      </c>
    </row>
    <row r="3131" customFormat="false" ht="15" hidden="false" customHeight="false" outlineLevel="0" collapsed="false">
      <c r="A3131" s="0" t="str">
        <f aca="false">IF('הדבקת לידים'!A3131="","",IF(ISNUMBER('הדבקת לידים'!A3131),IF(הגדרות!$E$2&gt;0,TEXT('הדבקת לידים'!A3131,REPT("0",הגדרות!$E$2)),TEXT('הדבקת לידים'!A3131,"0")),TRIM('הדבקת לידים'!A3131)))</f>
        <v/>
      </c>
      <c r="B3131" s="0" t="str">
        <f aca="false">IF('הדבקת לידים'!B3131="","",IF(ISNUMBER('הדבקת לידים'!B3131),IF(הגדרות!$E$3&gt;0,TEXT('הדבקת לידים'!B3131,REPT("0",הגדרות!$E$3)),TEXT('הדבקת לידים'!B3131,"0")),TRIM('הדבקת לידים'!B3131)))</f>
        <v/>
      </c>
      <c r="C3131" s="0" t="n">
        <f aca="false">IF(OR(A3131&lt;&gt;"",B3131&lt;&gt;""),1,0)</f>
        <v>0</v>
      </c>
      <c r="D3131" s="0" t="str">
        <f aca="false">IF(C3131=1,MOD(ABS(SIN(ROW()*12.9898+'הדבקת לידים'!$F$2*78.233+IFERROR(--RIGHT(A3131,6),LEN(A3131))*0.0137+IFERROR(--RIGHT(B3131,6),LEN(B3131))*0.0071))*43758.5453,1),"")</f>
        <v/>
      </c>
      <c r="E3131" s="0" t="str">
        <f aca="false">IF(C3131=1,INT(MOD(ABS(SIN(D3131*7919.123+ROW()*0.618+'הדבקת לידים'!$F$2*1.3))*43758.5453,1)*1000000)*10000+ROW(),"")</f>
        <v/>
      </c>
      <c r="F3131" s="0" t="str">
        <f aca="false">IF(E3131="","",RANK(E3131,$E$2:$E$5001,1))</f>
        <v/>
      </c>
      <c r="G3131" s="0" t="n">
        <f aca="false">IF(A3131="",0,IF(SUMPRODUCT(--($A$2:$A$5001=A3131))&gt;1,1,0))</f>
        <v>0</v>
      </c>
      <c r="H3131" s="0" t="n">
        <f aca="false">ROW()-1</f>
        <v>3130</v>
      </c>
      <c r="I3131" s="0" t="str">
        <f aca="false">IF(OR(הגדרות!$E$6=0,H3131&gt;הגדרות!$E$5),"",IF(H3131-1&lt;הגדרות!$E$8*(הגדרות!$E$7+1),INT((H3131-1)/(הגדרות!$E$7+1)),הגדרות!$E$8+INT((H3131-1-הגדרות!$E$8*(הגדרות!$E$7+1))/הגדרות!$E$7)))</f>
        <v/>
      </c>
      <c r="J3131" s="0" t="str">
        <f aca="false">IF(I3131="","",IF(H3131-1&lt;הגדרות!$E$8*(הגדרות!$E$7+1),MOD(H3131-1,הגדרות!$E$7+1),MOD(H3131-1-הגדרות!$E$8*(הגדרות!$E$7+1),הגדרות!$E$7)))</f>
        <v/>
      </c>
      <c r="K3131" s="0" t="str">
        <f aca="false">IF(I3131="","",J3131*הגדרות!$E$6+I3131+1)</f>
        <v/>
      </c>
      <c r="L3131" s="0" t="str">
        <f aca="false">IF(K3131="","",MATCH(K3131,$F$2:$F$5001,0))</f>
        <v/>
      </c>
      <c r="M3131" s="0" t="str">
        <f aca="false">IF(I3131="","",INDEX(הגדרות!$A$2:$A$21,MOD(I3131+הגדרות!$E$9,הגדרות!$E$6)+1))</f>
        <v/>
      </c>
    </row>
    <row r="3132" customFormat="false" ht="15" hidden="false" customHeight="false" outlineLevel="0" collapsed="false">
      <c r="A3132" s="0" t="str">
        <f aca="false">IF('הדבקת לידים'!A3132="","",IF(ISNUMBER('הדבקת לידים'!A3132),IF(הגדרות!$E$2&gt;0,TEXT('הדבקת לידים'!A3132,REPT("0",הגדרות!$E$2)),TEXT('הדבקת לידים'!A3132,"0")),TRIM('הדבקת לידים'!A3132)))</f>
        <v/>
      </c>
      <c r="B3132" s="0" t="str">
        <f aca="false">IF('הדבקת לידים'!B3132="","",IF(ISNUMBER('הדבקת לידים'!B3132),IF(הגדרות!$E$3&gt;0,TEXT('הדבקת לידים'!B3132,REPT("0",הגדרות!$E$3)),TEXT('הדבקת לידים'!B3132,"0")),TRIM('הדבקת לידים'!B3132)))</f>
        <v/>
      </c>
      <c r="C3132" s="0" t="n">
        <f aca="false">IF(OR(A3132&lt;&gt;"",B3132&lt;&gt;""),1,0)</f>
        <v>0</v>
      </c>
      <c r="D3132" s="0" t="str">
        <f aca="false">IF(C3132=1,MOD(ABS(SIN(ROW()*12.9898+'הדבקת לידים'!$F$2*78.233+IFERROR(--RIGHT(A3132,6),LEN(A3132))*0.0137+IFERROR(--RIGHT(B3132,6),LEN(B3132))*0.0071))*43758.5453,1),"")</f>
        <v/>
      </c>
      <c r="E3132" s="0" t="str">
        <f aca="false">IF(C3132=1,INT(MOD(ABS(SIN(D3132*7919.123+ROW()*0.618+'הדבקת לידים'!$F$2*1.3))*43758.5453,1)*1000000)*10000+ROW(),"")</f>
        <v/>
      </c>
      <c r="F3132" s="0" t="str">
        <f aca="false">IF(E3132="","",RANK(E3132,$E$2:$E$5001,1))</f>
        <v/>
      </c>
      <c r="G3132" s="0" t="n">
        <f aca="false">IF(A3132="",0,IF(SUMPRODUCT(--($A$2:$A$5001=A3132))&gt;1,1,0))</f>
        <v>0</v>
      </c>
      <c r="H3132" s="0" t="n">
        <f aca="false">ROW()-1</f>
        <v>3131</v>
      </c>
      <c r="I3132" s="0" t="str">
        <f aca="false">IF(OR(הגדרות!$E$6=0,H3132&gt;הגדרות!$E$5),"",IF(H3132-1&lt;הגדרות!$E$8*(הגדרות!$E$7+1),INT((H3132-1)/(הגדרות!$E$7+1)),הגדרות!$E$8+INT((H3132-1-הגדרות!$E$8*(הגדרות!$E$7+1))/הגדרות!$E$7)))</f>
        <v/>
      </c>
      <c r="J3132" s="0" t="str">
        <f aca="false">IF(I3132="","",IF(H3132-1&lt;הגדרות!$E$8*(הגדרות!$E$7+1),MOD(H3132-1,הגדרות!$E$7+1),MOD(H3132-1-הגדרות!$E$8*(הגדרות!$E$7+1),הגדרות!$E$7)))</f>
        <v/>
      </c>
      <c r="K3132" s="0" t="str">
        <f aca="false">IF(I3132="","",J3132*הגדרות!$E$6+I3132+1)</f>
        <v/>
      </c>
      <c r="L3132" s="0" t="str">
        <f aca="false">IF(K3132="","",MATCH(K3132,$F$2:$F$5001,0))</f>
        <v/>
      </c>
      <c r="M3132" s="0" t="str">
        <f aca="false">IF(I3132="","",INDEX(הגדרות!$A$2:$A$21,MOD(I3132+הגדרות!$E$9,הגדרות!$E$6)+1))</f>
        <v/>
      </c>
    </row>
    <row r="3133" customFormat="false" ht="15" hidden="false" customHeight="false" outlineLevel="0" collapsed="false">
      <c r="A3133" s="0" t="str">
        <f aca="false">IF('הדבקת לידים'!A3133="","",IF(ISNUMBER('הדבקת לידים'!A3133),IF(הגדרות!$E$2&gt;0,TEXT('הדבקת לידים'!A3133,REPT("0",הגדרות!$E$2)),TEXT('הדבקת לידים'!A3133,"0")),TRIM('הדבקת לידים'!A3133)))</f>
        <v/>
      </c>
      <c r="B3133" s="0" t="str">
        <f aca="false">IF('הדבקת לידים'!B3133="","",IF(ISNUMBER('הדבקת לידים'!B3133),IF(הגדרות!$E$3&gt;0,TEXT('הדבקת לידים'!B3133,REPT("0",הגדרות!$E$3)),TEXT('הדבקת לידים'!B3133,"0")),TRIM('הדבקת לידים'!B3133)))</f>
        <v/>
      </c>
      <c r="C3133" s="0" t="n">
        <f aca="false">IF(OR(A3133&lt;&gt;"",B3133&lt;&gt;""),1,0)</f>
        <v>0</v>
      </c>
      <c r="D3133" s="0" t="str">
        <f aca="false">IF(C3133=1,MOD(ABS(SIN(ROW()*12.9898+'הדבקת לידים'!$F$2*78.233+IFERROR(--RIGHT(A3133,6),LEN(A3133))*0.0137+IFERROR(--RIGHT(B3133,6),LEN(B3133))*0.0071))*43758.5453,1),"")</f>
        <v/>
      </c>
      <c r="E3133" s="0" t="str">
        <f aca="false">IF(C3133=1,INT(MOD(ABS(SIN(D3133*7919.123+ROW()*0.618+'הדבקת לידים'!$F$2*1.3))*43758.5453,1)*1000000)*10000+ROW(),"")</f>
        <v/>
      </c>
      <c r="F3133" s="0" t="str">
        <f aca="false">IF(E3133="","",RANK(E3133,$E$2:$E$5001,1))</f>
        <v/>
      </c>
      <c r="G3133" s="0" t="n">
        <f aca="false">IF(A3133="",0,IF(SUMPRODUCT(--($A$2:$A$5001=A3133))&gt;1,1,0))</f>
        <v>0</v>
      </c>
      <c r="H3133" s="0" t="n">
        <f aca="false">ROW()-1</f>
        <v>3132</v>
      </c>
      <c r="I3133" s="0" t="str">
        <f aca="false">IF(OR(הגדרות!$E$6=0,H3133&gt;הגדרות!$E$5),"",IF(H3133-1&lt;הגדרות!$E$8*(הגדרות!$E$7+1),INT((H3133-1)/(הגדרות!$E$7+1)),הגדרות!$E$8+INT((H3133-1-הגדרות!$E$8*(הגדרות!$E$7+1))/הגדרות!$E$7)))</f>
        <v/>
      </c>
      <c r="J3133" s="0" t="str">
        <f aca="false">IF(I3133="","",IF(H3133-1&lt;הגדרות!$E$8*(הגדרות!$E$7+1),MOD(H3133-1,הגדרות!$E$7+1),MOD(H3133-1-הגדרות!$E$8*(הגדרות!$E$7+1),הגדרות!$E$7)))</f>
        <v/>
      </c>
      <c r="K3133" s="0" t="str">
        <f aca="false">IF(I3133="","",J3133*הגדרות!$E$6+I3133+1)</f>
        <v/>
      </c>
      <c r="L3133" s="0" t="str">
        <f aca="false">IF(K3133="","",MATCH(K3133,$F$2:$F$5001,0))</f>
        <v/>
      </c>
      <c r="M3133" s="0" t="str">
        <f aca="false">IF(I3133="","",INDEX(הגדרות!$A$2:$A$21,MOD(I3133+הגדרות!$E$9,הגדרות!$E$6)+1))</f>
        <v/>
      </c>
    </row>
    <row r="3134" customFormat="false" ht="15" hidden="false" customHeight="false" outlineLevel="0" collapsed="false">
      <c r="A3134" s="0" t="str">
        <f aca="false">IF('הדבקת לידים'!A3134="","",IF(ISNUMBER('הדבקת לידים'!A3134),IF(הגדרות!$E$2&gt;0,TEXT('הדבקת לידים'!A3134,REPT("0",הגדרות!$E$2)),TEXT('הדבקת לידים'!A3134,"0")),TRIM('הדבקת לידים'!A3134)))</f>
        <v/>
      </c>
      <c r="B3134" s="0" t="str">
        <f aca="false">IF('הדבקת לידים'!B3134="","",IF(ISNUMBER('הדבקת לידים'!B3134),IF(הגדרות!$E$3&gt;0,TEXT('הדבקת לידים'!B3134,REPT("0",הגדרות!$E$3)),TEXT('הדבקת לידים'!B3134,"0")),TRIM('הדבקת לידים'!B3134)))</f>
        <v/>
      </c>
      <c r="C3134" s="0" t="n">
        <f aca="false">IF(OR(A3134&lt;&gt;"",B3134&lt;&gt;""),1,0)</f>
        <v>0</v>
      </c>
      <c r="D3134" s="0" t="str">
        <f aca="false">IF(C3134=1,MOD(ABS(SIN(ROW()*12.9898+'הדבקת לידים'!$F$2*78.233+IFERROR(--RIGHT(A3134,6),LEN(A3134))*0.0137+IFERROR(--RIGHT(B3134,6),LEN(B3134))*0.0071))*43758.5453,1),"")</f>
        <v/>
      </c>
      <c r="E3134" s="0" t="str">
        <f aca="false">IF(C3134=1,INT(MOD(ABS(SIN(D3134*7919.123+ROW()*0.618+'הדבקת לידים'!$F$2*1.3))*43758.5453,1)*1000000)*10000+ROW(),"")</f>
        <v/>
      </c>
      <c r="F3134" s="0" t="str">
        <f aca="false">IF(E3134="","",RANK(E3134,$E$2:$E$5001,1))</f>
        <v/>
      </c>
      <c r="G3134" s="0" t="n">
        <f aca="false">IF(A3134="",0,IF(SUMPRODUCT(--($A$2:$A$5001=A3134))&gt;1,1,0))</f>
        <v>0</v>
      </c>
      <c r="H3134" s="0" t="n">
        <f aca="false">ROW()-1</f>
        <v>3133</v>
      </c>
      <c r="I3134" s="0" t="str">
        <f aca="false">IF(OR(הגדרות!$E$6=0,H3134&gt;הגדרות!$E$5),"",IF(H3134-1&lt;הגדרות!$E$8*(הגדרות!$E$7+1),INT((H3134-1)/(הגדרות!$E$7+1)),הגדרות!$E$8+INT((H3134-1-הגדרות!$E$8*(הגדרות!$E$7+1))/הגדרות!$E$7)))</f>
        <v/>
      </c>
      <c r="J3134" s="0" t="str">
        <f aca="false">IF(I3134="","",IF(H3134-1&lt;הגדרות!$E$8*(הגדרות!$E$7+1),MOD(H3134-1,הגדרות!$E$7+1),MOD(H3134-1-הגדרות!$E$8*(הגדרות!$E$7+1),הגדרות!$E$7)))</f>
        <v/>
      </c>
      <c r="K3134" s="0" t="str">
        <f aca="false">IF(I3134="","",J3134*הגדרות!$E$6+I3134+1)</f>
        <v/>
      </c>
      <c r="L3134" s="0" t="str">
        <f aca="false">IF(K3134="","",MATCH(K3134,$F$2:$F$5001,0))</f>
        <v/>
      </c>
      <c r="M3134" s="0" t="str">
        <f aca="false">IF(I3134="","",INDEX(הגדרות!$A$2:$A$21,MOD(I3134+הגדרות!$E$9,הגדרות!$E$6)+1))</f>
        <v/>
      </c>
    </row>
    <row r="3135" customFormat="false" ht="15" hidden="false" customHeight="false" outlineLevel="0" collapsed="false">
      <c r="A3135" s="0" t="str">
        <f aca="false">IF('הדבקת לידים'!A3135="","",IF(ISNUMBER('הדבקת לידים'!A3135),IF(הגדרות!$E$2&gt;0,TEXT('הדבקת לידים'!A3135,REPT("0",הגדרות!$E$2)),TEXT('הדבקת לידים'!A3135,"0")),TRIM('הדבקת לידים'!A3135)))</f>
        <v/>
      </c>
      <c r="B3135" s="0" t="str">
        <f aca="false">IF('הדבקת לידים'!B3135="","",IF(ISNUMBER('הדבקת לידים'!B3135),IF(הגדרות!$E$3&gt;0,TEXT('הדבקת לידים'!B3135,REPT("0",הגדרות!$E$3)),TEXT('הדבקת לידים'!B3135,"0")),TRIM('הדבקת לידים'!B3135)))</f>
        <v/>
      </c>
      <c r="C3135" s="0" t="n">
        <f aca="false">IF(OR(A3135&lt;&gt;"",B3135&lt;&gt;""),1,0)</f>
        <v>0</v>
      </c>
      <c r="D3135" s="0" t="str">
        <f aca="false">IF(C3135=1,MOD(ABS(SIN(ROW()*12.9898+'הדבקת לידים'!$F$2*78.233+IFERROR(--RIGHT(A3135,6),LEN(A3135))*0.0137+IFERROR(--RIGHT(B3135,6),LEN(B3135))*0.0071))*43758.5453,1),"")</f>
        <v/>
      </c>
      <c r="E3135" s="0" t="str">
        <f aca="false">IF(C3135=1,INT(MOD(ABS(SIN(D3135*7919.123+ROW()*0.618+'הדבקת לידים'!$F$2*1.3))*43758.5453,1)*1000000)*10000+ROW(),"")</f>
        <v/>
      </c>
      <c r="F3135" s="0" t="str">
        <f aca="false">IF(E3135="","",RANK(E3135,$E$2:$E$5001,1))</f>
        <v/>
      </c>
      <c r="G3135" s="0" t="n">
        <f aca="false">IF(A3135="",0,IF(SUMPRODUCT(--($A$2:$A$5001=A3135))&gt;1,1,0))</f>
        <v>0</v>
      </c>
      <c r="H3135" s="0" t="n">
        <f aca="false">ROW()-1</f>
        <v>3134</v>
      </c>
      <c r="I3135" s="0" t="str">
        <f aca="false">IF(OR(הגדרות!$E$6=0,H3135&gt;הגדרות!$E$5),"",IF(H3135-1&lt;הגדרות!$E$8*(הגדרות!$E$7+1),INT((H3135-1)/(הגדרות!$E$7+1)),הגדרות!$E$8+INT((H3135-1-הגדרות!$E$8*(הגדרות!$E$7+1))/הגדרות!$E$7)))</f>
        <v/>
      </c>
      <c r="J3135" s="0" t="str">
        <f aca="false">IF(I3135="","",IF(H3135-1&lt;הגדרות!$E$8*(הגדרות!$E$7+1),MOD(H3135-1,הגדרות!$E$7+1),MOD(H3135-1-הגדרות!$E$8*(הגדרות!$E$7+1),הגדרות!$E$7)))</f>
        <v/>
      </c>
      <c r="K3135" s="0" t="str">
        <f aca="false">IF(I3135="","",J3135*הגדרות!$E$6+I3135+1)</f>
        <v/>
      </c>
      <c r="L3135" s="0" t="str">
        <f aca="false">IF(K3135="","",MATCH(K3135,$F$2:$F$5001,0))</f>
        <v/>
      </c>
      <c r="M3135" s="0" t="str">
        <f aca="false">IF(I3135="","",INDEX(הגדרות!$A$2:$A$21,MOD(I3135+הגדרות!$E$9,הגדרות!$E$6)+1))</f>
        <v/>
      </c>
    </row>
    <row r="3136" customFormat="false" ht="15" hidden="false" customHeight="false" outlineLevel="0" collapsed="false">
      <c r="A3136" s="0" t="str">
        <f aca="false">IF('הדבקת לידים'!A3136="","",IF(ISNUMBER('הדבקת לידים'!A3136),IF(הגדרות!$E$2&gt;0,TEXT('הדבקת לידים'!A3136,REPT("0",הגדרות!$E$2)),TEXT('הדבקת לידים'!A3136,"0")),TRIM('הדבקת לידים'!A3136)))</f>
        <v/>
      </c>
      <c r="B3136" s="0" t="str">
        <f aca="false">IF('הדבקת לידים'!B3136="","",IF(ISNUMBER('הדבקת לידים'!B3136),IF(הגדרות!$E$3&gt;0,TEXT('הדבקת לידים'!B3136,REPT("0",הגדרות!$E$3)),TEXT('הדבקת לידים'!B3136,"0")),TRIM('הדבקת לידים'!B3136)))</f>
        <v/>
      </c>
      <c r="C3136" s="0" t="n">
        <f aca="false">IF(OR(A3136&lt;&gt;"",B3136&lt;&gt;""),1,0)</f>
        <v>0</v>
      </c>
      <c r="D3136" s="0" t="str">
        <f aca="false">IF(C3136=1,MOD(ABS(SIN(ROW()*12.9898+'הדבקת לידים'!$F$2*78.233+IFERROR(--RIGHT(A3136,6),LEN(A3136))*0.0137+IFERROR(--RIGHT(B3136,6),LEN(B3136))*0.0071))*43758.5453,1),"")</f>
        <v/>
      </c>
      <c r="E3136" s="0" t="str">
        <f aca="false">IF(C3136=1,INT(MOD(ABS(SIN(D3136*7919.123+ROW()*0.618+'הדבקת לידים'!$F$2*1.3))*43758.5453,1)*1000000)*10000+ROW(),"")</f>
        <v/>
      </c>
      <c r="F3136" s="0" t="str">
        <f aca="false">IF(E3136="","",RANK(E3136,$E$2:$E$5001,1))</f>
        <v/>
      </c>
      <c r="G3136" s="0" t="n">
        <f aca="false">IF(A3136="",0,IF(SUMPRODUCT(--($A$2:$A$5001=A3136))&gt;1,1,0))</f>
        <v>0</v>
      </c>
      <c r="H3136" s="0" t="n">
        <f aca="false">ROW()-1</f>
        <v>3135</v>
      </c>
      <c r="I3136" s="0" t="str">
        <f aca="false">IF(OR(הגדרות!$E$6=0,H3136&gt;הגדרות!$E$5),"",IF(H3136-1&lt;הגדרות!$E$8*(הגדרות!$E$7+1),INT((H3136-1)/(הגדרות!$E$7+1)),הגדרות!$E$8+INT((H3136-1-הגדרות!$E$8*(הגדרות!$E$7+1))/הגדרות!$E$7)))</f>
        <v/>
      </c>
      <c r="J3136" s="0" t="str">
        <f aca="false">IF(I3136="","",IF(H3136-1&lt;הגדרות!$E$8*(הגדרות!$E$7+1),MOD(H3136-1,הגדרות!$E$7+1),MOD(H3136-1-הגדרות!$E$8*(הגדרות!$E$7+1),הגדרות!$E$7)))</f>
        <v/>
      </c>
      <c r="K3136" s="0" t="str">
        <f aca="false">IF(I3136="","",J3136*הגדרות!$E$6+I3136+1)</f>
        <v/>
      </c>
      <c r="L3136" s="0" t="str">
        <f aca="false">IF(K3136="","",MATCH(K3136,$F$2:$F$5001,0))</f>
        <v/>
      </c>
      <c r="M3136" s="0" t="str">
        <f aca="false">IF(I3136="","",INDEX(הגדרות!$A$2:$A$21,MOD(I3136+הגדרות!$E$9,הגדרות!$E$6)+1))</f>
        <v/>
      </c>
    </row>
    <row r="3137" customFormat="false" ht="15" hidden="false" customHeight="false" outlineLevel="0" collapsed="false">
      <c r="A3137" s="0" t="str">
        <f aca="false">IF('הדבקת לידים'!A3137="","",IF(ISNUMBER('הדבקת לידים'!A3137),IF(הגדרות!$E$2&gt;0,TEXT('הדבקת לידים'!A3137,REPT("0",הגדרות!$E$2)),TEXT('הדבקת לידים'!A3137,"0")),TRIM('הדבקת לידים'!A3137)))</f>
        <v/>
      </c>
      <c r="B3137" s="0" t="str">
        <f aca="false">IF('הדבקת לידים'!B3137="","",IF(ISNUMBER('הדבקת לידים'!B3137),IF(הגדרות!$E$3&gt;0,TEXT('הדבקת לידים'!B3137,REPT("0",הגדרות!$E$3)),TEXT('הדבקת לידים'!B3137,"0")),TRIM('הדבקת לידים'!B3137)))</f>
        <v/>
      </c>
      <c r="C3137" s="0" t="n">
        <f aca="false">IF(OR(A3137&lt;&gt;"",B3137&lt;&gt;""),1,0)</f>
        <v>0</v>
      </c>
      <c r="D3137" s="0" t="str">
        <f aca="false">IF(C3137=1,MOD(ABS(SIN(ROW()*12.9898+'הדבקת לידים'!$F$2*78.233+IFERROR(--RIGHT(A3137,6),LEN(A3137))*0.0137+IFERROR(--RIGHT(B3137,6),LEN(B3137))*0.0071))*43758.5453,1),"")</f>
        <v/>
      </c>
      <c r="E3137" s="0" t="str">
        <f aca="false">IF(C3137=1,INT(MOD(ABS(SIN(D3137*7919.123+ROW()*0.618+'הדבקת לידים'!$F$2*1.3))*43758.5453,1)*1000000)*10000+ROW(),"")</f>
        <v/>
      </c>
      <c r="F3137" s="0" t="str">
        <f aca="false">IF(E3137="","",RANK(E3137,$E$2:$E$5001,1))</f>
        <v/>
      </c>
      <c r="G3137" s="0" t="n">
        <f aca="false">IF(A3137="",0,IF(SUMPRODUCT(--($A$2:$A$5001=A3137))&gt;1,1,0))</f>
        <v>0</v>
      </c>
      <c r="H3137" s="0" t="n">
        <f aca="false">ROW()-1</f>
        <v>3136</v>
      </c>
      <c r="I3137" s="0" t="str">
        <f aca="false">IF(OR(הגדרות!$E$6=0,H3137&gt;הגדרות!$E$5),"",IF(H3137-1&lt;הגדרות!$E$8*(הגדרות!$E$7+1),INT((H3137-1)/(הגדרות!$E$7+1)),הגדרות!$E$8+INT((H3137-1-הגדרות!$E$8*(הגדרות!$E$7+1))/הגדרות!$E$7)))</f>
        <v/>
      </c>
      <c r="J3137" s="0" t="str">
        <f aca="false">IF(I3137="","",IF(H3137-1&lt;הגדרות!$E$8*(הגדרות!$E$7+1),MOD(H3137-1,הגדרות!$E$7+1),MOD(H3137-1-הגדרות!$E$8*(הגדרות!$E$7+1),הגדרות!$E$7)))</f>
        <v/>
      </c>
      <c r="K3137" s="0" t="str">
        <f aca="false">IF(I3137="","",J3137*הגדרות!$E$6+I3137+1)</f>
        <v/>
      </c>
      <c r="L3137" s="0" t="str">
        <f aca="false">IF(K3137="","",MATCH(K3137,$F$2:$F$5001,0))</f>
        <v/>
      </c>
      <c r="M3137" s="0" t="str">
        <f aca="false">IF(I3137="","",INDEX(הגדרות!$A$2:$A$21,MOD(I3137+הגדרות!$E$9,הגדרות!$E$6)+1))</f>
        <v/>
      </c>
    </row>
    <row r="3138" customFormat="false" ht="15" hidden="false" customHeight="false" outlineLevel="0" collapsed="false">
      <c r="A3138" s="0" t="str">
        <f aca="false">IF('הדבקת לידים'!A3138="","",IF(ISNUMBER('הדבקת לידים'!A3138),IF(הגדרות!$E$2&gt;0,TEXT('הדבקת לידים'!A3138,REPT("0",הגדרות!$E$2)),TEXT('הדבקת לידים'!A3138,"0")),TRIM('הדבקת לידים'!A3138)))</f>
        <v/>
      </c>
      <c r="B3138" s="0" t="str">
        <f aca="false">IF('הדבקת לידים'!B3138="","",IF(ISNUMBER('הדבקת לידים'!B3138),IF(הגדרות!$E$3&gt;0,TEXT('הדבקת לידים'!B3138,REPT("0",הגדרות!$E$3)),TEXT('הדבקת לידים'!B3138,"0")),TRIM('הדבקת לידים'!B3138)))</f>
        <v/>
      </c>
      <c r="C3138" s="0" t="n">
        <f aca="false">IF(OR(A3138&lt;&gt;"",B3138&lt;&gt;""),1,0)</f>
        <v>0</v>
      </c>
      <c r="D3138" s="0" t="str">
        <f aca="false">IF(C3138=1,MOD(ABS(SIN(ROW()*12.9898+'הדבקת לידים'!$F$2*78.233+IFERROR(--RIGHT(A3138,6),LEN(A3138))*0.0137+IFERROR(--RIGHT(B3138,6),LEN(B3138))*0.0071))*43758.5453,1),"")</f>
        <v/>
      </c>
      <c r="E3138" s="0" t="str">
        <f aca="false">IF(C3138=1,INT(MOD(ABS(SIN(D3138*7919.123+ROW()*0.618+'הדבקת לידים'!$F$2*1.3))*43758.5453,1)*1000000)*10000+ROW(),"")</f>
        <v/>
      </c>
      <c r="F3138" s="0" t="str">
        <f aca="false">IF(E3138="","",RANK(E3138,$E$2:$E$5001,1))</f>
        <v/>
      </c>
      <c r="G3138" s="0" t="n">
        <f aca="false">IF(A3138="",0,IF(SUMPRODUCT(--($A$2:$A$5001=A3138))&gt;1,1,0))</f>
        <v>0</v>
      </c>
      <c r="H3138" s="0" t="n">
        <f aca="false">ROW()-1</f>
        <v>3137</v>
      </c>
      <c r="I3138" s="0" t="str">
        <f aca="false">IF(OR(הגדרות!$E$6=0,H3138&gt;הגדרות!$E$5),"",IF(H3138-1&lt;הגדרות!$E$8*(הגדרות!$E$7+1),INT((H3138-1)/(הגדרות!$E$7+1)),הגדרות!$E$8+INT((H3138-1-הגדרות!$E$8*(הגדרות!$E$7+1))/הגדרות!$E$7)))</f>
        <v/>
      </c>
      <c r="J3138" s="0" t="str">
        <f aca="false">IF(I3138="","",IF(H3138-1&lt;הגדרות!$E$8*(הגדרות!$E$7+1),MOD(H3138-1,הגדרות!$E$7+1),MOD(H3138-1-הגדרות!$E$8*(הגדרות!$E$7+1),הגדרות!$E$7)))</f>
        <v/>
      </c>
      <c r="K3138" s="0" t="str">
        <f aca="false">IF(I3138="","",J3138*הגדרות!$E$6+I3138+1)</f>
        <v/>
      </c>
      <c r="L3138" s="0" t="str">
        <f aca="false">IF(K3138="","",MATCH(K3138,$F$2:$F$5001,0))</f>
        <v/>
      </c>
      <c r="M3138" s="0" t="str">
        <f aca="false">IF(I3138="","",INDEX(הגדרות!$A$2:$A$21,MOD(I3138+הגדרות!$E$9,הגדרות!$E$6)+1))</f>
        <v/>
      </c>
    </row>
    <row r="3139" customFormat="false" ht="15" hidden="false" customHeight="false" outlineLevel="0" collapsed="false">
      <c r="A3139" s="0" t="str">
        <f aca="false">IF('הדבקת לידים'!A3139="","",IF(ISNUMBER('הדבקת לידים'!A3139),IF(הגדרות!$E$2&gt;0,TEXT('הדבקת לידים'!A3139,REPT("0",הגדרות!$E$2)),TEXT('הדבקת לידים'!A3139,"0")),TRIM('הדבקת לידים'!A3139)))</f>
        <v/>
      </c>
      <c r="B3139" s="0" t="str">
        <f aca="false">IF('הדבקת לידים'!B3139="","",IF(ISNUMBER('הדבקת לידים'!B3139),IF(הגדרות!$E$3&gt;0,TEXT('הדבקת לידים'!B3139,REPT("0",הגדרות!$E$3)),TEXT('הדבקת לידים'!B3139,"0")),TRIM('הדבקת לידים'!B3139)))</f>
        <v/>
      </c>
      <c r="C3139" s="0" t="n">
        <f aca="false">IF(OR(A3139&lt;&gt;"",B3139&lt;&gt;""),1,0)</f>
        <v>0</v>
      </c>
      <c r="D3139" s="0" t="str">
        <f aca="false">IF(C3139=1,MOD(ABS(SIN(ROW()*12.9898+'הדבקת לידים'!$F$2*78.233+IFERROR(--RIGHT(A3139,6),LEN(A3139))*0.0137+IFERROR(--RIGHT(B3139,6),LEN(B3139))*0.0071))*43758.5453,1),"")</f>
        <v/>
      </c>
      <c r="E3139" s="0" t="str">
        <f aca="false">IF(C3139=1,INT(MOD(ABS(SIN(D3139*7919.123+ROW()*0.618+'הדבקת לידים'!$F$2*1.3))*43758.5453,1)*1000000)*10000+ROW(),"")</f>
        <v/>
      </c>
      <c r="F3139" s="0" t="str">
        <f aca="false">IF(E3139="","",RANK(E3139,$E$2:$E$5001,1))</f>
        <v/>
      </c>
      <c r="G3139" s="0" t="n">
        <f aca="false">IF(A3139="",0,IF(SUMPRODUCT(--($A$2:$A$5001=A3139))&gt;1,1,0))</f>
        <v>0</v>
      </c>
      <c r="H3139" s="0" t="n">
        <f aca="false">ROW()-1</f>
        <v>3138</v>
      </c>
      <c r="I3139" s="0" t="str">
        <f aca="false">IF(OR(הגדרות!$E$6=0,H3139&gt;הגדרות!$E$5),"",IF(H3139-1&lt;הגדרות!$E$8*(הגדרות!$E$7+1),INT((H3139-1)/(הגדרות!$E$7+1)),הגדרות!$E$8+INT((H3139-1-הגדרות!$E$8*(הגדרות!$E$7+1))/הגדרות!$E$7)))</f>
        <v/>
      </c>
      <c r="J3139" s="0" t="str">
        <f aca="false">IF(I3139="","",IF(H3139-1&lt;הגדרות!$E$8*(הגדרות!$E$7+1),MOD(H3139-1,הגדרות!$E$7+1),MOD(H3139-1-הגדרות!$E$8*(הגדרות!$E$7+1),הגדרות!$E$7)))</f>
        <v/>
      </c>
      <c r="K3139" s="0" t="str">
        <f aca="false">IF(I3139="","",J3139*הגדרות!$E$6+I3139+1)</f>
        <v/>
      </c>
      <c r="L3139" s="0" t="str">
        <f aca="false">IF(K3139="","",MATCH(K3139,$F$2:$F$5001,0))</f>
        <v/>
      </c>
      <c r="M3139" s="0" t="str">
        <f aca="false">IF(I3139="","",INDEX(הגדרות!$A$2:$A$21,MOD(I3139+הגדרות!$E$9,הגדרות!$E$6)+1))</f>
        <v/>
      </c>
    </row>
    <row r="3140" customFormat="false" ht="15" hidden="false" customHeight="false" outlineLevel="0" collapsed="false">
      <c r="A3140" s="0" t="str">
        <f aca="false">IF('הדבקת לידים'!A3140="","",IF(ISNUMBER('הדבקת לידים'!A3140),IF(הגדרות!$E$2&gt;0,TEXT('הדבקת לידים'!A3140,REPT("0",הגדרות!$E$2)),TEXT('הדבקת לידים'!A3140,"0")),TRIM('הדבקת לידים'!A3140)))</f>
        <v/>
      </c>
      <c r="B3140" s="0" t="str">
        <f aca="false">IF('הדבקת לידים'!B3140="","",IF(ISNUMBER('הדבקת לידים'!B3140),IF(הגדרות!$E$3&gt;0,TEXT('הדבקת לידים'!B3140,REPT("0",הגדרות!$E$3)),TEXT('הדבקת לידים'!B3140,"0")),TRIM('הדבקת לידים'!B3140)))</f>
        <v/>
      </c>
      <c r="C3140" s="0" t="n">
        <f aca="false">IF(OR(A3140&lt;&gt;"",B3140&lt;&gt;""),1,0)</f>
        <v>0</v>
      </c>
      <c r="D3140" s="0" t="str">
        <f aca="false">IF(C3140=1,MOD(ABS(SIN(ROW()*12.9898+'הדבקת לידים'!$F$2*78.233+IFERROR(--RIGHT(A3140,6),LEN(A3140))*0.0137+IFERROR(--RIGHT(B3140,6),LEN(B3140))*0.0071))*43758.5453,1),"")</f>
        <v/>
      </c>
      <c r="E3140" s="0" t="str">
        <f aca="false">IF(C3140=1,INT(MOD(ABS(SIN(D3140*7919.123+ROW()*0.618+'הדבקת לידים'!$F$2*1.3))*43758.5453,1)*1000000)*10000+ROW(),"")</f>
        <v/>
      </c>
      <c r="F3140" s="0" t="str">
        <f aca="false">IF(E3140="","",RANK(E3140,$E$2:$E$5001,1))</f>
        <v/>
      </c>
      <c r="G3140" s="0" t="n">
        <f aca="false">IF(A3140="",0,IF(SUMPRODUCT(--($A$2:$A$5001=A3140))&gt;1,1,0))</f>
        <v>0</v>
      </c>
      <c r="H3140" s="0" t="n">
        <f aca="false">ROW()-1</f>
        <v>3139</v>
      </c>
      <c r="I3140" s="0" t="str">
        <f aca="false">IF(OR(הגדרות!$E$6=0,H3140&gt;הגדרות!$E$5),"",IF(H3140-1&lt;הגדרות!$E$8*(הגדרות!$E$7+1),INT((H3140-1)/(הגדרות!$E$7+1)),הגדרות!$E$8+INT((H3140-1-הגדרות!$E$8*(הגדרות!$E$7+1))/הגדרות!$E$7)))</f>
        <v/>
      </c>
      <c r="J3140" s="0" t="str">
        <f aca="false">IF(I3140="","",IF(H3140-1&lt;הגדרות!$E$8*(הגדרות!$E$7+1),MOD(H3140-1,הגדרות!$E$7+1),MOD(H3140-1-הגדרות!$E$8*(הגדרות!$E$7+1),הגדרות!$E$7)))</f>
        <v/>
      </c>
      <c r="K3140" s="0" t="str">
        <f aca="false">IF(I3140="","",J3140*הגדרות!$E$6+I3140+1)</f>
        <v/>
      </c>
      <c r="L3140" s="0" t="str">
        <f aca="false">IF(K3140="","",MATCH(K3140,$F$2:$F$5001,0))</f>
        <v/>
      </c>
      <c r="M3140" s="0" t="str">
        <f aca="false">IF(I3140="","",INDEX(הגדרות!$A$2:$A$21,MOD(I3140+הגדרות!$E$9,הגדרות!$E$6)+1))</f>
        <v/>
      </c>
    </row>
    <row r="3141" customFormat="false" ht="15" hidden="false" customHeight="false" outlineLevel="0" collapsed="false">
      <c r="A3141" s="0" t="str">
        <f aca="false">IF('הדבקת לידים'!A3141="","",IF(ISNUMBER('הדבקת לידים'!A3141),IF(הגדרות!$E$2&gt;0,TEXT('הדבקת לידים'!A3141,REPT("0",הגדרות!$E$2)),TEXT('הדבקת לידים'!A3141,"0")),TRIM('הדבקת לידים'!A3141)))</f>
        <v/>
      </c>
      <c r="B3141" s="0" t="str">
        <f aca="false">IF('הדבקת לידים'!B3141="","",IF(ISNUMBER('הדבקת לידים'!B3141),IF(הגדרות!$E$3&gt;0,TEXT('הדבקת לידים'!B3141,REPT("0",הגדרות!$E$3)),TEXT('הדבקת לידים'!B3141,"0")),TRIM('הדבקת לידים'!B3141)))</f>
        <v/>
      </c>
      <c r="C3141" s="0" t="n">
        <f aca="false">IF(OR(A3141&lt;&gt;"",B3141&lt;&gt;""),1,0)</f>
        <v>0</v>
      </c>
      <c r="D3141" s="0" t="str">
        <f aca="false">IF(C3141=1,MOD(ABS(SIN(ROW()*12.9898+'הדבקת לידים'!$F$2*78.233+IFERROR(--RIGHT(A3141,6),LEN(A3141))*0.0137+IFERROR(--RIGHT(B3141,6),LEN(B3141))*0.0071))*43758.5453,1),"")</f>
        <v/>
      </c>
      <c r="E3141" s="0" t="str">
        <f aca="false">IF(C3141=1,INT(MOD(ABS(SIN(D3141*7919.123+ROW()*0.618+'הדבקת לידים'!$F$2*1.3))*43758.5453,1)*1000000)*10000+ROW(),"")</f>
        <v/>
      </c>
      <c r="F3141" s="0" t="str">
        <f aca="false">IF(E3141="","",RANK(E3141,$E$2:$E$5001,1))</f>
        <v/>
      </c>
      <c r="G3141" s="0" t="n">
        <f aca="false">IF(A3141="",0,IF(SUMPRODUCT(--($A$2:$A$5001=A3141))&gt;1,1,0))</f>
        <v>0</v>
      </c>
      <c r="H3141" s="0" t="n">
        <f aca="false">ROW()-1</f>
        <v>3140</v>
      </c>
      <c r="I3141" s="0" t="str">
        <f aca="false">IF(OR(הגדרות!$E$6=0,H3141&gt;הגדרות!$E$5),"",IF(H3141-1&lt;הגדרות!$E$8*(הגדרות!$E$7+1),INT((H3141-1)/(הגדרות!$E$7+1)),הגדרות!$E$8+INT((H3141-1-הגדרות!$E$8*(הגדרות!$E$7+1))/הגדרות!$E$7)))</f>
        <v/>
      </c>
      <c r="J3141" s="0" t="str">
        <f aca="false">IF(I3141="","",IF(H3141-1&lt;הגדרות!$E$8*(הגדרות!$E$7+1),MOD(H3141-1,הגדרות!$E$7+1),MOD(H3141-1-הגדרות!$E$8*(הגדרות!$E$7+1),הגדרות!$E$7)))</f>
        <v/>
      </c>
      <c r="K3141" s="0" t="str">
        <f aca="false">IF(I3141="","",J3141*הגדרות!$E$6+I3141+1)</f>
        <v/>
      </c>
      <c r="L3141" s="0" t="str">
        <f aca="false">IF(K3141="","",MATCH(K3141,$F$2:$F$5001,0))</f>
        <v/>
      </c>
      <c r="M3141" s="0" t="str">
        <f aca="false">IF(I3141="","",INDEX(הגדרות!$A$2:$A$21,MOD(I3141+הגדרות!$E$9,הגדרות!$E$6)+1))</f>
        <v/>
      </c>
    </row>
    <row r="3142" customFormat="false" ht="15" hidden="false" customHeight="false" outlineLevel="0" collapsed="false">
      <c r="A3142" s="0" t="str">
        <f aca="false">IF('הדבקת לידים'!A3142="","",IF(ISNUMBER('הדבקת לידים'!A3142),IF(הגדרות!$E$2&gt;0,TEXT('הדבקת לידים'!A3142,REPT("0",הגדרות!$E$2)),TEXT('הדבקת לידים'!A3142,"0")),TRIM('הדבקת לידים'!A3142)))</f>
        <v/>
      </c>
      <c r="B3142" s="0" t="str">
        <f aca="false">IF('הדבקת לידים'!B3142="","",IF(ISNUMBER('הדבקת לידים'!B3142),IF(הגדרות!$E$3&gt;0,TEXT('הדבקת לידים'!B3142,REPT("0",הגדרות!$E$3)),TEXT('הדבקת לידים'!B3142,"0")),TRIM('הדבקת לידים'!B3142)))</f>
        <v/>
      </c>
      <c r="C3142" s="0" t="n">
        <f aca="false">IF(OR(A3142&lt;&gt;"",B3142&lt;&gt;""),1,0)</f>
        <v>0</v>
      </c>
      <c r="D3142" s="0" t="str">
        <f aca="false">IF(C3142=1,MOD(ABS(SIN(ROW()*12.9898+'הדבקת לידים'!$F$2*78.233+IFERROR(--RIGHT(A3142,6),LEN(A3142))*0.0137+IFERROR(--RIGHT(B3142,6),LEN(B3142))*0.0071))*43758.5453,1),"")</f>
        <v/>
      </c>
      <c r="E3142" s="0" t="str">
        <f aca="false">IF(C3142=1,INT(MOD(ABS(SIN(D3142*7919.123+ROW()*0.618+'הדבקת לידים'!$F$2*1.3))*43758.5453,1)*1000000)*10000+ROW(),"")</f>
        <v/>
      </c>
      <c r="F3142" s="0" t="str">
        <f aca="false">IF(E3142="","",RANK(E3142,$E$2:$E$5001,1))</f>
        <v/>
      </c>
      <c r="G3142" s="0" t="n">
        <f aca="false">IF(A3142="",0,IF(SUMPRODUCT(--($A$2:$A$5001=A3142))&gt;1,1,0))</f>
        <v>0</v>
      </c>
      <c r="H3142" s="0" t="n">
        <f aca="false">ROW()-1</f>
        <v>3141</v>
      </c>
      <c r="I3142" s="0" t="str">
        <f aca="false">IF(OR(הגדרות!$E$6=0,H3142&gt;הגדרות!$E$5),"",IF(H3142-1&lt;הגדרות!$E$8*(הגדרות!$E$7+1),INT((H3142-1)/(הגדרות!$E$7+1)),הגדרות!$E$8+INT((H3142-1-הגדרות!$E$8*(הגדרות!$E$7+1))/הגדרות!$E$7)))</f>
        <v/>
      </c>
      <c r="J3142" s="0" t="str">
        <f aca="false">IF(I3142="","",IF(H3142-1&lt;הגדרות!$E$8*(הגדרות!$E$7+1),MOD(H3142-1,הגדרות!$E$7+1),MOD(H3142-1-הגדרות!$E$8*(הגדרות!$E$7+1),הגדרות!$E$7)))</f>
        <v/>
      </c>
      <c r="K3142" s="0" t="str">
        <f aca="false">IF(I3142="","",J3142*הגדרות!$E$6+I3142+1)</f>
        <v/>
      </c>
      <c r="L3142" s="0" t="str">
        <f aca="false">IF(K3142="","",MATCH(K3142,$F$2:$F$5001,0))</f>
        <v/>
      </c>
      <c r="M3142" s="0" t="str">
        <f aca="false">IF(I3142="","",INDEX(הגדרות!$A$2:$A$21,MOD(I3142+הגדרות!$E$9,הגדרות!$E$6)+1))</f>
        <v/>
      </c>
    </row>
    <row r="3143" customFormat="false" ht="15" hidden="false" customHeight="false" outlineLevel="0" collapsed="false">
      <c r="A3143" s="0" t="str">
        <f aca="false">IF('הדבקת לידים'!A3143="","",IF(ISNUMBER('הדבקת לידים'!A3143),IF(הגדרות!$E$2&gt;0,TEXT('הדבקת לידים'!A3143,REPT("0",הגדרות!$E$2)),TEXT('הדבקת לידים'!A3143,"0")),TRIM('הדבקת לידים'!A3143)))</f>
        <v/>
      </c>
      <c r="B3143" s="0" t="str">
        <f aca="false">IF('הדבקת לידים'!B3143="","",IF(ISNUMBER('הדבקת לידים'!B3143),IF(הגדרות!$E$3&gt;0,TEXT('הדבקת לידים'!B3143,REPT("0",הגדרות!$E$3)),TEXT('הדבקת לידים'!B3143,"0")),TRIM('הדבקת לידים'!B3143)))</f>
        <v/>
      </c>
      <c r="C3143" s="0" t="n">
        <f aca="false">IF(OR(A3143&lt;&gt;"",B3143&lt;&gt;""),1,0)</f>
        <v>0</v>
      </c>
      <c r="D3143" s="0" t="str">
        <f aca="false">IF(C3143=1,MOD(ABS(SIN(ROW()*12.9898+'הדבקת לידים'!$F$2*78.233+IFERROR(--RIGHT(A3143,6),LEN(A3143))*0.0137+IFERROR(--RIGHT(B3143,6),LEN(B3143))*0.0071))*43758.5453,1),"")</f>
        <v/>
      </c>
      <c r="E3143" s="0" t="str">
        <f aca="false">IF(C3143=1,INT(MOD(ABS(SIN(D3143*7919.123+ROW()*0.618+'הדבקת לידים'!$F$2*1.3))*43758.5453,1)*1000000)*10000+ROW(),"")</f>
        <v/>
      </c>
      <c r="F3143" s="0" t="str">
        <f aca="false">IF(E3143="","",RANK(E3143,$E$2:$E$5001,1))</f>
        <v/>
      </c>
      <c r="G3143" s="0" t="n">
        <f aca="false">IF(A3143="",0,IF(SUMPRODUCT(--($A$2:$A$5001=A3143))&gt;1,1,0))</f>
        <v>0</v>
      </c>
      <c r="H3143" s="0" t="n">
        <f aca="false">ROW()-1</f>
        <v>3142</v>
      </c>
      <c r="I3143" s="0" t="str">
        <f aca="false">IF(OR(הגדרות!$E$6=0,H3143&gt;הגדרות!$E$5),"",IF(H3143-1&lt;הגדרות!$E$8*(הגדרות!$E$7+1),INT((H3143-1)/(הגדרות!$E$7+1)),הגדרות!$E$8+INT((H3143-1-הגדרות!$E$8*(הגדרות!$E$7+1))/הגדרות!$E$7)))</f>
        <v/>
      </c>
      <c r="J3143" s="0" t="str">
        <f aca="false">IF(I3143="","",IF(H3143-1&lt;הגדרות!$E$8*(הגדרות!$E$7+1),MOD(H3143-1,הגדרות!$E$7+1),MOD(H3143-1-הגדרות!$E$8*(הגדרות!$E$7+1),הגדרות!$E$7)))</f>
        <v/>
      </c>
      <c r="K3143" s="0" t="str">
        <f aca="false">IF(I3143="","",J3143*הגדרות!$E$6+I3143+1)</f>
        <v/>
      </c>
      <c r="L3143" s="0" t="str">
        <f aca="false">IF(K3143="","",MATCH(K3143,$F$2:$F$5001,0))</f>
        <v/>
      </c>
      <c r="M3143" s="0" t="str">
        <f aca="false">IF(I3143="","",INDEX(הגדרות!$A$2:$A$21,MOD(I3143+הגדרות!$E$9,הגדרות!$E$6)+1))</f>
        <v/>
      </c>
    </row>
    <row r="3144" customFormat="false" ht="15" hidden="false" customHeight="false" outlineLevel="0" collapsed="false">
      <c r="A3144" s="0" t="str">
        <f aca="false">IF('הדבקת לידים'!A3144="","",IF(ISNUMBER('הדבקת לידים'!A3144),IF(הגדרות!$E$2&gt;0,TEXT('הדבקת לידים'!A3144,REPT("0",הגדרות!$E$2)),TEXT('הדבקת לידים'!A3144,"0")),TRIM('הדבקת לידים'!A3144)))</f>
        <v/>
      </c>
      <c r="B3144" s="0" t="str">
        <f aca="false">IF('הדבקת לידים'!B3144="","",IF(ISNUMBER('הדבקת לידים'!B3144),IF(הגדרות!$E$3&gt;0,TEXT('הדבקת לידים'!B3144,REPT("0",הגדרות!$E$3)),TEXT('הדבקת לידים'!B3144,"0")),TRIM('הדבקת לידים'!B3144)))</f>
        <v/>
      </c>
      <c r="C3144" s="0" t="n">
        <f aca="false">IF(OR(A3144&lt;&gt;"",B3144&lt;&gt;""),1,0)</f>
        <v>0</v>
      </c>
      <c r="D3144" s="0" t="str">
        <f aca="false">IF(C3144=1,MOD(ABS(SIN(ROW()*12.9898+'הדבקת לידים'!$F$2*78.233+IFERROR(--RIGHT(A3144,6),LEN(A3144))*0.0137+IFERROR(--RIGHT(B3144,6),LEN(B3144))*0.0071))*43758.5453,1),"")</f>
        <v/>
      </c>
      <c r="E3144" s="0" t="str">
        <f aca="false">IF(C3144=1,INT(MOD(ABS(SIN(D3144*7919.123+ROW()*0.618+'הדבקת לידים'!$F$2*1.3))*43758.5453,1)*1000000)*10000+ROW(),"")</f>
        <v/>
      </c>
      <c r="F3144" s="0" t="str">
        <f aca="false">IF(E3144="","",RANK(E3144,$E$2:$E$5001,1))</f>
        <v/>
      </c>
      <c r="G3144" s="0" t="n">
        <f aca="false">IF(A3144="",0,IF(SUMPRODUCT(--($A$2:$A$5001=A3144))&gt;1,1,0))</f>
        <v>0</v>
      </c>
      <c r="H3144" s="0" t="n">
        <f aca="false">ROW()-1</f>
        <v>3143</v>
      </c>
      <c r="I3144" s="0" t="str">
        <f aca="false">IF(OR(הגדרות!$E$6=0,H3144&gt;הגדרות!$E$5),"",IF(H3144-1&lt;הגדרות!$E$8*(הגדרות!$E$7+1),INT((H3144-1)/(הגדרות!$E$7+1)),הגדרות!$E$8+INT((H3144-1-הגדרות!$E$8*(הגדרות!$E$7+1))/הגדרות!$E$7)))</f>
        <v/>
      </c>
      <c r="J3144" s="0" t="str">
        <f aca="false">IF(I3144="","",IF(H3144-1&lt;הגדרות!$E$8*(הגדרות!$E$7+1),MOD(H3144-1,הגדרות!$E$7+1),MOD(H3144-1-הגדרות!$E$8*(הגדרות!$E$7+1),הגדרות!$E$7)))</f>
        <v/>
      </c>
      <c r="K3144" s="0" t="str">
        <f aca="false">IF(I3144="","",J3144*הגדרות!$E$6+I3144+1)</f>
        <v/>
      </c>
      <c r="L3144" s="0" t="str">
        <f aca="false">IF(K3144="","",MATCH(K3144,$F$2:$F$5001,0))</f>
        <v/>
      </c>
      <c r="M3144" s="0" t="str">
        <f aca="false">IF(I3144="","",INDEX(הגדרות!$A$2:$A$21,MOD(I3144+הגדרות!$E$9,הגדרות!$E$6)+1))</f>
        <v/>
      </c>
    </row>
    <row r="3145" customFormat="false" ht="15" hidden="false" customHeight="false" outlineLevel="0" collapsed="false">
      <c r="A3145" s="0" t="str">
        <f aca="false">IF('הדבקת לידים'!A3145="","",IF(ISNUMBER('הדבקת לידים'!A3145),IF(הגדרות!$E$2&gt;0,TEXT('הדבקת לידים'!A3145,REPT("0",הגדרות!$E$2)),TEXT('הדבקת לידים'!A3145,"0")),TRIM('הדבקת לידים'!A3145)))</f>
        <v/>
      </c>
      <c r="B3145" s="0" t="str">
        <f aca="false">IF('הדבקת לידים'!B3145="","",IF(ISNUMBER('הדבקת לידים'!B3145),IF(הגדרות!$E$3&gt;0,TEXT('הדבקת לידים'!B3145,REPT("0",הגדרות!$E$3)),TEXT('הדבקת לידים'!B3145,"0")),TRIM('הדבקת לידים'!B3145)))</f>
        <v/>
      </c>
      <c r="C3145" s="0" t="n">
        <f aca="false">IF(OR(A3145&lt;&gt;"",B3145&lt;&gt;""),1,0)</f>
        <v>0</v>
      </c>
      <c r="D3145" s="0" t="str">
        <f aca="false">IF(C3145=1,MOD(ABS(SIN(ROW()*12.9898+'הדבקת לידים'!$F$2*78.233+IFERROR(--RIGHT(A3145,6),LEN(A3145))*0.0137+IFERROR(--RIGHT(B3145,6),LEN(B3145))*0.0071))*43758.5453,1),"")</f>
        <v/>
      </c>
      <c r="E3145" s="0" t="str">
        <f aca="false">IF(C3145=1,INT(MOD(ABS(SIN(D3145*7919.123+ROW()*0.618+'הדבקת לידים'!$F$2*1.3))*43758.5453,1)*1000000)*10000+ROW(),"")</f>
        <v/>
      </c>
      <c r="F3145" s="0" t="str">
        <f aca="false">IF(E3145="","",RANK(E3145,$E$2:$E$5001,1))</f>
        <v/>
      </c>
      <c r="G3145" s="0" t="n">
        <f aca="false">IF(A3145="",0,IF(SUMPRODUCT(--($A$2:$A$5001=A3145))&gt;1,1,0))</f>
        <v>0</v>
      </c>
      <c r="H3145" s="0" t="n">
        <f aca="false">ROW()-1</f>
        <v>3144</v>
      </c>
      <c r="I3145" s="0" t="str">
        <f aca="false">IF(OR(הגדרות!$E$6=0,H3145&gt;הגדרות!$E$5),"",IF(H3145-1&lt;הגדרות!$E$8*(הגדרות!$E$7+1),INT((H3145-1)/(הגדרות!$E$7+1)),הגדרות!$E$8+INT((H3145-1-הגדרות!$E$8*(הגדרות!$E$7+1))/הגדרות!$E$7)))</f>
        <v/>
      </c>
      <c r="J3145" s="0" t="str">
        <f aca="false">IF(I3145="","",IF(H3145-1&lt;הגדרות!$E$8*(הגדרות!$E$7+1),MOD(H3145-1,הגדרות!$E$7+1),MOD(H3145-1-הגדרות!$E$8*(הגדרות!$E$7+1),הגדרות!$E$7)))</f>
        <v/>
      </c>
      <c r="K3145" s="0" t="str">
        <f aca="false">IF(I3145="","",J3145*הגדרות!$E$6+I3145+1)</f>
        <v/>
      </c>
      <c r="L3145" s="0" t="str">
        <f aca="false">IF(K3145="","",MATCH(K3145,$F$2:$F$5001,0))</f>
        <v/>
      </c>
      <c r="M3145" s="0" t="str">
        <f aca="false">IF(I3145="","",INDEX(הגדרות!$A$2:$A$21,MOD(I3145+הגדרות!$E$9,הגדרות!$E$6)+1))</f>
        <v/>
      </c>
    </row>
    <row r="3146" customFormat="false" ht="15" hidden="false" customHeight="false" outlineLevel="0" collapsed="false">
      <c r="A3146" s="0" t="str">
        <f aca="false">IF('הדבקת לידים'!A3146="","",IF(ISNUMBER('הדבקת לידים'!A3146),IF(הגדרות!$E$2&gt;0,TEXT('הדבקת לידים'!A3146,REPT("0",הגדרות!$E$2)),TEXT('הדבקת לידים'!A3146,"0")),TRIM('הדבקת לידים'!A3146)))</f>
        <v/>
      </c>
      <c r="B3146" s="0" t="str">
        <f aca="false">IF('הדבקת לידים'!B3146="","",IF(ISNUMBER('הדבקת לידים'!B3146),IF(הגדרות!$E$3&gt;0,TEXT('הדבקת לידים'!B3146,REPT("0",הגדרות!$E$3)),TEXT('הדבקת לידים'!B3146,"0")),TRIM('הדבקת לידים'!B3146)))</f>
        <v/>
      </c>
      <c r="C3146" s="0" t="n">
        <f aca="false">IF(OR(A3146&lt;&gt;"",B3146&lt;&gt;""),1,0)</f>
        <v>0</v>
      </c>
      <c r="D3146" s="0" t="str">
        <f aca="false">IF(C3146=1,MOD(ABS(SIN(ROW()*12.9898+'הדבקת לידים'!$F$2*78.233+IFERROR(--RIGHT(A3146,6),LEN(A3146))*0.0137+IFERROR(--RIGHT(B3146,6),LEN(B3146))*0.0071))*43758.5453,1),"")</f>
        <v/>
      </c>
      <c r="E3146" s="0" t="str">
        <f aca="false">IF(C3146=1,INT(MOD(ABS(SIN(D3146*7919.123+ROW()*0.618+'הדבקת לידים'!$F$2*1.3))*43758.5453,1)*1000000)*10000+ROW(),"")</f>
        <v/>
      </c>
      <c r="F3146" s="0" t="str">
        <f aca="false">IF(E3146="","",RANK(E3146,$E$2:$E$5001,1))</f>
        <v/>
      </c>
      <c r="G3146" s="0" t="n">
        <f aca="false">IF(A3146="",0,IF(SUMPRODUCT(--($A$2:$A$5001=A3146))&gt;1,1,0))</f>
        <v>0</v>
      </c>
      <c r="H3146" s="0" t="n">
        <f aca="false">ROW()-1</f>
        <v>3145</v>
      </c>
      <c r="I3146" s="0" t="str">
        <f aca="false">IF(OR(הגדרות!$E$6=0,H3146&gt;הגדרות!$E$5),"",IF(H3146-1&lt;הגדרות!$E$8*(הגדרות!$E$7+1),INT((H3146-1)/(הגדרות!$E$7+1)),הגדרות!$E$8+INT((H3146-1-הגדרות!$E$8*(הגדרות!$E$7+1))/הגדרות!$E$7)))</f>
        <v/>
      </c>
      <c r="J3146" s="0" t="str">
        <f aca="false">IF(I3146="","",IF(H3146-1&lt;הגדרות!$E$8*(הגדרות!$E$7+1),MOD(H3146-1,הגדרות!$E$7+1),MOD(H3146-1-הגדרות!$E$8*(הגדרות!$E$7+1),הגדרות!$E$7)))</f>
        <v/>
      </c>
      <c r="K3146" s="0" t="str">
        <f aca="false">IF(I3146="","",J3146*הגדרות!$E$6+I3146+1)</f>
        <v/>
      </c>
      <c r="L3146" s="0" t="str">
        <f aca="false">IF(K3146="","",MATCH(K3146,$F$2:$F$5001,0))</f>
        <v/>
      </c>
      <c r="M3146" s="0" t="str">
        <f aca="false">IF(I3146="","",INDEX(הגדרות!$A$2:$A$21,MOD(I3146+הגדרות!$E$9,הגדרות!$E$6)+1))</f>
        <v/>
      </c>
    </row>
    <row r="3147" customFormat="false" ht="15" hidden="false" customHeight="false" outlineLevel="0" collapsed="false">
      <c r="A3147" s="0" t="str">
        <f aca="false">IF('הדבקת לידים'!A3147="","",IF(ISNUMBER('הדבקת לידים'!A3147),IF(הגדרות!$E$2&gt;0,TEXT('הדבקת לידים'!A3147,REPT("0",הגדרות!$E$2)),TEXT('הדבקת לידים'!A3147,"0")),TRIM('הדבקת לידים'!A3147)))</f>
        <v/>
      </c>
      <c r="B3147" s="0" t="str">
        <f aca="false">IF('הדבקת לידים'!B3147="","",IF(ISNUMBER('הדבקת לידים'!B3147),IF(הגדרות!$E$3&gt;0,TEXT('הדבקת לידים'!B3147,REPT("0",הגדרות!$E$3)),TEXT('הדבקת לידים'!B3147,"0")),TRIM('הדבקת לידים'!B3147)))</f>
        <v/>
      </c>
      <c r="C3147" s="0" t="n">
        <f aca="false">IF(OR(A3147&lt;&gt;"",B3147&lt;&gt;""),1,0)</f>
        <v>0</v>
      </c>
      <c r="D3147" s="0" t="str">
        <f aca="false">IF(C3147=1,MOD(ABS(SIN(ROW()*12.9898+'הדבקת לידים'!$F$2*78.233+IFERROR(--RIGHT(A3147,6),LEN(A3147))*0.0137+IFERROR(--RIGHT(B3147,6),LEN(B3147))*0.0071))*43758.5453,1),"")</f>
        <v/>
      </c>
      <c r="E3147" s="0" t="str">
        <f aca="false">IF(C3147=1,INT(MOD(ABS(SIN(D3147*7919.123+ROW()*0.618+'הדבקת לידים'!$F$2*1.3))*43758.5453,1)*1000000)*10000+ROW(),"")</f>
        <v/>
      </c>
      <c r="F3147" s="0" t="str">
        <f aca="false">IF(E3147="","",RANK(E3147,$E$2:$E$5001,1))</f>
        <v/>
      </c>
      <c r="G3147" s="0" t="n">
        <f aca="false">IF(A3147="",0,IF(SUMPRODUCT(--($A$2:$A$5001=A3147))&gt;1,1,0))</f>
        <v>0</v>
      </c>
      <c r="H3147" s="0" t="n">
        <f aca="false">ROW()-1</f>
        <v>3146</v>
      </c>
      <c r="I3147" s="0" t="str">
        <f aca="false">IF(OR(הגדרות!$E$6=0,H3147&gt;הגדרות!$E$5),"",IF(H3147-1&lt;הגדרות!$E$8*(הגדרות!$E$7+1),INT((H3147-1)/(הגדרות!$E$7+1)),הגדרות!$E$8+INT((H3147-1-הגדרות!$E$8*(הגדרות!$E$7+1))/הגדרות!$E$7)))</f>
        <v/>
      </c>
      <c r="J3147" s="0" t="str">
        <f aca="false">IF(I3147="","",IF(H3147-1&lt;הגדרות!$E$8*(הגדרות!$E$7+1),MOD(H3147-1,הגדרות!$E$7+1),MOD(H3147-1-הגדרות!$E$8*(הגדרות!$E$7+1),הגדרות!$E$7)))</f>
        <v/>
      </c>
      <c r="K3147" s="0" t="str">
        <f aca="false">IF(I3147="","",J3147*הגדרות!$E$6+I3147+1)</f>
        <v/>
      </c>
      <c r="L3147" s="0" t="str">
        <f aca="false">IF(K3147="","",MATCH(K3147,$F$2:$F$5001,0))</f>
        <v/>
      </c>
      <c r="M3147" s="0" t="str">
        <f aca="false">IF(I3147="","",INDEX(הגדרות!$A$2:$A$21,MOD(I3147+הגדרות!$E$9,הגדרות!$E$6)+1))</f>
        <v/>
      </c>
    </row>
    <row r="3148" customFormat="false" ht="15" hidden="false" customHeight="false" outlineLevel="0" collapsed="false">
      <c r="A3148" s="0" t="str">
        <f aca="false">IF('הדבקת לידים'!A3148="","",IF(ISNUMBER('הדבקת לידים'!A3148),IF(הגדרות!$E$2&gt;0,TEXT('הדבקת לידים'!A3148,REPT("0",הגדרות!$E$2)),TEXT('הדבקת לידים'!A3148,"0")),TRIM('הדבקת לידים'!A3148)))</f>
        <v/>
      </c>
      <c r="B3148" s="0" t="str">
        <f aca="false">IF('הדבקת לידים'!B3148="","",IF(ISNUMBER('הדבקת לידים'!B3148),IF(הגדרות!$E$3&gt;0,TEXT('הדבקת לידים'!B3148,REPT("0",הגדרות!$E$3)),TEXT('הדבקת לידים'!B3148,"0")),TRIM('הדבקת לידים'!B3148)))</f>
        <v/>
      </c>
      <c r="C3148" s="0" t="n">
        <f aca="false">IF(OR(A3148&lt;&gt;"",B3148&lt;&gt;""),1,0)</f>
        <v>0</v>
      </c>
      <c r="D3148" s="0" t="str">
        <f aca="false">IF(C3148=1,MOD(ABS(SIN(ROW()*12.9898+'הדבקת לידים'!$F$2*78.233+IFERROR(--RIGHT(A3148,6),LEN(A3148))*0.0137+IFERROR(--RIGHT(B3148,6),LEN(B3148))*0.0071))*43758.5453,1),"")</f>
        <v/>
      </c>
      <c r="E3148" s="0" t="str">
        <f aca="false">IF(C3148=1,INT(MOD(ABS(SIN(D3148*7919.123+ROW()*0.618+'הדבקת לידים'!$F$2*1.3))*43758.5453,1)*1000000)*10000+ROW(),"")</f>
        <v/>
      </c>
      <c r="F3148" s="0" t="str">
        <f aca="false">IF(E3148="","",RANK(E3148,$E$2:$E$5001,1))</f>
        <v/>
      </c>
      <c r="G3148" s="0" t="n">
        <f aca="false">IF(A3148="",0,IF(SUMPRODUCT(--($A$2:$A$5001=A3148))&gt;1,1,0))</f>
        <v>0</v>
      </c>
      <c r="H3148" s="0" t="n">
        <f aca="false">ROW()-1</f>
        <v>3147</v>
      </c>
      <c r="I3148" s="0" t="str">
        <f aca="false">IF(OR(הגדרות!$E$6=0,H3148&gt;הגדרות!$E$5),"",IF(H3148-1&lt;הגדרות!$E$8*(הגדרות!$E$7+1),INT((H3148-1)/(הגדרות!$E$7+1)),הגדרות!$E$8+INT((H3148-1-הגדרות!$E$8*(הגדרות!$E$7+1))/הגדרות!$E$7)))</f>
        <v/>
      </c>
      <c r="J3148" s="0" t="str">
        <f aca="false">IF(I3148="","",IF(H3148-1&lt;הגדרות!$E$8*(הגדרות!$E$7+1),MOD(H3148-1,הגדרות!$E$7+1),MOD(H3148-1-הגדרות!$E$8*(הגדרות!$E$7+1),הגדרות!$E$7)))</f>
        <v/>
      </c>
      <c r="K3148" s="0" t="str">
        <f aca="false">IF(I3148="","",J3148*הגדרות!$E$6+I3148+1)</f>
        <v/>
      </c>
      <c r="L3148" s="0" t="str">
        <f aca="false">IF(K3148="","",MATCH(K3148,$F$2:$F$5001,0))</f>
        <v/>
      </c>
      <c r="M3148" s="0" t="str">
        <f aca="false">IF(I3148="","",INDEX(הגדרות!$A$2:$A$21,MOD(I3148+הגדרות!$E$9,הגדרות!$E$6)+1))</f>
        <v/>
      </c>
    </row>
    <row r="3149" customFormat="false" ht="15" hidden="false" customHeight="false" outlineLevel="0" collapsed="false">
      <c r="A3149" s="0" t="str">
        <f aca="false">IF('הדבקת לידים'!A3149="","",IF(ISNUMBER('הדבקת לידים'!A3149),IF(הגדרות!$E$2&gt;0,TEXT('הדבקת לידים'!A3149,REPT("0",הגדרות!$E$2)),TEXT('הדבקת לידים'!A3149,"0")),TRIM('הדבקת לידים'!A3149)))</f>
        <v/>
      </c>
      <c r="B3149" s="0" t="str">
        <f aca="false">IF('הדבקת לידים'!B3149="","",IF(ISNUMBER('הדבקת לידים'!B3149),IF(הגדרות!$E$3&gt;0,TEXT('הדבקת לידים'!B3149,REPT("0",הגדרות!$E$3)),TEXT('הדבקת לידים'!B3149,"0")),TRIM('הדבקת לידים'!B3149)))</f>
        <v/>
      </c>
      <c r="C3149" s="0" t="n">
        <f aca="false">IF(OR(A3149&lt;&gt;"",B3149&lt;&gt;""),1,0)</f>
        <v>0</v>
      </c>
      <c r="D3149" s="0" t="str">
        <f aca="false">IF(C3149=1,MOD(ABS(SIN(ROW()*12.9898+'הדבקת לידים'!$F$2*78.233+IFERROR(--RIGHT(A3149,6),LEN(A3149))*0.0137+IFERROR(--RIGHT(B3149,6),LEN(B3149))*0.0071))*43758.5453,1),"")</f>
        <v/>
      </c>
      <c r="E3149" s="0" t="str">
        <f aca="false">IF(C3149=1,INT(MOD(ABS(SIN(D3149*7919.123+ROW()*0.618+'הדבקת לידים'!$F$2*1.3))*43758.5453,1)*1000000)*10000+ROW(),"")</f>
        <v/>
      </c>
      <c r="F3149" s="0" t="str">
        <f aca="false">IF(E3149="","",RANK(E3149,$E$2:$E$5001,1))</f>
        <v/>
      </c>
      <c r="G3149" s="0" t="n">
        <f aca="false">IF(A3149="",0,IF(SUMPRODUCT(--($A$2:$A$5001=A3149))&gt;1,1,0))</f>
        <v>0</v>
      </c>
      <c r="H3149" s="0" t="n">
        <f aca="false">ROW()-1</f>
        <v>3148</v>
      </c>
      <c r="I3149" s="0" t="str">
        <f aca="false">IF(OR(הגדרות!$E$6=0,H3149&gt;הגדרות!$E$5),"",IF(H3149-1&lt;הגדרות!$E$8*(הגדרות!$E$7+1),INT((H3149-1)/(הגדרות!$E$7+1)),הגדרות!$E$8+INT((H3149-1-הגדרות!$E$8*(הגדרות!$E$7+1))/הגדרות!$E$7)))</f>
        <v/>
      </c>
      <c r="J3149" s="0" t="str">
        <f aca="false">IF(I3149="","",IF(H3149-1&lt;הגדרות!$E$8*(הגדרות!$E$7+1),MOD(H3149-1,הגדרות!$E$7+1),MOD(H3149-1-הגדרות!$E$8*(הגדרות!$E$7+1),הגדרות!$E$7)))</f>
        <v/>
      </c>
      <c r="K3149" s="0" t="str">
        <f aca="false">IF(I3149="","",J3149*הגדרות!$E$6+I3149+1)</f>
        <v/>
      </c>
      <c r="L3149" s="0" t="str">
        <f aca="false">IF(K3149="","",MATCH(K3149,$F$2:$F$5001,0))</f>
        <v/>
      </c>
      <c r="M3149" s="0" t="str">
        <f aca="false">IF(I3149="","",INDEX(הגדרות!$A$2:$A$21,MOD(I3149+הגדרות!$E$9,הגדרות!$E$6)+1))</f>
        <v/>
      </c>
    </row>
    <row r="3150" customFormat="false" ht="15" hidden="false" customHeight="false" outlineLevel="0" collapsed="false">
      <c r="A3150" s="0" t="str">
        <f aca="false">IF('הדבקת לידים'!A3150="","",IF(ISNUMBER('הדבקת לידים'!A3150),IF(הגדרות!$E$2&gt;0,TEXT('הדבקת לידים'!A3150,REPT("0",הגדרות!$E$2)),TEXT('הדבקת לידים'!A3150,"0")),TRIM('הדבקת לידים'!A3150)))</f>
        <v/>
      </c>
      <c r="B3150" s="0" t="str">
        <f aca="false">IF('הדבקת לידים'!B3150="","",IF(ISNUMBER('הדבקת לידים'!B3150),IF(הגדרות!$E$3&gt;0,TEXT('הדבקת לידים'!B3150,REPT("0",הגדרות!$E$3)),TEXT('הדבקת לידים'!B3150,"0")),TRIM('הדבקת לידים'!B3150)))</f>
        <v/>
      </c>
      <c r="C3150" s="0" t="n">
        <f aca="false">IF(OR(A3150&lt;&gt;"",B3150&lt;&gt;""),1,0)</f>
        <v>0</v>
      </c>
      <c r="D3150" s="0" t="str">
        <f aca="false">IF(C3150=1,MOD(ABS(SIN(ROW()*12.9898+'הדבקת לידים'!$F$2*78.233+IFERROR(--RIGHT(A3150,6),LEN(A3150))*0.0137+IFERROR(--RIGHT(B3150,6),LEN(B3150))*0.0071))*43758.5453,1),"")</f>
        <v/>
      </c>
      <c r="E3150" s="0" t="str">
        <f aca="false">IF(C3150=1,INT(MOD(ABS(SIN(D3150*7919.123+ROW()*0.618+'הדבקת לידים'!$F$2*1.3))*43758.5453,1)*1000000)*10000+ROW(),"")</f>
        <v/>
      </c>
      <c r="F3150" s="0" t="str">
        <f aca="false">IF(E3150="","",RANK(E3150,$E$2:$E$5001,1))</f>
        <v/>
      </c>
      <c r="G3150" s="0" t="n">
        <f aca="false">IF(A3150="",0,IF(SUMPRODUCT(--($A$2:$A$5001=A3150))&gt;1,1,0))</f>
        <v>0</v>
      </c>
      <c r="H3150" s="0" t="n">
        <f aca="false">ROW()-1</f>
        <v>3149</v>
      </c>
      <c r="I3150" s="0" t="str">
        <f aca="false">IF(OR(הגדרות!$E$6=0,H3150&gt;הגדרות!$E$5),"",IF(H3150-1&lt;הגדרות!$E$8*(הגדרות!$E$7+1),INT((H3150-1)/(הגדרות!$E$7+1)),הגדרות!$E$8+INT((H3150-1-הגדרות!$E$8*(הגדרות!$E$7+1))/הגדרות!$E$7)))</f>
        <v/>
      </c>
      <c r="J3150" s="0" t="str">
        <f aca="false">IF(I3150="","",IF(H3150-1&lt;הגדרות!$E$8*(הגדרות!$E$7+1),MOD(H3150-1,הגדרות!$E$7+1),MOD(H3150-1-הגדרות!$E$8*(הגדרות!$E$7+1),הגדרות!$E$7)))</f>
        <v/>
      </c>
      <c r="K3150" s="0" t="str">
        <f aca="false">IF(I3150="","",J3150*הגדרות!$E$6+I3150+1)</f>
        <v/>
      </c>
      <c r="L3150" s="0" t="str">
        <f aca="false">IF(K3150="","",MATCH(K3150,$F$2:$F$5001,0))</f>
        <v/>
      </c>
      <c r="M3150" s="0" t="str">
        <f aca="false">IF(I3150="","",INDEX(הגדרות!$A$2:$A$21,MOD(I3150+הגדרות!$E$9,הגדרות!$E$6)+1))</f>
        <v/>
      </c>
    </row>
    <row r="3151" customFormat="false" ht="15" hidden="false" customHeight="false" outlineLevel="0" collapsed="false">
      <c r="A3151" s="0" t="str">
        <f aca="false">IF('הדבקת לידים'!A3151="","",IF(ISNUMBER('הדבקת לידים'!A3151),IF(הגדרות!$E$2&gt;0,TEXT('הדבקת לידים'!A3151,REPT("0",הגדרות!$E$2)),TEXT('הדבקת לידים'!A3151,"0")),TRIM('הדבקת לידים'!A3151)))</f>
        <v/>
      </c>
      <c r="B3151" s="0" t="str">
        <f aca="false">IF('הדבקת לידים'!B3151="","",IF(ISNUMBER('הדבקת לידים'!B3151),IF(הגדרות!$E$3&gt;0,TEXT('הדבקת לידים'!B3151,REPT("0",הגדרות!$E$3)),TEXT('הדבקת לידים'!B3151,"0")),TRIM('הדבקת לידים'!B3151)))</f>
        <v/>
      </c>
      <c r="C3151" s="0" t="n">
        <f aca="false">IF(OR(A3151&lt;&gt;"",B3151&lt;&gt;""),1,0)</f>
        <v>0</v>
      </c>
      <c r="D3151" s="0" t="str">
        <f aca="false">IF(C3151=1,MOD(ABS(SIN(ROW()*12.9898+'הדבקת לידים'!$F$2*78.233+IFERROR(--RIGHT(A3151,6),LEN(A3151))*0.0137+IFERROR(--RIGHT(B3151,6),LEN(B3151))*0.0071))*43758.5453,1),"")</f>
        <v/>
      </c>
      <c r="E3151" s="0" t="str">
        <f aca="false">IF(C3151=1,INT(MOD(ABS(SIN(D3151*7919.123+ROW()*0.618+'הדבקת לידים'!$F$2*1.3))*43758.5453,1)*1000000)*10000+ROW(),"")</f>
        <v/>
      </c>
      <c r="F3151" s="0" t="str">
        <f aca="false">IF(E3151="","",RANK(E3151,$E$2:$E$5001,1))</f>
        <v/>
      </c>
      <c r="G3151" s="0" t="n">
        <f aca="false">IF(A3151="",0,IF(SUMPRODUCT(--($A$2:$A$5001=A3151))&gt;1,1,0))</f>
        <v>0</v>
      </c>
      <c r="H3151" s="0" t="n">
        <f aca="false">ROW()-1</f>
        <v>3150</v>
      </c>
      <c r="I3151" s="0" t="str">
        <f aca="false">IF(OR(הגדרות!$E$6=0,H3151&gt;הגדרות!$E$5),"",IF(H3151-1&lt;הגדרות!$E$8*(הגדרות!$E$7+1),INT((H3151-1)/(הגדרות!$E$7+1)),הגדרות!$E$8+INT((H3151-1-הגדרות!$E$8*(הגדרות!$E$7+1))/הגדרות!$E$7)))</f>
        <v/>
      </c>
      <c r="J3151" s="0" t="str">
        <f aca="false">IF(I3151="","",IF(H3151-1&lt;הגדרות!$E$8*(הגדרות!$E$7+1),MOD(H3151-1,הגדרות!$E$7+1),MOD(H3151-1-הגדרות!$E$8*(הגדרות!$E$7+1),הגדרות!$E$7)))</f>
        <v/>
      </c>
      <c r="K3151" s="0" t="str">
        <f aca="false">IF(I3151="","",J3151*הגדרות!$E$6+I3151+1)</f>
        <v/>
      </c>
      <c r="L3151" s="0" t="str">
        <f aca="false">IF(K3151="","",MATCH(K3151,$F$2:$F$5001,0))</f>
        <v/>
      </c>
      <c r="M3151" s="0" t="str">
        <f aca="false">IF(I3151="","",INDEX(הגדרות!$A$2:$A$21,MOD(I3151+הגדרות!$E$9,הגדרות!$E$6)+1))</f>
        <v/>
      </c>
    </row>
    <row r="3152" customFormat="false" ht="15" hidden="false" customHeight="false" outlineLevel="0" collapsed="false">
      <c r="A3152" s="0" t="str">
        <f aca="false">IF('הדבקת לידים'!A3152="","",IF(ISNUMBER('הדבקת לידים'!A3152),IF(הגדרות!$E$2&gt;0,TEXT('הדבקת לידים'!A3152,REPT("0",הגדרות!$E$2)),TEXT('הדבקת לידים'!A3152,"0")),TRIM('הדבקת לידים'!A3152)))</f>
        <v/>
      </c>
      <c r="B3152" s="0" t="str">
        <f aca="false">IF('הדבקת לידים'!B3152="","",IF(ISNUMBER('הדבקת לידים'!B3152),IF(הגדרות!$E$3&gt;0,TEXT('הדבקת לידים'!B3152,REPT("0",הגדרות!$E$3)),TEXT('הדבקת לידים'!B3152,"0")),TRIM('הדבקת לידים'!B3152)))</f>
        <v/>
      </c>
      <c r="C3152" s="0" t="n">
        <f aca="false">IF(OR(A3152&lt;&gt;"",B3152&lt;&gt;""),1,0)</f>
        <v>0</v>
      </c>
      <c r="D3152" s="0" t="str">
        <f aca="false">IF(C3152=1,MOD(ABS(SIN(ROW()*12.9898+'הדבקת לידים'!$F$2*78.233+IFERROR(--RIGHT(A3152,6),LEN(A3152))*0.0137+IFERROR(--RIGHT(B3152,6),LEN(B3152))*0.0071))*43758.5453,1),"")</f>
        <v/>
      </c>
      <c r="E3152" s="0" t="str">
        <f aca="false">IF(C3152=1,INT(MOD(ABS(SIN(D3152*7919.123+ROW()*0.618+'הדבקת לידים'!$F$2*1.3))*43758.5453,1)*1000000)*10000+ROW(),"")</f>
        <v/>
      </c>
      <c r="F3152" s="0" t="str">
        <f aca="false">IF(E3152="","",RANK(E3152,$E$2:$E$5001,1))</f>
        <v/>
      </c>
      <c r="G3152" s="0" t="n">
        <f aca="false">IF(A3152="",0,IF(SUMPRODUCT(--($A$2:$A$5001=A3152))&gt;1,1,0))</f>
        <v>0</v>
      </c>
      <c r="H3152" s="0" t="n">
        <f aca="false">ROW()-1</f>
        <v>3151</v>
      </c>
      <c r="I3152" s="0" t="str">
        <f aca="false">IF(OR(הגדרות!$E$6=0,H3152&gt;הגדרות!$E$5),"",IF(H3152-1&lt;הגדרות!$E$8*(הגדרות!$E$7+1),INT((H3152-1)/(הגדרות!$E$7+1)),הגדרות!$E$8+INT((H3152-1-הגדרות!$E$8*(הגדרות!$E$7+1))/הגדרות!$E$7)))</f>
        <v/>
      </c>
      <c r="J3152" s="0" t="str">
        <f aca="false">IF(I3152="","",IF(H3152-1&lt;הגדרות!$E$8*(הגדרות!$E$7+1),MOD(H3152-1,הגדרות!$E$7+1),MOD(H3152-1-הגדרות!$E$8*(הגדרות!$E$7+1),הגדרות!$E$7)))</f>
        <v/>
      </c>
      <c r="K3152" s="0" t="str">
        <f aca="false">IF(I3152="","",J3152*הגדרות!$E$6+I3152+1)</f>
        <v/>
      </c>
      <c r="L3152" s="0" t="str">
        <f aca="false">IF(K3152="","",MATCH(K3152,$F$2:$F$5001,0))</f>
        <v/>
      </c>
      <c r="M3152" s="0" t="str">
        <f aca="false">IF(I3152="","",INDEX(הגדרות!$A$2:$A$21,MOD(I3152+הגדרות!$E$9,הגדרות!$E$6)+1))</f>
        <v/>
      </c>
    </row>
    <row r="3153" customFormat="false" ht="15" hidden="false" customHeight="false" outlineLevel="0" collapsed="false">
      <c r="A3153" s="0" t="str">
        <f aca="false">IF('הדבקת לידים'!A3153="","",IF(ISNUMBER('הדבקת לידים'!A3153),IF(הגדרות!$E$2&gt;0,TEXT('הדבקת לידים'!A3153,REPT("0",הגדרות!$E$2)),TEXT('הדבקת לידים'!A3153,"0")),TRIM('הדבקת לידים'!A3153)))</f>
        <v/>
      </c>
      <c r="B3153" s="0" t="str">
        <f aca="false">IF('הדבקת לידים'!B3153="","",IF(ISNUMBER('הדבקת לידים'!B3153),IF(הגדרות!$E$3&gt;0,TEXT('הדבקת לידים'!B3153,REPT("0",הגדרות!$E$3)),TEXT('הדבקת לידים'!B3153,"0")),TRIM('הדבקת לידים'!B3153)))</f>
        <v/>
      </c>
      <c r="C3153" s="0" t="n">
        <f aca="false">IF(OR(A3153&lt;&gt;"",B3153&lt;&gt;""),1,0)</f>
        <v>0</v>
      </c>
      <c r="D3153" s="0" t="str">
        <f aca="false">IF(C3153=1,MOD(ABS(SIN(ROW()*12.9898+'הדבקת לידים'!$F$2*78.233+IFERROR(--RIGHT(A3153,6),LEN(A3153))*0.0137+IFERROR(--RIGHT(B3153,6),LEN(B3153))*0.0071))*43758.5453,1),"")</f>
        <v/>
      </c>
      <c r="E3153" s="0" t="str">
        <f aca="false">IF(C3153=1,INT(MOD(ABS(SIN(D3153*7919.123+ROW()*0.618+'הדבקת לידים'!$F$2*1.3))*43758.5453,1)*1000000)*10000+ROW(),"")</f>
        <v/>
      </c>
      <c r="F3153" s="0" t="str">
        <f aca="false">IF(E3153="","",RANK(E3153,$E$2:$E$5001,1))</f>
        <v/>
      </c>
      <c r="G3153" s="0" t="n">
        <f aca="false">IF(A3153="",0,IF(SUMPRODUCT(--($A$2:$A$5001=A3153))&gt;1,1,0))</f>
        <v>0</v>
      </c>
      <c r="H3153" s="0" t="n">
        <f aca="false">ROW()-1</f>
        <v>3152</v>
      </c>
      <c r="I3153" s="0" t="str">
        <f aca="false">IF(OR(הגדרות!$E$6=0,H3153&gt;הגדרות!$E$5),"",IF(H3153-1&lt;הגדרות!$E$8*(הגדרות!$E$7+1),INT((H3153-1)/(הגדרות!$E$7+1)),הגדרות!$E$8+INT((H3153-1-הגדרות!$E$8*(הגדרות!$E$7+1))/הגדרות!$E$7)))</f>
        <v/>
      </c>
      <c r="J3153" s="0" t="str">
        <f aca="false">IF(I3153="","",IF(H3153-1&lt;הגדרות!$E$8*(הגדרות!$E$7+1),MOD(H3153-1,הגדרות!$E$7+1),MOD(H3153-1-הגדרות!$E$8*(הגדרות!$E$7+1),הגדרות!$E$7)))</f>
        <v/>
      </c>
      <c r="K3153" s="0" t="str">
        <f aca="false">IF(I3153="","",J3153*הגדרות!$E$6+I3153+1)</f>
        <v/>
      </c>
      <c r="L3153" s="0" t="str">
        <f aca="false">IF(K3153="","",MATCH(K3153,$F$2:$F$5001,0))</f>
        <v/>
      </c>
      <c r="M3153" s="0" t="str">
        <f aca="false">IF(I3153="","",INDEX(הגדרות!$A$2:$A$21,MOD(I3153+הגדרות!$E$9,הגדרות!$E$6)+1))</f>
        <v/>
      </c>
    </row>
    <row r="3154" customFormat="false" ht="15" hidden="false" customHeight="false" outlineLevel="0" collapsed="false">
      <c r="A3154" s="0" t="str">
        <f aca="false">IF('הדבקת לידים'!A3154="","",IF(ISNUMBER('הדבקת לידים'!A3154),IF(הגדרות!$E$2&gt;0,TEXT('הדבקת לידים'!A3154,REPT("0",הגדרות!$E$2)),TEXT('הדבקת לידים'!A3154,"0")),TRIM('הדבקת לידים'!A3154)))</f>
        <v/>
      </c>
      <c r="B3154" s="0" t="str">
        <f aca="false">IF('הדבקת לידים'!B3154="","",IF(ISNUMBER('הדבקת לידים'!B3154),IF(הגדרות!$E$3&gt;0,TEXT('הדבקת לידים'!B3154,REPT("0",הגדרות!$E$3)),TEXT('הדבקת לידים'!B3154,"0")),TRIM('הדבקת לידים'!B3154)))</f>
        <v/>
      </c>
      <c r="C3154" s="0" t="n">
        <f aca="false">IF(OR(A3154&lt;&gt;"",B3154&lt;&gt;""),1,0)</f>
        <v>0</v>
      </c>
      <c r="D3154" s="0" t="str">
        <f aca="false">IF(C3154=1,MOD(ABS(SIN(ROW()*12.9898+'הדבקת לידים'!$F$2*78.233+IFERROR(--RIGHT(A3154,6),LEN(A3154))*0.0137+IFERROR(--RIGHT(B3154,6),LEN(B3154))*0.0071))*43758.5453,1),"")</f>
        <v/>
      </c>
      <c r="E3154" s="0" t="str">
        <f aca="false">IF(C3154=1,INT(MOD(ABS(SIN(D3154*7919.123+ROW()*0.618+'הדבקת לידים'!$F$2*1.3))*43758.5453,1)*1000000)*10000+ROW(),"")</f>
        <v/>
      </c>
      <c r="F3154" s="0" t="str">
        <f aca="false">IF(E3154="","",RANK(E3154,$E$2:$E$5001,1))</f>
        <v/>
      </c>
      <c r="G3154" s="0" t="n">
        <f aca="false">IF(A3154="",0,IF(SUMPRODUCT(--($A$2:$A$5001=A3154))&gt;1,1,0))</f>
        <v>0</v>
      </c>
      <c r="H3154" s="0" t="n">
        <f aca="false">ROW()-1</f>
        <v>3153</v>
      </c>
      <c r="I3154" s="0" t="str">
        <f aca="false">IF(OR(הגדרות!$E$6=0,H3154&gt;הגדרות!$E$5),"",IF(H3154-1&lt;הגדרות!$E$8*(הגדרות!$E$7+1),INT((H3154-1)/(הגדרות!$E$7+1)),הגדרות!$E$8+INT((H3154-1-הגדרות!$E$8*(הגדרות!$E$7+1))/הגדרות!$E$7)))</f>
        <v/>
      </c>
      <c r="J3154" s="0" t="str">
        <f aca="false">IF(I3154="","",IF(H3154-1&lt;הגדרות!$E$8*(הגדרות!$E$7+1),MOD(H3154-1,הגדרות!$E$7+1),MOD(H3154-1-הגדרות!$E$8*(הגדרות!$E$7+1),הגדרות!$E$7)))</f>
        <v/>
      </c>
      <c r="K3154" s="0" t="str">
        <f aca="false">IF(I3154="","",J3154*הגדרות!$E$6+I3154+1)</f>
        <v/>
      </c>
      <c r="L3154" s="0" t="str">
        <f aca="false">IF(K3154="","",MATCH(K3154,$F$2:$F$5001,0))</f>
        <v/>
      </c>
      <c r="M3154" s="0" t="str">
        <f aca="false">IF(I3154="","",INDEX(הגדרות!$A$2:$A$21,MOD(I3154+הגדרות!$E$9,הגדרות!$E$6)+1))</f>
        <v/>
      </c>
    </row>
    <row r="3155" customFormat="false" ht="15" hidden="false" customHeight="false" outlineLevel="0" collapsed="false">
      <c r="A3155" s="0" t="str">
        <f aca="false">IF('הדבקת לידים'!A3155="","",IF(ISNUMBER('הדבקת לידים'!A3155),IF(הגדרות!$E$2&gt;0,TEXT('הדבקת לידים'!A3155,REPT("0",הגדרות!$E$2)),TEXT('הדבקת לידים'!A3155,"0")),TRIM('הדבקת לידים'!A3155)))</f>
        <v/>
      </c>
      <c r="B3155" s="0" t="str">
        <f aca="false">IF('הדבקת לידים'!B3155="","",IF(ISNUMBER('הדבקת לידים'!B3155),IF(הגדרות!$E$3&gt;0,TEXT('הדבקת לידים'!B3155,REPT("0",הגדרות!$E$3)),TEXT('הדבקת לידים'!B3155,"0")),TRIM('הדבקת לידים'!B3155)))</f>
        <v/>
      </c>
      <c r="C3155" s="0" t="n">
        <f aca="false">IF(OR(A3155&lt;&gt;"",B3155&lt;&gt;""),1,0)</f>
        <v>0</v>
      </c>
      <c r="D3155" s="0" t="str">
        <f aca="false">IF(C3155=1,MOD(ABS(SIN(ROW()*12.9898+'הדבקת לידים'!$F$2*78.233+IFERROR(--RIGHT(A3155,6),LEN(A3155))*0.0137+IFERROR(--RIGHT(B3155,6),LEN(B3155))*0.0071))*43758.5453,1),"")</f>
        <v/>
      </c>
      <c r="E3155" s="0" t="str">
        <f aca="false">IF(C3155=1,INT(MOD(ABS(SIN(D3155*7919.123+ROW()*0.618+'הדבקת לידים'!$F$2*1.3))*43758.5453,1)*1000000)*10000+ROW(),"")</f>
        <v/>
      </c>
      <c r="F3155" s="0" t="str">
        <f aca="false">IF(E3155="","",RANK(E3155,$E$2:$E$5001,1))</f>
        <v/>
      </c>
      <c r="G3155" s="0" t="n">
        <f aca="false">IF(A3155="",0,IF(SUMPRODUCT(--($A$2:$A$5001=A3155))&gt;1,1,0))</f>
        <v>0</v>
      </c>
      <c r="H3155" s="0" t="n">
        <f aca="false">ROW()-1</f>
        <v>3154</v>
      </c>
      <c r="I3155" s="0" t="str">
        <f aca="false">IF(OR(הגדרות!$E$6=0,H3155&gt;הגדרות!$E$5),"",IF(H3155-1&lt;הגדרות!$E$8*(הגדרות!$E$7+1),INT((H3155-1)/(הגדרות!$E$7+1)),הגדרות!$E$8+INT((H3155-1-הגדרות!$E$8*(הגדרות!$E$7+1))/הגדרות!$E$7)))</f>
        <v/>
      </c>
      <c r="J3155" s="0" t="str">
        <f aca="false">IF(I3155="","",IF(H3155-1&lt;הגדרות!$E$8*(הגדרות!$E$7+1),MOD(H3155-1,הגדרות!$E$7+1),MOD(H3155-1-הגדרות!$E$8*(הגדרות!$E$7+1),הגדרות!$E$7)))</f>
        <v/>
      </c>
      <c r="K3155" s="0" t="str">
        <f aca="false">IF(I3155="","",J3155*הגדרות!$E$6+I3155+1)</f>
        <v/>
      </c>
      <c r="L3155" s="0" t="str">
        <f aca="false">IF(K3155="","",MATCH(K3155,$F$2:$F$5001,0))</f>
        <v/>
      </c>
      <c r="M3155" s="0" t="str">
        <f aca="false">IF(I3155="","",INDEX(הגדרות!$A$2:$A$21,MOD(I3155+הגדרות!$E$9,הגדרות!$E$6)+1))</f>
        <v/>
      </c>
    </row>
    <row r="3156" customFormat="false" ht="15" hidden="false" customHeight="false" outlineLevel="0" collapsed="false">
      <c r="A3156" s="0" t="str">
        <f aca="false">IF('הדבקת לידים'!A3156="","",IF(ISNUMBER('הדבקת לידים'!A3156),IF(הגדרות!$E$2&gt;0,TEXT('הדבקת לידים'!A3156,REPT("0",הגדרות!$E$2)),TEXT('הדבקת לידים'!A3156,"0")),TRIM('הדבקת לידים'!A3156)))</f>
        <v/>
      </c>
      <c r="B3156" s="0" t="str">
        <f aca="false">IF('הדבקת לידים'!B3156="","",IF(ISNUMBER('הדבקת לידים'!B3156),IF(הגדרות!$E$3&gt;0,TEXT('הדבקת לידים'!B3156,REPT("0",הגדרות!$E$3)),TEXT('הדבקת לידים'!B3156,"0")),TRIM('הדבקת לידים'!B3156)))</f>
        <v/>
      </c>
      <c r="C3156" s="0" t="n">
        <f aca="false">IF(OR(A3156&lt;&gt;"",B3156&lt;&gt;""),1,0)</f>
        <v>0</v>
      </c>
      <c r="D3156" s="0" t="str">
        <f aca="false">IF(C3156=1,MOD(ABS(SIN(ROW()*12.9898+'הדבקת לידים'!$F$2*78.233+IFERROR(--RIGHT(A3156,6),LEN(A3156))*0.0137+IFERROR(--RIGHT(B3156,6),LEN(B3156))*0.0071))*43758.5453,1),"")</f>
        <v/>
      </c>
      <c r="E3156" s="0" t="str">
        <f aca="false">IF(C3156=1,INT(MOD(ABS(SIN(D3156*7919.123+ROW()*0.618+'הדבקת לידים'!$F$2*1.3))*43758.5453,1)*1000000)*10000+ROW(),"")</f>
        <v/>
      </c>
      <c r="F3156" s="0" t="str">
        <f aca="false">IF(E3156="","",RANK(E3156,$E$2:$E$5001,1))</f>
        <v/>
      </c>
      <c r="G3156" s="0" t="n">
        <f aca="false">IF(A3156="",0,IF(SUMPRODUCT(--($A$2:$A$5001=A3156))&gt;1,1,0))</f>
        <v>0</v>
      </c>
      <c r="H3156" s="0" t="n">
        <f aca="false">ROW()-1</f>
        <v>3155</v>
      </c>
      <c r="I3156" s="0" t="str">
        <f aca="false">IF(OR(הגדרות!$E$6=0,H3156&gt;הגדרות!$E$5),"",IF(H3156-1&lt;הגדרות!$E$8*(הגדרות!$E$7+1),INT((H3156-1)/(הגדרות!$E$7+1)),הגדרות!$E$8+INT((H3156-1-הגדרות!$E$8*(הגדרות!$E$7+1))/הגדרות!$E$7)))</f>
        <v/>
      </c>
      <c r="J3156" s="0" t="str">
        <f aca="false">IF(I3156="","",IF(H3156-1&lt;הגדרות!$E$8*(הגדרות!$E$7+1),MOD(H3156-1,הגדרות!$E$7+1),MOD(H3156-1-הגדרות!$E$8*(הגדרות!$E$7+1),הגדרות!$E$7)))</f>
        <v/>
      </c>
      <c r="K3156" s="0" t="str">
        <f aca="false">IF(I3156="","",J3156*הגדרות!$E$6+I3156+1)</f>
        <v/>
      </c>
      <c r="L3156" s="0" t="str">
        <f aca="false">IF(K3156="","",MATCH(K3156,$F$2:$F$5001,0))</f>
        <v/>
      </c>
      <c r="M3156" s="0" t="str">
        <f aca="false">IF(I3156="","",INDEX(הגדרות!$A$2:$A$21,MOD(I3156+הגדרות!$E$9,הגדרות!$E$6)+1))</f>
        <v/>
      </c>
    </row>
    <row r="3157" customFormat="false" ht="15" hidden="false" customHeight="false" outlineLevel="0" collapsed="false">
      <c r="A3157" s="0" t="str">
        <f aca="false">IF('הדבקת לידים'!A3157="","",IF(ISNUMBER('הדבקת לידים'!A3157),IF(הגדרות!$E$2&gt;0,TEXT('הדבקת לידים'!A3157,REPT("0",הגדרות!$E$2)),TEXT('הדבקת לידים'!A3157,"0")),TRIM('הדבקת לידים'!A3157)))</f>
        <v/>
      </c>
      <c r="B3157" s="0" t="str">
        <f aca="false">IF('הדבקת לידים'!B3157="","",IF(ISNUMBER('הדבקת לידים'!B3157),IF(הגדרות!$E$3&gt;0,TEXT('הדבקת לידים'!B3157,REPT("0",הגדרות!$E$3)),TEXT('הדבקת לידים'!B3157,"0")),TRIM('הדבקת לידים'!B3157)))</f>
        <v/>
      </c>
      <c r="C3157" s="0" t="n">
        <f aca="false">IF(OR(A3157&lt;&gt;"",B3157&lt;&gt;""),1,0)</f>
        <v>0</v>
      </c>
      <c r="D3157" s="0" t="str">
        <f aca="false">IF(C3157=1,MOD(ABS(SIN(ROW()*12.9898+'הדבקת לידים'!$F$2*78.233+IFERROR(--RIGHT(A3157,6),LEN(A3157))*0.0137+IFERROR(--RIGHT(B3157,6),LEN(B3157))*0.0071))*43758.5453,1),"")</f>
        <v/>
      </c>
      <c r="E3157" s="0" t="str">
        <f aca="false">IF(C3157=1,INT(MOD(ABS(SIN(D3157*7919.123+ROW()*0.618+'הדבקת לידים'!$F$2*1.3))*43758.5453,1)*1000000)*10000+ROW(),"")</f>
        <v/>
      </c>
      <c r="F3157" s="0" t="str">
        <f aca="false">IF(E3157="","",RANK(E3157,$E$2:$E$5001,1))</f>
        <v/>
      </c>
      <c r="G3157" s="0" t="n">
        <f aca="false">IF(A3157="",0,IF(SUMPRODUCT(--($A$2:$A$5001=A3157))&gt;1,1,0))</f>
        <v>0</v>
      </c>
      <c r="H3157" s="0" t="n">
        <f aca="false">ROW()-1</f>
        <v>3156</v>
      </c>
      <c r="I3157" s="0" t="str">
        <f aca="false">IF(OR(הגדרות!$E$6=0,H3157&gt;הגדרות!$E$5),"",IF(H3157-1&lt;הגדרות!$E$8*(הגדרות!$E$7+1),INT((H3157-1)/(הגדרות!$E$7+1)),הגדרות!$E$8+INT((H3157-1-הגדרות!$E$8*(הגדרות!$E$7+1))/הגדרות!$E$7)))</f>
        <v/>
      </c>
      <c r="J3157" s="0" t="str">
        <f aca="false">IF(I3157="","",IF(H3157-1&lt;הגדרות!$E$8*(הגדרות!$E$7+1),MOD(H3157-1,הגדרות!$E$7+1),MOD(H3157-1-הגדרות!$E$8*(הגדרות!$E$7+1),הגדרות!$E$7)))</f>
        <v/>
      </c>
      <c r="K3157" s="0" t="str">
        <f aca="false">IF(I3157="","",J3157*הגדרות!$E$6+I3157+1)</f>
        <v/>
      </c>
      <c r="L3157" s="0" t="str">
        <f aca="false">IF(K3157="","",MATCH(K3157,$F$2:$F$5001,0))</f>
        <v/>
      </c>
      <c r="M3157" s="0" t="str">
        <f aca="false">IF(I3157="","",INDEX(הגדרות!$A$2:$A$21,MOD(I3157+הגדרות!$E$9,הגדרות!$E$6)+1))</f>
        <v/>
      </c>
    </row>
    <row r="3158" customFormat="false" ht="15" hidden="false" customHeight="false" outlineLevel="0" collapsed="false">
      <c r="A3158" s="0" t="str">
        <f aca="false">IF('הדבקת לידים'!A3158="","",IF(ISNUMBER('הדבקת לידים'!A3158),IF(הגדרות!$E$2&gt;0,TEXT('הדבקת לידים'!A3158,REPT("0",הגדרות!$E$2)),TEXT('הדבקת לידים'!A3158,"0")),TRIM('הדבקת לידים'!A3158)))</f>
        <v/>
      </c>
      <c r="B3158" s="0" t="str">
        <f aca="false">IF('הדבקת לידים'!B3158="","",IF(ISNUMBER('הדבקת לידים'!B3158),IF(הגדרות!$E$3&gt;0,TEXT('הדבקת לידים'!B3158,REPT("0",הגדרות!$E$3)),TEXT('הדבקת לידים'!B3158,"0")),TRIM('הדבקת לידים'!B3158)))</f>
        <v/>
      </c>
      <c r="C3158" s="0" t="n">
        <f aca="false">IF(OR(A3158&lt;&gt;"",B3158&lt;&gt;""),1,0)</f>
        <v>0</v>
      </c>
      <c r="D3158" s="0" t="str">
        <f aca="false">IF(C3158=1,MOD(ABS(SIN(ROW()*12.9898+'הדבקת לידים'!$F$2*78.233+IFERROR(--RIGHT(A3158,6),LEN(A3158))*0.0137+IFERROR(--RIGHT(B3158,6),LEN(B3158))*0.0071))*43758.5453,1),"")</f>
        <v/>
      </c>
      <c r="E3158" s="0" t="str">
        <f aca="false">IF(C3158=1,INT(MOD(ABS(SIN(D3158*7919.123+ROW()*0.618+'הדבקת לידים'!$F$2*1.3))*43758.5453,1)*1000000)*10000+ROW(),"")</f>
        <v/>
      </c>
      <c r="F3158" s="0" t="str">
        <f aca="false">IF(E3158="","",RANK(E3158,$E$2:$E$5001,1))</f>
        <v/>
      </c>
      <c r="G3158" s="0" t="n">
        <f aca="false">IF(A3158="",0,IF(SUMPRODUCT(--($A$2:$A$5001=A3158))&gt;1,1,0))</f>
        <v>0</v>
      </c>
      <c r="H3158" s="0" t="n">
        <f aca="false">ROW()-1</f>
        <v>3157</v>
      </c>
      <c r="I3158" s="0" t="str">
        <f aca="false">IF(OR(הגדרות!$E$6=0,H3158&gt;הגדרות!$E$5),"",IF(H3158-1&lt;הגדרות!$E$8*(הגדרות!$E$7+1),INT((H3158-1)/(הגדרות!$E$7+1)),הגדרות!$E$8+INT((H3158-1-הגדרות!$E$8*(הגדרות!$E$7+1))/הגדרות!$E$7)))</f>
        <v/>
      </c>
      <c r="J3158" s="0" t="str">
        <f aca="false">IF(I3158="","",IF(H3158-1&lt;הגדרות!$E$8*(הגדרות!$E$7+1),MOD(H3158-1,הגדרות!$E$7+1),MOD(H3158-1-הגדרות!$E$8*(הגדרות!$E$7+1),הגדרות!$E$7)))</f>
        <v/>
      </c>
      <c r="K3158" s="0" t="str">
        <f aca="false">IF(I3158="","",J3158*הגדרות!$E$6+I3158+1)</f>
        <v/>
      </c>
      <c r="L3158" s="0" t="str">
        <f aca="false">IF(K3158="","",MATCH(K3158,$F$2:$F$5001,0))</f>
        <v/>
      </c>
      <c r="M3158" s="0" t="str">
        <f aca="false">IF(I3158="","",INDEX(הגדרות!$A$2:$A$21,MOD(I3158+הגדרות!$E$9,הגדרות!$E$6)+1))</f>
        <v/>
      </c>
    </row>
    <row r="3159" customFormat="false" ht="15" hidden="false" customHeight="false" outlineLevel="0" collapsed="false">
      <c r="A3159" s="0" t="str">
        <f aca="false">IF('הדבקת לידים'!A3159="","",IF(ISNUMBER('הדבקת לידים'!A3159),IF(הגדרות!$E$2&gt;0,TEXT('הדבקת לידים'!A3159,REPT("0",הגדרות!$E$2)),TEXT('הדבקת לידים'!A3159,"0")),TRIM('הדבקת לידים'!A3159)))</f>
        <v/>
      </c>
      <c r="B3159" s="0" t="str">
        <f aca="false">IF('הדבקת לידים'!B3159="","",IF(ISNUMBER('הדבקת לידים'!B3159),IF(הגדרות!$E$3&gt;0,TEXT('הדבקת לידים'!B3159,REPT("0",הגדרות!$E$3)),TEXT('הדבקת לידים'!B3159,"0")),TRIM('הדבקת לידים'!B3159)))</f>
        <v/>
      </c>
      <c r="C3159" s="0" t="n">
        <f aca="false">IF(OR(A3159&lt;&gt;"",B3159&lt;&gt;""),1,0)</f>
        <v>0</v>
      </c>
      <c r="D3159" s="0" t="str">
        <f aca="false">IF(C3159=1,MOD(ABS(SIN(ROW()*12.9898+'הדבקת לידים'!$F$2*78.233+IFERROR(--RIGHT(A3159,6),LEN(A3159))*0.0137+IFERROR(--RIGHT(B3159,6),LEN(B3159))*0.0071))*43758.5453,1),"")</f>
        <v/>
      </c>
      <c r="E3159" s="0" t="str">
        <f aca="false">IF(C3159=1,INT(MOD(ABS(SIN(D3159*7919.123+ROW()*0.618+'הדבקת לידים'!$F$2*1.3))*43758.5453,1)*1000000)*10000+ROW(),"")</f>
        <v/>
      </c>
      <c r="F3159" s="0" t="str">
        <f aca="false">IF(E3159="","",RANK(E3159,$E$2:$E$5001,1))</f>
        <v/>
      </c>
      <c r="G3159" s="0" t="n">
        <f aca="false">IF(A3159="",0,IF(SUMPRODUCT(--($A$2:$A$5001=A3159))&gt;1,1,0))</f>
        <v>0</v>
      </c>
      <c r="H3159" s="0" t="n">
        <f aca="false">ROW()-1</f>
        <v>3158</v>
      </c>
      <c r="I3159" s="0" t="str">
        <f aca="false">IF(OR(הגדרות!$E$6=0,H3159&gt;הגדרות!$E$5),"",IF(H3159-1&lt;הגדרות!$E$8*(הגדרות!$E$7+1),INT((H3159-1)/(הגדרות!$E$7+1)),הגדרות!$E$8+INT((H3159-1-הגדרות!$E$8*(הגדרות!$E$7+1))/הגדרות!$E$7)))</f>
        <v/>
      </c>
      <c r="J3159" s="0" t="str">
        <f aca="false">IF(I3159="","",IF(H3159-1&lt;הגדרות!$E$8*(הגדרות!$E$7+1),MOD(H3159-1,הגדרות!$E$7+1),MOD(H3159-1-הגדרות!$E$8*(הגדרות!$E$7+1),הגדרות!$E$7)))</f>
        <v/>
      </c>
      <c r="K3159" s="0" t="str">
        <f aca="false">IF(I3159="","",J3159*הגדרות!$E$6+I3159+1)</f>
        <v/>
      </c>
      <c r="L3159" s="0" t="str">
        <f aca="false">IF(K3159="","",MATCH(K3159,$F$2:$F$5001,0))</f>
        <v/>
      </c>
      <c r="M3159" s="0" t="str">
        <f aca="false">IF(I3159="","",INDEX(הגדרות!$A$2:$A$21,MOD(I3159+הגדרות!$E$9,הגדרות!$E$6)+1))</f>
        <v/>
      </c>
    </row>
    <row r="3160" customFormat="false" ht="15" hidden="false" customHeight="false" outlineLevel="0" collapsed="false">
      <c r="A3160" s="0" t="str">
        <f aca="false">IF('הדבקת לידים'!A3160="","",IF(ISNUMBER('הדבקת לידים'!A3160),IF(הגדרות!$E$2&gt;0,TEXT('הדבקת לידים'!A3160,REPT("0",הגדרות!$E$2)),TEXT('הדבקת לידים'!A3160,"0")),TRIM('הדבקת לידים'!A3160)))</f>
        <v/>
      </c>
      <c r="B3160" s="0" t="str">
        <f aca="false">IF('הדבקת לידים'!B3160="","",IF(ISNUMBER('הדבקת לידים'!B3160),IF(הגדרות!$E$3&gt;0,TEXT('הדבקת לידים'!B3160,REPT("0",הגדרות!$E$3)),TEXT('הדבקת לידים'!B3160,"0")),TRIM('הדבקת לידים'!B3160)))</f>
        <v/>
      </c>
      <c r="C3160" s="0" t="n">
        <f aca="false">IF(OR(A3160&lt;&gt;"",B3160&lt;&gt;""),1,0)</f>
        <v>0</v>
      </c>
      <c r="D3160" s="0" t="str">
        <f aca="false">IF(C3160=1,MOD(ABS(SIN(ROW()*12.9898+'הדבקת לידים'!$F$2*78.233+IFERROR(--RIGHT(A3160,6),LEN(A3160))*0.0137+IFERROR(--RIGHT(B3160,6),LEN(B3160))*0.0071))*43758.5453,1),"")</f>
        <v/>
      </c>
      <c r="E3160" s="0" t="str">
        <f aca="false">IF(C3160=1,INT(MOD(ABS(SIN(D3160*7919.123+ROW()*0.618+'הדבקת לידים'!$F$2*1.3))*43758.5453,1)*1000000)*10000+ROW(),"")</f>
        <v/>
      </c>
      <c r="F3160" s="0" t="str">
        <f aca="false">IF(E3160="","",RANK(E3160,$E$2:$E$5001,1))</f>
        <v/>
      </c>
      <c r="G3160" s="0" t="n">
        <f aca="false">IF(A3160="",0,IF(SUMPRODUCT(--($A$2:$A$5001=A3160))&gt;1,1,0))</f>
        <v>0</v>
      </c>
      <c r="H3160" s="0" t="n">
        <f aca="false">ROW()-1</f>
        <v>3159</v>
      </c>
      <c r="I3160" s="0" t="str">
        <f aca="false">IF(OR(הגדרות!$E$6=0,H3160&gt;הגדרות!$E$5),"",IF(H3160-1&lt;הגדרות!$E$8*(הגדרות!$E$7+1),INT((H3160-1)/(הגדרות!$E$7+1)),הגדרות!$E$8+INT((H3160-1-הגדרות!$E$8*(הגדרות!$E$7+1))/הגדרות!$E$7)))</f>
        <v/>
      </c>
      <c r="J3160" s="0" t="str">
        <f aca="false">IF(I3160="","",IF(H3160-1&lt;הגדרות!$E$8*(הגדרות!$E$7+1),MOD(H3160-1,הגדרות!$E$7+1),MOD(H3160-1-הגדרות!$E$8*(הגדרות!$E$7+1),הגדרות!$E$7)))</f>
        <v/>
      </c>
      <c r="K3160" s="0" t="str">
        <f aca="false">IF(I3160="","",J3160*הגדרות!$E$6+I3160+1)</f>
        <v/>
      </c>
      <c r="L3160" s="0" t="str">
        <f aca="false">IF(K3160="","",MATCH(K3160,$F$2:$F$5001,0))</f>
        <v/>
      </c>
      <c r="M3160" s="0" t="str">
        <f aca="false">IF(I3160="","",INDEX(הגדרות!$A$2:$A$21,MOD(I3160+הגדרות!$E$9,הגדרות!$E$6)+1))</f>
        <v/>
      </c>
    </row>
    <row r="3161" customFormat="false" ht="15" hidden="false" customHeight="false" outlineLevel="0" collapsed="false">
      <c r="A3161" s="0" t="str">
        <f aca="false">IF('הדבקת לידים'!A3161="","",IF(ISNUMBER('הדבקת לידים'!A3161),IF(הגדרות!$E$2&gt;0,TEXT('הדבקת לידים'!A3161,REPT("0",הגדרות!$E$2)),TEXT('הדבקת לידים'!A3161,"0")),TRIM('הדבקת לידים'!A3161)))</f>
        <v/>
      </c>
      <c r="B3161" s="0" t="str">
        <f aca="false">IF('הדבקת לידים'!B3161="","",IF(ISNUMBER('הדבקת לידים'!B3161),IF(הגדרות!$E$3&gt;0,TEXT('הדבקת לידים'!B3161,REPT("0",הגדרות!$E$3)),TEXT('הדבקת לידים'!B3161,"0")),TRIM('הדבקת לידים'!B3161)))</f>
        <v/>
      </c>
      <c r="C3161" s="0" t="n">
        <f aca="false">IF(OR(A3161&lt;&gt;"",B3161&lt;&gt;""),1,0)</f>
        <v>0</v>
      </c>
      <c r="D3161" s="0" t="str">
        <f aca="false">IF(C3161=1,MOD(ABS(SIN(ROW()*12.9898+'הדבקת לידים'!$F$2*78.233+IFERROR(--RIGHT(A3161,6),LEN(A3161))*0.0137+IFERROR(--RIGHT(B3161,6),LEN(B3161))*0.0071))*43758.5453,1),"")</f>
        <v/>
      </c>
      <c r="E3161" s="0" t="str">
        <f aca="false">IF(C3161=1,INT(MOD(ABS(SIN(D3161*7919.123+ROW()*0.618+'הדבקת לידים'!$F$2*1.3))*43758.5453,1)*1000000)*10000+ROW(),"")</f>
        <v/>
      </c>
      <c r="F3161" s="0" t="str">
        <f aca="false">IF(E3161="","",RANK(E3161,$E$2:$E$5001,1))</f>
        <v/>
      </c>
      <c r="G3161" s="0" t="n">
        <f aca="false">IF(A3161="",0,IF(SUMPRODUCT(--($A$2:$A$5001=A3161))&gt;1,1,0))</f>
        <v>0</v>
      </c>
      <c r="H3161" s="0" t="n">
        <f aca="false">ROW()-1</f>
        <v>3160</v>
      </c>
      <c r="I3161" s="0" t="str">
        <f aca="false">IF(OR(הגדרות!$E$6=0,H3161&gt;הגדרות!$E$5),"",IF(H3161-1&lt;הגדרות!$E$8*(הגדרות!$E$7+1),INT((H3161-1)/(הגדרות!$E$7+1)),הגדרות!$E$8+INT((H3161-1-הגדרות!$E$8*(הגדרות!$E$7+1))/הגדרות!$E$7)))</f>
        <v/>
      </c>
      <c r="J3161" s="0" t="str">
        <f aca="false">IF(I3161="","",IF(H3161-1&lt;הגדרות!$E$8*(הגדרות!$E$7+1),MOD(H3161-1,הגדרות!$E$7+1),MOD(H3161-1-הגדרות!$E$8*(הגדרות!$E$7+1),הגדרות!$E$7)))</f>
        <v/>
      </c>
      <c r="K3161" s="0" t="str">
        <f aca="false">IF(I3161="","",J3161*הגדרות!$E$6+I3161+1)</f>
        <v/>
      </c>
      <c r="L3161" s="0" t="str">
        <f aca="false">IF(K3161="","",MATCH(K3161,$F$2:$F$5001,0))</f>
        <v/>
      </c>
      <c r="M3161" s="0" t="str">
        <f aca="false">IF(I3161="","",INDEX(הגדרות!$A$2:$A$21,MOD(I3161+הגדרות!$E$9,הגדרות!$E$6)+1))</f>
        <v/>
      </c>
    </row>
    <row r="3162" customFormat="false" ht="15" hidden="false" customHeight="false" outlineLevel="0" collapsed="false">
      <c r="A3162" s="0" t="str">
        <f aca="false">IF('הדבקת לידים'!A3162="","",IF(ISNUMBER('הדבקת לידים'!A3162),IF(הגדרות!$E$2&gt;0,TEXT('הדבקת לידים'!A3162,REPT("0",הגדרות!$E$2)),TEXT('הדבקת לידים'!A3162,"0")),TRIM('הדבקת לידים'!A3162)))</f>
        <v/>
      </c>
      <c r="B3162" s="0" t="str">
        <f aca="false">IF('הדבקת לידים'!B3162="","",IF(ISNUMBER('הדבקת לידים'!B3162),IF(הגדרות!$E$3&gt;0,TEXT('הדבקת לידים'!B3162,REPT("0",הגדרות!$E$3)),TEXT('הדבקת לידים'!B3162,"0")),TRIM('הדבקת לידים'!B3162)))</f>
        <v/>
      </c>
      <c r="C3162" s="0" t="n">
        <f aca="false">IF(OR(A3162&lt;&gt;"",B3162&lt;&gt;""),1,0)</f>
        <v>0</v>
      </c>
      <c r="D3162" s="0" t="str">
        <f aca="false">IF(C3162=1,MOD(ABS(SIN(ROW()*12.9898+'הדבקת לידים'!$F$2*78.233+IFERROR(--RIGHT(A3162,6),LEN(A3162))*0.0137+IFERROR(--RIGHT(B3162,6),LEN(B3162))*0.0071))*43758.5453,1),"")</f>
        <v/>
      </c>
      <c r="E3162" s="0" t="str">
        <f aca="false">IF(C3162=1,INT(MOD(ABS(SIN(D3162*7919.123+ROW()*0.618+'הדבקת לידים'!$F$2*1.3))*43758.5453,1)*1000000)*10000+ROW(),"")</f>
        <v/>
      </c>
      <c r="F3162" s="0" t="str">
        <f aca="false">IF(E3162="","",RANK(E3162,$E$2:$E$5001,1))</f>
        <v/>
      </c>
      <c r="G3162" s="0" t="n">
        <f aca="false">IF(A3162="",0,IF(SUMPRODUCT(--($A$2:$A$5001=A3162))&gt;1,1,0))</f>
        <v>0</v>
      </c>
      <c r="H3162" s="0" t="n">
        <f aca="false">ROW()-1</f>
        <v>3161</v>
      </c>
      <c r="I3162" s="0" t="str">
        <f aca="false">IF(OR(הגדרות!$E$6=0,H3162&gt;הגדרות!$E$5),"",IF(H3162-1&lt;הגדרות!$E$8*(הגדרות!$E$7+1),INT((H3162-1)/(הגדרות!$E$7+1)),הגדרות!$E$8+INT((H3162-1-הגדרות!$E$8*(הגדרות!$E$7+1))/הגדרות!$E$7)))</f>
        <v/>
      </c>
      <c r="J3162" s="0" t="str">
        <f aca="false">IF(I3162="","",IF(H3162-1&lt;הגדרות!$E$8*(הגדרות!$E$7+1),MOD(H3162-1,הגדרות!$E$7+1),MOD(H3162-1-הגדרות!$E$8*(הגדרות!$E$7+1),הגדרות!$E$7)))</f>
        <v/>
      </c>
      <c r="K3162" s="0" t="str">
        <f aca="false">IF(I3162="","",J3162*הגדרות!$E$6+I3162+1)</f>
        <v/>
      </c>
      <c r="L3162" s="0" t="str">
        <f aca="false">IF(K3162="","",MATCH(K3162,$F$2:$F$5001,0))</f>
        <v/>
      </c>
      <c r="M3162" s="0" t="str">
        <f aca="false">IF(I3162="","",INDEX(הגדרות!$A$2:$A$21,MOD(I3162+הגדרות!$E$9,הגדרות!$E$6)+1))</f>
        <v/>
      </c>
    </row>
    <row r="3163" customFormat="false" ht="15" hidden="false" customHeight="false" outlineLevel="0" collapsed="false">
      <c r="A3163" s="0" t="str">
        <f aca="false">IF('הדבקת לידים'!A3163="","",IF(ISNUMBER('הדבקת לידים'!A3163),IF(הגדרות!$E$2&gt;0,TEXT('הדבקת לידים'!A3163,REPT("0",הגדרות!$E$2)),TEXT('הדבקת לידים'!A3163,"0")),TRIM('הדבקת לידים'!A3163)))</f>
        <v/>
      </c>
      <c r="B3163" s="0" t="str">
        <f aca="false">IF('הדבקת לידים'!B3163="","",IF(ISNUMBER('הדבקת לידים'!B3163),IF(הגדרות!$E$3&gt;0,TEXT('הדבקת לידים'!B3163,REPT("0",הגדרות!$E$3)),TEXT('הדבקת לידים'!B3163,"0")),TRIM('הדבקת לידים'!B3163)))</f>
        <v/>
      </c>
      <c r="C3163" s="0" t="n">
        <f aca="false">IF(OR(A3163&lt;&gt;"",B3163&lt;&gt;""),1,0)</f>
        <v>0</v>
      </c>
      <c r="D3163" s="0" t="str">
        <f aca="false">IF(C3163=1,MOD(ABS(SIN(ROW()*12.9898+'הדבקת לידים'!$F$2*78.233+IFERROR(--RIGHT(A3163,6),LEN(A3163))*0.0137+IFERROR(--RIGHT(B3163,6),LEN(B3163))*0.0071))*43758.5453,1),"")</f>
        <v/>
      </c>
      <c r="E3163" s="0" t="str">
        <f aca="false">IF(C3163=1,INT(MOD(ABS(SIN(D3163*7919.123+ROW()*0.618+'הדבקת לידים'!$F$2*1.3))*43758.5453,1)*1000000)*10000+ROW(),"")</f>
        <v/>
      </c>
      <c r="F3163" s="0" t="str">
        <f aca="false">IF(E3163="","",RANK(E3163,$E$2:$E$5001,1))</f>
        <v/>
      </c>
      <c r="G3163" s="0" t="n">
        <f aca="false">IF(A3163="",0,IF(SUMPRODUCT(--($A$2:$A$5001=A3163))&gt;1,1,0))</f>
        <v>0</v>
      </c>
      <c r="H3163" s="0" t="n">
        <f aca="false">ROW()-1</f>
        <v>3162</v>
      </c>
      <c r="I3163" s="0" t="str">
        <f aca="false">IF(OR(הגדרות!$E$6=0,H3163&gt;הגדרות!$E$5),"",IF(H3163-1&lt;הגדרות!$E$8*(הגדרות!$E$7+1),INT((H3163-1)/(הגדרות!$E$7+1)),הגדרות!$E$8+INT((H3163-1-הגדרות!$E$8*(הגדרות!$E$7+1))/הגדרות!$E$7)))</f>
        <v/>
      </c>
      <c r="J3163" s="0" t="str">
        <f aca="false">IF(I3163="","",IF(H3163-1&lt;הגדרות!$E$8*(הגדרות!$E$7+1),MOD(H3163-1,הגדרות!$E$7+1),MOD(H3163-1-הגדרות!$E$8*(הגדרות!$E$7+1),הגדרות!$E$7)))</f>
        <v/>
      </c>
      <c r="K3163" s="0" t="str">
        <f aca="false">IF(I3163="","",J3163*הגדרות!$E$6+I3163+1)</f>
        <v/>
      </c>
      <c r="L3163" s="0" t="str">
        <f aca="false">IF(K3163="","",MATCH(K3163,$F$2:$F$5001,0))</f>
        <v/>
      </c>
      <c r="M3163" s="0" t="str">
        <f aca="false">IF(I3163="","",INDEX(הגדרות!$A$2:$A$21,MOD(I3163+הגדרות!$E$9,הגדרות!$E$6)+1))</f>
        <v/>
      </c>
    </row>
    <row r="3164" customFormat="false" ht="15" hidden="false" customHeight="false" outlineLevel="0" collapsed="false">
      <c r="A3164" s="0" t="str">
        <f aca="false">IF('הדבקת לידים'!A3164="","",IF(ISNUMBER('הדבקת לידים'!A3164),IF(הגדרות!$E$2&gt;0,TEXT('הדבקת לידים'!A3164,REPT("0",הגדרות!$E$2)),TEXT('הדבקת לידים'!A3164,"0")),TRIM('הדבקת לידים'!A3164)))</f>
        <v/>
      </c>
      <c r="B3164" s="0" t="str">
        <f aca="false">IF('הדבקת לידים'!B3164="","",IF(ISNUMBER('הדבקת לידים'!B3164),IF(הגדרות!$E$3&gt;0,TEXT('הדבקת לידים'!B3164,REPT("0",הגדרות!$E$3)),TEXT('הדבקת לידים'!B3164,"0")),TRIM('הדבקת לידים'!B3164)))</f>
        <v/>
      </c>
      <c r="C3164" s="0" t="n">
        <f aca="false">IF(OR(A3164&lt;&gt;"",B3164&lt;&gt;""),1,0)</f>
        <v>0</v>
      </c>
      <c r="D3164" s="0" t="str">
        <f aca="false">IF(C3164=1,MOD(ABS(SIN(ROW()*12.9898+'הדבקת לידים'!$F$2*78.233+IFERROR(--RIGHT(A3164,6),LEN(A3164))*0.0137+IFERROR(--RIGHT(B3164,6),LEN(B3164))*0.0071))*43758.5453,1),"")</f>
        <v/>
      </c>
      <c r="E3164" s="0" t="str">
        <f aca="false">IF(C3164=1,INT(MOD(ABS(SIN(D3164*7919.123+ROW()*0.618+'הדבקת לידים'!$F$2*1.3))*43758.5453,1)*1000000)*10000+ROW(),"")</f>
        <v/>
      </c>
      <c r="F3164" s="0" t="str">
        <f aca="false">IF(E3164="","",RANK(E3164,$E$2:$E$5001,1))</f>
        <v/>
      </c>
      <c r="G3164" s="0" t="n">
        <f aca="false">IF(A3164="",0,IF(SUMPRODUCT(--($A$2:$A$5001=A3164))&gt;1,1,0))</f>
        <v>0</v>
      </c>
      <c r="H3164" s="0" t="n">
        <f aca="false">ROW()-1</f>
        <v>3163</v>
      </c>
      <c r="I3164" s="0" t="str">
        <f aca="false">IF(OR(הגדרות!$E$6=0,H3164&gt;הגדרות!$E$5),"",IF(H3164-1&lt;הגדרות!$E$8*(הגדרות!$E$7+1),INT((H3164-1)/(הגדרות!$E$7+1)),הגדרות!$E$8+INT((H3164-1-הגדרות!$E$8*(הגדרות!$E$7+1))/הגדרות!$E$7)))</f>
        <v/>
      </c>
      <c r="J3164" s="0" t="str">
        <f aca="false">IF(I3164="","",IF(H3164-1&lt;הגדרות!$E$8*(הגדרות!$E$7+1),MOD(H3164-1,הגדרות!$E$7+1),MOD(H3164-1-הגדרות!$E$8*(הגדרות!$E$7+1),הגדרות!$E$7)))</f>
        <v/>
      </c>
      <c r="K3164" s="0" t="str">
        <f aca="false">IF(I3164="","",J3164*הגדרות!$E$6+I3164+1)</f>
        <v/>
      </c>
      <c r="L3164" s="0" t="str">
        <f aca="false">IF(K3164="","",MATCH(K3164,$F$2:$F$5001,0))</f>
        <v/>
      </c>
      <c r="M3164" s="0" t="str">
        <f aca="false">IF(I3164="","",INDEX(הגדרות!$A$2:$A$21,MOD(I3164+הגדרות!$E$9,הגדרות!$E$6)+1))</f>
        <v/>
      </c>
    </row>
    <row r="3165" customFormat="false" ht="15" hidden="false" customHeight="false" outlineLevel="0" collapsed="false">
      <c r="A3165" s="0" t="str">
        <f aca="false">IF('הדבקת לידים'!A3165="","",IF(ISNUMBER('הדבקת לידים'!A3165),IF(הגדרות!$E$2&gt;0,TEXT('הדבקת לידים'!A3165,REPT("0",הגדרות!$E$2)),TEXT('הדבקת לידים'!A3165,"0")),TRIM('הדבקת לידים'!A3165)))</f>
        <v/>
      </c>
      <c r="B3165" s="0" t="str">
        <f aca="false">IF('הדבקת לידים'!B3165="","",IF(ISNUMBER('הדבקת לידים'!B3165),IF(הגדרות!$E$3&gt;0,TEXT('הדבקת לידים'!B3165,REPT("0",הגדרות!$E$3)),TEXT('הדבקת לידים'!B3165,"0")),TRIM('הדבקת לידים'!B3165)))</f>
        <v/>
      </c>
      <c r="C3165" s="0" t="n">
        <f aca="false">IF(OR(A3165&lt;&gt;"",B3165&lt;&gt;""),1,0)</f>
        <v>0</v>
      </c>
      <c r="D3165" s="0" t="str">
        <f aca="false">IF(C3165=1,MOD(ABS(SIN(ROW()*12.9898+'הדבקת לידים'!$F$2*78.233+IFERROR(--RIGHT(A3165,6),LEN(A3165))*0.0137+IFERROR(--RIGHT(B3165,6),LEN(B3165))*0.0071))*43758.5453,1),"")</f>
        <v/>
      </c>
      <c r="E3165" s="0" t="str">
        <f aca="false">IF(C3165=1,INT(MOD(ABS(SIN(D3165*7919.123+ROW()*0.618+'הדבקת לידים'!$F$2*1.3))*43758.5453,1)*1000000)*10000+ROW(),"")</f>
        <v/>
      </c>
      <c r="F3165" s="0" t="str">
        <f aca="false">IF(E3165="","",RANK(E3165,$E$2:$E$5001,1))</f>
        <v/>
      </c>
      <c r="G3165" s="0" t="n">
        <f aca="false">IF(A3165="",0,IF(SUMPRODUCT(--($A$2:$A$5001=A3165))&gt;1,1,0))</f>
        <v>0</v>
      </c>
      <c r="H3165" s="0" t="n">
        <f aca="false">ROW()-1</f>
        <v>3164</v>
      </c>
      <c r="I3165" s="0" t="str">
        <f aca="false">IF(OR(הגדרות!$E$6=0,H3165&gt;הגדרות!$E$5),"",IF(H3165-1&lt;הגדרות!$E$8*(הגדרות!$E$7+1),INT((H3165-1)/(הגדרות!$E$7+1)),הגדרות!$E$8+INT((H3165-1-הגדרות!$E$8*(הגדרות!$E$7+1))/הגדרות!$E$7)))</f>
        <v/>
      </c>
      <c r="J3165" s="0" t="str">
        <f aca="false">IF(I3165="","",IF(H3165-1&lt;הגדרות!$E$8*(הגדרות!$E$7+1),MOD(H3165-1,הגדרות!$E$7+1),MOD(H3165-1-הגדרות!$E$8*(הגדרות!$E$7+1),הגדרות!$E$7)))</f>
        <v/>
      </c>
      <c r="K3165" s="0" t="str">
        <f aca="false">IF(I3165="","",J3165*הגדרות!$E$6+I3165+1)</f>
        <v/>
      </c>
      <c r="L3165" s="0" t="str">
        <f aca="false">IF(K3165="","",MATCH(K3165,$F$2:$F$5001,0))</f>
        <v/>
      </c>
      <c r="M3165" s="0" t="str">
        <f aca="false">IF(I3165="","",INDEX(הגדרות!$A$2:$A$21,MOD(I3165+הגדרות!$E$9,הגדרות!$E$6)+1))</f>
        <v/>
      </c>
    </row>
    <row r="3166" customFormat="false" ht="15" hidden="false" customHeight="false" outlineLevel="0" collapsed="false">
      <c r="A3166" s="0" t="str">
        <f aca="false">IF('הדבקת לידים'!A3166="","",IF(ISNUMBER('הדבקת לידים'!A3166),IF(הגדרות!$E$2&gt;0,TEXT('הדבקת לידים'!A3166,REPT("0",הגדרות!$E$2)),TEXT('הדבקת לידים'!A3166,"0")),TRIM('הדבקת לידים'!A3166)))</f>
        <v/>
      </c>
      <c r="B3166" s="0" t="str">
        <f aca="false">IF('הדבקת לידים'!B3166="","",IF(ISNUMBER('הדבקת לידים'!B3166),IF(הגדרות!$E$3&gt;0,TEXT('הדבקת לידים'!B3166,REPT("0",הגדרות!$E$3)),TEXT('הדבקת לידים'!B3166,"0")),TRIM('הדבקת לידים'!B3166)))</f>
        <v/>
      </c>
      <c r="C3166" s="0" t="n">
        <f aca="false">IF(OR(A3166&lt;&gt;"",B3166&lt;&gt;""),1,0)</f>
        <v>0</v>
      </c>
      <c r="D3166" s="0" t="str">
        <f aca="false">IF(C3166=1,MOD(ABS(SIN(ROW()*12.9898+'הדבקת לידים'!$F$2*78.233+IFERROR(--RIGHT(A3166,6),LEN(A3166))*0.0137+IFERROR(--RIGHT(B3166,6),LEN(B3166))*0.0071))*43758.5453,1),"")</f>
        <v/>
      </c>
      <c r="E3166" s="0" t="str">
        <f aca="false">IF(C3166=1,INT(MOD(ABS(SIN(D3166*7919.123+ROW()*0.618+'הדבקת לידים'!$F$2*1.3))*43758.5453,1)*1000000)*10000+ROW(),"")</f>
        <v/>
      </c>
      <c r="F3166" s="0" t="str">
        <f aca="false">IF(E3166="","",RANK(E3166,$E$2:$E$5001,1))</f>
        <v/>
      </c>
      <c r="G3166" s="0" t="n">
        <f aca="false">IF(A3166="",0,IF(SUMPRODUCT(--($A$2:$A$5001=A3166))&gt;1,1,0))</f>
        <v>0</v>
      </c>
      <c r="H3166" s="0" t="n">
        <f aca="false">ROW()-1</f>
        <v>3165</v>
      </c>
      <c r="I3166" s="0" t="str">
        <f aca="false">IF(OR(הגדרות!$E$6=0,H3166&gt;הגדרות!$E$5),"",IF(H3166-1&lt;הגדרות!$E$8*(הגדרות!$E$7+1),INT((H3166-1)/(הגדרות!$E$7+1)),הגדרות!$E$8+INT((H3166-1-הגדרות!$E$8*(הגדרות!$E$7+1))/הגדרות!$E$7)))</f>
        <v/>
      </c>
      <c r="J3166" s="0" t="str">
        <f aca="false">IF(I3166="","",IF(H3166-1&lt;הגדרות!$E$8*(הגדרות!$E$7+1),MOD(H3166-1,הגדרות!$E$7+1),MOD(H3166-1-הגדרות!$E$8*(הגדרות!$E$7+1),הגדרות!$E$7)))</f>
        <v/>
      </c>
      <c r="K3166" s="0" t="str">
        <f aca="false">IF(I3166="","",J3166*הגדרות!$E$6+I3166+1)</f>
        <v/>
      </c>
      <c r="L3166" s="0" t="str">
        <f aca="false">IF(K3166="","",MATCH(K3166,$F$2:$F$5001,0))</f>
        <v/>
      </c>
      <c r="M3166" s="0" t="str">
        <f aca="false">IF(I3166="","",INDEX(הגדרות!$A$2:$A$21,MOD(I3166+הגדרות!$E$9,הגדרות!$E$6)+1))</f>
        <v/>
      </c>
    </row>
    <row r="3167" customFormat="false" ht="15" hidden="false" customHeight="false" outlineLevel="0" collapsed="false">
      <c r="A3167" s="0" t="str">
        <f aca="false">IF('הדבקת לידים'!A3167="","",IF(ISNUMBER('הדבקת לידים'!A3167),IF(הגדרות!$E$2&gt;0,TEXT('הדבקת לידים'!A3167,REPT("0",הגדרות!$E$2)),TEXT('הדבקת לידים'!A3167,"0")),TRIM('הדבקת לידים'!A3167)))</f>
        <v/>
      </c>
      <c r="B3167" s="0" t="str">
        <f aca="false">IF('הדבקת לידים'!B3167="","",IF(ISNUMBER('הדבקת לידים'!B3167),IF(הגדרות!$E$3&gt;0,TEXT('הדבקת לידים'!B3167,REPT("0",הגדרות!$E$3)),TEXT('הדבקת לידים'!B3167,"0")),TRIM('הדבקת לידים'!B3167)))</f>
        <v/>
      </c>
      <c r="C3167" s="0" t="n">
        <f aca="false">IF(OR(A3167&lt;&gt;"",B3167&lt;&gt;""),1,0)</f>
        <v>0</v>
      </c>
      <c r="D3167" s="0" t="str">
        <f aca="false">IF(C3167=1,MOD(ABS(SIN(ROW()*12.9898+'הדבקת לידים'!$F$2*78.233+IFERROR(--RIGHT(A3167,6),LEN(A3167))*0.0137+IFERROR(--RIGHT(B3167,6),LEN(B3167))*0.0071))*43758.5453,1),"")</f>
        <v/>
      </c>
      <c r="E3167" s="0" t="str">
        <f aca="false">IF(C3167=1,INT(MOD(ABS(SIN(D3167*7919.123+ROW()*0.618+'הדבקת לידים'!$F$2*1.3))*43758.5453,1)*1000000)*10000+ROW(),"")</f>
        <v/>
      </c>
      <c r="F3167" s="0" t="str">
        <f aca="false">IF(E3167="","",RANK(E3167,$E$2:$E$5001,1))</f>
        <v/>
      </c>
      <c r="G3167" s="0" t="n">
        <f aca="false">IF(A3167="",0,IF(SUMPRODUCT(--($A$2:$A$5001=A3167))&gt;1,1,0))</f>
        <v>0</v>
      </c>
      <c r="H3167" s="0" t="n">
        <f aca="false">ROW()-1</f>
        <v>3166</v>
      </c>
      <c r="I3167" s="0" t="str">
        <f aca="false">IF(OR(הגדרות!$E$6=0,H3167&gt;הגדרות!$E$5),"",IF(H3167-1&lt;הגדרות!$E$8*(הגדרות!$E$7+1),INT((H3167-1)/(הגדרות!$E$7+1)),הגדרות!$E$8+INT((H3167-1-הגדרות!$E$8*(הגדרות!$E$7+1))/הגדרות!$E$7)))</f>
        <v/>
      </c>
      <c r="J3167" s="0" t="str">
        <f aca="false">IF(I3167="","",IF(H3167-1&lt;הגדרות!$E$8*(הגדרות!$E$7+1),MOD(H3167-1,הגדרות!$E$7+1),MOD(H3167-1-הגדרות!$E$8*(הגדרות!$E$7+1),הגדרות!$E$7)))</f>
        <v/>
      </c>
      <c r="K3167" s="0" t="str">
        <f aca="false">IF(I3167="","",J3167*הגדרות!$E$6+I3167+1)</f>
        <v/>
      </c>
      <c r="L3167" s="0" t="str">
        <f aca="false">IF(K3167="","",MATCH(K3167,$F$2:$F$5001,0))</f>
        <v/>
      </c>
      <c r="M3167" s="0" t="str">
        <f aca="false">IF(I3167="","",INDEX(הגדרות!$A$2:$A$21,MOD(I3167+הגדרות!$E$9,הגדרות!$E$6)+1))</f>
        <v/>
      </c>
    </row>
    <row r="3168" customFormat="false" ht="15" hidden="false" customHeight="false" outlineLevel="0" collapsed="false">
      <c r="A3168" s="0" t="str">
        <f aca="false">IF('הדבקת לידים'!A3168="","",IF(ISNUMBER('הדבקת לידים'!A3168),IF(הגדרות!$E$2&gt;0,TEXT('הדבקת לידים'!A3168,REPT("0",הגדרות!$E$2)),TEXT('הדבקת לידים'!A3168,"0")),TRIM('הדבקת לידים'!A3168)))</f>
        <v/>
      </c>
      <c r="B3168" s="0" t="str">
        <f aca="false">IF('הדבקת לידים'!B3168="","",IF(ISNUMBER('הדבקת לידים'!B3168),IF(הגדרות!$E$3&gt;0,TEXT('הדבקת לידים'!B3168,REPT("0",הגדרות!$E$3)),TEXT('הדבקת לידים'!B3168,"0")),TRIM('הדבקת לידים'!B3168)))</f>
        <v/>
      </c>
      <c r="C3168" s="0" t="n">
        <f aca="false">IF(OR(A3168&lt;&gt;"",B3168&lt;&gt;""),1,0)</f>
        <v>0</v>
      </c>
      <c r="D3168" s="0" t="str">
        <f aca="false">IF(C3168=1,MOD(ABS(SIN(ROW()*12.9898+'הדבקת לידים'!$F$2*78.233+IFERROR(--RIGHT(A3168,6),LEN(A3168))*0.0137+IFERROR(--RIGHT(B3168,6),LEN(B3168))*0.0071))*43758.5453,1),"")</f>
        <v/>
      </c>
      <c r="E3168" s="0" t="str">
        <f aca="false">IF(C3168=1,INT(MOD(ABS(SIN(D3168*7919.123+ROW()*0.618+'הדבקת לידים'!$F$2*1.3))*43758.5453,1)*1000000)*10000+ROW(),"")</f>
        <v/>
      </c>
      <c r="F3168" s="0" t="str">
        <f aca="false">IF(E3168="","",RANK(E3168,$E$2:$E$5001,1))</f>
        <v/>
      </c>
      <c r="G3168" s="0" t="n">
        <f aca="false">IF(A3168="",0,IF(SUMPRODUCT(--($A$2:$A$5001=A3168))&gt;1,1,0))</f>
        <v>0</v>
      </c>
      <c r="H3168" s="0" t="n">
        <f aca="false">ROW()-1</f>
        <v>3167</v>
      </c>
      <c r="I3168" s="0" t="str">
        <f aca="false">IF(OR(הגדרות!$E$6=0,H3168&gt;הגדרות!$E$5),"",IF(H3168-1&lt;הגדרות!$E$8*(הגדרות!$E$7+1),INT((H3168-1)/(הגדרות!$E$7+1)),הגדרות!$E$8+INT((H3168-1-הגדרות!$E$8*(הגדרות!$E$7+1))/הגדרות!$E$7)))</f>
        <v/>
      </c>
      <c r="J3168" s="0" t="str">
        <f aca="false">IF(I3168="","",IF(H3168-1&lt;הגדרות!$E$8*(הגדרות!$E$7+1),MOD(H3168-1,הגדרות!$E$7+1),MOD(H3168-1-הגדרות!$E$8*(הגדרות!$E$7+1),הגדרות!$E$7)))</f>
        <v/>
      </c>
      <c r="K3168" s="0" t="str">
        <f aca="false">IF(I3168="","",J3168*הגדרות!$E$6+I3168+1)</f>
        <v/>
      </c>
      <c r="L3168" s="0" t="str">
        <f aca="false">IF(K3168="","",MATCH(K3168,$F$2:$F$5001,0))</f>
        <v/>
      </c>
      <c r="M3168" s="0" t="str">
        <f aca="false">IF(I3168="","",INDEX(הגדרות!$A$2:$A$21,MOD(I3168+הגדרות!$E$9,הגדרות!$E$6)+1))</f>
        <v/>
      </c>
    </row>
    <row r="3169" customFormat="false" ht="15" hidden="false" customHeight="false" outlineLevel="0" collapsed="false">
      <c r="A3169" s="0" t="str">
        <f aca="false">IF('הדבקת לידים'!A3169="","",IF(ISNUMBER('הדבקת לידים'!A3169),IF(הגדרות!$E$2&gt;0,TEXT('הדבקת לידים'!A3169,REPT("0",הגדרות!$E$2)),TEXT('הדבקת לידים'!A3169,"0")),TRIM('הדבקת לידים'!A3169)))</f>
        <v/>
      </c>
      <c r="B3169" s="0" t="str">
        <f aca="false">IF('הדבקת לידים'!B3169="","",IF(ISNUMBER('הדבקת לידים'!B3169),IF(הגדרות!$E$3&gt;0,TEXT('הדבקת לידים'!B3169,REPT("0",הגדרות!$E$3)),TEXT('הדבקת לידים'!B3169,"0")),TRIM('הדבקת לידים'!B3169)))</f>
        <v/>
      </c>
      <c r="C3169" s="0" t="n">
        <f aca="false">IF(OR(A3169&lt;&gt;"",B3169&lt;&gt;""),1,0)</f>
        <v>0</v>
      </c>
      <c r="D3169" s="0" t="str">
        <f aca="false">IF(C3169=1,MOD(ABS(SIN(ROW()*12.9898+'הדבקת לידים'!$F$2*78.233+IFERROR(--RIGHT(A3169,6),LEN(A3169))*0.0137+IFERROR(--RIGHT(B3169,6),LEN(B3169))*0.0071))*43758.5453,1),"")</f>
        <v/>
      </c>
      <c r="E3169" s="0" t="str">
        <f aca="false">IF(C3169=1,INT(MOD(ABS(SIN(D3169*7919.123+ROW()*0.618+'הדבקת לידים'!$F$2*1.3))*43758.5453,1)*1000000)*10000+ROW(),"")</f>
        <v/>
      </c>
      <c r="F3169" s="0" t="str">
        <f aca="false">IF(E3169="","",RANK(E3169,$E$2:$E$5001,1))</f>
        <v/>
      </c>
      <c r="G3169" s="0" t="n">
        <f aca="false">IF(A3169="",0,IF(SUMPRODUCT(--($A$2:$A$5001=A3169))&gt;1,1,0))</f>
        <v>0</v>
      </c>
      <c r="H3169" s="0" t="n">
        <f aca="false">ROW()-1</f>
        <v>3168</v>
      </c>
      <c r="I3169" s="0" t="str">
        <f aca="false">IF(OR(הגדרות!$E$6=0,H3169&gt;הגדרות!$E$5),"",IF(H3169-1&lt;הגדרות!$E$8*(הגדרות!$E$7+1),INT((H3169-1)/(הגדרות!$E$7+1)),הגדרות!$E$8+INT((H3169-1-הגדרות!$E$8*(הגדרות!$E$7+1))/הגדרות!$E$7)))</f>
        <v/>
      </c>
      <c r="J3169" s="0" t="str">
        <f aca="false">IF(I3169="","",IF(H3169-1&lt;הגדרות!$E$8*(הגדרות!$E$7+1),MOD(H3169-1,הגדרות!$E$7+1),MOD(H3169-1-הגדרות!$E$8*(הגדרות!$E$7+1),הגדרות!$E$7)))</f>
        <v/>
      </c>
      <c r="K3169" s="0" t="str">
        <f aca="false">IF(I3169="","",J3169*הגדרות!$E$6+I3169+1)</f>
        <v/>
      </c>
      <c r="L3169" s="0" t="str">
        <f aca="false">IF(K3169="","",MATCH(K3169,$F$2:$F$5001,0))</f>
        <v/>
      </c>
      <c r="M3169" s="0" t="str">
        <f aca="false">IF(I3169="","",INDEX(הגדרות!$A$2:$A$21,MOD(I3169+הגדרות!$E$9,הגדרות!$E$6)+1))</f>
        <v/>
      </c>
    </row>
    <row r="3170" customFormat="false" ht="15" hidden="false" customHeight="false" outlineLevel="0" collapsed="false">
      <c r="A3170" s="0" t="str">
        <f aca="false">IF('הדבקת לידים'!A3170="","",IF(ISNUMBER('הדבקת לידים'!A3170),IF(הגדרות!$E$2&gt;0,TEXT('הדבקת לידים'!A3170,REPT("0",הגדרות!$E$2)),TEXT('הדבקת לידים'!A3170,"0")),TRIM('הדבקת לידים'!A3170)))</f>
        <v/>
      </c>
      <c r="B3170" s="0" t="str">
        <f aca="false">IF('הדבקת לידים'!B3170="","",IF(ISNUMBER('הדבקת לידים'!B3170),IF(הגדרות!$E$3&gt;0,TEXT('הדבקת לידים'!B3170,REPT("0",הגדרות!$E$3)),TEXT('הדבקת לידים'!B3170,"0")),TRIM('הדבקת לידים'!B3170)))</f>
        <v/>
      </c>
      <c r="C3170" s="0" t="n">
        <f aca="false">IF(OR(A3170&lt;&gt;"",B3170&lt;&gt;""),1,0)</f>
        <v>0</v>
      </c>
      <c r="D3170" s="0" t="str">
        <f aca="false">IF(C3170=1,MOD(ABS(SIN(ROW()*12.9898+'הדבקת לידים'!$F$2*78.233+IFERROR(--RIGHT(A3170,6),LEN(A3170))*0.0137+IFERROR(--RIGHT(B3170,6),LEN(B3170))*0.0071))*43758.5453,1),"")</f>
        <v/>
      </c>
      <c r="E3170" s="0" t="str">
        <f aca="false">IF(C3170=1,INT(MOD(ABS(SIN(D3170*7919.123+ROW()*0.618+'הדבקת לידים'!$F$2*1.3))*43758.5453,1)*1000000)*10000+ROW(),"")</f>
        <v/>
      </c>
      <c r="F3170" s="0" t="str">
        <f aca="false">IF(E3170="","",RANK(E3170,$E$2:$E$5001,1))</f>
        <v/>
      </c>
      <c r="G3170" s="0" t="n">
        <f aca="false">IF(A3170="",0,IF(SUMPRODUCT(--($A$2:$A$5001=A3170))&gt;1,1,0))</f>
        <v>0</v>
      </c>
      <c r="H3170" s="0" t="n">
        <f aca="false">ROW()-1</f>
        <v>3169</v>
      </c>
      <c r="I3170" s="0" t="str">
        <f aca="false">IF(OR(הגדרות!$E$6=0,H3170&gt;הגדרות!$E$5),"",IF(H3170-1&lt;הגדרות!$E$8*(הגדרות!$E$7+1),INT((H3170-1)/(הגדרות!$E$7+1)),הגדרות!$E$8+INT((H3170-1-הגדרות!$E$8*(הגדרות!$E$7+1))/הגדרות!$E$7)))</f>
        <v/>
      </c>
      <c r="J3170" s="0" t="str">
        <f aca="false">IF(I3170="","",IF(H3170-1&lt;הגדרות!$E$8*(הגדרות!$E$7+1),MOD(H3170-1,הגדרות!$E$7+1),MOD(H3170-1-הגדרות!$E$8*(הגדרות!$E$7+1),הגדרות!$E$7)))</f>
        <v/>
      </c>
      <c r="K3170" s="0" t="str">
        <f aca="false">IF(I3170="","",J3170*הגדרות!$E$6+I3170+1)</f>
        <v/>
      </c>
      <c r="L3170" s="0" t="str">
        <f aca="false">IF(K3170="","",MATCH(K3170,$F$2:$F$5001,0))</f>
        <v/>
      </c>
      <c r="M3170" s="0" t="str">
        <f aca="false">IF(I3170="","",INDEX(הגדרות!$A$2:$A$21,MOD(I3170+הגדרות!$E$9,הגדרות!$E$6)+1))</f>
        <v/>
      </c>
    </row>
    <row r="3171" customFormat="false" ht="15" hidden="false" customHeight="false" outlineLevel="0" collapsed="false">
      <c r="A3171" s="0" t="str">
        <f aca="false">IF('הדבקת לידים'!A3171="","",IF(ISNUMBER('הדבקת לידים'!A3171),IF(הגדרות!$E$2&gt;0,TEXT('הדבקת לידים'!A3171,REPT("0",הגדרות!$E$2)),TEXT('הדבקת לידים'!A3171,"0")),TRIM('הדבקת לידים'!A3171)))</f>
        <v/>
      </c>
      <c r="B3171" s="0" t="str">
        <f aca="false">IF('הדבקת לידים'!B3171="","",IF(ISNUMBER('הדבקת לידים'!B3171),IF(הגדרות!$E$3&gt;0,TEXT('הדבקת לידים'!B3171,REPT("0",הגדרות!$E$3)),TEXT('הדבקת לידים'!B3171,"0")),TRIM('הדבקת לידים'!B3171)))</f>
        <v/>
      </c>
      <c r="C3171" s="0" t="n">
        <f aca="false">IF(OR(A3171&lt;&gt;"",B3171&lt;&gt;""),1,0)</f>
        <v>0</v>
      </c>
      <c r="D3171" s="0" t="str">
        <f aca="false">IF(C3171=1,MOD(ABS(SIN(ROW()*12.9898+'הדבקת לידים'!$F$2*78.233+IFERROR(--RIGHT(A3171,6),LEN(A3171))*0.0137+IFERROR(--RIGHT(B3171,6),LEN(B3171))*0.0071))*43758.5453,1),"")</f>
        <v/>
      </c>
      <c r="E3171" s="0" t="str">
        <f aca="false">IF(C3171=1,INT(MOD(ABS(SIN(D3171*7919.123+ROW()*0.618+'הדבקת לידים'!$F$2*1.3))*43758.5453,1)*1000000)*10000+ROW(),"")</f>
        <v/>
      </c>
      <c r="F3171" s="0" t="str">
        <f aca="false">IF(E3171="","",RANK(E3171,$E$2:$E$5001,1))</f>
        <v/>
      </c>
      <c r="G3171" s="0" t="n">
        <f aca="false">IF(A3171="",0,IF(SUMPRODUCT(--($A$2:$A$5001=A3171))&gt;1,1,0))</f>
        <v>0</v>
      </c>
      <c r="H3171" s="0" t="n">
        <f aca="false">ROW()-1</f>
        <v>3170</v>
      </c>
      <c r="I3171" s="0" t="str">
        <f aca="false">IF(OR(הגדרות!$E$6=0,H3171&gt;הגדרות!$E$5),"",IF(H3171-1&lt;הגדרות!$E$8*(הגדרות!$E$7+1),INT((H3171-1)/(הגדרות!$E$7+1)),הגדרות!$E$8+INT((H3171-1-הגדרות!$E$8*(הגדרות!$E$7+1))/הגדרות!$E$7)))</f>
        <v/>
      </c>
      <c r="J3171" s="0" t="str">
        <f aca="false">IF(I3171="","",IF(H3171-1&lt;הגדרות!$E$8*(הגדרות!$E$7+1),MOD(H3171-1,הגדרות!$E$7+1),MOD(H3171-1-הגדרות!$E$8*(הגדרות!$E$7+1),הגדרות!$E$7)))</f>
        <v/>
      </c>
      <c r="K3171" s="0" t="str">
        <f aca="false">IF(I3171="","",J3171*הגדרות!$E$6+I3171+1)</f>
        <v/>
      </c>
      <c r="L3171" s="0" t="str">
        <f aca="false">IF(K3171="","",MATCH(K3171,$F$2:$F$5001,0))</f>
        <v/>
      </c>
      <c r="M3171" s="0" t="str">
        <f aca="false">IF(I3171="","",INDEX(הגדרות!$A$2:$A$21,MOD(I3171+הגדרות!$E$9,הגדרות!$E$6)+1))</f>
        <v/>
      </c>
    </row>
    <row r="3172" customFormat="false" ht="15" hidden="false" customHeight="false" outlineLevel="0" collapsed="false">
      <c r="A3172" s="0" t="str">
        <f aca="false">IF('הדבקת לידים'!A3172="","",IF(ISNUMBER('הדבקת לידים'!A3172),IF(הגדרות!$E$2&gt;0,TEXT('הדבקת לידים'!A3172,REPT("0",הגדרות!$E$2)),TEXT('הדבקת לידים'!A3172,"0")),TRIM('הדבקת לידים'!A3172)))</f>
        <v/>
      </c>
      <c r="B3172" s="0" t="str">
        <f aca="false">IF('הדבקת לידים'!B3172="","",IF(ISNUMBER('הדבקת לידים'!B3172),IF(הגדרות!$E$3&gt;0,TEXT('הדבקת לידים'!B3172,REPT("0",הגדרות!$E$3)),TEXT('הדבקת לידים'!B3172,"0")),TRIM('הדבקת לידים'!B3172)))</f>
        <v/>
      </c>
      <c r="C3172" s="0" t="n">
        <f aca="false">IF(OR(A3172&lt;&gt;"",B3172&lt;&gt;""),1,0)</f>
        <v>0</v>
      </c>
      <c r="D3172" s="0" t="str">
        <f aca="false">IF(C3172=1,MOD(ABS(SIN(ROW()*12.9898+'הדבקת לידים'!$F$2*78.233+IFERROR(--RIGHT(A3172,6),LEN(A3172))*0.0137+IFERROR(--RIGHT(B3172,6),LEN(B3172))*0.0071))*43758.5453,1),"")</f>
        <v/>
      </c>
      <c r="E3172" s="0" t="str">
        <f aca="false">IF(C3172=1,INT(MOD(ABS(SIN(D3172*7919.123+ROW()*0.618+'הדבקת לידים'!$F$2*1.3))*43758.5453,1)*1000000)*10000+ROW(),"")</f>
        <v/>
      </c>
      <c r="F3172" s="0" t="str">
        <f aca="false">IF(E3172="","",RANK(E3172,$E$2:$E$5001,1))</f>
        <v/>
      </c>
      <c r="G3172" s="0" t="n">
        <f aca="false">IF(A3172="",0,IF(SUMPRODUCT(--($A$2:$A$5001=A3172))&gt;1,1,0))</f>
        <v>0</v>
      </c>
      <c r="H3172" s="0" t="n">
        <f aca="false">ROW()-1</f>
        <v>3171</v>
      </c>
      <c r="I3172" s="0" t="str">
        <f aca="false">IF(OR(הגדרות!$E$6=0,H3172&gt;הגדרות!$E$5),"",IF(H3172-1&lt;הגדרות!$E$8*(הגדרות!$E$7+1),INT((H3172-1)/(הגדרות!$E$7+1)),הגדרות!$E$8+INT((H3172-1-הגדרות!$E$8*(הגדרות!$E$7+1))/הגדרות!$E$7)))</f>
        <v/>
      </c>
      <c r="J3172" s="0" t="str">
        <f aca="false">IF(I3172="","",IF(H3172-1&lt;הגדרות!$E$8*(הגדרות!$E$7+1),MOD(H3172-1,הגדרות!$E$7+1),MOD(H3172-1-הגדרות!$E$8*(הגדרות!$E$7+1),הגדרות!$E$7)))</f>
        <v/>
      </c>
      <c r="K3172" s="0" t="str">
        <f aca="false">IF(I3172="","",J3172*הגדרות!$E$6+I3172+1)</f>
        <v/>
      </c>
      <c r="L3172" s="0" t="str">
        <f aca="false">IF(K3172="","",MATCH(K3172,$F$2:$F$5001,0))</f>
        <v/>
      </c>
      <c r="M3172" s="0" t="str">
        <f aca="false">IF(I3172="","",INDEX(הגדרות!$A$2:$A$21,MOD(I3172+הגדרות!$E$9,הגדרות!$E$6)+1))</f>
        <v/>
      </c>
    </row>
    <row r="3173" customFormat="false" ht="15" hidden="false" customHeight="false" outlineLevel="0" collapsed="false">
      <c r="A3173" s="0" t="str">
        <f aca="false">IF('הדבקת לידים'!A3173="","",IF(ISNUMBER('הדבקת לידים'!A3173),IF(הגדרות!$E$2&gt;0,TEXT('הדבקת לידים'!A3173,REPT("0",הגדרות!$E$2)),TEXT('הדבקת לידים'!A3173,"0")),TRIM('הדבקת לידים'!A3173)))</f>
        <v/>
      </c>
      <c r="B3173" s="0" t="str">
        <f aca="false">IF('הדבקת לידים'!B3173="","",IF(ISNUMBER('הדבקת לידים'!B3173),IF(הגדרות!$E$3&gt;0,TEXT('הדבקת לידים'!B3173,REPT("0",הגדרות!$E$3)),TEXT('הדבקת לידים'!B3173,"0")),TRIM('הדבקת לידים'!B3173)))</f>
        <v/>
      </c>
      <c r="C3173" s="0" t="n">
        <f aca="false">IF(OR(A3173&lt;&gt;"",B3173&lt;&gt;""),1,0)</f>
        <v>0</v>
      </c>
      <c r="D3173" s="0" t="str">
        <f aca="false">IF(C3173=1,MOD(ABS(SIN(ROW()*12.9898+'הדבקת לידים'!$F$2*78.233+IFERROR(--RIGHT(A3173,6),LEN(A3173))*0.0137+IFERROR(--RIGHT(B3173,6),LEN(B3173))*0.0071))*43758.5453,1),"")</f>
        <v/>
      </c>
      <c r="E3173" s="0" t="str">
        <f aca="false">IF(C3173=1,INT(MOD(ABS(SIN(D3173*7919.123+ROW()*0.618+'הדבקת לידים'!$F$2*1.3))*43758.5453,1)*1000000)*10000+ROW(),"")</f>
        <v/>
      </c>
      <c r="F3173" s="0" t="str">
        <f aca="false">IF(E3173="","",RANK(E3173,$E$2:$E$5001,1))</f>
        <v/>
      </c>
      <c r="G3173" s="0" t="n">
        <f aca="false">IF(A3173="",0,IF(SUMPRODUCT(--($A$2:$A$5001=A3173))&gt;1,1,0))</f>
        <v>0</v>
      </c>
      <c r="H3173" s="0" t="n">
        <f aca="false">ROW()-1</f>
        <v>3172</v>
      </c>
      <c r="I3173" s="0" t="str">
        <f aca="false">IF(OR(הגדרות!$E$6=0,H3173&gt;הגדרות!$E$5),"",IF(H3173-1&lt;הגדרות!$E$8*(הגדרות!$E$7+1),INT((H3173-1)/(הגדרות!$E$7+1)),הגדרות!$E$8+INT((H3173-1-הגדרות!$E$8*(הגדרות!$E$7+1))/הגדרות!$E$7)))</f>
        <v/>
      </c>
      <c r="J3173" s="0" t="str">
        <f aca="false">IF(I3173="","",IF(H3173-1&lt;הגדרות!$E$8*(הגדרות!$E$7+1),MOD(H3173-1,הגדרות!$E$7+1),MOD(H3173-1-הגדרות!$E$8*(הגדרות!$E$7+1),הגדרות!$E$7)))</f>
        <v/>
      </c>
      <c r="K3173" s="0" t="str">
        <f aca="false">IF(I3173="","",J3173*הגדרות!$E$6+I3173+1)</f>
        <v/>
      </c>
      <c r="L3173" s="0" t="str">
        <f aca="false">IF(K3173="","",MATCH(K3173,$F$2:$F$5001,0))</f>
        <v/>
      </c>
      <c r="M3173" s="0" t="str">
        <f aca="false">IF(I3173="","",INDEX(הגדרות!$A$2:$A$21,MOD(I3173+הגדרות!$E$9,הגדרות!$E$6)+1))</f>
        <v/>
      </c>
    </row>
    <row r="3174" customFormat="false" ht="15" hidden="false" customHeight="false" outlineLevel="0" collapsed="false">
      <c r="A3174" s="0" t="str">
        <f aca="false">IF('הדבקת לידים'!A3174="","",IF(ISNUMBER('הדבקת לידים'!A3174),IF(הגדרות!$E$2&gt;0,TEXT('הדבקת לידים'!A3174,REPT("0",הגדרות!$E$2)),TEXT('הדבקת לידים'!A3174,"0")),TRIM('הדבקת לידים'!A3174)))</f>
        <v/>
      </c>
      <c r="B3174" s="0" t="str">
        <f aca="false">IF('הדבקת לידים'!B3174="","",IF(ISNUMBER('הדבקת לידים'!B3174),IF(הגדרות!$E$3&gt;0,TEXT('הדבקת לידים'!B3174,REPT("0",הגדרות!$E$3)),TEXT('הדבקת לידים'!B3174,"0")),TRIM('הדבקת לידים'!B3174)))</f>
        <v/>
      </c>
      <c r="C3174" s="0" t="n">
        <f aca="false">IF(OR(A3174&lt;&gt;"",B3174&lt;&gt;""),1,0)</f>
        <v>0</v>
      </c>
      <c r="D3174" s="0" t="str">
        <f aca="false">IF(C3174=1,MOD(ABS(SIN(ROW()*12.9898+'הדבקת לידים'!$F$2*78.233+IFERROR(--RIGHT(A3174,6),LEN(A3174))*0.0137+IFERROR(--RIGHT(B3174,6),LEN(B3174))*0.0071))*43758.5453,1),"")</f>
        <v/>
      </c>
      <c r="E3174" s="0" t="str">
        <f aca="false">IF(C3174=1,INT(MOD(ABS(SIN(D3174*7919.123+ROW()*0.618+'הדבקת לידים'!$F$2*1.3))*43758.5453,1)*1000000)*10000+ROW(),"")</f>
        <v/>
      </c>
      <c r="F3174" s="0" t="str">
        <f aca="false">IF(E3174="","",RANK(E3174,$E$2:$E$5001,1))</f>
        <v/>
      </c>
      <c r="G3174" s="0" t="n">
        <f aca="false">IF(A3174="",0,IF(SUMPRODUCT(--($A$2:$A$5001=A3174))&gt;1,1,0))</f>
        <v>0</v>
      </c>
      <c r="H3174" s="0" t="n">
        <f aca="false">ROW()-1</f>
        <v>3173</v>
      </c>
      <c r="I3174" s="0" t="str">
        <f aca="false">IF(OR(הגדרות!$E$6=0,H3174&gt;הגדרות!$E$5),"",IF(H3174-1&lt;הגדרות!$E$8*(הגדרות!$E$7+1),INT((H3174-1)/(הגדרות!$E$7+1)),הגדרות!$E$8+INT((H3174-1-הגדרות!$E$8*(הגדרות!$E$7+1))/הגדרות!$E$7)))</f>
        <v/>
      </c>
      <c r="J3174" s="0" t="str">
        <f aca="false">IF(I3174="","",IF(H3174-1&lt;הגדרות!$E$8*(הגדרות!$E$7+1),MOD(H3174-1,הגדרות!$E$7+1),MOD(H3174-1-הגדרות!$E$8*(הגדרות!$E$7+1),הגדרות!$E$7)))</f>
        <v/>
      </c>
      <c r="K3174" s="0" t="str">
        <f aca="false">IF(I3174="","",J3174*הגדרות!$E$6+I3174+1)</f>
        <v/>
      </c>
      <c r="L3174" s="0" t="str">
        <f aca="false">IF(K3174="","",MATCH(K3174,$F$2:$F$5001,0))</f>
        <v/>
      </c>
      <c r="M3174" s="0" t="str">
        <f aca="false">IF(I3174="","",INDEX(הגדרות!$A$2:$A$21,MOD(I3174+הגדרות!$E$9,הגדרות!$E$6)+1))</f>
        <v/>
      </c>
    </row>
    <row r="3175" customFormat="false" ht="15" hidden="false" customHeight="false" outlineLevel="0" collapsed="false">
      <c r="A3175" s="0" t="str">
        <f aca="false">IF('הדבקת לידים'!A3175="","",IF(ISNUMBER('הדבקת לידים'!A3175),IF(הגדרות!$E$2&gt;0,TEXT('הדבקת לידים'!A3175,REPT("0",הגדרות!$E$2)),TEXT('הדבקת לידים'!A3175,"0")),TRIM('הדבקת לידים'!A3175)))</f>
        <v/>
      </c>
      <c r="B3175" s="0" t="str">
        <f aca="false">IF('הדבקת לידים'!B3175="","",IF(ISNUMBER('הדבקת לידים'!B3175),IF(הגדרות!$E$3&gt;0,TEXT('הדבקת לידים'!B3175,REPT("0",הגדרות!$E$3)),TEXT('הדבקת לידים'!B3175,"0")),TRIM('הדבקת לידים'!B3175)))</f>
        <v/>
      </c>
      <c r="C3175" s="0" t="n">
        <f aca="false">IF(OR(A3175&lt;&gt;"",B3175&lt;&gt;""),1,0)</f>
        <v>0</v>
      </c>
      <c r="D3175" s="0" t="str">
        <f aca="false">IF(C3175=1,MOD(ABS(SIN(ROW()*12.9898+'הדבקת לידים'!$F$2*78.233+IFERROR(--RIGHT(A3175,6),LEN(A3175))*0.0137+IFERROR(--RIGHT(B3175,6),LEN(B3175))*0.0071))*43758.5453,1),"")</f>
        <v/>
      </c>
      <c r="E3175" s="0" t="str">
        <f aca="false">IF(C3175=1,INT(MOD(ABS(SIN(D3175*7919.123+ROW()*0.618+'הדבקת לידים'!$F$2*1.3))*43758.5453,1)*1000000)*10000+ROW(),"")</f>
        <v/>
      </c>
      <c r="F3175" s="0" t="str">
        <f aca="false">IF(E3175="","",RANK(E3175,$E$2:$E$5001,1))</f>
        <v/>
      </c>
      <c r="G3175" s="0" t="n">
        <f aca="false">IF(A3175="",0,IF(SUMPRODUCT(--($A$2:$A$5001=A3175))&gt;1,1,0))</f>
        <v>0</v>
      </c>
      <c r="H3175" s="0" t="n">
        <f aca="false">ROW()-1</f>
        <v>3174</v>
      </c>
      <c r="I3175" s="0" t="str">
        <f aca="false">IF(OR(הגדרות!$E$6=0,H3175&gt;הגדרות!$E$5),"",IF(H3175-1&lt;הגדרות!$E$8*(הגדרות!$E$7+1),INT((H3175-1)/(הגדרות!$E$7+1)),הגדרות!$E$8+INT((H3175-1-הגדרות!$E$8*(הגדרות!$E$7+1))/הגדרות!$E$7)))</f>
        <v/>
      </c>
      <c r="J3175" s="0" t="str">
        <f aca="false">IF(I3175="","",IF(H3175-1&lt;הגדרות!$E$8*(הגדרות!$E$7+1),MOD(H3175-1,הגדרות!$E$7+1),MOD(H3175-1-הגדרות!$E$8*(הגדרות!$E$7+1),הגדרות!$E$7)))</f>
        <v/>
      </c>
      <c r="K3175" s="0" t="str">
        <f aca="false">IF(I3175="","",J3175*הגדרות!$E$6+I3175+1)</f>
        <v/>
      </c>
      <c r="L3175" s="0" t="str">
        <f aca="false">IF(K3175="","",MATCH(K3175,$F$2:$F$5001,0))</f>
        <v/>
      </c>
      <c r="M3175" s="0" t="str">
        <f aca="false">IF(I3175="","",INDEX(הגדרות!$A$2:$A$21,MOD(I3175+הגדרות!$E$9,הגדרות!$E$6)+1))</f>
        <v/>
      </c>
    </row>
    <row r="3176" customFormat="false" ht="15" hidden="false" customHeight="false" outlineLevel="0" collapsed="false">
      <c r="A3176" s="0" t="str">
        <f aca="false">IF('הדבקת לידים'!A3176="","",IF(ISNUMBER('הדבקת לידים'!A3176),IF(הגדרות!$E$2&gt;0,TEXT('הדבקת לידים'!A3176,REPT("0",הגדרות!$E$2)),TEXT('הדבקת לידים'!A3176,"0")),TRIM('הדבקת לידים'!A3176)))</f>
        <v/>
      </c>
      <c r="B3176" s="0" t="str">
        <f aca="false">IF('הדבקת לידים'!B3176="","",IF(ISNUMBER('הדבקת לידים'!B3176),IF(הגדרות!$E$3&gt;0,TEXT('הדבקת לידים'!B3176,REPT("0",הגדרות!$E$3)),TEXT('הדבקת לידים'!B3176,"0")),TRIM('הדבקת לידים'!B3176)))</f>
        <v/>
      </c>
      <c r="C3176" s="0" t="n">
        <f aca="false">IF(OR(A3176&lt;&gt;"",B3176&lt;&gt;""),1,0)</f>
        <v>0</v>
      </c>
      <c r="D3176" s="0" t="str">
        <f aca="false">IF(C3176=1,MOD(ABS(SIN(ROW()*12.9898+'הדבקת לידים'!$F$2*78.233+IFERROR(--RIGHT(A3176,6),LEN(A3176))*0.0137+IFERROR(--RIGHT(B3176,6),LEN(B3176))*0.0071))*43758.5453,1),"")</f>
        <v/>
      </c>
      <c r="E3176" s="0" t="str">
        <f aca="false">IF(C3176=1,INT(MOD(ABS(SIN(D3176*7919.123+ROW()*0.618+'הדבקת לידים'!$F$2*1.3))*43758.5453,1)*1000000)*10000+ROW(),"")</f>
        <v/>
      </c>
      <c r="F3176" s="0" t="str">
        <f aca="false">IF(E3176="","",RANK(E3176,$E$2:$E$5001,1))</f>
        <v/>
      </c>
      <c r="G3176" s="0" t="n">
        <f aca="false">IF(A3176="",0,IF(SUMPRODUCT(--($A$2:$A$5001=A3176))&gt;1,1,0))</f>
        <v>0</v>
      </c>
      <c r="H3176" s="0" t="n">
        <f aca="false">ROW()-1</f>
        <v>3175</v>
      </c>
      <c r="I3176" s="0" t="str">
        <f aca="false">IF(OR(הגדרות!$E$6=0,H3176&gt;הגדרות!$E$5),"",IF(H3176-1&lt;הגדרות!$E$8*(הגדרות!$E$7+1),INT((H3176-1)/(הגדרות!$E$7+1)),הגדרות!$E$8+INT((H3176-1-הגדרות!$E$8*(הגדרות!$E$7+1))/הגדרות!$E$7)))</f>
        <v/>
      </c>
      <c r="J3176" s="0" t="str">
        <f aca="false">IF(I3176="","",IF(H3176-1&lt;הגדרות!$E$8*(הגדרות!$E$7+1),MOD(H3176-1,הגדרות!$E$7+1),MOD(H3176-1-הגדרות!$E$8*(הגדרות!$E$7+1),הגדרות!$E$7)))</f>
        <v/>
      </c>
      <c r="K3176" s="0" t="str">
        <f aca="false">IF(I3176="","",J3176*הגדרות!$E$6+I3176+1)</f>
        <v/>
      </c>
      <c r="L3176" s="0" t="str">
        <f aca="false">IF(K3176="","",MATCH(K3176,$F$2:$F$5001,0))</f>
        <v/>
      </c>
      <c r="M3176" s="0" t="str">
        <f aca="false">IF(I3176="","",INDEX(הגדרות!$A$2:$A$21,MOD(I3176+הגדרות!$E$9,הגדרות!$E$6)+1))</f>
        <v/>
      </c>
    </row>
    <row r="3177" customFormat="false" ht="15" hidden="false" customHeight="false" outlineLevel="0" collapsed="false">
      <c r="A3177" s="0" t="str">
        <f aca="false">IF('הדבקת לידים'!A3177="","",IF(ISNUMBER('הדבקת לידים'!A3177),IF(הגדרות!$E$2&gt;0,TEXT('הדבקת לידים'!A3177,REPT("0",הגדרות!$E$2)),TEXT('הדבקת לידים'!A3177,"0")),TRIM('הדבקת לידים'!A3177)))</f>
        <v/>
      </c>
      <c r="B3177" s="0" t="str">
        <f aca="false">IF('הדבקת לידים'!B3177="","",IF(ISNUMBER('הדבקת לידים'!B3177),IF(הגדרות!$E$3&gt;0,TEXT('הדבקת לידים'!B3177,REPT("0",הגדרות!$E$3)),TEXT('הדבקת לידים'!B3177,"0")),TRIM('הדבקת לידים'!B3177)))</f>
        <v/>
      </c>
      <c r="C3177" s="0" t="n">
        <f aca="false">IF(OR(A3177&lt;&gt;"",B3177&lt;&gt;""),1,0)</f>
        <v>0</v>
      </c>
      <c r="D3177" s="0" t="str">
        <f aca="false">IF(C3177=1,MOD(ABS(SIN(ROW()*12.9898+'הדבקת לידים'!$F$2*78.233+IFERROR(--RIGHT(A3177,6),LEN(A3177))*0.0137+IFERROR(--RIGHT(B3177,6),LEN(B3177))*0.0071))*43758.5453,1),"")</f>
        <v/>
      </c>
      <c r="E3177" s="0" t="str">
        <f aca="false">IF(C3177=1,INT(MOD(ABS(SIN(D3177*7919.123+ROW()*0.618+'הדבקת לידים'!$F$2*1.3))*43758.5453,1)*1000000)*10000+ROW(),"")</f>
        <v/>
      </c>
      <c r="F3177" s="0" t="str">
        <f aca="false">IF(E3177="","",RANK(E3177,$E$2:$E$5001,1))</f>
        <v/>
      </c>
      <c r="G3177" s="0" t="n">
        <f aca="false">IF(A3177="",0,IF(SUMPRODUCT(--($A$2:$A$5001=A3177))&gt;1,1,0))</f>
        <v>0</v>
      </c>
      <c r="H3177" s="0" t="n">
        <f aca="false">ROW()-1</f>
        <v>3176</v>
      </c>
      <c r="I3177" s="0" t="str">
        <f aca="false">IF(OR(הגדרות!$E$6=0,H3177&gt;הגדרות!$E$5),"",IF(H3177-1&lt;הגדרות!$E$8*(הגדרות!$E$7+1),INT((H3177-1)/(הגדרות!$E$7+1)),הגדרות!$E$8+INT((H3177-1-הגדרות!$E$8*(הגדרות!$E$7+1))/הגדרות!$E$7)))</f>
        <v/>
      </c>
      <c r="J3177" s="0" t="str">
        <f aca="false">IF(I3177="","",IF(H3177-1&lt;הגדרות!$E$8*(הגדרות!$E$7+1),MOD(H3177-1,הגדרות!$E$7+1),MOD(H3177-1-הגדרות!$E$8*(הגדרות!$E$7+1),הגדרות!$E$7)))</f>
        <v/>
      </c>
      <c r="K3177" s="0" t="str">
        <f aca="false">IF(I3177="","",J3177*הגדרות!$E$6+I3177+1)</f>
        <v/>
      </c>
      <c r="L3177" s="0" t="str">
        <f aca="false">IF(K3177="","",MATCH(K3177,$F$2:$F$5001,0))</f>
        <v/>
      </c>
      <c r="M3177" s="0" t="str">
        <f aca="false">IF(I3177="","",INDEX(הגדרות!$A$2:$A$21,MOD(I3177+הגדרות!$E$9,הגדרות!$E$6)+1))</f>
        <v/>
      </c>
    </row>
    <row r="3178" customFormat="false" ht="15" hidden="false" customHeight="false" outlineLevel="0" collapsed="false">
      <c r="A3178" s="0" t="str">
        <f aca="false">IF('הדבקת לידים'!A3178="","",IF(ISNUMBER('הדבקת לידים'!A3178),IF(הגדרות!$E$2&gt;0,TEXT('הדבקת לידים'!A3178,REPT("0",הגדרות!$E$2)),TEXT('הדבקת לידים'!A3178,"0")),TRIM('הדבקת לידים'!A3178)))</f>
        <v/>
      </c>
      <c r="B3178" s="0" t="str">
        <f aca="false">IF('הדבקת לידים'!B3178="","",IF(ISNUMBER('הדבקת לידים'!B3178),IF(הגדרות!$E$3&gt;0,TEXT('הדבקת לידים'!B3178,REPT("0",הגדרות!$E$3)),TEXT('הדבקת לידים'!B3178,"0")),TRIM('הדבקת לידים'!B3178)))</f>
        <v/>
      </c>
      <c r="C3178" s="0" t="n">
        <f aca="false">IF(OR(A3178&lt;&gt;"",B3178&lt;&gt;""),1,0)</f>
        <v>0</v>
      </c>
      <c r="D3178" s="0" t="str">
        <f aca="false">IF(C3178=1,MOD(ABS(SIN(ROW()*12.9898+'הדבקת לידים'!$F$2*78.233+IFERROR(--RIGHT(A3178,6),LEN(A3178))*0.0137+IFERROR(--RIGHT(B3178,6),LEN(B3178))*0.0071))*43758.5453,1),"")</f>
        <v/>
      </c>
      <c r="E3178" s="0" t="str">
        <f aca="false">IF(C3178=1,INT(MOD(ABS(SIN(D3178*7919.123+ROW()*0.618+'הדבקת לידים'!$F$2*1.3))*43758.5453,1)*1000000)*10000+ROW(),"")</f>
        <v/>
      </c>
      <c r="F3178" s="0" t="str">
        <f aca="false">IF(E3178="","",RANK(E3178,$E$2:$E$5001,1))</f>
        <v/>
      </c>
      <c r="G3178" s="0" t="n">
        <f aca="false">IF(A3178="",0,IF(SUMPRODUCT(--($A$2:$A$5001=A3178))&gt;1,1,0))</f>
        <v>0</v>
      </c>
      <c r="H3178" s="0" t="n">
        <f aca="false">ROW()-1</f>
        <v>3177</v>
      </c>
      <c r="I3178" s="0" t="str">
        <f aca="false">IF(OR(הגדרות!$E$6=0,H3178&gt;הגדרות!$E$5),"",IF(H3178-1&lt;הגדרות!$E$8*(הגדרות!$E$7+1),INT((H3178-1)/(הגדרות!$E$7+1)),הגדרות!$E$8+INT((H3178-1-הגדרות!$E$8*(הגדרות!$E$7+1))/הגדרות!$E$7)))</f>
        <v/>
      </c>
      <c r="J3178" s="0" t="str">
        <f aca="false">IF(I3178="","",IF(H3178-1&lt;הגדרות!$E$8*(הגדרות!$E$7+1),MOD(H3178-1,הגדרות!$E$7+1),MOD(H3178-1-הגדרות!$E$8*(הגדרות!$E$7+1),הגדרות!$E$7)))</f>
        <v/>
      </c>
      <c r="K3178" s="0" t="str">
        <f aca="false">IF(I3178="","",J3178*הגדרות!$E$6+I3178+1)</f>
        <v/>
      </c>
      <c r="L3178" s="0" t="str">
        <f aca="false">IF(K3178="","",MATCH(K3178,$F$2:$F$5001,0))</f>
        <v/>
      </c>
      <c r="M3178" s="0" t="str">
        <f aca="false">IF(I3178="","",INDEX(הגדרות!$A$2:$A$21,MOD(I3178+הגדרות!$E$9,הגדרות!$E$6)+1))</f>
        <v/>
      </c>
    </row>
    <row r="3179" customFormat="false" ht="15" hidden="false" customHeight="false" outlineLevel="0" collapsed="false">
      <c r="A3179" s="0" t="str">
        <f aca="false">IF('הדבקת לידים'!A3179="","",IF(ISNUMBER('הדבקת לידים'!A3179),IF(הגדרות!$E$2&gt;0,TEXT('הדבקת לידים'!A3179,REPT("0",הגדרות!$E$2)),TEXT('הדבקת לידים'!A3179,"0")),TRIM('הדבקת לידים'!A3179)))</f>
        <v/>
      </c>
      <c r="B3179" s="0" t="str">
        <f aca="false">IF('הדבקת לידים'!B3179="","",IF(ISNUMBER('הדבקת לידים'!B3179),IF(הגדרות!$E$3&gt;0,TEXT('הדבקת לידים'!B3179,REPT("0",הגדרות!$E$3)),TEXT('הדבקת לידים'!B3179,"0")),TRIM('הדבקת לידים'!B3179)))</f>
        <v/>
      </c>
      <c r="C3179" s="0" t="n">
        <f aca="false">IF(OR(A3179&lt;&gt;"",B3179&lt;&gt;""),1,0)</f>
        <v>0</v>
      </c>
      <c r="D3179" s="0" t="str">
        <f aca="false">IF(C3179=1,MOD(ABS(SIN(ROW()*12.9898+'הדבקת לידים'!$F$2*78.233+IFERROR(--RIGHT(A3179,6),LEN(A3179))*0.0137+IFERROR(--RIGHT(B3179,6),LEN(B3179))*0.0071))*43758.5453,1),"")</f>
        <v/>
      </c>
      <c r="E3179" s="0" t="str">
        <f aca="false">IF(C3179=1,INT(MOD(ABS(SIN(D3179*7919.123+ROW()*0.618+'הדבקת לידים'!$F$2*1.3))*43758.5453,1)*1000000)*10000+ROW(),"")</f>
        <v/>
      </c>
      <c r="F3179" s="0" t="str">
        <f aca="false">IF(E3179="","",RANK(E3179,$E$2:$E$5001,1))</f>
        <v/>
      </c>
      <c r="G3179" s="0" t="n">
        <f aca="false">IF(A3179="",0,IF(SUMPRODUCT(--($A$2:$A$5001=A3179))&gt;1,1,0))</f>
        <v>0</v>
      </c>
      <c r="H3179" s="0" t="n">
        <f aca="false">ROW()-1</f>
        <v>3178</v>
      </c>
      <c r="I3179" s="0" t="str">
        <f aca="false">IF(OR(הגדרות!$E$6=0,H3179&gt;הגדרות!$E$5),"",IF(H3179-1&lt;הגדרות!$E$8*(הגדרות!$E$7+1),INT((H3179-1)/(הגדרות!$E$7+1)),הגדרות!$E$8+INT((H3179-1-הגדרות!$E$8*(הגדרות!$E$7+1))/הגדרות!$E$7)))</f>
        <v/>
      </c>
      <c r="J3179" s="0" t="str">
        <f aca="false">IF(I3179="","",IF(H3179-1&lt;הגדרות!$E$8*(הגדרות!$E$7+1),MOD(H3179-1,הגדרות!$E$7+1),MOD(H3179-1-הגדרות!$E$8*(הגדרות!$E$7+1),הגדרות!$E$7)))</f>
        <v/>
      </c>
      <c r="K3179" s="0" t="str">
        <f aca="false">IF(I3179="","",J3179*הגדרות!$E$6+I3179+1)</f>
        <v/>
      </c>
      <c r="L3179" s="0" t="str">
        <f aca="false">IF(K3179="","",MATCH(K3179,$F$2:$F$5001,0))</f>
        <v/>
      </c>
      <c r="M3179" s="0" t="str">
        <f aca="false">IF(I3179="","",INDEX(הגדרות!$A$2:$A$21,MOD(I3179+הגדרות!$E$9,הגדרות!$E$6)+1))</f>
        <v/>
      </c>
    </row>
    <row r="3180" customFormat="false" ht="15" hidden="false" customHeight="false" outlineLevel="0" collapsed="false">
      <c r="A3180" s="0" t="str">
        <f aca="false">IF('הדבקת לידים'!A3180="","",IF(ISNUMBER('הדבקת לידים'!A3180),IF(הגדרות!$E$2&gt;0,TEXT('הדבקת לידים'!A3180,REPT("0",הגדרות!$E$2)),TEXT('הדבקת לידים'!A3180,"0")),TRIM('הדבקת לידים'!A3180)))</f>
        <v/>
      </c>
      <c r="B3180" s="0" t="str">
        <f aca="false">IF('הדבקת לידים'!B3180="","",IF(ISNUMBER('הדבקת לידים'!B3180),IF(הגדרות!$E$3&gt;0,TEXT('הדבקת לידים'!B3180,REPT("0",הגדרות!$E$3)),TEXT('הדבקת לידים'!B3180,"0")),TRIM('הדבקת לידים'!B3180)))</f>
        <v/>
      </c>
      <c r="C3180" s="0" t="n">
        <f aca="false">IF(OR(A3180&lt;&gt;"",B3180&lt;&gt;""),1,0)</f>
        <v>0</v>
      </c>
      <c r="D3180" s="0" t="str">
        <f aca="false">IF(C3180=1,MOD(ABS(SIN(ROW()*12.9898+'הדבקת לידים'!$F$2*78.233+IFERROR(--RIGHT(A3180,6),LEN(A3180))*0.0137+IFERROR(--RIGHT(B3180,6),LEN(B3180))*0.0071))*43758.5453,1),"")</f>
        <v/>
      </c>
      <c r="E3180" s="0" t="str">
        <f aca="false">IF(C3180=1,INT(MOD(ABS(SIN(D3180*7919.123+ROW()*0.618+'הדבקת לידים'!$F$2*1.3))*43758.5453,1)*1000000)*10000+ROW(),"")</f>
        <v/>
      </c>
      <c r="F3180" s="0" t="str">
        <f aca="false">IF(E3180="","",RANK(E3180,$E$2:$E$5001,1))</f>
        <v/>
      </c>
      <c r="G3180" s="0" t="n">
        <f aca="false">IF(A3180="",0,IF(SUMPRODUCT(--($A$2:$A$5001=A3180))&gt;1,1,0))</f>
        <v>0</v>
      </c>
      <c r="H3180" s="0" t="n">
        <f aca="false">ROW()-1</f>
        <v>3179</v>
      </c>
      <c r="I3180" s="0" t="str">
        <f aca="false">IF(OR(הגדרות!$E$6=0,H3180&gt;הגדרות!$E$5),"",IF(H3180-1&lt;הגדרות!$E$8*(הגדרות!$E$7+1),INT((H3180-1)/(הגדרות!$E$7+1)),הגדרות!$E$8+INT((H3180-1-הגדרות!$E$8*(הגדרות!$E$7+1))/הגדרות!$E$7)))</f>
        <v/>
      </c>
      <c r="J3180" s="0" t="str">
        <f aca="false">IF(I3180="","",IF(H3180-1&lt;הגדרות!$E$8*(הגדרות!$E$7+1),MOD(H3180-1,הגדרות!$E$7+1),MOD(H3180-1-הגדרות!$E$8*(הגדרות!$E$7+1),הגדרות!$E$7)))</f>
        <v/>
      </c>
      <c r="K3180" s="0" t="str">
        <f aca="false">IF(I3180="","",J3180*הגדרות!$E$6+I3180+1)</f>
        <v/>
      </c>
      <c r="L3180" s="0" t="str">
        <f aca="false">IF(K3180="","",MATCH(K3180,$F$2:$F$5001,0))</f>
        <v/>
      </c>
      <c r="M3180" s="0" t="str">
        <f aca="false">IF(I3180="","",INDEX(הגדרות!$A$2:$A$21,MOD(I3180+הגדרות!$E$9,הגדרות!$E$6)+1))</f>
        <v/>
      </c>
    </row>
    <row r="3181" customFormat="false" ht="15" hidden="false" customHeight="false" outlineLevel="0" collapsed="false">
      <c r="A3181" s="0" t="str">
        <f aca="false">IF('הדבקת לידים'!A3181="","",IF(ISNUMBER('הדבקת לידים'!A3181),IF(הגדרות!$E$2&gt;0,TEXT('הדבקת לידים'!A3181,REPT("0",הגדרות!$E$2)),TEXT('הדבקת לידים'!A3181,"0")),TRIM('הדבקת לידים'!A3181)))</f>
        <v/>
      </c>
      <c r="B3181" s="0" t="str">
        <f aca="false">IF('הדבקת לידים'!B3181="","",IF(ISNUMBER('הדבקת לידים'!B3181),IF(הגדרות!$E$3&gt;0,TEXT('הדבקת לידים'!B3181,REPT("0",הגדרות!$E$3)),TEXT('הדבקת לידים'!B3181,"0")),TRIM('הדבקת לידים'!B3181)))</f>
        <v/>
      </c>
      <c r="C3181" s="0" t="n">
        <f aca="false">IF(OR(A3181&lt;&gt;"",B3181&lt;&gt;""),1,0)</f>
        <v>0</v>
      </c>
      <c r="D3181" s="0" t="str">
        <f aca="false">IF(C3181=1,MOD(ABS(SIN(ROW()*12.9898+'הדבקת לידים'!$F$2*78.233+IFERROR(--RIGHT(A3181,6),LEN(A3181))*0.0137+IFERROR(--RIGHT(B3181,6),LEN(B3181))*0.0071))*43758.5453,1),"")</f>
        <v/>
      </c>
      <c r="E3181" s="0" t="str">
        <f aca="false">IF(C3181=1,INT(MOD(ABS(SIN(D3181*7919.123+ROW()*0.618+'הדבקת לידים'!$F$2*1.3))*43758.5453,1)*1000000)*10000+ROW(),"")</f>
        <v/>
      </c>
      <c r="F3181" s="0" t="str">
        <f aca="false">IF(E3181="","",RANK(E3181,$E$2:$E$5001,1))</f>
        <v/>
      </c>
      <c r="G3181" s="0" t="n">
        <f aca="false">IF(A3181="",0,IF(SUMPRODUCT(--($A$2:$A$5001=A3181))&gt;1,1,0))</f>
        <v>0</v>
      </c>
      <c r="H3181" s="0" t="n">
        <f aca="false">ROW()-1</f>
        <v>3180</v>
      </c>
      <c r="I3181" s="0" t="str">
        <f aca="false">IF(OR(הגדרות!$E$6=0,H3181&gt;הגדרות!$E$5),"",IF(H3181-1&lt;הגדרות!$E$8*(הגדרות!$E$7+1),INT((H3181-1)/(הגדרות!$E$7+1)),הגדרות!$E$8+INT((H3181-1-הגדרות!$E$8*(הגדרות!$E$7+1))/הגדרות!$E$7)))</f>
        <v/>
      </c>
      <c r="J3181" s="0" t="str">
        <f aca="false">IF(I3181="","",IF(H3181-1&lt;הגדרות!$E$8*(הגדרות!$E$7+1),MOD(H3181-1,הגדרות!$E$7+1),MOD(H3181-1-הגדרות!$E$8*(הגדרות!$E$7+1),הגדרות!$E$7)))</f>
        <v/>
      </c>
      <c r="K3181" s="0" t="str">
        <f aca="false">IF(I3181="","",J3181*הגדרות!$E$6+I3181+1)</f>
        <v/>
      </c>
      <c r="L3181" s="0" t="str">
        <f aca="false">IF(K3181="","",MATCH(K3181,$F$2:$F$5001,0))</f>
        <v/>
      </c>
      <c r="M3181" s="0" t="str">
        <f aca="false">IF(I3181="","",INDEX(הגדרות!$A$2:$A$21,MOD(I3181+הגדרות!$E$9,הגדרות!$E$6)+1))</f>
        <v/>
      </c>
    </row>
    <row r="3182" customFormat="false" ht="15" hidden="false" customHeight="false" outlineLevel="0" collapsed="false">
      <c r="A3182" s="0" t="str">
        <f aca="false">IF('הדבקת לידים'!A3182="","",IF(ISNUMBER('הדבקת לידים'!A3182),IF(הגדרות!$E$2&gt;0,TEXT('הדבקת לידים'!A3182,REPT("0",הגדרות!$E$2)),TEXT('הדבקת לידים'!A3182,"0")),TRIM('הדבקת לידים'!A3182)))</f>
        <v/>
      </c>
      <c r="B3182" s="0" t="str">
        <f aca="false">IF('הדבקת לידים'!B3182="","",IF(ISNUMBER('הדבקת לידים'!B3182),IF(הגדרות!$E$3&gt;0,TEXT('הדבקת לידים'!B3182,REPT("0",הגדרות!$E$3)),TEXT('הדבקת לידים'!B3182,"0")),TRIM('הדבקת לידים'!B3182)))</f>
        <v/>
      </c>
      <c r="C3182" s="0" t="n">
        <f aca="false">IF(OR(A3182&lt;&gt;"",B3182&lt;&gt;""),1,0)</f>
        <v>0</v>
      </c>
      <c r="D3182" s="0" t="str">
        <f aca="false">IF(C3182=1,MOD(ABS(SIN(ROW()*12.9898+'הדבקת לידים'!$F$2*78.233+IFERROR(--RIGHT(A3182,6),LEN(A3182))*0.0137+IFERROR(--RIGHT(B3182,6),LEN(B3182))*0.0071))*43758.5453,1),"")</f>
        <v/>
      </c>
      <c r="E3182" s="0" t="str">
        <f aca="false">IF(C3182=1,INT(MOD(ABS(SIN(D3182*7919.123+ROW()*0.618+'הדבקת לידים'!$F$2*1.3))*43758.5453,1)*1000000)*10000+ROW(),"")</f>
        <v/>
      </c>
      <c r="F3182" s="0" t="str">
        <f aca="false">IF(E3182="","",RANK(E3182,$E$2:$E$5001,1))</f>
        <v/>
      </c>
      <c r="G3182" s="0" t="n">
        <f aca="false">IF(A3182="",0,IF(SUMPRODUCT(--($A$2:$A$5001=A3182))&gt;1,1,0))</f>
        <v>0</v>
      </c>
      <c r="H3182" s="0" t="n">
        <f aca="false">ROW()-1</f>
        <v>3181</v>
      </c>
      <c r="I3182" s="0" t="str">
        <f aca="false">IF(OR(הגדרות!$E$6=0,H3182&gt;הגדרות!$E$5),"",IF(H3182-1&lt;הגדרות!$E$8*(הגדרות!$E$7+1),INT((H3182-1)/(הגדרות!$E$7+1)),הגדרות!$E$8+INT((H3182-1-הגדרות!$E$8*(הגדרות!$E$7+1))/הגדרות!$E$7)))</f>
        <v/>
      </c>
      <c r="J3182" s="0" t="str">
        <f aca="false">IF(I3182="","",IF(H3182-1&lt;הגדרות!$E$8*(הגדרות!$E$7+1),MOD(H3182-1,הגדרות!$E$7+1),MOD(H3182-1-הגדרות!$E$8*(הגדרות!$E$7+1),הגדרות!$E$7)))</f>
        <v/>
      </c>
      <c r="K3182" s="0" t="str">
        <f aca="false">IF(I3182="","",J3182*הגדרות!$E$6+I3182+1)</f>
        <v/>
      </c>
      <c r="L3182" s="0" t="str">
        <f aca="false">IF(K3182="","",MATCH(K3182,$F$2:$F$5001,0))</f>
        <v/>
      </c>
      <c r="M3182" s="0" t="str">
        <f aca="false">IF(I3182="","",INDEX(הגדרות!$A$2:$A$21,MOD(I3182+הגדרות!$E$9,הגדרות!$E$6)+1))</f>
        <v/>
      </c>
    </row>
    <row r="3183" customFormat="false" ht="15" hidden="false" customHeight="false" outlineLevel="0" collapsed="false">
      <c r="A3183" s="0" t="str">
        <f aca="false">IF('הדבקת לידים'!A3183="","",IF(ISNUMBER('הדבקת לידים'!A3183),IF(הגדרות!$E$2&gt;0,TEXT('הדבקת לידים'!A3183,REPT("0",הגדרות!$E$2)),TEXT('הדבקת לידים'!A3183,"0")),TRIM('הדבקת לידים'!A3183)))</f>
        <v/>
      </c>
      <c r="B3183" s="0" t="str">
        <f aca="false">IF('הדבקת לידים'!B3183="","",IF(ISNUMBER('הדבקת לידים'!B3183),IF(הגדרות!$E$3&gt;0,TEXT('הדבקת לידים'!B3183,REPT("0",הגדרות!$E$3)),TEXT('הדבקת לידים'!B3183,"0")),TRIM('הדבקת לידים'!B3183)))</f>
        <v/>
      </c>
      <c r="C3183" s="0" t="n">
        <f aca="false">IF(OR(A3183&lt;&gt;"",B3183&lt;&gt;""),1,0)</f>
        <v>0</v>
      </c>
      <c r="D3183" s="0" t="str">
        <f aca="false">IF(C3183=1,MOD(ABS(SIN(ROW()*12.9898+'הדבקת לידים'!$F$2*78.233+IFERROR(--RIGHT(A3183,6),LEN(A3183))*0.0137+IFERROR(--RIGHT(B3183,6),LEN(B3183))*0.0071))*43758.5453,1),"")</f>
        <v/>
      </c>
      <c r="E3183" s="0" t="str">
        <f aca="false">IF(C3183=1,INT(MOD(ABS(SIN(D3183*7919.123+ROW()*0.618+'הדבקת לידים'!$F$2*1.3))*43758.5453,1)*1000000)*10000+ROW(),"")</f>
        <v/>
      </c>
      <c r="F3183" s="0" t="str">
        <f aca="false">IF(E3183="","",RANK(E3183,$E$2:$E$5001,1))</f>
        <v/>
      </c>
      <c r="G3183" s="0" t="n">
        <f aca="false">IF(A3183="",0,IF(SUMPRODUCT(--($A$2:$A$5001=A3183))&gt;1,1,0))</f>
        <v>0</v>
      </c>
      <c r="H3183" s="0" t="n">
        <f aca="false">ROW()-1</f>
        <v>3182</v>
      </c>
      <c r="I3183" s="0" t="str">
        <f aca="false">IF(OR(הגדרות!$E$6=0,H3183&gt;הגדרות!$E$5),"",IF(H3183-1&lt;הגדרות!$E$8*(הגדרות!$E$7+1),INT((H3183-1)/(הגדרות!$E$7+1)),הגדרות!$E$8+INT((H3183-1-הגדרות!$E$8*(הגדרות!$E$7+1))/הגדרות!$E$7)))</f>
        <v/>
      </c>
      <c r="J3183" s="0" t="str">
        <f aca="false">IF(I3183="","",IF(H3183-1&lt;הגדרות!$E$8*(הגדרות!$E$7+1),MOD(H3183-1,הגדרות!$E$7+1),MOD(H3183-1-הגדרות!$E$8*(הגדרות!$E$7+1),הגדרות!$E$7)))</f>
        <v/>
      </c>
      <c r="K3183" s="0" t="str">
        <f aca="false">IF(I3183="","",J3183*הגדרות!$E$6+I3183+1)</f>
        <v/>
      </c>
      <c r="L3183" s="0" t="str">
        <f aca="false">IF(K3183="","",MATCH(K3183,$F$2:$F$5001,0))</f>
        <v/>
      </c>
      <c r="M3183" s="0" t="str">
        <f aca="false">IF(I3183="","",INDEX(הגדרות!$A$2:$A$21,MOD(I3183+הגדרות!$E$9,הגדרות!$E$6)+1))</f>
        <v/>
      </c>
    </row>
    <row r="3184" customFormat="false" ht="15" hidden="false" customHeight="false" outlineLevel="0" collapsed="false">
      <c r="A3184" s="0" t="str">
        <f aca="false">IF('הדבקת לידים'!A3184="","",IF(ISNUMBER('הדבקת לידים'!A3184),IF(הגדרות!$E$2&gt;0,TEXT('הדבקת לידים'!A3184,REPT("0",הגדרות!$E$2)),TEXT('הדבקת לידים'!A3184,"0")),TRIM('הדבקת לידים'!A3184)))</f>
        <v/>
      </c>
      <c r="B3184" s="0" t="str">
        <f aca="false">IF('הדבקת לידים'!B3184="","",IF(ISNUMBER('הדבקת לידים'!B3184),IF(הגדרות!$E$3&gt;0,TEXT('הדבקת לידים'!B3184,REPT("0",הגדרות!$E$3)),TEXT('הדבקת לידים'!B3184,"0")),TRIM('הדבקת לידים'!B3184)))</f>
        <v/>
      </c>
      <c r="C3184" s="0" t="n">
        <f aca="false">IF(OR(A3184&lt;&gt;"",B3184&lt;&gt;""),1,0)</f>
        <v>0</v>
      </c>
      <c r="D3184" s="0" t="str">
        <f aca="false">IF(C3184=1,MOD(ABS(SIN(ROW()*12.9898+'הדבקת לידים'!$F$2*78.233+IFERROR(--RIGHT(A3184,6),LEN(A3184))*0.0137+IFERROR(--RIGHT(B3184,6),LEN(B3184))*0.0071))*43758.5453,1),"")</f>
        <v/>
      </c>
      <c r="E3184" s="0" t="str">
        <f aca="false">IF(C3184=1,INT(MOD(ABS(SIN(D3184*7919.123+ROW()*0.618+'הדבקת לידים'!$F$2*1.3))*43758.5453,1)*1000000)*10000+ROW(),"")</f>
        <v/>
      </c>
      <c r="F3184" s="0" t="str">
        <f aca="false">IF(E3184="","",RANK(E3184,$E$2:$E$5001,1))</f>
        <v/>
      </c>
      <c r="G3184" s="0" t="n">
        <f aca="false">IF(A3184="",0,IF(SUMPRODUCT(--($A$2:$A$5001=A3184))&gt;1,1,0))</f>
        <v>0</v>
      </c>
      <c r="H3184" s="0" t="n">
        <f aca="false">ROW()-1</f>
        <v>3183</v>
      </c>
      <c r="I3184" s="0" t="str">
        <f aca="false">IF(OR(הגדרות!$E$6=0,H3184&gt;הגדרות!$E$5),"",IF(H3184-1&lt;הגדרות!$E$8*(הגדרות!$E$7+1),INT((H3184-1)/(הגדרות!$E$7+1)),הגדרות!$E$8+INT((H3184-1-הגדרות!$E$8*(הגדרות!$E$7+1))/הגדרות!$E$7)))</f>
        <v/>
      </c>
      <c r="J3184" s="0" t="str">
        <f aca="false">IF(I3184="","",IF(H3184-1&lt;הגדרות!$E$8*(הגדרות!$E$7+1),MOD(H3184-1,הגדרות!$E$7+1),MOD(H3184-1-הגדרות!$E$8*(הגדרות!$E$7+1),הגדרות!$E$7)))</f>
        <v/>
      </c>
      <c r="K3184" s="0" t="str">
        <f aca="false">IF(I3184="","",J3184*הגדרות!$E$6+I3184+1)</f>
        <v/>
      </c>
      <c r="L3184" s="0" t="str">
        <f aca="false">IF(K3184="","",MATCH(K3184,$F$2:$F$5001,0))</f>
        <v/>
      </c>
      <c r="M3184" s="0" t="str">
        <f aca="false">IF(I3184="","",INDEX(הגדרות!$A$2:$A$21,MOD(I3184+הגדרות!$E$9,הגדרות!$E$6)+1))</f>
        <v/>
      </c>
    </row>
    <row r="3185" customFormat="false" ht="15" hidden="false" customHeight="false" outlineLevel="0" collapsed="false">
      <c r="A3185" s="0" t="str">
        <f aca="false">IF('הדבקת לידים'!A3185="","",IF(ISNUMBER('הדבקת לידים'!A3185),IF(הגדרות!$E$2&gt;0,TEXT('הדבקת לידים'!A3185,REPT("0",הגדרות!$E$2)),TEXT('הדבקת לידים'!A3185,"0")),TRIM('הדבקת לידים'!A3185)))</f>
        <v/>
      </c>
      <c r="B3185" s="0" t="str">
        <f aca="false">IF('הדבקת לידים'!B3185="","",IF(ISNUMBER('הדבקת לידים'!B3185),IF(הגדרות!$E$3&gt;0,TEXT('הדבקת לידים'!B3185,REPT("0",הגדרות!$E$3)),TEXT('הדבקת לידים'!B3185,"0")),TRIM('הדבקת לידים'!B3185)))</f>
        <v/>
      </c>
      <c r="C3185" s="0" t="n">
        <f aca="false">IF(OR(A3185&lt;&gt;"",B3185&lt;&gt;""),1,0)</f>
        <v>0</v>
      </c>
      <c r="D3185" s="0" t="str">
        <f aca="false">IF(C3185=1,MOD(ABS(SIN(ROW()*12.9898+'הדבקת לידים'!$F$2*78.233+IFERROR(--RIGHT(A3185,6),LEN(A3185))*0.0137+IFERROR(--RIGHT(B3185,6),LEN(B3185))*0.0071))*43758.5453,1),"")</f>
        <v/>
      </c>
      <c r="E3185" s="0" t="str">
        <f aca="false">IF(C3185=1,INT(MOD(ABS(SIN(D3185*7919.123+ROW()*0.618+'הדבקת לידים'!$F$2*1.3))*43758.5453,1)*1000000)*10000+ROW(),"")</f>
        <v/>
      </c>
      <c r="F3185" s="0" t="str">
        <f aca="false">IF(E3185="","",RANK(E3185,$E$2:$E$5001,1))</f>
        <v/>
      </c>
      <c r="G3185" s="0" t="n">
        <f aca="false">IF(A3185="",0,IF(SUMPRODUCT(--($A$2:$A$5001=A3185))&gt;1,1,0))</f>
        <v>0</v>
      </c>
      <c r="H3185" s="0" t="n">
        <f aca="false">ROW()-1</f>
        <v>3184</v>
      </c>
      <c r="I3185" s="0" t="str">
        <f aca="false">IF(OR(הגדרות!$E$6=0,H3185&gt;הגדרות!$E$5),"",IF(H3185-1&lt;הגדרות!$E$8*(הגדרות!$E$7+1),INT((H3185-1)/(הגדרות!$E$7+1)),הגדרות!$E$8+INT((H3185-1-הגדרות!$E$8*(הגדרות!$E$7+1))/הגדרות!$E$7)))</f>
        <v/>
      </c>
      <c r="J3185" s="0" t="str">
        <f aca="false">IF(I3185="","",IF(H3185-1&lt;הגדרות!$E$8*(הגדרות!$E$7+1),MOD(H3185-1,הגדרות!$E$7+1),MOD(H3185-1-הגדרות!$E$8*(הגדרות!$E$7+1),הגדרות!$E$7)))</f>
        <v/>
      </c>
      <c r="K3185" s="0" t="str">
        <f aca="false">IF(I3185="","",J3185*הגדרות!$E$6+I3185+1)</f>
        <v/>
      </c>
      <c r="L3185" s="0" t="str">
        <f aca="false">IF(K3185="","",MATCH(K3185,$F$2:$F$5001,0))</f>
        <v/>
      </c>
      <c r="M3185" s="0" t="str">
        <f aca="false">IF(I3185="","",INDEX(הגדרות!$A$2:$A$21,MOD(I3185+הגדרות!$E$9,הגדרות!$E$6)+1))</f>
        <v/>
      </c>
    </row>
    <row r="3186" customFormat="false" ht="15" hidden="false" customHeight="false" outlineLevel="0" collapsed="false">
      <c r="A3186" s="0" t="str">
        <f aca="false">IF('הדבקת לידים'!A3186="","",IF(ISNUMBER('הדבקת לידים'!A3186),IF(הגדרות!$E$2&gt;0,TEXT('הדבקת לידים'!A3186,REPT("0",הגדרות!$E$2)),TEXT('הדבקת לידים'!A3186,"0")),TRIM('הדבקת לידים'!A3186)))</f>
        <v/>
      </c>
      <c r="B3186" s="0" t="str">
        <f aca="false">IF('הדבקת לידים'!B3186="","",IF(ISNUMBER('הדבקת לידים'!B3186),IF(הגדרות!$E$3&gt;0,TEXT('הדבקת לידים'!B3186,REPT("0",הגדרות!$E$3)),TEXT('הדבקת לידים'!B3186,"0")),TRIM('הדבקת לידים'!B3186)))</f>
        <v/>
      </c>
      <c r="C3186" s="0" t="n">
        <f aca="false">IF(OR(A3186&lt;&gt;"",B3186&lt;&gt;""),1,0)</f>
        <v>0</v>
      </c>
      <c r="D3186" s="0" t="str">
        <f aca="false">IF(C3186=1,MOD(ABS(SIN(ROW()*12.9898+'הדבקת לידים'!$F$2*78.233+IFERROR(--RIGHT(A3186,6),LEN(A3186))*0.0137+IFERROR(--RIGHT(B3186,6),LEN(B3186))*0.0071))*43758.5453,1),"")</f>
        <v/>
      </c>
      <c r="E3186" s="0" t="str">
        <f aca="false">IF(C3186=1,INT(MOD(ABS(SIN(D3186*7919.123+ROW()*0.618+'הדבקת לידים'!$F$2*1.3))*43758.5453,1)*1000000)*10000+ROW(),"")</f>
        <v/>
      </c>
      <c r="F3186" s="0" t="str">
        <f aca="false">IF(E3186="","",RANK(E3186,$E$2:$E$5001,1))</f>
        <v/>
      </c>
      <c r="G3186" s="0" t="n">
        <f aca="false">IF(A3186="",0,IF(SUMPRODUCT(--($A$2:$A$5001=A3186))&gt;1,1,0))</f>
        <v>0</v>
      </c>
      <c r="H3186" s="0" t="n">
        <f aca="false">ROW()-1</f>
        <v>3185</v>
      </c>
      <c r="I3186" s="0" t="str">
        <f aca="false">IF(OR(הגדרות!$E$6=0,H3186&gt;הגדרות!$E$5),"",IF(H3186-1&lt;הגדרות!$E$8*(הגדרות!$E$7+1),INT((H3186-1)/(הגדרות!$E$7+1)),הגדרות!$E$8+INT((H3186-1-הגדרות!$E$8*(הגדרות!$E$7+1))/הגדרות!$E$7)))</f>
        <v/>
      </c>
      <c r="J3186" s="0" t="str">
        <f aca="false">IF(I3186="","",IF(H3186-1&lt;הגדרות!$E$8*(הגדרות!$E$7+1),MOD(H3186-1,הגדרות!$E$7+1),MOD(H3186-1-הגדרות!$E$8*(הגדרות!$E$7+1),הגדרות!$E$7)))</f>
        <v/>
      </c>
      <c r="K3186" s="0" t="str">
        <f aca="false">IF(I3186="","",J3186*הגדרות!$E$6+I3186+1)</f>
        <v/>
      </c>
      <c r="L3186" s="0" t="str">
        <f aca="false">IF(K3186="","",MATCH(K3186,$F$2:$F$5001,0))</f>
        <v/>
      </c>
      <c r="M3186" s="0" t="str">
        <f aca="false">IF(I3186="","",INDEX(הגדרות!$A$2:$A$21,MOD(I3186+הגדרות!$E$9,הגדרות!$E$6)+1))</f>
        <v/>
      </c>
    </row>
    <row r="3187" customFormat="false" ht="15" hidden="false" customHeight="false" outlineLevel="0" collapsed="false">
      <c r="A3187" s="0" t="str">
        <f aca="false">IF('הדבקת לידים'!A3187="","",IF(ISNUMBER('הדבקת לידים'!A3187),IF(הגדרות!$E$2&gt;0,TEXT('הדבקת לידים'!A3187,REPT("0",הגדרות!$E$2)),TEXT('הדבקת לידים'!A3187,"0")),TRIM('הדבקת לידים'!A3187)))</f>
        <v/>
      </c>
      <c r="B3187" s="0" t="str">
        <f aca="false">IF('הדבקת לידים'!B3187="","",IF(ISNUMBER('הדבקת לידים'!B3187),IF(הגדרות!$E$3&gt;0,TEXT('הדבקת לידים'!B3187,REPT("0",הגדרות!$E$3)),TEXT('הדבקת לידים'!B3187,"0")),TRIM('הדבקת לידים'!B3187)))</f>
        <v/>
      </c>
      <c r="C3187" s="0" t="n">
        <f aca="false">IF(OR(A3187&lt;&gt;"",B3187&lt;&gt;""),1,0)</f>
        <v>0</v>
      </c>
      <c r="D3187" s="0" t="str">
        <f aca="false">IF(C3187=1,MOD(ABS(SIN(ROW()*12.9898+'הדבקת לידים'!$F$2*78.233+IFERROR(--RIGHT(A3187,6),LEN(A3187))*0.0137+IFERROR(--RIGHT(B3187,6),LEN(B3187))*0.0071))*43758.5453,1),"")</f>
        <v/>
      </c>
      <c r="E3187" s="0" t="str">
        <f aca="false">IF(C3187=1,INT(MOD(ABS(SIN(D3187*7919.123+ROW()*0.618+'הדבקת לידים'!$F$2*1.3))*43758.5453,1)*1000000)*10000+ROW(),"")</f>
        <v/>
      </c>
      <c r="F3187" s="0" t="str">
        <f aca="false">IF(E3187="","",RANK(E3187,$E$2:$E$5001,1))</f>
        <v/>
      </c>
      <c r="G3187" s="0" t="n">
        <f aca="false">IF(A3187="",0,IF(SUMPRODUCT(--($A$2:$A$5001=A3187))&gt;1,1,0))</f>
        <v>0</v>
      </c>
      <c r="H3187" s="0" t="n">
        <f aca="false">ROW()-1</f>
        <v>3186</v>
      </c>
      <c r="I3187" s="0" t="str">
        <f aca="false">IF(OR(הגדרות!$E$6=0,H3187&gt;הגדרות!$E$5),"",IF(H3187-1&lt;הגדרות!$E$8*(הגדרות!$E$7+1),INT((H3187-1)/(הגדרות!$E$7+1)),הגדרות!$E$8+INT((H3187-1-הגדרות!$E$8*(הגדרות!$E$7+1))/הגדרות!$E$7)))</f>
        <v/>
      </c>
      <c r="J3187" s="0" t="str">
        <f aca="false">IF(I3187="","",IF(H3187-1&lt;הגדרות!$E$8*(הגדרות!$E$7+1),MOD(H3187-1,הגדרות!$E$7+1),MOD(H3187-1-הגדרות!$E$8*(הגדרות!$E$7+1),הגדרות!$E$7)))</f>
        <v/>
      </c>
      <c r="K3187" s="0" t="str">
        <f aca="false">IF(I3187="","",J3187*הגדרות!$E$6+I3187+1)</f>
        <v/>
      </c>
      <c r="L3187" s="0" t="str">
        <f aca="false">IF(K3187="","",MATCH(K3187,$F$2:$F$5001,0))</f>
        <v/>
      </c>
      <c r="M3187" s="0" t="str">
        <f aca="false">IF(I3187="","",INDEX(הגדרות!$A$2:$A$21,MOD(I3187+הגדרות!$E$9,הגדרות!$E$6)+1))</f>
        <v/>
      </c>
    </row>
    <row r="3188" customFormat="false" ht="15" hidden="false" customHeight="false" outlineLevel="0" collapsed="false">
      <c r="A3188" s="0" t="str">
        <f aca="false">IF('הדבקת לידים'!A3188="","",IF(ISNUMBER('הדבקת לידים'!A3188),IF(הגדרות!$E$2&gt;0,TEXT('הדבקת לידים'!A3188,REPT("0",הגדרות!$E$2)),TEXT('הדבקת לידים'!A3188,"0")),TRIM('הדבקת לידים'!A3188)))</f>
        <v/>
      </c>
      <c r="B3188" s="0" t="str">
        <f aca="false">IF('הדבקת לידים'!B3188="","",IF(ISNUMBER('הדבקת לידים'!B3188),IF(הגדרות!$E$3&gt;0,TEXT('הדבקת לידים'!B3188,REPT("0",הגדרות!$E$3)),TEXT('הדבקת לידים'!B3188,"0")),TRIM('הדבקת לידים'!B3188)))</f>
        <v/>
      </c>
      <c r="C3188" s="0" t="n">
        <f aca="false">IF(OR(A3188&lt;&gt;"",B3188&lt;&gt;""),1,0)</f>
        <v>0</v>
      </c>
      <c r="D3188" s="0" t="str">
        <f aca="false">IF(C3188=1,MOD(ABS(SIN(ROW()*12.9898+'הדבקת לידים'!$F$2*78.233+IFERROR(--RIGHT(A3188,6),LEN(A3188))*0.0137+IFERROR(--RIGHT(B3188,6),LEN(B3188))*0.0071))*43758.5453,1),"")</f>
        <v/>
      </c>
      <c r="E3188" s="0" t="str">
        <f aca="false">IF(C3188=1,INT(MOD(ABS(SIN(D3188*7919.123+ROW()*0.618+'הדבקת לידים'!$F$2*1.3))*43758.5453,1)*1000000)*10000+ROW(),"")</f>
        <v/>
      </c>
      <c r="F3188" s="0" t="str">
        <f aca="false">IF(E3188="","",RANK(E3188,$E$2:$E$5001,1))</f>
        <v/>
      </c>
      <c r="G3188" s="0" t="n">
        <f aca="false">IF(A3188="",0,IF(SUMPRODUCT(--($A$2:$A$5001=A3188))&gt;1,1,0))</f>
        <v>0</v>
      </c>
      <c r="H3188" s="0" t="n">
        <f aca="false">ROW()-1</f>
        <v>3187</v>
      </c>
      <c r="I3188" s="0" t="str">
        <f aca="false">IF(OR(הגדרות!$E$6=0,H3188&gt;הגדרות!$E$5),"",IF(H3188-1&lt;הגדרות!$E$8*(הגדרות!$E$7+1),INT((H3188-1)/(הגדרות!$E$7+1)),הגדרות!$E$8+INT((H3188-1-הגדרות!$E$8*(הגדרות!$E$7+1))/הגדרות!$E$7)))</f>
        <v/>
      </c>
      <c r="J3188" s="0" t="str">
        <f aca="false">IF(I3188="","",IF(H3188-1&lt;הגדרות!$E$8*(הגדרות!$E$7+1),MOD(H3188-1,הגדרות!$E$7+1),MOD(H3188-1-הגדרות!$E$8*(הגדרות!$E$7+1),הגדרות!$E$7)))</f>
        <v/>
      </c>
      <c r="K3188" s="0" t="str">
        <f aca="false">IF(I3188="","",J3188*הגדרות!$E$6+I3188+1)</f>
        <v/>
      </c>
      <c r="L3188" s="0" t="str">
        <f aca="false">IF(K3188="","",MATCH(K3188,$F$2:$F$5001,0))</f>
        <v/>
      </c>
      <c r="M3188" s="0" t="str">
        <f aca="false">IF(I3188="","",INDEX(הגדרות!$A$2:$A$21,MOD(I3188+הגדרות!$E$9,הגדרות!$E$6)+1))</f>
        <v/>
      </c>
    </row>
    <row r="3189" customFormat="false" ht="15" hidden="false" customHeight="false" outlineLevel="0" collapsed="false">
      <c r="A3189" s="0" t="str">
        <f aca="false">IF('הדבקת לידים'!A3189="","",IF(ISNUMBER('הדבקת לידים'!A3189),IF(הגדרות!$E$2&gt;0,TEXT('הדבקת לידים'!A3189,REPT("0",הגדרות!$E$2)),TEXT('הדבקת לידים'!A3189,"0")),TRIM('הדבקת לידים'!A3189)))</f>
        <v/>
      </c>
      <c r="B3189" s="0" t="str">
        <f aca="false">IF('הדבקת לידים'!B3189="","",IF(ISNUMBER('הדבקת לידים'!B3189),IF(הגדרות!$E$3&gt;0,TEXT('הדבקת לידים'!B3189,REPT("0",הגדרות!$E$3)),TEXT('הדבקת לידים'!B3189,"0")),TRIM('הדבקת לידים'!B3189)))</f>
        <v/>
      </c>
      <c r="C3189" s="0" t="n">
        <f aca="false">IF(OR(A3189&lt;&gt;"",B3189&lt;&gt;""),1,0)</f>
        <v>0</v>
      </c>
      <c r="D3189" s="0" t="str">
        <f aca="false">IF(C3189=1,MOD(ABS(SIN(ROW()*12.9898+'הדבקת לידים'!$F$2*78.233+IFERROR(--RIGHT(A3189,6),LEN(A3189))*0.0137+IFERROR(--RIGHT(B3189,6),LEN(B3189))*0.0071))*43758.5453,1),"")</f>
        <v/>
      </c>
      <c r="E3189" s="0" t="str">
        <f aca="false">IF(C3189=1,INT(MOD(ABS(SIN(D3189*7919.123+ROW()*0.618+'הדבקת לידים'!$F$2*1.3))*43758.5453,1)*1000000)*10000+ROW(),"")</f>
        <v/>
      </c>
      <c r="F3189" s="0" t="str">
        <f aca="false">IF(E3189="","",RANK(E3189,$E$2:$E$5001,1))</f>
        <v/>
      </c>
      <c r="G3189" s="0" t="n">
        <f aca="false">IF(A3189="",0,IF(SUMPRODUCT(--($A$2:$A$5001=A3189))&gt;1,1,0))</f>
        <v>0</v>
      </c>
      <c r="H3189" s="0" t="n">
        <f aca="false">ROW()-1</f>
        <v>3188</v>
      </c>
      <c r="I3189" s="0" t="str">
        <f aca="false">IF(OR(הגדרות!$E$6=0,H3189&gt;הגדרות!$E$5),"",IF(H3189-1&lt;הגדרות!$E$8*(הגדרות!$E$7+1),INT((H3189-1)/(הגדרות!$E$7+1)),הגדרות!$E$8+INT((H3189-1-הגדרות!$E$8*(הגדרות!$E$7+1))/הגדרות!$E$7)))</f>
        <v/>
      </c>
      <c r="J3189" s="0" t="str">
        <f aca="false">IF(I3189="","",IF(H3189-1&lt;הגדרות!$E$8*(הגדרות!$E$7+1),MOD(H3189-1,הגדרות!$E$7+1),MOD(H3189-1-הגדרות!$E$8*(הגדרות!$E$7+1),הגדרות!$E$7)))</f>
        <v/>
      </c>
      <c r="K3189" s="0" t="str">
        <f aca="false">IF(I3189="","",J3189*הגדרות!$E$6+I3189+1)</f>
        <v/>
      </c>
      <c r="L3189" s="0" t="str">
        <f aca="false">IF(K3189="","",MATCH(K3189,$F$2:$F$5001,0))</f>
        <v/>
      </c>
      <c r="M3189" s="0" t="str">
        <f aca="false">IF(I3189="","",INDEX(הגדרות!$A$2:$A$21,MOD(I3189+הגדרות!$E$9,הגדרות!$E$6)+1))</f>
        <v/>
      </c>
    </row>
    <row r="3190" customFormat="false" ht="15" hidden="false" customHeight="false" outlineLevel="0" collapsed="false">
      <c r="A3190" s="0" t="str">
        <f aca="false">IF('הדבקת לידים'!A3190="","",IF(ISNUMBER('הדבקת לידים'!A3190),IF(הגדרות!$E$2&gt;0,TEXT('הדבקת לידים'!A3190,REPT("0",הגדרות!$E$2)),TEXT('הדבקת לידים'!A3190,"0")),TRIM('הדבקת לידים'!A3190)))</f>
        <v/>
      </c>
      <c r="B3190" s="0" t="str">
        <f aca="false">IF('הדבקת לידים'!B3190="","",IF(ISNUMBER('הדבקת לידים'!B3190),IF(הגדרות!$E$3&gt;0,TEXT('הדבקת לידים'!B3190,REPT("0",הגדרות!$E$3)),TEXT('הדבקת לידים'!B3190,"0")),TRIM('הדבקת לידים'!B3190)))</f>
        <v/>
      </c>
      <c r="C3190" s="0" t="n">
        <f aca="false">IF(OR(A3190&lt;&gt;"",B3190&lt;&gt;""),1,0)</f>
        <v>0</v>
      </c>
      <c r="D3190" s="0" t="str">
        <f aca="false">IF(C3190=1,MOD(ABS(SIN(ROW()*12.9898+'הדבקת לידים'!$F$2*78.233+IFERROR(--RIGHT(A3190,6),LEN(A3190))*0.0137+IFERROR(--RIGHT(B3190,6),LEN(B3190))*0.0071))*43758.5453,1),"")</f>
        <v/>
      </c>
      <c r="E3190" s="0" t="str">
        <f aca="false">IF(C3190=1,INT(MOD(ABS(SIN(D3190*7919.123+ROW()*0.618+'הדבקת לידים'!$F$2*1.3))*43758.5453,1)*1000000)*10000+ROW(),"")</f>
        <v/>
      </c>
      <c r="F3190" s="0" t="str">
        <f aca="false">IF(E3190="","",RANK(E3190,$E$2:$E$5001,1))</f>
        <v/>
      </c>
      <c r="G3190" s="0" t="n">
        <f aca="false">IF(A3190="",0,IF(SUMPRODUCT(--($A$2:$A$5001=A3190))&gt;1,1,0))</f>
        <v>0</v>
      </c>
      <c r="H3190" s="0" t="n">
        <f aca="false">ROW()-1</f>
        <v>3189</v>
      </c>
      <c r="I3190" s="0" t="str">
        <f aca="false">IF(OR(הגדרות!$E$6=0,H3190&gt;הגדרות!$E$5),"",IF(H3190-1&lt;הגדרות!$E$8*(הגדרות!$E$7+1),INT((H3190-1)/(הגדרות!$E$7+1)),הגדרות!$E$8+INT((H3190-1-הגדרות!$E$8*(הגדרות!$E$7+1))/הגדרות!$E$7)))</f>
        <v/>
      </c>
      <c r="J3190" s="0" t="str">
        <f aca="false">IF(I3190="","",IF(H3190-1&lt;הגדרות!$E$8*(הגדרות!$E$7+1),MOD(H3190-1,הגדרות!$E$7+1),MOD(H3190-1-הגדרות!$E$8*(הגדרות!$E$7+1),הגדרות!$E$7)))</f>
        <v/>
      </c>
      <c r="K3190" s="0" t="str">
        <f aca="false">IF(I3190="","",J3190*הגדרות!$E$6+I3190+1)</f>
        <v/>
      </c>
      <c r="L3190" s="0" t="str">
        <f aca="false">IF(K3190="","",MATCH(K3190,$F$2:$F$5001,0))</f>
        <v/>
      </c>
      <c r="M3190" s="0" t="str">
        <f aca="false">IF(I3190="","",INDEX(הגדרות!$A$2:$A$21,MOD(I3190+הגדרות!$E$9,הגדרות!$E$6)+1))</f>
        <v/>
      </c>
    </row>
    <row r="3191" customFormat="false" ht="15" hidden="false" customHeight="false" outlineLevel="0" collapsed="false">
      <c r="A3191" s="0" t="str">
        <f aca="false">IF('הדבקת לידים'!A3191="","",IF(ISNUMBER('הדבקת לידים'!A3191),IF(הגדרות!$E$2&gt;0,TEXT('הדבקת לידים'!A3191,REPT("0",הגדרות!$E$2)),TEXT('הדבקת לידים'!A3191,"0")),TRIM('הדבקת לידים'!A3191)))</f>
        <v/>
      </c>
      <c r="B3191" s="0" t="str">
        <f aca="false">IF('הדבקת לידים'!B3191="","",IF(ISNUMBER('הדבקת לידים'!B3191),IF(הגדרות!$E$3&gt;0,TEXT('הדבקת לידים'!B3191,REPT("0",הגדרות!$E$3)),TEXT('הדבקת לידים'!B3191,"0")),TRIM('הדבקת לידים'!B3191)))</f>
        <v/>
      </c>
      <c r="C3191" s="0" t="n">
        <f aca="false">IF(OR(A3191&lt;&gt;"",B3191&lt;&gt;""),1,0)</f>
        <v>0</v>
      </c>
      <c r="D3191" s="0" t="str">
        <f aca="false">IF(C3191=1,MOD(ABS(SIN(ROW()*12.9898+'הדבקת לידים'!$F$2*78.233+IFERROR(--RIGHT(A3191,6),LEN(A3191))*0.0137+IFERROR(--RIGHT(B3191,6),LEN(B3191))*0.0071))*43758.5453,1),"")</f>
        <v/>
      </c>
      <c r="E3191" s="0" t="str">
        <f aca="false">IF(C3191=1,INT(MOD(ABS(SIN(D3191*7919.123+ROW()*0.618+'הדבקת לידים'!$F$2*1.3))*43758.5453,1)*1000000)*10000+ROW(),"")</f>
        <v/>
      </c>
      <c r="F3191" s="0" t="str">
        <f aca="false">IF(E3191="","",RANK(E3191,$E$2:$E$5001,1))</f>
        <v/>
      </c>
      <c r="G3191" s="0" t="n">
        <f aca="false">IF(A3191="",0,IF(SUMPRODUCT(--($A$2:$A$5001=A3191))&gt;1,1,0))</f>
        <v>0</v>
      </c>
      <c r="H3191" s="0" t="n">
        <f aca="false">ROW()-1</f>
        <v>3190</v>
      </c>
      <c r="I3191" s="0" t="str">
        <f aca="false">IF(OR(הגדרות!$E$6=0,H3191&gt;הגדרות!$E$5),"",IF(H3191-1&lt;הגדרות!$E$8*(הגדרות!$E$7+1),INT((H3191-1)/(הגדרות!$E$7+1)),הגדרות!$E$8+INT((H3191-1-הגדרות!$E$8*(הגדרות!$E$7+1))/הגדרות!$E$7)))</f>
        <v/>
      </c>
      <c r="J3191" s="0" t="str">
        <f aca="false">IF(I3191="","",IF(H3191-1&lt;הגדרות!$E$8*(הגדרות!$E$7+1),MOD(H3191-1,הגדרות!$E$7+1),MOD(H3191-1-הגדרות!$E$8*(הגדרות!$E$7+1),הגדרות!$E$7)))</f>
        <v/>
      </c>
      <c r="K3191" s="0" t="str">
        <f aca="false">IF(I3191="","",J3191*הגדרות!$E$6+I3191+1)</f>
        <v/>
      </c>
      <c r="L3191" s="0" t="str">
        <f aca="false">IF(K3191="","",MATCH(K3191,$F$2:$F$5001,0))</f>
        <v/>
      </c>
      <c r="M3191" s="0" t="str">
        <f aca="false">IF(I3191="","",INDEX(הגדרות!$A$2:$A$21,MOD(I3191+הגדרות!$E$9,הגדרות!$E$6)+1))</f>
        <v/>
      </c>
    </row>
    <row r="3192" customFormat="false" ht="15" hidden="false" customHeight="false" outlineLevel="0" collapsed="false">
      <c r="A3192" s="0" t="str">
        <f aca="false">IF('הדבקת לידים'!A3192="","",IF(ISNUMBER('הדבקת לידים'!A3192),IF(הגדרות!$E$2&gt;0,TEXT('הדבקת לידים'!A3192,REPT("0",הגדרות!$E$2)),TEXT('הדבקת לידים'!A3192,"0")),TRIM('הדבקת לידים'!A3192)))</f>
        <v/>
      </c>
      <c r="B3192" s="0" t="str">
        <f aca="false">IF('הדבקת לידים'!B3192="","",IF(ISNUMBER('הדבקת לידים'!B3192),IF(הגדרות!$E$3&gt;0,TEXT('הדבקת לידים'!B3192,REPT("0",הגדרות!$E$3)),TEXT('הדבקת לידים'!B3192,"0")),TRIM('הדבקת לידים'!B3192)))</f>
        <v/>
      </c>
      <c r="C3192" s="0" t="n">
        <f aca="false">IF(OR(A3192&lt;&gt;"",B3192&lt;&gt;""),1,0)</f>
        <v>0</v>
      </c>
      <c r="D3192" s="0" t="str">
        <f aca="false">IF(C3192=1,MOD(ABS(SIN(ROW()*12.9898+'הדבקת לידים'!$F$2*78.233+IFERROR(--RIGHT(A3192,6),LEN(A3192))*0.0137+IFERROR(--RIGHT(B3192,6),LEN(B3192))*0.0071))*43758.5453,1),"")</f>
        <v/>
      </c>
      <c r="E3192" s="0" t="str">
        <f aca="false">IF(C3192=1,INT(MOD(ABS(SIN(D3192*7919.123+ROW()*0.618+'הדבקת לידים'!$F$2*1.3))*43758.5453,1)*1000000)*10000+ROW(),"")</f>
        <v/>
      </c>
      <c r="F3192" s="0" t="str">
        <f aca="false">IF(E3192="","",RANK(E3192,$E$2:$E$5001,1))</f>
        <v/>
      </c>
      <c r="G3192" s="0" t="n">
        <f aca="false">IF(A3192="",0,IF(SUMPRODUCT(--($A$2:$A$5001=A3192))&gt;1,1,0))</f>
        <v>0</v>
      </c>
      <c r="H3192" s="0" t="n">
        <f aca="false">ROW()-1</f>
        <v>3191</v>
      </c>
      <c r="I3192" s="0" t="str">
        <f aca="false">IF(OR(הגדרות!$E$6=0,H3192&gt;הגדרות!$E$5),"",IF(H3192-1&lt;הגדרות!$E$8*(הגדרות!$E$7+1),INT((H3192-1)/(הגדרות!$E$7+1)),הגדרות!$E$8+INT((H3192-1-הגדרות!$E$8*(הגדרות!$E$7+1))/הגדרות!$E$7)))</f>
        <v/>
      </c>
      <c r="J3192" s="0" t="str">
        <f aca="false">IF(I3192="","",IF(H3192-1&lt;הגדרות!$E$8*(הגדרות!$E$7+1),MOD(H3192-1,הגדרות!$E$7+1),MOD(H3192-1-הגדרות!$E$8*(הגדרות!$E$7+1),הגדרות!$E$7)))</f>
        <v/>
      </c>
      <c r="K3192" s="0" t="str">
        <f aca="false">IF(I3192="","",J3192*הגדרות!$E$6+I3192+1)</f>
        <v/>
      </c>
      <c r="L3192" s="0" t="str">
        <f aca="false">IF(K3192="","",MATCH(K3192,$F$2:$F$5001,0))</f>
        <v/>
      </c>
      <c r="M3192" s="0" t="str">
        <f aca="false">IF(I3192="","",INDEX(הגדרות!$A$2:$A$21,MOD(I3192+הגדרות!$E$9,הגדרות!$E$6)+1))</f>
        <v/>
      </c>
    </row>
    <row r="3193" customFormat="false" ht="15" hidden="false" customHeight="false" outlineLevel="0" collapsed="false">
      <c r="A3193" s="0" t="str">
        <f aca="false">IF('הדבקת לידים'!A3193="","",IF(ISNUMBER('הדבקת לידים'!A3193),IF(הגדרות!$E$2&gt;0,TEXT('הדבקת לידים'!A3193,REPT("0",הגדרות!$E$2)),TEXT('הדבקת לידים'!A3193,"0")),TRIM('הדבקת לידים'!A3193)))</f>
        <v/>
      </c>
      <c r="B3193" s="0" t="str">
        <f aca="false">IF('הדבקת לידים'!B3193="","",IF(ISNUMBER('הדבקת לידים'!B3193),IF(הגדרות!$E$3&gt;0,TEXT('הדבקת לידים'!B3193,REPT("0",הגדרות!$E$3)),TEXT('הדבקת לידים'!B3193,"0")),TRIM('הדבקת לידים'!B3193)))</f>
        <v/>
      </c>
      <c r="C3193" s="0" t="n">
        <f aca="false">IF(OR(A3193&lt;&gt;"",B3193&lt;&gt;""),1,0)</f>
        <v>0</v>
      </c>
      <c r="D3193" s="0" t="str">
        <f aca="false">IF(C3193=1,MOD(ABS(SIN(ROW()*12.9898+'הדבקת לידים'!$F$2*78.233+IFERROR(--RIGHT(A3193,6),LEN(A3193))*0.0137+IFERROR(--RIGHT(B3193,6),LEN(B3193))*0.0071))*43758.5453,1),"")</f>
        <v/>
      </c>
      <c r="E3193" s="0" t="str">
        <f aca="false">IF(C3193=1,INT(MOD(ABS(SIN(D3193*7919.123+ROW()*0.618+'הדבקת לידים'!$F$2*1.3))*43758.5453,1)*1000000)*10000+ROW(),"")</f>
        <v/>
      </c>
      <c r="F3193" s="0" t="str">
        <f aca="false">IF(E3193="","",RANK(E3193,$E$2:$E$5001,1))</f>
        <v/>
      </c>
      <c r="G3193" s="0" t="n">
        <f aca="false">IF(A3193="",0,IF(SUMPRODUCT(--($A$2:$A$5001=A3193))&gt;1,1,0))</f>
        <v>0</v>
      </c>
      <c r="H3193" s="0" t="n">
        <f aca="false">ROW()-1</f>
        <v>3192</v>
      </c>
      <c r="I3193" s="0" t="str">
        <f aca="false">IF(OR(הגדרות!$E$6=0,H3193&gt;הגדרות!$E$5),"",IF(H3193-1&lt;הגדרות!$E$8*(הגדרות!$E$7+1),INT((H3193-1)/(הגדרות!$E$7+1)),הגדרות!$E$8+INT((H3193-1-הגדרות!$E$8*(הגדרות!$E$7+1))/הגדרות!$E$7)))</f>
        <v/>
      </c>
      <c r="J3193" s="0" t="str">
        <f aca="false">IF(I3193="","",IF(H3193-1&lt;הגדרות!$E$8*(הגדרות!$E$7+1),MOD(H3193-1,הגדרות!$E$7+1),MOD(H3193-1-הגדרות!$E$8*(הגדרות!$E$7+1),הגדרות!$E$7)))</f>
        <v/>
      </c>
      <c r="K3193" s="0" t="str">
        <f aca="false">IF(I3193="","",J3193*הגדרות!$E$6+I3193+1)</f>
        <v/>
      </c>
      <c r="L3193" s="0" t="str">
        <f aca="false">IF(K3193="","",MATCH(K3193,$F$2:$F$5001,0))</f>
        <v/>
      </c>
      <c r="M3193" s="0" t="str">
        <f aca="false">IF(I3193="","",INDEX(הגדרות!$A$2:$A$21,MOD(I3193+הגדרות!$E$9,הגדרות!$E$6)+1))</f>
        <v/>
      </c>
    </row>
    <row r="3194" customFormat="false" ht="15" hidden="false" customHeight="false" outlineLevel="0" collapsed="false">
      <c r="A3194" s="0" t="str">
        <f aca="false">IF('הדבקת לידים'!A3194="","",IF(ISNUMBER('הדבקת לידים'!A3194),IF(הגדרות!$E$2&gt;0,TEXT('הדבקת לידים'!A3194,REPT("0",הגדרות!$E$2)),TEXT('הדבקת לידים'!A3194,"0")),TRIM('הדבקת לידים'!A3194)))</f>
        <v/>
      </c>
      <c r="B3194" s="0" t="str">
        <f aca="false">IF('הדבקת לידים'!B3194="","",IF(ISNUMBER('הדבקת לידים'!B3194),IF(הגדרות!$E$3&gt;0,TEXT('הדבקת לידים'!B3194,REPT("0",הגדרות!$E$3)),TEXT('הדבקת לידים'!B3194,"0")),TRIM('הדבקת לידים'!B3194)))</f>
        <v/>
      </c>
      <c r="C3194" s="0" t="n">
        <f aca="false">IF(OR(A3194&lt;&gt;"",B3194&lt;&gt;""),1,0)</f>
        <v>0</v>
      </c>
      <c r="D3194" s="0" t="str">
        <f aca="false">IF(C3194=1,MOD(ABS(SIN(ROW()*12.9898+'הדבקת לידים'!$F$2*78.233+IFERROR(--RIGHT(A3194,6),LEN(A3194))*0.0137+IFERROR(--RIGHT(B3194,6),LEN(B3194))*0.0071))*43758.5453,1),"")</f>
        <v/>
      </c>
      <c r="E3194" s="0" t="str">
        <f aca="false">IF(C3194=1,INT(MOD(ABS(SIN(D3194*7919.123+ROW()*0.618+'הדבקת לידים'!$F$2*1.3))*43758.5453,1)*1000000)*10000+ROW(),"")</f>
        <v/>
      </c>
      <c r="F3194" s="0" t="str">
        <f aca="false">IF(E3194="","",RANK(E3194,$E$2:$E$5001,1))</f>
        <v/>
      </c>
      <c r="G3194" s="0" t="n">
        <f aca="false">IF(A3194="",0,IF(SUMPRODUCT(--($A$2:$A$5001=A3194))&gt;1,1,0))</f>
        <v>0</v>
      </c>
      <c r="H3194" s="0" t="n">
        <f aca="false">ROW()-1</f>
        <v>3193</v>
      </c>
      <c r="I3194" s="0" t="str">
        <f aca="false">IF(OR(הגדרות!$E$6=0,H3194&gt;הגדרות!$E$5),"",IF(H3194-1&lt;הגדרות!$E$8*(הגדרות!$E$7+1),INT((H3194-1)/(הגדרות!$E$7+1)),הגדרות!$E$8+INT((H3194-1-הגדרות!$E$8*(הגדרות!$E$7+1))/הגדרות!$E$7)))</f>
        <v/>
      </c>
      <c r="J3194" s="0" t="str">
        <f aca="false">IF(I3194="","",IF(H3194-1&lt;הגדרות!$E$8*(הגדרות!$E$7+1),MOD(H3194-1,הגדרות!$E$7+1),MOD(H3194-1-הגדרות!$E$8*(הגדרות!$E$7+1),הגדרות!$E$7)))</f>
        <v/>
      </c>
      <c r="K3194" s="0" t="str">
        <f aca="false">IF(I3194="","",J3194*הגדרות!$E$6+I3194+1)</f>
        <v/>
      </c>
      <c r="L3194" s="0" t="str">
        <f aca="false">IF(K3194="","",MATCH(K3194,$F$2:$F$5001,0))</f>
        <v/>
      </c>
      <c r="M3194" s="0" t="str">
        <f aca="false">IF(I3194="","",INDEX(הגדרות!$A$2:$A$21,MOD(I3194+הגדרות!$E$9,הגדרות!$E$6)+1))</f>
        <v/>
      </c>
    </row>
    <row r="3195" customFormat="false" ht="15" hidden="false" customHeight="false" outlineLevel="0" collapsed="false">
      <c r="A3195" s="0" t="str">
        <f aca="false">IF('הדבקת לידים'!A3195="","",IF(ISNUMBER('הדבקת לידים'!A3195),IF(הגדרות!$E$2&gt;0,TEXT('הדבקת לידים'!A3195,REPT("0",הגדרות!$E$2)),TEXT('הדבקת לידים'!A3195,"0")),TRIM('הדבקת לידים'!A3195)))</f>
        <v/>
      </c>
      <c r="B3195" s="0" t="str">
        <f aca="false">IF('הדבקת לידים'!B3195="","",IF(ISNUMBER('הדבקת לידים'!B3195),IF(הגדרות!$E$3&gt;0,TEXT('הדבקת לידים'!B3195,REPT("0",הגדרות!$E$3)),TEXT('הדבקת לידים'!B3195,"0")),TRIM('הדבקת לידים'!B3195)))</f>
        <v/>
      </c>
      <c r="C3195" s="0" t="n">
        <f aca="false">IF(OR(A3195&lt;&gt;"",B3195&lt;&gt;""),1,0)</f>
        <v>0</v>
      </c>
      <c r="D3195" s="0" t="str">
        <f aca="false">IF(C3195=1,MOD(ABS(SIN(ROW()*12.9898+'הדבקת לידים'!$F$2*78.233+IFERROR(--RIGHT(A3195,6),LEN(A3195))*0.0137+IFERROR(--RIGHT(B3195,6),LEN(B3195))*0.0071))*43758.5453,1),"")</f>
        <v/>
      </c>
      <c r="E3195" s="0" t="str">
        <f aca="false">IF(C3195=1,INT(MOD(ABS(SIN(D3195*7919.123+ROW()*0.618+'הדבקת לידים'!$F$2*1.3))*43758.5453,1)*1000000)*10000+ROW(),"")</f>
        <v/>
      </c>
      <c r="F3195" s="0" t="str">
        <f aca="false">IF(E3195="","",RANK(E3195,$E$2:$E$5001,1))</f>
        <v/>
      </c>
      <c r="G3195" s="0" t="n">
        <f aca="false">IF(A3195="",0,IF(SUMPRODUCT(--($A$2:$A$5001=A3195))&gt;1,1,0))</f>
        <v>0</v>
      </c>
      <c r="H3195" s="0" t="n">
        <f aca="false">ROW()-1</f>
        <v>3194</v>
      </c>
      <c r="I3195" s="0" t="str">
        <f aca="false">IF(OR(הגדרות!$E$6=0,H3195&gt;הגדרות!$E$5),"",IF(H3195-1&lt;הגדרות!$E$8*(הגדרות!$E$7+1),INT((H3195-1)/(הגדרות!$E$7+1)),הגדרות!$E$8+INT((H3195-1-הגדרות!$E$8*(הגדרות!$E$7+1))/הגדרות!$E$7)))</f>
        <v/>
      </c>
      <c r="J3195" s="0" t="str">
        <f aca="false">IF(I3195="","",IF(H3195-1&lt;הגדרות!$E$8*(הגדרות!$E$7+1),MOD(H3195-1,הגדרות!$E$7+1),MOD(H3195-1-הגדרות!$E$8*(הגדרות!$E$7+1),הגדרות!$E$7)))</f>
        <v/>
      </c>
      <c r="K3195" s="0" t="str">
        <f aca="false">IF(I3195="","",J3195*הגדרות!$E$6+I3195+1)</f>
        <v/>
      </c>
      <c r="L3195" s="0" t="str">
        <f aca="false">IF(K3195="","",MATCH(K3195,$F$2:$F$5001,0))</f>
        <v/>
      </c>
      <c r="M3195" s="0" t="str">
        <f aca="false">IF(I3195="","",INDEX(הגדרות!$A$2:$A$21,MOD(I3195+הגדרות!$E$9,הגדרות!$E$6)+1))</f>
        <v/>
      </c>
    </row>
    <row r="3196" customFormat="false" ht="15" hidden="false" customHeight="false" outlineLevel="0" collapsed="false">
      <c r="A3196" s="0" t="str">
        <f aca="false">IF('הדבקת לידים'!A3196="","",IF(ISNUMBER('הדבקת לידים'!A3196),IF(הגדרות!$E$2&gt;0,TEXT('הדבקת לידים'!A3196,REPT("0",הגדרות!$E$2)),TEXT('הדבקת לידים'!A3196,"0")),TRIM('הדבקת לידים'!A3196)))</f>
        <v/>
      </c>
      <c r="B3196" s="0" t="str">
        <f aca="false">IF('הדבקת לידים'!B3196="","",IF(ISNUMBER('הדבקת לידים'!B3196),IF(הגדרות!$E$3&gt;0,TEXT('הדבקת לידים'!B3196,REPT("0",הגדרות!$E$3)),TEXT('הדבקת לידים'!B3196,"0")),TRIM('הדבקת לידים'!B3196)))</f>
        <v/>
      </c>
      <c r="C3196" s="0" t="n">
        <f aca="false">IF(OR(A3196&lt;&gt;"",B3196&lt;&gt;""),1,0)</f>
        <v>0</v>
      </c>
      <c r="D3196" s="0" t="str">
        <f aca="false">IF(C3196=1,MOD(ABS(SIN(ROW()*12.9898+'הדבקת לידים'!$F$2*78.233+IFERROR(--RIGHT(A3196,6),LEN(A3196))*0.0137+IFERROR(--RIGHT(B3196,6),LEN(B3196))*0.0071))*43758.5453,1),"")</f>
        <v/>
      </c>
      <c r="E3196" s="0" t="str">
        <f aca="false">IF(C3196=1,INT(MOD(ABS(SIN(D3196*7919.123+ROW()*0.618+'הדבקת לידים'!$F$2*1.3))*43758.5453,1)*1000000)*10000+ROW(),"")</f>
        <v/>
      </c>
      <c r="F3196" s="0" t="str">
        <f aca="false">IF(E3196="","",RANK(E3196,$E$2:$E$5001,1))</f>
        <v/>
      </c>
      <c r="G3196" s="0" t="n">
        <f aca="false">IF(A3196="",0,IF(SUMPRODUCT(--($A$2:$A$5001=A3196))&gt;1,1,0))</f>
        <v>0</v>
      </c>
      <c r="H3196" s="0" t="n">
        <f aca="false">ROW()-1</f>
        <v>3195</v>
      </c>
      <c r="I3196" s="0" t="str">
        <f aca="false">IF(OR(הגדרות!$E$6=0,H3196&gt;הגדרות!$E$5),"",IF(H3196-1&lt;הגדרות!$E$8*(הגדרות!$E$7+1),INT((H3196-1)/(הגדרות!$E$7+1)),הגדרות!$E$8+INT((H3196-1-הגדרות!$E$8*(הגדרות!$E$7+1))/הגדרות!$E$7)))</f>
        <v/>
      </c>
      <c r="J3196" s="0" t="str">
        <f aca="false">IF(I3196="","",IF(H3196-1&lt;הגדרות!$E$8*(הגדרות!$E$7+1),MOD(H3196-1,הגדרות!$E$7+1),MOD(H3196-1-הגדרות!$E$8*(הגדרות!$E$7+1),הגדרות!$E$7)))</f>
        <v/>
      </c>
      <c r="K3196" s="0" t="str">
        <f aca="false">IF(I3196="","",J3196*הגדרות!$E$6+I3196+1)</f>
        <v/>
      </c>
      <c r="L3196" s="0" t="str">
        <f aca="false">IF(K3196="","",MATCH(K3196,$F$2:$F$5001,0))</f>
        <v/>
      </c>
      <c r="M3196" s="0" t="str">
        <f aca="false">IF(I3196="","",INDEX(הגדרות!$A$2:$A$21,MOD(I3196+הגדרות!$E$9,הגדרות!$E$6)+1))</f>
        <v/>
      </c>
    </row>
    <row r="3197" customFormat="false" ht="15" hidden="false" customHeight="false" outlineLevel="0" collapsed="false">
      <c r="A3197" s="0" t="str">
        <f aca="false">IF('הדבקת לידים'!A3197="","",IF(ISNUMBER('הדבקת לידים'!A3197),IF(הגדרות!$E$2&gt;0,TEXT('הדבקת לידים'!A3197,REPT("0",הגדרות!$E$2)),TEXT('הדבקת לידים'!A3197,"0")),TRIM('הדבקת לידים'!A3197)))</f>
        <v/>
      </c>
      <c r="B3197" s="0" t="str">
        <f aca="false">IF('הדבקת לידים'!B3197="","",IF(ISNUMBER('הדבקת לידים'!B3197),IF(הגדרות!$E$3&gt;0,TEXT('הדבקת לידים'!B3197,REPT("0",הגדרות!$E$3)),TEXT('הדבקת לידים'!B3197,"0")),TRIM('הדבקת לידים'!B3197)))</f>
        <v/>
      </c>
      <c r="C3197" s="0" t="n">
        <f aca="false">IF(OR(A3197&lt;&gt;"",B3197&lt;&gt;""),1,0)</f>
        <v>0</v>
      </c>
      <c r="D3197" s="0" t="str">
        <f aca="false">IF(C3197=1,MOD(ABS(SIN(ROW()*12.9898+'הדבקת לידים'!$F$2*78.233+IFERROR(--RIGHT(A3197,6),LEN(A3197))*0.0137+IFERROR(--RIGHT(B3197,6),LEN(B3197))*0.0071))*43758.5453,1),"")</f>
        <v/>
      </c>
      <c r="E3197" s="0" t="str">
        <f aca="false">IF(C3197=1,INT(MOD(ABS(SIN(D3197*7919.123+ROW()*0.618+'הדבקת לידים'!$F$2*1.3))*43758.5453,1)*1000000)*10000+ROW(),"")</f>
        <v/>
      </c>
      <c r="F3197" s="0" t="str">
        <f aca="false">IF(E3197="","",RANK(E3197,$E$2:$E$5001,1))</f>
        <v/>
      </c>
      <c r="G3197" s="0" t="n">
        <f aca="false">IF(A3197="",0,IF(SUMPRODUCT(--($A$2:$A$5001=A3197))&gt;1,1,0))</f>
        <v>0</v>
      </c>
      <c r="H3197" s="0" t="n">
        <f aca="false">ROW()-1</f>
        <v>3196</v>
      </c>
      <c r="I3197" s="0" t="str">
        <f aca="false">IF(OR(הגדרות!$E$6=0,H3197&gt;הגדרות!$E$5),"",IF(H3197-1&lt;הגדרות!$E$8*(הגדרות!$E$7+1),INT((H3197-1)/(הגדרות!$E$7+1)),הגדרות!$E$8+INT((H3197-1-הגדרות!$E$8*(הגדרות!$E$7+1))/הגדרות!$E$7)))</f>
        <v/>
      </c>
      <c r="J3197" s="0" t="str">
        <f aca="false">IF(I3197="","",IF(H3197-1&lt;הגדרות!$E$8*(הגדרות!$E$7+1),MOD(H3197-1,הגדרות!$E$7+1),MOD(H3197-1-הגדרות!$E$8*(הגדרות!$E$7+1),הגדרות!$E$7)))</f>
        <v/>
      </c>
      <c r="K3197" s="0" t="str">
        <f aca="false">IF(I3197="","",J3197*הגדרות!$E$6+I3197+1)</f>
        <v/>
      </c>
      <c r="L3197" s="0" t="str">
        <f aca="false">IF(K3197="","",MATCH(K3197,$F$2:$F$5001,0))</f>
        <v/>
      </c>
      <c r="M3197" s="0" t="str">
        <f aca="false">IF(I3197="","",INDEX(הגדרות!$A$2:$A$21,MOD(I3197+הגדרות!$E$9,הגדרות!$E$6)+1))</f>
        <v/>
      </c>
    </row>
    <row r="3198" customFormat="false" ht="15" hidden="false" customHeight="false" outlineLevel="0" collapsed="false">
      <c r="A3198" s="0" t="str">
        <f aca="false">IF('הדבקת לידים'!A3198="","",IF(ISNUMBER('הדבקת לידים'!A3198),IF(הגדרות!$E$2&gt;0,TEXT('הדבקת לידים'!A3198,REPT("0",הגדרות!$E$2)),TEXT('הדבקת לידים'!A3198,"0")),TRIM('הדבקת לידים'!A3198)))</f>
        <v/>
      </c>
      <c r="B3198" s="0" t="str">
        <f aca="false">IF('הדבקת לידים'!B3198="","",IF(ISNUMBER('הדבקת לידים'!B3198),IF(הגדרות!$E$3&gt;0,TEXT('הדבקת לידים'!B3198,REPT("0",הגדרות!$E$3)),TEXT('הדבקת לידים'!B3198,"0")),TRIM('הדבקת לידים'!B3198)))</f>
        <v/>
      </c>
      <c r="C3198" s="0" t="n">
        <f aca="false">IF(OR(A3198&lt;&gt;"",B3198&lt;&gt;""),1,0)</f>
        <v>0</v>
      </c>
      <c r="D3198" s="0" t="str">
        <f aca="false">IF(C3198=1,MOD(ABS(SIN(ROW()*12.9898+'הדבקת לידים'!$F$2*78.233+IFERROR(--RIGHT(A3198,6),LEN(A3198))*0.0137+IFERROR(--RIGHT(B3198,6),LEN(B3198))*0.0071))*43758.5453,1),"")</f>
        <v/>
      </c>
      <c r="E3198" s="0" t="str">
        <f aca="false">IF(C3198=1,INT(MOD(ABS(SIN(D3198*7919.123+ROW()*0.618+'הדבקת לידים'!$F$2*1.3))*43758.5453,1)*1000000)*10000+ROW(),"")</f>
        <v/>
      </c>
      <c r="F3198" s="0" t="str">
        <f aca="false">IF(E3198="","",RANK(E3198,$E$2:$E$5001,1))</f>
        <v/>
      </c>
      <c r="G3198" s="0" t="n">
        <f aca="false">IF(A3198="",0,IF(SUMPRODUCT(--($A$2:$A$5001=A3198))&gt;1,1,0))</f>
        <v>0</v>
      </c>
      <c r="H3198" s="0" t="n">
        <f aca="false">ROW()-1</f>
        <v>3197</v>
      </c>
      <c r="I3198" s="0" t="str">
        <f aca="false">IF(OR(הגדרות!$E$6=0,H3198&gt;הגדרות!$E$5),"",IF(H3198-1&lt;הגדרות!$E$8*(הגדרות!$E$7+1),INT((H3198-1)/(הגדרות!$E$7+1)),הגדרות!$E$8+INT((H3198-1-הגדרות!$E$8*(הגדרות!$E$7+1))/הגדרות!$E$7)))</f>
        <v/>
      </c>
      <c r="J3198" s="0" t="str">
        <f aca="false">IF(I3198="","",IF(H3198-1&lt;הגדרות!$E$8*(הגדרות!$E$7+1),MOD(H3198-1,הגדרות!$E$7+1),MOD(H3198-1-הגדרות!$E$8*(הגדרות!$E$7+1),הגדרות!$E$7)))</f>
        <v/>
      </c>
      <c r="K3198" s="0" t="str">
        <f aca="false">IF(I3198="","",J3198*הגדרות!$E$6+I3198+1)</f>
        <v/>
      </c>
      <c r="L3198" s="0" t="str">
        <f aca="false">IF(K3198="","",MATCH(K3198,$F$2:$F$5001,0))</f>
        <v/>
      </c>
      <c r="M3198" s="0" t="str">
        <f aca="false">IF(I3198="","",INDEX(הגדרות!$A$2:$A$21,MOD(I3198+הגדרות!$E$9,הגדרות!$E$6)+1))</f>
        <v/>
      </c>
    </row>
    <row r="3199" customFormat="false" ht="15" hidden="false" customHeight="false" outlineLevel="0" collapsed="false">
      <c r="A3199" s="0" t="str">
        <f aca="false">IF('הדבקת לידים'!A3199="","",IF(ISNUMBER('הדבקת לידים'!A3199),IF(הגדרות!$E$2&gt;0,TEXT('הדבקת לידים'!A3199,REPT("0",הגדרות!$E$2)),TEXT('הדבקת לידים'!A3199,"0")),TRIM('הדבקת לידים'!A3199)))</f>
        <v/>
      </c>
      <c r="B3199" s="0" t="str">
        <f aca="false">IF('הדבקת לידים'!B3199="","",IF(ISNUMBER('הדבקת לידים'!B3199),IF(הגדרות!$E$3&gt;0,TEXT('הדבקת לידים'!B3199,REPT("0",הגדרות!$E$3)),TEXT('הדבקת לידים'!B3199,"0")),TRIM('הדבקת לידים'!B3199)))</f>
        <v/>
      </c>
      <c r="C3199" s="0" t="n">
        <f aca="false">IF(OR(A3199&lt;&gt;"",B3199&lt;&gt;""),1,0)</f>
        <v>0</v>
      </c>
      <c r="D3199" s="0" t="str">
        <f aca="false">IF(C3199=1,MOD(ABS(SIN(ROW()*12.9898+'הדבקת לידים'!$F$2*78.233+IFERROR(--RIGHT(A3199,6),LEN(A3199))*0.0137+IFERROR(--RIGHT(B3199,6),LEN(B3199))*0.0071))*43758.5453,1),"")</f>
        <v/>
      </c>
      <c r="E3199" s="0" t="str">
        <f aca="false">IF(C3199=1,INT(MOD(ABS(SIN(D3199*7919.123+ROW()*0.618+'הדבקת לידים'!$F$2*1.3))*43758.5453,1)*1000000)*10000+ROW(),"")</f>
        <v/>
      </c>
      <c r="F3199" s="0" t="str">
        <f aca="false">IF(E3199="","",RANK(E3199,$E$2:$E$5001,1))</f>
        <v/>
      </c>
      <c r="G3199" s="0" t="n">
        <f aca="false">IF(A3199="",0,IF(SUMPRODUCT(--($A$2:$A$5001=A3199))&gt;1,1,0))</f>
        <v>0</v>
      </c>
      <c r="H3199" s="0" t="n">
        <f aca="false">ROW()-1</f>
        <v>3198</v>
      </c>
      <c r="I3199" s="0" t="str">
        <f aca="false">IF(OR(הגדרות!$E$6=0,H3199&gt;הגדרות!$E$5),"",IF(H3199-1&lt;הגדרות!$E$8*(הגדרות!$E$7+1),INT((H3199-1)/(הגדרות!$E$7+1)),הגדרות!$E$8+INT((H3199-1-הגדרות!$E$8*(הגדרות!$E$7+1))/הגדרות!$E$7)))</f>
        <v/>
      </c>
      <c r="J3199" s="0" t="str">
        <f aca="false">IF(I3199="","",IF(H3199-1&lt;הגדרות!$E$8*(הגדרות!$E$7+1),MOD(H3199-1,הגדרות!$E$7+1),MOD(H3199-1-הגדרות!$E$8*(הגדרות!$E$7+1),הגדרות!$E$7)))</f>
        <v/>
      </c>
      <c r="K3199" s="0" t="str">
        <f aca="false">IF(I3199="","",J3199*הגדרות!$E$6+I3199+1)</f>
        <v/>
      </c>
      <c r="L3199" s="0" t="str">
        <f aca="false">IF(K3199="","",MATCH(K3199,$F$2:$F$5001,0))</f>
        <v/>
      </c>
      <c r="M3199" s="0" t="str">
        <f aca="false">IF(I3199="","",INDEX(הגדרות!$A$2:$A$21,MOD(I3199+הגדרות!$E$9,הגדרות!$E$6)+1))</f>
        <v/>
      </c>
    </row>
    <row r="3200" customFormat="false" ht="15" hidden="false" customHeight="false" outlineLevel="0" collapsed="false">
      <c r="A3200" s="0" t="str">
        <f aca="false">IF('הדבקת לידים'!A3200="","",IF(ISNUMBER('הדבקת לידים'!A3200),IF(הגדרות!$E$2&gt;0,TEXT('הדבקת לידים'!A3200,REPT("0",הגדרות!$E$2)),TEXT('הדבקת לידים'!A3200,"0")),TRIM('הדבקת לידים'!A3200)))</f>
        <v/>
      </c>
      <c r="B3200" s="0" t="str">
        <f aca="false">IF('הדבקת לידים'!B3200="","",IF(ISNUMBER('הדבקת לידים'!B3200),IF(הגדרות!$E$3&gt;0,TEXT('הדבקת לידים'!B3200,REPT("0",הגדרות!$E$3)),TEXT('הדבקת לידים'!B3200,"0")),TRIM('הדבקת לידים'!B3200)))</f>
        <v/>
      </c>
      <c r="C3200" s="0" t="n">
        <f aca="false">IF(OR(A3200&lt;&gt;"",B3200&lt;&gt;""),1,0)</f>
        <v>0</v>
      </c>
      <c r="D3200" s="0" t="str">
        <f aca="false">IF(C3200=1,MOD(ABS(SIN(ROW()*12.9898+'הדבקת לידים'!$F$2*78.233+IFERROR(--RIGHT(A3200,6),LEN(A3200))*0.0137+IFERROR(--RIGHT(B3200,6),LEN(B3200))*0.0071))*43758.5453,1),"")</f>
        <v/>
      </c>
      <c r="E3200" s="0" t="str">
        <f aca="false">IF(C3200=1,INT(MOD(ABS(SIN(D3200*7919.123+ROW()*0.618+'הדבקת לידים'!$F$2*1.3))*43758.5453,1)*1000000)*10000+ROW(),"")</f>
        <v/>
      </c>
      <c r="F3200" s="0" t="str">
        <f aca="false">IF(E3200="","",RANK(E3200,$E$2:$E$5001,1))</f>
        <v/>
      </c>
      <c r="G3200" s="0" t="n">
        <f aca="false">IF(A3200="",0,IF(SUMPRODUCT(--($A$2:$A$5001=A3200))&gt;1,1,0))</f>
        <v>0</v>
      </c>
      <c r="H3200" s="0" t="n">
        <f aca="false">ROW()-1</f>
        <v>3199</v>
      </c>
      <c r="I3200" s="0" t="str">
        <f aca="false">IF(OR(הגדרות!$E$6=0,H3200&gt;הגדרות!$E$5),"",IF(H3200-1&lt;הגדרות!$E$8*(הגדרות!$E$7+1),INT((H3200-1)/(הגדרות!$E$7+1)),הגדרות!$E$8+INT((H3200-1-הגדרות!$E$8*(הגדרות!$E$7+1))/הגדרות!$E$7)))</f>
        <v/>
      </c>
      <c r="J3200" s="0" t="str">
        <f aca="false">IF(I3200="","",IF(H3200-1&lt;הגדרות!$E$8*(הגדרות!$E$7+1),MOD(H3200-1,הגדרות!$E$7+1),MOD(H3200-1-הגדרות!$E$8*(הגדרות!$E$7+1),הגדרות!$E$7)))</f>
        <v/>
      </c>
      <c r="K3200" s="0" t="str">
        <f aca="false">IF(I3200="","",J3200*הגדרות!$E$6+I3200+1)</f>
        <v/>
      </c>
      <c r="L3200" s="0" t="str">
        <f aca="false">IF(K3200="","",MATCH(K3200,$F$2:$F$5001,0))</f>
        <v/>
      </c>
      <c r="M3200" s="0" t="str">
        <f aca="false">IF(I3200="","",INDEX(הגדרות!$A$2:$A$21,MOD(I3200+הגדרות!$E$9,הגדרות!$E$6)+1))</f>
        <v/>
      </c>
    </row>
    <row r="3201" customFormat="false" ht="15" hidden="false" customHeight="false" outlineLevel="0" collapsed="false">
      <c r="A3201" s="0" t="str">
        <f aca="false">IF('הדבקת לידים'!A3201="","",IF(ISNUMBER('הדבקת לידים'!A3201),IF(הגדרות!$E$2&gt;0,TEXT('הדבקת לידים'!A3201,REPT("0",הגדרות!$E$2)),TEXT('הדבקת לידים'!A3201,"0")),TRIM('הדבקת לידים'!A3201)))</f>
        <v/>
      </c>
      <c r="B3201" s="0" t="str">
        <f aca="false">IF('הדבקת לידים'!B3201="","",IF(ISNUMBER('הדבקת לידים'!B3201),IF(הגדרות!$E$3&gt;0,TEXT('הדבקת לידים'!B3201,REPT("0",הגדרות!$E$3)),TEXT('הדבקת לידים'!B3201,"0")),TRIM('הדבקת לידים'!B3201)))</f>
        <v/>
      </c>
      <c r="C3201" s="0" t="n">
        <f aca="false">IF(OR(A3201&lt;&gt;"",B3201&lt;&gt;""),1,0)</f>
        <v>0</v>
      </c>
      <c r="D3201" s="0" t="str">
        <f aca="false">IF(C3201=1,MOD(ABS(SIN(ROW()*12.9898+'הדבקת לידים'!$F$2*78.233+IFERROR(--RIGHT(A3201,6),LEN(A3201))*0.0137+IFERROR(--RIGHT(B3201,6),LEN(B3201))*0.0071))*43758.5453,1),"")</f>
        <v/>
      </c>
      <c r="E3201" s="0" t="str">
        <f aca="false">IF(C3201=1,INT(MOD(ABS(SIN(D3201*7919.123+ROW()*0.618+'הדבקת לידים'!$F$2*1.3))*43758.5453,1)*1000000)*10000+ROW(),"")</f>
        <v/>
      </c>
      <c r="F3201" s="0" t="str">
        <f aca="false">IF(E3201="","",RANK(E3201,$E$2:$E$5001,1))</f>
        <v/>
      </c>
      <c r="G3201" s="0" t="n">
        <f aca="false">IF(A3201="",0,IF(SUMPRODUCT(--($A$2:$A$5001=A3201))&gt;1,1,0))</f>
        <v>0</v>
      </c>
      <c r="H3201" s="0" t="n">
        <f aca="false">ROW()-1</f>
        <v>3200</v>
      </c>
      <c r="I3201" s="0" t="str">
        <f aca="false">IF(OR(הגדרות!$E$6=0,H3201&gt;הגדרות!$E$5),"",IF(H3201-1&lt;הגדרות!$E$8*(הגדרות!$E$7+1),INT((H3201-1)/(הגדרות!$E$7+1)),הגדרות!$E$8+INT((H3201-1-הגדרות!$E$8*(הגדרות!$E$7+1))/הגדרות!$E$7)))</f>
        <v/>
      </c>
      <c r="J3201" s="0" t="str">
        <f aca="false">IF(I3201="","",IF(H3201-1&lt;הגדרות!$E$8*(הגדרות!$E$7+1),MOD(H3201-1,הגדרות!$E$7+1),MOD(H3201-1-הגדרות!$E$8*(הגדרות!$E$7+1),הגדרות!$E$7)))</f>
        <v/>
      </c>
      <c r="K3201" s="0" t="str">
        <f aca="false">IF(I3201="","",J3201*הגדרות!$E$6+I3201+1)</f>
        <v/>
      </c>
      <c r="L3201" s="0" t="str">
        <f aca="false">IF(K3201="","",MATCH(K3201,$F$2:$F$5001,0))</f>
        <v/>
      </c>
      <c r="M3201" s="0" t="str">
        <f aca="false">IF(I3201="","",INDEX(הגדרות!$A$2:$A$21,MOD(I3201+הגדרות!$E$9,הגדרות!$E$6)+1))</f>
        <v/>
      </c>
    </row>
    <row r="3202" customFormat="false" ht="15" hidden="false" customHeight="false" outlineLevel="0" collapsed="false">
      <c r="A3202" s="0" t="str">
        <f aca="false">IF('הדבקת לידים'!A3202="","",IF(ISNUMBER('הדבקת לידים'!A3202),IF(הגדרות!$E$2&gt;0,TEXT('הדבקת לידים'!A3202,REPT("0",הגדרות!$E$2)),TEXT('הדבקת לידים'!A3202,"0")),TRIM('הדבקת לידים'!A3202)))</f>
        <v/>
      </c>
      <c r="B3202" s="0" t="str">
        <f aca="false">IF('הדבקת לידים'!B3202="","",IF(ISNUMBER('הדבקת לידים'!B3202),IF(הגדרות!$E$3&gt;0,TEXT('הדבקת לידים'!B3202,REPT("0",הגדרות!$E$3)),TEXT('הדבקת לידים'!B3202,"0")),TRIM('הדבקת לידים'!B3202)))</f>
        <v/>
      </c>
      <c r="C3202" s="0" t="n">
        <f aca="false">IF(OR(A3202&lt;&gt;"",B3202&lt;&gt;""),1,0)</f>
        <v>0</v>
      </c>
      <c r="D3202" s="0" t="str">
        <f aca="false">IF(C3202=1,MOD(ABS(SIN(ROW()*12.9898+'הדבקת לידים'!$F$2*78.233+IFERROR(--RIGHT(A3202,6),LEN(A3202))*0.0137+IFERROR(--RIGHT(B3202,6),LEN(B3202))*0.0071))*43758.5453,1),"")</f>
        <v/>
      </c>
      <c r="E3202" s="0" t="str">
        <f aca="false">IF(C3202=1,INT(MOD(ABS(SIN(D3202*7919.123+ROW()*0.618+'הדבקת לידים'!$F$2*1.3))*43758.5453,1)*1000000)*10000+ROW(),"")</f>
        <v/>
      </c>
      <c r="F3202" s="0" t="str">
        <f aca="false">IF(E3202="","",RANK(E3202,$E$2:$E$5001,1))</f>
        <v/>
      </c>
      <c r="G3202" s="0" t="n">
        <f aca="false">IF(A3202="",0,IF(SUMPRODUCT(--($A$2:$A$5001=A3202))&gt;1,1,0))</f>
        <v>0</v>
      </c>
      <c r="H3202" s="0" t="n">
        <f aca="false">ROW()-1</f>
        <v>3201</v>
      </c>
      <c r="I3202" s="0" t="str">
        <f aca="false">IF(OR(הגדרות!$E$6=0,H3202&gt;הגדרות!$E$5),"",IF(H3202-1&lt;הגדרות!$E$8*(הגדרות!$E$7+1),INT((H3202-1)/(הגדרות!$E$7+1)),הגדרות!$E$8+INT((H3202-1-הגדרות!$E$8*(הגדרות!$E$7+1))/הגדרות!$E$7)))</f>
        <v/>
      </c>
      <c r="J3202" s="0" t="str">
        <f aca="false">IF(I3202="","",IF(H3202-1&lt;הגדרות!$E$8*(הגדרות!$E$7+1),MOD(H3202-1,הגדרות!$E$7+1),MOD(H3202-1-הגדרות!$E$8*(הגדרות!$E$7+1),הגדרות!$E$7)))</f>
        <v/>
      </c>
      <c r="K3202" s="0" t="str">
        <f aca="false">IF(I3202="","",J3202*הגדרות!$E$6+I3202+1)</f>
        <v/>
      </c>
      <c r="L3202" s="0" t="str">
        <f aca="false">IF(K3202="","",MATCH(K3202,$F$2:$F$5001,0))</f>
        <v/>
      </c>
      <c r="M3202" s="0" t="str">
        <f aca="false">IF(I3202="","",INDEX(הגדרות!$A$2:$A$21,MOD(I3202+הגדרות!$E$9,הגדרות!$E$6)+1))</f>
        <v/>
      </c>
    </row>
    <row r="3203" customFormat="false" ht="15" hidden="false" customHeight="false" outlineLevel="0" collapsed="false">
      <c r="A3203" s="0" t="str">
        <f aca="false">IF('הדבקת לידים'!A3203="","",IF(ISNUMBER('הדבקת לידים'!A3203),IF(הגדרות!$E$2&gt;0,TEXT('הדבקת לידים'!A3203,REPT("0",הגדרות!$E$2)),TEXT('הדבקת לידים'!A3203,"0")),TRIM('הדבקת לידים'!A3203)))</f>
        <v/>
      </c>
      <c r="B3203" s="0" t="str">
        <f aca="false">IF('הדבקת לידים'!B3203="","",IF(ISNUMBER('הדבקת לידים'!B3203),IF(הגדרות!$E$3&gt;0,TEXT('הדבקת לידים'!B3203,REPT("0",הגדרות!$E$3)),TEXT('הדבקת לידים'!B3203,"0")),TRIM('הדבקת לידים'!B3203)))</f>
        <v/>
      </c>
      <c r="C3203" s="0" t="n">
        <f aca="false">IF(OR(A3203&lt;&gt;"",B3203&lt;&gt;""),1,0)</f>
        <v>0</v>
      </c>
      <c r="D3203" s="0" t="str">
        <f aca="false">IF(C3203=1,MOD(ABS(SIN(ROW()*12.9898+'הדבקת לידים'!$F$2*78.233+IFERROR(--RIGHT(A3203,6),LEN(A3203))*0.0137+IFERROR(--RIGHT(B3203,6),LEN(B3203))*0.0071))*43758.5453,1),"")</f>
        <v/>
      </c>
      <c r="E3203" s="0" t="str">
        <f aca="false">IF(C3203=1,INT(MOD(ABS(SIN(D3203*7919.123+ROW()*0.618+'הדבקת לידים'!$F$2*1.3))*43758.5453,1)*1000000)*10000+ROW(),"")</f>
        <v/>
      </c>
      <c r="F3203" s="0" t="str">
        <f aca="false">IF(E3203="","",RANK(E3203,$E$2:$E$5001,1))</f>
        <v/>
      </c>
      <c r="G3203" s="0" t="n">
        <f aca="false">IF(A3203="",0,IF(SUMPRODUCT(--($A$2:$A$5001=A3203))&gt;1,1,0))</f>
        <v>0</v>
      </c>
      <c r="H3203" s="0" t="n">
        <f aca="false">ROW()-1</f>
        <v>3202</v>
      </c>
      <c r="I3203" s="0" t="str">
        <f aca="false">IF(OR(הגדרות!$E$6=0,H3203&gt;הגדרות!$E$5),"",IF(H3203-1&lt;הגדרות!$E$8*(הגדרות!$E$7+1),INT((H3203-1)/(הגדרות!$E$7+1)),הגדרות!$E$8+INT((H3203-1-הגדרות!$E$8*(הגדרות!$E$7+1))/הגדרות!$E$7)))</f>
        <v/>
      </c>
      <c r="J3203" s="0" t="str">
        <f aca="false">IF(I3203="","",IF(H3203-1&lt;הגדרות!$E$8*(הגדרות!$E$7+1),MOD(H3203-1,הגדרות!$E$7+1),MOD(H3203-1-הגדרות!$E$8*(הגדרות!$E$7+1),הגדרות!$E$7)))</f>
        <v/>
      </c>
      <c r="K3203" s="0" t="str">
        <f aca="false">IF(I3203="","",J3203*הגדרות!$E$6+I3203+1)</f>
        <v/>
      </c>
      <c r="L3203" s="0" t="str">
        <f aca="false">IF(K3203="","",MATCH(K3203,$F$2:$F$5001,0))</f>
        <v/>
      </c>
      <c r="M3203" s="0" t="str">
        <f aca="false">IF(I3203="","",INDEX(הגדרות!$A$2:$A$21,MOD(I3203+הגדרות!$E$9,הגדרות!$E$6)+1))</f>
        <v/>
      </c>
    </row>
    <row r="3204" customFormat="false" ht="15" hidden="false" customHeight="false" outlineLevel="0" collapsed="false">
      <c r="A3204" s="0" t="str">
        <f aca="false">IF('הדבקת לידים'!A3204="","",IF(ISNUMBER('הדבקת לידים'!A3204),IF(הגדרות!$E$2&gt;0,TEXT('הדבקת לידים'!A3204,REPT("0",הגדרות!$E$2)),TEXT('הדבקת לידים'!A3204,"0")),TRIM('הדבקת לידים'!A3204)))</f>
        <v/>
      </c>
      <c r="B3204" s="0" t="str">
        <f aca="false">IF('הדבקת לידים'!B3204="","",IF(ISNUMBER('הדבקת לידים'!B3204),IF(הגדרות!$E$3&gt;0,TEXT('הדבקת לידים'!B3204,REPT("0",הגדרות!$E$3)),TEXT('הדבקת לידים'!B3204,"0")),TRIM('הדבקת לידים'!B3204)))</f>
        <v/>
      </c>
      <c r="C3204" s="0" t="n">
        <f aca="false">IF(OR(A3204&lt;&gt;"",B3204&lt;&gt;""),1,0)</f>
        <v>0</v>
      </c>
      <c r="D3204" s="0" t="str">
        <f aca="false">IF(C3204=1,MOD(ABS(SIN(ROW()*12.9898+'הדבקת לידים'!$F$2*78.233+IFERROR(--RIGHT(A3204,6),LEN(A3204))*0.0137+IFERROR(--RIGHT(B3204,6),LEN(B3204))*0.0071))*43758.5453,1),"")</f>
        <v/>
      </c>
      <c r="E3204" s="0" t="str">
        <f aca="false">IF(C3204=1,INT(MOD(ABS(SIN(D3204*7919.123+ROW()*0.618+'הדבקת לידים'!$F$2*1.3))*43758.5453,1)*1000000)*10000+ROW(),"")</f>
        <v/>
      </c>
      <c r="F3204" s="0" t="str">
        <f aca="false">IF(E3204="","",RANK(E3204,$E$2:$E$5001,1))</f>
        <v/>
      </c>
      <c r="G3204" s="0" t="n">
        <f aca="false">IF(A3204="",0,IF(SUMPRODUCT(--($A$2:$A$5001=A3204))&gt;1,1,0))</f>
        <v>0</v>
      </c>
      <c r="H3204" s="0" t="n">
        <f aca="false">ROW()-1</f>
        <v>3203</v>
      </c>
      <c r="I3204" s="0" t="str">
        <f aca="false">IF(OR(הגדרות!$E$6=0,H3204&gt;הגדרות!$E$5),"",IF(H3204-1&lt;הגדרות!$E$8*(הגדרות!$E$7+1),INT((H3204-1)/(הגדרות!$E$7+1)),הגדרות!$E$8+INT((H3204-1-הגדרות!$E$8*(הגדרות!$E$7+1))/הגדרות!$E$7)))</f>
        <v/>
      </c>
      <c r="J3204" s="0" t="str">
        <f aca="false">IF(I3204="","",IF(H3204-1&lt;הגדרות!$E$8*(הגדרות!$E$7+1),MOD(H3204-1,הגדרות!$E$7+1),MOD(H3204-1-הגדרות!$E$8*(הגדרות!$E$7+1),הגדרות!$E$7)))</f>
        <v/>
      </c>
      <c r="K3204" s="0" t="str">
        <f aca="false">IF(I3204="","",J3204*הגדרות!$E$6+I3204+1)</f>
        <v/>
      </c>
      <c r="L3204" s="0" t="str">
        <f aca="false">IF(K3204="","",MATCH(K3204,$F$2:$F$5001,0))</f>
        <v/>
      </c>
      <c r="M3204" s="0" t="str">
        <f aca="false">IF(I3204="","",INDEX(הגדרות!$A$2:$A$21,MOD(I3204+הגדרות!$E$9,הגדרות!$E$6)+1))</f>
        <v/>
      </c>
    </row>
    <row r="3205" customFormat="false" ht="15" hidden="false" customHeight="false" outlineLevel="0" collapsed="false">
      <c r="A3205" s="0" t="str">
        <f aca="false">IF('הדבקת לידים'!A3205="","",IF(ISNUMBER('הדבקת לידים'!A3205),IF(הגדרות!$E$2&gt;0,TEXT('הדבקת לידים'!A3205,REPT("0",הגדרות!$E$2)),TEXT('הדבקת לידים'!A3205,"0")),TRIM('הדבקת לידים'!A3205)))</f>
        <v/>
      </c>
      <c r="B3205" s="0" t="str">
        <f aca="false">IF('הדבקת לידים'!B3205="","",IF(ISNUMBER('הדבקת לידים'!B3205),IF(הגדרות!$E$3&gt;0,TEXT('הדבקת לידים'!B3205,REPT("0",הגדרות!$E$3)),TEXT('הדבקת לידים'!B3205,"0")),TRIM('הדבקת לידים'!B3205)))</f>
        <v/>
      </c>
      <c r="C3205" s="0" t="n">
        <f aca="false">IF(OR(A3205&lt;&gt;"",B3205&lt;&gt;""),1,0)</f>
        <v>0</v>
      </c>
      <c r="D3205" s="0" t="str">
        <f aca="false">IF(C3205=1,MOD(ABS(SIN(ROW()*12.9898+'הדבקת לידים'!$F$2*78.233+IFERROR(--RIGHT(A3205,6),LEN(A3205))*0.0137+IFERROR(--RIGHT(B3205,6),LEN(B3205))*0.0071))*43758.5453,1),"")</f>
        <v/>
      </c>
      <c r="E3205" s="0" t="str">
        <f aca="false">IF(C3205=1,INT(MOD(ABS(SIN(D3205*7919.123+ROW()*0.618+'הדבקת לידים'!$F$2*1.3))*43758.5453,1)*1000000)*10000+ROW(),"")</f>
        <v/>
      </c>
      <c r="F3205" s="0" t="str">
        <f aca="false">IF(E3205="","",RANK(E3205,$E$2:$E$5001,1))</f>
        <v/>
      </c>
      <c r="G3205" s="0" t="n">
        <f aca="false">IF(A3205="",0,IF(SUMPRODUCT(--($A$2:$A$5001=A3205))&gt;1,1,0))</f>
        <v>0</v>
      </c>
      <c r="H3205" s="0" t="n">
        <f aca="false">ROW()-1</f>
        <v>3204</v>
      </c>
      <c r="I3205" s="0" t="str">
        <f aca="false">IF(OR(הגדרות!$E$6=0,H3205&gt;הגדרות!$E$5),"",IF(H3205-1&lt;הגדרות!$E$8*(הגדרות!$E$7+1),INT((H3205-1)/(הגדרות!$E$7+1)),הגדרות!$E$8+INT((H3205-1-הגדרות!$E$8*(הגדרות!$E$7+1))/הגדרות!$E$7)))</f>
        <v/>
      </c>
      <c r="J3205" s="0" t="str">
        <f aca="false">IF(I3205="","",IF(H3205-1&lt;הגדרות!$E$8*(הגדרות!$E$7+1),MOD(H3205-1,הגדרות!$E$7+1),MOD(H3205-1-הגדרות!$E$8*(הגדרות!$E$7+1),הגדרות!$E$7)))</f>
        <v/>
      </c>
      <c r="K3205" s="0" t="str">
        <f aca="false">IF(I3205="","",J3205*הגדרות!$E$6+I3205+1)</f>
        <v/>
      </c>
      <c r="L3205" s="0" t="str">
        <f aca="false">IF(K3205="","",MATCH(K3205,$F$2:$F$5001,0))</f>
        <v/>
      </c>
      <c r="M3205" s="0" t="str">
        <f aca="false">IF(I3205="","",INDEX(הגדרות!$A$2:$A$21,MOD(I3205+הגדרות!$E$9,הגדרות!$E$6)+1))</f>
        <v/>
      </c>
    </row>
    <row r="3206" customFormat="false" ht="15" hidden="false" customHeight="false" outlineLevel="0" collapsed="false">
      <c r="A3206" s="0" t="str">
        <f aca="false">IF('הדבקת לידים'!A3206="","",IF(ISNUMBER('הדבקת לידים'!A3206),IF(הגדרות!$E$2&gt;0,TEXT('הדבקת לידים'!A3206,REPT("0",הגדרות!$E$2)),TEXT('הדבקת לידים'!A3206,"0")),TRIM('הדבקת לידים'!A3206)))</f>
        <v/>
      </c>
      <c r="B3206" s="0" t="str">
        <f aca="false">IF('הדבקת לידים'!B3206="","",IF(ISNUMBER('הדבקת לידים'!B3206),IF(הגדרות!$E$3&gt;0,TEXT('הדבקת לידים'!B3206,REPT("0",הגדרות!$E$3)),TEXT('הדבקת לידים'!B3206,"0")),TRIM('הדבקת לידים'!B3206)))</f>
        <v/>
      </c>
      <c r="C3206" s="0" t="n">
        <f aca="false">IF(OR(A3206&lt;&gt;"",B3206&lt;&gt;""),1,0)</f>
        <v>0</v>
      </c>
      <c r="D3206" s="0" t="str">
        <f aca="false">IF(C3206=1,MOD(ABS(SIN(ROW()*12.9898+'הדבקת לידים'!$F$2*78.233+IFERROR(--RIGHT(A3206,6),LEN(A3206))*0.0137+IFERROR(--RIGHT(B3206,6),LEN(B3206))*0.0071))*43758.5453,1),"")</f>
        <v/>
      </c>
      <c r="E3206" s="0" t="str">
        <f aca="false">IF(C3206=1,INT(MOD(ABS(SIN(D3206*7919.123+ROW()*0.618+'הדבקת לידים'!$F$2*1.3))*43758.5453,1)*1000000)*10000+ROW(),"")</f>
        <v/>
      </c>
      <c r="F3206" s="0" t="str">
        <f aca="false">IF(E3206="","",RANK(E3206,$E$2:$E$5001,1))</f>
        <v/>
      </c>
      <c r="G3206" s="0" t="n">
        <f aca="false">IF(A3206="",0,IF(SUMPRODUCT(--($A$2:$A$5001=A3206))&gt;1,1,0))</f>
        <v>0</v>
      </c>
      <c r="H3206" s="0" t="n">
        <f aca="false">ROW()-1</f>
        <v>3205</v>
      </c>
      <c r="I3206" s="0" t="str">
        <f aca="false">IF(OR(הגדרות!$E$6=0,H3206&gt;הגדרות!$E$5),"",IF(H3206-1&lt;הגדרות!$E$8*(הגדרות!$E$7+1),INT((H3206-1)/(הגדרות!$E$7+1)),הגדרות!$E$8+INT((H3206-1-הגדרות!$E$8*(הגדרות!$E$7+1))/הגדרות!$E$7)))</f>
        <v/>
      </c>
      <c r="J3206" s="0" t="str">
        <f aca="false">IF(I3206="","",IF(H3206-1&lt;הגדרות!$E$8*(הגדרות!$E$7+1),MOD(H3206-1,הגדרות!$E$7+1),MOD(H3206-1-הגדרות!$E$8*(הגדרות!$E$7+1),הגדרות!$E$7)))</f>
        <v/>
      </c>
      <c r="K3206" s="0" t="str">
        <f aca="false">IF(I3206="","",J3206*הגדרות!$E$6+I3206+1)</f>
        <v/>
      </c>
      <c r="L3206" s="0" t="str">
        <f aca="false">IF(K3206="","",MATCH(K3206,$F$2:$F$5001,0))</f>
        <v/>
      </c>
      <c r="M3206" s="0" t="str">
        <f aca="false">IF(I3206="","",INDEX(הגדרות!$A$2:$A$21,MOD(I3206+הגדרות!$E$9,הגדרות!$E$6)+1))</f>
        <v/>
      </c>
    </row>
    <row r="3207" customFormat="false" ht="15" hidden="false" customHeight="false" outlineLevel="0" collapsed="false">
      <c r="A3207" s="0" t="str">
        <f aca="false">IF('הדבקת לידים'!A3207="","",IF(ISNUMBER('הדבקת לידים'!A3207),IF(הגדרות!$E$2&gt;0,TEXT('הדבקת לידים'!A3207,REPT("0",הגדרות!$E$2)),TEXT('הדבקת לידים'!A3207,"0")),TRIM('הדבקת לידים'!A3207)))</f>
        <v/>
      </c>
      <c r="B3207" s="0" t="str">
        <f aca="false">IF('הדבקת לידים'!B3207="","",IF(ISNUMBER('הדבקת לידים'!B3207),IF(הגדרות!$E$3&gt;0,TEXT('הדבקת לידים'!B3207,REPT("0",הגדרות!$E$3)),TEXT('הדבקת לידים'!B3207,"0")),TRIM('הדבקת לידים'!B3207)))</f>
        <v/>
      </c>
      <c r="C3207" s="0" t="n">
        <f aca="false">IF(OR(A3207&lt;&gt;"",B3207&lt;&gt;""),1,0)</f>
        <v>0</v>
      </c>
      <c r="D3207" s="0" t="str">
        <f aca="false">IF(C3207=1,MOD(ABS(SIN(ROW()*12.9898+'הדבקת לידים'!$F$2*78.233+IFERROR(--RIGHT(A3207,6),LEN(A3207))*0.0137+IFERROR(--RIGHT(B3207,6),LEN(B3207))*0.0071))*43758.5453,1),"")</f>
        <v/>
      </c>
      <c r="E3207" s="0" t="str">
        <f aca="false">IF(C3207=1,INT(MOD(ABS(SIN(D3207*7919.123+ROW()*0.618+'הדבקת לידים'!$F$2*1.3))*43758.5453,1)*1000000)*10000+ROW(),"")</f>
        <v/>
      </c>
      <c r="F3207" s="0" t="str">
        <f aca="false">IF(E3207="","",RANK(E3207,$E$2:$E$5001,1))</f>
        <v/>
      </c>
      <c r="G3207" s="0" t="n">
        <f aca="false">IF(A3207="",0,IF(SUMPRODUCT(--($A$2:$A$5001=A3207))&gt;1,1,0))</f>
        <v>0</v>
      </c>
      <c r="H3207" s="0" t="n">
        <f aca="false">ROW()-1</f>
        <v>3206</v>
      </c>
      <c r="I3207" s="0" t="str">
        <f aca="false">IF(OR(הגדרות!$E$6=0,H3207&gt;הגדרות!$E$5),"",IF(H3207-1&lt;הגדרות!$E$8*(הגדרות!$E$7+1),INT((H3207-1)/(הגדרות!$E$7+1)),הגדרות!$E$8+INT((H3207-1-הגדרות!$E$8*(הגדרות!$E$7+1))/הגדרות!$E$7)))</f>
        <v/>
      </c>
      <c r="J3207" s="0" t="str">
        <f aca="false">IF(I3207="","",IF(H3207-1&lt;הגדרות!$E$8*(הגדרות!$E$7+1),MOD(H3207-1,הגדרות!$E$7+1),MOD(H3207-1-הגדרות!$E$8*(הגדרות!$E$7+1),הגדרות!$E$7)))</f>
        <v/>
      </c>
      <c r="K3207" s="0" t="str">
        <f aca="false">IF(I3207="","",J3207*הגדרות!$E$6+I3207+1)</f>
        <v/>
      </c>
      <c r="L3207" s="0" t="str">
        <f aca="false">IF(K3207="","",MATCH(K3207,$F$2:$F$5001,0))</f>
        <v/>
      </c>
      <c r="M3207" s="0" t="str">
        <f aca="false">IF(I3207="","",INDEX(הגדרות!$A$2:$A$21,MOD(I3207+הגדרות!$E$9,הגדרות!$E$6)+1))</f>
        <v/>
      </c>
    </row>
    <row r="3208" customFormat="false" ht="15" hidden="false" customHeight="false" outlineLevel="0" collapsed="false">
      <c r="A3208" s="0" t="str">
        <f aca="false">IF('הדבקת לידים'!A3208="","",IF(ISNUMBER('הדבקת לידים'!A3208),IF(הגדרות!$E$2&gt;0,TEXT('הדבקת לידים'!A3208,REPT("0",הגדרות!$E$2)),TEXT('הדבקת לידים'!A3208,"0")),TRIM('הדבקת לידים'!A3208)))</f>
        <v/>
      </c>
      <c r="B3208" s="0" t="str">
        <f aca="false">IF('הדבקת לידים'!B3208="","",IF(ISNUMBER('הדבקת לידים'!B3208),IF(הגדרות!$E$3&gt;0,TEXT('הדבקת לידים'!B3208,REPT("0",הגדרות!$E$3)),TEXT('הדבקת לידים'!B3208,"0")),TRIM('הדבקת לידים'!B3208)))</f>
        <v/>
      </c>
      <c r="C3208" s="0" t="n">
        <f aca="false">IF(OR(A3208&lt;&gt;"",B3208&lt;&gt;""),1,0)</f>
        <v>0</v>
      </c>
      <c r="D3208" s="0" t="str">
        <f aca="false">IF(C3208=1,MOD(ABS(SIN(ROW()*12.9898+'הדבקת לידים'!$F$2*78.233+IFERROR(--RIGHT(A3208,6),LEN(A3208))*0.0137+IFERROR(--RIGHT(B3208,6),LEN(B3208))*0.0071))*43758.5453,1),"")</f>
        <v/>
      </c>
      <c r="E3208" s="0" t="str">
        <f aca="false">IF(C3208=1,INT(MOD(ABS(SIN(D3208*7919.123+ROW()*0.618+'הדבקת לידים'!$F$2*1.3))*43758.5453,1)*1000000)*10000+ROW(),"")</f>
        <v/>
      </c>
      <c r="F3208" s="0" t="str">
        <f aca="false">IF(E3208="","",RANK(E3208,$E$2:$E$5001,1))</f>
        <v/>
      </c>
      <c r="G3208" s="0" t="n">
        <f aca="false">IF(A3208="",0,IF(SUMPRODUCT(--($A$2:$A$5001=A3208))&gt;1,1,0))</f>
        <v>0</v>
      </c>
      <c r="H3208" s="0" t="n">
        <f aca="false">ROW()-1</f>
        <v>3207</v>
      </c>
      <c r="I3208" s="0" t="str">
        <f aca="false">IF(OR(הגדרות!$E$6=0,H3208&gt;הגדרות!$E$5),"",IF(H3208-1&lt;הגדרות!$E$8*(הגדרות!$E$7+1),INT((H3208-1)/(הגדרות!$E$7+1)),הגדרות!$E$8+INT((H3208-1-הגדרות!$E$8*(הגדרות!$E$7+1))/הגדרות!$E$7)))</f>
        <v/>
      </c>
      <c r="J3208" s="0" t="str">
        <f aca="false">IF(I3208="","",IF(H3208-1&lt;הגדרות!$E$8*(הגדרות!$E$7+1),MOD(H3208-1,הגדרות!$E$7+1),MOD(H3208-1-הגדרות!$E$8*(הגדרות!$E$7+1),הגדרות!$E$7)))</f>
        <v/>
      </c>
      <c r="K3208" s="0" t="str">
        <f aca="false">IF(I3208="","",J3208*הגדרות!$E$6+I3208+1)</f>
        <v/>
      </c>
      <c r="L3208" s="0" t="str">
        <f aca="false">IF(K3208="","",MATCH(K3208,$F$2:$F$5001,0))</f>
        <v/>
      </c>
      <c r="M3208" s="0" t="str">
        <f aca="false">IF(I3208="","",INDEX(הגדרות!$A$2:$A$21,MOD(I3208+הגדרות!$E$9,הגדרות!$E$6)+1))</f>
        <v/>
      </c>
    </row>
    <row r="3209" customFormat="false" ht="15" hidden="false" customHeight="false" outlineLevel="0" collapsed="false">
      <c r="A3209" s="0" t="str">
        <f aca="false">IF('הדבקת לידים'!A3209="","",IF(ISNUMBER('הדבקת לידים'!A3209),IF(הגדרות!$E$2&gt;0,TEXT('הדבקת לידים'!A3209,REPT("0",הגדרות!$E$2)),TEXT('הדבקת לידים'!A3209,"0")),TRIM('הדבקת לידים'!A3209)))</f>
        <v/>
      </c>
      <c r="B3209" s="0" t="str">
        <f aca="false">IF('הדבקת לידים'!B3209="","",IF(ISNUMBER('הדבקת לידים'!B3209),IF(הגדרות!$E$3&gt;0,TEXT('הדבקת לידים'!B3209,REPT("0",הגדרות!$E$3)),TEXT('הדבקת לידים'!B3209,"0")),TRIM('הדבקת לידים'!B3209)))</f>
        <v/>
      </c>
      <c r="C3209" s="0" t="n">
        <f aca="false">IF(OR(A3209&lt;&gt;"",B3209&lt;&gt;""),1,0)</f>
        <v>0</v>
      </c>
      <c r="D3209" s="0" t="str">
        <f aca="false">IF(C3209=1,MOD(ABS(SIN(ROW()*12.9898+'הדבקת לידים'!$F$2*78.233+IFERROR(--RIGHT(A3209,6),LEN(A3209))*0.0137+IFERROR(--RIGHT(B3209,6),LEN(B3209))*0.0071))*43758.5453,1),"")</f>
        <v/>
      </c>
      <c r="E3209" s="0" t="str">
        <f aca="false">IF(C3209=1,INT(MOD(ABS(SIN(D3209*7919.123+ROW()*0.618+'הדבקת לידים'!$F$2*1.3))*43758.5453,1)*1000000)*10000+ROW(),"")</f>
        <v/>
      </c>
      <c r="F3209" s="0" t="str">
        <f aca="false">IF(E3209="","",RANK(E3209,$E$2:$E$5001,1))</f>
        <v/>
      </c>
      <c r="G3209" s="0" t="n">
        <f aca="false">IF(A3209="",0,IF(SUMPRODUCT(--($A$2:$A$5001=A3209))&gt;1,1,0))</f>
        <v>0</v>
      </c>
      <c r="H3209" s="0" t="n">
        <f aca="false">ROW()-1</f>
        <v>3208</v>
      </c>
      <c r="I3209" s="0" t="str">
        <f aca="false">IF(OR(הגדרות!$E$6=0,H3209&gt;הגדרות!$E$5),"",IF(H3209-1&lt;הגדרות!$E$8*(הגדרות!$E$7+1),INT((H3209-1)/(הגדרות!$E$7+1)),הגדרות!$E$8+INT((H3209-1-הגדרות!$E$8*(הגדרות!$E$7+1))/הגדרות!$E$7)))</f>
        <v/>
      </c>
      <c r="J3209" s="0" t="str">
        <f aca="false">IF(I3209="","",IF(H3209-1&lt;הגדרות!$E$8*(הגדרות!$E$7+1),MOD(H3209-1,הגדרות!$E$7+1),MOD(H3209-1-הגדרות!$E$8*(הגדרות!$E$7+1),הגדרות!$E$7)))</f>
        <v/>
      </c>
      <c r="K3209" s="0" t="str">
        <f aca="false">IF(I3209="","",J3209*הגדרות!$E$6+I3209+1)</f>
        <v/>
      </c>
      <c r="L3209" s="0" t="str">
        <f aca="false">IF(K3209="","",MATCH(K3209,$F$2:$F$5001,0))</f>
        <v/>
      </c>
      <c r="M3209" s="0" t="str">
        <f aca="false">IF(I3209="","",INDEX(הגדרות!$A$2:$A$21,MOD(I3209+הגדרות!$E$9,הגדרות!$E$6)+1))</f>
        <v/>
      </c>
    </row>
    <row r="3210" customFormat="false" ht="15" hidden="false" customHeight="false" outlineLevel="0" collapsed="false">
      <c r="A3210" s="0" t="str">
        <f aca="false">IF('הדבקת לידים'!A3210="","",IF(ISNUMBER('הדבקת לידים'!A3210),IF(הגדרות!$E$2&gt;0,TEXT('הדבקת לידים'!A3210,REPT("0",הגדרות!$E$2)),TEXT('הדבקת לידים'!A3210,"0")),TRIM('הדבקת לידים'!A3210)))</f>
        <v/>
      </c>
      <c r="B3210" s="0" t="str">
        <f aca="false">IF('הדבקת לידים'!B3210="","",IF(ISNUMBER('הדבקת לידים'!B3210),IF(הגדרות!$E$3&gt;0,TEXT('הדבקת לידים'!B3210,REPT("0",הגדרות!$E$3)),TEXT('הדבקת לידים'!B3210,"0")),TRIM('הדבקת לידים'!B3210)))</f>
        <v/>
      </c>
      <c r="C3210" s="0" t="n">
        <f aca="false">IF(OR(A3210&lt;&gt;"",B3210&lt;&gt;""),1,0)</f>
        <v>0</v>
      </c>
      <c r="D3210" s="0" t="str">
        <f aca="false">IF(C3210=1,MOD(ABS(SIN(ROW()*12.9898+'הדבקת לידים'!$F$2*78.233+IFERROR(--RIGHT(A3210,6),LEN(A3210))*0.0137+IFERROR(--RIGHT(B3210,6),LEN(B3210))*0.0071))*43758.5453,1),"")</f>
        <v/>
      </c>
      <c r="E3210" s="0" t="str">
        <f aca="false">IF(C3210=1,INT(MOD(ABS(SIN(D3210*7919.123+ROW()*0.618+'הדבקת לידים'!$F$2*1.3))*43758.5453,1)*1000000)*10000+ROW(),"")</f>
        <v/>
      </c>
      <c r="F3210" s="0" t="str">
        <f aca="false">IF(E3210="","",RANK(E3210,$E$2:$E$5001,1))</f>
        <v/>
      </c>
      <c r="G3210" s="0" t="n">
        <f aca="false">IF(A3210="",0,IF(SUMPRODUCT(--($A$2:$A$5001=A3210))&gt;1,1,0))</f>
        <v>0</v>
      </c>
      <c r="H3210" s="0" t="n">
        <f aca="false">ROW()-1</f>
        <v>3209</v>
      </c>
      <c r="I3210" s="0" t="str">
        <f aca="false">IF(OR(הגדרות!$E$6=0,H3210&gt;הגדרות!$E$5),"",IF(H3210-1&lt;הגדרות!$E$8*(הגדרות!$E$7+1),INT((H3210-1)/(הגדרות!$E$7+1)),הגדרות!$E$8+INT((H3210-1-הגדרות!$E$8*(הגדרות!$E$7+1))/הגדרות!$E$7)))</f>
        <v/>
      </c>
      <c r="J3210" s="0" t="str">
        <f aca="false">IF(I3210="","",IF(H3210-1&lt;הגדרות!$E$8*(הגדרות!$E$7+1),MOD(H3210-1,הגדרות!$E$7+1),MOD(H3210-1-הגדרות!$E$8*(הגדרות!$E$7+1),הגדרות!$E$7)))</f>
        <v/>
      </c>
      <c r="K3210" s="0" t="str">
        <f aca="false">IF(I3210="","",J3210*הגדרות!$E$6+I3210+1)</f>
        <v/>
      </c>
      <c r="L3210" s="0" t="str">
        <f aca="false">IF(K3210="","",MATCH(K3210,$F$2:$F$5001,0))</f>
        <v/>
      </c>
      <c r="M3210" s="0" t="str">
        <f aca="false">IF(I3210="","",INDEX(הגדרות!$A$2:$A$21,MOD(I3210+הגדרות!$E$9,הגדרות!$E$6)+1))</f>
        <v/>
      </c>
    </row>
    <row r="3211" customFormat="false" ht="15" hidden="false" customHeight="false" outlineLevel="0" collapsed="false">
      <c r="A3211" s="0" t="str">
        <f aca="false">IF('הדבקת לידים'!A3211="","",IF(ISNUMBER('הדבקת לידים'!A3211),IF(הגדרות!$E$2&gt;0,TEXT('הדבקת לידים'!A3211,REPT("0",הגדרות!$E$2)),TEXT('הדבקת לידים'!A3211,"0")),TRIM('הדבקת לידים'!A3211)))</f>
        <v/>
      </c>
      <c r="B3211" s="0" t="str">
        <f aca="false">IF('הדבקת לידים'!B3211="","",IF(ISNUMBER('הדבקת לידים'!B3211),IF(הגדרות!$E$3&gt;0,TEXT('הדבקת לידים'!B3211,REPT("0",הגדרות!$E$3)),TEXT('הדבקת לידים'!B3211,"0")),TRIM('הדבקת לידים'!B3211)))</f>
        <v/>
      </c>
      <c r="C3211" s="0" t="n">
        <f aca="false">IF(OR(A3211&lt;&gt;"",B3211&lt;&gt;""),1,0)</f>
        <v>0</v>
      </c>
      <c r="D3211" s="0" t="str">
        <f aca="false">IF(C3211=1,MOD(ABS(SIN(ROW()*12.9898+'הדבקת לידים'!$F$2*78.233+IFERROR(--RIGHT(A3211,6),LEN(A3211))*0.0137+IFERROR(--RIGHT(B3211,6),LEN(B3211))*0.0071))*43758.5453,1),"")</f>
        <v/>
      </c>
      <c r="E3211" s="0" t="str">
        <f aca="false">IF(C3211=1,INT(MOD(ABS(SIN(D3211*7919.123+ROW()*0.618+'הדבקת לידים'!$F$2*1.3))*43758.5453,1)*1000000)*10000+ROW(),"")</f>
        <v/>
      </c>
      <c r="F3211" s="0" t="str">
        <f aca="false">IF(E3211="","",RANK(E3211,$E$2:$E$5001,1))</f>
        <v/>
      </c>
      <c r="G3211" s="0" t="n">
        <f aca="false">IF(A3211="",0,IF(SUMPRODUCT(--($A$2:$A$5001=A3211))&gt;1,1,0))</f>
        <v>0</v>
      </c>
      <c r="H3211" s="0" t="n">
        <f aca="false">ROW()-1</f>
        <v>3210</v>
      </c>
      <c r="I3211" s="0" t="str">
        <f aca="false">IF(OR(הגדרות!$E$6=0,H3211&gt;הגדרות!$E$5),"",IF(H3211-1&lt;הגדרות!$E$8*(הגדרות!$E$7+1),INT((H3211-1)/(הגדרות!$E$7+1)),הגדרות!$E$8+INT((H3211-1-הגדרות!$E$8*(הגדרות!$E$7+1))/הגדרות!$E$7)))</f>
        <v/>
      </c>
      <c r="J3211" s="0" t="str">
        <f aca="false">IF(I3211="","",IF(H3211-1&lt;הגדרות!$E$8*(הגדרות!$E$7+1),MOD(H3211-1,הגדרות!$E$7+1),MOD(H3211-1-הגדרות!$E$8*(הגדרות!$E$7+1),הגדרות!$E$7)))</f>
        <v/>
      </c>
      <c r="K3211" s="0" t="str">
        <f aca="false">IF(I3211="","",J3211*הגדרות!$E$6+I3211+1)</f>
        <v/>
      </c>
      <c r="L3211" s="0" t="str">
        <f aca="false">IF(K3211="","",MATCH(K3211,$F$2:$F$5001,0))</f>
        <v/>
      </c>
      <c r="M3211" s="0" t="str">
        <f aca="false">IF(I3211="","",INDEX(הגדרות!$A$2:$A$21,MOD(I3211+הגדרות!$E$9,הגדרות!$E$6)+1))</f>
        <v/>
      </c>
    </row>
    <row r="3212" customFormat="false" ht="15" hidden="false" customHeight="false" outlineLevel="0" collapsed="false">
      <c r="A3212" s="0" t="str">
        <f aca="false">IF('הדבקת לידים'!A3212="","",IF(ISNUMBER('הדבקת לידים'!A3212),IF(הגדרות!$E$2&gt;0,TEXT('הדבקת לידים'!A3212,REPT("0",הגדרות!$E$2)),TEXT('הדבקת לידים'!A3212,"0")),TRIM('הדבקת לידים'!A3212)))</f>
        <v/>
      </c>
      <c r="B3212" s="0" t="str">
        <f aca="false">IF('הדבקת לידים'!B3212="","",IF(ISNUMBER('הדבקת לידים'!B3212),IF(הגדרות!$E$3&gt;0,TEXT('הדבקת לידים'!B3212,REPT("0",הגדרות!$E$3)),TEXT('הדבקת לידים'!B3212,"0")),TRIM('הדבקת לידים'!B3212)))</f>
        <v/>
      </c>
      <c r="C3212" s="0" t="n">
        <f aca="false">IF(OR(A3212&lt;&gt;"",B3212&lt;&gt;""),1,0)</f>
        <v>0</v>
      </c>
      <c r="D3212" s="0" t="str">
        <f aca="false">IF(C3212=1,MOD(ABS(SIN(ROW()*12.9898+'הדבקת לידים'!$F$2*78.233+IFERROR(--RIGHT(A3212,6),LEN(A3212))*0.0137+IFERROR(--RIGHT(B3212,6),LEN(B3212))*0.0071))*43758.5453,1),"")</f>
        <v/>
      </c>
      <c r="E3212" s="0" t="str">
        <f aca="false">IF(C3212=1,INT(MOD(ABS(SIN(D3212*7919.123+ROW()*0.618+'הדבקת לידים'!$F$2*1.3))*43758.5453,1)*1000000)*10000+ROW(),"")</f>
        <v/>
      </c>
      <c r="F3212" s="0" t="str">
        <f aca="false">IF(E3212="","",RANK(E3212,$E$2:$E$5001,1))</f>
        <v/>
      </c>
      <c r="G3212" s="0" t="n">
        <f aca="false">IF(A3212="",0,IF(SUMPRODUCT(--($A$2:$A$5001=A3212))&gt;1,1,0))</f>
        <v>0</v>
      </c>
      <c r="H3212" s="0" t="n">
        <f aca="false">ROW()-1</f>
        <v>3211</v>
      </c>
      <c r="I3212" s="0" t="str">
        <f aca="false">IF(OR(הגדרות!$E$6=0,H3212&gt;הגדרות!$E$5),"",IF(H3212-1&lt;הגדרות!$E$8*(הגדרות!$E$7+1),INT((H3212-1)/(הגדרות!$E$7+1)),הגדרות!$E$8+INT((H3212-1-הגדרות!$E$8*(הגדרות!$E$7+1))/הגדרות!$E$7)))</f>
        <v/>
      </c>
      <c r="J3212" s="0" t="str">
        <f aca="false">IF(I3212="","",IF(H3212-1&lt;הגדרות!$E$8*(הגדרות!$E$7+1),MOD(H3212-1,הגדרות!$E$7+1),MOD(H3212-1-הגדרות!$E$8*(הגדרות!$E$7+1),הגדרות!$E$7)))</f>
        <v/>
      </c>
      <c r="K3212" s="0" t="str">
        <f aca="false">IF(I3212="","",J3212*הגדרות!$E$6+I3212+1)</f>
        <v/>
      </c>
      <c r="L3212" s="0" t="str">
        <f aca="false">IF(K3212="","",MATCH(K3212,$F$2:$F$5001,0))</f>
        <v/>
      </c>
      <c r="M3212" s="0" t="str">
        <f aca="false">IF(I3212="","",INDEX(הגדרות!$A$2:$A$21,MOD(I3212+הגדרות!$E$9,הגדרות!$E$6)+1))</f>
        <v/>
      </c>
    </row>
    <row r="3213" customFormat="false" ht="15" hidden="false" customHeight="false" outlineLevel="0" collapsed="false">
      <c r="A3213" s="0" t="str">
        <f aca="false">IF('הדבקת לידים'!A3213="","",IF(ISNUMBER('הדבקת לידים'!A3213),IF(הגדרות!$E$2&gt;0,TEXT('הדבקת לידים'!A3213,REPT("0",הגדרות!$E$2)),TEXT('הדבקת לידים'!A3213,"0")),TRIM('הדבקת לידים'!A3213)))</f>
        <v/>
      </c>
      <c r="B3213" s="0" t="str">
        <f aca="false">IF('הדבקת לידים'!B3213="","",IF(ISNUMBER('הדבקת לידים'!B3213),IF(הגדרות!$E$3&gt;0,TEXT('הדבקת לידים'!B3213,REPT("0",הגדרות!$E$3)),TEXT('הדבקת לידים'!B3213,"0")),TRIM('הדבקת לידים'!B3213)))</f>
        <v/>
      </c>
      <c r="C3213" s="0" t="n">
        <f aca="false">IF(OR(A3213&lt;&gt;"",B3213&lt;&gt;""),1,0)</f>
        <v>0</v>
      </c>
      <c r="D3213" s="0" t="str">
        <f aca="false">IF(C3213=1,MOD(ABS(SIN(ROW()*12.9898+'הדבקת לידים'!$F$2*78.233+IFERROR(--RIGHT(A3213,6),LEN(A3213))*0.0137+IFERROR(--RIGHT(B3213,6),LEN(B3213))*0.0071))*43758.5453,1),"")</f>
        <v/>
      </c>
      <c r="E3213" s="0" t="str">
        <f aca="false">IF(C3213=1,INT(MOD(ABS(SIN(D3213*7919.123+ROW()*0.618+'הדבקת לידים'!$F$2*1.3))*43758.5453,1)*1000000)*10000+ROW(),"")</f>
        <v/>
      </c>
      <c r="F3213" s="0" t="str">
        <f aca="false">IF(E3213="","",RANK(E3213,$E$2:$E$5001,1))</f>
        <v/>
      </c>
      <c r="G3213" s="0" t="n">
        <f aca="false">IF(A3213="",0,IF(SUMPRODUCT(--($A$2:$A$5001=A3213))&gt;1,1,0))</f>
        <v>0</v>
      </c>
      <c r="H3213" s="0" t="n">
        <f aca="false">ROW()-1</f>
        <v>3212</v>
      </c>
      <c r="I3213" s="0" t="str">
        <f aca="false">IF(OR(הגדרות!$E$6=0,H3213&gt;הגדרות!$E$5),"",IF(H3213-1&lt;הגדרות!$E$8*(הגדרות!$E$7+1),INT((H3213-1)/(הגדרות!$E$7+1)),הגדרות!$E$8+INT((H3213-1-הגדרות!$E$8*(הגדרות!$E$7+1))/הגדרות!$E$7)))</f>
        <v/>
      </c>
      <c r="J3213" s="0" t="str">
        <f aca="false">IF(I3213="","",IF(H3213-1&lt;הגדרות!$E$8*(הגדרות!$E$7+1),MOD(H3213-1,הגדרות!$E$7+1),MOD(H3213-1-הגדרות!$E$8*(הגדרות!$E$7+1),הגדרות!$E$7)))</f>
        <v/>
      </c>
      <c r="K3213" s="0" t="str">
        <f aca="false">IF(I3213="","",J3213*הגדרות!$E$6+I3213+1)</f>
        <v/>
      </c>
      <c r="L3213" s="0" t="str">
        <f aca="false">IF(K3213="","",MATCH(K3213,$F$2:$F$5001,0))</f>
        <v/>
      </c>
      <c r="M3213" s="0" t="str">
        <f aca="false">IF(I3213="","",INDEX(הגדרות!$A$2:$A$21,MOD(I3213+הגדרות!$E$9,הגדרות!$E$6)+1))</f>
        <v/>
      </c>
    </row>
    <row r="3214" customFormat="false" ht="15" hidden="false" customHeight="false" outlineLevel="0" collapsed="false">
      <c r="A3214" s="0" t="str">
        <f aca="false">IF('הדבקת לידים'!A3214="","",IF(ISNUMBER('הדבקת לידים'!A3214),IF(הגדרות!$E$2&gt;0,TEXT('הדבקת לידים'!A3214,REPT("0",הגדרות!$E$2)),TEXT('הדבקת לידים'!A3214,"0")),TRIM('הדבקת לידים'!A3214)))</f>
        <v/>
      </c>
      <c r="B3214" s="0" t="str">
        <f aca="false">IF('הדבקת לידים'!B3214="","",IF(ISNUMBER('הדבקת לידים'!B3214),IF(הגדרות!$E$3&gt;0,TEXT('הדבקת לידים'!B3214,REPT("0",הגדרות!$E$3)),TEXT('הדבקת לידים'!B3214,"0")),TRIM('הדבקת לידים'!B3214)))</f>
        <v/>
      </c>
      <c r="C3214" s="0" t="n">
        <f aca="false">IF(OR(A3214&lt;&gt;"",B3214&lt;&gt;""),1,0)</f>
        <v>0</v>
      </c>
      <c r="D3214" s="0" t="str">
        <f aca="false">IF(C3214=1,MOD(ABS(SIN(ROW()*12.9898+'הדבקת לידים'!$F$2*78.233+IFERROR(--RIGHT(A3214,6),LEN(A3214))*0.0137+IFERROR(--RIGHT(B3214,6),LEN(B3214))*0.0071))*43758.5453,1),"")</f>
        <v/>
      </c>
      <c r="E3214" s="0" t="str">
        <f aca="false">IF(C3214=1,INT(MOD(ABS(SIN(D3214*7919.123+ROW()*0.618+'הדבקת לידים'!$F$2*1.3))*43758.5453,1)*1000000)*10000+ROW(),"")</f>
        <v/>
      </c>
      <c r="F3214" s="0" t="str">
        <f aca="false">IF(E3214="","",RANK(E3214,$E$2:$E$5001,1))</f>
        <v/>
      </c>
      <c r="G3214" s="0" t="n">
        <f aca="false">IF(A3214="",0,IF(SUMPRODUCT(--($A$2:$A$5001=A3214))&gt;1,1,0))</f>
        <v>0</v>
      </c>
      <c r="H3214" s="0" t="n">
        <f aca="false">ROW()-1</f>
        <v>3213</v>
      </c>
      <c r="I3214" s="0" t="str">
        <f aca="false">IF(OR(הגדרות!$E$6=0,H3214&gt;הגדרות!$E$5),"",IF(H3214-1&lt;הגדרות!$E$8*(הגדרות!$E$7+1),INT((H3214-1)/(הגדרות!$E$7+1)),הגדרות!$E$8+INT((H3214-1-הגדרות!$E$8*(הגדרות!$E$7+1))/הגדרות!$E$7)))</f>
        <v/>
      </c>
      <c r="J3214" s="0" t="str">
        <f aca="false">IF(I3214="","",IF(H3214-1&lt;הגדרות!$E$8*(הגדרות!$E$7+1),MOD(H3214-1,הגדרות!$E$7+1),MOD(H3214-1-הגדרות!$E$8*(הגדרות!$E$7+1),הגדרות!$E$7)))</f>
        <v/>
      </c>
      <c r="K3214" s="0" t="str">
        <f aca="false">IF(I3214="","",J3214*הגדרות!$E$6+I3214+1)</f>
        <v/>
      </c>
      <c r="L3214" s="0" t="str">
        <f aca="false">IF(K3214="","",MATCH(K3214,$F$2:$F$5001,0))</f>
        <v/>
      </c>
      <c r="M3214" s="0" t="str">
        <f aca="false">IF(I3214="","",INDEX(הגדרות!$A$2:$A$21,MOD(I3214+הגדרות!$E$9,הגדרות!$E$6)+1))</f>
        <v/>
      </c>
    </row>
    <row r="3215" customFormat="false" ht="15" hidden="false" customHeight="false" outlineLevel="0" collapsed="false">
      <c r="A3215" s="0" t="str">
        <f aca="false">IF('הדבקת לידים'!A3215="","",IF(ISNUMBER('הדבקת לידים'!A3215),IF(הגדרות!$E$2&gt;0,TEXT('הדבקת לידים'!A3215,REPT("0",הגדרות!$E$2)),TEXT('הדבקת לידים'!A3215,"0")),TRIM('הדבקת לידים'!A3215)))</f>
        <v/>
      </c>
      <c r="B3215" s="0" t="str">
        <f aca="false">IF('הדבקת לידים'!B3215="","",IF(ISNUMBER('הדבקת לידים'!B3215),IF(הגדרות!$E$3&gt;0,TEXT('הדבקת לידים'!B3215,REPT("0",הגדרות!$E$3)),TEXT('הדבקת לידים'!B3215,"0")),TRIM('הדבקת לידים'!B3215)))</f>
        <v/>
      </c>
      <c r="C3215" s="0" t="n">
        <f aca="false">IF(OR(A3215&lt;&gt;"",B3215&lt;&gt;""),1,0)</f>
        <v>0</v>
      </c>
      <c r="D3215" s="0" t="str">
        <f aca="false">IF(C3215=1,MOD(ABS(SIN(ROW()*12.9898+'הדבקת לידים'!$F$2*78.233+IFERROR(--RIGHT(A3215,6),LEN(A3215))*0.0137+IFERROR(--RIGHT(B3215,6),LEN(B3215))*0.0071))*43758.5453,1),"")</f>
        <v/>
      </c>
      <c r="E3215" s="0" t="str">
        <f aca="false">IF(C3215=1,INT(MOD(ABS(SIN(D3215*7919.123+ROW()*0.618+'הדבקת לידים'!$F$2*1.3))*43758.5453,1)*1000000)*10000+ROW(),"")</f>
        <v/>
      </c>
      <c r="F3215" s="0" t="str">
        <f aca="false">IF(E3215="","",RANK(E3215,$E$2:$E$5001,1))</f>
        <v/>
      </c>
      <c r="G3215" s="0" t="n">
        <f aca="false">IF(A3215="",0,IF(SUMPRODUCT(--($A$2:$A$5001=A3215))&gt;1,1,0))</f>
        <v>0</v>
      </c>
      <c r="H3215" s="0" t="n">
        <f aca="false">ROW()-1</f>
        <v>3214</v>
      </c>
      <c r="I3215" s="0" t="str">
        <f aca="false">IF(OR(הגדרות!$E$6=0,H3215&gt;הגדרות!$E$5),"",IF(H3215-1&lt;הגדרות!$E$8*(הגדרות!$E$7+1),INT((H3215-1)/(הגדרות!$E$7+1)),הגדרות!$E$8+INT((H3215-1-הגדרות!$E$8*(הגדרות!$E$7+1))/הגדרות!$E$7)))</f>
        <v/>
      </c>
      <c r="J3215" s="0" t="str">
        <f aca="false">IF(I3215="","",IF(H3215-1&lt;הגדרות!$E$8*(הגדרות!$E$7+1),MOD(H3215-1,הגדרות!$E$7+1),MOD(H3215-1-הגדרות!$E$8*(הגדרות!$E$7+1),הגדרות!$E$7)))</f>
        <v/>
      </c>
      <c r="K3215" s="0" t="str">
        <f aca="false">IF(I3215="","",J3215*הגדרות!$E$6+I3215+1)</f>
        <v/>
      </c>
      <c r="L3215" s="0" t="str">
        <f aca="false">IF(K3215="","",MATCH(K3215,$F$2:$F$5001,0))</f>
        <v/>
      </c>
      <c r="M3215" s="0" t="str">
        <f aca="false">IF(I3215="","",INDEX(הגדרות!$A$2:$A$21,MOD(I3215+הגדרות!$E$9,הגדרות!$E$6)+1))</f>
        <v/>
      </c>
    </row>
    <row r="3216" customFormat="false" ht="15" hidden="false" customHeight="false" outlineLevel="0" collapsed="false">
      <c r="A3216" s="0" t="str">
        <f aca="false">IF('הדבקת לידים'!A3216="","",IF(ISNUMBER('הדבקת לידים'!A3216),IF(הגדרות!$E$2&gt;0,TEXT('הדבקת לידים'!A3216,REPT("0",הגדרות!$E$2)),TEXT('הדבקת לידים'!A3216,"0")),TRIM('הדבקת לידים'!A3216)))</f>
        <v/>
      </c>
      <c r="B3216" s="0" t="str">
        <f aca="false">IF('הדבקת לידים'!B3216="","",IF(ISNUMBER('הדבקת לידים'!B3216),IF(הגדרות!$E$3&gt;0,TEXT('הדבקת לידים'!B3216,REPT("0",הגדרות!$E$3)),TEXT('הדבקת לידים'!B3216,"0")),TRIM('הדבקת לידים'!B3216)))</f>
        <v/>
      </c>
      <c r="C3216" s="0" t="n">
        <f aca="false">IF(OR(A3216&lt;&gt;"",B3216&lt;&gt;""),1,0)</f>
        <v>0</v>
      </c>
      <c r="D3216" s="0" t="str">
        <f aca="false">IF(C3216=1,MOD(ABS(SIN(ROW()*12.9898+'הדבקת לידים'!$F$2*78.233+IFERROR(--RIGHT(A3216,6),LEN(A3216))*0.0137+IFERROR(--RIGHT(B3216,6),LEN(B3216))*0.0071))*43758.5453,1),"")</f>
        <v/>
      </c>
      <c r="E3216" s="0" t="str">
        <f aca="false">IF(C3216=1,INT(MOD(ABS(SIN(D3216*7919.123+ROW()*0.618+'הדבקת לידים'!$F$2*1.3))*43758.5453,1)*1000000)*10000+ROW(),"")</f>
        <v/>
      </c>
      <c r="F3216" s="0" t="str">
        <f aca="false">IF(E3216="","",RANK(E3216,$E$2:$E$5001,1))</f>
        <v/>
      </c>
      <c r="G3216" s="0" t="n">
        <f aca="false">IF(A3216="",0,IF(SUMPRODUCT(--($A$2:$A$5001=A3216))&gt;1,1,0))</f>
        <v>0</v>
      </c>
      <c r="H3216" s="0" t="n">
        <f aca="false">ROW()-1</f>
        <v>3215</v>
      </c>
      <c r="I3216" s="0" t="str">
        <f aca="false">IF(OR(הגדרות!$E$6=0,H3216&gt;הגדרות!$E$5),"",IF(H3216-1&lt;הגדרות!$E$8*(הגדרות!$E$7+1),INT((H3216-1)/(הגדרות!$E$7+1)),הגדרות!$E$8+INT((H3216-1-הגדרות!$E$8*(הגדרות!$E$7+1))/הגדרות!$E$7)))</f>
        <v/>
      </c>
      <c r="J3216" s="0" t="str">
        <f aca="false">IF(I3216="","",IF(H3216-1&lt;הגדרות!$E$8*(הגדרות!$E$7+1),MOD(H3216-1,הגדרות!$E$7+1),MOD(H3216-1-הגדרות!$E$8*(הגדרות!$E$7+1),הגדרות!$E$7)))</f>
        <v/>
      </c>
      <c r="K3216" s="0" t="str">
        <f aca="false">IF(I3216="","",J3216*הגדרות!$E$6+I3216+1)</f>
        <v/>
      </c>
      <c r="L3216" s="0" t="str">
        <f aca="false">IF(K3216="","",MATCH(K3216,$F$2:$F$5001,0))</f>
        <v/>
      </c>
      <c r="M3216" s="0" t="str">
        <f aca="false">IF(I3216="","",INDEX(הגדרות!$A$2:$A$21,MOD(I3216+הגדרות!$E$9,הגדרות!$E$6)+1))</f>
        <v/>
      </c>
    </row>
    <row r="3217" customFormat="false" ht="15" hidden="false" customHeight="false" outlineLevel="0" collapsed="false">
      <c r="A3217" s="0" t="str">
        <f aca="false">IF('הדבקת לידים'!A3217="","",IF(ISNUMBER('הדבקת לידים'!A3217),IF(הגדרות!$E$2&gt;0,TEXT('הדבקת לידים'!A3217,REPT("0",הגדרות!$E$2)),TEXT('הדבקת לידים'!A3217,"0")),TRIM('הדבקת לידים'!A3217)))</f>
        <v/>
      </c>
      <c r="B3217" s="0" t="str">
        <f aca="false">IF('הדבקת לידים'!B3217="","",IF(ISNUMBER('הדבקת לידים'!B3217),IF(הגדרות!$E$3&gt;0,TEXT('הדבקת לידים'!B3217,REPT("0",הגדרות!$E$3)),TEXT('הדבקת לידים'!B3217,"0")),TRIM('הדבקת לידים'!B3217)))</f>
        <v/>
      </c>
      <c r="C3217" s="0" t="n">
        <f aca="false">IF(OR(A3217&lt;&gt;"",B3217&lt;&gt;""),1,0)</f>
        <v>0</v>
      </c>
      <c r="D3217" s="0" t="str">
        <f aca="false">IF(C3217=1,MOD(ABS(SIN(ROW()*12.9898+'הדבקת לידים'!$F$2*78.233+IFERROR(--RIGHT(A3217,6),LEN(A3217))*0.0137+IFERROR(--RIGHT(B3217,6),LEN(B3217))*0.0071))*43758.5453,1),"")</f>
        <v/>
      </c>
      <c r="E3217" s="0" t="str">
        <f aca="false">IF(C3217=1,INT(MOD(ABS(SIN(D3217*7919.123+ROW()*0.618+'הדבקת לידים'!$F$2*1.3))*43758.5453,1)*1000000)*10000+ROW(),"")</f>
        <v/>
      </c>
      <c r="F3217" s="0" t="str">
        <f aca="false">IF(E3217="","",RANK(E3217,$E$2:$E$5001,1))</f>
        <v/>
      </c>
      <c r="G3217" s="0" t="n">
        <f aca="false">IF(A3217="",0,IF(SUMPRODUCT(--($A$2:$A$5001=A3217))&gt;1,1,0))</f>
        <v>0</v>
      </c>
      <c r="H3217" s="0" t="n">
        <f aca="false">ROW()-1</f>
        <v>3216</v>
      </c>
      <c r="I3217" s="0" t="str">
        <f aca="false">IF(OR(הגדרות!$E$6=0,H3217&gt;הגדרות!$E$5),"",IF(H3217-1&lt;הגדרות!$E$8*(הגדרות!$E$7+1),INT((H3217-1)/(הגדרות!$E$7+1)),הגדרות!$E$8+INT((H3217-1-הגדרות!$E$8*(הגדרות!$E$7+1))/הגדרות!$E$7)))</f>
        <v/>
      </c>
      <c r="J3217" s="0" t="str">
        <f aca="false">IF(I3217="","",IF(H3217-1&lt;הגדרות!$E$8*(הגדרות!$E$7+1),MOD(H3217-1,הגדרות!$E$7+1),MOD(H3217-1-הגדרות!$E$8*(הגדרות!$E$7+1),הגדרות!$E$7)))</f>
        <v/>
      </c>
      <c r="K3217" s="0" t="str">
        <f aca="false">IF(I3217="","",J3217*הגדרות!$E$6+I3217+1)</f>
        <v/>
      </c>
      <c r="L3217" s="0" t="str">
        <f aca="false">IF(K3217="","",MATCH(K3217,$F$2:$F$5001,0))</f>
        <v/>
      </c>
      <c r="M3217" s="0" t="str">
        <f aca="false">IF(I3217="","",INDEX(הגדרות!$A$2:$A$21,MOD(I3217+הגדרות!$E$9,הגדרות!$E$6)+1))</f>
        <v/>
      </c>
    </row>
    <row r="3218" customFormat="false" ht="15" hidden="false" customHeight="false" outlineLevel="0" collapsed="false">
      <c r="A3218" s="0" t="str">
        <f aca="false">IF('הדבקת לידים'!A3218="","",IF(ISNUMBER('הדבקת לידים'!A3218),IF(הגדרות!$E$2&gt;0,TEXT('הדבקת לידים'!A3218,REPT("0",הגדרות!$E$2)),TEXT('הדבקת לידים'!A3218,"0")),TRIM('הדבקת לידים'!A3218)))</f>
        <v/>
      </c>
      <c r="B3218" s="0" t="str">
        <f aca="false">IF('הדבקת לידים'!B3218="","",IF(ISNUMBER('הדבקת לידים'!B3218),IF(הגדרות!$E$3&gt;0,TEXT('הדבקת לידים'!B3218,REPT("0",הגדרות!$E$3)),TEXT('הדבקת לידים'!B3218,"0")),TRIM('הדבקת לידים'!B3218)))</f>
        <v/>
      </c>
      <c r="C3218" s="0" t="n">
        <f aca="false">IF(OR(A3218&lt;&gt;"",B3218&lt;&gt;""),1,0)</f>
        <v>0</v>
      </c>
      <c r="D3218" s="0" t="str">
        <f aca="false">IF(C3218=1,MOD(ABS(SIN(ROW()*12.9898+'הדבקת לידים'!$F$2*78.233+IFERROR(--RIGHT(A3218,6),LEN(A3218))*0.0137+IFERROR(--RIGHT(B3218,6),LEN(B3218))*0.0071))*43758.5453,1),"")</f>
        <v/>
      </c>
      <c r="E3218" s="0" t="str">
        <f aca="false">IF(C3218=1,INT(MOD(ABS(SIN(D3218*7919.123+ROW()*0.618+'הדבקת לידים'!$F$2*1.3))*43758.5453,1)*1000000)*10000+ROW(),"")</f>
        <v/>
      </c>
      <c r="F3218" s="0" t="str">
        <f aca="false">IF(E3218="","",RANK(E3218,$E$2:$E$5001,1))</f>
        <v/>
      </c>
      <c r="G3218" s="0" t="n">
        <f aca="false">IF(A3218="",0,IF(SUMPRODUCT(--($A$2:$A$5001=A3218))&gt;1,1,0))</f>
        <v>0</v>
      </c>
      <c r="H3218" s="0" t="n">
        <f aca="false">ROW()-1</f>
        <v>3217</v>
      </c>
      <c r="I3218" s="0" t="str">
        <f aca="false">IF(OR(הגדרות!$E$6=0,H3218&gt;הגדרות!$E$5),"",IF(H3218-1&lt;הגדרות!$E$8*(הגדרות!$E$7+1),INT((H3218-1)/(הגדרות!$E$7+1)),הגדרות!$E$8+INT((H3218-1-הגדרות!$E$8*(הגדרות!$E$7+1))/הגדרות!$E$7)))</f>
        <v/>
      </c>
      <c r="J3218" s="0" t="str">
        <f aca="false">IF(I3218="","",IF(H3218-1&lt;הגדרות!$E$8*(הגדרות!$E$7+1),MOD(H3218-1,הגדרות!$E$7+1),MOD(H3218-1-הגדרות!$E$8*(הגדרות!$E$7+1),הגדרות!$E$7)))</f>
        <v/>
      </c>
      <c r="K3218" s="0" t="str">
        <f aca="false">IF(I3218="","",J3218*הגדרות!$E$6+I3218+1)</f>
        <v/>
      </c>
      <c r="L3218" s="0" t="str">
        <f aca="false">IF(K3218="","",MATCH(K3218,$F$2:$F$5001,0))</f>
        <v/>
      </c>
      <c r="M3218" s="0" t="str">
        <f aca="false">IF(I3218="","",INDEX(הגדרות!$A$2:$A$21,MOD(I3218+הגדרות!$E$9,הגדרות!$E$6)+1))</f>
        <v/>
      </c>
    </row>
    <row r="3219" customFormat="false" ht="15" hidden="false" customHeight="false" outlineLevel="0" collapsed="false">
      <c r="A3219" s="0" t="str">
        <f aca="false">IF('הדבקת לידים'!A3219="","",IF(ISNUMBER('הדבקת לידים'!A3219),IF(הגדרות!$E$2&gt;0,TEXT('הדבקת לידים'!A3219,REPT("0",הגדרות!$E$2)),TEXT('הדבקת לידים'!A3219,"0")),TRIM('הדבקת לידים'!A3219)))</f>
        <v/>
      </c>
      <c r="B3219" s="0" t="str">
        <f aca="false">IF('הדבקת לידים'!B3219="","",IF(ISNUMBER('הדבקת לידים'!B3219),IF(הגדרות!$E$3&gt;0,TEXT('הדבקת לידים'!B3219,REPT("0",הגדרות!$E$3)),TEXT('הדבקת לידים'!B3219,"0")),TRIM('הדבקת לידים'!B3219)))</f>
        <v/>
      </c>
      <c r="C3219" s="0" t="n">
        <f aca="false">IF(OR(A3219&lt;&gt;"",B3219&lt;&gt;""),1,0)</f>
        <v>0</v>
      </c>
      <c r="D3219" s="0" t="str">
        <f aca="false">IF(C3219=1,MOD(ABS(SIN(ROW()*12.9898+'הדבקת לידים'!$F$2*78.233+IFERROR(--RIGHT(A3219,6),LEN(A3219))*0.0137+IFERROR(--RIGHT(B3219,6),LEN(B3219))*0.0071))*43758.5453,1),"")</f>
        <v/>
      </c>
      <c r="E3219" s="0" t="str">
        <f aca="false">IF(C3219=1,INT(MOD(ABS(SIN(D3219*7919.123+ROW()*0.618+'הדבקת לידים'!$F$2*1.3))*43758.5453,1)*1000000)*10000+ROW(),"")</f>
        <v/>
      </c>
      <c r="F3219" s="0" t="str">
        <f aca="false">IF(E3219="","",RANK(E3219,$E$2:$E$5001,1))</f>
        <v/>
      </c>
      <c r="G3219" s="0" t="n">
        <f aca="false">IF(A3219="",0,IF(SUMPRODUCT(--($A$2:$A$5001=A3219))&gt;1,1,0))</f>
        <v>0</v>
      </c>
      <c r="H3219" s="0" t="n">
        <f aca="false">ROW()-1</f>
        <v>3218</v>
      </c>
      <c r="I3219" s="0" t="str">
        <f aca="false">IF(OR(הגדרות!$E$6=0,H3219&gt;הגדרות!$E$5),"",IF(H3219-1&lt;הגדרות!$E$8*(הגדרות!$E$7+1),INT((H3219-1)/(הגדרות!$E$7+1)),הגדרות!$E$8+INT((H3219-1-הגדרות!$E$8*(הגדרות!$E$7+1))/הגדרות!$E$7)))</f>
        <v/>
      </c>
      <c r="J3219" s="0" t="str">
        <f aca="false">IF(I3219="","",IF(H3219-1&lt;הגדרות!$E$8*(הגדרות!$E$7+1),MOD(H3219-1,הגדרות!$E$7+1),MOD(H3219-1-הגדרות!$E$8*(הגדרות!$E$7+1),הגדרות!$E$7)))</f>
        <v/>
      </c>
      <c r="K3219" s="0" t="str">
        <f aca="false">IF(I3219="","",J3219*הגדרות!$E$6+I3219+1)</f>
        <v/>
      </c>
      <c r="L3219" s="0" t="str">
        <f aca="false">IF(K3219="","",MATCH(K3219,$F$2:$F$5001,0))</f>
        <v/>
      </c>
      <c r="M3219" s="0" t="str">
        <f aca="false">IF(I3219="","",INDEX(הגדרות!$A$2:$A$21,MOD(I3219+הגדרות!$E$9,הגדרות!$E$6)+1))</f>
        <v/>
      </c>
    </row>
    <row r="3220" customFormat="false" ht="15" hidden="false" customHeight="false" outlineLevel="0" collapsed="false">
      <c r="A3220" s="0" t="str">
        <f aca="false">IF('הדבקת לידים'!A3220="","",IF(ISNUMBER('הדבקת לידים'!A3220),IF(הגדרות!$E$2&gt;0,TEXT('הדבקת לידים'!A3220,REPT("0",הגדרות!$E$2)),TEXT('הדבקת לידים'!A3220,"0")),TRIM('הדבקת לידים'!A3220)))</f>
        <v/>
      </c>
      <c r="B3220" s="0" t="str">
        <f aca="false">IF('הדבקת לידים'!B3220="","",IF(ISNUMBER('הדבקת לידים'!B3220),IF(הגדרות!$E$3&gt;0,TEXT('הדבקת לידים'!B3220,REPT("0",הגדרות!$E$3)),TEXT('הדבקת לידים'!B3220,"0")),TRIM('הדבקת לידים'!B3220)))</f>
        <v/>
      </c>
      <c r="C3220" s="0" t="n">
        <f aca="false">IF(OR(A3220&lt;&gt;"",B3220&lt;&gt;""),1,0)</f>
        <v>0</v>
      </c>
      <c r="D3220" s="0" t="str">
        <f aca="false">IF(C3220=1,MOD(ABS(SIN(ROW()*12.9898+'הדבקת לידים'!$F$2*78.233+IFERROR(--RIGHT(A3220,6),LEN(A3220))*0.0137+IFERROR(--RIGHT(B3220,6),LEN(B3220))*0.0071))*43758.5453,1),"")</f>
        <v/>
      </c>
      <c r="E3220" s="0" t="str">
        <f aca="false">IF(C3220=1,INT(MOD(ABS(SIN(D3220*7919.123+ROW()*0.618+'הדבקת לידים'!$F$2*1.3))*43758.5453,1)*1000000)*10000+ROW(),"")</f>
        <v/>
      </c>
      <c r="F3220" s="0" t="str">
        <f aca="false">IF(E3220="","",RANK(E3220,$E$2:$E$5001,1))</f>
        <v/>
      </c>
      <c r="G3220" s="0" t="n">
        <f aca="false">IF(A3220="",0,IF(SUMPRODUCT(--($A$2:$A$5001=A3220))&gt;1,1,0))</f>
        <v>0</v>
      </c>
      <c r="H3220" s="0" t="n">
        <f aca="false">ROW()-1</f>
        <v>3219</v>
      </c>
      <c r="I3220" s="0" t="str">
        <f aca="false">IF(OR(הגדרות!$E$6=0,H3220&gt;הגדרות!$E$5),"",IF(H3220-1&lt;הגדרות!$E$8*(הגדרות!$E$7+1),INT((H3220-1)/(הגדרות!$E$7+1)),הגדרות!$E$8+INT((H3220-1-הגדרות!$E$8*(הגדרות!$E$7+1))/הגדרות!$E$7)))</f>
        <v/>
      </c>
      <c r="J3220" s="0" t="str">
        <f aca="false">IF(I3220="","",IF(H3220-1&lt;הגדרות!$E$8*(הגדרות!$E$7+1),MOD(H3220-1,הגדרות!$E$7+1),MOD(H3220-1-הגדרות!$E$8*(הגדרות!$E$7+1),הגדרות!$E$7)))</f>
        <v/>
      </c>
      <c r="K3220" s="0" t="str">
        <f aca="false">IF(I3220="","",J3220*הגדרות!$E$6+I3220+1)</f>
        <v/>
      </c>
      <c r="L3220" s="0" t="str">
        <f aca="false">IF(K3220="","",MATCH(K3220,$F$2:$F$5001,0))</f>
        <v/>
      </c>
      <c r="M3220" s="0" t="str">
        <f aca="false">IF(I3220="","",INDEX(הגדרות!$A$2:$A$21,MOD(I3220+הגדרות!$E$9,הגדרות!$E$6)+1))</f>
        <v/>
      </c>
    </row>
    <row r="3221" customFormat="false" ht="15" hidden="false" customHeight="false" outlineLevel="0" collapsed="false">
      <c r="A3221" s="0" t="str">
        <f aca="false">IF('הדבקת לידים'!A3221="","",IF(ISNUMBER('הדבקת לידים'!A3221),IF(הגדרות!$E$2&gt;0,TEXT('הדבקת לידים'!A3221,REPT("0",הגדרות!$E$2)),TEXT('הדבקת לידים'!A3221,"0")),TRIM('הדבקת לידים'!A3221)))</f>
        <v/>
      </c>
      <c r="B3221" s="0" t="str">
        <f aca="false">IF('הדבקת לידים'!B3221="","",IF(ISNUMBER('הדבקת לידים'!B3221),IF(הגדרות!$E$3&gt;0,TEXT('הדבקת לידים'!B3221,REPT("0",הגדרות!$E$3)),TEXT('הדבקת לידים'!B3221,"0")),TRIM('הדבקת לידים'!B3221)))</f>
        <v/>
      </c>
      <c r="C3221" s="0" t="n">
        <f aca="false">IF(OR(A3221&lt;&gt;"",B3221&lt;&gt;""),1,0)</f>
        <v>0</v>
      </c>
      <c r="D3221" s="0" t="str">
        <f aca="false">IF(C3221=1,MOD(ABS(SIN(ROW()*12.9898+'הדבקת לידים'!$F$2*78.233+IFERROR(--RIGHT(A3221,6),LEN(A3221))*0.0137+IFERROR(--RIGHT(B3221,6),LEN(B3221))*0.0071))*43758.5453,1),"")</f>
        <v/>
      </c>
      <c r="E3221" s="0" t="str">
        <f aca="false">IF(C3221=1,INT(MOD(ABS(SIN(D3221*7919.123+ROW()*0.618+'הדבקת לידים'!$F$2*1.3))*43758.5453,1)*1000000)*10000+ROW(),"")</f>
        <v/>
      </c>
      <c r="F3221" s="0" t="str">
        <f aca="false">IF(E3221="","",RANK(E3221,$E$2:$E$5001,1))</f>
        <v/>
      </c>
      <c r="G3221" s="0" t="n">
        <f aca="false">IF(A3221="",0,IF(SUMPRODUCT(--($A$2:$A$5001=A3221))&gt;1,1,0))</f>
        <v>0</v>
      </c>
      <c r="H3221" s="0" t="n">
        <f aca="false">ROW()-1</f>
        <v>3220</v>
      </c>
      <c r="I3221" s="0" t="str">
        <f aca="false">IF(OR(הגדרות!$E$6=0,H3221&gt;הגדרות!$E$5),"",IF(H3221-1&lt;הגדרות!$E$8*(הגדרות!$E$7+1),INT((H3221-1)/(הגדרות!$E$7+1)),הגדרות!$E$8+INT((H3221-1-הגדרות!$E$8*(הגדרות!$E$7+1))/הגדרות!$E$7)))</f>
        <v/>
      </c>
      <c r="J3221" s="0" t="str">
        <f aca="false">IF(I3221="","",IF(H3221-1&lt;הגדרות!$E$8*(הגדרות!$E$7+1),MOD(H3221-1,הגדרות!$E$7+1),MOD(H3221-1-הגדרות!$E$8*(הגדרות!$E$7+1),הגדרות!$E$7)))</f>
        <v/>
      </c>
      <c r="K3221" s="0" t="str">
        <f aca="false">IF(I3221="","",J3221*הגדרות!$E$6+I3221+1)</f>
        <v/>
      </c>
      <c r="L3221" s="0" t="str">
        <f aca="false">IF(K3221="","",MATCH(K3221,$F$2:$F$5001,0))</f>
        <v/>
      </c>
      <c r="M3221" s="0" t="str">
        <f aca="false">IF(I3221="","",INDEX(הגדרות!$A$2:$A$21,MOD(I3221+הגדרות!$E$9,הגדרות!$E$6)+1))</f>
        <v/>
      </c>
    </row>
    <row r="3222" customFormat="false" ht="15" hidden="false" customHeight="false" outlineLevel="0" collapsed="false">
      <c r="A3222" s="0" t="str">
        <f aca="false">IF('הדבקת לידים'!A3222="","",IF(ISNUMBER('הדבקת לידים'!A3222),IF(הגדרות!$E$2&gt;0,TEXT('הדבקת לידים'!A3222,REPT("0",הגדרות!$E$2)),TEXT('הדבקת לידים'!A3222,"0")),TRIM('הדבקת לידים'!A3222)))</f>
        <v/>
      </c>
      <c r="B3222" s="0" t="str">
        <f aca="false">IF('הדבקת לידים'!B3222="","",IF(ISNUMBER('הדבקת לידים'!B3222),IF(הגדרות!$E$3&gt;0,TEXT('הדבקת לידים'!B3222,REPT("0",הגדרות!$E$3)),TEXT('הדבקת לידים'!B3222,"0")),TRIM('הדבקת לידים'!B3222)))</f>
        <v/>
      </c>
      <c r="C3222" s="0" t="n">
        <f aca="false">IF(OR(A3222&lt;&gt;"",B3222&lt;&gt;""),1,0)</f>
        <v>0</v>
      </c>
      <c r="D3222" s="0" t="str">
        <f aca="false">IF(C3222=1,MOD(ABS(SIN(ROW()*12.9898+'הדבקת לידים'!$F$2*78.233+IFERROR(--RIGHT(A3222,6),LEN(A3222))*0.0137+IFERROR(--RIGHT(B3222,6),LEN(B3222))*0.0071))*43758.5453,1),"")</f>
        <v/>
      </c>
      <c r="E3222" s="0" t="str">
        <f aca="false">IF(C3222=1,INT(MOD(ABS(SIN(D3222*7919.123+ROW()*0.618+'הדבקת לידים'!$F$2*1.3))*43758.5453,1)*1000000)*10000+ROW(),"")</f>
        <v/>
      </c>
      <c r="F3222" s="0" t="str">
        <f aca="false">IF(E3222="","",RANK(E3222,$E$2:$E$5001,1))</f>
        <v/>
      </c>
      <c r="G3222" s="0" t="n">
        <f aca="false">IF(A3222="",0,IF(SUMPRODUCT(--($A$2:$A$5001=A3222))&gt;1,1,0))</f>
        <v>0</v>
      </c>
      <c r="H3222" s="0" t="n">
        <f aca="false">ROW()-1</f>
        <v>3221</v>
      </c>
      <c r="I3222" s="0" t="str">
        <f aca="false">IF(OR(הגדרות!$E$6=0,H3222&gt;הגדרות!$E$5),"",IF(H3222-1&lt;הגדרות!$E$8*(הגדרות!$E$7+1),INT((H3222-1)/(הגדרות!$E$7+1)),הגדרות!$E$8+INT((H3222-1-הגדרות!$E$8*(הגדרות!$E$7+1))/הגדרות!$E$7)))</f>
        <v/>
      </c>
      <c r="J3222" s="0" t="str">
        <f aca="false">IF(I3222="","",IF(H3222-1&lt;הגדרות!$E$8*(הגדרות!$E$7+1),MOD(H3222-1,הגדרות!$E$7+1),MOD(H3222-1-הגדרות!$E$8*(הגדרות!$E$7+1),הגדרות!$E$7)))</f>
        <v/>
      </c>
      <c r="K3222" s="0" t="str">
        <f aca="false">IF(I3222="","",J3222*הגדרות!$E$6+I3222+1)</f>
        <v/>
      </c>
      <c r="L3222" s="0" t="str">
        <f aca="false">IF(K3222="","",MATCH(K3222,$F$2:$F$5001,0))</f>
        <v/>
      </c>
      <c r="M3222" s="0" t="str">
        <f aca="false">IF(I3222="","",INDEX(הגדרות!$A$2:$A$21,MOD(I3222+הגדרות!$E$9,הגדרות!$E$6)+1))</f>
        <v/>
      </c>
    </row>
    <row r="3223" customFormat="false" ht="15" hidden="false" customHeight="false" outlineLevel="0" collapsed="false">
      <c r="A3223" s="0" t="str">
        <f aca="false">IF('הדבקת לידים'!A3223="","",IF(ISNUMBER('הדבקת לידים'!A3223),IF(הגדרות!$E$2&gt;0,TEXT('הדבקת לידים'!A3223,REPT("0",הגדרות!$E$2)),TEXT('הדבקת לידים'!A3223,"0")),TRIM('הדבקת לידים'!A3223)))</f>
        <v/>
      </c>
      <c r="B3223" s="0" t="str">
        <f aca="false">IF('הדבקת לידים'!B3223="","",IF(ISNUMBER('הדבקת לידים'!B3223),IF(הגדרות!$E$3&gt;0,TEXT('הדבקת לידים'!B3223,REPT("0",הגדרות!$E$3)),TEXT('הדבקת לידים'!B3223,"0")),TRIM('הדבקת לידים'!B3223)))</f>
        <v/>
      </c>
      <c r="C3223" s="0" t="n">
        <f aca="false">IF(OR(A3223&lt;&gt;"",B3223&lt;&gt;""),1,0)</f>
        <v>0</v>
      </c>
      <c r="D3223" s="0" t="str">
        <f aca="false">IF(C3223=1,MOD(ABS(SIN(ROW()*12.9898+'הדבקת לידים'!$F$2*78.233+IFERROR(--RIGHT(A3223,6),LEN(A3223))*0.0137+IFERROR(--RIGHT(B3223,6),LEN(B3223))*0.0071))*43758.5453,1),"")</f>
        <v/>
      </c>
      <c r="E3223" s="0" t="str">
        <f aca="false">IF(C3223=1,INT(MOD(ABS(SIN(D3223*7919.123+ROW()*0.618+'הדבקת לידים'!$F$2*1.3))*43758.5453,1)*1000000)*10000+ROW(),"")</f>
        <v/>
      </c>
      <c r="F3223" s="0" t="str">
        <f aca="false">IF(E3223="","",RANK(E3223,$E$2:$E$5001,1))</f>
        <v/>
      </c>
      <c r="G3223" s="0" t="n">
        <f aca="false">IF(A3223="",0,IF(SUMPRODUCT(--($A$2:$A$5001=A3223))&gt;1,1,0))</f>
        <v>0</v>
      </c>
      <c r="H3223" s="0" t="n">
        <f aca="false">ROW()-1</f>
        <v>3222</v>
      </c>
      <c r="I3223" s="0" t="str">
        <f aca="false">IF(OR(הגדרות!$E$6=0,H3223&gt;הגדרות!$E$5),"",IF(H3223-1&lt;הגדרות!$E$8*(הגדרות!$E$7+1),INT((H3223-1)/(הגדרות!$E$7+1)),הגדרות!$E$8+INT((H3223-1-הגדרות!$E$8*(הגדרות!$E$7+1))/הגדרות!$E$7)))</f>
        <v/>
      </c>
      <c r="J3223" s="0" t="str">
        <f aca="false">IF(I3223="","",IF(H3223-1&lt;הגדרות!$E$8*(הגדרות!$E$7+1),MOD(H3223-1,הגדרות!$E$7+1),MOD(H3223-1-הגדרות!$E$8*(הגדרות!$E$7+1),הגדרות!$E$7)))</f>
        <v/>
      </c>
      <c r="K3223" s="0" t="str">
        <f aca="false">IF(I3223="","",J3223*הגדרות!$E$6+I3223+1)</f>
        <v/>
      </c>
      <c r="L3223" s="0" t="str">
        <f aca="false">IF(K3223="","",MATCH(K3223,$F$2:$F$5001,0))</f>
        <v/>
      </c>
      <c r="M3223" s="0" t="str">
        <f aca="false">IF(I3223="","",INDEX(הגדרות!$A$2:$A$21,MOD(I3223+הגדרות!$E$9,הגדרות!$E$6)+1))</f>
        <v/>
      </c>
    </row>
    <row r="3224" customFormat="false" ht="15" hidden="false" customHeight="false" outlineLevel="0" collapsed="false">
      <c r="A3224" s="0" t="str">
        <f aca="false">IF('הדבקת לידים'!A3224="","",IF(ISNUMBER('הדבקת לידים'!A3224),IF(הגדרות!$E$2&gt;0,TEXT('הדבקת לידים'!A3224,REPT("0",הגדרות!$E$2)),TEXT('הדבקת לידים'!A3224,"0")),TRIM('הדבקת לידים'!A3224)))</f>
        <v/>
      </c>
      <c r="B3224" s="0" t="str">
        <f aca="false">IF('הדבקת לידים'!B3224="","",IF(ISNUMBER('הדבקת לידים'!B3224),IF(הגדרות!$E$3&gt;0,TEXT('הדבקת לידים'!B3224,REPT("0",הגדרות!$E$3)),TEXT('הדבקת לידים'!B3224,"0")),TRIM('הדבקת לידים'!B3224)))</f>
        <v/>
      </c>
      <c r="C3224" s="0" t="n">
        <f aca="false">IF(OR(A3224&lt;&gt;"",B3224&lt;&gt;""),1,0)</f>
        <v>0</v>
      </c>
      <c r="D3224" s="0" t="str">
        <f aca="false">IF(C3224=1,MOD(ABS(SIN(ROW()*12.9898+'הדבקת לידים'!$F$2*78.233+IFERROR(--RIGHT(A3224,6),LEN(A3224))*0.0137+IFERROR(--RIGHT(B3224,6),LEN(B3224))*0.0071))*43758.5453,1),"")</f>
        <v/>
      </c>
      <c r="E3224" s="0" t="str">
        <f aca="false">IF(C3224=1,INT(MOD(ABS(SIN(D3224*7919.123+ROW()*0.618+'הדבקת לידים'!$F$2*1.3))*43758.5453,1)*1000000)*10000+ROW(),"")</f>
        <v/>
      </c>
      <c r="F3224" s="0" t="str">
        <f aca="false">IF(E3224="","",RANK(E3224,$E$2:$E$5001,1))</f>
        <v/>
      </c>
      <c r="G3224" s="0" t="n">
        <f aca="false">IF(A3224="",0,IF(SUMPRODUCT(--($A$2:$A$5001=A3224))&gt;1,1,0))</f>
        <v>0</v>
      </c>
      <c r="H3224" s="0" t="n">
        <f aca="false">ROW()-1</f>
        <v>3223</v>
      </c>
      <c r="I3224" s="0" t="str">
        <f aca="false">IF(OR(הגדרות!$E$6=0,H3224&gt;הגדרות!$E$5),"",IF(H3224-1&lt;הגדרות!$E$8*(הגדרות!$E$7+1),INT((H3224-1)/(הגדרות!$E$7+1)),הגדרות!$E$8+INT((H3224-1-הגדרות!$E$8*(הגדרות!$E$7+1))/הגדרות!$E$7)))</f>
        <v/>
      </c>
      <c r="J3224" s="0" t="str">
        <f aca="false">IF(I3224="","",IF(H3224-1&lt;הגדרות!$E$8*(הגדרות!$E$7+1),MOD(H3224-1,הגדרות!$E$7+1),MOD(H3224-1-הגדרות!$E$8*(הגדרות!$E$7+1),הגדרות!$E$7)))</f>
        <v/>
      </c>
      <c r="K3224" s="0" t="str">
        <f aca="false">IF(I3224="","",J3224*הגדרות!$E$6+I3224+1)</f>
        <v/>
      </c>
      <c r="L3224" s="0" t="str">
        <f aca="false">IF(K3224="","",MATCH(K3224,$F$2:$F$5001,0))</f>
        <v/>
      </c>
      <c r="M3224" s="0" t="str">
        <f aca="false">IF(I3224="","",INDEX(הגדרות!$A$2:$A$21,MOD(I3224+הגדרות!$E$9,הגדרות!$E$6)+1))</f>
        <v/>
      </c>
    </row>
    <row r="3225" customFormat="false" ht="15" hidden="false" customHeight="false" outlineLevel="0" collapsed="false">
      <c r="A3225" s="0" t="str">
        <f aca="false">IF('הדבקת לידים'!A3225="","",IF(ISNUMBER('הדבקת לידים'!A3225),IF(הגדרות!$E$2&gt;0,TEXT('הדבקת לידים'!A3225,REPT("0",הגדרות!$E$2)),TEXT('הדבקת לידים'!A3225,"0")),TRIM('הדבקת לידים'!A3225)))</f>
        <v/>
      </c>
      <c r="B3225" s="0" t="str">
        <f aca="false">IF('הדבקת לידים'!B3225="","",IF(ISNUMBER('הדבקת לידים'!B3225),IF(הגדרות!$E$3&gt;0,TEXT('הדבקת לידים'!B3225,REPT("0",הגדרות!$E$3)),TEXT('הדבקת לידים'!B3225,"0")),TRIM('הדבקת לידים'!B3225)))</f>
        <v/>
      </c>
      <c r="C3225" s="0" t="n">
        <f aca="false">IF(OR(A3225&lt;&gt;"",B3225&lt;&gt;""),1,0)</f>
        <v>0</v>
      </c>
      <c r="D3225" s="0" t="str">
        <f aca="false">IF(C3225=1,MOD(ABS(SIN(ROW()*12.9898+'הדבקת לידים'!$F$2*78.233+IFERROR(--RIGHT(A3225,6),LEN(A3225))*0.0137+IFERROR(--RIGHT(B3225,6),LEN(B3225))*0.0071))*43758.5453,1),"")</f>
        <v/>
      </c>
      <c r="E3225" s="0" t="str">
        <f aca="false">IF(C3225=1,INT(MOD(ABS(SIN(D3225*7919.123+ROW()*0.618+'הדבקת לידים'!$F$2*1.3))*43758.5453,1)*1000000)*10000+ROW(),"")</f>
        <v/>
      </c>
      <c r="F3225" s="0" t="str">
        <f aca="false">IF(E3225="","",RANK(E3225,$E$2:$E$5001,1))</f>
        <v/>
      </c>
      <c r="G3225" s="0" t="n">
        <f aca="false">IF(A3225="",0,IF(SUMPRODUCT(--($A$2:$A$5001=A3225))&gt;1,1,0))</f>
        <v>0</v>
      </c>
      <c r="H3225" s="0" t="n">
        <f aca="false">ROW()-1</f>
        <v>3224</v>
      </c>
      <c r="I3225" s="0" t="str">
        <f aca="false">IF(OR(הגדרות!$E$6=0,H3225&gt;הגדרות!$E$5),"",IF(H3225-1&lt;הגדרות!$E$8*(הגדרות!$E$7+1),INT((H3225-1)/(הגדרות!$E$7+1)),הגדרות!$E$8+INT((H3225-1-הגדרות!$E$8*(הגדרות!$E$7+1))/הגדרות!$E$7)))</f>
        <v/>
      </c>
      <c r="J3225" s="0" t="str">
        <f aca="false">IF(I3225="","",IF(H3225-1&lt;הגדרות!$E$8*(הגדרות!$E$7+1),MOD(H3225-1,הגדרות!$E$7+1),MOD(H3225-1-הגדרות!$E$8*(הגדרות!$E$7+1),הגדרות!$E$7)))</f>
        <v/>
      </c>
      <c r="K3225" s="0" t="str">
        <f aca="false">IF(I3225="","",J3225*הגדרות!$E$6+I3225+1)</f>
        <v/>
      </c>
      <c r="L3225" s="0" t="str">
        <f aca="false">IF(K3225="","",MATCH(K3225,$F$2:$F$5001,0))</f>
        <v/>
      </c>
      <c r="M3225" s="0" t="str">
        <f aca="false">IF(I3225="","",INDEX(הגדרות!$A$2:$A$21,MOD(I3225+הגדרות!$E$9,הגדרות!$E$6)+1))</f>
        <v/>
      </c>
    </row>
    <row r="3226" customFormat="false" ht="15" hidden="false" customHeight="false" outlineLevel="0" collapsed="false">
      <c r="A3226" s="0" t="str">
        <f aca="false">IF('הדבקת לידים'!A3226="","",IF(ISNUMBER('הדבקת לידים'!A3226),IF(הגדרות!$E$2&gt;0,TEXT('הדבקת לידים'!A3226,REPT("0",הגדרות!$E$2)),TEXT('הדבקת לידים'!A3226,"0")),TRIM('הדבקת לידים'!A3226)))</f>
        <v/>
      </c>
      <c r="B3226" s="0" t="str">
        <f aca="false">IF('הדבקת לידים'!B3226="","",IF(ISNUMBER('הדבקת לידים'!B3226),IF(הגדרות!$E$3&gt;0,TEXT('הדבקת לידים'!B3226,REPT("0",הגדרות!$E$3)),TEXT('הדבקת לידים'!B3226,"0")),TRIM('הדבקת לידים'!B3226)))</f>
        <v/>
      </c>
      <c r="C3226" s="0" t="n">
        <f aca="false">IF(OR(A3226&lt;&gt;"",B3226&lt;&gt;""),1,0)</f>
        <v>0</v>
      </c>
      <c r="D3226" s="0" t="str">
        <f aca="false">IF(C3226=1,MOD(ABS(SIN(ROW()*12.9898+'הדבקת לידים'!$F$2*78.233+IFERROR(--RIGHT(A3226,6),LEN(A3226))*0.0137+IFERROR(--RIGHT(B3226,6),LEN(B3226))*0.0071))*43758.5453,1),"")</f>
        <v/>
      </c>
      <c r="E3226" s="0" t="str">
        <f aca="false">IF(C3226=1,INT(MOD(ABS(SIN(D3226*7919.123+ROW()*0.618+'הדבקת לידים'!$F$2*1.3))*43758.5453,1)*1000000)*10000+ROW(),"")</f>
        <v/>
      </c>
      <c r="F3226" s="0" t="str">
        <f aca="false">IF(E3226="","",RANK(E3226,$E$2:$E$5001,1))</f>
        <v/>
      </c>
      <c r="G3226" s="0" t="n">
        <f aca="false">IF(A3226="",0,IF(SUMPRODUCT(--($A$2:$A$5001=A3226))&gt;1,1,0))</f>
        <v>0</v>
      </c>
      <c r="H3226" s="0" t="n">
        <f aca="false">ROW()-1</f>
        <v>3225</v>
      </c>
      <c r="I3226" s="0" t="str">
        <f aca="false">IF(OR(הגדרות!$E$6=0,H3226&gt;הגדרות!$E$5),"",IF(H3226-1&lt;הגדרות!$E$8*(הגדרות!$E$7+1),INT((H3226-1)/(הגדרות!$E$7+1)),הגדרות!$E$8+INT((H3226-1-הגדרות!$E$8*(הגדרות!$E$7+1))/הגדרות!$E$7)))</f>
        <v/>
      </c>
      <c r="J3226" s="0" t="str">
        <f aca="false">IF(I3226="","",IF(H3226-1&lt;הגדרות!$E$8*(הגדרות!$E$7+1),MOD(H3226-1,הגדרות!$E$7+1),MOD(H3226-1-הגדרות!$E$8*(הגדרות!$E$7+1),הגדרות!$E$7)))</f>
        <v/>
      </c>
      <c r="K3226" s="0" t="str">
        <f aca="false">IF(I3226="","",J3226*הגדרות!$E$6+I3226+1)</f>
        <v/>
      </c>
      <c r="L3226" s="0" t="str">
        <f aca="false">IF(K3226="","",MATCH(K3226,$F$2:$F$5001,0))</f>
        <v/>
      </c>
      <c r="M3226" s="0" t="str">
        <f aca="false">IF(I3226="","",INDEX(הגדרות!$A$2:$A$21,MOD(I3226+הגדרות!$E$9,הגדרות!$E$6)+1))</f>
        <v/>
      </c>
    </row>
    <row r="3227" customFormat="false" ht="15" hidden="false" customHeight="false" outlineLevel="0" collapsed="false">
      <c r="A3227" s="0" t="str">
        <f aca="false">IF('הדבקת לידים'!A3227="","",IF(ISNUMBER('הדבקת לידים'!A3227),IF(הגדרות!$E$2&gt;0,TEXT('הדבקת לידים'!A3227,REPT("0",הגדרות!$E$2)),TEXT('הדבקת לידים'!A3227,"0")),TRIM('הדבקת לידים'!A3227)))</f>
        <v/>
      </c>
      <c r="B3227" s="0" t="str">
        <f aca="false">IF('הדבקת לידים'!B3227="","",IF(ISNUMBER('הדבקת לידים'!B3227),IF(הגדרות!$E$3&gt;0,TEXT('הדבקת לידים'!B3227,REPT("0",הגדרות!$E$3)),TEXT('הדבקת לידים'!B3227,"0")),TRIM('הדבקת לידים'!B3227)))</f>
        <v/>
      </c>
      <c r="C3227" s="0" t="n">
        <f aca="false">IF(OR(A3227&lt;&gt;"",B3227&lt;&gt;""),1,0)</f>
        <v>0</v>
      </c>
      <c r="D3227" s="0" t="str">
        <f aca="false">IF(C3227=1,MOD(ABS(SIN(ROW()*12.9898+'הדבקת לידים'!$F$2*78.233+IFERROR(--RIGHT(A3227,6),LEN(A3227))*0.0137+IFERROR(--RIGHT(B3227,6),LEN(B3227))*0.0071))*43758.5453,1),"")</f>
        <v/>
      </c>
      <c r="E3227" s="0" t="str">
        <f aca="false">IF(C3227=1,INT(MOD(ABS(SIN(D3227*7919.123+ROW()*0.618+'הדבקת לידים'!$F$2*1.3))*43758.5453,1)*1000000)*10000+ROW(),"")</f>
        <v/>
      </c>
      <c r="F3227" s="0" t="str">
        <f aca="false">IF(E3227="","",RANK(E3227,$E$2:$E$5001,1))</f>
        <v/>
      </c>
      <c r="G3227" s="0" t="n">
        <f aca="false">IF(A3227="",0,IF(SUMPRODUCT(--($A$2:$A$5001=A3227))&gt;1,1,0))</f>
        <v>0</v>
      </c>
      <c r="H3227" s="0" t="n">
        <f aca="false">ROW()-1</f>
        <v>3226</v>
      </c>
      <c r="I3227" s="0" t="str">
        <f aca="false">IF(OR(הגדרות!$E$6=0,H3227&gt;הגדרות!$E$5),"",IF(H3227-1&lt;הגדרות!$E$8*(הגדרות!$E$7+1),INT((H3227-1)/(הגדרות!$E$7+1)),הגדרות!$E$8+INT((H3227-1-הגדרות!$E$8*(הגדרות!$E$7+1))/הגדרות!$E$7)))</f>
        <v/>
      </c>
      <c r="J3227" s="0" t="str">
        <f aca="false">IF(I3227="","",IF(H3227-1&lt;הגדרות!$E$8*(הגדרות!$E$7+1),MOD(H3227-1,הגדרות!$E$7+1),MOD(H3227-1-הגדרות!$E$8*(הגדרות!$E$7+1),הגדרות!$E$7)))</f>
        <v/>
      </c>
      <c r="K3227" s="0" t="str">
        <f aca="false">IF(I3227="","",J3227*הגדרות!$E$6+I3227+1)</f>
        <v/>
      </c>
      <c r="L3227" s="0" t="str">
        <f aca="false">IF(K3227="","",MATCH(K3227,$F$2:$F$5001,0))</f>
        <v/>
      </c>
      <c r="M3227" s="0" t="str">
        <f aca="false">IF(I3227="","",INDEX(הגדרות!$A$2:$A$21,MOD(I3227+הגדרות!$E$9,הגדרות!$E$6)+1))</f>
        <v/>
      </c>
    </row>
    <row r="3228" customFormat="false" ht="15" hidden="false" customHeight="false" outlineLevel="0" collapsed="false">
      <c r="A3228" s="0" t="str">
        <f aca="false">IF('הדבקת לידים'!A3228="","",IF(ISNUMBER('הדבקת לידים'!A3228),IF(הגדרות!$E$2&gt;0,TEXT('הדבקת לידים'!A3228,REPT("0",הגדרות!$E$2)),TEXT('הדבקת לידים'!A3228,"0")),TRIM('הדבקת לידים'!A3228)))</f>
        <v/>
      </c>
      <c r="B3228" s="0" t="str">
        <f aca="false">IF('הדבקת לידים'!B3228="","",IF(ISNUMBER('הדבקת לידים'!B3228),IF(הגדרות!$E$3&gt;0,TEXT('הדבקת לידים'!B3228,REPT("0",הגדרות!$E$3)),TEXT('הדבקת לידים'!B3228,"0")),TRIM('הדבקת לידים'!B3228)))</f>
        <v/>
      </c>
      <c r="C3228" s="0" t="n">
        <f aca="false">IF(OR(A3228&lt;&gt;"",B3228&lt;&gt;""),1,0)</f>
        <v>0</v>
      </c>
      <c r="D3228" s="0" t="str">
        <f aca="false">IF(C3228=1,MOD(ABS(SIN(ROW()*12.9898+'הדבקת לידים'!$F$2*78.233+IFERROR(--RIGHT(A3228,6),LEN(A3228))*0.0137+IFERROR(--RIGHT(B3228,6),LEN(B3228))*0.0071))*43758.5453,1),"")</f>
        <v/>
      </c>
      <c r="E3228" s="0" t="str">
        <f aca="false">IF(C3228=1,INT(MOD(ABS(SIN(D3228*7919.123+ROW()*0.618+'הדבקת לידים'!$F$2*1.3))*43758.5453,1)*1000000)*10000+ROW(),"")</f>
        <v/>
      </c>
      <c r="F3228" s="0" t="str">
        <f aca="false">IF(E3228="","",RANK(E3228,$E$2:$E$5001,1))</f>
        <v/>
      </c>
      <c r="G3228" s="0" t="n">
        <f aca="false">IF(A3228="",0,IF(SUMPRODUCT(--($A$2:$A$5001=A3228))&gt;1,1,0))</f>
        <v>0</v>
      </c>
      <c r="H3228" s="0" t="n">
        <f aca="false">ROW()-1</f>
        <v>3227</v>
      </c>
      <c r="I3228" s="0" t="str">
        <f aca="false">IF(OR(הגדרות!$E$6=0,H3228&gt;הגדרות!$E$5),"",IF(H3228-1&lt;הגדרות!$E$8*(הגדרות!$E$7+1),INT((H3228-1)/(הגדרות!$E$7+1)),הגדרות!$E$8+INT((H3228-1-הגדרות!$E$8*(הגדרות!$E$7+1))/הגדרות!$E$7)))</f>
        <v/>
      </c>
      <c r="J3228" s="0" t="str">
        <f aca="false">IF(I3228="","",IF(H3228-1&lt;הגדרות!$E$8*(הגדרות!$E$7+1),MOD(H3228-1,הגדרות!$E$7+1),MOD(H3228-1-הגדרות!$E$8*(הגדרות!$E$7+1),הגדרות!$E$7)))</f>
        <v/>
      </c>
      <c r="K3228" s="0" t="str">
        <f aca="false">IF(I3228="","",J3228*הגדרות!$E$6+I3228+1)</f>
        <v/>
      </c>
      <c r="L3228" s="0" t="str">
        <f aca="false">IF(K3228="","",MATCH(K3228,$F$2:$F$5001,0))</f>
        <v/>
      </c>
      <c r="M3228" s="0" t="str">
        <f aca="false">IF(I3228="","",INDEX(הגדרות!$A$2:$A$21,MOD(I3228+הגדרות!$E$9,הגדרות!$E$6)+1))</f>
        <v/>
      </c>
    </row>
    <row r="3229" customFormat="false" ht="15" hidden="false" customHeight="false" outlineLevel="0" collapsed="false">
      <c r="A3229" s="0" t="str">
        <f aca="false">IF('הדבקת לידים'!A3229="","",IF(ISNUMBER('הדבקת לידים'!A3229),IF(הגדרות!$E$2&gt;0,TEXT('הדבקת לידים'!A3229,REPT("0",הגדרות!$E$2)),TEXT('הדבקת לידים'!A3229,"0")),TRIM('הדבקת לידים'!A3229)))</f>
        <v/>
      </c>
      <c r="B3229" s="0" t="str">
        <f aca="false">IF('הדבקת לידים'!B3229="","",IF(ISNUMBER('הדבקת לידים'!B3229),IF(הגדרות!$E$3&gt;0,TEXT('הדבקת לידים'!B3229,REPT("0",הגדרות!$E$3)),TEXT('הדבקת לידים'!B3229,"0")),TRIM('הדבקת לידים'!B3229)))</f>
        <v/>
      </c>
      <c r="C3229" s="0" t="n">
        <f aca="false">IF(OR(A3229&lt;&gt;"",B3229&lt;&gt;""),1,0)</f>
        <v>0</v>
      </c>
      <c r="D3229" s="0" t="str">
        <f aca="false">IF(C3229=1,MOD(ABS(SIN(ROW()*12.9898+'הדבקת לידים'!$F$2*78.233+IFERROR(--RIGHT(A3229,6),LEN(A3229))*0.0137+IFERROR(--RIGHT(B3229,6),LEN(B3229))*0.0071))*43758.5453,1),"")</f>
        <v/>
      </c>
      <c r="E3229" s="0" t="str">
        <f aca="false">IF(C3229=1,INT(MOD(ABS(SIN(D3229*7919.123+ROW()*0.618+'הדבקת לידים'!$F$2*1.3))*43758.5453,1)*1000000)*10000+ROW(),"")</f>
        <v/>
      </c>
      <c r="F3229" s="0" t="str">
        <f aca="false">IF(E3229="","",RANK(E3229,$E$2:$E$5001,1))</f>
        <v/>
      </c>
      <c r="G3229" s="0" t="n">
        <f aca="false">IF(A3229="",0,IF(SUMPRODUCT(--($A$2:$A$5001=A3229))&gt;1,1,0))</f>
        <v>0</v>
      </c>
      <c r="H3229" s="0" t="n">
        <f aca="false">ROW()-1</f>
        <v>3228</v>
      </c>
      <c r="I3229" s="0" t="str">
        <f aca="false">IF(OR(הגדרות!$E$6=0,H3229&gt;הגדרות!$E$5),"",IF(H3229-1&lt;הגדרות!$E$8*(הגדרות!$E$7+1),INT((H3229-1)/(הגדרות!$E$7+1)),הגדרות!$E$8+INT((H3229-1-הגדרות!$E$8*(הגדרות!$E$7+1))/הגדרות!$E$7)))</f>
        <v/>
      </c>
      <c r="J3229" s="0" t="str">
        <f aca="false">IF(I3229="","",IF(H3229-1&lt;הגדרות!$E$8*(הגדרות!$E$7+1),MOD(H3229-1,הגדרות!$E$7+1),MOD(H3229-1-הגדרות!$E$8*(הגדרות!$E$7+1),הגדרות!$E$7)))</f>
        <v/>
      </c>
      <c r="K3229" s="0" t="str">
        <f aca="false">IF(I3229="","",J3229*הגדרות!$E$6+I3229+1)</f>
        <v/>
      </c>
      <c r="L3229" s="0" t="str">
        <f aca="false">IF(K3229="","",MATCH(K3229,$F$2:$F$5001,0))</f>
        <v/>
      </c>
      <c r="M3229" s="0" t="str">
        <f aca="false">IF(I3229="","",INDEX(הגדרות!$A$2:$A$21,MOD(I3229+הגדרות!$E$9,הגדרות!$E$6)+1))</f>
        <v/>
      </c>
    </row>
    <row r="3230" customFormat="false" ht="15" hidden="false" customHeight="false" outlineLevel="0" collapsed="false">
      <c r="A3230" s="0" t="str">
        <f aca="false">IF('הדבקת לידים'!A3230="","",IF(ISNUMBER('הדבקת לידים'!A3230),IF(הגדרות!$E$2&gt;0,TEXT('הדבקת לידים'!A3230,REPT("0",הגדרות!$E$2)),TEXT('הדבקת לידים'!A3230,"0")),TRIM('הדבקת לידים'!A3230)))</f>
        <v/>
      </c>
      <c r="B3230" s="0" t="str">
        <f aca="false">IF('הדבקת לידים'!B3230="","",IF(ISNUMBER('הדבקת לידים'!B3230),IF(הגדרות!$E$3&gt;0,TEXT('הדבקת לידים'!B3230,REPT("0",הגדרות!$E$3)),TEXT('הדבקת לידים'!B3230,"0")),TRIM('הדבקת לידים'!B3230)))</f>
        <v/>
      </c>
      <c r="C3230" s="0" t="n">
        <f aca="false">IF(OR(A3230&lt;&gt;"",B3230&lt;&gt;""),1,0)</f>
        <v>0</v>
      </c>
      <c r="D3230" s="0" t="str">
        <f aca="false">IF(C3230=1,MOD(ABS(SIN(ROW()*12.9898+'הדבקת לידים'!$F$2*78.233+IFERROR(--RIGHT(A3230,6),LEN(A3230))*0.0137+IFERROR(--RIGHT(B3230,6),LEN(B3230))*0.0071))*43758.5453,1),"")</f>
        <v/>
      </c>
      <c r="E3230" s="0" t="str">
        <f aca="false">IF(C3230=1,INT(MOD(ABS(SIN(D3230*7919.123+ROW()*0.618+'הדבקת לידים'!$F$2*1.3))*43758.5453,1)*1000000)*10000+ROW(),"")</f>
        <v/>
      </c>
      <c r="F3230" s="0" t="str">
        <f aca="false">IF(E3230="","",RANK(E3230,$E$2:$E$5001,1))</f>
        <v/>
      </c>
      <c r="G3230" s="0" t="n">
        <f aca="false">IF(A3230="",0,IF(SUMPRODUCT(--($A$2:$A$5001=A3230))&gt;1,1,0))</f>
        <v>0</v>
      </c>
      <c r="H3230" s="0" t="n">
        <f aca="false">ROW()-1</f>
        <v>3229</v>
      </c>
      <c r="I3230" s="0" t="str">
        <f aca="false">IF(OR(הגדרות!$E$6=0,H3230&gt;הגדרות!$E$5),"",IF(H3230-1&lt;הגדרות!$E$8*(הגדרות!$E$7+1),INT((H3230-1)/(הגדרות!$E$7+1)),הגדרות!$E$8+INT((H3230-1-הגדרות!$E$8*(הגדרות!$E$7+1))/הגדרות!$E$7)))</f>
        <v/>
      </c>
      <c r="J3230" s="0" t="str">
        <f aca="false">IF(I3230="","",IF(H3230-1&lt;הגדרות!$E$8*(הגדרות!$E$7+1),MOD(H3230-1,הגדרות!$E$7+1),MOD(H3230-1-הגדרות!$E$8*(הגדרות!$E$7+1),הגדרות!$E$7)))</f>
        <v/>
      </c>
      <c r="K3230" s="0" t="str">
        <f aca="false">IF(I3230="","",J3230*הגדרות!$E$6+I3230+1)</f>
        <v/>
      </c>
      <c r="L3230" s="0" t="str">
        <f aca="false">IF(K3230="","",MATCH(K3230,$F$2:$F$5001,0))</f>
        <v/>
      </c>
      <c r="M3230" s="0" t="str">
        <f aca="false">IF(I3230="","",INDEX(הגדרות!$A$2:$A$21,MOD(I3230+הגדרות!$E$9,הגדרות!$E$6)+1))</f>
        <v/>
      </c>
    </row>
    <row r="3231" customFormat="false" ht="15" hidden="false" customHeight="false" outlineLevel="0" collapsed="false">
      <c r="A3231" s="0" t="str">
        <f aca="false">IF('הדבקת לידים'!A3231="","",IF(ISNUMBER('הדבקת לידים'!A3231),IF(הגדרות!$E$2&gt;0,TEXT('הדבקת לידים'!A3231,REPT("0",הגדרות!$E$2)),TEXT('הדבקת לידים'!A3231,"0")),TRIM('הדבקת לידים'!A3231)))</f>
        <v/>
      </c>
      <c r="B3231" s="0" t="str">
        <f aca="false">IF('הדבקת לידים'!B3231="","",IF(ISNUMBER('הדבקת לידים'!B3231),IF(הגדרות!$E$3&gt;0,TEXT('הדבקת לידים'!B3231,REPT("0",הגדרות!$E$3)),TEXT('הדבקת לידים'!B3231,"0")),TRIM('הדבקת לידים'!B3231)))</f>
        <v/>
      </c>
      <c r="C3231" s="0" t="n">
        <f aca="false">IF(OR(A3231&lt;&gt;"",B3231&lt;&gt;""),1,0)</f>
        <v>0</v>
      </c>
      <c r="D3231" s="0" t="str">
        <f aca="false">IF(C3231=1,MOD(ABS(SIN(ROW()*12.9898+'הדבקת לידים'!$F$2*78.233+IFERROR(--RIGHT(A3231,6),LEN(A3231))*0.0137+IFERROR(--RIGHT(B3231,6),LEN(B3231))*0.0071))*43758.5453,1),"")</f>
        <v/>
      </c>
      <c r="E3231" s="0" t="str">
        <f aca="false">IF(C3231=1,INT(MOD(ABS(SIN(D3231*7919.123+ROW()*0.618+'הדבקת לידים'!$F$2*1.3))*43758.5453,1)*1000000)*10000+ROW(),"")</f>
        <v/>
      </c>
      <c r="F3231" s="0" t="str">
        <f aca="false">IF(E3231="","",RANK(E3231,$E$2:$E$5001,1))</f>
        <v/>
      </c>
      <c r="G3231" s="0" t="n">
        <f aca="false">IF(A3231="",0,IF(SUMPRODUCT(--($A$2:$A$5001=A3231))&gt;1,1,0))</f>
        <v>0</v>
      </c>
      <c r="H3231" s="0" t="n">
        <f aca="false">ROW()-1</f>
        <v>3230</v>
      </c>
      <c r="I3231" s="0" t="str">
        <f aca="false">IF(OR(הגדרות!$E$6=0,H3231&gt;הגדרות!$E$5),"",IF(H3231-1&lt;הגדרות!$E$8*(הגדרות!$E$7+1),INT((H3231-1)/(הגדרות!$E$7+1)),הגדרות!$E$8+INT((H3231-1-הגדרות!$E$8*(הגדרות!$E$7+1))/הגדרות!$E$7)))</f>
        <v/>
      </c>
      <c r="J3231" s="0" t="str">
        <f aca="false">IF(I3231="","",IF(H3231-1&lt;הגדרות!$E$8*(הגדרות!$E$7+1),MOD(H3231-1,הגדרות!$E$7+1),MOD(H3231-1-הגדרות!$E$8*(הגדרות!$E$7+1),הגדרות!$E$7)))</f>
        <v/>
      </c>
      <c r="K3231" s="0" t="str">
        <f aca="false">IF(I3231="","",J3231*הגדרות!$E$6+I3231+1)</f>
        <v/>
      </c>
      <c r="L3231" s="0" t="str">
        <f aca="false">IF(K3231="","",MATCH(K3231,$F$2:$F$5001,0))</f>
        <v/>
      </c>
      <c r="M3231" s="0" t="str">
        <f aca="false">IF(I3231="","",INDEX(הגדרות!$A$2:$A$21,MOD(I3231+הגדרות!$E$9,הגדרות!$E$6)+1))</f>
        <v/>
      </c>
    </row>
    <row r="3232" customFormat="false" ht="15" hidden="false" customHeight="false" outlineLevel="0" collapsed="false">
      <c r="A3232" s="0" t="str">
        <f aca="false">IF('הדבקת לידים'!A3232="","",IF(ISNUMBER('הדבקת לידים'!A3232),IF(הגדרות!$E$2&gt;0,TEXT('הדבקת לידים'!A3232,REPT("0",הגדרות!$E$2)),TEXT('הדבקת לידים'!A3232,"0")),TRIM('הדבקת לידים'!A3232)))</f>
        <v/>
      </c>
      <c r="B3232" s="0" t="str">
        <f aca="false">IF('הדבקת לידים'!B3232="","",IF(ISNUMBER('הדבקת לידים'!B3232),IF(הגדרות!$E$3&gt;0,TEXT('הדבקת לידים'!B3232,REPT("0",הגדרות!$E$3)),TEXT('הדבקת לידים'!B3232,"0")),TRIM('הדבקת לידים'!B3232)))</f>
        <v/>
      </c>
      <c r="C3232" s="0" t="n">
        <f aca="false">IF(OR(A3232&lt;&gt;"",B3232&lt;&gt;""),1,0)</f>
        <v>0</v>
      </c>
      <c r="D3232" s="0" t="str">
        <f aca="false">IF(C3232=1,MOD(ABS(SIN(ROW()*12.9898+'הדבקת לידים'!$F$2*78.233+IFERROR(--RIGHT(A3232,6),LEN(A3232))*0.0137+IFERROR(--RIGHT(B3232,6),LEN(B3232))*0.0071))*43758.5453,1),"")</f>
        <v/>
      </c>
      <c r="E3232" s="0" t="str">
        <f aca="false">IF(C3232=1,INT(MOD(ABS(SIN(D3232*7919.123+ROW()*0.618+'הדבקת לידים'!$F$2*1.3))*43758.5453,1)*1000000)*10000+ROW(),"")</f>
        <v/>
      </c>
      <c r="F3232" s="0" t="str">
        <f aca="false">IF(E3232="","",RANK(E3232,$E$2:$E$5001,1))</f>
        <v/>
      </c>
      <c r="G3232" s="0" t="n">
        <f aca="false">IF(A3232="",0,IF(SUMPRODUCT(--($A$2:$A$5001=A3232))&gt;1,1,0))</f>
        <v>0</v>
      </c>
      <c r="H3232" s="0" t="n">
        <f aca="false">ROW()-1</f>
        <v>3231</v>
      </c>
      <c r="I3232" s="0" t="str">
        <f aca="false">IF(OR(הגדרות!$E$6=0,H3232&gt;הגדרות!$E$5),"",IF(H3232-1&lt;הגדרות!$E$8*(הגדרות!$E$7+1),INT((H3232-1)/(הגדרות!$E$7+1)),הגדרות!$E$8+INT((H3232-1-הגדרות!$E$8*(הגדרות!$E$7+1))/הגדרות!$E$7)))</f>
        <v/>
      </c>
      <c r="J3232" s="0" t="str">
        <f aca="false">IF(I3232="","",IF(H3232-1&lt;הגדרות!$E$8*(הגדרות!$E$7+1),MOD(H3232-1,הגדרות!$E$7+1),MOD(H3232-1-הגדרות!$E$8*(הגדרות!$E$7+1),הגדרות!$E$7)))</f>
        <v/>
      </c>
      <c r="K3232" s="0" t="str">
        <f aca="false">IF(I3232="","",J3232*הגדרות!$E$6+I3232+1)</f>
        <v/>
      </c>
      <c r="L3232" s="0" t="str">
        <f aca="false">IF(K3232="","",MATCH(K3232,$F$2:$F$5001,0))</f>
        <v/>
      </c>
      <c r="M3232" s="0" t="str">
        <f aca="false">IF(I3232="","",INDEX(הגדרות!$A$2:$A$21,MOD(I3232+הגדרות!$E$9,הגדרות!$E$6)+1))</f>
        <v/>
      </c>
    </row>
    <row r="3233" customFormat="false" ht="15" hidden="false" customHeight="false" outlineLevel="0" collapsed="false">
      <c r="A3233" s="0" t="str">
        <f aca="false">IF('הדבקת לידים'!A3233="","",IF(ISNUMBER('הדבקת לידים'!A3233),IF(הגדרות!$E$2&gt;0,TEXT('הדבקת לידים'!A3233,REPT("0",הגדרות!$E$2)),TEXT('הדבקת לידים'!A3233,"0")),TRIM('הדבקת לידים'!A3233)))</f>
        <v/>
      </c>
      <c r="B3233" s="0" t="str">
        <f aca="false">IF('הדבקת לידים'!B3233="","",IF(ISNUMBER('הדבקת לידים'!B3233),IF(הגדרות!$E$3&gt;0,TEXT('הדבקת לידים'!B3233,REPT("0",הגדרות!$E$3)),TEXT('הדבקת לידים'!B3233,"0")),TRIM('הדבקת לידים'!B3233)))</f>
        <v/>
      </c>
      <c r="C3233" s="0" t="n">
        <f aca="false">IF(OR(A3233&lt;&gt;"",B3233&lt;&gt;""),1,0)</f>
        <v>0</v>
      </c>
      <c r="D3233" s="0" t="str">
        <f aca="false">IF(C3233=1,MOD(ABS(SIN(ROW()*12.9898+'הדבקת לידים'!$F$2*78.233+IFERROR(--RIGHT(A3233,6),LEN(A3233))*0.0137+IFERROR(--RIGHT(B3233,6),LEN(B3233))*0.0071))*43758.5453,1),"")</f>
        <v/>
      </c>
      <c r="E3233" s="0" t="str">
        <f aca="false">IF(C3233=1,INT(MOD(ABS(SIN(D3233*7919.123+ROW()*0.618+'הדבקת לידים'!$F$2*1.3))*43758.5453,1)*1000000)*10000+ROW(),"")</f>
        <v/>
      </c>
      <c r="F3233" s="0" t="str">
        <f aca="false">IF(E3233="","",RANK(E3233,$E$2:$E$5001,1))</f>
        <v/>
      </c>
      <c r="G3233" s="0" t="n">
        <f aca="false">IF(A3233="",0,IF(SUMPRODUCT(--($A$2:$A$5001=A3233))&gt;1,1,0))</f>
        <v>0</v>
      </c>
      <c r="H3233" s="0" t="n">
        <f aca="false">ROW()-1</f>
        <v>3232</v>
      </c>
      <c r="I3233" s="0" t="str">
        <f aca="false">IF(OR(הגדרות!$E$6=0,H3233&gt;הגדרות!$E$5),"",IF(H3233-1&lt;הגדרות!$E$8*(הגדרות!$E$7+1),INT((H3233-1)/(הגדרות!$E$7+1)),הגדרות!$E$8+INT((H3233-1-הגדרות!$E$8*(הגדרות!$E$7+1))/הגדרות!$E$7)))</f>
        <v/>
      </c>
      <c r="J3233" s="0" t="str">
        <f aca="false">IF(I3233="","",IF(H3233-1&lt;הגדרות!$E$8*(הגדרות!$E$7+1),MOD(H3233-1,הגדרות!$E$7+1),MOD(H3233-1-הגדרות!$E$8*(הגדרות!$E$7+1),הגדרות!$E$7)))</f>
        <v/>
      </c>
      <c r="K3233" s="0" t="str">
        <f aca="false">IF(I3233="","",J3233*הגדרות!$E$6+I3233+1)</f>
        <v/>
      </c>
      <c r="L3233" s="0" t="str">
        <f aca="false">IF(K3233="","",MATCH(K3233,$F$2:$F$5001,0))</f>
        <v/>
      </c>
      <c r="M3233" s="0" t="str">
        <f aca="false">IF(I3233="","",INDEX(הגדרות!$A$2:$A$21,MOD(I3233+הגדרות!$E$9,הגדרות!$E$6)+1))</f>
        <v/>
      </c>
    </row>
    <row r="3234" customFormat="false" ht="15" hidden="false" customHeight="false" outlineLevel="0" collapsed="false">
      <c r="A3234" s="0" t="str">
        <f aca="false">IF('הדבקת לידים'!A3234="","",IF(ISNUMBER('הדבקת לידים'!A3234),IF(הגדרות!$E$2&gt;0,TEXT('הדבקת לידים'!A3234,REPT("0",הגדרות!$E$2)),TEXT('הדבקת לידים'!A3234,"0")),TRIM('הדבקת לידים'!A3234)))</f>
        <v/>
      </c>
      <c r="B3234" s="0" t="str">
        <f aca="false">IF('הדבקת לידים'!B3234="","",IF(ISNUMBER('הדבקת לידים'!B3234),IF(הגדרות!$E$3&gt;0,TEXT('הדבקת לידים'!B3234,REPT("0",הגדרות!$E$3)),TEXT('הדבקת לידים'!B3234,"0")),TRIM('הדבקת לידים'!B3234)))</f>
        <v/>
      </c>
      <c r="C3234" s="0" t="n">
        <f aca="false">IF(OR(A3234&lt;&gt;"",B3234&lt;&gt;""),1,0)</f>
        <v>0</v>
      </c>
      <c r="D3234" s="0" t="str">
        <f aca="false">IF(C3234=1,MOD(ABS(SIN(ROW()*12.9898+'הדבקת לידים'!$F$2*78.233+IFERROR(--RIGHT(A3234,6),LEN(A3234))*0.0137+IFERROR(--RIGHT(B3234,6),LEN(B3234))*0.0071))*43758.5453,1),"")</f>
        <v/>
      </c>
      <c r="E3234" s="0" t="str">
        <f aca="false">IF(C3234=1,INT(MOD(ABS(SIN(D3234*7919.123+ROW()*0.618+'הדבקת לידים'!$F$2*1.3))*43758.5453,1)*1000000)*10000+ROW(),"")</f>
        <v/>
      </c>
      <c r="F3234" s="0" t="str">
        <f aca="false">IF(E3234="","",RANK(E3234,$E$2:$E$5001,1))</f>
        <v/>
      </c>
      <c r="G3234" s="0" t="n">
        <f aca="false">IF(A3234="",0,IF(SUMPRODUCT(--($A$2:$A$5001=A3234))&gt;1,1,0))</f>
        <v>0</v>
      </c>
      <c r="H3234" s="0" t="n">
        <f aca="false">ROW()-1</f>
        <v>3233</v>
      </c>
      <c r="I3234" s="0" t="str">
        <f aca="false">IF(OR(הגדרות!$E$6=0,H3234&gt;הגדרות!$E$5),"",IF(H3234-1&lt;הגדרות!$E$8*(הגדרות!$E$7+1),INT((H3234-1)/(הגדרות!$E$7+1)),הגדרות!$E$8+INT((H3234-1-הגדרות!$E$8*(הגדרות!$E$7+1))/הגדרות!$E$7)))</f>
        <v/>
      </c>
      <c r="J3234" s="0" t="str">
        <f aca="false">IF(I3234="","",IF(H3234-1&lt;הגדרות!$E$8*(הגדרות!$E$7+1),MOD(H3234-1,הגדרות!$E$7+1),MOD(H3234-1-הגדרות!$E$8*(הגדרות!$E$7+1),הגדרות!$E$7)))</f>
        <v/>
      </c>
      <c r="K3234" s="0" t="str">
        <f aca="false">IF(I3234="","",J3234*הגדרות!$E$6+I3234+1)</f>
        <v/>
      </c>
      <c r="L3234" s="0" t="str">
        <f aca="false">IF(K3234="","",MATCH(K3234,$F$2:$F$5001,0))</f>
        <v/>
      </c>
      <c r="M3234" s="0" t="str">
        <f aca="false">IF(I3234="","",INDEX(הגדרות!$A$2:$A$21,MOD(I3234+הגדרות!$E$9,הגדרות!$E$6)+1))</f>
        <v/>
      </c>
    </row>
    <row r="3235" customFormat="false" ht="15" hidden="false" customHeight="false" outlineLevel="0" collapsed="false">
      <c r="A3235" s="0" t="str">
        <f aca="false">IF('הדבקת לידים'!A3235="","",IF(ISNUMBER('הדבקת לידים'!A3235),IF(הגדרות!$E$2&gt;0,TEXT('הדבקת לידים'!A3235,REPT("0",הגדרות!$E$2)),TEXT('הדבקת לידים'!A3235,"0")),TRIM('הדבקת לידים'!A3235)))</f>
        <v/>
      </c>
      <c r="B3235" s="0" t="str">
        <f aca="false">IF('הדבקת לידים'!B3235="","",IF(ISNUMBER('הדבקת לידים'!B3235),IF(הגדרות!$E$3&gt;0,TEXT('הדבקת לידים'!B3235,REPT("0",הגדרות!$E$3)),TEXT('הדבקת לידים'!B3235,"0")),TRIM('הדבקת לידים'!B3235)))</f>
        <v/>
      </c>
      <c r="C3235" s="0" t="n">
        <f aca="false">IF(OR(A3235&lt;&gt;"",B3235&lt;&gt;""),1,0)</f>
        <v>0</v>
      </c>
      <c r="D3235" s="0" t="str">
        <f aca="false">IF(C3235=1,MOD(ABS(SIN(ROW()*12.9898+'הדבקת לידים'!$F$2*78.233+IFERROR(--RIGHT(A3235,6),LEN(A3235))*0.0137+IFERROR(--RIGHT(B3235,6),LEN(B3235))*0.0071))*43758.5453,1),"")</f>
        <v/>
      </c>
      <c r="E3235" s="0" t="str">
        <f aca="false">IF(C3235=1,INT(MOD(ABS(SIN(D3235*7919.123+ROW()*0.618+'הדבקת לידים'!$F$2*1.3))*43758.5453,1)*1000000)*10000+ROW(),"")</f>
        <v/>
      </c>
      <c r="F3235" s="0" t="str">
        <f aca="false">IF(E3235="","",RANK(E3235,$E$2:$E$5001,1))</f>
        <v/>
      </c>
      <c r="G3235" s="0" t="n">
        <f aca="false">IF(A3235="",0,IF(SUMPRODUCT(--($A$2:$A$5001=A3235))&gt;1,1,0))</f>
        <v>0</v>
      </c>
      <c r="H3235" s="0" t="n">
        <f aca="false">ROW()-1</f>
        <v>3234</v>
      </c>
      <c r="I3235" s="0" t="str">
        <f aca="false">IF(OR(הגדרות!$E$6=0,H3235&gt;הגדרות!$E$5),"",IF(H3235-1&lt;הגדרות!$E$8*(הגדרות!$E$7+1),INT((H3235-1)/(הגדרות!$E$7+1)),הגדרות!$E$8+INT((H3235-1-הגדרות!$E$8*(הגדרות!$E$7+1))/הגדרות!$E$7)))</f>
        <v/>
      </c>
      <c r="J3235" s="0" t="str">
        <f aca="false">IF(I3235="","",IF(H3235-1&lt;הגדרות!$E$8*(הגדרות!$E$7+1),MOD(H3235-1,הגדרות!$E$7+1),MOD(H3235-1-הגדרות!$E$8*(הגדרות!$E$7+1),הגדרות!$E$7)))</f>
        <v/>
      </c>
      <c r="K3235" s="0" t="str">
        <f aca="false">IF(I3235="","",J3235*הגדרות!$E$6+I3235+1)</f>
        <v/>
      </c>
      <c r="L3235" s="0" t="str">
        <f aca="false">IF(K3235="","",MATCH(K3235,$F$2:$F$5001,0))</f>
        <v/>
      </c>
      <c r="M3235" s="0" t="str">
        <f aca="false">IF(I3235="","",INDEX(הגדרות!$A$2:$A$21,MOD(I3235+הגדרות!$E$9,הגדרות!$E$6)+1))</f>
        <v/>
      </c>
    </row>
    <row r="3236" customFormat="false" ht="15" hidden="false" customHeight="false" outlineLevel="0" collapsed="false">
      <c r="A3236" s="0" t="str">
        <f aca="false">IF('הדבקת לידים'!A3236="","",IF(ISNUMBER('הדבקת לידים'!A3236),IF(הגדרות!$E$2&gt;0,TEXT('הדבקת לידים'!A3236,REPT("0",הגדרות!$E$2)),TEXT('הדבקת לידים'!A3236,"0")),TRIM('הדבקת לידים'!A3236)))</f>
        <v/>
      </c>
      <c r="B3236" s="0" t="str">
        <f aca="false">IF('הדבקת לידים'!B3236="","",IF(ISNUMBER('הדבקת לידים'!B3236),IF(הגדרות!$E$3&gt;0,TEXT('הדבקת לידים'!B3236,REPT("0",הגדרות!$E$3)),TEXT('הדבקת לידים'!B3236,"0")),TRIM('הדבקת לידים'!B3236)))</f>
        <v/>
      </c>
      <c r="C3236" s="0" t="n">
        <f aca="false">IF(OR(A3236&lt;&gt;"",B3236&lt;&gt;""),1,0)</f>
        <v>0</v>
      </c>
      <c r="D3236" s="0" t="str">
        <f aca="false">IF(C3236=1,MOD(ABS(SIN(ROW()*12.9898+'הדבקת לידים'!$F$2*78.233+IFERROR(--RIGHT(A3236,6),LEN(A3236))*0.0137+IFERROR(--RIGHT(B3236,6),LEN(B3236))*0.0071))*43758.5453,1),"")</f>
        <v/>
      </c>
      <c r="E3236" s="0" t="str">
        <f aca="false">IF(C3236=1,INT(MOD(ABS(SIN(D3236*7919.123+ROW()*0.618+'הדבקת לידים'!$F$2*1.3))*43758.5453,1)*1000000)*10000+ROW(),"")</f>
        <v/>
      </c>
      <c r="F3236" s="0" t="str">
        <f aca="false">IF(E3236="","",RANK(E3236,$E$2:$E$5001,1))</f>
        <v/>
      </c>
      <c r="G3236" s="0" t="n">
        <f aca="false">IF(A3236="",0,IF(SUMPRODUCT(--($A$2:$A$5001=A3236))&gt;1,1,0))</f>
        <v>0</v>
      </c>
      <c r="H3236" s="0" t="n">
        <f aca="false">ROW()-1</f>
        <v>3235</v>
      </c>
      <c r="I3236" s="0" t="str">
        <f aca="false">IF(OR(הגדרות!$E$6=0,H3236&gt;הגדרות!$E$5),"",IF(H3236-1&lt;הגדרות!$E$8*(הגדרות!$E$7+1),INT((H3236-1)/(הגדרות!$E$7+1)),הגדרות!$E$8+INT((H3236-1-הגדרות!$E$8*(הגדרות!$E$7+1))/הגדרות!$E$7)))</f>
        <v/>
      </c>
      <c r="J3236" s="0" t="str">
        <f aca="false">IF(I3236="","",IF(H3236-1&lt;הגדרות!$E$8*(הגדרות!$E$7+1),MOD(H3236-1,הגדרות!$E$7+1),MOD(H3236-1-הגדרות!$E$8*(הגדרות!$E$7+1),הגדרות!$E$7)))</f>
        <v/>
      </c>
      <c r="K3236" s="0" t="str">
        <f aca="false">IF(I3236="","",J3236*הגדרות!$E$6+I3236+1)</f>
        <v/>
      </c>
      <c r="L3236" s="0" t="str">
        <f aca="false">IF(K3236="","",MATCH(K3236,$F$2:$F$5001,0))</f>
        <v/>
      </c>
      <c r="M3236" s="0" t="str">
        <f aca="false">IF(I3236="","",INDEX(הגדרות!$A$2:$A$21,MOD(I3236+הגדרות!$E$9,הגדרות!$E$6)+1))</f>
        <v/>
      </c>
    </row>
    <row r="3237" customFormat="false" ht="15" hidden="false" customHeight="false" outlineLevel="0" collapsed="false">
      <c r="A3237" s="0" t="str">
        <f aca="false">IF('הדבקת לידים'!A3237="","",IF(ISNUMBER('הדבקת לידים'!A3237),IF(הגדרות!$E$2&gt;0,TEXT('הדבקת לידים'!A3237,REPT("0",הגדרות!$E$2)),TEXT('הדבקת לידים'!A3237,"0")),TRIM('הדבקת לידים'!A3237)))</f>
        <v/>
      </c>
      <c r="B3237" s="0" t="str">
        <f aca="false">IF('הדבקת לידים'!B3237="","",IF(ISNUMBER('הדבקת לידים'!B3237),IF(הגדרות!$E$3&gt;0,TEXT('הדבקת לידים'!B3237,REPT("0",הגדרות!$E$3)),TEXT('הדבקת לידים'!B3237,"0")),TRIM('הדבקת לידים'!B3237)))</f>
        <v/>
      </c>
      <c r="C3237" s="0" t="n">
        <f aca="false">IF(OR(A3237&lt;&gt;"",B3237&lt;&gt;""),1,0)</f>
        <v>0</v>
      </c>
      <c r="D3237" s="0" t="str">
        <f aca="false">IF(C3237=1,MOD(ABS(SIN(ROW()*12.9898+'הדבקת לידים'!$F$2*78.233+IFERROR(--RIGHT(A3237,6),LEN(A3237))*0.0137+IFERROR(--RIGHT(B3237,6),LEN(B3237))*0.0071))*43758.5453,1),"")</f>
        <v/>
      </c>
      <c r="E3237" s="0" t="str">
        <f aca="false">IF(C3237=1,INT(MOD(ABS(SIN(D3237*7919.123+ROW()*0.618+'הדבקת לידים'!$F$2*1.3))*43758.5453,1)*1000000)*10000+ROW(),"")</f>
        <v/>
      </c>
      <c r="F3237" s="0" t="str">
        <f aca="false">IF(E3237="","",RANK(E3237,$E$2:$E$5001,1))</f>
        <v/>
      </c>
      <c r="G3237" s="0" t="n">
        <f aca="false">IF(A3237="",0,IF(SUMPRODUCT(--($A$2:$A$5001=A3237))&gt;1,1,0))</f>
        <v>0</v>
      </c>
      <c r="H3237" s="0" t="n">
        <f aca="false">ROW()-1</f>
        <v>3236</v>
      </c>
      <c r="I3237" s="0" t="str">
        <f aca="false">IF(OR(הגדרות!$E$6=0,H3237&gt;הגדרות!$E$5),"",IF(H3237-1&lt;הגדרות!$E$8*(הגדרות!$E$7+1),INT((H3237-1)/(הגדרות!$E$7+1)),הגדרות!$E$8+INT((H3237-1-הגדרות!$E$8*(הגדרות!$E$7+1))/הגדרות!$E$7)))</f>
        <v/>
      </c>
      <c r="J3237" s="0" t="str">
        <f aca="false">IF(I3237="","",IF(H3237-1&lt;הגדרות!$E$8*(הגדרות!$E$7+1),MOD(H3237-1,הגדרות!$E$7+1),MOD(H3237-1-הגדרות!$E$8*(הגדרות!$E$7+1),הגדרות!$E$7)))</f>
        <v/>
      </c>
      <c r="K3237" s="0" t="str">
        <f aca="false">IF(I3237="","",J3237*הגדרות!$E$6+I3237+1)</f>
        <v/>
      </c>
      <c r="L3237" s="0" t="str">
        <f aca="false">IF(K3237="","",MATCH(K3237,$F$2:$F$5001,0))</f>
        <v/>
      </c>
      <c r="M3237" s="0" t="str">
        <f aca="false">IF(I3237="","",INDEX(הגדרות!$A$2:$A$21,MOD(I3237+הגדרות!$E$9,הגדרות!$E$6)+1))</f>
        <v/>
      </c>
    </row>
    <row r="3238" customFormat="false" ht="15" hidden="false" customHeight="false" outlineLevel="0" collapsed="false">
      <c r="A3238" s="0" t="str">
        <f aca="false">IF('הדבקת לידים'!A3238="","",IF(ISNUMBER('הדבקת לידים'!A3238),IF(הגדרות!$E$2&gt;0,TEXT('הדבקת לידים'!A3238,REPT("0",הגדרות!$E$2)),TEXT('הדבקת לידים'!A3238,"0")),TRIM('הדבקת לידים'!A3238)))</f>
        <v/>
      </c>
      <c r="B3238" s="0" t="str">
        <f aca="false">IF('הדבקת לידים'!B3238="","",IF(ISNUMBER('הדבקת לידים'!B3238),IF(הגדרות!$E$3&gt;0,TEXT('הדבקת לידים'!B3238,REPT("0",הגדרות!$E$3)),TEXT('הדבקת לידים'!B3238,"0")),TRIM('הדבקת לידים'!B3238)))</f>
        <v/>
      </c>
      <c r="C3238" s="0" t="n">
        <f aca="false">IF(OR(A3238&lt;&gt;"",B3238&lt;&gt;""),1,0)</f>
        <v>0</v>
      </c>
      <c r="D3238" s="0" t="str">
        <f aca="false">IF(C3238=1,MOD(ABS(SIN(ROW()*12.9898+'הדבקת לידים'!$F$2*78.233+IFERROR(--RIGHT(A3238,6),LEN(A3238))*0.0137+IFERROR(--RIGHT(B3238,6),LEN(B3238))*0.0071))*43758.5453,1),"")</f>
        <v/>
      </c>
      <c r="E3238" s="0" t="str">
        <f aca="false">IF(C3238=1,INT(MOD(ABS(SIN(D3238*7919.123+ROW()*0.618+'הדבקת לידים'!$F$2*1.3))*43758.5453,1)*1000000)*10000+ROW(),"")</f>
        <v/>
      </c>
      <c r="F3238" s="0" t="str">
        <f aca="false">IF(E3238="","",RANK(E3238,$E$2:$E$5001,1))</f>
        <v/>
      </c>
      <c r="G3238" s="0" t="n">
        <f aca="false">IF(A3238="",0,IF(SUMPRODUCT(--($A$2:$A$5001=A3238))&gt;1,1,0))</f>
        <v>0</v>
      </c>
      <c r="H3238" s="0" t="n">
        <f aca="false">ROW()-1</f>
        <v>3237</v>
      </c>
      <c r="I3238" s="0" t="str">
        <f aca="false">IF(OR(הגדרות!$E$6=0,H3238&gt;הגדרות!$E$5),"",IF(H3238-1&lt;הגדרות!$E$8*(הגדרות!$E$7+1),INT((H3238-1)/(הגדרות!$E$7+1)),הגדרות!$E$8+INT((H3238-1-הגדרות!$E$8*(הגדרות!$E$7+1))/הגדרות!$E$7)))</f>
        <v/>
      </c>
      <c r="J3238" s="0" t="str">
        <f aca="false">IF(I3238="","",IF(H3238-1&lt;הגדרות!$E$8*(הגדרות!$E$7+1),MOD(H3238-1,הגדרות!$E$7+1),MOD(H3238-1-הגדרות!$E$8*(הגדרות!$E$7+1),הגדרות!$E$7)))</f>
        <v/>
      </c>
      <c r="K3238" s="0" t="str">
        <f aca="false">IF(I3238="","",J3238*הגדרות!$E$6+I3238+1)</f>
        <v/>
      </c>
      <c r="L3238" s="0" t="str">
        <f aca="false">IF(K3238="","",MATCH(K3238,$F$2:$F$5001,0))</f>
        <v/>
      </c>
      <c r="M3238" s="0" t="str">
        <f aca="false">IF(I3238="","",INDEX(הגדרות!$A$2:$A$21,MOD(I3238+הגדרות!$E$9,הגדרות!$E$6)+1))</f>
        <v/>
      </c>
    </row>
    <row r="3239" customFormat="false" ht="15" hidden="false" customHeight="false" outlineLevel="0" collapsed="false">
      <c r="A3239" s="0" t="str">
        <f aca="false">IF('הדבקת לידים'!A3239="","",IF(ISNUMBER('הדבקת לידים'!A3239),IF(הגדרות!$E$2&gt;0,TEXT('הדבקת לידים'!A3239,REPT("0",הגדרות!$E$2)),TEXT('הדבקת לידים'!A3239,"0")),TRIM('הדבקת לידים'!A3239)))</f>
        <v/>
      </c>
      <c r="B3239" s="0" t="str">
        <f aca="false">IF('הדבקת לידים'!B3239="","",IF(ISNUMBER('הדבקת לידים'!B3239),IF(הגדרות!$E$3&gt;0,TEXT('הדבקת לידים'!B3239,REPT("0",הגדרות!$E$3)),TEXT('הדבקת לידים'!B3239,"0")),TRIM('הדבקת לידים'!B3239)))</f>
        <v/>
      </c>
      <c r="C3239" s="0" t="n">
        <f aca="false">IF(OR(A3239&lt;&gt;"",B3239&lt;&gt;""),1,0)</f>
        <v>0</v>
      </c>
      <c r="D3239" s="0" t="str">
        <f aca="false">IF(C3239=1,MOD(ABS(SIN(ROW()*12.9898+'הדבקת לידים'!$F$2*78.233+IFERROR(--RIGHT(A3239,6),LEN(A3239))*0.0137+IFERROR(--RIGHT(B3239,6),LEN(B3239))*0.0071))*43758.5453,1),"")</f>
        <v/>
      </c>
      <c r="E3239" s="0" t="str">
        <f aca="false">IF(C3239=1,INT(MOD(ABS(SIN(D3239*7919.123+ROW()*0.618+'הדבקת לידים'!$F$2*1.3))*43758.5453,1)*1000000)*10000+ROW(),"")</f>
        <v/>
      </c>
      <c r="F3239" s="0" t="str">
        <f aca="false">IF(E3239="","",RANK(E3239,$E$2:$E$5001,1))</f>
        <v/>
      </c>
      <c r="G3239" s="0" t="n">
        <f aca="false">IF(A3239="",0,IF(SUMPRODUCT(--($A$2:$A$5001=A3239))&gt;1,1,0))</f>
        <v>0</v>
      </c>
      <c r="H3239" s="0" t="n">
        <f aca="false">ROW()-1</f>
        <v>3238</v>
      </c>
      <c r="I3239" s="0" t="str">
        <f aca="false">IF(OR(הגדרות!$E$6=0,H3239&gt;הגדרות!$E$5),"",IF(H3239-1&lt;הגדרות!$E$8*(הגדרות!$E$7+1),INT((H3239-1)/(הגדרות!$E$7+1)),הגדרות!$E$8+INT((H3239-1-הגדרות!$E$8*(הגדרות!$E$7+1))/הגדרות!$E$7)))</f>
        <v/>
      </c>
      <c r="J3239" s="0" t="str">
        <f aca="false">IF(I3239="","",IF(H3239-1&lt;הגדרות!$E$8*(הגדרות!$E$7+1),MOD(H3239-1,הגדרות!$E$7+1),MOD(H3239-1-הגדרות!$E$8*(הגדרות!$E$7+1),הגדרות!$E$7)))</f>
        <v/>
      </c>
      <c r="K3239" s="0" t="str">
        <f aca="false">IF(I3239="","",J3239*הגדרות!$E$6+I3239+1)</f>
        <v/>
      </c>
      <c r="L3239" s="0" t="str">
        <f aca="false">IF(K3239="","",MATCH(K3239,$F$2:$F$5001,0))</f>
        <v/>
      </c>
      <c r="M3239" s="0" t="str">
        <f aca="false">IF(I3239="","",INDEX(הגדרות!$A$2:$A$21,MOD(I3239+הגדרות!$E$9,הגדרות!$E$6)+1))</f>
        <v/>
      </c>
    </row>
    <row r="3240" customFormat="false" ht="15" hidden="false" customHeight="false" outlineLevel="0" collapsed="false">
      <c r="A3240" s="0" t="str">
        <f aca="false">IF('הדבקת לידים'!A3240="","",IF(ISNUMBER('הדבקת לידים'!A3240),IF(הגדרות!$E$2&gt;0,TEXT('הדבקת לידים'!A3240,REPT("0",הגדרות!$E$2)),TEXT('הדבקת לידים'!A3240,"0")),TRIM('הדבקת לידים'!A3240)))</f>
        <v/>
      </c>
      <c r="B3240" s="0" t="str">
        <f aca="false">IF('הדבקת לידים'!B3240="","",IF(ISNUMBER('הדבקת לידים'!B3240),IF(הגדרות!$E$3&gt;0,TEXT('הדבקת לידים'!B3240,REPT("0",הגדרות!$E$3)),TEXT('הדבקת לידים'!B3240,"0")),TRIM('הדבקת לידים'!B3240)))</f>
        <v/>
      </c>
      <c r="C3240" s="0" t="n">
        <f aca="false">IF(OR(A3240&lt;&gt;"",B3240&lt;&gt;""),1,0)</f>
        <v>0</v>
      </c>
      <c r="D3240" s="0" t="str">
        <f aca="false">IF(C3240=1,MOD(ABS(SIN(ROW()*12.9898+'הדבקת לידים'!$F$2*78.233+IFERROR(--RIGHT(A3240,6),LEN(A3240))*0.0137+IFERROR(--RIGHT(B3240,6),LEN(B3240))*0.0071))*43758.5453,1),"")</f>
        <v/>
      </c>
      <c r="E3240" s="0" t="str">
        <f aca="false">IF(C3240=1,INT(MOD(ABS(SIN(D3240*7919.123+ROW()*0.618+'הדבקת לידים'!$F$2*1.3))*43758.5453,1)*1000000)*10000+ROW(),"")</f>
        <v/>
      </c>
      <c r="F3240" s="0" t="str">
        <f aca="false">IF(E3240="","",RANK(E3240,$E$2:$E$5001,1))</f>
        <v/>
      </c>
      <c r="G3240" s="0" t="n">
        <f aca="false">IF(A3240="",0,IF(SUMPRODUCT(--($A$2:$A$5001=A3240))&gt;1,1,0))</f>
        <v>0</v>
      </c>
      <c r="H3240" s="0" t="n">
        <f aca="false">ROW()-1</f>
        <v>3239</v>
      </c>
      <c r="I3240" s="0" t="str">
        <f aca="false">IF(OR(הגדרות!$E$6=0,H3240&gt;הגדרות!$E$5),"",IF(H3240-1&lt;הגדרות!$E$8*(הגדרות!$E$7+1),INT((H3240-1)/(הגדרות!$E$7+1)),הגדרות!$E$8+INT((H3240-1-הגדרות!$E$8*(הגדרות!$E$7+1))/הגדרות!$E$7)))</f>
        <v/>
      </c>
      <c r="J3240" s="0" t="str">
        <f aca="false">IF(I3240="","",IF(H3240-1&lt;הגדרות!$E$8*(הגדרות!$E$7+1),MOD(H3240-1,הגדרות!$E$7+1),MOD(H3240-1-הגדרות!$E$8*(הגדרות!$E$7+1),הגדרות!$E$7)))</f>
        <v/>
      </c>
      <c r="K3240" s="0" t="str">
        <f aca="false">IF(I3240="","",J3240*הגדרות!$E$6+I3240+1)</f>
        <v/>
      </c>
      <c r="L3240" s="0" t="str">
        <f aca="false">IF(K3240="","",MATCH(K3240,$F$2:$F$5001,0))</f>
        <v/>
      </c>
      <c r="M3240" s="0" t="str">
        <f aca="false">IF(I3240="","",INDEX(הגדרות!$A$2:$A$21,MOD(I3240+הגדרות!$E$9,הגדרות!$E$6)+1))</f>
        <v/>
      </c>
    </row>
    <row r="3241" customFormat="false" ht="15" hidden="false" customHeight="false" outlineLevel="0" collapsed="false">
      <c r="A3241" s="0" t="str">
        <f aca="false">IF('הדבקת לידים'!A3241="","",IF(ISNUMBER('הדבקת לידים'!A3241),IF(הגדרות!$E$2&gt;0,TEXT('הדבקת לידים'!A3241,REPT("0",הגדרות!$E$2)),TEXT('הדבקת לידים'!A3241,"0")),TRIM('הדבקת לידים'!A3241)))</f>
        <v/>
      </c>
      <c r="B3241" s="0" t="str">
        <f aca="false">IF('הדבקת לידים'!B3241="","",IF(ISNUMBER('הדבקת לידים'!B3241),IF(הגדרות!$E$3&gt;0,TEXT('הדבקת לידים'!B3241,REPT("0",הגדרות!$E$3)),TEXT('הדבקת לידים'!B3241,"0")),TRIM('הדבקת לידים'!B3241)))</f>
        <v/>
      </c>
      <c r="C3241" s="0" t="n">
        <f aca="false">IF(OR(A3241&lt;&gt;"",B3241&lt;&gt;""),1,0)</f>
        <v>0</v>
      </c>
      <c r="D3241" s="0" t="str">
        <f aca="false">IF(C3241=1,MOD(ABS(SIN(ROW()*12.9898+'הדבקת לידים'!$F$2*78.233+IFERROR(--RIGHT(A3241,6),LEN(A3241))*0.0137+IFERROR(--RIGHT(B3241,6),LEN(B3241))*0.0071))*43758.5453,1),"")</f>
        <v/>
      </c>
      <c r="E3241" s="0" t="str">
        <f aca="false">IF(C3241=1,INT(MOD(ABS(SIN(D3241*7919.123+ROW()*0.618+'הדבקת לידים'!$F$2*1.3))*43758.5453,1)*1000000)*10000+ROW(),"")</f>
        <v/>
      </c>
      <c r="F3241" s="0" t="str">
        <f aca="false">IF(E3241="","",RANK(E3241,$E$2:$E$5001,1))</f>
        <v/>
      </c>
      <c r="G3241" s="0" t="n">
        <f aca="false">IF(A3241="",0,IF(SUMPRODUCT(--($A$2:$A$5001=A3241))&gt;1,1,0))</f>
        <v>0</v>
      </c>
      <c r="H3241" s="0" t="n">
        <f aca="false">ROW()-1</f>
        <v>3240</v>
      </c>
      <c r="I3241" s="0" t="str">
        <f aca="false">IF(OR(הגדרות!$E$6=0,H3241&gt;הגדרות!$E$5),"",IF(H3241-1&lt;הגדרות!$E$8*(הגדרות!$E$7+1),INT((H3241-1)/(הגדרות!$E$7+1)),הגדרות!$E$8+INT((H3241-1-הגדרות!$E$8*(הגדרות!$E$7+1))/הגדרות!$E$7)))</f>
        <v/>
      </c>
      <c r="J3241" s="0" t="str">
        <f aca="false">IF(I3241="","",IF(H3241-1&lt;הגדרות!$E$8*(הגדרות!$E$7+1),MOD(H3241-1,הגדרות!$E$7+1),MOD(H3241-1-הגדרות!$E$8*(הגדרות!$E$7+1),הגדרות!$E$7)))</f>
        <v/>
      </c>
      <c r="K3241" s="0" t="str">
        <f aca="false">IF(I3241="","",J3241*הגדרות!$E$6+I3241+1)</f>
        <v/>
      </c>
      <c r="L3241" s="0" t="str">
        <f aca="false">IF(K3241="","",MATCH(K3241,$F$2:$F$5001,0))</f>
        <v/>
      </c>
      <c r="M3241" s="0" t="str">
        <f aca="false">IF(I3241="","",INDEX(הגדרות!$A$2:$A$21,MOD(I3241+הגדרות!$E$9,הגדרות!$E$6)+1))</f>
        <v/>
      </c>
    </row>
    <row r="3242" customFormat="false" ht="15" hidden="false" customHeight="false" outlineLevel="0" collapsed="false">
      <c r="A3242" s="0" t="str">
        <f aca="false">IF('הדבקת לידים'!A3242="","",IF(ISNUMBER('הדבקת לידים'!A3242),IF(הגדרות!$E$2&gt;0,TEXT('הדבקת לידים'!A3242,REPT("0",הגדרות!$E$2)),TEXT('הדבקת לידים'!A3242,"0")),TRIM('הדבקת לידים'!A3242)))</f>
        <v/>
      </c>
      <c r="B3242" s="0" t="str">
        <f aca="false">IF('הדבקת לידים'!B3242="","",IF(ISNUMBER('הדבקת לידים'!B3242),IF(הגדרות!$E$3&gt;0,TEXT('הדבקת לידים'!B3242,REPT("0",הגדרות!$E$3)),TEXT('הדבקת לידים'!B3242,"0")),TRIM('הדבקת לידים'!B3242)))</f>
        <v/>
      </c>
      <c r="C3242" s="0" t="n">
        <f aca="false">IF(OR(A3242&lt;&gt;"",B3242&lt;&gt;""),1,0)</f>
        <v>0</v>
      </c>
      <c r="D3242" s="0" t="str">
        <f aca="false">IF(C3242=1,MOD(ABS(SIN(ROW()*12.9898+'הדבקת לידים'!$F$2*78.233+IFERROR(--RIGHT(A3242,6),LEN(A3242))*0.0137+IFERROR(--RIGHT(B3242,6),LEN(B3242))*0.0071))*43758.5453,1),"")</f>
        <v/>
      </c>
      <c r="E3242" s="0" t="str">
        <f aca="false">IF(C3242=1,INT(MOD(ABS(SIN(D3242*7919.123+ROW()*0.618+'הדבקת לידים'!$F$2*1.3))*43758.5453,1)*1000000)*10000+ROW(),"")</f>
        <v/>
      </c>
      <c r="F3242" s="0" t="str">
        <f aca="false">IF(E3242="","",RANK(E3242,$E$2:$E$5001,1))</f>
        <v/>
      </c>
      <c r="G3242" s="0" t="n">
        <f aca="false">IF(A3242="",0,IF(SUMPRODUCT(--($A$2:$A$5001=A3242))&gt;1,1,0))</f>
        <v>0</v>
      </c>
      <c r="H3242" s="0" t="n">
        <f aca="false">ROW()-1</f>
        <v>3241</v>
      </c>
      <c r="I3242" s="0" t="str">
        <f aca="false">IF(OR(הגדרות!$E$6=0,H3242&gt;הגדרות!$E$5),"",IF(H3242-1&lt;הגדרות!$E$8*(הגדרות!$E$7+1),INT((H3242-1)/(הגדרות!$E$7+1)),הגדרות!$E$8+INT((H3242-1-הגדרות!$E$8*(הגדרות!$E$7+1))/הגדרות!$E$7)))</f>
        <v/>
      </c>
      <c r="J3242" s="0" t="str">
        <f aca="false">IF(I3242="","",IF(H3242-1&lt;הגדרות!$E$8*(הגדרות!$E$7+1),MOD(H3242-1,הגדרות!$E$7+1),MOD(H3242-1-הגדרות!$E$8*(הגדרות!$E$7+1),הגדרות!$E$7)))</f>
        <v/>
      </c>
      <c r="K3242" s="0" t="str">
        <f aca="false">IF(I3242="","",J3242*הגדרות!$E$6+I3242+1)</f>
        <v/>
      </c>
      <c r="L3242" s="0" t="str">
        <f aca="false">IF(K3242="","",MATCH(K3242,$F$2:$F$5001,0))</f>
        <v/>
      </c>
      <c r="M3242" s="0" t="str">
        <f aca="false">IF(I3242="","",INDEX(הגדרות!$A$2:$A$21,MOD(I3242+הגדרות!$E$9,הגדרות!$E$6)+1))</f>
        <v/>
      </c>
    </row>
    <row r="3243" customFormat="false" ht="15" hidden="false" customHeight="false" outlineLevel="0" collapsed="false">
      <c r="A3243" s="0" t="str">
        <f aca="false">IF('הדבקת לידים'!A3243="","",IF(ISNUMBER('הדבקת לידים'!A3243),IF(הגדרות!$E$2&gt;0,TEXT('הדבקת לידים'!A3243,REPT("0",הגדרות!$E$2)),TEXT('הדבקת לידים'!A3243,"0")),TRIM('הדבקת לידים'!A3243)))</f>
        <v/>
      </c>
      <c r="B3243" s="0" t="str">
        <f aca="false">IF('הדבקת לידים'!B3243="","",IF(ISNUMBER('הדבקת לידים'!B3243),IF(הגדרות!$E$3&gt;0,TEXT('הדבקת לידים'!B3243,REPT("0",הגדרות!$E$3)),TEXT('הדבקת לידים'!B3243,"0")),TRIM('הדבקת לידים'!B3243)))</f>
        <v/>
      </c>
      <c r="C3243" s="0" t="n">
        <f aca="false">IF(OR(A3243&lt;&gt;"",B3243&lt;&gt;""),1,0)</f>
        <v>0</v>
      </c>
      <c r="D3243" s="0" t="str">
        <f aca="false">IF(C3243=1,MOD(ABS(SIN(ROW()*12.9898+'הדבקת לידים'!$F$2*78.233+IFERROR(--RIGHT(A3243,6),LEN(A3243))*0.0137+IFERROR(--RIGHT(B3243,6),LEN(B3243))*0.0071))*43758.5453,1),"")</f>
        <v/>
      </c>
      <c r="E3243" s="0" t="str">
        <f aca="false">IF(C3243=1,INT(MOD(ABS(SIN(D3243*7919.123+ROW()*0.618+'הדבקת לידים'!$F$2*1.3))*43758.5453,1)*1000000)*10000+ROW(),"")</f>
        <v/>
      </c>
      <c r="F3243" s="0" t="str">
        <f aca="false">IF(E3243="","",RANK(E3243,$E$2:$E$5001,1))</f>
        <v/>
      </c>
      <c r="G3243" s="0" t="n">
        <f aca="false">IF(A3243="",0,IF(SUMPRODUCT(--($A$2:$A$5001=A3243))&gt;1,1,0))</f>
        <v>0</v>
      </c>
      <c r="H3243" s="0" t="n">
        <f aca="false">ROW()-1</f>
        <v>3242</v>
      </c>
      <c r="I3243" s="0" t="str">
        <f aca="false">IF(OR(הגדרות!$E$6=0,H3243&gt;הגדרות!$E$5),"",IF(H3243-1&lt;הגדרות!$E$8*(הגדרות!$E$7+1),INT((H3243-1)/(הגדרות!$E$7+1)),הגדרות!$E$8+INT((H3243-1-הגדרות!$E$8*(הגדרות!$E$7+1))/הגדרות!$E$7)))</f>
        <v/>
      </c>
      <c r="J3243" s="0" t="str">
        <f aca="false">IF(I3243="","",IF(H3243-1&lt;הגדרות!$E$8*(הגדרות!$E$7+1),MOD(H3243-1,הגדרות!$E$7+1),MOD(H3243-1-הגדרות!$E$8*(הגדרות!$E$7+1),הגדרות!$E$7)))</f>
        <v/>
      </c>
      <c r="K3243" s="0" t="str">
        <f aca="false">IF(I3243="","",J3243*הגדרות!$E$6+I3243+1)</f>
        <v/>
      </c>
      <c r="L3243" s="0" t="str">
        <f aca="false">IF(K3243="","",MATCH(K3243,$F$2:$F$5001,0))</f>
        <v/>
      </c>
      <c r="M3243" s="0" t="str">
        <f aca="false">IF(I3243="","",INDEX(הגדרות!$A$2:$A$21,MOD(I3243+הגדרות!$E$9,הגדרות!$E$6)+1))</f>
        <v/>
      </c>
    </row>
    <row r="3244" customFormat="false" ht="15" hidden="false" customHeight="false" outlineLevel="0" collapsed="false">
      <c r="A3244" s="0" t="str">
        <f aca="false">IF('הדבקת לידים'!A3244="","",IF(ISNUMBER('הדבקת לידים'!A3244),IF(הגדרות!$E$2&gt;0,TEXT('הדבקת לידים'!A3244,REPT("0",הגדרות!$E$2)),TEXT('הדבקת לידים'!A3244,"0")),TRIM('הדבקת לידים'!A3244)))</f>
        <v/>
      </c>
      <c r="B3244" s="0" t="str">
        <f aca="false">IF('הדבקת לידים'!B3244="","",IF(ISNUMBER('הדבקת לידים'!B3244),IF(הגדרות!$E$3&gt;0,TEXT('הדבקת לידים'!B3244,REPT("0",הגדרות!$E$3)),TEXT('הדבקת לידים'!B3244,"0")),TRIM('הדבקת לידים'!B3244)))</f>
        <v/>
      </c>
      <c r="C3244" s="0" t="n">
        <f aca="false">IF(OR(A3244&lt;&gt;"",B3244&lt;&gt;""),1,0)</f>
        <v>0</v>
      </c>
      <c r="D3244" s="0" t="str">
        <f aca="false">IF(C3244=1,MOD(ABS(SIN(ROW()*12.9898+'הדבקת לידים'!$F$2*78.233+IFERROR(--RIGHT(A3244,6),LEN(A3244))*0.0137+IFERROR(--RIGHT(B3244,6),LEN(B3244))*0.0071))*43758.5453,1),"")</f>
        <v/>
      </c>
      <c r="E3244" s="0" t="str">
        <f aca="false">IF(C3244=1,INT(MOD(ABS(SIN(D3244*7919.123+ROW()*0.618+'הדבקת לידים'!$F$2*1.3))*43758.5453,1)*1000000)*10000+ROW(),"")</f>
        <v/>
      </c>
      <c r="F3244" s="0" t="str">
        <f aca="false">IF(E3244="","",RANK(E3244,$E$2:$E$5001,1))</f>
        <v/>
      </c>
      <c r="G3244" s="0" t="n">
        <f aca="false">IF(A3244="",0,IF(SUMPRODUCT(--($A$2:$A$5001=A3244))&gt;1,1,0))</f>
        <v>0</v>
      </c>
      <c r="H3244" s="0" t="n">
        <f aca="false">ROW()-1</f>
        <v>3243</v>
      </c>
      <c r="I3244" s="0" t="str">
        <f aca="false">IF(OR(הגדרות!$E$6=0,H3244&gt;הגדרות!$E$5),"",IF(H3244-1&lt;הגדרות!$E$8*(הגדרות!$E$7+1),INT((H3244-1)/(הגדרות!$E$7+1)),הגדרות!$E$8+INT((H3244-1-הגדרות!$E$8*(הגדרות!$E$7+1))/הגדרות!$E$7)))</f>
        <v/>
      </c>
      <c r="J3244" s="0" t="str">
        <f aca="false">IF(I3244="","",IF(H3244-1&lt;הגדרות!$E$8*(הגדרות!$E$7+1),MOD(H3244-1,הגדרות!$E$7+1),MOD(H3244-1-הגדרות!$E$8*(הגדרות!$E$7+1),הגדרות!$E$7)))</f>
        <v/>
      </c>
      <c r="K3244" s="0" t="str">
        <f aca="false">IF(I3244="","",J3244*הגדרות!$E$6+I3244+1)</f>
        <v/>
      </c>
      <c r="L3244" s="0" t="str">
        <f aca="false">IF(K3244="","",MATCH(K3244,$F$2:$F$5001,0))</f>
        <v/>
      </c>
      <c r="M3244" s="0" t="str">
        <f aca="false">IF(I3244="","",INDEX(הגדרות!$A$2:$A$21,MOD(I3244+הגדרות!$E$9,הגדרות!$E$6)+1))</f>
        <v/>
      </c>
    </row>
    <row r="3245" customFormat="false" ht="15" hidden="false" customHeight="false" outlineLevel="0" collapsed="false">
      <c r="A3245" s="0" t="str">
        <f aca="false">IF('הדבקת לידים'!A3245="","",IF(ISNUMBER('הדבקת לידים'!A3245),IF(הגדרות!$E$2&gt;0,TEXT('הדבקת לידים'!A3245,REPT("0",הגדרות!$E$2)),TEXT('הדבקת לידים'!A3245,"0")),TRIM('הדבקת לידים'!A3245)))</f>
        <v/>
      </c>
      <c r="B3245" s="0" t="str">
        <f aca="false">IF('הדבקת לידים'!B3245="","",IF(ISNUMBER('הדבקת לידים'!B3245),IF(הגדרות!$E$3&gt;0,TEXT('הדבקת לידים'!B3245,REPT("0",הגדרות!$E$3)),TEXT('הדבקת לידים'!B3245,"0")),TRIM('הדבקת לידים'!B3245)))</f>
        <v/>
      </c>
      <c r="C3245" s="0" t="n">
        <f aca="false">IF(OR(A3245&lt;&gt;"",B3245&lt;&gt;""),1,0)</f>
        <v>0</v>
      </c>
      <c r="D3245" s="0" t="str">
        <f aca="false">IF(C3245=1,MOD(ABS(SIN(ROW()*12.9898+'הדבקת לידים'!$F$2*78.233+IFERROR(--RIGHT(A3245,6),LEN(A3245))*0.0137+IFERROR(--RIGHT(B3245,6),LEN(B3245))*0.0071))*43758.5453,1),"")</f>
        <v/>
      </c>
      <c r="E3245" s="0" t="str">
        <f aca="false">IF(C3245=1,INT(MOD(ABS(SIN(D3245*7919.123+ROW()*0.618+'הדבקת לידים'!$F$2*1.3))*43758.5453,1)*1000000)*10000+ROW(),"")</f>
        <v/>
      </c>
      <c r="F3245" s="0" t="str">
        <f aca="false">IF(E3245="","",RANK(E3245,$E$2:$E$5001,1))</f>
        <v/>
      </c>
      <c r="G3245" s="0" t="n">
        <f aca="false">IF(A3245="",0,IF(SUMPRODUCT(--($A$2:$A$5001=A3245))&gt;1,1,0))</f>
        <v>0</v>
      </c>
      <c r="H3245" s="0" t="n">
        <f aca="false">ROW()-1</f>
        <v>3244</v>
      </c>
      <c r="I3245" s="0" t="str">
        <f aca="false">IF(OR(הגדרות!$E$6=0,H3245&gt;הגדרות!$E$5),"",IF(H3245-1&lt;הגדרות!$E$8*(הגדרות!$E$7+1),INT((H3245-1)/(הגדרות!$E$7+1)),הגדרות!$E$8+INT((H3245-1-הגדרות!$E$8*(הגדרות!$E$7+1))/הגדרות!$E$7)))</f>
        <v/>
      </c>
      <c r="J3245" s="0" t="str">
        <f aca="false">IF(I3245="","",IF(H3245-1&lt;הגדרות!$E$8*(הגדרות!$E$7+1),MOD(H3245-1,הגדרות!$E$7+1),MOD(H3245-1-הגדרות!$E$8*(הגדרות!$E$7+1),הגדרות!$E$7)))</f>
        <v/>
      </c>
      <c r="K3245" s="0" t="str">
        <f aca="false">IF(I3245="","",J3245*הגדרות!$E$6+I3245+1)</f>
        <v/>
      </c>
      <c r="L3245" s="0" t="str">
        <f aca="false">IF(K3245="","",MATCH(K3245,$F$2:$F$5001,0))</f>
        <v/>
      </c>
      <c r="M3245" s="0" t="str">
        <f aca="false">IF(I3245="","",INDEX(הגדרות!$A$2:$A$21,MOD(I3245+הגדרות!$E$9,הגדרות!$E$6)+1))</f>
        <v/>
      </c>
    </row>
    <row r="3246" customFormat="false" ht="15" hidden="false" customHeight="false" outlineLevel="0" collapsed="false">
      <c r="A3246" s="0" t="str">
        <f aca="false">IF('הדבקת לידים'!A3246="","",IF(ISNUMBER('הדבקת לידים'!A3246),IF(הגדרות!$E$2&gt;0,TEXT('הדבקת לידים'!A3246,REPT("0",הגדרות!$E$2)),TEXT('הדבקת לידים'!A3246,"0")),TRIM('הדבקת לידים'!A3246)))</f>
        <v/>
      </c>
      <c r="B3246" s="0" t="str">
        <f aca="false">IF('הדבקת לידים'!B3246="","",IF(ISNUMBER('הדבקת לידים'!B3246),IF(הגדרות!$E$3&gt;0,TEXT('הדבקת לידים'!B3246,REPT("0",הגדרות!$E$3)),TEXT('הדבקת לידים'!B3246,"0")),TRIM('הדבקת לידים'!B3246)))</f>
        <v/>
      </c>
      <c r="C3246" s="0" t="n">
        <f aca="false">IF(OR(A3246&lt;&gt;"",B3246&lt;&gt;""),1,0)</f>
        <v>0</v>
      </c>
      <c r="D3246" s="0" t="str">
        <f aca="false">IF(C3246=1,MOD(ABS(SIN(ROW()*12.9898+'הדבקת לידים'!$F$2*78.233+IFERROR(--RIGHT(A3246,6),LEN(A3246))*0.0137+IFERROR(--RIGHT(B3246,6),LEN(B3246))*0.0071))*43758.5453,1),"")</f>
        <v/>
      </c>
      <c r="E3246" s="0" t="str">
        <f aca="false">IF(C3246=1,INT(MOD(ABS(SIN(D3246*7919.123+ROW()*0.618+'הדבקת לידים'!$F$2*1.3))*43758.5453,1)*1000000)*10000+ROW(),"")</f>
        <v/>
      </c>
      <c r="F3246" s="0" t="str">
        <f aca="false">IF(E3246="","",RANK(E3246,$E$2:$E$5001,1))</f>
        <v/>
      </c>
      <c r="G3246" s="0" t="n">
        <f aca="false">IF(A3246="",0,IF(SUMPRODUCT(--($A$2:$A$5001=A3246))&gt;1,1,0))</f>
        <v>0</v>
      </c>
      <c r="H3246" s="0" t="n">
        <f aca="false">ROW()-1</f>
        <v>3245</v>
      </c>
      <c r="I3246" s="0" t="str">
        <f aca="false">IF(OR(הגדרות!$E$6=0,H3246&gt;הגדרות!$E$5),"",IF(H3246-1&lt;הגדרות!$E$8*(הגדרות!$E$7+1),INT((H3246-1)/(הגדרות!$E$7+1)),הגדרות!$E$8+INT((H3246-1-הגדרות!$E$8*(הגדרות!$E$7+1))/הגדרות!$E$7)))</f>
        <v/>
      </c>
      <c r="J3246" s="0" t="str">
        <f aca="false">IF(I3246="","",IF(H3246-1&lt;הגדרות!$E$8*(הגדרות!$E$7+1),MOD(H3246-1,הגדרות!$E$7+1),MOD(H3246-1-הגדרות!$E$8*(הגדרות!$E$7+1),הגדרות!$E$7)))</f>
        <v/>
      </c>
      <c r="K3246" s="0" t="str">
        <f aca="false">IF(I3246="","",J3246*הגדרות!$E$6+I3246+1)</f>
        <v/>
      </c>
      <c r="L3246" s="0" t="str">
        <f aca="false">IF(K3246="","",MATCH(K3246,$F$2:$F$5001,0))</f>
        <v/>
      </c>
      <c r="M3246" s="0" t="str">
        <f aca="false">IF(I3246="","",INDEX(הגדרות!$A$2:$A$21,MOD(I3246+הגדרות!$E$9,הגדרות!$E$6)+1))</f>
        <v/>
      </c>
    </row>
    <row r="3247" customFormat="false" ht="15" hidden="false" customHeight="false" outlineLevel="0" collapsed="false">
      <c r="A3247" s="0" t="str">
        <f aca="false">IF('הדבקת לידים'!A3247="","",IF(ISNUMBER('הדבקת לידים'!A3247),IF(הגדרות!$E$2&gt;0,TEXT('הדבקת לידים'!A3247,REPT("0",הגדרות!$E$2)),TEXT('הדבקת לידים'!A3247,"0")),TRIM('הדבקת לידים'!A3247)))</f>
        <v/>
      </c>
      <c r="B3247" s="0" t="str">
        <f aca="false">IF('הדבקת לידים'!B3247="","",IF(ISNUMBER('הדבקת לידים'!B3247),IF(הגדרות!$E$3&gt;0,TEXT('הדבקת לידים'!B3247,REPT("0",הגדרות!$E$3)),TEXT('הדבקת לידים'!B3247,"0")),TRIM('הדבקת לידים'!B3247)))</f>
        <v/>
      </c>
      <c r="C3247" s="0" t="n">
        <f aca="false">IF(OR(A3247&lt;&gt;"",B3247&lt;&gt;""),1,0)</f>
        <v>0</v>
      </c>
      <c r="D3247" s="0" t="str">
        <f aca="false">IF(C3247=1,MOD(ABS(SIN(ROW()*12.9898+'הדבקת לידים'!$F$2*78.233+IFERROR(--RIGHT(A3247,6),LEN(A3247))*0.0137+IFERROR(--RIGHT(B3247,6),LEN(B3247))*0.0071))*43758.5453,1),"")</f>
        <v/>
      </c>
      <c r="E3247" s="0" t="str">
        <f aca="false">IF(C3247=1,INT(MOD(ABS(SIN(D3247*7919.123+ROW()*0.618+'הדבקת לידים'!$F$2*1.3))*43758.5453,1)*1000000)*10000+ROW(),"")</f>
        <v/>
      </c>
      <c r="F3247" s="0" t="str">
        <f aca="false">IF(E3247="","",RANK(E3247,$E$2:$E$5001,1))</f>
        <v/>
      </c>
      <c r="G3247" s="0" t="n">
        <f aca="false">IF(A3247="",0,IF(SUMPRODUCT(--($A$2:$A$5001=A3247))&gt;1,1,0))</f>
        <v>0</v>
      </c>
      <c r="H3247" s="0" t="n">
        <f aca="false">ROW()-1</f>
        <v>3246</v>
      </c>
      <c r="I3247" s="0" t="str">
        <f aca="false">IF(OR(הגדרות!$E$6=0,H3247&gt;הגדרות!$E$5),"",IF(H3247-1&lt;הגדרות!$E$8*(הגדרות!$E$7+1),INT((H3247-1)/(הגדרות!$E$7+1)),הגדרות!$E$8+INT((H3247-1-הגדרות!$E$8*(הגדרות!$E$7+1))/הגדרות!$E$7)))</f>
        <v/>
      </c>
      <c r="J3247" s="0" t="str">
        <f aca="false">IF(I3247="","",IF(H3247-1&lt;הגדרות!$E$8*(הגדרות!$E$7+1),MOD(H3247-1,הגדרות!$E$7+1),MOD(H3247-1-הגדרות!$E$8*(הגדרות!$E$7+1),הגדרות!$E$7)))</f>
        <v/>
      </c>
      <c r="K3247" s="0" t="str">
        <f aca="false">IF(I3247="","",J3247*הגדרות!$E$6+I3247+1)</f>
        <v/>
      </c>
      <c r="L3247" s="0" t="str">
        <f aca="false">IF(K3247="","",MATCH(K3247,$F$2:$F$5001,0))</f>
        <v/>
      </c>
      <c r="M3247" s="0" t="str">
        <f aca="false">IF(I3247="","",INDEX(הגדרות!$A$2:$A$21,MOD(I3247+הגדרות!$E$9,הגדרות!$E$6)+1))</f>
        <v/>
      </c>
    </row>
    <row r="3248" customFormat="false" ht="15" hidden="false" customHeight="false" outlineLevel="0" collapsed="false">
      <c r="A3248" s="0" t="str">
        <f aca="false">IF('הדבקת לידים'!A3248="","",IF(ISNUMBER('הדבקת לידים'!A3248),IF(הגדרות!$E$2&gt;0,TEXT('הדבקת לידים'!A3248,REPT("0",הגדרות!$E$2)),TEXT('הדבקת לידים'!A3248,"0")),TRIM('הדבקת לידים'!A3248)))</f>
        <v/>
      </c>
      <c r="B3248" s="0" t="str">
        <f aca="false">IF('הדבקת לידים'!B3248="","",IF(ISNUMBER('הדבקת לידים'!B3248),IF(הגדרות!$E$3&gt;0,TEXT('הדבקת לידים'!B3248,REPT("0",הגדרות!$E$3)),TEXT('הדבקת לידים'!B3248,"0")),TRIM('הדבקת לידים'!B3248)))</f>
        <v/>
      </c>
      <c r="C3248" s="0" t="n">
        <f aca="false">IF(OR(A3248&lt;&gt;"",B3248&lt;&gt;""),1,0)</f>
        <v>0</v>
      </c>
      <c r="D3248" s="0" t="str">
        <f aca="false">IF(C3248=1,MOD(ABS(SIN(ROW()*12.9898+'הדבקת לידים'!$F$2*78.233+IFERROR(--RIGHT(A3248,6),LEN(A3248))*0.0137+IFERROR(--RIGHT(B3248,6),LEN(B3248))*0.0071))*43758.5453,1),"")</f>
        <v/>
      </c>
      <c r="E3248" s="0" t="str">
        <f aca="false">IF(C3248=1,INT(MOD(ABS(SIN(D3248*7919.123+ROW()*0.618+'הדבקת לידים'!$F$2*1.3))*43758.5453,1)*1000000)*10000+ROW(),"")</f>
        <v/>
      </c>
      <c r="F3248" s="0" t="str">
        <f aca="false">IF(E3248="","",RANK(E3248,$E$2:$E$5001,1))</f>
        <v/>
      </c>
      <c r="G3248" s="0" t="n">
        <f aca="false">IF(A3248="",0,IF(SUMPRODUCT(--($A$2:$A$5001=A3248))&gt;1,1,0))</f>
        <v>0</v>
      </c>
      <c r="H3248" s="0" t="n">
        <f aca="false">ROW()-1</f>
        <v>3247</v>
      </c>
      <c r="I3248" s="0" t="str">
        <f aca="false">IF(OR(הגדרות!$E$6=0,H3248&gt;הגדרות!$E$5),"",IF(H3248-1&lt;הגדרות!$E$8*(הגדרות!$E$7+1),INT((H3248-1)/(הגדרות!$E$7+1)),הגדרות!$E$8+INT((H3248-1-הגדרות!$E$8*(הגדרות!$E$7+1))/הגדרות!$E$7)))</f>
        <v/>
      </c>
      <c r="J3248" s="0" t="str">
        <f aca="false">IF(I3248="","",IF(H3248-1&lt;הגדרות!$E$8*(הגדרות!$E$7+1),MOD(H3248-1,הגדרות!$E$7+1),MOD(H3248-1-הגדרות!$E$8*(הגדרות!$E$7+1),הגדרות!$E$7)))</f>
        <v/>
      </c>
      <c r="K3248" s="0" t="str">
        <f aca="false">IF(I3248="","",J3248*הגדרות!$E$6+I3248+1)</f>
        <v/>
      </c>
      <c r="L3248" s="0" t="str">
        <f aca="false">IF(K3248="","",MATCH(K3248,$F$2:$F$5001,0))</f>
        <v/>
      </c>
      <c r="M3248" s="0" t="str">
        <f aca="false">IF(I3248="","",INDEX(הגדרות!$A$2:$A$21,MOD(I3248+הגדרות!$E$9,הגדרות!$E$6)+1))</f>
        <v/>
      </c>
    </row>
    <row r="3249" customFormat="false" ht="15" hidden="false" customHeight="false" outlineLevel="0" collapsed="false">
      <c r="A3249" s="0" t="str">
        <f aca="false">IF('הדבקת לידים'!A3249="","",IF(ISNUMBER('הדבקת לידים'!A3249),IF(הגדרות!$E$2&gt;0,TEXT('הדבקת לידים'!A3249,REPT("0",הגדרות!$E$2)),TEXT('הדבקת לידים'!A3249,"0")),TRIM('הדבקת לידים'!A3249)))</f>
        <v/>
      </c>
      <c r="B3249" s="0" t="str">
        <f aca="false">IF('הדבקת לידים'!B3249="","",IF(ISNUMBER('הדבקת לידים'!B3249),IF(הגדרות!$E$3&gt;0,TEXT('הדבקת לידים'!B3249,REPT("0",הגדרות!$E$3)),TEXT('הדבקת לידים'!B3249,"0")),TRIM('הדבקת לידים'!B3249)))</f>
        <v/>
      </c>
      <c r="C3249" s="0" t="n">
        <f aca="false">IF(OR(A3249&lt;&gt;"",B3249&lt;&gt;""),1,0)</f>
        <v>0</v>
      </c>
      <c r="D3249" s="0" t="str">
        <f aca="false">IF(C3249=1,MOD(ABS(SIN(ROW()*12.9898+'הדבקת לידים'!$F$2*78.233+IFERROR(--RIGHT(A3249,6),LEN(A3249))*0.0137+IFERROR(--RIGHT(B3249,6),LEN(B3249))*0.0071))*43758.5453,1),"")</f>
        <v/>
      </c>
      <c r="E3249" s="0" t="str">
        <f aca="false">IF(C3249=1,INT(MOD(ABS(SIN(D3249*7919.123+ROW()*0.618+'הדבקת לידים'!$F$2*1.3))*43758.5453,1)*1000000)*10000+ROW(),"")</f>
        <v/>
      </c>
      <c r="F3249" s="0" t="str">
        <f aca="false">IF(E3249="","",RANK(E3249,$E$2:$E$5001,1))</f>
        <v/>
      </c>
      <c r="G3249" s="0" t="n">
        <f aca="false">IF(A3249="",0,IF(SUMPRODUCT(--($A$2:$A$5001=A3249))&gt;1,1,0))</f>
        <v>0</v>
      </c>
      <c r="H3249" s="0" t="n">
        <f aca="false">ROW()-1</f>
        <v>3248</v>
      </c>
      <c r="I3249" s="0" t="str">
        <f aca="false">IF(OR(הגדרות!$E$6=0,H3249&gt;הגדרות!$E$5),"",IF(H3249-1&lt;הגדרות!$E$8*(הגדרות!$E$7+1),INT((H3249-1)/(הגדרות!$E$7+1)),הגדרות!$E$8+INT((H3249-1-הגדרות!$E$8*(הגדרות!$E$7+1))/הגדרות!$E$7)))</f>
        <v/>
      </c>
      <c r="J3249" s="0" t="str">
        <f aca="false">IF(I3249="","",IF(H3249-1&lt;הגדרות!$E$8*(הגדרות!$E$7+1),MOD(H3249-1,הגדרות!$E$7+1),MOD(H3249-1-הגדרות!$E$8*(הגדרות!$E$7+1),הגדרות!$E$7)))</f>
        <v/>
      </c>
      <c r="K3249" s="0" t="str">
        <f aca="false">IF(I3249="","",J3249*הגדרות!$E$6+I3249+1)</f>
        <v/>
      </c>
      <c r="L3249" s="0" t="str">
        <f aca="false">IF(K3249="","",MATCH(K3249,$F$2:$F$5001,0))</f>
        <v/>
      </c>
      <c r="M3249" s="0" t="str">
        <f aca="false">IF(I3249="","",INDEX(הגדרות!$A$2:$A$21,MOD(I3249+הגדרות!$E$9,הגדרות!$E$6)+1))</f>
        <v/>
      </c>
    </row>
    <row r="3250" customFormat="false" ht="15" hidden="false" customHeight="false" outlineLevel="0" collapsed="false">
      <c r="A3250" s="0" t="str">
        <f aca="false">IF('הדבקת לידים'!A3250="","",IF(ISNUMBER('הדבקת לידים'!A3250),IF(הגדרות!$E$2&gt;0,TEXT('הדבקת לידים'!A3250,REPT("0",הגדרות!$E$2)),TEXT('הדבקת לידים'!A3250,"0")),TRIM('הדבקת לידים'!A3250)))</f>
        <v/>
      </c>
      <c r="B3250" s="0" t="str">
        <f aca="false">IF('הדבקת לידים'!B3250="","",IF(ISNUMBER('הדבקת לידים'!B3250),IF(הגדרות!$E$3&gt;0,TEXT('הדבקת לידים'!B3250,REPT("0",הגדרות!$E$3)),TEXT('הדבקת לידים'!B3250,"0")),TRIM('הדבקת לידים'!B3250)))</f>
        <v/>
      </c>
      <c r="C3250" s="0" t="n">
        <f aca="false">IF(OR(A3250&lt;&gt;"",B3250&lt;&gt;""),1,0)</f>
        <v>0</v>
      </c>
      <c r="D3250" s="0" t="str">
        <f aca="false">IF(C3250=1,MOD(ABS(SIN(ROW()*12.9898+'הדבקת לידים'!$F$2*78.233+IFERROR(--RIGHT(A3250,6),LEN(A3250))*0.0137+IFERROR(--RIGHT(B3250,6),LEN(B3250))*0.0071))*43758.5453,1),"")</f>
        <v/>
      </c>
      <c r="E3250" s="0" t="str">
        <f aca="false">IF(C3250=1,INT(MOD(ABS(SIN(D3250*7919.123+ROW()*0.618+'הדבקת לידים'!$F$2*1.3))*43758.5453,1)*1000000)*10000+ROW(),"")</f>
        <v/>
      </c>
      <c r="F3250" s="0" t="str">
        <f aca="false">IF(E3250="","",RANK(E3250,$E$2:$E$5001,1))</f>
        <v/>
      </c>
      <c r="G3250" s="0" t="n">
        <f aca="false">IF(A3250="",0,IF(SUMPRODUCT(--($A$2:$A$5001=A3250))&gt;1,1,0))</f>
        <v>0</v>
      </c>
      <c r="H3250" s="0" t="n">
        <f aca="false">ROW()-1</f>
        <v>3249</v>
      </c>
      <c r="I3250" s="0" t="str">
        <f aca="false">IF(OR(הגדרות!$E$6=0,H3250&gt;הגדרות!$E$5),"",IF(H3250-1&lt;הגדרות!$E$8*(הגדרות!$E$7+1),INT((H3250-1)/(הגדרות!$E$7+1)),הגדרות!$E$8+INT((H3250-1-הגדרות!$E$8*(הגדרות!$E$7+1))/הגדרות!$E$7)))</f>
        <v/>
      </c>
      <c r="J3250" s="0" t="str">
        <f aca="false">IF(I3250="","",IF(H3250-1&lt;הגדרות!$E$8*(הגדרות!$E$7+1),MOD(H3250-1,הגדרות!$E$7+1),MOD(H3250-1-הגדרות!$E$8*(הגדרות!$E$7+1),הגדרות!$E$7)))</f>
        <v/>
      </c>
      <c r="K3250" s="0" t="str">
        <f aca="false">IF(I3250="","",J3250*הגדרות!$E$6+I3250+1)</f>
        <v/>
      </c>
      <c r="L3250" s="0" t="str">
        <f aca="false">IF(K3250="","",MATCH(K3250,$F$2:$F$5001,0))</f>
        <v/>
      </c>
      <c r="M3250" s="0" t="str">
        <f aca="false">IF(I3250="","",INDEX(הגדרות!$A$2:$A$21,MOD(I3250+הגדרות!$E$9,הגדרות!$E$6)+1))</f>
        <v/>
      </c>
    </row>
    <row r="3251" customFormat="false" ht="15" hidden="false" customHeight="false" outlineLevel="0" collapsed="false">
      <c r="A3251" s="0" t="str">
        <f aca="false">IF('הדבקת לידים'!A3251="","",IF(ISNUMBER('הדבקת לידים'!A3251),IF(הגדרות!$E$2&gt;0,TEXT('הדבקת לידים'!A3251,REPT("0",הגדרות!$E$2)),TEXT('הדבקת לידים'!A3251,"0")),TRIM('הדבקת לידים'!A3251)))</f>
        <v/>
      </c>
      <c r="B3251" s="0" t="str">
        <f aca="false">IF('הדבקת לידים'!B3251="","",IF(ISNUMBER('הדבקת לידים'!B3251),IF(הגדרות!$E$3&gt;0,TEXT('הדבקת לידים'!B3251,REPT("0",הגדרות!$E$3)),TEXT('הדבקת לידים'!B3251,"0")),TRIM('הדבקת לידים'!B3251)))</f>
        <v/>
      </c>
      <c r="C3251" s="0" t="n">
        <f aca="false">IF(OR(A3251&lt;&gt;"",B3251&lt;&gt;""),1,0)</f>
        <v>0</v>
      </c>
      <c r="D3251" s="0" t="str">
        <f aca="false">IF(C3251=1,MOD(ABS(SIN(ROW()*12.9898+'הדבקת לידים'!$F$2*78.233+IFERROR(--RIGHT(A3251,6),LEN(A3251))*0.0137+IFERROR(--RIGHT(B3251,6),LEN(B3251))*0.0071))*43758.5453,1),"")</f>
        <v/>
      </c>
      <c r="E3251" s="0" t="str">
        <f aca="false">IF(C3251=1,INT(MOD(ABS(SIN(D3251*7919.123+ROW()*0.618+'הדבקת לידים'!$F$2*1.3))*43758.5453,1)*1000000)*10000+ROW(),"")</f>
        <v/>
      </c>
      <c r="F3251" s="0" t="str">
        <f aca="false">IF(E3251="","",RANK(E3251,$E$2:$E$5001,1))</f>
        <v/>
      </c>
      <c r="G3251" s="0" t="n">
        <f aca="false">IF(A3251="",0,IF(SUMPRODUCT(--($A$2:$A$5001=A3251))&gt;1,1,0))</f>
        <v>0</v>
      </c>
      <c r="H3251" s="0" t="n">
        <f aca="false">ROW()-1</f>
        <v>3250</v>
      </c>
      <c r="I3251" s="0" t="str">
        <f aca="false">IF(OR(הגדרות!$E$6=0,H3251&gt;הגדרות!$E$5),"",IF(H3251-1&lt;הגדרות!$E$8*(הגדרות!$E$7+1),INT((H3251-1)/(הגדרות!$E$7+1)),הגדרות!$E$8+INT((H3251-1-הגדרות!$E$8*(הגדרות!$E$7+1))/הגדרות!$E$7)))</f>
        <v/>
      </c>
      <c r="J3251" s="0" t="str">
        <f aca="false">IF(I3251="","",IF(H3251-1&lt;הגדרות!$E$8*(הגדרות!$E$7+1),MOD(H3251-1,הגדרות!$E$7+1),MOD(H3251-1-הגדרות!$E$8*(הגדרות!$E$7+1),הגדרות!$E$7)))</f>
        <v/>
      </c>
      <c r="K3251" s="0" t="str">
        <f aca="false">IF(I3251="","",J3251*הגדרות!$E$6+I3251+1)</f>
        <v/>
      </c>
      <c r="L3251" s="0" t="str">
        <f aca="false">IF(K3251="","",MATCH(K3251,$F$2:$F$5001,0))</f>
        <v/>
      </c>
      <c r="M3251" s="0" t="str">
        <f aca="false">IF(I3251="","",INDEX(הגדרות!$A$2:$A$21,MOD(I3251+הגדרות!$E$9,הגדרות!$E$6)+1))</f>
        <v/>
      </c>
    </row>
    <row r="3252" customFormat="false" ht="15" hidden="false" customHeight="false" outlineLevel="0" collapsed="false">
      <c r="A3252" s="0" t="str">
        <f aca="false">IF('הדבקת לידים'!A3252="","",IF(ISNUMBER('הדבקת לידים'!A3252),IF(הגדרות!$E$2&gt;0,TEXT('הדבקת לידים'!A3252,REPT("0",הגדרות!$E$2)),TEXT('הדבקת לידים'!A3252,"0")),TRIM('הדבקת לידים'!A3252)))</f>
        <v/>
      </c>
      <c r="B3252" s="0" t="str">
        <f aca="false">IF('הדבקת לידים'!B3252="","",IF(ISNUMBER('הדבקת לידים'!B3252),IF(הגדרות!$E$3&gt;0,TEXT('הדבקת לידים'!B3252,REPT("0",הגדרות!$E$3)),TEXT('הדבקת לידים'!B3252,"0")),TRIM('הדבקת לידים'!B3252)))</f>
        <v/>
      </c>
      <c r="C3252" s="0" t="n">
        <f aca="false">IF(OR(A3252&lt;&gt;"",B3252&lt;&gt;""),1,0)</f>
        <v>0</v>
      </c>
      <c r="D3252" s="0" t="str">
        <f aca="false">IF(C3252=1,MOD(ABS(SIN(ROW()*12.9898+'הדבקת לידים'!$F$2*78.233+IFERROR(--RIGHT(A3252,6),LEN(A3252))*0.0137+IFERROR(--RIGHT(B3252,6),LEN(B3252))*0.0071))*43758.5453,1),"")</f>
        <v/>
      </c>
      <c r="E3252" s="0" t="str">
        <f aca="false">IF(C3252=1,INT(MOD(ABS(SIN(D3252*7919.123+ROW()*0.618+'הדבקת לידים'!$F$2*1.3))*43758.5453,1)*1000000)*10000+ROW(),"")</f>
        <v/>
      </c>
      <c r="F3252" s="0" t="str">
        <f aca="false">IF(E3252="","",RANK(E3252,$E$2:$E$5001,1))</f>
        <v/>
      </c>
      <c r="G3252" s="0" t="n">
        <f aca="false">IF(A3252="",0,IF(SUMPRODUCT(--($A$2:$A$5001=A3252))&gt;1,1,0))</f>
        <v>0</v>
      </c>
      <c r="H3252" s="0" t="n">
        <f aca="false">ROW()-1</f>
        <v>3251</v>
      </c>
      <c r="I3252" s="0" t="str">
        <f aca="false">IF(OR(הגדרות!$E$6=0,H3252&gt;הגדרות!$E$5),"",IF(H3252-1&lt;הגדרות!$E$8*(הגדרות!$E$7+1),INT((H3252-1)/(הגדרות!$E$7+1)),הגדרות!$E$8+INT((H3252-1-הגדרות!$E$8*(הגדרות!$E$7+1))/הגדרות!$E$7)))</f>
        <v/>
      </c>
      <c r="J3252" s="0" t="str">
        <f aca="false">IF(I3252="","",IF(H3252-1&lt;הגדרות!$E$8*(הגדרות!$E$7+1),MOD(H3252-1,הגדרות!$E$7+1),MOD(H3252-1-הגדרות!$E$8*(הגדרות!$E$7+1),הגדרות!$E$7)))</f>
        <v/>
      </c>
      <c r="K3252" s="0" t="str">
        <f aca="false">IF(I3252="","",J3252*הגדרות!$E$6+I3252+1)</f>
        <v/>
      </c>
      <c r="L3252" s="0" t="str">
        <f aca="false">IF(K3252="","",MATCH(K3252,$F$2:$F$5001,0))</f>
        <v/>
      </c>
      <c r="M3252" s="0" t="str">
        <f aca="false">IF(I3252="","",INDEX(הגדרות!$A$2:$A$21,MOD(I3252+הגדרות!$E$9,הגדרות!$E$6)+1))</f>
        <v/>
      </c>
    </row>
    <row r="3253" customFormat="false" ht="15" hidden="false" customHeight="false" outlineLevel="0" collapsed="false">
      <c r="A3253" s="0" t="str">
        <f aca="false">IF('הדבקת לידים'!A3253="","",IF(ISNUMBER('הדבקת לידים'!A3253),IF(הגדרות!$E$2&gt;0,TEXT('הדבקת לידים'!A3253,REPT("0",הגדרות!$E$2)),TEXT('הדבקת לידים'!A3253,"0")),TRIM('הדבקת לידים'!A3253)))</f>
        <v/>
      </c>
      <c r="B3253" s="0" t="str">
        <f aca="false">IF('הדבקת לידים'!B3253="","",IF(ISNUMBER('הדבקת לידים'!B3253),IF(הגדרות!$E$3&gt;0,TEXT('הדבקת לידים'!B3253,REPT("0",הגדרות!$E$3)),TEXT('הדבקת לידים'!B3253,"0")),TRIM('הדבקת לידים'!B3253)))</f>
        <v/>
      </c>
      <c r="C3253" s="0" t="n">
        <f aca="false">IF(OR(A3253&lt;&gt;"",B3253&lt;&gt;""),1,0)</f>
        <v>0</v>
      </c>
      <c r="D3253" s="0" t="str">
        <f aca="false">IF(C3253=1,MOD(ABS(SIN(ROW()*12.9898+'הדבקת לידים'!$F$2*78.233+IFERROR(--RIGHT(A3253,6),LEN(A3253))*0.0137+IFERROR(--RIGHT(B3253,6),LEN(B3253))*0.0071))*43758.5453,1),"")</f>
        <v/>
      </c>
      <c r="E3253" s="0" t="str">
        <f aca="false">IF(C3253=1,INT(MOD(ABS(SIN(D3253*7919.123+ROW()*0.618+'הדבקת לידים'!$F$2*1.3))*43758.5453,1)*1000000)*10000+ROW(),"")</f>
        <v/>
      </c>
      <c r="F3253" s="0" t="str">
        <f aca="false">IF(E3253="","",RANK(E3253,$E$2:$E$5001,1))</f>
        <v/>
      </c>
      <c r="G3253" s="0" t="n">
        <f aca="false">IF(A3253="",0,IF(SUMPRODUCT(--($A$2:$A$5001=A3253))&gt;1,1,0))</f>
        <v>0</v>
      </c>
      <c r="H3253" s="0" t="n">
        <f aca="false">ROW()-1</f>
        <v>3252</v>
      </c>
      <c r="I3253" s="0" t="str">
        <f aca="false">IF(OR(הגדרות!$E$6=0,H3253&gt;הגדרות!$E$5),"",IF(H3253-1&lt;הגדרות!$E$8*(הגדרות!$E$7+1),INT((H3253-1)/(הגדרות!$E$7+1)),הגדרות!$E$8+INT((H3253-1-הגדרות!$E$8*(הגדרות!$E$7+1))/הגדרות!$E$7)))</f>
        <v/>
      </c>
      <c r="J3253" s="0" t="str">
        <f aca="false">IF(I3253="","",IF(H3253-1&lt;הגדרות!$E$8*(הגדרות!$E$7+1),MOD(H3253-1,הגדרות!$E$7+1),MOD(H3253-1-הגדרות!$E$8*(הגדרות!$E$7+1),הגדרות!$E$7)))</f>
        <v/>
      </c>
      <c r="K3253" s="0" t="str">
        <f aca="false">IF(I3253="","",J3253*הגדרות!$E$6+I3253+1)</f>
        <v/>
      </c>
      <c r="L3253" s="0" t="str">
        <f aca="false">IF(K3253="","",MATCH(K3253,$F$2:$F$5001,0))</f>
        <v/>
      </c>
      <c r="M3253" s="0" t="str">
        <f aca="false">IF(I3253="","",INDEX(הגדרות!$A$2:$A$21,MOD(I3253+הגדרות!$E$9,הגדרות!$E$6)+1))</f>
        <v/>
      </c>
    </row>
    <row r="3254" customFormat="false" ht="15" hidden="false" customHeight="false" outlineLevel="0" collapsed="false">
      <c r="A3254" s="0" t="str">
        <f aca="false">IF('הדבקת לידים'!A3254="","",IF(ISNUMBER('הדבקת לידים'!A3254),IF(הגדרות!$E$2&gt;0,TEXT('הדבקת לידים'!A3254,REPT("0",הגדרות!$E$2)),TEXT('הדבקת לידים'!A3254,"0")),TRIM('הדבקת לידים'!A3254)))</f>
        <v/>
      </c>
      <c r="B3254" s="0" t="str">
        <f aca="false">IF('הדבקת לידים'!B3254="","",IF(ISNUMBER('הדבקת לידים'!B3254),IF(הגדרות!$E$3&gt;0,TEXT('הדבקת לידים'!B3254,REPT("0",הגדרות!$E$3)),TEXT('הדבקת לידים'!B3254,"0")),TRIM('הדבקת לידים'!B3254)))</f>
        <v/>
      </c>
      <c r="C3254" s="0" t="n">
        <f aca="false">IF(OR(A3254&lt;&gt;"",B3254&lt;&gt;""),1,0)</f>
        <v>0</v>
      </c>
      <c r="D3254" s="0" t="str">
        <f aca="false">IF(C3254=1,MOD(ABS(SIN(ROW()*12.9898+'הדבקת לידים'!$F$2*78.233+IFERROR(--RIGHT(A3254,6),LEN(A3254))*0.0137+IFERROR(--RIGHT(B3254,6),LEN(B3254))*0.0071))*43758.5453,1),"")</f>
        <v/>
      </c>
      <c r="E3254" s="0" t="str">
        <f aca="false">IF(C3254=1,INT(MOD(ABS(SIN(D3254*7919.123+ROW()*0.618+'הדבקת לידים'!$F$2*1.3))*43758.5453,1)*1000000)*10000+ROW(),"")</f>
        <v/>
      </c>
      <c r="F3254" s="0" t="str">
        <f aca="false">IF(E3254="","",RANK(E3254,$E$2:$E$5001,1))</f>
        <v/>
      </c>
      <c r="G3254" s="0" t="n">
        <f aca="false">IF(A3254="",0,IF(SUMPRODUCT(--($A$2:$A$5001=A3254))&gt;1,1,0))</f>
        <v>0</v>
      </c>
      <c r="H3254" s="0" t="n">
        <f aca="false">ROW()-1</f>
        <v>3253</v>
      </c>
      <c r="I3254" s="0" t="str">
        <f aca="false">IF(OR(הגדרות!$E$6=0,H3254&gt;הגדרות!$E$5),"",IF(H3254-1&lt;הגדרות!$E$8*(הגדרות!$E$7+1),INT((H3254-1)/(הגדרות!$E$7+1)),הגדרות!$E$8+INT((H3254-1-הגדרות!$E$8*(הגדרות!$E$7+1))/הגדרות!$E$7)))</f>
        <v/>
      </c>
      <c r="J3254" s="0" t="str">
        <f aca="false">IF(I3254="","",IF(H3254-1&lt;הגדרות!$E$8*(הגדרות!$E$7+1),MOD(H3254-1,הגדרות!$E$7+1),MOD(H3254-1-הגדרות!$E$8*(הגדרות!$E$7+1),הגדרות!$E$7)))</f>
        <v/>
      </c>
      <c r="K3254" s="0" t="str">
        <f aca="false">IF(I3254="","",J3254*הגדרות!$E$6+I3254+1)</f>
        <v/>
      </c>
      <c r="L3254" s="0" t="str">
        <f aca="false">IF(K3254="","",MATCH(K3254,$F$2:$F$5001,0))</f>
        <v/>
      </c>
      <c r="M3254" s="0" t="str">
        <f aca="false">IF(I3254="","",INDEX(הגדרות!$A$2:$A$21,MOD(I3254+הגדרות!$E$9,הגדרות!$E$6)+1))</f>
        <v/>
      </c>
    </row>
    <row r="3255" customFormat="false" ht="15" hidden="false" customHeight="false" outlineLevel="0" collapsed="false">
      <c r="A3255" s="0" t="str">
        <f aca="false">IF('הדבקת לידים'!A3255="","",IF(ISNUMBER('הדבקת לידים'!A3255),IF(הגדרות!$E$2&gt;0,TEXT('הדבקת לידים'!A3255,REPT("0",הגדרות!$E$2)),TEXT('הדבקת לידים'!A3255,"0")),TRIM('הדבקת לידים'!A3255)))</f>
        <v/>
      </c>
      <c r="B3255" s="0" t="str">
        <f aca="false">IF('הדבקת לידים'!B3255="","",IF(ISNUMBER('הדבקת לידים'!B3255),IF(הגדרות!$E$3&gt;0,TEXT('הדבקת לידים'!B3255,REPT("0",הגדרות!$E$3)),TEXT('הדבקת לידים'!B3255,"0")),TRIM('הדבקת לידים'!B3255)))</f>
        <v/>
      </c>
      <c r="C3255" s="0" t="n">
        <f aca="false">IF(OR(A3255&lt;&gt;"",B3255&lt;&gt;""),1,0)</f>
        <v>0</v>
      </c>
      <c r="D3255" s="0" t="str">
        <f aca="false">IF(C3255=1,MOD(ABS(SIN(ROW()*12.9898+'הדבקת לידים'!$F$2*78.233+IFERROR(--RIGHT(A3255,6),LEN(A3255))*0.0137+IFERROR(--RIGHT(B3255,6),LEN(B3255))*0.0071))*43758.5453,1),"")</f>
        <v/>
      </c>
      <c r="E3255" s="0" t="str">
        <f aca="false">IF(C3255=1,INT(MOD(ABS(SIN(D3255*7919.123+ROW()*0.618+'הדבקת לידים'!$F$2*1.3))*43758.5453,1)*1000000)*10000+ROW(),"")</f>
        <v/>
      </c>
      <c r="F3255" s="0" t="str">
        <f aca="false">IF(E3255="","",RANK(E3255,$E$2:$E$5001,1))</f>
        <v/>
      </c>
      <c r="G3255" s="0" t="n">
        <f aca="false">IF(A3255="",0,IF(SUMPRODUCT(--($A$2:$A$5001=A3255))&gt;1,1,0))</f>
        <v>0</v>
      </c>
      <c r="H3255" s="0" t="n">
        <f aca="false">ROW()-1</f>
        <v>3254</v>
      </c>
      <c r="I3255" s="0" t="str">
        <f aca="false">IF(OR(הגדרות!$E$6=0,H3255&gt;הגדרות!$E$5),"",IF(H3255-1&lt;הגדרות!$E$8*(הגדרות!$E$7+1),INT((H3255-1)/(הגדרות!$E$7+1)),הגדרות!$E$8+INT((H3255-1-הגדרות!$E$8*(הגדרות!$E$7+1))/הגדרות!$E$7)))</f>
        <v/>
      </c>
      <c r="J3255" s="0" t="str">
        <f aca="false">IF(I3255="","",IF(H3255-1&lt;הגדרות!$E$8*(הגדרות!$E$7+1),MOD(H3255-1,הגדרות!$E$7+1),MOD(H3255-1-הגדרות!$E$8*(הגדרות!$E$7+1),הגדרות!$E$7)))</f>
        <v/>
      </c>
      <c r="K3255" s="0" t="str">
        <f aca="false">IF(I3255="","",J3255*הגדרות!$E$6+I3255+1)</f>
        <v/>
      </c>
      <c r="L3255" s="0" t="str">
        <f aca="false">IF(K3255="","",MATCH(K3255,$F$2:$F$5001,0))</f>
        <v/>
      </c>
      <c r="M3255" s="0" t="str">
        <f aca="false">IF(I3255="","",INDEX(הגדרות!$A$2:$A$21,MOD(I3255+הגדרות!$E$9,הגדרות!$E$6)+1))</f>
        <v/>
      </c>
    </row>
    <row r="3256" customFormat="false" ht="15" hidden="false" customHeight="false" outlineLevel="0" collapsed="false">
      <c r="A3256" s="0" t="str">
        <f aca="false">IF('הדבקת לידים'!A3256="","",IF(ISNUMBER('הדבקת לידים'!A3256),IF(הגדרות!$E$2&gt;0,TEXT('הדבקת לידים'!A3256,REPT("0",הגדרות!$E$2)),TEXT('הדבקת לידים'!A3256,"0")),TRIM('הדבקת לידים'!A3256)))</f>
        <v/>
      </c>
      <c r="B3256" s="0" t="str">
        <f aca="false">IF('הדבקת לידים'!B3256="","",IF(ISNUMBER('הדבקת לידים'!B3256),IF(הגדרות!$E$3&gt;0,TEXT('הדבקת לידים'!B3256,REPT("0",הגדרות!$E$3)),TEXT('הדבקת לידים'!B3256,"0")),TRIM('הדבקת לידים'!B3256)))</f>
        <v/>
      </c>
      <c r="C3256" s="0" t="n">
        <f aca="false">IF(OR(A3256&lt;&gt;"",B3256&lt;&gt;""),1,0)</f>
        <v>0</v>
      </c>
      <c r="D3256" s="0" t="str">
        <f aca="false">IF(C3256=1,MOD(ABS(SIN(ROW()*12.9898+'הדבקת לידים'!$F$2*78.233+IFERROR(--RIGHT(A3256,6),LEN(A3256))*0.0137+IFERROR(--RIGHT(B3256,6),LEN(B3256))*0.0071))*43758.5453,1),"")</f>
        <v/>
      </c>
      <c r="E3256" s="0" t="str">
        <f aca="false">IF(C3256=1,INT(MOD(ABS(SIN(D3256*7919.123+ROW()*0.618+'הדבקת לידים'!$F$2*1.3))*43758.5453,1)*1000000)*10000+ROW(),"")</f>
        <v/>
      </c>
      <c r="F3256" s="0" t="str">
        <f aca="false">IF(E3256="","",RANK(E3256,$E$2:$E$5001,1))</f>
        <v/>
      </c>
      <c r="G3256" s="0" t="n">
        <f aca="false">IF(A3256="",0,IF(SUMPRODUCT(--($A$2:$A$5001=A3256))&gt;1,1,0))</f>
        <v>0</v>
      </c>
      <c r="H3256" s="0" t="n">
        <f aca="false">ROW()-1</f>
        <v>3255</v>
      </c>
      <c r="I3256" s="0" t="str">
        <f aca="false">IF(OR(הגדרות!$E$6=0,H3256&gt;הגדרות!$E$5),"",IF(H3256-1&lt;הגדרות!$E$8*(הגדרות!$E$7+1),INT((H3256-1)/(הגדרות!$E$7+1)),הגדרות!$E$8+INT((H3256-1-הגדרות!$E$8*(הגדרות!$E$7+1))/הגדרות!$E$7)))</f>
        <v/>
      </c>
      <c r="J3256" s="0" t="str">
        <f aca="false">IF(I3256="","",IF(H3256-1&lt;הגדרות!$E$8*(הגדרות!$E$7+1),MOD(H3256-1,הגדרות!$E$7+1),MOD(H3256-1-הגדרות!$E$8*(הגדרות!$E$7+1),הגדרות!$E$7)))</f>
        <v/>
      </c>
      <c r="K3256" s="0" t="str">
        <f aca="false">IF(I3256="","",J3256*הגדרות!$E$6+I3256+1)</f>
        <v/>
      </c>
      <c r="L3256" s="0" t="str">
        <f aca="false">IF(K3256="","",MATCH(K3256,$F$2:$F$5001,0))</f>
        <v/>
      </c>
      <c r="M3256" s="0" t="str">
        <f aca="false">IF(I3256="","",INDEX(הגדרות!$A$2:$A$21,MOD(I3256+הגדרות!$E$9,הגדרות!$E$6)+1))</f>
        <v/>
      </c>
    </row>
    <row r="3257" customFormat="false" ht="15" hidden="false" customHeight="false" outlineLevel="0" collapsed="false">
      <c r="A3257" s="0" t="str">
        <f aca="false">IF('הדבקת לידים'!A3257="","",IF(ISNUMBER('הדבקת לידים'!A3257),IF(הגדרות!$E$2&gt;0,TEXT('הדבקת לידים'!A3257,REPT("0",הגדרות!$E$2)),TEXT('הדבקת לידים'!A3257,"0")),TRIM('הדבקת לידים'!A3257)))</f>
        <v/>
      </c>
      <c r="B3257" s="0" t="str">
        <f aca="false">IF('הדבקת לידים'!B3257="","",IF(ISNUMBER('הדבקת לידים'!B3257),IF(הגדרות!$E$3&gt;0,TEXT('הדבקת לידים'!B3257,REPT("0",הגדרות!$E$3)),TEXT('הדבקת לידים'!B3257,"0")),TRIM('הדבקת לידים'!B3257)))</f>
        <v/>
      </c>
      <c r="C3257" s="0" t="n">
        <f aca="false">IF(OR(A3257&lt;&gt;"",B3257&lt;&gt;""),1,0)</f>
        <v>0</v>
      </c>
      <c r="D3257" s="0" t="str">
        <f aca="false">IF(C3257=1,MOD(ABS(SIN(ROW()*12.9898+'הדבקת לידים'!$F$2*78.233+IFERROR(--RIGHT(A3257,6),LEN(A3257))*0.0137+IFERROR(--RIGHT(B3257,6),LEN(B3257))*0.0071))*43758.5453,1),"")</f>
        <v/>
      </c>
      <c r="E3257" s="0" t="str">
        <f aca="false">IF(C3257=1,INT(MOD(ABS(SIN(D3257*7919.123+ROW()*0.618+'הדבקת לידים'!$F$2*1.3))*43758.5453,1)*1000000)*10000+ROW(),"")</f>
        <v/>
      </c>
      <c r="F3257" s="0" t="str">
        <f aca="false">IF(E3257="","",RANK(E3257,$E$2:$E$5001,1))</f>
        <v/>
      </c>
      <c r="G3257" s="0" t="n">
        <f aca="false">IF(A3257="",0,IF(SUMPRODUCT(--($A$2:$A$5001=A3257))&gt;1,1,0))</f>
        <v>0</v>
      </c>
      <c r="H3257" s="0" t="n">
        <f aca="false">ROW()-1</f>
        <v>3256</v>
      </c>
      <c r="I3257" s="0" t="str">
        <f aca="false">IF(OR(הגדרות!$E$6=0,H3257&gt;הגדרות!$E$5),"",IF(H3257-1&lt;הגדרות!$E$8*(הגדרות!$E$7+1),INT((H3257-1)/(הגדרות!$E$7+1)),הגדרות!$E$8+INT((H3257-1-הגדרות!$E$8*(הגדרות!$E$7+1))/הגדרות!$E$7)))</f>
        <v/>
      </c>
      <c r="J3257" s="0" t="str">
        <f aca="false">IF(I3257="","",IF(H3257-1&lt;הגדרות!$E$8*(הגדרות!$E$7+1),MOD(H3257-1,הגדרות!$E$7+1),MOD(H3257-1-הגדרות!$E$8*(הגדרות!$E$7+1),הגדרות!$E$7)))</f>
        <v/>
      </c>
      <c r="K3257" s="0" t="str">
        <f aca="false">IF(I3257="","",J3257*הגדרות!$E$6+I3257+1)</f>
        <v/>
      </c>
      <c r="L3257" s="0" t="str">
        <f aca="false">IF(K3257="","",MATCH(K3257,$F$2:$F$5001,0))</f>
        <v/>
      </c>
      <c r="M3257" s="0" t="str">
        <f aca="false">IF(I3257="","",INDEX(הגדרות!$A$2:$A$21,MOD(I3257+הגדרות!$E$9,הגדרות!$E$6)+1))</f>
        <v/>
      </c>
    </row>
    <row r="3258" customFormat="false" ht="15" hidden="false" customHeight="false" outlineLevel="0" collapsed="false">
      <c r="A3258" s="0" t="str">
        <f aca="false">IF('הדבקת לידים'!A3258="","",IF(ISNUMBER('הדבקת לידים'!A3258),IF(הגדרות!$E$2&gt;0,TEXT('הדבקת לידים'!A3258,REPT("0",הגדרות!$E$2)),TEXT('הדבקת לידים'!A3258,"0")),TRIM('הדבקת לידים'!A3258)))</f>
        <v/>
      </c>
      <c r="B3258" s="0" t="str">
        <f aca="false">IF('הדבקת לידים'!B3258="","",IF(ISNUMBER('הדבקת לידים'!B3258),IF(הגדרות!$E$3&gt;0,TEXT('הדבקת לידים'!B3258,REPT("0",הגדרות!$E$3)),TEXT('הדבקת לידים'!B3258,"0")),TRIM('הדבקת לידים'!B3258)))</f>
        <v/>
      </c>
      <c r="C3258" s="0" t="n">
        <f aca="false">IF(OR(A3258&lt;&gt;"",B3258&lt;&gt;""),1,0)</f>
        <v>0</v>
      </c>
      <c r="D3258" s="0" t="str">
        <f aca="false">IF(C3258=1,MOD(ABS(SIN(ROW()*12.9898+'הדבקת לידים'!$F$2*78.233+IFERROR(--RIGHT(A3258,6),LEN(A3258))*0.0137+IFERROR(--RIGHT(B3258,6),LEN(B3258))*0.0071))*43758.5453,1),"")</f>
        <v/>
      </c>
      <c r="E3258" s="0" t="str">
        <f aca="false">IF(C3258=1,INT(MOD(ABS(SIN(D3258*7919.123+ROW()*0.618+'הדבקת לידים'!$F$2*1.3))*43758.5453,1)*1000000)*10000+ROW(),"")</f>
        <v/>
      </c>
      <c r="F3258" s="0" t="str">
        <f aca="false">IF(E3258="","",RANK(E3258,$E$2:$E$5001,1))</f>
        <v/>
      </c>
      <c r="G3258" s="0" t="n">
        <f aca="false">IF(A3258="",0,IF(SUMPRODUCT(--($A$2:$A$5001=A3258))&gt;1,1,0))</f>
        <v>0</v>
      </c>
      <c r="H3258" s="0" t="n">
        <f aca="false">ROW()-1</f>
        <v>3257</v>
      </c>
      <c r="I3258" s="0" t="str">
        <f aca="false">IF(OR(הגדרות!$E$6=0,H3258&gt;הגדרות!$E$5),"",IF(H3258-1&lt;הגדרות!$E$8*(הגדרות!$E$7+1),INT((H3258-1)/(הגדרות!$E$7+1)),הגדרות!$E$8+INT((H3258-1-הגדרות!$E$8*(הגדרות!$E$7+1))/הגדרות!$E$7)))</f>
        <v/>
      </c>
      <c r="J3258" s="0" t="str">
        <f aca="false">IF(I3258="","",IF(H3258-1&lt;הגדרות!$E$8*(הגדרות!$E$7+1),MOD(H3258-1,הגדרות!$E$7+1),MOD(H3258-1-הגדרות!$E$8*(הגדרות!$E$7+1),הגדרות!$E$7)))</f>
        <v/>
      </c>
      <c r="K3258" s="0" t="str">
        <f aca="false">IF(I3258="","",J3258*הגדרות!$E$6+I3258+1)</f>
        <v/>
      </c>
      <c r="L3258" s="0" t="str">
        <f aca="false">IF(K3258="","",MATCH(K3258,$F$2:$F$5001,0))</f>
        <v/>
      </c>
      <c r="M3258" s="0" t="str">
        <f aca="false">IF(I3258="","",INDEX(הגדרות!$A$2:$A$21,MOD(I3258+הגדרות!$E$9,הגדרות!$E$6)+1))</f>
        <v/>
      </c>
    </row>
    <row r="3259" customFormat="false" ht="15" hidden="false" customHeight="false" outlineLevel="0" collapsed="false">
      <c r="A3259" s="0" t="str">
        <f aca="false">IF('הדבקת לידים'!A3259="","",IF(ISNUMBER('הדבקת לידים'!A3259),IF(הגדרות!$E$2&gt;0,TEXT('הדבקת לידים'!A3259,REPT("0",הגדרות!$E$2)),TEXT('הדבקת לידים'!A3259,"0")),TRIM('הדבקת לידים'!A3259)))</f>
        <v/>
      </c>
      <c r="B3259" s="0" t="str">
        <f aca="false">IF('הדבקת לידים'!B3259="","",IF(ISNUMBER('הדבקת לידים'!B3259),IF(הגדרות!$E$3&gt;0,TEXT('הדבקת לידים'!B3259,REPT("0",הגדרות!$E$3)),TEXT('הדבקת לידים'!B3259,"0")),TRIM('הדבקת לידים'!B3259)))</f>
        <v/>
      </c>
      <c r="C3259" s="0" t="n">
        <f aca="false">IF(OR(A3259&lt;&gt;"",B3259&lt;&gt;""),1,0)</f>
        <v>0</v>
      </c>
      <c r="D3259" s="0" t="str">
        <f aca="false">IF(C3259=1,MOD(ABS(SIN(ROW()*12.9898+'הדבקת לידים'!$F$2*78.233+IFERROR(--RIGHT(A3259,6),LEN(A3259))*0.0137+IFERROR(--RIGHT(B3259,6),LEN(B3259))*0.0071))*43758.5453,1),"")</f>
        <v/>
      </c>
      <c r="E3259" s="0" t="str">
        <f aca="false">IF(C3259=1,INT(MOD(ABS(SIN(D3259*7919.123+ROW()*0.618+'הדבקת לידים'!$F$2*1.3))*43758.5453,1)*1000000)*10000+ROW(),"")</f>
        <v/>
      </c>
      <c r="F3259" s="0" t="str">
        <f aca="false">IF(E3259="","",RANK(E3259,$E$2:$E$5001,1))</f>
        <v/>
      </c>
      <c r="G3259" s="0" t="n">
        <f aca="false">IF(A3259="",0,IF(SUMPRODUCT(--($A$2:$A$5001=A3259))&gt;1,1,0))</f>
        <v>0</v>
      </c>
      <c r="H3259" s="0" t="n">
        <f aca="false">ROW()-1</f>
        <v>3258</v>
      </c>
      <c r="I3259" s="0" t="str">
        <f aca="false">IF(OR(הגדרות!$E$6=0,H3259&gt;הגדרות!$E$5),"",IF(H3259-1&lt;הגדרות!$E$8*(הגדרות!$E$7+1),INT((H3259-1)/(הגדרות!$E$7+1)),הגדרות!$E$8+INT((H3259-1-הגדרות!$E$8*(הגדרות!$E$7+1))/הגדרות!$E$7)))</f>
        <v/>
      </c>
      <c r="J3259" s="0" t="str">
        <f aca="false">IF(I3259="","",IF(H3259-1&lt;הגדרות!$E$8*(הגדרות!$E$7+1),MOD(H3259-1,הגדרות!$E$7+1),MOD(H3259-1-הגדרות!$E$8*(הגדרות!$E$7+1),הגדרות!$E$7)))</f>
        <v/>
      </c>
      <c r="K3259" s="0" t="str">
        <f aca="false">IF(I3259="","",J3259*הגדרות!$E$6+I3259+1)</f>
        <v/>
      </c>
      <c r="L3259" s="0" t="str">
        <f aca="false">IF(K3259="","",MATCH(K3259,$F$2:$F$5001,0))</f>
        <v/>
      </c>
      <c r="M3259" s="0" t="str">
        <f aca="false">IF(I3259="","",INDEX(הגדרות!$A$2:$A$21,MOD(I3259+הגדרות!$E$9,הגדרות!$E$6)+1))</f>
        <v/>
      </c>
    </row>
    <row r="3260" customFormat="false" ht="15" hidden="false" customHeight="false" outlineLevel="0" collapsed="false">
      <c r="A3260" s="0" t="str">
        <f aca="false">IF('הדבקת לידים'!A3260="","",IF(ISNUMBER('הדבקת לידים'!A3260),IF(הגדרות!$E$2&gt;0,TEXT('הדבקת לידים'!A3260,REPT("0",הגדרות!$E$2)),TEXT('הדבקת לידים'!A3260,"0")),TRIM('הדבקת לידים'!A3260)))</f>
        <v/>
      </c>
      <c r="B3260" s="0" t="str">
        <f aca="false">IF('הדבקת לידים'!B3260="","",IF(ISNUMBER('הדבקת לידים'!B3260),IF(הגדרות!$E$3&gt;0,TEXT('הדבקת לידים'!B3260,REPT("0",הגדרות!$E$3)),TEXT('הדבקת לידים'!B3260,"0")),TRIM('הדבקת לידים'!B3260)))</f>
        <v/>
      </c>
      <c r="C3260" s="0" t="n">
        <f aca="false">IF(OR(A3260&lt;&gt;"",B3260&lt;&gt;""),1,0)</f>
        <v>0</v>
      </c>
      <c r="D3260" s="0" t="str">
        <f aca="false">IF(C3260=1,MOD(ABS(SIN(ROW()*12.9898+'הדבקת לידים'!$F$2*78.233+IFERROR(--RIGHT(A3260,6),LEN(A3260))*0.0137+IFERROR(--RIGHT(B3260,6),LEN(B3260))*0.0071))*43758.5453,1),"")</f>
        <v/>
      </c>
      <c r="E3260" s="0" t="str">
        <f aca="false">IF(C3260=1,INT(MOD(ABS(SIN(D3260*7919.123+ROW()*0.618+'הדבקת לידים'!$F$2*1.3))*43758.5453,1)*1000000)*10000+ROW(),"")</f>
        <v/>
      </c>
      <c r="F3260" s="0" t="str">
        <f aca="false">IF(E3260="","",RANK(E3260,$E$2:$E$5001,1))</f>
        <v/>
      </c>
      <c r="G3260" s="0" t="n">
        <f aca="false">IF(A3260="",0,IF(SUMPRODUCT(--($A$2:$A$5001=A3260))&gt;1,1,0))</f>
        <v>0</v>
      </c>
      <c r="H3260" s="0" t="n">
        <f aca="false">ROW()-1</f>
        <v>3259</v>
      </c>
      <c r="I3260" s="0" t="str">
        <f aca="false">IF(OR(הגדרות!$E$6=0,H3260&gt;הגדרות!$E$5),"",IF(H3260-1&lt;הגדרות!$E$8*(הגדרות!$E$7+1),INT((H3260-1)/(הגדרות!$E$7+1)),הגדרות!$E$8+INT((H3260-1-הגדרות!$E$8*(הגדרות!$E$7+1))/הגדרות!$E$7)))</f>
        <v/>
      </c>
      <c r="J3260" s="0" t="str">
        <f aca="false">IF(I3260="","",IF(H3260-1&lt;הגדרות!$E$8*(הגדרות!$E$7+1),MOD(H3260-1,הגדרות!$E$7+1),MOD(H3260-1-הגדרות!$E$8*(הגדרות!$E$7+1),הגדרות!$E$7)))</f>
        <v/>
      </c>
      <c r="K3260" s="0" t="str">
        <f aca="false">IF(I3260="","",J3260*הגדרות!$E$6+I3260+1)</f>
        <v/>
      </c>
      <c r="L3260" s="0" t="str">
        <f aca="false">IF(K3260="","",MATCH(K3260,$F$2:$F$5001,0))</f>
        <v/>
      </c>
      <c r="M3260" s="0" t="str">
        <f aca="false">IF(I3260="","",INDEX(הגדרות!$A$2:$A$21,MOD(I3260+הגדרות!$E$9,הגדרות!$E$6)+1))</f>
        <v/>
      </c>
    </row>
    <row r="3261" customFormat="false" ht="15" hidden="false" customHeight="false" outlineLevel="0" collapsed="false">
      <c r="A3261" s="0" t="str">
        <f aca="false">IF('הדבקת לידים'!A3261="","",IF(ISNUMBER('הדבקת לידים'!A3261),IF(הגדרות!$E$2&gt;0,TEXT('הדבקת לידים'!A3261,REPT("0",הגדרות!$E$2)),TEXT('הדבקת לידים'!A3261,"0")),TRIM('הדבקת לידים'!A3261)))</f>
        <v/>
      </c>
      <c r="B3261" s="0" t="str">
        <f aca="false">IF('הדבקת לידים'!B3261="","",IF(ISNUMBER('הדבקת לידים'!B3261),IF(הגדרות!$E$3&gt;0,TEXT('הדבקת לידים'!B3261,REPT("0",הגדרות!$E$3)),TEXT('הדבקת לידים'!B3261,"0")),TRIM('הדבקת לידים'!B3261)))</f>
        <v/>
      </c>
      <c r="C3261" s="0" t="n">
        <f aca="false">IF(OR(A3261&lt;&gt;"",B3261&lt;&gt;""),1,0)</f>
        <v>0</v>
      </c>
      <c r="D3261" s="0" t="str">
        <f aca="false">IF(C3261=1,MOD(ABS(SIN(ROW()*12.9898+'הדבקת לידים'!$F$2*78.233+IFERROR(--RIGHT(A3261,6),LEN(A3261))*0.0137+IFERROR(--RIGHT(B3261,6),LEN(B3261))*0.0071))*43758.5453,1),"")</f>
        <v/>
      </c>
      <c r="E3261" s="0" t="str">
        <f aca="false">IF(C3261=1,INT(MOD(ABS(SIN(D3261*7919.123+ROW()*0.618+'הדבקת לידים'!$F$2*1.3))*43758.5453,1)*1000000)*10000+ROW(),"")</f>
        <v/>
      </c>
      <c r="F3261" s="0" t="str">
        <f aca="false">IF(E3261="","",RANK(E3261,$E$2:$E$5001,1))</f>
        <v/>
      </c>
      <c r="G3261" s="0" t="n">
        <f aca="false">IF(A3261="",0,IF(SUMPRODUCT(--($A$2:$A$5001=A3261))&gt;1,1,0))</f>
        <v>0</v>
      </c>
      <c r="H3261" s="0" t="n">
        <f aca="false">ROW()-1</f>
        <v>3260</v>
      </c>
      <c r="I3261" s="0" t="str">
        <f aca="false">IF(OR(הגדרות!$E$6=0,H3261&gt;הגדרות!$E$5),"",IF(H3261-1&lt;הגדרות!$E$8*(הגדרות!$E$7+1),INT((H3261-1)/(הגדרות!$E$7+1)),הגדרות!$E$8+INT((H3261-1-הגדרות!$E$8*(הגדרות!$E$7+1))/הגדרות!$E$7)))</f>
        <v/>
      </c>
      <c r="J3261" s="0" t="str">
        <f aca="false">IF(I3261="","",IF(H3261-1&lt;הגדרות!$E$8*(הגדרות!$E$7+1),MOD(H3261-1,הגדרות!$E$7+1),MOD(H3261-1-הגדרות!$E$8*(הגדרות!$E$7+1),הגדרות!$E$7)))</f>
        <v/>
      </c>
      <c r="K3261" s="0" t="str">
        <f aca="false">IF(I3261="","",J3261*הגדרות!$E$6+I3261+1)</f>
        <v/>
      </c>
      <c r="L3261" s="0" t="str">
        <f aca="false">IF(K3261="","",MATCH(K3261,$F$2:$F$5001,0))</f>
        <v/>
      </c>
      <c r="M3261" s="0" t="str">
        <f aca="false">IF(I3261="","",INDEX(הגדרות!$A$2:$A$21,MOD(I3261+הגדרות!$E$9,הגדרות!$E$6)+1))</f>
        <v/>
      </c>
    </row>
    <row r="3262" customFormat="false" ht="15" hidden="false" customHeight="false" outlineLevel="0" collapsed="false">
      <c r="A3262" s="0" t="str">
        <f aca="false">IF('הדבקת לידים'!A3262="","",IF(ISNUMBER('הדבקת לידים'!A3262),IF(הגדרות!$E$2&gt;0,TEXT('הדבקת לידים'!A3262,REPT("0",הגדרות!$E$2)),TEXT('הדבקת לידים'!A3262,"0")),TRIM('הדבקת לידים'!A3262)))</f>
        <v/>
      </c>
      <c r="B3262" s="0" t="str">
        <f aca="false">IF('הדבקת לידים'!B3262="","",IF(ISNUMBER('הדבקת לידים'!B3262),IF(הגדרות!$E$3&gt;0,TEXT('הדבקת לידים'!B3262,REPT("0",הגדרות!$E$3)),TEXT('הדבקת לידים'!B3262,"0")),TRIM('הדבקת לידים'!B3262)))</f>
        <v/>
      </c>
      <c r="C3262" s="0" t="n">
        <f aca="false">IF(OR(A3262&lt;&gt;"",B3262&lt;&gt;""),1,0)</f>
        <v>0</v>
      </c>
      <c r="D3262" s="0" t="str">
        <f aca="false">IF(C3262=1,MOD(ABS(SIN(ROW()*12.9898+'הדבקת לידים'!$F$2*78.233+IFERROR(--RIGHT(A3262,6),LEN(A3262))*0.0137+IFERROR(--RIGHT(B3262,6),LEN(B3262))*0.0071))*43758.5453,1),"")</f>
        <v/>
      </c>
      <c r="E3262" s="0" t="str">
        <f aca="false">IF(C3262=1,INT(MOD(ABS(SIN(D3262*7919.123+ROW()*0.618+'הדבקת לידים'!$F$2*1.3))*43758.5453,1)*1000000)*10000+ROW(),"")</f>
        <v/>
      </c>
      <c r="F3262" s="0" t="str">
        <f aca="false">IF(E3262="","",RANK(E3262,$E$2:$E$5001,1))</f>
        <v/>
      </c>
      <c r="G3262" s="0" t="n">
        <f aca="false">IF(A3262="",0,IF(SUMPRODUCT(--($A$2:$A$5001=A3262))&gt;1,1,0))</f>
        <v>0</v>
      </c>
      <c r="H3262" s="0" t="n">
        <f aca="false">ROW()-1</f>
        <v>3261</v>
      </c>
      <c r="I3262" s="0" t="str">
        <f aca="false">IF(OR(הגדרות!$E$6=0,H3262&gt;הגדרות!$E$5),"",IF(H3262-1&lt;הגדרות!$E$8*(הגדרות!$E$7+1),INT((H3262-1)/(הגדרות!$E$7+1)),הגדרות!$E$8+INT((H3262-1-הגדרות!$E$8*(הגדרות!$E$7+1))/הגדרות!$E$7)))</f>
        <v/>
      </c>
      <c r="J3262" s="0" t="str">
        <f aca="false">IF(I3262="","",IF(H3262-1&lt;הגדרות!$E$8*(הגדרות!$E$7+1),MOD(H3262-1,הגדרות!$E$7+1),MOD(H3262-1-הגדרות!$E$8*(הגדרות!$E$7+1),הגדרות!$E$7)))</f>
        <v/>
      </c>
      <c r="K3262" s="0" t="str">
        <f aca="false">IF(I3262="","",J3262*הגדרות!$E$6+I3262+1)</f>
        <v/>
      </c>
      <c r="L3262" s="0" t="str">
        <f aca="false">IF(K3262="","",MATCH(K3262,$F$2:$F$5001,0))</f>
        <v/>
      </c>
      <c r="M3262" s="0" t="str">
        <f aca="false">IF(I3262="","",INDEX(הגדרות!$A$2:$A$21,MOD(I3262+הגדרות!$E$9,הגדרות!$E$6)+1))</f>
        <v/>
      </c>
    </row>
    <row r="3263" customFormat="false" ht="15" hidden="false" customHeight="false" outlineLevel="0" collapsed="false">
      <c r="A3263" s="0" t="str">
        <f aca="false">IF('הדבקת לידים'!A3263="","",IF(ISNUMBER('הדבקת לידים'!A3263),IF(הגדרות!$E$2&gt;0,TEXT('הדבקת לידים'!A3263,REPT("0",הגדרות!$E$2)),TEXT('הדבקת לידים'!A3263,"0")),TRIM('הדבקת לידים'!A3263)))</f>
        <v/>
      </c>
      <c r="B3263" s="0" t="str">
        <f aca="false">IF('הדבקת לידים'!B3263="","",IF(ISNUMBER('הדבקת לידים'!B3263),IF(הגדרות!$E$3&gt;0,TEXT('הדבקת לידים'!B3263,REPT("0",הגדרות!$E$3)),TEXT('הדבקת לידים'!B3263,"0")),TRIM('הדבקת לידים'!B3263)))</f>
        <v/>
      </c>
      <c r="C3263" s="0" t="n">
        <f aca="false">IF(OR(A3263&lt;&gt;"",B3263&lt;&gt;""),1,0)</f>
        <v>0</v>
      </c>
      <c r="D3263" s="0" t="str">
        <f aca="false">IF(C3263=1,MOD(ABS(SIN(ROW()*12.9898+'הדבקת לידים'!$F$2*78.233+IFERROR(--RIGHT(A3263,6),LEN(A3263))*0.0137+IFERROR(--RIGHT(B3263,6),LEN(B3263))*0.0071))*43758.5453,1),"")</f>
        <v/>
      </c>
      <c r="E3263" s="0" t="str">
        <f aca="false">IF(C3263=1,INT(MOD(ABS(SIN(D3263*7919.123+ROW()*0.618+'הדבקת לידים'!$F$2*1.3))*43758.5453,1)*1000000)*10000+ROW(),"")</f>
        <v/>
      </c>
      <c r="F3263" s="0" t="str">
        <f aca="false">IF(E3263="","",RANK(E3263,$E$2:$E$5001,1))</f>
        <v/>
      </c>
      <c r="G3263" s="0" t="n">
        <f aca="false">IF(A3263="",0,IF(SUMPRODUCT(--($A$2:$A$5001=A3263))&gt;1,1,0))</f>
        <v>0</v>
      </c>
      <c r="H3263" s="0" t="n">
        <f aca="false">ROW()-1</f>
        <v>3262</v>
      </c>
      <c r="I3263" s="0" t="str">
        <f aca="false">IF(OR(הגדרות!$E$6=0,H3263&gt;הגדרות!$E$5),"",IF(H3263-1&lt;הגדרות!$E$8*(הגדרות!$E$7+1),INT((H3263-1)/(הגדרות!$E$7+1)),הגדרות!$E$8+INT((H3263-1-הגדרות!$E$8*(הגדרות!$E$7+1))/הגדרות!$E$7)))</f>
        <v/>
      </c>
      <c r="J3263" s="0" t="str">
        <f aca="false">IF(I3263="","",IF(H3263-1&lt;הגדרות!$E$8*(הגדרות!$E$7+1),MOD(H3263-1,הגדרות!$E$7+1),MOD(H3263-1-הגדרות!$E$8*(הגדרות!$E$7+1),הגדרות!$E$7)))</f>
        <v/>
      </c>
      <c r="K3263" s="0" t="str">
        <f aca="false">IF(I3263="","",J3263*הגדרות!$E$6+I3263+1)</f>
        <v/>
      </c>
      <c r="L3263" s="0" t="str">
        <f aca="false">IF(K3263="","",MATCH(K3263,$F$2:$F$5001,0))</f>
        <v/>
      </c>
      <c r="M3263" s="0" t="str">
        <f aca="false">IF(I3263="","",INDEX(הגדרות!$A$2:$A$21,MOD(I3263+הגדרות!$E$9,הגדרות!$E$6)+1))</f>
        <v/>
      </c>
    </row>
    <row r="3264" customFormat="false" ht="15" hidden="false" customHeight="false" outlineLevel="0" collapsed="false">
      <c r="A3264" s="0" t="str">
        <f aca="false">IF('הדבקת לידים'!A3264="","",IF(ISNUMBER('הדבקת לידים'!A3264),IF(הגדרות!$E$2&gt;0,TEXT('הדבקת לידים'!A3264,REPT("0",הגדרות!$E$2)),TEXT('הדבקת לידים'!A3264,"0")),TRIM('הדבקת לידים'!A3264)))</f>
        <v/>
      </c>
      <c r="B3264" s="0" t="str">
        <f aca="false">IF('הדבקת לידים'!B3264="","",IF(ISNUMBER('הדבקת לידים'!B3264),IF(הגדרות!$E$3&gt;0,TEXT('הדבקת לידים'!B3264,REPT("0",הגדרות!$E$3)),TEXT('הדבקת לידים'!B3264,"0")),TRIM('הדבקת לידים'!B3264)))</f>
        <v/>
      </c>
      <c r="C3264" s="0" t="n">
        <f aca="false">IF(OR(A3264&lt;&gt;"",B3264&lt;&gt;""),1,0)</f>
        <v>0</v>
      </c>
      <c r="D3264" s="0" t="str">
        <f aca="false">IF(C3264=1,MOD(ABS(SIN(ROW()*12.9898+'הדבקת לידים'!$F$2*78.233+IFERROR(--RIGHT(A3264,6),LEN(A3264))*0.0137+IFERROR(--RIGHT(B3264,6),LEN(B3264))*0.0071))*43758.5453,1),"")</f>
        <v/>
      </c>
      <c r="E3264" s="0" t="str">
        <f aca="false">IF(C3264=1,INT(MOD(ABS(SIN(D3264*7919.123+ROW()*0.618+'הדבקת לידים'!$F$2*1.3))*43758.5453,1)*1000000)*10000+ROW(),"")</f>
        <v/>
      </c>
      <c r="F3264" s="0" t="str">
        <f aca="false">IF(E3264="","",RANK(E3264,$E$2:$E$5001,1))</f>
        <v/>
      </c>
      <c r="G3264" s="0" t="n">
        <f aca="false">IF(A3264="",0,IF(SUMPRODUCT(--($A$2:$A$5001=A3264))&gt;1,1,0))</f>
        <v>0</v>
      </c>
      <c r="H3264" s="0" t="n">
        <f aca="false">ROW()-1</f>
        <v>3263</v>
      </c>
      <c r="I3264" s="0" t="str">
        <f aca="false">IF(OR(הגדרות!$E$6=0,H3264&gt;הגדרות!$E$5),"",IF(H3264-1&lt;הגדרות!$E$8*(הגדרות!$E$7+1),INT((H3264-1)/(הגדרות!$E$7+1)),הגדרות!$E$8+INT((H3264-1-הגדרות!$E$8*(הגדרות!$E$7+1))/הגדרות!$E$7)))</f>
        <v/>
      </c>
      <c r="J3264" s="0" t="str">
        <f aca="false">IF(I3264="","",IF(H3264-1&lt;הגדרות!$E$8*(הגדרות!$E$7+1),MOD(H3264-1,הגדרות!$E$7+1),MOD(H3264-1-הגדרות!$E$8*(הגדרות!$E$7+1),הגדרות!$E$7)))</f>
        <v/>
      </c>
      <c r="K3264" s="0" t="str">
        <f aca="false">IF(I3264="","",J3264*הגדרות!$E$6+I3264+1)</f>
        <v/>
      </c>
      <c r="L3264" s="0" t="str">
        <f aca="false">IF(K3264="","",MATCH(K3264,$F$2:$F$5001,0))</f>
        <v/>
      </c>
      <c r="M3264" s="0" t="str">
        <f aca="false">IF(I3264="","",INDEX(הגדרות!$A$2:$A$21,MOD(I3264+הגדרות!$E$9,הגדרות!$E$6)+1))</f>
        <v/>
      </c>
    </row>
    <row r="3265" customFormat="false" ht="15" hidden="false" customHeight="false" outlineLevel="0" collapsed="false">
      <c r="A3265" s="0" t="str">
        <f aca="false">IF('הדבקת לידים'!A3265="","",IF(ISNUMBER('הדבקת לידים'!A3265),IF(הגדרות!$E$2&gt;0,TEXT('הדבקת לידים'!A3265,REPT("0",הגדרות!$E$2)),TEXT('הדבקת לידים'!A3265,"0")),TRIM('הדבקת לידים'!A3265)))</f>
        <v/>
      </c>
      <c r="B3265" s="0" t="str">
        <f aca="false">IF('הדבקת לידים'!B3265="","",IF(ISNUMBER('הדבקת לידים'!B3265),IF(הגדרות!$E$3&gt;0,TEXT('הדבקת לידים'!B3265,REPT("0",הגדרות!$E$3)),TEXT('הדבקת לידים'!B3265,"0")),TRIM('הדבקת לידים'!B3265)))</f>
        <v/>
      </c>
      <c r="C3265" s="0" t="n">
        <f aca="false">IF(OR(A3265&lt;&gt;"",B3265&lt;&gt;""),1,0)</f>
        <v>0</v>
      </c>
      <c r="D3265" s="0" t="str">
        <f aca="false">IF(C3265=1,MOD(ABS(SIN(ROW()*12.9898+'הדבקת לידים'!$F$2*78.233+IFERROR(--RIGHT(A3265,6),LEN(A3265))*0.0137+IFERROR(--RIGHT(B3265,6),LEN(B3265))*0.0071))*43758.5453,1),"")</f>
        <v/>
      </c>
      <c r="E3265" s="0" t="str">
        <f aca="false">IF(C3265=1,INT(MOD(ABS(SIN(D3265*7919.123+ROW()*0.618+'הדבקת לידים'!$F$2*1.3))*43758.5453,1)*1000000)*10000+ROW(),"")</f>
        <v/>
      </c>
      <c r="F3265" s="0" t="str">
        <f aca="false">IF(E3265="","",RANK(E3265,$E$2:$E$5001,1))</f>
        <v/>
      </c>
      <c r="G3265" s="0" t="n">
        <f aca="false">IF(A3265="",0,IF(SUMPRODUCT(--($A$2:$A$5001=A3265))&gt;1,1,0))</f>
        <v>0</v>
      </c>
      <c r="H3265" s="0" t="n">
        <f aca="false">ROW()-1</f>
        <v>3264</v>
      </c>
      <c r="I3265" s="0" t="str">
        <f aca="false">IF(OR(הגדרות!$E$6=0,H3265&gt;הגדרות!$E$5),"",IF(H3265-1&lt;הגדרות!$E$8*(הגדרות!$E$7+1),INT((H3265-1)/(הגדרות!$E$7+1)),הגדרות!$E$8+INT((H3265-1-הגדרות!$E$8*(הגדרות!$E$7+1))/הגדרות!$E$7)))</f>
        <v/>
      </c>
      <c r="J3265" s="0" t="str">
        <f aca="false">IF(I3265="","",IF(H3265-1&lt;הגדרות!$E$8*(הגדרות!$E$7+1),MOD(H3265-1,הגדרות!$E$7+1),MOD(H3265-1-הגדרות!$E$8*(הגדרות!$E$7+1),הגדרות!$E$7)))</f>
        <v/>
      </c>
      <c r="K3265" s="0" t="str">
        <f aca="false">IF(I3265="","",J3265*הגדרות!$E$6+I3265+1)</f>
        <v/>
      </c>
      <c r="L3265" s="0" t="str">
        <f aca="false">IF(K3265="","",MATCH(K3265,$F$2:$F$5001,0))</f>
        <v/>
      </c>
      <c r="M3265" s="0" t="str">
        <f aca="false">IF(I3265="","",INDEX(הגדרות!$A$2:$A$21,MOD(I3265+הגדרות!$E$9,הגדרות!$E$6)+1))</f>
        <v/>
      </c>
    </row>
    <row r="3266" customFormat="false" ht="15" hidden="false" customHeight="false" outlineLevel="0" collapsed="false">
      <c r="A3266" s="0" t="str">
        <f aca="false">IF('הדבקת לידים'!A3266="","",IF(ISNUMBER('הדבקת לידים'!A3266),IF(הגדרות!$E$2&gt;0,TEXT('הדבקת לידים'!A3266,REPT("0",הגדרות!$E$2)),TEXT('הדבקת לידים'!A3266,"0")),TRIM('הדבקת לידים'!A3266)))</f>
        <v/>
      </c>
      <c r="B3266" s="0" t="str">
        <f aca="false">IF('הדבקת לידים'!B3266="","",IF(ISNUMBER('הדבקת לידים'!B3266),IF(הגדרות!$E$3&gt;0,TEXT('הדבקת לידים'!B3266,REPT("0",הגדרות!$E$3)),TEXT('הדבקת לידים'!B3266,"0")),TRIM('הדבקת לידים'!B3266)))</f>
        <v/>
      </c>
      <c r="C3266" s="0" t="n">
        <f aca="false">IF(OR(A3266&lt;&gt;"",B3266&lt;&gt;""),1,0)</f>
        <v>0</v>
      </c>
      <c r="D3266" s="0" t="str">
        <f aca="false">IF(C3266=1,MOD(ABS(SIN(ROW()*12.9898+'הדבקת לידים'!$F$2*78.233+IFERROR(--RIGHT(A3266,6),LEN(A3266))*0.0137+IFERROR(--RIGHT(B3266,6),LEN(B3266))*0.0071))*43758.5453,1),"")</f>
        <v/>
      </c>
      <c r="E3266" s="0" t="str">
        <f aca="false">IF(C3266=1,INT(MOD(ABS(SIN(D3266*7919.123+ROW()*0.618+'הדבקת לידים'!$F$2*1.3))*43758.5453,1)*1000000)*10000+ROW(),"")</f>
        <v/>
      </c>
      <c r="F3266" s="0" t="str">
        <f aca="false">IF(E3266="","",RANK(E3266,$E$2:$E$5001,1))</f>
        <v/>
      </c>
      <c r="G3266" s="0" t="n">
        <f aca="false">IF(A3266="",0,IF(SUMPRODUCT(--($A$2:$A$5001=A3266))&gt;1,1,0))</f>
        <v>0</v>
      </c>
      <c r="H3266" s="0" t="n">
        <f aca="false">ROW()-1</f>
        <v>3265</v>
      </c>
      <c r="I3266" s="0" t="str">
        <f aca="false">IF(OR(הגדרות!$E$6=0,H3266&gt;הגדרות!$E$5),"",IF(H3266-1&lt;הגדרות!$E$8*(הגדרות!$E$7+1),INT((H3266-1)/(הגדרות!$E$7+1)),הגדרות!$E$8+INT((H3266-1-הגדרות!$E$8*(הגדרות!$E$7+1))/הגדרות!$E$7)))</f>
        <v/>
      </c>
      <c r="J3266" s="0" t="str">
        <f aca="false">IF(I3266="","",IF(H3266-1&lt;הגדרות!$E$8*(הגדרות!$E$7+1),MOD(H3266-1,הגדרות!$E$7+1),MOD(H3266-1-הגדרות!$E$8*(הגדרות!$E$7+1),הגדרות!$E$7)))</f>
        <v/>
      </c>
      <c r="K3266" s="0" t="str">
        <f aca="false">IF(I3266="","",J3266*הגדרות!$E$6+I3266+1)</f>
        <v/>
      </c>
      <c r="L3266" s="0" t="str">
        <f aca="false">IF(K3266="","",MATCH(K3266,$F$2:$F$5001,0))</f>
        <v/>
      </c>
      <c r="M3266" s="0" t="str">
        <f aca="false">IF(I3266="","",INDEX(הגדרות!$A$2:$A$21,MOD(I3266+הגדרות!$E$9,הגדרות!$E$6)+1))</f>
        <v/>
      </c>
    </row>
    <row r="3267" customFormat="false" ht="15" hidden="false" customHeight="false" outlineLevel="0" collapsed="false">
      <c r="A3267" s="0" t="str">
        <f aca="false">IF('הדבקת לידים'!A3267="","",IF(ISNUMBER('הדבקת לידים'!A3267),IF(הגדרות!$E$2&gt;0,TEXT('הדבקת לידים'!A3267,REPT("0",הגדרות!$E$2)),TEXT('הדבקת לידים'!A3267,"0")),TRIM('הדבקת לידים'!A3267)))</f>
        <v/>
      </c>
      <c r="B3267" s="0" t="str">
        <f aca="false">IF('הדבקת לידים'!B3267="","",IF(ISNUMBER('הדבקת לידים'!B3267),IF(הגדרות!$E$3&gt;0,TEXT('הדבקת לידים'!B3267,REPT("0",הגדרות!$E$3)),TEXT('הדבקת לידים'!B3267,"0")),TRIM('הדבקת לידים'!B3267)))</f>
        <v/>
      </c>
      <c r="C3267" s="0" t="n">
        <f aca="false">IF(OR(A3267&lt;&gt;"",B3267&lt;&gt;""),1,0)</f>
        <v>0</v>
      </c>
      <c r="D3267" s="0" t="str">
        <f aca="false">IF(C3267=1,MOD(ABS(SIN(ROW()*12.9898+'הדבקת לידים'!$F$2*78.233+IFERROR(--RIGHT(A3267,6),LEN(A3267))*0.0137+IFERROR(--RIGHT(B3267,6),LEN(B3267))*0.0071))*43758.5453,1),"")</f>
        <v/>
      </c>
      <c r="E3267" s="0" t="str">
        <f aca="false">IF(C3267=1,INT(MOD(ABS(SIN(D3267*7919.123+ROW()*0.618+'הדבקת לידים'!$F$2*1.3))*43758.5453,1)*1000000)*10000+ROW(),"")</f>
        <v/>
      </c>
      <c r="F3267" s="0" t="str">
        <f aca="false">IF(E3267="","",RANK(E3267,$E$2:$E$5001,1))</f>
        <v/>
      </c>
      <c r="G3267" s="0" t="n">
        <f aca="false">IF(A3267="",0,IF(SUMPRODUCT(--($A$2:$A$5001=A3267))&gt;1,1,0))</f>
        <v>0</v>
      </c>
      <c r="H3267" s="0" t="n">
        <f aca="false">ROW()-1</f>
        <v>3266</v>
      </c>
      <c r="I3267" s="0" t="str">
        <f aca="false">IF(OR(הגדרות!$E$6=0,H3267&gt;הגדרות!$E$5),"",IF(H3267-1&lt;הגדרות!$E$8*(הגדרות!$E$7+1),INT((H3267-1)/(הגדרות!$E$7+1)),הגדרות!$E$8+INT((H3267-1-הגדרות!$E$8*(הגדרות!$E$7+1))/הגדרות!$E$7)))</f>
        <v/>
      </c>
      <c r="J3267" s="0" t="str">
        <f aca="false">IF(I3267="","",IF(H3267-1&lt;הגדרות!$E$8*(הגדרות!$E$7+1),MOD(H3267-1,הגדרות!$E$7+1),MOD(H3267-1-הגדרות!$E$8*(הגדרות!$E$7+1),הגדרות!$E$7)))</f>
        <v/>
      </c>
      <c r="K3267" s="0" t="str">
        <f aca="false">IF(I3267="","",J3267*הגדרות!$E$6+I3267+1)</f>
        <v/>
      </c>
      <c r="L3267" s="0" t="str">
        <f aca="false">IF(K3267="","",MATCH(K3267,$F$2:$F$5001,0))</f>
        <v/>
      </c>
      <c r="M3267" s="0" t="str">
        <f aca="false">IF(I3267="","",INDEX(הגדרות!$A$2:$A$21,MOD(I3267+הגדרות!$E$9,הגדרות!$E$6)+1))</f>
        <v/>
      </c>
    </row>
    <row r="3268" customFormat="false" ht="15" hidden="false" customHeight="false" outlineLevel="0" collapsed="false">
      <c r="A3268" s="0" t="str">
        <f aca="false">IF('הדבקת לידים'!A3268="","",IF(ISNUMBER('הדבקת לידים'!A3268),IF(הגדרות!$E$2&gt;0,TEXT('הדבקת לידים'!A3268,REPT("0",הגדרות!$E$2)),TEXT('הדבקת לידים'!A3268,"0")),TRIM('הדבקת לידים'!A3268)))</f>
        <v/>
      </c>
      <c r="B3268" s="0" t="str">
        <f aca="false">IF('הדבקת לידים'!B3268="","",IF(ISNUMBER('הדבקת לידים'!B3268),IF(הגדרות!$E$3&gt;0,TEXT('הדבקת לידים'!B3268,REPT("0",הגדרות!$E$3)),TEXT('הדבקת לידים'!B3268,"0")),TRIM('הדבקת לידים'!B3268)))</f>
        <v/>
      </c>
      <c r="C3268" s="0" t="n">
        <f aca="false">IF(OR(A3268&lt;&gt;"",B3268&lt;&gt;""),1,0)</f>
        <v>0</v>
      </c>
      <c r="D3268" s="0" t="str">
        <f aca="false">IF(C3268=1,MOD(ABS(SIN(ROW()*12.9898+'הדבקת לידים'!$F$2*78.233+IFERROR(--RIGHT(A3268,6),LEN(A3268))*0.0137+IFERROR(--RIGHT(B3268,6),LEN(B3268))*0.0071))*43758.5453,1),"")</f>
        <v/>
      </c>
      <c r="E3268" s="0" t="str">
        <f aca="false">IF(C3268=1,INT(MOD(ABS(SIN(D3268*7919.123+ROW()*0.618+'הדבקת לידים'!$F$2*1.3))*43758.5453,1)*1000000)*10000+ROW(),"")</f>
        <v/>
      </c>
      <c r="F3268" s="0" t="str">
        <f aca="false">IF(E3268="","",RANK(E3268,$E$2:$E$5001,1))</f>
        <v/>
      </c>
      <c r="G3268" s="0" t="n">
        <f aca="false">IF(A3268="",0,IF(SUMPRODUCT(--($A$2:$A$5001=A3268))&gt;1,1,0))</f>
        <v>0</v>
      </c>
      <c r="H3268" s="0" t="n">
        <f aca="false">ROW()-1</f>
        <v>3267</v>
      </c>
      <c r="I3268" s="0" t="str">
        <f aca="false">IF(OR(הגדרות!$E$6=0,H3268&gt;הגדרות!$E$5),"",IF(H3268-1&lt;הגדרות!$E$8*(הגדרות!$E$7+1),INT((H3268-1)/(הגדרות!$E$7+1)),הגדרות!$E$8+INT((H3268-1-הגדרות!$E$8*(הגדרות!$E$7+1))/הגדרות!$E$7)))</f>
        <v/>
      </c>
      <c r="J3268" s="0" t="str">
        <f aca="false">IF(I3268="","",IF(H3268-1&lt;הגדרות!$E$8*(הגדרות!$E$7+1),MOD(H3268-1,הגדרות!$E$7+1),MOD(H3268-1-הגדרות!$E$8*(הגדרות!$E$7+1),הגדרות!$E$7)))</f>
        <v/>
      </c>
      <c r="K3268" s="0" t="str">
        <f aca="false">IF(I3268="","",J3268*הגדרות!$E$6+I3268+1)</f>
        <v/>
      </c>
      <c r="L3268" s="0" t="str">
        <f aca="false">IF(K3268="","",MATCH(K3268,$F$2:$F$5001,0))</f>
        <v/>
      </c>
      <c r="M3268" s="0" t="str">
        <f aca="false">IF(I3268="","",INDEX(הגדרות!$A$2:$A$21,MOD(I3268+הגדרות!$E$9,הגדרות!$E$6)+1))</f>
        <v/>
      </c>
    </row>
    <row r="3269" customFormat="false" ht="15" hidden="false" customHeight="false" outlineLevel="0" collapsed="false">
      <c r="A3269" s="0" t="str">
        <f aca="false">IF('הדבקת לידים'!A3269="","",IF(ISNUMBER('הדבקת לידים'!A3269),IF(הגדרות!$E$2&gt;0,TEXT('הדבקת לידים'!A3269,REPT("0",הגדרות!$E$2)),TEXT('הדבקת לידים'!A3269,"0")),TRIM('הדבקת לידים'!A3269)))</f>
        <v/>
      </c>
      <c r="B3269" s="0" t="str">
        <f aca="false">IF('הדבקת לידים'!B3269="","",IF(ISNUMBER('הדבקת לידים'!B3269),IF(הגדרות!$E$3&gt;0,TEXT('הדבקת לידים'!B3269,REPT("0",הגדרות!$E$3)),TEXT('הדבקת לידים'!B3269,"0")),TRIM('הדבקת לידים'!B3269)))</f>
        <v/>
      </c>
      <c r="C3269" s="0" t="n">
        <f aca="false">IF(OR(A3269&lt;&gt;"",B3269&lt;&gt;""),1,0)</f>
        <v>0</v>
      </c>
      <c r="D3269" s="0" t="str">
        <f aca="false">IF(C3269=1,MOD(ABS(SIN(ROW()*12.9898+'הדבקת לידים'!$F$2*78.233+IFERROR(--RIGHT(A3269,6),LEN(A3269))*0.0137+IFERROR(--RIGHT(B3269,6),LEN(B3269))*0.0071))*43758.5453,1),"")</f>
        <v/>
      </c>
      <c r="E3269" s="0" t="str">
        <f aca="false">IF(C3269=1,INT(MOD(ABS(SIN(D3269*7919.123+ROW()*0.618+'הדבקת לידים'!$F$2*1.3))*43758.5453,1)*1000000)*10000+ROW(),"")</f>
        <v/>
      </c>
      <c r="F3269" s="0" t="str">
        <f aca="false">IF(E3269="","",RANK(E3269,$E$2:$E$5001,1))</f>
        <v/>
      </c>
      <c r="G3269" s="0" t="n">
        <f aca="false">IF(A3269="",0,IF(SUMPRODUCT(--($A$2:$A$5001=A3269))&gt;1,1,0))</f>
        <v>0</v>
      </c>
      <c r="H3269" s="0" t="n">
        <f aca="false">ROW()-1</f>
        <v>3268</v>
      </c>
      <c r="I3269" s="0" t="str">
        <f aca="false">IF(OR(הגדרות!$E$6=0,H3269&gt;הגדרות!$E$5),"",IF(H3269-1&lt;הגדרות!$E$8*(הגדרות!$E$7+1),INT((H3269-1)/(הגדרות!$E$7+1)),הגדרות!$E$8+INT((H3269-1-הגדרות!$E$8*(הגדרות!$E$7+1))/הגדרות!$E$7)))</f>
        <v/>
      </c>
      <c r="J3269" s="0" t="str">
        <f aca="false">IF(I3269="","",IF(H3269-1&lt;הגדרות!$E$8*(הגדרות!$E$7+1),MOD(H3269-1,הגדרות!$E$7+1),MOD(H3269-1-הגדרות!$E$8*(הגדרות!$E$7+1),הגדרות!$E$7)))</f>
        <v/>
      </c>
      <c r="K3269" s="0" t="str">
        <f aca="false">IF(I3269="","",J3269*הגדרות!$E$6+I3269+1)</f>
        <v/>
      </c>
      <c r="L3269" s="0" t="str">
        <f aca="false">IF(K3269="","",MATCH(K3269,$F$2:$F$5001,0))</f>
        <v/>
      </c>
      <c r="M3269" s="0" t="str">
        <f aca="false">IF(I3269="","",INDEX(הגדרות!$A$2:$A$21,MOD(I3269+הגדרות!$E$9,הגדרות!$E$6)+1))</f>
        <v/>
      </c>
    </row>
    <row r="3270" customFormat="false" ht="15" hidden="false" customHeight="false" outlineLevel="0" collapsed="false">
      <c r="A3270" s="0" t="str">
        <f aca="false">IF('הדבקת לידים'!A3270="","",IF(ISNUMBER('הדבקת לידים'!A3270),IF(הגדרות!$E$2&gt;0,TEXT('הדבקת לידים'!A3270,REPT("0",הגדרות!$E$2)),TEXT('הדבקת לידים'!A3270,"0")),TRIM('הדבקת לידים'!A3270)))</f>
        <v/>
      </c>
      <c r="B3270" s="0" t="str">
        <f aca="false">IF('הדבקת לידים'!B3270="","",IF(ISNUMBER('הדבקת לידים'!B3270),IF(הגדרות!$E$3&gt;0,TEXT('הדבקת לידים'!B3270,REPT("0",הגדרות!$E$3)),TEXT('הדבקת לידים'!B3270,"0")),TRIM('הדבקת לידים'!B3270)))</f>
        <v/>
      </c>
      <c r="C3270" s="0" t="n">
        <f aca="false">IF(OR(A3270&lt;&gt;"",B3270&lt;&gt;""),1,0)</f>
        <v>0</v>
      </c>
      <c r="D3270" s="0" t="str">
        <f aca="false">IF(C3270=1,MOD(ABS(SIN(ROW()*12.9898+'הדבקת לידים'!$F$2*78.233+IFERROR(--RIGHT(A3270,6),LEN(A3270))*0.0137+IFERROR(--RIGHT(B3270,6),LEN(B3270))*0.0071))*43758.5453,1),"")</f>
        <v/>
      </c>
      <c r="E3270" s="0" t="str">
        <f aca="false">IF(C3270=1,INT(MOD(ABS(SIN(D3270*7919.123+ROW()*0.618+'הדבקת לידים'!$F$2*1.3))*43758.5453,1)*1000000)*10000+ROW(),"")</f>
        <v/>
      </c>
      <c r="F3270" s="0" t="str">
        <f aca="false">IF(E3270="","",RANK(E3270,$E$2:$E$5001,1))</f>
        <v/>
      </c>
      <c r="G3270" s="0" t="n">
        <f aca="false">IF(A3270="",0,IF(SUMPRODUCT(--($A$2:$A$5001=A3270))&gt;1,1,0))</f>
        <v>0</v>
      </c>
      <c r="H3270" s="0" t="n">
        <f aca="false">ROW()-1</f>
        <v>3269</v>
      </c>
      <c r="I3270" s="0" t="str">
        <f aca="false">IF(OR(הגדרות!$E$6=0,H3270&gt;הגדרות!$E$5),"",IF(H3270-1&lt;הגדרות!$E$8*(הגדרות!$E$7+1),INT((H3270-1)/(הגדרות!$E$7+1)),הגדרות!$E$8+INT((H3270-1-הגדרות!$E$8*(הגדרות!$E$7+1))/הגדרות!$E$7)))</f>
        <v/>
      </c>
      <c r="J3270" s="0" t="str">
        <f aca="false">IF(I3270="","",IF(H3270-1&lt;הגדרות!$E$8*(הגדרות!$E$7+1),MOD(H3270-1,הגדרות!$E$7+1),MOD(H3270-1-הגדרות!$E$8*(הגדרות!$E$7+1),הגדרות!$E$7)))</f>
        <v/>
      </c>
      <c r="K3270" s="0" t="str">
        <f aca="false">IF(I3270="","",J3270*הגדרות!$E$6+I3270+1)</f>
        <v/>
      </c>
      <c r="L3270" s="0" t="str">
        <f aca="false">IF(K3270="","",MATCH(K3270,$F$2:$F$5001,0))</f>
        <v/>
      </c>
      <c r="M3270" s="0" t="str">
        <f aca="false">IF(I3270="","",INDEX(הגדרות!$A$2:$A$21,MOD(I3270+הגדרות!$E$9,הגדרות!$E$6)+1))</f>
        <v/>
      </c>
    </row>
    <row r="3271" customFormat="false" ht="15" hidden="false" customHeight="false" outlineLevel="0" collapsed="false">
      <c r="A3271" s="0" t="str">
        <f aca="false">IF('הדבקת לידים'!A3271="","",IF(ISNUMBER('הדבקת לידים'!A3271),IF(הגדרות!$E$2&gt;0,TEXT('הדבקת לידים'!A3271,REPT("0",הגדרות!$E$2)),TEXT('הדבקת לידים'!A3271,"0")),TRIM('הדבקת לידים'!A3271)))</f>
        <v/>
      </c>
      <c r="B3271" s="0" t="str">
        <f aca="false">IF('הדבקת לידים'!B3271="","",IF(ISNUMBER('הדבקת לידים'!B3271),IF(הגדרות!$E$3&gt;0,TEXT('הדבקת לידים'!B3271,REPT("0",הגדרות!$E$3)),TEXT('הדבקת לידים'!B3271,"0")),TRIM('הדבקת לידים'!B3271)))</f>
        <v/>
      </c>
      <c r="C3271" s="0" t="n">
        <f aca="false">IF(OR(A3271&lt;&gt;"",B3271&lt;&gt;""),1,0)</f>
        <v>0</v>
      </c>
      <c r="D3271" s="0" t="str">
        <f aca="false">IF(C3271=1,MOD(ABS(SIN(ROW()*12.9898+'הדבקת לידים'!$F$2*78.233+IFERROR(--RIGHT(A3271,6),LEN(A3271))*0.0137+IFERROR(--RIGHT(B3271,6),LEN(B3271))*0.0071))*43758.5453,1),"")</f>
        <v/>
      </c>
      <c r="E3271" s="0" t="str">
        <f aca="false">IF(C3271=1,INT(MOD(ABS(SIN(D3271*7919.123+ROW()*0.618+'הדבקת לידים'!$F$2*1.3))*43758.5453,1)*1000000)*10000+ROW(),"")</f>
        <v/>
      </c>
      <c r="F3271" s="0" t="str">
        <f aca="false">IF(E3271="","",RANK(E3271,$E$2:$E$5001,1))</f>
        <v/>
      </c>
      <c r="G3271" s="0" t="n">
        <f aca="false">IF(A3271="",0,IF(SUMPRODUCT(--($A$2:$A$5001=A3271))&gt;1,1,0))</f>
        <v>0</v>
      </c>
      <c r="H3271" s="0" t="n">
        <f aca="false">ROW()-1</f>
        <v>3270</v>
      </c>
      <c r="I3271" s="0" t="str">
        <f aca="false">IF(OR(הגדרות!$E$6=0,H3271&gt;הגדרות!$E$5),"",IF(H3271-1&lt;הגדרות!$E$8*(הגדרות!$E$7+1),INT((H3271-1)/(הגדרות!$E$7+1)),הגדרות!$E$8+INT((H3271-1-הגדרות!$E$8*(הגדרות!$E$7+1))/הגדרות!$E$7)))</f>
        <v/>
      </c>
      <c r="J3271" s="0" t="str">
        <f aca="false">IF(I3271="","",IF(H3271-1&lt;הגדרות!$E$8*(הגדרות!$E$7+1),MOD(H3271-1,הגדרות!$E$7+1),MOD(H3271-1-הגדרות!$E$8*(הגדרות!$E$7+1),הגדרות!$E$7)))</f>
        <v/>
      </c>
      <c r="K3271" s="0" t="str">
        <f aca="false">IF(I3271="","",J3271*הגדרות!$E$6+I3271+1)</f>
        <v/>
      </c>
      <c r="L3271" s="0" t="str">
        <f aca="false">IF(K3271="","",MATCH(K3271,$F$2:$F$5001,0))</f>
        <v/>
      </c>
      <c r="M3271" s="0" t="str">
        <f aca="false">IF(I3271="","",INDEX(הגדרות!$A$2:$A$21,MOD(I3271+הגדרות!$E$9,הגדרות!$E$6)+1))</f>
        <v/>
      </c>
    </row>
    <row r="3272" customFormat="false" ht="15" hidden="false" customHeight="false" outlineLevel="0" collapsed="false">
      <c r="A3272" s="0" t="str">
        <f aca="false">IF('הדבקת לידים'!A3272="","",IF(ISNUMBER('הדבקת לידים'!A3272),IF(הגדרות!$E$2&gt;0,TEXT('הדבקת לידים'!A3272,REPT("0",הגדרות!$E$2)),TEXT('הדבקת לידים'!A3272,"0")),TRIM('הדבקת לידים'!A3272)))</f>
        <v/>
      </c>
      <c r="B3272" s="0" t="str">
        <f aca="false">IF('הדבקת לידים'!B3272="","",IF(ISNUMBER('הדבקת לידים'!B3272),IF(הגדרות!$E$3&gt;0,TEXT('הדבקת לידים'!B3272,REPT("0",הגדרות!$E$3)),TEXT('הדבקת לידים'!B3272,"0")),TRIM('הדבקת לידים'!B3272)))</f>
        <v/>
      </c>
      <c r="C3272" s="0" t="n">
        <f aca="false">IF(OR(A3272&lt;&gt;"",B3272&lt;&gt;""),1,0)</f>
        <v>0</v>
      </c>
      <c r="D3272" s="0" t="str">
        <f aca="false">IF(C3272=1,MOD(ABS(SIN(ROW()*12.9898+'הדבקת לידים'!$F$2*78.233+IFERROR(--RIGHT(A3272,6),LEN(A3272))*0.0137+IFERROR(--RIGHT(B3272,6),LEN(B3272))*0.0071))*43758.5453,1),"")</f>
        <v/>
      </c>
      <c r="E3272" s="0" t="str">
        <f aca="false">IF(C3272=1,INT(MOD(ABS(SIN(D3272*7919.123+ROW()*0.618+'הדבקת לידים'!$F$2*1.3))*43758.5453,1)*1000000)*10000+ROW(),"")</f>
        <v/>
      </c>
      <c r="F3272" s="0" t="str">
        <f aca="false">IF(E3272="","",RANK(E3272,$E$2:$E$5001,1))</f>
        <v/>
      </c>
      <c r="G3272" s="0" t="n">
        <f aca="false">IF(A3272="",0,IF(SUMPRODUCT(--($A$2:$A$5001=A3272))&gt;1,1,0))</f>
        <v>0</v>
      </c>
      <c r="H3272" s="0" t="n">
        <f aca="false">ROW()-1</f>
        <v>3271</v>
      </c>
      <c r="I3272" s="0" t="str">
        <f aca="false">IF(OR(הגדרות!$E$6=0,H3272&gt;הגדרות!$E$5),"",IF(H3272-1&lt;הגדרות!$E$8*(הגדרות!$E$7+1),INT((H3272-1)/(הגדרות!$E$7+1)),הגדרות!$E$8+INT((H3272-1-הגדרות!$E$8*(הגדרות!$E$7+1))/הגדרות!$E$7)))</f>
        <v/>
      </c>
      <c r="J3272" s="0" t="str">
        <f aca="false">IF(I3272="","",IF(H3272-1&lt;הגדרות!$E$8*(הגדרות!$E$7+1),MOD(H3272-1,הגדרות!$E$7+1),MOD(H3272-1-הגדרות!$E$8*(הגדרות!$E$7+1),הגדרות!$E$7)))</f>
        <v/>
      </c>
      <c r="K3272" s="0" t="str">
        <f aca="false">IF(I3272="","",J3272*הגדרות!$E$6+I3272+1)</f>
        <v/>
      </c>
      <c r="L3272" s="0" t="str">
        <f aca="false">IF(K3272="","",MATCH(K3272,$F$2:$F$5001,0))</f>
        <v/>
      </c>
      <c r="M3272" s="0" t="str">
        <f aca="false">IF(I3272="","",INDEX(הגדרות!$A$2:$A$21,MOD(I3272+הגדרות!$E$9,הגדרות!$E$6)+1))</f>
        <v/>
      </c>
    </row>
    <row r="3273" customFormat="false" ht="15" hidden="false" customHeight="false" outlineLevel="0" collapsed="false">
      <c r="A3273" s="0" t="str">
        <f aca="false">IF('הדבקת לידים'!A3273="","",IF(ISNUMBER('הדבקת לידים'!A3273),IF(הגדרות!$E$2&gt;0,TEXT('הדבקת לידים'!A3273,REPT("0",הגדרות!$E$2)),TEXT('הדבקת לידים'!A3273,"0")),TRIM('הדבקת לידים'!A3273)))</f>
        <v/>
      </c>
      <c r="B3273" s="0" t="str">
        <f aca="false">IF('הדבקת לידים'!B3273="","",IF(ISNUMBER('הדבקת לידים'!B3273),IF(הגדרות!$E$3&gt;0,TEXT('הדבקת לידים'!B3273,REPT("0",הגדרות!$E$3)),TEXT('הדבקת לידים'!B3273,"0")),TRIM('הדבקת לידים'!B3273)))</f>
        <v/>
      </c>
      <c r="C3273" s="0" t="n">
        <f aca="false">IF(OR(A3273&lt;&gt;"",B3273&lt;&gt;""),1,0)</f>
        <v>0</v>
      </c>
      <c r="D3273" s="0" t="str">
        <f aca="false">IF(C3273=1,MOD(ABS(SIN(ROW()*12.9898+'הדבקת לידים'!$F$2*78.233+IFERROR(--RIGHT(A3273,6),LEN(A3273))*0.0137+IFERROR(--RIGHT(B3273,6),LEN(B3273))*0.0071))*43758.5453,1),"")</f>
        <v/>
      </c>
      <c r="E3273" s="0" t="str">
        <f aca="false">IF(C3273=1,INT(MOD(ABS(SIN(D3273*7919.123+ROW()*0.618+'הדבקת לידים'!$F$2*1.3))*43758.5453,1)*1000000)*10000+ROW(),"")</f>
        <v/>
      </c>
      <c r="F3273" s="0" t="str">
        <f aca="false">IF(E3273="","",RANK(E3273,$E$2:$E$5001,1))</f>
        <v/>
      </c>
      <c r="G3273" s="0" t="n">
        <f aca="false">IF(A3273="",0,IF(SUMPRODUCT(--($A$2:$A$5001=A3273))&gt;1,1,0))</f>
        <v>0</v>
      </c>
      <c r="H3273" s="0" t="n">
        <f aca="false">ROW()-1</f>
        <v>3272</v>
      </c>
      <c r="I3273" s="0" t="str">
        <f aca="false">IF(OR(הגדרות!$E$6=0,H3273&gt;הגדרות!$E$5),"",IF(H3273-1&lt;הגדרות!$E$8*(הגדרות!$E$7+1),INT((H3273-1)/(הגדרות!$E$7+1)),הגדרות!$E$8+INT((H3273-1-הגדרות!$E$8*(הגדרות!$E$7+1))/הגדרות!$E$7)))</f>
        <v/>
      </c>
      <c r="J3273" s="0" t="str">
        <f aca="false">IF(I3273="","",IF(H3273-1&lt;הגדרות!$E$8*(הגדרות!$E$7+1),MOD(H3273-1,הגדרות!$E$7+1),MOD(H3273-1-הגדרות!$E$8*(הגדרות!$E$7+1),הגדרות!$E$7)))</f>
        <v/>
      </c>
      <c r="K3273" s="0" t="str">
        <f aca="false">IF(I3273="","",J3273*הגדרות!$E$6+I3273+1)</f>
        <v/>
      </c>
      <c r="L3273" s="0" t="str">
        <f aca="false">IF(K3273="","",MATCH(K3273,$F$2:$F$5001,0))</f>
        <v/>
      </c>
      <c r="M3273" s="0" t="str">
        <f aca="false">IF(I3273="","",INDEX(הגדרות!$A$2:$A$21,MOD(I3273+הגדרות!$E$9,הגדרות!$E$6)+1))</f>
        <v/>
      </c>
    </row>
    <row r="3274" customFormat="false" ht="15" hidden="false" customHeight="false" outlineLevel="0" collapsed="false">
      <c r="A3274" s="0" t="str">
        <f aca="false">IF('הדבקת לידים'!A3274="","",IF(ISNUMBER('הדבקת לידים'!A3274),IF(הגדרות!$E$2&gt;0,TEXT('הדבקת לידים'!A3274,REPT("0",הגדרות!$E$2)),TEXT('הדבקת לידים'!A3274,"0")),TRIM('הדבקת לידים'!A3274)))</f>
        <v/>
      </c>
      <c r="B3274" s="0" t="str">
        <f aca="false">IF('הדבקת לידים'!B3274="","",IF(ISNUMBER('הדבקת לידים'!B3274),IF(הגדרות!$E$3&gt;0,TEXT('הדבקת לידים'!B3274,REPT("0",הגדרות!$E$3)),TEXT('הדבקת לידים'!B3274,"0")),TRIM('הדבקת לידים'!B3274)))</f>
        <v/>
      </c>
      <c r="C3274" s="0" t="n">
        <f aca="false">IF(OR(A3274&lt;&gt;"",B3274&lt;&gt;""),1,0)</f>
        <v>0</v>
      </c>
      <c r="D3274" s="0" t="str">
        <f aca="false">IF(C3274=1,MOD(ABS(SIN(ROW()*12.9898+'הדבקת לידים'!$F$2*78.233+IFERROR(--RIGHT(A3274,6),LEN(A3274))*0.0137+IFERROR(--RIGHT(B3274,6),LEN(B3274))*0.0071))*43758.5453,1),"")</f>
        <v/>
      </c>
      <c r="E3274" s="0" t="str">
        <f aca="false">IF(C3274=1,INT(MOD(ABS(SIN(D3274*7919.123+ROW()*0.618+'הדבקת לידים'!$F$2*1.3))*43758.5453,1)*1000000)*10000+ROW(),"")</f>
        <v/>
      </c>
      <c r="F3274" s="0" t="str">
        <f aca="false">IF(E3274="","",RANK(E3274,$E$2:$E$5001,1))</f>
        <v/>
      </c>
      <c r="G3274" s="0" t="n">
        <f aca="false">IF(A3274="",0,IF(SUMPRODUCT(--($A$2:$A$5001=A3274))&gt;1,1,0))</f>
        <v>0</v>
      </c>
      <c r="H3274" s="0" t="n">
        <f aca="false">ROW()-1</f>
        <v>3273</v>
      </c>
      <c r="I3274" s="0" t="str">
        <f aca="false">IF(OR(הגדרות!$E$6=0,H3274&gt;הגדרות!$E$5),"",IF(H3274-1&lt;הגדרות!$E$8*(הגדרות!$E$7+1),INT((H3274-1)/(הגדרות!$E$7+1)),הגדרות!$E$8+INT((H3274-1-הגדרות!$E$8*(הגדרות!$E$7+1))/הגדרות!$E$7)))</f>
        <v/>
      </c>
      <c r="J3274" s="0" t="str">
        <f aca="false">IF(I3274="","",IF(H3274-1&lt;הגדרות!$E$8*(הגדרות!$E$7+1),MOD(H3274-1,הגדרות!$E$7+1),MOD(H3274-1-הגדרות!$E$8*(הגדרות!$E$7+1),הגדרות!$E$7)))</f>
        <v/>
      </c>
      <c r="K3274" s="0" t="str">
        <f aca="false">IF(I3274="","",J3274*הגדרות!$E$6+I3274+1)</f>
        <v/>
      </c>
      <c r="L3274" s="0" t="str">
        <f aca="false">IF(K3274="","",MATCH(K3274,$F$2:$F$5001,0))</f>
        <v/>
      </c>
      <c r="M3274" s="0" t="str">
        <f aca="false">IF(I3274="","",INDEX(הגדרות!$A$2:$A$21,MOD(I3274+הגדרות!$E$9,הגדרות!$E$6)+1))</f>
        <v/>
      </c>
    </row>
    <row r="3275" customFormat="false" ht="15" hidden="false" customHeight="false" outlineLevel="0" collapsed="false">
      <c r="A3275" s="0" t="str">
        <f aca="false">IF('הדבקת לידים'!A3275="","",IF(ISNUMBER('הדבקת לידים'!A3275),IF(הגדרות!$E$2&gt;0,TEXT('הדבקת לידים'!A3275,REPT("0",הגדרות!$E$2)),TEXT('הדבקת לידים'!A3275,"0")),TRIM('הדבקת לידים'!A3275)))</f>
        <v/>
      </c>
      <c r="B3275" s="0" t="str">
        <f aca="false">IF('הדבקת לידים'!B3275="","",IF(ISNUMBER('הדבקת לידים'!B3275),IF(הגדרות!$E$3&gt;0,TEXT('הדבקת לידים'!B3275,REPT("0",הגדרות!$E$3)),TEXT('הדבקת לידים'!B3275,"0")),TRIM('הדבקת לידים'!B3275)))</f>
        <v/>
      </c>
      <c r="C3275" s="0" t="n">
        <f aca="false">IF(OR(A3275&lt;&gt;"",B3275&lt;&gt;""),1,0)</f>
        <v>0</v>
      </c>
      <c r="D3275" s="0" t="str">
        <f aca="false">IF(C3275=1,MOD(ABS(SIN(ROW()*12.9898+'הדבקת לידים'!$F$2*78.233+IFERROR(--RIGHT(A3275,6),LEN(A3275))*0.0137+IFERROR(--RIGHT(B3275,6),LEN(B3275))*0.0071))*43758.5453,1),"")</f>
        <v/>
      </c>
      <c r="E3275" s="0" t="str">
        <f aca="false">IF(C3275=1,INT(MOD(ABS(SIN(D3275*7919.123+ROW()*0.618+'הדבקת לידים'!$F$2*1.3))*43758.5453,1)*1000000)*10000+ROW(),"")</f>
        <v/>
      </c>
      <c r="F3275" s="0" t="str">
        <f aca="false">IF(E3275="","",RANK(E3275,$E$2:$E$5001,1))</f>
        <v/>
      </c>
      <c r="G3275" s="0" t="n">
        <f aca="false">IF(A3275="",0,IF(SUMPRODUCT(--($A$2:$A$5001=A3275))&gt;1,1,0))</f>
        <v>0</v>
      </c>
      <c r="H3275" s="0" t="n">
        <f aca="false">ROW()-1</f>
        <v>3274</v>
      </c>
      <c r="I3275" s="0" t="str">
        <f aca="false">IF(OR(הגדרות!$E$6=0,H3275&gt;הגדרות!$E$5),"",IF(H3275-1&lt;הגדרות!$E$8*(הגדרות!$E$7+1),INT((H3275-1)/(הגדרות!$E$7+1)),הגדרות!$E$8+INT((H3275-1-הגדרות!$E$8*(הגדרות!$E$7+1))/הגדרות!$E$7)))</f>
        <v/>
      </c>
      <c r="J3275" s="0" t="str">
        <f aca="false">IF(I3275="","",IF(H3275-1&lt;הגדרות!$E$8*(הגדרות!$E$7+1),MOD(H3275-1,הגדרות!$E$7+1),MOD(H3275-1-הגדרות!$E$8*(הגדרות!$E$7+1),הגדרות!$E$7)))</f>
        <v/>
      </c>
      <c r="K3275" s="0" t="str">
        <f aca="false">IF(I3275="","",J3275*הגדרות!$E$6+I3275+1)</f>
        <v/>
      </c>
      <c r="L3275" s="0" t="str">
        <f aca="false">IF(K3275="","",MATCH(K3275,$F$2:$F$5001,0))</f>
        <v/>
      </c>
      <c r="M3275" s="0" t="str">
        <f aca="false">IF(I3275="","",INDEX(הגדרות!$A$2:$A$21,MOD(I3275+הגדרות!$E$9,הגדרות!$E$6)+1))</f>
        <v/>
      </c>
    </row>
    <row r="3276" customFormat="false" ht="15" hidden="false" customHeight="false" outlineLevel="0" collapsed="false">
      <c r="A3276" s="0" t="str">
        <f aca="false">IF('הדבקת לידים'!A3276="","",IF(ISNUMBER('הדבקת לידים'!A3276),IF(הגדרות!$E$2&gt;0,TEXT('הדבקת לידים'!A3276,REPT("0",הגדרות!$E$2)),TEXT('הדבקת לידים'!A3276,"0")),TRIM('הדבקת לידים'!A3276)))</f>
        <v/>
      </c>
      <c r="B3276" s="0" t="str">
        <f aca="false">IF('הדבקת לידים'!B3276="","",IF(ISNUMBER('הדבקת לידים'!B3276),IF(הגדרות!$E$3&gt;0,TEXT('הדבקת לידים'!B3276,REPT("0",הגדרות!$E$3)),TEXT('הדבקת לידים'!B3276,"0")),TRIM('הדבקת לידים'!B3276)))</f>
        <v/>
      </c>
      <c r="C3276" s="0" t="n">
        <f aca="false">IF(OR(A3276&lt;&gt;"",B3276&lt;&gt;""),1,0)</f>
        <v>0</v>
      </c>
      <c r="D3276" s="0" t="str">
        <f aca="false">IF(C3276=1,MOD(ABS(SIN(ROW()*12.9898+'הדבקת לידים'!$F$2*78.233+IFERROR(--RIGHT(A3276,6),LEN(A3276))*0.0137+IFERROR(--RIGHT(B3276,6),LEN(B3276))*0.0071))*43758.5453,1),"")</f>
        <v/>
      </c>
      <c r="E3276" s="0" t="str">
        <f aca="false">IF(C3276=1,INT(MOD(ABS(SIN(D3276*7919.123+ROW()*0.618+'הדבקת לידים'!$F$2*1.3))*43758.5453,1)*1000000)*10000+ROW(),"")</f>
        <v/>
      </c>
      <c r="F3276" s="0" t="str">
        <f aca="false">IF(E3276="","",RANK(E3276,$E$2:$E$5001,1))</f>
        <v/>
      </c>
      <c r="G3276" s="0" t="n">
        <f aca="false">IF(A3276="",0,IF(SUMPRODUCT(--($A$2:$A$5001=A3276))&gt;1,1,0))</f>
        <v>0</v>
      </c>
      <c r="H3276" s="0" t="n">
        <f aca="false">ROW()-1</f>
        <v>3275</v>
      </c>
      <c r="I3276" s="0" t="str">
        <f aca="false">IF(OR(הגדרות!$E$6=0,H3276&gt;הגדרות!$E$5),"",IF(H3276-1&lt;הגדרות!$E$8*(הגדרות!$E$7+1),INT((H3276-1)/(הגדרות!$E$7+1)),הגדרות!$E$8+INT((H3276-1-הגדרות!$E$8*(הגדרות!$E$7+1))/הגדרות!$E$7)))</f>
        <v/>
      </c>
      <c r="J3276" s="0" t="str">
        <f aca="false">IF(I3276="","",IF(H3276-1&lt;הגדרות!$E$8*(הגדרות!$E$7+1),MOD(H3276-1,הגדרות!$E$7+1),MOD(H3276-1-הגדרות!$E$8*(הגדרות!$E$7+1),הגדרות!$E$7)))</f>
        <v/>
      </c>
      <c r="K3276" s="0" t="str">
        <f aca="false">IF(I3276="","",J3276*הגדרות!$E$6+I3276+1)</f>
        <v/>
      </c>
      <c r="L3276" s="0" t="str">
        <f aca="false">IF(K3276="","",MATCH(K3276,$F$2:$F$5001,0))</f>
        <v/>
      </c>
      <c r="M3276" s="0" t="str">
        <f aca="false">IF(I3276="","",INDEX(הגדרות!$A$2:$A$21,MOD(I3276+הגדרות!$E$9,הגדרות!$E$6)+1))</f>
        <v/>
      </c>
    </row>
    <row r="3277" customFormat="false" ht="15" hidden="false" customHeight="false" outlineLevel="0" collapsed="false">
      <c r="A3277" s="0" t="str">
        <f aca="false">IF('הדבקת לידים'!A3277="","",IF(ISNUMBER('הדבקת לידים'!A3277),IF(הגדרות!$E$2&gt;0,TEXT('הדבקת לידים'!A3277,REPT("0",הגדרות!$E$2)),TEXT('הדבקת לידים'!A3277,"0")),TRIM('הדבקת לידים'!A3277)))</f>
        <v/>
      </c>
      <c r="B3277" s="0" t="str">
        <f aca="false">IF('הדבקת לידים'!B3277="","",IF(ISNUMBER('הדבקת לידים'!B3277),IF(הגדרות!$E$3&gt;0,TEXT('הדבקת לידים'!B3277,REPT("0",הגדרות!$E$3)),TEXT('הדבקת לידים'!B3277,"0")),TRIM('הדבקת לידים'!B3277)))</f>
        <v/>
      </c>
      <c r="C3277" s="0" t="n">
        <f aca="false">IF(OR(A3277&lt;&gt;"",B3277&lt;&gt;""),1,0)</f>
        <v>0</v>
      </c>
      <c r="D3277" s="0" t="str">
        <f aca="false">IF(C3277=1,MOD(ABS(SIN(ROW()*12.9898+'הדבקת לידים'!$F$2*78.233+IFERROR(--RIGHT(A3277,6),LEN(A3277))*0.0137+IFERROR(--RIGHT(B3277,6),LEN(B3277))*0.0071))*43758.5453,1),"")</f>
        <v/>
      </c>
      <c r="E3277" s="0" t="str">
        <f aca="false">IF(C3277=1,INT(MOD(ABS(SIN(D3277*7919.123+ROW()*0.618+'הדבקת לידים'!$F$2*1.3))*43758.5453,1)*1000000)*10000+ROW(),"")</f>
        <v/>
      </c>
      <c r="F3277" s="0" t="str">
        <f aca="false">IF(E3277="","",RANK(E3277,$E$2:$E$5001,1))</f>
        <v/>
      </c>
      <c r="G3277" s="0" t="n">
        <f aca="false">IF(A3277="",0,IF(SUMPRODUCT(--($A$2:$A$5001=A3277))&gt;1,1,0))</f>
        <v>0</v>
      </c>
      <c r="H3277" s="0" t="n">
        <f aca="false">ROW()-1</f>
        <v>3276</v>
      </c>
      <c r="I3277" s="0" t="str">
        <f aca="false">IF(OR(הגדרות!$E$6=0,H3277&gt;הגדרות!$E$5),"",IF(H3277-1&lt;הגדרות!$E$8*(הגדרות!$E$7+1),INT((H3277-1)/(הגדרות!$E$7+1)),הגדרות!$E$8+INT((H3277-1-הגדרות!$E$8*(הגדרות!$E$7+1))/הגדרות!$E$7)))</f>
        <v/>
      </c>
      <c r="J3277" s="0" t="str">
        <f aca="false">IF(I3277="","",IF(H3277-1&lt;הגדרות!$E$8*(הגדרות!$E$7+1),MOD(H3277-1,הגדרות!$E$7+1),MOD(H3277-1-הגדרות!$E$8*(הגדרות!$E$7+1),הגדרות!$E$7)))</f>
        <v/>
      </c>
      <c r="K3277" s="0" t="str">
        <f aca="false">IF(I3277="","",J3277*הגדרות!$E$6+I3277+1)</f>
        <v/>
      </c>
      <c r="L3277" s="0" t="str">
        <f aca="false">IF(K3277="","",MATCH(K3277,$F$2:$F$5001,0))</f>
        <v/>
      </c>
      <c r="M3277" s="0" t="str">
        <f aca="false">IF(I3277="","",INDEX(הגדרות!$A$2:$A$21,MOD(I3277+הגדרות!$E$9,הגדרות!$E$6)+1))</f>
        <v/>
      </c>
    </row>
    <row r="3278" customFormat="false" ht="15" hidden="false" customHeight="false" outlineLevel="0" collapsed="false">
      <c r="A3278" s="0" t="str">
        <f aca="false">IF('הדבקת לידים'!A3278="","",IF(ISNUMBER('הדבקת לידים'!A3278),IF(הגדרות!$E$2&gt;0,TEXT('הדבקת לידים'!A3278,REPT("0",הגדרות!$E$2)),TEXT('הדבקת לידים'!A3278,"0")),TRIM('הדבקת לידים'!A3278)))</f>
        <v/>
      </c>
      <c r="B3278" s="0" t="str">
        <f aca="false">IF('הדבקת לידים'!B3278="","",IF(ISNUMBER('הדבקת לידים'!B3278),IF(הגדרות!$E$3&gt;0,TEXT('הדבקת לידים'!B3278,REPT("0",הגדרות!$E$3)),TEXT('הדבקת לידים'!B3278,"0")),TRIM('הדבקת לידים'!B3278)))</f>
        <v/>
      </c>
      <c r="C3278" s="0" t="n">
        <f aca="false">IF(OR(A3278&lt;&gt;"",B3278&lt;&gt;""),1,0)</f>
        <v>0</v>
      </c>
      <c r="D3278" s="0" t="str">
        <f aca="false">IF(C3278=1,MOD(ABS(SIN(ROW()*12.9898+'הדבקת לידים'!$F$2*78.233+IFERROR(--RIGHT(A3278,6),LEN(A3278))*0.0137+IFERROR(--RIGHT(B3278,6),LEN(B3278))*0.0071))*43758.5453,1),"")</f>
        <v/>
      </c>
      <c r="E3278" s="0" t="str">
        <f aca="false">IF(C3278=1,INT(MOD(ABS(SIN(D3278*7919.123+ROW()*0.618+'הדבקת לידים'!$F$2*1.3))*43758.5453,1)*1000000)*10000+ROW(),"")</f>
        <v/>
      </c>
      <c r="F3278" s="0" t="str">
        <f aca="false">IF(E3278="","",RANK(E3278,$E$2:$E$5001,1))</f>
        <v/>
      </c>
      <c r="G3278" s="0" t="n">
        <f aca="false">IF(A3278="",0,IF(SUMPRODUCT(--($A$2:$A$5001=A3278))&gt;1,1,0))</f>
        <v>0</v>
      </c>
      <c r="H3278" s="0" t="n">
        <f aca="false">ROW()-1</f>
        <v>3277</v>
      </c>
      <c r="I3278" s="0" t="str">
        <f aca="false">IF(OR(הגדרות!$E$6=0,H3278&gt;הגדרות!$E$5),"",IF(H3278-1&lt;הגדרות!$E$8*(הגדרות!$E$7+1),INT((H3278-1)/(הגדרות!$E$7+1)),הגדרות!$E$8+INT((H3278-1-הגדרות!$E$8*(הגדרות!$E$7+1))/הגדרות!$E$7)))</f>
        <v/>
      </c>
      <c r="J3278" s="0" t="str">
        <f aca="false">IF(I3278="","",IF(H3278-1&lt;הגדרות!$E$8*(הגדרות!$E$7+1),MOD(H3278-1,הגדרות!$E$7+1),MOD(H3278-1-הגדרות!$E$8*(הגדרות!$E$7+1),הגדרות!$E$7)))</f>
        <v/>
      </c>
      <c r="K3278" s="0" t="str">
        <f aca="false">IF(I3278="","",J3278*הגדרות!$E$6+I3278+1)</f>
        <v/>
      </c>
      <c r="L3278" s="0" t="str">
        <f aca="false">IF(K3278="","",MATCH(K3278,$F$2:$F$5001,0))</f>
        <v/>
      </c>
      <c r="M3278" s="0" t="str">
        <f aca="false">IF(I3278="","",INDEX(הגדרות!$A$2:$A$21,MOD(I3278+הגדרות!$E$9,הגדרות!$E$6)+1))</f>
        <v/>
      </c>
    </row>
    <row r="3279" customFormat="false" ht="15" hidden="false" customHeight="false" outlineLevel="0" collapsed="false">
      <c r="A3279" s="0" t="str">
        <f aca="false">IF('הדבקת לידים'!A3279="","",IF(ISNUMBER('הדבקת לידים'!A3279),IF(הגדרות!$E$2&gt;0,TEXT('הדבקת לידים'!A3279,REPT("0",הגדרות!$E$2)),TEXT('הדבקת לידים'!A3279,"0")),TRIM('הדבקת לידים'!A3279)))</f>
        <v/>
      </c>
      <c r="B3279" s="0" t="str">
        <f aca="false">IF('הדבקת לידים'!B3279="","",IF(ISNUMBER('הדבקת לידים'!B3279),IF(הגדרות!$E$3&gt;0,TEXT('הדבקת לידים'!B3279,REPT("0",הגדרות!$E$3)),TEXT('הדבקת לידים'!B3279,"0")),TRIM('הדבקת לידים'!B3279)))</f>
        <v/>
      </c>
      <c r="C3279" s="0" t="n">
        <f aca="false">IF(OR(A3279&lt;&gt;"",B3279&lt;&gt;""),1,0)</f>
        <v>0</v>
      </c>
      <c r="D3279" s="0" t="str">
        <f aca="false">IF(C3279=1,MOD(ABS(SIN(ROW()*12.9898+'הדבקת לידים'!$F$2*78.233+IFERROR(--RIGHT(A3279,6),LEN(A3279))*0.0137+IFERROR(--RIGHT(B3279,6),LEN(B3279))*0.0071))*43758.5453,1),"")</f>
        <v/>
      </c>
      <c r="E3279" s="0" t="str">
        <f aca="false">IF(C3279=1,INT(MOD(ABS(SIN(D3279*7919.123+ROW()*0.618+'הדבקת לידים'!$F$2*1.3))*43758.5453,1)*1000000)*10000+ROW(),"")</f>
        <v/>
      </c>
      <c r="F3279" s="0" t="str">
        <f aca="false">IF(E3279="","",RANK(E3279,$E$2:$E$5001,1))</f>
        <v/>
      </c>
      <c r="G3279" s="0" t="n">
        <f aca="false">IF(A3279="",0,IF(SUMPRODUCT(--($A$2:$A$5001=A3279))&gt;1,1,0))</f>
        <v>0</v>
      </c>
      <c r="H3279" s="0" t="n">
        <f aca="false">ROW()-1</f>
        <v>3278</v>
      </c>
      <c r="I3279" s="0" t="str">
        <f aca="false">IF(OR(הגדרות!$E$6=0,H3279&gt;הגדרות!$E$5),"",IF(H3279-1&lt;הגדרות!$E$8*(הגדרות!$E$7+1),INT((H3279-1)/(הגדרות!$E$7+1)),הגדרות!$E$8+INT((H3279-1-הגדרות!$E$8*(הגדרות!$E$7+1))/הגדרות!$E$7)))</f>
        <v/>
      </c>
      <c r="J3279" s="0" t="str">
        <f aca="false">IF(I3279="","",IF(H3279-1&lt;הגדרות!$E$8*(הגדרות!$E$7+1),MOD(H3279-1,הגדרות!$E$7+1),MOD(H3279-1-הגדרות!$E$8*(הגדרות!$E$7+1),הגדרות!$E$7)))</f>
        <v/>
      </c>
      <c r="K3279" s="0" t="str">
        <f aca="false">IF(I3279="","",J3279*הגדרות!$E$6+I3279+1)</f>
        <v/>
      </c>
      <c r="L3279" s="0" t="str">
        <f aca="false">IF(K3279="","",MATCH(K3279,$F$2:$F$5001,0))</f>
        <v/>
      </c>
      <c r="M3279" s="0" t="str">
        <f aca="false">IF(I3279="","",INDEX(הגדרות!$A$2:$A$21,MOD(I3279+הגדרות!$E$9,הגדרות!$E$6)+1))</f>
        <v/>
      </c>
    </row>
    <row r="3280" customFormat="false" ht="15" hidden="false" customHeight="false" outlineLevel="0" collapsed="false">
      <c r="A3280" s="0" t="str">
        <f aca="false">IF('הדבקת לידים'!A3280="","",IF(ISNUMBER('הדבקת לידים'!A3280),IF(הגדרות!$E$2&gt;0,TEXT('הדבקת לידים'!A3280,REPT("0",הגדרות!$E$2)),TEXT('הדבקת לידים'!A3280,"0")),TRIM('הדבקת לידים'!A3280)))</f>
        <v/>
      </c>
      <c r="B3280" s="0" t="str">
        <f aca="false">IF('הדבקת לידים'!B3280="","",IF(ISNUMBER('הדבקת לידים'!B3280),IF(הגדרות!$E$3&gt;0,TEXT('הדבקת לידים'!B3280,REPT("0",הגדרות!$E$3)),TEXT('הדבקת לידים'!B3280,"0")),TRIM('הדבקת לידים'!B3280)))</f>
        <v/>
      </c>
      <c r="C3280" s="0" t="n">
        <f aca="false">IF(OR(A3280&lt;&gt;"",B3280&lt;&gt;""),1,0)</f>
        <v>0</v>
      </c>
      <c r="D3280" s="0" t="str">
        <f aca="false">IF(C3280=1,MOD(ABS(SIN(ROW()*12.9898+'הדבקת לידים'!$F$2*78.233+IFERROR(--RIGHT(A3280,6),LEN(A3280))*0.0137+IFERROR(--RIGHT(B3280,6),LEN(B3280))*0.0071))*43758.5453,1),"")</f>
        <v/>
      </c>
      <c r="E3280" s="0" t="str">
        <f aca="false">IF(C3280=1,INT(MOD(ABS(SIN(D3280*7919.123+ROW()*0.618+'הדבקת לידים'!$F$2*1.3))*43758.5453,1)*1000000)*10000+ROW(),"")</f>
        <v/>
      </c>
      <c r="F3280" s="0" t="str">
        <f aca="false">IF(E3280="","",RANK(E3280,$E$2:$E$5001,1))</f>
        <v/>
      </c>
      <c r="G3280" s="0" t="n">
        <f aca="false">IF(A3280="",0,IF(SUMPRODUCT(--($A$2:$A$5001=A3280))&gt;1,1,0))</f>
        <v>0</v>
      </c>
      <c r="H3280" s="0" t="n">
        <f aca="false">ROW()-1</f>
        <v>3279</v>
      </c>
      <c r="I3280" s="0" t="str">
        <f aca="false">IF(OR(הגדרות!$E$6=0,H3280&gt;הגדרות!$E$5),"",IF(H3280-1&lt;הגדרות!$E$8*(הגדרות!$E$7+1),INT((H3280-1)/(הגדרות!$E$7+1)),הגדרות!$E$8+INT((H3280-1-הגדרות!$E$8*(הגדרות!$E$7+1))/הגדרות!$E$7)))</f>
        <v/>
      </c>
      <c r="J3280" s="0" t="str">
        <f aca="false">IF(I3280="","",IF(H3280-1&lt;הגדרות!$E$8*(הגדרות!$E$7+1),MOD(H3280-1,הגדרות!$E$7+1),MOD(H3280-1-הגדרות!$E$8*(הגדרות!$E$7+1),הגדרות!$E$7)))</f>
        <v/>
      </c>
      <c r="K3280" s="0" t="str">
        <f aca="false">IF(I3280="","",J3280*הגדרות!$E$6+I3280+1)</f>
        <v/>
      </c>
      <c r="L3280" s="0" t="str">
        <f aca="false">IF(K3280="","",MATCH(K3280,$F$2:$F$5001,0))</f>
        <v/>
      </c>
      <c r="M3280" s="0" t="str">
        <f aca="false">IF(I3280="","",INDEX(הגדרות!$A$2:$A$21,MOD(I3280+הגדרות!$E$9,הגדרות!$E$6)+1))</f>
        <v/>
      </c>
    </row>
    <row r="3281" customFormat="false" ht="15" hidden="false" customHeight="false" outlineLevel="0" collapsed="false">
      <c r="A3281" s="0" t="str">
        <f aca="false">IF('הדבקת לידים'!A3281="","",IF(ISNUMBER('הדבקת לידים'!A3281),IF(הגדרות!$E$2&gt;0,TEXT('הדבקת לידים'!A3281,REPT("0",הגדרות!$E$2)),TEXT('הדבקת לידים'!A3281,"0")),TRIM('הדבקת לידים'!A3281)))</f>
        <v/>
      </c>
      <c r="B3281" s="0" t="str">
        <f aca="false">IF('הדבקת לידים'!B3281="","",IF(ISNUMBER('הדבקת לידים'!B3281),IF(הגדרות!$E$3&gt;0,TEXT('הדבקת לידים'!B3281,REPT("0",הגדרות!$E$3)),TEXT('הדבקת לידים'!B3281,"0")),TRIM('הדבקת לידים'!B3281)))</f>
        <v/>
      </c>
      <c r="C3281" s="0" t="n">
        <f aca="false">IF(OR(A3281&lt;&gt;"",B3281&lt;&gt;""),1,0)</f>
        <v>0</v>
      </c>
      <c r="D3281" s="0" t="str">
        <f aca="false">IF(C3281=1,MOD(ABS(SIN(ROW()*12.9898+'הדבקת לידים'!$F$2*78.233+IFERROR(--RIGHT(A3281,6),LEN(A3281))*0.0137+IFERROR(--RIGHT(B3281,6),LEN(B3281))*0.0071))*43758.5453,1),"")</f>
        <v/>
      </c>
      <c r="E3281" s="0" t="str">
        <f aca="false">IF(C3281=1,INT(MOD(ABS(SIN(D3281*7919.123+ROW()*0.618+'הדבקת לידים'!$F$2*1.3))*43758.5453,1)*1000000)*10000+ROW(),"")</f>
        <v/>
      </c>
      <c r="F3281" s="0" t="str">
        <f aca="false">IF(E3281="","",RANK(E3281,$E$2:$E$5001,1))</f>
        <v/>
      </c>
      <c r="G3281" s="0" t="n">
        <f aca="false">IF(A3281="",0,IF(SUMPRODUCT(--($A$2:$A$5001=A3281))&gt;1,1,0))</f>
        <v>0</v>
      </c>
      <c r="H3281" s="0" t="n">
        <f aca="false">ROW()-1</f>
        <v>3280</v>
      </c>
      <c r="I3281" s="0" t="str">
        <f aca="false">IF(OR(הגדרות!$E$6=0,H3281&gt;הגדרות!$E$5),"",IF(H3281-1&lt;הגדרות!$E$8*(הגדרות!$E$7+1),INT((H3281-1)/(הגדרות!$E$7+1)),הגדרות!$E$8+INT((H3281-1-הגדרות!$E$8*(הגדרות!$E$7+1))/הגדרות!$E$7)))</f>
        <v/>
      </c>
      <c r="J3281" s="0" t="str">
        <f aca="false">IF(I3281="","",IF(H3281-1&lt;הגדרות!$E$8*(הגדרות!$E$7+1),MOD(H3281-1,הגדרות!$E$7+1),MOD(H3281-1-הגדרות!$E$8*(הגדרות!$E$7+1),הגדרות!$E$7)))</f>
        <v/>
      </c>
      <c r="K3281" s="0" t="str">
        <f aca="false">IF(I3281="","",J3281*הגדרות!$E$6+I3281+1)</f>
        <v/>
      </c>
      <c r="L3281" s="0" t="str">
        <f aca="false">IF(K3281="","",MATCH(K3281,$F$2:$F$5001,0))</f>
        <v/>
      </c>
      <c r="M3281" s="0" t="str">
        <f aca="false">IF(I3281="","",INDEX(הגדרות!$A$2:$A$21,MOD(I3281+הגדרות!$E$9,הגדרות!$E$6)+1))</f>
        <v/>
      </c>
    </row>
    <row r="3282" customFormat="false" ht="15" hidden="false" customHeight="false" outlineLevel="0" collapsed="false">
      <c r="A3282" s="0" t="str">
        <f aca="false">IF('הדבקת לידים'!A3282="","",IF(ISNUMBER('הדבקת לידים'!A3282),IF(הגדרות!$E$2&gt;0,TEXT('הדבקת לידים'!A3282,REPT("0",הגדרות!$E$2)),TEXT('הדבקת לידים'!A3282,"0")),TRIM('הדבקת לידים'!A3282)))</f>
        <v/>
      </c>
      <c r="B3282" s="0" t="str">
        <f aca="false">IF('הדבקת לידים'!B3282="","",IF(ISNUMBER('הדבקת לידים'!B3282),IF(הגדרות!$E$3&gt;0,TEXT('הדבקת לידים'!B3282,REPT("0",הגדרות!$E$3)),TEXT('הדבקת לידים'!B3282,"0")),TRIM('הדבקת לידים'!B3282)))</f>
        <v/>
      </c>
      <c r="C3282" s="0" t="n">
        <f aca="false">IF(OR(A3282&lt;&gt;"",B3282&lt;&gt;""),1,0)</f>
        <v>0</v>
      </c>
      <c r="D3282" s="0" t="str">
        <f aca="false">IF(C3282=1,MOD(ABS(SIN(ROW()*12.9898+'הדבקת לידים'!$F$2*78.233+IFERROR(--RIGHT(A3282,6),LEN(A3282))*0.0137+IFERROR(--RIGHT(B3282,6),LEN(B3282))*0.0071))*43758.5453,1),"")</f>
        <v/>
      </c>
      <c r="E3282" s="0" t="str">
        <f aca="false">IF(C3282=1,INT(MOD(ABS(SIN(D3282*7919.123+ROW()*0.618+'הדבקת לידים'!$F$2*1.3))*43758.5453,1)*1000000)*10000+ROW(),"")</f>
        <v/>
      </c>
      <c r="F3282" s="0" t="str">
        <f aca="false">IF(E3282="","",RANK(E3282,$E$2:$E$5001,1))</f>
        <v/>
      </c>
      <c r="G3282" s="0" t="n">
        <f aca="false">IF(A3282="",0,IF(SUMPRODUCT(--($A$2:$A$5001=A3282))&gt;1,1,0))</f>
        <v>0</v>
      </c>
      <c r="H3282" s="0" t="n">
        <f aca="false">ROW()-1</f>
        <v>3281</v>
      </c>
      <c r="I3282" s="0" t="str">
        <f aca="false">IF(OR(הגדרות!$E$6=0,H3282&gt;הגדרות!$E$5),"",IF(H3282-1&lt;הגדרות!$E$8*(הגדרות!$E$7+1),INT((H3282-1)/(הגדרות!$E$7+1)),הגדרות!$E$8+INT((H3282-1-הגדרות!$E$8*(הגדרות!$E$7+1))/הגדרות!$E$7)))</f>
        <v/>
      </c>
      <c r="J3282" s="0" t="str">
        <f aca="false">IF(I3282="","",IF(H3282-1&lt;הגדרות!$E$8*(הגדרות!$E$7+1),MOD(H3282-1,הגדרות!$E$7+1),MOD(H3282-1-הגדרות!$E$8*(הגדרות!$E$7+1),הגדרות!$E$7)))</f>
        <v/>
      </c>
      <c r="K3282" s="0" t="str">
        <f aca="false">IF(I3282="","",J3282*הגדרות!$E$6+I3282+1)</f>
        <v/>
      </c>
      <c r="L3282" s="0" t="str">
        <f aca="false">IF(K3282="","",MATCH(K3282,$F$2:$F$5001,0))</f>
        <v/>
      </c>
      <c r="M3282" s="0" t="str">
        <f aca="false">IF(I3282="","",INDEX(הגדרות!$A$2:$A$21,MOD(I3282+הגדרות!$E$9,הגדרות!$E$6)+1))</f>
        <v/>
      </c>
    </row>
    <row r="3283" customFormat="false" ht="15" hidden="false" customHeight="false" outlineLevel="0" collapsed="false">
      <c r="A3283" s="0" t="str">
        <f aca="false">IF('הדבקת לידים'!A3283="","",IF(ISNUMBER('הדבקת לידים'!A3283),IF(הגדרות!$E$2&gt;0,TEXT('הדבקת לידים'!A3283,REPT("0",הגדרות!$E$2)),TEXT('הדבקת לידים'!A3283,"0")),TRIM('הדבקת לידים'!A3283)))</f>
        <v/>
      </c>
      <c r="B3283" s="0" t="str">
        <f aca="false">IF('הדבקת לידים'!B3283="","",IF(ISNUMBER('הדבקת לידים'!B3283),IF(הגדרות!$E$3&gt;0,TEXT('הדבקת לידים'!B3283,REPT("0",הגדרות!$E$3)),TEXT('הדבקת לידים'!B3283,"0")),TRIM('הדבקת לידים'!B3283)))</f>
        <v/>
      </c>
      <c r="C3283" s="0" t="n">
        <f aca="false">IF(OR(A3283&lt;&gt;"",B3283&lt;&gt;""),1,0)</f>
        <v>0</v>
      </c>
      <c r="D3283" s="0" t="str">
        <f aca="false">IF(C3283=1,MOD(ABS(SIN(ROW()*12.9898+'הדבקת לידים'!$F$2*78.233+IFERROR(--RIGHT(A3283,6),LEN(A3283))*0.0137+IFERROR(--RIGHT(B3283,6),LEN(B3283))*0.0071))*43758.5453,1),"")</f>
        <v/>
      </c>
      <c r="E3283" s="0" t="str">
        <f aca="false">IF(C3283=1,INT(MOD(ABS(SIN(D3283*7919.123+ROW()*0.618+'הדבקת לידים'!$F$2*1.3))*43758.5453,1)*1000000)*10000+ROW(),"")</f>
        <v/>
      </c>
      <c r="F3283" s="0" t="str">
        <f aca="false">IF(E3283="","",RANK(E3283,$E$2:$E$5001,1))</f>
        <v/>
      </c>
      <c r="G3283" s="0" t="n">
        <f aca="false">IF(A3283="",0,IF(SUMPRODUCT(--($A$2:$A$5001=A3283))&gt;1,1,0))</f>
        <v>0</v>
      </c>
      <c r="H3283" s="0" t="n">
        <f aca="false">ROW()-1</f>
        <v>3282</v>
      </c>
      <c r="I3283" s="0" t="str">
        <f aca="false">IF(OR(הגדרות!$E$6=0,H3283&gt;הגדרות!$E$5),"",IF(H3283-1&lt;הגדרות!$E$8*(הגדרות!$E$7+1),INT((H3283-1)/(הגדרות!$E$7+1)),הגדרות!$E$8+INT((H3283-1-הגדרות!$E$8*(הגדרות!$E$7+1))/הגדרות!$E$7)))</f>
        <v/>
      </c>
      <c r="J3283" s="0" t="str">
        <f aca="false">IF(I3283="","",IF(H3283-1&lt;הגדרות!$E$8*(הגדרות!$E$7+1),MOD(H3283-1,הגדרות!$E$7+1),MOD(H3283-1-הגדרות!$E$8*(הגדרות!$E$7+1),הגדרות!$E$7)))</f>
        <v/>
      </c>
      <c r="K3283" s="0" t="str">
        <f aca="false">IF(I3283="","",J3283*הגדרות!$E$6+I3283+1)</f>
        <v/>
      </c>
      <c r="L3283" s="0" t="str">
        <f aca="false">IF(K3283="","",MATCH(K3283,$F$2:$F$5001,0))</f>
        <v/>
      </c>
      <c r="M3283" s="0" t="str">
        <f aca="false">IF(I3283="","",INDEX(הגדרות!$A$2:$A$21,MOD(I3283+הגדרות!$E$9,הגדרות!$E$6)+1))</f>
        <v/>
      </c>
    </row>
    <row r="3284" customFormat="false" ht="15" hidden="false" customHeight="false" outlineLevel="0" collapsed="false">
      <c r="A3284" s="0" t="str">
        <f aca="false">IF('הדבקת לידים'!A3284="","",IF(ISNUMBER('הדבקת לידים'!A3284),IF(הגדרות!$E$2&gt;0,TEXT('הדבקת לידים'!A3284,REPT("0",הגדרות!$E$2)),TEXT('הדבקת לידים'!A3284,"0")),TRIM('הדבקת לידים'!A3284)))</f>
        <v/>
      </c>
      <c r="B3284" s="0" t="str">
        <f aca="false">IF('הדבקת לידים'!B3284="","",IF(ISNUMBER('הדבקת לידים'!B3284),IF(הגדרות!$E$3&gt;0,TEXT('הדבקת לידים'!B3284,REPT("0",הגדרות!$E$3)),TEXT('הדבקת לידים'!B3284,"0")),TRIM('הדבקת לידים'!B3284)))</f>
        <v/>
      </c>
      <c r="C3284" s="0" t="n">
        <f aca="false">IF(OR(A3284&lt;&gt;"",B3284&lt;&gt;""),1,0)</f>
        <v>0</v>
      </c>
      <c r="D3284" s="0" t="str">
        <f aca="false">IF(C3284=1,MOD(ABS(SIN(ROW()*12.9898+'הדבקת לידים'!$F$2*78.233+IFERROR(--RIGHT(A3284,6),LEN(A3284))*0.0137+IFERROR(--RIGHT(B3284,6),LEN(B3284))*0.0071))*43758.5453,1),"")</f>
        <v/>
      </c>
      <c r="E3284" s="0" t="str">
        <f aca="false">IF(C3284=1,INT(MOD(ABS(SIN(D3284*7919.123+ROW()*0.618+'הדבקת לידים'!$F$2*1.3))*43758.5453,1)*1000000)*10000+ROW(),"")</f>
        <v/>
      </c>
      <c r="F3284" s="0" t="str">
        <f aca="false">IF(E3284="","",RANK(E3284,$E$2:$E$5001,1))</f>
        <v/>
      </c>
      <c r="G3284" s="0" t="n">
        <f aca="false">IF(A3284="",0,IF(SUMPRODUCT(--($A$2:$A$5001=A3284))&gt;1,1,0))</f>
        <v>0</v>
      </c>
      <c r="H3284" s="0" t="n">
        <f aca="false">ROW()-1</f>
        <v>3283</v>
      </c>
      <c r="I3284" s="0" t="str">
        <f aca="false">IF(OR(הגדרות!$E$6=0,H3284&gt;הגדרות!$E$5),"",IF(H3284-1&lt;הגדרות!$E$8*(הגדרות!$E$7+1),INT((H3284-1)/(הגדרות!$E$7+1)),הגדרות!$E$8+INT((H3284-1-הגדרות!$E$8*(הגדרות!$E$7+1))/הגדרות!$E$7)))</f>
        <v/>
      </c>
      <c r="J3284" s="0" t="str">
        <f aca="false">IF(I3284="","",IF(H3284-1&lt;הגדרות!$E$8*(הגדרות!$E$7+1),MOD(H3284-1,הגדרות!$E$7+1),MOD(H3284-1-הגדרות!$E$8*(הגדרות!$E$7+1),הגדרות!$E$7)))</f>
        <v/>
      </c>
      <c r="K3284" s="0" t="str">
        <f aca="false">IF(I3284="","",J3284*הגדרות!$E$6+I3284+1)</f>
        <v/>
      </c>
      <c r="L3284" s="0" t="str">
        <f aca="false">IF(K3284="","",MATCH(K3284,$F$2:$F$5001,0))</f>
        <v/>
      </c>
      <c r="M3284" s="0" t="str">
        <f aca="false">IF(I3284="","",INDEX(הגדרות!$A$2:$A$21,MOD(I3284+הגדרות!$E$9,הגדרות!$E$6)+1))</f>
        <v/>
      </c>
    </row>
    <row r="3285" customFormat="false" ht="15" hidden="false" customHeight="false" outlineLevel="0" collapsed="false">
      <c r="A3285" s="0" t="str">
        <f aca="false">IF('הדבקת לידים'!A3285="","",IF(ISNUMBER('הדבקת לידים'!A3285),IF(הגדרות!$E$2&gt;0,TEXT('הדבקת לידים'!A3285,REPT("0",הגדרות!$E$2)),TEXT('הדבקת לידים'!A3285,"0")),TRIM('הדבקת לידים'!A3285)))</f>
        <v/>
      </c>
      <c r="B3285" s="0" t="str">
        <f aca="false">IF('הדבקת לידים'!B3285="","",IF(ISNUMBER('הדבקת לידים'!B3285),IF(הגדרות!$E$3&gt;0,TEXT('הדבקת לידים'!B3285,REPT("0",הגדרות!$E$3)),TEXT('הדבקת לידים'!B3285,"0")),TRIM('הדבקת לידים'!B3285)))</f>
        <v/>
      </c>
      <c r="C3285" s="0" t="n">
        <f aca="false">IF(OR(A3285&lt;&gt;"",B3285&lt;&gt;""),1,0)</f>
        <v>0</v>
      </c>
      <c r="D3285" s="0" t="str">
        <f aca="false">IF(C3285=1,MOD(ABS(SIN(ROW()*12.9898+'הדבקת לידים'!$F$2*78.233+IFERROR(--RIGHT(A3285,6),LEN(A3285))*0.0137+IFERROR(--RIGHT(B3285,6),LEN(B3285))*0.0071))*43758.5453,1),"")</f>
        <v/>
      </c>
      <c r="E3285" s="0" t="str">
        <f aca="false">IF(C3285=1,INT(MOD(ABS(SIN(D3285*7919.123+ROW()*0.618+'הדבקת לידים'!$F$2*1.3))*43758.5453,1)*1000000)*10000+ROW(),"")</f>
        <v/>
      </c>
      <c r="F3285" s="0" t="str">
        <f aca="false">IF(E3285="","",RANK(E3285,$E$2:$E$5001,1))</f>
        <v/>
      </c>
      <c r="G3285" s="0" t="n">
        <f aca="false">IF(A3285="",0,IF(SUMPRODUCT(--($A$2:$A$5001=A3285))&gt;1,1,0))</f>
        <v>0</v>
      </c>
      <c r="H3285" s="0" t="n">
        <f aca="false">ROW()-1</f>
        <v>3284</v>
      </c>
      <c r="I3285" s="0" t="str">
        <f aca="false">IF(OR(הגדרות!$E$6=0,H3285&gt;הגדרות!$E$5),"",IF(H3285-1&lt;הגדרות!$E$8*(הגדרות!$E$7+1),INT((H3285-1)/(הגדרות!$E$7+1)),הגדרות!$E$8+INT((H3285-1-הגדרות!$E$8*(הגדרות!$E$7+1))/הגדרות!$E$7)))</f>
        <v/>
      </c>
      <c r="J3285" s="0" t="str">
        <f aca="false">IF(I3285="","",IF(H3285-1&lt;הגדרות!$E$8*(הגדרות!$E$7+1),MOD(H3285-1,הגדרות!$E$7+1),MOD(H3285-1-הגדרות!$E$8*(הגדרות!$E$7+1),הגדרות!$E$7)))</f>
        <v/>
      </c>
      <c r="K3285" s="0" t="str">
        <f aca="false">IF(I3285="","",J3285*הגדרות!$E$6+I3285+1)</f>
        <v/>
      </c>
      <c r="L3285" s="0" t="str">
        <f aca="false">IF(K3285="","",MATCH(K3285,$F$2:$F$5001,0))</f>
        <v/>
      </c>
      <c r="M3285" s="0" t="str">
        <f aca="false">IF(I3285="","",INDEX(הגדרות!$A$2:$A$21,MOD(I3285+הגדרות!$E$9,הגדרות!$E$6)+1))</f>
        <v/>
      </c>
    </row>
    <row r="3286" customFormat="false" ht="15" hidden="false" customHeight="false" outlineLevel="0" collapsed="false">
      <c r="A3286" s="0" t="str">
        <f aca="false">IF('הדבקת לידים'!A3286="","",IF(ISNUMBER('הדבקת לידים'!A3286),IF(הגדרות!$E$2&gt;0,TEXT('הדבקת לידים'!A3286,REPT("0",הגדרות!$E$2)),TEXT('הדבקת לידים'!A3286,"0")),TRIM('הדבקת לידים'!A3286)))</f>
        <v/>
      </c>
      <c r="B3286" s="0" t="str">
        <f aca="false">IF('הדבקת לידים'!B3286="","",IF(ISNUMBER('הדבקת לידים'!B3286),IF(הגדרות!$E$3&gt;0,TEXT('הדבקת לידים'!B3286,REPT("0",הגדרות!$E$3)),TEXT('הדבקת לידים'!B3286,"0")),TRIM('הדבקת לידים'!B3286)))</f>
        <v/>
      </c>
      <c r="C3286" s="0" t="n">
        <f aca="false">IF(OR(A3286&lt;&gt;"",B3286&lt;&gt;""),1,0)</f>
        <v>0</v>
      </c>
      <c r="D3286" s="0" t="str">
        <f aca="false">IF(C3286=1,MOD(ABS(SIN(ROW()*12.9898+'הדבקת לידים'!$F$2*78.233+IFERROR(--RIGHT(A3286,6),LEN(A3286))*0.0137+IFERROR(--RIGHT(B3286,6),LEN(B3286))*0.0071))*43758.5453,1),"")</f>
        <v/>
      </c>
      <c r="E3286" s="0" t="str">
        <f aca="false">IF(C3286=1,INT(MOD(ABS(SIN(D3286*7919.123+ROW()*0.618+'הדבקת לידים'!$F$2*1.3))*43758.5453,1)*1000000)*10000+ROW(),"")</f>
        <v/>
      </c>
      <c r="F3286" s="0" t="str">
        <f aca="false">IF(E3286="","",RANK(E3286,$E$2:$E$5001,1))</f>
        <v/>
      </c>
      <c r="G3286" s="0" t="n">
        <f aca="false">IF(A3286="",0,IF(SUMPRODUCT(--($A$2:$A$5001=A3286))&gt;1,1,0))</f>
        <v>0</v>
      </c>
      <c r="H3286" s="0" t="n">
        <f aca="false">ROW()-1</f>
        <v>3285</v>
      </c>
      <c r="I3286" s="0" t="str">
        <f aca="false">IF(OR(הגדרות!$E$6=0,H3286&gt;הגדרות!$E$5),"",IF(H3286-1&lt;הגדרות!$E$8*(הגדרות!$E$7+1),INT((H3286-1)/(הגדרות!$E$7+1)),הגדרות!$E$8+INT((H3286-1-הגדרות!$E$8*(הגדרות!$E$7+1))/הגדרות!$E$7)))</f>
        <v/>
      </c>
      <c r="J3286" s="0" t="str">
        <f aca="false">IF(I3286="","",IF(H3286-1&lt;הגדרות!$E$8*(הגדרות!$E$7+1),MOD(H3286-1,הגדרות!$E$7+1),MOD(H3286-1-הגדרות!$E$8*(הגדרות!$E$7+1),הגדרות!$E$7)))</f>
        <v/>
      </c>
      <c r="K3286" s="0" t="str">
        <f aca="false">IF(I3286="","",J3286*הגדרות!$E$6+I3286+1)</f>
        <v/>
      </c>
      <c r="L3286" s="0" t="str">
        <f aca="false">IF(K3286="","",MATCH(K3286,$F$2:$F$5001,0))</f>
        <v/>
      </c>
      <c r="M3286" s="0" t="str">
        <f aca="false">IF(I3286="","",INDEX(הגדרות!$A$2:$A$21,MOD(I3286+הגדרות!$E$9,הגדרות!$E$6)+1))</f>
        <v/>
      </c>
    </row>
    <row r="3287" customFormat="false" ht="15" hidden="false" customHeight="false" outlineLevel="0" collapsed="false">
      <c r="A3287" s="0" t="str">
        <f aca="false">IF('הדבקת לידים'!A3287="","",IF(ISNUMBER('הדבקת לידים'!A3287),IF(הגדרות!$E$2&gt;0,TEXT('הדבקת לידים'!A3287,REPT("0",הגדרות!$E$2)),TEXT('הדבקת לידים'!A3287,"0")),TRIM('הדבקת לידים'!A3287)))</f>
        <v/>
      </c>
      <c r="B3287" s="0" t="str">
        <f aca="false">IF('הדבקת לידים'!B3287="","",IF(ISNUMBER('הדבקת לידים'!B3287),IF(הגדרות!$E$3&gt;0,TEXT('הדבקת לידים'!B3287,REPT("0",הגדרות!$E$3)),TEXT('הדבקת לידים'!B3287,"0")),TRIM('הדבקת לידים'!B3287)))</f>
        <v/>
      </c>
      <c r="C3287" s="0" t="n">
        <f aca="false">IF(OR(A3287&lt;&gt;"",B3287&lt;&gt;""),1,0)</f>
        <v>0</v>
      </c>
      <c r="D3287" s="0" t="str">
        <f aca="false">IF(C3287=1,MOD(ABS(SIN(ROW()*12.9898+'הדבקת לידים'!$F$2*78.233+IFERROR(--RIGHT(A3287,6),LEN(A3287))*0.0137+IFERROR(--RIGHT(B3287,6),LEN(B3287))*0.0071))*43758.5453,1),"")</f>
        <v/>
      </c>
      <c r="E3287" s="0" t="str">
        <f aca="false">IF(C3287=1,INT(MOD(ABS(SIN(D3287*7919.123+ROW()*0.618+'הדבקת לידים'!$F$2*1.3))*43758.5453,1)*1000000)*10000+ROW(),"")</f>
        <v/>
      </c>
      <c r="F3287" s="0" t="str">
        <f aca="false">IF(E3287="","",RANK(E3287,$E$2:$E$5001,1))</f>
        <v/>
      </c>
      <c r="G3287" s="0" t="n">
        <f aca="false">IF(A3287="",0,IF(SUMPRODUCT(--($A$2:$A$5001=A3287))&gt;1,1,0))</f>
        <v>0</v>
      </c>
      <c r="H3287" s="0" t="n">
        <f aca="false">ROW()-1</f>
        <v>3286</v>
      </c>
      <c r="I3287" s="0" t="str">
        <f aca="false">IF(OR(הגדרות!$E$6=0,H3287&gt;הגדרות!$E$5),"",IF(H3287-1&lt;הגדרות!$E$8*(הגדרות!$E$7+1),INT((H3287-1)/(הגדרות!$E$7+1)),הגדרות!$E$8+INT((H3287-1-הגדרות!$E$8*(הגדרות!$E$7+1))/הגדרות!$E$7)))</f>
        <v/>
      </c>
      <c r="J3287" s="0" t="str">
        <f aca="false">IF(I3287="","",IF(H3287-1&lt;הגדרות!$E$8*(הגדרות!$E$7+1),MOD(H3287-1,הגדרות!$E$7+1),MOD(H3287-1-הגדרות!$E$8*(הגדרות!$E$7+1),הגדרות!$E$7)))</f>
        <v/>
      </c>
      <c r="K3287" s="0" t="str">
        <f aca="false">IF(I3287="","",J3287*הגדרות!$E$6+I3287+1)</f>
        <v/>
      </c>
      <c r="L3287" s="0" t="str">
        <f aca="false">IF(K3287="","",MATCH(K3287,$F$2:$F$5001,0))</f>
        <v/>
      </c>
      <c r="M3287" s="0" t="str">
        <f aca="false">IF(I3287="","",INDEX(הגדרות!$A$2:$A$21,MOD(I3287+הגדרות!$E$9,הגדרות!$E$6)+1))</f>
        <v/>
      </c>
    </row>
    <row r="3288" customFormat="false" ht="15" hidden="false" customHeight="false" outlineLevel="0" collapsed="false">
      <c r="A3288" s="0" t="str">
        <f aca="false">IF('הדבקת לידים'!A3288="","",IF(ISNUMBER('הדבקת לידים'!A3288),IF(הגדרות!$E$2&gt;0,TEXT('הדבקת לידים'!A3288,REPT("0",הגדרות!$E$2)),TEXT('הדבקת לידים'!A3288,"0")),TRIM('הדבקת לידים'!A3288)))</f>
        <v/>
      </c>
      <c r="B3288" s="0" t="str">
        <f aca="false">IF('הדבקת לידים'!B3288="","",IF(ISNUMBER('הדבקת לידים'!B3288),IF(הגדרות!$E$3&gt;0,TEXT('הדבקת לידים'!B3288,REPT("0",הגדרות!$E$3)),TEXT('הדבקת לידים'!B3288,"0")),TRIM('הדבקת לידים'!B3288)))</f>
        <v/>
      </c>
      <c r="C3288" s="0" t="n">
        <f aca="false">IF(OR(A3288&lt;&gt;"",B3288&lt;&gt;""),1,0)</f>
        <v>0</v>
      </c>
      <c r="D3288" s="0" t="str">
        <f aca="false">IF(C3288=1,MOD(ABS(SIN(ROW()*12.9898+'הדבקת לידים'!$F$2*78.233+IFERROR(--RIGHT(A3288,6),LEN(A3288))*0.0137+IFERROR(--RIGHT(B3288,6),LEN(B3288))*0.0071))*43758.5453,1),"")</f>
        <v/>
      </c>
      <c r="E3288" s="0" t="str">
        <f aca="false">IF(C3288=1,INT(MOD(ABS(SIN(D3288*7919.123+ROW()*0.618+'הדבקת לידים'!$F$2*1.3))*43758.5453,1)*1000000)*10000+ROW(),"")</f>
        <v/>
      </c>
      <c r="F3288" s="0" t="str">
        <f aca="false">IF(E3288="","",RANK(E3288,$E$2:$E$5001,1))</f>
        <v/>
      </c>
      <c r="G3288" s="0" t="n">
        <f aca="false">IF(A3288="",0,IF(SUMPRODUCT(--($A$2:$A$5001=A3288))&gt;1,1,0))</f>
        <v>0</v>
      </c>
      <c r="H3288" s="0" t="n">
        <f aca="false">ROW()-1</f>
        <v>3287</v>
      </c>
      <c r="I3288" s="0" t="str">
        <f aca="false">IF(OR(הגדרות!$E$6=0,H3288&gt;הגדרות!$E$5),"",IF(H3288-1&lt;הגדרות!$E$8*(הגדרות!$E$7+1),INT((H3288-1)/(הגדרות!$E$7+1)),הגדרות!$E$8+INT((H3288-1-הגדרות!$E$8*(הגדרות!$E$7+1))/הגדרות!$E$7)))</f>
        <v/>
      </c>
      <c r="J3288" s="0" t="str">
        <f aca="false">IF(I3288="","",IF(H3288-1&lt;הגדרות!$E$8*(הגדרות!$E$7+1),MOD(H3288-1,הגדרות!$E$7+1),MOD(H3288-1-הגדרות!$E$8*(הגדרות!$E$7+1),הגדרות!$E$7)))</f>
        <v/>
      </c>
      <c r="K3288" s="0" t="str">
        <f aca="false">IF(I3288="","",J3288*הגדרות!$E$6+I3288+1)</f>
        <v/>
      </c>
      <c r="L3288" s="0" t="str">
        <f aca="false">IF(K3288="","",MATCH(K3288,$F$2:$F$5001,0))</f>
        <v/>
      </c>
      <c r="M3288" s="0" t="str">
        <f aca="false">IF(I3288="","",INDEX(הגדרות!$A$2:$A$21,MOD(I3288+הגדרות!$E$9,הגדרות!$E$6)+1))</f>
        <v/>
      </c>
    </row>
    <row r="3289" customFormat="false" ht="15" hidden="false" customHeight="false" outlineLevel="0" collapsed="false">
      <c r="A3289" s="0" t="str">
        <f aca="false">IF('הדבקת לידים'!A3289="","",IF(ISNUMBER('הדבקת לידים'!A3289),IF(הגדרות!$E$2&gt;0,TEXT('הדבקת לידים'!A3289,REPT("0",הגדרות!$E$2)),TEXT('הדבקת לידים'!A3289,"0")),TRIM('הדבקת לידים'!A3289)))</f>
        <v/>
      </c>
      <c r="B3289" s="0" t="str">
        <f aca="false">IF('הדבקת לידים'!B3289="","",IF(ISNUMBER('הדבקת לידים'!B3289),IF(הגדרות!$E$3&gt;0,TEXT('הדבקת לידים'!B3289,REPT("0",הגדרות!$E$3)),TEXT('הדבקת לידים'!B3289,"0")),TRIM('הדבקת לידים'!B3289)))</f>
        <v/>
      </c>
      <c r="C3289" s="0" t="n">
        <f aca="false">IF(OR(A3289&lt;&gt;"",B3289&lt;&gt;""),1,0)</f>
        <v>0</v>
      </c>
      <c r="D3289" s="0" t="str">
        <f aca="false">IF(C3289=1,MOD(ABS(SIN(ROW()*12.9898+'הדבקת לידים'!$F$2*78.233+IFERROR(--RIGHT(A3289,6),LEN(A3289))*0.0137+IFERROR(--RIGHT(B3289,6),LEN(B3289))*0.0071))*43758.5453,1),"")</f>
        <v/>
      </c>
      <c r="E3289" s="0" t="str">
        <f aca="false">IF(C3289=1,INT(MOD(ABS(SIN(D3289*7919.123+ROW()*0.618+'הדבקת לידים'!$F$2*1.3))*43758.5453,1)*1000000)*10000+ROW(),"")</f>
        <v/>
      </c>
      <c r="F3289" s="0" t="str">
        <f aca="false">IF(E3289="","",RANK(E3289,$E$2:$E$5001,1))</f>
        <v/>
      </c>
      <c r="G3289" s="0" t="n">
        <f aca="false">IF(A3289="",0,IF(SUMPRODUCT(--($A$2:$A$5001=A3289))&gt;1,1,0))</f>
        <v>0</v>
      </c>
      <c r="H3289" s="0" t="n">
        <f aca="false">ROW()-1</f>
        <v>3288</v>
      </c>
      <c r="I3289" s="0" t="str">
        <f aca="false">IF(OR(הגדרות!$E$6=0,H3289&gt;הגדרות!$E$5),"",IF(H3289-1&lt;הגדרות!$E$8*(הגדרות!$E$7+1),INT((H3289-1)/(הגדרות!$E$7+1)),הגדרות!$E$8+INT((H3289-1-הגדרות!$E$8*(הגדרות!$E$7+1))/הגדרות!$E$7)))</f>
        <v/>
      </c>
      <c r="J3289" s="0" t="str">
        <f aca="false">IF(I3289="","",IF(H3289-1&lt;הגדרות!$E$8*(הגדרות!$E$7+1),MOD(H3289-1,הגדרות!$E$7+1),MOD(H3289-1-הגדרות!$E$8*(הגדרות!$E$7+1),הגדרות!$E$7)))</f>
        <v/>
      </c>
      <c r="K3289" s="0" t="str">
        <f aca="false">IF(I3289="","",J3289*הגדרות!$E$6+I3289+1)</f>
        <v/>
      </c>
      <c r="L3289" s="0" t="str">
        <f aca="false">IF(K3289="","",MATCH(K3289,$F$2:$F$5001,0))</f>
        <v/>
      </c>
      <c r="M3289" s="0" t="str">
        <f aca="false">IF(I3289="","",INDEX(הגדרות!$A$2:$A$21,MOD(I3289+הגדרות!$E$9,הגדרות!$E$6)+1))</f>
        <v/>
      </c>
    </row>
    <row r="3290" customFormat="false" ht="15" hidden="false" customHeight="false" outlineLevel="0" collapsed="false">
      <c r="A3290" s="0" t="str">
        <f aca="false">IF('הדבקת לידים'!A3290="","",IF(ISNUMBER('הדבקת לידים'!A3290),IF(הגדרות!$E$2&gt;0,TEXT('הדבקת לידים'!A3290,REPT("0",הגדרות!$E$2)),TEXT('הדבקת לידים'!A3290,"0")),TRIM('הדבקת לידים'!A3290)))</f>
        <v/>
      </c>
      <c r="B3290" s="0" t="str">
        <f aca="false">IF('הדבקת לידים'!B3290="","",IF(ISNUMBER('הדבקת לידים'!B3290),IF(הגדרות!$E$3&gt;0,TEXT('הדבקת לידים'!B3290,REPT("0",הגדרות!$E$3)),TEXT('הדבקת לידים'!B3290,"0")),TRIM('הדבקת לידים'!B3290)))</f>
        <v/>
      </c>
      <c r="C3290" s="0" t="n">
        <f aca="false">IF(OR(A3290&lt;&gt;"",B3290&lt;&gt;""),1,0)</f>
        <v>0</v>
      </c>
      <c r="D3290" s="0" t="str">
        <f aca="false">IF(C3290=1,MOD(ABS(SIN(ROW()*12.9898+'הדבקת לידים'!$F$2*78.233+IFERROR(--RIGHT(A3290,6),LEN(A3290))*0.0137+IFERROR(--RIGHT(B3290,6),LEN(B3290))*0.0071))*43758.5453,1),"")</f>
        <v/>
      </c>
      <c r="E3290" s="0" t="str">
        <f aca="false">IF(C3290=1,INT(MOD(ABS(SIN(D3290*7919.123+ROW()*0.618+'הדבקת לידים'!$F$2*1.3))*43758.5453,1)*1000000)*10000+ROW(),"")</f>
        <v/>
      </c>
      <c r="F3290" s="0" t="str">
        <f aca="false">IF(E3290="","",RANK(E3290,$E$2:$E$5001,1))</f>
        <v/>
      </c>
      <c r="G3290" s="0" t="n">
        <f aca="false">IF(A3290="",0,IF(SUMPRODUCT(--($A$2:$A$5001=A3290))&gt;1,1,0))</f>
        <v>0</v>
      </c>
      <c r="H3290" s="0" t="n">
        <f aca="false">ROW()-1</f>
        <v>3289</v>
      </c>
      <c r="I3290" s="0" t="str">
        <f aca="false">IF(OR(הגדרות!$E$6=0,H3290&gt;הגדרות!$E$5),"",IF(H3290-1&lt;הגדרות!$E$8*(הגדרות!$E$7+1),INT((H3290-1)/(הגדרות!$E$7+1)),הגדרות!$E$8+INT((H3290-1-הגדרות!$E$8*(הגדרות!$E$7+1))/הגדרות!$E$7)))</f>
        <v/>
      </c>
      <c r="J3290" s="0" t="str">
        <f aca="false">IF(I3290="","",IF(H3290-1&lt;הגדרות!$E$8*(הגדרות!$E$7+1),MOD(H3290-1,הגדרות!$E$7+1),MOD(H3290-1-הגדרות!$E$8*(הגדרות!$E$7+1),הגדרות!$E$7)))</f>
        <v/>
      </c>
      <c r="K3290" s="0" t="str">
        <f aca="false">IF(I3290="","",J3290*הגדרות!$E$6+I3290+1)</f>
        <v/>
      </c>
      <c r="L3290" s="0" t="str">
        <f aca="false">IF(K3290="","",MATCH(K3290,$F$2:$F$5001,0))</f>
        <v/>
      </c>
      <c r="M3290" s="0" t="str">
        <f aca="false">IF(I3290="","",INDEX(הגדרות!$A$2:$A$21,MOD(I3290+הגדרות!$E$9,הגדרות!$E$6)+1))</f>
        <v/>
      </c>
    </row>
    <row r="3291" customFormat="false" ht="15" hidden="false" customHeight="false" outlineLevel="0" collapsed="false">
      <c r="A3291" s="0" t="str">
        <f aca="false">IF('הדבקת לידים'!A3291="","",IF(ISNUMBER('הדבקת לידים'!A3291),IF(הגדרות!$E$2&gt;0,TEXT('הדבקת לידים'!A3291,REPT("0",הגדרות!$E$2)),TEXT('הדבקת לידים'!A3291,"0")),TRIM('הדבקת לידים'!A3291)))</f>
        <v/>
      </c>
      <c r="B3291" s="0" t="str">
        <f aca="false">IF('הדבקת לידים'!B3291="","",IF(ISNUMBER('הדבקת לידים'!B3291),IF(הגדרות!$E$3&gt;0,TEXT('הדבקת לידים'!B3291,REPT("0",הגדרות!$E$3)),TEXT('הדבקת לידים'!B3291,"0")),TRIM('הדבקת לידים'!B3291)))</f>
        <v/>
      </c>
      <c r="C3291" s="0" t="n">
        <f aca="false">IF(OR(A3291&lt;&gt;"",B3291&lt;&gt;""),1,0)</f>
        <v>0</v>
      </c>
      <c r="D3291" s="0" t="str">
        <f aca="false">IF(C3291=1,MOD(ABS(SIN(ROW()*12.9898+'הדבקת לידים'!$F$2*78.233+IFERROR(--RIGHT(A3291,6),LEN(A3291))*0.0137+IFERROR(--RIGHT(B3291,6),LEN(B3291))*0.0071))*43758.5453,1),"")</f>
        <v/>
      </c>
      <c r="E3291" s="0" t="str">
        <f aca="false">IF(C3291=1,INT(MOD(ABS(SIN(D3291*7919.123+ROW()*0.618+'הדבקת לידים'!$F$2*1.3))*43758.5453,1)*1000000)*10000+ROW(),"")</f>
        <v/>
      </c>
      <c r="F3291" s="0" t="str">
        <f aca="false">IF(E3291="","",RANK(E3291,$E$2:$E$5001,1))</f>
        <v/>
      </c>
      <c r="G3291" s="0" t="n">
        <f aca="false">IF(A3291="",0,IF(SUMPRODUCT(--($A$2:$A$5001=A3291))&gt;1,1,0))</f>
        <v>0</v>
      </c>
      <c r="H3291" s="0" t="n">
        <f aca="false">ROW()-1</f>
        <v>3290</v>
      </c>
      <c r="I3291" s="0" t="str">
        <f aca="false">IF(OR(הגדרות!$E$6=0,H3291&gt;הגדרות!$E$5),"",IF(H3291-1&lt;הגדרות!$E$8*(הגדרות!$E$7+1),INT((H3291-1)/(הגדרות!$E$7+1)),הגדרות!$E$8+INT((H3291-1-הגדרות!$E$8*(הגדרות!$E$7+1))/הגדרות!$E$7)))</f>
        <v/>
      </c>
      <c r="J3291" s="0" t="str">
        <f aca="false">IF(I3291="","",IF(H3291-1&lt;הגדרות!$E$8*(הגדרות!$E$7+1),MOD(H3291-1,הגדרות!$E$7+1),MOD(H3291-1-הגדרות!$E$8*(הגדרות!$E$7+1),הגדרות!$E$7)))</f>
        <v/>
      </c>
      <c r="K3291" s="0" t="str">
        <f aca="false">IF(I3291="","",J3291*הגדרות!$E$6+I3291+1)</f>
        <v/>
      </c>
      <c r="L3291" s="0" t="str">
        <f aca="false">IF(K3291="","",MATCH(K3291,$F$2:$F$5001,0))</f>
        <v/>
      </c>
      <c r="M3291" s="0" t="str">
        <f aca="false">IF(I3291="","",INDEX(הגדרות!$A$2:$A$21,MOD(I3291+הגדרות!$E$9,הגדרות!$E$6)+1))</f>
        <v/>
      </c>
    </row>
    <row r="3292" customFormat="false" ht="15" hidden="false" customHeight="false" outlineLevel="0" collapsed="false">
      <c r="A3292" s="0" t="str">
        <f aca="false">IF('הדבקת לידים'!A3292="","",IF(ISNUMBER('הדבקת לידים'!A3292),IF(הגדרות!$E$2&gt;0,TEXT('הדבקת לידים'!A3292,REPT("0",הגדרות!$E$2)),TEXT('הדבקת לידים'!A3292,"0")),TRIM('הדבקת לידים'!A3292)))</f>
        <v/>
      </c>
      <c r="B3292" s="0" t="str">
        <f aca="false">IF('הדבקת לידים'!B3292="","",IF(ISNUMBER('הדבקת לידים'!B3292),IF(הגדרות!$E$3&gt;0,TEXT('הדבקת לידים'!B3292,REPT("0",הגדרות!$E$3)),TEXT('הדבקת לידים'!B3292,"0")),TRIM('הדבקת לידים'!B3292)))</f>
        <v/>
      </c>
      <c r="C3292" s="0" t="n">
        <f aca="false">IF(OR(A3292&lt;&gt;"",B3292&lt;&gt;""),1,0)</f>
        <v>0</v>
      </c>
      <c r="D3292" s="0" t="str">
        <f aca="false">IF(C3292=1,MOD(ABS(SIN(ROW()*12.9898+'הדבקת לידים'!$F$2*78.233+IFERROR(--RIGHT(A3292,6),LEN(A3292))*0.0137+IFERROR(--RIGHT(B3292,6),LEN(B3292))*0.0071))*43758.5453,1),"")</f>
        <v/>
      </c>
      <c r="E3292" s="0" t="str">
        <f aca="false">IF(C3292=1,INT(MOD(ABS(SIN(D3292*7919.123+ROW()*0.618+'הדבקת לידים'!$F$2*1.3))*43758.5453,1)*1000000)*10000+ROW(),"")</f>
        <v/>
      </c>
      <c r="F3292" s="0" t="str">
        <f aca="false">IF(E3292="","",RANK(E3292,$E$2:$E$5001,1))</f>
        <v/>
      </c>
      <c r="G3292" s="0" t="n">
        <f aca="false">IF(A3292="",0,IF(SUMPRODUCT(--($A$2:$A$5001=A3292))&gt;1,1,0))</f>
        <v>0</v>
      </c>
      <c r="H3292" s="0" t="n">
        <f aca="false">ROW()-1</f>
        <v>3291</v>
      </c>
      <c r="I3292" s="0" t="str">
        <f aca="false">IF(OR(הגדרות!$E$6=0,H3292&gt;הגדרות!$E$5),"",IF(H3292-1&lt;הגדרות!$E$8*(הגדרות!$E$7+1),INT((H3292-1)/(הגדרות!$E$7+1)),הגדרות!$E$8+INT((H3292-1-הגדרות!$E$8*(הגדרות!$E$7+1))/הגדרות!$E$7)))</f>
        <v/>
      </c>
      <c r="J3292" s="0" t="str">
        <f aca="false">IF(I3292="","",IF(H3292-1&lt;הגדרות!$E$8*(הגדרות!$E$7+1),MOD(H3292-1,הגדרות!$E$7+1),MOD(H3292-1-הגדרות!$E$8*(הגדרות!$E$7+1),הגדרות!$E$7)))</f>
        <v/>
      </c>
      <c r="K3292" s="0" t="str">
        <f aca="false">IF(I3292="","",J3292*הגדרות!$E$6+I3292+1)</f>
        <v/>
      </c>
      <c r="L3292" s="0" t="str">
        <f aca="false">IF(K3292="","",MATCH(K3292,$F$2:$F$5001,0))</f>
        <v/>
      </c>
      <c r="M3292" s="0" t="str">
        <f aca="false">IF(I3292="","",INDEX(הגדרות!$A$2:$A$21,MOD(I3292+הגדרות!$E$9,הגדרות!$E$6)+1))</f>
        <v/>
      </c>
    </row>
    <row r="3293" customFormat="false" ht="15" hidden="false" customHeight="false" outlineLevel="0" collapsed="false">
      <c r="A3293" s="0" t="str">
        <f aca="false">IF('הדבקת לידים'!A3293="","",IF(ISNUMBER('הדבקת לידים'!A3293),IF(הגדרות!$E$2&gt;0,TEXT('הדבקת לידים'!A3293,REPT("0",הגדרות!$E$2)),TEXT('הדבקת לידים'!A3293,"0")),TRIM('הדבקת לידים'!A3293)))</f>
        <v/>
      </c>
      <c r="B3293" s="0" t="str">
        <f aca="false">IF('הדבקת לידים'!B3293="","",IF(ISNUMBER('הדבקת לידים'!B3293),IF(הגדרות!$E$3&gt;0,TEXT('הדבקת לידים'!B3293,REPT("0",הגדרות!$E$3)),TEXT('הדבקת לידים'!B3293,"0")),TRIM('הדבקת לידים'!B3293)))</f>
        <v/>
      </c>
      <c r="C3293" s="0" t="n">
        <f aca="false">IF(OR(A3293&lt;&gt;"",B3293&lt;&gt;""),1,0)</f>
        <v>0</v>
      </c>
      <c r="D3293" s="0" t="str">
        <f aca="false">IF(C3293=1,MOD(ABS(SIN(ROW()*12.9898+'הדבקת לידים'!$F$2*78.233+IFERROR(--RIGHT(A3293,6),LEN(A3293))*0.0137+IFERROR(--RIGHT(B3293,6),LEN(B3293))*0.0071))*43758.5453,1),"")</f>
        <v/>
      </c>
      <c r="E3293" s="0" t="str">
        <f aca="false">IF(C3293=1,INT(MOD(ABS(SIN(D3293*7919.123+ROW()*0.618+'הדבקת לידים'!$F$2*1.3))*43758.5453,1)*1000000)*10000+ROW(),"")</f>
        <v/>
      </c>
      <c r="F3293" s="0" t="str">
        <f aca="false">IF(E3293="","",RANK(E3293,$E$2:$E$5001,1))</f>
        <v/>
      </c>
      <c r="G3293" s="0" t="n">
        <f aca="false">IF(A3293="",0,IF(SUMPRODUCT(--($A$2:$A$5001=A3293))&gt;1,1,0))</f>
        <v>0</v>
      </c>
      <c r="H3293" s="0" t="n">
        <f aca="false">ROW()-1</f>
        <v>3292</v>
      </c>
      <c r="I3293" s="0" t="str">
        <f aca="false">IF(OR(הגדרות!$E$6=0,H3293&gt;הגדרות!$E$5),"",IF(H3293-1&lt;הגדרות!$E$8*(הגדרות!$E$7+1),INT((H3293-1)/(הגדרות!$E$7+1)),הגדרות!$E$8+INT((H3293-1-הגדרות!$E$8*(הגדרות!$E$7+1))/הגדרות!$E$7)))</f>
        <v/>
      </c>
      <c r="J3293" s="0" t="str">
        <f aca="false">IF(I3293="","",IF(H3293-1&lt;הגדרות!$E$8*(הגדרות!$E$7+1),MOD(H3293-1,הגדרות!$E$7+1),MOD(H3293-1-הגדרות!$E$8*(הגדרות!$E$7+1),הגדרות!$E$7)))</f>
        <v/>
      </c>
      <c r="K3293" s="0" t="str">
        <f aca="false">IF(I3293="","",J3293*הגדרות!$E$6+I3293+1)</f>
        <v/>
      </c>
      <c r="L3293" s="0" t="str">
        <f aca="false">IF(K3293="","",MATCH(K3293,$F$2:$F$5001,0))</f>
        <v/>
      </c>
      <c r="M3293" s="0" t="str">
        <f aca="false">IF(I3293="","",INDEX(הגדרות!$A$2:$A$21,MOD(I3293+הגדרות!$E$9,הגדרות!$E$6)+1))</f>
        <v/>
      </c>
    </row>
    <row r="3294" customFormat="false" ht="15" hidden="false" customHeight="false" outlineLevel="0" collapsed="false">
      <c r="A3294" s="0" t="str">
        <f aca="false">IF('הדבקת לידים'!A3294="","",IF(ISNUMBER('הדבקת לידים'!A3294),IF(הגדרות!$E$2&gt;0,TEXT('הדבקת לידים'!A3294,REPT("0",הגדרות!$E$2)),TEXT('הדבקת לידים'!A3294,"0")),TRIM('הדבקת לידים'!A3294)))</f>
        <v/>
      </c>
      <c r="B3294" s="0" t="str">
        <f aca="false">IF('הדבקת לידים'!B3294="","",IF(ISNUMBER('הדבקת לידים'!B3294),IF(הגדרות!$E$3&gt;0,TEXT('הדבקת לידים'!B3294,REPT("0",הגדרות!$E$3)),TEXT('הדבקת לידים'!B3294,"0")),TRIM('הדבקת לידים'!B3294)))</f>
        <v/>
      </c>
      <c r="C3294" s="0" t="n">
        <f aca="false">IF(OR(A3294&lt;&gt;"",B3294&lt;&gt;""),1,0)</f>
        <v>0</v>
      </c>
      <c r="D3294" s="0" t="str">
        <f aca="false">IF(C3294=1,MOD(ABS(SIN(ROW()*12.9898+'הדבקת לידים'!$F$2*78.233+IFERROR(--RIGHT(A3294,6),LEN(A3294))*0.0137+IFERROR(--RIGHT(B3294,6),LEN(B3294))*0.0071))*43758.5453,1),"")</f>
        <v/>
      </c>
      <c r="E3294" s="0" t="str">
        <f aca="false">IF(C3294=1,INT(MOD(ABS(SIN(D3294*7919.123+ROW()*0.618+'הדבקת לידים'!$F$2*1.3))*43758.5453,1)*1000000)*10000+ROW(),"")</f>
        <v/>
      </c>
      <c r="F3294" s="0" t="str">
        <f aca="false">IF(E3294="","",RANK(E3294,$E$2:$E$5001,1))</f>
        <v/>
      </c>
      <c r="G3294" s="0" t="n">
        <f aca="false">IF(A3294="",0,IF(SUMPRODUCT(--($A$2:$A$5001=A3294))&gt;1,1,0))</f>
        <v>0</v>
      </c>
      <c r="H3294" s="0" t="n">
        <f aca="false">ROW()-1</f>
        <v>3293</v>
      </c>
      <c r="I3294" s="0" t="str">
        <f aca="false">IF(OR(הגדרות!$E$6=0,H3294&gt;הגדרות!$E$5),"",IF(H3294-1&lt;הגדרות!$E$8*(הגדרות!$E$7+1),INT((H3294-1)/(הגדרות!$E$7+1)),הגדרות!$E$8+INT((H3294-1-הגדרות!$E$8*(הגדרות!$E$7+1))/הגדרות!$E$7)))</f>
        <v/>
      </c>
      <c r="J3294" s="0" t="str">
        <f aca="false">IF(I3294="","",IF(H3294-1&lt;הגדרות!$E$8*(הגדרות!$E$7+1),MOD(H3294-1,הגדרות!$E$7+1),MOD(H3294-1-הגדרות!$E$8*(הגדרות!$E$7+1),הגדרות!$E$7)))</f>
        <v/>
      </c>
      <c r="K3294" s="0" t="str">
        <f aca="false">IF(I3294="","",J3294*הגדרות!$E$6+I3294+1)</f>
        <v/>
      </c>
      <c r="L3294" s="0" t="str">
        <f aca="false">IF(K3294="","",MATCH(K3294,$F$2:$F$5001,0))</f>
        <v/>
      </c>
      <c r="M3294" s="0" t="str">
        <f aca="false">IF(I3294="","",INDEX(הגדרות!$A$2:$A$21,MOD(I3294+הגדרות!$E$9,הגדרות!$E$6)+1))</f>
        <v/>
      </c>
    </row>
    <row r="3295" customFormat="false" ht="15" hidden="false" customHeight="false" outlineLevel="0" collapsed="false">
      <c r="A3295" s="0" t="str">
        <f aca="false">IF('הדבקת לידים'!A3295="","",IF(ISNUMBER('הדבקת לידים'!A3295),IF(הגדרות!$E$2&gt;0,TEXT('הדבקת לידים'!A3295,REPT("0",הגדרות!$E$2)),TEXT('הדבקת לידים'!A3295,"0")),TRIM('הדבקת לידים'!A3295)))</f>
        <v/>
      </c>
      <c r="B3295" s="0" t="str">
        <f aca="false">IF('הדבקת לידים'!B3295="","",IF(ISNUMBER('הדבקת לידים'!B3295),IF(הגדרות!$E$3&gt;0,TEXT('הדבקת לידים'!B3295,REPT("0",הגדרות!$E$3)),TEXT('הדבקת לידים'!B3295,"0")),TRIM('הדבקת לידים'!B3295)))</f>
        <v/>
      </c>
      <c r="C3295" s="0" t="n">
        <f aca="false">IF(OR(A3295&lt;&gt;"",B3295&lt;&gt;""),1,0)</f>
        <v>0</v>
      </c>
      <c r="D3295" s="0" t="str">
        <f aca="false">IF(C3295=1,MOD(ABS(SIN(ROW()*12.9898+'הדבקת לידים'!$F$2*78.233+IFERROR(--RIGHT(A3295,6),LEN(A3295))*0.0137+IFERROR(--RIGHT(B3295,6),LEN(B3295))*0.0071))*43758.5453,1),"")</f>
        <v/>
      </c>
      <c r="E3295" s="0" t="str">
        <f aca="false">IF(C3295=1,INT(MOD(ABS(SIN(D3295*7919.123+ROW()*0.618+'הדבקת לידים'!$F$2*1.3))*43758.5453,1)*1000000)*10000+ROW(),"")</f>
        <v/>
      </c>
      <c r="F3295" s="0" t="str">
        <f aca="false">IF(E3295="","",RANK(E3295,$E$2:$E$5001,1))</f>
        <v/>
      </c>
      <c r="G3295" s="0" t="n">
        <f aca="false">IF(A3295="",0,IF(SUMPRODUCT(--($A$2:$A$5001=A3295))&gt;1,1,0))</f>
        <v>0</v>
      </c>
      <c r="H3295" s="0" t="n">
        <f aca="false">ROW()-1</f>
        <v>3294</v>
      </c>
      <c r="I3295" s="0" t="str">
        <f aca="false">IF(OR(הגדרות!$E$6=0,H3295&gt;הגדרות!$E$5),"",IF(H3295-1&lt;הגדרות!$E$8*(הגדרות!$E$7+1),INT((H3295-1)/(הגדרות!$E$7+1)),הגדרות!$E$8+INT((H3295-1-הגדרות!$E$8*(הגדרות!$E$7+1))/הגדרות!$E$7)))</f>
        <v/>
      </c>
      <c r="J3295" s="0" t="str">
        <f aca="false">IF(I3295="","",IF(H3295-1&lt;הגדרות!$E$8*(הגדרות!$E$7+1),MOD(H3295-1,הגדרות!$E$7+1),MOD(H3295-1-הגדרות!$E$8*(הגדרות!$E$7+1),הגדרות!$E$7)))</f>
        <v/>
      </c>
      <c r="K3295" s="0" t="str">
        <f aca="false">IF(I3295="","",J3295*הגדרות!$E$6+I3295+1)</f>
        <v/>
      </c>
      <c r="L3295" s="0" t="str">
        <f aca="false">IF(K3295="","",MATCH(K3295,$F$2:$F$5001,0))</f>
        <v/>
      </c>
      <c r="M3295" s="0" t="str">
        <f aca="false">IF(I3295="","",INDEX(הגדרות!$A$2:$A$21,MOD(I3295+הגדרות!$E$9,הגדרות!$E$6)+1))</f>
        <v/>
      </c>
    </row>
    <row r="3296" customFormat="false" ht="15" hidden="false" customHeight="false" outlineLevel="0" collapsed="false">
      <c r="A3296" s="0" t="str">
        <f aca="false">IF('הדבקת לידים'!A3296="","",IF(ISNUMBER('הדבקת לידים'!A3296),IF(הגדרות!$E$2&gt;0,TEXT('הדבקת לידים'!A3296,REPT("0",הגדרות!$E$2)),TEXT('הדבקת לידים'!A3296,"0")),TRIM('הדבקת לידים'!A3296)))</f>
        <v/>
      </c>
      <c r="B3296" s="0" t="str">
        <f aca="false">IF('הדבקת לידים'!B3296="","",IF(ISNUMBER('הדבקת לידים'!B3296),IF(הגדרות!$E$3&gt;0,TEXT('הדבקת לידים'!B3296,REPT("0",הגדרות!$E$3)),TEXT('הדבקת לידים'!B3296,"0")),TRIM('הדבקת לידים'!B3296)))</f>
        <v/>
      </c>
      <c r="C3296" s="0" t="n">
        <f aca="false">IF(OR(A3296&lt;&gt;"",B3296&lt;&gt;""),1,0)</f>
        <v>0</v>
      </c>
      <c r="D3296" s="0" t="str">
        <f aca="false">IF(C3296=1,MOD(ABS(SIN(ROW()*12.9898+'הדבקת לידים'!$F$2*78.233+IFERROR(--RIGHT(A3296,6),LEN(A3296))*0.0137+IFERROR(--RIGHT(B3296,6),LEN(B3296))*0.0071))*43758.5453,1),"")</f>
        <v/>
      </c>
      <c r="E3296" s="0" t="str">
        <f aca="false">IF(C3296=1,INT(MOD(ABS(SIN(D3296*7919.123+ROW()*0.618+'הדבקת לידים'!$F$2*1.3))*43758.5453,1)*1000000)*10000+ROW(),"")</f>
        <v/>
      </c>
      <c r="F3296" s="0" t="str">
        <f aca="false">IF(E3296="","",RANK(E3296,$E$2:$E$5001,1))</f>
        <v/>
      </c>
      <c r="G3296" s="0" t="n">
        <f aca="false">IF(A3296="",0,IF(SUMPRODUCT(--($A$2:$A$5001=A3296))&gt;1,1,0))</f>
        <v>0</v>
      </c>
      <c r="H3296" s="0" t="n">
        <f aca="false">ROW()-1</f>
        <v>3295</v>
      </c>
      <c r="I3296" s="0" t="str">
        <f aca="false">IF(OR(הגדרות!$E$6=0,H3296&gt;הגדרות!$E$5),"",IF(H3296-1&lt;הגדרות!$E$8*(הגדרות!$E$7+1),INT((H3296-1)/(הגדרות!$E$7+1)),הגדרות!$E$8+INT((H3296-1-הגדרות!$E$8*(הגדרות!$E$7+1))/הגדרות!$E$7)))</f>
        <v/>
      </c>
      <c r="J3296" s="0" t="str">
        <f aca="false">IF(I3296="","",IF(H3296-1&lt;הגדרות!$E$8*(הגדרות!$E$7+1),MOD(H3296-1,הגדרות!$E$7+1),MOD(H3296-1-הגדרות!$E$8*(הגדרות!$E$7+1),הגדרות!$E$7)))</f>
        <v/>
      </c>
      <c r="K3296" s="0" t="str">
        <f aca="false">IF(I3296="","",J3296*הגדרות!$E$6+I3296+1)</f>
        <v/>
      </c>
      <c r="L3296" s="0" t="str">
        <f aca="false">IF(K3296="","",MATCH(K3296,$F$2:$F$5001,0))</f>
        <v/>
      </c>
      <c r="M3296" s="0" t="str">
        <f aca="false">IF(I3296="","",INDEX(הגדרות!$A$2:$A$21,MOD(I3296+הגדרות!$E$9,הגדרות!$E$6)+1))</f>
        <v/>
      </c>
    </row>
    <row r="3297" customFormat="false" ht="15" hidden="false" customHeight="false" outlineLevel="0" collapsed="false">
      <c r="A3297" s="0" t="str">
        <f aca="false">IF('הדבקת לידים'!A3297="","",IF(ISNUMBER('הדבקת לידים'!A3297),IF(הגדרות!$E$2&gt;0,TEXT('הדבקת לידים'!A3297,REPT("0",הגדרות!$E$2)),TEXT('הדבקת לידים'!A3297,"0")),TRIM('הדבקת לידים'!A3297)))</f>
        <v/>
      </c>
      <c r="B3297" s="0" t="str">
        <f aca="false">IF('הדבקת לידים'!B3297="","",IF(ISNUMBER('הדבקת לידים'!B3297),IF(הגדרות!$E$3&gt;0,TEXT('הדבקת לידים'!B3297,REPT("0",הגדרות!$E$3)),TEXT('הדבקת לידים'!B3297,"0")),TRIM('הדבקת לידים'!B3297)))</f>
        <v/>
      </c>
      <c r="C3297" s="0" t="n">
        <f aca="false">IF(OR(A3297&lt;&gt;"",B3297&lt;&gt;""),1,0)</f>
        <v>0</v>
      </c>
      <c r="D3297" s="0" t="str">
        <f aca="false">IF(C3297=1,MOD(ABS(SIN(ROW()*12.9898+'הדבקת לידים'!$F$2*78.233+IFERROR(--RIGHT(A3297,6),LEN(A3297))*0.0137+IFERROR(--RIGHT(B3297,6),LEN(B3297))*0.0071))*43758.5453,1),"")</f>
        <v/>
      </c>
      <c r="E3297" s="0" t="str">
        <f aca="false">IF(C3297=1,INT(MOD(ABS(SIN(D3297*7919.123+ROW()*0.618+'הדבקת לידים'!$F$2*1.3))*43758.5453,1)*1000000)*10000+ROW(),"")</f>
        <v/>
      </c>
      <c r="F3297" s="0" t="str">
        <f aca="false">IF(E3297="","",RANK(E3297,$E$2:$E$5001,1))</f>
        <v/>
      </c>
      <c r="G3297" s="0" t="n">
        <f aca="false">IF(A3297="",0,IF(SUMPRODUCT(--($A$2:$A$5001=A3297))&gt;1,1,0))</f>
        <v>0</v>
      </c>
      <c r="H3297" s="0" t="n">
        <f aca="false">ROW()-1</f>
        <v>3296</v>
      </c>
      <c r="I3297" s="0" t="str">
        <f aca="false">IF(OR(הגדרות!$E$6=0,H3297&gt;הגדרות!$E$5),"",IF(H3297-1&lt;הגדרות!$E$8*(הגדרות!$E$7+1),INT((H3297-1)/(הגדרות!$E$7+1)),הגדרות!$E$8+INT((H3297-1-הגדרות!$E$8*(הגדרות!$E$7+1))/הגדרות!$E$7)))</f>
        <v/>
      </c>
      <c r="J3297" s="0" t="str">
        <f aca="false">IF(I3297="","",IF(H3297-1&lt;הגדרות!$E$8*(הגדרות!$E$7+1),MOD(H3297-1,הגדרות!$E$7+1),MOD(H3297-1-הגדרות!$E$8*(הגדרות!$E$7+1),הגדרות!$E$7)))</f>
        <v/>
      </c>
      <c r="K3297" s="0" t="str">
        <f aca="false">IF(I3297="","",J3297*הגדרות!$E$6+I3297+1)</f>
        <v/>
      </c>
      <c r="L3297" s="0" t="str">
        <f aca="false">IF(K3297="","",MATCH(K3297,$F$2:$F$5001,0))</f>
        <v/>
      </c>
      <c r="M3297" s="0" t="str">
        <f aca="false">IF(I3297="","",INDEX(הגדרות!$A$2:$A$21,MOD(I3297+הגדרות!$E$9,הגדרות!$E$6)+1))</f>
        <v/>
      </c>
    </row>
    <row r="3298" customFormat="false" ht="15" hidden="false" customHeight="false" outlineLevel="0" collapsed="false">
      <c r="A3298" s="0" t="str">
        <f aca="false">IF('הדבקת לידים'!A3298="","",IF(ISNUMBER('הדבקת לידים'!A3298),IF(הגדרות!$E$2&gt;0,TEXT('הדבקת לידים'!A3298,REPT("0",הגדרות!$E$2)),TEXT('הדבקת לידים'!A3298,"0")),TRIM('הדבקת לידים'!A3298)))</f>
        <v/>
      </c>
      <c r="B3298" s="0" t="str">
        <f aca="false">IF('הדבקת לידים'!B3298="","",IF(ISNUMBER('הדבקת לידים'!B3298),IF(הגדרות!$E$3&gt;0,TEXT('הדבקת לידים'!B3298,REPT("0",הגדרות!$E$3)),TEXT('הדבקת לידים'!B3298,"0")),TRIM('הדבקת לידים'!B3298)))</f>
        <v/>
      </c>
      <c r="C3298" s="0" t="n">
        <f aca="false">IF(OR(A3298&lt;&gt;"",B3298&lt;&gt;""),1,0)</f>
        <v>0</v>
      </c>
      <c r="D3298" s="0" t="str">
        <f aca="false">IF(C3298=1,MOD(ABS(SIN(ROW()*12.9898+'הדבקת לידים'!$F$2*78.233+IFERROR(--RIGHT(A3298,6),LEN(A3298))*0.0137+IFERROR(--RIGHT(B3298,6),LEN(B3298))*0.0071))*43758.5453,1),"")</f>
        <v/>
      </c>
      <c r="E3298" s="0" t="str">
        <f aca="false">IF(C3298=1,INT(MOD(ABS(SIN(D3298*7919.123+ROW()*0.618+'הדבקת לידים'!$F$2*1.3))*43758.5453,1)*1000000)*10000+ROW(),"")</f>
        <v/>
      </c>
      <c r="F3298" s="0" t="str">
        <f aca="false">IF(E3298="","",RANK(E3298,$E$2:$E$5001,1))</f>
        <v/>
      </c>
      <c r="G3298" s="0" t="n">
        <f aca="false">IF(A3298="",0,IF(SUMPRODUCT(--($A$2:$A$5001=A3298))&gt;1,1,0))</f>
        <v>0</v>
      </c>
      <c r="H3298" s="0" t="n">
        <f aca="false">ROW()-1</f>
        <v>3297</v>
      </c>
      <c r="I3298" s="0" t="str">
        <f aca="false">IF(OR(הגדרות!$E$6=0,H3298&gt;הגדרות!$E$5),"",IF(H3298-1&lt;הגדרות!$E$8*(הגדרות!$E$7+1),INT((H3298-1)/(הגדרות!$E$7+1)),הגדרות!$E$8+INT((H3298-1-הגדרות!$E$8*(הגדרות!$E$7+1))/הגדרות!$E$7)))</f>
        <v/>
      </c>
      <c r="J3298" s="0" t="str">
        <f aca="false">IF(I3298="","",IF(H3298-1&lt;הגדרות!$E$8*(הגדרות!$E$7+1),MOD(H3298-1,הגדרות!$E$7+1),MOD(H3298-1-הגדרות!$E$8*(הגדרות!$E$7+1),הגדרות!$E$7)))</f>
        <v/>
      </c>
      <c r="K3298" s="0" t="str">
        <f aca="false">IF(I3298="","",J3298*הגדרות!$E$6+I3298+1)</f>
        <v/>
      </c>
      <c r="L3298" s="0" t="str">
        <f aca="false">IF(K3298="","",MATCH(K3298,$F$2:$F$5001,0))</f>
        <v/>
      </c>
      <c r="M3298" s="0" t="str">
        <f aca="false">IF(I3298="","",INDEX(הגדרות!$A$2:$A$21,MOD(I3298+הגדרות!$E$9,הגדרות!$E$6)+1))</f>
        <v/>
      </c>
    </row>
    <row r="3299" customFormat="false" ht="15" hidden="false" customHeight="false" outlineLevel="0" collapsed="false">
      <c r="A3299" s="0" t="str">
        <f aca="false">IF('הדבקת לידים'!A3299="","",IF(ISNUMBER('הדבקת לידים'!A3299),IF(הגדרות!$E$2&gt;0,TEXT('הדבקת לידים'!A3299,REPT("0",הגדרות!$E$2)),TEXT('הדבקת לידים'!A3299,"0")),TRIM('הדבקת לידים'!A3299)))</f>
        <v/>
      </c>
      <c r="B3299" s="0" t="str">
        <f aca="false">IF('הדבקת לידים'!B3299="","",IF(ISNUMBER('הדבקת לידים'!B3299),IF(הגדרות!$E$3&gt;0,TEXT('הדבקת לידים'!B3299,REPT("0",הגדרות!$E$3)),TEXT('הדבקת לידים'!B3299,"0")),TRIM('הדבקת לידים'!B3299)))</f>
        <v/>
      </c>
      <c r="C3299" s="0" t="n">
        <f aca="false">IF(OR(A3299&lt;&gt;"",B3299&lt;&gt;""),1,0)</f>
        <v>0</v>
      </c>
      <c r="D3299" s="0" t="str">
        <f aca="false">IF(C3299=1,MOD(ABS(SIN(ROW()*12.9898+'הדבקת לידים'!$F$2*78.233+IFERROR(--RIGHT(A3299,6),LEN(A3299))*0.0137+IFERROR(--RIGHT(B3299,6),LEN(B3299))*0.0071))*43758.5453,1),"")</f>
        <v/>
      </c>
      <c r="E3299" s="0" t="str">
        <f aca="false">IF(C3299=1,INT(MOD(ABS(SIN(D3299*7919.123+ROW()*0.618+'הדבקת לידים'!$F$2*1.3))*43758.5453,1)*1000000)*10000+ROW(),"")</f>
        <v/>
      </c>
      <c r="F3299" s="0" t="str">
        <f aca="false">IF(E3299="","",RANK(E3299,$E$2:$E$5001,1))</f>
        <v/>
      </c>
      <c r="G3299" s="0" t="n">
        <f aca="false">IF(A3299="",0,IF(SUMPRODUCT(--($A$2:$A$5001=A3299))&gt;1,1,0))</f>
        <v>0</v>
      </c>
      <c r="H3299" s="0" t="n">
        <f aca="false">ROW()-1</f>
        <v>3298</v>
      </c>
      <c r="I3299" s="0" t="str">
        <f aca="false">IF(OR(הגדרות!$E$6=0,H3299&gt;הגדרות!$E$5),"",IF(H3299-1&lt;הגדרות!$E$8*(הגדרות!$E$7+1),INT((H3299-1)/(הגדרות!$E$7+1)),הגדרות!$E$8+INT((H3299-1-הגדרות!$E$8*(הגדרות!$E$7+1))/הגדרות!$E$7)))</f>
        <v/>
      </c>
      <c r="J3299" s="0" t="str">
        <f aca="false">IF(I3299="","",IF(H3299-1&lt;הגדרות!$E$8*(הגדרות!$E$7+1),MOD(H3299-1,הגדרות!$E$7+1),MOD(H3299-1-הגדרות!$E$8*(הגדרות!$E$7+1),הגדרות!$E$7)))</f>
        <v/>
      </c>
      <c r="K3299" s="0" t="str">
        <f aca="false">IF(I3299="","",J3299*הגדרות!$E$6+I3299+1)</f>
        <v/>
      </c>
      <c r="L3299" s="0" t="str">
        <f aca="false">IF(K3299="","",MATCH(K3299,$F$2:$F$5001,0))</f>
        <v/>
      </c>
      <c r="M3299" s="0" t="str">
        <f aca="false">IF(I3299="","",INDEX(הגדרות!$A$2:$A$21,MOD(I3299+הגדרות!$E$9,הגדרות!$E$6)+1))</f>
        <v/>
      </c>
    </row>
    <row r="3300" customFormat="false" ht="15" hidden="false" customHeight="false" outlineLevel="0" collapsed="false">
      <c r="A3300" s="0" t="str">
        <f aca="false">IF('הדבקת לידים'!A3300="","",IF(ISNUMBER('הדבקת לידים'!A3300),IF(הגדרות!$E$2&gt;0,TEXT('הדבקת לידים'!A3300,REPT("0",הגדרות!$E$2)),TEXT('הדבקת לידים'!A3300,"0")),TRIM('הדבקת לידים'!A3300)))</f>
        <v/>
      </c>
      <c r="B3300" s="0" t="str">
        <f aca="false">IF('הדבקת לידים'!B3300="","",IF(ISNUMBER('הדבקת לידים'!B3300),IF(הגדרות!$E$3&gt;0,TEXT('הדבקת לידים'!B3300,REPT("0",הגדרות!$E$3)),TEXT('הדבקת לידים'!B3300,"0")),TRIM('הדבקת לידים'!B3300)))</f>
        <v/>
      </c>
      <c r="C3300" s="0" t="n">
        <f aca="false">IF(OR(A3300&lt;&gt;"",B3300&lt;&gt;""),1,0)</f>
        <v>0</v>
      </c>
      <c r="D3300" s="0" t="str">
        <f aca="false">IF(C3300=1,MOD(ABS(SIN(ROW()*12.9898+'הדבקת לידים'!$F$2*78.233+IFERROR(--RIGHT(A3300,6),LEN(A3300))*0.0137+IFERROR(--RIGHT(B3300,6),LEN(B3300))*0.0071))*43758.5453,1),"")</f>
        <v/>
      </c>
      <c r="E3300" s="0" t="str">
        <f aca="false">IF(C3300=1,INT(MOD(ABS(SIN(D3300*7919.123+ROW()*0.618+'הדבקת לידים'!$F$2*1.3))*43758.5453,1)*1000000)*10000+ROW(),"")</f>
        <v/>
      </c>
      <c r="F3300" s="0" t="str">
        <f aca="false">IF(E3300="","",RANK(E3300,$E$2:$E$5001,1))</f>
        <v/>
      </c>
      <c r="G3300" s="0" t="n">
        <f aca="false">IF(A3300="",0,IF(SUMPRODUCT(--($A$2:$A$5001=A3300))&gt;1,1,0))</f>
        <v>0</v>
      </c>
      <c r="H3300" s="0" t="n">
        <f aca="false">ROW()-1</f>
        <v>3299</v>
      </c>
      <c r="I3300" s="0" t="str">
        <f aca="false">IF(OR(הגדרות!$E$6=0,H3300&gt;הגדרות!$E$5),"",IF(H3300-1&lt;הגדרות!$E$8*(הגדרות!$E$7+1),INT((H3300-1)/(הגדרות!$E$7+1)),הגדרות!$E$8+INT((H3300-1-הגדרות!$E$8*(הגדרות!$E$7+1))/הגדרות!$E$7)))</f>
        <v/>
      </c>
      <c r="J3300" s="0" t="str">
        <f aca="false">IF(I3300="","",IF(H3300-1&lt;הגדרות!$E$8*(הגדרות!$E$7+1),MOD(H3300-1,הגדרות!$E$7+1),MOD(H3300-1-הגדרות!$E$8*(הגדרות!$E$7+1),הגדרות!$E$7)))</f>
        <v/>
      </c>
      <c r="K3300" s="0" t="str">
        <f aca="false">IF(I3300="","",J3300*הגדרות!$E$6+I3300+1)</f>
        <v/>
      </c>
      <c r="L3300" s="0" t="str">
        <f aca="false">IF(K3300="","",MATCH(K3300,$F$2:$F$5001,0))</f>
        <v/>
      </c>
      <c r="M3300" s="0" t="str">
        <f aca="false">IF(I3300="","",INDEX(הגדרות!$A$2:$A$21,MOD(I3300+הגדרות!$E$9,הגדרות!$E$6)+1))</f>
        <v/>
      </c>
    </row>
    <row r="3301" customFormat="false" ht="15" hidden="false" customHeight="false" outlineLevel="0" collapsed="false">
      <c r="A3301" s="0" t="str">
        <f aca="false">IF('הדבקת לידים'!A3301="","",IF(ISNUMBER('הדבקת לידים'!A3301),IF(הגדרות!$E$2&gt;0,TEXT('הדבקת לידים'!A3301,REPT("0",הגדרות!$E$2)),TEXT('הדבקת לידים'!A3301,"0")),TRIM('הדבקת לידים'!A3301)))</f>
        <v/>
      </c>
      <c r="B3301" s="0" t="str">
        <f aca="false">IF('הדבקת לידים'!B3301="","",IF(ISNUMBER('הדבקת לידים'!B3301),IF(הגדרות!$E$3&gt;0,TEXT('הדבקת לידים'!B3301,REPT("0",הגדרות!$E$3)),TEXT('הדבקת לידים'!B3301,"0")),TRIM('הדבקת לידים'!B3301)))</f>
        <v/>
      </c>
      <c r="C3301" s="0" t="n">
        <f aca="false">IF(OR(A3301&lt;&gt;"",B3301&lt;&gt;""),1,0)</f>
        <v>0</v>
      </c>
      <c r="D3301" s="0" t="str">
        <f aca="false">IF(C3301=1,MOD(ABS(SIN(ROW()*12.9898+'הדבקת לידים'!$F$2*78.233+IFERROR(--RIGHT(A3301,6),LEN(A3301))*0.0137+IFERROR(--RIGHT(B3301,6),LEN(B3301))*0.0071))*43758.5453,1),"")</f>
        <v/>
      </c>
      <c r="E3301" s="0" t="str">
        <f aca="false">IF(C3301=1,INT(MOD(ABS(SIN(D3301*7919.123+ROW()*0.618+'הדבקת לידים'!$F$2*1.3))*43758.5453,1)*1000000)*10000+ROW(),"")</f>
        <v/>
      </c>
      <c r="F3301" s="0" t="str">
        <f aca="false">IF(E3301="","",RANK(E3301,$E$2:$E$5001,1))</f>
        <v/>
      </c>
      <c r="G3301" s="0" t="n">
        <f aca="false">IF(A3301="",0,IF(SUMPRODUCT(--($A$2:$A$5001=A3301))&gt;1,1,0))</f>
        <v>0</v>
      </c>
      <c r="H3301" s="0" t="n">
        <f aca="false">ROW()-1</f>
        <v>3300</v>
      </c>
      <c r="I3301" s="0" t="str">
        <f aca="false">IF(OR(הגדרות!$E$6=0,H3301&gt;הגדרות!$E$5),"",IF(H3301-1&lt;הגדרות!$E$8*(הגדרות!$E$7+1),INT((H3301-1)/(הגדרות!$E$7+1)),הגדרות!$E$8+INT((H3301-1-הגדרות!$E$8*(הגדרות!$E$7+1))/הגדרות!$E$7)))</f>
        <v/>
      </c>
      <c r="J3301" s="0" t="str">
        <f aca="false">IF(I3301="","",IF(H3301-1&lt;הגדרות!$E$8*(הגדרות!$E$7+1),MOD(H3301-1,הגדרות!$E$7+1),MOD(H3301-1-הגדרות!$E$8*(הגדרות!$E$7+1),הגדרות!$E$7)))</f>
        <v/>
      </c>
      <c r="K3301" s="0" t="str">
        <f aca="false">IF(I3301="","",J3301*הגדרות!$E$6+I3301+1)</f>
        <v/>
      </c>
      <c r="L3301" s="0" t="str">
        <f aca="false">IF(K3301="","",MATCH(K3301,$F$2:$F$5001,0))</f>
        <v/>
      </c>
      <c r="M3301" s="0" t="str">
        <f aca="false">IF(I3301="","",INDEX(הגדרות!$A$2:$A$21,MOD(I3301+הגדרות!$E$9,הגדרות!$E$6)+1))</f>
        <v/>
      </c>
    </row>
    <row r="3302" customFormat="false" ht="15" hidden="false" customHeight="false" outlineLevel="0" collapsed="false">
      <c r="A3302" s="0" t="str">
        <f aca="false">IF('הדבקת לידים'!A3302="","",IF(ISNUMBER('הדבקת לידים'!A3302),IF(הגדרות!$E$2&gt;0,TEXT('הדבקת לידים'!A3302,REPT("0",הגדרות!$E$2)),TEXT('הדבקת לידים'!A3302,"0")),TRIM('הדבקת לידים'!A3302)))</f>
        <v/>
      </c>
      <c r="B3302" s="0" t="str">
        <f aca="false">IF('הדבקת לידים'!B3302="","",IF(ISNUMBER('הדבקת לידים'!B3302),IF(הגדרות!$E$3&gt;0,TEXT('הדבקת לידים'!B3302,REPT("0",הגדרות!$E$3)),TEXT('הדבקת לידים'!B3302,"0")),TRIM('הדבקת לידים'!B3302)))</f>
        <v/>
      </c>
      <c r="C3302" s="0" t="n">
        <f aca="false">IF(OR(A3302&lt;&gt;"",B3302&lt;&gt;""),1,0)</f>
        <v>0</v>
      </c>
      <c r="D3302" s="0" t="str">
        <f aca="false">IF(C3302=1,MOD(ABS(SIN(ROW()*12.9898+'הדבקת לידים'!$F$2*78.233+IFERROR(--RIGHT(A3302,6),LEN(A3302))*0.0137+IFERROR(--RIGHT(B3302,6),LEN(B3302))*0.0071))*43758.5453,1),"")</f>
        <v/>
      </c>
      <c r="E3302" s="0" t="str">
        <f aca="false">IF(C3302=1,INT(MOD(ABS(SIN(D3302*7919.123+ROW()*0.618+'הדבקת לידים'!$F$2*1.3))*43758.5453,1)*1000000)*10000+ROW(),"")</f>
        <v/>
      </c>
      <c r="F3302" s="0" t="str">
        <f aca="false">IF(E3302="","",RANK(E3302,$E$2:$E$5001,1))</f>
        <v/>
      </c>
      <c r="G3302" s="0" t="n">
        <f aca="false">IF(A3302="",0,IF(SUMPRODUCT(--($A$2:$A$5001=A3302))&gt;1,1,0))</f>
        <v>0</v>
      </c>
      <c r="H3302" s="0" t="n">
        <f aca="false">ROW()-1</f>
        <v>3301</v>
      </c>
      <c r="I3302" s="0" t="str">
        <f aca="false">IF(OR(הגדרות!$E$6=0,H3302&gt;הגדרות!$E$5),"",IF(H3302-1&lt;הגדרות!$E$8*(הגדרות!$E$7+1),INT((H3302-1)/(הגדרות!$E$7+1)),הגדרות!$E$8+INT((H3302-1-הגדרות!$E$8*(הגדרות!$E$7+1))/הגדרות!$E$7)))</f>
        <v/>
      </c>
      <c r="J3302" s="0" t="str">
        <f aca="false">IF(I3302="","",IF(H3302-1&lt;הגדרות!$E$8*(הגדרות!$E$7+1),MOD(H3302-1,הגדרות!$E$7+1),MOD(H3302-1-הגדרות!$E$8*(הגדרות!$E$7+1),הגדרות!$E$7)))</f>
        <v/>
      </c>
      <c r="K3302" s="0" t="str">
        <f aca="false">IF(I3302="","",J3302*הגדרות!$E$6+I3302+1)</f>
        <v/>
      </c>
      <c r="L3302" s="0" t="str">
        <f aca="false">IF(K3302="","",MATCH(K3302,$F$2:$F$5001,0))</f>
        <v/>
      </c>
      <c r="M3302" s="0" t="str">
        <f aca="false">IF(I3302="","",INDEX(הגדרות!$A$2:$A$21,MOD(I3302+הגדרות!$E$9,הגדרות!$E$6)+1))</f>
        <v/>
      </c>
    </row>
    <row r="3303" customFormat="false" ht="15" hidden="false" customHeight="false" outlineLevel="0" collapsed="false">
      <c r="A3303" s="0" t="str">
        <f aca="false">IF('הדבקת לידים'!A3303="","",IF(ISNUMBER('הדבקת לידים'!A3303),IF(הגדרות!$E$2&gt;0,TEXT('הדבקת לידים'!A3303,REPT("0",הגדרות!$E$2)),TEXT('הדבקת לידים'!A3303,"0")),TRIM('הדבקת לידים'!A3303)))</f>
        <v/>
      </c>
      <c r="B3303" s="0" t="str">
        <f aca="false">IF('הדבקת לידים'!B3303="","",IF(ISNUMBER('הדבקת לידים'!B3303),IF(הגדרות!$E$3&gt;0,TEXT('הדבקת לידים'!B3303,REPT("0",הגדרות!$E$3)),TEXT('הדבקת לידים'!B3303,"0")),TRIM('הדבקת לידים'!B3303)))</f>
        <v/>
      </c>
      <c r="C3303" s="0" t="n">
        <f aca="false">IF(OR(A3303&lt;&gt;"",B3303&lt;&gt;""),1,0)</f>
        <v>0</v>
      </c>
      <c r="D3303" s="0" t="str">
        <f aca="false">IF(C3303=1,MOD(ABS(SIN(ROW()*12.9898+'הדבקת לידים'!$F$2*78.233+IFERROR(--RIGHT(A3303,6),LEN(A3303))*0.0137+IFERROR(--RIGHT(B3303,6),LEN(B3303))*0.0071))*43758.5453,1),"")</f>
        <v/>
      </c>
      <c r="E3303" s="0" t="str">
        <f aca="false">IF(C3303=1,INT(MOD(ABS(SIN(D3303*7919.123+ROW()*0.618+'הדבקת לידים'!$F$2*1.3))*43758.5453,1)*1000000)*10000+ROW(),"")</f>
        <v/>
      </c>
      <c r="F3303" s="0" t="str">
        <f aca="false">IF(E3303="","",RANK(E3303,$E$2:$E$5001,1))</f>
        <v/>
      </c>
      <c r="G3303" s="0" t="n">
        <f aca="false">IF(A3303="",0,IF(SUMPRODUCT(--($A$2:$A$5001=A3303))&gt;1,1,0))</f>
        <v>0</v>
      </c>
      <c r="H3303" s="0" t="n">
        <f aca="false">ROW()-1</f>
        <v>3302</v>
      </c>
      <c r="I3303" s="0" t="str">
        <f aca="false">IF(OR(הגדרות!$E$6=0,H3303&gt;הגדרות!$E$5),"",IF(H3303-1&lt;הגדרות!$E$8*(הגדרות!$E$7+1),INT((H3303-1)/(הגדרות!$E$7+1)),הגדרות!$E$8+INT((H3303-1-הגדרות!$E$8*(הגדרות!$E$7+1))/הגדרות!$E$7)))</f>
        <v/>
      </c>
      <c r="J3303" s="0" t="str">
        <f aca="false">IF(I3303="","",IF(H3303-1&lt;הגדרות!$E$8*(הגדרות!$E$7+1),MOD(H3303-1,הגדרות!$E$7+1),MOD(H3303-1-הגדרות!$E$8*(הגדרות!$E$7+1),הגדרות!$E$7)))</f>
        <v/>
      </c>
      <c r="K3303" s="0" t="str">
        <f aca="false">IF(I3303="","",J3303*הגדרות!$E$6+I3303+1)</f>
        <v/>
      </c>
      <c r="L3303" s="0" t="str">
        <f aca="false">IF(K3303="","",MATCH(K3303,$F$2:$F$5001,0))</f>
        <v/>
      </c>
      <c r="M3303" s="0" t="str">
        <f aca="false">IF(I3303="","",INDEX(הגדרות!$A$2:$A$21,MOD(I3303+הגדרות!$E$9,הגדרות!$E$6)+1))</f>
        <v/>
      </c>
    </row>
    <row r="3304" customFormat="false" ht="15" hidden="false" customHeight="false" outlineLevel="0" collapsed="false">
      <c r="A3304" s="0" t="str">
        <f aca="false">IF('הדבקת לידים'!A3304="","",IF(ISNUMBER('הדבקת לידים'!A3304),IF(הגדרות!$E$2&gt;0,TEXT('הדבקת לידים'!A3304,REPT("0",הגדרות!$E$2)),TEXT('הדבקת לידים'!A3304,"0")),TRIM('הדבקת לידים'!A3304)))</f>
        <v/>
      </c>
      <c r="B3304" s="0" t="str">
        <f aca="false">IF('הדבקת לידים'!B3304="","",IF(ISNUMBER('הדבקת לידים'!B3304),IF(הגדרות!$E$3&gt;0,TEXT('הדבקת לידים'!B3304,REPT("0",הגדרות!$E$3)),TEXT('הדבקת לידים'!B3304,"0")),TRIM('הדבקת לידים'!B3304)))</f>
        <v/>
      </c>
      <c r="C3304" s="0" t="n">
        <f aca="false">IF(OR(A3304&lt;&gt;"",B3304&lt;&gt;""),1,0)</f>
        <v>0</v>
      </c>
      <c r="D3304" s="0" t="str">
        <f aca="false">IF(C3304=1,MOD(ABS(SIN(ROW()*12.9898+'הדבקת לידים'!$F$2*78.233+IFERROR(--RIGHT(A3304,6),LEN(A3304))*0.0137+IFERROR(--RIGHT(B3304,6),LEN(B3304))*0.0071))*43758.5453,1),"")</f>
        <v/>
      </c>
      <c r="E3304" s="0" t="str">
        <f aca="false">IF(C3304=1,INT(MOD(ABS(SIN(D3304*7919.123+ROW()*0.618+'הדבקת לידים'!$F$2*1.3))*43758.5453,1)*1000000)*10000+ROW(),"")</f>
        <v/>
      </c>
      <c r="F3304" s="0" t="str">
        <f aca="false">IF(E3304="","",RANK(E3304,$E$2:$E$5001,1))</f>
        <v/>
      </c>
      <c r="G3304" s="0" t="n">
        <f aca="false">IF(A3304="",0,IF(SUMPRODUCT(--($A$2:$A$5001=A3304))&gt;1,1,0))</f>
        <v>0</v>
      </c>
      <c r="H3304" s="0" t="n">
        <f aca="false">ROW()-1</f>
        <v>3303</v>
      </c>
      <c r="I3304" s="0" t="str">
        <f aca="false">IF(OR(הגדרות!$E$6=0,H3304&gt;הגדרות!$E$5),"",IF(H3304-1&lt;הגדרות!$E$8*(הגדרות!$E$7+1),INT((H3304-1)/(הגדרות!$E$7+1)),הגדרות!$E$8+INT((H3304-1-הגדרות!$E$8*(הגדרות!$E$7+1))/הגדרות!$E$7)))</f>
        <v/>
      </c>
      <c r="J3304" s="0" t="str">
        <f aca="false">IF(I3304="","",IF(H3304-1&lt;הגדרות!$E$8*(הגדרות!$E$7+1),MOD(H3304-1,הגדרות!$E$7+1),MOD(H3304-1-הגדרות!$E$8*(הגדרות!$E$7+1),הגדרות!$E$7)))</f>
        <v/>
      </c>
      <c r="K3304" s="0" t="str">
        <f aca="false">IF(I3304="","",J3304*הגדרות!$E$6+I3304+1)</f>
        <v/>
      </c>
      <c r="L3304" s="0" t="str">
        <f aca="false">IF(K3304="","",MATCH(K3304,$F$2:$F$5001,0))</f>
        <v/>
      </c>
      <c r="M3304" s="0" t="str">
        <f aca="false">IF(I3304="","",INDEX(הגדרות!$A$2:$A$21,MOD(I3304+הגדרות!$E$9,הגדרות!$E$6)+1))</f>
        <v/>
      </c>
    </row>
    <row r="3305" customFormat="false" ht="15" hidden="false" customHeight="false" outlineLevel="0" collapsed="false">
      <c r="A3305" s="0" t="str">
        <f aca="false">IF('הדבקת לידים'!A3305="","",IF(ISNUMBER('הדבקת לידים'!A3305),IF(הגדרות!$E$2&gt;0,TEXT('הדבקת לידים'!A3305,REPT("0",הגדרות!$E$2)),TEXT('הדבקת לידים'!A3305,"0")),TRIM('הדבקת לידים'!A3305)))</f>
        <v/>
      </c>
      <c r="B3305" s="0" t="str">
        <f aca="false">IF('הדבקת לידים'!B3305="","",IF(ISNUMBER('הדבקת לידים'!B3305),IF(הגדרות!$E$3&gt;0,TEXT('הדבקת לידים'!B3305,REPT("0",הגדרות!$E$3)),TEXT('הדבקת לידים'!B3305,"0")),TRIM('הדבקת לידים'!B3305)))</f>
        <v/>
      </c>
      <c r="C3305" s="0" t="n">
        <f aca="false">IF(OR(A3305&lt;&gt;"",B3305&lt;&gt;""),1,0)</f>
        <v>0</v>
      </c>
      <c r="D3305" s="0" t="str">
        <f aca="false">IF(C3305=1,MOD(ABS(SIN(ROW()*12.9898+'הדבקת לידים'!$F$2*78.233+IFERROR(--RIGHT(A3305,6),LEN(A3305))*0.0137+IFERROR(--RIGHT(B3305,6),LEN(B3305))*0.0071))*43758.5453,1),"")</f>
        <v/>
      </c>
      <c r="E3305" s="0" t="str">
        <f aca="false">IF(C3305=1,INT(MOD(ABS(SIN(D3305*7919.123+ROW()*0.618+'הדבקת לידים'!$F$2*1.3))*43758.5453,1)*1000000)*10000+ROW(),"")</f>
        <v/>
      </c>
      <c r="F3305" s="0" t="str">
        <f aca="false">IF(E3305="","",RANK(E3305,$E$2:$E$5001,1))</f>
        <v/>
      </c>
      <c r="G3305" s="0" t="n">
        <f aca="false">IF(A3305="",0,IF(SUMPRODUCT(--($A$2:$A$5001=A3305))&gt;1,1,0))</f>
        <v>0</v>
      </c>
      <c r="H3305" s="0" t="n">
        <f aca="false">ROW()-1</f>
        <v>3304</v>
      </c>
      <c r="I3305" s="0" t="str">
        <f aca="false">IF(OR(הגדרות!$E$6=0,H3305&gt;הגדרות!$E$5),"",IF(H3305-1&lt;הגדרות!$E$8*(הגדרות!$E$7+1),INT((H3305-1)/(הגדרות!$E$7+1)),הגדרות!$E$8+INT((H3305-1-הגדרות!$E$8*(הגדרות!$E$7+1))/הגדרות!$E$7)))</f>
        <v/>
      </c>
      <c r="J3305" s="0" t="str">
        <f aca="false">IF(I3305="","",IF(H3305-1&lt;הגדרות!$E$8*(הגדרות!$E$7+1),MOD(H3305-1,הגדרות!$E$7+1),MOD(H3305-1-הגדרות!$E$8*(הגדרות!$E$7+1),הגדרות!$E$7)))</f>
        <v/>
      </c>
      <c r="K3305" s="0" t="str">
        <f aca="false">IF(I3305="","",J3305*הגדרות!$E$6+I3305+1)</f>
        <v/>
      </c>
      <c r="L3305" s="0" t="str">
        <f aca="false">IF(K3305="","",MATCH(K3305,$F$2:$F$5001,0))</f>
        <v/>
      </c>
      <c r="M3305" s="0" t="str">
        <f aca="false">IF(I3305="","",INDEX(הגדרות!$A$2:$A$21,MOD(I3305+הגדרות!$E$9,הגדרות!$E$6)+1))</f>
        <v/>
      </c>
    </row>
    <row r="3306" customFormat="false" ht="15" hidden="false" customHeight="false" outlineLevel="0" collapsed="false">
      <c r="A3306" s="0" t="str">
        <f aca="false">IF('הדבקת לידים'!A3306="","",IF(ISNUMBER('הדבקת לידים'!A3306),IF(הגדרות!$E$2&gt;0,TEXT('הדבקת לידים'!A3306,REPT("0",הגדרות!$E$2)),TEXT('הדבקת לידים'!A3306,"0")),TRIM('הדבקת לידים'!A3306)))</f>
        <v/>
      </c>
      <c r="B3306" s="0" t="str">
        <f aca="false">IF('הדבקת לידים'!B3306="","",IF(ISNUMBER('הדבקת לידים'!B3306),IF(הגדרות!$E$3&gt;0,TEXT('הדבקת לידים'!B3306,REPT("0",הגדרות!$E$3)),TEXT('הדבקת לידים'!B3306,"0")),TRIM('הדבקת לידים'!B3306)))</f>
        <v/>
      </c>
      <c r="C3306" s="0" t="n">
        <f aca="false">IF(OR(A3306&lt;&gt;"",B3306&lt;&gt;""),1,0)</f>
        <v>0</v>
      </c>
      <c r="D3306" s="0" t="str">
        <f aca="false">IF(C3306=1,MOD(ABS(SIN(ROW()*12.9898+'הדבקת לידים'!$F$2*78.233+IFERROR(--RIGHT(A3306,6),LEN(A3306))*0.0137+IFERROR(--RIGHT(B3306,6),LEN(B3306))*0.0071))*43758.5453,1),"")</f>
        <v/>
      </c>
      <c r="E3306" s="0" t="str">
        <f aca="false">IF(C3306=1,INT(MOD(ABS(SIN(D3306*7919.123+ROW()*0.618+'הדבקת לידים'!$F$2*1.3))*43758.5453,1)*1000000)*10000+ROW(),"")</f>
        <v/>
      </c>
      <c r="F3306" s="0" t="str">
        <f aca="false">IF(E3306="","",RANK(E3306,$E$2:$E$5001,1))</f>
        <v/>
      </c>
      <c r="G3306" s="0" t="n">
        <f aca="false">IF(A3306="",0,IF(SUMPRODUCT(--($A$2:$A$5001=A3306))&gt;1,1,0))</f>
        <v>0</v>
      </c>
      <c r="H3306" s="0" t="n">
        <f aca="false">ROW()-1</f>
        <v>3305</v>
      </c>
      <c r="I3306" s="0" t="str">
        <f aca="false">IF(OR(הגדרות!$E$6=0,H3306&gt;הגדרות!$E$5),"",IF(H3306-1&lt;הגדרות!$E$8*(הגדרות!$E$7+1),INT((H3306-1)/(הגדרות!$E$7+1)),הגדרות!$E$8+INT((H3306-1-הגדרות!$E$8*(הגדרות!$E$7+1))/הגדרות!$E$7)))</f>
        <v/>
      </c>
      <c r="J3306" s="0" t="str">
        <f aca="false">IF(I3306="","",IF(H3306-1&lt;הגדרות!$E$8*(הגדרות!$E$7+1),MOD(H3306-1,הגדרות!$E$7+1),MOD(H3306-1-הגדרות!$E$8*(הגדרות!$E$7+1),הגדרות!$E$7)))</f>
        <v/>
      </c>
      <c r="K3306" s="0" t="str">
        <f aca="false">IF(I3306="","",J3306*הגדרות!$E$6+I3306+1)</f>
        <v/>
      </c>
      <c r="L3306" s="0" t="str">
        <f aca="false">IF(K3306="","",MATCH(K3306,$F$2:$F$5001,0))</f>
        <v/>
      </c>
      <c r="M3306" s="0" t="str">
        <f aca="false">IF(I3306="","",INDEX(הגדרות!$A$2:$A$21,MOD(I3306+הגדרות!$E$9,הגדרות!$E$6)+1))</f>
        <v/>
      </c>
    </row>
    <row r="3307" customFormat="false" ht="15" hidden="false" customHeight="false" outlineLevel="0" collapsed="false">
      <c r="A3307" s="0" t="str">
        <f aca="false">IF('הדבקת לידים'!A3307="","",IF(ISNUMBER('הדבקת לידים'!A3307),IF(הגדרות!$E$2&gt;0,TEXT('הדבקת לידים'!A3307,REPT("0",הגדרות!$E$2)),TEXT('הדבקת לידים'!A3307,"0")),TRIM('הדבקת לידים'!A3307)))</f>
        <v/>
      </c>
      <c r="B3307" s="0" t="str">
        <f aca="false">IF('הדבקת לידים'!B3307="","",IF(ISNUMBER('הדבקת לידים'!B3307),IF(הגדרות!$E$3&gt;0,TEXT('הדבקת לידים'!B3307,REPT("0",הגדרות!$E$3)),TEXT('הדבקת לידים'!B3307,"0")),TRIM('הדבקת לידים'!B3307)))</f>
        <v/>
      </c>
      <c r="C3307" s="0" t="n">
        <f aca="false">IF(OR(A3307&lt;&gt;"",B3307&lt;&gt;""),1,0)</f>
        <v>0</v>
      </c>
      <c r="D3307" s="0" t="str">
        <f aca="false">IF(C3307=1,MOD(ABS(SIN(ROW()*12.9898+'הדבקת לידים'!$F$2*78.233+IFERROR(--RIGHT(A3307,6),LEN(A3307))*0.0137+IFERROR(--RIGHT(B3307,6),LEN(B3307))*0.0071))*43758.5453,1),"")</f>
        <v/>
      </c>
      <c r="E3307" s="0" t="str">
        <f aca="false">IF(C3307=1,INT(MOD(ABS(SIN(D3307*7919.123+ROW()*0.618+'הדבקת לידים'!$F$2*1.3))*43758.5453,1)*1000000)*10000+ROW(),"")</f>
        <v/>
      </c>
      <c r="F3307" s="0" t="str">
        <f aca="false">IF(E3307="","",RANK(E3307,$E$2:$E$5001,1))</f>
        <v/>
      </c>
      <c r="G3307" s="0" t="n">
        <f aca="false">IF(A3307="",0,IF(SUMPRODUCT(--($A$2:$A$5001=A3307))&gt;1,1,0))</f>
        <v>0</v>
      </c>
      <c r="H3307" s="0" t="n">
        <f aca="false">ROW()-1</f>
        <v>3306</v>
      </c>
      <c r="I3307" s="0" t="str">
        <f aca="false">IF(OR(הגדרות!$E$6=0,H3307&gt;הגדרות!$E$5),"",IF(H3307-1&lt;הגדרות!$E$8*(הגדרות!$E$7+1),INT((H3307-1)/(הגדרות!$E$7+1)),הגדרות!$E$8+INT((H3307-1-הגדרות!$E$8*(הגדרות!$E$7+1))/הגדרות!$E$7)))</f>
        <v/>
      </c>
      <c r="J3307" s="0" t="str">
        <f aca="false">IF(I3307="","",IF(H3307-1&lt;הגדרות!$E$8*(הגדרות!$E$7+1),MOD(H3307-1,הגדרות!$E$7+1),MOD(H3307-1-הגדרות!$E$8*(הגדרות!$E$7+1),הגדרות!$E$7)))</f>
        <v/>
      </c>
      <c r="K3307" s="0" t="str">
        <f aca="false">IF(I3307="","",J3307*הגדרות!$E$6+I3307+1)</f>
        <v/>
      </c>
      <c r="L3307" s="0" t="str">
        <f aca="false">IF(K3307="","",MATCH(K3307,$F$2:$F$5001,0))</f>
        <v/>
      </c>
      <c r="M3307" s="0" t="str">
        <f aca="false">IF(I3307="","",INDEX(הגדרות!$A$2:$A$21,MOD(I3307+הגדרות!$E$9,הגדרות!$E$6)+1))</f>
        <v/>
      </c>
    </row>
    <row r="3308" customFormat="false" ht="15" hidden="false" customHeight="false" outlineLevel="0" collapsed="false">
      <c r="A3308" s="0" t="str">
        <f aca="false">IF('הדבקת לידים'!A3308="","",IF(ISNUMBER('הדבקת לידים'!A3308),IF(הגדרות!$E$2&gt;0,TEXT('הדבקת לידים'!A3308,REPT("0",הגדרות!$E$2)),TEXT('הדבקת לידים'!A3308,"0")),TRIM('הדבקת לידים'!A3308)))</f>
        <v/>
      </c>
      <c r="B3308" s="0" t="str">
        <f aca="false">IF('הדבקת לידים'!B3308="","",IF(ISNUMBER('הדבקת לידים'!B3308),IF(הגדרות!$E$3&gt;0,TEXT('הדבקת לידים'!B3308,REPT("0",הגדרות!$E$3)),TEXT('הדבקת לידים'!B3308,"0")),TRIM('הדבקת לידים'!B3308)))</f>
        <v/>
      </c>
      <c r="C3308" s="0" t="n">
        <f aca="false">IF(OR(A3308&lt;&gt;"",B3308&lt;&gt;""),1,0)</f>
        <v>0</v>
      </c>
      <c r="D3308" s="0" t="str">
        <f aca="false">IF(C3308=1,MOD(ABS(SIN(ROW()*12.9898+'הדבקת לידים'!$F$2*78.233+IFERROR(--RIGHT(A3308,6),LEN(A3308))*0.0137+IFERROR(--RIGHT(B3308,6),LEN(B3308))*0.0071))*43758.5453,1),"")</f>
        <v/>
      </c>
      <c r="E3308" s="0" t="str">
        <f aca="false">IF(C3308=1,INT(MOD(ABS(SIN(D3308*7919.123+ROW()*0.618+'הדבקת לידים'!$F$2*1.3))*43758.5453,1)*1000000)*10000+ROW(),"")</f>
        <v/>
      </c>
      <c r="F3308" s="0" t="str">
        <f aca="false">IF(E3308="","",RANK(E3308,$E$2:$E$5001,1))</f>
        <v/>
      </c>
      <c r="G3308" s="0" t="n">
        <f aca="false">IF(A3308="",0,IF(SUMPRODUCT(--($A$2:$A$5001=A3308))&gt;1,1,0))</f>
        <v>0</v>
      </c>
      <c r="H3308" s="0" t="n">
        <f aca="false">ROW()-1</f>
        <v>3307</v>
      </c>
      <c r="I3308" s="0" t="str">
        <f aca="false">IF(OR(הגדרות!$E$6=0,H3308&gt;הגדרות!$E$5),"",IF(H3308-1&lt;הגדרות!$E$8*(הגדרות!$E$7+1),INT((H3308-1)/(הגדרות!$E$7+1)),הגדרות!$E$8+INT((H3308-1-הגדרות!$E$8*(הגדרות!$E$7+1))/הגדרות!$E$7)))</f>
        <v/>
      </c>
      <c r="J3308" s="0" t="str">
        <f aca="false">IF(I3308="","",IF(H3308-1&lt;הגדרות!$E$8*(הגדרות!$E$7+1),MOD(H3308-1,הגדרות!$E$7+1),MOD(H3308-1-הגדרות!$E$8*(הגדרות!$E$7+1),הגדרות!$E$7)))</f>
        <v/>
      </c>
      <c r="K3308" s="0" t="str">
        <f aca="false">IF(I3308="","",J3308*הגדרות!$E$6+I3308+1)</f>
        <v/>
      </c>
      <c r="L3308" s="0" t="str">
        <f aca="false">IF(K3308="","",MATCH(K3308,$F$2:$F$5001,0))</f>
        <v/>
      </c>
      <c r="M3308" s="0" t="str">
        <f aca="false">IF(I3308="","",INDEX(הגדרות!$A$2:$A$21,MOD(I3308+הגדרות!$E$9,הגדרות!$E$6)+1))</f>
        <v/>
      </c>
    </row>
    <row r="3309" customFormat="false" ht="15" hidden="false" customHeight="false" outlineLevel="0" collapsed="false">
      <c r="A3309" s="0" t="str">
        <f aca="false">IF('הדבקת לידים'!A3309="","",IF(ISNUMBER('הדבקת לידים'!A3309),IF(הגדרות!$E$2&gt;0,TEXT('הדבקת לידים'!A3309,REPT("0",הגדרות!$E$2)),TEXT('הדבקת לידים'!A3309,"0")),TRIM('הדבקת לידים'!A3309)))</f>
        <v/>
      </c>
      <c r="B3309" s="0" t="str">
        <f aca="false">IF('הדבקת לידים'!B3309="","",IF(ISNUMBER('הדבקת לידים'!B3309),IF(הגדרות!$E$3&gt;0,TEXT('הדבקת לידים'!B3309,REPT("0",הגדרות!$E$3)),TEXT('הדבקת לידים'!B3309,"0")),TRIM('הדבקת לידים'!B3309)))</f>
        <v/>
      </c>
      <c r="C3309" s="0" t="n">
        <f aca="false">IF(OR(A3309&lt;&gt;"",B3309&lt;&gt;""),1,0)</f>
        <v>0</v>
      </c>
      <c r="D3309" s="0" t="str">
        <f aca="false">IF(C3309=1,MOD(ABS(SIN(ROW()*12.9898+'הדבקת לידים'!$F$2*78.233+IFERROR(--RIGHT(A3309,6),LEN(A3309))*0.0137+IFERROR(--RIGHT(B3309,6),LEN(B3309))*0.0071))*43758.5453,1),"")</f>
        <v/>
      </c>
      <c r="E3309" s="0" t="str">
        <f aca="false">IF(C3309=1,INT(MOD(ABS(SIN(D3309*7919.123+ROW()*0.618+'הדבקת לידים'!$F$2*1.3))*43758.5453,1)*1000000)*10000+ROW(),"")</f>
        <v/>
      </c>
      <c r="F3309" s="0" t="str">
        <f aca="false">IF(E3309="","",RANK(E3309,$E$2:$E$5001,1))</f>
        <v/>
      </c>
      <c r="G3309" s="0" t="n">
        <f aca="false">IF(A3309="",0,IF(SUMPRODUCT(--($A$2:$A$5001=A3309))&gt;1,1,0))</f>
        <v>0</v>
      </c>
      <c r="H3309" s="0" t="n">
        <f aca="false">ROW()-1</f>
        <v>3308</v>
      </c>
      <c r="I3309" s="0" t="str">
        <f aca="false">IF(OR(הגדרות!$E$6=0,H3309&gt;הגדרות!$E$5),"",IF(H3309-1&lt;הגדרות!$E$8*(הגדרות!$E$7+1),INT((H3309-1)/(הגדרות!$E$7+1)),הגדרות!$E$8+INT((H3309-1-הגדרות!$E$8*(הגדרות!$E$7+1))/הגדרות!$E$7)))</f>
        <v/>
      </c>
      <c r="J3309" s="0" t="str">
        <f aca="false">IF(I3309="","",IF(H3309-1&lt;הגדרות!$E$8*(הגדרות!$E$7+1),MOD(H3309-1,הגדרות!$E$7+1),MOD(H3309-1-הגדרות!$E$8*(הגדרות!$E$7+1),הגדרות!$E$7)))</f>
        <v/>
      </c>
      <c r="K3309" s="0" t="str">
        <f aca="false">IF(I3309="","",J3309*הגדרות!$E$6+I3309+1)</f>
        <v/>
      </c>
      <c r="L3309" s="0" t="str">
        <f aca="false">IF(K3309="","",MATCH(K3309,$F$2:$F$5001,0))</f>
        <v/>
      </c>
      <c r="M3309" s="0" t="str">
        <f aca="false">IF(I3309="","",INDEX(הגדרות!$A$2:$A$21,MOD(I3309+הגדרות!$E$9,הגדרות!$E$6)+1))</f>
        <v/>
      </c>
    </row>
    <row r="3310" customFormat="false" ht="15" hidden="false" customHeight="false" outlineLevel="0" collapsed="false">
      <c r="A3310" s="0" t="str">
        <f aca="false">IF('הדבקת לידים'!A3310="","",IF(ISNUMBER('הדבקת לידים'!A3310),IF(הגדרות!$E$2&gt;0,TEXT('הדבקת לידים'!A3310,REPT("0",הגדרות!$E$2)),TEXT('הדבקת לידים'!A3310,"0")),TRIM('הדבקת לידים'!A3310)))</f>
        <v/>
      </c>
      <c r="B3310" s="0" t="str">
        <f aca="false">IF('הדבקת לידים'!B3310="","",IF(ISNUMBER('הדבקת לידים'!B3310),IF(הגדרות!$E$3&gt;0,TEXT('הדבקת לידים'!B3310,REPT("0",הגדרות!$E$3)),TEXT('הדבקת לידים'!B3310,"0")),TRIM('הדבקת לידים'!B3310)))</f>
        <v/>
      </c>
      <c r="C3310" s="0" t="n">
        <f aca="false">IF(OR(A3310&lt;&gt;"",B3310&lt;&gt;""),1,0)</f>
        <v>0</v>
      </c>
      <c r="D3310" s="0" t="str">
        <f aca="false">IF(C3310=1,MOD(ABS(SIN(ROW()*12.9898+'הדבקת לידים'!$F$2*78.233+IFERROR(--RIGHT(A3310,6),LEN(A3310))*0.0137+IFERROR(--RIGHT(B3310,6),LEN(B3310))*0.0071))*43758.5453,1),"")</f>
        <v/>
      </c>
      <c r="E3310" s="0" t="str">
        <f aca="false">IF(C3310=1,INT(MOD(ABS(SIN(D3310*7919.123+ROW()*0.618+'הדבקת לידים'!$F$2*1.3))*43758.5453,1)*1000000)*10000+ROW(),"")</f>
        <v/>
      </c>
      <c r="F3310" s="0" t="str">
        <f aca="false">IF(E3310="","",RANK(E3310,$E$2:$E$5001,1))</f>
        <v/>
      </c>
      <c r="G3310" s="0" t="n">
        <f aca="false">IF(A3310="",0,IF(SUMPRODUCT(--($A$2:$A$5001=A3310))&gt;1,1,0))</f>
        <v>0</v>
      </c>
      <c r="H3310" s="0" t="n">
        <f aca="false">ROW()-1</f>
        <v>3309</v>
      </c>
      <c r="I3310" s="0" t="str">
        <f aca="false">IF(OR(הגדרות!$E$6=0,H3310&gt;הגדרות!$E$5),"",IF(H3310-1&lt;הגדרות!$E$8*(הגדרות!$E$7+1),INT((H3310-1)/(הגדרות!$E$7+1)),הגדרות!$E$8+INT((H3310-1-הגדרות!$E$8*(הגדרות!$E$7+1))/הגדרות!$E$7)))</f>
        <v/>
      </c>
      <c r="J3310" s="0" t="str">
        <f aca="false">IF(I3310="","",IF(H3310-1&lt;הגדרות!$E$8*(הגדרות!$E$7+1),MOD(H3310-1,הגדרות!$E$7+1),MOD(H3310-1-הגדרות!$E$8*(הגדרות!$E$7+1),הגדרות!$E$7)))</f>
        <v/>
      </c>
      <c r="K3310" s="0" t="str">
        <f aca="false">IF(I3310="","",J3310*הגדרות!$E$6+I3310+1)</f>
        <v/>
      </c>
      <c r="L3310" s="0" t="str">
        <f aca="false">IF(K3310="","",MATCH(K3310,$F$2:$F$5001,0))</f>
        <v/>
      </c>
      <c r="M3310" s="0" t="str">
        <f aca="false">IF(I3310="","",INDEX(הגדרות!$A$2:$A$21,MOD(I3310+הגדרות!$E$9,הגדרות!$E$6)+1))</f>
        <v/>
      </c>
    </row>
    <row r="3311" customFormat="false" ht="15" hidden="false" customHeight="false" outlineLevel="0" collapsed="false">
      <c r="A3311" s="0" t="str">
        <f aca="false">IF('הדבקת לידים'!A3311="","",IF(ISNUMBER('הדבקת לידים'!A3311),IF(הגדרות!$E$2&gt;0,TEXT('הדבקת לידים'!A3311,REPT("0",הגדרות!$E$2)),TEXT('הדבקת לידים'!A3311,"0")),TRIM('הדבקת לידים'!A3311)))</f>
        <v/>
      </c>
      <c r="B3311" s="0" t="str">
        <f aca="false">IF('הדבקת לידים'!B3311="","",IF(ISNUMBER('הדבקת לידים'!B3311),IF(הגדרות!$E$3&gt;0,TEXT('הדבקת לידים'!B3311,REPT("0",הגדרות!$E$3)),TEXT('הדבקת לידים'!B3311,"0")),TRIM('הדבקת לידים'!B3311)))</f>
        <v/>
      </c>
      <c r="C3311" s="0" t="n">
        <f aca="false">IF(OR(A3311&lt;&gt;"",B3311&lt;&gt;""),1,0)</f>
        <v>0</v>
      </c>
      <c r="D3311" s="0" t="str">
        <f aca="false">IF(C3311=1,MOD(ABS(SIN(ROW()*12.9898+'הדבקת לידים'!$F$2*78.233+IFERROR(--RIGHT(A3311,6),LEN(A3311))*0.0137+IFERROR(--RIGHT(B3311,6),LEN(B3311))*0.0071))*43758.5453,1),"")</f>
        <v/>
      </c>
      <c r="E3311" s="0" t="str">
        <f aca="false">IF(C3311=1,INT(MOD(ABS(SIN(D3311*7919.123+ROW()*0.618+'הדבקת לידים'!$F$2*1.3))*43758.5453,1)*1000000)*10000+ROW(),"")</f>
        <v/>
      </c>
      <c r="F3311" s="0" t="str">
        <f aca="false">IF(E3311="","",RANK(E3311,$E$2:$E$5001,1))</f>
        <v/>
      </c>
      <c r="G3311" s="0" t="n">
        <f aca="false">IF(A3311="",0,IF(SUMPRODUCT(--($A$2:$A$5001=A3311))&gt;1,1,0))</f>
        <v>0</v>
      </c>
      <c r="H3311" s="0" t="n">
        <f aca="false">ROW()-1</f>
        <v>3310</v>
      </c>
      <c r="I3311" s="0" t="str">
        <f aca="false">IF(OR(הגדרות!$E$6=0,H3311&gt;הגדרות!$E$5),"",IF(H3311-1&lt;הגדרות!$E$8*(הגדרות!$E$7+1),INT((H3311-1)/(הגדרות!$E$7+1)),הגדרות!$E$8+INT((H3311-1-הגדרות!$E$8*(הגדרות!$E$7+1))/הגדרות!$E$7)))</f>
        <v/>
      </c>
      <c r="J3311" s="0" t="str">
        <f aca="false">IF(I3311="","",IF(H3311-1&lt;הגדרות!$E$8*(הגדרות!$E$7+1),MOD(H3311-1,הגדרות!$E$7+1),MOD(H3311-1-הגדרות!$E$8*(הגדרות!$E$7+1),הגדרות!$E$7)))</f>
        <v/>
      </c>
      <c r="K3311" s="0" t="str">
        <f aca="false">IF(I3311="","",J3311*הגדרות!$E$6+I3311+1)</f>
        <v/>
      </c>
      <c r="L3311" s="0" t="str">
        <f aca="false">IF(K3311="","",MATCH(K3311,$F$2:$F$5001,0))</f>
        <v/>
      </c>
      <c r="M3311" s="0" t="str">
        <f aca="false">IF(I3311="","",INDEX(הגדרות!$A$2:$A$21,MOD(I3311+הגדרות!$E$9,הגדרות!$E$6)+1))</f>
        <v/>
      </c>
    </row>
    <row r="3312" customFormat="false" ht="15" hidden="false" customHeight="false" outlineLevel="0" collapsed="false">
      <c r="A3312" s="0" t="str">
        <f aca="false">IF('הדבקת לידים'!A3312="","",IF(ISNUMBER('הדבקת לידים'!A3312),IF(הגדרות!$E$2&gt;0,TEXT('הדבקת לידים'!A3312,REPT("0",הגדרות!$E$2)),TEXT('הדבקת לידים'!A3312,"0")),TRIM('הדבקת לידים'!A3312)))</f>
        <v/>
      </c>
      <c r="B3312" s="0" t="str">
        <f aca="false">IF('הדבקת לידים'!B3312="","",IF(ISNUMBER('הדבקת לידים'!B3312),IF(הגדרות!$E$3&gt;0,TEXT('הדבקת לידים'!B3312,REPT("0",הגדרות!$E$3)),TEXT('הדבקת לידים'!B3312,"0")),TRIM('הדבקת לידים'!B3312)))</f>
        <v/>
      </c>
      <c r="C3312" s="0" t="n">
        <f aca="false">IF(OR(A3312&lt;&gt;"",B3312&lt;&gt;""),1,0)</f>
        <v>0</v>
      </c>
      <c r="D3312" s="0" t="str">
        <f aca="false">IF(C3312=1,MOD(ABS(SIN(ROW()*12.9898+'הדבקת לידים'!$F$2*78.233+IFERROR(--RIGHT(A3312,6),LEN(A3312))*0.0137+IFERROR(--RIGHT(B3312,6),LEN(B3312))*0.0071))*43758.5453,1),"")</f>
        <v/>
      </c>
      <c r="E3312" s="0" t="str">
        <f aca="false">IF(C3312=1,INT(MOD(ABS(SIN(D3312*7919.123+ROW()*0.618+'הדבקת לידים'!$F$2*1.3))*43758.5453,1)*1000000)*10000+ROW(),"")</f>
        <v/>
      </c>
      <c r="F3312" s="0" t="str">
        <f aca="false">IF(E3312="","",RANK(E3312,$E$2:$E$5001,1))</f>
        <v/>
      </c>
      <c r="G3312" s="0" t="n">
        <f aca="false">IF(A3312="",0,IF(SUMPRODUCT(--($A$2:$A$5001=A3312))&gt;1,1,0))</f>
        <v>0</v>
      </c>
      <c r="H3312" s="0" t="n">
        <f aca="false">ROW()-1</f>
        <v>3311</v>
      </c>
      <c r="I3312" s="0" t="str">
        <f aca="false">IF(OR(הגדרות!$E$6=0,H3312&gt;הגדרות!$E$5),"",IF(H3312-1&lt;הגדרות!$E$8*(הגדרות!$E$7+1),INT((H3312-1)/(הגדרות!$E$7+1)),הגדרות!$E$8+INT((H3312-1-הגדרות!$E$8*(הגדרות!$E$7+1))/הגדרות!$E$7)))</f>
        <v/>
      </c>
      <c r="J3312" s="0" t="str">
        <f aca="false">IF(I3312="","",IF(H3312-1&lt;הגדרות!$E$8*(הגדרות!$E$7+1),MOD(H3312-1,הגדרות!$E$7+1),MOD(H3312-1-הגדרות!$E$8*(הגדרות!$E$7+1),הגדרות!$E$7)))</f>
        <v/>
      </c>
      <c r="K3312" s="0" t="str">
        <f aca="false">IF(I3312="","",J3312*הגדרות!$E$6+I3312+1)</f>
        <v/>
      </c>
      <c r="L3312" s="0" t="str">
        <f aca="false">IF(K3312="","",MATCH(K3312,$F$2:$F$5001,0))</f>
        <v/>
      </c>
      <c r="M3312" s="0" t="str">
        <f aca="false">IF(I3312="","",INDEX(הגדרות!$A$2:$A$21,MOD(I3312+הגדרות!$E$9,הגדרות!$E$6)+1))</f>
        <v/>
      </c>
    </row>
    <row r="3313" customFormat="false" ht="15" hidden="false" customHeight="false" outlineLevel="0" collapsed="false">
      <c r="A3313" s="0" t="str">
        <f aca="false">IF('הדבקת לידים'!A3313="","",IF(ISNUMBER('הדבקת לידים'!A3313),IF(הגדרות!$E$2&gt;0,TEXT('הדבקת לידים'!A3313,REPT("0",הגדרות!$E$2)),TEXT('הדבקת לידים'!A3313,"0")),TRIM('הדבקת לידים'!A3313)))</f>
        <v/>
      </c>
      <c r="B3313" s="0" t="str">
        <f aca="false">IF('הדבקת לידים'!B3313="","",IF(ISNUMBER('הדבקת לידים'!B3313),IF(הגדרות!$E$3&gt;0,TEXT('הדבקת לידים'!B3313,REPT("0",הגדרות!$E$3)),TEXT('הדבקת לידים'!B3313,"0")),TRIM('הדבקת לידים'!B3313)))</f>
        <v/>
      </c>
      <c r="C3313" s="0" t="n">
        <f aca="false">IF(OR(A3313&lt;&gt;"",B3313&lt;&gt;""),1,0)</f>
        <v>0</v>
      </c>
      <c r="D3313" s="0" t="str">
        <f aca="false">IF(C3313=1,MOD(ABS(SIN(ROW()*12.9898+'הדבקת לידים'!$F$2*78.233+IFERROR(--RIGHT(A3313,6),LEN(A3313))*0.0137+IFERROR(--RIGHT(B3313,6),LEN(B3313))*0.0071))*43758.5453,1),"")</f>
        <v/>
      </c>
      <c r="E3313" s="0" t="str">
        <f aca="false">IF(C3313=1,INT(MOD(ABS(SIN(D3313*7919.123+ROW()*0.618+'הדבקת לידים'!$F$2*1.3))*43758.5453,1)*1000000)*10000+ROW(),"")</f>
        <v/>
      </c>
      <c r="F3313" s="0" t="str">
        <f aca="false">IF(E3313="","",RANK(E3313,$E$2:$E$5001,1))</f>
        <v/>
      </c>
      <c r="G3313" s="0" t="n">
        <f aca="false">IF(A3313="",0,IF(SUMPRODUCT(--($A$2:$A$5001=A3313))&gt;1,1,0))</f>
        <v>0</v>
      </c>
      <c r="H3313" s="0" t="n">
        <f aca="false">ROW()-1</f>
        <v>3312</v>
      </c>
      <c r="I3313" s="0" t="str">
        <f aca="false">IF(OR(הגדרות!$E$6=0,H3313&gt;הגדרות!$E$5),"",IF(H3313-1&lt;הגדרות!$E$8*(הגדרות!$E$7+1),INT((H3313-1)/(הגדרות!$E$7+1)),הגדרות!$E$8+INT((H3313-1-הגדרות!$E$8*(הגדרות!$E$7+1))/הגדרות!$E$7)))</f>
        <v/>
      </c>
      <c r="J3313" s="0" t="str">
        <f aca="false">IF(I3313="","",IF(H3313-1&lt;הגדרות!$E$8*(הגדרות!$E$7+1),MOD(H3313-1,הגדרות!$E$7+1),MOD(H3313-1-הגדרות!$E$8*(הגדרות!$E$7+1),הגדרות!$E$7)))</f>
        <v/>
      </c>
      <c r="K3313" s="0" t="str">
        <f aca="false">IF(I3313="","",J3313*הגדרות!$E$6+I3313+1)</f>
        <v/>
      </c>
      <c r="L3313" s="0" t="str">
        <f aca="false">IF(K3313="","",MATCH(K3313,$F$2:$F$5001,0))</f>
        <v/>
      </c>
      <c r="M3313" s="0" t="str">
        <f aca="false">IF(I3313="","",INDEX(הגדרות!$A$2:$A$21,MOD(I3313+הגדרות!$E$9,הגדרות!$E$6)+1))</f>
        <v/>
      </c>
    </row>
    <row r="3314" customFormat="false" ht="15" hidden="false" customHeight="false" outlineLevel="0" collapsed="false">
      <c r="A3314" s="0" t="str">
        <f aca="false">IF('הדבקת לידים'!A3314="","",IF(ISNUMBER('הדבקת לידים'!A3314),IF(הגדרות!$E$2&gt;0,TEXT('הדבקת לידים'!A3314,REPT("0",הגדרות!$E$2)),TEXT('הדבקת לידים'!A3314,"0")),TRIM('הדבקת לידים'!A3314)))</f>
        <v/>
      </c>
      <c r="B3314" s="0" t="str">
        <f aca="false">IF('הדבקת לידים'!B3314="","",IF(ISNUMBER('הדבקת לידים'!B3314),IF(הגדרות!$E$3&gt;0,TEXT('הדבקת לידים'!B3314,REPT("0",הגדרות!$E$3)),TEXT('הדבקת לידים'!B3314,"0")),TRIM('הדבקת לידים'!B3314)))</f>
        <v/>
      </c>
      <c r="C3314" s="0" t="n">
        <f aca="false">IF(OR(A3314&lt;&gt;"",B3314&lt;&gt;""),1,0)</f>
        <v>0</v>
      </c>
      <c r="D3314" s="0" t="str">
        <f aca="false">IF(C3314=1,MOD(ABS(SIN(ROW()*12.9898+'הדבקת לידים'!$F$2*78.233+IFERROR(--RIGHT(A3314,6),LEN(A3314))*0.0137+IFERROR(--RIGHT(B3314,6),LEN(B3314))*0.0071))*43758.5453,1),"")</f>
        <v/>
      </c>
      <c r="E3314" s="0" t="str">
        <f aca="false">IF(C3314=1,INT(MOD(ABS(SIN(D3314*7919.123+ROW()*0.618+'הדבקת לידים'!$F$2*1.3))*43758.5453,1)*1000000)*10000+ROW(),"")</f>
        <v/>
      </c>
      <c r="F3314" s="0" t="str">
        <f aca="false">IF(E3314="","",RANK(E3314,$E$2:$E$5001,1))</f>
        <v/>
      </c>
      <c r="G3314" s="0" t="n">
        <f aca="false">IF(A3314="",0,IF(SUMPRODUCT(--($A$2:$A$5001=A3314))&gt;1,1,0))</f>
        <v>0</v>
      </c>
      <c r="H3314" s="0" t="n">
        <f aca="false">ROW()-1</f>
        <v>3313</v>
      </c>
      <c r="I3314" s="0" t="str">
        <f aca="false">IF(OR(הגדרות!$E$6=0,H3314&gt;הגדרות!$E$5),"",IF(H3314-1&lt;הגדרות!$E$8*(הגדרות!$E$7+1),INT((H3314-1)/(הגדרות!$E$7+1)),הגדרות!$E$8+INT((H3314-1-הגדרות!$E$8*(הגדרות!$E$7+1))/הגדרות!$E$7)))</f>
        <v/>
      </c>
      <c r="J3314" s="0" t="str">
        <f aca="false">IF(I3314="","",IF(H3314-1&lt;הגדרות!$E$8*(הגדרות!$E$7+1),MOD(H3314-1,הגדרות!$E$7+1),MOD(H3314-1-הגדרות!$E$8*(הגדרות!$E$7+1),הגדרות!$E$7)))</f>
        <v/>
      </c>
      <c r="K3314" s="0" t="str">
        <f aca="false">IF(I3314="","",J3314*הגדרות!$E$6+I3314+1)</f>
        <v/>
      </c>
      <c r="L3314" s="0" t="str">
        <f aca="false">IF(K3314="","",MATCH(K3314,$F$2:$F$5001,0))</f>
        <v/>
      </c>
      <c r="M3314" s="0" t="str">
        <f aca="false">IF(I3314="","",INDEX(הגדרות!$A$2:$A$21,MOD(I3314+הגדרות!$E$9,הגדרות!$E$6)+1))</f>
        <v/>
      </c>
    </row>
    <row r="3315" customFormat="false" ht="15" hidden="false" customHeight="false" outlineLevel="0" collapsed="false">
      <c r="A3315" s="0" t="str">
        <f aca="false">IF('הדבקת לידים'!A3315="","",IF(ISNUMBER('הדבקת לידים'!A3315),IF(הגדרות!$E$2&gt;0,TEXT('הדבקת לידים'!A3315,REPT("0",הגדרות!$E$2)),TEXT('הדבקת לידים'!A3315,"0")),TRIM('הדבקת לידים'!A3315)))</f>
        <v/>
      </c>
      <c r="B3315" s="0" t="str">
        <f aca="false">IF('הדבקת לידים'!B3315="","",IF(ISNUMBER('הדבקת לידים'!B3315),IF(הגדרות!$E$3&gt;0,TEXT('הדבקת לידים'!B3315,REPT("0",הגדרות!$E$3)),TEXT('הדבקת לידים'!B3315,"0")),TRIM('הדבקת לידים'!B3315)))</f>
        <v/>
      </c>
      <c r="C3315" s="0" t="n">
        <f aca="false">IF(OR(A3315&lt;&gt;"",B3315&lt;&gt;""),1,0)</f>
        <v>0</v>
      </c>
      <c r="D3315" s="0" t="str">
        <f aca="false">IF(C3315=1,MOD(ABS(SIN(ROW()*12.9898+'הדבקת לידים'!$F$2*78.233+IFERROR(--RIGHT(A3315,6),LEN(A3315))*0.0137+IFERROR(--RIGHT(B3315,6),LEN(B3315))*0.0071))*43758.5453,1),"")</f>
        <v/>
      </c>
      <c r="E3315" s="0" t="str">
        <f aca="false">IF(C3315=1,INT(MOD(ABS(SIN(D3315*7919.123+ROW()*0.618+'הדבקת לידים'!$F$2*1.3))*43758.5453,1)*1000000)*10000+ROW(),"")</f>
        <v/>
      </c>
      <c r="F3315" s="0" t="str">
        <f aca="false">IF(E3315="","",RANK(E3315,$E$2:$E$5001,1))</f>
        <v/>
      </c>
      <c r="G3315" s="0" t="n">
        <f aca="false">IF(A3315="",0,IF(SUMPRODUCT(--($A$2:$A$5001=A3315))&gt;1,1,0))</f>
        <v>0</v>
      </c>
      <c r="H3315" s="0" t="n">
        <f aca="false">ROW()-1</f>
        <v>3314</v>
      </c>
      <c r="I3315" s="0" t="str">
        <f aca="false">IF(OR(הגדרות!$E$6=0,H3315&gt;הגדרות!$E$5),"",IF(H3315-1&lt;הגדרות!$E$8*(הגדרות!$E$7+1),INT((H3315-1)/(הגדרות!$E$7+1)),הגדרות!$E$8+INT((H3315-1-הגדרות!$E$8*(הגדרות!$E$7+1))/הגדרות!$E$7)))</f>
        <v/>
      </c>
      <c r="J3315" s="0" t="str">
        <f aca="false">IF(I3315="","",IF(H3315-1&lt;הגדרות!$E$8*(הגדרות!$E$7+1),MOD(H3315-1,הגדרות!$E$7+1),MOD(H3315-1-הגדרות!$E$8*(הגדרות!$E$7+1),הגדרות!$E$7)))</f>
        <v/>
      </c>
      <c r="K3315" s="0" t="str">
        <f aca="false">IF(I3315="","",J3315*הגדרות!$E$6+I3315+1)</f>
        <v/>
      </c>
      <c r="L3315" s="0" t="str">
        <f aca="false">IF(K3315="","",MATCH(K3315,$F$2:$F$5001,0))</f>
        <v/>
      </c>
      <c r="M3315" s="0" t="str">
        <f aca="false">IF(I3315="","",INDEX(הגדרות!$A$2:$A$21,MOD(I3315+הגדרות!$E$9,הגדרות!$E$6)+1))</f>
        <v/>
      </c>
    </row>
    <row r="3316" customFormat="false" ht="15" hidden="false" customHeight="false" outlineLevel="0" collapsed="false">
      <c r="A3316" s="0" t="str">
        <f aca="false">IF('הדבקת לידים'!A3316="","",IF(ISNUMBER('הדבקת לידים'!A3316),IF(הגדרות!$E$2&gt;0,TEXT('הדבקת לידים'!A3316,REPT("0",הגדרות!$E$2)),TEXT('הדבקת לידים'!A3316,"0")),TRIM('הדבקת לידים'!A3316)))</f>
        <v/>
      </c>
      <c r="B3316" s="0" t="str">
        <f aca="false">IF('הדבקת לידים'!B3316="","",IF(ISNUMBER('הדבקת לידים'!B3316),IF(הגדרות!$E$3&gt;0,TEXT('הדבקת לידים'!B3316,REPT("0",הגדרות!$E$3)),TEXT('הדבקת לידים'!B3316,"0")),TRIM('הדבקת לידים'!B3316)))</f>
        <v/>
      </c>
      <c r="C3316" s="0" t="n">
        <f aca="false">IF(OR(A3316&lt;&gt;"",B3316&lt;&gt;""),1,0)</f>
        <v>0</v>
      </c>
      <c r="D3316" s="0" t="str">
        <f aca="false">IF(C3316=1,MOD(ABS(SIN(ROW()*12.9898+'הדבקת לידים'!$F$2*78.233+IFERROR(--RIGHT(A3316,6),LEN(A3316))*0.0137+IFERROR(--RIGHT(B3316,6),LEN(B3316))*0.0071))*43758.5453,1),"")</f>
        <v/>
      </c>
      <c r="E3316" s="0" t="str">
        <f aca="false">IF(C3316=1,INT(MOD(ABS(SIN(D3316*7919.123+ROW()*0.618+'הדבקת לידים'!$F$2*1.3))*43758.5453,1)*1000000)*10000+ROW(),"")</f>
        <v/>
      </c>
      <c r="F3316" s="0" t="str">
        <f aca="false">IF(E3316="","",RANK(E3316,$E$2:$E$5001,1))</f>
        <v/>
      </c>
      <c r="G3316" s="0" t="n">
        <f aca="false">IF(A3316="",0,IF(SUMPRODUCT(--($A$2:$A$5001=A3316))&gt;1,1,0))</f>
        <v>0</v>
      </c>
      <c r="H3316" s="0" t="n">
        <f aca="false">ROW()-1</f>
        <v>3315</v>
      </c>
      <c r="I3316" s="0" t="str">
        <f aca="false">IF(OR(הגדרות!$E$6=0,H3316&gt;הגדרות!$E$5),"",IF(H3316-1&lt;הגדרות!$E$8*(הגדרות!$E$7+1),INT((H3316-1)/(הגדרות!$E$7+1)),הגדרות!$E$8+INT((H3316-1-הגדרות!$E$8*(הגדרות!$E$7+1))/הגדרות!$E$7)))</f>
        <v/>
      </c>
      <c r="J3316" s="0" t="str">
        <f aca="false">IF(I3316="","",IF(H3316-1&lt;הגדרות!$E$8*(הגדרות!$E$7+1),MOD(H3316-1,הגדרות!$E$7+1),MOD(H3316-1-הגדרות!$E$8*(הגדרות!$E$7+1),הגדרות!$E$7)))</f>
        <v/>
      </c>
      <c r="K3316" s="0" t="str">
        <f aca="false">IF(I3316="","",J3316*הגדרות!$E$6+I3316+1)</f>
        <v/>
      </c>
      <c r="L3316" s="0" t="str">
        <f aca="false">IF(K3316="","",MATCH(K3316,$F$2:$F$5001,0))</f>
        <v/>
      </c>
      <c r="M3316" s="0" t="str">
        <f aca="false">IF(I3316="","",INDEX(הגדרות!$A$2:$A$21,MOD(I3316+הגדרות!$E$9,הגדרות!$E$6)+1))</f>
        <v/>
      </c>
    </row>
    <row r="3317" customFormat="false" ht="15" hidden="false" customHeight="false" outlineLevel="0" collapsed="false">
      <c r="A3317" s="0" t="str">
        <f aca="false">IF('הדבקת לידים'!A3317="","",IF(ISNUMBER('הדבקת לידים'!A3317),IF(הגדרות!$E$2&gt;0,TEXT('הדבקת לידים'!A3317,REPT("0",הגדרות!$E$2)),TEXT('הדבקת לידים'!A3317,"0")),TRIM('הדבקת לידים'!A3317)))</f>
        <v/>
      </c>
      <c r="B3317" s="0" t="str">
        <f aca="false">IF('הדבקת לידים'!B3317="","",IF(ISNUMBER('הדבקת לידים'!B3317),IF(הגדרות!$E$3&gt;0,TEXT('הדבקת לידים'!B3317,REPT("0",הגדרות!$E$3)),TEXT('הדבקת לידים'!B3317,"0")),TRIM('הדבקת לידים'!B3317)))</f>
        <v/>
      </c>
      <c r="C3317" s="0" t="n">
        <f aca="false">IF(OR(A3317&lt;&gt;"",B3317&lt;&gt;""),1,0)</f>
        <v>0</v>
      </c>
      <c r="D3317" s="0" t="str">
        <f aca="false">IF(C3317=1,MOD(ABS(SIN(ROW()*12.9898+'הדבקת לידים'!$F$2*78.233+IFERROR(--RIGHT(A3317,6),LEN(A3317))*0.0137+IFERROR(--RIGHT(B3317,6),LEN(B3317))*0.0071))*43758.5453,1),"")</f>
        <v/>
      </c>
      <c r="E3317" s="0" t="str">
        <f aca="false">IF(C3317=1,INT(MOD(ABS(SIN(D3317*7919.123+ROW()*0.618+'הדבקת לידים'!$F$2*1.3))*43758.5453,1)*1000000)*10000+ROW(),"")</f>
        <v/>
      </c>
      <c r="F3317" s="0" t="str">
        <f aca="false">IF(E3317="","",RANK(E3317,$E$2:$E$5001,1))</f>
        <v/>
      </c>
      <c r="G3317" s="0" t="n">
        <f aca="false">IF(A3317="",0,IF(SUMPRODUCT(--($A$2:$A$5001=A3317))&gt;1,1,0))</f>
        <v>0</v>
      </c>
      <c r="H3317" s="0" t="n">
        <f aca="false">ROW()-1</f>
        <v>3316</v>
      </c>
      <c r="I3317" s="0" t="str">
        <f aca="false">IF(OR(הגדרות!$E$6=0,H3317&gt;הגדרות!$E$5),"",IF(H3317-1&lt;הגדרות!$E$8*(הגדרות!$E$7+1),INT((H3317-1)/(הגדרות!$E$7+1)),הגדרות!$E$8+INT((H3317-1-הגדרות!$E$8*(הגדרות!$E$7+1))/הגדרות!$E$7)))</f>
        <v/>
      </c>
      <c r="J3317" s="0" t="str">
        <f aca="false">IF(I3317="","",IF(H3317-1&lt;הגדרות!$E$8*(הגדרות!$E$7+1),MOD(H3317-1,הגדרות!$E$7+1),MOD(H3317-1-הגדרות!$E$8*(הגדרות!$E$7+1),הגדרות!$E$7)))</f>
        <v/>
      </c>
      <c r="K3317" s="0" t="str">
        <f aca="false">IF(I3317="","",J3317*הגדרות!$E$6+I3317+1)</f>
        <v/>
      </c>
      <c r="L3317" s="0" t="str">
        <f aca="false">IF(K3317="","",MATCH(K3317,$F$2:$F$5001,0))</f>
        <v/>
      </c>
      <c r="M3317" s="0" t="str">
        <f aca="false">IF(I3317="","",INDEX(הגדרות!$A$2:$A$21,MOD(I3317+הגדרות!$E$9,הגדרות!$E$6)+1))</f>
        <v/>
      </c>
    </row>
    <row r="3318" customFormat="false" ht="15" hidden="false" customHeight="false" outlineLevel="0" collapsed="false">
      <c r="A3318" s="0" t="str">
        <f aca="false">IF('הדבקת לידים'!A3318="","",IF(ISNUMBER('הדבקת לידים'!A3318),IF(הגדרות!$E$2&gt;0,TEXT('הדבקת לידים'!A3318,REPT("0",הגדרות!$E$2)),TEXT('הדבקת לידים'!A3318,"0")),TRIM('הדבקת לידים'!A3318)))</f>
        <v/>
      </c>
      <c r="B3318" s="0" t="str">
        <f aca="false">IF('הדבקת לידים'!B3318="","",IF(ISNUMBER('הדבקת לידים'!B3318),IF(הגדרות!$E$3&gt;0,TEXT('הדבקת לידים'!B3318,REPT("0",הגדרות!$E$3)),TEXT('הדבקת לידים'!B3318,"0")),TRIM('הדבקת לידים'!B3318)))</f>
        <v/>
      </c>
      <c r="C3318" s="0" t="n">
        <f aca="false">IF(OR(A3318&lt;&gt;"",B3318&lt;&gt;""),1,0)</f>
        <v>0</v>
      </c>
      <c r="D3318" s="0" t="str">
        <f aca="false">IF(C3318=1,MOD(ABS(SIN(ROW()*12.9898+'הדבקת לידים'!$F$2*78.233+IFERROR(--RIGHT(A3318,6),LEN(A3318))*0.0137+IFERROR(--RIGHT(B3318,6),LEN(B3318))*0.0071))*43758.5453,1),"")</f>
        <v/>
      </c>
      <c r="E3318" s="0" t="str">
        <f aca="false">IF(C3318=1,INT(MOD(ABS(SIN(D3318*7919.123+ROW()*0.618+'הדבקת לידים'!$F$2*1.3))*43758.5453,1)*1000000)*10000+ROW(),"")</f>
        <v/>
      </c>
      <c r="F3318" s="0" t="str">
        <f aca="false">IF(E3318="","",RANK(E3318,$E$2:$E$5001,1))</f>
        <v/>
      </c>
      <c r="G3318" s="0" t="n">
        <f aca="false">IF(A3318="",0,IF(SUMPRODUCT(--($A$2:$A$5001=A3318))&gt;1,1,0))</f>
        <v>0</v>
      </c>
      <c r="H3318" s="0" t="n">
        <f aca="false">ROW()-1</f>
        <v>3317</v>
      </c>
      <c r="I3318" s="0" t="str">
        <f aca="false">IF(OR(הגדרות!$E$6=0,H3318&gt;הגדרות!$E$5),"",IF(H3318-1&lt;הגדרות!$E$8*(הגדרות!$E$7+1),INT((H3318-1)/(הגדרות!$E$7+1)),הגדרות!$E$8+INT((H3318-1-הגדרות!$E$8*(הגדרות!$E$7+1))/הגדרות!$E$7)))</f>
        <v/>
      </c>
      <c r="J3318" s="0" t="str">
        <f aca="false">IF(I3318="","",IF(H3318-1&lt;הגדרות!$E$8*(הגדרות!$E$7+1),MOD(H3318-1,הגדרות!$E$7+1),MOD(H3318-1-הגדרות!$E$8*(הגדרות!$E$7+1),הגדרות!$E$7)))</f>
        <v/>
      </c>
      <c r="K3318" s="0" t="str">
        <f aca="false">IF(I3318="","",J3318*הגדרות!$E$6+I3318+1)</f>
        <v/>
      </c>
      <c r="L3318" s="0" t="str">
        <f aca="false">IF(K3318="","",MATCH(K3318,$F$2:$F$5001,0))</f>
        <v/>
      </c>
      <c r="M3318" s="0" t="str">
        <f aca="false">IF(I3318="","",INDEX(הגדרות!$A$2:$A$21,MOD(I3318+הגדרות!$E$9,הגדרות!$E$6)+1))</f>
        <v/>
      </c>
    </row>
    <row r="3319" customFormat="false" ht="15" hidden="false" customHeight="false" outlineLevel="0" collapsed="false">
      <c r="A3319" s="0" t="str">
        <f aca="false">IF('הדבקת לידים'!A3319="","",IF(ISNUMBER('הדבקת לידים'!A3319),IF(הגדרות!$E$2&gt;0,TEXT('הדבקת לידים'!A3319,REPT("0",הגדרות!$E$2)),TEXT('הדבקת לידים'!A3319,"0")),TRIM('הדבקת לידים'!A3319)))</f>
        <v/>
      </c>
      <c r="B3319" s="0" t="str">
        <f aca="false">IF('הדבקת לידים'!B3319="","",IF(ISNUMBER('הדבקת לידים'!B3319),IF(הגדרות!$E$3&gt;0,TEXT('הדבקת לידים'!B3319,REPT("0",הגדרות!$E$3)),TEXT('הדבקת לידים'!B3319,"0")),TRIM('הדבקת לידים'!B3319)))</f>
        <v/>
      </c>
      <c r="C3319" s="0" t="n">
        <f aca="false">IF(OR(A3319&lt;&gt;"",B3319&lt;&gt;""),1,0)</f>
        <v>0</v>
      </c>
      <c r="D3319" s="0" t="str">
        <f aca="false">IF(C3319=1,MOD(ABS(SIN(ROW()*12.9898+'הדבקת לידים'!$F$2*78.233+IFERROR(--RIGHT(A3319,6),LEN(A3319))*0.0137+IFERROR(--RIGHT(B3319,6),LEN(B3319))*0.0071))*43758.5453,1),"")</f>
        <v/>
      </c>
      <c r="E3319" s="0" t="str">
        <f aca="false">IF(C3319=1,INT(MOD(ABS(SIN(D3319*7919.123+ROW()*0.618+'הדבקת לידים'!$F$2*1.3))*43758.5453,1)*1000000)*10000+ROW(),"")</f>
        <v/>
      </c>
      <c r="F3319" s="0" t="str">
        <f aca="false">IF(E3319="","",RANK(E3319,$E$2:$E$5001,1))</f>
        <v/>
      </c>
      <c r="G3319" s="0" t="n">
        <f aca="false">IF(A3319="",0,IF(SUMPRODUCT(--($A$2:$A$5001=A3319))&gt;1,1,0))</f>
        <v>0</v>
      </c>
      <c r="H3319" s="0" t="n">
        <f aca="false">ROW()-1</f>
        <v>3318</v>
      </c>
      <c r="I3319" s="0" t="str">
        <f aca="false">IF(OR(הגדרות!$E$6=0,H3319&gt;הגדרות!$E$5),"",IF(H3319-1&lt;הגדרות!$E$8*(הגדרות!$E$7+1),INT((H3319-1)/(הגדרות!$E$7+1)),הגדרות!$E$8+INT((H3319-1-הגדרות!$E$8*(הגדרות!$E$7+1))/הגדרות!$E$7)))</f>
        <v/>
      </c>
      <c r="J3319" s="0" t="str">
        <f aca="false">IF(I3319="","",IF(H3319-1&lt;הגדרות!$E$8*(הגדרות!$E$7+1),MOD(H3319-1,הגדרות!$E$7+1),MOD(H3319-1-הגדרות!$E$8*(הגדרות!$E$7+1),הגדרות!$E$7)))</f>
        <v/>
      </c>
      <c r="K3319" s="0" t="str">
        <f aca="false">IF(I3319="","",J3319*הגדרות!$E$6+I3319+1)</f>
        <v/>
      </c>
      <c r="L3319" s="0" t="str">
        <f aca="false">IF(K3319="","",MATCH(K3319,$F$2:$F$5001,0))</f>
        <v/>
      </c>
      <c r="M3319" s="0" t="str">
        <f aca="false">IF(I3319="","",INDEX(הגדרות!$A$2:$A$21,MOD(I3319+הגדרות!$E$9,הגדרות!$E$6)+1))</f>
        <v/>
      </c>
    </row>
    <row r="3320" customFormat="false" ht="15" hidden="false" customHeight="false" outlineLevel="0" collapsed="false">
      <c r="A3320" s="0" t="str">
        <f aca="false">IF('הדבקת לידים'!A3320="","",IF(ISNUMBER('הדבקת לידים'!A3320),IF(הגדרות!$E$2&gt;0,TEXT('הדבקת לידים'!A3320,REPT("0",הגדרות!$E$2)),TEXT('הדבקת לידים'!A3320,"0")),TRIM('הדבקת לידים'!A3320)))</f>
        <v/>
      </c>
      <c r="B3320" s="0" t="str">
        <f aca="false">IF('הדבקת לידים'!B3320="","",IF(ISNUMBER('הדבקת לידים'!B3320),IF(הגדרות!$E$3&gt;0,TEXT('הדבקת לידים'!B3320,REPT("0",הגדרות!$E$3)),TEXT('הדבקת לידים'!B3320,"0")),TRIM('הדבקת לידים'!B3320)))</f>
        <v/>
      </c>
      <c r="C3320" s="0" t="n">
        <f aca="false">IF(OR(A3320&lt;&gt;"",B3320&lt;&gt;""),1,0)</f>
        <v>0</v>
      </c>
      <c r="D3320" s="0" t="str">
        <f aca="false">IF(C3320=1,MOD(ABS(SIN(ROW()*12.9898+'הדבקת לידים'!$F$2*78.233+IFERROR(--RIGHT(A3320,6),LEN(A3320))*0.0137+IFERROR(--RIGHT(B3320,6),LEN(B3320))*0.0071))*43758.5453,1),"")</f>
        <v/>
      </c>
      <c r="E3320" s="0" t="str">
        <f aca="false">IF(C3320=1,INT(MOD(ABS(SIN(D3320*7919.123+ROW()*0.618+'הדבקת לידים'!$F$2*1.3))*43758.5453,1)*1000000)*10000+ROW(),"")</f>
        <v/>
      </c>
      <c r="F3320" s="0" t="str">
        <f aca="false">IF(E3320="","",RANK(E3320,$E$2:$E$5001,1))</f>
        <v/>
      </c>
      <c r="G3320" s="0" t="n">
        <f aca="false">IF(A3320="",0,IF(SUMPRODUCT(--($A$2:$A$5001=A3320))&gt;1,1,0))</f>
        <v>0</v>
      </c>
      <c r="H3320" s="0" t="n">
        <f aca="false">ROW()-1</f>
        <v>3319</v>
      </c>
      <c r="I3320" s="0" t="str">
        <f aca="false">IF(OR(הגדרות!$E$6=0,H3320&gt;הגדרות!$E$5),"",IF(H3320-1&lt;הגדרות!$E$8*(הגדרות!$E$7+1),INT((H3320-1)/(הגדרות!$E$7+1)),הגדרות!$E$8+INT((H3320-1-הגדרות!$E$8*(הגדרות!$E$7+1))/הגדרות!$E$7)))</f>
        <v/>
      </c>
      <c r="J3320" s="0" t="str">
        <f aca="false">IF(I3320="","",IF(H3320-1&lt;הגדרות!$E$8*(הגדרות!$E$7+1),MOD(H3320-1,הגדרות!$E$7+1),MOD(H3320-1-הגדרות!$E$8*(הגדרות!$E$7+1),הגדרות!$E$7)))</f>
        <v/>
      </c>
      <c r="K3320" s="0" t="str">
        <f aca="false">IF(I3320="","",J3320*הגדרות!$E$6+I3320+1)</f>
        <v/>
      </c>
      <c r="L3320" s="0" t="str">
        <f aca="false">IF(K3320="","",MATCH(K3320,$F$2:$F$5001,0))</f>
        <v/>
      </c>
      <c r="M3320" s="0" t="str">
        <f aca="false">IF(I3320="","",INDEX(הגדרות!$A$2:$A$21,MOD(I3320+הגדרות!$E$9,הגדרות!$E$6)+1))</f>
        <v/>
      </c>
    </row>
    <row r="3321" customFormat="false" ht="15" hidden="false" customHeight="false" outlineLevel="0" collapsed="false">
      <c r="A3321" s="0" t="str">
        <f aca="false">IF('הדבקת לידים'!A3321="","",IF(ISNUMBER('הדבקת לידים'!A3321),IF(הגדרות!$E$2&gt;0,TEXT('הדבקת לידים'!A3321,REPT("0",הגדרות!$E$2)),TEXT('הדבקת לידים'!A3321,"0")),TRIM('הדבקת לידים'!A3321)))</f>
        <v/>
      </c>
      <c r="B3321" s="0" t="str">
        <f aca="false">IF('הדבקת לידים'!B3321="","",IF(ISNUMBER('הדבקת לידים'!B3321),IF(הגדרות!$E$3&gt;0,TEXT('הדבקת לידים'!B3321,REPT("0",הגדרות!$E$3)),TEXT('הדבקת לידים'!B3321,"0")),TRIM('הדבקת לידים'!B3321)))</f>
        <v/>
      </c>
      <c r="C3321" s="0" t="n">
        <f aca="false">IF(OR(A3321&lt;&gt;"",B3321&lt;&gt;""),1,0)</f>
        <v>0</v>
      </c>
      <c r="D3321" s="0" t="str">
        <f aca="false">IF(C3321=1,MOD(ABS(SIN(ROW()*12.9898+'הדבקת לידים'!$F$2*78.233+IFERROR(--RIGHT(A3321,6),LEN(A3321))*0.0137+IFERROR(--RIGHT(B3321,6),LEN(B3321))*0.0071))*43758.5453,1),"")</f>
        <v/>
      </c>
      <c r="E3321" s="0" t="str">
        <f aca="false">IF(C3321=1,INT(MOD(ABS(SIN(D3321*7919.123+ROW()*0.618+'הדבקת לידים'!$F$2*1.3))*43758.5453,1)*1000000)*10000+ROW(),"")</f>
        <v/>
      </c>
      <c r="F3321" s="0" t="str">
        <f aca="false">IF(E3321="","",RANK(E3321,$E$2:$E$5001,1))</f>
        <v/>
      </c>
      <c r="G3321" s="0" t="n">
        <f aca="false">IF(A3321="",0,IF(SUMPRODUCT(--($A$2:$A$5001=A3321))&gt;1,1,0))</f>
        <v>0</v>
      </c>
      <c r="H3321" s="0" t="n">
        <f aca="false">ROW()-1</f>
        <v>3320</v>
      </c>
      <c r="I3321" s="0" t="str">
        <f aca="false">IF(OR(הגדרות!$E$6=0,H3321&gt;הגדרות!$E$5),"",IF(H3321-1&lt;הגדרות!$E$8*(הגדרות!$E$7+1),INT((H3321-1)/(הגדרות!$E$7+1)),הגדרות!$E$8+INT((H3321-1-הגדרות!$E$8*(הגדרות!$E$7+1))/הגדרות!$E$7)))</f>
        <v/>
      </c>
      <c r="J3321" s="0" t="str">
        <f aca="false">IF(I3321="","",IF(H3321-1&lt;הגדרות!$E$8*(הגדרות!$E$7+1),MOD(H3321-1,הגדרות!$E$7+1),MOD(H3321-1-הגדרות!$E$8*(הגדרות!$E$7+1),הגדרות!$E$7)))</f>
        <v/>
      </c>
      <c r="K3321" s="0" t="str">
        <f aca="false">IF(I3321="","",J3321*הגדרות!$E$6+I3321+1)</f>
        <v/>
      </c>
      <c r="L3321" s="0" t="str">
        <f aca="false">IF(K3321="","",MATCH(K3321,$F$2:$F$5001,0))</f>
        <v/>
      </c>
      <c r="M3321" s="0" t="str">
        <f aca="false">IF(I3321="","",INDEX(הגדרות!$A$2:$A$21,MOD(I3321+הגדרות!$E$9,הגדרות!$E$6)+1))</f>
        <v/>
      </c>
    </row>
    <row r="3322" customFormat="false" ht="15" hidden="false" customHeight="false" outlineLevel="0" collapsed="false">
      <c r="A3322" s="0" t="str">
        <f aca="false">IF('הדבקת לידים'!A3322="","",IF(ISNUMBER('הדבקת לידים'!A3322),IF(הגדרות!$E$2&gt;0,TEXT('הדבקת לידים'!A3322,REPT("0",הגדרות!$E$2)),TEXT('הדבקת לידים'!A3322,"0")),TRIM('הדבקת לידים'!A3322)))</f>
        <v/>
      </c>
      <c r="B3322" s="0" t="str">
        <f aca="false">IF('הדבקת לידים'!B3322="","",IF(ISNUMBER('הדבקת לידים'!B3322),IF(הגדרות!$E$3&gt;0,TEXT('הדבקת לידים'!B3322,REPT("0",הגדרות!$E$3)),TEXT('הדבקת לידים'!B3322,"0")),TRIM('הדבקת לידים'!B3322)))</f>
        <v/>
      </c>
      <c r="C3322" s="0" t="n">
        <f aca="false">IF(OR(A3322&lt;&gt;"",B3322&lt;&gt;""),1,0)</f>
        <v>0</v>
      </c>
      <c r="D3322" s="0" t="str">
        <f aca="false">IF(C3322=1,MOD(ABS(SIN(ROW()*12.9898+'הדבקת לידים'!$F$2*78.233+IFERROR(--RIGHT(A3322,6),LEN(A3322))*0.0137+IFERROR(--RIGHT(B3322,6),LEN(B3322))*0.0071))*43758.5453,1),"")</f>
        <v/>
      </c>
      <c r="E3322" s="0" t="str">
        <f aca="false">IF(C3322=1,INT(MOD(ABS(SIN(D3322*7919.123+ROW()*0.618+'הדבקת לידים'!$F$2*1.3))*43758.5453,1)*1000000)*10000+ROW(),"")</f>
        <v/>
      </c>
      <c r="F3322" s="0" t="str">
        <f aca="false">IF(E3322="","",RANK(E3322,$E$2:$E$5001,1))</f>
        <v/>
      </c>
      <c r="G3322" s="0" t="n">
        <f aca="false">IF(A3322="",0,IF(SUMPRODUCT(--($A$2:$A$5001=A3322))&gt;1,1,0))</f>
        <v>0</v>
      </c>
      <c r="H3322" s="0" t="n">
        <f aca="false">ROW()-1</f>
        <v>3321</v>
      </c>
      <c r="I3322" s="0" t="str">
        <f aca="false">IF(OR(הגדרות!$E$6=0,H3322&gt;הגדרות!$E$5),"",IF(H3322-1&lt;הגדרות!$E$8*(הגדרות!$E$7+1),INT((H3322-1)/(הגדרות!$E$7+1)),הגדרות!$E$8+INT((H3322-1-הגדרות!$E$8*(הגדרות!$E$7+1))/הגדרות!$E$7)))</f>
        <v/>
      </c>
      <c r="J3322" s="0" t="str">
        <f aca="false">IF(I3322="","",IF(H3322-1&lt;הגדרות!$E$8*(הגדרות!$E$7+1),MOD(H3322-1,הגדרות!$E$7+1),MOD(H3322-1-הגדרות!$E$8*(הגדרות!$E$7+1),הגדרות!$E$7)))</f>
        <v/>
      </c>
      <c r="K3322" s="0" t="str">
        <f aca="false">IF(I3322="","",J3322*הגדרות!$E$6+I3322+1)</f>
        <v/>
      </c>
      <c r="L3322" s="0" t="str">
        <f aca="false">IF(K3322="","",MATCH(K3322,$F$2:$F$5001,0))</f>
        <v/>
      </c>
      <c r="M3322" s="0" t="str">
        <f aca="false">IF(I3322="","",INDEX(הגדרות!$A$2:$A$21,MOD(I3322+הגדרות!$E$9,הגדרות!$E$6)+1))</f>
        <v/>
      </c>
    </row>
    <row r="3323" customFormat="false" ht="15" hidden="false" customHeight="false" outlineLevel="0" collapsed="false">
      <c r="A3323" s="0" t="str">
        <f aca="false">IF('הדבקת לידים'!A3323="","",IF(ISNUMBER('הדבקת לידים'!A3323),IF(הגדרות!$E$2&gt;0,TEXT('הדבקת לידים'!A3323,REPT("0",הגדרות!$E$2)),TEXT('הדבקת לידים'!A3323,"0")),TRIM('הדבקת לידים'!A3323)))</f>
        <v/>
      </c>
      <c r="B3323" s="0" t="str">
        <f aca="false">IF('הדבקת לידים'!B3323="","",IF(ISNUMBER('הדבקת לידים'!B3323),IF(הגדרות!$E$3&gt;0,TEXT('הדבקת לידים'!B3323,REPT("0",הגדרות!$E$3)),TEXT('הדבקת לידים'!B3323,"0")),TRIM('הדבקת לידים'!B3323)))</f>
        <v/>
      </c>
      <c r="C3323" s="0" t="n">
        <f aca="false">IF(OR(A3323&lt;&gt;"",B3323&lt;&gt;""),1,0)</f>
        <v>0</v>
      </c>
      <c r="D3323" s="0" t="str">
        <f aca="false">IF(C3323=1,MOD(ABS(SIN(ROW()*12.9898+'הדבקת לידים'!$F$2*78.233+IFERROR(--RIGHT(A3323,6),LEN(A3323))*0.0137+IFERROR(--RIGHT(B3323,6),LEN(B3323))*0.0071))*43758.5453,1),"")</f>
        <v/>
      </c>
      <c r="E3323" s="0" t="str">
        <f aca="false">IF(C3323=1,INT(MOD(ABS(SIN(D3323*7919.123+ROW()*0.618+'הדבקת לידים'!$F$2*1.3))*43758.5453,1)*1000000)*10000+ROW(),"")</f>
        <v/>
      </c>
      <c r="F3323" s="0" t="str">
        <f aca="false">IF(E3323="","",RANK(E3323,$E$2:$E$5001,1))</f>
        <v/>
      </c>
      <c r="G3323" s="0" t="n">
        <f aca="false">IF(A3323="",0,IF(SUMPRODUCT(--($A$2:$A$5001=A3323))&gt;1,1,0))</f>
        <v>0</v>
      </c>
      <c r="H3323" s="0" t="n">
        <f aca="false">ROW()-1</f>
        <v>3322</v>
      </c>
      <c r="I3323" s="0" t="str">
        <f aca="false">IF(OR(הגדרות!$E$6=0,H3323&gt;הגדרות!$E$5),"",IF(H3323-1&lt;הגדרות!$E$8*(הגדרות!$E$7+1),INT((H3323-1)/(הגדרות!$E$7+1)),הגדרות!$E$8+INT((H3323-1-הגדרות!$E$8*(הגדרות!$E$7+1))/הגדרות!$E$7)))</f>
        <v/>
      </c>
      <c r="J3323" s="0" t="str">
        <f aca="false">IF(I3323="","",IF(H3323-1&lt;הגדרות!$E$8*(הגדרות!$E$7+1),MOD(H3323-1,הגדרות!$E$7+1),MOD(H3323-1-הגדרות!$E$8*(הגדרות!$E$7+1),הגדרות!$E$7)))</f>
        <v/>
      </c>
      <c r="K3323" s="0" t="str">
        <f aca="false">IF(I3323="","",J3323*הגדרות!$E$6+I3323+1)</f>
        <v/>
      </c>
      <c r="L3323" s="0" t="str">
        <f aca="false">IF(K3323="","",MATCH(K3323,$F$2:$F$5001,0))</f>
        <v/>
      </c>
      <c r="M3323" s="0" t="str">
        <f aca="false">IF(I3323="","",INDEX(הגדרות!$A$2:$A$21,MOD(I3323+הגדרות!$E$9,הגדרות!$E$6)+1))</f>
        <v/>
      </c>
    </row>
    <row r="3324" customFormat="false" ht="15" hidden="false" customHeight="false" outlineLevel="0" collapsed="false">
      <c r="A3324" s="0" t="str">
        <f aca="false">IF('הדבקת לידים'!A3324="","",IF(ISNUMBER('הדבקת לידים'!A3324),IF(הגדרות!$E$2&gt;0,TEXT('הדבקת לידים'!A3324,REPT("0",הגדרות!$E$2)),TEXT('הדבקת לידים'!A3324,"0")),TRIM('הדבקת לידים'!A3324)))</f>
        <v/>
      </c>
      <c r="B3324" s="0" t="str">
        <f aca="false">IF('הדבקת לידים'!B3324="","",IF(ISNUMBER('הדבקת לידים'!B3324),IF(הגדרות!$E$3&gt;0,TEXT('הדבקת לידים'!B3324,REPT("0",הגדרות!$E$3)),TEXT('הדבקת לידים'!B3324,"0")),TRIM('הדבקת לידים'!B3324)))</f>
        <v/>
      </c>
      <c r="C3324" s="0" t="n">
        <f aca="false">IF(OR(A3324&lt;&gt;"",B3324&lt;&gt;""),1,0)</f>
        <v>0</v>
      </c>
      <c r="D3324" s="0" t="str">
        <f aca="false">IF(C3324=1,MOD(ABS(SIN(ROW()*12.9898+'הדבקת לידים'!$F$2*78.233+IFERROR(--RIGHT(A3324,6),LEN(A3324))*0.0137+IFERROR(--RIGHT(B3324,6),LEN(B3324))*0.0071))*43758.5453,1),"")</f>
        <v/>
      </c>
      <c r="E3324" s="0" t="str">
        <f aca="false">IF(C3324=1,INT(MOD(ABS(SIN(D3324*7919.123+ROW()*0.618+'הדבקת לידים'!$F$2*1.3))*43758.5453,1)*1000000)*10000+ROW(),"")</f>
        <v/>
      </c>
      <c r="F3324" s="0" t="str">
        <f aca="false">IF(E3324="","",RANK(E3324,$E$2:$E$5001,1))</f>
        <v/>
      </c>
      <c r="G3324" s="0" t="n">
        <f aca="false">IF(A3324="",0,IF(SUMPRODUCT(--($A$2:$A$5001=A3324))&gt;1,1,0))</f>
        <v>0</v>
      </c>
      <c r="H3324" s="0" t="n">
        <f aca="false">ROW()-1</f>
        <v>3323</v>
      </c>
      <c r="I3324" s="0" t="str">
        <f aca="false">IF(OR(הגדרות!$E$6=0,H3324&gt;הגדרות!$E$5),"",IF(H3324-1&lt;הגדרות!$E$8*(הגדרות!$E$7+1),INT((H3324-1)/(הגדרות!$E$7+1)),הגדרות!$E$8+INT((H3324-1-הגדרות!$E$8*(הגדרות!$E$7+1))/הגדרות!$E$7)))</f>
        <v/>
      </c>
      <c r="J3324" s="0" t="str">
        <f aca="false">IF(I3324="","",IF(H3324-1&lt;הגדרות!$E$8*(הגדרות!$E$7+1),MOD(H3324-1,הגדרות!$E$7+1),MOD(H3324-1-הגדרות!$E$8*(הגדרות!$E$7+1),הגדרות!$E$7)))</f>
        <v/>
      </c>
      <c r="K3324" s="0" t="str">
        <f aca="false">IF(I3324="","",J3324*הגדרות!$E$6+I3324+1)</f>
        <v/>
      </c>
      <c r="L3324" s="0" t="str">
        <f aca="false">IF(K3324="","",MATCH(K3324,$F$2:$F$5001,0))</f>
        <v/>
      </c>
      <c r="M3324" s="0" t="str">
        <f aca="false">IF(I3324="","",INDEX(הגדרות!$A$2:$A$21,MOD(I3324+הגדרות!$E$9,הגדרות!$E$6)+1))</f>
        <v/>
      </c>
    </row>
    <row r="3325" customFormat="false" ht="15" hidden="false" customHeight="false" outlineLevel="0" collapsed="false">
      <c r="A3325" s="0" t="str">
        <f aca="false">IF('הדבקת לידים'!A3325="","",IF(ISNUMBER('הדבקת לידים'!A3325),IF(הגדרות!$E$2&gt;0,TEXT('הדבקת לידים'!A3325,REPT("0",הגדרות!$E$2)),TEXT('הדבקת לידים'!A3325,"0")),TRIM('הדבקת לידים'!A3325)))</f>
        <v/>
      </c>
      <c r="B3325" s="0" t="str">
        <f aca="false">IF('הדבקת לידים'!B3325="","",IF(ISNUMBER('הדבקת לידים'!B3325),IF(הגדרות!$E$3&gt;0,TEXT('הדבקת לידים'!B3325,REPT("0",הגדרות!$E$3)),TEXT('הדבקת לידים'!B3325,"0")),TRIM('הדבקת לידים'!B3325)))</f>
        <v/>
      </c>
      <c r="C3325" s="0" t="n">
        <f aca="false">IF(OR(A3325&lt;&gt;"",B3325&lt;&gt;""),1,0)</f>
        <v>0</v>
      </c>
      <c r="D3325" s="0" t="str">
        <f aca="false">IF(C3325=1,MOD(ABS(SIN(ROW()*12.9898+'הדבקת לידים'!$F$2*78.233+IFERROR(--RIGHT(A3325,6),LEN(A3325))*0.0137+IFERROR(--RIGHT(B3325,6),LEN(B3325))*0.0071))*43758.5453,1),"")</f>
        <v/>
      </c>
      <c r="E3325" s="0" t="str">
        <f aca="false">IF(C3325=1,INT(MOD(ABS(SIN(D3325*7919.123+ROW()*0.618+'הדבקת לידים'!$F$2*1.3))*43758.5453,1)*1000000)*10000+ROW(),"")</f>
        <v/>
      </c>
      <c r="F3325" s="0" t="str">
        <f aca="false">IF(E3325="","",RANK(E3325,$E$2:$E$5001,1))</f>
        <v/>
      </c>
      <c r="G3325" s="0" t="n">
        <f aca="false">IF(A3325="",0,IF(SUMPRODUCT(--($A$2:$A$5001=A3325))&gt;1,1,0))</f>
        <v>0</v>
      </c>
      <c r="H3325" s="0" t="n">
        <f aca="false">ROW()-1</f>
        <v>3324</v>
      </c>
      <c r="I3325" s="0" t="str">
        <f aca="false">IF(OR(הגדרות!$E$6=0,H3325&gt;הגדרות!$E$5),"",IF(H3325-1&lt;הגדרות!$E$8*(הגדרות!$E$7+1),INT((H3325-1)/(הגדרות!$E$7+1)),הגדרות!$E$8+INT((H3325-1-הגדרות!$E$8*(הגדרות!$E$7+1))/הגדרות!$E$7)))</f>
        <v/>
      </c>
      <c r="J3325" s="0" t="str">
        <f aca="false">IF(I3325="","",IF(H3325-1&lt;הגדרות!$E$8*(הגדרות!$E$7+1),MOD(H3325-1,הגדרות!$E$7+1),MOD(H3325-1-הגדרות!$E$8*(הגדרות!$E$7+1),הגדרות!$E$7)))</f>
        <v/>
      </c>
      <c r="K3325" s="0" t="str">
        <f aca="false">IF(I3325="","",J3325*הגדרות!$E$6+I3325+1)</f>
        <v/>
      </c>
      <c r="L3325" s="0" t="str">
        <f aca="false">IF(K3325="","",MATCH(K3325,$F$2:$F$5001,0))</f>
        <v/>
      </c>
      <c r="M3325" s="0" t="str">
        <f aca="false">IF(I3325="","",INDEX(הגדרות!$A$2:$A$21,MOD(I3325+הגדרות!$E$9,הגדרות!$E$6)+1))</f>
        <v/>
      </c>
    </row>
    <row r="3326" customFormat="false" ht="15" hidden="false" customHeight="false" outlineLevel="0" collapsed="false">
      <c r="A3326" s="0" t="str">
        <f aca="false">IF('הדבקת לידים'!A3326="","",IF(ISNUMBER('הדבקת לידים'!A3326),IF(הגדרות!$E$2&gt;0,TEXT('הדבקת לידים'!A3326,REPT("0",הגדרות!$E$2)),TEXT('הדבקת לידים'!A3326,"0")),TRIM('הדבקת לידים'!A3326)))</f>
        <v/>
      </c>
      <c r="B3326" s="0" t="str">
        <f aca="false">IF('הדבקת לידים'!B3326="","",IF(ISNUMBER('הדבקת לידים'!B3326),IF(הגדרות!$E$3&gt;0,TEXT('הדבקת לידים'!B3326,REPT("0",הגדרות!$E$3)),TEXT('הדבקת לידים'!B3326,"0")),TRIM('הדבקת לידים'!B3326)))</f>
        <v/>
      </c>
      <c r="C3326" s="0" t="n">
        <f aca="false">IF(OR(A3326&lt;&gt;"",B3326&lt;&gt;""),1,0)</f>
        <v>0</v>
      </c>
      <c r="D3326" s="0" t="str">
        <f aca="false">IF(C3326=1,MOD(ABS(SIN(ROW()*12.9898+'הדבקת לידים'!$F$2*78.233+IFERROR(--RIGHT(A3326,6),LEN(A3326))*0.0137+IFERROR(--RIGHT(B3326,6),LEN(B3326))*0.0071))*43758.5453,1),"")</f>
        <v/>
      </c>
      <c r="E3326" s="0" t="str">
        <f aca="false">IF(C3326=1,INT(MOD(ABS(SIN(D3326*7919.123+ROW()*0.618+'הדבקת לידים'!$F$2*1.3))*43758.5453,1)*1000000)*10000+ROW(),"")</f>
        <v/>
      </c>
      <c r="F3326" s="0" t="str">
        <f aca="false">IF(E3326="","",RANK(E3326,$E$2:$E$5001,1))</f>
        <v/>
      </c>
      <c r="G3326" s="0" t="n">
        <f aca="false">IF(A3326="",0,IF(SUMPRODUCT(--($A$2:$A$5001=A3326))&gt;1,1,0))</f>
        <v>0</v>
      </c>
      <c r="H3326" s="0" t="n">
        <f aca="false">ROW()-1</f>
        <v>3325</v>
      </c>
      <c r="I3326" s="0" t="str">
        <f aca="false">IF(OR(הגדרות!$E$6=0,H3326&gt;הגדרות!$E$5),"",IF(H3326-1&lt;הגדרות!$E$8*(הגדרות!$E$7+1),INT((H3326-1)/(הגדרות!$E$7+1)),הגדרות!$E$8+INT((H3326-1-הגדרות!$E$8*(הגדרות!$E$7+1))/הגדרות!$E$7)))</f>
        <v/>
      </c>
      <c r="J3326" s="0" t="str">
        <f aca="false">IF(I3326="","",IF(H3326-1&lt;הגדרות!$E$8*(הגדרות!$E$7+1),MOD(H3326-1,הגדרות!$E$7+1),MOD(H3326-1-הגדרות!$E$8*(הגדרות!$E$7+1),הגדרות!$E$7)))</f>
        <v/>
      </c>
      <c r="K3326" s="0" t="str">
        <f aca="false">IF(I3326="","",J3326*הגדרות!$E$6+I3326+1)</f>
        <v/>
      </c>
      <c r="L3326" s="0" t="str">
        <f aca="false">IF(K3326="","",MATCH(K3326,$F$2:$F$5001,0))</f>
        <v/>
      </c>
      <c r="M3326" s="0" t="str">
        <f aca="false">IF(I3326="","",INDEX(הגדרות!$A$2:$A$21,MOD(I3326+הגדרות!$E$9,הגדרות!$E$6)+1))</f>
        <v/>
      </c>
    </row>
    <row r="3327" customFormat="false" ht="15" hidden="false" customHeight="false" outlineLevel="0" collapsed="false">
      <c r="A3327" s="0" t="str">
        <f aca="false">IF('הדבקת לידים'!A3327="","",IF(ISNUMBER('הדבקת לידים'!A3327),IF(הגדרות!$E$2&gt;0,TEXT('הדבקת לידים'!A3327,REPT("0",הגדרות!$E$2)),TEXT('הדבקת לידים'!A3327,"0")),TRIM('הדבקת לידים'!A3327)))</f>
        <v/>
      </c>
      <c r="B3327" s="0" t="str">
        <f aca="false">IF('הדבקת לידים'!B3327="","",IF(ISNUMBER('הדבקת לידים'!B3327),IF(הגדרות!$E$3&gt;0,TEXT('הדבקת לידים'!B3327,REPT("0",הגדרות!$E$3)),TEXT('הדבקת לידים'!B3327,"0")),TRIM('הדבקת לידים'!B3327)))</f>
        <v/>
      </c>
      <c r="C3327" s="0" t="n">
        <f aca="false">IF(OR(A3327&lt;&gt;"",B3327&lt;&gt;""),1,0)</f>
        <v>0</v>
      </c>
      <c r="D3327" s="0" t="str">
        <f aca="false">IF(C3327=1,MOD(ABS(SIN(ROW()*12.9898+'הדבקת לידים'!$F$2*78.233+IFERROR(--RIGHT(A3327,6),LEN(A3327))*0.0137+IFERROR(--RIGHT(B3327,6),LEN(B3327))*0.0071))*43758.5453,1),"")</f>
        <v/>
      </c>
      <c r="E3327" s="0" t="str">
        <f aca="false">IF(C3327=1,INT(MOD(ABS(SIN(D3327*7919.123+ROW()*0.618+'הדבקת לידים'!$F$2*1.3))*43758.5453,1)*1000000)*10000+ROW(),"")</f>
        <v/>
      </c>
      <c r="F3327" s="0" t="str">
        <f aca="false">IF(E3327="","",RANK(E3327,$E$2:$E$5001,1))</f>
        <v/>
      </c>
      <c r="G3327" s="0" t="n">
        <f aca="false">IF(A3327="",0,IF(SUMPRODUCT(--($A$2:$A$5001=A3327))&gt;1,1,0))</f>
        <v>0</v>
      </c>
      <c r="H3327" s="0" t="n">
        <f aca="false">ROW()-1</f>
        <v>3326</v>
      </c>
      <c r="I3327" s="0" t="str">
        <f aca="false">IF(OR(הגדרות!$E$6=0,H3327&gt;הגדרות!$E$5),"",IF(H3327-1&lt;הגדרות!$E$8*(הגדרות!$E$7+1),INT((H3327-1)/(הגדרות!$E$7+1)),הגדרות!$E$8+INT((H3327-1-הגדרות!$E$8*(הגדרות!$E$7+1))/הגדרות!$E$7)))</f>
        <v/>
      </c>
      <c r="J3327" s="0" t="str">
        <f aca="false">IF(I3327="","",IF(H3327-1&lt;הגדרות!$E$8*(הגדרות!$E$7+1),MOD(H3327-1,הגדרות!$E$7+1),MOD(H3327-1-הגדרות!$E$8*(הגדרות!$E$7+1),הגדרות!$E$7)))</f>
        <v/>
      </c>
      <c r="K3327" s="0" t="str">
        <f aca="false">IF(I3327="","",J3327*הגדרות!$E$6+I3327+1)</f>
        <v/>
      </c>
      <c r="L3327" s="0" t="str">
        <f aca="false">IF(K3327="","",MATCH(K3327,$F$2:$F$5001,0))</f>
        <v/>
      </c>
      <c r="M3327" s="0" t="str">
        <f aca="false">IF(I3327="","",INDEX(הגדרות!$A$2:$A$21,MOD(I3327+הגדרות!$E$9,הגדרות!$E$6)+1))</f>
        <v/>
      </c>
    </row>
    <row r="3328" customFormat="false" ht="15" hidden="false" customHeight="false" outlineLevel="0" collapsed="false">
      <c r="A3328" s="0" t="str">
        <f aca="false">IF('הדבקת לידים'!A3328="","",IF(ISNUMBER('הדבקת לידים'!A3328),IF(הגדרות!$E$2&gt;0,TEXT('הדבקת לידים'!A3328,REPT("0",הגדרות!$E$2)),TEXT('הדבקת לידים'!A3328,"0")),TRIM('הדבקת לידים'!A3328)))</f>
        <v/>
      </c>
      <c r="B3328" s="0" t="str">
        <f aca="false">IF('הדבקת לידים'!B3328="","",IF(ISNUMBER('הדבקת לידים'!B3328),IF(הגדרות!$E$3&gt;0,TEXT('הדבקת לידים'!B3328,REPT("0",הגדרות!$E$3)),TEXT('הדבקת לידים'!B3328,"0")),TRIM('הדבקת לידים'!B3328)))</f>
        <v/>
      </c>
      <c r="C3328" s="0" t="n">
        <f aca="false">IF(OR(A3328&lt;&gt;"",B3328&lt;&gt;""),1,0)</f>
        <v>0</v>
      </c>
      <c r="D3328" s="0" t="str">
        <f aca="false">IF(C3328=1,MOD(ABS(SIN(ROW()*12.9898+'הדבקת לידים'!$F$2*78.233+IFERROR(--RIGHT(A3328,6),LEN(A3328))*0.0137+IFERROR(--RIGHT(B3328,6),LEN(B3328))*0.0071))*43758.5453,1),"")</f>
        <v/>
      </c>
      <c r="E3328" s="0" t="str">
        <f aca="false">IF(C3328=1,INT(MOD(ABS(SIN(D3328*7919.123+ROW()*0.618+'הדבקת לידים'!$F$2*1.3))*43758.5453,1)*1000000)*10000+ROW(),"")</f>
        <v/>
      </c>
      <c r="F3328" s="0" t="str">
        <f aca="false">IF(E3328="","",RANK(E3328,$E$2:$E$5001,1))</f>
        <v/>
      </c>
      <c r="G3328" s="0" t="n">
        <f aca="false">IF(A3328="",0,IF(SUMPRODUCT(--($A$2:$A$5001=A3328))&gt;1,1,0))</f>
        <v>0</v>
      </c>
      <c r="H3328" s="0" t="n">
        <f aca="false">ROW()-1</f>
        <v>3327</v>
      </c>
      <c r="I3328" s="0" t="str">
        <f aca="false">IF(OR(הגדרות!$E$6=0,H3328&gt;הגדרות!$E$5),"",IF(H3328-1&lt;הגדרות!$E$8*(הגדרות!$E$7+1),INT((H3328-1)/(הגדרות!$E$7+1)),הגדרות!$E$8+INT((H3328-1-הגדרות!$E$8*(הגדרות!$E$7+1))/הגדרות!$E$7)))</f>
        <v/>
      </c>
      <c r="J3328" s="0" t="str">
        <f aca="false">IF(I3328="","",IF(H3328-1&lt;הגדרות!$E$8*(הגדרות!$E$7+1),MOD(H3328-1,הגדרות!$E$7+1),MOD(H3328-1-הגדרות!$E$8*(הגדרות!$E$7+1),הגדרות!$E$7)))</f>
        <v/>
      </c>
      <c r="K3328" s="0" t="str">
        <f aca="false">IF(I3328="","",J3328*הגדרות!$E$6+I3328+1)</f>
        <v/>
      </c>
      <c r="L3328" s="0" t="str">
        <f aca="false">IF(K3328="","",MATCH(K3328,$F$2:$F$5001,0))</f>
        <v/>
      </c>
      <c r="M3328" s="0" t="str">
        <f aca="false">IF(I3328="","",INDEX(הגדרות!$A$2:$A$21,MOD(I3328+הגדרות!$E$9,הגדרות!$E$6)+1))</f>
        <v/>
      </c>
    </row>
    <row r="3329" customFormat="false" ht="15" hidden="false" customHeight="false" outlineLevel="0" collapsed="false">
      <c r="A3329" s="0" t="str">
        <f aca="false">IF('הדבקת לידים'!A3329="","",IF(ISNUMBER('הדבקת לידים'!A3329),IF(הגדרות!$E$2&gt;0,TEXT('הדבקת לידים'!A3329,REPT("0",הגדרות!$E$2)),TEXT('הדבקת לידים'!A3329,"0")),TRIM('הדבקת לידים'!A3329)))</f>
        <v/>
      </c>
      <c r="B3329" s="0" t="str">
        <f aca="false">IF('הדבקת לידים'!B3329="","",IF(ISNUMBER('הדבקת לידים'!B3329),IF(הגדרות!$E$3&gt;0,TEXT('הדבקת לידים'!B3329,REPT("0",הגדרות!$E$3)),TEXT('הדבקת לידים'!B3329,"0")),TRIM('הדבקת לידים'!B3329)))</f>
        <v/>
      </c>
      <c r="C3329" s="0" t="n">
        <f aca="false">IF(OR(A3329&lt;&gt;"",B3329&lt;&gt;""),1,0)</f>
        <v>0</v>
      </c>
      <c r="D3329" s="0" t="str">
        <f aca="false">IF(C3329=1,MOD(ABS(SIN(ROW()*12.9898+'הדבקת לידים'!$F$2*78.233+IFERROR(--RIGHT(A3329,6),LEN(A3329))*0.0137+IFERROR(--RIGHT(B3329,6),LEN(B3329))*0.0071))*43758.5453,1),"")</f>
        <v/>
      </c>
      <c r="E3329" s="0" t="str">
        <f aca="false">IF(C3329=1,INT(MOD(ABS(SIN(D3329*7919.123+ROW()*0.618+'הדבקת לידים'!$F$2*1.3))*43758.5453,1)*1000000)*10000+ROW(),"")</f>
        <v/>
      </c>
      <c r="F3329" s="0" t="str">
        <f aca="false">IF(E3329="","",RANK(E3329,$E$2:$E$5001,1))</f>
        <v/>
      </c>
      <c r="G3329" s="0" t="n">
        <f aca="false">IF(A3329="",0,IF(SUMPRODUCT(--($A$2:$A$5001=A3329))&gt;1,1,0))</f>
        <v>0</v>
      </c>
      <c r="H3329" s="0" t="n">
        <f aca="false">ROW()-1</f>
        <v>3328</v>
      </c>
      <c r="I3329" s="0" t="str">
        <f aca="false">IF(OR(הגדרות!$E$6=0,H3329&gt;הגדרות!$E$5),"",IF(H3329-1&lt;הגדרות!$E$8*(הגדרות!$E$7+1),INT((H3329-1)/(הגדרות!$E$7+1)),הגדרות!$E$8+INT((H3329-1-הגדרות!$E$8*(הגדרות!$E$7+1))/הגדרות!$E$7)))</f>
        <v/>
      </c>
      <c r="J3329" s="0" t="str">
        <f aca="false">IF(I3329="","",IF(H3329-1&lt;הגדרות!$E$8*(הגדרות!$E$7+1),MOD(H3329-1,הגדרות!$E$7+1),MOD(H3329-1-הגדרות!$E$8*(הגדרות!$E$7+1),הגדרות!$E$7)))</f>
        <v/>
      </c>
      <c r="K3329" s="0" t="str">
        <f aca="false">IF(I3329="","",J3329*הגדרות!$E$6+I3329+1)</f>
        <v/>
      </c>
      <c r="L3329" s="0" t="str">
        <f aca="false">IF(K3329="","",MATCH(K3329,$F$2:$F$5001,0))</f>
        <v/>
      </c>
      <c r="M3329" s="0" t="str">
        <f aca="false">IF(I3329="","",INDEX(הגדרות!$A$2:$A$21,MOD(I3329+הגדרות!$E$9,הגדרות!$E$6)+1))</f>
        <v/>
      </c>
    </row>
    <row r="3330" customFormat="false" ht="15" hidden="false" customHeight="false" outlineLevel="0" collapsed="false">
      <c r="A3330" s="0" t="str">
        <f aca="false">IF('הדבקת לידים'!A3330="","",IF(ISNUMBER('הדבקת לידים'!A3330),IF(הגדרות!$E$2&gt;0,TEXT('הדבקת לידים'!A3330,REPT("0",הגדרות!$E$2)),TEXT('הדבקת לידים'!A3330,"0")),TRIM('הדבקת לידים'!A3330)))</f>
        <v/>
      </c>
      <c r="B3330" s="0" t="str">
        <f aca="false">IF('הדבקת לידים'!B3330="","",IF(ISNUMBER('הדבקת לידים'!B3330),IF(הגדרות!$E$3&gt;0,TEXT('הדבקת לידים'!B3330,REPT("0",הגדרות!$E$3)),TEXT('הדבקת לידים'!B3330,"0")),TRIM('הדבקת לידים'!B3330)))</f>
        <v/>
      </c>
      <c r="C3330" s="0" t="n">
        <f aca="false">IF(OR(A3330&lt;&gt;"",B3330&lt;&gt;""),1,0)</f>
        <v>0</v>
      </c>
      <c r="D3330" s="0" t="str">
        <f aca="false">IF(C3330=1,MOD(ABS(SIN(ROW()*12.9898+'הדבקת לידים'!$F$2*78.233+IFERROR(--RIGHT(A3330,6),LEN(A3330))*0.0137+IFERROR(--RIGHT(B3330,6),LEN(B3330))*0.0071))*43758.5453,1),"")</f>
        <v/>
      </c>
      <c r="E3330" s="0" t="str">
        <f aca="false">IF(C3330=1,INT(MOD(ABS(SIN(D3330*7919.123+ROW()*0.618+'הדבקת לידים'!$F$2*1.3))*43758.5453,1)*1000000)*10000+ROW(),"")</f>
        <v/>
      </c>
      <c r="F3330" s="0" t="str">
        <f aca="false">IF(E3330="","",RANK(E3330,$E$2:$E$5001,1))</f>
        <v/>
      </c>
      <c r="G3330" s="0" t="n">
        <f aca="false">IF(A3330="",0,IF(SUMPRODUCT(--($A$2:$A$5001=A3330))&gt;1,1,0))</f>
        <v>0</v>
      </c>
      <c r="H3330" s="0" t="n">
        <f aca="false">ROW()-1</f>
        <v>3329</v>
      </c>
      <c r="I3330" s="0" t="str">
        <f aca="false">IF(OR(הגדרות!$E$6=0,H3330&gt;הגדרות!$E$5),"",IF(H3330-1&lt;הגדרות!$E$8*(הגדרות!$E$7+1),INT((H3330-1)/(הגדרות!$E$7+1)),הגדרות!$E$8+INT((H3330-1-הגדרות!$E$8*(הגדרות!$E$7+1))/הגדרות!$E$7)))</f>
        <v/>
      </c>
      <c r="J3330" s="0" t="str">
        <f aca="false">IF(I3330="","",IF(H3330-1&lt;הגדרות!$E$8*(הגדרות!$E$7+1),MOD(H3330-1,הגדרות!$E$7+1),MOD(H3330-1-הגדרות!$E$8*(הגדרות!$E$7+1),הגדרות!$E$7)))</f>
        <v/>
      </c>
      <c r="K3330" s="0" t="str">
        <f aca="false">IF(I3330="","",J3330*הגדרות!$E$6+I3330+1)</f>
        <v/>
      </c>
      <c r="L3330" s="0" t="str">
        <f aca="false">IF(K3330="","",MATCH(K3330,$F$2:$F$5001,0))</f>
        <v/>
      </c>
      <c r="M3330" s="0" t="str">
        <f aca="false">IF(I3330="","",INDEX(הגדרות!$A$2:$A$21,MOD(I3330+הגדרות!$E$9,הגדרות!$E$6)+1))</f>
        <v/>
      </c>
    </row>
    <row r="3331" customFormat="false" ht="15" hidden="false" customHeight="false" outlineLevel="0" collapsed="false">
      <c r="A3331" s="0" t="str">
        <f aca="false">IF('הדבקת לידים'!A3331="","",IF(ISNUMBER('הדבקת לידים'!A3331),IF(הגדרות!$E$2&gt;0,TEXT('הדבקת לידים'!A3331,REPT("0",הגדרות!$E$2)),TEXT('הדבקת לידים'!A3331,"0")),TRIM('הדבקת לידים'!A3331)))</f>
        <v/>
      </c>
      <c r="B3331" s="0" t="str">
        <f aca="false">IF('הדבקת לידים'!B3331="","",IF(ISNUMBER('הדבקת לידים'!B3331),IF(הגדרות!$E$3&gt;0,TEXT('הדבקת לידים'!B3331,REPT("0",הגדרות!$E$3)),TEXT('הדבקת לידים'!B3331,"0")),TRIM('הדבקת לידים'!B3331)))</f>
        <v/>
      </c>
      <c r="C3331" s="0" t="n">
        <f aca="false">IF(OR(A3331&lt;&gt;"",B3331&lt;&gt;""),1,0)</f>
        <v>0</v>
      </c>
      <c r="D3331" s="0" t="str">
        <f aca="false">IF(C3331=1,MOD(ABS(SIN(ROW()*12.9898+'הדבקת לידים'!$F$2*78.233+IFERROR(--RIGHT(A3331,6),LEN(A3331))*0.0137+IFERROR(--RIGHT(B3331,6),LEN(B3331))*0.0071))*43758.5453,1),"")</f>
        <v/>
      </c>
      <c r="E3331" s="0" t="str">
        <f aca="false">IF(C3331=1,INT(MOD(ABS(SIN(D3331*7919.123+ROW()*0.618+'הדבקת לידים'!$F$2*1.3))*43758.5453,1)*1000000)*10000+ROW(),"")</f>
        <v/>
      </c>
      <c r="F3331" s="0" t="str">
        <f aca="false">IF(E3331="","",RANK(E3331,$E$2:$E$5001,1))</f>
        <v/>
      </c>
      <c r="G3331" s="0" t="n">
        <f aca="false">IF(A3331="",0,IF(SUMPRODUCT(--($A$2:$A$5001=A3331))&gt;1,1,0))</f>
        <v>0</v>
      </c>
      <c r="H3331" s="0" t="n">
        <f aca="false">ROW()-1</f>
        <v>3330</v>
      </c>
      <c r="I3331" s="0" t="str">
        <f aca="false">IF(OR(הגדרות!$E$6=0,H3331&gt;הגדרות!$E$5),"",IF(H3331-1&lt;הגדרות!$E$8*(הגדרות!$E$7+1),INT((H3331-1)/(הגדרות!$E$7+1)),הגדרות!$E$8+INT((H3331-1-הגדרות!$E$8*(הגדרות!$E$7+1))/הגדרות!$E$7)))</f>
        <v/>
      </c>
      <c r="J3331" s="0" t="str">
        <f aca="false">IF(I3331="","",IF(H3331-1&lt;הגדרות!$E$8*(הגדרות!$E$7+1),MOD(H3331-1,הגדרות!$E$7+1),MOD(H3331-1-הגדרות!$E$8*(הגדרות!$E$7+1),הגדרות!$E$7)))</f>
        <v/>
      </c>
      <c r="K3331" s="0" t="str">
        <f aca="false">IF(I3331="","",J3331*הגדרות!$E$6+I3331+1)</f>
        <v/>
      </c>
      <c r="L3331" s="0" t="str">
        <f aca="false">IF(K3331="","",MATCH(K3331,$F$2:$F$5001,0))</f>
        <v/>
      </c>
      <c r="M3331" s="0" t="str">
        <f aca="false">IF(I3331="","",INDEX(הגדרות!$A$2:$A$21,MOD(I3331+הגדרות!$E$9,הגדרות!$E$6)+1))</f>
        <v/>
      </c>
    </row>
    <row r="3332" customFormat="false" ht="15" hidden="false" customHeight="false" outlineLevel="0" collapsed="false">
      <c r="A3332" s="0" t="str">
        <f aca="false">IF('הדבקת לידים'!A3332="","",IF(ISNUMBER('הדבקת לידים'!A3332),IF(הגדרות!$E$2&gt;0,TEXT('הדבקת לידים'!A3332,REPT("0",הגדרות!$E$2)),TEXT('הדבקת לידים'!A3332,"0")),TRIM('הדבקת לידים'!A3332)))</f>
        <v/>
      </c>
      <c r="B3332" s="0" t="str">
        <f aca="false">IF('הדבקת לידים'!B3332="","",IF(ISNUMBER('הדבקת לידים'!B3332),IF(הגדרות!$E$3&gt;0,TEXT('הדבקת לידים'!B3332,REPT("0",הגדרות!$E$3)),TEXT('הדבקת לידים'!B3332,"0")),TRIM('הדבקת לידים'!B3332)))</f>
        <v/>
      </c>
      <c r="C3332" s="0" t="n">
        <f aca="false">IF(OR(A3332&lt;&gt;"",B3332&lt;&gt;""),1,0)</f>
        <v>0</v>
      </c>
      <c r="D3332" s="0" t="str">
        <f aca="false">IF(C3332=1,MOD(ABS(SIN(ROW()*12.9898+'הדבקת לידים'!$F$2*78.233+IFERROR(--RIGHT(A3332,6),LEN(A3332))*0.0137+IFERROR(--RIGHT(B3332,6),LEN(B3332))*0.0071))*43758.5453,1),"")</f>
        <v/>
      </c>
      <c r="E3332" s="0" t="str">
        <f aca="false">IF(C3332=1,INT(MOD(ABS(SIN(D3332*7919.123+ROW()*0.618+'הדבקת לידים'!$F$2*1.3))*43758.5453,1)*1000000)*10000+ROW(),"")</f>
        <v/>
      </c>
      <c r="F3332" s="0" t="str">
        <f aca="false">IF(E3332="","",RANK(E3332,$E$2:$E$5001,1))</f>
        <v/>
      </c>
      <c r="G3332" s="0" t="n">
        <f aca="false">IF(A3332="",0,IF(SUMPRODUCT(--($A$2:$A$5001=A3332))&gt;1,1,0))</f>
        <v>0</v>
      </c>
      <c r="H3332" s="0" t="n">
        <f aca="false">ROW()-1</f>
        <v>3331</v>
      </c>
      <c r="I3332" s="0" t="str">
        <f aca="false">IF(OR(הגדרות!$E$6=0,H3332&gt;הגדרות!$E$5),"",IF(H3332-1&lt;הגדרות!$E$8*(הגדרות!$E$7+1),INT((H3332-1)/(הגדרות!$E$7+1)),הגדרות!$E$8+INT((H3332-1-הגדרות!$E$8*(הגדרות!$E$7+1))/הגדרות!$E$7)))</f>
        <v/>
      </c>
      <c r="J3332" s="0" t="str">
        <f aca="false">IF(I3332="","",IF(H3332-1&lt;הגדרות!$E$8*(הגדרות!$E$7+1),MOD(H3332-1,הגדרות!$E$7+1),MOD(H3332-1-הגדרות!$E$8*(הגדרות!$E$7+1),הגדרות!$E$7)))</f>
        <v/>
      </c>
      <c r="K3332" s="0" t="str">
        <f aca="false">IF(I3332="","",J3332*הגדרות!$E$6+I3332+1)</f>
        <v/>
      </c>
      <c r="L3332" s="0" t="str">
        <f aca="false">IF(K3332="","",MATCH(K3332,$F$2:$F$5001,0))</f>
        <v/>
      </c>
      <c r="M3332" s="0" t="str">
        <f aca="false">IF(I3332="","",INDEX(הגדרות!$A$2:$A$21,MOD(I3332+הגדרות!$E$9,הגדרות!$E$6)+1))</f>
        <v/>
      </c>
    </row>
    <row r="3333" customFormat="false" ht="15" hidden="false" customHeight="false" outlineLevel="0" collapsed="false">
      <c r="A3333" s="0" t="str">
        <f aca="false">IF('הדבקת לידים'!A3333="","",IF(ISNUMBER('הדבקת לידים'!A3333),IF(הגדרות!$E$2&gt;0,TEXT('הדבקת לידים'!A3333,REPT("0",הגדרות!$E$2)),TEXT('הדבקת לידים'!A3333,"0")),TRIM('הדבקת לידים'!A3333)))</f>
        <v/>
      </c>
      <c r="B3333" s="0" t="str">
        <f aca="false">IF('הדבקת לידים'!B3333="","",IF(ISNUMBER('הדבקת לידים'!B3333),IF(הגדרות!$E$3&gt;0,TEXT('הדבקת לידים'!B3333,REPT("0",הגדרות!$E$3)),TEXT('הדבקת לידים'!B3333,"0")),TRIM('הדבקת לידים'!B3333)))</f>
        <v/>
      </c>
      <c r="C3333" s="0" t="n">
        <f aca="false">IF(OR(A3333&lt;&gt;"",B3333&lt;&gt;""),1,0)</f>
        <v>0</v>
      </c>
      <c r="D3333" s="0" t="str">
        <f aca="false">IF(C3333=1,MOD(ABS(SIN(ROW()*12.9898+'הדבקת לידים'!$F$2*78.233+IFERROR(--RIGHT(A3333,6),LEN(A3333))*0.0137+IFERROR(--RIGHT(B3333,6),LEN(B3333))*0.0071))*43758.5453,1),"")</f>
        <v/>
      </c>
      <c r="E3333" s="0" t="str">
        <f aca="false">IF(C3333=1,INT(MOD(ABS(SIN(D3333*7919.123+ROW()*0.618+'הדבקת לידים'!$F$2*1.3))*43758.5453,1)*1000000)*10000+ROW(),"")</f>
        <v/>
      </c>
      <c r="F3333" s="0" t="str">
        <f aca="false">IF(E3333="","",RANK(E3333,$E$2:$E$5001,1))</f>
        <v/>
      </c>
      <c r="G3333" s="0" t="n">
        <f aca="false">IF(A3333="",0,IF(SUMPRODUCT(--($A$2:$A$5001=A3333))&gt;1,1,0))</f>
        <v>0</v>
      </c>
      <c r="H3333" s="0" t="n">
        <f aca="false">ROW()-1</f>
        <v>3332</v>
      </c>
      <c r="I3333" s="0" t="str">
        <f aca="false">IF(OR(הגדרות!$E$6=0,H3333&gt;הגדרות!$E$5),"",IF(H3333-1&lt;הגדרות!$E$8*(הגדרות!$E$7+1),INT((H3333-1)/(הגדרות!$E$7+1)),הגדרות!$E$8+INT((H3333-1-הגדרות!$E$8*(הגדרות!$E$7+1))/הגדרות!$E$7)))</f>
        <v/>
      </c>
      <c r="J3333" s="0" t="str">
        <f aca="false">IF(I3333="","",IF(H3333-1&lt;הגדרות!$E$8*(הגדרות!$E$7+1),MOD(H3333-1,הגדרות!$E$7+1),MOD(H3333-1-הגדרות!$E$8*(הגדרות!$E$7+1),הגדרות!$E$7)))</f>
        <v/>
      </c>
      <c r="K3333" s="0" t="str">
        <f aca="false">IF(I3333="","",J3333*הגדרות!$E$6+I3333+1)</f>
        <v/>
      </c>
      <c r="L3333" s="0" t="str">
        <f aca="false">IF(K3333="","",MATCH(K3333,$F$2:$F$5001,0))</f>
        <v/>
      </c>
      <c r="M3333" s="0" t="str">
        <f aca="false">IF(I3333="","",INDEX(הגדרות!$A$2:$A$21,MOD(I3333+הגדרות!$E$9,הגדרות!$E$6)+1))</f>
        <v/>
      </c>
    </row>
    <row r="3334" customFormat="false" ht="15" hidden="false" customHeight="false" outlineLevel="0" collapsed="false">
      <c r="A3334" s="0" t="str">
        <f aca="false">IF('הדבקת לידים'!A3334="","",IF(ISNUMBER('הדבקת לידים'!A3334),IF(הגדרות!$E$2&gt;0,TEXT('הדבקת לידים'!A3334,REPT("0",הגדרות!$E$2)),TEXT('הדבקת לידים'!A3334,"0")),TRIM('הדבקת לידים'!A3334)))</f>
        <v/>
      </c>
      <c r="B3334" s="0" t="str">
        <f aca="false">IF('הדבקת לידים'!B3334="","",IF(ISNUMBER('הדבקת לידים'!B3334),IF(הגדרות!$E$3&gt;0,TEXT('הדבקת לידים'!B3334,REPT("0",הגדרות!$E$3)),TEXT('הדבקת לידים'!B3334,"0")),TRIM('הדבקת לידים'!B3334)))</f>
        <v/>
      </c>
      <c r="C3334" s="0" t="n">
        <f aca="false">IF(OR(A3334&lt;&gt;"",B3334&lt;&gt;""),1,0)</f>
        <v>0</v>
      </c>
      <c r="D3334" s="0" t="str">
        <f aca="false">IF(C3334=1,MOD(ABS(SIN(ROW()*12.9898+'הדבקת לידים'!$F$2*78.233+IFERROR(--RIGHT(A3334,6),LEN(A3334))*0.0137+IFERROR(--RIGHT(B3334,6),LEN(B3334))*0.0071))*43758.5453,1),"")</f>
        <v/>
      </c>
      <c r="E3334" s="0" t="str">
        <f aca="false">IF(C3334=1,INT(MOD(ABS(SIN(D3334*7919.123+ROW()*0.618+'הדבקת לידים'!$F$2*1.3))*43758.5453,1)*1000000)*10000+ROW(),"")</f>
        <v/>
      </c>
      <c r="F3334" s="0" t="str">
        <f aca="false">IF(E3334="","",RANK(E3334,$E$2:$E$5001,1))</f>
        <v/>
      </c>
      <c r="G3334" s="0" t="n">
        <f aca="false">IF(A3334="",0,IF(SUMPRODUCT(--($A$2:$A$5001=A3334))&gt;1,1,0))</f>
        <v>0</v>
      </c>
      <c r="H3334" s="0" t="n">
        <f aca="false">ROW()-1</f>
        <v>3333</v>
      </c>
      <c r="I3334" s="0" t="str">
        <f aca="false">IF(OR(הגדרות!$E$6=0,H3334&gt;הגדרות!$E$5),"",IF(H3334-1&lt;הגדרות!$E$8*(הגדרות!$E$7+1),INT((H3334-1)/(הגדרות!$E$7+1)),הגדרות!$E$8+INT((H3334-1-הגדרות!$E$8*(הגדרות!$E$7+1))/הגדרות!$E$7)))</f>
        <v/>
      </c>
      <c r="J3334" s="0" t="str">
        <f aca="false">IF(I3334="","",IF(H3334-1&lt;הגדרות!$E$8*(הגדרות!$E$7+1),MOD(H3334-1,הגדרות!$E$7+1),MOD(H3334-1-הגדרות!$E$8*(הגדרות!$E$7+1),הגדרות!$E$7)))</f>
        <v/>
      </c>
      <c r="K3334" s="0" t="str">
        <f aca="false">IF(I3334="","",J3334*הגדרות!$E$6+I3334+1)</f>
        <v/>
      </c>
      <c r="L3334" s="0" t="str">
        <f aca="false">IF(K3334="","",MATCH(K3334,$F$2:$F$5001,0))</f>
        <v/>
      </c>
      <c r="M3334" s="0" t="str">
        <f aca="false">IF(I3334="","",INDEX(הגדרות!$A$2:$A$21,MOD(I3334+הגדרות!$E$9,הגדרות!$E$6)+1))</f>
        <v/>
      </c>
    </row>
    <row r="3335" customFormat="false" ht="15" hidden="false" customHeight="false" outlineLevel="0" collapsed="false">
      <c r="A3335" s="0" t="str">
        <f aca="false">IF('הדבקת לידים'!A3335="","",IF(ISNUMBER('הדבקת לידים'!A3335),IF(הגדרות!$E$2&gt;0,TEXT('הדבקת לידים'!A3335,REPT("0",הגדרות!$E$2)),TEXT('הדבקת לידים'!A3335,"0")),TRIM('הדבקת לידים'!A3335)))</f>
        <v/>
      </c>
      <c r="B3335" s="0" t="str">
        <f aca="false">IF('הדבקת לידים'!B3335="","",IF(ISNUMBER('הדבקת לידים'!B3335),IF(הגדרות!$E$3&gt;0,TEXT('הדבקת לידים'!B3335,REPT("0",הגדרות!$E$3)),TEXT('הדבקת לידים'!B3335,"0")),TRIM('הדבקת לידים'!B3335)))</f>
        <v/>
      </c>
      <c r="C3335" s="0" t="n">
        <f aca="false">IF(OR(A3335&lt;&gt;"",B3335&lt;&gt;""),1,0)</f>
        <v>0</v>
      </c>
      <c r="D3335" s="0" t="str">
        <f aca="false">IF(C3335=1,MOD(ABS(SIN(ROW()*12.9898+'הדבקת לידים'!$F$2*78.233+IFERROR(--RIGHT(A3335,6),LEN(A3335))*0.0137+IFERROR(--RIGHT(B3335,6),LEN(B3335))*0.0071))*43758.5453,1),"")</f>
        <v/>
      </c>
      <c r="E3335" s="0" t="str">
        <f aca="false">IF(C3335=1,INT(MOD(ABS(SIN(D3335*7919.123+ROW()*0.618+'הדבקת לידים'!$F$2*1.3))*43758.5453,1)*1000000)*10000+ROW(),"")</f>
        <v/>
      </c>
      <c r="F3335" s="0" t="str">
        <f aca="false">IF(E3335="","",RANK(E3335,$E$2:$E$5001,1))</f>
        <v/>
      </c>
      <c r="G3335" s="0" t="n">
        <f aca="false">IF(A3335="",0,IF(SUMPRODUCT(--($A$2:$A$5001=A3335))&gt;1,1,0))</f>
        <v>0</v>
      </c>
      <c r="H3335" s="0" t="n">
        <f aca="false">ROW()-1</f>
        <v>3334</v>
      </c>
      <c r="I3335" s="0" t="str">
        <f aca="false">IF(OR(הגדרות!$E$6=0,H3335&gt;הגדרות!$E$5),"",IF(H3335-1&lt;הגדרות!$E$8*(הגדרות!$E$7+1),INT((H3335-1)/(הגדרות!$E$7+1)),הגדרות!$E$8+INT((H3335-1-הגדרות!$E$8*(הגדרות!$E$7+1))/הגדרות!$E$7)))</f>
        <v/>
      </c>
      <c r="J3335" s="0" t="str">
        <f aca="false">IF(I3335="","",IF(H3335-1&lt;הגדרות!$E$8*(הגדרות!$E$7+1),MOD(H3335-1,הגדרות!$E$7+1),MOD(H3335-1-הגדרות!$E$8*(הגדרות!$E$7+1),הגדרות!$E$7)))</f>
        <v/>
      </c>
      <c r="K3335" s="0" t="str">
        <f aca="false">IF(I3335="","",J3335*הגדרות!$E$6+I3335+1)</f>
        <v/>
      </c>
      <c r="L3335" s="0" t="str">
        <f aca="false">IF(K3335="","",MATCH(K3335,$F$2:$F$5001,0))</f>
        <v/>
      </c>
      <c r="M3335" s="0" t="str">
        <f aca="false">IF(I3335="","",INDEX(הגדרות!$A$2:$A$21,MOD(I3335+הגדרות!$E$9,הגדרות!$E$6)+1))</f>
        <v/>
      </c>
    </row>
    <row r="3336" customFormat="false" ht="15" hidden="false" customHeight="false" outlineLevel="0" collapsed="false">
      <c r="A3336" s="0" t="str">
        <f aca="false">IF('הדבקת לידים'!A3336="","",IF(ISNUMBER('הדבקת לידים'!A3336),IF(הגדרות!$E$2&gt;0,TEXT('הדבקת לידים'!A3336,REPT("0",הגדרות!$E$2)),TEXT('הדבקת לידים'!A3336,"0")),TRIM('הדבקת לידים'!A3336)))</f>
        <v/>
      </c>
      <c r="B3336" s="0" t="str">
        <f aca="false">IF('הדבקת לידים'!B3336="","",IF(ISNUMBER('הדבקת לידים'!B3336),IF(הגדרות!$E$3&gt;0,TEXT('הדבקת לידים'!B3336,REPT("0",הגדרות!$E$3)),TEXT('הדבקת לידים'!B3336,"0")),TRIM('הדבקת לידים'!B3336)))</f>
        <v/>
      </c>
      <c r="C3336" s="0" t="n">
        <f aca="false">IF(OR(A3336&lt;&gt;"",B3336&lt;&gt;""),1,0)</f>
        <v>0</v>
      </c>
      <c r="D3336" s="0" t="str">
        <f aca="false">IF(C3336=1,MOD(ABS(SIN(ROW()*12.9898+'הדבקת לידים'!$F$2*78.233+IFERROR(--RIGHT(A3336,6),LEN(A3336))*0.0137+IFERROR(--RIGHT(B3336,6),LEN(B3336))*0.0071))*43758.5453,1),"")</f>
        <v/>
      </c>
      <c r="E3336" s="0" t="str">
        <f aca="false">IF(C3336=1,INT(MOD(ABS(SIN(D3336*7919.123+ROW()*0.618+'הדבקת לידים'!$F$2*1.3))*43758.5453,1)*1000000)*10000+ROW(),"")</f>
        <v/>
      </c>
      <c r="F3336" s="0" t="str">
        <f aca="false">IF(E3336="","",RANK(E3336,$E$2:$E$5001,1))</f>
        <v/>
      </c>
      <c r="G3336" s="0" t="n">
        <f aca="false">IF(A3336="",0,IF(SUMPRODUCT(--($A$2:$A$5001=A3336))&gt;1,1,0))</f>
        <v>0</v>
      </c>
      <c r="H3336" s="0" t="n">
        <f aca="false">ROW()-1</f>
        <v>3335</v>
      </c>
      <c r="I3336" s="0" t="str">
        <f aca="false">IF(OR(הגדרות!$E$6=0,H3336&gt;הגדרות!$E$5),"",IF(H3336-1&lt;הגדרות!$E$8*(הגדרות!$E$7+1),INT((H3336-1)/(הגדרות!$E$7+1)),הגדרות!$E$8+INT((H3336-1-הגדרות!$E$8*(הגדרות!$E$7+1))/הגדרות!$E$7)))</f>
        <v/>
      </c>
      <c r="J3336" s="0" t="str">
        <f aca="false">IF(I3336="","",IF(H3336-1&lt;הגדרות!$E$8*(הגדרות!$E$7+1),MOD(H3336-1,הגדרות!$E$7+1),MOD(H3336-1-הגדרות!$E$8*(הגדרות!$E$7+1),הגדרות!$E$7)))</f>
        <v/>
      </c>
      <c r="K3336" s="0" t="str">
        <f aca="false">IF(I3336="","",J3336*הגדרות!$E$6+I3336+1)</f>
        <v/>
      </c>
      <c r="L3336" s="0" t="str">
        <f aca="false">IF(K3336="","",MATCH(K3336,$F$2:$F$5001,0))</f>
        <v/>
      </c>
      <c r="M3336" s="0" t="str">
        <f aca="false">IF(I3336="","",INDEX(הגדרות!$A$2:$A$21,MOD(I3336+הגדרות!$E$9,הגדרות!$E$6)+1))</f>
        <v/>
      </c>
    </row>
    <row r="3337" customFormat="false" ht="15" hidden="false" customHeight="false" outlineLevel="0" collapsed="false">
      <c r="A3337" s="0" t="str">
        <f aca="false">IF('הדבקת לידים'!A3337="","",IF(ISNUMBER('הדבקת לידים'!A3337),IF(הגדרות!$E$2&gt;0,TEXT('הדבקת לידים'!A3337,REPT("0",הגדרות!$E$2)),TEXT('הדבקת לידים'!A3337,"0")),TRIM('הדבקת לידים'!A3337)))</f>
        <v/>
      </c>
      <c r="B3337" s="0" t="str">
        <f aca="false">IF('הדבקת לידים'!B3337="","",IF(ISNUMBER('הדבקת לידים'!B3337),IF(הגדרות!$E$3&gt;0,TEXT('הדבקת לידים'!B3337,REPT("0",הגדרות!$E$3)),TEXT('הדבקת לידים'!B3337,"0")),TRIM('הדבקת לידים'!B3337)))</f>
        <v/>
      </c>
      <c r="C3337" s="0" t="n">
        <f aca="false">IF(OR(A3337&lt;&gt;"",B3337&lt;&gt;""),1,0)</f>
        <v>0</v>
      </c>
      <c r="D3337" s="0" t="str">
        <f aca="false">IF(C3337=1,MOD(ABS(SIN(ROW()*12.9898+'הדבקת לידים'!$F$2*78.233+IFERROR(--RIGHT(A3337,6),LEN(A3337))*0.0137+IFERROR(--RIGHT(B3337,6),LEN(B3337))*0.0071))*43758.5453,1),"")</f>
        <v/>
      </c>
      <c r="E3337" s="0" t="str">
        <f aca="false">IF(C3337=1,INT(MOD(ABS(SIN(D3337*7919.123+ROW()*0.618+'הדבקת לידים'!$F$2*1.3))*43758.5453,1)*1000000)*10000+ROW(),"")</f>
        <v/>
      </c>
      <c r="F3337" s="0" t="str">
        <f aca="false">IF(E3337="","",RANK(E3337,$E$2:$E$5001,1))</f>
        <v/>
      </c>
      <c r="G3337" s="0" t="n">
        <f aca="false">IF(A3337="",0,IF(SUMPRODUCT(--($A$2:$A$5001=A3337))&gt;1,1,0))</f>
        <v>0</v>
      </c>
      <c r="H3337" s="0" t="n">
        <f aca="false">ROW()-1</f>
        <v>3336</v>
      </c>
      <c r="I3337" s="0" t="str">
        <f aca="false">IF(OR(הגדרות!$E$6=0,H3337&gt;הגדרות!$E$5),"",IF(H3337-1&lt;הגדרות!$E$8*(הגדרות!$E$7+1),INT((H3337-1)/(הגדרות!$E$7+1)),הגדרות!$E$8+INT((H3337-1-הגדרות!$E$8*(הגדרות!$E$7+1))/הגדרות!$E$7)))</f>
        <v/>
      </c>
      <c r="J3337" s="0" t="str">
        <f aca="false">IF(I3337="","",IF(H3337-1&lt;הגדרות!$E$8*(הגדרות!$E$7+1),MOD(H3337-1,הגדרות!$E$7+1),MOD(H3337-1-הגדרות!$E$8*(הגדרות!$E$7+1),הגדרות!$E$7)))</f>
        <v/>
      </c>
      <c r="K3337" s="0" t="str">
        <f aca="false">IF(I3337="","",J3337*הגדרות!$E$6+I3337+1)</f>
        <v/>
      </c>
      <c r="L3337" s="0" t="str">
        <f aca="false">IF(K3337="","",MATCH(K3337,$F$2:$F$5001,0))</f>
        <v/>
      </c>
      <c r="M3337" s="0" t="str">
        <f aca="false">IF(I3337="","",INDEX(הגדרות!$A$2:$A$21,MOD(I3337+הגדרות!$E$9,הגדרות!$E$6)+1))</f>
        <v/>
      </c>
    </row>
    <row r="3338" customFormat="false" ht="15" hidden="false" customHeight="false" outlineLevel="0" collapsed="false">
      <c r="A3338" s="0" t="str">
        <f aca="false">IF('הדבקת לידים'!A3338="","",IF(ISNUMBER('הדבקת לידים'!A3338),IF(הגדרות!$E$2&gt;0,TEXT('הדבקת לידים'!A3338,REPT("0",הגדרות!$E$2)),TEXT('הדבקת לידים'!A3338,"0")),TRIM('הדבקת לידים'!A3338)))</f>
        <v/>
      </c>
      <c r="B3338" s="0" t="str">
        <f aca="false">IF('הדבקת לידים'!B3338="","",IF(ISNUMBER('הדבקת לידים'!B3338),IF(הגדרות!$E$3&gt;0,TEXT('הדבקת לידים'!B3338,REPT("0",הגדרות!$E$3)),TEXT('הדבקת לידים'!B3338,"0")),TRIM('הדבקת לידים'!B3338)))</f>
        <v/>
      </c>
      <c r="C3338" s="0" t="n">
        <f aca="false">IF(OR(A3338&lt;&gt;"",B3338&lt;&gt;""),1,0)</f>
        <v>0</v>
      </c>
      <c r="D3338" s="0" t="str">
        <f aca="false">IF(C3338=1,MOD(ABS(SIN(ROW()*12.9898+'הדבקת לידים'!$F$2*78.233+IFERROR(--RIGHT(A3338,6),LEN(A3338))*0.0137+IFERROR(--RIGHT(B3338,6),LEN(B3338))*0.0071))*43758.5453,1),"")</f>
        <v/>
      </c>
      <c r="E3338" s="0" t="str">
        <f aca="false">IF(C3338=1,INT(MOD(ABS(SIN(D3338*7919.123+ROW()*0.618+'הדבקת לידים'!$F$2*1.3))*43758.5453,1)*1000000)*10000+ROW(),"")</f>
        <v/>
      </c>
      <c r="F3338" s="0" t="str">
        <f aca="false">IF(E3338="","",RANK(E3338,$E$2:$E$5001,1))</f>
        <v/>
      </c>
      <c r="G3338" s="0" t="n">
        <f aca="false">IF(A3338="",0,IF(SUMPRODUCT(--($A$2:$A$5001=A3338))&gt;1,1,0))</f>
        <v>0</v>
      </c>
      <c r="H3338" s="0" t="n">
        <f aca="false">ROW()-1</f>
        <v>3337</v>
      </c>
      <c r="I3338" s="0" t="str">
        <f aca="false">IF(OR(הגדרות!$E$6=0,H3338&gt;הגדרות!$E$5),"",IF(H3338-1&lt;הגדרות!$E$8*(הגדרות!$E$7+1),INT((H3338-1)/(הגדרות!$E$7+1)),הגדרות!$E$8+INT((H3338-1-הגדרות!$E$8*(הגדרות!$E$7+1))/הגדרות!$E$7)))</f>
        <v/>
      </c>
      <c r="J3338" s="0" t="str">
        <f aca="false">IF(I3338="","",IF(H3338-1&lt;הגדרות!$E$8*(הגדרות!$E$7+1),MOD(H3338-1,הגדרות!$E$7+1),MOD(H3338-1-הגדרות!$E$8*(הגדרות!$E$7+1),הגדרות!$E$7)))</f>
        <v/>
      </c>
      <c r="K3338" s="0" t="str">
        <f aca="false">IF(I3338="","",J3338*הגדרות!$E$6+I3338+1)</f>
        <v/>
      </c>
      <c r="L3338" s="0" t="str">
        <f aca="false">IF(K3338="","",MATCH(K3338,$F$2:$F$5001,0))</f>
        <v/>
      </c>
      <c r="M3338" s="0" t="str">
        <f aca="false">IF(I3338="","",INDEX(הגדרות!$A$2:$A$21,MOD(I3338+הגדרות!$E$9,הגדרות!$E$6)+1))</f>
        <v/>
      </c>
    </row>
    <row r="3339" customFormat="false" ht="15" hidden="false" customHeight="false" outlineLevel="0" collapsed="false">
      <c r="A3339" s="0" t="str">
        <f aca="false">IF('הדבקת לידים'!A3339="","",IF(ISNUMBER('הדבקת לידים'!A3339),IF(הגדרות!$E$2&gt;0,TEXT('הדבקת לידים'!A3339,REPT("0",הגדרות!$E$2)),TEXT('הדבקת לידים'!A3339,"0")),TRIM('הדבקת לידים'!A3339)))</f>
        <v/>
      </c>
      <c r="B3339" s="0" t="str">
        <f aca="false">IF('הדבקת לידים'!B3339="","",IF(ISNUMBER('הדבקת לידים'!B3339),IF(הגדרות!$E$3&gt;0,TEXT('הדבקת לידים'!B3339,REPT("0",הגדרות!$E$3)),TEXT('הדבקת לידים'!B3339,"0")),TRIM('הדבקת לידים'!B3339)))</f>
        <v/>
      </c>
      <c r="C3339" s="0" t="n">
        <f aca="false">IF(OR(A3339&lt;&gt;"",B3339&lt;&gt;""),1,0)</f>
        <v>0</v>
      </c>
      <c r="D3339" s="0" t="str">
        <f aca="false">IF(C3339=1,MOD(ABS(SIN(ROW()*12.9898+'הדבקת לידים'!$F$2*78.233+IFERROR(--RIGHT(A3339,6),LEN(A3339))*0.0137+IFERROR(--RIGHT(B3339,6),LEN(B3339))*0.0071))*43758.5453,1),"")</f>
        <v/>
      </c>
      <c r="E3339" s="0" t="str">
        <f aca="false">IF(C3339=1,INT(MOD(ABS(SIN(D3339*7919.123+ROW()*0.618+'הדבקת לידים'!$F$2*1.3))*43758.5453,1)*1000000)*10000+ROW(),"")</f>
        <v/>
      </c>
      <c r="F3339" s="0" t="str">
        <f aca="false">IF(E3339="","",RANK(E3339,$E$2:$E$5001,1))</f>
        <v/>
      </c>
      <c r="G3339" s="0" t="n">
        <f aca="false">IF(A3339="",0,IF(SUMPRODUCT(--($A$2:$A$5001=A3339))&gt;1,1,0))</f>
        <v>0</v>
      </c>
      <c r="H3339" s="0" t="n">
        <f aca="false">ROW()-1</f>
        <v>3338</v>
      </c>
      <c r="I3339" s="0" t="str">
        <f aca="false">IF(OR(הגדרות!$E$6=0,H3339&gt;הגדרות!$E$5),"",IF(H3339-1&lt;הגדרות!$E$8*(הגדרות!$E$7+1),INT((H3339-1)/(הגדרות!$E$7+1)),הגדרות!$E$8+INT((H3339-1-הגדרות!$E$8*(הגדרות!$E$7+1))/הגדרות!$E$7)))</f>
        <v/>
      </c>
      <c r="J3339" s="0" t="str">
        <f aca="false">IF(I3339="","",IF(H3339-1&lt;הגדרות!$E$8*(הגדרות!$E$7+1),MOD(H3339-1,הגדרות!$E$7+1),MOD(H3339-1-הגדרות!$E$8*(הגדרות!$E$7+1),הגדרות!$E$7)))</f>
        <v/>
      </c>
      <c r="K3339" s="0" t="str">
        <f aca="false">IF(I3339="","",J3339*הגדרות!$E$6+I3339+1)</f>
        <v/>
      </c>
      <c r="L3339" s="0" t="str">
        <f aca="false">IF(K3339="","",MATCH(K3339,$F$2:$F$5001,0))</f>
        <v/>
      </c>
      <c r="M3339" s="0" t="str">
        <f aca="false">IF(I3339="","",INDEX(הגדרות!$A$2:$A$21,MOD(I3339+הגדרות!$E$9,הגדרות!$E$6)+1))</f>
        <v/>
      </c>
    </row>
    <row r="3340" customFormat="false" ht="15" hidden="false" customHeight="false" outlineLevel="0" collapsed="false">
      <c r="A3340" s="0" t="str">
        <f aca="false">IF('הדבקת לידים'!A3340="","",IF(ISNUMBER('הדבקת לידים'!A3340),IF(הגדרות!$E$2&gt;0,TEXT('הדבקת לידים'!A3340,REPT("0",הגדרות!$E$2)),TEXT('הדבקת לידים'!A3340,"0")),TRIM('הדבקת לידים'!A3340)))</f>
        <v/>
      </c>
      <c r="B3340" s="0" t="str">
        <f aca="false">IF('הדבקת לידים'!B3340="","",IF(ISNUMBER('הדבקת לידים'!B3340),IF(הגדרות!$E$3&gt;0,TEXT('הדבקת לידים'!B3340,REPT("0",הגדרות!$E$3)),TEXT('הדבקת לידים'!B3340,"0")),TRIM('הדבקת לידים'!B3340)))</f>
        <v/>
      </c>
      <c r="C3340" s="0" t="n">
        <f aca="false">IF(OR(A3340&lt;&gt;"",B3340&lt;&gt;""),1,0)</f>
        <v>0</v>
      </c>
      <c r="D3340" s="0" t="str">
        <f aca="false">IF(C3340=1,MOD(ABS(SIN(ROW()*12.9898+'הדבקת לידים'!$F$2*78.233+IFERROR(--RIGHT(A3340,6),LEN(A3340))*0.0137+IFERROR(--RIGHT(B3340,6),LEN(B3340))*0.0071))*43758.5453,1),"")</f>
        <v/>
      </c>
      <c r="E3340" s="0" t="str">
        <f aca="false">IF(C3340=1,INT(MOD(ABS(SIN(D3340*7919.123+ROW()*0.618+'הדבקת לידים'!$F$2*1.3))*43758.5453,1)*1000000)*10000+ROW(),"")</f>
        <v/>
      </c>
      <c r="F3340" s="0" t="str">
        <f aca="false">IF(E3340="","",RANK(E3340,$E$2:$E$5001,1))</f>
        <v/>
      </c>
      <c r="G3340" s="0" t="n">
        <f aca="false">IF(A3340="",0,IF(SUMPRODUCT(--($A$2:$A$5001=A3340))&gt;1,1,0))</f>
        <v>0</v>
      </c>
      <c r="H3340" s="0" t="n">
        <f aca="false">ROW()-1</f>
        <v>3339</v>
      </c>
      <c r="I3340" s="0" t="str">
        <f aca="false">IF(OR(הגדרות!$E$6=0,H3340&gt;הגדרות!$E$5),"",IF(H3340-1&lt;הגדרות!$E$8*(הגדרות!$E$7+1),INT((H3340-1)/(הגדרות!$E$7+1)),הגדרות!$E$8+INT((H3340-1-הגדרות!$E$8*(הגדרות!$E$7+1))/הגדרות!$E$7)))</f>
        <v/>
      </c>
      <c r="J3340" s="0" t="str">
        <f aca="false">IF(I3340="","",IF(H3340-1&lt;הגדרות!$E$8*(הגדרות!$E$7+1),MOD(H3340-1,הגדרות!$E$7+1),MOD(H3340-1-הגדרות!$E$8*(הגדרות!$E$7+1),הגדרות!$E$7)))</f>
        <v/>
      </c>
      <c r="K3340" s="0" t="str">
        <f aca="false">IF(I3340="","",J3340*הגדרות!$E$6+I3340+1)</f>
        <v/>
      </c>
      <c r="L3340" s="0" t="str">
        <f aca="false">IF(K3340="","",MATCH(K3340,$F$2:$F$5001,0))</f>
        <v/>
      </c>
      <c r="M3340" s="0" t="str">
        <f aca="false">IF(I3340="","",INDEX(הגדרות!$A$2:$A$21,MOD(I3340+הגדרות!$E$9,הגדרות!$E$6)+1))</f>
        <v/>
      </c>
    </row>
    <row r="3341" customFormat="false" ht="15" hidden="false" customHeight="false" outlineLevel="0" collapsed="false">
      <c r="A3341" s="0" t="str">
        <f aca="false">IF('הדבקת לידים'!A3341="","",IF(ISNUMBER('הדבקת לידים'!A3341),IF(הגדרות!$E$2&gt;0,TEXT('הדבקת לידים'!A3341,REPT("0",הגדרות!$E$2)),TEXT('הדבקת לידים'!A3341,"0")),TRIM('הדבקת לידים'!A3341)))</f>
        <v/>
      </c>
      <c r="B3341" s="0" t="str">
        <f aca="false">IF('הדבקת לידים'!B3341="","",IF(ISNUMBER('הדבקת לידים'!B3341),IF(הגדרות!$E$3&gt;0,TEXT('הדבקת לידים'!B3341,REPT("0",הגדרות!$E$3)),TEXT('הדבקת לידים'!B3341,"0")),TRIM('הדבקת לידים'!B3341)))</f>
        <v/>
      </c>
      <c r="C3341" s="0" t="n">
        <f aca="false">IF(OR(A3341&lt;&gt;"",B3341&lt;&gt;""),1,0)</f>
        <v>0</v>
      </c>
      <c r="D3341" s="0" t="str">
        <f aca="false">IF(C3341=1,MOD(ABS(SIN(ROW()*12.9898+'הדבקת לידים'!$F$2*78.233+IFERROR(--RIGHT(A3341,6),LEN(A3341))*0.0137+IFERROR(--RIGHT(B3341,6),LEN(B3341))*0.0071))*43758.5453,1),"")</f>
        <v/>
      </c>
      <c r="E3341" s="0" t="str">
        <f aca="false">IF(C3341=1,INT(MOD(ABS(SIN(D3341*7919.123+ROW()*0.618+'הדבקת לידים'!$F$2*1.3))*43758.5453,1)*1000000)*10000+ROW(),"")</f>
        <v/>
      </c>
      <c r="F3341" s="0" t="str">
        <f aca="false">IF(E3341="","",RANK(E3341,$E$2:$E$5001,1))</f>
        <v/>
      </c>
      <c r="G3341" s="0" t="n">
        <f aca="false">IF(A3341="",0,IF(SUMPRODUCT(--($A$2:$A$5001=A3341))&gt;1,1,0))</f>
        <v>0</v>
      </c>
      <c r="H3341" s="0" t="n">
        <f aca="false">ROW()-1</f>
        <v>3340</v>
      </c>
      <c r="I3341" s="0" t="str">
        <f aca="false">IF(OR(הגדרות!$E$6=0,H3341&gt;הגדרות!$E$5),"",IF(H3341-1&lt;הגדרות!$E$8*(הגדרות!$E$7+1),INT((H3341-1)/(הגדרות!$E$7+1)),הגדרות!$E$8+INT((H3341-1-הגדרות!$E$8*(הגדרות!$E$7+1))/הגדרות!$E$7)))</f>
        <v/>
      </c>
      <c r="J3341" s="0" t="str">
        <f aca="false">IF(I3341="","",IF(H3341-1&lt;הגדרות!$E$8*(הגדרות!$E$7+1),MOD(H3341-1,הגדרות!$E$7+1),MOD(H3341-1-הגדרות!$E$8*(הגדרות!$E$7+1),הגדרות!$E$7)))</f>
        <v/>
      </c>
      <c r="K3341" s="0" t="str">
        <f aca="false">IF(I3341="","",J3341*הגדרות!$E$6+I3341+1)</f>
        <v/>
      </c>
      <c r="L3341" s="0" t="str">
        <f aca="false">IF(K3341="","",MATCH(K3341,$F$2:$F$5001,0))</f>
        <v/>
      </c>
      <c r="M3341" s="0" t="str">
        <f aca="false">IF(I3341="","",INDEX(הגדרות!$A$2:$A$21,MOD(I3341+הגדרות!$E$9,הגדרות!$E$6)+1))</f>
        <v/>
      </c>
    </row>
    <row r="3342" customFormat="false" ht="15" hidden="false" customHeight="false" outlineLevel="0" collapsed="false">
      <c r="A3342" s="0" t="str">
        <f aca="false">IF('הדבקת לידים'!A3342="","",IF(ISNUMBER('הדבקת לידים'!A3342),IF(הגדרות!$E$2&gt;0,TEXT('הדבקת לידים'!A3342,REPT("0",הגדרות!$E$2)),TEXT('הדבקת לידים'!A3342,"0")),TRIM('הדבקת לידים'!A3342)))</f>
        <v/>
      </c>
      <c r="B3342" s="0" t="str">
        <f aca="false">IF('הדבקת לידים'!B3342="","",IF(ISNUMBER('הדבקת לידים'!B3342),IF(הגדרות!$E$3&gt;0,TEXT('הדבקת לידים'!B3342,REPT("0",הגדרות!$E$3)),TEXT('הדבקת לידים'!B3342,"0")),TRIM('הדבקת לידים'!B3342)))</f>
        <v/>
      </c>
      <c r="C3342" s="0" t="n">
        <f aca="false">IF(OR(A3342&lt;&gt;"",B3342&lt;&gt;""),1,0)</f>
        <v>0</v>
      </c>
      <c r="D3342" s="0" t="str">
        <f aca="false">IF(C3342=1,MOD(ABS(SIN(ROW()*12.9898+'הדבקת לידים'!$F$2*78.233+IFERROR(--RIGHT(A3342,6),LEN(A3342))*0.0137+IFERROR(--RIGHT(B3342,6),LEN(B3342))*0.0071))*43758.5453,1),"")</f>
        <v/>
      </c>
      <c r="E3342" s="0" t="str">
        <f aca="false">IF(C3342=1,INT(MOD(ABS(SIN(D3342*7919.123+ROW()*0.618+'הדבקת לידים'!$F$2*1.3))*43758.5453,1)*1000000)*10000+ROW(),"")</f>
        <v/>
      </c>
      <c r="F3342" s="0" t="str">
        <f aca="false">IF(E3342="","",RANK(E3342,$E$2:$E$5001,1))</f>
        <v/>
      </c>
      <c r="G3342" s="0" t="n">
        <f aca="false">IF(A3342="",0,IF(SUMPRODUCT(--($A$2:$A$5001=A3342))&gt;1,1,0))</f>
        <v>0</v>
      </c>
      <c r="H3342" s="0" t="n">
        <f aca="false">ROW()-1</f>
        <v>3341</v>
      </c>
      <c r="I3342" s="0" t="str">
        <f aca="false">IF(OR(הגדרות!$E$6=0,H3342&gt;הגדרות!$E$5),"",IF(H3342-1&lt;הגדרות!$E$8*(הגדרות!$E$7+1),INT((H3342-1)/(הגדרות!$E$7+1)),הגדרות!$E$8+INT((H3342-1-הגדרות!$E$8*(הגדרות!$E$7+1))/הגדרות!$E$7)))</f>
        <v/>
      </c>
      <c r="J3342" s="0" t="str">
        <f aca="false">IF(I3342="","",IF(H3342-1&lt;הגדרות!$E$8*(הגדרות!$E$7+1),MOD(H3342-1,הגדרות!$E$7+1),MOD(H3342-1-הגדרות!$E$8*(הגדרות!$E$7+1),הגדרות!$E$7)))</f>
        <v/>
      </c>
      <c r="K3342" s="0" t="str">
        <f aca="false">IF(I3342="","",J3342*הגדרות!$E$6+I3342+1)</f>
        <v/>
      </c>
      <c r="L3342" s="0" t="str">
        <f aca="false">IF(K3342="","",MATCH(K3342,$F$2:$F$5001,0))</f>
        <v/>
      </c>
      <c r="M3342" s="0" t="str">
        <f aca="false">IF(I3342="","",INDEX(הגדרות!$A$2:$A$21,MOD(I3342+הגדרות!$E$9,הגדרות!$E$6)+1))</f>
        <v/>
      </c>
    </row>
    <row r="3343" customFormat="false" ht="15" hidden="false" customHeight="false" outlineLevel="0" collapsed="false">
      <c r="A3343" s="0" t="str">
        <f aca="false">IF('הדבקת לידים'!A3343="","",IF(ISNUMBER('הדבקת לידים'!A3343),IF(הגדרות!$E$2&gt;0,TEXT('הדבקת לידים'!A3343,REPT("0",הגדרות!$E$2)),TEXT('הדבקת לידים'!A3343,"0")),TRIM('הדבקת לידים'!A3343)))</f>
        <v/>
      </c>
      <c r="B3343" s="0" t="str">
        <f aca="false">IF('הדבקת לידים'!B3343="","",IF(ISNUMBER('הדבקת לידים'!B3343),IF(הגדרות!$E$3&gt;0,TEXT('הדבקת לידים'!B3343,REPT("0",הגדרות!$E$3)),TEXT('הדבקת לידים'!B3343,"0")),TRIM('הדבקת לידים'!B3343)))</f>
        <v/>
      </c>
      <c r="C3343" s="0" t="n">
        <f aca="false">IF(OR(A3343&lt;&gt;"",B3343&lt;&gt;""),1,0)</f>
        <v>0</v>
      </c>
      <c r="D3343" s="0" t="str">
        <f aca="false">IF(C3343=1,MOD(ABS(SIN(ROW()*12.9898+'הדבקת לידים'!$F$2*78.233+IFERROR(--RIGHT(A3343,6),LEN(A3343))*0.0137+IFERROR(--RIGHT(B3343,6),LEN(B3343))*0.0071))*43758.5453,1),"")</f>
        <v/>
      </c>
      <c r="E3343" s="0" t="str">
        <f aca="false">IF(C3343=1,INT(MOD(ABS(SIN(D3343*7919.123+ROW()*0.618+'הדבקת לידים'!$F$2*1.3))*43758.5453,1)*1000000)*10000+ROW(),"")</f>
        <v/>
      </c>
      <c r="F3343" s="0" t="str">
        <f aca="false">IF(E3343="","",RANK(E3343,$E$2:$E$5001,1))</f>
        <v/>
      </c>
      <c r="G3343" s="0" t="n">
        <f aca="false">IF(A3343="",0,IF(SUMPRODUCT(--($A$2:$A$5001=A3343))&gt;1,1,0))</f>
        <v>0</v>
      </c>
      <c r="H3343" s="0" t="n">
        <f aca="false">ROW()-1</f>
        <v>3342</v>
      </c>
      <c r="I3343" s="0" t="str">
        <f aca="false">IF(OR(הגדרות!$E$6=0,H3343&gt;הגדרות!$E$5),"",IF(H3343-1&lt;הגדרות!$E$8*(הגדרות!$E$7+1),INT((H3343-1)/(הגדרות!$E$7+1)),הגדרות!$E$8+INT((H3343-1-הגדרות!$E$8*(הגדרות!$E$7+1))/הגדרות!$E$7)))</f>
        <v/>
      </c>
      <c r="J3343" s="0" t="str">
        <f aca="false">IF(I3343="","",IF(H3343-1&lt;הגדרות!$E$8*(הגדרות!$E$7+1),MOD(H3343-1,הגדרות!$E$7+1),MOD(H3343-1-הגדרות!$E$8*(הגדרות!$E$7+1),הגדרות!$E$7)))</f>
        <v/>
      </c>
      <c r="K3343" s="0" t="str">
        <f aca="false">IF(I3343="","",J3343*הגדרות!$E$6+I3343+1)</f>
        <v/>
      </c>
      <c r="L3343" s="0" t="str">
        <f aca="false">IF(K3343="","",MATCH(K3343,$F$2:$F$5001,0))</f>
        <v/>
      </c>
      <c r="M3343" s="0" t="str">
        <f aca="false">IF(I3343="","",INDEX(הגדרות!$A$2:$A$21,MOD(I3343+הגדרות!$E$9,הגדרות!$E$6)+1))</f>
        <v/>
      </c>
    </row>
    <row r="3344" customFormat="false" ht="15" hidden="false" customHeight="false" outlineLevel="0" collapsed="false">
      <c r="A3344" s="0" t="str">
        <f aca="false">IF('הדבקת לידים'!A3344="","",IF(ISNUMBER('הדבקת לידים'!A3344),IF(הגדרות!$E$2&gt;0,TEXT('הדבקת לידים'!A3344,REPT("0",הגדרות!$E$2)),TEXT('הדבקת לידים'!A3344,"0")),TRIM('הדבקת לידים'!A3344)))</f>
        <v/>
      </c>
      <c r="B3344" s="0" t="str">
        <f aca="false">IF('הדבקת לידים'!B3344="","",IF(ISNUMBER('הדבקת לידים'!B3344),IF(הגדרות!$E$3&gt;0,TEXT('הדבקת לידים'!B3344,REPT("0",הגדרות!$E$3)),TEXT('הדבקת לידים'!B3344,"0")),TRIM('הדבקת לידים'!B3344)))</f>
        <v/>
      </c>
      <c r="C3344" s="0" t="n">
        <f aca="false">IF(OR(A3344&lt;&gt;"",B3344&lt;&gt;""),1,0)</f>
        <v>0</v>
      </c>
      <c r="D3344" s="0" t="str">
        <f aca="false">IF(C3344=1,MOD(ABS(SIN(ROW()*12.9898+'הדבקת לידים'!$F$2*78.233+IFERROR(--RIGHT(A3344,6),LEN(A3344))*0.0137+IFERROR(--RIGHT(B3344,6),LEN(B3344))*0.0071))*43758.5453,1),"")</f>
        <v/>
      </c>
      <c r="E3344" s="0" t="str">
        <f aca="false">IF(C3344=1,INT(MOD(ABS(SIN(D3344*7919.123+ROW()*0.618+'הדבקת לידים'!$F$2*1.3))*43758.5453,1)*1000000)*10000+ROW(),"")</f>
        <v/>
      </c>
      <c r="F3344" s="0" t="str">
        <f aca="false">IF(E3344="","",RANK(E3344,$E$2:$E$5001,1))</f>
        <v/>
      </c>
      <c r="G3344" s="0" t="n">
        <f aca="false">IF(A3344="",0,IF(SUMPRODUCT(--($A$2:$A$5001=A3344))&gt;1,1,0))</f>
        <v>0</v>
      </c>
      <c r="H3344" s="0" t="n">
        <f aca="false">ROW()-1</f>
        <v>3343</v>
      </c>
      <c r="I3344" s="0" t="str">
        <f aca="false">IF(OR(הגדרות!$E$6=0,H3344&gt;הגדרות!$E$5),"",IF(H3344-1&lt;הגדרות!$E$8*(הגדרות!$E$7+1),INT((H3344-1)/(הגדרות!$E$7+1)),הגדרות!$E$8+INT((H3344-1-הגדרות!$E$8*(הגדרות!$E$7+1))/הגדרות!$E$7)))</f>
        <v/>
      </c>
      <c r="J3344" s="0" t="str">
        <f aca="false">IF(I3344="","",IF(H3344-1&lt;הגדרות!$E$8*(הגדרות!$E$7+1),MOD(H3344-1,הגדרות!$E$7+1),MOD(H3344-1-הגדרות!$E$8*(הגדרות!$E$7+1),הגדרות!$E$7)))</f>
        <v/>
      </c>
      <c r="K3344" s="0" t="str">
        <f aca="false">IF(I3344="","",J3344*הגדרות!$E$6+I3344+1)</f>
        <v/>
      </c>
      <c r="L3344" s="0" t="str">
        <f aca="false">IF(K3344="","",MATCH(K3344,$F$2:$F$5001,0))</f>
        <v/>
      </c>
      <c r="M3344" s="0" t="str">
        <f aca="false">IF(I3344="","",INDEX(הגדרות!$A$2:$A$21,MOD(I3344+הגדרות!$E$9,הגדרות!$E$6)+1))</f>
        <v/>
      </c>
    </row>
    <row r="3345" customFormat="false" ht="15" hidden="false" customHeight="false" outlineLevel="0" collapsed="false">
      <c r="A3345" s="0" t="str">
        <f aca="false">IF('הדבקת לידים'!A3345="","",IF(ISNUMBER('הדבקת לידים'!A3345),IF(הגדרות!$E$2&gt;0,TEXT('הדבקת לידים'!A3345,REPT("0",הגדרות!$E$2)),TEXT('הדבקת לידים'!A3345,"0")),TRIM('הדבקת לידים'!A3345)))</f>
        <v/>
      </c>
      <c r="B3345" s="0" t="str">
        <f aca="false">IF('הדבקת לידים'!B3345="","",IF(ISNUMBER('הדבקת לידים'!B3345),IF(הגדרות!$E$3&gt;0,TEXT('הדבקת לידים'!B3345,REPT("0",הגדרות!$E$3)),TEXT('הדבקת לידים'!B3345,"0")),TRIM('הדבקת לידים'!B3345)))</f>
        <v/>
      </c>
      <c r="C3345" s="0" t="n">
        <f aca="false">IF(OR(A3345&lt;&gt;"",B3345&lt;&gt;""),1,0)</f>
        <v>0</v>
      </c>
      <c r="D3345" s="0" t="str">
        <f aca="false">IF(C3345=1,MOD(ABS(SIN(ROW()*12.9898+'הדבקת לידים'!$F$2*78.233+IFERROR(--RIGHT(A3345,6),LEN(A3345))*0.0137+IFERROR(--RIGHT(B3345,6),LEN(B3345))*0.0071))*43758.5453,1),"")</f>
        <v/>
      </c>
      <c r="E3345" s="0" t="str">
        <f aca="false">IF(C3345=1,INT(MOD(ABS(SIN(D3345*7919.123+ROW()*0.618+'הדבקת לידים'!$F$2*1.3))*43758.5453,1)*1000000)*10000+ROW(),"")</f>
        <v/>
      </c>
      <c r="F3345" s="0" t="str">
        <f aca="false">IF(E3345="","",RANK(E3345,$E$2:$E$5001,1))</f>
        <v/>
      </c>
      <c r="G3345" s="0" t="n">
        <f aca="false">IF(A3345="",0,IF(SUMPRODUCT(--($A$2:$A$5001=A3345))&gt;1,1,0))</f>
        <v>0</v>
      </c>
      <c r="H3345" s="0" t="n">
        <f aca="false">ROW()-1</f>
        <v>3344</v>
      </c>
      <c r="I3345" s="0" t="str">
        <f aca="false">IF(OR(הגדרות!$E$6=0,H3345&gt;הגדרות!$E$5),"",IF(H3345-1&lt;הגדרות!$E$8*(הגדרות!$E$7+1),INT((H3345-1)/(הגדרות!$E$7+1)),הגדרות!$E$8+INT((H3345-1-הגדרות!$E$8*(הגדרות!$E$7+1))/הגדרות!$E$7)))</f>
        <v/>
      </c>
      <c r="J3345" s="0" t="str">
        <f aca="false">IF(I3345="","",IF(H3345-1&lt;הגדרות!$E$8*(הגדרות!$E$7+1),MOD(H3345-1,הגדרות!$E$7+1),MOD(H3345-1-הגדרות!$E$8*(הגדרות!$E$7+1),הגדרות!$E$7)))</f>
        <v/>
      </c>
      <c r="K3345" s="0" t="str">
        <f aca="false">IF(I3345="","",J3345*הגדרות!$E$6+I3345+1)</f>
        <v/>
      </c>
      <c r="L3345" s="0" t="str">
        <f aca="false">IF(K3345="","",MATCH(K3345,$F$2:$F$5001,0))</f>
        <v/>
      </c>
      <c r="M3345" s="0" t="str">
        <f aca="false">IF(I3345="","",INDEX(הגדרות!$A$2:$A$21,MOD(I3345+הגדרות!$E$9,הגדרות!$E$6)+1))</f>
        <v/>
      </c>
    </row>
    <row r="3346" customFormat="false" ht="15" hidden="false" customHeight="false" outlineLevel="0" collapsed="false">
      <c r="A3346" s="0" t="str">
        <f aca="false">IF('הדבקת לידים'!A3346="","",IF(ISNUMBER('הדבקת לידים'!A3346),IF(הגדרות!$E$2&gt;0,TEXT('הדבקת לידים'!A3346,REPT("0",הגדרות!$E$2)),TEXT('הדבקת לידים'!A3346,"0")),TRIM('הדבקת לידים'!A3346)))</f>
        <v/>
      </c>
      <c r="B3346" s="0" t="str">
        <f aca="false">IF('הדבקת לידים'!B3346="","",IF(ISNUMBER('הדבקת לידים'!B3346),IF(הגדרות!$E$3&gt;0,TEXT('הדבקת לידים'!B3346,REPT("0",הגדרות!$E$3)),TEXT('הדבקת לידים'!B3346,"0")),TRIM('הדבקת לידים'!B3346)))</f>
        <v/>
      </c>
      <c r="C3346" s="0" t="n">
        <f aca="false">IF(OR(A3346&lt;&gt;"",B3346&lt;&gt;""),1,0)</f>
        <v>0</v>
      </c>
      <c r="D3346" s="0" t="str">
        <f aca="false">IF(C3346=1,MOD(ABS(SIN(ROW()*12.9898+'הדבקת לידים'!$F$2*78.233+IFERROR(--RIGHT(A3346,6),LEN(A3346))*0.0137+IFERROR(--RIGHT(B3346,6),LEN(B3346))*0.0071))*43758.5453,1),"")</f>
        <v/>
      </c>
      <c r="E3346" s="0" t="str">
        <f aca="false">IF(C3346=1,INT(MOD(ABS(SIN(D3346*7919.123+ROW()*0.618+'הדבקת לידים'!$F$2*1.3))*43758.5453,1)*1000000)*10000+ROW(),"")</f>
        <v/>
      </c>
      <c r="F3346" s="0" t="str">
        <f aca="false">IF(E3346="","",RANK(E3346,$E$2:$E$5001,1))</f>
        <v/>
      </c>
      <c r="G3346" s="0" t="n">
        <f aca="false">IF(A3346="",0,IF(SUMPRODUCT(--($A$2:$A$5001=A3346))&gt;1,1,0))</f>
        <v>0</v>
      </c>
      <c r="H3346" s="0" t="n">
        <f aca="false">ROW()-1</f>
        <v>3345</v>
      </c>
      <c r="I3346" s="0" t="str">
        <f aca="false">IF(OR(הגדרות!$E$6=0,H3346&gt;הגדרות!$E$5),"",IF(H3346-1&lt;הגדרות!$E$8*(הגדרות!$E$7+1),INT((H3346-1)/(הגדרות!$E$7+1)),הגדרות!$E$8+INT((H3346-1-הגדרות!$E$8*(הגדרות!$E$7+1))/הגדרות!$E$7)))</f>
        <v/>
      </c>
      <c r="J3346" s="0" t="str">
        <f aca="false">IF(I3346="","",IF(H3346-1&lt;הגדרות!$E$8*(הגדרות!$E$7+1),MOD(H3346-1,הגדרות!$E$7+1),MOD(H3346-1-הגדרות!$E$8*(הגדרות!$E$7+1),הגדרות!$E$7)))</f>
        <v/>
      </c>
      <c r="K3346" s="0" t="str">
        <f aca="false">IF(I3346="","",J3346*הגדרות!$E$6+I3346+1)</f>
        <v/>
      </c>
      <c r="L3346" s="0" t="str">
        <f aca="false">IF(K3346="","",MATCH(K3346,$F$2:$F$5001,0))</f>
        <v/>
      </c>
      <c r="M3346" s="0" t="str">
        <f aca="false">IF(I3346="","",INDEX(הגדרות!$A$2:$A$21,MOD(I3346+הגדרות!$E$9,הגדרות!$E$6)+1))</f>
        <v/>
      </c>
    </row>
    <row r="3347" customFormat="false" ht="15" hidden="false" customHeight="false" outlineLevel="0" collapsed="false">
      <c r="A3347" s="0" t="str">
        <f aca="false">IF('הדבקת לידים'!A3347="","",IF(ISNUMBER('הדבקת לידים'!A3347),IF(הגדרות!$E$2&gt;0,TEXT('הדבקת לידים'!A3347,REPT("0",הגדרות!$E$2)),TEXT('הדבקת לידים'!A3347,"0")),TRIM('הדבקת לידים'!A3347)))</f>
        <v/>
      </c>
      <c r="B3347" s="0" t="str">
        <f aca="false">IF('הדבקת לידים'!B3347="","",IF(ISNUMBER('הדבקת לידים'!B3347),IF(הגדרות!$E$3&gt;0,TEXT('הדבקת לידים'!B3347,REPT("0",הגדרות!$E$3)),TEXT('הדבקת לידים'!B3347,"0")),TRIM('הדבקת לידים'!B3347)))</f>
        <v/>
      </c>
      <c r="C3347" s="0" t="n">
        <f aca="false">IF(OR(A3347&lt;&gt;"",B3347&lt;&gt;""),1,0)</f>
        <v>0</v>
      </c>
      <c r="D3347" s="0" t="str">
        <f aca="false">IF(C3347=1,MOD(ABS(SIN(ROW()*12.9898+'הדבקת לידים'!$F$2*78.233+IFERROR(--RIGHT(A3347,6),LEN(A3347))*0.0137+IFERROR(--RIGHT(B3347,6),LEN(B3347))*0.0071))*43758.5453,1),"")</f>
        <v/>
      </c>
      <c r="E3347" s="0" t="str">
        <f aca="false">IF(C3347=1,INT(MOD(ABS(SIN(D3347*7919.123+ROW()*0.618+'הדבקת לידים'!$F$2*1.3))*43758.5453,1)*1000000)*10000+ROW(),"")</f>
        <v/>
      </c>
      <c r="F3347" s="0" t="str">
        <f aca="false">IF(E3347="","",RANK(E3347,$E$2:$E$5001,1))</f>
        <v/>
      </c>
      <c r="G3347" s="0" t="n">
        <f aca="false">IF(A3347="",0,IF(SUMPRODUCT(--($A$2:$A$5001=A3347))&gt;1,1,0))</f>
        <v>0</v>
      </c>
      <c r="H3347" s="0" t="n">
        <f aca="false">ROW()-1</f>
        <v>3346</v>
      </c>
      <c r="I3347" s="0" t="str">
        <f aca="false">IF(OR(הגדרות!$E$6=0,H3347&gt;הגדרות!$E$5),"",IF(H3347-1&lt;הגדרות!$E$8*(הגדרות!$E$7+1),INT((H3347-1)/(הגדרות!$E$7+1)),הגדרות!$E$8+INT((H3347-1-הגדרות!$E$8*(הגדרות!$E$7+1))/הגדרות!$E$7)))</f>
        <v/>
      </c>
      <c r="J3347" s="0" t="str">
        <f aca="false">IF(I3347="","",IF(H3347-1&lt;הגדרות!$E$8*(הגדרות!$E$7+1),MOD(H3347-1,הגדרות!$E$7+1),MOD(H3347-1-הגדרות!$E$8*(הגדרות!$E$7+1),הגדרות!$E$7)))</f>
        <v/>
      </c>
      <c r="K3347" s="0" t="str">
        <f aca="false">IF(I3347="","",J3347*הגדרות!$E$6+I3347+1)</f>
        <v/>
      </c>
      <c r="L3347" s="0" t="str">
        <f aca="false">IF(K3347="","",MATCH(K3347,$F$2:$F$5001,0))</f>
        <v/>
      </c>
      <c r="M3347" s="0" t="str">
        <f aca="false">IF(I3347="","",INDEX(הגדרות!$A$2:$A$21,MOD(I3347+הגדרות!$E$9,הגדרות!$E$6)+1))</f>
        <v/>
      </c>
    </row>
    <row r="3348" customFormat="false" ht="15" hidden="false" customHeight="false" outlineLevel="0" collapsed="false">
      <c r="A3348" s="0" t="str">
        <f aca="false">IF('הדבקת לידים'!A3348="","",IF(ISNUMBER('הדבקת לידים'!A3348),IF(הגדרות!$E$2&gt;0,TEXT('הדבקת לידים'!A3348,REPT("0",הגדרות!$E$2)),TEXT('הדבקת לידים'!A3348,"0")),TRIM('הדבקת לידים'!A3348)))</f>
        <v/>
      </c>
      <c r="B3348" s="0" t="str">
        <f aca="false">IF('הדבקת לידים'!B3348="","",IF(ISNUMBER('הדבקת לידים'!B3348),IF(הגדרות!$E$3&gt;0,TEXT('הדבקת לידים'!B3348,REPT("0",הגדרות!$E$3)),TEXT('הדבקת לידים'!B3348,"0")),TRIM('הדבקת לידים'!B3348)))</f>
        <v/>
      </c>
      <c r="C3348" s="0" t="n">
        <f aca="false">IF(OR(A3348&lt;&gt;"",B3348&lt;&gt;""),1,0)</f>
        <v>0</v>
      </c>
      <c r="D3348" s="0" t="str">
        <f aca="false">IF(C3348=1,MOD(ABS(SIN(ROW()*12.9898+'הדבקת לידים'!$F$2*78.233+IFERROR(--RIGHT(A3348,6),LEN(A3348))*0.0137+IFERROR(--RIGHT(B3348,6),LEN(B3348))*0.0071))*43758.5453,1),"")</f>
        <v/>
      </c>
      <c r="E3348" s="0" t="str">
        <f aca="false">IF(C3348=1,INT(MOD(ABS(SIN(D3348*7919.123+ROW()*0.618+'הדבקת לידים'!$F$2*1.3))*43758.5453,1)*1000000)*10000+ROW(),"")</f>
        <v/>
      </c>
      <c r="F3348" s="0" t="str">
        <f aca="false">IF(E3348="","",RANK(E3348,$E$2:$E$5001,1))</f>
        <v/>
      </c>
      <c r="G3348" s="0" t="n">
        <f aca="false">IF(A3348="",0,IF(SUMPRODUCT(--($A$2:$A$5001=A3348))&gt;1,1,0))</f>
        <v>0</v>
      </c>
      <c r="H3348" s="0" t="n">
        <f aca="false">ROW()-1</f>
        <v>3347</v>
      </c>
      <c r="I3348" s="0" t="str">
        <f aca="false">IF(OR(הגדרות!$E$6=0,H3348&gt;הגדרות!$E$5),"",IF(H3348-1&lt;הגדרות!$E$8*(הגדרות!$E$7+1),INT((H3348-1)/(הגדרות!$E$7+1)),הגדרות!$E$8+INT((H3348-1-הגדרות!$E$8*(הגדרות!$E$7+1))/הגדרות!$E$7)))</f>
        <v/>
      </c>
      <c r="J3348" s="0" t="str">
        <f aca="false">IF(I3348="","",IF(H3348-1&lt;הגדרות!$E$8*(הגדרות!$E$7+1),MOD(H3348-1,הגדרות!$E$7+1),MOD(H3348-1-הגדרות!$E$8*(הגדרות!$E$7+1),הגדרות!$E$7)))</f>
        <v/>
      </c>
      <c r="K3348" s="0" t="str">
        <f aca="false">IF(I3348="","",J3348*הגדרות!$E$6+I3348+1)</f>
        <v/>
      </c>
      <c r="L3348" s="0" t="str">
        <f aca="false">IF(K3348="","",MATCH(K3348,$F$2:$F$5001,0))</f>
        <v/>
      </c>
      <c r="M3348" s="0" t="str">
        <f aca="false">IF(I3348="","",INDEX(הגדרות!$A$2:$A$21,MOD(I3348+הגדרות!$E$9,הגדרות!$E$6)+1))</f>
        <v/>
      </c>
    </row>
    <row r="3349" customFormat="false" ht="15" hidden="false" customHeight="false" outlineLevel="0" collapsed="false">
      <c r="A3349" s="0" t="str">
        <f aca="false">IF('הדבקת לידים'!A3349="","",IF(ISNUMBER('הדבקת לידים'!A3349),IF(הגדרות!$E$2&gt;0,TEXT('הדבקת לידים'!A3349,REPT("0",הגדרות!$E$2)),TEXT('הדבקת לידים'!A3349,"0")),TRIM('הדבקת לידים'!A3349)))</f>
        <v/>
      </c>
      <c r="B3349" s="0" t="str">
        <f aca="false">IF('הדבקת לידים'!B3349="","",IF(ISNUMBER('הדבקת לידים'!B3349),IF(הגדרות!$E$3&gt;0,TEXT('הדבקת לידים'!B3349,REPT("0",הגדרות!$E$3)),TEXT('הדבקת לידים'!B3349,"0")),TRIM('הדבקת לידים'!B3349)))</f>
        <v/>
      </c>
      <c r="C3349" s="0" t="n">
        <f aca="false">IF(OR(A3349&lt;&gt;"",B3349&lt;&gt;""),1,0)</f>
        <v>0</v>
      </c>
      <c r="D3349" s="0" t="str">
        <f aca="false">IF(C3349=1,MOD(ABS(SIN(ROW()*12.9898+'הדבקת לידים'!$F$2*78.233+IFERROR(--RIGHT(A3349,6),LEN(A3349))*0.0137+IFERROR(--RIGHT(B3349,6),LEN(B3349))*0.0071))*43758.5453,1),"")</f>
        <v/>
      </c>
      <c r="E3349" s="0" t="str">
        <f aca="false">IF(C3349=1,INT(MOD(ABS(SIN(D3349*7919.123+ROW()*0.618+'הדבקת לידים'!$F$2*1.3))*43758.5453,1)*1000000)*10000+ROW(),"")</f>
        <v/>
      </c>
      <c r="F3349" s="0" t="str">
        <f aca="false">IF(E3349="","",RANK(E3349,$E$2:$E$5001,1))</f>
        <v/>
      </c>
      <c r="G3349" s="0" t="n">
        <f aca="false">IF(A3349="",0,IF(SUMPRODUCT(--($A$2:$A$5001=A3349))&gt;1,1,0))</f>
        <v>0</v>
      </c>
      <c r="H3349" s="0" t="n">
        <f aca="false">ROW()-1</f>
        <v>3348</v>
      </c>
      <c r="I3349" s="0" t="str">
        <f aca="false">IF(OR(הגדרות!$E$6=0,H3349&gt;הגדרות!$E$5),"",IF(H3349-1&lt;הגדרות!$E$8*(הגדרות!$E$7+1),INT((H3349-1)/(הגדרות!$E$7+1)),הגדרות!$E$8+INT((H3349-1-הגדרות!$E$8*(הגדרות!$E$7+1))/הגדרות!$E$7)))</f>
        <v/>
      </c>
      <c r="J3349" s="0" t="str">
        <f aca="false">IF(I3349="","",IF(H3349-1&lt;הגדרות!$E$8*(הגדרות!$E$7+1),MOD(H3349-1,הגדרות!$E$7+1),MOD(H3349-1-הגדרות!$E$8*(הגדרות!$E$7+1),הגדרות!$E$7)))</f>
        <v/>
      </c>
      <c r="K3349" s="0" t="str">
        <f aca="false">IF(I3349="","",J3349*הגדרות!$E$6+I3349+1)</f>
        <v/>
      </c>
      <c r="L3349" s="0" t="str">
        <f aca="false">IF(K3349="","",MATCH(K3349,$F$2:$F$5001,0))</f>
        <v/>
      </c>
      <c r="M3349" s="0" t="str">
        <f aca="false">IF(I3349="","",INDEX(הגדרות!$A$2:$A$21,MOD(I3349+הגדרות!$E$9,הגדרות!$E$6)+1))</f>
        <v/>
      </c>
    </row>
    <row r="3350" customFormat="false" ht="15" hidden="false" customHeight="false" outlineLevel="0" collapsed="false">
      <c r="A3350" s="0" t="str">
        <f aca="false">IF('הדבקת לידים'!A3350="","",IF(ISNUMBER('הדבקת לידים'!A3350),IF(הגדרות!$E$2&gt;0,TEXT('הדבקת לידים'!A3350,REPT("0",הגדרות!$E$2)),TEXT('הדבקת לידים'!A3350,"0")),TRIM('הדבקת לידים'!A3350)))</f>
        <v/>
      </c>
      <c r="B3350" s="0" t="str">
        <f aca="false">IF('הדבקת לידים'!B3350="","",IF(ISNUMBER('הדבקת לידים'!B3350),IF(הגדרות!$E$3&gt;0,TEXT('הדבקת לידים'!B3350,REPT("0",הגדרות!$E$3)),TEXT('הדבקת לידים'!B3350,"0")),TRIM('הדבקת לידים'!B3350)))</f>
        <v/>
      </c>
      <c r="C3350" s="0" t="n">
        <f aca="false">IF(OR(A3350&lt;&gt;"",B3350&lt;&gt;""),1,0)</f>
        <v>0</v>
      </c>
      <c r="D3350" s="0" t="str">
        <f aca="false">IF(C3350=1,MOD(ABS(SIN(ROW()*12.9898+'הדבקת לידים'!$F$2*78.233+IFERROR(--RIGHT(A3350,6),LEN(A3350))*0.0137+IFERROR(--RIGHT(B3350,6),LEN(B3350))*0.0071))*43758.5453,1),"")</f>
        <v/>
      </c>
      <c r="E3350" s="0" t="str">
        <f aca="false">IF(C3350=1,INT(MOD(ABS(SIN(D3350*7919.123+ROW()*0.618+'הדבקת לידים'!$F$2*1.3))*43758.5453,1)*1000000)*10000+ROW(),"")</f>
        <v/>
      </c>
      <c r="F3350" s="0" t="str">
        <f aca="false">IF(E3350="","",RANK(E3350,$E$2:$E$5001,1))</f>
        <v/>
      </c>
      <c r="G3350" s="0" t="n">
        <f aca="false">IF(A3350="",0,IF(SUMPRODUCT(--($A$2:$A$5001=A3350))&gt;1,1,0))</f>
        <v>0</v>
      </c>
      <c r="H3350" s="0" t="n">
        <f aca="false">ROW()-1</f>
        <v>3349</v>
      </c>
      <c r="I3350" s="0" t="str">
        <f aca="false">IF(OR(הגדרות!$E$6=0,H3350&gt;הגדרות!$E$5),"",IF(H3350-1&lt;הגדרות!$E$8*(הגדרות!$E$7+1),INT((H3350-1)/(הגדרות!$E$7+1)),הגדרות!$E$8+INT((H3350-1-הגדרות!$E$8*(הגדרות!$E$7+1))/הגדרות!$E$7)))</f>
        <v/>
      </c>
      <c r="J3350" s="0" t="str">
        <f aca="false">IF(I3350="","",IF(H3350-1&lt;הגדרות!$E$8*(הגדרות!$E$7+1),MOD(H3350-1,הגדרות!$E$7+1),MOD(H3350-1-הגדרות!$E$8*(הגדרות!$E$7+1),הגדרות!$E$7)))</f>
        <v/>
      </c>
      <c r="K3350" s="0" t="str">
        <f aca="false">IF(I3350="","",J3350*הגדרות!$E$6+I3350+1)</f>
        <v/>
      </c>
      <c r="L3350" s="0" t="str">
        <f aca="false">IF(K3350="","",MATCH(K3350,$F$2:$F$5001,0))</f>
        <v/>
      </c>
      <c r="M3350" s="0" t="str">
        <f aca="false">IF(I3350="","",INDEX(הגדרות!$A$2:$A$21,MOD(I3350+הגדרות!$E$9,הגדרות!$E$6)+1))</f>
        <v/>
      </c>
    </row>
    <row r="3351" customFormat="false" ht="15" hidden="false" customHeight="false" outlineLevel="0" collapsed="false">
      <c r="A3351" s="0" t="str">
        <f aca="false">IF('הדבקת לידים'!A3351="","",IF(ISNUMBER('הדבקת לידים'!A3351),IF(הגדרות!$E$2&gt;0,TEXT('הדבקת לידים'!A3351,REPT("0",הגדרות!$E$2)),TEXT('הדבקת לידים'!A3351,"0")),TRIM('הדבקת לידים'!A3351)))</f>
        <v/>
      </c>
      <c r="B3351" s="0" t="str">
        <f aca="false">IF('הדבקת לידים'!B3351="","",IF(ISNUMBER('הדבקת לידים'!B3351),IF(הגדרות!$E$3&gt;0,TEXT('הדבקת לידים'!B3351,REPT("0",הגדרות!$E$3)),TEXT('הדבקת לידים'!B3351,"0")),TRIM('הדבקת לידים'!B3351)))</f>
        <v/>
      </c>
      <c r="C3351" s="0" t="n">
        <f aca="false">IF(OR(A3351&lt;&gt;"",B3351&lt;&gt;""),1,0)</f>
        <v>0</v>
      </c>
      <c r="D3351" s="0" t="str">
        <f aca="false">IF(C3351=1,MOD(ABS(SIN(ROW()*12.9898+'הדבקת לידים'!$F$2*78.233+IFERROR(--RIGHT(A3351,6),LEN(A3351))*0.0137+IFERROR(--RIGHT(B3351,6),LEN(B3351))*0.0071))*43758.5453,1),"")</f>
        <v/>
      </c>
      <c r="E3351" s="0" t="str">
        <f aca="false">IF(C3351=1,INT(MOD(ABS(SIN(D3351*7919.123+ROW()*0.618+'הדבקת לידים'!$F$2*1.3))*43758.5453,1)*1000000)*10000+ROW(),"")</f>
        <v/>
      </c>
      <c r="F3351" s="0" t="str">
        <f aca="false">IF(E3351="","",RANK(E3351,$E$2:$E$5001,1))</f>
        <v/>
      </c>
      <c r="G3351" s="0" t="n">
        <f aca="false">IF(A3351="",0,IF(SUMPRODUCT(--($A$2:$A$5001=A3351))&gt;1,1,0))</f>
        <v>0</v>
      </c>
      <c r="H3351" s="0" t="n">
        <f aca="false">ROW()-1</f>
        <v>3350</v>
      </c>
      <c r="I3351" s="0" t="str">
        <f aca="false">IF(OR(הגדרות!$E$6=0,H3351&gt;הגדרות!$E$5),"",IF(H3351-1&lt;הגדרות!$E$8*(הגדרות!$E$7+1),INT((H3351-1)/(הגדרות!$E$7+1)),הגדרות!$E$8+INT((H3351-1-הגדרות!$E$8*(הגדרות!$E$7+1))/הגדרות!$E$7)))</f>
        <v/>
      </c>
      <c r="J3351" s="0" t="str">
        <f aca="false">IF(I3351="","",IF(H3351-1&lt;הגדרות!$E$8*(הגדרות!$E$7+1),MOD(H3351-1,הגדרות!$E$7+1),MOD(H3351-1-הגדרות!$E$8*(הגדרות!$E$7+1),הגדרות!$E$7)))</f>
        <v/>
      </c>
      <c r="K3351" s="0" t="str">
        <f aca="false">IF(I3351="","",J3351*הגדרות!$E$6+I3351+1)</f>
        <v/>
      </c>
      <c r="L3351" s="0" t="str">
        <f aca="false">IF(K3351="","",MATCH(K3351,$F$2:$F$5001,0))</f>
        <v/>
      </c>
      <c r="M3351" s="0" t="str">
        <f aca="false">IF(I3351="","",INDEX(הגדרות!$A$2:$A$21,MOD(I3351+הגדרות!$E$9,הגדרות!$E$6)+1))</f>
        <v/>
      </c>
    </row>
    <row r="3352" customFormat="false" ht="15" hidden="false" customHeight="false" outlineLevel="0" collapsed="false">
      <c r="A3352" s="0" t="str">
        <f aca="false">IF('הדבקת לידים'!A3352="","",IF(ISNUMBER('הדבקת לידים'!A3352),IF(הגדרות!$E$2&gt;0,TEXT('הדבקת לידים'!A3352,REPT("0",הגדרות!$E$2)),TEXT('הדבקת לידים'!A3352,"0")),TRIM('הדבקת לידים'!A3352)))</f>
        <v/>
      </c>
      <c r="B3352" s="0" t="str">
        <f aca="false">IF('הדבקת לידים'!B3352="","",IF(ISNUMBER('הדבקת לידים'!B3352),IF(הגדרות!$E$3&gt;0,TEXT('הדבקת לידים'!B3352,REPT("0",הגדרות!$E$3)),TEXT('הדבקת לידים'!B3352,"0")),TRIM('הדבקת לידים'!B3352)))</f>
        <v/>
      </c>
      <c r="C3352" s="0" t="n">
        <f aca="false">IF(OR(A3352&lt;&gt;"",B3352&lt;&gt;""),1,0)</f>
        <v>0</v>
      </c>
      <c r="D3352" s="0" t="str">
        <f aca="false">IF(C3352=1,MOD(ABS(SIN(ROW()*12.9898+'הדבקת לידים'!$F$2*78.233+IFERROR(--RIGHT(A3352,6),LEN(A3352))*0.0137+IFERROR(--RIGHT(B3352,6),LEN(B3352))*0.0071))*43758.5453,1),"")</f>
        <v/>
      </c>
      <c r="E3352" s="0" t="str">
        <f aca="false">IF(C3352=1,INT(MOD(ABS(SIN(D3352*7919.123+ROW()*0.618+'הדבקת לידים'!$F$2*1.3))*43758.5453,1)*1000000)*10000+ROW(),"")</f>
        <v/>
      </c>
      <c r="F3352" s="0" t="str">
        <f aca="false">IF(E3352="","",RANK(E3352,$E$2:$E$5001,1))</f>
        <v/>
      </c>
      <c r="G3352" s="0" t="n">
        <f aca="false">IF(A3352="",0,IF(SUMPRODUCT(--($A$2:$A$5001=A3352))&gt;1,1,0))</f>
        <v>0</v>
      </c>
      <c r="H3352" s="0" t="n">
        <f aca="false">ROW()-1</f>
        <v>3351</v>
      </c>
      <c r="I3352" s="0" t="str">
        <f aca="false">IF(OR(הגדרות!$E$6=0,H3352&gt;הגדרות!$E$5),"",IF(H3352-1&lt;הגדרות!$E$8*(הגדרות!$E$7+1),INT((H3352-1)/(הגדרות!$E$7+1)),הגדרות!$E$8+INT((H3352-1-הגדרות!$E$8*(הגדרות!$E$7+1))/הגדרות!$E$7)))</f>
        <v/>
      </c>
      <c r="J3352" s="0" t="str">
        <f aca="false">IF(I3352="","",IF(H3352-1&lt;הגדרות!$E$8*(הגדרות!$E$7+1),MOD(H3352-1,הגדרות!$E$7+1),MOD(H3352-1-הגדרות!$E$8*(הגדרות!$E$7+1),הגדרות!$E$7)))</f>
        <v/>
      </c>
      <c r="K3352" s="0" t="str">
        <f aca="false">IF(I3352="","",J3352*הגדרות!$E$6+I3352+1)</f>
        <v/>
      </c>
      <c r="L3352" s="0" t="str">
        <f aca="false">IF(K3352="","",MATCH(K3352,$F$2:$F$5001,0))</f>
        <v/>
      </c>
      <c r="M3352" s="0" t="str">
        <f aca="false">IF(I3352="","",INDEX(הגדרות!$A$2:$A$21,MOD(I3352+הגדרות!$E$9,הגדרות!$E$6)+1))</f>
        <v/>
      </c>
    </row>
    <row r="3353" customFormat="false" ht="15" hidden="false" customHeight="false" outlineLevel="0" collapsed="false">
      <c r="A3353" s="0" t="str">
        <f aca="false">IF('הדבקת לידים'!A3353="","",IF(ISNUMBER('הדבקת לידים'!A3353),IF(הגדרות!$E$2&gt;0,TEXT('הדבקת לידים'!A3353,REPT("0",הגדרות!$E$2)),TEXT('הדבקת לידים'!A3353,"0")),TRIM('הדבקת לידים'!A3353)))</f>
        <v/>
      </c>
      <c r="B3353" s="0" t="str">
        <f aca="false">IF('הדבקת לידים'!B3353="","",IF(ISNUMBER('הדבקת לידים'!B3353),IF(הגדרות!$E$3&gt;0,TEXT('הדבקת לידים'!B3353,REPT("0",הגדרות!$E$3)),TEXT('הדבקת לידים'!B3353,"0")),TRIM('הדבקת לידים'!B3353)))</f>
        <v/>
      </c>
      <c r="C3353" s="0" t="n">
        <f aca="false">IF(OR(A3353&lt;&gt;"",B3353&lt;&gt;""),1,0)</f>
        <v>0</v>
      </c>
      <c r="D3353" s="0" t="str">
        <f aca="false">IF(C3353=1,MOD(ABS(SIN(ROW()*12.9898+'הדבקת לידים'!$F$2*78.233+IFERROR(--RIGHT(A3353,6),LEN(A3353))*0.0137+IFERROR(--RIGHT(B3353,6),LEN(B3353))*0.0071))*43758.5453,1),"")</f>
        <v/>
      </c>
      <c r="E3353" s="0" t="str">
        <f aca="false">IF(C3353=1,INT(MOD(ABS(SIN(D3353*7919.123+ROW()*0.618+'הדבקת לידים'!$F$2*1.3))*43758.5453,1)*1000000)*10000+ROW(),"")</f>
        <v/>
      </c>
      <c r="F3353" s="0" t="str">
        <f aca="false">IF(E3353="","",RANK(E3353,$E$2:$E$5001,1))</f>
        <v/>
      </c>
      <c r="G3353" s="0" t="n">
        <f aca="false">IF(A3353="",0,IF(SUMPRODUCT(--($A$2:$A$5001=A3353))&gt;1,1,0))</f>
        <v>0</v>
      </c>
      <c r="H3353" s="0" t="n">
        <f aca="false">ROW()-1</f>
        <v>3352</v>
      </c>
      <c r="I3353" s="0" t="str">
        <f aca="false">IF(OR(הגדרות!$E$6=0,H3353&gt;הגדרות!$E$5),"",IF(H3353-1&lt;הגדרות!$E$8*(הגדרות!$E$7+1),INT((H3353-1)/(הגדרות!$E$7+1)),הגדרות!$E$8+INT((H3353-1-הגדרות!$E$8*(הגדרות!$E$7+1))/הגדרות!$E$7)))</f>
        <v/>
      </c>
      <c r="J3353" s="0" t="str">
        <f aca="false">IF(I3353="","",IF(H3353-1&lt;הגדרות!$E$8*(הגדרות!$E$7+1),MOD(H3353-1,הגדרות!$E$7+1),MOD(H3353-1-הגדרות!$E$8*(הגדרות!$E$7+1),הגדרות!$E$7)))</f>
        <v/>
      </c>
      <c r="K3353" s="0" t="str">
        <f aca="false">IF(I3353="","",J3353*הגדרות!$E$6+I3353+1)</f>
        <v/>
      </c>
      <c r="L3353" s="0" t="str">
        <f aca="false">IF(K3353="","",MATCH(K3353,$F$2:$F$5001,0))</f>
        <v/>
      </c>
      <c r="M3353" s="0" t="str">
        <f aca="false">IF(I3353="","",INDEX(הגדרות!$A$2:$A$21,MOD(I3353+הגדרות!$E$9,הגדרות!$E$6)+1))</f>
        <v/>
      </c>
    </row>
    <row r="3354" customFormat="false" ht="15" hidden="false" customHeight="false" outlineLevel="0" collapsed="false">
      <c r="A3354" s="0" t="str">
        <f aca="false">IF('הדבקת לידים'!A3354="","",IF(ISNUMBER('הדבקת לידים'!A3354),IF(הגדרות!$E$2&gt;0,TEXT('הדבקת לידים'!A3354,REPT("0",הגדרות!$E$2)),TEXT('הדבקת לידים'!A3354,"0")),TRIM('הדבקת לידים'!A3354)))</f>
        <v/>
      </c>
      <c r="B3354" s="0" t="str">
        <f aca="false">IF('הדבקת לידים'!B3354="","",IF(ISNUMBER('הדבקת לידים'!B3354),IF(הגדרות!$E$3&gt;0,TEXT('הדבקת לידים'!B3354,REPT("0",הגדרות!$E$3)),TEXT('הדבקת לידים'!B3354,"0")),TRIM('הדבקת לידים'!B3354)))</f>
        <v/>
      </c>
      <c r="C3354" s="0" t="n">
        <f aca="false">IF(OR(A3354&lt;&gt;"",B3354&lt;&gt;""),1,0)</f>
        <v>0</v>
      </c>
      <c r="D3354" s="0" t="str">
        <f aca="false">IF(C3354=1,MOD(ABS(SIN(ROW()*12.9898+'הדבקת לידים'!$F$2*78.233+IFERROR(--RIGHT(A3354,6),LEN(A3354))*0.0137+IFERROR(--RIGHT(B3354,6),LEN(B3354))*0.0071))*43758.5453,1),"")</f>
        <v/>
      </c>
      <c r="E3354" s="0" t="str">
        <f aca="false">IF(C3354=1,INT(MOD(ABS(SIN(D3354*7919.123+ROW()*0.618+'הדבקת לידים'!$F$2*1.3))*43758.5453,1)*1000000)*10000+ROW(),"")</f>
        <v/>
      </c>
      <c r="F3354" s="0" t="str">
        <f aca="false">IF(E3354="","",RANK(E3354,$E$2:$E$5001,1))</f>
        <v/>
      </c>
      <c r="G3354" s="0" t="n">
        <f aca="false">IF(A3354="",0,IF(SUMPRODUCT(--($A$2:$A$5001=A3354))&gt;1,1,0))</f>
        <v>0</v>
      </c>
      <c r="H3354" s="0" t="n">
        <f aca="false">ROW()-1</f>
        <v>3353</v>
      </c>
      <c r="I3354" s="0" t="str">
        <f aca="false">IF(OR(הגדרות!$E$6=0,H3354&gt;הגדרות!$E$5),"",IF(H3354-1&lt;הגדרות!$E$8*(הגדרות!$E$7+1),INT((H3354-1)/(הגדרות!$E$7+1)),הגדרות!$E$8+INT((H3354-1-הגדרות!$E$8*(הגדרות!$E$7+1))/הגדרות!$E$7)))</f>
        <v/>
      </c>
      <c r="J3354" s="0" t="str">
        <f aca="false">IF(I3354="","",IF(H3354-1&lt;הגדרות!$E$8*(הגדרות!$E$7+1),MOD(H3354-1,הגדרות!$E$7+1),MOD(H3354-1-הגדרות!$E$8*(הגדרות!$E$7+1),הגדרות!$E$7)))</f>
        <v/>
      </c>
      <c r="K3354" s="0" t="str">
        <f aca="false">IF(I3354="","",J3354*הגדרות!$E$6+I3354+1)</f>
        <v/>
      </c>
      <c r="L3354" s="0" t="str">
        <f aca="false">IF(K3354="","",MATCH(K3354,$F$2:$F$5001,0))</f>
        <v/>
      </c>
      <c r="M3354" s="0" t="str">
        <f aca="false">IF(I3354="","",INDEX(הגדרות!$A$2:$A$21,MOD(I3354+הגדרות!$E$9,הגדרות!$E$6)+1))</f>
        <v/>
      </c>
    </row>
    <row r="3355" customFormat="false" ht="15" hidden="false" customHeight="false" outlineLevel="0" collapsed="false">
      <c r="A3355" s="0" t="str">
        <f aca="false">IF('הדבקת לידים'!A3355="","",IF(ISNUMBER('הדבקת לידים'!A3355),IF(הגדרות!$E$2&gt;0,TEXT('הדבקת לידים'!A3355,REPT("0",הגדרות!$E$2)),TEXT('הדבקת לידים'!A3355,"0")),TRIM('הדבקת לידים'!A3355)))</f>
        <v/>
      </c>
      <c r="B3355" s="0" t="str">
        <f aca="false">IF('הדבקת לידים'!B3355="","",IF(ISNUMBER('הדבקת לידים'!B3355),IF(הגדרות!$E$3&gt;0,TEXT('הדבקת לידים'!B3355,REPT("0",הגדרות!$E$3)),TEXT('הדבקת לידים'!B3355,"0")),TRIM('הדבקת לידים'!B3355)))</f>
        <v/>
      </c>
      <c r="C3355" s="0" t="n">
        <f aca="false">IF(OR(A3355&lt;&gt;"",B3355&lt;&gt;""),1,0)</f>
        <v>0</v>
      </c>
      <c r="D3355" s="0" t="str">
        <f aca="false">IF(C3355=1,MOD(ABS(SIN(ROW()*12.9898+'הדבקת לידים'!$F$2*78.233+IFERROR(--RIGHT(A3355,6),LEN(A3355))*0.0137+IFERROR(--RIGHT(B3355,6),LEN(B3355))*0.0071))*43758.5453,1),"")</f>
        <v/>
      </c>
      <c r="E3355" s="0" t="str">
        <f aca="false">IF(C3355=1,INT(MOD(ABS(SIN(D3355*7919.123+ROW()*0.618+'הדבקת לידים'!$F$2*1.3))*43758.5453,1)*1000000)*10000+ROW(),"")</f>
        <v/>
      </c>
      <c r="F3355" s="0" t="str">
        <f aca="false">IF(E3355="","",RANK(E3355,$E$2:$E$5001,1))</f>
        <v/>
      </c>
      <c r="G3355" s="0" t="n">
        <f aca="false">IF(A3355="",0,IF(SUMPRODUCT(--($A$2:$A$5001=A3355))&gt;1,1,0))</f>
        <v>0</v>
      </c>
      <c r="H3355" s="0" t="n">
        <f aca="false">ROW()-1</f>
        <v>3354</v>
      </c>
      <c r="I3355" s="0" t="str">
        <f aca="false">IF(OR(הגדרות!$E$6=0,H3355&gt;הגדרות!$E$5),"",IF(H3355-1&lt;הגדרות!$E$8*(הגדרות!$E$7+1),INT((H3355-1)/(הגדרות!$E$7+1)),הגדרות!$E$8+INT((H3355-1-הגדרות!$E$8*(הגדרות!$E$7+1))/הגדרות!$E$7)))</f>
        <v/>
      </c>
      <c r="J3355" s="0" t="str">
        <f aca="false">IF(I3355="","",IF(H3355-1&lt;הגדרות!$E$8*(הגדרות!$E$7+1),MOD(H3355-1,הגדרות!$E$7+1),MOD(H3355-1-הגדרות!$E$8*(הגדרות!$E$7+1),הגדרות!$E$7)))</f>
        <v/>
      </c>
      <c r="K3355" s="0" t="str">
        <f aca="false">IF(I3355="","",J3355*הגדרות!$E$6+I3355+1)</f>
        <v/>
      </c>
      <c r="L3355" s="0" t="str">
        <f aca="false">IF(K3355="","",MATCH(K3355,$F$2:$F$5001,0))</f>
        <v/>
      </c>
      <c r="M3355" s="0" t="str">
        <f aca="false">IF(I3355="","",INDEX(הגדרות!$A$2:$A$21,MOD(I3355+הגדרות!$E$9,הגדרות!$E$6)+1))</f>
        <v/>
      </c>
    </row>
    <row r="3356" customFormat="false" ht="15" hidden="false" customHeight="false" outlineLevel="0" collapsed="false">
      <c r="A3356" s="0" t="str">
        <f aca="false">IF('הדבקת לידים'!A3356="","",IF(ISNUMBER('הדבקת לידים'!A3356),IF(הגדרות!$E$2&gt;0,TEXT('הדבקת לידים'!A3356,REPT("0",הגדרות!$E$2)),TEXT('הדבקת לידים'!A3356,"0")),TRIM('הדבקת לידים'!A3356)))</f>
        <v/>
      </c>
      <c r="B3356" s="0" t="str">
        <f aca="false">IF('הדבקת לידים'!B3356="","",IF(ISNUMBER('הדבקת לידים'!B3356),IF(הגדרות!$E$3&gt;0,TEXT('הדבקת לידים'!B3356,REPT("0",הגדרות!$E$3)),TEXT('הדבקת לידים'!B3356,"0")),TRIM('הדבקת לידים'!B3356)))</f>
        <v/>
      </c>
      <c r="C3356" s="0" t="n">
        <f aca="false">IF(OR(A3356&lt;&gt;"",B3356&lt;&gt;""),1,0)</f>
        <v>0</v>
      </c>
      <c r="D3356" s="0" t="str">
        <f aca="false">IF(C3356=1,MOD(ABS(SIN(ROW()*12.9898+'הדבקת לידים'!$F$2*78.233+IFERROR(--RIGHT(A3356,6),LEN(A3356))*0.0137+IFERROR(--RIGHT(B3356,6),LEN(B3356))*0.0071))*43758.5453,1),"")</f>
        <v/>
      </c>
      <c r="E3356" s="0" t="str">
        <f aca="false">IF(C3356=1,INT(MOD(ABS(SIN(D3356*7919.123+ROW()*0.618+'הדבקת לידים'!$F$2*1.3))*43758.5453,1)*1000000)*10000+ROW(),"")</f>
        <v/>
      </c>
      <c r="F3356" s="0" t="str">
        <f aca="false">IF(E3356="","",RANK(E3356,$E$2:$E$5001,1))</f>
        <v/>
      </c>
      <c r="G3356" s="0" t="n">
        <f aca="false">IF(A3356="",0,IF(SUMPRODUCT(--($A$2:$A$5001=A3356))&gt;1,1,0))</f>
        <v>0</v>
      </c>
      <c r="H3356" s="0" t="n">
        <f aca="false">ROW()-1</f>
        <v>3355</v>
      </c>
      <c r="I3356" s="0" t="str">
        <f aca="false">IF(OR(הגדרות!$E$6=0,H3356&gt;הגדרות!$E$5),"",IF(H3356-1&lt;הגדרות!$E$8*(הגדרות!$E$7+1),INT((H3356-1)/(הגדרות!$E$7+1)),הגדרות!$E$8+INT((H3356-1-הגדרות!$E$8*(הגדרות!$E$7+1))/הגדרות!$E$7)))</f>
        <v/>
      </c>
      <c r="J3356" s="0" t="str">
        <f aca="false">IF(I3356="","",IF(H3356-1&lt;הגדרות!$E$8*(הגדרות!$E$7+1),MOD(H3356-1,הגדרות!$E$7+1),MOD(H3356-1-הגדרות!$E$8*(הגדרות!$E$7+1),הגדרות!$E$7)))</f>
        <v/>
      </c>
      <c r="K3356" s="0" t="str">
        <f aca="false">IF(I3356="","",J3356*הגדרות!$E$6+I3356+1)</f>
        <v/>
      </c>
      <c r="L3356" s="0" t="str">
        <f aca="false">IF(K3356="","",MATCH(K3356,$F$2:$F$5001,0))</f>
        <v/>
      </c>
      <c r="M3356" s="0" t="str">
        <f aca="false">IF(I3356="","",INDEX(הגדרות!$A$2:$A$21,MOD(I3356+הגדרות!$E$9,הגדרות!$E$6)+1))</f>
        <v/>
      </c>
    </row>
    <row r="3357" customFormat="false" ht="15" hidden="false" customHeight="false" outlineLevel="0" collapsed="false">
      <c r="A3357" s="0" t="str">
        <f aca="false">IF('הדבקת לידים'!A3357="","",IF(ISNUMBER('הדבקת לידים'!A3357),IF(הגדרות!$E$2&gt;0,TEXT('הדבקת לידים'!A3357,REPT("0",הגדרות!$E$2)),TEXT('הדבקת לידים'!A3357,"0")),TRIM('הדבקת לידים'!A3357)))</f>
        <v/>
      </c>
      <c r="B3357" s="0" t="str">
        <f aca="false">IF('הדבקת לידים'!B3357="","",IF(ISNUMBER('הדבקת לידים'!B3357),IF(הגדרות!$E$3&gt;0,TEXT('הדבקת לידים'!B3357,REPT("0",הגדרות!$E$3)),TEXT('הדבקת לידים'!B3357,"0")),TRIM('הדבקת לידים'!B3357)))</f>
        <v/>
      </c>
      <c r="C3357" s="0" t="n">
        <f aca="false">IF(OR(A3357&lt;&gt;"",B3357&lt;&gt;""),1,0)</f>
        <v>0</v>
      </c>
      <c r="D3357" s="0" t="str">
        <f aca="false">IF(C3357=1,MOD(ABS(SIN(ROW()*12.9898+'הדבקת לידים'!$F$2*78.233+IFERROR(--RIGHT(A3357,6),LEN(A3357))*0.0137+IFERROR(--RIGHT(B3357,6),LEN(B3357))*0.0071))*43758.5453,1),"")</f>
        <v/>
      </c>
      <c r="E3357" s="0" t="str">
        <f aca="false">IF(C3357=1,INT(MOD(ABS(SIN(D3357*7919.123+ROW()*0.618+'הדבקת לידים'!$F$2*1.3))*43758.5453,1)*1000000)*10000+ROW(),"")</f>
        <v/>
      </c>
      <c r="F3357" s="0" t="str">
        <f aca="false">IF(E3357="","",RANK(E3357,$E$2:$E$5001,1))</f>
        <v/>
      </c>
      <c r="G3357" s="0" t="n">
        <f aca="false">IF(A3357="",0,IF(SUMPRODUCT(--($A$2:$A$5001=A3357))&gt;1,1,0))</f>
        <v>0</v>
      </c>
      <c r="H3357" s="0" t="n">
        <f aca="false">ROW()-1</f>
        <v>3356</v>
      </c>
      <c r="I3357" s="0" t="str">
        <f aca="false">IF(OR(הגדרות!$E$6=0,H3357&gt;הגדרות!$E$5),"",IF(H3357-1&lt;הגדרות!$E$8*(הגדרות!$E$7+1),INT((H3357-1)/(הגדרות!$E$7+1)),הגדרות!$E$8+INT((H3357-1-הגדרות!$E$8*(הגדרות!$E$7+1))/הגדרות!$E$7)))</f>
        <v/>
      </c>
      <c r="J3357" s="0" t="str">
        <f aca="false">IF(I3357="","",IF(H3357-1&lt;הגדרות!$E$8*(הגדרות!$E$7+1),MOD(H3357-1,הגדרות!$E$7+1),MOD(H3357-1-הגדרות!$E$8*(הגדרות!$E$7+1),הגדרות!$E$7)))</f>
        <v/>
      </c>
      <c r="K3357" s="0" t="str">
        <f aca="false">IF(I3357="","",J3357*הגדרות!$E$6+I3357+1)</f>
        <v/>
      </c>
      <c r="L3357" s="0" t="str">
        <f aca="false">IF(K3357="","",MATCH(K3357,$F$2:$F$5001,0))</f>
        <v/>
      </c>
      <c r="M3357" s="0" t="str">
        <f aca="false">IF(I3357="","",INDEX(הגדרות!$A$2:$A$21,MOD(I3357+הגדרות!$E$9,הגדרות!$E$6)+1))</f>
        <v/>
      </c>
    </row>
    <row r="3358" customFormat="false" ht="15" hidden="false" customHeight="false" outlineLevel="0" collapsed="false">
      <c r="A3358" s="0" t="str">
        <f aca="false">IF('הדבקת לידים'!A3358="","",IF(ISNUMBER('הדבקת לידים'!A3358),IF(הגדרות!$E$2&gt;0,TEXT('הדבקת לידים'!A3358,REPT("0",הגדרות!$E$2)),TEXT('הדבקת לידים'!A3358,"0")),TRIM('הדבקת לידים'!A3358)))</f>
        <v/>
      </c>
      <c r="B3358" s="0" t="str">
        <f aca="false">IF('הדבקת לידים'!B3358="","",IF(ISNUMBER('הדבקת לידים'!B3358),IF(הגדרות!$E$3&gt;0,TEXT('הדבקת לידים'!B3358,REPT("0",הגדרות!$E$3)),TEXT('הדבקת לידים'!B3358,"0")),TRIM('הדבקת לידים'!B3358)))</f>
        <v/>
      </c>
      <c r="C3358" s="0" t="n">
        <f aca="false">IF(OR(A3358&lt;&gt;"",B3358&lt;&gt;""),1,0)</f>
        <v>0</v>
      </c>
      <c r="D3358" s="0" t="str">
        <f aca="false">IF(C3358=1,MOD(ABS(SIN(ROW()*12.9898+'הדבקת לידים'!$F$2*78.233+IFERROR(--RIGHT(A3358,6),LEN(A3358))*0.0137+IFERROR(--RIGHT(B3358,6),LEN(B3358))*0.0071))*43758.5453,1),"")</f>
        <v/>
      </c>
      <c r="E3358" s="0" t="str">
        <f aca="false">IF(C3358=1,INT(MOD(ABS(SIN(D3358*7919.123+ROW()*0.618+'הדבקת לידים'!$F$2*1.3))*43758.5453,1)*1000000)*10000+ROW(),"")</f>
        <v/>
      </c>
      <c r="F3358" s="0" t="str">
        <f aca="false">IF(E3358="","",RANK(E3358,$E$2:$E$5001,1))</f>
        <v/>
      </c>
      <c r="G3358" s="0" t="n">
        <f aca="false">IF(A3358="",0,IF(SUMPRODUCT(--($A$2:$A$5001=A3358))&gt;1,1,0))</f>
        <v>0</v>
      </c>
      <c r="H3358" s="0" t="n">
        <f aca="false">ROW()-1</f>
        <v>3357</v>
      </c>
      <c r="I3358" s="0" t="str">
        <f aca="false">IF(OR(הגדרות!$E$6=0,H3358&gt;הגדרות!$E$5),"",IF(H3358-1&lt;הגדרות!$E$8*(הגדרות!$E$7+1),INT((H3358-1)/(הגדרות!$E$7+1)),הגדרות!$E$8+INT((H3358-1-הגדרות!$E$8*(הגדרות!$E$7+1))/הגדרות!$E$7)))</f>
        <v/>
      </c>
      <c r="J3358" s="0" t="str">
        <f aca="false">IF(I3358="","",IF(H3358-1&lt;הגדרות!$E$8*(הגדרות!$E$7+1),MOD(H3358-1,הגדרות!$E$7+1),MOD(H3358-1-הגדרות!$E$8*(הגדרות!$E$7+1),הגדרות!$E$7)))</f>
        <v/>
      </c>
      <c r="K3358" s="0" t="str">
        <f aca="false">IF(I3358="","",J3358*הגדרות!$E$6+I3358+1)</f>
        <v/>
      </c>
      <c r="L3358" s="0" t="str">
        <f aca="false">IF(K3358="","",MATCH(K3358,$F$2:$F$5001,0))</f>
        <v/>
      </c>
      <c r="M3358" s="0" t="str">
        <f aca="false">IF(I3358="","",INDEX(הגדרות!$A$2:$A$21,MOD(I3358+הגדרות!$E$9,הגדרות!$E$6)+1))</f>
        <v/>
      </c>
    </row>
    <row r="3359" customFormat="false" ht="15" hidden="false" customHeight="false" outlineLevel="0" collapsed="false">
      <c r="A3359" s="0" t="str">
        <f aca="false">IF('הדבקת לידים'!A3359="","",IF(ISNUMBER('הדבקת לידים'!A3359),IF(הגדרות!$E$2&gt;0,TEXT('הדבקת לידים'!A3359,REPT("0",הגדרות!$E$2)),TEXT('הדבקת לידים'!A3359,"0")),TRIM('הדבקת לידים'!A3359)))</f>
        <v/>
      </c>
      <c r="B3359" s="0" t="str">
        <f aca="false">IF('הדבקת לידים'!B3359="","",IF(ISNUMBER('הדבקת לידים'!B3359),IF(הגדרות!$E$3&gt;0,TEXT('הדבקת לידים'!B3359,REPT("0",הגדרות!$E$3)),TEXT('הדבקת לידים'!B3359,"0")),TRIM('הדבקת לידים'!B3359)))</f>
        <v/>
      </c>
      <c r="C3359" s="0" t="n">
        <f aca="false">IF(OR(A3359&lt;&gt;"",B3359&lt;&gt;""),1,0)</f>
        <v>0</v>
      </c>
      <c r="D3359" s="0" t="str">
        <f aca="false">IF(C3359=1,MOD(ABS(SIN(ROW()*12.9898+'הדבקת לידים'!$F$2*78.233+IFERROR(--RIGHT(A3359,6),LEN(A3359))*0.0137+IFERROR(--RIGHT(B3359,6),LEN(B3359))*0.0071))*43758.5453,1),"")</f>
        <v/>
      </c>
      <c r="E3359" s="0" t="str">
        <f aca="false">IF(C3359=1,INT(MOD(ABS(SIN(D3359*7919.123+ROW()*0.618+'הדבקת לידים'!$F$2*1.3))*43758.5453,1)*1000000)*10000+ROW(),"")</f>
        <v/>
      </c>
      <c r="F3359" s="0" t="str">
        <f aca="false">IF(E3359="","",RANK(E3359,$E$2:$E$5001,1))</f>
        <v/>
      </c>
      <c r="G3359" s="0" t="n">
        <f aca="false">IF(A3359="",0,IF(SUMPRODUCT(--($A$2:$A$5001=A3359))&gt;1,1,0))</f>
        <v>0</v>
      </c>
      <c r="H3359" s="0" t="n">
        <f aca="false">ROW()-1</f>
        <v>3358</v>
      </c>
      <c r="I3359" s="0" t="str">
        <f aca="false">IF(OR(הגדרות!$E$6=0,H3359&gt;הגדרות!$E$5),"",IF(H3359-1&lt;הגדרות!$E$8*(הגדרות!$E$7+1),INT((H3359-1)/(הגדרות!$E$7+1)),הגדרות!$E$8+INT((H3359-1-הגדרות!$E$8*(הגדרות!$E$7+1))/הגדרות!$E$7)))</f>
        <v/>
      </c>
      <c r="J3359" s="0" t="str">
        <f aca="false">IF(I3359="","",IF(H3359-1&lt;הגדרות!$E$8*(הגדרות!$E$7+1),MOD(H3359-1,הגדרות!$E$7+1),MOD(H3359-1-הגדרות!$E$8*(הגדרות!$E$7+1),הגדרות!$E$7)))</f>
        <v/>
      </c>
      <c r="K3359" s="0" t="str">
        <f aca="false">IF(I3359="","",J3359*הגדרות!$E$6+I3359+1)</f>
        <v/>
      </c>
      <c r="L3359" s="0" t="str">
        <f aca="false">IF(K3359="","",MATCH(K3359,$F$2:$F$5001,0))</f>
        <v/>
      </c>
      <c r="M3359" s="0" t="str">
        <f aca="false">IF(I3359="","",INDEX(הגדרות!$A$2:$A$21,MOD(I3359+הגדרות!$E$9,הגדרות!$E$6)+1))</f>
        <v/>
      </c>
    </row>
    <row r="3360" customFormat="false" ht="15" hidden="false" customHeight="false" outlineLevel="0" collapsed="false">
      <c r="A3360" s="0" t="str">
        <f aca="false">IF('הדבקת לידים'!A3360="","",IF(ISNUMBER('הדבקת לידים'!A3360),IF(הגדרות!$E$2&gt;0,TEXT('הדבקת לידים'!A3360,REPT("0",הגדרות!$E$2)),TEXT('הדבקת לידים'!A3360,"0")),TRIM('הדבקת לידים'!A3360)))</f>
        <v/>
      </c>
      <c r="B3360" s="0" t="str">
        <f aca="false">IF('הדבקת לידים'!B3360="","",IF(ISNUMBER('הדבקת לידים'!B3360),IF(הגדרות!$E$3&gt;0,TEXT('הדבקת לידים'!B3360,REPT("0",הגדרות!$E$3)),TEXT('הדבקת לידים'!B3360,"0")),TRIM('הדבקת לידים'!B3360)))</f>
        <v/>
      </c>
      <c r="C3360" s="0" t="n">
        <f aca="false">IF(OR(A3360&lt;&gt;"",B3360&lt;&gt;""),1,0)</f>
        <v>0</v>
      </c>
      <c r="D3360" s="0" t="str">
        <f aca="false">IF(C3360=1,MOD(ABS(SIN(ROW()*12.9898+'הדבקת לידים'!$F$2*78.233+IFERROR(--RIGHT(A3360,6),LEN(A3360))*0.0137+IFERROR(--RIGHT(B3360,6),LEN(B3360))*0.0071))*43758.5453,1),"")</f>
        <v/>
      </c>
      <c r="E3360" s="0" t="str">
        <f aca="false">IF(C3360=1,INT(MOD(ABS(SIN(D3360*7919.123+ROW()*0.618+'הדבקת לידים'!$F$2*1.3))*43758.5453,1)*1000000)*10000+ROW(),"")</f>
        <v/>
      </c>
      <c r="F3360" s="0" t="str">
        <f aca="false">IF(E3360="","",RANK(E3360,$E$2:$E$5001,1))</f>
        <v/>
      </c>
      <c r="G3360" s="0" t="n">
        <f aca="false">IF(A3360="",0,IF(SUMPRODUCT(--($A$2:$A$5001=A3360))&gt;1,1,0))</f>
        <v>0</v>
      </c>
      <c r="H3360" s="0" t="n">
        <f aca="false">ROW()-1</f>
        <v>3359</v>
      </c>
      <c r="I3360" s="0" t="str">
        <f aca="false">IF(OR(הגדרות!$E$6=0,H3360&gt;הגדרות!$E$5),"",IF(H3360-1&lt;הגדרות!$E$8*(הגדרות!$E$7+1),INT((H3360-1)/(הגדרות!$E$7+1)),הגדרות!$E$8+INT((H3360-1-הגדרות!$E$8*(הגדרות!$E$7+1))/הגדרות!$E$7)))</f>
        <v/>
      </c>
      <c r="J3360" s="0" t="str">
        <f aca="false">IF(I3360="","",IF(H3360-1&lt;הגדרות!$E$8*(הגדרות!$E$7+1),MOD(H3360-1,הגדרות!$E$7+1),MOD(H3360-1-הגדרות!$E$8*(הגדרות!$E$7+1),הגדרות!$E$7)))</f>
        <v/>
      </c>
      <c r="K3360" s="0" t="str">
        <f aca="false">IF(I3360="","",J3360*הגדרות!$E$6+I3360+1)</f>
        <v/>
      </c>
      <c r="L3360" s="0" t="str">
        <f aca="false">IF(K3360="","",MATCH(K3360,$F$2:$F$5001,0))</f>
        <v/>
      </c>
      <c r="M3360" s="0" t="str">
        <f aca="false">IF(I3360="","",INDEX(הגדרות!$A$2:$A$21,MOD(I3360+הגדרות!$E$9,הגדרות!$E$6)+1))</f>
        <v/>
      </c>
    </row>
    <row r="3361" customFormat="false" ht="15" hidden="false" customHeight="false" outlineLevel="0" collapsed="false">
      <c r="A3361" s="0" t="str">
        <f aca="false">IF('הדבקת לידים'!A3361="","",IF(ISNUMBER('הדבקת לידים'!A3361),IF(הגדרות!$E$2&gt;0,TEXT('הדבקת לידים'!A3361,REPT("0",הגדרות!$E$2)),TEXT('הדבקת לידים'!A3361,"0")),TRIM('הדבקת לידים'!A3361)))</f>
        <v/>
      </c>
      <c r="B3361" s="0" t="str">
        <f aca="false">IF('הדבקת לידים'!B3361="","",IF(ISNUMBER('הדבקת לידים'!B3361),IF(הגדרות!$E$3&gt;0,TEXT('הדבקת לידים'!B3361,REPT("0",הגדרות!$E$3)),TEXT('הדבקת לידים'!B3361,"0")),TRIM('הדבקת לידים'!B3361)))</f>
        <v/>
      </c>
      <c r="C3361" s="0" t="n">
        <f aca="false">IF(OR(A3361&lt;&gt;"",B3361&lt;&gt;""),1,0)</f>
        <v>0</v>
      </c>
      <c r="D3361" s="0" t="str">
        <f aca="false">IF(C3361=1,MOD(ABS(SIN(ROW()*12.9898+'הדבקת לידים'!$F$2*78.233+IFERROR(--RIGHT(A3361,6),LEN(A3361))*0.0137+IFERROR(--RIGHT(B3361,6),LEN(B3361))*0.0071))*43758.5453,1),"")</f>
        <v/>
      </c>
      <c r="E3361" s="0" t="str">
        <f aca="false">IF(C3361=1,INT(MOD(ABS(SIN(D3361*7919.123+ROW()*0.618+'הדבקת לידים'!$F$2*1.3))*43758.5453,1)*1000000)*10000+ROW(),"")</f>
        <v/>
      </c>
      <c r="F3361" s="0" t="str">
        <f aca="false">IF(E3361="","",RANK(E3361,$E$2:$E$5001,1))</f>
        <v/>
      </c>
      <c r="G3361" s="0" t="n">
        <f aca="false">IF(A3361="",0,IF(SUMPRODUCT(--($A$2:$A$5001=A3361))&gt;1,1,0))</f>
        <v>0</v>
      </c>
      <c r="H3361" s="0" t="n">
        <f aca="false">ROW()-1</f>
        <v>3360</v>
      </c>
      <c r="I3361" s="0" t="str">
        <f aca="false">IF(OR(הגדרות!$E$6=0,H3361&gt;הגדרות!$E$5),"",IF(H3361-1&lt;הגדרות!$E$8*(הגדרות!$E$7+1),INT((H3361-1)/(הגדרות!$E$7+1)),הגדרות!$E$8+INT((H3361-1-הגדרות!$E$8*(הגדרות!$E$7+1))/הגדרות!$E$7)))</f>
        <v/>
      </c>
      <c r="J3361" s="0" t="str">
        <f aca="false">IF(I3361="","",IF(H3361-1&lt;הגדרות!$E$8*(הגדרות!$E$7+1),MOD(H3361-1,הגדרות!$E$7+1),MOD(H3361-1-הגדרות!$E$8*(הגדרות!$E$7+1),הגדרות!$E$7)))</f>
        <v/>
      </c>
      <c r="K3361" s="0" t="str">
        <f aca="false">IF(I3361="","",J3361*הגדרות!$E$6+I3361+1)</f>
        <v/>
      </c>
      <c r="L3361" s="0" t="str">
        <f aca="false">IF(K3361="","",MATCH(K3361,$F$2:$F$5001,0))</f>
        <v/>
      </c>
      <c r="M3361" s="0" t="str">
        <f aca="false">IF(I3361="","",INDEX(הגדרות!$A$2:$A$21,MOD(I3361+הגדרות!$E$9,הגדרות!$E$6)+1))</f>
        <v/>
      </c>
    </row>
    <row r="3362" customFormat="false" ht="15" hidden="false" customHeight="false" outlineLevel="0" collapsed="false">
      <c r="A3362" s="0" t="str">
        <f aca="false">IF('הדבקת לידים'!A3362="","",IF(ISNUMBER('הדבקת לידים'!A3362),IF(הגדרות!$E$2&gt;0,TEXT('הדבקת לידים'!A3362,REPT("0",הגדרות!$E$2)),TEXT('הדבקת לידים'!A3362,"0")),TRIM('הדבקת לידים'!A3362)))</f>
        <v/>
      </c>
      <c r="B3362" s="0" t="str">
        <f aca="false">IF('הדבקת לידים'!B3362="","",IF(ISNUMBER('הדבקת לידים'!B3362),IF(הגדרות!$E$3&gt;0,TEXT('הדבקת לידים'!B3362,REPT("0",הגדרות!$E$3)),TEXT('הדבקת לידים'!B3362,"0")),TRIM('הדבקת לידים'!B3362)))</f>
        <v/>
      </c>
      <c r="C3362" s="0" t="n">
        <f aca="false">IF(OR(A3362&lt;&gt;"",B3362&lt;&gt;""),1,0)</f>
        <v>0</v>
      </c>
      <c r="D3362" s="0" t="str">
        <f aca="false">IF(C3362=1,MOD(ABS(SIN(ROW()*12.9898+'הדבקת לידים'!$F$2*78.233+IFERROR(--RIGHT(A3362,6),LEN(A3362))*0.0137+IFERROR(--RIGHT(B3362,6),LEN(B3362))*0.0071))*43758.5453,1),"")</f>
        <v/>
      </c>
      <c r="E3362" s="0" t="str">
        <f aca="false">IF(C3362=1,INT(MOD(ABS(SIN(D3362*7919.123+ROW()*0.618+'הדבקת לידים'!$F$2*1.3))*43758.5453,1)*1000000)*10000+ROW(),"")</f>
        <v/>
      </c>
      <c r="F3362" s="0" t="str">
        <f aca="false">IF(E3362="","",RANK(E3362,$E$2:$E$5001,1))</f>
        <v/>
      </c>
      <c r="G3362" s="0" t="n">
        <f aca="false">IF(A3362="",0,IF(SUMPRODUCT(--($A$2:$A$5001=A3362))&gt;1,1,0))</f>
        <v>0</v>
      </c>
      <c r="H3362" s="0" t="n">
        <f aca="false">ROW()-1</f>
        <v>3361</v>
      </c>
      <c r="I3362" s="0" t="str">
        <f aca="false">IF(OR(הגדרות!$E$6=0,H3362&gt;הגדרות!$E$5),"",IF(H3362-1&lt;הגדרות!$E$8*(הגדרות!$E$7+1),INT((H3362-1)/(הגדרות!$E$7+1)),הגדרות!$E$8+INT((H3362-1-הגדרות!$E$8*(הגדרות!$E$7+1))/הגדרות!$E$7)))</f>
        <v/>
      </c>
      <c r="J3362" s="0" t="str">
        <f aca="false">IF(I3362="","",IF(H3362-1&lt;הגדרות!$E$8*(הגדרות!$E$7+1),MOD(H3362-1,הגדרות!$E$7+1),MOD(H3362-1-הגדרות!$E$8*(הגדרות!$E$7+1),הגדרות!$E$7)))</f>
        <v/>
      </c>
      <c r="K3362" s="0" t="str">
        <f aca="false">IF(I3362="","",J3362*הגדרות!$E$6+I3362+1)</f>
        <v/>
      </c>
      <c r="L3362" s="0" t="str">
        <f aca="false">IF(K3362="","",MATCH(K3362,$F$2:$F$5001,0))</f>
        <v/>
      </c>
      <c r="M3362" s="0" t="str">
        <f aca="false">IF(I3362="","",INDEX(הגדרות!$A$2:$A$21,MOD(I3362+הגדרות!$E$9,הגדרות!$E$6)+1))</f>
        <v/>
      </c>
    </row>
    <row r="3363" customFormat="false" ht="15" hidden="false" customHeight="false" outlineLevel="0" collapsed="false">
      <c r="A3363" s="0" t="str">
        <f aca="false">IF('הדבקת לידים'!A3363="","",IF(ISNUMBER('הדבקת לידים'!A3363),IF(הגדרות!$E$2&gt;0,TEXT('הדבקת לידים'!A3363,REPT("0",הגדרות!$E$2)),TEXT('הדבקת לידים'!A3363,"0")),TRIM('הדבקת לידים'!A3363)))</f>
        <v/>
      </c>
      <c r="B3363" s="0" t="str">
        <f aca="false">IF('הדבקת לידים'!B3363="","",IF(ISNUMBER('הדבקת לידים'!B3363),IF(הגדרות!$E$3&gt;0,TEXT('הדבקת לידים'!B3363,REPT("0",הגדרות!$E$3)),TEXT('הדבקת לידים'!B3363,"0")),TRIM('הדבקת לידים'!B3363)))</f>
        <v/>
      </c>
      <c r="C3363" s="0" t="n">
        <f aca="false">IF(OR(A3363&lt;&gt;"",B3363&lt;&gt;""),1,0)</f>
        <v>0</v>
      </c>
      <c r="D3363" s="0" t="str">
        <f aca="false">IF(C3363=1,MOD(ABS(SIN(ROW()*12.9898+'הדבקת לידים'!$F$2*78.233+IFERROR(--RIGHT(A3363,6),LEN(A3363))*0.0137+IFERROR(--RIGHT(B3363,6),LEN(B3363))*0.0071))*43758.5453,1),"")</f>
        <v/>
      </c>
      <c r="E3363" s="0" t="str">
        <f aca="false">IF(C3363=1,INT(MOD(ABS(SIN(D3363*7919.123+ROW()*0.618+'הדבקת לידים'!$F$2*1.3))*43758.5453,1)*1000000)*10000+ROW(),"")</f>
        <v/>
      </c>
      <c r="F3363" s="0" t="str">
        <f aca="false">IF(E3363="","",RANK(E3363,$E$2:$E$5001,1))</f>
        <v/>
      </c>
      <c r="G3363" s="0" t="n">
        <f aca="false">IF(A3363="",0,IF(SUMPRODUCT(--($A$2:$A$5001=A3363))&gt;1,1,0))</f>
        <v>0</v>
      </c>
      <c r="H3363" s="0" t="n">
        <f aca="false">ROW()-1</f>
        <v>3362</v>
      </c>
      <c r="I3363" s="0" t="str">
        <f aca="false">IF(OR(הגדרות!$E$6=0,H3363&gt;הגדרות!$E$5),"",IF(H3363-1&lt;הגדרות!$E$8*(הגדרות!$E$7+1),INT((H3363-1)/(הגדרות!$E$7+1)),הגדרות!$E$8+INT((H3363-1-הגדרות!$E$8*(הגדרות!$E$7+1))/הגדרות!$E$7)))</f>
        <v/>
      </c>
      <c r="J3363" s="0" t="str">
        <f aca="false">IF(I3363="","",IF(H3363-1&lt;הגדרות!$E$8*(הגדרות!$E$7+1),MOD(H3363-1,הגדרות!$E$7+1),MOD(H3363-1-הגדרות!$E$8*(הגדרות!$E$7+1),הגדרות!$E$7)))</f>
        <v/>
      </c>
      <c r="K3363" s="0" t="str">
        <f aca="false">IF(I3363="","",J3363*הגדרות!$E$6+I3363+1)</f>
        <v/>
      </c>
      <c r="L3363" s="0" t="str">
        <f aca="false">IF(K3363="","",MATCH(K3363,$F$2:$F$5001,0))</f>
        <v/>
      </c>
      <c r="M3363" s="0" t="str">
        <f aca="false">IF(I3363="","",INDEX(הגדרות!$A$2:$A$21,MOD(I3363+הגדרות!$E$9,הגדרות!$E$6)+1))</f>
        <v/>
      </c>
    </row>
    <row r="3364" customFormat="false" ht="15" hidden="false" customHeight="false" outlineLevel="0" collapsed="false">
      <c r="A3364" s="0" t="str">
        <f aca="false">IF('הדבקת לידים'!A3364="","",IF(ISNUMBER('הדבקת לידים'!A3364),IF(הגדרות!$E$2&gt;0,TEXT('הדבקת לידים'!A3364,REPT("0",הגדרות!$E$2)),TEXT('הדבקת לידים'!A3364,"0")),TRIM('הדבקת לידים'!A3364)))</f>
        <v/>
      </c>
      <c r="B3364" s="0" t="str">
        <f aca="false">IF('הדבקת לידים'!B3364="","",IF(ISNUMBER('הדבקת לידים'!B3364),IF(הגדרות!$E$3&gt;0,TEXT('הדבקת לידים'!B3364,REPT("0",הגדרות!$E$3)),TEXT('הדבקת לידים'!B3364,"0")),TRIM('הדבקת לידים'!B3364)))</f>
        <v/>
      </c>
      <c r="C3364" s="0" t="n">
        <f aca="false">IF(OR(A3364&lt;&gt;"",B3364&lt;&gt;""),1,0)</f>
        <v>0</v>
      </c>
      <c r="D3364" s="0" t="str">
        <f aca="false">IF(C3364=1,MOD(ABS(SIN(ROW()*12.9898+'הדבקת לידים'!$F$2*78.233+IFERROR(--RIGHT(A3364,6),LEN(A3364))*0.0137+IFERROR(--RIGHT(B3364,6),LEN(B3364))*0.0071))*43758.5453,1),"")</f>
        <v/>
      </c>
      <c r="E3364" s="0" t="str">
        <f aca="false">IF(C3364=1,INT(MOD(ABS(SIN(D3364*7919.123+ROW()*0.618+'הדבקת לידים'!$F$2*1.3))*43758.5453,1)*1000000)*10000+ROW(),"")</f>
        <v/>
      </c>
      <c r="F3364" s="0" t="str">
        <f aca="false">IF(E3364="","",RANK(E3364,$E$2:$E$5001,1))</f>
        <v/>
      </c>
      <c r="G3364" s="0" t="n">
        <f aca="false">IF(A3364="",0,IF(SUMPRODUCT(--($A$2:$A$5001=A3364))&gt;1,1,0))</f>
        <v>0</v>
      </c>
      <c r="H3364" s="0" t="n">
        <f aca="false">ROW()-1</f>
        <v>3363</v>
      </c>
      <c r="I3364" s="0" t="str">
        <f aca="false">IF(OR(הגדרות!$E$6=0,H3364&gt;הגדרות!$E$5),"",IF(H3364-1&lt;הגדרות!$E$8*(הגדרות!$E$7+1),INT((H3364-1)/(הגדרות!$E$7+1)),הגדרות!$E$8+INT((H3364-1-הגדרות!$E$8*(הגדרות!$E$7+1))/הגדרות!$E$7)))</f>
        <v/>
      </c>
      <c r="J3364" s="0" t="str">
        <f aca="false">IF(I3364="","",IF(H3364-1&lt;הגדרות!$E$8*(הגדרות!$E$7+1),MOD(H3364-1,הגדרות!$E$7+1),MOD(H3364-1-הגדרות!$E$8*(הגדרות!$E$7+1),הגדרות!$E$7)))</f>
        <v/>
      </c>
      <c r="K3364" s="0" t="str">
        <f aca="false">IF(I3364="","",J3364*הגדרות!$E$6+I3364+1)</f>
        <v/>
      </c>
      <c r="L3364" s="0" t="str">
        <f aca="false">IF(K3364="","",MATCH(K3364,$F$2:$F$5001,0))</f>
        <v/>
      </c>
      <c r="M3364" s="0" t="str">
        <f aca="false">IF(I3364="","",INDEX(הגדרות!$A$2:$A$21,MOD(I3364+הגדרות!$E$9,הגדרות!$E$6)+1))</f>
        <v/>
      </c>
    </row>
    <row r="3365" customFormat="false" ht="15" hidden="false" customHeight="false" outlineLevel="0" collapsed="false">
      <c r="A3365" s="0" t="str">
        <f aca="false">IF('הדבקת לידים'!A3365="","",IF(ISNUMBER('הדבקת לידים'!A3365),IF(הגדרות!$E$2&gt;0,TEXT('הדבקת לידים'!A3365,REPT("0",הגדרות!$E$2)),TEXT('הדבקת לידים'!A3365,"0")),TRIM('הדבקת לידים'!A3365)))</f>
        <v/>
      </c>
      <c r="B3365" s="0" t="str">
        <f aca="false">IF('הדבקת לידים'!B3365="","",IF(ISNUMBER('הדבקת לידים'!B3365),IF(הגדרות!$E$3&gt;0,TEXT('הדבקת לידים'!B3365,REPT("0",הגדרות!$E$3)),TEXT('הדבקת לידים'!B3365,"0")),TRIM('הדבקת לידים'!B3365)))</f>
        <v/>
      </c>
      <c r="C3365" s="0" t="n">
        <f aca="false">IF(OR(A3365&lt;&gt;"",B3365&lt;&gt;""),1,0)</f>
        <v>0</v>
      </c>
      <c r="D3365" s="0" t="str">
        <f aca="false">IF(C3365=1,MOD(ABS(SIN(ROW()*12.9898+'הדבקת לידים'!$F$2*78.233+IFERROR(--RIGHT(A3365,6),LEN(A3365))*0.0137+IFERROR(--RIGHT(B3365,6),LEN(B3365))*0.0071))*43758.5453,1),"")</f>
        <v/>
      </c>
      <c r="E3365" s="0" t="str">
        <f aca="false">IF(C3365=1,INT(MOD(ABS(SIN(D3365*7919.123+ROW()*0.618+'הדבקת לידים'!$F$2*1.3))*43758.5453,1)*1000000)*10000+ROW(),"")</f>
        <v/>
      </c>
      <c r="F3365" s="0" t="str">
        <f aca="false">IF(E3365="","",RANK(E3365,$E$2:$E$5001,1))</f>
        <v/>
      </c>
      <c r="G3365" s="0" t="n">
        <f aca="false">IF(A3365="",0,IF(SUMPRODUCT(--($A$2:$A$5001=A3365))&gt;1,1,0))</f>
        <v>0</v>
      </c>
      <c r="H3365" s="0" t="n">
        <f aca="false">ROW()-1</f>
        <v>3364</v>
      </c>
      <c r="I3365" s="0" t="str">
        <f aca="false">IF(OR(הגדרות!$E$6=0,H3365&gt;הגדרות!$E$5),"",IF(H3365-1&lt;הגדרות!$E$8*(הגדרות!$E$7+1),INT((H3365-1)/(הגדרות!$E$7+1)),הגדרות!$E$8+INT((H3365-1-הגדרות!$E$8*(הגדרות!$E$7+1))/הגדרות!$E$7)))</f>
        <v/>
      </c>
      <c r="J3365" s="0" t="str">
        <f aca="false">IF(I3365="","",IF(H3365-1&lt;הגדרות!$E$8*(הגדרות!$E$7+1),MOD(H3365-1,הגדרות!$E$7+1),MOD(H3365-1-הגדרות!$E$8*(הגדרות!$E$7+1),הגדרות!$E$7)))</f>
        <v/>
      </c>
      <c r="K3365" s="0" t="str">
        <f aca="false">IF(I3365="","",J3365*הגדרות!$E$6+I3365+1)</f>
        <v/>
      </c>
      <c r="L3365" s="0" t="str">
        <f aca="false">IF(K3365="","",MATCH(K3365,$F$2:$F$5001,0))</f>
        <v/>
      </c>
      <c r="M3365" s="0" t="str">
        <f aca="false">IF(I3365="","",INDEX(הגדרות!$A$2:$A$21,MOD(I3365+הגדרות!$E$9,הגדרות!$E$6)+1))</f>
        <v/>
      </c>
    </row>
    <row r="3366" customFormat="false" ht="15" hidden="false" customHeight="false" outlineLevel="0" collapsed="false">
      <c r="A3366" s="0" t="str">
        <f aca="false">IF('הדבקת לידים'!A3366="","",IF(ISNUMBER('הדבקת לידים'!A3366),IF(הגדרות!$E$2&gt;0,TEXT('הדבקת לידים'!A3366,REPT("0",הגדרות!$E$2)),TEXT('הדבקת לידים'!A3366,"0")),TRIM('הדבקת לידים'!A3366)))</f>
        <v/>
      </c>
      <c r="B3366" s="0" t="str">
        <f aca="false">IF('הדבקת לידים'!B3366="","",IF(ISNUMBER('הדבקת לידים'!B3366),IF(הגדרות!$E$3&gt;0,TEXT('הדבקת לידים'!B3366,REPT("0",הגדרות!$E$3)),TEXT('הדבקת לידים'!B3366,"0")),TRIM('הדבקת לידים'!B3366)))</f>
        <v/>
      </c>
      <c r="C3366" s="0" t="n">
        <f aca="false">IF(OR(A3366&lt;&gt;"",B3366&lt;&gt;""),1,0)</f>
        <v>0</v>
      </c>
      <c r="D3366" s="0" t="str">
        <f aca="false">IF(C3366=1,MOD(ABS(SIN(ROW()*12.9898+'הדבקת לידים'!$F$2*78.233+IFERROR(--RIGHT(A3366,6),LEN(A3366))*0.0137+IFERROR(--RIGHT(B3366,6),LEN(B3366))*0.0071))*43758.5453,1),"")</f>
        <v/>
      </c>
      <c r="E3366" s="0" t="str">
        <f aca="false">IF(C3366=1,INT(MOD(ABS(SIN(D3366*7919.123+ROW()*0.618+'הדבקת לידים'!$F$2*1.3))*43758.5453,1)*1000000)*10000+ROW(),"")</f>
        <v/>
      </c>
      <c r="F3366" s="0" t="str">
        <f aca="false">IF(E3366="","",RANK(E3366,$E$2:$E$5001,1))</f>
        <v/>
      </c>
      <c r="G3366" s="0" t="n">
        <f aca="false">IF(A3366="",0,IF(SUMPRODUCT(--($A$2:$A$5001=A3366))&gt;1,1,0))</f>
        <v>0</v>
      </c>
      <c r="H3366" s="0" t="n">
        <f aca="false">ROW()-1</f>
        <v>3365</v>
      </c>
      <c r="I3366" s="0" t="str">
        <f aca="false">IF(OR(הגדרות!$E$6=0,H3366&gt;הגדרות!$E$5),"",IF(H3366-1&lt;הגדרות!$E$8*(הגדרות!$E$7+1),INT((H3366-1)/(הגדרות!$E$7+1)),הגדרות!$E$8+INT((H3366-1-הגדרות!$E$8*(הגדרות!$E$7+1))/הגדרות!$E$7)))</f>
        <v/>
      </c>
      <c r="J3366" s="0" t="str">
        <f aca="false">IF(I3366="","",IF(H3366-1&lt;הגדרות!$E$8*(הגדרות!$E$7+1),MOD(H3366-1,הגדרות!$E$7+1),MOD(H3366-1-הגדרות!$E$8*(הגדרות!$E$7+1),הגדרות!$E$7)))</f>
        <v/>
      </c>
      <c r="K3366" s="0" t="str">
        <f aca="false">IF(I3366="","",J3366*הגדרות!$E$6+I3366+1)</f>
        <v/>
      </c>
      <c r="L3366" s="0" t="str">
        <f aca="false">IF(K3366="","",MATCH(K3366,$F$2:$F$5001,0))</f>
        <v/>
      </c>
      <c r="M3366" s="0" t="str">
        <f aca="false">IF(I3366="","",INDEX(הגדרות!$A$2:$A$21,MOD(I3366+הגדרות!$E$9,הגדרות!$E$6)+1))</f>
        <v/>
      </c>
    </row>
    <row r="3367" customFormat="false" ht="15" hidden="false" customHeight="false" outlineLevel="0" collapsed="false">
      <c r="A3367" s="0" t="str">
        <f aca="false">IF('הדבקת לידים'!A3367="","",IF(ISNUMBER('הדבקת לידים'!A3367),IF(הגדרות!$E$2&gt;0,TEXT('הדבקת לידים'!A3367,REPT("0",הגדרות!$E$2)),TEXT('הדבקת לידים'!A3367,"0")),TRIM('הדבקת לידים'!A3367)))</f>
        <v/>
      </c>
      <c r="B3367" s="0" t="str">
        <f aca="false">IF('הדבקת לידים'!B3367="","",IF(ISNUMBER('הדבקת לידים'!B3367),IF(הגדרות!$E$3&gt;0,TEXT('הדבקת לידים'!B3367,REPT("0",הגדרות!$E$3)),TEXT('הדבקת לידים'!B3367,"0")),TRIM('הדבקת לידים'!B3367)))</f>
        <v/>
      </c>
      <c r="C3367" s="0" t="n">
        <f aca="false">IF(OR(A3367&lt;&gt;"",B3367&lt;&gt;""),1,0)</f>
        <v>0</v>
      </c>
      <c r="D3367" s="0" t="str">
        <f aca="false">IF(C3367=1,MOD(ABS(SIN(ROW()*12.9898+'הדבקת לידים'!$F$2*78.233+IFERROR(--RIGHT(A3367,6),LEN(A3367))*0.0137+IFERROR(--RIGHT(B3367,6),LEN(B3367))*0.0071))*43758.5453,1),"")</f>
        <v/>
      </c>
      <c r="E3367" s="0" t="str">
        <f aca="false">IF(C3367=1,INT(MOD(ABS(SIN(D3367*7919.123+ROW()*0.618+'הדבקת לידים'!$F$2*1.3))*43758.5453,1)*1000000)*10000+ROW(),"")</f>
        <v/>
      </c>
      <c r="F3367" s="0" t="str">
        <f aca="false">IF(E3367="","",RANK(E3367,$E$2:$E$5001,1))</f>
        <v/>
      </c>
      <c r="G3367" s="0" t="n">
        <f aca="false">IF(A3367="",0,IF(SUMPRODUCT(--($A$2:$A$5001=A3367))&gt;1,1,0))</f>
        <v>0</v>
      </c>
      <c r="H3367" s="0" t="n">
        <f aca="false">ROW()-1</f>
        <v>3366</v>
      </c>
      <c r="I3367" s="0" t="str">
        <f aca="false">IF(OR(הגדרות!$E$6=0,H3367&gt;הגדרות!$E$5),"",IF(H3367-1&lt;הגדרות!$E$8*(הגדרות!$E$7+1),INT((H3367-1)/(הגדרות!$E$7+1)),הגדרות!$E$8+INT((H3367-1-הגדרות!$E$8*(הגדרות!$E$7+1))/הגדרות!$E$7)))</f>
        <v/>
      </c>
      <c r="J3367" s="0" t="str">
        <f aca="false">IF(I3367="","",IF(H3367-1&lt;הגדרות!$E$8*(הגדרות!$E$7+1),MOD(H3367-1,הגדרות!$E$7+1),MOD(H3367-1-הגדרות!$E$8*(הגדרות!$E$7+1),הגדרות!$E$7)))</f>
        <v/>
      </c>
      <c r="K3367" s="0" t="str">
        <f aca="false">IF(I3367="","",J3367*הגדרות!$E$6+I3367+1)</f>
        <v/>
      </c>
      <c r="L3367" s="0" t="str">
        <f aca="false">IF(K3367="","",MATCH(K3367,$F$2:$F$5001,0))</f>
        <v/>
      </c>
      <c r="M3367" s="0" t="str">
        <f aca="false">IF(I3367="","",INDEX(הגדרות!$A$2:$A$21,MOD(I3367+הגדרות!$E$9,הגדרות!$E$6)+1))</f>
        <v/>
      </c>
    </row>
    <row r="3368" customFormat="false" ht="15" hidden="false" customHeight="false" outlineLevel="0" collapsed="false">
      <c r="A3368" s="0" t="str">
        <f aca="false">IF('הדבקת לידים'!A3368="","",IF(ISNUMBER('הדבקת לידים'!A3368),IF(הגדרות!$E$2&gt;0,TEXT('הדבקת לידים'!A3368,REPT("0",הגדרות!$E$2)),TEXT('הדבקת לידים'!A3368,"0")),TRIM('הדבקת לידים'!A3368)))</f>
        <v/>
      </c>
      <c r="B3368" s="0" t="str">
        <f aca="false">IF('הדבקת לידים'!B3368="","",IF(ISNUMBER('הדבקת לידים'!B3368),IF(הגדרות!$E$3&gt;0,TEXT('הדבקת לידים'!B3368,REPT("0",הגדרות!$E$3)),TEXT('הדבקת לידים'!B3368,"0")),TRIM('הדבקת לידים'!B3368)))</f>
        <v/>
      </c>
      <c r="C3368" s="0" t="n">
        <f aca="false">IF(OR(A3368&lt;&gt;"",B3368&lt;&gt;""),1,0)</f>
        <v>0</v>
      </c>
      <c r="D3368" s="0" t="str">
        <f aca="false">IF(C3368=1,MOD(ABS(SIN(ROW()*12.9898+'הדבקת לידים'!$F$2*78.233+IFERROR(--RIGHT(A3368,6),LEN(A3368))*0.0137+IFERROR(--RIGHT(B3368,6),LEN(B3368))*0.0071))*43758.5453,1),"")</f>
        <v/>
      </c>
      <c r="E3368" s="0" t="str">
        <f aca="false">IF(C3368=1,INT(MOD(ABS(SIN(D3368*7919.123+ROW()*0.618+'הדבקת לידים'!$F$2*1.3))*43758.5453,1)*1000000)*10000+ROW(),"")</f>
        <v/>
      </c>
      <c r="F3368" s="0" t="str">
        <f aca="false">IF(E3368="","",RANK(E3368,$E$2:$E$5001,1))</f>
        <v/>
      </c>
      <c r="G3368" s="0" t="n">
        <f aca="false">IF(A3368="",0,IF(SUMPRODUCT(--($A$2:$A$5001=A3368))&gt;1,1,0))</f>
        <v>0</v>
      </c>
      <c r="H3368" s="0" t="n">
        <f aca="false">ROW()-1</f>
        <v>3367</v>
      </c>
      <c r="I3368" s="0" t="str">
        <f aca="false">IF(OR(הגדרות!$E$6=0,H3368&gt;הגדרות!$E$5),"",IF(H3368-1&lt;הגדרות!$E$8*(הגדרות!$E$7+1),INT((H3368-1)/(הגדרות!$E$7+1)),הגדרות!$E$8+INT((H3368-1-הגדרות!$E$8*(הגדרות!$E$7+1))/הגדרות!$E$7)))</f>
        <v/>
      </c>
      <c r="J3368" s="0" t="str">
        <f aca="false">IF(I3368="","",IF(H3368-1&lt;הגדרות!$E$8*(הגדרות!$E$7+1),MOD(H3368-1,הגדרות!$E$7+1),MOD(H3368-1-הגדרות!$E$8*(הגדרות!$E$7+1),הגדרות!$E$7)))</f>
        <v/>
      </c>
      <c r="K3368" s="0" t="str">
        <f aca="false">IF(I3368="","",J3368*הגדרות!$E$6+I3368+1)</f>
        <v/>
      </c>
      <c r="L3368" s="0" t="str">
        <f aca="false">IF(K3368="","",MATCH(K3368,$F$2:$F$5001,0))</f>
        <v/>
      </c>
      <c r="M3368" s="0" t="str">
        <f aca="false">IF(I3368="","",INDEX(הגדרות!$A$2:$A$21,MOD(I3368+הגדרות!$E$9,הגדרות!$E$6)+1))</f>
        <v/>
      </c>
    </row>
    <row r="3369" customFormat="false" ht="15" hidden="false" customHeight="false" outlineLevel="0" collapsed="false">
      <c r="A3369" s="0" t="str">
        <f aca="false">IF('הדבקת לידים'!A3369="","",IF(ISNUMBER('הדבקת לידים'!A3369),IF(הגדרות!$E$2&gt;0,TEXT('הדבקת לידים'!A3369,REPT("0",הגדרות!$E$2)),TEXT('הדבקת לידים'!A3369,"0")),TRIM('הדבקת לידים'!A3369)))</f>
        <v/>
      </c>
      <c r="B3369" s="0" t="str">
        <f aca="false">IF('הדבקת לידים'!B3369="","",IF(ISNUMBER('הדבקת לידים'!B3369),IF(הגדרות!$E$3&gt;0,TEXT('הדבקת לידים'!B3369,REPT("0",הגדרות!$E$3)),TEXT('הדבקת לידים'!B3369,"0")),TRIM('הדבקת לידים'!B3369)))</f>
        <v/>
      </c>
      <c r="C3369" s="0" t="n">
        <f aca="false">IF(OR(A3369&lt;&gt;"",B3369&lt;&gt;""),1,0)</f>
        <v>0</v>
      </c>
      <c r="D3369" s="0" t="str">
        <f aca="false">IF(C3369=1,MOD(ABS(SIN(ROW()*12.9898+'הדבקת לידים'!$F$2*78.233+IFERROR(--RIGHT(A3369,6),LEN(A3369))*0.0137+IFERROR(--RIGHT(B3369,6),LEN(B3369))*0.0071))*43758.5453,1),"")</f>
        <v/>
      </c>
      <c r="E3369" s="0" t="str">
        <f aca="false">IF(C3369=1,INT(MOD(ABS(SIN(D3369*7919.123+ROW()*0.618+'הדבקת לידים'!$F$2*1.3))*43758.5453,1)*1000000)*10000+ROW(),"")</f>
        <v/>
      </c>
      <c r="F3369" s="0" t="str">
        <f aca="false">IF(E3369="","",RANK(E3369,$E$2:$E$5001,1))</f>
        <v/>
      </c>
      <c r="G3369" s="0" t="n">
        <f aca="false">IF(A3369="",0,IF(SUMPRODUCT(--($A$2:$A$5001=A3369))&gt;1,1,0))</f>
        <v>0</v>
      </c>
      <c r="H3369" s="0" t="n">
        <f aca="false">ROW()-1</f>
        <v>3368</v>
      </c>
      <c r="I3369" s="0" t="str">
        <f aca="false">IF(OR(הגדרות!$E$6=0,H3369&gt;הגדרות!$E$5),"",IF(H3369-1&lt;הגדרות!$E$8*(הגדרות!$E$7+1),INT((H3369-1)/(הגדרות!$E$7+1)),הגדרות!$E$8+INT((H3369-1-הגדרות!$E$8*(הגדרות!$E$7+1))/הגדרות!$E$7)))</f>
        <v/>
      </c>
      <c r="J3369" s="0" t="str">
        <f aca="false">IF(I3369="","",IF(H3369-1&lt;הגדרות!$E$8*(הגדרות!$E$7+1),MOD(H3369-1,הגדרות!$E$7+1),MOD(H3369-1-הגדרות!$E$8*(הגדרות!$E$7+1),הגדרות!$E$7)))</f>
        <v/>
      </c>
      <c r="K3369" s="0" t="str">
        <f aca="false">IF(I3369="","",J3369*הגדרות!$E$6+I3369+1)</f>
        <v/>
      </c>
      <c r="L3369" s="0" t="str">
        <f aca="false">IF(K3369="","",MATCH(K3369,$F$2:$F$5001,0))</f>
        <v/>
      </c>
      <c r="M3369" s="0" t="str">
        <f aca="false">IF(I3369="","",INDEX(הגדרות!$A$2:$A$21,MOD(I3369+הגדרות!$E$9,הגדרות!$E$6)+1))</f>
        <v/>
      </c>
    </row>
    <row r="3370" customFormat="false" ht="15" hidden="false" customHeight="false" outlineLevel="0" collapsed="false">
      <c r="A3370" s="0" t="str">
        <f aca="false">IF('הדבקת לידים'!A3370="","",IF(ISNUMBER('הדבקת לידים'!A3370),IF(הגדרות!$E$2&gt;0,TEXT('הדבקת לידים'!A3370,REPT("0",הגדרות!$E$2)),TEXT('הדבקת לידים'!A3370,"0")),TRIM('הדבקת לידים'!A3370)))</f>
        <v/>
      </c>
      <c r="B3370" s="0" t="str">
        <f aca="false">IF('הדבקת לידים'!B3370="","",IF(ISNUMBER('הדבקת לידים'!B3370),IF(הגדרות!$E$3&gt;0,TEXT('הדבקת לידים'!B3370,REPT("0",הגדרות!$E$3)),TEXT('הדבקת לידים'!B3370,"0")),TRIM('הדבקת לידים'!B3370)))</f>
        <v/>
      </c>
      <c r="C3370" s="0" t="n">
        <f aca="false">IF(OR(A3370&lt;&gt;"",B3370&lt;&gt;""),1,0)</f>
        <v>0</v>
      </c>
      <c r="D3370" s="0" t="str">
        <f aca="false">IF(C3370=1,MOD(ABS(SIN(ROW()*12.9898+'הדבקת לידים'!$F$2*78.233+IFERROR(--RIGHT(A3370,6),LEN(A3370))*0.0137+IFERROR(--RIGHT(B3370,6),LEN(B3370))*0.0071))*43758.5453,1),"")</f>
        <v/>
      </c>
      <c r="E3370" s="0" t="str">
        <f aca="false">IF(C3370=1,INT(MOD(ABS(SIN(D3370*7919.123+ROW()*0.618+'הדבקת לידים'!$F$2*1.3))*43758.5453,1)*1000000)*10000+ROW(),"")</f>
        <v/>
      </c>
      <c r="F3370" s="0" t="str">
        <f aca="false">IF(E3370="","",RANK(E3370,$E$2:$E$5001,1))</f>
        <v/>
      </c>
      <c r="G3370" s="0" t="n">
        <f aca="false">IF(A3370="",0,IF(SUMPRODUCT(--($A$2:$A$5001=A3370))&gt;1,1,0))</f>
        <v>0</v>
      </c>
      <c r="H3370" s="0" t="n">
        <f aca="false">ROW()-1</f>
        <v>3369</v>
      </c>
      <c r="I3370" s="0" t="str">
        <f aca="false">IF(OR(הגדרות!$E$6=0,H3370&gt;הגדרות!$E$5),"",IF(H3370-1&lt;הגדרות!$E$8*(הגדרות!$E$7+1),INT((H3370-1)/(הגדרות!$E$7+1)),הגדרות!$E$8+INT((H3370-1-הגדרות!$E$8*(הגדרות!$E$7+1))/הגדרות!$E$7)))</f>
        <v/>
      </c>
      <c r="J3370" s="0" t="str">
        <f aca="false">IF(I3370="","",IF(H3370-1&lt;הגדרות!$E$8*(הגדרות!$E$7+1),MOD(H3370-1,הגדרות!$E$7+1),MOD(H3370-1-הגדרות!$E$8*(הגדרות!$E$7+1),הגדרות!$E$7)))</f>
        <v/>
      </c>
      <c r="K3370" s="0" t="str">
        <f aca="false">IF(I3370="","",J3370*הגדרות!$E$6+I3370+1)</f>
        <v/>
      </c>
      <c r="L3370" s="0" t="str">
        <f aca="false">IF(K3370="","",MATCH(K3370,$F$2:$F$5001,0))</f>
        <v/>
      </c>
      <c r="M3370" s="0" t="str">
        <f aca="false">IF(I3370="","",INDEX(הגדרות!$A$2:$A$21,MOD(I3370+הגדרות!$E$9,הגדרות!$E$6)+1))</f>
        <v/>
      </c>
    </row>
    <row r="3371" customFormat="false" ht="15" hidden="false" customHeight="false" outlineLevel="0" collapsed="false">
      <c r="A3371" s="0" t="str">
        <f aca="false">IF('הדבקת לידים'!A3371="","",IF(ISNUMBER('הדבקת לידים'!A3371),IF(הגדרות!$E$2&gt;0,TEXT('הדבקת לידים'!A3371,REPT("0",הגדרות!$E$2)),TEXT('הדבקת לידים'!A3371,"0")),TRIM('הדבקת לידים'!A3371)))</f>
        <v/>
      </c>
      <c r="B3371" s="0" t="str">
        <f aca="false">IF('הדבקת לידים'!B3371="","",IF(ISNUMBER('הדבקת לידים'!B3371),IF(הגדרות!$E$3&gt;0,TEXT('הדבקת לידים'!B3371,REPT("0",הגדרות!$E$3)),TEXT('הדבקת לידים'!B3371,"0")),TRIM('הדבקת לידים'!B3371)))</f>
        <v/>
      </c>
      <c r="C3371" s="0" t="n">
        <f aca="false">IF(OR(A3371&lt;&gt;"",B3371&lt;&gt;""),1,0)</f>
        <v>0</v>
      </c>
      <c r="D3371" s="0" t="str">
        <f aca="false">IF(C3371=1,MOD(ABS(SIN(ROW()*12.9898+'הדבקת לידים'!$F$2*78.233+IFERROR(--RIGHT(A3371,6),LEN(A3371))*0.0137+IFERROR(--RIGHT(B3371,6),LEN(B3371))*0.0071))*43758.5453,1),"")</f>
        <v/>
      </c>
      <c r="E3371" s="0" t="str">
        <f aca="false">IF(C3371=1,INT(MOD(ABS(SIN(D3371*7919.123+ROW()*0.618+'הדבקת לידים'!$F$2*1.3))*43758.5453,1)*1000000)*10000+ROW(),"")</f>
        <v/>
      </c>
      <c r="F3371" s="0" t="str">
        <f aca="false">IF(E3371="","",RANK(E3371,$E$2:$E$5001,1))</f>
        <v/>
      </c>
      <c r="G3371" s="0" t="n">
        <f aca="false">IF(A3371="",0,IF(SUMPRODUCT(--($A$2:$A$5001=A3371))&gt;1,1,0))</f>
        <v>0</v>
      </c>
      <c r="H3371" s="0" t="n">
        <f aca="false">ROW()-1</f>
        <v>3370</v>
      </c>
      <c r="I3371" s="0" t="str">
        <f aca="false">IF(OR(הגדרות!$E$6=0,H3371&gt;הגדרות!$E$5),"",IF(H3371-1&lt;הגדרות!$E$8*(הגדרות!$E$7+1),INT((H3371-1)/(הגדרות!$E$7+1)),הגדרות!$E$8+INT((H3371-1-הגדרות!$E$8*(הגדרות!$E$7+1))/הגדרות!$E$7)))</f>
        <v/>
      </c>
      <c r="J3371" s="0" t="str">
        <f aca="false">IF(I3371="","",IF(H3371-1&lt;הגדרות!$E$8*(הגדרות!$E$7+1),MOD(H3371-1,הגדרות!$E$7+1),MOD(H3371-1-הגדרות!$E$8*(הגדרות!$E$7+1),הגדרות!$E$7)))</f>
        <v/>
      </c>
      <c r="K3371" s="0" t="str">
        <f aca="false">IF(I3371="","",J3371*הגדרות!$E$6+I3371+1)</f>
        <v/>
      </c>
      <c r="L3371" s="0" t="str">
        <f aca="false">IF(K3371="","",MATCH(K3371,$F$2:$F$5001,0))</f>
        <v/>
      </c>
      <c r="M3371" s="0" t="str">
        <f aca="false">IF(I3371="","",INDEX(הגדרות!$A$2:$A$21,MOD(I3371+הגדרות!$E$9,הגדרות!$E$6)+1))</f>
        <v/>
      </c>
    </row>
    <row r="3372" customFormat="false" ht="15" hidden="false" customHeight="false" outlineLevel="0" collapsed="false">
      <c r="A3372" s="0" t="str">
        <f aca="false">IF('הדבקת לידים'!A3372="","",IF(ISNUMBER('הדבקת לידים'!A3372),IF(הגדרות!$E$2&gt;0,TEXT('הדבקת לידים'!A3372,REPT("0",הגדרות!$E$2)),TEXT('הדבקת לידים'!A3372,"0")),TRIM('הדבקת לידים'!A3372)))</f>
        <v/>
      </c>
      <c r="B3372" s="0" t="str">
        <f aca="false">IF('הדבקת לידים'!B3372="","",IF(ISNUMBER('הדבקת לידים'!B3372),IF(הגדרות!$E$3&gt;0,TEXT('הדבקת לידים'!B3372,REPT("0",הגדרות!$E$3)),TEXT('הדבקת לידים'!B3372,"0")),TRIM('הדבקת לידים'!B3372)))</f>
        <v/>
      </c>
      <c r="C3372" s="0" t="n">
        <f aca="false">IF(OR(A3372&lt;&gt;"",B3372&lt;&gt;""),1,0)</f>
        <v>0</v>
      </c>
      <c r="D3372" s="0" t="str">
        <f aca="false">IF(C3372=1,MOD(ABS(SIN(ROW()*12.9898+'הדבקת לידים'!$F$2*78.233+IFERROR(--RIGHT(A3372,6),LEN(A3372))*0.0137+IFERROR(--RIGHT(B3372,6),LEN(B3372))*0.0071))*43758.5453,1),"")</f>
        <v/>
      </c>
      <c r="E3372" s="0" t="str">
        <f aca="false">IF(C3372=1,INT(MOD(ABS(SIN(D3372*7919.123+ROW()*0.618+'הדבקת לידים'!$F$2*1.3))*43758.5453,1)*1000000)*10000+ROW(),"")</f>
        <v/>
      </c>
      <c r="F3372" s="0" t="str">
        <f aca="false">IF(E3372="","",RANK(E3372,$E$2:$E$5001,1))</f>
        <v/>
      </c>
      <c r="G3372" s="0" t="n">
        <f aca="false">IF(A3372="",0,IF(SUMPRODUCT(--($A$2:$A$5001=A3372))&gt;1,1,0))</f>
        <v>0</v>
      </c>
      <c r="H3372" s="0" t="n">
        <f aca="false">ROW()-1</f>
        <v>3371</v>
      </c>
      <c r="I3372" s="0" t="str">
        <f aca="false">IF(OR(הגדרות!$E$6=0,H3372&gt;הגדרות!$E$5),"",IF(H3372-1&lt;הגדרות!$E$8*(הגדרות!$E$7+1),INT((H3372-1)/(הגדרות!$E$7+1)),הגדרות!$E$8+INT((H3372-1-הגדרות!$E$8*(הגדרות!$E$7+1))/הגדרות!$E$7)))</f>
        <v/>
      </c>
      <c r="J3372" s="0" t="str">
        <f aca="false">IF(I3372="","",IF(H3372-1&lt;הגדרות!$E$8*(הגדרות!$E$7+1),MOD(H3372-1,הגדרות!$E$7+1),MOD(H3372-1-הגדרות!$E$8*(הגדרות!$E$7+1),הגדרות!$E$7)))</f>
        <v/>
      </c>
      <c r="K3372" s="0" t="str">
        <f aca="false">IF(I3372="","",J3372*הגדרות!$E$6+I3372+1)</f>
        <v/>
      </c>
      <c r="L3372" s="0" t="str">
        <f aca="false">IF(K3372="","",MATCH(K3372,$F$2:$F$5001,0))</f>
        <v/>
      </c>
      <c r="M3372" s="0" t="str">
        <f aca="false">IF(I3372="","",INDEX(הגדרות!$A$2:$A$21,MOD(I3372+הגדרות!$E$9,הגדרות!$E$6)+1))</f>
        <v/>
      </c>
    </row>
    <row r="3373" customFormat="false" ht="15" hidden="false" customHeight="false" outlineLevel="0" collapsed="false">
      <c r="A3373" s="0" t="str">
        <f aca="false">IF('הדבקת לידים'!A3373="","",IF(ISNUMBER('הדבקת לידים'!A3373),IF(הגדרות!$E$2&gt;0,TEXT('הדבקת לידים'!A3373,REPT("0",הגדרות!$E$2)),TEXT('הדבקת לידים'!A3373,"0")),TRIM('הדבקת לידים'!A3373)))</f>
        <v/>
      </c>
      <c r="B3373" s="0" t="str">
        <f aca="false">IF('הדבקת לידים'!B3373="","",IF(ISNUMBER('הדבקת לידים'!B3373),IF(הגדרות!$E$3&gt;0,TEXT('הדבקת לידים'!B3373,REPT("0",הגדרות!$E$3)),TEXT('הדבקת לידים'!B3373,"0")),TRIM('הדבקת לידים'!B3373)))</f>
        <v/>
      </c>
      <c r="C3373" s="0" t="n">
        <f aca="false">IF(OR(A3373&lt;&gt;"",B3373&lt;&gt;""),1,0)</f>
        <v>0</v>
      </c>
      <c r="D3373" s="0" t="str">
        <f aca="false">IF(C3373=1,MOD(ABS(SIN(ROW()*12.9898+'הדבקת לידים'!$F$2*78.233+IFERROR(--RIGHT(A3373,6),LEN(A3373))*0.0137+IFERROR(--RIGHT(B3373,6),LEN(B3373))*0.0071))*43758.5453,1),"")</f>
        <v/>
      </c>
      <c r="E3373" s="0" t="str">
        <f aca="false">IF(C3373=1,INT(MOD(ABS(SIN(D3373*7919.123+ROW()*0.618+'הדבקת לידים'!$F$2*1.3))*43758.5453,1)*1000000)*10000+ROW(),"")</f>
        <v/>
      </c>
      <c r="F3373" s="0" t="str">
        <f aca="false">IF(E3373="","",RANK(E3373,$E$2:$E$5001,1))</f>
        <v/>
      </c>
      <c r="G3373" s="0" t="n">
        <f aca="false">IF(A3373="",0,IF(SUMPRODUCT(--($A$2:$A$5001=A3373))&gt;1,1,0))</f>
        <v>0</v>
      </c>
      <c r="H3373" s="0" t="n">
        <f aca="false">ROW()-1</f>
        <v>3372</v>
      </c>
      <c r="I3373" s="0" t="str">
        <f aca="false">IF(OR(הגדרות!$E$6=0,H3373&gt;הגדרות!$E$5),"",IF(H3373-1&lt;הגדרות!$E$8*(הגדרות!$E$7+1),INT((H3373-1)/(הגדרות!$E$7+1)),הגדרות!$E$8+INT((H3373-1-הגדרות!$E$8*(הגדרות!$E$7+1))/הגדרות!$E$7)))</f>
        <v/>
      </c>
      <c r="J3373" s="0" t="str">
        <f aca="false">IF(I3373="","",IF(H3373-1&lt;הגדרות!$E$8*(הגדרות!$E$7+1),MOD(H3373-1,הגדרות!$E$7+1),MOD(H3373-1-הגדרות!$E$8*(הגדרות!$E$7+1),הגדרות!$E$7)))</f>
        <v/>
      </c>
      <c r="K3373" s="0" t="str">
        <f aca="false">IF(I3373="","",J3373*הגדרות!$E$6+I3373+1)</f>
        <v/>
      </c>
      <c r="L3373" s="0" t="str">
        <f aca="false">IF(K3373="","",MATCH(K3373,$F$2:$F$5001,0))</f>
        <v/>
      </c>
      <c r="M3373" s="0" t="str">
        <f aca="false">IF(I3373="","",INDEX(הגדרות!$A$2:$A$21,MOD(I3373+הגדרות!$E$9,הגדרות!$E$6)+1))</f>
        <v/>
      </c>
    </row>
    <row r="3374" customFormat="false" ht="15" hidden="false" customHeight="false" outlineLevel="0" collapsed="false">
      <c r="A3374" s="0" t="str">
        <f aca="false">IF('הדבקת לידים'!A3374="","",IF(ISNUMBER('הדבקת לידים'!A3374),IF(הגדרות!$E$2&gt;0,TEXT('הדבקת לידים'!A3374,REPT("0",הגדרות!$E$2)),TEXT('הדבקת לידים'!A3374,"0")),TRIM('הדבקת לידים'!A3374)))</f>
        <v/>
      </c>
      <c r="B3374" s="0" t="str">
        <f aca="false">IF('הדבקת לידים'!B3374="","",IF(ISNUMBER('הדבקת לידים'!B3374),IF(הגדרות!$E$3&gt;0,TEXT('הדבקת לידים'!B3374,REPT("0",הגדרות!$E$3)),TEXT('הדבקת לידים'!B3374,"0")),TRIM('הדבקת לידים'!B3374)))</f>
        <v/>
      </c>
      <c r="C3374" s="0" t="n">
        <f aca="false">IF(OR(A3374&lt;&gt;"",B3374&lt;&gt;""),1,0)</f>
        <v>0</v>
      </c>
      <c r="D3374" s="0" t="str">
        <f aca="false">IF(C3374=1,MOD(ABS(SIN(ROW()*12.9898+'הדבקת לידים'!$F$2*78.233+IFERROR(--RIGHT(A3374,6),LEN(A3374))*0.0137+IFERROR(--RIGHT(B3374,6),LEN(B3374))*0.0071))*43758.5453,1),"")</f>
        <v/>
      </c>
      <c r="E3374" s="0" t="str">
        <f aca="false">IF(C3374=1,INT(MOD(ABS(SIN(D3374*7919.123+ROW()*0.618+'הדבקת לידים'!$F$2*1.3))*43758.5453,1)*1000000)*10000+ROW(),"")</f>
        <v/>
      </c>
      <c r="F3374" s="0" t="str">
        <f aca="false">IF(E3374="","",RANK(E3374,$E$2:$E$5001,1))</f>
        <v/>
      </c>
      <c r="G3374" s="0" t="n">
        <f aca="false">IF(A3374="",0,IF(SUMPRODUCT(--($A$2:$A$5001=A3374))&gt;1,1,0))</f>
        <v>0</v>
      </c>
      <c r="H3374" s="0" t="n">
        <f aca="false">ROW()-1</f>
        <v>3373</v>
      </c>
      <c r="I3374" s="0" t="str">
        <f aca="false">IF(OR(הגדרות!$E$6=0,H3374&gt;הגדרות!$E$5),"",IF(H3374-1&lt;הגדרות!$E$8*(הגדרות!$E$7+1),INT((H3374-1)/(הגדרות!$E$7+1)),הגדרות!$E$8+INT((H3374-1-הגדרות!$E$8*(הגדרות!$E$7+1))/הגדרות!$E$7)))</f>
        <v/>
      </c>
      <c r="J3374" s="0" t="str">
        <f aca="false">IF(I3374="","",IF(H3374-1&lt;הגדרות!$E$8*(הגדרות!$E$7+1),MOD(H3374-1,הגדרות!$E$7+1),MOD(H3374-1-הגדרות!$E$8*(הגדרות!$E$7+1),הגדרות!$E$7)))</f>
        <v/>
      </c>
      <c r="K3374" s="0" t="str">
        <f aca="false">IF(I3374="","",J3374*הגדרות!$E$6+I3374+1)</f>
        <v/>
      </c>
      <c r="L3374" s="0" t="str">
        <f aca="false">IF(K3374="","",MATCH(K3374,$F$2:$F$5001,0))</f>
        <v/>
      </c>
      <c r="M3374" s="0" t="str">
        <f aca="false">IF(I3374="","",INDEX(הגדרות!$A$2:$A$21,MOD(I3374+הגדרות!$E$9,הגדרות!$E$6)+1))</f>
        <v/>
      </c>
    </row>
    <row r="3375" customFormat="false" ht="15" hidden="false" customHeight="false" outlineLevel="0" collapsed="false">
      <c r="A3375" s="0" t="str">
        <f aca="false">IF('הדבקת לידים'!A3375="","",IF(ISNUMBER('הדבקת לידים'!A3375),IF(הגדרות!$E$2&gt;0,TEXT('הדבקת לידים'!A3375,REPT("0",הגדרות!$E$2)),TEXT('הדבקת לידים'!A3375,"0")),TRIM('הדבקת לידים'!A3375)))</f>
        <v/>
      </c>
      <c r="B3375" s="0" t="str">
        <f aca="false">IF('הדבקת לידים'!B3375="","",IF(ISNUMBER('הדבקת לידים'!B3375),IF(הגדרות!$E$3&gt;0,TEXT('הדבקת לידים'!B3375,REPT("0",הגדרות!$E$3)),TEXT('הדבקת לידים'!B3375,"0")),TRIM('הדבקת לידים'!B3375)))</f>
        <v/>
      </c>
      <c r="C3375" s="0" t="n">
        <f aca="false">IF(OR(A3375&lt;&gt;"",B3375&lt;&gt;""),1,0)</f>
        <v>0</v>
      </c>
      <c r="D3375" s="0" t="str">
        <f aca="false">IF(C3375=1,MOD(ABS(SIN(ROW()*12.9898+'הדבקת לידים'!$F$2*78.233+IFERROR(--RIGHT(A3375,6),LEN(A3375))*0.0137+IFERROR(--RIGHT(B3375,6),LEN(B3375))*0.0071))*43758.5453,1),"")</f>
        <v/>
      </c>
      <c r="E3375" s="0" t="str">
        <f aca="false">IF(C3375=1,INT(MOD(ABS(SIN(D3375*7919.123+ROW()*0.618+'הדבקת לידים'!$F$2*1.3))*43758.5453,1)*1000000)*10000+ROW(),"")</f>
        <v/>
      </c>
      <c r="F3375" s="0" t="str">
        <f aca="false">IF(E3375="","",RANK(E3375,$E$2:$E$5001,1))</f>
        <v/>
      </c>
      <c r="G3375" s="0" t="n">
        <f aca="false">IF(A3375="",0,IF(SUMPRODUCT(--($A$2:$A$5001=A3375))&gt;1,1,0))</f>
        <v>0</v>
      </c>
      <c r="H3375" s="0" t="n">
        <f aca="false">ROW()-1</f>
        <v>3374</v>
      </c>
      <c r="I3375" s="0" t="str">
        <f aca="false">IF(OR(הגדרות!$E$6=0,H3375&gt;הגדרות!$E$5),"",IF(H3375-1&lt;הגדרות!$E$8*(הגדרות!$E$7+1),INT((H3375-1)/(הגדרות!$E$7+1)),הגדרות!$E$8+INT((H3375-1-הגדרות!$E$8*(הגדרות!$E$7+1))/הגדרות!$E$7)))</f>
        <v/>
      </c>
      <c r="J3375" s="0" t="str">
        <f aca="false">IF(I3375="","",IF(H3375-1&lt;הגדרות!$E$8*(הגדרות!$E$7+1),MOD(H3375-1,הגדרות!$E$7+1),MOD(H3375-1-הגדרות!$E$8*(הגדרות!$E$7+1),הגדרות!$E$7)))</f>
        <v/>
      </c>
      <c r="K3375" s="0" t="str">
        <f aca="false">IF(I3375="","",J3375*הגדרות!$E$6+I3375+1)</f>
        <v/>
      </c>
      <c r="L3375" s="0" t="str">
        <f aca="false">IF(K3375="","",MATCH(K3375,$F$2:$F$5001,0))</f>
        <v/>
      </c>
      <c r="M3375" s="0" t="str">
        <f aca="false">IF(I3375="","",INDEX(הגדרות!$A$2:$A$21,MOD(I3375+הגדרות!$E$9,הגדרות!$E$6)+1))</f>
        <v/>
      </c>
    </row>
    <row r="3376" customFormat="false" ht="15" hidden="false" customHeight="false" outlineLevel="0" collapsed="false">
      <c r="A3376" s="0" t="str">
        <f aca="false">IF('הדבקת לידים'!A3376="","",IF(ISNUMBER('הדבקת לידים'!A3376),IF(הגדרות!$E$2&gt;0,TEXT('הדבקת לידים'!A3376,REPT("0",הגדרות!$E$2)),TEXT('הדבקת לידים'!A3376,"0")),TRIM('הדבקת לידים'!A3376)))</f>
        <v/>
      </c>
      <c r="B3376" s="0" t="str">
        <f aca="false">IF('הדבקת לידים'!B3376="","",IF(ISNUMBER('הדבקת לידים'!B3376),IF(הגדרות!$E$3&gt;0,TEXT('הדבקת לידים'!B3376,REPT("0",הגדרות!$E$3)),TEXT('הדבקת לידים'!B3376,"0")),TRIM('הדבקת לידים'!B3376)))</f>
        <v/>
      </c>
      <c r="C3376" s="0" t="n">
        <f aca="false">IF(OR(A3376&lt;&gt;"",B3376&lt;&gt;""),1,0)</f>
        <v>0</v>
      </c>
      <c r="D3376" s="0" t="str">
        <f aca="false">IF(C3376=1,MOD(ABS(SIN(ROW()*12.9898+'הדבקת לידים'!$F$2*78.233+IFERROR(--RIGHT(A3376,6),LEN(A3376))*0.0137+IFERROR(--RIGHT(B3376,6),LEN(B3376))*0.0071))*43758.5453,1),"")</f>
        <v/>
      </c>
      <c r="E3376" s="0" t="str">
        <f aca="false">IF(C3376=1,INT(MOD(ABS(SIN(D3376*7919.123+ROW()*0.618+'הדבקת לידים'!$F$2*1.3))*43758.5453,1)*1000000)*10000+ROW(),"")</f>
        <v/>
      </c>
      <c r="F3376" s="0" t="str">
        <f aca="false">IF(E3376="","",RANK(E3376,$E$2:$E$5001,1))</f>
        <v/>
      </c>
      <c r="G3376" s="0" t="n">
        <f aca="false">IF(A3376="",0,IF(SUMPRODUCT(--($A$2:$A$5001=A3376))&gt;1,1,0))</f>
        <v>0</v>
      </c>
      <c r="H3376" s="0" t="n">
        <f aca="false">ROW()-1</f>
        <v>3375</v>
      </c>
      <c r="I3376" s="0" t="str">
        <f aca="false">IF(OR(הגדרות!$E$6=0,H3376&gt;הגדרות!$E$5),"",IF(H3376-1&lt;הגדרות!$E$8*(הגדרות!$E$7+1),INT((H3376-1)/(הגדרות!$E$7+1)),הגדרות!$E$8+INT((H3376-1-הגדרות!$E$8*(הגדרות!$E$7+1))/הגדרות!$E$7)))</f>
        <v/>
      </c>
      <c r="J3376" s="0" t="str">
        <f aca="false">IF(I3376="","",IF(H3376-1&lt;הגדרות!$E$8*(הגדרות!$E$7+1),MOD(H3376-1,הגדרות!$E$7+1),MOD(H3376-1-הגדרות!$E$8*(הגדרות!$E$7+1),הגדרות!$E$7)))</f>
        <v/>
      </c>
      <c r="K3376" s="0" t="str">
        <f aca="false">IF(I3376="","",J3376*הגדרות!$E$6+I3376+1)</f>
        <v/>
      </c>
      <c r="L3376" s="0" t="str">
        <f aca="false">IF(K3376="","",MATCH(K3376,$F$2:$F$5001,0))</f>
        <v/>
      </c>
      <c r="M3376" s="0" t="str">
        <f aca="false">IF(I3376="","",INDEX(הגדרות!$A$2:$A$21,MOD(I3376+הגדרות!$E$9,הגדרות!$E$6)+1))</f>
        <v/>
      </c>
    </row>
    <row r="3377" customFormat="false" ht="15" hidden="false" customHeight="false" outlineLevel="0" collapsed="false">
      <c r="A3377" s="0" t="str">
        <f aca="false">IF('הדבקת לידים'!A3377="","",IF(ISNUMBER('הדבקת לידים'!A3377),IF(הגדרות!$E$2&gt;0,TEXT('הדבקת לידים'!A3377,REPT("0",הגדרות!$E$2)),TEXT('הדבקת לידים'!A3377,"0")),TRIM('הדבקת לידים'!A3377)))</f>
        <v/>
      </c>
      <c r="B3377" s="0" t="str">
        <f aca="false">IF('הדבקת לידים'!B3377="","",IF(ISNUMBER('הדבקת לידים'!B3377),IF(הגדרות!$E$3&gt;0,TEXT('הדבקת לידים'!B3377,REPT("0",הגדרות!$E$3)),TEXT('הדבקת לידים'!B3377,"0")),TRIM('הדבקת לידים'!B3377)))</f>
        <v/>
      </c>
      <c r="C3377" s="0" t="n">
        <f aca="false">IF(OR(A3377&lt;&gt;"",B3377&lt;&gt;""),1,0)</f>
        <v>0</v>
      </c>
      <c r="D3377" s="0" t="str">
        <f aca="false">IF(C3377=1,MOD(ABS(SIN(ROW()*12.9898+'הדבקת לידים'!$F$2*78.233+IFERROR(--RIGHT(A3377,6),LEN(A3377))*0.0137+IFERROR(--RIGHT(B3377,6),LEN(B3377))*0.0071))*43758.5453,1),"")</f>
        <v/>
      </c>
      <c r="E3377" s="0" t="str">
        <f aca="false">IF(C3377=1,INT(MOD(ABS(SIN(D3377*7919.123+ROW()*0.618+'הדבקת לידים'!$F$2*1.3))*43758.5453,1)*1000000)*10000+ROW(),"")</f>
        <v/>
      </c>
      <c r="F3377" s="0" t="str">
        <f aca="false">IF(E3377="","",RANK(E3377,$E$2:$E$5001,1))</f>
        <v/>
      </c>
      <c r="G3377" s="0" t="n">
        <f aca="false">IF(A3377="",0,IF(SUMPRODUCT(--($A$2:$A$5001=A3377))&gt;1,1,0))</f>
        <v>0</v>
      </c>
      <c r="H3377" s="0" t="n">
        <f aca="false">ROW()-1</f>
        <v>3376</v>
      </c>
      <c r="I3377" s="0" t="str">
        <f aca="false">IF(OR(הגדרות!$E$6=0,H3377&gt;הגדרות!$E$5),"",IF(H3377-1&lt;הגדרות!$E$8*(הגדרות!$E$7+1),INT((H3377-1)/(הגדרות!$E$7+1)),הגדרות!$E$8+INT((H3377-1-הגדרות!$E$8*(הגדרות!$E$7+1))/הגדרות!$E$7)))</f>
        <v/>
      </c>
      <c r="J3377" s="0" t="str">
        <f aca="false">IF(I3377="","",IF(H3377-1&lt;הגדרות!$E$8*(הגדרות!$E$7+1),MOD(H3377-1,הגדרות!$E$7+1),MOD(H3377-1-הגדרות!$E$8*(הגדרות!$E$7+1),הגדרות!$E$7)))</f>
        <v/>
      </c>
      <c r="K3377" s="0" t="str">
        <f aca="false">IF(I3377="","",J3377*הגדרות!$E$6+I3377+1)</f>
        <v/>
      </c>
      <c r="L3377" s="0" t="str">
        <f aca="false">IF(K3377="","",MATCH(K3377,$F$2:$F$5001,0))</f>
        <v/>
      </c>
      <c r="M3377" s="0" t="str">
        <f aca="false">IF(I3377="","",INDEX(הגדרות!$A$2:$A$21,MOD(I3377+הגדרות!$E$9,הגדרות!$E$6)+1))</f>
        <v/>
      </c>
    </row>
    <row r="3378" customFormat="false" ht="15" hidden="false" customHeight="false" outlineLevel="0" collapsed="false">
      <c r="A3378" s="0" t="str">
        <f aca="false">IF('הדבקת לידים'!A3378="","",IF(ISNUMBER('הדבקת לידים'!A3378),IF(הגדרות!$E$2&gt;0,TEXT('הדבקת לידים'!A3378,REPT("0",הגדרות!$E$2)),TEXT('הדבקת לידים'!A3378,"0")),TRIM('הדבקת לידים'!A3378)))</f>
        <v/>
      </c>
      <c r="B3378" s="0" t="str">
        <f aca="false">IF('הדבקת לידים'!B3378="","",IF(ISNUMBER('הדבקת לידים'!B3378),IF(הגדרות!$E$3&gt;0,TEXT('הדבקת לידים'!B3378,REPT("0",הגדרות!$E$3)),TEXT('הדבקת לידים'!B3378,"0")),TRIM('הדבקת לידים'!B3378)))</f>
        <v/>
      </c>
      <c r="C3378" s="0" t="n">
        <f aca="false">IF(OR(A3378&lt;&gt;"",B3378&lt;&gt;""),1,0)</f>
        <v>0</v>
      </c>
      <c r="D3378" s="0" t="str">
        <f aca="false">IF(C3378=1,MOD(ABS(SIN(ROW()*12.9898+'הדבקת לידים'!$F$2*78.233+IFERROR(--RIGHT(A3378,6),LEN(A3378))*0.0137+IFERROR(--RIGHT(B3378,6),LEN(B3378))*0.0071))*43758.5453,1),"")</f>
        <v/>
      </c>
      <c r="E3378" s="0" t="str">
        <f aca="false">IF(C3378=1,INT(MOD(ABS(SIN(D3378*7919.123+ROW()*0.618+'הדבקת לידים'!$F$2*1.3))*43758.5453,1)*1000000)*10000+ROW(),"")</f>
        <v/>
      </c>
      <c r="F3378" s="0" t="str">
        <f aca="false">IF(E3378="","",RANK(E3378,$E$2:$E$5001,1))</f>
        <v/>
      </c>
      <c r="G3378" s="0" t="n">
        <f aca="false">IF(A3378="",0,IF(SUMPRODUCT(--($A$2:$A$5001=A3378))&gt;1,1,0))</f>
        <v>0</v>
      </c>
      <c r="H3378" s="0" t="n">
        <f aca="false">ROW()-1</f>
        <v>3377</v>
      </c>
      <c r="I3378" s="0" t="str">
        <f aca="false">IF(OR(הגדרות!$E$6=0,H3378&gt;הגדרות!$E$5),"",IF(H3378-1&lt;הגדרות!$E$8*(הגדרות!$E$7+1),INT((H3378-1)/(הגדרות!$E$7+1)),הגדרות!$E$8+INT((H3378-1-הגדרות!$E$8*(הגדרות!$E$7+1))/הגדרות!$E$7)))</f>
        <v/>
      </c>
      <c r="J3378" s="0" t="str">
        <f aca="false">IF(I3378="","",IF(H3378-1&lt;הגדרות!$E$8*(הגדרות!$E$7+1),MOD(H3378-1,הגדרות!$E$7+1),MOD(H3378-1-הגדרות!$E$8*(הגדרות!$E$7+1),הגדרות!$E$7)))</f>
        <v/>
      </c>
      <c r="K3378" s="0" t="str">
        <f aca="false">IF(I3378="","",J3378*הגדרות!$E$6+I3378+1)</f>
        <v/>
      </c>
      <c r="L3378" s="0" t="str">
        <f aca="false">IF(K3378="","",MATCH(K3378,$F$2:$F$5001,0))</f>
        <v/>
      </c>
      <c r="M3378" s="0" t="str">
        <f aca="false">IF(I3378="","",INDEX(הגדרות!$A$2:$A$21,MOD(I3378+הגדרות!$E$9,הגדרות!$E$6)+1))</f>
        <v/>
      </c>
    </row>
    <row r="3379" customFormat="false" ht="15" hidden="false" customHeight="false" outlineLevel="0" collapsed="false">
      <c r="A3379" s="0" t="str">
        <f aca="false">IF('הדבקת לידים'!A3379="","",IF(ISNUMBER('הדבקת לידים'!A3379),IF(הגדרות!$E$2&gt;0,TEXT('הדבקת לידים'!A3379,REPT("0",הגדרות!$E$2)),TEXT('הדבקת לידים'!A3379,"0")),TRIM('הדבקת לידים'!A3379)))</f>
        <v/>
      </c>
      <c r="B3379" s="0" t="str">
        <f aca="false">IF('הדבקת לידים'!B3379="","",IF(ISNUMBER('הדבקת לידים'!B3379),IF(הגדרות!$E$3&gt;0,TEXT('הדבקת לידים'!B3379,REPT("0",הגדרות!$E$3)),TEXT('הדבקת לידים'!B3379,"0")),TRIM('הדבקת לידים'!B3379)))</f>
        <v/>
      </c>
      <c r="C3379" s="0" t="n">
        <f aca="false">IF(OR(A3379&lt;&gt;"",B3379&lt;&gt;""),1,0)</f>
        <v>0</v>
      </c>
      <c r="D3379" s="0" t="str">
        <f aca="false">IF(C3379=1,MOD(ABS(SIN(ROW()*12.9898+'הדבקת לידים'!$F$2*78.233+IFERROR(--RIGHT(A3379,6),LEN(A3379))*0.0137+IFERROR(--RIGHT(B3379,6),LEN(B3379))*0.0071))*43758.5453,1),"")</f>
        <v/>
      </c>
      <c r="E3379" s="0" t="str">
        <f aca="false">IF(C3379=1,INT(MOD(ABS(SIN(D3379*7919.123+ROW()*0.618+'הדבקת לידים'!$F$2*1.3))*43758.5453,1)*1000000)*10000+ROW(),"")</f>
        <v/>
      </c>
      <c r="F3379" s="0" t="str">
        <f aca="false">IF(E3379="","",RANK(E3379,$E$2:$E$5001,1))</f>
        <v/>
      </c>
      <c r="G3379" s="0" t="n">
        <f aca="false">IF(A3379="",0,IF(SUMPRODUCT(--($A$2:$A$5001=A3379))&gt;1,1,0))</f>
        <v>0</v>
      </c>
      <c r="H3379" s="0" t="n">
        <f aca="false">ROW()-1</f>
        <v>3378</v>
      </c>
      <c r="I3379" s="0" t="str">
        <f aca="false">IF(OR(הגדרות!$E$6=0,H3379&gt;הגדרות!$E$5),"",IF(H3379-1&lt;הגדרות!$E$8*(הגדרות!$E$7+1),INT((H3379-1)/(הגדרות!$E$7+1)),הגדרות!$E$8+INT((H3379-1-הגדרות!$E$8*(הגדרות!$E$7+1))/הגדרות!$E$7)))</f>
        <v/>
      </c>
      <c r="J3379" s="0" t="str">
        <f aca="false">IF(I3379="","",IF(H3379-1&lt;הגדרות!$E$8*(הגדרות!$E$7+1),MOD(H3379-1,הגדרות!$E$7+1),MOD(H3379-1-הגדרות!$E$8*(הגדרות!$E$7+1),הגדרות!$E$7)))</f>
        <v/>
      </c>
      <c r="K3379" s="0" t="str">
        <f aca="false">IF(I3379="","",J3379*הגדרות!$E$6+I3379+1)</f>
        <v/>
      </c>
      <c r="L3379" s="0" t="str">
        <f aca="false">IF(K3379="","",MATCH(K3379,$F$2:$F$5001,0))</f>
        <v/>
      </c>
      <c r="M3379" s="0" t="str">
        <f aca="false">IF(I3379="","",INDEX(הגדרות!$A$2:$A$21,MOD(I3379+הגדרות!$E$9,הגדרות!$E$6)+1))</f>
        <v/>
      </c>
    </row>
    <row r="3380" customFormat="false" ht="15" hidden="false" customHeight="false" outlineLevel="0" collapsed="false">
      <c r="A3380" s="0" t="str">
        <f aca="false">IF('הדבקת לידים'!A3380="","",IF(ISNUMBER('הדבקת לידים'!A3380),IF(הגדרות!$E$2&gt;0,TEXT('הדבקת לידים'!A3380,REPT("0",הגדרות!$E$2)),TEXT('הדבקת לידים'!A3380,"0")),TRIM('הדבקת לידים'!A3380)))</f>
        <v/>
      </c>
      <c r="B3380" s="0" t="str">
        <f aca="false">IF('הדבקת לידים'!B3380="","",IF(ISNUMBER('הדבקת לידים'!B3380),IF(הגדרות!$E$3&gt;0,TEXT('הדבקת לידים'!B3380,REPT("0",הגדרות!$E$3)),TEXT('הדבקת לידים'!B3380,"0")),TRIM('הדבקת לידים'!B3380)))</f>
        <v/>
      </c>
      <c r="C3380" s="0" t="n">
        <f aca="false">IF(OR(A3380&lt;&gt;"",B3380&lt;&gt;""),1,0)</f>
        <v>0</v>
      </c>
      <c r="D3380" s="0" t="str">
        <f aca="false">IF(C3380=1,MOD(ABS(SIN(ROW()*12.9898+'הדבקת לידים'!$F$2*78.233+IFERROR(--RIGHT(A3380,6),LEN(A3380))*0.0137+IFERROR(--RIGHT(B3380,6),LEN(B3380))*0.0071))*43758.5453,1),"")</f>
        <v/>
      </c>
      <c r="E3380" s="0" t="str">
        <f aca="false">IF(C3380=1,INT(MOD(ABS(SIN(D3380*7919.123+ROW()*0.618+'הדבקת לידים'!$F$2*1.3))*43758.5453,1)*1000000)*10000+ROW(),"")</f>
        <v/>
      </c>
      <c r="F3380" s="0" t="str">
        <f aca="false">IF(E3380="","",RANK(E3380,$E$2:$E$5001,1))</f>
        <v/>
      </c>
      <c r="G3380" s="0" t="n">
        <f aca="false">IF(A3380="",0,IF(SUMPRODUCT(--($A$2:$A$5001=A3380))&gt;1,1,0))</f>
        <v>0</v>
      </c>
      <c r="H3380" s="0" t="n">
        <f aca="false">ROW()-1</f>
        <v>3379</v>
      </c>
      <c r="I3380" s="0" t="str">
        <f aca="false">IF(OR(הגדרות!$E$6=0,H3380&gt;הגדרות!$E$5),"",IF(H3380-1&lt;הגדרות!$E$8*(הגדרות!$E$7+1),INT((H3380-1)/(הגדרות!$E$7+1)),הגדרות!$E$8+INT((H3380-1-הגדרות!$E$8*(הגדרות!$E$7+1))/הגדרות!$E$7)))</f>
        <v/>
      </c>
      <c r="J3380" s="0" t="str">
        <f aca="false">IF(I3380="","",IF(H3380-1&lt;הגדרות!$E$8*(הגדרות!$E$7+1),MOD(H3380-1,הגדרות!$E$7+1),MOD(H3380-1-הגדרות!$E$8*(הגדרות!$E$7+1),הגדרות!$E$7)))</f>
        <v/>
      </c>
      <c r="K3380" s="0" t="str">
        <f aca="false">IF(I3380="","",J3380*הגדרות!$E$6+I3380+1)</f>
        <v/>
      </c>
      <c r="L3380" s="0" t="str">
        <f aca="false">IF(K3380="","",MATCH(K3380,$F$2:$F$5001,0))</f>
        <v/>
      </c>
      <c r="M3380" s="0" t="str">
        <f aca="false">IF(I3380="","",INDEX(הגדרות!$A$2:$A$21,MOD(I3380+הגדרות!$E$9,הגדרות!$E$6)+1))</f>
        <v/>
      </c>
    </row>
    <row r="3381" customFormat="false" ht="15" hidden="false" customHeight="false" outlineLevel="0" collapsed="false">
      <c r="A3381" s="0" t="str">
        <f aca="false">IF('הדבקת לידים'!A3381="","",IF(ISNUMBER('הדבקת לידים'!A3381),IF(הגדרות!$E$2&gt;0,TEXT('הדבקת לידים'!A3381,REPT("0",הגדרות!$E$2)),TEXT('הדבקת לידים'!A3381,"0")),TRIM('הדבקת לידים'!A3381)))</f>
        <v/>
      </c>
      <c r="B3381" s="0" t="str">
        <f aca="false">IF('הדבקת לידים'!B3381="","",IF(ISNUMBER('הדבקת לידים'!B3381),IF(הגדרות!$E$3&gt;0,TEXT('הדבקת לידים'!B3381,REPT("0",הגדרות!$E$3)),TEXT('הדבקת לידים'!B3381,"0")),TRIM('הדבקת לידים'!B3381)))</f>
        <v/>
      </c>
      <c r="C3381" s="0" t="n">
        <f aca="false">IF(OR(A3381&lt;&gt;"",B3381&lt;&gt;""),1,0)</f>
        <v>0</v>
      </c>
      <c r="D3381" s="0" t="str">
        <f aca="false">IF(C3381=1,MOD(ABS(SIN(ROW()*12.9898+'הדבקת לידים'!$F$2*78.233+IFERROR(--RIGHT(A3381,6),LEN(A3381))*0.0137+IFERROR(--RIGHT(B3381,6),LEN(B3381))*0.0071))*43758.5453,1),"")</f>
        <v/>
      </c>
      <c r="E3381" s="0" t="str">
        <f aca="false">IF(C3381=1,INT(MOD(ABS(SIN(D3381*7919.123+ROW()*0.618+'הדבקת לידים'!$F$2*1.3))*43758.5453,1)*1000000)*10000+ROW(),"")</f>
        <v/>
      </c>
      <c r="F3381" s="0" t="str">
        <f aca="false">IF(E3381="","",RANK(E3381,$E$2:$E$5001,1))</f>
        <v/>
      </c>
      <c r="G3381" s="0" t="n">
        <f aca="false">IF(A3381="",0,IF(SUMPRODUCT(--($A$2:$A$5001=A3381))&gt;1,1,0))</f>
        <v>0</v>
      </c>
      <c r="H3381" s="0" t="n">
        <f aca="false">ROW()-1</f>
        <v>3380</v>
      </c>
      <c r="I3381" s="0" t="str">
        <f aca="false">IF(OR(הגדרות!$E$6=0,H3381&gt;הגדרות!$E$5),"",IF(H3381-1&lt;הגדרות!$E$8*(הגדרות!$E$7+1),INT((H3381-1)/(הגדרות!$E$7+1)),הגדרות!$E$8+INT((H3381-1-הגדרות!$E$8*(הגדרות!$E$7+1))/הגדרות!$E$7)))</f>
        <v/>
      </c>
      <c r="J3381" s="0" t="str">
        <f aca="false">IF(I3381="","",IF(H3381-1&lt;הגדרות!$E$8*(הגדרות!$E$7+1),MOD(H3381-1,הגדרות!$E$7+1),MOD(H3381-1-הגדרות!$E$8*(הגדרות!$E$7+1),הגדרות!$E$7)))</f>
        <v/>
      </c>
      <c r="K3381" s="0" t="str">
        <f aca="false">IF(I3381="","",J3381*הגדרות!$E$6+I3381+1)</f>
        <v/>
      </c>
      <c r="L3381" s="0" t="str">
        <f aca="false">IF(K3381="","",MATCH(K3381,$F$2:$F$5001,0))</f>
        <v/>
      </c>
      <c r="M3381" s="0" t="str">
        <f aca="false">IF(I3381="","",INDEX(הגדרות!$A$2:$A$21,MOD(I3381+הגדרות!$E$9,הגדרות!$E$6)+1))</f>
        <v/>
      </c>
    </row>
    <row r="3382" customFormat="false" ht="15" hidden="false" customHeight="false" outlineLevel="0" collapsed="false">
      <c r="A3382" s="0" t="str">
        <f aca="false">IF('הדבקת לידים'!A3382="","",IF(ISNUMBER('הדבקת לידים'!A3382),IF(הגדרות!$E$2&gt;0,TEXT('הדבקת לידים'!A3382,REPT("0",הגדרות!$E$2)),TEXT('הדבקת לידים'!A3382,"0")),TRIM('הדבקת לידים'!A3382)))</f>
        <v/>
      </c>
      <c r="B3382" s="0" t="str">
        <f aca="false">IF('הדבקת לידים'!B3382="","",IF(ISNUMBER('הדבקת לידים'!B3382),IF(הגדרות!$E$3&gt;0,TEXT('הדבקת לידים'!B3382,REPT("0",הגדרות!$E$3)),TEXT('הדבקת לידים'!B3382,"0")),TRIM('הדבקת לידים'!B3382)))</f>
        <v/>
      </c>
      <c r="C3382" s="0" t="n">
        <f aca="false">IF(OR(A3382&lt;&gt;"",B3382&lt;&gt;""),1,0)</f>
        <v>0</v>
      </c>
      <c r="D3382" s="0" t="str">
        <f aca="false">IF(C3382=1,MOD(ABS(SIN(ROW()*12.9898+'הדבקת לידים'!$F$2*78.233+IFERROR(--RIGHT(A3382,6),LEN(A3382))*0.0137+IFERROR(--RIGHT(B3382,6),LEN(B3382))*0.0071))*43758.5453,1),"")</f>
        <v/>
      </c>
      <c r="E3382" s="0" t="str">
        <f aca="false">IF(C3382=1,INT(MOD(ABS(SIN(D3382*7919.123+ROW()*0.618+'הדבקת לידים'!$F$2*1.3))*43758.5453,1)*1000000)*10000+ROW(),"")</f>
        <v/>
      </c>
      <c r="F3382" s="0" t="str">
        <f aca="false">IF(E3382="","",RANK(E3382,$E$2:$E$5001,1))</f>
        <v/>
      </c>
      <c r="G3382" s="0" t="n">
        <f aca="false">IF(A3382="",0,IF(SUMPRODUCT(--($A$2:$A$5001=A3382))&gt;1,1,0))</f>
        <v>0</v>
      </c>
      <c r="H3382" s="0" t="n">
        <f aca="false">ROW()-1</f>
        <v>3381</v>
      </c>
      <c r="I3382" s="0" t="str">
        <f aca="false">IF(OR(הגדרות!$E$6=0,H3382&gt;הגדרות!$E$5),"",IF(H3382-1&lt;הגדרות!$E$8*(הגדרות!$E$7+1),INT((H3382-1)/(הגדרות!$E$7+1)),הגדרות!$E$8+INT((H3382-1-הגדרות!$E$8*(הגדרות!$E$7+1))/הגדרות!$E$7)))</f>
        <v/>
      </c>
      <c r="J3382" s="0" t="str">
        <f aca="false">IF(I3382="","",IF(H3382-1&lt;הגדרות!$E$8*(הגדרות!$E$7+1),MOD(H3382-1,הגדרות!$E$7+1),MOD(H3382-1-הגדרות!$E$8*(הגדרות!$E$7+1),הגדרות!$E$7)))</f>
        <v/>
      </c>
      <c r="K3382" s="0" t="str">
        <f aca="false">IF(I3382="","",J3382*הגדרות!$E$6+I3382+1)</f>
        <v/>
      </c>
      <c r="L3382" s="0" t="str">
        <f aca="false">IF(K3382="","",MATCH(K3382,$F$2:$F$5001,0))</f>
        <v/>
      </c>
      <c r="M3382" s="0" t="str">
        <f aca="false">IF(I3382="","",INDEX(הגדרות!$A$2:$A$21,MOD(I3382+הגדרות!$E$9,הגדרות!$E$6)+1))</f>
        <v/>
      </c>
    </row>
    <row r="3383" customFormat="false" ht="15" hidden="false" customHeight="false" outlineLevel="0" collapsed="false">
      <c r="A3383" s="0" t="str">
        <f aca="false">IF('הדבקת לידים'!A3383="","",IF(ISNUMBER('הדבקת לידים'!A3383),IF(הגדרות!$E$2&gt;0,TEXT('הדבקת לידים'!A3383,REPT("0",הגדרות!$E$2)),TEXT('הדבקת לידים'!A3383,"0")),TRIM('הדבקת לידים'!A3383)))</f>
        <v/>
      </c>
      <c r="B3383" s="0" t="str">
        <f aca="false">IF('הדבקת לידים'!B3383="","",IF(ISNUMBER('הדבקת לידים'!B3383),IF(הגדרות!$E$3&gt;0,TEXT('הדבקת לידים'!B3383,REPT("0",הגדרות!$E$3)),TEXT('הדבקת לידים'!B3383,"0")),TRIM('הדבקת לידים'!B3383)))</f>
        <v/>
      </c>
      <c r="C3383" s="0" t="n">
        <f aca="false">IF(OR(A3383&lt;&gt;"",B3383&lt;&gt;""),1,0)</f>
        <v>0</v>
      </c>
      <c r="D3383" s="0" t="str">
        <f aca="false">IF(C3383=1,MOD(ABS(SIN(ROW()*12.9898+'הדבקת לידים'!$F$2*78.233+IFERROR(--RIGHT(A3383,6),LEN(A3383))*0.0137+IFERROR(--RIGHT(B3383,6),LEN(B3383))*0.0071))*43758.5453,1),"")</f>
        <v/>
      </c>
      <c r="E3383" s="0" t="str">
        <f aca="false">IF(C3383=1,INT(MOD(ABS(SIN(D3383*7919.123+ROW()*0.618+'הדבקת לידים'!$F$2*1.3))*43758.5453,1)*1000000)*10000+ROW(),"")</f>
        <v/>
      </c>
      <c r="F3383" s="0" t="str">
        <f aca="false">IF(E3383="","",RANK(E3383,$E$2:$E$5001,1))</f>
        <v/>
      </c>
      <c r="G3383" s="0" t="n">
        <f aca="false">IF(A3383="",0,IF(SUMPRODUCT(--($A$2:$A$5001=A3383))&gt;1,1,0))</f>
        <v>0</v>
      </c>
      <c r="H3383" s="0" t="n">
        <f aca="false">ROW()-1</f>
        <v>3382</v>
      </c>
      <c r="I3383" s="0" t="str">
        <f aca="false">IF(OR(הגדרות!$E$6=0,H3383&gt;הגדרות!$E$5),"",IF(H3383-1&lt;הגדרות!$E$8*(הגדרות!$E$7+1),INT((H3383-1)/(הגדרות!$E$7+1)),הגדרות!$E$8+INT((H3383-1-הגדרות!$E$8*(הגדרות!$E$7+1))/הגדרות!$E$7)))</f>
        <v/>
      </c>
      <c r="J3383" s="0" t="str">
        <f aca="false">IF(I3383="","",IF(H3383-1&lt;הגדרות!$E$8*(הגדרות!$E$7+1),MOD(H3383-1,הגדרות!$E$7+1),MOD(H3383-1-הגדרות!$E$8*(הגדרות!$E$7+1),הגדרות!$E$7)))</f>
        <v/>
      </c>
      <c r="K3383" s="0" t="str">
        <f aca="false">IF(I3383="","",J3383*הגדרות!$E$6+I3383+1)</f>
        <v/>
      </c>
      <c r="L3383" s="0" t="str">
        <f aca="false">IF(K3383="","",MATCH(K3383,$F$2:$F$5001,0))</f>
        <v/>
      </c>
      <c r="M3383" s="0" t="str">
        <f aca="false">IF(I3383="","",INDEX(הגדרות!$A$2:$A$21,MOD(I3383+הגדרות!$E$9,הגדרות!$E$6)+1))</f>
        <v/>
      </c>
    </row>
    <row r="3384" customFormat="false" ht="15" hidden="false" customHeight="false" outlineLevel="0" collapsed="false">
      <c r="A3384" s="0" t="str">
        <f aca="false">IF('הדבקת לידים'!A3384="","",IF(ISNUMBER('הדבקת לידים'!A3384),IF(הגדרות!$E$2&gt;0,TEXT('הדבקת לידים'!A3384,REPT("0",הגדרות!$E$2)),TEXT('הדבקת לידים'!A3384,"0")),TRIM('הדבקת לידים'!A3384)))</f>
        <v/>
      </c>
      <c r="B3384" s="0" t="str">
        <f aca="false">IF('הדבקת לידים'!B3384="","",IF(ISNUMBER('הדבקת לידים'!B3384),IF(הגדרות!$E$3&gt;0,TEXT('הדבקת לידים'!B3384,REPT("0",הגדרות!$E$3)),TEXT('הדבקת לידים'!B3384,"0")),TRIM('הדבקת לידים'!B3384)))</f>
        <v/>
      </c>
      <c r="C3384" s="0" t="n">
        <f aca="false">IF(OR(A3384&lt;&gt;"",B3384&lt;&gt;""),1,0)</f>
        <v>0</v>
      </c>
      <c r="D3384" s="0" t="str">
        <f aca="false">IF(C3384=1,MOD(ABS(SIN(ROW()*12.9898+'הדבקת לידים'!$F$2*78.233+IFERROR(--RIGHT(A3384,6),LEN(A3384))*0.0137+IFERROR(--RIGHT(B3384,6),LEN(B3384))*0.0071))*43758.5453,1),"")</f>
        <v/>
      </c>
      <c r="E3384" s="0" t="str">
        <f aca="false">IF(C3384=1,INT(MOD(ABS(SIN(D3384*7919.123+ROW()*0.618+'הדבקת לידים'!$F$2*1.3))*43758.5453,1)*1000000)*10000+ROW(),"")</f>
        <v/>
      </c>
      <c r="F3384" s="0" t="str">
        <f aca="false">IF(E3384="","",RANK(E3384,$E$2:$E$5001,1))</f>
        <v/>
      </c>
      <c r="G3384" s="0" t="n">
        <f aca="false">IF(A3384="",0,IF(SUMPRODUCT(--($A$2:$A$5001=A3384))&gt;1,1,0))</f>
        <v>0</v>
      </c>
      <c r="H3384" s="0" t="n">
        <f aca="false">ROW()-1</f>
        <v>3383</v>
      </c>
      <c r="I3384" s="0" t="str">
        <f aca="false">IF(OR(הגדרות!$E$6=0,H3384&gt;הגדרות!$E$5),"",IF(H3384-1&lt;הגדרות!$E$8*(הגדרות!$E$7+1),INT((H3384-1)/(הגדרות!$E$7+1)),הגדרות!$E$8+INT((H3384-1-הגדרות!$E$8*(הגדרות!$E$7+1))/הגדרות!$E$7)))</f>
        <v/>
      </c>
      <c r="J3384" s="0" t="str">
        <f aca="false">IF(I3384="","",IF(H3384-1&lt;הגדרות!$E$8*(הגדרות!$E$7+1),MOD(H3384-1,הגדרות!$E$7+1),MOD(H3384-1-הגדרות!$E$8*(הגדרות!$E$7+1),הגדרות!$E$7)))</f>
        <v/>
      </c>
      <c r="K3384" s="0" t="str">
        <f aca="false">IF(I3384="","",J3384*הגדרות!$E$6+I3384+1)</f>
        <v/>
      </c>
      <c r="L3384" s="0" t="str">
        <f aca="false">IF(K3384="","",MATCH(K3384,$F$2:$F$5001,0))</f>
        <v/>
      </c>
      <c r="M3384" s="0" t="str">
        <f aca="false">IF(I3384="","",INDEX(הגדרות!$A$2:$A$21,MOD(I3384+הגדרות!$E$9,הגדרות!$E$6)+1))</f>
        <v/>
      </c>
    </row>
    <row r="3385" customFormat="false" ht="15" hidden="false" customHeight="false" outlineLevel="0" collapsed="false">
      <c r="A3385" s="0" t="str">
        <f aca="false">IF('הדבקת לידים'!A3385="","",IF(ISNUMBER('הדבקת לידים'!A3385),IF(הגדרות!$E$2&gt;0,TEXT('הדבקת לידים'!A3385,REPT("0",הגדרות!$E$2)),TEXT('הדבקת לידים'!A3385,"0")),TRIM('הדבקת לידים'!A3385)))</f>
        <v/>
      </c>
      <c r="B3385" s="0" t="str">
        <f aca="false">IF('הדבקת לידים'!B3385="","",IF(ISNUMBER('הדבקת לידים'!B3385),IF(הגדרות!$E$3&gt;0,TEXT('הדבקת לידים'!B3385,REPT("0",הגדרות!$E$3)),TEXT('הדבקת לידים'!B3385,"0")),TRIM('הדבקת לידים'!B3385)))</f>
        <v/>
      </c>
      <c r="C3385" s="0" t="n">
        <f aca="false">IF(OR(A3385&lt;&gt;"",B3385&lt;&gt;""),1,0)</f>
        <v>0</v>
      </c>
      <c r="D3385" s="0" t="str">
        <f aca="false">IF(C3385=1,MOD(ABS(SIN(ROW()*12.9898+'הדבקת לידים'!$F$2*78.233+IFERROR(--RIGHT(A3385,6),LEN(A3385))*0.0137+IFERROR(--RIGHT(B3385,6),LEN(B3385))*0.0071))*43758.5453,1),"")</f>
        <v/>
      </c>
      <c r="E3385" s="0" t="str">
        <f aca="false">IF(C3385=1,INT(MOD(ABS(SIN(D3385*7919.123+ROW()*0.618+'הדבקת לידים'!$F$2*1.3))*43758.5453,1)*1000000)*10000+ROW(),"")</f>
        <v/>
      </c>
      <c r="F3385" s="0" t="str">
        <f aca="false">IF(E3385="","",RANK(E3385,$E$2:$E$5001,1))</f>
        <v/>
      </c>
      <c r="G3385" s="0" t="n">
        <f aca="false">IF(A3385="",0,IF(SUMPRODUCT(--($A$2:$A$5001=A3385))&gt;1,1,0))</f>
        <v>0</v>
      </c>
      <c r="H3385" s="0" t="n">
        <f aca="false">ROW()-1</f>
        <v>3384</v>
      </c>
      <c r="I3385" s="0" t="str">
        <f aca="false">IF(OR(הגדרות!$E$6=0,H3385&gt;הגדרות!$E$5),"",IF(H3385-1&lt;הגדרות!$E$8*(הגדרות!$E$7+1),INT((H3385-1)/(הגדרות!$E$7+1)),הגדרות!$E$8+INT((H3385-1-הגדרות!$E$8*(הגדרות!$E$7+1))/הגדרות!$E$7)))</f>
        <v/>
      </c>
      <c r="J3385" s="0" t="str">
        <f aca="false">IF(I3385="","",IF(H3385-1&lt;הגדרות!$E$8*(הגדרות!$E$7+1),MOD(H3385-1,הגדרות!$E$7+1),MOD(H3385-1-הגדרות!$E$8*(הגדרות!$E$7+1),הגדרות!$E$7)))</f>
        <v/>
      </c>
      <c r="K3385" s="0" t="str">
        <f aca="false">IF(I3385="","",J3385*הגדרות!$E$6+I3385+1)</f>
        <v/>
      </c>
      <c r="L3385" s="0" t="str">
        <f aca="false">IF(K3385="","",MATCH(K3385,$F$2:$F$5001,0))</f>
        <v/>
      </c>
      <c r="M3385" s="0" t="str">
        <f aca="false">IF(I3385="","",INDEX(הגדרות!$A$2:$A$21,MOD(I3385+הגדרות!$E$9,הגדרות!$E$6)+1))</f>
        <v/>
      </c>
    </row>
    <row r="3386" customFormat="false" ht="15" hidden="false" customHeight="false" outlineLevel="0" collapsed="false">
      <c r="A3386" s="0" t="str">
        <f aca="false">IF('הדבקת לידים'!A3386="","",IF(ISNUMBER('הדבקת לידים'!A3386),IF(הגדרות!$E$2&gt;0,TEXT('הדבקת לידים'!A3386,REPT("0",הגדרות!$E$2)),TEXT('הדבקת לידים'!A3386,"0")),TRIM('הדבקת לידים'!A3386)))</f>
        <v/>
      </c>
      <c r="B3386" s="0" t="str">
        <f aca="false">IF('הדבקת לידים'!B3386="","",IF(ISNUMBER('הדבקת לידים'!B3386),IF(הגדרות!$E$3&gt;0,TEXT('הדבקת לידים'!B3386,REPT("0",הגדרות!$E$3)),TEXT('הדבקת לידים'!B3386,"0")),TRIM('הדבקת לידים'!B3386)))</f>
        <v/>
      </c>
      <c r="C3386" s="0" t="n">
        <f aca="false">IF(OR(A3386&lt;&gt;"",B3386&lt;&gt;""),1,0)</f>
        <v>0</v>
      </c>
      <c r="D3386" s="0" t="str">
        <f aca="false">IF(C3386=1,MOD(ABS(SIN(ROW()*12.9898+'הדבקת לידים'!$F$2*78.233+IFERROR(--RIGHT(A3386,6),LEN(A3386))*0.0137+IFERROR(--RIGHT(B3386,6),LEN(B3386))*0.0071))*43758.5453,1),"")</f>
        <v/>
      </c>
      <c r="E3386" s="0" t="str">
        <f aca="false">IF(C3386=1,INT(MOD(ABS(SIN(D3386*7919.123+ROW()*0.618+'הדבקת לידים'!$F$2*1.3))*43758.5453,1)*1000000)*10000+ROW(),"")</f>
        <v/>
      </c>
      <c r="F3386" s="0" t="str">
        <f aca="false">IF(E3386="","",RANK(E3386,$E$2:$E$5001,1))</f>
        <v/>
      </c>
      <c r="G3386" s="0" t="n">
        <f aca="false">IF(A3386="",0,IF(SUMPRODUCT(--($A$2:$A$5001=A3386))&gt;1,1,0))</f>
        <v>0</v>
      </c>
      <c r="H3386" s="0" t="n">
        <f aca="false">ROW()-1</f>
        <v>3385</v>
      </c>
      <c r="I3386" s="0" t="str">
        <f aca="false">IF(OR(הגדרות!$E$6=0,H3386&gt;הגדרות!$E$5),"",IF(H3386-1&lt;הגדרות!$E$8*(הגדרות!$E$7+1),INT((H3386-1)/(הגדרות!$E$7+1)),הגדרות!$E$8+INT((H3386-1-הגדרות!$E$8*(הגדרות!$E$7+1))/הגדרות!$E$7)))</f>
        <v/>
      </c>
      <c r="J3386" s="0" t="str">
        <f aca="false">IF(I3386="","",IF(H3386-1&lt;הגדרות!$E$8*(הגדרות!$E$7+1),MOD(H3386-1,הגדרות!$E$7+1),MOD(H3386-1-הגדרות!$E$8*(הגדרות!$E$7+1),הגדרות!$E$7)))</f>
        <v/>
      </c>
      <c r="K3386" s="0" t="str">
        <f aca="false">IF(I3386="","",J3386*הגדרות!$E$6+I3386+1)</f>
        <v/>
      </c>
      <c r="L3386" s="0" t="str">
        <f aca="false">IF(K3386="","",MATCH(K3386,$F$2:$F$5001,0))</f>
        <v/>
      </c>
      <c r="M3386" s="0" t="str">
        <f aca="false">IF(I3386="","",INDEX(הגדרות!$A$2:$A$21,MOD(I3386+הגדרות!$E$9,הגדרות!$E$6)+1))</f>
        <v/>
      </c>
    </row>
    <row r="3387" customFormat="false" ht="15" hidden="false" customHeight="false" outlineLevel="0" collapsed="false">
      <c r="A3387" s="0" t="str">
        <f aca="false">IF('הדבקת לידים'!A3387="","",IF(ISNUMBER('הדבקת לידים'!A3387),IF(הגדרות!$E$2&gt;0,TEXT('הדבקת לידים'!A3387,REPT("0",הגדרות!$E$2)),TEXT('הדבקת לידים'!A3387,"0")),TRIM('הדבקת לידים'!A3387)))</f>
        <v/>
      </c>
      <c r="B3387" s="0" t="str">
        <f aca="false">IF('הדבקת לידים'!B3387="","",IF(ISNUMBER('הדבקת לידים'!B3387),IF(הגדרות!$E$3&gt;0,TEXT('הדבקת לידים'!B3387,REPT("0",הגדרות!$E$3)),TEXT('הדבקת לידים'!B3387,"0")),TRIM('הדבקת לידים'!B3387)))</f>
        <v/>
      </c>
      <c r="C3387" s="0" t="n">
        <f aca="false">IF(OR(A3387&lt;&gt;"",B3387&lt;&gt;""),1,0)</f>
        <v>0</v>
      </c>
      <c r="D3387" s="0" t="str">
        <f aca="false">IF(C3387=1,MOD(ABS(SIN(ROW()*12.9898+'הדבקת לידים'!$F$2*78.233+IFERROR(--RIGHT(A3387,6),LEN(A3387))*0.0137+IFERROR(--RIGHT(B3387,6),LEN(B3387))*0.0071))*43758.5453,1),"")</f>
        <v/>
      </c>
      <c r="E3387" s="0" t="str">
        <f aca="false">IF(C3387=1,INT(MOD(ABS(SIN(D3387*7919.123+ROW()*0.618+'הדבקת לידים'!$F$2*1.3))*43758.5453,1)*1000000)*10000+ROW(),"")</f>
        <v/>
      </c>
      <c r="F3387" s="0" t="str">
        <f aca="false">IF(E3387="","",RANK(E3387,$E$2:$E$5001,1))</f>
        <v/>
      </c>
      <c r="G3387" s="0" t="n">
        <f aca="false">IF(A3387="",0,IF(SUMPRODUCT(--($A$2:$A$5001=A3387))&gt;1,1,0))</f>
        <v>0</v>
      </c>
      <c r="H3387" s="0" t="n">
        <f aca="false">ROW()-1</f>
        <v>3386</v>
      </c>
      <c r="I3387" s="0" t="str">
        <f aca="false">IF(OR(הגדרות!$E$6=0,H3387&gt;הגדרות!$E$5),"",IF(H3387-1&lt;הגדרות!$E$8*(הגדרות!$E$7+1),INT((H3387-1)/(הגדרות!$E$7+1)),הגדרות!$E$8+INT((H3387-1-הגדרות!$E$8*(הגדרות!$E$7+1))/הגדרות!$E$7)))</f>
        <v/>
      </c>
      <c r="J3387" s="0" t="str">
        <f aca="false">IF(I3387="","",IF(H3387-1&lt;הגדרות!$E$8*(הגדרות!$E$7+1),MOD(H3387-1,הגדרות!$E$7+1),MOD(H3387-1-הגדרות!$E$8*(הגדרות!$E$7+1),הגדרות!$E$7)))</f>
        <v/>
      </c>
      <c r="K3387" s="0" t="str">
        <f aca="false">IF(I3387="","",J3387*הגדרות!$E$6+I3387+1)</f>
        <v/>
      </c>
      <c r="L3387" s="0" t="str">
        <f aca="false">IF(K3387="","",MATCH(K3387,$F$2:$F$5001,0))</f>
        <v/>
      </c>
      <c r="M3387" s="0" t="str">
        <f aca="false">IF(I3387="","",INDEX(הגדרות!$A$2:$A$21,MOD(I3387+הגדרות!$E$9,הגדרות!$E$6)+1))</f>
        <v/>
      </c>
    </row>
    <row r="3388" customFormat="false" ht="15" hidden="false" customHeight="false" outlineLevel="0" collapsed="false">
      <c r="A3388" s="0" t="str">
        <f aca="false">IF('הדבקת לידים'!A3388="","",IF(ISNUMBER('הדבקת לידים'!A3388),IF(הגדרות!$E$2&gt;0,TEXT('הדבקת לידים'!A3388,REPT("0",הגדרות!$E$2)),TEXT('הדבקת לידים'!A3388,"0")),TRIM('הדבקת לידים'!A3388)))</f>
        <v/>
      </c>
      <c r="B3388" s="0" t="str">
        <f aca="false">IF('הדבקת לידים'!B3388="","",IF(ISNUMBER('הדבקת לידים'!B3388),IF(הגדרות!$E$3&gt;0,TEXT('הדבקת לידים'!B3388,REPT("0",הגדרות!$E$3)),TEXT('הדבקת לידים'!B3388,"0")),TRIM('הדבקת לידים'!B3388)))</f>
        <v/>
      </c>
      <c r="C3388" s="0" t="n">
        <f aca="false">IF(OR(A3388&lt;&gt;"",B3388&lt;&gt;""),1,0)</f>
        <v>0</v>
      </c>
      <c r="D3388" s="0" t="str">
        <f aca="false">IF(C3388=1,MOD(ABS(SIN(ROW()*12.9898+'הדבקת לידים'!$F$2*78.233+IFERROR(--RIGHT(A3388,6),LEN(A3388))*0.0137+IFERROR(--RIGHT(B3388,6),LEN(B3388))*0.0071))*43758.5453,1),"")</f>
        <v/>
      </c>
      <c r="E3388" s="0" t="str">
        <f aca="false">IF(C3388=1,INT(MOD(ABS(SIN(D3388*7919.123+ROW()*0.618+'הדבקת לידים'!$F$2*1.3))*43758.5453,1)*1000000)*10000+ROW(),"")</f>
        <v/>
      </c>
      <c r="F3388" s="0" t="str">
        <f aca="false">IF(E3388="","",RANK(E3388,$E$2:$E$5001,1))</f>
        <v/>
      </c>
      <c r="G3388" s="0" t="n">
        <f aca="false">IF(A3388="",0,IF(SUMPRODUCT(--($A$2:$A$5001=A3388))&gt;1,1,0))</f>
        <v>0</v>
      </c>
      <c r="H3388" s="0" t="n">
        <f aca="false">ROW()-1</f>
        <v>3387</v>
      </c>
      <c r="I3388" s="0" t="str">
        <f aca="false">IF(OR(הגדרות!$E$6=0,H3388&gt;הגדרות!$E$5),"",IF(H3388-1&lt;הגדרות!$E$8*(הגדרות!$E$7+1),INT((H3388-1)/(הגדרות!$E$7+1)),הגדרות!$E$8+INT((H3388-1-הגדרות!$E$8*(הגדרות!$E$7+1))/הגדרות!$E$7)))</f>
        <v/>
      </c>
      <c r="J3388" s="0" t="str">
        <f aca="false">IF(I3388="","",IF(H3388-1&lt;הגדרות!$E$8*(הגדרות!$E$7+1),MOD(H3388-1,הגדרות!$E$7+1),MOD(H3388-1-הגדרות!$E$8*(הגדרות!$E$7+1),הגדרות!$E$7)))</f>
        <v/>
      </c>
      <c r="K3388" s="0" t="str">
        <f aca="false">IF(I3388="","",J3388*הגדרות!$E$6+I3388+1)</f>
        <v/>
      </c>
      <c r="L3388" s="0" t="str">
        <f aca="false">IF(K3388="","",MATCH(K3388,$F$2:$F$5001,0))</f>
        <v/>
      </c>
      <c r="M3388" s="0" t="str">
        <f aca="false">IF(I3388="","",INDEX(הגדרות!$A$2:$A$21,MOD(I3388+הגדרות!$E$9,הגדרות!$E$6)+1))</f>
        <v/>
      </c>
    </row>
    <row r="3389" customFormat="false" ht="15" hidden="false" customHeight="false" outlineLevel="0" collapsed="false">
      <c r="A3389" s="0" t="str">
        <f aca="false">IF('הדבקת לידים'!A3389="","",IF(ISNUMBER('הדבקת לידים'!A3389),IF(הגדרות!$E$2&gt;0,TEXT('הדבקת לידים'!A3389,REPT("0",הגדרות!$E$2)),TEXT('הדבקת לידים'!A3389,"0")),TRIM('הדבקת לידים'!A3389)))</f>
        <v/>
      </c>
      <c r="B3389" s="0" t="str">
        <f aca="false">IF('הדבקת לידים'!B3389="","",IF(ISNUMBER('הדבקת לידים'!B3389),IF(הגדרות!$E$3&gt;0,TEXT('הדבקת לידים'!B3389,REPT("0",הגדרות!$E$3)),TEXT('הדבקת לידים'!B3389,"0")),TRIM('הדבקת לידים'!B3389)))</f>
        <v/>
      </c>
      <c r="C3389" s="0" t="n">
        <f aca="false">IF(OR(A3389&lt;&gt;"",B3389&lt;&gt;""),1,0)</f>
        <v>0</v>
      </c>
      <c r="D3389" s="0" t="str">
        <f aca="false">IF(C3389=1,MOD(ABS(SIN(ROW()*12.9898+'הדבקת לידים'!$F$2*78.233+IFERROR(--RIGHT(A3389,6),LEN(A3389))*0.0137+IFERROR(--RIGHT(B3389,6),LEN(B3389))*0.0071))*43758.5453,1),"")</f>
        <v/>
      </c>
      <c r="E3389" s="0" t="str">
        <f aca="false">IF(C3389=1,INT(MOD(ABS(SIN(D3389*7919.123+ROW()*0.618+'הדבקת לידים'!$F$2*1.3))*43758.5453,1)*1000000)*10000+ROW(),"")</f>
        <v/>
      </c>
      <c r="F3389" s="0" t="str">
        <f aca="false">IF(E3389="","",RANK(E3389,$E$2:$E$5001,1))</f>
        <v/>
      </c>
      <c r="G3389" s="0" t="n">
        <f aca="false">IF(A3389="",0,IF(SUMPRODUCT(--($A$2:$A$5001=A3389))&gt;1,1,0))</f>
        <v>0</v>
      </c>
      <c r="H3389" s="0" t="n">
        <f aca="false">ROW()-1</f>
        <v>3388</v>
      </c>
      <c r="I3389" s="0" t="str">
        <f aca="false">IF(OR(הגדרות!$E$6=0,H3389&gt;הגדרות!$E$5),"",IF(H3389-1&lt;הגדרות!$E$8*(הגדרות!$E$7+1),INT((H3389-1)/(הגדרות!$E$7+1)),הגדרות!$E$8+INT((H3389-1-הגדרות!$E$8*(הגדרות!$E$7+1))/הגדרות!$E$7)))</f>
        <v/>
      </c>
      <c r="J3389" s="0" t="str">
        <f aca="false">IF(I3389="","",IF(H3389-1&lt;הגדרות!$E$8*(הגדרות!$E$7+1),MOD(H3389-1,הגדרות!$E$7+1),MOD(H3389-1-הגדרות!$E$8*(הגדרות!$E$7+1),הגדרות!$E$7)))</f>
        <v/>
      </c>
      <c r="K3389" s="0" t="str">
        <f aca="false">IF(I3389="","",J3389*הגדרות!$E$6+I3389+1)</f>
        <v/>
      </c>
      <c r="L3389" s="0" t="str">
        <f aca="false">IF(K3389="","",MATCH(K3389,$F$2:$F$5001,0))</f>
        <v/>
      </c>
      <c r="M3389" s="0" t="str">
        <f aca="false">IF(I3389="","",INDEX(הגדרות!$A$2:$A$21,MOD(I3389+הגדרות!$E$9,הגדרות!$E$6)+1))</f>
        <v/>
      </c>
    </row>
    <row r="3390" customFormat="false" ht="15" hidden="false" customHeight="false" outlineLevel="0" collapsed="false">
      <c r="A3390" s="0" t="str">
        <f aca="false">IF('הדבקת לידים'!A3390="","",IF(ISNUMBER('הדבקת לידים'!A3390),IF(הגדרות!$E$2&gt;0,TEXT('הדבקת לידים'!A3390,REPT("0",הגדרות!$E$2)),TEXT('הדבקת לידים'!A3390,"0")),TRIM('הדבקת לידים'!A3390)))</f>
        <v/>
      </c>
      <c r="B3390" s="0" t="str">
        <f aca="false">IF('הדבקת לידים'!B3390="","",IF(ISNUMBER('הדבקת לידים'!B3390),IF(הגדרות!$E$3&gt;0,TEXT('הדבקת לידים'!B3390,REPT("0",הגדרות!$E$3)),TEXT('הדבקת לידים'!B3390,"0")),TRIM('הדבקת לידים'!B3390)))</f>
        <v/>
      </c>
      <c r="C3390" s="0" t="n">
        <f aca="false">IF(OR(A3390&lt;&gt;"",B3390&lt;&gt;""),1,0)</f>
        <v>0</v>
      </c>
      <c r="D3390" s="0" t="str">
        <f aca="false">IF(C3390=1,MOD(ABS(SIN(ROW()*12.9898+'הדבקת לידים'!$F$2*78.233+IFERROR(--RIGHT(A3390,6),LEN(A3390))*0.0137+IFERROR(--RIGHT(B3390,6),LEN(B3390))*0.0071))*43758.5453,1),"")</f>
        <v/>
      </c>
      <c r="E3390" s="0" t="str">
        <f aca="false">IF(C3390=1,INT(MOD(ABS(SIN(D3390*7919.123+ROW()*0.618+'הדבקת לידים'!$F$2*1.3))*43758.5453,1)*1000000)*10000+ROW(),"")</f>
        <v/>
      </c>
      <c r="F3390" s="0" t="str">
        <f aca="false">IF(E3390="","",RANK(E3390,$E$2:$E$5001,1))</f>
        <v/>
      </c>
      <c r="G3390" s="0" t="n">
        <f aca="false">IF(A3390="",0,IF(SUMPRODUCT(--($A$2:$A$5001=A3390))&gt;1,1,0))</f>
        <v>0</v>
      </c>
      <c r="H3390" s="0" t="n">
        <f aca="false">ROW()-1</f>
        <v>3389</v>
      </c>
      <c r="I3390" s="0" t="str">
        <f aca="false">IF(OR(הגדרות!$E$6=0,H3390&gt;הגדרות!$E$5),"",IF(H3390-1&lt;הגדרות!$E$8*(הגדרות!$E$7+1),INT((H3390-1)/(הגדרות!$E$7+1)),הגדרות!$E$8+INT((H3390-1-הגדרות!$E$8*(הגדרות!$E$7+1))/הגדרות!$E$7)))</f>
        <v/>
      </c>
      <c r="J3390" s="0" t="str">
        <f aca="false">IF(I3390="","",IF(H3390-1&lt;הגדרות!$E$8*(הגדרות!$E$7+1),MOD(H3390-1,הגדרות!$E$7+1),MOD(H3390-1-הגדרות!$E$8*(הגדרות!$E$7+1),הגדרות!$E$7)))</f>
        <v/>
      </c>
      <c r="K3390" s="0" t="str">
        <f aca="false">IF(I3390="","",J3390*הגדרות!$E$6+I3390+1)</f>
        <v/>
      </c>
      <c r="L3390" s="0" t="str">
        <f aca="false">IF(K3390="","",MATCH(K3390,$F$2:$F$5001,0))</f>
        <v/>
      </c>
      <c r="M3390" s="0" t="str">
        <f aca="false">IF(I3390="","",INDEX(הגדרות!$A$2:$A$21,MOD(I3390+הגדרות!$E$9,הגדרות!$E$6)+1))</f>
        <v/>
      </c>
    </row>
    <row r="3391" customFormat="false" ht="15" hidden="false" customHeight="false" outlineLevel="0" collapsed="false">
      <c r="A3391" s="0" t="str">
        <f aca="false">IF('הדבקת לידים'!A3391="","",IF(ISNUMBER('הדבקת לידים'!A3391),IF(הגדרות!$E$2&gt;0,TEXT('הדבקת לידים'!A3391,REPT("0",הגדרות!$E$2)),TEXT('הדבקת לידים'!A3391,"0")),TRIM('הדבקת לידים'!A3391)))</f>
        <v/>
      </c>
      <c r="B3391" s="0" t="str">
        <f aca="false">IF('הדבקת לידים'!B3391="","",IF(ISNUMBER('הדבקת לידים'!B3391),IF(הגדרות!$E$3&gt;0,TEXT('הדבקת לידים'!B3391,REPT("0",הגדרות!$E$3)),TEXT('הדבקת לידים'!B3391,"0")),TRIM('הדבקת לידים'!B3391)))</f>
        <v/>
      </c>
      <c r="C3391" s="0" t="n">
        <f aca="false">IF(OR(A3391&lt;&gt;"",B3391&lt;&gt;""),1,0)</f>
        <v>0</v>
      </c>
      <c r="D3391" s="0" t="str">
        <f aca="false">IF(C3391=1,MOD(ABS(SIN(ROW()*12.9898+'הדבקת לידים'!$F$2*78.233+IFERROR(--RIGHT(A3391,6),LEN(A3391))*0.0137+IFERROR(--RIGHT(B3391,6),LEN(B3391))*0.0071))*43758.5453,1),"")</f>
        <v/>
      </c>
      <c r="E3391" s="0" t="str">
        <f aca="false">IF(C3391=1,INT(MOD(ABS(SIN(D3391*7919.123+ROW()*0.618+'הדבקת לידים'!$F$2*1.3))*43758.5453,1)*1000000)*10000+ROW(),"")</f>
        <v/>
      </c>
      <c r="F3391" s="0" t="str">
        <f aca="false">IF(E3391="","",RANK(E3391,$E$2:$E$5001,1))</f>
        <v/>
      </c>
      <c r="G3391" s="0" t="n">
        <f aca="false">IF(A3391="",0,IF(SUMPRODUCT(--($A$2:$A$5001=A3391))&gt;1,1,0))</f>
        <v>0</v>
      </c>
      <c r="H3391" s="0" t="n">
        <f aca="false">ROW()-1</f>
        <v>3390</v>
      </c>
      <c r="I3391" s="0" t="str">
        <f aca="false">IF(OR(הגדרות!$E$6=0,H3391&gt;הגדרות!$E$5),"",IF(H3391-1&lt;הגדרות!$E$8*(הגדרות!$E$7+1),INT((H3391-1)/(הגדרות!$E$7+1)),הגדרות!$E$8+INT((H3391-1-הגדרות!$E$8*(הגדרות!$E$7+1))/הגדרות!$E$7)))</f>
        <v/>
      </c>
      <c r="J3391" s="0" t="str">
        <f aca="false">IF(I3391="","",IF(H3391-1&lt;הגדרות!$E$8*(הגדרות!$E$7+1),MOD(H3391-1,הגדרות!$E$7+1),MOD(H3391-1-הגדרות!$E$8*(הגדרות!$E$7+1),הגדרות!$E$7)))</f>
        <v/>
      </c>
      <c r="K3391" s="0" t="str">
        <f aca="false">IF(I3391="","",J3391*הגדרות!$E$6+I3391+1)</f>
        <v/>
      </c>
      <c r="L3391" s="0" t="str">
        <f aca="false">IF(K3391="","",MATCH(K3391,$F$2:$F$5001,0))</f>
        <v/>
      </c>
      <c r="M3391" s="0" t="str">
        <f aca="false">IF(I3391="","",INDEX(הגדרות!$A$2:$A$21,MOD(I3391+הגדרות!$E$9,הגדרות!$E$6)+1))</f>
        <v/>
      </c>
    </row>
    <row r="3392" customFormat="false" ht="15" hidden="false" customHeight="false" outlineLevel="0" collapsed="false">
      <c r="A3392" s="0" t="str">
        <f aca="false">IF('הדבקת לידים'!A3392="","",IF(ISNUMBER('הדבקת לידים'!A3392),IF(הגדרות!$E$2&gt;0,TEXT('הדבקת לידים'!A3392,REPT("0",הגדרות!$E$2)),TEXT('הדבקת לידים'!A3392,"0")),TRIM('הדבקת לידים'!A3392)))</f>
        <v/>
      </c>
      <c r="B3392" s="0" t="str">
        <f aca="false">IF('הדבקת לידים'!B3392="","",IF(ISNUMBER('הדבקת לידים'!B3392),IF(הגדרות!$E$3&gt;0,TEXT('הדבקת לידים'!B3392,REPT("0",הגדרות!$E$3)),TEXT('הדבקת לידים'!B3392,"0")),TRIM('הדבקת לידים'!B3392)))</f>
        <v/>
      </c>
      <c r="C3392" s="0" t="n">
        <f aca="false">IF(OR(A3392&lt;&gt;"",B3392&lt;&gt;""),1,0)</f>
        <v>0</v>
      </c>
      <c r="D3392" s="0" t="str">
        <f aca="false">IF(C3392=1,MOD(ABS(SIN(ROW()*12.9898+'הדבקת לידים'!$F$2*78.233+IFERROR(--RIGHT(A3392,6),LEN(A3392))*0.0137+IFERROR(--RIGHT(B3392,6),LEN(B3392))*0.0071))*43758.5453,1),"")</f>
        <v/>
      </c>
      <c r="E3392" s="0" t="str">
        <f aca="false">IF(C3392=1,INT(MOD(ABS(SIN(D3392*7919.123+ROW()*0.618+'הדבקת לידים'!$F$2*1.3))*43758.5453,1)*1000000)*10000+ROW(),"")</f>
        <v/>
      </c>
      <c r="F3392" s="0" t="str">
        <f aca="false">IF(E3392="","",RANK(E3392,$E$2:$E$5001,1))</f>
        <v/>
      </c>
      <c r="G3392" s="0" t="n">
        <f aca="false">IF(A3392="",0,IF(SUMPRODUCT(--($A$2:$A$5001=A3392))&gt;1,1,0))</f>
        <v>0</v>
      </c>
      <c r="H3392" s="0" t="n">
        <f aca="false">ROW()-1</f>
        <v>3391</v>
      </c>
      <c r="I3392" s="0" t="str">
        <f aca="false">IF(OR(הגדרות!$E$6=0,H3392&gt;הגדרות!$E$5),"",IF(H3392-1&lt;הגדרות!$E$8*(הגדרות!$E$7+1),INT((H3392-1)/(הגדרות!$E$7+1)),הגדרות!$E$8+INT((H3392-1-הגדרות!$E$8*(הגדרות!$E$7+1))/הגדרות!$E$7)))</f>
        <v/>
      </c>
      <c r="J3392" s="0" t="str">
        <f aca="false">IF(I3392="","",IF(H3392-1&lt;הגדרות!$E$8*(הגדרות!$E$7+1),MOD(H3392-1,הגדרות!$E$7+1),MOD(H3392-1-הגדרות!$E$8*(הגדרות!$E$7+1),הגדרות!$E$7)))</f>
        <v/>
      </c>
      <c r="K3392" s="0" t="str">
        <f aca="false">IF(I3392="","",J3392*הגדרות!$E$6+I3392+1)</f>
        <v/>
      </c>
      <c r="L3392" s="0" t="str">
        <f aca="false">IF(K3392="","",MATCH(K3392,$F$2:$F$5001,0))</f>
        <v/>
      </c>
      <c r="M3392" s="0" t="str">
        <f aca="false">IF(I3392="","",INDEX(הגדרות!$A$2:$A$21,MOD(I3392+הגדרות!$E$9,הגדרות!$E$6)+1))</f>
        <v/>
      </c>
    </row>
    <row r="3393" customFormat="false" ht="15" hidden="false" customHeight="false" outlineLevel="0" collapsed="false">
      <c r="A3393" s="0" t="str">
        <f aca="false">IF('הדבקת לידים'!A3393="","",IF(ISNUMBER('הדבקת לידים'!A3393),IF(הגדרות!$E$2&gt;0,TEXT('הדבקת לידים'!A3393,REPT("0",הגדרות!$E$2)),TEXT('הדבקת לידים'!A3393,"0")),TRIM('הדבקת לידים'!A3393)))</f>
        <v/>
      </c>
      <c r="B3393" s="0" t="str">
        <f aca="false">IF('הדבקת לידים'!B3393="","",IF(ISNUMBER('הדבקת לידים'!B3393),IF(הגדרות!$E$3&gt;0,TEXT('הדבקת לידים'!B3393,REPT("0",הגדרות!$E$3)),TEXT('הדבקת לידים'!B3393,"0")),TRIM('הדבקת לידים'!B3393)))</f>
        <v/>
      </c>
      <c r="C3393" s="0" t="n">
        <f aca="false">IF(OR(A3393&lt;&gt;"",B3393&lt;&gt;""),1,0)</f>
        <v>0</v>
      </c>
      <c r="D3393" s="0" t="str">
        <f aca="false">IF(C3393=1,MOD(ABS(SIN(ROW()*12.9898+'הדבקת לידים'!$F$2*78.233+IFERROR(--RIGHT(A3393,6),LEN(A3393))*0.0137+IFERROR(--RIGHT(B3393,6),LEN(B3393))*0.0071))*43758.5453,1),"")</f>
        <v/>
      </c>
      <c r="E3393" s="0" t="str">
        <f aca="false">IF(C3393=1,INT(MOD(ABS(SIN(D3393*7919.123+ROW()*0.618+'הדבקת לידים'!$F$2*1.3))*43758.5453,1)*1000000)*10000+ROW(),"")</f>
        <v/>
      </c>
      <c r="F3393" s="0" t="str">
        <f aca="false">IF(E3393="","",RANK(E3393,$E$2:$E$5001,1))</f>
        <v/>
      </c>
      <c r="G3393" s="0" t="n">
        <f aca="false">IF(A3393="",0,IF(SUMPRODUCT(--($A$2:$A$5001=A3393))&gt;1,1,0))</f>
        <v>0</v>
      </c>
      <c r="H3393" s="0" t="n">
        <f aca="false">ROW()-1</f>
        <v>3392</v>
      </c>
      <c r="I3393" s="0" t="str">
        <f aca="false">IF(OR(הגדרות!$E$6=0,H3393&gt;הגדרות!$E$5),"",IF(H3393-1&lt;הגדרות!$E$8*(הגדרות!$E$7+1),INT((H3393-1)/(הגדרות!$E$7+1)),הגדרות!$E$8+INT((H3393-1-הגדרות!$E$8*(הגדרות!$E$7+1))/הגדרות!$E$7)))</f>
        <v/>
      </c>
      <c r="J3393" s="0" t="str">
        <f aca="false">IF(I3393="","",IF(H3393-1&lt;הגדרות!$E$8*(הגדרות!$E$7+1),MOD(H3393-1,הגדרות!$E$7+1),MOD(H3393-1-הגדרות!$E$8*(הגדרות!$E$7+1),הגדרות!$E$7)))</f>
        <v/>
      </c>
      <c r="K3393" s="0" t="str">
        <f aca="false">IF(I3393="","",J3393*הגדרות!$E$6+I3393+1)</f>
        <v/>
      </c>
      <c r="L3393" s="0" t="str">
        <f aca="false">IF(K3393="","",MATCH(K3393,$F$2:$F$5001,0))</f>
        <v/>
      </c>
      <c r="M3393" s="0" t="str">
        <f aca="false">IF(I3393="","",INDEX(הגדרות!$A$2:$A$21,MOD(I3393+הגדרות!$E$9,הגדרות!$E$6)+1))</f>
        <v/>
      </c>
    </row>
    <row r="3394" customFormat="false" ht="15" hidden="false" customHeight="false" outlineLevel="0" collapsed="false">
      <c r="A3394" s="0" t="str">
        <f aca="false">IF('הדבקת לידים'!A3394="","",IF(ISNUMBER('הדבקת לידים'!A3394),IF(הגדרות!$E$2&gt;0,TEXT('הדבקת לידים'!A3394,REPT("0",הגדרות!$E$2)),TEXT('הדבקת לידים'!A3394,"0")),TRIM('הדבקת לידים'!A3394)))</f>
        <v/>
      </c>
      <c r="B3394" s="0" t="str">
        <f aca="false">IF('הדבקת לידים'!B3394="","",IF(ISNUMBER('הדבקת לידים'!B3394),IF(הגדרות!$E$3&gt;0,TEXT('הדבקת לידים'!B3394,REPT("0",הגדרות!$E$3)),TEXT('הדבקת לידים'!B3394,"0")),TRIM('הדבקת לידים'!B3394)))</f>
        <v/>
      </c>
      <c r="C3394" s="0" t="n">
        <f aca="false">IF(OR(A3394&lt;&gt;"",B3394&lt;&gt;""),1,0)</f>
        <v>0</v>
      </c>
      <c r="D3394" s="0" t="str">
        <f aca="false">IF(C3394=1,MOD(ABS(SIN(ROW()*12.9898+'הדבקת לידים'!$F$2*78.233+IFERROR(--RIGHT(A3394,6),LEN(A3394))*0.0137+IFERROR(--RIGHT(B3394,6),LEN(B3394))*0.0071))*43758.5453,1),"")</f>
        <v/>
      </c>
      <c r="E3394" s="0" t="str">
        <f aca="false">IF(C3394=1,INT(MOD(ABS(SIN(D3394*7919.123+ROW()*0.618+'הדבקת לידים'!$F$2*1.3))*43758.5453,1)*1000000)*10000+ROW(),"")</f>
        <v/>
      </c>
      <c r="F3394" s="0" t="str">
        <f aca="false">IF(E3394="","",RANK(E3394,$E$2:$E$5001,1))</f>
        <v/>
      </c>
      <c r="G3394" s="0" t="n">
        <f aca="false">IF(A3394="",0,IF(SUMPRODUCT(--($A$2:$A$5001=A3394))&gt;1,1,0))</f>
        <v>0</v>
      </c>
      <c r="H3394" s="0" t="n">
        <f aca="false">ROW()-1</f>
        <v>3393</v>
      </c>
      <c r="I3394" s="0" t="str">
        <f aca="false">IF(OR(הגדרות!$E$6=0,H3394&gt;הגדרות!$E$5),"",IF(H3394-1&lt;הגדרות!$E$8*(הגדרות!$E$7+1),INT((H3394-1)/(הגדרות!$E$7+1)),הגדרות!$E$8+INT((H3394-1-הגדרות!$E$8*(הגדרות!$E$7+1))/הגדרות!$E$7)))</f>
        <v/>
      </c>
      <c r="J3394" s="0" t="str">
        <f aca="false">IF(I3394="","",IF(H3394-1&lt;הגדרות!$E$8*(הגדרות!$E$7+1),MOD(H3394-1,הגדרות!$E$7+1),MOD(H3394-1-הגדרות!$E$8*(הגדרות!$E$7+1),הגדרות!$E$7)))</f>
        <v/>
      </c>
      <c r="K3394" s="0" t="str">
        <f aca="false">IF(I3394="","",J3394*הגדרות!$E$6+I3394+1)</f>
        <v/>
      </c>
      <c r="L3394" s="0" t="str">
        <f aca="false">IF(K3394="","",MATCH(K3394,$F$2:$F$5001,0))</f>
        <v/>
      </c>
      <c r="M3394" s="0" t="str">
        <f aca="false">IF(I3394="","",INDEX(הגדרות!$A$2:$A$21,MOD(I3394+הגדרות!$E$9,הגדרות!$E$6)+1))</f>
        <v/>
      </c>
    </row>
    <row r="3395" customFormat="false" ht="15" hidden="false" customHeight="false" outlineLevel="0" collapsed="false">
      <c r="A3395" s="0" t="str">
        <f aca="false">IF('הדבקת לידים'!A3395="","",IF(ISNUMBER('הדבקת לידים'!A3395),IF(הגדרות!$E$2&gt;0,TEXT('הדבקת לידים'!A3395,REPT("0",הגדרות!$E$2)),TEXT('הדבקת לידים'!A3395,"0")),TRIM('הדבקת לידים'!A3395)))</f>
        <v/>
      </c>
      <c r="B3395" s="0" t="str">
        <f aca="false">IF('הדבקת לידים'!B3395="","",IF(ISNUMBER('הדבקת לידים'!B3395),IF(הגדרות!$E$3&gt;0,TEXT('הדבקת לידים'!B3395,REPT("0",הגדרות!$E$3)),TEXT('הדבקת לידים'!B3395,"0")),TRIM('הדבקת לידים'!B3395)))</f>
        <v/>
      </c>
      <c r="C3395" s="0" t="n">
        <f aca="false">IF(OR(A3395&lt;&gt;"",B3395&lt;&gt;""),1,0)</f>
        <v>0</v>
      </c>
      <c r="D3395" s="0" t="str">
        <f aca="false">IF(C3395=1,MOD(ABS(SIN(ROW()*12.9898+'הדבקת לידים'!$F$2*78.233+IFERROR(--RIGHT(A3395,6),LEN(A3395))*0.0137+IFERROR(--RIGHT(B3395,6),LEN(B3395))*0.0071))*43758.5453,1),"")</f>
        <v/>
      </c>
      <c r="E3395" s="0" t="str">
        <f aca="false">IF(C3395=1,INT(MOD(ABS(SIN(D3395*7919.123+ROW()*0.618+'הדבקת לידים'!$F$2*1.3))*43758.5453,1)*1000000)*10000+ROW(),"")</f>
        <v/>
      </c>
      <c r="F3395" s="0" t="str">
        <f aca="false">IF(E3395="","",RANK(E3395,$E$2:$E$5001,1))</f>
        <v/>
      </c>
      <c r="G3395" s="0" t="n">
        <f aca="false">IF(A3395="",0,IF(SUMPRODUCT(--($A$2:$A$5001=A3395))&gt;1,1,0))</f>
        <v>0</v>
      </c>
      <c r="H3395" s="0" t="n">
        <f aca="false">ROW()-1</f>
        <v>3394</v>
      </c>
      <c r="I3395" s="0" t="str">
        <f aca="false">IF(OR(הגדרות!$E$6=0,H3395&gt;הגדרות!$E$5),"",IF(H3395-1&lt;הגדרות!$E$8*(הגדרות!$E$7+1),INT((H3395-1)/(הגדרות!$E$7+1)),הגדרות!$E$8+INT((H3395-1-הגדרות!$E$8*(הגדרות!$E$7+1))/הגדרות!$E$7)))</f>
        <v/>
      </c>
      <c r="J3395" s="0" t="str">
        <f aca="false">IF(I3395="","",IF(H3395-1&lt;הגדרות!$E$8*(הגדרות!$E$7+1),MOD(H3395-1,הגדרות!$E$7+1),MOD(H3395-1-הגדרות!$E$8*(הגדרות!$E$7+1),הגדרות!$E$7)))</f>
        <v/>
      </c>
      <c r="K3395" s="0" t="str">
        <f aca="false">IF(I3395="","",J3395*הגדרות!$E$6+I3395+1)</f>
        <v/>
      </c>
      <c r="L3395" s="0" t="str">
        <f aca="false">IF(K3395="","",MATCH(K3395,$F$2:$F$5001,0))</f>
        <v/>
      </c>
      <c r="M3395" s="0" t="str">
        <f aca="false">IF(I3395="","",INDEX(הגדרות!$A$2:$A$21,MOD(I3395+הגדרות!$E$9,הגדרות!$E$6)+1))</f>
        <v/>
      </c>
    </row>
    <row r="3396" customFormat="false" ht="15" hidden="false" customHeight="false" outlineLevel="0" collapsed="false">
      <c r="A3396" s="0" t="str">
        <f aca="false">IF('הדבקת לידים'!A3396="","",IF(ISNUMBER('הדבקת לידים'!A3396),IF(הגדרות!$E$2&gt;0,TEXT('הדבקת לידים'!A3396,REPT("0",הגדרות!$E$2)),TEXT('הדבקת לידים'!A3396,"0")),TRIM('הדבקת לידים'!A3396)))</f>
        <v/>
      </c>
      <c r="B3396" s="0" t="str">
        <f aca="false">IF('הדבקת לידים'!B3396="","",IF(ISNUMBER('הדבקת לידים'!B3396),IF(הגדרות!$E$3&gt;0,TEXT('הדבקת לידים'!B3396,REPT("0",הגדרות!$E$3)),TEXT('הדבקת לידים'!B3396,"0")),TRIM('הדבקת לידים'!B3396)))</f>
        <v/>
      </c>
      <c r="C3396" s="0" t="n">
        <f aca="false">IF(OR(A3396&lt;&gt;"",B3396&lt;&gt;""),1,0)</f>
        <v>0</v>
      </c>
      <c r="D3396" s="0" t="str">
        <f aca="false">IF(C3396=1,MOD(ABS(SIN(ROW()*12.9898+'הדבקת לידים'!$F$2*78.233+IFERROR(--RIGHT(A3396,6),LEN(A3396))*0.0137+IFERROR(--RIGHT(B3396,6),LEN(B3396))*0.0071))*43758.5453,1),"")</f>
        <v/>
      </c>
      <c r="E3396" s="0" t="str">
        <f aca="false">IF(C3396=1,INT(MOD(ABS(SIN(D3396*7919.123+ROW()*0.618+'הדבקת לידים'!$F$2*1.3))*43758.5453,1)*1000000)*10000+ROW(),"")</f>
        <v/>
      </c>
      <c r="F3396" s="0" t="str">
        <f aca="false">IF(E3396="","",RANK(E3396,$E$2:$E$5001,1))</f>
        <v/>
      </c>
      <c r="G3396" s="0" t="n">
        <f aca="false">IF(A3396="",0,IF(SUMPRODUCT(--($A$2:$A$5001=A3396))&gt;1,1,0))</f>
        <v>0</v>
      </c>
      <c r="H3396" s="0" t="n">
        <f aca="false">ROW()-1</f>
        <v>3395</v>
      </c>
      <c r="I3396" s="0" t="str">
        <f aca="false">IF(OR(הגדרות!$E$6=0,H3396&gt;הגדרות!$E$5),"",IF(H3396-1&lt;הגדרות!$E$8*(הגדרות!$E$7+1),INT((H3396-1)/(הגדרות!$E$7+1)),הגדרות!$E$8+INT((H3396-1-הגדרות!$E$8*(הגדרות!$E$7+1))/הגדרות!$E$7)))</f>
        <v/>
      </c>
      <c r="J3396" s="0" t="str">
        <f aca="false">IF(I3396="","",IF(H3396-1&lt;הגדרות!$E$8*(הגדרות!$E$7+1),MOD(H3396-1,הגדרות!$E$7+1),MOD(H3396-1-הגדרות!$E$8*(הגדרות!$E$7+1),הגדרות!$E$7)))</f>
        <v/>
      </c>
      <c r="K3396" s="0" t="str">
        <f aca="false">IF(I3396="","",J3396*הגדרות!$E$6+I3396+1)</f>
        <v/>
      </c>
      <c r="L3396" s="0" t="str">
        <f aca="false">IF(K3396="","",MATCH(K3396,$F$2:$F$5001,0))</f>
        <v/>
      </c>
      <c r="M3396" s="0" t="str">
        <f aca="false">IF(I3396="","",INDEX(הגדרות!$A$2:$A$21,MOD(I3396+הגדרות!$E$9,הגדרות!$E$6)+1))</f>
        <v/>
      </c>
    </row>
    <row r="3397" customFormat="false" ht="15" hidden="false" customHeight="false" outlineLevel="0" collapsed="false">
      <c r="A3397" s="0" t="str">
        <f aca="false">IF('הדבקת לידים'!A3397="","",IF(ISNUMBER('הדבקת לידים'!A3397),IF(הגדרות!$E$2&gt;0,TEXT('הדבקת לידים'!A3397,REPT("0",הגדרות!$E$2)),TEXT('הדבקת לידים'!A3397,"0")),TRIM('הדבקת לידים'!A3397)))</f>
        <v/>
      </c>
      <c r="B3397" s="0" t="str">
        <f aca="false">IF('הדבקת לידים'!B3397="","",IF(ISNUMBER('הדבקת לידים'!B3397),IF(הגדרות!$E$3&gt;0,TEXT('הדבקת לידים'!B3397,REPT("0",הגדרות!$E$3)),TEXT('הדבקת לידים'!B3397,"0")),TRIM('הדבקת לידים'!B3397)))</f>
        <v/>
      </c>
      <c r="C3397" s="0" t="n">
        <f aca="false">IF(OR(A3397&lt;&gt;"",B3397&lt;&gt;""),1,0)</f>
        <v>0</v>
      </c>
      <c r="D3397" s="0" t="str">
        <f aca="false">IF(C3397=1,MOD(ABS(SIN(ROW()*12.9898+'הדבקת לידים'!$F$2*78.233+IFERROR(--RIGHT(A3397,6),LEN(A3397))*0.0137+IFERROR(--RIGHT(B3397,6),LEN(B3397))*0.0071))*43758.5453,1),"")</f>
        <v/>
      </c>
      <c r="E3397" s="0" t="str">
        <f aca="false">IF(C3397=1,INT(MOD(ABS(SIN(D3397*7919.123+ROW()*0.618+'הדבקת לידים'!$F$2*1.3))*43758.5453,1)*1000000)*10000+ROW(),"")</f>
        <v/>
      </c>
      <c r="F3397" s="0" t="str">
        <f aca="false">IF(E3397="","",RANK(E3397,$E$2:$E$5001,1))</f>
        <v/>
      </c>
      <c r="G3397" s="0" t="n">
        <f aca="false">IF(A3397="",0,IF(SUMPRODUCT(--($A$2:$A$5001=A3397))&gt;1,1,0))</f>
        <v>0</v>
      </c>
      <c r="H3397" s="0" t="n">
        <f aca="false">ROW()-1</f>
        <v>3396</v>
      </c>
      <c r="I3397" s="0" t="str">
        <f aca="false">IF(OR(הגדרות!$E$6=0,H3397&gt;הגדרות!$E$5),"",IF(H3397-1&lt;הגדרות!$E$8*(הגדרות!$E$7+1),INT((H3397-1)/(הגדרות!$E$7+1)),הגדרות!$E$8+INT((H3397-1-הגדרות!$E$8*(הגדרות!$E$7+1))/הגדרות!$E$7)))</f>
        <v/>
      </c>
      <c r="J3397" s="0" t="str">
        <f aca="false">IF(I3397="","",IF(H3397-1&lt;הגדרות!$E$8*(הגדרות!$E$7+1),MOD(H3397-1,הגדרות!$E$7+1),MOD(H3397-1-הגדרות!$E$8*(הגדרות!$E$7+1),הגדרות!$E$7)))</f>
        <v/>
      </c>
      <c r="K3397" s="0" t="str">
        <f aca="false">IF(I3397="","",J3397*הגדרות!$E$6+I3397+1)</f>
        <v/>
      </c>
      <c r="L3397" s="0" t="str">
        <f aca="false">IF(K3397="","",MATCH(K3397,$F$2:$F$5001,0))</f>
        <v/>
      </c>
      <c r="M3397" s="0" t="str">
        <f aca="false">IF(I3397="","",INDEX(הגדרות!$A$2:$A$21,MOD(I3397+הגדרות!$E$9,הגדרות!$E$6)+1))</f>
        <v/>
      </c>
    </row>
    <row r="3398" customFormat="false" ht="15" hidden="false" customHeight="false" outlineLevel="0" collapsed="false">
      <c r="A3398" s="0" t="str">
        <f aca="false">IF('הדבקת לידים'!A3398="","",IF(ISNUMBER('הדבקת לידים'!A3398),IF(הגדרות!$E$2&gt;0,TEXT('הדבקת לידים'!A3398,REPT("0",הגדרות!$E$2)),TEXT('הדבקת לידים'!A3398,"0")),TRIM('הדבקת לידים'!A3398)))</f>
        <v/>
      </c>
      <c r="B3398" s="0" t="str">
        <f aca="false">IF('הדבקת לידים'!B3398="","",IF(ISNUMBER('הדבקת לידים'!B3398),IF(הגדרות!$E$3&gt;0,TEXT('הדבקת לידים'!B3398,REPT("0",הגדרות!$E$3)),TEXT('הדבקת לידים'!B3398,"0")),TRIM('הדבקת לידים'!B3398)))</f>
        <v/>
      </c>
      <c r="C3398" s="0" t="n">
        <f aca="false">IF(OR(A3398&lt;&gt;"",B3398&lt;&gt;""),1,0)</f>
        <v>0</v>
      </c>
      <c r="D3398" s="0" t="str">
        <f aca="false">IF(C3398=1,MOD(ABS(SIN(ROW()*12.9898+'הדבקת לידים'!$F$2*78.233+IFERROR(--RIGHT(A3398,6),LEN(A3398))*0.0137+IFERROR(--RIGHT(B3398,6),LEN(B3398))*0.0071))*43758.5453,1),"")</f>
        <v/>
      </c>
      <c r="E3398" s="0" t="str">
        <f aca="false">IF(C3398=1,INT(MOD(ABS(SIN(D3398*7919.123+ROW()*0.618+'הדבקת לידים'!$F$2*1.3))*43758.5453,1)*1000000)*10000+ROW(),"")</f>
        <v/>
      </c>
      <c r="F3398" s="0" t="str">
        <f aca="false">IF(E3398="","",RANK(E3398,$E$2:$E$5001,1))</f>
        <v/>
      </c>
      <c r="G3398" s="0" t="n">
        <f aca="false">IF(A3398="",0,IF(SUMPRODUCT(--($A$2:$A$5001=A3398))&gt;1,1,0))</f>
        <v>0</v>
      </c>
      <c r="H3398" s="0" t="n">
        <f aca="false">ROW()-1</f>
        <v>3397</v>
      </c>
      <c r="I3398" s="0" t="str">
        <f aca="false">IF(OR(הגדרות!$E$6=0,H3398&gt;הגדרות!$E$5),"",IF(H3398-1&lt;הגדרות!$E$8*(הגדרות!$E$7+1),INT((H3398-1)/(הגדרות!$E$7+1)),הגדרות!$E$8+INT((H3398-1-הגדרות!$E$8*(הגדרות!$E$7+1))/הגדרות!$E$7)))</f>
        <v/>
      </c>
      <c r="J3398" s="0" t="str">
        <f aca="false">IF(I3398="","",IF(H3398-1&lt;הגדרות!$E$8*(הגדרות!$E$7+1),MOD(H3398-1,הגדרות!$E$7+1),MOD(H3398-1-הגדרות!$E$8*(הגדרות!$E$7+1),הגדרות!$E$7)))</f>
        <v/>
      </c>
      <c r="K3398" s="0" t="str">
        <f aca="false">IF(I3398="","",J3398*הגדרות!$E$6+I3398+1)</f>
        <v/>
      </c>
      <c r="L3398" s="0" t="str">
        <f aca="false">IF(K3398="","",MATCH(K3398,$F$2:$F$5001,0))</f>
        <v/>
      </c>
      <c r="M3398" s="0" t="str">
        <f aca="false">IF(I3398="","",INDEX(הגדרות!$A$2:$A$21,MOD(I3398+הגדרות!$E$9,הגדרות!$E$6)+1))</f>
        <v/>
      </c>
    </row>
    <row r="3399" customFormat="false" ht="15" hidden="false" customHeight="false" outlineLevel="0" collapsed="false">
      <c r="A3399" s="0" t="str">
        <f aca="false">IF('הדבקת לידים'!A3399="","",IF(ISNUMBER('הדבקת לידים'!A3399),IF(הגדרות!$E$2&gt;0,TEXT('הדבקת לידים'!A3399,REPT("0",הגדרות!$E$2)),TEXT('הדבקת לידים'!A3399,"0")),TRIM('הדבקת לידים'!A3399)))</f>
        <v/>
      </c>
      <c r="B3399" s="0" t="str">
        <f aca="false">IF('הדבקת לידים'!B3399="","",IF(ISNUMBER('הדבקת לידים'!B3399),IF(הגדרות!$E$3&gt;0,TEXT('הדבקת לידים'!B3399,REPT("0",הגדרות!$E$3)),TEXT('הדבקת לידים'!B3399,"0")),TRIM('הדבקת לידים'!B3399)))</f>
        <v/>
      </c>
      <c r="C3399" s="0" t="n">
        <f aca="false">IF(OR(A3399&lt;&gt;"",B3399&lt;&gt;""),1,0)</f>
        <v>0</v>
      </c>
      <c r="D3399" s="0" t="str">
        <f aca="false">IF(C3399=1,MOD(ABS(SIN(ROW()*12.9898+'הדבקת לידים'!$F$2*78.233+IFERROR(--RIGHT(A3399,6),LEN(A3399))*0.0137+IFERROR(--RIGHT(B3399,6),LEN(B3399))*0.0071))*43758.5453,1),"")</f>
        <v/>
      </c>
      <c r="E3399" s="0" t="str">
        <f aca="false">IF(C3399=1,INT(MOD(ABS(SIN(D3399*7919.123+ROW()*0.618+'הדבקת לידים'!$F$2*1.3))*43758.5453,1)*1000000)*10000+ROW(),"")</f>
        <v/>
      </c>
      <c r="F3399" s="0" t="str">
        <f aca="false">IF(E3399="","",RANK(E3399,$E$2:$E$5001,1))</f>
        <v/>
      </c>
      <c r="G3399" s="0" t="n">
        <f aca="false">IF(A3399="",0,IF(SUMPRODUCT(--($A$2:$A$5001=A3399))&gt;1,1,0))</f>
        <v>0</v>
      </c>
      <c r="H3399" s="0" t="n">
        <f aca="false">ROW()-1</f>
        <v>3398</v>
      </c>
      <c r="I3399" s="0" t="str">
        <f aca="false">IF(OR(הגדרות!$E$6=0,H3399&gt;הגדרות!$E$5),"",IF(H3399-1&lt;הגדרות!$E$8*(הגדרות!$E$7+1),INT((H3399-1)/(הגדרות!$E$7+1)),הגדרות!$E$8+INT((H3399-1-הגדרות!$E$8*(הגדרות!$E$7+1))/הגדרות!$E$7)))</f>
        <v/>
      </c>
      <c r="J3399" s="0" t="str">
        <f aca="false">IF(I3399="","",IF(H3399-1&lt;הגדרות!$E$8*(הגדרות!$E$7+1),MOD(H3399-1,הגדרות!$E$7+1),MOD(H3399-1-הגדרות!$E$8*(הגדרות!$E$7+1),הגדרות!$E$7)))</f>
        <v/>
      </c>
      <c r="K3399" s="0" t="str">
        <f aca="false">IF(I3399="","",J3399*הגדרות!$E$6+I3399+1)</f>
        <v/>
      </c>
      <c r="L3399" s="0" t="str">
        <f aca="false">IF(K3399="","",MATCH(K3399,$F$2:$F$5001,0))</f>
        <v/>
      </c>
      <c r="M3399" s="0" t="str">
        <f aca="false">IF(I3399="","",INDEX(הגדרות!$A$2:$A$21,MOD(I3399+הגדרות!$E$9,הגדרות!$E$6)+1))</f>
        <v/>
      </c>
    </row>
    <row r="3400" customFormat="false" ht="15" hidden="false" customHeight="false" outlineLevel="0" collapsed="false">
      <c r="A3400" s="0" t="str">
        <f aca="false">IF('הדבקת לידים'!A3400="","",IF(ISNUMBER('הדבקת לידים'!A3400),IF(הגדרות!$E$2&gt;0,TEXT('הדבקת לידים'!A3400,REPT("0",הגדרות!$E$2)),TEXT('הדבקת לידים'!A3400,"0")),TRIM('הדבקת לידים'!A3400)))</f>
        <v/>
      </c>
      <c r="B3400" s="0" t="str">
        <f aca="false">IF('הדבקת לידים'!B3400="","",IF(ISNUMBER('הדבקת לידים'!B3400),IF(הגדרות!$E$3&gt;0,TEXT('הדבקת לידים'!B3400,REPT("0",הגדרות!$E$3)),TEXT('הדבקת לידים'!B3400,"0")),TRIM('הדבקת לידים'!B3400)))</f>
        <v/>
      </c>
      <c r="C3400" s="0" t="n">
        <f aca="false">IF(OR(A3400&lt;&gt;"",B3400&lt;&gt;""),1,0)</f>
        <v>0</v>
      </c>
      <c r="D3400" s="0" t="str">
        <f aca="false">IF(C3400=1,MOD(ABS(SIN(ROW()*12.9898+'הדבקת לידים'!$F$2*78.233+IFERROR(--RIGHT(A3400,6),LEN(A3400))*0.0137+IFERROR(--RIGHT(B3400,6),LEN(B3400))*0.0071))*43758.5453,1),"")</f>
        <v/>
      </c>
      <c r="E3400" s="0" t="str">
        <f aca="false">IF(C3400=1,INT(MOD(ABS(SIN(D3400*7919.123+ROW()*0.618+'הדבקת לידים'!$F$2*1.3))*43758.5453,1)*1000000)*10000+ROW(),"")</f>
        <v/>
      </c>
      <c r="F3400" s="0" t="str">
        <f aca="false">IF(E3400="","",RANK(E3400,$E$2:$E$5001,1))</f>
        <v/>
      </c>
      <c r="G3400" s="0" t="n">
        <f aca="false">IF(A3400="",0,IF(SUMPRODUCT(--($A$2:$A$5001=A3400))&gt;1,1,0))</f>
        <v>0</v>
      </c>
      <c r="H3400" s="0" t="n">
        <f aca="false">ROW()-1</f>
        <v>3399</v>
      </c>
      <c r="I3400" s="0" t="str">
        <f aca="false">IF(OR(הגדרות!$E$6=0,H3400&gt;הגדרות!$E$5),"",IF(H3400-1&lt;הגדרות!$E$8*(הגדרות!$E$7+1),INT((H3400-1)/(הגדרות!$E$7+1)),הגדרות!$E$8+INT((H3400-1-הגדרות!$E$8*(הגדרות!$E$7+1))/הגדרות!$E$7)))</f>
        <v/>
      </c>
      <c r="J3400" s="0" t="str">
        <f aca="false">IF(I3400="","",IF(H3400-1&lt;הגדרות!$E$8*(הגדרות!$E$7+1),MOD(H3400-1,הגדרות!$E$7+1),MOD(H3400-1-הגדרות!$E$8*(הגדרות!$E$7+1),הגדרות!$E$7)))</f>
        <v/>
      </c>
      <c r="K3400" s="0" t="str">
        <f aca="false">IF(I3400="","",J3400*הגדרות!$E$6+I3400+1)</f>
        <v/>
      </c>
      <c r="L3400" s="0" t="str">
        <f aca="false">IF(K3400="","",MATCH(K3400,$F$2:$F$5001,0))</f>
        <v/>
      </c>
      <c r="M3400" s="0" t="str">
        <f aca="false">IF(I3400="","",INDEX(הגדרות!$A$2:$A$21,MOD(I3400+הגדרות!$E$9,הגדרות!$E$6)+1))</f>
        <v/>
      </c>
    </row>
    <row r="3401" customFormat="false" ht="15" hidden="false" customHeight="false" outlineLevel="0" collapsed="false">
      <c r="A3401" s="0" t="str">
        <f aca="false">IF('הדבקת לידים'!A3401="","",IF(ISNUMBER('הדבקת לידים'!A3401),IF(הגדרות!$E$2&gt;0,TEXT('הדבקת לידים'!A3401,REPT("0",הגדרות!$E$2)),TEXT('הדבקת לידים'!A3401,"0")),TRIM('הדבקת לידים'!A3401)))</f>
        <v/>
      </c>
      <c r="B3401" s="0" t="str">
        <f aca="false">IF('הדבקת לידים'!B3401="","",IF(ISNUMBER('הדבקת לידים'!B3401),IF(הגדרות!$E$3&gt;0,TEXT('הדבקת לידים'!B3401,REPT("0",הגדרות!$E$3)),TEXT('הדבקת לידים'!B3401,"0")),TRIM('הדבקת לידים'!B3401)))</f>
        <v/>
      </c>
      <c r="C3401" s="0" t="n">
        <f aca="false">IF(OR(A3401&lt;&gt;"",B3401&lt;&gt;""),1,0)</f>
        <v>0</v>
      </c>
      <c r="D3401" s="0" t="str">
        <f aca="false">IF(C3401=1,MOD(ABS(SIN(ROW()*12.9898+'הדבקת לידים'!$F$2*78.233+IFERROR(--RIGHT(A3401,6),LEN(A3401))*0.0137+IFERROR(--RIGHT(B3401,6),LEN(B3401))*0.0071))*43758.5453,1),"")</f>
        <v/>
      </c>
      <c r="E3401" s="0" t="str">
        <f aca="false">IF(C3401=1,INT(MOD(ABS(SIN(D3401*7919.123+ROW()*0.618+'הדבקת לידים'!$F$2*1.3))*43758.5453,1)*1000000)*10000+ROW(),"")</f>
        <v/>
      </c>
      <c r="F3401" s="0" t="str">
        <f aca="false">IF(E3401="","",RANK(E3401,$E$2:$E$5001,1))</f>
        <v/>
      </c>
      <c r="G3401" s="0" t="n">
        <f aca="false">IF(A3401="",0,IF(SUMPRODUCT(--($A$2:$A$5001=A3401))&gt;1,1,0))</f>
        <v>0</v>
      </c>
      <c r="H3401" s="0" t="n">
        <f aca="false">ROW()-1</f>
        <v>3400</v>
      </c>
      <c r="I3401" s="0" t="str">
        <f aca="false">IF(OR(הגדרות!$E$6=0,H3401&gt;הגדרות!$E$5),"",IF(H3401-1&lt;הגדרות!$E$8*(הגדרות!$E$7+1),INT((H3401-1)/(הגדרות!$E$7+1)),הגדרות!$E$8+INT((H3401-1-הגדרות!$E$8*(הגדרות!$E$7+1))/הגדרות!$E$7)))</f>
        <v/>
      </c>
      <c r="J3401" s="0" t="str">
        <f aca="false">IF(I3401="","",IF(H3401-1&lt;הגדרות!$E$8*(הגדרות!$E$7+1),MOD(H3401-1,הגדרות!$E$7+1),MOD(H3401-1-הגדרות!$E$8*(הגדרות!$E$7+1),הגדרות!$E$7)))</f>
        <v/>
      </c>
      <c r="K3401" s="0" t="str">
        <f aca="false">IF(I3401="","",J3401*הגדרות!$E$6+I3401+1)</f>
        <v/>
      </c>
      <c r="L3401" s="0" t="str">
        <f aca="false">IF(K3401="","",MATCH(K3401,$F$2:$F$5001,0))</f>
        <v/>
      </c>
      <c r="M3401" s="0" t="str">
        <f aca="false">IF(I3401="","",INDEX(הגדרות!$A$2:$A$21,MOD(I3401+הגדרות!$E$9,הגדרות!$E$6)+1))</f>
        <v/>
      </c>
    </row>
    <row r="3402" customFormat="false" ht="15" hidden="false" customHeight="false" outlineLevel="0" collapsed="false">
      <c r="A3402" s="0" t="str">
        <f aca="false">IF('הדבקת לידים'!A3402="","",IF(ISNUMBER('הדבקת לידים'!A3402),IF(הגדרות!$E$2&gt;0,TEXT('הדבקת לידים'!A3402,REPT("0",הגדרות!$E$2)),TEXT('הדבקת לידים'!A3402,"0")),TRIM('הדבקת לידים'!A3402)))</f>
        <v/>
      </c>
      <c r="B3402" s="0" t="str">
        <f aca="false">IF('הדבקת לידים'!B3402="","",IF(ISNUMBER('הדבקת לידים'!B3402),IF(הגדרות!$E$3&gt;0,TEXT('הדבקת לידים'!B3402,REPT("0",הגדרות!$E$3)),TEXT('הדבקת לידים'!B3402,"0")),TRIM('הדבקת לידים'!B3402)))</f>
        <v/>
      </c>
      <c r="C3402" s="0" t="n">
        <f aca="false">IF(OR(A3402&lt;&gt;"",B3402&lt;&gt;""),1,0)</f>
        <v>0</v>
      </c>
      <c r="D3402" s="0" t="str">
        <f aca="false">IF(C3402=1,MOD(ABS(SIN(ROW()*12.9898+'הדבקת לידים'!$F$2*78.233+IFERROR(--RIGHT(A3402,6),LEN(A3402))*0.0137+IFERROR(--RIGHT(B3402,6),LEN(B3402))*0.0071))*43758.5453,1),"")</f>
        <v/>
      </c>
      <c r="E3402" s="0" t="str">
        <f aca="false">IF(C3402=1,INT(MOD(ABS(SIN(D3402*7919.123+ROW()*0.618+'הדבקת לידים'!$F$2*1.3))*43758.5453,1)*1000000)*10000+ROW(),"")</f>
        <v/>
      </c>
      <c r="F3402" s="0" t="str">
        <f aca="false">IF(E3402="","",RANK(E3402,$E$2:$E$5001,1))</f>
        <v/>
      </c>
      <c r="G3402" s="0" t="n">
        <f aca="false">IF(A3402="",0,IF(SUMPRODUCT(--($A$2:$A$5001=A3402))&gt;1,1,0))</f>
        <v>0</v>
      </c>
      <c r="H3402" s="0" t="n">
        <f aca="false">ROW()-1</f>
        <v>3401</v>
      </c>
      <c r="I3402" s="0" t="str">
        <f aca="false">IF(OR(הגדרות!$E$6=0,H3402&gt;הגדרות!$E$5),"",IF(H3402-1&lt;הגדרות!$E$8*(הגדרות!$E$7+1),INT((H3402-1)/(הגדרות!$E$7+1)),הגדרות!$E$8+INT((H3402-1-הגדרות!$E$8*(הגדרות!$E$7+1))/הגדרות!$E$7)))</f>
        <v/>
      </c>
      <c r="J3402" s="0" t="str">
        <f aca="false">IF(I3402="","",IF(H3402-1&lt;הגדרות!$E$8*(הגדרות!$E$7+1),MOD(H3402-1,הגדרות!$E$7+1),MOD(H3402-1-הגדרות!$E$8*(הגדרות!$E$7+1),הגדרות!$E$7)))</f>
        <v/>
      </c>
      <c r="K3402" s="0" t="str">
        <f aca="false">IF(I3402="","",J3402*הגדרות!$E$6+I3402+1)</f>
        <v/>
      </c>
      <c r="L3402" s="0" t="str">
        <f aca="false">IF(K3402="","",MATCH(K3402,$F$2:$F$5001,0))</f>
        <v/>
      </c>
      <c r="M3402" s="0" t="str">
        <f aca="false">IF(I3402="","",INDEX(הגדרות!$A$2:$A$21,MOD(I3402+הגדרות!$E$9,הגדרות!$E$6)+1))</f>
        <v/>
      </c>
    </row>
    <row r="3403" customFormat="false" ht="15" hidden="false" customHeight="false" outlineLevel="0" collapsed="false">
      <c r="A3403" s="0" t="str">
        <f aca="false">IF('הדבקת לידים'!A3403="","",IF(ISNUMBER('הדבקת לידים'!A3403),IF(הגדרות!$E$2&gt;0,TEXT('הדבקת לידים'!A3403,REPT("0",הגדרות!$E$2)),TEXT('הדבקת לידים'!A3403,"0")),TRIM('הדבקת לידים'!A3403)))</f>
        <v/>
      </c>
      <c r="B3403" s="0" t="str">
        <f aca="false">IF('הדבקת לידים'!B3403="","",IF(ISNUMBER('הדבקת לידים'!B3403),IF(הגדרות!$E$3&gt;0,TEXT('הדבקת לידים'!B3403,REPT("0",הגדרות!$E$3)),TEXT('הדבקת לידים'!B3403,"0")),TRIM('הדבקת לידים'!B3403)))</f>
        <v/>
      </c>
      <c r="C3403" s="0" t="n">
        <f aca="false">IF(OR(A3403&lt;&gt;"",B3403&lt;&gt;""),1,0)</f>
        <v>0</v>
      </c>
      <c r="D3403" s="0" t="str">
        <f aca="false">IF(C3403=1,MOD(ABS(SIN(ROW()*12.9898+'הדבקת לידים'!$F$2*78.233+IFERROR(--RIGHT(A3403,6),LEN(A3403))*0.0137+IFERROR(--RIGHT(B3403,6),LEN(B3403))*0.0071))*43758.5453,1),"")</f>
        <v/>
      </c>
      <c r="E3403" s="0" t="str">
        <f aca="false">IF(C3403=1,INT(MOD(ABS(SIN(D3403*7919.123+ROW()*0.618+'הדבקת לידים'!$F$2*1.3))*43758.5453,1)*1000000)*10000+ROW(),"")</f>
        <v/>
      </c>
      <c r="F3403" s="0" t="str">
        <f aca="false">IF(E3403="","",RANK(E3403,$E$2:$E$5001,1))</f>
        <v/>
      </c>
      <c r="G3403" s="0" t="n">
        <f aca="false">IF(A3403="",0,IF(SUMPRODUCT(--($A$2:$A$5001=A3403))&gt;1,1,0))</f>
        <v>0</v>
      </c>
      <c r="H3403" s="0" t="n">
        <f aca="false">ROW()-1</f>
        <v>3402</v>
      </c>
      <c r="I3403" s="0" t="str">
        <f aca="false">IF(OR(הגדרות!$E$6=0,H3403&gt;הגדרות!$E$5),"",IF(H3403-1&lt;הגדרות!$E$8*(הגדרות!$E$7+1),INT((H3403-1)/(הגדרות!$E$7+1)),הגדרות!$E$8+INT((H3403-1-הגדרות!$E$8*(הגדרות!$E$7+1))/הגדרות!$E$7)))</f>
        <v/>
      </c>
      <c r="J3403" s="0" t="str">
        <f aca="false">IF(I3403="","",IF(H3403-1&lt;הגדרות!$E$8*(הגדרות!$E$7+1),MOD(H3403-1,הגדרות!$E$7+1),MOD(H3403-1-הגדרות!$E$8*(הגדרות!$E$7+1),הגדרות!$E$7)))</f>
        <v/>
      </c>
      <c r="K3403" s="0" t="str">
        <f aca="false">IF(I3403="","",J3403*הגדרות!$E$6+I3403+1)</f>
        <v/>
      </c>
      <c r="L3403" s="0" t="str">
        <f aca="false">IF(K3403="","",MATCH(K3403,$F$2:$F$5001,0))</f>
        <v/>
      </c>
      <c r="M3403" s="0" t="str">
        <f aca="false">IF(I3403="","",INDEX(הגדרות!$A$2:$A$21,MOD(I3403+הגדרות!$E$9,הגדרות!$E$6)+1))</f>
        <v/>
      </c>
    </row>
    <row r="3404" customFormat="false" ht="15" hidden="false" customHeight="false" outlineLevel="0" collapsed="false">
      <c r="A3404" s="0" t="str">
        <f aca="false">IF('הדבקת לידים'!A3404="","",IF(ISNUMBER('הדבקת לידים'!A3404),IF(הגדרות!$E$2&gt;0,TEXT('הדבקת לידים'!A3404,REPT("0",הגדרות!$E$2)),TEXT('הדבקת לידים'!A3404,"0")),TRIM('הדבקת לידים'!A3404)))</f>
        <v/>
      </c>
      <c r="B3404" s="0" t="str">
        <f aca="false">IF('הדבקת לידים'!B3404="","",IF(ISNUMBER('הדבקת לידים'!B3404),IF(הגדרות!$E$3&gt;0,TEXT('הדבקת לידים'!B3404,REPT("0",הגדרות!$E$3)),TEXT('הדבקת לידים'!B3404,"0")),TRIM('הדבקת לידים'!B3404)))</f>
        <v/>
      </c>
      <c r="C3404" s="0" t="n">
        <f aca="false">IF(OR(A3404&lt;&gt;"",B3404&lt;&gt;""),1,0)</f>
        <v>0</v>
      </c>
      <c r="D3404" s="0" t="str">
        <f aca="false">IF(C3404=1,MOD(ABS(SIN(ROW()*12.9898+'הדבקת לידים'!$F$2*78.233+IFERROR(--RIGHT(A3404,6),LEN(A3404))*0.0137+IFERROR(--RIGHT(B3404,6),LEN(B3404))*0.0071))*43758.5453,1),"")</f>
        <v/>
      </c>
      <c r="E3404" s="0" t="str">
        <f aca="false">IF(C3404=1,INT(MOD(ABS(SIN(D3404*7919.123+ROW()*0.618+'הדבקת לידים'!$F$2*1.3))*43758.5453,1)*1000000)*10000+ROW(),"")</f>
        <v/>
      </c>
      <c r="F3404" s="0" t="str">
        <f aca="false">IF(E3404="","",RANK(E3404,$E$2:$E$5001,1))</f>
        <v/>
      </c>
      <c r="G3404" s="0" t="n">
        <f aca="false">IF(A3404="",0,IF(SUMPRODUCT(--($A$2:$A$5001=A3404))&gt;1,1,0))</f>
        <v>0</v>
      </c>
      <c r="H3404" s="0" t="n">
        <f aca="false">ROW()-1</f>
        <v>3403</v>
      </c>
      <c r="I3404" s="0" t="str">
        <f aca="false">IF(OR(הגדרות!$E$6=0,H3404&gt;הגדרות!$E$5),"",IF(H3404-1&lt;הגדרות!$E$8*(הגדרות!$E$7+1),INT((H3404-1)/(הגדרות!$E$7+1)),הגדרות!$E$8+INT((H3404-1-הגדרות!$E$8*(הגדרות!$E$7+1))/הגדרות!$E$7)))</f>
        <v/>
      </c>
      <c r="J3404" s="0" t="str">
        <f aca="false">IF(I3404="","",IF(H3404-1&lt;הגדרות!$E$8*(הגדרות!$E$7+1),MOD(H3404-1,הגדרות!$E$7+1),MOD(H3404-1-הגדרות!$E$8*(הגדרות!$E$7+1),הגדרות!$E$7)))</f>
        <v/>
      </c>
      <c r="K3404" s="0" t="str">
        <f aca="false">IF(I3404="","",J3404*הגדרות!$E$6+I3404+1)</f>
        <v/>
      </c>
      <c r="L3404" s="0" t="str">
        <f aca="false">IF(K3404="","",MATCH(K3404,$F$2:$F$5001,0))</f>
        <v/>
      </c>
      <c r="M3404" s="0" t="str">
        <f aca="false">IF(I3404="","",INDEX(הגדרות!$A$2:$A$21,MOD(I3404+הגדרות!$E$9,הגדרות!$E$6)+1))</f>
        <v/>
      </c>
    </row>
    <row r="3405" customFormat="false" ht="15" hidden="false" customHeight="false" outlineLevel="0" collapsed="false">
      <c r="A3405" s="0" t="str">
        <f aca="false">IF('הדבקת לידים'!A3405="","",IF(ISNUMBER('הדבקת לידים'!A3405),IF(הגדרות!$E$2&gt;0,TEXT('הדבקת לידים'!A3405,REPT("0",הגדרות!$E$2)),TEXT('הדבקת לידים'!A3405,"0")),TRIM('הדבקת לידים'!A3405)))</f>
        <v/>
      </c>
      <c r="B3405" s="0" t="str">
        <f aca="false">IF('הדבקת לידים'!B3405="","",IF(ISNUMBER('הדבקת לידים'!B3405),IF(הגדרות!$E$3&gt;0,TEXT('הדבקת לידים'!B3405,REPT("0",הגדרות!$E$3)),TEXT('הדבקת לידים'!B3405,"0")),TRIM('הדבקת לידים'!B3405)))</f>
        <v/>
      </c>
      <c r="C3405" s="0" t="n">
        <f aca="false">IF(OR(A3405&lt;&gt;"",B3405&lt;&gt;""),1,0)</f>
        <v>0</v>
      </c>
      <c r="D3405" s="0" t="str">
        <f aca="false">IF(C3405=1,MOD(ABS(SIN(ROW()*12.9898+'הדבקת לידים'!$F$2*78.233+IFERROR(--RIGHT(A3405,6),LEN(A3405))*0.0137+IFERROR(--RIGHT(B3405,6),LEN(B3405))*0.0071))*43758.5453,1),"")</f>
        <v/>
      </c>
      <c r="E3405" s="0" t="str">
        <f aca="false">IF(C3405=1,INT(MOD(ABS(SIN(D3405*7919.123+ROW()*0.618+'הדבקת לידים'!$F$2*1.3))*43758.5453,1)*1000000)*10000+ROW(),"")</f>
        <v/>
      </c>
      <c r="F3405" s="0" t="str">
        <f aca="false">IF(E3405="","",RANK(E3405,$E$2:$E$5001,1))</f>
        <v/>
      </c>
      <c r="G3405" s="0" t="n">
        <f aca="false">IF(A3405="",0,IF(SUMPRODUCT(--($A$2:$A$5001=A3405))&gt;1,1,0))</f>
        <v>0</v>
      </c>
      <c r="H3405" s="0" t="n">
        <f aca="false">ROW()-1</f>
        <v>3404</v>
      </c>
      <c r="I3405" s="0" t="str">
        <f aca="false">IF(OR(הגדרות!$E$6=0,H3405&gt;הגדרות!$E$5),"",IF(H3405-1&lt;הגדרות!$E$8*(הגדרות!$E$7+1),INT((H3405-1)/(הגדרות!$E$7+1)),הגדרות!$E$8+INT((H3405-1-הגדרות!$E$8*(הגדרות!$E$7+1))/הגדרות!$E$7)))</f>
        <v/>
      </c>
      <c r="J3405" s="0" t="str">
        <f aca="false">IF(I3405="","",IF(H3405-1&lt;הגדרות!$E$8*(הגדרות!$E$7+1),MOD(H3405-1,הגדרות!$E$7+1),MOD(H3405-1-הגדרות!$E$8*(הגדרות!$E$7+1),הגדרות!$E$7)))</f>
        <v/>
      </c>
      <c r="K3405" s="0" t="str">
        <f aca="false">IF(I3405="","",J3405*הגדרות!$E$6+I3405+1)</f>
        <v/>
      </c>
      <c r="L3405" s="0" t="str">
        <f aca="false">IF(K3405="","",MATCH(K3405,$F$2:$F$5001,0))</f>
        <v/>
      </c>
      <c r="M3405" s="0" t="str">
        <f aca="false">IF(I3405="","",INDEX(הגדרות!$A$2:$A$21,MOD(I3405+הגדרות!$E$9,הגדרות!$E$6)+1))</f>
        <v/>
      </c>
    </row>
    <row r="3406" customFormat="false" ht="15" hidden="false" customHeight="false" outlineLevel="0" collapsed="false">
      <c r="A3406" s="0" t="str">
        <f aca="false">IF('הדבקת לידים'!A3406="","",IF(ISNUMBER('הדבקת לידים'!A3406),IF(הגדרות!$E$2&gt;0,TEXT('הדבקת לידים'!A3406,REPT("0",הגדרות!$E$2)),TEXT('הדבקת לידים'!A3406,"0")),TRIM('הדבקת לידים'!A3406)))</f>
        <v/>
      </c>
      <c r="B3406" s="0" t="str">
        <f aca="false">IF('הדבקת לידים'!B3406="","",IF(ISNUMBER('הדבקת לידים'!B3406),IF(הגדרות!$E$3&gt;0,TEXT('הדבקת לידים'!B3406,REPT("0",הגדרות!$E$3)),TEXT('הדבקת לידים'!B3406,"0")),TRIM('הדבקת לידים'!B3406)))</f>
        <v/>
      </c>
      <c r="C3406" s="0" t="n">
        <f aca="false">IF(OR(A3406&lt;&gt;"",B3406&lt;&gt;""),1,0)</f>
        <v>0</v>
      </c>
      <c r="D3406" s="0" t="str">
        <f aca="false">IF(C3406=1,MOD(ABS(SIN(ROW()*12.9898+'הדבקת לידים'!$F$2*78.233+IFERROR(--RIGHT(A3406,6),LEN(A3406))*0.0137+IFERROR(--RIGHT(B3406,6),LEN(B3406))*0.0071))*43758.5453,1),"")</f>
        <v/>
      </c>
      <c r="E3406" s="0" t="str">
        <f aca="false">IF(C3406=1,INT(MOD(ABS(SIN(D3406*7919.123+ROW()*0.618+'הדבקת לידים'!$F$2*1.3))*43758.5453,1)*1000000)*10000+ROW(),"")</f>
        <v/>
      </c>
      <c r="F3406" s="0" t="str">
        <f aca="false">IF(E3406="","",RANK(E3406,$E$2:$E$5001,1))</f>
        <v/>
      </c>
      <c r="G3406" s="0" t="n">
        <f aca="false">IF(A3406="",0,IF(SUMPRODUCT(--($A$2:$A$5001=A3406))&gt;1,1,0))</f>
        <v>0</v>
      </c>
      <c r="H3406" s="0" t="n">
        <f aca="false">ROW()-1</f>
        <v>3405</v>
      </c>
      <c r="I3406" s="0" t="str">
        <f aca="false">IF(OR(הגדרות!$E$6=0,H3406&gt;הגדרות!$E$5),"",IF(H3406-1&lt;הגדרות!$E$8*(הגדרות!$E$7+1),INT((H3406-1)/(הגדרות!$E$7+1)),הגדרות!$E$8+INT((H3406-1-הגדרות!$E$8*(הגדרות!$E$7+1))/הגדרות!$E$7)))</f>
        <v/>
      </c>
      <c r="J3406" s="0" t="str">
        <f aca="false">IF(I3406="","",IF(H3406-1&lt;הגדרות!$E$8*(הגדרות!$E$7+1),MOD(H3406-1,הגדרות!$E$7+1),MOD(H3406-1-הגדרות!$E$8*(הגדרות!$E$7+1),הגדרות!$E$7)))</f>
        <v/>
      </c>
      <c r="K3406" s="0" t="str">
        <f aca="false">IF(I3406="","",J3406*הגדרות!$E$6+I3406+1)</f>
        <v/>
      </c>
      <c r="L3406" s="0" t="str">
        <f aca="false">IF(K3406="","",MATCH(K3406,$F$2:$F$5001,0))</f>
        <v/>
      </c>
      <c r="M3406" s="0" t="str">
        <f aca="false">IF(I3406="","",INDEX(הגדרות!$A$2:$A$21,MOD(I3406+הגדרות!$E$9,הגדרות!$E$6)+1))</f>
        <v/>
      </c>
    </row>
    <row r="3407" customFormat="false" ht="15" hidden="false" customHeight="false" outlineLevel="0" collapsed="false">
      <c r="A3407" s="0" t="str">
        <f aca="false">IF('הדבקת לידים'!A3407="","",IF(ISNUMBER('הדבקת לידים'!A3407),IF(הגדרות!$E$2&gt;0,TEXT('הדבקת לידים'!A3407,REPT("0",הגדרות!$E$2)),TEXT('הדבקת לידים'!A3407,"0")),TRIM('הדבקת לידים'!A3407)))</f>
        <v/>
      </c>
      <c r="B3407" s="0" t="str">
        <f aca="false">IF('הדבקת לידים'!B3407="","",IF(ISNUMBER('הדבקת לידים'!B3407),IF(הגדרות!$E$3&gt;0,TEXT('הדבקת לידים'!B3407,REPT("0",הגדרות!$E$3)),TEXT('הדבקת לידים'!B3407,"0")),TRIM('הדבקת לידים'!B3407)))</f>
        <v/>
      </c>
      <c r="C3407" s="0" t="n">
        <f aca="false">IF(OR(A3407&lt;&gt;"",B3407&lt;&gt;""),1,0)</f>
        <v>0</v>
      </c>
      <c r="D3407" s="0" t="str">
        <f aca="false">IF(C3407=1,MOD(ABS(SIN(ROW()*12.9898+'הדבקת לידים'!$F$2*78.233+IFERROR(--RIGHT(A3407,6),LEN(A3407))*0.0137+IFERROR(--RIGHT(B3407,6),LEN(B3407))*0.0071))*43758.5453,1),"")</f>
        <v/>
      </c>
      <c r="E3407" s="0" t="str">
        <f aca="false">IF(C3407=1,INT(MOD(ABS(SIN(D3407*7919.123+ROW()*0.618+'הדבקת לידים'!$F$2*1.3))*43758.5453,1)*1000000)*10000+ROW(),"")</f>
        <v/>
      </c>
      <c r="F3407" s="0" t="str">
        <f aca="false">IF(E3407="","",RANK(E3407,$E$2:$E$5001,1))</f>
        <v/>
      </c>
      <c r="G3407" s="0" t="n">
        <f aca="false">IF(A3407="",0,IF(SUMPRODUCT(--($A$2:$A$5001=A3407))&gt;1,1,0))</f>
        <v>0</v>
      </c>
      <c r="H3407" s="0" t="n">
        <f aca="false">ROW()-1</f>
        <v>3406</v>
      </c>
      <c r="I3407" s="0" t="str">
        <f aca="false">IF(OR(הגדרות!$E$6=0,H3407&gt;הגדרות!$E$5),"",IF(H3407-1&lt;הגדרות!$E$8*(הגדרות!$E$7+1),INT((H3407-1)/(הגדרות!$E$7+1)),הגדרות!$E$8+INT((H3407-1-הגדרות!$E$8*(הגדרות!$E$7+1))/הגדרות!$E$7)))</f>
        <v/>
      </c>
      <c r="J3407" s="0" t="str">
        <f aca="false">IF(I3407="","",IF(H3407-1&lt;הגדרות!$E$8*(הגדרות!$E$7+1),MOD(H3407-1,הגדרות!$E$7+1),MOD(H3407-1-הגדרות!$E$8*(הגדרות!$E$7+1),הגדרות!$E$7)))</f>
        <v/>
      </c>
      <c r="K3407" s="0" t="str">
        <f aca="false">IF(I3407="","",J3407*הגדרות!$E$6+I3407+1)</f>
        <v/>
      </c>
      <c r="L3407" s="0" t="str">
        <f aca="false">IF(K3407="","",MATCH(K3407,$F$2:$F$5001,0))</f>
        <v/>
      </c>
      <c r="M3407" s="0" t="str">
        <f aca="false">IF(I3407="","",INDEX(הגדרות!$A$2:$A$21,MOD(I3407+הגדרות!$E$9,הגדרות!$E$6)+1))</f>
        <v/>
      </c>
    </row>
    <row r="3408" customFormat="false" ht="15" hidden="false" customHeight="false" outlineLevel="0" collapsed="false">
      <c r="A3408" s="0" t="str">
        <f aca="false">IF('הדבקת לידים'!A3408="","",IF(ISNUMBER('הדבקת לידים'!A3408),IF(הגדרות!$E$2&gt;0,TEXT('הדבקת לידים'!A3408,REPT("0",הגדרות!$E$2)),TEXT('הדבקת לידים'!A3408,"0")),TRIM('הדבקת לידים'!A3408)))</f>
        <v/>
      </c>
      <c r="B3408" s="0" t="str">
        <f aca="false">IF('הדבקת לידים'!B3408="","",IF(ISNUMBER('הדבקת לידים'!B3408),IF(הגדרות!$E$3&gt;0,TEXT('הדבקת לידים'!B3408,REPT("0",הגדרות!$E$3)),TEXT('הדבקת לידים'!B3408,"0")),TRIM('הדבקת לידים'!B3408)))</f>
        <v/>
      </c>
      <c r="C3408" s="0" t="n">
        <f aca="false">IF(OR(A3408&lt;&gt;"",B3408&lt;&gt;""),1,0)</f>
        <v>0</v>
      </c>
      <c r="D3408" s="0" t="str">
        <f aca="false">IF(C3408=1,MOD(ABS(SIN(ROW()*12.9898+'הדבקת לידים'!$F$2*78.233+IFERROR(--RIGHT(A3408,6),LEN(A3408))*0.0137+IFERROR(--RIGHT(B3408,6),LEN(B3408))*0.0071))*43758.5453,1),"")</f>
        <v/>
      </c>
      <c r="E3408" s="0" t="str">
        <f aca="false">IF(C3408=1,INT(MOD(ABS(SIN(D3408*7919.123+ROW()*0.618+'הדבקת לידים'!$F$2*1.3))*43758.5453,1)*1000000)*10000+ROW(),"")</f>
        <v/>
      </c>
      <c r="F3408" s="0" t="str">
        <f aca="false">IF(E3408="","",RANK(E3408,$E$2:$E$5001,1))</f>
        <v/>
      </c>
      <c r="G3408" s="0" t="n">
        <f aca="false">IF(A3408="",0,IF(SUMPRODUCT(--($A$2:$A$5001=A3408))&gt;1,1,0))</f>
        <v>0</v>
      </c>
      <c r="H3408" s="0" t="n">
        <f aca="false">ROW()-1</f>
        <v>3407</v>
      </c>
      <c r="I3408" s="0" t="str">
        <f aca="false">IF(OR(הגדרות!$E$6=0,H3408&gt;הגדרות!$E$5),"",IF(H3408-1&lt;הגדרות!$E$8*(הגדרות!$E$7+1),INT((H3408-1)/(הגדרות!$E$7+1)),הגדרות!$E$8+INT((H3408-1-הגדרות!$E$8*(הגדרות!$E$7+1))/הגדרות!$E$7)))</f>
        <v/>
      </c>
      <c r="J3408" s="0" t="str">
        <f aca="false">IF(I3408="","",IF(H3408-1&lt;הגדרות!$E$8*(הגדרות!$E$7+1),MOD(H3408-1,הגדרות!$E$7+1),MOD(H3408-1-הגדרות!$E$8*(הגדרות!$E$7+1),הגדרות!$E$7)))</f>
        <v/>
      </c>
      <c r="K3408" s="0" t="str">
        <f aca="false">IF(I3408="","",J3408*הגדרות!$E$6+I3408+1)</f>
        <v/>
      </c>
      <c r="L3408" s="0" t="str">
        <f aca="false">IF(K3408="","",MATCH(K3408,$F$2:$F$5001,0))</f>
        <v/>
      </c>
      <c r="M3408" s="0" t="str">
        <f aca="false">IF(I3408="","",INDEX(הגדרות!$A$2:$A$21,MOD(I3408+הגדרות!$E$9,הגדרות!$E$6)+1))</f>
        <v/>
      </c>
    </row>
    <row r="3409" customFormat="false" ht="15" hidden="false" customHeight="false" outlineLevel="0" collapsed="false">
      <c r="A3409" s="0" t="str">
        <f aca="false">IF('הדבקת לידים'!A3409="","",IF(ISNUMBER('הדבקת לידים'!A3409),IF(הגדרות!$E$2&gt;0,TEXT('הדבקת לידים'!A3409,REPT("0",הגדרות!$E$2)),TEXT('הדבקת לידים'!A3409,"0")),TRIM('הדבקת לידים'!A3409)))</f>
        <v/>
      </c>
      <c r="B3409" s="0" t="str">
        <f aca="false">IF('הדבקת לידים'!B3409="","",IF(ISNUMBER('הדבקת לידים'!B3409),IF(הגדרות!$E$3&gt;0,TEXT('הדבקת לידים'!B3409,REPT("0",הגדרות!$E$3)),TEXT('הדבקת לידים'!B3409,"0")),TRIM('הדבקת לידים'!B3409)))</f>
        <v/>
      </c>
      <c r="C3409" s="0" t="n">
        <f aca="false">IF(OR(A3409&lt;&gt;"",B3409&lt;&gt;""),1,0)</f>
        <v>0</v>
      </c>
      <c r="D3409" s="0" t="str">
        <f aca="false">IF(C3409=1,MOD(ABS(SIN(ROW()*12.9898+'הדבקת לידים'!$F$2*78.233+IFERROR(--RIGHT(A3409,6),LEN(A3409))*0.0137+IFERROR(--RIGHT(B3409,6),LEN(B3409))*0.0071))*43758.5453,1),"")</f>
        <v/>
      </c>
      <c r="E3409" s="0" t="str">
        <f aca="false">IF(C3409=1,INT(MOD(ABS(SIN(D3409*7919.123+ROW()*0.618+'הדבקת לידים'!$F$2*1.3))*43758.5453,1)*1000000)*10000+ROW(),"")</f>
        <v/>
      </c>
      <c r="F3409" s="0" t="str">
        <f aca="false">IF(E3409="","",RANK(E3409,$E$2:$E$5001,1))</f>
        <v/>
      </c>
      <c r="G3409" s="0" t="n">
        <f aca="false">IF(A3409="",0,IF(SUMPRODUCT(--($A$2:$A$5001=A3409))&gt;1,1,0))</f>
        <v>0</v>
      </c>
      <c r="H3409" s="0" t="n">
        <f aca="false">ROW()-1</f>
        <v>3408</v>
      </c>
      <c r="I3409" s="0" t="str">
        <f aca="false">IF(OR(הגדרות!$E$6=0,H3409&gt;הגדרות!$E$5),"",IF(H3409-1&lt;הגדרות!$E$8*(הגדרות!$E$7+1),INT((H3409-1)/(הגדרות!$E$7+1)),הגדרות!$E$8+INT((H3409-1-הגדרות!$E$8*(הגדרות!$E$7+1))/הגדרות!$E$7)))</f>
        <v/>
      </c>
      <c r="J3409" s="0" t="str">
        <f aca="false">IF(I3409="","",IF(H3409-1&lt;הגדרות!$E$8*(הגדרות!$E$7+1),MOD(H3409-1,הגדרות!$E$7+1),MOD(H3409-1-הגדרות!$E$8*(הגדרות!$E$7+1),הגדרות!$E$7)))</f>
        <v/>
      </c>
      <c r="K3409" s="0" t="str">
        <f aca="false">IF(I3409="","",J3409*הגדרות!$E$6+I3409+1)</f>
        <v/>
      </c>
      <c r="L3409" s="0" t="str">
        <f aca="false">IF(K3409="","",MATCH(K3409,$F$2:$F$5001,0))</f>
        <v/>
      </c>
      <c r="M3409" s="0" t="str">
        <f aca="false">IF(I3409="","",INDEX(הגדרות!$A$2:$A$21,MOD(I3409+הגדרות!$E$9,הגדרות!$E$6)+1))</f>
        <v/>
      </c>
    </row>
    <row r="3410" customFormat="false" ht="15" hidden="false" customHeight="false" outlineLevel="0" collapsed="false">
      <c r="A3410" s="0" t="str">
        <f aca="false">IF('הדבקת לידים'!A3410="","",IF(ISNUMBER('הדבקת לידים'!A3410),IF(הגדרות!$E$2&gt;0,TEXT('הדבקת לידים'!A3410,REPT("0",הגדרות!$E$2)),TEXT('הדבקת לידים'!A3410,"0")),TRIM('הדבקת לידים'!A3410)))</f>
        <v/>
      </c>
      <c r="B3410" s="0" t="str">
        <f aca="false">IF('הדבקת לידים'!B3410="","",IF(ISNUMBER('הדבקת לידים'!B3410),IF(הגדרות!$E$3&gt;0,TEXT('הדבקת לידים'!B3410,REPT("0",הגדרות!$E$3)),TEXT('הדבקת לידים'!B3410,"0")),TRIM('הדבקת לידים'!B3410)))</f>
        <v/>
      </c>
      <c r="C3410" s="0" t="n">
        <f aca="false">IF(OR(A3410&lt;&gt;"",B3410&lt;&gt;""),1,0)</f>
        <v>0</v>
      </c>
      <c r="D3410" s="0" t="str">
        <f aca="false">IF(C3410=1,MOD(ABS(SIN(ROW()*12.9898+'הדבקת לידים'!$F$2*78.233+IFERROR(--RIGHT(A3410,6),LEN(A3410))*0.0137+IFERROR(--RIGHT(B3410,6),LEN(B3410))*0.0071))*43758.5453,1),"")</f>
        <v/>
      </c>
      <c r="E3410" s="0" t="str">
        <f aca="false">IF(C3410=1,INT(MOD(ABS(SIN(D3410*7919.123+ROW()*0.618+'הדבקת לידים'!$F$2*1.3))*43758.5453,1)*1000000)*10000+ROW(),"")</f>
        <v/>
      </c>
      <c r="F3410" s="0" t="str">
        <f aca="false">IF(E3410="","",RANK(E3410,$E$2:$E$5001,1))</f>
        <v/>
      </c>
      <c r="G3410" s="0" t="n">
        <f aca="false">IF(A3410="",0,IF(SUMPRODUCT(--($A$2:$A$5001=A3410))&gt;1,1,0))</f>
        <v>0</v>
      </c>
      <c r="H3410" s="0" t="n">
        <f aca="false">ROW()-1</f>
        <v>3409</v>
      </c>
      <c r="I3410" s="0" t="str">
        <f aca="false">IF(OR(הגדרות!$E$6=0,H3410&gt;הגדרות!$E$5),"",IF(H3410-1&lt;הגדרות!$E$8*(הגדרות!$E$7+1),INT((H3410-1)/(הגדרות!$E$7+1)),הגדרות!$E$8+INT((H3410-1-הגדרות!$E$8*(הגדרות!$E$7+1))/הגדרות!$E$7)))</f>
        <v/>
      </c>
      <c r="J3410" s="0" t="str">
        <f aca="false">IF(I3410="","",IF(H3410-1&lt;הגדרות!$E$8*(הגדרות!$E$7+1),MOD(H3410-1,הגדרות!$E$7+1),MOD(H3410-1-הגדרות!$E$8*(הגדרות!$E$7+1),הגדרות!$E$7)))</f>
        <v/>
      </c>
      <c r="K3410" s="0" t="str">
        <f aca="false">IF(I3410="","",J3410*הגדרות!$E$6+I3410+1)</f>
        <v/>
      </c>
      <c r="L3410" s="0" t="str">
        <f aca="false">IF(K3410="","",MATCH(K3410,$F$2:$F$5001,0))</f>
        <v/>
      </c>
      <c r="M3410" s="0" t="str">
        <f aca="false">IF(I3410="","",INDEX(הגדרות!$A$2:$A$21,MOD(I3410+הגדרות!$E$9,הגדרות!$E$6)+1))</f>
        <v/>
      </c>
    </row>
    <row r="3411" customFormat="false" ht="15" hidden="false" customHeight="false" outlineLevel="0" collapsed="false">
      <c r="A3411" s="0" t="str">
        <f aca="false">IF('הדבקת לידים'!A3411="","",IF(ISNUMBER('הדבקת לידים'!A3411),IF(הגדרות!$E$2&gt;0,TEXT('הדבקת לידים'!A3411,REPT("0",הגדרות!$E$2)),TEXT('הדבקת לידים'!A3411,"0")),TRIM('הדבקת לידים'!A3411)))</f>
        <v/>
      </c>
      <c r="B3411" s="0" t="str">
        <f aca="false">IF('הדבקת לידים'!B3411="","",IF(ISNUMBER('הדבקת לידים'!B3411),IF(הגדרות!$E$3&gt;0,TEXT('הדבקת לידים'!B3411,REPT("0",הגדרות!$E$3)),TEXT('הדבקת לידים'!B3411,"0")),TRIM('הדבקת לידים'!B3411)))</f>
        <v/>
      </c>
      <c r="C3411" s="0" t="n">
        <f aca="false">IF(OR(A3411&lt;&gt;"",B3411&lt;&gt;""),1,0)</f>
        <v>0</v>
      </c>
      <c r="D3411" s="0" t="str">
        <f aca="false">IF(C3411=1,MOD(ABS(SIN(ROW()*12.9898+'הדבקת לידים'!$F$2*78.233+IFERROR(--RIGHT(A3411,6),LEN(A3411))*0.0137+IFERROR(--RIGHT(B3411,6),LEN(B3411))*0.0071))*43758.5453,1),"")</f>
        <v/>
      </c>
      <c r="E3411" s="0" t="str">
        <f aca="false">IF(C3411=1,INT(MOD(ABS(SIN(D3411*7919.123+ROW()*0.618+'הדבקת לידים'!$F$2*1.3))*43758.5453,1)*1000000)*10000+ROW(),"")</f>
        <v/>
      </c>
      <c r="F3411" s="0" t="str">
        <f aca="false">IF(E3411="","",RANK(E3411,$E$2:$E$5001,1))</f>
        <v/>
      </c>
      <c r="G3411" s="0" t="n">
        <f aca="false">IF(A3411="",0,IF(SUMPRODUCT(--($A$2:$A$5001=A3411))&gt;1,1,0))</f>
        <v>0</v>
      </c>
      <c r="H3411" s="0" t="n">
        <f aca="false">ROW()-1</f>
        <v>3410</v>
      </c>
      <c r="I3411" s="0" t="str">
        <f aca="false">IF(OR(הגדרות!$E$6=0,H3411&gt;הגדרות!$E$5),"",IF(H3411-1&lt;הגדרות!$E$8*(הגדרות!$E$7+1),INT((H3411-1)/(הגדרות!$E$7+1)),הגדרות!$E$8+INT((H3411-1-הגדרות!$E$8*(הגדרות!$E$7+1))/הגדרות!$E$7)))</f>
        <v/>
      </c>
      <c r="J3411" s="0" t="str">
        <f aca="false">IF(I3411="","",IF(H3411-1&lt;הגדרות!$E$8*(הגדרות!$E$7+1),MOD(H3411-1,הגדרות!$E$7+1),MOD(H3411-1-הגדרות!$E$8*(הגדרות!$E$7+1),הגדרות!$E$7)))</f>
        <v/>
      </c>
      <c r="K3411" s="0" t="str">
        <f aca="false">IF(I3411="","",J3411*הגדרות!$E$6+I3411+1)</f>
        <v/>
      </c>
      <c r="L3411" s="0" t="str">
        <f aca="false">IF(K3411="","",MATCH(K3411,$F$2:$F$5001,0))</f>
        <v/>
      </c>
      <c r="M3411" s="0" t="str">
        <f aca="false">IF(I3411="","",INDEX(הגדרות!$A$2:$A$21,MOD(I3411+הגדרות!$E$9,הגדרות!$E$6)+1))</f>
        <v/>
      </c>
    </row>
    <row r="3412" customFormat="false" ht="15" hidden="false" customHeight="false" outlineLevel="0" collapsed="false">
      <c r="A3412" s="0" t="str">
        <f aca="false">IF('הדבקת לידים'!A3412="","",IF(ISNUMBER('הדבקת לידים'!A3412),IF(הגדרות!$E$2&gt;0,TEXT('הדבקת לידים'!A3412,REPT("0",הגדרות!$E$2)),TEXT('הדבקת לידים'!A3412,"0")),TRIM('הדבקת לידים'!A3412)))</f>
        <v/>
      </c>
      <c r="B3412" s="0" t="str">
        <f aca="false">IF('הדבקת לידים'!B3412="","",IF(ISNUMBER('הדבקת לידים'!B3412),IF(הגדרות!$E$3&gt;0,TEXT('הדבקת לידים'!B3412,REPT("0",הגדרות!$E$3)),TEXT('הדבקת לידים'!B3412,"0")),TRIM('הדבקת לידים'!B3412)))</f>
        <v/>
      </c>
      <c r="C3412" s="0" t="n">
        <f aca="false">IF(OR(A3412&lt;&gt;"",B3412&lt;&gt;""),1,0)</f>
        <v>0</v>
      </c>
      <c r="D3412" s="0" t="str">
        <f aca="false">IF(C3412=1,MOD(ABS(SIN(ROW()*12.9898+'הדבקת לידים'!$F$2*78.233+IFERROR(--RIGHT(A3412,6),LEN(A3412))*0.0137+IFERROR(--RIGHT(B3412,6),LEN(B3412))*0.0071))*43758.5453,1),"")</f>
        <v/>
      </c>
      <c r="E3412" s="0" t="str">
        <f aca="false">IF(C3412=1,INT(MOD(ABS(SIN(D3412*7919.123+ROW()*0.618+'הדבקת לידים'!$F$2*1.3))*43758.5453,1)*1000000)*10000+ROW(),"")</f>
        <v/>
      </c>
      <c r="F3412" s="0" t="str">
        <f aca="false">IF(E3412="","",RANK(E3412,$E$2:$E$5001,1))</f>
        <v/>
      </c>
      <c r="G3412" s="0" t="n">
        <f aca="false">IF(A3412="",0,IF(SUMPRODUCT(--($A$2:$A$5001=A3412))&gt;1,1,0))</f>
        <v>0</v>
      </c>
      <c r="H3412" s="0" t="n">
        <f aca="false">ROW()-1</f>
        <v>3411</v>
      </c>
      <c r="I3412" s="0" t="str">
        <f aca="false">IF(OR(הגדרות!$E$6=0,H3412&gt;הגדרות!$E$5),"",IF(H3412-1&lt;הגדרות!$E$8*(הגדרות!$E$7+1),INT((H3412-1)/(הגדרות!$E$7+1)),הגדרות!$E$8+INT((H3412-1-הגדרות!$E$8*(הגדרות!$E$7+1))/הגדרות!$E$7)))</f>
        <v/>
      </c>
      <c r="J3412" s="0" t="str">
        <f aca="false">IF(I3412="","",IF(H3412-1&lt;הגדרות!$E$8*(הגדרות!$E$7+1),MOD(H3412-1,הגדרות!$E$7+1),MOD(H3412-1-הגדרות!$E$8*(הגדרות!$E$7+1),הגדרות!$E$7)))</f>
        <v/>
      </c>
      <c r="K3412" s="0" t="str">
        <f aca="false">IF(I3412="","",J3412*הגדרות!$E$6+I3412+1)</f>
        <v/>
      </c>
      <c r="L3412" s="0" t="str">
        <f aca="false">IF(K3412="","",MATCH(K3412,$F$2:$F$5001,0))</f>
        <v/>
      </c>
      <c r="M3412" s="0" t="str">
        <f aca="false">IF(I3412="","",INDEX(הגדרות!$A$2:$A$21,MOD(I3412+הגדרות!$E$9,הגדרות!$E$6)+1))</f>
        <v/>
      </c>
    </row>
    <row r="3413" customFormat="false" ht="15" hidden="false" customHeight="false" outlineLevel="0" collapsed="false">
      <c r="A3413" s="0" t="str">
        <f aca="false">IF('הדבקת לידים'!A3413="","",IF(ISNUMBER('הדבקת לידים'!A3413),IF(הגדרות!$E$2&gt;0,TEXT('הדבקת לידים'!A3413,REPT("0",הגדרות!$E$2)),TEXT('הדבקת לידים'!A3413,"0")),TRIM('הדבקת לידים'!A3413)))</f>
        <v/>
      </c>
      <c r="B3413" s="0" t="str">
        <f aca="false">IF('הדבקת לידים'!B3413="","",IF(ISNUMBER('הדבקת לידים'!B3413),IF(הגדרות!$E$3&gt;0,TEXT('הדבקת לידים'!B3413,REPT("0",הגדרות!$E$3)),TEXT('הדבקת לידים'!B3413,"0")),TRIM('הדבקת לידים'!B3413)))</f>
        <v/>
      </c>
      <c r="C3413" s="0" t="n">
        <f aca="false">IF(OR(A3413&lt;&gt;"",B3413&lt;&gt;""),1,0)</f>
        <v>0</v>
      </c>
      <c r="D3413" s="0" t="str">
        <f aca="false">IF(C3413=1,MOD(ABS(SIN(ROW()*12.9898+'הדבקת לידים'!$F$2*78.233+IFERROR(--RIGHT(A3413,6),LEN(A3413))*0.0137+IFERROR(--RIGHT(B3413,6),LEN(B3413))*0.0071))*43758.5453,1),"")</f>
        <v/>
      </c>
      <c r="E3413" s="0" t="str">
        <f aca="false">IF(C3413=1,INT(MOD(ABS(SIN(D3413*7919.123+ROW()*0.618+'הדבקת לידים'!$F$2*1.3))*43758.5453,1)*1000000)*10000+ROW(),"")</f>
        <v/>
      </c>
      <c r="F3413" s="0" t="str">
        <f aca="false">IF(E3413="","",RANK(E3413,$E$2:$E$5001,1))</f>
        <v/>
      </c>
      <c r="G3413" s="0" t="n">
        <f aca="false">IF(A3413="",0,IF(SUMPRODUCT(--($A$2:$A$5001=A3413))&gt;1,1,0))</f>
        <v>0</v>
      </c>
      <c r="H3413" s="0" t="n">
        <f aca="false">ROW()-1</f>
        <v>3412</v>
      </c>
      <c r="I3413" s="0" t="str">
        <f aca="false">IF(OR(הגדרות!$E$6=0,H3413&gt;הגדרות!$E$5),"",IF(H3413-1&lt;הגדרות!$E$8*(הגדרות!$E$7+1),INT((H3413-1)/(הגדרות!$E$7+1)),הגדרות!$E$8+INT((H3413-1-הגדרות!$E$8*(הגדרות!$E$7+1))/הגדרות!$E$7)))</f>
        <v/>
      </c>
      <c r="J3413" s="0" t="str">
        <f aca="false">IF(I3413="","",IF(H3413-1&lt;הגדרות!$E$8*(הגדרות!$E$7+1),MOD(H3413-1,הגדרות!$E$7+1),MOD(H3413-1-הגדרות!$E$8*(הגדרות!$E$7+1),הגדרות!$E$7)))</f>
        <v/>
      </c>
      <c r="K3413" s="0" t="str">
        <f aca="false">IF(I3413="","",J3413*הגדרות!$E$6+I3413+1)</f>
        <v/>
      </c>
      <c r="L3413" s="0" t="str">
        <f aca="false">IF(K3413="","",MATCH(K3413,$F$2:$F$5001,0))</f>
        <v/>
      </c>
      <c r="M3413" s="0" t="str">
        <f aca="false">IF(I3413="","",INDEX(הגדרות!$A$2:$A$21,MOD(I3413+הגדרות!$E$9,הגדרות!$E$6)+1))</f>
        <v/>
      </c>
    </row>
    <row r="3414" customFormat="false" ht="15" hidden="false" customHeight="false" outlineLevel="0" collapsed="false">
      <c r="A3414" s="0" t="str">
        <f aca="false">IF('הדבקת לידים'!A3414="","",IF(ISNUMBER('הדבקת לידים'!A3414),IF(הגדרות!$E$2&gt;0,TEXT('הדבקת לידים'!A3414,REPT("0",הגדרות!$E$2)),TEXT('הדבקת לידים'!A3414,"0")),TRIM('הדבקת לידים'!A3414)))</f>
        <v/>
      </c>
      <c r="B3414" s="0" t="str">
        <f aca="false">IF('הדבקת לידים'!B3414="","",IF(ISNUMBER('הדבקת לידים'!B3414),IF(הגדרות!$E$3&gt;0,TEXT('הדבקת לידים'!B3414,REPT("0",הגדרות!$E$3)),TEXT('הדבקת לידים'!B3414,"0")),TRIM('הדבקת לידים'!B3414)))</f>
        <v/>
      </c>
      <c r="C3414" s="0" t="n">
        <f aca="false">IF(OR(A3414&lt;&gt;"",B3414&lt;&gt;""),1,0)</f>
        <v>0</v>
      </c>
      <c r="D3414" s="0" t="str">
        <f aca="false">IF(C3414=1,MOD(ABS(SIN(ROW()*12.9898+'הדבקת לידים'!$F$2*78.233+IFERROR(--RIGHT(A3414,6),LEN(A3414))*0.0137+IFERROR(--RIGHT(B3414,6),LEN(B3414))*0.0071))*43758.5453,1),"")</f>
        <v/>
      </c>
      <c r="E3414" s="0" t="str">
        <f aca="false">IF(C3414=1,INT(MOD(ABS(SIN(D3414*7919.123+ROW()*0.618+'הדבקת לידים'!$F$2*1.3))*43758.5453,1)*1000000)*10000+ROW(),"")</f>
        <v/>
      </c>
      <c r="F3414" s="0" t="str">
        <f aca="false">IF(E3414="","",RANK(E3414,$E$2:$E$5001,1))</f>
        <v/>
      </c>
      <c r="G3414" s="0" t="n">
        <f aca="false">IF(A3414="",0,IF(SUMPRODUCT(--($A$2:$A$5001=A3414))&gt;1,1,0))</f>
        <v>0</v>
      </c>
      <c r="H3414" s="0" t="n">
        <f aca="false">ROW()-1</f>
        <v>3413</v>
      </c>
      <c r="I3414" s="0" t="str">
        <f aca="false">IF(OR(הגדרות!$E$6=0,H3414&gt;הגדרות!$E$5),"",IF(H3414-1&lt;הגדרות!$E$8*(הגדרות!$E$7+1),INT((H3414-1)/(הגדרות!$E$7+1)),הגדרות!$E$8+INT((H3414-1-הגדרות!$E$8*(הגדרות!$E$7+1))/הגדרות!$E$7)))</f>
        <v/>
      </c>
      <c r="J3414" s="0" t="str">
        <f aca="false">IF(I3414="","",IF(H3414-1&lt;הגדרות!$E$8*(הגדרות!$E$7+1),MOD(H3414-1,הגדרות!$E$7+1),MOD(H3414-1-הגדרות!$E$8*(הגדרות!$E$7+1),הגדרות!$E$7)))</f>
        <v/>
      </c>
      <c r="K3414" s="0" t="str">
        <f aca="false">IF(I3414="","",J3414*הגדרות!$E$6+I3414+1)</f>
        <v/>
      </c>
      <c r="L3414" s="0" t="str">
        <f aca="false">IF(K3414="","",MATCH(K3414,$F$2:$F$5001,0))</f>
        <v/>
      </c>
      <c r="M3414" s="0" t="str">
        <f aca="false">IF(I3414="","",INDEX(הגדרות!$A$2:$A$21,MOD(I3414+הגדרות!$E$9,הגדרות!$E$6)+1))</f>
        <v/>
      </c>
    </row>
    <row r="3415" customFormat="false" ht="15" hidden="false" customHeight="false" outlineLevel="0" collapsed="false">
      <c r="A3415" s="0" t="str">
        <f aca="false">IF('הדבקת לידים'!A3415="","",IF(ISNUMBER('הדבקת לידים'!A3415),IF(הגדרות!$E$2&gt;0,TEXT('הדבקת לידים'!A3415,REPT("0",הגדרות!$E$2)),TEXT('הדבקת לידים'!A3415,"0")),TRIM('הדבקת לידים'!A3415)))</f>
        <v/>
      </c>
      <c r="B3415" s="0" t="str">
        <f aca="false">IF('הדבקת לידים'!B3415="","",IF(ISNUMBER('הדבקת לידים'!B3415),IF(הגדרות!$E$3&gt;0,TEXT('הדבקת לידים'!B3415,REPT("0",הגדרות!$E$3)),TEXT('הדבקת לידים'!B3415,"0")),TRIM('הדבקת לידים'!B3415)))</f>
        <v/>
      </c>
      <c r="C3415" s="0" t="n">
        <f aca="false">IF(OR(A3415&lt;&gt;"",B3415&lt;&gt;""),1,0)</f>
        <v>0</v>
      </c>
      <c r="D3415" s="0" t="str">
        <f aca="false">IF(C3415=1,MOD(ABS(SIN(ROW()*12.9898+'הדבקת לידים'!$F$2*78.233+IFERROR(--RIGHT(A3415,6),LEN(A3415))*0.0137+IFERROR(--RIGHT(B3415,6),LEN(B3415))*0.0071))*43758.5453,1),"")</f>
        <v/>
      </c>
      <c r="E3415" s="0" t="str">
        <f aca="false">IF(C3415=1,INT(MOD(ABS(SIN(D3415*7919.123+ROW()*0.618+'הדבקת לידים'!$F$2*1.3))*43758.5453,1)*1000000)*10000+ROW(),"")</f>
        <v/>
      </c>
      <c r="F3415" s="0" t="str">
        <f aca="false">IF(E3415="","",RANK(E3415,$E$2:$E$5001,1))</f>
        <v/>
      </c>
      <c r="G3415" s="0" t="n">
        <f aca="false">IF(A3415="",0,IF(SUMPRODUCT(--($A$2:$A$5001=A3415))&gt;1,1,0))</f>
        <v>0</v>
      </c>
      <c r="H3415" s="0" t="n">
        <f aca="false">ROW()-1</f>
        <v>3414</v>
      </c>
      <c r="I3415" s="0" t="str">
        <f aca="false">IF(OR(הגדרות!$E$6=0,H3415&gt;הגדרות!$E$5),"",IF(H3415-1&lt;הגדרות!$E$8*(הגדרות!$E$7+1),INT((H3415-1)/(הגדרות!$E$7+1)),הגדרות!$E$8+INT((H3415-1-הגדרות!$E$8*(הגדרות!$E$7+1))/הגדרות!$E$7)))</f>
        <v/>
      </c>
      <c r="J3415" s="0" t="str">
        <f aca="false">IF(I3415="","",IF(H3415-1&lt;הגדרות!$E$8*(הגדרות!$E$7+1),MOD(H3415-1,הגדרות!$E$7+1),MOD(H3415-1-הגדרות!$E$8*(הגדרות!$E$7+1),הגדרות!$E$7)))</f>
        <v/>
      </c>
      <c r="K3415" s="0" t="str">
        <f aca="false">IF(I3415="","",J3415*הגדרות!$E$6+I3415+1)</f>
        <v/>
      </c>
      <c r="L3415" s="0" t="str">
        <f aca="false">IF(K3415="","",MATCH(K3415,$F$2:$F$5001,0))</f>
        <v/>
      </c>
      <c r="M3415" s="0" t="str">
        <f aca="false">IF(I3415="","",INDEX(הגדרות!$A$2:$A$21,MOD(I3415+הגדרות!$E$9,הגדרות!$E$6)+1))</f>
        <v/>
      </c>
    </row>
    <row r="3416" customFormat="false" ht="15" hidden="false" customHeight="false" outlineLevel="0" collapsed="false">
      <c r="A3416" s="0" t="str">
        <f aca="false">IF('הדבקת לידים'!A3416="","",IF(ISNUMBER('הדבקת לידים'!A3416),IF(הגדרות!$E$2&gt;0,TEXT('הדבקת לידים'!A3416,REPT("0",הגדרות!$E$2)),TEXT('הדבקת לידים'!A3416,"0")),TRIM('הדבקת לידים'!A3416)))</f>
        <v/>
      </c>
      <c r="B3416" s="0" t="str">
        <f aca="false">IF('הדבקת לידים'!B3416="","",IF(ISNUMBER('הדבקת לידים'!B3416),IF(הגדרות!$E$3&gt;0,TEXT('הדבקת לידים'!B3416,REPT("0",הגדרות!$E$3)),TEXT('הדבקת לידים'!B3416,"0")),TRIM('הדבקת לידים'!B3416)))</f>
        <v/>
      </c>
      <c r="C3416" s="0" t="n">
        <f aca="false">IF(OR(A3416&lt;&gt;"",B3416&lt;&gt;""),1,0)</f>
        <v>0</v>
      </c>
      <c r="D3416" s="0" t="str">
        <f aca="false">IF(C3416=1,MOD(ABS(SIN(ROW()*12.9898+'הדבקת לידים'!$F$2*78.233+IFERROR(--RIGHT(A3416,6),LEN(A3416))*0.0137+IFERROR(--RIGHT(B3416,6),LEN(B3416))*0.0071))*43758.5453,1),"")</f>
        <v/>
      </c>
      <c r="E3416" s="0" t="str">
        <f aca="false">IF(C3416=1,INT(MOD(ABS(SIN(D3416*7919.123+ROW()*0.618+'הדבקת לידים'!$F$2*1.3))*43758.5453,1)*1000000)*10000+ROW(),"")</f>
        <v/>
      </c>
      <c r="F3416" s="0" t="str">
        <f aca="false">IF(E3416="","",RANK(E3416,$E$2:$E$5001,1))</f>
        <v/>
      </c>
      <c r="G3416" s="0" t="n">
        <f aca="false">IF(A3416="",0,IF(SUMPRODUCT(--($A$2:$A$5001=A3416))&gt;1,1,0))</f>
        <v>0</v>
      </c>
      <c r="H3416" s="0" t="n">
        <f aca="false">ROW()-1</f>
        <v>3415</v>
      </c>
      <c r="I3416" s="0" t="str">
        <f aca="false">IF(OR(הגדרות!$E$6=0,H3416&gt;הגדרות!$E$5),"",IF(H3416-1&lt;הגדרות!$E$8*(הגדרות!$E$7+1),INT((H3416-1)/(הגדרות!$E$7+1)),הגדרות!$E$8+INT((H3416-1-הגדרות!$E$8*(הגדרות!$E$7+1))/הגדרות!$E$7)))</f>
        <v/>
      </c>
      <c r="J3416" s="0" t="str">
        <f aca="false">IF(I3416="","",IF(H3416-1&lt;הגדרות!$E$8*(הגדרות!$E$7+1),MOD(H3416-1,הגדרות!$E$7+1),MOD(H3416-1-הגדרות!$E$8*(הגדרות!$E$7+1),הגדרות!$E$7)))</f>
        <v/>
      </c>
      <c r="K3416" s="0" t="str">
        <f aca="false">IF(I3416="","",J3416*הגדרות!$E$6+I3416+1)</f>
        <v/>
      </c>
      <c r="L3416" s="0" t="str">
        <f aca="false">IF(K3416="","",MATCH(K3416,$F$2:$F$5001,0))</f>
        <v/>
      </c>
      <c r="M3416" s="0" t="str">
        <f aca="false">IF(I3416="","",INDEX(הגדרות!$A$2:$A$21,MOD(I3416+הגדרות!$E$9,הגדרות!$E$6)+1))</f>
        <v/>
      </c>
    </row>
    <row r="3417" customFormat="false" ht="15" hidden="false" customHeight="false" outlineLevel="0" collapsed="false">
      <c r="A3417" s="0" t="str">
        <f aca="false">IF('הדבקת לידים'!A3417="","",IF(ISNUMBER('הדבקת לידים'!A3417),IF(הגדרות!$E$2&gt;0,TEXT('הדבקת לידים'!A3417,REPT("0",הגדרות!$E$2)),TEXT('הדבקת לידים'!A3417,"0")),TRIM('הדבקת לידים'!A3417)))</f>
        <v/>
      </c>
      <c r="B3417" s="0" t="str">
        <f aca="false">IF('הדבקת לידים'!B3417="","",IF(ISNUMBER('הדבקת לידים'!B3417),IF(הגדרות!$E$3&gt;0,TEXT('הדבקת לידים'!B3417,REPT("0",הגדרות!$E$3)),TEXT('הדבקת לידים'!B3417,"0")),TRIM('הדבקת לידים'!B3417)))</f>
        <v/>
      </c>
      <c r="C3417" s="0" t="n">
        <f aca="false">IF(OR(A3417&lt;&gt;"",B3417&lt;&gt;""),1,0)</f>
        <v>0</v>
      </c>
      <c r="D3417" s="0" t="str">
        <f aca="false">IF(C3417=1,MOD(ABS(SIN(ROW()*12.9898+'הדבקת לידים'!$F$2*78.233+IFERROR(--RIGHT(A3417,6),LEN(A3417))*0.0137+IFERROR(--RIGHT(B3417,6),LEN(B3417))*0.0071))*43758.5453,1),"")</f>
        <v/>
      </c>
      <c r="E3417" s="0" t="str">
        <f aca="false">IF(C3417=1,INT(MOD(ABS(SIN(D3417*7919.123+ROW()*0.618+'הדבקת לידים'!$F$2*1.3))*43758.5453,1)*1000000)*10000+ROW(),"")</f>
        <v/>
      </c>
      <c r="F3417" s="0" t="str">
        <f aca="false">IF(E3417="","",RANK(E3417,$E$2:$E$5001,1))</f>
        <v/>
      </c>
      <c r="G3417" s="0" t="n">
        <f aca="false">IF(A3417="",0,IF(SUMPRODUCT(--($A$2:$A$5001=A3417))&gt;1,1,0))</f>
        <v>0</v>
      </c>
      <c r="H3417" s="0" t="n">
        <f aca="false">ROW()-1</f>
        <v>3416</v>
      </c>
      <c r="I3417" s="0" t="str">
        <f aca="false">IF(OR(הגדרות!$E$6=0,H3417&gt;הגדרות!$E$5),"",IF(H3417-1&lt;הגדרות!$E$8*(הגדרות!$E$7+1),INT((H3417-1)/(הגדרות!$E$7+1)),הגדרות!$E$8+INT((H3417-1-הגדרות!$E$8*(הגדרות!$E$7+1))/הגדרות!$E$7)))</f>
        <v/>
      </c>
      <c r="J3417" s="0" t="str">
        <f aca="false">IF(I3417="","",IF(H3417-1&lt;הגדרות!$E$8*(הגדרות!$E$7+1),MOD(H3417-1,הגדרות!$E$7+1),MOD(H3417-1-הגדרות!$E$8*(הגדרות!$E$7+1),הגדרות!$E$7)))</f>
        <v/>
      </c>
      <c r="K3417" s="0" t="str">
        <f aca="false">IF(I3417="","",J3417*הגדרות!$E$6+I3417+1)</f>
        <v/>
      </c>
      <c r="L3417" s="0" t="str">
        <f aca="false">IF(K3417="","",MATCH(K3417,$F$2:$F$5001,0))</f>
        <v/>
      </c>
      <c r="M3417" s="0" t="str">
        <f aca="false">IF(I3417="","",INDEX(הגדרות!$A$2:$A$21,MOD(I3417+הגדרות!$E$9,הגדרות!$E$6)+1))</f>
        <v/>
      </c>
    </row>
    <row r="3418" customFormat="false" ht="15" hidden="false" customHeight="false" outlineLevel="0" collapsed="false">
      <c r="A3418" s="0" t="str">
        <f aca="false">IF('הדבקת לידים'!A3418="","",IF(ISNUMBER('הדבקת לידים'!A3418),IF(הגדרות!$E$2&gt;0,TEXT('הדבקת לידים'!A3418,REPT("0",הגדרות!$E$2)),TEXT('הדבקת לידים'!A3418,"0")),TRIM('הדבקת לידים'!A3418)))</f>
        <v/>
      </c>
      <c r="B3418" s="0" t="str">
        <f aca="false">IF('הדבקת לידים'!B3418="","",IF(ISNUMBER('הדבקת לידים'!B3418),IF(הגדרות!$E$3&gt;0,TEXT('הדבקת לידים'!B3418,REPT("0",הגדרות!$E$3)),TEXT('הדבקת לידים'!B3418,"0")),TRIM('הדבקת לידים'!B3418)))</f>
        <v/>
      </c>
      <c r="C3418" s="0" t="n">
        <f aca="false">IF(OR(A3418&lt;&gt;"",B3418&lt;&gt;""),1,0)</f>
        <v>0</v>
      </c>
      <c r="D3418" s="0" t="str">
        <f aca="false">IF(C3418=1,MOD(ABS(SIN(ROW()*12.9898+'הדבקת לידים'!$F$2*78.233+IFERROR(--RIGHT(A3418,6),LEN(A3418))*0.0137+IFERROR(--RIGHT(B3418,6),LEN(B3418))*0.0071))*43758.5453,1),"")</f>
        <v/>
      </c>
      <c r="E3418" s="0" t="str">
        <f aca="false">IF(C3418=1,INT(MOD(ABS(SIN(D3418*7919.123+ROW()*0.618+'הדבקת לידים'!$F$2*1.3))*43758.5453,1)*1000000)*10000+ROW(),"")</f>
        <v/>
      </c>
      <c r="F3418" s="0" t="str">
        <f aca="false">IF(E3418="","",RANK(E3418,$E$2:$E$5001,1))</f>
        <v/>
      </c>
      <c r="G3418" s="0" t="n">
        <f aca="false">IF(A3418="",0,IF(SUMPRODUCT(--($A$2:$A$5001=A3418))&gt;1,1,0))</f>
        <v>0</v>
      </c>
      <c r="H3418" s="0" t="n">
        <f aca="false">ROW()-1</f>
        <v>3417</v>
      </c>
      <c r="I3418" s="0" t="str">
        <f aca="false">IF(OR(הגדרות!$E$6=0,H3418&gt;הגדרות!$E$5),"",IF(H3418-1&lt;הגדרות!$E$8*(הגדרות!$E$7+1),INT((H3418-1)/(הגדרות!$E$7+1)),הגדרות!$E$8+INT((H3418-1-הגדרות!$E$8*(הגדרות!$E$7+1))/הגדרות!$E$7)))</f>
        <v/>
      </c>
      <c r="J3418" s="0" t="str">
        <f aca="false">IF(I3418="","",IF(H3418-1&lt;הגדרות!$E$8*(הגדרות!$E$7+1),MOD(H3418-1,הגדרות!$E$7+1),MOD(H3418-1-הגדרות!$E$8*(הגדרות!$E$7+1),הגדרות!$E$7)))</f>
        <v/>
      </c>
      <c r="K3418" s="0" t="str">
        <f aca="false">IF(I3418="","",J3418*הגדרות!$E$6+I3418+1)</f>
        <v/>
      </c>
      <c r="L3418" s="0" t="str">
        <f aca="false">IF(K3418="","",MATCH(K3418,$F$2:$F$5001,0))</f>
        <v/>
      </c>
      <c r="M3418" s="0" t="str">
        <f aca="false">IF(I3418="","",INDEX(הגדרות!$A$2:$A$21,MOD(I3418+הגדרות!$E$9,הגדרות!$E$6)+1))</f>
        <v/>
      </c>
    </row>
    <row r="3419" customFormat="false" ht="15" hidden="false" customHeight="false" outlineLevel="0" collapsed="false">
      <c r="A3419" s="0" t="str">
        <f aca="false">IF('הדבקת לידים'!A3419="","",IF(ISNUMBER('הדבקת לידים'!A3419),IF(הגדרות!$E$2&gt;0,TEXT('הדבקת לידים'!A3419,REPT("0",הגדרות!$E$2)),TEXT('הדבקת לידים'!A3419,"0")),TRIM('הדבקת לידים'!A3419)))</f>
        <v/>
      </c>
      <c r="B3419" s="0" t="str">
        <f aca="false">IF('הדבקת לידים'!B3419="","",IF(ISNUMBER('הדבקת לידים'!B3419),IF(הגדרות!$E$3&gt;0,TEXT('הדבקת לידים'!B3419,REPT("0",הגדרות!$E$3)),TEXT('הדבקת לידים'!B3419,"0")),TRIM('הדבקת לידים'!B3419)))</f>
        <v/>
      </c>
      <c r="C3419" s="0" t="n">
        <f aca="false">IF(OR(A3419&lt;&gt;"",B3419&lt;&gt;""),1,0)</f>
        <v>0</v>
      </c>
      <c r="D3419" s="0" t="str">
        <f aca="false">IF(C3419=1,MOD(ABS(SIN(ROW()*12.9898+'הדבקת לידים'!$F$2*78.233+IFERROR(--RIGHT(A3419,6),LEN(A3419))*0.0137+IFERROR(--RIGHT(B3419,6),LEN(B3419))*0.0071))*43758.5453,1),"")</f>
        <v/>
      </c>
      <c r="E3419" s="0" t="str">
        <f aca="false">IF(C3419=1,INT(MOD(ABS(SIN(D3419*7919.123+ROW()*0.618+'הדבקת לידים'!$F$2*1.3))*43758.5453,1)*1000000)*10000+ROW(),"")</f>
        <v/>
      </c>
      <c r="F3419" s="0" t="str">
        <f aca="false">IF(E3419="","",RANK(E3419,$E$2:$E$5001,1))</f>
        <v/>
      </c>
      <c r="G3419" s="0" t="n">
        <f aca="false">IF(A3419="",0,IF(SUMPRODUCT(--($A$2:$A$5001=A3419))&gt;1,1,0))</f>
        <v>0</v>
      </c>
      <c r="H3419" s="0" t="n">
        <f aca="false">ROW()-1</f>
        <v>3418</v>
      </c>
      <c r="I3419" s="0" t="str">
        <f aca="false">IF(OR(הגדרות!$E$6=0,H3419&gt;הגדרות!$E$5),"",IF(H3419-1&lt;הגדרות!$E$8*(הגדרות!$E$7+1),INT((H3419-1)/(הגדרות!$E$7+1)),הגדרות!$E$8+INT((H3419-1-הגדרות!$E$8*(הגדרות!$E$7+1))/הגדרות!$E$7)))</f>
        <v/>
      </c>
      <c r="J3419" s="0" t="str">
        <f aca="false">IF(I3419="","",IF(H3419-1&lt;הגדרות!$E$8*(הגדרות!$E$7+1),MOD(H3419-1,הגדרות!$E$7+1),MOD(H3419-1-הגדרות!$E$8*(הגדרות!$E$7+1),הגדרות!$E$7)))</f>
        <v/>
      </c>
      <c r="K3419" s="0" t="str">
        <f aca="false">IF(I3419="","",J3419*הגדרות!$E$6+I3419+1)</f>
        <v/>
      </c>
      <c r="L3419" s="0" t="str">
        <f aca="false">IF(K3419="","",MATCH(K3419,$F$2:$F$5001,0))</f>
        <v/>
      </c>
      <c r="M3419" s="0" t="str">
        <f aca="false">IF(I3419="","",INDEX(הגדרות!$A$2:$A$21,MOD(I3419+הגדרות!$E$9,הגדרות!$E$6)+1))</f>
        <v/>
      </c>
    </row>
    <row r="3420" customFormat="false" ht="15" hidden="false" customHeight="false" outlineLevel="0" collapsed="false">
      <c r="A3420" s="0" t="str">
        <f aca="false">IF('הדבקת לידים'!A3420="","",IF(ISNUMBER('הדבקת לידים'!A3420),IF(הגדרות!$E$2&gt;0,TEXT('הדבקת לידים'!A3420,REPT("0",הגדרות!$E$2)),TEXT('הדבקת לידים'!A3420,"0")),TRIM('הדבקת לידים'!A3420)))</f>
        <v/>
      </c>
      <c r="B3420" s="0" t="str">
        <f aca="false">IF('הדבקת לידים'!B3420="","",IF(ISNUMBER('הדבקת לידים'!B3420),IF(הגדרות!$E$3&gt;0,TEXT('הדבקת לידים'!B3420,REPT("0",הגדרות!$E$3)),TEXT('הדבקת לידים'!B3420,"0")),TRIM('הדבקת לידים'!B3420)))</f>
        <v/>
      </c>
      <c r="C3420" s="0" t="n">
        <f aca="false">IF(OR(A3420&lt;&gt;"",B3420&lt;&gt;""),1,0)</f>
        <v>0</v>
      </c>
      <c r="D3420" s="0" t="str">
        <f aca="false">IF(C3420=1,MOD(ABS(SIN(ROW()*12.9898+'הדבקת לידים'!$F$2*78.233+IFERROR(--RIGHT(A3420,6),LEN(A3420))*0.0137+IFERROR(--RIGHT(B3420,6),LEN(B3420))*0.0071))*43758.5453,1),"")</f>
        <v/>
      </c>
      <c r="E3420" s="0" t="str">
        <f aca="false">IF(C3420=1,INT(MOD(ABS(SIN(D3420*7919.123+ROW()*0.618+'הדבקת לידים'!$F$2*1.3))*43758.5453,1)*1000000)*10000+ROW(),"")</f>
        <v/>
      </c>
      <c r="F3420" s="0" t="str">
        <f aca="false">IF(E3420="","",RANK(E3420,$E$2:$E$5001,1))</f>
        <v/>
      </c>
      <c r="G3420" s="0" t="n">
        <f aca="false">IF(A3420="",0,IF(SUMPRODUCT(--($A$2:$A$5001=A3420))&gt;1,1,0))</f>
        <v>0</v>
      </c>
      <c r="H3420" s="0" t="n">
        <f aca="false">ROW()-1</f>
        <v>3419</v>
      </c>
      <c r="I3420" s="0" t="str">
        <f aca="false">IF(OR(הגדרות!$E$6=0,H3420&gt;הגדרות!$E$5),"",IF(H3420-1&lt;הגדרות!$E$8*(הגדרות!$E$7+1),INT((H3420-1)/(הגדרות!$E$7+1)),הגדרות!$E$8+INT((H3420-1-הגדרות!$E$8*(הגדרות!$E$7+1))/הגדרות!$E$7)))</f>
        <v/>
      </c>
      <c r="J3420" s="0" t="str">
        <f aca="false">IF(I3420="","",IF(H3420-1&lt;הגדרות!$E$8*(הגדרות!$E$7+1),MOD(H3420-1,הגדרות!$E$7+1),MOD(H3420-1-הגדרות!$E$8*(הגדרות!$E$7+1),הגדרות!$E$7)))</f>
        <v/>
      </c>
      <c r="K3420" s="0" t="str">
        <f aca="false">IF(I3420="","",J3420*הגדרות!$E$6+I3420+1)</f>
        <v/>
      </c>
      <c r="L3420" s="0" t="str">
        <f aca="false">IF(K3420="","",MATCH(K3420,$F$2:$F$5001,0))</f>
        <v/>
      </c>
      <c r="M3420" s="0" t="str">
        <f aca="false">IF(I3420="","",INDEX(הגדרות!$A$2:$A$21,MOD(I3420+הגדרות!$E$9,הגדרות!$E$6)+1))</f>
        <v/>
      </c>
    </row>
    <row r="3421" customFormat="false" ht="15" hidden="false" customHeight="false" outlineLevel="0" collapsed="false">
      <c r="A3421" s="0" t="str">
        <f aca="false">IF('הדבקת לידים'!A3421="","",IF(ISNUMBER('הדבקת לידים'!A3421),IF(הגדרות!$E$2&gt;0,TEXT('הדבקת לידים'!A3421,REPT("0",הגדרות!$E$2)),TEXT('הדבקת לידים'!A3421,"0")),TRIM('הדבקת לידים'!A3421)))</f>
        <v/>
      </c>
      <c r="B3421" s="0" t="str">
        <f aca="false">IF('הדבקת לידים'!B3421="","",IF(ISNUMBER('הדבקת לידים'!B3421),IF(הגדרות!$E$3&gt;0,TEXT('הדבקת לידים'!B3421,REPT("0",הגדרות!$E$3)),TEXT('הדבקת לידים'!B3421,"0")),TRIM('הדבקת לידים'!B3421)))</f>
        <v/>
      </c>
      <c r="C3421" s="0" t="n">
        <f aca="false">IF(OR(A3421&lt;&gt;"",B3421&lt;&gt;""),1,0)</f>
        <v>0</v>
      </c>
      <c r="D3421" s="0" t="str">
        <f aca="false">IF(C3421=1,MOD(ABS(SIN(ROW()*12.9898+'הדבקת לידים'!$F$2*78.233+IFERROR(--RIGHT(A3421,6),LEN(A3421))*0.0137+IFERROR(--RIGHT(B3421,6),LEN(B3421))*0.0071))*43758.5453,1),"")</f>
        <v/>
      </c>
      <c r="E3421" s="0" t="str">
        <f aca="false">IF(C3421=1,INT(MOD(ABS(SIN(D3421*7919.123+ROW()*0.618+'הדבקת לידים'!$F$2*1.3))*43758.5453,1)*1000000)*10000+ROW(),"")</f>
        <v/>
      </c>
      <c r="F3421" s="0" t="str">
        <f aca="false">IF(E3421="","",RANK(E3421,$E$2:$E$5001,1))</f>
        <v/>
      </c>
      <c r="G3421" s="0" t="n">
        <f aca="false">IF(A3421="",0,IF(SUMPRODUCT(--($A$2:$A$5001=A3421))&gt;1,1,0))</f>
        <v>0</v>
      </c>
      <c r="H3421" s="0" t="n">
        <f aca="false">ROW()-1</f>
        <v>3420</v>
      </c>
      <c r="I3421" s="0" t="str">
        <f aca="false">IF(OR(הגדרות!$E$6=0,H3421&gt;הגדרות!$E$5),"",IF(H3421-1&lt;הגדרות!$E$8*(הגדרות!$E$7+1),INT((H3421-1)/(הגדרות!$E$7+1)),הגדרות!$E$8+INT((H3421-1-הגדרות!$E$8*(הגדרות!$E$7+1))/הגדרות!$E$7)))</f>
        <v/>
      </c>
      <c r="J3421" s="0" t="str">
        <f aca="false">IF(I3421="","",IF(H3421-1&lt;הגדרות!$E$8*(הגדרות!$E$7+1),MOD(H3421-1,הגדרות!$E$7+1),MOD(H3421-1-הגדרות!$E$8*(הגדרות!$E$7+1),הגדרות!$E$7)))</f>
        <v/>
      </c>
      <c r="K3421" s="0" t="str">
        <f aca="false">IF(I3421="","",J3421*הגדרות!$E$6+I3421+1)</f>
        <v/>
      </c>
      <c r="L3421" s="0" t="str">
        <f aca="false">IF(K3421="","",MATCH(K3421,$F$2:$F$5001,0))</f>
        <v/>
      </c>
      <c r="M3421" s="0" t="str">
        <f aca="false">IF(I3421="","",INDEX(הגדרות!$A$2:$A$21,MOD(I3421+הגדרות!$E$9,הגדרות!$E$6)+1))</f>
        <v/>
      </c>
    </row>
    <row r="3422" customFormat="false" ht="15" hidden="false" customHeight="false" outlineLevel="0" collapsed="false">
      <c r="A3422" s="0" t="str">
        <f aca="false">IF('הדבקת לידים'!A3422="","",IF(ISNUMBER('הדבקת לידים'!A3422),IF(הגדרות!$E$2&gt;0,TEXT('הדבקת לידים'!A3422,REPT("0",הגדרות!$E$2)),TEXT('הדבקת לידים'!A3422,"0")),TRIM('הדבקת לידים'!A3422)))</f>
        <v/>
      </c>
      <c r="B3422" s="0" t="str">
        <f aca="false">IF('הדבקת לידים'!B3422="","",IF(ISNUMBER('הדבקת לידים'!B3422),IF(הגדרות!$E$3&gt;0,TEXT('הדבקת לידים'!B3422,REPT("0",הגדרות!$E$3)),TEXT('הדבקת לידים'!B3422,"0")),TRIM('הדבקת לידים'!B3422)))</f>
        <v/>
      </c>
      <c r="C3422" s="0" t="n">
        <f aca="false">IF(OR(A3422&lt;&gt;"",B3422&lt;&gt;""),1,0)</f>
        <v>0</v>
      </c>
      <c r="D3422" s="0" t="str">
        <f aca="false">IF(C3422=1,MOD(ABS(SIN(ROW()*12.9898+'הדבקת לידים'!$F$2*78.233+IFERROR(--RIGHT(A3422,6),LEN(A3422))*0.0137+IFERROR(--RIGHT(B3422,6),LEN(B3422))*0.0071))*43758.5453,1),"")</f>
        <v/>
      </c>
      <c r="E3422" s="0" t="str">
        <f aca="false">IF(C3422=1,INT(MOD(ABS(SIN(D3422*7919.123+ROW()*0.618+'הדבקת לידים'!$F$2*1.3))*43758.5453,1)*1000000)*10000+ROW(),"")</f>
        <v/>
      </c>
      <c r="F3422" s="0" t="str">
        <f aca="false">IF(E3422="","",RANK(E3422,$E$2:$E$5001,1))</f>
        <v/>
      </c>
      <c r="G3422" s="0" t="n">
        <f aca="false">IF(A3422="",0,IF(SUMPRODUCT(--($A$2:$A$5001=A3422))&gt;1,1,0))</f>
        <v>0</v>
      </c>
      <c r="H3422" s="0" t="n">
        <f aca="false">ROW()-1</f>
        <v>3421</v>
      </c>
      <c r="I3422" s="0" t="str">
        <f aca="false">IF(OR(הגדרות!$E$6=0,H3422&gt;הגדרות!$E$5),"",IF(H3422-1&lt;הגדרות!$E$8*(הגדרות!$E$7+1),INT((H3422-1)/(הגדרות!$E$7+1)),הגדרות!$E$8+INT((H3422-1-הגדרות!$E$8*(הגדרות!$E$7+1))/הגדרות!$E$7)))</f>
        <v/>
      </c>
      <c r="J3422" s="0" t="str">
        <f aca="false">IF(I3422="","",IF(H3422-1&lt;הגדרות!$E$8*(הגדרות!$E$7+1),MOD(H3422-1,הגדרות!$E$7+1),MOD(H3422-1-הגדרות!$E$8*(הגדרות!$E$7+1),הגדרות!$E$7)))</f>
        <v/>
      </c>
      <c r="K3422" s="0" t="str">
        <f aca="false">IF(I3422="","",J3422*הגדרות!$E$6+I3422+1)</f>
        <v/>
      </c>
      <c r="L3422" s="0" t="str">
        <f aca="false">IF(K3422="","",MATCH(K3422,$F$2:$F$5001,0))</f>
        <v/>
      </c>
      <c r="M3422" s="0" t="str">
        <f aca="false">IF(I3422="","",INDEX(הגדרות!$A$2:$A$21,MOD(I3422+הגדרות!$E$9,הגדרות!$E$6)+1))</f>
        <v/>
      </c>
    </row>
    <row r="3423" customFormat="false" ht="15" hidden="false" customHeight="false" outlineLevel="0" collapsed="false">
      <c r="A3423" s="0" t="str">
        <f aca="false">IF('הדבקת לידים'!A3423="","",IF(ISNUMBER('הדבקת לידים'!A3423),IF(הגדרות!$E$2&gt;0,TEXT('הדבקת לידים'!A3423,REPT("0",הגדרות!$E$2)),TEXT('הדבקת לידים'!A3423,"0")),TRIM('הדבקת לידים'!A3423)))</f>
        <v/>
      </c>
      <c r="B3423" s="0" t="str">
        <f aca="false">IF('הדבקת לידים'!B3423="","",IF(ISNUMBER('הדבקת לידים'!B3423),IF(הגדרות!$E$3&gt;0,TEXT('הדבקת לידים'!B3423,REPT("0",הגדרות!$E$3)),TEXT('הדבקת לידים'!B3423,"0")),TRIM('הדבקת לידים'!B3423)))</f>
        <v/>
      </c>
      <c r="C3423" s="0" t="n">
        <f aca="false">IF(OR(A3423&lt;&gt;"",B3423&lt;&gt;""),1,0)</f>
        <v>0</v>
      </c>
      <c r="D3423" s="0" t="str">
        <f aca="false">IF(C3423=1,MOD(ABS(SIN(ROW()*12.9898+'הדבקת לידים'!$F$2*78.233+IFERROR(--RIGHT(A3423,6),LEN(A3423))*0.0137+IFERROR(--RIGHT(B3423,6),LEN(B3423))*0.0071))*43758.5453,1),"")</f>
        <v/>
      </c>
      <c r="E3423" s="0" t="str">
        <f aca="false">IF(C3423=1,INT(MOD(ABS(SIN(D3423*7919.123+ROW()*0.618+'הדבקת לידים'!$F$2*1.3))*43758.5453,1)*1000000)*10000+ROW(),"")</f>
        <v/>
      </c>
      <c r="F3423" s="0" t="str">
        <f aca="false">IF(E3423="","",RANK(E3423,$E$2:$E$5001,1))</f>
        <v/>
      </c>
      <c r="G3423" s="0" t="n">
        <f aca="false">IF(A3423="",0,IF(SUMPRODUCT(--($A$2:$A$5001=A3423))&gt;1,1,0))</f>
        <v>0</v>
      </c>
      <c r="H3423" s="0" t="n">
        <f aca="false">ROW()-1</f>
        <v>3422</v>
      </c>
      <c r="I3423" s="0" t="str">
        <f aca="false">IF(OR(הגדרות!$E$6=0,H3423&gt;הגדרות!$E$5),"",IF(H3423-1&lt;הגדרות!$E$8*(הגדרות!$E$7+1),INT((H3423-1)/(הגדרות!$E$7+1)),הגדרות!$E$8+INT((H3423-1-הגדרות!$E$8*(הגדרות!$E$7+1))/הגדרות!$E$7)))</f>
        <v/>
      </c>
      <c r="J3423" s="0" t="str">
        <f aca="false">IF(I3423="","",IF(H3423-1&lt;הגדרות!$E$8*(הגדרות!$E$7+1),MOD(H3423-1,הגדרות!$E$7+1),MOD(H3423-1-הגדרות!$E$8*(הגדרות!$E$7+1),הגדרות!$E$7)))</f>
        <v/>
      </c>
      <c r="K3423" s="0" t="str">
        <f aca="false">IF(I3423="","",J3423*הגדרות!$E$6+I3423+1)</f>
        <v/>
      </c>
      <c r="L3423" s="0" t="str">
        <f aca="false">IF(K3423="","",MATCH(K3423,$F$2:$F$5001,0))</f>
        <v/>
      </c>
      <c r="M3423" s="0" t="str">
        <f aca="false">IF(I3423="","",INDEX(הגדרות!$A$2:$A$21,MOD(I3423+הגדרות!$E$9,הגדרות!$E$6)+1))</f>
        <v/>
      </c>
    </row>
    <row r="3424" customFormat="false" ht="15" hidden="false" customHeight="false" outlineLevel="0" collapsed="false">
      <c r="A3424" s="0" t="str">
        <f aca="false">IF('הדבקת לידים'!A3424="","",IF(ISNUMBER('הדבקת לידים'!A3424),IF(הגדרות!$E$2&gt;0,TEXT('הדבקת לידים'!A3424,REPT("0",הגדרות!$E$2)),TEXT('הדבקת לידים'!A3424,"0")),TRIM('הדבקת לידים'!A3424)))</f>
        <v/>
      </c>
      <c r="B3424" s="0" t="str">
        <f aca="false">IF('הדבקת לידים'!B3424="","",IF(ISNUMBER('הדבקת לידים'!B3424),IF(הגדרות!$E$3&gt;0,TEXT('הדבקת לידים'!B3424,REPT("0",הגדרות!$E$3)),TEXT('הדבקת לידים'!B3424,"0")),TRIM('הדבקת לידים'!B3424)))</f>
        <v/>
      </c>
      <c r="C3424" s="0" t="n">
        <f aca="false">IF(OR(A3424&lt;&gt;"",B3424&lt;&gt;""),1,0)</f>
        <v>0</v>
      </c>
      <c r="D3424" s="0" t="str">
        <f aca="false">IF(C3424=1,MOD(ABS(SIN(ROW()*12.9898+'הדבקת לידים'!$F$2*78.233+IFERROR(--RIGHT(A3424,6),LEN(A3424))*0.0137+IFERROR(--RIGHT(B3424,6),LEN(B3424))*0.0071))*43758.5453,1),"")</f>
        <v/>
      </c>
      <c r="E3424" s="0" t="str">
        <f aca="false">IF(C3424=1,INT(MOD(ABS(SIN(D3424*7919.123+ROW()*0.618+'הדבקת לידים'!$F$2*1.3))*43758.5453,1)*1000000)*10000+ROW(),"")</f>
        <v/>
      </c>
      <c r="F3424" s="0" t="str">
        <f aca="false">IF(E3424="","",RANK(E3424,$E$2:$E$5001,1))</f>
        <v/>
      </c>
      <c r="G3424" s="0" t="n">
        <f aca="false">IF(A3424="",0,IF(SUMPRODUCT(--($A$2:$A$5001=A3424))&gt;1,1,0))</f>
        <v>0</v>
      </c>
      <c r="H3424" s="0" t="n">
        <f aca="false">ROW()-1</f>
        <v>3423</v>
      </c>
      <c r="I3424" s="0" t="str">
        <f aca="false">IF(OR(הגדרות!$E$6=0,H3424&gt;הגדרות!$E$5),"",IF(H3424-1&lt;הגדרות!$E$8*(הגדרות!$E$7+1),INT((H3424-1)/(הגדרות!$E$7+1)),הגדרות!$E$8+INT((H3424-1-הגדרות!$E$8*(הגדרות!$E$7+1))/הגדרות!$E$7)))</f>
        <v/>
      </c>
      <c r="J3424" s="0" t="str">
        <f aca="false">IF(I3424="","",IF(H3424-1&lt;הגדרות!$E$8*(הגדרות!$E$7+1),MOD(H3424-1,הגדרות!$E$7+1),MOD(H3424-1-הגדרות!$E$8*(הגדרות!$E$7+1),הגדרות!$E$7)))</f>
        <v/>
      </c>
      <c r="K3424" s="0" t="str">
        <f aca="false">IF(I3424="","",J3424*הגדרות!$E$6+I3424+1)</f>
        <v/>
      </c>
      <c r="L3424" s="0" t="str">
        <f aca="false">IF(K3424="","",MATCH(K3424,$F$2:$F$5001,0))</f>
        <v/>
      </c>
      <c r="M3424" s="0" t="str">
        <f aca="false">IF(I3424="","",INDEX(הגדרות!$A$2:$A$21,MOD(I3424+הגדרות!$E$9,הגדרות!$E$6)+1))</f>
        <v/>
      </c>
    </row>
    <row r="3425" customFormat="false" ht="15" hidden="false" customHeight="false" outlineLevel="0" collapsed="false">
      <c r="A3425" s="0" t="str">
        <f aca="false">IF('הדבקת לידים'!A3425="","",IF(ISNUMBER('הדבקת לידים'!A3425),IF(הגדרות!$E$2&gt;0,TEXT('הדבקת לידים'!A3425,REPT("0",הגדרות!$E$2)),TEXT('הדבקת לידים'!A3425,"0")),TRIM('הדבקת לידים'!A3425)))</f>
        <v/>
      </c>
      <c r="B3425" s="0" t="str">
        <f aca="false">IF('הדבקת לידים'!B3425="","",IF(ISNUMBER('הדבקת לידים'!B3425),IF(הגדרות!$E$3&gt;0,TEXT('הדבקת לידים'!B3425,REPT("0",הגדרות!$E$3)),TEXT('הדבקת לידים'!B3425,"0")),TRIM('הדבקת לידים'!B3425)))</f>
        <v/>
      </c>
      <c r="C3425" s="0" t="n">
        <f aca="false">IF(OR(A3425&lt;&gt;"",B3425&lt;&gt;""),1,0)</f>
        <v>0</v>
      </c>
      <c r="D3425" s="0" t="str">
        <f aca="false">IF(C3425=1,MOD(ABS(SIN(ROW()*12.9898+'הדבקת לידים'!$F$2*78.233+IFERROR(--RIGHT(A3425,6),LEN(A3425))*0.0137+IFERROR(--RIGHT(B3425,6),LEN(B3425))*0.0071))*43758.5453,1),"")</f>
        <v/>
      </c>
      <c r="E3425" s="0" t="str">
        <f aca="false">IF(C3425=1,INT(MOD(ABS(SIN(D3425*7919.123+ROW()*0.618+'הדבקת לידים'!$F$2*1.3))*43758.5453,1)*1000000)*10000+ROW(),"")</f>
        <v/>
      </c>
      <c r="F3425" s="0" t="str">
        <f aca="false">IF(E3425="","",RANK(E3425,$E$2:$E$5001,1))</f>
        <v/>
      </c>
      <c r="G3425" s="0" t="n">
        <f aca="false">IF(A3425="",0,IF(SUMPRODUCT(--($A$2:$A$5001=A3425))&gt;1,1,0))</f>
        <v>0</v>
      </c>
      <c r="H3425" s="0" t="n">
        <f aca="false">ROW()-1</f>
        <v>3424</v>
      </c>
      <c r="I3425" s="0" t="str">
        <f aca="false">IF(OR(הגדרות!$E$6=0,H3425&gt;הגדרות!$E$5),"",IF(H3425-1&lt;הגדרות!$E$8*(הגדרות!$E$7+1),INT((H3425-1)/(הגדרות!$E$7+1)),הגדרות!$E$8+INT((H3425-1-הגדרות!$E$8*(הגדרות!$E$7+1))/הגדרות!$E$7)))</f>
        <v/>
      </c>
      <c r="J3425" s="0" t="str">
        <f aca="false">IF(I3425="","",IF(H3425-1&lt;הגדרות!$E$8*(הגדרות!$E$7+1),MOD(H3425-1,הגדרות!$E$7+1),MOD(H3425-1-הגדרות!$E$8*(הגדרות!$E$7+1),הגדרות!$E$7)))</f>
        <v/>
      </c>
      <c r="K3425" s="0" t="str">
        <f aca="false">IF(I3425="","",J3425*הגדרות!$E$6+I3425+1)</f>
        <v/>
      </c>
      <c r="L3425" s="0" t="str">
        <f aca="false">IF(K3425="","",MATCH(K3425,$F$2:$F$5001,0))</f>
        <v/>
      </c>
      <c r="M3425" s="0" t="str">
        <f aca="false">IF(I3425="","",INDEX(הגדרות!$A$2:$A$21,MOD(I3425+הגדרות!$E$9,הגדרות!$E$6)+1))</f>
        <v/>
      </c>
    </row>
    <row r="3426" customFormat="false" ht="15" hidden="false" customHeight="false" outlineLevel="0" collapsed="false">
      <c r="A3426" s="0" t="str">
        <f aca="false">IF('הדבקת לידים'!A3426="","",IF(ISNUMBER('הדבקת לידים'!A3426),IF(הגדרות!$E$2&gt;0,TEXT('הדבקת לידים'!A3426,REPT("0",הגדרות!$E$2)),TEXT('הדבקת לידים'!A3426,"0")),TRIM('הדבקת לידים'!A3426)))</f>
        <v/>
      </c>
      <c r="B3426" s="0" t="str">
        <f aca="false">IF('הדבקת לידים'!B3426="","",IF(ISNUMBER('הדבקת לידים'!B3426),IF(הגדרות!$E$3&gt;0,TEXT('הדבקת לידים'!B3426,REPT("0",הגדרות!$E$3)),TEXT('הדבקת לידים'!B3426,"0")),TRIM('הדבקת לידים'!B3426)))</f>
        <v/>
      </c>
      <c r="C3426" s="0" t="n">
        <f aca="false">IF(OR(A3426&lt;&gt;"",B3426&lt;&gt;""),1,0)</f>
        <v>0</v>
      </c>
      <c r="D3426" s="0" t="str">
        <f aca="false">IF(C3426=1,MOD(ABS(SIN(ROW()*12.9898+'הדבקת לידים'!$F$2*78.233+IFERROR(--RIGHT(A3426,6),LEN(A3426))*0.0137+IFERROR(--RIGHT(B3426,6),LEN(B3426))*0.0071))*43758.5453,1),"")</f>
        <v/>
      </c>
      <c r="E3426" s="0" t="str">
        <f aca="false">IF(C3426=1,INT(MOD(ABS(SIN(D3426*7919.123+ROW()*0.618+'הדבקת לידים'!$F$2*1.3))*43758.5453,1)*1000000)*10000+ROW(),"")</f>
        <v/>
      </c>
      <c r="F3426" s="0" t="str">
        <f aca="false">IF(E3426="","",RANK(E3426,$E$2:$E$5001,1))</f>
        <v/>
      </c>
      <c r="G3426" s="0" t="n">
        <f aca="false">IF(A3426="",0,IF(SUMPRODUCT(--($A$2:$A$5001=A3426))&gt;1,1,0))</f>
        <v>0</v>
      </c>
      <c r="H3426" s="0" t="n">
        <f aca="false">ROW()-1</f>
        <v>3425</v>
      </c>
      <c r="I3426" s="0" t="str">
        <f aca="false">IF(OR(הגדרות!$E$6=0,H3426&gt;הגדרות!$E$5),"",IF(H3426-1&lt;הגדרות!$E$8*(הגדרות!$E$7+1),INT((H3426-1)/(הגדרות!$E$7+1)),הגדרות!$E$8+INT((H3426-1-הגדרות!$E$8*(הגדרות!$E$7+1))/הגדרות!$E$7)))</f>
        <v/>
      </c>
      <c r="J3426" s="0" t="str">
        <f aca="false">IF(I3426="","",IF(H3426-1&lt;הגדרות!$E$8*(הגדרות!$E$7+1),MOD(H3426-1,הגדרות!$E$7+1),MOD(H3426-1-הגדרות!$E$8*(הגדרות!$E$7+1),הגדרות!$E$7)))</f>
        <v/>
      </c>
      <c r="K3426" s="0" t="str">
        <f aca="false">IF(I3426="","",J3426*הגדרות!$E$6+I3426+1)</f>
        <v/>
      </c>
      <c r="L3426" s="0" t="str">
        <f aca="false">IF(K3426="","",MATCH(K3426,$F$2:$F$5001,0))</f>
        <v/>
      </c>
      <c r="M3426" s="0" t="str">
        <f aca="false">IF(I3426="","",INDEX(הגדרות!$A$2:$A$21,MOD(I3426+הגדרות!$E$9,הגדרות!$E$6)+1))</f>
        <v/>
      </c>
    </row>
    <row r="3427" customFormat="false" ht="15" hidden="false" customHeight="false" outlineLevel="0" collapsed="false">
      <c r="A3427" s="0" t="str">
        <f aca="false">IF('הדבקת לידים'!A3427="","",IF(ISNUMBER('הדבקת לידים'!A3427),IF(הגדרות!$E$2&gt;0,TEXT('הדבקת לידים'!A3427,REPT("0",הגדרות!$E$2)),TEXT('הדבקת לידים'!A3427,"0")),TRIM('הדבקת לידים'!A3427)))</f>
        <v/>
      </c>
      <c r="B3427" s="0" t="str">
        <f aca="false">IF('הדבקת לידים'!B3427="","",IF(ISNUMBER('הדבקת לידים'!B3427),IF(הגדרות!$E$3&gt;0,TEXT('הדבקת לידים'!B3427,REPT("0",הגדרות!$E$3)),TEXT('הדבקת לידים'!B3427,"0")),TRIM('הדבקת לידים'!B3427)))</f>
        <v/>
      </c>
      <c r="C3427" s="0" t="n">
        <f aca="false">IF(OR(A3427&lt;&gt;"",B3427&lt;&gt;""),1,0)</f>
        <v>0</v>
      </c>
      <c r="D3427" s="0" t="str">
        <f aca="false">IF(C3427=1,MOD(ABS(SIN(ROW()*12.9898+'הדבקת לידים'!$F$2*78.233+IFERROR(--RIGHT(A3427,6),LEN(A3427))*0.0137+IFERROR(--RIGHT(B3427,6),LEN(B3427))*0.0071))*43758.5453,1),"")</f>
        <v/>
      </c>
      <c r="E3427" s="0" t="str">
        <f aca="false">IF(C3427=1,INT(MOD(ABS(SIN(D3427*7919.123+ROW()*0.618+'הדבקת לידים'!$F$2*1.3))*43758.5453,1)*1000000)*10000+ROW(),"")</f>
        <v/>
      </c>
      <c r="F3427" s="0" t="str">
        <f aca="false">IF(E3427="","",RANK(E3427,$E$2:$E$5001,1))</f>
        <v/>
      </c>
      <c r="G3427" s="0" t="n">
        <f aca="false">IF(A3427="",0,IF(SUMPRODUCT(--($A$2:$A$5001=A3427))&gt;1,1,0))</f>
        <v>0</v>
      </c>
      <c r="H3427" s="0" t="n">
        <f aca="false">ROW()-1</f>
        <v>3426</v>
      </c>
      <c r="I3427" s="0" t="str">
        <f aca="false">IF(OR(הגדרות!$E$6=0,H3427&gt;הגדרות!$E$5),"",IF(H3427-1&lt;הגדרות!$E$8*(הגדרות!$E$7+1),INT((H3427-1)/(הגדרות!$E$7+1)),הגדרות!$E$8+INT((H3427-1-הגדרות!$E$8*(הגדרות!$E$7+1))/הגדרות!$E$7)))</f>
        <v/>
      </c>
      <c r="J3427" s="0" t="str">
        <f aca="false">IF(I3427="","",IF(H3427-1&lt;הגדרות!$E$8*(הגדרות!$E$7+1),MOD(H3427-1,הגדרות!$E$7+1),MOD(H3427-1-הגדרות!$E$8*(הגדרות!$E$7+1),הגדרות!$E$7)))</f>
        <v/>
      </c>
      <c r="K3427" s="0" t="str">
        <f aca="false">IF(I3427="","",J3427*הגדרות!$E$6+I3427+1)</f>
        <v/>
      </c>
      <c r="L3427" s="0" t="str">
        <f aca="false">IF(K3427="","",MATCH(K3427,$F$2:$F$5001,0))</f>
        <v/>
      </c>
      <c r="M3427" s="0" t="str">
        <f aca="false">IF(I3427="","",INDEX(הגדרות!$A$2:$A$21,MOD(I3427+הגדרות!$E$9,הגדרות!$E$6)+1))</f>
        <v/>
      </c>
    </row>
    <row r="3428" customFormat="false" ht="15" hidden="false" customHeight="false" outlineLevel="0" collapsed="false">
      <c r="A3428" s="0" t="str">
        <f aca="false">IF('הדבקת לידים'!A3428="","",IF(ISNUMBER('הדבקת לידים'!A3428),IF(הגדרות!$E$2&gt;0,TEXT('הדבקת לידים'!A3428,REPT("0",הגדרות!$E$2)),TEXT('הדבקת לידים'!A3428,"0")),TRIM('הדבקת לידים'!A3428)))</f>
        <v/>
      </c>
      <c r="B3428" s="0" t="str">
        <f aca="false">IF('הדבקת לידים'!B3428="","",IF(ISNUMBER('הדבקת לידים'!B3428),IF(הגדרות!$E$3&gt;0,TEXT('הדבקת לידים'!B3428,REPT("0",הגדרות!$E$3)),TEXT('הדבקת לידים'!B3428,"0")),TRIM('הדבקת לידים'!B3428)))</f>
        <v/>
      </c>
      <c r="C3428" s="0" t="n">
        <f aca="false">IF(OR(A3428&lt;&gt;"",B3428&lt;&gt;""),1,0)</f>
        <v>0</v>
      </c>
      <c r="D3428" s="0" t="str">
        <f aca="false">IF(C3428=1,MOD(ABS(SIN(ROW()*12.9898+'הדבקת לידים'!$F$2*78.233+IFERROR(--RIGHT(A3428,6),LEN(A3428))*0.0137+IFERROR(--RIGHT(B3428,6),LEN(B3428))*0.0071))*43758.5453,1),"")</f>
        <v/>
      </c>
      <c r="E3428" s="0" t="str">
        <f aca="false">IF(C3428=1,INT(MOD(ABS(SIN(D3428*7919.123+ROW()*0.618+'הדבקת לידים'!$F$2*1.3))*43758.5453,1)*1000000)*10000+ROW(),"")</f>
        <v/>
      </c>
      <c r="F3428" s="0" t="str">
        <f aca="false">IF(E3428="","",RANK(E3428,$E$2:$E$5001,1))</f>
        <v/>
      </c>
      <c r="G3428" s="0" t="n">
        <f aca="false">IF(A3428="",0,IF(SUMPRODUCT(--($A$2:$A$5001=A3428))&gt;1,1,0))</f>
        <v>0</v>
      </c>
      <c r="H3428" s="0" t="n">
        <f aca="false">ROW()-1</f>
        <v>3427</v>
      </c>
      <c r="I3428" s="0" t="str">
        <f aca="false">IF(OR(הגדרות!$E$6=0,H3428&gt;הגדרות!$E$5),"",IF(H3428-1&lt;הגדרות!$E$8*(הגדרות!$E$7+1),INT((H3428-1)/(הגדרות!$E$7+1)),הגדרות!$E$8+INT((H3428-1-הגדרות!$E$8*(הגדרות!$E$7+1))/הגדרות!$E$7)))</f>
        <v/>
      </c>
      <c r="J3428" s="0" t="str">
        <f aca="false">IF(I3428="","",IF(H3428-1&lt;הגדרות!$E$8*(הגדרות!$E$7+1),MOD(H3428-1,הגדרות!$E$7+1),MOD(H3428-1-הגדרות!$E$8*(הגדרות!$E$7+1),הגדרות!$E$7)))</f>
        <v/>
      </c>
      <c r="K3428" s="0" t="str">
        <f aca="false">IF(I3428="","",J3428*הגדרות!$E$6+I3428+1)</f>
        <v/>
      </c>
      <c r="L3428" s="0" t="str">
        <f aca="false">IF(K3428="","",MATCH(K3428,$F$2:$F$5001,0))</f>
        <v/>
      </c>
      <c r="M3428" s="0" t="str">
        <f aca="false">IF(I3428="","",INDEX(הגדרות!$A$2:$A$21,MOD(I3428+הגדרות!$E$9,הגדרות!$E$6)+1))</f>
        <v/>
      </c>
    </row>
    <row r="3429" customFormat="false" ht="15" hidden="false" customHeight="false" outlineLevel="0" collapsed="false">
      <c r="A3429" s="0" t="str">
        <f aca="false">IF('הדבקת לידים'!A3429="","",IF(ISNUMBER('הדבקת לידים'!A3429),IF(הגדרות!$E$2&gt;0,TEXT('הדבקת לידים'!A3429,REPT("0",הגדרות!$E$2)),TEXT('הדבקת לידים'!A3429,"0")),TRIM('הדבקת לידים'!A3429)))</f>
        <v/>
      </c>
      <c r="B3429" s="0" t="str">
        <f aca="false">IF('הדבקת לידים'!B3429="","",IF(ISNUMBER('הדבקת לידים'!B3429),IF(הגדרות!$E$3&gt;0,TEXT('הדבקת לידים'!B3429,REPT("0",הגדרות!$E$3)),TEXT('הדבקת לידים'!B3429,"0")),TRIM('הדבקת לידים'!B3429)))</f>
        <v/>
      </c>
      <c r="C3429" s="0" t="n">
        <f aca="false">IF(OR(A3429&lt;&gt;"",B3429&lt;&gt;""),1,0)</f>
        <v>0</v>
      </c>
      <c r="D3429" s="0" t="str">
        <f aca="false">IF(C3429=1,MOD(ABS(SIN(ROW()*12.9898+'הדבקת לידים'!$F$2*78.233+IFERROR(--RIGHT(A3429,6),LEN(A3429))*0.0137+IFERROR(--RIGHT(B3429,6),LEN(B3429))*0.0071))*43758.5453,1),"")</f>
        <v/>
      </c>
      <c r="E3429" s="0" t="str">
        <f aca="false">IF(C3429=1,INT(MOD(ABS(SIN(D3429*7919.123+ROW()*0.618+'הדבקת לידים'!$F$2*1.3))*43758.5453,1)*1000000)*10000+ROW(),"")</f>
        <v/>
      </c>
      <c r="F3429" s="0" t="str">
        <f aca="false">IF(E3429="","",RANK(E3429,$E$2:$E$5001,1))</f>
        <v/>
      </c>
      <c r="G3429" s="0" t="n">
        <f aca="false">IF(A3429="",0,IF(SUMPRODUCT(--($A$2:$A$5001=A3429))&gt;1,1,0))</f>
        <v>0</v>
      </c>
      <c r="H3429" s="0" t="n">
        <f aca="false">ROW()-1</f>
        <v>3428</v>
      </c>
      <c r="I3429" s="0" t="str">
        <f aca="false">IF(OR(הגדרות!$E$6=0,H3429&gt;הגדרות!$E$5),"",IF(H3429-1&lt;הגדרות!$E$8*(הגדרות!$E$7+1),INT((H3429-1)/(הגדרות!$E$7+1)),הגדרות!$E$8+INT((H3429-1-הגדרות!$E$8*(הגדרות!$E$7+1))/הגדרות!$E$7)))</f>
        <v/>
      </c>
      <c r="J3429" s="0" t="str">
        <f aca="false">IF(I3429="","",IF(H3429-1&lt;הגדרות!$E$8*(הגדרות!$E$7+1),MOD(H3429-1,הגדרות!$E$7+1),MOD(H3429-1-הגדרות!$E$8*(הגדרות!$E$7+1),הגדרות!$E$7)))</f>
        <v/>
      </c>
      <c r="K3429" s="0" t="str">
        <f aca="false">IF(I3429="","",J3429*הגדרות!$E$6+I3429+1)</f>
        <v/>
      </c>
      <c r="L3429" s="0" t="str">
        <f aca="false">IF(K3429="","",MATCH(K3429,$F$2:$F$5001,0))</f>
        <v/>
      </c>
      <c r="M3429" s="0" t="str">
        <f aca="false">IF(I3429="","",INDEX(הגדרות!$A$2:$A$21,MOD(I3429+הגדרות!$E$9,הגדרות!$E$6)+1))</f>
        <v/>
      </c>
    </row>
    <row r="3430" customFormat="false" ht="15" hidden="false" customHeight="false" outlineLevel="0" collapsed="false">
      <c r="A3430" s="0" t="str">
        <f aca="false">IF('הדבקת לידים'!A3430="","",IF(ISNUMBER('הדבקת לידים'!A3430),IF(הגדרות!$E$2&gt;0,TEXT('הדבקת לידים'!A3430,REPT("0",הגדרות!$E$2)),TEXT('הדבקת לידים'!A3430,"0")),TRIM('הדבקת לידים'!A3430)))</f>
        <v/>
      </c>
      <c r="B3430" s="0" t="str">
        <f aca="false">IF('הדבקת לידים'!B3430="","",IF(ISNUMBER('הדבקת לידים'!B3430),IF(הגדרות!$E$3&gt;0,TEXT('הדבקת לידים'!B3430,REPT("0",הגדרות!$E$3)),TEXT('הדבקת לידים'!B3430,"0")),TRIM('הדבקת לידים'!B3430)))</f>
        <v/>
      </c>
      <c r="C3430" s="0" t="n">
        <f aca="false">IF(OR(A3430&lt;&gt;"",B3430&lt;&gt;""),1,0)</f>
        <v>0</v>
      </c>
      <c r="D3430" s="0" t="str">
        <f aca="false">IF(C3430=1,MOD(ABS(SIN(ROW()*12.9898+'הדבקת לידים'!$F$2*78.233+IFERROR(--RIGHT(A3430,6),LEN(A3430))*0.0137+IFERROR(--RIGHT(B3430,6),LEN(B3430))*0.0071))*43758.5453,1),"")</f>
        <v/>
      </c>
      <c r="E3430" s="0" t="str">
        <f aca="false">IF(C3430=1,INT(MOD(ABS(SIN(D3430*7919.123+ROW()*0.618+'הדבקת לידים'!$F$2*1.3))*43758.5453,1)*1000000)*10000+ROW(),"")</f>
        <v/>
      </c>
      <c r="F3430" s="0" t="str">
        <f aca="false">IF(E3430="","",RANK(E3430,$E$2:$E$5001,1))</f>
        <v/>
      </c>
      <c r="G3430" s="0" t="n">
        <f aca="false">IF(A3430="",0,IF(SUMPRODUCT(--($A$2:$A$5001=A3430))&gt;1,1,0))</f>
        <v>0</v>
      </c>
      <c r="H3430" s="0" t="n">
        <f aca="false">ROW()-1</f>
        <v>3429</v>
      </c>
      <c r="I3430" s="0" t="str">
        <f aca="false">IF(OR(הגדרות!$E$6=0,H3430&gt;הגדרות!$E$5),"",IF(H3430-1&lt;הגדרות!$E$8*(הגדרות!$E$7+1),INT((H3430-1)/(הגדרות!$E$7+1)),הגדרות!$E$8+INT((H3430-1-הגדרות!$E$8*(הגדרות!$E$7+1))/הגדרות!$E$7)))</f>
        <v/>
      </c>
      <c r="J3430" s="0" t="str">
        <f aca="false">IF(I3430="","",IF(H3430-1&lt;הגדרות!$E$8*(הגדרות!$E$7+1),MOD(H3430-1,הגדרות!$E$7+1),MOD(H3430-1-הגדרות!$E$8*(הגדרות!$E$7+1),הגדרות!$E$7)))</f>
        <v/>
      </c>
      <c r="K3430" s="0" t="str">
        <f aca="false">IF(I3430="","",J3430*הגדרות!$E$6+I3430+1)</f>
        <v/>
      </c>
      <c r="L3430" s="0" t="str">
        <f aca="false">IF(K3430="","",MATCH(K3430,$F$2:$F$5001,0))</f>
        <v/>
      </c>
      <c r="M3430" s="0" t="str">
        <f aca="false">IF(I3430="","",INDEX(הגדרות!$A$2:$A$21,MOD(I3430+הגדרות!$E$9,הגדרות!$E$6)+1))</f>
        <v/>
      </c>
    </row>
    <row r="3431" customFormat="false" ht="15" hidden="false" customHeight="false" outlineLevel="0" collapsed="false">
      <c r="A3431" s="0" t="str">
        <f aca="false">IF('הדבקת לידים'!A3431="","",IF(ISNUMBER('הדבקת לידים'!A3431),IF(הגדרות!$E$2&gt;0,TEXT('הדבקת לידים'!A3431,REPT("0",הגדרות!$E$2)),TEXT('הדבקת לידים'!A3431,"0")),TRIM('הדבקת לידים'!A3431)))</f>
        <v/>
      </c>
      <c r="B3431" s="0" t="str">
        <f aca="false">IF('הדבקת לידים'!B3431="","",IF(ISNUMBER('הדבקת לידים'!B3431),IF(הגדרות!$E$3&gt;0,TEXT('הדבקת לידים'!B3431,REPT("0",הגדרות!$E$3)),TEXT('הדבקת לידים'!B3431,"0")),TRIM('הדבקת לידים'!B3431)))</f>
        <v/>
      </c>
      <c r="C3431" s="0" t="n">
        <f aca="false">IF(OR(A3431&lt;&gt;"",B3431&lt;&gt;""),1,0)</f>
        <v>0</v>
      </c>
      <c r="D3431" s="0" t="str">
        <f aca="false">IF(C3431=1,MOD(ABS(SIN(ROW()*12.9898+'הדבקת לידים'!$F$2*78.233+IFERROR(--RIGHT(A3431,6),LEN(A3431))*0.0137+IFERROR(--RIGHT(B3431,6),LEN(B3431))*0.0071))*43758.5453,1),"")</f>
        <v/>
      </c>
      <c r="E3431" s="0" t="str">
        <f aca="false">IF(C3431=1,INT(MOD(ABS(SIN(D3431*7919.123+ROW()*0.618+'הדבקת לידים'!$F$2*1.3))*43758.5453,1)*1000000)*10000+ROW(),"")</f>
        <v/>
      </c>
      <c r="F3431" s="0" t="str">
        <f aca="false">IF(E3431="","",RANK(E3431,$E$2:$E$5001,1))</f>
        <v/>
      </c>
      <c r="G3431" s="0" t="n">
        <f aca="false">IF(A3431="",0,IF(SUMPRODUCT(--($A$2:$A$5001=A3431))&gt;1,1,0))</f>
        <v>0</v>
      </c>
      <c r="H3431" s="0" t="n">
        <f aca="false">ROW()-1</f>
        <v>3430</v>
      </c>
      <c r="I3431" s="0" t="str">
        <f aca="false">IF(OR(הגדרות!$E$6=0,H3431&gt;הגדרות!$E$5),"",IF(H3431-1&lt;הגדרות!$E$8*(הגדרות!$E$7+1),INT((H3431-1)/(הגדרות!$E$7+1)),הגדרות!$E$8+INT((H3431-1-הגדרות!$E$8*(הגדרות!$E$7+1))/הגדרות!$E$7)))</f>
        <v/>
      </c>
      <c r="J3431" s="0" t="str">
        <f aca="false">IF(I3431="","",IF(H3431-1&lt;הגדרות!$E$8*(הגדרות!$E$7+1),MOD(H3431-1,הגדרות!$E$7+1),MOD(H3431-1-הגדרות!$E$8*(הגדרות!$E$7+1),הגדרות!$E$7)))</f>
        <v/>
      </c>
      <c r="K3431" s="0" t="str">
        <f aca="false">IF(I3431="","",J3431*הגדרות!$E$6+I3431+1)</f>
        <v/>
      </c>
      <c r="L3431" s="0" t="str">
        <f aca="false">IF(K3431="","",MATCH(K3431,$F$2:$F$5001,0))</f>
        <v/>
      </c>
      <c r="M3431" s="0" t="str">
        <f aca="false">IF(I3431="","",INDEX(הגדרות!$A$2:$A$21,MOD(I3431+הגדרות!$E$9,הגדרות!$E$6)+1))</f>
        <v/>
      </c>
    </row>
    <row r="3432" customFormat="false" ht="15" hidden="false" customHeight="false" outlineLevel="0" collapsed="false">
      <c r="A3432" s="0" t="str">
        <f aca="false">IF('הדבקת לידים'!A3432="","",IF(ISNUMBER('הדבקת לידים'!A3432),IF(הגדרות!$E$2&gt;0,TEXT('הדבקת לידים'!A3432,REPT("0",הגדרות!$E$2)),TEXT('הדבקת לידים'!A3432,"0")),TRIM('הדבקת לידים'!A3432)))</f>
        <v/>
      </c>
      <c r="B3432" s="0" t="str">
        <f aca="false">IF('הדבקת לידים'!B3432="","",IF(ISNUMBER('הדבקת לידים'!B3432),IF(הגדרות!$E$3&gt;0,TEXT('הדבקת לידים'!B3432,REPT("0",הגדרות!$E$3)),TEXT('הדבקת לידים'!B3432,"0")),TRIM('הדבקת לידים'!B3432)))</f>
        <v/>
      </c>
      <c r="C3432" s="0" t="n">
        <f aca="false">IF(OR(A3432&lt;&gt;"",B3432&lt;&gt;""),1,0)</f>
        <v>0</v>
      </c>
      <c r="D3432" s="0" t="str">
        <f aca="false">IF(C3432=1,MOD(ABS(SIN(ROW()*12.9898+'הדבקת לידים'!$F$2*78.233+IFERROR(--RIGHT(A3432,6),LEN(A3432))*0.0137+IFERROR(--RIGHT(B3432,6),LEN(B3432))*0.0071))*43758.5453,1),"")</f>
        <v/>
      </c>
      <c r="E3432" s="0" t="str">
        <f aca="false">IF(C3432=1,INT(MOD(ABS(SIN(D3432*7919.123+ROW()*0.618+'הדבקת לידים'!$F$2*1.3))*43758.5453,1)*1000000)*10000+ROW(),"")</f>
        <v/>
      </c>
      <c r="F3432" s="0" t="str">
        <f aca="false">IF(E3432="","",RANK(E3432,$E$2:$E$5001,1))</f>
        <v/>
      </c>
      <c r="G3432" s="0" t="n">
        <f aca="false">IF(A3432="",0,IF(SUMPRODUCT(--($A$2:$A$5001=A3432))&gt;1,1,0))</f>
        <v>0</v>
      </c>
      <c r="H3432" s="0" t="n">
        <f aca="false">ROW()-1</f>
        <v>3431</v>
      </c>
      <c r="I3432" s="0" t="str">
        <f aca="false">IF(OR(הגדרות!$E$6=0,H3432&gt;הגדרות!$E$5),"",IF(H3432-1&lt;הגדרות!$E$8*(הגדרות!$E$7+1),INT((H3432-1)/(הגדרות!$E$7+1)),הגדרות!$E$8+INT((H3432-1-הגדרות!$E$8*(הגדרות!$E$7+1))/הגדרות!$E$7)))</f>
        <v/>
      </c>
      <c r="J3432" s="0" t="str">
        <f aca="false">IF(I3432="","",IF(H3432-1&lt;הגדרות!$E$8*(הגדרות!$E$7+1),MOD(H3432-1,הגדרות!$E$7+1),MOD(H3432-1-הגדרות!$E$8*(הגדרות!$E$7+1),הגדרות!$E$7)))</f>
        <v/>
      </c>
      <c r="K3432" s="0" t="str">
        <f aca="false">IF(I3432="","",J3432*הגדרות!$E$6+I3432+1)</f>
        <v/>
      </c>
      <c r="L3432" s="0" t="str">
        <f aca="false">IF(K3432="","",MATCH(K3432,$F$2:$F$5001,0))</f>
        <v/>
      </c>
      <c r="M3432" s="0" t="str">
        <f aca="false">IF(I3432="","",INDEX(הגדרות!$A$2:$A$21,MOD(I3432+הגדרות!$E$9,הגדרות!$E$6)+1))</f>
        <v/>
      </c>
    </row>
    <row r="3433" customFormat="false" ht="15" hidden="false" customHeight="false" outlineLevel="0" collapsed="false">
      <c r="A3433" s="0" t="str">
        <f aca="false">IF('הדבקת לידים'!A3433="","",IF(ISNUMBER('הדבקת לידים'!A3433),IF(הגדרות!$E$2&gt;0,TEXT('הדבקת לידים'!A3433,REPT("0",הגדרות!$E$2)),TEXT('הדבקת לידים'!A3433,"0")),TRIM('הדבקת לידים'!A3433)))</f>
        <v/>
      </c>
      <c r="B3433" s="0" t="str">
        <f aca="false">IF('הדבקת לידים'!B3433="","",IF(ISNUMBER('הדבקת לידים'!B3433),IF(הגדרות!$E$3&gt;0,TEXT('הדבקת לידים'!B3433,REPT("0",הגדרות!$E$3)),TEXT('הדבקת לידים'!B3433,"0")),TRIM('הדבקת לידים'!B3433)))</f>
        <v/>
      </c>
      <c r="C3433" s="0" t="n">
        <f aca="false">IF(OR(A3433&lt;&gt;"",B3433&lt;&gt;""),1,0)</f>
        <v>0</v>
      </c>
      <c r="D3433" s="0" t="str">
        <f aca="false">IF(C3433=1,MOD(ABS(SIN(ROW()*12.9898+'הדבקת לידים'!$F$2*78.233+IFERROR(--RIGHT(A3433,6),LEN(A3433))*0.0137+IFERROR(--RIGHT(B3433,6),LEN(B3433))*0.0071))*43758.5453,1),"")</f>
        <v/>
      </c>
      <c r="E3433" s="0" t="str">
        <f aca="false">IF(C3433=1,INT(MOD(ABS(SIN(D3433*7919.123+ROW()*0.618+'הדבקת לידים'!$F$2*1.3))*43758.5453,1)*1000000)*10000+ROW(),"")</f>
        <v/>
      </c>
      <c r="F3433" s="0" t="str">
        <f aca="false">IF(E3433="","",RANK(E3433,$E$2:$E$5001,1))</f>
        <v/>
      </c>
      <c r="G3433" s="0" t="n">
        <f aca="false">IF(A3433="",0,IF(SUMPRODUCT(--($A$2:$A$5001=A3433))&gt;1,1,0))</f>
        <v>0</v>
      </c>
      <c r="H3433" s="0" t="n">
        <f aca="false">ROW()-1</f>
        <v>3432</v>
      </c>
      <c r="I3433" s="0" t="str">
        <f aca="false">IF(OR(הגדרות!$E$6=0,H3433&gt;הגדרות!$E$5),"",IF(H3433-1&lt;הגדרות!$E$8*(הגדרות!$E$7+1),INT((H3433-1)/(הגדרות!$E$7+1)),הגדרות!$E$8+INT((H3433-1-הגדרות!$E$8*(הגדרות!$E$7+1))/הגדרות!$E$7)))</f>
        <v/>
      </c>
      <c r="J3433" s="0" t="str">
        <f aca="false">IF(I3433="","",IF(H3433-1&lt;הגדרות!$E$8*(הגדרות!$E$7+1),MOD(H3433-1,הגדרות!$E$7+1),MOD(H3433-1-הגדרות!$E$8*(הגדרות!$E$7+1),הגדרות!$E$7)))</f>
        <v/>
      </c>
      <c r="K3433" s="0" t="str">
        <f aca="false">IF(I3433="","",J3433*הגדרות!$E$6+I3433+1)</f>
        <v/>
      </c>
      <c r="L3433" s="0" t="str">
        <f aca="false">IF(K3433="","",MATCH(K3433,$F$2:$F$5001,0))</f>
        <v/>
      </c>
      <c r="M3433" s="0" t="str">
        <f aca="false">IF(I3433="","",INDEX(הגדרות!$A$2:$A$21,MOD(I3433+הגדרות!$E$9,הגדרות!$E$6)+1))</f>
        <v/>
      </c>
    </row>
    <row r="3434" customFormat="false" ht="15" hidden="false" customHeight="false" outlineLevel="0" collapsed="false">
      <c r="A3434" s="0" t="str">
        <f aca="false">IF('הדבקת לידים'!A3434="","",IF(ISNUMBER('הדבקת לידים'!A3434),IF(הגדרות!$E$2&gt;0,TEXT('הדבקת לידים'!A3434,REPT("0",הגדרות!$E$2)),TEXT('הדבקת לידים'!A3434,"0")),TRIM('הדבקת לידים'!A3434)))</f>
        <v/>
      </c>
      <c r="B3434" s="0" t="str">
        <f aca="false">IF('הדבקת לידים'!B3434="","",IF(ISNUMBER('הדבקת לידים'!B3434),IF(הגדרות!$E$3&gt;0,TEXT('הדבקת לידים'!B3434,REPT("0",הגדרות!$E$3)),TEXT('הדבקת לידים'!B3434,"0")),TRIM('הדבקת לידים'!B3434)))</f>
        <v/>
      </c>
      <c r="C3434" s="0" t="n">
        <f aca="false">IF(OR(A3434&lt;&gt;"",B3434&lt;&gt;""),1,0)</f>
        <v>0</v>
      </c>
      <c r="D3434" s="0" t="str">
        <f aca="false">IF(C3434=1,MOD(ABS(SIN(ROW()*12.9898+'הדבקת לידים'!$F$2*78.233+IFERROR(--RIGHT(A3434,6),LEN(A3434))*0.0137+IFERROR(--RIGHT(B3434,6),LEN(B3434))*0.0071))*43758.5453,1),"")</f>
        <v/>
      </c>
      <c r="E3434" s="0" t="str">
        <f aca="false">IF(C3434=1,INT(MOD(ABS(SIN(D3434*7919.123+ROW()*0.618+'הדבקת לידים'!$F$2*1.3))*43758.5453,1)*1000000)*10000+ROW(),"")</f>
        <v/>
      </c>
      <c r="F3434" s="0" t="str">
        <f aca="false">IF(E3434="","",RANK(E3434,$E$2:$E$5001,1))</f>
        <v/>
      </c>
      <c r="G3434" s="0" t="n">
        <f aca="false">IF(A3434="",0,IF(SUMPRODUCT(--($A$2:$A$5001=A3434))&gt;1,1,0))</f>
        <v>0</v>
      </c>
      <c r="H3434" s="0" t="n">
        <f aca="false">ROW()-1</f>
        <v>3433</v>
      </c>
      <c r="I3434" s="0" t="str">
        <f aca="false">IF(OR(הגדרות!$E$6=0,H3434&gt;הגדרות!$E$5),"",IF(H3434-1&lt;הגדרות!$E$8*(הגדרות!$E$7+1),INT((H3434-1)/(הגדרות!$E$7+1)),הגדרות!$E$8+INT((H3434-1-הגדרות!$E$8*(הגדרות!$E$7+1))/הגדרות!$E$7)))</f>
        <v/>
      </c>
      <c r="J3434" s="0" t="str">
        <f aca="false">IF(I3434="","",IF(H3434-1&lt;הגדרות!$E$8*(הגדרות!$E$7+1),MOD(H3434-1,הגדרות!$E$7+1),MOD(H3434-1-הגדרות!$E$8*(הגדרות!$E$7+1),הגדרות!$E$7)))</f>
        <v/>
      </c>
      <c r="K3434" s="0" t="str">
        <f aca="false">IF(I3434="","",J3434*הגדרות!$E$6+I3434+1)</f>
        <v/>
      </c>
      <c r="L3434" s="0" t="str">
        <f aca="false">IF(K3434="","",MATCH(K3434,$F$2:$F$5001,0))</f>
        <v/>
      </c>
      <c r="M3434" s="0" t="str">
        <f aca="false">IF(I3434="","",INDEX(הגדרות!$A$2:$A$21,MOD(I3434+הגדרות!$E$9,הגדרות!$E$6)+1))</f>
        <v/>
      </c>
    </row>
    <row r="3435" customFormat="false" ht="15" hidden="false" customHeight="false" outlineLevel="0" collapsed="false">
      <c r="A3435" s="0" t="str">
        <f aca="false">IF('הדבקת לידים'!A3435="","",IF(ISNUMBER('הדבקת לידים'!A3435),IF(הגדרות!$E$2&gt;0,TEXT('הדבקת לידים'!A3435,REPT("0",הגדרות!$E$2)),TEXT('הדבקת לידים'!A3435,"0")),TRIM('הדבקת לידים'!A3435)))</f>
        <v/>
      </c>
      <c r="B3435" s="0" t="str">
        <f aca="false">IF('הדבקת לידים'!B3435="","",IF(ISNUMBER('הדבקת לידים'!B3435),IF(הגדרות!$E$3&gt;0,TEXT('הדבקת לידים'!B3435,REPT("0",הגדרות!$E$3)),TEXT('הדבקת לידים'!B3435,"0")),TRIM('הדבקת לידים'!B3435)))</f>
        <v/>
      </c>
      <c r="C3435" s="0" t="n">
        <f aca="false">IF(OR(A3435&lt;&gt;"",B3435&lt;&gt;""),1,0)</f>
        <v>0</v>
      </c>
      <c r="D3435" s="0" t="str">
        <f aca="false">IF(C3435=1,MOD(ABS(SIN(ROW()*12.9898+'הדבקת לידים'!$F$2*78.233+IFERROR(--RIGHT(A3435,6),LEN(A3435))*0.0137+IFERROR(--RIGHT(B3435,6),LEN(B3435))*0.0071))*43758.5453,1),"")</f>
        <v/>
      </c>
      <c r="E3435" s="0" t="str">
        <f aca="false">IF(C3435=1,INT(MOD(ABS(SIN(D3435*7919.123+ROW()*0.618+'הדבקת לידים'!$F$2*1.3))*43758.5453,1)*1000000)*10000+ROW(),"")</f>
        <v/>
      </c>
      <c r="F3435" s="0" t="str">
        <f aca="false">IF(E3435="","",RANK(E3435,$E$2:$E$5001,1))</f>
        <v/>
      </c>
      <c r="G3435" s="0" t="n">
        <f aca="false">IF(A3435="",0,IF(SUMPRODUCT(--($A$2:$A$5001=A3435))&gt;1,1,0))</f>
        <v>0</v>
      </c>
      <c r="H3435" s="0" t="n">
        <f aca="false">ROW()-1</f>
        <v>3434</v>
      </c>
      <c r="I3435" s="0" t="str">
        <f aca="false">IF(OR(הגדרות!$E$6=0,H3435&gt;הגדרות!$E$5),"",IF(H3435-1&lt;הגדרות!$E$8*(הגדרות!$E$7+1),INT((H3435-1)/(הגדרות!$E$7+1)),הגדרות!$E$8+INT((H3435-1-הגדרות!$E$8*(הגדרות!$E$7+1))/הגדרות!$E$7)))</f>
        <v/>
      </c>
      <c r="J3435" s="0" t="str">
        <f aca="false">IF(I3435="","",IF(H3435-1&lt;הגדרות!$E$8*(הגדרות!$E$7+1),MOD(H3435-1,הגדרות!$E$7+1),MOD(H3435-1-הגדרות!$E$8*(הגדרות!$E$7+1),הגדרות!$E$7)))</f>
        <v/>
      </c>
      <c r="K3435" s="0" t="str">
        <f aca="false">IF(I3435="","",J3435*הגדרות!$E$6+I3435+1)</f>
        <v/>
      </c>
      <c r="L3435" s="0" t="str">
        <f aca="false">IF(K3435="","",MATCH(K3435,$F$2:$F$5001,0))</f>
        <v/>
      </c>
      <c r="M3435" s="0" t="str">
        <f aca="false">IF(I3435="","",INDEX(הגדרות!$A$2:$A$21,MOD(I3435+הגדרות!$E$9,הגדרות!$E$6)+1))</f>
        <v/>
      </c>
    </row>
    <row r="3436" customFormat="false" ht="15" hidden="false" customHeight="false" outlineLevel="0" collapsed="false">
      <c r="A3436" s="0" t="str">
        <f aca="false">IF('הדבקת לידים'!A3436="","",IF(ISNUMBER('הדבקת לידים'!A3436),IF(הגדרות!$E$2&gt;0,TEXT('הדבקת לידים'!A3436,REPT("0",הגדרות!$E$2)),TEXT('הדבקת לידים'!A3436,"0")),TRIM('הדבקת לידים'!A3436)))</f>
        <v/>
      </c>
      <c r="B3436" s="0" t="str">
        <f aca="false">IF('הדבקת לידים'!B3436="","",IF(ISNUMBER('הדבקת לידים'!B3436),IF(הגדרות!$E$3&gt;0,TEXT('הדבקת לידים'!B3436,REPT("0",הגדרות!$E$3)),TEXT('הדבקת לידים'!B3436,"0")),TRIM('הדבקת לידים'!B3436)))</f>
        <v/>
      </c>
      <c r="C3436" s="0" t="n">
        <f aca="false">IF(OR(A3436&lt;&gt;"",B3436&lt;&gt;""),1,0)</f>
        <v>0</v>
      </c>
      <c r="D3436" s="0" t="str">
        <f aca="false">IF(C3436=1,MOD(ABS(SIN(ROW()*12.9898+'הדבקת לידים'!$F$2*78.233+IFERROR(--RIGHT(A3436,6),LEN(A3436))*0.0137+IFERROR(--RIGHT(B3436,6),LEN(B3436))*0.0071))*43758.5453,1),"")</f>
        <v/>
      </c>
      <c r="E3436" s="0" t="str">
        <f aca="false">IF(C3436=1,INT(MOD(ABS(SIN(D3436*7919.123+ROW()*0.618+'הדבקת לידים'!$F$2*1.3))*43758.5453,1)*1000000)*10000+ROW(),"")</f>
        <v/>
      </c>
      <c r="F3436" s="0" t="str">
        <f aca="false">IF(E3436="","",RANK(E3436,$E$2:$E$5001,1))</f>
        <v/>
      </c>
      <c r="G3436" s="0" t="n">
        <f aca="false">IF(A3436="",0,IF(SUMPRODUCT(--($A$2:$A$5001=A3436))&gt;1,1,0))</f>
        <v>0</v>
      </c>
      <c r="H3436" s="0" t="n">
        <f aca="false">ROW()-1</f>
        <v>3435</v>
      </c>
      <c r="I3436" s="0" t="str">
        <f aca="false">IF(OR(הגדרות!$E$6=0,H3436&gt;הגדרות!$E$5),"",IF(H3436-1&lt;הגדרות!$E$8*(הגדרות!$E$7+1),INT((H3436-1)/(הגדרות!$E$7+1)),הגדרות!$E$8+INT((H3436-1-הגדרות!$E$8*(הגדרות!$E$7+1))/הגדרות!$E$7)))</f>
        <v/>
      </c>
      <c r="J3436" s="0" t="str">
        <f aca="false">IF(I3436="","",IF(H3436-1&lt;הגדרות!$E$8*(הגדרות!$E$7+1),MOD(H3436-1,הגדרות!$E$7+1),MOD(H3436-1-הגדרות!$E$8*(הגדרות!$E$7+1),הגדרות!$E$7)))</f>
        <v/>
      </c>
      <c r="K3436" s="0" t="str">
        <f aca="false">IF(I3436="","",J3436*הגדרות!$E$6+I3436+1)</f>
        <v/>
      </c>
      <c r="L3436" s="0" t="str">
        <f aca="false">IF(K3436="","",MATCH(K3436,$F$2:$F$5001,0))</f>
        <v/>
      </c>
      <c r="M3436" s="0" t="str">
        <f aca="false">IF(I3436="","",INDEX(הגדרות!$A$2:$A$21,MOD(I3436+הגדרות!$E$9,הגדרות!$E$6)+1))</f>
        <v/>
      </c>
    </row>
    <row r="3437" customFormat="false" ht="15" hidden="false" customHeight="false" outlineLevel="0" collapsed="false">
      <c r="A3437" s="0" t="str">
        <f aca="false">IF('הדבקת לידים'!A3437="","",IF(ISNUMBER('הדבקת לידים'!A3437),IF(הגדרות!$E$2&gt;0,TEXT('הדבקת לידים'!A3437,REPT("0",הגדרות!$E$2)),TEXT('הדבקת לידים'!A3437,"0")),TRIM('הדבקת לידים'!A3437)))</f>
        <v/>
      </c>
      <c r="B3437" s="0" t="str">
        <f aca="false">IF('הדבקת לידים'!B3437="","",IF(ISNUMBER('הדבקת לידים'!B3437),IF(הגדרות!$E$3&gt;0,TEXT('הדבקת לידים'!B3437,REPT("0",הגדרות!$E$3)),TEXT('הדבקת לידים'!B3437,"0")),TRIM('הדבקת לידים'!B3437)))</f>
        <v/>
      </c>
      <c r="C3437" s="0" t="n">
        <f aca="false">IF(OR(A3437&lt;&gt;"",B3437&lt;&gt;""),1,0)</f>
        <v>0</v>
      </c>
      <c r="D3437" s="0" t="str">
        <f aca="false">IF(C3437=1,MOD(ABS(SIN(ROW()*12.9898+'הדבקת לידים'!$F$2*78.233+IFERROR(--RIGHT(A3437,6),LEN(A3437))*0.0137+IFERROR(--RIGHT(B3437,6),LEN(B3437))*0.0071))*43758.5453,1),"")</f>
        <v/>
      </c>
      <c r="E3437" s="0" t="str">
        <f aca="false">IF(C3437=1,INT(MOD(ABS(SIN(D3437*7919.123+ROW()*0.618+'הדבקת לידים'!$F$2*1.3))*43758.5453,1)*1000000)*10000+ROW(),"")</f>
        <v/>
      </c>
      <c r="F3437" s="0" t="str">
        <f aca="false">IF(E3437="","",RANK(E3437,$E$2:$E$5001,1))</f>
        <v/>
      </c>
      <c r="G3437" s="0" t="n">
        <f aca="false">IF(A3437="",0,IF(SUMPRODUCT(--($A$2:$A$5001=A3437))&gt;1,1,0))</f>
        <v>0</v>
      </c>
      <c r="H3437" s="0" t="n">
        <f aca="false">ROW()-1</f>
        <v>3436</v>
      </c>
      <c r="I3437" s="0" t="str">
        <f aca="false">IF(OR(הגדרות!$E$6=0,H3437&gt;הגדרות!$E$5),"",IF(H3437-1&lt;הגדרות!$E$8*(הגדרות!$E$7+1),INT((H3437-1)/(הגדרות!$E$7+1)),הגדרות!$E$8+INT((H3437-1-הגדרות!$E$8*(הגדרות!$E$7+1))/הגדרות!$E$7)))</f>
        <v/>
      </c>
      <c r="J3437" s="0" t="str">
        <f aca="false">IF(I3437="","",IF(H3437-1&lt;הגדרות!$E$8*(הגדרות!$E$7+1),MOD(H3437-1,הגדרות!$E$7+1),MOD(H3437-1-הגדרות!$E$8*(הגדרות!$E$7+1),הגדרות!$E$7)))</f>
        <v/>
      </c>
      <c r="K3437" s="0" t="str">
        <f aca="false">IF(I3437="","",J3437*הגדרות!$E$6+I3437+1)</f>
        <v/>
      </c>
      <c r="L3437" s="0" t="str">
        <f aca="false">IF(K3437="","",MATCH(K3437,$F$2:$F$5001,0))</f>
        <v/>
      </c>
      <c r="M3437" s="0" t="str">
        <f aca="false">IF(I3437="","",INDEX(הגדרות!$A$2:$A$21,MOD(I3437+הגדרות!$E$9,הגדרות!$E$6)+1))</f>
        <v/>
      </c>
    </row>
    <row r="3438" customFormat="false" ht="15" hidden="false" customHeight="false" outlineLevel="0" collapsed="false">
      <c r="A3438" s="0" t="str">
        <f aca="false">IF('הדבקת לידים'!A3438="","",IF(ISNUMBER('הדבקת לידים'!A3438),IF(הגדרות!$E$2&gt;0,TEXT('הדבקת לידים'!A3438,REPT("0",הגדרות!$E$2)),TEXT('הדבקת לידים'!A3438,"0")),TRIM('הדבקת לידים'!A3438)))</f>
        <v/>
      </c>
      <c r="B3438" s="0" t="str">
        <f aca="false">IF('הדבקת לידים'!B3438="","",IF(ISNUMBER('הדבקת לידים'!B3438),IF(הגדרות!$E$3&gt;0,TEXT('הדבקת לידים'!B3438,REPT("0",הגדרות!$E$3)),TEXT('הדבקת לידים'!B3438,"0")),TRIM('הדבקת לידים'!B3438)))</f>
        <v/>
      </c>
      <c r="C3438" s="0" t="n">
        <f aca="false">IF(OR(A3438&lt;&gt;"",B3438&lt;&gt;""),1,0)</f>
        <v>0</v>
      </c>
      <c r="D3438" s="0" t="str">
        <f aca="false">IF(C3438=1,MOD(ABS(SIN(ROW()*12.9898+'הדבקת לידים'!$F$2*78.233+IFERROR(--RIGHT(A3438,6),LEN(A3438))*0.0137+IFERROR(--RIGHT(B3438,6),LEN(B3438))*0.0071))*43758.5453,1),"")</f>
        <v/>
      </c>
      <c r="E3438" s="0" t="str">
        <f aca="false">IF(C3438=1,INT(MOD(ABS(SIN(D3438*7919.123+ROW()*0.618+'הדבקת לידים'!$F$2*1.3))*43758.5453,1)*1000000)*10000+ROW(),"")</f>
        <v/>
      </c>
      <c r="F3438" s="0" t="str">
        <f aca="false">IF(E3438="","",RANK(E3438,$E$2:$E$5001,1))</f>
        <v/>
      </c>
      <c r="G3438" s="0" t="n">
        <f aca="false">IF(A3438="",0,IF(SUMPRODUCT(--($A$2:$A$5001=A3438))&gt;1,1,0))</f>
        <v>0</v>
      </c>
      <c r="H3438" s="0" t="n">
        <f aca="false">ROW()-1</f>
        <v>3437</v>
      </c>
      <c r="I3438" s="0" t="str">
        <f aca="false">IF(OR(הגדרות!$E$6=0,H3438&gt;הגדרות!$E$5),"",IF(H3438-1&lt;הגדרות!$E$8*(הגדרות!$E$7+1),INT((H3438-1)/(הגדרות!$E$7+1)),הגדרות!$E$8+INT((H3438-1-הגדרות!$E$8*(הגדרות!$E$7+1))/הגדרות!$E$7)))</f>
        <v/>
      </c>
      <c r="J3438" s="0" t="str">
        <f aca="false">IF(I3438="","",IF(H3438-1&lt;הגדרות!$E$8*(הגדרות!$E$7+1),MOD(H3438-1,הגדרות!$E$7+1),MOD(H3438-1-הגדרות!$E$8*(הגדרות!$E$7+1),הגדרות!$E$7)))</f>
        <v/>
      </c>
      <c r="K3438" s="0" t="str">
        <f aca="false">IF(I3438="","",J3438*הגדרות!$E$6+I3438+1)</f>
        <v/>
      </c>
      <c r="L3438" s="0" t="str">
        <f aca="false">IF(K3438="","",MATCH(K3438,$F$2:$F$5001,0))</f>
        <v/>
      </c>
      <c r="M3438" s="0" t="str">
        <f aca="false">IF(I3438="","",INDEX(הגדרות!$A$2:$A$21,MOD(I3438+הגדרות!$E$9,הגדרות!$E$6)+1))</f>
        <v/>
      </c>
    </row>
    <row r="3439" customFormat="false" ht="15" hidden="false" customHeight="false" outlineLevel="0" collapsed="false">
      <c r="A3439" s="0" t="str">
        <f aca="false">IF('הדבקת לידים'!A3439="","",IF(ISNUMBER('הדבקת לידים'!A3439),IF(הגדרות!$E$2&gt;0,TEXT('הדבקת לידים'!A3439,REPT("0",הגדרות!$E$2)),TEXT('הדבקת לידים'!A3439,"0")),TRIM('הדבקת לידים'!A3439)))</f>
        <v/>
      </c>
      <c r="B3439" s="0" t="str">
        <f aca="false">IF('הדבקת לידים'!B3439="","",IF(ISNUMBER('הדבקת לידים'!B3439),IF(הגדרות!$E$3&gt;0,TEXT('הדבקת לידים'!B3439,REPT("0",הגדרות!$E$3)),TEXT('הדבקת לידים'!B3439,"0")),TRIM('הדבקת לידים'!B3439)))</f>
        <v/>
      </c>
      <c r="C3439" s="0" t="n">
        <f aca="false">IF(OR(A3439&lt;&gt;"",B3439&lt;&gt;""),1,0)</f>
        <v>0</v>
      </c>
      <c r="D3439" s="0" t="str">
        <f aca="false">IF(C3439=1,MOD(ABS(SIN(ROW()*12.9898+'הדבקת לידים'!$F$2*78.233+IFERROR(--RIGHT(A3439,6),LEN(A3439))*0.0137+IFERROR(--RIGHT(B3439,6),LEN(B3439))*0.0071))*43758.5453,1),"")</f>
        <v/>
      </c>
      <c r="E3439" s="0" t="str">
        <f aca="false">IF(C3439=1,INT(MOD(ABS(SIN(D3439*7919.123+ROW()*0.618+'הדבקת לידים'!$F$2*1.3))*43758.5453,1)*1000000)*10000+ROW(),"")</f>
        <v/>
      </c>
      <c r="F3439" s="0" t="str">
        <f aca="false">IF(E3439="","",RANK(E3439,$E$2:$E$5001,1))</f>
        <v/>
      </c>
      <c r="G3439" s="0" t="n">
        <f aca="false">IF(A3439="",0,IF(SUMPRODUCT(--($A$2:$A$5001=A3439))&gt;1,1,0))</f>
        <v>0</v>
      </c>
      <c r="H3439" s="0" t="n">
        <f aca="false">ROW()-1</f>
        <v>3438</v>
      </c>
      <c r="I3439" s="0" t="str">
        <f aca="false">IF(OR(הגדרות!$E$6=0,H3439&gt;הגדרות!$E$5),"",IF(H3439-1&lt;הגדרות!$E$8*(הגדרות!$E$7+1),INT((H3439-1)/(הגדרות!$E$7+1)),הגדרות!$E$8+INT((H3439-1-הגדרות!$E$8*(הגדרות!$E$7+1))/הגדרות!$E$7)))</f>
        <v/>
      </c>
      <c r="J3439" s="0" t="str">
        <f aca="false">IF(I3439="","",IF(H3439-1&lt;הגדרות!$E$8*(הגדרות!$E$7+1),MOD(H3439-1,הגדרות!$E$7+1),MOD(H3439-1-הגדרות!$E$8*(הגדרות!$E$7+1),הגדרות!$E$7)))</f>
        <v/>
      </c>
      <c r="K3439" s="0" t="str">
        <f aca="false">IF(I3439="","",J3439*הגדרות!$E$6+I3439+1)</f>
        <v/>
      </c>
      <c r="L3439" s="0" t="str">
        <f aca="false">IF(K3439="","",MATCH(K3439,$F$2:$F$5001,0))</f>
        <v/>
      </c>
      <c r="M3439" s="0" t="str">
        <f aca="false">IF(I3439="","",INDEX(הגדרות!$A$2:$A$21,MOD(I3439+הגדרות!$E$9,הגדרות!$E$6)+1))</f>
        <v/>
      </c>
    </row>
    <row r="3440" customFormat="false" ht="15" hidden="false" customHeight="false" outlineLevel="0" collapsed="false">
      <c r="A3440" s="0" t="str">
        <f aca="false">IF('הדבקת לידים'!A3440="","",IF(ISNUMBER('הדבקת לידים'!A3440),IF(הגדרות!$E$2&gt;0,TEXT('הדבקת לידים'!A3440,REPT("0",הגדרות!$E$2)),TEXT('הדבקת לידים'!A3440,"0")),TRIM('הדבקת לידים'!A3440)))</f>
        <v/>
      </c>
      <c r="B3440" s="0" t="str">
        <f aca="false">IF('הדבקת לידים'!B3440="","",IF(ISNUMBER('הדבקת לידים'!B3440),IF(הגדרות!$E$3&gt;0,TEXT('הדבקת לידים'!B3440,REPT("0",הגדרות!$E$3)),TEXT('הדבקת לידים'!B3440,"0")),TRIM('הדבקת לידים'!B3440)))</f>
        <v/>
      </c>
      <c r="C3440" s="0" t="n">
        <f aca="false">IF(OR(A3440&lt;&gt;"",B3440&lt;&gt;""),1,0)</f>
        <v>0</v>
      </c>
      <c r="D3440" s="0" t="str">
        <f aca="false">IF(C3440=1,MOD(ABS(SIN(ROW()*12.9898+'הדבקת לידים'!$F$2*78.233+IFERROR(--RIGHT(A3440,6),LEN(A3440))*0.0137+IFERROR(--RIGHT(B3440,6),LEN(B3440))*0.0071))*43758.5453,1),"")</f>
        <v/>
      </c>
      <c r="E3440" s="0" t="str">
        <f aca="false">IF(C3440=1,INT(MOD(ABS(SIN(D3440*7919.123+ROW()*0.618+'הדבקת לידים'!$F$2*1.3))*43758.5453,1)*1000000)*10000+ROW(),"")</f>
        <v/>
      </c>
      <c r="F3440" s="0" t="str">
        <f aca="false">IF(E3440="","",RANK(E3440,$E$2:$E$5001,1))</f>
        <v/>
      </c>
      <c r="G3440" s="0" t="n">
        <f aca="false">IF(A3440="",0,IF(SUMPRODUCT(--($A$2:$A$5001=A3440))&gt;1,1,0))</f>
        <v>0</v>
      </c>
      <c r="H3440" s="0" t="n">
        <f aca="false">ROW()-1</f>
        <v>3439</v>
      </c>
      <c r="I3440" s="0" t="str">
        <f aca="false">IF(OR(הגדרות!$E$6=0,H3440&gt;הגדרות!$E$5),"",IF(H3440-1&lt;הגדרות!$E$8*(הגדרות!$E$7+1),INT((H3440-1)/(הגדרות!$E$7+1)),הגדרות!$E$8+INT((H3440-1-הגדרות!$E$8*(הגדרות!$E$7+1))/הגדרות!$E$7)))</f>
        <v/>
      </c>
      <c r="J3440" s="0" t="str">
        <f aca="false">IF(I3440="","",IF(H3440-1&lt;הגדרות!$E$8*(הגדרות!$E$7+1),MOD(H3440-1,הגדרות!$E$7+1),MOD(H3440-1-הגדרות!$E$8*(הגדרות!$E$7+1),הגדרות!$E$7)))</f>
        <v/>
      </c>
      <c r="K3440" s="0" t="str">
        <f aca="false">IF(I3440="","",J3440*הגדרות!$E$6+I3440+1)</f>
        <v/>
      </c>
      <c r="L3440" s="0" t="str">
        <f aca="false">IF(K3440="","",MATCH(K3440,$F$2:$F$5001,0))</f>
        <v/>
      </c>
      <c r="M3440" s="0" t="str">
        <f aca="false">IF(I3440="","",INDEX(הגדרות!$A$2:$A$21,MOD(I3440+הגדרות!$E$9,הגדרות!$E$6)+1))</f>
        <v/>
      </c>
    </row>
    <row r="3441" customFormat="false" ht="15" hidden="false" customHeight="false" outlineLevel="0" collapsed="false">
      <c r="A3441" s="0" t="str">
        <f aca="false">IF('הדבקת לידים'!A3441="","",IF(ISNUMBER('הדבקת לידים'!A3441),IF(הגדרות!$E$2&gt;0,TEXT('הדבקת לידים'!A3441,REPT("0",הגדרות!$E$2)),TEXT('הדבקת לידים'!A3441,"0")),TRIM('הדבקת לידים'!A3441)))</f>
        <v/>
      </c>
      <c r="B3441" s="0" t="str">
        <f aca="false">IF('הדבקת לידים'!B3441="","",IF(ISNUMBER('הדבקת לידים'!B3441),IF(הגדרות!$E$3&gt;0,TEXT('הדבקת לידים'!B3441,REPT("0",הגדרות!$E$3)),TEXT('הדבקת לידים'!B3441,"0")),TRIM('הדבקת לידים'!B3441)))</f>
        <v/>
      </c>
      <c r="C3441" s="0" t="n">
        <f aca="false">IF(OR(A3441&lt;&gt;"",B3441&lt;&gt;""),1,0)</f>
        <v>0</v>
      </c>
      <c r="D3441" s="0" t="str">
        <f aca="false">IF(C3441=1,MOD(ABS(SIN(ROW()*12.9898+'הדבקת לידים'!$F$2*78.233+IFERROR(--RIGHT(A3441,6),LEN(A3441))*0.0137+IFERROR(--RIGHT(B3441,6),LEN(B3441))*0.0071))*43758.5453,1),"")</f>
        <v/>
      </c>
      <c r="E3441" s="0" t="str">
        <f aca="false">IF(C3441=1,INT(MOD(ABS(SIN(D3441*7919.123+ROW()*0.618+'הדבקת לידים'!$F$2*1.3))*43758.5453,1)*1000000)*10000+ROW(),"")</f>
        <v/>
      </c>
      <c r="F3441" s="0" t="str">
        <f aca="false">IF(E3441="","",RANK(E3441,$E$2:$E$5001,1))</f>
        <v/>
      </c>
      <c r="G3441" s="0" t="n">
        <f aca="false">IF(A3441="",0,IF(SUMPRODUCT(--($A$2:$A$5001=A3441))&gt;1,1,0))</f>
        <v>0</v>
      </c>
      <c r="H3441" s="0" t="n">
        <f aca="false">ROW()-1</f>
        <v>3440</v>
      </c>
      <c r="I3441" s="0" t="str">
        <f aca="false">IF(OR(הגדרות!$E$6=0,H3441&gt;הגדרות!$E$5),"",IF(H3441-1&lt;הגדרות!$E$8*(הגדרות!$E$7+1),INT((H3441-1)/(הגדרות!$E$7+1)),הגדרות!$E$8+INT((H3441-1-הגדרות!$E$8*(הגדרות!$E$7+1))/הגדרות!$E$7)))</f>
        <v/>
      </c>
      <c r="J3441" s="0" t="str">
        <f aca="false">IF(I3441="","",IF(H3441-1&lt;הגדרות!$E$8*(הגדרות!$E$7+1),MOD(H3441-1,הגדרות!$E$7+1),MOD(H3441-1-הגדרות!$E$8*(הגדרות!$E$7+1),הגדרות!$E$7)))</f>
        <v/>
      </c>
      <c r="K3441" s="0" t="str">
        <f aca="false">IF(I3441="","",J3441*הגדרות!$E$6+I3441+1)</f>
        <v/>
      </c>
      <c r="L3441" s="0" t="str">
        <f aca="false">IF(K3441="","",MATCH(K3441,$F$2:$F$5001,0))</f>
        <v/>
      </c>
      <c r="M3441" s="0" t="str">
        <f aca="false">IF(I3441="","",INDEX(הגדרות!$A$2:$A$21,MOD(I3441+הגדרות!$E$9,הגדרות!$E$6)+1))</f>
        <v/>
      </c>
    </row>
    <row r="3442" customFormat="false" ht="15" hidden="false" customHeight="false" outlineLevel="0" collapsed="false">
      <c r="A3442" s="0" t="str">
        <f aca="false">IF('הדבקת לידים'!A3442="","",IF(ISNUMBER('הדבקת לידים'!A3442),IF(הגדרות!$E$2&gt;0,TEXT('הדבקת לידים'!A3442,REPT("0",הגדרות!$E$2)),TEXT('הדבקת לידים'!A3442,"0")),TRIM('הדבקת לידים'!A3442)))</f>
        <v/>
      </c>
      <c r="B3442" s="0" t="str">
        <f aca="false">IF('הדבקת לידים'!B3442="","",IF(ISNUMBER('הדבקת לידים'!B3442),IF(הגדרות!$E$3&gt;0,TEXT('הדבקת לידים'!B3442,REPT("0",הגדרות!$E$3)),TEXT('הדבקת לידים'!B3442,"0")),TRIM('הדבקת לידים'!B3442)))</f>
        <v/>
      </c>
      <c r="C3442" s="0" t="n">
        <f aca="false">IF(OR(A3442&lt;&gt;"",B3442&lt;&gt;""),1,0)</f>
        <v>0</v>
      </c>
      <c r="D3442" s="0" t="str">
        <f aca="false">IF(C3442=1,MOD(ABS(SIN(ROW()*12.9898+'הדבקת לידים'!$F$2*78.233+IFERROR(--RIGHT(A3442,6),LEN(A3442))*0.0137+IFERROR(--RIGHT(B3442,6),LEN(B3442))*0.0071))*43758.5453,1),"")</f>
        <v/>
      </c>
      <c r="E3442" s="0" t="str">
        <f aca="false">IF(C3442=1,INT(MOD(ABS(SIN(D3442*7919.123+ROW()*0.618+'הדבקת לידים'!$F$2*1.3))*43758.5453,1)*1000000)*10000+ROW(),"")</f>
        <v/>
      </c>
      <c r="F3442" s="0" t="str">
        <f aca="false">IF(E3442="","",RANK(E3442,$E$2:$E$5001,1))</f>
        <v/>
      </c>
      <c r="G3442" s="0" t="n">
        <f aca="false">IF(A3442="",0,IF(SUMPRODUCT(--($A$2:$A$5001=A3442))&gt;1,1,0))</f>
        <v>0</v>
      </c>
      <c r="H3442" s="0" t="n">
        <f aca="false">ROW()-1</f>
        <v>3441</v>
      </c>
      <c r="I3442" s="0" t="str">
        <f aca="false">IF(OR(הגדרות!$E$6=0,H3442&gt;הגדרות!$E$5),"",IF(H3442-1&lt;הגדרות!$E$8*(הגדרות!$E$7+1),INT((H3442-1)/(הגדרות!$E$7+1)),הגדרות!$E$8+INT((H3442-1-הגדרות!$E$8*(הגדרות!$E$7+1))/הגדרות!$E$7)))</f>
        <v/>
      </c>
      <c r="J3442" s="0" t="str">
        <f aca="false">IF(I3442="","",IF(H3442-1&lt;הגדרות!$E$8*(הגדרות!$E$7+1),MOD(H3442-1,הגדרות!$E$7+1),MOD(H3442-1-הגדרות!$E$8*(הגדרות!$E$7+1),הגדרות!$E$7)))</f>
        <v/>
      </c>
      <c r="K3442" s="0" t="str">
        <f aca="false">IF(I3442="","",J3442*הגדרות!$E$6+I3442+1)</f>
        <v/>
      </c>
      <c r="L3442" s="0" t="str">
        <f aca="false">IF(K3442="","",MATCH(K3442,$F$2:$F$5001,0))</f>
        <v/>
      </c>
      <c r="M3442" s="0" t="str">
        <f aca="false">IF(I3442="","",INDEX(הגדרות!$A$2:$A$21,MOD(I3442+הגדרות!$E$9,הגדרות!$E$6)+1))</f>
        <v/>
      </c>
    </row>
    <row r="3443" customFormat="false" ht="15" hidden="false" customHeight="false" outlineLevel="0" collapsed="false">
      <c r="A3443" s="0" t="str">
        <f aca="false">IF('הדבקת לידים'!A3443="","",IF(ISNUMBER('הדבקת לידים'!A3443),IF(הגדרות!$E$2&gt;0,TEXT('הדבקת לידים'!A3443,REPT("0",הגדרות!$E$2)),TEXT('הדבקת לידים'!A3443,"0")),TRIM('הדבקת לידים'!A3443)))</f>
        <v/>
      </c>
      <c r="B3443" s="0" t="str">
        <f aca="false">IF('הדבקת לידים'!B3443="","",IF(ISNUMBER('הדבקת לידים'!B3443),IF(הגדרות!$E$3&gt;0,TEXT('הדבקת לידים'!B3443,REPT("0",הגדרות!$E$3)),TEXT('הדבקת לידים'!B3443,"0")),TRIM('הדבקת לידים'!B3443)))</f>
        <v/>
      </c>
      <c r="C3443" s="0" t="n">
        <f aca="false">IF(OR(A3443&lt;&gt;"",B3443&lt;&gt;""),1,0)</f>
        <v>0</v>
      </c>
      <c r="D3443" s="0" t="str">
        <f aca="false">IF(C3443=1,MOD(ABS(SIN(ROW()*12.9898+'הדבקת לידים'!$F$2*78.233+IFERROR(--RIGHT(A3443,6),LEN(A3443))*0.0137+IFERROR(--RIGHT(B3443,6),LEN(B3443))*0.0071))*43758.5453,1),"")</f>
        <v/>
      </c>
      <c r="E3443" s="0" t="str">
        <f aca="false">IF(C3443=1,INT(MOD(ABS(SIN(D3443*7919.123+ROW()*0.618+'הדבקת לידים'!$F$2*1.3))*43758.5453,1)*1000000)*10000+ROW(),"")</f>
        <v/>
      </c>
      <c r="F3443" s="0" t="str">
        <f aca="false">IF(E3443="","",RANK(E3443,$E$2:$E$5001,1))</f>
        <v/>
      </c>
      <c r="G3443" s="0" t="n">
        <f aca="false">IF(A3443="",0,IF(SUMPRODUCT(--($A$2:$A$5001=A3443))&gt;1,1,0))</f>
        <v>0</v>
      </c>
      <c r="H3443" s="0" t="n">
        <f aca="false">ROW()-1</f>
        <v>3442</v>
      </c>
      <c r="I3443" s="0" t="str">
        <f aca="false">IF(OR(הגדרות!$E$6=0,H3443&gt;הגדרות!$E$5),"",IF(H3443-1&lt;הגדרות!$E$8*(הגדרות!$E$7+1),INT((H3443-1)/(הגדרות!$E$7+1)),הגדרות!$E$8+INT((H3443-1-הגדרות!$E$8*(הגדרות!$E$7+1))/הגדרות!$E$7)))</f>
        <v/>
      </c>
      <c r="J3443" s="0" t="str">
        <f aca="false">IF(I3443="","",IF(H3443-1&lt;הגדרות!$E$8*(הגדרות!$E$7+1),MOD(H3443-1,הגדרות!$E$7+1),MOD(H3443-1-הגדרות!$E$8*(הגדרות!$E$7+1),הגדרות!$E$7)))</f>
        <v/>
      </c>
      <c r="K3443" s="0" t="str">
        <f aca="false">IF(I3443="","",J3443*הגדרות!$E$6+I3443+1)</f>
        <v/>
      </c>
      <c r="L3443" s="0" t="str">
        <f aca="false">IF(K3443="","",MATCH(K3443,$F$2:$F$5001,0))</f>
        <v/>
      </c>
      <c r="M3443" s="0" t="str">
        <f aca="false">IF(I3443="","",INDEX(הגדרות!$A$2:$A$21,MOD(I3443+הגדרות!$E$9,הגדרות!$E$6)+1))</f>
        <v/>
      </c>
    </row>
    <row r="3444" customFormat="false" ht="15" hidden="false" customHeight="false" outlineLevel="0" collapsed="false">
      <c r="A3444" s="0" t="str">
        <f aca="false">IF('הדבקת לידים'!A3444="","",IF(ISNUMBER('הדבקת לידים'!A3444),IF(הגדרות!$E$2&gt;0,TEXT('הדבקת לידים'!A3444,REPT("0",הגדרות!$E$2)),TEXT('הדבקת לידים'!A3444,"0")),TRIM('הדבקת לידים'!A3444)))</f>
        <v/>
      </c>
      <c r="B3444" s="0" t="str">
        <f aca="false">IF('הדבקת לידים'!B3444="","",IF(ISNUMBER('הדבקת לידים'!B3444),IF(הגדרות!$E$3&gt;0,TEXT('הדבקת לידים'!B3444,REPT("0",הגדרות!$E$3)),TEXT('הדבקת לידים'!B3444,"0")),TRIM('הדבקת לידים'!B3444)))</f>
        <v/>
      </c>
      <c r="C3444" s="0" t="n">
        <f aca="false">IF(OR(A3444&lt;&gt;"",B3444&lt;&gt;""),1,0)</f>
        <v>0</v>
      </c>
      <c r="D3444" s="0" t="str">
        <f aca="false">IF(C3444=1,MOD(ABS(SIN(ROW()*12.9898+'הדבקת לידים'!$F$2*78.233+IFERROR(--RIGHT(A3444,6),LEN(A3444))*0.0137+IFERROR(--RIGHT(B3444,6),LEN(B3444))*0.0071))*43758.5453,1),"")</f>
        <v/>
      </c>
      <c r="E3444" s="0" t="str">
        <f aca="false">IF(C3444=1,INT(MOD(ABS(SIN(D3444*7919.123+ROW()*0.618+'הדבקת לידים'!$F$2*1.3))*43758.5453,1)*1000000)*10000+ROW(),"")</f>
        <v/>
      </c>
      <c r="F3444" s="0" t="str">
        <f aca="false">IF(E3444="","",RANK(E3444,$E$2:$E$5001,1))</f>
        <v/>
      </c>
      <c r="G3444" s="0" t="n">
        <f aca="false">IF(A3444="",0,IF(SUMPRODUCT(--($A$2:$A$5001=A3444))&gt;1,1,0))</f>
        <v>0</v>
      </c>
      <c r="H3444" s="0" t="n">
        <f aca="false">ROW()-1</f>
        <v>3443</v>
      </c>
      <c r="I3444" s="0" t="str">
        <f aca="false">IF(OR(הגדרות!$E$6=0,H3444&gt;הגדרות!$E$5),"",IF(H3444-1&lt;הגדרות!$E$8*(הגדרות!$E$7+1),INT((H3444-1)/(הגדרות!$E$7+1)),הגדרות!$E$8+INT((H3444-1-הגדרות!$E$8*(הגדרות!$E$7+1))/הגדרות!$E$7)))</f>
        <v/>
      </c>
      <c r="J3444" s="0" t="str">
        <f aca="false">IF(I3444="","",IF(H3444-1&lt;הגדרות!$E$8*(הגדרות!$E$7+1),MOD(H3444-1,הגדרות!$E$7+1),MOD(H3444-1-הגדרות!$E$8*(הגדרות!$E$7+1),הגדרות!$E$7)))</f>
        <v/>
      </c>
      <c r="K3444" s="0" t="str">
        <f aca="false">IF(I3444="","",J3444*הגדרות!$E$6+I3444+1)</f>
        <v/>
      </c>
      <c r="L3444" s="0" t="str">
        <f aca="false">IF(K3444="","",MATCH(K3444,$F$2:$F$5001,0))</f>
        <v/>
      </c>
      <c r="M3444" s="0" t="str">
        <f aca="false">IF(I3444="","",INDEX(הגדרות!$A$2:$A$21,MOD(I3444+הגדרות!$E$9,הגדרות!$E$6)+1))</f>
        <v/>
      </c>
    </row>
    <row r="3445" customFormat="false" ht="15" hidden="false" customHeight="false" outlineLevel="0" collapsed="false">
      <c r="A3445" s="0" t="str">
        <f aca="false">IF('הדבקת לידים'!A3445="","",IF(ISNUMBER('הדבקת לידים'!A3445),IF(הגדרות!$E$2&gt;0,TEXT('הדבקת לידים'!A3445,REPT("0",הגדרות!$E$2)),TEXT('הדבקת לידים'!A3445,"0")),TRIM('הדבקת לידים'!A3445)))</f>
        <v/>
      </c>
      <c r="B3445" s="0" t="str">
        <f aca="false">IF('הדבקת לידים'!B3445="","",IF(ISNUMBER('הדבקת לידים'!B3445),IF(הגדרות!$E$3&gt;0,TEXT('הדבקת לידים'!B3445,REPT("0",הגדרות!$E$3)),TEXT('הדבקת לידים'!B3445,"0")),TRIM('הדבקת לידים'!B3445)))</f>
        <v/>
      </c>
      <c r="C3445" s="0" t="n">
        <f aca="false">IF(OR(A3445&lt;&gt;"",B3445&lt;&gt;""),1,0)</f>
        <v>0</v>
      </c>
      <c r="D3445" s="0" t="str">
        <f aca="false">IF(C3445=1,MOD(ABS(SIN(ROW()*12.9898+'הדבקת לידים'!$F$2*78.233+IFERROR(--RIGHT(A3445,6),LEN(A3445))*0.0137+IFERROR(--RIGHT(B3445,6),LEN(B3445))*0.0071))*43758.5453,1),"")</f>
        <v/>
      </c>
      <c r="E3445" s="0" t="str">
        <f aca="false">IF(C3445=1,INT(MOD(ABS(SIN(D3445*7919.123+ROW()*0.618+'הדבקת לידים'!$F$2*1.3))*43758.5453,1)*1000000)*10000+ROW(),"")</f>
        <v/>
      </c>
      <c r="F3445" s="0" t="str">
        <f aca="false">IF(E3445="","",RANK(E3445,$E$2:$E$5001,1))</f>
        <v/>
      </c>
      <c r="G3445" s="0" t="n">
        <f aca="false">IF(A3445="",0,IF(SUMPRODUCT(--($A$2:$A$5001=A3445))&gt;1,1,0))</f>
        <v>0</v>
      </c>
      <c r="H3445" s="0" t="n">
        <f aca="false">ROW()-1</f>
        <v>3444</v>
      </c>
      <c r="I3445" s="0" t="str">
        <f aca="false">IF(OR(הגדרות!$E$6=0,H3445&gt;הגדרות!$E$5),"",IF(H3445-1&lt;הגדרות!$E$8*(הגדרות!$E$7+1),INT((H3445-1)/(הגדרות!$E$7+1)),הגדרות!$E$8+INT((H3445-1-הגדרות!$E$8*(הגדרות!$E$7+1))/הגדרות!$E$7)))</f>
        <v/>
      </c>
      <c r="J3445" s="0" t="str">
        <f aca="false">IF(I3445="","",IF(H3445-1&lt;הגדרות!$E$8*(הגדרות!$E$7+1),MOD(H3445-1,הגדרות!$E$7+1),MOD(H3445-1-הגדרות!$E$8*(הגדרות!$E$7+1),הגדרות!$E$7)))</f>
        <v/>
      </c>
      <c r="K3445" s="0" t="str">
        <f aca="false">IF(I3445="","",J3445*הגדרות!$E$6+I3445+1)</f>
        <v/>
      </c>
      <c r="L3445" s="0" t="str">
        <f aca="false">IF(K3445="","",MATCH(K3445,$F$2:$F$5001,0))</f>
        <v/>
      </c>
      <c r="M3445" s="0" t="str">
        <f aca="false">IF(I3445="","",INDEX(הגדרות!$A$2:$A$21,MOD(I3445+הגדרות!$E$9,הגדרות!$E$6)+1))</f>
        <v/>
      </c>
    </row>
    <row r="3446" customFormat="false" ht="15" hidden="false" customHeight="false" outlineLevel="0" collapsed="false">
      <c r="A3446" s="0" t="str">
        <f aca="false">IF('הדבקת לידים'!A3446="","",IF(ISNUMBER('הדבקת לידים'!A3446),IF(הגדרות!$E$2&gt;0,TEXT('הדבקת לידים'!A3446,REPT("0",הגדרות!$E$2)),TEXT('הדבקת לידים'!A3446,"0")),TRIM('הדבקת לידים'!A3446)))</f>
        <v/>
      </c>
      <c r="B3446" s="0" t="str">
        <f aca="false">IF('הדבקת לידים'!B3446="","",IF(ISNUMBER('הדבקת לידים'!B3446),IF(הגדרות!$E$3&gt;0,TEXT('הדבקת לידים'!B3446,REPT("0",הגדרות!$E$3)),TEXT('הדבקת לידים'!B3446,"0")),TRIM('הדבקת לידים'!B3446)))</f>
        <v/>
      </c>
      <c r="C3446" s="0" t="n">
        <f aca="false">IF(OR(A3446&lt;&gt;"",B3446&lt;&gt;""),1,0)</f>
        <v>0</v>
      </c>
      <c r="D3446" s="0" t="str">
        <f aca="false">IF(C3446=1,MOD(ABS(SIN(ROW()*12.9898+'הדבקת לידים'!$F$2*78.233+IFERROR(--RIGHT(A3446,6),LEN(A3446))*0.0137+IFERROR(--RIGHT(B3446,6),LEN(B3446))*0.0071))*43758.5453,1),"")</f>
        <v/>
      </c>
      <c r="E3446" s="0" t="str">
        <f aca="false">IF(C3446=1,INT(MOD(ABS(SIN(D3446*7919.123+ROW()*0.618+'הדבקת לידים'!$F$2*1.3))*43758.5453,1)*1000000)*10000+ROW(),"")</f>
        <v/>
      </c>
      <c r="F3446" s="0" t="str">
        <f aca="false">IF(E3446="","",RANK(E3446,$E$2:$E$5001,1))</f>
        <v/>
      </c>
      <c r="G3446" s="0" t="n">
        <f aca="false">IF(A3446="",0,IF(SUMPRODUCT(--($A$2:$A$5001=A3446))&gt;1,1,0))</f>
        <v>0</v>
      </c>
      <c r="H3446" s="0" t="n">
        <f aca="false">ROW()-1</f>
        <v>3445</v>
      </c>
      <c r="I3446" s="0" t="str">
        <f aca="false">IF(OR(הגדרות!$E$6=0,H3446&gt;הגדרות!$E$5),"",IF(H3446-1&lt;הגדרות!$E$8*(הגדרות!$E$7+1),INT((H3446-1)/(הגדרות!$E$7+1)),הגדרות!$E$8+INT((H3446-1-הגדרות!$E$8*(הגדרות!$E$7+1))/הגדרות!$E$7)))</f>
        <v/>
      </c>
      <c r="J3446" s="0" t="str">
        <f aca="false">IF(I3446="","",IF(H3446-1&lt;הגדרות!$E$8*(הגדרות!$E$7+1),MOD(H3446-1,הגדרות!$E$7+1),MOD(H3446-1-הגדרות!$E$8*(הגדרות!$E$7+1),הגדרות!$E$7)))</f>
        <v/>
      </c>
      <c r="K3446" s="0" t="str">
        <f aca="false">IF(I3446="","",J3446*הגדרות!$E$6+I3446+1)</f>
        <v/>
      </c>
      <c r="L3446" s="0" t="str">
        <f aca="false">IF(K3446="","",MATCH(K3446,$F$2:$F$5001,0))</f>
        <v/>
      </c>
      <c r="M3446" s="0" t="str">
        <f aca="false">IF(I3446="","",INDEX(הגדרות!$A$2:$A$21,MOD(I3446+הגדרות!$E$9,הגדרות!$E$6)+1))</f>
        <v/>
      </c>
    </row>
    <row r="3447" customFormat="false" ht="15" hidden="false" customHeight="false" outlineLevel="0" collapsed="false">
      <c r="A3447" s="0" t="str">
        <f aca="false">IF('הדבקת לידים'!A3447="","",IF(ISNUMBER('הדבקת לידים'!A3447),IF(הגדרות!$E$2&gt;0,TEXT('הדבקת לידים'!A3447,REPT("0",הגדרות!$E$2)),TEXT('הדבקת לידים'!A3447,"0")),TRIM('הדבקת לידים'!A3447)))</f>
        <v/>
      </c>
      <c r="B3447" s="0" t="str">
        <f aca="false">IF('הדבקת לידים'!B3447="","",IF(ISNUMBER('הדבקת לידים'!B3447),IF(הגדרות!$E$3&gt;0,TEXT('הדבקת לידים'!B3447,REPT("0",הגדרות!$E$3)),TEXT('הדבקת לידים'!B3447,"0")),TRIM('הדבקת לידים'!B3447)))</f>
        <v/>
      </c>
      <c r="C3447" s="0" t="n">
        <f aca="false">IF(OR(A3447&lt;&gt;"",B3447&lt;&gt;""),1,0)</f>
        <v>0</v>
      </c>
      <c r="D3447" s="0" t="str">
        <f aca="false">IF(C3447=1,MOD(ABS(SIN(ROW()*12.9898+'הדבקת לידים'!$F$2*78.233+IFERROR(--RIGHT(A3447,6),LEN(A3447))*0.0137+IFERROR(--RIGHT(B3447,6),LEN(B3447))*0.0071))*43758.5453,1),"")</f>
        <v/>
      </c>
      <c r="E3447" s="0" t="str">
        <f aca="false">IF(C3447=1,INT(MOD(ABS(SIN(D3447*7919.123+ROW()*0.618+'הדבקת לידים'!$F$2*1.3))*43758.5453,1)*1000000)*10000+ROW(),"")</f>
        <v/>
      </c>
      <c r="F3447" s="0" t="str">
        <f aca="false">IF(E3447="","",RANK(E3447,$E$2:$E$5001,1))</f>
        <v/>
      </c>
      <c r="G3447" s="0" t="n">
        <f aca="false">IF(A3447="",0,IF(SUMPRODUCT(--($A$2:$A$5001=A3447))&gt;1,1,0))</f>
        <v>0</v>
      </c>
      <c r="H3447" s="0" t="n">
        <f aca="false">ROW()-1</f>
        <v>3446</v>
      </c>
      <c r="I3447" s="0" t="str">
        <f aca="false">IF(OR(הגדרות!$E$6=0,H3447&gt;הגדרות!$E$5),"",IF(H3447-1&lt;הגדרות!$E$8*(הגדרות!$E$7+1),INT((H3447-1)/(הגדרות!$E$7+1)),הגדרות!$E$8+INT((H3447-1-הגדרות!$E$8*(הגדרות!$E$7+1))/הגדרות!$E$7)))</f>
        <v/>
      </c>
      <c r="J3447" s="0" t="str">
        <f aca="false">IF(I3447="","",IF(H3447-1&lt;הגדרות!$E$8*(הגדרות!$E$7+1),MOD(H3447-1,הגדרות!$E$7+1),MOD(H3447-1-הגדרות!$E$8*(הגדרות!$E$7+1),הגדרות!$E$7)))</f>
        <v/>
      </c>
      <c r="K3447" s="0" t="str">
        <f aca="false">IF(I3447="","",J3447*הגדרות!$E$6+I3447+1)</f>
        <v/>
      </c>
      <c r="L3447" s="0" t="str">
        <f aca="false">IF(K3447="","",MATCH(K3447,$F$2:$F$5001,0))</f>
        <v/>
      </c>
      <c r="M3447" s="0" t="str">
        <f aca="false">IF(I3447="","",INDEX(הגדרות!$A$2:$A$21,MOD(I3447+הגדרות!$E$9,הגדרות!$E$6)+1))</f>
        <v/>
      </c>
    </row>
    <row r="3448" customFormat="false" ht="15" hidden="false" customHeight="false" outlineLevel="0" collapsed="false">
      <c r="A3448" s="0" t="str">
        <f aca="false">IF('הדבקת לידים'!A3448="","",IF(ISNUMBER('הדבקת לידים'!A3448),IF(הגדרות!$E$2&gt;0,TEXT('הדבקת לידים'!A3448,REPT("0",הגדרות!$E$2)),TEXT('הדבקת לידים'!A3448,"0")),TRIM('הדבקת לידים'!A3448)))</f>
        <v/>
      </c>
      <c r="B3448" s="0" t="str">
        <f aca="false">IF('הדבקת לידים'!B3448="","",IF(ISNUMBER('הדבקת לידים'!B3448),IF(הגדרות!$E$3&gt;0,TEXT('הדבקת לידים'!B3448,REPT("0",הגדרות!$E$3)),TEXT('הדבקת לידים'!B3448,"0")),TRIM('הדבקת לידים'!B3448)))</f>
        <v/>
      </c>
      <c r="C3448" s="0" t="n">
        <f aca="false">IF(OR(A3448&lt;&gt;"",B3448&lt;&gt;""),1,0)</f>
        <v>0</v>
      </c>
      <c r="D3448" s="0" t="str">
        <f aca="false">IF(C3448=1,MOD(ABS(SIN(ROW()*12.9898+'הדבקת לידים'!$F$2*78.233+IFERROR(--RIGHT(A3448,6),LEN(A3448))*0.0137+IFERROR(--RIGHT(B3448,6),LEN(B3448))*0.0071))*43758.5453,1),"")</f>
        <v/>
      </c>
      <c r="E3448" s="0" t="str">
        <f aca="false">IF(C3448=1,INT(MOD(ABS(SIN(D3448*7919.123+ROW()*0.618+'הדבקת לידים'!$F$2*1.3))*43758.5453,1)*1000000)*10000+ROW(),"")</f>
        <v/>
      </c>
      <c r="F3448" s="0" t="str">
        <f aca="false">IF(E3448="","",RANK(E3448,$E$2:$E$5001,1))</f>
        <v/>
      </c>
      <c r="G3448" s="0" t="n">
        <f aca="false">IF(A3448="",0,IF(SUMPRODUCT(--($A$2:$A$5001=A3448))&gt;1,1,0))</f>
        <v>0</v>
      </c>
      <c r="H3448" s="0" t="n">
        <f aca="false">ROW()-1</f>
        <v>3447</v>
      </c>
      <c r="I3448" s="0" t="str">
        <f aca="false">IF(OR(הגדרות!$E$6=0,H3448&gt;הגדרות!$E$5),"",IF(H3448-1&lt;הגדרות!$E$8*(הגדרות!$E$7+1),INT((H3448-1)/(הגדרות!$E$7+1)),הגדרות!$E$8+INT((H3448-1-הגדרות!$E$8*(הגדרות!$E$7+1))/הגדרות!$E$7)))</f>
        <v/>
      </c>
      <c r="J3448" s="0" t="str">
        <f aca="false">IF(I3448="","",IF(H3448-1&lt;הגדרות!$E$8*(הגדרות!$E$7+1),MOD(H3448-1,הגדרות!$E$7+1),MOD(H3448-1-הגדרות!$E$8*(הגדרות!$E$7+1),הגדרות!$E$7)))</f>
        <v/>
      </c>
      <c r="K3448" s="0" t="str">
        <f aca="false">IF(I3448="","",J3448*הגדרות!$E$6+I3448+1)</f>
        <v/>
      </c>
      <c r="L3448" s="0" t="str">
        <f aca="false">IF(K3448="","",MATCH(K3448,$F$2:$F$5001,0))</f>
        <v/>
      </c>
      <c r="M3448" s="0" t="str">
        <f aca="false">IF(I3448="","",INDEX(הגדרות!$A$2:$A$21,MOD(I3448+הגדרות!$E$9,הגדרות!$E$6)+1))</f>
        <v/>
      </c>
    </row>
    <row r="3449" customFormat="false" ht="15" hidden="false" customHeight="false" outlineLevel="0" collapsed="false">
      <c r="A3449" s="0" t="str">
        <f aca="false">IF('הדבקת לידים'!A3449="","",IF(ISNUMBER('הדבקת לידים'!A3449),IF(הגדרות!$E$2&gt;0,TEXT('הדבקת לידים'!A3449,REPT("0",הגדרות!$E$2)),TEXT('הדבקת לידים'!A3449,"0")),TRIM('הדבקת לידים'!A3449)))</f>
        <v/>
      </c>
      <c r="B3449" s="0" t="str">
        <f aca="false">IF('הדבקת לידים'!B3449="","",IF(ISNUMBER('הדבקת לידים'!B3449),IF(הגדרות!$E$3&gt;0,TEXT('הדבקת לידים'!B3449,REPT("0",הגדרות!$E$3)),TEXT('הדבקת לידים'!B3449,"0")),TRIM('הדבקת לידים'!B3449)))</f>
        <v/>
      </c>
      <c r="C3449" s="0" t="n">
        <f aca="false">IF(OR(A3449&lt;&gt;"",B3449&lt;&gt;""),1,0)</f>
        <v>0</v>
      </c>
      <c r="D3449" s="0" t="str">
        <f aca="false">IF(C3449=1,MOD(ABS(SIN(ROW()*12.9898+'הדבקת לידים'!$F$2*78.233+IFERROR(--RIGHT(A3449,6),LEN(A3449))*0.0137+IFERROR(--RIGHT(B3449,6),LEN(B3449))*0.0071))*43758.5453,1),"")</f>
        <v/>
      </c>
      <c r="E3449" s="0" t="str">
        <f aca="false">IF(C3449=1,INT(MOD(ABS(SIN(D3449*7919.123+ROW()*0.618+'הדבקת לידים'!$F$2*1.3))*43758.5453,1)*1000000)*10000+ROW(),"")</f>
        <v/>
      </c>
      <c r="F3449" s="0" t="str">
        <f aca="false">IF(E3449="","",RANK(E3449,$E$2:$E$5001,1))</f>
        <v/>
      </c>
      <c r="G3449" s="0" t="n">
        <f aca="false">IF(A3449="",0,IF(SUMPRODUCT(--($A$2:$A$5001=A3449))&gt;1,1,0))</f>
        <v>0</v>
      </c>
      <c r="H3449" s="0" t="n">
        <f aca="false">ROW()-1</f>
        <v>3448</v>
      </c>
      <c r="I3449" s="0" t="str">
        <f aca="false">IF(OR(הגדרות!$E$6=0,H3449&gt;הגדרות!$E$5),"",IF(H3449-1&lt;הגדרות!$E$8*(הגדרות!$E$7+1),INT((H3449-1)/(הגדרות!$E$7+1)),הגדרות!$E$8+INT((H3449-1-הגדרות!$E$8*(הגדרות!$E$7+1))/הגדרות!$E$7)))</f>
        <v/>
      </c>
      <c r="J3449" s="0" t="str">
        <f aca="false">IF(I3449="","",IF(H3449-1&lt;הגדרות!$E$8*(הגדרות!$E$7+1),MOD(H3449-1,הגדרות!$E$7+1),MOD(H3449-1-הגדרות!$E$8*(הגדרות!$E$7+1),הגדרות!$E$7)))</f>
        <v/>
      </c>
      <c r="K3449" s="0" t="str">
        <f aca="false">IF(I3449="","",J3449*הגדרות!$E$6+I3449+1)</f>
        <v/>
      </c>
      <c r="L3449" s="0" t="str">
        <f aca="false">IF(K3449="","",MATCH(K3449,$F$2:$F$5001,0))</f>
        <v/>
      </c>
      <c r="M3449" s="0" t="str">
        <f aca="false">IF(I3449="","",INDEX(הגדרות!$A$2:$A$21,MOD(I3449+הגדרות!$E$9,הגדרות!$E$6)+1))</f>
        <v/>
      </c>
    </row>
    <row r="3450" customFormat="false" ht="15" hidden="false" customHeight="false" outlineLevel="0" collapsed="false">
      <c r="A3450" s="0" t="str">
        <f aca="false">IF('הדבקת לידים'!A3450="","",IF(ISNUMBER('הדבקת לידים'!A3450),IF(הגדרות!$E$2&gt;0,TEXT('הדבקת לידים'!A3450,REPT("0",הגדרות!$E$2)),TEXT('הדבקת לידים'!A3450,"0")),TRIM('הדבקת לידים'!A3450)))</f>
        <v/>
      </c>
      <c r="B3450" s="0" t="str">
        <f aca="false">IF('הדבקת לידים'!B3450="","",IF(ISNUMBER('הדבקת לידים'!B3450),IF(הגדרות!$E$3&gt;0,TEXT('הדבקת לידים'!B3450,REPT("0",הגדרות!$E$3)),TEXT('הדבקת לידים'!B3450,"0")),TRIM('הדבקת לידים'!B3450)))</f>
        <v/>
      </c>
      <c r="C3450" s="0" t="n">
        <f aca="false">IF(OR(A3450&lt;&gt;"",B3450&lt;&gt;""),1,0)</f>
        <v>0</v>
      </c>
      <c r="D3450" s="0" t="str">
        <f aca="false">IF(C3450=1,MOD(ABS(SIN(ROW()*12.9898+'הדבקת לידים'!$F$2*78.233+IFERROR(--RIGHT(A3450,6),LEN(A3450))*0.0137+IFERROR(--RIGHT(B3450,6),LEN(B3450))*0.0071))*43758.5453,1),"")</f>
        <v/>
      </c>
      <c r="E3450" s="0" t="str">
        <f aca="false">IF(C3450=1,INT(MOD(ABS(SIN(D3450*7919.123+ROW()*0.618+'הדבקת לידים'!$F$2*1.3))*43758.5453,1)*1000000)*10000+ROW(),"")</f>
        <v/>
      </c>
      <c r="F3450" s="0" t="str">
        <f aca="false">IF(E3450="","",RANK(E3450,$E$2:$E$5001,1))</f>
        <v/>
      </c>
      <c r="G3450" s="0" t="n">
        <f aca="false">IF(A3450="",0,IF(SUMPRODUCT(--($A$2:$A$5001=A3450))&gt;1,1,0))</f>
        <v>0</v>
      </c>
      <c r="H3450" s="0" t="n">
        <f aca="false">ROW()-1</f>
        <v>3449</v>
      </c>
      <c r="I3450" s="0" t="str">
        <f aca="false">IF(OR(הגדרות!$E$6=0,H3450&gt;הגדרות!$E$5),"",IF(H3450-1&lt;הגדרות!$E$8*(הגדרות!$E$7+1),INT((H3450-1)/(הגדרות!$E$7+1)),הגדרות!$E$8+INT((H3450-1-הגדרות!$E$8*(הגדרות!$E$7+1))/הגדרות!$E$7)))</f>
        <v/>
      </c>
      <c r="J3450" s="0" t="str">
        <f aca="false">IF(I3450="","",IF(H3450-1&lt;הגדרות!$E$8*(הגדרות!$E$7+1),MOD(H3450-1,הגדרות!$E$7+1),MOD(H3450-1-הגדרות!$E$8*(הגדרות!$E$7+1),הגדרות!$E$7)))</f>
        <v/>
      </c>
      <c r="K3450" s="0" t="str">
        <f aca="false">IF(I3450="","",J3450*הגדרות!$E$6+I3450+1)</f>
        <v/>
      </c>
      <c r="L3450" s="0" t="str">
        <f aca="false">IF(K3450="","",MATCH(K3450,$F$2:$F$5001,0))</f>
        <v/>
      </c>
      <c r="M3450" s="0" t="str">
        <f aca="false">IF(I3450="","",INDEX(הגדרות!$A$2:$A$21,MOD(I3450+הגדרות!$E$9,הגדרות!$E$6)+1))</f>
        <v/>
      </c>
    </row>
    <row r="3451" customFormat="false" ht="15" hidden="false" customHeight="false" outlineLevel="0" collapsed="false">
      <c r="A3451" s="0" t="str">
        <f aca="false">IF('הדבקת לידים'!A3451="","",IF(ISNUMBER('הדבקת לידים'!A3451),IF(הגדרות!$E$2&gt;0,TEXT('הדבקת לידים'!A3451,REPT("0",הגדרות!$E$2)),TEXT('הדבקת לידים'!A3451,"0")),TRIM('הדבקת לידים'!A3451)))</f>
        <v/>
      </c>
      <c r="B3451" s="0" t="str">
        <f aca="false">IF('הדבקת לידים'!B3451="","",IF(ISNUMBER('הדבקת לידים'!B3451),IF(הגדרות!$E$3&gt;0,TEXT('הדבקת לידים'!B3451,REPT("0",הגדרות!$E$3)),TEXT('הדבקת לידים'!B3451,"0")),TRIM('הדבקת לידים'!B3451)))</f>
        <v/>
      </c>
      <c r="C3451" s="0" t="n">
        <f aca="false">IF(OR(A3451&lt;&gt;"",B3451&lt;&gt;""),1,0)</f>
        <v>0</v>
      </c>
      <c r="D3451" s="0" t="str">
        <f aca="false">IF(C3451=1,MOD(ABS(SIN(ROW()*12.9898+'הדבקת לידים'!$F$2*78.233+IFERROR(--RIGHT(A3451,6),LEN(A3451))*0.0137+IFERROR(--RIGHT(B3451,6),LEN(B3451))*0.0071))*43758.5453,1),"")</f>
        <v/>
      </c>
      <c r="E3451" s="0" t="str">
        <f aca="false">IF(C3451=1,INT(MOD(ABS(SIN(D3451*7919.123+ROW()*0.618+'הדבקת לידים'!$F$2*1.3))*43758.5453,1)*1000000)*10000+ROW(),"")</f>
        <v/>
      </c>
      <c r="F3451" s="0" t="str">
        <f aca="false">IF(E3451="","",RANK(E3451,$E$2:$E$5001,1))</f>
        <v/>
      </c>
      <c r="G3451" s="0" t="n">
        <f aca="false">IF(A3451="",0,IF(SUMPRODUCT(--($A$2:$A$5001=A3451))&gt;1,1,0))</f>
        <v>0</v>
      </c>
      <c r="H3451" s="0" t="n">
        <f aca="false">ROW()-1</f>
        <v>3450</v>
      </c>
      <c r="I3451" s="0" t="str">
        <f aca="false">IF(OR(הגדרות!$E$6=0,H3451&gt;הגדרות!$E$5),"",IF(H3451-1&lt;הגדרות!$E$8*(הגדרות!$E$7+1),INT((H3451-1)/(הגדרות!$E$7+1)),הגדרות!$E$8+INT((H3451-1-הגדרות!$E$8*(הגדרות!$E$7+1))/הגדרות!$E$7)))</f>
        <v/>
      </c>
      <c r="J3451" s="0" t="str">
        <f aca="false">IF(I3451="","",IF(H3451-1&lt;הגדרות!$E$8*(הגדרות!$E$7+1),MOD(H3451-1,הגדרות!$E$7+1),MOD(H3451-1-הגדרות!$E$8*(הגדרות!$E$7+1),הגדרות!$E$7)))</f>
        <v/>
      </c>
      <c r="K3451" s="0" t="str">
        <f aca="false">IF(I3451="","",J3451*הגדרות!$E$6+I3451+1)</f>
        <v/>
      </c>
      <c r="L3451" s="0" t="str">
        <f aca="false">IF(K3451="","",MATCH(K3451,$F$2:$F$5001,0))</f>
        <v/>
      </c>
      <c r="M3451" s="0" t="str">
        <f aca="false">IF(I3451="","",INDEX(הגדרות!$A$2:$A$21,MOD(I3451+הגדרות!$E$9,הגדרות!$E$6)+1))</f>
        <v/>
      </c>
    </row>
    <row r="3452" customFormat="false" ht="15" hidden="false" customHeight="false" outlineLevel="0" collapsed="false">
      <c r="A3452" s="0" t="str">
        <f aca="false">IF('הדבקת לידים'!A3452="","",IF(ISNUMBER('הדבקת לידים'!A3452),IF(הגדרות!$E$2&gt;0,TEXT('הדבקת לידים'!A3452,REPT("0",הגדרות!$E$2)),TEXT('הדבקת לידים'!A3452,"0")),TRIM('הדבקת לידים'!A3452)))</f>
        <v/>
      </c>
      <c r="B3452" s="0" t="str">
        <f aca="false">IF('הדבקת לידים'!B3452="","",IF(ISNUMBER('הדבקת לידים'!B3452),IF(הגדרות!$E$3&gt;0,TEXT('הדבקת לידים'!B3452,REPT("0",הגדרות!$E$3)),TEXT('הדבקת לידים'!B3452,"0")),TRIM('הדבקת לידים'!B3452)))</f>
        <v/>
      </c>
      <c r="C3452" s="0" t="n">
        <f aca="false">IF(OR(A3452&lt;&gt;"",B3452&lt;&gt;""),1,0)</f>
        <v>0</v>
      </c>
      <c r="D3452" s="0" t="str">
        <f aca="false">IF(C3452=1,MOD(ABS(SIN(ROW()*12.9898+'הדבקת לידים'!$F$2*78.233+IFERROR(--RIGHT(A3452,6),LEN(A3452))*0.0137+IFERROR(--RIGHT(B3452,6),LEN(B3452))*0.0071))*43758.5453,1),"")</f>
        <v/>
      </c>
      <c r="E3452" s="0" t="str">
        <f aca="false">IF(C3452=1,INT(MOD(ABS(SIN(D3452*7919.123+ROW()*0.618+'הדבקת לידים'!$F$2*1.3))*43758.5453,1)*1000000)*10000+ROW(),"")</f>
        <v/>
      </c>
      <c r="F3452" s="0" t="str">
        <f aca="false">IF(E3452="","",RANK(E3452,$E$2:$E$5001,1))</f>
        <v/>
      </c>
      <c r="G3452" s="0" t="n">
        <f aca="false">IF(A3452="",0,IF(SUMPRODUCT(--($A$2:$A$5001=A3452))&gt;1,1,0))</f>
        <v>0</v>
      </c>
      <c r="H3452" s="0" t="n">
        <f aca="false">ROW()-1</f>
        <v>3451</v>
      </c>
      <c r="I3452" s="0" t="str">
        <f aca="false">IF(OR(הגדרות!$E$6=0,H3452&gt;הגדרות!$E$5),"",IF(H3452-1&lt;הגדרות!$E$8*(הגדרות!$E$7+1),INT((H3452-1)/(הגדרות!$E$7+1)),הגדרות!$E$8+INT((H3452-1-הגדרות!$E$8*(הגדרות!$E$7+1))/הגדרות!$E$7)))</f>
        <v/>
      </c>
      <c r="J3452" s="0" t="str">
        <f aca="false">IF(I3452="","",IF(H3452-1&lt;הגדרות!$E$8*(הגדרות!$E$7+1),MOD(H3452-1,הגדרות!$E$7+1),MOD(H3452-1-הגדרות!$E$8*(הגדרות!$E$7+1),הגדרות!$E$7)))</f>
        <v/>
      </c>
      <c r="K3452" s="0" t="str">
        <f aca="false">IF(I3452="","",J3452*הגדרות!$E$6+I3452+1)</f>
        <v/>
      </c>
      <c r="L3452" s="0" t="str">
        <f aca="false">IF(K3452="","",MATCH(K3452,$F$2:$F$5001,0))</f>
        <v/>
      </c>
      <c r="M3452" s="0" t="str">
        <f aca="false">IF(I3452="","",INDEX(הגדרות!$A$2:$A$21,MOD(I3452+הגדרות!$E$9,הגדרות!$E$6)+1))</f>
        <v/>
      </c>
    </row>
    <row r="3453" customFormat="false" ht="15" hidden="false" customHeight="false" outlineLevel="0" collapsed="false">
      <c r="A3453" s="0" t="str">
        <f aca="false">IF('הדבקת לידים'!A3453="","",IF(ISNUMBER('הדבקת לידים'!A3453),IF(הגדרות!$E$2&gt;0,TEXT('הדבקת לידים'!A3453,REPT("0",הגדרות!$E$2)),TEXT('הדבקת לידים'!A3453,"0")),TRIM('הדבקת לידים'!A3453)))</f>
        <v/>
      </c>
      <c r="B3453" s="0" t="str">
        <f aca="false">IF('הדבקת לידים'!B3453="","",IF(ISNUMBER('הדבקת לידים'!B3453),IF(הגדרות!$E$3&gt;0,TEXT('הדבקת לידים'!B3453,REPT("0",הגדרות!$E$3)),TEXT('הדבקת לידים'!B3453,"0")),TRIM('הדבקת לידים'!B3453)))</f>
        <v/>
      </c>
      <c r="C3453" s="0" t="n">
        <f aca="false">IF(OR(A3453&lt;&gt;"",B3453&lt;&gt;""),1,0)</f>
        <v>0</v>
      </c>
      <c r="D3453" s="0" t="str">
        <f aca="false">IF(C3453=1,MOD(ABS(SIN(ROW()*12.9898+'הדבקת לידים'!$F$2*78.233+IFERROR(--RIGHT(A3453,6),LEN(A3453))*0.0137+IFERROR(--RIGHT(B3453,6),LEN(B3453))*0.0071))*43758.5453,1),"")</f>
        <v/>
      </c>
      <c r="E3453" s="0" t="str">
        <f aca="false">IF(C3453=1,INT(MOD(ABS(SIN(D3453*7919.123+ROW()*0.618+'הדבקת לידים'!$F$2*1.3))*43758.5453,1)*1000000)*10000+ROW(),"")</f>
        <v/>
      </c>
      <c r="F3453" s="0" t="str">
        <f aca="false">IF(E3453="","",RANK(E3453,$E$2:$E$5001,1))</f>
        <v/>
      </c>
      <c r="G3453" s="0" t="n">
        <f aca="false">IF(A3453="",0,IF(SUMPRODUCT(--($A$2:$A$5001=A3453))&gt;1,1,0))</f>
        <v>0</v>
      </c>
      <c r="H3453" s="0" t="n">
        <f aca="false">ROW()-1</f>
        <v>3452</v>
      </c>
      <c r="I3453" s="0" t="str">
        <f aca="false">IF(OR(הגדרות!$E$6=0,H3453&gt;הגדרות!$E$5),"",IF(H3453-1&lt;הגדרות!$E$8*(הגדרות!$E$7+1),INT((H3453-1)/(הגדרות!$E$7+1)),הגדרות!$E$8+INT((H3453-1-הגדרות!$E$8*(הגדרות!$E$7+1))/הגדרות!$E$7)))</f>
        <v/>
      </c>
      <c r="J3453" s="0" t="str">
        <f aca="false">IF(I3453="","",IF(H3453-1&lt;הגדרות!$E$8*(הגדרות!$E$7+1),MOD(H3453-1,הגדרות!$E$7+1),MOD(H3453-1-הגדרות!$E$8*(הגדרות!$E$7+1),הגדרות!$E$7)))</f>
        <v/>
      </c>
      <c r="K3453" s="0" t="str">
        <f aca="false">IF(I3453="","",J3453*הגדרות!$E$6+I3453+1)</f>
        <v/>
      </c>
      <c r="L3453" s="0" t="str">
        <f aca="false">IF(K3453="","",MATCH(K3453,$F$2:$F$5001,0))</f>
        <v/>
      </c>
      <c r="M3453" s="0" t="str">
        <f aca="false">IF(I3453="","",INDEX(הגדרות!$A$2:$A$21,MOD(I3453+הגדרות!$E$9,הגדרות!$E$6)+1))</f>
        <v/>
      </c>
    </row>
    <row r="3454" customFormat="false" ht="15" hidden="false" customHeight="false" outlineLevel="0" collapsed="false">
      <c r="A3454" s="0" t="str">
        <f aca="false">IF('הדבקת לידים'!A3454="","",IF(ISNUMBER('הדבקת לידים'!A3454),IF(הגדרות!$E$2&gt;0,TEXT('הדבקת לידים'!A3454,REPT("0",הגדרות!$E$2)),TEXT('הדבקת לידים'!A3454,"0")),TRIM('הדבקת לידים'!A3454)))</f>
        <v/>
      </c>
      <c r="B3454" s="0" t="str">
        <f aca="false">IF('הדבקת לידים'!B3454="","",IF(ISNUMBER('הדבקת לידים'!B3454),IF(הגדרות!$E$3&gt;0,TEXT('הדבקת לידים'!B3454,REPT("0",הגדרות!$E$3)),TEXT('הדבקת לידים'!B3454,"0")),TRIM('הדבקת לידים'!B3454)))</f>
        <v/>
      </c>
      <c r="C3454" s="0" t="n">
        <f aca="false">IF(OR(A3454&lt;&gt;"",B3454&lt;&gt;""),1,0)</f>
        <v>0</v>
      </c>
      <c r="D3454" s="0" t="str">
        <f aca="false">IF(C3454=1,MOD(ABS(SIN(ROW()*12.9898+'הדבקת לידים'!$F$2*78.233+IFERROR(--RIGHT(A3454,6),LEN(A3454))*0.0137+IFERROR(--RIGHT(B3454,6),LEN(B3454))*0.0071))*43758.5453,1),"")</f>
        <v/>
      </c>
      <c r="E3454" s="0" t="str">
        <f aca="false">IF(C3454=1,INT(MOD(ABS(SIN(D3454*7919.123+ROW()*0.618+'הדבקת לידים'!$F$2*1.3))*43758.5453,1)*1000000)*10000+ROW(),"")</f>
        <v/>
      </c>
      <c r="F3454" s="0" t="str">
        <f aca="false">IF(E3454="","",RANK(E3454,$E$2:$E$5001,1))</f>
        <v/>
      </c>
      <c r="G3454" s="0" t="n">
        <f aca="false">IF(A3454="",0,IF(SUMPRODUCT(--($A$2:$A$5001=A3454))&gt;1,1,0))</f>
        <v>0</v>
      </c>
      <c r="H3454" s="0" t="n">
        <f aca="false">ROW()-1</f>
        <v>3453</v>
      </c>
      <c r="I3454" s="0" t="str">
        <f aca="false">IF(OR(הגדרות!$E$6=0,H3454&gt;הגדרות!$E$5),"",IF(H3454-1&lt;הגדרות!$E$8*(הגדרות!$E$7+1),INT((H3454-1)/(הגדרות!$E$7+1)),הגדרות!$E$8+INT((H3454-1-הגדרות!$E$8*(הגדרות!$E$7+1))/הגדרות!$E$7)))</f>
        <v/>
      </c>
      <c r="J3454" s="0" t="str">
        <f aca="false">IF(I3454="","",IF(H3454-1&lt;הגדרות!$E$8*(הגדרות!$E$7+1),MOD(H3454-1,הגדרות!$E$7+1),MOD(H3454-1-הגדרות!$E$8*(הגדרות!$E$7+1),הגדרות!$E$7)))</f>
        <v/>
      </c>
      <c r="K3454" s="0" t="str">
        <f aca="false">IF(I3454="","",J3454*הגדרות!$E$6+I3454+1)</f>
        <v/>
      </c>
      <c r="L3454" s="0" t="str">
        <f aca="false">IF(K3454="","",MATCH(K3454,$F$2:$F$5001,0))</f>
        <v/>
      </c>
      <c r="M3454" s="0" t="str">
        <f aca="false">IF(I3454="","",INDEX(הגדרות!$A$2:$A$21,MOD(I3454+הגדרות!$E$9,הגדרות!$E$6)+1))</f>
        <v/>
      </c>
    </row>
    <row r="3455" customFormat="false" ht="15" hidden="false" customHeight="false" outlineLevel="0" collapsed="false">
      <c r="A3455" s="0" t="str">
        <f aca="false">IF('הדבקת לידים'!A3455="","",IF(ISNUMBER('הדבקת לידים'!A3455),IF(הגדרות!$E$2&gt;0,TEXT('הדבקת לידים'!A3455,REPT("0",הגדרות!$E$2)),TEXT('הדבקת לידים'!A3455,"0")),TRIM('הדבקת לידים'!A3455)))</f>
        <v/>
      </c>
      <c r="B3455" s="0" t="str">
        <f aca="false">IF('הדבקת לידים'!B3455="","",IF(ISNUMBER('הדבקת לידים'!B3455),IF(הגדרות!$E$3&gt;0,TEXT('הדבקת לידים'!B3455,REPT("0",הגדרות!$E$3)),TEXT('הדבקת לידים'!B3455,"0")),TRIM('הדבקת לידים'!B3455)))</f>
        <v/>
      </c>
      <c r="C3455" s="0" t="n">
        <f aca="false">IF(OR(A3455&lt;&gt;"",B3455&lt;&gt;""),1,0)</f>
        <v>0</v>
      </c>
      <c r="D3455" s="0" t="str">
        <f aca="false">IF(C3455=1,MOD(ABS(SIN(ROW()*12.9898+'הדבקת לידים'!$F$2*78.233+IFERROR(--RIGHT(A3455,6),LEN(A3455))*0.0137+IFERROR(--RIGHT(B3455,6),LEN(B3455))*0.0071))*43758.5453,1),"")</f>
        <v/>
      </c>
      <c r="E3455" s="0" t="str">
        <f aca="false">IF(C3455=1,INT(MOD(ABS(SIN(D3455*7919.123+ROW()*0.618+'הדבקת לידים'!$F$2*1.3))*43758.5453,1)*1000000)*10000+ROW(),"")</f>
        <v/>
      </c>
      <c r="F3455" s="0" t="str">
        <f aca="false">IF(E3455="","",RANK(E3455,$E$2:$E$5001,1))</f>
        <v/>
      </c>
      <c r="G3455" s="0" t="n">
        <f aca="false">IF(A3455="",0,IF(SUMPRODUCT(--($A$2:$A$5001=A3455))&gt;1,1,0))</f>
        <v>0</v>
      </c>
      <c r="H3455" s="0" t="n">
        <f aca="false">ROW()-1</f>
        <v>3454</v>
      </c>
      <c r="I3455" s="0" t="str">
        <f aca="false">IF(OR(הגדרות!$E$6=0,H3455&gt;הגדרות!$E$5),"",IF(H3455-1&lt;הגדרות!$E$8*(הגדרות!$E$7+1),INT((H3455-1)/(הגדרות!$E$7+1)),הגדרות!$E$8+INT((H3455-1-הגדרות!$E$8*(הגדרות!$E$7+1))/הגדרות!$E$7)))</f>
        <v/>
      </c>
      <c r="J3455" s="0" t="str">
        <f aca="false">IF(I3455="","",IF(H3455-1&lt;הגדרות!$E$8*(הגדרות!$E$7+1),MOD(H3455-1,הגדרות!$E$7+1),MOD(H3455-1-הגדרות!$E$8*(הגדרות!$E$7+1),הגדרות!$E$7)))</f>
        <v/>
      </c>
      <c r="K3455" s="0" t="str">
        <f aca="false">IF(I3455="","",J3455*הגדרות!$E$6+I3455+1)</f>
        <v/>
      </c>
      <c r="L3455" s="0" t="str">
        <f aca="false">IF(K3455="","",MATCH(K3455,$F$2:$F$5001,0))</f>
        <v/>
      </c>
      <c r="M3455" s="0" t="str">
        <f aca="false">IF(I3455="","",INDEX(הגדרות!$A$2:$A$21,MOD(I3455+הגדרות!$E$9,הגדרות!$E$6)+1))</f>
        <v/>
      </c>
    </row>
    <row r="3456" customFormat="false" ht="15" hidden="false" customHeight="false" outlineLevel="0" collapsed="false">
      <c r="A3456" s="0" t="str">
        <f aca="false">IF('הדבקת לידים'!A3456="","",IF(ISNUMBER('הדבקת לידים'!A3456),IF(הגדרות!$E$2&gt;0,TEXT('הדבקת לידים'!A3456,REPT("0",הגדרות!$E$2)),TEXT('הדבקת לידים'!A3456,"0")),TRIM('הדבקת לידים'!A3456)))</f>
        <v/>
      </c>
      <c r="B3456" s="0" t="str">
        <f aca="false">IF('הדבקת לידים'!B3456="","",IF(ISNUMBER('הדבקת לידים'!B3456),IF(הגדרות!$E$3&gt;0,TEXT('הדבקת לידים'!B3456,REPT("0",הגדרות!$E$3)),TEXT('הדבקת לידים'!B3456,"0")),TRIM('הדבקת לידים'!B3456)))</f>
        <v/>
      </c>
      <c r="C3456" s="0" t="n">
        <f aca="false">IF(OR(A3456&lt;&gt;"",B3456&lt;&gt;""),1,0)</f>
        <v>0</v>
      </c>
      <c r="D3456" s="0" t="str">
        <f aca="false">IF(C3456=1,MOD(ABS(SIN(ROW()*12.9898+'הדבקת לידים'!$F$2*78.233+IFERROR(--RIGHT(A3456,6),LEN(A3456))*0.0137+IFERROR(--RIGHT(B3456,6),LEN(B3456))*0.0071))*43758.5453,1),"")</f>
        <v/>
      </c>
      <c r="E3456" s="0" t="str">
        <f aca="false">IF(C3456=1,INT(MOD(ABS(SIN(D3456*7919.123+ROW()*0.618+'הדבקת לידים'!$F$2*1.3))*43758.5453,1)*1000000)*10000+ROW(),"")</f>
        <v/>
      </c>
      <c r="F3456" s="0" t="str">
        <f aca="false">IF(E3456="","",RANK(E3456,$E$2:$E$5001,1))</f>
        <v/>
      </c>
      <c r="G3456" s="0" t="n">
        <f aca="false">IF(A3456="",0,IF(SUMPRODUCT(--($A$2:$A$5001=A3456))&gt;1,1,0))</f>
        <v>0</v>
      </c>
      <c r="H3456" s="0" t="n">
        <f aca="false">ROW()-1</f>
        <v>3455</v>
      </c>
      <c r="I3456" s="0" t="str">
        <f aca="false">IF(OR(הגדרות!$E$6=0,H3456&gt;הגדרות!$E$5),"",IF(H3456-1&lt;הגדרות!$E$8*(הגדרות!$E$7+1),INT((H3456-1)/(הגדרות!$E$7+1)),הגדרות!$E$8+INT((H3456-1-הגדרות!$E$8*(הגדרות!$E$7+1))/הגדרות!$E$7)))</f>
        <v/>
      </c>
      <c r="J3456" s="0" t="str">
        <f aca="false">IF(I3456="","",IF(H3456-1&lt;הגדרות!$E$8*(הגדרות!$E$7+1),MOD(H3456-1,הגדרות!$E$7+1),MOD(H3456-1-הגדרות!$E$8*(הגדרות!$E$7+1),הגדרות!$E$7)))</f>
        <v/>
      </c>
      <c r="K3456" s="0" t="str">
        <f aca="false">IF(I3456="","",J3456*הגדרות!$E$6+I3456+1)</f>
        <v/>
      </c>
      <c r="L3456" s="0" t="str">
        <f aca="false">IF(K3456="","",MATCH(K3456,$F$2:$F$5001,0))</f>
        <v/>
      </c>
      <c r="M3456" s="0" t="str">
        <f aca="false">IF(I3456="","",INDEX(הגדרות!$A$2:$A$21,MOD(I3456+הגדרות!$E$9,הגדרות!$E$6)+1))</f>
        <v/>
      </c>
    </row>
    <row r="3457" customFormat="false" ht="15" hidden="false" customHeight="false" outlineLevel="0" collapsed="false">
      <c r="A3457" s="0" t="str">
        <f aca="false">IF('הדבקת לידים'!A3457="","",IF(ISNUMBER('הדבקת לידים'!A3457),IF(הגדרות!$E$2&gt;0,TEXT('הדבקת לידים'!A3457,REPT("0",הגדרות!$E$2)),TEXT('הדבקת לידים'!A3457,"0")),TRIM('הדבקת לידים'!A3457)))</f>
        <v/>
      </c>
      <c r="B3457" s="0" t="str">
        <f aca="false">IF('הדבקת לידים'!B3457="","",IF(ISNUMBER('הדבקת לידים'!B3457),IF(הגדרות!$E$3&gt;0,TEXT('הדבקת לידים'!B3457,REPT("0",הגדרות!$E$3)),TEXT('הדבקת לידים'!B3457,"0")),TRIM('הדבקת לידים'!B3457)))</f>
        <v/>
      </c>
      <c r="C3457" s="0" t="n">
        <f aca="false">IF(OR(A3457&lt;&gt;"",B3457&lt;&gt;""),1,0)</f>
        <v>0</v>
      </c>
      <c r="D3457" s="0" t="str">
        <f aca="false">IF(C3457=1,MOD(ABS(SIN(ROW()*12.9898+'הדבקת לידים'!$F$2*78.233+IFERROR(--RIGHT(A3457,6),LEN(A3457))*0.0137+IFERROR(--RIGHT(B3457,6),LEN(B3457))*0.0071))*43758.5453,1),"")</f>
        <v/>
      </c>
      <c r="E3457" s="0" t="str">
        <f aca="false">IF(C3457=1,INT(MOD(ABS(SIN(D3457*7919.123+ROW()*0.618+'הדבקת לידים'!$F$2*1.3))*43758.5453,1)*1000000)*10000+ROW(),"")</f>
        <v/>
      </c>
      <c r="F3457" s="0" t="str">
        <f aca="false">IF(E3457="","",RANK(E3457,$E$2:$E$5001,1))</f>
        <v/>
      </c>
      <c r="G3457" s="0" t="n">
        <f aca="false">IF(A3457="",0,IF(SUMPRODUCT(--($A$2:$A$5001=A3457))&gt;1,1,0))</f>
        <v>0</v>
      </c>
      <c r="H3457" s="0" t="n">
        <f aca="false">ROW()-1</f>
        <v>3456</v>
      </c>
      <c r="I3457" s="0" t="str">
        <f aca="false">IF(OR(הגדרות!$E$6=0,H3457&gt;הגדרות!$E$5),"",IF(H3457-1&lt;הגדרות!$E$8*(הגדרות!$E$7+1),INT((H3457-1)/(הגדרות!$E$7+1)),הגדרות!$E$8+INT((H3457-1-הגדרות!$E$8*(הגדרות!$E$7+1))/הגדרות!$E$7)))</f>
        <v/>
      </c>
      <c r="J3457" s="0" t="str">
        <f aca="false">IF(I3457="","",IF(H3457-1&lt;הגדרות!$E$8*(הגדרות!$E$7+1),MOD(H3457-1,הגדרות!$E$7+1),MOD(H3457-1-הגדרות!$E$8*(הגדרות!$E$7+1),הגדרות!$E$7)))</f>
        <v/>
      </c>
      <c r="K3457" s="0" t="str">
        <f aca="false">IF(I3457="","",J3457*הגדרות!$E$6+I3457+1)</f>
        <v/>
      </c>
      <c r="L3457" s="0" t="str">
        <f aca="false">IF(K3457="","",MATCH(K3457,$F$2:$F$5001,0))</f>
        <v/>
      </c>
      <c r="M3457" s="0" t="str">
        <f aca="false">IF(I3457="","",INDEX(הגדרות!$A$2:$A$21,MOD(I3457+הגדרות!$E$9,הגדרות!$E$6)+1))</f>
        <v/>
      </c>
    </row>
    <row r="3458" customFormat="false" ht="15" hidden="false" customHeight="false" outlineLevel="0" collapsed="false">
      <c r="A3458" s="0" t="str">
        <f aca="false">IF('הדבקת לידים'!A3458="","",IF(ISNUMBER('הדבקת לידים'!A3458),IF(הגדרות!$E$2&gt;0,TEXT('הדבקת לידים'!A3458,REPT("0",הגדרות!$E$2)),TEXT('הדבקת לידים'!A3458,"0")),TRIM('הדבקת לידים'!A3458)))</f>
        <v/>
      </c>
      <c r="B3458" s="0" t="str">
        <f aca="false">IF('הדבקת לידים'!B3458="","",IF(ISNUMBER('הדבקת לידים'!B3458),IF(הגדרות!$E$3&gt;0,TEXT('הדבקת לידים'!B3458,REPT("0",הגדרות!$E$3)),TEXT('הדבקת לידים'!B3458,"0")),TRIM('הדבקת לידים'!B3458)))</f>
        <v/>
      </c>
      <c r="C3458" s="0" t="n">
        <f aca="false">IF(OR(A3458&lt;&gt;"",B3458&lt;&gt;""),1,0)</f>
        <v>0</v>
      </c>
      <c r="D3458" s="0" t="str">
        <f aca="false">IF(C3458=1,MOD(ABS(SIN(ROW()*12.9898+'הדבקת לידים'!$F$2*78.233+IFERROR(--RIGHT(A3458,6),LEN(A3458))*0.0137+IFERROR(--RIGHT(B3458,6),LEN(B3458))*0.0071))*43758.5453,1),"")</f>
        <v/>
      </c>
      <c r="E3458" s="0" t="str">
        <f aca="false">IF(C3458=1,INT(MOD(ABS(SIN(D3458*7919.123+ROW()*0.618+'הדבקת לידים'!$F$2*1.3))*43758.5453,1)*1000000)*10000+ROW(),"")</f>
        <v/>
      </c>
      <c r="F3458" s="0" t="str">
        <f aca="false">IF(E3458="","",RANK(E3458,$E$2:$E$5001,1))</f>
        <v/>
      </c>
      <c r="G3458" s="0" t="n">
        <f aca="false">IF(A3458="",0,IF(SUMPRODUCT(--($A$2:$A$5001=A3458))&gt;1,1,0))</f>
        <v>0</v>
      </c>
      <c r="H3458" s="0" t="n">
        <f aca="false">ROW()-1</f>
        <v>3457</v>
      </c>
      <c r="I3458" s="0" t="str">
        <f aca="false">IF(OR(הגדרות!$E$6=0,H3458&gt;הגדרות!$E$5),"",IF(H3458-1&lt;הגדרות!$E$8*(הגדרות!$E$7+1),INT((H3458-1)/(הגדרות!$E$7+1)),הגדרות!$E$8+INT((H3458-1-הגדרות!$E$8*(הגדרות!$E$7+1))/הגדרות!$E$7)))</f>
        <v/>
      </c>
      <c r="J3458" s="0" t="str">
        <f aca="false">IF(I3458="","",IF(H3458-1&lt;הגדרות!$E$8*(הגדרות!$E$7+1),MOD(H3458-1,הגדרות!$E$7+1),MOD(H3458-1-הגדרות!$E$8*(הגדרות!$E$7+1),הגדרות!$E$7)))</f>
        <v/>
      </c>
      <c r="K3458" s="0" t="str">
        <f aca="false">IF(I3458="","",J3458*הגדרות!$E$6+I3458+1)</f>
        <v/>
      </c>
      <c r="L3458" s="0" t="str">
        <f aca="false">IF(K3458="","",MATCH(K3458,$F$2:$F$5001,0))</f>
        <v/>
      </c>
      <c r="M3458" s="0" t="str">
        <f aca="false">IF(I3458="","",INDEX(הגדרות!$A$2:$A$21,MOD(I3458+הגדרות!$E$9,הגדרות!$E$6)+1))</f>
        <v/>
      </c>
    </row>
    <row r="3459" customFormat="false" ht="15" hidden="false" customHeight="false" outlineLevel="0" collapsed="false">
      <c r="A3459" s="0" t="str">
        <f aca="false">IF('הדבקת לידים'!A3459="","",IF(ISNUMBER('הדבקת לידים'!A3459),IF(הגדרות!$E$2&gt;0,TEXT('הדבקת לידים'!A3459,REPT("0",הגדרות!$E$2)),TEXT('הדבקת לידים'!A3459,"0")),TRIM('הדבקת לידים'!A3459)))</f>
        <v/>
      </c>
      <c r="B3459" s="0" t="str">
        <f aca="false">IF('הדבקת לידים'!B3459="","",IF(ISNUMBER('הדבקת לידים'!B3459),IF(הגדרות!$E$3&gt;0,TEXT('הדבקת לידים'!B3459,REPT("0",הגדרות!$E$3)),TEXT('הדבקת לידים'!B3459,"0")),TRIM('הדבקת לידים'!B3459)))</f>
        <v/>
      </c>
      <c r="C3459" s="0" t="n">
        <f aca="false">IF(OR(A3459&lt;&gt;"",B3459&lt;&gt;""),1,0)</f>
        <v>0</v>
      </c>
      <c r="D3459" s="0" t="str">
        <f aca="false">IF(C3459=1,MOD(ABS(SIN(ROW()*12.9898+'הדבקת לידים'!$F$2*78.233+IFERROR(--RIGHT(A3459,6),LEN(A3459))*0.0137+IFERROR(--RIGHT(B3459,6),LEN(B3459))*0.0071))*43758.5453,1),"")</f>
        <v/>
      </c>
      <c r="E3459" s="0" t="str">
        <f aca="false">IF(C3459=1,INT(MOD(ABS(SIN(D3459*7919.123+ROW()*0.618+'הדבקת לידים'!$F$2*1.3))*43758.5453,1)*1000000)*10000+ROW(),"")</f>
        <v/>
      </c>
      <c r="F3459" s="0" t="str">
        <f aca="false">IF(E3459="","",RANK(E3459,$E$2:$E$5001,1))</f>
        <v/>
      </c>
      <c r="G3459" s="0" t="n">
        <f aca="false">IF(A3459="",0,IF(SUMPRODUCT(--($A$2:$A$5001=A3459))&gt;1,1,0))</f>
        <v>0</v>
      </c>
      <c r="H3459" s="0" t="n">
        <f aca="false">ROW()-1</f>
        <v>3458</v>
      </c>
      <c r="I3459" s="0" t="str">
        <f aca="false">IF(OR(הגדרות!$E$6=0,H3459&gt;הגדרות!$E$5),"",IF(H3459-1&lt;הגדרות!$E$8*(הגדרות!$E$7+1),INT((H3459-1)/(הגדרות!$E$7+1)),הגדרות!$E$8+INT((H3459-1-הגדרות!$E$8*(הגדרות!$E$7+1))/הגדרות!$E$7)))</f>
        <v/>
      </c>
      <c r="J3459" s="0" t="str">
        <f aca="false">IF(I3459="","",IF(H3459-1&lt;הגדרות!$E$8*(הגדרות!$E$7+1),MOD(H3459-1,הגדרות!$E$7+1),MOD(H3459-1-הגדרות!$E$8*(הגדרות!$E$7+1),הגדרות!$E$7)))</f>
        <v/>
      </c>
      <c r="K3459" s="0" t="str">
        <f aca="false">IF(I3459="","",J3459*הגדרות!$E$6+I3459+1)</f>
        <v/>
      </c>
      <c r="L3459" s="0" t="str">
        <f aca="false">IF(K3459="","",MATCH(K3459,$F$2:$F$5001,0))</f>
        <v/>
      </c>
      <c r="M3459" s="0" t="str">
        <f aca="false">IF(I3459="","",INDEX(הגדרות!$A$2:$A$21,MOD(I3459+הגדרות!$E$9,הגדרות!$E$6)+1))</f>
        <v/>
      </c>
    </row>
    <row r="3460" customFormat="false" ht="15" hidden="false" customHeight="false" outlineLevel="0" collapsed="false">
      <c r="A3460" s="0" t="str">
        <f aca="false">IF('הדבקת לידים'!A3460="","",IF(ISNUMBER('הדבקת לידים'!A3460),IF(הגדרות!$E$2&gt;0,TEXT('הדבקת לידים'!A3460,REPT("0",הגדרות!$E$2)),TEXT('הדבקת לידים'!A3460,"0")),TRIM('הדבקת לידים'!A3460)))</f>
        <v/>
      </c>
      <c r="B3460" s="0" t="str">
        <f aca="false">IF('הדבקת לידים'!B3460="","",IF(ISNUMBER('הדבקת לידים'!B3460),IF(הגדרות!$E$3&gt;0,TEXT('הדבקת לידים'!B3460,REPT("0",הגדרות!$E$3)),TEXT('הדבקת לידים'!B3460,"0")),TRIM('הדבקת לידים'!B3460)))</f>
        <v/>
      </c>
      <c r="C3460" s="0" t="n">
        <f aca="false">IF(OR(A3460&lt;&gt;"",B3460&lt;&gt;""),1,0)</f>
        <v>0</v>
      </c>
      <c r="D3460" s="0" t="str">
        <f aca="false">IF(C3460=1,MOD(ABS(SIN(ROW()*12.9898+'הדבקת לידים'!$F$2*78.233+IFERROR(--RIGHT(A3460,6),LEN(A3460))*0.0137+IFERROR(--RIGHT(B3460,6),LEN(B3460))*0.0071))*43758.5453,1),"")</f>
        <v/>
      </c>
      <c r="E3460" s="0" t="str">
        <f aca="false">IF(C3460=1,INT(MOD(ABS(SIN(D3460*7919.123+ROW()*0.618+'הדבקת לידים'!$F$2*1.3))*43758.5453,1)*1000000)*10000+ROW(),"")</f>
        <v/>
      </c>
      <c r="F3460" s="0" t="str">
        <f aca="false">IF(E3460="","",RANK(E3460,$E$2:$E$5001,1))</f>
        <v/>
      </c>
      <c r="G3460" s="0" t="n">
        <f aca="false">IF(A3460="",0,IF(SUMPRODUCT(--($A$2:$A$5001=A3460))&gt;1,1,0))</f>
        <v>0</v>
      </c>
      <c r="H3460" s="0" t="n">
        <f aca="false">ROW()-1</f>
        <v>3459</v>
      </c>
      <c r="I3460" s="0" t="str">
        <f aca="false">IF(OR(הגדרות!$E$6=0,H3460&gt;הגדרות!$E$5),"",IF(H3460-1&lt;הגדרות!$E$8*(הגדרות!$E$7+1),INT((H3460-1)/(הגדרות!$E$7+1)),הגדרות!$E$8+INT((H3460-1-הגדרות!$E$8*(הגדרות!$E$7+1))/הגדרות!$E$7)))</f>
        <v/>
      </c>
      <c r="J3460" s="0" t="str">
        <f aca="false">IF(I3460="","",IF(H3460-1&lt;הגדרות!$E$8*(הגדרות!$E$7+1),MOD(H3460-1,הגדרות!$E$7+1),MOD(H3460-1-הגדרות!$E$8*(הגדרות!$E$7+1),הגדרות!$E$7)))</f>
        <v/>
      </c>
      <c r="K3460" s="0" t="str">
        <f aca="false">IF(I3460="","",J3460*הגדרות!$E$6+I3460+1)</f>
        <v/>
      </c>
      <c r="L3460" s="0" t="str">
        <f aca="false">IF(K3460="","",MATCH(K3460,$F$2:$F$5001,0))</f>
        <v/>
      </c>
      <c r="M3460" s="0" t="str">
        <f aca="false">IF(I3460="","",INDEX(הגדרות!$A$2:$A$21,MOD(I3460+הגדרות!$E$9,הגדרות!$E$6)+1))</f>
        <v/>
      </c>
    </row>
    <row r="3461" customFormat="false" ht="15" hidden="false" customHeight="false" outlineLevel="0" collapsed="false">
      <c r="A3461" s="0" t="str">
        <f aca="false">IF('הדבקת לידים'!A3461="","",IF(ISNUMBER('הדבקת לידים'!A3461),IF(הגדרות!$E$2&gt;0,TEXT('הדבקת לידים'!A3461,REPT("0",הגדרות!$E$2)),TEXT('הדבקת לידים'!A3461,"0")),TRIM('הדבקת לידים'!A3461)))</f>
        <v/>
      </c>
      <c r="B3461" s="0" t="str">
        <f aca="false">IF('הדבקת לידים'!B3461="","",IF(ISNUMBER('הדבקת לידים'!B3461),IF(הגדרות!$E$3&gt;0,TEXT('הדבקת לידים'!B3461,REPT("0",הגדרות!$E$3)),TEXT('הדבקת לידים'!B3461,"0")),TRIM('הדבקת לידים'!B3461)))</f>
        <v/>
      </c>
      <c r="C3461" s="0" t="n">
        <f aca="false">IF(OR(A3461&lt;&gt;"",B3461&lt;&gt;""),1,0)</f>
        <v>0</v>
      </c>
      <c r="D3461" s="0" t="str">
        <f aca="false">IF(C3461=1,MOD(ABS(SIN(ROW()*12.9898+'הדבקת לידים'!$F$2*78.233+IFERROR(--RIGHT(A3461,6),LEN(A3461))*0.0137+IFERROR(--RIGHT(B3461,6),LEN(B3461))*0.0071))*43758.5453,1),"")</f>
        <v/>
      </c>
      <c r="E3461" s="0" t="str">
        <f aca="false">IF(C3461=1,INT(MOD(ABS(SIN(D3461*7919.123+ROW()*0.618+'הדבקת לידים'!$F$2*1.3))*43758.5453,1)*1000000)*10000+ROW(),"")</f>
        <v/>
      </c>
      <c r="F3461" s="0" t="str">
        <f aca="false">IF(E3461="","",RANK(E3461,$E$2:$E$5001,1))</f>
        <v/>
      </c>
      <c r="G3461" s="0" t="n">
        <f aca="false">IF(A3461="",0,IF(SUMPRODUCT(--($A$2:$A$5001=A3461))&gt;1,1,0))</f>
        <v>0</v>
      </c>
      <c r="H3461" s="0" t="n">
        <f aca="false">ROW()-1</f>
        <v>3460</v>
      </c>
      <c r="I3461" s="0" t="str">
        <f aca="false">IF(OR(הגדרות!$E$6=0,H3461&gt;הגדרות!$E$5),"",IF(H3461-1&lt;הגדרות!$E$8*(הגדרות!$E$7+1),INT((H3461-1)/(הגדרות!$E$7+1)),הגדרות!$E$8+INT((H3461-1-הגדרות!$E$8*(הגדרות!$E$7+1))/הגדרות!$E$7)))</f>
        <v/>
      </c>
      <c r="J3461" s="0" t="str">
        <f aca="false">IF(I3461="","",IF(H3461-1&lt;הגדרות!$E$8*(הגדרות!$E$7+1),MOD(H3461-1,הגדרות!$E$7+1),MOD(H3461-1-הגדרות!$E$8*(הגדרות!$E$7+1),הגדרות!$E$7)))</f>
        <v/>
      </c>
      <c r="K3461" s="0" t="str">
        <f aca="false">IF(I3461="","",J3461*הגדרות!$E$6+I3461+1)</f>
        <v/>
      </c>
      <c r="L3461" s="0" t="str">
        <f aca="false">IF(K3461="","",MATCH(K3461,$F$2:$F$5001,0))</f>
        <v/>
      </c>
      <c r="M3461" s="0" t="str">
        <f aca="false">IF(I3461="","",INDEX(הגדרות!$A$2:$A$21,MOD(I3461+הגדרות!$E$9,הגדרות!$E$6)+1))</f>
        <v/>
      </c>
    </row>
    <row r="3462" customFormat="false" ht="15" hidden="false" customHeight="false" outlineLevel="0" collapsed="false">
      <c r="A3462" s="0" t="str">
        <f aca="false">IF('הדבקת לידים'!A3462="","",IF(ISNUMBER('הדבקת לידים'!A3462),IF(הגדרות!$E$2&gt;0,TEXT('הדבקת לידים'!A3462,REPT("0",הגדרות!$E$2)),TEXT('הדבקת לידים'!A3462,"0")),TRIM('הדבקת לידים'!A3462)))</f>
        <v/>
      </c>
      <c r="B3462" s="0" t="str">
        <f aca="false">IF('הדבקת לידים'!B3462="","",IF(ISNUMBER('הדבקת לידים'!B3462),IF(הגדרות!$E$3&gt;0,TEXT('הדבקת לידים'!B3462,REPT("0",הגדרות!$E$3)),TEXT('הדבקת לידים'!B3462,"0")),TRIM('הדבקת לידים'!B3462)))</f>
        <v/>
      </c>
      <c r="C3462" s="0" t="n">
        <f aca="false">IF(OR(A3462&lt;&gt;"",B3462&lt;&gt;""),1,0)</f>
        <v>0</v>
      </c>
      <c r="D3462" s="0" t="str">
        <f aca="false">IF(C3462=1,MOD(ABS(SIN(ROW()*12.9898+'הדבקת לידים'!$F$2*78.233+IFERROR(--RIGHT(A3462,6),LEN(A3462))*0.0137+IFERROR(--RIGHT(B3462,6),LEN(B3462))*0.0071))*43758.5453,1),"")</f>
        <v/>
      </c>
      <c r="E3462" s="0" t="str">
        <f aca="false">IF(C3462=1,INT(MOD(ABS(SIN(D3462*7919.123+ROW()*0.618+'הדבקת לידים'!$F$2*1.3))*43758.5453,1)*1000000)*10000+ROW(),"")</f>
        <v/>
      </c>
      <c r="F3462" s="0" t="str">
        <f aca="false">IF(E3462="","",RANK(E3462,$E$2:$E$5001,1))</f>
        <v/>
      </c>
      <c r="G3462" s="0" t="n">
        <f aca="false">IF(A3462="",0,IF(SUMPRODUCT(--($A$2:$A$5001=A3462))&gt;1,1,0))</f>
        <v>0</v>
      </c>
      <c r="H3462" s="0" t="n">
        <f aca="false">ROW()-1</f>
        <v>3461</v>
      </c>
      <c r="I3462" s="0" t="str">
        <f aca="false">IF(OR(הגדרות!$E$6=0,H3462&gt;הגדרות!$E$5),"",IF(H3462-1&lt;הגדרות!$E$8*(הגדרות!$E$7+1),INT((H3462-1)/(הגדרות!$E$7+1)),הגדרות!$E$8+INT((H3462-1-הגדרות!$E$8*(הגדרות!$E$7+1))/הגדרות!$E$7)))</f>
        <v/>
      </c>
      <c r="J3462" s="0" t="str">
        <f aca="false">IF(I3462="","",IF(H3462-1&lt;הגדרות!$E$8*(הגדרות!$E$7+1),MOD(H3462-1,הגדרות!$E$7+1),MOD(H3462-1-הגדרות!$E$8*(הגדרות!$E$7+1),הגדרות!$E$7)))</f>
        <v/>
      </c>
      <c r="K3462" s="0" t="str">
        <f aca="false">IF(I3462="","",J3462*הגדרות!$E$6+I3462+1)</f>
        <v/>
      </c>
      <c r="L3462" s="0" t="str">
        <f aca="false">IF(K3462="","",MATCH(K3462,$F$2:$F$5001,0))</f>
        <v/>
      </c>
      <c r="M3462" s="0" t="str">
        <f aca="false">IF(I3462="","",INDEX(הגדרות!$A$2:$A$21,MOD(I3462+הגדרות!$E$9,הגדרות!$E$6)+1))</f>
        <v/>
      </c>
    </row>
    <row r="3463" customFormat="false" ht="15" hidden="false" customHeight="false" outlineLevel="0" collapsed="false">
      <c r="A3463" s="0" t="str">
        <f aca="false">IF('הדבקת לידים'!A3463="","",IF(ISNUMBER('הדבקת לידים'!A3463),IF(הגדרות!$E$2&gt;0,TEXT('הדבקת לידים'!A3463,REPT("0",הגדרות!$E$2)),TEXT('הדבקת לידים'!A3463,"0")),TRIM('הדבקת לידים'!A3463)))</f>
        <v/>
      </c>
      <c r="B3463" s="0" t="str">
        <f aca="false">IF('הדבקת לידים'!B3463="","",IF(ISNUMBER('הדבקת לידים'!B3463),IF(הגדרות!$E$3&gt;0,TEXT('הדבקת לידים'!B3463,REPT("0",הגדרות!$E$3)),TEXT('הדבקת לידים'!B3463,"0")),TRIM('הדבקת לידים'!B3463)))</f>
        <v/>
      </c>
      <c r="C3463" s="0" t="n">
        <f aca="false">IF(OR(A3463&lt;&gt;"",B3463&lt;&gt;""),1,0)</f>
        <v>0</v>
      </c>
      <c r="D3463" s="0" t="str">
        <f aca="false">IF(C3463=1,MOD(ABS(SIN(ROW()*12.9898+'הדבקת לידים'!$F$2*78.233+IFERROR(--RIGHT(A3463,6),LEN(A3463))*0.0137+IFERROR(--RIGHT(B3463,6),LEN(B3463))*0.0071))*43758.5453,1),"")</f>
        <v/>
      </c>
      <c r="E3463" s="0" t="str">
        <f aca="false">IF(C3463=1,INT(MOD(ABS(SIN(D3463*7919.123+ROW()*0.618+'הדבקת לידים'!$F$2*1.3))*43758.5453,1)*1000000)*10000+ROW(),"")</f>
        <v/>
      </c>
      <c r="F3463" s="0" t="str">
        <f aca="false">IF(E3463="","",RANK(E3463,$E$2:$E$5001,1))</f>
        <v/>
      </c>
      <c r="G3463" s="0" t="n">
        <f aca="false">IF(A3463="",0,IF(SUMPRODUCT(--($A$2:$A$5001=A3463))&gt;1,1,0))</f>
        <v>0</v>
      </c>
      <c r="H3463" s="0" t="n">
        <f aca="false">ROW()-1</f>
        <v>3462</v>
      </c>
      <c r="I3463" s="0" t="str">
        <f aca="false">IF(OR(הגדרות!$E$6=0,H3463&gt;הגדרות!$E$5),"",IF(H3463-1&lt;הגדרות!$E$8*(הגדרות!$E$7+1),INT((H3463-1)/(הגדרות!$E$7+1)),הגדרות!$E$8+INT((H3463-1-הגדרות!$E$8*(הגדרות!$E$7+1))/הגדרות!$E$7)))</f>
        <v/>
      </c>
      <c r="J3463" s="0" t="str">
        <f aca="false">IF(I3463="","",IF(H3463-1&lt;הגדרות!$E$8*(הגדרות!$E$7+1),MOD(H3463-1,הגדרות!$E$7+1),MOD(H3463-1-הגדרות!$E$8*(הגדרות!$E$7+1),הגדרות!$E$7)))</f>
        <v/>
      </c>
      <c r="K3463" s="0" t="str">
        <f aca="false">IF(I3463="","",J3463*הגדרות!$E$6+I3463+1)</f>
        <v/>
      </c>
      <c r="L3463" s="0" t="str">
        <f aca="false">IF(K3463="","",MATCH(K3463,$F$2:$F$5001,0))</f>
        <v/>
      </c>
      <c r="M3463" s="0" t="str">
        <f aca="false">IF(I3463="","",INDEX(הגדרות!$A$2:$A$21,MOD(I3463+הגדרות!$E$9,הגדרות!$E$6)+1))</f>
        <v/>
      </c>
    </row>
    <row r="3464" customFormat="false" ht="15" hidden="false" customHeight="false" outlineLevel="0" collapsed="false">
      <c r="A3464" s="0" t="str">
        <f aca="false">IF('הדבקת לידים'!A3464="","",IF(ISNUMBER('הדבקת לידים'!A3464),IF(הגדרות!$E$2&gt;0,TEXT('הדבקת לידים'!A3464,REPT("0",הגדרות!$E$2)),TEXT('הדבקת לידים'!A3464,"0")),TRIM('הדבקת לידים'!A3464)))</f>
        <v/>
      </c>
      <c r="B3464" s="0" t="str">
        <f aca="false">IF('הדבקת לידים'!B3464="","",IF(ISNUMBER('הדבקת לידים'!B3464),IF(הגדרות!$E$3&gt;0,TEXT('הדבקת לידים'!B3464,REPT("0",הגדרות!$E$3)),TEXT('הדבקת לידים'!B3464,"0")),TRIM('הדבקת לידים'!B3464)))</f>
        <v/>
      </c>
      <c r="C3464" s="0" t="n">
        <f aca="false">IF(OR(A3464&lt;&gt;"",B3464&lt;&gt;""),1,0)</f>
        <v>0</v>
      </c>
      <c r="D3464" s="0" t="str">
        <f aca="false">IF(C3464=1,MOD(ABS(SIN(ROW()*12.9898+'הדבקת לידים'!$F$2*78.233+IFERROR(--RIGHT(A3464,6),LEN(A3464))*0.0137+IFERROR(--RIGHT(B3464,6),LEN(B3464))*0.0071))*43758.5453,1),"")</f>
        <v/>
      </c>
      <c r="E3464" s="0" t="str">
        <f aca="false">IF(C3464=1,INT(MOD(ABS(SIN(D3464*7919.123+ROW()*0.618+'הדבקת לידים'!$F$2*1.3))*43758.5453,1)*1000000)*10000+ROW(),"")</f>
        <v/>
      </c>
      <c r="F3464" s="0" t="str">
        <f aca="false">IF(E3464="","",RANK(E3464,$E$2:$E$5001,1))</f>
        <v/>
      </c>
      <c r="G3464" s="0" t="n">
        <f aca="false">IF(A3464="",0,IF(SUMPRODUCT(--($A$2:$A$5001=A3464))&gt;1,1,0))</f>
        <v>0</v>
      </c>
      <c r="H3464" s="0" t="n">
        <f aca="false">ROW()-1</f>
        <v>3463</v>
      </c>
      <c r="I3464" s="0" t="str">
        <f aca="false">IF(OR(הגדרות!$E$6=0,H3464&gt;הגדרות!$E$5),"",IF(H3464-1&lt;הגדרות!$E$8*(הגדרות!$E$7+1),INT((H3464-1)/(הגדרות!$E$7+1)),הגדרות!$E$8+INT((H3464-1-הגדרות!$E$8*(הגדרות!$E$7+1))/הגדרות!$E$7)))</f>
        <v/>
      </c>
      <c r="J3464" s="0" t="str">
        <f aca="false">IF(I3464="","",IF(H3464-1&lt;הגדרות!$E$8*(הגדרות!$E$7+1),MOD(H3464-1,הגדרות!$E$7+1),MOD(H3464-1-הגדרות!$E$8*(הגדרות!$E$7+1),הגדרות!$E$7)))</f>
        <v/>
      </c>
      <c r="K3464" s="0" t="str">
        <f aca="false">IF(I3464="","",J3464*הגדרות!$E$6+I3464+1)</f>
        <v/>
      </c>
      <c r="L3464" s="0" t="str">
        <f aca="false">IF(K3464="","",MATCH(K3464,$F$2:$F$5001,0))</f>
        <v/>
      </c>
      <c r="M3464" s="0" t="str">
        <f aca="false">IF(I3464="","",INDEX(הגדרות!$A$2:$A$21,MOD(I3464+הגדרות!$E$9,הגדרות!$E$6)+1))</f>
        <v/>
      </c>
    </row>
    <row r="3465" customFormat="false" ht="15" hidden="false" customHeight="false" outlineLevel="0" collapsed="false">
      <c r="A3465" s="0" t="str">
        <f aca="false">IF('הדבקת לידים'!A3465="","",IF(ISNUMBER('הדבקת לידים'!A3465),IF(הגדרות!$E$2&gt;0,TEXT('הדבקת לידים'!A3465,REPT("0",הגדרות!$E$2)),TEXT('הדבקת לידים'!A3465,"0")),TRIM('הדבקת לידים'!A3465)))</f>
        <v/>
      </c>
      <c r="B3465" s="0" t="str">
        <f aca="false">IF('הדבקת לידים'!B3465="","",IF(ISNUMBER('הדבקת לידים'!B3465),IF(הגדרות!$E$3&gt;0,TEXT('הדבקת לידים'!B3465,REPT("0",הגדרות!$E$3)),TEXT('הדבקת לידים'!B3465,"0")),TRIM('הדבקת לידים'!B3465)))</f>
        <v/>
      </c>
      <c r="C3465" s="0" t="n">
        <f aca="false">IF(OR(A3465&lt;&gt;"",B3465&lt;&gt;""),1,0)</f>
        <v>0</v>
      </c>
      <c r="D3465" s="0" t="str">
        <f aca="false">IF(C3465=1,MOD(ABS(SIN(ROW()*12.9898+'הדבקת לידים'!$F$2*78.233+IFERROR(--RIGHT(A3465,6),LEN(A3465))*0.0137+IFERROR(--RIGHT(B3465,6),LEN(B3465))*0.0071))*43758.5453,1),"")</f>
        <v/>
      </c>
      <c r="E3465" s="0" t="str">
        <f aca="false">IF(C3465=1,INT(MOD(ABS(SIN(D3465*7919.123+ROW()*0.618+'הדבקת לידים'!$F$2*1.3))*43758.5453,1)*1000000)*10000+ROW(),"")</f>
        <v/>
      </c>
      <c r="F3465" s="0" t="str">
        <f aca="false">IF(E3465="","",RANK(E3465,$E$2:$E$5001,1))</f>
        <v/>
      </c>
      <c r="G3465" s="0" t="n">
        <f aca="false">IF(A3465="",0,IF(SUMPRODUCT(--($A$2:$A$5001=A3465))&gt;1,1,0))</f>
        <v>0</v>
      </c>
      <c r="H3465" s="0" t="n">
        <f aca="false">ROW()-1</f>
        <v>3464</v>
      </c>
      <c r="I3465" s="0" t="str">
        <f aca="false">IF(OR(הגדרות!$E$6=0,H3465&gt;הגדרות!$E$5),"",IF(H3465-1&lt;הגדרות!$E$8*(הגדרות!$E$7+1),INT((H3465-1)/(הגדרות!$E$7+1)),הגדרות!$E$8+INT((H3465-1-הגדרות!$E$8*(הגדרות!$E$7+1))/הגדרות!$E$7)))</f>
        <v/>
      </c>
      <c r="J3465" s="0" t="str">
        <f aca="false">IF(I3465="","",IF(H3465-1&lt;הגדרות!$E$8*(הגדרות!$E$7+1),MOD(H3465-1,הגדרות!$E$7+1),MOD(H3465-1-הגדרות!$E$8*(הגדרות!$E$7+1),הגדרות!$E$7)))</f>
        <v/>
      </c>
      <c r="K3465" s="0" t="str">
        <f aca="false">IF(I3465="","",J3465*הגדרות!$E$6+I3465+1)</f>
        <v/>
      </c>
      <c r="L3465" s="0" t="str">
        <f aca="false">IF(K3465="","",MATCH(K3465,$F$2:$F$5001,0))</f>
        <v/>
      </c>
      <c r="M3465" s="0" t="str">
        <f aca="false">IF(I3465="","",INDEX(הגדרות!$A$2:$A$21,MOD(I3465+הגדרות!$E$9,הגדרות!$E$6)+1))</f>
        <v/>
      </c>
    </row>
    <row r="3466" customFormat="false" ht="15" hidden="false" customHeight="false" outlineLevel="0" collapsed="false">
      <c r="A3466" s="0" t="str">
        <f aca="false">IF('הדבקת לידים'!A3466="","",IF(ISNUMBER('הדבקת לידים'!A3466),IF(הגדרות!$E$2&gt;0,TEXT('הדבקת לידים'!A3466,REPT("0",הגדרות!$E$2)),TEXT('הדבקת לידים'!A3466,"0")),TRIM('הדבקת לידים'!A3466)))</f>
        <v/>
      </c>
      <c r="B3466" s="0" t="str">
        <f aca="false">IF('הדבקת לידים'!B3466="","",IF(ISNUMBER('הדבקת לידים'!B3466),IF(הגדרות!$E$3&gt;0,TEXT('הדבקת לידים'!B3466,REPT("0",הגדרות!$E$3)),TEXT('הדבקת לידים'!B3466,"0")),TRIM('הדבקת לידים'!B3466)))</f>
        <v/>
      </c>
      <c r="C3466" s="0" t="n">
        <f aca="false">IF(OR(A3466&lt;&gt;"",B3466&lt;&gt;""),1,0)</f>
        <v>0</v>
      </c>
      <c r="D3466" s="0" t="str">
        <f aca="false">IF(C3466=1,MOD(ABS(SIN(ROW()*12.9898+'הדבקת לידים'!$F$2*78.233+IFERROR(--RIGHT(A3466,6),LEN(A3466))*0.0137+IFERROR(--RIGHT(B3466,6),LEN(B3466))*0.0071))*43758.5453,1),"")</f>
        <v/>
      </c>
      <c r="E3466" s="0" t="str">
        <f aca="false">IF(C3466=1,INT(MOD(ABS(SIN(D3466*7919.123+ROW()*0.618+'הדבקת לידים'!$F$2*1.3))*43758.5453,1)*1000000)*10000+ROW(),"")</f>
        <v/>
      </c>
      <c r="F3466" s="0" t="str">
        <f aca="false">IF(E3466="","",RANK(E3466,$E$2:$E$5001,1))</f>
        <v/>
      </c>
      <c r="G3466" s="0" t="n">
        <f aca="false">IF(A3466="",0,IF(SUMPRODUCT(--($A$2:$A$5001=A3466))&gt;1,1,0))</f>
        <v>0</v>
      </c>
      <c r="H3466" s="0" t="n">
        <f aca="false">ROW()-1</f>
        <v>3465</v>
      </c>
      <c r="I3466" s="0" t="str">
        <f aca="false">IF(OR(הגדרות!$E$6=0,H3466&gt;הגדרות!$E$5),"",IF(H3466-1&lt;הגדרות!$E$8*(הגדרות!$E$7+1),INT((H3466-1)/(הגדרות!$E$7+1)),הגדרות!$E$8+INT((H3466-1-הגדרות!$E$8*(הגדרות!$E$7+1))/הגדרות!$E$7)))</f>
        <v/>
      </c>
      <c r="J3466" s="0" t="str">
        <f aca="false">IF(I3466="","",IF(H3466-1&lt;הגדרות!$E$8*(הגדרות!$E$7+1),MOD(H3466-1,הגדרות!$E$7+1),MOD(H3466-1-הגדרות!$E$8*(הגדרות!$E$7+1),הגדרות!$E$7)))</f>
        <v/>
      </c>
      <c r="K3466" s="0" t="str">
        <f aca="false">IF(I3466="","",J3466*הגדרות!$E$6+I3466+1)</f>
        <v/>
      </c>
      <c r="L3466" s="0" t="str">
        <f aca="false">IF(K3466="","",MATCH(K3466,$F$2:$F$5001,0))</f>
        <v/>
      </c>
      <c r="M3466" s="0" t="str">
        <f aca="false">IF(I3466="","",INDEX(הגדרות!$A$2:$A$21,MOD(I3466+הגדרות!$E$9,הגדרות!$E$6)+1))</f>
        <v/>
      </c>
    </row>
    <row r="3467" customFormat="false" ht="15" hidden="false" customHeight="false" outlineLevel="0" collapsed="false">
      <c r="A3467" s="0" t="str">
        <f aca="false">IF('הדבקת לידים'!A3467="","",IF(ISNUMBER('הדבקת לידים'!A3467),IF(הגדרות!$E$2&gt;0,TEXT('הדבקת לידים'!A3467,REPT("0",הגדרות!$E$2)),TEXT('הדבקת לידים'!A3467,"0")),TRIM('הדבקת לידים'!A3467)))</f>
        <v/>
      </c>
      <c r="B3467" s="0" t="str">
        <f aca="false">IF('הדבקת לידים'!B3467="","",IF(ISNUMBER('הדבקת לידים'!B3467),IF(הגדרות!$E$3&gt;0,TEXT('הדבקת לידים'!B3467,REPT("0",הגדרות!$E$3)),TEXT('הדבקת לידים'!B3467,"0")),TRIM('הדבקת לידים'!B3467)))</f>
        <v/>
      </c>
      <c r="C3467" s="0" t="n">
        <f aca="false">IF(OR(A3467&lt;&gt;"",B3467&lt;&gt;""),1,0)</f>
        <v>0</v>
      </c>
      <c r="D3467" s="0" t="str">
        <f aca="false">IF(C3467=1,MOD(ABS(SIN(ROW()*12.9898+'הדבקת לידים'!$F$2*78.233+IFERROR(--RIGHT(A3467,6),LEN(A3467))*0.0137+IFERROR(--RIGHT(B3467,6),LEN(B3467))*0.0071))*43758.5453,1),"")</f>
        <v/>
      </c>
      <c r="E3467" s="0" t="str">
        <f aca="false">IF(C3467=1,INT(MOD(ABS(SIN(D3467*7919.123+ROW()*0.618+'הדבקת לידים'!$F$2*1.3))*43758.5453,1)*1000000)*10000+ROW(),"")</f>
        <v/>
      </c>
      <c r="F3467" s="0" t="str">
        <f aca="false">IF(E3467="","",RANK(E3467,$E$2:$E$5001,1))</f>
        <v/>
      </c>
      <c r="G3467" s="0" t="n">
        <f aca="false">IF(A3467="",0,IF(SUMPRODUCT(--($A$2:$A$5001=A3467))&gt;1,1,0))</f>
        <v>0</v>
      </c>
      <c r="H3467" s="0" t="n">
        <f aca="false">ROW()-1</f>
        <v>3466</v>
      </c>
      <c r="I3467" s="0" t="str">
        <f aca="false">IF(OR(הגדרות!$E$6=0,H3467&gt;הגדרות!$E$5),"",IF(H3467-1&lt;הגדרות!$E$8*(הגדרות!$E$7+1),INT((H3467-1)/(הגדרות!$E$7+1)),הגדרות!$E$8+INT((H3467-1-הגדרות!$E$8*(הגדרות!$E$7+1))/הגדרות!$E$7)))</f>
        <v/>
      </c>
      <c r="J3467" s="0" t="str">
        <f aca="false">IF(I3467="","",IF(H3467-1&lt;הגדרות!$E$8*(הגדרות!$E$7+1),MOD(H3467-1,הגדרות!$E$7+1),MOD(H3467-1-הגדרות!$E$8*(הגדרות!$E$7+1),הגדרות!$E$7)))</f>
        <v/>
      </c>
      <c r="K3467" s="0" t="str">
        <f aca="false">IF(I3467="","",J3467*הגדרות!$E$6+I3467+1)</f>
        <v/>
      </c>
      <c r="L3467" s="0" t="str">
        <f aca="false">IF(K3467="","",MATCH(K3467,$F$2:$F$5001,0))</f>
        <v/>
      </c>
      <c r="M3467" s="0" t="str">
        <f aca="false">IF(I3467="","",INDEX(הגדרות!$A$2:$A$21,MOD(I3467+הגדרות!$E$9,הגדרות!$E$6)+1))</f>
        <v/>
      </c>
    </row>
    <row r="3468" customFormat="false" ht="15" hidden="false" customHeight="false" outlineLevel="0" collapsed="false">
      <c r="A3468" s="0" t="str">
        <f aca="false">IF('הדבקת לידים'!A3468="","",IF(ISNUMBER('הדבקת לידים'!A3468),IF(הגדרות!$E$2&gt;0,TEXT('הדבקת לידים'!A3468,REPT("0",הגדרות!$E$2)),TEXT('הדבקת לידים'!A3468,"0")),TRIM('הדבקת לידים'!A3468)))</f>
        <v/>
      </c>
      <c r="B3468" s="0" t="str">
        <f aca="false">IF('הדבקת לידים'!B3468="","",IF(ISNUMBER('הדבקת לידים'!B3468),IF(הגדרות!$E$3&gt;0,TEXT('הדבקת לידים'!B3468,REPT("0",הגדרות!$E$3)),TEXT('הדבקת לידים'!B3468,"0")),TRIM('הדבקת לידים'!B3468)))</f>
        <v/>
      </c>
      <c r="C3468" s="0" t="n">
        <f aca="false">IF(OR(A3468&lt;&gt;"",B3468&lt;&gt;""),1,0)</f>
        <v>0</v>
      </c>
      <c r="D3468" s="0" t="str">
        <f aca="false">IF(C3468=1,MOD(ABS(SIN(ROW()*12.9898+'הדבקת לידים'!$F$2*78.233+IFERROR(--RIGHT(A3468,6),LEN(A3468))*0.0137+IFERROR(--RIGHT(B3468,6),LEN(B3468))*0.0071))*43758.5453,1),"")</f>
        <v/>
      </c>
      <c r="E3468" s="0" t="str">
        <f aca="false">IF(C3468=1,INT(MOD(ABS(SIN(D3468*7919.123+ROW()*0.618+'הדבקת לידים'!$F$2*1.3))*43758.5453,1)*1000000)*10000+ROW(),"")</f>
        <v/>
      </c>
      <c r="F3468" s="0" t="str">
        <f aca="false">IF(E3468="","",RANK(E3468,$E$2:$E$5001,1))</f>
        <v/>
      </c>
      <c r="G3468" s="0" t="n">
        <f aca="false">IF(A3468="",0,IF(SUMPRODUCT(--($A$2:$A$5001=A3468))&gt;1,1,0))</f>
        <v>0</v>
      </c>
      <c r="H3468" s="0" t="n">
        <f aca="false">ROW()-1</f>
        <v>3467</v>
      </c>
      <c r="I3468" s="0" t="str">
        <f aca="false">IF(OR(הגדרות!$E$6=0,H3468&gt;הגדרות!$E$5),"",IF(H3468-1&lt;הגדרות!$E$8*(הגדרות!$E$7+1),INT((H3468-1)/(הגדרות!$E$7+1)),הגדרות!$E$8+INT((H3468-1-הגדרות!$E$8*(הגדרות!$E$7+1))/הגדרות!$E$7)))</f>
        <v/>
      </c>
      <c r="J3468" s="0" t="str">
        <f aca="false">IF(I3468="","",IF(H3468-1&lt;הגדרות!$E$8*(הגדרות!$E$7+1),MOD(H3468-1,הגדרות!$E$7+1),MOD(H3468-1-הגדרות!$E$8*(הגדרות!$E$7+1),הגדרות!$E$7)))</f>
        <v/>
      </c>
      <c r="K3468" s="0" t="str">
        <f aca="false">IF(I3468="","",J3468*הגדרות!$E$6+I3468+1)</f>
        <v/>
      </c>
      <c r="L3468" s="0" t="str">
        <f aca="false">IF(K3468="","",MATCH(K3468,$F$2:$F$5001,0))</f>
        <v/>
      </c>
      <c r="M3468" s="0" t="str">
        <f aca="false">IF(I3468="","",INDEX(הגדרות!$A$2:$A$21,MOD(I3468+הגדרות!$E$9,הגדרות!$E$6)+1))</f>
        <v/>
      </c>
    </row>
    <row r="3469" customFormat="false" ht="15" hidden="false" customHeight="false" outlineLevel="0" collapsed="false">
      <c r="A3469" s="0" t="str">
        <f aca="false">IF('הדבקת לידים'!A3469="","",IF(ISNUMBER('הדבקת לידים'!A3469),IF(הגדרות!$E$2&gt;0,TEXT('הדבקת לידים'!A3469,REPT("0",הגדרות!$E$2)),TEXT('הדבקת לידים'!A3469,"0")),TRIM('הדבקת לידים'!A3469)))</f>
        <v/>
      </c>
      <c r="B3469" s="0" t="str">
        <f aca="false">IF('הדבקת לידים'!B3469="","",IF(ISNUMBER('הדבקת לידים'!B3469),IF(הגדרות!$E$3&gt;0,TEXT('הדבקת לידים'!B3469,REPT("0",הגדרות!$E$3)),TEXT('הדבקת לידים'!B3469,"0")),TRIM('הדבקת לידים'!B3469)))</f>
        <v/>
      </c>
      <c r="C3469" s="0" t="n">
        <f aca="false">IF(OR(A3469&lt;&gt;"",B3469&lt;&gt;""),1,0)</f>
        <v>0</v>
      </c>
      <c r="D3469" s="0" t="str">
        <f aca="false">IF(C3469=1,MOD(ABS(SIN(ROW()*12.9898+'הדבקת לידים'!$F$2*78.233+IFERROR(--RIGHT(A3469,6),LEN(A3469))*0.0137+IFERROR(--RIGHT(B3469,6),LEN(B3469))*0.0071))*43758.5453,1),"")</f>
        <v/>
      </c>
      <c r="E3469" s="0" t="str">
        <f aca="false">IF(C3469=1,INT(MOD(ABS(SIN(D3469*7919.123+ROW()*0.618+'הדבקת לידים'!$F$2*1.3))*43758.5453,1)*1000000)*10000+ROW(),"")</f>
        <v/>
      </c>
      <c r="F3469" s="0" t="str">
        <f aca="false">IF(E3469="","",RANK(E3469,$E$2:$E$5001,1))</f>
        <v/>
      </c>
      <c r="G3469" s="0" t="n">
        <f aca="false">IF(A3469="",0,IF(SUMPRODUCT(--($A$2:$A$5001=A3469))&gt;1,1,0))</f>
        <v>0</v>
      </c>
      <c r="H3469" s="0" t="n">
        <f aca="false">ROW()-1</f>
        <v>3468</v>
      </c>
      <c r="I3469" s="0" t="str">
        <f aca="false">IF(OR(הגדרות!$E$6=0,H3469&gt;הגדרות!$E$5),"",IF(H3469-1&lt;הגדרות!$E$8*(הגדרות!$E$7+1),INT((H3469-1)/(הגדרות!$E$7+1)),הגדרות!$E$8+INT((H3469-1-הגדרות!$E$8*(הגדרות!$E$7+1))/הגדרות!$E$7)))</f>
        <v/>
      </c>
      <c r="J3469" s="0" t="str">
        <f aca="false">IF(I3469="","",IF(H3469-1&lt;הגדרות!$E$8*(הגדרות!$E$7+1),MOD(H3469-1,הגדרות!$E$7+1),MOD(H3469-1-הגדרות!$E$8*(הגדרות!$E$7+1),הגדרות!$E$7)))</f>
        <v/>
      </c>
      <c r="K3469" s="0" t="str">
        <f aca="false">IF(I3469="","",J3469*הגדרות!$E$6+I3469+1)</f>
        <v/>
      </c>
      <c r="L3469" s="0" t="str">
        <f aca="false">IF(K3469="","",MATCH(K3469,$F$2:$F$5001,0))</f>
        <v/>
      </c>
      <c r="M3469" s="0" t="str">
        <f aca="false">IF(I3469="","",INDEX(הגדרות!$A$2:$A$21,MOD(I3469+הגדרות!$E$9,הגדרות!$E$6)+1))</f>
        <v/>
      </c>
    </row>
    <row r="3470" customFormat="false" ht="15" hidden="false" customHeight="false" outlineLevel="0" collapsed="false">
      <c r="A3470" s="0" t="str">
        <f aca="false">IF('הדבקת לידים'!A3470="","",IF(ISNUMBER('הדבקת לידים'!A3470),IF(הגדרות!$E$2&gt;0,TEXT('הדבקת לידים'!A3470,REPT("0",הגדרות!$E$2)),TEXT('הדבקת לידים'!A3470,"0")),TRIM('הדבקת לידים'!A3470)))</f>
        <v/>
      </c>
      <c r="B3470" s="0" t="str">
        <f aca="false">IF('הדבקת לידים'!B3470="","",IF(ISNUMBER('הדבקת לידים'!B3470),IF(הגדרות!$E$3&gt;0,TEXT('הדבקת לידים'!B3470,REPT("0",הגדרות!$E$3)),TEXT('הדבקת לידים'!B3470,"0")),TRIM('הדבקת לידים'!B3470)))</f>
        <v/>
      </c>
      <c r="C3470" s="0" t="n">
        <f aca="false">IF(OR(A3470&lt;&gt;"",B3470&lt;&gt;""),1,0)</f>
        <v>0</v>
      </c>
      <c r="D3470" s="0" t="str">
        <f aca="false">IF(C3470=1,MOD(ABS(SIN(ROW()*12.9898+'הדבקת לידים'!$F$2*78.233+IFERROR(--RIGHT(A3470,6),LEN(A3470))*0.0137+IFERROR(--RIGHT(B3470,6),LEN(B3470))*0.0071))*43758.5453,1),"")</f>
        <v/>
      </c>
      <c r="E3470" s="0" t="str">
        <f aca="false">IF(C3470=1,INT(MOD(ABS(SIN(D3470*7919.123+ROW()*0.618+'הדבקת לידים'!$F$2*1.3))*43758.5453,1)*1000000)*10000+ROW(),"")</f>
        <v/>
      </c>
      <c r="F3470" s="0" t="str">
        <f aca="false">IF(E3470="","",RANK(E3470,$E$2:$E$5001,1))</f>
        <v/>
      </c>
      <c r="G3470" s="0" t="n">
        <f aca="false">IF(A3470="",0,IF(SUMPRODUCT(--($A$2:$A$5001=A3470))&gt;1,1,0))</f>
        <v>0</v>
      </c>
      <c r="H3470" s="0" t="n">
        <f aca="false">ROW()-1</f>
        <v>3469</v>
      </c>
      <c r="I3470" s="0" t="str">
        <f aca="false">IF(OR(הגדרות!$E$6=0,H3470&gt;הגדרות!$E$5),"",IF(H3470-1&lt;הגדרות!$E$8*(הגדרות!$E$7+1),INT((H3470-1)/(הגדרות!$E$7+1)),הגדרות!$E$8+INT((H3470-1-הגדרות!$E$8*(הגדרות!$E$7+1))/הגדרות!$E$7)))</f>
        <v/>
      </c>
      <c r="J3470" s="0" t="str">
        <f aca="false">IF(I3470="","",IF(H3470-1&lt;הגדרות!$E$8*(הגדרות!$E$7+1),MOD(H3470-1,הגדרות!$E$7+1),MOD(H3470-1-הגדרות!$E$8*(הגדרות!$E$7+1),הגדרות!$E$7)))</f>
        <v/>
      </c>
      <c r="K3470" s="0" t="str">
        <f aca="false">IF(I3470="","",J3470*הגדרות!$E$6+I3470+1)</f>
        <v/>
      </c>
      <c r="L3470" s="0" t="str">
        <f aca="false">IF(K3470="","",MATCH(K3470,$F$2:$F$5001,0))</f>
        <v/>
      </c>
      <c r="M3470" s="0" t="str">
        <f aca="false">IF(I3470="","",INDEX(הגדרות!$A$2:$A$21,MOD(I3470+הגדרות!$E$9,הגדרות!$E$6)+1))</f>
        <v/>
      </c>
    </row>
    <row r="3471" customFormat="false" ht="15" hidden="false" customHeight="false" outlineLevel="0" collapsed="false">
      <c r="A3471" s="0" t="str">
        <f aca="false">IF('הדבקת לידים'!A3471="","",IF(ISNUMBER('הדבקת לידים'!A3471),IF(הגדרות!$E$2&gt;0,TEXT('הדבקת לידים'!A3471,REPT("0",הגדרות!$E$2)),TEXT('הדבקת לידים'!A3471,"0")),TRIM('הדבקת לידים'!A3471)))</f>
        <v/>
      </c>
      <c r="B3471" s="0" t="str">
        <f aca="false">IF('הדבקת לידים'!B3471="","",IF(ISNUMBER('הדבקת לידים'!B3471),IF(הגדרות!$E$3&gt;0,TEXT('הדבקת לידים'!B3471,REPT("0",הגדרות!$E$3)),TEXT('הדבקת לידים'!B3471,"0")),TRIM('הדבקת לידים'!B3471)))</f>
        <v/>
      </c>
      <c r="C3471" s="0" t="n">
        <f aca="false">IF(OR(A3471&lt;&gt;"",B3471&lt;&gt;""),1,0)</f>
        <v>0</v>
      </c>
      <c r="D3471" s="0" t="str">
        <f aca="false">IF(C3471=1,MOD(ABS(SIN(ROW()*12.9898+'הדבקת לידים'!$F$2*78.233+IFERROR(--RIGHT(A3471,6),LEN(A3471))*0.0137+IFERROR(--RIGHT(B3471,6),LEN(B3471))*0.0071))*43758.5453,1),"")</f>
        <v/>
      </c>
      <c r="E3471" s="0" t="str">
        <f aca="false">IF(C3471=1,INT(MOD(ABS(SIN(D3471*7919.123+ROW()*0.618+'הדבקת לידים'!$F$2*1.3))*43758.5453,1)*1000000)*10000+ROW(),"")</f>
        <v/>
      </c>
      <c r="F3471" s="0" t="str">
        <f aca="false">IF(E3471="","",RANK(E3471,$E$2:$E$5001,1))</f>
        <v/>
      </c>
      <c r="G3471" s="0" t="n">
        <f aca="false">IF(A3471="",0,IF(SUMPRODUCT(--($A$2:$A$5001=A3471))&gt;1,1,0))</f>
        <v>0</v>
      </c>
      <c r="H3471" s="0" t="n">
        <f aca="false">ROW()-1</f>
        <v>3470</v>
      </c>
      <c r="I3471" s="0" t="str">
        <f aca="false">IF(OR(הגדרות!$E$6=0,H3471&gt;הגדרות!$E$5),"",IF(H3471-1&lt;הגדרות!$E$8*(הגדרות!$E$7+1),INT((H3471-1)/(הגדרות!$E$7+1)),הגדרות!$E$8+INT((H3471-1-הגדרות!$E$8*(הגדרות!$E$7+1))/הגדרות!$E$7)))</f>
        <v/>
      </c>
      <c r="J3471" s="0" t="str">
        <f aca="false">IF(I3471="","",IF(H3471-1&lt;הגדרות!$E$8*(הגדרות!$E$7+1),MOD(H3471-1,הגדרות!$E$7+1),MOD(H3471-1-הגדרות!$E$8*(הגדרות!$E$7+1),הגדרות!$E$7)))</f>
        <v/>
      </c>
      <c r="K3471" s="0" t="str">
        <f aca="false">IF(I3471="","",J3471*הגדרות!$E$6+I3471+1)</f>
        <v/>
      </c>
      <c r="L3471" s="0" t="str">
        <f aca="false">IF(K3471="","",MATCH(K3471,$F$2:$F$5001,0))</f>
        <v/>
      </c>
      <c r="M3471" s="0" t="str">
        <f aca="false">IF(I3471="","",INDEX(הגדרות!$A$2:$A$21,MOD(I3471+הגדרות!$E$9,הגדרות!$E$6)+1))</f>
        <v/>
      </c>
    </row>
    <row r="3472" customFormat="false" ht="15" hidden="false" customHeight="false" outlineLevel="0" collapsed="false">
      <c r="A3472" s="0" t="str">
        <f aca="false">IF('הדבקת לידים'!A3472="","",IF(ISNUMBER('הדבקת לידים'!A3472),IF(הגדרות!$E$2&gt;0,TEXT('הדבקת לידים'!A3472,REPT("0",הגדרות!$E$2)),TEXT('הדבקת לידים'!A3472,"0")),TRIM('הדבקת לידים'!A3472)))</f>
        <v/>
      </c>
      <c r="B3472" s="0" t="str">
        <f aca="false">IF('הדבקת לידים'!B3472="","",IF(ISNUMBER('הדבקת לידים'!B3472),IF(הגדרות!$E$3&gt;0,TEXT('הדבקת לידים'!B3472,REPT("0",הגדרות!$E$3)),TEXT('הדבקת לידים'!B3472,"0")),TRIM('הדבקת לידים'!B3472)))</f>
        <v/>
      </c>
      <c r="C3472" s="0" t="n">
        <f aca="false">IF(OR(A3472&lt;&gt;"",B3472&lt;&gt;""),1,0)</f>
        <v>0</v>
      </c>
      <c r="D3472" s="0" t="str">
        <f aca="false">IF(C3472=1,MOD(ABS(SIN(ROW()*12.9898+'הדבקת לידים'!$F$2*78.233+IFERROR(--RIGHT(A3472,6),LEN(A3472))*0.0137+IFERROR(--RIGHT(B3472,6),LEN(B3472))*0.0071))*43758.5453,1),"")</f>
        <v/>
      </c>
      <c r="E3472" s="0" t="str">
        <f aca="false">IF(C3472=1,INT(MOD(ABS(SIN(D3472*7919.123+ROW()*0.618+'הדבקת לידים'!$F$2*1.3))*43758.5453,1)*1000000)*10000+ROW(),"")</f>
        <v/>
      </c>
      <c r="F3472" s="0" t="str">
        <f aca="false">IF(E3472="","",RANK(E3472,$E$2:$E$5001,1))</f>
        <v/>
      </c>
      <c r="G3472" s="0" t="n">
        <f aca="false">IF(A3472="",0,IF(SUMPRODUCT(--($A$2:$A$5001=A3472))&gt;1,1,0))</f>
        <v>0</v>
      </c>
      <c r="H3472" s="0" t="n">
        <f aca="false">ROW()-1</f>
        <v>3471</v>
      </c>
      <c r="I3472" s="0" t="str">
        <f aca="false">IF(OR(הגדרות!$E$6=0,H3472&gt;הגדרות!$E$5),"",IF(H3472-1&lt;הגדרות!$E$8*(הגדרות!$E$7+1),INT((H3472-1)/(הגדרות!$E$7+1)),הגדרות!$E$8+INT((H3472-1-הגדרות!$E$8*(הגדרות!$E$7+1))/הגדרות!$E$7)))</f>
        <v/>
      </c>
      <c r="J3472" s="0" t="str">
        <f aca="false">IF(I3472="","",IF(H3472-1&lt;הגדרות!$E$8*(הגדרות!$E$7+1),MOD(H3472-1,הגדרות!$E$7+1),MOD(H3472-1-הגדרות!$E$8*(הגדרות!$E$7+1),הגדרות!$E$7)))</f>
        <v/>
      </c>
      <c r="K3472" s="0" t="str">
        <f aca="false">IF(I3472="","",J3472*הגדרות!$E$6+I3472+1)</f>
        <v/>
      </c>
      <c r="L3472" s="0" t="str">
        <f aca="false">IF(K3472="","",MATCH(K3472,$F$2:$F$5001,0))</f>
        <v/>
      </c>
      <c r="M3472" s="0" t="str">
        <f aca="false">IF(I3472="","",INDEX(הגדרות!$A$2:$A$21,MOD(I3472+הגדרות!$E$9,הגדרות!$E$6)+1))</f>
        <v/>
      </c>
    </row>
    <row r="3473" customFormat="false" ht="15" hidden="false" customHeight="false" outlineLevel="0" collapsed="false">
      <c r="A3473" s="0" t="str">
        <f aca="false">IF('הדבקת לידים'!A3473="","",IF(ISNUMBER('הדבקת לידים'!A3473),IF(הגדרות!$E$2&gt;0,TEXT('הדבקת לידים'!A3473,REPT("0",הגדרות!$E$2)),TEXT('הדבקת לידים'!A3473,"0")),TRIM('הדבקת לידים'!A3473)))</f>
        <v/>
      </c>
      <c r="B3473" s="0" t="str">
        <f aca="false">IF('הדבקת לידים'!B3473="","",IF(ISNUMBER('הדבקת לידים'!B3473),IF(הגדרות!$E$3&gt;0,TEXT('הדבקת לידים'!B3473,REPT("0",הגדרות!$E$3)),TEXT('הדבקת לידים'!B3473,"0")),TRIM('הדבקת לידים'!B3473)))</f>
        <v/>
      </c>
      <c r="C3473" s="0" t="n">
        <f aca="false">IF(OR(A3473&lt;&gt;"",B3473&lt;&gt;""),1,0)</f>
        <v>0</v>
      </c>
      <c r="D3473" s="0" t="str">
        <f aca="false">IF(C3473=1,MOD(ABS(SIN(ROW()*12.9898+'הדבקת לידים'!$F$2*78.233+IFERROR(--RIGHT(A3473,6),LEN(A3473))*0.0137+IFERROR(--RIGHT(B3473,6),LEN(B3473))*0.0071))*43758.5453,1),"")</f>
        <v/>
      </c>
      <c r="E3473" s="0" t="str">
        <f aca="false">IF(C3473=1,INT(MOD(ABS(SIN(D3473*7919.123+ROW()*0.618+'הדבקת לידים'!$F$2*1.3))*43758.5453,1)*1000000)*10000+ROW(),"")</f>
        <v/>
      </c>
      <c r="F3473" s="0" t="str">
        <f aca="false">IF(E3473="","",RANK(E3473,$E$2:$E$5001,1))</f>
        <v/>
      </c>
      <c r="G3473" s="0" t="n">
        <f aca="false">IF(A3473="",0,IF(SUMPRODUCT(--($A$2:$A$5001=A3473))&gt;1,1,0))</f>
        <v>0</v>
      </c>
      <c r="H3473" s="0" t="n">
        <f aca="false">ROW()-1</f>
        <v>3472</v>
      </c>
      <c r="I3473" s="0" t="str">
        <f aca="false">IF(OR(הגדרות!$E$6=0,H3473&gt;הגדרות!$E$5),"",IF(H3473-1&lt;הגדרות!$E$8*(הגדרות!$E$7+1),INT((H3473-1)/(הגדרות!$E$7+1)),הגדרות!$E$8+INT((H3473-1-הגדרות!$E$8*(הגדרות!$E$7+1))/הגדרות!$E$7)))</f>
        <v/>
      </c>
      <c r="J3473" s="0" t="str">
        <f aca="false">IF(I3473="","",IF(H3473-1&lt;הגדרות!$E$8*(הגדרות!$E$7+1),MOD(H3473-1,הגדרות!$E$7+1),MOD(H3473-1-הגדרות!$E$8*(הגדרות!$E$7+1),הגדרות!$E$7)))</f>
        <v/>
      </c>
      <c r="K3473" s="0" t="str">
        <f aca="false">IF(I3473="","",J3473*הגדרות!$E$6+I3473+1)</f>
        <v/>
      </c>
      <c r="L3473" s="0" t="str">
        <f aca="false">IF(K3473="","",MATCH(K3473,$F$2:$F$5001,0))</f>
        <v/>
      </c>
      <c r="M3473" s="0" t="str">
        <f aca="false">IF(I3473="","",INDEX(הגדרות!$A$2:$A$21,MOD(I3473+הגדרות!$E$9,הגדרות!$E$6)+1))</f>
        <v/>
      </c>
    </row>
    <row r="3474" customFormat="false" ht="15" hidden="false" customHeight="false" outlineLevel="0" collapsed="false">
      <c r="A3474" s="0" t="str">
        <f aca="false">IF('הדבקת לידים'!A3474="","",IF(ISNUMBER('הדבקת לידים'!A3474),IF(הגדרות!$E$2&gt;0,TEXT('הדבקת לידים'!A3474,REPT("0",הגדרות!$E$2)),TEXT('הדבקת לידים'!A3474,"0")),TRIM('הדבקת לידים'!A3474)))</f>
        <v/>
      </c>
      <c r="B3474" s="0" t="str">
        <f aca="false">IF('הדבקת לידים'!B3474="","",IF(ISNUMBER('הדבקת לידים'!B3474),IF(הגדרות!$E$3&gt;0,TEXT('הדבקת לידים'!B3474,REPT("0",הגדרות!$E$3)),TEXT('הדבקת לידים'!B3474,"0")),TRIM('הדבקת לידים'!B3474)))</f>
        <v/>
      </c>
      <c r="C3474" s="0" t="n">
        <f aca="false">IF(OR(A3474&lt;&gt;"",B3474&lt;&gt;""),1,0)</f>
        <v>0</v>
      </c>
      <c r="D3474" s="0" t="str">
        <f aca="false">IF(C3474=1,MOD(ABS(SIN(ROW()*12.9898+'הדבקת לידים'!$F$2*78.233+IFERROR(--RIGHT(A3474,6),LEN(A3474))*0.0137+IFERROR(--RIGHT(B3474,6),LEN(B3474))*0.0071))*43758.5453,1),"")</f>
        <v/>
      </c>
      <c r="E3474" s="0" t="str">
        <f aca="false">IF(C3474=1,INT(MOD(ABS(SIN(D3474*7919.123+ROW()*0.618+'הדבקת לידים'!$F$2*1.3))*43758.5453,1)*1000000)*10000+ROW(),"")</f>
        <v/>
      </c>
      <c r="F3474" s="0" t="str">
        <f aca="false">IF(E3474="","",RANK(E3474,$E$2:$E$5001,1))</f>
        <v/>
      </c>
      <c r="G3474" s="0" t="n">
        <f aca="false">IF(A3474="",0,IF(SUMPRODUCT(--($A$2:$A$5001=A3474))&gt;1,1,0))</f>
        <v>0</v>
      </c>
      <c r="H3474" s="0" t="n">
        <f aca="false">ROW()-1</f>
        <v>3473</v>
      </c>
      <c r="I3474" s="0" t="str">
        <f aca="false">IF(OR(הגדרות!$E$6=0,H3474&gt;הגדרות!$E$5),"",IF(H3474-1&lt;הגדרות!$E$8*(הגדרות!$E$7+1),INT((H3474-1)/(הגדרות!$E$7+1)),הגדרות!$E$8+INT((H3474-1-הגדרות!$E$8*(הגדרות!$E$7+1))/הגדרות!$E$7)))</f>
        <v/>
      </c>
      <c r="J3474" s="0" t="str">
        <f aca="false">IF(I3474="","",IF(H3474-1&lt;הגדרות!$E$8*(הגדרות!$E$7+1),MOD(H3474-1,הגדרות!$E$7+1),MOD(H3474-1-הגדרות!$E$8*(הגדרות!$E$7+1),הגדרות!$E$7)))</f>
        <v/>
      </c>
      <c r="K3474" s="0" t="str">
        <f aca="false">IF(I3474="","",J3474*הגדרות!$E$6+I3474+1)</f>
        <v/>
      </c>
      <c r="L3474" s="0" t="str">
        <f aca="false">IF(K3474="","",MATCH(K3474,$F$2:$F$5001,0))</f>
        <v/>
      </c>
      <c r="M3474" s="0" t="str">
        <f aca="false">IF(I3474="","",INDEX(הגדרות!$A$2:$A$21,MOD(I3474+הגדרות!$E$9,הגדרות!$E$6)+1))</f>
        <v/>
      </c>
    </row>
    <row r="3475" customFormat="false" ht="15" hidden="false" customHeight="false" outlineLevel="0" collapsed="false">
      <c r="A3475" s="0" t="str">
        <f aca="false">IF('הדבקת לידים'!A3475="","",IF(ISNUMBER('הדבקת לידים'!A3475),IF(הגדרות!$E$2&gt;0,TEXT('הדבקת לידים'!A3475,REPT("0",הגדרות!$E$2)),TEXT('הדבקת לידים'!A3475,"0")),TRIM('הדבקת לידים'!A3475)))</f>
        <v/>
      </c>
      <c r="B3475" s="0" t="str">
        <f aca="false">IF('הדבקת לידים'!B3475="","",IF(ISNUMBER('הדבקת לידים'!B3475),IF(הגדרות!$E$3&gt;0,TEXT('הדבקת לידים'!B3475,REPT("0",הגדרות!$E$3)),TEXT('הדבקת לידים'!B3475,"0")),TRIM('הדבקת לידים'!B3475)))</f>
        <v/>
      </c>
      <c r="C3475" s="0" t="n">
        <f aca="false">IF(OR(A3475&lt;&gt;"",B3475&lt;&gt;""),1,0)</f>
        <v>0</v>
      </c>
      <c r="D3475" s="0" t="str">
        <f aca="false">IF(C3475=1,MOD(ABS(SIN(ROW()*12.9898+'הדבקת לידים'!$F$2*78.233+IFERROR(--RIGHT(A3475,6),LEN(A3475))*0.0137+IFERROR(--RIGHT(B3475,6),LEN(B3475))*0.0071))*43758.5453,1),"")</f>
        <v/>
      </c>
      <c r="E3475" s="0" t="str">
        <f aca="false">IF(C3475=1,INT(MOD(ABS(SIN(D3475*7919.123+ROW()*0.618+'הדבקת לידים'!$F$2*1.3))*43758.5453,1)*1000000)*10000+ROW(),"")</f>
        <v/>
      </c>
      <c r="F3475" s="0" t="str">
        <f aca="false">IF(E3475="","",RANK(E3475,$E$2:$E$5001,1))</f>
        <v/>
      </c>
      <c r="G3475" s="0" t="n">
        <f aca="false">IF(A3475="",0,IF(SUMPRODUCT(--($A$2:$A$5001=A3475))&gt;1,1,0))</f>
        <v>0</v>
      </c>
      <c r="H3475" s="0" t="n">
        <f aca="false">ROW()-1</f>
        <v>3474</v>
      </c>
      <c r="I3475" s="0" t="str">
        <f aca="false">IF(OR(הגדרות!$E$6=0,H3475&gt;הגדרות!$E$5),"",IF(H3475-1&lt;הגדרות!$E$8*(הגדרות!$E$7+1),INT((H3475-1)/(הגדרות!$E$7+1)),הגדרות!$E$8+INT((H3475-1-הגדרות!$E$8*(הגדרות!$E$7+1))/הגדרות!$E$7)))</f>
        <v/>
      </c>
      <c r="J3475" s="0" t="str">
        <f aca="false">IF(I3475="","",IF(H3475-1&lt;הגדרות!$E$8*(הגדרות!$E$7+1),MOD(H3475-1,הגדרות!$E$7+1),MOD(H3475-1-הגדרות!$E$8*(הגדרות!$E$7+1),הגדרות!$E$7)))</f>
        <v/>
      </c>
      <c r="K3475" s="0" t="str">
        <f aca="false">IF(I3475="","",J3475*הגדרות!$E$6+I3475+1)</f>
        <v/>
      </c>
      <c r="L3475" s="0" t="str">
        <f aca="false">IF(K3475="","",MATCH(K3475,$F$2:$F$5001,0))</f>
        <v/>
      </c>
      <c r="M3475" s="0" t="str">
        <f aca="false">IF(I3475="","",INDEX(הגדרות!$A$2:$A$21,MOD(I3475+הגדרות!$E$9,הגדרות!$E$6)+1))</f>
        <v/>
      </c>
    </row>
    <row r="3476" customFormat="false" ht="15" hidden="false" customHeight="false" outlineLevel="0" collapsed="false">
      <c r="A3476" s="0" t="str">
        <f aca="false">IF('הדבקת לידים'!A3476="","",IF(ISNUMBER('הדבקת לידים'!A3476),IF(הגדרות!$E$2&gt;0,TEXT('הדבקת לידים'!A3476,REPT("0",הגדרות!$E$2)),TEXT('הדבקת לידים'!A3476,"0")),TRIM('הדבקת לידים'!A3476)))</f>
        <v/>
      </c>
      <c r="B3476" s="0" t="str">
        <f aca="false">IF('הדבקת לידים'!B3476="","",IF(ISNUMBER('הדבקת לידים'!B3476),IF(הגדרות!$E$3&gt;0,TEXT('הדבקת לידים'!B3476,REPT("0",הגדרות!$E$3)),TEXT('הדבקת לידים'!B3476,"0")),TRIM('הדבקת לידים'!B3476)))</f>
        <v/>
      </c>
      <c r="C3476" s="0" t="n">
        <f aca="false">IF(OR(A3476&lt;&gt;"",B3476&lt;&gt;""),1,0)</f>
        <v>0</v>
      </c>
      <c r="D3476" s="0" t="str">
        <f aca="false">IF(C3476=1,MOD(ABS(SIN(ROW()*12.9898+'הדבקת לידים'!$F$2*78.233+IFERROR(--RIGHT(A3476,6),LEN(A3476))*0.0137+IFERROR(--RIGHT(B3476,6),LEN(B3476))*0.0071))*43758.5453,1),"")</f>
        <v/>
      </c>
      <c r="E3476" s="0" t="str">
        <f aca="false">IF(C3476=1,INT(MOD(ABS(SIN(D3476*7919.123+ROW()*0.618+'הדבקת לידים'!$F$2*1.3))*43758.5453,1)*1000000)*10000+ROW(),"")</f>
        <v/>
      </c>
      <c r="F3476" s="0" t="str">
        <f aca="false">IF(E3476="","",RANK(E3476,$E$2:$E$5001,1))</f>
        <v/>
      </c>
      <c r="G3476" s="0" t="n">
        <f aca="false">IF(A3476="",0,IF(SUMPRODUCT(--($A$2:$A$5001=A3476))&gt;1,1,0))</f>
        <v>0</v>
      </c>
      <c r="H3476" s="0" t="n">
        <f aca="false">ROW()-1</f>
        <v>3475</v>
      </c>
      <c r="I3476" s="0" t="str">
        <f aca="false">IF(OR(הגדרות!$E$6=0,H3476&gt;הגדרות!$E$5),"",IF(H3476-1&lt;הגדרות!$E$8*(הגדרות!$E$7+1),INT((H3476-1)/(הגדרות!$E$7+1)),הגדרות!$E$8+INT((H3476-1-הגדרות!$E$8*(הגדרות!$E$7+1))/הגדרות!$E$7)))</f>
        <v/>
      </c>
      <c r="J3476" s="0" t="str">
        <f aca="false">IF(I3476="","",IF(H3476-1&lt;הגדרות!$E$8*(הגדרות!$E$7+1),MOD(H3476-1,הגדרות!$E$7+1),MOD(H3476-1-הגדרות!$E$8*(הגדרות!$E$7+1),הגדרות!$E$7)))</f>
        <v/>
      </c>
      <c r="K3476" s="0" t="str">
        <f aca="false">IF(I3476="","",J3476*הגדרות!$E$6+I3476+1)</f>
        <v/>
      </c>
      <c r="L3476" s="0" t="str">
        <f aca="false">IF(K3476="","",MATCH(K3476,$F$2:$F$5001,0))</f>
        <v/>
      </c>
      <c r="M3476" s="0" t="str">
        <f aca="false">IF(I3476="","",INDEX(הגדרות!$A$2:$A$21,MOD(I3476+הגדרות!$E$9,הגדרות!$E$6)+1))</f>
        <v/>
      </c>
    </row>
    <row r="3477" customFormat="false" ht="15" hidden="false" customHeight="false" outlineLevel="0" collapsed="false">
      <c r="A3477" s="0" t="str">
        <f aca="false">IF('הדבקת לידים'!A3477="","",IF(ISNUMBER('הדבקת לידים'!A3477),IF(הגדרות!$E$2&gt;0,TEXT('הדבקת לידים'!A3477,REPT("0",הגדרות!$E$2)),TEXT('הדבקת לידים'!A3477,"0")),TRIM('הדבקת לידים'!A3477)))</f>
        <v/>
      </c>
      <c r="B3477" s="0" t="str">
        <f aca="false">IF('הדבקת לידים'!B3477="","",IF(ISNUMBER('הדבקת לידים'!B3477),IF(הגדרות!$E$3&gt;0,TEXT('הדבקת לידים'!B3477,REPT("0",הגדרות!$E$3)),TEXT('הדבקת לידים'!B3477,"0")),TRIM('הדבקת לידים'!B3477)))</f>
        <v/>
      </c>
      <c r="C3477" s="0" t="n">
        <f aca="false">IF(OR(A3477&lt;&gt;"",B3477&lt;&gt;""),1,0)</f>
        <v>0</v>
      </c>
      <c r="D3477" s="0" t="str">
        <f aca="false">IF(C3477=1,MOD(ABS(SIN(ROW()*12.9898+'הדבקת לידים'!$F$2*78.233+IFERROR(--RIGHT(A3477,6),LEN(A3477))*0.0137+IFERROR(--RIGHT(B3477,6),LEN(B3477))*0.0071))*43758.5453,1),"")</f>
        <v/>
      </c>
      <c r="E3477" s="0" t="str">
        <f aca="false">IF(C3477=1,INT(MOD(ABS(SIN(D3477*7919.123+ROW()*0.618+'הדבקת לידים'!$F$2*1.3))*43758.5453,1)*1000000)*10000+ROW(),"")</f>
        <v/>
      </c>
      <c r="F3477" s="0" t="str">
        <f aca="false">IF(E3477="","",RANK(E3477,$E$2:$E$5001,1))</f>
        <v/>
      </c>
      <c r="G3477" s="0" t="n">
        <f aca="false">IF(A3477="",0,IF(SUMPRODUCT(--($A$2:$A$5001=A3477))&gt;1,1,0))</f>
        <v>0</v>
      </c>
      <c r="H3477" s="0" t="n">
        <f aca="false">ROW()-1</f>
        <v>3476</v>
      </c>
      <c r="I3477" s="0" t="str">
        <f aca="false">IF(OR(הגדרות!$E$6=0,H3477&gt;הגדרות!$E$5),"",IF(H3477-1&lt;הגדרות!$E$8*(הגדרות!$E$7+1),INT((H3477-1)/(הגדרות!$E$7+1)),הגדרות!$E$8+INT((H3477-1-הגדרות!$E$8*(הגדרות!$E$7+1))/הגדרות!$E$7)))</f>
        <v/>
      </c>
      <c r="J3477" s="0" t="str">
        <f aca="false">IF(I3477="","",IF(H3477-1&lt;הגדרות!$E$8*(הגדרות!$E$7+1),MOD(H3477-1,הגדרות!$E$7+1),MOD(H3477-1-הגדרות!$E$8*(הגדרות!$E$7+1),הגדרות!$E$7)))</f>
        <v/>
      </c>
      <c r="K3477" s="0" t="str">
        <f aca="false">IF(I3477="","",J3477*הגדרות!$E$6+I3477+1)</f>
        <v/>
      </c>
      <c r="L3477" s="0" t="str">
        <f aca="false">IF(K3477="","",MATCH(K3477,$F$2:$F$5001,0))</f>
        <v/>
      </c>
      <c r="M3477" s="0" t="str">
        <f aca="false">IF(I3477="","",INDEX(הגדרות!$A$2:$A$21,MOD(I3477+הגדרות!$E$9,הגדרות!$E$6)+1))</f>
        <v/>
      </c>
    </row>
    <row r="3478" customFormat="false" ht="15" hidden="false" customHeight="false" outlineLevel="0" collapsed="false">
      <c r="A3478" s="0" t="str">
        <f aca="false">IF('הדבקת לידים'!A3478="","",IF(ISNUMBER('הדבקת לידים'!A3478),IF(הגדרות!$E$2&gt;0,TEXT('הדבקת לידים'!A3478,REPT("0",הגדרות!$E$2)),TEXT('הדבקת לידים'!A3478,"0")),TRIM('הדבקת לידים'!A3478)))</f>
        <v/>
      </c>
      <c r="B3478" s="0" t="str">
        <f aca="false">IF('הדבקת לידים'!B3478="","",IF(ISNUMBER('הדבקת לידים'!B3478),IF(הגדרות!$E$3&gt;0,TEXT('הדבקת לידים'!B3478,REPT("0",הגדרות!$E$3)),TEXT('הדבקת לידים'!B3478,"0")),TRIM('הדבקת לידים'!B3478)))</f>
        <v/>
      </c>
      <c r="C3478" s="0" t="n">
        <f aca="false">IF(OR(A3478&lt;&gt;"",B3478&lt;&gt;""),1,0)</f>
        <v>0</v>
      </c>
      <c r="D3478" s="0" t="str">
        <f aca="false">IF(C3478=1,MOD(ABS(SIN(ROW()*12.9898+'הדבקת לידים'!$F$2*78.233+IFERROR(--RIGHT(A3478,6),LEN(A3478))*0.0137+IFERROR(--RIGHT(B3478,6),LEN(B3478))*0.0071))*43758.5453,1),"")</f>
        <v/>
      </c>
      <c r="E3478" s="0" t="str">
        <f aca="false">IF(C3478=1,INT(MOD(ABS(SIN(D3478*7919.123+ROW()*0.618+'הדבקת לידים'!$F$2*1.3))*43758.5453,1)*1000000)*10000+ROW(),"")</f>
        <v/>
      </c>
      <c r="F3478" s="0" t="str">
        <f aca="false">IF(E3478="","",RANK(E3478,$E$2:$E$5001,1))</f>
        <v/>
      </c>
      <c r="G3478" s="0" t="n">
        <f aca="false">IF(A3478="",0,IF(SUMPRODUCT(--($A$2:$A$5001=A3478))&gt;1,1,0))</f>
        <v>0</v>
      </c>
      <c r="H3478" s="0" t="n">
        <f aca="false">ROW()-1</f>
        <v>3477</v>
      </c>
      <c r="I3478" s="0" t="str">
        <f aca="false">IF(OR(הגדרות!$E$6=0,H3478&gt;הגדרות!$E$5),"",IF(H3478-1&lt;הגדרות!$E$8*(הגדרות!$E$7+1),INT((H3478-1)/(הגדרות!$E$7+1)),הגדרות!$E$8+INT((H3478-1-הגדרות!$E$8*(הגדרות!$E$7+1))/הגדרות!$E$7)))</f>
        <v/>
      </c>
      <c r="J3478" s="0" t="str">
        <f aca="false">IF(I3478="","",IF(H3478-1&lt;הגדרות!$E$8*(הגדרות!$E$7+1),MOD(H3478-1,הגדרות!$E$7+1),MOD(H3478-1-הגדרות!$E$8*(הגדרות!$E$7+1),הגדרות!$E$7)))</f>
        <v/>
      </c>
      <c r="K3478" s="0" t="str">
        <f aca="false">IF(I3478="","",J3478*הגדרות!$E$6+I3478+1)</f>
        <v/>
      </c>
      <c r="L3478" s="0" t="str">
        <f aca="false">IF(K3478="","",MATCH(K3478,$F$2:$F$5001,0))</f>
        <v/>
      </c>
      <c r="M3478" s="0" t="str">
        <f aca="false">IF(I3478="","",INDEX(הגדרות!$A$2:$A$21,MOD(I3478+הגדרות!$E$9,הגדרות!$E$6)+1))</f>
        <v/>
      </c>
    </row>
    <row r="3479" customFormat="false" ht="15" hidden="false" customHeight="false" outlineLevel="0" collapsed="false">
      <c r="A3479" s="0" t="str">
        <f aca="false">IF('הדבקת לידים'!A3479="","",IF(ISNUMBER('הדבקת לידים'!A3479),IF(הגדרות!$E$2&gt;0,TEXT('הדבקת לידים'!A3479,REPT("0",הגדרות!$E$2)),TEXT('הדבקת לידים'!A3479,"0")),TRIM('הדבקת לידים'!A3479)))</f>
        <v/>
      </c>
      <c r="B3479" s="0" t="str">
        <f aca="false">IF('הדבקת לידים'!B3479="","",IF(ISNUMBER('הדבקת לידים'!B3479),IF(הגדרות!$E$3&gt;0,TEXT('הדבקת לידים'!B3479,REPT("0",הגדרות!$E$3)),TEXT('הדבקת לידים'!B3479,"0")),TRIM('הדבקת לידים'!B3479)))</f>
        <v/>
      </c>
      <c r="C3479" s="0" t="n">
        <f aca="false">IF(OR(A3479&lt;&gt;"",B3479&lt;&gt;""),1,0)</f>
        <v>0</v>
      </c>
      <c r="D3479" s="0" t="str">
        <f aca="false">IF(C3479=1,MOD(ABS(SIN(ROW()*12.9898+'הדבקת לידים'!$F$2*78.233+IFERROR(--RIGHT(A3479,6),LEN(A3479))*0.0137+IFERROR(--RIGHT(B3479,6),LEN(B3479))*0.0071))*43758.5453,1),"")</f>
        <v/>
      </c>
      <c r="E3479" s="0" t="str">
        <f aca="false">IF(C3479=1,INT(MOD(ABS(SIN(D3479*7919.123+ROW()*0.618+'הדבקת לידים'!$F$2*1.3))*43758.5453,1)*1000000)*10000+ROW(),"")</f>
        <v/>
      </c>
      <c r="F3479" s="0" t="str">
        <f aca="false">IF(E3479="","",RANK(E3479,$E$2:$E$5001,1))</f>
        <v/>
      </c>
      <c r="G3479" s="0" t="n">
        <f aca="false">IF(A3479="",0,IF(SUMPRODUCT(--($A$2:$A$5001=A3479))&gt;1,1,0))</f>
        <v>0</v>
      </c>
      <c r="H3479" s="0" t="n">
        <f aca="false">ROW()-1</f>
        <v>3478</v>
      </c>
      <c r="I3479" s="0" t="str">
        <f aca="false">IF(OR(הגדרות!$E$6=0,H3479&gt;הגדרות!$E$5),"",IF(H3479-1&lt;הגדרות!$E$8*(הגדרות!$E$7+1),INT((H3479-1)/(הגדרות!$E$7+1)),הגדרות!$E$8+INT((H3479-1-הגדרות!$E$8*(הגדרות!$E$7+1))/הגדרות!$E$7)))</f>
        <v/>
      </c>
      <c r="J3479" s="0" t="str">
        <f aca="false">IF(I3479="","",IF(H3479-1&lt;הגדרות!$E$8*(הגדרות!$E$7+1),MOD(H3479-1,הגדרות!$E$7+1),MOD(H3479-1-הגדרות!$E$8*(הגדרות!$E$7+1),הגדרות!$E$7)))</f>
        <v/>
      </c>
      <c r="K3479" s="0" t="str">
        <f aca="false">IF(I3479="","",J3479*הגדרות!$E$6+I3479+1)</f>
        <v/>
      </c>
      <c r="L3479" s="0" t="str">
        <f aca="false">IF(K3479="","",MATCH(K3479,$F$2:$F$5001,0))</f>
        <v/>
      </c>
      <c r="M3479" s="0" t="str">
        <f aca="false">IF(I3479="","",INDEX(הגדרות!$A$2:$A$21,MOD(I3479+הגדרות!$E$9,הגדרות!$E$6)+1))</f>
        <v/>
      </c>
    </row>
    <row r="3480" customFormat="false" ht="15" hidden="false" customHeight="false" outlineLevel="0" collapsed="false">
      <c r="A3480" s="0" t="str">
        <f aca="false">IF('הדבקת לידים'!A3480="","",IF(ISNUMBER('הדבקת לידים'!A3480),IF(הגדרות!$E$2&gt;0,TEXT('הדבקת לידים'!A3480,REPT("0",הגדרות!$E$2)),TEXT('הדבקת לידים'!A3480,"0")),TRIM('הדבקת לידים'!A3480)))</f>
        <v/>
      </c>
      <c r="B3480" s="0" t="str">
        <f aca="false">IF('הדבקת לידים'!B3480="","",IF(ISNUMBER('הדבקת לידים'!B3480),IF(הגדרות!$E$3&gt;0,TEXT('הדבקת לידים'!B3480,REPT("0",הגדרות!$E$3)),TEXT('הדבקת לידים'!B3480,"0")),TRIM('הדבקת לידים'!B3480)))</f>
        <v/>
      </c>
      <c r="C3480" s="0" t="n">
        <f aca="false">IF(OR(A3480&lt;&gt;"",B3480&lt;&gt;""),1,0)</f>
        <v>0</v>
      </c>
      <c r="D3480" s="0" t="str">
        <f aca="false">IF(C3480=1,MOD(ABS(SIN(ROW()*12.9898+'הדבקת לידים'!$F$2*78.233+IFERROR(--RIGHT(A3480,6),LEN(A3480))*0.0137+IFERROR(--RIGHT(B3480,6),LEN(B3480))*0.0071))*43758.5453,1),"")</f>
        <v/>
      </c>
      <c r="E3480" s="0" t="str">
        <f aca="false">IF(C3480=1,INT(MOD(ABS(SIN(D3480*7919.123+ROW()*0.618+'הדבקת לידים'!$F$2*1.3))*43758.5453,1)*1000000)*10000+ROW(),"")</f>
        <v/>
      </c>
      <c r="F3480" s="0" t="str">
        <f aca="false">IF(E3480="","",RANK(E3480,$E$2:$E$5001,1))</f>
        <v/>
      </c>
      <c r="G3480" s="0" t="n">
        <f aca="false">IF(A3480="",0,IF(SUMPRODUCT(--($A$2:$A$5001=A3480))&gt;1,1,0))</f>
        <v>0</v>
      </c>
      <c r="H3480" s="0" t="n">
        <f aca="false">ROW()-1</f>
        <v>3479</v>
      </c>
      <c r="I3480" s="0" t="str">
        <f aca="false">IF(OR(הגדרות!$E$6=0,H3480&gt;הגדרות!$E$5),"",IF(H3480-1&lt;הגדרות!$E$8*(הגדרות!$E$7+1),INT((H3480-1)/(הגדרות!$E$7+1)),הגדרות!$E$8+INT((H3480-1-הגדרות!$E$8*(הגדרות!$E$7+1))/הגדרות!$E$7)))</f>
        <v/>
      </c>
      <c r="J3480" s="0" t="str">
        <f aca="false">IF(I3480="","",IF(H3480-1&lt;הגדרות!$E$8*(הגדרות!$E$7+1),MOD(H3480-1,הגדרות!$E$7+1),MOD(H3480-1-הגדרות!$E$8*(הגדרות!$E$7+1),הגדרות!$E$7)))</f>
        <v/>
      </c>
      <c r="K3480" s="0" t="str">
        <f aca="false">IF(I3480="","",J3480*הגדרות!$E$6+I3480+1)</f>
        <v/>
      </c>
      <c r="L3480" s="0" t="str">
        <f aca="false">IF(K3480="","",MATCH(K3480,$F$2:$F$5001,0))</f>
        <v/>
      </c>
      <c r="M3480" s="0" t="str">
        <f aca="false">IF(I3480="","",INDEX(הגדרות!$A$2:$A$21,MOD(I3480+הגדרות!$E$9,הגדרות!$E$6)+1))</f>
        <v/>
      </c>
    </row>
    <row r="3481" customFormat="false" ht="15" hidden="false" customHeight="false" outlineLevel="0" collapsed="false">
      <c r="A3481" s="0" t="str">
        <f aca="false">IF('הדבקת לידים'!A3481="","",IF(ISNUMBER('הדבקת לידים'!A3481),IF(הגדרות!$E$2&gt;0,TEXT('הדבקת לידים'!A3481,REPT("0",הגדרות!$E$2)),TEXT('הדבקת לידים'!A3481,"0")),TRIM('הדבקת לידים'!A3481)))</f>
        <v/>
      </c>
      <c r="B3481" s="0" t="str">
        <f aca="false">IF('הדבקת לידים'!B3481="","",IF(ISNUMBER('הדבקת לידים'!B3481),IF(הגדרות!$E$3&gt;0,TEXT('הדבקת לידים'!B3481,REPT("0",הגדרות!$E$3)),TEXT('הדבקת לידים'!B3481,"0")),TRIM('הדבקת לידים'!B3481)))</f>
        <v/>
      </c>
      <c r="C3481" s="0" t="n">
        <f aca="false">IF(OR(A3481&lt;&gt;"",B3481&lt;&gt;""),1,0)</f>
        <v>0</v>
      </c>
      <c r="D3481" s="0" t="str">
        <f aca="false">IF(C3481=1,MOD(ABS(SIN(ROW()*12.9898+'הדבקת לידים'!$F$2*78.233+IFERROR(--RIGHT(A3481,6),LEN(A3481))*0.0137+IFERROR(--RIGHT(B3481,6),LEN(B3481))*0.0071))*43758.5453,1),"")</f>
        <v/>
      </c>
      <c r="E3481" s="0" t="str">
        <f aca="false">IF(C3481=1,INT(MOD(ABS(SIN(D3481*7919.123+ROW()*0.618+'הדבקת לידים'!$F$2*1.3))*43758.5453,1)*1000000)*10000+ROW(),"")</f>
        <v/>
      </c>
      <c r="F3481" s="0" t="str">
        <f aca="false">IF(E3481="","",RANK(E3481,$E$2:$E$5001,1))</f>
        <v/>
      </c>
      <c r="G3481" s="0" t="n">
        <f aca="false">IF(A3481="",0,IF(SUMPRODUCT(--($A$2:$A$5001=A3481))&gt;1,1,0))</f>
        <v>0</v>
      </c>
      <c r="H3481" s="0" t="n">
        <f aca="false">ROW()-1</f>
        <v>3480</v>
      </c>
      <c r="I3481" s="0" t="str">
        <f aca="false">IF(OR(הגדרות!$E$6=0,H3481&gt;הגדרות!$E$5),"",IF(H3481-1&lt;הגדרות!$E$8*(הגדרות!$E$7+1),INT((H3481-1)/(הגדרות!$E$7+1)),הגדרות!$E$8+INT((H3481-1-הגדרות!$E$8*(הגדרות!$E$7+1))/הגדרות!$E$7)))</f>
        <v/>
      </c>
      <c r="J3481" s="0" t="str">
        <f aca="false">IF(I3481="","",IF(H3481-1&lt;הגדרות!$E$8*(הגדרות!$E$7+1),MOD(H3481-1,הגדרות!$E$7+1),MOD(H3481-1-הגדרות!$E$8*(הגדרות!$E$7+1),הגדרות!$E$7)))</f>
        <v/>
      </c>
      <c r="K3481" s="0" t="str">
        <f aca="false">IF(I3481="","",J3481*הגדרות!$E$6+I3481+1)</f>
        <v/>
      </c>
      <c r="L3481" s="0" t="str">
        <f aca="false">IF(K3481="","",MATCH(K3481,$F$2:$F$5001,0))</f>
        <v/>
      </c>
      <c r="M3481" s="0" t="str">
        <f aca="false">IF(I3481="","",INDEX(הגדרות!$A$2:$A$21,MOD(I3481+הגדרות!$E$9,הגדרות!$E$6)+1))</f>
        <v/>
      </c>
    </row>
    <row r="3482" customFormat="false" ht="15" hidden="false" customHeight="false" outlineLevel="0" collapsed="false">
      <c r="A3482" s="0" t="str">
        <f aca="false">IF('הדבקת לידים'!A3482="","",IF(ISNUMBER('הדבקת לידים'!A3482),IF(הגדרות!$E$2&gt;0,TEXT('הדבקת לידים'!A3482,REPT("0",הגדרות!$E$2)),TEXT('הדבקת לידים'!A3482,"0")),TRIM('הדבקת לידים'!A3482)))</f>
        <v/>
      </c>
      <c r="B3482" s="0" t="str">
        <f aca="false">IF('הדבקת לידים'!B3482="","",IF(ISNUMBER('הדבקת לידים'!B3482),IF(הגדרות!$E$3&gt;0,TEXT('הדבקת לידים'!B3482,REPT("0",הגדרות!$E$3)),TEXT('הדבקת לידים'!B3482,"0")),TRIM('הדבקת לידים'!B3482)))</f>
        <v/>
      </c>
      <c r="C3482" s="0" t="n">
        <f aca="false">IF(OR(A3482&lt;&gt;"",B3482&lt;&gt;""),1,0)</f>
        <v>0</v>
      </c>
      <c r="D3482" s="0" t="str">
        <f aca="false">IF(C3482=1,MOD(ABS(SIN(ROW()*12.9898+'הדבקת לידים'!$F$2*78.233+IFERROR(--RIGHT(A3482,6),LEN(A3482))*0.0137+IFERROR(--RIGHT(B3482,6),LEN(B3482))*0.0071))*43758.5453,1),"")</f>
        <v/>
      </c>
      <c r="E3482" s="0" t="str">
        <f aca="false">IF(C3482=1,INT(MOD(ABS(SIN(D3482*7919.123+ROW()*0.618+'הדבקת לידים'!$F$2*1.3))*43758.5453,1)*1000000)*10000+ROW(),"")</f>
        <v/>
      </c>
      <c r="F3482" s="0" t="str">
        <f aca="false">IF(E3482="","",RANK(E3482,$E$2:$E$5001,1))</f>
        <v/>
      </c>
      <c r="G3482" s="0" t="n">
        <f aca="false">IF(A3482="",0,IF(SUMPRODUCT(--($A$2:$A$5001=A3482))&gt;1,1,0))</f>
        <v>0</v>
      </c>
      <c r="H3482" s="0" t="n">
        <f aca="false">ROW()-1</f>
        <v>3481</v>
      </c>
      <c r="I3482" s="0" t="str">
        <f aca="false">IF(OR(הגדרות!$E$6=0,H3482&gt;הגדרות!$E$5),"",IF(H3482-1&lt;הגדרות!$E$8*(הגדרות!$E$7+1),INT((H3482-1)/(הגדרות!$E$7+1)),הגדרות!$E$8+INT((H3482-1-הגדרות!$E$8*(הגדרות!$E$7+1))/הגדרות!$E$7)))</f>
        <v/>
      </c>
      <c r="J3482" s="0" t="str">
        <f aca="false">IF(I3482="","",IF(H3482-1&lt;הגדרות!$E$8*(הגדרות!$E$7+1),MOD(H3482-1,הגדרות!$E$7+1),MOD(H3482-1-הגדרות!$E$8*(הגדרות!$E$7+1),הגדרות!$E$7)))</f>
        <v/>
      </c>
      <c r="K3482" s="0" t="str">
        <f aca="false">IF(I3482="","",J3482*הגדרות!$E$6+I3482+1)</f>
        <v/>
      </c>
      <c r="L3482" s="0" t="str">
        <f aca="false">IF(K3482="","",MATCH(K3482,$F$2:$F$5001,0))</f>
        <v/>
      </c>
      <c r="M3482" s="0" t="str">
        <f aca="false">IF(I3482="","",INDEX(הגדרות!$A$2:$A$21,MOD(I3482+הגדרות!$E$9,הגדרות!$E$6)+1))</f>
        <v/>
      </c>
    </row>
    <row r="3483" customFormat="false" ht="15" hidden="false" customHeight="false" outlineLevel="0" collapsed="false">
      <c r="A3483" s="0" t="str">
        <f aca="false">IF('הדבקת לידים'!A3483="","",IF(ISNUMBER('הדבקת לידים'!A3483),IF(הגדרות!$E$2&gt;0,TEXT('הדבקת לידים'!A3483,REPT("0",הגדרות!$E$2)),TEXT('הדבקת לידים'!A3483,"0")),TRIM('הדבקת לידים'!A3483)))</f>
        <v/>
      </c>
      <c r="B3483" s="0" t="str">
        <f aca="false">IF('הדבקת לידים'!B3483="","",IF(ISNUMBER('הדבקת לידים'!B3483),IF(הגדרות!$E$3&gt;0,TEXT('הדבקת לידים'!B3483,REPT("0",הגדרות!$E$3)),TEXT('הדבקת לידים'!B3483,"0")),TRIM('הדבקת לידים'!B3483)))</f>
        <v/>
      </c>
      <c r="C3483" s="0" t="n">
        <f aca="false">IF(OR(A3483&lt;&gt;"",B3483&lt;&gt;""),1,0)</f>
        <v>0</v>
      </c>
      <c r="D3483" s="0" t="str">
        <f aca="false">IF(C3483=1,MOD(ABS(SIN(ROW()*12.9898+'הדבקת לידים'!$F$2*78.233+IFERROR(--RIGHT(A3483,6),LEN(A3483))*0.0137+IFERROR(--RIGHT(B3483,6),LEN(B3483))*0.0071))*43758.5453,1),"")</f>
        <v/>
      </c>
      <c r="E3483" s="0" t="str">
        <f aca="false">IF(C3483=1,INT(MOD(ABS(SIN(D3483*7919.123+ROW()*0.618+'הדבקת לידים'!$F$2*1.3))*43758.5453,1)*1000000)*10000+ROW(),"")</f>
        <v/>
      </c>
      <c r="F3483" s="0" t="str">
        <f aca="false">IF(E3483="","",RANK(E3483,$E$2:$E$5001,1))</f>
        <v/>
      </c>
      <c r="G3483" s="0" t="n">
        <f aca="false">IF(A3483="",0,IF(SUMPRODUCT(--($A$2:$A$5001=A3483))&gt;1,1,0))</f>
        <v>0</v>
      </c>
      <c r="H3483" s="0" t="n">
        <f aca="false">ROW()-1</f>
        <v>3482</v>
      </c>
      <c r="I3483" s="0" t="str">
        <f aca="false">IF(OR(הגדרות!$E$6=0,H3483&gt;הגדרות!$E$5),"",IF(H3483-1&lt;הגדרות!$E$8*(הגדרות!$E$7+1),INT((H3483-1)/(הגדרות!$E$7+1)),הגדרות!$E$8+INT((H3483-1-הגדרות!$E$8*(הגדרות!$E$7+1))/הגדרות!$E$7)))</f>
        <v/>
      </c>
      <c r="J3483" s="0" t="str">
        <f aca="false">IF(I3483="","",IF(H3483-1&lt;הגדרות!$E$8*(הגדרות!$E$7+1),MOD(H3483-1,הגדרות!$E$7+1),MOD(H3483-1-הגדרות!$E$8*(הגדרות!$E$7+1),הגדרות!$E$7)))</f>
        <v/>
      </c>
      <c r="K3483" s="0" t="str">
        <f aca="false">IF(I3483="","",J3483*הגדרות!$E$6+I3483+1)</f>
        <v/>
      </c>
      <c r="L3483" s="0" t="str">
        <f aca="false">IF(K3483="","",MATCH(K3483,$F$2:$F$5001,0))</f>
        <v/>
      </c>
      <c r="M3483" s="0" t="str">
        <f aca="false">IF(I3483="","",INDEX(הגדרות!$A$2:$A$21,MOD(I3483+הגדרות!$E$9,הגדרות!$E$6)+1))</f>
        <v/>
      </c>
    </row>
    <row r="3484" customFormat="false" ht="15" hidden="false" customHeight="false" outlineLevel="0" collapsed="false">
      <c r="A3484" s="0" t="str">
        <f aca="false">IF('הדבקת לידים'!A3484="","",IF(ISNUMBER('הדבקת לידים'!A3484),IF(הגדרות!$E$2&gt;0,TEXT('הדבקת לידים'!A3484,REPT("0",הגדרות!$E$2)),TEXT('הדבקת לידים'!A3484,"0")),TRIM('הדבקת לידים'!A3484)))</f>
        <v/>
      </c>
      <c r="B3484" s="0" t="str">
        <f aca="false">IF('הדבקת לידים'!B3484="","",IF(ISNUMBER('הדבקת לידים'!B3484),IF(הגדרות!$E$3&gt;0,TEXT('הדבקת לידים'!B3484,REPT("0",הגדרות!$E$3)),TEXT('הדבקת לידים'!B3484,"0")),TRIM('הדבקת לידים'!B3484)))</f>
        <v/>
      </c>
      <c r="C3484" s="0" t="n">
        <f aca="false">IF(OR(A3484&lt;&gt;"",B3484&lt;&gt;""),1,0)</f>
        <v>0</v>
      </c>
      <c r="D3484" s="0" t="str">
        <f aca="false">IF(C3484=1,MOD(ABS(SIN(ROW()*12.9898+'הדבקת לידים'!$F$2*78.233+IFERROR(--RIGHT(A3484,6),LEN(A3484))*0.0137+IFERROR(--RIGHT(B3484,6),LEN(B3484))*0.0071))*43758.5453,1),"")</f>
        <v/>
      </c>
      <c r="E3484" s="0" t="str">
        <f aca="false">IF(C3484=1,INT(MOD(ABS(SIN(D3484*7919.123+ROW()*0.618+'הדבקת לידים'!$F$2*1.3))*43758.5453,1)*1000000)*10000+ROW(),"")</f>
        <v/>
      </c>
      <c r="F3484" s="0" t="str">
        <f aca="false">IF(E3484="","",RANK(E3484,$E$2:$E$5001,1))</f>
        <v/>
      </c>
      <c r="G3484" s="0" t="n">
        <f aca="false">IF(A3484="",0,IF(SUMPRODUCT(--($A$2:$A$5001=A3484))&gt;1,1,0))</f>
        <v>0</v>
      </c>
      <c r="H3484" s="0" t="n">
        <f aca="false">ROW()-1</f>
        <v>3483</v>
      </c>
      <c r="I3484" s="0" t="str">
        <f aca="false">IF(OR(הגדרות!$E$6=0,H3484&gt;הגדרות!$E$5),"",IF(H3484-1&lt;הגדרות!$E$8*(הגדרות!$E$7+1),INT((H3484-1)/(הגדרות!$E$7+1)),הגדרות!$E$8+INT((H3484-1-הגדרות!$E$8*(הגדרות!$E$7+1))/הגדרות!$E$7)))</f>
        <v/>
      </c>
      <c r="J3484" s="0" t="str">
        <f aca="false">IF(I3484="","",IF(H3484-1&lt;הגדרות!$E$8*(הגדרות!$E$7+1),MOD(H3484-1,הגדרות!$E$7+1),MOD(H3484-1-הגדרות!$E$8*(הגדרות!$E$7+1),הגדרות!$E$7)))</f>
        <v/>
      </c>
      <c r="K3484" s="0" t="str">
        <f aca="false">IF(I3484="","",J3484*הגדרות!$E$6+I3484+1)</f>
        <v/>
      </c>
      <c r="L3484" s="0" t="str">
        <f aca="false">IF(K3484="","",MATCH(K3484,$F$2:$F$5001,0))</f>
        <v/>
      </c>
      <c r="M3484" s="0" t="str">
        <f aca="false">IF(I3484="","",INDEX(הגדרות!$A$2:$A$21,MOD(I3484+הגדרות!$E$9,הגדרות!$E$6)+1))</f>
        <v/>
      </c>
    </row>
    <row r="3485" customFormat="false" ht="15" hidden="false" customHeight="false" outlineLevel="0" collapsed="false">
      <c r="A3485" s="0" t="str">
        <f aca="false">IF('הדבקת לידים'!A3485="","",IF(ISNUMBER('הדבקת לידים'!A3485),IF(הגדרות!$E$2&gt;0,TEXT('הדבקת לידים'!A3485,REPT("0",הגדרות!$E$2)),TEXT('הדבקת לידים'!A3485,"0")),TRIM('הדבקת לידים'!A3485)))</f>
        <v/>
      </c>
      <c r="B3485" s="0" t="str">
        <f aca="false">IF('הדבקת לידים'!B3485="","",IF(ISNUMBER('הדבקת לידים'!B3485),IF(הגדרות!$E$3&gt;0,TEXT('הדבקת לידים'!B3485,REPT("0",הגדרות!$E$3)),TEXT('הדבקת לידים'!B3485,"0")),TRIM('הדבקת לידים'!B3485)))</f>
        <v/>
      </c>
      <c r="C3485" s="0" t="n">
        <f aca="false">IF(OR(A3485&lt;&gt;"",B3485&lt;&gt;""),1,0)</f>
        <v>0</v>
      </c>
      <c r="D3485" s="0" t="str">
        <f aca="false">IF(C3485=1,MOD(ABS(SIN(ROW()*12.9898+'הדבקת לידים'!$F$2*78.233+IFERROR(--RIGHT(A3485,6),LEN(A3485))*0.0137+IFERROR(--RIGHT(B3485,6),LEN(B3485))*0.0071))*43758.5453,1),"")</f>
        <v/>
      </c>
      <c r="E3485" s="0" t="str">
        <f aca="false">IF(C3485=1,INT(MOD(ABS(SIN(D3485*7919.123+ROW()*0.618+'הדבקת לידים'!$F$2*1.3))*43758.5453,1)*1000000)*10000+ROW(),"")</f>
        <v/>
      </c>
      <c r="F3485" s="0" t="str">
        <f aca="false">IF(E3485="","",RANK(E3485,$E$2:$E$5001,1))</f>
        <v/>
      </c>
      <c r="G3485" s="0" t="n">
        <f aca="false">IF(A3485="",0,IF(SUMPRODUCT(--($A$2:$A$5001=A3485))&gt;1,1,0))</f>
        <v>0</v>
      </c>
      <c r="H3485" s="0" t="n">
        <f aca="false">ROW()-1</f>
        <v>3484</v>
      </c>
      <c r="I3485" s="0" t="str">
        <f aca="false">IF(OR(הגדרות!$E$6=0,H3485&gt;הגדרות!$E$5),"",IF(H3485-1&lt;הגדרות!$E$8*(הגדרות!$E$7+1),INT((H3485-1)/(הגדרות!$E$7+1)),הגדרות!$E$8+INT((H3485-1-הגדרות!$E$8*(הגדרות!$E$7+1))/הגדרות!$E$7)))</f>
        <v/>
      </c>
      <c r="J3485" s="0" t="str">
        <f aca="false">IF(I3485="","",IF(H3485-1&lt;הגדרות!$E$8*(הגדרות!$E$7+1),MOD(H3485-1,הגדרות!$E$7+1),MOD(H3485-1-הגדרות!$E$8*(הגדרות!$E$7+1),הגדרות!$E$7)))</f>
        <v/>
      </c>
      <c r="K3485" s="0" t="str">
        <f aca="false">IF(I3485="","",J3485*הגדרות!$E$6+I3485+1)</f>
        <v/>
      </c>
      <c r="L3485" s="0" t="str">
        <f aca="false">IF(K3485="","",MATCH(K3485,$F$2:$F$5001,0))</f>
        <v/>
      </c>
      <c r="M3485" s="0" t="str">
        <f aca="false">IF(I3485="","",INDEX(הגדרות!$A$2:$A$21,MOD(I3485+הגדרות!$E$9,הגדרות!$E$6)+1))</f>
        <v/>
      </c>
    </row>
    <row r="3486" customFormat="false" ht="15" hidden="false" customHeight="false" outlineLevel="0" collapsed="false">
      <c r="A3486" s="0" t="str">
        <f aca="false">IF('הדבקת לידים'!A3486="","",IF(ISNUMBER('הדבקת לידים'!A3486),IF(הגדרות!$E$2&gt;0,TEXT('הדבקת לידים'!A3486,REPT("0",הגדרות!$E$2)),TEXT('הדבקת לידים'!A3486,"0")),TRIM('הדבקת לידים'!A3486)))</f>
        <v/>
      </c>
      <c r="B3486" s="0" t="str">
        <f aca="false">IF('הדבקת לידים'!B3486="","",IF(ISNUMBER('הדבקת לידים'!B3486),IF(הגדרות!$E$3&gt;0,TEXT('הדבקת לידים'!B3486,REPT("0",הגדרות!$E$3)),TEXT('הדבקת לידים'!B3486,"0")),TRIM('הדבקת לידים'!B3486)))</f>
        <v/>
      </c>
      <c r="C3486" s="0" t="n">
        <f aca="false">IF(OR(A3486&lt;&gt;"",B3486&lt;&gt;""),1,0)</f>
        <v>0</v>
      </c>
      <c r="D3486" s="0" t="str">
        <f aca="false">IF(C3486=1,MOD(ABS(SIN(ROW()*12.9898+'הדבקת לידים'!$F$2*78.233+IFERROR(--RIGHT(A3486,6),LEN(A3486))*0.0137+IFERROR(--RIGHT(B3486,6),LEN(B3486))*0.0071))*43758.5453,1),"")</f>
        <v/>
      </c>
      <c r="E3486" s="0" t="str">
        <f aca="false">IF(C3486=1,INT(MOD(ABS(SIN(D3486*7919.123+ROW()*0.618+'הדבקת לידים'!$F$2*1.3))*43758.5453,1)*1000000)*10000+ROW(),"")</f>
        <v/>
      </c>
      <c r="F3486" s="0" t="str">
        <f aca="false">IF(E3486="","",RANK(E3486,$E$2:$E$5001,1))</f>
        <v/>
      </c>
      <c r="G3486" s="0" t="n">
        <f aca="false">IF(A3486="",0,IF(SUMPRODUCT(--($A$2:$A$5001=A3486))&gt;1,1,0))</f>
        <v>0</v>
      </c>
      <c r="H3486" s="0" t="n">
        <f aca="false">ROW()-1</f>
        <v>3485</v>
      </c>
      <c r="I3486" s="0" t="str">
        <f aca="false">IF(OR(הגדרות!$E$6=0,H3486&gt;הגדרות!$E$5),"",IF(H3486-1&lt;הגדרות!$E$8*(הגדרות!$E$7+1),INT((H3486-1)/(הגדרות!$E$7+1)),הגדרות!$E$8+INT((H3486-1-הגדרות!$E$8*(הגדרות!$E$7+1))/הגדרות!$E$7)))</f>
        <v/>
      </c>
      <c r="J3486" s="0" t="str">
        <f aca="false">IF(I3486="","",IF(H3486-1&lt;הגדרות!$E$8*(הגדרות!$E$7+1),MOD(H3486-1,הגדרות!$E$7+1),MOD(H3486-1-הגדרות!$E$8*(הגדרות!$E$7+1),הגדרות!$E$7)))</f>
        <v/>
      </c>
      <c r="K3486" s="0" t="str">
        <f aca="false">IF(I3486="","",J3486*הגדרות!$E$6+I3486+1)</f>
        <v/>
      </c>
      <c r="L3486" s="0" t="str">
        <f aca="false">IF(K3486="","",MATCH(K3486,$F$2:$F$5001,0))</f>
        <v/>
      </c>
      <c r="M3486" s="0" t="str">
        <f aca="false">IF(I3486="","",INDEX(הגדרות!$A$2:$A$21,MOD(I3486+הגדרות!$E$9,הגדרות!$E$6)+1))</f>
        <v/>
      </c>
    </row>
    <row r="3487" customFormat="false" ht="15" hidden="false" customHeight="false" outlineLevel="0" collapsed="false">
      <c r="A3487" s="0" t="str">
        <f aca="false">IF('הדבקת לידים'!A3487="","",IF(ISNUMBER('הדבקת לידים'!A3487),IF(הגדרות!$E$2&gt;0,TEXT('הדבקת לידים'!A3487,REPT("0",הגדרות!$E$2)),TEXT('הדבקת לידים'!A3487,"0")),TRIM('הדבקת לידים'!A3487)))</f>
        <v/>
      </c>
      <c r="B3487" s="0" t="str">
        <f aca="false">IF('הדבקת לידים'!B3487="","",IF(ISNUMBER('הדבקת לידים'!B3487),IF(הגדרות!$E$3&gt;0,TEXT('הדבקת לידים'!B3487,REPT("0",הגדרות!$E$3)),TEXT('הדבקת לידים'!B3487,"0")),TRIM('הדבקת לידים'!B3487)))</f>
        <v/>
      </c>
      <c r="C3487" s="0" t="n">
        <f aca="false">IF(OR(A3487&lt;&gt;"",B3487&lt;&gt;""),1,0)</f>
        <v>0</v>
      </c>
      <c r="D3487" s="0" t="str">
        <f aca="false">IF(C3487=1,MOD(ABS(SIN(ROW()*12.9898+'הדבקת לידים'!$F$2*78.233+IFERROR(--RIGHT(A3487,6),LEN(A3487))*0.0137+IFERROR(--RIGHT(B3487,6),LEN(B3487))*0.0071))*43758.5453,1),"")</f>
        <v/>
      </c>
      <c r="E3487" s="0" t="str">
        <f aca="false">IF(C3487=1,INT(MOD(ABS(SIN(D3487*7919.123+ROW()*0.618+'הדבקת לידים'!$F$2*1.3))*43758.5453,1)*1000000)*10000+ROW(),"")</f>
        <v/>
      </c>
      <c r="F3487" s="0" t="str">
        <f aca="false">IF(E3487="","",RANK(E3487,$E$2:$E$5001,1))</f>
        <v/>
      </c>
      <c r="G3487" s="0" t="n">
        <f aca="false">IF(A3487="",0,IF(SUMPRODUCT(--($A$2:$A$5001=A3487))&gt;1,1,0))</f>
        <v>0</v>
      </c>
      <c r="H3487" s="0" t="n">
        <f aca="false">ROW()-1</f>
        <v>3486</v>
      </c>
      <c r="I3487" s="0" t="str">
        <f aca="false">IF(OR(הגדרות!$E$6=0,H3487&gt;הגדרות!$E$5),"",IF(H3487-1&lt;הגדרות!$E$8*(הגדרות!$E$7+1),INT((H3487-1)/(הגדרות!$E$7+1)),הגדרות!$E$8+INT((H3487-1-הגדרות!$E$8*(הגדרות!$E$7+1))/הגדרות!$E$7)))</f>
        <v/>
      </c>
      <c r="J3487" s="0" t="str">
        <f aca="false">IF(I3487="","",IF(H3487-1&lt;הגדרות!$E$8*(הגדרות!$E$7+1),MOD(H3487-1,הגדרות!$E$7+1),MOD(H3487-1-הגדרות!$E$8*(הגדרות!$E$7+1),הגדרות!$E$7)))</f>
        <v/>
      </c>
      <c r="K3487" s="0" t="str">
        <f aca="false">IF(I3487="","",J3487*הגדרות!$E$6+I3487+1)</f>
        <v/>
      </c>
      <c r="L3487" s="0" t="str">
        <f aca="false">IF(K3487="","",MATCH(K3487,$F$2:$F$5001,0))</f>
        <v/>
      </c>
      <c r="M3487" s="0" t="str">
        <f aca="false">IF(I3487="","",INDEX(הגדרות!$A$2:$A$21,MOD(I3487+הגדרות!$E$9,הגדרות!$E$6)+1))</f>
        <v/>
      </c>
    </row>
    <row r="3488" customFormat="false" ht="15" hidden="false" customHeight="false" outlineLevel="0" collapsed="false">
      <c r="A3488" s="0" t="str">
        <f aca="false">IF('הדבקת לידים'!A3488="","",IF(ISNUMBER('הדבקת לידים'!A3488),IF(הגדרות!$E$2&gt;0,TEXT('הדבקת לידים'!A3488,REPT("0",הגדרות!$E$2)),TEXT('הדבקת לידים'!A3488,"0")),TRIM('הדבקת לידים'!A3488)))</f>
        <v/>
      </c>
      <c r="B3488" s="0" t="str">
        <f aca="false">IF('הדבקת לידים'!B3488="","",IF(ISNUMBER('הדבקת לידים'!B3488),IF(הגדרות!$E$3&gt;0,TEXT('הדבקת לידים'!B3488,REPT("0",הגדרות!$E$3)),TEXT('הדבקת לידים'!B3488,"0")),TRIM('הדבקת לידים'!B3488)))</f>
        <v/>
      </c>
      <c r="C3488" s="0" t="n">
        <f aca="false">IF(OR(A3488&lt;&gt;"",B3488&lt;&gt;""),1,0)</f>
        <v>0</v>
      </c>
      <c r="D3488" s="0" t="str">
        <f aca="false">IF(C3488=1,MOD(ABS(SIN(ROW()*12.9898+'הדבקת לידים'!$F$2*78.233+IFERROR(--RIGHT(A3488,6),LEN(A3488))*0.0137+IFERROR(--RIGHT(B3488,6),LEN(B3488))*0.0071))*43758.5453,1),"")</f>
        <v/>
      </c>
      <c r="E3488" s="0" t="str">
        <f aca="false">IF(C3488=1,INT(MOD(ABS(SIN(D3488*7919.123+ROW()*0.618+'הדבקת לידים'!$F$2*1.3))*43758.5453,1)*1000000)*10000+ROW(),"")</f>
        <v/>
      </c>
      <c r="F3488" s="0" t="str">
        <f aca="false">IF(E3488="","",RANK(E3488,$E$2:$E$5001,1))</f>
        <v/>
      </c>
      <c r="G3488" s="0" t="n">
        <f aca="false">IF(A3488="",0,IF(SUMPRODUCT(--($A$2:$A$5001=A3488))&gt;1,1,0))</f>
        <v>0</v>
      </c>
      <c r="H3488" s="0" t="n">
        <f aca="false">ROW()-1</f>
        <v>3487</v>
      </c>
      <c r="I3488" s="0" t="str">
        <f aca="false">IF(OR(הגדרות!$E$6=0,H3488&gt;הגדרות!$E$5),"",IF(H3488-1&lt;הגדרות!$E$8*(הגדרות!$E$7+1),INT((H3488-1)/(הגדרות!$E$7+1)),הגדרות!$E$8+INT((H3488-1-הגדרות!$E$8*(הגדרות!$E$7+1))/הגדרות!$E$7)))</f>
        <v/>
      </c>
      <c r="J3488" s="0" t="str">
        <f aca="false">IF(I3488="","",IF(H3488-1&lt;הגדרות!$E$8*(הגדרות!$E$7+1),MOD(H3488-1,הגדרות!$E$7+1),MOD(H3488-1-הגדרות!$E$8*(הגדרות!$E$7+1),הגדרות!$E$7)))</f>
        <v/>
      </c>
      <c r="K3488" s="0" t="str">
        <f aca="false">IF(I3488="","",J3488*הגדרות!$E$6+I3488+1)</f>
        <v/>
      </c>
      <c r="L3488" s="0" t="str">
        <f aca="false">IF(K3488="","",MATCH(K3488,$F$2:$F$5001,0))</f>
        <v/>
      </c>
      <c r="M3488" s="0" t="str">
        <f aca="false">IF(I3488="","",INDEX(הגדרות!$A$2:$A$21,MOD(I3488+הגדרות!$E$9,הגדרות!$E$6)+1))</f>
        <v/>
      </c>
    </row>
    <row r="3489" customFormat="false" ht="15" hidden="false" customHeight="false" outlineLevel="0" collapsed="false">
      <c r="A3489" s="0" t="str">
        <f aca="false">IF('הדבקת לידים'!A3489="","",IF(ISNUMBER('הדבקת לידים'!A3489),IF(הגדרות!$E$2&gt;0,TEXT('הדבקת לידים'!A3489,REPT("0",הגדרות!$E$2)),TEXT('הדבקת לידים'!A3489,"0")),TRIM('הדבקת לידים'!A3489)))</f>
        <v/>
      </c>
      <c r="B3489" s="0" t="str">
        <f aca="false">IF('הדבקת לידים'!B3489="","",IF(ISNUMBER('הדבקת לידים'!B3489),IF(הגדרות!$E$3&gt;0,TEXT('הדבקת לידים'!B3489,REPT("0",הגדרות!$E$3)),TEXT('הדבקת לידים'!B3489,"0")),TRIM('הדבקת לידים'!B3489)))</f>
        <v/>
      </c>
      <c r="C3489" s="0" t="n">
        <f aca="false">IF(OR(A3489&lt;&gt;"",B3489&lt;&gt;""),1,0)</f>
        <v>0</v>
      </c>
      <c r="D3489" s="0" t="str">
        <f aca="false">IF(C3489=1,MOD(ABS(SIN(ROW()*12.9898+'הדבקת לידים'!$F$2*78.233+IFERROR(--RIGHT(A3489,6),LEN(A3489))*0.0137+IFERROR(--RIGHT(B3489,6),LEN(B3489))*0.0071))*43758.5453,1),"")</f>
        <v/>
      </c>
      <c r="E3489" s="0" t="str">
        <f aca="false">IF(C3489=1,INT(MOD(ABS(SIN(D3489*7919.123+ROW()*0.618+'הדבקת לידים'!$F$2*1.3))*43758.5453,1)*1000000)*10000+ROW(),"")</f>
        <v/>
      </c>
      <c r="F3489" s="0" t="str">
        <f aca="false">IF(E3489="","",RANK(E3489,$E$2:$E$5001,1))</f>
        <v/>
      </c>
      <c r="G3489" s="0" t="n">
        <f aca="false">IF(A3489="",0,IF(SUMPRODUCT(--($A$2:$A$5001=A3489))&gt;1,1,0))</f>
        <v>0</v>
      </c>
      <c r="H3489" s="0" t="n">
        <f aca="false">ROW()-1</f>
        <v>3488</v>
      </c>
      <c r="I3489" s="0" t="str">
        <f aca="false">IF(OR(הגדרות!$E$6=0,H3489&gt;הגדרות!$E$5),"",IF(H3489-1&lt;הגדרות!$E$8*(הגדרות!$E$7+1),INT((H3489-1)/(הגדרות!$E$7+1)),הגדרות!$E$8+INT((H3489-1-הגדרות!$E$8*(הגדרות!$E$7+1))/הגדרות!$E$7)))</f>
        <v/>
      </c>
      <c r="J3489" s="0" t="str">
        <f aca="false">IF(I3489="","",IF(H3489-1&lt;הגדרות!$E$8*(הגדרות!$E$7+1),MOD(H3489-1,הגדרות!$E$7+1),MOD(H3489-1-הגדרות!$E$8*(הגדרות!$E$7+1),הגדרות!$E$7)))</f>
        <v/>
      </c>
      <c r="K3489" s="0" t="str">
        <f aca="false">IF(I3489="","",J3489*הגדרות!$E$6+I3489+1)</f>
        <v/>
      </c>
      <c r="L3489" s="0" t="str">
        <f aca="false">IF(K3489="","",MATCH(K3489,$F$2:$F$5001,0))</f>
        <v/>
      </c>
      <c r="M3489" s="0" t="str">
        <f aca="false">IF(I3489="","",INDEX(הגדרות!$A$2:$A$21,MOD(I3489+הגדרות!$E$9,הגדרות!$E$6)+1))</f>
        <v/>
      </c>
    </row>
    <row r="3490" customFormat="false" ht="15" hidden="false" customHeight="false" outlineLevel="0" collapsed="false">
      <c r="A3490" s="0" t="str">
        <f aca="false">IF('הדבקת לידים'!A3490="","",IF(ISNUMBER('הדבקת לידים'!A3490),IF(הגדרות!$E$2&gt;0,TEXT('הדבקת לידים'!A3490,REPT("0",הגדרות!$E$2)),TEXT('הדבקת לידים'!A3490,"0")),TRIM('הדבקת לידים'!A3490)))</f>
        <v/>
      </c>
      <c r="B3490" s="0" t="str">
        <f aca="false">IF('הדבקת לידים'!B3490="","",IF(ISNUMBER('הדבקת לידים'!B3490),IF(הגדרות!$E$3&gt;0,TEXT('הדבקת לידים'!B3490,REPT("0",הגדרות!$E$3)),TEXT('הדבקת לידים'!B3490,"0")),TRIM('הדבקת לידים'!B3490)))</f>
        <v/>
      </c>
      <c r="C3490" s="0" t="n">
        <f aca="false">IF(OR(A3490&lt;&gt;"",B3490&lt;&gt;""),1,0)</f>
        <v>0</v>
      </c>
      <c r="D3490" s="0" t="str">
        <f aca="false">IF(C3490=1,MOD(ABS(SIN(ROW()*12.9898+'הדבקת לידים'!$F$2*78.233+IFERROR(--RIGHT(A3490,6),LEN(A3490))*0.0137+IFERROR(--RIGHT(B3490,6),LEN(B3490))*0.0071))*43758.5453,1),"")</f>
        <v/>
      </c>
      <c r="E3490" s="0" t="str">
        <f aca="false">IF(C3490=1,INT(MOD(ABS(SIN(D3490*7919.123+ROW()*0.618+'הדבקת לידים'!$F$2*1.3))*43758.5453,1)*1000000)*10000+ROW(),"")</f>
        <v/>
      </c>
      <c r="F3490" s="0" t="str">
        <f aca="false">IF(E3490="","",RANK(E3490,$E$2:$E$5001,1))</f>
        <v/>
      </c>
      <c r="G3490" s="0" t="n">
        <f aca="false">IF(A3490="",0,IF(SUMPRODUCT(--($A$2:$A$5001=A3490))&gt;1,1,0))</f>
        <v>0</v>
      </c>
      <c r="H3490" s="0" t="n">
        <f aca="false">ROW()-1</f>
        <v>3489</v>
      </c>
      <c r="I3490" s="0" t="str">
        <f aca="false">IF(OR(הגדרות!$E$6=0,H3490&gt;הגדרות!$E$5),"",IF(H3490-1&lt;הגדרות!$E$8*(הגדרות!$E$7+1),INT((H3490-1)/(הגדרות!$E$7+1)),הגדרות!$E$8+INT((H3490-1-הגדרות!$E$8*(הגדרות!$E$7+1))/הגדרות!$E$7)))</f>
        <v/>
      </c>
      <c r="J3490" s="0" t="str">
        <f aca="false">IF(I3490="","",IF(H3490-1&lt;הגדרות!$E$8*(הגדרות!$E$7+1),MOD(H3490-1,הגדרות!$E$7+1),MOD(H3490-1-הגדרות!$E$8*(הגדרות!$E$7+1),הגדרות!$E$7)))</f>
        <v/>
      </c>
      <c r="K3490" s="0" t="str">
        <f aca="false">IF(I3490="","",J3490*הגדרות!$E$6+I3490+1)</f>
        <v/>
      </c>
      <c r="L3490" s="0" t="str">
        <f aca="false">IF(K3490="","",MATCH(K3490,$F$2:$F$5001,0))</f>
        <v/>
      </c>
      <c r="M3490" s="0" t="str">
        <f aca="false">IF(I3490="","",INDEX(הגדרות!$A$2:$A$21,MOD(I3490+הגדרות!$E$9,הגדרות!$E$6)+1))</f>
        <v/>
      </c>
    </row>
    <row r="3491" customFormat="false" ht="15" hidden="false" customHeight="false" outlineLevel="0" collapsed="false">
      <c r="A3491" s="0" t="str">
        <f aca="false">IF('הדבקת לידים'!A3491="","",IF(ISNUMBER('הדבקת לידים'!A3491),IF(הגדרות!$E$2&gt;0,TEXT('הדבקת לידים'!A3491,REPT("0",הגדרות!$E$2)),TEXT('הדבקת לידים'!A3491,"0")),TRIM('הדבקת לידים'!A3491)))</f>
        <v/>
      </c>
      <c r="B3491" s="0" t="str">
        <f aca="false">IF('הדבקת לידים'!B3491="","",IF(ISNUMBER('הדבקת לידים'!B3491),IF(הגדרות!$E$3&gt;0,TEXT('הדבקת לידים'!B3491,REPT("0",הגדרות!$E$3)),TEXT('הדבקת לידים'!B3491,"0")),TRIM('הדבקת לידים'!B3491)))</f>
        <v/>
      </c>
      <c r="C3491" s="0" t="n">
        <f aca="false">IF(OR(A3491&lt;&gt;"",B3491&lt;&gt;""),1,0)</f>
        <v>0</v>
      </c>
      <c r="D3491" s="0" t="str">
        <f aca="false">IF(C3491=1,MOD(ABS(SIN(ROW()*12.9898+'הדבקת לידים'!$F$2*78.233+IFERROR(--RIGHT(A3491,6),LEN(A3491))*0.0137+IFERROR(--RIGHT(B3491,6),LEN(B3491))*0.0071))*43758.5453,1),"")</f>
        <v/>
      </c>
      <c r="E3491" s="0" t="str">
        <f aca="false">IF(C3491=1,INT(MOD(ABS(SIN(D3491*7919.123+ROW()*0.618+'הדבקת לידים'!$F$2*1.3))*43758.5453,1)*1000000)*10000+ROW(),"")</f>
        <v/>
      </c>
      <c r="F3491" s="0" t="str">
        <f aca="false">IF(E3491="","",RANK(E3491,$E$2:$E$5001,1))</f>
        <v/>
      </c>
      <c r="G3491" s="0" t="n">
        <f aca="false">IF(A3491="",0,IF(SUMPRODUCT(--($A$2:$A$5001=A3491))&gt;1,1,0))</f>
        <v>0</v>
      </c>
      <c r="H3491" s="0" t="n">
        <f aca="false">ROW()-1</f>
        <v>3490</v>
      </c>
      <c r="I3491" s="0" t="str">
        <f aca="false">IF(OR(הגדרות!$E$6=0,H3491&gt;הגדרות!$E$5),"",IF(H3491-1&lt;הגדרות!$E$8*(הגדרות!$E$7+1),INT((H3491-1)/(הגדרות!$E$7+1)),הגדרות!$E$8+INT((H3491-1-הגדרות!$E$8*(הגדרות!$E$7+1))/הגדרות!$E$7)))</f>
        <v/>
      </c>
      <c r="J3491" s="0" t="str">
        <f aca="false">IF(I3491="","",IF(H3491-1&lt;הגדרות!$E$8*(הגדרות!$E$7+1),MOD(H3491-1,הגדרות!$E$7+1),MOD(H3491-1-הגדרות!$E$8*(הגדרות!$E$7+1),הגדרות!$E$7)))</f>
        <v/>
      </c>
      <c r="K3491" s="0" t="str">
        <f aca="false">IF(I3491="","",J3491*הגדרות!$E$6+I3491+1)</f>
        <v/>
      </c>
      <c r="L3491" s="0" t="str">
        <f aca="false">IF(K3491="","",MATCH(K3491,$F$2:$F$5001,0))</f>
        <v/>
      </c>
      <c r="M3491" s="0" t="str">
        <f aca="false">IF(I3491="","",INDEX(הגדרות!$A$2:$A$21,MOD(I3491+הגדרות!$E$9,הגדרות!$E$6)+1))</f>
        <v/>
      </c>
    </row>
    <row r="3492" customFormat="false" ht="15" hidden="false" customHeight="false" outlineLevel="0" collapsed="false">
      <c r="A3492" s="0" t="str">
        <f aca="false">IF('הדבקת לידים'!A3492="","",IF(ISNUMBER('הדבקת לידים'!A3492),IF(הגדרות!$E$2&gt;0,TEXT('הדבקת לידים'!A3492,REPT("0",הגדרות!$E$2)),TEXT('הדבקת לידים'!A3492,"0")),TRIM('הדבקת לידים'!A3492)))</f>
        <v/>
      </c>
      <c r="B3492" s="0" t="str">
        <f aca="false">IF('הדבקת לידים'!B3492="","",IF(ISNUMBER('הדבקת לידים'!B3492),IF(הגדרות!$E$3&gt;0,TEXT('הדבקת לידים'!B3492,REPT("0",הגדרות!$E$3)),TEXT('הדבקת לידים'!B3492,"0")),TRIM('הדבקת לידים'!B3492)))</f>
        <v/>
      </c>
      <c r="C3492" s="0" t="n">
        <f aca="false">IF(OR(A3492&lt;&gt;"",B3492&lt;&gt;""),1,0)</f>
        <v>0</v>
      </c>
      <c r="D3492" s="0" t="str">
        <f aca="false">IF(C3492=1,MOD(ABS(SIN(ROW()*12.9898+'הדבקת לידים'!$F$2*78.233+IFERROR(--RIGHT(A3492,6),LEN(A3492))*0.0137+IFERROR(--RIGHT(B3492,6),LEN(B3492))*0.0071))*43758.5453,1),"")</f>
        <v/>
      </c>
      <c r="E3492" s="0" t="str">
        <f aca="false">IF(C3492=1,INT(MOD(ABS(SIN(D3492*7919.123+ROW()*0.618+'הדבקת לידים'!$F$2*1.3))*43758.5453,1)*1000000)*10000+ROW(),"")</f>
        <v/>
      </c>
      <c r="F3492" s="0" t="str">
        <f aca="false">IF(E3492="","",RANK(E3492,$E$2:$E$5001,1))</f>
        <v/>
      </c>
      <c r="G3492" s="0" t="n">
        <f aca="false">IF(A3492="",0,IF(SUMPRODUCT(--($A$2:$A$5001=A3492))&gt;1,1,0))</f>
        <v>0</v>
      </c>
      <c r="H3492" s="0" t="n">
        <f aca="false">ROW()-1</f>
        <v>3491</v>
      </c>
      <c r="I3492" s="0" t="str">
        <f aca="false">IF(OR(הגדרות!$E$6=0,H3492&gt;הגדרות!$E$5),"",IF(H3492-1&lt;הגדרות!$E$8*(הגדרות!$E$7+1),INT((H3492-1)/(הגדרות!$E$7+1)),הגדרות!$E$8+INT((H3492-1-הגדרות!$E$8*(הגדרות!$E$7+1))/הגדרות!$E$7)))</f>
        <v/>
      </c>
      <c r="J3492" s="0" t="str">
        <f aca="false">IF(I3492="","",IF(H3492-1&lt;הגדרות!$E$8*(הגדרות!$E$7+1),MOD(H3492-1,הגדרות!$E$7+1),MOD(H3492-1-הגדרות!$E$8*(הגדרות!$E$7+1),הגדרות!$E$7)))</f>
        <v/>
      </c>
      <c r="K3492" s="0" t="str">
        <f aca="false">IF(I3492="","",J3492*הגדרות!$E$6+I3492+1)</f>
        <v/>
      </c>
      <c r="L3492" s="0" t="str">
        <f aca="false">IF(K3492="","",MATCH(K3492,$F$2:$F$5001,0))</f>
        <v/>
      </c>
      <c r="M3492" s="0" t="str">
        <f aca="false">IF(I3492="","",INDEX(הגדרות!$A$2:$A$21,MOD(I3492+הגדרות!$E$9,הגדרות!$E$6)+1))</f>
        <v/>
      </c>
    </row>
    <row r="3493" customFormat="false" ht="15" hidden="false" customHeight="false" outlineLevel="0" collapsed="false">
      <c r="A3493" s="0" t="str">
        <f aca="false">IF('הדבקת לידים'!A3493="","",IF(ISNUMBER('הדבקת לידים'!A3493),IF(הגדרות!$E$2&gt;0,TEXT('הדבקת לידים'!A3493,REPT("0",הגדרות!$E$2)),TEXT('הדבקת לידים'!A3493,"0")),TRIM('הדבקת לידים'!A3493)))</f>
        <v/>
      </c>
      <c r="B3493" s="0" t="str">
        <f aca="false">IF('הדבקת לידים'!B3493="","",IF(ISNUMBER('הדבקת לידים'!B3493),IF(הגדרות!$E$3&gt;0,TEXT('הדבקת לידים'!B3493,REPT("0",הגדרות!$E$3)),TEXT('הדבקת לידים'!B3493,"0")),TRIM('הדבקת לידים'!B3493)))</f>
        <v/>
      </c>
      <c r="C3493" s="0" t="n">
        <f aca="false">IF(OR(A3493&lt;&gt;"",B3493&lt;&gt;""),1,0)</f>
        <v>0</v>
      </c>
      <c r="D3493" s="0" t="str">
        <f aca="false">IF(C3493=1,MOD(ABS(SIN(ROW()*12.9898+'הדבקת לידים'!$F$2*78.233+IFERROR(--RIGHT(A3493,6),LEN(A3493))*0.0137+IFERROR(--RIGHT(B3493,6),LEN(B3493))*0.0071))*43758.5453,1),"")</f>
        <v/>
      </c>
      <c r="E3493" s="0" t="str">
        <f aca="false">IF(C3493=1,INT(MOD(ABS(SIN(D3493*7919.123+ROW()*0.618+'הדבקת לידים'!$F$2*1.3))*43758.5453,1)*1000000)*10000+ROW(),"")</f>
        <v/>
      </c>
      <c r="F3493" s="0" t="str">
        <f aca="false">IF(E3493="","",RANK(E3493,$E$2:$E$5001,1))</f>
        <v/>
      </c>
      <c r="G3493" s="0" t="n">
        <f aca="false">IF(A3493="",0,IF(SUMPRODUCT(--($A$2:$A$5001=A3493))&gt;1,1,0))</f>
        <v>0</v>
      </c>
      <c r="H3493" s="0" t="n">
        <f aca="false">ROW()-1</f>
        <v>3492</v>
      </c>
      <c r="I3493" s="0" t="str">
        <f aca="false">IF(OR(הגדרות!$E$6=0,H3493&gt;הגדרות!$E$5),"",IF(H3493-1&lt;הגדרות!$E$8*(הגדרות!$E$7+1),INT((H3493-1)/(הגדרות!$E$7+1)),הגדרות!$E$8+INT((H3493-1-הגדרות!$E$8*(הגדרות!$E$7+1))/הגדרות!$E$7)))</f>
        <v/>
      </c>
      <c r="J3493" s="0" t="str">
        <f aca="false">IF(I3493="","",IF(H3493-1&lt;הגדרות!$E$8*(הגדרות!$E$7+1),MOD(H3493-1,הגדרות!$E$7+1),MOD(H3493-1-הגדרות!$E$8*(הגדרות!$E$7+1),הגדרות!$E$7)))</f>
        <v/>
      </c>
      <c r="K3493" s="0" t="str">
        <f aca="false">IF(I3493="","",J3493*הגדרות!$E$6+I3493+1)</f>
        <v/>
      </c>
      <c r="L3493" s="0" t="str">
        <f aca="false">IF(K3493="","",MATCH(K3493,$F$2:$F$5001,0))</f>
        <v/>
      </c>
      <c r="M3493" s="0" t="str">
        <f aca="false">IF(I3493="","",INDEX(הגדרות!$A$2:$A$21,MOD(I3493+הגדרות!$E$9,הגדרות!$E$6)+1))</f>
        <v/>
      </c>
    </row>
    <row r="3494" customFormat="false" ht="15" hidden="false" customHeight="false" outlineLevel="0" collapsed="false">
      <c r="A3494" s="0" t="str">
        <f aca="false">IF('הדבקת לידים'!A3494="","",IF(ISNUMBER('הדבקת לידים'!A3494),IF(הגדרות!$E$2&gt;0,TEXT('הדבקת לידים'!A3494,REPT("0",הגדרות!$E$2)),TEXT('הדבקת לידים'!A3494,"0")),TRIM('הדבקת לידים'!A3494)))</f>
        <v/>
      </c>
      <c r="B3494" s="0" t="str">
        <f aca="false">IF('הדבקת לידים'!B3494="","",IF(ISNUMBER('הדבקת לידים'!B3494),IF(הגדרות!$E$3&gt;0,TEXT('הדבקת לידים'!B3494,REPT("0",הגדרות!$E$3)),TEXT('הדבקת לידים'!B3494,"0")),TRIM('הדבקת לידים'!B3494)))</f>
        <v/>
      </c>
      <c r="C3494" s="0" t="n">
        <f aca="false">IF(OR(A3494&lt;&gt;"",B3494&lt;&gt;""),1,0)</f>
        <v>0</v>
      </c>
      <c r="D3494" s="0" t="str">
        <f aca="false">IF(C3494=1,MOD(ABS(SIN(ROW()*12.9898+'הדבקת לידים'!$F$2*78.233+IFERROR(--RIGHT(A3494,6),LEN(A3494))*0.0137+IFERROR(--RIGHT(B3494,6),LEN(B3494))*0.0071))*43758.5453,1),"")</f>
        <v/>
      </c>
      <c r="E3494" s="0" t="str">
        <f aca="false">IF(C3494=1,INT(MOD(ABS(SIN(D3494*7919.123+ROW()*0.618+'הדבקת לידים'!$F$2*1.3))*43758.5453,1)*1000000)*10000+ROW(),"")</f>
        <v/>
      </c>
      <c r="F3494" s="0" t="str">
        <f aca="false">IF(E3494="","",RANK(E3494,$E$2:$E$5001,1))</f>
        <v/>
      </c>
      <c r="G3494" s="0" t="n">
        <f aca="false">IF(A3494="",0,IF(SUMPRODUCT(--($A$2:$A$5001=A3494))&gt;1,1,0))</f>
        <v>0</v>
      </c>
      <c r="H3494" s="0" t="n">
        <f aca="false">ROW()-1</f>
        <v>3493</v>
      </c>
      <c r="I3494" s="0" t="str">
        <f aca="false">IF(OR(הגדרות!$E$6=0,H3494&gt;הגדרות!$E$5),"",IF(H3494-1&lt;הגדרות!$E$8*(הגדרות!$E$7+1),INT((H3494-1)/(הגדרות!$E$7+1)),הגדרות!$E$8+INT((H3494-1-הגדרות!$E$8*(הגדרות!$E$7+1))/הגדרות!$E$7)))</f>
        <v/>
      </c>
      <c r="J3494" s="0" t="str">
        <f aca="false">IF(I3494="","",IF(H3494-1&lt;הגדרות!$E$8*(הגדרות!$E$7+1),MOD(H3494-1,הגדרות!$E$7+1),MOD(H3494-1-הגדרות!$E$8*(הגדרות!$E$7+1),הגדרות!$E$7)))</f>
        <v/>
      </c>
      <c r="K3494" s="0" t="str">
        <f aca="false">IF(I3494="","",J3494*הגדרות!$E$6+I3494+1)</f>
        <v/>
      </c>
      <c r="L3494" s="0" t="str">
        <f aca="false">IF(K3494="","",MATCH(K3494,$F$2:$F$5001,0))</f>
        <v/>
      </c>
      <c r="M3494" s="0" t="str">
        <f aca="false">IF(I3494="","",INDEX(הגדרות!$A$2:$A$21,MOD(I3494+הגדרות!$E$9,הגדרות!$E$6)+1))</f>
        <v/>
      </c>
    </row>
    <row r="3495" customFormat="false" ht="15" hidden="false" customHeight="false" outlineLevel="0" collapsed="false">
      <c r="A3495" s="0" t="str">
        <f aca="false">IF('הדבקת לידים'!A3495="","",IF(ISNUMBER('הדבקת לידים'!A3495),IF(הגדרות!$E$2&gt;0,TEXT('הדבקת לידים'!A3495,REPT("0",הגדרות!$E$2)),TEXT('הדבקת לידים'!A3495,"0")),TRIM('הדבקת לידים'!A3495)))</f>
        <v/>
      </c>
      <c r="B3495" s="0" t="str">
        <f aca="false">IF('הדבקת לידים'!B3495="","",IF(ISNUMBER('הדבקת לידים'!B3495),IF(הגדרות!$E$3&gt;0,TEXT('הדבקת לידים'!B3495,REPT("0",הגדרות!$E$3)),TEXT('הדבקת לידים'!B3495,"0")),TRIM('הדבקת לידים'!B3495)))</f>
        <v/>
      </c>
      <c r="C3495" s="0" t="n">
        <f aca="false">IF(OR(A3495&lt;&gt;"",B3495&lt;&gt;""),1,0)</f>
        <v>0</v>
      </c>
      <c r="D3495" s="0" t="str">
        <f aca="false">IF(C3495=1,MOD(ABS(SIN(ROW()*12.9898+'הדבקת לידים'!$F$2*78.233+IFERROR(--RIGHT(A3495,6),LEN(A3495))*0.0137+IFERROR(--RIGHT(B3495,6),LEN(B3495))*0.0071))*43758.5453,1),"")</f>
        <v/>
      </c>
      <c r="E3495" s="0" t="str">
        <f aca="false">IF(C3495=1,INT(MOD(ABS(SIN(D3495*7919.123+ROW()*0.618+'הדבקת לידים'!$F$2*1.3))*43758.5453,1)*1000000)*10000+ROW(),"")</f>
        <v/>
      </c>
      <c r="F3495" s="0" t="str">
        <f aca="false">IF(E3495="","",RANK(E3495,$E$2:$E$5001,1))</f>
        <v/>
      </c>
      <c r="G3495" s="0" t="n">
        <f aca="false">IF(A3495="",0,IF(SUMPRODUCT(--($A$2:$A$5001=A3495))&gt;1,1,0))</f>
        <v>0</v>
      </c>
      <c r="H3495" s="0" t="n">
        <f aca="false">ROW()-1</f>
        <v>3494</v>
      </c>
      <c r="I3495" s="0" t="str">
        <f aca="false">IF(OR(הגדרות!$E$6=0,H3495&gt;הגדרות!$E$5),"",IF(H3495-1&lt;הגדרות!$E$8*(הגדרות!$E$7+1),INT((H3495-1)/(הגדרות!$E$7+1)),הגדרות!$E$8+INT((H3495-1-הגדרות!$E$8*(הגדרות!$E$7+1))/הגדרות!$E$7)))</f>
        <v/>
      </c>
      <c r="J3495" s="0" t="str">
        <f aca="false">IF(I3495="","",IF(H3495-1&lt;הגדרות!$E$8*(הגדרות!$E$7+1),MOD(H3495-1,הגדרות!$E$7+1),MOD(H3495-1-הגדרות!$E$8*(הגדרות!$E$7+1),הגדרות!$E$7)))</f>
        <v/>
      </c>
      <c r="K3495" s="0" t="str">
        <f aca="false">IF(I3495="","",J3495*הגדרות!$E$6+I3495+1)</f>
        <v/>
      </c>
      <c r="L3495" s="0" t="str">
        <f aca="false">IF(K3495="","",MATCH(K3495,$F$2:$F$5001,0))</f>
        <v/>
      </c>
      <c r="M3495" s="0" t="str">
        <f aca="false">IF(I3495="","",INDEX(הגדרות!$A$2:$A$21,MOD(I3495+הגדרות!$E$9,הגדרות!$E$6)+1))</f>
        <v/>
      </c>
    </row>
    <row r="3496" customFormat="false" ht="15" hidden="false" customHeight="false" outlineLevel="0" collapsed="false">
      <c r="A3496" s="0" t="str">
        <f aca="false">IF('הדבקת לידים'!A3496="","",IF(ISNUMBER('הדבקת לידים'!A3496),IF(הגדרות!$E$2&gt;0,TEXT('הדבקת לידים'!A3496,REPT("0",הגדרות!$E$2)),TEXT('הדבקת לידים'!A3496,"0")),TRIM('הדבקת לידים'!A3496)))</f>
        <v/>
      </c>
      <c r="B3496" s="0" t="str">
        <f aca="false">IF('הדבקת לידים'!B3496="","",IF(ISNUMBER('הדבקת לידים'!B3496),IF(הגדרות!$E$3&gt;0,TEXT('הדבקת לידים'!B3496,REPT("0",הגדרות!$E$3)),TEXT('הדבקת לידים'!B3496,"0")),TRIM('הדבקת לידים'!B3496)))</f>
        <v/>
      </c>
      <c r="C3496" s="0" t="n">
        <f aca="false">IF(OR(A3496&lt;&gt;"",B3496&lt;&gt;""),1,0)</f>
        <v>0</v>
      </c>
      <c r="D3496" s="0" t="str">
        <f aca="false">IF(C3496=1,MOD(ABS(SIN(ROW()*12.9898+'הדבקת לידים'!$F$2*78.233+IFERROR(--RIGHT(A3496,6),LEN(A3496))*0.0137+IFERROR(--RIGHT(B3496,6),LEN(B3496))*0.0071))*43758.5453,1),"")</f>
        <v/>
      </c>
      <c r="E3496" s="0" t="str">
        <f aca="false">IF(C3496=1,INT(MOD(ABS(SIN(D3496*7919.123+ROW()*0.618+'הדבקת לידים'!$F$2*1.3))*43758.5453,1)*1000000)*10000+ROW(),"")</f>
        <v/>
      </c>
      <c r="F3496" s="0" t="str">
        <f aca="false">IF(E3496="","",RANK(E3496,$E$2:$E$5001,1))</f>
        <v/>
      </c>
      <c r="G3496" s="0" t="n">
        <f aca="false">IF(A3496="",0,IF(SUMPRODUCT(--($A$2:$A$5001=A3496))&gt;1,1,0))</f>
        <v>0</v>
      </c>
      <c r="H3496" s="0" t="n">
        <f aca="false">ROW()-1</f>
        <v>3495</v>
      </c>
      <c r="I3496" s="0" t="str">
        <f aca="false">IF(OR(הגדרות!$E$6=0,H3496&gt;הגדרות!$E$5),"",IF(H3496-1&lt;הגדרות!$E$8*(הגדרות!$E$7+1),INT((H3496-1)/(הגדרות!$E$7+1)),הגדרות!$E$8+INT((H3496-1-הגדרות!$E$8*(הגדרות!$E$7+1))/הגדרות!$E$7)))</f>
        <v/>
      </c>
      <c r="J3496" s="0" t="str">
        <f aca="false">IF(I3496="","",IF(H3496-1&lt;הגדרות!$E$8*(הגדרות!$E$7+1),MOD(H3496-1,הגדרות!$E$7+1),MOD(H3496-1-הגדרות!$E$8*(הגדרות!$E$7+1),הגדרות!$E$7)))</f>
        <v/>
      </c>
      <c r="K3496" s="0" t="str">
        <f aca="false">IF(I3496="","",J3496*הגדרות!$E$6+I3496+1)</f>
        <v/>
      </c>
      <c r="L3496" s="0" t="str">
        <f aca="false">IF(K3496="","",MATCH(K3496,$F$2:$F$5001,0))</f>
        <v/>
      </c>
      <c r="M3496" s="0" t="str">
        <f aca="false">IF(I3496="","",INDEX(הגדרות!$A$2:$A$21,MOD(I3496+הגדרות!$E$9,הגדרות!$E$6)+1))</f>
        <v/>
      </c>
    </row>
    <row r="3497" customFormat="false" ht="15" hidden="false" customHeight="false" outlineLevel="0" collapsed="false">
      <c r="A3497" s="0" t="str">
        <f aca="false">IF('הדבקת לידים'!A3497="","",IF(ISNUMBER('הדבקת לידים'!A3497),IF(הגדרות!$E$2&gt;0,TEXT('הדבקת לידים'!A3497,REPT("0",הגדרות!$E$2)),TEXT('הדבקת לידים'!A3497,"0")),TRIM('הדבקת לידים'!A3497)))</f>
        <v/>
      </c>
      <c r="B3497" s="0" t="str">
        <f aca="false">IF('הדבקת לידים'!B3497="","",IF(ISNUMBER('הדבקת לידים'!B3497),IF(הגדרות!$E$3&gt;0,TEXT('הדבקת לידים'!B3497,REPT("0",הגדרות!$E$3)),TEXT('הדבקת לידים'!B3497,"0")),TRIM('הדבקת לידים'!B3497)))</f>
        <v/>
      </c>
      <c r="C3497" s="0" t="n">
        <f aca="false">IF(OR(A3497&lt;&gt;"",B3497&lt;&gt;""),1,0)</f>
        <v>0</v>
      </c>
      <c r="D3497" s="0" t="str">
        <f aca="false">IF(C3497=1,MOD(ABS(SIN(ROW()*12.9898+'הדבקת לידים'!$F$2*78.233+IFERROR(--RIGHT(A3497,6),LEN(A3497))*0.0137+IFERROR(--RIGHT(B3497,6),LEN(B3497))*0.0071))*43758.5453,1),"")</f>
        <v/>
      </c>
      <c r="E3497" s="0" t="str">
        <f aca="false">IF(C3497=1,INT(MOD(ABS(SIN(D3497*7919.123+ROW()*0.618+'הדבקת לידים'!$F$2*1.3))*43758.5453,1)*1000000)*10000+ROW(),"")</f>
        <v/>
      </c>
      <c r="F3497" s="0" t="str">
        <f aca="false">IF(E3497="","",RANK(E3497,$E$2:$E$5001,1))</f>
        <v/>
      </c>
      <c r="G3497" s="0" t="n">
        <f aca="false">IF(A3497="",0,IF(SUMPRODUCT(--($A$2:$A$5001=A3497))&gt;1,1,0))</f>
        <v>0</v>
      </c>
      <c r="H3497" s="0" t="n">
        <f aca="false">ROW()-1</f>
        <v>3496</v>
      </c>
      <c r="I3497" s="0" t="str">
        <f aca="false">IF(OR(הגדרות!$E$6=0,H3497&gt;הגדרות!$E$5),"",IF(H3497-1&lt;הגדרות!$E$8*(הגדרות!$E$7+1),INT((H3497-1)/(הגדרות!$E$7+1)),הגדרות!$E$8+INT((H3497-1-הגדרות!$E$8*(הגדרות!$E$7+1))/הגדרות!$E$7)))</f>
        <v/>
      </c>
      <c r="J3497" s="0" t="str">
        <f aca="false">IF(I3497="","",IF(H3497-1&lt;הגדרות!$E$8*(הגדרות!$E$7+1),MOD(H3497-1,הגדרות!$E$7+1),MOD(H3497-1-הגדרות!$E$8*(הגדרות!$E$7+1),הגדרות!$E$7)))</f>
        <v/>
      </c>
      <c r="K3497" s="0" t="str">
        <f aca="false">IF(I3497="","",J3497*הגדרות!$E$6+I3497+1)</f>
        <v/>
      </c>
      <c r="L3497" s="0" t="str">
        <f aca="false">IF(K3497="","",MATCH(K3497,$F$2:$F$5001,0))</f>
        <v/>
      </c>
      <c r="M3497" s="0" t="str">
        <f aca="false">IF(I3497="","",INDEX(הגדרות!$A$2:$A$21,MOD(I3497+הגדרות!$E$9,הגדרות!$E$6)+1))</f>
        <v/>
      </c>
    </row>
    <row r="3498" customFormat="false" ht="15" hidden="false" customHeight="false" outlineLevel="0" collapsed="false">
      <c r="A3498" s="0" t="str">
        <f aca="false">IF('הדבקת לידים'!A3498="","",IF(ISNUMBER('הדבקת לידים'!A3498),IF(הגדרות!$E$2&gt;0,TEXT('הדבקת לידים'!A3498,REPT("0",הגדרות!$E$2)),TEXT('הדבקת לידים'!A3498,"0")),TRIM('הדבקת לידים'!A3498)))</f>
        <v/>
      </c>
      <c r="B3498" s="0" t="str">
        <f aca="false">IF('הדבקת לידים'!B3498="","",IF(ISNUMBER('הדבקת לידים'!B3498),IF(הגדרות!$E$3&gt;0,TEXT('הדבקת לידים'!B3498,REPT("0",הגדרות!$E$3)),TEXT('הדבקת לידים'!B3498,"0")),TRIM('הדבקת לידים'!B3498)))</f>
        <v/>
      </c>
      <c r="C3498" s="0" t="n">
        <f aca="false">IF(OR(A3498&lt;&gt;"",B3498&lt;&gt;""),1,0)</f>
        <v>0</v>
      </c>
      <c r="D3498" s="0" t="str">
        <f aca="false">IF(C3498=1,MOD(ABS(SIN(ROW()*12.9898+'הדבקת לידים'!$F$2*78.233+IFERROR(--RIGHT(A3498,6),LEN(A3498))*0.0137+IFERROR(--RIGHT(B3498,6),LEN(B3498))*0.0071))*43758.5453,1),"")</f>
        <v/>
      </c>
      <c r="E3498" s="0" t="str">
        <f aca="false">IF(C3498=1,INT(MOD(ABS(SIN(D3498*7919.123+ROW()*0.618+'הדבקת לידים'!$F$2*1.3))*43758.5453,1)*1000000)*10000+ROW(),"")</f>
        <v/>
      </c>
      <c r="F3498" s="0" t="str">
        <f aca="false">IF(E3498="","",RANK(E3498,$E$2:$E$5001,1))</f>
        <v/>
      </c>
      <c r="G3498" s="0" t="n">
        <f aca="false">IF(A3498="",0,IF(SUMPRODUCT(--($A$2:$A$5001=A3498))&gt;1,1,0))</f>
        <v>0</v>
      </c>
      <c r="H3498" s="0" t="n">
        <f aca="false">ROW()-1</f>
        <v>3497</v>
      </c>
      <c r="I3498" s="0" t="str">
        <f aca="false">IF(OR(הגדרות!$E$6=0,H3498&gt;הגדרות!$E$5),"",IF(H3498-1&lt;הגדרות!$E$8*(הגדרות!$E$7+1),INT((H3498-1)/(הגדרות!$E$7+1)),הגדרות!$E$8+INT((H3498-1-הגדרות!$E$8*(הגדרות!$E$7+1))/הגדרות!$E$7)))</f>
        <v/>
      </c>
      <c r="J3498" s="0" t="str">
        <f aca="false">IF(I3498="","",IF(H3498-1&lt;הגדרות!$E$8*(הגדרות!$E$7+1),MOD(H3498-1,הגדרות!$E$7+1),MOD(H3498-1-הגדרות!$E$8*(הגדרות!$E$7+1),הגדרות!$E$7)))</f>
        <v/>
      </c>
      <c r="K3498" s="0" t="str">
        <f aca="false">IF(I3498="","",J3498*הגדרות!$E$6+I3498+1)</f>
        <v/>
      </c>
      <c r="L3498" s="0" t="str">
        <f aca="false">IF(K3498="","",MATCH(K3498,$F$2:$F$5001,0))</f>
        <v/>
      </c>
      <c r="M3498" s="0" t="str">
        <f aca="false">IF(I3498="","",INDEX(הגדרות!$A$2:$A$21,MOD(I3498+הגדרות!$E$9,הגדרות!$E$6)+1))</f>
        <v/>
      </c>
    </row>
    <row r="3499" customFormat="false" ht="15" hidden="false" customHeight="false" outlineLevel="0" collapsed="false">
      <c r="A3499" s="0" t="str">
        <f aca="false">IF('הדבקת לידים'!A3499="","",IF(ISNUMBER('הדבקת לידים'!A3499),IF(הגדרות!$E$2&gt;0,TEXT('הדבקת לידים'!A3499,REPT("0",הגדרות!$E$2)),TEXT('הדבקת לידים'!A3499,"0")),TRIM('הדבקת לידים'!A3499)))</f>
        <v/>
      </c>
      <c r="B3499" s="0" t="str">
        <f aca="false">IF('הדבקת לידים'!B3499="","",IF(ISNUMBER('הדבקת לידים'!B3499),IF(הגדרות!$E$3&gt;0,TEXT('הדבקת לידים'!B3499,REPT("0",הגדרות!$E$3)),TEXT('הדבקת לידים'!B3499,"0")),TRIM('הדבקת לידים'!B3499)))</f>
        <v/>
      </c>
      <c r="C3499" s="0" t="n">
        <f aca="false">IF(OR(A3499&lt;&gt;"",B3499&lt;&gt;""),1,0)</f>
        <v>0</v>
      </c>
      <c r="D3499" s="0" t="str">
        <f aca="false">IF(C3499=1,MOD(ABS(SIN(ROW()*12.9898+'הדבקת לידים'!$F$2*78.233+IFERROR(--RIGHT(A3499,6),LEN(A3499))*0.0137+IFERROR(--RIGHT(B3499,6),LEN(B3499))*0.0071))*43758.5453,1),"")</f>
        <v/>
      </c>
      <c r="E3499" s="0" t="str">
        <f aca="false">IF(C3499=1,INT(MOD(ABS(SIN(D3499*7919.123+ROW()*0.618+'הדבקת לידים'!$F$2*1.3))*43758.5453,1)*1000000)*10000+ROW(),"")</f>
        <v/>
      </c>
      <c r="F3499" s="0" t="str">
        <f aca="false">IF(E3499="","",RANK(E3499,$E$2:$E$5001,1))</f>
        <v/>
      </c>
      <c r="G3499" s="0" t="n">
        <f aca="false">IF(A3499="",0,IF(SUMPRODUCT(--($A$2:$A$5001=A3499))&gt;1,1,0))</f>
        <v>0</v>
      </c>
      <c r="H3499" s="0" t="n">
        <f aca="false">ROW()-1</f>
        <v>3498</v>
      </c>
      <c r="I3499" s="0" t="str">
        <f aca="false">IF(OR(הגדרות!$E$6=0,H3499&gt;הגדרות!$E$5),"",IF(H3499-1&lt;הגדרות!$E$8*(הגדרות!$E$7+1),INT((H3499-1)/(הגדרות!$E$7+1)),הגדרות!$E$8+INT((H3499-1-הגדרות!$E$8*(הגדרות!$E$7+1))/הגדרות!$E$7)))</f>
        <v/>
      </c>
      <c r="J3499" s="0" t="str">
        <f aca="false">IF(I3499="","",IF(H3499-1&lt;הגדרות!$E$8*(הגדרות!$E$7+1),MOD(H3499-1,הגדרות!$E$7+1),MOD(H3499-1-הגדרות!$E$8*(הגדרות!$E$7+1),הגדרות!$E$7)))</f>
        <v/>
      </c>
      <c r="K3499" s="0" t="str">
        <f aca="false">IF(I3499="","",J3499*הגדרות!$E$6+I3499+1)</f>
        <v/>
      </c>
      <c r="L3499" s="0" t="str">
        <f aca="false">IF(K3499="","",MATCH(K3499,$F$2:$F$5001,0))</f>
        <v/>
      </c>
      <c r="M3499" s="0" t="str">
        <f aca="false">IF(I3499="","",INDEX(הגדרות!$A$2:$A$21,MOD(I3499+הגדרות!$E$9,הגדרות!$E$6)+1))</f>
        <v/>
      </c>
    </row>
    <row r="3500" customFormat="false" ht="15" hidden="false" customHeight="false" outlineLevel="0" collapsed="false">
      <c r="A3500" s="0" t="str">
        <f aca="false">IF('הדבקת לידים'!A3500="","",IF(ISNUMBER('הדבקת לידים'!A3500),IF(הגדרות!$E$2&gt;0,TEXT('הדבקת לידים'!A3500,REPT("0",הגדרות!$E$2)),TEXT('הדבקת לידים'!A3500,"0")),TRIM('הדבקת לידים'!A3500)))</f>
        <v/>
      </c>
      <c r="B3500" s="0" t="str">
        <f aca="false">IF('הדבקת לידים'!B3500="","",IF(ISNUMBER('הדבקת לידים'!B3500),IF(הגדרות!$E$3&gt;0,TEXT('הדבקת לידים'!B3500,REPT("0",הגדרות!$E$3)),TEXT('הדבקת לידים'!B3500,"0")),TRIM('הדבקת לידים'!B3500)))</f>
        <v/>
      </c>
      <c r="C3500" s="0" t="n">
        <f aca="false">IF(OR(A3500&lt;&gt;"",B3500&lt;&gt;""),1,0)</f>
        <v>0</v>
      </c>
      <c r="D3500" s="0" t="str">
        <f aca="false">IF(C3500=1,MOD(ABS(SIN(ROW()*12.9898+'הדבקת לידים'!$F$2*78.233+IFERROR(--RIGHT(A3500,6),LEN(A3500))*0.0137+IFERROR(--RIGHT(B3500,6),LEN(B3500))*0.0071))*43758.5453,1),"")</f>
        <v/>
      </c>
      <c r="E3500" s="0" t="str">
        <f aca="false">IF(C3500=1,INT(MOD(ABS(SIN(D3500*7919.123+ROW()*0.618+'הדבקת לידים'!$F$2*1.3))*43758.5453,1)*1000000)*10000+ROW(),"")</f>
        <v/>
      </c>
      <c r="F3500" s="0" t="str">
        <f aca="false">IF(E3500="","",RANK(E3500,$E$2:$E$5001,1))</f>
        <v/>
      </c>
      <c r="G3500" s="0" t="n">
        <f aca="false">IF(A3500="",0,IF(SUMPRODUCT(--($A$2:$A$5001=A3500))&gt;1,1,0))</f>
        <v>0</v>
      </c>
      <c r="H3500" s="0" t="n">
        <f aca="false">ROW()-1</f>
        <v>3499</v>
      </c>
      <c r="I3500" s="0" t="str">
        <f aca="false">IF(OR(הגדרות!$E$6=0,H3500&gt;הגדרות!$E$5),"",IF(H3500-1&lt;הגדרות!$E$8*(הגדרות!$E$7+1),INT((H3500-1)/(הגדרות!$E$7+1)),הגדרות!$E$8+INT((H3500-1-הגדרות!$E$8*(הגדרות!$E$7+1))/הגדרות!$E$7)))</f>
        <v/>
      </c>
      <c r="J3500" s="0" t="str">
        <f aca="false">IF(I3500="","",IF(H3500-1&lt;הגדרות!$E$8*(הגדרות!$E$7+1),MOD(H3500-1,הגדרות!$E$7+1),MOD(H3500-1-הגדרות!$E$8*(הגדרות!$E$7+1),הגדרות!$E$7)))</f>
        <v/>
      </c>
      <c r="K3500" s="0" t="str">
        <f aca="false">IF(I3500="","",J3500*הגדרות!$E$6+I3500+1)</f>
        <v/>
      </c>
      <c r="L3500" s="0" t="str">
        <f aca="false">IF(K3500="","",MATCH(K3500,$F$2:$F$5001,0))</f>
        <v/>
      </c>
      <c r="M3500" s="0" t="str">
        <f aca="false">IF(I3500="","",INDEX(הגדרות!$A$2:$A$21,MOD(I3500+הגדרות!$E$9,הגדרות!$E$6)+1))</f>
        <v/>
      </c>
    </row>
    <row r="3501" customFormat="false" ht="15" hidden="false" customHeight="false" outlineLevel="0" collapsed="false">
      <c r="A3501" s="0" t="str">
        <f aca="false">IF('הדבקת לידים'!A3501="","",IF(ISNUMBER('הדבקת לידים'!A3501),IF(הגדרות!$E$2&gt;0,TEXT('הדבקת לידים'!A3501,REPT("0",הגדרות!$E$2)),TEXT('הדבקת לידים'!A3501,"0")),TRIM('הדבקת לידים'!A3501)))</f>
        <v/>
      </c>
      <c r="B3501" s="0" t="str">
        <f aca="false">IF('הדבקת לידים'!B3501="","",IF(ISNUMBER('הדבקת לידים'!B3501),IF(הגדרות!$E$3&gt;0,TEXT('הדבקת לידים'!B3501,REPT("0",הגדרות!$E$3)),TEXT('הדבקת לידים'!B3501,"0")),TRIM('הדבקת לידים'!B3501)))</f>
        <v/>
      </c>
      <c r="C3501" s="0" t="n">
        <f aca="false">IF(OR(A3501&lt;&gt;"",B3501&lt;&gt;""),1,0)</f>
        <v>0</v>
      </c>
      <c r="D3501" s="0" t="str">
        <f aca="false">IF(C3501=1,MOD(ABS(SIN(ROW()*12.9898+'הדבקת לידים'!$F$2*78.233+IFERROR(--RIGHT(A3501,6),LEN(A3501))*0.0137+IFERROR(--RIGHT(B3501,6),LEN(B3501))*0.0071))*43758.5453,1),"")</f>
        <v/>
      </c>
      <c r="E3501" s="0" t="str">
        <f aca="false">IF(C3501=1,INT(MOD(ABS(SIN(D3501*7919.123+ROW()*0.618+'הדבקת לידים'!$F$2*1.3))*43758.5453,1)*1000000)*10000+ROW(),"")</f>
        <v/>
      </c>
      <c r="F3501" s="0" t="str">
        <f aca="false">IF(E3501="","",RANK(E3501,$E$2:$E$5001,1))</f>
        <v/>
      </c>
      <c r="G3501" s="0" t="n">
        <f aca="false">IF(A3501="",0,IF(SUMPRODUCT(--($A$2:$A$5001=A3501))&gt;1,1,0))</f>
        <v>0</v>
      </c>
      <c r="H3501" s="0" t="n">
        <f aca="false">ROW()-1</f>
        <v>3500</v>
      </c>
      <c r="I3501" s="0" t="str">
        <f aca="false">IF(OR(הגדרות!$E$6=0,H3501&gt;הגדרות!$E$5),"",IF(H3501-1&lt;הגדרות!$E$8*(הגדרות!$E$7+1),INT((H3501-1)/(הגדרות!$E$7+1)),הגדרות!$E$8+INT((H3501-1-הגדרות!$E$8*(הגדרות!$E$7+1))/הגדרות!$E$7)))</f>
        <v/>
      </c>
      <c r="J3501" s="0" t="str">
        <f aca="false">IF(I3501="","",IF(H3501-1&lt;הגדרות!$E$8*(הגדרות!$E$7+1),MOD(H3501-1,הגדרות!$E$7+1),MOD(H3501-1-הגדרות!$E$8*(הגדרות!$E$7+1),הגדרות!$E$7)))</f>
        <v/>
      </c>
      <c r="K3501" s="0" t="str">
        <f aca="false">IF(I3501="","",J3501*הגדרות!$E$6+I3501+1)</f>
        <v/>
      </c>
      <c r="L3501" s="0" t="str">
        <f aca="false">IF(K3501="","",MATCH(K3501,$F$2:$F$5001,0))</f>
        <v/>
      </c>
      <c r="M3501" s="0" t="str">
        <f aca="false">IF(I3501="","",INDEX(הגדרות!$A$2:$A$21,MOD(I3501+הגדרות!$E$9,הגדרות!$E$6)+1))</f>
        <v/>
      </c>
    </row>
    <row r="3502" customFormat="false" ht="15" hidden="false" customHeight="false" outlineLevel="0" collapsed="false">
      <c r="A3502" s="0" t="str">
        <f aca="false">IF('הדבקת לידים'!A3502="","",IF(ISNUMBER('הדבקת לידים'!A3502),IF(הגדרות!$E$2&gt;0,TEXT('הדבקת לידים'!A3502,REPT("0",הגדרות!$E$2)),TEXT('הדבקת לידים'!A3502,"0")),TRIM('הדבקת לידים'!A3502)))</f>
        <v/>
      </c>
      <c r="B3502" s="0" t="str">
        <f aca="false">IF('הדבקת לידים'!B3502="","",IF(ISNUMBER('הדבקת לידים'!B3502),IF(הגדרות!$E$3&gt;0,TEXT('הדבקת לידים'!B3502,REPT("0",הגדרות!$E$3)),TEXT('הדבקת לידים'!B3502,"0")),TRIM('הדבקת לידים'!B3502)))</f>
        <v/>
      </c>
      <c r="C3502" s="0" t="n">
        <f aca="false">IF(OR(A3502&lt;&gt;"",B3502&lt;&gt;""),1,0)</f>
        <v>0</v>
      </c>
      <c r="D3502" s="0" t="str">
        <f aca="false">IF(C3502=1,MOD(ABS(SIN(ROW()*12.9898+'הדבקת לידים'!$F$2*78.233+IFERROR(--RIGHT(A3502,6),LEN(A3502))*0.0137+IFERROR(--RIGHT(B3502,6),LEN(B3502))*0.0071))*43758.5453,1),"")</f>
        <v/>
      </c>
      <c r="E3502" s="0" t="str">
        <f aca="false">IF(C3502=1,INT(MOD(ABS(SIN(D3502*7919.123+ROW()*0.618+'הדבקת לידים'!$F$2*1.3))*43758.5453,1)*1000000)*10000+ROW(),"")</f>
        <v/>
      </c>
      <c r="F3502" s="0" t="str">
        <f aca="false">IF(E3502="","",RANK(E3502,$E$2:$E$5001,1))</f>
        <v/>
      </c>
      <c r="G3502" s="0" t="n">
        <f aca="false">IF(A3502="",0,IF(SUMPRODUCT(--($A$2:$A$5001=A3502))&gt;1,1,0))</f>
        <v>0</v>
      </c>
      <c r="H3502" s="0" t="n">
        <f aca="false">ROW()-1</f>
        <v>3501</v>
      </c>
      <c r="I3502" s="0" t="str">
        <f aca="false">IF(OR(הגדרות!$E$6=0,H3502&gt;הגדרות!$E$5),"",IF(H3502-1&lt;הגדרות!$E$8*(הגדרות!$E$7+1),INT((H3502-1)/(הגדרות!$E$7+1)),הגדרות!$E$8+INT((H3502-1-הגדרות!$E$8*(הגדרות!$E$7+1))/הגדרות!$E$7)))</f>
        <v/>
      </c>
      <c r="J3502" s="0" t="str">
        <f aca="false">IF(I3502="","",IF(H3502-1&lt;הגדרות!$E$8*(הגדרות!$E$7+1),MOD(H3502-1,הגדרות!$E$7+1),MOD(H3502-1-הגדרות!$E$8*(הגדרות!$E$7+1),הגדרות!$E$7)))</f>
        <v/>
      </c>
      <c r="K3502" s="0" t="str">
        <f aca="false">IF(I3502="","",J3502*הגדרות!$E$6+I3502+1)</f>
        <v/>
      </c>
      <c r="L3502" s="0" t="str">
        <f aca="false">IF(K3502="","",MATCH(K3502,$F$2:$F$5001,0))</f>
        <v/>
      </c>
      <c r="M3502" s="0" t="str">
        <f aca="false">IF(I3502="","",INDEX(הגדרות!$A$2:$A$21,MOD(I3502+הגדרות!$E$9,הגדרות!$E$6)+1))</f>
        <v/>
      </c>
    </row>
    <row r="3503" customFormat="false" ht="15" hidden="false" customHeight="false" outlineLevel="0" collapsed="false">
      <c r="A3503" s="0" t="str">
        <f aca="false">IF('הדבקת לידים'!A3503="","",IF(ISNUMBER('הדבקת לידים'!A3503),IF(הגדרות!$E$2&gt;0,TEXT('הדבקת לידים'!A3503,REPT("0",הגדרות!$E$2)),TEXT('הדבקת לידים'!A3503,"0")),TRIM('הדבקת לידים'!A3503)))</f>
        <v/>
      </c>
      <c r="B3503" s="0" t="str">
        <f aca="false">IF('הדבקת לידים'!B3503="","",IF(ISNUMBER('הדבקת לידים'!B3503),IF(הגדרות!$E$3&gt;0,TEXT('הדבקת לידים'!B3503,REPT("0",הגדרות!$E$3)),TEXT('הדבקת לידים'!B3503,"0")),TRIM('הדבקת לידים'!B3503)))</f>
        <v/>
      </c>
      <c r="C3503" s="0" t="n">
        <f aca="false">IF(OR(A3503&lt;&gt;"",B3503&lt;&gt;""),1,0)</f>
        <v>0</v>
      </c>
      <c r="D3503" s="0" t="str">
        <f aca="false">IF(C3503=1,MOD(ABS(SIN(ROW()*12.9898+'הדבקת לידים'!$F$2*78.233+IFERROR(--RIGHT(A3503,6),LEN(A3503))*0.0137+IFERROR(--RIGHT(B3503,6),LEN(B3503))*0.0071))*43758.5453,1),"")</f>
        <v/>
      </c>
      <c r="E3503" s="0" t="str">
        <f aca="false">IF(C3503=1,INT(MOD(ABS(SIN(D3503*7919.123+ROW()*0.618+'הדבקת לידים'!$F$2*1.3))*43758.5453,1)*1000000)*10000+ROW(),"")</f>
        <v/>
      </c>
      <c r="F3503" s="0" t="str">
        <f aca="false">IF(E3503="","",RANK(E3503,$E$2:$E$5001,1))</f>
        <v/>
      </c>
      <c r="G3503" s="0" t="n">
        <f aca="false">IF(A3503="",0,IF(SUMPRODUCT(--($A$2:$A$5001=A3503))&gt;1,1,0))</f>
        <v>0</v>
      </c>
      <c r="H3503" s="0" t="n">
        <f aca="false">ROW()-1</f>
        <v>3502</v>
      </c>
      <c r="I3503" s="0" t="str">
        <f aca="false">IF(OR(הגדרות!$E$6=0,H3503&gt;הגדרות!$E$5),"",IF(H3503-1&lt;הגדרות!$E$8*(הגדרות!$E$7+1),INT((H3503-1)/(הגדרות!$E$7+1)),הגדרות!$E$8+INT((H3503-1-הגדרות!$E$8*(הגדרות!$E$7+1))/הגדרות!$E$7)))</f>
        <v/>
      </c>
      <c r="J3503" s="0" t="str">
        <f aca="false">IF(I3503="","",IF(H3503-1&lt;הגדרות!$E$8*(הגדרות!$E$7+1),MOD(H3503-1,הגדרות!$E$7+1),MOD(H3503-1-הגדרות!$E$8*(הגדרות!$E$7+1),הגדרות!$E$7)))</f>
        <v/>
      </c>
      <c r="K3503" s="0" t="str">
        <f aca="false">IF(I3503="","",J3503*הגדרות!$E$6+I3503+1)</f>
        <v/>
      </c>
      <c r="L3503" s="0" t="str">
        <f aca="false">IF(K3503="","",MATCH(K3503,$F$2:$F$5001,0))</f>
        <v/>
      </c>
      <c r="M3503" s="0" t="str">
        <f aca="false">IF(I3503="","",INDEX(הגדרות!$A$2:$A$21,MOD(I3503+הגדרות!$E$9,הגדרות!$E$6)+1))</f>
        <v/>
      </c>
    </row>
    <row r="3504" customFormat="false" ht="15" hidden="false" customHeight="false" outlineLevel="0" collapsed="false">
      <c r="A3504" s="0" t="str">
        <f aca="false">IF('הדבקת לידים'!A3504="","",IF(ISNUMBER('הדבקת לידים'!A3504),IF(הגדרות!$E$2&gt;0,TEXT('הדבקת לידים'!A3504,REPT("0",הגדרות!$E$2)),TEXT('הדבקת לידים'!A3504,"0")),TRIM('הדבקת לידים'!A3504)))</f>
        <v/>
      </c>
      <c r="B3504" s="0" t="str">
        <f aca="false">IF('הדבקת לידים'!B3504="","",IF(ISNUMBER('הדבקת לידים'!B3504),IF(הגדרות!$E$3&gt;0,TEXT('הדבקת לידים'!B3504,REPT("0",הגדרות!$E$3)),TEXT('הדבקת לידים'!B3504,"0")),TRIM('הדבקת לידים'!B3504)))</f>
        <v/>
      </c>
      <c r="C3504" s="0" t="n">
        <f aca="false">IF(OR(A3504&lt;&gt;"",B3504&lt;&gt;""),1,0)</f>
        <v>0</v>
      </c>
      <c r="D3504" s="0" t="str">
        <f aca="false">IF(C3504=1,MOD(ABS(SIN(ROW()*12.9898+'הדבקת לידים'!$F$2*78.233+IFERROR(--RIGHT(A3504,6),LEN(A3504))*0.0137+IFERROR(--RIGHT(B3504,6),LEN(B3504))*0.0071))*43758.5453,1),"")</f>
        <v/>
      </c>
      <c r="E3504" s="0" t="str">
        <f aca="false">IF(C3504=1,INT(MOD(ABS(SIN(D3504*7919.123+ROW()*0.618+'הדבקת לידים'!$F$2*1.3))*43758.5453,1)*1000000)*10000+ROW(),"")</f>
        <v/>
      </c>
      <c r="F3504" s="0" t="str">
        <f aca="false">IF(E3504="","",RANK(E3504,$E$2:$E$5001,1))</f>
        <v/>
      </c>
      <c r="G3504" s="0" t="n">
        <f aca="false">IF(A3504="",0,IF(SUMPRODUCT(--($A$2:$A$5001=A3504))&gt;1,1,0))</f>
        <v>0</v>
      </c>
      <c r="H3504" s="0" t="n">
        <f aca="false">ROW()-1</f>
        <v>3503</v>
      </c>
      <c r="I3504" s="0" t="str">
        <f aca="false">IF(OR(הגדרות!$E$6=0,H3504&gt;הגדרות!$E$5),"",IF(H3504-1&lt;הגדרות!$E$8*(הגדרות!$E$7+1),INT((H3504-1)/(הגדרות!$E$7+1)),הגדרות!$E$8+INT((H3504-1-הגדרות!$E$8*(הגדרות!$E$7+1))/הגדרות!$E$7)))</f>
        <v/>
      </c>
      <c r="J3504" s="0" t="str">
        <f aca="false">IF(I3504="","",IF(H3504-1&lt;הגדרות!$E$8*(הגדרות!$E$7+1),MOD(H3504-1,הגדרות!$E$7+1),MOD(H3504-1-הגדרות!$E$8*(הגדרות!$E$7+1),הגדרות!$E$7)))</f>
        <v/>
      </c>
      <c r="K3504" s="0" t="str">
        <f aca="false">IF(I3504="","",J3504*הגדרות!$E$6+I3504+1)</f>
        <v/>
      </c>
      <c r="L3504" s="0" t="str">
        <f aca="false">IF(K3504="","",MATCH(K3504,$F$2:$F$5001,0))</f>
        <v/>
      </c>
      <c r="M3504" s="0" t="str">
        <f aca="false">IF(I3504="","",INDEX(הגדרות!$A$2:$A$21,MOD(I3504+הגדרות!$E$9,הגדרות!$E$6)+1))</f>
        <v/>
      </c>
    </row>
    <row r="3505" customFormat="false" ht="15" hidden="false" customHeight="false" outlineLevel="0" collapsed="false">
      <c r="A3505" s="0" t="str">
        <f aca="false">IF('הדבקת לידים'!A3505="","",IF(ISNUMBER('הדבקת לידים'!A3505),IF(הגדרות!$E$2&gt;0,TEXT('הדבקת לידים'!A3505,REPT("0",הגדרות!$E$2)),TEXT('הדבקת לידים'!A3505,"0")),TRIM('הדבקת לידים'!A3505)))</f>
        <v/>
      </c>
      <c r="B3505" s="0" t="str">
        <f aca="false">IF('הדבקת לידים'!B3505="","",IF(ISNUMBER('הדבקת לידים'!B3505),IF(הגדרות!$E$3&gt;0,TEXT('הדבקת לידים'!B3505,REPT("0",הגדרות!$E$3)),TEXT('הדבקת לידים'!B3505,"0")),TRIM('הדבקת לידים'!B3505)))</f>
        <v/>
      </c>
      <c r="C3505" s="0" t="n">
        <f aca="false">IF(OR(A3505&lt;&gt;"",B3505&lt;&gt;""),1,0)</f>
        <v>0</v>
      </c>
      <c r="D3505" s="0" t="str">
        <f aca="false">IF(C3505=1,MOD(ABS(SIN(ROW()*12.9898+'הדבקת לידים'!$F$2*78.233+IFERROR(--RIGHT(A3505,6),LEN(A3505))*0.0137+IFERROR(--RIGHT(B3505,6),LEN(B3505))*0.0071))*43758.5453,1),"")</f>
        <v/>
      </c>
      <c r="E3505" s="0" t="str">
        <f aca="false">IF(C3505=1,INT(MOD(ABS(SIN(D3505*7919.123+ROW()*0.618+'הדבקת לידים'!$F$2*1.3))*43758.5453,1)*1000000)*10000+ROW(),"")</f>
        <v/>
      </c>
      <c r="F3505" s="0" t="str">
        <f aca="false">IF(E3505="","",RANK(E3505,$E$2:$E$5001,1))</f>
        <v/>
      </c>
      <c r="G3505" s="0" t="n">
        <f aca="false">IF(A3505="",0,IF(SUMPRODUCT(--($A$2:$A$5001=A3505))&gt;1,1,0))</f>
        <v>0</v>
      </c>
      <c r="H3505" s="0" t="n">
        <f aca="false">ROW()-1</f>
        <v>3504</v>
      </c>
      <c r="I3505" s="0" t="str">
        <f aca="false">IF(OR(הגדרות!$E$6=0,H3505&gt;הגדרות!$E$5),"",IF(H3505-1&lt;הגדרות!$E$8*(הגדרות!$E$7+1),INT((H3505-1)/(הגדרות!$E$7+1)),הגדרות!$E$8+INT((H3505-1-הגדרות!$E$8*(הגדרות!$E$7+1))/הגדרות!$E$7)))</f>
        <v/>
      </c>
      <c r="J3505" s="0" t="str">
        <f aca="false">IF(I3505="","",IF(H3505-1&lt;הגדרות!$E$8*(הגדרות!$E$7+1),MOD(H3505-1,הגדרות!$E$7+1),MOD(H3505-1-הגדרות!$E$8*(הגדרות!$E$7+1),הגדרות!$E$7)))</f>
        <v/>
      </c>
      <c r="K3505" s="0" t="str">
        <f aca="false">IF(I3505="","",J3505*הגדרות!$E$6+I3505+1)</f>
        <v/>
      </c>
      <c r="L3505" s="0" t="str">
        <f aca="false">IF(K3505="","",MATCH(K3505,$F$2:$F$5001,0))</f>
        <v/>
      </c>
      <c r="M3505" s="0" t="str">
        <f aca="false">IF(I3505="","",INDEX(הגדרות!$A$2:$A$21,MOD(I3505+הגדרות!$E$9,הגדרות!$E$6)+1))</f>
        <v/>
      </c>
    </row>
    <row r="3506" customFormat="false" ht="15" hidden="false" customHeight="false" outlineLevel="0" collapsed="false">
      <c r="A3506" s="0" t="str">
        <f aca="false">IF('הדבקת לידים'!A3506="","",IF(ISNUMBER('הדבקת לידים'!A3506),IF(הגדרות!$E$2&gt;0,TEXT('הדבקת לידים'!A3506,REPT("0",הגדרות!$E$2)),TEXT('הדבקת לידים'!A3506,"0")),TRIM('הדבקת לידים'!A3506)))</f>
        <v/>
      </c>
      <c r="B3506" s="0" t="str">
        <f aca="false">IF('הדבקת לידים'!B3506="","",IF(ISNUMBER('הדבקת לידים'!B3506),IF(הגדרות!$E$3&gt;0,TEXT('הדבקת לידים'!B3506,REPT("0",הגדרות!$E$3)),TEXT('הדבקת לידים'!B3506,"0")),TRIM('הדבקת לידים'!B3506)))</f>
        <v/>
      </c>
      <c r="C3506" s="0" t="n">
        <f aca="false">IF(OR(A3506&lt;&gt;"",B3506&lt;&gt;""),1,0)</f>
        <v>0</v>
      </c>
      <c r="D3506" s="0" t="str">
        <f aca="false">IF(C3506=1,MOD(ABS(SIN(ROW()*12.9898+'הדבקת לידים'!$F$2*78.233+IFERROR(--RIGHT(A3506,6),LEN(A3506))*0.0137+IFERROR(--RIGHT(B3506,6),LEN(B3506))*0.0071))*43758.5453,1),"")</f>
        <v/>
      </c>
      <c r="E3506" s="0" t="str">
        <f aca="false">IF(C3506=1,INT(MOD(ABS(SIN(D3506*7919.123+ROW()*0.618+'הדבקת לידים'!$F$2*1.3))*43758.5453,1)*1000000)*10000+ROW(),"")</f>
        <v/>
      </c>
      <c r="F3506" s="0" t="str">
        <f aca="false">IF(E3506="","",RANK(E3506,$E$2:$E$5001,1))</f>
        <v/>
      </c>
      <c r="G3506" s="0" t="n">
        <f aca="false">IF(A3506="",0,IF(SUMPRODUCT(--($A$2:$A$5001=A3506))&gt;1,1,0))</f>
        <v>0</v>
      </c>
      <c r="H3506" s="0" t="n">
        <f aca="false">ROW()-1</f>
        <v>3505</v>
      </c>
      <c r="I3506" s="0" t="str">
        <f aca="false">IF(OR(הגדרות!$E$6=0,H3506&gt;הגדרות!$E$5),"",IF(H3506-1&lt;הגדרות!$E$8*(הגדרות!$E$7+1),INT((H3506-1)/(הגדרות!$E$7+1)),הגדרות!$E$8+INT((H3506-1-הגדרות!$E$8*(הגדרות!$E$7+1))/הגדרות!$E$7)))</f>
        <v/>
      </c>
      <c r="J3506" s="0" t="str">
        <f aca="false">IF(I3506="","",IF(H3506-1&lt;הגדרות!$E$8*(הגדרות!$E$7+1),MOD(H3506-1,הגדרות!$E$7+1),MOD(H3506-1-הגדרות!$E$8*(הגדרות!$E$7+1),הגדרות!$E$7)))</f>
        <v/>
      </c>
      <c r="K3506" s="0" t="str">
        <f aca="false">IF(I3506="","",J3506*הגדרות!$E$6+I3506+1)</f>
        <v/>
      </c>
      <c r="L3506" s="0" t="str">
        <f aca="false">IF(K3506="","",MATCH(K3506,$F$2:$F$5001,0))</f>
        <v/>
      </c>
      <c r="M3506" s="0" t="str">
        <f aca="false">IF(I3506="","",INDEX(הגדרות!$A$2:$A$21,MOD(I3506+הגדרות!$E$9,הגדרות!$E$6)+1))</f>
        <v/>
      </c>
    </row>
    <row r="3507" customFormat="false" ht="15" hidden="false" customHeight="false" outlineLevel="0" collapsed="false">
      <c r="A3507" s="0" t="str">
        <f aca="false">IF('הדבקת לידים'!A3507="","",IF(ISNUMBER('הדבקת לידים'!A3507),IF(הגדרות!$E$2&gt;0,TEXT('הדבקת לידים'!A3507,REPT("0",הגדרות!$E$2)),TEXT('הדבקת לידים'!A3507,"0")),TRIM('הדבקת לידים'!A3507)))</f>
        <v/>
      </c>
      <c r="B3507" s="0" t="str">
        <f aca="false">IF('הדבקת לידים'!B3507="","",IF(ISNUMBER('הדבקת לידים'!B3507),IF(הגדרות!$E$3&gt;0,TEXT('הדבקת לידים'!B3507,REPT("0",הגדרות!$E$3)),TEXT('הדבקת לידים'!B3507,"0")),TRIM('הדבקת לידים'!B3507)))</f>
        <v/>
      </c>
      <c r="C3507" s="0" t="n">
        <f aca="false">IF(OR(A3507&lt;&gt;"",B3507&lt;&gt;""),1,0)</f>
        <v>0</v>
      </c>
      <c r="D3507" s="0" t="str">
        <f aca="false">IF(C3507=1,MOD(ABS(SIN(ROW()*12.9898+'הדבקת לידים'!$F$2*78.233+IFERROR(--RIGHT(A3507,6),LEN(A3507))*0.0137+IFERROR(--RIGHT(B3507,6),LEN(B3507))*0.0071))*43758.5453,1),"")</f>
        <v/>
      </c>
      <c r="E3507" s="0" t="str">
        <f aca="false">IF(C3507=1,INT(MOD(ABS(SIN(D3507*7919.123+ROW()*0.618+'הדבקת לידים'!$F$2*1.3))*43758.5453,1)*1000000)*10000+ROW(),"")</f>
        <v/>
      </c>
      <c r="F3507" s="0" t="str">
        <f aca="false">IF(E3507="","",RANK(E3507,$E$2:$E$5001,1))</f>
        <v/>
      </c>
      <c r="G3507" s="0" t="n">
        <f aca="false">IF(A3507="",0,IF(SUMPRODUCT(--($A$2:$A$5001=A3507))&gt;1,1,0))</f>
        <v>0</v>
      </c>
      <c r="H3507" s="0" t="n">
        <f aca="false">ROW()-1</f>
        <v>3506</v>
      </c>
      <c r="I3507" s="0" t="str">
        <f aca="false">IF(OR(הגדרות!$E$6=0,H3507&gt;הגדרות!$E$5),"",IF(H3507-1&lt;הגדרות!$E$8*(הגדרות!$E$7+1),INT((H3507-1)/(הגדרות!$E$7+1)),הגדרות!$E$8+INT((H3507-1-הגדרות!$E$8*(הגדרות!$E$7+1))/הגדרות!$E$7)))</f>
        <v/>
      </c>
      <c r="J3507" s="0" t="str">
        <f aca="false">IF(I3507="","",IF(H3507-1&lt;הגדרות!$E$8*(הגדרות!$E$7+1),MOD(H3507-1,הגדרות!$E$7+1),MOD(H3507-1-הגדרות!$E$8*(הגדרות!$E$7+1),הגדרות!$E$7)))</f>
        <v/>
      </c>
      <c r="K3507" s="0" t="str">
        <f aca="false">IF(I3507="","",J3507*הגדרות!$E$6+I3507+1)</f>
        <v/>
      </c>
      <c r="L3507" s="0" t="str">
        <f aca="false">IF(K3507="","",MATCH(K3507,$F$2:$F$5001,0))</f>
        <v/>
      </c>
      <c r="M3507" s="0" t="str">
        <f aca="false">IF(I3507="","",INDEX(הגדרות!$A$2:$A$21,MOD(I3507+הגדרות!$E$9,הגדרות!$E$6)+1))</f>
        <v/>
      </c>
    </row>
    <row r="3508" customFormat="false" ht="15" hidden="false" customHeight="false" outlineLevel="0" collapsed="false">
      <c r="A3508" s="0" t="str">
        <f aca="false">IF('הדבקת לידים'!A3508="","",IF(ISNUMBER('הדבקת לידים'!A3508),IF(הגדרות!$E$2&gt;0,TEXT('הדבקת לידים'!A3508,REPT("0",הגדרות!$E$2)),TEXT('הדבקת לידים'!A3508,"0")),TRIM('הדבקת לידים'!A3508)))</f>
        <v/>
      </c>
      <c r="B3508" s="0" t="str">
        <f aca="false">IF('הדבקת לידים'!B3508="","",IF(ISNUMBER('הדבקת לידים'!B3508),IF(הגדרות!$E$3&gt;0,TEXT('הדבקת לידים'!B3508,REPT("0",הגדרות!$E$3)),TEXT('הדבקת לידים'!B3508,"0")),TRIM('הדבקת לידים'!B3508)))</f>
        <v/>
      </c>
      <c r="C3508" s="0" t="n">
        <f aca="false">IF(OR(A3508&lt;&gt;"",B3508&lt;&gt;""),1,0)</f>
        <v>0</v>
      </c>
      <c r="D3508" s="0" t="str">
        <f aca="false">IF(C3508=1,MOD(ABS(SIN(ROW()*12.9898+'הדבקת לידים'!$F$2*78.233+IFERROR(--RIGHT(A3508,6),LEN(A3508))*0.0137+IFERROR(--RIGHT(B3508,6),LEN(B3508))*0.0071))*43758.5453,1),"")</f>
        <v/>
      </c>
      <c r="E3508" s="0" t="str">
        <f aca="false">IF(C3508=1,INT(MOD(ABS(SIN(D3508*7919.123+ROW()*0.618+'הדבקת לידים'!$F$2*1.3))*43758.5453,1)*1000000)*10000+ROW(),"")</f>
        <v/>
      </c>
      <c r="F3508" s="0" t="str">
        <f aca="false">IF(E3508="","",RANK(E3508,$E$2:$E$5001,1))</f>
        <v/>
      </c>
      <c r="G3508" s="0" t="n">
        <f aca="false">IF(A3508="",0,IF(SUMPRODUCT(--($A$2:$A$5001=A3508))&gt;1,1,0))</f>
        <v>0</v>
      </c>
      <c r="H3508" s="0" t="n">
        <f aca="false">ROW()-1</f>
        <v>3507</v>
      </c>
      <c r="I3508" s="0" t="str">
        <f aca="false">IF(OR(הגדרות!$E$6=0,H3508&gt;הגדרות!$E$5),"",IF(H3508-1&lt;הגדרות!$E$8*(הגדרות!$E$7+1),INT((H3508-1)/(הגדרות!$E$7+1)),הגדרות!$E$8+INT((H3508-1-הגדרות!$E$8*(הגדרות!$E$7+1))/הגדרות!$E$7)))</f>
        <v/>
      </c>
      <c r="J3508" s="0" t="str">
        <f aca="false">IF(I3508="","",IF(H3508-1&lt;הגדרות!$E$8*(הגדרות!$E$7+1),MOD(H3508-1,הגדרות!$E$7+1),MOD(H3508-1-הגדרות!$E$8*(הגדרות!$E$7+1),הגדרות!$E$7)))</f>
        <v/>
      </c>
      <c r="K3508" s="0" t="str">
        <f aca="false">IF(I3508="","",J3508*הגדרות!$E$6+I3508+1)</f>
        <v/>
      </c>
      <c r="L3508" s="0" t="str">
        <f aca="false">IF(K3508="","",MATCH(K3508,$F$2:$F$5001,0))</f>
        <v/>
      </c>
      <c r="M3508" s="0" t="str">
        <f aca="false">IF(I3508="","",INDEX(הגדרות!$A$2:$A$21,MOD(I3508+הגדרות!$E$9,הגדרות!$E$6)+1))</f>
        <v/>
      </c>
    </row>
    <row r="3509" customFormat="false" ht="15" hidden="false" customHeight="false" outlineLevel="0" collapsed="false">
      <c r="A3509" s="0" t="str">
        <f aca="false">IF('הדבקת לידים'!A3509="","",IF(ISNUMBER('הדבקת לידים'!A3509),IF(הגדרות!$E$2&gt;0,TEXT('הדבקת לידים'!A3509,REPT("0",הגדרות!$E$2)),TEXT('הדבקת לידים'!A3509,"0")),TRIM('הדבקת לידים'!A3509)))</f>
        <v/>
      </c>
      <c r="B3509" s="0" t="str">
        <f aca="false">IF('הדבקת לידים'!B3509="","",IF(ISNUMBER('הדבקת לידים'!B3509),IF(הגדרות!$E$3&gt;0,TEXT('הדבקת לידים'!B3509,REPT("0",הגדרות!$E$3)),TEXT('הדבקת לידים'!B3509,"0")),TRIM('הדבקת לידים'!B3509)))</f>
        <v/>
      </c>
      <c r="C3509" s="0" t="n">
        <f aca="false">IF(OR(A3509&lt;&gt;"",B3509&lt;&gt;""),1,0)</f>
        <v>0</v>
      </c>
      <c r="D3509" s="0" t="str">
        <f aca="false">IF(C3509=1,MOD(ABS(SIN(ROW()*12.9898+'הדבקת לידים'!$F$2*78.233+IFERROR(--RIGHT(A3509,6),LEN(A3509))*0.0137+IFERROR(--RIGHT(B3509,6),LEN(B3509))*0.0071))*43758.5453,1),"")</f>
        <v/>
      </c>
      <c r="E3509" s="0" t="str">
        <f aca="false">IF(C3509=1,INT(MOD(ABS(SIN(D3509*7919.123+ROW()*0.618+'הדבקת לידים'!$F$2*1.3))*43758.5453,1)*1000000)*10000+ROW(),"")</f>
        <v/>
      </c>
      <c r="F3509" s="0" t="str">
        <f aca="false">IF(E3509="","",RANK(E3509,$E$2:$E$5001,1))</f>
        <v/>
      </c>
      <c r="G3509" s="0" t="n">
        <f aca="false">IF(A3509="",0,IF(SUMPRODUCT(--($A$2:$A$5001=A3509))&gt;1,1,0))</f>
        <v>0</v>
      </c>
      <c r="H3509" s="0" t="n">
        <f aca="false">ROW()-1</f>
        <v>3508</v>
      </c>
      <c r="I3509" s="0" t="str">
        <f aca="false">IF(OR(הגדרות!$E$6=0,H3509&gt;הגדרות!$E$5),"",IF(H3509-1&lt;הגדרות!$E$8*(הגדרות!$E$7+1),INT((H3509-1)/(הגדרות!$E$7+1)),הגדרות!$E$8+INT((H3509-1-הגדרות!$E$8*(הגדרות!$E$7+1))/הגדרות!$E$7)))</f>
        <v/>
      </c>
      <c r="J3509" s="0" t="str">
        <f aca="false">IF(I3509="","",IF(H3509-1&lt;הגדרות!$E$8*(הגדרות!$E$7+1),MOD(H3509-1,הגדרות!$E$7+1),MOD(H3509-1-הגדרות!$E$8*(הגדרות!$E$7+1),הגדרות!$E$7)))</f>
        <v/>
      </c>
      <c r="K3509" s="0" t="str">
        <f aca="false">IF(I3509="","",J3509*הגדרות!$E$6+I3509+1)</f>
        <v/>
      </c>
      <c r="L3509" s="0" t="str">
        <f aca="false">IF(K3509="","",MATCH(K3509,$F$2:$F$5001,0))</f>
        <v/>
      </c>
      <c r="M3509" s="0" t="str">
        <f aca="false">IF(I3509="","",INDEX(הגדרות!$A$2:$A$21,MOD(I3509+הגדרות!$E$9,הגדרות!$E$6)+1))</f>
        <v/>
      </c>
    </row>
    <row r="3510" customFormat="false" ht="15" hidden="false" customHeight="false" outlineLevel="0" collapsed="false">
      <c r="A3510" s="0" t="str">
        <f aca="false">IF('הדבקת לידים'!A3510="","",IF(ISNUMBER('הדבקת לידים'!A3510),IF(הגדרות!$E$2&gt;0,TEXT('הדבקת לידים'!A3510,REPT("0",הגדרות!$E$2)),TEXT('הדבקת לידים'!A3510,"0")),TRIM('הדבקת לידים'!A3510)))</f>
        <v/>
      </c>
      <c r="B3510" s="0" t="str">
        <f aca="false">IF('הדבקת לידים'!B3510="","",IF(ISNUMBER('הדבקת לידים'!B3510),IF(הגדרות!$E$3&gt;0,TEXT('הדבקת לידים'!B3510,REPT("0",הגדרות!$E$3)),TEXT('הדבקת לידים'!B3510,"0")),TRIM('הדבקת לידים'!B3510)))</f>
        <v/>
      </c>
      <c r="C3510" s="0" t="n">
        <f aca="false">IF(OR(A3510&lt;&gt;"",B3510&lt;&gt;""),1,0)</f>
        <v>0</v>
      </c>
      <c r="D3510" s="0" t="str">
        <f aca="false">IF(C3510=1,MOD(ABS(SIN(ROW()*12.9898+'הדבקת לידים'!$F$2*78.233+IFERROR(--RIGHT(A3510,6),LEN(A3510))*0.0137+IFERROR(--RIGHT(B3510,6),LEN(B3510))*0.0071))*43758.5453,1),"")</f>
        <v/>
      </c>
      <c r="E3510" s="0" t="str">
        <f aca="false">IF(C3510=1,INT(MOD(ABS(SIN(D3510*7919.123+ROW()*0.618+'הדבקת לידים'!$F$2*1.3))*43758.5453,1)*1000000)*10000+ROW(),"")</f>
        <v/>
      </c>
      <c r="F3510" s="0" t="str">
        <f aca="false">IF(E3510="","",RANK(E3510,$E$2:$E$5001,1))</f>
        <v/>
      </c>
      <c r="G3510" s="0" t="n">
        <f aca="false">IF(A3510="",0,IF(SUMPRODUCT(--($A$2:$A$5001=A3510))&gt;1,1,0))</f>
        <v>0</v>
      </c>
      <c r="H3510" s="0" t="n">
        <f aca="false">ROW()-1</f>
        <v>3509</v>
      </c>
      <c r="I3510" s="0" t="str">
        <f aca="false">IF(OR(הגדרות!$E$6=0,H3510&gt;הגדרות!$E$5),"",IF(H3510-1&lt;הגדרות!$E$8*(הגדרות!$E$7+1),INT((H3510-1)/(הגדרות!$E$7+1)),הגדרות!$E$8+INT((H3510-1-הגדרות!$E$8*(הגדרות!$E$7+1))/הגדרות!$E$7)))</f>
        <v/>
      </c>
      <c r="J3510" s="0" t="str">
        <f aca="false">IF(I3510="","",IF(H3510-1&lt;הגדרות!$E$8*(הגדרות!$E$7+1),MOD(H3510-1,הגדרות!$E$7+1),MOD(H3510-1-הגדרות!$E$8*(הגדרות!$E$7+1),הגדרות!$E$7)))</f>
        <v/>
      </c>
      <c r="K3510" s="0" t="str">
        <f aca="false">IF(I3510="","",J3510*הגדרות!$E$6+I3510+1)</f>
        <v/>
      </c>
      <c r="L3510" s="0" t="str">
        <f aca="false">IF(K3510="","",MATCH(K3510,$F$2:$F$5001,0))</f>
        <v/>
      </c>
      <c r="M3510" s="0" t="str">
        <f aca="false">IF(I3510="","",INDEX(הגדרות!$A$2:$A$21,MOD(I3510+הגדרות!$E$9,הגדרות!$E$6)+1))</f>
        <v/>
      </c>
    </row>
    <row r="3511" customFormat="false" ht="15" hidden="false" customHeight="false" outlineLevel="0" collapsed="false">
      <c r="A3511" s="0" t="str">
        <f aca="false">IF('הדבקת לידים'!A3511="","",IF(ISNUMBER('הדבקת לידים'!A3511),IF(הגדרות!$E$2&gt;0,TEXT('הדבקת לידים'!A3511,REPT("0",הגדרות!$E$2)),TEXT('הדבקת לידים'!A3511,"0")),TRIM('הדבקת לידים'!A3511)))</f>
        <v/>
      </c>
      <c r="B3511" s="0" t="str">
        <f aca="false">IF('הדבקת לידים'!B3511="","",IF(ISNUMBER('הדבקת לידים'!B3511),IF(הגדרות!$E$3&gt;0,TEXT('הדבקת לידים'!B3511,REPT("0",הגדרות!$E$3)),TEXT('הדבקת לידים'!B3511,"0")),TRIM('הדבקת לידים'!B3511)))</f>
        <v/>
      </c>
      <c r="C3511" s="0" t="n">
        <f aca="false">IF(OR(A3511&lt;&gt;"",B3511&lt;&gt;""),1,0)</f>
        <v>0</v>
      </c>
      <c r="D3511" s="0" t="str">
        <f aca="false">IF(C3511=1,MOD(ABS(SIN(ROW()*12.9898+'הדבקת לידים'!$F$2*78.233+IFERROR(--RIGHT(A3511,6),LEN(A3511))*0.0137+IFERROR(--RIGHT(B3511,6),LEN(B3511))*0.0071))*43758.5453,1),"")</f>
        <v/>
      </c>
      <c r="E3511" s="0" t="str">
        <f aca="false">IF(C3511=1,INT(MOD(ABS(SIN(D3511*7919.123+ROW()*0.618+'הדבקת לידים'!$F$2*1.3))*43758.5453,1)*1000000)*10000+ROW(),"")</f>
        <v/>
      </c>
      <c r="F3511" s="0" t="str">
        <f aca="false">IF(E3511="","",RANK(E3511,$E$2:$E$5001,1))</f>
        <v/>
      </c>
      <c r="G3511" s="0" t="n">
        <f aca="false">IF(A3511="",0,IF(SUMPRODUCT(--($A$2:$A$5001=A3511))&gt;1,1,0))</f>
        <v>0</v>
      </c>
      <c r="H3511" s="0" t="n">
        <f aca="false">ROW()-1</f>
        <v>3510</v>
      </c>
      <c r="I3511" s="0" t="str">
        <f aca="false">IF(OR(הגדרות!$E$6=0,H3511&gt;הגדרות!$E$5),"",IF(H3511-1&lt;הגדרות!$E$8*(הגדרות!$E$7+1),INT((H3511-1)/(הגדרות!$E$7+1)),הגדרות!$E$8+INT((H3511-1-הגדרות!$E$8*(הגדרות!$E$7+1))/הגדרות!$E$7)))</f>
        <v/>
      </c>
      <c r="J3511" s="0" t="str">
        <f aca="false">IF(I3511="","",IF(H3511-1&lt;הגדרות!$E$8*(הגדרות!$E$7+1),MOD(H3511-1,הגדרות!$E$7+1),MOD(H3511-1-הגדרות!$E$8*(הגדרות!$E$7+1),הגדרות!$E$7)))</f>
        <v/>
      </c>
      <c r="K3511" s="0" t="str">
        <f aca="false">IF(I3511="","",J3511*הגדרות!$E$6+I3511+1)</f>
        <v/>
      </c>
      <c r="L3511" s="0" t="str">
        <f aca="false">IF(K3511="","",MATCH(K3511,$F$2:$F$5001,0))</f>
        <v/>
      </c>
      <c r="M3511" s="0" t="str">
        <f aca="false">IF(I3511="","",INDEX(הגדרות!$A$2:$A$21,MOD(I3511+הגדרות!$E$9,הגדרות!$E$6)+1))</f>
        <v/>
      </c>
    </row>
    <row r="3512" customFormat="false" ht="15" hidden="false" customHeight="false" outlineLevel="0" collapsed="false">
      <c r="A3512" s="0" t="str">
        <f aca="false">IF('הדבקת לידים'!A3512="","",IF(ISNUMBER('הדבקת לידים'!A3512),IF(הגדרות!$E$2&gt;0,TEXT('הדבקת לידים'!A3512,REPT("0",הגדרות!$E$2)),TEXT('הדבקת לידים'!A3512,"0")),TRIM('הדבקת לידים'!A3512)))</f>
        <v/>
      </c>
      <c r="B3512" s="0" t="str">
        <f aca="false">IF('הדבקת לידים'!B3512="","",IF(ISNUMBER('הדבקת לידים'!B3512),IF(הגדרות!$E$3&gt;0,TEXT('הדבקת לידים'!B3512,REPT("0",הגדרות!$E$3)),TEXT('הדבקת לידים'!B3512,"0")),TRIM('הדבקת לידים'!B3512)))</f>
        <v/>
      </c>
      <c r="C3512" s="0" t="n">
        <f aca="false">IF(OR(A3512&lt;&gt;"",B3512&lt;&gt;""),1,0)</f>
        <v>0</v>
      </c>
      <c r="D3512" s="0" t="str">
        <f aca="false">IF(C3512=1,MOD(ABS(SIN(ROW()*12.9898+'הדבקת לידים'!$F$2*78.233+IFERROR(--RIGHT(A3512,6),LEN(A3512))*0.0137+IFERROR(--RIGHT(B3512,6),LEN(B3512))*0.0071))*43758.5453,1),"")</f>
        <v/>
      </c>
      <c r="E3512" s="0" t="str">
        <f aca="false">IF(C3512=1,INT(MOD(ABS(SIN(D3512*7919.123+ROW()*0.618+'הדבקת לידים'!$F$2*1.3))*43758.5453,1)*1000000)*10000+ROW(),"")</f>
        <v/>
      </c>
      <c r="F3512" s="0" t="str">
        <f aca="false">IF(E3512="","",RANK(E3512,$E$2:$E$5001,1))</f>
        <v/>
      </c>
      <c r="G3512" s="0" t="n">
        <f aca="false">IF(A3512="",0,IF(SUMPRODUCT(--($A$2:$A$5001=A3512))&gt;1,1,0))</f>
        <v>0</v>
      </c>
      <c r="H3512" s="0" t="n">
        <f aca="false">ROW()-1</f>
        <v>3511</v>
      </c>
      <c r="I3512" s="0" t="str">
        <f aca="false">IF(OR(הגדרות!$E$6=0,H3512&gt;הגדרות!$E$5),"",IF(H3512-1&lt;הגדרות!$E$8*(הגדרות!$E$7+1),INT((H3512-1)/(הגדרות!$E$7+1)),הגדרות!$E$8+INT((H3512-1-הגדרות!$E$8*(הגדרות!$E$7+1))/הגדרות!$E$7)))</f>
        <v/>
      </c>
      <c r="J3512" s="0" t="str">
        <f aca="false">IF(I3512="","",IF(H3512-1&lt;הגדרות!$E$8*(הגדרות!$E$7+1),MOD(H3512-1,הגדרות!$E$7+1),MOD(H3512-1-הגדרות!$E$8*(הגדרות!$E$7+1),הגדרות!$E$7)))</f>
        <v/>
      </c>
      <c r="K3512" s="0" t="str">
        <f aca="false">IF(I3512="","",J3512*הגדרות!$E$6+I3512+1)</f>
        <v/>
      </c>
      <c r="L3512" s="0" t="str">
        <f aca="false">IF(K3512="","",MATCH(K3512,$F$2:$F$5001,0))</f>
        <v/>
      </c>
      <c r="M3512" s="0" t="str">
        <f aca="false">IF(I3512="","",INDEX(הגדרות!$A$2:$A$21,MOD(I3512+הגדרות!$E$9,הגדרות!$E$6)+1))</f>
        <v/>
      </c>
    </row>
    <row r="3513" customFormat="false" ht="15" hidden="false" customHeight="false" outlineLevel="0" collapsed="false">
      <c r="A3513" s="0" t="str">
        <f aca="false">IF('הדבקת לידים'!A3513="","",IF(ISNUMBER('הדבקת לידים'!A3513),IF(הגדרות!$E$2&gt;0,TEXT('הדבקת לידים'!A3513,REPT("0",הגדרות!$E$2)),TEXT('הדבקת לידים'!A3513,"0")),TRIM('הדבקת לידים'!A3513)))</f>
        <v/>
      </c>
      <c r="B3513" s="0" t="str">
        <f aca="false">IF('הדבקת לידים'!B3513="","",IF(ISNUMBER('הדבקת לידים'!B3513),IF(הגדרות!$E$3&gt;0,TEXT('הדבקת לידים'!B3513,REPT("0",הגדרות!$E$3)),TEXT('הדבקת לידים'!B3513,"0")),TRIM('הדבקת לידים'!B3513)))</f>
        <v/>
      </c>
      <c r="C3513" s="0" t="n">
        <f aca="false">IF(OR(A3513&lt;&gt;"",B3513&lt;&gt;""),1,0)</f>
        <v>0</v>
      </c>
      <c r="D3513" s="0" t="str">
        <f aca="false">IF(C3513=1,MOD(ABS(SIN(ROW()*12.9898+'הדבקת לידים'!$F$2*78.233+IFERROR(--RIGHT(A3513,6),LEN(A3513))*0.0137+IFERROR(--RIGHT(B3513,6),LEN(B3513))*0.0071))*43758.5453,1),"")</f>
        <v/>
      </c>
      <c r="E3513" s="0" t="str">
        <f aca="false">IF(C3513=1,INT(MOD(ABS(SIN(D3513*7919.123+ROW()*0.618+'הדבקת לידים'!$F$2*1.3))*43758.5453,1)*1000000)*10000+ROW(),"")</f>
        <v/>
      </c>
      <c r="F3513" s="0" t="str">
        <f aca="false">IF(E3513="","",RANK(E3513,$E$2:$E$5001,1))</f>
        <v/>
      </c>
      <c r="G3513" s="0" t="n">
        <f aca="false">IF(A3513="",0,IF(SUMPRODUCT(--($A$2:$A$5001=A3513))&gt;1,1,0))</f>
        <v>0</v>
      </c>
      <c r="H3513" s="0" t="n">
        <f aca="false">ROW()-1</f>
        <v>3512</v>
      </c>
      <c r="I3513" s="0" t="str">
        <f aca="false">IF(OR(הגדרות!$E$6=0,H3513&gt;הגדרות!$E$5),"",IF(H3513-1&lt;הגדרות!$E$8*(הגדרות!$E$7+1),INT((H3513-1)/(הגדרות!$E$7+1)),הגדרות!$E$8+INT((H3513-1-הגדרות!$E$8*(הגדרות!$E$7+1))/הגדרות!$E$7)))</f>
        <v/>
      </c>
      <c r="J3513" s="0" t="str">
        <f aca="false">IF(I3513="","",IF(H3513-1&lt;הגדרות!$E$8*(הגדרות!$E$7+1),MOD(H3513-1,הגדרות!$E$7+1),MOD(H3513-1-הגדרות!$E$8*(הגדרות!$E$7+1),הגדרות!$E$7)))</f>
        <v/>
      </c>
      <c r="K3513" s="0" t="str">
        <f aca="false">IF(I3513="","",J3513*הגדרות!$E$6+I3513+1)</f>
        <v/>
      </c>
      <c r="L3513" s="0" t="str">
        <f aca="false">IF(K3513="","",MATCH(K3513,$F$2:$F$5001,0))</f>
        <v/>
      </c>
      <c r="M3513" s="0" t="str">
        <f aca="false">IF(I3513="","",INDEX(הגדרות!$A$2:$A$21,MOD(I3513+הגדרות!$E$9,הגדרות!$E$6)+1))</f>
        <v/>
      </c>
    </row>
    <row r="3514" customFormat="false" ht="15" hidden="false" customHeight="false" outlineLevel="0" collapsed="false">
      <c r="A3514" s="0" t="str">
        <f aca="false">IF('הדבקת לידים'!A3514="","",IF(ISNUMBER('הדבקת לידים'!A3514),IF(הגדרות!$E$2&gt;0,TEXT('הדבקת לידים'!A3514,REPT("0",הגדרות!$E$2)),TEXT('הדבקת לידים'!A3514,"0")),TRIM('הדבקת לידים'!A3514)))</f>
        <v/>
      </c>
      <c r="B3514" s="0" t="str">
        <f aca="false">IF('הדבקת לידים'!B3514="","",IF(ISNUMBER('הדבקת לידים'!B3514),IF(הגדרות!$E$3&gt;0,TEXT('הדבקת לידים'!B3514,REPT("0",הגדרות!$E$3)),TEXT('הדבקת לידים'!B3514,"0")),TRIM('הדבקת לידים'!B3514)))</f>
        <v/>
      </c>
      <c r="C3514" s="0" t="n">
        <f aca="false">IF(OR(A3514&lt;&gt;"",B3514&lt;&gt;""),1,0)</f>
        <v>0</v>
      </c>
      <c r="D3514" s="0" t="str">
        <f aca="false">IF(C3514=1,MOD(ABS(SIN(ROW()*12.9898+'הדבקת לידים'!$F$2*78.233+IFERROR(--RIGHT(A3514,6),LEN(A3514))*0.0137+IFERROR(--RIGHT(B3514,6),LEN(B3514))*0.0071))*43758.5453,1),"")</f>
        <v/>
      </c>
      <c r="E3514" s="0" t="str">
        <f aca="false">IF(C3514=1,INT(MOD(ABS(SIN(D3514*7919.123+ROW()*0.618+'הדבקת לידים'!$F$2*1.3))*43758.5453,1)*1000000)*10000+ROW(),"")</f>
        <v/>
      </c>
      <c r="F3514" s="0" t="str">
        <f aca="false">IF(E3514="","",RANK(E3514,$E$2:$E$5001,1))</f>
        <v/>
      </c>
      <c r="G3514" s="0" t="n">
        <f aca="false">IF(A3514="",0,IF(SUMPRODUCT(--($A$2:$A$5001=A3514))&gt;1,1,0))</f>
        <v>0</v>
      </c>
      <c r="H3514" s="0" t="n">
        <f aca="false">ROW()-1</f>
        <v>3513</v>
      </c>
      <c r="I3514" s="0" t="str">
        <f aca="false">IF(OR(הגדרות!$E$6=0,H3514&gt;הגדרות!$E$5),"",IF(H3514-1&lt;הגדרות!$E$8*(הגדרות!$E$7+1),INT((H3514-1)/(הגדרות!$E$7+1)),הגדרות!$E$8+INT((H3514-1-הגדרות!$E$8*(הגדרות!$E$7+1))/הגדרות!$E$7)))</f>
        <v/>
      </c>
      <c r="J3514" s="0" t="str">
        <f aca="false">IF(I3514="","",IF(H3514-1&lt;הגדרות!$E$8*(הגדרות!$E$7+1),MOD(H3514-1,הגדרות!$E$7+1),MOD(H3514-1-הגדרות!$E$8*(הגדרות!$E$7+1),הגדרות!$E$7)))</f>
        <v/>
      </c>
      <c r="K3514" s="0" t="str">
        <f aca="false">IF(I3514="","",J3514*הגדרות!$E$6+I3514+1)</f>
        <v/>
      </c>
      <c r="L3514" s="0" t="str">
        <f aca="false">IF(K3514="","",MATCH(K3514,$F$2:$F$5001,0))</f>
        <v/>
      </c>
      <c r="M3514" s="0" t="str">
        <f aca="false">IF(I3514="","",INDEX(הגדרות!$A$2:$A$21,MOD(I3514+הגדרות!$E$9,הגדרות!$E$6)+1))</f>
        <v/>
      </c>
    </row>
    <row r="3515" customFormat="false" ht="15" hidden="false" customHeight="false" outlineLevel="0" collapsed="false">
      <c r="A3515" s="0" t="str">
        <f aca="false">IF('הדבקת לידים'!A3515="","",IF(ISNUMBER('הדבקת לידים'!A3515),IF(הגדרות!$E$2&gt;0,TEXT('הדבקת לידים'!A3515,REPT("0",הגדרות!$E$2)),TEXT('הדבקת לידים'!A3515,"0")),TRIM('הדבקת לידים'!A3515)))</f>
        <v/>
      </c>
      <c r="B3515" s="0" t="str">
        <f aca="false">IF('הדבקת לידים'!B3515="","",IF(ISNUMBER('הדבקת לידים'!B3515),IF(הגדרות!$E$3&gt;0,TEXT('הדבקת לידים'!B3515,REPT("0",הגדרות!$E$3)),TEXT('הדבקת לידים'!B3515,"0")),TRIM('הדבקת לידים'!B3515)))</f>
        <v/>
      </c>
      <c r="C3515" s="0" t="n">
        <f aca="false">IF(OR(A3515&lt;&gt;"",B3515&lt;&gt;""),1,0)</f>
        <v>0</v>
      </c>
      <c r="D3515" s="0" t="str">
        <f aca="false">IF(C3515=1,MOD(ABS(SIN(ROW()*12.9898+'הדבקת לידים'!$F$2*78.233+IFERROR(--RIGHT(A3515,6),LEN(A3515))*0.0137+IFERROR(--RIGHT(B3515,6),LEN(B3515))*0.0071))*43758.5453,1),"")</f>
        <v/>
      </c>
      <c r="E3515" s="0" t="str">
        <f aca="false">IF(C3515=1,INT(MOD(ABS(SIN(D3515*7919.123+ROW()*0.618+'הדבקת לידים'!$F$2*1.3))*43758.5453,1)*1000000)*10000+ROW(),"")</f>
        <v/>
      </c>
      <c r="F3515" s="0" t="str">
        <f aca="false">IF(E3515="","",RANK(E3515,$E$2:$E$5001,1))</f>
        <v/>
      </c>
      <c r="G3515" s="0" t="n">
        <f aca="false">IF(A3515="",0,IF(SUMPRODUCT(--($A$2:$A$5001=A3515))&gt;1,1,0))</f>
        <v>0</v>
      </c>
      <c r="H3515" s="0" t="n">
        <f aca="false">ROW()-1</f>
        <v>3514</v>
      </c>
      <c r="I3515" s="0" t="str">
        <f aca="false">IF(OR(הגדרות!$E$6=0,H3515&gt;הגדרות!$E$5),"",IF(H3515-1&lt;הגדרות!$E$8*(הגדרות!$E$7+1),INT((H3515-1)/(הגדרות!$E$7+1)),הגדרות!$E$8+INT((H3515-1-הגדרות!$E$8*(הגדרות!$E$7+1))/הגדרות!$E$7)))</f>
        <v/>
      </c>
      <c r="J3515" s="0" t="str">
        <f aca="false">IF(I3515="","",IF(H3515-1&lt;הגדרות!$E$8*(הגדרות!$E$7+1),MOD(H3515-1,הגדרות!$E$7+1),MOD(H3515-1-הגדרות!$E$8*(הגדרות!$E$7+1),הגדרות!$E$7)))</f>
        <v/>
      </c>
      <c r="K3515" s="0" t="str">
        <f aca="false">IF(I3515="","",J3515*הגדרות!$E$6+I3515+1)</f>
        <v/>
      </c>
      <c r="L3515" s="0" t="str">
        <f aca="false">IF(K3515="","",MATCH(K3515,$F$2:$F$5001,0))</f>
        <v/>
      </c>
      <c r="M3515" s="0" t="str">
        <f aca="false">IF(I3515="","",INDEX(הגדרות!$A$2:$A$21,MOD(I3515+הגדרות!$E$9,הגדרות!$E$6)+1))</f>
        <v/>
      </c>
    </row>
    <row r="3516" customFormat="false" ht="15" hidden="false" customHeight="false" outlineLevel="0" collapsed="false">
      <c r="A3516" s="0" t="str">
        <f aca="false">IF('הדבקת לידים'!A3516="","",IF(ISNUMBER('הדבקת לידים'!A3516),IF(הגדרות!$E$2&gt;0,TEXT('הדבקת לידים'!A3516,REPT("0",הגדרות!$E$2)),TEXT('הדבקת לידים'!A3516,"0")),TRIM('הדבקת לידים'!A3516)))</f>
        <v/>
      </c>
      <c r="B3516" s="0" t="str">
        <f aca="false">IF('הדבקת לידים'!B3516="","",IF(ISNUMBER('הדבקת לידים'!B3516),IF(הגדרות!$E$3&gt;0,TEXT('הדבקת לידים'!B3516,REPT("0",הגדרות!$E$3)),TEXT('הדבקת לידים'!B3516,"0")),TRIM('הדבקת לידים'!B3516)))</f>
        <v/>
      </c>
      <c r="C3516" s="0" t="n">
        <f aca="false">IF(OR(A3516&lt;&gt;"",B3516&lt;&gt;""),1,0)</f>
        <v>0</v>
      </c>
      <c r="D3516" s="0" t="str">
        <f aca="false">IF(C3516=1,MOD(ABS(SIN(ROW()*12.9898+'הדבקת לידים'!$F$2*78.233+IFERROR(--RIGHT(A3516,6),LEN(A3516))*0.0137+IFERROR(--RIGHT(B3516,6),LEN(B3516))*0.0071))*43758.5453,1),"")</f>
        <v/>
      </c>
      <c r="E3516" s="0" t="str">
        <f aca="false">IF(C3516=1,INT(MOD(ABS(SIN(D3516*7919.123+ROW()*0.618+'הדבקת לידים'!$F$2*1.3))*43758.5453,1)*1000000)*10000+ROW(),"")</f>
        <v/>
      </c>
      <c r="F3516" s="0" t="str">
        <f aca="false">IF(E3516="","",RANK(E3516,$E$2:$E$5001,1))</f>
        <v/>
      </c>
      <c r="G3516" s="0" t="n">
        <f aca="false">IF(A3516="",0,IF(SUMPRODUCT(--($A$2:$A$5001=A3516))&gt;1,1,0))</f>
        <v>0</v>
      </c>
      <c r="H3516" s="0" t="n">
        <f aca="false">ROW()-1</f>
        <v>3515</v>
      </c>
      <c r="I3516" s="0" t="str">
        <f aca="false">IF(OR(הגדרות!$E$6=0,H3516&gt;הגדרות!$E$5),"",IF(H3516-1&lt;הגדרות!$E$8*(הגדרות!$E$7+1),INT((H3516-1)/(הגדרות!$E$7+1)),הגדרות!$E$8+INT((H3516-1-הגדרות!$E$8*(הגדרות!$E$7+1))/הגדרות!$E$7)))</f>
        <v/>
      </c>
      <c r="J3516" s="0" t="str">
        <f aca="false">IF(I3516="","",IF(H3516-1&lt;הגדרות!$E$8*(הגדרות!$E$7+1),MOD(H3516-1,הגדרות!$E$7+1),MOD(H3516-1-הגדרות!$E$8*(הגדרות!$E$7+1),הגדרות!$E$7)))</f>
        <v/>
      </c>
      <c r="K3516" s="0" t="str">
        <f aca="false">IF(I3516="","",J3516*הגדרות!$E$6+I3516+1)</f>
        <v/>
      </c>
      <c r="L3516" s="0" t="str">
        <f aca="false">IF(K3516="","",MATCH(K3516,$F$2:$F$5001,0))</f>
        <v/>
      </c>
      <c r="M3516" s="0" t="str">
        <f aca="false">IF(I3516="","",INDEX(הגדרות!$A$2:$A$21,MOD(I3516+הגדרות!$E$9,הגדרות!$E$6)+1))</f>
        <v/>
      </c>
    </row>
    <row r="3517" customFormat="false" ht="15" hidden="false" customHeight="false" outlineLevel="0" collapsed="false">
      <c r="A3517" s="0" t="str">
        <f aca="false">IF('הדבקת לידים'!A3517="","",IF(ISNUMBER('הדבקת לידים'!A3517),IF(הגדרות!$E$2&gt;0,TEXT('הדבקת לידים'!A3517,REPT("0",הגדרות!$E$2)),TEXT('הדבקת לידים'!A3517,"0")),TRIM('הדבקת לידים'!A3517)))</f>
        <v/>
      </c>
      <c r="B3517" s="0" t="str">
        <f aca="false">IF('הדבקת לידים'!B3517="","",IF(ISNUMBER('הדבקת לידים'!B3517),IF(הגדרות!$E$3&gt;0,TEXT('הדבקת לידים'!B3517,REPT("0",הגדרות!$E$3)),TEXT('הדבקת לידים'!B3517,"0")),TRIM('הדבקת לידים'!B3517)))</f>
        <v/>
      </c>
      <c r="C3517" s="0" t="n">
        <f aca="false">IF(OR(A3517&lt;&gt;"",B3517&lt;&gt;""),1,0)</f>
        <v>0</v>
      </c>
      <c r="D3517" s="0" t="str">
        <f aca="false">IF(C3517=1,MOD(ABS(SIN(ROW()*12.9898+'הדבקת לידים'!$F$2*78.233+IFERROR(--RIGHT(A3517,6),LEN(A3517))*0.0137+IFERROR(--RIGHT(B3517,6),LEN(B3517))*0.0071))*43758.5453,1),"")</f>
        <v/>
      </c>
      <c r="E3517" s="0" t="str">
        <f aca="false">IF(C3517=1,INT(MOD(ABS(SIN(D3517*7919.123+ROW()*0.618+'הדבקת לידים'!$F$2*1.3))*43758.5453,1)*1000000)*10000+ROW(),"")</f>
        <v/>
      </c>
      <c r="F3517" s="0" t="str">
        <f aca="false">IF(E3517="","",RANK(E3517,$E$2:$E$5001,1))</f>
        <v/>
      </c>
      <c r="G3517" s="0" t="n">
        <f aca="false">IF(A3517="",0,IF(SUMPRODUCT(--($A$2:$A$5001=A3517))&gt;1,1,0))</f>
        <v>0</v>
      </c>
      <c r="H3517" s="0" t="n">
        <f aca="false">ROW()-1</f>
        <v>3516</v>
      </c>
      <c r="I3517" s="0" t="str">
        <f aca="false">IF(OR(הגדרות!$E$6=0,H3517&gt;הגדרות!$E$5),"",IF(H3517-1&lt;הגדרות!$E$8*(הגדרות!$E$7+1),INT((H3517-1)/(הגדרות!$E$7+1)),הגדרות!$E$8+INT((H3517-1-הגדרות!$E$8*(הגדרות!$E$7+1))/הגדרות!$E$7)))</f>
        <v/>
      </c>
      <c r="J3517" s="0" t="str">
        <f aca="false">IF(I3517="","",IF(H3517-1&lt;הגדרות!$E$8*(הגדרות!$E$7+1),MOD(H3517-1,הגדרות!$E$7+1),MOD(H3517-1-הגדרות!$E$8*(הגדרות!$E$7+1),הגדרות!$E$7)))</f>
        <v/>
      </c>
      <c r="K3517" s="0" t="str">
        <f aca="false">IF(I3517="","",J3517*הגדרות!$E$6+I3517+1)</f>
        <v/>
      </c>
      <c r="L3517" s="0" t="str">
        <f aca="false">IF(K3517="","",MATCH(K3517,$F$2:$F$5001,0))</f>
        <v/>
      </c>
      <c r="M3517" s="0" t="str">
        <f aca="false">IF(I3517="","",INDEX(הגדרות!$A$2:$A$21,MOD(I3517+הגדרות!$E$9,הגדרות!$E$6)+1))</f>
        <v/>
      </c>
    </row>
    <row r="3518" customFormat="false" ht="15" hidden="false" customHeight="false" outlineLevel="0" collapsed="false">
      <c r="A3518" s="0" t="str">
        <f aca="false">IF('הדבקת לידים'!A3518="","",IF(ISNUMBER('הדבקת לידים'!A3518),IF(הגדרות!$E$2&gt;0,TEXT('הדבקת לידים'!A3518,REPT("0",הגדרות!$E$2)),TEXT('הדבקת לידים'!A3518,"0")),TRIM('הדבקת לידים'!A3518)))</f>
        <v/>
      </c>
      <c r="B3518" s="0" t="str">
        <f aca="false">IF('הדבקת לידים'!B3518="","",IF(ISNUMBER('הדבקת לידים'!B3518),IF(הגדרות!$E$3&gt;0,TEXT('הדבקת לידים'!B3518,REPT("0",הגדרות!$E$3)),TEXT('הדבקת לידים'!B3518,"0")),TRIM('הדבקת לידים'!B3518)))</f>
        <v/>
      </c>
      <c r="C3518" s="0" t="n">
        <f aca="false">IF(OR(A3518&lt;&gt;"",B3518&lt;&gt;""),1,0)</f>
        <v>0</v>
      </c>
      <c r="D3518" s="0" t="str">
        <f aca="false">IF(C3518=1,MOD(ABS(SIN(ROW()*12.9898+'הדבקת לידים'!$F$2*78.233+IFERROR(--RIGHT(A3518,6),LEN(A3518))*0.0137+IFERROR(--RIGHT(B3518,6),LEN(B3518))*0.0071))*43758.5453,1),"")</f>
        <v/>
      </c>
      <c r="E3518" s="0" t="str">
        <f aca="false">IF(C3518=1,INT(MOD(ABS(SIN(D3518*7919.123+ROW()*0.618+'הדבקת לידים'!$F$2*1.3))*43758.5453,1)*1000000)*10000+ROW(),"")</f>
        <v/>
      </c>
      <c r="F3518" s="0" t="str">
        <f aca="false">IF(E3518="","",RANK(E3518,$E$2:$E$5001,1))</f>
        <v/>
      </c>
      <c r="G3518" s="0" t="n">
        <f aca="false">IF(A3518="",0,IF(SUMPRODUCT(--($A$2:$A$5001=A3518))&gt;1,1,0))</f>
        <v>0</v>
      </c>
      <c r="H3518" s="0" t="n">
        <f aca="false">ROW()-1</f>
        <v>3517</v>
      </c>
      <c r="I3518" s="0" t="str">
        <f aca="false">IF(OR(הגדרות!$E$6=0,H3518&gt;הגדרות!$E$5),"",IF(H3518-1&lt;הגדרות!$E$8*(הגדרות!$E$7+1),INT((H3518-1)/(הגדרות!$E$7+1)),הגדרות!$E$8+INT((H3518-1-הגדרות!$E$8*(הגדרות!$E$7+1))/הגדרות!$E$7)))</f>
        <v/>
      </c>
      <c r="J3518" s="0" t="str">
        <f aca="false">IF(I3518="","",IF(H3518-1&lt;הגדרות!$E$8*(הגדרות!$E$7+1),MOD(H3518-1,הגדרות!$E$7+1),MOD(H3518-1-הגדרות!$E$8*(הגדרות!$E$7+1),הגדרות!$E$7)))</f>
        <v/>
      </c>
      <c r="K3518" s="0" t="str">
        <f aca="false">IF(I3518="","",J3518*הגדרות!$E$6+I3518+1)</f>
        <v/>
      </c>
      <c r="L3518" s="0" t="str">
        <f aca="false">IF(K3518="","",MATCH(K3518,$F$2:$F$5001,0))</f>
        <v/>
      </c>
      <c r="M3518" s="0" t="str">
        <f aca="false">IF(I3518="","",INDEX(הגדרות!$A$2:$A$21,MOD(I3518+הגדרות!$E$9,הגדרות!$E$6)+1))</f>
        <v/>
      </c>
    </row>
    <row r="3519" customFormat="false" ht="15" hidden="false" customHeight="false" outlineLevel="0" collapsed="false">
      <c r="A3519" s="0" t="str">
        <f aca="false">IF('הדבקת לידים'!A3519="","",IF(ISNUMBER('הדבקת לידים'!A3519),IF(הגדרות!$E$2&gt;0,TEXT('הדבקת לידים'!A3519,REPT("0",הגדרות!$E$2)),TEXT('הדבקת לידים'!A3519,"0")),TRIM('הדבקת לידים'!A3519)))</f>
        <v/>
      </c>
      <c r="B3519" s="0" t="str">
        <f aca="false">IF('הדבקת לידים'!B3519="","",IF(ISNUMBER('הדבקת לידים'!B3519),IF(הגדרות!$E$3&gt;0,TEXT('הדבקת לידים'!B3519,REPT("0",הגדרות!$E$3)),TEXT('הדבקת לידים'!B3519,"0")),TRIM('הדבקת לידים'!B3519)))</f>
        <v/>
      </c>
      <c r="C3519" s="0" t="n">
        <f aca="false">IF(OR(A3519&lt;&gt;"",B3519&lt;&gt;""),1,0)</f>
        <v>0</v>
      </c>
      <c r="D3519" s="0" t="str">
        <f aca="false">IF(C3519=1,MOD(ABS(SIN(ROW()*12.9898+'הדבקת לידים'!$F$2*78.233+IFERROR(--RIGHT(A3519,6),LEN(A3519))*0.0137+IFERROR(--RIGHT(B3519,6),LEN(B3519))*0.0071))*43758.5453,1),"")</f>
        <v/>
      </c>
      <c r="E3519" s="0" t="str">
        <f aca="false">IF(C3519=1,INT(MOD(ABS(SIN(D3519*7919.123+ROW()*0.618+'הדבקת לידים'!$F$2*1.3))*43758.5453,1)*1000000)*10000+ROW(),"")</f>
        <v/>
      </c>
      <c r="F3519" s="0" t="str">
        <f aca="false">IF(E3519="","",RANK(E3519,$E$2:$E$5001,1))</f>
        <v/>
      </c>
      <c r="G3519" s="0" t="n">
        <f aca="false">IF(A3519="",0,IF(SUMPRODUCT(--($A$2:$A$5001=A3519))&gt;1,1,0))</f>
        <v>0</v>
      </c>
      <c r="H3519" s="0" t="n">
        <f aca="false">ROW()-1</f>
        <v>3518</v>
      </c>
      <c r="I3519" s="0" t="str">
        <f aca="false">IF(OR(הגדרות!$E$6=0,H3519&gt;הגדרות!$E$5),"",IF(H3519-1&lt;הגדרות!$E$8*(הגדרות!$E$7+1),INT((H3519-1)/(הגדרות!$E$7+1)),הגדרות!$E$8+INT((H3519-1-הגדרות!$E$8*(הגדרות!$E$7+1))/הגדרות!$E$7)))</f>
        <v/>
      </c>
      <c r="J3519" s="0" t="str">
        <f aca="false">IF(I3519="","",IF(H3519-1&lt;הגדרות!$E$8*(הגדרות!$E$7+1),MOD(H3519-1,הגדרות!$E$7+1),MOD(H3519-1-הגדרות!$E$8*(הגדרות!$E$7+1),הגדרות!$E$7)))</f>
        <v/>
      </c>
      <c r="K3519" s="0" t="str">
        <f aca="false">IF(I3519="","",J3519*הגדרות!$E$6+I3519+1)</f>
        <v/>
      </c>
      <c r="L3519" s="0" t="str">
        <f aca="false">IF(K3519="","",MATCH(K3519,$F$2:$F$5001,0))</f>
        <v/>
      </c>
      <c r="M3519" s="0" t="str">
        <f aca="false">IF(I3519="","",INDEX(הגדרות!$A$2:$A$21,MOD(I3519+הגדרות!$E$9,הגדרות!$E$6)+1))</f>
        <v/>
      </c>
    </row>
    <row r="3520" customFormat="false" ht="15" hidden="false" customHeight="false" outlineLevel="0" collapsed="false">
      <c r="A3520" s="0" t="str">
        <f aca="false">IF('הדבקת לידים'!A3520="","",IF(ISNUMBER('הדבקת לידים'!A3520),IF(הגדרות!$E$2&gt;0,TEXT('הדבקת לידים'!A3520,REPT("0",הגדרות!$E$2)),TEXT('הדבקת לידים'!A3520,"0")),TRIM('הדבקת לידים'!A3520)))</f>
        <v/>
      </c>
      <c r="B3520" s="0" t="str">
        <f aca="false">IF('הדבקת לידים'!B3520="","",IF(ISNUMBER('הדבקת לידים'!B3520),IF(הגדרות!$E$3&gt;0,TEXT('הדבקת לידים'!B3520,REPT("0",הגדרות!$E$3)),TEXT('הדבקת לידים'!B3520,"0")),TRIM('הדבקת לידים'!B3520)))</f>
        <v/>
      </c>
      <c r="C3520" s="0" t="n">
        <f aca="false">IF(OR(A3520&lt;&gt;"",B3520&lt;&gt;""),1,0)</f>
        <v>0</v>
      </c>
      <c r="D3520" s="0" t="str">
        <f aca="false">IF(C3520=1,MOD(ABS(SIN(ROW()*12.9898+'הדבקת לידים'!$F$2*78.233+IFERROR(--RIGHT(A3520,6),LEN(A3520))*0.0137+IFERROR(--RIGHT(B3520,6),LEN(B3520))*0.0071))*43758.5453,1),"")</f>
        <v/>
      </c>
      <c r="E3520" s="0" t="str">
        <f aca="false">IF(C3520=1,INT(MOD(ABS(SIN(D3520*7919.123+ROW()*0.618+'הדבקת לידים'!$F$2*1.3))*43758.5453,1)*1000000)*10000+ROW(),"")</f>
        <v/>
      </c>
      <c r="F3520" s="0" t="str">
        <f aca="false">IF(E3520="","",RANK(E3520,$E$2:$E$5001,1))</f>
        <v/>
      </c>
      <c r="G3520" s="0" t="n">
        <f aca="false">IF(A3520="",0,IF(SUMPRODUCT(--($A$2:$A$5001=A3520))&gt;1,1,0))</f>
        <v>0</v>
      </c>
      <c r="H3520" s="0" t="n">
        <f aca="false">ROW()-1</f>
        <v>3519</v>
      </c>
      <c r="I3520" s="0" t="str">
        <f aca="false">IF(OR(הגדרות!$E$6=0,H3520&gt;הגדרות!$E$5),"",IF(H3520-1&lt;הגדרות!$E$8*(הגדרות!$E$7+1),INT((H3520-1)/(הגדרות!$E$7+1)),הגדרות!$E$8+INT((H3520-1-הגדרות!$E$8*(הגדרות!$E$7+1))/הגדרות!$E$7)))</f>
        <v/>
      </c>
      <c r="J3520" s="0" t="str">
        <f aca="false">IF(I3520="","",IF(H3520-1&lt;הגדרות!$E$8*(הגדרות!$E$7+1),MOD(H3520-1,הגדרות!$E$7+1),MOD(H3520-1-הגדרות!$E$8*(הגדרות!$E$7+1),הגדרות!$E$7)))</f>
        <v/>
      </c>
      <c r="K3520" s="0" t="str">
        <f aca="false">IF(I3520="","",J3520*הגדרות!$E$6+I3520+1)</f>
        <v/>
      </c>
      <c r="L3520" s="0" t="str">
        <f aca="false">IF(K3520="","",MATCH(K3520,$F$2:$F$5001,0))</f>
        <v/>
      </c>
      <c r="M3520" s="0" t="str">
        <f aca="false">IF(I3520="","",INDEX(הגדרות!$A$2:$A$21,MOD(I3520+הגדרות!$E$9,הגדרות!$E$6)+1))</f>
        <v/>
      </c>
    </row>
    <row r="3521" customFormat="false" ht="15" hidden="false" customHeight="false" outlineLevel="0" collapsed="false">
      <c r="A3521" s="0" t="str">
        <f aca="false">IF('הדבקת לידים'!A3521="","",IF(ISNUMBER('הדבקת לידים'!A3521),IF(הגדרות!$E$2&gt;0,TEXT('הדבקת לידים'!A3521,REPT("0",הגדרות!$E$2)),TEXT('הדבקת לידים'!A3521,"0")),TRIM('הדבקת לידים'!A3521)))</f>
        <v/>
      </c>
      <c r="B3521" s="0" t="str">
        <f aca="false">IF('הדבקת לידים'!B3521="","",IF(ISNUMBER('הדבקת לידים'!B3521),IF(הגדרות!$E$3&gt;0,TEXT('הדבקת לידים'!B3521,REPT("0",הגדרות!$E$3)),TEXT('הדבקת לידים'!B3521,"0")),TRIM('הדבקת לידים'!B3521)))</f>
        <v/>
      </c>
      <c r="C3521" s="0" t="n">
        <f aca="false">IF(OR(A3521&lt;&gt;"",B3521&lt;&gt;""),1,0)</f>
        <v>0</v>
      </c>
      <c r="D3521" s="0" t="str">
        <f aca="false">IF(C3521=1,MOD(ABS(SIN(ROW()*12.9898+'הדבקת לידים'!$F$2*78.233+IFERROR(--RIGHT(A3521,6),LEN(A3521))*0.0137+IFERROR(--RIGHT(B3521,6),LEN(B3521))*0.0071))*43758.5453,1),"")</f>
        <v/>
      </c>
      <c r="E3521" s="0" t="str">
        <f aca="false">IF(C3521=1,INT(MOD(ABS(SIN(D3521*7919.123+ROW()*0.618+'הדבקת לידים'!$F$2*1.3))*43758.5453,1)*1000000)*10000+ROW(),"")</f>
        <v/>
      </c>
      <c r="F3521" s="0" t="str">
        <f aca="false">IF(E3521="","",RANK(E3521,$E$2:$E$5001,1))</f>
        <v/>
      </c>
      <c r="G3521" s="0" t="n">
        <f aca="false">IF(A3521="",0,IF(SUMPRODUCT(--($A$2:$A$5001=A3521))&gt;1,1,0))</f>
        <v>0</v>
      </c>
      <c r="H3521" s="0" t="n">
        <f aca="false">ROW()-1</f>
        <v>3520</v>
      </c>
      <c r="I3521" s="0" t="str">
        <f aca="false">IF(OR(הגדרות!$E$6=0,H3521&gt;הגדרות!$E$5),"",IF(H3521-1&lt;הגדרות!$E$8*(הגדרות!$E$7+1),INT((H3521-1)/(הגדרות!$E$7+1)),הגדרות!$E$8+INT((H3521-1-הגדרות!$E$8*(הגדרות!$E$7+1))/הגדרות!$E$7)))</f>
        <v/>
      </c>
      <c r="J3521" s="0" t="str">
        <f aca="false">IF(I3521="","",IF(H3521-1&lt;הגדרות!$E$8*(הגדרות!$E$7+1),MOD(H3521-1,הגדרות!$E$7+1),MOD(H3521-1-הגדרות!$E$8*(הגדרות!$E$7+1),הגדרות!$E$7)))</f>
        <v/>
      </c>
      <c r="K3521" s="0" t="str">
        <f aca="false">IF(I3521="","",J3521*הגדרות!$E$6+I3521+1)</f>
        <v/>
      </c>
      <c r="L3521" s="0" t="str">
        <f aca="false">IF(K3521="","",MATCH(K3521,$F$2:$F$5001,0))</f>
        <v/>
      </c>
      <c r="M3521" s="0" t="str">
        <f aca="false">IF(I3521="","",INDEX(הגדרות!$A$2:$A$21,MOD(I3521+הגדרות!$E$9,הגדרות!$E$6)+1))</f>
        <v/>
      </c>
    </row>
    <row r="3522" customFormat="false" ht="15" hidden="false" customHeight="false" outlineLevel="0" collapsed="false">
      <c r="A3522" s="0" t="str">
        <f aca="false">IF('הדבקת לידים'!A3522="","",IF(ISNUMBER('הדבקת לידים'!A3522),IF(הגדרות!$E$2&gt;0,TEXT('הדבקת לידים'!A3522,REPT("0",הגדרות!$E$2)),TEXT('הדבקת לידים'!A3522,"0")),TRIM('הדבקת לידים'!A3522)))</f>
        <v/>
      </c>
      <c r="B3522" s="0" t="str">
        <f aca="false">IF('הדבקת לידים'!B3522="","",IF(ISNUMBER('הדבקת לידים'!B3522),IF(הגדרות!$E$3&gt;0,TEXT('הדבקת לידים'!B3522,REPT("0",הגדרות!$E$3)),TEXT('הדבקת לידים'!B3522,"0")),TRIM('הדבקת לידים'!B3522)))</f>
        <v/>
      </c>
      <c r="C3522" s="0" t="n">
        <f aca="false">IF(OR(A3522&lt;&gt;"",B3522&lt;&gt;""),1,0)</f>
        <v>0</v>
      </c>
      <c r="D3522" s="0" t="str">
        <f aca="false">IF(C3522=1,MOD(ABS(SIN(ROW()*12.9898+'הדבקת לידים'!$F$2*78.233+IFERROR(--RIGHT(A3522,6),LEN(A3522))*0.0137+IFERROR(--RIGHT(B3522,6),LEN(B3522))*0.0071))*43758.5453,1),"")</f>
        <v/>
      </c>
      <c r="E3522" s="0" t="str">
        <f aca="false">IF(C3522=1,INT(MOD(ABS(SIN(D3522*7919.123+ROW()*0.618+'הדבקת לידים'!$F$2*1.3))*43758.5453,1)*1000000)*10000+ROW(),"")</f>
        <v/>
      </c>
      <c r="F3522" s="0" t="str">
        <f aca="false">IF(E3522="","",RANK(E3522,$E$2:$E$5001,1))</f>
        <v/>
      </c>
      <c r="G3522" s="0" t="n">
        <f aca="false">IF(A3522="",0,IF(SUMPRODUCT(--($A$2:$A$5001=A3522))&gt;1,1,0))</f>
        <v>0</v>
      </c>
      <c r="H3522" s="0" t="n">
        <f aca="false">ROW()-1</f>
        <v>3521</v>
      </c>
      <c r="I3522" s="0" t="str">
        <f aca="false">IF(OR(הגדרות!$E$6=0,H3522&gt;הגדרות!$E$5),"",IF(H3522-1&lt;הגדרות!$E$8*(הגדרות!$E$7+1),INT((H3522-1)/(הגדרות!$E$7+1)),הגדרות!$E$8+INT((H3522-1-הגדרות!$E$8*(הגדרות!$E$7+1))/הגדרות!$E$7)))</f>
        <v/>
      </c>
      <c r="J3522" s="0" t="str">
        <f aca="false">IF(I3522="","",IF(H3522-1&lt;הגדרות!$E$8*(הגדרות!$E$7+1),MOD(H3522-1,הגדרות!$E$7+1),MOD(H3522-1-הגדרות!$E$8*(הגדרות!$E$7+1),הגדרות!$E$7)))</f>
        <v/>
      </c>
      <c r="K3522" s="0" t="str">
        <f aca="false">IF(I3522="","",J3522*הגדרות!$E$6+I3522+1)</f>
        <v/>
      </c>
      <c r="L3522" s="0" t="str">
        <f aca="false">IF(K3522="","",MATCH(K3522,$F$2:$F$5001,0))</f>
        <v/>
      </c>
      <c r="M3522" s="0" t="str">
        <f aca="false">IF(I3522="","",INDEX(הגדרות!$A$2:$A$21,MOD(I3522+הגדרות!$E$9,הגדרות!$E$6)+1))</f>
        <v/>
      </c>
    </row>
    <row r="3523" customFormat="false" ht="15" hidden="false" customHeight="false" outlineLevel="0" collapsed="false">
      <c r="A3523" s="0" t="str">
        <f aca="false">IF('הדבקת לידים'!A3523="","",IF(ISNUMBER('הדבקת לידים'!A3523),IF(הגדרות!$E$2&gt;0,TEXT('הדבקת לידים'!A3523,REPT("0",הגדרות!$E$2)),TEXT('הדבקת לידים'!A3523,"0")),TRIM('הדבקת לידים'!A3523)))</f>
        <v/>
      </c>
      <c r="B3523" s="0" t="str">
        <f aca="false">IF('הדבקת לידים'!B3523="","",IF(ISNUMBER('הדבקת לידים'!B3523),IF(הגדרות!$E$3&gt;0,TEXT('הדבקת לידים'!B3523,REPT("0",הגדרות!$E$3)),TEXT('הדבקת לידים'!B3523,"0")),TRIM('הדבקת לידים'!B3523)))</f>
        <v/>
      </c>
      <c r="C3523" s="0" t="n">
        <f aca="false">IF(OR(A3523&lt;&gt;"",B3523&lt;&gt;""),1,0)</f>
        <v>0</v>
      </c>
      <c r="D3523" s="0" t="str">
        <f aca="false">IF(C3523=1,MOD(ABS(SIN(ROW()*12.9898+'הדבקת לידים'!$F$2*78.233+IFERROR(--RIGHT(A3523,6),LEN(A3523))*0.0137+IFERROR(--RIGHT(B3523,6),LEN(B3523))*0.0071))*43758.5453,1),"")</f>
        <v/>
      </c>
      <c r="E3523" s="0" t="str">
        <f aca="false">IF(C3523=1,INT(MOD(ABS(SIN(D3523*7919.123+ROW()*0.618+'הדבקת לידים'!$F$2*1.3))*43758.5453,1)*1000000)*10000+ROW(),"")</f>
        <v/>
      </c>
      <c r="F3523" s="0" t="str">
        <f aca="false">IF(E3523="","",RANK(E3523,$E$2:$E$5001,1))</f>
        <v/>
      </c>
      <c r="G3523" s="0" t="n">
        <f aca="false">IF(A3523="",0,IF(SUMPRODUCT(--($A$2:$A$5001=A3523))&gt;1,1,0))</f>
        <v>0</v>
      </c>
      <c r="H3523" s="0" t="n">
        <f aca="false">ROW()-1</f>
        <v>3522</v>
      </c>
      <c r="I3523" s="0" t="str">
        <f aca="false">IF(OR(הגדרות!$E$6=0,H3523&gt;הגדרות!$E$5),"",IF(H3523-1&lt;הגדרות!$E$8*(הגדרות!$E$7+1),INT((H3523-1)/(הגדרות!$E$7+1)),הגדרות!$E$8+INT((H3523-1-הגדרות!$E$8*(הגדרות!$E$7+1))/הגדרות!$E$7)))</f>
        <v/>
      </c>
      <c r="J3523" s="0" t="str">
        <f aca="false">IF(I3523="","",IF(H3523-1&lt;הגדרות!$E$8*(הגדרות!$E$7+1),MOD(H3523-1,הגדרות!$E$7+1),MOD(H3523-1-הגדרות!$E$8*(הגדרות!$E$7+1),הגדרות!$E$7)))</f>
        <v/>
      </c>
      <c r="K3523" s="0" t="str">
        <f aca="false">IF(I3523="","",J3523*הגדרות!$E$6+I3523+1)</f>
        <v/>
      </c>
      <c r="L3523" s="0" t="str">
        <f aca="false">IF(K3523="","",MATCH(K3523,$F$2:$F$5001,0))</f>
        <v/>
      </c>
      <c r="M3523" s="0" t="str">
        <f aca="false">IF(I3523="","",INDEX(הגדרות!$A$2:$A$21,MOD(I3523+הגדרות!$E$9,הגדרות!$E$6)+1))</f>
        <v/>
      </c>
    </row>
    <row r="3524" customFormat="false" ht="15" hidden="false" customHeight="false" outlineLevel="0" collapsed="false">
      <c r="A3524" s="0" t="str">
        <f aca="false">IF('הדבקת לידים'!A3524="","",IF(ISNUMBER('הדבקת לידים'!A3524),IF(הגדרות!$E$2&gt;0,TEXT('הדבקת לידים'!A3524,REPT("0",הגדרות!$E$2)),TEXT('הדבקת לידים'!A3524,"0")),TRIM('הדבקת לידים'!A3524)))</f>
        <v/>
      </c>
      <c r="B3524" s="0" t="str">
        <f aca="false">IF('הדבקת לידים'!B3524="","",IF(ISNUMBER('הדבקת לידים'!B3524),IF(הגדרות!$E$3&gt;0,TEXT('הדבקת לידים'!B3524,REPT("0",הגדרות!$E$3)),TEXT('הדבקת לידים'!B3524,"0")),TRIM('הדבקת לידים'!B3524)))</f>
        <v/>
      </c>
      <c r="C3524" s="0" t="n">
        <f aca="false">IF(OR(A3524&lt;&gt;"",B3524&lt;&gt;""),1,0)</f>
        <v>0</v>
      </c>
      <c r="D3524" s="0" t="str">
        <f aca="false">IF(C3524=1,MOD(ABS(SIN(ROW()*12.9898+'הדבקת לידים'!$F$2*78.233+IFERROR(--RIGHT(A3524,6),LEN(A3524))*0.0137+IFERROR(--RIGHT(B3524,6),LEN(B3524))*0.0071))*43758.5453,1),"")</f>
        <v/>
      </c>
      <c r="E3524" s="0" t="str">
        <f aca="false">IF(C3524=1,INT(MOD(ABS(SIN(D3524*7919.123+ROW()*0.618+'הדבקת לידים'!$F$2*1.3))*43758.5453,1)*1000000)*10000+ROW(),"")</f>
        <v/>
      </c>
      <c r="F3524" s="0" t="str">
        <f aca="false">IF(E3524="","",RANK(E3524,$E$2:$E$5001,1))</f>
        <v/>
      </c>
      <c r="G3524" s="0" t="n">
        <f aca="false">IF(A3524="",0,IF(SUMPRODUCT(--($A$2:$A$5001=A3524))&gt;1,1,0))</f>
        <v>0</v>
      </c>
      <c r="H3524" s="0" t="n">
        <f aca="false">ROW()-1</f>
        <v>3523</v>
      </c>
      <c r="I3524" s="0" t="str">
        <f aca="false">IF(OR(הגדרות!$E$6=0,H3524&gt;הגדרות!$E$5),"",IF(H3524-1&lt;הגדרות!$E$8*(הגדרות!$E$7+1),INT((H3524-1)/(הגדרות!$E$7+1)),הגדרות!$E$8+INT((H3524-1-הגדרות!$E$8*(הגדרות!$E$7+1))/הגדרות!$E$7)))</f>
        <v/>
      </c>
      <c r="J3524" s="0" t="str">
        <f aca="false">IF(I3524="","",IF(H3524-1&lt;הגדרות!$E$8*(הגדרות!$E$7+1),MOD(H3524-1,הגדרות!$E$7+1),MOD(H3524-1-הגדרות!$E$8*(הגדרות!$E$7+1),הגדרות!$E$7)))</f>
        <v/>
      </c>
      <c r="K3524" s="0" t="str">
        <f aca="false">IF(I3524="","",J3524*הגדרות!$E$6+I3524+1)</f>
        <v/>
      </c>
      <c r="L3524" s="0" t="str">
        <f aca="false">IF(K3524="","",MATCH(K3524,$F$2:$F$5001,0))</f>
        <v/>
      </c>
      <c r="M3524" s="0" t="str">
        <f aca="false">IF(I3524="","",INDEX(הגדרות!$A$2:$A$21,MOD(I3524+הגדרות!$E$9,הגדרות!$E$6)+1))</f>
        <v/>
      </c>
    </row>
    <row r="3525" customFormat="false" ht="15" hidden="false" customHeight="false" outlineLevel="0" collapsed="false">
      <c r="A3525" s="0" t="str">
        <f aca="false">IF('הדבקת לידים'!A3525="","",IF(ISNUMBER('הדבקת לידים'!A3525),IF(הגדרות!$E$2&gt;0,TEXT('הדבקת לידים'!A3525,REPT("0",הגדרות!$E$2)),TEXT('הדבקת לידים'!A3525,"0")),TRIM('הדבקת לידים'!A3525)))</f>
        <v/>
      </c>
      <c r="B3525" s="0" t="str">
        <f aca="false">IF('הדבקת לידים'!B3525="","",IF(ISNUMBER('הדבקת לידים'!B3525),IF(הגדרות!$E$3&gt;0,TEXT('הדבקת לידים'!B3525,REPT("0",הגדרות!$E$3)),TEXT('הדבקת לידים'!B3525,"0")),TRIM('הדבקת לידים'!B3525)))</f>
        <v/>
      </c>
      <c r="C3525" s="0" t="n">
        <f aca="false">IF(OR(A3525&lt;&gt;"",B3525&lt;&gt;""),1,0)</f>
        <v>0</v>
      </c>
      <c r="D3525" s="0" t="str">
        <f aca="false">IF(C3525=1,MOD(ABS(SIN(ROW()*12.9898+'הדבקת לידים'!$F$2*78.233+IFERROR(--RIGHT(A3525,6),LEN(A3525))*0.0137+IFERROR(--RIGHT(B3525,6),LEN(B3525))*0.0071))*43758.5453,1),"")</f>
        <v/>
      </c>
      <c r="E3525" s="0" t="str">
        <f aca="false">IF(C3525=1,INT(MOD(ABS(SIN(D3525*7919.123+ROW()*0.618+'הדבקת לידים'!$F$2*1.3))*43758.5453,1)*1000000)*10000+ROW(),"")</f>
        <v/>
      </c>
      <c r="F3525" s="0" t="str">
        <f aca="false">IF(E3525="","",RANK(E3525,$E$2:$E$5001,1))</f>
        <v/>
      </c>
      <c r="G3525" s="0" t="n">
        <f aca="false">IF(A3525="",0,IF(SUMPRODUCT(--($A$2:$A$5001=A3525))&gt;1,1,0))</f>
        <v>0</v>
      </c>
      <c r="H3525" s="0" t="n">
        <f aca="false">ROW()-1</f>
        <v>3524</v>
      </c>
      <c r="I3525" s="0" t="str">
        <f aca="false">IF(OR(הגדרות!$E$6=0,H3525&gt;הגדרות!$E$5),"",IF(H3525-1&lt;הגדרות!$E$8*(הגדרות!$E$7+1),INT((H3525-1)/(הגדרות!$E$7+1)),הגדרות!$E$8+INT((H3525-1-הגדרות!$E$8*(הגדרות!$E$7+1))/הגדרות!$E$7)))</f>
        <v/>
      </c>
      <c r="J3525" s="0" t="str">
        <f aca="false">IF(I3525="","",IF(H3525-1&lt;הגדרות!$E$8*(הגדרות!$E$7+1),MOD(H3525-1,הגדרות!$E$7+1),MOD(H3525-1-הגדרות!$E$8*(הגדרות!$E$7+1),הגדרות!$E$7)))</f>
        <v/>
      </c>
      <c r="K3525" s="0" t="str">
        <f aca="false">IF(I3525="","",J3525*הגדרות!$E$6+I3525+1)</f>
        <v/>
      </c>
      <c r="L3525" s="0" t="str">
        <f aca="false">IF(K3525="","",MATCH(K3525,$F$2:$F$5001,0))</f>
        <v/>
      </c>
      <c r="M3525" s="0" t="str">
        <f aca="false">IF(I3525="","",INDEX(הגדרות!$A$2:$A$21,MOD(I3525+הגדרות!$E$9,הגדרות!$E$6)+1))</f>
        <v/>
      </c>
    </row>
    <row r="3526" customFormat="false" ht="15" hidden="false" customHeight="false" outlineLevel="0" collapsed="false">
      <c r="A3526" s="0" t="str">
        <f aca="false">IF('הדבקת לידים'!A3526="","",IF(ISNUMBER('הדבקת לידים'!A3526),IF(הגדרות!$E$2&gt;0,TEXT('הדבקת לידים'!A3526,REPT("0",הגדרות!$E$2)),TEXT('הדבקת לידים'!A3526,"0")),TRIM('הדבקת לידים'!A3526)))</f>
        <v/>
      </c>
      <c r="B3526" s="0" t="str">
        <f aca="false">IF('הדבקת לידים'!B3526="","",IF(ISNUMBER('הדבקת לידים'!B3526),IF(הגדרות!$E$3&gt;0,TEXT('הדבקת לידים'!B3526,REPT("0",הגדרות!$E$3)),TEXT('הדבקת לידים'!B3526,"0")),TRIM('הדבקת לידים'!B3526)))</f>
        <v/>
      </c>
      <c r="C3526" s="0" t="n">
        <f aca="false">IF(OR(A3526&lt;&gt;"",B3526&lt;&gt;""),1,0)</f>
        <v>0</v>
      </c>
      <c r="D3526" s="0" t="str">
        <f aca="false">IF(C3526=1,MOD(ABS(SIN(ROW()*12.9898+'הדבקת לידים'!$F$2*78.233+IFERROR(--RIGHT(A3526,6),LEN(A3526))*0.0137+IFERROR(--RIGHT(B3526,6),LEN(B3526))*0.0071))*43758.5453,1),"")</f>
        <v/>
      </c>
      <c r="E3526" s="0" t="str">
        <f aca="false">IF(C3526=1,INT(MOD(ABS(SIN(D3526*7919.123+ROW()*0.618+'הדבקת לידים'!$F$2*1.3))*43758.5453,1)*1000000)*10000+ROW(),"")</f>
        <v/>
      </c>
      <c r="F3526" s="0" t="str">
        <f aca="false">IF(E3526="","",RANK(E3526,$E$2:$E$5001,1))</f>
        <v/>
      </c>
      <c r="G3526" s="0" t="n">
        <f aca="false">IF(A3526="",0,IF(SUMPRODUCT(--($A$2:$A$5001=A3526))&gt;1,1,0))</f>
        <v>0</v>
      </c>
      <c r="H3526" s="0" t="n">
        <f aca="false">ROW()-1</f>
        <v>3525</v>
      </c>
      <c r="I3526" s="0" t="str">
        <f aca="false">IF(OR(הגדרות!$E$6=0,H3526&gt;הגדרות!$E$5),"",IF(H3526-1&lt;הגדרות!$E$8*(הגדרות!$E$7+1),INT((H3526-1)/(הגדרות!$E$7+1)),הגדרות!$E$8+INT((H3526-1-הגדרות!$E$8*(הגדרות!$E$7+1))/הגדרות!$E$7)))</f>
        <v/>
      </c>
      <c r="J3526" s="0" t="str">
        <f aca="false">IF(I3526="","",IF(H3526-1&lt;הגדרות!$E$8*(הגדרות!$E$7+1),MOD(H3526-1,הגדרות!$E$7+1),MOD(H3526-1-הגדרות!$E$8*(הגדרות!$E$7+1),הגדרות!$E$7)))</f>
        <v/>
      </c>
      <c r="K3526" s="0" t="str">
        <f aca="false">IF(I3526="","",J3526*הגדרות!$E$6+I3526+1)</f>
        <v/>
      </c>
      <c r="L3526" s="0" t="str">
        <f aca="false">IF(K3526="","",MATCH(K3526,$F$2:$F$5001,0))</f>
        <v/>
      </c>
      <c r="M3526" s="0" t="str">
        <f aca="false">IF(I3526="","",INDEX(הגדרות!$A$2:$A$21,MOD(I3526+הגדרות!$E$9,הגדרות!$E$6)+1))</f>
        <v/>
      </c>
    </row>
    <row r="3527" customFormat="false" ht="15" hidden="false" customHeight="false" outlineLevel="0" collapsed="false">
      <c r="A3527" s="0" t="str">
        <f aca="false">IF('הדבקת לידים'!A3527="","",IF(ISNUMBER('הדבקת לידים'!A3527),IF(הגדרות!$E$2&gt;0,TEXT('הדבקת לידים'!A3527,REPT("0",הגדרות!$E$2)),TEXT('הדבקת לידים'!A3527,"0")),TRIM('הדבקת לידים'!A3527)))</f>
        <v/>
      </c>
      <c r="B3527" s="0" t="str">
        <f aca="false">IF('הדבקת לידים'!B3527="","",IF(ISNUMBER('הדבקת לידים'!B3527),IF(הגדרות!$E$3&gt;0,TEXT('הדבקת לידים'!B3527,REPT("0",הגדרות!$E$3)),TEXT('הדבקת לידים'!B3527,"0")),TRIM('הדבקת לידים'!B3527)))</f>
        <v/>
      </c>
      <c r="C3527" s="0" t="n">
        <f aca="false">IF(OR(A3527&lt;&gt;"",B3527&lt;&gt;""),1,0)</f>
        <v>0</v>
      </c>
      <c r="D3527" s="0" t="str">
        <f aca="false">IF(C3527=1,MOD(ABS(SIN(ROW()*12.9898+'הדבקת לידים'!$F$2*78.233+IFERROR(--RIGHT(A3527,6),LEN(A3527))*0.0137+IFERROR(--RIGHT(B3527,6),LEN(B3527))*0.0071))*43758.5453,1),"")</f>
        <v/>
      </c>
      <c r="E3527" s="0" t="str">
        <f aca="false">IF(C3527=1,INT(MOD(ABS(SIN(D3527*7919.123+ROW()*0.618+'הדבקת לידים'!$F$2*1.3))*43758.5453,1)*1000000)*10000+ROW(),"")</f>
        <v/>
      </c>
      <c r="F3527" s="0" t="str">
        <f aca="false">IF(E3527="","",RANK(E3527,$E$2:$E$5001,1))</f>
        <v/>
      </c>
      <c r="G3527" s="0" t="n">
        <f aca="false">IF(A3527="",0,IF(SUMPRODUCT(--($A$2:$A$5001=A3527))&gt;1,1,0))</f>
        <v>0</v>
      </c>
      <c r="H3527" s="0" t="n">
        <f aca="false">ROW()-1</f>
        <v>3526</v>
      </c>
      <c r="I3527" s="0" t="str">
        <f aca="false">IF(OR(הגדרות!$E$6=0,H3527&gt;הגדרות!$E$5),"",IF(H3527-1&lt;הגדרות!$E$8*(הגדרות!$E$7+1),INT((H3527-1)/(הגדרות!$E$7+1)),הגדרות!$E$8+INT((H3527-1-הגדרות!$E$8*(הגדרות!$E$7+1))/הגדרות!$E$7)))</f>
        <v/>
      </c>
      <c r="J3527" s="0" t="str">
        <f aca="false">IF(I3527="","",IF(H3527-1&lt;הגדרות!$E$8*(הגדרות!$E$7+1),MOD(H3527-1,הגדרות!$E$7+1),MOD(H3527-1-הגדרות!$E$8*(הגדרות!$E$7+1),הגדרות!$E$7)))</f>
        <v/>
      </c>
      <c r="K3527" s="0" t="str">
        <f aca="false">IF(I3527="","",J3527*הגדרות!$E$6+I3527+1)</f>
        <v/>
      </c>
      <c r="L3527" s="0" t="str">
        <f aca="false">IF(K3527="","",MATCH(K3527,$F$2:$F$5001,0))</f>
        <v/>
      </c>
      <c r="M3527" s="0" t="str">
        <f aca="false">IF(I3527="","",INDEX(הגדרות!$A$2:$A$21,MOD(I3527+הגדרות!$E$9,הגדרות!$E$6)+1))</f>
        <v/>
      </c>
    </row>
    <row r="3528" customFormat="false" ht="15" hidden="false" customHeight="false" outlineLevel="0" collapsed="false">
      <c r="A3528" s="0" t="str">
        <f aca="false">IF('הדבקת לידים'!A3528="","",IF(ISNUMBER('הדבקת לידים'!A3528),IF(הגדרות!$E$2&gt;0,TEXT('הדבקת לידים'!A3528,REPT("0",הגדרות!$E$2)),TEXT('הדבקת לידים'!A3528,"0")),TRIM('הדבקת לידים'!A3528)))</f>
        <v/>
      </c>
      <c r="B3528" s="0" t="str">
        <f aca="false">IF('הדבקת לידים'!B3528="","",IF(ISNUMBER('הדבקת לידים'!B3528),IF(הגדרות!$E$3&gt;0,TEXT('הדבקת לידים'!B3528,REPT("0",הגדרות!$E$3)),TEXT('הדבקת לידים'!B3528,"0")),TRIM('הדבקת לידים'!B3528)))</f>
        <v/>
      </c>
      <c r="C3528" s="0" t="n">
        <f aca="false">IF(OR(A3528&lt;&gt;"",B3528&lt;&gt;""),1,0)</f>
        <v>0</v>
      </c>
      <c r="D3528" s="0" t="str">
        <f aca="false">IF(C3528=1,MOD(ABS(SIN(ROW()*12.9898+'הדבקת לידים'!$F$2*78.233+IFERROR(--RIGHT(A3528,6),LEN(A3528))*0.0137+IFERROR(--RIGHT(B3528,6),LEN(B3528))*0.0071))*43758.5453,1),"")</f>
        <v/>
      </c>
      <c r="E3528" s="0" t="str">
        <f aca="false">IF(C3528=1,INT(MOD(ABS(SIN(D3528*7919.123+ROW()*0.618+'הדבקת לידים'!$F$2*1.3))*43758.5453,1)*1000000)*10000+ROW(),"")</f>
        <v/>
      </c>
      <c r="F3528" s="0" t="str">
        <f aca="false">IF(E3528="","",RANK(E3528,$E$2:$E$5001,1))</f>
        <v/>
      </c>
      <c r="G3528" s="0" t="n">
        <f aca="false">IF(A3528="",0,IF(SUMPRODUCT(--($A$2:$A$5001=A3528))&gt;1,1,0))</f>
        <v>0</v>
      </c>
      <c r="H3528" s="0" t="n">
        <f aca="false">ROW()-1</f>
        <v>3527</v>
      </c>
      <c r="I3528" s="0" t="str">
        <f aca="false">IF(OR(הגדרות!$E$6=0,H3528&gt;הגדרות!$E$5),"",IF(H3528-1&lt;הגדרות!$E$8*(הגדרות!$E$7+1),INT((H3528-1)/(הגדרות!$E$7+1)),הגדרות!$E$8+INT((H3528-1-הגדרות!$E$8*(הגדרות!$E$7+1))/הגדרות!$E$7)))</f>
        <v/>
      </c>
      <c r="J3528" s="0" t="str">
        <f aca="false">IF(I3528="","",IF(H3528-1&lt;הגדרות!$E$8*(הגדרות!$E$7+1),MOD(H3528-1,הגדרות!$E$7+1),MOD(H3528-1-הגדרות!$E$8*(הגדרות!$E$7+1),הגדרות!$E$7)))</f>
        <v/>
      </c>
      <c r="K3528" s="0" t="str">
        <f aca="false">IF(I3528="","",J3528*הגדרות!$E$6+I3528+1)</f>
        <v/>
      </c>
      <c r="L3528" s="0" t="str">
        <f aca="false">IF(K3528="","",MATCH(K3528,$F$2:$F$5001,0))</f>
        <v/>
      </c>
      <c r="M3528" s="0" t="str">
        <f aca="false">IF(I3528="","",INDEX(הגדרות!$A$2:$A$21,MOD(I3528+הגדרות!$E$9,הגדרות!$E$6)+1))</f>
        <v/>
      </c>
    </row>
    <row r="3529" customFormat="false" ht="15" hidden="false" customHeight="false" outlineLevel="0" collapsed="false">
      <c r="A3529" s="0" t="str">
        <f aca="false">IF('הדבקת לידים'!A3529="","",IF(ISNUMBER('הדבקת לידים'!A3529),IF(הגדרות!$E$2&gt;0,TEXT('הדבקת לידים'!A3529,REPT("0",הגדרות!$E$2)),TEXT('הדבקת לידים'!A3529,"0")),TRIM('הדבקת לידים'!A3529)))</f>
        <v/>
      </c>
      <c r="B3529" s="0" t="str">
        <f aca="false">IF('הדבקת לידים'!B3529="","",IF(ISNUMBER('הדבקת לידים'!B3529),IF(הגדרות!$E$3&gt;0,TEXT('הדבקת לידים'!B3529,REPT("0",הגדרות!$E$3)),TEXT('הדבקת לידים'!B3529,"0")),TRIM('הדבקת לידים'!B3529)))</f>
        <v/>
      </c>
      <c r="C3529" s="0" t="n">
        <f aca="false">IF(OR(A3529&lt;&gt;"",B3529&lt;&gt;""),1,0)</f>
        <v>0</v>
      </c>
      <c r="D3529" s="0" t="str">
        <f aca="false">IF(C3529=1,MOD(ABS(SIN(ROW()*12.9898+'הדבקת לידים'!$F$2*78.233+IFERROR(--RIGHT(A3529,6),LEN(A3529))*0.0137+IFERROR(--RIGHT(B3529,6),LEN(B3529))*0.0071))*43758.5453,1),"")</f>
        <v/>
      </c>
      <c r="E3529" s="0" t="str">
        <f aca="false">IF(C3529=1,INT(MOD(ABS(SIN(D3529*7919.123+ROW()*0.618+'הדבקת לידים'!$F$2*1.3))*43758.5453,1)*1000000)*10000+ROW(),"")</f>
        <v/>
      </c>
      <c r="F3529" s="0" t="str">
        <f aca="false">IF(E3529="","",RANK(E3529,$E$2:$E$5001,1))</f>
        <v/>
      </c>
      <c r="G3529" s="0" t="n">
        <f aca="false">IF(A3529="",0,IF(SUMPRODUCT(--($A$2:$A$5001=A3529))&gt;1,1,0))</f>
        <v>0</v>
      </c>
      <c r="H3529" s="0" t="n">
        <f aca="false">ROW()-1</f>
        <v>3528</v>
      </c>
      <c r="I3529" s="0" t="str">
        <f aca="false">IF(OR(הגדרות!$E$6=0,H3529&gt;הגדרות!$E$5),"",IF(H3529-1&lt;הגדרות!$E$8*(הגדרות!$E$7+1),INT((H3529-1)/(הגדרות!$E$7+1)),הגדרות!$E$8+INT((H3529-1-הגדרות!$E$8*(הגדרות!$E$7+1))/הגדרות!$E$7)))</f>
        <v/>
      </c>
      <c r="J3529" s="0" t="str">
        <f aca="false">IF(I3529="","",IF(H3529-1&lt;הגדרות!$E$8*(הגדרות!$E$7+1),MOD(H3529-1,הגדרות!$E$7+1),MOD(H3529-1-הגדרות!$E$8*(הגדרות!$E$7+1),הגדרות!$E$7)))</f>
        <v/>
      </c>
      <c r="K3529" s="0" t="str">
        <f aca="false">IF(I3529="","",J3529*הגדרות!$E$6+I3529+1)</f>
        <v/>
      </c>
      <c r="L3529" s="0" t="str">
        <f aca="false">IF(K3529="","",MATCH(K3529,$F$2:$F$5001,0))</f>
        <v/>
      </c>
      <c r="M3529" s="0" t="str">
        <f aca="false">IF(I3529="","",INDEX(הגדרות!$A$2:$A$21,MOD(I3529+הגדרות!$E$9,הגדרות!$E$6)+1))</f>
        <v/>
      </c>
    </row>
    <row r="3530" customFormat="false" ht="15" hidden="false" customHeight="false" outlineLevel="0" collapsed="false">
      <c r="A3530" s="0" t="str">
        <f aca="false">IF('הדבקת לידים'!A3530="","",IF(ISNUMBER('הדבקת לידים'!A3530),IF(הגדרות!$E$2&gt;0,TEXT('הדבקת לידים'!A3530,REPT("0",הגדרות!$E$2)),TEXT('הדבקת לידים'!A3530,"0")),TRIM('הדבקת לידים'!A3530)))</f>
        <v/>
      </c>
      <c r="B3530" s="0" t="str">
        <f aca="false">IF('הדבקת לידים'!B3530="","",IF(ISNUMBER('הדבקת לידים'!B3530),IF(הגדרות!$E$3&gt;0,TEXT('הדבקת לידים'!B3530,REPT("0",הגדרות!$E$3)),TEXT('הדבקת לידים'!B3530,"0")),TRIM('הדבקת לידים'!B3530)))</f>
        <v/>
      </c>
      <c r="C3530" s="0" t="n">
        <f aca="false">IF(OR(A3530&lt;&gt;"",B3530&lt;&gt;""),1,0)</f>
        <v>0</v>
      </c>
      <c r="D3530" s="0" t="str">
        <f aca="false">IF(C3530=1,MOD(ABS(SIN(ROW()*12.9898+'הדבקת לידים'!$F$2*78.233+IFERROR(--RIGHT(A3530,6),LEN(A3530))*0.0137+IFERROR(--RIGHT(B3530,6),LEN(B3530))*0.0071))*43758.5453,1),"")</f>
        <v/>
      </c>
      <c r="E3530" s="0" t="str">
        <f aca="false">IF(C3530=1,INT(MOD(ABS(SIN(D3530*7919.123+ROW()*0.618+'הדבקת לידים'!$F$2*1.3))*43758.5453,1)*1000000)*10000+ROW(),"")</f>
        <v/>
      </c>
      <c r="F3530" s="0" t="str">
        <f aca="false">IF(E3530="","",RANK(E3530,$E$2:$E$5001,1))</f>
        <v/>
      </c>
      <c r="G3530" s="0" t="n">
        <f aca="false">IF(A3530="",0,IF(SUMPRODUCT(--($A$2:$A$5001=A3530))&gt;1,1,0))</f>
        <v>0</v>
      </c>
      <c r="H3530" s="0" t="n">
        <f aca="false">ROW()-1</f>
        <v>3529</v>
      </c>
      <c r="I3530" s="0" t="str">
        <f aca="false">IF(OR(הגדרות!$E$6=0,H3530&gt;הגדרות!$E$5),"",IF(H3530-1&lt;הגדרות!$E$8*(הגדרות!$E$7+1),INT((H3530-1)/(הגדרות!$E$7+1)),הגדרות!$E$8+INT((H3530-1-הגדרות!$E$8*(הגדרות!$E$7+1))/הגדרות!$E$7)))</f>
        <v/>
      </c>
      <c r="J3530" s="0" t="str">
        <f aca="false">IF(I3530="","",IF(H3530-1&lt;הגדרות!$E$8*(הגדרות!$E$7+1),MOD(H3530-1,הגדרות!$E$7+1),MOD(H3530-1-הגדרות!$E$8*(הגדרות!$E$7+1),הגדרות!$E$7)))</f>
        <v/>
      </c>
      <c r="K3530" s="0" t="str">
        <f aca="false">IF(I3530="","",J3530*הגדרות!$E$6+I3530+1)</f>
        <v/>
      </c>
      <c r="L3530" s="0" t="str">
        <f aca="false">IF(K3530="","",MATCH(K3530,$F$2:$F$5001,0))</f>
        <v/>
      </c>
      <c r="M3530" s="0" t="str">
        <f aca="false">IF(I3530="","",INDEX(הגדרות!$A$2:$A$21,MOD(I3530+הגדרות!$E$9,הגדרות!$E$6)+1))</f>
        <v/>
      </c>
    </row>
    <row r="3531" customFormat="false" ht="15" hidden="false" customHeight="false" outlineLevel="0" collapsed="false">
      <c r="A3531" s="0" t="str">
        <f aca="false">IF('הדבקת לידים'!A3531="","",IF(ISNUMBER('הדבקת לידים'!A3531),IF(הגדרות!$E$2&gt;0,TEXT('הדבקת לידים'!A3531,REPT("0",הגדרות!$E$2)),TEXT('הדבקת לידים'!A3531,"0")),TRIM('הדבקת לידים'!A3531)))</f>
        <v/>
      </c>
      <c r="B3531" s="0" t="str">
        <f aca="false">IF('הדבקת לידים'!B3531="","",IF(ISNUMBER('הדבקת לידים'!B3531),IF(הגדרות!$E$3&gt;0,TEXT('הדבקת לידים'!B3531,REPT("0",הגדרות!$E$3)),TEXT('הדבקת לידים'!B3531,"0")),TRIM('הדבקת לידים'!B3531)))</f>
        <v/>
      </c>
      <c r="C3531" s="0" t="n">
        <f aca="false">IF(OR(A3531&lt;&gt;"",B3531&lt;&gt;""),1,0)</f>
        <v>0</v>
      </c>
      <c r="D3531" s="0" t="str">
        <f aca="false">IF(C3531=1,MOD(ABS(SIN(ROW()*12.9898+'הדבקת לידים'!$F$2*78.233+IFERROR(--RIGHT(A3531,6),LEN(A3531))*0.0137+IFERROR(--RIGHT(B3531,6),LEN(B3531))*0.0071))*43758.5453,1),"")</f>
        <v/>
      </c>
      <c r="E3531" s="0" t="str">
        <f aca="false">IF(C3531=1,INT(MOD(ABS(SIN(D3531*7919.123+ROW()*0.618+'הדבקת לידים'!$F$2*1.3))*43758.5453,1)*1000000)*10000+ROW(),"")</f>
        <v/>
      </c>
      <c r="F3531" s="0" t="str">
        <f aca="false">IF(E3531="","",RANK(E3531,$E$2:$E$5001,1))</f>
        <v/>
      </c>
      <c r="G3531" s="0" t="n">
        <f aca="false">IF(A3531="",0,IF(SUMPRODUCT(--($A$2:$A$5001=A3531))&gt;1,1,0))</f>
        <v>0</v>
      </c>
      <c r="H3531" s="0" t="n">
        <f aca="false">ROW()-1</f>
        <v>3530</v>
      </c>
      <c r="I3531" s="0" t="str">
        <f aca="false">IF(OR(הגדרות!$E$6=0,H3531&gt;הגדרות!$E$5),"",IF(H3531-1&lt;הגדרות!$E$8*(הגדרות!$E$7+1),INT((H3531-1)/(הגדרות!$E$7+1)),הגדרות!$E$8+INT((H3531-1-הגדרות!$E$8*(הגדרות!$E$7+1))/הגדרות!$E$7)))</f>
        <v/>
      </c>
      <c r="J3531" s="0" t="str">
        <f aca="false">IF(I3531="","",IF(H3531-1&lt;הגדרות!$E$8*(הגדרות!$E$7+1),MOD(H3531-1,הגדרות!$E$7+1),MOD(H3531-1-הגדרות!$E$8*(הגדרות!$E$7+1),הגדרות!$E$7)))</f>
        <v/>
      </c>
      <c r="K3531" s="0" t="str">
        <f aca="false">IF(I3531="","",J3531*הגדרות!$E$6+I3531+1)</f>
        <v/>
      </c>
      <c r="L3531" s="0" t="str">
        <f aca="false">IF(K3531="","",MATCH(K3531,$F$2:$F$5001,0))</f>
        <v/>
      </c>
      <c r="M3531" s="0" t="str">
        <f aca="false">IF(I3531="","",INDEX(הגדרות!$A$2:$A$21,MOD(I3531+הגדרות!$E$9,הגדרות!$E$6)+1))</f>
        <v/>
      </c>
    </row>
    <row r="3532" customFormat="false" ht="15" hidden="false" customHeight="false" outlineLevel="0" collapsed="false">
      <c r="A3532" s="0" t="str">
        <f aca="false">IF('הדבקת לידים'!A3532="","",IF(ISNUMBER('הדבקת לידים'!A3532),IF(הגדרות!$E$2&gt;0,TEXT('הדבקת לידים'!A3532,REPT("0",הגדרות!$E$2)),TEXT('הדבקת לידים'!A3532,"0")),TRIM('הדבקת לידים'!A3532)))</f>
        <v/>
      </c>
      <c r="B3532" s="0" t="str">
        <f aca="false">IF('הדבקת לידים'!B3532="","",IF(ISNUMBER('הדבקת לידים'!B3532),IF(הגדרות!$E$3&gt;0,TEXT('הדבקת לידים'!B3532,REPT("0",הגדרות!$E$3)),TEXT('הדבקת לידים'!B3532,"0")),TRIM('הדבקת לידים'!B3532)))</f>
        <v/>
      </c>
      <c r="C3532" s="0" t="n">
        <f aca="false">IF(OR(A3532&lt;&gt;"",B3532&lt;&gt;""),1,0)</f>
        <v>0</v>
      </c>
      <c r="D3532" s="0" t="str">
        <f aca="false">IF(C3532=1,MOD(ABS(SIN(ROW()*12.9898+'הדבקת לידים'!$F$2*78.233+IFERROR(--RIGHT(A3532,6),LEN(A3532))*0.0137+IFERROR(--RIGHT(B3532,6),LEN(B3532))*0.0071))*43758.5453,1),"")</f>
        <v/>
      </c>
      <c r="E3532" s="0" t="str">
        <f aca="false">IF(C3532=1,INT(MOD(ABS(SIN(D3532*7919.123+ROW()*0.618+'הדבקת לידים'!$F$2*1.3))*43758.5453,1)*1000000)*10000+ROW(),"")</f>
        <v/>
      </c>
      <c r="F3532" s="0" t="str">
        <f aca="false">IF(E3532="","",RANK(E3532,$E$2:$E$5001,1))</f>
        <v/>
      </c>
      <c r="G3532" s="0" t="n">
        <f aca="false">IF(A3532="",0,IF(SUMPRODUCT(--($A$2:$A$5001=A3532))&gt;1,1,0))</f>
        <v>0</v>
      </c>
      <c r="H3532" s="0" t="n">
        <f aca="false">ROW()-1</f>
        <v>3531</v>
      </c>
      <c r="I3532" s="0" t="str">
        <f aca="false">IF(OR(הגדרות!$E$6=0,H3532&gt;הגדרות!$E$5),"",IF(H3532-1&lt;הגדרות!$E$8*(הגדרות!$E$7+1),INT((H3532-1)/(הגדרות!$E$7+1)),הגדרות!$E$8+INT((H3532-1-הגדרות!$E$8*(הגדרות!$E$7+1))/הגדרות!$E$7)))</f>
        <v/>
      </c>
      <c r="J3532" s="0" t="str">
        <f aca="false">IF(I3532="","",IF(H3532-1&lt;הגדרות!$E$8*(הגדרות!$E$7+1),MOD(H3532-1,הגדרות!$E$7+1),MOD(H3532-1-הגדרות!$E$8*(הגדרות!$E$7+1),הגדרות!$E$7)))</f>
        <v/>
      </c>
      <c r="K3532" s="0" t="str">
        <f aca="false">IF(I3532="","",J3532*הגדרות!$E$6+I3532+1)</f>
        <v/>
      </c>
      <c r="L3532" s="0" t="str">
        <f aca="false">IF(K3532="","",MATCH(K3532,$F$2:$F$5001,0))</f>
        <v/>
      </c>
      <c r="M3532" s="0" t="str">
        <f aca="false">IF(I3532="","",INDEX(הגדרות!$A$2:$A$21,MOD(I3532+הגדרות!$E$9,הגדרות!$E$6)+1))</f>
        <v/>
      </c>
    </row>
    <row r="3533" customFormat="false" ht="15" hidden="false" customHeight="false" outlineLevel="0" collapsed="false">
      <c r="A3533" s="0" t="str">
        <f aca="false">IF('הדבקת לידים'!A3533="","",IF(ISNUMBER('הדבקת לידים'!A3533),IF(הגדרות!$E$2&gt;0,TEXT('הדבקת לידים'!A3533,REPT("0",הגדרות!$E$2)),TEXT('הדבקת לידים'!A3533,"0")),TRIM('הדבקת לידים'!A3533)))</f>
        <v/>
      </c>
      <c r="B3533" s="0" t="str">
        <f aca="false">IF('הדבקת לידים'!B3533="","",IF(ISNUMBER('הדבקת לידים'!B3533),IF(הגדרות!$E$3&gt;0,TEXT('הדבקת לידים'!B3533,REPT("0",הגדרות!$E$3)),TEXT('הדבקת לידים'!B3533,"0")),TRIM('הדבקת לידים'!B3533)))</f>
        <v/>
      </c>
      <c r="C3533" s="0" t="n">
        <f aca="false">IF(OR(A3533&lt;&gt;"",B3533&lt;&gt;""),1,0)</f>
        <v>0</v>
      </c>
      <c r="D3533" s="0" t="str">
        <f aca="false">IF(C3533=1,MOD(ABS(SIN(ROW()*12.9898+'הדבקת לידים'!$F$2*78.233+IFERROR(--RIGHT(A3533,6),LEN(A3533))*0.0137+IFERROR(--RIGHT(B3533,6),LEN(B3533))*0.0071))*43758.5453,1),"")</f>
        <v/>
      </c>
      <c r="E3533" s="0" t="str">
        <f aca="false">IF(C3533=1,INT(MOD(ABS(SIN(D3533*7919.123+ROW()*0.618+'הדבקת לידים'!$F$2*1.3))*43758.5453,1)*1000000)*10000+ROW(),"")</f>
        <v/>
      </c>
      <c r="F3533" s="0" t="str">
        <f aca="false">IF(E3533="","",RANK(E3533,$E$2:$E$5001,1))</f>
        <v/>
      </c>
      <c r="G3533" s="0" t="n">
        <f aca="false">IF(A3533="",0,IF(SUMPRODUCT(--($A$2:$A$5001=A3533))&gt;1,1,0))</f>
        <v>0</v>
      </c>
      <c r="H3533" s="0" t="n">
        <f aca="false">ROW()-1</f>
        <v>3532</v>
      </c>
      <c r="I3533" s="0" t="str">
        <f aca="false">IF(OR(הגדרות!$E$6=0,H3533&gt;הגדרות!$E$5),"",IF(H3533-1&lt;הגדרות!$E$8*(הגדרות!$E$7+1),INT((H3533-1)/(הגדרות!$E$7+1)),הגדרות!$E$8+INT((H3533-1-הגדרות!$E$8*(הגדרות!$E$7+1))/הגדרות!$E$7)))</f>
        <v/>
      </c>
      <c r="J3533" s="0" t="str">
        <f aca="false">IF(I3533="","",IF(H3533-1&lt;הגדרות!$E$8*(הגדרות!$E$7+1),MOD(H3533-1,הגדרות!$E$7+1),MOD(H3533-1-הגדרות!$E$8*(הגדרות!$E$7+1),הגדרות!$E$7)))</f>
        <v/>
      </c>
      <c r="K3533" s="0" t="str">
        <f aca="false">IF(I3533="","",J3533*הגדרות!$E$6+I3533+1)</f>
        <v/>
      </c>
      <c r="L3533" s="0" t="str">
        <f aca="false">IF(K3533="","",MATCH(K3533,$F$2:$F$5001,0))</f>
        <v/>
      </c>
      <c r="M3533" s="0" t="str">
        <f aca="false">IF(I3533="","",INDEX(הגדרות!$A$2:$A$21,MOD(I3533+הגדרות!$E$9,הגדרות!$E$6)+1))</f>
        <v/>
      </c>
    </row>
    <row r="3534" customFormat="false" ht="15" hidden="false" customHeight="false" outlineLevel="0" collapsed="false">
      <c r="A3534" s="0" t="str">
        <f aca="false">IF('הדבקת לידים'!A3534="","",IF(ISNUMBER('הדבקת לידים'!A3534),IF(הגדרות!$E$2&gt;0,TEXT('הדבקת לידים'!A3534,REPT("0",הגדרות!$E$2)),TEXT('הדבקת לידים'!A3534,"0")),TRIM('הדבקת לידים'!A3534)))</f>
        <v/>
      </c>
      <c r="B3534" s="0" t="str">
        <f aca="false">IF('הדבקת לידים'!B3534="","",IF(ISNUMBER('הדבקת לידים'!B3534),IF(הגדרות!$E$3&gt;0,TEXT('הדבקת לידים'!B3534,REPT("0",הגדרות!$E$3)),TEXT('הדבקת לידים'!B3534,"0")),TRIM('הדבקת לידים'!B3534)))</f>
        <v/>
      </c>
      <c r="C3534" s="0" t="n">
        <f aca="false">IF(OR(A3534&lt;&gt;"",B3534&lt;&gt;""),1,0)</f>
        <v>0</v>
      </c>
      <c r="D3534" s="0" t="str">
        <f aca="false">IF(C3534=1,MOD(ABS(SIN(ROW()*12.9898+'הדבקת לידים'!$F$2*78.233+IFERROR(--RIGHT(A3534,6),LEN(A3534))*0.0137+IFERROR(--RIGHT(B3534,6),LEN(B3534))*0.0071))*43758.5453,1),"")</f>
        <v/>
      </c>
      <c r="E3534" s="0" t="str">
        <f aca="false">IF(C3534=1,INT(MOD(ABS(SIN(D3534*7919.123+ROW()*0.618+'הדבקת לידים'!$F$2*1.3))*43758.5453,1)*1000000)*10000+ROW(),"")</f>
        <v/>
      </c>
      <c r="F3534" s="0" t="str">
        <f aca="false">IF(E3534="","",RANK(E3534,$E$2:$E$5001,1))</f>
        <v/>
      </c>
      <c r="G3534" s="0" t="n">
        <f aca="false">IF(A3534="",0,IF(SUMPRODUCT(--($A$2:$A$5001=A3534))&gt;1,1,0))</f>
        <v>0</v>
      </c>
      <c r="H3534" s="0" t="n">
        <f aca="false">ROW()-1</f>
        <v>3533</v>
      </c>
      <c r="I3534" s="0" t="str">
        <f aca="false">IF(OR(הגדרות!$E$6=0,H3534&gt;הגדרות!$E$5),"",IF(H3534-1&lt;הגדרות!$E$8*(הגדרות!$E$7+1),INT((H3534-1)/(הגדרות!$E$7+1)),הגדרות!$E$8+INT((H3534-1-הגדרות!$E$8*(הגדרות!$E$7+1))/הגדרות!$E$7)))</f>
        <v/>
      </c>
      <c r="J3534" s="0" t="str">
        <f aca="false">IF(I3534="","",IF(H3534-1&lt;הגדרות!$E$8*(הגדרות!$E$7+1),MOD(H3534-1,הגדרות!$E$7+1),MOD(H3534-1-הגדרות!$E$8*(הגדרות!$E$7+1),הגדרות!$E$7)))</f>
        <v/>
      </c>
      <c r="K3534" s="0" t="str">
        <f aca="false">IF(I3534="","",J3534*הגדרות!$E$6+I3534+1)</f>
        <v/>
      </c>
      <c r="L3534" s="0" t="str">
        <f aca="false">IF(K3534="","",MATCH(K3534,$F$2:$F$5001,0))</f>
        <v/>
      </c>
      <c r="M3534" s="0" t="str">
        <f aca="false">IF(I3534="","",INDEX(הגדרות!$A$2:$A$21,MOD(I3534+הגדרות!$E$9,הגדרות!$E$6)+1))</f>
        <v/>
      </c>
    </row>
    <row r="3535" customFormat="false" ht="15" hidden="false" customHeight="false" outlineLevel="0" collapsed="false">
      <c r="A3535" s="0" t="str">
        <f aca="false">IF('הדבקת לידים'!A3535="","",IF(ISNUMBER('הדבקת לידים'!A3535),IF(הגדרות!$E$2&gt;0,TEXT('הדבקת לידים'!A3535,REPT("0",הגדרות!$E$2)),TEXT('הדבקת לידים'!A3535,"0")),TRIM('הדבקת לידים'!A3535)))</f>
        <v/>
      </c>
      <c r="B3535" s="0" t="str">
        <f aca="false">IF('הדבקת לידים'!B3535="","",IF(ISNUMBER('הדבקת לידים'!B3535),IF(הגדרות!$E$3&gt;0,TEXT('הדבקת לידים'!B3535,REPT("0",הגדרות!$E$3)),TEXT('הדבקת לידים'!B3535,"0")),TRIM('הדבקת לידים'!B3535)))</f>
        <v/>
      </c>
      <c r="C3535" s="0" t="n">
        <f aca="false">IF(OR(A3535&lt;&gt;"",B3535&lt;&gt;""),1,0)</f>
        <v>0</v>
      </c>
      <c r="D3535" s="0" t="str">
        <f aca="false">IF(C3535=1,MOD(ABS(SIN(ROW()*12.9898+'הדבקת לידים'!$F$2*78.233+IFERROR(--RIGHT(A3535,6),LEN(A3535))*0.0137+IFERROR(--RIGHT(B3535,6),LEN(B3535))*0.0071))*43758.5453,1),"")</f>
        <v/>
      </c>
      <c r="E3535" s="0" t="str">
        <f aca="false">IF(C3535=1,INT(MOD(ABS(SIN(D3535*7919.123+ROW()*0.618+'הדבקת לידים'!$F$2*1.3))*43758.5453,1)*1000000)*10000+ROW(),"")</f>
        <v/>
      </c>
      <c r="F3535" s="0" t="str">
        <f aca="false">IF(E3535="","",RANK(E3535,$E$2:$E$5001,1))</f>
        <v/>
      </c>
      <c r="G3535" s="0" t="n">
        <f aca="false">IF(A3535="",0,IF(SUMPRODUCT(--($A$2:$A$5001=A3535))&gt;1,1,0))</f>
        <v>0</v>
      </c>
      <c r="H3535" s="0" t="n">
        <f aca="false">ROW()-1</f>
        <v>3534</v>
      </c>
      <c r="I3535" s="0" t="str">
        <f aca="false">IF(OR(הגדרות!$E$6=0,H3535&gt;הגדרות!$E$5),"",IF(H3535-1&lt;הגדרות!$E$8*(הגדרות!$E$7+1),INT((H3535-1)/(הגדרות!$E$7+1)),הגדרות!$E$8+INT((H3535-1-הגדרות!$E$8*(הגדרות!$E$7+1))/הגדרות!$E$7)))</f>
        <v/>
      </c>
      <c r="J3535" s="0" t="str">
        <f aca="false">IF(I3535="","",IF(H3535-1&lt;הגדרות!$E$8*(הגדרות!$E$7+1),MOD(H3535-1,הגדרות!$E$7+1),MOD(H3535-1-הגדרות!$E$8*(הגדרות!$E$7+1),הגדרות!$E$7)))</f>
        <v/>
      </c>
      <c r="K3535" s="0" t="str">
        <f aca="false">IF(I3535="","",J3535*הגדרות!$E$6+I3535+1)</f>
        <v/>
      </c>
      <c r="L3535" s="0" t="str">
        <f aca="false">IF(K3535="","",MATCH(K3535,$F$2:$F$5001,0))</f>
        <v/>
      </c>
      <c r="M3535" s="0" t="str">
        <f aca="false">IF(I3535="","",INDEX(הגדרות!$A$2:$A$21,MOD(I3535+הגדרות!$E$9,הגדרות!$E$6)+1))</f>
        <v/>
      </c>
    </row>
    <row r="3536" customFormat="false" ht="15" hidden="false" customHeight="false" outlineLevel="0" collapsed="false">
      <c r="A3536" s="0" t="str">
        <f aca="false">IF('הדבקת לידים'!A3536="","",IF(ISNUMBER('הדבקת לידים'!A3536),IF(הגדרות!$E$2&gt;0,TEXT('הדבקת לידים'!A3536,REPT("0",הגדרות!$E$2)),TEXT('הדבקת לידים'!A3536,"0")),TRIM('הדבקת לידים'!A3536)))</f>
        <v/>
      </c>
      <c r="B3536" s="0" t="str">
        <f aca="false">IF('הדבקת לידים'!B3536="","",IF(ISNUMBER('הדבקת לידים'!B3536),IF(הגדרות!$E$3&gt;0,TEXT('הדבקת לידים'!B3536,REPT("0",הגדרות!$E$3)),TEXT('הדבקת לידים'!B3536,"0")),TRIM('הדבקת לידים'!B3536)))</f>
        <v/>
      </c>
      <c r="C3536" s="0" t="n">
        <f aca="false">IF(OR(A3536&lt;&gt;"",B3536&lt;&gt;""),1,0)</f>
        <v>0</v>
      </c>
      <c r="D3536" s="0" t="str">
        <f aca="false">IF(C3536=1,MOD(ABS(SIN(ROW()*12.9898+'הדבקת לידים'!$F$2*78.233+IFERROR(--RIGHT(A3536,6),LEN(A3536))*0.0137+IFERROR(--RIGHT(B3536,6),LEN(B3536))*0.0071))*43758.5453,1),"")</f>
        <v/>
      </c>
      <c r="E3536" s="0" t="str">
        <f aca="false">IF(C3536=1,INT(MOD(ABS(SIN(D3536*7919.123+ROW()*0.618+'הדבקת לידים'!$F$2*1.3))*43758.5453,1)*1000000)*10000+ROW(),"")</f>
        <v/>
      </c>
      <c r="F3536" s="0" t="str">
        <f aca="false">IF(E3536="","",RANK(E3536,$E$2:$E$5001,1))</f>
        <v/>
      </c>
      <c r="G3536" s="0" t="n">
        <f aca="false">IF(A3536="",0,IF(SUMPRODUCT(--($A$2:$A$5001=A3536))&gt;1,1,0))</f>
        <v>0</v>
      </c>
      <c r="H3536" s="0" t="n">
        <f aca="false">ROW()-1</f>
        <v>3535</v>
      </c>
      <c r="I3536" s="0" t="str">
        <f aca="false">IF(OR(הגדרות!$E$6=0,H3536&gt;הגדרות!$E$5),"",IF(H3536-1&lt;הגדרות!$E$8*(הגדרות!$E$7+1),INT((H3536-1)/(הגדרות!$E$7+1)),הגדרות!$E$8+INT((H3536-1-הגדרות!$E$8*(הגדרות!$E$7+1))/הגדרות!$E$7)))</f>
        <v/>
      </c>
      <c r="J3536" s="0" t="str">
        <f aca="false">IF(I3536="","",IF(H3536-1&lt;הגדרות!$E$8*(הגדרות!$E$7+1),MOD(H3536-1,הגדרות!$E$7+1),MOD(H3536-1-הגדרות!$E$8*(הגדרות!$E$7+1),הגדרות!$E$7)))</f>
        <v/>
      </c>
      <c r="K3536" s="0" t="str">
        <f aca="false">IF(I3536="","",J3536*הגדרות!$E$6+I3536+1)</f>
        <v/>
      </c>
      <c r="L3536" s="0" t="str">
        <f aca="false">IF(K3536="","",MATCH(K3536,$F$2:$F$5001,0))</f>
        <v/>
      </c>
      <c r="M3536" s="0" t="str">
        <f aca="false">IF(I3536="","",INDEX(הגדרות!$A$2:$A$21,MOD(I3536+הגדרות!$E$9,הגדרות!$E$6)+1))</f>
        <v/>
      </c>
    </row>
    <row r="3537" customFormat="false" ht="15" hidden="false" customHeight="false" outlineLevel="0" collapsed="false">
      <c r="A3537" s="0" t="str">
        <f aca="false">IF('הדבקת לידים'!A3537="","",IF(ISNUMBER('הדבקת לידים'!A3537),IF(הגדרות!$E$2&gt;0,TEXT('הדבקת לידים'!A3537,REPT("0",הגדרות!$E$2)),TEXT('הדבקת לידים'!A3537,"0")),TRIM('הדבקת לידים'!A3537)))</f>
        <v/>
      </c>
      <c r="B3537" s="0" t="str">
        <f aca="false">IF('הדבקת לידים'!B3537="","",IF(ISNUMBER('הדבקת לידים'!B3537),IF(הגדרות!$E$3&gt;0,TEXT('הדבקת לידים'!B3537,REPT("0",הגדרות!$E$3)),TEXT('הדבקת לידים'!B3537,"0")),TRIM('הדבקת לידים'!B3537)))</f>
        <v/>
      </c>
      <c r="C3537" s="0" t="n">
        <f aca="false">IF(OR(A3537&lt;&gt;"",B3537&lt;&gt;""),1,0)</f>
        <v>0</v>
      </c>
      <c r="D3537" s="0" t="str">
        <f aca="false">IF(C3537=1,MOD(ABS(SIN(ROW()*12.9898+'הדבקת לידים'!$F$2*78.233+IFERROR(--RIGHT(A3537,6),LEN(A3537))*0.0137+IFERROR(--RIGHT(B3537,6),LEN(B3537))*0.0071))*43758.5453,1),"")</f>
        <v/>
      </c>
      <c r="E3537" s="0" t="str">
        <f aca="false">IF(C3537=1,INT(MOD(ABS(SIN(D3537*7919.123+ROW()*0.618+'הדבקת לידים'!$F$2*1.3))*43758.5453,1)*1000000)*10000+ROW(),"")</f>
        <v/>
      </c>
      <c r="F3537" s="0" t="str">
        <f aca="false">IF(E3537="","",RANK(E3537,$E$2:$E$5001,1))</f>
        <v/>
      </c>
      <c r="G3537" s="0" t="n">
        <f aca="false">IF(A3537="",0,IF(SUMPRODUCT(--($A$2:$A$5001=A3537))&gt;1,1,0))</f>
        <v>0</v>
      </c>
      <c r="H3537" s="0" t="n">
        <f aca="false">ROW()-1</f>
        <v>3536</v>
      </c>
      <c r="I3537" s="0" t="str">
        <f aca="false">IF(OR(הגדרות!$E$6=0,H3537&gt;הגדרות!$E$5),"",IF(H3537-1&lt;הגדרות!$E$8*(הגדרות!$E$7+1),INT((H3537-1)/(הגדרות!$E$7+1)),הגדרות!$E$8+INT((H3537-1-הגדרות!$E$8*(הגדרות!$E$7+1))/הגדרות!$E$7)))</f>
        <v/>
      </c>
      <c r="J3537" s="0" t="str">
        <f aca="false">IF(I3537="","",IF(H3537-1&lt;הגדרות!$E$8*(הגדרות!$E$7+1),MOD(H3537-1,הגדרות!$E$7+1),MOD(H3537-1-הגדרות!$E$8*(הגדרות!$E$7+1),הגדרות!$E$7)))</f>
        <v/>
      </c>
      <c r="K3537" s="0" t="str">
        <f aca="false">IF(I3537="","",J3537*הגדרות!$E$6+I3537+1)</f>
        <v/>
      </c>
      <c r="L3537" s="0" t="str">
        <f aca="false">IF(K3537="","",MATCH(K3537,$F$2:$F$5001,0))</f>
        <v/>
      </c>
      <c r="M3537" s="0" t="str">
        <f aca="false">IF(I3537="","",INDEX(הגדרות!$A$2:$A$21,MOD(I3537+הגדרות!$E$9,הגדרות!$E$6)+1))</f>
        <v/>
      </c>
    </row>
    <row r="3538" customFormat="false" ht="15" hidden="false" customHeight="false" outlineLevel="0" collapsed="false">
      <c r="A3538" s="0" t="str">
        <f aca="false">IF('הדבקת לידים'!A3538="","",IF(ISNUMBER('הדבקת לידים'!A3538),IF(הגדרות!$E$2&gt;0,TEXT('הדבקת לידים'!A3538,REPT("0",הגדרות!$E$2)),TEXT('הדבקת לידים'!A3538,"0")),TRIM('הדבקת לידים'!A3538)))</f>
        <v/>
      </c>
      <c r="B3538" s="0" t="str">
        <f aca="false">IF('הדבקת לידים'!B3538="","",IF(ISNUMBER('הדבקת לידים'!B3538),IF(הגדרות!$E$3&gt;0,TEXT('הדבקת לידים'!B3538,REPT("0",הגדרות!$E$3)),TEXT('הדבקת לידים'!B3538,"0")),TRIM('הדבקת לידים'!B3538)))</f>
        <v/>
      </c>
      <c r="C3538" s="0" t="n">
        <f aca="false">IF(OR(A3538&lt;&gt;"",B3538&lt;&gt;""),1,0)</f>
        <v>0</v>
      </c>
      <c r="D3538" s="0" t="str">
        <f aca="false">IF(C3538=1,MOD(ABS(SIN(ROW()*12.9898+'הדבקת לידים'!$F$2*78.233+IFERROR(--RIGHT(A3538,6),LEN(A3538))*0.0137+IFERROR(--RIGHT(B3538,6),LEN(B3538))*0.0071))*43758.5453,1),"")</f>
        <v/>
      </c>
      <c r="E3538" s="0" t="str">
        <f aca="false">IF(C3538=1,INT(MOD(ABS(SIN(D3538*7919.123+ROW()*0.618+'הדבקת לידים'!$F$2*1.3))*43758.5453,1)*1000000)*10000+ROW(),"")</f>
        <v/>
      </c>
      <c r="F3538" s="0" t="str">
        <f aca="false">IF(E3538="","",RANK(E3538,$E$2:$E$5001,1))</f>
        <v/>
      </c>
      <c r="G3538" s="0" t="n">
        <f aca="false">IF(A3538="",0,IF(SUMPRODUCT(--($A$2:$A$5001=A3538))&gt;1,1,0))</f>
        <v>0</v>
      </c>
      <c r="H3538" s="0" t="n">
        <f aca="false">ROW()-1</f>
        <v>3537</v>
      </c>
      <c r="I3538" s="0" t="str">
        <f aca="false">IF(OR(הגדרות!$E$6=0,H3538&gt;הגדרות!$E$5),"",IF(H3538-1&lt;הגדרות!$E$8*(הגדרות!$E$7+1),INT((H3538-1)/(הגדרות!$E$7+1)),הגדרות!$E$8+INT((H3538-1-הגדרות!$E$8*(הגדרות!$E$7+1))/הגדרות!$E$7)))</f>
        <v/>
      </c>
      <c r="J3538" s="0" t="str">
        <f aca="false">IF(I3538="","",IF(H3538-1&lt;הגדרות!$E$8*(הגדרות!$E$7+1),MOD(H3538-1,הגדרות!$E$7+1),MOD(H3538-1-הגדרות!$E$8*(הגדרות!$E$7+1),הגדרות!$E$7)))</f>
        <v/>
      </c>
      <c r="K3538" s="0" t="str">
        <f aca="false">IF(I3538="","",J3538*הגדרות!$E$6+I3538+1)</f>
        <v/>
      </c>
      <c r="L3538" s="0" t="str">
        <f aca="false">IF(K3538="","",MATCH(K3538,$F$2:$F$5001,0))</f>
        <v/>
      </c>
      <c r="M3538" s="0" t="str">
        <f aca="false">IF(I3538="","",INDEX(הגדרות!$A$2:$A$21,MOD(I3538+הגדרות!$E$9,הגדרות!$E$6)+1))</f>
        <v/>
      </c>
    </row>
    <row r="3539" customFormat="false" ht="15" hidden="false" customHeight="false" outlineLevel="0" collapsed="false">
      <c r="A3539" s="0" t="str">
        <f aca="false">IF('הדבקת לידים'!A3539="","",IF(ISNUMBER('הדבקת לידים'!A3539),IF(הגדרות!$E$2&gt;0,TEXT('הדבקת לידים'!A3539,REPT("0",הגדרות!$E$2)),TEXT('הדבקת לידים'!A3539,"0")),TRIM('הדבקת לידים'!A3539)))</f>
        <v/>
      </c>
      <c r="B3539" s="0" t="str">
        <f aca="false">IF('הדבקת לידים'!B3539="","",IF(ISNUMBER('הדבקת לידים'!B3539),IF(הגדרות!$E$3&gt;0,TEXT('הדבקת לידים'!B3539,REPT("0",הגדרות!$E$3)),TEXT('הדבקת לידים'!B3539,"0")),TRIM('הדבקת לידים'!B3539)))</f>
        <v/>
      </c>
      <c r="C3539" s="0" t="n">
        <f aca="false">IF(OR(A3539&lt;&gt;"",B3539&lt;&gt;""),1,0)</f>
        <v>0</v>
      </c>
      <c r="D3539" s="0" t="str">
        <f aca="false">IF(C3539=1,MOD(ABS(SIN(ROW()*12.9898+'הדבקת לידים'!$F$2*78.233+IFERROR(--RIGHT(A3539,6),LEN(A3539))*0.0137+IFERROR(--RIGHT(B3539,6),LEN(B3539))*0.0071))*43758.5453,1),"")</f>
        <v/>
      </c>
      <c r="E3539" s="0" t="str">
        <f aca="false">IF(C3539=1,INT(MOD(ABS(SIN(D3539*7919.123+ROW()*0.618+'הדבקת לידים'!$F$2*1.3))*43758.5453,1)*1000000)*10000+ROW(),"")</f>
        <v/>
      </c>
      <c r="F3539" s="0" t="str">
        <f aca="false">IF(E3539="","",RANK(E3539,$E$2:$E$5001,1))</f>
        <v/>
      </c>
      <c r="G3539" s="0" t="n">
        <f aca="false">IF(A3539="",0,IF(SUMPRODUCT(--($A$2:$A$5001=A3539))&gt;1,1,0))</f>
        <v>0</v>
      </c>
      <c r="H3539" s="0" t="n">
        <f aca="false">ROW()-1</f>
        <v>3538</v>
      </c>
      <c r="I3539" s="0" t="str">
        <f aca="false">IF(OR(הגדרות!$E$6=0,H3539&gt;הגדרות!$E$5),"",IF(H3539-1&lt;הגדרות!$E$8*(הגדרות!$E$7+1),INT((H3539-1)/(הגדרות!$E$7+1)),הגדרות!$E$8+INT((H3539-1-הגדרות!$E$8*(הגדרות!$E$7+1))/הגדרות!$E$7)))</f>
        <v/>
      </c>
      <c r="J3539" s="0" t="str">
        <f aca="false">IF(I3539="","",IF(H3539-1&lt;הגדרות!$E$8*(הגדרות!$E$7+1),MOD(H3539-1,הגדרות!$E$7+1),MOD(H3539-1-הגדרות!$E$8*(הגדרות!$E$7+1),הגדרות!$E$7)))</f>
        <v/>
      </c>
      <c r="K3539" s="0" t="str">
        <f aca="false">IF(I3539="","",J3539*הגדרות!$E$6+I3539+1)</f>
        <v/>
      </c>
      <c r="L3539" s="0" t="str">
        <f aca="false">IF(K3539="","",MATCH(K3539,$F$2:$F$5001,0))</f>
        <v/>
      </c>
      <c r="M3539" s="0" t="str">
        <f aca="false">IF(I3539="","",INDEX(הגדרות!$A$2:$A$21,MOD(I3539+הגדרות!$E$9,הגדרות!$E$6)+1))</f>
        <v/>
      </c>
    </row>
    <row r="3540" customFormat="false" ht="15" hidden="false" customHeight="false" outlineLevel="0" collapsed="false">
      <c r="A3540" s="0" t="str">
        <f aca="false">IF('הדבקת לידים'!A3540="","",IF(ISNUMBER('הדבקת לידים'!A3540),IF(הגדרות!$E$2&gt;0,TEXT('הדבקת לידים'!A3540,REPT("0",הגדרות!$E$2)),TEXT('הדבקת לידים'!A3540,"0")),TRIM('הדבקת לידים'!A3540)))</f>
        <v/>
      </c>
      <c r="B3540" s="0" t="str">
        <f aca="false">IF('הדבקת לידים'!B3540="","",IF(ISNUMBER('הדבקת לידים'!B3540),IF(הגדרות!$E$3&gt;0,TEXT('הדבקת לידים'!B3540,REPT("0",הגדרות!$E$3)),TEXT('הדבקת לידים'!B3540,"0")),TRIM('הדבקת לידים'!B3540)))</f>
        <v/>
      </c>
      <c r="C3540" s="0" t="n">
        <f aca="false">IF(OR(A3540&lt;&gt;"",B3540&lt;&gt;""),1,0)</f>
        <v>0</v>
      </c>
      <c r="D3540" s="0" t="str">
        <f aca="false">IF(C3540=1,MOD(ABS(SIN(ROW()*12.9898+'הדבקת לידים'!$F$2*78.233+IFERROR(--RIGHT(A3540,6),LEN(A3540))*0.0137+IFERROR(--RIGHT(B3540,6),LEN(B3540))*0.0071))*43758.5453,1),"")</f>
        <v/>
      </c>
      <c r="E3540" s="0" t="str">
        <f aca="false">IF(C3540=1,INT(MOD(ABS(SIN(D3540*7919.123+ROW()*0.618+'הדבקת לידים'!$F$2*1.3))*43758.5453,1)*1000000)*10000+ROW(),"")</f>
        <v/>
      </c>
      <c r="F3540" s="0" t="str">
        <f aca="false">IF(E3540="","",RANK(E3540,$E$2:$E$5001,1))</f>
        <v/>
      </c>
      <c r="G3540" s="0" t="n">
        <f aca="false">IF(A3540="",0,IF(SUMPRODUCT(--($A$2:$A$5001=A3540))&gt;1,1,0))</f>
        <v>0</v>
      </c>
      <c r="H3540" s="0" t="n">
        <f aca="false">ROW()-1</f>
        <v>3539</v>
      </c>
      <c r="I3540" s="0" t="str">
        <f aca="false">IF(OR(הגדרות!$E$6=0,H3540&gt;הגדרות!$E$5),"",IF(H3540-1&lt;הגדרות!$E$8*(הגדרות!$E$7+1),INT((H3540-1)/(הגדרות!$E$7+1)),הגדרות!$E$8+INT((H3540-1-הגדרות!$E$8*(הגדרות!$E$7+1))/הגדרות!$E$7)))</f>
        <v/>
      </c>
      <c r="J3540" s="0" t="str">
        <f aca="false">IF(I3540="","",IF(H3540-1&lt;הגדרות!$E$8*(הגדרות!$E$7+1),MOD(H3540-1,הגדרות!$E$7+1),MOD(H3540-1-הגדרות!$E$8*(הגדרות!$E$7+1),הגדרות!$E$7)))</f>
        <v/>
      </c>
      <c r="K3540" s="0" t="str">
        <f aca="false">IF(I3540="","",J3540*הגדרות!$E$6+I3540+1)</f>
        <v/>
      </c>
      <c r="L3540" s="0" t="str">
        <f aca="false">IF(K3540="","",MATCH(K3540,$F$2:$F$5001,0))</f>
        <v/>
      </c>
      <c r="M3540" s="0" t="str">
        <f aca="false">IF(I3540="","",INDEX(הגדרות!$A$2:$A$21,MOD(I3540+הגדרות!$E$9,הגדרות!$E$6)+1))</f>
        <v/>
      </c>
    </row>
    <row r="3541" customFormat="false" ht="15" hidden="false" customHeight="false" outlineLevel="0" collapsed="false">
      <c r="A3541" s="0" t="str">
        <f aca="false">IF('הדבקת לידים'!A3541="","",IF(ISNUMBER('הדבקת לידים'!A3541),IF(הגדרות!$E$2&gt;0,TEXT('הדבקת לידים'!A3541,REPT("0",הגדרות!$E$2)),TEXT('הדבקת לידים'!A3541,"0")),TRIM('הדבקת לידים'!A3541)))</f>
        <v/>
      </c>
      <c r="B3541" s="0" t="str">
        <f aca="false">IF('הדבקת לידים'!B3541="","",IF(ISNUMBER('הדבקת לידים'!B3541),IF(הגדרות!$E$3&gt;0,TEXT('הדבקת לידים'!B3541,REPT("0",הגדרות!$E$3)),TEXT('הדבקת לידים'!B3541,"0")),TRIM('הדבקת לידים'!B3541)))</f>
        <v/>
      </c>
      <c r="C3541" s="0" t="n">
        <f aca="false">IF(OR(A3541&lt;&gt;"",B3541&lt;&gt;""),1,0)</f>
        <v>0</v>
      </c>
      <c r="D3541" s="0" t="str">
        <f aca="false">IF(C3541=1,MOD(ABS(SIN(ROW()*12.9898+'הדבקת לידים'!$F$2*78.233+IFERROR(--RIGHT(A3541,6),LEN(A3541))*0.0137+IFERROR(--RIGHT(B3541,6),LEN(B3541))*0.0071))*43758.5453,1),"")</f>
        <v/>
      </c>
      <c r="E3541" s="0" t="str">
        <f aca="false">IF(C3541=1,INT(MOD(ABS(SIN(D3541*7919.123+ROW()*0.618+'הדבקת לידים'!$F$2*1.3))*43758.5453,1)*1000000)*10000+ROW(),"")</f>
        <v/>
      </c>
      <c r="F3541" s="0" t="str">
        <f aca="false">IF(E3541="","",RANK(E3541,$E$2:$E$5001,1))</f>
        <v/>
      </c>
      <c r="G3541" s="0" t="n">
        <f aca="false">IF(A3541="",0,IF(SUMPRODUCT(--($A$2:$A$5001=A3541))&gt;1,1,0))</f>
        <v>0</v>
      </c>
      <c r="H3541" s="0" t="n">
        <f aca="false">ROW()-1</f>
        <v>3540</v>
      </c>
      <c r="I3541" s="0" t="str">
        <f aca="false">IF(OR(הגדרות!$E$6=0,H3541&gt;הגדרות!$E$5),"",IF(H3541-1&lt;הגדרות!$E$8*(הגדרות!$E$7+1),INT((H3541-1)/(הגדרות!$E$7+1)),הגדרות!$E$8+INT((H3541-1-הגדרות!$E$8*(הגדרות!$E$7+1))/הגדרות!$E$7)))</f>
        <v/>
      </c>
      <c r="J3541" s="0" t="str">
        <f aca="false">IF(I3541="","",IF(H3541-1&lt;הגדרות!$E$8*(הגדרות!$E$7+1),MOD(H3541-1,הגדרות!$E$7+1),MOD(H3541-1-הגדרות!$E$8*(הגדרות!$E$7+1),הגדרות!$E$7)))</f>
        <v/>
      </c>
      <c r="K3541" s="0" t="str">
        <f aca="false">IF(I3541="","",J3541*הגדרות!$E$6+I3541+1)</f>
        <v/>
      </c>
      <c r="L3541" s="0" t="str">
        <f aca="false">IF(K3541="","",MATCH(K3541,$F$2:$F$5001,0))</f>
        <v/>
      </c>
      <c r="M3541" s="0" t="str">
        <f aca="false">IF(I3541="","",INDEX(הגדרות!$A$2:$A$21,MOD(I3541+הגדרות!$E$9,הגדרות!$E$6)+1))</f>
        <v/>
      </c>
    </row>
    <row r="3542" customFormat="false" ht="15" hidden="false" customHeight="false" outlineLevel="0" collapsed="false">
      <c r="A3542" s="0" t="str">
        <f aca="false">IF('הדבקת לידים'!A3542="","",IF(ISNUMBER('הדבקת לידים'!A3542),IF(הגדרות!$E$2&gt;0,TEXT('הדבקת לידים'!A3542,REPT("0",הגדרות!$E$2)),TEXT('הדבקת לידים'!A3542,"0")),TRIM('הדבקת לידים'!A3542)))</f>
        <v/>
      </c>
      <c r="B3542" s="0" t="str">
        <f aca="false">IF('הדבקת לידים'!B3542="","",IF(ISNUMBER('הדבקת לידים'!B3542),IF(הגדרות!$E$3&gt;0,TEXT('הדבקת לידים'!B3542,REPT("0",הגדרות!$E$3)),TEXT('הדבקת לידים'!B3542,"0")),TRIM('הדבקת לידים'!B3542)))</f>
        <v/>
      </c>
      <c r="C3542" s="0" t="n">
        <f aca="false">IF(OR(A3542&lt;&gt;"",B3542&lt;&gt;""),1,0)</f>
        <v>0</v>
      </c>
      <c r="D3542" s="0" t="str">
        <f aca="false">IF(C3542=1,MOD(ABS(SIN(ROW()*12.9898+'הדבקת לידים'!$F$2*78.233+IFERROR(--RIGHT(A3542,6),LEN(A3542))*0.0137+IFERROR(--RIGHT(B3542,6),LEN(B3542))*0.0071))*43758.5453,1),"")</f>
        <v/>
      </c>
      <c r="E3542" s="0" t="str">
        <f aca="false">IF(C3542=1,INT(MOD(ABS(SIN(D3542*7919.123+ROW()*0.618+'הדבקת לידים'!$F$2*1.3))*43758.5453,1)*1000000)*10000+ROW(),"")</f>
        <v/>
      </c>
      <c r="F3542" s="0" t="str">
        <f aca="false">IF(E3542="","",RANK(E3542,$E$2:$E$5001,1))</f>
        <v/>
      </c>
      <c r="G3542" s="0" t="n">
        <f aca="false">IF(A3542="",0,IF(SUMPRODUCT(--($A$2:$A$5001=A3542))&gt;1,1,0))</f>
        <v>0</v>
      </c>
      <c r="H3542" s="0" t="n">
        <f aca="false">ROW()-1</f>
        <v>3541</v>
      </c>
      <c r="I3542" s="0" t="str">
        <f aca="false">IF(OR(הגדרות!$E$6=0,H3542&gt;הגדרות!$E$5),"",IF(H3542-1&lt;הגדרות!$E$8*(הגדרות!$E$7+1),INT((H3542-1)/(הגדרות!$E$7+1)),הגדרות!$E$8+INT((H3542-1-הגדרות!$E$8*(הגדרות!$E$7+1))/הגדרות!$E$7)))</f>
        <v/>
      </c>
      <c r="J3542" s="0" t="str">
        <f aca="false">IF(I3542="","",IF(H3542-1&lt;הגדרות!$E$8*(הגדרות!$E$7+1),MOD(H3542-1,הגדרות!$E$7+1),MOD(H3542-1-הגדרות!$E$8*(הגדרות!$E$7+1),הגדרות!$E$7)))</f>
        <v/>
      </c>
      <c r="K3542" s="0" t="str">
        <f aca="false">IF(I3542="","",J3542*הגדרות!$E$6+I3542+1)</f>
        <v/>
      </c>
      <c r="L3542" s="0" t="str">
        <f aca="false">IF(K3542="","",MATCH(K3542,$F$2:$F$5001,0))</f>
        <v/>
      </c>
      <c r="M3542" s="0" t="str">
        <f aca="false">IF(I3542="","",INDEX(הגדרות!$A$2:$A$21,MOD(I3542+הגדרות!$E$9,הגדרות!$E$6)+1))</f>
        <v/>
      </c>
    </row>
    <row r="3543" customFormat="false" ht="15" hidden="false" customHeight="false" outlineLevel="0" collapsed="false">
      <c r="A3543" s="0" t="str">
        <f aca="false">IF('הדבקת לידים'!A3543="","",IF(ISNUMBER('הדבקת לידים'!A3543),IF(הגדרות!$E$2&gt;0,TEXT('הדבקת לידים'!A3543,REPT("0",הגדרות!$E$2)),TEXT('הדבקת לידים'!A3543,"0")),TRIM('הדבקת לידים'!A3543)))</f>
        <v/>
      </c>
      <c r="B3543" s="0" t="str">
        <f aca="false">IF('הדבקת לידים'!B3543="","",IF(ISNUMBER('הדבקת לידים'!B3543),IF(הגדרות!$E$3&gt;0,TEXT('הדבקת לידים'!B3543,REPT("0",הגדרות!$E$3)),TEXT('הדבקת לידים'!B3543,"0")),TRIM('הדבקת לידים'!B3543)))</f>
        <v/>
      </c>
      <c r="C3543" s="0" t="n">
        <f aca="false">IF(OR(A3543&lt;&gt;"",B3543&lt;&gt;""),1,0)</f>
        <v>0</v>
      </c>
      <c r="D3543" s="0" t="str">
        <f aca="false">IF(C3543=1,MOD(ABS(SIN(ROW()*12.9898+'הדבקת לידים'!$F$2*78.233+IFERROR(--RIGHT(A3543,6),LEN(A3543))*0.0137+IFERROR(--RIGHT(B3543,6),LEN(B3543))*0.0071))*43758.5453,1),"")</f>
        <v/>
      </c>
      <c r="E3543" s="0" t="str">
        <f aca="false">IF(C3543=1,INT(MOD(ABS(SIN(D3543*7919.123+ROW()*0.618+'הדבקת לידים'!$F$2*1.3))*43758.5453,1)*1000000)*10000+ROW(),"")</f>
        <v/>
      </c>
      <c r="F3543" s="0" t="str">
        <f aca="false">IF(E3543="","",RANK(E3543,$E$2:$E$5001,1))</f>
        <v/>
      </c>
      <c r="G3543" s="0" t="n">
        <f aca="false">IF(A3543="",0,IF(SUMPRODUCT(--($A$2:$A$5001=A3543))&gt;1,1,0))</f>
        <v>0</v>
      </c>
      <c r="H3543" s="0" t="n">
        <f aca="false">ROW()-1</f>
        <v>3542</v>
      </c>
      <c r="I3543" s="0" t="str">
        <f aca="false">IF(OR(הגדרות!$E$6=0,H3543&gt;הגדרות!$E$5),"",IF(H3543-1&lt;הגדרות!$E$8*(הגדרות!$E$7+1),INT((H3543-1)/(הגדרות!$E$7+1)),הגדרות!$E$8+INT((H3543-1-הגדרות!$E$8*(הגדרות!$E$7+1))/הגדרות!$E$7)))</f>
        <v/>
      </c>
      <c r="J3543" s="0" t="str">
        <f aca="false">IF(I3543="","",IF(H3543-1&lt;הגדרות!$E$8*(הגדרות!$E$7+1),MOD(H3543-1,הגדרות!$E$7+1),MOD(H3543-1-הגדרות!$E$8*(הגדרות!$E$7+1),הגדרות!$E$7)))</f>
        <v/>
      </c>
      <c r="K3543" s="0" t="str">
        <f aca="false">IF(I3543="","",J3543*הגדרות!$E$6+I3543+1)</f>
        <v/>
      </c>
      <c r="L3543" s="0" t="str">
        <f aca="false">IF(K3543="","",MATCH(K3543,$F$2:$F$5001,0))</f>
        <v/>
      </c>
      <c r="M3543" s="0" t="str">
        <f aca="false">IF(I3543="","",INDEX(הגדרות!$A$2:$A$21,MOD(I3543+הגדרות!$E$9,הגדרות!$E$6)+1))</f>
        <v/>
      </c>
    </row>
    <row r="3544" customFormat="false" ht="15" hidden="false" customHeight="false" outlineLevel="0" collapsed="false">
      <c r="A3544" s="0" t="str">
        <f aca="false">IF('הדבקת לידים'!A3544="","",IF(ISNUMBER('הדבקת לידים'!A3544),IF(הגדרות!$E$2&gt;0,TEXT('הדבקת לידים'!A3544,REPT("0",הגדרות!$E$2)),TEXT('הדבקת לידים'!A3544,"0")),TRIM('הדבקת לידים'!A3544)))</f>
        <v/>
      </c>
      <c r="B3544" s="0" t="str">
        <f aca="false">IF('הדבקת לידים'!B3544="","",IF(ISNUMBER('הדבקת לידים'!B3544),IF(הגדרות!$E$3&gt;0,TEXT('הדבקת לידים'!B3544,REPT("0",הגדרות!$E$3)),TEXT('הדבקת לידים'!B3544,"0")),TRIM('הדבקת לידים'!B3544)))</f>
        <v/>
      </c>
      <c r="C3544" s="0" t="n">
        <f aca="false">IF(OR(A3544&lt;&gt;"",B3544&lt;&gt;""),1,0)</f>
        <v>0</v>
      </c>
      <c r="D3544" s="0" t="str">
        <f aca="false">IF(C3544=1,MOD(ABS(SIN(ROW()*12.9898+'הדבקת לידים'!$F$2*78.233+IFERROR(--RIGHT(A3544,6),LEN(A3544))*0.0137+IFERROR(--RIGHT(B3544,6),LEN(B3544))*0.0071))*43758.5453,1),"")</f>
        <v/>
      </c>
      <c r="E3544" s="0" t="str">
        <f aca="false">IF(C3544=1,INT(MOD(ABS(SIN(D3544*7919.123+ROW()*0.618+'הדבקת לידים'!$F$2*1.3))*43758.5453,1)*1000000)*10000+ROW(),"")</f>
        <v/>
      </c>
      <c r="F3544" s="0" t="str">
        <f aca="false">IF(E3544="","",RANK(E3544,$E$2:$E$5001,1))</f>
        <v/>
      </c>
      <c r="G3544" s="0" t="n">
        <f aca="false">IF(A3544="",0,IF(SUMPRODUCT(--($A$2:$A$5001=A3544))&gt;1,1,0))</f>
        <v>0</v>
      </c>
      <c r="H3544" s="0" t="n">
        <f aca="false">ROW()-1</f>
        <v>3543</v>
      </c>
      <c r="I3544" s="0" t="str">
        <f aca="false">IF(OR(הגדרות!$E$6=0,H3544&gt;הגדרות!$E$5),"",IF(H3544-1&lt;הגדרות!$E$8*(הגדרות!$E$7+1),INT((H3544-1)/(הגדרות!$E$7+1)),הגדרות!$E$8+INT((H3544-1-הגדרות!$E$8*(הגדרות!$E$7+1))/הגדרות!$E$7)))</f>
        <v/>
      </c>
      <c r="J3544" s="0" t="str">
        <f aca="false">IF(I3544="","",IF(H3544-1&lt;הגדרות!$E$8*(הגדרות!$E$7+1),MOD(H3544-1,הגדרות!$E$7+1),MOD(H3544-1-הגדרות!$E$8*(הגדרות!$E$7+1),הגדרות!$E$7)))</f>
        <v/>
      </c>
      <c r="K3544" s="0" t="str">
        <f aca="false">IF(I3544="","",J3544*הגדרות!$E$6+I3544+1)</f>
        <v/>
      </c>
      <c r="L3544" s="0" t="str">
        <f aca="false">IF(K3544="","",MATCH(K3544,$F$2:$F$5001,0))</f>
        <v/>
      </c>
      <c r="M3544" s="0" t="str">
        <f aca="false">IF(I3544="","",INDEX(הגדרות!$A$2:$A$21,MOD(I3544+הגדרות!$E$9,הגדרות!$E$6)+1))</f>
        <v/>
      </c>
    </row>
    <row r="3545" customFormat="false" ht="15" hidden="false" customHeight="false" outlineLevel="0" collapsed="false">
      <c r="A3545" s="0" t="str">
        <f aca="false">IF('הדבקת לידים'!A3545="","",IF(ISNUMBER('הדבקת לידים'!A3545),IF(הגדרות!$E$2&gt;0,TEXT('הדבקת לידים'!A3545,REPT("0",הגדרות!$E$2)),TEXT('הדבקת לידים'!A3545,"0")),TRIM('הדבקת לידים'!A3545)))</f>
        <v/>
      </c>
      <c r="B3545" s="0" t="str">
        <f aca="false">IF('הדבקת לידים'!B3545="","",IF(ISNUMBER('הדבקת לידים'!B3545),IF(הגדרות!$E$3&gt;0,TEXT('הדבקת לידים'!B3545,REPT("0",הגדרות!$E$3)),TEXT('הדבקת לידים'!B3545,"0")),TRIM('הדבקת לידים'!B3545)))</f>
        <v/>
      </c>
      <c r="C3545" s="0" t="n">
        <f aca="false">IF(OR(A3545&lt;&gt;"",B3545&lt;&gt;""),1,0)</f>
        <v>0</v>
      </c>
      <c r="D3545" s="0" t="str">
        <f aca="false">IF(C3545=1,MOD(ABS(SIN(ROW()*12.9898+'הדבקת לידים'!$F$2*78.233+IFERROR(--RIGHT(A3545,6),LEN(A3545))*0.0137+IFERROR(--RIGHT(B3545,6),LEN(B3545))*0.0071))*43758.5453,1),"")</f>
        <v/>
      </c>
      <c r="E3545" s="0" t="str">
        <f aca="false">IF(C3545=1,INT(MOD(ABS(SIN(D3545*7919.123+ROW()*0.618+'הדבקת לידים'!$F$2*1.3))*43758.5453,1)*1000000)*10000+ROW(),"")</f>
        <v/>
      </c>
      <c r="F3545" s="0" t="str">
        <f aca="false">IF(E3545="","",RANK(E3545,$E$2:$E$5001,1))</f>
        <v/>
      </c>
      <c r="G3545" s="0" t="n">
        <f aca="false">IF(A3545="",0,IF(SUMPRODUCT(--($A$2:$A$5001=A3545))&gt;1,1,0))</f>
        <v>0</v>
      </c>
      <c r="H3545" s="0" t="n">
        <f aca="false">ROW()-1</f>
        <v>3544</v>
      </c>
      <c r="I3545" s="0" t="str">
        <f aca="false">IF(OR(הגדרות!$E$6=0,H3545&gt;הגדרות!$E$5),"",IF(H3545-1&lt;הגדרות!$E$8*(הגדרות!$E$7+1),INT((H3545-1)/(הגדרות!$E$7+1)),הגדרות!$E$8+INT((H3545-1-הגדרות!$E$8*(הגדרות!$E$7+1))/הגדרות!$E$7)))</f>
        <v/>
      </c>
      <c r="J3545" s="0" t="str">
        <f aca="false">IF(I3545="","",IF(H3545-1&lt;הגדרות!$E$8*(הגדרות!$E$7+1),MOD(H3545-1,הגדרות!$E$7+1),MOD(H3545-1-הגדרות!$E$8*(הגדרות!$E$7+1),הגדרות!$E$7)))</f>
        <v/>
      </c>
      <c r="K3545" s="0" t="str">
        <f aca="false">IF(I3545="","",J3545*הגדרות!$E$6+I3545+1)</f>
        <v/>
      </c>
      <c r="L3545" s="0" t="str">
        <f aca="false">IF(K3545="","",MATCH(K3545,$F$2:$F$5001,0))</f>
        <v/>
      </c>
      <c r="M3545" s="0" t="str">
        <f aca="false">IF(I3545="","",INDEX(הגדרות!$A$2:$A$21,MOD(I3545+הגדרות!$E$9,הגדרות!$E$6)+1))</f>
        <v/>
      </c>
    </row>
    <row r="3546" customFormat="false" ht="15" hidden="false" customHeight="false" outlineLevel="0" collapsed="false">
      <c r="A3546" s="0" t="str">
        <f aca="false">IF('הדבקת לידים'!A3546="","",IF(ISNUMBER('הדבקת לידים'!A3546),IF(הגדרות!$E$2&gt;0,TEXT('הדבקת לידים'!A3546,REPT("0",הגדרות!$E$2)),TEXT('הדבקת לידים'!A3546,"0")),TRIM('הדבקת לידים'!A3546)))</f>
        <v/>
      </c>
      <c r="B3546" s="0" t="str">
        <f aca="false">IF('הדבקת לידים'!B3546="","",IF(ISNUMBER('הדבקת לידים'!B3546),IF(הגדרות!$E$3&gt;0,TEXT('הדבקת לידים'!B3546,REPT("0",הגדרות!$E$3)),TEXT('הדבקת לידים'!B3546,"0")),TRIM('הדבקת לידים'!B3546)))</f>
        <v/>
      </c>
      <c r="C3546" s="0" t="n">
        <f aca="false">IF(OR(A3546&lt;&gt;"",B3546&lt;&gt;""),1,0)</f>
        <v>0</v>
      </c>
      <c r="D3546" s="0" t="str">
        <f aca="false">IF(C3546=1,MOD(ABS(SIN(ROW()*12.9898+'הדבקת לידים'!$F$2*78.233+IFERROR(--RIGHT(A3546,6),LEN(A3546))*0.0137+IFERROR(--RIGHT(B3546,6),LEN(B3546))*0.0071))*43758.5453,1),"")</f>
        <v/>
      </c>
      <c r="E3546" s="0" t="str">
        <f aca="false">IF(C3546=1,INT(MOD(ABS(SIN(D3546*7919.123+ROW()*0.618+'הדבקת לידים'!$F$2*1.3))*43758.5453,1)*1000000)*10000+ROW(),"")</f>
        <v/>
      </c>
      <c r="F3546" s="0" t="str">
        <f aca="false">IF(E3546="","",RANK(E3546,$E$2:$E$5001,1))</f>
        <v/>
      </c>
      <c r="G3546" s="0" t="n">
        <f aca="false">IF(A3546="",0,IF(SUMPRODUCT(--($A$2:$A$5001=A3546))&gt;1,1,0))</f>
        <v>0</v>
      </c>
      <c r="H3546" s="0" t="n">
        <f aca="false">ROW()-1</f>
        <v>3545</v>
      </c>
      <c r="I3546" s="0" t="str">
        <f aca="false">IF(OR(הגדרות!$E$6=0,H3546&gt;הגדרות!$E$5),"",IF(H3546-1&lt;הגדרות!$E$8*(הגדרות!$E$7+1),INT((H3546-1)/(הגדרות!$E$7+1)),הגדרות!$E$8+INT((H3546-1-הגדרות!$E$8*(הגדרות!$E$7+1))/הגדרות!$E$7)))</f>
        <v/>
      </c>
      <c r="J3546" s="0" t="str">
        <f aca="false">IF(I3546="","",IF(H3546-1&lt;הגדרות!$E$8*(הגדרות!$E$7+1),MOD(H3546-1,הגדרות!$E$7+1),MOD(H3546-1-הגדרות!$E$8*(הגדרות!$E$7+1),הגדרות!$E$7)))</f>
        <v/>
      </c>
      <c r="K3546" s="0" t="str">
        <f aca="false">IF(I3546="","",J3546*הגדרות!$E$6+I3546+1)</f>
        <v/>
      </c>
      <c r="L3546" s="0" t="str">
        <f aca="false">IF(K3546="","",MATCH(K3546,$F$2:$F$5001,0))</f>
        <v/>
      </c>
      <c r="M3546" s="0" t="str">
        <f aca="false">IF(I3546="","",INDEX(הגדרות!$A$2:$A$21,MOD(I3546+הגדרות!$E$9,הגדרות!$E$6)+1))</f>
        <v/>
      </c>
    </row>
    <row r="3547" customFormat="false" ht="15" hidden="false" customHeight="false" outlineLevel="0" collapsed="false">
      <c r="A3547" s="0" t="str">
        <f aca="false">IF('הדבקת לידים'!A3547="","",IF(ISNUMBER('הדבקת לידים'!A3547),IF(הגדרות!$E$2&gt;0,TEXT('הדבקת לידים'!A3547,REPT("0",הגדרות!$E$2)),TEXT('הדבקת לידים'!A3547,"0")),TRIM('הדבקת לידים'!A3547)))</f>
        <v/>
      </c>
      <c r="B3547" s="0" t="str">
        <f aca="false">IF('הדבקת לידים'!B3547="","",IF(ISNUMBER('הדבקת לידים'!B3547),IF(הגדרות!$E$3&gt;0,TEXT('הדבקת לידים'!B3547,REPT("0",הגדרות!$E$3)),TEXT('הדבקת לידים'!B3547,"0")),TRIM('הדבקת לידים'!B3547)))</f>
        <v/>
      </c>
      <c r="C3547" s="0" t="n">
        <f aca="false">IF(OR(A3547&lt;&gt;"",B3547&lt;&gt;""),1,0)</f>
        <v>0</v>
      </c>
      <c r="D3547" s="0" t="str">
        <f aca="false">IF(C3547=1,MOD(ABS(SIN(ROW()*12.9898+'הדבקת לידים'!$F$2*78.233+IFERROR(--RIGHT(A3547,6),LEN(A3547))*0.0137+IFERROR(--RIGHT(B3547,6),LEN(B3547))*0.0071))*43758.5453,1),"")</f>
        <v/>
      </c>
      <c r="E3547" s="0" t="str">
        <f aca="false">IF(C3547=1,INT(MOD(ABS(SIN(D3547*7919.123+ROW()*0.618+'הדבקת לידים'!$F$2*1.3))*43758.5453,1)*1000000)*10000+ROW(),"")</f>
        <v/>
      </c>
      <c r="F3547" s="0" t="str">
        <f aca="false">IF(E3547="","",RANK(E3547,$E$2:$E$5001,1))</f>
        <v/>
      </c>
      <c r="G3547" s="0" t="n">
        <f aca="false">IF(A3547="",0,IF(SUMPRODUCT(--($A$2:$A$5001=A3547))&gt;1,1,0))</f>
        <v>0</v>
      </c>
      <c r="H3547" s="0" t="n">
        <f aca="false">ROW()-1</f>
        <v>3546</v>
      </c>
      <c r="I3547" s="0" t="str">
        <f aca="false">IF(OR(הגדרות!$E$6=0,H3547&gt;הגדרות!$E$5),"",IF(H3547-1&lt;הגדרות!$E$8*(הגדרות!$E$7+1),INT((H3547-1)/(הגדרות!$E$7+1)),הגדרות!$E$8+INT((H3547-1-הגדרות!$E$8*(הגדרות!$E$7+1))/הגדרות!$E$7)))</f>
        <v/>
      </c>
      <c r="J3547" s="0" t="str">
        <f aca="false">IF(I3547="","",IF(H3547-1&lt;הגדרות!$E$8*(הגדרות!$E$7+1),MOD(H3547-1,הגדרות!$E$7+1),MOD(H3547-1-הגדרות!$E$8*(הגדרות!$E$7+1),הגדרות!$E$7)))</f>
        <v/>
      </c>
      <c r="K3547" s="0" t="str">
        <f aca="false">IF(I3547="","",J3547*הגדרות!$E$6+I3547+1)</f>
        <v/>
      </c>
      <c r="L3547" s="0" t="str">
        <f aca="false">IF(K3547="","",MATCH(K3547,$F$2:$F$5001,0))</f>
        <v/>
      </c>
      <c r="M3547" s="0" t="str">
        <f aca="false">IF(I3547="","",INDEX(הגדרות!$A$2:$A$21,MOD(I3547+הגדרות!$E$9,הגדרות!$E$6)+1))</f>
        <v/>
      </c>
    </row>
    <row r="3548" customFormat="false" ht="15" hidden="false" customHeight="false" outlineLevel="0" collapsed="false">
      <c r="A3548" s="0" t="str">
        <f aca="false">IF('הדבקת לידים'!A3548="","",IF(ISNUMBER('הדבקת לידים'!A3548),IF(הגדרות!$E$2&gt;0,TEXT('הדבקת לידים'!A3548,REPT("0",הגדרות!$E$2)),TEXT('הדבקת לידים'!A3548,"0")),TRIM('הדבקת לידים'!A3548)))</f>
        <v/>
      </c>
      <c r="B3548" s="0" t="str">
        <f aca="false">IF('הדבקת לידים'!B3548="","",IF(ISNUMBER('הדבקת לידים'!B3548),IF(הגדרות!$E$3&gt;0,TEXT('הדבקת לידים'!B3548,REPT("0",הגדרות!$E$3)),TEXT('הדבקת לידים'!B3548,"0")),TRIM('הדבקת לידים'!B3548)))</f>
        <v/>
      </c>
      <c r="C3548" s="0" t="n">
        <f aca="false">IF(OR(A3548&lt;&gt;"",B3548&lt;&gt;""),1,0)</f>
        <v>0</v>
      </c>
      <c r="D3548" s="0" t="str">
        <f aca="false">IF(C3548=1,MOD(ABS(SIN(ROW()*12.9898+'הדבקת לידים'!$F$2*78.233+IFERROR(--RIGHT(A3548,6),LEN(A3548))*0.0137+IFERROR(--RIGHT(B3548,6),LEN(B3548))*0.0071))*43758.5453,1),"")</f>
        <v/>
      </c>
      <c r="E3548" s="0" t="str">
        <f aca="false">IF(C3548=1,INT(MOD(ABS(SIN(D3548*7919.123+ROW()*0.618+'הדבקת לידים'!$F$2*1.3))*43758.5453,1)*1000000)*10000+ROW(),"")</f>
        <v/>
      </c>
      <c r="F3548" s="0" t="str">
        <f aca="false">IF(E3548="","",RANK(E3548,$E$2:$E$5001,1))</f>
        <v/>
      </c>
      <c r="G3548" s="0" t="n">
        <f aca="false">IF(A3548="",0,IF(SUMPRODUCT(--($A$2:$A$5001=A3548))&gt;1,1,0))</f>
        <v>0</v>
      </c>
      <c r="H3548" s="0" t="n">
        <f aca="false">ROW()-1</f>
        <v>3547</v>
      </c>
      <c r="I3548" s="0" t="str">
        <f aca="false">IF(OR(הגדרות!$E$6=0,H3548&gt;הגדרות!$E$5),"",IF(H3548-1&lt;הגדרות!$E$8*(הגדרות!$E$7+1),INT((H3548-1)/(הגדרות!$E$7+1)),הגדרות!$E$8+INT((H3548-1-הגדרות!$E$8*(הגדרות!$E$7+1))/הגדרות!$E$7)))</f>
        <v/>
      </c>
      <c r="J3548" s="0" t="str">
        <f aca="false">IF(I3548="","",IF(H3548-1&lt;הגדרות!$E$8*(הגדרות!$E$7+1),MOD(H3548-1,הגדרות!$E$7+1),MOD(H3548-1-הגדרות!$E$8*(הגדרות!$E$7+1),הגדרות!$E$7)))</f>
        <v/>
      </c>
      <c r="K3548" s="0" t="str">
        <f aca="false">IF(I3548="","",J3548*הגדרות!$E$6+I3548+1)</f>
        <v/>
      </c>
      <c r="L3548" s="0" t="str">
        <f aca="false">IF(K3548="","",MATCH(K3548,$F$2:$F$5001,0))</f>
        <v/>
      </c>
      <c r="M3548" s="0" t="str">
        <f aca="false">IF(I3548="","",INDEX(הגדרות!$A$2:$A$21,MOD(I3548+הגדרות!$E$9,הגדרות!$E$6)+1))</f>
        <v/>
      </c>
    </row>
    <row r="3549" customFormat="false" ht="15" hidden="false" customHeight="false" outlineLevel="0" collapsed="false">
      <c r="A3549" s="0" t="str">
        <f aca="false">IF('הדבקת לידים'!A3549="","",IF(ISNUMBER('הדבקת לידים'!A3549),IF(הגדרות!$E$2&gt;0,TEXT('הדבקת לידים'!A3549,REPT("0",הגדרות!$E$2)),TEXT('הדבקת לידים'!A3549,"0")),TRIM('הדבקת לידים'!A3549)))</f>
        <v/>
      </c>
      <c r="B3549" s="0" t="str">
        <f aca="false">IF('הדבקת לידים'!B3549="","",IF(ISNUMBER('הדבקת לידים'!B3549),IF(הגדרות!$E$3&gt;0,TEXT('הדבקת לידים'!B3549,REPT("0",הגדרות!$E$3)),TEXT('הדבקת לידים'!B3549,"0")),TRIM('הדבקת לידים'!B3549)))</f>
        <v/>
      </c>
      <c r="C3549" s="0" t="n">
        <f aca="false">IF(OR(A3549&lt;&gt;"",B3549&lt;&gt;""),1,0)</f>
        <v>0</v>
      </c>
      <c r="D3549" s="0" t="str">
        <f aca="false">IF(C3549=1,MOD(ABS(SIN(ROW()*12.9898+'הדבקת לידים'!$F$2*78.233+IFERROR(--RIGHT(A3549,6),LEN(A3549))*0.0137+IFERROR(--RIGHT(B3549,6),LEN(B3549))*0.0071))*43758.5453,1),"")</f>
        <v/>
      </c>
      <c r="E3549" s="0" t="str">
        <f aca="false">IF(C3549=1,INT(MOD(ABS(SIN(D3549*7919.123+ROW()*0.618+'הדבקת לידים'!$F$2*1.3))*43758.5453,1)*1000000)*10000+ROW(),"")</f>
        <v/>
      </c>
      <c r="F3549" s="0" t="str">
        <f aca="false">IF(E3549="","",RANK(E3549,$E$2:$E$5001,1))</f>
        <v/>
      </c>
      <c r="G3549" s="0" t="n">
        <f aca="false">IF(A3549="",0,IF(SUMPRODUCT(--($A$2:$A$5001=A3549))&gt;1,1,0))</f>
        <v>0</v>
      </c>
      <c r="H3549" s="0" t="n">
        <f aca="false">ROW()-1</f>
        <v>3548</v>
      </c>
      <c r="I3549" s="0" t="str">
        <f aca="false">IF(OR(הגדרות!$E$6=0,H3549&gt;הגדרות!$E$5),"",IF(H3549-1&lt;הגדרות!$E$8*(הגדרות!$E$7+1),INT((H3549-1)/(הגדרות!$E$7+1)),הגדרות!$E$8+INT((H3549-1-הגדרות!$E$8*(הגדרות!$E$7+1))/הגדרות!$E$7)))</f>
        <v/>
      </c>
      <c r="J3549" s="0" t="str">
        <f aca="false">IF(I3549="","",IF(H3549-1&lt;הגדרות!$E$8*(הגדרות!$E$7+1),MOD(H3549-1,הגדרות!$E$7+1),MOD(H3549-1-הגדרות!$E$8*(הגדרות!$E$7+1),הגדרות!$E$7)))</f>
        <v/>
      </c>
      <c r="K3549" s="0" t="str">
        <f aca="false">IF(I3549="","",J3549*הגדרות!$E$6+I3549+1)</f>
        <v/>
      </c>
      <c r="L3549" s="0" t="str">
        <f aca="false">IF(K3549="","",MATCH(K3549,$F$2:$F$5001,0))</f>
        <v/>
      </c>
      <c r="M3549" s="0" t="str">
        <f aca="false">IF(I3549="","",INDEX(הגדרות!$A$2:$A$21,MOD(I3549+הגדרות!$E$9,הגדרות!$E$6)+1))</f>
        <v/>
      </c>
    </row>
    <row r="3550" customFormat="false" ht="15" hidden="false" customHeight="false" outlineLevel="0" collapsed="false">
      <c r="A3550" s="0" t="str">
        <f aca="false">IF('הדבקת לידים'!A3550="","",IF(ISNUMBER('הדבקת לידים'!A3550),IF(הגדרות!$E$2&gt;0,TEXT('הדבקת לידים'!A3550,REPT("0",הגדרות!$E$2)),TEXT('הדבקת לידים'!A3550,"0")),TRIM('הדבקת לידים'!A3550)))</f>
        <v/>
      </c>
      <c r="B3550" s="0" t="str">
        <f aca="false">IF('הדבקת לידים'!B3550="","",IF(ISNUMBER('הדבקת לידים'!B3550),IF(הגדרות!$E$3&gt;0,TEXT('הדבקת לידים'!B3550,REPT("0",הגדרות!$E$3)),TEXT('הדבקת לידים'!B3550,"0")),TRIM('הדבקת לידים'!B3550)))</f>
        <v/>
      </c>
      <c r="C3550" s="0" t="n">
        <f aca="false">IF(OR(A3550&lt;&gt;"",B3550&lt;&gt;""),1,0)</f>
        <v>0</v>
      </c>
      <c r="D3550" s="0" t="str">
        <f aca="false">IF(C3550=1,MOD(ABS(SIN(ROW()*12.9898+'הדבקת לידים'!$F$2*78.233+IFERROR(--RIGHT(A3550,6),LEN(A3550))*0.0137+IFERROR(--RIGHT(B3550,6),LEN(B3550))*0.0071))*43758.5453,1),"")</f>
        <v/>
      </c>
      <c r="E3550" s="0" t="str">
        <f aca="false">IF(C3550=1,INT(MOD(ABS(SIN(D3550*7919.123+ROW()*0.618+'הדבקת לידים'!$F$2*1.3))*43758.5453,1)*1000000)*10000+ROW(),"")</f>
        <v/>
      </c>
      <c r="F3550" s="0" t="str">
        <f aca="false">IF(E3550="","",RANK(E3550,$E$2:$E$5001,1))</f>
        <v/>
      </c>
      <c r="G3550" s="0" t="n">
        <f aca="false">IF(A3550="",0,IF(SUMPRODUCT(--($A$2:$A$5001=A3550))&gt;1,1,0))</f>
        <v>0</v>
      </c>
      <c r="H3550" s="0" t="n">
        <f aca="false">ROW()-1</f>
        <v>3549</v>
      </c>
      <c r="I3550" s="0" t="str">
        <f aca="false">IF(OR(הגדרות!$E$6=0,H3550&gt;הגדרות!$E$5),"",IF(H3550-1&lt;הגדרות!$E$8*(הגדרות!$E$7+1),INT((H3550-1)/(הגדרות!$E$7+1)),הגדרות!$E$8+INT((H3550-1-הגדרות!$E$8*(הגדרות!$E$7+1))/הגדרות!$E$7)))</f>
        <v/>
      </c>
      <c r="J3550" s="0" t="str">
        <f aca="false">IF(I3550="","",IF(H3550-1&lt;הגדרות!$E$8*(הגדרות!$E$7+1),MOD(H3550-1,הגדרות!$E$7+1),MOD(H3550-1-הגדרות!$E$8*(הגדרות!$E$7+1),הגדרות!$E$7)))</f>
        <v/>
      </c>
      <c r="K3550" s="0" t="str">
        <f aca="false">IF(I3550="","",J3550*הגדרות!$E$6+I3550+1)</f>
        <v/>
      </c>
      <c r="L3550" s="0" t="str">
        <f aca="false">IF(K3550="","",MATCH(K3550,$F$2:$F$5001,0))</f>
        <v/>
      </c>
      <c r="M3550" s="0" t="str">
        <f aca="false">IF(I3550="","",INDEX(הגדרות!$A$2:$A$21,MOD(I3550+הגדרות!$E$9,הגדרות!$E$6)+1))</f>
        <v/>
      </c>
    </row>
    <row r="3551" customFormat="false" ht="15" hidden="false" customHeight="false" outlineLevel="0" collapsed="false">
      <c r="A3551" s="0" t="str">
        <f aca="false">IF('הדבקת לידים'!A3551="","",IF(ISNUMBER('הדבקת לידים'!A3551),IF(הגדרות!$E$2&gt;0,TEXT('הדבקת לידים'!A3551,REPT("0",הגדרות!$E$2)),TEXT('הדבקת לידים'!A3551,"0")),TRIM('הדבקת לידים'!A3551)))</f>
        <v/>
      </c>
      <c r="B3551" s="0" t="str">
        <f aca="false">IF('הדבקת לידים'!B3551="","",IF(ISNUMBER('הדבקת לידים'!B3551),IF(הגדרות!$E$3&gt;0,TEXT('הדבקת לידים'!B3551,REPT("0",הגדרות!$E$3)),TEXT('הדבקת לידים'!B3551,"0")),TRIM('הדבקת לידים'!B3551)))</f>
        <v/>
      </c>
      <c r="C3551" s="0" t="n">
        <f aca="false">IF(OR(A3551&lt;&gt;"",B3551&lt;&gt;""),1,0)</f>
        <v>0</v>
      </c>
      <c r="D3551" s="0" t="str">
        <f aca="false">IF(C3551=1,MOD(ABS(SIN(ROW()*12.9898+'הדבקת לידים'!$F$2*78.233+IFERROR(--RIGHT(A3551,6),LEN(A3551))*0.0137+IFERROR(--RIGHT(B3551,6),LEN(B3551))*0.0071))*43758.5453,1),"")</f>
        <v/>
      </c>
      <c r="E3551" s="0" t="str">
        <f aca="false">IF(C3551=1,INT(MOD(ABS(SIN(D3551*7919.123+ROW()*0.618+'הדבקת לידים'!$F$2*1.3))*43758.5453,1)*1000000)*10000+ROW(),"")</f>
        <v/>
      </c>
      <c r="F3551" s="0" t="str">
        <f aca="false">IF(E3551="","",RANK(E3551,$E$2:$E$5001,1))</f>
        <v/>
      </c>
      <c r="G3551" s="0" t="n">
        <f aca="false">IF(A3551="",0,IF(SUMPRODUCT(--($A$2:$A$5001=A3551))&gt;1,1,0))</f>
        <v>0</v>
      </c>
      <c r="H3551" s="0" t="n">
        <f aca="false">ROW()-1</f>
        <v>3550</v>
      </c>
      <c r="I3551" s="0" t="str">
        <f aca="false">IF(OR(הגדרות!$E$6=0,H3551&gt;הגדרות!$E$5),"",IF(H3551-1&lt;הגדרות!$E$8*(הגדרות!$E$7+1),INT((H3551-1)/(הגדרות!$E$7+1)),הגדרות!$E$8+INT((H3551-1-הגדרות!$E$8*(הגדרות!$E$7+1))/הגדרות!$E$7)))</f>
        <v/>
      </c>
      <c r="J3551" s="0" t="str">
        <f aca="false">IF(I3551="","",IF(H3551-1&lt;הגדרות!$E$8*(הגדרות!$E$7+1),MOD(H3551-1,הגדרות!$E$7+1),MOD(H3551-1-הגדרות!$E$8*(הגדרות!$E$7+1),הגדרות!$E$7)))</f>
        <v/>
      </c>
      <c r="K3551" s="0" t="str">
        <f aca="false">IF(I3551="","",J3551*הגדרות!$E$6+I3551+1)</f>
        <v/>
      </c>
      <c r="L3551" s="0" t="str">
        <f aca="false">IF(K3551="","",MATCH(K3551,$F$2:$F$5001,0))</f>
        <v/>
      </c>
      <c r="M3551" s="0" t="str">
        <f aca="false">IF(I3551="","",INDEX(הגדרות!$A$2:$A$21,MOD(I3551+הגדרות!$E$9,הגדרות!$E$6)+1))</f>
        <v/>
      </c>
    </row>
    <row r="3552" customFormat="false" ht="15" hidden="false" customHeight="false" outlineLevel="0" collapsed="false">
      <c r="A3552" s="0" t="str">
        <f aca="false">IF('הדבקת לידים'!A3552="","",IF(ISNUMBER('הדבקת לידים'!A3552),IF(הגדרות!$E$2&gt;0,TEXT('הדבקת לידים'!A3552,REPT("0",הגדרות!$E$2)),TEXT('הדבקת לידים'!A3552,"0")),TRIM('הדבקת לידים'!A3552)))</f>
        <v/>
      </c>
      <c r="B3552" s="0" t="str">
        <f aca="false">IF('הדבקת לידים'!B3552="","",IF(ISNUMBER('הדבקת לידים'!B3552),IF(הגדרות!$E$3&gt;0,TEXT('הדבקת לידים'!B3552,REPT("0",הגדרות!$E$3)),TEXT('הדבקת לידים'!B3552,"0")),TRIM('הדבקת לידים'!B3552)))</f>
        <v/>
      </c>
      <c r="C3552" s="0" t="n">
        <f aca="false">IF(OR(A3552&lt;&gt;"",B3552&lt;&gt;""),1,0)</f>
        <v>0</v>
      </c>
      <c r="D3552" s="0" t="str">
        <f aca="false">IF(C3552=1,MOD(ABS(SIN(ROW()*12.9898+'הדבקת לידים'!$F$2*78.233+IFERROR(--RIGHT(A3552,6),LEN(A3552))*0.0137+IFERROR(--RIGHT(B3552,6),LEN(B3552))*0.0071))*43758.5453,1),"")</f>
        <v/>
      </c>
      <c r="E3552" s="0" t="str">
        <f aca="false">IF(C3552=1,INT(MOD(ABS(SIN(D3552*7919.123+ROW()*0.618+'הדבקת לידים'!$F$2*1.3))*43758.5453,1)*1000000)*10000+ROW(),"")</f>
        <v/>
      </c>
      <c r="F3552" s="0" t="str">
        <f aca="false">IF(E3552="","",RANK(E3552,$E$2:$E$5001,1))</f>
        <v/>
      </c>
      <c r="G3552" s="0" t="n">
        <f aca="false">IF(A3552="",0,IF(SUMPRODUCT(--($A$2:$A$5001=A3552))&gt;1,1,0))</f>
        <v>0</v>
      </c>
      <c r="H3552" s="0" t="n">
        <f aca="false">ROW()-1</f>
        <v>3551</v>
      </c>
      <c r="I3552" s="0" t="str">
        <f aca="false">IF(OR(הגדרות!$E$6=0,H3552&gt;הגדרות!$E$5),"",IF(H3552-1&lt;הגדרות!$E$8*(הגדרות!$E$7+1),INT((H3552-1)/(הגדרות!$E$7+1)),הגדרות!$E$8+INT((H3552-1-הגדרות!$E$8*(הגדרות!$E$7+1))/הגדרות!$E$7)))</f>
        <v/>
      </c>
      <c r="J3552" s="0" t="str">
        <f aca="false">IF(I3552="","",IF(H3552-1&lt;הגדרות!$E$8*(הגדרות!$E$7+1),MOD(H3552-1,הגדרות!$E$7+1),MOD(H3552-1-הגדרות!$E$8*(הגדרות!$E$7+1),הגדרות!$E$7)))</f>
        <v/>
      </c>
      <c r="K3552" s="0" t="str">
        <f aca="false">IF(I3552="","",J3552*הגדרות!$E$6+I3552+1)</f>
        <v/>
      </c>
      <c r="L3552" s="0" t="str">
        <f aca="false">IF(K3552="","",MATCH(K3552,$F$2:$F$5001,0))</f>
        <v/>
      </c>
      <c r="M3552" s="0" t="str">
        <f aca="false">IF(I3552="","",INDEX(הגדרות!$A$2:$A$21,MOD(I3552+הגדרות!$E$9,הגדרות!$E$6)+1))</f>
        <v/>
      </c>
    </row>
    <row r="3553" customFormat="false" ht="15" hidden="false" customHeight="false" outlineLevel="0" collapsed="false">
      <c r="A3553" s="0" t="str">
        <f aca="false">IF('הדבקת לידים'!A3553="","",IF(ISNUMBER('הדבקת לידים'!A3553),IF(הגדרות!$E$2&gt;0,TEXT('הדבקת לידים'!A3553,REPT("0",הגדרות!$E$2)),TEXT('הדבקת לידים'!A3553,"0")),TRIM('הדבקת לידים'!A3553)))</f>
        <v/>
      </c>
      <c r="B3553" s="0" t="str">
        <f aca="false">IF('הדבקת לידים'!B3553="","",IF(ISNUMBER('הדבקת לידים'!B3553),IF(הגדרות!$E$3&gt;0,TEXT('הדבקת לידים'!B3553,REPT("0",הגדרות!$E$3)),TEXT('הדבקת לידים'!B3553,"0")),TRIM('הדבקת לידים'!B3553)))</f>
        <v/>
      </c>
      <c r="C3553" s="0" t="n">
        <f aca="false">IF(OR(A3553&lt;&gt;"",B3553&lt;&gt;""),1,0)</f>
        <v>0</v>
      </c>
      <c r="D3553" s="0" t="str">
        <f aca="false">IF(C3553=1,MOD(ABS(SIN(ROW()*12.9898+'הדבקת לידים'!$F$2*78.233+IFERROR(--RIGHT(A3553,6),LEN(A3553))*0.0137+IFERROR(--RIGHT(B3553,6),LEN(B3553))*0.0071))*43758.5453,1),"")</f>
        <v/>
      </c>
      <c r="E3553" s="0" t="str">
        <f aca="false">IF(C3553=1,INT(MOD(ABS(SIN(D3553*7919.123+ROW()*0.618+'הדבקת לידים'!$F$2*1.3))*43758.5453,1)*1000000)*10000+ROW(),"")</f>
        <v/>
      </c>
      <c r="F3553" s="0" t="str">
        <f aca="false">IF(E3553="","",RANK(E3553,$E$2:$E$5001,1))</f>
        <v/>
      </c>
      <c r="G3553" s="0" t="n">
        <f aca="false">IF(A3553="",0,IF(SUMPRODUCT(--($A$2:$A$5001=A3553))&gt;1,1,0))</f>
        <v>0</v>
      </c>
      <c r="H3553" s="0" t="n">
        <f aca="false">ROW()-1</f>
        <v>3552</v>
      </c>
      <c r="I3553" s="0" t="str">
        <f aca="false">IF(OR(הגדרות!$E$6=0,H3553&gt;הגדרות!$E$5),"",IF(H3553-1&lt;הגדרות!$E$8*(הגדרות!$E$7+1),INT((H3553-1)/(הגדרות!$E$7+1)),הגדרות!$E$8+INT((H3553-1-הגדרות!$E$8*(הגדרות!$E$7+1))/הגדרות!$E$7)))</f>
        <v/>
      </c>
      <c r="J3553" s="0" t="str">
        <f aca="false">IF(I3553="","",IF(H3553-1&lt;הגדרות!$E$8*(הגדרות!$E$7+1),MOD(H3553-1,הגדרות!$E$7+1),MOD(H3553-1-הגדרות!$E$8*(הגדרות!$E$7+1),הגדרות!$E$7)))</f>
        <v/>
      </c>
      <c r="K3553" s="0" t="str">
        <f aca="false">IF(I3553="","",J3553*הגדרות!$E$6+I3553+1)</f>
        <v/>
      </c>
      <c r="L3553" s="0" t="str">
        <f aca="false">IF(K3553="","",MATCH(K3553,$F$2:$F$5001,0))</f>
        <v/>
      </c>
      <c r="M3553" s="0" t="str">
        <f aca="false">IF(I3553="","",INDEX(הגדרות!$A$2:$A$21,MOD(I3553+הגדרות!$E$9,הגדרות!$E$6)+1))</f>
        <v/>
      </c>
    </row>
    <row r="3554" customFormat="false" ht="15" hidden="false" customHeight="false" outlineLevel="0" collapsed="false">
      <c r="A3554" s="0" t="str">
        <f aca="false">IF('הדבקת לידים'!A3554="","",IF(ISNUMBER('הדבקת לידים'!A3554),IF(הגדרות!$E$2&gt;0,TEXT('הדבקת לידים'!A3554,REPT("0",הגדרות!$E$2)),TEXT('הדבקת לידים'!A3554,"0")),TRIM('הדבקת לידים'!A3554)))</f>
        <v/>
      </c>
      <c r="B3554" s="0" t="str">
        <f aca="false">IF('הדבקת לידים'!B3554="","",IF(ISNUMBER('הדבקת לידים'!B3554),IF(הגדרות!$E$3&gt;0,TEXT('הדבקת לידים'!B3554,REPT("0",הגדרות!$E$3)),TEXT('הדבקת לידים'!B3554,"0")),TRIM('הדבקת לידים'!B3554)))</f>
        <v/>
      </c>
      <c r="C3554" s="0" t="n">
        <f aca="false">IF(OR(A3554&lt;&gt;"",B3554&lt;&gt;""),1,0)</f>
        <v>0</v>
      </c>
      <c r="D3554" s="0" t="str">
        <f aca="false">IF(C3554=1,MOD(ABS(SIN(ROW()*12.9898+'הדבקת לידים'!$F$2*78.233+IFERROR(--RIGHT(A3554,6),LEN(A3554))*0.0137+IFERROR(--RIGHT(B3554,6),LEN(B3554))*0.0071))*43758.5453,1),"")</f>
        <v/>
      </c>
      <c r="E3554" s="0" t="str">
        <f aca="false">IF(C3554=1,INT(MOD(ABS(SIN(D3554*7919.123+ROW()*0.618+'הדבקת לידים'!$F$2*1.3))*43758.5453,1)*1000000)*10000+ROW(),"")</f>
        <v/>
      </c>
      <c r="F3554" s="0" t="str">
        <f aca="false">IF(E3554="","",RANK(E3554,$E$2:$E$5001,1))</f>
        <v/>
      </c>
      <c r="G3554" s="0" t="n">
        <f aca="false">IF(A3554="",0,IF(SUMPRODUCT(--($A$2:$A$5001=A3554))&gt;1,1,0))</f>
        <v>0</v>
      </c>
      <c r="H3554" s="0" t="n">
        <f aca="false">ROW()-1</f>
        <v>3553</v>
      </c>
      <c r="I3554" s="0" t="str">
        <f aca="false">IF(OR(הגדרות!$E$6=0,H3554&gt;הגדרות!$E$5),"",IF(H3554-1&lt;הגדרות!$E$8*(הגדרות!$E$7+1),INT((H3554-1)/(הגדרות!$E$7+1)),הגדרות!$E$8+INT((H3554-1-הגדרות!$E$8*(הגדרות!$E$7+1))/הגדרות!$E$7)))</f>
        <v/>
      </c>
      <c r="J3554" s="0" t="str">
        <f aca="false">IF(I3554="","",IF(H3554-1&lt;הגדרות!$E$8*(הגדרות!$E$7+1),MOD(H3554-1,הגדרות!$E$7+1),MOD(H3554-1-הגדרות!$E$8*(הגדרות!$E$7+1),הגדרות!$E$7)))</f>
        <v/>
      </c>
      <c r="K3554" s="0" t="str">
        <f aca="false">IF(I3554="","",J3554*הגדרות!$E$6+I3554+1)</f>
        <v/>
      </c>
      <c r="L3554" s="0" t="str">
        <f aca="false">IF(K3554="","",MATCH(K3554,$F$2:$F$5001,0))</f>
        <v/>
      </c>
      <c r="M3554" s="0" t="str">
        <f aca="false">IF(I3554="","",INDEX(הגדרות!$A$2:$A$21,MOD(I3554+הגדרות!$E$9,הגדרות!$E$6)+1))</f>
        <v/>
      </c>
    </row>
    <row r="3555" customFormat="false" ht="15" hidden="false" customHeight="false" outlineLevel="0" collapsed="false">
      <c r="A3555" s="0" t="str">
        <f aca="false">IF('הדבקת לידים'!A3555="","",IF(ISNUMBER('הדבקת לידים'!A3555),IF(הגדרות!$E$2&gt;0,TEXT('הדבקת לידים'!A3555,REPT("0",הגדרות!$E$2)),TEXT('הדבקת לידים'!A3555,"0")),TRIM('הדבקת לידים'!A3555)))</f>
        <v/>
      </c>
      <c r="B3555" s="0" t="str">
        <f aca="false">IF('הדבקת לידים'!B3555="","",IF(ISNUMBER('הדבקת לידים'!B3555),IF(הגדרות!$E$3&gt;0,TEXT('הדבקת לידים'!B3555,REPT("0",הגדרות!$E$3)),TEXT('הדבקת לידים'!B3555,"0")),TRIM('הדבקת לידים'!B3555)))</f>
        <v/>
      </c>
      <c r="C3555" s="0" t="n">
        <f aca="false">IF(OR(A3555&lt;&gt;"",B3555&lt;&gt;""),1,0)</f>
        <v>0</v>
      </c>
      <c r="D3555" s="0" t="str">
        <f aca="false">IF(C3555=1,MOD(ABS(SIN(ROW()*12.9898+'הדבקת לידים'!$F$2*78.233+IFERROR(--RIGHT(A3555,6),LEN(A3555))*0.0137+IFERROR(--RIGHT(B3555,6),LEN(B3555))*0.0071))*43758.5453,1),"")</f>
        <v/>
      </c>
      <c r="E3555" s="0" t="str">
        <f aca="false">IF(C3555=1,INT(MOD(ABS(SIN(D3555*7919.123+ROW()*0.618+'הדבקת לידים'!$F$2*1.3))*43758.5453,1)*1000000)*10000+ROW(),"")</f>
        <v/>
      </c>
      <c r="F3555" s="0" t="str">
        <f aca="false">IF(E3555="","",RANK(E3555,$E$2:$E$5001,1))</f>
        <v/>
      </c>
      <c r="G3555" s="0" t="n">
        <f aca="false">IF(A3555="",0,IF(SUMPRODUCT(--($A$2:$A$5001=A3555))&gt;1,1,0))</f>
        <v>0</v>
      </c>
      <c r="H3555" s="0" t="n">
        <f aca="false">ROW()-1</f>
        <v>3554</v>
      </c>
      <c r="I3555" s="0" t="str">
        <f aca="false">IF(OR(הגדרות!$E$6=0,H3555&gt;הגדרות!$E$5),"",IF(H3555-1&lt;הגדרות!$E$8*(הגדרות!$E$7+1),INT((H3555-1)/(הגדרות!$E$7+1)),הגדרות!$E$8+INT((H3555-1-הגדרות!$E$8*(הגדרות!$E$7+1))/הגדרות!$E$7)))</f>
        <v/>
      </c>
      <c r="J3555" s="0" t="str">
        <f aca="false">IF(I3555="","",IF(H3555-1&lt;הגדרות!$E$8*(הגדרות!$E$7+1),MOD(H3555-1,הגדרות!$E$7+1),MOD(H3555-1-הגדרות!$E$8*(הגדרות!$E$7+1),הגדרות!$E$7)))</f>
        <v/>
      </c>
      <c r="K3555" s="0" t="str">
        <f aca="false">IF(I3555="","",J3555*הגדרות!$E$6+I3555+1)</f>
        <v/>
      </c>
      <c r="L3555" s="0" t="str">
        <f aca="false">IF(K3555="","",MATCH(K3555,$F$2:$F$5001,0))</f>
        <v/>
      </c>
      <c r="M3555" s="0" t="str">
        <f aca="false">IF(I3555="","",INDEX(הגדרות!$A$2:$A$21,MOD(I3555+הגדרות!$E$9,הגדרות!$E$6)+1))</f>
        <v/>
      </c>
    </row>
    <row r="3556" customFormat="false" ht="15" hidden="false" customHeight="false" outlineLevel="0" collapsed="false">
      <c r="A3556" s="0" t="str">
        <f aca="false">IF('הדבקת לידים'!A3556="","",IF(ISNUMBER('הדבקת לידים'!A3556),IF(הגדרות!$E$2&gt;0,TEXT('הדבקת לידים'!A3556,REPT("0",הגדרות!$E$2)),TEXT('הדבקת לידים'!A3556,"0")),TRIM('הדבקת לידים'!A3556)))</f>
        <v/>
      </c>
      <c r="B3556" s="0" t="str">
        <f aca="false">IF('הדבקת לידים'!B3556="","",IF(ISNUMBER('הדבקת לידים'!B3556),IF(הגדרות!$E$3&gt;0,TEXT('הדבקת לידים'!B3556,REPT("0",הגדרות!$E$3)),TEXT('הדבקת לידים'!B3556,"0")),TRIM('הדבקת לידים'!B3556)))</f>
        <v/>
      </c>
      <c r="C3556" s="0" t="n">
        <f aca="false">IF(OR(A3556&lt;&gt;"",B3556&lt;&gt;""),1,0)</f>
        <v>0</v>
      </c>
      <c r="D3556" s="0" t="str">
        <f aca="false">IF(C3556=1,MOD(ABS(SIN(ROW()*12.9898+'הדבקת לידים'!$F$2*78.233+IFERROR(--RIGHT(A3556,6),LEN(A3556))*0.0137+IFERROR(--RIGHT(B3556,6),LEN(B3556))*0.0071))*43758.5453,1),"")</f>
        <v/>
      </c>
      <c r="E3556" s="0" t="str">
        <f aca="false">IF(C3556=1,INT(MOD(ABS(SIN(D3556*7919.123+ROW()*0.618+'הדבקת לידים'!$F$2*1.3))*43758.5453,1)*1000000)*10000+ROW(),"")</f>
        <v/>
      </c>
      <c r="F3556" s="0" t="str">
        <f aca="false">IF(E3556="","",RANK(E3556,$E$2:$E$5001,1))</f>
        <v/>
      </c>
      <c r="G3556" s="0" t="n">
        <f aca="false">IF(A3556="",0,IF(SUMPRODUCT(--($A$2:$A$5001=A3556))&gt;1,1,0))</f>
        <v>0</v>
      </c>
      <c r="H3556" s="0" t="n">
        <f aca="false">ROW()-1</f>
        <v>3555</v>
      </c>
      <c r="I3556" s="0" t="str">
        <f aca="false">IF(OR(הגדרות!$E$6=0,H3556&gt;הגדרות!$E$5),"",IF(H3556-1&lt;הגדרות!$E$8*(הגדרות!$E$7+1),INT((H3556-1)/(הגדרות!$E$7+1)),הגדרות!$E$8+INT((H3556-1-הגדרות!$E$8*(הגדרות!$E$7+1))/הגדרות!$E$7)))</f>
        <v/>
      </c>
      <c r="J3556" s="0" t="str">
        <f aca="false">IF(I3556="","",IF(H3556-1&lt;הגדרות!$E$8*(הגדרות!$E$7+1),MOD(H3556-1,הגדרות!$E$7+1),MOD(H3556-1-הגדרות!$E$8*(הגדרות!$E$7+1),הגדרות!$E$7)))</f>
        <v/>
      </c>
      <c r="K3556" s="0" t="str">
        <f aca="false">IF(I3556="","",J3556*הגדרות!$E$6+I3556+1)</f>
        <v/>
      </c>
      <c r="L3556" s="0" t="str">
        <f aca="false">IF(K3556="","",MATCH(K3556,$F$2:$F$5001,0))</f>
        <v/>
      </c>
      <c r="M3556" s="0" t="str">
        <f aca="false">IF(I3556="","",INDEX(הגדרות!$A$2:$A$21,MOD(I3556+הגדרות!$E$9,הגדרות!$E$6)+1))</f>
        <v/>
      </c>
    </row>
    <row r="3557" customFormat="false" ht="15" hidden="false" customHeight="false" outlineLevel="0" collapsed="false">
      <c r="A3557" s="0" t="str">
        <f aca="false">IF('הדבקת לידים'!A3557="","",IF(ISNUMBER('הדבקת לידים'!A3557),IF(הגדרות!$E$2&gt;0,TEXT('הדבקת לידים'!A3557,REPT("0",הגדרות!$E$2)),TEXT('הדבקת לידים'!A3557,"0")),TRIM('הדבקת לידים'!A3557)))</f>
        <v/>
      </c>
      <c r="B3557" s="0" t="str">
        <f aca="false">IF('הדבקת לידים'!B3557="","",IF(ISNUMBER('הדבקת לידים'!B3557),IF(הגדרות!$E$3&gt;0,TEXT('הדבקת לידים'!B3557,REPT("0",הגדרות!$E$3)),TEXT('הדבקת לידים'!B3557,"0")),TRIM('הדבקת לידים'!B3557)))</f>
        <v/>
      </c>
      <c r="C3557" s="0" t="n">
        <f aca="false">IF(OR(A3557&lt;&gt;"",B3557&lt;&gt;""),1,0)</f>
        <v>0</v>
      </c>
      <c r="D3557" s="0" t="str">
        <f aca="false">IF(C3557=1,MOD(ABS(SIN(ROW()*12.9898+'הדבקת לידים'!$F$2*78.233+IFERROR(--RIGHT(A3557,6),LEN(A3557))*0.0137+IFERROR(--RIGHT(B3557,6),LEN(B3557))*0.0071))*43758.5453,1),"")</f>
        <v/>
      </c>
      <c r="E3557" s="0" t="str">
        <f aca="false">IF(C3557=1,INT(MOD(ABS(SIN(D3557*7919.123+ROW()*0.618+'הדבקת לידים'!$F$2*1.3))*43758.5453,1)*1000000)*10000+ROW(),"")</f>
        <v/>
      </c>
      <c r="F3557" s="0" t="str">
        <f aca="false">IF(E3557="","",RANK(E3557,$E$2:$E$5001,1))</f>
        <v/>
      </c>
      <c r="G3557" s="0" t="n">
        <f aca="false">IF(A3557="",0,IF(SUMPRODUCT(--($A$2:$A$5001=A3557))&gt;1,1,0))</f>
        <v>0</v>
      </c>
      <c r="H3557" s="0" t="n">
        <f aca="false">ROW()-1</f>
        <v>3556</v>
      </c>
      <c r="I3557" s="0" t="str">
        <f aca="false">IF(OR(הגדרות!$E$6=0,H3557&gt;הגדרות!$E$5),"",IF(H3557-1&lt;הגדרות!$E$8*(הגדרות!$E$7+1),INT((H3557-1)/(הגדרות!$E$7+1)),הגדרות!$E$8+INT((H3557-1-הגדרות!$E$8*(הגדרות!$E$7+1))/הגדרות!$E$7)))</f>
        <v/>
      </c>
      <c r="J3557" s="0" t="str">
        <f aca="false">IF(I3557="","",IF(H3557-1&lt;הגדרות!$E$8*(הגדרות!$E$7+1),MOD(H3557-1,הגדרות!$E$7+1),MOD(H3557-1-הגדרות!$E$8*(הגדרות!$E$7+1),הגדרות!$E$7)))</f>
        <v/>
      </c>
      <c r="K3557" s="0" t="str">
        <f aca="false">IF(I3557="","",J3557*הגדרות!$E$6+I3557+1)</f>
        <v/>
      </c>
      <c r="L3557" s="0" t="str">
        <f aca="false">IF(K3557="","",MATCH(K3557,$F$2:$F$5001,0))</f>
        <v/>
      </c>
      <c r="M3557" s="0" t="str">
        <f aca="false">IF(I3557="","",INDEX(הגדרות!$A$2:$A$21,MOD(I3557+הגדרות!$E$9,הגדרות!$E$6)+1))</f>
        <v/>
      </c>
    </row>
    <row r="3558" customFormat="false" ht="15" hidden="false" customHeight="false" outlineLevel="0" collapsed="false">
      <c r="A3558" s="0" t="str">
        <f aca="false">IF('הדבקת לידים'!A3558="","",IF(ISNUMBER('הדבקת לידים'!A3558),IF(הגדרות!$E$2&gt;0,TEXT('הדבקת לידים'!A3558,REPT("0",הגדרות!$E$2)),TEXT('הדבקת לידים'!A3558,"0")),TRIM('הדבקת לידים'!A3558)))</f>
        <v/>
      </c>
      <c r="B3558" s="0" t="str">
        <f aca="false">IF('הדבקת לידים'!B3558="","",IF(ISNUMBER('הדבקת לידים'!B3558),IF(הגדרות!$E$3&gt;0,TEXT('הדבקת לידים'!B3558,REPT("0",הגדרות!$E$3)),TEXT('הדבקת לידים'!B3558,"0")),TRIM('הדבקת לידים'!B3558)))</f>
        <v/>
      </c>
      <c r="C3558" s="0" t="n">
        <f aca="false">IF(OR(A3558&lt;&gt;"",B3558&lt;&gt;""),1,0)</f>
        <v>0</v>
      </c>
      <c r="D3558" s="0" t="str">
        <f aca="false">IF(C3558=1,MOD(ABS(SIN(ROW()*12.9898+'הדבקת לידים'!$F$2*78.233+IFERROR(--RIGHT(A3558,6),LEN(A3558))*0.0137+IFERROR(--RIGHT(B3558,6),LEN(B3558))*0.0071))*43758.5453,1),"")</f>
        <v/>
      </c>
      <c r="E3558" s="0" t="str">
        <f aca="false">IF(C3558=1,INT(MOD(ABS(SIN(D3558*7919.123+ROW()*0.618+'הדבקת לידים'!$F$2*1.3))*43758.5453,1)*1000000)*10000+ROW(),"")</f>
        <v/>
      </c>
      <c r="F3558" s="0" t="str">
        <f aca="false">IF(E3558="","",RANK(E3558,$E$2:$E$5001,1))</f>
        <v/>
      </c>
      <c r="G3558" s="0" t="n">
        <f aca="false">IF(A3558="",0,IF(SUMPRODUCT(--($A$2:$A$5001=A3558))&gt;1,1,0))</f>
        <v>0</v>
      </c>
      <c r="H3558" s="0" t="n">
        <f aca="false">ROW()-1</f>
        <v>3557</v>
      </c>
      <c r="I3558" s="0" t="str">
        <f aca="false">IF(OR(הגדרות!$E$6=0,H3558&gt;הגדרות!$E$5),"",IF(H3558-1&lt;הגדרות!$E$8*(הגדרות!$E$7+1),INT((H3558-1)/(הגדרות!$E$7+1)),הגדרות!$E$8+INT((H3558-1-הגדרות!$E$8*(הגדרות!$E$7+1))/הגדרות!$E$7)))</f>
        <v/>
      </c>
      <c r="J3558" s="0" t="str">
        <f aca="false">IF(I3558="","",IF(H3558-1&lt;הגדרות!$E$8*(הגדרות!$E$7+1),MOD(H3558-1,הגדרות!$E$7+1),MOD(H3558-1-הגדרות!$E$8*(הגדרות!$E$7+1),הגדרות!$E$7)))</f>
        <v/>
      </c>
      <c r="K3558" s="0" t="str">
        <f aca="false">IF(I3558="","",J3558*הגדרות!$E$6+I3558+1)</f>
        <v/>
      </c>
      <c r="L3558" s="0" t="str">
        <f aca="false">IF(K3558="","",MATCH(K3558,$F$2:$F$5001,0))</f>
        <v/>
      </c>
      <c r="M3558" s="0" t="str">
        <f aca="false">IF(I3558="","",INDEX(הגדרות!$A$2:$A$21,MOD(I3558+הגדרות!$E$9,הגדרות!$E$6)+1))</f>
        <v/>
      </c>
    </row>
    <row r="3559" customFormat="false" ht="15" hidden="false" customHeight="false" outlineLevel="0" collapsed="false">
      <c r="A3559" s="0" t="str">
        <f aca="false">IF('הדבקת לידים'!A3559="","",IF(ISNUMBER('הדבקת לידים'!A3559),IF(הגדרות!$E$2&gt;0,TEXT('הדבקת לידים'!A3559,REPT("0",הגדרות!$E$2)),TEXT('הדבקת לידים'!A3559,"0")),TRIM('הדבקת לידים'!A3559)))</f>
        <v/>
      </c>
      <c r="B3559" s="0" t="str">
        <f aca="false">IF('הדבקת לידים'!B3559="","",IF(ISNUMBER('הדבקת לידים'!B3559),IF(הגדרות!$E$3&gt;0,TEXT('הדבקת לידים'!B3559,REPT("0",הגדרות!$E$3)),TEXT('הדבקת לידים'!B3559,"0")),TRIM('הדבקת לידים'!B3559)))</f>
        <v/>
      </c>
      <c r="C3559" s="0" t="n">
        <f aca="false">IF(OR(A3559&lt;&gt;"",B3559&lt;&gt;""),1,0)</f>
        <v>0</v>
      </c>
      <c r="D3559" s="0" t="str">
        <f aca="false">IF(C3559=1,MOD(ABS(SIN(ROW()*12.9898+'הדבקת לידים'!$F$2*78.233+IFERROR(--RIGHT(A3559,6),LEN(A3559))*0.0137+IFERROR(--RIGHT(B3559,6),LEN(B3559))*0.0071))*43758.5453,1),"")</f>
        <v/>
      </c>
      <c r="E3559" s="0" t="str">
        <f aca="false">IF(C3559=1,INT(MOD(ABS(SIN(D3559*7919.123+ROW()*0.618+'הדבקת לידים'!$F$2*1.3))*43758.5453,1)*1000000)*10000+ROW(),"")</f>
        <v/>
      </c>
      <c r="F3559" s="0" t="str">
        <f aca="false">IF(E3559="","",RANK(E3559,$E$2:$E$5001,1))</f>
        <v/>
      </c>
      <c r="G3559" s="0" t="n">
        <f aca="false">IF(A3559="",0,IF(SUMPRODUCT(--($A$2:$A$5001=A3559))&gt;1,1,0))</f>
        <v>0</v>
      </c>
      <c r="H3559" s="0" t="n">
        <f aca="false">ROW()-1</f>
        <v>3558</v>
      </c>
      <c r="I3559" s="0" t="str">
        <f aca="false">IF(OR(הגדרות!$E$6=0,H3559&gt;הגדרות!$E$5),"",IF(H3559-1&lt;הגדרות!$E$8*(הגדרות!$E$7+1),INT((H3559-1)/(הגדרות!$E$7+1)),הגדרות!$E$8+INT((H3559-1-הגדרות!$E$8*(הגדרות!$E$7+1))/הגדרות!$E$7)))</f>
        <v/>
      </c>
      <c r="J3559" s="0" t="str">
        <f aca="false">IF(I3559="","",IF(H3559-1&lt;הגדרות!$E$8*(הגדרות!$E$7+1),MOD(H3559-1,הגדרות!$E$7+1),MOD(H3559-1-הגדרות!$E$8*(הגדרות!$E$7+1),הגדרות!$E$7)))</f>
        <v/>
      </c>
      <c r="K3559" s="0" t="str">
        <f aca="false">IF(I3559="","",J3559*הגדרות!$E$6+I3559+1)</f>
        <v/>
      </c>
      <c r="L3559" s="0" t="str">
        <f aca="false">IF(K3559="","",MATCH(K3559,$F$2:$F$5001,0))</f>
        <v/>
      </c>
      <c r="M3559" s="0" t="str">
        <f aca="false">IF(I3559="","",INDEX(הגדרות!$A$2:$A$21,MOD(I3559+הגדרות!$E$9,הגדרות!$E$6)+1))</f>
        <v/>
      </c>
    </row>
    <row r="3560" customFormat="false" ht="15" hidden="false" customHeight="false" outlineLevel="0" collapsed="false">
      <c r="A3560" s="0" t="str">
        <f aca="false">IF('הדבקת לידים'!A3560="","",IF(ISNUMBER('הדבקת לידים'!A3560),IF(הגדרות!$E$2&gt;0,TEXT('הדבקת לידים'!A3560,REPT("0",הגדרות!$E$2)),TEXT('הדבקת לידים'!A3560,"0")),TRIM('הדבקת לידים'!A3560)))</f>
        <v/>
      </c>
      <c r="B3560" s="0" t="str">
        <f aca="false">IF('הדבקת לידים'!B3560="","",IF(ISNUMBER('הדבקת לידים'!B3560),IF(הגדרות!$E$3&gt;0,TEXT('הדבקת לידים'!B3560,REPT("0",הגדרות!$E$3)),TEXT('הדבקת לידים'!B3560,"0")),TRIM('הדבקת לידים'!B3560)))</f>
        <v/>
      </c>
      <c r="C3560" s="0" t="n">
        <f aca="false">IF(OR(A3560&lt;&gt;"",B3560&lt;&gt;""),1,0)</f>
        <v>0</v>
      </c>
      <c r="D3560" s="0" t="str">
        <f aca="false">IF(C3560=1,MOD(ABS(SIN(ROW()*12.9898+'הדבקת לידים'!$F$2*78.233+IFERROR(--RIGHT(A3560,6),LEN(A3560))*0.0137+IFERROR(--RIGHT(B3560,6),LEN(B3560))*0.0071))*43758.5453,1),"")</f>
        <v/>
      </c>
      <c r="E3560" s="0" t="str">
        <f aca="false">IF(C3560=1,INT(MOD(ABS(SIN(D3560*7919.123+ROW()*0.618+'הדבקת לידים'!$F$2*1.3))*43758.5453,1)*1000000)*10000+ROW(),"")</f>
        <v/>
      </c>
      <c r="F3560" s="0" t="str">
        <f aca="false">IF(E3560="","",RANK(E3560,$E$2:$E$5001,1))</f>
        <v/>
      </c>
      <c r="G3560" s="0" t="n">
        <f aca="false">IF(A3560="",0,IF(SUMPRODUCT(--($A$2:$A$5001=A3560))&gt;1,1,0))</f>
        <v>0</v>
      </c>
      <c r="H3560" s="0" t="n">
        <f aca="false">ROW()-1</f>
        <v>3559</v>
      </c>
      <c r="I3560" s="0" t="str">
        <f aca="false">IF(OR(הגדרות!$E$6=0,H3560&gt;הגדרות!$E$5),"",IF(H3560-1&lt;הגדרות!$E$8*(הגדרות!$E$7+1),INT((H3560-1)/(הגדרות!$E$7+1)),הגדרות!$E$8+INT((H3560-1-הגדרות!$E$8*(הגדרות!$E$7+1))/הגדרות!$E$7)))</f>
        <v/>
      </c>
      <c r="J3560" s="0" t="str">
        <f aca="false">IF(I3560="","",IF(H3560-1&lt;הגדרות!$E$8*(הגדרות!$E$7+1),MOD(H3560-1,הגדרות!$E$7+1),MOD(H3560-1-הגדרות!$E$8*(הגדרות!$E$7+1),הגדרות!$E$7)))</f>
        <v/>
      </c>
      <c r="K3560" s="0" t="str">
        <f aca="false">IF(I3560="","",J3560*הגדרות!$E$6+I3560+1)</f>
        <v/>
      </c>
      <c r="L3560" s="0" t="str">
        <f aca="false">IF(K3560="","",MATCH(K3560,$F$2:$F$5001,0))</f>
        <v/>
      </c>
      <c r="M3560" s="0" t="str">
        <f aca="false">IF(I3560="","",INDEX(הגדרות!$A$2:$A$21,MOD(I3560+הגדרות!$E$9,הגדרות!$E$6)+1))</f>
        <v/>
      </c>
    </row>
    <row r="3561" customFormat="false" ht="15" hidden="false" customHeight="false" outlineLevel="0" collapsed="false">
      <c r="A3561" s="0" t="str">
        <f aca="false">IF('הדבקת לידים'!A3561="","",IF(ISNUMBER('הדבקת לידים'!A3561),IF(הגדרות!$E$2&gt;0,TEXT('הדבקת לידים'!A3561,REPT("0",הגדרות!$E$2)),TEXT('הדבקת לידים'!A3561,"0")),TRIM('הדבקת לידים'!A3561)))</f>
        <v/>
      </c>
      <c r="B3561" s="0" t="str">
        <f aca="false">IF('הדבקת לידים'!B3561="","",IF(ISNUMBER('הדבקת לידים'!B3561),IF(הגדרות!$E$3&gt;0,TEXT('הדבקת לידים'!B3561,REPT("0",הגדרות!$E$3)),TEXT('הדבקת לידים'!B3561,"0")),TRIM('הדבקת לידים'!B3561)))</f>
        <v/>
      </c>
      <c r="C3561" s="0" t="n">
        <f aca="false">IF(OR(A3561&lt;&gt;"",B3561&lt;&gt;""),1,0)</f>
        <v>0</v>
      </c>
      <c r="D3561" s="0" t="str">
        <f aca="false">IF(C3561=1,MOD(ABS(SIN(ROW()*12.9898+'הדבקת לידים'!$F$2*78.233+IFERROR(--RIGHT(A3561,6),LEN(A3561))*0.0137+IFERROR(--RIGHT(B3561,6),LEN(B3561))*0.0071))*43758.5453,1),"")</f>
        <v/>
      </c>
      <c r="E3561" s="0" t="str">
        <f aca="false">IF(C3561=1,INT(MOD(ABS(SIN(D3561*7919.123+ROW()*0.618+'הדבקת לידים'!$F$2*1.3))*43758.5453,1)*1000000)*10000+ROW(),"")</f>
        <v/>
      </c>
      <c r="F3561" s="0" t="str">
        <f aca="false">IF(E3561="","",RANK(E3561,$E$2:$E$5001,1))</f>
        <v/>
      </c>
      <c r="G3561" s="0" t="n">
        <f aca="false">IF(A3561="",0,IF(SUMPRODUCT(--($A$2:$A$5001=A3561))&gt;1,1,0))</f>
        <v>0</v>
      </c>
      <c r="H3561" s="0" t="n">
        <f aca="false">ROW()-1</f>
        <v>3560</v>
      </c>
      <c r="I3561" s="0" t="str">
        <f aca="false">IF(OR(הגדרות!$E$6=0,H3561&gt;הגדרות!$E$5),"",IF(H3561-1&lt;הגדרות!$E$8*(הגדרות!$E$7+1),INT((H3561-1)/(הגדרות!$E$7+1)),הגדרות!$E$8+INT((H3561-1-הגדרות!$E$8*(הגדרות!$E$7+1))/הגדרות!$E$7)))</f>
        <v/>
      </c>
      <c r="J3561" s="0" t="str">
        <f aca="false">IF(I3561="","",IF(H3561-1&lt;הגדרות!$E$8*(הגדרות!$E$7+1),MOD(H3561-1,הגדרות!$E$7+1),MOD(H3561-1-הגדרות!$E$8*(הגדרות!$E$7+1),הגדרות!$E$7)))</f>
        <v/>
      </c>
      <c r="K3561" s="0" t="str">
        <f aca="false">IF(I3561="","",J3561*הגדרות!$E$6+I3561+1)</f>
        <v/>
      </c>
      <c r="L3561" s="0" t="str">
        <f aca="false">IF(K3561="","",MATCH(K3561,$F$2:$F$5001,0))</f>
        <v/>
      </c>
      <c r="M3561" s="0" t="str">
        <f aca="false">IF(I3561="","",INDEX(הגדרות!$A$2:$A$21,MOD(I3561+הגדרות!$E$9,הגדרות!$E$6)+1))</f>
        <v/>
      </c>
    </row>
    <row r="3562" customFormat="false" ht="15" hidden="false" customHeight="false" outlineLevel="0" collapsed="false">
      <c r="A3562" s="0" t="str">
        <f aca="false">IF('הדבקת לידים'!A3562="","",IF(ISNUMBER('הדבקת לידים'!A3562),IF(הגדרות!$E$2&gt;0,TEXT('הדבקת לידים'!A3562,REPT("0",הגדרות!$E$2)),TEXT('הדבקת לידים'!A3562,"0")),TRIM('הדבקת לידים'!A3562)))</f>
        <v/>
      </c>
      <c r="B3562" s="0" t="str">
        <f aca="false">IF('הדבקת לידים'!B3562="","",IF(ISNUMBER('הדבקת לידים'!B3562),IF(הגדרות!$E$3&gt;0,TEXT('הדבקת לידים'!B3562,REPT("0",הגדרות!$E$3)),TEXT('הדבקת לידים'!B3562,"0")),TRIM('הדבקת לידים'!B3562)))</f>
        <v/>
      </c>
      <c r="C3562" s="0" t="n">
        <f aca="false">IF(OR(A3562&lt;&gt;"",B3562&lt;&gt;""),1,0)</f>
        <v>0</v>
      </c>
      <c r="D3562" s="0" t="str">
        <f aca="false">IF(C3562=1,MOD(ABS(SIN(ROW()*12.9898+'הדבקת לידים'!$F$2*78.233+IFERROR(--RIGHT(A3562,6),LEN(A3562))*0.0137+IFERROR(--RIGHT(B3562,6),LEN(B3562))*0.0071))*43758.5453,1),"")</f>
        <v/>
      </c>
      <c r="E3562" s="0" t="str">
        <f aca="false">IF(C3562=1,INT(MOD(ABS(SIN(D3562*7919.123+ROW()*0.618+'הדבקת לידים'!$F$2*1.3))*43758.5453,1)*1000000)*10000+ROW(),"")</f>
        <v/>
      </c>
      <c r="F3562" s="0" t="str">
        <f aca="false">IF(E3562="","",RANK(E3562,$E$2:$E$5001,1))</f>
        <v/>
      </c>
      <c r="G3562" s="0" t="n">
        <f aca="false">IF(A3562="",0,IF(SUMPRODUCT(--($A$2:$A$5001=A3562))&gt;1,1,0))</f>
        <v>0</v>
      </c>
      <c r="H3562" s="0" t="n">
        <f aca="false">ROW()-1</f>
        <v>3561</v>
      </c>
      <c r="I3562" s="0" t="str">
        <f aca="false">IF(OR(הגדרות!$E$6=0,H3562&gt;הגדרות!$E$5),"",IF(H3562-1&lt;הגדרות!$E$8*(הגדרות!$E$7+1),INT((H3562-1)/(הגדרות!$E$7+1)),הגדרות!$E$8+INT((H3562-1-הגדרות!$E$8*(הגדרות!$E$7+1))/הגדרות!$E$7)))</f>
        <v/>
      </c>
      <c r="J3562" s="0" t="str">
        <f aca="false">IF(I3562="","",IF(H3562-1&lt;הגדרות!$E$8*(הגדרות!$E$7+1),MOD(H3562-1,הגדרות!$E$7+1),MOD(H3562-1-הגדרות!$E$8*(הגדרות!$E$7+1),הגדרות!$E$7)))</f>
        <v/>
      </c>
      <c r="K3562" s="0" t="str">
        <f aca="false">IF(I3562="","",J3562*הגדרות!$E$6+I3562+1)</f>
        <v/>
      </c>
      <c r="L3562" s="0" t="str">
        <f aca="false">IF(K3562="","",MATCH(K3562,$F$2:$F$5001,0))</f>
        <v/>
      </c>
      <c r="M3562" s="0" t="str">
        <f aca="false">IF(I3562="","",INDEX(הגדרות!$A$2:$A$21,MOD(I3562+הגדרות!$E$9,הגדרות!$E$6)+1))</f>
        <v/>
      </c>
    </row>
    <row r="3563" customFormat="false" ht="15" hidden="false" customHeight="false" outlineLevel="0" collapsed="false">
      <c r="A3563" s="0" t="str">
        <f aca="false">IF('הדבקת לידים'!A3563="","",IF(ISNUMBER('הדבקת לידים'!A3563),IF(הגדרות!$E$2&gt;0,TEXT('הדבקת לידים'!A3563,REPT("0",הגדרות!$E$2)),TEXT('הדבקת לידים'!A3563,"0")),TRIM('הדבקת לידים'!A3563)))</f>
        <v/>
      </c>
      <c r="B3563" s="0" t="str">
        <f aca="false">IF('הדבקת לידים'!B3563="","",IF(ISNUMBER('הדבקת לידים'!B3563),IF(הגדרות!$E$3&gt;0,TEXT('הדבקת לידים'!B3563,REPT("0",הגדרות!$E$3)),TEXT('הדבקת לידים'!B3563,"0")),TRIM('הדבקת לידים'!B3563)))</f>
        <v/>
      </c>
      <c r="C3563" s="0" t="n">
        <f aca="false">IF(OR(A3563&lt;&gt;"",B3563&lt;&gt;""),1,0)</f>
        <v>0</v>
      </c>
      <c r="D3563" s="0" t="str">
        <f aca="false">IF(C3563=1,MOD(ABS(SIN(ROW()*12.9898+'הדבקת לידים'!$F$2*78.233+IFERROR(--RIGHT(A3563,6),LEN(A3563))*0.0137+IFERROR(--RIGHT(B3563,6),LEN(B3563))*0.0071))*43758.5453,1),"")</f>
        <v/>
      </c>
      <c r="E3563" s="0" t="str">
        <f aca="false">IF(C3563=1,INT(MOD(ABS(SIN(D3563*7919.123+ROW()*0.618+'הדבקת לידים'!$F$2*1.3))*43758.5453,1)*1000000)*10000+ROW(),"")</f>
        <v/>
      </c>
      <c r="F3563" s="0" t="str">
        <f aca="false">IF(E3563="","",RANK(E3563,$E$2:$E$5001,1))</f>
        <v/>
      </c>
      <c r="G3563" s="0" t="n">
        <f aca="false">IF(A3563="",0,IF(SUMPRODUCT(--($A$2:$A$5001=A3563))&gt;1,1,0))</f>
        <v>0</v>
      </c>
      <c r="H3563" s="0" t="n">
        <f aca="false">ROW()-1</f>
        <v>3562</v>
      </c>
      <c r="I3563" s="0" t="str">
        <f aca="false">IF(OR(הגדרות!$E$6=0,H3563&gt;הגדרות!$E$5),"",IF(H3563-1&lt;הגדרות!$E$8*(הגדרות!$E$7+1),INT((H3563-1)/(הגדרות!$E$7+1)),הגדרות!$E$8+INT((H3563-1-הגדרות!$E$8*(הגדרות!$E$7+1))/הגדרות!$E$7)))</f>
        <v/>
      </c>
      <c r="J3563" s="0" t="str">
        <f aca="false">IF(I3563="","",IF(H3563-1&lt;הגדרות!$E$8*(הגדרות!$E$7+1),MOD(H3563-1,הגדרות!$E$7+1),MOD(H3563-1-הגדרות!$E$8*(הגדרות!$E$7+1),הגדרות!$E$7)))</f>
        <v/>
      </c>
      <c r="K3563" s="0" t="str">
        <f aca="false">IF(I3563="","",J3563*הגדרות!$E$6+I3563+1)</f>
        <v/>
      </c>
      <c r="L3563" s="0" t="str">
        <f aca="false">IF(K3563="","",MATCH(K3563,$F$2:$F$5001,0))</f>
        <v/>
      </c>
      <c r="M3563" s="0" t="str">
        <f aca="false">IF(I3563="","",INDEX(הגדרות!$A$2:$A$21,MOD(I3563+הגדרות!$E$9,הגדרות!$E$6)+1))</f>
        <v/>
      </c>
    </row>
    <row r="3564" customFormat="false" ht="15" hidden="false" customHeight="false" outlineLevel="0" collapsed="false">
      <c r="A3564" s="0" t="str">
        <f aca="false">IF('הדבקת לידים'!A3564="","",IF(ISNUMBER('הדבקת לידים'!A3564),IF(הגדרות!$E$2&gt;0,TEXT('הדבקת לידים'!A3564,REPT("0",הגדרות!$E$2)),TEXT('הדבקת לידים'!A3564,"0")),TRIM('הדבקת לידים'!A3564)))</f>
        <v/>
      </c>
      <c r="B3564" s="0" t="str">
        <f aca="false">IF('הדבקת לידים'!B3564="","",IF(ISNUMBER('הדבקת לידים'!B3564),IF(הגדרות!$E$3&gt;0,TEXT('הדבקת לידים'!B3564,REPT("0",הגדרות!$E$3)),TEXT('הדבקת לידים'!B3564,"0")),TRIM('הדבקת לידים'!B3564)))</f>
        <v/>
      </c>
      <c r="C3564" s="0" t="n">
        <f aca="false">IF(OR(A3564&lt;&gt;"",B3564&lt;&gt;""),1,0)</f>
        <v>0</v>
      </c>
      <c r="D3564" s="0" t="str">
        <f aca="false">IF(C3564=1,MOD(ABS(SIN(ROW()*12.9898+'הדבקת לידים'!$F$2*78.233+IFERROR(--RIGHT(A3564,6),LEN(A3564))*0.0137+IFERROR(--RIGHT(B3564,6),LEN(B3564))*0.0071))*43758.5453,1),"")</f>
        <v/>
      </c>
      <c r="E3564" s="0" t="str">
        <f aca="false">IF(C3564=1,INT(MOD(ABS(SIN(D3564*7919.123+ROW()*0.618+'הדבקת לידים'!$F$2*1.3))*43758.5453,1)*1000000)*10000+ROW(),"")</f>
        <v/>
      </c>
      <c r="F3564" s="0" t="str">
        <f aca="false">IF(E3564="","",RANK(E3564,$E$2:$E$5001,1))</f>
        <v/>
      </c>
      <c r="G3564" s="0" t="n">
        <f aca="false">IF(A3564="",0,IF(SUMPRODUCT(--($A$2:$A$5001=A3564))&gt;1,1,0))</f>
        <v>0</v>
      </c>
      <c r="H3564" s="0" t="n">
        <f aca="false">ROW()-1</f>
        <v>3563</v>
      </c>
      <c r="I3564" s="0" t="str">
        <f aca="false">IF(OR(הגדרות!$E$6=0,H3564&gt;הגדרות!$E$5),"",IF(H3564-1&lt;הגדרות!$E$8*(הגדרות!$E$7+1),INT((H3564-1)/(הגדרות!$E$7+1)),הגדרות!$E$8+INT((H3564-1-הגדרות!$E$8*(הגדרות!$E$7+1))/הגדרות!$E$7)))</f>
        <v/>
      </c>
      <c r="J3564" s="0" t="str">
        <f aca="false">IF(I3564="","",IF(H3564-1&lt;הגדרות!$E$8*(הגדרות!$E$7+1),MOD(H3564-1,הגדרות!$E$7+1),MOD(H3564-1-הגדרות!$E$8*(הגדרות!$E$7+1),הגדרות!$E$7)))</f>
        <v/>
      </c>
      <c r="K3564" s="0" t="str">
        <f aca="false">IF(I3564="","",J3564*הגדרות!$E$6+I3564+1)</f>
        <v/>
      </c>
      <c r="L3564" s="0" t="str">
        <f aca="false">IF(K3564="","",MATCH(K3564,$F$2:$F$5001,0))</f>
        <v/>
      </c>
      <c r="M3564" s="0" t="str">
        <f aca="false">IF(I3564="","",INDEX(הגדרות!$A$2:$A$21,MOD(I3564+הגדרות!$E$9,הגדרות!$E$6)+1))</f>
        <v/>
      </c>
    </row>
    <row r="3565" customFormat="false" ht="15" hidden="false" customHeight="false" outlineLevel="0" collapsed="false">
      <c r="A3565" s="0" t="str">
        <f aca="false">IF('הדבקת לידים'!A3565="","",IF(ISNUMBER('הדבקת לידים'!A3565),IF(הגדרות!$E$2&gt;0,TEXT('הדבקת לידים'!A3565,REPT("0",הגדרות!$E$2)),TEXT('הדבקת לידים'!A3565,"0")),TRIM('הדבקת לידים'!A3565)))</f>
        <v/>
      </c>
      <c r="B3565" s="0" t="str">
        <f aca="false">IF('הדבקת לידים'!B3565="","",IF(ISNUMBER('הדבקת לידים'!B3565),IF(הגדרות!$E$3&gt;0,TEXT('הדבקת לידים'!B3565,REPT("0",הגדרות!$E$3)),TEXT('הדבקת לידים'!B3565,"0")),TRIM('הדבקת לידים'!B3565)))</f>
        <v/>
      </c>
      <c r="C3565" s="0" t="n">
        <f aca="false">IF(OR(A3565&lt;&gt;"",B3565&lt;&gt;""),1,0)</f>
        <v>0</v>
      </c>
      <c r="D3565" s="0" t="str">
        <f aca="false">IF(C3565=1,MOD(ABS(SIN(ROW()*12.9898+'הדבקת לידים'!$F$2*78.233+IFERROR(--RIGHT(A3565,6),LEN(A3565))*0.0137+IFERROR(--RIGHT(B3565,6),LEN(B3565))*0.0071))*43758.5453,1),"")</f>
        <v/>
      </c>
      <c r="E3565" s="0" t="str">
        <f aca="false">IF(C3565=1,INT(MOD(ABS(SIN(D3565*7919.123+ROW()*0.618+'הדבקת לידים'!$F$2*1.3))*43758.5453,1)*1000000)*10000+ROW(),"")</f>
        <v/>
      </c>
      <c r="F3565" s="0" t="str">
        <f aca="false">IF(E3565="","",RANK(E3565,$E$2:$E$5001,1))</f>
        <v/>
      </c>
      <c r="G3565" s="0" t="n">
        <f aca="false">IF(A3565="",0,IF(SUMPRODUCT(--($A$2:$A$5001=A3565))&gt;1,1,0))</f>
        <v>0</v>
      </c>
      <c r="H3565" s="0" t="n">
        <f aca="false">ROW()-1</f>
        <v>3564</v>
      </c>
      <c r="I3565" s="0" t="str">
        <f aca="false">IF(OR(הגדרות!$E$6=0,H3565&gt;הגדרות!$E$5),"",IF(H3565-1&lt;הגדרות!$E$8*(הגדרות!$E$7+1),INT((H3565-1)/(הגדרות!$E$7+1)),הגדרות!$E$8+INT((H3565-1-הגדרות!$E$8*(הגדרות!$E$7+1))/הגדרות!$E$7)))</f>
        <v/>
      </c>
      <c r="J3565" s="0" t="str">
        <f aca="false">IF(I3565="","",IF(H3565-1&lt;הגדרות!$E$8*(הגדרות!$E$7+1),MOD(H3565-1,הגדרות!$E$7+1),MOD(H3565-1-הגדרות!$E$8*(הגדרות!$E$7+1),הגדרות!$E$7)))</f>
        <v/>
      </c>
      <c r="K3565" s="0" t="str">
        <f aca="false">IF(I3565="","",J3565*הגדרות!$E$6+I3565+1)</f>
        <v/>
      </c>
      <c r="L3565" s="0" t="str">
        <f aca="false">IF(K3565="","",MATCH(K3565,$F$2:$F$5001,0))</f>
        <v/>
      </c>
      <c r="M3565" s="0" t="str">
        <f aca="false">IF(I3565="","",INDEX(הגדרות!$A$2:$A$21,MOD(I3565+הגדרות!$E$9,הגדרות!$E$6)+1))</f>
        <v/>
      </c>
    </row>
    <row r="3566" customFormat="false" ht="15" hidden="false" customHeight="false" outlineLevel="0" collapsed="false">
      <c r="A3566" s="0" t="str">
        <f aca="false">IF('הדבקת לידים'!A3566="","",IF(ISNUMBER('הדבקת לידים'!A3566),IF(הגדרות!$E$2&gt;0,TEXT('הדבקת לידים'!A3566,REPT("0",הגדרות!$E$2)),TEXT('הדבקת לידים'!A3566,"0")),TRIM('הדבקת לידים'!A3566)))</f>
        <v/>
      </c>
      <c r="B3566" s="0" t="str">
        <f aca="false">IF('הדבקת לידים'!B3566="","",IF(ISNUMBER('הדבקת לידים'!B3566),IF(הגדרות!$E$3&gt;0,TEXT('הדבקת לידים'!B3566,REPT("0",הגדרות!$E$3)),TEXT('הדבקת לידים'!B3566,"0")),TRIM('הדבקת לידים'!B3566)))</f>
        <v/>
      </c>
      <c r="C3566" s="0" t="n">
        <f aca="false">IF(OR(A3566&lt;&gt;"",B3566&lt;&gt;""),1,0)</f>
        <v>0</v>
      </c>
      <c r="D3566" s="0" t="str">
        <f aca="false">IF(C3566=1,MOD(ABS(SIN(ROW()*12.9898+'הדבקת לידים'!$F$2*78.233+IFERROR(--RIGHT(A3566,6),LEN(A3566))*0.0137+IFERROR(--RIGHT(B3566,6),LEN(B3566))*0.0071))*43758.5453,1),"")</f>
        <v/>
      </c>
      <c r="E3566" s="0" t="str">
        <f aca="false">IF(C3566=1,INT(MOD(ABS(SIN(D3566*7919.123+ROW()*0.618+'הדבקת לידים'!$F$2*1.3))*43758.5453,1)*1000000)*10000+ROW(),"")</f>
        <v/>
      </c>
      <c r="F3566" s="0" t="str">
        <f aca="false">IF(E3566="","",RANK(E3566,$E$2:$E$5001,1))</f>
        <v/>
      </c>
      <c r="G3566" s="0" t="n">
        <f aca="false">IF(A3566="",0,IF(SUMPRODUCT(--($A$2:$A$5001=A3566))&gt;1,1,0))</f>
        <v>0</v>
      </c>
      <c r="H3566" s="0" t="n">
        <f aca="false">ROW()-1</f>
        <v>3565</v>
      </c>
      <c r="I3566" s="0" t="str">
        <f aca="false">IF(OR(הגדרות!$E$6=0,H3566&gt;הגדרות!$E$5),"",IF(H3566-1&lt;הגדרות!$E$8*(הגדרות!$E$7+1),INT((H3566-1)/(הגדרות!$E$7+1)),הגדרות!$E$8+INT((H3566-1-הגדרות!$E$8*(הגדרות!$E$7+1))/הגדרות!$E$7)))</f>
        <v/>
      </c>
      <c r="J3566" s="0" t="str">
        <f aca="false">IF(I3566="","",IF(H3566-1&lt;הגדרות!$E$8*(הגדרות!$E$7+1),MOD(H3566-1,הגדרות!$E$7+1),MOD(H3566-1-הגדרות!$E$8*(הגדרות!$E$7+1),הגדרות!$E$7)))</f>
        <v/>
      </c>
      <c r="K3566" s="0" t="str">
        <f aca="false">IF(I3566="","",J3566*הגדרות!$E$6+I3566+1)</f>
        <v/>
      </c>
      <c r="L3566" s="0" t="str">
        <f aca="false">IF(K3566="","",MATCH(K3566,$F$2:$F$5001,0))</f>
        <v/>
      </c>
      <c r="M3566" s="0" t="str">
        <f aca="false">IF(I3566="","",INDEX(הגדרות!$A$2:$A$21,MOD(I3566+הגדרות!$E$9,הגדרות!$E$6)+1))</f>
        <v/>
      </c>
    </row>
    <row r="3567" customFormat="false" ht="15" hidden="false" customHeight="false" outlineLevel="0" collapsed="false">
      <c r="A3567" s="0" t="str">
        <f aca="false">IF('הדבקת לידים'!A3567="","",IF(ISNUMBER('הדבקת לידים'!A3567),IF(הגדרות!$E$2&gt;0,TEXT('הדבקת לידים'!A3567,REPT("0",הגדרות!$E$2)),TEXT('הדבקת לידים'!A3567,"0")),TRIM('הדבקת לידים'!A3567)))</f>
        <v/>
      </c>
      <c r="B3567" s="0" t="str">
        <f aca="false">IF('הדבקת לידים'!B3567="","",IF(ISNUMBER('הדבקת לידים'!B3567),IF(הגדרות!$E$3&gt;0,TEXT('הדבקת לידים'!B3567,REPT("0",הגדרות!$E$3)),TEXT('הדבקת לידים'!B3567,"0")),TRIM('הדבקת לידים'!B3567)))</f>
        <v/>
      </c>
      <c r="C3567" s="0" t="n">
        <f aca="false">IF(OR(A3567&lt;&gt;"",B3567&lt;&gt;""),1,0)</f>
        <v>0</v>
      </c>
      <c r="D3567" s="0" t="str">
        <f aca="false">IF(C3567=1,MOD(ABS(SIN(ROW()*12.9898+'הדבקת לידים'!$F$2*78.233+IFERROR(--RIGHT(A3567,6),LEN(A3567))*0.0137+IFERROR(--RIGHT(B3567,6),LEN(B3567))*0.0071))*43758.5453,1),"")</f>
        <v/>
      </c>
      <c r="E3567" s="0" t="str">
        <f aca="false">IF(C3567=1,INT(MOD(ABS(SIN(D3567*7919.123+ROW()*0.618+'הדבקת לידים'!$F$2*1.3))*43758.5453,1)*1000000)*10000+ROW(),"")</f>
        <v/>
      </c>
      <c r="F3567" s="0" t="str">
        <f aca="false">IF(E3567="","",RANK(E3567,$E$2:$E$5001,1))</f>
        <v/>
      </c>
      <c r="G3567" s="0" t="n">
        <f aca="false">IF(A3567="",0,IF(SUMPRODUCT(--($A$2:$A$5001=A3567))&gt;1,1,0))</f>
        <v>0</v>
      </c>
      <c r="H3567" s="0" t="n">
        <f aca="false">ROW()-1</f>
        <v>3566</v>
      </c>
      <c r="I3567" s="0" t="str">
        <f aca="false">IF(OR(הגדרות!$E$6=0,H3567&gt;הגדרות!$E$5),"",IF(H3567-1&lt;הגדרות!$E$8*(הגדרות!$E$7+1),INT((H3567-1)/(הגדרות!$E$7+1)),הגדרות!$E$8+INT((H3567-1-הגדרות!$E$8*(הגדרות!$E$7+1))/הגדרות!$E$7)))</f>
        <v/>
      </c>
      <c r="J3567" s="0" t="str">
        <f aca="false">IF(I3567="","",IF(H3567-1&lt;הגדרות!$E$8*(הגדרות!$E$7+1),MOD(H3567-1,הגדרות!$E$7+1),MOD(H3567-1-הגדרות!$E$8*(הגדרות!$E$7+1),הגדרות!$E$7)))</f>
        <v/>
      </c>
      <c r="K3567" s="0" t="str">
        <f aca="false">IF(I3567="","",J3567*הגדרות!$E$6+I3567+1)</f>
        <v/>
      </c>
      <c r="L3567" s="0" t="str">
        <f aca="false">IF(K3567="","",MATCH(K3567,$F$2:$F$5001,0))</f>
        <v/>
      </c>
      <c r="M3567" s="0" t="str">
        <f aca="false">IF(I3567="","",INDEX(הגדרות!$A$2:$A$21,MOD(I3567+הגדרות!$E$9,הגדרות!$E$6)+1))</f>
        <v/>
      </c>
    </row>
    <row r="3568" customFormat="false" ht="15" hidden="false" customHeight="false" outlineLevel="0" collapsed="false">
      <c r="A3568" s="0" t="str">
        <f aca="false">IF('הדבקת לידים'!A3568="","",IF(ISNUMBER('הדבקת לידים'!A3568),IF(הגדרות!$E$2&gt;0,TEXT('הדבקת לידים'!A3568,REPT("0",הגדרות!$E$2)),TEXT('הדבקת לידים'!A3568,"0")),TRIM('הדבקת לידים'!A3568)))</f>
        <v/>
      </c>
      <c r="B3568" s="0" t="str">
        <f aca="false">IF('הדבקת לידים'!B3568="","",IF(ISNUMBER('הדבקת לידים'!B3568),IF(הגדרות!$E$3&gt;0,TEXT('הדבקת לידים'!B3568,REPT("0",הגדרות!$E$3)),TEXT('הדבקת לידים'!B3568,"0")),TRIM('הדבקת לידים'!B3568)))</f>
        <v/>
      </c>
      <c r="C3568" s="0" t="n">
        <f aca="false">IF(OR(A3568&lt;&gt;"",B3568&lt;&gt;""),1,0)</f>
        <v>0</v>
      </c>
      <c r="D3568" s="0" t="str">
        <f aca="false">IF(C3568=1,MOD(ABS(SIN(ROW()*12.9898+'הדבקת לידים'!$F$2*78.233+IFERROR(--RIGHT(A3568,6),LEN(A3568))*0.0137+IFERROR(--RIGHT(B3568,6),LEN(B3568))*0.0071))*43758.5453,1),"")</f>
        <v/>
      </c>
      <c r="E3568" s="0" t="str">
        <f aca="false">IF(C3568=1,INT(MOD(ABS(SIN(D3568*7919.123+ROW()*0.618+'הדבקת לידים'!$F$2*1.3))*43758.5453,1)*1000000)*10000+ROW(),"")</f>
        <v/>
      </c>
      <c r="F3568" s="0" t="str">
        <f aca="false">IF(E3568="","",RANK(E3568,$E$2:$E$5001,1))</f>
        <v/>
      </c>
      <c r="G3568" s="0" t="n">
        <f aca="false">IF(A3568="",0,IF(SUMPRODUCT(--($A$2:$A$5001=A3568))&gt;1,1,0))</f>
        <v>0</v>
      </c>
      <c r="H3568" s="0" t="n">
        <f aca="false">ROW()-1</f>
        <v>3567</v>
      </c>
      <c r="I3568" s="0" t="str">
        <f aca="false">IF(OR(הגדרות!$E$6=0,H3568&gt;הגדרות!$E$5),"",IF(H3568-1&lt;הגדרות!$E$8*(הגדרות!$E$7+1),INT((H3568-1)/(הגדרות!$E$7+1)),הגדרות!$E$8+INT((H3568-1-הגדרות!$E$8*(הגדרות!$E$7+1))/הגדרות!$E$7)))</f>
        <v/>
      </c>
      <c r="J3568" s="0" t="str">
        <f aca="false">IF(I3568="","",IF(H3568-1&lt;הגדרות!$E$8*(הגדרות!$E$7+1),MOD(H3568-1,הגדרות!$E$7+1),MOD(H3568-1-הגדרות!$E$8*(הגדרות!$E$7+1),הגדרות!$E$7)))</f>
        <v/>
      </c>
      <c r="K3568" s="0" t="str">
        <f aca="false">IF(I3568="","",J3568*הגדרות!$E$6+I3568+1)</f>
        <v/>
      </c>
      <c r="L3568" s="0" t="str">
        <f aca="false">IF(K3568="","",MATCH(K3568,$F$2:$F$5001,0))</f>
        <v/>
      </c>
      <c r="M3568" s="0" t="str">
        <f aca="false">IF(I3568="","",INDEX(הגדרות!$A$2:$A$21,MOD(I3568+הגדרות!$E$9,הגדרות!$E$6)+1))</f>
        <v/>
      </c>
    </row>
    <row r="3569" customFormat="false" ht="15" hidden="false" customHeight="false" outlineLevel="0" collapsed="false">
      <c r="A3569" s="0" t="str">
        <f aca="false">IF('הדבקת לידים'!A3569="","",IF(ISNUMBER('הדבקת לידים'!A3569),IF(הגדרות!$E$2&gt;0,TEXT('הדבקת לידים'!A3569,REPT("0",הגדרות!$E$2)),TEXT('הדבקת לידים'!A3569,"0")),TRIM('הדבקת לידים'!A3569)))</f>
        <v/>
      </c>
      <c r="B3569" s="0" t="str">
        <f aca="false">IF('הדבקת לידים'!B3569="","",IF(ISNUMBER('הדבקת לידים'!B3569),IF(הגדרות!$E$3&gt;0,TEXT('הדבקת לידים'!B3569,REPT("0",הגדרות!$E$3)),TEXT('הדבקת לידים'!B3569,"0")),TRIM('הדבקת לידים'!B3569)))</f>
        <v/>
      </c>
      <c r="C3569" s="0" t="n">
        <f aca="false">IF(OR(A3569&lt;&gt;"",B3569&lt;&gt;""),1,0)</f>
        <v>0</v>
      </c>
      <c r="D3569" s="0" t="str">
        <f aca="false">IF(C3569=1,MOD(ABS(SIN(ROW()*12.9898+'הדבקת לידים'!$F$2*78.233+IFERROR(--RIGHT(A3569,6),LEN(A3569))*0.0137+IFERROR(--RIGHT(B3569,6),LEN(B3569))*0.0071))*43758.5453,1),"")</f>
        <v/>
      </c>
      <c r="E3569" s="0" t="str">
        <f aca="false">IF(C3569=1,INT(MOD(ABS(SIN(D3569*7919.123+ROW()*0.618+'הדבקת לידים'!$F$2*1.3))*43758.5453,1)*1000000)*10000+ROW(),"")</f>
        <v/>
      </c>
      <c r="F3569" s="0" t="str">
        <f aca="false">IF(E3569="","",RANK(E3569,$E$2:$E$5001,1))</f>
        <v/>
      </c>
      <c r="G3569" s="0" t="n">
        <f aca="false">IF(A3569="",0,IF(SUMPRODUCT(--($A$2:$A$5001=A3569))&gt;1,1,0))</f>
        <v>0</v>
      </c>
      <c r="H3569" s="0" t="n">
        <f aca="false">ROW()-1</f>
        <v>3568</v>
      </c>
      <c r="I3569" s="0" t="str">
        <f aca="false">IF(OR(הגדרות!$E$6=0,H3569&gt;הגדרות!$E$5),"",IF(H3569-1&lt;הגדרות!$E$8*(הגדרות!$E$7+1),INT((H3569-1)/(הגדרות!$E$7+1)),הגדרות!$E$8+INT((H3569-1-הגדרות!$E$8*(הגדרות!$E$7+1))/הגדרות!$E$7)))</f>
        <v/>
      </c>
      <c r="J3569" s="0" t="str">
        <f aca="false">IF(I3569="","",IF(H3569-1&lt;הגדרות!$E$8*(הגדרות!$E$7+1),MOD(H3569-1,הגדרות!$E$7+1),MOD(H3569-1-הגדרות!$E$8*(הגדרות!$E$7+1),הגדרות!$E$7)))</f>
        <v/>
      </c>
      <c r="K3569" s="0" t="str">
        <f aca="false">IF(I3569="","",J3569*הגדרות!$E$6+I3569+1)</f>
        <v/>
      </c>
      <c r="L3569" s="0" t="str">
        <f aca="false">IF(K3569="","",MATCH(K3569,$F$2:$F$5001,0))</f>
        <v/>
      </c>
      <c r="M3569" s="0" t="str">
        <f aca="false">IF(I3569="","",INDEX(הגדרות!$A$2:$A$21,MOD(I3569+הגדרות!$E$9,הגדרות!$E$6)+1))</f>
        <v/>
      </c>
    </row>
    <row r="3570" customFormat="false" ht="15" hidden="false" customHeight="false" outlineLevel="0" collapsed="false">
      <c r="A3570" s="0" t="str">
        <f aca="false">IF('הדבקת לידים'!A3570="","",IF(ISNUMBER('הדבקת לידים'!A3570),IF(הגדרות!$E$2&gt;0,TEXT('הדבקת לידים'!A3570,REPT("0",הגדרות!$E$2)),TEXT('הדבקת לידים'!A3570,"0")),TRIM('הדבקת לידים'!A3570)))</f>
        <v/>
      </c>
      <c r="B3570" s="0" t="str">
        <f aca="false">IF('הדבקת לידים'!B3570="","",IF(ISNUMBER('הדבקת לידים'!B3570),IF(הגדרות!$E$3&gt;0,TEXT('הדבקת לידים'!B3570,REPT("0",הגדרות!$E$3)),TEXT('הדבקת לידים'!B3570,"0")),TRIM('הדבקת לידים'!B3570)))</f>
        <v/>
      </c>
      <c r="C3570" s="0" t="n">
        <f aca="false">IF(OR(A3570&lt;&gt;"",B3570&lt;&gt;""),1,0)</f>
        <v>0</v>
      </c>
      <c r="D3570" s="0" t="str">
        <f aca="false">IF(C3570=1,MOD(ABS(SIN(ROW()*12.9898+'הדבקת לידים'!$F$2*78.233+IFERROR(--RIGHT(A3570,6),LEN(A3570))*0.0137+IFERROR(--RIGHT(B3570,6),LEN(B3570))*0.0071))*43758.5453,1),"")</f>
        <v/>
      </c>
      <c r="E3570" s="0" t="str">
        <f aca="false">IF(C3570=1,INT(MOD(ABS(SIN(D3570*7919.123+ROW()*0.618+'הדבקת לידים'!$F$2*1.3))*43758.5453,1)*1000000)*10000+ROW(),"")</f>
        <v/>
      </c>
      <c r="F3570" s="0" t="str">
        <f aca="false">IF(E3570="","",RANK(E3570,$E$2:$E$5001,1))</f>
        <v/>
      </c>
      <c r="G3570" s="0" t="n">
        <f aca="false">IF(A3570="",0,IF(SUMPRODUCT(--($A$2:$A$5001=A3570))&gt;1,1,0))</f>
        <v>0</v>
      </c>
      <c r="H3570" s="0" t="n">
        <f aca="false">ROW()-1</f>
        <v>3569</v>
      </c>
      <c r="I3570" s="0" t="str">
        <f aca="false">IF(OR(הגדרות!$E$6=0,H3570&gt;הגדרות!$E$5),"",IF(H3570-1&lt;הגדרות!$E$8*(הגדרות!$E$7+1),INT((H3570-1)/(הגדרות!$E$7+1)),הגדרות!$E$8+INT((H3570-1-הגדרות!$E$8*(הגדרות!$E$7+1))/הגדרות!$E$7)))</f>
        <v/>
      </c>
      <c r="J3570" s="0" t="str">
        <f aca="false">IF(I3570="","",IF(H3570-1&lt;הגדרות!$E$8*(הגדרות!$E$7+1),MOD(H3570-1,הגדרות!$E$7+1),MOD(H3570-1-הגדרות!$E$8*(הגדרות!$E$7+1),הגדרות!$E$7)))</f>
        <v/>
      </c>
      <c r="K3570" s="0" t="str">
        <f aca="false">IF(I3570="","",J3570*הגדרות!$E$6+I3570+1)</f>
        <v/>
      </c>
      <c r="L3570" s="0" t="str">
        <f aca="false">IF(K3570="","",MATCH(K3570,$F$2:$F$5001,0))</f>
        <v/>
      </c>
      <c r="M3570" s="0" t="str">
        <f aca="false">IF(I3570="","",INDEX(הגדרות!$A$2:$A$21,MOD(I3570+הגדרות!$E$9,הגדרות!$E$6)+1))</f>
        <v/>
      </c>
    </row>
    <row r="3571" customFormat="false" ht="15" hidden="false" customHeight="false" outlineLevel="0" collapsed="false">
      <c r="A3571" s="0" t="str">
        <f aca="false">IF('הדבקת לידים'!A3571="","",IF(ISNUMBER('הדבקת לידים'!A3571),IF(הגדרות!$E$2&gt;0,TEXT('הדבקת לידים'!A3571,REPT("0",הגדרות!$E$2)),TEXT('הדבקת לידים'!A3571,"0")),TRIM('הדבקת לידים'!A3571)))</f>
        <v/>
      </c>
      <c r="B3571" s="0" t="str">
        <f aca="false">IF('הדבקת לידים'!B3571="","",IF(ISNUMBER('הדבקת לידים'!B3571),IF(הגדרות!$E$3&gt;0,TEXT('הדבקת לידים'!B3571,REPT("0",הגדרות!$E$3)),TEXT('הדבקת לידים'!B3571,"0")),TRIM('הדבקת לידים'!B3571)))</f>
        <v/>
      </c>
      <c r="C3571" s="0" t="n">
        <f aca="false">IF(OR(A3571&lt;&gt;"",B3571&lt;&gt;""),1,0)</f>
        <v>0</v>
      </c>
      <c r="D3571" s="0" t="str">
        <f aca="false">IF(C3571=1,MOD(ABS(SIN(ROW()*12.9898+'הדבקת לידים'!$F$2*78.233+IFERROR(--RIGHT(A3571,6),LEN(A3571))*0.0137+IFERROR(--RIGHT(B3571,6),LEN(B3571))*0.0071))*43758.5453,1),"")</f>
        <v/>
      </c>
      <c r="E3571" s="0" t="str">
        <f aca="false">IF(C3571=1,INT(MOD(ABS(SIN(D3571*7919.123+ROW()*0.618+'הדבקת לידים'!$F$2*1.3))*43758.5453,1)*1000000)*10000+ROW(),"")</f>
        <v/>
      </c>
      <c r="F3571" s="0" t="str">
        <f aca="false">IF(E3571="","",RANK(E3571,$E$2:$E$5001,1))</f>
        <v/>
      </c>
      <c r="G3571" s="0" t="n">
        <f aca="false">IF(A3571="",0,IF(SUMPRODUCT(--($A$2:$A$5001=A3571))&gt;1,1,0))</f>
        <v>0</v>
      </c>
      <c r="H3571" s="0" t="n">
        <f aca="false">ROW()-1</f>
        <v>3570</v>
      </c>
      <c r="I3571" s="0" t="str">
        <f aca="false">IF(OR(הגדרות!$E$6=0,H3571&gt;הגדרות!$E$5),"",IF(H3571-1&lt;הגדרות!$E$8*(הגדרות!$E$7+1),INT((H3571-1)/(הגדרות!$E$7+1)),הגדרות!$E$8+INT((H3571-1-הגדרות!$E$8*(הגדרות!$E$7+1))/הגדרות!$E$7)))</f>
        <v/>
      </c>
      <c r="J3571" s="0" t="str">
        <f aca="false">IF(I3571="","",IF(H3571-1&lt;הגדרות!$E$8*(הגדרות!$E$7+1),MOD(H3571-1,הגדרות!$E$7+1),MOD(H3571-1-הגדרות!$E$8*(הגדרות!$E$7+1),הגדרות!$E$7)))</f>
        <v/>
      </c>
      <c r="K3571" s="0" t="str">
        <f aca="false">IF(I3571="","",J3571*הגדרות!$E$6+I3571+1)</f>
        <v/>
      </c>
      <c r="L3571" s="0" t="str">
        <f aca="false">IF(K3571="","",MATCH(K3571,$F$2:$F$5001,0))</f>
        <v/>
      </c>
      <c r="M3571" s="0" t="str">
        <f aca="false">IF(I3571="","",INDEX(הגדרות!$A$2:$A$21,MOD(I3571+הגדרות!$E$9,הגדרות!$E$6)+1))</f>
        <v/>
      </c>
    </row>
    <row r="3572" customFormat="false" ht="15" hidden="false" customHeight="false" outlineLevel="0" collapsed="false">
      <c r="A3572" s="0" t="str">
        <f aca="false">IF('הדבקת לידים'!A3572="","",IF(ISNUMBER('הדבקת לידים'!A3572),IF(הגדרות!$E$2&gt;0,TEXT('הדבקת לידים'!A3572,REPT("0",הגדרות!$E$2)),TEXT('הדבקת לידים'!A3572,"0")),TRIM('הדבקת לידים'!A3572)))</f>
        <v/>
      </c>
      <c r="B3572" s="0" t="str">
        <f aca="false">IF('הדבקת לידים'!B3572="","",IF(ISNUMBER('הדבקת לידים'!B3572),IF(הגדרות!$E$3&gt;0,TEXT('הדבקת לידים'!B3572,REPT("0",הגדרות!$E$3)),TEXT('הדבקת לידים'!B3572,"0")),TRIM('הדבקת לידים'!B3572)))</f>
        <v/>
      </c>
      <c r="C3572" s="0" t="n">
        <f aca="false">IF(OR(A3572&lt;&gt;"",B3572&lt;&gt;""),1,0)</f>
        <v>0</v>
      </c>
      <c r="D3572" s="0" t="str">
        <f aca="false">IF(C3572=1,MOD(ABS(SIN(ROW()*12.9898+'הדבקת לידים'!$F$2*78.233+IFERROR(--RIGHT(A3572,6),LEN(A3572))*0.0137+IFERROR(--RIGHT(B3572,6),LEN(B3572))*0.0071))*43758.5453,1),"")</f>
        <v/>
      </c>
      <c r="E3572" s="0" t="str">
        <f aca="false">IF(C3572=1,INT(MOD(ABS(SIN(D3572*7919.123+ROW()*0.618+'הדבקת לידים'!$F$2*1.3))*43758.5453,1)*1000000)*10000+ROW(),"")</f>
        <v/>
      </c>
      <c r="F3572" s="0" t="str">
        <f aca="false">IF(E3572="","",RANK(E3572,$E$2:$E$5001,1))</f>
        <v/>
      </c>
      <c r="G3572" s="0" t="n">
        <f aca="false">IF(A3572="",0,IF(SUMPRODUCT(--($A$2:$A$5001=A3572))&gt;1,1,0))</f>
        <v>0</v>
      </c>
      <c r="H3572" s="0" t="n">
        <f aca="false">ROW()-1</f>
        <v>3571</v>
      </c>
      <c r="I3572" s="0" t="str">
        <f aca="false">IF(OR(הגדרות!$E$6=0,H3572&gt;הגדרות!$E$5),"",IF(H3572-1&lt;הגדרות!$E$8*(הגדרות!$E$7+1),INT((H3572-1)/(הגדרות!$E$7+1)),הגדרות!$E$8+INT((H3572-1-הגדרות!$E$8*(הגדרות!$E$7+1))/הגדרות!$E$7)))</f>
        <v/>
      </c>
      <c r="J3572" s="0" t="str">
        <f aca="false">IF(I3572="","",IF(H3572-1&lt;הגדרות!$E$8*(הגדרות!$E$7+1),MOD(H3572-1,הגדרות!$E$7+1),MOD(H3572-1-הגדרות!$E$8*(הגדרות!$E$7+1),הגדרות!$E$7)))</f>
        <v/>
      </c>
      <c r="K3572" s="0" t="str">
        <f aca="false">IF(I3572="","",J3572*הגדרות!$E$6+I3572+1)</f>
        <v/>
      </c>
      <c r="L3572" s="0" t="str">
        <f aca="false">IF(K3572="","",MATCH(K3572,$F$2:$F$5001,0))</f>
        <v/>
      </c>
      <c r="M3572" s="0" t="str">
        <f aca="false">IF(I3572="","",INDEX(הגדרות!$A$2:$A$21,MOD(I3572+הגדרות!$E$9,הגדרות!$E$6)+1))</f>
        <v/>
      </c>
    </row>
    <row r="3573" customFormat="false" ht="15" hidden="false" customHeight="false" outlineLevel="0" collapsed="false">
      <c r="A3573" s="0" t="str">
        <f aca="false">IF('הדבקת לידים'!A3573="","",IF(ISNUMBER('הדבקת לידים'!A3573),IF(הגדרות!$E$2&gt;0,TEXT('הדבקת לידים'!A3573,REPT("0",הגדרות!$E$2)),TEXT('הדבקת לידים'!A3573,"0")),TRIM('הדבקת לידים'!A3573)))</f>
        <v/>
      </c>
      <c r="B3573" s="0" t="str">
        <f aca="false">IF('הדבקת לידים'!B3573="","",IF(ISNUMBER('הדבקת לידים'!B3573),IF(הגדרות!$E$3&gt;0,TEXT('הדבקת לידים'!B3573,REPT("0",הגדרות!$E$3)),TEXT('הדבקת לידים'!B3573,"0")),TRIM('הדבקת לידים'!B3573)))</f>
        <v/>
      </c>
      <c r="C3573" s="0" t="n">
        <f aca="false">IF(OR(A3573&lt;&gt;"",B3573&lt;&gt;""),1,0)</f>
        <v>0</v>
      </c>
      <c r="D3573" s="0" t="str">
        <f aca="false">IF(C3573=1,MOD(ABS(SIN(ROW()*12.9898+'הדבקת לידים'!$F$2*78.233+IFERROR(--RIGHT(A3573,6),LEN(A3573))*0.0137+IFERROR(--RIGHT(B3573,6),LEN(B3573))*0.0071))*43758.5453,1),"")</f>
        <v/>
      </c>
      <c r="E3573" s="0" t="str">
        <f aca="false">IF(C3573=1,INT(MOD(ABS(SIN(D3573*7919.123+ROW()*0.618+'הדבקת לידים'!$F$2*1.3))*43758.5453,1)*1000000)*10000+ROW(),"")</f>
        <v/>
      </c>
      <c r="F3573" s="0" t="str">
        <f aca="false">IF(E3573="","",RANK(E3573,$E$2:$E$5001,1))</f>
        <v/>
      </c>
      <c r="G3573" s="0" t="n">
        <f aca="false">IF(A3573="",0,IF(SUMPRODUCT(--($A$2:$A$5001=A3573))&gt;1,1,0))</f>
        <v>0</v>
      </c>
      <c r="H3573" s="0" t="n">
        <f aca="false">ROW()-1</f>
        <v>3572</v>
      </c>
      <c r="I3573" s="0" t="str">
        <f aca="false">IF(OR(הגדרות!$E$6=0,H3573&gt;הגדרות!$E$5),"",IF(H3573-1&lt;הגדרות!$E$8*(הגדרות!$E$7+1),INT((H3573-1)/(הגדרות!$E$7+1)),הגדרות!$E$8+INT((H3573-1-הגדרות!$E$8*(הגדרות!$E$7+1))/הגדרות!$E$7)))</f>
        <v/>
      </c>
      <c r="J3573" s="0" t="str">
        <f aca="false">IF(I3573="","",IF(H3573-1&lt;הגדרות!$E$8*(הגדרות!$E$7+1),MOD(H3573-1,הגדרות!$E$7+1),MOD(H3573-1-הגדרות!$E$8*(הגדרות!$E$7+1),הגדרות!$E$7)))</f>
        <v/>
      </c>
      <c r="K3573" s="0" t="str">
        <f aca="false">IF(I3573="","",J3573*הגדרות!$E$6+I3573+1)</f>
        <v/>
      </c>
      <c r="L3573" s="0" t="str">
        <f aca="false">IF(K3573="","",MATCH(K3573,$F$2:$F$5001,0))</f>
        <v/>
      </c>
      <c r="M3573" s="0" t="str">
        <f aca="false">IF(I3573="","",INDEX(הגדרות!$A$2:$A$21,MOD(I3573+הגדרות!$E$9,הגדרות!$E$6)+1))</f>
        <v/>
      </c>
    </row>
    <row r="3574" customFormat="false" ht="15" hidden="false" customHeight="false" outlineLevel="0" collapsed="false">
      <c r="A3574" s="0" t="str">
        <f aca="false">IF('הדבקת לידים'!A3574="","",IF(ISNUMBER('הדבקת לידים'!A3574),IF(הגדרות!$E$2&gt;0,TEXT('הדבקת לידים'!A3574,REPT("0",הגדרות!$E$2)),TEXT('הדבקת לידים'!A3574,"0")),TRIM('הדבקת לידים'!A3574)))</f>
        <v/>
      </c>
      <c r="B3574" s="0" t="str">
        <f aca="false">IF('הדבקת לידים'!B3574="","",IF(ISNUMBER('הדבקת לידים'!B3574),IF(הגדרות!$E$3&gt;0,TEXT('הדבקת לידים'!B3574,REPT("0",הגדרות!$E$3)),TEXT('הדבקת לידים'!B3574,"0")),TRIM('הדבקת לידים'!B3574)))</f>
        <v/>
      </c>
      <c r="C3574" s="0" t="n">
        <f aca="false">IF(OR(A3574&lt;&gt;"",B3574&lt;&gt;""),1,0)</f>
        <v>0</v>
      </c>
      <c r="D3574" s="0" t="str">
        <f aca="false">IF(C3574=1,MOD(ABS(SIN(ROW()*12.9898+'הדבקת לידים'!$F$2*78.233+IFERROR(--RIGHT(A3574,6),LEN(A3574))*0.0137+IFERROR(--RIGHT(B3574,6),LEN(B3574))*0.0071))*43758.5453,1),"")</f>
        <v/>
      </c>
      <c r="E3574" s="0" t="str">
        <f aca="false">IF(C3574=1,INT(MOD(ABS(SIN(D3574*7919.123+ROW()*0.618+'הדבקת לידים'!$F$2*1.3))*43758.5453,1)*1000000)*10000+ROW(),"")</f>
        <v/>
      </c>
      <c r="F3574" s="0" t="str">
        <f aca="false">IF(E3574="","",RANK(E3574,$E$2:$E$5001,1))</f>
        <v/>
      </c>
      <c r="G3574" s="0" t="n">
        <f aca="false">IF(A3574="",0,IF(SUMPRODUCT(--($A$2:$A$5001=A3574))&gt;1,1,0))</f>
        <v>0</v>
      </c>
      <c r="H3574" s="0" t="n">
        <f aca="false">ROW()-1</f>
        <v>3573</v>
      </c>
      <c r="I3574" s="0" t="str">
        <f aca="false">IF(OR(הגדרות!$E$6=0,H3574&gt;הגדרות!$E$5),"",IF(H3574-1&lt;הגדרות!$E$8*(הגדרות!$E$7+1),INT((H3574-1)/(הגדרות!$E$7+1)),הגדרות!$E$8+INT((H3574-1-הגדרות!$E$8*(הגדרות!$E$7+1))/הגדרות!$E$7)))</f>
        <v/>
      </c>
      <c r="J3574" s="0" t="str">
        <f aca="false">IF(I3574="","",IF(H3574-1&lt;הגדרות!$E$8*(הגדרות!$E$7+1),MOD(H3574-1,הגדרות!$E$7+1),MOD(H3574-1-הגדרות!$E$8*(הגדרות!$E$7+1),הגדרות!$E$7)))</f>
        <v/>
      </c>
      <c r="K3574" s="0" t="str">
        <f aca="false">IF(I3574="","",J3574*הגדרות!$E$6+I3574+1)</f>
        <v/>
      </c>
      <c r="L3574" s="0" t="str">
        <f aca="false">IF(K3574="","",MATCH(K3574,$F$2:$F$5001,0))</f>
        <v/>
      </c>
      <c r="M3574" s="0" t="str">
        <f aca="false">IF(I3574="","",INDEX(הגדרות!$A$2:$A$21,MOD(I3574+הגדרות!$E$9,הגדרות!$E$6)+1))</f>
        <v/>
      </c>
    </row>
    <row r="3575" customFormat="false" ht="15" hidden="false" customHeight="false" outlineLevel="0" collapsed="false">
      <c r="A3575" s="0" t="str">
        <f aca="false">IF('הדבקת לידים'!A3575="","",IF(ISNUMBER('הדבקת לידים'!A3575),IF(הגדרות!$E$2&gt;0,TEXT('הדבקת לידים'!A3575,REPT("0",הגדרות!$E$2)),TEXT('הדבקת לידים'!A3575,"0")),TRIM('הדבקת לידים'!A3575)))</f>
        <v/>
      </c>
      <c r="B3575" s="0" t="str">
        <f aca="false">IF('הדבקת לידים'!B3575="","",IF(ISNUMBER('הדבקת לידים'!B3575),IF(הגדרות!$E$3&gt;0,TEXT('הדבקת לידים'!B3575,REPT("0",הגדרות!$E$3)),TEXT('הדבקת לידים'!B3575,"0")),TRIM('הדבקת לידים'!B3575)))</f>
        <v/>
      </c>
      <c r="C3575" s="0" t="n">
        <f aca="false">IF(OR(A3575&lt;&gt;"",B3575&lt;&gt;""),1,0)</f>
        <v>0</v>
      </c>
      <c r="D3575" s="0" t="str">
        <f aca="false">IF(C3575=1,MOD(ABS(SIN(ROW()*12.9898+'הדבקת לידים'!$F$2*78.233+IFERROR(--RIGHT(A3575,6),LEN(A3575))*0.0137+IFERROR(--RIGHT(B3575,6),LEN(B3575))*0.0071))*43758.5453,1),"")</f>
        <v/>
      </c>
      <c r="E3575" s="0" t="str">
        <f aca="false">IF(C3575=1,INT(MOD(ABS(SIN(D3575*7919.123+ROW()*0.618+'הדבקת לידים'!$F$2*1.3))*43758.5453,1)*1000000)*10000+ROW(),"")</f>
        <v/>
      </c>
      <c r="F3575" s="0" t="str">
        <f aca="false">IF(E3575="","",RANK(E3575,$E$2:$E$5001,1))</f>
        <v/>
      </c>
      <c r="G3575" s="0" t="n">
        <f aca="false">IF(A3575="",0,IF(SUMPRODUCT(--($A$2:$A$5001=A3575))&gt;1,1,0))</f>
        <v>0</v>
      </c>
      <c r="H3575" s="0" t="n">
        <f aca="false">ROW()-1</f>
        <v>3574</v>
      </c>
      <c r="I3575" s="0" t="str">
        <f aca="false">IF(OR(הגדרות!$E$6=0,H3575&gt;הגדרות!$E$5),"",IF(H3575-1&lt;הגדרות!$E$8*(הגדרות!$E$7+1),INT((H3575-1)/(הגדרות!$E$7+1)),הגדרות!$E$8+INT((H3575-1-הגדרות!$E$8*(הגדרות!$E$7+1))/הגדרות!$E$7)))</f>
        <v/>
      </c>
      <c r="J3575" s="0" t="str">
        <f aca="false">IF(I3575="","",IF(H3575-1&lt;הגדרות!$E$8*(הגדרות!$E$7+1),MOD(H3575-1,הגדרות!$E$7+1),MOD(H3575-1-הגדרות!$E$8*(הגדרות!$E$7+1),הגדרות!$E$7)))</f>
        <v/>
      </c>
      <c r="K3575" s="0" t="str">
        <f aca="false">IF(I3575="","",J3575*הגדרות!$E$6+I3575+1)</f>
        <v/>
      </c>
      <c r="L3575" s="0" t="str">
        <f aca="false">IF(K3575="","",MATCH(K3575,$F$2:$F$5001,0))</f>
        <v/>
      </c>
      <c r="M3575" s="0" t="str">
        <f aca="false">IF(I3575="","",INDEX(הגדרות!$A$2:$A$21,MOD(I3575+הגדרות!$E$9,הגדרות!$E$6)+1))</f>
        <v/>
      </c>
    </row>
    <row r="3576" customFormat="false" ht="15" hidden="false" customHeight="false" outlineLevel="0" collapsed="false">
      <c r="A3576" s="0" t="str">
        <f aca="false">IF('הדבקת לידים'!A3576="","",IF(ISNUMBER('הדבקת לידים'!A3576),IF(הגדרות!$E$2&gt;0,TEXT('הדבקת לידים'!A3576,REPT("0",הגדרות!$E$2)),TEXT('הדבקת לידים'!A3576,"0")),TRIM('הדבקת לידים'!A3576)))</f>
        <v/>
      </c>
      <c r="B3576" s="0" t="str">
        <f aca="false">IF('הדבקת לידים'!B3576="","",IF(ISNUMBER('הדבקת לידים'!B3576),IF(הגדרות!$E$3&gt;0,TEXT('הדבקת לידים'!B3576,REPT("0",הגדרות!$E$3)),TEXT('הדבקת לידים'!B3576,"0")),TRIM('הדבקת לידים'!B3576)))</f>
        <v/>
      </c>
      <c r="C3576" s="0" t="n">
        <f aca="false">IF(OR(A3576&lt;&gt;"",B3576&lt;&gt;""),1,0)</f>
        <v>0</v>
      </c>
      <c r="D3576" s="0" t="str">
        <f aca="false">IF(C3576=1,MOD(ABS(SIN(ROW()*12.9898+'הדבקת לידים'!$F$2*78.233+IFERROR(--RIGHT(A3576,6),LEN(A3576))*0.0137+IFERROR(--RIGHT(B3576,6),LEN(B3576))*0.0071))*43758.5453,1),"")</f>
        <v/>
      </c>
      <c r="E3576" s="0" t="str">
        <f aca="false">IF(C3576=1,INT(MOD(ABS(SIN(D3576*7919.123+ROW()*0.618+'הדבקת לידים'!$F$2*1.3))*43758.5453,1)*1000000)*10000+ROW(),"")</f>
        <v/>
      </c>
      <c r="F3576" s="0" t="str">
        <f aca="false">IF(E3576="","",RANK(E3576,$E$2:$E$5001,1))</f>
        <v/>
      </c>
      <c r="G3576" s="0" t="n">
        <f aca="false">IF(A3576="",0,IF(SUMPRODUCT(--($A$2:$A$5001=A3576))&gt;1,1,0))</f>
        <v>0</v>
      </c>
      <c r="H3576" s="0" t="n">
        <f aca="false">ROW()-1</f>
        <v>3575</v>
      </c>
      <c r="I3576" s="0" t="str">
        <f aca="false">IF(OR(הגדרות!$E$6=0,H3576&gt;הגדרות!$E$5),"",IF(H3576-1&lt;הגדרות!$E$8*(הגדרות!$E$7+1),INT((H3576-1)/(הגדרות!$E$7+1)),הגדרות!$E$8+INT((H3576-1-הגדרות!$E$8*(הגדרות!$E$7+1))/הגדרות!$E$7)))</f>
        <v/>
      </c>
      <c r="J3576" s="0" t="str">
        <f aca="false">IF(I3576="","",IF(H3576-1&lt;הגדרות!$E$8*(הגדרות!$E$7+1),MOD(H3576-1,הגדרות!$E$7+1),MOD(H3576-1-הגדרות!$E$8*(הגדרות!$E$7+1),הגדרות!$E$7)))</f>
        <v/>
      </c>
      <c r="K3576" s="0" t="str">
        <f aca="false">IF(I3576="","",J3576*הגדרות!$E$6+I3576+1)</f>
        <v/>
      </c>
      <c r="L3576" s="0" t="str">
        <f aca="false">IF(K3576="","",MATCH(K3576,$F$2:$F$5001,0))</f>
        <v/>
      </c>
      <c r="M3576" s="0" t="str">
        <f aca="false">IF(I3576="","",INDEX(הגדרות!$A$2:$A$21,MOD(I3576+הגדרות!$E$9,הגדרות!$E$6)+1))</f>
        <v/>
      </c>
    </row>
    <row r="3577" customFormat="false" ht="15" hidden="false" customHeight="false" outlineLevel="0" collapsed="false">
      <c r="A3577" s="0" t="str">
        <f aca="false">IF('הדבקת לידים'!A3577="","",IF(ISNUMBER('הדבקת לידים'!A3577),IF(הגדרות!$E$2&gt;0,TEXT('הדבקת לידים'!A3577,REPT("0",הגדרות!$E$2)),TEXT('הדבקת לידים'!A3577,"0")),TRIM('הדבקת לידים'!A3577)))</f>
        <v/>
      </c>
      <c r="B3577" s="0" t="str">
        <f aca="false">IF('הדבקת לידים'!B3577="","",IF(ISNUMBER('הדבקת לידים'!B3577),IF(הגדרות!$E$3&gt;0,TEXT('הדבקת לידים'!B3577,REPT("0",הגדרות!$E$3)),TEXT('הדבקת לידים'!B3577,"0")),TRIM('הדבקת לידים'!B3577)))</f>
        <v/>
      </c>
      <c r="C3577" s="0" t="n">
        <f aca="false">IF(OR(A3577&lt;&gt;"",B3577&lt;&gt;""),1,0)</f>
        <v>0</v>
      </c>
      <c r="D3577" s="0" t="str">
        <f aca="false">IF(C3577=1,MOD(ABS(SIN(ROW()*12.9898+'הדבקת לידים'!$F$2*78.233+IFERROR(--RIGHT(A3577,6),LEN(A3577))*0.0137+IFERROR(--RIGHT(B3577,6),LEN(B3577))*0.0071))*43758.5453,1),"")</f>
        <v/>
      </c>
      <c r="E3577" s="0" t="str">
        <f aca="false">IF(C3577=1,INT(MOD(ABS(SIN(D3577*7919.123+ROW()*0.618+'הדבקת לידים'!$F$2*1.3))*43758.5453,1)*1000000)*10000+ROW(),"")</f>
        <v/>
      </c>
      <c r="F3577" s="0" t="str">
        <f aca="false">IF(E3577="","",RANK(E3577,$E$2:$E$5001,1))</f>
        <v/>
      </c>
      <c r="G3577" s="0" t="n">
        <f aca="false">IF(A3577="",0,IF(SUMPRODUCT(--($A$2:$A$5001=A3577))&gt;1,1,0))</f>
        <v>0</v>
      </c>
      <c r="H3577" s="0" t="n">
        <f aca="false">ROW()-1</f>
        <v>3576</v>
      </c>
      <c r="I3577" s="0" t="str">
        <f aca="false">IF(OR(הגדרות!$E$6=0,H3577&gt;הגדרות!$E$5),"",IF(H3577-1&lt;הגדרות!$E$8*(הגדרות!$E$7+1),INT((H3577-1)/(הגדרות!$E$7+1)),הגדרות!$E$8+INT((H3577-1-הגדרות!$E$8*(הגדרות!$E$7+1))/הגדרות!$E$7)))</f>
        <v/>
      </c>
      <c r="J3577" s="0" t="str">
        <f aca="false">IF(I3577="","",IF(H3577-1&lt;הגדרות!$E$8*(הגדרות!$E$7+1),MOD(H3577-1,הגדרות!$E$7+1),MOD(H3577-1-הגדרות!$E$8*(הגדרות!$E$7+1),הגדרות!$E$7)))</f>
        <v/>
      </c>
      <c r="K3577" s="0" t="str">
        <f aca="false">IF(I3577="","",J3577*הגדרות!$E$6+I3577+1)</f>
        <v/>
      </c>
      <c r="L3577" s="0" t="str">
        <f aca="false">IF(K3577="","",MATCH(K3577,$F$2:$F$5001,0))</f>
        <v/>
      </c>
      <c r="M3577" s="0" t="str">
        <f aca="false">IF(I3577="","",INDEX(הגדרות!$A$2:$A$21,MOD(I3577+הגדרות!$E$9,הגדרות!$E$6)+1))</f>
        <v/>
      </c>
    </row>
    <row r="3578" customFormat="false" ht="15" hidden="false" customHeight="false" outlineLevel="0" collapsed="false">
      <c r="A3578" s="0" t="str">
        <f aca="false">IF('הדבקת לידים'!A3578="","",IF(ISNUMBER('הדבקת לידים'!A3578),IF(הגדרות!$E$2&gt;0,TEXT('הדבקת לידים'!A3578,REPT("0",הגדרות!$E$2)),TEXT('הדבקת לידים'!A3578,"0")),TRIM('הדבקת לידים'!A3578)))</f>
        <v/>
      </c>
      <c r="B3578" s="0" t="str">
        <f aca="false">IF('הדבקת לידים'!B3578="","",IF(ISNUMBER('הדבקת לידים'!B3578),IF(הגדרות!$E$3&gt;0,TEXT('הדבקת לידים'!B3578,REPT("0",הגדרות!$E$3)),TEXT('הדבקת לידים'!B3578,"0")),TRIM('הדבקת לידים'!B3578)))</f>
        <v/>
      </c>
      <c r="C3578" s="0" t="n">
        <f aca="false">IF(OR(A3578&lt;&gt;"",B3578&lt;&gt;""),1,0)</f>
        <v>0</v>
      </c>
      <c r="D3578" s="0" t="str">
        <f aca="false">IF(C3578=1,MOD(ABS(SIN(ROW()*12.9898+'הדבקת לידים'!$F$2*78.233+IFERROR(--RIGHT(A3578,6),LEN(A3578))*0.0137+IFERROR(--RIGHT(B3578,6),LEN(B3578))*0.0071))*43758.5453,1),"")</f>
        <v/>
      </c>
      <c r="E3578" s="0" t="str">
        <f aca="false">IF(C3578=1,INT(MOD(ABS(SIN(D3578*7919.123+ROW()*0.618+'הדבקת לידים'!$F$2*1.3))*43758.5453,1)*1000000)*10000+ROW(),"")</f>
        <v/>
      </c>
      <c r="F3578" s="0" t="str">
        <f aca="false">IF(E3578="","",RANK(E3578,$E$2:$E$5001,1))</f>
        <v/>
      </c>
      <c r="G3578" s="0" t="n">
        <f aca="false">IF(A3578="",0,IF(SUMPRODUCT(--($A$2:$A$5001=A3578))&gt;1,1,0))</f>
        <v>0</v>
      </c>
      <c r="H3578" s="0" t="n">
        <f aca="false">ROW()-1</f>
        <v>3577</v>
      </c>
      <c r="I3578" s="0" t="str">
        <f aca="false">IF(OR(הגדרות!$E$6=0,H3578&gt;הגדרות!$E$5),"",IF(H3578-1&lt;הגדרות!$E$8*(הגדרות!$E$7+1),INT((H3578-1)/(הגדרות!$E$7+1)),הגדרות!$E$8+INT((H3578-1-הגדרות!$E$8*(הגדרות!$E$7+1))/הגדרות!$E$7)))</f>
        <v/>
      </c>
      <c r="J3578" s="0" t="str">
        <f aca="false">IF(I3578="","",IF(H3578-1&lt;הגדרות!$E$8*(הגדרות!$E$7+1),MOD(H3578-1,הגדרות!$E$7+1),MOD(H3578-1-הגדרות!$E$8*(הגדרות!$E$7+1),הגדרות!$E$7)))</f>
        <v/>
      </c>
      <c r="K3578" s="0" t="str">
        <f aca="false">IF(I3578="","",J3578*הגדרות!$E$6+I3578+1)</f>
        <v/>
      </c>
      <c r="L3578" s="0" t="str">
        <f aca="false">IF(K3578="","",MATCH(K3578,$F$2:$F$5001,0))</f>
        <v/>
      </c>
      <c r="M3578" s="0" t="str">
        <f aca="false">IF(I3578="","",INDEX(הגדרות!$A$2:$A$21,MOD(I3578+הגדרות!$E$9,הגדרות!$E$6)+1))</f>
        <v/>
      </c>
    </row>
    <row r="3579" customFormat="false" ht="15" hidden="false" customHeight="false" outlineLevel="0" collapsed="false">
      <c r="A3579" s="0" t="str">
        <f aca="false">IF('הדבקת לידים'!A3579="","",IF(ISNUMBER('הדבקת לידים'!A3579),IF(הגדרות!$E$2&gt;0,TEXT('הדבקת לידים'!A3579,REPT("0",הגדרות!$E$2)),TEXT('הדבקת לידים'!A3579,"0")),TRIM('הדבקת לידים'!A3579)))</f>
        <v/>
      </c>
      <c r="B3579" s="0" t="str">
        <f aca="false">IF('הדבקת לידים'!B3579="","",IF(ISNUMBER('הדבקת לידים'!B3579),IF(הגדרות!$E$3&gt;0,TEXT('הדבקת לידים'!B3579,REPT("0",הגדרות!$E$3)),TEXT('הדבקת לידים'!B3579,"0")),TRIM('הדבקת לידים'!B3579)))</f>
        <v/>
      </c>
      <c r="C3579" s="0" t="n">
        <f aca="false">IF(OR(A3579&lt;&gt;"",B3579&lt;&gt;""),1,0)</f>
        <v>0</v>
      </c>
      <c r="D3579" s="0" t="str">
        <f aca="false">IF(C3579=1,MOD(ABS(SIN(ROW()*12.9898+'הדבקת לידים'!$F$2*78.233+IFERROR(--RIGHT(A3579,6),LEN(A3579))*0.0137+IFERROR(--RIGHT(B3579,6),LEN(B3579))*0.0071))*43758.5453,1),"")</f>
        <v/>
      </c>
      <c r="E3579" s="0" t="str">
        <f aca="false">IF(C3579=1,INT(MOD(ABS(SIN(D3579*7919.123+ROW()*0.618+'הדבקת לידים'!$F$2*1.3))*43758.5453,1)*1000000)*10000+ROW(),"")</f>
        <v/>
      </c>
      <c r="F3579" s="0" t="str">
        <f aca="false">IF(E3579="","",RANK(E3579,$E$2:$E$5001,1))</f>
        <v/>
      </c>
      <c r="G3579" s="0" t="n">
        <f aca="false">IF(A3579="",0,IF(SUMPRODUCT(--($A$2:$A$5001=A3579))&gt;1,1,0))</f>
        <v>0</v>
      </c>
      <c r="H3579" s="0" t="n">
        <f aca="false">ROW()-1</f>
        <v>3578</v>
      </c>
      <c r="I3579" s="0" t="str">
        <f aca="false">IF(OR(הגדרות!$E$6=0,H3579&gt;הגדרות!$E$5),"",IF(H3579-1&lt;הגדרות!$E$8*(הגדרות!$E$7+1),INT((H3579-1)/(הגדרות!$E$7+1)),הגדרות!$E$8+INT((H3579-1-הגדרות!$E$8*(הגדרות!$E$7+1))/הגדרות!$E$7)))</f>
        <v/>
      </c>
      <c r="J3579" s="0" t="str">
        <f aca="false">IF(I3579="","",IF(H3579-1&lt;הגדרות!$E$8*(הגדרות!$E$7+1),MOD(H3579-1,הגדרות!$E$7+1),MOD(H3579-1-הגדרות!$E$8*(הגדרות!$E$7+1),הגדרות!$E$7)))</f>
        <v/>
      </c>
      <c r="K3579" s="0" t="str">
        <f aca="false">IF(I3579="","",J3579*הגדרות!$E$6+I3579+1)</f>
        <v/>
      </c>
      <c r="L3579" s="0" t="str">
        <f aca="false">IF(K3579="","",MATCH(K3579,$F$2:$F$5001,0))</f>
        <v/>
      </c>
      <c r="M3579" s="0" t="str">
        <f aca="false">IF(I3579="","",INDEX(הגדרות!$A$2:$A$21,MOD(I3579+הגדרות!$E$9,הגדרות!$E$6)+1))</f>
        <v/>
      </c>
    </row>
    <row r="3580" customFormat="false" ht="15" hidden="false" customHeight="false" outlineLevel="0" collapsed="false">
      <c r="A3580" s="0" t="str">
        <f aca="false">IF('הדבקת לידים'!A3580="","",IF(ISNUMBER('הדבקת לידים'!A3580),IF(הגדרות!$E$2&gt;0,TEXT('הדבקת לידים'!A3580,REPT("0",הגדרות!$E$2)),TEXT('הדבקת לידים'!A3580,"0")),TRIM('הדבקת לידים'!A3580)))</f>
        <v/>
      </c>
      <c r="B3580" s="0" t="str">
        <f aca="false">IF('הדבקת לידים'!B3580="","",IF(ISNUMBER('הדבקת לידים'!B3580),IF(הגדרות!$E$3&gt;0,TEXT('הדבקת לידים'!B3580,REPT("0",הגדרות!$E$3)),TEXT('הדבקת לידים'!B3580,"0")),TRIM('הדבקת לידים'!B3580)))</f>
        <v/>
      </c>
      <c r="C3580" s="0" t="n">
        <f aca="false">IF(OR(A3580&lt;&gt;"",B3580&lt;&gt;""),1,0)</f>
        <v>0</v>
      </c>
      <c r="D3580" s="0" t="str">
        <f aca="false">IF(C3580=1,MOD(ABS(SIN(ROW()*12.9898+'הדבקת לידים'!$F$2*78.233+IFERROR(--RIGHT(A3580,6),LEN(A3580))*0.0137+IFERROR(--RIGHT(B3580,6),LEN(B3580))*0.0071))*43758.5453,1),"")</f>
        <v/>
      </c>
      <c r="E3580" s="0" t="str">
        <f aca="false">IF(C3580=1,INT(MOD(ABS(SIN(D3580*7919.123+ROW()*0.618+'הדבקת לידים'!$F$2*1.3))*43758.5453,1)*1000000)*10000+ROW(),"")</f>
        <v/>
      </c>
      <c r="F3580" s="0" t="str">
        <f aca="false">IF(E3580="","",RANK(E3580,$E$2:$E$5001,1))</f>
        <v/>
      </c>
      <c r="G3580" s="0" t="n">
        <f aca="false">IF(A3580="",0,IF(SUMPRODUCT(--($A$2:$A$5001=A3580))&gt;1,1,0))</f>
        <v>0</v>
      </c>
      <c r="H3580" s="0" t="n">
        <f aca="false">ROW()-1</f>
        <v>3579</v>
      </c>
      <c r="I3580" s="0" t="str">
        <f aca="false">IF(OR(הגדרות!$E$6=0,H3580&gt;הגדרות!$E$5),"",IF(H3580-1&lt;הגדרות!$E$8*(הגדרות!$E$7+1),INT((H3580-1)/(הגדרות!$E$7+1)),הגדרות!$E$8+INT((H3580-1-הגדרות!$E$8*(הגדרות!$E$7+1))/הגדרות!$E$7)))</f>
        <v/>
      </c>
      <c r="J3580" s="0" t="str">
        <f aca="false">IF(I3580="","",IF(H3580-1&lt;הגדרות!$E$8*(הגדרות!$E$7+1),MOD(H3580-1,הגדרות!$E$7+1),MOD(H3580-1-הגדרות!$E$8*(הגדרות!$E$7+1),הגדרות!$E$7)))</f>
        <v/>
      </c>
      <c r="K3580" s="0" t="str">
        <f aca="false">IF(I3580="","",J3580*הגדרות!$E$6+I3580+1)</f>
        <v/>
      </c>
      <c r="L3580" s="0" t="str">
        <f aca="false">IF(K3580="","",MATCH(K3580,$F$2:$F$5001,0))</f>
        <v/>
      </c>
      <c r="M3580" s="0" t="str">
        <f aca="false">IF(I3580="","",INDEX(הגדרות!$A$2:$A$21,MOD(I3580+הגדרות!$E$9,הגדרות!$E$6)+1))</f>
        <v/>
      </c>
    </row>
    <row r="3581" customFormat="false" ht="15" hidden="false" customHeight="false" outlineLevel="0" collapsed="false">
      <c r="A3581" s="0" t="str">
        <f aca="false">IF('הדבקת לידים'!A3581="","",IF(ISNUMBER('הדבקת לידים'!A3581),IF(הגדרות!$E$2&gt;0,TEXT('הדבקת לידים'!A3581,REPT("0",הגדרות!$E$2)),TEXT('הדבקת לידים'!A3581,"0")),TRIM('הדבקת לידים'!A3581)))</f>
        <v/>
      </c>
      <c r="B3581" s="0" t="str">
        <f aca="false">IF('הדבקת לידים'!B3581="","",IF(ISNUMBER('הדבקת לידים'!B3581),IF(הגדרות!$E$3&gt;0,TEXT('הדבקת לידים'!B3581,REPT("0",הגדרות!$E$3)),TEXT('הדבקת לידים'!B3581,"0")),TRIM('הדבקת לידים'!B3581)))</f>
        <v/>
      </c>
      <c r="C3581" s="0" t="n">
        <f aca="false">IF(OR(A3581&lt;&gt;"",B3581&lt;&gt;""),1,0)</f>
        <v>0</v>
      </c>
      <c r="D3581" s="0" t="str">
        <f aca="false">IF(C3581=1,MOD(ABS(SIN(ROW()*12.9898+'הדבקת לידים'!$F$2*78.233+IFERROR(--RIGHT(A3581,6),LEN(A3581))*0.0137+IFERROR(--RIGHT(B3581,6),LEN(B3581))*0.0071))*43758.5453,1),"")</f>
        <v/>
      </c>
      <c r="E3581" s="0" t="str">
        <f aca="false">IF(C3581=1,INT(MOD(ABS(SIN(D3581*7919.123+ROW()*0.618+'הדבקת לידים'!$F$2*1.3))*43758.5453,1)*1000000)*10000+ROW(),"")</f>
        <v/>
      </c>
      <c r="F3581" s="0" t="str">
        <f aca="false">IF(E3581="","",RANK(E3581,$E$2:$E$5001,1))</f>
        <v/>
      </c>
      <c r="G3581" s="0" t="n">
        <f aca="false">IF(A3581="",0,IF(SUMPRODUCT(--($A$2:$A$5001=A3581))&gt;1,1,0))</f>
        <v>0</v>
      </c>
      <c r="H3581" s="0" t="n">
        <f aca="false">ROW()-1</f>
        <v>3580</v>
      </c>
      <c r="I3581" s="0" t="str">
        <f aca="false">IF(OR(הגדרות!$E$6=0,H3581&gt;הגדרות!$E$5),"",IF(H3581-1&lt;הגדרות!$E$8*(הגדרות!$E$7+1),INT((H3581-1)/(הגדרות!$E$7+1)),הגדרות!$E$8+INT((H3581-1-הגדרות!$E$8*(הגדרות!$E$7+1))/הגדרות!$E$7)))</f>
        <v/>
      </c>
      <c r="J3581" s="0" t="str">
        <f aca="false">IF(I3581="","",IF(H3581-1&lt;הגדרות!$E$8*(הגדרות!$E$7+1),MOD(H3581-1,הגדרות!$E$7+1),MOD(H3581-1-הגדרות!$E$8*(הגדרות!$E$7+1),הגדרות!$E$7)))</f>
        <v/>
      </c>
      <c r="K3581" s="0" t="str">
        <f aca="false">IF(I3581="","",J3581*הגדרות!$E$6+I3581+1)</f>
        <v/>
      </c>
      <c r="L3581" s="0" t="str">
        <f aca="false">IF(K3581="","",MATCH(K3581,$F$2:$F$5001,0))</f>
        <v/>
      </c>
      <c r="M3581" s="0" t="str">
        <f aca="false">IF(I3581="","",INDEX(הגדרות!$A$2:$A$21,MOD(I3581+הגדרות!$E$9,הגדרות!$E$6)+1))</f>
        <v/>
      </c>
    </row>
    <row r="3582" customFormat="false" ht="15" hidden="false" customHeight="false" outlineLevel="0" collapsed="false">
      <c r="A3582" s="0" t="str">
        <f aca="false">IF('הדבקת לידים'!A3582="","",IF(ISNUMBER('הדבקת לידים'!A3582),IF(הגדרות!$E$2&gt;0,TEXT('הדבקת לידים'!A3582,REPT("0",הגדרות!$E$2)),TEXT('הדבקת לידים'!A3582,"0")),TRIM('הדבקת לידים'!A3582)))</f>
        <v/>
      </c>
      <c r="B3582" s="0" t="str">
        <f aca="false">IF('הדבקת לידים'!B3582="","",IF(ISNUMBER('הדבקת לידים'!B3582),IF(הגדרות!$E$3&gt;0,TEXT('הדבקת לידים'!B3582,REPT("0",הגדרות!$E$3)),TEXT('הדבקת לידים'!B3582,"0")),TRIM('הדבקת לידים'!B3582)))</f>
        <v/>
      </c>
      <c r="C3582" s="0" t="n">
        <f aca="false">IF(OR(A3582&lt;&gt;"",B3582&lt;&gt;""),1,0)</f>
        <v>0</v>
      </c>
      <c r="D3582" s="0" t="str">
        <f aca="false">IF(C3582=1,MOD(ABS(SIN(ROW()*12.9898+'הדבקת לידים'!$F$2*78.233+IFERROR(--RIGHT(A3582,6),LEN(A3582))*0.0137+IFERROR(--RIGHT(B3582,6),LEN(B3582))*0.0071))*43758.5453,1),"")</f>
        <v/>
      </c>
      <c r="E3582" s="0" t="str">
        <f aca="false">IF(C3582=1,INT(MOD(ABS(SIN(D3582*7919.123+ROW()*0.618+'הדבקת לידים'!$F$2*1.3))*43758.5453,1)*1000000)*10000+ROW(),"")</f>
        <v/>
      </c>
      <c r="F3582" s="0" t="str">
        <f aca="false">IF(E3582="","",RANK(E3582,$E$2:$E$5001,1))</f>
        <v/>
      </c>
      <c r="G3582" s="0" t="n">
        <f aca="false">IF(A3582="",0,IF(SUMPRODUCT(--($A$2:$A$5001=A3582))&gt;1,1,0))</f>
        <v>0</v>
      </c>
      <c r="H3582" s="0" t="n">
        <f aca="false">ROW()-1</f>
        <v>3581</v>
      </c>
      <c r="I3582" s="0" t="str">
        <f aca="false">IF(OR(הגדרות!$E$6=0,H3582&gt;הגדרות!$E$5),"",IF(H3582-1&lt;הגדרות!$E$8*(הגדרות!$E$7+1),INT((H3582-1)/(הגדרות!$E$7+1)),הגדרות!$E$8+INT((H3582-1-הגדרות!$E$8*(הגדרות!$E$7+1))/הגדרות!$E$7)))</f>
        <v/>
      </c>
      <c r="J3582" s="0" t="str">
        <f aca="false">IF(I3582="","",IF(H3582-1&lt;הגדרות!$E$8*(הגדרות!$E$7+1),MOD(H3582-1,הגדרות!$E$7+1),MOD(H3582-1-הגדרות!$E$8*(הגדרות!$E$7+1),הגדרות!$E$7)))</f>
        <v/>
      </c>
      <c r="K3582" s="0" t="str">
        <f aca="false">IF(I3582="","",J3582*הגדרות!$E$6+I3582+1)</f>
        <v/>
      </c>
      <c r="L3582" s="0" t="str">
        <f aca="false">IF(K3582="","",MATCH(K3582,$F$2:$F$5001,0))</f>
        <v/>
      </c>
      <c r="M3582" s="0" t="str">
        <f aca="false">IF(I3582="","",INDEX(הגדרות!$A$2:$A$21,MOD(I3582+הגדרות!$E$9,הגדרות!$E$6)+1))</f>
        <v/>
      </c>
    </row>
    <row r="3583" customFormat="false" ht="15" hidden="false" customHeight="false" outlineLevel="0" collapsed="false">
      <c r="A3583" s="0" t="str">
        <f aca="false">IF('הדבקת לידים'!A3583="","",IF(ISNUMBER('הדבקת לידים'!A3583),IF(הגדרות!$E$2&gt;0,TEXT('הדבקת לידים'!A3583,REPT("0",הגדרות!$E$2)),TEXT('הדבקת לידים'!A3583,"0")),TRIM('הדבקת לידים'!A3583)))</f>
        <v/>
      </c>
      <c r="B3583" s="0" t="str">
        <f aca="false">IF('הדבקת לידים'!B3583="","",IF(ISNUMBER('הדבקת לידים'!B3583),IF(הגדרות!$E$3&gt;0,TEXT('הדבקת לידים'!B3583,REPT("0",הגדרות!$E$3)),TEXT('הדבקת לידים'!B3583,"0")),TRIM('הדבקת לידים'!B3583)))</f>
        <v/>
      </c>
      <c r="C3583" s="0" t="n">
        <f aca="false">IF(OR(A3583&lt;&gt;"",B3583&lt;&gt;""),1,0)</f>
        <v>0</v>
      </c>
      <c r="D3583" s="0" t="str">
        <f aca="false">IF(C3583=1,MOD(ABS(SIN(ROW()*12.9898+'הדבקת לידים'!$F$2*78.233+IFERROR(--RIGHT(A3583,6),LEN(A3583))*0.0137+IFERROR(--RIGHT(B3583,6),LEN(B3583))*0.0071))*43758.5453,1),"")</f>
        <v/>
      </c>
      <c r="E3583" s="0" t="str">
        <f aca="false">IF(C3583=1,INT(MOD(ABS(SIN(D3583*7919.123+ROW()*0.618+'הדבקת לידים'!$F$2*1.3))*43758.5453,1)*1000000)*10000+ROW(),"")</f>
        <v/>
      </c>
      <c r="F3583" s="0" t="str">
        <f aca="false">IF(E3583="","",RANK(E3583,$E$2:$E$5001,1))</f>
        <v/>
      </c>
      <c r="G3583" s="0" t="n">
        <f aca="false">IF(A3583="",0,IF(SUMPRODUCT(--($A$2:$A$5001=A3583))&gt;1,1,0))</f>
        <v>0</v>
      </c>
      <c r="H3583" s="0" t="n">
        <f aca="false">ROW()-1</f>
        <v>3582</v>
      </c>
      <c r="I3583" s="0" t="str">
        <f aca="false">IF(OR(הגדרות!$E$6=0,H3583&gt;הגדרות!$E$5),"",IF(H3583-1&lt;הגדרות!$E$8*(הגדרות!$E$7+1),INT((H3583-1)/(הגדרות!$E$7+1)),הגדרות!$E$8+INT((H3583-1-הגדרות!$E$8*(הגדרות!$E$7+1))/הגדרות!$E$7)))</f>
        <v/>
      </c>
      <c r="J3583" s="0" t="str">
        <f aca="false">IF(I3583="","",IF(H3583-1&lt;הגדרות!$E$8*(הגדרות!$E$7+1),MOD(H3583-1,הגדרות!$E$7+1),MOD(H3583-1-הגדרות!$E$8*(הגדרות!$E$7+1),הגדרות!$E$7)))</f>
        <v/>
      </c>
      <c r="K3583" s="0" t="str">
        <f aca="false">IF(I3583="","",J3583*הגדרות!$E$6+I3583+1)</f>
        <v/>
      </c>
      <c r="L3583" s="0" t="str">
        <f aca="false">IF(K3583="","",MATCH(K3583,$F$2:$F$5001,0))</f>
        <v/>
      </c>
      <c r="M3583" s="0" t="str">
        <f aca="false">IF(I3583="","",INDEX(הגדרות!$A$2:$A$21,MOD(I3583+הגדרות!$E$9,הגדרות!$E$6)+1))</f>
        <v/>
      </c>
    </row>
    <row r="3584" customFormat="false" ht="15" hidden="false" customHeight="false" outlineLevel="0" collapsed="false">
      <c r="A3584" s="0" t="str">
        <f aca="false">IF('הדבקת לידים'!A3584="","",IF(ISNUMBER('הדבקת לידים'!A3584),IF(הגדרות!$E$2&gt;0,TEXT('הדבקת לידים'!A3584,REPT("0",הגדרות!$E$2)),TEXT('הדבקת לידים'!A3584,"0")),TRIM('הדבקת לידים'!A3584)))</f>
        <v/>
      </c>
      <c r="B3584" s="0" t="str">
        <f aca="false">IF('הדבקת לידים'!B3584="","",IF(ISNUMBER('הדבקת לידים'!B3584),IF(הגדרות!$E$3&gt;0,TEXT('הדבקת לידים'!B3584,REPT("0",הגדרות!$E$3)),TEXT('הדבקת לידים'!B3584,"0")),TRIM('הדבקת לידים'!B3584)))</f>
        <v/>
      </c>
      <c r="C3584" s="0" t="n">
        <f aca="false">IF(OR(A3584&lt;&gt;"",B3584&lt;&gt;""),1,0)</f>
        <v>0</v>
      </c>
      <c r="D3584" s="0" t="str">
        <f aca="false">IF(C3584=1,MOD(ABS(SIN(ROW()*12.9898+'הדבקת לידים'!$F$2*78.233+IFERROR(--RIGHT(A3584,6),LEN(A3584))*0.0137+IFERROR(--RIGHT(B3584,6),LEN(B3584))*0.0071))*43758.5453,1),"")</f>
        <v/>
      </c>
      <c r="E3584" s="0" t="str">
        <f aca="false">IF(C3584=1,INT(MOD(ABS(SIN(D3584*7919.123+ROW()*0.618+'הדבקת לידים'!$F$2*1.3))*43758.5453,1)*1000000)*10000+ROW(),"")</f>
        <v/>
      </c>
      <c r="F3584" s="0" t="str">
        <f aca="false">IF(E3584="","",RANK(E3584,$E$2:$E$5001,1))</f>
        <v/>
      </c>
      <c r="G3584" s="0" t="n">
        <f aca="false">IF(A3584="",0,IF(SUMPRODUCT(--($A$2:$A$5001=A3584))&gt;1,1,0))</f>
        <v>0</v>
      </c>
      <c r="H3584" s="0" t="n">
        <f aca="false">ROW()-1</f>
        <v>3583</v>
      </c>
      <c r="I3584" s="0" t="str">
        <f aca="false">IF(OR(הגדרות!$E$6=0,H3584&gt;הגדרות!$E$5),"",IF(H3584-1&lt;הגדרות!$E$8*(הגדרות!$E$7+1),INT((H3584-1)/(הגדרות!$E$7+1)),הגדרות!$E$8+INT((H3584-1-הגדרות!$E$8*(הגדרות!$E$7+1))/הגדרות!$E$7)))</f>
        <v/>
      </c>
      <c r="J3584" s="0" t="str">
        <f aca="false">IF(I3584="","",IF(H3584-1&lt;הגדרות!$E$8*(הגדרות!$E$7+1),MOD(H3584-1,הגדרות!$E$7+1),MOD(H3584-1-הגדרות!$E$8*(הגדרות!$E$7+1),הגדרות!$E$7)))</f>
        <v/>
      </c>
      <c r="K3584" s="0" t="str">
        <f aca="false">IF(I3584="","",J3584*הגדרות!$E$6+I3584+1)</f>
        <v/>
      </c>
      <c r="L3584" s="0" t="str">
        <f aca="false">IF(K3584="","",MATCH(K3584,$F$2:$F$5001,0))</f>
        <v/>
      </c>
      <c r="M3584" s="0" t="str">
        <f aca="false">IF(I3584="","",INDEX(הגדרות!$A$2:$A$21,MOD(I3584+הגדרות!$E$9,הגדרות!$E$6)+1))</f>
        <v/>
      </c>
    </row>
    <row r="3585" customFormat="false" ht="15" hidden="false" customHeight="false" outlineLevel="0" collapsed="false">
      <c r="A3585" s="0" t="str">
        <f aca="false">IF('הדבקת לידים'!A3585="","",IF(ISNUMBER('הדבקת לידים'!A3585),IF(הגדרות!$E$2&gt;0,TEXT('הדבקת לידים'!A3585,REPT("0",הגדרות!$E$2)),TEXT('הדבקת לידים'!A3585,"0")),TRIM('הדבקת לידים'!A3585)))</f>
        <v/>
      </c>
      <c r="B3585" s="0" t="str">
        <f aca="false">IF('הדבקת לידים'!B3585="","",IF(ISNUMBER('הדבקת לידים'!B3585),IF(הגדרות!$E$3&gt;0,TEXT('הדבקת לידים'!B3585,REPT("0",הגדרות!$E$3)),TEXT('הדבקת לידים'!B3585,"0")),TRIM('הדבקת לידים'!B3585)))</f>
        <v/>
      </c>
      <c r="C3585" s="0" t="n">
        <f aca="false">IF(OR(A3585&lt;&gt;"",B3585&lt;&gt;""),1,0)</f>
        <v>0</v>
      </c>
      <c r="D3585" s="0" t="str">
        <f aca="false">IF(C3585=1,MOD(ABS(SIN(ROW()*12.9898+'הדבקת לידים'!$F$2*78.233+IFERROR(--RIGHT(A3585,6),LEN(A3585))*0.0137+IFERROR(--RIGHT(B3585,6),LEN(B3585))*0.0071))*43758.5453,1),"")</f>
        <v/>
      </c>
      <c r="E3585" s="0" t="str">
        <f aca="false">IF(C3585=1,INT(MOD(ABS(SIN(D3585*7919.123+ROW()*0.618+'הדבקת לידים'!$F$2*1.3))*43758.5453,1)*1000000)*10000+ROW(),"")</f>
        <v/>
      </c>
      <c r="F3585" s="0" t="str">
        <f aca="false">IF(E3585="","",RANK(E3585,$E$2:$E$5001,1))</f>
        <v/>
      </c>
      <c r="G3585" s="0" t="n">
        <f aca="false">IF(A3585="",0,IF(SUMPRODUCT(--($A$2:$A$5001=A3585))&gt;1,1,0))</f>
        <v>0</v>
      </c>
      <c r="H3585" s="0" t="n">
        <f aca="false">ROW()-1</f>
        <v>3584</v>
      </c>
      <c r="I3585" s="0" t="str">
        <f aca="false">IF(OR(הגדרות!$E$6=0,H3585&gt;הגדרות!$E$5),"",IF(H3585-1&lt;הגדרות!$E$8*(הגדרות!$E$7+1),INT((H3585-1)/(הגדרות!$E$7+1)),הגדרות!$E$8+INT((H3585-1-הגדרות!$E$8*(הגדרות!$E$7+1))/הגדרות!$E$7)))</f>
        <v/>
      </c>
      <c r="J3585" s="0" t="str">
        <f aca="false">IF(I3585="","",IF(H3585-1&lt;הגדרות!$E$8*(הגדרות!$E$7+1),MOD(H3585-1,הגדרות!$E$7+1),MOD(H3585-1-הגדרות!$E$8*(הגדרות!$E$7+1),הגדרות!$E$7)))</f>
        <v/>
      </c>
      <c r="K3585" s="0" t="str">
        <f aca="false">IF(I3585="","",J3585*הגדרות!$E$6+I3585+1)</f>
        <v/>
      </c>
      <c r="L3585" s="0" t="str">
        <f aca="false">IF(K3585="","",MATCH(K3585,$F$2:$F$5001,0))</f>
        <v/>
      </c>
      <c r="M3585" s="0" t="str">
        <f aca="false">IF(I3585="","",INDEX(הגדרות!$A$2:$A$21,MOD(I3585+הגדרות!$E$9,הגדרות!$E$6)+1))</f>
        <v/>
      </c>
    </row>
    <row r="3586" customFormat="false" ht="15" hidden="false" customHeight="false" outlineLevel="0" collapsed="false">
      <c r="A3586" s="0" t="str">
        <f aca="false">IF('הדבקת לידים'!A3586="","",IF(ISNUMBER('הדבקת לידים'!A3586),IF(הגדרות!$E$2&gt;0,TEXT('הדבקת לידים'!A3586,REPT("0",הגדרות!$E$2)),TEXT('הדבקת לידים'!A3586,"0")),TRIM('הדבקת לידים'!A3586)))</f>
        <v/>
      </c>
      <c r="B3586" s="0" t="str">
        <f aca="false">IF('הדבקת לידים'!B3586="","",IF(ISNUMBER('הדבקת לידים'!B3586),IF(הגדרות!$E$3&gt;0,TEXT('הדבקת לידים'!B3586,REPT("0",הגדרות!$E$3)),TEXT('הדבקת לידים'!B3586,"0")),TRIM('הדבקת לידים'!B3586)))</f>
        <v/>
      </c>
      <c r="C3586" s="0" t="n">
        <f aca="false">IF(OR(A3586&lt;&gt;"",B3586&lt;&gt;""),1,0)</f>
        <v>0</v>
      </c>
      <c r="D3586" s="0" t="str">
        <f aca="false">IF(C3586=1,MOD(ABS(SIN(ROW()*12.9898+'הדבקת לידים'!$F$2*78.233+IFERROR(--RIGHT(A3586,6),LEN(A3586))*0.0137+IFERROR(--RIGHT(B3586,6),LEN(B3586))*0.0071))*43758.5453,1),"")</f>
        <v/>
      </c>
      <c r="E3586" s="0" t="str">
        <f aca="false">IF(C3586=1,INT(MOD(ABS(SIN(D3586*7919.123+ROW()*0.618+'הדבקת לידים'!$F$2*1.3))*43758.5453,1)*1000000)*10000+ROW(),"")</f>
        <v/>
      </c>
      <c r="F3586" s="0" t="str">
        <f aca="false">IF(E3586="","",RANK(E3586,$E$2:$E$5001,1))</f>
        <v/>
      </c>
      <c r="G3586" s="0" t="n">
        <f aca="false">IF(A3586="",0,IF(SUMPRODUCT(--($A$2:$A$5001=A3586))&gt;1,1,0))</f>
        <v>0</v>
      </c>
      <c r="H3586" s="0" t="n">
        <f aca="false">ROW()-1</f>
        <v>3585</v>
      </c>
      <c r="I3586" s="0" t="str">
        <f aca="false">IF(OR(הגדרות!$E$6=0,H3586&gt;הגדרות!$E$5),"",IF(H3586-1&lt;הגדרות!$E$8*(הגדרות!$E$7+1),INT((H3586-1)/(הגדרות!$E$7+1)),הגדרות!$E$8+INT((H3586-1-הגדרות!$E$8*(הגדרות!$E$7+1))/הגדרות!$E$7)))</f>
        <v/>
      </c>
      <c r="J3586" s="0" t="str">
        <f aca="false">IF(I3586="","",IF(H3586-1&lt;הגדרות!$E$8*(הגדרות!$E$7+1),MOD(H3586-1,הגדרות!$E$7+1),MOD(H3586-1-הגדרות!$E$8*(הגדרות!$E$7+1),הגדרות!$E$7)))</f>
        <v/>
      </c>
      <c r="K3586" s="0" t="str">
        <f aca="false">IF(I3586="","",J3586*הגדרות!$E$6+I3586+1)</f>
        <v/>
      </c>
      <c r="L3586" s="0" t="str">
        <f aca="false">IF(K3586="","",MATCH(K3586,$F$2:$F$5001,0))</f>
        <v/>
      </c>
      <c r="M3586" s="0" t="str">
        <f aca="false">IF(I3586="","",INDEX(הגדרות!$A$2:$A$21,MOD(I3586+הגדרות!$E$9,הגדרות!$E$6)+1))</f>
        <v/>
      </c>
    </row>
    <row r="3587" customFormat="false" ht="15" hidden="false" customHeight="false" outlineLevel="0" collapsed="false">
      <c r="A3587" s="0" t="str">
        <f aca="false">IF('הדבקת לידים'!A3587="","",IF(ISNUMBER('הדבקת לידים'!A3587),IF(הגדרות!$E$2&gt;0,TEXT('הדבקת לידים'!A3587,REPT("0",הגדרות!$E$2)),TEXT('הדבקת לידים'!A3587,"0")),TRIM('הדבקת לידים'!A3587)))</f>
        <v/>
      </c>
      <c r="B3587" s="0" t="str">
        <f aca="false">IF('הדבקת לידים'!B3587="","",IF(ISNUMBER('הדבקת לידים'!B3587),IF(הגדרות!$E$3&gt;0,TEXT('הדבקת לידים'!B3587,REPT("0",הגדרות!$E$3)),TEXT('הדבקת לידים'!B3587,"0")),TRIM('הדבקת לידים'!B3587)))</f>
        <v/>
      </c>
      <c r="C3587" s="0" t="n">
        <f aca="false">IF(OR(A3587&lt;&gt;"",B3587&lt;&gt;""),1,0)</f>
        <v>0</v>
      </c>
      <c r="D3587" s="0" t="str">
        <f aca="false">IF(C3587=1,MOD(ABS(SIN(ROW()*12.9898+'הדבקת לידים'!$F$2*78.233+IFERROR(--RIGHT(A3587,6),LEN(A3587))*0.0137+IFERROR(--RIGHT(B3587,6),LEN(B3587))*0.0071))*43758.5453,1),"")</f>
        <v/>
      </c>
      <c r="E3587" s="0" t="str">
        <f aca="false">IF(C3587=1,INT(MOD(ABS(SIN(D3587*7919.123+ROW()*0.618+'הדבקת לידים'!$F$2*1.3))*43758.5453,1)*1000000)*10000+ROW(),"")</f>
        <v/>
      </c>
      <c r="F3587" s="0" t="str">
        <f aca="false">IF(E3587="","",RANK(E3587,$E$2:$E$5001,1))</f>
        <v/>
      </c>
      <c r="G3587" s="0" t="n">
        <f aca="false">IF(A3587="",0,IF(SUMPRODUCT(--($A$2:$A$5001=A3587))&gt;1,1,0))</f>
        <v>0</v>
      </c>
      <c r="H3587" s="0" t="n">
        <f aca="false">ROW()-1</f>
        <v>3586</v>
      </c>
      <c r="I3587" s="0" t="str">
        <f aca="false">IF(OR(הגדרות!$E$6=0,H3587&gt;הגדרות!$E$5),"",IF(H3587-1&lt;הגדרות!$E$8*(הגדרות!$E$7+1),INT((H3587-1)/(הגדרות!$E$7+1)),הגדרות!$E$8+INT((H3587-1-הגדרות!$E$8*(הגדרות!$E$7+1))/הגדרות!$E$7)))</f>
        <v/>
      </c>
      <c r="J3587" s="0" t="str">
        <f aca="false">IF(I3587="","",IF(H3587-1&lt;הגדרות!$E$8*(הגדרות!$E$7+1),MOD(H3587-1,הגדרות!$E$7+1),MOD(H3587-1-הגדרות!$E$8*(הגדרות!$E$7+1),הגדרות!$E$7)))</f>
        <v/>
      </c>
      <c r="K3587" s="0" t="str">
        <f aca="false">IF(I3587="","",J3587*הגדרות!$E$6+I3587+1)</f>
        <v/>
      </c>
      <c r="L3587" s="0" t="str">
        <f aca="false">IF(K3587="","",MATCH(K3587,$F$2:$F$5001,0))</f>
        <v/>
      </c>
      <c r="M3587" s="0" t="str">
        <f aca="false">IF(I3587="","",INDEX(הגדרות!$A$2:$A$21,MOD(I3587+הגדרות!$E$9,הגדרות!$E$6)+1))</f>
        <v/>
      </c>
    </row>
    <row r="3588" customFormat="false" ht="15" hidden="false" customHeight="false" outlineLevel="0" collapsed="false">
      <c r="A3588" s="0" t="str">
        <f aca="false">IF('הדבקת לידים'!A3588="","",IF(ISNUMBER('הדבקת לידים'!A3588),IF(הגדרות!$E$2&gt;0,TEXT('הדבקת לידים'!A3588,REPT("0",הגדרות!$E$2)),TEXT('הדבקת לידים'!A3588,"0")),TRIM('הדבקת לידים'!A3588)))</f>
        <v/>
      </c>
      <c r="B3588" s="0" t="str">
        <f aca="false">IF('הדבקת לידים'!B3588="","",IF(ISNUMBER('הדבקת לידים'!B3588),IF(הגדרות!$E$3&gt;0,TEXT('הדבקת לידים'!B3588,REPT("0",הגדרות!$E$3)),TEXT('הדבקת לידים'!B3588,"0")),TRIM('הדבקת לידים'!B3588)))</f>
        <v/>
      </c>
      <c r="C3588" s="0" t="n">
        <f aca="false">IF(OR(A3588&lt;&gt;"",B3588&lt;&gt;""),1,0)</f>
        <v>0</v>
      </c>
      <c r="D3588" s="0" t="str">
        <f aca="false">IF(C3588=1,MOD(ABS(SIN(ROW()*12.9898+'הדבקת לידים'!$F$2*78.233+IFERROR(--RIGHT(A3588,6),LEN(A3588))*0.0137+IFERROR(--RIGHT(B3588,6),LEN(B3588))*0.0071))*43758.5453,1),"")</f>
        <v/>
      </c>
      <c r="E3588" s="0" t="str">
        <f aca="false">IF(C3588=1,INT(MOD(ABS(SIN(D3588*7919.123+ROW()*0.618+'הדבקת לידים'!$F$2*1.3))*43758.5453,1)*1000000)*10000+ROW(),"")</f>
        <v/>
      </c>
      <c r="F3588" s="0" t="str">
        <f aca="false">IF(E3588="","",RANK(E3588,$E$2:$E$5001,1))</f>
        <v/>
      </c>
      <c r="G3588" s="0" t="n">
        <f aca="false">IF(A3588="",0,IF(SUMPRODUCT(--($A$2:$A$5001=A3588))&gt;1,1,0))</f>
        <v>0</v>
      </c>
      <c r="H3588" s="0" t="n">
        <f aca="false">ROW()-1</f>
        <v>3587</v>
      </c>
      <c r="I3588" s="0" t="str">
        <f aca="false">IF(OR(הגדרות!$E$6=0,H3588&gt;הגדרות!$E$5),"",IF(H3588-1&lt;הגדרות!$E$8*(הגדרות!$E$7+1),INT((H3588-1)/(הגדרות!$E$7+1)),הגדרות!$E$8+INT((H3588-1-הגדרות!$E$8*(הגדרות!$E$7+1))/הגדרות!$E$7)))</f>
        <v/>
      </c>
      <c r="J3588" s="0" t="str">
        <f aca="false">IF(I3588="","",IF(H3588-1&lt;הגדרות!$E$8*(הגדרות!$E$7+1),MOD(H3588-1,הגדרות!$E$7+1),MOD(H3588-1-הגדרות!$E$8*(הגדרות!$E$7+1),הגדרות!$E$7)))</f>
        <v/>
      </c>
      <c r="K3588" s="0" t="str">
        <f aca="false">IF(I3588="","",J3588*הגדרות!$E$6+I3588+1)</f>
        <v/>
      </c>
      <c r="L3588" s="0" t="str">
        <f aca="false">IF(K3588="","",MATCH(K3588,$F$2:$F$5001,0))</f>
        <v/>
      </c>
      <c r="M3588" s="0" t="str">
        <f aca="false">IF(I3588="","",INDEX(הגדרות!$A$2:$A$21,MOD(I3588+הגדרות!$E$9,הגדרות!$E$6)+1))</f>
        <v/>
      </c>
    </row>
    <row r="3589" customFormat="false" ht="15" hidden="false" customHeight="false" outlineLevel="0" collapsed="false">
      <c r="A3589" s="0" t="str">
        <f aca="false">IF('הדבקת לידים'!A3589="","",IF(ISNUMBER('הדבקת לידים'!A3589),IF(הגדרות!$E$2&gt;0,TEXT('הדבקת לידים'!A3589,REPT("0",הגדרות!$E$2)),TEXT('הדבקת לידים'!A3589,"0")),TRIM('הדבקת לידים'!A3589)))</f>
        <v/>
      </c>
      <c r="B3589" s="0" t="str">
        <f aca="false">IF('הדבקת לידים'!B3589="","",IF(ISNUMBER('הדבקת לידים'!B3589),IF(הגדרות!$E$3&gt;0,TEXT('הדבקת לידים'!B3589,REPT("0",הגדרות!$E$3)),TEXT('הדבקת לידים'!B3589,"0")),TRIM('הדבקת לידים'!B3589)))</f>
        <v/>
      </c>
      <c r="C3589" s="0" t="n">
        <f aca="false">IF(OR(A3589&lt;&gt;"",B3589&lt;&gt;""),1,0)</f>
        <v>0</v>
      </c>
      <c r="D3589" s="0" t="str">
        <f aca="false">IF(C3589=1,MOD(ABS(SIN(ROW()*12.9898+'הדבקת לידים'!$F$2*78.233+IFERROR(--RIGHT(A3589,6),LEN(A3589))*0.0137+IFERROR(--RIGHT(B3589,6),LEN(B3589))*0.0071))*43758.5453,1),"")</f>
        <v/>
      </c>
      <c r="E3589" s="0" t="str">
        <f aca="false">IF(C3589=1,INT(MOD(ABS(SIN(D3589*7919.123+ROW()*0.618+'הדבקת לידים'!$F$2*1.3))*43758.5453,1)*1000000)*10000+ROW(),"")</f>
        <v/>
      </c>
      <c r="F3589" s="0" t="str">
        <f aca="false">IF(E3589="","",RANK(E3589,$E$2:$E$5001,1))</f>
        <v/>
      </c>
      <c r="G3589" s="0" t="n">
        <f aca="false">IF(A3589="",0,IF(SUMPRODUCT(--($A$2:$A$5001=A3589))&gt;1,1,0))</f>
        <v>0</v>
      </c>
      <c r="H3589" s="0" t="n">
        <f aca="false">ROW()-1</f>
        <v>3588</v>
      </c>
      <c r="I3589" s="0" t="str">
        <f aca="false">IF(OR(הגדרות!$E$6=0,H3589&gt;הגדרות!$E$5),"",IF(H3589-1&lt;הגדרות!$E$8*(הגדרות!$E$7+1),INT((H3589-1)/(הגדרות!$E$7+1)),הגדרות!$E$8+INT((H3589-1-הגדרות!$E$8*(הגדרות!$E$7+1))/הגדרות!$E$7)))</f>
        <v/>
      </c>
      <c r="J3589" s="0" t="str">
        <f aca="false">IF(I3589="","",IF(H3589-1&lt;הגדרות!$E$8*(הגדרות!$E$7+1),MOD(H3589-1,הגדרות!$E$7+1),MOD(H3589-1-הגדרות!$E$8*(הגדרות!$E$7+1),הגדרות!$E$7)))</f>
        <v/>
      </c>
      <c r="K3589" s="0" t="str">
        <f aca="false">IF(I3589="","",J3589*הגדרות!$E$6+I3589+1)</f>
        <v/>
      </c>
      <c r="L3589" s="0" t="str">
        <f aca="false">IF(K3589="","",MATCH(K3589,$F$2:$F$5001,0))</f>
        <v/>
      </c>
      <c r="M3589" s="0" t="str">
        <f aca="false">IF(I3589="","",INDEX(הגדרות!$A$2:$A$21,MOD(I3589+הגדרות!$E$9,הגדרות!$E$6)+1))</f>
        <v/>
      </c>
    </row>
    <row r="3590" customFormat="false" ht="15" hidden="false" customHeight="false" outlineLevel="0" collapsed="false">
      <c r="A3590" s="0" t="str">
        <f aca="false">IF('הדבקת לידים'!A3590="","",IF(ISNUMBER('הדבקת לידים'!A3590),IF(הגדרות!$E$2&gt;0,TEXT('הדבקת לידים'!A3590,REPT("0",הגדרות!$E$2)),TEXT('הדבקת לידים'!A3590,"0")),TRIM('הדבקת לידים'!A3590)))</f>
        <v/>
      </c>
      <c r="B3590" s="0" t="str">
        <f aca="false">IF('הדבקת לידים'!B3590="","",IF(ISNUMBER('הדבקת לידים'!B3590),IF(הגדרות!$E$3&gt;0,TEXT('הדבקת לידים'!B3590,REPT("0",הגדרות!$E$3)),TEXT('הדבקת לידים'!B3590,"0")),TRIM('הדבקת לידים'!B3590)))</f>
        <v/>
      </c>
      <c r="C3590" s="0" t="n">
        <f aca="false">IF(OR(A3590&lt;&gt;"",B3590&lt;&gt;""),1,0)</f>
        <v>0</v>
      </c>
      <c r="D3590" s="0" t="str">
        <f aca="false">IF(C3590=1,MOD(ABS(SIN(ROW()*12.9898+'הדבקת לידים'!$F$2*78.233+IFERROR(--RIGHT(A3590,6),LEN(A3590))*0.0137+IFERROR(--RIGHT(B3590,6),LEN(B3590))*0.0071))*43758.5453,1),"")</f>
        <v/>
      </c>
      <c r="E3590" s="0" t="str">
        <f aca="false">IF(C3590=1,INT(MOD(ABS(SIN(D3590*7919.123+ROW()*0.618+'הדבקת לידים'!$F$2*1.3))*43758.5453,1)*1000000)*10000+ROW(),"")</f>
        <v/>
      </c>
      <c r="F3590" s="0" t="str">
        <f aca="false">IF(E3590="","",RANK(E3590,$E$2:$E$5001,1))</f>
        <v/>
      </c>
      <c r="G3590" s="0" t="n">
        <f aca="false">IF(A3590="",0,IF(SUMPRODUCT(--($A$2:$A$5001=A3590))&gt;1,1,0))</f>
        <v>0</v>
      </c>
      <c r="H3590" s="0" t="n">
        <f aca="false">ROW()-1</f>
        <v>3589</v>
      </c>
      <c r="I3590" s="0" t="str">
        <f aca="false">IF(OR(הגדרות!$E$6=0,H3590&gt;הגדרות!$E$5),"",IF(H3590-1&lt;הגדרות!$E$8*(הגדרות!$E$7+1),INT((H3590-1)/(הגדרות!$E$7+1)),הגדרות!$E$8+INT((H3590-1-הגדרות!$E$8*(הגדרות!$E$7+1))/הגדרות!$E$7)))</f>
        <v/>
      </c>
      <c r="J3590" s="0" t="str">
        <f aca="false">IF(I3590="","",IF(H3590-1&lt;הגדרות!$E$8*(הגדרות!$E$7+1),MOD(H3590-1,הגדרות!$E$7+1),MOD(H3590-1-הגדרות!$E$8*(הגדרות!$E$7+1),הגדרות!$E$7)))</f>
        <v/>
      </c>
      <c r="K3590" s="0" t="str">
        <f aca="false">IF(I3590="","",J3590*הגדרות!$E$6+I3590+1)</f>
        <v/>
      </c>
      <c r="L3590" s="0" t="str">
        <f aca="false">IF(K3590="","",MATCH(K3590,$F$2:$F$5001,0))</f>
        <v/>
      </c>
      <c r="M3590" s="0" t="str">
        <f aca="false">IF(I3590="","",INDEX(הגדרות!$A$2:$A$21,MOD(I3590+הגדרות!$E$9,הגדרות!$E$6)+1))</f>
        <v/>
      </c>
    </row>
    <row r="3591" customFormat="false" ht="15" hidden="false" customHeight="false" outlineLevel="0" collapsed="false">
      <c r="A3591" s="0" t="str">
        <f aca="false">IF('הדבקת לידים'!A3591="","",IF(ISNUMBER('הדבקת לידים'!A3591),IF(הגדרות!$E$2&gt;0,TEXT('הדבקת לידים'!A3591,REPT("0",הגדרות!$E$2)),TEXT('הדבקת לידים'!A3591,"0")),TRIM('הדבקת לידים'!A3591)))</f>
        <v/>
      </c>
      <c r="B3591" s="0" t="str">
        <f aca="false">IF('הדבקת לידים'!B3591="","",IF(ISNUMBER('הדבקת לידים'!B3591),IF(הגדרות!$E$3&gt;0,TEXT('הדבקת לידים'!B3591,REPT("0",הגדרות!$E$3)),TEXT('הדבקת לידים'!B3591,"0")),TRIM('הדבקת לידים'!B3591)))</f>
        <v/>
      </c>
      <c r="C3591" s="0" t="n">
        <f aca="false">IF(OR(A3591&lt;&gt;"",B3591&lt;&gt;""),1,0)</f>
        <v>0</v>
      </c>
      <c r="D3591" s="0" t="str">
        <f aca="false">IF(C3591=1,MOD(ABS(SIN(ROW()*12.9898+'הדבקת לידים'!$F$2*78.233+IFERROR(--RIGHT(A3591,6),LEN(A3591))*0.0137+IFERROR(--RIGHT(B3591,6),LEN(B3591))*0.0071))*43758.5453,1),"")</f>
        <v/>
      </c>
      <c r="E3591" s="0" t="str">
        <f aca="false">IF(C3591=1,INT(MOD(ABS(SIN(D3591*7919.123+ROW()*0.618+'הדבקת לידים'!$F$2*1.3))*43758.5453,1)*1000000)*10000+ROW(),"")</f>
        <v/>
      </c>
      <c r="F3591" s="0" t="str">
        <f aca="false">IF(E3591="","",RANK(E3591,$E$2:$E$5001,1))</f>
        <v/>
      </c>
      <c r="G3591" s="0" t="n">
        <f aca="false">IF(A3591="",0,IF(SUMPRODUCT(--($A$2:$A$5001=A3591))&gt;1,1,0))</f>
        <v>0</v>
      </c>
      <c r="H3591" s="0" t="n">
        <f aca="false">ROW()-1</f>
        <v>3590</v>
      </c>
      <c r="I3591" s="0" t="str">
        <f aca="false">IF(OR(הגדרות!$E$6=0,H3591&gt;הגדרות!$E$5),"",IF(H3591-1&lt;הגדרות!$E$8*(הגדרות!$E$7+1),INT((H3591-1)/(הגדרות!$E$7+1)),הגדרות!$E$8+INT((H3591-1-הגדרות!$E$8*(הגדרות!$E$7+1))/הגדרות!$E$7)))</f>
        <v/>
      </c>
      <c r="J3591" s="0" t="str">
        <f aca="false">IF(I3591="","",IF(H3591-1&lt;הגדרות!$E$8*(הגדרות!$E$7+1),MOD(H3591-1,הגדרות!$E$7+1),MOD(H3591-1-הגדרות!$E$8*(הגדרות!$E$7+1),הגדרות!$E$7)))</f>
        <v/>
      </c>
      <c r="K3591" s="0" t="str">
        <f aca="false">IF(I3591="","",J3591*הגדרות!$E$6+I3591+1)</f>
        <v/>
      </c>
      <c r="L3591" s="0" t="str">
        <f aca="false">IF(K3591="","",MATCH(K3591,$F$2:$F$5001,0))</f>
        <v/>
      </c>
      <c r="M3591" s="0" t="str">
        <f aca="false">IF(I3591="","",INDEX(הגדרות!$A$2:$A$21,MOD(I3591+הגדרות!$E$9,הגדרות!$E$6)+1))</f>
        <v/>
      </c>
    </row>
    <row r="3592" customFormat="false" ht="15" hidden="false" customHeight="false" outlineLevel="0" collapsed="false">
      <c r="A3592" s="0" t="str">
        <f aca="false">IF('הדבקת לידים'!A3592="","",IF(ISNUMBER('הדבקת לידים'!A3592),IF(הגדרות!$E$2&gt;0,TEXT('הדבקת לידים'!A3592,REPT("0",הגדרות!$E$2)),TEXT('הדבקת לידים'!A3592,"0")),TRIM('הדבקת לידים'!A3592)))</f>
        <v/>
      </c>
      <c r="B3592" s="0" t="str">
        <f aca="false">IF('הדבקת לידים'!B3592="","",IF(ISNUMBER('הדבקת לידים'!B3592),IF(הגדרות!$E$3&gt;0,TEXT('הדבקת לידים'!B3592,REPT("0",הגדרות!$E$3)),TEXT('הדבקת לידים'!B3592,"0")),TRIM('הדבקת לידים'!B3592)))</f>
        <v/>
      </c>
      <c r="C3592" s="0" t="n">
        <f aca="false">IF(OR(A3592&lt;&gt;"",B3592&lt;&gt;""),1,0)</f>
        <v>0</v>
      </c>
      <c r="D3592" s="0" t="str">
        <f aca="false">IF(C3592=1,MOD(ABS(SIN(ROW()*12.9898+'הדבקת לידים'!$F$2*78.233+IFERROR(--RIGHT(A3592,6),LEN(A3592))*0.0137+IFERROR(--RIGHT(B3592,6),LEN(B3592))*0.0071))*43758.5453,1),"")</f>
        <v/>
      </c>
      <c r="E3592" s="0" t="str">
        <f aca="false">IF(C3592=1,INT(MOD(ABS(SIN(D3592*7919.123+ROW()*0.618+'הדבקת לידים'!$F$2*1.3))*43758.5453,1)*1000000)*10000+ROW(),"")</f>
        <v/>
      </c>
      <c r="F3592" s="0" t="str">
        <f aca="false">IF(E3592="","",RANK(E3592,$E$2:$E$5001,1))</f>
        <v/>
      </c>
      <c r="G3592" s="0" t="n">
        <f aca="false">IF(A3592="",0,IF(SUMPRODUCT(--($A$2:$A$5001=A3592))&gt;1,1,0))</f>
        <v>0</v>
      </c>
      <c r="H3592" s="0" t="n">
        <f aca="false">ROW()-1</f>
        <v>3591</v>
      </c>
      <c r="I3592" s="0" t="str">
        <f aca="false">IF(OR(הגדרות!$E$6=0,H3592&gt;הגדרות!$E$5),"",IF(H3592-1&lt;הגדרות!$E$8*(הגדרות!$E$7+1),INT((H3592-1)/(הגדרות!$E$7+1)),הגדרות!$E$8+INT((H3592-1-הגדרות!$E$8*(הגדרות!$E$7+1))/הגדרות!$E$7)))</f>
        <v/>
      </c>
      <c r="J3592" s="0" t="str">
        <f aca="false">IF(I3592="","",IF(H3592-1&lt;הגדרות!$E$8*(הגדרות!$E$7+1),MOD(H3592-1,הגדרות!$E$7+1),MOD(H3592-1-הגדרות!$E$8*(הגדרות!$E$7+1),הגדרות!$E$7)))</f>
        <v/>
      </c>
      <c r="K3592" s="0" t="str">
        <f aca="false">IF(I3592="","",J3592*הגדרות!$E$6+I3592+1)</f>
        <v/>
      </c>
      <c r="L3592" s="0" t="str">
        <f aca="false">IF(K3592="","",MATCH(K3592,$F$2:$F$5001,0))</f>
        <v/>
      </c>
      <c r="M3592" s="0" t="str">
        <f aca="false">IF(I3592="","",INDEX(הגדרות!$A$2:$A$21,MOD(I3592+הגדרות!$E$9,הגדרות!$E$6)+1))</f>
        <v/>
      </c>
    </row>
    <row r="3593" customFormat="false" ht="15" hidden="false" customHeight="false" outlineLevel="0" collapsed="false">
      <c r="A3593" s="0" t="str">
        <f aca="false">IF('הדבקת לידים'!A3593="","",IF(ISNUMBER('הדבקת לידים'!A3593),IF(הגדרות!$E$2&gt;0,TEXT('הדבקת לידים'!A3593,REPT("0",הגדרות!$E$2)),TEXT('הדבקת לידים'!A3593,"0")),TRIM('הדבקת לידים'!A3593)))</f>
        <v/>
      </c>
      <c r="B3593" s="0" t="str">
        <f aca="false">IF('הדבקת לידים'!B3593="","",IF(ISNUMBER('הדבקת לידים'!B3593),IF(הגדרות!$E$3&gt;0,TEXT('הדבקת לידים'!B3593,REPT("0",הגדרות!$E$3)),TEXT('הדבקת לידים'!B3593,"0")),TRIM('הדבקת לידים'!B3593)))</f>
        <v/>
      </c>
      <c r="C3593" s="0" t="n">
        <f aca="false">IF(OR(A3593&lt;&gt;"",B3593&lt;&gt;""),1,0)</f>
        <v>0</v>
      </c>
      <c r="D3593" s="0" t="str">
        <f aca="false">IF(C3593=1,MOD(ABS(SIN(ROW()*12.9898+'הדבקת לידים'!$F$2*78.233+IFERROR(--RIGHT(A3593,6),LEN(A3593))*0.0137+IFERROR(--RIGHT(B3593,6),LEN(B3593))*0.0071))*43758.5453,1),"")</f>
        <v/>
      </c>
      <c r="E3593" s="0" t="str">
        <f aca="false">IF(C3593=1,INT(MOD(ABS(SIN(D3593*7919.123+ROW()*0.618+'הדבקת לידים'!$F$2*1.3))*43758.5453,1)*1000000)*10000+ROW(),"")</f>
        <v/>
      </c>
      <c r="F3593" s="0" t="str">
        <f aca="false">IF(E3593="","",RANK(E3593,$E$2:$E$5001,1))</f>
        <v/>
      </c>
      <c r="G3593" s="0" t="n">
        <f aca="false">IF(A3593="",0,IF(SUMPRODUCT(--($A$2:$A$5001=A3593))&gt;1,1,0))</f>
        <v>0</v>
      </c>
      <c r="H3593" s="0" t="n">
        <f aca="false">ROW()-1</f>
        <v>3592</v>
      </c>
      <c r="I3593" s="0" t="str">
        <f aca="false">IF(OR(הגדרות!$E$6=0,H3593&gt;הגדרות!$E$5),"",IF(H3593-1&lt;הגדרות!$E$8*(הגדרות!$E$7+1),INT((H3593-1)/(הגדרות!$E$7+1)),הגדרות!$E$8+INT((H3593-1-הגדרות!$E$8*(הגדרות!$E$7+1))/הגדרות!$E$7)))</f>
        <v/>
      </c>
      <c r="J3593" s="0" t="str">
        <f aca="false">IF(I3593="","",IF(H3593-1&lt;הגדרות!$E$8*(הגדרות!$E$7+1),MOD(H3593-1,הגדרות!$E$7+1),MOD(H3593-1-הגדרות!$E$8*(הגדרות!$E$7+1),הגדרות!$E$7)))</f>
        <v/>
      </c>
      <c r="K3593" s="0" t="str">
        <f aca="false">IF(I3593="","",J3593*הגדרות!$E$6+I3593+1)</f>
        <v/>
      </c>
      <c r="L3593" s="0" t="str">
        <f aca="false">IF(K3593="","",MATCH(K3593,$F$2:$F$5001,0))</f>
        <v/>
      </c>
      <c r="M3593" s="0" t="str">
        <f aca="false">IF(I3593="","",INDEX(הגדרות!$A$2:$A$21,MOD(I3593+הגדרות!$E$9,הגדרות!$E$6)+1))</f>
        <v/>
      </c>
    </row>
    <row r="3594" customFormat="false" ht="15" hidden="false" customHeight="false" outlineLevel="0" collapsed="false">
      <c r="A3594" s="0" t="str">
        <f aca="false">IF('הדבקת לידים'!A3594="","",IF(ISNUMBER('הדבקת לידים'!A3594),IF(הגדרות!$E$2&gt;0,TEXT('הדבקת לידים'!A3594,REPT("0",הגדרות!$E$2)),TEXT('הדבקת לידים'!A3594,"0")),TRIM('הדבקת לידים'!A3594)))</f>
        <v/>
      </c>
      <c r="B3594" s="0" t="str">
        <f aca="false">IF('הדבקת לידים'!B3594="","",IF(ISNUMBER('הדבקת לידים'!B3594),IF(הגדרות!$E$3&gt;0,TEXT('הדבקת לידים'!B3594,REPT("0",הגדרות!$E$3)),TEXT('הדבקת לידים'!B3594,"0")),TRIM('הדבקת לידים'!B3594)))</f>
        <v/>
      </c>
      <c r="C3594" s="0" t="n">
        <f aca="false">IF(OR(A3594&lt;&gt;"",B3594&lt;&gt;""),1,0)</f>
        <v>0</v>
      </c>
      <c r="D3594" s="0" t="str">
        <f aca="false">IF(C3594=1,MOD(ABS(SIN(ROW()*12.9898+'הדבקת לידים'!$F$2*78.233+IFERROR(--RIGHT(A3594,6),LEN(A3594))*0.0137+IFERROR(--RIGHT(B3594,6),LEN(B3594))*0.0071))*43758.5453,1),"")</f>
        <v/>
      </c>
      <c r="E3594" s="0" t="str">
        <f aca="false">IF(C3594=1,INT(MOD(ABS(SIN(D3594*7919.123+ROW()*0.618+'הדבקת לידים'!$F$2*1.3))*43758.5453,1)*1000000)*10000+ROW(),"")</f>
        <v/>
      </c>
      <c r="F3594" s="0" t="str">
        <f aca="false">IF(E3594="","",RANK(E3594,$E$2:$E$5001,1))</f>
        <v/>
      </c>
      <c r="G3594" s="0" t="n">
        <f aca="false">IF(A3594="",0,IF(SUMPRODUCT(--($A$2:$A$5001=A3594))&gt;1,1,0))</f>
        <v>0</v>
      </c>
      <c r="H3594" s="0" t="n">
        <f aca="false">ROW()-1</f>
        <v>3593</v>
      </c>
      <c r="I3594" s="0" t="str">
        <f aca="false">IF(OR(הגדרות!$E$6=0,H3594&gt;הגדרות!$E$5),"",IF(H3594-1&lt;הגדרות!$E$8*(הגדרות!$E$7+1),INT((H3594-1)/(הגדרות!$E$7+1)),הגדרות!$E$8+INT((H3594-1-הגדרות!$E$8*(הגדרות!$E$7+1))/הגדרות!$E$7)))</f>
        <v/>
      </c>
      <c r="J3594" s="0" t="str">
        <f aca="false">IF(I3594="","",IF(H3594-1&lt;הגדרות!$E$8*(הגדרות!$E$7+1),MOD(H3594-1,הגדרות!$E$7+1),MOD(H3594-1-הגדרות!$E$8*(הגדרות!$E$7+1),הגדרות!$E$7)))</f>
        <v/>
      </c>
      <c r="K3594" s="0" t="str">
        <f aca="false">IF(I3594="","",J3594*הגדרות!$E$6+I3594+1)</f>
        <v/>
      </c>
      <c r="L3594" s="0" t="str">
        <f aca="false">IF(K3594="","",MATCH(K3594,$F$2:$F$5001,0))</f>
        <v/>
      </c>
      <c r="M3594" s="0" t="str">
        <f aca="false">IF(I3594="","",INDEX(הגדרות!$A$2:$A$21,MOD(I3594+הגדרות!$E$9,הגדרות!$E$6)+1))</f>
        <v/>
      </c>
    </row>
    <row r="3595" customFormat="false" ht="15" hidden="false" customHeight="false" outlineLevel="0" collapsed="false">
      <c r="A3595" s="0" t="str">
        <f aca="false">IF('הדבקת לידים'!A3595="","",IF(ISNUMBER('הדבקת לידים'!A3595),IF(הגדרות!$E$2&gt;0,TEXT('הדבקת לידים'!A3595,REPT("0",הגדרות!$E$2)),TEXT('הדבקת לידים'!A3595,"0")),TRIM('הדבקת לידים'!A3595)))</f>
        <v/>
      </c>
      <c r="B3595" s="0" t="str">
        <f aca="false">IF('הדבקת לידים'!B3595="","",IF(ISNUMBER('הדבקת לידים'!B3595),IF(הגדרות!$E$3&gt;0,TEXT('הדבקת לידים'!B3595,REPT("0",הגדרות!$E$3)),TEXT('הדבקת לידים'!B3595,"0")),TRIM('הדבקת לידים'!B3595)))</f>
        <v/>
      </c>
      <c r="C3595" s="0" t="n">
        <f aca="false">IF(OR(A3595&lt;&gt;"",B3595&lt;&gt;""),1,0)</f>
        <v>0</v>
      </c>
      <c r="D3595" s="0" t="str">
        <f aca="false">IF(C3595=1,MOD(ABS(SIN(ROW()*12.9898+'הדבקת לידים'!$F$2*78.233+IFERROR(--RIGHT(A3595,6),LEN(A3595))*0.0137+IFERROR(--RIGHT(B3595,6),LEN(B3595))*0.0071))*43758.5453,1),"")</f>
        <v/>
      </c>
      <c r="E3595" s="0" t="str">
        <f aca="false">IF(C3595=1,INT(MOD(ABS(SIN(D3595*7919.123+ROW()*0.618+'הדבקת לידים'!$F$2*1.3))*43758.5453,1)*1000000)*10000+ROW(),"")</f>
        <v/>
      </c>
      <c r="F3595" s="0" t="str">
        <f aca="false">IF(E3595="","",RANK(E3595,$E$2:$E$5001,1))</f>
        <v/>
      </c>
      <c r="G3595" s="0" t="n">
        <f aca="false">IF(A3595="",0,IF(SUMPRODUCT(--($A$2:$A$5001=A3595))&gt;1,1,0))</f>
        <v>0</v>
      </c>
      <c r="H3595" s="0" t="n">
        <f aca="false">ROW()-1</f>
        <v>3594</v>
      </c>
      <c r="I3595" s="0" t="str">
        <f aca="false">IF(OR(הגדרות!$E$6=0,H3595&gt;הגדרות!$E$5),"",IF(H3595-1&lt;הגדרות!$E$8*(הגדרות!$E$7+1),INT((H3595-1)/(הגדרות!$E$7+1)),הגדרות!$E$8+INT((H3595-1-הגדרות!$E$8*(הגדרות!$E$7+1))/הגדרות!$E$7)))</f>
        <v/>
      </c>
      <c r="J3595" s="0" t="str">
        <f aca="false">IF(I3595="","",IF(H3595-1&lt;הגדרות!$E$8*(הגדרות!$E$7+1),MOD(H3595-1,הגדרות!$E$7+1),MOD(H3595-1-הגדרות!$E$8*(הגדרות!$E$7+1),הגדרות!$E$7)))</f>
        <v/>
      </c>
      <c r="K3595" s="0" t="str">
        <f aca="false">IF(I3595="","",J3595*הגדרות!$E$6+I3595+1)</f>
        <v/>
      </c>
      <c r="L3595" s="0" t="str">
        <f aca="false">IF(K3595="","",MATCH(K3595,$F$2:$F$5001,0))</f>
        <v/>
      </c>
      <c r="M3595" s="0" t="str">
        <f aca="false">IF(I3595="","",INDEX(הגדרות!$A$2:$A$21,MOD(I3595+הגדרות!$E$9,הגדרות!$E$6)+1))</f>
        <v/>
      </c>
    </row>
    <row r="3596" customFormat="false" ht="15" hidden="false" customHeight="false" outlineLevel="0" collapsed="false">
      <c r="A3596" s="0" t="str">
        <f aca="false">IF('הדבקת לידים'!A3596="","",IF(ISNUMBER('הדבקת לידים'!A3596),IF(הגדרות!$E$2&gt;0,TEXT('הדבקת לידים'!A3596,REPT("0",הגדרות!$E$2)),TEXT('הדבקת לידים'!A3596,"0")),TRIM('הדבקת לידים'!A3596)))</f>
        <v/>
      </c>
      <c r="B3596" s="0" t="str">
        <f aca="false">IF('הדבקת לידים'!B3596="","",IF(ISNUMBER('הדבקת לידים'!B3596),IF(הגדרות!$E$3&gt;0,TEXT('הדבקת לידים'!B3596,REPT("0",הגדרות!$E$3)),TEXT('הדבקת לידים'!B3596,"0")),TRIM('הדבקת לידים'!B3596)))</f>
        <v/>
      </c>
      <c r="C3596" s="0" t="n">
        <f aca="false">IF(OR(A3596&lt;&gt;"",B3596&lt;&gt;""),1,0)</f>
        <v>0</v>
      </c>
      <c r="D3596" s="0" t="str">
        <f aca="false">IF(C3596=1,MOD(ABS(SIN(ROW()*12.9898+'הדבקת לידים'!$F$2*78.233+IFERROR(--RIGHT(A3596,6),LEN(A3596))*0.0137+IFERROR(--RIGHT(B3596,6),LEN(B3596))*0.0071))*43758.5453,1),"")</f>
        <v/>
      </c>
      <c r="E3596" s="0" t="str">
        <f aca="false">IF(C3596=1,INT(MOD(ABS(SIN(D3596*7919.123+ROW()*0.618+'הדבקת לידים'!$F$2*1.3))*43758.5453,1)*1000000)*10000+ROW(),"")</f>
        <v/>
      </c>
      <c r="F3596" s="0" t="str">
        <f aca="false">IF(E3596="","",RANK(E3596,$E$2:$E$5001,1))</f>
        <v/>
      </c>
      <c r="G3596" s="0" t="n">
        <f aca="false">IF(A3596="",0,IF(SUMPRODUCT(--($A$2:$A$5001=A3596))&gt;1,1,0))</f>
        <v>0</v>
      </c>
      <c r="H3596" s="0" t="n">
        <f aca="false">ROW()-1</f>
        <v>3595</v>
      </c>
      <c r="I3596" s="0" t="str">
        <f aca="false">IF(OR(הגדרות!$E$6=0,H3596&gt;הגדרות!$E$5),"",IF(H3596-1&lt;הגדרות!$E$8*(הגדרות!$E$7+1),INT((H3596-1)/(הגדרות!$E$7+1)),הגדרות!$E$8+INT((H3596-1-הגדרות!$E$8*(הגדרות!$E$7+1))/הגדרות!$E$7)))</f>
        <v/>
      </c>
      <c r="J3596" s="0" t="str">
        <f aca="false">IF(I3596="","",IF(H3596-1&lt;הגדרות!$E$8*(הגדרות!$E$7+1),MOD(H3596-1,הגדרות!$E$7+1),MOD(H3596-1-הגדרות!$E$8*(הגדרות!$E$7+1),הגדרות!$E$7)))</f>
        <v/>
      </c>
      <c r="K3596" s="0" t="str">
        <f aca="false">IF(I3596="","",J3596*הגדרות!$E$6+I3596+1)</f>
        <v/>
      </c>
      <c r="L3596" s="0" t="str">
        <f aca="false">IF(K3596="","",MATCH(K3596,$F$2:$F$5001,0))</f>
        <v/>
      </c>
      <c r="M3596" s="0" t="str">
        <f aca="false">IF(I3596="","",INDEX(הגדרות!$A$2:$A$21,MOD(I3596+הגדרות!$E$9,הגדרות!$E$6)+1))</f>
        <v/>
      </c>
    </row>
    <row r="3597" customFormat="false" ht="15" hidden="false" customHeight="false" outlineLevel="0" collapsed="false">
      <c r="A3597" s="0" t="str">
        <f aca="false">IF('הדבקת לידים'!A3597="","",IF(ISNUMBER('הדבקת לידים'!A3597),IF(הגדרות!$E$2&gt;0,TEXT('הדבקת לידים'!A3597,REPT("0",הגדרות!$E$2)),TEXT('הדבקת לידים'!A3597,"0")),TRIM('הדבקת לידים'!A3597)))</f>
        <v/>
      </c>
      <c r="B3597" s="0" t="str">
        <f aca="false">IF('הדבקת לידים'!B3597="","",IF(ISNUMBER('הדבקת לידים'!B3597),IF(הגדרות!$E$3&gt;0,TEXT('הדבקת לידים'!B3597,REPT("0",הגדרות!$E$3)),TEXT('הדבקת לידים'!B3597,"0")),TRIM('הדבקת לידים'!B3597)))</f>
        <v/>
      </c>
      <c r="C3597" s="0" t="n">
        <f aca="false">IF(OR(A3597&lt;&gt;"",B3597&lt;&gt;""),1,0)</f>
        <v>0</v>
      </c>
      <c r="D3597" s="0" t="str">
        <f aca="false">IF(C3597=1,MOD(ABS(SIN(ROW()*12.9898+'הדבקת לידים'!$F$2*78.233+IFERROR(--RIGHT(A3597,6),LEN(A3597))*0.0137+IFERROR(--RIGHT(B3597,6),LEN(B3597))*0.0071))*43758.5453,1),"")</f>
        <v/>
      </c>
      <c r="E3597" s="0" t="str">
        <f aca="false">IF(C3597=1,INT(MOD(ABS(SIN(D3597*7919.123+ROW()*0.618+'הדבקת לידים'!$F$2*1.3))*43758.5453,1)*1000000)*10000+ROW(),"")</f>
        <v/>
      </c>
      <c r="F3597" s="0" t="str">
        <f aca="false">IF(E3597="","",RANK(E3597,$E$2:$E$5001,1))</f>
        <v/>
      </c>
      <c r="G3597" s="0" t="n">
        <f aca="false">IF(A3597="",0,IF(SUMPRODUCT(--($A$2:$A$5001=A3597))&gt;1,1,0))</f>
        <v>0</v>
      </c>
      <c r="H3597" s="0" t="n">
        <f aca="false">ROW()-1</f>
        <v>3596</v>
      </c>
      <c r="I3597" s="0" t="str">
        <f aca="false">IF(OR(הגדרות!$E$6=0,H3597&gt;הגדרות!$E$5),"",IF(H3597-1&lt;הגדרות!$E$8*(הגדרות!$E$7+1),INT((H3597-1)/(הגדרות!$E$7+1)),הגדרות!$E$8+INT((H3597-1-הגדרות!$E$8*(הגדרות!$E$7+1))/הגדרות!$E$7)))</f>
        <v/>
      </c>
      <c r="J3597" s="0" t="str">
        <f aca="false">IF(I3597="","",IF(H3597-1&lt;הגדרות!$E$8*(הגדרות!$E$7+1),MOD(H3597-1,הגדרות!$E$7+1),MOD(H3597-1-הגדרות!$E$8*(הגדרות!$E$7+1),הגדרות!$E$7)))</f>
        <v/>
      </c>
      <c r="K3597" s="0" t="str">
        <f aca="false">IF(I3597="","",J3597*הגדרות!$E$6+I3597+1)</f>
        <v/>
      </c>
      <c r="L3597" s="0" t="str">
        <f aca="false">IF(K3597="","",MATCH(K3597,$F$2:$F$5001,0))</f>
        <v/>
      </c>
      <c r="M3597" s="0" t="str">
        <f aca="false">IF(I3597="","",INDEX(הגדרות!$A$2:$A$21,MOD(I3597+הגדרות!$E$9,הגדרות!$E$6)+1))</f>
        <v/>
      </c>
    </row>
    <row r="3598" customFormat="false" ht="15" hidden="false" customHeight="false" outlineLevel="0" collapsed="false">
      <c r="A3598" s="0" t="str">
        <f aca="false">IF('הדבקת לידים'!A3598="","",IF(ISNUMBER('הדבקת לידים'!A3598),IF(הגדרות!$E$2&gt;0,TEXT('הדבקת לידים'!A3598,REPT("0",הגדרות!$E$2)),TEXT('הדבקת לידים'!A3598,"0")),TRIM('הדבקת לידים'!A3598)))</f>
        <v/>
      </c>
      <c r="B3598" s="0" t="str">
        <f aca="false">IF('הדבקת לידים'!B3598="","",IF(ISNUMBER('הדבקת לידים'!B3598),IF(הגדרות!$E$3&gt;0,TEXT('הדבקת לידים'!B3598,REPT("0",הגדרות!$E$3)),TEXT('הדבקת לידים'!B3598,"0")),TRIM('הדבקת לידים'!B3598)))</f>
        <v/>
      </c>
      <c r="C3598" s="0" t="n">
        <f aca="false">IF(OR(A3598&lt;&gt;"",B3598&lt;&gt;""),1,0)</f>
        <v>0</v>
      </c>
      <c r="D3598" s="0" t="str">
        <f aca="false">IF(C3598=1,MOD(ABS(SIN(ROW()*12.9898+'הדבקת לידים'!$F$2*78.233+IFERROR(--RIGHT(A3598,6),LEN(A3598))*0.0137+IFERROR(--RIGHT(B3598,6),LEN(B3598))*0.0071))*43758.5453,1),"")</f>
        <v/>
      </c>
      <c r="E3598" s="0" t="str">
        <f aca="false">IF(C3598=1,INT(MOD(ABS(SIN(D3598*7919.123+ROW()*0.618+'הדבקת לידים'!$F$2*1.3))*43758.5453,1)*1000000)*10000+ROW(),"")</f>
        <v/>
      </c>
      <c r="F3598" s="0" t="str">
        <f aca="false">IF(E3598="","",RANK(E3598,$E$2:$E$5001,1))</f>
        <v/>
      </c>
      <c r="G3598" s="0" t="n">
        <f aca="false">IF(A3598="",0,IF(SUMPRODUCT(--($A$2:$A$5001=A3598))&gt;1,1,0))</f>
        <v>0</v>
      </c>
      <c r="H3598" s="0" t="n">
        <f aca="false">ROW()-1</f>
        <v>3597</v>
      </c>
      <c r="I3598" s="0" t="str">
        <f aca="false">IF(OR(הגדרות!$E$6=0,H3598&gt;הגדרות!$E$5),"",IF(H3598-1&lt;הגדרות!$E$8*(הגדרות!$E$7+1),INT((H3598-1)/(הגדרות!$E$7+1)),הגדרות!$E$8+INT((H3598-1-הגדרות!$E$8*(הגדרות!$E$7+1))/הגדרות!$E$7)))</f>
        <v/>
      </c>
      <c r="J3598" s="0" t="str">
        <f aca="false">IF(I3598="","",IF(H3598-1&lt;הגדרות!$E$8*(הגדרות!$E$7+1),MOD(H3598-1,הגדרות!$E$7+1),MOD(H3598-1-הגדרות!$E$8*(הגדרות!$E$7+1),הגדרות!$E$7)))</f>
        <v/>
      </c>
      <c r="K3598" s="0" t="str">
        <f aca="false">IF(I3598="","",J3598*הגדרות!$E$6+I3598+1)</f>
        <v/>
      </c>
      <c r="L3598" s="0" t="str">
        <f aca="false">IF(K3598="","",MATCH(K3598,$F$2:$F$5001,0))</f>
        <v/>
      </c>
      <c r="M3598" s="0" t="str">
        <f aca="false">IF(I3598="","",INDEX(הגדרות!$A$2:$A$21,MOD(I3598+הגדרות!$E$9,הגדרות!$E$6)+1))</f>
        <v/>
      </c>
    </row>
    <row r="3599" customFormat="false" ht="15" hidden="false" customHeight="false" outlineLevel="0" collapsed="false">
      <c r="A3599" s="0" t="str">
        <f aca="false">IF('הדבקת לידים'!A3599="","",IF(ISNUMBER('הדבקת לידים'!A3599),IF(הגדרות!$E$2&gt;0,TEXT('הדבקת לידים'!A3599,REPT("0",הגדרות!$E$2)),TEXT('הדבקת לידים'!A3599,"0")),TRIM('הדבקת לידים'!A3599)))</f>
        <v/>
      </c>
      <c r="B3599" s="0" t="str">
        <f aca="false">IF('הדבקת לידים'!B3599="","",IF(ISNUMBER('הדבקת לידים'!B3599),IF(הגדרות!$E$3&gt;0,TEXT('הדבקת לידים'!B3599,REPT("0",הגדרות!$E$3)),TEXT('הדבקת לידים'!B3599,"0")),TRIM('הדבקת לידים'!B3599)))</f>
        <v/>
      </c>
      <c r="C3599" s="0" t="n">
        <f aca="false">IF(OR(A3599&lt;&gt;"",B3599&lt;&gt;""),1,0)</f>
        <v>0</v>
      </c>
      <c r="D3599" s="0" t="str">
        <f aca="false">IF(C3599=1,MOD(ABS(SIN(ROW()*12.9898+'הדבקת לידים'!$F$2*78.233+IFERROR(--RIGHT(A3599,6),LEN(A3599))*0.0137+IFERROR(--RIGHT(B3599,6),LEN(B3599))*0.0071))*43758.5453,1),"")</f>
        <v/>
      </c>
      <c r="E3599" s="0" t="str">
        <f aca="false">IF(C3599=1,INT(MOD(ABS(SIN(D3599*7919.123+ROW()*0.618+'הדבקת לידים'!$F$2*1.3))*43758.5453,1)*1000000)*10000+ROW(),"")</f>
        <v/>
      </c>
      <c r="F3599" s="0" t="str">
        <f aca="false">IF(E3599="","",RANK(E3599,$E$2:$E$5001,1))</f>
        <v/>
      </c>
      <c r="G3599" s="0" t="n">
        <f aca="false">IF(A3599="",0,IF(SUMPRODUCT(--($A$2:$A$5001=A3599))&gt;1,1,0))</f>
        <v>0</v>
      </c>
      <c r="H3599" s="0" t="n">
        <f aca="false">ROW()-1</f>
        <v>3598</v>
      </c>
      <c r="I3599" s="0" t="str">
        <f aca="false">IF(OR(הגדרות!$E$6=0,H3599&gt;הגדרות!$E$5),"",IF(H3599-1&lt;הגדרות!$E$8*(הגדרות!$E$7+1),INT((H3599-1)/(הגדרות!$E$7+1)),הגדרות!$E$8+INT((H3599-1-הגדרות!$E$8*(הגדרות!$E$7+1))/הגדרות!$E$7)))</f>
        <v/>
      </c>
      <c r="J3599" s="0" t="str">
        <f aca="false">IF(I3599="","",IF(H3599-1&lt;הגדרות!$E$8*(הגדרות!$E$7+1),MOD(H3599-1,הגדרות!$E$7+1),MOD(H3599-1-הגדרות!$E$8*(הגדרות!$E$7+1),הגדרות!$E$7)))</f>
        <v/>
      </c>
      <c r="K3599" s="0" t="str">
        <f aca="false">IF(I3599="","",J3599*הגדרות!$E$6+I3599+1)</f>
        <v/>
      </c>
      <c r="L3599" s="0" t="str">
        <f aca="false">IF(K3599="","",MATCH(K3599,$F$2:$F$5001,0))</f>
        <v/>
      </c>
      <c r="M3599" s="0" t="str">
        <f aca="false">IF(I3599="","",INDEX(הגדרות!$A$2:$A$21,MOD(I3599+הגדרות!$E$9,הגדרות!$E$6)+1))</f>
        <v/>
      </c>
    </row>
    <row r="3600" customFormat="false" ht="15" hidden="false" customHeight="false" outlineLevel="0" collapsed="false">
      <c r="A3600" s="0" t="str">
        <f aca="false">IF('הדבקת לידים'!A3600="","",IF(ISNUMBER('הדבקת לידים'!A3600),IF(הגדרות!$E$2&gt;0,TEXT('הדבקת לידים'!A3600,REPT("0",הגדרות!$E$2)),TEXT('הדבקת לידים'!A3600,"0")),TRIM('הדבקת לידים'!A3600)))</f>
        <v/>
      </c>
      <c r="B3600" s="0" t="str">
        <f aca="false">IF('הדבקת לידים'!B3600="","",IF(ISNUMBER('הדבקת לידים'!B3600),IF(הגדרות!$E$3&gt;0,TEXT('הדבקת לידים'!B3600,REPT("0",הגדרות!$E$3)),TEXT('הדבקת לידים'!B3600,"0")),TRIM('הדבקת לידים'!B3600)))</f>
        <v/>
      </c>
      <c r="C3600" s="0" t="n">
        <f aca="false">IF(OR(A3600&lt;&gt;"",B3600&lt;&gt;""),1,0)</f>
        <v>0</v>
      </c>
      <c r="D3600" s="0" t="str">
        <f aca="false">IF(C3600=1,MOD(ABS(SIN(ROW()*12.9898+'הדבקת לידים'!$F$2*78.233+IFERROR(--RIGHT(A3600,6),LEN(A3600))*0.0137+IFERROR(--RIGHT(B3600,6),LEN(B3600))*0.0071))*43758.5453,1),"")</f>
        <v/>
      </c>
      <c r="E3600" s="0" t="str">
        <f aca="false">IF(C3600=1,INT(MOD(ABS(SIN(D3600*7919.123+ROW()*0.618+'הדבקת לידים'!$F$2*1.3))*43758.5453,1)*1000000)*10000+ROW(),"")</f>
        <v/>
      </c>
      <c r="F3600" s="0" t="str">
        <f aca="false">IF(E3600="","",RANK(E3600,$E$2:$E$5001,1))</f>
        <v/>
      </c>
      <c r="G3600" s="0" t="n">
        <f aca="false">IF(A3600="",0,IF(SUMPRODUCT(--($A$2:$A$5001=A3600))&gt;1,1,0))</f>
        <v>0</v>
      </c>
      <c r="H3600" s="0" t="n">
        <f aca="false">ROW()-1</f>
        <v>3599</v>
      </c>
      <c r="I3600" s="0" t="str">
        <f aca="false">IF(OR(הגדרות!$E$6=0,H3600&gt;הגדרות!$E$5),"",IF(H3600-1&lt;הגדרות!$E$8*(הגדרות!$E$7+1),INT((H3600-1)/(הגדרות!$E$7+1)),הגדרות!$E$8+INT((H3600-1-הגדרות!$E$8*(הגדרות!$E$7+1))/הגדרות!$E$7)))</f>
        <v/>
      </c>
      <c r="J3600" s="0" t="str">
        <f aca="false">IF(I3600="","",IF(H3600-1&lt;הגדרות!$E$8*(הגדרות!$E$7+1),MOD(H3600-1,הגדרות!$E$7+1),MOD(H3600-1-הגדרות!$E$8*(הגדרות!$E$7+1),הגדרות!$E$7)))</f>
        <v/>
      </c>
      <c r="K3600" s="0" t="str">
        <f aca="false">IF(I3600="","",J3600*הגדרות!$E$6+I3600+1)</f>
        <v/>
      </c>
      <c r="L3600" s="0" t="str">
        <f aca="false">IF(K3600="","",MATCH(K3600,$F$2:$F$5001,0))</f>
        <v/>
      </c>
      <c r="M3600" s="0" t="str">
        <f aca="false">IF(I3600="","",INDEX(הגדרות!$A$2:$A$21,MOD(I3600+הגדרות!$E$9,הגדרות!$E$6)+1))</f>
        <v/>
      </c>
    </row>
    <row r="3601" customFormat="false" ht="15" hidden="false" customHeight="false" outlineLevel="0" collapsed="false">
      <c r="A3601" s="0" t="str">
        <f aca="false">IF('הדבקת לידים'!A3601="","",IF(ISNUMBER('הדבקת לידים'!A3601),IF(הגדרות!$E$2&gt;0,TEXT('הדבקת לידים'!A3601,REPT("0",הגדרות!$E$2)),TEXT('הדבקת לידים'!A3601,"0")),TRIM('הדבקת לידים'!A3601)))</f>
        <v/>
      </c>
      <c r="B3601" s="0" t="str">
        <f aca="false">IF('הדבקת לידים'!B3601="","",IF(ISNUMBER('הדבקת לידים'!B3601),IF(הגדרות!$E$3&gt;0,TEXT('הדבקת לידים'!B3601,REPT("0",הגדרות!$E$3)),TEXT('הדבקת לידים'!B3601,"0")),TRIM('הדבקת לידים'!B3601)))</f>
        <v/>
      </c>
      <c r="C3601" s="0" t="n">
        <f aca="false">IF(OR(A3601&lt;&gt;"",B3601&lt;&gt;""),1,0)</f>
        <v>0</v>
      </c>
      <c r="D3601" s="0" t="str">
        <f aca="false">IF(C3601=1,MOD(ABS(SIN(ROW()*12.9898+'הדבקת לידים'!$F$2*78.233+IFERROR(--RIGHT(A3601,6),LEN(A3601))*0.0137+IFERROR(--RIGHT(B3601,6),LEN(B3601))*0.0071))*43758.5453,1),"")</f>
        <v/>
      </c>
      <c r="E3601" s="0" t="str">
        <f aca="false">IF(C3601=1,INT(MOD(ABS(SIN(D3601*7919.123+ROW()*0.618+'הדבקת לידים'!$F$2*1.3))*43758.5453,1)*1000000)*10000+ROW(),"")</f>
        <v/>
      </c>
      <c r="F3601" s="0" t="str">
        <f aca="false">IF(E3601="","",RANK(E3601,$E$2:$E$5001,1))</f>
        <v/>
      </c>
      <c r="G3601" s="0" t="n">
        <f aca="false">IF(A3601="",0,IF(SUMPRODUCT(--($A$2:$A$5001=A3601))&gt;1,1,0))</f>
        <v>0</v>
      </c>
      <c r="H3601" s="0" t="n">
        <f aca="false">ROW()-1</f>
        <v>3600</v>
      </c>
      <c r="I3601" s="0" t="str">
        <f aca="false">IF(OR(הגדרות!$E$6=0,H3601&gt;הגדרות!$E$5),"",IF(H3601-1&lt;הגדרות!$E$8*(הגדרות!$E$7+1),INT((H3601-1)/(הגדרות!$E$7+1)),הגדרות!$E$8+INT((H3601-1-הגדרות!$E$8*(הגדרות!$E$7+1))/הגדרות!$E$7)))</f>
        <v/>
      </c>
      <c r="J3601" s="0" t="str">
        <f aca="false">IF(I3601="","",IF(H3601-1&lt;הגדרות!$E$8*(הגדרות!$E$7+1),MOD(H3601-1,הגדרות!$E$7+1),MOD(H3601-1-הגדרות!$E$8*(הגדרות!$E$7+1),הגדרות!$E$7)))</f>
        <v/>
      </c>
      <c r="K3601" s="0" t="str">
        <f aca="false">IF(I3601="","",J3601*הגדרות!$E$6+I3601+1)</f>
        <v/>
      </c>
      <c r="L3601" s="0" t="str">
        <f aca="false">IF(K3601="","",MATCH(K3601,$F$2:$F$5001,0))</f>
        <v/>
      </c>
      <c r="M3601" s="0" t="str">
        <f aca="false">IF(I3601="","",INDEX(הגדרות!$A$2:$A$21,MOD(I3601+הגדרות!$E$9,הגדרות!$E$6)+1))</f>
        <v/>
      </c>
    </row>
    <row r="3602" customFormat="false" ht="15" hidden="false" customHeight="false" outlineLevel="0" collapsed="false">
      <c r="A3602" s="0" t="str">
        <f aca="false">IF('הדבקת לידים'!A3602="","",IF(ISNUMBER('הדבקת לידים'!A3602),IF(הגדרות!$E$2&gt;0,TEXT('הדבקת לידים'!A3602,REPT("0",הגדרות!$E$2)),TEXT('הדבקת לידים'!A3602,"0")),TRIM('הדבקת לידים'!A3602)))</f>
        <v/>
      </c>
      <c r="B3602" s="0" t="str">
        <f aca="false">IF('הדבקת לידים'!B3602="","",IF(ISNUMBER('הדבקת לידים'!B3602),IF(הגדרות!$E$3&gt;0,TEXT('הדבקת לידים'!B3602,REPT("0",הגדרות!$E$3)),TEXT('הדבקת לידים'!B3602,"0")),TRIM('הדבקת לידים'!B3602)))</f>
        <v/>
      </c>
      <c r="C3602" s="0" t="n">
        <f aca="false">IF(OR(A3602&lt;&gt;"",B3602&lt;&gt;""),1,0)</f>
        <v>0</v>
      </c>
      <c r="D3602" s="0" t="str">
        <f aca="false">IF(C3602=1,MOD(ABS(SIN(ROW()*12.9898+'הדבקת לידים'!$F$2*78.233+IFERROR(--RIGHT(A3602,6),LEN(A3602))*0.0137+IFERROR(--RIGHT(B3602,6),LEN(B3602))*0.0071))*43758.5453,1),"")</f>
        <v/>
      </c>
      <c r="E3602" s="0" t="str">
        <f aca="false">IF(C3602=1,INT(MOD(ABS(SIN(D3602*7919.123+ROW()*0.618+'הדבקת לידים'!$F$2*1.3))*43758.5453,1)*1000000)*10000+ROW(),"")</f>
        <v/>
      </c>
      <c r="F3602" s="0" t="str">
        <f aca="false">IF(E3602="","",RANK(E3602,$E$2:$E$5001,1))</f>
        <v/>
      </c>
      <c r="G3602" s="0" t="n">
        <f aca="false">IF(A3602="",0,IF(SUMPRODUCT(--($A$2:$A$5001=A3602))&gt;1,1,0))</f>
        <v>0</v>
      </c>
      <c r="H3602" s="0" t="n">
        <f aca="false">ROW()-1</f>
        <v>3601</v>
      </c>
      <c r="I3602" s="0" t="str">
        <f aca="false">IF(OR(הגדרות!$E$6=0,H3602&gt;הגדרות!$E$5),"",IF(H3602-1&lt;הגדרות!$E$8*(הגדרות!$E$7+1),INT((H3602-1)/(הגדרות!$E$7+1)),הגדרות!$E$8+INT((H3602-1-הגדרות!$E$8*(הגדרות!$E$7+1))/הגדרות!$E$7)))</f>
        <v/>
      </c>
      <c r="J3602" s="0" t="str">
        <f aca="false">IF(I3602="","",IF(H3602-1&lt;הגדרות!$E$8*(הגדרות!$E$7+1),MOD(H3602-1,הגדרות!$E$7+1),MOD(H3602-1-הגדרות!$E$8*(הגדרות!$E$7+1),הגדרות!$E$7)))</f>
        <v/>
      </c>
      <c r="K3602" s="0" t="str">
        <f aca="false">IF(I3602="","",J3602*הגדרות!$E$6+I3602+1)</f>
        <v/>
      </c>
      <c r="L3602" s="0" t="str">
        <f aca="false">IF(K3602="","",MATCH(K3602,$F$2:$F$5001,0))</f>
        <v/>
      </c>
      <c r="M3602" s="0" t="str">
        <f aca="false">IF(I3602="","",INDEX(הגדרות!$A$2:$A$21,MOD(I3602+הגדרות!$E$9,הגדרות!$E$6)+1))</f>
        <v/>
      </c>
    </row>
    <row r="3603" customFormat="false" ht="15" hidden="false" customHeight="false" outlineLevel="0" collapsed="false">
      <c r="A3603" s="0" t="str">
        <f aca="false">IF('הדבקת לידים'!A3603="","",IF(ISNUMBER('הדבקת לידים'!A3603),IF(הגדרות!$E$2&gt;0,TEXT('הדבקת לידים'!A3603,REPT("0",הגדרות!$E$2)),TEXT('הדבקת לידים'!A3603,"0")),TRIM('הדבקת לידים'!A3603)))</f>
        <v/>
      </c>
      <c r="B3603" s="0" t="str">
        <f aca="false">IF('הדבקת לידים'!B3603="","",IF(ISNUMBER('הדבקת לידים'!B3603),IF(הגדרות!$E$3&gt;0,TEXT('הדבקת לידים'!B3603,REPT("0",הגדרות!$E$3)),TEXT('הדבקת לידים'!B3603,"0")),TRIM('הדבקת לידים'!B3603)))</f>
        <v/>
      </c>
      <c r="C3603" s="0" t="n">
        <f aca="false">IF(OR(A3603&lt;&gt;"",B3603&lt;&gt;""),1,0)</f>
        <v>0</v>
      </c>
      <c r="D3603" s="0" t="str">
        <f aca="false">IF(C3603=1,MOD(ABS(SIN(ROW()*12.9898+'הדבקת לידים'!$F$2*78.233+IFERROR(--RIGHT(A3603,6),LEN(A3603))*0.0137+IFERROR(--RIGHT(B3603,6),LEN(B3603))*0.0071))*43758.5453,1),"")</f>
        <v/>
      </c>
      <c r="E3603" s="0" t="str">
        <f aca="false">IF(C3603=1,INT(MOD(ABS(SIN(D3603*7919.123+ROW()*0.618+'הדבקת לידים'!$F$2*1.3))*43758.5453,1)*1000000)*10000+ROW(),"")</f>
        <v/>
      </c>
      <c r="F3603" s="0" t="str">
        <f aca="false">IF(E3603="","",RANK(E3603,$E$2:$E$5001,1))</f>
        <v/>
      </c>
      <c r="G3603" s="0" t="n">
        <f aca="false">IF(A3603="",0,IF(SUMPRODUCT(--($A$2:$A$5001=A3603))&gt;1,1,0))</f>
        <v>0</v>
      </c>
      <c r="H3603" s="0" t="n">
        <f aca="false">ROW()-1</f>
        <v>3602</v>
      </c>
      <c r="I3603" s="0" t="str">
        <f aca="false">IF(OR(הגדרות!$E$6=0,H3603&gt;הגדרות!$E$5),"",IF(H3603-1&lt;הגדרות!$E$8*(הגדרות!$E$7+1),INT((H3603-1)/(הגדרות!$E$7+1)),הגדרות!$E$8+INT((H3603-1-הגדרות!$E$8*(הגדרות!$E$7+1))/הגדרות!$E$7)))</f>
        <v/>
      </c>
      <c r="J3603" s="0" t="str">
        <f aca="false">IF(I3603="","",IF(H3603-1&lt;הגדרות!$E$8*(הגדרות!$E$7+1),MOD(H3603-1,הגדרות!$E$7+1),MOD(H3603-1-הגדרות!$E$8*(הגדרות!$E$7+1),הגדרות!$E$7)))</f>
        <v/>
      </c>
      <c r="K3603" s="0" t="str">
        <f aca="false">IF(I3603="","",J3603*הגדרות!$E$6+I3603+1)</f>
        <v/>
      </c>
      <c r="L3603" s="0" t="str">
        <f aca="false">IF(K3603="","",MATCH(K3603,$F$2:$F$5001,0))</f>
        <v/>
      </c>
      <c r="M3603" s="0" t="str">
        <f aca="false">IF(I3603="","",INDEX(הגדרות!$A$2:$A$21,MOD(I3603+הגדרות!$E$9,הגדרות!$E$6)+1))</f>
        <v/>
      </c>
    </row>
    <row r="3604" customFormat="false" ht="15" hidden="false" customHeight="false" outlineLevel="0" collapsed="false">
      <c r="A3604" s="0" t="str">
        <f aca="false">IF('הדבקת לידים'!A3604="","",IF(ISNUMBER('הדבקת לידים'!A3604),IF(הגדרות!$E$2&gt;0,TEXT('הדבקת לידים'!A3604,REPT("0",הגדרות!$E$2)),TEXT('הדבקת לידים'!A3604,"0")),TRIM('הדבקת לידים'!A3604)))</f>
        <v/>
      </c>
      <c r="B3604" s="0" t="str">
        <f aca="false">IF('הדבקת לידים'!B3604="","",IF(ISNUMBER('הדבקת לידים'!B3604),IF(הגדרות!$E$3&gt;0,TEXT('הדבקת לידים'!B3604,REPT("0",הגדרות!$E$3)),TEXT('הדבקת לידים'!B3604,"0")),TRIM('הדבקת לידים'!B3604)))</f>
        <v/>
      </c>
      <c r="C3604" s="0" t="n">
        <f aca="false">IF(OR(A3604&lt;&gt;"",B3604&lt;&gt;""),1,0)</f>
        <v>0</v>
      </c>
      <c r="D3604" s="0" t="str">
        <f aca="false">IF(C3604=1,MOD(ABS(SIN(ROW()*12.9898+'הדבקת לידים'!$F$2*78.233+IFERROR(--RIGHT(A3604,6),LEN(A3604))*0.0137+IFERROR(--RIGHT(B3604,6),LEN(B3604))*0.0071))*43758.5453,1),"")</f>
        <v/>
      </c>
      <c r="E3604" s="0" t="str">
        <f aca="false">IF(C3604=1,INT(MOD(ABS(SIN(D3604*7919.123+ROW()*0.618+'הדבקת לידים'!$F$2*1.3))*43758.5453,1)*1000000)*10000+ROW(),"")</f>
        <v/>
      </c>
      <c r="F3604" s="0" t="str">
        <f aca="false">IF(E3604="","",RANK(E3604,$E$2:$E$5001,1))</f>
        <v/>
      </c>
      <c r="G3604" s="0" t="n">
        <f aca="false">IF(A3604="",0,IF(SUMPRODUCT(--($A$2:$A$5001=A3604))&gt;1,1,0))</f>
        <v>0</v>
      </c>
      <c r="H3604" s="0" t="n">
        <f aca="false">ROW()-1</f>
        <v>3603</v>
      </c>
      <c r="I3604" s="0" t="str">
        <f aca="false">IF(OR(הגדרות!$E$6=0,H3604&gt;הגדרות!$E$5),"",IF(H3604-1&lt;הגדרות!$E$8*(הגדרות!$E$7+1),INT((H3604-1)/(הגדרות!$E$7+1)),הגדרות!$E$8+INT((H3604-1-הגדרות!$E$8*(הגדרות!$E$7+1))/הגדרות!$E$7)))</f>
        <v/>
      </c>
      <c r="J3604" s="0" t="str">
        <f aca="false">IF(I3604="","",IF(H3604-1&lt;הגדרות!$E$8*(הגדרות!$E$7+1),MOD(H3604-1,הגדרות!$E$7+1),MOD(H3604-1-הגדרות!$E$8*(הגדרות!$E$7+1),הגדרות!$E$7)))</f>
        <v/>
      </c>
      <c r="K3604" s="0" t="str">
        <f aca="false">IF(I3604="","",J3604*הגדרות!$E$6+I3604+1)</f>
        <v/>
      </c>
      <c r="L3604" s="0" t="str">
        <f aca="false">IF(K3604="","",MATCH(K3604,$F$2:$F$5001,0))</f>
        <v/>
      </c>
      <c r="M3604" s="0" t="str">
        <f aca="false">IF(I3604="","",INDEX(הגדרות!$A$2:$A$21,MOD(I3604+הגדרות!$E$9,הגדרות!$E$6)+1))</f>
        <v/>
      </c>
    </row>
    <row r="3605" customFormat="false" ht="15" hidden="false" customHeight="false" outlineLevel="0" collapsed="false">
      <c r="A3605" s="0" t="str">
        <f aca="false">IF('הדבקת לידים'!A3605="","",IF(ISNUMBER('הדבקת לידים'!A3605),IF(הגדרות!$E$2&gt;0,TEXT('הדבקת לידים'!A3605,REPT("0",הגדרות!$E$2)),TEXT('הדבקת לידים'!A3605,"0")),TRIM('הדבקת לידים'!A3605)))</f>
        <v/>
      </c>
      <c r="B3605" s="0" t="str">
        <f aca="false">IF('הדבקת לידים'!B3605="","",IF(ISNUMBER('הדבקת לידים'!B3605),IF(הגדרות!$E$3&gt;0,TEXT('הדבקת לידים'!B3605,REPT("0",הגדרות!$E$3)),TEXT('הדבקת לידים'!B3605,"0")),TRIM('הדבקת לידים'!B3605)))</f>
        <v/>
      </c>
      <c r="C3605" s="0" t="n">
        <f aca="false">IF(OR(A3605&lt;&gt;"",B3605&lt;&gt;""),1,0)</f>
        <v>0</v>
      </c>
      <c r="D3605" s="0" t="str">
        <f aca="false">IF(C3605=1,MOD(ABS(SIN(ROW()*12.9898+'הדבקת לידים'!$F$2*78.233+IFERROR(--RIGHT(A3605,6),LEN(A3605))*0.0137+IFERROR(--RIGHT(B3605,6),LEN(B3605))*0.0071))*43758.5453,1),"")</f>
        <v/>
      </c>
      <c r="E3605" s="0" t="str">
        <f aca="false">IF(C3605=1,INT(MOD(ABS(SIN(D3605*7919.123+ROW()*0.618+'הדבקת לידים'!$F$2*1.3))*43758.5453,1)*1000000)*10000+ROW(),"")</f>
        <v/>
      </c>
      <c r="F3605" s="0" t="str">
        <f aca="false">IF(E3605="","",RANK(E3605,$E$2:$E$5001,1))</f>
        <v/>
      </c>
      <c r="G3605" s="0" t="n">
        <f aca="false">IF(A3605="",0,IF(SUMPRODUCT(--($A$2:$A$5001=A3605))&gt;1,1,0))</f>
        <v>0</v>
      </c>
      <c r="H3605" s="0" t="n">
        <f aca="false">ROW()-1</f>
        <v>3604</v>
      </c>
      <c r="I3605" s="0" t="str">
        <f aca="false">IF(OR(הגדרות!$E$6=0,H3605&gt;הגדרות!$E$5),"",IF(H3605-1&lt;הגדרות!$E$8*(הגדרות!$E$7+1),INT((H3605-1)/(הגדרות!$E$7+1)),הגדרות!$E$8+INT((H3605-1-הגדרות!$E$8*(הגדרות!$E$7+1))/הגדרות!$E$7)))</f>
        <v/>
      </c>
      <c r="J3605" s="0" t="str">
        <f aca="false">IF(I3605="","",IF(H3605-1&lt;הגדרות!$E$8*(הגדרות!$E$7+1),MOD(H3605-1,הגדרות!$E$7+1),MOD(H3605-1-הגדרות!$E$8*(הגדרות!$E$7+1),הגדרות!$E$7)))</f>
        <v/>
      </c>
      <c r="K3605" s="0" t="str">
        <f aca="false">IF(I3605="","",J3605*הגדרות!$E$6+I3605+1)</f>
        <v/>
      </c>
      <c r="L3605" s="0" t="str">
        <f aca="false">IF(K3605="","",MATCH(K3605,$F$2:$F$5001,0))</f>
        <v/>
      </c>
      <c r="M3605" s="0" t="str">
        <f aca="false">IF(I3605="","",INDEX(הגדרות!$A$2:$A$21,MOD(I3605+הגדרות!$E$9,הגדרות!$E$6)+1))</f>
        <v/>
      </c>
    </row>
    <row r="3606" customFormat="false" ht="15" hidden="false" customHeight="false" outlineLevel="0" collapsed="false">
      <c r="A3606" s="0" t="str">
        <f aca="false">IF('הדבקת לידים'!A3606="","",IF(ISNUMBER('הדבקת לידים'!A3606),IF(הגדרות!$E$2&gt;0,TEXT('הדבקת לידים'!A3606,REPT("0",הגדרות!$E$2)),TEXT('הדבקת לידים'!A3606,"0")),TRIM('הדבקת לידים'!A3606)))</f>
        <v/>
      </c>
      <c r="B3606" s="0" t="str">
        <f aca="false">IF('הדבקת לידים'!B3606="","",IF(ISNUMBER('הדבקת לידים'!B3606),IF(הגדרות!$E$3&gt;0,TEXT('הדבקת לידים'!B3606,REPT("0",הגדרות!$E$3)),TEXT('הדבקת לידים'!B3606,"0")),TRIM('הדבקת לידים'!B3606)))</f>
        <v/>
      </c>
      <c r="C3606" s="0" t="n">
        <f aca="false">IF(OR(A3606&lt;&gt;"",B3606&lt;&gt;""),1,0)</f>
        <v>0</v>
      </c>
      <c r="D3606" s="0" t="str">
        <f aca="false">IF(C3606=1,MOD(ABS(SIN(ROW()*12.9898+'הדבקת לידים'!$F$2*78.233+IFERROR(--RIGHT(A3606,6),LEN(A3606))*0.0137+IFERROR(--RIGHT(B3606,6),LEN(B3606))*0.0071))*43758.5453,1),"")</f>
        <v/>
      </c>
      <c r="E3606" s="0" t="str">
        <f aca="false">IF(C3606=1,INT(MOD(ABS(SIN(D3606*7919.123+ROW()*0.618+'הדבקת לידים'!$F$2*1.3))*43758.5453,1)*1000000)*10000+ROW(),"")</f>
        <v/>
      </c>
      <c r="F3606" s="0" t="str">
        <f aca="false">IF(E3606="","",RANK(E3606,$E$2:$E$5001,1))</f>
        <v/>
      </c>
      <c r="G3606" s="0" t="n">
        <f aca="false">IF(A3606="",0,IF(SUMPRODUCT(--($A$2:$A$5001=A3606))&gt;1,1,0))</f>
        <v>0</v>
      </c>
      <c r="H3606" s="0" t="n">
        <f aca="false">ROW()-1</f>
        <v>3605</v>
      </c>
      <c r="I3606" s="0" t="str">
        <f aca="false">IF(OR(הגדרות!$E$6=0,H3606&gt;הגדרות!$E$5),"",IF(H3606-1&lt;הגדרות!$E$8*(הגדרות!$E$7+1),INT((H3606-1)/(הגדרות!$E$7+1)),הגדרות!$E$8+INT((H3606-1-הגדרות!$E$8*(הגדרות!$E$7+1))/הגדרות!$E$7)))</f>
        <v/>
      </c>
      <c r="J3606" s="0" t="str">
        <f aca="false">IF(I3606="","",IF(H3606-1&lt;הגדרות!$E$8*(הגדרות!$E$7+1),MOD(H3606-1,הגדרות!$E$7+1),MOD(H3606-1-הגדרות!$E$8*(הגדרות!$E$7+1),הגדרות!$E$7)))</f>
        <v/>
      </c>
      <c r="K3606" s="0" t="str">
        <f aca="false">IF(I3606="","",J3606*הגדרות!$E$6+I3606+1)</f>
        <v/>
      </c>
      <c r="L3606" s="0" t="str">
        <f aca="false">IF(K3606="","",MATCH(K3606,$F$2:$F$5001,0))</f>
        <v/>
      </c>
      <c r="M3606" s="0" t="str">
        <f aca="false">IF(I3606="","",INDEX(הגדרות!$A$2:$A$21,MOD(I3606+הגדרות!$E$9,הגדרות!$E$6)+1))</f>
        <v/>
      </c>
    </row>
    <row r="3607" customFormat="false" ht="15" hidden="false" customHeight="false" outlineLevel="0" collapsed="false">
      <c r="A3607" s="0" t="str">
        <f aca="false">IF('הדבקת לידים'!A3607="","",IF(ISNUMBER('הדבקת לידים'!A3607),IF(הגדרות!$E$2&gt;0,TEXT('הדבקת לידים'!A3607,REPT("0",הגדרות!$E$2)),TEXT('הדבקת לידים'!A3607,"0")),TRIM('הדבקת לידים'!A3607)))</f>
        <v/>
      </c>
      <c r="B3607" s="0" t="str">
        <f aca="false">IF('הדבקת לידים'!B3607="","",IF(ISNUMBER('הדבקת לידים'!B3607),IF(הגדרות!$E$3&gt;0,TEXT('הדבקת לידים'!B3607,REPT("0",הגדרות!$E$3)),TEXT('הדבקת לידים'!B3607,"0")),TRIM('הדבקת לידים'!B3607)))</f>
        <v/>
      </c>
      <c r="C3607" s="0" t="n">
        <f aca="false">IF(OR(A3607&lt;&gt;"",B3607&lt;&gt;""),1,0)</f>
        <v>0</v>
      </c>
      <c r="D3607" s="0" t="str">
        <f aca="false">IF(C3607=1,MOD(ABS(SIN(ROW()*12.9898+'הדבקת לידים'!$F$2*78.233+IFERROR(--RIGHT(A3607,6),LEN(A3607))*0.0137+IFERROR(--RIGHT(B3607,6),LEN(B3607))*0.0071))*43758.5453,1),"")</f>
        <v/>
      </c>
      <c r="E3607" s="0" t="str">
        <f aca="false">IF(C3607=1,INT(MOD(ABS(SIN(D3607*7919.123+ROW()*0.618+'הדבקת לידים'!$F$2*1.3))*43758.5453,1)*1000000)*10000+ROW(),"")</f>
        <v/>
      </c>
      <c r="F3607" s="0" t="str">
        <f aca="false">IF(E3607="","",RANK(E3607,$E$2:$E$5001,1))</f>
        <v/>
      </c>
      <c r="G3607" s="0" t="n">
        <f aca="false">IF(A3607="",0,IF(SUMPRODUCT(--($A$2:$A$5001=A3607))&gt;1,1,0))</f>
        <v>0</v>
      </c>
      <c r="H3607" s="0" t="n">
        <f aca="false">ROW()-1</f>
        <v>3606</v>
      </c>
      <c r="I3607" s="0" t="str">
        <f aca="false">IF(OR(הגדרות!$E$6=0,H3607&gt;הגדרות!$E$5),"",IF(H3607-1&lt;הגדרות!$E$8*(הגדרות!$E$7+1),INT((H3607-1)/(הגדרות!$E$7+1)),הגדרות!$E$8+INT((H3607-1-הגדרות!$E$8*(הגדרות!$E$7+1))/הגדרות!$E$7)))</f>
        <v/>
      </c>
      <c r="J3607" s="0" t="str">
        <f aca="false">IF(I3607="","",IF(H3607-1&lt;הגדרות!$E$8*(הגדרות!$E$7+1),MOD(H3607-1,הגדרות!$E$7+1),MOD(H3607-1-הגדרות!$E$8*(הגדרות!$E$7+1),הגדרות!$E$7)))</f>
        <v/>
      </c>
      <c r="K3607" s="0" t="str">
        <f aca="false">IF(I3607="","",J3607*הגדרות!$E$6+I3607+1)</f>
        <v/>
      </c>
      <c r="L3607" s="0" t="str">
        <f aca="false">IF(K3607="","",MATCH(K3607,$F$2:$F$5001,0))</f>
        <v/>
      </c>
      <c r="M3607" s="0" t="str">
        <f aca="false">IF(I3607="","",INDEX(הגדרות!$A$2:$A$21,MOD(I3607+הגדרות!$E$9,הגדרות!$E$6)+1))</f>
        <v/>
      </c>
    </row>
    <row r="3608" customFormat="false" ht="15" hidden="false" customHeight="false" outlineLevel="0" collapsed="false">
      <c r="A3608" s="0" t="str">
        <f aca="false">IF('הדבקת לידים'!A3608="","",IF(ISNUMBER('הדבקת לידים'!A3608),IF(הגדרות!$E$2&gt;0,TEXT('הדבקת לידים'!A3608,REPT("0",הגדרות!$E$2)),TEXT('הדבקת לידים'!A3608,"0")),TRIM('הדבקת לידים'!A3608)))</f>
        <v/>
      </c>
      <c r="B3608" s="0" t="str">
        <f aca="false">IF('הדבקת לידים'!B3608="","",IF(ISNUMBER('הדבקת לידים'!B3608),IF(הגדרות!$E$3&gt;0,TEXT('הדבקת לידים'!B3608,REPT("0",הגדרות!$E$3)),TEXT('הדבקת לידים'!B3608,"0")),TRIM('הדבקת לידים'!B3608)))</f>
        <v/>
      </c>
      <c r="C3608" s="0" t="n">
        <f aca="false">IF(OR(A3608&lt;&gt;"",B3608&lt;&gt;""),1,0)</f>
        <v>0</v>
      </c>
      <c r="D3608" s="0" t="str">
        <f aca="false">IF(C3608=1,MOD(ABS(SIN(ROW()*12.9898+'הדבקת לידים'!$F$2*78.233+IFERROR(--RIGHT(A3608,6),LEN(A3608))*0.0137+IFERROR(--RIGHT(B3608,6),LEN(B3608))*0.0071))*43758.5453,1),"")</f>
        <v/>
      </c>
      <c r="E3608" s="0" t="str">
        <f aca="false">IF(C3608=1,INT(MOD(ABS(SIN(D3608*7919.123+ROW()*0.618+'הדבקת לידים'!$F$2*1.3))*43758.5453,1)*1000000)*10000+ROW(),"")</f>
        <v/>
      </c>
      <c r="F3608" s="0" t="str">
        <f aca="false">IF(E3608="","",RANK(E3608,$E$2:$E$5001,1))</f>
        <v/>
      </c>
      <c r="G3608" s="0" t="n">
        <f aca="false">IF(A3608="",0,IF(SUMPRODUCT(--($A$2:$A$5001=A3608))&gt;1,1,0))</f>
        <v>0</v>
      </c>
      <c r="H3608" s="0" t="n">
        <f aca="false">ROW()-1</f>
        <v>3607</v>
      </c>
      <c r="I3608" s="0" t="str">
        <f aca="false">IF(OR(הגדרות!$E$6=0,H3608&gt;הגדרות!$E$5),"",IF(H3608-1&lt;הגדרות!$E$8*(הגדרות!$E$7+1),INT((H3608-1)/(הגדרות!$E$7+1)),הגדרות!$E$8+INT((H3608-1-הגדרות!$E$8*(הגדרות!$E$7+1))/הגדרות!$E$7)))</f>
        <v/>
      </c>
      <c r="J3608" s="0" t="str">
        <f aca="false">IF(I3608="","",IF(H3608-1&lt;הגדרות!$E$8*(הגדרות!$E$7+1),MOD(H3608-1,הגדרות!$E$7+1),MOD(H3608-1-הגדרות!$E$8*(הגדרות!$E$7+1),הגדרות!$E$7)))</f>
        <v/>
      </c>
      <c r="K3608" s="0" t="str">
        <f aca="false">IF(I3608="","",J3608*הגדרות!$E$6+I3608+1)</f>
        <v/>
      </c>
      <c r="L3608" s="0" t="str">
        <f aca="false">IF(K3608="","",MATCH(K3608,$F$2:$F$5001,0))</f>
        <v/>
      </c>
      <c r="M3608" s="0" t="str">
        <f aca="false">IF(I3608="","",INDEX(הגדרות!$A$2:$A$21,MOD(I3608+הגדרות!$E$9,הגדרות!$E$6)+1))</f>
        <v/>
      </c>
    </row>
    <row r="3609" customFormat="false" ht="15" hidden="false" customHeight="false" outlineLevel="0" collapsed="false">
      <c r="A3609" s="0" t="str">
        <f aca="false">IF('הדבקת לידים'!A3609="","",IF(ISNUMBER('הדבקת לידים'!A3609),IF(הגדרות!$E$2&gt;0,TEXT('הדבקת לידים'!A3609,REPT("0",הגדרות!$E$2)),TEXT('הדבקת לידים'!A3609,"0")),TRIM('הדבקת לידים'!A3609)))</f>
        <v/>
      </c>
      <c r="B3609" s="0" t="str">
        <f aca="false">IF('הדבקת לידים'!B3609="","",IF(ISNUMBER('הדבקת לידים'!B3609),IF(הגדרות!$E$3&gt;0,TEXT('הדבקת לידים'!B3609,REPT("0",הגדרות!$E$3)),TEXT('הדבקת לידים'!B3609,"0")),TRIM('הדבקת לידים'!B3609)))</f>
        <v/>
      </c>
      <c r="C3609" s="0" t="n">
        <f aca="false">IF(OR(A3609&lt;&gt;"",B3609&lt;&gt;""),1,0)</f>
        <v>0</v>
      </c>
      <c r="D3609" s="0" t="str">
        <f aca="false">IF(C3609=1,MOD(ABS(SIN(ROW()*12.9898+'הדבקת לידים'!$F$2*78.233+IFERROR(--RIGHT(A3609,6),LEN(A3609))*0.0137+IFERROR(--RIGHT(B3609,6),LEN(B3609))*0.0071))*43758.5453,1),"")</f>
        <v/>
      </c>
      <c r="E3609" s="0" t="str">
        <f aca="false">IF(C3609=1,INT(MOD(ABS(SIN(D3609*7919.123+ROW()*0.618+'הדבקת לידים'!$F$2*1.3))*43758.5453,1)*1000000)*10000+ROW(),"")</f>
        <v/>
      </c>
      <c r="F3609" s="0" t="str">
        <f aca="false">IF(E3609="","",RANK(E3609,$E$2:$E$5001,1))</f>
        <v/>
      </c>
      <c r="G3609" s="0" t="n">
        <f aca="false">IF(A3609="",0,IF(SUMPRODUCT(--($A$2:$A$5001=A3609))&gt;1,1,0))</f>
        <v>0</v>
      </c>
      <c r="H3609" s="0" t="n">
        <f aca="false">ROW()-1</f>
        <v>3608</v>
      </c>
      <c r="I3609" s="0" t="str">
        <f aca="false">IF(OR(הגדרות!$E$6=0,H3609&gt;הגדרות!$E$5),"",IF(H3609-1&lt;הגדרות!$E$8*(הגדרות!$E$7+1),INT((H3609-1)/(הגדרות!$E$7+1)),הגדרות!$E$8+INT((H3609-1-הגדרות!$E$8*(הגדרות!$E$7+1))/הגדרות!$E$7)))</f>
        <v/>
      </c>
      <c r="J3609" s="0" t="str">
        <f aca="false">IF(I3609="","",IF(H3609-1&lt;הגדרות!$E$8*(הגדרות!$E$7+1),MOD(H3609-1,הגדרות!$E$7+1),MOD(H3609-1-הגדרות!$E$8*(הגדרות!$E$7+1),הגדרות!$E$7)))</f>
        <v/>
      </c>
      <c r="K3609" s="0" t="str">
        <f aca="false">IF(I3609="","",J3609*הגדרות!$E$6+I3609+1)</f>
        <v/>
      </c>
      <c r="L3609" s="0" t="str">
        <f aca="false">IF(K3609="","",MATCH(K3609,$F$2:$F$5001,0))</f>
        <v/>
      </c>
      <c r="M3609" s="0" t="str">
        <f aca="false">IF(I3609="","",INDEX(הגדרות!$A$2:$A$21,MOD(I3609+הגדרות!$E$9,הגדרות!$E$6)+1))</f>
        <v/>
      </c>
    </row>
    <row r="3610" customFormat="false" ht="15" hidden="false" customHeight="false" outlineLevel="0" collapsed="false">
      <c r="A3610" s="0" t="str">
        <f aca="false">IF('הדבקת לידים'!A3610="","",IF(ISNUMBER('הדבקת לידים'!A3610),IF(הגדרות!$E$2&gt;0,TEXT('הדבקת לידים'!A3610,REPT("0",הגדרות!$E$2)),TEXT('הדבקת לידים'!A3610,"0")),TRIM('הדבקת לידים'!A3610)))</f>
        <v/>
      </c>
      <c r="B3610" s="0" t="str">
        <f aca="false">IF('הדבקת לידים'!B3610="","",IF(ISNUMBER('הדבקת לידים'!B3610),IF(הגדרות!$E$3&gt;0,TEXT('הדבקת לידים'!B3610,REPT("0",הגדרות!$E$3)),TEXT('הדבקת לידים'!B3610,"0")),TRIM('הדבקת לידים'!B3610)))</f>
        <v/>
      </c>
      <c r="C3610" s="0" t="n">
        <f aca="false">IF(OR(A3610&lt;&gt;"",B3610&lt;&gt;""),1,0)</f>
        <v>0</v>
      </c>
      <c r="D3610" s="0" t="str">
        <f aca="false">IF(C3610=1,MOD(ABS(SIN(ROW()*12.9898+'הדבקת לידים'!$F$2*78.233+IFERROR(--RIGHT(A3610,6),LEN(A3610))*0.0137+IFERROR(--RIGHT(B3610,6),LEN(B3610))*0.0071))*43758.5453,1),"")</f>
        <v/>
      </c>
      <c r="E3610" s="0" t="str">
        <f aca="false">IF(C3610=1,INT(MOD(ABS(SIN(D3610*7919.123+ROW()*0.618+'הדבקת לידים'!$F$2*1.3))*43758.5453,1)*1000000)*10000+ROW(),"")</f>
        <v/>
      </c>
      <c r="F3610" s="0" t="str">
        <f aca="false">IF(E3610="","",RANK(E3610,$E$2:$E$5001,1))</f>
        <v/>
      </c>
      <c r="G3610" s="0" t="n">
        <f aca="false">IF(A3610="",0,IF(SUMPRODUCT(--($A$2:$A$5001=A3610))&gt;1,1,0))</f>
        <v>0</v>
      </c>
      <c r="H3610" s="0" t="n">
        <f aca="false">ROW()-1</f>
        <v>3609</v>
      </c>
      <c r="I3610" s="0" t="str">
        <f aca="false">IF(OR(הגדרות!$E$6=0,H3610&gt;הגדרות!$E$5),"",IF(H3610-1&lt;הגדרות!$E$8*(הגדרות!$E$7+1),INT((H3610-1)/(הגדרות!$E$7+1)),הגדרות!$E$8+INT((H3610-1-הגדרות!$E$8*(הגדרות!$E$7+1))/הגדרות!$E$7)))</f>
        <v/>
      </c>
      <c r="J3610" s="0" t="str">
        <f aca="false">IF(I3610="","",IF(H3610-1&lt;הגדרות!$E$8*(הגדרות!$E$7+1),MOD(H3610-1,הגדרות!$E$7+1),MOD(H3610-1-הגדרות!$E$8*(הגדרות!$E$7+1),הגדרות!$E$7)))</f>
        <v/>
      </c>
      <c r="K3610" s="0" t="str">
        <f aca="false">IF(I3610="","",J3610*הגדרות!$E$6+I3610+1)</f>
        <v/>
      </c>
      <c r="L3610" s="0" t="str">
        <f aca="false">IF(K3610="","",MATCH(K3610,$F$2:$F$5001,0))</f>
        <v/>
      </c>
      <c r="M3610" s="0" t="str">
        <f aca="false">IF(I3610="","",INDEX(הגדרות!$A$2:$A$21,MOD(I3610+הגדרות!$E$9,הגדרות!$E$6)+1))</f>
        <v/>
      </c>
    </row>
    <row r="3611" customFormat="false" ht="15" hidden="false" customHeight="false" outlineLevel="0" collapsed="false">
      <c r="A3611" s="0" t="str">
        <f aca="false">IF('הדבקת לידים'!A3611="","",IF(ISNUMBER('הדבקת לידים'!A3611),IF(הגדרות!$E$2&gt;0,TEXT('הדבקת לידים'!A3611,REPT("0",הגדרות!$E$2)),TEXT('הדבקת לידים'!A3611,"0")),TRIM('הדבקת לידים'!A3611)))</f>
        <v/>
      </c>
      <c r="B3611" s="0" t="str">
        <f aca="false">IF('הדבקת לידים'!B3611="","",IF(ISNUMBER('הדבקת לידים'!B3611),IF(הגדרות!$E$3&gt;0,TEXT('הדבקת לידים'!B3611,REPT("0",הגדרות!$E$3)),TEXT('הדבקת לידים'!B3611,"0")),TRIM('הדבקת לידים'!B3611)))</f>
        <v/>
      </c>
      <c r="C3611" s="0" t="n">
        <f aca="false">IF(OR(A3611&lt;&gt;"",B3611&lt;&gt;""),1,0)</f>
        <v>0</v>
      </c>
      <c r="D3611" s="0" t="str">
        <f aca="false">IF(C3611=1,MOD(ABS(SIN(ROW()*12.9898+'הדבקת לידים'!$F$2*78.233+IFERROR(--RIGHT(A3611,6),LEN(A3611))*0.0137+IFERROR(--RIGHT(B3611,6),LEN(B3611))*0.0071))*43758.5453,1),"")</f>
        <v/>
      </c>
      <c r="E3611" s="0" t="str">
        <f aca="false">IF(C3611=1,INT(MOD(ABS(SIN(D3611*7919.123+ROW()*0.618+'הדבקת לידים'!$F$2*1.3))*43758.5453,1)*1000000)*10000+ROW(),"")</f>
        <v/>
      </c>
      <c r="F3611" s="0" t="str">
        <f aca="false">IF(E3611="","",RANK(E3611,$E$2:$E$5001,1))</f>
        <v/>
      </c>
      <c r="G3611" s="0" t="n">
        <f aca="false">IF(A3611="",0,IF(SUMPRODUCT(--($A$2:$A$5001=A3611))&gt;1,1,0))</f>
        <v>0</v>
      </c>
      <c r="H3611" s="0" t="n">
        <f aca="false">ROW()-1</f>
        <v>3610</v>
      </c>
      <c r="I3611" s="0" t="str">
        <f aca="false">IF(OR(הגדרות!$E$6=0,H3611&gt;הגדרות!$E$5),"",IF(H3611-1&lt;הגדרות!$E$8*(הגדרות!$E$7+1),INT((H3611-1)/(הגדרות!$E$7+1)),הגדרות!$E$8+INT((H3611-1-הגדרות!$E$8*(הגדרות!$E$7+1))/הגדרות!$E$7)))</f>
        <v/>
      </c>
      <c r="J3611" s="0" t="str">
        <f aca="false">IF(I3611="","",IF(H3611-1&lt;הגדרות!$E$8*(הגדרות!$E$7+1),MOD(H3611-1,הגדרות!$E$7+1),MOD(H3611-1-הגדרות!$E$8*(הגדרות!$E$7+1),הגדרות!$E$7)))</f>
        <v/>
      </c>
      <c r="K3611" s="0" t="str">
        <f aca="false">IF(I3611="","",J3611*הגדרות!$E$6+I3611+1)</f>
        <v/>
      </c>
      <c r="L3611" s="0" t="str">
        <f aca="false">IF(K3611="","",MATCH(K3611,$F$2:$F$5001,0))</f>
        <v/>
      </c>
      <c r="M3611" s="0" t="str">
        <f aca="false">IF(I3611="","",INDEX(הגדרות!$A$2:$A$21,MOD(I3611+הגדרות!$E$9,הגדרות!$E$6)+1))</f>
        <v/>
      </c>
    </row>
    <row r="3612" customFormat="false" ht="15" hidden="false" customHeight="false" outlineLevel="0" collapsed="false">
      <c r="A3612" s="0" t="str">
        <f aca="false">IF('הדבקת לידים'!A3612="","",IF(ISNUMBER('הדבקת לידים'!A3612),IF(הגדרות!$E$2&gt;0,TEXT('הדבקת לידים'!A3612,REPT("0",הגדרות!$E$2)),TEXT('הדבקת לידים'!A3612,"0")),TRIM('הדבקת לידים'!A3612)))</f>
        <v/>
      </c>
      <c r="B3612" s="0" t="str">
        <f aca="false">IF('הדבקת לידים'!B3612="","",IF(ISNUMBER('הדבקת לידים'!B3612),IF(הגדרות!$E$3&gt;0,TEXT('הדבקת לידים'!B3612,REPT("0",הגדרות!$E$3)),TEXT('הדבקת לידים'!B3612,"0")),TRIM('הדבקת לידים'!B3612)))</f>
        <v/>
      </c>
      <c r="C3612" s="0" t="n">
        <f aca="false">IF(OR(A3612&lt;&gt;"",B3612&lt;&gt;""),1,0)</f>
        <v>0</v>
      </c>
      <c r="D3612" s="0" t="str">
        <f aca="false">IF(C3612=1,MOD(ABS(SIN(ROW()*12.9898+'הדבקת לידים'!$F$2*78.233+IFERROR(--RIGHT(A3612,6),LEN(A3612))*0.0137+IFERROR(--RIGHT(B3612,6),LEN(B3612))*0.0071))*43758.5453,1),"")</f>
        <v/>
      </c>
      <c r="E3612" s="0" t="str">
        <f aca="false">IF(C3612=1,INT(MOD(ABS(SIN(D3612*7919.123+ROW()*0.618+'הדבקת לידים'!$F$2*1.3))*43758.5453,1)*1000000)*10000+ROW(),"")</f>
        <v/>
      </c>
      <c r="F3612" s="0" t="str">
        <f aca="false">IF(E3612="","",RANK(E3612,$E$2:$E$5001,1))</f>
        <v/>
      </c>
      <c r="G3612" s="0" t="n">
        <f aca="false">IF(A3612="",0,IF(SUMPRODUCT(--($A$2:$A$5001=A3612))&gt;1,1,0))</f>
        <v>0</v>
      </c>
      <c r="H3612" s="0" t="n">
        <f aca="false">ROW()-1</f>
        <v>3611</v>
      </c>
      <c r="I3612" s="0" t="str">
        <f aca="false">IF(OR(הגדרות!$E$6=0,H3612&gt;הגדרות!$E$5),"",IF(H3612-1&lt;הגדרות!$E$8*(הגדרות!$E$7+1),INT((H3612-1)/(הגדרות!$E$7+1)),הגדרות!$E$8+INT((H3612-1-הגדרות!$E$8*(הגדרות!$E$7+1))/הגדרות!$E$7)))</f>
        <v/>
      </c>
      <c r="J3612" s="0" t="str">
        <f aca="false">IF(I3612="","",IF(H3612-1&lt;הגדרות!$E$8*(הגדרות!$E$7+1),MOD(H3612-1,הגדרות!$E$7+1),MOD(H3612-1-הגדרות!$E$8*(הגדרות!$E$7+1),הגדרות!$E$7)))</f>
        <v/>
      </c>
      <c r="K3612" s="0" t="str">
        <f aca="false">IF(I3612="","",J3612*הגדרות!$E$6+I3612+1)</f>
        <v/>
      </c>
      <c r="L3612" s="0" t="str">
        <f aca="false">IF(K3612="","",MATCH(K3612,$F$2:$F$5001,0))</f>
        <v/>
      </c>
      <c r="M3612" s="0" t="str">
        <f aca="false">IF(I3612="","",INDEX(הגדרות!$A$2:$A$21,MOD(I3612+הגדרות!$E$9,הגדרות!$E$6)+1))</f>
        <v/>
      </c>
    </row>
    <row r="3613" customFormat="false" ht="15" hidden="false" customHeight="false" outlineLevel="0" collapsed="false">
      <c r="A3613" s="0" t="str">
        <f aca="false">IF('הדבקת לידים'!A3613="","",IF(ISNUMBER('הדבקת לידים'!A3613),IF(הגדרות!$E$2&gt;0,TEXT('הדבקת לידים'!A3613,REPT("0",הגדרות!$E$2)),TEXT('הדבקת לידים'!A3613,"0")),TRIM('הדבקת לידים'!A3613)))</f>
        <v/>
      </c>
      <c r="B3613" s="0" t="str">
        <f aca="false">IF('הדבקת לידים'!B3613="","",IF(ISNUMBER('הדבקת לידים'!B3613),IF(הגדרות!$E$3&gt;0,TEXT('הדבקת לידים'!B3613,REPT("0",הגדרות!$E$3)),TEXT('הדבקת לידים'!B3613,"0")),TRIM('הדבקת לידים'!B3613)))</f>
        <v/>
      </c>
      <c r="C3613" s="0" t="n">
        <f aca="false">IF(OR(A3613&lt;&gt;"",B3613&lt;&gt;""),1,0)</f>
        <v>0</v>
      </c>
      <c r="D3613" s="0" t="str">
        <f aca="false">IF(C3613=1,MOD(ABS(SIN(ROW()*12.9898+'הדבקת לידים'!$F$2*78.233+IFERROR(--RIGHT(A3613,6),LEN(A3613))*0.0137+IFERROR(--RIGHT(B3613,6),LEN(B3613))*0.0071))*43758.5453,1),"")</f>
        <v/>
      </c>
      <c r="E3613" s="0" t="str">
        <f aca="false">IF(C3613=1,INT(MOD(ABS(SIN(D3613*7919.123+ROW()*0.618+'הדבקת לידים'!$F$2*1.3))*43758.5453,1)*1000000)*10000+ROW(),"")</f>
        <v/>
      </c>
      <c r="F3613" s="0" t="str">
        <f aca="false">IF(E3613="","",RANK(E3613,$E$2:$E$5001,1))</f>
        <v/>
      </c>
      <c r="G3613" s="0" t="n">
        <f aca="false">IF(A3613="",0,IF(SUMPRODUCT(--($A$2:$A$5001=A3613))&gt;1,1,0))</f>
        <v>0</v>
      </c>
      <c r="H3613" s="0" t="n">
        <f aca="false">ROW()-1</f>
        <v>3612</v>
      </c>
      <c r="I3613" s="0" t="str">
        <f aca="false">IF(OR(הגדרות!$E$6=0,H3613&gt;הגדרות!$E$5),"",IF(H3613-1&lt;הגדרות!$E$8*(הגדרות!$E$7+1),INT((H3613-1)/(הגדרות!$E$7+1)),הגדרות!$E$8+INT((H3613-1-הגדרות!$E$8*(הגדרות!$E$7+1))/הגדרות!$E$7)))</f>
        <v/>
      </c>
      <c r="J3613" s="0" t="str">
        <f aca="false">IF(I3613="","",IF(H3613-1&lt;הגדרות!$E$8*(הגדרות!$E$7+1),MOD(H3613-1,הגדרות!$E$7+1),MOD(H3613-1-הגדרות!$E$8*(הגדרות!$E$7+1),הגדרות!$E$7)))</f>
        <v/>
      </c>
      <c r="K3613" s="0" t="str">
        <f aca="false">IF(I3613="","",J3613*הגדרות!$E$6+I3613+1)</f>
        <v/>
      </c>
      <c r="L3613" s="0" t="str">
        <f aca="false">IF(K3613="","",MATCH(K3613,$F$2:$F$5001,0))</f>
        <v/>
      </c>
      <c r="M3613" s="0" t="str">
        <f aca="false">IF(I3613="","",INDEX(הגדרות!$A$2:$A$21,MOD(I3613+הגדרות!$E$9,הגדרות!$E$6)+1))</f>
        <v/>
      </c>
    </row>
    <row r="3614" customFormat="false" ht="15" hidden="false" customHeight="false" outlineLevel="0" collapsed="false">
      <c r="A3614" s="0" t="str">
        <f aca="false">IF('הדבקת לידים'!A3614="","",IF(ISNUMBER('הדבקת לידים'!A3614),IF(הגדרות!$E$2&gt;0,TEXT('הדבקת לידים'!A3614,REPT("0",הגדרות!$E$2)),TEXT('הדבקת לידים'!A3614,"0")),TRIM('הדבקת לידים'!A3614)))</f>
        <v/>
      </c>
      <c r="B3614" s="0" t="str">
        <f aca="false">IF('הדבקת לידים'!B3614="","",IF(ISNUMBER('הדבקת לידים'!B3614),IF(הגדרות!$E$3&gt;0,TEXT('הדבקת לידים'!B3614,REPT("0",הגדרות!$E$3)),TEXT('הדבקת לידים'!B3614,"0")),TRIM('הדבקת לידים'!B3614)))</f>
        <v/>
      </c>
      <c r="C3614" s="0" t="n">
        <f aca="false">IF(OR(A3614&lt;&gt;"",B3614&lt;&gt;""),1,0)</f>
        <v>0</v>
      </c>
      <c r="D3614" s="0" t="str">
        <f aca="false">IF(C3614=1,MOD(ABS(SIN(ROW()*12.9898+'הדבקת לידים'!$F$2*78.233+IFERROR(--RIGHT(A3614,6),LEN(A3614))*0.0137+IFERROR(--RIGHT(B3614,6),LEN(B3614))*0.0071))*43758.5453,1),"")</f>
        <v/>
      </c>
      <c r="E3614" s="0" t="str">
        <f aca="false">IF(C3614=1,INT(MOD(ABS(SIN(D3614*7919.123+ROW()*0.618+'הדבקת לידים'!$F$2*1.3))*43758.5453,1)*1000000)*10000+ROW(),"")</f>
        <v/>
      </c>
      <c r="F3614" s="0" t="str">
        <f aca="false">IF(E3614="","",RANK(E3614,$E$2:$E$5001,1))</f>
        <v/>
      </c>
      <c r="G3614" s="0" t="n">
        <f aca="false">IF(A3614="",0,IF(SUMPRODUCT(--($A$2:$A$5001=A3614))&gt;1,1,0))</f>
        <v>0</v>
      </c>
      <c r="H3614" s="0" t="n">
        <f aca="false">ROW()-1</f>
        <v>3613</v>
      </c>
      <c r="I3614" s="0" t="str">
        <f aca="false">IF(OR(הגדרות!$E$6=0,H3614&gt;הגדרות!$E$5),"",IF(H3614-1&lt;הגדרות!$E$8*(הגדרות!$E$7+1),INT((H3614-1)/(הגדרות!$E$7+1)),הגדרות!$E$8+INT((H3614-1-הגדרות!$E$8*(הגדרות!$E$7+1))/הגדרות!$E$7)))</f>
        <v/>
      </c>
      <c r="J3614" s="0" t="str">
        <f aca="false">IF(I3614="","",IF(H3614-1&lt;הגדרות!$E$8*(הגדרות!$E$7+1),MOD(H3614-1,הגדרות!$E$7+1),MOD(H3614-1-הגדרות!$E$8*(הגדרות!$E$7+1),הגדרות!$E$7)))</f>
        <v/>
      </c>
      <c r="K3614" s="0" t="str">
        <f aca="false">IF(I3614="","",J3614*הגדרות!$E$6+I3614+1)</f>
        <v/>
      </c>
      <c r="L3614" s="0" t="str">
        <f aca="false">IF(K3614="","",MATCH(K3614,$F$2:$F$5001,0))</f>
        <v/>
      </c>
      <c r="M3614" s="0" t="str">
        <f aca="false">IF(I3614="","",INDEX(הגדרות!$A$2:$A$21,MOD(I3614+הגדרות!$E$9,הגדרות!$E$6)+1))</f>
        <v/>
      </c>
    </row>
    <row r="3615" customFormat="false" ht="15" hidden="false" customHeight="false" outlineLevel="0" collapsed="false">
      <c r="A3615" s="0" t="str">
        <f aca="false">IF('הדבקת לידים'!A3615="","",IF(ISNUMBER('הדבקת לידים'!A3615),IF(הגדרות!$E$2&gt;0,TEXT('הדבקת לידים'!A3615,REPT("0",הגדרות!$E$2)),TEXT('הדבקת לידים'!A3615,"0")),TRIM('הדבקת לידים'!A3615)))</f>
        <v/>
      </c>
      <c r="B3615" s="0" t="str">
        <f aca="false">IF('הדבקת לידים'!B3615="","",IF(ISNUMBER('הדבקת לידים'!B3615),IF(הגדרות!$E$3&gt;0,TEXT('הדבקת לידים'!B3615,REPT("0",הגדרות!$E$3)),TEXT('הדבקת לידים'!B3615,"0")),TRIM('הדבקת לידים'!B3615)))</f>
        <v/>
      </c>
      <c r="C3615" s="0" t="n">
        <f aca="false">IF(OR(A3615&lt;&gt;"",B3615&lt;&gt;""),1,0)</f>
        <v>0</v>
      </c>
      <c r="D3615" s="0" t="str">
        <f aca="false">IF(C3615=1,MOD(ABS(SIN(ROW()*12.9898+'הדבקת לידים'!$F$2*78.233+IFERROR(--RIGHT(A3615,6),LEN(A3615))*0.0137+IFERROR(--RIGHT(B3615,6),LEN(B3615))*0.0071))*43758.5453,1),"")</f>
        <v/>
      </c>
      <c r="E3615" s="0" t="str">
        <f aca="false">IF(C3615=1,INT(MOD(ABS(SIN(D3615*7919.123+ROW()*0.618+'הדבקת לידים'!$F$2*1.3))*43758.5453,1)*1000000)*10000+ROW(),"")</f>
        <v/>
      </c>
      <c r="F3615" s="0" t="str">
        <f aca="false">IF(E3615="","",RANK(E3615,$E$2:$E$5001,1))</f>
        <v/>
      </c>
      <c r="G3615" s="0" t="n">
        <f aca="false">IF(A3615="",0,IF(SUMPRODUCT(--($A$2:$A$5001=A3615))&gt;1,1,0))</f>
        <v>0</v>
      </c>
      <c r="H3615" s="0" t="n">
        <f aca="false">ROW()-1</f>
        <v>3614</v>
      </c>
      <c r="I3615" s="0" t="str">
        <f aca="false">IF(OR(הגדרות!$E$6=0,H3615&gt;הגדרות!$E$5),"",IF(H3615-1&lt;הגדרות!$E$8*(הגדרות!$E$7+1),INT((H3615-1)/(הגדרות!$E$7+1)),הגדרות!$E$8+INT((H3615-1-הגדרות!$E$8*(הגדרות!$E$7+1))/הגדרות!$E$7)))</f>
        <v/>
      </c>
      <c r="J3615" s="0" t="str">
        <f aca="false">IF(I3615="","",IF(H3615-1&lt;הגדרות!$E$8*(הגדרות!$E$7+1),MOD(H3615-1,הגדרות!$E$7+1),MOD(H3615-1-הגדרות!$E$8*(הגדרות!$E$7+1),הגדרות!$E$7)))</f>
        <v/>
      </c>
      <c r="K3615" s="0" t="str">
        <f aca="false">IF(I3615="","",J3615*הגדרות!$E$6+I3615+1)</f>
        <v/>
      </c>
      <c r="L3615" s="0" t="str">
        <f aca="false">IF(K3615="","",MATCH(K3615,$F$2:$F$5001,0))</f>
        <v/>
      </c>
      <c r="M3615" s="0" t="str">
        <f aca="false">IF(I3615="","",INDEX(הגדרות!$A$2:$A$21,MOD(I3615+הגדרות!$E$9,הגדרות!$E$6)+1))</f>
        <v/>
      </c>
    </row>
    <row r="3616" customFormat="false" ht="15" hidden="false" customHeight="false" outlineLevel="0" collapsed="false">
      <c r="A3616" s="0" t="str">
        <f aca="false">IF('הדבקת לידים'!A3616="","",IF(ISNUMBER('הדבקת לידים'!A3616),IF(הגדרות!$E$2&gt;0,TEXT('הדבקת לידים'!A3616,REPT("0",הגדרות!$E$2)),TEXT('הדבקת לידים'!A3616,"0")),TRIM('הדבקת לידים'!A3616)))</f>
        <v/>
      </c>
      <c r="B3616" s="0" t="str">
        <f aca="false">IF('הדבקת לידים'!B3616="","",IF(ISNUMBER('הדבקת לידים'!B3616),IF(הגדרות!$E$3&gt;0,TEXT('הדבקת לידים'!B3616,REPT("0",הגדרות!$E$3)),TEXT('הדבקת לידים'!B3616,"0")),TRIM('הדבקת לידים'!B3616)))</f>
        <v/>
      </c>
      <c r="C3616" s="0" t="n">
        <f aca="false">IF(OR(A3616&lt;&gt;"",B3616&lt;&gt;""),1,0)</f>
        <v>0</v>
      </c>
      <c r="D3616" s="0" t="str">
        <f aca="false">IF(C3616=1,MOD(ABS(SIN(ROW()*12.9898+'הדבקת לידים'!$F$2*78.233+IFERROR(--RIGHT(A3616,6),LEN(A3616))*0.0137+IFERROR(--RIGHT(B3616,6),LEN(B3616))*0.0071))*43758.5453,1),"")</f>
        <v/>
      </c>
      <c r="E3616" s="0" t="str">
        <f aca="false">IF(C3616=1,INT(MOD(ABS(SIN(D3616*7919.123+ROW()*0.618+'הדבקת לידים'!$F$2*1.3))*43758.5453,1)*1000000)*10000+ROW(),"")</f>
        <v/>
      </c>
      <c r="F3616" s="0" t="str">
        <f aca="false">IF(E3616="","",RANK(E3616,$E$2:$E$5001,1))</f>
        <v/>
      </c>
      <c r="G3616" s="0" t="n">
        <f aca="false">IF(A3616="",0,IF(SUMPRODUCT(--($A$2:$A$5001=A3616))&gt;1,1,0))</f>
        <v>0</v>
      </c>
      <c r="H3616" s="0" t="n">
        <f aca="false">ROW()-1</f>
        <v>3615</v>
      </c>
      <c r="I3616" s="0" t="str">
        <f aca="false">IF(OR(הגדרות!$E$6=0,H3616&gt;הגדרות!$E$5),"",IF(H3616-1&lt;הגדרות!$E$8*(הגדרות!$E$7+1),INT((H3616-1)/(הגדרות!$E$7+1)),הגדרות!$E$8+INT((H3616-1-הגדרות!$E$8*(הגדרות!$E$7+1))/הגדרות!$E$7)))</f>
        <v/>
      </c>
      <c r="J3616" s="0" t="str">
        <f aca="false">IF(I3616="","",IF(H3616-1&lt;הגדרות!$E$8*(הגדרות!$E$7+1),MOD(H3616-1,הגדרות!$E$7+1),MOD(H3616-1-הגדרות!$E$8*(הגדרות!$E$7+1),הגדרות!$E$7)))</f>
        <v/>
      </c>
      <c r="K3616" s="0" t="str">
        <f aca="false">IF(I3616="","",J3616*הגדרות!$E$6+I3616+1)</f>
        <v/>
      </c>
      <c r="L3616" s="0" t="str">
        <f aca="false">IF(K3616="","",MATCH(K3616,$F$2:$F$5001,0))</f>
        <v/>
      </c>
      <c r="M3616" s="0" t="str">
        <f aca="false">IF(I3616="","",INDEX(הגדרות!$A$2:$A$21,MOD(I3616+הגדרות!$E$9,הגדרות!$E$6)+1))</f>
        <v/>
      </c>
    </row>
    <row r="3617" customFormat="false" ht="15" hidden="false" customHeight="false" outlineLevel="0" collapsed="false">
      <c r="A3617" s="0" t="str">
        <f aca="false">IF('הדבקת לידים'!A3617="","",IF(ISNUMBER('הדבקת לידים'!A3617),IF(הגדרות!$E$2&gt;0,TEXT('הדבקת לידים'!A3617,REPT("0",הגדרות!$E$2)),TEXT('הדבקת לידים'!A3617,"0")),TRIM('הדבקת לידים'!A3617)))</f>
        <v/>
      </c>
      <c r="B3617" s="0" t="str">
        <f aca="false">IF('הדבקת לידים'!B3617="","",IF(ISNUMBER('הדבקת לידים'!B3617),IF(הגדרות!$E$3&gt;0,TEXT('הדבקת לידים'!B3617,REPT("0",הגדרות!$E$3)),TEXT('הדבקת לידים'!B3617,"0")),TRIM('הדבקת לידים'!B3617)))</f>
        <v/>
      </c>
      <c r="C3617" s="0" t="n">
        <f aca="false">IF(OR(A3617&lt;&gt;"",B3617&lt;&gt;""),1,0)</f>
        <v>0</v>
      </c>
      <c r="D3617" s="0" t="str">
        <f aca="false">IF(C3617=1,MOD(ABS(SIN(ROW()*12.9898+'הדבקת לידים'!$F$2*78.233+IFERROR(--RIGHT(A3617,6),LEN(A3617))*0.0137+IFERROR(--RIGHT(B3617,6),LEN(B3617))*0.0071))*43758.5453,1),"")</f>
        <v/>
      </c>
      <c r="E3617" s="0" t="str">
        <f aca="false">IF(C3617=1,INT(MOD(ABS(SIN(D3617*7919.123+ROW()*0.618+'הדבקת לידים'!$F$2*1.3))*43758.5453,1)*1000000)*10000+ROW(),"")</f>
        <v/>
      </c>
      <c r="F3617" s="0" t="str">
        <f aca="false">IF(E3617="","",RANK(E3617,$E$2:$E$5001,1))</f>
        <v/>
      </c>
      <c r="G3617" s="0" t="n">
        <f aca="false">IF(A3617="",0,IF(SUMPRODUCT(--($A$2:$A$5001=A3617))&gt;1,1,0))</f>
        <v>0</v>
      </c>
      <c r="H3617" s="0" t="n">
        <f aca="false">ROW()-1</f>
        <v>3616</v>
      </c>
      <c r="I3617" s="0" t="str">
        <f aca="false">IF(OR(הגדרות!$E$6=0,H3617&gt;הגדרות!$E$5),"",IF(H3617-1&lt;הגדרות!$E$8*(הגדרות!$E$7+1),INT((H3617-1)/(הגדרות!$E$7+1)),הגדרות!$E$8+INT((H3617-1-הגדרות!$E$8*(הגדרות!$E$7+1))/הגדרות!$E$7)))</f>
        <v/>
      </c>
      <c r="J3617" s="0" t="str">
        <f aca="false">IF(I3617="","",IF(H3617-1&lt;הגדרות!$E$8*(הגדרות!$E$7+1),MOD(H3617-1,הגדרות!$E$7+1),MOD(H3617-1-הגדרות!$E$8*(הגדרות!$E$7+1),הגדרות!$E$7)))</f>
        <v/>
      </c>
      <c r="K3617" s="0" t="str">
        <f aca="false">IF(I3617="","",J3617*הגדרות!$E$6+I3617+1)</f>
        <v/>
      </c>
      <c r="L3617" s="0" t="str">
        <f aca="false">IF(K3617="","",MATCH(K3617,$F$2:$F$5001,0))</f>
        <v/>
      </c>
      <c r="M3617" s="0" t="str">
        <f aca="false">IF(I3617="","",INDEX(הגדרות!$A$2:$A$21,MOD(I3617+הגדרות!$E$9,הגדרות!$E$6)+1))</f>
        <v/>
      </c>
    </row>
    <row r="3618" customFormat="false" ht="15" hidden="false" customHeight="false" outlineLevel="0" collapsed="false">
      <c r="A3618" s="0" t="str">
        <f aca="false">IF('הדבקת לידים'!A3618="","",IF(ISNUMBER('הדבקת לידים'!A3618),IF(הגדרות!$E$2&gt;0,TEXT('הדבקת לידים'!A3618,REPT("0",הגדרות!$E$2)),TEXT('הדבקת לידים'!A3618,"0")),TRIM('הדבקת לידים'!A3618)))</f>
        <v/>
      </c>
      <c r="B3618" s="0" t="str">
        <f aca="false">IF('הדבקת לידים'!B3618="","",IF(ISNUMBER('הדבקת לידים'!B3618),IF(הגדרות!$E$3&gt;0,TEXT('הדבקת לידים'!B3618,REPT("0",הגדרות!$E$3)),TEXT('הדבקת לידים'!B3618,"0")),TRIM('הדבקת לידים'!B3618)))</f>
        <v/>
      </c>
      <c r="C3618" s="0" t="n">
        <f aca="false">IF(OR(A3618&lt;&gt;"",B3618&lt;&gt;""),1,0)</f>
        <v>0</v>
      </c>
      <c r="D3618" s="0" t="str">
        <f aca="false">IF(C3618=1,MOD(ABS(SIN(ROW()*12.9898+'הדבקת לידים'!$F$2*78.233+IFERROR(--RIGHT(A3618,6),LEN(A3618))*0.0137+IFERROR(--RIGHT(B3618,6),LEN(B3618))*0.0071))*43758.5453,1),"")</f>
        <v/>
      </c>
      <c r="E3618" s="0" t="str">
        <f aca="false">IF(C3618=1,INT(MOD(ABS(SIN(D3618*7919.123+ROW()*0.618+'הדבקת לידים'!$F$2*1.3))*43758.5453,1)*1000000)*10000+ROW(),"")</f>
        <v/>
      </c>
      <c r="F3618" s="0" t="str">
        <f aca="false">IF(E3618="","",RANK(E3618,$E$2:$E$5001,1))</f>
        <v/>
      </c>
      <c r="G3618" s="0" t="n">
        <f aca="false">IF(A3618="",0,IF(SUMPRODUCT(--($A$2:$A$5001=A3618))&gt;1,1,0))</f>
        <v>0</v>
      </c>
      <c r="H3618" s="0" t="n">
        <f aca="false">ROW()-1</f>
        <v>3617</v>
      </c>
      <c r="I3618" s="0" t="str">
        <f aca="false">IF(OR(הגדרות!$E$6=0,H3618&gt;הגדרות!$E$5),"",IF(H3618-1&lt;הגדרות!$E$8*(הגדרות!$E$7+1),INT((H3618-1)/(הגדרות!$E$7+1)),הגדרות!$E$8+INT((H3618-1-הגדרות!$E$8*(הגדרות!$E$7+1))/הגדרות!$E$7)))</f>
        <v/>
      </c>
      <c r="J3618" s="0" t="str">
        <f aca="false">IF(I3618="","",IF(H3618-1&lt;הגדרות!$E$8*(הגדרות!$E$7+1),MOD(H3618-1,הגדרות!$E$7+1),MOD(H3618-1-הגדרות!$E$8*(הגדרות!$E$7+1),הגדרות!$E$7)))</f>
        <v/>
      </c>
      <c r="K3618" s="0" t="str">
        <f aca="false">IF(I3618="","",J3618*הגדרות!$E$6+I3618+1)</f>
        <v/>
      </c>
      <c r="L3618" s="0" t="str">
        <f aca="false">IF(K3618="","",MATCH(K3618,$F$2:$F$5001,0))</f>
        <v/>
      </c>
      <c r="M3618" s="0" t="str">
        <f aca="false">IF(I3618="","",INDEX(הגדרות!$A$2:$A$21,MOD(I3618+הגדרות!$E$9,הגדרות!$E$6)+1))</f>
        <v/>
      </c>
    </row>
    <row r="3619" customFormat="false" ht="15" hidden="false" customHeight="false" outlineLevel="0" collapsed="false">
      <c r="A3619" s="0" t="str">
        <f aca="false">IF('הדבקת לידים'!A3619="","",IF(ISNUMBER('הדבקת לידים'!A3619),IF(הגדרות!$E$2&gt;0,TEXT('הדבקת לידים'!A3619,REPT("0",הגדרות!$E$2)),TEXT('הדבקת לידים'!A3619,"0")),TRIM('הדבקת לידים'!A3619)))</f>
        <v/>
      </c>
      <c r="B3619" s="0" t="str">
        <f aca="false">IF('הדבקת לידים'!B3619="","",IF(ISNUMBER('הדבקת לידים'!B3619),IF(הגדרות!$E$3&gt;0,TEXT('הדבקת לידים'!B3619,REPT("0",הגדרות!$E$3)),TEXT('הדבקת לידים'!B3619,"0")),TRIM('הדבקת לידים'!B3619)))</f>
        <v/>
      </c>
      <c r="C3619" s="0" t="n">
        <f aca="false">IF(OR(A3619&lt;&gt;"",B3619&lt;&gt;""),1,0)</f>
        <v>0</v>
      </c>
      <c r="D3619" s="0" t="str">
        <f aca="false">IF(C3619=1,MOD(ABS(SIN(ROW()*12.9898+'הדבקת לידים'!$F$2*78.233+IFERROR(--RIGHT(A3619,6),LEN(A3619))*0.0137+IFERROR(--RIGHT(B3619,6),LEN(B3619))*0.0071))*43758.5453,1),"")</f>
        <v/>
      </c>
      <c r="E3619" s="0" t="str">
        <f aca="false">IF(C3619=1,INT(MOD(ABS(SIN(D3619*7919.123+ROW()*0.618+'הדבקת לידים'!$F$2*1.3))*43758.5453,1)*1000000)*10000+ROW(),"")</f>
        <v/>
      </c>
      <c r="F3619" s="0" t="str">
        <f aca="false">IF(E3619="","",RANK(E3619,$E$2:$E$5001,1))</f>
        <v/>
      </c>
      <c r="G3619" s="0" t="n">
        <f aca="false">IF(A3619="",0,IF(SUMPRODUCT(--($A$2:$A$5001=A3619))&gt;1,1,0))</f>
        <v>0</v>
      </c>
      <c r="H3619" s="0" t="n">
        <f aca="false">ROW()-1</f>
        <v>3618</v>
      </c>
      <c r="I3619" s="0" t="str">
        <f aca="false">IF(OR(הגדרות!$E$6=0,H3619&gt;הגדרות!$E$5),"",IF(H3619-1&lt;הגדרות!$E$8*(הגדרות!$E$7+1),INT((H3619-1)/(הגדרות!$E$7+1)),הגדרות!$E$8+INT((H3619-1-הגדרות!$E$8*(הגדרות!$E$7+1))/הגדרות!$E$7)))</f>
        <v/>
      </c>
      <c r="J3619" s="0" t="str">
        <f aca="false">IF(I3619="","",IF(H3619-1&lt;הגדרות!$E$8*(הגדרות!$E$7+1),MOD(H3619-1,הגדרות!$E$7+1),MOD(H3619-1-הגדרות!$E$8*(הגדרות!$E$7+1),הגדרות!$E$7)))</f>
        <v/>
      </c>
      <c r="K3619" s="0" t="str">
        <f aca="false">IF(I3619="","",J3619*הגדרות!$E$6+I3619+1)</f>
        <v/>
      </c>
      <c r="L3619" s="0" t="str">
        <f aca="false">IF(K3619="","",MATCH(K3619,$F$2:$F$5001,0))</f>
        <v/>
      </c>
      <c r="M3619" s="0" t="str">
        <f aca="false">IF(I3619="","",INDEX(הגדרות!$A$2:$A$21,MOD(I3619+הגדרות!$E$9,הגדרות!$E$6)+1))</f>
        <v/>
      </c>
    </row>
    <row r="3620" customFormat="false" ht="15" hidden="false" customHeight="false" outlineLevel="0" collapsed="false">
      <c r="A3620" s="0" t="str">
        <f aca="false">IF('הדבקת לידים'!A3620="","",IF(ISNUMBER('הדבקת לידים'!A3620),IF(הגדרות!$E$2&gt;0,TEXT('הדבקת לידים'!A3620,REPT("0",הגדרות!$E$2)),TEXT('הדבקת לידים'!A3620,"0")),TRIM('הדבקת לידים'!A3620)))</f>
        <v/>
      </c>
      <c r="B3620" s="0" t="str">
        <f aca="false">IF('הדבקת לידים'!B3620="","",IF(ISNUMBER('הדבקת לידים'!B3620),IF(הגדרות!$E$3&gt;0,TEXT('הדבקת לידים'!B3620,REPT("0",הגדרות!$E$3)),TEXT('הדבקת לידים'!B3620,"0")),TRIM('הדבקת לידים'!B3620)))</f>
        <v/>
      </c>
      <c r="C3620" s="0" t="n">
        <f aca="false">IF(OR(A3620&lt;&gt;"",B3620&lt;&gt;""),1,0)</f>
        <v>0</v>
      </c>
      <c r="D3620" s="0" t="str">
        <f aca="false">IF(C3620=1,MOD(ABS(SIN(ROW()*12.9898+'הדבקת לידים'!$F$2*78.233+IFERROR(--RIGHT(A3620,6),LEN(A3620))*0.0137+IFERROR(--RIGHT(B3620,6),LEN(B3620))*0.0071))*43758.5453,1),"")</f>
        <v/>
      </c>
      <c r="E3620" s="0" t="str">
        <f aca="false">IF(C3620=1,INT(MOD(ABS(SIN(D3620*7919.123+ROW()*0.618+'הדבקת לידים'!$F$2*1.3))*43758.5453,1)*1000000)*10000+ROW(),"")</f>
        <v/>
      </c>
      <c r="F3620" s="0" t="str">
        <f aca="false">IF(E3620="","",RANK(E3620,$E$2:$E$5001,1))</f>
        <v/>
      </c>
      <c r="G3620" s="0" t="n">
        <f aca="false">IF(A3620="",0,IF(SUMPRODUCT(--($A$2:$A$5001=A3620))&gt;1,1,0))</f>
        <v>0</v>
      </c>
      <c r="H3620" s="0" t="n">
        <f aca="false">ROW()-1</f>
        <v>3619</v>
      </c>
      <c r="I3620" s="0" t="str">
        <f aca="false">IF(OR(הגדרות!$E$6=0,H3620&gt;הגדרות!$E$5),"",IF(H3620-1&lt;הגדרות!$E$8*(הגדרות!$E$7+1),INT((H3620-1)/(הגדרות!$E$7+1)),הגדרות!$E$8+INT((H3620-1-הגדרות!$E$8*(הגדרות!$E$7+1))/הגדרות!$E$7)))</f>
        <v/>
      </c>
      <c r="J3620" s="0" t="str">
        <f aca="false">IF(I3620="","",IF(H3620-1&lt;הגדרות!$E$8*(הגדרות!$E$7+1),MOD(H3620-1,הגדרות!$E$7+1),MOD(H3620-1-הגדרות!$E$8*(הגדרות!$E$7+1),הגדרות!$E$7)))</f>
        <v/>
      </c>
      <c r="K3620" s="0" t="str">
        <f aca="false">IF(I3620="","",J3620*הגדרות!$E$6+I3620+1)</f>
        <v/>
      </c>
      <c r="L3620" s="0" t="str">
        <f aca="false">IF(K3620="","",MATCH(K3620,$F$2:$F$5001,0))</f>
        <v/>
      </c>
      <c r="M3620" s="0" t="str">
        <f aca="false">IF(I3620="","",INDEX(הגדרות!$A$2:$A$21,MOD(I3620+הגדרות!$E$9,הגדרות!$E$6)+1))</f>
        <v/>
      </c>
    </row>
    <row r="3621" customFormat="false" ht="15" hidden="false" customHeight="false" outlineLevel="0" collapsed="false">
      <c r="A3621" s="0" t="str">
        <f aca="false">IF('הדבקת לידים'!A3621="","",IF(ISNUMBER('הדבקת לידים'!A3621),IF(הגדרות!$E$2&gt;0,TEXT('הדבקת לידים'!A3621,REPT("0",הגדרות!$E$2)),TEXT('הדבקת לידים'!A3621,"0")),TRIM('הדבקת לידים'!A3621)))</f>
        <v/>
      </c>
      <c r="B3621" s="0" t="str">
        <f aca="false">IF('הדבקת לידים'!B3621="","",IF(ISNUMBER('הדבקת לידים'!B3621),IF(הגדרות!$E$3&gt;0,TEXT('הדבקת לידים'!B3621,REPT("0",הגדרות!$E$3)),TEXT('הדבקת לידים'!B3621,"0")),TRIM('הדבקת לידים'!B3621)))</f>
        <v/>
      </c>
      <c r="C3621" s="0" t="n">
        <f aca="false">IF(OR(A3621&lt;&gt;"",B3621&lt;&gt;""),1,0)</f>
        <v>0</v>
      </c>
      <c r="D3621" s="0" t="str">
        <f aca="false">IF(C3621=1,MOD(ABS(SIN(ROW()*12.9898+'הדבקת לידים'!$F$2*78.233+IFERROR(--RIGHT(A3621,6),LEN(A3621))*0.0137+IFERROR(--RIGHT(B3621,6),LEN(B3621))*0.0071))*43758.5453,1),"")</f>
        <v/>
      </c>
      <c r="E3621" s="0" t="str">
        <f aca="false">IF(C3621=1,INT(MOD(ABS(SIN(D3621*7919.123+ROW()*0.618+'הדבקת לידים'!$F$2*1.3))*43758.5453,1)*1000000)*10000+ROW(),"")</f>
        <v/>
      </c>
      <c r="F3621" s="0" t="str">
        <f aca="false">IF(E3621="","",RANK(E3621,$E$2:$E$5001,1))</f>
        <v/>
      </c>
      <c r="G3621" s="0" t="n">
        <f aca="false">IF(A3621="",0,IF(SUMPRODUCT(--($A$2:$A$5001=A3621))&gt;1,1,0))</f>
        <v>0</v>
      </c>
      <c r="H3621" s="0" t="n">
        <f aca="false">ROW()-1</f>
        <v>3620</v>
      </c>
      <c r="I3621" s="0" t="str">
        <f aca="false">IF(OR(הגדרות!$E$6=0,H3621&gt;הגדרות!$E$5),"",IF(H3621-1&lt;הגדרות!$E$8*(הגדרות!$E$7+1),INT((H3621-1)/(הגדרות!$E$7+1)),הגדרות!$E$8+INT((H3621-1-הגדרות!$E$8*(הגדרות!$E$7+1))/הגדרות!$E$7)))</f>
        <v/>
      </c>
      <c r="J3621" s="0" t="str">
        <f aca="false">IF(I3621="","",IF(H3621-1&lt;הגדרות!$E$8*(הגדרות!$E$7+1),MOD(H3621-1,הגדרות!$E$7+1),MOD(H3621-1-הגדרות!$E$8*(הגדרות!$E$7+1),הגדרות!$E$7)))</f>
        <v/>
      </c>
      <c r="K3621" s="0" t="str">
        <f aca="false">IF(I3621="","",J3621*הגדרות!$E$6+I3621+1)</f>
        <v/>
      </c>
      <c r="L3621" s="0" t="str">
        <f aca="false">IF(K3621="","",MATCH(K3621,$F$2:$F$5001,0))</f>
        <v/>
      </c>
      <c r="M3621" s="0" t="str">
        <f aca="false">IF(I3621="","",INDEX(הגדרות!$A$2:$A$21,MOD(I3621+הגדרות!$E$9,הגדרות!$E$6)+1))</f>
        <v/>
      </c>
    </row>
    <row r="3622" customFormat="false" ht="15" hidden="false" customHeight="false" outlineLevel="0" collapsed="false">
      <c r="A3622" s="0" t="str">
        <f aca="false">IF('הדבקת לידים'!A3622="","",IF(ISNUMBER('הדבקת לידים'!A3622),IF(הגדרות!$E$2&gt;0,TEXT('הדבקת לידים'!A3622,REPT("0",הגדרות!$E$2)),TEXT('הדבקת לידים'!A3622,"0")),TRIM('הדבקת לידים'!A3622)))</f>
        <v/>
      </c>
      <c r="B3622" s="0" t="str">
        <f aca="false">IF('הדבקת לידים'!B3622="","",IF(ISNUMBER('הדבקת לידים'!B3622),IF(הגדרות!$E$3&gt;0,TEXT('הדבקת לידים'!B3622,REPT("0",הגדרות!$E$3)),TEXT('הדבקת לידים'!B3622,"0")),TRIM('הדבקת לידים'!B3622)))</f>
        <v/>
      </c>
      <c r="C3622" s="0" t="n">
        <f aca="false">IF(OR(A3622&lt;&gt;"",B3622&lt;&gt;""),1,0)</f>
        <v>0</v>
      </c>
      <c r="D3622" s="0" t="str">
        <f aca="false">IF(C3622=1,MOD(ABS(SIN(ROW()*12.9898+'הדבקת לידים'!$F$2*78.233+IFERROR(--RIGHT(A3622,6),LEN(A3622))*0.0137+IFERROR(--RIGHT(B3622,6),LEN(B3622))*0.0071))*43758.5453,1),"")</f>
        <v/>
      </c>
      <c r="E3622" s="0" t="str">
        <f aca="false">IF(C3622=1,INT(MOD(ABS(SIN(D3622*7919.123+ROW()*0.618+'הדבקת לידים'!$F$2*1.3))*43758.5453,1)*1000000)*10000+ROW(),"")</f>
        <v/>
      </c>
      <c r="F3622" s="0" t="str">
        <f aca="false">IF(E3622="","",RANK(E3622,$E$2:$E$5001,1))</f>
        <v/>
      </c>
      <c r="G3622" s="0" t="n">
        <f aca="false">IF(A3622="",0,IF(SUMPRODUCT(--($A$2:$A$5001=A3622))&gt;1,1,0))</f>
        <v>0</v>
      </c>
      <c r="H3622" s="0" t="n">
        <f aca="false">ROW()-1</f>
        <v>3621</v>
      </c>
      <c r="I3622" s="0" t="str">
        <f aca="false">IF(OR(הגדרות!$E$6=0,H3622&gt;הגדרות!$E$5),"",IF(H3622-1&lt;הגדרות!$E$8*(הגדרות!$E$7+1),INT((H3622-1)/(הגדרות!$E$7+1)),הגדרות!$E$8+INT((H3622-1-הגדרות!$E$8*(הגדרות!$E$7+1))/הגדרות!$E$7)))</f>
        <v/>
      </c>
      <c r="J3622" s="0" t="str">
        <f aca="false">IF(I3622="","",IF(H3622-1&lt;הגדרות!$E$8*(הגדרות!$E$7+1),MOD(H3622-1,הגדרות!$E$7+1),MOD(H3622-1-הגדרות!$E$8*(הגדרות!$E$7+1),הגדרות!$E$7)))</f>
        <v/>
      </c>
      <c r="K3622" s="0" t="str">
        <f aca="false">IF(I3622="","",J3622*הגדרות!$E$6+I3622+1)</f>
        <v/>
      </c>
      <c r="L3622" s="0" t="str">
        <f aca="false">IF(K3622="","",MATCH(K3622,$F$2:$F$5001,0))</f>
        <v/>
      </c>
      <c r="M3622" s="0" t="str">
        <f aca="false">IF(I3622="","",INDEX(הגדרות!$A$2:$A$21,MOD(I3622+הגדרות!$E$9,הגדרות!$E$6)+1))</f>
        <v/>
      </c>
    </row>
    <row r="3623" customFormat="false" ht="15" hidden="false" customHeight="false" outlineLevel="0" collapsed="false">
      <c r="A3623" s="0" t="str">
        <f aca="false">IF('הדבקת לידים'!A3623="","",IF(ISNUMBER('הדבקת לידים'!A3623),IF(הגדרות!$E$2&gt;0,TEXT('הדבקת לידים'!A3623,REPT("0",הגדרות!$E$2)),TEXT('הדבקת לידים'!A3623,"0")),TRIM('הדבקת לידים'!A3623)))</f>
        <v/>
      </c>
      <c r="B3623" s="0" t="str">
        <f aca="false">IF('הדבקת לידים'!B3623="","",IF(ISNUMBER('הדבקת לידים'!B3623),IF(הגדרות!$E$3&gt;0,TEXT('הדבקת לידים'!B3623,REPT("0",הגדרות!$E$3)),TEXT('הדבקת לידים'!B3623,"0")),TRIM('הדבקת לידים'!B3623)))</f>
        <v/>
      </c>
      <c r="C3623" s="0" t="n">
        <f aca="false">IF(OR(A3623&lt;&gt;"",B3623&lt;&gt;""),1,0)</f>
        <v>0</v>
      </c>
      <c r="D3623" s="0" t="str">
        <f aca="false">IF(C3623=1,MOD(ABS(SIN(ROW()*12.9898+'הדבקת לידים'!$F$2*78.233+IFERROR(--RIGHT(A3623,6),LEN(A3623))*0.0137+IFERROR(--RIGHT(B3623,6),LEN(B3623))*0.0071))*43758.5453,1),"")</f>
        <v/>
      </c>
      <c r="E3623" s="0" t="str">
        <f aca="false">IF(C3623=1,INT(MOD(ABS(SIN(D3623*7919.123+ROW()*0.618+'הדבקת לידים'!$F$2*1.3))*43758.5453,1)*1000000)*10000+ROW(),"")</f>
        <v/>
      </c>
      <c r="F3623" s="0" t="str">
        <f aca="false">IF(E3623="","",RANK(E3623,$E$2:$E$5001,1))</f>
        <v/>
      </c>
      <c r="G3623" s="0" t="n">
        <f aca="false">IF(A3623="",0,IF(SUMPRODUCT(--($A$2:$A$5001=A3623))&gt;1,1,0))</f>
        <v>0</v>
      </c>
      <c r="H3623" s="0" t="n">
        <f aca="false">ROW()-1</f>
        <v>3622</v>
      </c>
      <c r="I3623" s="0" t="str">
        <f aca="false">IF(OR(הגדרות!$E$6=0,H3623&gt;הגדרות!$E$5),"",IF(H3623-1&lt;הגדרות!$E$8*(הגדרות!$E$7+1),INT((H3623-1)/(הגדרות!$E$7+1)),הגדרות!$E$8+INT((H3623-1-הגדרות!$E$8*(הגדרות!$E$7+1))/הגדרות!$E$7)))</f>
        <v/>
      </c>
      <c r="J3623" s="0" t="str">
        <f aca="false">IF(I3623="","",IF(H3623-1&lt;הגדרות!$E$8*(הגדרות!$E$7+1),MOD(H3623-1,הגדרות!$E$7+1),MOD(H3623-1-הגדרות!$E$8*(הגדרות!$E$7+1),הגדרות!$E$7)))</f>
        <v/>
      </c>
      <c r="K3623" s="0" t="str">
        <f aca="false">IF(I3623="","",J3623*הגדרות!$E$6+I3623+1)</f>
        <v/>
      </c>
      <c r="L3623" s="0" t="str">
        <f aca="false">IF(K3623="","",MATCH(K3623,$F$2:$F$5001,0))</f>
        <v/>
      </c>
      <c r="M3623" s="0" t="str">
        <f aca="false">IF(I3623="","",INDEX(הגדרות!$A$2:$A$21,MOD(I3623+הגדרות!$E$9,הגדרות!$E$6)+1))</f>
        <v/>
      </c>
    </row>
    <row r="3624" customFormat="false" ht="15" hidden="false" customHeight="false" outlineLevel="0" collapsed="false">
      <c r="A3624" s="0" t="str">
        <f aca="false">IF('הדבקת לידים'!A3624="","",IF(ISNUMBER('הדבקת לידים'!A3624),IF(הגדרות!$E$2&gt;0,TEXT('הדבקת לידים'!A3624,REPT("0",הגדרות!$E$2)),TEXT('הדבקת לידים'!A3624,"0")),TRIM('הדבקת לידים'!A3624)))</f>
        <v/>
      </c>
      <c r="B3624" s="0" t="str">
        <f aca="false">IF('הדבקת לידים'!B3624="","",IF(ISNUMBER('הדבקת לידים'!B3624),IF(הגדרות!$E$3&gt;0,TEXT('הדבקת לידים'!B3624,REPT("0",הגדרות!$E$3)),TEXT('הדבקת לידים'!B3624,"0")),TRIM('הדבקת לידים'!B3624)))</f>
        <v/>
      </c>
      <c r="C3624" s="0" t="n">
        <f aca="false">IF(OR(A3624&lt;&gt;"",B3624&lt;&gt;""),1,0)</f>
        <v>0</v>
      </c>
      <c r="D3624" s="0" t="str">
        <f aca="false">IF(C3624=1,MOD(ABS(SIN(ROW()*12.9898+'הדבקת לידים'!$F$2*78.233+IFERROR(--RIGHT(A3624,6),LEN(A3624))*0.0137+IFERROR(--RIGHT(B3624,6),LEN(B3624))*0.0071))*43758.5453,1),"")</f>
        <v/>
      </c>
      <c r="E3624" s="0" t="str">
        <f aca="false">IF(C3624=1,INT(MOD(ABS(SIN(D3624*7919.123+ROW()*0.618+'הדבקת לידים'!$F$2*1.3))*43758.5453,1)*1000000)*10000+ROW(),"")</f>
        <v/>
      </c>
      <c r="F3624" s="0" t="str">
        <f aca="false">IF(E3624="","",RANK(E3624,$E$2:$E$5001,1))</f>
        <v/>
      </c>
      <c r="G3624" s="0" t="n">
        <f aca="false">IF(A3624="",0,IF(SUMPRODUCT(--($A$2:$A$5001=A3624))&gt;1,1,0))</f>
        <v>0</v>
      </c>
      <c r="H3624" s="0" t="n">
        <f aca="false">ROW()-1</f>
        <v>3623</v>
      </c>
      <c r="I3624" s="0" t="str">
        <f aca="false">IF(OR(הגדרות!$E$6=0,H3624&gt;הגדרות!$E$5),"",IF(H3624-1&lt;הגדרות!$E$8*(הגדרות!$E$7+1),INT((H3624-1)/(הגדרות!$E$7+1)),הגדרות!$E$8+INT((H3624-1-הגדרות!$E$8*(הגדרות!$E$7+1))/הגדרות!$E$7)))</f>
        <v/>
      </c>
      <c r="J3624" s="0" t="str">
        <f aca="false">IF(I3624="","",IF(H3624-1&lt;הגדרות!$E$8*(הגדרות!$E$7+1),MOD(H3624-1,הגדרות!$E$7+1),MOD(H3624-1-הגדרות!$E$8*(הגדרות!$E$7+1),הגדרות!$E$7)))</f>
        <v/>
      </c>
      <c r="K3624" s="0" t="str">
        <f aca="false">IF(I3624="","",J3624*הגדרות!$E$6+I3624+1)</f>
        <v/>
      </c>
      <c r="L3624" s="0" t="str">
        <f aca="false">IF(K3624="","",MATCH(K3624,$F$2:$F$5001,0))</f>
        <v/>
      </c>
      <c r="M3624" s="0" t="str">
        <f aca="false">IF(I3624="","",INDEX(הגדרות!$A$2:$A$21,MOD(I3624+הגדרות!$E$9,הגדרות!$E$6)+1))</f>
        <v/>
      </c>
    </row>
    <row r="3625" customFormat="false" ht="15" hidden="false" customHeight="false" outlineLevel="0" collapsed="false">
      <c r="A3625" s="0" t="str">
        <f aca="false">IF('הדבקת לידים'!A3625="","",IF(ISNUMBER('הדבקת לידים'!A3625),IF(הגדרות!$E$2&gt;0,TEXT('הדבקת לידים'!A3625,REPT("0",הגדרות!$E$2)),TEXT('הדבקת לידים'!A3625,"0")),TRIM('הדבקת לידים'!A3625)))</f>
        <v/>
      </c>
      <c r="B3625" s="0" t="str">
        <f aca="false">IF('הדבקת לידים'!B3625="","",IF(ISNUMBER('הדבקת לידים'!B3625),IF(הגדרות!$E$3&gt;0,TEXT('הדבקת לידים'!B3625,REPT("0",הגדרות!$E$3)),TEXT('הדבקת לידים'!B3625,"0")),TRIM('הדבקת לידים'!B3625)))</f>
        <v/>
      </c>
      <c r="C3625" s="0" t="n">
        <f aca="false">IF(OR(A3625&lt;&gt;"",B3625&lt;&gt;""),1,0)</f>
        <v>0</v>
      </c>
      <c r="D3625" s="0" t="str">
        <f aca="false">IF(C3625=1,MOD(ABS(SIN(ROW()*12.9898+'הדבקת לידים'!$F$2*78.233+IFERROR(--RIGHT(A3625,6),LEN(A3625))*0.0137+IFERROR(--RIGHT(B3625,6),LEN(B3625))*0.0071))*43758.5453,1),"")</f>
        <v/>
      </c>
      <c r="E3625" s="0" t="str">
        <f aca="false">IF(C3625=1,INT(MOD(ABS(SIN(D3625*7919.123+ROW()*0.618+'הדבקת לידים'!$F$2*1.3))*43758.5453,1)*1000000)*10000+ROW(),"")</f>
        <v/>
      </c>
      <c r="F3625" s="0" t="str">
        <f aca="false">IF(E3625="","",RANK(E3625,$E$2:$E$5001,1))</f>
        <v/>
      </c>
      <c r="G3625" s="0" t="n">
        <f aca="false">IF(A3625="",0,IF(SUMPRODUCT(--($A$2:$A$5001=A3625))&gt;1,1,0))</f>
        <v>0</v>
      </c>
      <c r="H3625" s="0" t="n">
        <f aca="false">ROW()-1</f>
        <v>3624</v>
      </c>
      <c r="I3625" s="0" t="str">
        <f aca="false">IF(OR(הגדרות!$E$6=0,H3625&gt;הגדרות!$E$5),"",IF(H3625-1&lt;הגדרות!$E$8*(הגדרות!$E$7+1),INT((H3625-1)/(הגדרות!$E$7+1)),הגדרות!$E$8+INT((H3625-1-הגדרות!$E$8*(הגדרות!$E$7+1))/הגדרות!$E$7)))</f>
        <v/>
      </c>
      <c r="J3625" s="0" t="str">
        <f aca="false">IF(I3625="","",IF(H3625-1&lt;הגדרות!$E$8*(הגדרות!$E$7+1),MOD(H3625-1,הגדרות!$E$7+1),MOD(H3625-1-הגדרות!$E$8*(הגדרות!$E$7+1),הגדרות!$E$7)))</f>
        <v/>
      </c>
      <c r="K3625" s="0" t="str">
        <f aca="false">IF(I3625="","",J3625*הגדרות!$E$6+I3625+1)</f>
        <v/>
      </c>
      <c r="L3625" s="0" t="str">
        <f aca="false">IF(K3625="","",MATCH(K3625,$F$2:$F$5001,0))</f>
        <v/>
      </c>
      <c r="M3625" s="0" t="str">
        <f aca="false">IF(I3625="","",INDEX(הגדרות!$A$2:$A$21,MOD(I3625+הגדרות!$E$9,הגדרות!$E$6)+1))</f>
        <v/>
      </c>
    </row>
    <row r="3626" customFormat="false" ht="15" hidden="false" customHeight="false" outlineLevel="0" collapsed="false">
      <c r="A3626" s="0" t="str">
        <f aca="false">IF('הדבקת לידים'!A3626="","",IF(ISNUMBER('הדבקת לידים'!A3626),IF(הגדרות!$E$2&gt;0,TEXT('הדבקת לידים'!A3626,REPT("0",הגדרות!$E$2)),TEXT('הדבקת לידים'!A3626,"0")),TRIM('הדבקת לידים'!A3626)))</f>
        <v/>
      </c>
      <c r="B3626" s="0" t="str">
        <f aca="false">IF('הדבקת לידים'!B3626="","",IF(ISNUMBER('הדבקת לידים'!B3626),IF(הגדרות!$E$3&gt;0,TEXT('הדבקת לידים'!B3626,REPT("0",הגדרות!$E$3)),TEXT('הדבקת לידים'!B3626,"0")),TRIM('הדבקת לידים'!B3626)))</f>
        <v/>
      </c>
      <c r="C3626" s="0" t="n">
        <f aca="false">IF(OR(A3626&lt;&gt;"",B3626&lt;&gt;""),1,0)</f>
        <v>0</v>
      </c>
      <c r="D3626" s="0" t="str">
        <f aca="false">IF(C3626=1,MOD(ABS(SIN(ROW()*12.9898+'הדבקת לידים'!$F$2*78.233+IFERROR(--RIGHT(A3626,6),LEN(A3626))*0.0137+IFERROR(--RIGHT(B3626,6),LEN(B3626))*0.0071))*43758.5453,1),"")</f>
        <v/>
      </c>
      <c r="E3626" s="0" t="str">
        <f aca="false">IF(C3626=1,INT(MOD(ABS(SIN(D3626*7919.123+ROW()*0.618+'הדבקת לידים'!$F$2*1.3))*43758.5453,1)*1000000)*10000+ROW(),"")</f>
        <v/>
      </c>
      <c r="F3626" s="0" t="str">
        <f aca="false">IF(E3626="","",RANK(E3626,$E$2:$E$5001,1))</f>
        <v/>
      </c>
      <c r="G3626" s="0" t="n">
        <f aca="false">IF(A3626="",0,IF(SUMPRODUCT(--($A$2:$A$5001=A3626))&gt;1,1,0))</f>
        <v>0</v>
      </c>
      <c r="H3626" s="0" t="n">
        <f aca="false">ROW()-1</f>
        <v>3625</v>
      </c>
      <c r="I3626" s="0" t="str">
        <f aca="false">IF(OR(הגדרות!$E$6=0,H3626&gt;הגדרות!$E$5),"",IF(H3626-1&lt;הגדרות!$E$8*(הגדרות!$E$7+1),INT((H3626-1)/(הגדרות!$E$7+1)),הגדרות!$E$8+INT((H3626-1-הגדרות!$E$8*(הגדרות!$E$7+1))/הגדרות!$E$7)))</f>
        <v/>
      </c>
      <c r="J3626" s="0" t="str">
        <f aca="false">IF(I3626="","",IF(H3626-1&lt;הגדרות!$E$8*(הגדרות!$E$7+1),MOD(H3626-1,הגדרות!$E$7+1),MOD(H3626-1-הגדרות!$E$8*(הגדרות!$E$7+1),הגדרות!$E$7)))</f>
        <v/>
      </c>
      <c r="K3626" s="0" t="str">
        <f aca="false">IF(I3626="","",J3626*הגדרות!$E$6+I3626+1)</f>
        <v/>
      </c>
      <c r="L3626" s="0" t="str">
        <f aca="false">IF(K3626="","",MATCH(K3626,$F$2:$F$5001,0))</f>
        <v/>
      </c>
      <c r="M3626" s="0" t="str">
        <f aca="false">IF(I3626="","",INDEX(הגדרות!$A$2:$A$21,MOD(I3626+הגדרות!$E$9,הגדרות!$E$6)+1))</f>
        <v/>
      </c>
    </row>
    <row r="3627" customFormat="false" ht="15" hidden="false" customHeight="false" outlineLevel="0" collapsed="false">
      <c r="A3627" s="0" t="str">
        <f aca="false">IF('הדבקת לידים'!A3627="","",IF(ISNUMBER('הדבקת לידים'!A3627),IF(הגדרות!$E$2&gt;0,TEXT('הדבקת לידים'!A3627,REPT("0",הגדרות!$E$2)),TEXT('הדבקת לידים'!A3627,"0")),TRIM('הדבקת לידים'!A3627)))</f>
        <v/>
      </c>
      <c r="B3627" s="0" t="str">
        <f aca="false">IF('הדבקת לידים'!B3627="","",IF(ISNUMBER('הדבקת לידים'!B3627),IF(הגדרות!$E$3&gt;0,TEXT('הדבקת לידים'!B3627,REPT("0",הגדרות!$E$3)),TEXT('הדבקת לידים'!B3627,"0")),TRIM('הדבקת לידים'!B3627)))</f>
        <v/>
      </c>
      <c r="C3627" s="0" t="n">
        <f aca="false">IF(OR(A3627&lt;&gt;"",B3627&lt;&gt;""),1,0)</f>
        <v>0</v>
      </c>
      <c r="D3627" s="0" t="str">
        <f aca="false">IF(C3627=1,MOD(ABS(SIN(ROW()*12.9898+'הדבקת לידים'!$F$2*78.233+IFERROR(--RIGHT(A3627,6),LEN(A3627))*0.0137+IFERROR(--RIGHT(B3627,6),LEN(B3627))*0.0071))*43758.5453,1),"")</f>
        <v/>
      </c>
      <c r="E3627" s="0" t="str">
        <f aca="false">IF(C3627=1,INT(MOD(ABS(SIN(D3627*7919.123+ROW()*0.618+'הדבקת לידים'!$F$2*1.3))*43758.5453,1)*1000000)*10000+ROW(),"")</f>
        <v/>
      </c>
      <c r="F3627" s="0" t="str">
        <f aca="false">IF(E3627="","",RANK(E3627,$E$2:$E$5001,1))</f>
        <v/>
      </c>
      <c r="G3627" s="0" t="n">
        <f aca="false">IF(A3627="",0,IF(SUMPRODUCT(--($A$2:$A$5001=A3627))&gt;1,1,0))</f>
        <v>0</v>
      </c>
      <c r="H3627" s="0" t="n">
        <f aca="false">ROW()-1</f>
        <v>3626</v>
      </c>
      <c r="I3627" s="0" t="str">
        <f aca="false">IF(OR(הגדרות!$E$6=0,H3627&gt;הגדרות!$E$5),"",IF(H3627-1&lt;הגדרות!$E$8*(הגדרות!$E$7+1),INT((H3627-1)/(הגדרות!$E$7+1)),הגדרות!$E$8+INT((H3627-1-הגדרות!$E$8*(הגדרות!$E$7+1))/הגדרות!$E$7)))</f>
        <v/>
      </c>
      <c r="J3627" s="0" t="str">
        <f aca="false">IF(I3627="","",IF(H3627-1&lt;הגדרות!$E$8*(הגדרות!$E$7+1),MOD(H3627-1,הגדרות!$E$7+1),MOD(H3627-1-הגדרות!$E$8*(הגדרות!$E$7+1),הגדרות!$E$7)))</f>
        <v/>
      </c>
      <c r="K3627" s="0" t="str">
        <f aca="false">IF(I3627="","",J3627*הגדרות!$E$6+I3627+1)</f>
        <v/>
      </c>
      <c r="L3627" s="0" t="str">
        <f aca="false">IF(K3627="","",MATCH(K3627,$F$2:$F$5001,0))</f>
        <v/>
      </c>
      <c r="M3627" s="0" t="str">
        <f aca="false">IF(I3627="","",INDEX(הגדרות!$A$2:$A$21,MOD(I3627+הגדרות!$E$9,הגדרות!$E$6)+1))</f>
        <v/>
      </c>
    </row>
    <row r="3628" customFormat="false" ht="15" hidden="false" customHeight="false" outlineLevel="0" collapsed="false">
      <c r="A3628" s="0" t="str">
        <f aca="false">IF('הדבקת לידים'!A3628="","",IF(ISNUMBER('הדבקת לידים'!A3628),IF(הגדרות!$E$2&gt;0,TEXT('הדבקת לידים'!A3628,REPT("0",הגדרות!$E$2)),TEXT('הדבקת לידים'!A3628,"0")),TRIM('הדבקת לידים'!A3628)))</f>
        <v/>
      </c>
      <c r="B3628" s="0" t="str">
        <f aca="false">IF('הדבקת לידים'!B3628="","",IF(ISNUMBER('הדבקת לידים'!B3628),IF(הגדרות!$E$3&gt;0,TEXT('הדבקת לידים'!B3628,REPT("0",הגדרות!$E$3)),TEXT('הדבקת לידים'!B3628,"0")),TRIM('הדבקת לידים'!B3628)))</f>
        <v/>
      </c>
      <c r="C3628" s="0" t="n">
        <f aca="false">IF(OR(A3628&lt;&gt;"",B3628&lt;&gt;""),1,0)</f>
        <v>0</v>
      </c>
      <c r="D3628" s="0" t="str">
        <f aca="false">IF(C3628=1,MOD(ABS(SIN(ROW()*12.9898+'הדבקת לידים'!$F$2*78.233+IFERROR(--RIGHT(A3628,6),LEN(A3628))*0.0137+IFERROR(--RIGHT(B3628,6),LEN(B3628))*0.0071))*43758.5453,1),"")</f>
        <v/>
      </c>
      <c r="E3628" s="0" t="str">
        <f aca="false">IF(C3628=1,INT(MOD(ABS(SIN(D3628*7919.123+ROW()*0.618+'הדבקת לידים'!$F$2*1.3))*43758.5453,1)*1000000)*10000+ROW(),"")</f>
        <v/>
      </c>
      <c r="F3628" s="0" t="str">
        <f aca="false">IF(E3628="","",RANK(E3628,$E$2:$E$5001,1))</f>
        <v/>
      </c>
      <c r="G3628" s="0" t="n">
        <f aca="false">IF(A3628="",0,IF(SUMPRODUCT(--($A$2:$A$5001=A3628))&gt;1,1,0))</f>
        <v>0</v>
      </c>
      <c r="H3628" s="0" t="n">
        <f aca="false">ROW()-1</f>
        <v>3627</v>
      </c>
      <c r="I3628" s="0" t="str">
        <f aca="false">IF(OR(הגדרות!$E$6=0,H3628&gt;הגדרות!$E$5),"",IF(H3628-1&lt;הגדרות!$E$8*(הגדרות!$E$7+1),INT((H3628-1)/(הגדרות!$E$7+1)),הגדרות!$E$8+INT((H3628-1-הגדרות!$E$8*(הגדרות!$E$7+1))/הגדרות!$E$7)))</f>
        <v/>
      </c>
      <c r="J3628" s="0" t="str">
        <f aca="false">IF(I3628="","",IF(H3628-1&lt;הגדרות!$E$8*(הגדרות!$E$7+1),MOD(H3628-1,הגדרות!$E$7+1),MOD(H3628-1-הגדרות!$E$8*(הגדרות!$E$7+1),הגדרות!$E$7)))</f>
        <v/>
      </c>
      <c r="K3628" s="0" t="str">
        <f aca="false">IF(I3628="","",J3628*הגדרות!$E$6+I3628+1)</f>
        <v/>
      </c>
      <c r="L3628" s="0" t="str">
        <f aca="false">IF(K3628="","",MATCH(K3628,$F$2:$F$5001,0))</f>
        <v/>
      </c>
      <c r="M3628" s="0" t="str">
        <f aca="false">IF(I3628="","",INDEX(הגדרות!$A$2:$A$21,MOD(I3628+הגדרות!$E$9,הגדרות!$E$6)+1))</f>
        <v/>
      </c>
    </row>
    <row r="3629" customFormat="false" ht="15" hidden="false" customHeight="false" outlineLevel="0" collapsed="false">
      <c r="A3629" s="0" t="str">
        <f aca="false">IF('הדבקת לידים'!A3629="","",IF(ISNUMBER('הדבקת לידים'!A3629),IF(הגדרות!$E$2&gt;0,TEXT('הדבקת לידים'!A3629,REPT("0",הגדרות!$E$2)),TEXT('הדבקת לידים'!A3629,"0")),TRIM('הדבקת לידים'!A3629)))</f>
        <v/>
      </c>
      <c r="B3629" s="0" t="str">
        <f aca="false">IF('הדבקת לידים'!B3629="","",IF(ISNUMBER('הדבקת לידים'!B3629),IF(הגדרות!$E$3&gt;0,TEXT('הדבקת לידים'!B3629,REPT("0",הגדרות!$E$3)),TEXT('הדבקת לידים'!B3629,"0")),TRIM('הדבקת לידים'!B3629)))</f>
        <v/>
      </c>
      <c r="C3629" s="0" t="n">
        <f aca="false">IF(OR(A3629&lt;&gt;"",B3629&lt;&gt;""),1,0)</f>
        <v>0</v>
      </c>
      <c r="D3629" s="0" t="str">
        <f aca="false">IF(C3629=1,MOD(ABS(SIN(ROW()*12.9898+'הדבקת לידים'!$F$2*78.233+IFERROR(--RIGHT(A3629,6),LEN(A3629))*0.0137+IFERROR(--RIGHT(B3629,6),LEN(B3629))*0.0071))*43758.5453,1),"")</f>
        <v/>
      </c>
      <c r="E3629" s="0" t="str">
        <f aca="false">IF(C3629=1,INT(MOD(ABS(SIN(D3629*7919.123+ROW()*0.618+'הדבקת לידים'!$F$2*1.3))*43758.5453,1)*1000000)*10000+ROW(),"")</f>
        <v/>
      </c>
      <c r="F3629" s="0" t="str">
        <f aca="false">IF(E3629="","",RANK(E3629,$E$2:$E$5001,1))</f>
        <v/>
      </c>
      <c r="G3629" s="0" t="n">
        <f aca="false">IF(A3629="",0,IF(SUMPRODUCT(--($A$2:$A$5001=A3629))&gt;1,1,0))</f>
        <v>0</v>
      </c>
      <c r="H3629" s="0" t="n">
        <f aca="false">ROW()-1</f>
        <v>3628</v>
      </c>
      <c r="I3629" s="0" t="str">
        <f aca="false">IF(OR(הגדרות!$E$6=0,H3629&gt;הגדרות!$E$5),"",IF(H3629-1&lt;הגדרות!$E$8*(הגדרות!$E$7+1),INT((H3629-1)/(הגדרות!$E$7+1)),הגדרות!$E$8+INT((H3629-1-הגדרות!$E$8*(הגדרות!$E$7+1))/הגדרות!$E$7)))</f>
        <v/>
      </c>
      <c r="J3629" s="0" t="str">
        <f aca="false">IF(I3629="","",IF(H3629-1&lt;הגדרות!$E$8*(הגדרות!$E$7+1),MOD(H3629-1,הגדרות!$E$7+1),MOD(H3629-1-הגדרות!$E$8*(הגדרות!$E$7+1),הגדרות!$E$7)))</f>
        <v/>
      </c>
      <c r="K3629" s="0" t="str">
        <f aca="false">IF(I3629="","",J3629*הגדרות!$E$6+I3629+1)</f>
        <v/>
      </c>
      <c r="L3629" s="0" t="str">
        <f aca="false">IF(K3629="","",MATCH(K3629,$F$2:$F$5001,0))</f>
        <v/>
      </c>
      <c r="M3629" s="0" t="str">
        <f aca="false">IF(I3629="","",INDEX(הגדרות!$A$2:$A$21,MOD(I3629+הגדרות!$E$9,הגדרות!$E$6)+1))</f>
        <v/>
      </c>
    </row>
    <row r="3630" customFormat="false" ht="15" hidden="false" customHeight="false" outlineLevel="0" collapsed="false">
      <c r="A3630" s="0" t="str">
        <f aca="false">IF('הדבקת לידים'!A3630="","",IF(ISNUMBER('הדבקת לידים'!A3630),IF(הגדרות!$E$2&gt;0,TEXT('הדבקת לידים'!A3630,REPT("0",הגדרות!$E$2)),TEXT('הדבקת לידים'!A3630,"0")),TRIM('הדבקת לידים'!A3630)))</f>
        <v/>
      </c>
      <c r="B3630" s="0" t="str">
        <f aca="false">IF('הדבקת לידים'!B3630="","",IF(ISNUMBER('הדבקת לידים'!B3630),IF(הגדרות!$E$3&gt;0,TEXT('הדבקת לידים'!B3630,REPT("0",הגדרות!$E$3)),TEXT('הדבקת לידים'!B3630,"0")),TRIM('הדבקת לידים'!B3630)))</f>
        <v/>
      </c>
      <c r="C3630" s="0" t="n">
        <f aca="false">IF(OR(A3630&lt;&gt;"",B3630&lt;&gt;""),1,0)</f>
        <v>0</v>
      </c>
      <c r="D3630" s="0" t="str">
        <f aca="false">IF(C3630=1,MOD(ABS(SIN(ROW()*12.9898+'הדבקת לידים'!$F$2*78.233+IFERROR(--RIGHT(A3630,6),LEN(A3630))*0.0137+IFERROR(--RIGHT(B3630,6),LEN(B3630))*0.0071))*43758.5453,1),"")</f>
        <v/>
      </c>
      <c r="E3630" s="0" t="str">
        <f aca="false">IF(C3630=1,INT(MOD(ABS(SIN(D3630*7919.123+ROW()*0.618+'הדבקת לידים'!$F$2*1.3))*43758.5453,1)*1000000)*10000+ROW(),"")</f>
        <v/>
      </c>
      <c r="F3630" s="0" t="str">
        <f aca="false">IF(E3630="","",RANK(E3630,$E$2:$E$5001,1))</f>
        <v/>
      </c>
      <c r="G3630" s="0" t="n">
        <f aca="false">IF(A3630="",0,IF(SUMPRODUCT(--($A$2:$A$5001=A3630))&gt;1,1,0))</f>
        <v>0</v>
      </c>
      <c r="H3630" s="0" t="n">
        <f aca="false">ROW()-1</f>
        <v>3629</v>
      </c>
      <c r="I3630" s="0" t="str">
        <f aca="false">IF(OR(הגדרות!$E$6=0,H3630&gt;הגדרות!$E$5),"",IF(H3630-1&lt;הגדרות!$E$8*(הגדרות!$E$7+1),INT((H3630-1)/(הגדרות!$E$7+1)),הגדרות!$E$8+INT((H3630-1-הגדרות!$E$8*(הגדרות!$E$7+1))/הגדרות!$E$7)))</f>
        <v/>
      </c>
      <c r="J3630" s="0" t="str">
        <f aca="false">IF(I3630="","",IF(H3630-1&lt;הגדרות!$E$8*(הגדרות!$E$7+1),MOD(H3630-1,הגדרות!$E$7+1),MOD(H3630-1-הגדרות!$E$8*(הגדרות!$E$7+1),הגדרות!$E$7)))</f>
        <v/>
      </c>
      <c r="K3630" s="0" t="str">
        <f aca="false">IF(I3630="","",J3630*הגדרות!$E$6+I3630+1)</f>
        <v/>
      </c>
      <c r="L3630" s="0" t="str">
        <f aca="false">IF(K3630="","",MATCH(K3630,$F$2:$F$5001,0))</f>
        <v/>
      </c>
      <c r="M3630" s="0" t="str">
        <f aca="false">IF(I3630="","",INDEX(הגדרות!$A$2:$A$21,MOD(I3630+הגדרות!$E$9,הגדרות!$E$6)+1))</f>
        <v/>
      </c>
    </row>
    <row r="3631" customFormat="false" ht="15" hidden="false" customHeight="false" outlineLevel="0" collapsed="false">
      <c r="A3631" s="0" t="str">
        <f aca="false">IF('הדבקת לידים'!A3631="","",IF(ISNUMBER('הדבקת לידים'!A3631),IF(הגדרות!$E$2&gt;0,TEXT('הדבקת לידים'!A3631,REPT("0",הגדרות!$E$2)),TEXT('הדבקת לידים'!A3631,"0")),TRIM('הדבקת לידים'!A3631)))</f>
        <v/>
      </c>
      <c r="B3631" s="0" t="str">
        <f aca="false">IF('הדבקת לידים'!B3631="","",IF(ISNUMBER('הדבקת לידים'!B3631),IF(הגדרות!$E$3&gt;0,TEXT('הדבקת לידים'!B3631,REPT("0",הגדרות!$E$3)),TEXT('הדבקת לידים'!B3631,"0")),TRIM('הדבקת לידים'!B3631)))</f>
        <v/>
      </c>
      <c r="C3631" s="0" t="n">
        <f aca="false">IF(OR(A3631&lt;&gt;"",B3631&lt;&gt;""),1,0)</f>
        <v>0</v>
      </c>
      <c r="D3631" s="0" t="str">
        <f aca="false">IF(C3631=1,MOD(ABS(SIN(ROW()*12.9898+'הדבקת לידים'!$F$2*78.233+IFERROR(--RIGHT(A3631,6),LEN(A3631))*0.0137+IFERROR(--RIGHT(B3631,6),LEN(B3631))*0.0071))*43758.5453,1),"")</f>
        <v/>
      </c>
      <c r="E3631" s="0" t="str">
        <f aca="false">IF(C3631=1,INT(MOD(ABS(SIN(D3631*7919.123+ROW()*0.618+'הדבקת לידים'!$F$2*1.3))*43758.5453,1)*1000000)*10000+ROW(),"")</f>
        <v/>
      </c>
      <c r="F3631" s="0" t="str">
        <f aca="false">IF(E3631="","",RANK(E3631,$E$2:$E$5001,1))</f>
        <v/>
      </c>
      <c r="G3631" s="0" t="n">
        <f aca="false">IF(A3631="",0,IF(SUMPRODUCT(--($A$2:$A$5001=A3631))&gt;1,1,0))</f>
        <v>0</v>
      </c>
      <c r="H3631" s="0" t="n">
        <f aca="false">ROW()-1</f>
        <v>3630</v>
      </c>
      <c r="I3631" s="0" t="str">
        <f aca="false">IF(OR(הגדרות!$E$6=0,H3631&gt;הגדרות!$E$5),"",IF(H3631-1&lt;הגדרות!$E$8*(הגדרות!$E$7+1),INT((H3631-1)/(הגדרות!$E$7+1)),הגדרות!$E$8+INT((H3631-1-הגדרות!$E$8*(הגדרות!$E$7+1))/הגדרות!$E$7)))</f>
        <v/>
      </c>
      <c r="J3631" s="0" t="str">
        <f aca="false">IF(I3631="","",IF(H3631-1&lt;הגדרות!$E$8*(הגדרות!$E$7+1),MOD(H3631-1,הגדרות!$E$7+1),MOD(H3631-1-הגדרות!$E$8*(הגדרות!$E$7+1),הגדרות!$E$7)))</f>
        <v/>
      </c>
      <c r="K3631" s="0" t="str">
        <f aca="false">IF(I3631="","",J3631*הגדרות!$E$6+I3631+1)</f>
        <v/>
      </c>
      <c r="L3631" s="0" t="str">
        <f aca="false">IF(K3631="","",MATCH(K3631,$F$2:$F$5001,0))</f>
        <v/>
      </c>
      <c r="M3631" s="0" t="str">
        <f aca="false">IF(I3631="","",INDEX(הגדרות!$A$2:$A$21,MOD(I3631+הגדרות!$E$9,הגדרות!$E$6)+1))</f>
        <v/>
      </c>
    </row>
    <row r="3632" customFormat="false" ht="15" hidden="false" customHeight="false" outlineLevel="0" collapsed="false">
      <c r="A3632" s="0" t="str">
        <f aca="false">IF('הדבקת לידים'!A3632="","",IF(ISNUMBER('הדבקת לידים'!A3632),IF(הגדרות!$E$2&gt;0,TEXT('הדבקת לידים'!A3632,REPT("0",הגדרות!$E$2)),TEXT('הדבקת לידים'!A3632,"0")),TRIM('הדבקת לידים'!A3632)))</f>
        <v/>
      </c>
      <c r="B3632" s="0" t="str">
        <f aca="false">IF('הדבקת לידים'!B3632="","",IF(ISNUMBER('הדבקת לידים'!B3632),IF(הגדרות!$E$3&gt;0,TEXT('הדבקת לידים'!B3632,REPT("0",הגדרות!$E$3)),TEXT('הדבקת לידים'!B3632,"0")),TRIM('הדבקת לידים'!B3632)))</f>
        <v/>
      </c>
      <c r="C3632" s="0" t="n">
        <f aca="false">IF(OR(A3632&lt;&gt;"",B3632&lt;&gt;""),1,0)</f>
        <v>0</v>
      </c>
      <c r="D3632" s="0" t="str">
        <f aca="false">IF(C3632=1,MOD(ABS(SIN(ROW()*12.9898+'הדבקת לידים'!$F$2*78.233+IFERROR(--RIGHT(A3632,6),LEN(A3632))*0.0137+IFERROR(--RIGHT(B3632,6),LEN(B3632))*0.0071))*43758.5453,1),"")</f>
        <v/>
      </c>
      <c r="E3632" s="0" t="str">
        <f aca="false">IF(C3632=1,INT(MOD(ABS(SIN(D3632*7919.123+ROW()*0.618+'הדבקת לידים'!$F$2*1.3))*43758.5453,1)*1000000)*10000+ROW(),"")</f>
        <v/>
      </c>
      <c r="F3632" s="0" t="str">
        <f aca="false">IF(E3632="","",RANK(E3632,$E$2:$E$5001,1))</f>
        <v/>
      </c>
      <c r="G3632" s="0" t="n">
        <f aca="false">IF(A3632="",0,IF(SUMPRODUCT(--($A$2:$A$5001=A3632))&gt;1,1,0))</f>
        <v>0</v>
      </c>
      <c r="H3632" s="0" t="n">
        <f aca="false">ROW()-1</f>
        <v>3631</v>
      </c>
      <c r="I3632" s="0" t="str">
        <f aca="false">IF(OR(הגדרות!$E$6=0,H3632&gt;הגדרות!$E$5),"",IF(H3632-1&lt;הגדרות!$E$8*(הגדרות!$E$7+1),INT((H3632-1)/(הגדרות!$E$7+1)),הגדרות!$E$8+INT((H3632-1-הגדרות!$E$8*(הגדרות!$E$7+1))/הגדרות!$E$7)))</f>
        <v/>
      </c>
      <c r="J3632" s="0" t="str">
        <f aca="false">IF(I3632="","",IF(H3632-1&lt;הגדרות!$E$8*(הגדרות!$E$7+1),MOD(H3632-1,הגדרות!$E$7+1),MOD(H3632-1-הגדרות!$E$8*(הגדרות!$E$7+1),הגדרות!$E$7)))</f>
        <v/>
      </c>
      <c r="K3632" s="0" t="str">
        <f aca="false">IF(I3632="","",J3632*הגדרות!$E$6+I3632+1)</f>
        <v/>
      </c>
      <c r="L3632" s="0" t="str">
        <f aca="false">IF(K3632="","",MATCH(K3632,$F$2:$F$5001,0))</f>
        <v/>
      </c>
      <c r="M3632" s="0" t="str">
        <f aca="false">IF(I3632="","",INDEX(הגדרות!$A$2:$A$21,MOD(I3632+הגדרות!$E$9,הגדרות!$E$6)+1))</f>
        <v/>
      </c>
    </row>
    <row r="3633" customFormat="false" ht="15" hidden="false" customHeight="false" outlineLevel="0" collapsed="false">
      <c r="A3633" s="0" t="str">
        <f aca="false">IF('הדבקת לידים'!A3633="","",IF(ISNUMBER('הדבקת לידים'!A3633),IF(הגדרות!$E$2&gt;0,TEXT('הדבקת לידים'!A3633,REPT("0",הגדרות!$E$2)),TEXT('הדבקת לידים'!A3633,"0")),TRIM('הדבקת לידים'!A3633)))</f>
        <v/>
      </c>
      <c r="B3633" s="0" t="str">
        <f aca="false">IF('הדבקת לידים'!B3633="","",IF(ISNUMBER('הדבקת לידים'!B3633),IF(הגדרות!$E$3&gt;0,TEXT('הדבקת לידים'!B3633,REPT("0",הגדרות!$E$3)),TEXT('הדבקת לידים'!B3633,"0")),TRIM('הדבקת לידים'!B3633)))</f>
        <v/>
      </c>
      <c r="C3633" s="0" t="n">
        <f aca="false">IF(OR(A3633&lt;&gt;"",B3633&lt;&gt;""),1,0)</f>
        <v>0</v>
      </c>
      <c r="D3633" s="0" t="str">
        <f aca="false">IF(C3633=1,MOD(ABS(SIN(ROW()*12.9898+'הדבקת לידים'!$F$2*78.233+IFERROR(--RIGHT(A3633,6),LEN(A3633))*0.0137+IFERROR(--RIGHT(B3633,6),LEN(B3633))*0.0071))*43758.5453,1),"")</f>
        <v/>
      </c>
      <c r="E3633" s="0" t="str">
        <f aca="false">IF(C3633=1,INT(MOD(ABS(SIN(D3633*7919.123+ROW()*0.618+'הדבקת לידים'!$F$2*1.3))*43758.5453,1)*1000000)*10000+ROW(),"")</f>
        <v/>
      </c>
      <c r="F3633" s="0" t="str">
        <f aca="false">IF(E3633="","",RANK(E3633,$E$2:$E$5001,1))</f>
        <v/>
      </c>
      <c r="G3633" s="0" t="n">
        <f aca="false">IF(A3633="",0,IF(SUMPRODUCT(--($A$2:$A$5001=A3633))&gt;1,1,0))</f>
        <v>0</v>
      </c>
      <c r="H3633" s="0" t="n">
        <f aca="false">ROW()-1</f>
        <v>3632</v>
      </c>
      <c r="I3633" s="0" t="str">
        <f aca="false">IF(OR(הגדרות!$E$6=0,H3633&gt;הגדרות!$E$5),"",IF(H3633-1&lt;הגדרות!$E$8*(הגדרות!$E$7+1),INT((H3633-1)/(הגדרות!$E$7+1)),הגדרות!$E$8+INT((H3633-1-הגדרות!$E$8*(הגדרות!$E$7+1))/הגדרות!$E$7)))</f>
        <v/>
      </c>
      <c r="J3633" s="0" t="str">
        <f aca="false">IF(I3633="","",IF(H3633-1&lt;הגדרות!$E$8*(הגדרות!$E$7+1),MOD(H3633-1,הגדרות!$E$7+1),MOD(H3633-1-הגדרות!$E$8*(הגדרות!$E$7+1),הגדרות!$E$7)))</f>
        <v/>
      </c>
      <c r="K3633" s="0" t="str">
        <f aca="false">IF(I3633="","",J3633*הגדרות!$E$6+I3633+1)</f>
        <v/>
      </c>
      <c r="L3633" s="0" t="str">
        <f aca="false">IF(K3633="","",MATCH(K3633,$F$2:$F$5001,0))</f>
        <v/>
      </c>
      <c r="M3633" s="0" t="str">
        <f aca="false">IF(I3633="","",INDEX(הגדרות!$A$2:$A$21,MOD(I3633+הגדרות!$E$9,הגדרות!$E$6)+1))</f>
        <v/>
      </c>
    </row>
    <row r="3634" customFormat="false" ht="15" hidden="false" customHeight="false" outlineLevel="0" collapsed="false">
      <c r="A3634" s="0" t="str">
        <f aca="false">IF('הדבקת לידים'!A3634="","",IF(ISNUMBER('הדבקת לידים'!A3634),IF(הגדרות!$E$2&gt;0,TEXT('הדבקת לידים'!A3634,REPT("0",הגדרות!$E$2)),TEXT('הדבקת לידים'!A3634,"0")),TRIM('הדבקת לידים'!A3634)))</f>
        <v/>
      </c>
      <c r="B3634" s="0" t="str">
        <f aca="false">IF('הדבקת לידים'!B3634="","",IF(ISNUMBER('הדבקת לידים'!B3634),IF(הגדרות!$E$3&gt;0,TEXT('הדבקת לידים'!B3634,REPT("0",הגדרות!$E$3)),TEXT('הדבקת לידים'!B3634,"0")),TRIM('הדבקת לידים'!B3634)))</f>
        <v/>
      </c>
      <c r="C3634" s="0" t="n">
        <f aca="false">IF(OR(A3634&lt;&gt;"",B3634&lt;&gt;""),1,0)</f>
        <v>0</v>
      </c>
      <c r="D3634" s="0" t="str">
        <f aca="false">IF(C3634=1,MOD(ABS(SIN(ROW()*12.9898+'הדבקת לידים'!$F$2*78.233+IFERROR(--RIGHT(A3634,6),LEN(A3634))*0.0137+IFERROR(--RIGHT(B3634,6),LEN(B3634))*0.0071))*43758.5453,1),"")</f>
        <v/>
      </c>
      <c r="E3634" s="0" t="str">
        <f aca="false">IF(C3634=1,INT(MOD(ABS(SIN(D3634*7919.123+ROW()*0.618+'הדבקת לידים'!$F$2*1.3))*43758.5453,1)*1000000)*10000+ROW(),"")</f>
        <v/>
      </c>
      <c r="F3634" s="0" t="str">
        <f aca="false">IF(E3634="","",RANK(E3634,$E$2:$E$5001,1))</f>
        <v/>
      </c>
      <c r="G3634" s="0" t="n">
        <f aca="false">IF(A3634="",0,IF(SUMPRODUCT(--($A$2:$A$5001=A3634))&gt;1,1,0))</f>
        <v>0</v>
      </c>
      <c r="H3634" s="0" t="n">
        <f aca="false">ROW()-1</f>
        <v>3633</v>
      </c>
      <c r="I3634" s="0" t="str">
        <f aca="false">IF(OR(הגדרות!$E$6=0,H3634&gt;הגדרות!$E$5),"",IF(H3634-1&lt;הגדרות!$E$8*(הגדרות!$E$7+1),INT((H3634-1)/(הגדרות!$E$7+1)),הגדרות!$E$8+INT((H3634-1-הגדרות!$E$8*(הגדרות!$E$7+1))/הגדרות!$E$7)))</f>
        <v/>
      </c>
      <c r="J3634" s="0" t="str">
        <f aca="false">IF(I3634="","",IF(H3634-1&lt;הגדרות!$E$8*(הגדרות!$E$7+1),MOD(H3634-1,הגדרות!$E$7+1),MOD(H3634-1-הגדרות!$E$8*(הגדרות!$E$7+1),הגדרות!$E$7)))</f>
        <v/>
      </c>
      <c r="K3634" s="0" t="str">
        <f aca="false">IF(I3634="","",J3634*הגדרות!$E$6+I3634+1)</f>
        <v/>
      </c>
      <c r="L3634" s="0" t="str">
        <f aca="false">IF(K3634="","",MATCH(K3634,$F$2:$F$5001,0))</f>
        <v/>
      </c>
      <c r="M3634" s="0" t="str">
        <f aca="false">IF(I3634="","",INDEX(הגדרות!$A$2:$A$21,MOD(I3634+הגדרות!$E$9,הגדרות!$E$6)+1))</f>
        <v/>
      </c>
    </row>
    <row r="3635" customFormat="false" ht="15" hidden="false" customHeight="false" outlineLevel="0" collapsed="false">
      <c r="A3635" s="0" t="str">
        <f aca="false">IF('הדבקת לידים'!A3635="","",IF(ISNUMBER('הדבקת לידים'!A3635),IF(הגדרות!$E$2&gt;0,TEXT('הדבקת לידים'!A3635,REPT("0",הגדרות!$E$2)),TEXT('הדבקת לידים'!A3635,"0")),TRIM('הדבקת לידים'!A3635)))</f>
        <v/>
      </c>
      <c r="B3635" s="0" t="str">
        <f aca="false">IF('הדבקת לידים'!B3635="","",IF(ISNUMBER('הדבקת לידים'!B3635),IF(הגדרות!$E$3&gt;0,TEXT('הדבקת לידים'!B3635,REPT("0",הגדרות!$E$3)),TEXT('הדבקת לידים'!B3635,"0")),TRIM('הדבקת לידים'!B3635)))</f>
        <v/>
      </c>
      <c r="C3635" s="0" t="n">
        <f aca="false">IF(OR(A3635&lt;&gt;"",B3635&lt;&gt;""),1,0)</f>
        <v>0</v>
      </c>
      <c r="D3635" s="0" t="str">
        <f aca="false">IF(C3635=1,MOD(ABS(SIN(ROW()*12.9898+'הדבקת לידים'!$F$2*78.233+IFERROR(--RIGHT(A3635,6),LEN(A3635))*0.0137+IFERROR(--RIGHT(B3635,6),LEN(B3635))*0.0071))*43758.5453,1),"")</f>
        <v/>
      </c>
      <c r="E3635" s="0" t="str">
        <f aca="false">IF(C3635=1,INT(MOD(ABS(SIN(D3635*7919.123+ROW()*0.618+'הדבקת לידים'!$F$2*1.3))*43758.5453,1)*1000000)*10000+ROW(),"")</f>
        <v/>
      </c>
      <c r="F3635" s="0" t="str">
        <f aca="false">IF(E3635="","",RANK(E3635,$E$2:$E$5001,1))</f>
        <v/>
      </c>
      <c r="G3635" s="0" t="n">
        <f aca="false">IF(A3635="",0,IF(SUMPRODUCT(--($A$2:$A$5001=A3635))&gt;1,1,0))</f>
        <v>0</v>
      </c>
      <c r="H3635" s="0" t="n">
        <f aca="false">ROW()-1</f>
        <v>3634</v>
      </c>
      <c r="I3635" s="0" t="str">
        <f aca="false">IF(OR(הגדרות!$E$6=0,H3635&gt;הגדרות!$E$5),"",IF(H3635-1&lt;הגדרות!$E$8*(הגדרות!$E$7+1),INT((H3635-1)/(הגדרות!$E$7+1)),הגדרות!$E$8+INT((H3635-1-הגדרות!$E$8*(הגדרות!$E$7+1))/הגדרות!$E$7)))</f>
        <v/>
      </c>
      <c r="J3635" s="0" t="str">
        <f aca="false">IF(I3635="","",IF(H3635-1&lt;הגדרות!$E$8*(הגדרות!$E$7+1),MOD(H3635-1,הגדרות!$E$7+1),MOD(H3635-1-הגדרות!$E$8*(הגדרות!$E$7+1),הגדרות!$E$7)))</f>
        <v/>
      </c>
      <c r="K3635" s="0" t="str">
        <f aca="false">IF(I3635="","",J3635*הגדרות!$E$6+I3635+1)</f>
        <v/>
      </c>
      <c r="L3635" s="0" t="str">
        <f aca="false">IF(K3635="","",MATCH(K3635,$F$2:$F$5001,0))</f>
        <v/>
      </c>
      <c r="M3635" s="0" t="str">
        <f aca="false">IF(I3635="","",INDEX(הגדרות!$A$2:$A$21,MOD(I3635+הגדרות!$E$9,הגדרות!$E$6)+1))</f>
        <v/>
      </c>
    </row>
    <row r="3636" customFormat="false" ht="15" hidden="false" customHeight="false" outlineLevel="0" collapsed="false">
      <c r="A3636" s="0" t="str">
        <f aca="false">IF('הדבקת לידים'!A3636="","",IF(ISNUMBER('הדבקת לידים'!A3636),IF(הגדרות!$E$2&gt;0,TEXT('הדבקת לידים'!A3636,REPT("0",הגדרות!$E$2)),TEXT('הדבקת לידים'!A3636,"0")),TRIM('הדבקת לידים'!A3636)))</f>
        <v/>
      </c>
      <c r="B3636" s="0" t="str">
        <f aca="false">IF('הדבקת לידים'!B3636="","",IF(ISNUMBER('הדבקת לידים'!B3636),IF(הגדרות!$E$3&gt;0,TEXT('הדבקת לידים'!B3636,REPT("0",הגדרות!$E$3)),TEXT('הדבקת לידים'!B3636,"0")),TRIM('הדבקת לידים'!B3636)))</f>
        <v/>
      </c>
      <c r="C3636" s="0" t="n">
        <f aca="false">IF(OR(A3636&lt;&gt;"",B3636&lt;&gt;""),1,0)</f>
        <v>0</v>
      </c>
      <c r="D3636" s="0" t="str">
        <f aca="false">IF(C3636=1,MOD(ABS(SIN(ROW()*12.9898+'הדבקת לידים'!$F$2*78.233+IFERROR(--RIGHT(A3636,6),LEN(A3636))*0.0137+IFERROR(--RIGHT(B3636,6),LEN(B3636))*0.0071))*43758.5453,1),"")</f>
        <v/>
      </c>
      <c r="E3636" s="0" t="str">
        <f aca="false">IF(C3636=1,INT(MOD(ABS(SIN(D3636*7919.123+ROW()*0.618+'הדבקת לידים'!$F$2*1.3))*43758.5453,1)*1000000)*10000+ROW(),"")</f>
        <v/>
      </c>
      <c r="F3636" s="0" t="str">
        <f aca="false">IF(E3636="","",RANK(E3636,$E$2:$E$5001,1))</f>
        <v/>
      </c>
      <c r="G3636" s="0" t="n">
        <f aca="false">IF(A3636="",0,IF(SUMPRODUCT(--($A$2:$A$5001=A3636))&gt;1,1,0))</f>
        <v>0</v>
      </c>
      <c r="H3636" s="0" t="n">
        <f aca="false">ROW()-1</f>
        <v>3635</v>
      </c>
      <c r="I3636" s="0" t="str">
        <f aca="false">IF(OR(הגדרות!$E$6=0,H3636&gt;הגדרות!$E$5),"",IF(H3636-1&lt;הגדרות!$E$8*(הגדרות!$E$7+1),INT((H3636-1)/(הגדרות!$E$7+1)),הגדרות!$E$8+INT((H3636-1-הגדרות!$E$8*(הגדרות!$E$7+1))/הגדרות!$E$7)))</f>
        <v/>
      </c>
      <c r="J3636" s="0" t="str">
        <f aca="false">IF(I3636="","",IF(H3636-1&lt;הגדרות!$E$8*(הגדרות!$E$7+1),MOD(H3636-1,הגדרות!$E$7+1),MOD(H3636-1-הגדרות!$E$8*(הגדרות!$E$7+1),הגדרות!$E$7)))</f>
        <v/>
      </c>
      <c r="K3636" s="0" t="str">
        <f aca="false">IF(I3636="","",J3636*הגדרות!$E$6+I3636+1)</f>
        <v/>
      </c>
      <c r="L3636" s="0" t="str">
        <f aca="false">IF(K3636="","",MATCH(K3636,$F$2:$F$5001,0))</f>
        <v/>
      </c>
      <c r="M3636" s="0" t="str">
        <f aca="false">IF(I3636="","",INDEX(הגדרות!$A$2:$A$21,MOD(I3636+הגדרות!$E$9,הגדרות!$E$6)+1))</f>
        <v/>
      </c>
    </row>
    <row r="3637" customFormat="false" ht="15" hidden="false" customHeight="false" outlineLevel="0" collapsed="false">
      <c r="A3637" s="0" t="str">
        <f aca="false">IF('הדבקת לידים'!A3637="","",IF(ISNUMBER('הדבקת לידים'!A3637),IF(הגדרות!$E$2&gt;0,TEXT('הדבקת לידים'!A3637,REPT("0",הגדרות!$E$2)),TEXT('הדבקת לידים'!A3637,"0")),TRIM('הדבקת לידים'!A3637)))</f>
        <v/>
      </c>
      <c r="B3637" s="0" t="str">
        <f aca="false">IF('הדבקת לידים'!B3637="","",IF(ISNUMBER('הדבקת לידים'!B3637),IF(הגדרות!$E$3&gt;0,TEXT('הדבקת לידים'!B3637,REPT("0",הגדרות!$E$3)),TEXT('הדבקת לידים'!B3637,"0")),TRIM('הדבקת לידים'!B3637)))</f>
        <v/>
      </c>
      <c r="C3637" s="0" t="n">
        <f aca="false">IF(OR(A3637&lt;&gt;"",B3637&lt;&gt;""),1,0)</f>
        <v>0</v>
      </c>
      <c r="D3637" s="0" t="str">
        <f aca="false">IF(C3637=1,MOD(ABS(SIN(ROW()*12.9898+'הדבקת לידים'!$F$2*78.233+IFERROR(--RIGHT(A3637,6),LEN(A3637))*0.0137+IFERROR(--RIGHT(B3637,6),LEN(B3637))*0.0071))*43758.5453,1),"")</f>
        <v/>
      </c>
      <c r="E3637" s="0" t="str">
        <f aca="false">IF(C3637=1,INT(MOD(ABS(SIN(D3637*7919.123+ROW()*0.618+'הדבקת לידים'!$F$2*1.3))*43758.5453,1)*1000000)*10000+ROW(),"")</f>
        <v/>
      </c>
      <c r="F3637" s="0" t="str">
        <f aca="false">IF(E3637="","",RANK(E3637,$E$2:$E$5001,1))</f>
        <v/>
      </c>
      <c r="G3637" s="0" t="n">
        <f aca="false">IF(A3637="",0,IF(SUMPRODUCT(--($A$2:$A$5001=A3637))&gt;1,1,0))</f>
        <v>0</v>
      </c>
      <c r="H3637" s="0" t="n">
        <f aca="false">ROW()-1</f>
        <v>3636</v>
      </c>
      <c r="I3637" s="0" t="str">
        <f aca="false">IF(OR(הגדרות!$E$6=0,H3637&gt;הגדרות!$E$5),"",IF(H3637-1&lt;הגדרות!$E$8*(הגדרות!$E$7+1),INT((H3637-1)/(הגדרות!$E$7+1)),הגדרות!$E$8+INT((H3637-1-הגדרות!$E$8*(הגדרות!$E$7+1))/הגדרות!$E$7)))</f>
        <v/>
      </c>
      <c r="J3637" s="0" t="str">
        <f aca="false">IF(I3637="","",IF(H3637-1&lt;הגדרות!$E$8*(הגדרות!$E$7+1),MOD(H3637-1,הגדרות!$E$7+1),MOD(H3637-1-הגדרות!$E$8*(הגדרות!$E$7+1),הגדרות!$E$7)))</f>
        <v/>
      </c>
      <c r="K3637" s="0" t="str">
        <f aca="false">IF(I3637="","",J3637*הגדרות!$E$6+I3637+1)</f>
        <v/>
      </c>
      <c r="L3637" s="0" t="str">
        <f aca="false">IF(K3637="","",MATCH(K3637,$F$2:$F$5001,0))</f>
        <v/>
      </c>
      <c r="M3637" s="0" t="str">
        <f aca="false">IF(I3637="","",INDEX(הגדרות!$A$2:$A$21,MOD(I3637+הגדרות!$E$9,הגדרות!$E$6)+1))</f>
        <v/>
      </c>
    </row>
    <row r="3638" customFormat="false" ht="15" hidden="false" customHeight="false" outlineLevel="0" collapsed="false">
      <c r="A3638" s="0" t="str">
        <f aca="false">IF('הדבקת לידים'!A3638="","",IF(ISNUMBER('הדבקת לידים'!A3638),IF(הגדרות!$E$2&gt;0,TEXT('הדבקת לידים'!A3638,REPT("0",הגדרות!$E$2)),TEXT('הדבקת לידים'!A3638,"0")),TRIM('הדבקת לידים'!A3638)))</f>
        <v/>
      </c>
      <c r="B3638" s="0" t="str">
        <f aca="false">IF('הדבקת לידים'!B3638="","",IF(ISNUMBER('הדבקת לידים'!B3638),IF(הגדרות!$E$3&gt;0,TEXT('הדבקת לידים'!B3638,REPT("0",הגדרות!$E$3)),TEXT('הדבקת לידים'!B3638,"0")),TRIM('הדבקת לידים'!B3638)))</f>
        <v/>
      </c>
      <c r="C3638" s="0" t="n">
        <f aca="false">IF(OR(A3638&lt;&gt;"",B3638&lt;&gt;""),1,0)</f>
        <v>0</v>
      </c>
      <c r="D3638" s="0" t="str">
        <f aca="false">IF(C3638=1,MOD(ABS(SIN(ROW()*12.9898+'הדבקת לידים'!$F$2*78.233+IFERROR(--RIGHT(A3638,6),LEN(A3638))*0.0137+IFERROR(--RIGHT(B3638,6),LEN(B3638))*0.0071))*43758.5453,1),"")</f>
        <v/>
      </c>
      <c r="E3638" s="0" t="str">
        <f aca="false">IF(C3638=1,INT(MOD(ABS(SIN(D3638*7919.123+ROW()*0.618+'הדבקת לידים'!$F$2*1.3))*43758.5453,1)*1000000)*10000+ROW(),"")</f>
        <v/>
      </c>
      <c r="F3638" s="0" t="str">
        <f aca="false">IF(E3638="","",RANK(E3638,$E$2:$E$5001,1))</f>
        <v/>
      </c>
      <c r="G3638" s="0" t="n">
        <f aca="false">IF(A3638="",0,IF(SUMPRODUCT(--($A$2:$A$5001=A3638))&gt;1,1,0))</f>
        <v>0</v>
      </c>
      <c r="H3638" s="0" t="n">
        <f aca="false">ROW()-1</f>
        <v>3637</v>
      </c>
      <c r="I3638" s="0" t="str">
        <f aca="false">IF(OR(הגדרות!$E$6=0,H3638&gt;הגדרות!$E$5),"",IF(H3638-1&lt;הגדרות!$E$8*(הגדרות!$E$7+1),INT((H3638-1)/(הגדרות!$E$7+1)),הגדרות!$E$8+INT((H3638-1-הגדרות!$E$8*(הגדרות!$E$7+1))/הגדרות!$E$7)))</f>
        <v/>
      </c>
      <c r="J3638" s="0" t="str">
        <f aca="false">IF(I3638="","",IF(H3638-1&lt;הגדרות!$E$8*(הגדרות!$E$7+1),MOD(H3638-1,הגדרות!$E$7+1),MOD(H3638-1-הגדרות!$E$8*(הגדרות!$E$7+1),הגדרות!$E$7)))</f>
        <v/>
      </c>
      <c r="K3638" s="0" t="str">
        <f aca="false">IF(I3638="","",J3638*הגדרות!$E$6+I3638+1)</f>
        <v/>
      </c>
      <c r="L3638" s="0" t="str">
        <f aca="false">IF(K3638="","",MATCH(K3638,$F$2:$F$5001,0))</f>
        <v/>
      </c>
      <c r="M3638" s="0" t="str">
        <f aca="false">IF(I3638="","",INDEX(הגדרות!$A$2:$A$21,MOD(I3638+הגדרות!$E$9,הגדרות!$E$6)+1))</f>
        <v/>
      </c>
    </row>
    <row r="3639" customFormat="false" ht="15" hidden="false" customHeight="false" outlineLevel="0" collapsed="false">
      <c r="A3639" s="0" t="str">
        <f aca="false">IF('הדבקת לידים'!A3639="","",IF(ISNUMBER('הדבקת לידים'!A3639),IF(הגדרות!$E$2&gt;0,TEXT('הדבקת לידים'!A3639,REPT("0",הגדרות!$E$2)),TEXT('הדבקת לידים'!A3639,"0")),TRIM('הדבקת לידים'!A3639)))</f>
        <v/>
      </c>
      <c r="B3639" s="0" t="str">
        <f aca="false">IF('הדבקת לידים'!B3639="","",IF(ISNUMBER('הדבקת לידים'!B3639),IF(הגדרות!$E$3&gt;0,TEXT('הדבקת לידים'!B3639,REPT("0",הגדרות!$E$3)),TEXT('הדבקת לידים'!B3639,"0")),TRIM('הדבקת לידים'!B3639)))</f>
        <v/>
      </c>
      <c r="C3639" s="0" t="n">
        <f aca="false">IF(OR(A3639&lt;&gt;"",B3639&lt;&gt;""),1,0)</f>
        <v>0</v>
      </c>
      <c r="D3639" s="0" t="str">
        <f aca="false">IF(C3639=1,MOD(ABS(SIN(ROW()*12.9898+'הדבקת לידים'!$F$2*78.233+IFERROR(--RIGHT(A3639,6),LEN(A3639))*0.0137+IFERROR(--RIGHT(B3639,6),LEN(B3639))*0.0071))*43758.5453,1),"")</f>
        <v/>
      </c>
      <c r="E3639" s="0" t="str">
        <f aca="false">IF(C3639=1,INT(MOD(ABS(SIN(D3639*7919.123+ROW()*0.618+'הדבקת לידים'!$F$2*1.3))*43758.5453,1)*1000000)*10000+ROW(),"")</f>
        <v/>
      </c>
      <c r="F3639" s="0" t="str">
        <f aca="false">IF(E3639="","",RANK(E3639,$E$2:$E$5001,1))</f>
        <v/>
      </c>
      <c r="G3639" s="0" t="n">
        <f aca="false">IF(A3639="",0,IF(SUMPRODUCT(--($A$2:$A$5001=A3639))&gt;1,1,0))</f>
        <v>0</v>
      </c>
      <c r="H3639" s="0" t="n">
        <f aca="false">ROW()-1</f>
        <v>3638</v>
      </c>
      <c r="I3639" s="0" t="str">
        <f aca="false">IF(OR(הגדרות!$E$6=0,H3639&gt;הגדרות!$E$5),"",IF(H3639-1&lt;הגדרות!$E$8*(הגדרות!$E$7+1),INT((H3639-1)/(הגדרות!$E$7+1)),הגדרות!$E$8+INT((H3639-1-הגדרות!$E$8*(הגדרות!$E$7+1))/הגדרות!$E$7)))</f>
        <v/>
      </c>
      <c r="J3639" s="0" t="str">
        <f aca="false">IF(I3639="","",IF(H3639-1&lt;הגדרות!$E$8*(הגדרות!$E$7+1),MOD(H3639-1,הגדרות!$E$7+1),MOD(H3639-1-הגדרות!$E$8*(הגדרות!$E$7+1),הגדרות!$E$7)))</f>
        <v/>
      </c>
      <c r="K3639" s="0" t="str">
        <f aca="false">IF(I3639="","",J3639*הגדרות!$E$6+I3639+1)</f>
        <v/>
      </c>
      <c r="L3639" s="0" t="str">
        <f aca="false">IF(K3639="","",MATCH(K3639,$F$2:$F$5001,0))</f>
        <v/>
      </c>
      <c r="M3639" s="0" t="str">
        <f aca="false">IF(I3639="","",INDEX(הגדרות!$A$2:$A$21,MOD(I3639+הגדרות!$E$9,הגדרות!$E$6)+1))</f>
        <v/>
      </c>
    </row>
    <row r="3640" customFormat="false" ht="15" hidden="false" customHeight="false" outlineLevel="0" collapsed="false">
      <c r="A3640" s="0" t="str">
        <f aca="false">IF('הדבקת לידים'!A3640="","",IF(ISNUMBER('הדבקת לידים'!A3640),IF(הגדרות!$E$2&gt;0,TEXT('הדבקת לידים'!A3640,REPT("0",הגדרות!$E$2)),TEXT('הדבקת לידים'!A3640,"0")),TRIM('הדבקת לידים'!A3640)))</f>
        <v/>
      </c>
      <c r="B3640" s="0" t="str">
        <f aca="false">IF('הדבקת לידים'!B3640="","",IF(ISNUMBER('הדבקת לידים'!B3640),IF(הגדרות!$E$3&gt;0,TEXT('הדבקת לידים'!B3640,REPT("0",הגדרות!$E$3)),TEXT('הדבקת לידים'!B3640,"0")),TRIM('הדבקת לידים'!B3640)))</f>
        <v/>
      </c>
      <c r="C3640" s="0" t="n">
        <f aca="false">IF(OR(A3640&lt;&gt;"",B3640&lt;&gt;""),1,0)</f>
        <v>0</v>
      </c>
      <c r="D3640" s="0" t="str">
        <f aca="false">IF(C3640=1,MOD(ABS(SIN(ROW()*12.9898+'הדבקת לידים'!$F$2*78.233+IFERROR(--RIGHT(A3640,6),LEN(A3640))*0.0137+IFERROR(--RIGHT(B3640,6),LEN(B3640))*0.0071))*43758.5453,1),"")</f>
        <v/>
      </c>
      <c r="E3640" s="0" t="str">
        <f aca="false">IF(C3640=1,INT(MOD(ABS(SIN(D3640*7919.123+ROW()*0.618+'הדבקת לידים'!$F$2*1.3))*43758.5453,1)*1000000)*10000+ROW(),"")</f>
        <v/>
      </c>
      <c r="F3640" s="0" t="str">
        <f aca="false">IF(E3640="","",RANK(E3640,$E$2:$E$5001,1))</f>
        <v/>
      </c>
      <c r="G3640" s="0" t="n">
        <f aca="false">IF(A3640="",0,IF(SUMPRODUCT(--($A$2:$A$5001=A3640))&gt;1,1,0))</f>
        <v>0</v>
      </c>
      <c r="H3640" s="0" t="n">
        <f aca="false">ROW()-1</f>
        <v>3639</v>
      </c>
      <c r="I3640" s="0" t="str">
        <f aca="false">IF(OR(הגדרות!$E$6=0,H3640&gt;הגדרות!$E$5),"",IF(H3640-1&lt;הגדרות!$E$8*(הגדרות!$E$7+1),INT((H3640-1)/(הגדרות!$E$7+1)),הגדרות!$E$8+INT((H3640-1-הגדרות!$E$8*(הגדרות!$E$7+1))/הגדרות!$E$7)))</f>
        <v/>
      </c>
      <c r="J3640" s="0" t="str">
        <f aca="false">IF(I3640="","",IF(H3640-1&lt;הגדרות!$E$8*(הגדרות!$E$7+1),MOD(H3640-1,הגדרות!$E$7+1),MOD(H3640-1-הגדרות!$E$8*(הגדרות!$E$7+1),הגדרות!$E$7)))</f>
        <v/>
      </c>
      <c r="K3640" s="0" t="str">
        <f aca="false">IF(I3640="","",J3640*הגדרות!$E$6+I3640+1)</f>
        <v/>
      </c>
      <c r="L3640" s="0" t="str">
        <f aca="false">IF(K3640="","",MATCH(K3640,$F$2:$F$5001,0))</f>
        <v/>
      </c>
      <c r="M3640" s="0" t="str">
        <f aca="false">IF(I3640="","",INDEX(הגדרות!$A$2:$A$21,MOD(I3640+הגדרות!$E$9,הגדרות!$E$6)+1))</f>
        <v/>
      </c>
    </row>
    <row r="3641" customFormat="false" ht="15" hidden="false" customHeight="false" outlineLevel="0" collapsed="false">
      <c r="A3641" s="0" t="str">
        <f aca="false">IF('הדבקת לידים'!A3641="","",IF(ISNUMBER('הדבקת לידים'!A3641),IF(הגדרות!$E$2&gt;0,TEXT('הדבקת לידים'!A3641,REPT("0",הגדרות!$E$2)),TEXT('הדבקת לידים'!A3641,"0")),TRIM('הדבקת לידים'!A3641)))</f>
        <v/>
      </c>
      <c r="B3641" s="0" t="str">
        <f aca="false">IF('הדבקת לידים'!B3641="","",IF(ISNUMBER('הדבקת לידים'!B3641),IF(הגדרות!$E$3&gt;0,TEXT('הדבקת לידים'!B3641,REPT("0",הגדרות!$E$3)),TEXT('הדבקת לידים'!B3641,"0")),TRIM('הדבקת לידים'!B3641)))</f>
        <v/>
      </c>
      <c r="C3641" s="0" t="n">
        <f aca="false">IF(OR(A3641&lt;&gt;"",B3641&lt;&gt;""),1,0)</f>
        <v>0</v>
      </c>
      <c r="D3641" s="0" t="str">
        <f aca="false">IF(C3641=1,MOD(ABS(SIN(ROW()*12.9898+'הדבקת לידים'!$F$2*78.233+IFERROR(--RIGHT(A3641,6),LEN(A3641))*0.0137+IFERROR(--RIGHT(B3641,6),LEN(B3641))*0.0071))*43758.5453,1),"")</f>
        <v/>
      </c>
      <c r="E3641" s="0" t="str">
        <f aca="false">IF(C3641=1,INT(MOD(ABS(SIN(D3641*7919.123+ROW()*0.618+'הדבקת לידים'!$F$2*1.3))*43758.5453,1)*1000000)*10000+ROW(),"")</f>
        <v/>
      </c>
      <c r="F3641" s="0" t="str">
        <f aca="false">IF(E3641="","",RANK(E3641,$E$2:$E$5001,1))</f>
        <v/>
      </c>
      <c r="G3641" s="0" t="n">
        <f aca="false">IF(A3641="",0,IF(SUMPRODUCT(--($A$2:$A$5001=A3641))&gt;1,1,0))</f>
        <v>0</v>
      </c>
      <c r="H3641" s="0" t="n">
        <f aca="false">ROW()-1</f>
        <v>3640</v>
      </c>
      <c r="I3641" s="0" t="str">
        <f aca="false">IF(OR(הגדרות!$E$6=0,H3641&gt;הגדרות!$E$5),"",IF(H3641-1&lt;הגדרות!$E$8*(הגדרות!$E$7+1),INT((H3641-1)/(הגדרות!$E$7+1)),הגדרות!$E$8+INT((H3641-1-הגדרות!$E$8*(הגדרות!$E$7+1))/הגדרות!$E$7)))</f>
        <v/>
      </c>
      <c r="J3641" s="0" t="str">
        <f aca="false">IF(I3641="","",IF(H3641-1&lt;הגדרות!$E$8*(הגדרות!$E$7+1),MOD(H3641-1,הגדרות!$E$7+1),MOD(H3641-1-הגדרות!$E$8*(הגדרות!$E$7+1),הגדרות!$E$7)))</f>
        <v/>
      </c>
      <c r="K3641" s="0" t="str">
        <f aca="false">IF(I3641="","",J3641*הגדרות!$E$6+I3641+1)</f>
        <v/>
      </c>
      <c r="L3641" s="0" t="str">
        <f aca="false">IF(K3641="","",MATCH(K3641,$F$2:$F$5001,0))</f>
        <v/>
      </c>
      <c r="M3641" s="0" t="str">
        <f aca="false">IF(I3641="","",INDEX(הגדרות!$A$2:$A$21,MOD(I3641+הגדרות!$E$9,הגדרות!$E$6)+1))</f>
        <v/>
      </c>
    </row>
    <row r="3642" customFormat="false" ht="15" hidden="false" customHeight="false" outlineLevel="0" collapsed="false">
      <c r="A3642" s="0" t="str">
        <f aca="false">IF('הדבקת לידים'!A3642="","",IF(ISNUMBER('הדבקת לידים'!A3642),IF(הגדרות!$E$2&gt;0,TEXT('הדבקת לידים'!A3642,REPT("0",הגדרות!$E$2)),TEXT('הדבקת לידים'!A3642,"0")),TRIM('הדבקת לידים'!A3642)))</f>
        <v/>
      </c>
      <c r="B3642" s="0" t="str">
        <f aca="false">IF('הדבקת לידים'!B3642="","",IF(ISNUMBER('הדבקת לידים'!B3642),IF(הגדרות!$E$3&gt;0,TEXT('הדבקת לידים'!B3642,REPT("0",הגדרות!$E$3)),TEXT('הדבקת לידים'!B3642,"0")),TRIM('הדבקת לידים'!B3642)))</f>
        <v/>
      </c>
      <c r="C3642" s="0" t="n">
        <f aca="false">IF(OR(A3642&lt;&gt;"",B3642&lt;&gt;""),1,0)</f>
        <v>0</v>
      </c>
      <c r="D3642" s="0" t="str">
        <f aca="false">IF(C3642=1,MOD(ABS(SIN(ROW()*12.9898+'הדבקת לידים'!$F$2*78.233+IFERROR(--RIGHT(A3642,6),LEN(A3642))*0.0137+IFERROR(--RIGHT(B3642,6),LEN(B3642))*0.0071))*43758.5453,1),"")</f>
        <v/>
      </c>
      <c r="E3642" s="0" t="str">
        <f aca="false">IF(C3642=1,INT(MOD(ABS(SIN(D3642*7919.123+ROW()*0.618+'הדבקת לידים'!$F$2*1.3))*43758.5453,1)*1000000)*10000+ROW(),"")</f>
        <v/>
      </c>
      <c r="F3642" s="0" t="str">
        <f aca="false">IF(E3642="","",RANK(E3642,$E$2:$E$5001,1))</f>
        <v/>
      </c>
      <c r="G3642" s="0" t="n">
        <f aca="false">IF(A3642="",0,IF(SUMPRODUCT(--($A$2:$A$5001=A3642))&gt;1,1,0))</f>
        <v>0</v>
      </c>
      <c r="H3642" s="0" t="n">
        <f aca="false">ROW()-1</f>
        <v>3641</v>
      </c>
      <c r="I3642" s="0" t="str">
        <f aca="false">IF(OR(הגדרות!$E$6=0,H3642&gt;הגדרות!$E$5),"",IF(H3642-1&lt;הגדרות!$E$8*(הגדרות!$E$7+1),INT((H3642-1)/(הגדרות!$E$7+1)),הגדרות!$E$8+INT((H3642-1-הגדרות!$E$8*(הגדרות!$E$7+1))/הגדרות!$E$7)))</f>
        <v/>
      </c>
      <c r="J3642" s="0" t="str">
        <f aca="false">IF(I3642="","",IF(H3642-1&lt;הגדרות!$E$8*(הגדרות!$E$7+1),MOD(H3642-1,הגדרות!$E$7+1),MOD(H3642-1-הגדרות!$E$8*(הגדרות!$E$7+1),הגדרות!$E$7)))</f>
        <v/>
      </c>
      <c r="K3642" s="0" t="str">
        <f aca="false">IF(I3642="","",J3642*הגדרות!$E$6+I3642+1)</f>
        <v/>
      </c>
      <c r="L3642" s="0" t="str">
        <f aca="false">IF(K3642="","",MATCH(K3642,$F$2:$F$5001,0))</f>
        <v/>
      </c>
      <c r="M3642" s="0" t="str">
        <f aca="false">IF(I3642="","",INDEX(הגדרות!$A$2:$A$21,MOD(I3642+הגדרות!$E$9,הגדרות!$E$6)+1))</f>
        <v/>
      </c>
    </row>
    <row r="3643" customFormat="false" ht="15" hidden="false" customHeight="false" outlineLevel="0" collapsed="false">
      <c r="A3643" s="0" t="str">
        <f aca="false">IF('הדבקת לידים'!A3643="","",IF(ISNUMBER('הדבקת לידים'!A3643),IF(הגדרות!$E$2&gt;0,TEXT('הדבקת לידים'!A3643,REPT("0",הגדרות!$E$2)),TEXT('הדבקת לידים'!A3643,"0")),TRIM('הדבקת לידים'!A3643)))</f>
        <v/>
      </c>
      <c r="B3643" s="0" t="str">
        <f aca="false">IF('הדבקת לידים'!B3643="","",IF(ISNUMBER('הדבקת לידים'!B3643),IF(הגדרות!$E$3&gt;0,TEXT('הדבקת לידים'!B3643,REPT("0",הגדרות!$E$3)),TEXT('הדבקת לידים'!B3643,"0")),TRIM('הדבקת לידים'!B3643)))</f>
        <v/>
      </c>
      <c r="C3643" s="0" t="n">
        <f aca="false">IF(OR(A3643&lt;&gt;"",B3643&lt;&gt;""),1,0)</f>
        <v>0</v>
      </c>
      <c r="D3643" s="0" t="str">
        <f aca="false">IF(C3643=1,MOD(ABS(SIN(ROW()*12.9898+'הדבקת לידים'!$F$2*78.233+IFERROR(--RIGHT(A3643,6),LEN(A3643))*0.0137+IFERROR(--RIGHT(B3643,6),LEN(B3643))*0.0071))*43758.5453,1),"")</f>
        <v/>
      </c>
      <c r="E3643" s="0" t="str">
        <f aca="false">IF(C3643=1,INT(MOD(ABS(SIN(D3643*7919.123+ROW()*0.618+'הדבקת לידים'!$F$2*1.3))*43758.5453,1)*1000000)*10000+ROW(),"")</f>
        <v/>
      </c>
      <c r="F3643" s="0" t="str">
        <f aca="false">IF(E3643="","",RANK(E3643,$E$2:$E$5001,1))</f>
        <v/>
      </c>
      <c r="G3643" s="0" t="n">
        <f aca="false">IF(A3643="",0,IF(SUMPRODUCT(--($A$2:$A$5001=A3643))&gt;1,1,0))</f>
        <v>0</v>
      </c>
      <c r="H3643" s="0" t="n">
        <f aca="false">ROW()-1</f>
        <v>3642</v>
      </c>
      <c r="I3643" s="0" t="str">
        <f aca="false">IF(OR(הגדרות!$E$6=0,H3643&gt;הגדרות!$E$5),"",IF(H3643-1&lt;הגדרות!$E$8*(הגדרות!$E$7+1),INT((H3643-1)/(הגדרות!$E$7+1)),הגדרות!$E$8+INT((H3643-1-הגדרות!$E$8*(הגדרות!$E$7+1))/הגדרות!$E$7)))</f>
        <v/>
      </c>
      <c r="J3643" s="0" t="str">
        <f aca="false">IF(I3643="","",IF(H3643-1&lt;הגדרות!$E$8*(הגדרות!$E$7+1),MOD(H3643-1,הגדרות!$E$7+1),MOD(H3643-1-הגדרות!$E$8*(הגדרות!$E$7+1),הגדרות!$E$7)))</f>
        <v/>
      </c>
      <c r="K3643" s="0" t="str">
        <f aca="false">IF(I3643="","",J3643*הגדרות!$E$6+I3643+1)</f>
        <v/>
      </c>
      <c r="L3643" s="0" t="str">
        <f aca="false">IF(K3643="","",MATCH(K3643,$F$2:$F$5001,0))</f>
        <v/>
      </c>
      <c r="M3643" s="0" t="str">
        <f aca="false">IF(I3643="","",INDEX(הגדרות!$A$2:$A$21,MOD(I3643+הגדרות!$E$9,הגדרות!$E$6)+1))</f>
        <v/>
      </c>
    </row>
    <row r="3644" customFormat="false" ht="15" hidden="false" customHeight="false" outlineLevel="0" collapsed="false">
      <c r="A3644" s="0" t="str">
        <f aca="false">IF('הדבקת לידים'!A3644="","",IF(ISNUMBER('הדבקת לידים'!A3644),IF(הגדרות!$E$2&gt;0,TEXT('הדבקת לידים'!A3644,REPT("0",הגדרות!$E$2)),TEXT('הדבקת לידים'!A3644,"0")),TRIM('הדבקת לידים'!A3644)))</f>
        <v/>
      </c>
      <c r="B3644" s="0" t="str">
        <f aca="false">IF('הדבקת לידים'!B3644="","",IF(ISNUMBER('הדבקת לידים'!B3644),IF(הגדרות!$E$3&gt;0,TEXT('הדבקת לידים'!B3644,REPT("0",הגדרות!$E$3)),TEXT('הדבקת לידים'!B3644,"0")),TRIM('הדבקת לידים'!B3644)))</f>
        <v/>
      </c>
      <c r="C3644" s="0" t="n">
        <f aca="false">IF(OR(A3644&lt;&gt;"",B3644&lt;&gt;""),1,0)</f>
        <v>0</v>
      </c>
      <c r="D3644" s="0" t="str">
        <f aca="false">IF(C3644=1,MOD(ABS(SIN(ROW()*12.9898+'הדבקת לידים'!$F$2*78.233+IFERROR(--RIGHT(A3644,6),LEN(A3644))*0.0137+IFERROR(--RIGHT(B3644,6),LEN(B3644))*0.0071))*43758.5453,1),"")</f>
        <v/>
      </c>
      <c r="E3644" s="0" t="str">
        <f aca="false">IF(C3644=1,INT(MOD(ABS(SIN(D3644*7919.123+ROW()*0.618+'הדבקת לידים'!$F$2*1.3))*43758.5453,1)*1000000)*10000+ROW(),"")</f>
        <v/>
      </c>
      <c r="F3644" s="0" t="str">
        <f aca="false">IF(E3644="","",RANK(E3644,$E$2:$E$5001,1))</f>
        <v/>
      </c>
      <c r="G3644" s="0" t="n">
        <f aca="false">IF(A3644="",0,IF(SUMPRODUCT(--($A$2:$A$5001=A3644))&gt;1,1,0))</f>
        <v>0</v>
      </c>
      <c r="H3644" s="0" t="n">
        <f aca="false">ROW()-1</f>
        <v>3643</v>
      </c>
      <c r="I3644" s="0" t="str">
        <f aca="false">IF(OR(הגדרות!$E$6=0,H3644&gt;הגדרות!$E$5),"",IF(H3644-1&lt;הגדרות!$E$8*(הגדרות!$E$7+1),INT((H3644-1)/(הגדרות!$E$7+1)),הגדרות!$E$8+INT((H3644-1-הגדרות!$E$8*(הגדרות!$E$7+1))/הגדרות!$E$7)))</f>
        <v/>
      </c>
      <c r="J3644" s="0" t="str">
        <f aca="false">IF(I3644="","",IF(H3644-1&lt;הגדרות!$E$8*(הגדרות!$E$7+1),MOD(H3644-1,הגדרות!$E$7+1),MOD(H3644-1-הגדרות!$E$8*(הגדרות!$E$7+1),הגדרות!$E$7)))</f>
        <v/>
      </c>
      <c r="K3644" s="0" t="str">
        <f aca="false">IF(I3644="","",J3644*הגדרות!$E$6+I3644+1)</f>
        <v/>
      </c>
      <c r="L3644" s="0" t="str">
        <f aca="false">IF(K3644="","",MATCH(K3644,$F$2:$F$5001,0))</f>
        <v/>
      </c>
      <c r="M3644" s="0" t="str">
        <f aca="false">IF(I3644="","",INDEX(הגדרות!$A$2:$A$21,MOD(I3644+הגדרות!$E$9,הגדרות!$E$6)+1))</f>
        <v/>
      </c>
    </row>
    <row r="3645" customFormat="false" ht="15" hidden="false" customHeight="false" outlineLevel="0" collapsed="false">
      <c r="A3645" s="0" t="str">
        <f aca="false">IF('הדבקת לידים'!A3645="","",IF(ISNUMBER('הדבקת לידים'!A3645),IF(הגדרות!$E$2&gt;0,TEXT('הדבקת לידים'!A3645,REPT("0",הגדרות!$E$2)),TEXT('הדבקת לידים'!A3645,"0")),TRIM('הדבקת לידים'!A3645)))</f>
        <v/>
      </c>
      <c r="B3645" s="0" t="str">
        <f aca="false">IF('הדבקת לידים'!B3645="","",IF(ISNUMBER('הדבקת לידים'!B3645),IF(הגדרות!$E$3&gt;0,TEXT('הדבקת לידים'!B3645,REPT("0",הגדרות!$E$3)),TEXT('הדבקת לידים'!B3645,"0")),TRIM('הדבקת לידים'!B3645)))</f>
        <v/>
      </c>
      <c r="C3645" s="0" t="n">
        <f aca="false">IF(OR(A3645&lt;&gt;"",B3645&lt;&gt;""),1,0)</f>
        <v>0</v>
      </c>
      <c r="D3645" s="0" t="str">
        <f aca="false">IF(C3645=1,MOD(ABS(SIN(ROW()*12.9898+'הדבקת לידים'!$F$2*78.233+IFERROR(--RIGHT(A3645,6),LEN(A3645))*0.0137+IFERROR(--RIGHT(B3645,6),LEN(B3645))*0.0071))*43758.5453,1),"")</f>
        <v/>
      </c>
      <c r="E3645" s="0" t="str">
        <f aca="false">IF(C3645=1,INT(MOD(ABS(SIN(D3645*7919.123+ROW()*0.618+'הדבקת לידים'!$F$2*1.3))*43758.5453,1)*1000000)*10000+ROW(),"")</f>
        <v/>
      </c>
      <c r="F3645" s="0" t="str">
        <f aca="false">IF(E3645="","",RANK(E3645,$E$2:$E$5001,1))</f>
        <v/>
      </c>
      <c r="G3645" s="0" t="n">
        <f aca="false">IF(A3645="",0,IF(SUMPRODUCT(--($A$2:$A$5001=A3645))&gt;1,1,0))</f>
        <v>0</v>
      </c>
      <c r="H3645" s="0" t="n">
        <f aca="false">ROW()-1</f>
        <v>3644</v>
      </c>
      <c r="I3645" s="0" t="str">
        <f aca="false">IF(OR(הגדרות!$E$6=0,H3645&gt;הגדרות!$E$5),"",IF(H3645-1&lt;הגדרות!$E$8*(הגדרות!$E$7+1),INT((H3645-1)/(הגדרות!$E$7+1)),הגדרות!$E$8+INT((H3645-1-הגדרות!$E$8*(הגדרות!$E$7+1))/הגדרות!$E$7)))</f>
        <v/>
      </c>
      <c r="J3645" s="0" t="str">
        <f aca="false">IF(I3645="","",IF(H3645-1&lt;הגדרות!$E$8*(הגדרות!$E$7+1),MOD(H3645-1,הגדרות!$E$7+1),MOD(H3645-1-הגדרות!$E$8*(הגדרות!$E$7+1),הגדרות!$E$7)))</f>
        <v/>
      </c>
      <c r="K3645" s="0" t="str">
        <f aca="false">IF(I3645="","",J3645*הגדרות!$E$6+I3645+1)</f>
        <v/>
      </c>
      <c r="L3645" s="0" t="str">
        <f aca="false">IF(K3645="","",MATCH(K3645,$F$2:$F$5001,0))</f>
        <v/>
      </c>
      <c r="M3645" s="0" t="str">
        <f aca="false">IF(I3645="","",INDEX(הגדרות!$A$2:$A$21,MOD(I3645+הגדרות!$E$9,הגדרות!$E$6)+1))</f>
        <v/>
      </c>
    </row>
    <row r="3646" customFormat="false" ht="15" hidden="false" customHeight="false" outlineLevel="0" collapsed="false">
      <c r="A3646" s="0" t="str">
        <f aca="false">IF('הדבקת לידים'!A3646="","",IF(ISNUMBER('הדבקת לידים'!A3646),IF(הגדרות!$E$2&gt;0,TEXT('הדבקת לידים'!A3646,REPT("0",הגדרות!$E$2)),TEXT('הדבקת לידים'!A3646,"0")),TRIM('הדבקת לידים'!A3646)))</f>
        <v/>
      </c>
      <c r="B3646" s="0" t="str">
        <f aca="false">IF('הדבקת לידים'!B3646="","",IF(ISNUMBER('הדבקת לידים'!B3646),IF(הגדרות!$E$3&gt;0,TEXT('הדבקת לידים'!B3646,REPT("0",הגדרות!$E$3)),TEXT('הדבקת לידים'!B3646,"0")),TRIM('הדבקת לידים'!B3646)))</f>
        <v/>
      </c>
      <c r="C3646" s="0" t="n">
        <f aca="false">IF(OR(A3646&lt;&gt;"",B3646&lt;&gt;""),1,0)</f>
        <v>0</v>
      </c>
      <c r="D3646" s="0" t="str">
        <f aca="false">IF(C3646=1,MOD(ABS(SIN(ROW()*12.9898+'הדבקת לידים'!$F$2*78.233+IFERROR(--RIGHT(A3646,6),LEN(A3646))*0.0137+IFERROR(--RIGHT(B3646,6),LEN(B3646))*0.0071))*43758.5453,1),"")</f>
        <v/>
      </c>
      <c r="E3646" s="0" t="str">
        <f aca="false">IF(C3646=1,INT(MOD(ABS(SIN(D3646*7919.123+ROW()*0.618+'הדבקת לידים'!$F$2*1.3))*43758.5453,1)*1000000)*10000+ROW(),"")</f>
        <v/>
      </c>
      <c r="F3646" s="0" t="str">
        <f aca="false">IF(E3646="","",RANK(E3646,$E$2:$E$5001,1))</f>
        <v/>
      </c>
      <c r="G3646" s="0" t="n">
        <f aca="false">IF(A3646="",0,IF(SUMPRODUCT(--($A$2:$A$5001=A3646))&gt;1,1,0))</f>
        <v>0</v>
      </c>
      <c r="H3646" s="0" t="n">
        <f aca="false">ROW()-1</f>
        <v>3645</v>
      </c>
      <c r="I3646" s="0" t="str">
        <f aca="false">IF(OR(הגדרות!$E$6=0,H3646&gt;הגדרות!$E$5),"",IF(H3646-1&lt;הגדרות!$E$8*(הגדרות!$E$7+1),INT((H3646-1)/(הגדרות!$E$7+1)),הגדרות!$E$8+INT((H3646-1-הגדרות!$E$8*(הגדרות!$E$7+1))/הגדרות!$E$7)))</f>
        <v/>
      </c>
      <c r="J3646" s="0" t="str">
        <f aca="false">IF(I3646="","",IF(H3646-1&lt;הגדרות!$E$8*(הגדרות!$E$7+1),MOD(H3646-1,הגדרות!$E$7+1),MOD(H3646-1-הגדרות!$E$8*(הגדרות!$E$7+1),הגדרות!$E$7)))</f>
        <v/>
      </c>
      <c r="K3646" s="0" t="str">
        <f aca="false">IF(I3646="","",J3646*הגדרות!$E$6+I3646+1)</f>
        <v/>
      </c>
      <c r="L3646" s="0" t="str">
        <f aca="false">IF(K3646="","",MATCH(K3646,$F$2:$F$5001,0))</f>
        <v/>
      </c>
      <c r="M3646" s="0" t="str">
        <f aca="false">IF(I3646="","",INDEX(הגדרות!$A$2:$A$21,MOD(I3646+הגדרות!$E$9,הגדרות!$E$6)+1))</f>
        <v/>
      </c>
    </row>
    <row r="3647" customFormat="false" ht="15" hidden="false" customHeight="false" outlineLevel="0" collapsed="false">
      <c r="A3647" s="0" t="str">
        <f aca="false">IF('הדבקת לידים'!A3647="","",IF(ISNUMBER('הדבקת לידים'!A3647),IF(הגדרות!$E$2&gt;0,TEXT('הדבקת לידים'!A3647,REPT("0",הגדרות!$E$2)),TEXT('הדבקת לידים'!A3647,"0")),TRIM('הדבקת לידים'!A3647)))</f>
        <v/>
      </c>
      <c r="B3647" s="0" t="str">
        <f aca="false">IF('הדבקת לידים'!B3647="","",IF(ISNUMBER('הדבקת לידים'!B3647),IF(הגדרות!$E$3&gt;0,TEXT('הדבקת לידים'!B3647,REPT("0",הגדרות!$E$3)),TEXT('הדבקת לידים'!B3647,"0")),TRIM('הדבקת לידים'!B3647)))</f>
        <v/>
      </c>
      <c r="C3647" s="0" t="n">
        <f aca="false">IF(OR(A3647&lt;&gt;"",B3647&lt;&gt;""),1,0)</f>
        <v>0</v>
      </c>
      <c r="D3647" s="0" t="str">
        <f aca="false">IF(C3647=1,MOD(ABS(SIN(ROW()*12.9898+'הדבקת לידים'!$F$2*78.233+IFERROR(--RIGHT(A3647,6),LEN(A3647))*0.0137+IFERROR(--RIGHT(B3647,6),LEN(B3647))*0.0071))*43758.5453,1),"")</f>
        <v/>
      </c>
      <c r="E3647" s="0" t="str">
        <f aca="false">IF(C3647=1,INT(MOD(ABS(SIN(D3647*7919.123+ROW()*0.618+'הדבקת לידים'!$F$2*1.3))*43758.5453,1)*1000000)*10000+ROW(),"")</f>
        <v/>
      </c>
      <c r="F3647" s="0" t="str">
        <f aca="false">IF(E3647="","",RANK(E3647,$E$2:$E$5001,1))</f>
        <v/>
      </c>
      <c r="G3647" s="0" t="n">
        <f aca="false">IF(A3647="",0,IF(SUMPRODUCT(--($A$2:$A$5001=A3647))&gt;1,1,0))</f>
        <v>0</v>
      </c>
      <c r="H3647" s="0" t="n">
        <f aca="false">ROW()-1</f>
        <v>3646</v>
      </c>
      <c r="I3647" s="0" t="str">
        <f aca="false">IF(OR(הגדרות!$E$6=0,H3647&gt;הגדרות!$E$5),"",IF(H3647-1&lt;הגדרות!$E$8*(הגדרות!$E$7+1),INT((H3647-1)/(הגדרות!$E$7+1)),הגדרות!$E$8+INT((H3647-1-הגדרות!$E$8*(הגדרות!$E$7+1))/הגדרות!$E$7)))</f>
        <v/>
      </c>
      <c r="J3647" s="0" t="str">
        <f aca="false">IF(I3647="","",IF(H3647-1&lt;הגדרות!$E$8*(הגדרות!$E$7+1),MOD(H3647-1,הגדרות!$E$7+1),MOD(H3647-1-הגדרות!$E$8*(הגדרות!$E$7+1),הגדרות!$E$7)))</f>
        <v/>
      </c>
      <c r="K3647" s="0" t="str">
        <f aca="false">IF(I3647="","",J3647*הגדרות!$E$6+I3647+1)</f>
        <v/>
      </c>
      <c r="L3647" s="0" t="str">
        <f aca="false">IF(K3647="","",MATCH(K3647,$F$2:$F$5001,0))</f>
        <v/>
      </c>
      <c r="M3647" s="0" t="str">
        <f aca="false">IF(I3647="","",INDEX(הגדרות!$A$2:$A$21,MOD(I3647+הגדרות!$E$9,הגדרות!$E$6)+1))</f>
        <v/>
      </c>
    </row>
    <row r="3648" customFormat="false" ht="15" hidden="false" customHeight="false" outlineLevel="0" collapsed="false">
      <c r="A3648" s="0" t="str">
        <f aca="false">IF('הדבקת לידים'!A3648="","",IF(ISNUMBER('הדבקת לידים'!A3648),IF(הגדרות!$E$2&gt;0,TEXT('הדבקת לידים'!A3648,REPT("0",הגדרות!$E$2)),TEXT('הדבקת לידים'!A3648,"0")),TRIM('הדבקת לידים'!A3648)))</f>
        <v/>
      </c>
      <c r="B3648" s="0" t="str">
        <f aca="false">IF('הדבקת לידים'!B3648="","",IF(ISNUMBER('הדבקת לידים'!B3648),IF(הגדרות!$E$3&gt;0,TEXT('הדבקת לידים'!B3648,REPT("0",הגדרות!$E$3)),TEXT('הדבקת לידים'!B3648,"0")),TRIM('הדבקת לידים'!B3648)))</f>
        <v/>
      </c>
      <c r="C3648" s="0" t="n">
        <f aca="false">IF(OR(A3648&lt;&gt;"",B3648&lt;&gt;""),1,0)</f>
        <v>0</v>
      </c>
      <c r="D3648" s="0" t="str">
        <f aca="false">IF(C3648=1,MOD(ABS(SIN(ROW()*12.9898+'הדבקת לידים'!$F$2*78.233+IFERROR(--RIGHT(A3648,6),LEN(A3648))*0.0137+IFERROR(--RIGHT(B3648,6),LEN(B3648))*0.0071))*43758.5453,1),"")</f>
        <v/>
      </c>
      <c r="E3648" s="0" t="str">
        <f aca="false">IF(C3648=1,INT(MOD(ABS(SIN(D3648*7919.123+ROW()*0.618+'הדבקת לידים'!$F$2*1.3))*43758.5453,1)*1000000)*10000+ROW(),"")</f>
        <v/>
      </c>
      <c r="F3648" s="0" t="str">
        <f aca="false">IF(E3648="","",RANK(E3648,$E$2:$E$5001,1))</f>
        <v/>
      </c>
      <c r="G3648" s="0" t="n">
        <f aca="false">IF(A3648="",0,IF(SUMPRODUCT(--($A$2:$A$5001=A3648))&gt;1,1,0))</f>
        <v>0</v>
      </c>
      <c r="H3648" s="0" t="n">
        <f aca="false">ROW()-1</f>
        <v>3647</v>
      </c>
      <c r="I3648" s="0" t="str">
        <f aca="false">IF(OR(הגדרות!$E$6=0,H3648&gt;הגדרות!$E$5),"",IF(H3648-1&lt;הגדרות!$E$8*(הגדרות!$E$7+1),INT((H3648-1)/(הגדרות!$E$7+1)),הגדרות!$E$8+INT((H3648-1-הגדרות!$E$8*(הגדרות!$E$7+1))/הגדרות!$E$7)))</f>
        <v/>
      </c>
      <c r="J3648" s="0" t="str">
        <f aca="false">IF(I3648="","",IF(H3648-1&lt;הגדרות!$E$8*(הגדרות!$E$7+1),MOD(H3648-1,הגדרות!$E$7+1),MOD(H3648-1-הגדרות!$E$8*(הגדרות!$E$7+1),הגדרות!$E$7)))</f>
        <v/>
      </c>
      <c r="K3648" s="0" t="str">
        <f aca="false">IF(I3648="","",J3648*הגדרות!$E$6+I3648+1)</f>
        <v/>
      </c>
      <c r="L3648" s="0" t="str">
        <f aca="false">IF(K3648="","",MATCH(K3648,$F$2:$F$5001,0))</f>
        <v/>
      </c>
      <c r="M3648" s="0" t="str">
        <f aca="false">IF(I3648="","",INDEX(הגדרות!$A$2:$A$21,MOD(I3648+הגדרות!$E$9,הגדרות!$E$6)+1))</f>
        <v/>
      </c>
    </row>
    <row r="3649" customFormat="false" ht="15" hidden="false" customHeight="false" outlineLevel="0" collapsed="false">
      <c r="A3649" s="0" t="str">
        <f aca="false">IF('הדבקת לידים'!A3649="","",IF(ISNUMBER('הדבקת לידים'!A3649),IF(הגדרות!$E$2&gt;0,TEXT('הדבקת לידים'!A3649,REPT("0",הגדרות!$E$2)),TEXT('הדבקת לידים'!A3649,"0")),TRIM('הדבקת לידים'!A3649)))</f>
        <v/>
      </c>
      <c r="B3649" s="0" t="str">
        <f aca="false">IF('הדבקת לידים'!B3649="","",IF(ISNUMBER('הדבקת לידים'!B3649),IF(הגדרות!$E$3&gt;0,TEXT('הדבקת לידים'!B3649,REPT("0",הגדרות!$E$3)),TEXT('הדבקת לידים'!B3649,"0")),TRIM('הדבקת לידים'!B3649)))</f>
        <v/>
      </c>
      <c r="C3649" s="0" t="n">
        <f aca="false">IF(OR(A3649&lt;&gt;"",B3649&lt;&gt;""),1,0)</f>
        <v>0</v>
      </c>
      <c r="D3649" s="0" t="str">
        <f aca="false">IF(C3649=1,MOD(ABS(SIN(ROW()*12.9898+'הדבקת לידים'!$F$2*78.233+IFERROR(--RIGHT(A3649,6),LEN(A3649))*0.0137+IFERROR(--RIGHT(B3649,6),LEN(B3649))*0.0071))*43758.5453,1),"")</f>
        <v/>
      </c>
      <c r="E3649" s="0" t="str">
        <f aca="false">IF(C3649=1,INT(MOD(ABS(SIN(D3649*7919.123+ROW()*0.618+'הדבקת לידים'!$F$2*1.3))*43758.5453,1)*1000000)*10000+ROW(),"")</f>
        <v/>
      </c>
      <c r="F3649" s="0" t="str">
        <f aca="false">IF(E3649="","",RANK(E3649,$E$2:$E$5001,1))</f>
        <v/>
      </c>
      <c r="G3649" s="0" t="n">
        <f aca="false">IF(A3649="",0,IF(SUMPRODUCT(--($A$2:$A$5001=A3649))&gt;1,1,0))</f>
        <v>0</v>
      </c>
      <c r="H3649" s="0" t="n">
        <f aca="false">ROW()-1</f>
        <v>3648</v>
      </c>
      <c r="I3649" s="0" t="str">
        <f aca="false">IF(OR(הגדרות!$E$6=0,H3649&gt;הגדרות!$E$5),"",IF(H3649-1&lt;הגדרות!$E$8*(הגדרות!$E$7+1),INT((H3649-1)/(הגדרות!$E$7+1)),הגדרות!$E$8+INT((H3649-1-הגדרות!$E$8*(הגדרות!$E$7+1))/הגדרות!$E$7)))</f>
        <v/>
      </c>
      <c r="J3649" s="0" t="str">
        <f aca="false">IF(I3649="","",IF(H3649-1&lt;הגדרות!$E$8*(הגדרות!$E$7+1),MOD(H3649-1,הגדרות!$E$7+1),MOD(H3649-1-הגדרות!$E$8*(הגדרות!$E$7+1),הגדרות!$E$7)))</f>
        <v/>
      </c>
      <c r="K3649" s="0" t="str">
        <f aca="false">IF(I3649="","",J3649*הגדרות!$E$6+I3649+1)</f>
        <v/>
      </c>
      <c r="L3649" s="0" t="str">
        <f aca="false">IF(K3649="","",MATCH(K3649,$F$2:$F$5001,0))</f>
        <v/>
      </c>
      <c r="M3649" s="0" t="str">
        <f aca="false">IF(I3649="","",INDEX(הגדרות!$A$2:$A$21,MOD(I3649+הגדרות!$E$9,הגדרות!$E$6)+1))</f>
        <v/>
      </c>
    </row>
    <row r="3650" customFormat="false" ht="15" hidden="false" customHeight="false" outlineLevel="0" collapsed="false">
      <c r="A3650" s="0" t="str">
        <f aca="false">IF('הדבקת לידים'!A3650="","",IF(ISNUMBER('הדבקת לידים'!A3650),IF(הגדרות!$E$2&gt;0,TEXT('הדבקת לידים'!A3650,REPT("0",הגדרות!$E$2)),TEXT('הדבקת לידים'!A3650,"0")),TRIM('הדבקת לידים'!A3650)))</f>
        <v/>
      </c>
      <c r="B3650" s="0" t="str">
        <f aca="false">IF('הדבקת לידים'!B3650="","",IF(ISNUMBER('הדבקת לידים'!B3650),IF(הגדרות!$E$3&gt;0,TEXT('הדבקת לידים'!B3650,REPT("0",הגדרות!$E$3)),TEXT('הדבקת לידים'!B3650,"0")),TRIM('הדבקת לידים'!B3650)))</f>
        <v/>
      </c>
      <c r="C3650" s="0" t="n">
        <f aca="false">IF(OR(A3650&lt;&gt;"",B3650&lt;&gt;""),1,0)</f>
        <v>0</v>
      </c>
      <c r="D3650" s="0" t="str">
        <f aca="false">IF(C3650=1,MOD(ABS(SIN(ROW()*12.9898+'הדבקת לידים'!$F$2*78.233+IFERROR(--RIGHT(A3650,6),LEN(A3650))*0.0137+IFERROR(--RIGHT(B3650,6),LEN(B3650))*0.0071))*43758.5453,1),"")</f>
        <v/>
      </c>
      <c r="E3650" s="0" t="str">
        <f aca="false">IF(C3650=1,INT(MOD(ABS(SIN(D3650*7919.123+ROW()*0.618+'הדבקת לידים'!$F$2*1.3))*43758.5453,1)*1000000)*10000+ROW(),"")</f>
        <v/>
      </c>
      <c r="F3650" s="0" t="str">
        <f aca="false">IF(E3650="","",RANK(E3650,$E$2:$E$5001,1))</f>
        <v/>
      </c>
      <c r="G3650" s="0" t="n">
        <f aca="false">IF(A3650="",0,IF(SUMPRODUCT(--($A$2:$A$5001=A3650))&gt;1,1,0))</f>
        <v>0</v>
      </c>
      <c r="H3650" s="0" t="n">
        <f aca="false">ROW()-1</f>
        <v>3649</v>
      </c>
      <c r="I3650" s="0" t="str">
        <f aca="false">IF(OR(הגדרות!$E$6=0,H3650&gt;הגדרות!$E$5),"",IF(H3650-1&lt;הגדרות!$E$8*(הגדרות!$E$7+1),INT((H3650-1)/(הגדרות!$E$7+1)),הגדרות!$E$8+INT((H3650-1-הגדרות!$E$8*(הגדרות!$E$7+1))/הגדרות!$E$7)))</f>
        <v/>
      </c>
      <c r="J3650" s="0" t="str">
        <f aca="false">IF(I3650="","",IF(H3650-1&lt;הגדרות!$E$8*(הגדרות!$E$7+1),MOD(H3650-1,הגדרות!$E$7+1),MOD(H3650-1-הגדרות!$E$8*(הגדרות!$E$7+1),הגדרות!$E$7)))</f>
        <v/>
      </c>
      <c r="K3650" s="0" t="str">
        <f aca="false">IF(I3650="","",J3650*הגדרות!$E$6+I3650+1)</f>
        <v/>
      </c>
      <c r="L3650" s="0" t="str">
        <f aca="false">IF(K3650="","",MATCH(K3650,$F$2:$F$5001,0))</f>
        <v/>
      </c>
      <c r="M3650" s="0" t="str">
        <f aca="false">IF(I3650="","",INDEX(הגדרות!$A$2:$A$21,MOD(I3650+הגדרות!$E$9,הגדרות!$E$6)+1))</f>
        <v/>
      </c>
    </row>
    <row r="3651" customFormat="false" ht="15" hidden="false" customHeight="false" outlineLevel="0" collapsed="false">
      <c r="A3651" s="0" t="str">
        <f aca="false">IF('הדבקת לידים'!A3651="","",IF(ISNUMBER('הדבקת לידים'!A3651),IF(הגדרות!$E$2&gt;0,TEXT('הדבקת לידים'!A3651,REPT("0",הגדרות!$E$2)),TEXT('הדבקת לידים'!A3651,"0")),TRIM('הדבקת לידים'!A3651)))</f>
        <v/>
      </c>
      <c r="B3651" s="0" t="str">
        <f aca="false">IF('הדבקת לידים'!B3651="","",IF(ISNUMBER('הדבקת לידים'!B3651),IF(הגדרות!$E$3&gt;0,TEXT('הדבקת לידים'!B3651,REPT("0",הגדרות!$E$3)),TEXT('הדבקת לידים'!B3651,"0")),TRIM('הדבקת לידים'!B3651)))</f>
        <v/>
      </c>
      <c r="C3651" s="0" t="n">
        <f aca="false">IF(OR(A3651&lt;&gt;"",B3651&lt;&gt;""),1,0)</f>
        <v>0</v>
      </c>
      <c r="D3651" s="0" t="str">
        <f aca="false">IF(C3651=1,MOD(ABS(SIN(ROW()*12.9898+'הדבקת לידים'!$F$2*78.233+IFERROR(--RIGHT(A3651,6),LEN(A3651))*0.0137+IFERROR(--RIGHT(B3651,6),LEN(B3651))*0.0071))*43758.5453,1),"")</f>
        <v/>
      </c>
      <c r="E3651" s="0" t="str">
        <f aca="false">IF(C3651=1,INT(MOD(ABS(SIN(D3651*7919.123+ROW()*0.618+'הדבקת לידים'!$F$2*1.3))*43758.5453,1)*1000000)*10000+ROW(),"")</f>
        <v/>
      </c>
      <c r="F3651" s="0" t="str">
        <f aca="false">IF(E3651="","",RANK(E3651,$E$2:$E$5001,1))</f>
        <v/>
      </c>
      <c r="G3651" s="0" t="n">
        <f aca="false">IF(A3651="",0,IF(SUMPRODUCT(--($A$2:$A$5001=A3651))&gt;1,1,0))</f>
        <v>0</v>
      </c>
      <c r="H3651" s="0" t="n">
        <f aca="false">ROW()-1</f>
        <v>3650</v>
      </c>
      <c r="I3651" s="0" t="str">
        <f aca="false">IF(OR(הגדרות!$E$6=0,H3651&gt;הגדרות!$E$5),"",IF(H3651-1&lt;הגדרות!$E$8*(הגדרות!$E$7+1),INT((H3651-1)/(הגדרות!$E$7+1)),הגדרות!$E$8+INT((H3651-1-הגדרות!$E$8*(הגדרות!$E$7+1))/הגדרות!$E$7)))</f>
        <v/>
      </c>
      <c r="J3651" s="0" t="str">
        <f aca="false">IF(I3651="","",IF(H3651-1&lt;הגדרות!$E$8*(הגדרות!$E$7+1),MOD(H3651-1,הגדרות!$E$7+1),MOD(H3651-1-הגדרות!$E$8*(הגדרות!$E$7+1),הגדרות!$E$7)))</f>
        <v/>
      </c>
      <c r="K3651" s="0" t="str">
        <f aca="false">IF(I3651="","",J3651*הגדרות!$E$6+I3651+1)</f>
        <v/>
      </c>
      <c r="L3651" s="0" t="str">
        <f aca="false">IF(K3651="","",MATCH(K3651,$F$2:$F$5001,0))</f>
        <v/>
      </c>
      <c r="M3651" s="0" t="str">
        <f aca="false">IF(I3651="","",INDEX(הגדרות!$A$2:$A$21,MOD(I3651+הגדרות!$E$9,הגדרות!$E$6)+1))</f>
        <v/>
      </c>
    </row>
    <row r="3652" customFormat="false" ht="15" hidden="false" customHeight="false" outlineLevel="0" collapsed="false">
      <c r="A3652" s="0" t="str">
        <f aca="false">IF('הדבקת לידים'!A3652="","",IF(ISNUMBER('הדבקת לידים'!A3652),IF(הגדרות!$E$2&gt;0,TEXT('הדבקת לידים'!A3652,REPT("0",הגדרות!$E$2)),TEXT('הדבקת לידים'!A3652,"0")),TRIM('הדבקת לידים'!A3652)))</f>
        <v/>
      </c>
      <c r="B3652" s="0" t="str">
        <f aca="false">IF('הדבקת לידים'!B3652="","",IF(ISNUMBER('הדבקת לידים'!B3652),IF(הגדרות!$E$3&gt;0,TEXT('הדבקת לידים'!B3652,REPT("0",הגדרות!$E$3)),TEXT('הדבקת לידים'!B3652,"0")),TRIM('הדבקת לידים'!B3652)))</f>
        <v/>
      </c>
      <c r="C3652" s="0" t="n">
        <f aca="false">IF(OR(A3652&lt;&gt;"",B3652&lt;&gt;""),1,0)</f>
        <v>0</v>
      </c>
      <c r="D3652" s="0" t="str">
        <f aca="false">IF(C3652=1,MOD(ABS(SIN(ROW()*12.9898+'הדבקת לידים'!$F$2*78.233+IFERROR(--RIGHT(A3652,6),LEN(A3652))*0.0137+IFERROR(--RIGHT(B3652,6),LEN(B3652))*0.0071))*43758.5453,1),"")</f>
        <v/>
      </c>
      <c r="E3652" s="0" t="str">
        <f aca="false">IF(C3652=1,INT(MOD(ABS(SIN(D3652*7919.123+ROW()*0.618+'הדבקת לידים'!$F$2*1.3))*43758.5453,1)*1000000)*10000+ROW(),"")</f>
        <v/>
      </c>
      <c r="F3652" s="0" t="str">
        <f aca="false">IF(E3652="","",RANK(E3652,$E$2:$E$5001,1))</f>
        <v/>
      </c>
      <c r="G3652" s="0" t="n">
        <f aca="false">IF(A3652="",0,IF(SUMPRODUCT(--($A$2:$A$5001=A3652))&gt;1,1,0))</f>
        <v>0</v>
      </c>
      <c r="H3652" s="0" t="n">
        <f aca="false">ROW()-1</f>
        <v>3651</v>
      </c>
      <c r="I3652" s="0" t="str">
        <f aca="false">IF(OR(הגדרות!$E$6=0,H3652&gt;הגדרות!$E$5),"",IF(H3652-1&lt;הגדרות!$E$8*(הגדרות!$E$7+1),INT((H3652-1)/(הגדרות!$E$7+1)),הגדרות!$E$8+INT((H3652-1-הגדרות!$E$8*(הגדרות!$E$7+1))/הגדרות!$E$7)))</f>
        <v/>
      </c>
      <c r="J3652" s="0" t="str">
        <f aca="false">IF(I3652="","",IF(H3652-1&lt;הגדרות!$E$8*(הגדרות!$E$7+1),MOD(H3652-1,הגדרות!$E$7+1),MOD(H3652-1-הגדרות!$E$8*(הגדרות!$E$7+1),הגדרות!$E$7)))</f>
        <v/>
      </c>
      <c r="K3652" s="0" t="str">
        <f aca="false">IF(I3652="","",J3652*הגדרות!$E$6+I3652+1)</f>
        <v/>
      </c>
      <c r="L3652" s="0" t="str">
        <f aca="false">IF(K3652="","",MATCH(K3652,$F$2:$F$5001,0))</f>
        <v/>
      </c>
      <c r="M3652" s="0" t="str">
        <f aca="false">IF(I3652="","",INDEX(הגדרות!$A$2:$A$21,MOD(I3652+הגדרות!$E$9,הגדרות!$E$6)+1))</f>
        <v/>
      </c>
    </row>
    <row r="3653" customFormat="false" ht="15" hidden="false" customHeight="false" outlineLevel="0" collapsed="false">
      <c r="A3653" s="0" t="str">
        <f aca="false">IF('הדבקת לידים'!A3653="","",IF(ISNUMBER('הדבקת לידים'!A3653),IF(הגדרות!$E$2&gt;0,TEXT('הדבקת לידים'!A3653,REPT("0",הגדרות!$E$2)),TEXT('הדבקת לידים'!A3653,"0")),TRIM('הדבקת לידים'!A3653)))</f>
        <v/>
      </c>
      <c r="B3653" s="0" t="str">
        <f aca="false">IF('הדבקת לידים'!B3653="","",IF(ISNUMBER('הדבקת לידים'!B3653),IF(הגדרות!$E$3&gt;0,TEXT('הדבקת לידים'!B3653,REPT("0",הגדרות!$E$3)),TEXT('הדבקת לידים'!B3653,"0")),TRIM('הדבקת לידים'!B3653)))</f>
        <v/>
      </c>
      <c r="C3653" s="0" t="n">
        <f aca="false">IF(OR(A3653&lt;&gt;"",B3653&lt;&gt;""),1,0)</f>
        <v>0</v>
      </c>
      <c r="D3653" s="0" t="str">
        <f aca="false">IF(C3653=1,MOD(ABS(SIN(ROW()*12.9898+'הדבקת לידים'!$F$2*78.233+IFERROR(--RIGHT(A3653,6),LEN(A3653))*0.0137+IFERROR(--RIGHT(B3653,6),LEN(B3653))*0.0071))*43758.5453,1),"")</f>
        <v/>
      </c>
      <c r="E3653" s="0" t="str">
        <f aca="false">IF(C3653=1,INT(MOD(ABS(SIN(D3653*7919.123+ROW()*0.618+'הדבקת לידים'!$F$2*1.3))*43758.5453,1)*1000000)*10000+ROW(),"")</f>
        <v/>
      </c>
      <c r="F3653" s="0" t="str">
        <f aca="false">IF(E3653="","",RANK(E3653,$E$2:$E$5001,1))</f>
        <v/>
      </c>
      <c r="G3653" s="0" t="n">
        <f aca="false">IF(A3653="",0,IF(SUMPRODUCT(--($A$2:$A$5001=A3653))&gt;1,1,0))</f>
        <v>0</v>
      </c>
      <c r="H3653" s="0" t="n">
        <f aca="false">ROW()-1</f>
        <v>3652</v>
      </c>
      <c r="I3653" s="0" t="str">
        <f aca="false">IF(OR(הגדרות!$E$6=0,H3653&gt;הגדרות!$E$5),"",IF(H3653-1&lt;הגדרות!$E$8*(הגדרות!$E$7+1),INT((H3653-1)/(הגדרות!$E$7+1)),הגדרות!$E$8+INT((H3653-1-הגדרות!$E$8*(הגדרות!$E$7+1))/הגדרות!$E$7)))</f>
        <v/>
      </c>
      <c r="J3653" s="0" t="str">
        <f aca="false">IF(I3653="","",IF(H3653-1&lt;הגדרות!$E$8*(הגדרות!$E$7+1),MOD(H3653-1,הגדרות!$E$7+1),MOD(H3653-1-הגדרות!$E$8*(הגדרות!$E$7+1),הגדרות!$E$7)))</f>
        <v/>
      </c>
      <c r="K3653" s="0" t="str">
        <f aca="false">IF(I3653="","",J3653*הגדרות!$E$6+I3653+1)</f>
        <v/>
      </c>
      <c r="L3653" s="0" t="str">
        <f aca="false">IF(K3653="","",MATCH(K3653,$F$2:$F$5001,0))</f>
        <v/>
      </c>
      <c r="M3653" s="0" t="str">
        <f aca="false">IF(I3653="","",INDEX(הגדרות!$A$2:$A$21,MOD(I3653+הגדרות!$E$9,הגדרות!$E$6)+1))</f>
        <v/>
      </c>
    </row>
    <row r="3654" customFormat="false" ht="15" hidden="false" customHeight="false" outlineLevel="0" collapsed="false">
      <c r="A3654" s="0" t="str">
        <f aca="false">IF('הדבקת לידים'!A3654="","",IF(ISNUMBER('הדבקת לידים'!A3654),IF(הגדרות!$E$2&gt;0,TEXT('הדבקת לידים'!A3654,REPT("0",הגדרות!$E$2)),TEXT('הדבקת לידים'!A3654,"0")),TRIM('הדבקת לידים'!A3654)))</f>
        <v/>
      </c>
      <c r="B3654" s="0" t="str">
        <f aca="false">IF('הדבקת לידים'!B3654="","",IF(ISNUMBER('הדבקת לידים'!B3654),IF(הגדרות!$E$3&gt;0,TEXT('הדבקת לידים'!B3654,REPT("0",הגדרות!$E$3)),TEXT('הדבקת לידים'!B3654,"0")),TRIM('הדבקת לידים'!B3654)))</f>
        <v/>
      </c>
      <c r="C3654" s="0" t="n">
        <f aca="false">IF(OR(A3654&lt;&gt;"",B3654&lt;&gt;""),1,0)</f>
        <v>0</v>
      </c>
      <c r="D3654" s="0" t="str">
        <f aca="false">IF(C3654=1,MOD(ABS(SIN(ROW()*12.9898+'הדבקת לידים'!$F$2*78.233+IFERROR(--RIGHT(A3654,6),LEN(A3654))*0.0137+IFERROR(--RIGHT(B3654,6),LEN(B3654))*0.0071))*43758.5453,1),"")</f>
        <v/>
      </c>
      <c r="E3654" s="0" t="str">
        <f aca="false">IF(C3654=1,INT(MOD(ABS(SIN(D3654*7919.123+ROW()*0.618+'הדבקת לידים'!$F$2*1.3))*43758.5453,1)*1000000)*10000+ROW(),"")</f>
        <v/>
      </c>
      <c r="F3654" s="0" t="str">
        <f aca="false">IF(E3654="","",RANK(E3654,$E$2:$E$5001,1))</f>
        <v/>
      </c>
      <c r="G3654" s="0" t="n">
        <f aca="false">IF(A3654="",0,IF(SUMPRODUCT(--($A$2:$A$5001=A3654))&gt;1,1,0))</f>
        <v>0</v>
      </c>
      <c r="H3654" s="0" t="n">
        <f aca="false">ROW()-1</f>
        <v>3653</v>
      </c>
      <c r="I3654" s="0" t="str">
        <f aca="false">IF(OR(הגדרות!$E$6=0,H3654&gt;הגדרות!$E$5),"",IF(H3654-1&lt;הגדרות!$E$8*(הגדרות!$E$7+1),INT((H3654-1)/(הגדרות!$E$7+1)),הגדרות!$E$8+INT((H3654-1-הגדרות!$E$8*(הגדרות!$E$7+1))/הגדרות!$E$7)))</f>
        <v/>
      </c>
      <c r="J3654" s="0" t="str">
        <f aca="false">IF(I3654="","",IF(H3654-1&lt;הגדרות!$E$8*(הגדרות!$E$7+1),MOD(H3654-1,הגדרות!$E$7+1),MOD(H3654-1-הגדרות!$E$8*(הגדרות!$E$7+1),הגדרות!$E$7)))</f>
        <v/>
      </c>
      <c r="K3654" s="0" t="str">
        <f aca="false">IF(I3654="","",J3654*הגדרות!$E$6+I3654+1)</f>
        <v/>
      </c>
      <c r="L3654" s="0" t="str">
        <f aca="false">IF(K3654="","",MATCH(K3654,$F$2:$F$5001,0))</f>
        <v/>
      </c>
      <c r="M3654" s="0" t="str">
        <f aca="false">IF(I3654="","",INDEX(הגדרות!$A$2:$A$21,MOD(I3654+הגדרות!$E$9,הגדרות!$E$6)+1))</f>
        <v/>
      </c>
    </row>
    <row r="3655" customFormat="false" ht="15" hidden="false" customHeight="false" outlineLevel="0" collapsed="false">
      <c r="A3655" s="0" t="str">
        <f aca="false">IF('הדבקת לידים'!A3655="","",IF(ISNUMBER('הדבקת לידים'!A3655),IF(הגדרות!$E$2&gt;0,TEXT('הדבקת לידים'!A3655,REPT("0",הגדרות!$E$2)),TEXT('הדבקת לידים'!A3655,"0")),TRIM('הדבקת לידים'!A3655)))</f>
        <v/>
      </c>
      <c r="B3655" s="0" t="str">
        <f aca="false">IF('הדבקת לידים'!B3655="","",IF(ISNUMBER('הדבקת לידים'!B3655),IF(הגדרות!$E$3&gt;0,TEXT('הדבקת לידים'!B3655,REPT("0",הגדרות!$E$3)),TEXT('הדבקת לידים'!B3655,"0")),TRIM('הדבקת לידים'!B3655)))</f>
        <v/>
      </c>
      <c r="C3655" s="0" t="n">
        <f aca="false">IF(OR(A3655&lt;&gt;"",B3655&lt;&gt;""),1,0)</f>
        <v>0</v>
      </c>
      <c r="D3655" s="0" t="str">
        <f aca="false">IF(C3655=1,MOD(ABS(SIN(ROW()*12.9898+'הדבקת לידים'!$F$2*78.233+IFERROR(--RIGHT(A3655,6),LEN(A3655))*0.0137+IFERROR(--RIGHT(B3655,6),LEN(B3655))*0.0071))*43758.5453,1),"")</f>
        <v/>
      </c>
      <c r="E3655" s="0" t="str">
        <f aca="false">IF(C3655=1,INT(MOD(ABS(SIN(D3655*7919.123+ROW()*0.618+'הדבקת לידים'!$F$2*1.3))*43758.5453,1)*1000000)*10000+ROW(),"")</f>
        <v/>
      </c>
      <c r="F3655" s="0" t="str">
        <f aca="false">IF(E3655="","",RANK(E3655,$E$2:$E$5001,1))</f>
        <v/>
      </c>
      <c r="G3655" s="0" t="n">
        <f aca="false">IF(A3655="",0,IF(SUMPRODUCT(--($A$2:$A$5001=A3655))&gt;1,1,0))</f>
        <v>0</v>
      </c>
      <c r="H3655" s="0" t="n">
        <f aca="false">ROW()-1</f>
        <v>3654</v>
      </c>
      <c r="I3655" s="0" t="str">
        <f aca="false">IF(OR(הגדרות!$E$6=0,H3655&gt;הגדרות!$E$5),"",IF(H3655-1&lt;הגדרות!$E$8*(הגדרות!$E$7+1),INT((H3655-1)/(הגדרות!$E$7+1)),הגדרות!$E$8+INT((H3655-1-הגדרות!$E$8*(הגדרות!$E$7+1))/הגדרות!$E$7)))</f>
        <v/>
      </c>
      <c r="J3655" s="0" t="str">
        <f aca="false">IF(I3655="","",IF(H3655-1&lt;הגדרות!$E$8*(הגדרות!$E$7+1),MOD(H3655-1,הגדרות!$E$7+1),MOD(H3655-1-הגדרות!$E$8*(הגדרות!$E$7+1),הגדרות!$E$7)))</f>
        <v/>
      </c>
      <c r="K3655" s="0" t="str">
        <f aca="false">IF(I3655="","",J3655*הגדרות!$E$6+I3655+1)</f>
        <v/>
      </c>
      <c r="L3655" s="0" t="str">
        <f aca="false">IF(K3655="","",MATCH(K3655,$F$2:$F$5001,0))</f>
        <v/>
      </c>
      <c r="M3655" s="0" t="str">
        <f aca="false">IF(I3655="","",INDEX(הגדרות!$A$2:$A$21,MOD(I3655+הגדרות!$E$9,הגדרות!$E$6)+1))</f>
        <v/>
      </c>
    </row>
    <row r="3656" customFormat="false" ht="15" hidden="false" customHeight="false" outlineLevel="0" collapsed="false">
      <c r="A3656" s="0" t="str">
        <f aca="false">IF('הדבקת לידים'!A3656="","",IF(ISNUMBER('הדבקת לידים'!A3656),IF(הגדרות!$E$2&gt;0,TEXT('הדבקת לידים'!A3656,REPT("0",הגדרות!$E$2)),TEXT('הדבקת לידים'!A3656,"0")),TRIM('הדבקת לידים'!A3656)))</f>
        <v/>
      </c>
      <c r="B3656" s="0" t="str">
        <f aca="false">IF('הדבקת לידים'!B3656="","",IF(ISNUMBER('הדבקת לידים'!B3656),IF(הגדרות!$E$3&gt;0,TEXT('הדבקת לידים'!B3656,REPT("0",הגדרות!$E$3)),TEXT('הדבקת לידים'!B3656,"0")),TRIM('הדבקת לידים'!B3656)))</f>
        <v/>
      </c>
      <c r="C3656" s="0" t="n">
        <f aca="false">IF(OR(A3656&lt;&gt;"",B3656&lt;&gt;""),1,0)</f>
        <v>0</v>
      </c>
      <c r="D3656" s="0" t="str">
        <f aca="false">IF(C3656=1,MOD(ABS(SIN(ROW()*12.9898+'הדבקת לידים'!$F$2*78.233+IFERROR(--RIGHT(A3656,6),LEN(A3656))*0.0137+IFERROR(--RIGHT(B3656,6),LEN(B3656))*0.0071))*43758.5453,1),"")</f>
        <v/>
      </c>
      <c r="E3656" s="0" t="str">
        <f aca="false">IF(C3656=1,INT(MOD(ABS(SIN(D3656*7919.123+ROW()*0.618+'הדבקת לידים'!$F$2*1.3))*43758.5453,1)*1000000)*10000+ROW(),"")</f>
        <v/>
      </c>
      <c r="F3656" s="0" t="str">
        <f aca="false">IF(E3656="","",RANK(E3656,$E$2:$E$5001,1))</f>
        <v/>
      </c>
      <c r="G3656" s="0" t="n">
        <f aca="false">IF(A3656="",0,IF(SUMPRODUCT(--($A$2:$A$5001=A3656))&gt;1,1,0))</f>
        <v>0</v>
      </c>
      <c r="H3656" s="0" t="n">
        <f aca="false">ROW()-1</f>
        <v>3655</v>
      </c>
      <c r="I3656" s="0" t="str">
        <f aca="false">IF(OR(הגדרות!$E$6=0,H3656&gt;הגדרות!$E$5),"",IF(H3656-1&lt;הגדרות!$E$8*(הגדרות!$E$7+1),INT((H3656-1)/(הגדרות!$E$7+1)),הגדרות!$E$8+INT((H3656-1-הגדרות!$E$8*(הגדרות!$E$7+1))/הגדרות!$E$7)))</f>
        <v/>
      </c>
      <c r="J3656" s="0" t="str">
        <f aca="false">IF(I3656="","",IF(H3656-1&lt;הגדרות!$E$8*(הגדרות!$E$7+1),MOD(H3656-1,הגדרות!$E$7+1),MOD(H3656-1-הגדרות!$E$8*(הגדרות!$E$7+1),הגדרות!$E$7)))</f>
        <v/>
      </c>
      <c r="K3656" s="0" t="str">
        <f aca="false">IF(I3656="","",J3656*הגדרות!$E$6+I3656+1)</f>
        <v/>
      </c>
      <c r="L3656" s="0" t="str">
        <f aca="false">IF(K3656="","",MATCH(K3656,$F$2:$F$5001,0))</f>
        <v/>
      </c>
      <c r="M3656" s="0" t="str">
        <f aca="false">IF(I3656="","",INDEX(הגדרות!$A$2:$A$21,MOD(I3656+הגדרות!$E$9,הגדרות!$E$6)+1))</f>
        <v/>
      </c>
    </row>
    <row r="3657" customFormat="false" ht="15" hidden="false" customHeight="false" outlineLevel="0" collapsed="false">
      <c r="A3657" s="0" t="str">
        <f aca="false">IF('הדבקת לידים'!A3657="","",IF(ISNUMBER('הדבקת לידים'!A3657),IF(הגדרות!$E$2&gt;0,TEXT('הדבקת לידים'!A3657,REPT("0",הגדרות!$E$2)),TEXT('הדבקת לידים'!A3657,"0")),TRIM('הדבקת לידים'!A3657)))</f>
        <v/>
      </c>
      <c r="B3657" s="0" t="str">
        <f aca="false">IF('הדבקת לידים'!B3657="","",IF(ISNUMBER('הדבקת לידים'!B3657),IF(הגדרות!$E$3&gt;0,TEXT('הדבקת לידים'!B3657,REPT("0",הגדרות!$E$3)),TEXT('הדבקת לידים'!B3657,"0")),TRIM('הדבקת לידים'!B3657)))</f>
        <v/>
      </c>
      <c r="C3657" s="0" t="n">
        <f aca="false">IF(OR(A3657&lt;&gt;"",B3657&lt;&gt;""),1,0)</f>
        <v>0</v>
      </c>
      <c r="D3657" s="0" t="str">
        <f aca="false">IF(C3657=1,MOD(ABS(SIN(ROW()*12.9898+'הדבקת לידים'!$F$2*78.233+IFERROR(--RIGHT(A3657,6),LEN(A3657))*0.0137+IFERROR(--RIGHT(B3657,6),LEN(B3657))*0.0071))*43758.5453,1),"")</f>
        <v/>
      </c>
      <c r="E3657" s="0" t="str">
        <f aca="false">IF(C3657=1,INT(MOD(ABS(SIN(D3657*7919.123+ROW()*0.618+'הדבקת לידים'!$F$2*1.3))*43758.5453,1)*1000000)*10000+ROW(),"")</f>
        <v/>
      </c>
      <c r="F3657" s="0" t="str">
        <f aca="false">IF(E3657="","",RANK(E3657,$E$2:$E$5001,1))</f>
        <v/>
      </c>
      <c r="G3657" s="0" t="n">
        <f aca="false">IF(A3657="",0,IF(SUMPRODUCT(--($A$2:$A$5001=A3657))&gt;1,1,0))</f>
        <v>0</v>
      </c>
      <c r="H3657" s="0" t="n">
        <f aca="false">ROW()-1</f>
        <v>3656</v>
      </c>
      <c r="I3657" s="0" t="str">
        <f aca="false">IF(OR(הגדרות!$E$6=0,H3657&gt;הגדרות!$E$5),"",IF(H3657-1&lt;הגדרות!$E$8*(הגדרות!$E$7+1),INT((H3657-1)/(הגדרות!$E$7+1)),הגדרות!$E$8+INT((H3657-1-הגדרות!$E$8*(הגדרות!$E$7+1))/הגדרות!$E$7)))</f>
        <v/>
      </c>
      <c r="J3657" s="0" t="str">
        <f aca="false">IF(I3657="","",IF(H3657-1&lt;הגדרות!$E$8*(הגדרות!$E$7+1),MOD(H3657-1,הגדרות!$E$7+1),MOD(H3657-1-הגדרות!$E$8*(הגדרות!$E$7+1),הגדרות!$E$7)))</f>
        <v/>
      </c>
      <c r="K3657" s="0" t="str">
        <f aca="false">IF(I3657="","",J3657*הגדרות!$E$6+I3657+1)</f>
        <v/>
      </c>
      <c r="L3657" s="0" t="str">
        <f aca="false">IF(K3657="","",MATCH(K3657,$F$2:$F$5001,0))</f>
        <v/>
      </c>
      <c r="M3657" s="0" t="str">
        <f aca="false">IF(I3657="","",INDEX(הגדרות!$A$2:$A$21,MOD(I3657+הגדרות!$E$9,הגדרות!$E$6)+1))</f>
        <v/>
      </c>
    </row>
    <row r="3658" customFormat="false" ht="15" hidden="false" customHeight="false" outlineLevel="0" collapsed="false">
      <c r="A3658" s="0" t="str">
        <f aca="false">IF('הדבקת לידים'!A3658="","",IF(ISNUMBER('הדבקת לידים'!A3658),IF(הגדרות!$E$2&gt;0,TEXT('הדבקת לידים'!A3658,REPT("0",הגדרות!$E$2)),TEXT('הדבקת לידים'!A3658,"0")),TRIM('הדבקת לידים'!A3658)))</f>
        <v/>
      </c>
      <c r="B3658" s="0" t="str">
        <f aca="false">IF('הדבקת לידים'!B3658="","",IF(ISNUMBER('הדבקת לידים'!B3658),IF(הגדרות!$E$3&gt;0,TEXT('הדבקת לידים'!B3658,REPT("0",הגדרות!$E$3)),TEXT('הדבקת לידים'!B3658,"0")),TRIM('הדבקת לידים'!B3658)))</f>
        <v/>
      </c>
      <c r="C3658" s="0" t="n">
        <f aca="false">IF(OR(A3658&lt;&gt;"",B3658&lt;&gt;""),1,0)</f>
        <v>0</v>
      </c>
      <c r="D3658" s="0" t="str">
        <f aca="false">IF(C3658=1,MOD(ABS(SIN(ROW()*12.9898+'הדבקת לידים'!$F$2*78.233+IFERROR(--RIGHT(A3658,6),LEN(A3658))*0.0137+IFERROR(--RIGHT(B3658,6),LEN(B3658))*0.0071))*43758.5453,1),"")</f>
        <v/>
      </c>
      <c r="E3658" s="0" t="str">
        <f aca="false">IF(C3658=1,INT(MOD(ABS(SIN(D3658*7919.123+ROW()*0.618+'הדבקת לידים'!$F$2*1.3))*43758.5453,1)*1000000)*10000+ROW(),"")</f>
        <v/>
      </c>
      <c r="F3658" s="0" t="str">
        <f aca="false">IF(E3658="","",RANK(E3658,$E$2:$E$5001,1))</f>
        <v/>
      </c>
      <c r="G3658" s="0" t="n">
        <f aca="false">IF(A3658="",0,IF(SUMPRODUCT(--($A$2:$A$5001=A3658))&gt;1,1,0))</f>
        <v>0</v>
      </c>
      <c r="H3658" s="0" t="n">
        <f aca="false">ROW()-1</f>
        <v>3657</v>
      </c>
      <c r="I3658" s="0" t="str">
        <f aca="false">IF(OR(הגדרות!$E$6=0,H3658&gt;הגדרות!$E$5),"",IF(H3658-1&lt;הגדרות!$E$8*(הגדרות!$E$7+1),INT((H3658-1)/(הגדרות!$E$7+1)),הגדרות!$E$8+INT((H3658-1-הגדרות!$E$8*(הגדרות!$E$7+1))/הגדרות!$E$7)))</f>
        <v/>
      </c>
      <c r="J3658" s="0" t="str">
        <f aca="false">IF(I3658="","",IF(H3658-1&lt;הגדרות!$E$8*(הגדרות!$E$7+1),MOD(H3658-1,הגדרות!$E$7+1),MOD(H3658-1-הגדרות!$E$8*(הגדרות!$E$7+1),הגדרות!$E$7)))</f>
        <v/>
      </c>
      <c r="K3658" s="0" t="str">
        <f aca="false">IF(I3658="","",J3658*הגדרות!$E$6+I3658+1)</f>
        <v/>
      </c>
      <c r="L3658" s="0" t="str">
        <f aca="false">IF(K3658="","",MATCH(K3658,$F$2:$F$5001,0))</f>
        <v/>
      </c>
      <c r="M3658" s="0" t="str">
        <f aca="false">IF(I3658="","",INDEX(הגדרות!$A$2:$A$21,MOD(I3658+הגדרות!$E$9,הגדרות!$E$6)+1))</f>
        <v/>
      </c>
    </row>
    <row r="3659" customFormat="false" ht="15" hidden="false" customHeight="false" outlineLevel="0" collapsed="false">
      <c r="A3659" s="0" t="str">
        <f aca="false">IF('הדבקת לידים'!A3659="","",IF(ISNUMBER('הדבקת לידים'!A3659),IF(הגדרות!$E$2&gt;0,TEXT('הדבקת לידים'!A3659,REPT("0",הגדרות!$E$2)),TEXT('הדבקת לידים'!A3659,"0")),TRIM('הדבקת לידים'!A3659)))</f>
        <v/>
      </c>
      <c r="B3659" s="0" t="str">
        <f aca="false">IF('הדבקת לידים'!B3659="","",IF(ISNUMBER('הדבקת לידים'!B3659),IF(הגדרות!$E$3&gt;0,TEXT('הדבקת לידים'!B3659,REPT("0",הגדרות!$E$3)),TEXT('הדבקת לידים'!B3659,"0")),TRIM('הדבקת לידים'!B3659)))</f>
        <v/>
      </c>
      <c r="C3659" s="0" t="n">
        <f aca="false">IF(OR(A3659&lt;&gt;"",B3659&lt;&gt;""),1,0)</f>
        <v>0</v>
      </c>
      <c r="D3659" s="0" t="str">
        <f aca="false">IF(C3659=1,MOD(ABS(SIN(ROW()*12.9898+'הדבקת לידים'!$F$2*78.233+IFERROR(--RIGHT(A3659,6),LEN(A3659))*0.0137+IFERROR(--RIGHT(B3659,6),LEN(B3659))*0.0071))*43758.5453,1),"")</f>
        <v/>
      </c>
      <c r="E3659" s="0" t="str">
        <f aca="false">IF(C3659=1,INT(MOD(ABS(SIN(D3659*7919.123+ROW()*0.618+'הדבקת לידים'!$F$2*1.3))*43758.5453,1)*1000000)*10000+ROW(),"")</f>
        <v/>
      </c>
      <c r="F3659" s="0" t="str">
        <f aca="false">IF(E3659="","",RANK(E3659,$E$2:$E$5001,1))</f>
        <v/>
      </c>
      <c r="G3659" s="0" t="n">
        <f aca="false">IF(A3659="",0,IF(SUMPRODUCT(--($A$2:$A$5001=A3659))&gt;1,1,0))</f>
        <v>0</v>
      </c>
      <c r="H3659" s="0" t="n">
        <f aca="false">ROW()-1</f>
        <v>3658</v>
      </c>
      <c r="I3659" s="0" t="str">
        <f aca="false">IF(OR(הגדרות!$E$6=0,H3659&gt;הגדרות!$E$5),"",IF(H3659-1&lt;הגדרות!$E$8*(הגדרות!$E$7+1),INT((H3659-1)/(הגדרות!$E$7+1)),הגדרות!$E$8+INT((H3659-1-הגדרות!$E$8*(הגדרות!$E$7+1))/הגדרות!$E$7)))</f>
        <v/>
      </c>
      <c r="J3659" s="0" t="str">
        <f aca="false">IF(I3659="","",IF(H3659-1&lt;הגדרות!$E$8*(הגדרות!$E$7+1),MOD(H3659-1,הגדרות!$E$7+1),MOD(H3659-1-הגדרות!$E$8*(הגדרות!$E$7+1),הגדרות!$E$7)))</f>
        <v/>
      </c>
      <c r="K3659" s="0" t="str">
        <f aca="false">IF(I3659="","",J3659*הגדרות!$E$6+I3659+1)</f>
        <v/>
      </c>
      <c r="L3659" s="0" t="str">
        <f aca="false">IF(K3659="","",MATCH(K3659,$F$2:$F$5001,0))</f>
        <v/>
      </c>
      <c r="M3659" s="0" t="str">
        <f aca="false">IF(I3659="","",INDEX(הגדרות!$A$2:$A$21,MOD(I3659+הגדרות!$E$9,הגדרות!$E$6)+1))</f>
        <v/>
      </c>
    </row>
    <row r="3660" customFormat="false" ht="15" hidden="false" customHeight="false" outlineLevel="0" collapsed="false">
      <c r="A3660" s="0" t="str">
        <f aca="false">IF('הדבקת לידים'!A3660="","",IF(ISNUMBER('הדבקת לידים'!A3660),IF(הגדרות!$E$2&gt;0,TEXT('הדבקת לידים'!A3660,REPT("0",הגדרות!$E$2)),TEXT('הדבקת לידים'!A3660,"0")),TRIM('הדבקת לידים'!A3660)))</f>
        <v/>
      </c>
      <c r="B3660" s="0" t="str">
        <f aca="false">IF('הדבקת לידים'!B3660="","",IF(ISNUMBER('הדבקת לידים'!B3660),IF(הגדרות!$E$3&gt;0,TEXT('הדבקת לידים'!B3660,REPT("0",הגדרות!$E$3)),TEXT('הדבקת לידים'!B3660,"0")),TRIM('הדבקת לידים'!B3660)))</f>
        <v/>
      </c>
      <c r="C3660" s="0" t="n">
        <f aca="false">IF(OR(A3660&lt;&gt;"",B3660&lt;&gt;""),1,0)</f>
        <v>0</v>
      </c>
      <c r="D3660" s="0" t="str">
        <f aca="false">IF(C3660=1,MOD(ABS(SIN(ROW()*12.9898+'הדבקת לידים'!$F$2*78.233+IFERROR(--RIGHT(A3660,6),LEN(A3660))*0.0137+IFERROR(--RIGHT(B3660,6),LEN(B3660))*0.0071))*43758.5453,1),"")</f>
        <v/>
      </c>
      <c r="E3660" s="0" t="str">
        <f aca="false">IF(C3660=1,INT(MOD(ABS(SIN(D3660*7919.123+ROW()*0.618+'הדבקת לידים'!$F$2*1.3))*43758.5453,1)*1000000)*10000+ROW(),"")</f>
        <v/>
      </c>
      <c r="F3660" s="0" t="str">
        <f aca="false">IF(E3660="","",RANK(E3660,$E$2:$E$5001,1))</f>
        <v/>
      </c>
      <c r="G3660" s="0" t="n">
        <f aca="false">IF(A3660="",0,IF(SUMPRODUCT(--($A$2:$A$5001=A3660))&gt;1,1,0))</f>
        <v>0</v>
      </c>
      <c r="H3660" s="0" t="n">
        <f aca="false">ROW()-1</f>
        <v>3659</v>
      </c>
      <c r="I3660" s="0" t="str">
        <f aca="false">IF(OR(הגדרות!$E$6=0,H3660&gt;הגדרות!$E$5),"",IF(H3660-1&lt;הגדרות!$E$8*(הגדרות!$E$7+1),INT((H3660-1)/(הגדרות!$E$7+1)),הגדרות!$E$8+INT((H3660-1-הגדרות!$E$8*(הגדרות!$E$7+1))/הגדרות!$E$7)))</f>
        <v/>
      </c>
      <c r="J3660" s="0" t="str">
        <f aca="false">IF(I3660="","",IF(H3660-1&lt;הגדרות!$E$8*(הגדרות!$E$7+1),MOD(H3660-1,הגדרות!$E$7+1),MOD(H3660-1-הגדרות!$E$8*(הגדרות!$E$7+1),הגדרות!$E$7)))</f>
        <v/>
      </c>
      <c r="K3660" s="0" t="str">
        <f aca="false">IF(I3660="","",J3660*הגדרות!$E$6+I3660+1)</f>
        <v/>
      </c>
      <c r="L3660" s="0" t="str">
        <f aca="false">IF(K3660="","",MATCH(K3660,$F$2:$F$5001,0))</f>
        <v/>
      </c>
      <c r="M3660" s="0" t="str">
        <f aca="false">IF(I3660="","",INDEX(הגדרות!$A$2:$A$21,MOD(I3660+הגדרות!$E$9,הגדרות!$E$6)+1))</f>
        <v/>
      </c>
    </row>
    <row r="3661" customFormat="false" ht="15" hidden="false" customHeight="false" outlineLevel="0" collapsed="false">
      <c r="A3661" s="0" t="str">
        <f aca="false">IF('הדבקת לידים'!A3661="","",IF(ISNUMBER('הדבקת לידים'!A3661),IF(הגדרות!$E$2&gt;0,TEXT('הדבקת לידים'!A3661,REPT("0",הגדרות!$E$2)),TEXT('הדבקת לידים'!A3661,"0")),TRIM('הדבקת לידים'!A3661)))</f>
        <v/>
      </c>
      <c r="B3661" s="0" t="str">
        <f aca="false">IF('הדבקת לידים'!B3661="","",IF(ISNUMBER('הדבקת לידים'!B3661),IF(הגדרות!$E$3&gt;0,TEXT('הדבקת לידים'!B3661,REPT("0",הגדרות!$E$3)),TEXT('הדבקת לידים'!B3661,"0")),TRIM('הדבקת לידים'!B3661)))</f>
        <v/>
      </c>
      <c r="C3661" s="0" t="n">
        <f aca="false">IF(OR(A3661&lt;&gt;"",B3661&lt;&gt;""),1,0)</f>
        <v>0</v>
      </c>
      <c r="D3661" s="0" t="str">
        <f aca="false">IF(C3661=1,MOD(ABS(SIN(ROW()*12.9898+'הדבקת לידים'!$F$2*78.233+IFERROR(--RIGHT(A3661,6),LEN(A3661))*0.0137+IFERROR(--RIGHT(B3661,6),LEN(B3661))*0.0071))*43758.5453,1),"")</f>
        <v/>
      </c>
      <c r="E3661" s="0" t="str">
        <f aca="false">IF(C3661=1,INT(MOD(ABS(SIN(D3661*7919.123+ROW()*0.618+'הדבקת לידים'!$F$2*1.3))*43758.5453,1)*1000000)*10000+ROW(),"")</f>
        <v/>
      </c>
      <c r="F3661" s="0" t="str">
        <f aca="false">IF(E3661="","",RANK(E3661,$E$2:$E$5001,1))</f>
        <v/>
      </c>
      <c r="G3661" s="0" t="n">
        <f aca="false">IF(A3661="",0,IF(SUMPRODUCT(--($A$2:$A$5001=A3661))&gt;1,1,0))</f>
        <v>0</v>
      </c>
      <c r="H3661" s="0" t="n">
        <f aca="false">ROW()-1</f>
        <v>3660</v>
      </c>
      <c r="I3661" s="0" t="str">
        <f aca="false">IF(OR(הגדרות!$E$6=0,H3661&gt;הגדרות!$E$5),"",IF(H3661-1&lt;הגדרות!$E$8*(הגדרות!$E$7+1),INT((H3661-1)/(הגדרות!$E$7+1)),הגדרות!$E$8+INT((H3661-1-הגדרות!$E$8*(הגדרות!$E$7+1))/הגדרות!$E$7)))</f>
        <v/>
      </c>
      <c r="J3661" s="0" t="str">
        <f aca="false">IF(I3661="","",IF(H3661-1&lt;הגדרות!$E$8*(הגדרות!$E$7+1),MOD(H3661-1,הגדרות!$E$7+1),MOD(H3661-1-הגדרות!$E$8*(הגדרות!$E$7+1),הגדרות!$E$7)))</f>
        <v/>
      </c>
      <c r="K3661" s="0" t="str">
        <f aca="false">IF(I3661="","",J3661*הגדרות!$E$6+I3661+1)</f>
        <v/>
      </c>
      <c r="L3661" s="0" t="str">
        <f aca="false">IF(K3661="","",MATCH(K3661,$F$2:$F$5001,0))</f>
        <v/>
      </c>
      <c r="M3661" s="0" t="str">
        <f aca="false">IF(I3661="","",INDEX(הגדרות!$A$2:$A$21,MOD(I3661+הגדרות!$E$9,הגדרות!$E$6)+1))</f>
        <v/>
      </c>
    </row>
    <row r="3662" customFormat="false" ht="15" hidden="false" customHeight="false" outlineLevel="0" collapsed="false">
      <c r="A3662" s="0" t="str">
        <f aca="false">IF('הדבקת לידים'!A3662="","",IF(ISNUMBER('הדבקת לידים'!A3662),IF(הגדרות!$E$2&gt;0,TEXT('הדבקת לידים'!A3662,REPT("0",הגדרות!$E$2)),TEXT('הדבקת לידים'!A3662,"0")),TRIM('הדבקת לידים'!A3662)))</f>
        <v/>
      </c>
      <c r="B3662" s="0" t="str">
        <f aca="false">IF('הדבקת לידים'!B3662="","",IF(ISNUMBER('הדבקת לידים'!B3662),IF(הגדרות!$E$3&gt;0,TEXT('הדבקת לידים'!B3662,REPT("0",הגדרות!$E$3)),TEXT('הדבקת לידים'!B3662,"0")),TRIM('הדבקת לידים'!B3662)))</f>
        <v/>
      </c>
      <c r="C3662" s="0" t="n">
        <f aca="false">IF(OR(A3662&lt;&gt;"",B3662&lt;&gt;""),1,0)</f>
        <v>0</v>
      </c>
      <c r="D3662" s="0" t="str">
        <f aca="false">IF(C3662=1,MOD(ABS(SIN(ROW()*12.9898+'הדבקת לידים'!$F$2*78.233+IFERROR(--RIGHT(A3662,6),LEN(A3662))*0.0137+IFERROR(--RIGHT(B3662,6),LEN(B3662))*0.0071))*43758.5453,1),"")</f>
        <v/>
      </c>
      <c r="E3662" s="0" t="str">
        <f aca="false">IF(C3662=1,INT(MOD(ABS(SIN(D3662*7919.123+ROW()*0.618+'הדבקת לידים'!$F$2*1.3))*43758.5453,1)*1000000)*10000+ROW(),"")</f>
        <v/>
      </c>
      <c r="F3662" s="0" t="str">
        <f aca="false">IF(E3662="","",RANK(E3662,$E$2:$E$5001,1))</f>
        <v/>
      </c>
      <c r="G3662" s="0" t="n">
        <f aca="false">IF(A3662="",0,IF(SUMPRODUCT(--($A$2:$A$5001=A3662))&gt;1,1,0))</f>
        <v>0</v>
      </c>
      <c r="H3662" s="0" t="n">
        <f aca="false">ROW()-1</f>
        <v>3661</v>
      </c>
      <c r="I3662" s="0" t="str">
        <f aca="false">IF(OR(הגדרות!$E$6=0,H3662&gt;הגדרות!$E$5),"",IF(H3662-1&lt;הגדרות!$E$8*(הגדרות!$E$7+1),INT((H3662-1)/(הגדרות!$E$7+1)),הגדרות!$E$8+INT((H3662-1-הגדרות!$E$8*(הגדרות!$E$7+1))/הגדרות!$E$7)))</f>
        <v/>
      </c>
      <c r="J3662" s="0" t="str">
        <f aca="false">IF(I3662="","",IF(H3662-1&lt;הגדרות!$E$8*(הגדרות!$E$7+1),MOD(H3662-1,הגדרות!$E$7+1),MOD(H3662-1-הגדרות!$E$8*(הגדרות!$E$7+1),הגדרות!$E$7)))</f>
        <v/>
      </c>
      <c r="K3662" s="0" t="str">
        <f aca="false">IF(I3662="","",J3662*הגדרות!$E$6+I3662+1)</f>
        <v/>
      </c>
      <c r="L3662" s="0" t="str">
        <f aca="false">IF(K3662="","",MATCH(K3662,$F$2:$F$5001,0))</f>
        <v/>
      </c>
      <c r="M3662" s="0" t="str">
        <f aca="false">IF(I3662="","",INDEX(הגדרות!$A$2:$A$21,MOD(I3662+הגדרות!$E$9,הגדרות!$E$6)+1))</f>
        <v/>
      </c>
    </row>
    <row r="3663" customFormat="false" ht="15" hidden="false" customHeight="false" outlineLevel="0" collapsed="false">
      <c r="A3663" s="0" t="str">
        <f aca="false">IF('הדבקת לידים'!A3663="","",IF(ISNUMBER('הדבקת לידים'!A3663),IF(הגדרות!$E$2&gt;0,TEXT('הדבקת לידים'!A3663,REPT("0",הגדרות!$E$2)),TEXT('הדבקת לידים'!A3663,"0")),TRIM('הדבקת לידים'!A3663)))</f>
        <v/>
      </c>
      <c r="B3663" s="0" t="str">
        <f aca="false">IF('הדבקת לידים'!B3663="","",IF(ISNUMBER('הדבקת לידים'!B3663),IF(הגדרות!$E$3&gt;0,TEXT('הדבקת לידים'!B3663,REPT("0",הגדרות!$E$3)),TEXT('הדבקת לידים'!B3663,"0")),TRIM('הדבקת לידים'!B3663)))</f>
        <v/>
      </c>
      <c r="C3663" s="0" t="n">
        <f aca="false">IF(OR(A3663&lt;&gt;"",B3663&lt;&gt;""),1,0)</f>
        <v>0</v>
      </c>
      <c r="D3663" s="0" t="str">
        <f aca="false">IF(C3663=1,MOD(ABS(SIN(ROW()*12.9898+'הדבקת לידים'!$F$2*78.233+IFERROR(--RIGHT(A3663,6),LEN(A3663))*0.0137+IFERROR(--RIGHT(B3663,6),LEN(B3663))*0.0071))*43758.5453,1),"")</f>
        <v/>
      </c>
      <c r="E3663" s="0" t="str">
        <f aca="false">IF(C3663=1,INT(MOD(ABS(SIN(D3663*7919.123+ROW()*0.618+'הדבקת לידים'!$F$2*1.3))*43758.5453,1)*1000000)*10000+ROW(),"")</f>
        <v/>
      </c>
      <c r="F3663" s="0" t="str">
        <f aca="false">IF(E3663="","",RANK(E3663,$E$2:$E$5001,1))</f>
        <v/>
      </c>
      <c r="G3663" s="0" t="n">
        <f aca="false">IF(A3663="",0,IF(SUMPRODUCT(--($A$2:$A$5001=A3663))&gt;1,1,0))</f>
        <v>0</v>
      </c>
      <c r="H3663" s="0" t="n">
        <f aca="false">ROW()-1</f>
        <v>3662</v>
      </c>
      <c r="I3663" s="0" t="str">
        <f aca="false">IF(OR(הגדרות!$E$6=0,H3663&gt;הגדרות!$E$5),"",IF(H3663-1&lt;הגדרות!$E$8*(הגדרות!$E$7+1),INT((H3663-1)/(הגדרות!$E$7+1)),הגדרות!$E$8+INT((H3663-1-הגדרות!$E$8*(הגדרות!$E$7+1))/הגדרות!$E$7)))</f>
        <v/>
      </c>
      <c r="J3663" s="0" t="str">
        <f aca="false">IF(I3663="","",IF(H3663-1&lt;הגדרות!$E$8*(הגדרות!$E$7+1),MOD(H3663-1,הגדרות!$E$7+1),MOD(H3663-1-הגדרות!$E$8*(הגדרות!$E$7+1),הגדרות!$E$7)))</f>
        <v/>
      </c>
      <c r="K3663" s="0" t="str">
        <f aca="false">IF(I3663="","",J3663*הגדרות!$E$6+I3663+1)</f>
        <v/>
      </c>
      <c r="L3663" s="0" t="str">
        <f aca="false">IF(K3663="","",MATCH(K3663,$F$2:$F$5001,0))</f>
        <v/>
      </c>
      <c r="M3663" s="0" t="str">
        <f aca="false">IF(I3663="","",INDEX(הגדרות!$A$2:$A$21,MOD(I3663+הגדרות!$E$9,הגדרות!$E$6)+1))</f>
        <v/>
      </c>
    </row>
    <row r="3664" customFormat="false" ht="15" hidden="false" customHeight="false" outlineLevel="0" collapsed="false">
      <c r="A3664" s="0" t="str">
        <f aca="false">IF('הדבקת לידים'!A3664="","",IF(ISNUMBER('הדבקת לידים'!A3664),IF(הגדרות!$E$2&gt;0,TEXT('הדבקת לידים'!A3664,REPT("0",הגדרות!$E$2)),TEXT('הדבקת לידים'!A3664,"0")),TRIM('הדבקת לידים'!A3664)))</f>
        <v/>
      </c>
      <c r="B3664" s="0" t="str">
        <f aca="false">IF('הדבקת לידים'!B3664="","",IF(ISNUMBER('הדבקת לידים'!B3664),IF(הגדרות!$E$3&gt;0,TEXT('הדבקת לידים'!B3664,REPT("0",הגדרות!$E$3)),TEXT('הדבקת לידים'!B3664,"0")),TRIM('הדבקת לידים'!B3664)))</f>
        <v/>
      </c>
      <c r="C3664" s="0" t="n">
        <f aca="false">IF(OR(A3664&lt;&gt;"",B3664&lt;&gt;""),1,0)</f>
        <v>0</v>
      </c>
      <c r="D3664" s="0" t="str">
        <f aca="false">IF(C3664=1,MOD(ABS(SIN(ROW()*12.9898+'הדבקת לידים'!$F$2*78.233+IFERROR(--RIGHT(A3664,6),LEN(A3664))*0.0137+IFERROR(--RIGHT(B3664,6),LEN(B3664))*0.0071))*43758.5453,1),"")</f>
        <v/>
      </c>
      <c r="E3664" s="0" t="str">
        <f aca="false">IF(C3664=1,INT(MOD(ABS(SIN(D3664*7919.123+ROW()*0.618+'הדבקת לידים'!$F$2*1.3))*43758.5453,1)*1000000)*10000+ROW(),"")</f>
        <v/>
      </c>
      <c r="F3664" s="0" t="str">
        <f aca="false">IF(E3664="","",RANK(E3664,$E$2:$E$5001,1))</f>
        <v/>
      </c>
      <c r="G3664" s="0" t="n">
        <f aca="false">IF(A3664="",0,IF(SUMPRODUCT(--($A$2:$A$5001=A3664))&gt;1,1,0))</f>
        <v>0</v>
      </c>
      <c r="H3664" s="0" t="n">
        <f aca="false">ROW()-1</f>
        <v>3663</v>
      </c>
      <c r="I3664" s="0" t="str">
        <f aca="false">IF(OR(הגדרות!$E$6=0,H3664&gt;הגדרות!$E$5),"",IF(H3664-1&lt;הגדרות!$E$8*(הגדרות!$E$7+1),INT((H3664-1)/(הגדרות!$E$7+1)),הגדרות!$E$8+INT((H3664-1-הגדרות!$E$8*(הגדרות!$E$7+1))/הגדרות!$E$7)))</f>
        <v/>
      </c>
      <c r="J3664" s="0" t="str">
        <f aca="false">IF(I3664="","",IF(H3664-1&lt;הגדרות!$E$8*(הגדרות!$E$7+1),MOD(H3664-1,הגדרות!$E$7+1),MOD(H3664-1-הגדרות!$E$8*(הגדרות!$E$7+1),הגדרות!$E$7)))</f>
        <v/>
      </c>
      <c r="K3664" s="0" t="str">
        <f aca="false">IF(I3664="","",J3664*הגדרות!$E$6+I3664+1)</f>
        <v/>
      </c>
      <c r="L3664" s="0" t="str">
        <f aca="false">IF(K3664="","",MATCH(K3664,$F$2:$F$5001,0))</f>
        <v/>
      </c>
      <c r="M3664" s="0" t="str">
        <f aca="false">IF(I3664="","",INDEX(הגדרות!$A$2:$A$21,MOD(I3664+הגדרות!$E$9,הגדרות!$E$6)+1))</f>
        <v/>
      </c>
    </row>
    <row r="3665" customFormat="false" ht="15" hidden="false" customHeight="false" outlineLevel="0" collapsed="false">
      <c r="A3665" s="0" t="str">
        <f aca="false">IF('הדבקת לידים'!A3665="","",IF(ISNUMBER('הדבקת לידים'!A3665),IF(הגדרות!$E$2&gt;0,TEXT('הדבקת לידים'!A3665,REPT("0",הגדרות!$E$2)),TEXT('הדבקת לידים'!A3665,"0")),TRIM('הדבקת לידים'!A3665)))</f>
        <v/>
      </c>
      <c r="B3665" s="0" t="str">
        <f aca="false">IF('הדבקת לידים'!B3665="","",IF(ISNUMBER('הדבקת לידים'!B3665),IF(הגדרות!$E$3&gt;0,TEXT('הדבקת לידים'!B3665,REPT("0",הגדרות!$E$3)),TEXT('הדבקת לידים'!B3665,"0")),TRIM('הדבקת לידים'!B3665)))</f>
        <v/>
      </c>
      <c r="C3665" s="0" t="n">
        <f aca="false">IF(OR(A3665&lt;&gt;"",B3665&lt;&gt;""),1,0)</f>
        <v>0</v>
      </c>
      <c r="D3665" s="0" t="str">
        <f aca="false">IF(C3665=1,MOD(ABS(SIN(ROW()*12.9898+'הדבקת לידים'!$F$2*78.233+IFERROR(--RIGHT(A3665,6),LEN(A3665))*0.0137+IFERROR(--RIGHT(B3665,6),LEN(B3665))*0.0071))*43758.5453,1),"")</f>
        <v/>
      </c>
      <c r="E3665" s="0" t="str">
        <f aca="false">IF(C3665=1,INT(MOD(ABS(SIN(D3665*7919.123+ROW()*0.618+'הדבקת לידים'!$F$2*1.3))*43758.5453,1)*1000000)*10000+ROW(),"")</f>
        <v/>
      </c>
      <c r="F3665" s="0" t="str">
        <f aca="false">IF(E3665="","",RANK(E3665,$E$2:$E$5001,1))</f>
        <v/>
      </c>
      <c r="G3665" s="0" t="n">
        <f aca="false">IF(A3665="",0,IF(SUMPRODUCT(--($A$2:$A$5001=A3665))&gt;1,1,0))</f>
        <v>0</v>
      </c>
      <c r="H3665" s="0" t="n">
        <f aca="false">ROW()-1</f>
        <v>3664</v>
      </c>
      <c r="I3665" s="0" t="str">
        <f aca="false">IF(OR(הגדרות!$E$6=0,H3665&gt;הגדרות!$E$5),"",IF(H3665-1&lt;הגדרות!$E$8*(הגדרות!$E$7+1),INT((H3665-1)/(הגדרות!$E$7+1)),הגדרות!$E$8+INT((H3665-1-הגדרות!$E$8*(הגדרות!$E$7+1))/הגדרות!$E$7)))</f>
        <v/>
      </c>
      <c r="J3665" s="0" t="str">
        <f aca="false">IF(I3665="","",IF(H3665-1&lt;הגדרות!$E$8*(הגדרות!$E$7+1),MOD(H3665-1,הגדרות!$E$7+1),MOD(H3665-1-הגדרות!$E$8*(הגדרות!$E$7+1),הגדרות!$E$7)))</f>
        <v/>
      </c>
      <c r="K3665" s="0" t="str">
        <f aca="false">IF(I3665="","",J3665*הגדרות!$E$6+I3665+1)</f>
        <v/>
      </c>
      <c r="L3665" s="0" t="str">
        <f aca="false">IF(K3665="","",MATCH(K3665,$F$2:$F$5001,0))</f>
        <v/>
      </c>
      <c r="M3665" s="0" t="str">
        <f aca="false">IF(I3665="","",INDEX(הגדרות!$A$2:$A$21,MOD(I3665+הגדרות!$E$9,הגדרות!$E$6)+1))</f>
        <v/>
      </c>
    </row>
    <row r="3666" customFormat="false" ht="15" hidden="false" customHeight="false" outlineLevel="0" collapsed="false">
      <c r="A3666" s="0" t="str">
        <f aca="false">IF('הדבקת לידים'!A3666="","",IF(ISNUMBER('הדבקת לידים'!A3666),IF(הגדרות!$E$2&gt;0,TEXT('הדבקת לידים'!A3666,REPT("0",הגדרות!$E$2)),TEXT('הדבקת לידים'!A3666,"0")),TRIM('הדבקת לידים'!A3666)))</f>
        <v/>
      </c>
      <c r="B3666" s="0" t="str">
        <f aca="false">IF('הדבקת לידים'!B3666="","",IF(ISNUMBER('הדבקת לידים'!B3666),IF(הגדרות!$E$3&gt;0,TEXT('הדבקת לידים'!B3666,REPT("0",הגדרות!$E$3)),TEXT('הדבקת לידים'!B3666,"0")),TRIM('הדבקת לידים'!B3666)))</f>
        <v/>
      </c>
      <c r="C3666" s="0" t="n">
        <f aca="false">IF(OR(A3666&lt;&gt;"",B3666&lt;&gt;""),1,0)</f>
        <v>0</v>
      </c>
      <c r="D3666" s="0" t="str">
        <f aca="false">IF(C3666=1,MOD(ABS(SIN(ROW()*12.9898+'הדבקת לידים'!$F$2*78.233+IFERROR(--RIGHT(A3666,6),LEN(A3666))*0.0137+IFERROR(--RIGHT(B3666,6),LEN(B3666))*0.0071))*43758.5453,1),"")</f>
        <v/>
      </c>
      <c r="E3666" s="0" t="str">
        <f aca="false">IF(C3666=1,INT(MOD(ABS(SIN(D3666*7919.123+ROW()*0.618+'הדבקת לידים'!$F$2*1.3))*43758.5453,1)*1000000)*10000+ROW(),"")</f>
        <v/>
      </c>
      <c r="F3666" s="0" t="str">
        <f aca="false">IF(E3666="","",RANK(E3666,$E$2:$E$5001,1))</f>
        <v/>
      </c>
      <c r="G3666" s="0" t="n">
        <f aca="false">IF(A3666="",0,IF(SUMPRODUCT(--($A$2:$A$5001=A3666))&gt;1,1,0))</f>
        <v>0</v>
      </c>
      <c r="H3666" s="0" t="n">
        <f aca="false">ROW()-1</f>
        <v>3665</v>
      </c>
      <c r="I3666" s="0" t="str">
        <f aca="false">IF(OR(הגדרות!$E$6=0,H3666&gt;הגדרות!$E$5),"",IF(H3666-1&lt;הגדרות!$E$8*(הגדרות!$E$7+1),INT((H3666-1)/(הגדרות!$E$7+1)),הגדרות!$E$8+INT((H3666-1-הגדרות!$E$8*(הגדרות!$E$7+1))/הגדרות!$E$7)))</f>
        <v/>
      </c>
      <c r="J3666" s="0" t="str">
        <f aca="false">IF(I3666="","",IF(H3666-1&lt;הגדרות!$E$8*(הגדרות!$E$7+1),MOD(H3666-1,הגדרות!$E$7+1),MOD(H3666-1-הגדרות!$E$8*(הגדרות!$E$7+1),הגדרות!$E$7)))</f>
        <v/>
      </c>
      <c r="K3666" s="0" t="str">
        <f aca="false">IF(I3666="","",J3666*הגדרות!$E$6+I3666+1)</f>
        <v/>
      </c>
      <c r="L3666" s="0" t="str">
        <f aca="false">IF(K3666="","",MATCH(K3666,$F$2:$F$5001,0))</f>
        <v/>
      </c>
      <c r="M3666" s="0" t="str">
        <f aca="false">IF(I3666="","",INDEX(הגדרות!$A$2:$A$21,MOD(I3666+הגדרות!$E$9,הגדרות!$E$6)+1))</f>
        <v/>
      </c>
    </row>
    <row r="3667" customFormat="false" ht="15" hidden="false" customHeight="false" outlineLevel="0" collapsed="false">
      <c r="A3667" s="0" t="str">
        <f aca="false">IF('הדבקת לידים'!A3667="","",IF(ISNUMBER('הדבקת לידים'!A3667),IF(הגדרות!$E$2&gt;0,TEXT('הדבקת לידים'!A3667,REPT("0",הגדרות!$E$2)),TEXT('הדבקת לידים'!A3667,"0")),TRIM('הדבקת לידים'!A3667)))</f>
        <v/>
      </c>
      <c r="B3667" s="0" t="str">
        <f aca="false">IF('הדבקת לידים'!B3667="","",IF(ISNUMBER('הדבקת לידים'!B3667),IF(הגדרות!$E$3&gt;0,TEXT('הדבקת לידים'!B3667,REPT("0",הגדרות!$E$3)),TEXT('הדבקת לידים'!B3667,"0")),TRIM('הדבקת לידים'!B3667)))</f>
        <v/>
      </c>
      <c r="C3667" s="0" t="n">
        <f aca="false">IF(OR(A3667&lt;&gt;"",B3667&lt;&gt;""),1,0)</f>
        <v>0</v>
      </c>
      <c r="D3667" s="0" t="str">
        <f aca="false">IF(C3667=1,MOD(ABS(SIN(ROW()*12.9898+'הדבקת לידים'!$F$2*78.233+IFERROR(--RIGHT(A3667,6),LEN(A3667))*0.0137+IFERROR(--RIGHT(B3667,6),LEN(B3667))*0.0071))*43758.5453,1),"")</f>
        <v/>
      </c>
      <c r="E3667" s="0" t="str">
        <f aca="false">IF(C3667=1,INT(MOD(ABS(SIN(D3667*7919.123+ROW()*0.618+'הדבקת לידים'!$F$2*1.3))*43758.5453,1)*1000000)*10000+ROW(),"")</f>
        <v/>
      </c>
      <c r="F3667" s="0" t="str">
        <f aca="false">IF(E3667="","",RANK(E3667,$E$2:$E$5001,1))</f>
        <v/>
      </c>
      <c r="G3667" s="0" t="n">
        <f aca="false">IF(A3667="",0,IF(SUMPRODUCT(--($A$2:$A$5001=A3667))&gt;1,1,0))</f>
        <v>0</v>
      </c>
      <c r="H3667" s="0" t="n">
        <f aca="false">ROW()-1</f>
        <v>3666</v>
      </c>
      <c r="I3667" s="0" t="str">
        <f aca="false">IF(OR(הגדרות!$E$6=0,H3667&gt;הגדרות!$E$5),"",IF(H3667-1&lt;הגדרות!$E$8*(הגדרות!$E$7+1),INT((H3667-1)/(הגדרות!$E$7+1)),הגדרות!$E$8+INT((H3667-1-הגדרות!$E$8*(הגדרות!$E$7+1))/הגדרות!$E$7)))</f>
        <v/>
      </c>
      <c r="J3667" s="0" t="str">
        <f aca="false">IF(I3667="","",IF(H3667-1&lt;הגדרות!$E$8*(הגדרות!$E$7+1),MOD(H3667-1,הגדרות!$E$7+1),MOD(H3667-1-הגדרות!$E$8*(הגדרות!$E$7+1),הגדרות!$E$7)))</f>
        <v/>
      </c>
      <c r="K3667" s="0" t="str">
        <f aca="false">IF(I3667="","",J3667*הגדרות!$E$6+I3667+1)</f>
        <v/>
      </c>
      <c r="L3667" s="0" t="str">
        <f aca="false">IF(K3667="","",MATCH(K3667,$F$2:$F$5001,0))</f>
        <v/>
      </c>
      <c r="M3667" s="0" t="str">
        <f aca="false">IF(I3667="","",INDEX(הגדרות!$A$2:$A$21,MOD(I3667+הגדרות!$E$9,הגדרות!$E$6)+1))</f>
        <v/>
      </c>
    </row>
    <row r="3668" customFormat="false" ht="15" hidden="false" customHeight="false" outlineLevel="0" collapsed="false">
      <c r="A3668" s="0" t="str">
        <f aca="false">IF('הדבקת לידים'!A3668="","",IF(ISNUMBER('הדבקת לידים'!A3668),IF(הגדרות!$E$2&gt;0,TEXT('הדבקת לידים'!A3668,REPT("0",הגדרות!$E$2)),TEXT('הדבקת לידים'!A3668,"0")),TRIM('הדבקת לידים'!A3668)))</f>
        <v/>
      </c>
      <c r="B3668" s="0" t="str">
        <f aca="false">IF('הדבקת לידים'!B3668="","",IF(ISNUMBER('הדבקת לידים'!B3668),IF(הגדרות!$E$3&gt;0,TEXT('הדבקת לידים'!B3668,REPT("0",הגדרות!$E$3)),TEXT('הדבקת לידים'!B3668,"0")),TRIM('הדבקת לידים'!B3668)))</f>
        <v/>
      </c>
      <c r="C3668" s="0" t="n">
        <f aca="false">IF(OR(A3668&lt;&gt;"",B3668&lt;&gt;""),1,0)</f>
        <v>0</v>
      </c>
      <c r="D3668" s="0" t="str">
        <f aca="false">IF(C3668=1,MOD(ABS(SIN(ROW()*12.9898+'הדבקת לידים'!$F$2*78.233+IFERROR(--RIGHT(A3668,6),LEN(A3668))*0.0137+IFERROR(--RIGHT(B3668,6),LEN(B3668))*0.0071))*43758.5453,1),"")</f>
        <v/>
      </c>
      <c r="E3668" s="0" t="str">
        <f aca="false">IF(C3668=1,INT(MOD(ABS(SIN(D3668*7919.123+ROW()*0.618+'הדבקת לידים'!$F$2*1.3))*43758.5453,1)*1000000)*10000+ROW(),"")</f>
        <v/>
      </c>
      <c r="F3668" s="0" t="str">
        <f aca="false">IF(E3668="","",RANK(E3668,$E$2:$E$5001,1))</f>
        <v/>
      </c>
      <c r="G3668" s="0" t="n">
        <f aca="false">IF(A3668="",0,IF(SUMPRODUCT(--($A$2:$A$5001=A3668))&gt;1,1,0))</f>
        <v>0</v>
      </c>
      <c r="H3668" s="0" t="n">
        <f aca="false">ROW()-1</f>
        <v>3667</v>
      </c>
      <c r="I3668" s="0" t="str">
        <f aca="false">IF(OR(הגדרות!$E$6=0,H3668&gt;הגדרות!$E$5),"",IF(H3668-1&lt;הגדרות!$E$8*(הגדרות!$E$7+1),INT((H3668-1)/(הגדרות!$E$7+1)),הגדרות!$E$8+INT((H3668-1-הגדרות!$E$8*(הגדרות!$E$7+1))/הגדרות!$E$7)))</f>
        <v/>
      </c>
      <c r="J3668" s="0" t="str">
        <f aca="false">IF(I3668="","",IF(H3668-1&lt;הגדרות!$E$8*(הגדרות!$E$7+1),MOD(H3668-1,הגדרות!$E$7+1),MOD(H3668-1-הגדרות!$E$8*(הגדרות!$E$7+1),הגדרות!$E$7)))</f>
        <v/>
      </c>
      <c r="K3668" s="0" t="str">
        <f aca="false">IF(I3668="","",J3668*הגדרות!$E$6+I3668+1)</f>
        <v/>
      </c>
      <c r="L3668" s="0" t="str">
        <f aca="false">IF(K3668="","",MATCH(K3668,$F$2:$F$5001,0))</f>
        <v/>
      </c>
      <c r="M3668" s="0" t="str">
        <f aca="false">IF(I3668="","",INDEX(הגדרות!$A$2:$A$21,MOD(I3668+הגדרות!$E$9,הגדרות!$E$6)+1))</f>
        <v/>
      </c>
    </row>
    <row r="3669" customFormat="false" ht="15" hidden="false" customHeight="false" outlineLevel="0" collapsed="false">
      <c r="A3669" s="0" t="str">
        <f aca="false">IF('הדבקת לידים'!A3669="","",IF(ISNUMBER('הדבקת לידים'!A3669),IF(הגדרות!$E$2&gt;0,TEXT('הדבקת לידים'!A3669,REPT("0",הגדרות!$E$2)),TEXT('הדבקת לידים'!A3669,"0")),TRIM('הדבקת לידים'!A3669)))</f>
        <v/>
      </c>
      <c r="B3669" s="0" t="str">
        <f aca="false">IF('הדבקת לידים'!B3669="","",IF(ISNUMBER('הדבקת לידים'!B3669),IF(הגדרות!$E$3&gt;0,TEXT('הדבקת לידים'!B3669,REPT("0",הגדרות!$E$3)),TEXT('הדבקת לידים'!B3669,"0")),TRIM('הדבקת לידים'!B3669)))</f>
        <v/>
      </c>
      <c r="C3669" s="0" t="n">
        <f aca="false">IF(OR(A3669&lt;&gt;"",B3669&lt;&gt;""),1,0)</f>
        <v>0</v>
      </c>
      <c r="D3669" s="0" t="str">
        <f aca="false">IF(C3669=1,MOD(ABS(SIN(ROW()*12.9898+'הדבקת לידים'!$F$2*78.233+IFERROR(--RIGHT(A3669,6),LEN(A3669))*0.0137+IFERROR(--RIGHT(B3669,6),LEN(B3669))*0.0071))*43758.5453,1),"")</f>
        <v/>
      </c>
      <c r="E3669" s="0" t="str">
        <f aca="false">IF(C3669=1,INT(MOD(ABS(SIN(D3669*7919.123+ROW()*0.618+'הדבקת לידים'!$F$2*1.3))*43758.5453,1)*1000000)*10000+ROW(),"")</f>
        <v/>
      </c>
      <c r="F3669" s="0" t="str">
        <f aca="false">IF(E3669="","",RANK(E3669,$E$2:$E$5001,1))</f>
        <v/>
      </c>
      <c r="G3669" s="0" t="n">
        <f aca="false">IF(A3669="",0,IF(SUMPRODUCT(--($A$2:$A$5001=A3669))&gt;1,1,0))</f>
        <v>0</v>
      </c>
      <c r="H3669" s="0" t="n">
        <f aca="false">ROW()-1</f>
        <v>3668</v>
      </c>
      <c r="I3669" s="0" t="str">
        <f aca="false">IF(OR(הגדרות!$E$6=0,H3669&gt;הגדרות!$E$5),"",IF(H3669-1&lt;הגדרות!$E$8*(הגדרות!$E$7+1),INT((H3669-1)/(הגדרות!$E$7+1)),הגדרות!$E$8+INT((H3669-1-הגדרות!$E$8*(הגדרות!$E$7+1))/הגדרות!$E$7)))</f>
        <v/>
      </c>
      <c r="J3669" s="0" t="str">
        <f aca="false">IF(I3669="","",IF(H3669-1&lt;הגדרות!$E$8*(הגדרות!$E$7+1),MOD(H3669-1,הגדרות!$E$7+1),MOD(H3669-1-הגדרות!$E$8*(הגדרות!$E$7+1),הגדרות!$E$7)))</f>
        <v/>
      </c>
      <c r="K3669" s="0" t="str">
        <f aca="false">IF(I3669="","",J3669*הגדרות!$E$6+I3669+1)</f>
        <v/>
      </c>
      <c r="L3669" s="0" t="str">
        <f aca="false">IF(K3669="","",MATCH(K3669,$F$2:$F$5001,0))</f>
        <v/>
      </c>
      <c r="M3669" s="0" t="str">
        <f aca="false">IF(I3669="","",INDEX(הגדרות!$A$2:$A$21,MOD(I3669+הגדרות!$E$9,הגדרות!$E$6)+1))</f>
        <v/>
      </c>
    </row>
    <row r="3670" customFormat="false" ht="15" hidden="false" customHeight="false" outlineLevel="0" collapsed="false">
      <c r="A3670" s="0" t="str">
        <f aca="false">IF('הדבקת לידים'!A3670="","",IF(ISNUMBER('הדבקת לידים'!A3670),IF(הגדרות!$E$2&gt;0,TEXT('הדבקת לידים'!A3670,REPT("0",הגדרות!$E$2)),TEXT('הדבקת לידים'!A3670,"0")),TRIM('הדבקת לידים'!A3670)))</f>
        <v/>
      </c>
      <c r="B3670" s="0" t="str">
        <f aca="false">IF('הדבקת לידים'!B3670="","",IF(ISNUMBER('הדבקת לידים'!B3670),IF(הגדרות!$E$3&gt;0,TEXT('הדבקת לידים'!B3670,REPT("0",הגדרות!$E$3)),TEXT('הדבקת לידים'!B3670,"0")),TRIM('הדבקת לידים'!B3670)))</f>
        <v/>
      </c>
      <c r="C3670" s="0" t="n">
        <f aca="false">IF(OR(A3670&lt;&gt;"",B3670&lt;&gt;""),1,0)</f>
        <v>0</v>
      </c>
      <c r="D3670" s="0" t="str">
        <f aca="false">IF(C3670=1,MOD(ABS(SIN(ROW()*12.9898+'הדבקת לידים'!$F$2*78.233+IFERROR(--RIGHT(A3670,6),LEN(A3670))*0.0137+IFERROR(--RIGHT(B3670,6),LEN(B3670))*0.0071))*43758.5453,1),"")</f>
        <v/>
      </c>
      <c r="E3670" s="0" t="str">
        <f aca="false">IF(C3670=1,INT(MOD(ABS(SIN(D3670*7919.123+ROW()*0.618+'הדבקת לידים'!$F$2*1.3))*43758.5453,1)*1000000)*10000+ROW(),"")</f>
        <v/>
      </c>
      <c r="F3670" s="0" t="str">
        <f aca="false">IF(E3670="","",RANK(E3670,$E$2:$E$5001,1))</f>
        <v/>
      </c>
      <c r="G3670" s="0" t="n">
        <f aca="false">IF(A3670="",0,IF(SUMPRODUCT(--($A$2:$A$5001=A3670))&gt;1,1,0))</f>
        <v>0</v>
      </c>
      <c r="H3670" s="0" t="n">
        <f aca="false">ROW()-1</f>
        <v>3669</v>
      </c>
      <c r="I3670" s="0" t="str">
        <f aca="false">IF(OR(הגדרות!$E$6=0,H3670&gt;הגדרות!$E$5),"",IF(H3670-1&lt;הגדרות!$E$8*(הגדרות!$E$7+1),INT((H3670-1)/(הגדרות!$E$7+1)),הגדרות!$E$8+INT((H3670-1-הגדרות!$E$8*(הגדרות!$E$7+1))/הגדרות!$E$7)))</f>
        <v/>
      </c>
      <c r="J3670" s="0" t="str">
        <f aca="false">IF(I3670="","",IF(H3670-1&lt;הגדרות!$E$8*(הגדרות!$E$7+1),MOD(H3670-1,הגדרות!$E$7+1),MOD(H3670-1-הגדרות!$E$8*(הגדרות!$E$7+1),הגדרות!$E$7)))</f>
        <v/>
      </c>
      <c r="K3670" s="0" t="str">
        <f aca="false">IF(I3670="","",J3670*הגדרות!$E$6+I3670+1)</f>
        <v/>
      </c>
      <c r="L3670" s="0" t="str">
        <f aca="false">IF(K3670="","",MATCH(K3670,$F$2:$F$5001,0))</f>
        <v/>
      </c>
      <c r="M3670" s="0" t="str">
        <f aca="false">IF(I3670="","",INDEX(הגדרות!$A$2:$A$21,MOD(I3670+הגדרות!$E$9,הגדרות!$E$6)+1))</f>
        <v/>
      </c>
    </row>
    <row r="3671" customFormat="false" ht="15" hidden="false" customHeight="false" outlineLevel="0" collapsed="false">
      <c r="A3671" s="0" t="str">
        <f aca="false">IF('הדבקת לידים'!A3671="","",IF(ISNUMBER('הדבקת לידים'!A3671),IF(הגדרות!$E$2&gt;0,TEXT('הדבקת לידים'!A3671,REPT("0",הגדרות!$E$2)),TEXT('הדבקת לידים'!A3671,"0")),TRIM('הדבקת לידים'!A3671)))</f>
        <v/>
      </c>
      <c r="B3671" s="0" t="str">
        <f aca="false">IF('הדבקת לידים'!B3671="","",IF(ISNUMBER('הדבקת לידים'!B3671),IF(הגדרות!$E$3&gt;0,TEXT('הדבקת לידים'!B3671,REPT("0",הגדרות!$E$3)),TEXT('הדבקת לידים'!B3671,"0")),TRIM('הדבקת לידים'!B3671)))</f>
        <v/>
      </c>
      <c r="C3671" s="0" t="n">
        <f aca="false">IF(OR(A3671&lt;&gt;"",B3671&lt;&gt;""),1,0)</f>
        <v>0</v>
      </c>
      <c r="D3671" s="0" t="str">
        <f aca="false">IF(C3671=1,MOD(ABS(SIN(ROW()*12.9898+'הדבקת לידים'!$F$2*78.233+IFERROR(--RIGHT(A3671,6),LEN(A3671))*0.0137+IFERROR(--RIGHT(B3671,6),LEN(B3671))*0.0071))*43758.5453,1),"")</f>
        <v/>
      </c>
      <c r="E3671" s="0" t="str">
        <f aca="false">IF(C3671=1,INT(MOD(ABS(SIN(D3671*7919.123+ROW()*0.618+'הדבקת לידים'!$F$2*1.3))*43758.5453,1)*1000000)*10000+ROW(),"")</f>
        <v/>
      </c>
      <c r="F3671" s="0" t="str">
        <f aca="false">IF(E3671="","",RANK(E3671,$E$2:$E$5001,1))</f>
        <v/>
      </c>
      <c r="G3671" s="0" t="n">
        <f aca="false">IF(A3671="",0,IF(SUMPRODUCT(--($A$2:$A$5001=A3671))&gt;1,1,0))</f>
        <v>0</v>
      </c>
      <c r="H3671" s="0" t="n">
        <f aca="false">ROW()-1</f>
        <v>3670</v>
      </c>
      <c r="I3671" s="0" t="str">
        <f aca="false">IF(OR(הגדרות!$E$6=0,H3671&gt;הגדרות!$E$5),"",IF(H3671-1&lt;הגדרות!$E$8*(הגדרות!$E$7+1),INT((H3671-1)/(הגדרות!$E$7+1)),הגדרות!$E$8+INT((H3671-1-הגדרות!$E$8*(הגדרות!$E$7+1))/הגדרות!$E$7)))</f>
        <v/>
      </c>
      <c r="J3671" s="0" t="str">
        <f aca="false">IF(I3671="","",IF(H3671-1&lt;הגדרות!$E$8*(הגדרות!$E$7+1),MOD(H3671-1,הגדרות!$E$7+1),MOD(H3671-1-הגדרות!$E$8*(הגדרות!$E$7+1),הגדרות!$E$7)))</f>
        <v/>
      </c>
      <c r="K3671" s="0" t="str">
        <f aca="false">IF(I3671="","",J3671*הגדרות!$E$6+I3671+1)</f>
        <v/>
      </c>
      <c r="L3671" s="0" t="str">
        <f aca="false">IF(K3671="","",MATCH(K3671,$F$2:$F$5001,0))</f>
        <v/>
      </c>
      <c r="M3671" s="0" t="str">
        <f aca="false">IF(I3671="","",INDEX(הגדרות!$A$2:$A$21,MOD(I3671+הגדרות!$E$9,הגדרות!$E$6)+1))</f>
        <v/>
      </c>
    </row>
    <row r="3672" customFormat="false" ht="15" hidden="false" customHeight="false" outlineLevel="0" collapsed="false">
      <c r="A3672" s="0" t="str">
        <f aca="false">IF('הדבקת לידים'!A3672="","",IF(ISNUMBER('הדבקת לידים'!A3672),IF(הגדרות!$E$2&gt;0,TEXT('הדבקת לידים'!A3672,REPT("0",הגדרות!$E$2)),TEXT('הדבקת לידים'!A3672,"0")),TRIM('הדבקת לידים'!A3672)))</f>
        <v/>
      </c>
      <c r="B3672" s="0" t="str">
        <f aca="false">IF('הדבקת לידים'!B3672="","",IF(ISNUMBER('הדבקת לידים'!B3672),IF(הגדרות!$E$3&gt;0,TEXT('הדבקת לידים'!B3672,REPT("0",הגדרות!$E$3)),TEXT('הדבקת לידים'!B3672,"0")),TRIM('הדבקת לידים'!B3672)))</f>
        <v/>
      </c>
      <c r="C3672" s="0" t="n">
        <f aca="false">IF(OR(A3672&lt;&gt;"",B3672&lt;&gt;""),1,0)</f>
        <v>0</v>
      </c>
      <c r="D3672" s="0" t="str">
        <f aca="false">IF(C3672=1,MOD(ABS(SIN(ROW()*12.9898+'הדבקת לידים'!$F$2*78.233+IFERROR(--RIGHT(A3672,6),LEN(A3672))*0.0137+IFERROR(--RIGHT(B3672,6),LEN(B3672))*0.0071))*43758.5453,1),"")</f>
        <v/>
      </c>
      <c r="E3672" s="0" t="str">
        <f aca="false">IF(C3672=1,INT(MOD(ABS(SIN(D3672*7919.123+ROW()*0.618+'הדבקת לידים'!$F$2*1.3))*43758.5453,1)*1000000)*10000+ROW(),"")</f>
        <v/>
      </c>
      <c r="F3672" s="0" t="str">
        <f aca="false">IF(E3672="","",RANK(E3672,$E$2:$E$5001,1))</f>
        <v/>
      </c>
      <c r="G3672" s="0" t="n">
        <f aca="false">IF(A3672="",0,IF(SUMPRODUCT(--($A$2:$A$5001=A3672))&gt;1,1,0))</f>
        <v>0</v>
      </c>
      <c r="H3672" s="0" t="n">
        <f aca="false">ROW()-1</f>
        <v>3671</v>
      </c>
      <c r="I3672" s="0" t="str">
        <f aca="false">IF(OR(הגדרות!$E$6=0,H3672&gt;הגדרות!$E$5),"",IF(H3672-1&lt;הגדרות!$E$8*(הגדרות!$E$7+1),INT((H3672-1)/(הגדרות!$E$7+1)),הגדרות!$E$8+INT((H3672-1-הגדרות!$E$8*(הגדרות!$E$7+1))/הגדרות!$E$7)))</f>
        <v/>
      </c>
      <c r="J3672" s="0" t="str">
        <f aca="false">IF(I3672="","",IF(H3672-1&lt;הגדרות!$E$8*(הגדרות!$E$7+1),MOD(H3672-1,הגדרות!$E$7+1),MOD(H3672-1-הגדרות!$E$8*(הגדרות!$E$7+1),הגדרות!$E$7)))</f>
        <v/>
      </c>
      <c r="K3672" s="0" t="str">
        <f aca="false">IF(I3672="","",J3672*הגדרות!$E$6+I3672+1)</f>
        <v/>
      </c>
      <c r="L3672" s="0" t="str">
        <f aca="false">IF(K3672="","",MATCH(K3672,$F$2:$F$5001,0))</f>
        <v/>
      </c>
      <c r="M3672" s="0" t="str">
        <f aca="false">IF(I3672="","",INDEX(הגדרות!$A$2:$A$21,MOD(I3672+הגדרות!$E$9,הגדרות!$E$6)+1))</f>
        <v/>
      </c>
    </row>
    <row r="3673" customFormat="false" ht="15" hidden="false" customHeight="false" outlineLevel="0" collapsed="false">
      <c r="A3673" s="0" t="str">
        <f aca="false">IF('הדבקת לידים'!A3673="","",IF(ISNUMBER('הדבקת לידים'!A3673),IF(הגדרות!$E$2&gt;0,TEXT('הדבקת לידים'!A3673,REPT("0",הגדרות!$E$2)),TEXT('הדבקת לידים'!A3673,"0")),TRIM('הדבקת לידים'!A3673)))</f>
        <v/>
      </c>
      <c r="B3673" s="0" t="str">
        <f aca="false">IF('הדבקת לידים'!B3673="","",IF(ISNUMBER('הדבקת לידים'!B3673),IF(הגדרות!$E$3&gt;0,TEXT('הדבקת לידים'!B3673,REPT("0",הגדרות!$E$3)),TEXT('הדבקת לידים'!B3673,"0")),TRIM('הדבקת לידים'!B3673)))</f>
        <v/>
      </c>
      <c r="C3673" s="0" t="n">
        <f aca="false">IF(OR(A3673&lt;&gt;"",B3673&lt;&gt;""),1,0)</f>
        <v>0</v>
      </c>
      <c r="D3673" s="0" t="str">
        <f aca="false">IF(C3673=1,MOD(ABS(SIN(ROW()*12.9898+'הדבקת לידים'!$F$2*78.233+IFERROR(--RIGHT(A3673,6),LEN(A3673))*0.0137+IFERROR(--RIGHT(B3673,6),LEN(B3673))*0.0071))*43758.5453,1),"")</f>
        <v/>
      </c>
      <c r="E3673" s="0" t="str">
        <f aca="false">IF(C3673=1,INT(MOD(ABS(SIN(D3673*7919.123+ROW()*0.618+'הדבקת לידים'!$F$2*1.3))*43758.5453,1)*1000000)*10000+ROW(),"")</f>
        <v/>
      </c>
      <c r="F3673" s="0" t="str">
        <f aca="false">IF(E3673="","",RANK(E3673,$E$2:$E$5001,1))</f>
        <v/>
      </c>
      <c r="G3673" s="0" t="n">
        <f aca="false">IF(A3673="",0,IF(SUMPRODUCT(--($A$2:$A$5001=A3673))&gt;1,1,0))</f>
        <v>0</v>
      </c>
      <c r="H3673" s="0" t="n">
        <f aca="false">ROW()-1</f>
        <v>3672</v>
      </c>
      <c r="I3673" s="0" t="str">
        <f aca="false">IF(OR(הגדרות!$E$6=0,H3673&gt;הגדרות!$E$5),"",IF(H3673-1&lt;הגדרות!$E$8*(הגדרות!$E$7+1),INT((H3673-1)/(הגדרות!$E$7+1)),הגדרות!$E$8+INT((H3673-1-הגדרות!$E$8*(הגדרות!$E$7+1))/הגדרות!$E$7)))</f>
        <v/>
      </c>
      <c r="J3673" s="0" t="str">
        <f aca="false">IF(I3673="","",IF(H3673-1&lt;הגדרות!$E$8*(הגדרות!$E$7+1),MOD(H3673-1,הגדרות!$E$7+1),MOD(H3673-1-הגדרות!$E$8*(הגדרות!$E$7+1),הגדרות!$E$7)))</f>
        <v/>
      </c>
      <c r="K3673" s="0" t="str">
        <f aca="false">IF(I3673="","",J3673*הגדרות!$E$6+I3673+1)</f>
        <v/>
      </c>
      <c r="L3673" s="0" t="str">
        <f aca="false">IF(K3673="","",MATCH(K3673,$F$2:$F$5001,0))</f>
        <v/>
      </c>
      <c r="M3673" s="0" t="str">
        <f aca="false">IF(I3673="","",INDEX(הגדרות!$A$2:$A$21,MOD(I3673+הגדרות!$E$9,הגדרות!$E$6)+1))</f>
        <v/>
      </c>
    </row>
    <row r="3674" customFormat="false" ht="15" hidden="false" customHeight="false" outlineLevel="0" collapsed="false">
      <c r="A3674" s="0" t="str">
        <f aca="false">IF('הדבקת לידים'!A3674="","",IF(ISNUMBER('הדבקת לידים'!A3674),IF(הגדרות!$E$2&gt;0,TEXT('הדבקת לידים'!A3674,REPT("0",הגדרות!$E$2)),TEXT('הדבקת לידים'!A3674,"0")),TRIM('הדבקת לידים'!A3674)))</f>
        <v/>
      </c>
      <c r="B3674" s="0" t="str">
        <f aca="false">IF('הדבקת לידים'!B3674="","",IF(ISNUMBER('הדבקת לידים'!B3674),IF(הגדרות!$E$3&gt;0,TEXT('הדבקת לידים'!B3674,REPT("0",הגדרות!$E$3)),TEXT('הדבקת לידים'!B3674,"0")),TRIM('הדבקת לידים'!B3674)))</f>
        <v/>
      </c>
      <c r="C3674" s="0" t="n">
        <f aca="false">IF(OR(A3674&lt;&gt;"",B3674&lt;&gt;""),1,0)</f>
        <v>0</v>
      </c>
      <c r="D3674" s="0" t="str">
        <f aca="false">IF(C3674=1,MOD(ABS(SIN(ROW()*12.9898+'הדבקת לידים'!$F$2*78.233+IFERROR(--RIGHT(A3674,6),LEN(A3674))*0.0137+IFERROR(--RIGHT(B3674,6),LEN(B3674))*0.0071))*43758.5453,1),"")</f>
        <v/>
      </c>
      <c r="E3674" s="0" t="str">
        <f aca="false">IF(C3674=1,INT(MOD(ABS(SIN(D3674*7919.123+ROW()*0.618+'הדבקת לידים'!$F$2*1.3))*43758.5453,1)*1000000)*10000+ROW(),"")</f>
        <v/>
      </c>
      <c r="F3674" s="0" t="str">
        <f aca="false">IF(E3674="","",RANK(E3674,$E$2:$E$5001,1))</f>
        <v/>
      </c>
      <c r="G3674" s="0" t="n">
        <f aca="false">IF(A3674="",0,IF(SUMPRODUCT(--($A$2:$A$5001=A3674))&gt;1,1,0))</f>
        <v>0</v>
      </c>
      <c r="H3674" s="0" t="n">
        <f aca="false">ROW()-1</f>
        <v>3673</v>
      </c>
      <c r="I3674" s="0" t="str">
        <f aca="false">IF(OR(הגדרות!$E$6=0,H3674&gt;הגדרות!$E$5),"",IF(H3674-1&lt;הגדרות!$E$8*(הגדרות!$E$7+1),INT((H3674-1)/(הגדרות!$E$7+1)),הגדרות!$E$8+INT((H3674-1-הגדרות!$E$8*(הגדרות!$E$7+1))/הגדרות!$E$7)))</f>
        <v/>
      </c>
      <c r="J3674" s="0" t="str">
        <f aca="false">IF(I3674="","",IF(H3674-1&lt;הגדרות!$E$8*(הגדרות!$E$7+1),MOD(H3674-1,הגדרות!$E$7+1),MOD(H3674-1-הגדרות!$E$8*(הגדרות!$E$7+1),הגדרות!$E$7)))</f>
        <v/>
      </c>
      <c r="K3674" s="0" t="str">
        <f aca="false">IF(I3674="","",J3674*הגדרות!$E$6+I3674+1)</f>
        <v/>
      </c>
      <c r="L3674" s="0" t="str">
        <f aca="false">IF(K3674="","",MATCH(K3674,$F$2:$F$5001,0))</f>
        <v/>
      </c>
      <c r="M3674" s="0" t="str">
        <f aca="false">IF(I3674="","",INDEX(הגדרות!$A$2:$A$21,MOD(I3674+הגדרות!$E$9,הגדרות!$E$6)+1))</f>
        <v/>
      </c>
    </row>
    <row r="3675" customFormat="false" ht="15" hidden="false" customHeight="false" outlineLevel="0" collapsed="false">
      <c r="A3675" s="0" t="str">
        <f aca="false">IF('הדבקת לידים'!A3675="","",IF(ISNUMBER('הדבקת לידים'!A3675),IF(הגדרות!$E$2&gt;0,TEXT('הדבקת לידים'!A3675,REPT("0",הגדרות!$E$2)),TEXT('הדבקת לידים'!A3675,"0")),TRIM('הדבקת לידים'!A3675)))</f>
        <v/>
      </c>
      <c r="B3675" s="0" t="str">
        <f aca="false">IF('הדבקת לידים'!B3675="","",IF(ISNUMBER('הדבקת לידים'!B3675),IF(הגדרות!$E$3&gt;0,TEXT('הדבקת לידים'!B3675,REPT("0",הגדרות!$E$3)),TEXT('הדבקת לידים'!B3675,"0")),TRIM('הדבקת לידים'!B3675)))</f>
        <v/>
      </c>
      <c r="C3675" s="0" t="n">
        <f aca="false">IF(OR(A3675&lt;&gt;"",B3675&lt;&gt;""),1,0)</f>
        <v>0</v>
      </c>
      <c r="D3675" s="0" t="str">
        <f aca="false">IF(C3675=1,MOD(ABS(SIN(ROW()*12.9898+'הדבקת לידים'!$F$2*78.233+IFERROR(--RIGHT(A3675,6),LEN(A3675))*0.0137+IFERROR(--RIGHT(B3675,6),LEN(B3675))*0.0071))*43758.5453,1),"")</f>
        <v/>
      </c>
      <c r="E3675" s="0" t="str">
        <f aca="false">IF(C3675=1,INT(MOD(ABS(SIN(D3675*7919.123+ROW()*0.618+'הדבקת לידים'!$F$2*1.3))*43758.5453,1)*1000000)*10000+ROW(),"")</f>
        <v/>
      </c>
      <c r="F3675" s="0" t="str">
        <f aca="false">IF(E3675="","",RANK(E3675,$E$2:$E$5001,1))</f>
        <v/>
      </c>
      <c r="G3675" s="0" t="n">
        <f aca="false">IF(A3675="",0,IF(SUMPRODUCT(--($A$2:$A$5001=A3675))&gt;1,1,0))</f>
        <v>0</v>
      </c>
      <c r="H3675" s="0" t="n">
        <f aca="false">ROW()-1</f>
        <v>3674</v>
      </c>
      <c r="I3675" s="0" t="str">
        <f aca="false">IF(OR(הגדרות!$E$6=0,H3675&gt;הגדרות!$E$5),"",IF(H3675-1&lt;הגדרות!$E$8*(הגדרות!$E$7+1),INT((H3675-1)/(הגדרות!$E$7+1)),הגדרות!$E$8+INT((H3675-1-הגדרות!$E$8*(הגדרות!$E$7+1))/הגדרות!$E$7)))</f>
        <v/>
      </c>
      <c r="J3675" s="0" t="str">
        <f aca="false">IF(I3675="","",IF(H3675-1&lt;הגדרות!$E$8*(הגדרות!$E$7+1),MOD(H3675-1,הגדרות!$E$7+1),MOD(H3675-1-הגדרות!$E$8*(הגדרות!$E$7+1),הגדרות!$E$7)))</f>
        <v/>
      </c>
      <c r="K3675" s="0" t="str">
        <f aca="false">IF(I3675="","",J3675*הגדרות!$E$6+I3675+1)</f>
        <v/>
      </c>
      <c r="L3675" s="0" t="str">
        <f aca="false">IF(K3675="","",MATCH(K3675,$F$2:$F$5001,0))</f>
        <v/>
      </c>
      <c r="M3675" s="0" t="str">
        <f aca="false">IF(I3675="","",INDEX(הגדרות!$A$2:$A$21,MOD(I3675+הגדרות!$E$9,הגדרות!$E$6)+1))</f>
        <v/>
      </c>
    </row>
    <row r="3676" customFormat="false" ht="15" hidden="false" customHeight="false" outlineLevel="0" collapsed="false">
      <c r="A3676" s="0" t="str">
        <f aca="false">IF('הדבקת לידים'!A3676="","",IF(ISNUMBER('הדבקת לידים'!A3676),IF(הגדרות!$E$2&gt;0,TEXT('הדבקת לידים'!A3676,REPT("0",הגדרות!$E$2)),TEXT('הדבקת לידים'!A3676,"0")),TRIM('הדבקת לידים'!A3676)))</f>
        <v/>
      </c>
      <c r="B3676" s="0" t="str">
        <f aca="false">IF('הדבקת לידים'!B3676="","",IF(ISNUMBER('הדבקת לידים'!B3676),IF(הגדרות!$E$3&gt;0,TEXT('הדבקת לידים'!B3676,REPT("0",הגדרות!$E$3)),TEXT('הדבקת לידים'!B3676,"0")),TRIM('הדבקת לידים'!B3676)))</f>
        <v/>
      </c>
      <c r="C3676" s="0" t="n">
        <f aca="false">IF(OR(A3676&lt;&gt;"",B3676&lt;&gt;""),1,0)</f>
        <v>0</v>
      </c>
      <c r="D3676" s="0" t="str">
        <f aca="false">IF(C3676=1,MOD(ABS(SIN(ROW()*12.9898+'הדבקת לידים'!$F$2*78.233+IFERROR(--RIGHT(A3676,6),LEN(A3676))*0.0137+IFERROR(--RIGHT(B3676,6),LEN(B3676))*0.0071))*43758.5453,1),"")</f>
        <v/>
      </c>
      <c r="E3676" s="0" t="str">
        <f aca="false">IF(C3676=1,INT(MOD(ABS(SIN(D3676*7919.123+ROW()*0.618+'הדבקת לידים'!$F$2*1.3))*43758.5453,1)*1000000)*10000+ROW(),"")</f>
        <v/>
      </c>
      <c r="F3676" s="0" t="str">
        <f aca="false">IF(E3676="","",RANK(E3676,$E$2:$E$5001,1))</f>
        <v/>
      </c>
      <c r="G3676" s="0" t="n">
        <f aca="false">IF(A3676="",0,IF(SUMPRODUCT(--($A$2:$A$5001=A3676))&gt;1,1,0))</f>
        <v>0</v>
      </c>
      <c r="H3676" s="0" t="n">
        <f aca="false">ROW()-1</f>
        <v>3675</v>
      </c>
      <c r="I3676" s="0" t="str">
        <f aca="false">IF(OR(הגדרות!$E$6=0,H3676&gt;הגדרות!$E$5),"",IF(H3676-1&lt;הגדרות!$E$8*(הגדרות!$E$7+1),INT((H3676-1)/(הגדרות!$E$7+1)),הגדרות!$E$8+INT((H3676-1-הגדרות!$E$8*(הגדרות!$E$7+1))/הגדרות!$E$7)))</f>
        <v/>
      </c>
      <c r="J3676" s="0" t="str">
        <f aca="false">IF(I3676="","",IF(H3676-1&lt;הגדרות!$E$8*(הגדרות!$E$7+1),MOD(H3676-1,הגדרות!$E$7+1),MOD(H3676-1-הגדרות!$E$8*(הגדרות!$E$7+1),הגדרות!$E$7)))</f>
        <v/>
      </c>
      <c r="K3676" s="0" t="str">
        <f aca="false">IF(I3676="","",J3676*הגדרות!$E$6+I3676+1)</f>
        <v/>
      </c>
      <c r="L3676" s="0" t="str">
        <f aca="false">IF(K3676="","",MATCH(K3676,$F$2:$F$5001,0))</f>
        <v/>
      </c>
      <c r="M3676" s="0" t="str">
        <f aca="false">IF(I3676="","",INDEX(הגדרות!$A$2:$A$21,MOD(I3676+הגדרות!$E$9,הגדרות!$E$6)+1))</f>
        <v/>
      </c>
    </row>
    <row r="3677" customFormat="false" ht="15" hidden="false" customHeight="false" outlineLevel="0" collapsed="false">
      <c r="A3677" s="0" t="str">
        <f aca="false">IF('הדבקת לידים'!A3677="","",IF(ISNUMBER('הדבקת לידים'!A3677),IF(הגדרות!$E$2&gt;0,TEXT('הדבקת לידים'!A3677,REPT("0",הגדרות!$E$2)),TEXT('הדבקת לידים'!A3677,"0")),TRIM('הדבקת לידים'!A3677)))</f>
        <v/>
      </c>
      <c r="B3677" s="0" t="str">
        <f aca="false">IF('הדבקת לידים'!B3677="","",IF(ISNUMBER('הדבקת לידים'!B3677),IF(הגדרות!$E$3&gt;0,TEXT('הדבקת לידים'!B3677,REPT("0",הגדרות!$E$3)),TEXT('הדבקת לידים'!B3677,"0")),TRIM('הדבקת לידים'!B3677)))</f>
        <v/>
      </c>
      <c r="C3677" s="0" t="n">
        <f aca="false">IF(OR(A3677&lt;&gt;"",B3677&lt;&gt;""),1,0)</f>
        <v>0</v>
      </c>
      <c r="D3677" s="0" t="str">
        <f aca="false">IF(C3677=1,MOD(ABS(SIN(ROW()*12.9898+'הדבקת לידים'!$F$2*78.233+IFERROR(--RIGHT(A3677,6),LEN(A3677))*0.0137+IFERROR(--RIGHT(B3677,6),LEN(B3677))*0.0071))*43758.5453,1),"")</f>
        <v/>
      </c>
      <c r="E3677" s="0" t="str">
        <f aca="false">IF(C3677=1,INT(MOD(ABS(SIN(D3677*7919.123+ROW()*0.618+'הדבקת לידים'!$F$2*1.3))*43758.5453,1)*1000000)*10000+ROW(),"")</f>
        <v/>
      </c>
      <c r="F3677" s="0" t="str">
        <f aca="false">IF(E3677="","",RANK(E3677,$E$2:$E$5001,1))</f>
        <v/>
      </c>
      <c r="G3677" s="0" t="n">
        <f aca="false">IF(A3677="",0,IF(SUMPRODUCT(--($A$2:$A$5001=A3677))&gt;1,1,0))</f>
        <v>0</v>
      </c>
      <c r="H3677" s="0" t="n">
        <f aca="false">ROW()-1</f>
        <v>3676</v>
      </c>
      <c r="I3677" s="0" t="str">
        <f aca="false">IF(OR(הגדרות!$E$6=0,H3677&gt;הגדרות!$E$5),"",IF(H3677-1&lt;הגדרות!$E$8*(הגדרות!$E$7+1),INT((H3677-1)/(הגדרות!$E$7+1)),הגדרות!$E$8+INT((H3677-1-הגדרות!$E$8*(הגדרות!$E$7+1))/הגדרות!$E$7)))</f>
        <v/>
      </c>
      <c r="J3677" s="0" t="str">
        <f aca="false">IF(I3677="","",IF(H3677-1&lt;הגדרות!$E$8*(הגדרות!$E$7+1),MOD(H3677-1,הגדרות!$E$7+1),MOD(H3677-1-הגדרות!$E$8*(הגדרות!$E$7+1),הגדרות!$E$7)))</f>
        <v/>
      </c>
      <c r="K3677" s="0" t="str">
        <f aca="false">IF(I3677="","",J3677*הגדרות!$E$6+I3677+1)</f>
        <v/>
      </c>
      <c r="L3677" s="0" t="str">
        <f aca="false">IF(K3677="","",MATCH(K3677,$F$2:$F$5001,0))</f>
        <v/>
      </c>
      <c r="M3677" s="0" t="str">
        <f aca="false">IF(I3677="","",INDEX(הגדרות!$A$2:$A$21,MOD(I3677+הגדרות!$E$9,הגדרות!$E$6)+1))</f>
        <v/>
      </c>
    </row>
    <row r="3678" customFormat="false" ht="15" hidden="false" customHeight="false" outlineLevel="0" collapsed="false">
      <c r="A3678" s="0" t="str">
        <f aca="false">IF('הדבקת לידים'!A3678="","",IF(ISNUMBER('הדבקת לידים'!A3678),IF(הגדרות!$E$2&gt;0,TEXT('הדבקת לידים'!A3678,REPT("0",הגדרות!$E$2)),TEXT('הדבקת לידים'!A3678,"0")),TRIM('הדבקת לידים'!A3678)))</f>
        <v/>
      </c>
      <c r="B3678" s="0" t="str">
        <f aca="false">IF('הדבקת לידים'!B3678="","",IF(ISNUMBER('הדבקת לידים'!B3678),IF(הגדרות!$E$3&gt;0,TEXT('הדבקת לידים'!B3678,REPT("0",הגדרות!$E$3)),TEXT('הדבקת לידים'!B3678,"0")),TRIM('הדבקת לידים'!B3678)))</f>
        <v/>
      </c>
      <c r="C3678" s="0" t="n">
        <f aca="false">IF(OR(A3678&lt;&gt;"",B3678&lt;&gt;""),1,0)</f>
        <v>0</v>
      </c>
      <c r="D3678" s="0" t="str">
        <f aca="false">IF(C3678=1,MOD(ABS(SIN(ROW()*12.9898+'הדבקת לידים'!$F$2*78.233+IFERROR(--RIGHT(A3678,6),LEN(A3678))*0.0137+IFERROR(--RIGHT(B3678,6),LEN(B3678))*0.0071))*43758.5453,1),"")</f>
        <v/>
      </c>
      <c r="E3678" s="0" t="str">
        <f aca="false">IF(C3678=1,INT(MOD(ABS(SIN(D3678*7919.123+ROW()*0.618+'הדבקת לידים'!$F$2*1.3))*43758.5453,1)*1000000)*10000+ROW(),"")</f>
        <v/>
      </c>
      <c r="F3678" s="0" t="str">
        <f aca="false">IF(E3678="","",RANK(E3678,$E$2:$E$5001,1))</f>
        <v/>
      </c>
      <c r="G3678" s="0" t="n">
        <f aca="false">IF(A3678="",0,IF(SUMPRODUCT(--($A$2:$A$5001=A3678))&gt;1,1,0))</f>
        <v>0</v>
      </c>
      <c r="H3678" s="0" t="n">
        <f aca="false">ROW()-1</f>
        <v>3677</v>
      </c>
      <c r="I3678" s="0" t="str">
        <f aca="false">IF(OR(הגדרות!$E$6=0,H3678&gt;הגדרות!$E$5),"",IF(H3678-1&lt;הגדרות!$E$8*(הגדרות!$E$7+1),INT((H3678-1)/(הגדרות!$E$7+1)),הגדרות!$E$8+INT((H3678-1-הגדרות!$E$8*(הגדרות!$E$7+1))/הגדרות!$E$7)))</f>
        <v/>
      </c>
      <c r="J3678" s="0" t="str">
        <f aca="false">IF(I3678="","",IF(H3678-1&lt;הגדרות!$E$8*(הגדרות!$E$7+1),MOD(H3678-1,הגדרות!$E$7+1),MOD(H3678-1-הגדרות!$E$8*(הגדרות!$E$7+1),הגדרות!$E$7)))</f>
        <v/>
      </c>
      <c r="K3678" s="0" t="str">
        <f aca="false">IF(I3678="","",J3678*הגדרות!$E$6+I3678+1)</f>
        <v/>
      </c>
      <c r="L3678" s="0" t="str">
        <f aca="false">IF(K3678="","",MATCH(K3678,$F$2:$F$5001,0))</f>
        <v/>
      </c>
      <c r="M3678" s="0" t="str">
        <f aca="false">IF(I3678="","",INDEX(הגדרות!$A$2:$A$21,MOD(I3678+הגדרות!$E$9,הגדרות!$E$6)+1))</f>
        <v/>
      </c>
    </row>
    <row r="3679" customFormat="false" ht="15" hidden="false" customHeight="false" outlineLevel="0" collapsed="false">
      <c r="A3679" s="0" t="str">
        <f aca="false">IF('הדבקת לידים'!A3679="","",IF(ISNUMBER('הדבקת לידים'!A3679),IF(הגדרות!$E$2&gt;0,TEXT('הדבקת לידים'!A3679,REPT("0",הגדרות!$E$2)),TEXT('הדבקת לידים'!A3679,"0")),TRIM('הדבקת לידים'!A3679)))</f>
        <v/>
      </c>
      <c r="B3679" s="0" t="str">
        <f aca="false">IF('הדבקת לידים'!B3679="","",IF(ISNUMBER('הדבקת לידים'!B3679),IF(הגדרות!$E$3&gt;0,TEXT('הדבקת לידים'!B3679,REPT("0",הגדרות!$E$3)),TEXT('הדבקת לידים'!B3679,"0")),TRIM('הדבקת לידים'!B3679)))</f>
        <v/>
      </c>
      <c r="C3679" s="0" t="n">
        <f aca="false">IF(OR(A3679&lt;&gt;"",B3679&lt;&gt;""),1,0)</f>
        <v>0</v>
      </c>
      <c r="D3679" s="0" t="str">
        <f aca="false">IF(C3679=1,MOD(ABS(SIN(ROW()*12.9898+'הדבקת לידים'!$F$2*78.233+IFERROR(--RIGHT(A3679,6),LEN(A3679))*0.0137+IFERROR(--RIGHT(B3679,6),LEN(B3679))*0.0071))*43758.5453,1),"")</f>
        <v/>
      </c>
      <c r="E3679" s="0" t="str">
        <f aca="false">IF(C3679=1,INT(MOD(ABS(SIN(D3679*7919.123+ROW()*0.618+'הדבקת לידים'!$F$2*1.3))*43758.5453,1)*1000000)*10000+ROW(),"")</f>
        <v/>
      </c>
      <c r="F3679" s="0" t="str">
        <f aca="false">IF(E3679="","",RANK(E3679,$E$2:$E$5001,1))</f>
        <v/>
      </c>
      <c r="G3679" s="0" t="n">
        <f aca="false">IF(A3679="",0,IF(SUMPRODUCT(--($A$2:$A$5001=A3679))&gt;1,1,0))</f>
        <v>0</v>
      </c>
      <c r="H3679" s="0" t="n">
        <f aca="false">ROW()-1</f>
        <v>3678</v>
      </c>
      <c r="I3679" s="0" t="str">
        <f aca="false">IF(OR(הגדרות!$E$6=0,H3679&gt;הגדרות!$E$5),"",IF(H3679-1&lt;הגדרות!$E$8*(הגדרות!$E$7+1),INT((H3679-1)/(הגדרות!$E$7+1)),הגדרות!$E$8+INT((H3679-1-הגדרות!$E$8*(הגדרות!$E$7+1))/הגדרות!$E$7)))</f>
        <v/>
      </c>
      <c r="J3679" s="0" t="str">
        <f aca="false">IF(I3679="","",IF(H3679-1&lt;הגדרות!$E$8*(הגדרות!$E$7+1),MOD(H3679-1,הגדרות!$E$7+1),MOD(H3679-1-הגדרות!$E$8*(הגדרות!$E$7+1),הגדרות!$E$7)))</f>
        <v/>
      </c>
      <c r="K3679" s="0" t="str">
        <f aca="false">IF(I3679="","",J3679*הגדרות!$E$6+I3679+1)</f>
        <v/>
      </c>
      <c r="L3679" s="0" t="str">
        <f aca="false">IF(K3679="","",MATCH(K3679,$F$2:$F$5001,0))</f>
        <v/>
      </c>
      <c r="M3679" s="0" t="str">
        <f aca="false">IF(I3679="","",INDEX(הגדרות!$A$2:$A$21,MOD(I3679+הגדרות!$E$9,הגדרות!$E$6)+1))</f>
        <v/>
      </c>
    </row>
    <row r="3680" customFormat="false" ht="15" hidden="false" customHeight="false" outlineLevel="0" collapsed="false">
      <c r="A3680" s="0" t="str">
        <f aca="false">IF('הדבקת לידים'!A3680="","",IF(ISNUMBER('הדבקת לידים'!A3680),IF(הגדרות!$E$2&gt;0,TEXT('הדבקת לידים'!A3680,REPT("0",הגדרות!$E$2)),TEXT('הדבקת לידים'!A3680,"0")),TRIM('הדבקת לידים'!A3680)))</f>
        <v/>
      </c>
      <c r="B3680" s="0" t="str">
        <f aca="false">IF('הדבקת לידים'!B3680="","",IF(ISNUMBER('הדבקת לידים'!B3680),IF(הגדרות!$E$3&gt;0,TEXT('הדבקת לידים'!B3680,REPT("0",הגדרות!$E$3)),TEXT('הדבקת לידים'!B3680,"0")),TRIM('הדבקת לידים'!B3680)))</f>
        <v/>
      </c>
      <c r="C3680" s="0" t="n">
        <f aca="false">IF(OR(A3680&lt;&gt;"",B3680&lt;&gt;""),1,0)</f>
        <v>0</v>
      </c>
      <c r="D3680" s="0" t="str">
        <f aca="false">IF(C3680=1,MOD(ABS(SIN(ROW()*12.9898+'הדבקת לידים'!$F$2*78.233+IFERROR(--RIGHT(A3680,6),LEN(A3680))*0.0137+IFERROR(--RIGHT(B3680,6),LEN(B3680))*0.0071))*43758.5453,1),"")</f>
        <v/>
      </c>
      <c r="E3680" s="0" t="str">
        <f aca="false">IF(C3680=1,INT(MOD(ABS(SIN(D3680*7919.123+ROW()*0.618+'הדבקת לידים'!$F$2*1.3))*43758.5453,1)*1000000)*10000+ROW(),"")</f>
        <v/>
      </c>
      <c r="F3680" s="0" t="str">
        <f aca="false">IF(E3680="","",RANK(E3680,$E$2:$E$5001,1))</f>
        <v/>
      </c>
      <c r="G3680" s="0" t="n">
        <f aca="false">IF(A3680="",0,IF(SUMPRODUCT(--($A$2:$A$5001=A3680))&gt;1,1,0))</f>
        <v>0</v>
      </c>
      <c r="H3680" s="0" t="n">
        <f aca="false">ROW()-1</f>
        <v>3679</v>
      </c>
      <c r="I3680" s="0" t="str">
        <f aca="false">IF(OR(הגדרות!$E$6=0,H3680&gt;הגדרות!$E$5),"",IF(H3680-1&lt;הגדרות!$E$8*(הגדרות!$E$7+1),INT((H3680-1)/(הגדרות!$E$7+1)),הגדרות!$E$8+INT((H3680-1-הגדרות!$E$8*(הגדרות!$E$7+1))/הגדרות!$E$7)))</f>
        <v/>
      </c>
      <c r="J3680" s="0" t="str">
        <f aca="false">IF(I3680="","",IF(H3680-1&lt;הגדרות!$E$8*(הגדרות!$E$7+1),MOD(H3680-1,הגדרות!$E$7+1),MOD(H3680-1-הגדרות!$E$8*(הגדרות!$E$7+1),הגדרות!$E$7)))</f>
        <v/>
      </c>
      <c r="K3680" s="0" t="str">
        <f aca="false">IF(I3680="","",J3680*הגדרות!$E$6+I3680+1)</f>
        <v/>
      </c>
      <c r="L3680" s="0" t="str">
        <f aca="false">IF(K3680="","",MATCH(K3680,$F$2:$F$5001,0))</f>
        <v/>
      </c>
      <c r="M3680" s="0" t="str">
        <f aca="false">IF(I3680="","",INDEX(הגדרות!$A$2:$A$21,MOD(I3680+הגדרות!$E$9,הגדרות!$E$6)+1))</f>
        <v/>
      </c>
    </row>
    <row r="3681" customFormat="false" ht="15" hidden="false" customHeight="false" outlineLevel="0" collapsed="false">
      <c r="A3681" s="0" t="str">
        <f aca="false">IF('הדבקת לידים'!A3681="","",IF(ISNUMBER('הדבקת לידים'!A3681),IF(הגדרות!$E$2&gt;0,TEXT('הדבקת לידים'!A3681,REPT("0",הגדרות!$E$2)),TEXT('הדבקת לידים'!A3681,"0")),TRIM('הדבקת לידים'!A3681)))</f>
        <v/>
      </c>
      <c r="B3681" s="0" t="str">
        <f aca="false">IF('הדבקת לידים'!B3681="","",IF(ISNUMBER('הדבקת לידים'!B3681),IF(הגדרות!$E$3&gt;0,TEXT('הדבקת לידים'!B3681,REPT("0",הגדרות!$E$3)),TEXT('הדבקת לידים'!B3681,"0")),TRIM('הדבקת לידים'!B3681)))</f>
        <v/>
      </c>
      <c r="C3681" s="0" t="n">
        <f aca="false">IF(OR(A3681&lt;&gt;"",B3681&lt;&gt;""),1,0)</f>
        <v>0</v>
      </c>
      <c r="D3681" s="0" t="str">
        <f aca="false">IF(C3681=1,MOD(ABS(SIN(ROW()*12.9898+'הדבקת לידים'!$F$2*78.233+IFERROR(--RIGHT(A3681,6),LEN(A3681))*0.0137+IFERROR(--RIGHT(B3681,6),LEN(B3681))*0.0071))*43758.5453,1),"")</f>
        <v/>
      </c>
      <c r="E3681" s="0" t="str">
        <f aca="false">IF(C3681=1,INT(MOD(ABS(SIN(D3681*7919.123+ROW()*0.618+'הדבקת לידים'!$F$2*1.3))*43758.5453,1)*1000000)*10000+ROW(),"")</f>
        <v/>
      </c>
      <c r="F3681" s="0" t="str">
        <f aca="false">IF(E3681="","",RANK(E3681,$E$2:$E$5001,1))</f>
        <v/>
      </c>
      <c r="G3681" s="0" t="n">
        <f aca="false">IF(A3681="",0,IF(SUMPRODUCT(--($A$2:$A$5001=A3681))&gt;1,1,0))</f>
        <v>0</v>
      </c>
      <c r="H3681" s="0" t="n">
        <f aca="false">ROW()-1</f>
        <v>3680</v>
      </c>
      <c r="I3681" s="0" t="str">
        <f aca="false">IF(OR(הגדרות!$E$6=0,H3681&gt;הגדרות!$E$5),"",IF(H3681-1&lt;הגדרות!$E$8*(הגדרות!$E$7+1),INT((H3681-1)/(הגדרות!$E$7+1)),הגדרות!$E$8+INT((H3681-1-הגדרות!$E$8*(הגדרות!$E$7+1))/הגדרות!$E$7)))</f>
        <v/>
      </c>
      <c r="J3681" s="0" t="str">
        <f aca="false">IF(I3681="","",IF(H3681-1&lt;הגדרות!$E$8*(הגדרות!$E$7+1),MOD(H3681-1,הגדרות!$E$7+1),MOD(H3681-1-הגדרות!$E$8*(הגדרות!$E$7+1),הגדרות!$E$7)))</f>
        <v/>
      </c>
      <c r="K3681" s="0" t="str">
        <f aca="false">IF(I3681="","",J3681*הגדרות!$E$6+I3681+1)</f>
        <v/>
      </c>
      <c r="L3681" s="0" t="str">
        <f aca="false">IF(K3681="","",MATCH(K3681,$F$2:$F$5001,0))</f>
        <v/>
      </c>
      <c r="M3681" s="0" t="str">
        <f aca="false">IF(I3681="","",INDEX(הגדרות!$A$2:$A$21,MOD(I3681+הגדרות!$E$9,הגדרות!$E$6)+1))</f>
        <v/>
      </c>
    </row>
    <row r="3682" customFormat="false" ht="15" hidden="false" customHeight="false" outlineLevel="0" collapsed="false">
      <c r="A3682" s="0" t="str">
        <f aca="false">IF('הדבקת לידים'!A3682="","",IF(ISNUMBER('הדבקת לידים'!A3682),IF(הגדרות!$E$2&gt;0,TEXT('הדבקת לידים'!A3682,REPT("0",הגדרות!$E$2)),TEXT('הדבקת לידים'!A3682,"0")),TRIM('הדבקת לידים'!A3682)))</f>
        <v/>
      </c>
      <c r="B3682" s="0" t="str">
        <f aca="false">IF('הדבקת לידים'!B3682="","",IF(ISNUMBER('הדבקת לידים'!B3682),IF(הגדרות!$E$3&gt;0,TEXT('הדבקת לידים'!B3682,REPT("0",הגדרות!$E$3)),TEXT('הדבקת לידים'!B3682,"0")),TRIM('הדבקת לידים'!B3682)))</f>
        <v/>
      </c>
      <c r="C3682" s="0" t="n">
        <f aca="false">IF(OR(A3682&lt;&gt;"",B3682&lt;&gt;""),1,0)</f>
        <v>0</v>
      </c>
      <c r="D3682" s="0" t="str">
        <f aca="false">IF(C3682=1,MOD(ABS(SIN(ROW()*12.9898+'הדבקת לידים'!$F$2*78.233+IFERROR(--RIGHT(A3682,6),LEN(A3682))*0.0137+IFERROR(--RIGHT(B3682,6),LEN(B3682))*0.0071))*43758.5453,1),"")</f>
        <v/>
      </c>
      <c r="E3682" s="0" t="str">
        <f aca="false">IF(C3682=1,INT(MOD(ABS(SIN(D3682*7919.123+ROW()*0.618+'הדבקת לידים'!$F$2*1.3))*43758.5453,1)*1000000)*10000+ROW(),"")</f>
        <v/>
      </c>
      <c r="F3682" s="0" t="str">
        <f aca="false">IF(E3682="","",RANK(E3682,$E$2:$E$5001,1))</f>
        <v/>
      </c>
      <c r="G3682" s="0" t="n">
        <f aca="false">IF(A3682="",0,IF(SUMPRODUCT(--($A$2:$A$5001=A3682))&gt;1,1,0))</f>
        <v>0</v>
      </c>
      <c r="H3682" s="0" t="n">
        <f aca="false">ROW()-1</f>
        <v>3681</v>
      </c>
      <c r="I3682" s="0" t="str">
        <f aca="false">IF(OR(הגדרות!$E$6=0,H3682&gt;הגדרות!$E$5),"",IF(H3682-1&lt;הגדרות!$E$8*(הגדרות!$E$7+1),INT((H3682-1)/(הגדרות!$E$7+1)),הגדרות!$E$8+INT((H3682-1-הגדרות!$E$8*(הגדרות!$E$7+1))/הגדרות!$E$7)))</f>
        <v/>
      </c>
      <c r="J3682" s="0" t="str">
        <f aca="false">IF(I3682="","",IF(H3682-1&lt;הגדרות!$E$8*(הגדרות!$E$7+1),MOD(H3682-1,הגדרות!$E$7+1),MOD(H3682-1-הגדרות!$E$8*(הגדרות!$E$7+1),הגדרות!$E$7)))</f>
        <v/>
      </c>
      <c r="K3682" s="0" t="str">
        <f aca="false">IF(I3682="","",J3682*הגדרות!$E$6+I3682+1)</f>
        <v/>
      </c>
      <c r="L3682" s="0" t="str">
        <f aca="false">IF(K3682="","",MATCH(K3682,$F$2:$F$5001,0))</f>
        <v/>
      </c>
      <c r="M3682" s="0" t="str">
        <f aca="false">IF(I3682="","",INDEX(הגדרות!$A$2:$A$21,MOD(I3682+הגדרות!$E$9,הגדרות!$E$6)+1))</f>
        <v/>
      </c>
    </row>
    <row r="3683" customFormat="false" ht="15" hidden="false" customHeight="false" outlineLevel="0" collapsed="false">
      <c r="A3683" s="0" t="str">
        <f aca="false">IF('הדבקת לידים'!A3683="","",IF(ISNUMBER('הדבקת לידים'!A3683),IF(הגדרות!$E$2&gt;0,TEXT('הדבקת לידים'!A3683,REPT("0",הגדרות!$E$2)),TEXT('הדבקת לידים'!A3683,"0")),TRIM('הדבקת לידים'!A3683)))</f>
        <v/>
      </c>
      <c r="B3683" s="0" t="str">
        <f aca="false">IF('הדבקת לידים'!B3683="","",IF(ISNUMBER('הדבקת לידים'!B3683),IF(הגדרות!$E$3&gt;0,TEXT('הדבקת לידים'!B3683,REPT("0",הגדרות!$E$3)),TEXT('הדבקת לידים'!B3683,"0")),TRIM('הדבקת לידים'!B3683)))</f>
        <v/>
      </c>
      <c r="C3683" s="0" t="n">
        <f aca="false">IF(OR(A3683&lt;&gt;"",B3683&lt;&gt;""),1,0)</f>
        <v>0</v>
      </c>
      <c r="D3683" s="0" t="str">
        <f aca="false">IF(C3683=1,MOD(ABS(SIN(ROW()*12.9898+'הדבקת לידים'!$F$2*78.233+IFERROR(--RIGHT(A3683,6),LEN(A3683))*0.0137+IFERROR(--RIGHT(B3683,6),LEN(B3683))*0.0071))*43758.5453,1),"")</f>
        <v/>
      </c>
      <c r="E3683" s="0" t="str">
        <f aca="false">IF(C3683=1,INT(MOD(ABS(SIN(D3683*7919.123+ROW()*0.618+'הדבקת לידים'!$F$2*1.3))*43758.5453,1)*1000000)*10000+ROW(),"")</f>
        <v/>
      </c>
      <c r="F3683" s="0" t="str">
        <f aca="false">IF(E3683="","",RANK(E3683,$E$2:$E$5001,1))</f>
        <v/>
      </c>
      <c r="G3683" s="0" t="n">
        <f aca="false">IF(A3683="",0,IF(SUMPRODUCT(--($A$2:$A$5001=A3683))&gt;1,1,0))</f>
        <v>0</v>
      </c>
      <c r="H3683" s="0" t="n">
        <f aca="false">ROW()-1</f>
        <v>3682</v>
      </c>
      <c r="I3683" s="0" t="str">
        <f aca="false">IF(OR(הגדרות!$E$6=0,H3683&gt;הגדרות!$E$5),"",IF(H3683-1&lt;הגדרות!$E$8*(הגדרות!$E$7+1),INT((H3683-1)/(הגדרות!$E$7+1)),הגדרות!$E$8+INT((H3683-1-הגדרות!$E$8*(הגדרות!$E$7+1))/הגדרות!$E$7)))</f>
        <v/>
      </c>
      <c r="J3683" s="0" t="str">
        <f aca="false">IF(I3683="","",IF(H3683-1&lt;הגדרות!$E$8*(הגדרות!$E$7+1),MOD(H3683-1,הגדרות!$E$7+1),MOD(H3683-1-הגדרות!$E$8*(הגדרות!$E$7+1),הגדרות!$E$7)))</f>
        <v/>
      </c>
      <c r="K3683" s="0" t="str">
        <f aca="false">IF(I3683="","",J3683*הגדרות!$E$6+I3683+1)</f>
        <v/>
      </c>
      <c r="L3683" s="0" t="str">
        <f aca="false">IF(K3683="","",MATCH(K3683,$F$2:$F$5001,0))</f>
        <v/>
      </c>
      <c r="M3683" s="0" t="str">
        <f aca="false">IF(I3683="","",INDEX(הגדרות!$A$2:$A$21,MOD(I3683+הגדרות!$E$9,הגדרות!$E$6)+1))</f>
        <v/>
      </c>
    </row>
    <row r="3684" customFormat="false" ht="15" hidden="false" customHeight="false" outlineLevel="0" collapsed="false">
      <c r="A3684" s="0" t="str">
        <f aca="false">IF('הדבקת לידים'!A3684="","",IF(ISNUMBER('הדבקת לידים'!A3684),IF(הגדרות!$E$2&gt;0,TEXT('הדבקת לידים'!A3684,REPT("0",הגדרות!$E$2)),TEXT('הדבקת לידים'!A3684,"0")),TRIM('הדבקת לידים'!A3684)))</f>
        <v/>
      </c>
      <c r="B3684" s="0" t="str">
        <f aca="false">IF('הדבקת לידים'!B3684="","",IF(ISNUMBER('הדבקת לידים'!B3684),IF(הגדרות!$E$3&gt;0,TEXT('הדבקת לידים'!B3684,REPT("0",הגדרות!$E$3)),TEXT('הדבקת לידים'!B3684,"0")),TRIM('הדבקת לידים'!B3684)))</f>
        <v/>
      </c>
      <c r="C3684" s="0" t="n">
        <f aca="false">IF(OR(A3684&lt;&gt;"",B3684&lt;&gt;""),1,0)</f>
        <v>0</v>
      </c>
      <c r="D3684" s="0" t="str">
        <f aca="false">IF(C3684=1,MOD(ABS(SIN(ROW()*12.9898+'הדבקת לידים'!$F$2*78.233+IFERROR(--RIGHT(A3684,6),LEN(A3684))*0.0137+IFERROR(--RIGHT(B3684,6),LEN(B3684))*0.0071))*43758.5453,1),"")</f>
        <v/>
      </c>
      <c r="E3684" s="0" t="str">
        <f aca="false">IF(C3684=1,INT(MOD(ABS(SIN(D3684*7919.123+ROW()*0.618+'הדבקת לידים'!$F$2*1.3))*43758.5453,1)*1000000)*10000+ROW(),"")</f>
        <v/>
      </c>
      <c r="F3684" s="0" t="str">
        <f aca="false">IF(E3684="","",RANK(E3684,$E$2:$E$5001,1))</f>
        <v/>
      </c>
      <c r="G3684" s="0" t="n">
        <f aca="false">IF(A3684="",0,IF(SUMPRODUCT(--($A$2:$A$5001=A3684))&gt;1,1,0))</f>
        <v>0</v>
      </c>
      <c r="H3684" s="0" t="n">
        <f aca="false">ROW()-1</f>
        <v>3683</v>
      </c>
      <c r="I3684" s="0" t="str">
        <f aca="false">IF(OR(הגדרות!$E$6=0,H3684&gt;הגדרות!$E$5),"",IF(H3684-1&lt;הגדרות!$E$8*(הגדרות!$E$7+1),INT((H3684-1)/(הגדרות!$E$7+1)),הגדרות!$E$8+INT((H3684-1-הגדרות!$E$8*(הגדרות!$E$7+1))/הגדרות!$E$7)))</f>
        <v/>
      </c>
      <c r="J3684" s="0" t="str">
        <f aca="false">IF(I3684="","",IF(H3684-1&lt;הגדרות!$E$8*(הגדרות!$E$7+1),MOD(H3684-1,הגדרות!$E$7+1),MOD(H3684-1-הגדרות!$E$8*(הגדרות!$E$7+1),הגדרות!$E$7)))</f>
        <v/>
      </c>
      <c r="K3684" s="0" t="str">
        <f aca="false">IF(I3684="","",J3684*הגדרות!$E$6+I3684+1)</f>
        <v/>
      </c>
      <c r="L3684" s="0" t="str">
        <f aca="false">IF(K3684="","",MATCH(K3684,$F$2:$F$5001,0))</f>
        <v/>
      </c>
      <c r="M3684" s="0" t="str">
        <f aca="false">IF(I3684="","",INDEX(הגדרות!$A$2:$A$21,MOD(I3684+הגדרות!$E$9,הגדרות!$E$6)+1))</f>
        <v/>
      </c>
    </row>
    <row r="3685" customFormat="false" ht="15" hidden="false" customHeight="false" outlineLevel="0" collapsed="false">
      <c r="A3685" s="0" t="str">
        <f aca="false">IF('הדבקת לידים'!A3685="","",IF(ISNUMBER('הדבקת לידים'!A3685),IF(הגדרות!$E$2&gt;0,TEXT('הדבקת לידים'!A3685,REPT("0",הגדרות!$E$2)),TEXT('הדבקת לידים'!A3685,"0")),TRIM('הדבקת לידים'!A3685)))</f>
        <v/>
      </c>
      <c r="B3685" s="0" t="str">
        <f aca="false">IF('הדבקת לידים'!B3685="","",IF(ISNUMBER('הדבקת לידים'!B3685),IF(הגדרות!$E$3&gt;0,TEXT('הדבקת לידים'!B3685,REPT("0",הגדרות!$E$3)),TEXT('הדבקת לידים'!B3685,"0")),TRIM('הדבקת לידים'!B3685)))</f>
        <v/>
      </c>
      <c r="C3685" s="0" t="n">
        <f aca="false">IF(OR(A3685&lt;&gt;"",B3685&lt;&gt;""),1,0)</f>
        <v>0</v>
      </c>
      <c r="D3685" s="0" t="str">
        <f aca="false">IF(C3685=1,MOD(ABS(SIN(ROW()*12.9898+'הדבקת לידים'!$F$2*78.233+IFERROR(--RIGHT(A3685,6),LEN(A3685))*0.0137+IFERROR(--RIGHT(B3685,6),LEN(B3685))*0.0071))*43758.5453,1),"")</f>
        <v/>
      </c>
      <c r="E3685" s="0" t="str">
        <f aca="false">IF(C3685=1,INT(MOD(ABS(SIN(D3685*7919.123+ROW()*0.618+'הדבקת לידים'!$F$2*1.3))*43758.5453,1)*1000000)*10000+ROW(),"")</f>
        <v/>
      </c>
      <c r="F3685" s="0" t="str">
        <f aca="false">IF(E3685="","",RANK(E3685,$E$2:$E$5001,1))</f>
        <v/>
      </c>
      <c r="G3685" s="0" t="n">
        <f aca="false">IF(A3685="",0,IF(SUMPRODUCT(--($A$2:$A$5001=A3685))&gt;1,1,0))</f>
        <v>0</v>
      </c>
      <c r="H3685" s="0" t="n">
        <f aca="false">ROW()-1</f>
        <v>3684</v>
      </c>
      <c r="I3685" s="0" t="str">
        <f aca="false">IF(OR(הגדרות!$E$6=0,H3685&gt;הגדרות!$E$5),"",IF(H3685-1&lt;הגדרות!$E$8*(הגדרות!$E$7+1),INT((H3685-1)/(הגדרות!$E$7+1)),הגדרות!$E$8+INT((H3685-1-הגדרות!$E$8*(הגדרות!$E$7+1))/הגדרות!$E$7)))</f>
        <v/>
      </c>
      <c r="J3685" s="0" t="str">
        <f aca="false">IF(I3685="","",IF(H3685-1&lt;הגדרות!$E$8*(הגדרות!$E$7+1),MOD(H3685-1,הגדרות!$E$7+1),MOD(H3685-1-הגדרות!$E$8*(הגדרות!$E$7+1),הגדרות!$E$7)))</f>
        <v/>
      </c>
      <c r="K3685" s="0" t="str">
        <f aca="false">IF(I3685="","",J3685*הגדרות!$E$6+I3685+1)</f>
        <v/>
      </c>
      <c r="L3685" s="0" t="str">
        <f aca="false">IF(K3685="","",MATCH(K3685,$F$2:$F$5001,0))</f>
        <v/>
      </c>
      <c r="M3685" s="0" t="str">
        <f aca="false">IF(I3685="","",INDEX(הגדרות!$A$2:$A$21,MOD(I3685+הגדרות!$E$9,הגדרות!$E$6)+1))</f>
        <v/>
      </c>
    </row>
    <row r="3686" customFormat="false" ht="15" hidden="false" customHeight="false" outlineLevel="0" collapsed="false">
      <c r="A3686" s="0" t="str">
        <f aca="false">IF('הדבקת לידים'!A3686="","",IF(ISNUMBER('הדבקת לידים'!A3686),IF(הגדרות!$E$2&gt;0,TEXT('הדבקת לידים'!A3686,REPT("0",הגדרות!$E$2)),TEXT('הדבקת לידים'!A3686,"0")),TRIM('הדבקת לידים'!A3686)))</f>
        <v/>
      </c>
      <c r="B3686" s="0" t="str">
        <f aca="false">IF('הדבקת לידים'!B3686="","",IF(ISNUMBER('הדבקת לידים'!B3686),IF(הגדרות!$E$3&gt;0,TEXT('הדבקת לידים'!B3686,REPT("0",הגדרות!$E$3)),TEXT('הדבקת לידים'!B3686,"0")),TRIM('הדבקת לידים'!B3686)))</f>
        <v/>
      </c>
      <c r="C3686" s="0" t="n">
        <f aca="false">IF(OR(A3686&lt;&gt;"",B3686&lt;&gt;""),1,0)</f>
        <v>0</v>
      </c>
      <c r="D3686" s="0" t="str">
        <f aca="false">IF(C3686=1,MOD(ABS(SIN(ROW()*12.9898+'הדבקת לידים'!$F$2*78.233+IFERROR(--RIGHT(A3686,6),LEN(A3686))*0.0137+IFERROR(--RIGHT(B3686,6),LEN(B3686))*0.0071))*43758.5453,1),"")</f>
        <v/>
      </c>
      <c r="E3686" s="0" t="str">
        <f aca="false">IF(C3686=1,INT(MOD(ABS(SIN(D3686*7919.123+ROW()*0.618+'הדבקת לידים'!$F$2*1.3))*43758.5453,1)*1000000)*10000+ROW(),"")</f>
        <v/>
      </c>
      <c r="F3686" s="0" t="str">
        <f aca="false">IF(E3686="","",RANK(E3686,$E$2:$E$5001,1))</f>
        <v/>
      </c>
      <c r="G3686" s="0" t="n">
        <f aca="false">IF(A3686="",0,IF(SUMPRODUCT(--($A$2:$A$5001=A3686))&gt;1,1,0))</f>
        <v>0</v>
      </c>
      <c r="H3686" s="0" t="n">
        <f aca="false">ROW()-1</f>
        <v>3685</v>
      </c>
      <c r="I3686" s="0" t="str">
        <f aca="false">IF(OR(הגדרות!$E$6=0,H3686&gt;הגדרות!$E$5),"",IF(H3686-1&lt;הגדרות!$E$8*(הגדרות!$E$7+1),INT((H3686-1)/(הגדרות!$E$7+1)),הגדרות!$E$8+INT((H3686-1-הגדרות!$E$8*(הגדרות!$E$7+1))/הגדרות!$E$7)))</f>
        <v/>
      </c>
      <c r="J3686" s="0" t="str">
        <f aca="false">IF(I3686="","",IF(H3686-1&lt;הגדרות!$E$8*(הגדרות!$E$7+1),MOD(H3686-1,הגדרות!$E$7+1),MOD(H3686-1-הגדרות!$E$8*(הגדרות!$E$7+1),הגדרות!$E$7)))</f>
        <v/>
      </c>
      <c r="K3686" s="0" t="str">
        <f aca="false">IF(I3686="","",J3686*הגדרות!$E$6+I3686+1)</f>
        <v/>
      </c>
      <c r="L3686" s="0" t="str">
        <f aca="false">IF(K3686="","",MATCH(K3686,$F$2:$F$5001,0))</f>
        <v/>
      </c>
      <c r="M3686" s="0" t="str">
        <f aca="false">IF(I3686="","",INDEX(הגדרות!$A$2:$A$21,MOD(I3686+הגדרות!$E$9,הגדרות!$E$6)+1))</f>
        <v/>
      </c>
    </row>
    <row r="3687" customFormat="false" ht="15" hidden="false" customHeight="false" outlineLevel="0" collapsed="false">
      <c r="A3687" s="0" t="str">
        <f aca="false">IF('הדבקת לידים'!A3687="","",IF(ISNUMBER('הדבקת לידים'!A3687),IF(הגדרות!$E$2&gt;0,TEXT('הדבקת לידים'!A3687,REPT("0",הגדרות!$E$2)),TEXT('הדבקת לידים'!A3687,"0")),TRIM('הדבקת לידים'!A3687)))</f>
        <v/>
      </c>
      <c r="B3687" s="0" t="str">
        <f aca="false">IF('הדבקת לידים'!B3687="","",IF(ISNUMBER('הדבקת לידים'!B3687),IF(הגדרות!$E$3&gt;0,TEXT('הדבקת לידים'!B3687,REPT("0",הגדרות!$E$3)),TEXT('הדבקת לידים'!B3687,"0")),TRIM('הדבקת לידים'!B3687)))</f>
        <v/>
      </c>
      <c r="C3687" s="0" t="n">
        <f aca="false">IF(OR(A3687&lt;&gt;"",B3687&lt;&gt;""),1,0)</f>
        <v>0</v>
      </c>
      <c r="D3687" s="0" t="str">
        <f aca="false">IF(C3687=1,MOD(ABS(SIN(ROW()*12.9898+'הדבקת לידים'!$F$2*78.233+IFERROR(--RIGHT(A3687,6),LEN(A3687))*0.0137+IFERROR(--RIGHT(B3687,6),LEN(B3687))*0.0071))*43758.5453,1),"")</f>
        <v/>
      </c>
      <c r="E3687" s="0" t="str">
        <f aca="false">IF(C3687=1,INT(MOD(ABS(SIN(D3687*7919.123+ROW()*0.618+'הדבקת לידים'!$F$2*1.3))*43758.5453,1)*1000000)*10000+ROW(),"")</f>
        <v/>
      </c>
      <c r="F3687" s="0" t="str">
        <f aca="false">IF(E3687="","",RANK(E3687,$E$2:$E$5001,1))</f>
        <v/>
      </c>
      <c r="G3687" s="0" t="n">
        <f aca="false">IF(A3687="",0,IF(SUMPRODUCT(--($A$2:$A$5001=A3687))&gt;1,1,0))</f>
        <v>0</v>
      </c>
      <c r="H3687" s="0" t="n">
        <f aca="false">ROW()-1</f>
        <v>3686</v>
      </c>
      <c r="I3687" s="0" t="str">
        <f aca="false">IF(OR(הגדרות!$E$6=0,H3687&gt;הגדרות!$E$5),"",IF(H3687-1&lt;הגדרות!$E$8*(הגדרות!$E$7+1),INT((H3687-1)/(הגדרות!$E$7+1)),הגדרות!$E$8+INT((H3687-1-הגדרות!$E$8*(הגדרות!$E$7+1))/הגדרות!$E$7)))</f>
        <v/>
      </c>
      <c r="J3687" s="0" t="str">
        <f aca="false">IF(I3687="","",IF(H3687-1&lt;הגדרות!$E$8*(הגדרות!$E$7+1),MOD(H3687-1,הגדרות!$E$7+1),MOD(H3687-1-הגדרות!$E$8*(הגדרות!$E$7+1),הגדרות!$E$7)))</f>
        <v/>
      </c>
      <c r="K3687" s="0" t="str">
        <f aca="false">IF(I3687="","",J3687*הגדרות!$E$6+I3687+1)</f>
        <v/>
      </c>
      <c r="L3687" s="0" t="str">
        <f aca="false">IF(K3687="","",MATCH(K3687,$F$2:$F$5001,0))</f>
        <v/>
      </c>
      <c r="M3687" s="0" t="str">
        <f aca="false">IF(I3687="","",INDEX(הגדרות!$A$2:$A$21,MOD(I3687+הגדרות!$E$9,הגדרות!$E$6)+1))</f>
        <v/>
      </c>
    </row>
    <row r="3688" customFormat="false" ht="15" hidden="false" customHeight="false" outlineLevel="0" collapsed="false">
      <c r="A3688" s="0" t="str">
        <f aca="false">IF('הדבקת לידים'!A3688="","",IF(ISNUMBER('הדבקת לידים'!A3688),IF(הגדרות!$E$2&gt;0,TEXT('הדבקת לידים'!A3688,REPT("0",הגדרות!$E$2)),TEXT('הדבקת לידים'!A3688,"0")),TRIM('הדבקת לידים'!A3688)))</f>
        <v/>
      </c>
      <c r="B3688" s="0" t="str">
        <f aca="false">IF('הדבקת לידים'!B3688="","",IF(ISNUMBER('הדבקת לידים'!B3688),IF(הגדרות!$E$3&gt;0,TEXT('הדבקת לידים'!B3688,REPT("0",הגדרות!$E$3)),TEXT('הדבקת לידים'!B3688,"0")),TRIM('הדבקת לידים'!B3688)))</f>
        <v/>
      </c>
      <c r="C3688" s="0" t="n">
        <f aca="false">IF(OR(A3688&lt;&gt;"",B3688&lt;&gt;""),1,0)</f>
        <v>0</v>
      </c>
      <c r="D3688" s="0" t="str">
        <f aca="false">IF(C3688=1,MOD(ABS(SIN(ROW()*12.9898+'הדבקת לידים'!$F$2*78.233+IFERROR(--RIGHT(A3688,6),LEN(A3688))*0.0137+IFERROR(--RIGHT(B3688,6),LEN(B3688))*0.0071))*43758.5453,1),"")</f>
        <v/>
      </c>
      <c r="E3688" s="0" t="str">
        <f aca="false">IF(C3688=1,INT(MOD(ABS(SIN(D3688*7919.123+ROW()*0.618+'הדבקת לידים'!$F$2*1.3))*43758.5453,1)*1000000)*10000+ROW(),"")</f>
        <v/>
      </c>
      <c r="F3688" s="0" t="str">
        <f aca="false">IF(E3688="","",RANK(E3688,$E$2:$E$5001,1))</f>
        <v/>
      </c>
      <c r="G3688" s="0" t="n">
        <f aca="false">IF(A3688="",0,IF(SUMPRODUCT(--($A$2:$A$5001=A3688))&gt;1,1,0))</f>
        <v>0</v>
      </c>
      <c r="H3688" s="0" t="n">
        <f aca="false">ROW()-1</f>
        <v>3687</v>
      </c>
      <c r="I3688" s="0" t="str">
        <f aca="false">IF(OR(הגדרות!$E$6=0,H3688&gt;הגדרות!$E$5),"",IF(H3688-1&lt;הגדרות!$E$8*(הגדרות!$E$7+1),INT((H3688-1)/(הגדרות!$E$7+1)),הגדרות!$E$8+INT((H3688-1-הגדרות!$E$8*(הגדרות!$E$7+1))/הגדרות!$E$7)))</f>
        <v/>
      </c>
      <c r="J3688" s="0" t="str">
        <f aca="false">IF(I3688="","",IF(H3688-1&lt;הגדרות!$E$8*(הגדרות!$E$7+1),MOD(H3688-1,הגדרות!$E$7+1),MOD(H3688-1-הגדרות!$E$8*(הגדרות!$E$7+1),הגדרות!$E$7)))</f>
        <v/>
      </c>
      <c r="K3688" s="0" t="str">
        <f aca="false">IF(I3688="","",J3688*הגדרות!$E$6+I3688+1)</f>
        <v/>
      </c>
      <c r="L3688" s="0" t="str">
        <f aca="false">IF(K3688="","",MATCH(K3688,$F$2:$F$5001,0))</f>
        <v/>
      </c>
      <c r="M3688" s="0" t="str">
        <f aca="false">IF(I3688="","",INDEX(הגדרות!$A$2:$A$21,MOD(I3688+הגדרות!$E$9,הגדרות!$E$6)+1))</f>
        <v/>
      </c>
    </row>
    <row r="3689" customFormat="false" ht="15" hidden="false" customHeight="false" outlineLevel="0" collapsed="false">
      <c r="A3689" s="0" t="str">
        <f aca="false">IF('הדבקת לידים'!A3689="","",IF(ISNUMBER('הדבקת לידים'!A3689),IF(הגדרות!$E$2&gt;0,TEXT('הדבקת לידים'!A3689,REPT("0",הגדרות!$E$2)),TEXT('הדבקת לידים'!A3689,"0")),TRIM('הדבקת לידים'!A3689)))</f>
        <v/>
      </c>
      <c r="B3689" s="0" t="str">
        <f aca="false">IF('הדבקת לידים'!B3689="","",IF(ISNUMBER('הדבקת לידים'!B3689),IF(הגדרות!$E$3&gt;0,TEXT('הדבקת לידים'!B3689,REPT("0",הגדרות!$E$3)),TEXT('הדבקת לידים'!B3689,"0")),TRIM('הדבקת לידים'!B3689)))</f>
        <v/>
      </c>
      <c r="C3689" s="0" t="n">
        <f aca="false">IF(OR(A3689&lt;&gt;"",B3689&lt;&gt;""),1,0)</f>
        <v>0</v>
      </c>
      <c r="D3689" s="0" t="str">
        <f aca="false">IF(C3689=1,MOD(ABS(SIN(ROW()*12.9898+'הדבקת לידים'!$F$2*78.233+IFERROR(--RIGHT(A3689,6),LEN(A3689))*0.0137+IFERROR(--RIGHT(B3689,6),LEN(B3689))*0.0071))*43758.5453,1),"")</f>
        <v/>
      </c>
      <c r="E3689" s="0" t="str">
        <f aca="false">IF(C3689=1,INT(MOD(ABS(SIN(D3689*7919.123+ROW()*0.618+'הדבקת לידים'!$F$2*1.3))*43758.5453,1)*1000000)*10000+ROW(),"")</f>
        <v/>
      </c>
      <c r="F3689" s="0" t="str">
        <f aca="false">IF(E3689="","",RANK(E3689,$E$2:$E$5001,1))</f>
        <v/>
      </c>
      <c r="G3689" s="0" t="n">
        <f aca="false">IF(A3689="",0,IF(SUMPRODUCT(--($A$2:$A$5001=A3689))&gt;1,1,0))</f>
        <v>0</v>
      </c>
      <c r="H3689" s="0" t="n">
        <f aca="false">ROW()-1</f>
        <v>3688</v>
      </c>
      <c r="I3689" s="0" t="str">
        <f aca="false">IF(OR(הגדרות!$E$6=0,H3689&gt;הגדרות!$E$5),"",IF(H3689-1&lt;הגדרות!$E$8*(הגדרות!$E$7+1),INT((H3689-1)/(הגדרות!$E$7+1)),הגדרות!$E$8+INT((H3689-1-הגדרות!$E$8*(הגדרות!$E$7+1))/הגדרות!$E$7)))</f>
        <v/>
      </c>
      <c r="J3689" s="0" t="str">
        <f aca="false">IF(I3689="","",IF(H3689-1&lt;הגדרות!$E$8*(הגדרות!$E$7+1),MOD(H3689-1,הגדרות!$E$7+1),MOD(H3689-1-הגדרות!$E$8*(הגדרות!$E$7+1),הגדרות!$E$7)))</f>
        <v/>
      </c>
      <c r="K3689" s="0" t="str">
        <f aca="false">IF(I3689="","",J3689*הגדרות!$E$6+I3689+1)</f>
        <v/>
      </c>
      <c r="L3689" s="0" t="str">
        <f aca="false">IF(K3689="","",MATCH(K3689,$F$2:$F$5001,0))</f>
        <v/>
      </c>
      <c r="M3689" s="0" t="str">
        <f aca="false">IF(I3689="","",INDEX(הגדרות!$A$2:$A$21,MOD(I3689+הגדרות!$E$9,הגדרות!$E$6)+1))</f>
        <v/>
      </c>
    </row>
    <row r="3690" customFormat="false" ht="15" hidden="false" customHeight="false" outlineLevel="0" collapsed="false">
      <c r="A3690" s="0" t="str">
        <f aca="false">IF('הדבקת לידים'!A3690="","",IF(ISNUMBER('הדבקת לידים'!A3690),IF(הגדרות!$E$2&gt;0,TEXT('הדבקת לידים'!A3690,REPT("0",הגדרות!$E$2)),TEXT('הדבקת לידים'!A3690,"0")),TRIM('הדבקת לידים'!A3690)))</f>
        <v/>
      </c>
      <c r="B3690" s="0" t="str">
        <f aca="false">IF('הדבקת לידים'!B3690="","",IF(ISNUMBER('הדבקת לידים'!B3690),IF(הגדרות!$E$3&gt;0,TEXT('הדבקת לידים'!B3690,REPT("0",הגדרות!$E$3)),TEXT('הדבקת לידים'!B3690,"0")),TRIM('הדבקת לידים'!B3690)))</f>
        <v/>
      </c>
      <c r="C3690" s="0" t="n">
        <f aca="false">IF(OR(A3690&lt;&gt;"",B3690&lt;&gt;""),1,0)</f>
        <v>0</v>
      </c>
      <c r="D3690" s="0" t="str">
        <f aca="false">IF(C3690=1,MOD(ABS(SIN(ROW()*12.9898+'הדבקת לידים'!$F$2*78.233+IFERROR(--RIGHT(A3690,6),LEN(A3690))*0.0137+IFERROR(--RIGHT(B3690,6),LEN(B3690))*0.0071))*43758.5453,1),"")</f>
        <v/>
      </c>
      <c r="E3690" s="0" t="str">
        <f aca="false">IF(C3690=1,INT(MOD(ABS(SIN(D3690*7919.123+ROW()*0.618+'הדבקת לידים'!$F$2*1.3))*43758.5453,1)*1000000)*10000+ROW(),"")</f>
        <v/>
      </c>
      <c r="F3690" s="0" t="str">
        <f aca="false">IF(E3690="","",RANK(E3690,$E$2:$E$5001,1))</f>
        <v/>
      </c>
      <c r="G3690" s="0" t="n">
        <f aca="false">IF(A3690="",0,IF(SUMPRODUCT(--($A$2:$A$5001=A3690))&gt;1,1,0))</f>
        <v>0</v>
      </c>
      <c r="H3690" s="0" t="n">
        <f aca="false">ROW()-1</f>
        <v>3689</v>
      </c>
      <c r="I3690" s="0" t="str">
        <f aca="false">IF(OR(הגדרות!$E$6=0,H3690&gt;הגדרות!$E$5),"",IF(H3690-1&lt;הגדרות!$E$8*(הגדרות!$E$7+1),INT((H3690-1)/(הגדרות!$E$7+1)),הגדרות!$E$8+INT((H3690-1-הגדרות!$E$8*(הגדרות!$E$7+1))/הגדרות!$E$7)))</f>
        <v/>
      </c>
      <c r="J3690" s="0" t="str">
        <f aca="false">IF(I3690="","",IF(H3690-1&lt;הגדרות!$E$8*(הגדרות!$E$7+1),MOD(H3690-1,הגדרות!$E$7+1),MOD(H3690-1-הגדרות!$E$8*(הגדרות!$E$7+1),הגדרות!$E$7)))</f>
        <v/>
      </c>
      <c r="K3690" s="0" t="str">
        <f aca="false">IF(I3690="","",J3690*הגדרות!$E$6+I3690+1)</f>
        <v/>
      </c>
      <c r="L3690" s="0" t="str">
        <f aca="false">IF(K3690="","",MATCH(K3690,$F$2:$F$5001,0))</f>
        <v/>
      </c>
      <c r="M3690" s="0" t="str">
        <f aca="false">IF(I3690="","",INDEX(הגדרות!$A$2:$A$21,MOD(I3690+הגדרות!$E$9,הגדרות!$E$6)+1))</f>
        <v/>
      </c>
    </row>
    <row r="3691" customFormat="false" ht="15" hidden="false" customHeight="false" outlineLevel="0" collapsed="false">
      <c r="A3691" s="0" t="str">
        <f aca="false">IF('הדבקת לידים'!A3691="","",IF(ISNUMBER('הדבקת לידים'!A3691),IF(הגדרות!$E$2&gt;0,TEXT('הדבקת לידים'!A3691,REPT("0",הגדרות!$E$2)),TEXT('הדבקת לידים'!A3691,"0")),TRIM('הדבקת לידים'!A3691)))</f>
        <v/>
      </c>
      <c r="B3691" s="0" t="str">
        <f aca="false">IF('הדבקת לידים'!B3691="","",IF(ISNUMBER('הדבקת לידים'!B3691),IF(הגדרות!$E$3&gt;0,TEXT('הדבקת לידים'!B3691,REPT("0",הגדרות!$E$3)),TEXT('הדבקת לידים'!B3691,"0")),TRIM('הדבקת לידים'!B3691)))</f>
        <v/>
      </c>
      <c r="C3691" s="0" t="n">
        <f aca="false">IF(OR(A3691&lt;&gt;"",B3691&lt;&gt;""),1,0)</f>
        <v>0</v>
      </c>
      <c r="D3691" s="0" t="str">
        <f aca="false">IF(C3691=1,MOD(ABS(SIN(ROW()*12.9898+'הדבקת לידים'!$F$2*78.233+IFERROR(--RIGHT(A3691,6),LEN(A3691))*0.0137+IFERROR(--RIGHT(B3691,6),LEN(B3691))*0.0071))*43758.5453,1),"")</f>
        <v/>
      </c>
      <c r="E3691" s="0" t="str">
        <f aca="false">IF(C3691=1,INT(MOD(ABS(SIN(D3691*7919.123+ROW()*0.618+'הדבקת לידים'!$F$2*1.3))*43758.5453,1)*1000000)*10000+ROW(),"")</f>
        <v/>
      </c>
      <c r="F3691" s="0" t="str">
        <f aca="false">IF(E3691="","",RANK(E3691,$E$2:$E$5001,1))</f>
        <v/>
      </c>
      <c r="G3691" s="0" t="n">
        <f aca="false">IF(A3691="",0,IF(SUMPRODUCT(--($A$2:$A$5001=A3691))&gt;1,1,0))</f>
        <v>0</v>
      </c>
      <c r="H3691" s="0" t="n">
        <f aca="false">ROW()-1</f>
        <v>3690</v>
      </c>
      <c r="I3691" s="0" t="str">
        <f aca="false">IF(OR(הגדרות!$E$6=0,H3691&gt;הגדרות!$E$5),"",IF(H3691-1&lt;הגדרות!$E$8*(הגדרות!$E$7+1),INT((H3691-1)/(הגדרות!$E$7+1)),הגדרות!$E$8+INT((H3691-1-הגדרות!$E$8*(הגדרות!$E$7+1))/הגדרות!$E$7)))</f>
        <v/>
      </c>
      <c r="J3691" s="0" t="str">
        <f aca="false">IF(I3691="","",IF(H3691-1&lt;הגדרות!$E$8*(הגדרות!$E$7+1),MOD(H3691-1,הגדרות!$E$7+1),MOD(H3691-1-הגדרות!$E$8*(הגדרות!$E$7+1),הגדרות!$E$7)))</f>
        <v/>
      </c>
      <c r="K3691" s="0" t="str">
        <f aca="false">IF(I3691="","",J3691*הגדרות!$E$6+I3691+1)</f>
        <v/>
      </c>
      <c r="L3691" s="0" t="str">
        <f aca="false">IF(K3691="","",MATCH(K3691,$F$2:$F$5001,0))</f>
        <v/>
      </c>
      <c r="M3691" s="0" t="str">
        <f aca="false">IF(I3691="","",INDEX(הגדרות!$A$2:$A$21,MOD(I3691+הגדרות!$E$9,הגדרות!$E$6)+1))</f>
        <v/>
      </c>
    </row>
    <row r="3692" customFormat="false" ht="15" hidden="false" customHeight="false" outlineLevel="0" collapsed="false">
      <c r="A3692" s="0" t="str">
        <f aca="false">IF('הדבקת לידים'!A3692="","",IF(ISNUMBER('הדבקת לידים'!A3692),IF(הגדרות!$E$2&gt;0,TEXT('הדבקת לידים'!A3692,REPT("0",הגדרות!$E$2)),TEXT('הדבקת לידים'!A3692,"0")),TRIM('הדבקת לידים'!A3692)))</f>
        <v/>
      </c>
      <c r="B3692" s="0" t="str">
        <f aca="false">IF('הדבקת לידים'!B3692="","",IF(ISNUMBER('הדבקת לידים'!B3692),IF(הגדרות!$E$3&gt;0,TEXT('הדבקת לידים'!B3692,REPT("0",הגדרות!$E$3)),TEXT('הדבקת לידים'!B3692,"0")),TRIM('הדבקת לידים'!B3692)))</f>
        <v/>
      </c>
      <c r="C3692" s="0" t="n">
        <f aca="false">IF(OR(A3692&lt;&gt;"",B3692&lt;&gt;""),1,0)</f>
        <v>0</v>
      </c>
      <c r="D3692" s="0" t="str">
        <f aca="false">IF(C3692=1,MOD(ABS(SIN(ROW()*12.9898+'הדבקת לידים'!$F$2*78.233+IFERROR(--RIGHT(A3692,6),LEN(A3692))*0.0137+IFERROR(--RIGHT(B3692,6),LEN(B3692))*0.0071))*43758.5453,1),"")</f>
        <v/>
      </c>
      <c r="E3692" s="0" t="str">
        <f aca="false">IF(C3692=1,INT(MOD(ABS(SIN(D3692*7919.123+ROW()*0.618+'הדבקת לידים'!$F$2*1.3))*43758.5453,1)*1000000)*10000+ROW(),"")</f>
        <v/>
      </c>
      <c r="F3692" s="0" t="str">
        <f aca="false">IF(E3692="","",RANK(E3692,$E$2:$E$5001,1))</f>
        <v/>
      </c>
      <c r="G3692" s="0" t="n">
        <f aca="false">IF(A3692="",0,IF(SUMPRODUCT(--($A$2:$A$5001=A3692))&gt;1,1,0))</f>
        <v>0</v>
      </c>
      <c r="H3692" s="0" t="n">
        <f aca="false">ROW()-1</f>
        <v>3691</v>
      </c>
      <c r="I3692" s="0" t="str">
        <f aca="false">IF(OR(הגדרות!$E$6=0,H3692&gt;הגדרות!$E$5),"",IF(H3692-1&lt;הגדרות!$E$8*(הגדרות!$E$7+1),INT((H3692-1)/(הגדרות!$E$7+1)),הגדרות!$E$8+INT((H3692-1-הגדרות!$E$8*(הגדרות!$E$7+1))/הגדרות!$E$7)))</f>
        <v/>
      </c>
      <c r="J3692" s="0" t="str">
        <f aca="false">IF(I3692="","",IF(H3692-1&lt;הגדרות!$E$8*(הגדרות!$E$7+1),MOD(H3692-1,הגדרות!$E$7+1),MOD(H3692-1-הגדרות!$E$8*(הגדרות!$E$7+1),הגדרות!$E$7)))</f>
        <v/>
      </c>
      <c r="K3692" s="0" t="str">
        <f aca="false">IF(I3692="","",J3692*הגדרות!$E$6+I3692+1)</f>
        <v/>
      </c>
      <c r="L3692" s="0" t="str">
        <f aca="false">IF(K3692="","",MATCH(K3692,$F$2:$F$5001,0))</f>
        <v/>
      </c>
      <c r="M3692" s="0" t="str">
        <f aca="false">IF(I3692="","",INDEX(הגדרות!$A$2:$A$21,MOD(I3692+הגדרות!$E$9,הגדרות!$E$6)+1))</f>
        <v/>
      </c>
    </row>
    <row r="3693" customFormat="false" ht="15" hidden="false" customHeight="false" outlineLevel="0" collapsed="false">
      <c r="A3693" s="0" t="str">
        <f aca="false">IF('הדבקת לידים'!A3693="","",IF(ISNUMBER('הדבקת לידים'!A3693),IF(הגדרות!$E$2&gt;0,TEXT('הדבקת לידים'!A3693,REPT("0",הגדרות!$E$2)),TEXT('הדבקת לידים'!A3693,"0")),TRIM('הדבקת לידים'!A3693)))</f>
        <v/>
      </c>
      <c r="B3693" s="0" t="str">
        <f aca="false">IF('הדבקת לידים'!B3693="","",IF(ISNUMBER('הדבקת לידים'!B3693),IF(הגדרות!$E$3&gt;0,TEXT('הדבקת לידים'!B3693,REPT("0",הגדרות!$E$3)),TEXT('הדבקת לידים'!B3693,"0")),TRIM('הדבקת לידים'!B3693)))</f>
        <v/>
      </c>
      <c r="C3693" s="0" t="n">
        <f aca="false">IF(OR(A3693&lt;&gt;"",B3693&lt;&gt;""),1,0)</f>
        <v>0</v>
      </c>
      <c r="D3693" s="0" t="str">
        <f aca="false">IF(C3693=1,MOD(ABS(SIN(ROW()*12.9898+'הדבקת לידים'!$F$2*78.233+IFERROR(--RIGHT(A3693,6),LEN(A3693))*0.0137+IFERROR(--RIGHT(B3693,6),LEN(B3693))*0.0071))*43758.5453,1),"")</f>
        <v/>
      </c>
      <c r="E3693" s="0" t="str">
        <f aca="false">IF(C3693=1,INT(MOD(ABS(SIN(D3693*7919.123+ROW()*0.618+'הדבקת לידים'!$F$2*1.3))*43758.5453,1)*1000000)*10000+ROW(),"")</f>
        <v/>
      </c>
      <c r="F3693" s="0" t="str">
        <f aca="false">IF(E3693="","",RANK(E3693,$E$2:$E$5001,1))</f>
        <v/>
      </c>
      <c r="G3693" s="0" t="n">
        <f aca="false">IF(A3693="",0,IF(SUMPRODUCT(--($A$2:$A$5001=A3693))&gt;1,1,0))</f>
        <v>0</v>
      </c>
      <c r="H3693" s="0" t="n">
        <f aca="false">ROW()-1</f>
        <v>3692</v>
      </c>
      <c r="I3693" s="0" t="str">
        <f aca="false">IF(OR(הגדרות!$E$6=0,H3693&gt;הגדרות!$E$5),"",IF(H3693-1&lt;הגדרות!$E$8*(הגדרות!$E$7+1),INT((H3693-1)/(הגדרות!$E$7+1)),הגדרות!$E$8+INT((H3693-1-הגדרות!$E$8*(הגדרות!$E$7+1))/הגדרות!$E$7)))</f>
        <v/>
      </c>
      <c r="J3693" s="0" t="str">
        <f aca="false">IF(I3693="","",IF(H3693-1&lt;הגדרות!$E$8*(הגדרות!$E$7+1),MOD(H3693-1,הגדרות!$E$7+1),MOD(H3693-1-הגדרות!$E$8*(הגדרות!$E$7+1),הגדרות!$E$7)))</f>
        <v/>
      </c>
      <c r="K3693" s="0" t="str">
        <f aca="false">IF(I3693="","",J3693*הגדרות!$E$6+I3693+1)</f>
        <v/>
      </c>
      <c r="L3693" s="0" t="str">
        <f aca="false">IF(K3693="","",MATCH(K3693,$F$2:$F$5001,0))</f>
        <v/>
      </c>
      <c r="M3693" s="0" t="str">
        <f aca="false">IF(I3693="","",INDEX(הגדרות!$A$2:$A$21,MOD(I3693+הגדרות!$E$9,הגדרות!$E$6)+1))</f>
        <v/>
      </c>
    </row>
    <row r="3694" customFormat="false" ht="15" hidden="false" customHeight="false" outlineLevel="0" collapsed="false">
      <c r="A3694" s="0" t="str">
        <f aca="false">IF('הדבקת לידים'!A3694="","",IF(ISNUMBER('הדבקת לידים'!A3694),IF(הגדרות!$E$2&gt;0,TEXT('הדבקת לידים'!A3694,REPT("0",הגדרות!$E$2)),TEXT('הדבקת לידים'!A3694,"0")),TRIM('הדבקת לידים'!A3694)))</f>
        <v/>
      </c>
      <c r="B3694" s="0" t="str">
        <f aca="false">IF('הדבקת לידים'!B3694="","",IF(ISNUMBER('הדבקת לידים'!B3694),IF(הגדרות!$E$3&gt;0,TEXT('הדבקת לידים'!B3694,REPT("0",הגדרות!$E$3)),TEXT('הדבקת לידים'!B3694,"0")),TRIM('הדבקת לידים'!B3694)))</f>
        <v/>
      </c>
      <c r="C3694" s="0" t="n">
        <f aca="false">IF(OR(A3694&lt;&gt;"",B3694&lt;&gt;""),1,0)</f>
        <v>0</v>
      </c>
      <c r="D3694" s="0" t="str">
        <f aca="false">IF(C3694=1,MOD(ABS(SIN(ROW()*12.9898+'הדבקת לידים'!$F$2*78.233+IFERROR(--RIGHT(A3694,6),LEN(A3694))*0.0137+IFERROR(--RIGHT(B3694,6),LEN(B3694))*0.0071))*43758.5453,1),"")</f>
        <v/>
      </c>
      <c r="E3694" s="0" t="str">
        <f aca="false">IF(C3694=1,INT(MOD(ABS(SIN(D3694*7919.123+ROW()*0.618+'הדבקת לידים'!$F$2*1.3))*43758.5453,1)*1000000)*10000+ROW(),"")</f>
        <v/>
      </c>
      <c r="F3694" s="0" t="str">
        <f aca="false">IF(E3694="","",RANK(E3694,$E$2:$E$5001,1))</f>
        <v/>
      </c>
      <c r="G3694" s="0" t="n">
        <f aca="false">IF(A3694="",0,IF(SUMPRODUCT(--($A$2:$A$5001=A3694))&gt;1,1,0))</f>
        <v>0</v>
      </c>
      <c r="H3694" s="0" t="n">
        <f aca="false">ROW()-1</f>
        <v>3693</v>
      </c>
      <c r="I3694" s="0" t="str">
        <f aca="false">IF(OR(הגדרות!$E$6=0,H3694&gt;הגדרות!$E$5),"",IF(H3694-1&lt;הגדרות!$E$8*(הגדרות!$E$7+1),INT((H3694-1)/(הגדרות!$E$7+1)),הגדרות!$E$8+INT((H3694-1-הגדרות!$E$8*(הגדרות!$E$7+1))/הגדרות!$E$7)))</f>
        <v/>
      </c>
      <c r="J3694" s="0" t="str">
        <f aca="false">IF(I3694="","",IF(H3694-1&lt;הגדרות!$E$8*(הגדרות!$E$7+1),MOD(H3694-1,הגדרות!$E$7+1),MOD(H3694-1-הגדרות!$E$8*(הגדרות!$E$7+1),הגדרות!$E$7)))</f>
        <v/>
      </c>
      <c r="K3694" s="0" t="str">
        <f aca="false">IF(I3694="","",J3694*הגדרות!$E$6+I3694+1)</f>
        <v/>
      </c>
      <c r="L3694" s="0" t="str">
        <f aca="false">IF(K3694="","",MATCH(K3694,$F$2:$F$5001,0))</f>
        <v/>
      </c>
      <c r="M3694" s="0" t="str">
        <f aca="false">IF(I3694="","",INDEX(הגדרות!$A$2:$A$21,MOD(I3694+הגדרות!$E$9,הגדרות!$E$6)+1))</f>
        <v/>
      </c>
    </row>
    <row r="3695" customFormat="false" ht="15" hidden="false" customHeight="false" outlineLevel="0" collapsed="false">
      <c r="A3695" s="0" t="str">
        <f aca="false">IF('הדבקת לידים'!A3695="","",IF(ISNUMBER('הדבקת לידים'!A3695),IF(הגדרות!$E$2&gt;0,TEXT('הדבקת לידים'!A3695,REPT("0",הגדרות!$E$2)),TEXT('הדבקת לידים'!A3695,"0")),TRIM('הדבקת לידים'!A3695)))</f>
        <v/>
      </c>
      <c r="B3695" s="0" t="str">
        <f aca="false">IF('הדבקת לידים'!B3695="","",IF(ISNUMBER('הדבקת לידים'!B3695),IF(הגדרות!$E$3&gt;0,TEXT('הדבקת לידים'!B3695,REPT("0",הגדרות!$E$3)),TEXT('הדבקת לידים'!B3695,"0")),TRIM('הדבקת לידים'!B3695)))</f>
        <v/>
      </c>
      <c r="C3695" s="0" t="n">
        <f aca="false">IF(OR(A3695&lt;&gt;"",B3695&lt;&gt;""),1,0)</f>
        <v>0</v>
      </c>
      <c r="D3695" s="0" t="str">
        <f aca="false">IF(C3695=1,MOD(ABS(SIN(ROW()*12.9898+'הדבקת לידים'!$F$2*78.233+IFERROR(--RIGHT(A3695,6),LEN(A3695))*0.0137+IFERROR(--RIGHT(B3695,6),LEN(B3695))*0.0071))*43758.5453,1),"")</f>
        <v/>
      </c>
      <c r="E3695" s="0" t="str">
        <f aca="false">IF(C3695=1,INT(MOD(ABS(SIN(D3695*7919.123+ROW()*0.618+'הדבקת לידים'!$F$2*1.3))*43758.5453,1)*1000000)*10000+ROW(),"")</f>
        <v/>
      </c>
      <c r="F3695" s="0" t="str">
        <f aca="false">IF(E3695="","",RANK(E3695,$E$2:$E$5001,1))</f>
        <v/>
      </c>
      <c r="G3695" s="0" t="n">
        <f aca="false">IF(A3695="",0,IF(SUMPRODUCT(--($A$2:$A$5001=A3695))&gt;1,1,0))</f>
        <v>0</v>
      </c>
      <c r="H3695" s="0" t="n">
        <f aca="false">ROW()-1</f>
        <v>3694</v>
      </c>
      <c r="I3695" s="0" t="str">
        <f aca="false">IF(OR(הגדרות!$E$6=0,H3695&gt;הגדרות!$E$5),"",IF(H3695-1&lt;הגדרות!$E$8*(הגדרות!$E$7+1),INT((H3695-1)/(הגדרות!$E$7+1)),הגדרות!$E$8+INT((H3695-1-הגדרות!$E$8*(הגדרות!$E$7+1))/הגדרות!$E$7)))</f>
        <v/>
      </c>
      <c r="J3695" s="0" t="str">
        <f aca="false">IF(I3695="","",IF(H3695-1&lt;הגדרות!$E$8*(הגדרות!$E$7+1),MOD(H3695-1,הגדרות!$E$7+1),MOD(H3695-1-הגדרות!$E$8*(הגדרות!$E$7+1),הגדרות!$E$7)))</f>
        <v/>
      </c>
      <c r="K3695" s="0" t="str">
        <f aca="false">IF(I3695="","",J3695*הגדרות!$E$6+I3695+1)</f>
        <v/>
      </c>
      <c r="L3695" s="0" t="str">
        <f aca="false">IF(K3695="","",MATCH(K3695,$F$2:$F$5001,0))</f>
        <v/>
      </c>
      <c r="M3695" s="0" t="str">
        <f aca="false">IF(I3695="","",INDEX(הגדרות!$A$2:$A$21,MOD(I3695+הגדרות!$E$9,הגדרות!$E$6)+1))</f>
        <v/>
      </c>
    </row>
    <row r="3696" customFormat="false" ht="15" hidden="false" customHeight="false" outlineLevel="0" collapsed="false">
      <c r="A3696" s="0" t="str">
        <f aca="false">IF('הדבקת לידים'!A3696="","",IF(ISNUMBER('הדבקת לידים'!A3696),IF(הגדרות!$E$2&gt;0,TEXT('הדבקת לידים'!A3696,REPT("0",הגדרות!$E$2)),TEXT('הדבקת לידים'!A3696,"0")),TRIM('הדבקת לידים'!A3696)))</f>
        <v/>
      </c>
      <c r="B3696" s="0" t="str">
        <f aca="false">IF('הדבקת לידים'!B3696="","",IF(ISNUMBER('הדבקת לידים'!B3696),IF(הגדרות!$E$3&gt;0,TEXT('הדבקת לידים'!B3696,REPT("0",הגדרות!$E$3)),TEXT('הדבקת לידים'!B3696,"0")),TRIM('הדבקת לידים'!B3696)))</f>
        <v/>
      </c>
      <c r="C3696" s="0" t="n">
        <f aca="false">IF(OR(A3696&lt;&gt;"",B3696&lt;&gt;""),1,0)</f>
        <v>0</v>
      </c>
      <c r="D3696" s="0" t="str">
        <f aca="false">IF(C3696=1,MOD(ABS(SIN(ROW()*12.9898+'הדבקת לידים'!$F$2*78.233+IFERROR(--RIGHT(A3696,6),LEN(A3696))*0.0137+IFERROR(--RIGHT(B3696,6),LEN(B3696))*0.0071))*43758.5453,1),"")</f>
        <v/>
      </c>
      <c r="E3696" s="0" t="str">
        <f aca="false">IF(C3696=1,INT(MOD(ABS(SIN(D3696*7919.123+ROW()*0.618+'הדבקת לידים'!$F$2*1.3))*43758.5453,1)*1000000)*10000+ROW(),"")</f>
        <v/>
      </c>
      <c r="F3696" s="0" t="str">
        <f aca="false">IF(E3696="","",RANK(E3696,$E$2:$E$5001,1))</f>
        <v/>
      </c>
      <c r="G3696" s="0" t="n">
        <f aca="false">IF(A3696="",0,IF(SUMPRODUCT(--($A$2:$A$5001=A3696))&gt;1,1,0))</f>
        <v>0</v>
      </c>
      <c r="H3696" s="0" t="n">
        <f aca="false">ROW()-1</f>
        <v>3695</v>
      </c>
      <c r="I3696" s="0" t="str">
        <f aca="false">IF(OR(הגדרות!$E$6=0,H3696&gt;הגדרות!$E$5),"",IF(H3696-1&lt;הגדרות!$E$8*(הגדרות!$E$7+1),INT((H3696-1)/(הגדרות!$E$7+1)),הגדרות!$E$8+INT((H3696-1-הגדרות!$E$8*(הגדרות!$E$7+1))/הגדרות!$E$7)))</f>
        <v/>
      </c>
      <c r="J3696" s="0" t="str">
        <f aca="false">IF(I3696="","",IF(H3696-1&lt;הגדרות!$E$8*(הגדרות!$E$7+1),MOD(H3696-1,הגדרות!$E$7+1),MOD(H3696-1-הגדרות!$E$8*(הגדרות!$E$7+1),הגדרות!$E$7)))</f>
        <v/>
      </c>
      <c r="K3696" s="0" t="str">
        <f aca="false">IF(I3696="","",J3696*הגדרות!$E$6+I3696+1)</f>
        <v/>
      </c>
      <c r="L3696" s="0" t="str">
        <f aca="false">IF(K3696="","",MATCH(K3696,$F$2:$F$5001,0))</f>
        <v/>
      </c>
      <c r="M3696" s="0" t="str">
        <f aca="false">IF(I3696="","",INDEX(הגדרות!$A$2:$A$21,MOD(I3696+הגדרות!$E$9,הגדרות!$E$6)+1))</f>
        <v/>
      </c>
    </row>
    <row r="3697" customFormat="false" ht="15" hidden="false" customHeight="false" outlineLevel="0" collapsed="false">
      <c r="A3697" s="0" t="str">
        <f aca="false">IF('הדבקת לידים'!A3697="","",IF(ISNUMBER('הדבקת לידים'!A3697),IF(הגדרות!$E$2&gt;0,TEXT('הדבקת לידים'!A3697,REPT("0",הגדרות!$E$2)),TEXT('הדבקת לידים'!A3697,"0")),TRIM('הדבקת לידים'!A3697)))</f>
        <v/>
      </c>
      <c r="B3697" s="0" t="str">
        <f aca="false">IF('הדבקת לידים'!B3697="","",IF(ISNUMBER('הדבקת לידים'!B3697),IF(הגדרות!$E$3&gt;0,TEXT('הדבקת לידים'!B3697,REPT("0",הגדרות!$E$3)),TEXT('הדבקת לידים'!B3697,"0")),TRIM('הדבקת לידים'!B3697)))</f>
        <v/>
      </c>
      <c r="C3697" s="0" t="n">
        <f aca="false">IF(OR(A3697&lt;&gt;"",B3697&lt;&gt;""),1,0)</f>
        <v>0</v>
      </c>
      <c r="D3697" s="0" t="str">
        <f aca="false">IF(C3697=1,MOD(ABS(SIN(ROW()*12.9898+'הדבקת לידים'!$F$2*78.233+IFERROR(--RIGHT(A3697,6),LEN(A3697))*0.0137+IFERROR(--RIGHT(B3697,6),LEN(B3697))*0.0071))*43758.5453,1),"")</f>
        <v/>
      </c>
      <c r="E3697" s="0" t="str">
        <f aca="false">IF(C3697=1,INT(MOD(ABS(SIN(D3697*7919.123+ROW()*0.618+'הדבקת לידים'!$F$2*1.3))*43758.5453,1)*1000000)*10000+ROW(),"")</f>
        <v/>
      </c>
      <c r="F3697" s="0" t="str">
        <f aca="false">IF(E3697="","",RANK(E3697,$E$2:$E$5001,1))</f>
        <v/>
      </c>
      <c r="G3697" s="0" t="n">
        <f aca="false">IF(A3697="",0,IF(SUMPRODUCT(--($A$2:$A$5001=A3697))&gt;1,1,0))</f>
        <v>0</v>
      </c>
      <c r="H3697" s="0" t="n">
        <f aca="false">ROW()-1</f>
        <v>3696</v>
      </c>
      <c r="I3697" s="0" t="str">
        <f aca="false">IF(OR(הגדרות!$E$6=0,H3697&gt;הגדרות!$E$5),"",IF(H3697-1&lt;הגדרות!$E$8*(הגדרות!$E$7+1),INT((H3697-1)/(הגדרות!$E$7+1)),הגדרות!$E$8+INT((H3697-1-הגדרות!$E$8*(הגדרות!$E$7+1))/הגדרות!$E$7)))</f>
        <v/>
      </c>
      <c r="J3697" s="0" t="str">
        <f aca="false">IF(I3697="","",IF(H3697-1&lt;הגדרות!$E$8*(הגדרות!$E$7+1),MOD(H3697-1,הגדרות!$E$7+1),MOD(H3697-1-הגדרות!$E$8*(הגדרות!$E$7+1),הגדרות!$E$7)))</f>
        <v/>
      </c>
      <c r="K3697" s="0" t="str">
        <f aca="false">IF(I3697="","",J3697*הגדרות!$E$6+I3697+1)</f>
        <v/>
      </c>
      <c r="L3697" s="0" t="str">
        <f aca="false">IF(K3697="","",MATCH(K3697,$F$2:$F$5001,0))</f>
        <v/>
      </c>
      <c r="M3697" s="0" t="str">
        <f aca="false">IF(I3697="","",INDEX(הגדרות!$A$2:$A$21,MOD(I3697+הגדרות!$E$9,הגדרות!$E$6)+1))</f>
        <v/>
      </c>
    </row>
    <row r="3698" customFormat="false" ht="15" hidden="false" customHeight="false" outlineLevel="0" collapsed="false">
      <c r="A3698" s="0" t="str">
        <f aca="false">IF('הדבקת לידים'!A3698="","",IF(ISNUMBER('הדבקת לידים'!A3698),IF(הגדרות!$E$2&gt;0,TEXT('הדבקת לידים'!A3698,REPT("0",הגדרות!$E$2)),TEXT('הדבקת לידים'!A3698,"0")),TRIM('הדבקת לידים'!A3698)))</f>
        <v/>
      </c>
      <c r="B3698" s="0" t="str">
        <f aca="false">IF('הדבקת לידים'!B3698="","",IF(ISNUMBER('הדבקת לידים'!B3698),IF(הגדרות!$E$3&gt;0,TEXT('הדבקת לידים'!B3698,REPT("0",הגדרות!$E$3)),TEXT('הדבקת לידים'!B3698,"0")),TRIM('הדבקת לידים'!B3698)))</f>
        <v/>
      </c>
      <c r="C3698" s="0" t="n">
        <f aca="false">IF(OR(A3698&lt;&gt;"",B3698&lt;&gt;""),1,0)</f>
        <v>0</v>
      </c>
      <c r="D3698" s="0" t="str">
        <f aca="false">IF(C3698=1,MOD(ABS(SIN(ROW()*12.9898+'הדבקת לידים'!$F$2*78.233+IFERROR(--RIGHT(A3698,6),LEN(A3698))*0.0137+IFERROR(--RIGHT(B3698,6),LEN(B3698))*0.0071))*43758.5453,1),"")</f>
        <v/>
      </c>
      <c r="E3698" s="0" t="str">
        <f aca="false">IF(C3698=1,INT(MOD(ABS(SIN(D3698*7919.123+ROW()*0.618+'הדבקת לידים'!$F$2*1.3))*43758.5453,1)*1000000)*10000+ROW(),"")</f>
        <v/>
      </c>
      <c r="F3698" s="0" t="str">
        <f aca="false">IF(E3698="","",RANK(E3698,$E$2:$E$5001,1))</f>
        <v/>
      </c>
      <c r="G3698" s="0" t="n">
        <f aca="false">IF(A3698="",0,IF(SUMPRODUCT(--($A$2:$A$5001=A3698))&gt;1,1,0))</f>
        <v>0</v>
      </c>
      <c r="H3698" s="0" t="n">
        <f aca="false">ROW()-1</f>
        <v>3697</v>
      </c>
      <c r="I3698" s="0" t="str">
        <f aca="false">IF(OR(הגדרות!$E$6=0,H3698&gt;הגדרות!$E$5),"",IF(H3698-1&lt;הגדרות!$E$8*(הגדרות!$E$7+1),INT((H3698-1)/(הגדרות!$E$7+1)),הגדרות!$E$8+INT((H3698-1-הגדרות!$E$8*(הגדרות!$E$7+1))/הגדרות!$E$7)))</f>
        <v/>
      </c>
      <c r="J3698" s="0" t="str">
        <f aca="false">IF(I3698="","",IF(H3698-1&lt;הגדרות!$E$8*(הגדרות!$E$7+1),MOD(H3698-1,הגדרות!$E$7+1),MOD(H3698-1-הגדרות!$E$8*(הגדרות!$E$7+1),הגדרות!$E$7)))</f>
        <v/>
      </c>
      <c r="K3698" s="0" t="str">
        <f aca="false">IF(I3698="","",J3698*הגדרות!$E$6+I3698+1)</f>
        <v/>
      </c>
      <c r="L3698" s="0" t="str">
        <f aca="false">IF(K3698="","",MATCH(K3698,$F$2:$F$5001,0))</f>
        <v/>
      </c>
      <c r="M3698" s="0" t="str">
        <f aca="false">IF(I3698="","",INDEX(הגדרות!$A$2:$A$21,MOD(I3698+הגדרות!$E$9,הגדרות!$E$6)+1))</f>
        <v/>
      </c>
    </row>
    <row r="3699" customFormat="false" ht="15" hidden="false" customHeight="false" outlineLevel="0" collapsed="false">
      <c r="A3699" s="0" t="str">
        <f aca="false">IF('הדבקת לידים'!A3699="","",IF(ISNUMBER('הדבקת לידים'!A3699),IF(הגדרות!$E$2&gt;0,TEXT('הדבקת לידים'!A3699,REPT("0",הגדרות!$E$2)),TEXT('הדבקת לידים'!A3699,"0")),TRIM('הדבקת לידים'!A3699)))</f>
        <v/>
      </c>
      <c r="B3699" s="0" t="str">
        <f aca="false">IF('הדבקת לידים'!B3699="","",IF(ISNUMBER('הדבקת לידים'!B3699),IF(הגדרות!$E$3&gt;0,TEXT('הדבקת לידים'!B3699,REPT("0",הגדרות!$E$3)),TEXT('הדבקת לידים'!B3699,"0")),TRIM('הדבקת לידים'!B3699)))</f>
        <v/>
      </c>
      <c r="C3699" s="0" t="n">
        <f aca="false">IF(OR(A3699&lt;&gt;"",B3699&lt;&gt;""),1,0)</f>
        <v>0</v>
      </c>
      <c r="D3699" s="0" t="str">
        <f aca="false">IF(C3699=1,MOD(ABS(SIN(ROW()*12.9898+'הדבקת לידים'!$F$2*78.233+IFERROR(--RIGHT(A3699,6),LEN(A3699))*0.0137+IFERROR(--RIGHT(B3699,6),LEN(B3699))*0.0071))*43758.5453,1),"")</f>
        <v/>
      </c>
      <c r="E3699" s="0" t="str">
        <f aca="false">IF(C3699=1,INT(MOD(ABS(SIN(D3699*7919.123+ROW()*0.618+'הדבקת לידים'!$F$2*1.3))*43758.5453,1)*1000000)*10000+ROW(),"")</f>
        <v/>
      </c>
      <c r="F3699" s="0" t="str">
        <f aca="false">IF(E3699="","",RANK(E3699,$E$2:$E$5001,1))</f>
        <v/>
      </c>
      <c r="G3699" s="0" t="n">
        <f aca="false">IF(A3699="",0,IF(SUMPRODUCT(--($A$2:$A$5001=A3699))&gt;1,1,0))</f>
        <v>0</v>
      </c>
      <c r="H3699" s="0" t="n">
        <f aca="false">ROW()-1</f>
        <v>3698</v>
      </c>
      <c r="I3699" s="0" t="str">
        <f aca="false">IF(OR(הגדרות!$E$6=0,H3699&gt;הגדרות!$E$5),"",IF(H3699-1&lt;הגדרות!$E$8*(הגדרות!$E$7+1),INT((H3699-1)/(הגדרות!$E$7+1)),הגדרות!$E$8+INT((H3699-1-הגדרות!$E$8*(הגדרות!$E$7+1))/הגדרות!$E$7)))</f>
        <v/>
      </c>
      <c r="J3699" s="0" t="str">
        <f aca="false">IF(I3699="","",IF(H3699-1&lt;הגדרות!$E$8*(הגדרות!$E$7+1),MOD(H3699-1,הגדרות!$E$7+1),MOD(H3699-1-הגדרות!$E$8*(הגדרות!$E$7+1),הגדרות!$E$7)))</f>
        <v/>
      </c>
      <c r="K3699" s="0" t="str">
        <f aca="false">IF(I3699="","",J3699*הגדרות!$E$6+I3699+1)</f>
        <v/>
      </c>
      <c r="L3699" s="0" t="str">
        <f aca="false">IF(K3699="","",MATCH(K3699,$F$2:$F$5001,0))</f>
        <v/>
      </c>
      <c r="M3699" s="0" t="str">
        <f aca="false">IF(I3699="","",INDEX(הגדרות!$A$2:$A$21,MOD(I3699+הגדרות!$E$9,הגדרות!$E$6)+1))</f>
        <v/>
      </c>
    </row>
    <row r="3700" customFormat="false" ht="15" hidden="false" customHeight="false" outlineLevel="0" collapsed="false">
      <c r="A3700" s="0" t="str">
        <f aca="false">IF('הדבקת לידים'!A3700="","",IF(ISNUMBER('הדבקת לידים'!A3700),IF(הגדרות!$E$2&gt;0,TEXT('הדבקת לידים'!A3700,REPT("0",הגדרות!$E$2)),TEXT('הדבקת לידים'!A3700,"0")),TRIM('הדבקת לידים'!A3700)))</f>
        <v/>
      </c>
      <c r="B3700" s="0" t="str">
        <f aca="false">IF('הדבקת לידים'!B3700="","",IF(ISNUMBER('הדבקת לידים'!B3700),IF(הגדרות!$E$3&gt;0,TEXT('הדבקת לידים'!B3700,REPT("0",הגדרות!$E$3)),TEXT('הדבקת לידים'!B3700,"0")),TRIM('הדבקת לידים'!B3700)))</f>
        <v/>
      </c>
      <c r="C3700" s="0" t="n">
        <f aca="false">IF(OR(A3700&lt;&gt;"",B3700&lt;&gt;""),1,0)</f>
        <v>0</v>
      </c>
      <c r="D3700" s="0" t="str">
        <f aca="false">IF(C3700=1,MOD(ABS(SIN(ROW()*12.9898+'הדבקת לידים'!$F$2*78.233+IFERROR(--RIGHT(A3700,6),LEN(A3700))*0.0137+IFERROR(--RIGHT(B3700,6),LEN(B3700))*0.0071))*43758.5453,1),"")</f>
        <v/>
      </c>
      <c r="E3700" s="0" t="str">
        <f aca="false">IF(C3700=1,INT(MOD(ABS(SIN(D3700*7919.123+ROW()*0.618+'הדבקת לידים'!$F$2*1.3))*43758.5453,1)*1000000)*10000+ROW(),"")</f>
        <v/>
      </c>
      <c r="F3700" s="0" t="str">
        <f aca="false">IF(E3700="","",RANK(E3700,$E$2:$E$5001,1))</f>
        <v/>
      </c>
      <c r="G3700" s="0" t="n">
        <f aca="false">IF(A3700="",0,IF(SUMPRODUCT(--($A$2:$A$5001=A3700))&gt;1,1,0))</f>
        <v>0</v>
      </c>
      <c r="H3700" s="0" t="n">
        <f aca="false">ROW()-1</f>
        <v>3699</v>
      </c>
      <c r="I3700" s="0" t="str">
        <f aca="false">IF(OR(הגדרות!$E$6=0,H3700&gt;הגדרות!$E$5),"",IF(H3700-1&lt;הגדרות!$E$8*(הגדרות!$E$7+1),INT((H3700-1)/(הגדרות!$E$7+1)),הגדרות!$E$8+INT((H3700-1-הגדרות!$E$8*(הגדרות!$E$7+1))/הגדרות!$E$7)))</f>
        <v/>
      </c>
      <c r="J3700" s="0" t="str">
        <f aca="false">IF(I3700="","",IF(H3700-1&lt;הגדרות!$E$8*(הגדרות!$E$7+1),MOD(H3700-1,הגדרות!$E$7+1),MOD(H3700-1-הגדרות!$E$8*(הגדרות!$E$7+1),הגדרות!$E$7)))</f>
        <v/>
      </c>
      <c r="K3700" s="0" t="str">
        <f aca="false">IF(I3700="","",J3700*הגדרות!$E$6+I3700+1)</f>
        <v/>
      </c>
      <c r="L3700" s="0" t="str">
        <f aca="false">IF(K3700="","",MATCH(K3700,$F$2:$F$5001,0))</f>
        <v/>
      </c>
      <c r="M3700" s="0" t="str">
        <f aca="false">IF(I3700="","",INDEX(הגדרות!$A$2:$A$21,MOD(I3700+הגדרות!$E$9,הגדרות!$E$6)+1))</f>
        <v/>
      </c>
    </row>
    <row r="3701" customFormat="false" ht="15" hidden="false" customHeight="false" outlineLevel="0" collapsed="false">
      <c r="A3701" s="0" t="str">
        <f aca="false">IF('הדבקת לידים'!A3701="","",IF(ISNUMBER('הדבקת לידים'!A3701),IF(הגדרות!$E$2&gt;0,TEXT('הדבקת לידים'!A3701,REPT("0",הגדרות!$E$2)),TEXT('הדבקת לידים'!A3701,"0")),TRIM('הדבקת לידים'!A3701)))</f>
        <v/>
      </c>
      <c r="B3701" s="0" t="str">
        <f aca="false">IF('הדבקת לידים'!B3701="","",IF(ISNUMBER('הדבקת לידים'!B3701),IF(הגדרות!$E$3&gt;0,TEXT('הדבקת לידים'!B3701,REPT("0",הגדרות!$E$3)),TEXT('הדבקת לידים'!B3701,"0")),TRIM('הדבקת לידים'!B3701)))</f>
        <v/>
      </c>
      <c r="C3701" s="0" t="n">
        <f aca="false">IF(OR(A3701&lt;&gt;"",B3701&lt;&gt;""),1,0)</f>
        <v>0</v>
      </c>
      <c r="D3701" s="0" t="str">
        <f aca="false">IF(C3701=1,MOD(ABS(SIN(ROW()*12.9898+'הדבקת לידים'!$F$2*78.233+IFERROR(--RIGHT(A3701,6),LEN(A3701))*0.0137+IFERROR(--RIGHT(B3701,6),LEN(B3701))*0.0071))*43758.5453,1),"")</f>
        <v/>
      </c>
      <c r="E3701" s="0" t="str">
        <f aca="false">IF(C3701=1,INT(MOD(ABS(SIN(D3701*7919.123+ROW()*0.618+'הדבקת לידים'!$F$2*1.3))*43758.5453,1)*1000000)*10000+ROW(),"")</f>
        <v/>
      </c>
      <c r="F3701" s="0" t="str">
        <f aca="false">IF(E3701="","",RANK(E3701,$E$2:$E$5001,1))</f>
        <v/>
      </c>
      <c r="G3701" s="0" t="n">
        <f aca="false">IF(A3701="",0,IF(SUMPRODUCT(--($A$2:$A$5001=A3701))&gt;1,1,0))</f>
        <v>0</v>
      </c>
      <c r="H3701" s="0" t="n">
        <f aca="false">ROW()-1</f>
        <v>3700</v>
      </c>
      <c r="I3701" s="0" t="str">
        <f aca="false">IF(OR(הגדרות!$E$6=0,H3701&gt;הגדרות!$E$5),"",IF(H3701-1&lt;הגדרות!$E$8*(הגדרות!$E$7+1),INT((H3701-1)/(הגדרות!$E$7+1)),הגדרות!$E$8+INT((H3701-1-הגדרות!$E$8*(הגדרות!$E$7+1))/הגדרות!$E$7)))</f>
        <v/>
      </c>
      <c r="J3701" s="0" t="str">
        <f aca="false">IF(I3701="","",IF(H3701-1&lt;הגדרות!$E$8*(הגדרות!$E$7+1),MOD(H3701-1,הגדרות!$E$7+1),MOD(H3701-1-הגדרות!$E$8*(הגדרות!$E$7+1),הגדרות!$E$7)))</f>
        <v/>
      </c>
      <c r="K3701" s="0" t="str">
        <f aca="false">IF(I3701="","",J3701*הגדרות!$E$6+I3701+1)</f>
        <v/>
      </c>
      <c r="L3701" s="0" t="str">
        <f aca="false">IF(K3701="","",MATCH(K3701,$F$2:$F$5001,0))</f>
        <v/>
      </c>
      <c r="M3701" s="0" t="str">
        <f aca="false">IF(I3701="","",INDEX(הגדרות!$A$2:$A$21,MOD(I3701+הגדרות!$E$9,הגדרות!$E$6)+1))</f>
        <v/>
      </c>
    </row>
    <row r="3702" customFormat="false" ht="15" hidden="false" customHeight="false" outlineLevel="0" collapsed="false">
      <c r="A3702" s="0" t="str">
        <f aca="false">IF('הדבקת לידים'!A3702="","",IF(ISNUMBER('הדבקת לידים'!A3702),IF(הגדרות!$E$2&gt;0,TEXT('הדבקת לידים'!A3702,REPT("0",הגדרות!$E$2)),TEXT('הדבקת לידים'!A3702,"0")),TRIM('הדבקת לידים'!A3702)))</f>
        <v/>
      </c>
      <c r="B3702" s="0" t="str">
        <f aca="false">IF('הדבקת לידים'!B3702="","",IF(ISNUMBER('הדבקת לידים'!B3702),IF(הגדרות!$E$3&gt;0,TEXT('הדבקת לידים'!B3702,REPT("0",הגדרות!$E$3)),TEXT('הדבקת לידים'!B3702,"0")),TRIM('הדבקת לידים'!B3702)))</f>
        <v/>
      </c>
      <c r="C3702" s="0" t="n">
        <f aca="false">IF(OR(A3702&lt;&gt;"",B3702&lt;&gt;""),1,0)</f>
        <v>0</v>
      </c>
      <c r="D3702" s="0" t="str">
        <f aca="false">IF(C3702=1,MOD(ABS(SIN(ROW()*12.9898+'הדבקת לידים'!$F$2*78.233+IFERROR(--RIGHT(A3702,6),LEN(A3702))*0.0137+IFERROR(--RIGHT(B3702,6),LEN(B3702))*0.0071))*43758.5453,1),"")</f>
        <v/>
      </c>
      <c r="E3702" s="0" t="str">
        <f aca="false">IF(C3702=1,INT(MOD(ABS(SIN(D3702*7919.123+ROW()*0.618+'הדבקת לידים'!$F$2*1.3))*43758.5453,1)*1000000)*10000+ROW(),"")</f>
        <v/>
      </c>
      <c r="F3702" s="0" t="str">
        <f aca="false">IF(E3702="","",RANK(E3702,$E$2:$E$5001,1))</f>
        <v/>
      </c>
      <c r="G3702" s="0" t="n">
        <f aca="false">IF(A3702="",0,IF(SUMPRODUCT(--($A$2:$A$5001=A3702))&gt;1,1,0))</f>
        <v>0</v>
      </c>
      <c r="H3702" s="0" t="n">
        <f aca="false">ROW()-1</f>
        <v>3701</v>
      </c>
      <c r="I3702" s="0" t="str">
        <f aca="false">IF(OR(הגדרות!$E$6=0,H3702&gt;הגדרות!$E$5),"",IF(H3702-1&lt;הגדרות!$E$8*(הגדרות!$E$7+1),INT((H3702-1)/(הגדרות!$E$7+1)),הגדרות!$E$8+INT((H3702-1-הגדרות!$E$8*(הגדרות!$E$7+1))/הגדרות!$E$7)))</f>
        <v/>
      </c>
      <c r="J3702" s="0" t="str">
        <f aca="false">IF(I3702="","",IF(H3702-1&lt;הגדרות!$E$8*(הגדרות!$E$7+1),MOD(H3702-1,הגדרות!$E$7+1),MOD(H3702-1-הגדרות!$E$8*(הגדרות!$E$7+1),הגדרות!$E$7)))</f>
        <v/>
      </c>
      <c r="K3702" s="0" t="str">
        <f aca="false">IF(I3702="","",J3702*הגדרות!$E$6+I3702+1)</f>
        <v/>
      </c>
      <c r="L3702" s="0" t="str">
        <f aca="false">IF(K3702="","",MATCH(K3702,$F$2:$F$5001,0))</f>
        <v/>
      </c>
      <c r="M3702" s="0" t="str">
        <f aca="false">IF(I3702="","",INDEX(הגדרות!$A$2:$A$21,MOD(I3702+הגדרות!$E$9,הגדרות!$E$6)+1))</f>
        <v/>
      </c>
    </row>
    <row r="3703" customFormat="false" ht="15" hidden="false" customHeight="false" outlineLevel="0" collapsed="false">
      <c r="A3703" s="0" t="str">
        <f aca="false">IF('הדבקת לידים'!A3703="","",IF(ISNUMBER('הדבקת לידים'!A3703),IF(הגדרות!$E$2&gt;0,TEXT('הדבקת לידים'!A3703,REPT("0",הגדרות!$E$2)),TEXT('הדבקת לידים'!A3703,"0")),TRIM('הדבקת לידים'!A3703)))</f>
        <v/>
      </c>
      <c r="B3703" s="0" t="str">
        <f aca="false">IF('הדבקת לידים'!B3703="","",IF(ISNUMBER('הדבקת לידים'!B3703),IF(הגדרות!$E$3&gt;0,TEXT('הדבקת לידים'!B3703,REPT("0",הגדרות!$E$3)),TEXT('הדבקת לידים'!B3703,"0")),TRIM('הדבקת לידים'!B3703)))</f>
        <v/>
      </c>
      <c r="C3703" s="0" t="n">
        <f aca="false">IF(OR(A3703&lt;&gt;"",B3703&lt;&gt;""),1,0)</f>
        <v>0</v>
      </c>
      <c r="D3703" s="0" t="str">
        <f aca="false">IF(C3703=1,MOD(ABS(SIN(ROW()*12.9898+'הדבקת לידים'!$F$2*78.233+IFERROR(--RIGHT(A3703,6),LEN(A3703))*0.0137+IFERROR(--RIGHT(B3703,6),LEN(B3703))*0.0071))*43758.5453,1),"")</f>
        <v/>
      </c>
      <c r="E3703" s="0" t="str">
        <f aca="false">IF(C3703=1,INT(MOD(ABS(SIN(D3703*7919.123+ROW()*0.618+'הדבקת לידים'!$F$2*1.3))*43758.5453,1)*1000000)*10000+ROW(),"")</f>
        <v/>
      </c>
      <c r="F3703" s="0" t="str">
        <f aca="false">IF(E3703="","",RANK(E3703,$E$2:$E$5001,1))</f>
        <v/>
      </c>
      <c r="G3703" s="0" t="n">
        <f aca="false">IF(A3703="",0,IF(SUMPRODUCT(--($A$2:$A$5001=A3703))&gt;1,1,0))</f>
        <v>0</v>
      </c>
      <c r="H3703" s="0" t="n">
        <f aca="false">ROW()-1</f>
        <v>3702</v>
      </c>
      <c r="I3703" s="0" t="str">
        <f aca="false">IF(OR(הגדרות!$E$6=0,H3703&gt;הגדרות!$E$5),"",IF(H3703-1&lt;הגדרות!$E$8*(הגדרות!$E$7+1),INT((H3703-1)/(הגדרות!$E$7+1)),הגדרות!$E$8+INT((H3703-1-הגדרות!$E$8*(הגדרות!$E$7+1))/הגדרות!$E$7)))</f>
        <v/>
      </c>
      <c r="J3703" s="0" t="str">
        <f aca="false">IF(I3703="","",IF(H3703-1&lt;הגדרות!$E$8*(הגדרות!$E$7+1),MOD(H3703-1,הגדרות!$E$7+1),MOD(H3703-1-הגדרות!$E$8*(הגדרות!$E$7+1),הגדרות!$E$7)))</f>
        <v/>
      </c>
      <c r="K3703" s="0" t="str">
        <f aca="false">IF(I3703="","",J3703*הגדרות!$E$6+I3703+1)</f>
        <v/>
      </c>
      <c r="L3703" s="0" t="str">
        <f aca="false">IF(K3703="","",MATCH(K3703,$F$2:$F$5001,0))</f>
        <v/>
      </c>
      <c r="M3703" s="0" t="str">
        <f aca="false">IF(I3703="","",INDEX(הגדרות!$A$2:$A$21,MOD(I3703+הגדרות!$E$9,הגדרות!$E$6)+1))</f>
        <v/>
      </c>
    </row>
    <row r="3704" customFormat="false" ht="15" hidden="false" customHeight="false" outlineLevel="0" collapsed="false">
      <c r="A3704" s="0" t="str">
        <f aca="false">IF('הדבקת לידים'!A3704="","",IF(ISNUMBER('הדבקת לידים'!A3704),IF(הגדרות!$E$2&gt;0,TEXT('הדבקת לידים'!A3704,REPT("0",הגדרות!$E$2)),TEXT('הדבקת לידים'!A3704,"0")),TRIM('הדבקת לידים'!A3704)))</f>
        <v/>
      </c>
      <c r="B3704" s="0" t="str">
        <f aca="false">IF('הדבקת לידים'!B3704="","",IF(ISNUMBER('הדבקת לידים'!B3704),IF(הגדרות!$E$3&gt;0,TEXT('הדבקת לידים'!B3704,REPT("0",הגדרות!$E$3)),TEXT('הדבקת לידים'!B3704,"0")),TRIM('הדבקת לידים'!B3704)))</f>
        <v/>
      </c>
      <c r="C3704" s="0" t="n">
        <f aca="false">IF(OR(A3704&lt;&gt;"",B3704&lt;&gt;""),1,0)</f>
        <v>0</v>
      </c>
      <c r="D3704" s="0" t="str">
        <f aca="false">IF(C3704=1,MOD(ABS(SIN(ROW()*12.9898+'הדבקת לידים'!$F$2*78.233+IFERROR(--RIGHT(A3704,6),LEN(A3704))*0.0137+IFERROR(--RIGHT(B3704,6),LEN(B3704))*0.0071))*43758.5453,1),"")</f>
        <v/>
      </c>
      <c r="E3704" s="0" t="str">
        <f aca="false">IF(C3704=1,INT(MOD(ABS(SIN(D3704*7919.123+ROW()*0.618+'הדבקת לידים'!$F$2*1.3))*43758.5453,1)*1000000)*10000+ROW(),"")</f>
        <v/>
      </c>
      <c r="F3704" s="0" t="str">
        <f aca="false">IF(E3704="","",RANK(E3704,$E$2:$E$5001,1))</f>
        <v/>
      </c>
      <c r="G3704" s="0" t="n">
        <f aca="false">IF(A3704="",0,IF(SUMPRODUCT(--($A$2:$A$5001=A3704))&gt;1,1,0))</f>
        <v>0</v>
      </c>
      <c r="H3704" s="0" t="n">
        <f aca="false">ROW()-1</f>
        <v>3703</v>
      </c>
      <c r="I3704" s="0" t="str">
        <f aca="false">IF(OR(הגדרות!$E$6=0,H3704&gt;הגדרות!$E$5),"",IF(H3704-1&lt;הגדרות!$E$8*(הגדרות!$E$7+1),INT((H3704-1)/(הגדרות!$E$7+1)),הגדרות!$E$8+INT((H3704-1-הגדרות!$E$8*(הגדרות!$E$7+1))/הגדרות!$E$7)))</f>
        <v/>
      </c>
      <c r="J3704" s="0" t="str">
        <f aca="false">IF(I3704="","",IF(H3704-1&lt;הגדרות!$E$8*(הגדרות!$E$7+1),MOD(H3704-1,הגדרות!$E$7+1),MOD(H3704-1-הגדרות!$E$8*(הגדרות!$E$7+1),הגדרות!$E$7)))</f>
        <v/>
      </c>
      <c r="K3704" s="0" t="str">
        <f aca="false">IF(I3704="","",J3704*הגדרות!$E$6+I3704+1)</f>
        <v/>
      </c>
      <c r="L3704" s="0" t="str">
        <f aca="false">IF(K3704="","",MATCH(K3704,$F$2:$F$5001,0))</f>
        <v/>
      </c>
      <c r="M3704" s="0" t="str">
        <f aca="false">IF(I3704="","",INDEX(הגדרות!$A$2:$A$21,MOD(I3704+הגדרות!$E$9,הגדרות!$E$6)+1))</f>
        <v/>
      </c>
    </row>
    <row r="3705" customFormat="false" ht="15" hidden="false" customHeight="false" outlineLevel="0" collapsed="false">
      <c r="A3705" s="0" t="str">
        <f aca="false">IF('הדבקת לידים'!A3705="","",IF(ISNUMBER('הדבקת לידים'!A3705),IF(הגדרות!$E$2&gt;0,TEXT('הדבקת לידים'!A3705,REPT("0",הגדרות!$E$2)),TEXT('הדבקת לידים'!A3705,"0")),TRIM('הדבקת לידים'!A3705)))</f>
        <v/>
      </c>
      <c r="B3705" s="0" t="str">
        <f aca="false">IF('הדבקת לידים'!B3705="","",IF(ISNUMBER('הדבקת לידים'!B3705),IF(הגדרות!$E$3&gt;0,TEXT('הדבקת לידים'!B3705,REPT("0",הגדרות!$E$3)),TEXT('הדבקת לידים'!B3705,"0")),TRIM('הדבקת לידים'!B3705)))</f>
        <v/>
      </c>
      <c r="C3705" s="0" t="n">
        <f aca="false">IF(OR(A3705&lt;&gt;"",B3705&lt;&gt;""),1,0)</f>
        <v>0</v>
      </c>
      <c r="D3705" s="0" t="str">
        <f aca="false">IF(C3705=1,MOD(ABS(SIN(ROW()*12.9898+'הדבקת לידים'!$F$2*78.233+IFERROR(--RIGHT(A3705,6),LEN(A3705))*0.0137+IFERROR(--RIGHT(B3705,6),LEN(B3705))*0.0071))*43758.5453,1),"")</f>
        <v/>
      </c>
      <c r="E3705" s="0" t="str">
        <f aca="false">IF(C3705=1,INT(MOD(ABS(SIN(D3705*7919.123+ROW()*0.618+'הדבקת לידים'!$F$2*1.3))*43758.5453,1)*1000000)*10000+ROW(),"")</f>
        <v/>
      </c>
      <c r="F3705" s="0" t="str">
        <f aca="false">IF(E3705="","",RANK(E3705,$E$2:$E$5001,1))</f>
        <v/>
      </c>
      <c r="G3705" s="0" t="n">
        <f aca="false">IF(A3705="",0,IF(SUMPRODUCT(--($A$2:$A$5001=A3705))&gt;1,1,0))</f>
        <v>0</v>
      </c>
      <c r="H3705" s="0" t="n">
        <f aca="false">ROW()-1</f>
        <v>3704</v>
      </c>
      <c r="I3705" s="0" t="str">
        <f aca="false">IF(OR(הגדרות!$E$6=0,H3705&gt;הגדרות!$E$5),"",IF(H3705-1&lt;הגדרות!$E$8*(הגדרות!$E$7+1),INT((H3705-1)/(הגדרות!$E$7+1)),הגדרות!$E$8+INT((H3705-1-הגדרות!$E$8*(הגדרות!$E$7+1))/הגדרות!$E$7)))</f>
        <v/>
      </c>
      <c r="J3705" s="0" t="str">
        <f aca="false">IF(I3705="","",IF(H3705-1&lt;הגדרות!$E$8*(הגדרות!$E$7+1),MOD(H3705-1,הגדרות!$E$7+1),MOD(H3705-1-הגדרות!$E$8*(הגדרות!$E$7+1),הגדרות!$E$7)))</f>
        <v/>
      </c>
      <c r="K3705" s="0" t="str">
        <f aca="false">IF(I3705="","",J3705*הגדרות!$E$6+I3705+1)</f>
        <v/>
      </c>
      <c r="L3705" s="0" t="str">
        <f aca="false">IF(K3705="","",MATCH(K3705,$F$2:$F$5001,0))</f>
        <v/>
      </c>
      <c r="M3705" s="0" t="str">
        <f aca="false">IF(I3705="","",INDEX(הגדרות!$A$2:$A$21,MOD(I3705+הגדרות!$E$9,הגדרות!$E$6)+1))</f>
        <v/>
      </c>
    </row>
    <row r="3706" customFormat="false" ht="15" hidden="false" customHeight="false" outlineLevel="0" collapsed="false">
      <c r="A3706" s="0" t="str">
        <f aca="false">IF('הדבקת לידים'!A3706="","",IF(ISNUMBER('הדבקת לידים'!A3706),IF(הגדרות!$E$2&gt;0,TEXT('הדבקת לידים'!A3706,REPT("0",הגדרות!$E$2)),TEXT('הדבקת לידים'!A3706,"0")),TRIM('הדבקת לידים'!A3706)))</f>
        <v/>
      </c>
      <c r="B3706" s="0" t="str">
        <f aca="false">IF('הדבקת לידים'!B3706="","",IF(ISNUMBER('הדבקת לידים'!B3706),IF(הגדרות!$E$3&gt;0,TEXT('הדבקת לידים'!B3706,REPT("0",הגדרות!$E$3)),TEXT('הדבקת לידים'!B3706,"0")),TRIM('הדבקת לידים'!B3706)))</f>
        <v/>
      </c>
      <c r="C3706" s="0" t="n">
        <f aca="false">IF(OR(A3706&lt;&gt;"",B3706&lt;&gt;""),1,0)</f>
        <v>0</v>
      </c>
      <c r="D3706" s="0" t="str">
        <f aca="false">IF(C3706=1,MOD(ABS(SIN(ROW()*12.9898+'הדבקת לידים'!$F$2*78.233+IFERROR(--RIGHT(A3706,6),LEN(A3706))*0.0137+IFERROR(--RIGHT(B3706,6),LEN(B3706))*0.0071))*43758.5453,1),"")</f>
        <v/>
      </c>
      <c r="E3706" s="0" t="str">
        <f aca="false">IF(C3706=1,INT(MOD(ABS(SIN(D3706*7919.123+ROW()*0.618+'הדבקת לידים'!$F$2*1.3))*43758.5453,1)*1000000)*10000+ROW(),"")</f>
        <v/>
      </c>
      <c r="F3706" s="0" t="str">
        <f aca="false">IF(E3706="","",RANK(E3706,$E$2:$E$5001,1))</f>
        <v/>
      </c>
      <c r="G3706" s="0" t="n">
        <f aca="false">IF(A3706="",0,IF(SUMPRODUCT(--($A$2:$A$5001=A3706))&gt;1,1,0))</f>
        <v>0</v>
      </c>
      <c r="H3706" s="0" t="n">
        <f aca="false">ROW()-1</f>
        <v>3705</v>
      </c>
      <c r="I3706" s="0" t="str">
        <f aca="false">IF(OR(הגדרות!$E$6=0,H3706&gt;הגדרות!$E$5),"",IF(H3706-1&lt;הגדרות!$E$8*(הגדרות!$E$7+1),INT((H3706-1)/(הגדרות!$E$7+1)),הגדרות!$E$8+INT((H3706-1-הגדרות!$E$8*(הגדרות!$E$7+1))/הגדרות!$E$7)))</f>
        <v/>
      </c>
      <c r="J3706" s="0" t="str">
        <f aca="false">IF(I3706="","",IF(H3706-1&lt;הגדרות!$E$8*(הגדרות!$E$7+1),MOD(H3706-1,הגדרות!$E$7+1),MOD(H3706-1-הגדרות!$E$8*(הגדרות!$E$7+1),הגדרות!$E$7)))</f>
        <v/>
      </c>
      <c r="K3706" s="0" t="str">
        <f aca="false">IF(I3706="","",J3706*הגדרות!$E$6+I3706+1)</f>
        <v/>
      </c>
      <c r="L3706" s="0" t="str">
        <f aca="false">IF(K3706="","",MATCH(K3706,$F$2:$F$5001,0))</f>
        <v/>
      </c>
      <c r="M3706" s="0" t="str">
        <f aca="false">IF(I3706="","",INDEX(הגדרות!$A$2:$A$21,MOD(I3706+הגדרות!$E$9,הגדרות!$E$6)+1))</f>
        <v/>
      </c>
    </row>
    <row r="3707" customFormat="false" ht="15" hidden="false" customHeight="false" outlineLevel="0" collapsed="false">
      <c r="A3707" s="0" t="str">
        <f aca="false">IF('הדבקת לידים'!A3707="","",IF(ISNUMBER('הדבקת לידים'!A3707),IF(הגדרות!$E$2&gt;0,TEXT('הדבקת לידים'!A3707,REPT("0",הגדרות!$E$2)),TEXT('הדבקת לידים'!A3707,"0")),TRIM('הדבקת לידים'!A3707)))</f>
        <v/>
      </c>
      <c r="B3707" s="0" t="str">
        <f aca="false">IF('הדבקת לידים'!B3707="","",IF(ISNUMBER('הדבקת לידים'!B3707),IF(הגדרות!$E$3&gt;0,TEXT('הדבקת לידים'!B3707,REPT("0",הגדרות!$E$3)),TEXT('הדבקת לידים'!B3707,"0")),TRIM('הדבקת לידים'!B3707)))</f>
        <v/>
      </c>
      <c r="C3707" s="0" t="n">
        <f aca="false">IF(OR(A3707&lt;&gt;"",B3707&lt;&gt;""),1,0)</f>
        <v>0</v>
      </c>
      <c r="D3707" s="0" t="str">
        <f aca="false">IF(C3707=1,MOD(ABS(SIN(ROW()*12.9898+'הדבקת לידים'!$F$2*78.233+IFERROR(--RIGHT(A3707,6),LEN(A3707))*0.0137+IFERROR(--RIGHT(B3707,6),LEN(B3707))*0.0071))*43758.5453,1),"")</f>
        <v/>
      </c>
      <c r="E3707" s="0" t="str">
        <f aca="false">IF(C3707=1,INT(MOD(ABS(SIN(D3707*7919.123+ROW()*0.618+'הדבקת לידים'!$F$2*1.3))*43758.5453,1)*1000000)*10000+ROW(),"")</f>
        <v/>
      </c>
      <c r="F3707" s="0" t="str">
        <f aca="false">IF(E3707="","",RANK(E3707,$E$2:$E$5001,1))</f>
        <v/>
      </c>
      <c r="G3707" s="0" t="n">
        <f aca="false">IF(A3707="",0,IF(SUMPRODUCT(--($A$2:$A$5001=A3707))&gt;1,1,0))</f>
        <v>0</v>
      </c>
      <c r="H3707" s="0" t="n">
        <f aca="false">ROW()-1</f>
        <v>3706</v>
      </c>
      <c r="I3707" s="0" t="str">
        <f aca="false">IF(OR(הגדרות!$E$6=0,H3707&gt;הגדרות!$E$5),"",IF(H3707-1&lt;הגדרות!$E$8*(הגדרות!$E$7+1),INT((H3707-1)/(הגדרות!$E$7+1)),הגדרות!$E$8+INT((H3707-1-הגדרות!$E$8*(הגדרות!$E$7+1))/הגדרות!$E$7)))</f>
        <v/>
      </c>
      <c r="J3707" s="0" t="str">
        <f aca="false">IF(I3707="","",IF(H3707-1&lt;הגדרות!$E$8*(הגדרות!$E$7+1),MOD(H3707-1,הגדרות!$E$7+1),MOD(H3707-1-הגדרות!$E$8*(הגדרות!$E$7+1),הגדרות!$E$7)))</f>
        <v/>
      </c>
      <c r="K3707" s="0" t="str">
        <f aca="false">IF(I3707="","",J3707*הגדרות!$E$6+I3707+1)</f>
        <v/>
      </c>
      <c r="L3707" s="0" t="str">
        <f aca="false">IF(K3707="","",MATCH(K3707,$F$2:$F$5001,0))</f>
        <v/>
      </c>
      <c r="M3707" s="0" t="str">
        <f aca="false">IF(I3707="","",INDEX(הגדרות!$A$2:$A$21,MOD(I3707+הגדרות!$E$9,הגדרות!$E$6)+1))</f>
        <v/>
      </c>
    </row>
    <row r="3708" customFormat="false" ht="15" hidden="false" customHeight="false" outlineLevel="0" collapsed="false">
      <c r="A3708" s="0" t="str">
        <f aca="false">IF('הדבקת לידים'!A3708="","",IF(ISNUMBER('הדבקת לידים'!A3708),IF(הגדרות!$E$2&gt;0,TEXT('הדבקת לידים'!A3708,REPT("0",הגדרות!$E$2)),TEXT('הדבקת לידים'!A3708,"0")),TRIM('הדבקת לידים'!A3708)))</f>
        <v/>
      </c>
      <c r="B3708" s="0" t="str">
        <f aca="false">IF('הדבקת לידים'!B3708="","",IF(ISNUMBER('הדבקת לידים'!B3708),IF(הגדרות!$E$3&gt;0,TEXT('הדבקת לידים'!B3708,REPT("0",הגדרות!$E$3)),TEXT('הדבקת לידים'!B3708,"0")),TRIM('הדבקת לידים'!B3708)))</f>
        <v/>
      </c>
      <c r="C3708" s="0" t="n">
        <f aca="false">IF(OR(A3708&lt;&gt;"",B3708&lt;&gt;""),1,0)</f>
        <v>0</v>
      </c>
      <c r="D3708" s="0" t="str">
        <f aca="false">IF(C3708=1,MOD(ABS(SIN(ROW()*12.9898+'הדבקת לידים'!$F$2*78.233+IFERROR(--RIGHT(A3708,6),LEN(A3708))*0.0137+IFERROR(--RIGHT(B3708,6),LEN(B3708))*0.0071))*43758.5453,1),"")</f>
        <v/>
      </c>
      <c r="E3708" s="0" t="str">
        <f aca="false">IF(C3708=1,INT(MOD(ABS(SIN(D3708*7919.123+ROW()*0.618+'הדבקת לידים'!$F$2*1.3))*43758.5453,1)*1000000)*10000+ROW(),"")</f>
        <v/>
      </c>
      <c r="F3708" s="0" t="str">
        <f aca="false">IF(E3708="","",RANK(E3708,$E$2:$E$5001,1))</f>
        <v/>
      </c>
      <c r="G3708" s="0" t="n">
        <f aca="false">IF(A3708="",0,IF(SUMPRODUCT(--($A$2:$A$5001=A3708))&gt;1,1,0))</f>
        <v>0</v>
      </c>
      <c r="H3708" s="0" t="n">
        <f aca="false">ROW()-1</f>
        <v>3707</v>
      </c>
      <c r="I3708" s="0" t="str">
        <f aca="false">IF(OR(הגדרות!$E$6=0,H3708&gt;הגדרות!$E$5),"",IF(H3708-1&lt;הגדרות!$E$8*(הגדרות!$E$7+1),INT((H3708-1)/(הגדרות!$E$7+1)),הגדרות!$E$8+INT((H3708-1-הגדרות!$E$8*(הגדרות!$E$7+1))/הגדרות!$E$7)))</f>
        <v/>
      </c>
      <c r="J3708" s="0" t="str">
        <f aca="false">IF(I3708="","",IF(H3708-1&lt;הגדרות!$E$8*(הגדרות!$E$7+1),MOD(H3708-1,הגדרות!$E$7+1),MOD(H3708-1-הגדרות!$E$8*(הגדרות!$E$7+1),הגדרות!$E$7)))</f>
        <v/>
      </c>
      <c r="K3708" s="0" t="str">
        <f aca="false">IF(I3708="","",J3708*הגדרות!$E$6+I3708+1)</f>
        <v/>
      </c>
      <c r="L3708" s="0" t="str">
        <f aca="false">IF(K3708="","",MATCH(K3708,$F$2:$F$5001,0))</f>
        <v/>
      </c>
      <c r="M3708" s="0" t="str">
        <f aca="false">IF(I3708="","",INDEX(הגדרות!$A$2:$A$21,MOD(I3708+הגדרות!$E$9,הגדרות!$E$6)+1))</f>
        <v/>
      </c>
    </row>
    <row r="3709" customFormat="false" ht="15" hidden="false" customHeight="false" outlineLevel="0" collapsed="false">
      <c r="A3709" s="0" t="str">
        <f aca="false">IF('הדבקת לידים'!A3709="","",IF(ISNUMBER('הדבקת לידים'!A3709),IF(הגדרות!$E$2&gt;0,TEXT('הדבקת לידים'!A3709,REPT("0",הגדרות!$E$2)),TEXT('הדבקת לידים'!A3709,"0")),TRIM('הדבקת לידים'!A3709)))</f>
        <v/>
      </c>
      <c r="B3709" s="0" t="str">
        <f aca="false">IF('הדבקת לידים'!B3709="","",IF(ISNUMBER('הדבקת לידים'!B3709),IF(הגדרות!$E$3&gt;0,TEXT('הדבקת לידים'!B3709,REPT("0",הגדרות!$E$3)),TEXT('הדבקת לידים'!B3709,"0")),TRIM('הדבקת לידים'!B3709)))</f>
        <v/>
      </c>
      <c r="C3709" s="0" t="n">
        <f aca="false">IF(OR(A3709&lt;&gt;"",B3709&lt;&gt;""),1,0)</f>
        <v>0</v>
      </c>
      <c r="D3709" s="0" t="str">
        <f aca="false">IF(C3709=1,MOD(ABS(SIN(ROW()*12.9898+'הדבקת לידים'!$F$2*78.233+IFERROR(--RIGHT(A3709,6),LEN(A3709))*0.0137+IFERROR(--RIGHT(B3709,6),LEN(B3709))*0.0071))*43758.5453,1),"")</f>
        <v/>
      </c>
      <c r="E3709" s="0" t="str">
        <f aca="false">IF(C3709=1,INT(MOD(ABS(SIN(D3709*7919.123+ROW()*0.618+'הדבקת לידים'!$F$2*1.3))*43758.5453,1)*1000000)*10000+ROW(),"")</f>
        <v/>
      </c>
      <c r="F3709" s="0" t="str">
        <f aca="false">IF(E3709="","",RANK(E3709,$E$2:$E$5001,1))</f>
        <v/>
      </c>
      <c r="G3709" s="0" t="n">
        <f aca="false">IF(A3709="",0,IF(SUMPRODUCT(--($A$2:$A$5001=A3709))&gt;1,1,0))</f>
        <v>0</v>
      </c>
      <c r="H3709" s="0" t="n">
        <f aca="false">ROW()-1</f>
        <v>3708</v>
      </c>
      <c r="I3709" s="0" t="str">
        <f aca="false">IF(OR(הגדרות!$E$6=0,H3709&gt;הגדרות!$E$5),"",IF(H3709-1&lt;הגדרות!$E$8*(הגדרות!$E$7+1),INT((H3709-1)/(הגדרות!$E$7+1)),הגדרות!$E$8+INT((H3709-1-הגדרות!$E$8*(הגדרות!$E$7+1))/הגדרות!$E$7)))</f>
        <v/>
      </c>
      <c r="J3709" s="0" t="str">
        <f aca="false">IF(I3709="","",IF(H3709-1&lt;הגדרות!$E$8*(הגדרות!$E$7+1),MOD(H3709-1,הגדרות!$E$7+1),MOD(H3709-1-הגדרות!$E$8*(הגדרות!$E$7+1),הגדרות!$E$7)))</f>
        <v/>
      </c>
      <c r="K3709" s="0" t="str">
        <f aca="false">IF(I3709="","",J3709*הגדרות!$E$6+I3709+1)</f>
        <v/>
      </c>
      <c r="L3709" s="0" t="str">
        <f aca="false">IF(K3709="","",MATCH(K3709,$F$2:$F$5001,0))</f>
        <v/>
      </c>
      <c r="M3709" s="0" t="str">
        <f aca="false">IF(I3709="","",INDEX(הגדרות!$A$2:$A$21,MOD(I3709+הגדרות!$E$9,הגדרות!$E$6)+1))</f>
        <v/>
      </c>
    </row>
    <row r="3710" customFormat="false" ht="15" hidden="false" customHeight="false" outlineLevel="0" collapsed="false">
      <c r="A3710" s="0" t="str">
        <f aca="false">IF('הדבקת לידים'!A3710="","",IF(ISNUMBER('הדבקת לידים'!A3710),IF(הגדרות!$E$2&gt;0,TEXT('הדבקת לידים'!A3710,REPT("0",הגדרות!$E$2)),TEXT('הדבקת לידים'!A3710,"0")),TRIM('הדבקת לידים'!A3710)))</f>
        <v/>
      </c>
      <c r="B3710" s="0" t="str">
        <f aca="false">IF('הדבקת לידים'!B3710="","",IF(ISNUMBER('הדבקת לידים'!B3710),IF(הגדרות!$E$3&gt;0,TEXT('הדבקת לידים'!B3710,REPT("0",הגדרות!$E$3)),TEXT('הדבקת לידים'!B3710,"0")),TRIM('הדבקת לידים'!B3710)))</f>
        <v/>
      </c>
      <c r="C3710" s="0" t="n">
        <f aca="false">IF(OR(A3710&lt;&gt;"",B3710&lt;&gt;""),1,0)</f>
        <v>0</v>
      </c>
      <c r="D3710" s="0" t="str">
        <f aca="false">IF(C3710=1,MOD(ABS(SIN(ROW()*12.9898+'הדבקת לידים'!$F$2*78.233+IFERROR(--RIGHT(A3710,6),LEN(A3710))*0.0137+IFERROR(--RIGHT(B3710,6),LEN(B3710))*0.0071))*43758.5453,1),"")</f>
        <v/>
      </c>
      <c r="E3710" s="0" t="str">
        <f aca="false">IF(C3710=1,INT(MOD(ABS(SIN(D3710*7919.123+ROW()*0.618+'הדבקת לידים'!$F$2*1.3))*43758.5453,1)*1000000)*10000+ROW(),"")</f>
        <v/>
      </c>
      <c r="F3710" s="0" t="str">
        <f aca="false">IF(E3710="","",RANK(E3710,$E$2:$E$5001,1))</f>
        <v/>
      </c>
      <c r="G3710" s="0" t="n">
        <f aca="false">IF(A3710="",0,IF(SUMPRODUCT(--($A$2:$A$5001=A3710))&gt;1,1,0))</f>
        <v>0</v>
      </c>
      <c r="H3710" s="0" t="n">
        <f aca="false">ROW()-1</f>
        <v>3709</v>
      </c>
      <c r="I3710" s="0" t="str">
        <f aca="false">IF(OR(הגדרות!$E$6=0,H3710&gt;הגדרות!$E$5),"",IF(H3710-1&lt;הגדרות!$E$8*(הגדרות!$E$7+1),INT((H3710-1)/(הגדרות!$E$7+1)),הגדרות!$E$8+INT((H3710-1-הגדרות!$E$8*(הגדרות!$E$7+1))/הגדרות!$E$7)))</f>
        <v/>
      </c>
      <c r="J3710" s="0" t="str">
        <f aca="false">IF(I3710="","",IF(H3710-1&lt;הגדרות!$E$8*(הגדרות!$E$7+1),MOD(H3710-1,הגדרות!$E$7+1),MOD(H3710-1-הגדרות!$E$8*(הגדרות!$E$7+1),הגדרות!$E$7)))</f>
        <v/>
      </c>
      <c r="K3710" s="0" t="str">
        <f aca="false">IF(I3710="","",J3710*הגדרות!$E$6+I3710+1)</f>
        <v/>
      </c>
      <c r="L3710" s="0" t="str">
        <f aca="false">IF(K3710="","",MATCH(K3710,$F$2:$F$5001,0))</f>
        <v/>
      </c>
      <c r="M3710" s="0" t="str">
        <f aca="false">IF(I3710="","",INDEX(הגדרות!$A$2:$A$21,MOD(I3710+הגדרות!$E$9,הגדרות!$E$6)+1))</f>
        <v/>
      </c>
    </row>
    <row r="3711" customFormat="false" ht="15" hidden="false" customHeight="false" outlineLevel="0" collapsed="false">
      <c r="A3711" s="0" t="str">
        <f aca="false">IF('הדבקת לידים'!A3711="","",IF(ISNUMBER('הדבקת לידים'!A3711),IF(הגדרות!$E$2&gt;0,TEXT('הדבקת לידים'!A3711,REPT("0",הגדרות!$E$2)),TEXT('הדבקת לידים'!A3711,"0")),TRIM('הדבקת לידים'!A3711)))</f>
        <v/>
      </c>
      <c r="B3711" s="0" t="str">
        <f aca="false">IF('הדבקת לידים'!B3711="","",IF(ISNUMBER('הדבקת לידים'!B3711),IF(הגדרות!$E$3&gt;0,TEXT('הדבקת לידים'!B3711,REPT("0",הגדרות!$E$3)),TEXT('הדבקת לידים'!B3711,"0")),TRIM('הדבקת לידים'!B3711)))</f>
        <v/>
      </c>
      <c r="C3711" s="0" t="n">
        <f aca="false">IF(OR(A3711&lt;&gt;"",B3711&lt;&gt;""),1,0)</f>
        <v>0</v>
      </c>
      <c r="D3711" s="0" t="str">
        <f aca="false">IF(C3711=1,MOD(ABS(SIN(ROW()*12.9898+'הדבקת לידים'!$F$2*78.233+IFERROR(--RIGHT(A3711,6),LEN(A3711))*0.0137+IFERROR(--RIGHT(B3711,6),LEN(B3711))*0.0071))*43758.5453,1),"")</f>
        <v/>
      </c>
      <c r="E3711" s="0" t="str">
        <f aca="false">IF(C3711=1,INT(MOD(ABS(SIN(D3711*7919.123+ROW()*0.618+'הדבקת לידים'!$F$2*1.3))*43758.5453,1)*1000000)*10000+ROW(),"")</f>
        <v/>
      </c>
      <c r="F3711" s="0" t="str">
        <f aca="false">IF(E3711="","",RANK(E3711,$E$2:$E$5001,1))</f>
        <v/>
      </c>
      <c r="G3711" s="0" t="n">
        <f aca="false">IF(A3711="",0,IF(SUMPRODUCT(--($A$2:$A$5001=A3711))&gt;1,1,0))</f>
        <v>0</v>
      </c>
      <c r="H3711" s="0" t="n">
        <f aca="false">ROW()-1</f>
        <v>3710</v>
      </c>
      <c r="I3711" s="0" t="str">
        <f aca="false">IF(OR(הגדרות!$E$6=0,H3711&gt;הגדרות!$E$5),"",IF(H3711-1&lt;הגדרות!$E$8*(הגדרות!$E$7+1),INT((H3711-1)/(הגדרות!$E$7+1)),הגדרות!$E$8+INT((H3711-1-הגדרות!$E$8*(הגדרות!$E$7+1))/הגדרות!$E$7)))</f>
        <v/>
      </c>
      <c r="J3711" s="0" t="str">
        <f aca="false">IF(I3711="","",IF(H3711-1&lt;הגדרות!$E$8*(הגדרות!$E$7+1),MOD(H3711-1,הגדרות!$E$7+1),MOD(H3711-1-הגדרות!$E$8*(הגדרות!$E$7+1),הגדרות!$E$7)))</f>
        <v/>
      </c>
      <c r="K3711" s="0" t="str">
        <f aca="false">IF(I3711="","",J3711*הגדרות!$E$6+I3711+1)</f>
        <v/>
      </c>
      <c r="L3711" s="0" t="str">
        <f aca="false">IF(K3711="","",MATCH(K3711,$F$2:$F$5001,0))</f>
        <v/>
      </c>
      <c r="M3711" s="0" t="str">
        <f aca="false">IF(I3711="","",INDEX(הגדרות!$A$2:$A$21,MOD(I3711+הגדרות!$E$9,הגדרות!$E$6)+1))</f>
        <v/>
      </c>
    </row>
    <row r="3712" customFormat="false" ht="15" hidden="false" customHeight="false" outlineLevel="0" collapsed="false">
      <c r="A3712" s="0" t="str">
        <f aca="false">IF('הדבקת לידים'!A3712="","",IF(ISNUMBER('הדבקת לידים'!A3712),IF(הגדרות!$E$2&gt;0,TEXT('הדבקת לידים'!A3712,REPT("0",הגדרות!$E$2)),TEXT('הדבקת לידים'!A3712,"0")),TRIM('הדבקת לידים'!A3712)))</f>
        <v/>
      </c>
      <c r="B3712" s="0" t="str">
        <f aca="false">IF('הדבקת לידים'!B3712="","",IF(ISNUMBER('הדבקת לידים'!B3712),IF(הגדרות!$E$3&gt;0,TEXT('הדבקת לידים'!B3712,REPT("0",הגדרות!$E$3)),TEXT('הדבקת לידים'!B3712,"0")),TRIM('הדבקת לידים'!B3712)))</f>
        <v/>
      </c>
      <c r="C3712" s="0" t="n">
        <f aca="false">IF(OR(A3712&lt;&gt;"",B3712&lt;&gt;""),1,0)</f>
        <v>0</v>
      </c>
      <c r="D3712" s="0" t="str">
        <f aca="false">IF(C3712=1,MOD(ABS(SIN(ROW()*12.9898+'הדבקת לידים'!$F$2*78.233+IFERROR(--RIGHT(A3712,6),LEN(A3712))*0.0137+IFERROR(--RIGHT(B3712,6),LEN(B3712))*0.0071))*43758.5453,1),"")</f>
        <v/>
      </c>
      <c r="E3712" s="0" t="str">
        <f aca="false">IF(C3712=1,INT(MOD(ABS(SIN(D3712*7919.123+ROW()*0.618+'הדבקת לידים'!$F$2*1.3))*43758.5453,1)*1000000)*10000+ROW(),"")</f>
        <v/>
      </c>
      <c r="F3712" s="0" t="str">
        <f aca="false">IF(E3712="","",RANK(E3712,$E$2:$E$5001,1))</f>
        <v/>
      </c>
      <c r="G3712" s="0" t="n">
        <f aca="false">IF(A3712="",0,IF(SUMPRODUCT(--($A$2:$A$5001=A3712))&gt;1,1,0))</f>
        <v>0</v>
      </c>
      <c r="H3712" s="0" t="n">
        <f aca="false">ROW()-1</f>
        <v>3711</v>
      </c>
      <c r="I3712" s="0" t="str">
        <f aca="false">IF(OR(הגדרות!$E$6=0,H3712&gt;הגדרות!$E$5),"",IF(H3712-1&lt;הגדרות!$E$8*(הגדרות!$E$7+1),INT((H3712-1)/(הגדרות!$E$7+1)),הגדרות!$E$8+INT((H3712-1-הגדרות!$E$8*(הגדרות!$E$7+1))/הגדרות!$E$7)))</f>
        <v/>
      </c>
      <c r="J3712" s="0" t="str">
        <f aca="false">IF(I3712="","",IF(H3712-1&lt;הגדרות!$E$8*(הגדרות!$E$7+1),MOD(H3712-1,הגדרות!$E$7+1),MOD(H3712-1-הגדרות!$E$8*(הגדרות!$E$7+1),הגדרות!$E$7)))</f>
        <v/>
      </c>
      <c r="K3712" s="0" t="str">
        <f aca="false">IF(I3712="","",J3712*הגדרות!$E$6+I3712+1)</f>
        <v/>
      </c>
      <c r="L3712" s="0" t="str">
        <f aca="false">IF(K3712="","",MATCH(K3712,$F$2:$F$5001,0))</f>
        <v/>
      </c>
      <c r="M3712" s="0" t="str">
        <f aca="false">IF(I3712="","",INDEX(הגדרות!$A$2:$A$21,MOD(I3712+הגדרות!$E$9,הגדרות!$E$6)+1))</f>
        <v/>
      </c>
    </row>
    <row r="3713" customFormat="false" ht="15" hidden="false" customHeight="false" outlineLevel="0" collapsed="false">
      <c r="A3713" s="0" t="str">
        <f aca="false">IF('הדבקת לידים'!A3713="","",IF(ISNUMBER('הדבקת לידים'!A3713),IF(הגדרות!$E$2&gt;0,TEXT('הדבקת לידים'!A3713,REPT("0",הגדרות!$E$2)),TEXT('הדבקת לידים'!A3713,"0")),TRIM('הדבקת לידים'!A3713)))</f>
        <v/>
      </c>
      <c r="B3713" s="0" t="str">
        <f aca="false">IF('הדבקת לידים'!B3713="","",IF(ISNUMBER('הדבקת לידים'!B3713),IF(הגדרות!$E$3&gt;0,TEXT('הדבקת לידים'!B3713,REPT("0",הגדרות!$E$3)),TEXT('הדבקת לידים'!B3713,"0")),TRIM('הדבקת לידים'!B3713)))</f>
        <v/>
      </c>
      <c r="C3713" s="0" t="n">
        <f aca="false">IF(OR(A3713&lt;&gt;"",B3713&lt;&gt;""),1,0)</f>
        <v>0</v>
      </c>
      <c r="D3713" s="0" t="str">
        <f aca="false">IF(C3713=1,MOD(ABS(SIN(ROW()*12.9898+'הדבקת לידים'!$F$2*78.233+IFERROR(--RIGHT(A3713,6),LEN(A3713))*0.0137+IFERROR(--RIGHT(B3713,6),LEN(B3713))*0.0071))*43758.5453,1),"")</f>
        <v/>
      </c>
      <c r="E3713" s="0" t="str">
        <f aca="false">IF(C3713=1,INT(MOD(ABS(SIN(D3713*7919.123+ROW()*0.618+'הדבקת לידים'!$F$2*1.3))*43758.5453,1)*1000000)*10000+ROW(),"")</f>
        <v/>
      </c>
      <c r="F3713" s="0" t="str">
        <f aca="false">IF(E3713="","",RANK(E3713,$E$2:$E$5001,1))</f>
        <v/>
      </c>
      <c r="G3713" s="0" t="n">
        <f aca="false">IF(A3713="",0,IF(SUMPRODUCT(--($A$2:$A$5001=A3713))&gt;1,1,0))</f>
        <v>0</v>
      </c>
      <c r="H3713" s="0" t="n">
        <f aca="false">ROW()-1</f>
        <v>3712</v>
      </c>
      <c r="I3713" s="0" t="str">
        <f aca="false">IF(OR(הגדרות!$E$6=0,H3713&gt;הגדרות!$E$5),"",IF(H3713-1&lt;הגדרות!$E$8*(הגדרות!$E$7+1),INT((H3713-1)/(הגדרות!$E$7+1)),הגדרות!$E$8+INT((H3713-1-הגדרות!$E$8*(הגדרות!$E$7+1))/הגדרות!$E$7)))</f>
        <v/>
      </c>
      <c r="J3713" s="0" t="str">
        <f aca="false">IF(I3713="","",IF(H3713-1&lt;הגדרות!$E$8*(הגדרות!$E$7+1),MOD(H3713-1,הגדרות!$E$7+1),MOD(H3713-1-הגדרות!$E$8*(הגדרות!$E$7+1),הגדרות!$E$7)))</f>
        <v/>
      </c>
      <c r="K3713" s="0" t="str">
        <f aca="false">IF(I3713="","",J3713*הגדרות!$E$6+I3713+1)</f>
        <v/>
      </c>
      <c r="L3713" s="0" t="str">
        <f aca="false">IF(K3713="","",MATCH(K3713,$F$2:$F$5001,0))</f>
        <v/>
      </c>
      <c r="M3713" s="0" t="str">
        <f aca="false">IF(I3713="","",INDEX(הגדרות!$A$2:$A$21,MOD(I3713+הגדרות!$E$9,הגדרות!$E$6)+1))</f>
        <v/>
      </c>
    </row>
    <row r="3714" customFormat="false" ht="15" hidden="false" customHeight="false" outlineLevel="0" collapsed="false">
      <c r="A3714" s="0" t="str">
        <f aca="false">IF('הדבקת לידים'!A3714="","",IF(ISNUMBER('הדבקת לידים'!A3714),IF(הגדרות!$E$2&gt;0,TEXT('הדבקת לידים'!A3714,REPT("0",הגדרות!$E$2)),TEXT('הדבקת לידים'!A3714,"0")),TRIM('הדבקת לידים'!A3714)))</f>
        <v/>
      </c>
      <c r="B3714" s="0" t="str">
        <f aca="false">IF('הדבקת לידים'!B3714="","",IF(ISNUMBER('הדבקת לידים'!B3714),IF(הגדרות!$E$3&gt;0,TEXT('הדבקת לידים'!B3714,REPT("0",הגדרות!$E$3)),TEXT('הדבקת לידים'!B3714,"0")),TRIM('הדבקת לידים'!B3714)))</f>
        <v/>
      </c>
      <c r="C3714" s="0" t="n">
        <f aca="false">IF(OR(A3714&lt;&gt;"",B3714&lt;&gt;""),1,0)</f>
        <v>0</v>
      </c>
      <c r="D3714" s="0" t="str">
        <f aca="false">IF(C3714=1,MOD(ABS(SIN(ROW()*12.9898+'הדבקת לידים'!$F$2*78.233+IFERROR(--RIGHT(A3714,6),LEN(A3714))*0.0137+IFERROR(--RIGHT(B3714,6),LEN(B3714))*0.0071))*43758.5453,1),"")</f>
        <v/>
      </c>
      <c r="E3714" s="0" t="str">
        <f aca="false">IF(C3714=1,INT(MOD(ABS(SIN(D3714*7919.123+ROW()*0.618+'הדבקת לידים'!$F$2*1.3))*43758.5453,1)*1000000)*10000+ROW(),"")</f>
        <v/>
      </c>
      <c r="F3714" s="0" t="str">
        <f aca="false">IF(E3714="","",RANK(E3714,$E$2:$E$5001,1))</f>
        <v/>
      </c>
      <c r="G3714" s="0" t="n">
        <f aca="false">IF(A3714="",0,IF(SUMPRODUCT(--($A$2:$A$5001=A3714))&gt;1,1,0))</f>
        <v>0</v>
      </c>
      <c r="H3714" s="0" t="n">
        <f aca="false">ROW()-1</f>
        <v>3713</v>
      </c>
      <c r="I3714" s="0" t="str">
        <f aca="false">IF(OR(הגדרות!$E$6=0,H3714&gt;הגדרות!$E$5),"",IF(H3714-1&lt;הגדרות!$E$8*(הגדרות!$E$7+1),INT((H3714-1)/(הגדרות!$E$7+1)),הגדרות!$E$8+INT((H3714-1-הגדרות!$E$8*(הגדרות!$E$7+1))/הגדרות!$E$7)))</f>
        <v/>
      </c>
      <c r="J3714" s="0" t="str">
        <f aca="false">IF(I3714="","",IF(H3714-1&lt;הגדרות!$E$8*(הגדרות!$E$7+1),MOD(H3714-1,הגדרות!$E$7+1),MOD(H3714-1-הגדרות!$E$8*(הגדרות!$E$7+1),הגדרות!$E$7)))</f>
        <v/>
      </c>
      <c r="K3714" s="0" t="str">
        <f aca="false">IF(I3714="","",J3714*הגדרות!$E$6+I3714+1)</f>
        <v/>
      </c>
      <c r="L3714" s="0" t="str">
        <f aca="false">IF(K3714="","",MATCH(K3714,$F$2:$F$5001,0))</f>
        <v/>
      </c>
      <c r="M3714" s="0" t="str">
        <f aca="false">IF(I3714="","",INDEX(הגדרות!$A$2:$A$21,MOD(I3714+הגדרות!$E$9,הגדרות!$E$6)+1))</f>
        <v/>
      </c>
    </row>
    <row r="3715" customFormat="false" ht="15" hidden="false" customHeight="false" outlineLevel="0" collapsed="false">
      <c r="A3715" s="0" t="str">
        <f aca="false">IF('הדבקת לידים'!A3715="","",IF(ISNUMBER('הדבקת לידים'!A3715),IF(הגדרות!$E$2&gt;0,TEXT('הדבקת לידים'!A3715,REPT("0",הגדרות!$E$2)),TEXT('הדבקת לידים'!A3715,"0")),TRIM('הדבקת לידים'!A3715)))</f>
        <v/>
      </c>
      <c r="B3715" s="0" t="str">
        <f aca="false">IF('הדבקת לידים'!B3715="","",IF(ISNUMBER('הדבקת לידים'!B3715),IF(הגדרות!$E$3&gt;0,TEXT('הדבקת לידים'!B3715,REPT("0",הגדרות!$E$3)),TEXT('הדבקת לידים'!B3715,"0")),TRIM('הדבקת לידים'!B3715)))</f>
        <v/>
      </c>
      <c r="C3715" s="0" t="n">
        <f aca="false">IF(OR(A3715&lt;&gt;"",B3715&lt;&gt;""),1,0)</f>
        <v>0</v>
      </c>
      <c r="D3715" s="0" t="str">
        <f aca="false">IF(C3715=1,MOD(ABS(SIN(ROW()*12.9898+'הדבקת לידים'!$F$2*78.233+IFERROR(--RIGHT(A3715,6),LEN(A3715))*0.0137+IFERROR(--RIGHT(B3715,6),LEN(B3715))*0.0071))*43758.5453,1),"")</f>
        <v/>
      </c>
      <c r="E3715" s="0" t="str">
        <f aca="false">IF(C3715=1,INT(MOD(ABS(SIN(D3715*7919.123+ROW()*0.618+'הדבקת לידים'!$F$2*1.3))*43758.5453,1)*1000000)*10000+ROW(),"")</f>
        <v/>
      </c>
      <c r="F3715" s="0" t="str">
        <f aca="false">IF(E3715="","",RANK(E3715,$E$2:$E$5001,1))</f>
        <v/>
      </c>
      <c r="G3715" s="0" t="n">
        <f aca="false">IF(A3715="",0,IF(SUMPRODUCT(--($A$2:$A$5001=A3715))&gt;1,1,0))</f>
        <v>0</v>
      </c>
      <c r="H3715" s="0" t="n">
        <f aca="false">ROW()-1</f>
        <v>3714</v>
      </c>
      <c r="I3715" s="0" t="str">
        <f aca="false">IF(OR(הגדרות!$E$6=0,H3715&gt;הגדרות!$E$5),"",IF(H3715-1&lt;הגדרות!$E$8*(הגדרות!$E$7+1),INT((H3715-1)/(הגדרות!$E$7+1)),הגדרות!$E$8+INT((H3715-1-הגדרות!$E$8*(הגדרות!$E$7+1))/הגדרות!$E$7)))</f>
        <v/>
      </c>
      <c r="J3715" s="0" t="str">
        <f aca="false">IF(I3715="","",IF(H3715-1&lt;הגדרות!$E$8*(הגדרות!$E$7+1),MOD(H3715-1,הגדרות!$E$7+1),MOD(H3715-1-הגדרות!$E$8*(הגדרות!$E$7+1),הגדרות!$E$7)))</f>
        <v/>
      </c>
      <c r="K3715" s="0" t="str">
        <f aca="false">IF(I3715="","",J3715*הגדרות!$E$6+I3715+1)</f>
        <v/>
      </c>
      <c r="L3715" s="0" t="str">
        <f aca="false">IF(K3715="","",MATCH(K3715,$F$2:$F$5001,0))</f>
        <v/>
      </c>
      <c r="M3715" s="0" t="str">
        <f aca="false">IF(I3715="","",INDEX(הגדרות!$A$2:$A$21,MOD(I3715+הגדרות!$E$9,הגדרות!$E$6)+1))</f>
        <v/>
      </c>
    </row>
    <row r="3716" customFormat="false" ht="15" hidden="false" customHeight="false" outlineLevel="0" collapsed="false">
      <c r="A3716" s="0" t="str">
        <f aca="false">IF('הדבקת לידים'!A3716="","",IF(ISNUMBER('הדבקת לידים'!A3716),IF(הגדרות!$E$2&gt;0,TEXT('הדבקת לידים'!A3716,REPT("0",הגדרות!$E$2)),TEXT('הדבקת לידים'!A3716,"0")),TRIM('הדבקת לידים'!A3716)))</f>
        <v/>
      </c>
      <c r="B3716" s="0" t="str">
        <f aca="false">IF('הדבקת לידים'!B3716="","",IF(ISNUMBER('הדבקת לידים'!B3716),IF(הגדרות!$E$3&gt;0,TEXT('הדבקת לידים'!B3716,REPT("0",הגדרות!$E$3)),TEXT('הדבקת לידים'!B3716,"0")),TRIM('הדבקת לידים'!B3716)))</f>
        <v/>
      </c>
      <c r="C3716" s="0" t="n">
        <f aca="false">IF(OR(A3716&lt;&gt;"",B3716&lt;&gt;""),1,0)</f>
        <v>0</v>
      </c>
      <c r="D3716" s="0" t="str">
        <f aca="false">IF(C3716=1,MOD(ABS(SIN(ROW()*12.9898+'הדבקת לידים'!$F$2*78.233+IFERROR(--RIGHT(A3716,6),LEN(A3716))*0.0137+IFERROR(--RIGHT(B3716,6),LEN(B3716))*0.0071))*43758.5453,1),"")</f>
        <v/>
      </c>
      <c r="E3716" s="0" t="str">
        <f aca="false">IF(C3716=1,INT(MOD(ABS(SIN(D3716*7919.123+ROW()*0.618+'הדבקת לידים'!$F$2*1.3))*43758.5453,1)*1000000)*10000+ROW(),"")</f>
        <v/>
      </c>
      <c r="F3716" s="0" t="str">
        <f aca="false">IF(E3716="","",RANK(E3716,$E$2:$E$5001,1))</f>
        <v/>
      </c>
      <c r="G3716" s="0" t="n">
        <f aca="false">IF(A3716="",0,IF(SUMPRODUCT(--($A$2:$A$5001=A3716))&gt;1,1,0))</f>
        <v>0</v>
      </c>
      <c r="H3716" s="0" t="n">
        <f aca="false">ROW()-1</f>
        <v>3715</v>
      </c>
      <c r="I3716" s="0" t="str">
        <f aca="false">IF(OR(הגדרות!$E$6=0,H3716&gt;הגדרות!$E$5),"",IF(H3716-1&lt;הגדרות!$E$8*(הגדרות!$E$7+1),INT((H3716-1)/(הגדרות!$E$7+1)),הגדרות!$E$8+INT((H3716-1-הגדרות!$E$8*(הגדרות!$E$7+1))/הגדרות!$E$7)))</f>
        <v/>
      </c>
      <c r="J3716" s="0" t="str">
        <f aca="false">IF(I3716="","",IF(H3716-1&lt;הגדרות!$E$8*(הגדרות!$E$7+1),MOD(H3716-1,הגדרות!$E$7+1),MOD(H3716-1-הגדרות!$E$8*(הגדרות!$E$7+1),הגדרות!$E$7)))</f>
        <v/>
      </c>
      <c r="K3716" s="0" t="str">
        <f aca="false">IF(I3716="","",J3716*הגדרות!$E$6+I3716+1)</f>
        <v/>
      </c>
      <c r="L3716" s="0" t="str">
        <f aca="false">IF(K3716="","",MATCH(K3716,$F$2:$F$5001,0))</f>
        <v/>
      </c>
      <c r="M3716" s="0" t="str">
        <f aca="false">IF(I3716="","",INDEX(הגדרות!$A$2:$A$21,MOD(I3716+הגדרות!$E$9,הגדרות!$E$6)+1))</f>
        <v/>
      </c>
    </row>
    <row r="3717" customFormat="false" ht="15" hidden="false" customHeight="false" outlineLevel="0" collapsed="false">
      <c r="A3717" s="0" t="str">
        <f aca="false">IF('הדבקת לידים'!A3717="","",IF(ISNUMBER('הדבקת לידים'!A3717),IF(הגדרות!$E$2&gt;0,TEXT('הדבקת לידים'!A3717,REPT("0",הגדרות!$E$2)),TEXT('הדבקת לידים'!A3717,"0")),TRIM('הדבקת לידים'!A3717)))</f>
        <v/>
      </c>
      <c r="B3717" s="0" t="str">
        <f aca="false">IF('הדבקת לידים'!B3717="","",IF(ISNUMBER('הדבקת לידים'!B3717),IF(הגדרות!$E$3&gt;0,TEXT('הדבקת לידים'!B3717,REPT("0",הגדרות!$E$3)),TEXT('הדבקת לידים'!B3717,"0")),TRIM('הדבקת לידים'!B3717)))</f>
        <v/>
      </c>
      <c r="C3717" s="0" t="n">
        <f aca="false">IF(OR(A3717&lt;&gt;"",B3717&lt;&gt;""),1,0)</f>
        <v>0</v>
      </c>
      <c r="D3717" s="0" t="str">
        <f aca="false">IF(C3717=1,MOD(ABS(SIN(ROW()*12.9898+'הדבקת לידים'!$F$2*78.233+IFERROR(--RIGHT(A3717,6),LEN(A3717))*0.0137+IFERROR(--RIGHT(B3717,6),LEN(B3717))*0.0071))*43758.5453,1),"")</f>
        <v/>
      </c>
      <c r="E3717" s="0" t="str">
        <f aca="false">IF(C3717=1,INT(MOD(ABS(SIN(D3717*7919.123+ROW()*0.618+'הדבקת לידים'!$F$2*1.3))*43758.5453,1)*1000000)*10000+ROW(),"")</f>
        <v/>
      </c>
      <c r="F3717" s="0" t="str">
        <f aca="false">IF(E3717="","",RANK(E3717,$E$2:$E$5001,1))</f>
        <v/>
      </c>
      <c r="G3717" s="0" t="n">
        <f aca="false">IF(A3717="",0,IF(SUMPRODUCT(--($A$2:$A$5001=A3717))&gt;1,1,0))</f>
        <v>0</v>
      </c>
      <c r="H3717" s="0" t="n">
        <f aca="false">ROW()-1</f>
        <v>3716</v>
      </c>
      <c r="I3717" s="0" t="str">
        <f aca="false">IF(OR(הגדרות!$E$6=0,H3717&gt;הגדרות!$E$5),"",IF(H3717-1&lt;הגדרות!$E$8*(הגדרות!$E$7+1),INT((H3717-1)/(הגדרות!$E$7+1)),הגדרות!$E$8+INT((H3717-1-הגדרות!$E$8*(הגדרות!$E$7+1))/הגדרות!$E$7)))</f>
        <v/>
      </c>
      <c r="J3717" s="0" t="str">
        <f aca="false">IF(I3717="","",IF(H3717-1&lt;הגדרות!$E$8*(הגדרות!$E$7+1),MOD(H3717-1,הגדרות!$E$7+1),MOD(H3717-1-הגדרות!$E$8*(הגדרות!$E$7+1),הגדרות!$E$7)))</f>
        <v/>
      </c>
      <c r="K3717" s="0" t="str">
        <f aca="false">IF(I3717="","",J3717*הגדרות!$E$6+I3717+1)</f>
        <v/>
      </c>
      <c r="L3717" s="0" t="str">
        <f aca="false">IF(K3717="","",MATCH(K3717,$F$2:$F$5001,0))</f>
        <v/>
      </c>
      <c r="M3717" s="0" t="str">
        <f aca="false">IF(I3717="","",INDEX(הגדרות!$A$2:$A$21,MOD(I3717+הגדרות!$E$9,הגדרות!$E$6)+1))</f>
        <v/>
      </c>
    </row>
    <row r="3718" customFormat="false" ht="15" hidden="false" customHeight="false" outlineLevel="0" collapsed="false">
      <c r="A3718" s="0" t="str">
        <f aca="false">IF('הדבקת לידים'!A3718="","",IF(ISNUMBER('הדבקת לידים'!A3718),IF(הגדרות!$E$2&gt;0,TEXT('הדבקת לידים'!A3718,REPT("0",הגדרות!$E$2)),TEXT('הדבקת לידים'!A3718,"0")),TRIM('הדבקת לידים'!A3718)))</f>
        <v/>
      </c>
      <c r="B3718" s="0" t="str">
        <f aca="false">IF('הדבקת לידים'!B3718="","",IF(ISNUMBER('הדבקת לידים'!B3718),IF(הגדרות!$E$3&gt;0,TEXT('הדבקת לידים'!B3718,REPT("0",הגדרות!$E$3)),TEXT('הדבקת לידים'!B3718,"0")),TRIM('הדבקת לידים'!B3718)))</f>
        <v/>
      </c>
      <c r="C3718" s="0" t="n">
        <f aca="false">IF(OR(A3718&lt;&gt;"",B3718&lt;&gt;""),1,0)</f>
        <v>0</v>
      </c>
      <c r="D3718" s="0" t="str">
        <f aca="false">IF(C3718=1,MOD(ABS(SIN(ROW()*12.9898+'הדבקת לידים'!$F$2*78.233+IFERROR(--RIGHT(A3718,6),LEN(A3718))*0.0137+IFERROR(--RIGHT(B3718,6),LEN(B3718))*0.0071))*43758.5453,1),"")</f>
        <v/>
      </c>
      <c r="E3718" s="0" t="str">
        <f aca="false">IF(C3718=1,INT(MOD(ABS(SIN(D3718*7919.123+ROW()*0.618+'הדבקת לידים'!$F$2*1.3))*43758.5453,1)*1000000)*10000+ROW(),"")</f>
        <v/>
      </c>
      <c r="F3718" s="0" t="str">
        <f aca="false">IF(E3718="","",RANK(E3718,$E$2:$E$5001,1))</f>
        <v/>
      </c>
      <c r="G3718" s="0" t="n">
        <f aca="false">IF(A3718="",0,IF(SUMPRODUCT(--($A$2:$A$5001=A3718))&gt;1,1,0))</f>
        <v>0</v>
      </c>
      <c r="H3718" s="0" t="n">
        <f aca="false">ROW()-1</f>
        <v>3717</v>
      </c>
      <c r="I3718" s="0" t="str">
        <f aca="false">IF(OR(הגדרות!$E$6=0,H3718&gt;הגדרות!$E$5),"",IF(H3718-1&lt;הגדרות!$E$8*(הגדרות!$E$7+1),INT((H3718-1)/(הגדרות!$E$7+1)),הגדרות!$E$8+INT((H3718-1-הגדרות!$E$8*(הגדרות!$E$7+1))/הגדרות!$E$7)))</f>
        <v/>
      </c>
      <c r="J3718" s="0" t="str">
        <f aca="false">IF(I3718="","",IF(H3718-1&lt;הגדרות!$E$8*(הגדרות!$E$7+1),MOD(H3718-1,הגדרות!$E$7+1),MOD(H3718-1-הגדרות!$E$8*(הגדרות!$E$7+1),הגדרות!$E$7)))</f>
        <v/>
      </c>
      <c r="K3718" s="0" t="str">
        <f aca="false">IF(I3718="","",J3718*הגדרות!$E$6+I3718+1)</f>
        <v/>
      </c>
      <c r="L3718" s="0" t="str">
        <f aca="false">IF(K3718="","",MATCH(K3718,$F$2:$F$5001,0))</f>
        <v/>
      </c>
      <c r="M3718" s="0" t="str">
        <f aca="false">IF(I3718="","",INDEX(הגדרות!$A$2:$A$21,MOD(I3718+הגדרות!$E$9,הגדרות!$E$6)+1))</f>
        <v/>
      </c>
    </row>
    <row r="3719" customFormat="false" ht="15" hidden="false" customHeight="false" outlineLevel="0" collapsed="false">
      <c r="A3719" s="0" t="str">
        <f aca="false">IF('הדבקת לידים'!A3719="","",IF(ISNUMBER('הדבקת לידים'!A3719),IF(הגדרות!$E$2&gt;0,TEXT('הדבקת לידים'!A3719,REPT("0",הגדרות!$E$2)),TEXT('הדבקת לידים'!A3719,"0")),TRIM('הדבקת לידים'!A3719)))</f>
        <v/>
      </c>
      <c r="B3719" s="0" t="str">
        <f aca="false">IF('הדבקת לידים'!B3719="","",IF(ISNUMBER('הדבקת לידים'!B3719),IF(הגדרות!$E$3&gt;0,TEXT('הדבקת לידים'!B3719,REPT("0",הגדרות!$E$3)),TEXT('הדבקת לידים'!B3719,"0")),TRIM('הדבקת לידים'!B3719)))</f>
        <v/>
      </c>
      <c r="C3719" s="0" t="n">
        <f aca="false">IF(OR(A3719&lt;&gt;"",B3719&lt;&gt;""),1,0)</f>
        <v>0</v>
      </c>
      <c r="D3719" s="0" t="str">
        <f aca="false">IF(C3719=1,MOD(ABS(SIN(ROW()*12.9898+'הדבקת לידים'!$F$2*78.233+IFERROR(--RIGHT(A3719,6),LEN(A3719))*0.0137+IFERROR(--RIGHT(B3719,6),LEN(B3719))*0.0071))*43758.5453,1),"")</f>
        <v/>
      </c>
      <c r="E3719" s="0" t="str">
        <f aca="false">IF(C3719=1,INT(MOD(ABS(SIN(D3719*7919.123+ROW()*0.618+'הדבקת לידים'!$F$2*1.3))*43758.5453,1)*1000000)*10000+ROW(),"")</f>
        <v/>
      </c>
      <c r="F3719" s="0" t="str">
        <f aca="false">IF(E3719="","",RANK(E3719,$E$2:$E$5001,1))</f>
        <v/>
      </c>
      <c r="G3719" s="0" t="n">
        <f aca="false">IF(A3719="",0,IF(SUMPRODUCT(--($A$2:$A$5001=A3719))&gt;1,1,0))</f>
        <v>0</v>
      </c>
      <c r="H3719" s="0" t="n">
        <f aca="false">ROW()-1</f>
        <v>3718</v>
      </c>
      <c r="I3719" s="0" t="str">
        <f aca="false">IF(OR(הגדרות!$E$6=0,H3719&gt;הגדרות!$E$5),"",IF(H3719-1&lt;הגדרות!$E$8*(הגדרות!$E$7+1),INT((H3719-1)/(הגדרות!$E$7+1)),הגדרות!$E$8+INT((H3719-1-הגדרות!$E$8*(הגדרות!$E$7+1))/הגדרות!$E$7)))</f>
        <v/>
      </c>
      <c r="J3719" s="0" t="str">
        <f aca="false">IF(I3719="","",IF(H3719-1&lt;הגדרות!$E$8*(הגדרות!$E$7+1),MOD(H3719-1,הגדרות!$E$7+1),MOD(H3719-1-הגדרות!$E$8*(הגדרות!$E$7+1),הגדרות!$E$7)))</f>
        <v/>
      </c>
      <c r="K3719" s="0" t="str">
        <f aca="false">IF(I3719="","",J3719*הגדרות!$E$6+I3719+1)</f>
        <v/>
      </c>
      <c r="L3719" s="0" t="str">
        <f aca="false">IF(K3719="","",MATCH(K3719,$F$2:$F$5001,0))</f>
        <v/>
      </c>
      <c r="M3719" s="0" t="str">
        <f aca="false">IF(I3719="","",INDEX(הגדרות!$A$2:$A$21,MOD(I3719+הגדרות!$E$9,הגדרות!$E$6)+1))</f>
        <v/>
      </c>
    </row>
    <row r="3720" customFormat="false" ht="15" hidden="false" customHeight="false" outlineLevel="0" collapsed="false">
      <c r="A3720" s="0" t="str">
        <f aca="false">IF('הדבקת לידים'!A3720="","",IF(ISNUMBER('הדבקת לידים'!A3720),IF(הגדרות!$E$2&gt;0,TEXT('הדבקת לידים'!A3720,REPT("0",הגדרות!$E$2)),TEXT('הדבקת לידים'!A3720,"0")),TRIM('הדבקת לידים'!A3720)))</f>
        <v/>
      </c>
      <c r="B3720" s="0" t="str">
        <f aca="false">IF('הדבקת לידים'!B3720="","",IF(ISNUMBER('הדבקת לידים'!B3720),IF(הגדרות!$E$3&gt;0,TEXT('הדבקת לידים'!B3720,REPT("0",הגדרות!$E$3)),TEXT('הדבקת לידים'!B3720,"0")),TRIM('הדבקת לידים'!B3720)))</f>
        <v/>
      </c>
      <c r="C3720" s="0" t="n">
        <f aca="false">IF(OR(A3720&lt;&gt;"",B3720&lt;&gt;""),1,0)</f>
        <v>0</v>
      </c>
      <c r="D3720" s="0" t="str">
        <f aca="false">IF(C3720=1,MOD(ABS(SIN(ROW()*12.9898+'הדבקת לידים'!$F$2*78.233+IFERROR(--RIGHT(A3720,6),LEN(A3720))*0.0137+IFERROR(--RIGHT(B3720,6),LEN(B3720))*0.0071))*43758.5453,1),"")</f>
        <v/>
      </c>
      <c r="E3720" s="0" t="str">
        <f aca="false">IF(C3720=1,INT(MOD(ABS(SIN(D3720*7919.123+ROW()*0.618+'הדבקת לידים'!$F$2*1.3))*43758.5453,1)*1000000)*10000+ROW(),"")</f>
        <v/>
      </c>
      <c r="F3720" s="0" t="str">
        <f aca="false">IF(E3720="","",RANK(E3720,$E$2:$E$5001,1))</f>
        <v/>
      </c>
      <c r="G3720" s="0" t="n">
        <f aca="false">IF(A3720="",0,IF(SUMPRODUCT(--($A$2:$A$5001=A3720))&gt;1,1,0))</f>
        <v>0</v>
      </c>
      <c r="H3720" s="0" t="n">
        <f aca="false">ROW()-1</f>
        <v>3719</v>
      </c>
      <c r="I3720" s="0" t="str">
        <f aca="false">IF(OR(הגדרות!$E$6=0,H3720&gt;הגדרות!$E$5),"",IF(H3720-1&lt;הגדרות!$E$8*(הגדרות!$E$7+1),INT((H3720-1)/(הגדרות!$E$7+1)),הגדרות!$E$8+INT((H3720-1-הגדרות!$E$8*(הגדרות!$E$7+1))/הגדרות!$E$7)))</f>
        <v/>
      </c>
      <c r="J3720" s="0" t="str">
        <f aca="false">IF(I3720="","",IF(H3720-1&lt;הגדרות!$E$8*(הגדרות!$E$7+1),MOD(H3720-1,הגדרות!$E$7+1),MOD(H3720-1-הגדרות!$E$8*(הגדרות!$E$7+1),הגדרות!$E$7)))</f>
        <v/>
      </c>
      <c r="K3720" s="0" t="str">
        <f aca="false">IF(I3720="","",J3720*הגדרות!$E$6+I3720+1)</f>
        <v/>
      </c>
      <c r="L3720" s="0" t="str">
        <f aca="false">IF(K3720="","",MATCH(K3720,$F$2:$F$5001,0))</f>
        <v/>
      </c>
      <c r="M3720" s="0" t="str">
        <f aca="false">IF(I3720="","",INDEX(הגדרות!$A$2:$A$21,MOD(I3720+הגדרות!$E$9,הגדרות!$E$6)+1))</f>
        <v/>
      </c>
    </row>
    <row r="3721" customFormat="false" ht="15" hidden="false" customHeight="false" outlineLevel="0" collapsed="false">
      <c r="A3721" s="0" t="str">
        <f aca="false">IF('הדבקת לידים'!A3721="","",IF(ISNUMBER('הדבקת לידים'!A3721),IF(הגדרות!$E$2&gt;0,TEXT('הדבקת לידים'!A3721,REPT("0",הגדרות!$E$2)),TEXT('הדבקת לידים'!A3721,"0")),TRIM('הדבקת לידים'!A3721)))</f>
        <v/>
      </c>
      <c r="B3721" s="0" t="str">
        <f aca="false">IF('הדבקת לידים'!B3721="","",IF(ISNUMBER('הדבקת לידים'!B3721),IF(הגדרות!$E$3&gt;0,TEXT('הדבקת לידים'!B3721,REPT("0",הגדרות!$E$3)),TEXT('הדבקת לידים'!B3721,"0")),TRIM('הדבקת לידים'!B3721)))</f>
        <v/>
      </c>
      <c r="C3721" s="0" t="n">
        <f aca="false">IF(OR(A3721&lt;&gt;"",B3721&lt;&gt;""),1,0)</f>
        <v>0</v>
      </c>
      <c r="D3721" s="0" t="str">
        <f aca="false">IF(C3721=1,MOD(ABS(SIN(ROW()*12.9898+'הדבקת לידים'!$F$2*78.233+IFERROR(--RIGHT(A3721,6),LEN(A3721))*0.0137+IFERROR(--RIGHT(B3721,6),LEN(B3721))*0.0071))*43758.5453,1),"")</f>
        <v/>
      </c>
      <c r="E3721" s="0" t="str">
        <f aca="false">IF(C3721=1,INT(MOD(ABS(SIN(D3721*7919.123+ROW()*0.618+'הדבקת לידים'!$F$2*1.3))*43758.5453,1)*1000000)*10000+ROW(),"")</f>
        <v/>
      </c>
      <c r="F3721" s="0" t="str">
        <f aca="false">IF(E3721="","",RANK(E3721,$E$2:$E$5001,1))</f>
        <v/>
      </c>
      <c r="G3721" s="0" t="n">
        <f aca="false">IF(A3721="",0,IF(SUMPRODUCT(--($A$2:$A$5001=A3721))&gt;1,1,0))</f>
        <v>0</v>
      </c>
      <c r="H3721" s="0" t="n">
        <f aca="false">ROW()-1</f>
        <v>3720</v>
      </c>
      <c r="I3721" s="0" t="str">
        <f aca="false">IF(OR(הגדרות!$E$6=0,H3721&gt;הגדרות!$E$5),"",IF(H3721-1&lt;הגדרות!$E$8*(הגדרות!$E$7+1),INT((H3721-1)/(הגדרות!$E$7+1)),הגדרות!$E$8+INT((H3721-1-הגדרות!$E$8*(הגדרות!$E$7+1))/הגדרות!$E$7)))</f>
        <v/>
      </c>
      <c r="J3721" s="0" t="str">
        <f aca="false">IF(I3721="","",IF(H3721-1&lt;הגדרות!$E$8*(הגדרות!$E$7+1),MOD(H3721-1,הגדרות!$E$7+1),MOD(H3721-1-הגדרות!$E$8*(הגדרות!$E$7+1),הגדרות!$E$7)))</f>
        <v/>
      </c>
      <c r="K3721" s="0" t="str">
        <f aca="false">IF(I3721="","",J3721*הגדרות!$E$6+I3721+1)</f>
        <v/>
      </c>
      <c r="L3721" s="0" t="str">
        <f aca="false">IF(K3721="","",MATCH(K3721,$F$2:$F$5001,0))</f>
        <v/>
      </c>
      <c r="M3721" s="0" t="str">
        <f aca="false">IF(I3721="","",INDEX(הגדרות!$A$2:$A$21,MOD(I3721+הגדרות!$E$9,הגדרות!$E$6)+1))</f>
        <v/>
      </c>
    </row>
    <row r="3722" customFormat="false" ht="15" hidden="false" customHeight="false" outlineLevel="0" collapsed="false">
      <c r="A3722" s="0" t="str">
        <f aca="false">IF('הדבקת לידים'!A3722="","",IF(ISNUMBER('הדבקת לידים'!A3722),IF(הגדרות!$E$2&gt;0,TEXT('הדבקת לידים'!A3722,REPT("0",הגדרות!$E$2)),TEXT('הדבקת לידים'!A3722,"0")),TRIM('הדבקת לידים'!A3722)))</f>
        <v/>
      </c>
      <c r="B3722" s="0" t="str">
        <f aca="false">IF('הדבקת לידים'!B3722="","",IF(ISNUMBER('הדבקת לידים'!B3722),IF(הגדרות!$E$3&gt;0,TEXT('הדבקת לידים'!B3722,REPT("0",הגדרות!$E$3)),TEXT('הדבקת לידים'!B3722,"0")),TRIM('הדבקת לידים'!B3722)))</f>
        <v/>
      </c>
      <c r="C3722" s="0" t="n">
        <f aca="false">IF(OR(A3722&lt;&gt;"",B3722&lt;&gt;""),1,0)</f>
        <v>0</v>
      </c>
      <c r="D3722" s="0" t="str">
        <f aca="false">IF(C3722=1,MOD(ABS(SIN(ROW()*12.9898+'הדבקת לידים'!$F$2*78.233+IFERROR(--RIGHT(A3722,6),LEN(A3722))*0.0137+IFERROR(--RIGHT(B3722,6),LEN(B3722))*0.0071))*43758.5453,1),"")</f>
        <v/>
      </c>
      <c r="E3722" s="0" t="str">
        <f aca="false">IF(C3722=1,INT(MOD(ABS(SIN(D3722*7919.123+ROW()*0.618+'הדבקת לידים'!$F$2*1.3))*43758.5453,1)*1000000)*10000+ROW(),"")</f>
        <v/>
      </c>
      <c r="F3722" s="0" t="str">
        <f aca="false">IF(E3722="","",RANK(E3722,$E$2:$E$5001,1))</f>
        <v/>
      </c>
      <c r="G3722" s="0" t="n">
        <f aca="false">IF(A3722="",0,IF(SUMPRODUCT(--($A$2:$A$5001=A3722))&gt;1,1,0))</f>
        <v>0</v>
      </c>
      <c r="H3722" s="0" t="n">
        <f aca="false">ROW()-1</f>
        <v>3721</v>
      </c>
      <c r="I3722" s="0" t="str">
        <f aca="false">IF(OR(הגדרות!$E$6=0,H3722&gt;הגדרות!$E$5),"",IF(H3722-1&lt;הגדרות!$E$8*(הגדרות!$E$7+1),INT((H3722-1)/(הגדרות!$E$7+1)),הגדרות!$E$8+INT((H3722-1-הגדרות!$E$8*(הגדרות!$E$7+1))/הגדרות!$E$7)))</f>
        <v/>
      </c>
      <c r="J3722" s="0" t="str">
        <f aca="false">IF(I3722="","",IF(H3722-1&lt;הגדרות!$E$8*(הגדרות!$E$7+1),MOD(H3722-1,הגדרות!$E$7+1),MOD(H3722-1-הגדרות!$E$8*(הגדרות!$E$7+1),הגדרות!$E$7)))</f>
        <v/>
      </c>
      <c r="K3722" s="0" t="str">
        <f aca="false">IF(I3722="","",J3722*הגדרות!$E$6+I3722+1)</f>
        <v/>
      </c>
      <c r="L3722" s="0" t="str">
        <f aca="false">IF(K3722="","",MATCH(K3722,$F$2:$F$5001,0))</f>
        <v/>
      </c>
      <c r="M3722" s="0" t="str">
        <f aca="false">IF(I3722="","",INDEX(הגדרות!$A$2:$A$21,MOD(I3722+הגדרות!$E$9,הגדרות!$E$6)+1))</f>
        <v/>
      </c>
    </row>
    <row r="3723" customFormat="false" ht="15" hidden="false" customHeight="false" outlineLevel="0" collapsed="false">
      <c r="A3723" s="0" t="str">
        <f aca="false">IF('הדבקת לידים'!A3723="","",IF(ISNUMBER('הדבקת לידים'!A3723),IF(הגדרות!$E$2&gt;0,TEXT('הדבקת לידים'!A3723,REPT("0",הגדרות!$E$2)),TEXT('הדבקת לידים'!A3723,"0")),TRIM('הדבקת לידים'!A3723)))</f>
        <v/>
      </c>
      <c r="B3723" s="0" t="str">
        <f aca="false">IF('הדבקת לידים'!B3723="","",IF(ISNUMBER('הדבקת לידים'!B3723),IF(הגדרות!$E$3&gt;0,TEXT('הדבקת לידים'!B3723,REPT("0",הגדרות!$E$3)),TEXT('הדבקת לידים'!B3723,"0")),TRIM('הדבקת לידים'!B3723)))</f>
        <v/>
      </c>
      <c r="C3723" s="0" t="n">
        <f aca="false">IF(OR(A3723&lt;&gt;"",B3723&lt;&gt;""),1,0)</f>
        <v>0</v>
      </c>
      <c r="D3723" s="0" t="str">
        <f aca="false">IF(C3723=1,MOD(ABS(SIN(ROW()*12.9898+'הדבקת לידים'!$F$2*78.233+IFERROR(--RIGHT(A3723,6),LEN(A3723))*0.0137+IFERROR(--RIGHT(B3723,6),LEN(B3723))*0.0071))*43758.5453,1),"")</f>
        <v/>
      </c>
      <c r="E3723" s="0" t="str">
        <f aca="false">IF(C3723=1,INT(MOD(ABS(SIN(D3723*7919.123+ROW()*0.618+'הדבקת לידים'!$F$2*1.3))*43758.5453,1)*1000000)*10000+ROW(),"")</f>
        <v/>
      </c>
      <c r="F3723" s="0" t="str">
        <f aca="false">IF(E3723="","",RANK(E3723,$E$2:$E$5001,1))</f>
        <v/>
      </c>
      <c r="G3723" s="0" t="n">
        <f aca="false">IF(A3723="",0,IF(SUMPRODUCT(--($A$2:$A$5001=A3723))&gt;1,1,0))</f>
        <v>0</v>
      </c>
      <c r="H3723" s="0" t="n">
        <f aca="false">ROW()-1</f>
        <v>3722</v>
      </c>
      <c r="I3723" s="0" t="str">
        <f aca="false">IF(OR(הגדרות!$E$6=0,H3723&gt;הגדרות!$E$5),"",IF(H3723-1&lt;הגדרות!$E$8*(הגדרות!$E$7+1),INT((H3723-1)/(הגדרות!$E$7+1)),הגדרות!$E$8+INT((H3723-1-הגדרות!$E$8*(הגדרות!$E$7+1))/הגדרות!$E$7)))</f>
        <v/>
      </c>
      <c r="J3723" s="0" t="str">
        <f aca="false">IF(I3723="","",IF(H3723-1&lt;הגדרות!$E$8*(הגדרות!$E$7+1),MOD(H3723-1,הגדרות!$E$7+1),MOD(H3723-1-הגדרות!$E$8*(הגדרות!$E$7+1),הגדרות!$E$7)))</f>
        <v/>
      </c>
      <c r="K3723" s="0" t="str">
        <f aca="false">IF(I3723="","",J3723*הגדרות!$E$6+I3723+1)</f>
        <v/>
      </c>
      <c r="L3723" s="0" t="str">
        <f aca="false">IF(K3723="","",MATCH(K3723,$F$2:$F$5001,0))</f>
        <v/>
      </c>
      <c r="M3723" s="0" t="str">
        <f aca="false">IF(I3723="","",INDEX(הגדרות!$A$2:$A$21,MOD(I3723+הגדרות!$E$9,הגדרות!$E$6)+1))</f>
        <v/>
      </c>
    </row>
    <row r="3724" customFormat="false" ht="15" hidden="false" customHeight="false" outlineLevel="0" collapsed="false">
      <c r="A3724" s="0" t="str">
        <f aca="false">IF('הדבקת לידים'!A3724="","",IF(ISNUMBER('הדבקת לידים'!A3724),IF(הגדרות!$E$2&gt;0,TEXT('הדבקת לידים'!A3724,REPT("0",הגדרות!$E$2)),TEXT('הדבקת לידים'!A3724,"0")),TRIM('הדבקת לידים'!A3724)))</f>
        <v/>
      </c>
      <c r="B3724" s="0" t="str">
        <f aca="false">IF('הדבקת לידים'!B3724="","",IF(ISNUMBER('הדבקת לידים'!B3724),IF(הגדרות!$E$3&gt;0,TEXT('הדבקת לידים'!B3724,REPT("0",הגדרות!$E$3)),TEXT('הדבקת לידים'!B3724,"0")),TRIM('הדבקת לידים'!B3724)))</f>
        <v/>
      </c>
      <c r="C3724" s="0" t="n">
        <f aca="false">IF(OR(A3724&lt;&gt;"",B3724&lt;&gt;""),1,0)</f>
        <v>0</v>
      </c>
      <c r="D3724" s="0" t="str">
        <f aca="false">IF(C3724=1,MOD(ABS(SIN(ROW()*12.9898+'הדבקת לידים'!$F$2*78.233+IFERROR(--RIGHT(A3724,6),LEN(A3724))*0.0137+IFERROR(--RIGHT(B3724,6),LEN(B3724))*0.0071))*43758.5453,1),"")</f>
        <v/>
      </c>
      <c r="E3724" s="0" t="str">
        <f aca="false">IF(C3724=1,INT(MOD(ABS(SIN(D3724*7919.123+ROW()*0.618+'הדבקת לידים'!$F$2*1.3))*43758.5453,1)*1000000)*10000+ROW(),"")</f>
        <v/>
      </c>
      <c r="F3724" s="0" t="str">
        <f aca="false">IF(E3724="","",RANK(E3724,$E$2:$E$5001,1))</f>
        <v/>
      </c>
      <c r="G3724" s="0" t="n">
        <f aca="false">IF(A3724="",0,IF(SUMPRODUCT(--($A$2:$A$5001=A3724))&gt;1,1,0))</f>
        <v>0</v>
      </c>
      <c r="H3724" s="0" t="n">
        <f aca="false">ROW()-1</f>
        <v>3723</v>
      </c>
      <c r="I3724" s="0" t="str">
        <f aca="false">IF(OR(הגדרות!$E$6=0,H3724&gt;הגדרות!$E$5),"",IF(H3724-1&lt;הגדרות!$E$8*(הגדרות!$E$7+1),INT((H3724-1)/(הגדרות!$E$7+1)),הגדרות!$E$8+INT((H3724-1-הגדרות!$E$8*(הגדרות!$E$7+1))/הגדרות!$E$7)))</f>
        <v/>
      </c>
      <c r="J3724" s="0" t="str">
        <f aca="false">IF(I3724="","",IF(H3724-1&lt;הגדרות!$E$8*(הגדרות!$E$7+1),MOD(H3724-1,הגדרות!$E$7+1),MOD(H3724-1-הגדרות!$E$8*(הגדרות!$E$7+1),הגדרות!$E$7)))</f>
        <v/>
      </c>
      <c r="K3724" s="0" t="str">
        <f aca="false">IF(I3724="","",J3724*הגדרות!$E$6+I3724+1)</f>
        <v/>
      </c>
      <c r="L3724" s="0" t="str">
        <f aca="false">IF(K3724="","",MATCH(K3724,$F$2:$F$5001,0))</f>
        <v/>
      </c>
      <c r="M3724" s="0" t="str">
        <f aca="false">IF(I3724="","",INDEX(הגדרות!$A$2:$A$21,MOD(I3724+הגדרות!$E$9,הגדרות!$E$6)+1))</f>
        <v/>
      </c>
    </row>
    <row r="3725" customFormat="false" ht="15" hidden="false" customHeight="false" outlineLevel="0" collapsed="false">
      <c r="A3725" s="0" t="str">
        <f aca="false">IF('הדבקת לידים'!A3725="","",IF(ISNUMBER('הדבקת לידים'!A3725),IF(הגדרות!$E$2&gt;0,TEXT('הדבקת לידים'!A3725,REPT("0",הגדרות!$E$2)),TEXT('הדבקת לידים'!A3725,"0")),TRIM('הדבקת לידים'!A3725)))</f>
        <v/>
      </c>
      <c r="B3725" s="0" t="str">
        <f aca="false">IF('הדבקת לידים'!B3725="","",IF(ISNUMBER('הדבקת לידים'!B3725),IF(הגדרות!$E$3&gt;0,TEXT('הדבקת לידים'!B3725,REPT("0",הגדרות!$E$3)),TEXT('הדבקת לידים'!B3725,"0")),TRIM('הדבקת לידים'!B3725)))</f>
        <v/>
      </c>
      <c r="C3725" s="0" t="n">
        <f aca="false">IF(OR(A3725&lt;&gt;"",B3725&lt;&gt;""),1,0)</f>
        <v>0</v>
      </c>
      <c r="D3725" s="0" t="str">
        <f aca="false">IF(C3725=1,MOD(ABS(SIN(ROW()*12.9898+'הדבקת לידים'!$F$2*78.233+IFERROR(--RIGHT(A3725,6),LEN(A3725))*0.0137+IFERROR(--RIGHT(B3725,6),LEN(B3725))*0.0071))*43758.5453,1),"")</f>
        <v/>
      </c>
      <c r="E3725" s="0" t="str">
        <f aca="false">IF(C3725=1,INT(MOD(ABS(SIN(D3725*7919.123+ROW()*0.618+'הדבקת לידים'!$F$2*1.3))*43758.5453,1)*1000000)*10000+ROW(),"")</f>
        <v/>
      </c>
      <c r="F3725" s="0" t="str">
        <f aca="false">IF(E3725="","",RANK(E3725,$E$2:$E$5001,1))</f>
        <v/>
      </c>
      <c r="G3725" s="0" t="n">
        <f aca="false">IF(A3725="",0,IF(SUMPRODUCT(--($A$2:$A$5001=A3725))&gt;1,1,0))</f>
        <v>0</v>
      </c>
      <c r="H3725" s="0" t="n">
        <f aca="false">ROW()-1</f>
        <v>3724</v>
      </c>
      <c r="I3725" s="0" t="str">
        <f aca="false">IF(OR(הגדרות!$E$6=0,H3725&gt;הגדרות!$E$5),"",IF(H3725-1&lt;הגדרות!$E$8*(הגדרות!$E$7+1),INT((H3725-1)/(הגדרות!$E$7+1)),הגדרות!$E$8+INT((H3725-1-הגדרות!$E$8*(הגדרות!$E$7+1))/הגדרות!$E$7)))</f>
        <v/>
      </c>
      <c r="J3725" s="0" t="str">
        <f aca="false">IF(I3725="","",IF(H3725-1&lt;הגדרות!$E$8*(הגדרות!$E$7+1),MOD(H3725-1,הגדרות!$E$7+1),MOD(H3725-1-הגדרות!$E$8*(הגדרות!$E$7+1),הגדרות!$E$7)))</f>
        <v/>
      </c>
      <c r="K3725" s="0" t="str">
        <f aca="false">IF(I3725="","",J3725*הגדרות!$E$6+I3725+1)</f>
        <v/>
      </c>
      <c r="L3725" s="0" t="str">
        <f aca="false">IF(K3725="","",MATCH(K3725,$F$2:$F$5001,0))</f>
        <v/>
      </c>
      <c r="M3725" s="0" t="str">
        <f aca="false">IF(I3725="","",INDEX(הגדרות!$A$2:$A$21,MOD(I3725+הגדרות!$E$9,הגדרות!$E$6)+1))</f>
        <v/>
      </c>
    </row>
    <row r="3726" customFormat="false" ht="15" hidden="false" customHeight="false" outlineLevel="0" collapsed="false">
      <c r="A3726" s="0" t="str">
        <f aca="false">IF('הדבקת לידים'!A3726="","",IF(ISNUMBER('הדבקת לידים'!A3726),IF(הגדרות!$E$2&gt;0,TEXT('הדבקת לידים'!A3726,REPT("0",הגדרות!$E$2)),TEXT('הדבקת לידים'!A3726,"0")),TRIM('הדבקת לידים'!A3726)))</f>
        <v/>
      </c>
      <c r="B3726" s="0" t="str">
        <f aca="false">IF('הדבקת לידים'!B3726="","",IF(ISNUMBER('הדבקת לידים'!B3726),IF(הגדרות!$E$3&gt;0,TEXT('הדבקת לידים'!B3726,REPT("0",הגדרות!$E$3)),TEXT('הדבקת לידים'!B3726,"0")),TRIM('הדבקת לידים'!B3726)))</f>
        <v/>
      </c>
      <c r="C3726" s="0" t="n">
        <f aca="false">IF(OR(A3726&lt;&gt;"",B3726&lt;&gt;""),1,0)</f>
        <v>0</v>
      </c>
      <c r="D3726" s="0" t="str">
        <f aca="false">IF(C3726=1,MOD(ABS(SIN(ROW()*12.9898+'הדבקת לידים'!$F$2*78.233+IFERROR(--RIGHT(A3726,6),LEN(A3726))*0.0137+IFERROR(--RIGHT(B3726,6),LEN(B3726))*0.0071))*43758.5453,1),"")</f>
        <v/>
      </c>
      <c r="E3726" s="0" t="str">
        <f aca="false">IF(C3726=1,INT(MOD(ABS(SIN(D3726*7919.123+ROW()*0.618+'הדבקת לידים'!$F$2*1.3))*43758.5453,1)*1000000)*10000+ROW(),"")</f>
        <v/>
      </c>
      <c r="F3726" s="0" t="str">
        <f aca="false">IF(E3726="","",RANK(E3726,$E$2:$E$5001,1))</f>
        <v/>
      </c>
      <c r="G3726" s="0" t="n">
        <f aca="false">IF(A3726="",0,IF(SUMPRODUCT(--($A$2:$A$5001=A3726))&gt;1,1,0))</f>
        <v>0</v>
      </c>
      <c r="H3726" s="0" t="n">
        <f aca="false">ROW()-1</f>
        <v>3725</v>
      </c>
      <c r="I3726" s="0" t="str">
        <f aca="false">IF(OR(הגדרות!$E$6=0,H3726&gt;הגדרות!$E$5),"",IF(H3726-1&lt;הגדרות!$E$8*(הגדרות!$E$7+1),INT((H3726-1)/(הגדרות!$E$7+1)),הגדרות!$E$8+INT((H3726-1-הגדרות!$E$8*(הגדרות!$E$7+1))/הגדרות!$E$7)))</f>
        <v/>
      </c>
      <c r="J3726" s="0" t="str">
        <f aca="false">IF(I3726="","",IF(H3726-1&lt;הגדרות!$E$8*(הגדרות!$E$7+1),MOD(H3726-1,הגדרות!$E$7+1),MOD(H3726-1-הגדרות!$E$8*(הגדרות!$E$7+1),הגדרות!$E$7)))</f>
        <v/>
      </c>
      <c r="K3726" s="0" t="str">
        <f aca="false">IF(I3726="","",J3726*הגדרות!$E$6+I3726+1)</f>
        <v/>
      </c>
      <c r="L3726" s="0" t="str">
        <f aca="false">IF(K3726="","",MATCH(K3726,$F$2:$F$5001,0))</f>
        <v/>
      </c>
      <c r="M3726" s="0" t="str">
        <f aca="false">IF(I3726="","",INDEX(הגדרות!$A$2:$A$21,MOD(I3726+הגדרות!$E$9,הגדרות!$E$6)+1))</f>
        <v/>
      </c>
    </row>
    <row r="3727" customFormat="false" ht="15" hidden="false" customHeight="false" outlineLevel="0" collapsed="false">
      <c r="A3727" s="0" t="str">
        <f aca="false">IF('הדבקת לידים'!A3727="","",IF(ISNUMBER('הדבקת לידים'!A3727),IF(הגדרות!$E$2&gt;0,TEXT('הדבקת לידים'!A3727,REPT("0",הגדרות!$E$2)),TEXT('הדבקת לידים'!A3727,"0")),TRIM('הדבקת לידים'!A3727)))</f>
        <v/>
      </c>
      <c r="B3727" s="0" t="str">
        <f aca="false">IF('הדבקת לידים'!B3727="","",IF(ISNUMBER('הדבקת לידים'!B3727),IF(הגדרות!$E$3&gt;0,TEXT('הדבקת לידים'!B3727,REPT("0",הגדרות!$E$3)),TEXT('הדבקת לידים'!B3727,"0")),TRIM('הדבקת לידים'!B3727)))</f>
        <v/>
      </c>
      <c r="C3727" s="0" t="n">
        <f aca="false">IF(OR(A3727&lt;&gt;"",B3727&lt;&gt;""),1,0)</f>
        <v>0</v>
      </c>
      <c r="D3727" s="0" t="str">
        <f aca="false">IF(C3727=1,MOD(ABS(SIN(ROW()*12.9898+'הדבקת לידים'!$F$2*78.233+IFERROR(--RIGHT(A3727,6),LEN(A3727))*0.0137+IFERROR(--RIGHT(B3727,6),LEN(B3727))*0.0071))*43758.5453,1),"")</f>
        <v/>
      </c>
      <c r="E3727" s="0" t="str">
        <f aca="false">IF(C3727=1,INT(MOD(ABS(SIN(D3727*7919.123+ROW()*0.618+'הדבקת לידים'!$F$2*1.3))*43758.5453,1)*1000000)*10000+ROW(),"")</f>
        <v/>
      </c>
      <c r="F3727" s="0" t="str">
        <f aca="false">IF(E3727="","",RANK(E3727,$E$2:$E$5001,1))</f>
        <v/>
      </c>
      <c r="G3727" s="0" t="n">
        <f aca="false">IF(A3727="",0,IF(SUMPRODUCT(--($A$2:$A$5001=A3727))&gt;1,1,0))</f>
        <v>0</v>
      </c>
      <c r="H3727" s="0" t="n">
        <f aca="false">ROW()-1</f>
        <v>3726</v>
      </c>
      <c r="I3727" s="0" t="str">
        <f aca="false">IF(OR(הגדרות!$E$6=0,H3727&gt;הגדרות!$E$5),"",IF(H3727-1&lt;הגדרות!$E$8*(הגדרות!$E$7+1),INT((H3727-1)/(הגדרות!$E$7+1)),הגדרות!$E$8+INT((H3727-1-הגדרות!$E$8*(הגדרות!$E$7+1))/הגדרות!$E$7)))</f>
        <v/>
      </c>
      <c r="J3727" s="0" t="str">
        <f aca="false">IF(I3727="","",IF(H3727-1&lt;הגדרות!$E$8*(הגדרות!$E$7+1),MOD(H3727-1,הגדרות!$E$7+1),MOD(H3727-1-הגדרות!$E$8*(הגדרות!$E$7+1),הגדרות!$E$7)))</f>
        <v/>
      </c>
      <c r="K3727" s="0" t="str">
        <f aca="false">IF(I3727="","",J3727*הגדרות!$E$6+I3727+1)</f>
        <v/>
      </c>
      <c r="L3727" s="0" t="str">
        <f aca="false">IF(K3727="","",MATCH(K3727,$F$2:$F$5001,0))</f>
        <v/>
      </c>
      <c r="M3727" s="0" t="str">
        <f aca="false">IF(I3727="","",INDEX(הגדרות!$A$2:$A$21,MOD(I3727+הגדרות!$E$9,הגדרות!$E$6)+1))</f>
        <v/>
      </c>
    </row>
    <row r="3728" customFormat="false" ht="15" hidden="false" customHeight="false" outlineLevel="0" collapsed="false">
      <c r="A3728" s="0" t="str">
        <f aca="false">IF('הדבקת לידים'!A3728="","",IF(ISNUMBER('הדבקת לידים'!A3728),IF(הגדרות!$E$2&gt;0,TEXT('הדבקת לידים'!A3728,REPT("0",הגדרות!$E$2)),TEXT('הדבקת לידים'!A3728,"0")),TRIM('הדבקת לידים'!A3728)))</f>
        <v/>
      </c>
      <c r="B3728" s="0" t="str">
        <f aca="false">IF('הדבקת לידים'!B3728="","",IF(ISNUMBER('הדבקת לידים'!B3728),IF(הגדרות!$E$3&gt;0,TEXT('הדבקת לידים'!B3728,REPT("0",הגדרות!$E$3)),TEXT('הדבקת לידים'!B3728,"0")),TRIM('הדבקת לידים'!B3728)))</f>
        <v/>
      </c>
      <c r="C3728" s="0" t="n">
        <f aca="false">IF(OR(A3728&lt;&gt;"",B3728&lt;&gt;""),1,0)</f>
        <v>0</v>
      </c>
      <c r="D3728" s="0" t="str">
        <f aca="false">IF(C3728=1,MOD(ABS(SIN(ROW()*12.9898+'הדבקת לידים'!$F$2*78.233+IFERROR(--RIGHT(A3728,6),LEN(A3728))*0.0137+IFERROR(--RIGHT(B3728,6),LEN(B3728))*0.0071))*43758.5453,1),"")</f>
        <v/>
      </c>
      <c r="E3728" s="0" t="str">
        <f aca="false">IF(C3728=1,INT(MOD(ABS(SIN(D3728*7919.123+ROW()*0.618+'הדבקת לידים'!$F$2*1.3))*43758.5453,1)*1000000)*10000+ROW(),"")</f>
        <v/>
      </c>
      <c r="F3728" s="0" t="str">
        <f aca="false">IF(E3728="","",RANK(E3728,$E$2:$E$5001,1))</f>
        <v/>
      </c>
      <c r="G3728" s="0" t="n">
        <f aca="false">IF(A3728="",0,IF(SUMPRODUCT(--($A$2:$A$5001=A3728))&gt;1,1,0))</f>
        <v>0</v>
      </c>
      <c r="H3728" s="0" t="n">
        <f aca="false">ROW()-1</f>
        <v>3727</v>
      </c>
      <c r="I3728" s="0" t="str">
        <f aca="false">IF(OR(הגדרות!$E$6=0,H3728&gt;הגדרות!$E$5),"",IF(H3728-1&lt;הגדרות!$E$8*(הגדרות!$E$7+1),INT((H3728-1)/(הגדרות!$E$7+1)),הגדרות!$E$8+INT((H3728-1-הגדרות!$E$8*(הגדרות!$E$7+1))/הגדרות!$E$7)))</f>
        <v/>
      </c>
      <c r="J3728" s="0" t="str">
        <f aca="false">IF(I3728="","",IF(H3728-1&lt;הגדרות!$E$8*(הגדרות!$E$7+1),MOD(H3728-1,הגדרות!$E$7+1),MOD(H3728-1-הגדרות!$E$8*(הגדרות!$E$7+1),הגדרות!$E$7)))</f>
        <v/>
      </c>
      <c r="K3728" s="0" t="str">
        <f aca="false">IF(I3728="","",J3728*הגדרות!$E$6+I3728+1)</f>
        <v/>
      </c>
      <c r="L3728" s="0" t="str">
        <f aca="false">IF(K3728="","",MATCH(K3728,$F$2:$F$5001,0))</f>
        <v/>
      </c>
      <c r="M3728" s="0" t="str">
        <f aca="false">IF(I3728="","",INDEX(הגדרות!$A$2:$A$21,MOD(I3728+הגדרות!$E$9,הגדרות!$E$6)+1))</f>
        <v/>
      </c>
    </row>
    <row r="3729" customFormat="false" ht="15" hidden="false" customHeight="false" outlineLevel="0" collapsed="false">
      <c r="A3729" s="0" t="str">
        <f aca="false">IF('הדבקת לידים'!A3729="","",IF(ISNUMBER('הדבקת לידים'!A3729),IF(הגדרות!$E$2&gt;0,TEXT('הדבקת לידים'!A3729,REPT("0",הגדרות!$E$2)),TEXT('הדבקת לידים'!A3729,"0")),TRIM('הדבקת לידים'!A3729)))</f>
        <v/>
      </c>
      <c r="B3729" s="0" t="str">
        <f aca="false">IF('הדבקת לידים'!B3729="","",IF(ISNUMBER('הדבקת לידים'!B3729),IF(הגדרות!$E$3&gt;0,TEXT('הדבקת לידים'!B3729,REPT("0",הגדרות!$E$3)),TEXT('הדבקת לידים'!B3729,"0")),TRIM('הדבקת לידים'!B3729)))</f>
        <v/>
      </c>
      <c r="C3729" s="0" t="n">
        <f aca="false">IF(OR(A3729&lt;&gt;"",B3729&lt;&gt;""),1,0)</f>
        <v>0</v>
      </c>
      <c r="D3729" s="0" t="str">
        <f aca="false">IF(C3729=1,MOD(ABS(SIN(ROW()*12.9898+'הדבקת לידים'!$F$2*78.233+IFERROR(--RIGHT(A3729,6),LEN(A3729))*0.0137+IFERROR(--RIGHT(B3729,6),LEN(B3729))*0.0071))*43758.5453,1),"")</f>
        <v/>
      </c>
      <c r="E3729" s="0" t="str">
        <f aca="false">IF(C3729=1,INT(MOD(ABS(SIN(D3729*7919.123+ROW()*0.618+'הדבקת לידים'!$F$2*1.3))*43758.5453,1)*1000000)*10000+ROW(),"")</f>
        <v/>
      </c>
      <c r="F3729" s="0" t="str">
        <f aca="false">IF(E3729="","",RANK(E3729,$E$2:$E$5001,1))</f>
        <v/>
      </c>
      <c r="G3729" s="0" t="n">
        <f aca="false">IF(A3729="",0,IF(SUMPRODUCT(--($A$2:$A$5001=A3729))&gt;1,1,0))</f>
        <v>0</v>
      </c>
      <c r="H3729" s="0" t="n">
        <f aca="false">ROW()-1</f>
        <v>3728</v>
      </c>
      <c r="I3729" s="0" t="str">
        <f aca="false">IF(OR(הגדרות!$E$6=0,H3729&gt;הגדרות!$E$5),"",IF(H3729-1&lt;הגדרות!$E$8*(הגדרות!$E$7+1),INT((H3729-1)/(הגדרות!$E$7+1)),הגדרות!$E$8+INT((H3729-1-הגדרות!$E$8*(הגדרות!$E$7+1))/הגדרות!$E$7)))</f>
        <v/>
      </c>
      <c r="J3729" s="0" t="str">
        <f aca="false">IF(I3729="","",IF(H3729-1&lt;הגדרות!$E$8*(הגדרות!$E$7+1),MOD(H3729-1,הגדרות!$E$7+1),MOD(H3729-1-הגדרות!$E$8*(הגדרות!$E$7+1),הגדרות!$E$7)))</f>
        <v/>
      </c>
      <c r="K3729" s="0" t="str">
        <f aca="false">IF(I3729="","",J3729*הגדרות!$E$6+I3729+1)</f>
        <v/>
      </c>
      <c r="L3729" s="0" t="str">
        <f aca="false">IF(K3729="","",MATCH(K3729,$F$2:$F$5001,0))</f>
        <v/>
      </c>
      <c r="M3729" s="0" t="str">
        <f aca="false">IF(I3729="","",INDEX(הגדרות!$A$2:$A$21,MOD(I3729+הגדרות!$E$9,הגדרות!$E$6)+1))</f>
        <v/>
      </c>
    </row>
    <row r="3730" customFormat="false" ht="15" hidden="false" customHeight="false" outlineLevel="0" collapsed="false">
      <c r="A3730" s="0" t="str">
        <f aca="false">IF('הדבקת לידים'!A3730="","",IF(ISNUMBER('הדבקת לידים'!A3730),IF(הגדרות!$E$2&gt;0,TEXT('הדבקת לידים'!A3730,REPT("0",הגדרות!$E$2)),TEXT('הדבקת לידים'!A3730,"0")),TRIM('הדבקת לידים'!A3730)))</f>
        <v/>
      </c>
      <c r="B3730" s="0" t="str">
        <f aca="false">IF('הדבקת לידים'!B3730="","",IF(ISNUMBER('הדבקת לידים'!B3730),IF(הגדרות!$E$3&gt;0,TEXT('הדבקת לידים'!B3730,REPT("0",הגדרות!$E$3)),TEXT('הדבקת לידים'!B3730,"0")),TRIM('הדבקת לידים'!B3730)))</f>
        <v/>
      </c>
      <c r="C3730" s="0" t="n">
        <f aca="false">IF(OR(A3730&lt;&gt;"",B3730&lt;&gt;""),1,0)</f>
        <v>0</v>
      </c>
      <c r="D3730" s="0" t="str">
        <f aca="false">IF(C3730=1,MOD(ABS(SIN(ROW()*12.9898+'הדבקת לידים'!$F$2*78.233+IFERROR(--RIGHT(A3730,6),LEN(A3730))*0.0137+IFERROR(--RIGHT(B3730,6),LEN(B3730))*0.0071))*43758.5453,1),"")</f>
        <v/>
      </c>
      <c r="E3730" s="0" t="str">
        <f aca="false">IF(C3730=1,INT(MOD(ABS(SIN(D3730*7919.123+ROW()*0.618+'הדבקת לידים'!$F$2*1.3))*43758.5453,1)*1000000)*10000+ROW(),"")</f>
        <v/>
      </c>
      <c r="F3730" s="0" t="str">
        <f aca="false">IF(E3730="","",RANK(E3730,$E$2:$E$5001,1))</f>
        <v/>
      </c>
      <c r="G3730" s="0" t="n">
        <f aca="false">IF(A3730="",0,IF(SUMPRODUCT(--($A$2:$A$5001=A3730))&gt;1,1,0))</f>
        <v>0</v>
      </c>
      <c r="H3730" s="0" t="n">
        <f aca="false">ROW()-1</f>
        <v>3729</v>
      </c>
      <c r="I3730" s="0" t="str">
        <f aca="false">IF(OR(הגדרות!$E$6=0,H3730&gt;הגדרות!$E$5),"",IF(H3730-1&lt;הגדרות!$E$8*(הגדרות!$E$7+1),INT((H3730-1)/(הגדרות!$E$7+1)),הגדרות!$E$8+INT((H3730-1-הגדרות!$E$8*(הגדרות!$E$7+1))/הגדרות!$E$7)))</f>
        <v/>
      </c>
      <c r="J3730" s="0" t="str">
        <f aca="false">IF(I3730="","",IF(H3730-1&lt;הגדרות!$E$8*(הגדרות!$E$7+1),MOD(H3730-1,הגדרות!$E$7+1),MOD(H3730-1-הגדרות!$E$8*(הגדרות!$E$7+1),הגדרות!$E$7)))</f>
        <v/>
      </c>
      <c r="K3730" s="0" t="str">
        <f aca="false">IF(I3730="","",J3730*הגדרות!$E$6+I3730+1)</f>
        <v/>
      </c>
      <c r="L3730" s="0" t="str">
        <f aca="false">IF(K3730="","",MATCH(K3730,$F$2:$F$5001,0))</f>
        <v/>
      </c>
      <c r="M3730" s="0" t="str">
        <f aca="false">IF(I3730="","",INDEX(הגדרות!$A$2:$A$21,MOD(I3730+הגדרות!$E$9,הגדרות!$E$6)+1))</f>
        <v/>
      </c>
    </row>
    <row r="3731" customFormat="false" ht="15" hidden="false" customHeight="false" outlineLevel="0" collapsed="false">
      <c r="A3731" s="0" t="str">
        <f aca="false">IF('הדבקת לידים'!A3731="","",IF(ISNUMBER('הדבקת לידים'!A3731),IF(הגדרות!$E$2&gt;0,TEXT('הדבקת לידים'!A3731,REPT("0",הגדרות!$E$2)),TEXT('הדבקת לידים'!A3731,"0")),TRIM('הדבקת לידים'!A3731)))</f>
        <v/>
      </c>
      <c r="B3731" s="0" t="str">
        <f aca="false">IF('הדבקת לידים'!B3731="","",IF(ISNUMBER('הדבקת לידים'!B3731),IF(הגדרות!$E$3&gt;0,TEXT('הדבקת לידים'!B3731,REPT("0",הגדרות!$E$3)),TEXT('הדבקת לידים'!B3731,"0")),TRIM('הדבקת לידים'!B3731)))</f>
        <v/>
      </c>
      <c r="C3731" s="0" t="n">
        <f aca="false">IF(OR(A3731&lt;&gt;"",B3731&lt;&gt;""),1,0)</f>
        <v>0</v>
      </c>
      <c r="D3731" s="0" t="str">
        <f aca="false">IF(C3731=1,MOD(ABS(SIN(ROW()*12.9898+'הדבקת לידים'!$F$2*78.233+IFERROR(--RIGHT(A3731,6),LEN(A3731))*0.0137+IFERROR(--RIGHT(B3731,6),LEN(B3731))*0.0071))*43758.5453,1),"")</f>
        <v/>
      </c>
      <c r="E3731" s="0" t="str">
        <f aca="false">IF(C3731=1,INT(MOD(ABS(SIN(D3731*7919.123+ROW()*0.618+'הדבקת לידים'!$F$2*1.3))*43758.5453,1)*1000000)*10000+ROW(),"")</f>
        <v/>
      </c>
      <c r="F3731" s="0" t="str">
        <f aca="false">IF(E3731="","",RANK(E3731,$E$2:$E$5001,1))</f>
        <v/>
      </c>
      <c r="G3731" s="0" t="n">
        <f aca="false">IF(A3731="",0,IF(SUMPRODUCT(--($A$2:$A$5001=A3731))&gt;1,1,0))</f>
        <v>0</v>
      </c>
      <c r="H3731" s="0" t="n">
        <f aca="false">ROW()-1</f>
        <v>3730</v>
      </c>
      <c r="I3731" s="0" t="str">
        <f aca="false">IF(OR(הגדרות!$E$6=0,H3731&gt;הגדרות!$E$5),"",IF(H3731-1&lt;הגדרות!$E$8*(הגדרות!$E$7+1),INT((H3731-1)/(הגדרות!$E$7+1)),הגדרות!$E$8+INT((H3731-1-הגדרות!$E$8*(הגדרות!$E$7+1))/הגדרות!$E$7)))</f>
        <v/>
      </c>
      <c r="J3731" s="0" t="str">
        <f aca="false">IF(I3731="","",IF(H3731-1&lt;הגדרות!$E$8*(הגדרות!$E$7+1),MOD(H3731-1,הגדרות!$E$7+1),MOD(H3731-1-הגדרות!$E$8*(הגדרות!$E$7+1),הגדרות!$E$7)))</f>
        <v/>
      </c>
      <c r="K3731" s="0" t="str">
        <f aca="false">IF(I3731="","",J3731*הגדרות!$E$6+I3731+1)</f>
        <v/>
      </c>
      <c r="L3731" s="0" t="str">
        <f aca="false">IF(K3731="","",MATCH(K3731,$F$2:$F$5001,0))</f>
        <v/>
      </c>
      <c r="M3731" s="0" t="str">
        <f aca="false">IF(I3731="","",INDEX(הגדרות!$A$2:$A$21,MOD(I3731+הגדרות!$E$9,הגדרות!$E$6)+1))</f>
        <v/>
      </c>
    </row>
    <row r="3732" customFormat="false" ht="15" hidden="false" customHeight="false" outlineLevel="0" collapsed="false">
      <c r="A3732" s="0" t="str">
        <f aca="false">IF('הדבקת לידים'!A3732="","",IF(ISNUMBER('הדבקת לידים'!A3732),IF(הגדרות!$E$2&gt;0,TEXT('הדבקת לידים'!A3732,REPT("0",הגדרות!$E$2)),TEXT('הדבקת לידים'!A3732,"0")),TRIM('הדבקת לידים'!A3732)))</f>
        <v/>
      </c>
      <c r="B3732" s="0" t="str">
        <f aca="false">IF('הדבקת לידים'!B3732="","",IF(ISNUMBER('הדבקת לידים'!B3732),IF(הגדרות!$E$3&gt;0,TEXT('הדבקת לידים'!B3732,REPT("0",הגדרות!$E$3)),TEXT('הדבקת לידים'!B3732,"0")),TRIM('הדבקת לידים'!B3732)))</f>
        <v/>
      </c>
      <c r="C3732" s="0" t="n">
        <f aca="false">IF(OR(A3732&lt;&gt;"",B3732&lt;&gt;""),1,0)</f>
        <v>0</v>
      </c>
      <c r="D3732" s="0" t="str">
        <f aca="false">IF(C3732=1,MOD(ABS(SIN(ROW()*12.9898+'הדבקת לידים'!$F$2*78.233+IFERROR(--RIGHT(A3732,6),LEN(A3732))*0.0137+IFERROR(--RIGHT(B3732,6),LEN(B3732))*0.0071))*43758.5453,1),"")</f>
        <v/>
      </c>
      <c r="E3732" s="0" t="str">
        <f aca="false">IF(C3732=1,INT(MOD(ABS(SIN(D3732*7919.123+ROW()*0.618+'הדבקת לידים'!$F$2*1.3))*43758.5453,1)*1000000)*10000+ROW(),"")</f>
        <v/>
      </c>
      <c r="F3732" s="0" t="str">
        <f aca="false">IF(E3732="","",RANK(E3732,$E$2:$E$5001,1))</f>
        <v/>
      </c>
      <c r="G3732" s="0" t="n">
        <f aca="false">IF(A3732="",0,IF(SUMPRODUCT(--($A$2:$A$5001=A3732))&gt;1,1,0))</f>
        <v>0</v>
      </c>
      <c r="H3732" s="0" t="n">
        <f aca="false">ROW()-1</f>
        <v>3731</v>
      </c>
      <c r="I3732" s="0" t="str">
        <f aca="false">IF(OR(הגדרות!$E$6=0,H3732&gt;הגדרות!$E$5),"",IF(H3732-1&lt;הגדרות!$E$8*(הגדרות!$E$7+1),INT((H3732-1)/(הגדרות!$E$7+1)),הגדרות!$E$8+INT((H3732-1-הגדרות!$E$8*(הגדרות!$E$7+1))/הגדרות!$E$7)))</f>
        <v/>
      </c>
      <c r="J3732" s="0" t="str">
        <f aca="false">IF(I3732="","",IF(H3732-1&lt;הגדרות!$E$8*(הגדרות!$E$7+1),MOD(H3732-1,הגדרות!$E$7+1),MOD(H3732-1-הגדרות!$E$8*(הגדרות!$E$7+1),הגדרות!$E$7)))</f>
        <v/>
      </c>
      <c r="K3732" s="0" t="str">
        <f aca="false">IF(I3732="","",J3732*הגדרות!$E$6+I3732+1)</f>
        <v/>
      </c>
      <c r="L3732" s="0" t="str">
        <f aca="false">IF(K3732="","",MATCH(K3732,$F$2:$F$5001,0))</f>
        <v/>
      </c>
      <c r="M3732" s="0" t="str">
        <f aca="false">IF(I3732="","",INDEX(הגדרות!$A$2:$A$21,MOD(I3732+הגדרות!$E$9,הגדרות!$E$6)+1))</f>
        <v/>
      </c>
    </row>
    <row r="3733" customFormat="false" ht="15" hidden="false" customHeight="false" outlineLevel="0" collapsed="false">
      <c r="A3733" s="0" t="str">
        <f aca="false">IF('הדבקת לידים'!A3733="","",IF(ISNUMBER('הדבקת לידים'!A3733),IF(הגדרות!$E$2&gt;0,TEXT('הדבקת לידים'!A3733,REPT("0",הגדרות!$E$2)),TEXT('הדבקת לידים'!A3733,"0")),TRIM('הדבקת לידים'!A3733)))</f>
        <v/>
      </c>
      <c r="B3733" s="0" t="str">
        <f aca="false">IF('הדבקת לידים'!B3733="","",IF(ISNUMBER('הדבקת לידים'!B3733),IF(הגדרות!$E$3&gt;0,TEXT('הדבקת לידים'!B3733,REPT("0",הגדרות!$E$3)),TEXT('הדבקת לידים'!B3733,"0")),TRIM('הדבקת לידים'!B3733)))</f>
        <v/>
      </c>
      <c r="C3733" s="0" t="n">
        <f aca="false">IF(OR(A3733&lt;&gt;"",B3733&lt;&gt;""),1,0)</f>
        <v>0</v>
      </c>
      <c r="D3733" s="0" t="str">
        <f aca="false">IF(C3733=1,MOD(ABS(SIN(ROW()*12.9898+'הדבקת לידים'!$F$2*78.233+IFERROR(--RIGHT(A3733,6),LEN(A3733))*0.0137+IFERROR(--RIGHT(B3733,6),LEN(B3733))*0.0071))*43758.5453,1),"")</f>
        <v/>
      </c>
      <c r="E3733" s="0" t="str">
        <f aca="false">IF(C3733=1,INT(MOD(ABS(SIN(D3733*7919.123+ROW()*0.618+'הדבקת לידים'!$F$2*1.3))*43758.5453,1)*1000000)*10000+ROW(),"")</f>
        <v/>
      </c>
      <c r="F3733" s="0" t="str">
        <f aca="false">IF(E3733="","",RANK(E3733,$E$2:$E$5001,1))</f>
        <v/>
      </c>
      <c r="G3733" s="0" t="n">
        <f aca="false">IF(A3733="",0,IF(SUMPRODUCT(--($A$2:$A$5001=A3733))&gt;1,1,0))</f>
        <v>0</v>
      </c>
      <c r="H3733" s="0" t="n">
        <f aca="false">ROW()-1</f>
        <v>3732</v>
      </c>
      <c r="I3733" s="0" t="str">
        <f aca="false">IF(OR(הגדרות!$E$6=0,H3733&gt;הגדרות!$E$5),"",IF(H3733-1&lt;הגדרות!$E$8*(הגדרות!$E$7+1),INT((H3733-1)/(הגדרות!$E$7+1)),הגדרות!$E$8+INT((H3733-1-הגדרות!$E$8*(הגדרות!$E$7+1))/הגדרות!$E$7)))</f>
        <v/>
      </c>
      <c r="J3733" s="0" t="str">
        <f aca="false">IF(I3733="","",IF(H3733-1&lt;הגדרות!$E$8*(הגדרות!$E$7+1),MOD(H3733-1,הגדרות!$E$7+1),MOD(H3733-1-הגדרות!$E$8*(הגדרות!$E$7+1),הגדרות!$E$7)))</f>
        <v/>
      </c>
      <c r="K3733" s="0" t="str">
        <f aca="false">IF(I3733="","",J3733*הגדרות!$E$6+I3733+1)</f>
        <v/>
      </c>
      <c r="L3733" s="0" t="str">
        <f aca="false">IF(K3733="","",MATCH(K3733,$F$2:$F$5001,0))</f>
        <v/>
      </c>
      <c r="M3733" s="0" t="str">
        <f aca="false">IF(I3733="","",INDEX(הגדרות!$A$2:$A$21,MOD(I3733+הגדרות!$E$9,הגדרות!$E$6)+1))</f>
        <v/>
      </c>
    </row>
    <row r="3734" customFormat="false" ht="15" hidden="false" customHeight="false" outlineLevel="0" collapsed="false">
      <c r="A3734" s="0" t="str">
        <f aca="false">IF('הדבקת לידים'!A3734="","",IF(ISNUMBER('הדבקת לידים'!A3734),IF(הגדרות!$E$2&gt;0,TEXT('הדבקת לידים'!A3734,REPT("0",הגדרות!$E$2)),TEXT('הדבקת לידים'!A3734,"0")),TRIM('הדבקת לידים'!A3734)))</f>
        <v/>
      </c>
      <c r="B3734" s="0" t="str">
        <f aca="false">IF('הדבקת לידים'!B3734="","",IF(ISNUMBER('הדבקת לידים'!B3734),IF(הגדרות!$E$3&gt;0,TEXT('הדבקת לידים'!B3734,REPT("0",הגדרות!$E$3)),TEXT('הדבקת לידים'!B3734,"0")),TRIM('הדבקת לידים'!B3734)))</f>
        <v/>
      </c>
      <c r="C3734" s="0" t="n">
        <f aca="false">IF(OR(A3734&lt;&gt;"",B3734&lt;&gt;""),1,0)</f>
        <v>0</v>
      </c>
      <c r="D3734" s="0" t="str">
        <f aca="false">IF(C3734=1,MOD(ABS(SIN(ROW()*12.9898+'הדבקת לידים'!$F$2*78.233+IFERROR(--RIGHT(A3734,6),LEN(A3734))*0.0137+IFERROR(--RIGHT(B3734,6),LEN(B3734))*0.0071))*43758.5453,1),"")</f>
        <v/>
      </c>
      <c r="E3734" s="0" t="str">
        <f aca="false">IF(C3734=1,INT(MOD(ABS(SIN(D3734*7919.123+ROW()*0.618+'הדבקת לידים'!$F$2*1.3))*43758.5453,1)*1000000)*10000+ROW(),"")</f>
        <v/>
      </c>
      <c r="F3734" s="0" t="str">
        <f aca="false">IF(E3734="","",RANK(E3734,$E$2:$E$5001,1))</f>
        <v/>
      </c>
      <c r="G3734" s="0" t="n">
        <f aca="false">IF(A3734="",0,IF(SUMPRODUCT(--($A$2:$A$5001=A3734))&gt;1,1,0))</f>
        <v>0</v>
      </c>
      <c r="H3734" s="0" t="n">
        <f aca="false">ROW()-1</f>
        <v>3733</v>
      </c>
      <c r="I3734" s="0" t="str">
        <f aca="false">IF(OR(הגדרות!$E$6=0,H3734&gt;הגדרות!$E$5),"",IF(H3734-1&lt;הגדרות!$E$8*(הגדרות!$E$7+1),INT((H3734-1)/(הגדרות!$E$7+1)),הגדרות!$E$8+INT((H3734-1-הגדרות!$E$8*(הגדרות!$E$7+1))/הגדרות!$E$7)))</f>
        <v/>
      </c>
      <c r="J3734" s="0" t="str">
        <f aca="false">IF(I3734="","",IF(H3734-1&lt;הגדרות!$E$8*(הגדרות!$E$7+1),MOD(H3734-1,הגדרות!$E$7+1),MOD(H3734-1-הגדרות!$E$8*(הגדרות!$E$7+1),הגדרות!$E$7)))</f>
        <v/>
      </c>
      <c r="K3734" s="0" t="str">
        <f aca="false">IF(I3734="","",J3734*הגדרות!$E$6+I3734+1)</f>
        <v/>
      </c>
      <c r="L3734" s="0" t="str">
        <f aca="false">IF(K3734="","",MATCH(K3734,$F$2:$F$5001,0))</f>
        <v/>
      </c>
      <c r="M3734" s="0" t="str">
        <f aca="false">IF(I3734="","",INDEX(הגדרות!$A$2:$A$21,MOD(I3734+הגדרות!$E$9,הגדרות!$E$6)+1))</f>
        <v/>
      </c>
    </row>
    <row r="3735" customFormat="false" ht="15" hidden="false" customHeight="false" outlineLevel="0" collapsed="false">
      <c r="A3735" s="0" t="str">
        <f aca="false">IF('הדבקת לידים'!A3735="","",IF(ISNUMBER('הדבקת לידים'!A3735),IF(הגדרות!$E$2&gt;0,TEXT('הדבקת לידים'!A3735,REPT("0",הגדרות!$E$2)),TEXT('הדבקת לידים'!A3735,"0")),TRIM('הדבקת לידים'!A3735)))</f>
        <v/>
      </c>
      <c r="B3735" s="0" t="str">
        <f aca="false">IF('הדבקת לידים'!B3735="","",IF(ISNUMBER('הדבקת לידים'!B3735),IF(הגדרות!$E$3&gt;0,TEXT('הדבקת לידים'!B3735,REPT("0",הגדרות!$E$3)),TEXT('הדבקת לידים'!B3735,"0")),TRIM('הדבקת לידים'!B3735)))</f>
        <v/>
      </c>
      <c r="C3735" s="0" t="n">
        <f aca="false">IF(OR(A3735&lt;&gt;"",B3735&lt;&gt;""),1,0)</f>
        <v>0</v>
      </c>
      <c r="D3735" s="0" t="str">
        <f aca="false">IF(C3735=1,MOD(ABS(SIN(ROW()*12.9898+'הדבקת לידים'!$F$2*78.233+IFERROR(--RIGHT(A3735,6),LEN(A3735))*0.0137+IFERROR(--RIGHT(B3735,6),LEN(B3735))*0.0071))*43758.5453,1),"")</f>
        <v/>
      </c>
      <c r="E3735" s="0" t="str">
        <f aca="false">IF(C3735=1,INT(MOD(ABS(SIN(D3735*7919.123+ROW()*0.618+'הדבקת לידים'!$F$2*1.3))*43758.5453,1)*1000000)*10000+ROW(),"")</f>
        <v/>
      </c>
      <c r="F3735" s="0" t="str">
        <f aca="false">IF(E3735="","",RANK(E3735,$E$2:$E$5001,1))</f>
        <v/>
      </c>
      <c r="G3735" s="0" t="n">
        <f aca="false">IF(A3735="",0,IF(SUMPRODUCT(--($A$2:$A$5001=A3735))&gt;1,1,0))</f>
        <v>0</v>
      </c>
      <c r="H3735" s="0" t="n">
        <f aca="false">ROW()-1</f>
        <v>3734</v>
      </c>
      <c r="I3735" s="0" t="str">
        <f aca="false">IF(OR(הגדרות!$E$6=0,H3735&gt;הגדרות!$E$5),"",IF(H3735-1&lt;הגדרות!$E$8*(הגדרות!$E$7+1),INT((H3735-1)/(הגדרות!$E$7+1)),הגדרות!$E$8+INT((H3735-1-הגדרות!$E$8*(הגדרות!$E$7+1))/הגדרות!$E$7)))</f>
        <v/>
      </c>
      <c r="J3735" s="0" t="str">
        <f aca="false">IF(I3735="","",IF(H3735-1&lt;הגדרות!$E$8*(הגדרות!$E$7+1),MOD(H3735-1,הגדרות!$E$7+1),MOD(H3735-1-הגדרות!$E$8*(הגדרות!$E$7+1),הגדרות!$E$7)))</f>
        <v/>
      </c>
      <c r="K3735" s="0" t="str">
        <f aca="false">IF(I3735="","",J3735*הגדרות!$E$6+I3735+1)</f>
        <v/>
      </c>
      <c r="L3735" s="0" t="str">
        <f aca="false">IF(K3735="","",MATCH(K3735,$F$2:$F$5001,0))</f>
        <v/>
      </c>
      <c r="M3735" s="0" t="str">
        <f aca="false">IF(I3735="","",INDEX(הגדרות!$A$2:$A$21,MOD(I3735+הגדרות!$E$9,הגדרות!$E$6)+1))</f>
        <v/>
      </c>
    </row>
    <row r="3736" customFormat="false" ht="15" hidden="false" customHeight="false" outlineLevel="0" collapsed="false">
      <c r="A3736" s="0" t="str">
        <f aca="false">IF('הדבקת לידים'!A3736="","",IF(ISNUMBER('הדבקת לידים'!A3736),IF(הגדרות!$E$2&gt;0,TEXT('הדבקת לידים'!A3736,REPT("0",הגדרות!$E$2)),TEXT('הדבקת לידים'!A3736,"0")),TRIM('הדבקת לידים'!A3736)))</f>
        <v/>
      </c>
      <c r="B3736" s="0" t="str">
        <f aca="false">IF('הדבקת לידים'!B3736="","",IF(ISNUMBER('הדבקת לידים'!B3736),IF(הגדרות!$E$3&gt;0,TEXT('הדבקת לידים'!B3736,REPT("0",הגדרות!$E$3)),TEXT('הדבקת לידים'!B3736,"0")),TRIM('הדבקת לידים'!B3736)))</f>
        <v/>
      </c>
      <c r="C3736" s="0" t="n">
        <f aca="false">IF(OR(A3736&lt;&gt;"",B3736&lt;&gt;""),1,0)</f>
        <v>0</v>
      </c>
      <c r="D3736" s="0" t="str">
        <f aca="false">IF(C3736=1,MOD(ABS(SIN(ROW()*12.9898+'הדבקת לידים'!$F$2*78.233+IFERROR(--RIGHT(A3736,6),LEN(A3736))*0.0137+IFERROR(--RIGHT(B3736,6),LEN(B3736))*0.0071))*43758.5453,1),"")</f>
        <v/>
      </c>
      <c r="E3736" s="0" t="str">
        <f aca="false">IF(C3736=1,INT(MOD(ABS(SIN(D3736*7919.123+ROW()*0.618+'הדבקת לידים'!$F$2*1.3))*43758.5453,1)*1000000)*10000+ROW(),"")</f>
        <v/>
      </c>
      <c r="F3736" s="0" t="str">
        <f aca="false">IF(E3736="","",RANK(E3736,$E$2:$E$5001,1))</f>
        <v/>
      </c>
      <c r="G3736" s="0" t="n">
        <f aca="false">IF(A3736="",0,IF(SUMPRODUCT(--($A$2:$A$5001=A3736))&gt;1,1,0))</f>
        <v>0</v>
      </c>
      <c r="H3736" s="0" t="n">
        <f aca="false">ROW()-1</f>
        <v>3735</v>
      </c>
      <c r="I3736" s="0" t="str">
        <f aca="false">IF(OR(הגדרות!$E$6=0,H3736&gt;הגדרות!$E$5),"",IF(H3736-1&lt;הגדרות!$E$8*(הגדרות!$E$7+1),INT((H3736-1)/(הגדרות!$E$7+1)),הגדרות!$E$8+INT((H3736-1-הגדרות!$E$8*(הגדרות!$E$7+1))/הגדרות!$E$7)))</f>
        <v/>
      </c>
      <c r="J3736" s="0" t="str">
        <f aca="false">IF(I3736="","",IF(H3736-1&lt;הגדרות!$E$8*(הגדרות!$E$7+1),MOD(H3736-1,הגדרות!$E$7+1),MOD(H3736-1-הגדרות!$E$8*(הגדרות!$E$7+1),הגדרות!$E$7)))</f>
        <v/>
      </c>
      <c r="K3736" s="0" t="str">
        <f aca="false">IF(I3736="","",J3736*הגדרות!$E$6+I3736+1)</f>
        <v/>
      </c>
      <c r="L3736" s="0" t="str">
        <f aca="false">IF(K3736="","",MATCH(K3736,$F$2:$F$5001,0))</f>
        <v/>
      </c>
      <c r="M3736" s="0" t="str">
        <f aca="false">IF(I3736="","",INDEX(הגדרות!$A$2:$A$21,MOD(I3736+הגדרות!$E$9,הגדרות!$E$6)+1))</f>
        <v/>
      </c>
    </row>
    <row r="3737" customFormat="false" ht="15" hidden="false" customHeight="false" outlineLevel="0" collapsed="false">
      <c r="A3737" s="0" t="str">
        <f aca="false">IF('הדבקת לידים'!A3737="","",IF(ISNUMBER('הדבקת לידים'!A3737),IF(הגדרות!$E$2&gt;0,TEXT('הדבקת לידים'!A3737,REPT("0",הגדרות!$E$2)),TEXT('הדבקת לידים'!A3737,"0")),TRIM('הדבקת לידים'!A3737)))</f>
        <v/>
      </c>
      <c r="B3737" s="0" t="str">
        <f aca="false">IF('הדבקת לידים'!B3737="","",IF(ISNUMBER('הדבקת לידים'!B3737),IF(הגדרות!$E$3&gt;0,TEXT('הדבקת לידים'!B3737,REPT("0",הגדרות!$E$3)),TEXT('הדבקת לידים'!B3737,"0")),TRIM('הדבקת לידים'!B3737)))</f>
        <v/>
      </c>
      <c r="C3737" s="0" t="n">
        <f aca="false">IF(OR(A3737&lt;&gt;"",B3737&lt;&gt;""),1,0)</f>
        <v>0</v>
      </c>
      <c r="D3737" s="0" t="str">
        <f aca="false">IF(C3737=1,MOD(ABS(SIN(ROW()*12.9898+'הדבקת לידים'!$F$2*78.233+IFERROR(--RIGHT(A3737,6),LEN(A3737))*0.0137+IFERROR(--RIGHT(B3737,6),LEN(B3737))*0.0071))*43758.5453,1),"")</f>
        <v/>
      </c>
      <c r="E3737" s="0" t="str">
        <f aca="false">IF(C3737=1,INT(MOD(ABS(SIN(D3737*7919.123+ROW()*0.618+'הדבקת לידים'!$F$2*1.3))*43758.5453,1)*1000000)*10000+ROW(),"")</f>
        <v/>
      </c>
      <c r="F3737" s="0" t="str">
        <f aca="false">IF(E3737="","",RANK(E3737,$E$2:$E$5001,1))</f>
        <v/>
      </c>
      <c r="G3737" s="0" t="n">
        <f aca="false">IF(A3737="",0,IF(SUMPRODUCT(--($A$2:$A$5001=A3737))&gt;1,1,0))</f>
        <v>0</v>
      </c>
      <c r="H3737" s="0" t="n">
        <f aca="false">ROW()-1</f>
        <v>3736</v>
      </c>
      <c r="I3737" s="0" t="str">
        <f aca="false">IF(OR(הגדרות!$E$6=0,H3737&gt;הגדרות!$E$5),"",IF(H3737-1&lt;הגדרות!$E$8*(הגדרות!$E$7+1),INT((H3737-1)/(הגדרות!$E$7+1)),הגדרות!$E$8+INT((H3737-1-הגדרות!$E$8*(הגדרות!$E$7+1))/הגדרות!$E$7)))</f>
        <v/>
      </c>
      <c r="J3737" s="0" t="str">
        <f aca="false">IF(I3737="","",IF(H3737-1&lt;הגדרות!$E$8*(הגדרות!$E$7+1),MOD(H3737-1,הגדרות!$E$7+1),MOD(H3737-1-הגדרות!$E$8*(הגדרות!$E$7+1),הגדרות!$E$7)))</f>
        <v/>
      </c>
      <c r="K3737" s="0" t="str">
        <f aca="false">IF(I3737="","",J3737*הגדרות!$E$6+I3737+1)</f>
        <v/>
      </c>
      <c r="L3737" s="0" t="str">
        <f aca="false">IF(K3737="","",MATCH(K3737,$F$2:$F$5001,0))</f>
        <v/>
      </c>
      <c r="M3737" s="0" t="str">
        <f aca="false">IF(I3737="","",INDEX(הגדרות!$A$2:$A$21,MOD(I3737+הגדרות!$E$9,הגדרות!$E$6)+1))</f>
        <v/>
      </c>
    </row>
    <row r="3738" customFormat="false" ht="15" hidden="false" customHeight="false" outlineLevel="0" collapsed="false">
      <c r="A3738" s="0" t="str">
        <f aca="false">IF('הדבקת לידים'!A3738="","",IF(ISNUMBER('הדבקת לידים'!A3738),IF(הגדרות!$E$2&gt;0,TEXT('הדבקת לידים'!A3738,REPT("0",הגדרות!$E$2)),TEXT('הדבקת לידים'!A3738,"0")),TRIM('הדבקת לידים'!A3738)))</f>
        <v/>
      </c>
      <c r="B3738" s="0" t="str">
        <f aca="false">IF('הדבקת לידים'!B3738="","",IF(ISNUMBER('הדבקת לידים'!B3738),IF(הגדרות!$E$3&gt;0,TEXT('הדבקת לידים'!B3738,REPT("0",הגדרות!$E$3)),TEXT('הדבקת לידים'!B3738,"0")),TRIM('הדבקת לידים'!B3738)))</f>
        <v/>
      </c>
      <c r="C3738" s="0" t="n">
        <f aca="false">IF(OR(A3738&lt;&gt;"",B3738&lt;&gt;""),1,0)</f>
        <v>0</v>
      </c>
      <c r="D3738" s="0" t="str">
        <f aca="false">IF(C3738=1,MOD(ABS(SIN(ROW()*12.9898+'הדבקת לידים'!$F$2*78.233+IFERROR(--RIGHT(A3738,6),LEN(A3738))*0.0137+IFERROR(--RIGHT(B3738,6),LEN(B3738))*0.0071))*43758.5453,1),"")</f>
        <v/>
      </c>
      <c r="E3738" s="0" t="str">
        <f aca="false">IF(C3738=1,INT(MOD(ABS(SIN(D3738*7919.123+ROW()*0.618+'הדבקת לידים'!$F$2*1.3))*43758.5453,1)*1000000)*10000+ROW(),"")</f>
        <v/>
      </c>
      <c r="F3738" s="0" t="str">
        <f aca="false">IF(E3738="","",RANK(E3738,$E$2:$E$5001,1))</f>
        <v/>
      </c>
      <c r="G3738" s="0" t="n">
        <f aca="false">IF(A3738="",0,IF(SUMPRODUCT(--($A$2:$A$5001=A3738))&gt;1,1,0))</f>
        <v>0</v>
      </c>
      <c r="H3738" s="0" t="n">
        <f aca="false">ROW()-1</f>
        <v>3737</v>
      </c>
      <c r="I3738" s="0" t="str">
        <f aca="false">IF(OR(הגדרות!$E$6=0,H3738&gt;הגדרות!$E$5),"",IF(H3738-1&lt;הגדרות!$E$8*(הגדרות!$E$7+1),INT((H3738-1)/(הגדרות!$E$7+1)),הגדרות!$E$8+INT((H3738-1-הגדרות!$E$8*(הגדרות!$E$7+1))/הגדרות!$E$7)))</f>
        <v/>
      </c>
      <c r="J3738" s="0" t="str">
        <f aca="false">IF(I3738="","",IF(H3738-1&lt;הגדרות!$E$8*(הגדרות!$E$7+1),MOD(H3738-1,הגדרות!$E$7+1),MOD(H3738-1-הגדרות!$E$8*(הגדרות!$E$7+1),הגדרות!$E$7)))</f>
        <v/>
      </c>
      <c r="K3738" s="0" t="str">
        <f aca="false">IF(I3738="","",J3738*הגדרות!$E$6+I3738+1)</f>
        <v/>
      </c>
      <c r="L3738" s="0" t="str">
        <f aca="false">IF(K3738="","",MATCH(K3738,$F$2:$F$5001,0))</f>
        <v/>
      </c>
      <c r="M3738" s="0" t="str">
        <f aca="false">IF(I3738="","",INDEX(הגדרות!$A$2:$A$21,MOD(I3738+הגדרות!$E$9,הגדרות!$E$6)+1))</f>
        <v/>
      </c>
    </row>
    <row r="3739" customFormat="false" ht="15" hidden="false" customHeight="false" outlineLevel="0" collapsed="false">
      <c r="A3739" s="0" t="str">
        <f aca="false">IF('הדבקת לידים'!A3739="","",IF(ISNUMBER('הדבקת לידים'!A3739),IF(הגדרות!$E$2&gt;0,TEXT('הדבקת לידים'!A3739,REPT("0",הגדרות!$E$2)),TEXT('הדבקת לידים'!A3739,"0")),TRIM('הדבקת לידים'!A3739)))</f>
        <v/>
      </c>
      <c r="B3739" s="0" t="str">
        <f aca="false">IF('הדבקת לידים'!B3739="","",IF(ISNUMBER('הדבקת לידים'!B3739),IF(הגדרות!$E$3&gt;0,TEXT('הדבקת לידים'!B3739,REPT("0",הגדרות!$E$3)),TEXT('הדבקת לידים'!B3739,"0")),TRIM('הדבקת לידים'!B3739)))</f>
        <v/>
      </c>
      <c r="C3739" s="0" t="n">
        <f aca="false">IF(OR(A3739&lt;&gt;"",B3739&lt;&gt;""),1,0)</f>
        <v>0</v>
      </c>
      <c r="D3739" s="0" t="str">
        <f aca="false">IF(C3739=1,MOD(ABS(SIN(ROW()*12.9898+'הדבקת לידים'!$F$2*78.233+IFERROR(--RIGHT(A3739,6),LEN(A3739))*0.0137+IFERROR(--RIGHT(B3739,6),LEN(B3739))*0.0071))*43758.5453,1),"")</f>
        <v/>
      </c>
      <c r="E3739" s="0" t="str">
        <f aca="false">IF(C3739=1,INT(MOD(ABS(SIN(D3739*7919.123+ROW()*0.618+'הדבקת לידים'!$F$2*1.3))*43758.5453,1)*1000000)*10000+ROW(),"")</f>
        <v/>
      </c>
      <c r="F3739" s="0" t="str">
        <f aca="false">IF(E3739="","",RANK(E3739,$E$2:$E$5001,1))</f>
        <v/>
      </c>
      <c r="G3739" s="0" t="n">
        <f aca="false">IF(A3739="",0,IF(SUMPRODUCT(--($A$2:$A$5001=A3739))&gt;1,1,0))</f>
        <v>0</v>
      </c>
      <c r="H3739" s="0" t="n">
        <f aca="false">ROW()-1</f>
        <v>3738</v>
      </c>
      <c r="I3739" s="0" t="str">
        <f aca="false">IF(OR(הגדרות!$E$6=0,H3739&gt;הגדרות!$E$5),"",IF(H3739-1&lt;הגדרות!$E$8*(הגדרות!$E$7+1),INT((H3739-1)/(הגדרות!$E$7+1)),הגדרות!$E$8+INT((H3739-1-הגדרות!$E$8*(הגדרות!$E$7+1))/הגדרות!$E$7)))</f>
        <v/>
      </c>
      <c r="J3739" s="0" t="str">
        <f aca="false">IF(I3739="","",IF(H3739-1&lt;הגדרות!$E$8*(הגדרות!$E$7+1),MOD(H3739-1,הגדרות!$E$7+1),MOD(H3739-1-הגדרות!$E$8*(הגדרות!$E$7+1),הגדרות!$E$7)))</f>
        <v/>
      </c>
      <c r="K3739" s="0" t="str">
        <f aca="false">IF(I3739="","",J3739*הגדרות!$E$6+I3739+1)</f>
        <v/>
      </c>
      <c r="L3739" s="0" t="str">
        <f aca="false">IF(K3739="","",MATCH(K3739,$F$2:$F$5001,0))</f>
        <v/>
      </c>
      <c r="M3739" s="0" t="str">
        <f aca="false">IF(I3739="","",INDEX(הגדרות!$A$2:$A$21,MOD(I3739+הגדרות!$E$9,הגדרות!$E$6)+1))</f>
        <v/>
      </c>
    </row>
    <row r="3740" customFormat="false" ht="15" hidden="false" customHeight="false" outlineLevel="0" collapsed="false">
      <c r="A3740" s="0" t="str">
        <f aca="false">IF('הדבקת לידים'!A3740="","",IF(ISNUMBER('הדבקת לידים'!A3740),IF(הגדרות!$E$2&gt;0,TEXT('הדבקת לידים'!A3740,REPT("0",הגדרות!$E$2)),TEXT('הדבקת לידים'!A3740,"0")),TRIM('הדבקת לידים'!A3740)))</f>
        <v/>
      </c>
      <c r="B3740" s="0" t="str">
        <f aca="false">IF('הדבקת לידים'!B3740="","",IF(ISNUMBER('הדבקת לידים'!B3740),IF(הגדרות!$E$3&gt;0,TEXT('הדבקת לידים'!B3740,REPT("0",הגדרות!$E$3)),TEXT('הדבקת לידים'!B3740,"0")),TRIM('הדבקת לידים'!B3740)))</f>
        <v/>
      </c>
      <c r="C3740" s="0" t="n">
        <f aca="false">IF(OR(A3740&lt;&gt;"",B3740&lt;&gt;""),1,0)</f>
        <v>0</v>
      </c>
      <c r="D3740" s="0" t="str">
        <f aca="false">IF(C3740=1,MOD(ABS(SIN(ROW()*12.9898+'הדבקת לידים'!$F$2*78.233+IFERROR(--RIGHT(A3740,6),LEN(A3740))*0.0137+IFERROR(--RIGHT(B3740,6),LEN(B3740))*0.0071))*43758.5453,1),"")</f>
        <v/>
      </c>
      <c r="E3740" s="0" t="str">
        <f aca="false">IF(C3740=1,INT(MOD(ABS(SIN(D3740*7919.123+ROW()*0.618+'הדבקת לידים'!$F$2*1.3))*43758.5453,1)*1000000)*10000+ROW(),"")</f>
        <v/>
      </c>
      <c r="F3740" s="0" t="str">
        <f aca="false">IF(E3740="","",RANK(E3740,$E$2:$E$5001,1))</f>
        <v/>
      </c>
      <c r="G3740" s="0" t="n">
        <f aca="false">IF(A3740="",0,IF(SUMPRODUCT(--($A$2:$A$5001=A3740))&gt;1,1,0))</f>
        <v>0</v>
      </c>
      <c r="H3740" s="0" t="n">
        <f aca="false">ROW()-1</f>
        <v>3739</v>
      </c>
      <c r="I3740" s="0" t="str">
        <f aca="false">IF(OR(הגדרות!$E$6=0,H3740&gt;הגדרות!$E$5),"",IF(H3740-1&lt;הגדרות!$E$8*(הגדרות!$E$7+1),INT((H3740-1)/(הגדרות!$E$7+1)),הגדרות!$E$8+INT((H3740-1-הגדרות!$E$8*(הגדרות!$E$7+1))/הגדרות!$E$7)))</f>
        <v/>
      </c>
      <c r="J3740" s="0" t="str">
        <f aca="false">IF(I3740="","",IF(H3740-1&lt;הגדרות!$E$8*(הגדרות!$E$7+1),MOD(H3740-1,הגדרות!$E$7+1),MOD(H3740-1-הגדרות!$E$8*(הגדרות!$E$7+1),הגדרות!$E$7)))</f>
        <v/>
      </c>
      <c r="K3740" s="0" t="str">
        <f aca="false">IF(I3740="","",J3740*הגדרות!$E$6+I3740+1)</f>
        <v/>
      </c>
      <c r="L3740" s="0" t="str">
        <f aca="false">IF(K3740="","",MATCH(K3740,$F$2:$F$5001,0))</f>
        <v/>
      </c>
      <c r="M3740" s="0" t="str">
        <f aca="false">IF(I3740="","",INDEX(הגדרות!$A$2:$A$21,MOD(I3740+הגדרות!$E$9,הגדרות!$E$6)+1))</f>
        <v/>
      </c>
    </row>
    <row r="3741" customFormat="false" ht="15" hidden="false" customHeight="false" outlineLevel="0" collapsed="false">
      <c r="A3741" s="0" t="str">
        <f aca="false">IF('הדבקת לידים'!A3741="","",IF(ISNUMBER('הדבקת לידים'!A3741),IF(הגדרות!$E$2&gt;0,TEXT('הדבקת לידים'!A3741,REPT("0",הגדרות!$E$2)),TEXT('הדבקת לידים'!A3741,"0")),TRIM('הדבקת לידים'!A3741)))</f>
        <v/>
      </c>
      <c r="B3741" s="0" t="str">
        <f aca="false">IF('הדבקת לידים'!B3741="","",IF(ISNUMBER('הדבקת לידים'!B3741),IF(הגדרות!$E$3&gt;0,TEXT('הדבקת לידים'!B3741,REPT("0",הגדרות!$E$3)),TEXT('הדבקת לידים'!B3741,"0")),TRIM('הדבקת לידים'!B3741)))</f>
        <v/>
      </c>
      <c r="C3741" s="0" t="n">
        <f aca="false">IF(OR(A3741&lt;&gt;"",B3741&lt;&gt;""),1,0)</f>
        <v>0</v>
      </c>
      <c r="D3741" s="0" t="str">
        <f aca="false">IF(C3741=1,MOD(ABS(SIN(ROW()*12.9898+'הדבקת לידים'!$F$2*78.233+IFERROR(--RIGHT(A3741,6),LEN(A3741))*0.0137+IFERROR(--RIGHT(B3741,6),LEN(B3741))*0.0071))*43758.5453,1),"")</f>
        <v/>
      </c>
      <c r="E3741" s="0" t="str">
        <f aca="false">IF(C3741=1,INT(MOD(ABS(SIN(D3741*7919.123+ROW()*0.618+'הדבקת לידים'!$F$2*1.3))*43758.5453,1)*1000000)*10000+ROW(),"")</f>
        <v/>
      </c>
      <c r="F3741" s="0" t="str">
        <f aca="false">IF(E3741="","",RANK(E3741,$E$2:$E$5001,1))</f>
        <v/>
      </c>
      <c r="G3741" s="0" t="n">
        <f aca="false">IF(A3741="",0,IF(SUMPRODUCT(--($A$2:$A$5001=A3741))&gt;1,1,0))</f>
        <v>0</v>
      </c>
      <c r="H3741" s="0" t="n">
        <f aca="false">ROW()-1</f>
        <v>3740</v>
      </c>
      <c r="I3741" s="0" t="str">
        <f aca="false">IF(OR(הגדרות!$E$6=0,H3741&gt;הגדרות!$E$5),"",IF(H3741-1&lt;הגדרות!$E$8*(הגדרות!$E$7+1),INT((H3741-1)/(הגדרות!$E$7+1)),הגדרות!$E$8+INT((H3741-1-הגדרות!$E$8*(הגדרות!$E$7+1))/הגדרות!$E$7)))</f>
        <v/>
      </c>
      <c r="J3741" s="0" t="str">
        <f aca="false">IF(I3741="","",IF(H3741-1&lt;הגדרות!$E$8*(הגדרות!$E$7+1),MOD(H3741-1,הגדרות!$E$7+1),MOD(H3741-1-הגדרות!$E$8*(הגדרות!$E$7+1),הגדרות!$E$7)))</f>
        <v/>
      </c>
      <c r="K3741" s="0" t="str">
        <f aca="false">IF(I3741="","",J3741*הגדרות!$E$6+I3741+1)</f>
        <v/>
      </c>
      <c r="L3741" s="0" t="str">
        <f aca="false">IF(K3741="","",MATCH(K3741,$F$2:$F$5001,0))</f>
        <v/>
      </c>
      <c r="M3741" s="0" t="str">
        <f aca="false">IF(I3741="","",INDEX(הגדרות!$A$2:$A$21,MOD(I3741+הגדרות!$E$9,הגדרות!$E$6)+1))</f>
        <v/>
      </c>
    </row>
    <row r="3742" customFormat="false" ht="15" hidden="false" customHeight="false" outlineLevel="0" collapsed="false">
      <c r="A3742" s="0" t="str">
        <f aca="false">IF('הדבקת לידים'!A3742="","",IF(ISNUMBER('הדבקת לידים'!A3742),IF(הגדרות!$E$2&gt;0,TEXT('הדבקת לידים'!A3742,REPT("0",הגדרות!$E$2)),TEXT('הדבקת לידים'!A3742,"0")),TRIM('הדבקת לידים'!A3742)))</f>
        <v/>
      </c>
      <c r="B3742" s="0" t="str">
        <f aca="false">IF('הדבקת לידים'!B3742="","",IF(ISNUMBER('הדבקת לידים'!B3742),IF(הגדרות!$E$3&gt;0,TEXT('הדבקת לידים'!B3742,REPT("0",הגדרות!$E$3)),TEXT('הדבקת לידים'!B3742,"0")),TRIM('הדבקת לידים'!B3742)))</f>
        <v/>
      </c>
      <c r="C3742" s="0" t="n">
        <f aca="false">IF(OR(A3742&lt;&gt;"",B3742&lt;&gt;""),1,0)</f>
        <v>0</v>
      </c>
      <c r="D3742" s="0" t="str">
        <f aca="false">IF(C3742=1,MOD(ABS(SIN(ROW()*12.9898+'הדבקת לידים'!$F$2*78.233+IFERROR(--RIGHT(A3742,6),LEN(A3742))*0.0137+IFERROR(--RIGHT(B3742,6),LEN(B3742))*0.0071))*43758.5453,1),"")</f>
        <v/>
      </c>
      <c r="E3742" s="0" t="str">
        <f aca="false">IF(C3742=1,INT(MOD(ABS(SIN(D3742*7919.123+ROW()*0.618+'הדבקת לידים'!$F$2*1.3))*43758.5453,1)*1000000)*10000+ROW(),"")</f>
        <v/>
      </c>
      <c r="F3742" s="0" t="str">
        <f aca="false">IF(E3742="","",RANK(E3742,$E$2:$E$5001,1))</f>
        <v/>
      </c>
      <c r="G3742" s="0" t="n">
        <f aca="false">IF(A3742="",0,IF(SUMPRODUCT(--($A$2:$A$5001=A3742))&gt;1,1,0))</f>
        <v>0</v>
      </c>
      <c r="H3742" s="0" t="n">
        <f aca="false">ROW()-1</f>
        <v>3741</v>
      </c>
      <c r="I3742" s="0" t="str">
        <f aca="false">IF(OR(הגדרות!$E$6=0,H3742&gt;הגדרות!$E$5),"",IF(H3742-1&lt;הגדרות!$E$8*(הגדרות!$E$7+1),INT((H3742-1)/(הגדרות!$E$7+1)),הגדרות!$E$8+INT((H3742-1-הגדרות!$E$8*(הגדרות!$E$7+1))/הגדרות!$E$7)))</f>
        <v/>
      </c>
      <c r="J3742" s="0" t="str">
        <f aca="false">IF(I3742="","",IF(H3742-1&lt;הגדרות!$E$8*(הגדרות!$E$7+1),MOD(H3742-1,הגדרות!$E$7+1),MOD(H3742-1-הגדרות!$E$8*(הגדרות!$E$7+1),הגדרות!$E$7)))</f>
        <v/>
      </c>
      <c r="K3742" s="0" t="str">
        <f aca="false">IF(I3742="","",J3742*הגדרות!$E$6+I3742+1)</f>
        <v/>
      </c>
      <c r="L3742" s="0" t="str">
        <f aca="false">IF(K3742="","",MATCH(K3742,$F$2:$F$5001,0))</f>
        <v/>
      </c>
      <c r="M3742" s="0" t="str">
        <f aca="false">IF(I3742="","",INDEX(הגדרות!$A$2:$A$21,MOD(I3742+הגדרות!$E$9,הגדרות!$E$6)+1))</f>
        <v/>
      </c>
    </row>
    <row r="3743" customFormat="false" ht="15" hidden="false" customHeight="false" outlineLevel="0" collapsed="false">
      <c r="A3743" s="0" t="str">
        <f aca="false">IF('הדבקת לידים'!A3743="","",IF(ISNUMBER('הדבקת לידים'!A3743),IF(הגדרות!$E$2&gt;0,TEXT('הדבקת לידים'!A3743,REPT("0",הגדרות!$E$2)),TEXT('הדבקת לידים'!A3743,"0")),TRIM('הדבקת לידים'!A3743)))</f>
        <v/>
      </c>
      <c r="B3743" s="0" t="str">
        <f aca="false">IF('הדבקת לידים'!B3743="","",IF(ISNUMBER('הדבקת לידים'!B3743),IF(הגדרות!$E$3&gt;0,TEXT('הדבקת לידים'!B3743,REPT("0",הגדרות!$E$3)),TEXT('הדבקת לידים'!B3743,"0")),TRIM('הדבקת לידים'!B3743)))</f>
        <v/>
      </c>
      <c r="C3743" s="0" t="n">
        <f aca="false">IF(OR(A3743&lt;&gt;"",B3743&lt;&gt;""),1,0)</f>
        <v>0</v>
      </c>
      <c r="D3743" s="0" t="str">
        <f aca="false">IF(C3743=1,MOD(ABS(SIN(ROW()*12.9898+'הדבקת לידים'!$F$2*78.233+IFERROR(--RIGHT(A3743,6),LEN(A3743))*0.0137+IFERROR(--RIGHT(B3743,6),LEN(B3743))*0.0071))*43758.5453,1),"")</f>
        <v/>
      </c>
      <c r="E3743" s="0" t="str">
        <f aca="false">IF(C3743=1,INT(MOD(ABS(SIN(D3743*7919.123+ROW()*0.618+'הדבקת לידים'!$F$2*1.3))*43758.5453,1)*1000000)*10000+ROW(),"")</f>
        <v/>
      </c>
      <c r="F3743" s="0" t="str">
        <f aca="false">IF(E3743="","",RANK(E3743,$E$2:$E$5001,1))</f>
        <v/>
      </c>
      <c r="G3743" s="0" t="n">
        <f aca="false">IF(A3743="",0,IF(SUMPRODUCT(--($A$2:$A$5001=A3743))&gt;1,1,0))</f>
        <v>0</v>
      </c>
      <c r="H3743" s="0" t="n">
        <f aca="false">ROW()-1</f>
        <v>3742</v>
      </c>
      <c r="I3743" s="0" t="str">
        <f aca="false">IF(OR(הגדרות!$E$6=0,H3743&gt;הגדרות!$E$5),"",IF(H3743-1&lt;הגדרות!$E$8*(הגדרות!$E$7+1),INT((H3743-1)/(הגדרות!$E$7+1)),הגדרות!$E$8+INT((H3743-1-הגדרות!$E$8*(הגדרות!$E$7+1))/הגדרות!$E$7)))</f>
        <v/>
      </c>
      <c r="J3743" s="0" t="str">
        <f aca="false">IF(I3743="","",IF(H3743-1&lt;הגדרות!$E$8*(הגדרות!$E$7+1),MOD(H3743-1,הגדרות!$E$7+1),MOD(H3743-1-הגדרות!$E$8*(הגדרות!$E$7+1),הגדרות!$E$7)))</f>
        <v/>
      </c>
      <c r="K3743" s="0" t="str">
        <f aca="false">IF(I3743="","",J3743*הגדרות!$E$6+I3743+1)</f>
        <v/>
      </c>
      <c r="L3743" s="0" t="str">
        <f aca="false">IF(K3743="","",MATCH(K3743,$F$2:$F$5001,0))</f>
        <v/>
      </c>
      <c r="M3743" s="0" t="str">
        <f aca="false">IF(I3743="","",INDEX(הגדרות!$A$2:$A$21,MOD(I3743+הגדרות!$E$9,הגדרות!$E$6)+1))</f>
        <v/>
      </c>
    </row>
    <row r="3744" customFormat="false" ht="15" hidden="false" customHeight="false" outlineLevel="0" collapsed="false">
      <c r="A3744" s="0" t="str">
        <f aca="false">IF('הדבקת לידים'!A3744="","",IF(ISNUMBER('הדבקת לידים'!A3744),IF(הגדרות!$E$2&gt;0,TEXT('הדבקת לידים'!A3744,REPT("0",הגדרות!$E$2)),TEXT('הדבקת לידים'!A3744,"0")),TRIM('הדבקת לידים'!A3744)))</f>
        <v/>
      </c>
      <c r="B3744" s="0" t="str">
        <f aca="false">IF('הדבקת לידים'!B3744="","",IF(ISNUMBER('הדבקת לידים'!B3744),IF(הגדרות!$E$3&gt;0,TEXT('הדבקת לידים'!B3744,REPT("0",הגדרות!$E$3)),TEXT('הדבקת לידים'!B3744,"0")),TRIM('הדבקת לידים'!B3744)))</f>
        <v/>
      </c>
      <c r="C3744" s="0" t="n">
        <f aca="false">IF(OR(A3744&lt;&gt;"",B3744&lt;&gt;""),1,0)</f>
        <v>0</v>
      </c>
      <c r="D3744" s="0" t="str">
        <f aca="false">IF(C3744=1,MOD(ABS(SIN(ROW()*12.9898+'הדבקת לידים'!$F$2*78.233+IFERROR(--RIGHT(A3744,6),LEN(A3744))*0.0137+IFERROR(--RIGHT(B3744,6),LEN(B3744))*0.0071))*43758.5453,1),"")</f>
        <v/>
      </c>
      <c r="E3744" s="0" t="str">
        <f aca="false">IF(C3744=1,INT(MOD(ABS(SIN(D3744*7919.123+ROW()*0.618+'הדבקת לידים'!$F$2*1.3))*43758.5453,1)*1000000)*10000+ROW(),"")</f>
        <v/>
      </c>
      <c r="F3744" s="0" t="str">
        <f aca="false">IF(E3744="","",RANK(E3744,$E$2:$E$5001,1))</f>
        <v/>
      </c>
      <c r="G3744" s="0" t="n">
        <f aca="false">IF(A3744="",0,IF(SUMPRODUCT(--($A$2:$A$5001=A3744))&gt;1,1,0))</f>
        <v>0</v>
      </c>
      <c r="H3744" s="0" t="n">
        <f aca="false">ROW()-1</f>
        <v>3743</v>
      </c>
      <c r="I3744" s="0" t="str">
        <f aca="false">IF(OR(הגדרות!$E$6=0,H3744&gt;הגדרות!$E$5),"",IF(H3744-1&lt;הגדרות!$E$8*(הגדרות!$E$7+1),INT((H3744-1)/(הגדרות!$E$7+1)),הגדרות!$E$8+INT((H3744-1-הגדרות!$E$8*(הגדרות!$E$7+1))/הגדרות!$E$7)))</f>
        <v/>
      </c>
      <c r="J3744" s="0" t="str">
        <f aca="false">IF(I3744="","",IF(H3744-1&lt;הגדרות!$E$8*(הגדרות!$E$7+1),MOD(H3744-1,הגדרות!$E$7+1),MOD(H3744-1-הגדרות!$E$8*(הגדרות!$E$7+1),הגדרות!$E$7)))</f>
        <v/>
      </c>
      <c r="K3744" s="0" t="str">
        <f aca="false">IF(I3744="","",J3744*הגדרות!$E$6+I3744+1)</f>
        <v/>
      </c>
      <c r="L3744" s="0" t="str">
        <f aca="false">IF(K3744="","",MATCH(K3744,$F$2:$F$5001,0))</f>
        <v/>
      </c>
      <c r="M3744" s="0" t="str">
        <f aca="false">IF(I3744="","",INDEX(הגדרות!$A$2:$A$21,MOD(I3744+הגדרות!$E$9,הגדרות!$E$6)+1))</f>
        <v/>
      </c>
    </row>
    <row r="3745" customFormat="false" ht="15" hidden="false" customHeight="false" outlineLevel="0" collapsed="false">
      <c r="A3745" s="0" t="str">
        <f aca="false">IF('הדבקת לידים'!A3745="","",IF(ISNUMBER('הדבקת לידים'!A3745),IF(הגדרות!$E$2&gt;0,TEXT('הדבקת לידים'!A3745,REPT("0",הגדרות!$E$2)),TEXT('הדבקת לידים'!A3745,"0")),TRIM('הדבקת לידים'!A3745)))</f>
        <v/>
      </c>
      <c r="B3745" s="0" t="str">
        <f aca="false">IF('הדבקת לידים'!B3745="","",IF(ISNUMBER('הדבקת לידים'!B3745),IF(הגדרות!$E$3&gt;0,TEXT('הדבקת לידים'!B3745,REPT("0",הגדרות!$E$3)),TEXT('הדבקת לידים'!B3745,"0")),TRIM('הדבקת לידים'!B3745)))</f>
        <v/>
      </c>
      <c r="C3745" s="0" t="n">
        <f aca="false">IF(OR(A3745&lt;&gt;"",B3745&lt;&gt;""),1,0)</f>
        <v>0</v>
      </c>
      <c r="D3745" s="0" t="str">
        <f aca="false">IF(C3745=1,MOD(ABS(SIN(ROW()*12.9898+'הדבקת לידים'!$F$2*78.233+IFERROR(--RIGHT(A3745,6),LEN(A3745))*0.0137+IFERROR(--RIGHT(B3745,6),LEN(B3745))*0.0071))*43758.5453,1),"")</f>
        <v/>
      </c>
      <c r="E3745" s="0" t="str">
        <f aca="false">IF(C3745=1,INT(MOD(ABS(SIN(D3745*7919.123+ROW()*0.618+'הדבקת לידים'!$F$2*1.3))*43758.5453,1)*1000000)*10000+ROW(),"")</f>
        <v/>
      </c>
      <c r="F3745" s="0" t="str">
        <f aca="false">IF(E3745="","",RANK(E3745,$E$2:$E$5001,1))</f>
        <v/>
      </c>
      <c r="G3745" s="0" t="n">
        <f aca="false">IF(A3745="",0,IF(SUMPRODUCT(--($A$2:$A$5001=A3745))&gt;1,1,0))</f>
        <v>0</v>
      </c>
      <c r="H3745" s="0" t="n">
        <f aca="false">ROW()-1</f>
        <v>3744</v>
      </c>
      <c r="I3745" s="0" t="str">
        <f aca="false">IF(OR(הגדרות!$E$6=0,H3745&gt;הגדרות!$E$5),"",IF(H3745-1&lt;הגדרות!$E$8*(הגדרות!$E$7+1),INT((H3745-1)/(הגדרות!$E$7+1)),הגדרות!$E$8+INT((H3745-1-הגדרות!$E$8*(הגדרות!$E$7+1))/הגדרות!$E$7)))</f>
        <v/>
      </c>
      <c r="J3745" s="0" t="str">
        <f aca="false">IF(I3745="","",IF(H3745-1&lt;הגדרות!$E$8*(הגדרות!$E$7+1),MOD(H3745-1,הגדרות!$E$7+1),MOD(H3745-1-הגדרות!$E$8*(הגדרות!$E$7+1),הגדרות!$E$7)))</f>
        <v/>
      </c>
      <c r="K3745" s="0" t="str">
        <f aca="false">IF(I3745="","",J3745*הגדרות!$E$6+I3745+1)</f>
        <v/>
      </c>
      <c r="L3745" s="0" t="str">
        <f aca="false">IF(K3745="","",MATCH(K3745,$F$2:$F$5001,0))</f>
        <v/>
      </c>
      <c r="M3745" s="0" t="str">
        <f aca="false">IF(I3745="","",INDEX(הגדרות!$A$2:$A$21,MOD(I3745+הגדרות!$E$9,הגדרות!$E$6)+1))</f>
        <v/>
      </c>
    </row>
    <row r="3746" customFormat="false" ht="15" hidden="false" customHeight="false" outlineLevel="0" collapsed="false">
      <c r="A3746" s="0" t="str">
        <f aca="false">IF('הדבקת לידים'!A3746="","",IF(ISNUMBER('הדבקת לידים'!A3746),IF(הגדרות!$E$2&gt;0,TEXT('הדבקת לידים'!A3746,REPT("0",הגדרות!$E$2)),TEXT('הדבקת לידים'!A3746,"0")),TRIM('הדבקת לידים'!A3746)))</f>
        <v/>
      </c>
      <c r="B3746" s="0" t="str">
        <f aca="false">IF('הדבקת לידים'!B3746="","",IF(ISNUMBER('הדבקת לידים'!B3746),IF(הגדרות!$E$3&gt;0,TEXT('הדבקת לידים'!B3746,REPT("0",הגדרות!$E$3)),TEXT('הדבקת לידים'!B3746,"0")),TRIM('הדבקת לידים'!B3746)))</f>
        <v/>
      </c>
      <c r="C3746" s="0" t="n">
        <f aca="false">IF(OR(A3746&lt;&gt;"",B3746&lt;&gt;""),1,0)</f>
        <v>0</v>
      </c>
      <c r="D3746" s="0" t="str">
        <f aca="false">IF(C3746=1,MOD(ABS(SIN(ROW()*12.9898+'הדבקת לידים'!$F$2*78.233+IFERROR(--RIGHT(A3746,6),LEN(A3746))*0.0137+IFERROR(--RIGHT(B3746,6),LEN(B3746))*0.0071))*43758.5453,1),"")</f>
        <v/>
      </c>
      <c r="E3746" s="0" t="str">
        <f aca="false">IF(C3746=1,INT(MOD(ABS(SIN(D3746*7919.123+ROW()*0.618+'הדבקת לידים'!$F$2*1.3))*43758.5453,1)*1000000)*10000+ROW(),"")</f>
        <v/>
      </c>
      <c r="F3746" s="0" t="str">
        <f aca="false">IF(E3746="","",RANK(E3746,$E$2:$E$5001,1))</f>
        <v/>
      </c>
      <c r="G3746" s="0" t="n">
        <f aca="false">IF(A3746="",0,IF(SUMPRODUCT(--($A$2:$A$5001=A3746))&gt;1,1,0))</f>
        <v>0</v>
      </c>
      <c r="H3746" s="0" t="n">
        <f aca="false">ROW()-1</f>
        <v>3745</v>
      </c>
      <c r="I3746" s="0" t="str">
        <f aca="false">IF(OR(הגדרות!$E$6=0,H3746&gt;הגדרות!$E$5),"",IF(H3746-1&lt;הגדרות!$E$8*(הגדרות!$E$7+1),INT((H3746-1)/(הגדרות!$E$7+1)),הגדרות!$E$8+INT((H3746-1-הגדרות!$E$8*(הגדרות!$E$7+1))/הגדרות!$E$7)))</f>
        <v/>
      </c>
      <c r="J3746" s="0" t="str">
        <f aca="false">IF(I3746="","",IF(H3746-1&lt;הגדרות!$E$8*(הגדרות!$E$7+1),MOD(H3746-1,הגדרות!$E$7+1),MOD(H3746-1-הגדרות!$E$8*(הגדרות!$E$7+1),הגדרות!$E$7)))</f>
        <v/>
      </c>
      <c r="K3746" s="0" t="str">
        <f aca="false">IF(I3746="","",J3746*הגדרות!$E$6+I3746+1)</f>
        <v/>
      </c>
      <c r="L3746" s="0" t="str">
        <f aca="false">IF(K3746="","",MATCH(K3746,$F$2:$F$5001,0))</f>
        <v/>
      </c>
      <c r="M3746" s="0" t="str">
        <f aca="false">IF(I3746="","",INDEX(הגדרות!$A$2:$A$21,MOD(I3746+הגדרות!$E$9,הגדרות!$E$6)+1))</f>
        <v/>
      </c>
    </row>
    <row r="3747" customFormat="false" ht="15" hidden="false" customHeight="false" outlineLevel="0" collapsed="false">
      <c r="A3747" s="0" t="str">
        <f aca="false">IF('הדבקת לידים'!A3747="","",IF(ISNUMBER('הדבקת לידים'!A3747),IF(הגדרות!$E$2&gt;0,TEXT('הדבקת לידים'!A3747,REPT("0",הגדרות!$E$2)),TEXT('הדבקת לידים'!A3747,"0")),TRIM('הדבקת לידים'!A3747)))</f>
        <v/>
      </c>
      <c r="B3747" s="0" t="str">
        <f aca="false">IF('הדבקת לידים'!B3747="","",IF(ISNUMBER('הדבקת לידים'!B3747),IF(הגדרות!$E$3&gt;0,TEXT('הדבקת לידים'!B3747,REPT("0",הגדרות!$E$3)),TEXT('הדבקת לידים'!B3747,"0")),TRIM('הדבקת לידים'!B3747)))</f>
        <v/>
      </c>
      <c r="C3747" s="0" t="n">
        <f aca="false">IF(OR(A3747&lt;&gt;"",B3747&lt;&gt;""),1,0)</f>
        <v>0</v>
      </c>
      <c r="D3747" s="0" t="str">
        <f aca="false">IF(C3747=1,MOD(ABS(SIN(ROW()*12.9898+'הדבקת לידים'!$F$2*78.233+IFERROR(--RIGHT(A3747,6),LEN(A3747))*0.0137+IFERROR(--RIGHT(B3747,6),LEN(B3747))*0.0071))*43758.5453,1),"")</f>
        <v/>
      </c>
      <c r="E3747" s="0" t="str">
        <f aca="false">IF(C3747=1,INT(MOD(ABS(SIN(D3747*7919.123+ROW()*0.618+'הדבקת לידים'!$F$2*1.3))*43758.5453,1)*1000000)*10000+ROW(),"")</f>
        <v/>
      </c>
      <c r="F3747" s="0" t="str">
        <f aca="false">IF(E3747="","",RANK(E3747,$E$2:$E$5001,1))</f>
        <v/>
      </c>
      <c r="G3747" s="0" t="n">
        <f aca="false">IF(A3747="",0,IF(SUMPRODUCT(--($A$2:$A$5001=A3747))&gt;1,1,0))</f>
        <v>0</v>
      </c>
      <c r="H3747" s="0" t="n">
        <f aca="false">ROW()-1</f>
        <v>3746</v>
      </c>
      <c r="I3747" s="0" t="str">
        <f aca="false">IF(OR(הגדרות!$E$6=0,H3747&gt;הגדרות!$E$5),"",IF(H3747-1&lt;הגדרות!$E$8*(הגדרות!$E$7+1),INT((H3747-1)/(הגדרות!$E$7+1)),הגדרות!$E$8+INT((H3747-1-הגדרות!$E$8*(הגדרות!$E$7+1))/הגדרות!$E$7)))</f>
        <v/>
      </c>
      <c r="J3747" s="0" t="str">
        <f aca="false">IF(I3747="","",IF(H3747-1&lt;הגדרות!$E$8*(הגדרות!$E$7+1),MOD(H3747-1,הגדרות!$E$7+1),MOD(H3747-1-הגדרות!$E$8*(הגדרות!$E$7+1),הגדרות!$E$7)))</f>
        <v/>
      </c>
      <c r="K3747" s="0" t="str">
        <f aca="false">IF(I3747="","",J3747*הגדרות!$E$6+I3747+1)</f>
        <v/>
      </c>
      <c r="L3747" s="0" t="str">
        <f aca="false">IF(K3747="","",MATCH(K3747,$F$2:$F$5001,0))</f>
        <v/>
      </c>
      <c r="M3747" s="0" t="str">
        <f aca="false">IF(I3747="","",INDEX(הגדרות!$A$2:$A$21,MOD(I3747+הגדרות!$E$9,הגדרות!$E$6)+1))</f>
        <v/>
      </c>
    </row>
    <row r="3748" customFormat="false" ht="15" hidden="false" customHeight="false" outlineLevel="0" collapsed="false">
      <c r="A3748" s="0" t="str">
        <f aca="false">IF('הדבקת לידים'!A3748="","",IF(ISNUMBER('הדבקת לידים'!A3748),IF(הגדרות!$E$2&gt;0,TEXT('הדבקת לידים'!A3748,REPT("0",הגדרות!$E$2)),TEXT('הדבקת לידים'!A3748,"0")),TRIM('הדבקת לידים'!A3748)))</f>
        <v/>
      </c>
      <c r="B3748" s="0" t="str">
        <f aca="false">IF('הדבקת לידים'!B3748="","",IF(ISNUMBER('הדבקת לידים'!B3748),IF(הגדרות!$E$3&gt;0,TEXT('הדבקת לידים'!B3748,REPT("0",הגדרות!$E$3)),TEXT('הדבקת לידים'!B3748,"0")),TRIM('הדבקת לידים'!B3748)))</f>
        <v/>
      </c>
      <c r="C3748" s="0" t="n">
        <f aca="false">IF(OR(A3748&lt;&gt;"",B3748&lt;&gt;""),1,0)</f>
        <v>0</v>
      </c>
      <c r="D3748" s="0" t="str">
        <f aca="false">IF(C3748=1,MOD(ABS(SIN(ROW()*12.9898+'הדבקת לידים'!$F$2*78.233+IFERROR(--RIGHT(A3748,6),LEN(A3748))*0.0137+IFERROR(--RIGHT(B3748,6),LEN(B3748))*0.0071))*43758.5453,1),"")</f>
        <v/>
      </c>
      <c r="E3748" s="0" t="str">
        <f aca="false">IF(C3748=1,INT(MOD(ABS(SIN(D3748*7919.123+ROW()*0.618+'הדבקת לידים'!$F$2*1.3))*43758.5453,1)*1000000)*10000+ROW(),"")</f>
        <v/>
      </c>
      <c r="F3748" s="0" t="str">
        <f aca="false">IF(E3748="","",RANK(E3748,$E$2:$E$5001,1))</f>
        <v/>
      </c>
      <c r="G3748" s="0" t="n">
        <f aca="false">IF(A3748="",0,IF(SUMPRODUCT(--($A$2:$A$5001=A3748))&gt;1,1,0))</f>
        <v>0</v>
      </c>
      <c r="H3748" s="0" t="n">
        <f aca="false">ROW()-1</f>
        <v>3747</v>
      </c>
      <c r="I3748" s="0" t="str">
        <f aca="false">IF(OR(הגדרות!$E$6=0,H3748&gt;הגדרות!$E$5),"",IF(H3748-1&lt;הגדרות!$E$8*(הגדרות!$E$7+1),INT((H3748-1)/(הגדרות!$E$7+1)),הגדרות!$E$8+INT((H3748-1-הגדרות!$E$8*(הגדרות!$E$7+1))/הגדרות!$E$7)))</f>
        <v/>
      </c>
      <c r="J3748" s="0" t="str">
        <f aca="false">IF(I3748="","",IF(H3748-1&lt;הגדרות!$E$8*(הגדרות!$E$7+1),MOD(H3748-1,הגדרות!$E$7+1),MOD(H3748-1-הגדרות!$E$8*(הגדרות!$E$7+1),הגדרות!$E$7)))</f>
        <v/>
      </c>
      <c r="K3748" s="0" t="str">
        <f aca="false">IF(I3748="","",J3748*הגדרות!$E$6+I3748+1)</f>
        <v/>
      </c>
      <c r="L3748" s="0" t="str">
        <f aca="false">IF(K3748="","",MATCH(K3748,$F$2:$F$5001,0))</f>
        <v/>
      </c>
      <c r="M3748" s="0" t="str">
        <f aca="false">IF(I3748="","",INDEX(הגדרות!$A$2:$A$21,MOD(I3748+הגדרות!$E$9,הגדרות!$E$6)+1))</f>
        <v/>
      </c>
    </row>
    <row r="3749" customFormat="false" ht="15" hidden="false" customHeight="false" outlineLevel="0" collapsed="false">
      <c r="A3749" s="0" t="str">
        <f aca="false">IF('הדבקת לידים'!A3749="","",IF(ISNUMBER('הדבקת לידים'!A3749),IF(הגדרות!$E$2&gt;0,TEXT('הדבקת לידים'!A3749,REPT("0",הגדרות!$E$2)),TEXT('הדבקת לידים'!A3749,"0")),TRIM('הדבקת לידים'!A3749)))</f>
        <v/>
      </c>
      <c r="B3749" s="0" t="str">
        <f aca="false">IF('הדבקת לידים'!B3749="","",IF(ISNUMBER('הדבקת לידים'!B3749),IF(הגדרות!$E$3&gt;0,TEXT('הדבקת לידים'!B3749,REPT("0",הגדרות!$E$3)),TEXT('הדבקת לידים'!B3749,"0")),TRIM('הדבקת לידים'!B3749)))</f>
        <v/>
      </c>
      <c r="C3749" s="0" t="n">
        <f aca="false">IF(OR(A3749&lt;&gt;"",B3749&lt;&gt;""),1,0)</f>
        <v>0</v>
      </c>
      <c r="D3749" s="0" t="str">
        <f aca="false">IF(C3749=1,MOD(ABS(SIN(ROW()*12.9898+'הדבקת לידים'!$F$2*78.233+IFERROR(--RIGHT(A3749,6),LEN(A3749))*0.0137+IFERROR(--RIGHT(B3749,6),LEN(B3749))*0.0071))*43758.5453,1),"")</f>
        <v/>
      </c>
      <c r="E3749" s="0" t="str">
        <f aca="false">IF(C3749=1,INT(MOD(ABS(SIN(D3749*7919.123+ROW()*0.618+'הדבקת לידים'!$F$2*1.3))*43758.5453,1)*1000000)*10000+ROW(),"")</f>
        <v/>
      </c>
      <c r="F3749" s="0" t="str">
        <f aca="false">IF(E3749="","",RANK(E3749,$E$2:$E$5001,1))</f>
        <v/>
      </c>
      <c r="G3749" s="0" t="n">
        <f aca="false">IF(A3749="",0,IF(SUMPRODUCT(--($A$2:$A$5001=A3749))&gt;1,1,0))</f>
        <v>0</v>
      </c>
      <c r="H3749" s="0" t="n">
        <f aca="false">ROW()-1</f>
        <v>3748</v>
      </c>
      <c r="I3749" s="0" t="str">
        <f aca="false">IF(OR(הגדרות!$E$6=0,H3749&gt;הגדרות!$E$5),"",IF(H3749-1&lt;הגדרות!$E$8*(הגדרות!$E$7+1),INT((H3749-1)/(הגדרות!$E$7+1)),הגדרות!$E$8+INT((H3749-1-הגדרות!$E$8*(הגדרות!$E$7+1))/הגדרות!$E$7)))</f>
        <v/>
      </c>
      <c r="J3749" s="0" t="str">
        <f aca="false">IF(I3749="","",IF(H3749-1&lt;הגדרות!$E$8*(הגדרות!$E$7+1),MOD(H3749-1,הגדרות!$E$7+1),MOD(H3749-1-הגדרות!$E$8*(הגדרות!$E$7+1),הגדרות!$E$7)))</f>
        <v/>
      </c>
      <c r="K3749" s="0" t="str">
        <f aca="false">IF(I3749="","",J3749*הגדרות!$E$6+I3749+1)</f>
        <v/>
      </c>
      <c r="L3749" s="0" t="str">
        <f aca="false">IF(K3749="","",MATCH(K3749,$F$2:$F$5001,0))</f>
        <v/>
      </c>
      <c r="M3749" s="0" t="str">
        <f aca="false">IF(I3749="","",INDEX(הגדרות!$A$2:$A$21,MOD(I3749+הגדרות!$E$9,הגדרות!$E$6)+1))</f>
        <v/>
      </c>
    </row>
    <row r="3750" customFormat="false" ht="15" hidden="false" customHeight="false" outlineLevel="0" collapsed="false">
      <c r="A3750" s="0" t="str">
        <f aca="false">IF('הדבקת לידים'!A3750="","",IF(ISNUMBER('הדבקת לידים'!A3750),IF(הגדרות!$E$2&gt;0,TEXT('הדבקת לידים'!A3750,REPT("0",הגדרות!$E$2)),TEXT('הדבקת לידים'!A3750,"0")),TRIM('הדבקת לידים'!A3750)))</f>
        <v/>
      </c>
      <c r="B3750" s="0" t="str">
        <f aca="false">IF('הדבקת לידים'!B3750="","",IF(ISNUMBER('הדבקת לידים'!B3750),IF(הגדרות!$E$3&gt;0,TEXT('הדבקת לידים'!B3750,REPT("0",הגדרות!$E$3)),TEXT('הדבקת לידים'!B3750,"0")),TRIM('הדבקת לידים'!B3750)))</f>
        <v/>
      </c>
      <c r="C3750" s="0" t="n">
        <f aca="false">IF(OR(A3750&lt;&gt;"",B3750&lt;&gt;""),1,0)</f>
        <v>0</v>
      </c>
      <c r="D3750" s="0" t="str">
        <f aca="false">IF(C3750=1,MOD(ABS(SIN(ROW()*12.9898+'הדבקת לידים'!$F$2*78.233+IFERROR(--RIGHT(A3750,6),LEN(A3750))*0.0137+IFERROR(--RIGHT(B3750,6),LEN(B3750))*0.0071))*43758.5453,1),"")</f>
        <v/>
      </c>
      <c r="E3750" s="0" t="str">
        <f aca="false">IF(C3750=1,INT(MOD(ABS(SIN(D3750*7919.123+ROW()*0.618+'הדבקת לידים'!$F$2*1.3))*43758.5453,1)*1000000)*10000+ROW(),"")</f>
        <v/>
      </c>
      <c r="F3750" s="0" t="str">
        <f aca="false">IF(E3750="","",RANK(E3750,$E$2:$E$5001,1))</f>
        <v/>
      </c>
      <c r="G3750" s="0" t="n">
        <f aca="false">IF(A3750="",0,IF(SUMPRODUCT(--($A$2:$A$5001=A3750))&gt;1,1,0))</f>
        <v>0</v>
      </c>
      <c r="H3750" s="0" t="n">
        <f aca="false">ROW()-1</f>
        <v>3749</v>
      </c>
      <c r="I3750" s="0" t="str">
        <f aca="false">IF(OR(הגדרות!$E$6=0,H3750&gt;הגדרות!$E$5),"",IF(H3750-1&lt;הגדרות!$E$8*(הגדרות!$E$7+1),INT((H3750-1)/(הגדרות!$E$7+1)),הגדרות!$E$8+INT((H3750-1-הגדרות!$E$8*(הגדרות!$E$7+1))/הגדרות!$E$7)))</f>
        <v/>
      </c>
      <c r="J3750" s="0" t="str">
        <f aca="false">IF(I3750="","",IF(H3750-1&lt;הגדרות!$E$8*(הגדרות!$E$7+1),MOD(H3750-1,הגדרות!$E$7+1),MOD(H3750-1-הגדרות!$E$8*(הגדרות!$E$7+1),הגדרות!$E$7)))</f>
        <v/>
      </c>
      <c r="K3750" s="0" t="str">
        <f aca="false">IF(I3750="","",J3750*הגדרות!$E$6+I3750+1)</f>
        <v/>
      </c>
      <c r="L3750" s="0" t="str">
        <f aca="false">IF(K3750="","",MATCH(K3750,$F$2:$F$5001,0))</f>
        <v/>
      </c>
      <c r="M3750" s="0" t="str">
        <f aca="false">IF(I3750="","",INDEX(הגדרות!$A$2:$A$21,MOD(I3750+הגדרות!$E$9,הגדרות!$E$6)+1))</f>
        <v/>
      </c>
    </row>
    <row r="3751" customFormat="false" ht="15" hidden="false" customHeight="false" outlineLevel="0" collapsed="false">
      <c r="A3751" s="0" t="str">
        <f aca="false">IF('הדבקת לידים'!A3751="","",IF(ISNUMBER('הדבקת לידים'!A3751),IF(הגדרות!$E$2&gt;0,TEXT('הדבקת לידים'!A3751,REPT("0",הגדרות!$E$2)),TEXT('הדבקת לידים'!A3751,"0")),TRIM('הדבקת לידים'!A3751)))</f>
        <v/>
      </c>
      <c r="B3751" s="0" t="str">
        <f aca="false">IF('הדבקת לידים'!B3751="","",IF(ISNUMBER('הדבקת לידים'!B3751),IF(הגדרות!$E$3&gt;0,TEXT('הדבקת לידים'!B3751,REPT("0",הגדרות!$E$3)),TEXT('הדבקת לידים'!B3751,"0")),TRIM('הדבקת לידים'!B3751)))</f>
        <v/>
      </c>
      <c r="C3751" s="0" t="n">
        <f aca="false">IF(OR(A3751&lt;&gt;"",B3751&lt;&gt;""),1,0)</f>
        <v>0</v>
      </c>
      <c r="D3751" s="0" t="str">
        <f aca="false">IF(C3751=1,MOD(ABS(SIN(ROW()*12.9898+'הדבקת לידים'!$F$2*78.233+IFERROR(--RIGHT(A3751,6),LEN(A3751))*0.0137+IFERROR(--RIGHT(B3751,6),LEN(B3751))*0.0071))*43758.5453,1),"")</f>
        <v/>
      </c>
      <c r="E3751" s="0" t="str">
        <f aca="false">IF(C3751=1,INT(MOD(ABS(SIN(D3751*7919.123+ROW()*0.618+'הדבקת לידים'!$F$2*1.3))*43758.5453,1)*1000000)*10000+ROW(),"")</f>
        <v/>
      </c>
      <c r="F3751" s="0" t="str">
        <f aca="false">IF(E3751="","",RANK(E3751,$E$2:$E$5001,1))</f>
        <v/>
      </c>
      <c r="G3751" s="0" t="n">
        <f aca="false">IF(A3751="",0,IF(SUMPRODUCT(--($A$2:$A$5001=A3751))&gt;1,1,0))</f>
        <v>0</v>
      </c>
      <c r="H3751" s="0" t="n">
        <f aca="false">ROW()-1</f>
        <v>3750</v>
      </c>
      <c r="I3751" s="0" t="str">
        <f aca="false">IF(OR(הגדרות!$E$6=0,H3751&gt;הגדרות!$E$5),"",IF(H3751-1&lt;הגדרות!$E$8*(הגדרות!$E$7+1),INT((H3751-1)/(הגדרות!$E$7+1)),הגדרות!$E$8+INT((H3751-1-הגדרות!$E$8*(הגדרות!$E$7+1))/הגדרות!$E$7)))</f>
        <v/>
      </c>
      <c r="J3751" s="0" t="str">
        <f aca="false">IF(I3751="","",IF(H3751-1&lt;הגדרות!$E$8*(הגדרות!$E$7+1),MOD(H3751-1,הגדרות!$E$7+1),MOD(H3751-1-הגדרות!$E$8*(הגדרות!$E$7+1),הגדרות!$E$7)))</f>
        <v/>
      </c>
      <c r="K3751" s="0" t="str">
        <f aca="false">IF(I3751="","",J3751*הגדרות!$E$6+I3751+1)</f>
        <v/>
      </c>
      <c r="L3751" s="0" t="str">
        <f aca="false">IF(K3751="","",MATCH(K3751,$F$2:$F$5001,0))</f>
        <v/>
      </c>
      <c r="M3751" s="0" t="str">
        <f aca="false">IF(I3751="","",INDEX(הגדרות!$A$2:$A$21,MOD(I3751+הגדרות!$E$9,הגדרות!$E$6)+1))</f>
        <v/>
      </c>
    </row>
    <row r="3752" customFormat="false" ht="15" hidden="false" customHeight="false" outlineLevel="0" collapsed="false">
      <c r="A3752" s="0" t="str">
        <f aca="false">IF('הדבקת לידים'!A3752="","",IF(ISNUMBER('הדבקת לידים'!A3752),IF(הגדרות!$E$2&gt;0,TEXT('הדבקת לידים'!A3752,REPT("0",הגדרות!$E$2)),TEXT('הדבקת לידים'!A3752,"0")),TRIM('הדבקת לידים'!A3752)))</f>
        <v/>
      </c>
      <c r="B3752" s="0" t="str">
        <f aca="false">IF('הדבקת לידים'!B3752="","",IF(ISNUMBER('הדבקת לידים'!B3752),IF(הגדרות!$E$3&gt;0,TEXT('הדבקת לידים'!B3752,REPT("0",הגדרות!$E$3)),TEXT('הדבקת לידים'!B3752,"0")),TRIM('הדבקת לידים'!B3752)))</f>
        <v/>
      </c>
      <c r="C3752" s="0" t="n">
        <f aca="false">IF(OR(A3752&lt;&gt;"",B3752&lt;&gt;""),1,0)</f>
        <v>0</v>
      </c>
      <c r="D3752" s="0" t="str">
        <f aca="false">IF(C3752=1,MOD(ABS(SIN(ROW()*12.9898+'הדבקת לידים'!$F$2*78.233+IFERROR(--RIGHT(A3752,6),LEN(A3752))*0.0137+IFERROR(--RIGHT(B3752,6),LEN(B3752))*0.0071))*43758.5453,1),"")</f>
        <v/>
      </c>
      <c r="E3752" s="0" t="str">
        <f aca="false">IF(C3752=1,INT(MOD(ABS(SIN(D3752*7919.123+ROW()*0.618+'הדבקת לידים'!$F$2*1.3))*43758.5453,1)*1000000)*10000+ROW(),"")</f>
        <v/>
      </c>
      <c r="F3752" s="0" t="str">
        <f aca="false">IF(E3752="","",RANK(E3752,$E$2:$E$5001,1))</f>
        <v/>
      </c>
      <c r="G3752" s="0" t="n">
        <f aca="false">IF(A3752="",0,IF(SUMPRODUCT(--($A$2:$A$5001=A3752))&gt;1,1,0))</f>
        <v>0</v>
      </c>
      <c r="H3752" s="0" t="n">
        <f aca="false">ROW()-1</f>
        <v>3751</v>
      </c>
      <c r="I3752" s="0" t="str">
        <f aca="false">IF(OR(הגדרות!$E$6=0,H3752&gt;הגדרות!$E$5),"",IF(H3752-1&lt;הגדרות!$E$8*(הגדרות!$E$7+1),INT((H3752-1)/(הגדרות!$E$7+1)),הגדרות!$E$8+INT((H3752-1-הגדרות!$E$8*(הגדרות!$E$7+1))/הגדרות!$E$7)))</f>
        <v/>
      </c>
      <c r="J3752" s="0" t="str">
        <f aca="false">IF(I3752="","",IF(H3752-1&lt;הגדרות!$E$8*(הגדרות!$E$7+1),MOD(H3752-1,הגדרות!$E$7+1),MOD(H3752-1-הגדרות!$E$8*(הגדרות!$E$7+1),הגדרות!$E$7)))</f>
        <v/>
      </c>
      <c r="K3752" s="0" t="str">
        <f aca="false">IF(I3752="","",J3752*הגדרות!$E$6+I3752+1)</f>
        <v/>
      </c>
      <c r="L3752" s="0" t="str">
        <f aca="false">IF(K3752="","",MATCH(K3752,$F$2:$F$5001,0))</f>
        <v/>
      </c>
      <c r="M3752" s="0" t="str">
        <f aca="false">IF(I3752="","",INDEX(הגדרות!$A$2:$A$21,MOD(I3752+הגדרות!$E$9,הגדרות!$E$6)+1))</f>
        <v/>
      </c>
    </row>
    <row r="3753" customFormat="false" ht="15" hidden="false" customHeight="false" outlineLevel="0" collapsed="false">
      <c r="A3753" s="0" t="str">
        <f aca="false">IF('הדבקת לידים'!A3753="","",IF(ISNUMBER('הדבקת לידים'!A3753),IF(הגדרות!$E$2&gt;0,TEXT('הדבקת לידים'!A3753,REPT("0",הגדרות!$E$2)),TEXT('הדבקת לידים'!A3753,"0")),TRIM('הדבקת לידים'!A3753)))</f>
        <v/>
      </c>
      <c r="B3753" s="0" t="str">
        <f aca="false">IF('הדבקת לידים'!B3753="","",IF(ISNUMBER('הדבקת לידים'!B3753),IF(הגדרות!$E$3&gt;0,TEXT('הדבקת לידים'!B3753,REPT("0",הגדרות!$E$3)),TEXT('הדבקת לידים'!B3753,"0")),TRIM('הדבקת לידים'!B3753)))</f>
        <v/>
      </c>
      <c r="C3753" s="0" t="n">
        <f aca="false">IF(OR(A3753&lt;&gt;"",B3753&lt;&gt;""),1,0)</f>
        <v>0</v>
      </c>
      <c r="D3753" s="0" t="str">
        <f aca="false">IF(C3753=1,MOD(ABS(SIN(ROW()*12.9898+'הדבקת לידים'!$F$2*78.233+IFERROR(--RIGHT(A3753,6),LEN(A3753))*0.0137+IFERROR(--RIGHT(B3753,6),LEN(B3753))*0.0071))*43758.5453,1),"")</f>
        <v/>
      </c>
      <c r="E3753" s="0" t="str">
        <f aca="false">IF(C3753=1,INT(MOD(ABS(SIN(D3753*7919.123+ROW()*0.618+'הדבקת לידים'!$F$2*1.3))*43758.5453,1)*1000000)*10000+ROW(),"")</f>
        <v/>
      </c>
      <c r="F3753" s="0" t="str">
        <f aca="false">IF(E3753="","",RANK(E3753,$E$2:$E$5001,1))</f>
        <v/>
      </c>
      <c r="G3753" s="0" t="n">
        <f aca="false">IF(A3753="",0,IF(SUMPRODUCT(--($A$2:$A$5001=A3753))&gt;1,1,0))</f>
        <v>0</v>
      </c>
      <c r="H3753" s="0" t="n">
        <f aca="false">ROW()-1</f>
        <v>3752</v>
      </c>
      <c r="I3753" s="0" t="str">
        <f aca="false">IF(OR(הגדרות!$E$6=0,H3753&gt;הגדרות!$E$5),"",IF(H3753-1&lt;הגדרות!$E$8*(הגדרות!$E$7+1),INT((H3753-1)/(הגדרות!$E$7+1)),הגדרות!$E$8+INT((H3753-1-הגדרות!$E$8*(הגדרות!$E$7+1))/הגדרות!$E$7)))</f>
        <v/>
      </c>
      <c r="J3753" s="0" t="str">
        <f aca="false">IF(I3753="","",IF(H3753-1&lt;הגדרות!$E$8*(הגדרות!$E$7+1),MOD(H3753-1,הגדרות!$E$7+1),MOD(H3753-1-הגדרות!$E$8*(הגדרות!$E$7+1),הגדרות!$E$7)))</f>
        <v/>
      </c>
      <c r="K3753" s="0" t="str">
        <f aca="false">IF(I3753="","",J3753*הגדרות!$E$6+I3753+1)</f>
        <v/>
      </c>
      <c r="L3753" s="0" t="str">
        <f aca="false">IF(K3753="","",MATCH(K3753,$F$2:$F$5001,0))</f>
        <v/>
      </c>
      <c r="M3753" s="0" t="str">
        <f aca="false">IF(I3753="","",INDEX(הגדרות!$A$2:$A$21,MOD(I3753+הגדרות!$E$9,הגדרות!$E$6)+1))</f>
        <v/>
      </c>
    </row>
    <row r="3754" customFormat="false" ht="15" hidden="false" customHeight="false" outlineLevel="0" collapsed="false">
      <c r="A3754" s="0" t="str">
        <f aca="false">IF('הדבקת לידים'!A3754="","",IF(ISNUMBER('הדבקת לידים'!A3754),IF(הגדרות!$E$2&gt;0,TEXT('הדבקת לידים'!A3754,REPT("0",הגדרות!$E$2)),TEXT('הדבקת לידים'!A3754,"0")),TRIM('הדבקת לידים'!A3754)))</f>
        <v/>
      </c>
      <c r="B3754" s="0" t="str">
        <f aca="false">IF('הדבקת לידים'!B3754="","",IF(ISNUMBER('הדבקת לידים'!B3754),IF(הגדרות!$E$3&gt;0,TEXT('הדבקת לידים'!B3754,REPT("0",הגדרות!$E$3)),TEXT('הדבקת לידים'!B3754,"0")),TRIM('הדבקת לידים'!B3754)))</f>
        <v/>
      </c>
      <c r="C3754" s="0" t="n">
        <f aca="false">IF(OR(A3754&lt;&gt;"",B3754&lt;&gt;""),1,0)</f>
        <v>0</v>
      </c>
      <c r="D3754" s="0" t="str">
        <f aca="false">IF(C3754=1,MOD(ABS(SIN(ROW()*12.9898+'הדבקת לידים'!$F$2*78.233+IFERROR(--RIGHT(A3754,6),LEN(A3754))*0.0137+IFERROR(--RIGHT(B3754,6),LEN(B3754))*0.0071))*43758.5453,1),"")</f>
        <v/>
      </c>
      <c r="E3754" s="0" t="str">
        <f aca="false">IF(C3754=1,INT(MOD(ABS(SIN(D3754*7919.123+ROW()*0.618+'הדבקת לידים'!$F$2*1.3))*43758.5453,1)*1000000)*10000+ROW(),"")</f>
        <v/>
      </c>
      <c r="F3754" s="0" t="str">
        <f aca="false">IF(E3754="","",RANK(E3754,$E$2:$E$5001,1))</f>
        <v/>
      </c>
      <c r="G3754" s="0" t="n">
        <f aca="false">IF(A3754="",0,IF(SUMPRODUCT(--($A$2:$A$5001=A3754))&gt;1,1,0))</f>
        <v>0</v>
      </c>
      <c r="H3754" s="0" t="n">
        <f aca="false">ROW()-1</f>
        <v>3753</v>
      </c>
      <c r="I3754" s="0" t="str">
        <f aca="false">IF(OR(הגדרות!$E$6=0,H3754&gt;הגדרות!$E$5),"",IF(H3754-1&lt;הגדרות!$E$8*(הגדרות!$E$7+1),INT((H3754-1)/(הגדרות!$E$7+1)),הגדרות!$E$8+INT((H3754-1-הגדרות!$E$8*(הגדרות!$E$7+1))/הגדרות!$E$7)))</f>
        <v/>
      </c>
      <c r="J3754" s="0" t="str">
        <f aca="false">IF(I3754="","",IF(H3754-1&lt;הגדרות!$E$8*(הגדרות!$E$7+1),MOD(H3754-1,הגדרות!$E$7+1),MOD(H3754-1-הגדרות!$E$8*(הגדרות!$E$7+1),הגדרות!$E$7)))</f>
        <v/>
      </c>
      <c r="K3754" s="0" t="str">
        <f aca="false">IF(I3754="","",J3754*הגדרות!$E$6+I3754+1)</f>
        <v/>
      </c>
      <c r="L3754" s="0" t="str">
        <f aca="false">IF(K3754="","",MATCH(K3754,$F$2:$F$5001,0))</f>
        <v/>
      </c>
      <c r="M3754" s="0" t="str">
        <f aca="false">IF(I3754="","",INDEX(הגדרות!$A$2:$A$21,MOD(I3754+הגדרות!$E$9,הגדרות!$E$6)+1))</f>
        <v/>
      </c>
    </row>
    <row r="3755" customFormat="false" ht="15" hidden="false" customHeight="false" outlineLevel="0" collapsed="false">
      <c r="A3755" s="0" t="str">
        <f aca="false">IF('הדבקת לידים'!A3755="","",IF(ISNUMBER('הדבקת לידים'!A3755),IF(הגדרות!$E$2&gt;0,TEXT('הדבקת לידים'!A3755,REPT("0",הגדרות!$E$2)),TEXT('הדבקת לידים'!A3755,"0")),TRIM('הדבקת לידים'!A3755)))</f>
        <v/>
      </c>
      <c r="B3755" s="0" t="str">
        <f aca="false">IF('הדבקת לידים'!B3755="","",IF(ISNUMBER('הדבקת לידים'!B3755),IF(הגדרות!$E$3&gt;0,TEXT('הדבקת לידים'!B3755,REPT("0",הגדרות!$E$3)),TEXT('הדבקת לידים'!B3755,"0")),TRIM('הדבקת לידים'!B3755)))</f>
        <v/>
      </c>
      <c r="C3755" s="0" t="n">
        <f aca="false">IF(OR(A3755&lt;&gt;"",B3755&lt;&gt;""),1,0)</f>
        <v>0</v>
      </c>
      <c r="D3755" s="0" t="str">
        <f aca="false">IF(C3755=1,MOD(ABS(SIN(ROW()*12.9898+'הדבקת לידים'!$F$2*78.233+IFERROR(--RIGHT(A3755,6),LEN(A3755))*0.0137+IFERROR(--RIGHT(B3755,6),LEN(B3755))*0.0071))*43758.5453,1),"")</f>
        <v/>
      </c>
      <c r="E3755" s="0" t="str">
        <f aca="false">IF(C3755=1,INT(MOD(ABS(SIN(D3755*7919.123+ROW()*0.618+'הדבקת לידים'!$F$2*1.3))*43758.5453,1)*1000000)*10000+ROW(),"")</f>
        <v/>
      </c>
      <c r="F3755" s="0" t="str">
        <f aca="false">IF(E3755="","",RANK(E3755,$E$2:$E$5001,1))</f>
        <v/>
      </c>
      <c r="G3755" s="0" t="n">
        <f aca="false">IF(A3755="",0,IF(SUMPRODUCT(--($A$2:$A$5001=A3755))&gt;1,1,0))</f>
        <v>0</v>
      </c>
      <c r="H3755" s="0" t="n">
        <f aca="false">ROW()-1</f>
        <v>3754</v>
      </c>
      <c r="I3755" s="0" t="str">
        <f aca="false">IF(OR(הגדרות!$E$6=0,H3755&gt;הגדרות!$E$5),"",IF(H3755-1&lt;הגדרות!$E$8*(הגדרות!$E$7+1),INT((H3755-1)/(הגדרות!$E$7+1)),הגדרות!$E$8+INT((H3755-1-הגדרות!$E$8*(הגדרות!$E$7+1))/הגדרות!$E$7)))</f>
        <v/>
      </c>
      <c r="J3755" s="0" t="str">
        <f aca="false">IF(I3755="","",IF(H3755-1&lt;הגדרות!$E$8*(הגדרות!$E$7+1),MOD(H3755-1,הגדרות!$E$7+1),MOD(H3755-1-הגדרות!$E$8*(הגדרות!$E$7+1),הגדרות!$E$7)))</f>
        <v/>
      </c>
      <c r="K3755" s="0" t="str">
        <f aca="false">IF(I3755="","",J3755*הגדרות!$E$6+I3755+1)</f>
        <v/>
      </c>
      <c r="L3755" s="0" t="str">
        <f aca="false">IF(K3755="","",MATCH(K3755,$F$2:$F$5001,0))</f>
        <v/>
      </c>
      <c r="M3755" s="0" t="str">
        <f aca="false">IF(I3755="","",INDEX(הגדרות!$A$2:$A$21,MOD(I3755+הגדרות!$E$9,הגדרות!$E$6)+1))</f>
        <v/>
      </c>
    </row>
    <row r="3756" customFormat="false" ht="15" hidden="false" customHeight="false" outlineLevel="0" collapsed="false">
      <c r="A3756" s="0" t="str">
        <f aca="false">IF('הדבקת לידים'!A3756="","",IF(ISNUMBER('הדבקת לידים'!A3756),IF(הגדרות!$E$2&gt;0,TEXT('הדבקת לידים'!A3756,REPT("0",הגדרות!$E$2)),TEXT('הדבקת לידים'!A3756,"0")),TRIM('הדבקת לידים'!A3756)))</f>
        <v/>
      </c>
      <c r="B3756" s="0" t="str">
        <f aca="false">IF('הדבקת לידים'!B3756="","",IF(ISNUMBER('הדבקת לידים'!B3756),IF(הגדרות!$E$3&gt;0,TEXT('הדבקת לידים'!B3756,REPT("0",הגדרות!$E$3)),TEXT('הדבקת לידים'!B3756,"0")),TRIM('הדבקת לידים'!B3756)))</f>
        <v/>
      </c>
      <c r="C3756" s="0" t="n">
        <f aca="false">IF(OR(A3756&lt;&gt;"",B3756&lt;&gt;""),1,0)</f>
        <v>0</v>
      </c>
      <c r="D3756" s="0" t="str">
        <f aca="false">IF(C3756=1,MOD(ABS(SIN(ROW()*12.9898+'הדבקת לידים'!$F$2*78.233+IFERROR(--RIGHT(A3756,6),LEN(A3756))*0.0137+IFERROR(--RIGHT(B3756,6),LEN(B3756))*0.0071))*43758.5453,1),"")</f>
        <v/>
      </c>
      <c r="E3756" s="0" t="str">
        <f aca="false">IF(C3756=1,INT(MOD(ABS(SIN(D3756*7919.123+ROW()*0.618+'הדבקת לידים'!$F$2*1.3))*43758.5453,1)*1000000)*10000+ROW(),"")</f>
        <v/>
      </c>
      <c r="F3756" s="0" t="str">
        <f aca="false">IF(E3756="","",RANK(E3756,$E$2:$E$5001,1))</f>
        <v/>
      </c>
      <c r="G3756" s="0" t="n">
        <f aca="false">IF(A3756="",0,IF(SUMPRODUCT(--($A$2:$A$5001=A3756))&gt;1,1,0))</f>
        <v>0</v>
      </c>
      <c r="H3756" s="0" t="n">
        <f aca="false">ROW()-1</f>
        <v>3755</v>
      </c>
      <c r="I3756" s="0" t="str">
        <f aca="false">IF(OR(הגדרות!$E$6=0,H3756&gt;הגדרות!$E$5),"",IF(H3756-1&lt;הגדרות!$E$8*(הגדרות!$E$7+1),INT((H3756-1)/(הגדרות!$E$7+1)),הגדרות!$E$8+INT((H3756-1-הגדרות!$E$8*(הגדרות!$E$7+1))/הגדרות!$E$7)))</f>
        <v/>
      </c>
      <c r="J3756" s="0" t="str">
        <f aca="false">IF(I3756="","",IF(H3756-1&lt;הגדרות!$E$8*(הגדרות!$E$7+1),MOD(H3756-1,הגדרות!$E$7+1),MOD(H3756-1-הגדרות!$E$8*(הגדרות!$E$7+1),הגדרות!$E$7)))</f>
        <v/>
      </c>
      <c r="K3756" s="0" t="str">
        <f aca="false">IF(I3756="","",J3756*הגדרות!$E$6+I3756+1)</f>
        <v/>
      </c>
      <c r="L3756" s="0" t="str">
        <f aca="false">IF(K3756="","",MATCH(K3756,$F$2:$F$5001,0))</f>
        <v/>
      </c>
      <c r="M3756" s="0" t="str">
        <f aca="false">IF(I3756="","",INDEX(הגדרות!$A$2:$A$21,MOD(I3756+הגדרות!$E$9,הגדרות!$E$6)+1))</f>
        <v/>
      </c>
    </row>
    <row r="3757" customFormat="false" ht="15" hidden="false" customHeight="false" outlineLevel="0" collapsed="false">
      <c r="A3757" s="0" t="str">
        <f aca="false">IF('הדבקת לידים'!A3757="","",IF(ISNUMBER('הדבקת לידים'!A3757),IF(הגדרות!$E$2&gt;0,TEXT('הדבקת לידים'!A3757,REPT("0",הגדרות!$E$2)),TEXT('הדבקת לידים'!A3757,"0")),TRIM('הדבקת לידים'!A3757)))</f>
        <v/>
      </c>
      <c r="B3757" s="0" t="str">
        <f aca="false">IF('הדבקת לידים'!B3757="","",IF(ISNUMBER('הדבקת לידים'!B3757),IF(הגדרות!$E$3&gt;0,TEXT('הדבקת לידים'!B3757,REPT("0",הגדרות!$E$3)),TEXT('הדבקת לידים'!B3757,"0")),TRIM('הדבקת לידים'!B3757)))</f>
        <v/>
      </c>
      <c r="C3757" s="0" t="n">
        <f aca="false">IF(OR(A3757&lt;&gt;"",B3757&lt;&gt;""),1,0)</f>
        <v>0</v>
      </c>
      <c r="D3757" s="0" t="str">
        <f aca="false">IF(C3757=1,MOD(ABS(SIN(ROW()*12.9898+'הדבקת לידים'!$F$2*78.233+IFERROR(--RIGHT(A3757,6),LEN(A3757))*0.0137+IFERROR(--RIGHT(B3757,6),LEN(B3757))*0.0071))*43758.5453,1),"")</f>
        <v/>
      </c>
      <c r="E3757" s="0" t="str">
        <f aca="false">IF(C3757=1,INT(MOD(ABS(SIN(D3757*7919.123+ROW()*0.618+'הדבקת לידים'!$F$2*1.3))*43758.5453,1)*1000000)*10000+ROW(),"")</f>
        <v/>
      </c>
      <c r="F3757" s="0" t="str">
        <f aca="false">IF(E3757="","",RANK(E3757,$E$2:$E$5001,1))</f>
        <v/>
      </c>
      <c r="G3757" s="0" t="n">
        <f aca="false">IF(A3757="",0,IF(SUMPRODUCT(--($A$2:$A$5001=A3757))&gt;1,1,0))</f>
        <v>0</v>
      </c>
      <c r="H3757" s="0" t="n">
        <f aca="false">ROW()-1</f>
        <v>3756</v>
      </c>
      <c r="I3757" s="0" t="str">
        <f aca="false">IF(OR(הגדרות!$E$6=0,H3757&gt;הגדרות!$E$5),"",IF(H3757-1&lt;הגדרות!$E$8*(הגדרות!$E$7+1),INT((H3757-1)/(הגדרות!$E$7+1)),הגדרות!$E$8+INT((H3757-1-הגדרות!$E$8*(הגדרות!$E$7+1))/הגדרות!$E$7)))</f>
        <v/>
      </c>
      <c r="J3757" s="0" t="str">
        <f aca="false">IF(I3757="","",IF(H3757-1&lt;הגדרות!$E$8*(הגדרות!$E$7+1),MOD(H3757-1,הגדרות!$E$7+1),MOD(H3757-1-הגדרות!$E$8*(הגדרות!$E$7+1),הגדרות!$E$7)))</f>
        <v/>
      </c>
      <c r="K3757" s="0" t="str">
        <f aca="false">IF(I3757="","",J3757*הגדרות!$E$6+I3757+1)</f>
        <v/>
      </c>
      <c r="L3757" s="0" t="str">
        <f aca="false">IF(K3757="","",MATCH(K3757,$F$2:$F$5001,0))</f>
        <v/>
      </c>
      <c r="M3757" s="0" t="str">
        <f aca="false">IF(I3757="","",INDEX(הגדרות!$A$2:$A$21,MOD(I3757+הגדרות!$E$9,הגדרות!$E$6)+1))</f>
        <v/>
      </c>
    </row>
    <row r="3758" customFormat="false" ht="15" hidden="false" customHeight="false" outlineLevel="0" collapsed="false">
      <c r="A3758" s="0" t="str">
        <f aca="false">IF('הדבקת לידים'!A3758="","",IF(ISNUMBER('הדבקת לידים'!A3758),IF(הגדרות!$E$2&gt;0,TEXT('הדבקת לידים'!A3758,REPT("0",הגדרות!$E$2)),TEXT('הדבקת לידים'!A3758,"0")),TRIM('הדבקת לידים'!A3758)))</f>
        <v/>
      </c>
      <c r="B3758" s="0" t="str">
        <f aca="false">IF('הדבקת לידים'!B3758="","",IF(ISNUMBER('הדבקת לידים'!B3758),IF(הגדרות!$E$3&gt;0,TEXT('הדבקת לידים'!B3758,REPT("0",הגדרות!$E$3)),TEXT('הדבקת לידים'!B3758,"0")),TRIM('הדבקת לידים'!B3758)))</f>
        <v/>
      </c>
      <c r="C3758" s="0" t="n">
        <f aca="false">IF(OR(A3758&lt;&gt;"",B3758&lt;&gt;""),1,0)</f>
        <v>0</v>
      </c>
      <c r="D3758" s="0" t="str">
        <f aca="false">IF(C3758=1,MOD(ABS(SIN(ROW()*12.9898+'הדבקת לידים'!$F$2*78.233+IFERROR(--RIGHT(A3758,6),LEN(A3758))*0.0137+IFERROR(--RIGHT(B3758,6),LEN(B3758))*0.0071))*43758.5453,1),"")</f>
        <v/>
      </c>
      <c r="E3758" s="0" t="str">
        <f aca="false">IF(C3758=1,INT(MOD(ABS(SIN(D3758*7919.123+ROW()*0.618+'הדבקת לידים'!$F$2*1.3))*43758.5453,1)*1000000)*10000+ROW(),"")</f>
        <v/>
      </c>
      <c r="F3758" s="0" t="str">
        <f aca="false">IF(E3758="","",RANK(E3758,$E$2:$E$5001,1))</f>
        <v/>
      </c>
      <c r="G3758" s="0" t="n">
        <f aca="false">IF(A3758="",0,IF(SUMPRODUCT(--($A$2:$A$5001=A3758))&gt;1,1,0))</f>
        <v>0</v>
      </c>
      <c r="H3758" s="0" t="n">
        <f aca="false">ROW()-1</f>
        <v>3757</v>
      </c>
      <c r="I3758" s="0" t="str">
        <f aca="false">IF(OR(הגדרות!$E$6=0,H3758&gt;הגדרות!$E$5),"",IF(H3758-1&lt;הגדרות!$E$8*(הגדרות!$E$7+1),INT((H3758-1)/(הגדרות!$E$7+1)),הגדרות!$E$8+INT((H3758-1-הגדרות!$E$8*(הגדרות!$E$7+1))/הגדרות!$E$7)))</f>
        <v/>
      </c>
      <c r="J3758" s="0" t="str">
        <f aca="false">IF(I3758="","",IF(H3758-1&lt;הגדרות!$E$8*(הגדרות!$E$7+1),MOD(H3758-1,הגדרות!$E$7+1),MOD(H3758-1-הגדרות!$E$8*(הגדרות!$E$7+1),הגדרות!$E$7)))</f>
        <v/>
      </c>
      <c r="K3758" s="0" t="str">
        <f aca="false">IF(I3758="","",J3758*הגדרות!$E$6+I3758+1)</f>
        <v/>
      </c>
      <c r="L3758" s="0" t="str">
        <f aca="false">IF(K3758="","",MATCH(K3758,$F$2:$F$5001,0))</f>
        <v/>
      </c>
      <c r="M3758" s="0" t="str">
        <f aca="false">IF(I3758="","",INDEX(הגדרות!$A$2:$A$21,MOD(I3758+הגדרות!$E$9,הגדרות!$E$6)+1))</f>
        <v/>
      </c>
    </row>
    <row r="3759" customFormat="false" ht="15" hidden="false" customHeight="false" outlineLevel="0" collapsed="false">
      <c r="A3759" s="0" t="str">
        <f aca="false">IF('הדבקת לידים'!A3759="","",IF(ISNUMBER('הדבקת לידים'!A3759),IF(הגדרות!$E$2&gt;0,TEXT('הדבקת לידים'!A3759,REPT("0",הגדרות!$E$2)),TEXT('הדבקת לידים'!A3759,"0")),TRIM('הדבקת לידים'!A3759)))</f>
        <v/>
      </c>
      <c r="B3759" s="0" t="str">
        <f aca="false">IF('הדבקת לידים'!B3759="","",IF(ISNUMBER('הדבקת לידים'!B3759),IF(הגדרות!$E$3&gt;0,TEXT('הדבקת לידים'!B3759,REPT("0",הגדרות!$E$3)),TEXT('הדבקת לידים'!B3759,"0")),TRIM('הדבקת לידים'!B3759)))</f>
        <v/>
      </c>
      <c r="C3759" s="0" t="n">
        <f aca="false">IF(OR(A3759&lt;&gt;"",B3759&lt;&gt;""),1,0)</f>
        <v>0</v>
      </c>
      <c r="D3759" s="0" t="str">
        <f aca="false">IF(C3759=1,MOD(ABS(SIN(ROW()*12.9898+'הדבקת לידים'!$F$2*78.233+IFERROR(--RIGHT(A3759,6),LEN(A3759))*0.0137+IFERROR(--RIGHT(B3759,6),LEN(B3759))*0.0071))*43758.5453,1),"")</f>
        <v/>
      </c>
      <c r="E3759" s="0" t="str">
        <f aca="false">IF(C3759=1,INT(MOD(ABS(SIN(D3759*7919.123+ROW()*0.618+'הדבקת לידים'!$F$2*1.3))*43758.5453,1)*1000000)*10000+ROW(),"")</f>
        <v/>
      </c>
      <c r="F3759" s="0" t="str">
        <f aca="false">IF(E3759="","",RANK(E3759,$E$2:$E$5001,1))</f>
        <v/>
      </c>
      <c r="G3759" s="0" t="n">
        <f aca="false">IF(A3759="",0,IF(SUMPRODUCT(--($A$2:$A$5001=A3759))&gt;1,1,0))</f>
        <v>0</v>
      </c>
      <c r="H3759" s="0" t="n">
        <f aca="false">ROW()-1</f>
        <v>3758</v>
      </c>
      <c r="I3759" s="0" t="str">
        <f aca="false">IF(OR(הגדרות!$E$6=0,H3759&gt;הגדרות!$E$5),"",IF(H3759-1&lt;הגדרות!$E$8*(הגדרות!$E$7+1),INT((H3759-1)/(הגדרות!$E$7+1)),הגדרות!$E$8+INT((H3759-1-הגדרות!$E$8*(הגדרות!$E$7+1))/הגדרות!$E$7)))</f>
        <v/>
      </c>
      <c r="J3759" s="0" t="str">
        <f aca="false">IF(I3759="","",IF(H3759-1&lt;הגדרות!$E$8*(הגדרות!$E$7+1),MOD(H3759-1,הגדרות!$E$7+1),MOD(H3759-1-הגדרות!$E$8*(הגדרות!$E$7+1),הגדרות!$E$7)))</f>
        <v/>
      </c>
      <c r="K3759" s="0" t="str">
        <f aca="false">IF(I3759="","",J3759*הגדרות!$E$6+I3759+1)</f>
        <v/>
      </c>
      <c r="L3759" s="0" t="str">
        <f aca="false">IF(K3759="","",MATCH(K3759,$F$2:$F$5001,0))</f>
        <v/>
      </c>
      <c r="M3759" s="0" t="str">
        <f aca="false">IF(I3759="","",INDEX(הגדרות!$A$2:$A$21,MOD(I3759+הגדרות!$E$9,הגדרות!$E$6)+1))</f>
        <v/>
      </c>
    </row>
    <row r="3760" customFormat="false" ht="15" hidden="false" customHeight="false" outlineLevel="0" collapsed="false">
      <c r="A3760" s="0" t="str">
        <f aca="false">IF('הדבקת לידים'!A3760="","",IF(ISNUMBER('הדבקת לידים'!A3760),IF(הגדרות!$E$2&gt;0,TEXT('הדבקת לידים'!A3760,REPT("0",הגדרות!$E$2)),TEXT('הדבקת לידים'!A3760,"0")),TRIM('הדבקת לידים'!A3760)))</f>
        <v/>
      </c>
      <c r="B3760" s="0" t="str">
        <f aca="false">IF('הדבקת לידים'!B3760="","",IF(ISNUMBER('הדבקת לידים'!B3760),IF(הגדרות!$E$3&gt;0,TEXT('הדבקת לידים'!B3760,REPT("0",הגדרות!$E$3)),TEXT('הדבקת לידים'!B3760,"0")),TRIM('הדבקת לידים'!B3760)))</f>
        <v/>
      </c>
      <c r="C3760" s="0" t="n">
        <f aca="false">IF(OR(A3760&lt;&gt;"",B3760&lt;&gt;""),1,0)</f>
        <v>0</v>
      </c>
      <c r="D3760" s="0" t="str">
        <f aca="false">IF(C3760=1,MOD(ABS(SIN(ROW()*12.9898+'הדבקת לידים'!$F$2*78.233+IFERROR(--RIGHT(A3760,6),LEN(A3760))*0.0137+IFERROR(--RIGHT(B3760,6),LEN(B3760))*0.0071))*43758.5453,1),"")</f>
        <v/>
      </c>
      <c r="E3760" s="0" t="str">
        <f aca="false">IF(C3760=1,INT(MOD(ABS(SIN(D3760*7919.123+ROW()*0.618+'הדבקת לידים'!$F$2*1.3))*43758.5453,1)*1000000)*10000+ROW(),"")</f>
        <v/>
      </c>
      <c r="F3760" s="0" t="str">
        <f aca="false">IF(E3760="","",RANK(E3760,$E$2:$E$5001,1))</f>
        <v/>
      </c>
      <c r="G3760" s="0" t="n">
        <f aca="false">IF(A3760="",0,IF(SUMPRODUCT(--($A$2:$A$5001=A3760))&gt;1,1,0))</f>
        <v>0</v>
      </c>
      <c r="H3760" s="0" t="n">
        <f aca="false">ROW()-1</f>
        <v>3759</v>
      </c>
      <c r="I3760" s="0" t="str">
        <f aca="false">IF(OR(הגדרות!$E$6=0,H3760&gt;הגדרות!$E$5),"",IF(H3760-1&lt;הגדרות!$E$8*(הגדרות!$E$7+1),INT((H3760-1)/(הגדרות!$E$7+1)),הגדרות!$E$8+INT((H3760-1-הגדרות!$E$8*(הגדרות!$E$7+1))/הגדרות!$E$7)))</f>
        <v/>
      </c>
      <c r="J3760" s="0" t="str">
        <f aca="false">IF(I3760="","",IF(H3760-1&lt;הגדרות!$E$8*(הגדרות!$E$7+1),MOD(H3760-1,הגדרות!$E$7+1),MOD(H3760-1-הגדרות!$E$8*(הגדרות!$E$7+1),הגדרות!$E$7)))</f>
        <v/>
      </c>
      <c r="K3760" s="0" t="str">
        <f aca="false">IF(I3760="","",J3760*הגדרות!$E$6+I3760+1)</f>
        <v/>
      </c>
      <c r="L3760" s="0" t="str">
        <f aca="false">IF(K3760="","",MATCH(K3760,$F$2:$F$5001,0))</f>
        <v/>
      </c>
      <c r="M3760" s="0" t="str">
        <f aca="false">IF(I3760="","",INDEX(הגדרות!$A$2:$A$21,MOD(I3760+הגדרות!$E$9,הגדרות!$E$6)+1))</f>
        <v/>
      </c>
    </row>
    <row r="3761" customFormat="false" ht="15" hidden="false" customHeight="false" outlineLevel="0" collapsed="false">
      <c r="A3761" s="0" t="str">
        <f aca="false">IF('הדבקת לידים'!A3761="","",IF(ISNUMBER('הדבקת לידים'!A3761),IF(הגדרות!$E$2&gt;0,TEXT('הדבקת לידים'!A3761,REPT("0",הגדרות!$E$2)),TEXT('הדבקת לידים'!A3761,"0")),TRIM('הדבקת לידים'!A3761)))</f>
        <v/>
      </c>
      <c r="B3761" s="0" t="str">
        <f aca="false">IF('הדבקת לידים'!B3761="","",IF(ISNUMBER('הדבקת לידים'!B3761),IF(הגדרות!$E$3&gt;0,TEXT('הדבקת לידים'!B3761,REPT("0",הגדרות!$E$3)),TEXT('הדבקת לידים'!B3761,"0")),TRIM('הדבקת לידים'!B3761)))</f>
        <v/>
      </c>
      <c r="C3761" s="0" t="n">
        <f aca="false">IF(OR(A3761&lt;&gt;"",B3761&lt;&gt;""),1,0)</f>
        <v>0</v>
      </c>
      <c r="D3761" s="0" t="str">
        <f aca="false">IF(C3761=1,MOD(ABS(SIN(ROW()*12.9898+'הדבקת לידים'!$F$2*78.233+IFERROR(--RIGHT(A3761,6),LEN(A3761))*0.0137+IFERROR(--RIGHT(B3761,6),LEN(B3761))*0.0071))*43758.5453,1),"")</f>
        <v/>
      </c>
      <c r="E3761" s="0" t="str">
        <f aca="false">IF(C3761=1,INT(MOD(ABS(SIN(D3761*7919.123+ROW()*0.618+'הדבקת לידים'!$F$2*1.3))*43758.5453,1)*1000000)*10000+ROW(),"")</f>
        <v/>
      </c>
      <c r="F3761" s="0" t="str">
        <f aca="false">IF(E3761="","",RANK(E3761,$E$2:$E$5001,1))</f>
        <v/>
      </c>
      <c r="G3761" s="0" t="n">
        <f aca="false">IF(A3761="",0,IF(SUMPRODUCT(--($A$2:$A$5001=A3761))&gt;1,1,0))</f>
        <v>0</v>
      </c>
      <c r="H3761" s="0" t="n">
        <f aca="false">ROW()-1</f>
        <v>3760</v>
      </c>
      <c r="I3761" s="0" t="str">
        <f aca="false">IF(OR(הגדרות!$E$6=0,H3761&gt;הגדרות!$E$5),"",IF(H3761-1&lt;הגדרות!$E$8*(הגדרות!$E$7+1),INT((H3761-1)/(הגדרות!$E$7+1)),הגדרות!$E$8+INT((H3761-1-הגדרות!$E$8*(הגדרות!$E$7+1))/הגדרות!$E$7)))</f>
        <v/>
      </c>
      <c r="J3761" s="0" t="str">
        <f aca="false">IF(I3761="","",IF(H3761-1&lt;הגדרות!$E$8*(הגדרות!$E$7+1),MOD(H3761-1,הגדרות!$E$7+1),MOD(H3761-1-הגדרות!$E$8*(הגדרות!$E$7+1),הגדרות!$E$7)))</f>
        <v/>
      </c>
      <c r="K3761" s="0" t="str">
        <f aca="false">IF(I3761="","",J3761*הגדרות!$E$6+I3761+1)</f>
        <v/>
      </c>
      <c r="L3761" s="0" t="str">
        <f aca="false">IF(K3761="","",MATCH(K3761,$F$2:$F$5001,0))</f>
        <v/>
      </c>
      <c r="M3761" s="0" t="str">
        <f aca="false">IF(I3761="","",INDEX(הגדרות!$A$2:$A$21,MOD(I3761+הגדרות!$E$9,הגדרות!$E$6)+1))</f>
        <v/>
      </c>
    </row>
    <row r="3762" customFormat="false" ht="15" hidden="false" customHeight="false" outlineLevel="0" collapsed="false">
      <c r="A3762" s="0" t="str">
        <f aca="false">IF('הדבקת לידים'!A3762="","",IF(ISNUMBER('הדבקת לידים'!A3762),IF(הגדרות!$E$2&gt;0,TEXT('הדבקת לידים'!A3762,REPT("0",הגדרות!$E$2)),TEXT('הדבקת לידים'!A3762,"0")),TRIM('הדבקת לידים'!A3762)))</f>
        <v/>
      </c>
      <c r="B3762" s="0" t="str">
        <f aca="false">IF('הדבקת לידים'!B3762="","",IF(ISNUMBER('הדבקת לידים'!B3762),IF(הגדרות!$E$3&gt;0,TEXT('הדבקת לידים'!B3762,REPT("0",הגדרות!$E$3)),TEXT('הדבקת לידים'!B3762,"0")),TRIM('הדבקת לידים'!B3762)))</f>
        <v/>
      </c>
      <c r="C3762" s="0" t="n">
        <f aca="false">IF(OR(A3762&lt;&gt;"",B3762&lt;&gt;""),1,0)</f>
        <v>0</v>
      </c>
      <c r="D3762" s="0" t="str">
        <f aca="false">IF(C3762=1,MOD(ABS(SIN(ROW()*12.9898+'הדבקת לידים'!$F$2*78.233+IFERROR(--RIGHT(A3762,6),LEN(A3762))*0.0137+IFERROR(--RIGHT(B3762,6),LEN(B3762))*0.0071))*43758.5453,1),"")</f>
        <v/>
      </c>
      <c r="E3762" s="0" t="str">
        <f aca="false">IF(C3762=1,INT(MOD(ABS(SIN(D3762*7919.123+ROW()*0.618+'הדבקת לידים'!$F$2*1.3))*43758.5453,1)*1000000)*10000+ROW(),"")</f>
        <v/>
      </c>
      <c r="F3762" s="0" t="str">
        <f aca="false">IF(E3762="","",RANK(E3762,$E$2:$E$5001,1))</f>
        <v/>
      </c>
      <c r="G3762" s="0" t="n">
        <f aca="false">IF(A3762="",0,IF(SUMPRODUCT(--($A$2:$A$5001=A3762))&gt;1,1,0))</f>
        <v>0</v>
      </c>
      <c r="H3762" s="0" t="n">
        <f aca="false">ROW()-1</f>
        <v>3761</v>
      </c>
      <c r="I3762" s="0" t="str">
        <f aca="false">IF(OR(הגדרות!$E$6=0,H3762&gt;הגדרות!$E$5),"",IF(H3762-1&lt;הגדרות!$E$8*(הגדרות!$E$7+1),INT((H3762-1)/(הגדרות!$E$7+1)),הגדרות!$E$8+INT((H3762-1-הגדרות!$E$8*(הגדרות!$E$7+1))/הגדרות!$E$7)))</f>
        <v/>
      </c>
      <c r="J3762" s="0" t="str">
        <f aca="false">IF(I3762="","",IF(H3762-1&lt;הגדרות!$E$8*(הגדרות!$E$7+1),MOD(H3762-1,הגדרות!$E$7+1),MOD(H3762-1-הגדרות!$E$8*(הגדרות!$E$7+1),הגדרות!$E$7)))</f>
        <v/>
      </c>
      <c r="K3762" s="0" t="str">
        <f aca="false">IF(I3762="","",J3762*הגדרות!$E$6+I3762+1)</f>
        <v/>
      </c>
      <c r="L3762" s="0" t="str">
        <f aca="false">IF(K3762="","",MATCH(K3762,$F$2:$F$5001,0))</f>
        <v/>
      </c>
      <c r="M3762" s="0" t="str">
        <f aca="false">IF(I3762="","",INDEX(הגדרות!$A$2:$A$21,MOD(I3762+הגדרות!$E$9,הגדרות!$E$6)+1))</f>
        <v/>
      </c>
    </row>
    <row r="3763" customFormat="false" ht="15" hidden="false" customHeight="false" outlineLevel="0" collapsed="false">
      <c r="A3763" s="0" t="str">
        <f aca="false">IF('הדבקת לידים'!A3763="","",IF(ISNUMBER('הדבקת לידים'!A3763),IF(הגדרות!$E$2&gt;0,TEXT('הדבקת לידים'!A3763,REPT("0",הגדרות!$E$2)),TEXT('הדבקת לידים'!A3763,"0")),TRIM('הדבקת לידים'!A3763)))</f>
        <v/>
      </c>
      <c r="B3763" s="0" t="str">
        <f aca="false">IF('הדבקת לידים'!B3763="","",IF(ISNUMBER('הדבקת לידים'!B3763),IF(הגדרות!$E$3&gt;0,TEXT('הדבקת לידים'!B3763,REPT("0",הגדרות!$E$3)),TEXT('הדבקת לידים'!B3763,"0")),TRIM('הדבקת לידים'!B3763)))</f>
        <v/>
      </c>
      <c r="C3763" s="0" t="n">
        <f aca="false">IF(OR(A3763&lt;&gt;"",B3763&lt;&gt;""),1,0)</f>
        <v>0</v>
      </c>
      <c r="D3763" s="0" t="str">
        <f aca="false">IF(C3763=1,MOD(ABS(SIN(ROW()*12.9898+'הדבקת לידים'!$F$2*78.233+IFERROR(--RIGHT(A3763,6),LEN(A3763))*0.0137+IFERROR(--RIGHT(B3763,6),LEN(B3763))*0.0071))*43758.5453,1),"")</f>
        <v/>
      </c>
      <c r="E3763" s="0" t="str">
        <f aca="false">IF(C3763=1,INT(MOD(ABS(SIN(D3763*7919.123+ROW()*0.618+'הדבקת לידים'!$F$2*1.3))*43758.5453,1)*1000000)*10000+ROW(),"")</f>
        <v/>
      </c>
      <c r="F3763" s="0" t="str">
        <f aca="false">IF(E3763="","",RANK(E3763,$E$2:$E$5001,1))</f>
        <v/>
      </c>
      <c r="G3763" s="0" t="n">
        <f aca="false">IF(A3763="",0,IF(SUMPRODUCT(--($A$2:$A$5001=A3763))&gt;1,1,0))</f>
        <v>0</v>
      </c>
      <c r="H3763" s="0" t="n">
        <f aca="false">ROW()-1</f>
        <v>3762</v>
      </c>
      <c r="I3763" s="0" t="str">
        <f aca="false">IF(OR(הגדרות!$E$6=0,H3763&gt;הגדרות!$E$5),"",IF(H3763-1&lt;הגדרות!$E$8*(הגדרות!$E$7+1),INT((H3763-1)/(הגדרות!$E$7+1)),הגדרות!$E$8+INT((H3763-1-הגדרות!$E$8*(הגדרות!$E$7+1))/הגדרות!$E$7)))</f>
        <v/>
      </c>
      <c r="J3763" s="0" t="str">
        <f aca="false">IF(I3763="","",IF(H3763-1&lt;הגדרות!$E$8*(הגדרות!$E$7+1),MOD(H3763-1,הגדרות!$E$7+1),MOD(H3763-1-הגדרות!$E$8*(הגדרות!$E$7+1),הגדרות!$E$7)))</f>
        <v/>
      </c>
      <c r="K3763" s="0" t="str">
        <f aca="false">IF(I3763="","",J3763*הגדרות!$E$6+I3763+1)</f>
        <v/>
      </c>
      <c r="L3763" s="0" t="str">
        <f aca="false">IF(K3763="","",MATCH(K3763,$F$2:$F$5001,0))</f>
        <v/>
      </c>
      <c r="M3763" s="0" t="str">
        <f aca="false">IF(I3763="","",INDEX(הגדרות!$A$2:$A$21,MOD(I3763+הגדרות!$E$9,הגדרות!$E$6)+1))</f>
        <v/>
      </c>
    </row>
    <row r="3764" customFormat="false" ht="15" hidden="false" customHeight="false" outlineLevel="0" collapsed="false">
      <c r="A3764" s="0" t="str">
        <f aca="false">IF('הדבקת לידים'!A3764="","",IF(ISNUMBER('הדבקת לידים'!A3764),IF(הגדרות!$E$2&gt;0,TEXT('הדבקת לידים'!A3764,REPT("0",הגדרות!$E$2)),TEXT('הדבקת לידים'!A3764,"0")),TRIM('הדבקת לידים'!A3764)))</f>
        <v/>
      </c>
      <c r="B3764" s="0" t="str">
        <f aca="false">IF('הדבקת לידים'!B3764="","",IF(ISNUMBER('הדבקת לידים'!B3764),IF(הגדרות!$E$3&gt;0,TEXT('הדבקת לידים'!B3764,REPT("0",הגדרות!$E$3)),TEXT('הדבקת לידים'!B3764,"0")),TRIM('הדבקת לידים'!B3764)))</f>
        <v/>
      </c>
      <c r="C3764" s="0" t="n">
        <f aca="false">IF(OR(A3764&lt;&gt;"",B3764&lt;&gt;""),1,0)</f>
        <v>0</v>
      </c>
      <c r="D3764" s="0" t="str">
        <f aca="false">IF(C3764=1,MOD(ABS(SIN(ROW()*12.9898+'הדבקת לידים'!$F$2*78.233+IFERROR(--RIGHT(A3764,6),LEN(A3764))*0.0137+IFERROR(--RIGHT(B3764,6),LEN(B3764))*0.0071))*43758.5453,1),"")</f>
        <v/>
      </c>
      <c r="E3764" s="0" t="str">
        <f aca="false">IF(C3764=1,INT(MOD(ABS(SIN(D3764*7919.123+ROW()*0.618+'הדבקת לידים'!$F$2*1.3))*43758.5453,1)*1000000)*10000+ROW(),"")</f>
        <v/>
      </c>
      <c r="F3764" s="0" t="str">
        <f aca="false">IF(E3764="","",RANK(E3764,$E$2:$E$5001,1))</f>
        <v/>
      </c>
      <c r="G3764" s="0" t="n">
        <f aca="false">IF(A3764="",0,IF(SUMPRODUCT(--($A$2:$A$5001=A3764))&gt;1,1,0))</f>
        <v>0</v>
      </c>
      <c r="H3764" s="0" t="n">
        <f aca="false">ROW()-1</f>
        <v>3763</v>
      </c>
      <c r="I3764" s="0" t="str">
        <f aca="false">IF(OR(הגדרות!$E$6=0,H3764&gt;הגדרות!$E$5),"",IF(H3764-1&lt;הגדרות!$E$8*(הגדרות!$E$7+1),INT((H3764-1)/(הגדרות!$E$7+1)),הגדרות!$E$8+INT((H3764-1-הגדרות!$E$8*(הגדרות!$E$7+1))/הגדרות!$E$7)))</f>
        <v/>
      </c>
      <c r="J3764" s="0" t="str">
        <f aca="false">IF(I3764="","",IF(H3764-1&lt;הגדרות!$E$8*(הגדרות!$E$7+1),MOD(H3764-1,הגדרות!$E$7+1),MOD(H3764-1-הגדרות!$E$8*(הגדרות!$E$7+1),הגדרות!$E$7)))</f>
        <v/>
      </c>
      <c r="K3764" s="0" t="str">
        <f aca="false">IF(I3764="","",J3764*הגדרות!$E$6+I3764+1)</f>
        <v/>
      </c>
      <c r="L3764" s="0" t="str">
        <f aca="false">IF(K3764="","",MATCH(K3764,$F$2:$F$5001,0))</f>
        <v/>
      </c>
      <c r="M3764" s="0" t="str">
        <f aca="false">IF(I3764="","",INDEX(הגדרות!$A$2:$A$21,MOD(I3764+הגדרות!$E$9,הגדרות!$E$6)+1))</f>
        <v/>
      </c>
    </row>
    <row r="3765" customFormat="false" ht="15" hidden="false" customHeight="false" outlineLevel="0" collapsed="false">
      <c r="A3765" s="0" t="str">
        <f aca="false">IF('הדבקת לידים'!A3765="","",IF(ISNUMBER('הדבקת לידים'!A3765),IF(הגדרות!$E$2&gt;0,TEXT('הדבקת לידים'!A3765,REPT("0",הגדרות!$E$2)),TEXT('הדבקת לידים'!A3765,"0")),TRIM('הדבקת לידים'!A3765)))</f>
        <v/>
      </c>
      <c r="B3765" s="0" t="str">
        <f aca="false">IF('הדבקת לידים'!B3765="","",IF(ISNUMBER('הדבקת לידים'!B3765),IF(הגדרות!$E$3&gt;0,TEXT('הדבקת לידים'!B3765,REPT("0",הגדרות!$E$3)),TEXT('הדבקת לידים'!B3765,"0")),TRIM('הדבקת לידים'!B3765)))</f>
        <v/>
      </c>
      <c r="C3765" s="0" t="n">
        <f aca="false">IF(OR(A3765&lt;&gt;"",B3765&lt;&gt;""),1,0)</f>
        <v>0</v>
      </c>
      <c r="D3765" s="0" t="str">
        <f aca="false">IF(C3765=1,MOD(ABS(SIN(ROW()*12.9898+'הדבקת לידים'!$F$2*78.233+IFERROR(--RIGHT(A3765,6),LEN(A3765))*0.0137+IFERROR(--RIGHT(B3765,6),LEN(B3765))*0.0071))*43758.5453,1),"")</f>
        <v/>
      </c>
      <c r="E3765" s="0" t="str">
        <f aca="false">IF(C3765=1,INT(MOD(ABS(SIN(D3765*7919.123+ROW()*0.618+'הדבקת לידים'!$F$2*1.3))*43758.5453,1)*1000000)*10000+ROW(),"")</f>
        <v/>
      </c>
      <c r="F3765" s="0" t="str">
        <f aca="false">IF(E3765="","",RANK(E3765,$E$2:$E$5001,1))</f>
        <v/>
      </c>
      <c r="G3765" s="0" t="n">
        <f aca="false">IF(A3765="",0,IF(SUMPRODUCT(--($A$2:$A$5001=A3765))&gt;1,1,0))</f>
        <v>0</v>
      </c>
      <c r="H3765" s="0" t="n">
        <f aca="false">ROW()-1</f>
        <v>3764</v>
      </c>
      <c r="I3765" s="0" t="str">
        <f aca="false">IF(OR(הגדרות!$E$6=0,H3765&gt;הגדרות!$E$5),"",IF(H3765-1&lt;הגדרות!$E$8*(הגדרות!$E$7+1),INT((H3765-1)/(הגדרות!$E$7+1)),הגדרות!$E$8+INT((H3765-1-הגדרות!$E$8*(הגדרות!$E$7+1))/הגדרות!$E$7)))</f>
        <v/>
      </c>
      <c r="J3765" s="0" t="str">
        <f aca="false">IF(I3765="","",IF(H3765-1&lt;הגדרות!$E$8*(הגדרות!$E$7+1),MOD(H3765-1,הגדרות!$E$7+1),MOD(H3765-1-הגדרות!$E$8*(הגדרות!$E$7+1),הגדרות!$E$7)))</f>
        <v/>
      </c>
      <c r="K3765" s="0" t="str">
        <f aca="false">IF(I3765="","",J3765*הגדרות!$E$6+I3765+1)</f>
        <v/>
      </c>
      <c r="L3765" s="0" t="str">
        <f aca="false">IF(K3765="","",MATCH(K3765,$F$2:$F$5001,0))</f>
        <v/>
      </c>
      <c r="M3765" s="0" t="str">
        <f aca="false">IF(I3765="","",INDEX(הגדרות!$A$2:$A$21,MOD(I3765+הגדרות!$E$9,הגדרות!$E$6)+1))</f>
        <v/>
      </c>
    </row>
    <row r="3766" customFormat="false" ht="15" hidden="false" customHeight="false" outlineLevel="0" collapsed="false">
      <c r="A3766" s="0" t="str">
        <f aca="false">IF('הדבקת לידים'!A3766="","",IF(ISNUMBER('הדבקת לידים'!A3766),IF(הגדרות!$E$2&gt;0,TEXT('הדבקת לידים'!A3766,REPT("0",הגדרות!$E$2)),TEXT('הדבקת לידים'!A3766,"0")),TRIM('הדבקת לידים'!A3766)))</f>
        <v/>
      </c>
      <c r="B3766" s="0" t="str">
        <f aca="false">IF('הדבקת לידים'!B3766="","",IF(ISNUMBER('הדבקת לידים'!B3766),IF(הגדרות!$E$3&gt;0,TEXT('הדבקת לידים'!B3766,REPT("0",הגדרות!$E$3)),TEXT('הדבקת לידים'!B3766,"0")),TRIM('הדבקת לידים'!B3766)))</f>
        <v/>
      </c>
      <c r="C3766" s="0" t="n">
        <f aca="false">IF(OR(A3766&lt;&gt;"",B3766&lt;&gt;""),1,0)</f>
        <v>0</v>
      </c>
      <c r="D3766" s="0" t="str">
        <f aca="false">IF(C3766=1,MOD(ABS(SIN(ROW()*12.9898+'הדבקת לידים'!$F$2*78.233+IFERROR(--RIGHT(A3766,6),LEN(A3766))*0.0137+IFERROR(--RIGHT(B3766,6),LEN(B3766))*0.0071))*43758.5453,1),"")</f>
        <v/>
      </c>
      <c r="E3766" s="0" t="str">
        <f aca="false">IF(C3766=1,INT(MOD(ABS(SIN(D3766*7919.123+ROW()*0.618+'הדבקת לידים'!$F$2*1.3))*43758.5453,1)*1000000)*10000+ROW(),"")</f>
        <v/>
      </c>
      <c r="F3766" s="0" t="str">
        <f aca="false">IF(E3766="","",RANK(E3766,$E$2:$E$5001,1))</f>
        <v/>
      </c>
      <c r="G3766" s="0" t="n">
        <f aca="false">IF(A3766="",0,IF(SUMPRODUCT(--($A$2:$A$5001=A3766))&gt;1,1,0))</f>
        <v>0</v>
      </c>
      <c r="H3766" s="0" t="n">
        <f aca="false">ROW()-1</f>
        <v>3765</v>
      </c>
      <c r="I3766" s="0" t="str">
        <f aca="false">IF(OR(הגדרות!$E$6=0,H3766&gt;הגדרות!$E$5),"",IF(H3766-1&lt;הגדרות!$E$8*(הגדרות!$E$7+1),INT((H3766-1)/(הגדרות!$E$7+1)),הגדרות!$E$8+INT((H3766-1-הגדרות!$E$8*(הגדרות!$E$7+1))/הגדרות!$E$7)))</f>
        <v/>
      </c>
      <c r="J3766" s="0" t="str">
        <f aca="false">IF(I3766="","",IF(H3766-1&lt;הגדרות!$E$8*(הגדרות!$E$7+1),MOD(H3766-1,הגדרות!$E$7+1),MOD(H3766-1-הגדרות!$E$8*(הגדרות!$E$7+1),הגדרות!$E$7)))</f>
        <v/>
      </c>
      <c r="K3766" s="0" t="str">
        <f aca="false">IF(I3766="","",J3766*הגדרות!$E$6+I3766+1)</f>
        <v/>
      </c>
      <c r="L3766" s="0" t="str">
        <f aca="false">IF(K3766="","",MATCH(K3766,$F$2:$F$5001,0))</f>
        <v/>
      </c>
      <c r="M3766" s="0" t="str">
        <f aca="false">IF(I3766="","",INDEX(הגדרות!$A$2:$A$21,MOD(I3766+הגדרות!$E$9,הגדרות!$E$6)+1))</f>
        <v/>
      </c>
    </row>
    <row r="3767" customFormat="false" ht="15" hidden="false" customHeight="false" outlineLevel="0" collapsed="false">
      <c r="A3767" s="0" t="str">
        <f aca="false">IF('הדבקת לידים'!A3767="","",IF(ISNUMBER('הדבקת לידים'!A3767),IF(הגדרות!$E$2&gt;0,TEXT('הדבקת לידים'!A3767,REPT("0",הגדרות!$E$2)),TEXT('הדבקת לידים'!A3767,"0")),TRIM('הדבקת לידים'!A3767)))</f>
        <v/>
      </c>
      <c r="B3767" s="0" t="str">
        <f aca="false">IF('הדבקת לידים'!B3767="","",IF(ISNUMBER('הדבקת לידים'!B3767),IF(הגדרות!$E$3&gt;0,TEXT('הדבקת לידים'!B3767,REPT("0",הגדרות!$E$3)),TEXT('הדבקת לידים'!B3767,"0")),TRIM('הדבקת לידים'!B3767)))</f>
        <v/>
      </c>
      <c r="C3767" s="0" t="n">
        <f aca="false">IF(OR(A3767&lt;&gt;"",B3767&lt;&gt;""),1,0)</f>
        <v>0</v>
      </c>
      <c r="D3767" s="0" t="str">
        <f aca="false">IF(C3767=1,MOD(ABS(SIN(ROW()*12.9898+'הדבקת לידים'!$F$2*78.233+IFERROR(--RIGHT(A3767,6),LEN(A3767))*0.0137+IFERROR(--RIGHT(B3767,6),LEN(B3767))*0.0071))*43758.5453,1),"")</f>
        <v/>
      </c>
      <c r="E3767" s="0" t="str">
        <f aca="false">IF(C3767=1,INT(MOD(ABS(SIN(D3767*7919.123+ROW()*0.618+'הדבקת לידים'!$F$2*1.3))*43758.5453,1)*1000000)*10000+ROW(),"")</f>
        <v/>
      </c>
      <c r="F3767" s="0" t="str">
        <f aca="false">IF(E3767="","",RANK(E3767,$E$2:$E$5001,1))</f>
        <v/>
      </c>
      <c r="G3767" s="0" t="n">
        <f aca="false">IF(A3767="",0,IF(SUMPRODUCT(--($A$2:$A$5001=A3767))&gt;1,1,0))</f>
        <v>0</v>
      </c>
      <c r="H3767" s="0" t="n">
        <f aca="false">ROW()-1</f>
        <v>3766</v>
      </c>
      <c r="I3767" s="0" t="str">
        <f aca="false">IF(OR(הגדרות!$E$6=0,H3767&gt;הגדרות!$E$5),"",IF(H3767-1&lt;הגדרות!$E$8*(הגדרות!$E$7+1),INT((H3767-1)/(הגדרות!$E$7+1)),הגדרות!$E$8+INT((H3767-1-הגדרות!$E$8*(הגדרות!$E$7+1))/הגדרות!$E$7)))</f>
        <v/>
      </c>
      <c r="J3767" s="0" t="str">
        <f aca="false">IF(I3767="","",IF(H3767-1&lt;הגדרות!$E$8*(הגדרות!$E$7+1),MOD(H3767-1,הגדרות!$E$7+1),MOD(H3767-1-הגדרות!$E$8*(הגדרות!$E$7+1),הגדרות!$E$7)))</f>
        <v/>
      </c>
      <c r="K3767" s="0" t="str">
        <f aca="false">IF(I3767="","",J3767*הגדרות!$E$6+I3767+1)</f>
        <v/>
      </c>
      <c r="L3767" s="0" t="str">
        <f aca="false">IF(K3767="","",MATCH(K3767,$F$2:$F$5001,0))</f>
        <v/>
      </c>
      <c r="M3767" s="0" t="str">
        <f aca="false">IF(I3767="","",INDEX(הגדרות!$A$2:$A$21,MOD(I3767+הגדרות!$E$9,הגדרות!$E$6)+1))</f>
        <v/>
      </c>
    </row>
    <row r="3768" customFormat="false" ht="15" hidden="false" customHeight="false" outlineLevel="0" collapsed="false">
      <c r="A3768" s="0" t="str">
        <f aca="false">IF('הדבקת לידים'!A3768="","",IF(ISNUMBER('הדבקת לידים'!A3768),IF(הגדרות!$E$2&gt;0,TEXT('הדבקת לידים'!A3768,REPT("0",הגדרות!$E$2)),TEXT('הדבקת לידים'!A3768,"0")),TRIM('הדבקת לידים'!A3768)))</f>
        <v/>
      </c>
      <c r="B3768" s="0" t="str">
        <f aca="false">IF('הדבקת לידים'!B3768="","",IF(ISNUMBER('הדבקת לידים'!B3768),IF(הגדרות!$E$3&gt;0,TEXT('הדבקת לידים'!B3768,REPT("0",הגדרות!$E$3)),TEXT('הדבקת לידים'!B3768,"0")),TRIM('הדבקת לידים'!B3768)))</f>
        <v/>
      </c>
      <c r="C3768" s="0" t="n">
        <f aca="false">IF(OR(A3768&lt;&gt;"",B3768&lt;&gt;""),1,0)</f>
        <v>0</v>
      </c>
      <c r="D3768" s="0" t="str">
        <f aca="false">IF(C3768=1,MOD(ABS(SIN(ROW()*12.9898+'הדבקת לידים'!$F$2*78.233+IFERROR(--RIGHT(A3768,6),LEN(A3768))*0.0137+IFERROR(--RIGHT(B3768,6),LEN(B3768))*0.0071))*43758.5453,1),"")</f>
        <v/>
      </c>
      <c r="E3768" s="0" t="str">
        <f aca="false">IF(C3768=1,INT(MOD(ABS(SIN(D3768*7919.123+ROW()*0.618+'הדבקת לידים'!$F$2*1.3))*43758.5453,1)*1000000)*10000+ROW(),"")</f>
        <v/>
      </c>
      <c r="F3768" s="0" t="str">
        <f aca="false">IF(E3768="","",RANK(E3768,$E$2:$E$5001,1))</f>
        <v/>
      </c>
      <c r="G3768" s="0" t="n">
        <f aca="false">IF(A3768="",0,IF(SUMPRODUCT(--($A$2:$A$5001=A3768))&gt;1,1,0))</f>
        <v>0</v>
      </c>
      <c r="H3768" s="0" t="n">
        <f aca="false">ROW()-1</f>
        <v>3767</v>
      </c>
      <c r="I3768" s="0" t="str">
        <f aca="false">IF(OR(הגדרות!$E$6=0,H3768&gt;הגדרות!$E$5),"",IF(H3768-1&lt;הגדרות!$E$8*(הגדרות!$E$7+1),INT((H3768-1)/(הגדרות!$E$7+1)),הגדרות!$E$8+INT((H3768-1-הגדרות!$E$8*(הגדרות!$E$7+1))/הגדרות!$E$7)))</f>
        <v/>
      </c>
      <c r="J3768" s="0" t="str">
        <f aca="false">IF(I3768="","",IF(H3768-1&lt;הגדרות!$E$8*(הגדרות!$E$7+1),MOD(H3768-1,הגדרות!$E$7+1),MOD(H3768-1-הגדרות!$E$8*(הגדרות!$E$7+1),הגדרות!$E$7)))</f>
        <v/>
      </c>
      <c r="K3768" s="0" t="str">
        <f aca="false">IF(I3768="","",J3768*הגדרות!$E$6+I3768+1)</f>
        <v/>
      </c>
      <c r="L3768" s="0" t="str">
        <f aca="false">IF(K3768="","",MATCH(K3768,$F$2:$F$5001,0))</f>
        <v/>
      </c>
      <c r="M3768" s="0" t="str">
        <f aca="false">IF(I3768="","",INDEX(הגדרות!$A$2:$A$21,MOD(I3768+הגדרות!$E$9,הגדרות!$E$6)+1))</f>
        <v/>
      </c>
    </row>
    <row r="3769" customFormat="false" ht="15" hidden="false" customHeight="false" outlineLevel="0" collapsed="false">
      <c r="A3769" s="0" t="str">
        <f aca="false">IF('הדבקת לידים'!A3769="","",IF(ISNUMBER('הדבקת לידים'!A3769),IF(הגדרות!$E$2&gt;0,TEXT('הדבקת לידים'!A3769,REPT("0",הגדרות!$E$2)),TEXT('הדבקת לידים'!A3769,"0")),TRIM('הדבקת לידים'!A3769)))</f>
        <v/>
      </c>
      <c r="B3769" s="0" t="str">
        <f aca="false">IF('הדבקת לידים'!B3769="","",IF(ISNUMBER('הדבקת לידים'!B3769),IF(הגדרות!$E$3&gt;0,TEXT('הדבקת לידים'!B3769,REPT("0",הגדרות!$E$3)),TEXT('הדבקת לידים'!B3769,"0")),TRIM('הדבקת לידים'!B3769)))</f>
        <v/>
      </c>
      <c r="C3769" s="0" t="n">
        <f aca="false">IF(OR(A3769&lt;&gt;"",B3769&lt;&gt;""),1,0)</f>
        <v>0</v>
      </c>
      <c r="D3769" s="0" t="str">
        <f aca="false">IF(C3769=1,MOD(ABS(SIN(ROW()*12.9898+'הדבקת לידים'!$F$2*78.233+IFERROR(--RIGHT(A3769,6),LEN(A3769))*0.0137+IFERROR(--RIGHT(B3769,6),LEN(B3769))*0.0071))*43758.5453,1),"")</f>
        <v/>
      </c>
      <c r="E3769" s="0" t="str">
        <f aca="false">IF(C3769=1,INT(MOD(ABS(SIN(D3769*7919.123+ROW()*0.618+'הדבקת לידים'!$F$2*1.3))*43758.5453,1)*1000000)*10000+ROW(),"")</f>
        <v/>
      </c>
      <c r="F3769" s="0" t="str">
        <f aca="false">IF(E3769="","",RANK(E3769,$E$2:$E$5001,1))</f>
        <v/>
      </c>
      <c r="G3769" s="0" t="n">
        <f aca="false">IF(A3769="",0,IF(SUMPRODUCT(--($A$2:$A$5001=A3769))&gt;1,1,0))</f>
        <v>0</v>
      </c>
      <c r="H3769" s="0" t="n">
        <f aca="false">ROW()-1</f>
        <v>3768</v>
      </c>
      <c r="I3769" s="0" t="str">
        <f aca="false">IF(OR(הגדרות!$E$6=0,H3769&gt;הגדרות!$E$5),"",IF(H3769-1&lt;הגדרות!$E$8*(הגדרות!$E$7+1),INT((H3769-1)/(הגדרות!$E$7+1)),הגדרות!$E$8+INT((H3769-1-הגדרות!$E$8*(הגדרות!$E$7+1))/הגדרות!$E$7)))</f>
        <v/>
      </c>
      <c r="J3769" s="0" t="str">
        <f aca="false">IF(I3769="","",IF(H3769-1&lt;הגדרות!$E$8*(הגדרות!$E$7+1),MOD(H3769-1,הגדרות!$E$7+1),MOD(H3769-1-הגדרות!$E$8*(הגדרות!$E$7+1),הגדרות!$E$7)))</f>
        <v/>
      </c>
      <c r="K3769" s="0" t="str">
        <f aca="false">IF(I3769="","",J3769*הגדרות!$E$6+I3769+1)</f>
        <v/>
      </c>
      <c r="L3769" s="0" t="str">
        <f aca="false">IF(K3769="","",MATCH(K3769,$F$2:$F$5001,0))</f>
        <v/>
      </c>
      <c r="M3769" s="0" t="str">
        <f aca="false">IF(I3769="","",INDEX(הגדרות!$A$2:$A$21,MOD(I3769+הגדרות!$E$9,הגדרות!$E$6)+1))</f>
        <v/>
      </c>
    </row>
    <row r="3770" customFormat="false" ht="15" hidden="false" customHeight="false" outlineLevel="0" collapsed="false">
      <c r="A3770" s="0" t="str">
        <f aca="false">IF('הדבקת לידים'!A3770="","",IF(ISNUMBER('הדבקת לידים'!A3770),IF(הגדרות!$E$2&gt;0,TEXT('הדבקת לידים'!A3770,REPT("0",הגדרות!$E$2)),TEXT('הדבקת לידים'!A3770,"0")),TRIM('הדבקת לידים'!A3770)))</f>
        <v/>
      </c>
      <c r="B3770" s="0" t="str">
        <f aca="false">IF('הדבקת לידים'!B3770="","",IF(ISNUMBER('הדבקת לידים'!B3770),IF(הגדרות!$E$3&gt;0,TEXT('הדבקת לידים'!B3770,REPT("0",הגדרות!$E$3)),TEXT('הדבקת לידים'!B3770,"0")),TRIM('הדבקת לידים'!B3770)))</f>
        <v/>
      </c>
      <c r="C3770" s="0" t="n">
        <f aca="false">IF(OR(A3770&lt;&gt;"",B3770&lt;&gt;""),1,0)</f>
        <v>0</v>
      </c>
      <c r="D3770" s="0" t="str">
        <f aca="false">IF(C3770=1,MOD(ABS(SIN(ROW()*12.9898+'הדבקת לידים'!$F$2*78.233+IFERROR(--RIGHT(A3770,6),LEN(A3770))*0.0137+IFERROR(--RIGHT(B3770,6),LEN(B3770))*0.0071))*43758.5453,1),"")</f>
        <v/>
      </c>
      <c r="E3770" s="0" t="str">
        <f aca="false">IF(C3770=1,INT(MOD(ABS(SIN(D3770*7919.123+ROW()*0.618+'הדבקת לידים'!$F$2*1.3))*43758.5453,1)*1000000)*10000+ROW(),"")</f>
        <v/>
      </c>
      <c r="F3770" s="0" t="str">
        <f aca="false">IF(E3770="","",RANK(E3770,$E$2:$E$5001,1))</f>
        <v/>
      </c>
      <c r="G3770" s="0" t="n">
        <f aca="false">IF(A3770="",0,IF(SUMPRODUCT(--($A$2:$A$5001=A3770))&gt;1,1,0))</f>
        <v>0</v>
      </c>
      <c r="H3770" s="0" t="n">
        <f aca="false">ROW()-1</f>
        <v>3769</v>
      </c>
      <c r="I3770" s="0" t="str">
        <f aca="false">IF(OR(הגדרות!$E$6=0,H3770&gt;הגדרות!$E$5),"",IF(H3770-1&lt;הגדרות!$E$8*(הגדרות!$E$7+1),INT((H3770-1)/(הגדרות!$E$7+1)),הגדרות!$E$8+INT((H3770-1-הגדרות!$E$8*(הגדרות!$E$7+1))/הגדרות!$E$7)))</f>
        <v/>
      </c>
      <c r="J3770" s="0" t="str">
        <f aca="false">IF(I3770="","",IF(H3770-1&lt;הגדרות!$E$8*(הגדרות!$E$7+1),MOD(H3770-1,הגדרות!$E$7+1),MOD(H3770-1-הגדרות!$E$8*(הגדרות!$E$7+1),הגדרות!$E$7)))</f>
        <v/>
      </c>
      <c r="K3770" s="0" t="str">
        <f aca="false">IF(I3770="","",J3770*הגדרות!$E$6+I3770+1)</f>
        <v/>
      </c>
      <c r="L3770" s="0" t="str">
        <f aca="false">IF(K3770="","",MATCH(K3770,$F$2:$F$5001,0))</f>
        <v/>
      </c>
      <c r="M3770" s="0" t="str">
        <f aca="false">IF(I3770="","",INDEX(הגדרות!$A$2:$A$21,MOD(I3770+הגדרות!$E$9,הגדרות!$E$6)+1))</f>
        <v/>
      </c>
    </row>
    <row r="3771" customFormat="false" ht="15" hidden="false" customHeight="false" outlineLevel="0" collapsed="false">
      <c r="A3771" s="0" t="str">
        <f aca="false">IF('הדבקת לידים'!A3771="","",IF(ISNUMBER('הדבקת לידים'!A3771),IF(הגדרות!$E$2&gt;0,TEXT('הדבקת לידים'!A3771,REPT("0",הגדרות!$E$2)),TEXT('הדבקת לידים'!A3771,"0")),TRIM('הדבקת לידים'!A3771)))</f>
        <v/>
      </c>
      <c r="B3771" s="0" t="str">
        <f aca="false">IF('הדבקת לידים'!B3771="","",IF(ISNUMBER('הדבקת לידים'!B3771),IF(הגדרות!$E$3&gt;0,TEXT('הדבקת לידים'!B3771,REPT("0",הגדרות!$E$3)),TEXT('הדבקת לידים'!B3771,"0")),TRIM('הדבקת לידים'!B3771)))</f>
        <v/>
      </c>
      <c r="C3771" s="0" t="n">
        <f aca="false">IF(OR(A3771&lt;&gt;"",B3771&lt;&gt;""),1,0)</f>
        <v>0</v>
      </c>
      <c r="D3771" s="0" t="str">
        <f aca="false">IF(C3771=1,MOD(ABS(SIN(ROW()*12.9898+'הדבקת לידים'!$F$2*78.233+IFERROR(--RIGHT(A3771,6),LEN(A3771))*0.0137+IFERROR(--RIGHT(B3771,6),LEN(B3771))*0.0071))*43758.5453,1),"")</f>
        <v/>
      </c>
      <c r="E3771" s="0" t="str">
        <f aca="false">IF(C3771=1,INT(MOD(ABS(SIN(D3771*7919.123+ROW()*0.618+'הדבקת לידים'!$F$2*1.3))*43758.5453,1)*1000000)*10000+ROW(),"")</f>
        <v/>
      </c>
      <c r="F3771" s="0" t="str">
        <f aca="false">IF(E3771="","",RANK(E3771,$E$2:$E$5001,1))</f>
        <v/>
      </c>
      <c r="G3771" s="0" t="n">
        <f aca="false">IF(A3771="",0,IF(SUMPRODUCT(--($A$2:$A$5001=A3771))&gt;1,1,0))</f>
        <v>0</v>
      </c>
      <c r="H3771" s="0" t="n">
        <f aca="false">ROW()-1</f>
        <v>3770</v>
      </c>
      <c r="I3771" s="0" t="str">
        <f aca="false">IF(OR(הגדרות!$E$6=0,H3771&gt;הגדרות!$E$5),"",IF(H3771-1&lt;הגדרות!$E$8*(הגדרות!$E$7+1),INT((H3771-1)/(הגדרות!$E$7+1)),הגדרות!$E$8+INT((H3771-1-הגדרות!$E$8*(הגדרות!$E$7+1))/הגדרות!$E$7)))</f>
        <v/>
      </c>
      <c r="J3771" s="0" t="str">
        <f aca="false">IF(I3771="","",IF(H3771-1&lt;הגדרות!$E$8*(הגדרות!$E$7+1),MOD(H3771-1,הגדרות!$E$7+1),MOD(H3771-1-הגדרות!$E$8*(הגדרות!$E$7+1),הגדרות!$E$7)))</f>
        <v/>
      </c>
      <c r="K3771" s="0" t="str">
        <f aca="false">IF(I3771="","",J3771*הגדרות!$E$6+I3771+1)</f>
        <v/>
      </c>
      <c r="L3771" s="0" t="str">
        <f aca="false">IF(K3771="","",MATCH(K3771,$F$2:$F$5001,0))</f>
        <v/>
      </c>
      <c r="M3771" s="0" t="str">
        <f aca="false">IF(I3771="","",INDEX(הגדרות!$A$2:$A$21,MOD(I3771+הגדרות!$E$9,הגדרות!$E$6)+1))</f>
        <v/>
      </c>
    </row>
    <row r="3772" customFormat="false" ht="15" hidden="false" customHeight="false" outlineLevel="0" collapsed="false">
      <c r="A3772" s="0" t="str">
        <f aca="false">IF('הדבקת לידים'!A3772="","",IF(ISNUMBER('הדבקת לידים'!A3772),IF(הגדרות!$E$2&gt;0,TEXT('הדבקת לידים'!A3772,REPT("0",הגדרות!$E$2)),TEXT('הדבקת לידים'!A3772,"0")),TRIM('הדבקת לידים'!A3772)))</f>
        <v/>
      </c>
      <c r="B3772" s="0" t="str">
        <f aca="false">IF('הדבקת לידים'!B3772="","",IF(ISNUMBER('הדבקת לידים'!B3772),IF(הגדרות!$E$3&gt;0,TEXT('הדבקת לידים'!B3772,REPT("0",הגדרות!$E$3)),TEXT('הדבקת לידים'!B3772,"0")),TRIM('הדבקת לידים'!B3772)))</f>
        <v/>
      </c>
      <c r="C3772" s="0" t="n">
        <f aca="false">IF(OR(A3772&lt;&gt;"",B3772&lt;&gt;""),1,0)</f>
        <v>0</v>
      </c>
      <c r="D3772" s="0" t="str">
        <f aca="false">IF(C3772=1,MOD(ABS(SIN(ROW()*12.9898+'הדבקת לידים'!$F$2*78.233+IFERROR(--RIGHT(A3772,6),LEN(A3772))*0.0137+IFERROR(--RIGHT(B3772,6),LEN(B3772))*0.0071))*43758.5453,1),"")</f>
        <v/>
      </c>
      <c r="E3772" s="0" t="str">
        <f aca="false">IF(C3772=1,INT(MOD(ABS(SIN(D3772*7919.123+ROW()*0.618+'הדבקת לידים'!$F$2*1.3))*43758.5453,1)*1000000)*10000+ROW(),"")</f>
        <v/>
      </c>
      <c r="F3772" s="0" t="str">
        <f aca="false">IF(E3772="","",RANK(E3772,$E$2:$E$5001,1))</f>
        <v/>
      </c>
      <c r="G3772" s="0" t="n">
        <f aca="false">IF(A3772="",0,IF(SUMPRODUCT(--($A$2:$A$5001=A3772))&gt;1,1,0))</f>
        <v>0</v>
      </c>
      <c r="H3772" s="0" t="n">
        <f aca="false">ROW()-1</f>
        <v>3771</v>
      </c>
      <c r="I3772" s="0" t="str">
        <f aca="false">IF(OR(הגדרות!$E$6=0,H3772&gt;הגדרות!$E$5),"",IF(H3772-1&lt;הגדרות!$E$8*(הגדרות!$E$7+1),INT((H3772-1)/(הגדרות!$E$7+1)),הגדרות!$E$8+INT((H3772-1-הגדרות!$E$8*(הגדרות!$E$7+1))/הגדרות!$E$7)))</f>
        <v/>
      </c>
      <c r="J3772" s="0" t="str">
        <f aca="false">IF(I3772="","",IF(H3772-1&lt;הגדרות!$E$8*(הגדרות!$E$7+1),MOD(H3772-1,הגדרות!$E$7+1),MOD(H3772-1-הגדרות!$E$8*(הגדרות!$E$7+1),הגדרות!$E$7)))</f>
        <v/>
      </c>
      <c r="K3772" s="0" t="str">
        <f aca="false">IF(I3772="","",J3772*הגדרות!$E$6+I3772+1)</f>
        <v/>
      </c>
      <c r="L3772" s="0" t="str">
        <f aca="false">IF(K3772="","",MATCH(K3772,$F$2:$F$5001,0))</f>
        <v/>
      </c>
      <c r="M3772" s="0" t="str">
        <f aca="false">IF(I3772="","",INDEX(הגדרות!$A$2:$A$21,MOD(I3772+הגדרות!$E$9,הגדרות!$E$6)+1))</f>
        <v/>
      </c>
    </row>
    <row r="3773" customFormat="false" ht="15" hidden="false" customHeight="false" outlineLevel="0" collapsed="false">
      <c r="A3773" s="0" t="str">
        <f aca="false">IF('הדבקת לידים'!A3773="","",IF(ISNUMBER('הדבקת לידים'!A3773),IF(הגדרות!$E$2&gt;0,TEXT('הדבקת לידים'!A3773,REPT("0",הגדרות!$E$2)),TEXT('הדבקת לידים'!A3773,"0")),TRIM('הדבקת לידים'!A3773)))</f>
        <v/>
      </c>
      <c r="B3773" s="0" t="str">
        <f aca="false">IF('הדבקת לידים'!B3773="","",IF(ISNUMBER('הדבקת לידים'!B3773),IF(הגדרות!$E$3&gt;0,TEXT('הדבקת לידים'!B3773,REPT("0",הגדרות!$E$3)),TEXT('הדבקת לידים'!B3773,"0")),TRIM('הדבקת לידים'!B3773)))</f>
        <v/>
      </c>
      <c r="C3773" s="0" t="n">
        <f aca="false">IF(OR(A3773&lt;&gt;"",B3773&lt;&gt;""),1,0)</f>
        <v>0</v>
      </c>
      <c r="D3773" s="0" t="str">
        <f aca="false">IF(C3773=1,MOD(ABS(SIN(ROW()*12.9898+'הדבקת לידים'!$F$2*78.233+IFERROR(--RIGHT(A3773,6),LEN(A3773))*0.0137+IFERROR(--RIGHT(B3773,6),LEN(B3773))*0.0071))*43758.5453,1),"")</f>
        <v/>
      </c>
      <c r="E3773" s="0" t="str">
        <f aca="false">IF(C3773=1,INT(MOD(ABS(SIN(D3773*7919.123+ROW()*0.618+'הדבקת לידים'!$F$2*1.3))*43758.5453,1)*1000000)*10000+ROW(),"")</f>
        <v/>
      </c>
      <c r="F3773" s="0" t="str">
        <f aca="false">IF(E3773="","",RANK(E3773,$E$2:$E$5001,1))</f>
        <v/>
      </c>
      <c r="G3773" s="0" t="n">
        <f aca="false">IF(A3773="",0,IF(SUMPRODUCT(--($A$2:$A$5001=A3773))&gt;1,1,0))</f>
        <v>0</v>
      </c>
      <c r="H3773" s="0" t="n">
        <f aca="false">ROW()-1</f>
        <v>3772</v>
      </c>
      <c r="I3773" s="0" t="str">
        <f aca="false">IF(OR(הגדרות!$E$6=0,H3773&gt;הגדרות!$E$5),"",IF(H3773-1&lt;הגדרות!$E$8*(הגדרות!$E$7+1),INT((H3773-1)/(הגדרות!$E$7+1)),הגדרות!$E$8+INT((H3773-1-הגדרות!$E$8*(הגדרות!$E$7+1))/הגדרות!$E$7)))</f>
        <v/>
      </c>
      <c r="J3773" s="0" t="str">
        <f aca="false">IF(I3773="","",IF(H3773-1&lt;הגדרות!$E$8*(הגדרות!$E$7+1),MOD(H3773-1,הגדרות!$E$7+1),MOD(H3773-1-הגדרות!$E$8*(הגדרות!$E$7+1),הגדרות!$E$7)))</f>
        <v/>
      </c>
      <c r="K3773" s="0" t="str">
        <f aca="false">IF(I3773="","",J3773*הגדרות!$E$6+I3773+1)</f>
        <v/>
      </c>
      <c r="L3773" s="0" t="str">
        <f aca="false">IF(K3773="","",MATCH(K3773,$F$2:$F$5001,0))</f>
        <v/>
      </c>
      <c r="M3773" s="0" t="str">
        <f aca="false">IF(I3773="","",INDEX(הגדרות!$A$2:$A$21,MOD(I3773+הגדרות!$E$9,הגדרות!$E$6)+1))</f>
        <v/>
      </c>
    </row>
    <row r="3774" customFormat="false" ht="15" hidden="false" customHeight="false" outlineLevel="0" collapsed="false">
      <c r="A3774" s="0" t="str">
        <f aca="false">IF('הדבקת לידים'!A3774="","",IF(ISNUMBER('הדבקת לידים'!A3774),IF(הגדרות!$E$2&gt;0,TEXT('הדבקת לידים'!A3774,REPT("0",הגדרות!$E$2)),TEXT('הדבקת לידים'!A3774,"0")),TRIM('הדבקת לידים'!A3774)))</f>
        <v/>
      </c>
      <c r="B3774" s="0" t="str">
        <f aca="false">IF('הדבקת לידים'!B3774="","",IF(ISNUMBER('הדבקת לידים'!B3774),IF(הגדרות!$E$3&gt;0,TEXT('הדבקת לידים'!B3774,REPT("0",הגדרות!$E$3)),TEXT('הדבקת לידים'!B3774,"0")),TRIM('הדבקת לידים'!B3774)))</f>
        <v/>
      </c>
      <c r="C3774" s="0" t="n">
        <f aca="false">IF(OR(A3774&lt;&gt;"",B3774&lt;&gt;""),1,0)</f>
        <v>0</v>
      </c>
      <c r="D3774" s="0" t="str">
        <f aca="false">IF(C3774=1,MOD(ABS(SIN(ROW()*12.9898+'הדבקת לידים'!$F$2*78.233+IFERROR(--RIGHT(A3774,6),LEN(A3774))*0.0137+IFERROR(--RIGHT(B3774,6),LEN(B3774))*0.0071))*43758.5453,1),"")</f>
        <v/>
      </c>
      <c r="E3774" s="0" t="str">
        <f aca="false">IF(C3774=1,INT(MOD(ABS(SIN(D3774*7919.123+ROW()*0.618+'הדבקת לידים'!$F$2*1.3))*43758.5453,1)*1000000)*10000+ROW(),"")</f>
        <v/>
      </c>
      <c r="F3774" s="0" t="str">
        <f aca="false">IF(E3774="","",RANK(E3774,$E$2:$E$5001,1))</f>
        <v/>
      </c>
      <c r="G3774" s="0" t="n">
        <f aca="false">IF(A3774="",0,IF(SUMPRODUCT(--($A$2:$A$5001=A3774))&gt;1,1,0))</f>
        <v>0</v>
      </c>
      <c r="H3774" s="0" t="n">
        <f aca="false">ROW()-1</f>
        <v>3773</v>
      </c>
      <c r="I3774" s="0" t="str">
        <f aca="false">IF(OR(הגדרות!$E$6=0,H3774&gt;הגדרות!$E$5),"",IF(H3774-1&lt;הגדרות!$E$8*(הגדרות!$E$7+1),INT((H3774-1)/(הגדרות!$E$7+1)),הגדרות!$E$8+INT((H3774-1-הגדרות!$E$8*(הגדרות!$E$7+1))/הגדרות!$E$7)))</f>
        <v/>
      </c>
      <c r="J3774" s="0" t="str">
        <f aca="false">IF(I3774="","",IF(H3774-1&lt;הגדרות!$E$8*(הגדרות!$E$7+1),MOD(H3774-1,הגדרות!$E$7+1),MOD(H3774-1-הגדרות!$E$8*(הגדרות!$E$7+1),הגדרות!$E$7)))</f>
        <v/>
      </c>
      <c r="K3774" s="0" t="str">
        <f aca="false">IF(I3774="","",J3774*הגדרות!$E$6+I3774+1)</f>
        <v/>
      </c>
      <c r="L3774" s="0" t="str">
        <f aca="false">IF(K3774="","",MATCH(K3774,$F$2:$F$5001,0))</f>
        <v/>
      </c>
      <c r="M3774" s="0" t="str">
        <f aca="false">IF(I3774="","",INDEX(הגדרות!$A$2:$A$21,MOD(I3774+הגדרות!$E$9,הגדרות!$E$6)+1))</f>
        <v/>
      </c>
    </row>
    <row r="3775" customFormat="false" ht="15" hidden="false" customHeight="false" outlineLevel="0" collapsed="false">
      <c r="A3775" s="0" t="str">
        <f aca="false">IF('הדבקת לידים'!A3775="","",IF(ISNUMBER('הדבקת לידים'!A3775),IF(הגדרות!$E$2&gt;0,TEXT('הדבקת לידים'!A3775,REPT("0",הגדרות!$E$2)),TEXT('הדבקת לידים'!A3775,"0")),TRIM('הדבקת לידים'!A3775)))</f>
        <v/>
      </c>
      <c r="B3775" s="0" t="str">
        <f aca="false">IF('הדבקת לידים'!B3775="","",IF(ISNUMBER('הדבקת לידים'!B3775),IF(הגדרות!$E$3&gt;0,TEXT('הדבקת לידים'!B3775,REPT("0",הגדרות!$E$3)),TEXT('הדבקת לידים'!B3775,"0")),TRIM('הדבקת לידים'!B3775)))</f>
        <v/>
      </c>
      <c r="C3775" s="0" t="n">
        <f aca="false">IF(OR(A3775&lt;&gt;"",B3775&lt;&gt;""),1,0)</f>
        <v>0</v>
      </c>
      <c r="D3775" s="0" t="str">
        <f aca="false">IF(C3775=1,MOD(ABS(SIN(ROW()*12.9898+'הדבקת לידים'!$F$2*78.233+IFERROR(--RIGHT(A3775,6),LEN(A3775))*0.0137+IFERROR(--RIGHT(B3775,6),LEN(B3775))*0.0071))*43758.5453,1),"")</f>
        <v/>
      </c>
      <c r="E3775" s="0" t="str">
        <f aca="false">IF(C3775=1,INT(MOD(ABS(SIN(D3775*7919.123+ROW()*0.618+'הדבקת לידים'!$F$2*1.3))*43758.5453,1)*1000000)*10000+ROW(),"")</f>
        <v/>
      </c>
      <c r="F3775" s="0" t="str">
        <f aca="false">IF(E3775="","",RANK(E3775,$E$2:$E$5001,1))</f>
        <v/>
      </c>
      <c r="G3775" s="0" t="n">
        <f aca="false">IF(A3775="",0,IF(SUMPRODUCT(--($A$2:$A$5001=A3775))&gt;1,1,0))</f>
        <v>0</v>
      </c>
      <c r="H3775" s="0" t="n">
        <f aca="false">ROW()-1</f>
        <v>3774</v>
      </c>
      <c r="I3775" s="0" t="str">
        <f aca="false">IF(OR(הגדרות!$E$6=0,H3775&gt;הגדרות!$E$5),"",IF(H3775-1&lt;הגדרות!$E$8*(הגדרות!$E$7+1),INT((H3775-1)/(הגדרות!$E$7+1)),הגדרות!$E$8+INT((H3775-1-הגדרות!$E$8*(הגדרות!$E$7+1))/הגדרות!$E$7)))</f>
        <v/>
      </c>
      <c r="J3775" s="0" t="str">
        <f aca="false">IF(I3775="","",IF(H3775-1&lt;הגדרות!$E$8*(הגדרות!$E$7+1),MOD(H3775-1,הגדרות!$E$7+1),MOD(H3775-1-הגדרות!$E$8*(הגדרות!$E$7+1),הגדרות!$E$7)))</f>
        <v/>
      </c>
      <c r="K3775" s="0" t="str">
        <f aca="false">IF(I3775="","",J3775*הגדרות!$E$6+I3775+1)</f>
        <v/>
      </c>
      <c r="L3775" s="0" t="str">
        <f aca="false">IF(K3775="","",MATCH(K3775,$F$2:$F$5001,0))</f>
        <v/>
      </c>
      <c r="M3775" s="0" t="str">
        <f aca="false">IF(I3775="","",INDEX(הגדרות!$A$2:$A$21,MOD(I3775+הגדרות!$E$9,הגדרות!$E$6)+1))</f>
        <v/>
      </c>
    </row>
    <row r="3776" customFormat="false" ht="15" hidden="false" customHeight="false" outlineLevel="0" collapsed="false">
      <c r="A3776" s="0" t="str">
        <f aca="false">IF('הדבקת לידים'!A3776="","",IF(ISNUMBER('הדבקת לידים'!A3776),IF(הגדרות!$E$2&gt;0,TEXT('הדבקת לידים'!A3776,REPT("0",הגדרות!$E$2)),TEXT('הדבקת לידים'!A3776,"0")),TRIM('הדבקת לידים'!A3776)))</f>
        <v/>
      </c>
      <c r="B3776" s="0" t="str">
        <f aca="false">IF('הדבקת לידים'!B3776="","",IF(ISNUMBER('הדבקת לידים'!B3776),IF(הגדרות!$E$3&gt;0,TEXT('הדבקת לידים'!B3776,REPT("0",הגדרות!$E$3)),TEXT('הדבקת לידים'!B3776,"0")),TRIM('הדבקת לידים'!B3776)))</f>
        <v/>
      </c>
      <c r="C3776" s="0" t="n">
        <f aca="false">IF(OR(A3776&lt;&gt;"",B3776&lt;&gt;""),1,0)</f>
        <v>0</v>
      </c>
      <c r="D3776" s="0" t="str">
        <f aca="false">IF(C3776=1,MOD(ABS(SIN(ROW()*12.9898+'הדבקת לידים'!$F$2*78.233+IFERROR(--RIGHT(A3776,6),LEN(A3776))*0.0137+IFERROR(--RIGHT(B3776,6),LEN(B3776))*0.0071))*43758.5453,1),"")</f>
        <v/>
      </c>
      <c r="E3776" s="0" t="str">
        <f aca="false">IF(C3776=1,INT(MOD(ABS(SIN(D3776*7919.123+ROW()*0.618+'הדבקת לידים'!$F$2*1.3))*43758.5453,1)*1000000)*10000+ROW(),"")</f>
        <v/>
      </c>
      <c r="F3776" s="0" t="str">
        <f aca="false">IF(E3776="","",RANK(E3776,$E$2:$E$5001,1))</f>
        <v/>
      </c>
      <c r="G3776" s="0" t="n">
        <f aca="false">IF(A3776="",0,IF(SUMPRODUCT(--($A$2:$A$5001=A3776))&gt;1,1,0))</f>
        <v>0</v>
      </c>
      <c r="H3776" s="0" t="n">
        <f aca="false">ROW()-1</f>
        <v>3775</v>
      </c>
      <c r="I3776" s="0" t="str">
        <f aca="false">IF(OR(הגדרות!$E$6=0,H3776&gt;הגדרות!$E$5),"",IF(H3776-1&lt;הגדרות!$E$8*(הגדרות!$E$7+1),INT((H3776-1)/(הגדרות!$E$7+1)),הגדרות!$E$8+INT((H3776-1-הגדרות!$E$8*(הגדרות!$E$7+1))/הגדרות!$E$7)))</f>
        <v/>
      </c>
      <c r="J3776" s="0" t="str">
        <f aca="false">IF(I3776="","",IF(H3776-1&lt;הגדרות!$E$8*(הגדרות!$E$7+1),MOD(H3776-1,הגדרות!$E$7+1),MOD(H3776-1-הגדרות!$E$8*(הגדרות!$E$7+1),הגדרות!$E$7)))</f>
        <v/>
      </c>
      <c r="K3776" s="0" t="str">
        <f aca="false">IF(I3776="","",J3776*הגדרות!$E$6+I3776+1)</f>
        <v/>
      </c>
      <c r="L3776" s="0" t="str">
        <f aca="false">IF(K3776="","",MATCH(K3776,$F$2:$F$5001,0))</f>
        <v/>
      </c>
      <c r="M3776" s="0" t="str">
        <f aca="false">IF(I3776="","",INDEX(הגדרות!$A$2:$A$21,MOD(I3776+הגדרות!$E$9,הגדרות!$E$6)+1))</f>
        <v/>
      </c>
    </row>
    <row r="3777" customFormat="false" ht="15" hidden="false" customHeight="false" outlineLevel="0" collapsed="false">
      <c r="A3777" s="0" t="str">
        <f aca="false">IF('הדבקת לידים'!A3777="","",IF(ISNUMBER('הדבקת לידים'!A3777),IF(הגדרות!$E$2&gt;0,TEXT('הדבקת לידים'!A3777,REPT("0",הגדרות!$E$2)),TEXT('הדבקת לידים'!A3777,"0")),TRIM('הדבקת לידים'!A3777)))</f>
        <v/>
      </c>
      <c r="B3777" s="0" t="str">
        <f aca="false">IF('הדבקת לידים'!B3777="","",IF(ISNUMBER('הדבקת לידים'!B3777),IF(הגדרות!$E$3&gt;0,TEXT('הדבקת לידים'!B3777,REPT("0",הגדרות!$E$3)),TEXT('הדבקת לידים'!B3777,"0")),TRIM('הדבקת לידים'!B3777)))</f>
        <v/>
      </c>
      <c r="C3777" s="0" t="n">
        <f aca="false">IF(OR(A3777&lt;&gt;"",B3777&lt;&gt;""),1,0)</f>
        <v>0</v>
      </c>
      <c r="D3777" s="0" t="str">
        <f aca="false">IF(C3777=1,MOD(ABS(SIN(ROW()*12.9898+'הדבקת לידים'!$F$2*78.233+IFERROR(--RIGHT(A3777,6),LEN(A3777))*0.0137+IFERROR(--RIGHT(B3777,6),LEN(B3777))*0.0071))*43758.5453,1),"")</f>
        <v/>
      </c>
      <c r="E3777" s="0" t="str">
        <f aca="false">IF(C3777=1,INT(MOD(ABS(SIN(D3777*7919.123+ROW()*0.618+'הדבקת לידים'!$F$2*1.3))*43758.5453,1)*1000000)*10000+ROW(),"")</f>
        <v/>
      </c>
      <c r="F3777" s="0" t="str">
        <f aca="false">IF(E3777="","",RANK(E3777,$E$2:$E$5001,1))</f>
        <v/>
      </c>
      <c r="G3777" s="0" t="n">
        <f aca="false">IF(A3777="",0,IF(SUMPRODUCT(--($A$2:$A$5001=A3777))&gt;1,1,0))</f>
        <v>0</v>
      </c>
      <c r="H3777" s="0" t="n">
        <f aca="false">ROW()-1</f>
        <v>3776</v>
      </c>
      <c r="I3777" s="0" t="str">
        <f aca="false">IF(OR(הגדרות!$E$6=0,H3777&gt;הגדרות!$E$5),"",IF(H3777-1&lt;הגדרות!$E$8*(הגדרות!$E$7+1),INT((H3777-1)/(הגדרות!$E$7+1)),הגדרות!$E$8+INT((H3777-1-הגדרות!$E$8*(הגדרות!$E$7+1))/הגדרות!$E$7)))</f>
        <v/>
      </c>
      <c r="J3777" s="0" t="str">
        <f aca="false">IF(I3777="","",IF(H3777-1&lt;הגדרות!$E$8*(הגדרות!$E$7+1),MOD(H3777-1,הגדרות!$E$7+1),MOD(H3777-1-הגדרות!$E$8*(הגדרות!$E$7+1),הגדרות!$E$7)))</f>
        <v/>
      </c>
      <c r="K3777" s="0" t="str">
        <f aca="false">IF(I3777="","",J3777*הגדרות!$E$6+I3777+1)</f>
        <v/>
      </c>
      <c r="L3777" s="0" t="str">
        <f aca="false">IF(K3777="","",MATCH(K3777,$F$2:$F$5001,0))</f>
        <v/>
      </c>
      <c r="M3777" s="0" t="str">
        <f aca="false">IF(I3777="","",INDEX(הגדרות!$A$2:$A$21,MOD(I3777+הגדרות!$E$9,הגדרות!$E$6)+1))</f>
        <v/>
      </c>
    </row>
    <row r="3778" customFormat="false" ht="15" hidden="false" customHeight="false" outlineLevel="0" collapsed="false">
      <c r="A3778" s="0" t="str">
        <f aca="false">IF('הדבקת לידים'!A3778="","",IF(ISNUMBER('הדבקת לידים'!A3778),IF(הגדרות!$E$2&gt;0,TEXT('הדבקת לידים'!A3778,REPT("0",הגדרות!$E$2)),TEXT('הדבקת לידים'!A3778,"0")),TRIM('הדבקת לידים'!A3778)))</f>
        <v/>
      </c>
      <c r="B3778" s="0" t="str">
        <f aca="false">IF('הדבקת לידים'!B3778="","",IF(ISNUMBER('הדבקת לידים'!B3778),IF(הגדרות!$E$3&gt;0,TEXT('הדבקת לידים'!B3778,REPT("0",הגדרות!$E$3)),TEXT('הדבקת לידים'!B3778,"0")),TRIM('הדבקת לידים'!B3778)))</f>
        <v/>
      </c>
      <c r="C3778" s="0" t="n">
        <f aca="false">IF(OR(A3778&lt;&gt;"",B3778&lt;&gt;""),1,0)</f>
        <v>0</v>
      </c>
      <c r="D3778" s="0" t="str">
        <f aca="false">IF(C3778=1,MOD(ABS(SIN(ROW()*12.9898+'הדבקת לידים'!$F$2*78.233+IFERROR(--RIGHT(A3778,6),LEN(A3778))*0.0137+IFERROR(--RIGHT(B3778,6),LEN(B3778))*0.0071))*43758.5453,1),"")</f>
        <v/>
      </c>
      <c r="E3778" s="0" t="str">
        <f aca="false">IF(C3778=1,INT(MOD(ABS(SIN(D3778*7919.123+ROW()*0.618+'הדבקת לידים'!$F$2*1.3))*43758.5453,1)*1000000)*10000+ROW(),"")</f>
        <v/>
      </c>
      <c r="F3778" s="0" t="str">
        <f aca="false">IF(E3778="","",RANK(E3778,$E$2:$E$5001,1))</f>
        <v/>
      </c>
      <c r="G3778" s="0" t="n">
        <f aca="false">IF(A3778="",0,IF(SUMPRODUCT(--($A$2:$A$5001=A3778))&gt;1,1,0))</f>
        <v>0</v>
      </c>
      <c r="H3778" s="0" t="n">
        <f aca="false">ROW()-1</f>
        <v>3777</v>
      </c>
      <c r="I3778" s="0" t="str">
        <f aca="false">IF(OR(הגדרות!$E$6=0,H3778&gt;הגדרות!$E$5),"",IF(H3778-1&lt;הגדרות!$E$8*(הגדרות!$E$7+1),INT((H3778-1)/(הגדרות!$E$7+1)),הגדרות!$E$8+INT((H3778-1-הגדרות!$E$8*(הגדרות!$E$7+1))/הגדרות!$E$7)))</f>
        <v/>
      </c>
      <c r="J3778" s="0" t="str">
        <f aca="false">IF(I3778="","",IF(H3778-1&lt;הגדרות!$E$8*(הגדרות!$E$7+1),MOD(H3778-1,הגדרות!$E$7+1),MOD(H3778-1-הגדרות!$E$8*(הגדרות!$E$7+1),הגדרות!$E$7)))</f>
        <v/>
      </c>
      <c r="K3778" s="0" t="str">
        <f aca="false">IF(I3778="","",J3778*הגדרות!$E$6+I3778+1)</f>
        <v/>
      </c>
      <c r="L3778" s="0" t="str">
        <f aca="false">IF(K3778="","",MATCH(K3778,$F$2:$F$5001,0))</f>
        <v/>
      </c>
      <c r="M3778" s="0" t="str">
        <f aca="false">IF(I3778="","",INDEX(הגדרות!$A$2:$A$21,MOD(I3778+הגדרות!$E$9,הגדרות!$E$6)+1))</f>
        <v/>
      </c>
    </row>
    <row r="3779" customFormat="false" ht="15" hidden="false" customHeight="false" outlineLevel="0" collapsed="false">
      <c r="A3779" s="0" t="str">
        <f aca="false">IF('הדבקת לידים'!A3779="","",IF(ISNUMBER('הדבקת לידים'!A3779),IF(הגדרות!$E$2&gt;0,TEXT('הדבקת לידים'!A3779,REPT("0",הגדרות!$E$2)),TEXT('הדבקת לידים'!A3779,"0")),TRIM('הדבקת לידים'!A3779)))</f>
        <v/>
      </c>
      <c r="B3779" s="0" t="str">
        <f aca="false">IF('הדבקת לידים'!B3779="","",IF(ISNUMBER('הדבקת לידים'!B3779),IF(הגדרות!$E$3&gt;0,TEXT('הדבקת לידים'!B3779,REPT("0",הגדרות!$E$3)),TEXT('הדבקת לידים'!B3779,"0")),TRIM('הדבקת לידים'!B3779)))</f>
        <v/>
      </c>
      <c r="C3779" s="0" t="n">
        <f aca="false">IF(OR(A3779&lt;&gt;"",B3779&lt;&gt;""),1,0)</f>
        <v>0</v>
      </c>
      <c r="D3779" s="0" t="str">
        <f aca="false">IF(C3779=1,MOD(ABS(SIN(ROW()*12.9898+'הדבקת לידים'!$F$2*78.233+IFERROR(--RIGHT(A3779,6),LEN(A3779))*0.0137+IFERROR(--RIGHT(B3779,6),LEN(B3779))*0.0071))*43758.5453,1),"")</f>
        <v/>
      </c>
      <c r="E3779" s="0" t="str">
        <f aca="false">IF(C3779=1,INT(MOD(ABS(SIN(D3779*7919.123+ROW()*0.618+'הדבקת לידים'!$F$2*1.3))*43758.5453,1)*1000000)*10000+ROW(),"")</f>
        <v/>
      </c>
      <c r="F3779" s="0" t="str">
        <f aca="false">IF(E3779="","",RANK(E3779,$E$2:$E$5001,1))</f>
        <v/>
      </c>
      <c r="G3779" s="0" t="n">
        <f aca="false">IF(A3779="",0,IF(SUMPRODUCT(--($A$2:$A$5001=A3779))&gt;1,1,0))</f>
        <v>0</v>
      </c>
      <c r="H3779" s="0" t="n">
        <f aca="false">ROW()-1</f>
        <v>3778</v>
      </c>
      <c r="I3779" s="0" t="str">
        <f aca="false">IF(OR(הגדרות!$E$6=0,H3779&gt;הגדרות!$E$5),"",IF(H3779-1&lt;הגדרות!$E$8*(הגדרות!$E$7+1),INT((H3779-1)/(הגדרות!$E$7+1)),הגדרות!$E$8+INT((H3779-1-הגדרות!$E$8*(הגדרות!$E$7+1))/הגדרות!$E$7)))</f>
        <v/>
      </c>
      <c r="J3779" s="0" t="str">
        <f aca="false">IF(I3779="","",IF(H3779-1&lt;הגדרות!$E$8*(הגדרות!$E$7+1),MOD(H3779-1,הגדרות!$E$7+1),MOD(H3779-1-הגדרות!$E$8*(הגדרות!$E$7+1),הגדרות!$E$7)))</f>
        <v/>
      </c>
      <c r="K3779" s="0" t="str">
        <f aca="false">IF(I3779="","",J3779*הגדרות!$E$6+I3779+1)</f>
        <v/>
      </c>
      <c r="L3779" s="0" t="str">
        <f aca="false">IF(K3779="","",MATCH(K3779,$F$2:$F$5001,0))</f>
        <v/>
      </c>
      <c r="M3779" s="0" t="str">
        <f aca="false">IF(I3779="","",INDEX(הגדרות!$A$2:$A$21,MOD(I3779+הגדרות!$E$9,הגדרות!$E$6)+1))</f>
        <v/>
      </c>
    </row>
    <row r="3780" customFormat="false" ht="15" hidden="false" customHeight="false" outlineLevel="0" collapsed="false">
      <c r="A3780" s="0" t="str">
        <f aca="false">IF('הדבקת לידים'!A3780="","",IF(ISNUMBER('הדבקת לידים'!A3780),IF(הגדרות!$E$2&gt;0,TEXT('הדבקת לידים'!A3780,REPT("0",הגדרות!$E$2)),TEXT('הדבקת לידים'!A3780,"0")),TRIM('הדבקת לידים'!A3780)))</f>
        <v/>
      </c>
      <c r="B3780" s="0" t="str">
        <f aca="false">IF('הדבקת לידים'!B3780="","",IF(ISNUMBER('הדבקת לידים'!B3780),IF(הגדרות!$E$3&gt;0,TEXT('הדבקת לידים'!B3780,REPT("0",הגדרות!$E$3)),TEXT('הדבקת לידים'!B3780,"0")),TRIM('הדבקת לידים'!B3780)))</f>
        <v/>
      </c>
      <c r="C3780" s="0" t="n">
        <f aca="false">IF(OR(A3780&lt;&gt;"",B3780&lt;&gt;""),1,0)</f>
        <v>0</v>
      </c>
      <c r="D3780" s="0" t="str">
        <f aca="false">IF(C3780=1,MOD(ABS(SIN(ROW()*12.9898+'הדבקת לידים'!$F$2*78.233+IFERROR(--RIGHT(A3780,6),LEN(A3780))*0.0137+IFERROR(--RIGHT(B3780,6),LEN(B3780))*0.0071))*43758.5453,1),"")</f>
        <v/>
      </c>
      <c r="E3780" s="0" t="str">
        <f aca="false">IF(C3780=1,INT(MOD(ABS(SIN(D3780*7919.123+ROW()*0.618+'הדבקת לידים'!$F$2*1.3))*43758.5453,1)*1000000)*10000+ROW(),"")</f>
        <v/>
      </c>
      <c r="F3780" s="0" t="str">
        <f aca="false">IF(E3780="","",RANK(E3780,$E$2:$E$5001,1))</f>
        <v/>
      </c>
      <c r="G3780" s="0" t="n">
        <f aca="false">IF(A3780="",0,IF(SUMPRODUCT(--($A$2:$A$5001=A3780))&gt;1,1,0))</f>
        <v>0</v>
      </c>
      <c r="H3780" s="0" t="n">
        <f aca="false">ROW()-1</f>
        <v>3779</v>
      </c>
      <c r="I3780" s="0" t="str">
        <f aca="false">IF(OR(הגדרות!$E$6=0,H3780&gt;הגדרות!$E$5),"",IF(H3780-1&lt;הגדרות!$E$8*(הגדרות!$E$7+1),INT((H3780-1)/(הגדרות!$E$7+1)),הגדרות!$E$8+INT((H3780-1-הגדרות!$E$8*(הגדרות!$E$7+1))/הגדרות!$E$7)))</f>
        <v/>
      </c>
      <c r="J3780" s="0" t="str">
        <f aca="false">IF(I3780="","",IF(H3780-1&lt;הגדרות!$E$8*(הגדרות!$E$7+1),MOD(H3780-1,הגדרות!$E$7+1),MOD(H3780-1-הגדרות!$E$8*(הגדרות!$E$7+1),הגדרות!$E$7)))</f>
        <v/>
      </c>
      <c r="K3780" s="0" t="str">
        <f aca="false">IF(I3780="","",J3780*הגדרות!$E$6+I3780+1)</f>
        <v/>
      </c>
      <c r="L3780" s="0" t="str">
        <f aca="false">IF(K3780="","",MATCH(K3780,$F$2:$F$5001,0))</f>
        <v/>
      </c>
      <c r="M3780" s="0" t="str">
        <f aca="false">IF(I3780="","",INDEX(הגדרות!$A$2:$A$21,MOD(I3780+הגדרות!$E$9,הגדרות!$E$6)+1))</f>
        <v/>
      </c>
    </row>
    <row r="3781" customFormat="false" ht="15" hidden="false" customHeight="false" outlineLevel="0" collapsed="false">
      <c r="A3781" s="0" t="str">
        <f aca="false">IF('הדבקת לידים'!A3781="","",IF(ISNUMBER('הדבקת לידים'!A3781),IF(הגדרות!$E$2&gt;0,TEXT('הדבקת לידים'!A3781,REPT("0",הגדרות!$E$2)),TEXT('הדבקת לידים'!A3781,"0")),TRIM('הדבקת לידים'!A3781)))</f>
        <v/>
      </c>
      <c r="B3781" s="0" t="str">
        <f aca="false">IF('הדבקת לידים'!B3781="","",IF(ISNUMBER('הדבקת לידים'!B3781),IF(הגדרות!$E$3&gt;0,TEXT('הדבקת לידים'!B3781,REPT("0",הגדרות!$E$3)),TEXT('הדבקת לידים'!B3781,"0")),TRIM('הדבקת לידים'!B3781)))</f>
        <v/>
      </c>
      <c r="C3781" s="0" t="n">
        <f aca="false">IF(OR(A3781&lt;&gt;"",B3781&lt;&gt;""),1,0)</f>
        <v>0</v>
      </c>
      <c r="D3781" s="0" t="str">
        <f aca="false">IF(C3781=1,MOD(ABS(SIN(ROW()*12.9898+'הדבקת לידים'!$F$2*78.233+IFERROR(--RIGHT(A3781,6),LEN(A3781))*0.0137+IFERROR(--RIGHT(B3781,6),LEN(B3781))*0.0071))*43758.5453,1),"")</f>
        <v/>
      </c>
      <c r="E3781" s="0" t="str">
        <f aca="false">IF(C3781=1,INT(MOD(ABS(SIN(D3781*7919.123+ROW()*0.618+'הדבקת לידים'!$F$2*1.3))*43758.5453,1)*1000000)*10000+ROW(),"")</f>
        <v/>
      </c>
      <c r="F3781" s="0" t="str">
        <f aca="false">IF(E3781="","",RANK(E3781,$E$2:$E$5001,1))</f>
        <v/>
      </c>
      <c r="G3781" s="0" t="n">
        <f aca="false">IF(A3781="",0,IF(SUMPRODUCT(--($A$2:$A$5001=A3781))&gt;1,1,0))</f>
        <v>0</v>
      </c>
      <c r="H3781" s="0" t="n">
        <f aca="false">ROW()-1</f>
        <v>3780</v>
      </c>
      <c r="I3781" s="0" t="str">
        <f aca="false">IF(OR(הגדרות!$E$6=0,H3781&gt;הגדרות!$E$5),"",IF(H3781-1&lt;הגדרות!$E$8*(הגדרות!$E$7+1),INT((H3781-1)/(הגדרות!$E$7+1)),הגדרות!$E$8+INT((H3781-1-הגדרות!$E$8*(הגדרות!$E$7+1))/הגדרות!$E$7)))</f>
        <v/>
      </c>
      <c r="J3781" s="0" t="str">
        <f aca="false">IF(I3781="","",IF(H3781-1&lt;הגדרות!$E$8*(הגדרות!$E$7+1),MOD(H3781-1,הגדרות!$E$7+1),MOD(H3781-1-הגדרות!$E$8*(הגדרות!$E$7+1),הגדרות!$E$7)))</f>
        <v/>
      </c>
      <c r="K3781" s="0" t="str">
        <f aca="false">IF(I3781="","",J3781*הגדרות!$E$6+I3781+1)</f>
        <v/>
      </c>
      <c r="L3781" s="0" t="str">
        <f aca="false">IF(K3781="","",MATCH(K3781,$F$2:$F$5001,0))</f>
        <v/>
      </c>
      <c r="M3781" s="0" t="str">
        <f aca="false">IF(I3781="","",INDEX(הגדרות!$A$2:$A$21,MOD(I3781+הגדרות!$E$9,הגדרות!$E$6)+1))</f>
        <v/>
      </c>
    </row>
    <row r="3782" customFormat="false" ht="15" hidden="false" customHeight="false" outlineLevel="0" collapsed="false">
      <c r="A3782" s="0" t="str">
        <f aca="false">IF('הדבקת לידים'!A3782="","",IF(ISNUMBER('הדבקת לידים'!A3782),IF(הגדרות!$E$2&gt;0,TEXT('הדבקת לידים'!A3782,REPT("0",הגדרות!$E$2)),TEXT('הדבקת לידים'!A3782,"0")),TRIM('הדבקת לידים'!A3782)))</f>
        <v/>
      </c>
      <c r="B3782" s="0" t="str">
        <f aca="false">IF('הדבקת לידים'!B3782="","",IF(ISNUMBER('הדבקת לידים'!B3782),IF(הגדרות!$E$3&gt;0,TEXT('הדבקת לידים'!B3782,REPT("0",הגדרות!$E$3)),TEXT('הדבקת לידים'!B3782,"0")),TRIM('הדבקת לידים'!B3782)))</f>
        <v/>
      </c>
      <c r="C3782" s="0" t="n">
        <f aca="false">IF(OR(A3782&lt;&gt;"",B3782&lt;&gt;""),1,0)</f>
        <v>0</v>
      </c>
      <c r="D3782" s="0" t="str">
        <f aca="false">IF(C3782=1,MOD(ABS(SIN(ROW()*12.9898+'הדבקת לידים'!$F$2*78.233+IFERROR(--RIGHT(A3782,6),LEN(A3782))*0.0137+IFERROR(--RIGHT(B3782,6),LEN(B3782))*0.0071))*43758.5453,1),"")</f>
        <v/>
      </c>
      <c r="E3782" s="0" t="str">
        <f aca="false">IF(C3782=1,INT(MOD(ABS(SIN(D3782*7919.123+ROW()*0.618+'הדבקת לידים'!$F$2*1.3))*43758.5453,1)*1000000)*10000+ROW(),"")</f>
        <v/>
      </c>
      <c r="F3782" s="0" t="str">
        <f aca="false">IF(E3782="","",RANK(E3782,$E$2:$E$5001,1))</f>
        <v/>
      </c>
      <c r="G3782" s="0" t="n">
        <f aca="false">IF(A3782="",0,IF(SUMPRODUCT(--($A$2:$A$5001=A3782))&gt;1,1,0))</f>
        <v>0</v>
      </c>
      <c r="H3782" s="0" t="n">
        <f aca="false">ROW()-1</f>
        <v>3781</v>
      </c>
      <c r="I3782" s="0" t="str">
        <f aca="false">IF(OR(הגדרות!$E$6=0,H3782&gt;הגדרות!$E$5),"",IF(H3782-1&lt;הגדרות!$E$8*(הגדרות!$E$7+1),INT((H3782-1)/(הגדרות!$E$7+1)),הגדרות!$E$8+INT((H3782-1-הגדרות!$E$8*(הגדרות!$E$7+1))/הגדרות!$E$7)))</f>
        <v/>
      </c>
      <c r="J3782" s="0" t="str">
        <f aca="false">IF(I3782="","",IF(H3782-1&lt;הגדרות!$E$8*(הגדרות!$E$7+1),MOD(H3782-1,הגדרות!$E$7+1),MOD(H3782-1-הגדרות!$E$8*(הגדרות!$E$7+1),הגדרות!$E$7)))</f>
        <v/>
      </c>
      <c r="K3782" s="0" t="str">
        <f aca="false">IF(I3782="","",J3782*הגדרות!$E$6+I3782+1)</f>
        <v/>
      </c>
      <c r="L3782" s="0" t="str">
        <f aca="false">IF(K3782="","",MATCH(K3782,$F$2:$F$5001,0))</f>
        <v/>
      </c>
      <c r="M3782" s="0" t="str">
        <f aca="false">IF(I3782="","",INDEX(הגדרות!$A$2:$A$21,MOD(I3782+הגדרות!$E$9,הגדרות!$E$6)+1))</f>
        <v/>
      </c>
    </row>
    <row r="3783" customFormat="false" ht="15" hidden="false" customHeight="false" outlineLevel="0" collapsed="false">
      <c r="A3783" s="0" t="str">
        <f aca="false">IF('הדבקת לידים'!A3783="","",IF(ISNUMBER('הדבקת לידים'!A3783),IF(הגדרות!$E$2&gt;0,TEXT('הדבקת לידים'!A3783,REPT("0",הגדרות!$E$2)),TEXT('הדבקת לידים'!A3783,"0")),TRIM('הדבקת לידים'!A3783)))</f>
        <v/>
      </c>
      <c r="B3783" s="0" t="str">
        <f aca="false">IF('הדבקת לידים'!B3783="","",IF(ISNUMBER('הדבקת לידים'!B3783),IF(הגדרות!$E$3&gt;0,TEXT('הדבקת לידים'!B3783,REPT("0",הגדרות!$E$3)),TEXT('הדבקת לידים'!B3783,"0")),TRIM('הדבקת לידים'!B3783)))</f>
        <v/>
      </c>
      <c r="C3783" s="0" t="n">
        <f aca="false">IF(OR(A3783&lt;&gt;"",B3783&lt;&gt;""),1,0)</f>
        <v>0</v>
      </c>
      <c r="D3783" s="0" t="str">
        <f aca="false">IF(C3783=1,MOD(ABS(SIN(ROW()*12.9898+'הדבקת לידים'!$F$2*78.233+IFERROR(--RIGHT(A3783,6),LEN(A3783))*0.0137+IFERROR(--RIGHT(B3783,6),LEN(B3783))*0.0071))*43758.5453,1),"")</f>
        <v/>
      </c>
      <c r="E3783" s="0" t="str">
        <f aca="false">IF(C3783=1,INT(MOD(ABS(SIN(D3783*7919.123+ROW()*0.618+'הדבקת לידים'!$F$2*1.3))*43758.5453,1)*1000000)*10000+ROW(),"")</f>
        <v/>
      </c>
      <c r="F3783" s="0" t="str">
        <f aca="false">IF(E3783="","",RANK(E3783,$E$2:$E$5001,1))</f>
        <v/>
      </c>
      <c r="G3783" s="0" t="n">
        <f aca="false">IF(A3783="",0,IF(SUMPRODUCT(--($A$2:$A$5001=A3783))&gt;1,1,0))</f>
        <v>0</v>
      </c>
      <c r="H3783" s="0" t="n">
        <f aca="false">ROW()-1</f>
        <v>3782</v>
      </c>
      <c r="I3783" s="0" t="str">
        <f aca="false">IF(OR(הגדרות!$E$6=0,H3783&gt;הגדרות!$E$5),"",IF(H3783-1&lt;הגדרות!$E$8*(הגדרות!$E$7+1),INT((H3783-1)/(הגדרות!$E$7+1)),הגדרות!$E$8+INT((H3783-1-הגדרות!$E$8*(הגדרות!$E$7+1))/הגדרות!$E$7)))</f>
        <v/>
      </c>
      <c r="J3783" s="0" t="str">
        <f aca="false">IF(I3783="","",IF(H3783-1&lt;הגדרות!$E$8*(הגדרות!$E$7+1),MOD(H3783-1,הגדרות!$E$7+1),MOD(H3783-1-הגדרות!$E$8*(הגדרות!$E$7+1),הגדרות!$E$7)))</f>
        <v/>
      </c>
      <c r="K3783" s="0" t="str">
        <f aca="false">IF(I3783="","",J3783*הגדרות!$E$6+I3783+1)</f>
        <v/>
      </c>
      <c r="L3783" s="0" t="str">
        <f aca="false">IF(K3783="","",MATCH(K3783,$F$2:$F$5001,0))</f>
        <v/>
      </c>
      <c r="M3783" s="0" t="str">
        <f aca="false">IF(I3783="","",INDEX(הגדרות!$A$2:$A$21,MOD(I3783+הגדרות!$E$9,הגדרות!$E$6)+1))</f>
        <v/>
      </c>
    </row>
    <row r="3784" customFormat="false" ht="15" hidden="false" customHeight="false" outlineLevel="0" collapsed="false">
      <c r="A3784" s="0" t="str">
        <f aca="false">IF('הדבקת לידים'!A3784="","",IF(ISNUMBER('הדבקת לידים'!A3784),IF(הגדרות!$E$2&gt;0,TEXT('הדבקת לידים'!A3784,REPT("0",הגדרות!$E$2)),TEXT('הדבקת לידים'!A3784,"0")),TRIM('הדבקת לידים'!A3784)))</f>
        <v/>
      </c>
      <c r="B3784" s="0" t="str">
        <f aca="false">IF('הדבקת לידים'!B3784="","",IF(ISNUMBER('הדבקת לידים'!B3784),IF(הגדרות!$E$3&gt;0,TEXT('הדבקת לידים'!B3784,REPT("0",הגדרות!$E$3)),TEXT('הדבקת לידים'!B3784,"0")),TRIM('הדבקת לידים'!B3784)))</f>
        <v/>
      </c>
      <c r="C3784" s="0" t="n">
        <f aca="false">IF(OR(A3784&lt;&gt;"",B3784&lt;&gt;""),1,0)</f>
        <v>0</v>
      </c>
      <c r="D3784" s="0" t="str">
        <f aca="false">IF(C3784=1,MOD(ABS(SIN(ROW()*12.9898+'הדבקת לידים'!$F$2*78.233+IFERROR(--RIGHT(A3784,6),LEN(A3784))*0.0137+IFERROR(--RIGHT(B3784,6),LEN(B3784))*0.0071))*43758.5453,1),"")</f>
        <v/>
      </c>
      <c r="E3784" s="0" t="str">
        <f aca="false">IF(C3784=1,INT(MOD(ABS(SIN(D3784*7919.123+ROW()*0.618+'הדבקת לידים'!$F$2*1.3))*43758.5453,1)*1000000)*10000+ROW(),"")</f>
        <v/>
      </c>
      <c r="F3784" s="0" t="str">
        <f aca="false">IF(E3784="","",RANK(E3784,$E$2:$E$5001,1))</f>
        <v/>
      </c>
      <c r="G3784" s="0" t="n">
        <f aca="false">IF(A3784="",0,IF(SUMPRODUCT(--($A$2:$A$5001=A3784))&gt;1,1,0))</f>
        <v>0</v>
      </c>
      <c r="H3784" s="0" t="n">
        <f aca="false">ROW()-1</f>
        <v>3783</v>
      </c>
      <c r="I3784" s="0" t="str">
        <f aca="false">IF(OR(הגדרות!$E$6=0,H3784&gt;הגדרות!$E$5),"",IF(H3784-1&lt;הגדרות!$E$8*(הגדרות!$E$7+1),INT((H3784-1)/(הגדרות!$E$7+1)),הגדרות!$E$8+INT((H3784-1-הגדרות!$E$8*(הגדרות!$E$7+1))/הגדרות!$E$7)))</f>
        <v/>
      </c>
      <c r="J3784" s="0" t="str">
        <f aca="false">IF(I3784="","",IF(H3784-1&lt;הגדרות!$E$8*(הגדרות!$E$7+1),MOD(H3784-1,הגדרות!$E$7+1),MOD(H3784-1-הגדרות!$E$8*(הגדרות!$E$7+1),הגדרות!$E$7)))</f>
        <v/>
      </c>
      <c r="K3784" s="0" t="str">
        <f aca="false">IF(I3784="","",J3784*הגדרות!$E$6+I3784+1)</f>
        <v/>
      </c>
      <c r="L3784" s="0" t="str">
        <f aca="false">IF(K3784="","",MATCH(K3784,$F$2:$F$5001,0))</f>
        <v/>
      </c>
      <c r="M3784" s="0" t="str">
        <f aca="false">IF(I3784="","",INDEX(הגדרות!$A$2:$A$21,MOD(I3784+הגדרות!$E$9,הגדרות!$E$6)+1))</f>
        <v/>
      </c>
    </row>
    <row r="3785" customFormat="false" ht="15" hidden="false" customHeight="false" outlineLevel="0" collapsed="false">
      <c r="A3785" s="0" t="str">
        <f aca="false">IF('הדבקת לידים'!A3785="","",IF(ISNUMBER('הדבקת לידים'!A3785),IF(הגדרות!$E$2&gt;0,TEXT('הדבקת לידים'!A3785,REPT("0",הגדרות!$E$2)),TEXT('הדבקת לידים'!A3785,"0")),TRIM('הדבקת לידים'!A3785)))</f>
        <v/>
      </c>
      <c r="B3785" s="0" t="str">
        <f aca="false">IF('הדבקת לידים'!B3785="","",IF(ISNUMBER('הדבקת לידים'!B3785),IF(הגדרות!$E$3&gt;0,TEXT('הדבקת לידים'!B3785,REPT("0",הגדרות!$E$3)),TEXT('הדבקת לידים'!B3785,"0")),TRIM('הדבקת לידים'!B3785)))</f>
        <v/>
      </c>
      <c r="C3785" s="0" t="n">
        <f aca="false">IF(OR(A3785&lt;&gt;"",B3785&lt;&gt;""),1,0)</f>
        <v>0</v>
      </c>
      <c r="D3785" s="0" t="str">
        <f aca="false">IF(C3785=1,MOD(ABS(SIN(ROW()*12.9898+'הדבקת לידים'!$F$2*78.233+IFERROR(--RIGHT(A3785,6),LEN(A3785))*0.0137+IFERROR(--RIGHT(B3785,6),LEN(B3785))*0.0071))*43758.5453,1),"")</f>
        <v/>
      </c>
      <c r="E3785" s="0" t="str">
        <f aca="false">IF(C3785=1,INT(MOD(ABS(SIN(D3785*7919.123+ROW()*0.618+'הדבקת לידים'!$F$2*1.3))*43758.5453,1)*1000000)*10000+ROW(),"")</f>
        <v/>
      </c>
      <c r="F3785" s="0" t="str">
        <f aca="false">IF(E3785="","",RANK(E3785,$E$2:$E$5001,1))</f>
        <v/>
      </c>
      <c r="G3785" s="0" t="n">
        <f aca="false">IF(A3785="",0,IF(SUMPRODUCT(--($A$2:$A$5001=A3785))&gt;1,1,0))</f>
        <v>0</v>
      </c>
      <c r="H3785" s="0" t="n">
        <f aca="false">ROW()-1</f>
        <v>3784</v>
      </c>
      <c r="I3785" s="0" t="str">
        <f aca="false">IF(OR(הגדרות!$E$6=0,H3785&gt;הגדרות!$E$5),"",IF(H3785-1&lt;הגדרות!$E$8*(הגדרות!$E$7+1),INT((H3785-1)/(הגדרות!$E$7+1)),הגדרות!$E$8+INT((H3785-1-הגדרות!$E$8*(הגדרות!$E$7+1))/הגדרות!$E$7)))</f>
        <v/>
      </c>
      <c r="J3785" s="0" t="str">
        <f aca="false">IF(I3785="","",IF(H3785-1&lt;הגדרות!$E$8*(הגדרות!$E$7+1),MOD(H3785-1,הגדרות!$E$7+1),MOD(H3785-1-הגדרות!$E$8*(הגדרות!$E$7+1),הגדרות!$E$7)))</f>
        <v/>
      </c>
      <c r="K3785" s="0" t="str">
        <f aca="false">IF(I3785="","",J3785*הגדרות!$E$6+I3785+1)</f>
        <v/>
      </c>
      <c r="L3785" s="0" t="str">
        <f aca="false">IF(K3785="","",MATCH(K3785,$F$2:$F$5001,0))</f>
        <v/>
      </c>
      <c r="M3785" s="0" t="str">
        <f aca="false">IF(I3785="","",INDEX(הגדרות!$A$2:$A$21,MOD(I3785+הגדרות!$E$9,הגדרות!$E$6)+1))</f>
        <v/>
      </c>
    </row>
    <row r="3786" customFormat="false" ht="15" hidden="false" customHeight="false" outlineLevel="0" collapsed="false">
      <c r="A3786" s="0" t="str">
        <f aca="false">IF('הדבקת לידים'!A3786="","",IF(ISNUMBER('הדבקת לידים'!A3786),IF(הגדרות!$E$2&gt;0,TEXT('הדבקת לידים'!A3786,REPT("0",הגדרות!$E$2)),TEXT('הדבקת לידים'!A3786,"0")),TRIM('הדבקת לידים'!A3786)))</f>
        <v/>
      </c>
      <c r="B3786" s="0" t="str">
        <f aca="false">IF('הדבקת לידים'!B3786="","",IF(ISNUMBER('הדבקת לידים'!B3786),IF(הגדרות!$E$3&gt;0,TEXT('הדבקת לידים'!B3786,REPT("0",הגדרות!$E$3)),TEXT('הדבקת לידים'!B3786,"0")),TRIM('הדבקת לידים'!B3786)))</f>
        <v/>
      </c>
      <c r="C3786" s="0" t="n">
        <f aca="false">IF(OR(A3786&lt;&gt;"",B3786&lt;&gt;""),1,0)</f>
        <v>0</v>
      </c>
      <c r="D3786" s="0" t="str">
        <f aca="false">IF(C3786=1,MOD(ABS(SIN(ROW()*12.9898+'הדבקת לידים'!$F$2*78.233+IFERROR(--RIGHT(A3786,6),LEN(A3786))*0.0137+IFERROR(--RIGHT(B3786,6),LEN(B3786))*0.0071))*43758.5453,1),"")</f>
        <v/>
      </c>
      <c r="E3786" s="0" t="str">
        <f aca="false">IF(C3786=1,INT(MOD(ABS(SIN(D3786*7919.123+ROW()*0.618+'הדבקת לידים'!$F$2*1.3))*43758.5453,1)*1000000)*10000+ROW(),"")</f>
        <v/>
      </c>
      <c r="F3786" s="0" t="str">
        <f aca="false">IF(E3786="","",RANK(E3786,$E$2:$E$5001,1))</f>
        <v/>
      </c>
      <c r="G3786" s="0" t="n">
        <f aca="false">IF(A3786="",0,IF(SUMPRODUCT(--($A$2:$A$5001=A3786))&gt;1,1,0))</f>
        <v>0</v>
      </c>
      <c r="H3786" s="0" t="n">
        <f aca="false">ROW()-1</f>
        <v>3785</v>
      </c>
      <c r="I3786" s="0" t="str">
        <f aca="false">IF(OR(הגדרות!$E$6=0,H3786&gt;הגדרות!$E$5),"",IF(H3786-1&lt;הגדרות!$E$8*(הגדרות!$E$7+1),INT((H3786-1)/(הגדרות!$E$7+1)),הגדרות!$E$8+INT((H3786-1-הגדרות!$E$8*(הגדרות!$E$7+1))/הגדרות!$E$7)))</f>
        <v/>
      </c>
      <c r="J3786" s="0" t="str">
        <f aca="false">IF(I3786="","",IF(H3786-1&lt;הגדרות!$E$8*(הגדרות!$E$7+1),MOD(H3786-1,הגדרות!$E$7+1),MOD(H3786-1-הגדרות!$E$8*(הגדרות!$E$7+1),הגדרות!$E$7)))</f>
        <v/>
      </c>
      <c r="K3786" s="0" t="str">
        <f aca="false">IF(I3786="","",J3786*הגדרות!$E$6+I3786+1)</f>
        <v/>
      </c>
      <c r="L3786" s="0" t="str">
        <f aca="false">IF(K3786="","",MATCH(K3786,$F$2:$F$5001,0))</f>
        <v/>
      </c>
      <c r="M3786" s="0" t="str">
        <f aca="false">IF(I3786="","",INDEX(הגדרות!$A$2:$A$21,MOD(I3786+הגדרות!$E$9,הגדרות!$E$6)+1))</f>
        <v/>
      </c>
    </row>
    <row r="3787" customFormat="false" ht="15" hidden="false" customHeight="false" outlineLevel="0" collapsed="false">
      <c r="A3787" s="0" t="str">
        <f aca="false">IF('הדבקת לידים'!A3787="","",IF(ISNUMBER('הדבקת לידים'!A3787),IF(הגדרות!$E$2&gt;0,TEXT('הדבקת לידים'!A3787,REPT("0",הגדרות!$E$2)),TEXT('הדבקת לידים'!A3787,"0")),TRIM('הדבקת לידים'!A3787)))</f>
        <v/>
      </c>
      <c r="B3787" s="0" t="str">
        <f aca="false">IF('הדבקת לידים'!B3787="","",IF(ISNUMBER('הדבקת לידים'!B3787),IF(הגדרות!$E$3&gt;0,TEXT('הדבקת לידים'!B3787,REPT("0",הגדרות!$E$3)),TEXT('הדבקת לידים'!B3787,"0")),TRIM('הדבקת לידים'!B3787)))</f>
        <v/>
      </c>
      <c r="C3787" s="0" t="n">
        <f aca="false">IF(OR(A3787&lt;&gt;"",B3787&lt;&gt;""),1,0)</f>
        <v>0</v>
      </c>
      <c r="D3787" s="0" t="str">
        <f aca="false">IF(C3787=1,MOD(ABS(SIN(ROW()*12.9898+'הדבקת לידים'!$F$2*78.233+IFERROR(--RIGHT(A3787,6),LEN(A3787))*0.0137+IFERROR(--RIGHT(B3787,6),LEN(B3787))*0.0071))*43758.5453,1),"")</f>
        <v/>
      </c>
      <c r="E3787" s="0" t="str">
        <f aca="false">IF(C3787=1,INT(MOD(ABS(SIN(D3787*7919.123+ROW()*0.618+'הדבקת לידים'!$F$2*1.3))*43758.5453,1)*1000000)*10000+ROW(),"")</f>
        <v/>
      </c>
      <c r="F3787" s="0" t="str">
        <f aca="false">IF(E3787="","",RANK(E3787,$E$2:$E$5001,1))</f>
        <v/>
      </c>
      <c r="G3787" s="0" t="n">
        <f aca="false">IF(A3787="",0,IF(SUMPRODUCT(--($A$2:$A$5001=A3787))&gt;1,1,0))</f>
        <v>0</v>
      </c>
      <c r="H3787" s="0" t="n">
        <f aca="false">ROW()-1</f>
        <v>3786</v>
      </c>
      <c r="I3787" s="0" t="str">
        <f aca="false">IF(OR(הגדרות!$E$6=0,H3787&gt;הגדרות!$E$5),"",IF(H3787-1&lt;הגדרות!$E$8*(הגדרות!$E$7+1),INT((H3787-1)/(הגדרות!$E$7+1)),הגדרות!$E$8+INT((H3787-1-הגדרות!$E$8*(הגדרות!$E$7+1))/הגדרות!$E$7)))</f>
        <v/>
      </c>
      <c r="J3787" s="0" t="str">
        <f aca="false">IF(I3787="","",IF(H3787-1&lt;הגדרות!$E$8*(הגדרות!$E$7+1),MOD(H3787-1,הגדרות!$E$7+1),MOD(H3787-1-הגדרות!$E$8*(הגדרות!$E$7+1),הגדרות!$E$7)))</f>
        <v/>
      </c>
      <c r="K3787" s="0" t="str">
        <f aca="false">IF(I3787="","",J3787*הגדרות!$E$6+I3787+1)</f>
        <v/>
      </c>
      <c r="L3787" s="0" t="str">
        <f aca="false">IF(K3787="","",MATCH(K3787,$F$2:$F$5001,0))</f>
        <v/>
      </c>
      <c r="M3787" s="0" t="str">
        <f aca="false">IF(I3787="","",INDEX(הגדרות!$A$2:$A$21,MOD(I3787+הגדרות!$E$9,הגדרות!$E$6)+1))</f>
        <v/>
      </c>
    </row>
    <row r="3788" customFormat="false" ht="15" hidden="false" customHeight="false" outlineLevel="0" collapsed="false">
      <c r="A3788" s="0" t="str">
        <f aca="false">IF('הדבקת לידים'!A3788="","",IF(ISNUMBER('הדבקת לידים'!A3788),IF(הגדרות!$E$2&gt;0,TEXT('הדבקת לידים'!A3788,REPT("0",הגדרות!$E$2)),TEXT('הדבקת לידים'!A3788,"0")),TRIM('הדבקת לידים'!A3788)))</f>
        <v/>
      </c>
      <c r="B3788" s="0" t="str">
        <f aca="false">IF('הדבקת לידים'!B3788="","",IF(ISNUMBER('הדבקת לידים'!B3788),IF(הגדרות!$E$3&gt;0,TEXT('הדבקת לידים'!B3788,REPT("0",הגדרות!$E$3)),TEXT('הדבקת לידים'!B3788,"0")),TRIM('הדבקת לידים'!B3788)))</f>
        <v/>
      </c>
      <c r="C3788" s="0" t="n">
        <f aca="false">IF(OR(A3788&lt;&gt;"",B3788&lt;&gt;""),1,0)</f>
        <v>0</v>
      </c>
      <c r="D3788" s="0" t="str">
        <f aca="false">IF(C3788=1,MOD(ABS(SIN(ROW()*12.9898+'הדבקת לידים'!$F$2*78.233+IFERROR(--RIGHT(A3788,6),LEN(A3788))*0.0137+IFERROR(--RIGHT(B3788,6),LEN(B3788))*0.0071))*43758.5453,1),"")</f>
        <v/>
      </c>
      <c r="E3788" s="0" t="str">
        <f aca="false">IF(C3788=1,INT(MOD(ABS(SIN(D3788*7919.123+ROW()*0.618+'הדבקת לידים'!$F$2*1.3))*43758.5453,1)*1000000)*10000+ROW(),"")</f>
        <v/>
      </c>
      <c r="F3788" s="0" t="str">
        <f aca="false">IF(E3788="","",RANK(E3788,$E$2:$E$5001,1))</f>
        <v/>
      </c>
      <c r="G3788" s="0" t="n">
        <f aca="false">IF(A3788="",0,IF(SUMPRODUCT(--($A$2:$A$5001=A3788))&gt;1,1,0))</f>
        <v>0</v>
      </c>
      <c r="H3788" s="0" t="n">
        <f aca="false">ROW()-1</f>
        <v>3787</v>
      </c>
      <c r="I3788" s="0" t="str">
        <f aca="false">IF(OR(הגדרות!$E$6=0,H3788&gt;הגדרות!$E$5),"",IF(H3788-1&lt;הגדרות!$E$8*(הגדרות!$E$7+1),INT((H3788-1)/(הגדרות!$E$7+1)),הגדרות!$E$8+INT((H3788-1-הגדרות!$E$8*(הגדרות!$E$7+1))/הגדרות!$E$7)))</f>
        <v/>
      </c>
      <c r="J3788" s="0" t="str">
        <f aca="false">IF(I3788="","",IF(H3788-1&lt;הגדרות!$E$8*(הגדרות!$E$7+1),MOD(H3788-1,הגדרות!$E$7+1),MOD(H3788-1-הגדרות!$E$8*(הגדרות!$E$7+1),הגדרות!$E$7)))</f>
        <v/>
      </c>
      <c r="K3788" s="0" t="str">
        <f aca="false">IF(I3788="","",J3788*הגדרות!$E$6+I3788+1)</f>
        <v/>
      </c>
      <c r="L3788" s="0" t="str">
        <f aca="false">IF(K3788="","",MATCH(K3788,$F$2:$F$5001,0))</f>
        <v/>
      </c>
      <c r="M3788" s="0" t="str">
        <f aca="false">IF(I3788="","",INDEX(הגדרות!$A$2:$A$21,MOD(I3788+הגדרות!$E$9,הגדרות!$E$6)+1))</f>
        <v/>
      </c>
    </row>
    <row r="3789" customFormat="false" ht="15" hidden="false" customHeight="false" outlineLevel="0" collapsed="false">
      <c r="A3789" s="0" t="str">
        <f aca="false">IF('הדבקת לידים'!A3789="","",IF(ISNUMBER('הדבקת לידים'!A3789),IF(הגדרות!$E$2&gt;0,TEXT('הדבקת לידים'!A3789,REPT("0",הגדרות!$E$2)),TEXT('הדבקת לידים'!A3789,"0")),TRIM('הדבקת לידים'!A3789)))</f>
        <v/>
      </c>
      <c r="B3789" s="0" t="str">
        <f aca="false">IF('הדבקת לידים'!B3789="","",IF(ISNUMBER('הדבקת לידים'!B3789),IF(הגדרות!$E$3&gt;0,TEXT('הדבקת לידים'!B3789,REPT("0",הגדרות!$E$3)),TEXT('הדבקת לידים'!B3789,"0")),TRIM('הדבקת לידים'!B3789)))</f>
        <v/>
      </c>
      <c r="C3789" s="0" t="n">
        <f aca="false">IF(OR(A3789&lt;&gt;"",B3789&lt;&gt;""),1,0)</f>
        <v>0</v>
      </c>
      <c r="D3789" s="0" t="str">
        <f aca="false">IF(C3789=1,MOD(ABS(SIN(ROW()*12.9898+'הדבקת לידים'!$F$2*78.233+IFERROR(--RIGHT(A3789,6),LEN(A3789))*0.0137+IFERROR(--RIGHT(B3789,6),LEN(B3789))*0.0071))*43758.5453,1),"")</f>
        <v/>
      </c>
      <c r="E3789" s="0" t="str">
        <f aca="false">IF(C3789=1,INT(MOD(ABS(SIN(D3789*7919.123+ROW()*0.618+'הדבקת לידים'!$F$2*1.3))*43758.5453,1)*1000000)*10000+ROW(),"")</f>
        <v/>
      </c>
      <c r="F3789" s="0" t="str">
        <f aca="false">IF(E3789="","",RANK(E3789,$E$2:$E$5001,1))</f>
        <v/>
      </c>
      <c r="G3789" s="0" t="n">
        <f aca="false">IF(A3789="",0,IF(SUMPRODUCT(--($A$2:$A$5001=A3789))&gt;1,1,0))</f>
        <v>0</v>
      </c>
      <c r="H3789" s="0" t="n">
        <f aca="false">ROW()-1</f>
        <v>3788</v>
      </c>
      <c r="I3789" s="0" t="str">
        <f aca="false">IF(OR(הגדרות!$E$6=0,H3789&gt;הגדרות!$E$5),"",IF(H3789-1&lt;הגדרות!$E$8*(הגדרות!$E$7+1),INT((H3789-1)/(הגדרות!$E$7+1)),הגדרות!$E$8+INT((H3789-1-הגדרות!$E$8*(הגדרות!$E$7+1))/הגדרות!$E$7)))</f>
        <v/>
      </c>
      <c r="J3789" s="0" t="str">
        <f aca="false">IF(I3789="","",IF(H3789-1&lt;הגדרות!$E$8*(הגדרות!$E$7+1),MOD(H3789-1,הגדרות!$E$7+1),MOD(H3789-1-הגדרות!$E$8*(הגדרות!$E$7+1),הגדרות!$E$7)))</f>
        <v/>
      </c>
      <c r="K3789" s="0" t="str">
        <f aca="false">IF(I3789="","",J3789*הגדרות!$E$6+I3789+1)</f>
        <v/>
      </c>
      <c r="L3789" s="0" t="str">
        <f aca="false">IF(K3789="","",MATCH(K3789,$F$2:$F$5001,0))</f>
        <v/>
      </c>
      <c r="M3789" s="0" t="str">
        <f aca="false">IF(I3789="","",INDEX(הגדרות!$A$2:$A$21,MOD(I3789+הגדרות!$E$9,הגדרות!$E$6)+1))</f>
        <v/>
      </c>
    </row>
    <row r="3790" customFormat="false" ht="15" hidden="false" customHeight="false" outlineLevel="0" collapsed="false">
      <c r="A3790" s="0" t="str">
        <f aca="false">IF('הדבקת לידים'!A3790="","",IF(ISNUMBER('הדבקת לידים'!A3790),IF(הגדרות!$E$2&gt;0,TEXT('הדבקת לידים'!A3790,REPT("0",הגדרות!$E$2)),TEXT('הדבקת לידים'!A3790,"0")),TRIM('הדבקת לידים'!A3790)))</f>
        <v/>
      </c>
      <c r="B3790" s="0" t="str">
        <f aca="false">IF('הדבקת לידים'!B3790="","",IF(ISNUMBER('הדבקת לידים'!B3790),IF(הגדרות!$E$3&gt;0,TEXT('הדבקת לידים'!B3790,REPT("0",הגדרות!$E$3)),TEXT('הדבקת לידים'!B3790,"0")),TRIM('הדבקת לידים'!B3790)))</f>
        <v/>
      </c>
      <c r="C3790" s="0" t="n">
        <f aca="false">IF(OR(A3790&lt;&gt;"",B3790&lt;&gt;""),1,0)</f>
        <v>0</v>
      </c>
      <c r="D3790" s="0" t="str">
        <f aca="false">IF(C3790=1,MOD(ABS(SIN(ROW()*12.9898+'הדבקת לידים'!$F$2*78.233+IFERROR(--RIGHT(A3790,6),LEN(A3790))*0.0137+IFERROR(--RIGHT(B3790,6),LEN(B3790))*0.0071))*43758.5453,1),"")</f>
        <v/>
      </c>
      <c r="E3790" s="0" t="str">
        <f aca="false">IF(C3790=1,INT(MOD(ABS(SIN(D3790*7919.123+ROW()*0.618+'הדבקת לידים'!$F$2*1.3))*43758.5453,1)*1000000)*10000+ROW(),"")</f>
        <v/>
      </c>
      <c r="F3790" s="0" t="str">
        <f aca="false">IF(E3790="","",RANK(E3790,$E$2:$E$5001,1))</f>
        <v/>
      </c>
      <c r="G3790" s="0" t="n">
        <f aca="false">IF(A3790="",0,IF(SUMPRODUCT(--($A$2:$A$5001=A3790))&gt;1,1,0))</f>
        <v>0</v>
      </c>
      <c r="H3790" s="0" t="n">
        <f aca="false">ROW()-1</f>
        <v>3789</v>
      </c>
      <c r="I3790" s="0" t="str">
        <f aca="false">IF(OR(הגדרות!$E$6=0,H3790&gt;הגדרות!$E$5),"",IF(H3790-1&lt;הגדרות!$E$8*(הגדרות!$E$7+1),INT((H3790-1)/(הגדרות!$E$7+1)),הגדרות!$E$8+INT((H3790-1-הגדרות!$E$8*(הגדרות!$E$7+1))/הגדרות!$E$7)))</f>
        <v/>
      </c>
      <c r="J3790" s="0" t="str">
        <f aca="false">IF(I3790="","",IF(H3790-1&lt;הגדרות!$E$8*(הגדרות!$E$7+1),MOD(H3790-1,הגדרות!$E$7+1),MOD(H3790-1-הגדרות!$E$8*(הגדרות!$E$7+1),הגדרות!$E$7)))</f>
        <v/>
      </c>
      <c r="K3790" s="0" t="str">
        <f aca="false">IF(I3790="","",J3790*הגדרות!$E$6+I3790+1)</f>
        <v/>
      </c>
      <c r="L3790" s="0" t="str">
        <f aca="false">IF(K3790="","",MATCH(K3790,$F$2:$F$5001,0))</f>
        <v/>
      </c>
      <c r="M3790" s="0" t="str">
        <f aca="false">IF(I3790="","",INDEX(הגדרות!$A$2:$A$21,MOD(I3790+הגדרות!$E$9,הגדרות!$E$6)+1))</f>
        <v/>
      </c>
    </row>
    <row r="3791" customFormat="false" ht="15" hidden="false" customHeight="false" outlineLevel="0" collapsed="false">
      <c r="A3791" s="0" t="str">
        <f aca="false">IF('הדבקת לידים'!A3791="","",IF(ISNUMBER('הדבקת לידים'!A3791),IF(הגדרות!$E$2&gt;0,TEXT('הדבקת לידים'!A3791,REPT("0",הגדרות!$E$2)),TEXT('הדבקת לידים'!A3791,"0")),TRIM('הדבקת לידים'!A3791)))</f>
        <v/>
      </c>
      <c r="B3791" s="0" t="str">
        <f aca="false">IF('הדבקת לידים'!B3791="","",IF(ISNUMBER('הדבקת לידים'!B3791),IF(הגדרות!$E$3&gt;0,TEXT('הדבקת לידים'!B3791,REPT("0",הגדרות!$E$3)),TEXT('הדבקת לידים'!B3791,"0")),TRIM('הדבקת לידים'!B3791)))</f>
        <v/>
      </c>
      <c r="C3791" s="0" t="n">
        <f aca="false">IF(OR(A3791&lt;&gt;"",B3791&lt;&gt;""),1,0)</f>
        <v>0</v>
      </c>
      <c r="D3791" s="0" t="str">
        <f aca="false">IF(C3791=1,MOD(ABS(SIN(ROW()*12.9898+'הדבקת לידים'!$F$2*78.233+IFERROR(--RIGHT(A3791,6),LEN(A3791))*0.0137+IFERROR(--RIGHT(B3791,6),LEN(B3791))*0.0071))*43758.5453,1),"")</f>
        <v/>
      </c>
      <c r="E3791" s="0" t="str">
        <f aca="false">IF(C3791=1,INT(MOD(ABS(SIN(D3791*7919.123+ROW()*0.618+'הדבקת לידים'!$F$2*1.3))*43758.5453,1)*1000000)*10000+ROW(),"")</f>
        <v/>
      </c>
      <c r="F3791" s="0" t="str">
        <f aca="false">IF(E3791="","",RANK(E3791,$E$2:$E$5001,1))</f>
        <v/>
      </c>
      <c r="G3791" s="0" t="n">
        <f aca="false">IF(A3791="",0,IF(SUMPRODUCT(--($A$2:$A$5001=A3791))&gt;1,1,0))</f>
        <v>0</v>
      </c>
      <c r="H3791" s="0" t="n">
        <f aca="false">ROW()-1</f>
        <v>3790</v>
      </c>
      <c r="I3791" s="0" t="str">
        <f aca="false">IF(OR(הגדרות!$E$6=0,H3791&gt;הגדרות!$E$5),"",IF(H3791-1&lt;הגדרות!$E$8*(הגדרות!$E$7+1),INT((H3791-1)/(הגדרות!$E$7+1)),הגדרות!$E$8+INT((H3791-1-הגדרות!$E$8*(הגדרות!$E$7+1))/הגדרות!$E$7)))</f>
        <v/>
      </c>
      <c r="J3791" s="0" t="str">
        <f aca="false">IF(I3791="","",IF(H3791-1&lt;הגדרות!$E$8*(הגדרות!$E$7+1),MOD(H3791-1,הגדרות!$E$7+1),MOD(H3791-1-הגדרות!$E$8*(הגדרות!$E$7+1),הגדרות!$E$7)))</f>
        <v/>
      </c>
      <c r="K3791" s="0" t="str">
        <f aca="false">IF(I3791="","",J3791*הגדרות!$E$6+I3791+1)</f>
        <v/>
      </c>
      <c r="L3791" s="0" t="str">
        <f aca="false">IF(K3791="","",MATCH(K3791,$F$2:$F$5001,0))</f>
        <v/>
      </c>
      <c r="M3791" s="0" t="str">
        <f aca="false">IF(I3791="","",INDEX(הגדרות!$A$2:$A$21,MOD(I3791+הגדרות!$E$9,הגדרות!$E$6)+1))</f>
        <v/>
      </c>
    </row>
    <row r="3792" customFormat="false" ht="15" hidden="false" customHeight="false" outlineLevel="0" collapsed="false">
      <c r="A3792" s="0" t="str">
        <f aca="false">IF('הדבקת לידים'!A3792="","",IF(ISNUMBER('הדבקת לידים'!A3792),IF(הגדרות!$E$2&gt;0,TEXT('הדבקת לידים'!A3792,REPT("0",הגדרות!$E$2)),TEXT('הדבקת לידים'!A3792,"0")),TRIM('הדבקת לידים'!A3792)))</f>
        <v/>
      </c>
      <c r="B3792" s="0" t="str">
        <f aca="false">IF('הדבקת לידים'!B3792="","",IF(ISNUMBER('הדבקת לידים'!B3792),IF(הגדרות!$E$3&gt;0,TEXT('הדבקת לידים'!B3792,REPT("0",הגדרות!$E$3)),TEXT('הדבקת לידים'!B3792,"0")),TRIM('הדבקת לידים'!B3792)))</f>
        <v/>
      </c>
      <c r="C3792" s="0" t="n">
        <f aca="false">IF(OR(A3792&lt;&gt;"",B3792&lt;&gt;""),1,0)</f>
        <v>0</v>
      </c>
      <c r="D3792" s="0" t="str">
        <f aca="false">IF(C3792=1,MOD(ABS(SIN(ROW()*12.9898+'הדבקת לידים'!$F$2*78.233+IFERROR(--RIGHT(A3792,6),LEN(A3792))*0.0137+IFERROR(--RIGHT(B3792,6),LEN(B3792))*0.0071))*43758.5453,1),"")</f>
        <v/>
      </c>
      <c r="E3792" s="0" t="str">
        <f aca="false">IF(C3792=1,INT(MOD(ABS(SIN(D3792*7919.123+ROW()*0.618+'הדבקת לידים'!$F$2*1.3))*43758.5453,1)*1000000)*10000+ROW(),"")</f>
        <v/>
      </c>
      <c r="F3792" s="0" t="str">
        <f aca="false">IF(E3792="","",RANK(E3792,$E$2:$E$5001,1))</f>
        <v/>
      </c>
      <c r="G3792" s="0" t="n">
        <f aca="false">IF(A3792="",0,IF(SUMPRODUCT(--($A$2:$A$5001=A3792))&gt;1,1,0))</f>
        <v>0</v>
      </c>
      <c r="H3792" s="0" t="n">
        <f aca="false">ROW()-1</f>
        <v>3791</v>
      </c>
      <c r="I3792" s="0" t="str">
        <f aca="false">IF(OR(הגדרות!$E$6=0,H3792&gt;הגדרות!$E$5),"",IF(H3792-1&lt;הגדרות!$E$8*(הגדרות!$E$7+1),INT((H3792-1)/(הגדרות!$E$7+1)),הגדרות!$E$8+INT((H3792-1-הגדרות!$E$8*(הגדרות!$E$7+1))/הגדרות!$E$7)))</f>
        <v/>
      </c>
      <c r="J3792" s="0" t="str">
        <f aca="false">IF(I3792="","",IF(H3792-1&lt;הגדרות!$E$8*(הגדרות!$E$7+1),MOD(H3792-1,הגדרות!$E$7+1),MOD(H3792-1-הגדרות!$E$8*(הגדרות!$E$7+1),הגדרות!$E$7)))</f>
        <v/>
      </c>
      <c r="K3792" s="0" t="str">
        <f aca="false">IF(I3792="","",J3792*הגדרות!$E$6+I3792+1)</f>
        <v/>
      </c>
      <c r="L3792" s="0" t="str">
        <f aca="false">IF(K3792="","",MATCH(K3792,$F$2:$F$5001,0))</f>
        <v/>
      </c>
      <c r="M3792" s="0" t="str">
        <f aca="false">IF(I3792="","",INDEX(הגדרות!$A$2:$A$21,MOD(I3792+הגדרות!$E$9,הגדרות!$E$6)+1))</f>
        <v/>
      </c>
    </row>
    <row r="3793" customFormat="false" ht="15" hidden="false" customHeight="false" outlineLevel="0" collapsed="false">
      <c r="A3793" s="0" t="str">
        <f aca="false">IF('הדבקת לידים'!A3793="","",IF(ISNUMBER('הדבקת לידים'!A3793),IF(הגדרות!$E$2&gt;0,TEXT('הדבקת לידים'!A3793,REPT("0",הגדרות!$E$2)),TEXT('הדבקת לידים'!A3793,"0")),TRIM('הדבקת לידים'!A3793)))</f>
        <v/>
      </c>
      <c r="B3793" s="0" t="str">
        <f aca="false">IF('הדבקת לידים'!B3793="","",IF(ISNUMBER('הדבקת לידים'!B3793),IF(הגדרות!$E$3&gt;0,TEXT('הדבקת לידים'!B3793,REPT("0",הגדרות!$E$3)),TEXT('הדבקת לידים'!B3793,"0")),TRIM('הדבקת לידים'!B3793)))</f>
        <v/>
      </c>
      <c r="C3793" s="0" t="n">
        <f aca="false">IF(OR(A3793&lt;&gt;"",B3793&lt;&gt;""),1,0)</f>
        <v>0</v>
      </c>
      <c r="D3793" s="0" t="str">
        <f aca="false">IF(C3793=1,MOD(ABS(SIN(ROW()*12.9898+'הדבקת לידים'!$F$2*78.233+IFERROR(--RIGHT(A3793,6),LEN(A3793))*0.0137+IFERROR(--RIGHT(B3793,6),LEN(B3793))*0.0071))*43758.5453,1),"")</f>
        <v/>
      </c>
      <c r="E3793" s="0" t="str">
        <f aca="false">IF(C3793=1,INT(MOD(ABS(SIN(D3793*7919.123+ROW()*0.618+'הדבקת לידים'!$F$2*1.3))*43758.5453,1)*1000000)*10000+ROW(),"")</f>
        <v/>
      </c>
      <c r="F3793" s="0" t="str">
        <f aca="false">IF(E3793="","",RANK(E3793,$E$2:$E$5001,1))</f>
        <v/>
      </c>
      <c r="G3793" s="0" t="n">
        <f aca="false">IF(A3793="",0,IF(SUMPRODUCT(--($A$2:$A$5001=A3793))&gt;1,1,0))</f>
        <v>0</v>
      </c>
      <c r="H3793" s="0" t="n">
        <f aca="false">ROW()-1</f>
        <v>3792</v>
      </c>
      <c r="I3793" s="0" t="str">
        <f aca="false">IF(OR(הגדרות!$E$6=0,H3793&gt;הגדרות!$E$5),"",IF(H3793-1&lt;הגדרות!$E$8*(הגדרות!$E$7+1),INT((H3793-1)/(הגדרות!$E$7+1)),הגדרות!$E$8+INT((H3793-1-הגדרות!$E$8*(הגדרות!$E$7+1))/הגדרות!$E$7)))</f>
        <v/>
      </c>
      <c r="J3793" s="0" t="str">
        <f aca="false">IF(I3793="","",IF(H3793-1&lt;הגדרות!$E$8*(הגדרות!$E$7+1),MOD(H3793-1,הגדרות!$E$7+1),MOD(H3793-1-הגדרות!$E$8*(הגדרות!$E$7+1),הגדרות!$E$7)))</f>
        <v/>
      </c>
      <c r="K3793" s="0" t="str">
        <f aca="false">IF(I3793="","",J3793*הגדרות!$E$6+I3793+1)</f>
        <v/>
      </c>
      <c r="L3793" s="0" t="str">
        <f aca="false">IF(K3793="","",MATCH(K3793,$F$2:$F$5001,0))</f>
        <v/>
      </c>
      <c r="M3793" s="0" t="str">
        <f aca="false">IF(I3793="","",INDEX(הגדרות!$A$2:$A$21,MOD(I3793+הגדרות!$E$9,הגדרות!$E$6)+1))</f>
        <v/>
      </c>
    </row>
    <row r="3794" customFormat="false" ht="15" hidden="false" customHeight="false" outlineLevel="0" collapsed="false">
      <c r="A3794" s="0" t="str">
        <f aca="false">IF('הדבקת לידים'!A3794="","",IF(ISNUMBER('הדבקת לידים'!A3794),IF(הגדרות!$E$2&gt;0,TEXT('הדבקת לידים'!A3794,REPT("0",הגדרות!$E$2)),TEXT('הדבקת לידים'!A3794,"0")),TRIM('הדבקת לידים'!A3794)))</f>
        <v/>
      </c>
      <c r="B3794" s="0" t="str">
        <f aca="false">IF('הדבקת לידים'!B3794="","",IF(ISNUMBER('הדבקת לידים'!B3794),IF(הגדרות!$E$3&gt;0,TEXT('הדבקת לידים'!B3794,REPT("0",הגדרות!$E$3)),TEXT('הדבקת לידים'!B3794,"0")),TRIM('הדבקת לידים'!B3794)))</f>
        <v/>
      </c>
      <c r="C3794" s="0" t="n">
        <f aca="false">IF(OR(A3794&lt;&gt;"",B3794&lt;&gt;""),1,0)</f>
        <v>0</v>
      </c>
      <c r="D3794" s="0" t="str">
        <f aca="false">IF(C3794=1,MOD(ABS(SIN(ROW()*12.9898+'הדבקת לידים'!$F$2*78.233+IFERROR(--RIGHT(A3794,6),LEN(A3794))*0.0137+IFERROR(--RIGHT(B3794,6),LEN(B3794))*0.0071))*43758.5453,1),"")</f>
        <v/>
      </c>
      <c r="E3794" s="0" t="str">
        <f aca="false">IF(C3794=1,INT(MOD(ABS(SIN(D3794*7919.123+ROW()*0.618+'הדבקת לידים'!$F$2*1.3))*43758.5453,1)*1000000)*10000+ROW(),"")</f>
        <v/>
      </c>
      <c r="F3794" s="0" t="str">
        <f aca="false">IF(E3794="","",RANK(E3794,$E$2:$E$5001,1))</f>
        <v/>
      </c>
      <c r="G3794" s="0" t="n">
        <f aca="false">IF(A3794="",0,IF(SUMPRODUCT(--($A$2:$A$5001=A3794))&gt;1,1,0))</f>
        <v>0</v>
      </c>
      <c r="H3794" s="0" t="n">
        <f aca="false">ROW()-1</f>
        <v>3793</v>
      </c>
      <c r="I3794" s="0" t="str">
        <f aca="false">IF(OR(הגדרות!$E$6=0,H3794&gt;הגדרות!$E$5),"",IF(H3794-1&lt;הגדרות!$E$8*(הגדרות!$E$7+1),INT((H3794-1)/(הגדרות!$E$7+1)),הגדרות!$E$8+INT((H3794-1-הגדרות!$E$8*(הגדרות!$E$7+1))/הגדרות!$E$7)))</f>
        <v/>
      </c>
      <c r="J3794" s="0" t="str">
        <f aca="false">IF(I3794="","",IF(H3794-1&lt;הגדרות!$E$8*(הגדרות!$E$7+1),MOD(H3794-1,הגדרות!$E$7+1),MOD(H3794-1-הגדרות!$E$8*(הגדרות!$E$7+1),הגדרות!$E$7)))</f>
        <v/>
      </c>
      <c r="K3794" s="0" t="str">
        <f aca="false">IF(I3794="","",J3794*הגדרות!$E$6+I3794+1)</f>
        <v/>
      </c>
      <c r="L3794" s="0" t="str">
        <f aca="false">IF(K3794="","",MATCH(K3794,$F$2:$F$5001,0))</f>
        <v/>
      </c>
      <c r="M3794" s="0" t="str">
        <f aca="false">IF(I3794="","",INDEX(הגדרות!$A$2:$A$21,MOD(I3794+הגדרות!$E$9,הגדרות!$E$6)+1))</f>
        <v/>
      </c>
    </row>
    <row r="3795" customFormat="false" ht="15" hidden="false" customHeight="false" outlineLevel="0" collapsed="false">
      <c r="A3795" s="0" t="str">
        <f aca="false">IF('הדבקת לידים'!A3795="","",IF(ISNUMBER('הדבקת לידים'!A3795),IF(הגדרות!$E$2&gt;0,TEXT('הדבקת לידים'!A3795,REPT("0",הגדרות!$E$2)),TEXT('הדבקת לידים'!A3795,"0")),TRIM('הדבקת לידים'!A3795)))</f>
        <v/>
      </c>
      <c r="B3795" s="0" t="str">
        <f aca="false">IF('הדבקת לידים'!B3795="","",IF(ISNUMBER('הדבקת לידים'!B3795),IF(הגדרות!$E$3&gt;0,TEXT('הדבקת לידים'!B3795,REPT("0",הגדרות!$E$3)),TEXT('הדבקת לידים'!B3795,"0")),TRIM('הדבקת לידים'!B3795)))</f>
        <v/>
      </c>
      <c r="C3795" s="0" t="n">
        <f aca="false">IF(OR(A3795&lt;&gt;"",B3795&lt;&gt;""),1,0)</f>
        <v>0</v>
      </c>
      <c r="D3795" s="0" t="str">
        <f aca="false">IF(C3795=1,MOD(ABS(SIN(ROW()*12.9898+'הדבקת לידים'!$F$2*78.233+IFERROR(--RIGHT(A3795,6),LEN(A3795))*0.0137+IFERROR(--RIGHT(B3795,6),LEN(B3795))*0.0071))*43758.5453,1),"")</f>
        <v/>
      </c>
      <c r="E3795" s="0" t="str">
        <f aca="false">IF(C3795=1,INT(MOD(ABS(SIN(D3795*7919.123+ROW()*0.618+'הדבקת לידים'!$F$2*1.3))*43758.5453,1)*1000000)*10000+ROW(),"")</f>
        <v/>
      </c>
      <c r="F3795" s="0" t="str">
        <f aca="false">IF(E3795="","",RANK(E3795,$E$2:$E$5001,1))</f>
        <v/>
      </c>
      <c r="G3795" s="0" t="n">
        <f aca="false">IF(A3795="",0,IF(SUMPRODUCT(--($A$2:$A$5001=A3795))&gt;1,1,0))</f>
        <v>0</v>
      </c>
      <c r="H3795" s="0" t="n">
        <f aca="false">ROW()-1</f>
        <v>3794</v>
      </c>
      <c r="I3795" s="0" t="str">
        <f aca="false">IF(OR(הגדרות!$E$6=0,H3795&gt;הגדרות!$E$5),"",IF(H3795-1&lt;הגדרות!$E$8*(הגדרות!$E$7+1),INT((H3795-1)/(הגדרות!$E$7+1)),הגדרות!$E$8+INT((H3795-1-הגדרות!$E$8*(הגדרות!$E$7+1))/הגדרות!$E$7)))</f>
        <v/>
      </c>
      <c r="J3795" s="0" t="str">
        <f aca="false">IF(I3795="","",IF(H3795-1&lt;הגדרות!$E$8*(הגדרות!$E$7+1),MOD(H3795-1,הגדרות!$E$7+1),MOD(H3795-1-הגדרות!$E$8*(הגדרות!$E$7+1),הגדרות!$E$7)))</f>
        <v/>
      </c>
      <c r="K3795" s="0" t="str">
        <f aca="false">IF(I3795="","",J3795*הגדרות!$E$6+I3795+1)</f>
        <v/>
      </c>
      <c r="L3795" s="0" t="str">
        <f aca="false">IF(K3795="","",MATCH(K3795,$F$2:$F$5001,0))</f>
        <v/>
      </c>
      <c r="M3795" s="0" t="str">
        <f aca="false">IF(I3795="","",INDEX(הגדרות!$A$2:$A$21,MOD(I3795+הגדרות!$E$9,הגדרות!$E$6)+1))</f>
        <v/>
      </c>
    </row>
    <row r="3796" customFormat="false" ht="15" hidden="false" customHeight="false" outlineLevel="0" collapsed="false">
      <c r="A3796" s="0" t="str">
        <f aca="false">IF('הדבקת לידים'!A3796="","",IF(ISNUMBER('הדבקת לידים'!A3796),IF(הגדרות!$E$2&gt;0,TEXT('הדבקת לידים'!A3796,REPT("0",הגדרות!$E$2)),TEXT('הדבקת לידים'!A3796,"0")),TRIM('הדבקת לידים'!A3796)))</f>
        <v/>
      </c>
      <c r="B3796" s="0" t="str">
        <f aca="false">IF('הדבקת לידים'!B3796="","",IF(ISNUMBER('הדבקת לידים'!B3796),IF(הגדרות!$E$3&gt;0,TEXT('הדבקת לידים'!B3796,REPT("0",הגדרות!$E$3)),TEXT('הדבקת לידים'!B3796,"0")),TRIM('הדבקת לידים'!B3796)))</f>
        <v/>
      </c>
      <c r="C3796" s="0" t="n">
        <f aca="false">IF(OR(A3796&lt;&gt;"",B3796&lt;&gt;""),1,0)</f>
        <v>0</v>
      </c>
      <c r="D3796" s="0" t="str">
        <f aca="false">IF(C3796=1,MOD(ABS(SIN(ROW()*12.9898+'הדבקת לידים'!$F$2*78.233+IFERROR(--RIGHT(A3796,6),LEN(A3796))*0.0137+IFERROR(--RIGHT(B3796,6),LEN(B3796))*0.0071))*43758.5453,1),"")</f>
        <v/>
      </c>
      <c r="E3796" s="0" t="str">
        <f aca="false">IF(C3796=1,INT(MOD(ABS(SIN(D3796*7919.123+ROW()*0.618+'הדבקת לידים'!$F$2*1.3))*43758.5453,1)*1000000)*10000+ROW(),"")</f>
        <v/>
      </c>
      <c r="F3796" s="0" t="str">
        <f aca="false">IF(E3796="","",RANK(E3796,$E$2:$E$5001,1))</f>
        <v/>
      </c>
      <c r="G3796" s="0" t="n">
        <f aca="false">IF(A3796="",0,IF(SUMPRODUCT(--($A$2:$A$5001=A3796))&gt;1,1,0))</f>
        <v>0</v>
      </c>
      <c r="H3796" s="0" t="n">
        <f aca="false">ROW()-1</f>
        <v>3795</v>
      </c>
      <c r="I3796" s="0" t="str">
        <f aca="false">IF(OR(הגדרות!$E$6=0,H3796&gt;הגדרות!$E$5),"",IF(H3796-1&lt;הגדרות!$E$8*(הגדרות!$E$7+1),INT((H3796-1)/(הגדרות!$E$7+1)),הגדרות!$E$8+INT((H3796-1-הגדרות!$E$8*(הגדרות!$E$7+1))/הגדרות!$E$7)))</f>
        <v/>
      </c>
      <c r="J3796" s="0" t="str">
        <f aca="false">IF(I3796="","",IF(H3796-1&lt;הגדרות!$E$8*(הגדרות!$E$7+1),MOD(H3796-1,הגדרות!$E$7+1),MOD(H3796-1-הגדרות!$E$8*(הגדרות!$E$7+1),הגדרות!$E$7)))</f>
        <v/>
      </c>
      <c r="K3796" s="0" t="str">
        <f aca="false">IF(I3796="","",J3796*הגדרות!$E$6+I3796+1)</f>
        <v/>
      </c>
      <c r="L3796" s="0" t="str">
        <f aca="false">IF(K3796="","",MATCH(K3796,$F$2:$F$5001,0))</f>
        <v/>
      </c>
      <c r="M3796" s="0" t="str">
        <f aca="false">IF(I3796="","",INDEX(הגדרות!$A$2:$A$21,MOD(I3796+הגדרות!$E$9,הגדרות!$E$6)+1))</f>
        <v/>
      </c>
    </row>
    <row r="3797" customFormat="false" ht="15" hidden="false" customHeight="false" outlineLevel="0" collapsed="false">
      <c r="A3797" s="0" t="str">
        <f aca="false">IF('הדבקת לידים'!A3797="","",IF(ISNUMBER('הדבקת לידים'!A3797),IF(הגדרות!$E$2&gt;0,TEXT('הדבקת לידים'!A3797,REPT("0",הגדרות!$E$2)),TEXT('הדבקת לידים'!A3797,"0")),TRIM('הדבקת לידים'!A3797)))</f>
        <v/>
      </c>
      <c r="B3797" s="0" t="str">
        <f aca="false">IF('הדבקת לידים'!B3797="","",IF(ISNUMBER('הדבקת לידים'!B3797),IF(הגדרות!$E$3&gt;0,TEXT('הדבקת לידים'!B3797,REPT("0",הגדרות!$E$3)),TEXT('הדבקת לידים'!B3797,"0")),TRIM('הדבקת לידים'!B3797)))</f>
        <v/>
      </c>
      <c r="C3797" s="0" t="n">
        <f aca="false">IF(OR(A3797&lt;&gt;"",B3797&lt;&gt;""),1,0)</f>
        <v>0</v>
      </c>
      <c r="D3797" s="0" t="str">
        <f aca="false">IF(C3797=1,MOD(ABS(SIN(ROW()*12.9898+'הדבקת לידים'!$F$2*78.233+IFERROR(--RIGHT(A3797,6),LEN(A3797))*0.0137+IFERROR(--RIGHT(B3797,6),LEN(B3797))*0.0071))*43758.5453,1),"")</f>
        <v/>
      </c>
      <c r="E3797" s="0" t="str">
        <f aca="false">IF(C3797=1,INT(MOD(ABS(SIN(D3797*7919.123+ROW()*0.618+'הדבקת לידים'!$F$2*1.3))*43758.5453,1)*1000000)*10000+ROW(),"")</f>
        <v/>
      </c>
      <c r="F3797" s="0" t="str">
        <f aca="false">IF(E3797="","",RANK(E3797,$E$2:$E$5001,1))</f>
        <v/>
      </c>
      <c r="G3797" s="0" t="n">
        <f aca="false">IF(A3797="",0,IF(SUMPRODUCT(--($A$2:$A$5001=A3797))&gt;1,1,0))</f>
        <v>0</v>
      </c>
      <c r="H3797" s="0" t="n">
        <f aca="false">ROW()-1</f>
        <v>3796</v>
      </c>
      <c r="I3797" s="0" t="str">
        <f aca="false">IF(OR(הגדרות!$E$6=0,H3797&gt;הגדרות!$E$5),"",IF(H3797-1&lt;הגדרות!$E$8*(הגדרות!$E$7+1),INT((H3797-1)/(הגדרות!$E$7+1)),הגדרות!$E$8+INT((H3797-1-הגדרות!$E$8*(הגדרות!$E$7+1))/הגדרות!$E$7)))</f>
        <v/>
      </c>
      <c r="J3797" s="0" t="str">
        <f aca="false">IF(I3797="","",IF(H3797-1&lt;הגדרות!$E$8*(הגדרות!$E$7+1),MOD(H3797-1,הגדרות!$E$7+1),MOD(H3797-1-הגדרות!$E$8*(הגדרות!$E$7+1),הגדרות!$E$7)))</f>
        <v/>
      </c>
      <c r="K3797" s="0" t="str">
        <f aca="false">IF(I3797="","",J3797*הגדרות!$E$6+I3797+1)</f>
        <v/>
      </c>
      <c r="L3797" s="0" t="str">
        <f aca="false">IF(K3797="","",MATCH(K3797,$F$2:$F$5001,0))</f>
        <v/>
      </c>
      <c r="M3797" s="0" t="str">
        <f aca="false">IF(I3797="","",INDEX(הגדרות!$A$2:$A$21,MOD(I3797+הגדרות!$E$9,הגדרות!$E$6)+1))</f>
        <v/>
      </c>
    </row>
    <row r="3798" customFormat="false" ht="15" hidden="false" customHeight="false" outlineLevel="0" collapsed="false">
      <c r="A3798" s="0" t="str">
        <f aca="false">IF('הדבקת לידים'!A3798="","",IF(ISNUMBER('הדבקת לידים'!A3798),IF(הגדרות!$E$2&gt;0,TEXT('הדבקת לידים'!A3798,REPT("0",הגדרות!$E$2)),TEXT('הדבקת לידים'!A3798,"0")),TRIM('הדבקת לידים'!A3798)))</f>
        <v/>
      </c>
      <c r="B3798" s="0" t="str">
        <f aca="false">IF('הדבקת לידים'!B3798="","",IF(ISNUMBER('הדבקת לידים'!B3798),IF(הגדרות!$E$3&gt;0,TEXT('הדבקת לידים'!B3798,REPT("0",הגדרות!$E$3)),TEXT('הדבקת לידים'!B3798,"0")),TRIM('הדבקת לידים'!B3798)))</f>
        <v/>
      </c>
      <c r="C3798" s="0" t="n">
        <f aca="false">IF(OR(A3798&lt;&gt;"",B3798&lt;&gt;""),1,0)</f>
        <v>0</v>
      </c>
      <c r="D3798" s="0" t="str">
        <f aca="false">IF(C3798=1,MOD(ABS(SIN(ROW()*12.9898+'הדבקת לידים'!$F$2*78.233+IFERROR(--RIGHT(A3798,6),LEN(A3798))*0.0137+IFERROR(--RIGHT(B3798,6),LEN(B3798))*0.0071))*43758.5453,1),"")</f>
        <v/>
      </c>
      <c r="E3798" s="0" t="str">
        <f aca="false">IF(C3798=1,INT(MOD(ABS(SIN(D3798*7919.123+ROW()*0.618+'הדבקת לידים'!$F$2*1.3))*43758.5453,1)*1000000)*10000+ROW(),"")</f>
        <v/>
      </c>
      <c r="F3798" s="0" t="str">
        <f aca="false">IF(E3798="","",RANK(E3798,$E$2:$E$5001,1))</f>
        <v/>
      </c>
      <c r="G3798" s="0" t="n">
        <f aca="false">IF(A3798="",0,IF(SUMPRODUCT(--($A$2:$A$5001=A3798))&gt;1,1,0))</f>
        <v>0</v>
      </c>
      <c r="H3798" s="0" t="n">
        <f aca="false">ROW()-1</f>
        <v>3797</v>
      </c>
      <c r="I3798" s="0" t="str">
        <f aca="false">IF(OR(הגדרות!$E$6=0,H3798&gt;הגדרות!$E$5),"",IF(H3798-1&lt;הגדרות!$E$8*(הגדרות!$E$7+1),INT((H3798-1)/(הגדרות!$E$7+1)),הגדרות!$E$8+INT((H3798-1-הגדרות!$E$8*(הגדרות!$E$7+1))/הגדרות!$E$7)))</f>
        <v/>
      </c>
      <c r="J3798" s="0" t="str">
        <f aca="false">IF(I3798="","",IF(H3798-1&lt;הגדרות!$E$8*(הגדרות!$E$7+1),MOD(H3798-1,הגדרות!$E$7+1),MOD(H3798-1-הגדרות!$E$8*(הגדרות!$E$7+1),הגדרות!$E$7)))</f>
        <v/>
      </c>
      <c r="K3798" s="0" t="str">
        <f aca="false">IF(I3798="","",J3798*הגדרות!$E$6+I3798+1)</f>
        <v/>
      </c>
      <c r="L3798" s="0" t="str">
        <f aca="false">IF(K3798="","",MATCH(K3798,$F$2:$F$5001,0))</f>
        <v/>
      </c>
      <c r="M3798" s="0" t="str">
        <f aca="false">IF(I3798="","",INDEX(הגדרות!$A$2:$A$21,MOD(I3798+הגדרות!$E$9,הגדרות!$E$6)+1))</f>
        <v/>
      </c>
    </row>
    <row r="3799" customFormat="false" ht="15" hidden="false" customHeight="false" outlineLevel="0" collapsed="false">
      <c r="A3799" s="0" t="str">
        <f aca="false">IF('הדבקת לידים'!A3799="","",IF(ISNUMBER('הדבקת לידים'!A3799),IF(הגדרות!$E$2&gt;0,TEXT('הדבקת לידים'!A3799,REPT("0",הגדרות!$E$2)),TEXT('הדבקת לידים'!A3799,"0")),TRIM('הדבקת לידים'!A3799)))</f>
        <v/>
      </c>
      <c r="B3799" s="0" t="str">
        <f aca="false">IF('הדבקת לידים'!B3799="","",IF(ISNUMBER('הדבקת לידים'!B3799),IF(הגדרות!$E$3&gt;0,TEXT('הדבקת לידים'!B3799,REPT("0",הגדרות!$E$3)),TEXT('הדבקת לידים'!B3799,"0")),TRIM('הדבקת לידים'!B3799)))</f>
        <v/>
      </c>
      <c r="C3799" s="0" t="n">
        <f aca="false">IF(OR(A3799&lt;&gt;"",B3799&lt;&gt;""),1,0)</f>
        <v>0</v>
      </c>
      <c r="D3799" s="0" t="str">
        <f aca="false">IF(C3799=1,MOD(ABS(SIN(ROW()*12.9898+'הדבקת לידים'!$F$2*78.233+IFERROR(--RIGHT(A3799,6),LEN(A3799))*0.0137+IFERROR(--RIGHT(B3799,6),LEN(B3799))*0.0071))*43758.5453,1),"")</f>
        <v/>
      </c>
      <c r="E3799" s="0" t="str">
        <f aca="false">IF(C3799=1,INT(MOD(ABS(SIN(D3799*7919.123+ROW()*0.618+'הדבקת לידים'!$F$2*1.3))*43758.5453,1)*1000000)*10000+ROW(),"")</f>
        <v/>
      </c>
      <c r="F3799" s="0" t="str">
        <f aca="false">IF(E3799="","",RANK(E3799,$E$2:$E$5001,1))</f>
        <v/>
      </c>
      <c r="G3799" s="0" t="n">
        <f aca="false">IF(A3799="",0,IF(SUMPRODUCT(--($A$2:$A$5001=A3799))&gt;1,1,0))</f>
        <v>0</v>
      </c>
      <c r="H3799" s="0" t="n">
        <f aca="false">ROW()-1</f>
        <v>3798</v>
      </c>
      <c r="I3799" s="0" t="str">
        <f aca="false">IF(OR(הגדרות!$E$6=0,H3799&gt;הגדרות!$E$5),"",IF(H3799-1&lt;הגדרות!$E$8*(הגדרות!$E$7+1),INT((H3799-1)/(הגדרות!$E$7+1)),הגדרות!$E$8+INT((H3799-1-הגדרות!$E$8*(הגדרות!$E$7+1))/הגדרות!$E$7)))</f>
        <v/>
      </c>
      <c r="J3799" s="0" t="str">
        <f aca="false">IF(I3799="","",IF(H3799-1&lt;הגדרות!$E$8*(הגדרות!$E$7+1),MOD(H3799-1,הגדרות!$E$7+1),MOD(H3799-1-הגדרות!$E$8*(הגדרות!$E$7+1),הגדרות!$E$7)))</f>
        <v/>
      </c>
      <c r="K3799" s="0" t="str">
        <f aca="false">IF(I3799="","",J3799*הגדרות!$E$6+I3799+1)</f>
        <v/>
      </c>
      <c r="L3799" s="0" t="str">
        <f aca="false">IF(K3799="","",MATCH(K3799,$F$2:$F$5001,0))</f>
        <v/>
      </c>
      <c r="M3799" s="0" t="str">
        <f aca="false">IF(I3799="","",INDEX(הגדרות!$A$2:$A$21,MOD(I3799+הגדרות!$E$9,הגדרות!$E$6)+1))</f>
        <v/>
      </c>
    </row>
    <row r="3800" customFormat="false" ht="15" hidden="false" customHeight="false" outlineLevel="0" collapsed="false">
      <c r="A3800" s="0" t="str">
        <f aca="false">IF('הדבקת לידים'!A3800="","",IF(ISNUMBER('הדבקת לידים'!A3800),IF(הגדרות!$E$2&gt;0,TEXT('הדבקת לידים'!A3800,REPT("0",הגדרות!$E$2)),TEXT('הדבקת לידים'!A3800,"0")),TRIM('הדבקת לידים'!A3800)))</f>
        <v/>
      </c>
      <c r="B3800" s="0" t="str">
        <f aca="false">IF('הדבקת לידים'!B3800="","",IF(ISNUMBER('הדבקת לידים'!B3800),IF(הגדרות!$E$3&gt;0,TEXT('הדבקת לידים'!B3800,REPT("0",הגדרות!$E$3)),TEXT('הדבקת לידים'!B3800,"0")),TRIM('הדבקת לידים'!B3800)))</f>
        <v/>
      </c>
      <c r="C3800" s="0" t="n">
        <f aca="false">IF(OR(A3800&lt;&gt;"",B3800&lt;&gt;""),1,0)</f>
        <v>0</v>
      </c>
      <c r="D3800" s="0" t="str">
        <f aca="false">IF(C3800=1,MOD(ABS(SIN(ROW()*12.9898+'הדבקת לידים'!$F$2*78.233+IFERROR(--RIGHT(A3800,6),LEN(A3800))*0.0137+IFERROR(--RIGHT(B3800,6),LEN(B3800))*0.0071))*43758.5453,1),"")</f>
        <v/>
      </c>
      <c r="E3800" s="0" t="str">
        <f aca="false">IF(C3800=1,INT(MOD(ABS(SIN(D3800*7919.123+ROW()*0.618+'הדבקת לידים'!$F$2*1.3))*43758.5453,1)*1000000)*10000+ROW(),"")</f>
        <v/>
      </c>
      <c r="F3800" s="0" t="str">
        <f aca="false">IF(E3800="","",RANK(E3800,$E$2:$E$5001,1))</f>
        <v/>
      </c>
      <c r="G3800" s="0" t="n">
        <f aca="false">IF(A3800="",0,IF(SUMPRODUCT(--($A$2:$A$5001=A3800))&gt;1,1,0))</f>
        <v>0</v>
      </c>
      <c r="H3800" s="0" t="n">
        <f aca="false">ROW()-1</f>
        <v>3799</v>
      </c>
      <c r="I3800" s="0" t="str">
        <f aca="false">IF(OR(הגדרות!$E$6=0,H3800&gt;הגדרות!$E$5),"",IF(H3800-1&lt;הגדרות!$E$8*(הגדרות!$E$7+1),INT((H3800-1)/(הגדרות!$E$7+1)),הגדרות!$E$8+INT((H3800-1-הגדרות!$E$8*(הגדרות!$E$7+1))/הגדרות!$E$7)))</f>
        <v/>
      </c>
      <c r="J3800" s="0" t="str">
        <f aca="false">IF(I3800="","",IF(H3800-1&lt;הגדרות!$E$8*(הגדרות!$E$7+1),MOD(H3800-1,הגדרות!$E$7+1),MOD(H3800-1-הגדרות!$E$8*(הגדרות!$E$7+1),הגדרות!$E$7)))</f>
        <v/>
      </c>
      <c r="K3800" s="0" t="str">
        <f aca="false">IF(I3800="","",J3800*הגדרות!$E$6+I3800+1)</f>
        <v/>
      </c>
      <c r="L3800" s="0" t="str">
        <f aca="false">IF(K3800="","",MATCH(K3800,$F$2:$F$5001,0))</f>
        <v/>
      </c>
      <c r="M3800" s="0" t="str">
        <f aca="false">IF(I3800="","",INDEX(הגדרות!$A$2:$A$21,MOD(I3800+הגדרות!$E$9,הגדרות!$E$6)+1))</f>
        <v/>
      </c>
    </row>
    <row r="3801" customFormat="false" ht="15" hidden="false" customHeight="false" outlineLevel="0" collapsed="false">
      <c r="A3801" s="0" t="str">
        <f aca="false">IF('הדבקת לידים'!A3801="","",IF(ISNUMBER('הדבקת לידים'!A3801),IF(הגדרות!$E$2&gt;0,TEXT('הדבקת לידים'!A3801,REPT("0",הגדרות!$E$2)),TEXT('הדבקת לידים'!A3801,"0")),TRIM('הדבקת לידים'!A3801)))</f>
        <v/>
      </c>
      <c r="B3801" s="0" t="str">
        <f aca="false">IF('הדבקת לידים'!B3801="","",IF(ISNUMBER('הדבקת לידים'!B3801),IF(הגדרות!$E$3&gt;0,TEXT('הדבקת לידים'!B3801,REPT("0",הגדרות!$E$3)),TEXT('הדבקת לידים'!B3801,"0")),TRIM('הדבקת לידים'!B3801)))</f>
        <v/>
      </c>
      <c r="C3801" s="0" t="n">
        <f aca="false">IF(OR(A3801&lt;&gt;"",B3801&lt;&gt;""),1,0)</f>
        <v>0</v>
      </c>
      <c r="D3801" s="0" t="str">
        <f aca="false">IF(C3801=1,MOD(ABS(SIN(ROW()*12.9898+'הדבקת לידים'!$F$2*78.233+IFERROR(--RIGHT(A3801,6),LEN(A3801))*0.0137+IFERROR(--RIGHT(B3801,6),LEN(B3801))*0.0071))*43758.5453,1),"")</f>
        <v/>
      </c>
      <c r="E3801" s="0" t="str">
        <f aca="false">IF(C3801=1,INT(MOD(ABS(SIN(D3801*7919.123+ROW()*0.618+'הדבקת לידים'!$F$2*1.3))*43758.5453,1)*1000000)*10000+ROW(),"")</f>
        <v/>
      </c>
      <c r="F3801" s="0" t="str">
        <f aca="false">IF(E3801="","",RANK(E3801,$E$2:$E$5001,1))</f>
        <v/>
      </c>
      <c r="G3801" s="0" t="n">
        <f aca="false">IF(A3801="",0,IF(SUMPRODUCT(--($A$2:$A$5001=A3801))&gt;1,1,0))</f>
        <v>0</v>
      </c>
      <c r="H3801" s="0" t="n">
        <f aca="false">ROW()-1</f>
        <v>3800</v>
      </c>
      <c r="I3801" s="0" t="str">
        <f aca="false">IF(OR(הגדרות!$E$6=0,H3801&gt;הגדרות!$E$5),"",IF(H3801-1&lt;הגדרות!$E$8*(הגדרות!$E$7+1),INT((H3801-1)/(הגדרות!$E$7+1)),הגדרות!$E$8+INT((H3801-1-הגדרות!$E$8*(הגדרות!$E$7+1))/הגדרות!$E$7)))</f>
        <v/>
      </c>
      <c r="J3801" s="0" t="str">
        <f aca="false">IF(I3801="","",IF(H3801-1&lt;הגדרות!$E$8*(הגדרות!$E$7+1),MOD(H3801-1,הגדרות!$E$7+1),MOD(H3801-1-הגדרות!$E$8*(הגדרות!$E$7+1),הגדרות!$E$7)))</f>
        <v/>
      </c>
      <c r="K3801" s="0" t="str">
        <f aca="false">IF(I3801="","",J3801*הגדרות!$E$6+I3801+1)</f>
        <v/>
      </c>
      <c r="L3801" s="0" t="str">
        <f aca="false">IF(K3801="","",MATCH(K3801,$F$2:$F$5001,0))</f>
        <v/>
      </c>
      <c r="M3801" s="0" t="str">
        <f aca="false">IF(I3801="","",INDEX(הגדרות!$A$2:$A$21,MOD(I3801+הגדרות!$E$9,הגדרות!$E$6)+1))</f>
        <v/>
      </c>
    </row>
    <row r="3802" customFormat="false" ht="15" hidden="false" customHeight="false" outlineLevel="0" collapsed="false">
      <c r="A3802" s="0" t="str">
        <f aca="false">IF('הדבקת לידים'!A3802="","",IF(ISNUMBER('הדבקת לידים'!A3802),IF(הגדרות!$E$2&gt;0,TEXT('הדבקת לידים'!A3802,REPT("0",הגדרות!$E$2)),TEXT('הדבקת לידים'!A3802,"0")),TRIM('הדבקת לידים'!A3802)))</f>
        <v/>
      </c>
      <c r="B3802" s="0" t="str">
        <f aca="false">IF('הדבקת לידים'!B3802="","",IF(ISNUMBER('הדבקת לידים'!B3802),IF(הגדרות!$E$3&gt;0,TEXT('הדבקת לידים'!B3802,REPT("0",הגדרות!$E$3)),TEXT('הדבקת לידים'!B3802,"0")),TRIM('הדבקת לידים'!B3802)))</f>
        <v/>
      </c>
      <c r="C3802" s="0" t="n">
        <f aca="false">IF(OR(A3802&lt;&gt;"",B3802&lt;&gt;""),1,0)</f>
        <v>0</v>
      </c>
      <c r="D3802" s="0" t="str">
        <f aca="false">IF(C3802=1,MOD(ABS(SIN(ROW()*12.9898+'הדבקת לידים'!$F$2*78.233+IFERROR(--RIGHT(A3802,6),LEN(A3802))*0.0137+IFERROR(--RIGHT(B3802,6),LEN(B3802))*0.0071))*43758.5453,1),"")</f>
        <v/>
      </c>
      <c r="E3802" s="0" t="str">
        <f aca="false">IF(C3802=1,INT(MOD(ABS(SIN(D3802*7919.123+ROW()*0.618+'הדבקת לידים'!$F$2*1.3))*43758.5453,1)*1000000)*10000+ROW(),"")</f>
        <v/>
      </c>
      <c r="F3802" s="0" t="str">
        <f aca="false">IF(E3802="","",RANK(E3802,$E$2:$E$5001,1))</f>
        <v/>
      </c>
      <c r="G3802" s="0" t="n">
        <f aca="false">IF(A3802="",0,IF(SUMPRODUCT(--($A$2:$A$5001=A3802))&gt;1,1,0))</f>
        <v>0</v>
      </c>
      <c r="H3802" s="0" t="n">
        <f aca="false">ROW()-1</f>
        <v>3801</v>
      </c>
      <c r="I3802" s="0" t="str">
        <f aca="false">IF(OR(הגדרות!$E$6=0,H3802&gt;הגדרות!$E$5),"",IF(H3802-1&lt;הגדרות!$E$8*(הגדרות!$E$7+1),INT((H3802-1)/(הגדרות!$E$7+1)),הגדרות!$E$8+INT((H3802-1-הגדרות!$E$8*(הגדרות!$E$7+1))/הגדרות!$E$7)))</f>
        <v/>
      </c>
      <c r="J3802" s="0" t="str">
        <f aca="false">IF(I3802="","",IF(H3802-1&lt;הגדרות!$E$8*(הגדרות!$E$7+1),MOD(H3802-1,הגדרות!$E$7+1),MOD(H3802-1-הגדרות!$E$8*(הגדרות!$E$7+1),הגדרות!$E$7)))</f>
        <v/>
      </c>
      <c r="K3802" s="0" t="str">
        <f aca="false">IF(I3802="","",J3802*הגדרות!$E$6+I3802+1)</f>
        <v/>
      </c>
      <c r="L3802" s="0" t="str">
        <f aca="false">IF(K3802="","",MATCH(K3802,$F$2:$F$5001,0))</f>
        <v/>
      </c>
      <c r="M3802" s="0" t="str">
        <f aca="false">IF(I3802="","",INDEX(הגדרות!$A$2:$A$21,MOD(I3802+הגדרות!$E$9,הגדרות!$E$6)+1))</f>
        <v/>
      </c>
    </row>
    <row r="3803" customFormat="false" ht="15" hidden="false" customHeight="false" outlineLevel="0" collapsed="false">
      <c r="A3803" s="0" t="str">
        <f aca="false">IF('הדבקת לידים'!A3803="","",IF(ISNUMBER('הדבקת לידים'!A3803),IF(הגדרות!$E$2&gt;0,TEXT('הדבקת לידים'!A3803,REPT("0",הגדרות!$E$2)),TEXT('הדבקת לידים'!A3803,"0")),TRIM('הדבקת לידים'!A3803)))</f>
        <v/>
      </c>
      <c r="B3803" s="0" t="str">
        <f aca="false">IF('הדבקת לידים'!B3803="","",IF(ISNUMBER('הדבקת לידים'!B3803),IF(הגדרות!$E$3&gt;0,TEXT('הדבקת לידים'!B3803,REPT("0",הגדרות!$E$3)),TEXT('הדבקת לידים'!B3803,"0")),TRIM('הדבקת לידים'!B3803)))</f>
        <v/>
      </c>
      <c r="C3803" s="0" t="n">
        <f aca="false">IF(OR(A3803&lt;&gt;"",B3803&lt;&gt;""),1,0)</f>
        <v>0</v>
      </c>
      <c r="D3803" s="0" t="str">
        <f aca="false">IF(C3803=1,MOD(ABS(SIN(ROW()*12.9898+'הדבקת לידים'!$F$2*78.233+IFERROR(--RIGHT(A3803,6),LEN(A3803))*0.0137+IFERROR(--RIGHT(B3803,6),LEN(B3803))*0.0071))*43758.5453,1),"")</f>
        <v/>
      </c>
      <c r="E3803" s="0" t="str">
        <f aca="false">IF(C3803=1,INT(MOD(ABS(SIN(D3803*7919.123+ROW()*0.618+'הדבקת לידים'!$F$2*1.3))*43758.5453,1)*1000000)*10000+ROW(),"")</f>
        <v/>
      </c>
      <c r="F3803" s="0" t="str">
        <f aca="false">IF(E3803="","",RANK(E3803,$E$2:$E$5001,1))</f>
        <v/>
      </c>
      <c r="G3803" s="0" t="n">
        <f aca="false">IF(A3803="",0,IF(SUMPRODUCT(--($A$2:$A$5001=A3803))&gt;1,1,0))</f>
        <v>0</v>
      </c>
      <c r="H3803" s="0" t="n">
        <f aca="false">ROW()-1</f>
        <v>3802</v>
      </c>
      <c r="I3803" s="0" t="str">
        <f aca="false">IF(OR(הגדרות!$E$6=0,H3803&gt;הגדרות!$E$5),"",IF(H3803-1&lt;הגדרות!$E$8*(הגדרות!$E$7+1),INT((H3803-1)/(הגדרות!$E$7+1)),הגדרות!$E$8+INT((H3803-1-הגדרות!$E$8*(הגדרות!$E$7+1))/הגדרות!$E$7)))</f>
        <v/>
      </c>
      <c r="J3803" s="0" t="str">
        <f aca="false">IF(I3803="","",IF(H3803-1&lt;הגדרות!$E$8*(הגדרות!$E$7+1),MOD(H3803-1,הגדרות!$E$7+1),MOD(H3803-1-הגדרות!$E$8*(הגדרות!$E$7+1),הגדרות!$E$7)))</f>
        <v/>
      </c>
      <c r="K3803" s="0" t="str">
        <f aca="false">IF(I3803="","",J3803*הגדרות!$E$6+I3803+1)</f>
        <v/>
      </c>
      <c r="L3803" s="0" t="str">
        <f aca="false">IF(K3803="","",MATCH(K3803,$F$2:$F$5001,0))</f>
        <v/>
      </c>
      <c r="M3803" s="0" t="str">
        <f aca="false">IF(I3803="","",INDEX(הגדרות!$A$2:$A$21,MOD(I3803+הגדרות!$E$9,הגדרות!$E$6)+1))</f>
        <v/>
      </c>
    </row>
    <row r="3804" customFormat="false" ht="15" hidden="false" customHeight="false" outlineLevel="0" collapsed="false">
      <c r="A3804" s="0" t="str">
        <f aca="false">IF('הדבקת לידים'!A3804="","",IF(ISNUMBER('הדבקת לידים'!A3804),IF(הגדרות!$E$2&gt;0,TEXT('הדבקת לידים'!A3804,REPT("0",הגדרות!$E$2)),TEXT('הדבקת לידים'!A3804,"0")),TRIM('הדבקת לידים'!A3804)))</f>
        <v/>
      </c>
      <c r="B3804" s="0" t="str">
        <f aca="false">IF('הדבקת לידים'!B3804="","",IF(ISNUMBER('הדבקת לידים'!B3804),IF(הגדרות!$E$3&gt;0,TEXT('הדבקת לידים'!B3804,REPT("0",הגדרות!$E$3)),TEXT('הדבקת לידים'!B3804,"0")),TRIM('הדבקת לידים'!B3804)))</f>
        <v/>
      </c>
      <c r="C3804" s="0" t="n">
        <f aca="false">IF(OR(A3804&lt;&gt;"",B3804&lt;&gt;""),1,0)</f>
        <v>0</v>
      </c>
      <c r="D3804" s="0" t="str">
        <f aca="false">IF(C3804=1,MOD(ABS(SIN(ROW()*12.9898+'הדבקת לידים'!$F$2*78.233+IFERROR(--RIGHT(A3804,6),LEN(A3804))*0.0137+IFERROR(--RIGHT(B3804,6),LEN(B3804))*0.0071))*43758.5453,1),"")</f>
        <v/>
      </c>
      <c r="E3804" s="0" t="str">
        <f aca="false">IF(C3804=1,INT(MOD(ABS(SIN(D3804*7919.123+ROW()*0.618+'הדבקת לידים'!$F$2*1.3))*43758.5453,1)*1000000)*10000+ROW(),"")</f>
        <v/>
      </c>
      <c r="F3804" s="0" t="str">
        <f aca="false">IF(E3804="","",RANK(E3804,$E$2:$E$5001,1))</f>
        <v/>
      </c>
      <c r="G3804" s="0" t="n">
        <f aca="false">IF(A3804="",0,IF(SUMPRODUCT(--($A$2:$A$5001=A3804))&gt;1,1,0))</f>
        <v>0</v>
      </c>
      <c r="H3804" s="0" t="n">
        <f aca="false">ROW()-1</f>
        <v>3803</v>
      </c>
      <c r="I3804" s="0" t="str">
        <f aca="false">IF(OR(הגדרות!$E$6=0,H3804&gt;הגדרות!$E$5),"",IF(H3804-1&lt;הגדרות!$E$8*(הגדרות!$E$7+1),INT((H3804-1)/(הגדרות!$E$7+1)),הגדרות!$E$8+INT((H3804-1-הגדרות!$E$8*(הגדרות!$E$7+1))/הגדרות!$E$7)))</f>
        <v/>
      </c>
      <c r="J3804" s="0" t="str">
        <f aca="false">IF(I3804="","",IF(H3804-1&lt;הגדרות!$E$8*(הגדרות!$E$7+1),MOD(H3804-1,הגדרות!$E$7+1),MOD(H3804-1-הגדרות!$E$8*(הגדרות!$E$7+1),הגדרות!$E$7)))</f>
        <v/>
      </c>
      <c r="K3804" s="0" t="str">
        <f aca="false">IF(I3804="","",J3804*הגדרות!$E$6+I3804+1)</f>
        <v/>
      </c>
      <c r="L3804" s="0" t="str">
        <f aca="false">IF(K3804="","",MATCH(K3804,$F$2:$F$5001,0))</f>
        <v/>
      </c>
      <c r="M3804" s="0" t="str">
        <f aca="false">IF(I3804="","",INDEX(הגדרות!$A$2:$A$21,MOD(I3804+הגדרות!$E$9,הגדרות!$E$6)+1))</f>
        <v/>
      </c>
    </row>
    <row r="3805" customFormat="false" ht="15" hidden="false" customHeight="false" outlineLevel="0" collapsed="false">
      <c r="A3805" s="0" t="str">
        <f aca="false">IF('הדבקת לידים'!A3805="","",IF(ISNUMBER('הדבקת לידים'!A3805),IF(הגדרות!$E$2&gt;0,TEXT('הדבקת לידים'!A3805,REPT("0",הגדרות!$E$2)),TEXT('הדבקת לידים'!A3805,"0")),TRIM('הדבקת לידים'!A3805)))</f>
        <v/>
      </c>
      <c r="B3805" s="0" t="str">
        <f aca="false">IF('הדבקת לידים'!B3805="","",IF(ISNUMBER('הדבקת לידים'!B3805),IF(הגדרות!$E$3&gt;0,TEXT('הדבקת לידים'!B3805,REPT("0",הגדרות!$E$3)),TEXT('הדבקת לידים'!B3805,"0")),TRIM('הדבקת לידים'!B3805)))</f>
        <v/>
      </c>
      <c r="C3805" s="0" t="n">
        <f aca="false">IF(OR(A3805&lt;&gt;"",B3805&lt;&gt;""),1,0)</f>
        <v>0</v>
      </c>
      <c r="D3805" s="0" t="str">
        <f aca="false">IF(C3805=1,MOD(ABS(SIN(ROW()*12.9898+'הדבקת לידים'!$F$2*78.233+IFERROR(--RIGHT(A3805,6),LEN(A3805))*0.0137+IFERROR(--RIGHT(B3805,6),LEN(B3805))*0.0071))*43758.5453,1),"")</f>
        <v/>
      </c>
      <c r="E3805" s="0" t="str">
        <f aca="false">IF(C3805=1,INT(MOD(ABS(SIN(D3805*7919.123+ROW()*0.618+'הדבקת לידים'!$F$2*1.3))*43758.5453,1)*1000000)*10000+ROW(),"")</f>
        <v/>
      </c>
      <c r="F3805" s="0" t="str">
        <f aca="false">IF(E3805="","",RANK(E3805,$E$2:$E$5001,1))</f>
        <v/>
      </c>
      <c r="G3805" s="0" t="n">
        <f aca="false">IF(A3805="",0,IF(SUMPRODUCT(--($A$2:$A$5001=A3805))&gt;1,1,0))</f>
        <v>0</v>
      </c>
      <c r="H3805" s="0" t="n">
        <f aca="false">ROW()-1</f>
        <v>3804</v>
      </c>
      <c r="I3805" s="0" t="str">
        <f aca="false">IF(OR(הגדרות!$E$6=0,H3805&gt;הגדרות!$E$5),"",IF(H3805-1&lt;הגדרות!$E$8*(הגדרות!$E$7+1),INT((H3805-1)/(הגדרות!$E$7+1)),הגדרות!$E$8+INT((H3805-1-הגדרות!$E$8*(הגדרות!$E$7+1))/הגדרות!$E$7)))</f>
        <v/>
      </c>
      <c r="J3805" s="0" t="str">
        <f aca="false">IF(I3805="","",IF(H3805-1&lt;הגדרות!$E$8*(הגדרות!$E$7+1),MOD(H3805-1,הגדרות!$E$7+1),MOD(H3805-1-הגדרות!$E$8*(הגדרות!$E$7+1),הגדרות!$E$7)))</f>
        <v/>
      </c>
      <c r="K3805" s="0" t="str">
        <f aca="false">IF(I3805="","",J3805*הגדרות!$E$6+I3805+1)</f>
        <v/>
      </c>
      <c r="L3805" s="0" t="str">
        <f aca="false">IF(K3805="","",MATCH(K3805,$F$2:$F$5001,0))</f>
        <v/>
      </c>
      <c r="M3805" s="0" t="str">
        <f aca="false">IF(I3805="","",INDEX(הגדרות!$A$2:$A$21,MOD(I3805+הגדרות!$E$9,הגדרות!$E$6)+1))</f>
        <v/>
      </c>
    </row>
    <row r="3806" customFormat="false" ht="15" hidden="false" customHeight="false" outlineLevel="0" collapsed="false">
      <c r="A3806" s="0" t="str">
        <f aca="false">IF('הדבקת לידים'!A3806="","",IF(ISNUMBER('הדבקת לידים'!A3806),IF(הגדרות!$E$2&gt;0,TEXT('הדבקת לידים'!A3806,REPT("0",הגדרות!$E$2)),TEXT('הדבקת לידים'!A3806,"0")),TRIM('הדבקת לידים'!A3806)))</f>
        <v/>
      </c>
      <c r="B3806" s="0" t="str">
        <f aca="false">IF('הדבקת לידים'!B3806="","",IF(ISNUMBER('הדבקת לידים'!B3806),IF(הגדרות!$E$3&gt;0,TEXT('הדבקת לידים'!B3806,REPT("0",הגדרות!$E$3)),TEXT('הדבקת לידים'!B3806,"0")),TRIM('הדבקת לידים'!B3806)))</f>
        <v/>
      </c>
      <c r="C3806" s="0" t="n">
        <f aca="false">IF(OR(A3806&lt;&gt;"",B3806&lt;&gt;""),1,0)</f>
        <v>0</v>
      </c>
      <c r="D3806" s="0" t="str">
        <f aca="false">IF(C3806=1,MOD(ABS(SIN(ROW()*12.9898+'הדבקת לידים'!$F$2*78.233+IFERROR(--RIGHT(A3806,6),LEN(A3806))*0.0137+IFERROR(--RIGHT(B3806,6),LEN(B3806))*0.0071))*43758.5453,1),"")</f>
        <v/>
      </c>
      <c r="E3806" s="0" t="str">
        <f aca="false">IF(C3806=1,INT(MOD(ABS(SIN(D3806*7919.123+ROW()*0.618+'הדבקת לידים'!$F$2*1.3))*43758.5453,1)*1000000)*10000+ROW(),"")</f>
        <v/>
      </c>
      <c r="F3806" s="0" t="str">
        <f aca="false">IF(E3806="","",RANK(E3806,$E$2:$E$5001,1))</f>
        <v/>
      </c>
      <c r="G3806" s="0" t="n">
        <f aca="false">IF(A3806="",0,IF(SUMPRODUCT(--($A$2:$A$5001=A3806))&gt;1,1,0))</f>
        <v>0</v>
      </c>
      <c r="H3806" s="0" t="n">
        <f aca="false">ROW()-1</f>
        <v>3805</v>
      </c>
      <c r="I3806" s="0" t="str">
        <f aca="false">IF(OR(הגדרות!$E$6=0,H3806&gt;הגדרות!$E$5),"",IF(H3806-1&lt;הגדרות!$E$8*(הגדרות!$E$7+1),INT((H3806-1)/(הגדרות!$E$7+1)),הגדרות!$E$8+INT((H3806-1-הגדרות!$E$8*(הגדרות!$E$7+1))/הגדרות!$E$7)))</f>
        <v/>
      </c>
      <c r="J3806" s="0" t="str">
        <f aca="false">IF(I3806="","",IF(H3806-1&lt;הגדרות!$E$8*(הגדרות!$E$7+1),MOD(H3806-1,הגדרות!$E$7+1),MOD(H3806-1-הגדרות!$E$8*(הגדרות!$E$7+1),הגדרות!$E$7)))</f>
        <v/>
      </c>
      <c r="K3806" s="0" t="str">
        <f aca="false">IF(I3806="","",J3806*הגדרות!$E$6+I3806+1)</f>
        <v/>
      </c>
      <c r="L3806" s="0" t="str">
        <f aca="false">IF(K3806="","",MATCH(K3806,$F$2:$F$5001,0))</f>
        <v/>
      </c>
      <c r="M3806" s="0" t="str">
        <f aca="false">IF(I3806="","",INDEX(הגדרות!$A$2:$A$21,MOD(I3806+הגדרות!$E$9,הגדרות!$E$6)+1))</f>
        <v/>
      </c>
    </row>
    <row r="3807" customFormat="false" ht="15" hidden="false" customHeight="false" outlineLevel="0" collapsed="false">
      <c r="A3807" s="0" t="str">
        <f aca="false">IF('הדבקת לידים'!A3807="","",IF(ISNUMBER('הדבקת לידים'!A3807),IF(הגדרות!$E$2&gt;0,TEXT('הדבקת לידים'!A3807,REPT("0",הגדרות!$E$2)),TEXT('הדבקת לידים'!A3807,"0")),TRIM('הדבקת לידים'!A3807)))</f>
        <v/>
      </c>
      <c r="B3807" s="0" t="str">
        <f aca="false">IF('הדבקת לידים'!B3807="","",IF(ISNUMBER('הדבקת לידים'!B3807),IF(הגדרות!$E$3&gt;0,TEXT('הדבקת לידים'!B3807,REPT("0",הגדרות!$E$3)),TEXT('הדבקת לידים'!B3807,"0")),TRIM('הדבקת לידים'!B3807)))</f>
        <v/>
      </c>
      <c r="C3807" s="0" t="n">
        <f aca="false">IF(OR(A3807&lt;&gt;"",B3807&lt;&gt;""),1,0)</f>
        <v>0</v>
      </c>
      <c r="D3807" s="0" t="str">
        <f aca="false">IF(C3807=1,MOD(ABS(SIN(ROW()*12.9898+'הדבקת לידים'!$F$2*78.233+IFERROR(--RIGHT(A3807,6),LEN(A3807))*0.0137+IFERROR(--RIGHT(B3807,6),LEN(B3807))*0.0071))*43758.5453,1),"")</f>
        <v/>
      </c>
      <c r="E3807" s="0" t="str">
        <f aca="false">IF(C3807=1,INT(MOD(ABS(SIN(D3807*7919.123+ROW()*0.618+'הדבקת לידים'!$F$2*1.3))*43758.5453,1)*1000000)*10000+ROW(),"")</f>
        <v/>
      </c>
      <c r="F3807" s="0" t="str">
        <f aca="false">IF(E3807="","",RANK(E3807,$E$2:$E$5001,1))</f>
        <v/>
      </c>
      <c r="G3807" s="0" t="n">
        <f aca="false">IF(A3807="",0,IF(SUMPRODUCT(--($A$2:$A$5001=A3807))&gt;1,1,0))</f>
        <v>0</v>
      </c>
      <c r="H3807" s="0" t="n">
        <f aca="false">ROW()-1</f>
        <v>3806</v>
      </c>
      <c r="I3807" s="0" t="str">
        <f aca="false">IF(OR(הגדרות!$E$6=0,H3807&gt;הגדרות!$E$5),"",IF(H3807-1&lt;הגדרות!$E$8*(הגדרות!$E$7+1),INT((H3807-1)/(הגדרות!$E$7+1)),הגדרות!$E$8+INT((H3807-1-הגדרות!$E$8*(הגדרות!$E$7+1))/הגדרות!$E$7)))</f>
        <v/>
      </c>
      <c r="J3807" s="0" t="str">
        <f aca="false">IF(I3807="","",IF(H3807-1&lt;הגדרות!$E$8*(הגדרות!$E$7+1),MOD(H3807-1,הגדרות!$E$7+1),MOD(H3807-1-הגדרות!$E$8*(הגדרות!$E$7+1),הגדרות!$E$7)))</f>
        <v/>
      </c>
      <c r="K3807" s="0" t="str">
        <f aca="false">IF(I3807="","",J3807*הגדרות!$E$6+I3807+1)</f>
        <v/>
      </c>
      <c r="L3807" s="0" t="str">
        <f aca="false">IF(K3807="","",MATCH(K3807,$F$2:$F$5001,0))</f>
        <v/>
      </c>
      <c r="M3807" s="0" t="str">
        <f aca="false">IF(I3807="","",INDEX(הגדרות!$A$2:$A$21,MOD(I3807+הגדרות!$E$9,הגדרות!$E$6)+1))</f>
        <v/>
      </c>
    </row>
    <row r="3808" customFormat="false" ht="15" hidden="false" customHeight="false" outlineLevel="0" collapsed="false">
      <c r="A3808" s="0" t="str">
        <f aca="false">IF('הדבקת לידים'!A3808="","",IF(ISNUMBER('הדבקת לידים'!A3808),IF(הגדרות!$E$2&gt;0,TEXT('הדבקת לידים'!A3808,REPT("0",הגדרות!$E$2)),TEXT('הדבקת לידים'!A3808,"0")),TRIM('הדבקת לידים'!A3808)))</f>
        <v/>
      </c>
      <c r="B3808" s="0" t="str">
        <f aca="false">IF('הדבקת לידים'!B3808="","",IF(ISNUMBER('הדבקת לידים'!B3808),IF(הגדרות!$E$3&gt;0,TEXT('הדבקת לידים'!B3808,REPT("0",הגדרות!$E$3)),TEXT('הדבקת לידים'!B3808,"0")),TRIM('הדבקת לידים'!B3808)))</f>
        <v/>
      </c>
      <c r="C3808" s="0" t="n">
        <f aca="false">IF(OR(A3808&lt;&gt;"",B3808&lt;&gt;""),1,0)</f>
        <v>0</v>
      </c>
      <c r="D3808" s="0" t="str">
        <f aca="false">IF(C3808=1,MOD(ABS(SIN(ROW()*12.9898+'הדבקת לידים'!$F$2*78.233+IFERROR(--RIGHT(A3808,6),LEN(A3808))*0.0137+IFERROR(--RIGHT(B3808,6),LEN(B3808))*0.0071))*43758.5453,1),"")</f>
        <v/>
      </c>
      <c r="E3808" s="0" t="str">
        <f aca="false">IF(C3808=1,INT(MOD(ABS(SIN(D3808*7919.123+ROW()*0.618+'הדבקת לידים'!$F$2*1.3))*43758.5453,1)*1000000)*10000+ROW(),"")</f>
        <v/>
      </c>
      <c r="F3808" s="0" t="str">
        <f aca="false">IF(E3808="","",RANK(E3808,$E$2:$E$5001,1))</f>
        <v/>
      </c>
      <c r="G3808" s="0" t="n">
        <f aca="false">IF(A3808="",0,IF(SUMPRODUCT(--($A$2:$A$5001=A3808))&gt;1,1,0))</f>
        <v>0</v>
      </c>
      <c r="H3808" s="0" t="n">
        <f aca="false">ROW()-1</f>
        <v>3807</v>
      </c>
      <c r="I3808" s="0" t="str">
        <f aca="false">IF(OR(הגדרות!$E$6=0,H3808&gt;הגדרות!$E$5),"",IF(H3808-1&lt;הגדרות!$E$8*(הגדרות!$E$7+1),INT((H3808-1)/(הגדרות!$E$7+1)),הגדרות!$E$8+INT((H3808-1-הגדרות!$E$8*(הגדרות!$E$7+1))/הגדרות!$E$7)))</f>
        <v/>
      </c>
      <c r="J3808" s="0" t="str">
        <f aca="false">IF(I3808="","",IF(H3808-1&lt;הגדרות!$E$8*(הגדרות!$E$7+1),MOD(H3808-1,הגדרות!$E$7+1),MOD(H3808-1-הגדרות!$E$8*(הגדרות!$E$7+1),הגדרות!$E$7)))</f>
        <v/>
      </c>
      <c r="K3808" s="0" t="str">
        <f aca="false">IF(I3808="","",J3808*הגדרות!$E$6+I3808+1)</f>
        <v/>
      </c>
      <c r="L3808" s="0" t="str">
        <f aca="false">IF(K3808="","",MATCH(K3808,$F$2:$F$5001,0))</f>
        <v/>
      </c>
      <c r="M3808" s="0" t="str">
        <f aca="false">IF(I3808="","",INDEX(הגדרות!$A$2:$A$21,MOD(I3808+הגדרות!$E$9,הגדרות!$E$6)+1))</f>
        <v/>
      </c>
    </row>
    <row r="3809" customFormat="false" ht="15" hidden="false" customHeight="false" outlineLevel="0" collapsed="false">
      <c r="A3809" s="0" t="str">
        <f aca="false">IF('הדבקת לידים'!A3809="","",IF(ISNUMBER('הדבקת לידים'!A3809),IF(הגדרות!$E$2&gt;0,TEXT('הדבקת לידים'!A3809,REPT("0",הגדרות!$E$2)),TEXT('הדבקת לידים'!A3809,"0")),TRIM('הדבקת לידים'!A3809)))</f>
        <v/>
      </c>
      <c r="B3809" s="0" t="str">
        <f aca="false">IF('הדבקת לידים'!B3809="","",IF(ISNUMBER('הדבקת לידים'!B3809),IF(הגדרות!$E$3&gt;0,TEXT('הדבקת לידים'!B3809,REPT("0",הגדרות!$E$3)),TEXT('הדבקת לידים'!B3809,"0")),TRIM('הדבקת לידים'!B3809)))</f>
        <v/>
      </c>
      <c r="C3809" s="0" t="n">
        <f aca="false">IF(OR(A3809&lt;&gt;"",B3809&lt;&gt;""),1,0)</f>
        <v>0</v>
      </c>
      <c r="D3809" s="0" t="str">
        <f aca="false">IF(C3809=1,MOD(ABS(SIN(ROW()*12.9898+'הדבקת לידים'!$F$2*78.233+IFERROR(--RIGHT(A3809,6),LEN(A3809))*0.0137+IFERROR(--RIGHT(B3809,6),LEN(B3809))*0.0071))*43758.5453,1),"")</f>
        <v/>
      </c>
      <c r="E3809" s="0" t="str">
        <f aca="false">IF(C3809=1,INT(MOD(ABS(SIN(D3809*7919.123+ROW()*0.618+'הדבקת לידים'!$F$2*1.3))*43758.5453,1)*1000000)*10000+ROW(),"")</f>
        <v/>
      </c>
      <c r="F3809" s="0" t="str">
        <f aca="false">IF(E3809="","",RANK(E3809,$E$2:$E$5001,1))</f>
        <v/>
      </c>
      <c r="G3809" s="0" t="n">
        <f aca="false">IF(A3809="",0,IF(SUMPRODUCT(--($A$2:$A$5001=A3809))&gt;1,1,0))</f>
        <v>0</v>
      </c>
      <c r="H3809" s="0" t="n">
        <f aca="false">ROW()-1</f>
        <v>3808</v>
      </c>
      <c r="I3809" s="0" t="str">
        <f aca="false">IF(OR(הגדרות!$E$6=0,H3809&gt;הגדרות!$E$5),"",IF(H3809-1&lt;הגדרות!$E$8*(הגדרות!$E$7+1),INT((H3809-1)/(הגדרות!$E$7+1)),הגדרות!$E$8+INT((H3809-1-הגדרות!$E$8*(הגדרות!$E$7+1))/הגדרות!$E$7)))</f>
        <v/>
      </c>
      <c r="J3809" s="0" t="str">
        <f aca="false">IF(I3809="","",IF(H3809-1&lt;הגדרות!$E$8*(הגדרות!$E$7+1),MOD(H3809-1,הגדרות!$E$7+1),MOD(H3809-1-הגדרות!$E$8*(הגדרות!$E$7+1),הגדרות!$E$7)))</f>
        <v/>
      </c>
      <c r="K3809" s="0" t="str">
        <f aca="false">IF(I3809="","",J3809*הגדרות!$E$6+I3809+1)</f>
        <v/>
      </c>
      <c r="L3809" s="0" t="str">
        <f aca="false">IF(K3809="","",MATCH(K3809,$F$2:$F$5001,0))</f>
        <v/>
      </c>
      <c r="M3809" s="0" t="str">
        <f aca="false">IF(I3809="","",INDEX(הגדרות!$A$2:$A$21,MOD(I3809+הגדרות!$E$9,הגדרות!$E$6)+1))</f>
        <v/>
      </c>
    </row>
    <row r="3810" customFormat="false" ht="15" hidden="false" customHeight="false" outlineLevel="0" collapsed="false">
      <c r="A3810" s="0" t="str">
        <f aca="false">IF('הדבקת לידים'!A3810="","",IF(ISNUMBER('הדבקת לידים'!A3810),IF(הגדרות!$E$2&gt;0,TEXT('הדבקת לידים'!A3810,REPT("0",הגדרות!$E$2)),TEXT('הדבקת לידים'!A3810,"0")),TRIM('הדבקת לידים'!A3810)))</f>
        <v/>
      </c>
      <c r="B3810" s="0" t="str">
        <f aca="false">IF('הדבקת לידים'!B3810="","",IF(ISNUMBER('הדבקת לידים'!B3810),IF(הגדרות!$E$3&gt;0,TEXT('הדבקת לידים'!B3810,REPT("0",הגדרות!$E$3)),TEXT('הדבקת לידים'!B3810,"0")),TRIM('הדבקת לידים'!B3810)))</f>
        <v/>
      </c>
      <c r="C3810" s="0" t="n">
        <f aca="false">IF(OR(A3810&lt;&gt;"",B3810&lt;&gt;""),1,0)</f>
        <v>0</v>
      </c>
      <c r="D3810" s="0" t="str">
        <f aca="false">IF(C3810=1,MOD(ABS(SIN(ROW()*12.9898+'הדבקת לידים'!$F$2*78.233+IFERROR(--RIGHT(A3810,6),LEN(A3810))*0.0137+IFERROR(--RIGHT(B3810,6),LEN(B3810))*0.0071))*43758.5453,1),"")</f>
        <v/>
      </c>
      <c r="E3810" s="0" t="str">
        <f aca="false">IF(C3810=1,INT(MOD(ABS(SIN(D3810*7919.123+ROW()*0.618+'הדבקת לידים'!$F$2*1.3))*43758.5453,1)*1000000)*10000+ROW(),"")</f>
        <v/>
      </c>
      <c r="F3810" s="0" t="str">
        <f aca="false">IF(E3810="","",RANK(E3810,$E$2:$E$5001,1))</f>
        <v/>
      </c>
      <c r="G3810" s="0" t="n">
        <f aca="false">IF(A3810="",0,IF(SUMPRODUCT(--($A$2:$A$5001=A3810))&gt;1,1,0))</f>
        <v>0</v>
      </c>
      <c r="H3810" s="0" t="n">
        <f aca="false">ROW()-1</f>
        <v>3809</v>
      </c>
      <c r="I3810" s="0" t="str">
        <f aca="false">IF(OR(הגדרות!$E$6=0,H3810&gt;הגדרות!$E$5),"",IF(H3810-1&lt;הגדרות!$E$8*(הגדרות!$E$7+1),INT((H3810-1)/(הגדרות!$E$7+1)),הגדרות!$E$8+INT((H3810-1-הגדרות!$E$8*(הגדרות!$E$7+1))/הגדרות!$E$7)))</f>
        <v/>
      </c>
      <c r="J3810" s="0" t="str">
        <f aca="false">IF(I3810="","",IF(H3810-1&lt;הגדרות!$E$8*(הגדרות!$E$7+1),MOD(H3810-1,הגדרות!$E$7+1),MOD(H3810-1-הגדרות!$E$8*(הגדרות!$E$7+1),הגדרות!$E$7)))</f>
        <v/>
      </c>
      <c r="K3810" s="0" t="str">
        <f aca="false">IF(I3810="","",J3810*הגדרות!$E$6+I3810+1)</f>
        <v/>
      </c>
      <c r="L3810" s="0" t="str">
        <f aca="false">IF(K3810="","",MATCH(K3810,$F$2:$F$5001,0))</f>
        <v/>
      </c>
      <c r="M3810" s="0" t="str">
        <f aca="false">IF(I3810="","",INDEX(הגדרות!$A$2:$A$21,MOD(I3810+הגדרות!$E$9,הגדרות!$E$6)+1))</f>
        <v/>
      </c>
    </row>
    <row r="3811" customFormat="false" ht="15" hidden="false" customHeight="false" outlineLevel="0" collapsed="false">
      <c r="A3811" s="0" t="str">
        <f aca="false">IF('הדבקת לידים'!A3811="","",IF(ISNUMBER('הדבקת לידים'!A3811),IF(הגדרות!$E$2&gt;0,TEXT('הדבקת לידים'!A3811,REPT("0",הגדרות!$E$2)),TEXT('הדבקת לידים'!A3811,"0")),TRIM('הדבקת לידים'!A3811)))</f>
        <v/>
      </c>
      <c r="B3811" s="0" t="str">
        <f aca="false">IF('הדבקת לידים'!B3811="","",IF(ISNUMBER('הדבקת לידים'!B3811),IF(הגדרות!$E$3&gt;0,TEXT('הדבקת לידים'!B3811,REPT("0",הגדרות!$E$3)),TEXT('הדבקת לידים'!B3811,"0")),TRIM('הדבקת לידים'!B3811)))</f>
        <v/>
      </c>
      <c r="C3811" s="0" t="n">
        <f aca="false">IF(OR(A3811&lt;&gt;"",B3811&lt;&gt;""),1,0)</f>
        <v>0</v>
      </c>
      <c r="D3811" s="0" t="str">
        <f aca="false">IF(C3811=1,MOD(ABS(SIN(ROW()*12.9898+'הדבקת לידים'!$F$2*78.233+IFERROR(--RIGHT(A3811,6),LEN(A3811))*0.0137+IFERROR(--RIGHT(B3811,6),LEN(B3811))*0.0071))*43758.5453,1),"")</f>
        <v/>
      </c>
      <c r="E3811" s="0" t="str">
        <f aca="false">IF(C3811=1,INT(MOD(ABS(SIN(D3811*7919.123+ROW()*0.618+'הדבקת לידים'!$F$2*1.3))*43758.5453,1)*1000000)*10000+ROW(),"")</f>
        <v/>
      </c>
      <c r="F3811" s="0" t="str">
        <f aca="false">IF(E3811="","",RANK(E3811,$E$2:$E$5001,1))</f>
        <v/>
      </c>
      <c r="G3811" s="0" t="n">
        <f aca="false">IF(A3811="",0,IF(SUMPRODUCT(--($A$2:$A$5001=A3811))&gt;1,1,0))</f>
        <v>0</v>
      </c>
      <c r="H3811" s="0" t="n">
        <f aca="false">ROW()-1</f>
        <v>3810</v>
      </c>
      <c r="I3811" s="0" t="str">
        <f aca="false">IF(OR(הגדרות!$E$6=0,H3811&gt;הגדרות!$E$5),"",IF(H3811-1&lt;הגדרות!$E$8*(הגדרות!$E$7+1),INT((H3811-1)/(הגדרות!$E$7+1)),הגדרות!$E$8+INT((H3811-1-הגדרות!$E$8*(הגדרות!$E$7+1))/הגדרות!$E$7)))</f>
        <v/>
      </c>
      <c r="J3811" s="0" t="str">
        <f aca="false">IF(I3811="","",IF(H3811-1&lt;הגדרות!$E$8*(הגדרות!$E$7+1),MOD(H3811-1,הגדרות!$E$7+1),MOD(H3811-1-הגדרות!$E$8*(הגדרות!$E$7+1),הגדרות!$E$7)))</f>
        <v/>
      </c>
      <c r="K3811" s="0" t="str">
        <f aca="false">IF(I3811="","",J3811*הגדרות!$E$6+I3811+1)</f>
        <v/>
      </c>
      <c r="L3811" s="0" t="str">
        <f aca="false">IF(K3811="","",MATCH(K3811,$F$2:$F$5001,0))</f>
        <v/>
      </c>
      <c r="M3811" s="0" t="str">
        <f aca="false">IF(I3811="","",INDEX(הגדרות!$A$2:$A$21,MOD(I3811+הגדרות!$E$9,הגדרות!$E$6)+1))</f>
        <v/>
      </c>
    </row>
    <row r="3812" customFormat="false" ht="15" hidden="false" customHeight="false" outlineLevel="0" collapsed="false">
      <c r="A3812" s="0" t="str">
        <f aca="false">IF('הדבקת לידים'!A3812="","",IF(ISNUMBER('הדבקת לידים'!A3812),IF(הגדרות!$E$2&gt;0,TEXT('הדבקת לידים'!A3812,REPT("0",הגדרות!$E$2)),TEXT('הדבקת לידים'!A3812,"0")),TRIM('הדבקת לידים'!A3812)))</f>
        <v/>
      </c>
      <c r="B3812" s="0" t="str">
        <f aca="false">IF('הדבקת לידים'!B3812="","",IF(ISNUMBER('הדבקת לידים'!B3812),IF(הגדרות!$E$3&gt;0,TEXT('הדבקת לידים'!B3812,REPT("0",הגדרות!$E$3)),TEXT('הדבקת לידים'!B3812,"0")),TRIM('הדבקת לידים'!B3812)))</f>
        <v/>
      </c>
      <c r="C3812" s="0" t="n">
        <f aca="false">IF(OR(A3812&lt;&gt;"",B3812&lt;&gt;""),1,0)</f>
        <v>0</v>
      </c>
      <c r="D3812" s="0" t="str">
        <f aca="false">IF(C3812=1,MOD(ABS(SIN(ROW()*12.9898+'הדבקת לידים'!$F$2*78.233+IFERROR(--RIGHT(A3812,6),LEN(A3812))*0.0137+IFERROR(--RIGHT(B3812,6),LEN(B3812))*0.0071))*43758.5453,1),"")</f>
        <v/>
      </c>
      <c r="E3812" s="0" t="str">
        <f aca="false">IF(C3812=1,INT(MOD(ABS(SIN(D3812*7919.123+ROW()*0.618+'הדבקת לידים'!$F$2*1.3))*43758.5453,1)*1000000)*10000+ROW(),"")</f>
        <v/>
      </c>
      <c r="F3812" s="0" t="str">
        <f aca="false">IF(E3812="","",RANK(E3812,$E$2:$E$5001,1))</f>
        <v/>
      </c>
      <c r="G3812" s="0" t="n">
        <f aca="false">IF(A3812="",0,IF(SUMPRODUCT(--($A$2:$A$5001=A3812))&gt;1,1,0))</f>
        <v>0</v>
      </c>
      <c r="H3812" s="0" t="n">
        <f aca="false">ROW()-1</f>
        <v>3811</v>
      </c>
      <c r="I3812" s="0" t="str">
        <f aca="false">IF(OR(הגדרות!$E$6=0,H3812&gt;הגדרות!$E$5),"",IF(H3812-1&lt;הגדרות!$E$8*(הגדרות!$E$7+1),INT((H3812-1)/(הגדרות!$E$7+1)),הגדרות!$E$8+INT((H3812-1-הגדרות!$E$8*(הגדרות!$E$7+1))/הגדרות!$E$7)))</f>
        <v/>
      </c>
      <c r="J3812" s="0" t="str">
        <f aca="false">IF(I3812="","",IF(H3812-1&lt;הגדרות!$E$8*(הגדרות!$E$7+1),MOD(H3812-1,הגדרות!$E$7+1),MOD(H3812-1-הגדרות!$E$8*(הגדרות!$E$7+1),הגדרות!$E$7)))</f>
        <v/>
      </c>
      <c r="K3812" s="0" t="str">
        <f aca="false">IF(I3812="","",J3812*הגדרות!$E$6+I3812+1)</f>
        <v/>
      </c>
      <c r="L3812" s="0" t="str">
        <f aca="false">IF(K3812="","",MATCH(K3812,$F$2:$F$5001,0))</f>
        <v/>
      </c>
      <c r="M3812" s="0" t="str">
        <f aca="false">IF(I3812="","",INDEX(הגדרות!$A$2:$A$21,MOD(I3812+הגדרות!$E$9,הגדרות!$E$6)+1))</f>
        <v/>
      </c>
    </row>
    <row r="3813" customFormat="false" ht="15" hidden="false" customHeight="false" outlineLevel="0" collapsed="false">
      <c r="A3813" s="0" t="str">
        <f aca="false">IF('הדבקת לידים'!A3813="","",IF(ISNUMBER('הדבקת לידים'!A3813),IF(הגדרות!$E$2&gt;0,TEXT('הדבקת לידים'!A3813,REPT("0",הגדרות!$E$2)),TEXT('הדבקת לידים'!A3813,"0")),TRIM('הדבקת לידים'!A3813)))</f>
        <v/>
      </c>
      <c r="B3813" s="0" t="str">
        <f aca="false">IF('הדבקת לידים'!B3813="","",IF(ISNUMBER('הדבקת לידים'!B3813),IF(הגדרות!$E$3&gt;0,TEXT('הדבקת לידים'!B3813,REPT("0",הגדרות!$E$3)),TEXT('הדבקת לידים'!B3813,"0")),TRIM('הדבקת לידים'!B3813)))</f>
        <v/>
      </c>
      <c r="C3813" s="0" t="n">
        <f aca="false">IF(OR(A3813&lt;&gt;"",B3813&lt;&gt;""),1,0)</f>
        <v>0</v>
      </c>
      <c r="D3813" s="0" t="str">
        <f aca="false">IF(C3813=1,MOD(ABS(SIN(ROW()*12.9898+'הדבקת לידים'!$F$2*78.233+IFERROR(--RIGHT(A3813,6),LEN(A3813))*0.0137+IFERROR(--RIGHT(B3813,6),LEN(B3813))*0.0071))*43758.5453,1),"")</f>
        <v/>
      </c>
      <c r="E3813" s="0" t="str">
        <f aca="false">IF(C3813=1,INT(MOD(ABS(SIN(D3813*7919.123+ROW()*0.618+'הדבקת לידים'!$F$2*1.3))*43758.5453,1)*1000000)*10000+ROW(),"")</f>
        <v/>
      </c>
      <c r="F3813" s="0" t="str">
        <f aca="false">IF(E3813="","",RANK(E3813,$E$2:$E$5001,1))</f>
        <v/>
      </c>
      <c r="G3813" s="0" t="n">
        <f aca="false">IF(A3813="",0,IF(SUMPRODUCT(--($A$2:$A$5001=A3813))&gt;1,1,0))</f>
        <v>0</v>
      </c>
      <c r="H3813" s="0" t="n">
        <f aca="false">ROW()-1</f>
        <v>3812</v>
      </c>
      <c r="I3813" s="0" t="str">
        <f aca="false">IF(OR(הגדרות!$E$6=0,H3813&gt;הגדרות!$E$5),"",IF(H3813-1&lt;הגדרות!$E$8*(הגדרות!$E$7+1),INT((H3813-1)/(הגדרות!$E$7+1)),הגדרות!$E$8+INT((H3813-1-הגדרות!$E$8*(הגדרות!$E$7+1))/הגדרות!$E$7)))</f>
        <v/>
      </c>
      <c r="J3813" s="0" t="str">
        <f aca="false">IF(I3813="","",IF(H3813-1&lt;הגדרות!$E$8*(הגדרות!$E$7+1),MOD(H3813-1,הגדרות!$E$7+1),MOD(H3813-1-הגדרות!$E$8*(הגדרות!$E$7+1),הגדרות!$E$7)))</f>
        <v/>
      </c>
      <c r="K3813" s="0" t="str">
        <f aca="false">IF(I3813="","",J3813*הגדרות!$E$6+I3813+1)</f>
        <v/>
      </c>
      <c r="L3813" s="0" t="str">
        <f aca="false">IF(K3813="","",MATCH(K3813,$F$2:$F$5001,0))</f>
        <v/>
      </c>
      <c r="M3813" s="0" t="str">
        <f aca="false">IF(I3813="","",INDEX(הגדרות!$A$2:$A$21,MOD(I3813+הגדרות!$E$9,הגדרות!$E$6)+1))</f>
        <v/>
      </c>
    </row>
    <row r="3814" customFormat="false" ht="15" hidden="false" customHeight="false" outlineLevel="0" collapsed="false">
      <c r="A3814" s="0" t="str">
        <f aca="false">IF('הדבקת לידים'!A3814="","",IF(ISNUMBER('הדבקת לידים'!A3814),IF(הגדרות!$E$2&gt;0,TEXT('הדבקת לידים'!A3814,REPT("0",הגדרות!$E$2)),TEXT('הדבקת לידים'!A3814,"0")),TRIM('הדבקת לידים'!A3814)))</f>
        <v/>
      </c>
      <c r="B3814" s="0" t="str">
        <f aca="false">IF('הדבקת לידים'!B3814="","",IF(ISNUMBER('הדבקת לידים'!B3814),IF(הגדרות!$E$3&gt;0,TEXT('הדבקת לידים'!B3814,REPT("0",הגדרות!$E$3)),TEXT('הדבקת לידים'!B3814,"0")),TRIM('הדבקת לידים'!B3814)))</f>
        <v/>
      </c>
      <c r="C3814" s="0" t="n">
        <f aca="false">IF(OR(A3814&lt;&gt;"",B3814&lt;&gt;""),1,0)</f>
        <v>0</v>
      </c>
      <c r="D3814" s="0" t="str">
        <f aca="false">IF(C3814=1,MOD(ABS(SIN(ROW()*12.9898+'הדבקת לידים'!$F$2*78.233+IFERROR(--RIGHT(A3814,6),LEN(A3814))*0.0137+IFERROR(--RIGHT(B3814,6),LEN(B3814))*0.0071))*43758.5453,1),"")</f>
        <v/>
      </c>
      <c r="E3814" s="0" t="str">
        <f aca="false">IF(C3814=1,INT(MOD(ABS(SIN(D3814*7919.123+ROW()*0.618+'הדבקת לידים'!$F$2*1.3))*43758.5453,1)*1000000)*10000+ROW(),"")</f>
        <v/>
      </c>
      <c r="F3814" s="0" t="str">
        <f aca="false">IF(E3814="","",RANK(E3814,$E$2:$E$5001,1))</f>
        <v/>
      </c>
      <c r="G3814" s="0" t="n">
        <f aca="false">IF(A3814="",0,IF(SUMPRODUCT(--($A$2:$A$5001=A3814))&gt;1,1,0))</f>
        <v>0</v>
      </c>
      <c r="H3814" s="0" t="n">
        <f aca="false">ROW()-1</f>
        <v>3813</v>
      </c>
      <c r="I3814" s="0" t="str">
        <f aca="false">IF(OR(הגדרות!$E$6=0,H3814&gt;הגדרות!$E$5),"",IF(H3814-1&lt;הגדרות!$E$8*(הגדרות!$E$7+1),INT((H3814-1)/(הגדרות!$E$7+1)),הגדרות!$E$8+INT((H3814-1-הגדרות!$E$8*(הגדרות!$E$7+1))/הגדרות!$E$7)))</f>
        <v/>
      </c>
      <c r="J3814" s="0" t="str">
        <f aca="false">IF(I3814="","",IF(H3814-1&lt;הגדרות!$E$8*(הגדרות!$E$7+1),MOD(H3814-1,הגדרות!$E$7+1),MOD(H3814-1-הגדרות!$E$8*(הגדרות!$E$7+1),הגדרות!$E$7)))</f>
        <v/>
      </c>
      <c r="K3814" s="0" t="str">
        <f aca="false">IF(I3814="","",J3814*הגדרות!$E$6+I3814+1)</f>
        <v/>
      </c>
      <c r="L3814" s="0" t="str">
        <f aca="false">IF(K3814="","",MATCH(K3814,$F$2:$F$5001,0))</f>
        <v/>
      </c>
      <c r="M3814" s="0" t="str">
        <f aca="false">IF(I3814="","",INDEX(הגדרות!$A$2:$A$21,MOD(I3814+הגדרות!$E$9,הגדרות!$E$6)+1))</f>
        <v/>
      </c>
    </row>
    <row r="3815" customFormat="false" ht="15" hidden="false" customHeight="false" outlineLevel="0" collapsed="false">
      <c r="A3815" s="0" t="str">
        <f aca="false">IF('הדבקת לידים'!A3815="","",IF(ISNUMBER('הדבקת לידים'!A3815),IF(הגדרות!$E$2&gt;0,TEXT('הדבקת לידים'!A3815,REPT("0",הגדרות!$E$2)),TEXT('הדבקת לידים'!A3815,"0")),TRIM('הדבקת לידים'!A3815)))</f>
        <v/>
      </c>
      <c r="B3815" s="0" t="str">
        <f aca="false">IF('הדבקת לידים'!B3815="","",IF(ISNUMBER('הדבקת לידים'!B3815),IF(הגדרות!$E$3&gt;0,TEXT('הדבקת לידים'!B3815,REPT("0",הגדרות!$E$3)),TEXT('הדבקת לידים'!B3815,"0")),TRIM('הדבקת לידים'!B3815)))</f>
        <v/>
      </c>
      <c r="C3815" s="0" t="n">
        <f aca="false">IF(OR(A3815&lt;&gt;"",B3815&lt;&gt;""),1,0)</f>
        <v>0</v>
      </c>
      <c r="D3815" s="0" t="str">
        <f aca="false">IF(C3815=1,MOD(ABS(SIN(ROW()*12.9898+'הדבקת לידים'!$F$2*78.233+IFERROR(--RIGHT(A3815,6),LEN(A3815))*0.0137+IFERROR(--RIGHT(B3815,6),LEN(B3815))*0.0071))*43758.5453,1),"")</f>
        <v/>
      </c>
      <c r="E3815" s="0" t="str">
        <f aca="false">IF(C3815=1,INT(MOD(ABS(SIN(D3815*7919.123+ROW()*0.618+'הדבקת לידים'!$F$2*1.3))*43758.5453,1)*1000000)*10000+ROW(),"")</f>
        <v/>
      </c>
      <c r="F3815" s="0" t="str">
        <f aca="false">IF(E3815="","",RANK(E3815,$E$2:$E$5001,1))</f>
        <v/>
      </c>
      <c r="G3815" s="0" t="n">
        <f aca="false">IF(A3815="",0,IF(SUMPRODUCT(--($A$2:$A$5001=A3815))&gt;1,1,0))</f>
        <v>0</v>
      </c>
      <c r="H3815" s="0" t="n">
        <f aca="false">ROW()-1</f>
        <v>3814</v>
      </c>
      <c r="I3815" s="0" t="str">
        <f aca="false">IF(OR(הגדרות!$E$6=0,H3815&gt;הגדרות!$E$5),"",IF(H3815-1&lt;הגדרות!$E$8*(הגדרות!$E$7+1),INT((H3815-1)/(הגדרות!$E$7+1)),הגדרות!$E$8+INT((H3815-1-הגדרות!$E$8*(הגדרות!$E$7+1))/הגדרות!$E$7)))</f>
        <v/>
      </c>
      <c r="J3815" s="0" t="str">
        <f aca="false">IF(I3815="","",IF(H3815-1&lt;הגדרות!$E$8*(הגדרות!$E$7+1),MOD(H3815-1,הגדרות!$E$7+1),MOD(H3815-1-הגדרות!$E$8*(הגדרות!$E$7+1),הגדרות!$E$7)))</f>
        <v/>
      </c>
      <c r="K3815" s="0" t="str">
        <f aca="false">IF(I3815="","",J3815*הגדרות!$E$6+I3815+1)</f>
        <v/>
      </c>
      <c r="L3815" s="0" t="str">
        <f aca="false">IF(K3815="","",MATCH(K3815,$F$2:$F$5001,0))</f>
        <v/>
      </c>
      <c r="M3815" s="0" t="str">
        <f aca="false">IF(I3815="","",INDEX(הגדרות!$A$2:$A$21,MOD(I3815+הגדרות!$E$9,הגדרות!$E$6)+1))</f>
        <v/>
      </c>
    </row>
    <row r="3816" customFormat="false" ht="15" hidden="false" customHeight="false" outlineLevel="0" collapsed="false">
      <c r="A3816" s="0" t="str">
        <f aca="false">IF('הדבקת לידים'!A3816="","",IF(ISNUMBER('הדבקת לידים'!A3816),IF(הגדרות!$E$2&gt;0,TEXT('הדבקת לידים'!A3816,REPT("0",הגדרות!$E$2)),TEXT('הדבקת לידים'!A3816,"0")),TRIM('הדבקת לידים'!A3816)))</f>
        <v/>
      </c>
      <c r="B3816" s="0" t="str">
        <f aca="false">IF('הדבקת לידים'!B3816="","",IF(ISNUMBER('הדבקת לידים'!B3816),IF(הגדרות!$E$3&gt;0,TEXT('הדבקת לידים'!B3816,REPT("0",הגדרות!$E$3)),TEXT('הדבקת לידים'!B3816,"0")),TRIM('הדבקת לידים'!B3816)))</f>
        <v/>
      </c>
      <c r="C3816" s="0" t="n">
        <f aca="false">IF(OR(A3816&lt;&gt;"",B3816&lt;&gt;""),1,0)</f>
        <v>0</v>
      </c>
      <c r="D3816" s="0" t="str">
        <f aca="false">IF(C3816=1,MOD(ABS(SIN(ROW()*12.9898+'הדבקת לידים'!$F$2*78.233+IFERROR(--RIGHT(A3816,6),LEN(A3816))*0.0137+IFERROR(--RIGHT(B3816,6),LEN(B3816))*0.0071))*43758.5453,1),"")</f>
        <v/>
      </c>
      <c r="E3816" s="0" t="str">
        <f aca="false">IF(C3816=1,INT(MOD(ABS(SIN(D3816*7919.123+ROW()*0.618+'הדבקת לידים'!$F$2*1.3))*43758.5453,1)*1000000)*10000+ROW(),"")</f>
        <v/>
      </c>
      <c r="F3816" s="0" t="str">
        <f aca="false">IF(E3816="","",RANK(E3816,$E$2:$E$5001,1))</f>
        <v/>
      </c>
      <c r="G3816" s="0" t="n">
        <f aca="false">IF(A3816="",0,IF(SUMPRODUCT(--($A$2:$A$5001=A3816))&gt;1,1,0))</f>
        <v>0</v>
      </c>
      <c r="H3816" s="0" t="n">
        <f aca="false">ROW()-1</f>
        <v>3815</v>
      </c>
      <c r="I3816" s="0" t="str">
        <f aca="false">IF(OR(הגדרות!$E$6=0,H3816&gt;הגדרות!$E$5),"",IF(H3816-1&lt;הגדרות!$E$8*(הגדרות!$E$7+1),INT((H3816-1)/(הגדרות!$E$7+1)),הגדרות!$E$8+INT((H3816-1-הגדרות!$E$8*(הגדרות!$E$7+1))/הגדרות!$E$7)))</f>
        <v/>
      </c>
      <c r="J3816" s="0" t="str">
        <f aca="false">IF(I3816="","",IF(H3816-1&lt;הגדרות!$E$8*(הגדרות!$E$7+1),MOD(H3816-1,הגדרות!$E$7+1),MOD(H3816-1-הגדרות!$E$8*(הגדרות!$E$7+1),הגדרות!$E$7)))</f>
        <v/>
      </c>
      <c r="K3816" s="0" t="str">
        <f aca="false">IF(I3816="","",J3816*הגדרות!$E$6+I3816+1)</f>
        <v/>
      </c>
      <c r="L3816" s="0" t="str">
        <f aca="false">IF(K3816="","",MATCH(K3816,$F$2:$F$5001,0))</f>
        <v/>
      </c>
      <c r="M3816" s="0" t="str">
        <f aca="false">IF(I3816="","",INDEX(הגדרות!$A$2:$A$21,MOD(I3816+הגדרות!$E$9,הגדרות!$E$6)+1))</f>
        <v/>
      </c>
    </row>
    <row r="3817" customFormat="false" ht="15" hidden="false" customHeight="false" outlineLevel="0" collapsed="false">
      <c r="A3817" s="0" t="str">
        <f aca="false">IF('הדבקת לידים'!A3817="","",IF(ISNUMBER('הדבקת לידים'!A3817),IF(הגדרות!$E$2&gt;0,TEXT('הדבקת לידים'!A3817,REPT("0",הגדרות!$E$2)),TEXT('הדבקת לידים'!A3817,"0")),TRIM('הדבקת לידים'!A3817)))</f>
        <v/>
      </c>
      <c r="B3817" s="0" t="str">
        <f aca="false">IF('הדבקת לידים'!B3817="","",IF(ISNUMBER('הדבקת לידים'!B3817),IF(הגדרות!$E$3&gt;0,TEXT('הדבקת לידים'!B3817,REPT("0",הגדרות!$E$3)),TEXT('הדבקת לידים'!B3817,"0")),TRIM('הדבקת לידים'!B3817)))</f>
        <v/>
      </c>
      <c r="C3817" s="0" t="n">
        <f aca="false">IF(OR(A3817&lt;&gt;"",B3817&lt;&gt;""),1,0)</f>
        <v>0</v>
      </c>
      <c r="D3817" s="0" t="str">
        <f aca="false">IF(C3817=1,MOD(ABS(SIN(ROW()*12.9898+'הדבקת לידים'!$F$2*78.233+IFERROR(--RIGHT(A3817,6),LEN(A3817))*0.0137+IFERROR(--RIGHT(B3817,6),LEN(B3817))*0.0071))*43758.5453,1),"")</f>
        <v/>
      </c>
      <c r="E3817" s="0" t="str">
        <f aca="false">IF(C3817=1,INT(MOD(ABS(SIN(D3817*7919.123+ROW()*0.618+'הדבקת לידים'!$F$2*1.3))*43758.5453,1)*1000000)*10000+ROW(),"")</f>
        <v/>
      </c>
      <c r="F3817" s="0" t="str">
        <f aca="false">IF(E3817="","",RANK(E3817,$E$2:$E$5001,1))</f>
        <v/>
      </c>
      <c r="G3817" s="0" t="n">
        <f aca="false">IF(A3817="",0,IF(SUMPRODUCT(--($A$2:$A$5001=A3817))&gt;1,1,0))</f>
        <v>0</v>
      </c>
      <c r="H3817" s="0" t="n">
        <f aca="false">ROW()-1</f>
        <v>3816</v>
      </c>
      <c r="I3817" s="0" t="str">
        <f aca="false">IF(OR(הגדרות!$E$6=0,H3817&gt;הגדרות!$E$5),"",IF(H3817-1&lt;הגדרות!$E$8*(הגדרות!$E$7+1),INT((H3817-1)/(הגדרות!$E$7+1)),הגדרות!$E$8+INT((H3817-1-הגדרות!$E$8*(הגדרות!$E$7+1))/הגדרות!$E$7)))</f>
        <v/>
      </c>
      <c r="J3817" s="0" t="str">
        <f aca="false">IF(I3817="","",IF(H3817-1&lt;הגדרות!$E$8*(הגדרות!$E$7+1),MOD(H3817-1,הגדרות!$E$7+1),MOD(H3817-1-הגדרות!$E$8*(הגדרות!$E$7+1),הגדרות!$E$7)))</f>
        <v/>
      </c>
      <c r="K3817" s="0" t="str">
        <f aca="false">IF(I3817="","",J3817*הגדרות!$E$6+I3817+1)</f>
        <v/>
      </c>
      <c r="L3817" s="0" t="str">
        <f aca="false">IF(K3817="","",MATCH(K3817,$F$2:$F$5001,0))</f>
        <v/>
      </c>
      <c r="M3817" s="0" t="str">
        <f aca="false">IF(I3817="","",INDEX(הגדרות!$A$2:$A$21,MOD(I3817+הגדרות!$E$9,הגדרות!$E$6)+1))</f>
        <v/>
      </c>
    </row>
    <row r="3818" customFormat="false" ht="15" hidden="false" customHeight="false" outlineLevel="0" collapsed="false">
      <c r="A3818" s="0" t="str">
        <f aca="false">IF('הדבקת לידים'!A3818="","",IF(ISNUMBER('הדבקת לידים'!A3818),IF(הגדרות!$E$2&gt;0,TEXT('הדבקת לידים'!A3818,REPT("0",הגדרות!$E$2)),TEXT('הדבקת לידים'!A3818,"0")),TRIM('הדבקת לידים'!A3818)))</f>
        <v/>
      </c>
      <c r="B3818" s="0" t="str">
        <f aca="false">IF('הדבקת לידים'!B3818="","",IF(ISNUMBER('הדבקת לידים'!B3818),IF(הגדרות!$E$3&gt;0,TEXT('הדבקת לידים'!B3818,REPT("0",הגדרות!$E$3)),TEXT('הדבקת לידים'!B3818,"0")),TRIM('הדבקת לידים'!B3818)))</f>
        <v/>
      </c>
      <c r="C3818" s="0" t="n">
        <f aca="false">IF(OR(A3818&lt;&gt;"",B3818&lt;&gt;""),1,0)</f>
        <v>0</v>
      </c>
      <c r="D3818" s="0" t="str">
        <f aca="false">IF(C3818=1,MOD(ABS(SIN(ROW()*12.9898+'הדבקת לידים'!$F$2*78.233+IFERROR(--RIGHT(A3818,6),LEN(A3818))*0.0137+IFERROR(--RIGHT(B3818,6),LEN(B3818))*0.0071))*43758.5453,1),"")</f>
        <v/>
      </c>
      <c r="E3818" s="0" t="str">
        <f aca="false">IF(C3818=1,INT(MOD(ABS(SIN(D3818*7919.123+ROW()*0.618+'הדבקת לידים'!$F$2*1.3))*43758.5453,1)*1000000)*10000+ROW(),"")</f>
        <v/>
      </c>
      <c r="F3818" s="0" t="str">
        <f aca="false">IF(E3818="","",RANK(E3818,$E$2:$E$5001,1))</f>
        <v/>
      </c>
      <c r="G3818" s="0" t="n">
        <f aca="false">IF(A3818="",0,IF(SUMPRODUCT(--($A$2:$A$5001=A3818))&gt;1,1,0))</f>
        <v>0</v>
      </c>
      <c r="H3818" s="0" t="n">
        <f aca="false">ROW()-1</f>
        <v>3817</v>
      </c>
      <c r="I3818" s="0" t="str">
        <f aca="false">IF(OR(הגדרות!$E$6=0,H3818&gt;הגדרות!$E$5),"",IF(H3818-1&lt;הגדרות!$E$8*(הגדרות!$E$7+1),INT((H3818-1)/(הגדרות!$E$7+1)),הגדרות!$E$8+INT((H3818-1-הגדרות!$E$8*(הגדרות!$E$7+1))/הגדרות!$E$7)))</f>
        <v/>
      </c>
      <c r="J3818" s="0" t="str">
        <f aca="false">IF(I3818="","",IF(H3818-1&lt;הגדרות!$E$8*(הגדרות!$E$7+1),MOD(H3818-1,הגדרות!$E$7+1),MOD(H3818-1-הגדרות!$E$8*(הגדרות!$E$7+1),הגדרות!$E$7)))</f>
        <v/>
      </c>
      <c r="K3818" s="0" t="str">
        <f aca="false">IF(I3818="","",J3818*הגדרות!$E$6+I3818+1)</f>
        <v/>
      </c>
      <c r="L3818" s="0" t="str">
        <f aca="false">IF(K3818="","",MATCH(K3818,$F$2:$F$5001,0))</f>
        <v/>
      </c>
      <c r="M3818" s="0" t="str">
        <f aca="false">IF(I3818="","",INDEX(הגדרות!$A$2:$A$21,MOD(I3818+הגדרות!$E$9,הגדרות!$E$6)+1))</f>
        <v/>
      </c>
    </row>
    <row r="3819" customFormat="false" ht="15" hidden="false" customHeight="false" outlineLevel="0" collapsed="false">
      <c r="A3819" s="0" t="str">
        <f aca="false">IF('הדבקת לידים'!A3819="","",IF(ISNUMBER('הדבקת לידים'!A3819),IF(הגדרות!$E$2&gt;0,TEXT('הדבקת לידים'!A3819,REPT("0",הגדרות!$E$2)),TEXT('הדבקת לידים'!A3819,"0")),TRIM('הדבקת לידים'!A3819)))</f>
        <v/>
      </c>
      <c r="B3819" s="0" t="str">
        <f aca="false">IF('הדבקת לידים'!B3819="","",IF(ISNUMBER('הדבקת לידים'!B3819),IF(הגדרות!$E$3&gt;0,TEXT('הדבקת לידים'!B3819,REPT("0",הגדרות!$E$3)),TEXT('הדבקת לידים'!B3819,"0")),TRIM('הדבקת לידים'!B3819)))</f>
        <v/>
      </c>
      <c r="C3819" s="0" t="n">
        <f aca="false">IF(OR(A3819&lt;&gt;"",B3819&lt;&gt;""),1,0)</f>
        <v>0</v>
      </c>
      <c r="D3819" s="0" t="str">
        <f aca="false">IF(C3819=1,MOD(ABS(SIN(ROW()*12.9898+'הדבקת לידים'!$F$2*78.233+IFERROR(--RIGHT(A3819,6),LEN(A3819))*0.0137+IFERROR(--RIGHT(B3819,6),LEN(B3819))*0.0071))*43758.5453,1),"")</f>
        <v/>
      </c>
      <c r="E3819" s="0" t="str">
        <f aca="false">IF(C3819=1,INT(MOD(ABS(SIN(D3819*7919.123+ROW()*0.618+'הדבקת לידים'!$F$2*1.3))*43758.5453,1)*1000000)*10000+ROW(),"")</f>
        <v/>
      </c>
      <c r="F3819" s="0" t="str">
        <f aca="false">IF(E3819="","",RANK(E3819,$E$2:$E$5001,1))</f>
        <v/>
      </c>
      <c r="G3819" s="0" t="n">
        <f aca="false">IF(A3819="",0,IF(SUMPRODUCT(--($A$2:$A$5001=A3819))&gt;1,1,0))</f>
        <v>0</v>
      </c>
      <c r="H3819" s="0" t="n">
        <f aca="false">ROW()-1</f>
        <v>3818</v>
      </c>
      <c r="I3819" s="0" t="str">
        <f aca="false">IF(OR(הגדרות!$E$6=0,H3819&gt;הגדרות!$E$5),"",IF(H3819-1&lt;הגדרות!$E$8*(הגדרות!$E$7+1),INT((H3819-1)/(הגדרות!$E$7+1)),הגדרות!$E$8+INT((H3819-1-הגדרות!$E$8*(הגדרות!$E$7+1))/הגדרות!$E$7)))</f>
        <v/>
      </c>
      <c r="J3819" s="0" t="str">
        <f aca="false">IF(I3819="","",IF(H3819-1&lt;הגדרות!$E$8*(הגדרות!$E$7+1),MOD(H3819-1,הגדרות!$E$7+1),MOD(H3819-1-הגדרות!$E$8*(הגדרות!$E$7+1),הגדרות!$E$7)))</f>
        <v/>
      </c>
      <c r="K3819" s="0" t="str">
        <f aca="false">IF(I3819="","",J3819*הגדרות!$E$6+I3819+1)</f>
        <v/>
      </c>
      <c r="L3819" s="0" t="str">
        <f aca="false">IF(K3819="","",MATCH(K3819,$F$2:$F$5001,0))</f>
        <v/>
      </c>
      <c r="M3819" s="0" t="str">
        <f aca="false">IF(I3819="","",INDEX(הגדרות!$A$2:$A$21,MOD(I3819+הגדרות!$E$9,הגדרות!$E$6)+1))</f>
        <v/>
      </c>
    </row>
    <row r="3820" customFormat="false" ht="15" hidden="false" customHeight="false" outlineLevel="0" collapsed="false">
      <c r="A3820" s="0" t="str">
        <f aca="false">IF('הדבקת לידים'!A3820="","",IF(ISNUMBER('הדבקת לידים'!A3820),IF(הגדרות!$E$2&gt;0,TEXT('הדבקת לידים'!A3820,REPT("0",הגדרות!$E$2)),TEXT('הדבקת לידים'!A3820,"0")),TRIM('הדבקת לידים'!A3820)))</f>
        <v/>
      </c>
      <c r="B3820" s="0" t="str">
        <f aca="false">IF('הדבקת לידים'!B3820="","",IF(ISNUMBER('הדבקת לידים'!B3820),IF(הגדרות!$E$3&gt;0,TEXT('הדבקת לידים'!B3820,REPT("0",הגדרות!$E$3)),TEXT('הדבקת לידים'!B3820,"0")),TRIM('הדבקת לידים'!B3820)))</f>
        <v/>
      </c>
      <c r="C3820" s="0" t="n">
        <f aca="false">IF(OR(A3820&lt;&gt;"",B3820&lt;&gt;""),1,0)</f>
        <v>0</v>
      </c>
      <c r="D3820" s="0" t="str">
        <f aca="false">IF(C3820=1,MOD(ABS(SIN(ROW()*12.9898+'הדבקת לידים'!$F$2*78.233+IFERROR(--RIGHT(A3820,6),LEN(A3820))*0.0137+IFERROR(--RIGHT(B3820,6),LEN(B3820))*0.0071))*43758.5453,1),"")</f>
        <v/>
      </c>
      <c r="E3820" s="0" t="str">
        <f aca="false">IF(C3820=1,INT(MOD(ABS(SIN(D3820*7919.123+ROW()*0.618+'הדבקת לידים'!$F$2*1.3))*43758.5453,1)*1000000)*10000+ROW(),"")</f>
        <v/>
      </c>
      <c r="F3820" s="0" t="str">
        <f aca="false">IF(E3820="","",RANK(E3820,$E$2:$E$5001,1))</f>
        <v/>
      </c>
      <c r="G3820" s="0" t="n">
        <f aca="false">IF(A3820="",0,IF(SUMPRODUCT(--($A$2:$A$5001=A3820))&gt;1,1,0))</f>
        <v>0</v>
      </c>
      <c r="H3820" s="0" t="n">
        <f aca="false">ROW()-1</f>
        <v>3819</v>
      </c>
      <c r="I3820" s="0" t="str">
        <f aca="false">IF(OR(הגדרות!$E$6=0,H3820&gt;הגדרות!$E$5),"",IF(H3820-1&lt;הגדרות!$E$8*(הגדרות!$E$7+1),INT((H3820-1)/(הגדרות!$E$7+1)),הגדרות!$E$8+INT((H3820-1-הגדרות!$E$8*(הגדרות!$E$7+1))/הגדרות!$E$7)))</f>
        <v/>
      </c>
      <c r="J3820" s="0" t="str">
        <f aca="false">IF(I3820="","",IF(H3820-1&lt;הגדרות!$E$8*(הגדרות!$E$7+1),MOD(H3820-1,הגדרות!$E$7+1),MOD(H3820-1-הגדרות!$E$8*(הגדרות!$E$7+1),הגדרות!$E$7)))</f>
        <v/>
      </c>
      <c r="K3820" s="0" t="str">
        <f aca="false">IF(I3820="","",J3820*הגדרות!$E$6+I3820+1)</f>
        <v/>
      </c>
      <c r="L3820" s="0" t="str">
        <f aca="false">IF(K3820="","",MATCH(K3820,$F$2:$F$5001,0))</f>
        <v/>
      </c>
      <c r="M3820" s="0" t="str">
        <f aca="false">IF(I3820="","",INDEX(הגדרות!$A$2:$A$21,MOD(I3820+הגדרות!$E$9,הגדרות!$E$6)+1))</f>
        <v/>
      </c>
    </row>
    <row r="3821" customFormat="false" ht="15" hidden="false" customHeight="false" outlineLevel="0" collapsed="false">
      <c r="A3821" s="0" t="str">
        <f aca="false">IF('הדבקת לידים'!A3821="","",IF(ISNUMBER('הדבקת לידים'!A3821),IF(הגדרות!$E$2&gt;0,TEXT('הדבקת לידים'!A3821,REPT("0",הגדרות!$E$2)),TEXT('הדבקת לידים'!A3821,"0")),TRIM('הדבקת לידים'!A3821)))</f>
        <v/>
      </c>
      <c r="B3821" s="0" t="str">
        <f aca="false">IF('הדבקת לידים'!B3821="","",IF(ISNUMBER('הדבקת לידים'!B3821),IF(הגדרות!$E$3&gt;0,TEXT('הדבקת לידים'!B3821,REPT("0",הגדרות!$E$3)),TEXT('הדבקת לידים'!B3821,"0")),TRIM('הדבקת לידים'!B3821)))</f>
        <v/>
      </c>
      <c r="C3821" s="0" t="n">
        <f aca="false">IF(OR(A3821&lt;&gt;"",B3821&lt;&gt;""),1,0)</f>
        <v>0</v>
      </c>
      <c r="D3821" s="0" t="str">
        <f aca="false">IF(C3821=1,MOD(ABS(SIN(ROW()*12.9898+'הדבקת לידים'!$F$2*78.233+IFERROR(--RIGHT(A3821,6),LEN(A3821))*0.0137+IFERROR(--RIGHT(B3821,6),LEN(B3821))*0.0071))*43758.5453,1),"")</f>
        <v/>
      </c>
      <c r="E3821" s="0" t="str">
        <f aca="false">IF(C3821=1,INT(MOD(ABS(SIN(D3821*7919.123+ROW()*0.618+'הדבקת לידים'!$F$2*1.3))*43758.5453,1)*1000000)*10000+ROW(),"")</f>
        <v/>
      </c>
      <c r="F3821" s="0" t="str">
        <f aca="false">IF(E3821="","",RANK(E3821,$E$2:$E$5001,1))</f>
        <v/>
      </c>
      <c r="G3821" s="0" t="n">
        <f aca="false">IF(A3821="",0,IF(SUMPRODUCT(--($A$2:$A$5001=A3821))&gt;1,1,0))</f>
        <v>0</v>
      </c>
      <c r="H3821" s="0" t="n">
        <f aca="false">ROW()-1</f>
        <v>3820</v>
      </c>
      <c r="I3821" s="0" t="str">
        <f aca="false">IF(OR(הגדרות!$E$6=0,H3821&gt;הגדרות!$E$5),"",IF(H3821-1&lt;הגדרות!$E$8*(הגדרות!$E$7+1),INT((H3821-1)/(הגדרות!$E$7+1)),הגדרות!$E$8+INT((H3821-1-הגדרות!$E$8*(הגדרות!$E$7+1))/הגדרות!$E$7)))</f>
        <v/>
      </c>
      <c r="J3821" s="0" t="str">
        <f aca="false">IF(I3821="","",IF(H3821-1&lt;הגדרות!$E$8*(הגדרות!$E$7+1),MOD(H3821-1,הגדרות!$E$7+1),MOD(H3821-1-הגדרות!$E$8*(הגדרות!$E$7+1),הגדרות!$E$7)))</f>
        <v/>
      </c>
      <c r="K3821" s="0" t="str">
        <f aca="false">IF(I3821="","",J3821*הגדרות!$E$6+I3821+1)</f>
        <v/>
      </c>
      <c r="L3821" s="0" t="str">
        <f aca="false">IF(K3821="","",MATCH(K3821,$F$2:$F$5001,0))</f>
        <v/>
      </c>
      <c r="M3821" s="0" t="str">
        <f aca="false">IF(I3821="","",INDEX(הגדרות!$A$2:$A$21,MOD(I3821+הגדרות!$E$9,הגדרות!$E$6)+1))</f>
        <v/>
      </c>
    </row>
    <row r="3822" customFormat="false" ht="15" hidden="false" customHeight="false" outlineLevel="0" collapsed="false">
      <c r="A3822" s="0" t="str">
        <f aca="false">IF('הדבקת לידים'!A3822="","",IF(ISNUMBER('הדבקת לידים'!A3822),IF(הגדרות!$E$2&gt;0,TEXT('הדבקת לידים'!A3822,REPT("0",הגדרות!$E$2)),TEXT('הדבקת לידים'!A3822,"0")),TRIM('הדבקת לידים'!A3822)))</f>
        <v/>
      </c>
      <c r="B3822" s="0" t="str">
        <f aca="false">IF('הדבקת לידים'!B3822="","",IF(ISNUMBER('הדבקת לידים'!B3822),IF(הגדרות!$E$3&gt;0,TEXT('הדבקת לידים'!B3822,REPT("0",הגדרות!$E$3)),TEXT('הדבקת לידים'!B3822,"0")),TRIM('הדבקת לידים'!B3822)))</f>
        <v/>
      </c>
      <c r="C3822" s="0" t="n">
        <f aca="false">IF(OR(A3822&lt;&gt;"",B3822&lt;&gt;""),1,0)</f>
        <v>0</v>
      </c>
      <c r="D3822" s="0" t="str">
        <f aca="false">IF(C3822=1,MOD(ABS(SIN(ROW()*12.9898+'הדבקת לידים'!$F$2*78.233+IFERROR(--RIGHT(A3822,6),LEN(A3822))*0.0137+IFERROR(--RIGHT(B3822,6),LEN(B3822))*0.0071))*43758.5453,1),"")</f>
        <v/>
      </c>
      <c r="E3822" s="0" t="str">
        <f aca="false">IF(C3822=1,INT(MOD(ABS(SIN(D3822*7919.123+ROW()*0.618+'הדבקת לידים'!$F$2*1.3))*43758.5453,1)*1000000)*10000+ROW(),"")</f>
        <v/>
      </c>
      <c r="F3822" s="0" t="str">
        <f aca="false">IF(E3822="","",RANK(E3822,$E$2:$E$5001,1))</f>
        <v/>
      </c>
      <c r="G3822" s="0" t="n">
        <f aca="false">IF(A3822="",0,IF(SUMPRODUCT(--($A$2:$A$5001=A3822))&gt;1,1,0))</f>
        <v>0</v>
      </c>
      <c r="H3822" s="0" t="n">
        <f aca="false">ROW()-1</f>
        <v>3821</v>
      </c>
      <c r="I3822" s="0" t="str">
        <f aca="false">IF(OR(הגדרות!$E$6=0,H3822&gt;הגדרות!$E$5),"",IF(H3822-1&lt;הגדרות!$E$8*(הגדרות!$E$7+1),INT((H3822-1)/(הגדרות!$E$7+1)),הגדרות!$E$8+INT((H3822-1-הגדרות!$E$8*(הגדרות!$E$7+1))/הגדרות!$E$7)))</f>
        <v/>
      </c>
      <c r="J3822" s="0" t="str">
        <f aca="false">IF(I3822="","",IF(H3822-1&lt;הגדרות!$E$8*(הגדרות!$E$7+1),MOD(H3822-1,הגדרות!$E$7+1),MOD(H3822-1-הגדרות!$E$8*(הגדרות!$E$7+1),הגדרות!$E$7)))</f>
        <v/>
      </c>
      <c r="K3822" s="0" t="str">
        <f aca="false">IF(I3822="","",J3822*הגדרות!$E$6+I3822+1)</f>
        <v/>
      </c>
      <c r="L3822" s="0" t="str">
        <f aca="false">IF(K3822="","",MATCH(K3822,$F$2:$F$5001,0))</f>
        <v/>
      </c>
      <c r="M3822" s="0" t="str">
        <f aca="false">IF(I3822="","",INDEX(הגדרות!$A$2:$A$21,MOD(I3822+הגדרות!$E$9,הגדרות!$E$6)+1))</f>
        <v/>
      </c>
    </row>
    <row r="3823" customFormat="false" ht="15" hidden="false" customHeight="false" outlineLevel="0" collapsed="false">
      <c r="A3823" s="0" t="str">
        <f aca="false">IF('הדבקת לידים'!A3823="","",IF(ISNUMBER('הדבקת לידים'!A3823),IF(הגדרות!$E$2&gt;0,TEXT('הדבקת לידים'!A3823,REPT("0",הגדרות!$E$2)),TEXT('הדבקת לידים'!A3823,"0")),TRIM('הדבקת לידים'!A3823)))</f>
        <v/>
      </c>
      <c r="B3823" s="0" t="str">
        <f aca="false">IF('הדבקת לידים'!B3823="","",IF(ISNUMBER('הדבקת לידים'!B3823),IF(הגדרות!$E$3&gt;0,TEXT('הדבקת לידים'!B3823,REPT("0",הגדרות!$E$3)),TEXT('הדבקת לידים'!B3823,"0")),TRIM('הדבקת לידים'!B3823)))</f>
        <v/>
      </c>
      <c r="C3823" s="0" t="n">
        <f aca="false">IF(OR(A3823&lt;&gt;"",B3823&lt;&gt;""),1,0)</f>
        <v>0</v>
      </c>
      <c r="D3823" s="0" t="str">
        <f aca="false">IF(C3823=1,MOD(ABS(SIN(ROW()*12.9898+'הדבקת לידים'!$F$2*78.233+IFERROR(--RIGHT(A3823,6),LEN(A3823))*0.0137+IFERROR(--RIGHT(B3823,6),LEN(B3823))*0.0071))*43758.5453,1),"")</f>
        <v/>
      </c>
      <c r="E3823" s="0" t="str">
        <f aca="false">IF(C3823=1,INT(MOD(ABS(SIN(D3823*7919.123+ROW()*0.618+'הדבקת לידים'!$F$2*1.3))*43758.5453,1)*1000000)*10000+ROW(),"")</f>
        <v/>
      </c>
      <c r="F3823" s="0" t="str">
        <f aca="false">IF(E3823="","",RANK(E3823,$E$2:$E$5001,1))</f>
        <v/>
      </c>
      <c r="G3823" s="0" t="n">
        <f aca="false">IF(A3823="",0,IF(SUMPRODUCT(--($A$2:$A$5001=A3823))&gt;1,1,0))</f>
        <v>0</v>
      </c>
      <c r="H3823" s="0" t="n">
        <f aca="false">ROW()-1</f>
        <v>3822</v>
      </c>
      <c r="I3823" s="0" t="str">
        <f aca="false">IF(OR(הגדרות!$E$6=0,H3823&gt;הגדרות!$E$5),"",IF(H3823-1&lt;הגדרות!$E$8*(הגדרות!$E$7+1),INT((H3823-1)/(הגדרות!$E$7+1)),הגדרות!$E$8+INT((H3823-1-הגדרות!$E$8*(הגדרות!$E$7+1))/הגדרות!$E$7)))</f>
        <v/>
      </c>
      <c r="J3823" s="0" t="str">
        <f aca="false">IF(I3823="","",IF(H3823-1&lt;הגדרות!$E$8*(הגדרות!$E$7+1),MOD(H3823-1,הגדרות!$E$7+1),MOD(H3823-1-הגדרות!$E$8*(הגדרות!$E$7+1),הגדרות!$E$7)))</f>
        <v/>
      </c>
      <c r="K3823" s="0" t="str">
        <f aca="false">IF(I3823="","",J3823*הגדרות!$E$6+I3823+1)</f>
        <v/>
      </c>
      <c r="L3823" s="0" t="str">
        <f aca="false">IF(K3823="","",MATCH(K3823,$F$2:$F$5001,0))</f>
        <v/>
      </c>
      <c r="M3823" s="0" t="str">
        <f aca="false">IF(I3823="","",INDEX(הגדרות!$A$2:$A$21,MOD(I3823+הגדרות!$E$9,הגדרות!$E$6)+1))</f>
        <v/>
      </c>
    </row>
    <row r="3824" customFormat="false" ht="15" hidden="false" customHeight="false" outlineLevel="0" collapsed="false">
      <c r="A3824" s="0" t="str">
        <f aca="false">IF('הדבקת לידים'!A3824="","",IF(ISNUMBER('הדבקת לידים'!A3824),IF(הגדרות!$E$2&gt;0,TEXT('הדבקת לידים'!A3824,REPT("0",הגדרות!$E$2)),TEXT('הדבקת לידים'!A3824,"0")),TRIM('הדבקת לידים'!A3824)))</f>
        <v/>
      </c>
      <c r="B3824" s="0" t="str">
        <f aca="false">IF('הדבקת לידים'!B3824="","",IF(ISNUMBER('הדבקת לידים'!B3824),IF(הגדרות!$E$3&gt;0,TEXT('הדבקת לידים'!B3824,REPT("0",הגדרות!$E$3)),TEXT('הדבקת לידים'!B3824,"0")),TRIM('הדבקת לידים'!B3824)))</f>
        <v/>
      </c>
      <c r="C3824" s="0" t="n">
        <f aca="false">IF(OR(A3824&lt;&gt;"",B3824&lt;&gt;""),1,0)</f>
        <v>0</v>
      </c>
      <c r="D3824" s="0" t="str">
        <f aca="false">IF(C3824=1,MOD(ABS(SIN(ROW()*12.9898+'הדבקת לידים'!$F$2*78.233+IFERROR(--RIGHT(A3824,6),LEN(A3824))*0.0137+IFERROR(--RIGHT(B3824,6),LEN(B3824))*0.0071))*43758.5453,1),"")</f>
        <v/>
      </c>
      <c r="E3824" s="0" t="str">
        <f aca="false">IF(C3824=1,INT(MOD(ABS(SIN(D3824*7919.123+ROW()*0.618+'הדבקת לידים'!$F$2*1.3))*43758.5453,1)*1000000)*10000+ROW(),"")</f>
        <v/>
      </c>
      <c r="F3824" s="0" t="str">
        <f aca="false">IF(E3824="","",RANK(E3824,$E$2:$E$5001,1))</f>
        <v/>
      </c>
      <c r="G3824" s="0" t="n">
        <f aca="false">IF(A3824="",0,IF(SUMPRODUCT(--($A$2:$A$5001=A3824))&gt;1,1,0))</f>
        <v>0</v>
      </c>
      <c r="H3824" s="0" t="n">
        <f aca="false">ROW()-1</f>
        <v>3823</v>
      </c>
      <c r="I3824" s="0" t="str">
        <f aca="false">IF(OR(הגדרות!$E$6=0,H3824&gt;הגדרות!$E$5),"",IF(H3824-1&lt;הגדרות!$E$8*(הגדרות!$E$7+1),INT((H3824-1)/(הגדרות!$E$7+1)),הגדרות!$E$8+INT((H3824-1-הגדרות!$E$8*(הגדרות!$E$7+1))/הגדרות!$E$7)))</f>
        <v/>
      </c>
      <c r="J3824" s="0" t="str">
        <f aca="false">IF(I3824="","",IF(H3824-1&lt;הגדרות!$E$8*(הגדרות!$E$7+1),MOD(H3824-1,הגדרות!$E$7+1),MOD(H3824-1-הגדרות!$E$8*(הגדרות!$E$7+1),הגדרות!$E$7)))</f>
        <v/>
      </c>
      <c r="K3824" s="0" t="str">
        <f aca="false">IF(I3824="","",J3824*הגדרות!$E$6+I3824+1)</f>
        <v/>
      </c>
      <c r="L3824" s="0" t="str">
        <f aca="false">IF(K3824="","",MATCH(K3824,$F$2:$F$5001,0))</f>
        <v/>
      </c>
      <c r="M3824" s="0" t="str">
        <f aca="false">IF(I3824="","",INDEX(הגדרות!$A$2:$A$21,MOD(I3824+הגדרות!$E$9,הגדרות!$E$6)+1))</f>
        <v/>
      </c>
    </row>
    <row r="3825" customFormat="false" ht="15" hidden="false" customHeight="false" outlineLevel="0" collapsed="false">
      <c r="A3825" s="0" t="str">
        <f aca="false">IF('הדבקת לידים'!A3825="","",IF(ISNUMBER('הדבקת לידים'!A3825),IF(הגדרות!$E$2&gt;0,TEXT('הדבקת לידים'!A3825,REPT("0",הגדרות!$E$2)),TEXT('הדבקת לידים'!A3825,"0")),TRIM('הדבקת לידים'!A3825)))</f>
        <v/>
      </c>
      <c r="B3825" s="0" t="str">
        <f aca="false">IF('הדבקת לידים'!B3825="","",IF(ISNUMBER('הדבקת לידים'!B3825),IF(הגדרות!$E$3&gt;0,TEXT('הדבקת לידים'!B3825,REPT("0",הגדרות!$E$3)),TEXT('הדבקת לידים'!B3825,"0")),TRIM('הדבקת לידים'!B3825)))</f>
        <v/>
      </c>
      <c r="C3825" s="0" t="n">
        <f aca="false">IF(OR(A3825&lt;&gt;"",B3825&lt;&gt;""),1,0)</f>
        <v>0</v>
      </c>
      <c r="D3825" s="0" t="str">
        <f aca="false">IF(C3825=1,MOD(ABS(SIN(ROW()*12.9898+'הדבקת לידים'!$F$2*78.233+IFERROR(--RIGHT(A3825,6),LEN(A3825))*0.0137+IFERROR(--RIGHT(B3825,6),LEN(B3825))*0.0071))*43758.5453,1),"")</f>
        <v/>
      </c>
      <c r="E3825" s="0" t="str">
        <f aca="false">IF(C3825=1,INT(MOD(ABS(SIN(D3825*7919.123+ROW()*0.618+'הדבקת לידים'!$F$2*1.3))*43758.5453,1)*1000000)*10000+ROW(),"")</f>
        <v/>
      </c>
      <c r="F3825" s="0" t="str">
        <f aca="false">IF(E3825="","",RANK(E3825,$E$2:$E$5001,1))</f>
        <v/>
      </c>
      <c r="G3825" s="0" t="n">
        <f aca="false">IF(A3825="",0,IF(SUMPRODUCT(--($A$2:$A$5001=A3825))&gt;1,1,0))</f>
        <v>0</v>
      </c>
      <c r="H3825" s="0" t="n">
        <f aca="false">ROW()-1</f>
        <v>3824</v>
      </c>
      <c r="I3825" s="0" t="str">
        <f aca="false">IF(OR(הגדרות!$E$6=0,H3825&gt;הגדרות!$E$5),"",IF(H3825-1&lt;הגדרות!$E$8*(הגדרות!$E$7+1),INT((H3825-1)/(הגדרות!$E$7+1)),הגדרות!$E$8+INT((H3825-1-הגדרות!$E$8*(הגדרות!$E$7+1))/הגדרות!$E$7)))</f>
        <v/>
      </c>
      <c r="J3825" s="0" t="str">
        <f aca="false">IF(I3825="","",IF(H3825-1&lt;הגדרות!$E$8*(הגדרות!$E$7+1),MOD(H3825-1,הגדרות!$E$7+1),MOD(H3825-1-הגדרות!$E$8*(הגדרות!$E$7+1),הגדרות!$E$7)))</f>
        <v/>
      </c>
      <c r="K3825" s="0" t="str">
        <f aca="false">IF(I3825="","",J3825*הגדרות!$E$6+I3825+1)</f>
        <v/>
      </c>
      <c r="L3825" s="0" t="str">
        <f aca="false">IF(K3825="","",MATCH(K3825,$F$2:$F$5001,0))</f>
        <v/>
      </c>
      <c r="M3825" s="0" t="str">
        <f aca="false">IF(I3825="","",INDEX(הגדרות!$A$2:$A$21,MOD(I3825+הגדרות!$E$9,הגדרות!$E$6)+1))</f>
        <v/>
      </c>
    </row>
    <row r="3826" customFormat="false" ht="15" hidden="false" customHeight="false" outlineLevel="0" collapsed="false">
      <c r="A3826" s="0" t="str">
        <f aca="false">IF('הדבקת לידים'!A3826="","",IF(ISNUMBER('הדבקת לידים'!A3826),IF(הגדרות!$E$2&gt;0,TEXT('הדבקת לידים'!A3826,REPT("0",הגדרות!$E$2)),TEXT('הדבקת לידים'!A3826,"0")),TRIM('הדבקת לידים'!A3826)))</f>
        <v/>
      </c>
      <c r="B3826" s="0" t="str">
        <f aca="false">IF('הדבקת לידים'!B3826="","",IF(ISNUMBER('הדבקת לידים'!B3826),IF(הגדרות!$E$3&gt;0,TEXT('הדבקת לידים'!B3826,REPT("0",הגדרות!$E$3)),TEXT('הדבקת לידים'!B3826,"0")),TRIM('הדבקת לידים'!B3826)))</f>
        <v/>
      </c>
      <c r="C3826" s="0" t="n">
        <f aca="false">IF(OR(A3826&lt;&gt;"",B3826&lt;&gt;""),1,0)</f>
        <v>0</v>
      </c>
      <c r="D3826" s="0" t="str">
        <f aca="false">IF(C3826=1,MOD(ABS(SIN(ROW()*12.9898+'הדבקת לידים'!$F$2*78.233+IFERROR(--RIGHT(A3826,6),LEN(A3826))*0.0137+IFERROR(--RIGHT(B3826,6),LEN(B3826))*0.0071))*43758.5453,1),"")</f>
        <v/>
      </c>
      <c r="E3826" s="0" t="str">
        <f aca="false">IF(C3826=1,INT(MOD(ABS(SIN(D3826*7919.123+ROW()*0.618+'הדבקת לידים'!$F$2*1.3))*43758.5453,1)*1000000)*10000+ROW(),"")</f>
        <v/>
      </c>
      <c r="F3826" s="0" t="str">
        <f aca="false">IF(E3826="","",RANK(E3826,$E$2:$E$5001,1))</f>
        <v/>
      </c>
      <c r="G3826" s="0" t="n">
        <f aca="false">IF(A3826="",0,IF(SUMPRODUCT(--($A$2:$A$5001=A3826))&gt;1,1,0))</f>
        <v>0</v>
      </c>
      <c r="H3826" s="0" t="n">
        <f aca="false">ROW()-1</f>
        <v>3825</v>
      </c>
      <c r="I3826" s="0" t="str">
        <f aca="false">IF(OR(הגדרות!$E$6=0,H3826&gt;הגדרות!$E$5),"",IF(H3826-1&lt;הגדרות!$E$8*(הגדרות!$E$7+1),INT((H3826-1)/(הגדרות!$E$7+1)),הגדרות!$E$8+INT((H3826-1-הגדרות!$E$8*(הגדרות!$E$7+1))/הגדרות!$E$7)))</f>
        <v/>
      </c>
      <c r="J3826" s="0" t="str">
        <f aca="false">IF(I3826="","",IF(H3826-1&lt;הגדרות!$E$8*(הגדרות!$E$7+1),MOD(H3826-1,הגדרות!$E$7+1),MOD(H3826-1-הגדרות!$E$8*(הגדרות!$E$7+1),הגדרות!$E$7)))</f>
        <v/>
      </c>
      <c r="K3826" s="0" t="str">
        <f aca="false">IF(I3826="","",J3826*הגדרות!$E$6+I3826+1)</f>
        <v/>
      </c>
      <c r="L3826" s="0" t="str">
        <f aca="false">IF(K3826="","",MATCH(K3826,$F$2:$F$5001,0))</f>
        <v/>
      </c>
      <c r="M3826" s="0" t="str">
        <f aca="false">IF(I3826="","",INDEX(הגדרות!$A$2:$A$21,MOD(I3826+הגדרות!$E$9,הגדרות!$E$6)+1))</f>
        <v/>
      </c>
    </row>
    <row r="3827" customFormat="false" ht="15" hidden="false" customHeight="false" outlineLevel="0" collapsed="false">
      <c r="A3827" s="0" t="str">
        <f aca="false">IF('הדבקת לידים'!A3827="","",IF(ISNUMBER('הדבקת לידים'!A3827),IF(הגדרות!$E$2&gt;0,TEXT('הדבקת לידים'!A3827,REPT("0",הגדרות!$E$2)),TEXT('הדבקת לידים'!A3827,"0")),TRIM('הדבקת לידים'!A3827)))</f>
        <v/>
      </c>
      <c r="B3827" s="0" t="str">
        <f aca="false">IF('הדבקת לידים'!B3827="","",IF(ISNUMBER('הדבקת לידים'!B3827),IF(הגדרות!$E$3&gt;0,TEXT('הדבקת לידים'!B3827,REPT("0",הגדרות!$E$3)),TEXT('הדבקת לידים'!B3827,"0")),TRIM('הדבקת לידים'!B3827)))</f>
        <v/>
      </c>
      <c r="C3827" s="0" t="n">
        <f aca="false">IF(OR(A3827&lt;&gt;"",B3827&lt;&gt;""),1,0)</f>
        <v>0</v>
      </c>
      <c r="D3827" s="0" t="str">
        <f aca="false">IF(C3827=1,MOD(ABS(SIN(ROW()*12.9898+'הדבקת לידים'!$F$2*78.233+IFERROR(--RIGHT(A3827,6),LEN(A3827))*0.0137+IFERROR(--RIGHT(B3827,6),LEN(B3827))*0.0071))*43758.5453,1),"")</f>
        <v/>
      </c>
      <c r="E3827" s="0" t="str">
        <f aca="false">IF(C3827=1,INT(MOD(ABS(SIN(D3827*7919.123+ROW()*0.618+'הדבקת לידים'!$F$2*1.3))*43758.5453,1)*1000000)*10000+ROW(),"")</f>
        <v/>
      </c>
      <c r="F3827" s="0" t="str">
        <f aca="false">IF(E3827="","",RANK(E3827,$E$2:$E$5001,1))</f>
        <v/>
      </c>
      <c r="G3827" s="0" t="n">
        <f aca="false">IF(A3827="",0,IF(SUMPRODUCT(--($A$2:$A$5001=A3827))&gt;1,1,0))</f>
        <v>0</v>
      </c>
      <c r="H3827" s="0" t="n">
        <f aca="false">ROW()-1</f>
        <v>3826</v>
      </c>
      <c r="I3827" s="0" t="str">
        <f aca="false">IF(OR(הגדרות!$E$6=0,H3827&gt;הגדרות!$E$5),"",IF(H3827-1&lt;הגדרות!$E$8*(הגדרות!$E$7+1),INT((H3827-1)/(הגדרות!$E$7+1)),הגדרות!$E$8+INT((H3827-1-הגדרות!$E$8*(הגדרות!$E$7+1))/הגדרות!$E$7)))</f>
        <v/>
      </c>
      <c r="J3827" s="0" t="str">
        <f aca="false">IF(I3827="","",IF(H3827-1&lt;הגדרות!$E$8*(הגדרות!$E$7+1),MOD(H3827-1,הגדרות!$E$7+1),MOD(H3827-1-הגדרות!$E$8*(הגדרות!$E$7+1),הגדרות!$E$7)))</f>
        <v/>
      </c>
      <c r="K3827" s="0" t="str">
        <f aca="false">IF(I3827="","",J3827*הגדרות!$E$6+I3827+1)</f>
        <v/>
      </c>
      <c r="L3827" s="0" t="str">
        <f aca="false">IF(K3827="","",MATCH(K3827,$F$2:$F$5001,0))</f>
        <v/>
      </c>
      <c r="M3827" s="0" t="str">
        <f aca="false">IF(I3827="","",INDEX(הגדרות!$A$2:$A$21,MOD(I3827+הגדרות!$E$9,הגדרות!$E$6)+1))</f>
        <v/>
      </c>
    </row>
    <row r="3828" customFormat="false" ht="15" hidden="false" customHeight="false" outlineLevel="0" collapsed="false">
      <c r="A3828" s="0" t="str">
        <f aca="false">IF('הדבקת לידים'!A3828="","",IF(ISNUMBER('הדבקת לידים'!A3828),IF(הגדרות!$E$2&gt;0,TEXT('הדבקת לידים'!A3828,REPT("0",הגדרות!$E$2)),TEXT('הדבקת לידים'!A3828,"0")),TRIM('הדבקת לידים'!A3828)))</f>
        <v/>
      </c>
      <c r="B3828" s="0" t="str">
        <f aca="false">IF('הדבקת לידים'!B3828="","",IF(ISNUMBER('הדבקת לידים'!B3828),IF(הגדרות!$E$3&gt;0,TEXT('הדבקת לידים'!B3828,REPT("0",הגדרות!$E$3)),TEXT('הדבקת לידים'!B3828,"0")),TRIM('הדבקת לידים'!B3828)))</f>
        <v/>
      </c>
      <c r="C3828" s="0" t="n">
        <f aca="false">IF(OR(A3828&lt;&gt;"",B3828&lt;&gt;""),1,0)</f>
        <v>0</v>
      </c>
      <c r="D3828" s="0" t="str">
        <f aca="false">IF(C3828=1,MOD(ABS(SIN(ROW()*12.9898+'הדבקת לידים'!$F$2*78.233+IFERROR(--RIGHT(A3828,6),LEN(A3828))*0.0137+IFERROR(--RIGHT(B3828,6),LEN(B3828))*0.0071))*43758.5453,1),"")</f>
        <v/>
      </c>
      <c r="E3828" s="0" t="str">
        <f aca="false">IF(C3828=1,INT(MOD(ABS(SIN(D3828*7919.123+ROW()*0.618+'הדבקת לידים'!$F$2*1.3))*43758.5453,1)*1000000)*10000+ROW(),"")</f>
        <v/>
      </c>
      <c r="F3828" s="0" t="str">
        <f aca="false">IF(E3828="","",RANK(E3828,$E$2:$E$5001,1))</f>
        <v/>
      </c>
      <c r="G3828" s="0" t="n">
        <f aca="false">IF(A3828="",0,IF(SUMPRODUCT(--($A$2:$A$5001=A3828))&gt;1,1,0))</f>
        <v>0</v>
      </c>
      <c r="H3828" s="0" t="n">
        <f aca="false">ROW()-1</f>
        <v>3827</v>
      </c>
      <c r="I3828" s="0" t="str">
        <f aca="false">IF(OR(הגדרות!$E$6=0,H3828&gt;הגדרות!$E$5),"",IF(H3828-1&lt;הגדרות!$E$8*(הגדרות!$E$7+1),INT((H3828-1)/(הגדרות!$E$7+1)),הגדרות!$E$8+INT((H3828-1-הגדרות!$E$8*(הגדרות!$E$7+1))/הגדרות!$E$7)))</f>
        <v/>
      </c>
      <c r="J3828" s="0" t="str">
        <f aca="false">IF(I3828="","",IF(H3828-1&lt;הגדרות!$E$8*(הגדרות!$E$7+1),MOD(H3828-1,הגדרות!$E$7+1),MOD(H3828-1-הגדרות!$E$8*(הגדרות!$E$7+1),הגדרות!$E$7)))</f>
        <v/>
      </c>
      <c r="K3828" s="0" t="str">
        <f aca="false">IF(I3828="","",J3828*הגדרות!$E$6+I3828+1)</f>
        <v/>
      </c>
      <c r="L3828" s="0" t="str">
        <f aca="false">IF(K3828="","",MATCH(K3828,$F$2:$F$5001,0))</f>
        <v/>
      </c>
      <c r="M3828" s="0" t="str">
        <f aca="false">IF(I3828="","",INDEX(הגדרות!$A$2:$A$21,MOD(I3828+הגדרות!$E$9,הגדרות!$E$6)+1))</f>
        <v/>
      </c>
    </row>
    <row r="3829" customFormat="false" ht="15" hidden="false" customHeight="false" outlineLevel="0" collapsed="false">
      <c r="A3829" s="0" t="str">
        <f aca="false">IF('הדבקת לידים'!A3829="","",IF(ISNUMBER('הדבקת לידים'!A3829),IF(הגדרות!$E$2&gt;0,TEXT('הדבקת לידים'!A3829,REPT("0",הגדרות!$E$2)),TEXT('הדבקת לידים'!A3829,"0")),TRIM('הדבקת לידים'!A3829)))</f>
        <v/>
      </c>
      <c r="B3829" s="0" t="str">
        <f aca="false">IF('הדבקת לידים'!B3829="","",IF(ISNUMBER('הדבקת לידים'!B3829),IF(הגדרות!$E$3&gt;0,TEXT('הדבקת לידים'!B3829,REPT("0",הגדרות!$E$3)),TEXT('הדבקת לידים'!B3829,"0")),TRIM('הדבקת לידים'!B3829)))</f>
        <v/>
      </c>
      <c r="C3829" s="0" t="n">
        <f aca="false">IF(OR(A3829&lt;&gt;"",B3829&lt;&gt;""),1,0)</f>
        <v>0</v>
      </c>
      <c r="D3829" s="0" t="str">
        <f aca="false">IF(C3829=1,MOD(ABS(SIN(ROW()*12.9898+'הדבקת לידים'!$F$2*78.233+IFERROR(--RIGHT(A3829,6),LEN(A3829))*0.0137+IFERROR(--RIGHT(B3829,6),LEN(B3829))*0.0071))*43758.5453,1),"")</f>
        <v/>
      </c>
      <c r="E3829" s="0" t="str">
        <f aca="false">IF(C3829=1,INT(MOD(ABS(SIN(D3829*7919.123+ROW()*0.618+'הדבקת לידים'!$F$2*1.3))*43758.5453,1)*1000000)*10000+ROW(),"")</f>
        <v/>
      </c>
      <c r="F3829" s="0" t="str">
        <f aca="false">IF(E3829="","",RANK(E3829,$E$2:$E$5001,1))</f>
        <v/>
      </c>
      <c r="G3829" s="0" t="n">
        <f aca="false">IF(A3829="",0,IF(SUMPRODUCT(--($A$2:$A$5001=A3829))&gt;1,1,0))</f>
        <v>0</v>
      </c>
      <c r="H3829" s="0" t="n">
        <f aca="false">ROW()-1</f>
        <v>3828</v>
      </c>
      <c r="I3829" s="0" t="str">
        <f aca="false">IF(OR(הגדרות!$E$6=0,H3829&gt;הגדרות!$E$5),"",IF(H3829-1&lt;הגדרות!$E$8*(הגדרות!$E$7+1),INT((H3829-1)/(הגדרות!$E$7+1)),הגדרות!$E$8+INT((H3829-1-הגדרות!$E$8*(הגדרות!$E$7+1))/הגדרות!$E$7)))</f>
        <v/>
      </c>
      <c r="J3829" s="0" t="str">
        <f aca="false">IF(I3829="","",IF(H3829-1&lt;הגדרות!$E$8*(הגדרות!$E$7+1),MOD(H3829-1,הגדרות!$E$7+1),MOD(H3829-1-הגדרות!$E$8*(הגדרות!$E$7+1),הגדרות!$E$7)))</f>
        <v/>
      </c>
      <c r="K3829" s="0" t="str">
        <f aca="false">IF(I3829="","",J3829*הגדרות!$E$6+I3829+1)</f>
        <v/>
      </c>
      <c r="L3829" s="0" t="str">
        <f aca="false">IF(K3829="","",MATCH(K3829,$F$2:$F$5001,0))</f>
        <v/>
      </c>
      <c r="M3829" s="0" t="str">
        <f aca="false">IF(I3829="","",INDEX(הגדרות!$A$2:$A$21,MOD(I3829+הגדרות!$E$9,הגדרות!$E$6)+1))</f>
        <v/>
      </c>
    </row>
    <row r="3830" customFormat="false" ht="15" hidden="false" customHeight="false" outlineLevel="0" collapsed="false">
      <c r="A3830" s="0" t="str">
        <f aca="false">IF('הדבקת לידים'!A3830="","",IF(ISNUMBER('הדבקת לידים'!A3830),IF(הגדרות!$E$2&gt;0,TEXT('הדבקת לידים'!A3830,REPT("0",הגדרות!$E$2)),TEXT('הדבקת לידים'!A3830,"0")),TRIM('הדבקת לידים'!A3830)))</f>
        <v/>
      </c>
      <c r="B3830" s="0" t="str">
        <f aca="false">IF('הדבקת לידים'!B3830="","",IF(ISNUMBER('הדבקת לידים'!B3830),IF(הגדרות!$E$3&gt;0,TEXT('הדבקת לידים'!B3830,REPT("0",הגדרות!$E$3)),TEXT('הדבקת לידים'!B3830,"0")),TRIM('הדבקת לידים'!B3830)))</f>
        <v/>
      </c>
      <c r="C3830" s="0" t="n">
        <f aca="false">IF(OR(A3830&lt;&gt;"",B3830&lt;&gt;""),1,0)</f>
        <v>0</v>
      </c>
      <c r="D3830" s="0" t="str">
        <f aca="false">IF(C3830=1,MOD(ABS(SIN(ROW()*12.9898+'הדבקת לידים'!$F$2*78.233+IFERROR(--RIGHT(A3830,6),LEN(A3830))*0.0137+IFERROR(--RIGHT(B3830,6),LEN(B3830))*0.0071))*43758.5453,1),"")</f>
        <v/>
      </c>
      <c r="E3830" s="0" t="str">
        <f aca="false">IF(C3830=1,INT(MOD(ABS(SIN(D3830*7919.123+ROW()*0.618+'הדבקת לידים'!$F$2*1.3))*43758.5453,1)*1000000)*10000+ROW(),"")</f>
        <v/>
      </c>
      <c r="F3830" s="0" t="str">
        <f aca="false">IF(E3830="","",RANK(E3830,$E$2:$E$5001,1))</f>
        <v/>
      </c>
      <c r="G3830" s="0" t="n">
        <f aca="false">IF(A3830="",0,IF(SUMPRODUCT(--($A$2:$A$5001=A3830))&gt;1,1,0))</f>
        <v>0</v>
      </c>
      <c r="H3830" s="0" t="n">
        <f aca="false">ROW()-1</f>
        <v>3829</v>
      </c>
      <c r="I3830" s="0" t="str">
        <f aca="false">IF(OR(הגדרות!$E$6=0,H3830&gt;הגדרות!$E$5),"",IF(H3830-1&lt;הגדרות!$E$8*(הגדרות!$E$7+1),INT((H3830-1)/(הגדרות!$E$7+1)),הגדרות!$E$8+INT((H3830-1-הגדרות!$E$8*(הגדרות!$E$7+1))/הגדרות!$E$7)))</f>
        <v/>
      </c>
      <c r="J3830" s="0" t="str">
        <f aca="false">IF(I3830="","",IF(H3830-1&lt;הגדרות!$E$8*(הגדרות!$E$7+1),MOD(H3830-1,הגדרות!$E$7+1),MOD(H3830-1-הגדרות!$E$8*(הגדרות!$E$7+1),הגדרות!$E$7)))</f>
        <v/>
      </c>
      <c r="K3830" s="0" t="str">
        <f aca="false">IF(I3830="","",J3830*הגדרות!$E$6+I3830+1)</f>
        <v/>
      </c>
      <c r="L3830" s="0" t="str">
        <f aca="false">IF(K3830="","",MATCH(K3830,$F$2:$F$5001,0))</f>
        <v/>
      </c>
      <c r="M3830" s="0" t="str">
        <f aca="false">IF(I3830="","",INDEX(הגדרות!$A$2:$A$21,MOD(I3830+הגדרות!$E$9,הגדרות!$E$6)+1))</f>
        <v/>
      </c>
    </row>
    <row r="3831" customFormat="false" ht="15" hidden="false" customHeight="false" outlineLevel="0" collapsed="false">
      <c r="A3831" s="0" t="str">
        <f aca="false">IF('הדבקת לידים'!A3831="","",IF(ISNUMBER('הדבקת לידים'!A3831),IF(הגדרות!$E$2&gt;0,TEXT('הדבקת לידים'!A3831,REPT("0",הגדרות!$E$2)),TEXT('הדבקת לידים'!A3831,"0")),TRIM('הדבקת לידים'!A3831)))</f>
        <v/>
      </c>
      <c r="B3831" s="0" t="str">
        <f aca="false">IF('הדבקת לידים'!B3831="","",IF(ISNUMBER('הדבקת לידים'!B3831),IF(הגדרות!$E$3&gt;0,TEXT('הדבקת לידים'!B3831,REPT("0",הגדרות!$E$3)),TEXT('הדבקת לידים'!B3831,"0")),TRIM('הדבקת לידים'!B3831)))</f>
        <v/>
      </c>
      <c r="C3831" s="0" t="n">
        <f aca="false">IF(OR(A3831&lt;&gt;"",B3831&lt;&gt;""),1,0)</f>
        <v>0</v>
      </c>
      <c r="D3831" s="0" t="str">
        <f aca="false">IF(C3831=1,MOD(ABS(SIN(ROW()*12.9898+'הדבקת לידים'!$F$2*78.233+IFERROR(--RIGHT(A3831,6),LEN(A3831))*0.0137+IFERROR(--RIGHT(B3831,6),LEN(B3831))*0.0071))*43758.5453,1),"")</f>
        <v/>
      </c>
      <c r="E3831" s="0" t="str">
        <f aca="false">IF(C3831=1,INT(MOD(ABS(SIN(D3831*7919.123+ROW()*0.618+'הדבקת לידים'!$F$2*1.3))*43758.5453,1)*1000000)*10000+ROW(),"")</f>
        <v/>
      </c>
      <c r="F3831" s="0" t="str">
        <f aca="false">IF(E3831="","",RANK(E3831,$E$2:$E$5001,1))</f>
        <v/>
      </c>
      <c r="G3831" s="0" t="n">
        <f aca="false">IF(A3831="",0,IF(SUMPRODUCT(--($A$2:$A$5001=A3831))&gt;1,1,0))</f>
        <v>0</v>
      </c>
      <c r="H3831" s="0" t="n">
        <f aca="false">ROW()-1</f>
        <v>3830</v>
      </c>
      <c r="I3831" s="0" t="str">
        <f aca="false">IF(OR(הגדרות!$E$6=0,H3831&gt;הגדרות!$E$5),"",IF(H3831-1&lt;הגדרות!$E$8*(הגדרות!$E$7+1),INT((H3831-1)/(הגדרות!$E$7+1)),הגדרות!$E$8+INT((H3831-1-הגדרות!$E$8*(הגדרות!$E$7+1))/הגדרות!$E$7)))</f>
        <v/>
      </c>
      <c r="J3831" s="0" t="str">
        <f aca="false">IF(I3831="","",IF(H3831-1&lt;הגדרות!$E$8*(הגדרות!$E$7+1),MOD(H3831-1,הגדרות!$E$7+1),MOD(H3831-1-הגדרות!$E$8*(הגדרות!$E$7+1),הגדרות!$E$7)))</f>
        <v/>
      </c>
      <c r="K3831" s="0" t="str">
        <f aca="false">IF(I3831="","",J3831*הגדרות!$E$6+I3831+1)</f>
        <v/>
      </c>
      <c r="L3831" s="0" t="str">
        <f aca="false">IF(K3831="","",MATCH(K3831,$F$2:$F$5001,0))</f>
        <v/>
      </c>
      <c r="M3831" s="0" t="str">
        <f aca="false">IF(I3831="","",INDEX(הגדרות!$A$2:$A$21,MOD(I3831+הגדרות!$E$9,הגדרות!$E$6)+1))</f>
        <v/>
      </c>
    </row>
    <row r="3832" customFormat="false" ht="15" hidden="false" customHeight="false" outlineLevel="0" collapsed="false">
      <c r="A3832" s="0" t="str">
        <f aca="false">IF('הדבקת לידים'!A3832="","",IF(ISNUMBER('הדבקת לידים'!A3832),IF(הגדרות!$E$2&gt;0,TEXT('הדבקת לידים'!A3832,REPT("0",הגדרות!$E$2)),TEXT('הדבקת לידים'!A3832,"0")),TRIM('הדבקת לידים'!A3832)))</f>
        <v/>
      </c>
      <c r="B3832" s="0" t="str">
        <f aca="false">IF('הדבקת לידים'!B3832="","",IF(ISNUMBER('הדבקת לידים'!B3832),IF(הגדרות!$E$3&gt;0,TEXT('הדבקת לידים'!B3832,REPT("0",הגדרות!$E$3)),TEXT('הדבקת לידים'!B3832,"0")),TRIM('הדבקת לידים'!B3832)))</f>
        <v/>
      </c>
      <c r="C3832" s="0" t="n">
        <f aca="false">IF(OR(A3832&lt;&gt;"",B3832&lt;&gt;""),1,0)</f>
        <v>0</v>
      </c>
      <c r="D3832" s="0" t="str">
        <f aca="false">IF(C3832=1,MOD(ABS(SIN(ROW()*12.9898+'הדבקת לידים'!$F$2*78.233+IFERROR(--RIGHT(A3832,6),LEN(A3832))*0.0137+IFERROR(--RIGHT(B3832,6),LEN(B3832))*0.0071))*43758.5453,1),"")</f>
        <v/>
      </c>
      <c r="E3832" s="0" t="str">
        <f aca="false">IF(C3832=1,INT(MOD(ABS(SIN(D3832*7919.123+ROW()*0.618+'הדבקת לידים'!$F$2*1.3))*43758.5453,1)*1000000)*10000+ROW(),"")</f>
        <v/>
      </c>
      <c r="F3832" s="0" t="str">
        <f aca="false">IF(E3832="","",RANK(E3832,$E$2:$E$5001,1))</f>
        <v/>
      </c>
      <c r="G3832" s="0" t="n">
        <f aca="false">IF(A3832="",0,IF(SUMPRODUCT(--($A$2:$A$5001=A3832))&gt;1,1,0))</f>
        <v>0</v>
      </c>
      <c r="H3832" s="0" t="n">
        <f aca="false">ROW()-1</f>
        <v>3831</v>
      </c>
      <c r="I3832" s="0" t="str">
        <f aca="false">IF(OR(הגדרות!$E$6=0,H3832&gt;הגדרות!$E$5),"",IF(H3832-1&lt;הגדרות!$E$8*(הגדרות!$E$7+1),INT((H3832-1)/(הגדרות!$E$7+1)),הגדרות!$E$8+INT((H3832-1-הגדרות!$E$8*(הגדרות!$E$7+1))/הגדרות!$E$7)))</f>
        <v/>
      </c>
      <c r="J3832" s="0" t="str">
        <f aca="false">IF(I3832="","",IF(H3832-1&lt;הגדרות!$E$8*(הגדרות!$E$7+1),MOD(H3832-1,הגדרות!$E$7+1),MOD(H3832-1-הגדרות!$E$8*(הגדרות!$E$7+1),הגדרות!$E$7)))</f>
        <v/>
      </c>
      <c r="K3832" s="0" t="str">
        <f aca="false">IF(I3832="","",J3832*הגדרות!$E$6+I3832+1)</f>
        <v/>
      </c>
      <c r="L3832" s="0" t="str">
        <f aca="false">IF(K3832="","",MATCH(K3832,$F$2:$F$5001,0))</f>
        <v/>
      </c>
      <c r="M3832" s="0" t="str">
        <f aca="false">IF(I3832="","",INDEX(הגדרות!$A$2:$A$21,MOD(I3832+הגדרות!$E$9,הגדרות!$E$6)+1))</f>
        <v/>
      </c>
    </row>
    <row r="3833" customFormat="false" ht="15" hidden="false" customHeight="false" outlineLevel="0" collapsed="false">
      <c r="A3833" s="0" t="str">
        <f aca="false">IF('הדבקת לידים'!A3833="","",IF(ISNUMBER('הדבקת לידים'!A3833),IF(הגדרות!$E$2&gt;0,TEXT('הדבקת לידים'!A3833,REPT("0",הגדרות!$E$2)),TEXT('הדבקת לידים'!A3833,"0")),TRIM('הדבקת לידים'!A3833)))</f>
        <v/>
      </c>
      <c r="B3833" s="0" t="str">
        <f aca="false">IF('הדבקת לידים'!B3833="","",IF(ISNUMBER('הדבקת לידים'!B3833),IF(הגדרות!$E$3&gt;0,TEXT('הדבקת לידים'!B3833,REPT("0",הגדרות!$E$3)),TEXT('הדבקת לידים'!B3833,"0")),TRIM('הדבקת לידים'!B3833)))</f>
        <v/>
      </c>
      <c r="C3833" s="0" t="n">
        <f aca="false">IF(OR(A3833&lt;&gt;"",B3833&lt;&gt;""),1,0)</f>
        <v>0</v>
      </c>
      <c r="D3833" s="0" t="str">
        <f aca="false">IF(C3833=1,MOD(ABS(SIN(ROW()*12.9898+'הדבקת לידים'!$F$2*78.233+IFERROR(--RIGHT(A3833,6),LEN(A3833))*0.0137+IFERROR(--RIGHT(B3833,6),LEN(B3833))*0.0071))*43758.5453,1),"")</f>
        <v/>
      </c>
      <c r="E3833" s="0" t="str">
        <f aca="false">IF(C3833=1,INT(MOD(ABS(SIN(D3833*7919.123+ROW()*0.618+'הדבקת לידים'!$F$2*1.3))*43758.5453,1)*1000000)*10000+ROW(),"")</f>
        <v/>
      </c>
      <c r="F3833" s="0" t="str">
        <f aca="false">IF(E3833="","",RANK(E3833,$E$2:$E$5001,1))</f>
        <v/>
      </c>
      <c r="G3833" s="0" t="n">
        <f aca="false">IF(A3833="",0,IF(SUMPRODUCT(--($A$2:$A$5001=A3833))&gt;1,1,0))</f>
        <v>0</v>
      </c>
      <c r="H3833" s="0" t="n">
        <f aca="false">ROW()-1</f>
        <v>3832</v>
      </c>
      <c r="I3833" s="0" t="str">
        <f aca="false">IF(OR(הגדרות!$E$6=0,H3833&gt;הגדרות!$E$5),"",IF(H3833-1&lt;הגדרות!$E$8*(הגדרות!$E$7+1),INT((H3833-1)/(הגדרות!$E$7+1)),הגדרות!$E$8+INT((H3833-1-הגדרות!$E$8*(הגדרות!$E$7+1))/הגדרות!$E$7)))</f>
        <v/>
      </c>
      <c r="J3833" s="0" t="str">
        <f aca="false">IF(I3833="","",IF(H3833-1&lt;הגדרות!$E$8*(הגדרות!$E$7+1),MOD(H3833-1,הגדרות!$E$7+1),MOD(H3833-1-הגדרות!$E$8*(הגדרות!$E$7+1),הגדרות!$E$7)))</f>
        <v/>
      </c>
      <c r="K3833" s="0" t="str">
        <f aca="false">IF(I3833="","",J3833*הגדרות!$E$6+I3833+1)</f>
        <v/>
      </c>
      <c r="L3833" s="0" t="str">
        <f aca="false">IF(K3833="","",MATCH(K3833,$F$2:$F$5001,0))</f>
        <v/>
      </c>
      <c r="M3833" s="0" t="str">
        <f aca="false">IF(I3833="","",INDEX(הגדרות!$A$2:$A$21,MOD(I3833+הגדרות!$E$9,הגדרות!$E$6)+1))</f>
        <v/>
      </c>
    </row>
    <row r="3834" customFormat="false" ht="15" hidden="false" customHeight="false" outlineLevel="0" collapsed="false">
      <c r="A3834" s="0" t="str">
        <f aca="false">IF('הדבקת לידים'!A3834="","",IF(ISNUMBER('הדבקת לידים'!A3834),IF(הגדרות!$E$2&gt;0,TEXT('הדבקת לידים'!A3834,REPT("0",הגדרות!$E$2)),TEXT('הדבקת לידים'!A3834,"0")),TRIM('הדבקת לידים'!A3834)))</f>
        <v/>
      </c>
      <c r="B3834" s="0" t="str">
        <f aca="false">IF('הדבקת לידים'!B3834="","",IF(ISNUMBER('הדבקת לידים'!B3834),IF(הגדרות!$E$3&gt;0,TEXT('הדבקת לידים'!B3834,REPT("0",הגדרות!$E$3)),TEXT('הדבקת לידים'!B3834,"0")),TRIM('הדבקת לידים'!B3834)))</f>
        <v/>
      </c>
      <c r="C3834" s="0" t="n">
        <f aca="false">IF(OR(A3834&lt;&gt;"",B3834&lt;&gt;""),1,0)</f>
        <v>0</v>
      </c>
      <c r="D3834" s="0" t="str">
        <f aca="false">IF(C3834=1,MOD(ABS(SIN(ROW()*12.9898+'הדבקת לידים'!$F$2*78.233+IFERROR(--RIGHT(A3834,6),LEN(A3834))*0.0137+IFERROR(--RIGHT(B3834,6),LEN(B3834))*0.0071))*43758.5453,1),"")</f>
        <v/>
      </c>
      <c r="E3834" s="0" t="str">
        <f aca="false">IF(C3834=1,INT(MOD(ABS(SIN(D3834*7919.123+ROW()*0.618+'הדבקת לידים'!$F$2*1.3))*43758.5453,1)*1000000)*10000+ROW(),"")</f>
        <v/>
      </c>
      <c r="F3834" s="0" t="str">
        <f aca="false">IF(E3834="","",RANK(E3834,$E$2:$E$5001,1))</f>
        <v/>
      </c>
      <c r="G3834" s="0" t="n">
        <f aca="false">IF(A3834="",0,IF(SUMPRODUCT(--($A$2:$A$5001=A3834))&gt;1,1,0))</f>
        <v>0</v>
      </c>
      <c r="H3834" s="0" t="n">
        <f aca="false">ROW()-1</f>
        <v>3833</v>
      </c>
      <c r="I3834" s="0" t="str">
        <f aca="false">IF(OR(הגדרות!$E$6=0,H3834&gt;הגדרות!$E$5),"",IF(H3834-1&lt;הגדרות!$E$8*(הגדרות!$E$7+1),INT((H3834-1)/(הגדרות!$E$7+1)),הגדרות!$E$8+INT((H3834-1-הגדרות!$E$8*(הגדרות!$E$7+1))/הגדרות!$E$7)))</f>
        <v/>
      </c>
      <c r="J3834" s="0" t="str">
        <f aca="false">IF(I3834="","",IF(H3834-1&lt;הגדרות!$E$8*(הגדרות!$E$7+1),MOD(H3834-1,הגדרות!$E$7+1),MOD(H3834-1-הגדרות!$E$8*(הגדרות!$E$7+1),הגדרות!$E$7)))</f>
        <v/>
      </c>
      <c r="K3834" s="0" t="str">
        <f aca="false">IF(I3834="","",J3834*הגדרות!$E$6+I3834+1)</f>
        <v/>
      </c>
      <c r="L3834" s="0" t="str">
        <f aca="false">IF(K3834="","",MATCH(K3834,$F$2:$F$5001,0))</f>
        <v/>
      </c>
      <c r="M3834" s="0" t="str">
        <f aca="false">IF(I3834="","",INDEX(הגדרות!$A$2:$A$21,MOD(I3834+הגדרות!$E$9,הגדרות!$E$6)+1))</f>
        <v/>
      </c>
    </row>
    <row r="3835" customFormat="false" ht="15" hidden="false" customHeight="false" outlineLevel="0" collapsed="false">
      <c r="A3835" s="0" t="str">
        <f aca="false">IF('הדבקת לידים'!A3835="","",IF(ISNUMBER('הדבקת לידים'!A3835),IF(הגדרות!$E$2&gt;0,TEXT('הדבקת לידים'!A3835,REPT("0",הגדרות!$E$2)),TEXT('הדבקת לידים'!A3835,"0")),TRIM('הדבקת לידים'!A3835)))</f>
        <v/>
      </c>
      <c r="B3835" s="0" t="str">
        <f aca="false">IF('הדבקת לידים'!B3835="","",IF(ISNUMBER('הדבקת לידים'!B3835),IF(הגדרות!$E$3&gt;0,TEXT('הדבקת לידים'!B3835,REPT("0",הגדרות!$E$3)),TEXT('הדבקת לידים'!B3835,"0")),TRIM('הדבקת לידים'!B3835)))</f>
        <v/>
      </c>
      <c r="C3835" s="0" t="n">
        <f aca="false">IF(OR(A3835&lt;&gt;"",B3835&lt;&gt;""),1,0)</f>
        <v>0</v>
      </c>
      <c r="D3835" s="0" t="str">
        <f aca="false">IF(C3835=1,MOD(ABS(SIN(ROW()*12.9898+'הדבקת לידים'!$F$2*78.233+IFERROR(--RIGHT(A3835,6),LEN(A3835))*0.0137+IFERROR(--RIGHT(B3835,6),LEN(B3835))*0.0071))*43758.5453,1),"")</f>
        <v/>
      </c>
      <c r="E3835" s="0" t="str">
        <f aca="false">IF(C3835=1,INT(MOD(ABS(SIN(D3835*7919.123+ROW()*0.618+'הדבקת לידים'!$F$2*1.3))*43758.5453,1)*1000000)*10000+ROW(),"")</f>
        <v/>
      </c>
      <c r="F3835" s="0" t="str">
        <f aca="false">IF(E3835="","",RANK(E3835,$E$2:$E$5001,1))</f>
        <v/>
      </c>
      <c r="G3835" s="0" t="n">
        <f aca="false">IF(A3835="",0,IF(SUMPRODUCT(--($A$2:$A$5001=A3835))&gt;1,1,0))</f>
        <v>0</v>
      </c>
      <c r="H3835" s="0" t="n">
        <f aca="false">ROW()-1</f>
        <v>3834</v>
      </c>
      <c r="I3835" s="0" t="str">
        <f aca="false">IF(OR(הגדרות!$E$6=0,H3835&gt;הגדרות!$E$5),"",IF(H3835-1&lt;הגדרות!$E$8*(הגדרות!$E$7+1),INT((H3835-1)/(הגדרות!$E$7+1)),הגדרות!$E$8+INT((H3835-1-הגדרות!$E$8*(הגדרות!$E$7+1))/הגדרות!$E$7)))</f>
        <v/>
      </c>
      <c r="J3835" s="0" t="str">
        <f aca="false">IF(I3835="","",IF(H3835-1&lt;הגדרות!$E$8*(הגדרות!$E$7+1),MOD(H3835-1,הגדרות!$E$7+1),MOD(H3835-1-הגדרות!$E$8*(הגדרות!$E$7+1),הגדרות!$E$7)))</f>
        <v/>
      </c>
      <c r="K3835" s="0" t="str">
        <f aca="false">IF(I3835="","",J3835*הגדרות!$E$6+I3835+1)</f>
        <v/>
      </c>
      <c r="L3835" s="0" t="str">
        <f aca="false">IF(K3835="","",MATCH(K3835,$F$2:$F$5001,0))</f>
        <v/>
      </c>
      <c r="M3835" s="0" t="str">
        <f aca="false">IF(I3835="","",INDEX(הגדרות!$A$2:$A$21,MOD(I3835+הגדרות!$E$9,הגדרות!$E$6)+1))</f>
        <v/>
      </c>
    </row>
    <row r="3836" customFormat="false" ht="15" hidden="false" customHeight="false" outlineLevel="0" collapsed="false">
      <c r="A3836" s="0" t="str">
        <f aca="false">IF('הדבקת לידים'!A3836="","",IF(ISNUMBER('הדבקת לידים'!A3836),IF(הגדרות!$E$2&gt;0,TEXT('הדבקת לידים'!A3836,REPT("0",הגדרות!$E$2)),TEXT('הדבקת לידים'!A3836,"0")),TRIM('הדבקת לידים'!A3836)))</f>
        <v/>
      </c>
      <c r="B3836" s="0" t="str">
        <f aca="false">IF('הדבקת לידים'!B3836="","",IF(ISNUMBER('הדבקת לידים'!B3836),IF(הגדרות!$E$3&gt;0,TEXT('הדבקת לידים'!B3836,REPT("0",הגדרות!$E$3)),TEXT('הדבקת לידים'!B3836,"0")),TRIM('הדבקת לידים'!B3836)))</f>
        <v/>
      </c>
      <c r="C3836" s="0" t="n">
        <f aca="false">IF(OR(A3836&lt;&gt;"",B3836&lt;&gt;""),1,0)</f>
        <v>0</v>
      </c>
      <c r="D3836" s="0" t="str">
        <f aca="false">IF(C3836=1,MOD(ABS(SIN(ROW()*12.9898+'הדבקת לידים'!$F$2*78.233+IFERROR(--RIGHT(A3836,6),LEN(A3836))*0.0137+IFERROR(--RIGHT(B3836,6),LEN(B3836))*0.0071))*43758.5453,1),"")</f>
        <v/>
      </c>
      <c r="E3836" s="0" t="str">
        <f aca="false">IF(C3836=1,INT(MOD(ABS(SIN(D3836*7919.123+ROW()*0.618+'הדבקת לידים'!$F$2*1.3))*43758.5453,1)*1000000)*10000+ROW(),"")</f>
        <v/>
      </c>
      <c r="F3836" s="0" t="str">
        <f aca="false">IF(E3836="","",RANK(E3836,$E$2:$E$5001,1))</f>
        <v/>
      </c>
      <c r="G3836" s="0" t="n">
        <f aca="false">IF(A3836="",0,IF(SUMPRODUCT(--($A$2:$A$5001=A3836))&gt;1,1,0))</f>
        <v>0</v>
      </c>
      <c r="H3836" s="0" t="n">
        <f aca="false">ROW()-1</f>
        <v>3835</v>
      </c>
      <c r="I3836" s="0" t="str">
        <f aca="false">IF(OR(הגדרות!$E$6=0,H3836&gt;הגדרות!$E$5),"",IF(H3836-1&lt;הגדרות!$E$8*(הגדרות!$E$7+1),INT((H3836-1)/(הגדרות!$E$7+1)),הגדרות!$E$8+INT((H3836-1-הגדרות!$E$8*(הגדרות!$E$7+1))/הגדרות!$E$7)))</f>
        <v/>
      </c>
      <c r="J3836" s="0" t="str">
        <f aca="false">IF(I3836="","",IF(H3836-1&lt;הגדרות!$E$8*(הגדרות!$E$7+1),MOD(H3836-1,הגדרות!$E$7+1),MOD(H3836-1-הגדרות!$E$8*(הגדרות!$E$7+1),הגדרות!$E$7)))</f>
        <v/>
      </c>
      <c r="K3836" s="0" t="str">
        <f aca="false">IF(I3836="","",J3836*הגדרות!$E$6+I3836+1)</f>
        <v/>
      </c>
      <c r="L3836" s="0" t="str">
        <f aca="false">IF(K3836="","",MATCH(K3836,$F$2:$F$5001,0))</f>
        <v/>
      </c>
      <c r="M3836" s="0" t="str">
        <f aca="false">IF(I3836="","",INDEX(הגדרות!$A$2:$A$21,MOD(I3836+הגדרות!$E$9,הגדרות!$E$6)+1))</f>
        <v/>
      </c>
    </row>
    <row r="3837" customFormat="false" ht="15" hidden="false" customHeight="false" outlineLevel="0" collapsed="false">
      <c r="A3837" s="0" t="str">
        <f aca="false">IF('הדבקת לידים'!A3837="","",IF(ISNUMBER('הדבקת לידים'!A3837),IF(הגדרות!$E$2&gt;0,TEXT('הדבקת לידים'!A3837,REPT("0",הגדרות!$E$2)),TEXT('הדבקת לידים'!A3837,"0")),TRIM('הדבקת לידים'!A3837)))</f>
        <v/>
      </c>
      <c r="B3837" s="0" t="str">
        <f aca="false">IF('הדבקת לידים'!B3837="","",IF(ISNUMBER('הדבקת לידים'!B3837),IF(הגדרות!$E$3&gt;0,TEXT('הדבקת לידים'!B3837,REPT("0",הגדרות!$E$3)),TEXT('הדבקת לידים'!B3837,"0")),TRIM('הדבקת לידים'!B3837)))</f>
        <v/>
      </c>
      <c r="C3837" s="0" t="n">
        <f aca="false">IF(OR(A3837&lt;&gt;"",B3837&lt;&gt;""),1,0)</f>
        <v>0</v>
      </c>
      <c r="D3837" s="0" t="str">
        <f aca="false">IF(C3837=1,MOD(ABS(SIN(ROW()*12.9898+'הדבקת לידים'!$F$2*78.233+IFERROR(--RIGHT(A3837,6),LEN(A3837))*0.0137+IFERROR(--RIGHT(B3837,6),LEN(B3837))*0.0071))*43758.5453,1),"")</f>
        <v/>
      </c>
      <c r="E3837" s="0" t="str">
        <f aca="false">IF(C3837=1,INT(MOD(ABS(SIN(D3837*7919.123+ROW()*0.618+'הדבקת לידים'!$F$2*1.3))*43758.5453,1)*1000000)*10000+ROW(),"")</f>
        <v/>
      </c>
      <c r="F3837" s="0" t="str">
        <f aca="false">IF(E3837="","",RANK(E3837,$E$2:$E$5001,1))</f>
        <v/>
      </c>
      <c r="G3837" s="0" t="n">
        <f aca="false">IF(A3837="",0,IF(SUMPRODUCT(--($A$2:$A$5001=A3837))&gt;1,1,0))</f>
        <v>0</v>
      </c>
      <c r="H3837" s="0" t="n">
        <f aca="false">ROW()-1</f>
        <v>3836</v>
      </c>
      <c r="I3837" s="0" t="str">
        <f aca="false">IF(OR(הגדרות!$E$6=0,H3837&gt;הגדרות!$E$5),"",IF(H3837-1&lt;הגדרות!$E$8*(הגדרות!$E$7+1),INT((H3837-1)/(הגדרות!$E$7+1)),הגדרות!$E$8+INT((H3837-1-הגדרות!$E$8*(הגדרות!$E$7+1))/הגדרות!$E$7)))</f>
        <v/>
      </c>
      <c r="J3837" s="0" t="str">
        <f aca="false">IF(I3837="","",IF(H3837-1&lt;הגדרות!$E$8*(הגדרות!$E$7+1),MOD(H3837-1,הגדרות!$E$7+1),MOD(H3837-1-הגדרות!$E$8*(הגדרות!$E$7+1),הגדרות!$E$7)))</f>
        <v/>
      </c>
      <c r="K3837" s="0" t="str">
        <f aca="false">IF(I3837="","",J3837*הגדרות!$E$6+I3837+1)</f>
        <v/>
      </c>
      <c r="L3837" s="0" t="str">
        <f aca="false">IF(K3837="","",MATCH(K3837,$F$2:$F$5001,0))</f>
        <v/>
      </c>
      <c r="M3837" s="0" t="str">
        <f aca="false">IF(I3837="","",INDEX(הגדרות!$A$2:$A$21,MOD(I3837+הגדרות!$E$9,הגדרות!$E$6)+1))</f>
        <v/>
      </c>
    </row>
    <row r="3838" customFormat="false" ht="15" hidden="false" customHeight="false" outlineLevel="0" collapsed="false">
      <c r="A3838" s="0" t="str">
        <f aca="false">IF('הדבקת לידים'!A3838="","",IF(ISNUMBER('הדבקת לידים'!A3838),IF(הגדרות!$E$2&gt;0,TEXT('הדבקת לידים'!A3838,REPT("0",הגדרות!$E$2)),TEXT('הדבקת לידים'!A3838,"0")),TRIM('הדבקת לידים'!A3838)))</f>
        <v/>
      </c>
      <c r="B3838" s="0" t="str">
        <f aca="false">IF('הדבקת לידים'!B3838="","",IF(ISNUMBER('הדבקת לידים'!B3838),IF(הגדרות!$E$3&gt;0,TEXT('הדבקת לידים'!B3838,REPT("0",הגדרות!$E$3)),TEXT('הדבקת לידים'!B3838,"0")),TRIM('הדבקת לידים'!B3838)))</f>
        <v/>
      </c>
      <c r="C3838" s="0" t="n">
        <f aca="false">IF(OR(A3838&lt;&gt;"",B3838&lt;&gt;""),1,0)</f>
        <v>0</v>
      </c>
      <c r="D3838" s="0" t="str">
        <f aca="false">IF(C3838=1,MOD(ABS(SIN(ROW()*12.9898+'הדבקת לידים'!$F$2*78.233+IFERROR(--RIGHT(A3838,6),LEN(A3838))*0.0137+IFERROR(--RIGHT(B3838,6),LEN(B3838))*0.0071))*43758.5453,1),"")</f>
        <v/>
      </c>
      <c r="E3838" s="0" t="str">
        <f aca="false">IF(C3838=1,INT(MOD(ABS(SIN(D3838*7919.123+ROW()*0.618+'הדבקת לידים'!$F$2*1.3))*43758.5453,1)*1000000)*10000+ROW(),"")</f>
        <v/>
      </c>
      <c r="F3838" s="0" t="str">
        <f aca="false">IF(E3838="","",RANK(E3838,$E$2:$E$5001,1))</f>
        <v/>
      </c>
      <c r="G3838" s="0" t="n">
        <f aca="false">IF(A3838="",0,IF(SUMPRODUCT(--($A$2:$A$5001=A3838))&gt;1,1,0))</f>
        <v>0</v>
      </c>
      <c r="H3838" s="0" t="n">
        <f aca="false">ROW()-1</f>
        <v>3837</v>
      </c>
      <c r="I3838" s="0" t="str">
        <f aca="false">IF(OR(הגדרות!$E$6=0,H3838&gt;הגדרות!$E$5),"",IF(H3838-1&lt;הגדרות!$E$8*(הגדרות!$E$7+1),INT((H3838-1)/(הגדרות!$E$7+1)),הגדרות!$E$8+INT((H3838-1-הגדרות!$E$8*(הגדרות!$E$7+1))/הגדרות!$E$7)))</f>
        <v/>
      </c>
      <c r="J3838" s="0" t="str">
        <f aca="false">IF(I3838="","",IF(H3838-1&lt;הגדרות!$E$8*(הגדרות!$E$7+1),MOD(H3838-1,הגדרות!$E$7+1),MOD(H3838-1-הגדרות!$E$8*(הגדרות!$E$7+1),הגדרות!$E$7)))</f>
        <v/>
      </c>
      <c r="K3838" s="0" t="str">
        <f aca="false">IF(I3838="","",J3838*הגדרות!$E$6+I3838+1)</f>
        <v/>
      </c>
      <c r="L3838" s="0" t="str">
        <f aca="false">IF(K3838="","",MATCH(K3838,$F$2:$F$5001,0))</f>
        <v/>
      </c>
      <c r="M3838" s="0" t="str">
        <f aca="false">IF(I3838="","",INDEX(הגדרות!$A$2:$A$21,MOD(I3838+הגדרות!$E$9,הגדרות!$E$6)+1))</f>
        <v/>
      </c>
    </row>
    <row r="3839" customFormat="false" ht="15" hidden="false" customHeight="false" outlineLevel="0" collapsed="false">
      <c r="A3839" s="0" t="str">
        <f aca="false">IF('הדבקת לידים'!A3839="","",IF(ISNUMBER('הדבקת לידים'!A3839),IF(הגדרות!$E$2&gt;0,TEXT('הדבקת לידים'!A3839,REPT("0",הגדרות!$E$2)),TEXT('הדבקת לידים'!A3839,"0")),TRIM('הדבקת לידים'!A3839)))</f>
        <v/>
      </c>
      <c r="B3839" s="0" t="str">
        <f aca="false">IF('הדבקת לידים'!B3839="","",IF(ISNUMBER('הדבקת לידים'!B3839),IF(הגדרות!$E$3&gt;0,TEXT('הדבקת לידים'!B3839,REPT("0",הגדרות!$E$3)),TEXT('הדבקת לידים'!B3839,"0")),TRIM('הדבקת לידים'!B3839)))</f>
        <v/>
      </c>
      <c r="C3839" s="0" t="n">
        <f aca="false">IF(OR(A3839&lt;&gt;"",B3839&lt;&gt;""),1,0)</f>
        <v>0</v>
      </c>
      <c r="D3839" s="0" t="str">
        <f aca="false">IF(C3839=1,MOD(ABS(SIN(ROW()*12.9898+'הדבקת לידים'!$F$2*78.233+IFERROR(--RIGHT(A3839,6),LEN(A3839))*0.0137+IFERROR(--RIGHT(B3839,6),LEN(B3839))*0.0071))*43758.5453,1),"")</f>
        <v/>
      </c>
      <c r="E3839" s="0" t="str">
        <f aca="false">IF(C3839=1,INT(MOD(ABS(SIN(D3839*7919.123+ROW()*0.618+'הדבקת לידים'!$F$2*1.3))*43758.5453,1)*1000000)*10000+ROW(),"")</f>
        <v/>
      </c>
      <c r="F3839" s="0" t="str">
        <f aca="false">IF(E3839="","",RANK(E3839,$E$2:$E$5001,1))</f>
        <v/>
      </c>
      <c r="G3839" s="0" t="n">
        <f aca="false">IF(A3839="",0,IF(SUMPRODUCT(--($A$2:$A$5001=A3839))&gt;1,1,0))</f>
        <v>0</v>
      </c>
      <c r="H3839" s="0" t="n">
        <f aca="false">ROW()-1</f>
        <v>3838</v>
      </c>
      <c r="I3839" s="0" t="str">
        <f aca="false">IF(OR(הגדרות!$E$6=0,H3839&gt;הגדרות!$E$5),"",IF(H3839-1&lt;הגדרות!$E$8*(הגדרות!$E$7+1),INT((H3839-1)/(הגדרות!$E$7+1)),הגדרות!$E$8+INT((H3839-1-הגדרות!$E$8*(הגדרות!$E$7+1))/הגדרות!$E$7)))</f>
        <v/>
      </c>
      <c r="J3839" s="0" t="str">
        <f aca="false">IF(I3839="","",IF(H3839-1&lt;הגדרות!$E$8*(הגדרות!$E$7+1),MOD(H3839-1,הגדרות!$E$7+1),MOD(H3839-1-הגדרות!$E$8*(הגדרות!$E$7+1),הגדרות!$E$7)))</f>
        <v/>
      </c>
      <c r="K3839" s="0" t="str">
        <f aca="false">IF(I3839="","",J3839*הגדרות!$E$6+I3839+1)</f>
        <v/>
      </c>
      <c r="L3839" s="0" t="str">
        <f aca="false">IF(K3839="","",MATCH(K3839,$F$2:$F$5001,0))</f>
        <v/>
      </c>
      <c r="M3839" s="0" t="str">
        <f aca="false">IF(I3839="","",INDEX(הגדרות!$A$2:$A$21,MOD(I3839+הגדרות!$E$9,הגדרות!$E$6)+1))</f>
        <v/>
      </c>
    </row>
    <row r="3840" customFormat="false" ht="15" hidden="false" customHeight="false" outlineLevel="0" collapsed="false">
      <c r="A3840" s="0" t="str">
        <f aca="false">IF('הדבקת לידים'!A3840="","",IF(ISNUMBER('הדבקת לידים'!A3840),IF(הגדרות!$E$2&gt;0,TEXT('הדבקת לידים'!A3840,REPT("0",הגדרות!$E$2)),TEXT('הדבקת לידים'!A3840,"0")),TRIM('הדבקת לידים'!A3840)))</f>
        <v/>
      </c>
      <c r="B3840" s="0" t="str">
        <f aca="false">IF('הדבקת לידים'!B3840="","",IF(ISNUMBER('הדבקת לידים'!B3840),IF(הגדרות!$E$3&gt;0,TEXT('הדבקת לידים'!B3840,REPT("0",הגדרות!$E$3)),TEXT('הדבקת לידים'!B3840,"0")),TRIM('הדבקת לידים'!B3840)))</f>
        <v/>
      </c>
      <c r="C3840" s="0" t="n">
        <f aca="false">IF(OR(A3840&lt;&gt;"",B3840&lt;&gt;""),1,0)</f>
        <v>0</v>
      </c>
      <c r="D3840" s="0" t="str">
        <f aca="false">IF(C3840=1,MOD(ABS(SIN(ROW()*12.9898+'הדבקת לידים'!$F$2*78.233+IFERROR(--RIGHT(A3840,6),LEN(A3840))*0.0137+IFERROR(--RIGHT(B3840,6),LEN(B3840))*0.0071))*43758.5453,1),"")</f>
        <v/>
      </c>
      <c r="E3840" s="0" t="str">
        <f aca="false">IF(C3840=1,INT(MOD(ABS(SIN(D3840*7919.123+ROW()*0.618+'הדבקת לידים'!$F$2*1.3))*43758.5453,1)*1000000)*10000+ROW(),"")</f>
        <v/>
      </c>
      <c r="F3840" s="0" t="str">
        <f aca="false">IF(E3840="","",RANK(E3840,$E$2:$E$5001,1))</f>
        <v/>
      </c>
      <c r="G3840" s="0" t="n">
        <f aca="false">IF(A3840="",0,IF(SUMPRODUCT(--($A$2:$A$5001=A3840))&gt;1,1,0))</f>
        <v>0</v>
      </c>
      <c r="H3840" s="0" t="n">
        <f aca="false">ROW()-1</f>
        <v>3839</v>
      </c>
      <c r="I3840" s="0" t="str">
        <f aca="false">IF(OR(הגדרות!$E$6=0,H3840&gt;הגדרות!$E$5),"",IF(H3840-1&lt;הגדרות!$E$8*(הגדרות!$E$7+1),INT((H3840-1)/(הגדרות!$E$7+1)),הגדרות!$E$8+INT((H3840-1-הגדרות!$E$8*(הגדרות!$E$7+1))/הגדרות!$E$7)))</f>
        <v/>
      </c>
      <c r="J3840" s="0" t="str">
        <f aca="false">IF(I3840="","",IF(H3840-1&lt;הגדרות!$E$8*(הגדרות!$E$7+1),MOD(H3840-1,הגדרות!$E$7+1),MOD(H3840-1-הגדרות!$E$8*(הגדרות!$E$7+1),הגדרות!$E$7)))</f>
        <v/>
      </c>
      <c r="K3840" s="0" t="str">
        <f aca="false">IF(I3840="","",J3840*הגדרות!$E$6+I3840+1)</f>
        <v/>
      </c>
      <c r="L3840" s="0" t="str">
        <f aca="false">IF(K3840="","",MATCH(K3840,$F$2:$F$5001,0))</f>
        <v/>
      </c>
      <c r="M3840" s="0" t="str">
        <f aca="false">IF(I3840="","",INDEX(הגדרות!$A$2:$A$21,MOD(I3840+הגדרות!$E$9,הגדרות!$E$6)+1))</f>
        <v/>
      </c>
    </row>
    <row r="3841" customFormat="false" ht="15" hidden="false" customHeight="false" outlineLevel="0" collapsed="false">
      <c r="A3841" s="0" t="str">
        <f aca="false">IF('הדבקת לידים'!A3841="","",IF(ISNUMBER('הדבקת לידים'!A3841),IF(הגדרות!$E$2&gt;0,TEXT('הדבקת לידים'!A3841,REPT("0",הגדרות!$E$2)),TEXT('הדבקת לידים'!A3841,"0")),TRIM('הדבקת לידים'!A3841)))</f>
        <v/>
      </c>
      <c r="B3841" s="0" t="str">
        <f aca="false">IF('הדבקת לידים'!B3841="","",IF(ISNUMBER('הדבקת לידים'!B3841),IF(הגדרות!$E$3&gt;0,TEXT('הדבקת לידים'!B3841,REPT("0",הגדרות!$E$3)),TEXT('הדבקת לידים'!B3841,"0")),TRIM('הדבקת לידים'!B3841)))</f>
        <v/>
      </c>
      <c r="C3841" s="0" t="n">
        <f aca="false">IF(OR(A3841&lt;&gt;"",B3841&lt;&gt;""),1,0)</f>
        <v>0</v>
      </c>
      <c r="D3841" s="0" t="str">
        <f aca="false">IF(C3841=1,MOD(ABS(SIN(ROW()*12.9898+'הדבקת לידים'!$F$2*78.233+IFERROR(--RIGHT(A3841,6),LEN(A3841))*0.0137+IFERROR(--RIGHT(B3841,6),LEN(B3841))*0.0071))*43758.5453,1),"")</f>
        <v/>
      </c>
      <c r="E3841" s="0" t="str">
        <f aca="false">IF(C3841=1,INT(MOD(ABS(SIN(D3841*7919.123+ROW()*0.618+'הדבקת לידים'!$F$2*1.3))*43758.5453,1)*1000000)*10000+ROW(),"")</f>
        <v/>
      </c>
      <c r="F3841" s="0" t="str">
        <f aca="false">IF(E3841="","",RANK(E3841,$E$2:$E$5001,1))</f>
        <v/>
      </c>
      <c r="G3841" s="0" t="n">
        <f aca="false">IF(A3841="",0,IF(SUMPRODUCT(--($A$2:$A$5001=A3841))&gt;1,1,0))</f>
        <v>0</v>
      </c>
      <c r="H3841" s="0" t="n">
        <f aca="false">ROW()-1</f>
        <v>3840</v>
      </c>
      <c r="I3841" s="0" t="str">
        <f aca="false">IF(OR(הגדרות!$E$6=0,H3841&gt;הגדרות!$E$5),"",IF(H3841-1&lt;הגדרות!$E$8*(הגדרות!$E$7+1),INT((H3841-1)/(הגדרות!$E$7+1)),הגדרות!$E$8+INT((H3841-1-הגדרות!$E$8*(הגדרות!$E$7+1))/הגדרות!$E$7)))</f>
        <v/>
      </c>
      <c r="J3841" s="0" t="str">
        <f aca="false">IF(I3841="","",IF(H3841-1&lt;הגדרות!$E$8*(הגדרות!$E$7+1),MOD(H3841-1,הגדרות!$E$7+1),MOD(H3841-1-הגדרות!$E$8*(הגדרות!$E$7+1),הגדרות!$E$7)))</f>
        <v/>
      </c>
      <c r="K3841" s="0" t="str">
        <f aca="false">IF(I3841="","",J3841*הגדרות!$E$6+I3841+1)</f>
        <v/>
      </c>
      <c r="L3841" s="0" t="str">
        <f aca="false">IF(K3841="","",MATCH(K3841,$F$2:$F$5001,0))</f>
        <v/>
      </c>
      <c r="M3841" s="0" t="str">
        <f aca="false">IF(I3841="","",INDEX(הגדרות!$A$2:$A$21,MOD(I3841+הגדרות!$E$9,הגדרות!$E$6)+1))</f>
        <v/>
      </c>
    </row>
    <row r="3842" customFormat="false" ht="15" hidden="false" customHeight="false" outlineLevel="0" collapsed="false">
      <c r="A3842" s="0" t="str">
        <f aca="false">IF('הדבקת לידים'!A3842="","",IF(ISNUMBER('הדבקת לידים'!A3842),IF(הגדרות!$E$2&gt;0,TEXT('הדבקת לידים'!A3842,REPT("0",הגדרות!$E$2)),TEXT('הדבקת לידים'!A3842,"0")),TRIM('הדבקת לידים'!A3842)))</f>
        <v/>
      </c>
      <c r="B3842" s="0" t="str">
        <f aca="false">IF('הדבקת לידים'!B3842="","",IF(ISNUMBER('הדבקת לידים'!B3842),IF(הגדרות!$E$3&gt;0,TEXT('הדבקת לידים'!B3842,REPT("0",הגדרות!$E$3)),TEXT('הדבקת לידים'!B3842,"0")),TRIM('הדבקת לידים'!B3842)))</f>
        <v/>
      </c>
      <c r="C3842" s="0" t="n">
        <f aca="false">IF(OR(A3842&lt;&gt;"",B3842&lt;&gt;""),1,0)</f>
        <v>0</v>
      </c>
      <c r="D3842" s="0" t="str">
        <f aca="false">IF(C3842=1,MOD(ABS(SIN(ROW()*12.9898+'הדבקת לידים'!$F$2*78.233+IFERROR(--RIGHT(A3842,6),LEN(A3842))*0.0137+IFERROR(--RIGHT(B3842,6),LEN(B3842))*0.0071))*43758.5453,1),"")</f>
        <v/>
      </c>
      <c r="E3842" s="0" t="str">
        <f aca="false">IF(C3842=1,INT(MOD(ABS(SIN(D3842*7919.123+ROW()*0.618+'הדבקת לידים'!$F$2*1.3))*43758.5453,1)*1000000)*10000+ROW(),"")</f>
        <v/>
      </c>
      <c r="F3842" s="0" t="str">
        <f aca="false">IF(E3842="","",RANK(E3842,$E$2:$E$5001,1))</f>
        <v/>
      </c>
      <c r="G3842" s="0" t="n">
        <f aca="false">IF(A3842="",0,IF(SUMPRODUCT(--($A$2:$A$5001=A3842))&gt;1,1,0))</f>
        <v>0</v>
      </c>
      <c r="H3842" s="0" t="n">
        <f aca="false">ROW()-1</f>
        <v>3841</v>
      </c>
      <c r="I3842" s="0" t="str">
        <f aca="false">IF(OR(הגדרות!$E$6=0,H3842&gt;הגדרות!$E$5),"",IF(H3842-1&lt;הגדרות!$E$8*(הגדרות!$E$7+1),INT((H3842-1)/(הגדרות!$E$7+1)),הגדרות!$E$8+INT((H3842-1-הגדרות!$E$8*(הגדרות!$E$7+1))/הגדרות!$E$7)))</f>
        <v/>
      </c>
      <c r="J3842" s="0" t="str">
        <f aca="false">IF(I3842="","",IF(H3842-1&lt;הגדרות!$E$8*(הגדרות!$E$7+1),MOD(H3842-1,הגדרות!$E$7+1),MOD(H3842-1-הגדרות!$E$8*(הגדרות!$E$7+1),הגדרות!$E$7)))</f>
        <v/>
      </c>
      <c r="K3842" s="0" t="str">
        <f aca="false">IF(I3842="","",J3842*הגדרות!$E$6+I3842+1)</f>
        <v/>
      </c>
      <c r="L3842" s="0" t="str">
        <f aca="false">IF(K3842="","",MATCH(K3842,$F$2:$F$5001,0))</f>
        <v/>
      </c>
      <c r="M3842" s="0" t="str">
        <f aca="false">IF(I3842="","",INDEX(הגדרות!$A$2:$A$21,MOD(I3842+הגדרות!$E$9,הגדרות!$E$6)+1))</f>
        <v/>
      </c>
    </row>
    <row r="3843" customFormat="false" ht="15" hidden="false" customHeight="false" outlineLevel="0" collapsed="false">
      <c r="A3843" s="0" t="str">
        <f aca="false">IF('הדבקת לידים'!A3843="","",IF(ISNUMBER('הדבקת לידים'!A3843),IF(הגדרות!$E$2&gt;0,TEXT('הדבקת לידים'!A3843,REPT("0",הגדרות!$E$2)),TEXT('הדבקת לידים'!A3843,"0")),TRIM('הדבקת לידים'!A3843)))</f>
        <v/>
      </c>
      <c r="B3843" s="0" t="str">
        <f aca="false">IF('הדבקת לידים'!B3843="","",IF(ISNUMBER('הדבקת לידים'!B3843),IF(הגדרות!$E$3&gt;0,TEXT('הדבקת לידים'!B3843,REPT("0",הגדרות!$E$3)),TEXT('הדבקת לידים'!B3843,"0")),TRIM('הדבקת לידים'!B3843)))</f>
        <v/>
      </c>
      <c r="C3843" s="0" t="n">
        <f aca="false">IF(OR(A3843&lt;&gt;"",B3843&lt;&gt;""),1,0)</f>
        <v>0</v>
      </c>
      <c r="D3843" s="0" t="str">
        <f aca="false">IF(C3843=1,MOD(ABS(SIN(ROW()*12.9898+'הדבקת לידים'!$F$2*78.233+IFERROR(--RIGHT(A3843,6),LEN(A3843))*0.0137+IFERROR(--RIGHT(B3843,6),LEN(B3843))*0.0071))*43758.5453,1),"")</f>
        <v/>
      </c>
      <c r="E3843" s="0" t="str">
        <f aca="false">IF(C3843=1,INT(MOD(ABS(SIN(D3843*7919.123+ROW()*0.618+'הדבקת לידים'!$F$2*1.3))*43758.5453,1)*1000000)*10000+ROW(),"")</f>
        <v/>
      </c>
      <c r="F3843" s="0" t="str">
        <f aca="false">IF(E3843="","",RANK(E3843,$E$2:$E$5001,1))</f>
        <v/>
      </c>
      <c r="G3843" s="0" t="n">
        <f aca="false">IF(A3843="",0,IF(SUMPRODUCT(--($A$2:$A$5001=A3843))&gt;1,1,0))</f>
        <v>0</v>
      </c>
      <c r="H3843" s="0" t="n">
        <f aca="false">ROW()-1</f>
        <v>3842</v>
      </c>
      <c r="I3843" s="0" t="str">
        <f aca="false">IF(OR(הגדרות!$E$6=0,H3843&gt;הגדרות!$E$5),"",IF(H3843-1&lt;הגדרות!$E$8*(הגדרות!$E$7+1),INT((H3843-1)/(הגדרות!$E$7+1)),הגדרות!$E$8+INT((H3843-1-הגדרות!$E$8*(הגדרות!$E$7+1))/הגדרות!$E$7)))</f>
        <v/>
      </c>
      <c r="J3843" s="0" t="str">
        <f aca="false">IF(I3843="","",IF(H3843-1&lt;הגדרות!$E$8*(הגדרות!$E$7+1),MOD(H3843-1,הגדרות!$E$7+1),MOD(H3843-1-הגדרות!$E$8*(הגדרות!$E$7+1),הגדרות!$E$7)))</f>
        <v/>
      </c>
      <c r="K3843" s="0" t="str">
        <f aca="false">IF(I3843="","",J3843*הגדרות!$E$6+I3843+1)</f>
        <v/>
      </c>
      <c r="L3843" s="0" t="str">
        <f aca="false">IF(K3843="","",MATCH(K3843,$F$2:$F$5001,0))</f>
        <v/>
      </c>
      <c r="M3843" s="0" t="str">
        <f aca="false">IF(I3843="","",INDEX(הגדרות!$A$2:$A$21,MOD(I3843+הגדרות!$E$9,הגדרות!$E$6)+1))</f>
        <v/>
      </c>
    </row>
    <row r="3844" customFormat="false" ht="15" hidden="false" customHeight="false" outlineLevel="0" collapsed="false">
      <c r="A3844" s="0" t="str">
        <f aca="false">IF('הדבקת לידים'!A3844="","",IF(ISNUMBER('הדבקת לידים'!A3844),IF(הגדרות!$E$2&gt;0,TEXT('הדבקת לידים'!A3844,REPT("0",הגדרות!$E$2)),TEXT('הדבקת לידים'!A3844,"0")),TRIM('הדבקת לידים'!A3844)))</f>
        <v/>
      </c>
      <c r="B3844" s="0" t="str">
        <f aca="false">IF('הדבקת לידים'!B3844="","",IF(ISNUMBER('הדבקת לידים'!B3844),IF(הגדרות!$E$3&gt;0,TEXT('הדבקת לידים'!B3844,REPT("0",הגדרות!$E$3)),TEXT('הדבקת לידים'!B3844,"0")),TRIM('הדבקת לידים'!B3844)))</f>
        <v/>
      </c>
      <c r="C3844" s="0" t="n">
        <f aca="false">IF(OR(A3844&lt;&gt;"",B3844&lt;&gt;""),1,0)</f>
        <v>0</v>
      </c>
      <c r="D3844" s="0" t="str">
        <f aca="false">IF(C3844=1,MOD(ABS(SIN(ROW()*12.9898+'הדבקת לידים'!$F$2*78.233+IFERROR(--RIGHT(A3844,6),LEN(A3844))*0.0137+IFERROR(--RIGHT(B3844,6),LEN(B3844))*0.0071))*43758.5453,1),"")</f>
        <v/>
      </c>
      <c r="E3844" s="0" t="str">
        <f aca="false">IF(C3844=1,INT(MOD(ABS(SIN(D3844*7919.123+ROW()*0.618+'הדבקת לידים'!$F$2*1.3))*43758.5453,1)*1000000)*10000+ROW(),"")</f>
        <v/>
      </c>
      <c r="F3844" s="0" t="str">
        <f aca="false">IF(E3844="","",RANK(E3844,$E$2:$E$5001,1))</f>
        <v/>
      </c>
      <c r="G3844" s="0" t="n">
        <f aca="false">IF(A3844="",0,IF(SUMPRODUCT(--($A$2:$A$5001=A3844))&gt;1,1,0))</f>
        <v>0</v>
      </c>
      <c r="H3844" s="0" t="n">
        <f aca="false">ROW()-1</f>
        <v>3843</v>
      </c>
      <c r="I3844" s="0" t="str">
        <f aca="false">IF(OR(הגדרות!$E$6=0,H3844&gt;הגדרות!$E$5),"",IF(H3844-1&lt;הגדרות!$E$8*(הגדרות!$E$7+1),INT((H3844-1)/(הגדרות!$E$7+1)),הגדרות!$E$8+INT((H3844-1-הגדרות!$E$8*(הגדרות!$E$7+1))/הגדרות!$E$7)))</f>
        <v/>
      </c>
      <c r="J3844" s="0" t="str">
        <f aca="false">IF(I3844="","",IF(H3844-1&lt;הגדרות!$E$8*(הגדרות!$E$7+1),MOD(H3844-1,הגדרות!$E$7+1),MOD(H3844-1-הגדרות!$E$8*(הגדרות!$E$7+1),הגדרות!$E$7)))</f>
        <v/>
      </c>
      <c r="K3844" s="0" t="str">
        <f aca="false">IF(I3844="","",J3844*הגדרות!$E$6+I3844+1)</f>
        <v/>
      </c>
      <c r="L3844" s="0" t="str">
        <f aca="false">IF(K3844="","",MATCH(K3844,$F$2:$F$5001,0))</f>
        <v/>
      </c>
      <c r="M3844" s="0" t="str">
        <f aca="false">IF(I3844="","",INDEX(הגדרות!$A$2:$A$21,MOD(I3844+הגדרות!$E$9,הגדרות!$E$6)+1))</f>
        <v/>
      </c>
    </row>
    <row r="3845" customFormat="false" ht="15" hidden="false" customHeight="false" outlineLevel="0" collapsed="false">
      <c r="A3845" s="0" t="str">
        <f aca="false">IF('הדבקת לידים'!A3845="","",IF(ISNUMBER('הדבקת לידים'!A3845),IF(הגדרות!$E$2&gt;0,TEXT('הדבקת לידים'!A3845,REPT("0",הגדרות!$E$2)),TEXT('הדבקת לידים'!A3845,"0")),TRIM('הדבקת לידים'!A3845)))</f>
        <v/>
      </c>
      <c r="B3845" s="0" t="str">
        <f aca="false">IF('הדבקת לידים'!B3845="","",IF(ISNUMBER('הדבקת לידים'!B3845),IF(הגדרות!$E$3&gt;0,TEXT('הדבקת לידים'!B3845,REPT("0",הגדרות!$E$3)),TEXT('הדבקת לידים'!B3845,"0")),TRIM('הדבקת לידים'!B3845)))</f>
        <v/>
      </c>
      <c r="C3845" s="0" t="n">
        <f aca="false">IF(OR(A3845&lt;&gt;"",B3845&lt;&gt;""),1,0)</f>
        <v>0</v>
      </c>
      <c r="D3845" s="0" t="str">
        <f aca="false">IF(C3845=1,MOD(ABS(SIN(ROW()*12.9898+'הדבקת לידים'!$F$2*78.233+IFERROR(--RIGHT(A3845,6),LEN(A3845))*0.0137+IFERROR(--RIGHT(B3845,6),LEN(B3845))*0.0071))*43758.5453,1),"")</f>
        <v/>
      </c>
      <c r="E3845" s="0" t="str">
        <f aca="false">IF(C3845=1,INT(MOD(ABS(SIN(D3845*7919.123+ROW()*0.618+'הדבקת לידים'!$F$2*1.3))*43758.5453,1)*1000000)*10000+ROW(),"")</f>
        <v/>
      </c>
      <c r="F3845" s="0" t="str">
        <f aca="false">IF(E3845="","",RANK(E3845,$E$2:$E$5001,1))</f>
        <v/>
      </c>
      <c r="G3845" s="0" t="n">
        <f aca="false">IF(A3845="",0,IF(SUMPRODUCT(--($A$2:$A$5001=A3845))&gt;1,1,0))</f>
        <v>0</v>
      </c>
      <c r="H3845" s="0" t="n">
        <f aca="false">ROW()-1</f>
        <v>3844</v>
      </c>
      <c r="I3845" s="0" t="str">
        <f aca="false">IF(OR(הגדרות!$E$6=0,H3845&gt;הגדרות!$E$5),"",IF(H3845-1&lt;הגדרות!$E$8*(הגדרות!$E$7+1),INT((H3845-1)/(הגדרות!$E$7+1)),הגדרות!$E$8+INT((H3845-1-הגדרות!$E$8*(הגדרות!$E$7+1))/הגדרות!$E$7)))</f>
        <v/>
      </c>
      <c r="J3845" s="0" t="str">
        <f aca="false">IF(I3845="","",IF(H3845-1&lt;הגדרות!$E$8*(הגדרות!$E$7+1),MOD(H3845-1,הגדרות!$E$7+1),MOD(H3845-1-הגדרות!$E$8*(הגדרות!$E$7+1),הגדרות!$E$7)))</f>
        <v/>
      </c>
      <c r="K3845" s="0" t="str">
        <f aca="false">IF(I3845="","",J3845*הגדרות!$E$6+I3845+1)</f>
        <v/>
      </c>
      <c r="L3845" s="0" t="str">
        <f aca="false">IF(K3845="","",MATCH(K3845,$F$2:$F$5001,0))</f>
        <v/>
      </c>
      <c r="M3845" s="0" t="str">
        <f aca="false">IF(I3845="","",INDEX(הגדרות!$A$2:$A$21,MOD(I3845+הגדרות!$E$9,הגדרות!$E$6)+1))</f>
        <v/>
      </c>
    </row>
    <row r="3846" customFormat="false" ht="15" hidden="false" customHeight="false" outlineLevel="0" collapsed="false">
      <c r="A3846" s="0" t="str">
        <f aca="false">IF('הדבקת לידים'!A3846="","",IF(ISNUMBER('הדבקת לידים'!A3846),IF(הגדרות!$E$2&gt;0,TEXT('הדבקת לידים'!A3846,REPT("0",הגדרות!$E$2)),TEXT('הדבקת לידים'!A3846,"0")),TRIM('הדבקת לידים'!A3846)))</f>
        <v/>
      </c>
      <c r="B3846" s="0" t="str">
        <f aca="false">IF('הדבקת לידים'!B3846="","",IF(ISNUMBER('הדבקת לידים'!B3846),IF(הגדרות!$E$3&gt;0,TEXT('הדבקת לידים'!B3846,REPT("0",הגדרות!$E$3)),TEXT('הדבקת לידים'!B3846,"0")),TRIM('הדבקת לידים'!B3846)))</f>
        <v/>
      </c>
      <c r="C3846" s="0" t="n">
        <f aca="false">IF(OR(A3846&lt;&gt;"",B3846&lt;&gt;""),1,0)</f>
        <v>0</v>
      </c>
      <c r="D3846" s="0" t="str">
        <f aca="false">IF(C3846=1,MOD(ABS(SIN(ROW()*12.9898+'הדבקת לידים'!$F$2*78.233+IFERROR(--RIGHT(A3846,6),LEN(A3846))*0.0137+IFERROR(--RIGHT(B3846,6),LEN(B3846))*0.0071))*43758.5453,1),"")</f>
        <v/>
      </c>
      <c r="E3846" s="0" t="str">
        <f aca="false">IF(C3846=1,INT(MOD(ABS(SIN(D3846*7919.123+ROW()*0.618+'הדבקת לידים'!$F$2*1.3))*43758.5453,1)*1000000)*10000+ROW(),"")</f>
        <v/>
      </c>
      <c r="F3846" s="0" t="str">
        <f aca="false">IF(E3846="","",RANK(E3846,$E$2:$E$5001,1))</f>
        <v/>
      </c>
      <c r="G3846" s="0" t="n">
        <f aca="false">IF(A3846="",0,IF(SUMPRODUCT(--($A$2:$A$5001=A3846))&gt;1,1,0))</f>
        <v>0</v>
      </c>
      <c r="H3846" s="0" t="n">
        <f aca="false">ROW()-1</f>
        <v>3845</v>
      </c>
      <c r="I3846" s="0" t="str">
        <f aca="false">IF(OR(הגדרות!$E$6=0,H3846&gt;הגדרות!$E$5),"",IF(H3846-1&lt;הגדרות!$E$8*(הגדרות!$E$7+1),INT((H3846-1)/(הגדרות!$E$7+1)),הגדרות!$E$8+INT((H3846-1-הגדרות!$E$8*(הגדרות!$E$7+1))/הגדרות!$E$7)))</f>
        <v/>
      </c>
      <c r="J3846" s="0" t="str">
        <f aca="false">IF(I3846="","",IF(H3846-1&lt;הגדרות!$E$8*(הגדרות!$E$7+1),MOD(H3846-1,הגדרות!$E$7+1),MOD(H3846-1-הגדרות!$E$8*(הגדרות!$E$7+1),הגדרות!$E$7)))</f>
        <v/>
      </c>
      <c r="K3846" s="0" t="str">
        <f aca="false">IF(I3846="","",J3846*הגדרות!$E$6+I3846+1)</f>
        <v/>
      </c>
      <c r="L3846" s="0" t="str">
        <f aca="false">IF(K3846="","",MATCH(K3846,$F$2:$F$5001,0))</f>
        <v/>
      </c>
      <c r="M3846" s="0" t="str">
        <f aca="false">IF(I3846="","",INDEX(הגדרות!$A$2:$A$21,MOD(I3846+הגדרות!$E$9,הגדרות!$E$6)+1))</f>
        <v/>
      </c>
    </row>
    <row r="3847" customFormat="false" ht="15" hidden="false" customHeight="false" outlineLevel="0" collapsed="false">
      <c r="A3847" s="0" t="str">
        <f aca="false">IF('הדבקת לידים'!A3847="","",IF(ISNUMBER('הדבקת לידים'!A3847),IF(הגדרות!$E$2&gt;0,TEXT('הדבקת לידים'!A3847,REPT("0",הגדרות!$E$2)),TEXT('הדבקת לידים'!A3847,"0")),TRIM('הדבקת לידים'!A3847)))</f>
        <v/>
      </c>
      <c r="B3847" s="0" t="str">
        <f aca="false">IF('הדבקת לידים'!B3847="","",IF(ISNUMBER('הדבקת לידים'!B3847),IF(הגדרות!$E$3&gt;0,TEXT('הדבקת לידים'!B3847,REPT("0",הגדרות!$E$3)),TEXT('הדבקת לידים'!B3847,"0")),TRIM('הדבקת לידים'!B3847)))</f>
        <v/>
      </c>
      <c r="C3847" s="0" t="n">
        <f aca="false">IF(OR(A3847&lt;&gt;"",B3847&lt;&gt;""),1,0)</f>
        <v>0</v>
      </c>
      <c r="D3847" s="0" t="str">
        <f aca="false">IF(C3847=1,MOD(ABS(SIN(ROW()*12.9898+'הדבקת לידים'!$F$2*78.233+IFERROR(--RIGHT(A3847,6),LEN(A3847))*0.0137+IFERROR(--RIGHT(B3847,6),LEN(B3847))*0.0071))*43758.5453,1),"")</f>
        <v/>
      </c>
      <c r="E3847" s="0" t="str">
        <f aca="false">IF(C3847=1,INT(MOD(ABS(SIN(D3847*7919.123+ROW()*0.618+'הדבקת לידים'!$F$2*1.3))*43758.5453,1)*1000000)*10000+ROW(),"")</f>
        <v/>
      </c>
      <c r="F3847" s="0" t="str">
        <f aca="false">IF(E3847="","",RANK(E3847,$E$2:$E$5001,1))</f>
        <v/>
      </c>
      <c r="G3847" s="0" t="n">
        <f aca="false">IF(A3847="",0,IF(SUMPRODUCT(--($A$2:$A$5001=A3847))&gt;1,1,0))</f>
        <v>0</v>
      </c>
      <c r="H3847" s="0" t="n">
        <f aca="false">ROW()-1</f>
        <v>3846</v>
      </c>
      <c r="I3847" s="0" t="str">
        <f aca="false">IF(OR(הגדרות!$E$6=0,H3847&gt;הגדרות!$E$5),"",IF(H3847-1&lt;הגדרות!$E$8*(הגדרות!$E$7+1),INT((H3847-1)/(הגדרות!$E$7+1)),הגדרות!$E$8+INT((H3847-1-הגדרות!$E$8*(הגדרות!$E$7+1))/הגדרות!$E$7)))</f>
        <v/>
      </c>
      <c r="J3847" s="0" t="str">
        <f aca="false">IF(I3847="","",IF(H3847-1&lt;הגדרות!$E$8*(הגדרות!$E$7+1),MOD(H3847-1,הגדרות!$E$7+1),MOD(H3847-1-הגדרות!$E$8*(הגדרות!$E$7+1),הגדרות!$E$7)))</f>
        <v/>
      </c>
      <c r="K3847" s="0" t="str">
        <f aca="false">IF(I3847="","",J3847*הגדרות!$E$6+I3847+1)</f>
        <v/>
      </c>
      <c r="L3847" s="0" t="str">
        <f aca="false">IF(K3847="","",MATCH(K3847,$F$2:$F$5001,0))</f>
        <v/>
      </c>
      <c r="M3847" s="0" t="str">
        <f aca="false">IF(I3847="","",INDEX(הגדרות!$A$2:$A$21,MOD(I3847+הגדרות!$E$9,הגדרות!$E$6)+1))</f>
        <v/>
      </c>
    </row>
    <row r="3848" customFormat="false" ht="15" hidden="false" customHeight="false" outlineLevel="0" collapsed="false">
      <c r="A3848" s="0" t="str">
        <f aca="false">IF('הדבקת לידים'!A3848="","",IF(ISNUMBER('הדבקת לידים'!A3848),IF(הגדרות!$E$2&gt;0,TEXT('הדבקת לידים'!A3848,REPT("0",הגדרות!$E$2)),TEXT('הדבקת לידים'!A3848,"0")),TRIM('הדבקת לידים'!A3848)))</f>
        <v/>
      </c>
      <c r="B3848" s="0" t="str">
        <f aca="false">IF('הדבקת לידים'!B3848="","",IF(ISNUMBER('הדבקת לידים'!B3848),IF(הגדרות!$E$3&gt;0,TEXT('הדבקת לידים'!B3848,REPT("0",הגדרות!$E$3)),TEXT('הדבקת לידים'!B3848,"0")),TRIM('הדבקת לידים'!B3848)))</f>
        <v/>
      </c>
      <c r="C3848" s="0" t="n">
        <f aca="false">IF(OR(A3848&lt;&gt;"",B3848&lt;&gt;""),1,0)</f>
        <v>0</v>
      </c>
      <c r="D3848" s="0" t="str">
        <f aca="false">IF(C3848=1,MOD(ABS(SIN(ROW()*12.9898+'הדבקת לידים'!$F$2*78.233+IFERROR(--RIGHT(A3848,6),LEN(A3848))*0.0137+IFERROR(--RIGHT(B3848,6),LEN(B3848))*0.0071))*43758.5453,1),"")</f>
        <v/>
      </c>
      <c r="E3848" s="0" t="str">
        <f aca="false">IF(C3848=1,INT(MOD(ABS(SIN(D3848*7919.123+ROW()*0.618+'הדבקת לידים'!$F$2*1.3))*43758.5453,1)*1000000)*10000+ROW(),"")</f>
        <v/>
      </c>
      <c r="F3848" s="0" t="str">
        <f aca="false">IF(E3848="","",RANK(E3848,$E$2:$E$5001,1))</f>
        <v/>
      </c>
      <c r="G3848" s="0" t="n">
        <f aca="false">IF(A3848="",0,IF(SUMPRODUCT(--($A$2:$A$5001=A3848))&gt;1,1,0))</f>
        <v>0</v>
      </c>
      <c r="H3848" s="0" t="n">
        <f aca="false">ROW()-1</f>
        <v>3847</v>
      </c>
      <c r="I3848" s="0" t="str">
        <f aca="false">IF(OR(הגדרות!$E$6=0,H3848&gt;הגדרות!$E$5),"",IF(H3848-1&lt;הגדרות!$E$8*(הגדרות!$E$7+1),INT((H3848-1)/(הגדרות!$E$7+1)),הגדרות!$E$8+INT((H3848-1-הגדרות!$E$8*(הגדרות!$E$7+1))/הגדרות!$E$7)))</f>
        <v/>
      </c>
      <c r="J3848" s="0" t="str">
        <f aca="false">IF(I3848="","",IF(H3848-1&lt;הגדרות!$E$8*(הגדרות!$E$7+1),MOD(H3848-1,הגדרות!$E$7+1),MOD(H3848-1-הגדרות!$E$8*(הגדרות!$E$7+1),הגדרות!$E$7)))</f>
        <v/>
      </c>
      <c r="K3848" s="0" t="str">
        <f aca="false">IF(I3848="","",J3848*הגדרות!$E$6+I3848+1)</f>
        <v/>
      </c>
      <c r="L3848" s="0" t="str">
        <f aca="false">IF(K3848="","",MATCH(K3848,$F$2:$F$5001,0))</f>
        <v/>
      </c>
      <c r="M3848" s="0" t="str">
        <f aca="false">IF(I3848="","",INDEX(הגדרות!$A$2:$A$21,MOD(I3848+הגדרות!$E$9,הגדרות!$E$6)+1))</f>
        <v/>
      </c>
    </row>
    <row r="3849" customFormat="false" ht="15" hidden="false" customHeight="false" outlineLevel="0" collapsed="false">
      <c r="A3849" s="0" t="str">
        <f aca="false">IF('הדבקת לידים'!A3849="","",IF(ISNUMBER('הדבקת לידים'!A3849),IF(הגדרות!$E$2&gt;0,TEXT('הדבקת לידים'!A3849,REPT("0",הגדרות!$E$2)),TEXT('הדבקת לידים'!A3849,"0")),TRIM('הדבקת לידים'!A3849)))</f>
        <v/>
      </c>
      <c r="B3849" s="0" t="str">
        <f aca="false">IF('הדבקת לידים'!B3849="","",IF(ISNUMBER('הדבקת לידים'!B3849),IF(הגדרות!$E$3&gt;0,TEXT('הדבקת לידים'!B3849,REPT("0",הגדרות!$E$3)),TEXT('הדבקת לידים'!B3849,"0")),TRIM('הדבקת לידים'!B3849)))</f>
        <v/>
      </c>
      <c r="C3849" s="0" t="n">
        <f aca="false">IF(OR(A3849&lt;&gt;"",B3849&lt;&gt;""),1,0)</f>
        <v>0</v>
      </c>
      <c r="D3849" s="0" t="str">
        <f aca="false">IF(C3849=1,MOD(ABS(SIN(ROW()*12.9898+'הדבקת לידים'!$F$2*78.233+IFERROR(--RIGHT(A3849,6),LEN(A3849))*0.0137+IFERROR(--RIGHT(B3849,6),LEN(B3849))*0.0071))*43758.5453,1),"")</f>
        <v/>
      </c>
      <c r="E3849" s="0" t="str">
        <f aca="false">IF(C3849=1,INT(MOD(ABS(SIN(D3849*7919.123+ROW()*0.618+'הדבקת לידים'!$F$2*1.3))*43758.5453,1)*1000000)*10000+ROW(),"")</f>
        <v/>
      </c>
      <c r="F3849" s="0" t="str">
        <f aca="false">IF(E3849="","",RANK(E3849,$E$2:$E$5001,1))</f>
        <v/>
      </c>
      <c r="G3849" s="0" t="n">
        <f aca="false">IF(A3849="",0,IF(SUMPRODUCT(--($A$2:$A$5001=A3849))&gt;1,1,0))</f>
        <v>0</v>
      </c>
      <c r="H3849" s="0" t="n">
        <f aca="false">ROW()-1</f>
        <v>3848</v>
      </c>
      <c r="I3849" s="0" t="str">
        <f aca="false">IF(OR(הגדרות!$E$6=0,H3849&gt;הגדרות!$E$5),"",IF(H3849-1&lt;הגדרות!$E$8*(הגדרות!$E$7+1),INT((H3849-1)/(הגדרות!$E$7+1)),הגדרות!$E$8+INT((H3849-1-הגדרות!$E$8*(הגדרות!$E$7+1))/הגדרות!$E$7)))</f>
        <v/>
      </c>
      <c r="J3849" s="0" t="str">
        <f aca="false">IF(I3849="","",IF(H3849-1&lt;הגדרות!$E$8*(הגדרות!$E$7+1),MOD(H3849-1,הגדרות!$E$7+1),MOD(H3849-1-הגדרות!$E$8*(הגדרות!$E$7+1),הגדרות!$E$7)))</f>
        <v/>
      </c>
      <c r="K3849" s="0" t="str">
        <f aca="false">IF(I3849="","",J3849*הגדרות!$E$6+I3849+1)</f>
        <v/>
      </c>
      <c r="L3849" s="0" t="str">
        <f aca="false">IF(K3849="","",MATCH(K3849,$F$2:$F$5001,0))</f>
        <v/>
      </c>
      <c r="M3849" s="0" t="str">
        <f aca="false">IF(I3849="","",INDEX(הגדרות!$A$2:$A$21,MOD(I3849+הגדרות!$E$9,הגדרות!$E$6)+1))</f>
        <v/>
      </c>
    </row>
    <row r="3850" customFormat="false" ht="15" hidden="false" customHeight="false" outlineLevel="0" collapsed="false">
      <c r="A3850" s="0" t="str">
        <f aca="false">IF('הדבקת לידים'!A3850="","",IF(ISNUMBER('הדבקת לידים'!A3850),IF(הגדרות!$E$2&gt;0,TEXT('הדבקת לידים'!A3850,REPT("0",הגדרות!$E$2)),TEXT('הדבקת לידים'!A3850,"0")),TRIM('הדבקת לידים'!A3850)))</f>
        <v/>
      </c>
      <c r="B3850" s="0" t="str">
        <f aca="false">IF('הדבקת לידים'!B3850="","",IF(ISNUMBER('הדבקת לידים'!B3850),IF(הגדרות!$E$3&gt;0,TEXT('הדבקת לידים'!B3850,REPT("0",הגדרות!$E$3)),TEXT('הדבקת לידים'!B3850,"0")),TRIM('הדבקת לידים'!B3850)))</f>
        <v/>
      </c>
      <c r="C3850" s="0" t="n">
        <f aca="false">IF(OR(A3850&lt;&gt;"",B3850&lt;&gt;""),1,0)</f>
        <v>0</v>
      </c>
      <c r="D3850" s="0" t="str">
        <f aca="false">IF(C3850=1,MOD(ABS(SIN(ROW()*12.9898+'הדבקת לידים'!$F$2*78.233+IFERROR(--RIGHT(A3850,6),LEN(A3850))*0.0137+IFERROR(--RIGHT(B3850,6),LEN(B3850))*0.0071))*43758.5453,1),"")</f>
        <v/>
      </c>
      <c r="E3850" s="0" t="str">
        <f aca="false">IF(C3850=1,INT(MOD(ABS(SIN(D3850*7919.123+ROW()*0.618+'הדבקת לידים'!$F$2*1.3))*43758.5453,1)*1000000)*10000+ROW(),"")</f>
        <v/>
      </c>
      <c r="F3850" s="0" t="str">
        <f aca="false">IF(E3850="","",RANK(E3850,$E$2:$E$5001,1))</f>
        <v/>
      </c>
      <c r="G3850" s="0" t="n">
        <f aca="false">IF(A3850="",0,IF(SUMPRODUCT(--($A$2:$A$5001=A3850))&gt;1,1,0))</f>
        <v>0</v>
      </c>
      <c r="H3850" s="0" t="n">
        <f aca="false">ROW()-1</f>
        <v>3849</v>
      </c>
      <c r="I3850" s="0" t="str">
        <f aca="false">IF(OR(הגדרות!$E$6=0,H3850&gt;הגדרות!$E$5),"",IF(H3850-1&lt;הגדרות!$E$8*(הגדרות!$E$7+1),INT((H3850-1)/(הגדרות!$E$7+1)),הגדרות!$E$8+INT((H3850-1-הגדרות!$E$8*(הגדרות!$E$7+1))/הגדרות!$E$7)))</f>
        <v/>
      </c>
      <c r="J3850" s="0" t="str">
        <f aca="false">IF(I3850="","",IF(H3850-1&lt;הגדרות!$E$8*(הגדרות!$E$7+1),MOD(H3850-1,הגדרות!$E$7+1),MOD(H3850-1-הגדרות!$E$8*(הגדרות!$E$7+1),הגדרות!$E$7)))</f>
        <v/>
      </c>
      <c r="K3850" s="0" t="str">
        <f aca="false">IF(I3850="","",J3850*הגדרות!$E$6+I3850+1)</f>
        <v/>
      </c>
      <c r="L3850" s="0" t="str">
        <f aca="false">IF(K3850="","",MATCH(K3850,$F$2:$F$5001,0))</f>
        <v/>
      </c>
      <c r="M3850" s="0" t="str">
        <f aca="false">IF(I3850="","",INDEX(הגדרות!$A$2:$A$21,MOD(I3850+הגדרות!$E$9,הגדרות!$E$6)+1))</f>
        <v/>
      </c>
    </row>
    <row r="3851" customFormat="false" ht="15" hidden="false" customHeight="false" outlineLevel="0" collapsed="false">
      <c r="A3851" s="0" t="str">
        <f aca="false">IF('הדבקת לידים'!A3851="","",IF(ISNUMBER('הדבקת לידים'!A3851),IF(הגדרות!$E$2&gt;0,TEXT('הדבקת לידים'!A3851,REPT("0",הגדרות!$E$2)),TEXT('הדבקת לידים'!A3851,"0")),TRIM('הדבקת לידים'!A3851)))</f>
        <v/>
      </c>
      <c r="B3851" s="0" t="str">
        <f aca="false">IF('הדבקת לידים'!B3851="","",IF(ISNUMBER('הדבקת לידים'!B3851),IF(הגדרות!$E$3&gt;0,TEXT('הדבקת לידים'!B3851,REPT("0",הגדרות!$E$3)),TEXT('הדבקת לידים'!B3851,"0")),TRIM('הדבקת לידים'!B3851)))</f>
        <v/>
      </c>
      <c r="C3851" s="0" t="n">
        <f aca="false">IF(OR(A3851&lt;&gt;"",B3851&lt;&gt;""),1,0)</f>
        <v>0</v>
      </c>
      <c r="D3851" s="0" t="str">
        <f aca="false">IF(C3851=1,MOD(ABS(SIN(ROW()*12.9898+'הדבקת לידים'!$F$2*78.233+IFERROR(--RIGHT(A3851,6),LEN(A3851))*0.0137+IFERROR(--RIGHT(B3851,6),LEN(B3851))*0.0071))*43758.5453,1),"")</f>
        <v/>
      </c>
      <c r="E3851" s="0" t="str">
        <f aca="false">IF(C3851=1,INT(MOD(ABS(SIN(D3851*7919.123+ROW()*0.618+'הדבקת לידים'!$F$2*1.3))*43758.5453,1)*1000000)*10000+ROW(),"")</f>
        <v/>
      </c>
      <c r="F3851" s="0" t="str">
        <f aca="false">IF(E3851="","",RANK(E3851,$E$2:$E$5001,1))</f>
        <v/>
      </c>
      <c r="G3851" s="0" t="n">
        <f aca="false">IF(A3851="",0,IF(SUMPRODUCT(--($A$2:$A$5001=A3851))&gt;1,1,0))</f>
        <v>0</v>
      </c>
      <c r="H3851" s="0" t="n">
        <f aca="false">ROW()-1</f>
        <v>3850</v>
      </c>
      <c r="I3851" s="0" t="str">
        <f aca="false">IF(OR(הגדרות!$E$6=0,H3851&gt;הגדרות!$E$5),"",IF(H3851-1&lt;הגדרות!$E$8*(הגדרות!$E$7+1),INT((H3851-1)/(הגדרות!$E$7+1)),הגדרות!$E$8+INT((H3851-1-הגדרות!$E$8*(הגדרות!$E$7+1))/הגדרות!$E$7)))</f>
        <v/>
      </c>
      <c r="J3851" s="0" t="str">
        <f aca="false">IF(I3851="","",IF(H3851-1&lt;הגדרות!$E$8*(הגדרות!$E$7+1),MOD(H3851-1,הגדרות!$E$7+1),MOD(H3851-1-הגדרות!$E$8*(הגדרות!$E$7+1),הגדרות!$E$7)))</f>
        <v/>
      </c>
      <c r="K3851" s="0" t="str">
        <f aca="false">IF(I3851="","",J3851*הגדרות!$E$6+I3851+1)</f>
        <v/>
      </c>
      <c r="L3851" s="0" t="str">
        <f aca="false">IF(K3851="","",MATCH(K3851,$F$2:$F$5001,0))</f>
        <v/>
      </c>
      <c r="M3851" s="0" t="str">
        <f aca="false">IF(I3851="","",INDEX(הגדרות!$A$2:$A$21,MOD(I3851+הגדרות!$E$9,הגדרות!$E$6)+1))</f>
        <v/>
      </c>
    </row>
    <row r="3852" customFormat="false" ht="15" hidden="false" customHeight="false" outlineLevel="0" collapsed="false">
      <c r="A3852" s="0" t="str">
        <f aca="false">IF('הדבקת לידים'!A3852="","",IF(ISNUMBER('הדבקת לידים'!A3852),IF(הגדרות!$E$2&gt;0,TEXT('הדבקת לידים'!A3852,REPT("0",הגדרות!$E$2)),TEXT('הדבקת לידים'!A3852,"0")),TRIM('הדבקת לידים'!A3852)))</f>
        <v/>
      </c>
      <c r="B3852" s="0" t="str">
        <f aca="false">IF('הדבקת לידים'!B3852="","",IF(ISNUMBER('הדבקת לידים'!B3852),IF(הגדרות!$E$3&gt;0,TEXT('הדבקת לידים'!B3852,REPT("0",הגדרות!$E$3)),TEXT('הדבקת לידים'!B3852,"0")),TRIM('הדבקת לידים'!B3852)))</f>
        <v/>
      </c>
      <c r="C3852" s="0" t="n">
        <f aca="false">IF(OR(A3852&lt;&gt;"",B3852&lt;&gt;""),1,0)</f>
        <v>0</v>
      </c>
      <c r="D3852" s="0" t="str">
        <f aca="false">IF(C3852=1,MOD(ABS(SIN(ROW()*12.9898+'הדבקת לידים'!$F$2*78.233+IFERROR(--RIGHT(A3852,6),LEN(A3852))*0.0137+IFERROR(--RIGHT(B3852,6),LEN(B3852))*0.0071))*43758.5453,1),"")</f>
        <v/>
      </c>
      <c r="E3852" s="0" t="str">
        <f aca="false">IF(C3852=1,INT(MOD(ABS(SIN(D3852*7919.123+ROW()*0.618+'הדבקת לידים'!$F$2*1.3))*43758.5453,1)*1000000)*10000+ROW(),"")</f>
        <v/>
      </c>
      <c r="F3852" s="0" t="str">
        <f aca="false">IF(E3852="","",RANK(E3852,$E$2:$E$5001,1))</f>
        <v/>
      </c>
      <c r="G3852" s="0" t="n">
        <f aca="false">IF(A3852="",0,IF(SUMPRODUCT(--($A$2:$A$5001=A3852))&gt;1,1,0))</f>
        <v>0</v>
      </c>
      <c r="H3852" s="0" t="n">
        <f aca="false">ROW()-1</f>
        <v>3851</v>
      </c>
      <c r="I3852" s="0" t="str">
        <f aca="false">IF(OR(הגדרות!$E$6=0,H3852&gt;הגדרות!$E$5),"",IF(H3852-1&lt;הגדרות!$E$8*(הגדרות!$E$7+1),INT((H3852-1)/(הגדרות!$E$7+1)),הגדרות!$E$8+INT((H3852-1-הגדרות!$E$8*(הגדרות!$E$7+1))/הגדרות!$E$7)))</f>
        <v/>
      </c>
      <c r="J3852" s="0" t="str">
        <f aca="false">IF(I3852="","",IF(H3852-1&lt;הגדרות!$E$8*(הגדרות!$E$7+1),MOD(H3852-1,הגדרות!$E$7+1),MOD(H3852-1-הגדרות!$E$8*(הגדרות!$E$7+1),הגדרות!$E$7)))</f>
        <v/>
      </c>
      <c r="K3852" s="0" t="str">
        <f aca="false">IF(I3852="","",J3852*הגדרות!$E$6+I3852+1)</f>
        <v/>
      </c>
      <c r="L3852" s="0" t="str">
        <f aca="false">IF(K3852="","",MATCH(K3852,$F$2:$F$5001,0))</f>
        <v/>
      </c>
      <c r="M3852" s="0" t="str">
        <f aca="false">IF(I3852="","",INDEX(הגדרות!$A$2:$A$21,MOD(I3852+הגדרות!$E$9,הגדרות!$E$6)+1))</f>
        <v/>
      </c>
    </row>
    <row r="3853" customFormat="false" ht="15" hidden="false" customHeight="false" outlineLevel="0" collapsed="false">
      <c r="A3853" s="0" t="str">
        <f aca="false">IF('הדבקת לידים'!A3853="","",IF(ISNUMBER('הדבקת לידים'!A3853),IF(הגדרות!$E$2&gt;0,TEXT('הדבקת לידים'!A3853,REPT("0",הגדרות!$E$2)),TEXT('הדבקת לידים'!A3853,"0")),TRIM('הדבקת לידים'!A3853)))</f>
        <v/>
      </c>
      <c r="B3853" s="0" t="str">
        <f aca="false">IF('הדבקת לידים'!B3853="","",IF(ISNUMBER('הדבקת לידים'!B3853),IF(הגדרות!$E$3&gt;0,TEXT('הדבקת לידים'!B3853,REPT("0",הגדרות!$E$3)),TEXT('הדבקת לידים'!B3853,"0")),TRIM('הדבקת לידים'!B3853)))</f>
        <v/>
      </c>
      <c r="C3853" s="0" t="n">
        <f aca="false">IF(OR(A3853&lt;&gt;"",B3853&lt;&gt;""),1,0)</f>
        <v>0</v>
      </c>
      <c r="D3853" s="0" t="str">
        <f aca="false">IF(C3853=1,MOD(ABS(SIN(ROW()*12.9898+'הדבקת לידים'!$F$2*78.233+IFERROR(--RIGHT(A3853,6),LEN(A3853))*0.0137+IFERROR(--RIGHT(B3853,6),LEN(B3853))*0.0071))*43758.5453,1),"")</f>
        <v/>
      </c>
      <c r="E3853" s="0" t="str">
        <f aca="false">IF(C3853=1,INT(MOD(ABS(SIN(D3853*7919.123+ROW()*0.618+'הדבקת לידים'!$F$2*1.3))*43758.5453,1)*1000000)*10000+ROW(),"")</f>
        <v/>
      </c>
      <c r="F3853" s="0" t="str">
        <f aca="false">IF(E3853="","",RANK(E3853,$E$2:$E$5001,1))</f>
        <v/>
      </c>
      <c r="G3853" s="0" t="n">
        <f aca="false">IF(A3853="",0,IF(SUMPRODUCT(--($A$2:$A$5001=A3853))&gt;1,1,0))</f>
        <v>0</v>
      </c>
      <c r="H3853" s="0" t="n">
        <f aca="false">ROW()-1</f>
        <v>3852</v>
      </c>
      <c r="I3853" s="0" t="str">
        <f aca="false">IF(OR(הגדרות!$E$6=0,H3853&gt;הגדרות!$E$5),"",IF(H3853-1&lt;הגדרות!$E$8*(הגדרות!$E$7+1),INT((H3853-1)/(הגדרות!$E$7+1)),הגדרות!$E$8+INT((H3853-1-הגדרות!$E$8*(הגדרות!$E$7+1))/הגדרות!$E$7)))</f>
        <v/>
      </c>
      <c r="J3853" s="0" t="str">
        <f aca="false">IF(I3853="","",IF(H3853-1&lt;הגדרות!$E$8*(הגדרות!$E$7+1),MOD(H3853-1,הגדרות!$E$7+1),MOD(H3853-1-הגדרות!$E$8*(הגדרות!$E$7+1),הגדרות!$E$7)))</f>
        <v/>
      </c>
      <c r="K3853" s="0" t="str">
        <f aca="false">IF(I3853="","",J3853*הגדרות!$E$6+I3853+1)</f>
        <v/>
      </c>
      <c r="L3853" s="0" t="str">
        <f aca="false">IF(K3853="","",MATCH(K3853,$F$2:$F$5001,0))</f>
        <v/>
      </c>
      <c r="M3853" s="0" t="str">
        <f aca="false">IF(I3853="","",INDEX(הגדרות!$A$2:$A$21,MOD(I3853+הגדרות!$E$9,הגדרות!$E$6)+1))</f>
        <v/>
      </c>
    </row>
    <row r="3854" customFormat="false" ht="15" hidden="false" customHeight="false" outlineLevel="0" collapsed="false">
      <c r="A3854" s="0" t="str">
        <f aca="false">IF('הדבקת לידים'!A3854="","",IF(ISNUMBER('הדבקת לידים'!A3854),IF(הגדרות!$E$2&gt;0,TEXT('הדבקת לידים'!A3854,REPT("0",הגדרות!$E$2)),TEXT('הדבקת לידים'!A3854,"0")),TRIM('הדבקת לידים'!A3854)))</f>
        <v/>
      </c>
      <c r="B3854" s="0" t="str">
        <f aca="false">IF('הדבקת לידים'!B3854="","",IF(ISNUMBER('הדבקת לידים'!B3854),IF(הגדרות!$E$3&gt;0,TEXT('הדבקת לידים'!B3854,REPT("0",הגדרות!$E$3)),TEXT('הדבקת לידים'!B3854,"0")),TRIM('הדבקת לידים'!B3854)))</f>
        <v/>
      </c>
      <c r="C3854" s="0" t="n">
        <f aca="false">IF(OR(A3854&lt;&gt;"",B3854&lt;&gt;""),1,0)</f>
        <v>0</v>
      </c>
      <c r="D3854" s="0" t="str">
        <f aca="false">IF(C3854=1,MOD(ABS(SIN(ROW()*12.9898+'הדבקת לידים'!$F$2*78.233+IFERROR(--RIGHT(A3854,6),LEN(A3854))*0.0137+IFERROR(--RIGHT(B3854,6),LEN(B3854))*0.0071))*43758.5453,1),"")</f>
        <v/>
      </c>
      <c r="E3854" s="0" t="str">
        <f aca="false">IF(C3854=1,INT(MOD(ABS(SIN(D3854*7919.123+ROW()*0.618+'הדבקת לידים'!$F$2*1.3))*43758.5453,1)*1000000)*10000+ROW(),"")</f>
        <v/>
      </c>
      <c r="F3854" s="0" t="str">
        <f aca="false">IF(E3854="","",RANK(E3854,$E$2:$E$5001,1))</f>
        <v/>
      </c>
      <c r="G3854" s="0" t="n">
        <f aca="false">IF(A3854="",0,IF(SUMPRODUCT(--($A$2:$A$5001=A3854))&gt;1,1,0))</f>
        <v>0</v>
      </c>
      <c r="H3854" s="0" t="n">
        <f aca="false">ROW()-1</f>
        <v>3853</v>
      </c>
      <c r="I3854" s="0" t="str">
        <f aca="false">IF(OR(הגדרות!$E$6=0,H3854&gt;הגדרות!$E$5),"",IF(H3854-1&lt;הגדרות!$E$8*(הגדרות!$E$7+1),INT((H3854-1)/(הגדרות!$E$7+1)),הגדרות!$E$8+INT((H3854-1-הגדרות!$E$8*(הגדרות!$E$7+1))/הגדרות!$E$7)))</f>
        <v/>
      </c>
      <c r="J3854" s="0" t="str">
        <f aca="false">IF(I3854="","",IF(H3854-1&lt;הגדרות!$E$8*(הגדרות!$E$7+1),MOD(H3854-1,הגדרות!$E$7+1),MOD(H3854-1-הגדרות!$E$8*(הגדרות!$E$7+1),הגדרות!$E$7)))</f>
        <v/>
      </c>
      <c r="K3854" s="0" t="str">
        <f aca="false">IF(I3854="","",J3854*הגדרות!$E$6+I3854+1)</f>
        <v/>
      </c>
      <c r="L3854" s="0" t="str">
        <f aca="false">IF(K3854="","",MATCH(K3854,$F$2:$F$5001,0))</f>
        <v/>
      </c>
      <c r="M3854" s="0" t="str">
        <f aca="false">IF(I3854="","",INDEX(הגדרות!$A$2:$A$21,MOD(I3854+הגדרות!$E$9,הגדרות!$E$6)+1))</f>
        <v/>
      </c>
    </row>
    <row r="3855" customFormat="false" ht="15" hidden="false" customHeight="false" outlineLevel="0" collapsed="false">
      <c r="A3855" s="0" t="str">
        <f aca="false">IF('הדבקת לידים'!A3855="","",IF(ISNUMBER('הדבקת לידים'!A3855),IF(הגדרות!$E$2&gt;0,TEXT('הדבקת לידים'!A3855,REPT("0",הגדרות!$E$2)),TEXT('הדבקת לידים'!A3855,"0")),TRIM('הדבקת לידים'!A3855)))</f>
        <v/>
      </c>
      <c r="B3855" s="0" t="str">
        <f aca="false">IF('הדבקת לידים'!B3855="","",IF(ISNUMBER('הדבקת לידים'!B3855),IF(הגדרות!$E$3&gt;0,TEXT('הדבקת לידים'!B3855,REPT("0",הגדרות!$E$3)),TEXT('הדבקת לידים'!B3855,"0")),TRIM('הדבקת לידים'!B3855)))</f>
        <v/>
      </c>
      <c r="C3855" s="0" t="n">
        <f aca="false">IF(OR(A3855&lt;&gt;"",B3855&lt;&gt;""),1,0)</f>
        <v>0</v>
      </c>
      <c r="D3855" s="0" t="str">
        <f aca="false">IF(C3855=1,MOD(ABS(SIN(ROW()*12.9898+'הדבקת לידים'!$F$2*78.233+IFERROR(--RIGHT(A3855,6),LEN(A3855))*0.0137+IFERROR(--RIGHT(B3855,6),LEN(B3855))*0.0071))*43758.5453,1),"")</f>
        <v/>
      </c>
      <c r="E3855" s="0" t="str">
        <f aca="false">IF(C3855=1,INT(MOD(ABS(SIN(D3855*7919.123+ROW()*0.618+'הדבקת לידים'!$F$2*1.3))*43758.5453,1)*1000000)*10000+ROW(),"")</f>
        <v/>
      </c>
      <c r="F3855" s="0" t="str">
        <f aca="false">IF(E3855="","",RANK(E3855,$E$2:$E$5001,1))</f>
        <v/>
      </c>
      <c r="G3855" s="0" t="n">
        <f aca="false">IF(A3855="",0,IF(SUMPRODUCT(--($A$2:$A$5001=A3855))&gt;1,1,0))</f>
        <v>0</v>
      </c>
      <c r="H3855" s="0" t="n">
        <f aca="false">ROW()-1</f>
        <v>3854</v>
      </c>
      <c r="I3855" s="0" t="str">
        <f aca="false">IF(OR(הגדרות!$E$6=0,H3855&gt;הגדרות!$E$5),"",IF(H3855-1&lt;הגדרות!$E$8*(הגדרות!$E$7+1),INT((H3855-1)/(הגדרות!$E$7+1)),הגדרות!$E$8+INT((H3855-1-הגדרות!$E$8*(הגדרות!$E$7+1))/הגדרות!$E$7)))</f>
        <v/>
      </c>
      <c r="J3855" s="0" t="str">
        <f aca="false">IF(I3855="","",IF(H3855-1&lt;הגדרות!$E$8*(הגדרות!$E$7+1),MOD(H3855-1,הגדרות!$E$7+1),MOD(H3855-1-הגדרות!$E$8*(הגדרות!$E$7+1),הגדרות!$E$7)))</f>
        <v/>
      </c>
      <c r="K3855" s="0" t="str">
        <f aca="false">IF(I3855="","",J3855*הגדרות!$E$6+I3855+1)</f>
        <v/>
      </c>
      <c r="L3855" s="0" t="str">
        <f aca="false">IF(K3855="","",MATCH(K3855,$F$2:$F$5001,0))</f>
        <v/>
      </c>
      <c r="M3855" s="0" t="str">
        <f aca="false">IF(I3855="","",INDEX(הגדרות!$A$2:$A$21,MOD(I3855+הגדרות!$E$9,הגדרות!$E$6)+1))</f>
        <v/>
      </c>
    </row>
    <row r="3856" customFormat="false" ht="15" hidden="false" customHeight="false" outlineLevel="0" collapsed="false">
      <c r="A3856" s="0" t="str">
        <f aca="false">IF('הדבקת לידים'!A3856="","",IF(ISNUMBER('הדבקת לידים'!A3856),IF(הגדרות!$E$2&gt;0,TEXT('הדבקת לידים'!A3856,REPT("0",הגדרות!$E$2)),TEXT('הדבקת לידים'!A3856,"0")),TRIM('הדבקת לידים'!A3856)))</f>
        <v/>
      </c>
      <c r="B3856" s="0" t="str">
        <f aca="false">IF('הדבקת לידים'!B3856="","",IF(ISNUMBER('הדבקת לידים'!B3856),IF(הגדרות!$E$3&gt;0,TEXT('הדבקת לידים'!B3856,REPT("0",הגדרות!$E$3)),TEXT('הדבקת לידים'!B3856,"0")),TRIM('הדבקת לידים'!B3856)))</f>
        <v/>
      </c>
      <c r="C3856" s="0" t="n">
        <f aca="false">IF(OR(A3856&lt;&gt;"",B3856&lt;&gt;""),1,0)</f>
        <v>0</v>
      </c>
      <c r="D3856" s="0" t="str">
        <f aca="false">IF(C3856=1,MOD(ABS(SIN(ROW()*12.9898+'הדבקת לידים'!$F$2*78.233+IFERROR(--RIGHT(A3856,6),LEN(A3856))*0.0137+IFERROR(--RIGHT(B3856,6),LEN(B3856))*0.0071))*43758.5453,1),"")</f>
        <v/>
      </c>
      <c r="E3856" s="0" t="str">
        <f aca="false">IF(C3856=1,INT(MOD(ABS(SIN(D3856*7919.123+ROW()*0.618+'הדבקת לידים'!$F$2*1.3))*43758.5453,1)*1000000)*10000+ROW(),"")</f>
        <v/>
      </c>
      <c r="F3856" s="0" t="str">
        <f aca="false">IF(E3856="","",RANK(E3856,$E$2:$E$5001,1))</f>
        <v/>
      </c>
      <c r="G3856" s="0" t="n">
        <f aca="false">IF(A3856="",0,IF(SUMPRODUCT(--($A$2:$A$5001=A3856))&gt;1,1,0))</f>
        <v>0</v>
      </c>
      <c r="H3856" s="0" t="n">
        <f aca="false">ROW()-1</f>
        <v>3855</v>
      </c>
      <c r="I3856" s="0" t="str">
        <f aca="false">IF(OR(הגדרות!$E$6=0,H3856&gt;הגדרות!$E$5),"",IF(H3856-1&lt;הגדרות!$E$8*(הגדרות!$E$7+1),INT((H3856-1)/(הגדרות!$E$7+1)),הגדרות!$E$8+INT((H3856-1-הגדרות!$E$8*(הגדרות!$E$7+1))/הגדרות!$E$7)))</f>
        <v/>
      </c>
      <c r="J3856" s="0" t="str">
        <f aca="false">IF(I3856="","",IF(H3856-1&lt;הגדרות!$E$8*(הגדרות!$E$7+1),MOD(H3856-1,הגדרות!$E$7+1),MOD(H3856-1-הגדרות!$E$8*(הגדרות!$E$7+1),הגדרות!$E$7)))</f>
        <v/>
      </c>
      <c r="K3856" s="0" t="str">
        <f aca="false">IF(I3856="","",J3856*הגדרות!$E$6+I3856+1)</f>
        <v/>
      </c>
      <c r="L3856" s="0" t="str">
        <f aca="false">IF(K3856="","",MATCH(K3856,$F$2:$F$5001,0))</f>
        <v/>
      </c>
      <c r="M3856" s="0" t="str">
        <f aca="false">IF(I3856="","",INDEX(הגדרות!$A$2:$A$21,MOD(I3856+הגדרות!$E$9,הגדרות!$E$6)+1))</f>
        <v/>
      </c>
    </row>
    <row r="3857" customFormat="false" ht="15" hidden="false" customHeight="false" outlineLevel="0" collapsed="false">
      <c r="A3857" s="0" t="str">
        <f aca="false">IF('הדבקת לידים'!A3857="","",IF(ISNUMBER('הדבקת לידים'!A3857),IF(הגדרות!$E$2&gt;0,TEXT('הדבקת לידים'!A3857,REPT("0",הגדרות!$E$2)),TEXT('הדבקת לידים'!A3857,"0")),TRIM('הדבקת לידים'!A3857)))</f>
        <v/>
      </c>
      <c r="B3857" s="0" t="str">
        <f aca="false">IF('הדבקת לידים'!B3857="","",IF(ISNUMBER('הדבקת לידים'!B3857),IF(הגדרות!$E$3&gt;0,TEXT('הדבקת לידים'!B3857,REPT("0",הגדרות!$E$3)),TEXT('הדבקת לידים'!B3857,"0")),TRIM('הדבקת לידים'!B3857)))</f>
        <v/>
      </c>
      <c r="C3857" s="0" t="n">
        <f aca="false">IF(OR(A3857&lt;&gt;"",B3857&lt;&gt;""),1,0)</f>
        <v>0</v>
      </c>
      <c r="D3857" s="0" t="str">
        <f aca="false">IF(C3857=1,MOD(ABS(SIN(ROW()*12.9898+'הדבקת לידים'!$F$2*78.233+IFERROR(--RIGHT(A3857,6),LEN(A3857))*0.0137+IFERROR(--RIGHT(B3857,6),LEN(B3857))*0.0071))*43758.5453,1),"")</f>
        <v/>
      </c>
      <c r="E3857" s="0" t="str">
        <f aca="false">IF(C3857=1,INT(MOD(ABS(SIN(D3857*7919.123+ROW()*0.618+'הדבקת לידים'!$F$2*1.3))*43758.5453,1)*1000000)*10000+ROW(),"")</f>
        <v/>
      </c>
      <c r="F3857" s="0" t="str">
        <f aca="false">IF(E3857="","",RANK(E3857,$E$2:$E$5001,1))</f>
        <v/>
      </c>
      <c r="G3857" s="0" t="n">
        <f aca="false">IF(A3857="",0,IF(SUMPRODUCT(--($A$2:$A$5001=A3857))&gt;1,1,0))</f>
        <v>0</v>
      </c>
      <c r="H3857" s="0" t="n">
        <f aca="false">ROW()-1</f>
        <v>3856</v>
      </c>
      <c r="I3857" s="0" t="str">
        <f aca="false">IF(OR(הגדרות!$E$6=0,H3857&gt;הגדרות!$E$5),"",IF(H3857-1&lt;הגדרות!$E$8*(הגדרות!$E$7+1),INT((H3857-1)/(הגדרות!$E$7+1)),הגדרות!$E$8+INT((H3857-1-הגדרות!$E$8*(הגדרות!$E$7+1))/הגדרות!$E$7)))</f>
        <v/>
      </c>
      <c r="J3857" s="0" t="str">
        <f aca="false">IF(I3857="","",IF(H3857-1&lt;הגדרות!$E$8*(הגדרות!$E$7+1),MOD(H3857-1,הגדרות!$E$7+1),MOD(H3857-1-הגדרות!$E$8*(הגדרות!$E$7+1),הגדרות!$E$7)))</f>
        <v/>
      </c>
      <c r="K3857" s="0" t="str">
        <f aca="false">IF(I3857="","",J3857*הגדרות!$E$6+I3857+1)</f>
        <v/>
      </c>
      <c r="L3857" s="0" t="str">
        <f aca="false">IF(K3857="","",MATCH(K3857,$F$2:$F$5001,0))</f>
        <v/>
      </c>
      <c r="M3857" s="0" t="str">
        <f aca="false">IF(I3857="","",INDEX(הגדרות!$A$2:$A$21,MOD(I3857+הגדרות!$E$9,הגדרות!$E$6)+1))</f>
        <v/>
      </c>
    </row>
    <row r="3858" customFormat="false" ht="15" hidden="false" customHeight="false" outlineLevel="0" collapsed="false">
      <c r="A3858" s="0" t="str">
        <f aca="false">IF('הדבקת לידים'!A3858="","",IF(ISNUMBER('הדבקת לידים'!A3858),IF(הגדרות!$E$2&gt;0,TEXT('הדבקת לידים'!A3858,REPT("0",הגדרות!$E$2)),TEXT('הדבקת לידים'!A3858,"0")),TRIM('הדבקת לידים'!A3858)))</f>
        <v/>
      </c>
      <c r="B3858" s="0" t="str">
        <f aca="false">IF('הדבקת לידים'!B3858="","",IF(ISNUMBER('הדבקת לידים'!B3858),IF(הגדרות!$E$3&gt;0,TEXT('הדבקת לידים'!B3858,REPT("0",הגדרות!$E$3)),TEXT('הדבקת לידים'!B3858,"0")),TRIM('הדבקת לידים'!B3858)))</f>
        <v/>
      </c>
      <c r="C3858" s="0" t="n">
        <f aca="false">IF(OR(A3858&lt;&gt;"",B3858&lt;&gt;""),1,0)</f>
        <v>0</v>
      </c>
      <c r="D3858" s="0" t="str">
        <f aca="false">IF(C3858=1,MOD(ABS(SIN(ROW()*12.9898+'הדבקת לידים'!$F$2*78.233+IFERROR(--RIGHT(A3858,6),LEN(A3858))*0.0137+IFERROR(--RIGHT(B3858,6),LEN(B3858))*0.0071))*43758.5453,1),"")</f>
        <v/>
      </c>
      <c r="E3858" s="0" t="str">
        <f aca="false">IF(C3858=1,INT(MOD(ABS(SIN(D3858*7919.123+ROW()*0.618+'הדבקת לידים'!$F$2*1.3))*43758.5453,1)*1000000)*10000+ROW(),"")</f>
        <v/>
      </c>
      <c r="F3858" s="0" t="str">
        <f aca="false">IF(E3858="","",RANK(E3858,$E$2:$E$5001,1))</f>
        <v/>
      </c>
      <c r="G3858" s="0" t="n">
        <f aca="false">IF(A3858="",0,IF(SUMPRODUCT(--($A$2:$A$5001=A3858))&gt;1,1,0))</f>
        <v>0</v>
      </c>
      <c r="H3858" s="0" t="n">
        <f aca="false">ROW()-1</f>
        <v>3857</v>
      </c>
      <c r="I3858" s="0" t="str">
        <f aca="false">IF(OR(הגדרות!$E$6=0,H3858&gt;הגדרות!$E$5),"",IF(H3858-1&lt;הגדרות!$E$8*(הגדרות!$E$7+1),INT((H3858-1)/(הגדרות!$E$7+1)),הגדרות!$E$8+INT((H3858-1-הגדרות!$E$8*(הגדרות!$E$7+1))/הגדרות!$E$7)))</f>
        <v/>
      </c>
      <c r="J3858" s="0" t="str">
        <f aca="false">IF(I3858="","",IF(H3858-1&lt;הגדרות!$E$8*(הגדרות!$E$7+1),MOD(H3858-1,הגדרות!$E$7+1),MOD(H3858-1-הגדרות!$E$8*(הגדרות!$E$7+1),הגדרות!$E$7)))</f>
        <v/>
      </c>
      <c r="K3858" s="0" t="str">
        <f aca="false">IF(I3858="","",J3858*הגדרות!$E$6+I3858+1)</f>
        <v/>
      </c>
      <c r="L3858" s="0" t="str">
        <f aca="false">IF(K3858="","",MATCH(K3858,$F$2:$F$5001,0))</f>
        <v/>
      </c>
      <c r="M3858" s="0" t="str">
        <f aca="false">IF(I3858="","",INDEX(הגדרות!$A$2:$A$21,MOD(I3858+הגדרות!$E$9,הגדרות!$E$6)+1))</f>
        <v/>
      </c>
    </row>
    <row r="3859" customFormat="false" ht="15" hidden="false" customHeight="false" outlineLevel="0" collapsed="false">
      <c r="A3859" s="0" t="str">
        <f aca="false">IF('הדבקת לידים'!A3859="","",IF(ISNUMBER('הדבקת לידים'!A3859),IF(הגדרות!$E$2&gt;0,TEXT('הדבקת לידים'!A3859,REPT("0",הגדרות!$E$2)),TEXT('הדבקת לידים'!A3859,"0")),TRIM('הדבקת לידים'!A3859)))</f>
        <v/>
      </c>
      <c r="B3859" s="0" t="str">
        <f aca="false">IF('הדבקת לידים'!B3859="","",IF(ISNUMBER('הדבקת לידים'!B3859),IF(הגדרות!$E$3&gt;0,TEXT('הדבקת לידים'!B3859,REPT("0",הגדרות!$E$3)),TEXT('הדבקת לידים'!B3859,"0")),TRIM('הדבקת לידים'!B3859)))</f>
        <v/>
      </c>
      <c r="C3859" s="0" t="n">
        <f aca="false">IF(OR(A3859&lt;&gt;"",B3859&lt;&gt;""),1,0)</f>
        <v>0</v>
      </c>
      <c r="D3859" s="0" t="str">
        <f aca="false">IF(C3859=1,MOD(ABS(SIN(ROW()*12.9898+'הדבקת לידים'!$F$2*78.233+IFERROR(--RIGHT(A3859,6),LEN(A3859))*0.0137+IFERROR(--RIGHT(B3859,6),LEN(B3859))*0.0071))*43758.5453,1),"")</f>
        <v/>
      </c>
      <c r="E3859" s="0" t="str">
        <f aca="false">IF(C3859=1,INT(MOD(ABS(SIN(D3859*7919.123+ROW()*0.618+'הדבקת לידים'!$F$2*1.3))*43758.5453,1)*1000000)*10000+ROW(),"")</f>
        <v/>
      </c>
      <c r="F3859" s="0" t="str">
        <f aca="false">IF(E3859="","",RANK(E3859,$E$2:$E$5001,1))</f>
        <v/>
      </c>
      <c r="G3859" s="0" t="n">
        <f aca="false">IF(A3859="",0,IF(SUMPRODUCT(--($A$2:$A$5001=A3859))&gt;1,1,0))</f>
        <v>0</v>
      </c>
      <c r="H3859" s="0" t="n">
        <f aca="false">ROW()-1</f>
        <v>3858</v>
      </c>
      <c r="I3859" s="0" t="str">
        <f aca="false">IF(OR(הגדרות!$E$6=0,H3859&gt;הגדרות!$E$5),"",IF(H3859-1&lt;הגדרות!$E$8*(הגדרות!$E$7+1),INT((H3859-1)/(הגדרות!$E$7+1)),הגדרות!$E$8+INT((H3859-1-הגדרות!$E$8*(הגדרות!$E$7+1))/הגדרות!$E$7)))</f>
        <v/>
      </c>
      <c r="J3859" s="0" t="str">
        <f aca="false">IF(I3859="","",IF(H3859-1&lt;הגדרות!$E$8*(הגדרות!$E$7+1),MOD(H3859-1,הגדרות!$E$7+1),MOD(H3859-1-הגדרות!$E$8*(הגדרות!$E$7+1),הגדרות!$E$7)))</f>
        <v/>
      </c>
      <c r="K3859" s="0" t="str">
        <f aca="false">IF(I3859="","",J3859*הגדרות!$E$6+I3859+1)</f>
        <v/>
      </c>
      <c r="L3859" s="0" t="str">
        <f aca="false">IF(K3859="","",MATCH(K3859,$F$2:$F$5001,0))</f>
        <v/>
      </c>
      <c r="M3859" s="0" t="str">
        <f aca="false">IF(I3859="","",INDEX(הגדרות!$A$2:$A$21,MOD(I3859+הגדרות!$E$9,הגדרות!$E$6)+1))</f>
        <v/>
      </c>
    </row>
    <row r="3860" customFormat="false" ht="15" hidden="false" customHeight="false" outlineLevel="0" collapsed="false">
      <c r="A3860" s="0" t="str">
        <f aca="false">IF('הדבקת לידים'!A3860="","",IF(ISNUMBER('הדבקת לידים'!A3860),IF(הגדרות!$E$2&gt;0,TEXT('הדבקת לידים'!A3860,REPT("0",הגדרות!$E$2)),TEXT('הדבקת לידים'!A3860,"0")),TRIM('הדבקת לידים'!A3860)))</f>
        <v/>
      </c>
      <c r="B3860" s="0" t="str">
        <f aca="false">IF('הדבקת לידים'!B3860="","",IF(ISNUMBER('הדבקת לידים'!B3860),IF(הגדרות!$E$3&gt;0,TEXT('הדבקת לידים'!B3860,REPT("0",הגדרות!$E$3)),TEXT('הדבקת לידים'!B3860,"0")),TRIM('הדבקת לידים'!B3860)))</f>
        <v/>
      </c>
      <c r="C3860" s="0" t="n">
        <f aca="false">IF(OR(A3860&lt;&gt;"",B3860&lt;&gt;""),1,0)</f>
        <v>0</v>
      </c>
      <c r="D3860" s="0" t="str">
        <f aca="false">IF(C3860=1,MOD(ABS(SIN(ROW()*12.9898+'הדבקת לידים'!$F$2*78.233+IFERROR(--RIGHT(A3860,6),LEN(A3860))*0.0137+IFERROR(--RIGHT(B3860,6),LEN(B3860))*0.0071))*43758.5453,1),"")</f>
        <v/>
      </c>
      <c r="E3860" s="0" t="str">
        <f aca="false">IF(C3860=1,INT(MOD(ABS(SIN(D3860*7919.123+ROW()*0.618+'הדבקת לידים'!$F$2*1.3))*43758.5453,1)*1000000)*10000+ROW(),"")</f>
        <v/>
      </c>
      <c r="F3860" s="0" t="str">
        <f aca="false">IF(E3860="","",RANK(E3860,$E$2:$E$5001,1))</f>
        <v/>
      </c>
      <c r="G3860" s="0" t="n">
        <f aca="false">IF(A3860="",0,IF(SUMPRODUCT(--($A$2:$A$5001=A3860))&gt;1,1,0))</f>
        <v>0</v>
      </c>
      <c r="H3860" s="0" t="n">
        <f aca="false">ROW()-1</f>
        <v>3859</v>
      </c>
      <c r="I3860" s="0" t="str">
        <f aca="false">IF(OR(הגדרות!$E$6=0,H3860&gt;הגדרות!$E$5),"",IF(H3860-1&lt;הגדרות!$E$8*(הגדרות!$E$7+1),INT((H3860-1)/(הגדרות!$E$7+1)),הגדרות!$E$8+INT((H3860-1-הגדרות!$E$8*(הגדרות!$E$7+1))/הגדרות!$E$7)))</f>
        <v/>
      </c>
      <c r="J3860" s="0" t="str">
        <f aca="false">IF(I3860="","",IF(H3860-1&lt;הגדרות!$E$8*(הגדרות!$E$7+1),MOD(H3860-1,הגדרות!$E$7+1),MOD(H3860-1-הגדרות!$E$8*(הגדרות!$E$7+1),הגדרות!$E$7)))</f>
        <v/>
      </c>
      <c r="K3860" s="0" t="str">
        <f aca="false">IF(I3860="","",J3860*הגדרות!$E$6+I3860+1)</f>
        <v/>
      </c>
      <c r="L3860" s="0" t="str">
        <f aca="false">IF(K3860="","",MATCH(K3860,$F$2:$F$5001,0))</f>
        <v/>
      </c>
      <c r="M3860" s="0" t="str">
        <f aca="false">IF(I3860="","",INDEX(הגדרות!$A$2:$A$21,MOD(I3860+הגדרות!$E$9,הגדרות!$E$6)+1))</f>
        <v/>
      </c>
    </row>
    <row r="3861" customFormat="false" ht="15" hidden="false" customHeight="false" outlineLevel="0" collapsed="false">
      <c r="A3861" s="0" t="str">
        <f aca="false">IF('הדבקת לידים'!A3861="","",IF(ISNUMBER('הדבקת לידים'!A3861),IF(הגדרות!$E$2&gt;0,TEXT('הדבקת לידים'!A3861,REPT("0",הגדרות!$E$2)),TEXT('הדבקת לידים'!A3861,"0")),TRIM('הדבקת לידים'!A3861)))</f>
        <v/>
      </c>
      <c r="B3861" s="0" t="str">
        <f aca="false">IF('הדבקת לידים'!B3861="","",IF(ISNUMBER('הדבקת לידים'!B3861),IF(הגדרות!$E$3&gt;0,TEXT('הדבקת לידים'!B3861,REPT("0",הגדרות!$E$3)),TEXT('הדבקת לידים'!B3861,"0")),TRIM('הדבקת לידים'!B3861)))</f>
        <v/>
      </c>
      <c r="C3861" s="0" t="n">
        <f aca="false">IF(OR(A3861&lt;&gt;"",B3861&lt;&gt;""),1,0)</f>
        <v>0</v>
      </c>
      <c r="D3861" s="0" t="str">
        <f aca="false">IF(C3861=1,MOD(ABS(SIN(ROW()*12.9898+'הדבקת לידים'!$F$2*78.233+IFERROR(--RIGHT(A3861,6),LEN(A3861))*0.0137+IFERROR(--RIGHT(B3861,6),LEN(B3861))*0.0071))*43758.5453,1),"")</f>
        <v/>
      </c>
      <c r="E3861" s="0" t="str">
        <f aca="false">IF(C3861=1,INT(MOD(ABS(SIN(D3861*7919.123+ROW()*0.618+'הדבקת לידים'!$F$2*1.3))*43758.5453,1)*1000000)*10000+ROW(),"")</f>
        <v/>
      </c>
      <c r="F3861" s="0" t="str">
        <f aca="false">IF(E3861="","",RANK(E3861,$E$2:$E$5001,1))</f>
        <v/>
      </c>
      <c r="G3861" s="0" t="n">
        <f aca="false">IF(A3861="",0,IF(SUMPRODUCT(--($A$2:$A$5001=A3861))&gt;1,1,0))</f>
        <v>0</v>
      </c>
      <c r="H3861" s="0" t="n">
        <f aca="false">ROW()-1</f>
        <v>3860</v>
      </c>
      <c r="I3861" s="0" t="str">
        <f aca="false">IF(OR(הגדרות!$E$6=0,H3861&gt;הגדרות!$E$5),"",IF(H3861-1&lt;הגדרות!$E$8*(הגדרות!$E$7+1),INT((H3861-1)/(הגדרות!$E$7+1)),הגדרות!$E$8+INT((H3861-1-הגדרות!$E$8*(הגדרות!$E$7+1))/הגדרות!$E$7)))</f>
        <v/>
      </c>
      <c r="J3861" s="0" t="str">
        <f aca="false">IF(I3861="","",IF(H3861-1&lt;הגדרות!$E$8*(הגדרות!$E$7+1),MOD(H3861-1,הגדרות!$E$7+1),MOD(H3861-1-הגדרות!$E$8*(הגדרות!$E$7+1),הגדרות!$E$7)))</f>
        <v/>
      </c>
      <c r="K3861" s="0" t="str">
        <f aca="false">IF(I3861="","",J3861*הגדרות!$E$6+I3861+1)</f>
        <v/>
      </c>
      <c r="L3861" s="0" t="str">
        <f aca="false">IF(K3861="","",MATCH(K3861,$F$2:$F$5001,0))</f>
        <v/>
      </c>
      <c r="M3861" s="0" t="str">
        <f aca="false">IF(I3861="","",INDEX(הגדרות!$A$2:$A$21,MOD(I3861+הגדרות!$E$9,הגדרות!$E$6)+1))</f>
        <v/>
      </c>
    </row>
    <row r="3862" customFormat="false" ht="15" hidden="false" customHeight="false" outlineLevel="0" collapsed="false">
      <c r="A3862" s="0" t="str">
        <f aca="false">IF('הדבקת לידים'!A3862="","",IF(ISNUMBER('הדבקת לידים'!A3862),IF(הגדרות!$E$2&gt;0,TEXT('הדבקת לידים'!A3862,REPT("0",הגדרות!$E$2)),TEXT('הדבקת לידים'!A3862,"0")),TRIM('הדבקת לידים'!A3862)))</f>
        <v/>
      </c>
      <c r="B3862" s="0" t="str">
        <f aca="false">IF('הדבקת לידים'!B3862="","",IF(ISNUMBER('הדבקת לידים'!B3862),IF(הגדרות!$E$3&gt;0,TEXT('הדבקת לידים'!B3862,REPT("0",הגדרות!$E$3)),TEXT('הדבקת לידים'!B3862,"0")),TRIM('הדבקת לידים'!B3862)))</f>
        <v/>
      </c>
      <c r="C3862" s="0" t="n">
        <f aca="false">IF(OR(A3862&lt;&gt;"",B3862&lt;&gt;""),1,0)</f>
        <v>0</v>
      </c>
      <c r="D3862" s="0" t="str">
        <f aca="false">IF(C3862=1,MOD(ABS(SIN(ROW()*12.9898+'הדבקת לידים'!$F$2*78.233+IFERROR(--RIGHT(A3862,6),LEN(A3862))*0.0137+IFERROR(--RIGHT(B3862,6),LEN(B3862))*0.0071))*43758.5453,1),"")</f>
        <v/>
      </c>
      <c r="E3862" s="0" t="str">
        <f aca="false">IF(C3862=1,INT(MOD(ABS(SIN(D3862*7919.123+ROW()*0.618+'הדבקת לידים'!$F$2*1.3))*43758.5453,1)*1000000)*10000+ROW(),"")</f>
        <v/>
      </c>
      <c r="F3862" s="0" t="str">
        <f aca="false">IF(E3862="","",RANK(E3862,$E$2:$E$5001,1))</f>
        <v/>
      </c>
      <c r="G3862" s="0" t="n">
        <f aca="false">IF(A3862="",0,IF(SUMPRODUCT(--($A$2:$A$5001=A3862))&gt;1,1,0))</f>
        <v>0</v>
      </c>
      <c r="H3862" s="0" t="n">
        <f aca="false">ROW()-1</f>
        <v>3861</v>
      </c>
      <c r="I3862" s="0" t="str">
        <f aca="false">IF(OR(הגדרות!$E$6=0,H3862&gt;הגדרות!$E$5),"",IF(H3862-1&lt;הגדרות!$E$8*(הגדרות!$E$7+1),INT((H3862-1)/(הגדרות!$E$7+1)),הגדרות!$E$8+INT((H3862-1-הגדרות!$E$8*(הגדרות!$E$7+1))/הגדרות!$E$7)))</f>
        <v/>
      </c>
      <c r="J3862" s="0" t="str">
        <f aca="false">IF(I3862="","",IF(H3862-1&lt;הגדרות!$E$8*(הגדרות!$E$7+1),MOD(H3862-1,הגדרות!$E$7+1),MOD(H3862-1-הגדרות!$E$8*(הגדרות!$E$7+1),הגדרות!$E$7)))</f>
        <v/>
      </c>
      <c r="K3862" s="0" t="str">
        <f aca="false">IF(I3862="","",J3862*הגדרות!$E$6+I3862+1)</f>
        <v/>
      </c>
      <c r="L3862" s="0" t="str">
        <f aca="false">IF(K3862="","",MATCH(K3862,$F$2:$F$5001,0))</f>
        <v/>
      </c>
      <c r="M3862" s="0" t="str">
        <f aca="false">IF(I3862="","",INDEX(הגדרות!$A$2:$A$21,MOD(I3862+הגדרות!$E$9,הגדרות!$E$6)+1))</f>
        <v/>
      </c>
    </row>
    <row r="3863" customFormat="false" ht="15" hidden="false" customHeight="false" outlineLevel="0" collapsed="false">
      <c r="A3863" s="0" t="str">
        <f aca="false">IF('הדבקת לידים'!A3863="","",IF(ISNUMBER('הדבקת לידים'!A3863),IF(הגדרות!$E$2&gt;0,TEXT('הדבקת לידים'!A3863,REPT("0",הגדרות!$E$2)),TEXT('הדבקת לידים'!A3863,"0")),TRIM('הדבקת לידים'!A3863)))</f>
        <v/>
      </c>
      <c r="B3863" s="0" t="str">
        <f aca="false">IF('הדבקת לידים'!B3863="","",IF(ISNUMBER('הדבקת לידים'!B3863),IF(הגדרות!$E$3&gt;0,TEXT('הדבקת לידים'!B3863,REPT("0",הגדרות!$E$3)),TEXT('הדבקת לידים'!B3863,"0")),TRIM('הדבקת לידים'!B3863)))</f>
        <v/>
      </c>
      <c r="C3863" s="0" t="n">
        <f aca="false">IF(OR(A3863&lt;&gt;"",B3863&lt;&gt;""),1,0)</f>
        <v>0</v>
      </c>
      <c r="D3863" s="0" t="str">
        <f aca="false">IF(C3863=1,MOD(ABS(SIN(ROW()*12.9898+'הדבקת לידים'!$F$2*78.233+IFERROR(--RIGHT(A3863,6),LEN(A3863))*0.0137+IFERROR(--RIGHT(B3863,6),LEN(B3863))*0.0071))*43758.5453,1),"")</f>
        <v/>
      </c>
      <c r="E3863" s="0" t="str">
        <f aca="false">IF(C3863=1,INT(MOD(ABS(SIN(D3863*7919.123+ROW()*0.618+'הדבקת לידים'!$F$2*1.3))*43758.5453,1)*1000000)*10000+ROW(),"")</f>
        <v/>
      </c>
      <c r="F3863" s="0" t="str">
        <f aca="false">IF(E3863="","",RANK(E3863,$E$2:$E$5001,1))</f>
        <v/>
      </c>
      <c r="G3863" s="0" t="n">
        <f aca="false">IF(A3863="",0,IF(SUMPRODUCT(--($A$2:$A$5001=A3863))&gt;1,1,0))</f>
        <v>0</v>
      </c>
      <c r="H3863" s="0" t="n">
        <f aca="false">ROW()-1</f>
        <v>3862</v>
      </c>
      <c r="I3863" s="0" t="str">
        <f aca="false">IF(OR(הגדרות!$E$6=0,H3863&gt;הגדרות!$E$5),"",IF(H3863-1&lt;הגדרות!$E$8*(הגדרות!$E$7+1),INT((H3863-1)/(הגדרות!$E$7+1)),הגדרות!$E$8+INT((H3863-1-הגדרות!$E$8*(הגדרות!$E$7+1))/הגדרות!$E$7)))</f>
        <v/>
      </c>
      <c r="J3863" s="0" t="str">
        <f aca="false">IF(I3863="","",IF(H3863-1&lt;הגדרות!$E$8*(הגדרות!$E$7+1),MOD(H3863-1,הגדרות!$E$7+1),MOD(H3863-1-הגדרות!$E$8*(הגדרות!$E$7+1),הגדרות!$E$7)))</f>
        <v/>
      </c>
      <c r="K3863" s="0" t="str">
        <f aca="false">IF(I3863="","",J3863*הגדרות!$E$6+I3863+1)</f>
        <v/>
      </c>
      <c r="L3863" s="0" t="str">
        <f aca="false">IF(K3863="","",MATCH(K3863,$F$2:$F$5001,0))</f>
        <v/>
      </c>
      <c r="M3863" s="0" t="str">
        <f aca="false">IF(I3863="","",INDEX(הגדרות!$A$2:$A$21,MOD(I3863+הגדרות!$E$9,הגדרות!$E$6)+1))</f>
        <v/>
      </c>
    </row>
    <row r="3864" customFormat="false" ht="15" hidden="false" customHeight="false" outlineLevel="0" collapsed="false">
      <c r="A3864" s="0" t="str">
        <f aca="false">IF('הדבקת לידים'!A3864="","",IF(ISNUMBER('הדבקת לידים'!A3864),IF(הגדרות!$E$2&gt;0,TEXT('הדבקת לידים'!A3864,REPT("0",הגדרות!$E$2)),TEXT('הדבקת לידים'!A3864,"0")),TRIM('הדבקת לידים'!A3864)))</f>
        <v/>
      </c>
      <c r="B3864" s="0" t="str">
        <f aca="false">IF('הדבקת לידים'!B3864="","",IF(ISNUMBER('הדבקת לידים'!B3864),IF(הגדרות!$E$3&gt;0,TEXT('הדבקת לידים'!B3864,REPT("0",הגדרות!$E$3)),TEXT('הדבקת לידים'!B3864,"0")),TRIM('הדבקת לידים'!B3864)))</f>
        <v/>
      </c>
      <c r="C3864" s="0" t="n">
        <f aca="false">IF(OR(A3864&lt;&gt;"",B3864&lt;&gt;""),1,0)</f>
        <v>0</v>
      </c>
      <c r="D3864" s="0" t="str">
        <f aca="false">IF(C3864=1,MOD(ABS(SIN(ROW()*12.9898+'הדבקת לידים'!$F$2*78.233+IFERROR(--RIGHT(A3864,6),LEN(A3864))*0.0137+IFERROR(--RIGHT(B3864,6),LEN(B3864))*0.0071))*43758.5453,1),"")</f>
        <v/>
      </c>
      <c r="E3864" s="0" t="str">
        <f aca="false">IF(C3864=1,INT(MOD(ABS(SIN(D3864*7919.123+ROW()*0.618+'הדבקת לידים'!$F$2*1.3))*43758.5453,1)*1000000)*10000+ROW(),"")</f>
        <v/>
      </c>
      <c r="F3864" s="0" t="str">
        <f aca="false">IF(E3864="","",RANK(E3864,$E$2:$E$5001,1))</f>
        <v/>
      </c>
      <c r="G3864" s="0" t="n">
        <f aca="false">IF(A3864="",0,IF(SUMPRODUCT(--($A$2:$A$5001=A3864))&gt;1,1,0))</f>
        <v>0</v>
      </c>
      <c r="H3864" s="0" t="n">
        <f aca="false">ROW()-1</f>
        <v>3863</v>
      </c>
      <c r="I3864" s="0" t="str">
        <f aca="false">IF(OR(הגדרות!$E$6=0,H3864&gt;הגדרות!$E$5),"",IF(H3864-1&lt;הגדרות!$E$8*(הגדרות!$E$7+1),INT((H3864-1)/(הגדרות!$E$7+1)),הגדרות!$E$8+INT((H3864-1-הגדרות!$E$8*(הגדרות!$E$7+1))/הגדרות!$E$7)))</f>
        <v/>
      </c>
      <c r="J3864" s="0" t="str">
        <f aca="false">IF(I3864="","",IF(H3864-1&lt;הגדרות!$E$8*(הגדרות!$E$7+1),MOD(H3864-1,הגדרות!$E$7+1),MOD(H3864-1-הגדרות!$E$8*(הגדרות!$E$7+1),הגדרות!$E$7)))</f>
        <v/>
      </c>
      <c r="K3864" s="0" t="str">
        <f aca="false">IF(I3864="","",J3864*הגדרות!$E$6+I3864+1)</f>
        <v/>
      </c>
      <c r="L3864" s="0" t="str">
        <f aca="false">IF(K3864="","",MATCH(K3864,$F$2:$F$5001,0))</f>
        <v/>
      </c>
      <c r="M3864" s="0" t="str">
        <f aca="false">IF(I3864="","",INDEX(הגדרות!$A$2:$A$21,MOD(I3864+הגדרות!$E$9,הגדרות!$E$6)+1))</f>
        <v/>
      </c>
    </row>
    <row r="3865" customFormat="false" ht="15" hidden="false" customHeight="false" outlineLevel="0" collapsed="false">
      <c r="A3865" s="0" t="str">
        <f aca="false">IF('הדבקת לידים'!A3865="","",IF(ISNUMBER('הדבקת לידים'!A3865),IF(הגדרות!$E$2&gt;0,TEXT('הדבקת לידים'!A3865,REPT("0",הגדרות!$E$2)),TEXT('הדבקת לידים'!A3865,"0")),TRIM('הדבקת לידים'!A3865)))</f>
        <v/>
      </c>
      <c r="B3865" s="0" t="str">
        <f aca="false">IF('הדבקת לידים'!B3865="","",IF(ISNUMBER('הדבקת לידים'!B3865),IF(הגדרות!$E$3&gt;0,TEXT('הדבקת לידים'!B3865,REPT("0",הגדרות!$E$3)),TEXT('הדבקת לידים'!B3865,"0")),TRIM('הדבקת לידים'!B3865)))</f>
        <v/>
      </c>
      <c r="C3865" s="0" t="n">
        <f aca="false">IF(OR(A3865&lt;&gt;"",B3865&lt;&gt;""),1,0)</f>
        <v>0</v>
      </c>
      <c r="D3865" s="0" t="str">
        <f aca="false">IF(C3865=1,MOD(ABS(SIN(ROW()*12.9898+'הדבקת לידים'!$F$2*78.233+IFERROR(--RIGHT(A3865,6),LEN(A3865))*0.0137+IFERROR(--RIGHT(B3865,6),LEN(B3865))*0.0071))*43758.5453,1),"")</f>
        <v/>
      </c>
      <c r="E3865" s="0" t="str">
        <f aca="false">IF(C3865=1,INT(MOD(ABS(SIN(D3865*7919.123+ROW()*0.618+'הדבקת לידים'!$F$2*1.3))*43758.5453,1)*1000000)*10000+ROW(),"")</f>
        <v/>
      </c>
      <c r="F3865" s="0" t="str">
        <f aca="false">IF(E3865="","",RANK(E3865,$E$2:$E$5001,1))</f>
        <v/>
      </c>
      <c r="G3865" s="0" t="n">
        <f aca="false">IF(A3865="",0,IF(SUMPRODUCT(--($A$2:$A$5001=A3865))&gt;1,1,0))</f>
        <v>0</v>
      </c>
      <c r="H3865" s="0" t="n">
        <f aca="false">ROW()-1</f>
        <v>3864</v>
      </c>
      <c r="I3865" s="0" t="str">
        <f aca="false">IF(OR(הגדרות!$E$6=0,H3865&gt;הגדרות!$E$5),"",IF(H3865-1&lt;הגדרות!$E$8*(הגדרות!$E$7+1),INT((H3865-1)/(הגדרות!$E$7+1)),הגדרות!$E$8+INT((H3865-1-הגדרות!$E$8*(הגדרות!$E$7+1))/הגדרות!$E$7)))</f>
        <v/>
      </c>
      <c r="J3865" s="0" t="str">
        <f aca="false">IF(I3865="","",IF(H3865-1&lt;הגדרות!$E$8*(הגדרות!$E$7+1),MOD(H3865-1,הגדרות!$E$7+1),MOD(H3865-1-הגדרות!$E$8*(הגדרות!$E$7+1),הגדרות!$E$7)))</f>
        <v/>
      </c>
      <c r="K3865" s="0" t="str">
        <f aca="false">IF(I3865="","",J3865*הגדרות!$E$6+I3865+1)</f>
        <v/>
      </c>
      <c r="L3865" s="0" t="str">
        <f aca="false">IF(K3865="","",MATCH(K3865,$F$2:$F$5001,0))</f>
        <v/>
      </c>
      <c r="M3865" s="0" t="str">
        <f aca="false">IF(I3865="","",INDEX(הגדרות!$A$2:$A$21,MOD(I3865+הגדרות!$E$9,הגדרות!$E$6)+1))</f>
        <v/>
      </c>
    </row>
    <row r="3866" customFormat="false" ht="15" hidden="false" customHeight="false" outlineLevel="0" collapsed="false">
      <c r="A3866" s="0" t="str">
        <f aca="false">IF('הדבקת לידים'!A3866="","",IF(ISNUMBER('הדבקת לידים'!A3866),IF(הגדרות!$E$2&gt;0,TEXT('הדבקת לידים'!A3866,REPT("0",הגדרות!$E$2)),TEXT('הדבקת לידים'!A3866,"0")),TRIM('הדבקת לידים'!A3866)))</f>
        <v/>
      </c>
      <c r="B3866" s="0" t="str">
        <f aca="false">IF('הדבקת לידים'!B3866="","",IF(ISNUMBER('הדבקת לידים'!B3866),IF(הגדרות!$E$3&gt;0,TEXT('הדבקת לידים'!B3866,REPT("0",הגדרות!$E$3)),TEXT('הדבקת לידים'!B3866,"0")),TRIM('הדבקת לידים'!B3866)))</f>
        <v/>
      </c>
      <c r="C3866" s="0" t="n">
        <f aca="false">IF(OR(A3866&lt;&gt;"",B3866&lt;&gt;""),1,0)</f>
        <v>0</v>
      </c>
      <c r="D3866" s="0" t="str">
        <f aca="false">IF(C3866=1,MOD(ABS(SIN(ROW()*12.9898+'הדבקת לידים'!$F$2*78.233+IFERROR(--RIGHT(A3866,6),LEN(A3866))*0.0137+IFERROR(--RIGHT(B3866,6),LEN(B3866))*0.0071))*43758.5453,1),"")</f>
        <v/>
      </c>
      <c r="E3866" s="0" t="str">
        <f aca="false">IF(C3866=1,INT(MOD(ABS(SIN(D3866*7919.123+ROW()*0.618+'הדבקת לידים'!$F$2*1.3))*43758.5453,1)*1000000)*10000+ROW(),"")</f>
        <v/>
      </c>
      <c r="F3866" s="0" t="str">
        <f aca="false">IF(E3866="","",RANK(E3866,$E$2:$E$5001,1))</f>
        <v/>
      </c>
      <c r="G3866" s="0" t="n">
        <f aca="false">IF(A3866="",0,IF(SUMPRODUCT(--($A$2:$A$5001=A3866))&gt;1,1,0))</f>
        <v>0</v>
      </c>
      <c r="H3866" s="0" t="n">
        <f aca="false">ROW()-1</f>
        <v>3865</v>
      </c>
      <c r="I3866" s="0" t="str">
        <f aca="false">IF(OR(הגדרות!$E$6=0,H3866&gt;הגדרות!$E$5),"",IF(H3866-1&lt;הגדרות!$E$8*(הגדרות!$E$7+1),INT((H3866-1)/(הגדרות!$E$7+1)),הגדרות!$E$8+INT((H3866-1-הגדרות!$E$8*(הגדרות!$E$7+1))/הגדרות!$E$7)))</f>
        <v/>
      </c>
      <c r="J3866" s="0" t="str">
        <f aca="false">IF(I3866="","",IF(H3866-1&lt;הגדרות!$E$8*(הגדרות!$E$7+1),MOD(H3866-1,הגדרות!$E$7+1),MOD(H3866-1-הגדרות!$E$8*(הגדרות!$E$7+1),הגדרות!$E$7)))</f>
        <v/>
      </c>
      <c r="K3866" s="0" t="str">
        <f aca="false">IF(I3866="","",J3866*הגדרות!$E$6+I3866+1)</f>
        <v/>
      </c>
      <c r="L3866" s="0" t="str">
        <f aca="false">IF(K3866="","",MATCH(K3866,$F$2:$F$5001,0))</f>
        <v/>
      </c>
      <c r="M3866" s="0" t="str">
        <f aca="false">IF(I3866="","",INDEX(הגדרות!$A$2:$A$21,MOD(I3866+הגדרות!$E$9,הגדרות!$E$6)+1))</f>
        <v/>
      </c>
    </row>
    <row r="3867" customFormat="false" ht="15" hidden="false" customHeight="false" outlineLevel="0" collapsed="false">
      <c r="A3867" s="0" t="str">
        <f aca="false">IF('הדבקת לידים'!A3867="","",IF(ISNUMBER('הדבקת לידים'!A3867),IF(הגדרות!$E$2&gt;0,TEXT('הדבקת לידים'!A3867,REPT("0",הגדרות!$E$2)),TEXT('הדבקת לידים'!A3867,"0")),TRIM('הדבקת לידים'!A3867)))</f>
        <v/>
      </c>
      <c r="B3867" s="0" t="str">
        <f aca="false">IF('הדבקת לידים'!B3867="","",IF(ISNUMBER('הדבקת לידים'!B3867),IF(הגדרות!$E$3&gt;0,TEXT('הדבקת לידים'!B3867,REPT("0",הגדרות!$E$3)),TEXT('הדבקת לידים'!B3867,"0")),TRIM('הדבקת לידים'!B3867)))</f>
        <v/>
      </c>
      <c r="C3867" s="0" t="n">
        <f aca="false">IF(OR(A3867&lt;&gt;"",B3867&lt;&gt;""),1,0)</f>
        <v>0</v>
      </c>
      <c r="D3867" s="0" t="str">
        <f aca="false">IF(C3867=1,MOD(ABS(SIN(ROW()*12.9898+'הדבקת לידים'!$F$2*78.233+IFERROR(--RIGHT(A3867,6),LEN(A3867))*0.0137+IFERROR(--RIGHT(B3867,6),LEN(B3867))*0.0071))*43758.5453,1),"")</f>
        <v/>
      </c>
      <c r="E3867" s="0" t="str">
        <f aca="false">IF(C3867=1,INT(MOD(ABS(SIN(D3867*7919.123+ROW()*0.618+'הדבקת לידים'!$F$2*1.3))*43758.5453,1)*1000000)*10000+ROW(),"")</f>
        <v/>
      </c>
      <c r="F3867" s="0" t="str">
        <f aca="false">IF(E3867="","",RANK(E3867,$E$2:$E$5001,1))</f>
        <v/>
      </c>
      <c r="G3867" s="0" t="n">
        <f aca="false">IF(A3867="",0,IF(SUMPRODUCT(--($A$2:$A$5001=A3867))&gt;1,1,0))</f>
        <v>0</v>
      </c>
      <c r="H3867" s="0" t="n">
        <f aca="false">ROW()-1</f>
        <v>3866</v>
      </c>
      <c r="I3867" s="0" t="str">
        <f aca="false">IF(OR(הגדרות!$E$6=0,H3867&gt;הגדרות!$E$5),"",IF(H3867-1&lt;הגדרות!$E$8*(הגדרות!$E$7+1),INT((H3867-1)/(הגדרות!$E$7+1)),הגדרות!$E$8+INT((H3867-1-הגדרות!$E$8*(הגדרות!$E$7+1))/הגדרות!$E$7)))</f>
        <v/>
      </c>
      <c r="J3867" s="0" t="str">
        <f aca="false">IF(I3867="","",IF(H3867-1&lt;הגדרות!$E$8*(הגדרות!$E$7+1),MOD(H3867-1,הגדרות!$E$7+1),MOD(H3867-1-הגדרות!$E$8*(הגדרות!$E$7+1),הגדרות!$E$7)))</f>
        <v/>
      </c>
      <c r="K3867" s="0" t="str">
        <f aca="false">IF(I3867="","",J3867*הגדרות!$E$6+I3867+1)</f>
        <v/>
      </c>
      <c r="L3867" s="0" t="str">
        <f aca="false">IF(K3867="","",MATCH(K3867,$F$2:$F$5001,0))</f>
        <v/>
      </c>
      <c r="M3867" s="0" t="str">
        <f aca="false">IF(I3867="","",INDEX(הגדרות!$A$2:$A$21,MOD(I3867+הגדרות!$E$9,הגדרות!$E$6)+1))</f>
        <v/>
      </c>
    </row>
    <row r="3868" customFormat="false" ht="15" hidden="false" customHeight="false" outlineLevel="0" collapsed="false">
      <c r="A3868" s="0" t="str">
        <f aca="false">IF('הדבקת לידים'!A3868="","",IF(ISNUMBER('הדבקת לידים'!A3868),IF(הגדרות!$E$2&gt;0,TEXT('הדבקת לידים'!A3868,REPT("0",הגדרות!$E$2)),TEXT('הדבקת לידים'!A3868,"0")),TRIM('הדבקת לידים'!A3868)))</f>
        <v/>
      </c>
      <c r="B3868" s="0" t="str">
        <f aca="false">IF('הדבקת לידים'!B3868="","",IF(ISNUMBER('הדבקת לידים'!B3868),IF(הגדרות!$E$3&gt;0,TEXT('הדבקת לידים'!B3868,REPT("0",הגדרות!$E$3)),TEXT('הדבקת לידים'!B3868,"0")),TRIM('הדבקת לידים'!B3868)))</f>
        <v/>
      </c>
      <c r="C3868" s="0" t="n">
        <f aca="false">IF(OR(A3868&lt;&gt;"",B3868&lt;&gt;""),1,0)</f>
        <v>0</v>
      </c>
      <c r="D3868" s="0" t="str">
        <f aca="false">IF(C3868=1,MOD(ABS(SIN(ROW()*12.9898+'הדבקת לידים'!$F$2*78.233+IFERROR(--RIGHT(A3868,6),LEN(A3868))*0.0137+IFERROR(--RIGHT(B3868,6),LEN(B3868))*0.0071))*43758.5453,1),"")</f>
        <v/>
      </c>
      <c r="E3868" s="0" t="str">
        <f aca="false">IF(C3868=1,INT(MOD(ABS(SIN(D3868*7919.123+ROW()*0.618+'הדבקת לידים'!$F$2*1.3))*43758.5453,1)*1000000)*10000+ROW(),"")</f>
        <v/>
      </c>
      <c r="F3868" s="0" t="str">
        <f aca="false">IF(E3868="","",RANK(E3868,$E$2:$E$5001,1))</f>
        <v/>
      </c>
      <c r="G3868" s="0" t="n">
        <f aca="false">IF(A3868="",0,IF(SUMPRODUCT(--($A$2:$A$5001=A3868))&gt;1,1,0))</f>
        <v>0</v>
      </c>
      <c r="H3868" s="0" t="n">
        <f aca="false">ROW()-1</f>
        <v>3867</v>
      </c>
      <c r="I3868" s="0" t="str">
        <f aca="false">IF(OR(הגדרות!$E$6=0,H3868&gt;הגדרות!$E$5),"",IF(H3868-1&lt;הגדרות!$E$8*(הגדרות!$E$7+1),INT((H3868-1)/(הגדרות!$E$7+1)),הגדרות!$E$8+INT((H3868-1-הגדרות!$E$8*(הגדרות!$E$7+1))/הגדרות!$E$7)))</f>
        <v/>
      </c>
      <c r="J3868" s="0" t="str">
        <f aca="false">IF(I3868="","",IF(H3868-1&lt;הגדרות!$E$8*(הגדרות!$E$7+1),MOD(H3868-1,הגדרות!$E$7+1),MOD(H3868-1-הגדרות!$E$8*(הגדרות!$E$7+1),הגדרות!$E$7)))</f>
        <v/>
      </c>
      <c r="K3868" s="0" t="str">
        <f aca="false">IF(I3868="","",J3868*הגדרות!$E$6+I3868+1)</f>
        <v/>
      </c>
      <c r="L3868" s="0" t="str">
        <f aca="false">IF(K3868="","",MATCH(K3868,$F$2:$F$5001,0))</f>
        <v/>
      </c>
      <c r="M3868" s="0" t="str">
        <f aca="false">IF(I3868="","",INDEX(הגדרות!$A$2:$A$21,MOD(I3868+הגדרות!$E$9,הגדרות!$E$6)+1))</f>
        <v/>
      </c>
    </row>
    <row r="3869" customFormat="false" ht="15" hidden="false" customHeight="false" outlineLevel="0" collapsed="false">
      <c r="A3869" s="0" t="str">
        <f aca="false">IF('הדבקת לידים'!A3869="","",IF(ISNUMBER('הדבקת לידים'!A3869),IF(הגדרות!$E$2&gt;0,TEXT('הדבקת לידים'!A3869,REPT("0",הגדרות!$E$2)),TEXT('הדבקת לידים'!A3869,"0")),TRIM('הדבקת לידים'!A3869)))</f>
        <v/>
      </c>
      <c r="B3869" s="0" t="str">
        <f aca="false">IF('הדבקת לידים'!B3869="","",IF(ISNUMBER('הדבקת לידים'!B3869),IF(הגדרות!$E$3&gt;0,TEXT('הדבקת לידים'!B3869,REPT("0",הגדרות!$E$3)),TEXT('הדבקת לידים'!B3869,"0")),TRIM('הדבקת לידים'!B3869)))</f>
        <v/>
      </c>
      <c r="C3869" s="0" t="n">
        <f aca="false">IF(OR(A3869&lt;&gt;"",B3869&lt;&gt;""),1,0)</f>
        <v>0</v>
      </c>
      <c r="D3869" s="0" t="str">
        <f aca="false">IF(C3869=1,MOD(ABS(SIN(ROW()*12.9898+'הדבקת לידים'!$F$2*78.233+IFERROR(--RIGHT(A3869,6),LEN(A3869))*0.0137+IFERROR(--RIGHT(B3869,6),LEN(B3869))*0.0071))*43758.5453,1),"")</f>
        <v/>
      </c>
      <c r="E3869" s="0" t="str">
        <f aca="false">IF(C3869=1,INT(MOD(ABS(SIN(D3869*7919.123+ROW()*0.618+'הדבקת לידים'!$F$2*1.3))*43758.5453,1)*1000000)*10000+ROW(),"")</f>
        <v/>
      </c>
      <c r="F3869" s="0" t="str">
        <f aca="false">IF(E3869="","",RANK(E3869,$E$2:$E$5001,1))</f>
        <v/>
      </c>
      <c r="G3869" s="0" t="n">
        <f aca="false">IF(A3869="",0,IF(SUMPRODUCT(--($A$2:$A$5001=A3869))&gt;1,1,0))</f>
        <v>0</v>
      </c>
      <c r="H3869" s="0" t="n">
        <f aca="false">ROW()-1</f>
        <v>3868</v>
      </c>
      <c r="I3869" s="0" t="str">
        <f aca="false">IF(OR(הגדרות!$E$6=0,H3869&gt;הגדרות!$E$5),"",IF(H3869-1&lt;הגדרות!$E$8*(הגדרות!$E$7+1),INT((H3869-1)/(הגדרות!$E$7+1)),הגדרות!$E$8+INT((H3869-1-הגדרות!$E$8*(הגדרות!$E$7+1))/הגדרות!$E$7)))</f>
        <v/>
      </c>
      <c r="J3869" s="0" t="str">
        <f aca="false">IF(I3869="","",IF(H3869-1&lt;הגדרות!$E$8*(הגדרות!$E$7+1),MOD(H3869-1,הגדרות!$E$7+1),MOD(H3869-1-הגדרות!$E$8*(הגדרות!$E$7+1),הגדרות!$E$7)))</f>
        <v/>
      </c>
      <c r="K3869" s="0" t="str">
        <f aca="false">IF(I3869="","",J3869*הגדרות!$E$6+I3869+1)</f>
        <v/>
      </c>
      <c r="L3869" s="0" t="str">
        <f aca="false">IF(K3869="","",MATCH(K3869,$F$2:$F$5001,0))</f>
        <v/>
      </c>
      <c r="M3869" s="0" t="str">
        <f aca="false">IF(I3869="","",INDEX(הגדרות!$A$2:$A$21,MOD(I3869+הגדרות!$E$9,הגדרות!$E$6)+1))</f>
        <v/>
      </c>
    </row>
    <row r="3870" customFormat="false" ht="15" hidden="false" customHeight="false" outlineLevel="0" collapsed="false">
      <c r="A3870" s="0" t="str">
        <f aca="false">IF('הדבקת לידים'!A3870="","",IF(ISNUMBER('הדבקת לידים'!A3870),IF(הגדרות!$E$2&gt;0,TEXT('הדבקת לידים'!A3870,REPT("0",הגדרות!$E$2)),TEXT('הדבקת לידים'!A3870,"0")),TRIM('הדבקת לידים'!A3870)))</f>
        <v/>
      </c>
      <c r="B3870" s="0" t="str">
        <f aca="false">IF('הדבקת לידים'!B3870="","",IF(ISNUMBER('הדבקת לידים'!B3870),IF(הגדרות!$E$3&gt;0,TEXT('הדבקת לידים'!B3870,REPT("0",הגדרות!$E$3)),TEXT('הדבקת לידים'!B3870,"0")),TRIM('הדבקת לידים'!B3870)))</f>
        <v/>
      </c>
      <c r="C3870" s="0" t="n">
        <f aca="false">IF(OR(A3870&lt;&gt;"",B3870&lt;&gt;""),1,0)</f>
        <v>0</v>
      </c>
      <c r="D3870" s="0" t="str">
        <f aca="false">IF(C3870=1,MOD(ABS(SIN(ROW()*12.9898+'הדבקת לידים'!$F$2*78.233+IFERROR(--RIGHT(A3870,6),LEN(A3870))*0.0137+IFERROR(--RIGHT(B3870,6),LEN(B3870))*0.0071))*43758.5453,1),"")</f>
        <v/>
      </c>
      <c r="E3870" s="0" t="str">
        <f aca="false">IF(C3870=1,INT(MOD(ABS(SIN(D3870*7919.123+ROW()*0.618+'הדבקת לידים'!$F$2*1.3))*43758.5453,1)*1000000)*10000+ROW(),"")</f>
        <v/>
      </c>
      <c r="F3870" s="0" t="str">
        <f aca="false">IF(E3870="","",RANK(E3870,$E$2:$E$5001,1))</f>
        <v/>
      </c>
      <c r="G3870" s="0" t="n">
        <f aca="false">IF(A3870="",0,IF(SUMPRODUCT(--($A$2:$A$5001=A3870))&gt;1,1,0))</f>
        <v>0</v>
      </c>
      <c r="H3870" s="0" t="n">
        <f aca="false">ROW()-1</f>
        <v>3869</v>
      </c>
      <c r="I3870" s="0" t="str">
        <f aca="false">IF(OR(הגדרות!$E$6=0,H3870&gt;הגדרות!$E$5),"",IF(H3870-1&lt;הגדרות!$E$8*(הגדרות!$E$7+1),INT((H3870-1)/(הגדרות!$E$7+1)),הגדרות!$E$8+INT((H3870-1-הגדרות!$E$8*(הגדרות!$E$7+1))/הגדרות!$E$7)))</f>
        <v/>
      </c>
      <c r="J3870" s="0" t="str">
        <f aca="false">IF(I3870="","",IF(H3870-1&lt;הגדרות!$E$8*(הגדרות!$E$7+1),MOD(H3870-1,הגדרות!$E$7+1),MOD(H3870-1-הגדרות!$E$8*(הגדרות!$E$7+1),הגדרות!$E$7)))</f>
        <v/>
      </c>
      <c r="K3870" s="0" t="str">
        <f aca="false">IF(I3870="","",J3870*הגדרות!$E$6+I3870+1)</f>
        <v/>
      </c>
      <c r="L3870" s="0" t="str">
        <f aca="false">IF(K3870="","",MATCH(K3870,$F$2:$F$5001,0))</f>
        <v/>
      </c>
      <c r="M3870" s="0" t="str">
        <f aca="false">IF(I3870="","",INDEX(הגדרות!$A$2:$A$21,MOD(I3870+הגדרות!$E$9,הגדרות!$E$6)+1))</f>
        <v/>
      </c>
    </row>
    <row r="3871" customFormat="false" ht="15" hidden="false" customHeight="false" outlineLevel="0" collapsed="false">
      <c r="A3871" s="0" t="str">
        <f aca="false">IF('הדבקת לידים'!A3871="","",IF(ISNUMBER('הדבקת לידים'!A3871),IF(הגדרות!$E$2&gt;0,TEXT('הדבקת לידים'!A3871,REPT("0",הגדרות!$E$2)),TEXT('הדבקת לידים'!A3871,"0")),TRIM('הדבקת לידים'!A3871)))</f>
        <v/>
      </c>
      <c r="B3871" s="0" t="str">
        <f aca="false">IF('הדבקת לידים'!B3871="","",IF(ISNUMBER('הדבקת לידים'!B3871),IF(הגדרות!$E$3&gt;0,TEXT('הדבקת לידים'!B3871,REPT("0",הגדרות!$E$3)),TEXT('הדבקת לידים'!B3871,"0")),TRIM('הדבקת לידים'!B3871)))</f>
        <v/>
      </c>
      <c r="C3871" s="0" t="n">
        <f aca="false">IF(OR(A3871&lt;&gt;"",B3871&lt;&gt;""),1,0)</f>
        <v>0</v>
      </c>
      <c r="D3871" s="0" t="str">
        <f aca="false">IF(C3871=1,MOD(ABS(SIN(ROW()*12.9898+'הדבקת לידים'!$F$2*78.233+IFERROR(--RIGHT(A3871,6),LEN(A3871))*0.0137+IFERROR(--RIGHT(B3871,6),LEN(B3871))*0.0071))*43758.5453,1),"")</f>
        <v/>
      </c>
      <c r="E3871" s="0" t="str">
        <f aca="false">IF(C3871=1,INT(MOD(ABS(SIN(D3871*7919.123+ROW()*0.618+'הדבקת לידים'!$F$2*1.3))*43758.5453,1)*1000000)*10000+ROW(),"")</f>
        <v/>
      </c>
      <c r="F3871" s="0" t="str">
        <f aca="false">IF(E3871="","",RANK(E3871,$E$2:$E$5001,1))</f>
        <v/>
      </c>
      <c r="G3871" s="0" t="n">
        <f aca="false">IF(A3871="",0,IF(SUMPRODUCT(--($A$2:$A$5001=A3871))&gt;1,1,0))</f>
        <v>0</v>
      </c>
      <c r="H3871" s="0" t="n">
        <f aca="false">ROW()-1</f>
        <v>3870</v>
      </c>
      <c r="I3871" s="0" t="str">
        <f aca="false">IF(OR(הגדרות!$E$6=0,H3871&gt;הגדרות!$E$5),"",IF(H3871-1&lt;הגדרות!$E$8*(הגדרות!$E$7+1),INT((H3871-1)/(הגדרות!$E$7+1)),הגדרות!$E$8+INT((H3871-1-הגדרות!$E$8*(הגדרות!$E$7+1))/הגדרות!$E$7)))</f>
        <v/>
      </c>
      <c r="J3871" s="0" t="str">
        <f aca="false">IF(I3871="","",IF(H3871-1&lt;הגדרות!$E$8*(הגדרות!$E$7+1),MOD(H3871-1,הגדרות!$E$7+1),MOD(H3871-1-הגדרות!$E$8*(הגדרות!$E$7+1),הגדרות!$E$7)))</f>
        <v/>
      </c>
      <c r="K3871" s="0" t="str">
        <f aca="false">IF(I3871="","",J3871*הגדרות!$E$6+I3871+1)</f>
        <v/>
      </c>
      <c r="L3871" s="0" t="str">
        <f aca="false">IF(K3871="","",MATCH(K3871,$F$2:$F$5001,0))</f>
        <v/>
      </c>
      <c r="M3871" s="0" t="str">
        <f aca="false">IF(I3871="","",INDEX(הגדרות!$A$2:$A$21,MOD(I3871+הגדרות!$E$9,הגדרות!$E$6)+1))</f>
        <v/>
      </c>
    </row>
    <row r="3872" customFormat="false" ht="15" hidden="false" customHeight="false" outlineLevel="0" collapsed="false">
      <c r="A3872" s="0" t="str">
        <f aca="false">IF('הדבקת לידים'!A3872="","",IF(ISNUMBER('הדבקת לידים'!A3872),IF(הגדרות!$E$2&gt;0,TEXT('הדבקת לידים'!A3872,REPT("0",הגדרות!$E$2)),TEXT('הדבקת לידים'!A3872,"0")),TRIM('הדבקת לידים'!A3872)))</f>
        <v/>
      </c>
      <c r="B3872" s="0" t="str">
        <f aca="false">IF('הדבקת לידים'!B3872="","",IF(ISNUMBER('הדבקת לידים'!B3872),IF(הגדרות!$E$3&gt;0,TEXT('הדבקת לידים'!B3872,REPT("0",הגדרות!$E$3)),TEXT('הדבקת לידים'!B3872,"0")),TRIM('הדבקת לידים'!B3872)))</f>
        <v/>
      </c>
      <c r="C3872" s="0" t="n">
        <f aca="false">IF(OR(A3872&lt;&gt;"",B3872&lt;&gt;""),1,0)</f>
        <v>0</v>
      </c>
      <c r="D3872" s="0" t="str">
        <f aca="false">IF(C3872=1,MOD(ABS(SIN(ROW()*12.9898+'הדבקת לידים'!$F$2*78.233+IFERROR(--RIGHT(A3872,6),LEN(A3872))*0.0137+IFERROR(--RIGHT(B3872,6),LEN(B3872))*0.0071))*43758.5453,1),"")</f>
        <v/>
      </c>
      <c r="E3872" s="0" t="str">
        <f aca="false">IF(C3872=1,INT(MOD(ABS(SIN(D3872*7919.123+ROW()*0.618+'הדבקת לידים'!$F$2*1.3))*43758.5453,1)*1000000)*10000+ROW(),"")</f>
        <v/>
      </c>
      <c r="F3872" s="0" t="str">
        <f aca="false">IF(E3872="","",RANK(E3872,$E$2:$E$5001,1))</f>
        <v/>
      </c>
      <c r="G3872" s="0" t="n">
        <f aca="false">IF(A3872="",0,IF(SUMPRODUCT(--($A$2:$A$5001=A3872))&gt;1,1,0))</f>
        <v>0</v>
      </c>
      <c r="H3872" s="0" t="n">
        <f aca="false">ROW()-1</f>
        <v>3871</v>
      </c>
      <c r="I3872" s="0" t="str">
        <f aca="false">IF(OR(הגדרות!$E$6=0,H3872&gt;הגדרות!$E$5),"",IF(H3872-1&lt;הגדרות!$E$8*(הגדרות!$E$7+1),INT((H3872-1)/(הגדרות!$E$7+1)),הגדרות!$E$8+INT((H3872-1-הגדרות!$E$8*(הגדרות!$E$7+1))/הגדרות!$E$7)))</f>
        <v/>
      </c>
      <c r="J3872" s="0" t="str">
        <f aca="false">IF(I3872="","",IF(H3872-1&lt;הגדרות!$E$8*(הגדרות!$E$7+1),MOD(H3872-1,הגדרות!$E$7+1),MOD(H3872-1-הגדרות!$E$8*(הגדרות!$E$7+1),הגדרות!$E$7)))</f>
        <v/>
      </c>
      <c r="K3872" s="0" t="str">
        <f aca="false">IF(I3872="","",J3872*הגדרות!$E$6+I3872+1)</f>
        <v/>
      </c>
      <c r="L3872" s="0" t="str">
        <f aca="false">IF(K3872="","",MATCH(K3872,$F$2:$F$5001,0))</f>
        <v/>
      </c>
      <c r="M3872" s="0" t="str">
        <f aca="false">IF(I3872="","",INDEX(הגדרות!$A$2:$A$21,MOD(I3872+הגדרות!$E$9,הגדרות!$E$6)+1))</f>
        <v/>
      </c>
    </row>
    <row r="3873" customFormat="false" ht="15" hidden="false" customHeight="false" outlineLevel="0" collapsed="false">
      <c r="A3873" s="0" t="str">
        <f aca="false">IF('הדבקת לידים'!A3873="","",IF(ISNUMBER('הדבקת לידים'!A3873),IF(הגדרות!$E$2&gt;0,TEXT('הדבקת לידים'!A3873,REPT("0",הגדרות!$E$2)),TEXT('הדבקת לידים'!A3873,"0")),TRIM('הדבקת לידים'!A3873)))</f>
        <v/>
      </c>
      <c r="B3873" s="0" t="str">
        <f aca="false">IF('הדבקת לידים'!B3873="","",IF(ISNUMBER('הדבקת לידים'!B3873),IF(הגדרות!$E$3&gt;0,TEXT('הדבקת לידים'!B3873,REPT("0",הגדרות!$E$3)),TEXT('הדבקת לידים'!B3873,"0")),TRIM('הדבקת לידים'!B3873)))</f>
        <v/>
      </c>
      <c r="C3873" s="0" t="n">
        <f aca="false">IF(OR(A3873&lt;&gt;"",B3873&lt;&gt;""),1,0)</f>
        <v>0</v>
      </c>
      <c r="D3873" s="0" t="str">
        <f aca="false">IF(C3873=1,MOD(ABS(SIN(ROW()*12.9898+'הדבקת לידים'!$F$2*78.233+IFERROR(--RIGHT(A3873,6),LEN(A3873))*0.0137+IFERROR(--RIGHT(B3873,6),LEN(B3873))*0.0071))*43758.5453,1),"")</f>
        <v/>
      </c>
      <c r="E3873" s="0" t="str">
        <f aca="false">IF(C3873=1,INT(MOD(ABS(SIN(D3873*7919.123+ROW()*0.618+'הדבקת לידים'!$F$2*1.3))*43758.5453,1)*1000000)*10000+ROW(),"")</f>
        <v/>
      </c>
      <c r="F3873" s="0" t="str">
        <f aca="false">IF(E3873="","",RANK(E3873,$E$2:$E$5001,1))</f>
        <v/>
      </c>
      <c r="G3873" s="0" t="n">
        <f aca="false">IF(A3873="",0,IF(SUMPRODUCT(--($A$2:$A$5001=A3873))&gt;1,1,0))</f>
        <v>0</v>
      </c>
      <c r="H3873" s="0" t="n">
        <f aca="false">ROW()-1</f>
        <v>3872</v>
      </c>
      <c r="I3873" s="0" t="str">
        <f aca="false">IF(OR(הגדרות!$E$6=0,H3873&gt;הגדרות!$E$5),"",IF(H3873-1&lt;הגדרות!$E$8*(הגדרות!$E$7+1),INT((H3873-1)/(הגדרות!$E$7+1)),הגדרות!$E$8+INT((H3873-1-הגדרות!$E$8*(הגדרות!$E$7+1))/הגדרות!$E$7)))</f>
        <v/>
      </c>
      <c r="J3873" s="0" t="str">
        <f aca="false">IF(I3873="","",IF(H3873-1&lt;הגדרות!$E$8*(הגדרות!$E$7+1),MOD(H3873-1,הגדרות!$E$7+1),MOD(H3873-1-הגדרות!$E$8*(הגדרות!$E$7+1),הגדרות!$E$7)))</f>
        <v/>
      </c>
      <c r="K3873" s="0" t="str">
        <f aca="false">IF(I3873="","",J3873*הגדרות!$E$6+I3873+1)</f>
        <v/>
      </c>
      <c r="L3873" s="0" t="str">
        <f aca="false">IF(K3873="","",MATCH(K3873,$F$2:$F$5001,0))</f>
        <v/>
      </c>
      <c r="M3873" s="0" t="str">
        <f aca="false">IF(I3873="","",INDEX(הגדרות!$A$2:$A$21,MOD(I3873+הגדרות!$E$9,הגדרות!$E$6)+1))</f>
        <v/>
      </c>
    </row>
    <row r="3874" customFormat="false" ht="15" hidden="false" customHeight="false" outlineLevel="0" collapsed="false">
      <c r="A3874" s="0" t="str">
        <f aca="false">IF('הדבקת לידים'!A3874="","",IF(ISNUMBER('הדבקת לידים'!A3874),IF(הגדרות!$E$2&gt;0,TEXT('הדבקת לידים'!A3874,REPT("0",הגדרות!$E$2)),TEXT('הדבקת לידים'!A3874,"0")),TRIM('הדבקת לידים'!A3874)))</f>
        <v/>
      </c>
      <c r="B3874" s="0" t="str">
        <f aca="false">IF('הדבקת לידים'!B3874="","",IF(ISNUMBER('הדבקת לידים'!B3874),IF(הגדרות!$E$3&gt;0,TEXT('הדבקת לידים'!B3874,REPT("0",הגדרות!$E$3)),TEXT('הדבקת לידים'!B3874,"0")),TRIM('הדבקת לידים'!B3874)))</f>
        <v/>
      </c>
      <c r="C3874" s="0" t="n">
        <f aca="false">IF(OR(A3874&lt;&gt;"",B3874&lt;&gt;""),1,0)</f>
        <v>0</v>
      </c>
      <c r="D3874" s="0" t="str">
        <f aca="false">IF(C3874=1,MOD(ABS(SIN(ROW()*12.9898+'הדבקת לידים'!$F$2*78.233+IFERROR(--RIGHT(A3874,6),LEN(A3874))*0.0137+IFERROR(--RIGHT(B3874,6),LEN(B3874))*0.0071))*43758.5453,1),"")</f>
        <v/>
      </c>
      <c r="E3874" s="0" t="str">
        <f aca="false">IF(C3874=1,INT(MOD(ABS(SIN(D3874*7919.123+ROW()*0.618+'הדבקת לידים'!$F$2*1.3))*43758.5453,1)*1000000)*10000+ROW(),"")</f>
        <v/>
      </c>
      <c r="F3874" s="0" t="str">
        <f aca="false">IF(E3874="","",RANK(E3874,$E$2:$E$5001,1))</f>
        <v/>
      </c>
      <c r="G3874" s="0" t="n">
        <f aca="false">IF(A3874="",0,IF(SUMPRODUCT(--($A$2:$A$5001=A3874))&gt;1,1,0))</f>
        <v>0</v>
      </c>
      <c r="H3874" s="0" t="n">
        <f aca="false">ROW()-1</f>
        <v>3873</v>
      </c>
      <c r="I3874" s="0" t="str">
        <f aca="false">IF(OR(הגדרות!$E$6=0,H3874&gt;הגדרות!$E$5),"",IF(H3874-1&lt;הגדרות!$E$8*(הגדרות!$E$7+1),INT((H3874-1)/(הגדרות!$E$7+1)),הגדרות!$E$8+INT((H3874-1-הגדרות!$E$8*(הגדרות!$E$7+1))/הגדרות!$E$7)))</f>
        <v/>
      </c>
      <c r="J3874" s="0" t="str">
        <f aca="false">IF(I3874="","",IF(H3874-1&lt;הגדרות!$E$8*(הגדרות!$E$7+1),MOD(H3874-1,הגדרות!$E$7+1),MOD(H3874-1-הגדרות!$E$8*(הגדרות!$E$7+1),הגדרות!$E$7)))</f>
        <v/>
      </c>
      <c r="K3874" s="0" t="str">
        <f aca="false">IF(I3874="","",J3874*הגדרות!$E$6+I3874+1)</f>
        <v/>
      </c>
      <c r="L3874" s="0" t="str">
        <f aca="false">IF(K3874="","",MATCH(K3874,$F$2:$F$5001,0))</f>
        <v/>
      </c>
      <c r="M3874" s="0" t="str">
        <f aca="false">IF(I3874="","",INDEX(הגדרות!$A$2:$A$21,MOD(I3874+הגדרות!$E$9,הגדרות!$E$6)+1))</f>
        <v/>
      </c>
    </row>
    <row r="3875" customFormat="false" ht="15" hidden="false" customHeight="false" outlineLevel="0" collapsed="false">
      <c r="A3875" s="0" t="str">
        <f aca="false">IF('הדבקת לידים'!A3875="","",IF(ISNUMBER('הדבקת לידים'!A3875),IF(הגדרות!$E$2&gt;0,TEXT('הדבקת לידים'!A3875,REPT("0",הגדרות!$E$2)),TEXT('הדבקת לידים'!A3875,"0")),TRIM('הדבקת לידים'!A3875)))</f>
        <v/>
      </c>
      <c r="B3875" s="0" t="str">
        <f aca="false">IF('הדבקת לידים'!B3875="","",IF(ISNUMBER('הדבקת לידים'!B3875),IF(הגדרות!$E$3&gt;0,TEXT('הדבקת לידים'!B3875,REPT("0",הגדרות!$E$3)),TEXT('הדבקת לידים'!B3875,"0")),TRIM('הדבקת לידים'!B3875)))</f>
        <v/>
      </c>
      <c r="C3875" s="0" t="n">
        <f aca="false">IF(OR(A3875&lt;&gt;"",B3875&lt;&gt;""),1,0)</f>
        <v>0</v>
      </c>
      <c r="D3875" s="0" t="str">
        <f aca="false">IF(C3875=1,MOD(ABS(SIN(ROW()*12.9898+'הדבקת לידים'!$F$2*78.233+IFERROR(--RIGHT(A3875,6),LEN(A3875))*0.0137+IFERROR(--RIGHT(B3875,6),LEN(B3875))*0.0071))*43758.5453,1),"")</f>
        <v/>
      </c>
      <c r="E3875" s="0" t="str">
        <f aca="false">IF(C3875=1,INT(MOD(ABS(SIN(D3875*7919.123+ROW()*0.618+'הדבקת לידים'!$F$2*1.3))*43758.5453,1)*1000000)*10000+ROW(),"")</f>
        <v/>
      </c>
      <c r="F3875" s="0" t="str">
        <f aca="false">IF(E3875="","",RANK(E3875,$E$2:$E$5001,1))</f>
        <v/>
      </c>
      <c r="G3875" s="0" t="n">
        <f aca="false">IF(A3875="",0,IF(SUMPRODUCT(--($A$2:$A$5001=A3875))&gt;1,1,0))</f>
        <v>0</v>
      </c>
      <c r="H3875" s="0" t="n">
        <f aca="false">ROW()-1</f>
        <v>3874</v>
      </c>
      <c r="I3875" s="0" t="str">
        <f aca="false">IF(OR(הגדרות!$E$6=0,H3875&gt;הגדרות!$E$5),"",IF(H3875-1&lt;הגדרות!$E$8*(הגדרות!$E$7+1),INT((H3875-1)/(הגדרות!$E$7+1)),הגדרות!$E$8+INT((H3875-1-הגדרות!$E$8*(הגדרות!$E$7+1))/הגדרות!$E$7)))</f>
        <v/>
      </c>
      <c r="J3875" s="0" t="str">
        <f aca="false">IF(I3875="","",IF(H3875-1&lt;הגדרות!$E$8*(הגדרות!$E$7+1),MOD(H3875-1,הגדרות!$E$7+1),MOD(H3875-1-הגדרות!$E$8*(הגדרות!$E$7+1),הגדרות!$E$7)))</f>
        <v/>
      </c>
      <c r="K3875" s="0" t="str">
        <f aca="false">IF(I3875="","",J3875*הגדרות!$E$6+I3875+1)</f>
        <v/>
      </c>
      <c r="L3875" s="0" t="str">
        <f aca="false">IF(K3875="","",MATCH(K3875,$F$2:$F$5001,0))</f>
        <v/>
      </c>
      <c r="M3875" s="0" t="str">
        <f aca="false">IF(I3875="","",INDEX(הגדרות!$A$2:$A$21,MOD(I3875+הגדרות!$E$9,הגדרות!$E$6)+1))</f>
        <v/>
      </c>
    </row>
    <row r="3876" customFormat="false" ht="15" hidden="false" customHeight="false" outlineLevel="0" collapsed="false">
      <c r="A3876" s="0" t="str">
        <f aca="false">IF('הדבקת לידים'!A3876="","",IF(ISNUMBER('הדבקת לידים'!A3876),IF(הגדרות!$E$2&gt;0,TEXT('הדבקת לידים'!A3876,REPT("0",הגדרות!$E$2)),TEXT('הדבקת לידים'!A3876,"0")),TRIM('הדבקת לידים'!A3876)))</f>
        <v/>
      </c>
      <c r="B3876" s="0" t="str">
        <f aca="false">IF('הדבקת לידים'!B3876="","",IF(ISNUMBER('הדבקת לידים'!B3876),IF(הגדרות!$E$3&gt;0,TEXT('הדבקת לידים'!B3876,REPT("0",הגדרות!$E$3)),TEXT('הדבקת לידים'!B3876,"0")),TRIM('הדבקת לידים'!B3876)))</f>
        <v/>
      </c>
      <c r="C3876" s="0" t="n">
        <f aca="false">IF(OR(A3876&lt;&gt;"",B3876&lt;&gt;""),1,0)</f>
        <v>0</v>
      </c>
      <c r="D3876" s="0" t="str">
        <f aca="false">IF(C3876=1,MOD(ABS(SIN(ROW()*12.9898+'הדבקת לידים'!$F$2*78.233+IFERROR(--RIGHT(A3876,6),LEN(A3876))*0.0137+IFERROR(--RIGHT(B3876,6),LEN(B3876))*0.0071))*43758.5453,1),"")</f>
        <v/>
      </c>
      <c r="E3876" s="0" t="str">
        <f aca="false">IF(C3876=1,INT(MOD(ABS(SIN(D3876*7919.123+ROW()*0.618+'הדבקת לידים'!$F$2*1.3))*43758.5453,1)*1000000)*10000+ROW(),"")</f>
        <v/>
      </c>
      <c r="F3876" s="0" t="str">
        <f aca="false">IF(E3876="","",RANK(E3876,$E$2:$E$5001,1))</f>
        <v/>
      </c>
      <c r="G3876" s="0" t="n">
        <f aca="false">IF(A3876="",0,IF(SUMPRODUCT(--($A$2:$A$5001=A3876))&gt;1,1,0))</f>
        <v>0</v>
      </c>
      <c r="H3876" s="0" t="n">
        <f aca="false">ROW()-1</f>
        <v>3875</v>
      </c>
      <c r="I3876" s="0" t="str">
        <f aca="false">IF(OR(הגדרות!$E$6=0,H3876&gt;הגדרות!$E$5),"",IF(H3876-1&lt;הגדרות!$E$8*(הגדרות!$E$7+1),INT((H3876-1)/(הגדרות!$E$7+1)),הגדרות!$E$8+INT((H3876-1-הגדרות!$E$8*(הגדרות!$E$7+1))/הגדרות!$E$7)))</f>
        <v/>
      </c>
      <c r="J3876" s="0" t="str">
        <f aca="false">IF(I3876="","",IF(H3876-1&lt;הגדרות!$E$8*(הגדרות!$E$7+1),MOD(H3876-1,הגדרות!$E$7+1),MOD(H3876-1-הגדרות!$E$8*(הגדרות!$E$7+1),הגדרות!$E$7)))</f>
        <v/>
      </c>
      <c r="K3876" s="0" t="str">
        <f aca="false">IF(I3876="","",J3876*הגדרות!$E$6+I3876+1)</f>
        <v/>
      </c>
      <c r="L3876" s="0" t="str">
        <f aca="false">IF(K3876="","",MATCH(K3876,$F$2:$F$5001,0))</f>
        <v/>
      </c>
      <c r="M3876" s="0" t="str">
        <f aca="false">IF(I3876="","",INDEX(הגדרות!$A$2:$A$21,MOD(I3876+הגדרות!$E$9,הגדרות!$E$6)+1))</f>
        <v/>
      </c>
    </row>
    <row r="3877" customFormat="false" ht="15" hidden="false" customHeight="false" outlineLevel="0" collapsed="false">
      <c r="A3877" s="0" t="str">
        <f aca="false">IF('הדבקת לידים'!A3877="","",IF(ISNUMBER('הדבקת לידים'!A3877),IF(הגדרות!$E$2&gt;0,TEXT('הדבקת לידים'!A3877,REPT("0",הגדרות!$E$2)),TEXT('הדבקת לידים'!A3877,"0")),TRIM('הדבקת לידים'!A3877)))</f>
        <v/>
      </c>
      <c r="B3877" s="0" t="str">
        <f aca="false">IF('הדבקת לידים'!B3877="","",IF(ISNUMBER('הדבקת לידים'!B3877),IF(הגדרות!$E$3&gt;0,TEXT('הדבקת לידים'!B3877,REPT("0",הגדרות!$E$3)),TEXT('הדבקת לידים'!B3877,"0")),TRIM('הדבקת לידים'!B3877)))</f>
        <v/>
      </c>
      <c r="C3877" s="0" t="n">
        <f aca="false">IF(OR(A3877&lt;&gt;"",B3877&lt;&gt;""),1,0)</f>
        <v>0</v>
      </c>
      <c r="D3877" s="0" t="str">
        <f aca="false">IF(C3877=1,MOD(ABS(SIN(ROW()*12.9898+'הדבקת לידים'!$F$2*78.233+IFERROR(--RIGHT(A3877,6),LEN(A3877))*0.0137+IFERROR(--RIGHT(B3877,6),LEN(B3877))*0.0071))*43758.5453,1),"")</f>
        <v/>
      </c>
      <c r="E3877" s="0" t="str">
        <f aca="false">IF(C3877=1,INT(MOD(ABS(SIN(D3877*7919.123+ROW()*0.618+'הדבקת לידים'!$F$2*1.3))*43758.5453,1)*1000000)*10000+ROW(),"")</f>
        <v/>
      </c>
      <c r="F3877" s="0" t="str">
        <f aca="false">IF(E3877="","",RANK(E3877,$E$2:$E$5001,1))</f>
        <v/>
      </c>
      <c r="G3877" s="0" t="n">
        <f aca="false">IF(A3877="",0,IF(SUMPRODUCT(--($A$2:$A$5001=A3877))&gt;1,1,0))</f>
        <v>0</v>
      </c>
      <c r="H3877" s="0" t="n">
        <f aca="false">ROW()-1</f>
        <v>3876</v>
      </c>
      <c r="I3877" s="0" t="str">
        <f aca="false">IF(OR(הגדרות!$E$6=0,H3877&gt;הגדרות!$E$5),"",IF(H3877-1&lt;הגדרות!$E$8*(הגדרות!$E$7+1),INT((H3877-1)/(הגדרות!$E$7+1)),הגדרות!$E$8+INT((H3877-1-הגדרות!$E$8*(הגדרות!$E$7+1))/הגדרות!$E$7)))</f>
        <v/>
      </c>
      <c r="J3877" s="0" t="str">
        <f aca="false">IF(I3877="","",IF(H3877-1&lt;הגדרות!$E$8*(הגדרות!$E$7+1),MOD(H3877-1,הגדרות!$E$7+1),MOD(H3877-1-הגדרות!$E$8*(הגדרות!$E$7+1),הגדרות!$E$7)))</f>
        <v/>
      </c>
      <c r="K3877" s="0" t="str">
        <f aca="false">IF(I3877="","",J3877*הגדרות!$E$6+I3877+1)</f>
        <v/>
      </c>
      <c r="L3877" s="0" t="str">
        <f aca="false">IF(K3877="","",MATCH(K3877,$F$2:$F$5001,0))</f>
        <v/>
      </c>
      <c r="M3877" s="0" t="str">
        <f aca="false">IF(I3877="","",INDEX(הגדרות!$A$2:$A$21,MOD(I3877+הגדרות!$E$9,הגדרות!$E$6)+1))</f>
        <v/>
      </c>
    </row>
    <row r="3878" customFormat="false" ht="15" hidden="false" customHeight="false" outlineLevel="0" collapsed="false">
      <c r="A3878" s="0" t="str">
        <f aca="false">IF('הדבקת לידים'!A3878="","",IF(ISNUMBER('הדבקת לידים'!A3878),IF(הגדרות!$E$2&gt;0,TEXT('הדבקת לידים'!A3878,REPT("0",הגדרות!$E$2)),TEXT('הדבקת לידים'!A3878,"0")),TRIM('הדבקת לידים'!A3878)))</f>
        <v/>
      </c>
      <c r="B3878" s="0" t="str">
        <f aca="false">IF('הדבקת לידים'!B3878="","",IF(ISNUMBER('הדבקת לידים'!B3878),IF(הגדרות!$E$3&gt;0,TEXT('הדבקת לידים'!B3878,REPT("0",הגדרות!$E$3)),TEXT('הדבקת לידים'!B3878,"0")),TRIM('הדבקת לידים'!B3878)))</f>
        <v/>
      </c>
      <c r="C3878" s="0" t="n">
        <f aca="false">IF(OR(A3878&lt;&gt;"",B3878&lt;&gt;""),1,0)</f>
        <v>0</v>
      </c>
      <c r="D3878" s="0" t="str">
        <f aca="false">IF(C3878=1,MOD(ABS(SIN(ROW()*12.9898+'הדבקת לידים'!$F$2*78.233+IFERROR(--RIGHT(A3878,6),LEN(A3878))*0.0137+IFERROR(--RIGHT(B3878,6),LEN(B3878))*0.0071))*43758.5453,1),"")</f>
        <v/>
      </c>
      <c r="E3878" s="0" t="str">
        <f aca="false">IF(C3878=1,INT(MOD(ABS(SIN(D3878*7919.123+ROW()*0.618+'הדבקת לידים'!$F$2*1.3))*43758.5453,1)*1000000)*10000+ROW(),"")</f>
        <v/>
      </c>
      <c r="F3878" s="0" t="str">
        <f aca="false">IF(E3878="","",RANK(E3878,$E$2:$E$5001,1))</f>
        <v/>
      </c>
      <c r="G3878" s="0" t="n">
        <f aca="false">IF(A3878="",0,IF(SUMPRODUCT(--($A$2:$A$5001=A3878))&gt;1,1,0))</f>
        <v>0</v>
      </c>
      <c r="H3878" s="0" t="n">
        <f aca="false">ROW()-1</f>
        <v>3877</v>
      </c>
      <c r="I3878" s="0" t="str">
        <f aca="false">IF(OR(הגדרות!$E$6=0,H3878&gt;הגדרות!$E$5),"",IF(H3878-1&lt;הגדרות!$E$8*(הגדרות!$E$7+1),INT((H3878-1)/(הגדרות!$E$7+1)),הגדרות!$E$8+INT((H3878-1-הגדרות!$E$8*(הגדרות!$E$7+1))/הגדרות!$E$7)))</f>
        <v/>
      </c>
      <c r="J3878" s="0" t="str">
        <f aca="false">IF(I3878="","",IF(H3878-1&lt;הגדרות!$E$8*(הגדרות!$E$7+1),MOD(H3878-1,הגדרות!$E$7+1),MOD(H3878-1-הגדרות!$E$8*(הגדרות!$E$7+1),הגדרות!$E$7)))</f>
        <v/>
      </c>
      <c r="K3878" s="0" t="str">
        <f aca="false">IF(I3878="","",J3878*הגדרות!$E$6+I3878+1)</f>
        <v/>
      </c>
      <c r="L3878" s="0" t="str">
        <f aca="false">IF(K3878="","",MATCH(K3878,$F$2:$F$5001,0))</f>
        <v/>
      </c>
      <c r="M3878" s="0" t="str">
        <f aca="false">IF(I3878="","",INDEX(הגדרות!$A$2:$A$21,MOD(I3878+הגדרות!$E$9,הגדרות!$E$6)+1))</f>
        <v/>
      </c>
    </row>
    <row r="3879" customFormat="false" ht="15" hidden="false" customHeight="false" outlineLevel="0" collapsed="false">
      <c r="A3879" s="0" t="str">
        <f aca="false">IF('הדבקת לידים'!A3879="","",IF(ISNUMBER('הדבקת לידים'!A3879),IF(הגדרות!$E$2&gt;0,TEXT('הדבקת לידים'!A3879,REPT("0",הגדרות!$E$2)),TEXT('הדבקת לידים'!A3879,"0")),TRIM('הדבקת לידים'!A3879)))</f>
        <v/>
      </c>
      <c r="B3879" s="0" t="str">
        <f aca="false">IF('הדבקת לידים'!B3879="","",IF(ISNUMBER('הדבקת לידים'!B3879),IF(הגדרות!$E$3&gt;0,TEXT('הדבקת לידים'!B3879,REPT("0",הגדרות!$E$3)),TEXT('הדבקת לידים'!B3879,"0")),TRIM('הדבקת לידים'!B3879)))</f>
        <v/>
      </c>
      <c r="C3879" s="0" t="n">
        <f aca="false">IF(OR(A3879&lt;&gt;"",B3879&lt;&gt;""),1,0)</f>
        <v>0</v>
      </c>
      <c r="D3879" s="0" t="str">
        <f aca="false">IF(C3879=1,MOD(ABS(SIN(ROW()*12.9898+'הדבקת לידים'!$F$2*78.233+IFERROR(--RIGHT(A3879,6),LEN(A3879))*0.0137+IFERROR(--RIGHT(B3879,6),LEN(B3879))*0.0071))*43758.5453,1),"")</f>
        <v/>
      </c>
      <c r="E3879" s="0" t="str">
        <f aca="false">IF(C3879=1,INT(MOD(ABS(SIN(D3879*7919.123+ROW()*0.618+'הדבקת לידים'!$F$2*1.3))*43758.5453,1)*1000000)*10000+ROW(),"")</f>
        <v/>
      </c>
      <c r="F3879" s="0" t="str">
        <f aca="false">IF(E3879="","",RANK(E3879,$E$2:$E$5001,1))</f>
        <v/>
      </c>
      <c r="G3879" s="0" t="n">
        <f aca="false">IF(A3879="",0,IF(SUMPRODUCT(--($A$2:$A$5001=A3879))&gt;1,1,0))</f>
        <v>0</v>
      </c>
      <c r="H3879" s="0" t="n">
        <f aca="false">ROW()-1</f>
        <v>3878</v>
      </c>
      <c r="I3879" s="0" t="str">
        <f aca="false">IF(OR(הגדרות!$E$6=0,H3879&gt;הגדרות!$E$5),"",IF(H3879-1&lt;הגדרות!$E$8*(הגדרות!$E$7+1),INT((H3879-1)/(הגדרות!$E$7+1)),הגדרות!$E$8+INT((H3879-1-הגדרות!$E$8*(הגדרות!$E$7+1))/הגדרות!$E$7)))</f>
        <v/>
      </c>
      <c r="J3879" s="0" t="str">
        <f aca="false">IF(I3879="","",IF(H3879-1&lt;הגדרות!$E$8*(הגדרות!$E$7+1),MOD(H3879-1,הגדרות!$E$7+1),MOD(H3879-1-הגדרות!$E$8*(הגדרות!$E$7+1),הגדרות!$E$7)))</f>
        <v/>
      </c>
      <c r="K3879" s="0" t="str">
        <f aca="false">IF(I3879="","",J3879*הגדרות!$E$6+I3879+1)</f>
        <v/>
      </c>
      <c r="L3879" s="0" t="str">
        <f aca="false">IF(K3879="","",MATCH(K3879,$F$2:$F$5001,0))</f>
        <v/>
      </c>
      <c r="M3879" s="0" t="str">
        <f aca="false">IF(I3879="","",INDEX(הגדרות!$A$2:$A$21,MOD(I3879+הגדרות!$E$9,הגדרות!$E$6)+1))</f>
        <v/>
      </c>
    </row>
    <row r="3880" customFormat="false" ht="15" hidden="false" customHeight="false" outlineLevel="0" collapsed="false">
      <c r="A3880" s="0" t="str">
        <f aca="false">IF('הדבקת לידים'!A3880="","",IF(ISNUMBER('הדבקת לידים'!A3880),IF(הגדרות!$E$2&gt;0,TEXT('הדבקת לידים'!A3880,REPT("0",הגדרות!$E$2)),TEXT('הדבקת לידים'!A3880,"0")),TRIM('הדבקת לידים'!A3880)))</f>
        <v/>
      </c>
      <c r="B3880" s="0" t="str">
        <f aca="false">IF('הדבקת לידים'!B3880="","",IF(ISNUMBER('הדבקת לידים'!B3880),IF(הגדרות!$E$3&gt;0,TEXT('הדבקת לידים'!B3880,REPT("0",הגדרות!$E$3)),TEXT('הדבקת לידים'!B3880,"0")),TRIM('הדבקת לידים'!B3880)))</f>
        <v/>
      </c>
      <c r="C3880" s="0" t="n">
        <f aca="false">IF(OR(A3880&lt;&gt;"",B3880&lt;&gt;""),1,0)</f>
        <v>0</v>
      </c>
      <c r="D3880" s="0" t="str">
        <f aca="false">IF(C3880=1,MOD(ABS(SIN(ROW()*12.9898+'הדבקת לידים'!$F$2*78.233+IFERROR(--RIGHT(A3880,6),LEN(A3880))*0.0137+IFERROR(--RIGHT(B3880,6),LEN(B3880))*0.0071))*43758.5453,1),"")</f>
        <v/>
      </c>
      <c r="E3880" s="0" t="str">
        <f aca="false">IF(C3880=1,INT(MOD(ABS(SIN(D3880*7919.123+ROW()*0.618+'הדבקת לידים'!$F$2*1.3))*43758.5453,1)*1000000)*10000+ROW(),"")</f>
        <v/>
      </c>
      <c r="F3880" s="0" t="str">
        <f aca="false">IF(E3880="","",RANK(E3880,$E$2:$E$5001,1))</f>
        <v/>
      </c>
      <c r="G3880" s="0" t="n">
        <f aca="false">IF(A3880="",0,IF(SUMPRODUCT(--($A$2:$A$5001=A3880))&gt;1,1,0))</f>
        <v>0</v>
      </c>
      <c r="H3880" s="0" t="n">
        <f aca="false">ROW()-1</f>
        <v>3879</v>
      </c>
      <c r="I3880" s="0" t="str">
        <f aca="false">IF(OR(הגדרות!$E$6=0,H3880&gt;הגדרות!$E$5),"",IF(H3880-1&lt;הגדרות!$E$8*(הגדרות!$E$7+1),INT((H3880-1)/(הגדרות!$E$7+1)),הגדרות!$E$8+INT((H3880-1-הגדרות!$E$8*(הגדרות!$E$7+1))/הגדרות!$E$7)))</f>
        <v/>
      </c>
      <c r="J3880" s="0" t="str">
        <f aca="false">IF(I3880="","",IF(H3880-1&lt;הגדרות!$E$8*(הגדרות!$E$7+1),MOD(H3880-1,הגדרות!$E$7+1),MOD(H3880-1-הגדרות!$E$8*(הגדרות!$E$7+1),הגדרות!$E$7)))</f>
        <v/>
      </c>
      <c r="K3880" s="0" t="str">
        <f aca="false">IF(I3880="","",J3880*הגדרות!$E$6+I3880+1)</f>
        <v/>
      </c>
      <c r="L3880" s="0" t="str">
        <f aca="false">IF(K3880="","",MATCH(K3880,$F$2:$F$5001,0))</f>
        <v/>
      </c>
      <c r="M3880" s="0" t="str">
        <f aca="false">IF(I3880="","",INDEX(הגדרות!$A$2:$A$21,MOD(I3880+הגדרות!$E$9,הגדרות!$E$6)+1))</f>
        <v/>
      </c>
    </row>
    <row r="3881" customFormat="false" ht="15" hidden="false" customHeight="false" outlineLevel="0" collapsed="false">
      <c r="A3881" s="0" t="str">
        <f aca="false">IF('הדבקת לידים'!A3881="","",IF(ISNUMBER('הדבקת לידים'!A3881),IF(הגדרות!$E$2&gt;0,TEXT('הדבקת לידים'!A3881,REPT("0",הגדרות!$E$2)),TEXT('הדבקת לידים'!A3881,"0")),TRIM('הדבקת לידים'!A3881)))</f>
        <v/>
      </c>
      <c r="B3881" s="0" t="str">
        <f aca="false">IF('הדבקת לידים'!B3881="","",IF(ISNUMBER('הדבקת לידים'!B3881),IF(הגדרות!$E$3&gt;0,TEXT('הדבקת לידים'!B3881,REPT("0",הגדרות!$E$3)),TEXT('הדבקת לידים'!B3881,"0")),TRIM('הדבקת לידים'!B3881)))</f>
        <v/>
      </c>
      <c r="C3881" s="0" t="n">
        <f aca="false">IF(OR(A3881&lt;&gt;"",B3881&lt;&gt;""),1,0)</f>
        <v>0</v>
      </c>
      <c r="D3881" s="0" t="str">
        <f aca="false">IF(C3881=1,MOD(ABS(SIN(ROW()*12.9898+'הדבקת לידים'!$F$2*78.233+IFERROR(--RIGHT(A3881,6),LEN(A3881))*0.0137+IFERROR(--RIGHT(B3881,6),LEN(B3881))*0.0071))*43758.5453,1),"")</f>
        <v/>
      </c>
      <c r="E3881" s="0" t="str">
        <f aca="false">IF(C3881=1,INT(MOD(ABS(SIN(D3881*7919.123+ROW()*0.618+'הדבקת לידים'!$F$2*1.3))*43758.5453,1)*1000000)*10000+ROW(),"")</f>
        <v/>
      </c>
      <c r="F3881" s="0" t="str">
        <f aca="false">IF(E3881="","",RANK(E3881,$E$2:$E$5001,1))</f>
        <v/>
      </c>
      <c r="G3881" s="0" t="n">
        <f aca="false">IF(A3881="",0,IF(SUMPRODUCT(--($A$2:$A$5001=A3881))&gt;1,1,0))</f>
        <v>0</v>
      </c>
      <c r="H3881" s="0" t="n">
        <f aca="false">ROW()-1</f>
        <v>3880</v>
      </c>
      <c r="I3881" s="0" t="str">
        <f aca="false">IF(OR(הגדרות!$E$6=0,H3881&gt;הגדרות!$E$5),"",IF(H3881-1&lt;הגדרות!$E$8*(הגדרות!$E$7+1),INT((H3881-1)/(הגדרות!$E$7+1)),הגדרות!$E$8+INT((H3881-1-הגדרות!$E$8*(הגדרות!$E$7+1))/הגדרות!$E$7)))</f>
        <v/>
      </c>
      <c r="J3881" s="0" t="str">
        <f aca="false">IF(I3881="","",IF(H3881-1&lt;הגדרות!$E$8*(הגדרות!$E$7+1),MOD(H3881-1,הגדרות!$E$7+1),MOD(H3881-1-הגדרות!$E$8*(הגדרות!$E$7+1),הגדרות!$E$7)))</f>
        <v/>
      </c>
      <c r="K3881" s="0" t="str">
        <f aca="false">IF(I3881="","",J3881*הגדרות!$E$6+I3881+1)</f>
        <v/>
      </c>
      <c r="L3881" s="0" t="str">
        <f aca="false">IF(K3881="","",MATCH(K3881,$F$2:$F$5001,0))</f>
        <v/>
      </c>
      <c r="M3881" s="0" t="str">
        <f aca="false">IF(I3881="","",INDEX(הגדרות!$A$2:$A$21,MOD(I3881+הגדרות!$E$9,הגדרות!$E$6)+1))</f>
        <v/>
      </c>
    </row>
    <row r="3882" customFormat="false" ht="15" hidden="false" customHeight="false" outlineLevel="0" collapsed="false">
      <c r="A3882" s="0" t="str">
        <f aca="false">IF('הדבקת לידים'!A3882="","",IF(ISNUMBER('הדבקת לידים'!A3882),IF(הגדרות!$E$2&gt;0,TEXT('הדבקת לידים'!A3882,REPT("0",הגדרות!$E$2)),TEXT('הדבקת לידים'!A3882,"0")),TRIM('הדבקת לידים'!A3882)))</f>
        <v/>
      </c>
      <c r="B3882" s="0" t="str">
        <f aca="false">IF('הדבקת לידים'!B3882="","",IF(ISNUMBER('הדבקת לידים'!B3882),IF(הגדרות!$E$3&gt;0,TEXT('הדבקת לידים'!B3882,REPT("0",הגדרות!$E$3)),TEXT('הדבקת לידים'!B3882,"0")),TRIM('הדבקת לידים'!B3882)))</f>
        <v/>
      </c>
      <c r="C3882" s="0" t="n">
        <f aca="false">IF(OR(A3882&lt;&gt;"",B3882&lt;&gt;""),1,0)</f>
        <v>0</v>
      </c>
      <c r="D3882" s="0" t="str">
        <f aca="false">IF(C3882=1,MOD(ABS(SIN(ROW()*12.9898+'הדבקת לידים'!$F$2*78.233+IFERROR(--RIGHT(A3882,6),LEN(A3882))*0.0137+IFERROR(--RIGHT(B3882,6),LEN(B3882))*0.0071))*43758.5453,1),"")</f>
        <v/>
      </c>
      <c r="E3882" s="0" t="str">
        <f aca="false">IF(C3882=1,INT(MOD(ABS(SIN(D3882*7919.123+ROW()*0.618+'הדבקת לידים'!$F$2*1.3))*43758.5453,1)*1000000)*10000+ROW(),"")</f>
        <v/>
      </c>
      <c r="F3882" s="0" t="str">
        <f aca="false">IF(E3882="","",RANK(E3882,$E$2:$E$5001,1))</f>
        <v/>
      </c>
      <c r="G3882" s="0" t="n">
        <f aca="false">IF(A3882="",0,IF(SUMPRODUCT(--($A$2:$A$5001=A3882))&gt;1,1,0))</f>
        <v>0</v>
      </c>
      <c r="H3882" s="0" t="n">
        <f aca="false">ROW()-1</f>
        <v>3881</v>
      </c>
      <c r="I3882" s="0" t="str">
        <f aca="false">IF(OR(הגדרות!$E$6=0,H3882&gt;הגדרות!$E$5),"",IF(H3882-1&lt;הגדרות!$E$8*(הגדרות!$E$7+1),INT((H3882-1)/(הגדרות!$E$7+1)),הגדרות!$E$8+INT((H3882-1-הגדרות!$E$8*(הגדרות!$E$7+1))/הגדרות!$E$7)))</f>
        <v/>
      </c>
      <c r="J3882" s="0" t="str">
        <f aca="false">IF(I3882="","",IF(H3882-1&lt;הגדרות!$E$8*(הגדרות!$E$7+1),MOD(H3882-1,הגדרות!$E$7+1),MOD(H3882-1-הגדרות!$E$8*(הגדרות!$E$7+1),הגדרות!$E$7)))</f>
        <v/>
      </c>
      <c r="K3882" s="0" t="str">
        <f aca="false">IF(I3882="","",J3882*הגדרות!$E$6+I3882+1)</f>
        <v/>
      </c>
      <c r="L3882" s="0" t="str">
        <f aca="false">IF(K3882="","",MATCH(K3882,$F$2:$F$5001,0))</f>
        <v/>
      </c>
      <c r="M3882" s="0" t="str">
        <f aca="false">IF(I3882="","",INDEX(הגדרות!$A$2:$A$21,MOD(I3882+הגדרות!$E$9,הגדרות!$E$6)+1))</f>
        <v/>
      </c>
    </row>
    <row r="3883" customFormat="false" ht="15" hidden="false" customHeight="false" outlineLevel="0" collapsed="false">
      <c r="A3883" s="0" t="str">
        <f aca="false">IF('הדבקת לידים'!A3883="","",IF(ISNUMBER('הדבקת לידים'!A3883),IF(הגדרות!$E$2&gt;0,TEXT('הדבקת לידים'!A3883,REPT("0",הגדרות!$E$2)),TEXT('הדבקת לידים'!A3883,"0")),TRIM('הדבקת לידים'!A3883)))</f>
        <v/>
      </c>
      <c r="B3883" s="0" t="str">
        <f aca="false">IF('הדבקת לידים'!B3883="","",IF(ISNUMBER('הדבקת לידים'!B3883),IF(הגדרות!$E$3&gt;0,TEXT('הדבקת לידים'!B3883,REPT("0",הגדרות!$E$3)),TEXT('הדבקת לידים'!B3883,"0")),TRIM('הדבקת לידים'!B3883)))</f>
        <v/>
      </c>
      <c r="C3883" s="0" t="n">
        <f aca="false">IF(OR(A3883&lt;&gt;"",B3883&lt;&gt;""),1,0)</f>
        <v>0</v>
      </c>
      <c r="D3883" s="0" t="str">
        <f aca="false">IF(C3883=1,MOD(ABS(SIN(ROW()*12.9898+'הדבקת לידים'!$F$2*78.233+IFERROR(--RIGHT(A3883,6),LEN(A3883))*0.0137+IFERROR(--RIGHT(B3883,6),LEN(B3883))*0.0071))*43758.5453,1),"")</f>
        <v/>
      </c>
      <c r="E3883" s="0" t="str">
        <f aca="false">IF(C3883=1,INT(MOD(ABS(SIN(D3883*7919.123+ROW()*0.618+'הדבקת לידים'!$F$2*1.3))*43758.5453,1)*1000000)*10000+ROW(),"")</f>
        <v/>
      </c>
      <c r="F3883" s="0" t="str">
        <f aca="false">IF(E3883="","",RANK(E3883,$E$2:$E$5001,1))</f>
        <v/>
      </c>
      <c r="G3883" s="0" t="n">
        <f aca="false">IF(A3883="",0,IF(SUMPRODUCT(--($A$2:$A$5001=A3883))&gt;1,1,0))</f>
        <v>0</v>
      </c>
      <c r="H3883" s="0" t="n">
        <f aca="false">ROW()-1</f>
        <v>3882</v>
      </c>
      <c r="I3883" s="0" t="str">
        <f aca="false">IF(OR(הגדרות!$E$6=0,H3883&gt;הגדרות!$E$5),"",IF(H3883-1&lt;הגדרות!$E$8*(הגדרות!$E$7+1),INT((H3883-1)/(הגדרות!$E$7+1)),הגדרות!$E$8+INT((H3883-1-הגדרות!$E$8*(הגדרות!$E$7+1))/הגדרות!$E$7)))</f>
        <v/>
      </c>
      <c r="J3883" s="0" t="str">
        <f aca="false">IF(I3883="","",IF(H3883-1&lt;הגדרות!$E$8*(הגדרות!$E$7+1),MOD(H3883-1,הגדרות!$E$7+1),MOD(H3883-1-הגדרות!$E$8*(הגדרות!$E$7+1),הגדרות!$E$7)))</f>
        <v/>
      </c>
      <c r="K3883" s="0" t="str">
        <f aca="false">IF(I3883="","",J3883*הגדרות!$E$6+I3883+1)</f>
        <v/>
      </c>
      <c r="L3883" s="0" t="str">
        <f aca="false">IF(K3883="","",MATCH(K3883,$F$2:$F$5001,0))</f>
        <v/>
      </c>
      <c r="M3883" s="0" t="str">
        <f aca="false">IF(I3883="","",INDEX(הגדרות!$A$2:$A$21,MOD(I3883+הגדרות!$E$9,הגדרות!$E$6)+1))</f>
        <v/>
      </c>
    </row>
    <row r="3884" customFormat="false" ht="15" hidden="false" customHeight="false" outlineLevel="0" collapsed="false">
      <c r="A3884" s="0" t="str">
        <f aca="false">IF('הדבקת לידים'!A3884="","",IF(ISNUMBER('הדבקת לידים'!A3884),IF(הגדרות!$E$2&gt;0,TEXT('הדבקת לידים'!A3884,REPT("0",הגדרות!$E$2)),TEXT('הדבקת לידים'!A3884,"0")),TRIM('הדבקת לידים'!A3884)))</f>
        <v/>
      </c>
      <c r="B3884" s="0" t="str">
        <f aca="false">IF('הדבקת לידים'!B3884="","",IF(ISNUMBER('הדבקת לידים'!B3884),IF(הגדרות!$E$3&gt;0,TEXT('הדבקת לידים'!B3884,REPT("0",הגדרות!$E$3)),TEXT('הדבקת לידים'!B3884,"0")),TRIM('הדבקת לידים'!B3884)))</f>
        <v/>
      </c>
      <c r="C3884" s="0" t="n">
        <f aca="false">IF(OR(A3884&lt;&gt;"",B3884&lt;&gt;""),1,0)</f>
        <v>0</v>
      </c>
      <c r="D3884" s="0" t="str">
        <f aca="false">IF(C3884=1,MOD(ABS(SIN(ROW()*12.9898+'הדבקת לידים'!$F$2*78.233+IFERROR(--RIGHT(A3884,6),LEN(A3884))*0.0137+IFERROR(--RIGHT(B3884,6),LEN(B3884))*0.0071))*43758.5453,1),"")</f>
        <v/>
      </c>
      <c r="E3884" s="0" t="str">
        <f aca="false">IF(C3884=1,INT(MOD(ABS(SIN(D3884*7919.123+ROW()*0.618+'הדבקת לידים'!$F$2*1.3))*43758.5453,1)*1000000)*10000+ROW(),"")</f>
        <v/>
      </c>
      <c r="F3884" s="0" t="str">
        <f aca="false">IF(E3884="","",RANK(E3884,$E$2:$E$5001,1))</f>
        <v/>
      </c>
      <c r="G3884" s="0" t="n">
        <f aca="false">IF(A3884="",0,IF(SUMPRODUCT(--($A$2:$A$5001=A3884))&gt;1,1,0))</f>
        <v>0</v>
      </c>
      <c r="H3884" s="0" t="n">
        <f aca="false">ROW()-1</f>
        <v>3883</v>
      </c>
      <c r="I3884" s="0" t="str">
        <f aca="false">IF(OR(הגדרות!$E$6=0,H3884&gt;הגדרות!$E$5),"",IF(H3884-1&lt;הגדרות!$E$8*(הגדרות!$E$7+1),INT((H3884-1)/(הגדרות!$E$7+1)),הגדרות!$E$8+INT((H3884-1-הגדרות!$E$8*(הגדרות!$E$7+1))/הגדרות!$E$7)))</f>
        <v/>
      </c>
      <c r="J3884" s="0" t="str">
        <f aca="false">IF(I3884="","",IF(H3884-1&lt;הגדרות!$E$8*(הגדרות!$E$7+1),MOD(H3884-1,הגדרות!$E$7+1),MOD(H3884-1-הגדרות!$E$8*(הגדרות!$E$7+1),הגדרות!$E$7)))</f>
        <v/>
      </c>
      <c r="K3884" s="0" t="str">
        <f aca="false">IF(I3884="","",J3884*הגדרות!$E$6+I3884+1)</f>
        <v/>
      </c>
      <c r="L3884" s="0" t="str">
        <f aca="false">IF(K3884="","",MATCH(K3884,$F$2:$F$5001,0))</f>
        <v/>
      </c>
      <c r="M3884" s="0" t="str">
        <f aca="false">IF(I3884="","",INDEX(הגדרות!$A$2:$A$21,MOD(I3884+הגדרות!$E$9,הגדרות!$E$6)+1))</f>
        <v/>
      </c>
    </row>
    <row r="3885" customFormat="false" ht="15" hidden="false" customHeight="false" outlineLevel="0" collapsed="false">
      <c r="A3885" s="0" t="str">
        <f aca="false">IF('הדבקת לידים'!A3885="","",IF(ISNUMBER('הדבקת לידים'!A3885),IF(הגדרות!$E$2&gt;0,TEXT('הדבקת לידים'!A3885,REPT("0",הגדרות!$E$2)),TEXT('הדבקת לידים'!A3885,"0")),TRIM('הדבקת לידים'!A3885)))</f>
        <v/>
      </c>
      <c r="B3885" s="0" t="str">
        <f aca="false">IF('הדבקת לידים'!B3885="","",IF(ISNUMBER('הדבקת לידים'!B3885),IF(הגדרות!$E$3&gt;0,TEXT('הדבקת לידים'!B3885,REPT("0",הגדרות!$E$3)),TEXT('הדבקת לידים'!B3885,"0")),TRIM('הדבקת לידים'!B3885)))</f>
        <v/>
      </c>
      <c r="C3885" s="0" t="n">
        <f aca="false">IF(OR(A3885&lt;&gt;"",B3885&lt;&gt;""),1,0)</f>
        <v>0</v>
      </c>
      <c r="D3885" s="0" t="str">
        <f aca="false">IF(C3885=1,MOD(ABS(SIN(ROW()*12.9898+'הדבקת לידים'!$F$2*78.233+IFERROR(--RIGHT(A3885,6),LEN(A3885))*0.0137+IFERROR(--RIGHT(B3885,6),LEN(B3885))*0.0071))*43758.5453,1),"")</f>
        <v/>
      </c>
      <c r="E3885" s="0" t="str">
        <f aca="false">IF(C3885=1,INT(MOD(ABS(SIN(D3885*7919.123+ROW()*0.618+'הדבקת לידים'!$F$2*1.3))*43758.5453,1)*1000000)*10000+ROW(),"")</f>
        <v/>
      </c>
      <c r="F3885" s="0" t="str">
        <f aca="false">IF(E3885="","",RANK(E3885,$E$2:$E$5001,1))</f>
        <v/>
      </c>
      <c r="G3885" s="0" t="n">
        <f aca="false">IF(A3885="",0,IF(SUMPRODUCT(--($A$2:$A$5001=A3885))&gt;1,1,0))</f>
        <v>0</v>
      </c>
      <c r="H3885" s="0" t="n">
        <f aca="false">ROW()-1</f>
        <v>3884</v>
      </c>
      <c r="I3885" s="0" t="str">
        <f aca="false">IF(OR(הגדרות!$E$6=0,H3885&gt;הגדרות!$E$5),"",IF(H3885-1&lt;הגדרות!$E$8*(הגדרות!$E$7+1),INT((H3885-1)/(הגדרות!$E$7+1)),הגדרות!$E$8+INT((H3885-1-הגדרות!$E$8*(הגדרות!$E$7+1))/הגדרות!$E$7)))</f>
        <v/>
      </c>
      <c r="J3885" s="0" t="str">
        <f aca="false">IF(I3885="","",IF(H3885-1&lt;הגדרות!$E$8*(הגדרות!$E$7+1),MOD(H3885-1,הגדרות!$E$7+1),MOD(H3885-1-הגדרות!$E$8*(הגדרות!$E$7+1),הגדרות!$E$7)))</f>
        <v/>
      </c>
      <c r="K3885" s="0" t="str">
        <f aca="false">IF(I3885="","",J3885*הגדרות!$E$6+I3885+1)</f>
        <v/>
      </c>
      <c r="L3885" s="0" t="str">
        <f aca="false">IF(K3885="","",MATCH(K3885,$F$2:$F$5001,0))</f>
        <v/>
      </c>
      <c r="M3885" s="0" t="str">
        <f aca="false">IF(I3885="","",INDEX(הגדרות!$A$2:$A$21,MOD(I3885+הגדרות!$E$9,הגדרות!$E$6)+1))</f>
        <v/>
      </c>
    </row>
    <row r="3886" customFormat="false" ht="15" hidden="false" customHeight="false" outlineLevel="0" collapsed="false">
      <c r="A3886" s="0" t="str">
        <f aca="false">IF('הדבקת לידים'!A3886="","",IF(ISNUMBER('הדבקת לידים'!A3886),IF(הגדרות!$E$2&gt;0,TEXT('הדבקת לידים'!A3886,REPT("0",הגדרות!$E$2)),TEXT('הדבקת לידים'!A3886,"0")),TRIM('הדבקת לידים'!A3886)))</f>
        <v/>
      </c>
      <c r="B3886" s="0" t="str">
        <f aca="false">IF('הדבקת לידים'!B3886="","",IF(ISNUMBER('הדבקת לידים'!B3886),IF(הגדרות!$E$3&gt;0,TEXT('הדבקת לידים'!B3886,REPT("0",הגדרות!$E$3)),TEXT('הדבקת לידים'!B3886,"0")),TRIM('הדבקת לידים'!B3886)))</f>
        <v/>
      </c>
      <c r="C3886" s="0" t="n">
        <f aca="false">IF(OR(A3886&lt;&gt;"",B3886&lt;&gt;""),1,0)</f>
        <v>0</v>
      </c>
      <c r="D3886" s="0" t="str">
        <f aca="false">IF(C3886=1,MOD(ABS(SIN(ROW()*12.9898+'הדבקת לידים'!$F$2*78.233+IFERROR(--RIGHT(A3886,6),LEN(A3886))*0.0137+IFERROR(--RIGHT(B3886,6),LEN(B3886))*0.0071))*43758.5453,1),"")</f>
        <v/>
      </c>
      <c r="E3886" s="0" t="str">
        <f aca="false">IF(C3886=1,INT(MOD(ABS(SIN(D3886*7919.123+ROW()*0.618+'הדבקת לידים'!$F$2*1.3))*43758.5453,1)*1000000)*10000+ROW(),"")</f>
        <v/>
      </c>
      <c r="F3886" s="0" t="str">
        <f aca="false">IF(E3886="","",RANK(E3886,$E$2:$E$5001,1))</f>
        <v/>
      </c>
      <c r="G3886" s="0" t="n">
        <f aca="false">IF(A3886="",0,IF(SUMPRODUCT(--($A$2:$A$5001=A3886))&gt;1,1,0))</f>
        <v>0</v>
      </c>
      <c r="H3886" s="0" t="n">
        <f aca="false">ROW()-1</f>
        <v>3885</v>
      </c>
      <c r="I3886" s="0" t="str">
        <f aca="false">IF(OR(הגדרות!$E$6=0,H3886&gt;הגדרות!$E$5),"",IF(H3886-1&lt;הגדרות!$E$8*(הגדרות!$E$7+1),INT((H3886-1)/(הגדרות!$E$7+1)),הגדרות!$E$8+INT((H3886-1-הגדרות!$E$8*(הגדרות!$E$7+1))/הגדרות!$E$7)))</f>
        <v/>
      </c>
      <c r="J3886" s="0" t="str">
        <f aca="false">IF(I3886="","",IF(H3886-1&lt;הגדרות!$E$8*(הגדרות!$E$7+1),MOD(H3886-1,הגדרות!$E$7+1),MOD(H3886-1-הגדרות!$E$8*(הגדרות!$E$7+1),הגדרות!$E$7)))</f>
        <v/>
      </c>
      <c r="K3886" s="0" t="str">
        <f aca="false">IF(I3886="","",J3886*הגדרות!$E$6+I3886+1)</f>
        <v/>
      </c>
      <c r="L3886" s="0" t="str">
        <f aca="false">IF(K3886="","",MATCH(K3886,$F$2:$F$5001,0))</f>
        <v/>
      </c>
      <c r="M3886" s="0" t="str">
        <f aca="false">IF(I3886="","",INDEX(הגדרות!$A$2:$A$21,MOD(I3886+הגדרות!$E$9,הגדרות!$E$6)+1))</f>
        <v/>
      </c>
    </row>
    <row r="3887" customFormat="false" ht="15" hidden="false" customHeight="false" outlineLevel="0" collapsed="false">
      <c r="A3887" s="0" t="str">
        <f aca="false">IF('הדבקת לידים'!A3887="","",IF(ISNUMBER('הדבקת לידים'!A3887),IF(הגדרות!$E$2&gt;0,TEXT('הדבקת לידים'!A3887,REPT("0",הגדרות!$E$2)),TEXT('הדבקת לידים'!A3887,"0")),TRIM('הדבקת לידים'!A3887)))</f>
        <v/>
      </c>
      <c r="B3887" s="0" t="str">
        <f aca="false">IF('הדבקת לידים'!B3887="","",IF(ISNUMBER('הדבקת לידים'!B3887),IF(הגדרות!$E$3&gt;0,TEXT('הדבקת לידים'!B3887,REPT("0",הגדרות!$E$3)),TEXT('הדבקת לידים'!B3887,"0")),TRIM('הדבקת לידים'!B3887)))</f>
        <v/>
      </c>
      <c r="C3887" s="0" t="n">
        <f aca="false">IF(OR(A3887&lt;&gt;"",B3887&lt;&gt;""),1,0)</f>
        <v>0</v>
      </c>
      <c r="D3887" s="0" t="str">
        <f aca="false">IF(C3887=1,MOD(ABS(SIN(ROW()*12.9898+'הדבקת לידים'!$F$2*78.233+IFERROR(--RIGHT(A3887,6),LEN(A3887))*0.0137+IFERROR(--RIGHT(B3887,6),LEN(B3887))*0.0071))*43758.5453,1),"")</f>
        <v/>
      </c>
      <c r="E3887" s="0" t="str">
        <f aca="false">IF(C3887=1,INT(MOD(ABS(SIN(D3887*7919.123+ROW()*0.618+'הדבקת לידים'!$F$2*1.3))*43758.5453,1)*1000000)*10000+ROW(),"")</f>
        <v/>
      </c>
      <c r="F3887" s="0" t="str">
        <f aca="false">IF(E3887="","",RANK(E3887,$E$2:$E$5001,1))</f>
        <v/>
      </c>
      <c r="G3887" s="0" t="n">
        <f aca="false">IF(A3887="",0,IF(SUMPRODUCT(--($A$2:$A$5001=A3887))&gt;1,1,0))</f>
        <v>0</v>
      </c>
      <c r="H3887" s="0" t="n">
        <f aca="false">ROW()-1</f>
        <v>3886</v>
      </c>
      <c r="I3887" s="0" t="str">
        <f aca="false">IF(OR(הגדרות!$E$6=0,H3887&gt;הגדרות!$E$5),"",IF(H3887-1&lt;הגדרות!$E$8*(הגדרות!$E$7+1),INT((H3887-1)/(הגדרות!$E$7+1)),הגדרות!$E$8+INT((H3887-1-הגדרות!$E$8*(הגדרות!$E$7+1))/הגדרות!$E$7)))</f>
        <v/>
      </c>
      <c r="J3887" s="0" t="str">
        <f aca="false">IF(I3887="","",IF(H3887-1&lt;הגדרות!$E$8*(הגדרות!$E$7+1),MOD(H3887-1,הגדרות!$E$7+1),MOD(H3887-1-הגדרות!$E$8*(הגדרות!$E$7+1),הגדרות!$E$7)))</f>
        <v/>
      </c>
      <c r="K3887" s="0" t="str">
        <f aca="false">IF(I3887="","",J3887*הגדרות!$E$6+I3887+1)</f>
        <v/>
      </c>
      <c r="L3887" s="0" t="str">
        <f aca="false">IF(K3887="","",MATCH(K3887,$F$2:$F$5001,0))</f>
        <v/>
      </c>
      <c r="M3887" s="0" t="str">
        <f aca="false">IF(I3887="","",INDEX(הגדרות!$A$2:$A$21,MOD(I3887+הגדרות!$E$9,הגדרות!$E$6)+1))</f>
        <v/>
      </c>
    </row>
    <row r="3888" customFormat="false" ht="15" hidden="false" customHeight="false" outlineLevel="0" collapsed="false">
      <c r="A3888" s="0" t="str">
        <f aca="false">IF('הדבקת לידים'!A3888="","",IF(ISNUMBER('הדבקת לידים'!A3888),IF(הגדרות!$E$2&gt;0,TEXT('הדבקת לידים'!A3888,REPT("0",הגדרות!$E$2)),TEXT('הדבקת לידים'!A3888,"0")),TRIM('הדבקת לידים'!A3888)))</f>
        <v/>
      </c>
      <c r="B3888" s="0" t="str">
        <f aca="false">IF('הדבקת לידים'!B3888="","",IF(ISNUMBER('הדבקת לידים'!B3888),IF(הגדרות!$E$3&gt;0,TEXT('הדבקת לידים'!B3888,REPT("0",הגדרות!$E$3)),TEXT('הדבקת לידים'!B3888,"0")),TRIM('הדבקת לידים'!B3888)))</f>
        <v/>
      </c>
      <c r="C3888" s="0" t="n">
        <f aca="false">IF(OR(A3888&lt;&gt;"",B3888&lt;&gt;""),1,0)</f>
        <v>0</v>
      </c>
      <c r="D3888" s="0" t="str">
        <f aca="false">IF(C3888=1,MOD(ABS(SIN(ROW()*12.9898+'הדבקת לידים'!$F$2*78.233+IFERROR(--RIGHT(A3888,6),LEN(A3888))*0.0137+IFERROR(--RIGHT(B3888,6),LEN(B3888))*0.0071))*43758.5453,1),"")</f>
        <v/>
      </c>
      <c r="E3888" s="0" t="str">
        <f aca="false">IF(C3888=1,INT(MOD(ABS(SIN(D3888*7919.123+ROW()*0.618+'הדבקת לידים'!$F$2*1.3))*43758.5453,1)*1000000)*10000+ROW(),"")</f>
        <v/>
      </c>
      <c r="F3888" s="0" t="str">
        <f aca="false">IF(E3888="","",RANK(E3888,$E$2:$E$5001,1))</f>
        <v/>
      </c>
      <c r="G3888" s="0" t="n">
        <f aca="false">IF(A3888="",0,IF(SUMPRODUCT(--($A$2:$A$5001=A3888))&gt;1,1,0))</f>
        <v>0</v>
      </c>
      <c r="H3888" s="0" t="n">
        <f aca="false">ROW()-1</f>
        <v>3887</v>
      </c>
      <c r="I3888" s="0" t="str">
        <f aca="false">IF(OR(הגדרות!$E$6=0,H3888&gt;הגדרות!$E$5),"",IF(H3888-1&lt;הגדרות!$E$8*(הגדרות!$E$7+1),INT((H3888-1)/(הגדרות!$E$7+1)),הגדרות!$E$8+INT((H3888-1-הגדרות!$E$8*(הגדרות!$E$7+1))/הגדרות!$E$7)))</f>
        <v/>
      </c>
      <c r="J3888" s="0" t="str">
        <f aca="false">IF(I3888="","",IF(H3888-1&lt;הגדרות!$E$8*(הגדרות!$E$7+1),MOD(H3888-1,הגדרות!$E$7+1),MOD(H3888-1-הגדרות!$E$8*(הגדרות!$E$7+1),הגדרות!$E$7)))</f>
        <v/>
      </c>
      <c r="K3888" s="0" t="str">
        <f aca="false">IF(I3888="","",J3888*הגדרות!$E$6+I3888+1)</f>
        <v/>
      </c>
      <c r="L3888" s="0" t="str">
        <f aca="false">IF(K3888="","",MATCH(K3888,$F$2:$F$5001,0))</f>
        <v/>
      </c>
      <c r="M3888" s="0" t="str">
        <f aca="false">IF(I3888="","",INDEX(הגדרות!$A$2:$A$21,MOD(I3888+הגדרות!$E$9,הגדרות!$E$6)+1))</f>
        <v/>
      </c>
    </row>
    <row r="3889" customFormat="false" ht="15" hidden="false" customHeight="false" outlineLevel="0" collapsed="false">
      <c r="A3889" s="0" t="str">
        <f aca="false">IF('הדבקת לידים'!A3889="","",IF(ISNUMBER('הדבקת לידים'!A3889),IF(הגדרות!$E$2&gt;0,TEXT('הדבקת לידים'!A3889,REPT("0",הגדרות!$E$2)),TEXT('הדבקת לידים'!A3889,"0")),TRIM('הדבקת לידים'!A3889)))</f>
        <v/>
      </c>
      <c r="B3889" s="0" t="str">
        <f aca="false">IF('הדבקת לידים'!B3889="","",IF(ISNUMBER('הדבקת לידים'!B3889),IF(הגדרות!$E$3&gt;0,TEXT('הדבקת לידים'!B3889,REPT("0",הגדרות!$E$3)),TEXT('הדבקת לידים'!B3889,"0")),TRIM('הדבקת לידים'!B3889)))</f>
        <v/>
      </c>
      <c r="C3889" s="0" t="n">
        <f aca="false">IF(OR(A3889&lt;&gt;"",B3889&lt;&gt;""),1,0)</f>
        <v>0</v>
      </c>
      <c r="D3889" s="0" t="str">
        <f aca="false">IF(C3889=1,MOD(ABS(SIN(ROW()*12.9898+'הדבקת לידים'!$F$2*78.233+IFERROR(--RIGHT(A3889,6),LEN(A3889))*0.0137+IFERROR(--RIGHT(B3889,6),LEN(B3889))*0.0071))*43758.5453,1),"")</f>
        <v/>
      </c>
      <c r="E3889" s="0" t="str">
        <f aca="false">IF(C3889=1,INT(MOD(ABS(SIN(D3889*7919.123+ROW()*0.618+'הדבקת לידים'!$F$2*1.3))*43758.5453,1)*1000000)*10000+ROW(),"")</f>
        <v/>
      </c>
      <c r="F3889" s="0" t="str">
        <f aca="false">IF(E3889="","",RANK(E3889,$E$2:$E$5001,1))</f>
        <v/>
      </c>
      <c r="G3889" s="0" t="n">
        <f aca="false">IF(A3889="",0,IF(SUMPRODUCT(--($A$2:$A$5001=A3889))&gt;1,1,0))</f>
        <v>0</v>
      </c>
      <c r="H3889" s="0" t="n">
        <f aca="false">ROW()-1</f>
        <v>3888</v>
      </c>
      <c r="I3889" s="0" t="str">
        <f aca="false">IF(OR(הגדרות!$E$6=0,H3889&gt;הגדרות!$E$5),"",IF(H3889-1&lt;הגדרות!$E$8*(הגדרות!$E$7+1),INT((H3889-1)/(הגדרות!$E$7+1)),הגדרות!$E$8+INT((H3889-1-הגדרות!$E$8*(הגדרות!$E$7+1))/הגדרות!$E$7)))</f>
        <v/>
      </c>
      <c r="J3889" s="0" t="str">
        <f aca="false">IF(I3889="","",IF(H3889-1&lt;הגדרות!$E$8*(הגדרות!$E$7+1),MOD(H3889-1,הגדרות!$E$7+1),MOD(H3889-1-הגדרות!$E$8*(הגדרות!$E$7+1),הגדרות!$E$7)))</f>
        <v/>
      </c>
      <c r="K3889" s="0" t="str">
        <f aca="false">IF(I3889="","",J3889*הגדרות!$E$6+I3889+1)</f>
        <v/>
      </c>
      <c r="L3889" s="0" t="str">
        <f aca="false">IF(K3889="","",MATCH(K3889,$F$2:$F$5001,0))</f>
        <v/>
      </c>
      <c r="M3889" s="0" t="str">
        <f aca="false">IF(I3889="","",INDEX(הגדרות!$A$2:$A$21,MOD(I3889+הגדרות!$E$9,הגדרות!$E$6)+1))</f>
        <v/>
      </c>
    </row>
    <row r="3890" customFormat="false" ht="15" hidden="false" customHeight="false" outlineLevel="0" collapsed="false">
      <c r="A3890" s="0" t="str">
        <f aca="false">IF('הדבקת לידים'!A3890="","",IF(ISNUMBER('הדבקת לידים'!A3890),IF(הגדרות!$E$2&gt;0,TEXT('הדבקת לידים'!A3890,REPT("0",הגדרות!$E$2)),TEXT('הדבקת לידים'!A3890,"0")),TRIM('הדבקת לידים'!A3890)))</f>
        <v/>
      </c>
      <c r="B3890" s="0" t="str">
        <f aca="false">IF('הדבקת לידים'!B3890="","",IF(ISNUMBER('הדבקת לידים'!B3890),IF(הגדרות!$E$3&gt;0,TEXT('הדבקת לידים'!B3890,REPT("0",הגדרות!$E$3)),TEXT('הדבקת לידים'!B3890,"0")),TRIM('הדבקת לידים'!B3890)))</f>
        <v/>
      </c>
      <c r="C3890" s="0" t="n">
        <f aca="false">IF(OR(A3890&lt;&gt;"",B3890&lt;&gt;""),1,0)</f>
        <v>0</v>
      </c>
      <c r="D3890" s="0" t="str">
        <f aca="false">IF(C3890=1,MOD(ABS(SIN(ROW()*12.9898+'הדבקת לידים'!$F$2*78.233+IFERROR(--RIGHT(A3890,6),LEN(A3890))*0.0137+IFERROR(--RIGHT(B3890,6),LEN(B3890))*0.0071))*43758.5453,1),"")</f>
        <v/>
      </c>
      <c r="E3890" s="0" t="str">
        <f aca="false">IF(C3890=1,INT(MOD(ABS(SIN(D3890*7919.123+ROW()*0.618+'הדבקת לידים'!$F$2*1.3))*43758.5453,1)*1000000)*10000+ROW(),"")</f>
        <v/>
      </c>
      <c r="F3890" s="0" t="str">
        <f aca="false">IF(E3890="","",RANK(E3890,$E$2:$E$5001,1))</f>
        <v/>
      </c>
      <c r="G3890" s="0" t="n">
        <f aca="false">IF(A3890="",0,IF(SUMPRODUCT(--($A$2:$A$5001=A3890))&gt;1,1,0))</f>
        <v>0</v>
      </c>
      <c r="H3890" s="0" t="n">
        <f aca="false">ROW()-1</f>
        <v>3889</v>
      </c>
      <c r="I3890" s="0" t="str">
        <f aca="false">IF(OR(הגדרות!$E$6=0,H3890&gt;הגדרות!$E$5),"",IF(H3890-1&lt;הגדרות!$E$8*(הגדרות!$E$7+1),INT((H3890-1)/(הגדרות!$E$7+1)),הגדרות!$E$8+INT((H3890-1-הגדרות!$E$8*(הגדרות!$E$7+1))/הגדרות!$E$7)))</f>
        <v/>
      </c>
      <c r="J3890" s="0" t="str">
        <f aca="false">IF(I3890="","",IF(H3890-1&lt;הגדרות!$E$8*(הגדרות!$E$7+1),MOD(H3890-1,הגדרות!$E$7+1),MOD(H3890-1-הגדרות!$E$8*(הגדרות!$E$7+1),הגדרות!$E$7)))</f>
        <v/>
      </c>
      <c r="K3890" s="0" t="str">
        <f aca="false">IF(I3890="","",J3890*הגדרות!$E$6+I3890+1)</f>
        <v/>
      </c>
      <c r="L3890" s="0" t="str">
        <f aca="false">IF(K3890="","",MATCH(K3890,$F$2:$F$5001,0))</f>
        <v/>
      </c>
      <c r="M3890" s="0" t="str">
        <f aca="false">IF(I3890="","",INDEX(הגדרות!$A$2:$A$21,MOD(I3890+הגדרות!$E$9,הגדרות!$E$6)+1))</f>
        <v/>
      </c>
    </row>
    <row r="3891" customFormat="false" ht="15" hidden="false" customHeight="false" outlineLevel="0" collapsed="false">
      <c r="A3891" s="0" t="str">
        <f aca="false">IF('הדבקת לידים'!A3891="","",IF(ISNUMBER('הדבקת לידים'!A3891),IF(הגדרות!$E$2&gt;0,TEXT('הדבקת לידים'!A3891,REPT("0",הגדרות!$E$2)),TEXT('הדבקת לידים'!A3891,"0")),TRIM('הדבקת לידים'!A3891)))</f>
        <v/>
      </c>
      <c r="B3891" s="0" t="str">
        <f aca="false">IF('הדבקת לידים'!B3891="","",IF(ISNUMBER('הדבקת לידים'!B3891),IF(הגדרות!$E$3&gt;0,TEXT('הדבקת לידים'!B3891,REPT("0",הגדרות!$E$3)),TEXT('הדבקת לידים'!B3891,"0")),TRIM('הדבקת לידים'!B3891)))</f>
        <v/>
      </c>
      <c r="C3891" s="0" t="n">
        <f aca="false">IF(OR(A3891&lt;&gt;"",B3891&lt;&gt;""),1,0)</f>
        <v>0</v>
      </c>
      <c r="D3891" s="0" t="str">
        <f aca="false">IF(C3891=1,MOD(ABS(SIN(ROW()*12.9898+'הדבקת לידים'!$F$2*78.233+IFERROR(--RIGHT(A3891,6),LEN(A3891))*0.0137+IFERROR(--RIGHT(B3891,6),LEN(B3891))*0.0071))*43758.5453,1),"")</f>
        <v/>
      </c>
      <c r="E3891" s="0" t="str">
        <f aca="false">IF(C3891=1,INT(MOD(ABS(SIN(D3891*7919.123+ROW()*0.618+'הדבקת לידים'!$F$2*1.3))*43758.5453,1)*1000000)*10000+ROW(),"")</f>
        <v/>
      </c>
      <c r="F3891" s="0" t="str">
        <f aca="false">IF(E3891="","",RANK(E3891,$E$2:$E$5001,1))</f>
        <v/>
      </c>
      <c r="G3891" s="0" t="n">
        <f aca="false">IF(A3891="",0,IF(SUMPRODUCT(--($A$2:$A$5001=A3891))&gt;1,1,0))</f>
        <v>0</v>
      </c>
      <c r="H3891" s="0" t="n">
        <f aca="false">ROW()-1</f>
        <v>3890</v>
      </c>
      <c r="I3891" s="0" t="str">
        <f aca="false">IF(OR(הגדרות!$E$6=0,H3891&gt;הגדרות!$E$5),"",IF(H3891-1&lt;הגדרות!$E$8*(הגדרות!$E$7+1),INT((H3891-1)/(הגדרות!$E$7+1)),הגדרות!$E$8+INT((H3891-1-הגדרות!$E$8*(הגדרות!$E$7+1))/הגדרות!$E$7)))</f>
        <v/>
      </c>
      <c r="J3891" s="0" t="str">
        <f aca="false">IF(I3891="","",IF(H3891-1&lt;הגדרות!$E$8*(הגדרות!$E$7+1),MOD(H3891-1,הגדרות!$E$7+1),MOD(H3891-1-הגדרות!$E$8*(הגדרות!$E$7+1),הגדרות!$E$7)))</f>
        <v/>
      </c>
      <c r="K3891" s="0" t="str">
        <f aca="false">IF(I3891="","",J3891*הגדרות!$E$6+I3891+1)</f>
        <v/>
      </c>
      <c r="L3891" s="0" t="str">
        <f aca="false">IF(K3891="","",MATCH(K3891,$F$2:$F$5001,0))</f>
        <v/>
      </c>
      <c r="M3891" s="0" t="str">
        <f aca="false">IF(I3891="","",INDEX(הגדרות!$A$2:$A$21,MOD(I3891+הגדרות!$E$9,הגדרות!$E$6)+1))</f>
        <v/>
      </c>
    </row>
    <row r="3892" customFormat="false" ht="15" hidden="false" customHeight="false" outlineLevel="0" collapsed="false">
      <c r="A3892" s="0" t="str">
        <f aca="false">IF('הדבקת לידים'!A3892="","",IF(ISNUMBER('הדבקת לידים'!A3892),IF(הגדרות!$E$2&gt;0,TEXT('הדבקת לידים'!A3892,REPT("0",הגדרות!$E$2)),TEXT('הדבקת לידים'!A3892,"0")),TRIM('הדבקת לידים'!A3892)))</f>
        <v/>
      </c>
      <c r="B3892" s="0" t="str">
        <f aca="false">IF('הדבקת לידים'!B3892="","",IF(ISNUMBER('הדבקת לידים'!B3892),IF(הגדרות!$E$3&gt;0,TEXT('הדבקת לידים'!B3892,REPT("0",הגדרות!$E$3)),TEXT('הדבקת לידים'!B3892,"0")),TRIM('הדבקת לידים'!B3892)))</f>
        <v/>
      </c>
      <c r="C3892" s="0" t="n">
        <f aca="false">IF(OR(A3892&lt;&gt;"",B3892&lt;&gt;""),1,0)</f>
        <v>0</v>
      </c>
      <c r="D3892" s="0" t="str">
        <f aca="false">IF(C3892=1,MOD(ABS(SIN(ROW()*12.9898+'הדבקת לידים'!$F$2*78.233+IFERROR(--RIGHT(A3892,6),LEN(A3892))*0.0137+IFERROR(--RIGHT(B3892,6),LEN(B3892))*0.0071))*43758.5453,1),"")</f>
        <v/>
      </c>
      <c r="E3892" s="0" t="str">
        <f aca="false">IF(C3892=1,INT(MOD(ABS(SIN(D3892*7919.123+ROW()*0.618+'הדבקת לידים'!$F$2*1.3))*43758.5453,1)*1000000)*10000+ROW(),"")</f>
        <v/>
      </c>
      <c r="F3892" s="0" t="str">
        <f aca="false">IF(E3892="","",RANK(E3892,$E$2:$E$5001,1))</f>
        <v/>
      </c>
      <c r="G3892" s="0" t="n">
        <f aca="false">IF(A3892="",0,IF(SUMPRODUCT(--($A$2:$A$5001=A3892))&gt;1,1,0))</f>
        <v>0</v>
      </c>
      <c r="H3892" s="0" t="n">
        <f aca="false">ROW()-1</f>
        <v>3891</v>
      </c>
      <c r="I3892" s="0" t="str">
        <f aca="false">IF(OR(הגדרות!$E$6=0,H3892&gt;הגדרות!$E$5),"",IF(H3892-1&lt;הגדרות!$E$8*(הגדרות!$E$7+1),INT((H3892-1)/(הגדרות!$E$7+1)),הגדרות!$E$8+INT((H3892-1-הגדרות!$E$8*(הגדרות!$E$7+1))/הגדרות!$E$7)))</f>
        <v/>
      </c>
      <c r="J3892" s="0" t="str">
        <f aca="false">IF(I3892="","",IF(H3892-1&lt;הגדרות!$E$8*(הגדרות!$E$7+1),MOD(H3892-1,הגדרות!$E$7+1),MOD(H3892-1-הגדרות!$E$8*(הגדרות!$E$7+1),הגדרות!$E$7)))</f>
        <v/>
      </c>
      <c r="K3892" s="0" t="str">
        <f aca="false">IF(I3892="","",J3892*הגדרות!$E$6+I3892+1)</f>
        <v/>
      </c>
      <c r="L3892" s="0" t="str">
        <f aca="false">IF(K3892="","",MATCH(K3892,$F$2:$F$5001,0))</f>
        <v/>
      </c>
      <c r="M3892" s="0" t="str">
        <f aca="false">IF(I3892="","",INDEX(הגדרות!$A$2:$A$21,MOD(I3892+הגדרות!$E$9,הגדרות!$E$6)+1))</f>
        <v/>
      </c>
    </row>
    <row r="3893" customFormat="false" ht="15" hidden="false" customHeight="false" outlineLevel="0" collapsed="false">
      <c r="A3893" s="0" t="str">
        <f aca="false">IF('הדבקת לידים'!A3893="","",IF(ISNUMBER('הדבקת לידים'!A3893),IF(הגדרות!$E$2&gt;0,TEXT('הדבקת לידים'!A3893,REPT("0",הגדרות!$E$2)),TEXT('הדבקת לידים'!A3893,"0")),TRIM('הדבקת לידים'!A3893)))</f>
        <v/>
      </c>
      <c r="B3893" s="0" t="str">
        <f aca="false">IF('הדבקת לידים'!B3893="","",IF(ISNUMBER('הדבקת לידים'!B3893),IF(הגדרות!$E$3&gt;0,TEXT('הדבקת לידים'!B3893,REPT("0",הגדרות!$E$3)),TEXT('הדבקת לידים'!B3893,"0")),TRIM('הדבקת לידים'!B3893)))</f>
        <v/>
      </c>
      <c r="C3893" s="0" t="n">
        <f aca="false">IF(OR(A3893&lt;&gt;"",B3893&lt;&gt;""),1,0)</f>
        <v>0</v>
      </c>
      <c r="D3893" s="0" t="str">
        <f aca="false">IF(C3893=1,MOD(ABS(SIN(ROW()*12.9898+'הדבקת לידים'!$F$2*78.233+IFERROR(--RIGHT(A3893,6),LEN(A3893))*0.0137+IFERROR(--RIGHT(B3893,6),LEN(B3893))*0.0071))*43758.5453,1),"")</f>
        <v/>
      </c>
      <c r="E3893" s="0" t="str">
        <f aca="false">IF(C3893=1,INT(MOD(ABS(SIN(D3893*7919.123+ROW()*0.618+'הדבקת לידים'!$F$2*1.3))*43758.5453,1)*1000000)*10000+ROW(),"")</f>
        <v/>
      </c>
      <c r="F3893" s="0" t="str">
        <f aca="false">IF(E3893="","",RANK(E3893,$E$2:$E$5001,1))</f>
        <v/>
      </c>
      <c r="G3893" s="0" t="n">
        <f aca="false">IF(A3893="",0,IF(SUMPRODUCT(--($A$2:$A$5001=A3893))&gt;1,1,0))</f>
        <v>0</v>
      </c>
      <c r="H3893" s="0" t="n">
        <f aca="false">ROW()-1</f>
        <v>3892</v>
      </c>
      <c r="I3893" s="0" t="str">
        <f aca="false">IF(OR(הגדרות!$E$6=0,H3893&gt;הגדרות!$E$5),"",IF(H3893-1&lt;הגדרות!$E$8*(הגדרות!$E$7+1),INT((H3893-1)/(הגדרות!$E$7+1)),הגדרות!$E$8+INT((H3893-1-הגדרות!$E$8*(הגדרות!$E$7+1))/הגדרות!$E$7)))</f>
        <v/>
      </c>
      <c r="J3893" s="0" t="str">
        <f aca="false">IF(I3893="","",IF(H3893-1&lt;הגדרות!$E$8*(הגדרות!$E$7+1),MOD(H3893-1,הגדרות!$E$7+1),MOD(H3893-1-הגדרות!$E$8*(הגדרות!$E$7+1),הגדרות!$E$7)))</f>
        <v/>
      </c>
      <c r="K3893" s="0" t="str">
        <f aca="false">IF(I3893="","",J3893*הגדרות!$E$6+I3893+1)</f>
        <v/>
      </c>
      <c r="L3893" s="0" t="str">
        <f aca="false">IF(K3893="","",MATCH(K3893,$F$2:$F$5001,0))</f>
        <v/>
      </c>
      <c r="M3893" s="0" t="str">
        <f aca="false">IF(I3893="","",INDEX(הגדרות!$A$2:$A$21,MOD(I3893+הגדרות!$E$9,הגדרות!$E$6)+1))</f>
        <v/>
      </c>
    </row>
    <row r="3894" customFormat="false" ht="15" hidden="false" customHeight="false" outlineLevel="0" collapsed="false">
      <c r="A3894" s="0" t="str">
        <f aca="false">IF('הדבקת לידים'!A3894="","",IF(ISNUMBER('הדבקת לידים'!A3894),IF(הגדרות!$E$2&gt;0,TEXT('הדבקת לידים'!A3894,REPT("0",הגדרות!$E$2)),TEXT('הדבקת לידים'!A3894,"0")),TRIM('הדבקת לידים'!A3894)))</f>
        <v/>
      </c>
      <c r="B3894" s="0" t="str">
        <f aca="false">IF('הדבקת לידים'!B3894="","",IF(ISNUMBER('הדבקת לידים'!B3894),IF(הגדרות!$E$3&gt;0,TEXT('הדבקת לידים'!B3894,REPT("0",הגדרות!$E$3)),TEXT('הדבקת לידים'!B3894,"0")),TRIM('הדבקת לידים'!B3894)))</f>
        <v/>
      </c>
      <c r="C3894" s="0" t="n">
        <f aca="false">IF(OR(A3894&lt;&gt;"",B3894&lt;&gt;""),1,0)</f>
        <v>0</v>
      </c>
      <c r="D3894" s="0" t="str">
        <f aca="false">IF(C3894=1,MOD(ABS(SIN(ROW()*12.9898+'הדבקת לידים'!$F$2*78.233+IFERROR(--RIGHT(A3894,6),LEN(A3894))*0.0137+IFERROR(--RIGHT(B3894,6),LEN(B3894))*0.0071))*43758.5453,1),"")</f>
        <v/>
      </c>
      <c r="E3894" s="0" t="str">
        <f aca="false">IF(C3894=1,INT(MOD(ABS(SIN(D3894*7919.123+ROW()*0.618+'הדבקת לידים'!$F$2*1.3))*43758.5453,1)*1000000)*10000+ROW(),"")</f>
        <v/>
      </c>
      <c r="F3894" s="0" t="str">
        <f aca="false">IF(E3894="","",RANK(E3894,$E$2:$E$5001,1))</f>
        <v/>
      </c>
      <c r="G3894" s="0" t="n">
        <f aca="false">IF(A3894="",0,IF(SUMPRODUCT(--($A$2:$A$5001=A3894))&gt;1,1,0))</f>
        <v>0</v>
      </c>
      <c r="H3894" s="0" t="n">
        <f aca="false">ROW()-1</f>
        <v>3893</v>
      </c>
      <c r="I3894" s="0" t="str">
        <f aca="false">IF(OR(הגדרות!$E$6=0,H3894&gt;הגדרות!$E$5),"",IF(H3894-1&lt;הגדרות!$E$8*(הגדרות!$E$7+1),INT((H3894-1)/(הגדרות!$E$7+1)),הגדרות!$E$8+INT((H3894-1-הגדרות!$E$8*(הגדרות!$E$7+1))/הגדרות!$E$7)))</f>
        <v/>
      </c>
      <c r="J3894" s="0" t="str">
        <f aca="false">IF(I3894="","",IF(H3894-1&lt;הגדרות!$E$8*(הגדרות!$E$7+1),MOD(H3894-1,הגדרות!$E$7+1),MOD(H3894-1-הגדרות!$E$8*(הגדרות!$E$7+1),הגדרות!$E$7)))</f>
        <v/>
      </c>
      <c r="K3894" s="0" t="str">
        <f aca="false">IF(I3894="","",J3894*הגדרות!$E$6+I3894+1)</f>
        <v/>
      </c>
      <c r="L3894" s="0" t="str">
        <f aca="false">IF(K3894="","",MATCH(K3894,$F$2:$F$5001,0))</f>
        <v/>
      </c>
      <c r="M3894" s="0" t="str">
        <f aca="false">IF(I3894="","",INDEX(הגדרות!$A$2:$A$21,MOD(I3894+הגדרות!$E$9,הגדרות!$E$6)+1))</f>
        <v/>
      </c>
    </row>
    <row r="3895" customFormat="false" ht="15" hidden="false" customHeight="false" outlineLevel="0" collapsed="false">
      <c r="A3895" s="0" t="str">
        <f aca="false">IF('הדבקת לידים'!A3895="","",IF(ISNUMBER('הדבקת לידים'!A3895),IF(הגדרות!$E$2&gt;0,TEXT('הדבקת לידים'!A3895,REPT("0",הגדרות!$E$2)),TEXT('הדבקת לידים'!A3895,"0")),TRIM('הדבקת לידים'!A3895)))</f>
        <v/>
      </c>
      <c r="B3895" s="0" t="str">
        <f aca="false">IF('הדבקת לידים'!B3895="","",IF(ISNUMBER('הדבקת לידים'!B3895),IF(הגדרות!$E$3&gt;0,TEXT('הדבקת לידים'!B3895,REPT("0",הגדרות!$E$3)),TEXT('הדבקת לידים'!B3895,"0")),TRIM('הדבקת לידים'!B3895)))</f>
        <v/>
      </c>
      <c r="C3895" s="0" t="n">
        <f aca="false">IF(OR(A3895&lt;&gt;"",B3895&lt;&gt;""),1,0)</f>
        <v>0</v>
      </c>
      <c r="D3895" s="0" t="str">
        <f aca="false">IF(C3895=1,MOD(ABS(SIN(ROW()*12.9898+'הדבקת לידים'!$F$2*78.233+IFERROR(--RIGHT(A3895,6),LEN(A3895))*0.0137+IFERROR(--RIGHT(B3895,6),LEN(B3895))*0.0071))*43758.5453,1),"")</f>
        <v/>
      </c>
      <c r="E3895" s="0" t="str">
        <f aca="false">IF(C3895=1,INT(MOD(ABS(SIN(D3895*7919.123+ROW()*0.618+'הדבקת לידים'!$F$2*1.3))*43758.5453,1)*1000000)*10000+ROW(),"")</f>
        <v/>
      </c>
      <c r="F3895" s="0" t="str">
        <f aca="false">IF(E3895="","",RANK(E3895,$E$2:$E$5001,1))</f>
        <v/>
      </c>
      <c r="G3895" s="0" t="n">
        <f aca="false">IF(A3895="",0,IF(SUMPRODUCT(--($A$2:$A$5001=A3895))&gt;1,1,0))</f>
        <v>0</v>
      </c>
      <c r="H3895" s="0" t="n">
        <f aca="false">ROW()-1</f>
        <v>3894</v>
      </c>
      <c r="I3895" s="0" t="str">
        <f aca="false">IF(OR(הגדרות!$E$6=0,H3895&gt;הגדרות!$E$5),"",IF(H3895-1&lt;הגדרות!$E$8*(הגדרות!$E$7+1),INT((H3895-1)/(הגדרות!$E$7+1)),הגדרות!$E$8+INT((H3895-1-הגדרות!$E$8*(הגדרות!$E$7+1))/הגדרות!$E$7)))</f>
        <v/>
      </c>
      <c r="J3895" s="0" t="str">
        <f aca="false">IF(I3895="","",IF(H3895-1&lt;הגדרות!$E$8*(הגדרות!$E$7+1),MOD(H3895-1,הגדרות!$E$7+1),MOD(H3895-1-הגדרות!$E$8*(הגדרות!$E$7+1),הגדרות!$E$7)))</f>
        <v/>
      </c>
      <c r="K3895" s="0" t="str">
        <f aca="false">IF(I3895="","",J3895*הגדרות!$E$6+I3895+1)</f>
        <v/>
      </c>
      <c r="L3895" s="0" t="str">
        <f aca="false">IF(K3895="","",MATCH(K3895,$F$2:$F$5001,0))</f>
        <v/>
      </c>
      <c r="M3895" s="0" t="str">
        <f aca="false">IF(I3895="","",INDEX(הגדרות!$A$2:$A$21,MOD(I3895+הגדרות!$E$9,הגדרות!$E$6)+1))</f>
        <v/>
      </c>
    </row>
    <row r="3896" customFormat="false" ht="15" hidden="false" customHeight="false" outlineLevel="0" collapsed="false">
      <c r="A3896" s="0" t="str">
        <f aca="false">IF('הדבקת לידים'!A3896="","",IF(ISNUMBER('הדבקת לידים'!A3896),IF(הגדרות!$E$2&gt;0,TEXT('הדבקת לידים'!A3896,REPT("0",הגדרות!$E$2)),TEXT('הדבקת לידים'!A3896,"0")),TRIM('הדבקת לידים'!A3896)))</f>
        <v/>
      </c>
      <c r="B3896" s="0" t="str">
        <f aca="false">IF('הדבקת לידים'!B3896="","",IF(ISNUMBER('הדבקת לידים'!B3896),IF(הגדרות!$E$3&gt;0,TEXT('הדבקת לידים'!B3896,REPT("0",הגדרות!$E$3)),TEXT('הדבקת לידים'!B3896,"0")),TRIM('הדבקת לידים'!B3896)))</f>
        <v/>
      </c>
      <c r="C3896" s="0" t="n">
        <f aca="false">IF(OR(A3896&lt;&gt;"",B3896&lt;&gt;""),1,0)</f>
        <v>0</v>
      </c>
      <c r="D3896" s="0" t="str">
        <f aca="false">IF(C3896=1,MOD(ABS(SIN(ROW()*12.9898+'הדבקת לידים'!$F$2*78.233+IFERROR(--RIGHT(A3896,6),LEN(A3896))*0.0137+IFERROR(--RIGHT(B3896,6),LEN(B3896))*0.0071))*43758.5453,1),"")</f>
        <v/>
      </c>
      <c r="E3896" s="0" t="str">
        <f aca="false">IF(C3896=1,INT(MOD(ABS(SIN(D3896*7919.123+ROW()*0.618+'הדבקת לידים'!$F$2*1.3))*43758.5453,1)*1000000)*10000+ROW(),"")</f>
        <v/>
      </c>
      <c r="F3896" s="0" t="str">
        <f aca="false">IF(E3896="","",RANK(E3896,$E$2:$E$5001,1))</f>
        <v/>
      </c>
      <c r="G3896" s="0" t="n">
        <f aca="false">IF(A3896="",0,IF(SUMPRODUCT(--($A$2:$A$5001=A3896))&gt;1,1,0))</f>
        <v>0</v>
      </c>
      <c r="H3896" s="0" t="n">
        <f aca="false">ROW()-1</f>
        <v>3895</v>
      </c>
      <c r="I3896" s="0" t="str">
        <f aca="false">IF(OR(הגדרות!$E$6=0,H3896&gt;הגדרות!$E$5),"",IF(H3896-1&lt;הגדרות!$E$8*(הגדרות!$E$7+1),INT((H3896-1)/(הגדרות!$E$7+1)),הגדרות!$E$8+INT((H3896-1-הגדרות!$E$8*(הגדרות!$E$7+1))/הגדרות!$E$7)))</f>
        <v/>
      </c>
      <c r="J3896" s="0" t="str">
        <f aca="false">IF(I3896="","",IF(H3896-1&lt;הגדרות!$E$8*(הגדרות!$E$7+1),MOD(H3896-1,הגדרות!$E$7+1),MOD(H3896-1-הגדרות!$E$8*(הגדרות!$E$7+1),הגדרות!$E$7)))</f>
        <v/>
      </c>
      <c r="K3896" s="0" t="str">
        <f aca="false">IF(I3896="","",J3896*הגדרות!$E$6+I3896+1)</f>
        <v/>
      </c>
      <c r="L3896" s="0" t="str">
        <f aca="false">IF(K3896="","",MATCH(K3896,$F$2:$F$5001,0))</f>
        <v/>
      </c>
      <c r="M3896" s="0" t="str">
        <f aca="false">IF(I3896="","",INDEX(הגדרות!$A$2:$A$21,MOD(I3896+הגדרות!$E$9,הגדרות!$E$6)+1))</f>
        <v/>
      </c>
    </row>
    <row r="3897" customFormat="false" ht="15" hidden="false" customHeight="false" outlineLevel="0" collapsed="false">
      <c r="A3897" s="0" t="str">
        <f aca="false">IF('הדבקת לידים'!A3897="","",IF(ISNUMBER('הדבקת לידים'!A3897),IF(הגדרות!$E$2&gt;0,TEXT('הדבקת לידים'!A3897,REPT("0",הגדרות!$E$2)),TEXT('הדבקת לידים'!A3897,"0")),TRIM('הדבקת לידים'!A3897)))</f>
        <v/>
      </c>
      <c r="B3897" s="0" t="str">
        <f aca="false">IF('הדבקת לידים'!B3897="","",IF(ISNUMBER('הדבקת לידים'!B3897),IF(הגדרות!$E$3&gt;0,TEXT('הדבקת לידים'!B3897,REPT("0",הגדרות!$E$3)),TEXT('הדבקת לידים'!B3897,"0")),TRIM('הדבקת לידים'!B3897)))</f>
        <v/>
      </c>
      <c r="C3897" s="0" t="n">
        <f aca="false">IF(OR(A3897&lt;&gt;"",B3897&lt;&gt;""),1,0)</f>
        <v>0</v>
      </c>
      <c r="D3897" s="0" t="str">
        <f aca="false">IF(C3897=1,MOD(ABS(SIN(ROW()*12.9898+'הדבקת לידים'!$F$2*78.233+IFERROR(--RIGHT(A3897,6),LEN(A3897))*0.0137+IFERROR(--RIGHT(B3897,6),LEN(B3897))*0.0071))*43758.5453,1),"")</f>
        <v/>
      </c>
      <c r="E3897" s="0" t="str">
        <f aca="false">IF(C3897=1,INT(MOD(ABS(SIN(D3897*7919.123+ROW()*0.618+'הדבקת לידים'!$F$2*1.3))*43758.5453,1)*1000000)*10000+ROW(),"")</f>
        <v/>
      </c>
      <c r="F3897" s="0" t="str">
        <f aca="false">IF(E3897="","",RANK(E3897,$E$2:$E$5001,1))</f>
        <v/>
      </c>
      <c r="G3897" s="0" t="n">
        <f aca="false">IF(A3897="",0,IF(SUMPRODUCT(--($A$2:$A$5001=A3897))&gt;1,1,0))</f>
        <v>0</v>
      </c>
      <c r="H3897" s="0" t="n">
        <f aca="false">ROW()-1</f>
        <v>3896</v>
      </c>
      <c r="I3897" s="0" t="str">
        <f aca="false">IF(OR(הגדרות!$E$6=0,H3897&gt;הגדרות!$E$5),"",IF(H3897-1&lt;הגדרות!$E$8*(הגדרות!$E$7+1),INT((H3897-1)/(הגדרות!$E$7+1)),הגדרות!$E$8+INT((H3897-1-הגדרות!$E$8*(הגדרות!$E$7+1))/הגדרות!$E$7)))</f>
        <v/>
      </c>
      <c r="J3897" s="0" t="str">
        <f aca="false">IF(I3897="","",IF(H3897-1&lt;הגדרות!$E$8*(הגדרות!$E$7+1),MOD(H3897-1,הגדרות!$E$7+1),MOD(H3897-1-הגדרות!$E$8*(הגדרות!$E$7+1),הגדרות!$E$7)))</f>
        <v/>
      </c>
      <c r="K3897" s="0" t="str">
        <f aca="false">IF(I3897="","",J3897*הגדרות!$E$6+I3897+1)</f>
        <v/>
      </c>
      <c r="L3897" s="0" t="str">
        <f aca="false">IF(K3897="","",MATCH(K3897,$F$2:$F$5001,0))</f>
        <v/>
      </c>
      <c r="M3897" s="0" t="str">
        <f aca="false">IF(I3897="","",INDEX(הגדרות!$A$2:$A$21,MOD(I3897+הגדרות!$E$9,הגדרות!$E$6)+1))</f>
        <v/>
      </c>
    </row>
    <row r="3898" customFormat="false" ht="15" hidden="false" customHeight="false" outlineLevel="0" collapsed="false">
      <c r="A3898" s="0" t="str">
        <f aca="false">IF('הדבקת לידים'!A3898="","",IF(ISNUMBER('הדבקת לידים'!A3898),IF(הגדרות!$E$2&gt;0,TEXT('הדבקת לידים'!A3898,REPT("0",הגדרות!$E$2)),TEXT('הדבקת לידים'!A3898,"0")),TRIM('הדבקת לידים'!A3898)))</f>
        <v/>
      </c>
      <c r="B3898" s="0" t="str">
        <f aca="false">IF('הדבקת לידים'!B3898="","",IF(ISNUMBER('הדבקת לידים'!B3898),IF(הגדרות!$E$3&gt;0,TEXT('הדבקת לידים'!B3898,REPT("0",הגדרות!$E$3)),TEXT('הדבקת לידים'!B3898,"0")),TRIM('הדבקת לידים'!B3898)))</f>
        <v/>
      </c>
      <c r="C3898" s="0" t="n">
        <f aca="false">IF(OR(A3898&lt;&gt;"",B3898&lt;&gt;""),1,0)</f>
        <v>0</v>
      </c>
      <c r="D3898" s="0" t="str">
        <f aca="false">IF(C3898=1,MOD(ABS(SIN(ROW()*12.9898+'הדבקת לידים'!$F$2*78.233+IFERROR(--RIGHT(A3898,6),LEN(A3898))*0.0137+IFERROR(--RIGHT(B3898,6),LEN(B3898))*0.0071))*43758.5453,1),"")</f>
        <v/>
      </c>
      <c r="E3898" s="0" t="str">
        <f aca="false">IF(C3898=1,INT(MOD(ABS(SIN(D3898*7919.123+ROW()*0.618+'הדבקת לידים'!$F$2*1.3))*43758.5453,1)*1000000)*10000+ROW(),"")</f>
        <v/>
      </c>
      <c r="F3898" s="0" t="str">
        <f aca="false">IF(E3898="","",RANK(E3898,$E$2:$E$5001,1))</f>
        <v/>
      </c>
      <c r="G3898" s="0" t="n">
        <f aca="false">IF(A3898="",0,IF(SUMPRODUCT(--($A$2:$A$5001=A3898))&gt;1,1,0))</f>
        <v>0</v>
      </c>
      <c r="H3898" s="0" t="n">
        <f aca="false">ROW()-1</f>
        <v>3897</v>
      </c>
      <c r="I3898" s="0" t="str">
        <f aca="false">IF(OR(הגדרות!$E$6=0,H3898&gt;הגדרות!$E$5),"",IF(H3898-1&lt;הגדרות!$E$8*(הגדרות!$E$7+1),INT((H3898-1)/(הגדרות!$E$7+1)),הגדרות!$E$8+INT((H3898-1-הגדרות!$E$8*(הגדרות!$E$7+1))/הגדרות!$E$7)))</f>
        <v/>
      </c>
      <c r="J3898" s="0" t="str">
        <f aca="false">IF(I3898="","",IF(H3898-1&lt;הגדרות!$E$8*(הגדרות!$E$7+1),MOD(H3898-1,הגדרות!$E$7+1),MOD(H3898-1-הגדרות!$E$8*(הגדרות!$E$7+1),הגדרות!$E$7)))</f>
        <v/>
      </c>
      <c r="K3898" s="0" t="str">
        <f aca="false">IF(I3898="","",J3898*הגדרות!$E$6+I3898+1)</f>
        <v/>
      </c>
      <c r="L3898" s="0" t="str">
        <f aca="false">IF(K3898="","",MATCH(K3898,$F$2:$F$5001,0))</f>
        <v/>
      </c>
      <c r="M3898" s="0" t="str">
        <f aca="false">IF(I3898="","",INDEX(הגדרות!$A$2:$A$21,MOD(I3898+הגדרות!$E$9,הגדרות!$E$6)+1))</f>
        <v/>
      </c>
    </row>
    <row r="3899" customFormat="false" ht="15" hidden="false" customHeight="false" outlineLevel="0" collapsed="false">
      <c r="A3899" s="0" t="str">
        <f aca="false">IF('הדבקת לידים'!A3899="","",IF(ISNUMBER('הדבקת לידים'!A3899),IF(הגדרות!$E$2&gt;0,TEXT('הדבקת לידים'!A3899,REPT("0",הגדרות!$E$2)),TEXT('הדבקת לידים'!A3899,"0")),TRIM('הדבקת לידים'!A3899)))</f>
        <v/>
      </c>
      <c r="B3899" s="0" t="str">
        <f aca="false">IF('הדבקת לידים'!B3899="","",IF(ISNUMBER('הדבקת לידים'!B3899),IF(הגדרות!$E$3&gt;0,TEXT('הדבקת לידים'!B3899,REPT("0",הגדרות!$E$3)),TEXT('הדבקת לידים'!B3899,"0")),TRIM('הדבקת לידים'!B3899)))</f>
        <v/>
      </c>
      <c r="C3899" s="0" t="n">
        <f aca="false">IF(OR(A3899&lt;&gt;"",B3899&lt;&gt;""),1,0)</f>
        <v>0</v>
      </c>
      <c r="D3899" s="0" t="str">
        <f aca="false">IF(C3899=1,MOD(ABS(SIN(ROW()*12.9898+'הדבקת לידים'!$F$2*78.233+IFERROR(--RIGHT(A3899,6),LEN(A3899))*0.0137+IFERROR(--RIGHT(B3899,6),LEN(B3899))*0.0071))*43758.5453,1),"")</f>
        <v/>
      </c>
      <c r="E3899" s="0" t="str">
        <f aca="false">IF(C3899=1,INT(MOD(ABS(SIN(D3899*7919.123+ROW()*0.618+'הדבקת לידים'!$F$2*1.3))*43758.5453,1)*1000000)*10000+ROW(),"")</f>
        <v/>
      </c>
      <c r="F3899" s="0" t="str">
        <f aca="false">IF(E3899="","",RANK(E3899,$E$2:$E$5001,1))</f>
        <v/>
      </c>
      <c r="G3899" s="0" t="n">
        <f aca="false">IF(A3899="",0,IF(SUMPRODUCT(--($A$2:$A$5001=A3899))&gt;1,1,0))</f>
        <v>0</v>
      </c>
      <c r="H3899" s="0" t="n">
        <f aca="false">ROW()-1</f>
        <v>3898</v>
      </c>
      <c r="I3899" s="0" t="str">
        <f aca="false">IF(OR(הגדרות!$E$6=0,H3899&gt;הגדרות!$E$5),"",IF(H3899-1&lt;הגדרות!$E$8*(הגדרות!$E$7+1),INT((H3899-1)/(הגדרות!$E$7+1)),הגדרות!$E$8+INT((H3899-1-הגדרות!$E$8*(הגדרות!$E$7+1))/הגדרות!$E$7)))</f>
        <v/>
      </c>
      <c r="J3899" s="0" t="str">
        <f aca="false">IF(I3899="","",IF(H3899-1&lt;הגדרות!$E$8*(הגדרות!$E$7+1),MOD(H3899-1,הגדרות!$E$7+1),MOD(H3899-1-הגדרות!$E$8*(הגדרות!$E$7+1),הגדרות!$E$7)))</f>
        <v/>
      </c>
      <c r="K3899" s="0" t="str">
        <f aca="false">IF(I3899="","",J3899*הגדרות!$E$6+I3899+1)</f>
        <v/>
      </c>
      <c r="L3899" s="0" t="str">
        <f aca="false">IF(K3899="","",MATCH(K3899,$F$2:$F$5001,0))</f>
        <v/>
      </c>
      <c r="M3899" s="0" t="str">
        <f aca="false">IF(I3899="","",INDEX(הגדרות!$A$2:$A$21,MOD(I3899+הגדרות!$E$9,הגדרות!$E$6)+1))</f>
        <v/>
      </c>
    </row>
    <row r="3900" customFormat="false" ht="15" hidden="false" customHeight="false" outlineLevel="0" collapsed="false">
      <c r="A3900" s="0" t="str">
        <f aca="false">IF('הדבקת לידים'!A3900="","",IF(ISNUMBER('הדבקת לידים'!A3900),IF(הגדרות!$E$2&gt;0,TEXT('הדבקת לידים'!A3900,REPT("0",הגדרות!$E$2)),TEXT('הדבקת לידים'!A3900,"0")),TRIM('הדבקת לידים'!A3900)))</f>
        <v/>
      </c>
      <c r="B3900" s="0" t="str">
        <f aca="false">IF('הדבקת לידים'!B3900="","",IF(ISNUMBER('הדבקת לידים'!B3900),IF(הגדרות!$E$3&gt;0,TEXT('הדבקת לידים'!B3900,REPT("0",הגדרות!$E$3)),TEXT('הדבקת לידים'!B3900,"0")),TRIM('הדבקת לידים'!B3900)))</f>
        <v/>
      </c>
      <c r="C3900" s="0" t="n">
        <f aca="false">IF(OR(A3900&lt;&gt;"",B3900&lt;&gt;""),1,0)</f>
        <v>0</v>
      </c>
      <c r="D3900" s="0" t="str">
        <f aca="false">IF(C3900=1,MOD(ABS(SIN(ROW()*12.9898+'הדבקת לידים'!$F$2*78.233+IFERROR(--RIGHT(A3900,6),LEN(A3900))*0.0137+IFERROR(--RIGHT(B3900,6),LEN(B3900))*0.0071))*43758.5453,1),"")</f>
        <v/>
      </c>
      <c r="E3900" s="0" t="str">
        <f aca="false">IF(C3900=1,INT(MOD(ABS(SIN(D3900*7919.123+ROW()*0.618+'הדבקת לידים'!$F$2*1.3))*43758.5453,1)*1000000)*10000+ROW(),"")</f>
        <v/>
      </c>
      <c r="F3900" s="0" t="str">
        <f aca="false">IF(E3900="","",RANK(E3900,$E$2:$E$5001,1))</f>
        <v/>
      </c>
      <c r="G3900" s="0" t="n">
        <f aca="false">IF(A3900="",0,IF(SUMPRODUCT(--($A$2:$A$5001=A3900))&gt;1,1,0))</f>
        <v>0</v>
      </c>
      <c r="H3900" s="0" t="n">
        <f aca="false">ROW()-1</f>
        <v>3899</v>
      </c>
      <c r="I3900" s="0" t="str">
        <f aca="false">IF(OR(הגדרות!$E$6=0,H3900&gt;הגדרות!$E$5),"",IF(H3900-1&lt;הגדרות!$E$8*(הגדרות!$E$7+1),INT((H3900-1)/(הגדרות!$E$7+1)),הגדרות!$E$8+INT((H3900-1-הגדרות!$E$8*(הגדרות!$E$7+1))/הגדרות!$E$7)))</f>
        <v/>
      </c>
      <c r="J3900" s="0" t="str">
        <f aca="false">IF(I3900="","",IF(H3900-1&lt;הגדרות!$E$8*(הגדרות!$E$7+1),MOD(H3900-1,הגדרות!$E$7+1),MOD(H3900-1-הגדרות!$E$8*(הגדרות!$E$7+1),הגדרות!$E$7)))</f>
        <v/>
      </c>
      <c r="K3900" s="0" t="str">
        <f aca="false">IF(I3900="","",J3900*הגדרות!$E$6+I3900+1)</f>
        <v/>
      </c>
      <c r="L3900" s="0" t="str">
        <f aca="false">IF(K3900="","",MATCH(K3900,$F$2:$F$5001,0))</f>
        <v/>
      </c>
      <c r="M3900" s="0" t="str">
        <f aca="false">IF(I3900="","",INDEX(הגדרות!$A$2:$A$21,MOD(I3900+הגדרות!$E$9,הגדרות!$E$6)+1))</f>
        <v/>
      </c>
    </row>
    <row r="3901" customFormat="false" ht="15" hidden="false" customHeight="false" outlineLevel="0" collapsed="false">
      <c r="A3901" s="0" t="str">
        <f aca="false">IF('הדבקת לידים'!A3901="","",IF(ISNUMBER('הדבקת לידים'!A3901),IF(הגדרות!$E$2&gt;0,TEXT('הדבקת לידים'!A3901,REPT("0",הגדרות!$E$2)),TEXT('הדבקת לידים'!A3901,"0")),TRIM('הדבקת לידים'!A3901)))</f>
        <v/>
      </c>
      <c r="B3901" s="0" t="str">
        <f aca="false">IF('הדבקת לידים'!B3901="","",IF(ISNUMBER('הדבקת לידים'!B3901),IF(הגדרות!$E$3&gt;0,TEXT('הדבקת לידים'!B3901,REPT("0",הגדרות!$E$3)),TEXT('הדבקת לידים'!B3901,"0")),TRIM('הדבקת לידים'!B3901)))</f>
        <v/>
      </c>
      <c r="C3901" s="0" t="n">
        <f aca="false">IF(OR(A3901&lt;&gt;"",B3901&lt;&gt;""),1,0)</f>
        <v>0</v>
      </c>
      <c r="D3901" s="0" t="str">
        <f aca="false">IF(C3901=1,MOD(ABS(SIN(ROW()*12.9898+'הדבקת לידים'!$F$2*78.233+IFERROR(--RIGHT(A3901,6),LEN(A3901))*0.0137+IFERROR(--RIGHT(B3901,6),LEN(B3901))*0.0071))*43758.5453,1),"")</f>
        <v/>
      </c>
      <c r="E3901" s="0" t="str">
        <f aca="false">IF(C3901=1,INT(MOD(ABS(SIN(D3901*7919.123+ROW()*0.618+'הדבקת לידים'!$F$2*1.3))*43758.5453,1)*1000000)*10000+ROW(),"")</f>
        <v/>
      </c>
      <c r="F3901" s="0" t="str">
        <f aca="false">IF(E3901="","",RANK(E3901,$E$2:$E$5001,1))</f>
        <v/>
      </c>
      <c r="G3901" s="0" t="n">
        <f aca="false">IF(A3901="",0,IF(SUMPRODUCT(--($A$2:$A$5001=A3901))&gt;1,1,0))</f>
        <v>0</v>
      </c>
      <c r="H3901" s="0" t="n">
        <f aca="false">ROW()-1</f>
        <v>3900</v>
      </c>
      <c r="I3901" s="0" t="str">
        <f aca="false">IF(OR(הגדרות!$E$6=0,H3901&gt;הגדרות!$E$5),"",IF(H3901-1&lt;הגדרות!$E$8*(הגדרות!$E$7+1),INT((H3901-1)/(הגדרות!$E$7+1)),הגדרות!$E$8+INT((H3901-1-הגדרות!$E$8*(הגדרות!$E$7+1))/הגדרות!$E$7)))</f>
        <v/>
      </c>
      <c r="J3901" s="0" t="str">
        <f aca="false">IF(I3901="","",IF(H3901-1&lt;הגדרות!$E$8*(הגדרות!$E$7+1),MOD(H3901-1,הגדרות!$E$7+1),MOD(H3901-1-הגדרות!$E$8*(הגדרות!$E$7+1),הגדרות!$E$7)))</f>
        <v/>
      </c>
      <c r="K3901" s="0" t="str">
        <f aca="false">IF(I3901="","",J3901*הגדרות!$E$6+I3901+1)</f>
        <v/>
      </c>
      <c r="L3901" s="0" t="str">
        <f aca="false">IF(K3901="","",MATCH(K3901,$F$2:$F$5001,0))</f>
        <v/>
      </c>
      <c r="M3901" s="0" t="str">
        <f aca="false">IF(I3901="","",INDEX(הגדרות!$A$2:$A$21,MOD(I3901+הגדרות!$E$9,הגדרות!$E$6)+1))</f>
        <v/>
      </c>
    </row>
    <row r="3902" customFormat="false" ht="15" hidden="false" customHeight="false" outlineLevel="0" collapsed="false">
      <c r="A3902" s="0" t="str">
        <f aca="false">IF('הדבקת לידים'!A3902="","",IF(ISNUMBER('הדבקת לידים'!A3902),IF(הגדרות!$E$2&gt;0,TEXT('הדבקת לידים'!A3902,REPT("0",הגדרות!$E$2)),TEXT('הדבקת לידים'!A3902,"0")),TRIM('הדבקת לידים'!A3902)))</f>
        <v/>
      </c>
      <c r="B3902" s="0" t="str">
        <f aca="false">IF('הדבקת לידים'!B3902="","",IF(ISNUMBER('הדבקת לידים'!B3902),IF(הגדרות!$E$3&gt;0,TEXT('הדבקת לידים'!B3902,REPT("0",הגדרות!$E$3)),TEXT('הדבקת לידים'!B3902,"0")),TRIM('הדבקת לידים'!B3902)))</f>
        <v/>
      </c>
      <c r="C3902" s="0" t="n">
        <f aca="false">IF(OR(A3902&lt;&gt;"",B3902&lt;&gt;""),1,0)</f>
        <v>0</v>
      </c>
      <c r="D3902" s="0" t="str">
        <f aca="false">IF(C3902=1,MOD(ABS(SIN(ROW()*12.9898+'הדבקת לידים'!$F$2*78.233+IFERROR(--RIGHT(A3902,6),LEN(A3902))*0.0137+IFERROR(--RIGHT(B3902,6),LEN(B3902))*0.0071))*43758.5453,1),"")</f>
        <v/>
      </c>
      <c r="E3902" s="0" t="str">
        <f aca="false">IF(C3902=1,INT(MOD(ABS(SIN(D3902*7919.123+ROW()*0.618+'הדבקת לידים'!$F$2*1.3))*43758.5453,1)*1000000)*10000+ROW(),"")</f>
        <v/>
      </c>
      <c r="F3902" s="0" t="str">
        <f aca="false">IF(E3902="","",RANK(E3902,$E$2:$E$5001,1))</f>
        <v/>
      </c>
      <c r="G3902" s="0" t="n">
        <f aca="false">IF(A3902="",0,IF(SUMPRODUCT(--($A$2:$A$5001=A3902))&gt;1,1,0))</f>
        <v>0</v>
      </c>
      <c r="H3902" s="0" t="n">
        <f aca="false">ROW()-1</f>
        <v>3901</v>
      </c>
      <c r="I3902" s="0" t="str">
        <f aca="false">IF(OR(הגדרות!$E$6=0,H3902&gt;הגדרות!$E$5),"",IF(H3902-1&lt;הגדרות!$E$8*(הגדרות!$E$7+1),INT((H3902-1)/(הגדרות!$E$7+1)),הגדרות!$E$8+INT((H3902-1-הגדרות!$E$8*(הגדרות!$E$7+1))/הגדרות!$E$7)))</f>
        <v/>
      </c>
      <c r="J3902" s="0" t="str">
        <f aca="false">IF(I3902="","",IF(H3902-1&lt;הגדרות!$E$8*(הגדרות!$E$7+1),MOD(H3902-1,הגדרות!$E$7+1),MOD(H3902-1-הגדרות!$E$8*(הגדרות!$E$7+1),הגדרות!$E$7)))</f>
        <v/>
      </c>
      <c r="K3902" s="0" t="str">
        <f aca="false">IF(I3902="","",J3902*הגדרות!$E$6+I3902+1)</f>
        <v/>
      </c>
      <c r="L3902" s="0" t="str">
        <f aca="false">IF(K3902="","",MATCH(K3902,$F$2:$F$5001,0))</f>
        <v/>
      </c>
      <c r="M3902" s="0" t="str">
        <f aca="false">IF(I3902="","",INDEX(הגדרות!$A$2:$A$21,MOD(I3902+הגדרות!$E$9,הגדרות!$E$6)+1))</f>
        <v/>
      </c>
    </row>
    <row r="3903" customFormat="false" ht="15" hidden="false" customHeight="false" outlineLevel="0" collapsed="false">
      <c r="A3903" s="0" t="str">
        <f aca="false">IF('הדבקת לידים'!A3903="","",IF(ISNUMBER('הדבקת לידים'!A3903),IF(הגדרות!$E$2&gt;0,TEXT('הדבקת לידים'!A3903,REPT("0",הגדרות!$E$2)),TEXT('הדבקת לידים'!A3903,"0")),TRIM('הדבקת לידים'!A3903)))</f>
        <v/>
      </c>
      <c r="B3903" s="0" t="str">
        <f aca="false">IF('הדבקת לידים'!B3903="","",IF(ISNUMBER('הדבקת לידים'!B3903),IF(הגדרות!$E$3&gt;0,TEXT('הדבקת לידים'!B3903,REPT("0",הגדרות!$E$3)),TEXT('הדבקת לידים'!B3903,"0")),TRIM('הדבקת לידים'!B3903)))</f>
        <v/>
      </c>
      <c r="C3903" s="0" t="n">
        <f aca="false">IF(OR(A3903&lt;&gt;"",B3903&lt;&gt;""),1,0)</f>
        <v>0</v>
      </c>
      <c r="D3903" s="0" t="str">
        <f aca="false">IF(C3903=1,MOD(ABS(SIN(ROW()*12.9898+'הדבקת לידים'!$F$2*78.233+IFERROR(--RIGHT(A3903,6),LEN(A3903))*0.0137+IFERROR(--RIGHT(B3903,6),LEN(B3903))*0.0071))*43758.5453,1),"")</f>
        <v/>
      </c>
      <c r="E3903" s="0" t="str">
        <f aca="false">IF(C3903=1,INT(MOD(ABS(SIN(D3903*7919.123+ROW()*0.618+'הדבקת לידים'!$F$2*1.3))*43758.5453,1)*1000000)*10000+ROW(),"")</f>
        <v/>
      </c>
      <c r="F3903" s="0" t="str">
        <f aca="false">IF(E3903="","",RANK(E3903,$E$2:$E$5001,1))</f>
        <v/>
      </c>
      <c r="G3903" s="0" t="n">
        <f aca="false">IF(A3903="",0,IF(SUMPRODUCT(--($A$2:$A$5001=A3903))&gt;1,1,0))</f>
        <v>0</v>
      </c>
      <c r="H3903" s="0" t="n">
        <f aca="false">ROW()-1</f>
        <v>3902</v>
      </c>
      <c r="I3903" s="0" t="str">
        <f aca="false">IF(OR(הגדרות!$E$6=0,H3903&gt;הגדרות!$E$5),"",IF(H3903-1&lt;הגדרות!$E$8*(הגדרות!$E$7+1),INT((H3903-1)/(הגדרות!$E$7+1)),הגדרות!$E$8+INT((H3903-1-הגדרות!$E$8*(הגדרות!$E$7+1))/הגדרות!$E$7)))</f>
        <v/>
      </c>
      <c r="J3903" s="0" t="str">
        <f aca="false">IF(I3903="","",IF(H3903-1&lt;הגדרות!$E$8*(הגדרות!$E$7+1),MOD(H3903-1,הגדרות!$E$7+1),MOD(H3903-1-הגדרות!$E$8*(הגדרות!$E$7+1),הגדרות!$E$7)))</f>
        <v/>
      </c>
      <c r="K3903" s="0" t="str">
        <f aca="false">IF(I3903="","",J3903*הגדרות!$E$6+I3903+1)</f>
        <v/>
      </c>
      <c r="L3903" s="0" t="str">
        <f aca="false">IF(K3903="","",MATCH(K3903,$F$2:$F$5001,0))</f>
        <v/>
      </c>
      <c r="M3903" s="0" t="str">
        <f aca="false">IF(I3903="","",INDEX(הגדרות!$A$2:$A$21,MOD(I3903+הגדרות!$E$9,הגדרות!$E$6)+1))</f>
        <v/>
      </c>
    </row>
    <row r="3904" customFormat="false" ht="15" hidden="false" customHeight="false" outlineLevel="0" collapsed="false">
      <c r="A3904" s="0" t="str">
        <f aca="false">IF('הדבקת לידים'!A3904="","",IF(ISNUMBER('הדבקת לידים'!A3904),IF(הגדרות!$E$2&gt;0,TEXT('הדבקת לידים'!A3904,REPT("0",הגדרות!$E$2)),TEXT('הדבקת לידים'!A3904,"0")),TRIM('הדבקת לידים'!A3904)))</f>
        <v/>
      </c>
      <c r="B3904" s="0" t="str">
        <f aca="false">IF('הדבקת לידים'!B3904="","",IF(ISNUMBER('הדבקת לידים'!B3904),IF(הגדרות!$E$3&gt;0,TEXT('הדבקת לידים'!B3904,REPT("0",הגדרות!$E$3)),TEXT('הדבקת לידים'!B3904,"0")),TRIM('הדבקת לידים'!B3904)))</f>
        <v/>
      </c>
      <c r="C3904" s="0" t="n">
        <f aca="false">IF(OR(A3904&lt;&gt;"",B3904&lt;&gt;""),1,0)</f>
        <v>0</v>
      </c>
      <c r="D3904" s="0" t="str">
        <f aca="false">IF(C3904=1,MOD(ABS(SIN(ROW()*12.9898+'הדבקת לידים'!$F$2*78.233+IFERROR(--RIGHT(A3904,6),LEN(A3904))*0.0137+IFERROR(--RIGHT(B3904,6),LEN(B3904))*0.0071))*43758.5453,1),"")</f>
        <v/>
      </c>
      <c r="E3904" s="0" t="str">
        <f aca="false">IF(C3904=1,INT(MOD(ABS(SIN(D3904*7919.123+ROW()*0.618+'הדבקת לידים'!$F$2*1.3))*43758.5453,1)*1000000)*10000+ROW(),"")</f>
        <v/>
      </c>
      <c r="F3904" s="0" t="str">
        <f aca="false">IF(E3904="","",RANK(E3904,$E$2:$E$5001,1))</f>
        <v/>
      </c>
      <c r="G3904" s="0" t="n">
        <f aca="false">IF(A3904="",0,IF(SUMPRODUCT(--($A$2:$A$5001=A3904))&gt;1,1,0))</f>
        <v>0</v>
      </c>
      <c r="H3904" s="0" t="n">
        <f aca="false">ROW()-1</f>
        <v>3903</v>
      </c>
      <c r="I3904" s="0" t="str">
        <f aca="false">IF(OR(הגדרות!$E$6=0,H3904&gt;הגדרות!$E$5),"",IF(H3904-1&lt;הגדרות!$E$8*(הגדרות!$E$7+1),INT((H3904-1)/(הגדרות!$E$7+1)),הגדרות!$E$8+INT((H3904-1-הגדרות!$E$8*(הגדרות!$E$7+1))/הגדרות!$E$7)))</f>
        <v/>
      </c>
      <c r="J3904" s="0" t="str">
        <f aca="false">IF(I3904="","",IF(H3904-1&lt;הגדרות!$E$8*(הגדרות!$E$7+1),MOD(H3904-1,הגדרות!$E$7+1),MOD(H3904-1-הגדרות!$E$8*(הגדרות!$E$7+1),הגדרות!$E$7)))</f>
        <v/>
      </c>
      <c r="K3904" s="0" t="str">
        <f aca="false">IF(I3904="","",J3904*הגדרות!$E$6+I3904+1)</f>
        <v/>
      </c>
      <c r="L3904" s="0" t="str">
        <f aca="false">IF(K3904="","",MATCH(K3904,$F$2:$F$5001,0))</f>
        <v/>
      </c>
      <c r="M3904" s="0" t="str">
        <f aca="false">IF(I3904="","",INDEX(הגדרות!$A$2:$A$21,MOD(I3904+הגדרות!$E$9,הגדרות!$E$6)+1))</f>
        <v/>
      </c>
    </row>
    <row r="3905" customFormat="false" ht="15" hidden="false" customHeight="false" outlineLevel="0" collapsed="false">
      <c r="A3905" s="0" t="str">
        <f aca="false">IF('הדבקת לידים'!A3905="","",IF(ISNUMBER('הדבקת לידים'!A3905),IF(הגדרות!$E$2&gt;0,TEXT('הדבקת לידים'!A3905,REPT("0",הגדרות!$E$2)),TEXT('הדבקת לידים'!A3905,"0")),TRIM('הדבקת לידים'!A3905)))</f>
        <v/>
      </c>
      <c r="B3905" s="0" t="str">
        <f aca="false">IF('הדבקת לידים'!B3905="","",IF(ISNUMBER('הדבקת לידים'!B3905),IF(הגדרות!$E$3&gt;0,TEXT('הדבקת לידים'!B3905,REPT("0",הגדרות!$E$3)),TEXT('הדבקת לידים'!B3905,"0")),TRIM('הדבקת לידים'!B3905)))</f>
        <v/>
      </c>
      <c r="C3905" s="0" t="n">
        <f aca="false">IF(OR(A3905&lt;&gt;"",B3905&lt;&gt;""),1,0)</f>
        <v>0</v>
      </c>
      <c r="D3905" s="0" t="str">
        <f aca="false">IF(C3905=1,MOD(ABS(SIN(ROW()*12.9898+'הדבקת לידים'!$F$2*78.233+IFERROR(--RIGHT(A3905,6),LEN(A3905))*0.0137+IFERROR(--RIGHT(B3905,6),LEN(B3905))*0.0071))*43758.5453,1),"")</f>
        <v/>
      </c>
      <c r="E3905" s="0" t="str">
        <f aca="false">IF(C3905=1,INT(MOD(ABS(SIN(D3905*7919.123+ROW()*0.618+'הדבקת לידים'!$F$2*1.3))*43758.5453,1)*1000000)*10000+ROW(),"")</f>
        <v/>
      </c>
      <c r="F3905" s="0" t="str">
        <f aca="false">IF(E3905="","",RANK(E3905,$E$2:$E$5001,1))</f>
        <v/>
      </c>
      <c r="G3905" s="0" t="n">
        <f aca="false">IF(A3905="",0,IF(SUMPRODUCT(--($A$2:$A$5001=A3905))&gt;1,1,0))</f>
        <v>0</v>
      </c>
      <c r="H3905" s="0" t="n">
        <f aca="false">ROW()-1</f>
        <v>3904</v>
      </c>
      <c r="I3905" s="0" t="str">
        <f aca="false">IF(OR(הגדרות!$E$6=0,H3905&gt;הגדרות!$E$5),"",IF(H3905-1&lt;הגדרות!$E$8*(הגדרות!$E$7+1),INT((H3905-1)/(הגדרות!$E$7+1)),הגדרות!$E$8+INT((H3905-1-הגדרות!$E$8*(הגדרות!$E$7+1))/הגדרות!$E$7)))</f>
        <v/>
      </c>
      <c r="J3905" s="0" t="str">
        <f aca="false">IF(I3905="","",IF(H3905-1&lt;הגדרות!$E$8*(הגדרות!$E$7+1),MOD(H3905-1,הגדרות!$E$7+1),MOD(H3905-1-הגדרות!$E$8*(הגדרות!$E$7+1),הגדרות!$E$7)))</f>
        <v/>
      </c>
      <c r="K3905" s="0" t="str">
        <f aca="false">IF(I3905="","",J3905*הגדרות!$E$6+I3905+1)</f>
        <v/>
      </c>
      <c r="L3905" s="0" t="str">
        <f aca="false">IF(K3905="","",MATCH(K3905,$F$2:$F$5001,0))</f>
        <v/>
      </c>
      <c r="M3905" s="0" t="str">
        <f aca="false">IF(I3905="","",INDEX(הגדרות!$A$2:$A$21,MOD(I3905+הגדרות!$E$9,הגדרות!$E$6)+1))</f>
        <v/>
      </c>
    </row>
    <row r="3906" customFormat="false" ht="15" hidden="false" customHeight="false" outlineLevel="0" collapsed="false">
      <c r="A3906" s="0" t="str">
        <f aca="false">IF('הדבקת לידים'!A3906="","",IF(ISNUMBER('הדבקת לידים'!A3906),IF(הגדרות!$E$2&gt;0,TEXT('הדבקת לידים'!A3906,REPT("0",הגדרות!$E$2)),TEXT('הדבקת לידים'!A3906,"0")),TRIM('הדבקת לידים'!A3906)))</f>
        <v/>
      </c>
      <c r="B3906" s="0" t="str">
        <f aca="false">IF('הדבקת לידים'!B3906="","",IF(ISNUMBER('הדבקת לידים'!B3906),IF(הגדרות!$E$3&gt;0,TEXT('הדבקת לידים'!B3906,REPT("0",הגדרות!$E$3)),TEXT('הדבקת לידים'!B3906,"0")),TRIM('הדבקת לידים'!B3906)))</f>
        <v/>
      </c>
      <c r="C3906" s="0" t="n">
        <f aca="false">IF(OR(A3906&lt;&gt;"",B3906&lt;&gt;""),1,0)</f>
        <v>0</v>
      </c>
      <c r="D3906" s="0" t="str">
        <f aca="false">IF(C3906=1,MOD(ABS(SIN(ROW()*12.9898+'הדבקת לידים'!$F$2*78.233+IFERROR(--RIGHT(A3906,6),LEN(A3906))*0.0137+IFERROR(--RIGHT(B3906,6),LEN(B3906))*0.0071))*43758.5453,1),"")</f>
        <v/>
      </c>
      <c r="E3906" s="0" t="str">
        <f aca="false">IF(C3906=1,INT(MOD(ABS(SIN(D3906*7919.123+ROW()*0.618+'הדבקת לידים'!$F$2*1.3))*43758.5453,1)*1000000)*10000+ROW(),"")</f>
        <v/>
      </c>
      <c r="F3906" s="0" t="str">
        <f aca="false">IF(E3906="","",RANK(E3906,$E$2:$E$5001,1))</f>
        <v/>
      </c>
      <c r="G3906" s="0" t="n">
        <f aca="false">IF(A3906="",0,IF(SUMPRODUCT(--($A$2:$A$5001=A3906))&gt;1,1,0))</f>
        <v>0</v>
      </c>
      <c r="H3906" s="0" t="n">
        <f aca="false">ROW()-1</f>
        <v>3905</v>
      </c>
      <c r="I3906" s="0" t="str">
        <f aca="false">IF(OR(הגדרות!$E$6=0,H3906&gt;הגדרות!$E$5),"",IF(H3906-1&lt;הגדרות!$E$8*(הגדרות!$E$7+1),INT((H3906-1)/(הגדרות!$E$7+1)),הגדרות!$E$8+INT((H3906-1-הגדרות!$E$8*(הגדרות!$E$7+1))/הגדרות!$E$7)))</f>
        <v/>
      </c>
      <c r="J3906" s="0" t="str">
        <f aca="false">IF(I3906="","",IF(H3906-1&lt;הגדרות!$E$8*(הגדרות!$E$7+1),MOD(H3906-1,הגדרות!$E$7+1),MOD(H3906-1-הגדרות!$E$8*(הגדרות!$E$7+1),הגדרות!$E$7)))</f>
        <v/>
      </c>
      <c r="K3906" s="0" t="str">
        <f aca="false">IF(I3906="","",J3906*הגדרות!$E$6+I3906+1)</f>
        <v/>
      </c>
      <c r="L3906" s="0" t="str">
        <f aca="false">IF(K3906="","",MATCH(K3906,$F$2:$F$5001,0))</f>
        <v/>
      </c>
      <c r="M3906" s="0" t="str">
        <f aca="false">IF(I3906="","",INDEX(הגדרות!$A$2:$A$21,MOD(I3906+הגדרות!$E$9,הגדרות!$E$6)+1))</f>
        <v/>
      </c>
    </row>
    <row r="3907" customFormat="false" ht="15" hidden="false" customHeight="false" outlineLevel="0" collapsed="false">
      <c r="A3907" s="0" t="str">
        <f aca="false">IF('הדבקת לידים'!A3907="","",IF(ISNUMBER('הדבקת לידים'!A3907),IF(הגדרות!$E$2&gt;0,TEXT('הדבקת לידים'!A3907,REPT("0",הגדרות!$E$2)),TEXT('הדבקת לידים'!A3907,"0")),TRIM('הדבקת לידים'!A3907)))</f>
        <v/>
      </c>
      <c r="B3907" s="0" t="str">
        <f aca="false">IF('הדבקת לידים'!B3907="","",IF(ISNUMBER('הדבקת לידים'!B3907),IF(הגדרות!$E$3&gt;0,TEXT('הדבקת לידים'!B3907,REPT("0",הגדרות!$E$3)),TEXT('הדבקת לידים'!B3907,"0")),TRIM('הדבקת לידים'!B3907)))</f>
        <v/>
      </c>
      <c r="C3907" s="0" t="n">
        <f aca="false">IF(OR(A3907&lt;&gt;"",B3907&lt;&gt;""),1,0)</f>
        <v>0</v>
      </c>
      <c r="D3907" s="0" t="str">
        <f aca="false">IF(C3907=1,MOD(ABS(SIN(ROW()*12.9898+'הדבקת לידים'!$F$2*78.233+IFERROR(--RIGHT(A3907,6),LEN(A3907))*0.0137+IFERROR(--RIGHT(B3907,6),LEN(B3907))*0.0071))*43758.5453,1),"")</f>
        <v/>
      </c>
      <c r="E3907" s="0" t="str">
        <f aca="false">IF(C3907=1,INT(MOD(ABS(SIN(D3907*7919.123+ROW()*0.618+'הדבקת לידים'!$F$2*1.3))*43758.5453,1)*1000000)*10000+ROW(),"")</f>
        <v/>
      </c>
      <c r="F3907" s="0" t="str">
        <f aca="false">IF(E3907="","",RANK(E3907,$E$2:$E$5001,1))</f>
        <v/>
      </c>
      <c r="G3907" s="0" t="n">
        <f aca="false">IF(A3907="",0,IF(SUMPRODUCT(--($A$2:$A$5001=A3907))&gt;1,1,0))</f>
        <v>0</v>
      </c>
      <c r="H3907" s="0" t="n">
        <f aca="false">ROW()-1</f>
        <v>3906</v>
      </c>
      <c r="I3907" s="0" t="str">
        <f aca="false">IF(OR(הגדרות!$E$6=0,H3907&gt;הגדרות!$E$5),"",IF(H3907-1&lt;הגדרות!$E$8*(הגדרות!$E$7+1),INT((H3907-1)/(הגדרות!$E$7+1)),הגדרות!$E$8+INT((H3907-1-הגדרות!$E$8*(הגדרות!$E$7+1))/הגדרות!$E$7)))</f>
        <v/>
      </c>
      <c r="J3907" s="0" t="str">
        <f aca="false">IF(I3907="","",IF(H3907-1&lt;הגדרות!$E$8*(הגדרות!$E$7+1),MOD(H3907-1,הגדרות!$E$7+1),MOD(H3907-1-הגדרות!$E$8*(הגדרות!$E$7+1),הגדרות!$E$7)))</f>
        <v/>
      </c>
      <c r="K3907" s="0" t="str">
        <f aca="false">IF(I3907="","",J3907*הגדרות!$E$6+I3907+1)</f>
        <v/>
      </c>
      <c r="L3907" s="0" t="str">
        <f aca="false">IF(K3907="","",MATCH(K3907,$F$2:$F$5001,0))</f>
        <v/>
      </c>
      <c r="M3907" s="0" t="str">
        <f aca="false">IF(I3907="","",INDEX(הגדרות!$A$2:$A$21,MOD(I3907+הגדרות!$E$9,הגדרות!$E$6)+1))</f>
        <v/>
      </c>
    </row>
    <row r="3908" customFormat="false" ht="15" hidden="false" customHeight="false" outlineLevel="0" collapsed="false">
      <c r="A3908" s="0" t="str">
        <f aca="false">IF('הדבקת לידים'!A3908="","",IF(ISNUMBER('הדבקת לידים'!A3908),IF(הגדרות!$E$2&gt;0,TEXT('הדבקת לידים'!A3908,REPT("0",הגדרות!$E$2)),TEXT('הדבקת לידים'!A3908,"0")),TRIM('הדבקת לידים'!A3908)))</f>
        <v/>
      </c>
      <c r="B3908" s="0" t="str">
        <f aca="false">IF('הדבקת לידים'!B3908="","",IF(ISNUMBER('הדבקת לידים'!B3908),IF(הגדרות!$E$3&gt;0,TEXT('הדבקת לידים'!B3908,REPT("0",הגדרות!$E$3)),TEXT('הדבקת לידים'!B3908,"0")),TRIM('הדבקת לידים'!B3908)))</f>
        <v/>
      </c>
      <c r="C3908" s="0" t="n">
        <f aca="false">IF(OR(A3908&lt;&gt;"",B3908&lt;&gt;""),1,0)</f>
        <v>0</v>
      </c>
      <c r="D3908" s="0" t="str">
        <f aca="false">IF(C3908=1,MOD(ABS(SIN(ROW()*12.9898+'הדבקת לידים'!$F$2*78.233+IFERROR(--RIGHT(A3908,6),LEN(A3908))*0.0137+IFERROR(--RIGHT(B3908,6),LEN(B3908))*0.0071))*43758.5453,1),"")</f>
        <v/>
      </c>
      <c r="E3908" s="0" t="str">
        <f aca="false">IF(C3908=1,INT(MOD(ABS(SIN(D3908*7919.123+ROW()*0.618+'הדבקת לידים'!$F$2*1.3))*43758.5453,1)*1000000)*10000+ROW(),"")</f>
        <v/>
      </c>
      <c r="F3908" s="0" t="str">
        <f aca="false">IF(E3908="","",RANK(E3908,$E$2:$E$5001,1))</f>
        <v/>
      </c>
      <c r="G3908" s="0" t="n">
        <f aca="false">IF(A3908="",0,IF(SUMPRODUCT(--($A$2:$A$5001=A3908))&gt;1,1,0))</f>
        <v>0</v>
      </c>
      <c r="H3908" s="0" t="n">
        <f aca="false">ROW()-1</f>
        <v>3907</v>
      </c>
      <c r="I3908" s="0" t="str">
        <f aca="false">IF(OR(הגדרות!$E$6=0,H3908&gt;הגדרות!$E$5),"",IF(H3908-1&lt;הגדרות!$E$8*(הגדרות!$E$7+1),INT((H3908-1)/(הגדרות!$E$7+1)),הגדרות!$E$8+INT((H3908-1-הגדרות!$E$8*(הגדרות!$E$7+1))/הגדרות!$E$7)))</f>
        <v/>
      </c>
      <c r="J3908" s="0" t="str">
        <f aca="false">IF(I3908="","",IF(H3908-1&lt;הגדרות!$E$8*(הגדרות!$E$7+1),MOD(H3908-1,הגדרות!$E$7+1),MOD(H3908-1-הגדרות!$E$8*(הגדרות!$E$7+1),הגדרות!$E$7)))</f>
        <v/>
      </c>
      <c r="K3908" s="0" t="str">
        <f aca="false">IF(I3908="","",J3908*הגדרות!$E$6+I3908+1)</f>
        <v/>
      </c>
      <c r="L3908" s="0" t="str">
        <f aca="false">IF(K3908="","",MATCH(K3908,$F$2:$F$5001,0))</f>
        <v/>
      </c>
      <c r="M3908" s="0" t="str">
        <f aca="false">IF(I3908="","",INDEX(הגדרות!$A$2:$A$21,MOD(I3908+הגדרות!$E$9,הגדרות!$E$6)+1))</f>
        <v/>
      </c>
    </row>
    <row r="3909" customFormat="false" ht="15" hidden="false" customHeight="false" outlineLevel="0" collapsed="false">
      <c r="A3909" s="0" t="str">
        <f aca="false">IF('הדבקת לידים'!A3909="","",IF(ISNUMBER('הדבקת לידים'!A3909),IF(הגדרות!$E$2&gt;0,TEXT('הדבקת לידים'!A3909,REPT("0",הגדרות!$E$2)),TEXT('הדבקת לידים'!A3909,"0")),TRIM('הדבקת לידים'!A3909)))</f>
        <v/>
      </c>
      <c r="B3909" s="0" t="str">
        <f aca="false">IF('הדבקת לידים'!B3909="","",IF(ISNUMBER('הדבקת לידים'!B3909),IF(הגדרות!$E$3&gt;0,TEXT('הדבקת לידים'!B3909,REPT("0",הגדרות!$E$3)),TEXT('הדבקת לידים'!B3909,"0")),TRIM('הדבקת לידים'!B3909)))</f>
        <v/>
      </c>
      <c r="C3909" s="0" t="n">
        <f aca="false">IF(OR(A3909&lt;&gt;"",B3909&lt;&gt;""),1,0)</f>
        <v>0</v>
      </c>
      <c r="D3909" s="0" t="str">
        <f aca="false">IF(C3909=1,MOD(ABS(SIN(ROW()*12.9898+'הדבקת לידים'!$F$2*78.233+IFERROR(--RIGHT(A3909,6),LEN(A3909))*0.0137+IFERROR(--RIGHT(B3909,6),LEN(B3909))*0.0071))*43758.5453,1),"")</f>
        <v/>
      </c>
      <c r="E3909" s="0" t="str">
        <f aca="false">IF(C3909=1,INT(MOD(ABS(SIN(D3909*7919.123+ROW()*0.618+'הדבקת לידים'!$F$2*1.3))*43758.5453,1)*1000000)*10000+ROW(),"")</f>
        <v/>
      </c>
      <c r="F3909" s="0" t="str">
        <f aca="false">IF(E3909="","",RANK(E3909,$E$2:$E$5001,1))</f>
        <v/>
      </c>
      <c r="G3909" s="0" t="n">
        <f aca="false">IF(A3909="",0,IF(SUMPRODUCT(--($A$2:$A$5001=A3909))&gt;1,1,0))</f>
        <v>0</v>
      </c>
      <c r="H3909" s="0" t="n">
        <f aca="false">ROW()-1</f>
        <v>3908</v>
      </c>
      <c r="I3909" s="0" t="str">
        <f aca="false">IF(OR(הגדרות!$E$6=0,H3909&gt;הגדרות!$E$5),"",IF(H3909-1&lt;הגדרות!$E$8*(הגדרות!$E$7+1),INT((H3909-1)/(הגדרות!$E$7+1)),הגדרות!$E$8+INT((H3909-1-הגדרות!$E$8*(הגדרות!$E$7+1))/הגדרות!$E$7)))</f>
        <v/>
      </c>
      <c r="J3909" s="0" t="str">
        <f aca="false">IF(I3909="","",IF(H3909-1&lt;הגדרות!$E$8*(הגדרות!$E$7+1),MOD(H3909-1,הגדרות!$E$7+1),MOD(H3909-1-הגדרות!$E$8*(הגדרות!$E$7+1),הגדרות!$E$7)))</f>
        <v/>
      </c>
      <c r="K3909" s="0" t="str">
        <f aca="false">IF(I3909="","",J3909*הגדרות!$E$6+I3909+1)</f>
        <v/>
      </c>
      <c r="L3909" s="0" t="str">
        <f aca="false">IF(K3909="","",MATCH(K3909,$F$2:$F$5001,0))</f>
        <v/>
      </c>
      <c r="M3909" s="0" t="str">
        <f aca="false">IF(I3909="","",INDEX(הגדרות!$A$2:$A$21,MOD(I3909+הגדרות!$E$9,הגדרות!$E$6)+1))</f>
        <v/>
      </c>
    </row>
    <row r="3910" customFormat="false" ht="15" hidden="false" customHeight="false" outlineLevel="0" collapsed="false">
      <c r="A3910" s="0" t="str">
        <f aca="false">IF('הדבקת לידים'!A3910="","",IF(ISNUMBER('הדבקת לידים'!A3910),IF(הגדרות!$E$2&gt;0,TEXT('הדבקת לידים'!A3910,REPT("0",הגדרות!$E$2)),TEXT('הדבקת לידים'!A3910,"0")),TRIM('הדבקת לידים'!A3910)))</f>
        <v/>
      </c>
      <c r="B3910" s="0" t="str">
        <f aca="false">IF('הדבקת לידים'!B3910="","",IF(ISNUMBER('הדבקת לידים'!B3910),IF(הגדרות!$E$3&gt;0,TEXT('הדבקת לידים'!B3910,REPT("0",הגדרות!$E$3)),TEXT('הדבקת לידים'!B3910,"0")),TRIM('הדבקת לידים'!B3910)))</f>
        <v/>
      </c>
      <c r="C3910" s="0" t="n">
        <f aca="false">IF(OR(A3910&lt;&gt;"",B3910&lt;&gt;""),1,0)</f>
        <v>0</v>
      </c>
      <c r="D3910" s="0" t="str">
        <f aca="false">IF(C3910=1,MOD(ABS(SIN(ROW()*12.9898+'הדבקת לידים'!$F$2*78.233+IFERROR(--RIGHT(A3910,6),LEN(A3910))*0.0137+IFERROR(--RIGHT(B3910,6),LEN(B3910))*0.0071))*43758.5453,1),"")</f>
        <v/>
      </c>
      <c r="E3910" s="0" t="str">
        <f aca="false">IF(C3910=1,INT(MOD(ABS(SIN(D3910*7919.123+ROW()*0.618+'הדבקת לידים'!$F$2*1.3))*43758.5453,1)*1000000)*10000+ROW(),"")</f>
        <v/>
      </c>
      <c r="F3910" s="0" t="str">
        <f aca="false">IF(E3910="","",RANK(E3910,$E$2:$E$5001,1))</f>
        <v/>
      </c>
      <c r="G3910" s="0" t="n">
        <f aca="false">IF(A3910="",0,IF(SUMPRODUCT(--($A$2:$A$5001=A3910))&gt;1,1,0))</f>
        <v>0</v>
      </c>
      <c r="H3910" s="0" t="n">
        <f aca="false">ROW()-1</f>
        <v>3909</v>
      </c>
      <c r="I3910" s="0" t="str">
        <f aca="false">IF(OR(הגדרות!$E$6=0,H3910&gt;הגדרות!$E$5),"",IF(H3910-1&lt;הגדרות!$E$8*(הגדרות!$E$7+1),INT((H3910-1)/(הגדרות!$E$7+1)),הגדרות!$E$8+INT((H3910-1-הגדרות!$E$8*(הגדרות!$E$7+1))/הגדרות!$E$7)))</f>
        <v/>
      </c>
      <c r="J3910" s="0" t="str">
        <f aca="false">IF(I3910="","",IF(H3910-1&lt;הגדרות!$E$8*(הגדרות!$E$7+1),MOD(H3910-1,הגדרות!$E$7+1),MOD(H3910-1-הגדרות!$E$8*(הגדרות!$E$7+1),הגדרות!$E$7)))</f>
        <v/>
      </c>
      <c r="K3910" s="0" t="str">
        <f aca="false">IF(I3910="","",J3910*הגדרות!$E$6+I3910+1)</f>
        <v/>
      </c>
      <c r="L3910" s="0" t="str">
        <f aca="false">IF(K3910="","",MATCH(K3910,$F$2:$F$5001,0))</f>
        <v/>
      </c>
      <c r="M3910" s="0" t="str">
        <f aca="false">IF(I3910="","",INDEX(הגדרות!$A$2:$A$21,MOD(I3910+הגדרות!$E$9,הגדרות!$E$6)+1))</f>
        <v/>
      </c>
    </row>
    <row r="3911" customFormat="false" ht="15" hidden="false" customHeight="false" outlineLevel="0" collapsed="false">
      <c r="A3911" s="0" t="str">
        <f aca="false">IF('הדבקת לידים'!A3911="","",IF(ISNUMBER('הדבקת לידים'!A3911),IF(הגדרות!$E$2&gt;0,TEXT('הדבקת לידים'!A3911,REPT("0",הגדרות!$E$2)),TEXT('הדבקת לידים'!A3911,"0")),TRIM('הדבקת לידים'!A3911)))</f>
        <v/>
      </c>
      <c r="B3911" s="0" t="str">
        <f aca="false">IF('הדבקת לידים'!B3911="","",IF(ISNUMBER('הדבקת לידים'!B3911),IF(הגדרות!$E$3&gt;0,TEXT('הדבקת לידים'!B3911,REPT("0",הגדרות!$E$3)),TEXT('הדבקת לידים'!B3911,"0")),TRIM('הדבקת לידים'!B3911)))</f>
        <v/>
      </c>
      <c r="C3911" s="0" t="n">
        <f aca="false">IF(OR(A3911&lt;&gt;"",B3911&lt;&gt;""),1,0)</f>
        <v>0</v>
      </c>
      <c r="D3911" s="0" t="str">
        <f aca="false">IF(C3911=1,MOD(ABS(SIN(ROW()*12.9898+'הדבקת לידים'!$F$2*78.233+IFERROR(--RIGHT(A3911,6),LEN(A3911))*0.0137+IFERROR(--RIGHT(B3911,6),LEN(B3911))*0.0071))*43758.5453,1),"")</f>
        <v/>
      </c>
      <c r="E3911" s="0" t="str">
        <f aca="false">IF(C3911=1,INT(MOD(ABS(SIN(D3911*7919.123+ROW()*0.618+'הדבקת לידים'!$F$2*1.3))*43758.5453,1)*1000000)*10000+ROW(),"")</f>
        <v/>
      </c>
      <c r="F3911" s="0" t="str">
        <f aca="false">IF(E3911="","",RANK(E3911,$E$2:$E$5001,1))</f>
        <v/>
      </c>
      <c r="G3911" s="0" t="n">
        <f aca="false">IF(A3911="",0,IF(SUMPRODUCT(--($A$2:$A$5001=A3911))&gt;1,1,0))</f>
        <v>0</v>
      </c>
      <c r="H3911" s="0" t="n">
        <f aca="false">ROW()-1</f>
        <v>3910</v>
      </c>
      <c r="I3911" s="0" t="str">
        <f aca="false">IF(OR(הגדרות!$E$6=0,H3911&gt;הגדרות!$E$5),"",IF(H3911-1&lt;הגדרות!$E$8*(הגדרות!$E$7+1),INT((H3911-1)/(הגדרות!$E$7+1)),הגדרות!$E$8+INT((H3911-1-הגדרות!$E$8*(הגדרות!$E$7+1))/הגדרות!$E$7)))</f>
        <v/>
      </c>
      <c r="J3911" s="0" t="str">
        <f aca="false">IF(I3911="","",IF(H3911-1&lt;הגדרות!$E$8*(הגדרות!$E$7+1),MOD(H3911-1,הגדרות!$E$7+1),MOD(H3911-1-הגדרות!$E$8*(הגדרות!$E$7+1),הגדרות!$E$7)))</f>
        <v/>
      </c>
      <c r="K3911" s="0" t="str">
        <f aca="false">IF(I3911="","",J3911*הגדרות!$E$6+I3911+1)</f>
        <v/>
      </c>
      <c r="L3911" s="0" t="str">
        <f aca="false">IF(K3911="","",MATCH(K3911,$F$2:$F$5001,0))</f>
        <v/>
      </c>
      <c r="M3911" s="0" t="str">
        <f aca="false">IF(I3911="","",INDEX(הגדרות!$A$2:$A$21,MOD(I3911+הגדרות!$E$9,הגדרות!$E$6)+1))</f>
        <v/>
      </c>
    </row>
    <row r="3912" customFormat="false" ht="15" hidden="false" customHeight="false" outlineLevel="0" collapsed="false">
      <c r="A3912" s="0" t="str">
        <f aca="false">IF('הדבקת לידים'!A3912="","",IF(ISNUMBER('הדבקת לידים'!A3912),IF(הגדרות!$E$2&gt;0,TEXT('הדבקת לידים'!A3912,REPT("0",הגדרות!$E$2)),TEXT('הדבקת לידים'!A3912,"0")),TRIM('הדבקת לידים'!A3912)))</f>
        <v/>
      </c>
      <c r="B3912" s="0" t="str">
        <f aca="false">IF('הדבקת לידים'!B3912="","",IF(ISNUMBER('הדבקת לידים'!B3912),IF(הגדרות!$E$3&gt;0,TEXT('הדבקת לידים'!B3912,REPT("0",הגדרות!$E$3)),TEXT('הדבקת לידים'!B3912,"0")),TRIM('הדבקת לידים'!B3912)))</f>
        <v/>
      </c>
      <c r="C3912" s="0" t="n">
        <f aca="false">IF(OR(A3912&lt;&gt;"",B3912&lt;&gt;""),1,0)</f>
        <v>0</v>
      </c>
      <c r="D3912" s="0" t="str">
        <f aca="false">IF(C3912=1,MOD(ABS(SIN(ROW()*12.9898+'הדבקת לידים'!$F$2*78.233+IFERROR(--RIGHT(A3912,6),LEN(A3912))*0.0137+IFERROR(--RIGHT(B3912,6),LEN(B3912))*0.0071))*43758.5453,1),"")</f>
        <v/>
      </c>
      <c r="E3912" s="0" t="str">
        <f aca="false">IF(C3912=1,INT(MOD(ABS(SIN(D3912*7919.123+ROW()*0.618+'הדבקת לידים'!$F$2*1.3))*43758.5453,1)*1000000)*10000+ROW(),"")</f>
        <v/>
      </c>
      <c r="F3912" s="0" t="str">
        <f aca="false">IF(E3912="","",RANK(E3912,$E$2:$E$5001,1))</f>
        <v/>
      </c>
      <c r="G3912" s="0" t="n">
        <f aca="false">IF(A3912="",0,IF(SUMPRODUCT(--($A$2:$A$5001=A3912))&gt;1,1,0))</f>
        <v>0</v>
      </c>
      <c r="H3912" s="0" t="n">
        <f aca="false">ROW()-1</f>
        <v>3911</v>
      </c>
      <c r="I3912" s="0" t="str">
        <f aca="false">IF(OR(הגדרות!$E$6=0,H3912&gt;הגדרות!$E$5),"",IF(H3912-1&lt;הגדרות!$E$8*(הגדרות!$E$7+1),INT((H3912-1)/(הגדרות!$E$7+1)),הגדרות!$E$8+INT((H3912-1-הגדרות!$E$8*(הגדרות!$E$7+1))/הגדרות!$E$7)))</f>
        <v/>
      </c>
      <c r="J3912" s="0" t="str">
        <f aca="false">IF(I3912="","",IF(H3912-1&lt;הגדרות!$E$8*(הגדרות!$E$7+1),MOD(H3912-1,הגדרות!$E$7+1),MOD(H3912-1-הגדרות!$E$8*(הגדרות!$E$7+1),הגדרות!$E$7)))</f>
        <v/>
      </c>
      <c r="K3912" s="0" t="str">
        <f aca="false">IF(I3912="","",J3912*הגדרות!$E$6+I3912+1)</f>
        <v/>
      </c>
      <c r="L3912" s="0" t="str">
        <f aca="false">IF(K3912="","",MATCH(K3912,$F$2:$F$5001,0))</f>
        <v/>
      </c>
      <c r="M3912" s="0" t="str">
        <f aca="false">IF(I3912="","",INDEX(הגדרות!$A$2:$A$21,MOD(I3912+הגדרות!$E$9,הגדרות!$E$6)+1))</f>
        <v/>
      </c>
    </row>
    <row r="3913" customFormat="false" ht="15" hidden="false" customHeight="false" outlineLevel="0" collapsed="false">
      <c r="A3913" s="0" t="str">
        <f aca="false">IF('הדבקת לידים'!A3913="","",IF(ISNUMBER('הדבקת לידים'!A3913),IF(הגדרות!$E$2&gt;0,TEXT('הדבקת לידים'!A3913,REPT("0",הגדרות!$E$2)),TEXT('הדבקת לידים'!A3913,"0")),TRIM('הדבקת לידים'!A3913)))</f>
        <v/>
      </c>
      <c r="B3913" s="0" t="str">
        <f aca="false">IF('הדבקת לידים'!B3913="","",IF(ISNUMBER('הדבקת לידים'!B3913),IF(הגדרות!$E$3&gt;0,TEXT('הדבקת לידים'!B3913,REPT("0",הגדרות!$E$3)),TEXT('הדבקת לידים'!B3913,"0")),TRIM('הדבקת לידים'!B3913)))</f>
        <v/>
      </c>
      <c r="C3913" s="0" t="n">
        <f aca="false">IF(OR(A3913&lt;&gt;"",B3913&lt;&gt;""),1,0)</f>
        <v>0</v>
      </c>
      <c r="D3913" s="0" t="str">
        <f aca="false">IF(C3913=1,MOD(ABS(SIN(ROW()*12.9898+'הדבקת לידים'!$F$2*78.233+IFERROR(--RIGHT(A3913,6),LEN(A3913))*0.0137+IFERROR(--RIGHT(B3913,6),LEN(B3913))*0.0071))*43758.5453,1),"")</f>
        <v/>
      </c>
      <c r="E3913" s="0" t="str">
        <f aca="false">IF(C3913=1,INT(MOD(ABS(SIN(D3913*7919.123+ROW()*0.618+'הדבקת לידים'!$F$2*1.3))*43758.5453,1)*1000000)*10000+ROW(),"")</f>
        <v/>
      </c>
      <c r="F3913" s="0" t="str">
        <f aca="false">IF(E3913="","",RANK(E3913,$E$2:$E$5001,1))</f>
        <v/>
      </c>
      <c r="G3913" s="0" t="n">
        <f aca="false">IF(A3913="",0,IF(SUMPRODUCT(--($A$2:$A$5001=A3913))&gt;1,1,0))</f>
        <v>0</v>
      </c>
      <c r="H3913" s="0" t="n">
        <f aca="false">ROW()-1</f>
        <v>3912</v>
      </c>
      <c r="I3913" s="0" t="str">
        <f aca="false">IF(OR(הגדרות!$E$6=0,H3913&gt;הגדרות!$E$5),"",IF(H3913-1&lt;הגדרות!$E$8*(הגדרות!$E$7+1),INT((H3913-1)/(הגדרות!$E$7+1)),הגדרות!$E$8+INT((H3913-1-הגדרות!$E$8*(הגדרות!$E$7+1))/הגדרות!$E$7)))</f>
        <v/>
      </c>
      <c r="J3913" s="0" t="str">
        <f aca="false">IF(I3913="","",IF(H3913-1&lt;הגדרות!$E$8*(הגדרות!$E$7+1),MOD(H3913-1,הגדרות!$E$7+1),MOD(H3913-1-הגדרות!$E$8*(הגדרות!$E$7+1),הגדרות!$E$7)))</f>
        <v/>
      </c>
      <c r="K3913" s="0" t="str">
        <f aca="false">IF(I3913="","",J3913*הגדרות!$E$6+I3913+1)</f>
        <v/>
      </c>
      <c r="L3913" s="0" t="str">
        <f aca="false">IF(K3913="","",MATCH(K3913,$F$2:$F$5001,0))</f>
        <v/>
      </c>
      <c r="M3913" s="0" t="str">
        <f aca="false">IF(I3913="","",INDEX(הגדרות!$A$2:$A$21,MOD(I3913+הגדרות!$E$9,הגדרות!$E$6)+1))</f>
        <v/>
      </c>
    </row>
    <row r="3914" customFormat="false" ht="15" hidden="false" customHeight="false" outlineLevel="0" collapsed="false">
      <c r="A3914" s="0" t="str">
        <f aca="false">IF('הדבקת לידים'!A3914="","",IF(ISNUMBER('הדבקת לידים'!A3914),IF(הגדרות!$E$2&gt;0,TEXT('הדבקת לידים'!A3914,REPT("0",הגדרות!$E$2)),TEXT('הדבקת לידים'!A3914,"0")),TRIM('הדבקת לידים'!A3914)))</f>
        <v/>
      </c>
      <c r="B3914" s="0" t="str">
        <f aca="false">IF('הדבקת לידים'!B3914="","",IF(ISNUMBER('הדבקת לידים'!B3914),IF(הגדרות!$E$3&gt;0,TEXT('הדבקת לידים'!B3914,REPT("0",הגדרות!$E$3)),TEXT('הדבקת לידים'!B3914,"0")),TRIM('הדבקת לידים'!B3914)))</f>
        <v/>
      </c>
      <c r="C3914" s="0" t="n">
        <f aca="false">IF(OR(A3914&lt;&gt;"",B3914&lt;&gt;""),1,0)</f>
        <v>0</v>
      </c>
      <c r="D3914" s="0" t="str">
        <f aca="false">IF(C3914=1,MOD(ABS(SIN(ROW()*12.9898+'הדבקת לידים'!$F$2*78.233+IFERROR(--RIGHT(A3914,6),LEN(A3914))*0.0137+IFERROR(--RIGHT(B3914,6),LEN(B3914))*0.0071))*43758.5453,1),"")</f>
        <v/>
      </c>
      <c r="E3914" s="0" t="str">
        <f aca="false">IF(C3914=1,INT(MOD(ABS(SIN(D3914*7919.123+ROW()*0.618+'הדבקת לידים'!$F$2*1.3))*43758.5453,1)*1000000)*10000+ROW(),"")</f>
        <v/>
      </c>
      <c r="F3914" s="0" t="str">
        <f aca="false">IF(E3914="","",RANK(E3914,$E$2:$E$5001,1))</f>
        <v/>
      </c>
      <c r="G3914" s="0" t="n">
        <f aca="false">IF(A3914="",0,IF(SUMPRODUCT(--($A$2:$A$5001=A3914))&gt;1,1,0))</f>
        <v>0</v>
      </c>
      <c r="H3914" s="0" t="n">
        <f aca="false">ROW()-1</f>
        <v>3913</v>
      </c>
      <c r="I3914" s="0" t="str">
        <f aca="false">IF(OR(הגדרות!$E$6=0,H3914&gt;הגדרות!$E$5),"",IF(H3914-1&lt;הגדרות!$E$8*(הגדרות!$E$7+1),INT((H3914-1)/(הגדרות!$E$7+1)),הגדרות!$E$8+INT((H3914-1-הגדרות!$E$8*(הגדרות!$E$7+1))/הגדרות!$E$7)))</f>
        <v/>
      </c>
      <c r="J3914" s="0" t="str">
        <f aca="false">IF(I3914="","",IF(H3914-1&lt;הגדרות!$E$8*(הגדרות!$E$7+1),MOD(H3914-1,הגדרות!$E$7+1),MOD(H3914-1-הגדרות!$E$8*(הגדרות!$E$7+1),הגדרות!$E$7)))</f>
        <v/>
      </c>
      <c r="K3914" s="0" t="str">
        <f aca="false">IF(I3914="","",J3914*הגדרות!$E$6+I3914+1)</f>
        <v/>
      </c>
      <c r="L3914" s="0" t="str">
        <f aca="false">IF(K3914="","",MATCH(K3914,$F$2:$F$5001,0))</f>
        <v/>
      </c>
      <c r="M3914" s="0" t="str">
        <f aca="false">IF(I3914="","",INDEX(הגדרות!$A$2:$A$21,MOD(I3914+הגדרות!$E$9,הגדרות!$E$6)+1))</f>
        <v/>
      </c>
    </row>
    <row r="3915" customFormat="false" ht="15" hidden="false" customHeight="false" outlineLevel="0" collapsed="false">
      <c r="A3915" s="0" t="str">
        <f aca="false">IF('הדבקת לידים'!A3915="","",IF(ISNUMBER('הדבקת לידים'!A3915),IF(הגדרות!$E$2&gt;0,TEXT('הדבקת לידים'!A3915,REPT("0",הגדרות!$E$2)),TEXT('הדבקת לידים'!A3915,"0")),TRIM('הדבקת לידים'!A3915)))</f>
        <v/>
      </c>
      <c r="B3915" s="0" t="str">
        <f aca="false">IF('הדבקת לידים'!B3915="","",IF(ISNUMBER('הדבקת לידים'!B3915),IF(הגדרות!$E$3&gt;0,TEXT('הדבקת לידים'!B3915,REPT("0",הגדרות!$E$3)),TEXT('הדבקת לידים'!B3915,"0")),TRIM('הדבקת לידים'!B3915)))</f>
        <v/>
      </c>
      <c r="C3915" s="0" t="n">
        <f aca="false">IF(OR(A3915&lt;&gt;"",B3915&lt;&gt;""),1,0)</f>
        <v>0</v>
      </c>
      <c r="D3915" s="0" t="str">
        <f aca="false">IF(C3915=1,MOD(ABS(SIN(ROW()*12.9898+'הדבקת לידים'!$F$2*78.233+IFERROR(--RIGHT(A3915,6),LEN(A3915))*0.0137+IFERROR(--RIGHT(B3915,6),LEN(B3915))*0.0071))*43758.5453,1),"")</f>
        <v/>
      </c>
      <c r="E3915" s="0" t="str">
        <f aca="false">IF(C3915=1,INT(MOD(ABS(SIN(D3915*7919.123+ROW()*0.618+'הדבקת לידים'!$F$2*1.3))*43758.5453,1)*1000000)*10000+ROW(),"")</f>
        <v/>
      </c>
      <c r="F3915" s="0" t="str">
        <f aca="false">IF(E3915="","",RANK(E3915,$E$2:$E$5001,1))</f>
        <v/>
      </c>
      <c r="G3915" s="0" t="n">
        <f aca="false">IF(A3915="",0,IF(SUMPRODUCT(--($A$2:$A$5001=A3915))&gt;1,1,0))</f>
        <v>0</v>
      </c>
      <c r="H3915" s="0" t="n">
        <f aca="false">ROW()-1</f>
        <v>3914</v>
      </c>
      <c r="I3915" s="0" t="str">
        <f aca="false">IF(OR(הגדרות!$E$6=0,H3915&gt;הגדרות!$E$5),"",IF(H3915-1&lt;הגדרות!$E$8*(הגדרות!$E$7+1),INT((H3915-1)/(הגדרות!$E$7+1)),הגדרות!$E$8+INT((H3915-1-הגדרות!$E$8*(הגדרות!$E$7+1))/הגדרות!$E$7)))</f>
        <v/>
      </c>
      <c r="J3915" s="0" t="str">
        <f aca="false">IF(I3915="","",IF(H3915-1&lt;הגדרות!$E$8*(הגדרות!$E$7+1),MOD(H3915-1,הגדרות!$E$7+1),MOD(H3915-1-הגדרות!$E$8*(הגדרות!$E$7+1),הגדרות!$E$7)))</f>
        <v/>
      </c>
      <c r="K3915" s="0" t="str">
        <f aca="false">IF(I3915="","",J3915*הגדרות!$E$6+I3915+1)</f>
        <v/>
      </c>
      <c r="L3915" s="0" t="str">
        <f aca="false">IF(K3915="","",MATCH(K3915,$F$2:$F$5001,0))</f>
        <v/>
      </c>
      <c r="M3915" s="0" t="str">
        <f aca="false">IF(I3915="","",INDEX(הגדרות!$A$2:$A$21,MOD(I3915+הגדרות!$E$9,הגדרות!$E$6)+1))</f>
        <v/>
      </c>
    </row>
    <row r="3916" customFormat="false" ht="15" hidden="false" customHeight="false" outlineLevel="0" collapsed="false">
      <c r="A3916" s="0" t="str">
        <f aca="false">IF('הדבקת לידים'!A3916="","",IF(ISNUMBER('הדבקת לידים'!A3916),IF(הגדרות!$E$2&gt;0,TEXT('הדבקת לידים'!A3916,REPT("0",הגדרות!$E$2)),TEXT('הדבקת לידים'!A3916,"0")),TRIM('הדבקת לידים'!A3916)))</f>
        <v/>
      </c>
      <c r="B3916" s="0" t="str">
        <f aca="false">IF('הדבקת לידים'!B3916="","",IF(ISNUMBER('הדבקת לידים'!B3916),IF(הגדרות!$E$3&gt;0,TEXT('הדבקת לידים'!B3916,REPT("0",הגדרות!$E$3)),TEXT('הדבקת לידים'!B3916,"0")),TRIM('הדבקת לידים'!B3916)))</f>
        <v/>
      </c>
      <c r="C3916" s="0" t="n">
        <f aca="false">IF(OR(A3916&lt;&gt;"",B3916&lt;&gt;""),1,0)</f>
        <v>0</v>
      </c>
      <c r="D3916" s="0" t="str">
        <f aca="false">IF(C3916=1,MOD(ABS(SIN(ROW()*12.9898+'הדבקת לידים'!$F$2*78.233+IFERROR(--RIGHT(A3916,6),LEN(A3916))*0.0137+IFERROR(--RIGHT(B3916,6),LEN(B3916))*0.0071))*43758.5453,1),"")</f>
        <v/>
      </c>
      <c r="E3916" s="0" t="str">
        <f aca="false">IF(C3916=1,INT(MOD(ABS(SIN(D3916*7919.123+ROW()*0.618+'הדבקת לידים'!$F$2*1.3))*43758.5453,1)*1000000)*10000+ROW(),"")</f>
        <v/>
      </c>
      <c r="F3916" s="0" t="str">
        <f aca="false">IF(E3916="","",RANK(E3916,$E$2:$E$5001,1))</f>
        <v/>
      </c>
      <c r="G3916" s="0" t="n">
        <f aca="false">IF(A3916="",0,IF(SUMPRODUCT(--($A$2:$A$5001=A3916))&gt;1,1,0))</f>
        <v>0</v>
      </c>
      <c r="H3916" s="0" t="n">
        <f aca="false">ROW()-1</f>
        <v>3915</v>
      </c>
      <c r="I3916" s="0" t="str">
        <f aca="false">IF(OR(הגדרות!$E$6=0,H3916&gt;הגדרות!$E$5),"",IF(H3916-1&lt;הגדרות!$E$8*(הגדרות!$E$7+1),INT((H3916-1)/(הגדרות!$E$7+1)),הגדרות!$E$8+INT((H3916-1-הגדרות!$E$8*(הגדרות!$E$7+1))/הגדרות!$E$7)))</f>
        <v/>
      </c>
      <c r="J3916" s="0" t="str">
        <f aca="false">IF(I3916="","",IF(H3916-1&lt;הגדרות!$E$8*(הגדרות!$E$7+1),MOD(H3916-1,הגדרות!$E$7+1),MOD(H3916-1-הגדרות!$E$8*(הגדרות!$E$7+1),הגדרות!$E$7)))</f>
        <v/>
      </c>
      <c r="K3916" s="0" t="str">
        <f aca="false">IF(I3916="","",J3916*הגדרות!$E$6+I3916+1)</f>
        <v/>
      </c>
      <c r="L3916" s="0" t="str">
        <f aca="false">IF(K3916="","",MATCH(K3916,$F$2:$F$5001,0))</f>
        <v/>
      </c>
      <c r="M3916" s="0" t="str">
        <f aca="false">IF(I3916="","",INDEX(הגדרות!$A$2:$A$21,MOD(I3916+הגדרות!$E$9,הגדרות!$E$6)+1))</f>
        <v/>
      </c>
    </row>
    <row r="3917" customFormat="false" ht="15" hidden="false" customHeight="false" outlineLevel="0" collapsed="false">
      <c r="A3917" s="0" t="str">
        <f aca="false">IF('הדבקת לידים'!A3917="","",IF(ISNUMBER('הדבקת לידים'!A3917),IF(הגדרות!$E$2&gt;0,TEXT('הדבקת לידים'!A3917,REPT("0",הגדרות!$E$2)),TEXT('הדבקת לידים'!A3917,"0")),TRIM('הדבקת לידים'!A3917)))</f>
        <v/>
      </c>
      <c r="B3917" s="0" t="str">
        <f aca="false">IF('הדבקת לידים'!B3917="","",IF(ISNUMBER('הדבקת לידים'!B3917),IF(הגדרות!$E$3&gt;0,TEXT('הדבקת לידים'!B3917,REPT("0",הגדרות!$E$3)),TEXT('הדבקת לידים'!B3917,"0")),TRIM('הדבקת לידים'!B3917)))</f>
        <v/>
      </c>
      <c r="C3917" s="0" t="n">
        <f aca="false">IF(OR(A3917&lt;&gt;"",B3917&lt;&gt;""),1,0)</f>
        <v>0</v>
      </c>
      <c r="D3917" s="0" t="str">
        <f aca="false">IF(C3917=1,MOD(ABS(SIN(ROW()*12.9898+'הדבקת לידים'!$F$2*78.233+IFERROR(--RIGHT(A3917,6),LEN(A3917))*0.0137+IFERROR(--RIGHT(B3917,6),LEN(B3917))*0.0071))*43758.5453,1),"")</f>
        <v/>
      </c>
      <c r="E3917" s="0" t="str">
        <f aca="false">IF(C3917=1,INT(MOD(ABS(SIN(D3917*7919.123+ROW()*0.618+'הדבקת לידים'!$F$2*1.3))*43758.5453,1)*1000000)*10000+ROW(),"")</f>
        <v/>
      </c>
      <c r="F3917" s="0" t="str">
        <f aca="false">IF(E3917="","",RANK(E3917,$E$2:$E$5001,1))</f>
        <v/>
      </c>
      <c r="G3917" s="0" t="n">
        <f aca="false">IF(A3917="",0,IF(SUMPRODUCT(--($A$2:$A$5001=A3917))&gt;1,1,0))</f>
        <v>0</v>
      </c>
      <c r="H3917" s="0" t="n">
        <f aca="false">ROW()-1</f>
        <v>3916</v>
      </c>
      <c r="I3917" s="0" t="str">
        <f aca="false">IF(OR(הגדרות!$E$6=0,H3917&gt;הגדרות!$E$5),"",IF(H3917-1&lt;הגדרות!$E$8*(הגדרות!$E$7+1),INT((H3917-1)/(הגדרות!$E$7+1)),הגדרות!$E$8+INT((H3917-1-הגדרות!$E$8*(הגדרות!$E$7+1))/הגדרות!$E$7)))</f>
        <v/>
      </c>
      <c r="J3917" s="0" t="str">
        <f aca="false">IF(I3917="","",IF(H3917-1&lt;הגדרות!$E$8*(הגדרות!$E$7+1),MOD(H3917-1,הגדרות!$E$7+1),MOD(H3917-1-הגדרות!$E$8*(הגדרות!$E$7+1),הגדרות!$E$7)))</f>
        <v/>
      </c>
      <c r="K3917" s="0" t="str">
        <f aca="false">IF(I3917="","",J3917*הגדרות!$E$6+I3917+1)</f>
        <v/>
      </c>
      <c r="L3917" s="0" t="str">
        <f aca="false">IF(K3917="","",MATCH(K3917,$F$2:$F$5001,0))</f>
        <v/>
      </c>
      <c r="M3917" s="0" t="str">
        <f aca="false">IF(I3917="","",INDEX(הגדרות!$A$2:$A$21,MOD(I3917+הגדרות!$E$9,הגדרות!$E$6)+1))</f>
        <v/>
      </c>
    </row>
    <row r="3918" customFormat="false" ht="15" hidden="false" customHeight="false" outlineLevel="0" collapsed="false">
      <c r="A3918" s="0" t="str">
        <f aca="false">IF('הדבקת לידים'!A3918="","",IF(ISNUMBER('הדבקת לידים'!A3918),IF(הגדרות!$E$2&gt;0,TEXT('הדבקת לידים'!A3918,REPT("0",הגדרות!$E$2)),TEXT('הדבקת לידים'!A3918,"0")),TRIM('הדבקת לידים'!A3918)))</f>
        <v/>
      </c>
      <c r="B3918" s="0" t="str">
        <f aca="false">IF('הדבקת לידים'!B3918="","",IF(ISNUMBER('הדבקת לידים'!B3918),IF(הגדרות!$E$3&gt;0,TEXT('הדבקת לידים'!B3918,REPT("0",הגדרות!$E$3)),TEXT('הדבקת לידים'!B3918,"0")),TRIM('הדבקת לידים'!B3918)))</f>
        <v/>
      </c>
      <c r="C3918" s="0" t="n">
        <f aca="false">IF(OR(A3918&lt;&gt;"",B3918&lt;&gt;""),1,0)</f>
        <v>0</v>
      </c>
      <c r="D3918" s="0" t="str">
        <f aca="false">IF(C3918=1,MOD(ABS(SIN(ROW()*12.9898+'הדבקת לידים'!$F$2*78.233+IFERROR(--RIGHT(A3918,6),LEN(A3918))*0.0137+IFERROR(--RIGHT(B3918,6),LEN(B3918))*0.0071))*43758.5453,1),"")</f>
        <v/>
      </c>
      <c r="E3918" s="0" t="str">
        <f aca="false">IF(C3918=1,INT(MOD(ABS(SIN(D3918*7919.123+ROW()*0.618+'הדבקת לידים'!$F$2*1.3))*43758.5453,1)*1000000)*10000+ROW(),"")</f>
        <v/>
      </c>
      <c r="F3918" s="0" t="str">
        <f aca="false">IF(E3918="","",RANK(E3918,$E$2:$E$5001,1))</f>
        <v/>
      </c>
      <c r="G3918" s="0" t="n">
        <f aca="false">IF(A3918="",0,IF(SUMPRODUCT(--($A$2:$A$5001=A3918))&gt;1,1,0))</f>
        <v>0</v>
      </c>
      <c r="H3918" s="0" t="n">
        <f aca="false">ROW()-1</f>
        <v>3917</v>
      </c>
      <c r="I3918" s="0" t="str">
        <f aca="false">IF(OR(הגדרות!$E$6=0,H3918&gt;הגדרות!$E$5),"",IF(H3918-1&lt;הגדרות!$E$8*(הגדרות!$E$7+1),INT((H3918-1)/(הגדרות!$E$7+1)),הגדרות!$E$8+INT((H3918-1-הגדרות!$E$8*(הגדרות!$E$7+1))/הגדרות!$E$7)))</f>
        <v/>
      </c>
      <c r="J3918" s="0" t="str">
        <f aca="false">IF(I3918="","",IF(H3918-1&lt;הגדרות!$E$8*(הגדרות!$E$7+1),MOD(H3918-1,הגדרות!$E$7+1),MOD(H3918-1-הגדרות!$E$8*(הגדרות!$E$7+1),הגדרות!$E$7)))</f>
        <v/>
      </c>
      <c r="K3918" s="0" t="str">
        <f aca="false">IF(I3918="","",J3918*הגדרות!$E$6+I3918+1)</f>
        <v/>
      </c>
      <c r="L3918" s="0" t="str">
        <f aca="false">IF(K3918="","",MATCH(K3918,$F$2:$F$5001,0))</f>
        <v/>
      </c>
      <c r="M3918" s="0" t="str">
        <f aca="false">IF(I3918="","",INDEX(הגדרות!$A$2:$A$21,MOD(I3918+הגדרות!$E$9,הגדרות!$E$6)+1))</f>
        <v/>
      </c>
    </row>
    <row r="3919" customFormat="false" ht="15" hidden="false" customHeight="false" outlineLevel="0" collapsed="false">
      <c r="A3919" s="0" t="str">
        <f aca="false">IF('הדבקת לידים'!A3919="","",IF(ISNUMBER('הדבקת לידים'!A3919),IF(הגדרות!$E$2&gt;0,TEXT('הדבקת לידים'!A3919,REPT("0",הגדרות!$E$2)),TEXT('הדבקת לידים'!A3919,"0")),TRIM('הדבקת לידים'!A3919)))</f>
        <v/>
      </c>
      <c r="B3919" s="0" t="str">
        <f aca="false">IF('הדבקת לידים'!B3919="","",IF(ISNUMBER('הדבקת לידים'!B3919),IF(הגדרות!$E$3&gt;0,TEXT('הדבקת לידים'!B3919,REPT("0",הגדרות!$E$3)),TEXT('הדבקת לידים'!B3919,"0")),TRIM('הדבקת לידים'!B3919)))</f>
        <v/>
      </c>
      <c r="C3919" s="0" t="n">
        <f aca="false">IF(OR(A3919&lt;&gt;"",B3919&lt;&gt;""),1,0)</f>
        <v>0</v>
      </c>
      <c r="D3919" s="0" t="str">
        <f aca="false">IF(C3919=1,MOD(ABS(SIN(ROW()*12.9898+'הדבקת לידים'!$F$2*78.233+IFERROR(--RIGHT(A3919,6),LEN(A3919))*0.0137+IFERROR(--RIGHT(B3919,6),LEN(B3919))*0.0071))*43758.5453,1),"")</f>
        <v/>
      </c>
      <c r="E3919" s="0" t="str">
        <f aca="false">IF(C3919=1,INT(MOD(ABS(SIN(D3919*7919.123+ROW()*0.618+'הדבקת לידים'!$F$2*1.3))*43758.5453,1)*1000000)*10000+ROW(),"")</f>
        <v/>
      </c>
      <c r="F3919" s="0" t="str">
        <f aca="false">IF(E3919="","",RANK(E3919,$E$2:$E$5001,1))</f>
        <v/>
      </c>
      <c r="G3919" s="0" t="n">
        <f aca="false">IF(A3919="",0,IF(SUMPRODUCT(--($A$2:$A$5001=A3919))&gt;1,1,0))</f>
        <v>0</v>
      </c>
      <c r="H3919" s="0" t="n">
        <f aca="false">ROW()-1</f>
        <v>3918</v>
      </c>
      <c r="I3919" s="0" t="str">
        <f aca="false">IF(OR(הגדרות!$E$6=0,H3919&gt;הגדרות!$E$5),"",IF(H3919-1&lt;הגדרות!$E$8*(הגדרות!$E$7+1),INT((H3919-1)/(הגדרות!$E$7+1)),הגדרות!$E$8+INT((H3919-1-הגדרות!$E$8*(הגדרות!$E$7+1))/הגדרות!$E$7)))</f>
        <v/>
      </c>
      <c r="J3919" s="0" t="str">
        <f aca="false">IF(I3919="","",IF(H3919-1&lt;הגדרות!$E$8*(הגדרות!$E$7+1),MOD(H3919-1,הגדרות!$E$7+1),MOD(H3919-1-הגדרות!$E$8*(הגדרות!$E$7+1),הגדרות!$E$7)))</f>
        <v/>
      </c>
      <c r="K3919" s="0" t="str">
        <f aca="false">IF(I3919="","",J3919*הגדרות!$E$6+I3919+1)</f>
        <v/>
      </c>
      <c r="L3919" s="0" t="str">
        <f aca="false">IF(K3919="","",MATCH(K3919,$F$2:$F$5001,0))</f>
        <v/>
      </c>
      <c r="M3919" s="0" t="str">
        <f aca="false">IF(I3919="","",INDEX(הגדרות!$A$2:$A$21,MOD(I3919+הגדרות!$E$9,הגדרות!$E$6)+1))</f>
        <v/>
      </c>
    </row>
    <row r="3920" customFormat="false" ht="15" hidden="false" customHeight="false" outlineLevel="0" collapsed="false">
      <c r="A3920" s="0" t="str">
        <f aca="false">IF('הדבקת לידים'!A3920="","",IF(ISNUMBER('הדבקת לידים'!A3920),IF(הגדרות!$E$2&gt;0,TEXT('הדבקת לידים'!A3920,REPT("0",הגדרות!$E$2)),TEXT('הדבקת לידים'!A3920,"0")),TRIM('הדבקת לידים'!A3920)))</f>
        <v/>
      </c>
      <c r="B3920" s="0" t="str">
        <f aca="false">IF('הדבקת לידים'!B3920="","",IF(ISNUMBER('הדבקת לידים'!B3920),IF(הגדרות!$E$3&gt;0,TEXT('הדבקת לידים'!B3920,REPT("0",הגדרות!$E$3)),TEXT('הדבקת לידים'!B3920,"0")),TRIM('הדבקת לידים'!B3920)))</f>
        <v/>
      </c>
      <c r="C3920" s="0" t="n">
        <f aca="false">IF(OR(A3920&lt;&gt;"",B3920&lt;&gt;""),1,0)</f>
        <v>0</v>
      </c>
      <c r="D3920" s="0" t="str">
        <f aca="false">IF(C3920=1,MOD(ABS(SIN(ROW()*12.9898+'הדבקת לידים'!$F$2*78.233+IFERROR(--RIGHT(A3920,6),LEN(A3920))*0.0137+IFERROR(--RIGHT(B3920,6),LEN(B3920))*0.0071))*43758.5453,1),"")</f>
        <v/>
      </c>
      <c r="E3920" s="0" t="str">
        <f aca="false">IF(C3920=1,INT(MOD(ABS(SIN(D3920*7919.123+ROW()*0.618+'הדבקת לידים'!$F$2*1.3))*43758.5453,1)*1000000)*10000+ROW(),"")</f>
        <v/>
      </c>
      <c r="F3920" s="0" t="str">
        <f aca="false">IF(E3920="","",RANK(E3920,$E$2:$E$5001,1))</f>
        <v/>
      </c>
      <c r="G3920" s="0" t="n">
        <f aca="false">IF(A3920="",0,IF(SUMPRODUCT(--($A$2:$A$5001=A3920))&gt;1,1,0))</f>
        <v>0</v>
      </c>
      <c r="H3920" s="0" t="n">
        <f aca="false">ROW()-1</f>
        <v>3919</v>
      </c>
      <c r="I3920" s="0" t="str">
        <f aca="false">IF(OR(הגדרות!$E$6=0,H3920&gt;הגדרות!$E$5),"",IF(H3920-1&lt;הגדרות!$E$8*(הגדרות!$E$7+1),INT((H3920-1)/(הגדרות!$E$7+1)),הגדרות!$E$8+INT((H3920-1-הגדרות!$E$8*(הגדרות!$E$7+1))/הגדרות!$E$7)))</f>
        <v/>
      </c>
      <c r="J3920" s="0" t="str">
        <f aca="false">IF(I3920="","",IF(H3920-1&lt;הגדרות!$E$8*(הגדרות!$E$7+1),MOD(H3920-1,הגדרות!$E$7+1),MOD(H3920-1-הגדרות!$E$8*(הגדרות!$E$7+1),הגדרות!$E$7)))</f>
        <v/>
      </c>
      <c r="K3920" s="0" t="str">
        <f aca="false">IF(I3920="","",J3920*הגדרות!$E$6+I3920+1)</f>
        <v/>
      </c>
      <c r="L3920" s="0" t="str">
        <f aca="false">IF(K3920="","",MATCH(K3920,$F$2:$F$5001,0))</f>
        <v/>
      </c>
      <c r="M3920" s="0" t="str">
        <f aca="false">IF(I3920="","",INDEX(הגדרות!$A$2:$A$21,MOD(I3920+הגדרות!$E$9,הגדרות!$E$6)+1))</f>
        <v/>
      </c>
    </row>
    <row r="3921" customFormat="false" ht="15" hidden="false" customHeight="false" outlineLevel="0" collapsed="false">
      <c r="A3921" s="0" t="str">
        <f aca="false">IF('הדבקת לידים'!A3921="","",IF(ISNUMBER('הדבקת לידים'!A3921),IF(הגדרות!$E$2&gt;0,TEXT('הדבקת לידים'!A3921,REPT("0",הגדרות!$E$2)),TEXT('הדבקת לידים'!A3921,"0")),TRIM('הדבקת לידים'!A3921)))</f>
        <v/>
      </c>
      <c r="B3921" s="0" t="str">
        <f aca="false">IF('הדבקת לידים'!B3921="","",IF(ISNUMBER('הדבקת לידים'!B3921),IF(הגדרות!$E$3&gt;0,TEXT('הדבקת לידים'!B3921,REPT("0",הגדרות!$E$3)),TEXT('הדבקת לידים'!B3921,"0")),TRIM('הדבקת לידים'!B3921)))</f>
        <v/>
      </c>
      <c r="C3921" s="0" t="n">
        <f aca="false">IF(OR(A3921&lt;&gt;"",B3921&lt;&gt;""),1,0)</f>
        <v>0</v>
      </c>
      <c r="D3921" s="0" t="str">
        <f aca="false">IF(C3921=1,MOD(ABS(SIN(ROW()*12.9898+'הדבקת לידים'!$F$2*78.233+IFERROR(--RIGHT(A3921,6),LEN(A3921))*0.0137+IFERROR(--RIGHT(B3921,6),LEN(B3921))*0.0071))*43758.5453,1),"")</f>
        <v/>
      </c>
      <c r="E3921" s="0" t="str">
        <f aca="false">IF(C3921=1,INT(MOD(ABS(SIN(D3921*7919.123+ROW()*0.618+'הדבקת לידים'!$F$2*1.3))*43758.5453,1)*1000000)*10000+ROW(),"")</f>
        <v/>
      </c>
      <c r="F3921" s="0" t="str">
        <f aca="false">IF(E3921="","",RANK(E3921,$E$2:$E$5001,1))</f>
        <v/>
      </c>
      <c r="G3921" s="0" t="n">
        <f aca="false">IF(A3921="",0,IF(SUMPRODUCT(--($A$2:$A$5001=A3921))&gt;1,1,0))</f>
        <v>0</v>
      </c>
      <c r="H3921" s="0" t="n">
        <f aca="false">ROW()-1</f>
        <v>3920</v>
      </c>
      <c r="I3921" s="0" t="str">
        <f aca="false">IF(OR(הגדרות!$E$6=0,H3921&gt;הגדרות!$E$5),"",IF(H3921-1&lt;הגדרות!$E$8*(הגדרות!$E$7+1),INT((H3921-1)/(הגדרות!$E$7+1)),הגדרות!$E$8+INT((H3921-1-הגדרות!$E$8*(הגדרות!$E$7+1))/הגדרות!$E$7)))</f>
        <v/>
      </c>
      <c r="J3921" s="0" t="str">
        <f aca="false">IF(I3921="","",IF(H3921-1&lt;הגדרות!$E$8*(הגדרות!$E$7+1),MOD(H3921-1,הגדרות!$E$7+1),MOD(H3921-1-הגדרות!$E$8*(הגדרות!$E$7+1),הגדרות!$E$7)))</f>
        <v/>
      </c>
      <c r="K3921" s="0" t="str">
        <f aca="false">IF(I3921="","",J3921*הגדרות!$E$6+I3921+1)</f>
        <v/>
      </c>
      <c r="L3921" s="0" t="str">
        <f aca="false">IF(K3921="","",MATCH(K3921,$F$2:$F$5001,0))</f>
        <v/>
      </c>
      <c r="M3921" s="0" t="str">
        <f aca="false">IF(I3921="","",INDEX(הגדרות!$A$2:$A$21,MOD(I3921+הגדרות!$E$9,הגדרות!$E$6)+1))</f>
        <v/>
      </c>
    </row>
    <row r="3922" customFormat="false" ht="15" hidden="false" customHeight="false" outlineLevel="0" collapsed="false">
      <c r="A3922" s="0" t="str">
        <f aca="false">IF('הדבקת לידים'!A3922="","",IF(ISNUMBER('הדבקת לידים'!A3922),IF(הגדרות!$E$2&gt;0,TEXT('הדבקת לידים'!A3922,REPT("0",הגדרות!$E$2)),TEXT('הדבקת לידים'!A3922,"0")),TRIM('הדבקת לידים'!A3922)))</f>
        <v/>
      </c>
      <c r="B3922" s="0" t="str">
        <f aca="false">IF('הדבקת לידים'!B3922="","",IF(ISNUMBER('הדבקת לידים'!B3922),IF(הגדרות!$E$3&gt;0,TEXT('הדבקת לידים'!B3922,REPT("0",הגדרות!$E$3)),TEXT('הדבקת לידים'!B3922,"0")),TRIM('הדבקת לידים'!B3922)))</f>
        <v/>
      </c>
      <c r="C3922" s="0" t="n">
        <f aca="false">IF(OR(A3922&lt;&gt;"",B3922&lt;&gt;""),1,0)</f>
        <v>0</v>
      </c>
      <c r="D3922" s="0" t="str">
        <f aca="false">IF(C3922=1,MOD(ABS(SIN(ROW()*12.9898+'הדבקת לידים'!$F$2*78.233+IFERROR(--RIGHT(A3922,6),LEN(A3922))*0.0137+IFERROR(--RIGHT(B3922,6),LEN(B3922))*0.0071))*43758.5453,1),"")</f>
        <v/>
      </c>
      <c r="E3922" s="0" t="str">
        <f aca="false">IF(C3922=1,INT(MOD(ABS(SIN(D3922*7919.123+ROW()*0.618+'הדבקת לידים'!$F$2*1.3))*43758.5453,1)*1000000)*10000+ROW(),"")</f>
        <v/>
      </c>
      <c r="F3922" s="0" t="str">
        <f aca="false">IF(E3922="","",RANK(E3922,$E$2:$E$5001,1))</f>
        <v/>
      </c>
      <c r="G3922" s="0" t="n">
        <f aca="false">IF(A3922="",0,IF(SUMPRODUCT(--($A$2:$A$5001=A3922))&gt;1,1,0))</f>
        <v>0</v>
      </c>
      <c r="H3922" s="0" t="n">
        <f aca="false">ROW()-1</f>
        <v>3921</v>
      </c>
      <c r="I3922" s="0" t="str">
        <f aca="false">IF(OR(הגדרות!$E$6=0,H3922&gt;הגדרות!$E$5),"",IF(H3922-1&lt;הגדרות!$E$8*(הגדרות!$E$7+1),INT((H3922-1)/(הגדרות!$E$7+1)),הגדרות!$E$8+INT((H3922-1-הגדרות!$E$8*(הגדרות!$E$7+1))/הגדרות!$E$7)))</f>
        <v/>
      </c>
      <c r="J3922" s="0" t="str">
        <f aca="false">IF(I3922="","",IF(H3922-1&lt;הגדרות!$E$8*(הגדרות!$E$7+1),MOD(H3922-1,הגדרות!$E$7+1),MOD(H3922-1-הגדרות!$E$8*(הגדרות!$E$7+1),הגדרות!$E$7)))</f>
        <v/>
      </c>
      <c r="K3922" s="0" t="str">
        <f aca="false">IF(I3922="","",J3922*הגדרות!$E$6+I3922+1)</f>
        <v/>
      </c>
      <c r="L3922" s="0" t="str">
        <f aca="false">IF(K3922="","",MATCH(K3922,$F$2:$F$5001,0))</f>
        <v/>
      </c>
      <c r="M3922" s="0" t="str">
        <f aca="false">IF(I3922="","",INDEX(הגדרות!$A$2:$A$21,MOD(I3922+הגדרות!$E$9,הגדרות!$E$6)+1))</f>
        <v/>
      </c>
    </row>
    <row r="3923" customFormat="false" ht="15" hidden="false" customHeight="false" outlineLevel="0" collapsed="false">
      <c r="A3923" s="0" t="str">
        <f aca="false">IF('הדבקת לידים'!A3923="","",IF(ISNUMBER('הדבקת לידים'!A3923),IF(הגדרות!$E$2&gt;0,TEXT('הדבקת לידים'!A3923,REPT("0",הגדרות!$E$2)),TEXT('הדבקת לידים'!A3923,"0")),TRIM('הדבקת לידים'!A3923)))</f>
        <v/>
      </c>
      <c r="B3923" s="0" t="str">
        <f aca="false">IF('הדבקת לידים'!B3923="","",IF(ISNUMBER('הדבקת לידים'!B3923),IF(הגדרות!$E$3&gt;0,TEXT('הדבקת לידים'!B3923,REPT("0",הגדרות!$E$3)),TEXT('הדבקת לידים'!B3923,"0")),TRIM('הדבקת לידים'!B3923)))</f>
        <v/>
      </c>
      <c r="C3923" s="0" t="n">
        <f aca="false">IF(OR(A3923&lt;&gt;"",B3923&lt;&gt;""),1,0)</f>
        <v>0</v>
      </c>
      <c r="D3923" s="0" t="str">
        <f aca="false">IF(C3923=1,MOD(ABS(SIN(ROW()*12.9898+'הדבקת לידים'!$F$2*78.233+IFERROR(--RIGHT(A3923,6),LEN(A3923))*0.0137+IFERROR(--RIGHT(B3923,6),LEN(B3923))*0.0071))*43758.5453,1),"")</f>
        <v/>
      </c>
      <c r="E3923" s="0" t="str">
        <f aca="false">IF(C3923=1,INT(MOD(ABS(SIN(D3923*7919.123+ROW()*0.618+'הדבקת לידים'!$F$2*1.3))*43758.5453,1)*1000000)*10000+ROW(),"")</f>
        <v/>
      </c>
      <c r="F3923" s="0" t="str">
        <f aca="false">IF(E3923="","",RANK(E3923,$E$2:$E$5001,1))</f>
        <v/>
      </c>
      <c r="G3923" s="0" t="n">
        <f aca="false">IF(A3923="",0,IF(SUMPRODUCT(--($A$2:$A$5001=A3923))&gt;1,1,0))</f>
        <v>0</v>
      </c>
      <c r="H3923" s="0" t="n">
        <f aca="false">ROW()-1</f>
        <v>3922</v>
      </c>
      <c r="I3923" s="0" t="str">
        <f aca="false">IF(OR(הגדרות!$E$6=0,H3923&gt;הגדרות!$E$5),"",IF(H3923-1&lt;הגדרות!$E$8*(הגדרות!$E$7+1),INT((H3923-1)/(הגדרות!$E$7+1)),הגדרות!$E$8+INT((H3923-1-הגדרות!$E$8*(הגדרות!$E$7+1))/הגדרות!$E$7)))</f>
        <v/>
      </c>
      <c r="J3923" s="0" t="str">
        <f aca="false">IF(I3923="","",IF(H3923-1&lt;הגדרות!$E$8*(הגדרות!$E$7+1),MOD(H3923-1,הגדרות!$E$7+1),MOD(H3923-1-הגדרות!$E$8*(הגדרות!$E$7+1),הגדרות!$E$7)))</f>
        <v/>
      </c>
      <c r="K3923" s="0" t="str">
        <f aca="false">IF(I3923="","",J3923*הגדרות!$E$6+I3923+1)</f>
        <v/>
      </c>
      <c r="L3923" s="0" t="str">
        <f aca="false">IF(K3923="","",MATCH(K3923,$F$2:$F$5001,0))</f>
        <v/>
      </c>
      <c r="M3923" s="0" t="str">
        <f aca="false">IF(I3923="","",INDEX(הגדרות!$A$2:$A$21,MOD(I3923+הגדרות!$E$9,הגדרות!$E$6)+1))</f>
        <v/>
      </c>
    </row>
    <row r="3924" customFormat="false" ht="15" hidden="false" customHeight="false" outlineLevel="0" collapsed="false">
      <c r="A3924" s="0" t="str">
        <f aca="false">IF('הדבקת לידים'!A3924="","",IF(ISNUMBER('הדבקת לידים'!A3924),IF(הגדרות!$E$2&gt;0,TEXT('הדבקת לידים'!A3924,REPT("0",הגדרות!$E$2)),TEXT('הדבקת לידים'!A3924,"0")),TRIM('הדבקת לידים'!A3924)))</f>
        <v/>
      </c>
      <c r="B3924" s="0" t="str">
        <f aca="false">IF('הדבקת לידים'!B3924="","",IF(ISNUMBER('הדבקת לידים'!B3924),IF(הגדרות!$E$3&gt;0,TEXT('הדבקת לידים'!B3924,REPT("0",הגדרות!$E$3)),TEXT('הדבקת לידים'!B3924,"0")),TRIM('הדבקת לידים'!B3924)))</f>
        <v/>
      </c>
      <c r="C3924" s="0" t="n">
        <f aca="false">IF(OR(A3924&lt;&gt;"",B3924&lt;&gt;""),1,0)</f>
        <v>0</v>
      </c>
      <c r="D3924" s="0" t="str">
        <f aca="false">IF(C3924=1,MOD(ABS(SIN(ROW()*12.9898+'הדבקת לידים'!$F$2*78.233+IFERROR(--RIGHT(A3924,6),LEN(A3924))*0.0137+IFERROR(--RIGHT(B3924,6),LEN(B3924))*0.0071))*43758.5453,1),"")</f>
        <v/>
      </c>
      <c r="E3924" s="0" t="str">
        <f aca="false">IF(C3924=1,INT(MOD(ABS(SIN(D3924*7919.123+ROW()*0.618+'הדבקת לידים'!$F$2*1.3))*43758.5453,1)*1000000)*10000+ROW(),"")</f>
        <v/>
      </c>
      <c r="F3924" s="0" t="str">
        <f aca="false">IF(E3924="","",RANK(E3924,$E$2:$E$5001,1))</f>
        <v/>
      </c>
      <c r="G3924" s="0" t="n">
        <f aca="false">IF(A3924="",0,IF(SUMPRODUCT(--($A$2:$A$5001=A3924))&gt;1,1,0))</f>
        <v>0</v>
      </c>
      <c r="H3924" s="0" t="n">
        <f aca="false">ROW()-1</f>
        <v>3923</v>
      </c>
      <c r="I3924" s="0" t="str">
        <f aca="false">IF(OR(הגדרות!$E$6=0,H3924&gt;הגדרות!$E$5),"",IF(H3924-1&lt;הגדרות!$E$8*(הגדרות!$E$7+1),INT((H3924-1)/(הגדרות!$E$7+1)),הגדרות!$E$8+INT((H3924-1-הגדרות!$E$8*(הגדרות!$E$7+1))/הגדרות!$E$7)))</f>
        <v/>
      </c>
      <c r="J3924" s="0" t="str">
        <f aca="false">IF(I3924="","",IF(H3924-1&lt;הגדרות!$E$8*(הגדרות!$E$7+1),MOD(H3924-1,הגדרות!$E$7+1),MOD(H3924-1-הגדרות!$E$8*(הגדרות!$E$7+1),הגדרות!$E$7)))</f>
        <v/>
      </c>
      <c r="K3924" s="0" t="str">
        <f aca="false">IF(I3924="","",J3924*הגדרות!$E$6+I3924+1)</f>
        <v/>
      </c>
      <c r="L3924" s="0" t="str">
        <f aca="false">IF(K3924="","",MATCH(K3924,$F$2:$F$5001,0))</f>
        <v/>
      </c>
      <c r="M3924" s="0" t="str">
        <f aca="false">IF(I3924="","",INDEX(הגדרות!$A$2:$A$21,MOD(I3924+הגדרות!$E$9,הגדרות!$E$6)+1))</f>
        <v/>
      </c>
    </row>
    <row r="3925" customFormat="false" ht="15" hidden="false" customHeight="false" outlineLevel="0" collapsed="false">
      <c r="A3925" s="0" t="str">
        <f aca="false">IF('הדבקת לידים'!A3925="","",IF(ISNUMBER('הדבקת לידים'!A3925),IF(הגדרות!$E$2&gt;0,TEXT('הדבקת לידים'!A3925,REPT("0",הגדרות!$E$2)),TEXT('הדבקת לידים'!A3925,"0")),TRIM('הדבקת לידים'!A3925)))</f>
        <v/>
      </c>
      <c r="B3925" s="0" t="str">
        <f aca="false">IF('הדבקת לידים'!B3925="","",IF(ISNUMBER('הדבקת לידים'!B3925),IF(הגדרות!$E$3&gt;0,TEXT('הדבקת לידים'!B3925,REPT("0",הגדרות!$E$3)),TEXT('הדבקת לידים'!B3925,"0")),TRIM('הדבקת לידים'!B3925)))</f>
        <v/>
      </c>
      <c r="C3925" s="0" t="n">
        <f aca="false">IF(OR(A3925&lt;&gt;"",B3925&lt;&gt;""),1,0)</f>
        <v>0</v>
      </c>
      <c r="D3925" s="0" t="str">
        <f aca="false">IF(C3925=1,MOD(ABS(SIN(ROW()*12.9898+'הדבקת לידים'!$F$2*78.233+IFERROR(--RIGHT(A3925,6),LEN(A3925))*0.0137+IFERROR(--RIGHT(B3925,6),LEN(B3925))*0.0071))*43758.5453,1),"")</f>
        <v/>
      </c>
      <c r="E3925" s="0" t="str">
        <f aca="false">IF(C3925=1,INT(MOD(ABS(SIN(D3925*7919.123+ROW()*0.618+'הדבקת לידים'!$F$2*1.3))*43758.5453,1)*1000000)*10000+ROW(),"")</f>
        <v/>
      </c>
      <c r="F3925" s="0" t="str">
        <f aca="false">IF(E3925="","",RANK(E3925,$E$2:$E$5001,1))</f>
        <v/>
      </c>
      <c r="G3925" s="0" t="n">
        <f aca="false">IF(A3925="",0,IF(SUMPRODUCT(--($A$2:$A$5001=A3925))&gt;1,1,0))</f>
        <v>0</v>
      </c>
      <c r="H3925" s="0" t="n">
        <f aca="false">ROW()-1</f>
        <v>3924</v>
      </c>
      <c r="I3925" s="0" t="str">
        <f aca="false">IF(OR(הגדרות!$E$6=0,H3925&gt;הגדרות!$E$5),"",IF(H3925-1&lt;הגדרות!$E$8*(הגדרות!$E$7+1),INT((H3925-1)/(הגדרות!$E$7+1)),הגדרות!$E$8+INT((H3925-1-הגדרות!$E$8*(הגדרות!$E$7+1))/הגדרות!$E$7)))</f>
        <v/>
      </c>
      <c r="J3925" s="0" t="str">
        <f aca="false">IF(I3925="","",IF(H3925-1&lt;הגדרות!$E$8*(הגדרות!$E$7+1),MOD(H3925-1,הגדרות!$E$7+1),MOD(H3925-1-הגדרות!$E$8*(הגדרות!$E$7+1),הגדרות!$E$7)))</f>
        <v/>
      </c>
      <c r="K3925" s="0" t="str">
        <f aca="false">IF(I3925="","",J3925*הגדרות!$E$6+I3925+1)</f>
        <v/>
      </c>
      <c r="L3925" s="0" t="str">
        <f aca="false">IF(K3925="","",MATCH(K3925,$F$2:$F$5001,0))</f>
        <v/>
      </c>
      <c r="M3925" s="0" t="str">
        <f aca="false">IF(I3925="","",INDEX(הגדרות!$A$2:$A$21,MOD(I3925+הגדרות!$E$9,הגדרות!$E$6)+1))</f>
        <v/>
      </c>
    </row>
    <row r="3926" customFormat="false" ht="15" hidden="false" customHeight="false" outlineLevel="0" collapsed="false">
      <c r="A3926" s="0" t="str">
        <f aca="false">IF('הדבקת לידים'!A3926="","",IF(ISNUMBER('הדבקת לידים'!A3926),IF(הגדרות!$E$2&gt;0,TEXT('הדבקת לידים'!A3926,REPT("0",הגדרות!$E$2)),TEXT('הדבקת לידים'!A3926,"0")),TRIM('הדבקת לידים'!A3926)))</f>
        <v/>
      </c>
      <c r="B3926" s="0" t="str">
        <f aca="false">IF('הדבקת לידים'!B3926="","",IF(ISNUMBER('הדבקת לידים'!B3926),IF(הגדרות!$E$3&gt;0,TEXT('הדבקת לידים'!B3926,REPT("0",הגדרות!$E$3)),TEXT('הדבקת לידים'!B3926,"0")),TRIM('הדבקת לידים'!B3926)))</f>
        <v/>
      </c>
      <c r="C3926" s="0" t="n">
        <f aca="false">IF(OR(A3926&lt;&gt;"",B3926&lt;&gt;""),1,0)</f>
        <v>0</v>
      </c>
      <c r="D3926" s="0" t="str">
        <f aca="false">IF(C3926=1,MOD(ABS(SIN(ROW()*12.9898+'הדבקת לידים'!$F$2*78.233+IFERROR(--RIGHT(A3926,6),LEN(A3926))*0.0137+IFERROR(--RIGHT(B3926,6),LEN(B3926))*0.0071))*43758.5453,1),"")</f>
        <v/>
      </c>
      <c r="E3926" s="0" t="str">
        <f aca="false">IF(C3926=1,INT(MOD(ABS(SIN(D3926*7919.123+ROW()*0.618+'הדבקת לידים'!$F$2*1.3))*43758.5453,1)*1000000)*10000+ROW(),"")</f>
        <v/>
      </c>
      <c r="F3926" s="0" t="str">
        <f aca="false">IF(E3926="","",RANK(E3926,$E$2:$E$5001,1))</f>
        <v/>
      </c>
      <c r="G3926" s="0" t="n">
        <f aca="false">IF(A3926="",0,IF(SUMPRODUCT(--($A$2:$A$5001=A3926))&gt;1,1,0))</f>
        <v>0</v>
      </c>
      <c r="H3926" s="0" t="n">
        <f aca="false">ROW()-1</f>
        <v>3925</v>
      </c>
      <c r="I3926" s="0" t="str">
        <f aca="false">IF(OR(הגדרות!$E$6=0,H3926&gt;הגדרות!$E$5),"",IF(H3926-1&lt;הגדרות!$E$8*(הגדרות!$E$7+1),INT((H3926-1)/(הגדרות!$E$7+1)),הגדרות!$E$8+INT((H3926-1-הגדרות!$E$8*(הגדרות!$E$7+1))/הגדרות!$E$7)))</f>
        <v/>
      </c>
      <c r="J3926" s="0" t="str">
        <f aca="false">IF(I3926="","",IF(H3926-1&lt;הגדרות!$E$8*(הגדרות!$E$7+1),MOD(H3926-1,הגדרות!$E$7+1),MOD(H3926-1-הגדרות!$E$8*(הגדרות!$E$7+1),הגדרות!$E$7)))</f>
        <v/>
      </c>
      <c r="K3926" s="0" t="str">
        <f aca="false">IF(I3926="","",J3926*הגדרות!$E$6+I3926+1)</f>
        <v/>
      </c>
      <c r="L3926" s="0" t="str">
        <f aca="false">IF(K3926="","",MATCH(K3926,$F$2:$F$5001,0))</f>
        <v/>
      </c>
      <c r="M3926" s="0" t="str">
        <f aca="false">IF(I3926="","",INDEX(הגדרות!$A$2:$A$21,MOD(I3926+הגדרות!$E$9,הגדרות!$E$6)+1))</f>
        <v/>
      </c>
    </row>
    <row r="3927" customFormat="false" ht="15" hidden="false" customHeight="false" outlineLevel="0" collapsed="false">
      <c r="A3927" s="0" t="str">
        <f aca="false">IF('הדבקת לידים'!A3927="","",IF(ISNUMBER('הדבקת לידים'!A3927),IF(הגדרות!$E$2&gt;0,TEXT('הדבקת לידים'!A3927,REPT("0",הגדרות!$E$2)),TEXT('הדבקת לידים'!A3927,"0")),TRIM('הדבקת לידים'!A3927)))</f>
        <v/>
      </c>
      <c r="B3927" s="0" t="str">
        <f aca="false">IF('הדבקת לידים'!B3927="","",IF(ISNUMBER('הדבקת לידים'!B3927),IF(הגדרות!$E$3&gt;0,TEXT('הדבקת לידים'!B3927,REPT("0",הגדרות!$E$3)),TEXT('הדבקת לידים'!B3927,"0")),TRIM('הדבקת לידים'!B3927)))</f>
        <v/>
      </c>
      <c r="C3927" s="0" t="n">
        <f aca="false">IF(OR(A3927&lt;&gt;"",B3927&lt;&gt;""),1,0)</f>
        <v>0</v>
      </c>
      <c r="D3927" s="0" t="str">
        <f aca="false">IF(C3927=1,MOD(ABS(SIN(ROW()*12.9898+'הדבקת לידים'!$F$2*78.233+IFERROR(--RIGHT(A3927,6),LEN(A3927))*0.0137+IFERROR(--RIGHT(B3927,6),LEN(B3927))*0.0071))*43758.5453,1),"")</f>
        <v/>
      </c>
      <c r="E3927" s="0" t="str">
        <f aca="false">IF(C3927=1,INT(MOD(ABS(SIN(D3927*7919.123+ROW()*0.618+'הדבקת לידים'!$F$2*1.3))*43758.5453,1)*1000000)*10000+ROW(),"")</f>
        <v/>
      </c>
      <c r="F3927" s="0" t="str">
        <f aca="false">IF(E3927="","",RANK(E3927,$E$2:$E$5001,1))</f>
        <v/>
      </c>
      <c r="G3927" s="0" t="n">
        <f aca="false">IF(A3927="",0,IF(SUMPRODUCT(--($A$2:$A$5001=A3927))&gt;1,1,0))</f>
        <v>0</v>
      </c>
      <c r="H3927" s="0" t="n">
        <f aca="false">ROW()-1</f>
        <v>3926</v>
      </c>
      <c r="I3927" s="0" t="str">
        <f aca="false">IF(OR(הגדרות!$E$6=0,H3927&gt;הגדרות!$E$5),"",IF(H3927-1&lt;הגדרות!$E$8*(הגדרות!$E$7+1),INT((H3927-1)/(הגדרות!$E$7+1)),הגדרות!$E$8+INT((H3927-1-הגדרות!$E$8*(הגדרות!$E$7+1))/הגדרות!$E$7)))</f>
        <v/>
      </c>
      <c r="J3927" s="0" t="str">
        <f aca="false">IF(I3927="","",IF(H3927-1&lt;הגדרות!$E$8*(הגדרות!$E$7+1),MOD(H3927-1,הגדרות!$E$7+1),MOD(H3927-1-הגדרות!$E$8*(הגדרות!$E$7+1),הגדרות!$E$7)))</f>
        <v/>
      </c>
      <c r="K3927" s="0" t="str">
        <f aca="false">IF(I3927="","",J3927*הגדרות!$E$6+I3927+1)</f>
        <v/>
      </c>
      <c r="L3927" s="0" t="str">
        <f aca="false">IF(K3927="","",MATCH(K3927,$F$2:$F$5001,0))</f>
        <v/>
      </c>
      <c r="M3927" s="0" t="str">
        <f aca="false">IF(I3927="","",INDEX(הגדרות!$A$2:$A$21,MOD(I3927+הגדרות!$E$9,הגדרות!$E$6)+1))</f>
        <v/>
      </c>
    </row>
    <row r="3928" customFormat="false" ht="15" hidden="false" customHeight="false" outlineLevel="0" collapsed="false">
      <c r="A3928" s="0" t="str">
        <f aca="false">IF('הדבקת לידים'!A3928="","",IF(ISNUMBER('הדבקת לידים'!A3928),IF(הגדרות!$E$2&gt;0,TEXT('הדבקת לידים'!A3928,REPT("0",הגדרות!$E$2)),TEXT('הדבקת לידים'!A3928,"0")),TRIM('הדבקת לידים'!A3928)))</f>
        <v/>
      </c>
      <c r="B3928" s="0" t="str">
        <f aca="false">IF('הדבקת לידים'!B3928="","",IF(ISNUMBER('הדבקת לידים'!B3928),IF(הגדרות!$E$3&gt;0,TEXT('הדבקת לידים'!B3928,REPT("0",הגדרות!$E$3)),TEXT('הדבקת לידים'!B3928,"0")),TRIM('הדבקת לידים'!B3928)))</f>
        <v/>
      </c>
      <c r="C3928" s="0" t="n">
        <f aca="false">IF(OR(A3928&lt;&gt;"",B3928&lt;&gt;""),1,0)</f>
        <v>0</v>
      </c>
      <c r="D3928" s="0" t="str">
        <f aca="false">IF(C3928=1,MOD(ABS(SIN(ROW()*12.9898+'הדבקת לידים'!$F$2*78.233+IFERROR(--RIGHT(A3928,6),LEN(A3928))*0.0137+IFERROR(--RIGHT(B3928,6),LEN(B3928))*0.0071))*43758.5453,1),"")</f>
        <v/>
      </c>
      <c r="E3928" s="0" t="str">
        <f aca="false">IF(C3928=1,INT(MOD(ABS(SIN(D3928*7919.123+ROW()*0.618+'הדבקת לידים'!$F$2*1.3))*43758.5453,1)*1000000)*10000+ROW(),"")</f>
        <v/>
      </c>
      <c r="F3928" s="0" t="str">
        <f aca="false">IF(E3928="","",RANK(E3928,$E$2:$E$5001,1))</f>
        <v/>
      </c>
      <c r="G3928" s="0" t="n">
        <f aca="false">IF(A3928="",0,IF(SUMPRODUCT(--($A$2:$A$5001=A3928))&gt;1,1,0))</f>
        <v>0</v>
      </c>
      <c r="H3928" s="0" t="n">
        <f aca="false">ROW()-1</f>
        <v>3927</v>
      </c>
      <c r="I3928" s="0" t="str">
        <f aca="false">IF(OR(הגדרות!$E$6=0,H3928&gt;הגדרות!$E$5),"",IF(H3928-1&lt;הגדרות!$E$8*(הגדרות!$E$7+1),INT((H3928-1)/(הגדרות!$E$7+1)),הגדרות!$E$8+INT((H3928-1-הגדרות!$E$8*(הגדרות!$E$7+1))/הגדרות!$E$7)))</f>
        <v/>
      </c>
      <c r="J3928" s="0" t="str">
        <f aca="false">IF(I3928="","",IF(H3928-1&lt;הגדרות!$E$8*(הגדרות!$E$7+1),MOD(H3928-1,הגדרות!$E$7+1),MOD(H3928-1-הגדרות!$E$8*(הגדרות!$E$7+1),הגדרות!$E$7)))</f>
        <v/>
      </c>
      <c r="K3928" s="0" t="str">
        <f aca="false">IF(I3928="","",J3928*הגדרות!$E$6+I3928+1)</f>
        <v/>
      </c>
      <c r="L3928" s="0" t="str">
        <f aca="false">IF(K3928="","",MATCH(K3928,$F$2:$F$5001,0))</f>
        <v/>
      </c>
      <c r="M3928" s="0" t="str">
        <f aca="false">IF(I3928="","",INDEX(הגדרות!$A$2:$A$21,MOD(I3928+הגדרות!$E$9,הגדרות!$E$6)+1))</f>
        <v/>
      </c>
    </row>
    <row r="3929" customFormat="false" ht="15" hidden="false" customHeight="false" outlineLevel="0" collapsed="false">
      <c r="A3929" s="0" t="str">
        <f aca="false">IF('הדבקת לידים'!A3929="","",IF(ISNUMBER('הדבקת לידים'!A3929),IF(הגדרות!$E$2&gt;0,TEXT('הדבקת לידים'!A3929,REPT("0",הגדרות!$E$2)),TEXT('הדבקת לידים'!A3929,"0")),TRIM('הדבקת לידים'!A3929)))</f>
        <v/>
      </c>
      <c r="B3929" s="0" t="str">
        <f aca="false">IF('הדבקת לידים'!B3929="","",IF(ISNUMBER('הדבקת לידים'!B3929),IF(הגדרות!$E$3&gt;0,TEXT('הדבקת לידים'!B3929,REPT("0",הגדרות!$E$3)),TEXT('הדבקת לידים'!B3929,"0")),TRIM('הדבקת לידים'!B3929)))</f>
        <v/>
      </c>
      <c r="C3929" s="0" t="n">
        <f aca="false">IF(OR(A3929&lt;&gt;"",B3929&lt;&gt;""),1,0)</f>
        <v>0</v>
      </c>
      <c r="D3929" s="0" t="str">
        <f aca="false">IF(C3929=1,MOD(ABS(SIN(ROW()*12.9898+'הדבקת לידים'!$F$2*78.233+IFERROR(--RIGHT(A3929,6),LEN(A3929))*0.0137+IFERROR(--RIGHT(B3929,6),LEN(B3929))*0.0071))*43758.5453,1),"")</f>
        <v/>
      </c>
      <c r="E3929" s="0" t="str">
        <f aca="false">IF(C3929=1,INT(MOD(ABS(SIN(D3929*7919.123+ROW()*0.618+'הדבקת לידים'!$F$2*1.3))*43758.5453,1)*1000000)*10000+ROW(),"")</f>
        <v/>
      </c>
      <c r="F3929" s="0" t="str">
        <f aca="false">IF(E3929="","",RANK(E3929,$E$2:$E$5001,1))</f>
        <v/>
      </c>
      <c r="G3929" s="0" t="n">
        <f aca="false">IF(A3929="",0,IF(SUMPRODUCT(--($A$2:$A$5001=A3929))&gt;1,1,0))</f>
        <v>0</v>
      </c>
      <c r="H3929" s="0" t="n">
        <f aca="false">ROW()-1</f>
        <v>3928</v>
      </c>
      <c r="I3929" s="0" t="str">
        <f aca="false">IF(OR(הגדרות!$E$6=0,H3929&gt;הגדרות!$E$5),"",IF(H3929-1&lt;הגדרות!$E$8*(הגדרות!$E$7+1),INT((H3929-1)/(הגדרות!$E$7+1)),הגדרות!$E$8+INT((H3929-1-הגדרות!$E$8*(הגדרות!$E$7+1))/הגדרות!$E$7)))</f>
        <v/>
      </c>
      <c r="J3929" s="0" t="str">
        <f aca="false">IF(I3929="","",IF(H3929-1&lt;הגדרות!$E$8*(הגדרות!$E$7+1),MOD(H3929-1,הגדרות!$E$7+1),MOD(H3929-1-הגדרות!$E$8*(הגדרות!$E$7+1),הגדרות!$E$7)))</f>
        <v/>
      </c>
      <c r="K3929" s="0" t="str">
        <f aca="false">IF(I3929="","",J3929*הגדרות!$E$6+I3929+1)</f>
        <v/>
      </c>
      <c r="L3929" s="0" t="str">
        <f aca="false">IF(K3929="","",MATCH(K3929,$F$2:$F$5001,0))</f>
        <v/>
      </c>
      <c r="M3929" s="0" t="str">
        <f aca="false">IF(I3929="","",INDEX(הגדרות!$A$2:$A$21,MOD(I3929+הגדרות!$E$9,הגדרות!$E$6)+1))</f>
        <v/>
      </c>
    </row>
    <row r="3930" customFormat="false" ht="15" hidden="false" customHeight="false" outlineLevel="0" collapsed="false">
      <c r="A3930" s="0" t="str">
        <f aca="false">IF('הדבקת לידים'!A3930="","",IF(ISNUMBER('הדבקת לידים'!A3930),IF(הגדרות!$E$2&gt;0,TEXT('הדבקת לידים'!A3930,REPT("0",הגדרות!$E$2)),TEXT('הדבקת לידים'!A3930,"0")),TRIM('הדבקת לידים'!A3930)))</f>
        <v/>
      </c>
      <c r="B3930" s="0" t="str">
        <f aca="false">IF('הדבקת לידים'!B3930="","",IF(ISNUMBER('הדבקת לידים'!B3930),IF(הגדרות!$E$3&gt;0,TEXT('הדבקת לידים'!B3930,REPT("0",הגדרות!$E$3)),TEXT('הדבקת לידים'!B3930,"0")),TRIM('הדבקת לידים'!B3930)))</f>
        <v/>
      </c>
      <c r="C3930" s="0" t="n">
        <f aca="false">IF(OR(A3930&lt;&gt;"",B3930&lt;&gt;""),1,0)</f>
        <v>0</v>
      </c>
      <c r="D3930" s="0" t="str">
        <f aca="false">IF(C3930=1,MOD(ABS(SIN(ROW()*12.9898+'הדבקת לידים'!$F$2*78.233+IFERROR(--RIGHT(A3930,6),LEN(A3930))*0.0137+IFERROR(--RIGHT(B3930,6),LEN(B3930))*0.0071))*43758.5453,1),"")</f>
        <v/>
      </c>
      <c r="E3930" s="0" t="str">
        <f aca="false">IF(C3930=1,INT(MOD(ABS(SIN(D3930*7919.123+ROW()*0.618+'הדבקת לידים'!$F$2*1.3))*43758.5453,1)*1000000)*10000+ROW(),"")</f>
        <v/>
      </c>
      <c r="F3930" s="0" t="str">
        <f aca="false">IF(E3930="","",RANK(E3930,$E$2:$E$5001,1))</f>
        <v/>
      </c>
      <c r="G3930" s="0" t="n">
        <f aca="false">IF(A3930="",0,IF(SUMPRODUCT(--($A$2:$A$5001=A3930))&gt;1,1,0))</f>
        <v>0</v>
      </c>
      <c r="H3930" s="0" t="n">
        <f aca="false">ROW()-1</f>
        <v>3929</v>
      </c>
      <c r="I3930" s="0" t="str">
        <f aca="false">IF(OR(הגדרות!$E$6=0,H3930&gt;הגדרות!$E$5),"",IF(H3930-1&lt;הגדרות!$E$8*(הגדרות!$E$7+1),INT((H3930-1)/(הגדרות!$E$7+1)),הגדרות!$E$8+INT((H3930-1-הגדרות!$E$8*(הגדרות!$E$7+1))/הגדרות!$E$7)))</f>
        <v/>
      </c>
      <c r="J3930" s="0" t="str">
        <f aca="false">IF(I3930="","",IF(H3930-1&lt;הגדרות!$E$8*(הגדרות!$E$7+1),MOD(H3930-1,הגדרות!$E$7+1),MOD(H3930-1-הגדרות!$E$8*(הגדרות!$E$7+1),הגדרות!$E$7)))</f>
        <v/>
      </c>
      <c r="K3930" s="0" t="str">
        <f aca="false">IF(I3930="","",J3930*הגדרות!$E$6+I3930+1)</f>
        <v/>
      </c>
      <c r="L3930" s="0" t="str">
        <f aca="false">IF(K3930="","",MATCH(K3930,$F$2:$F$5001,0))</f>
        <v/>
      </c>
      <c r="M3930" s="0" t="str">
        <f aca="false">IF(I3930="","",INDEX(הגדרות!$A$2:$A$21,MOD(I3930+הגדרות!$E$9,הגדרות!$E$6)+1))</f>
        <v/>
      </c>
    </row>
    <row r="3931" customFormat="false" ht="15" hidden="false" customHeight="false" outlineLevel="0" collapsed="false">
      <c r="A3931" s="0" t="str">
        <f aca="false">IF('הדבקת לידים'!A3931="","",IF(ISNUMBER('הדבקת לידים'!A3931),IF(הגדרות!$E$2&gt;0,TEXT('הדבקת לידים'!A3931,REPT("0",הגדרות!$E$2)),TEXT('הדבקת לידים'!A3931,"0")),TRIM('הדבקת לידים'!A3931)))</f>
        <v/>
      </c>
      <c r="B3931" s="0" t="str">
        <f aca="false">IF('הדבקת לידים'!B3931="","",IF(ISNUMBER('הדבקת לידים'!B3931),IF(הגדרות!$E$3&gt;0,TEXT('הדבקת לידים'!B3931,REPT("0",הגדרות!$E$3)),TEXT('הדבקת לידים'!B3931,"0")),TRIM('הדבקת לידים'!B3931)))</f>
        <v/>
      </c>
      <c r="C3931" s="0" t="n">
        <f aca="false">IF(OR(A3931&lt;&gt;"",B3931&lt;&gt;""),1,0)</f>
        <v>0</v>
      </c>
      <c r="D3931" s="0" t="str">
        <f aca="false">IF(C3931=1,MOD(ABS(SIN(ROW()*12.9898+'הדבקת לידים'!$F$2*78.233+IFERROR(--RIGHT(A3931,6),LEN(A3931))*0.0137+IFERROR(--RIGHT(B3931,6),LEN(B3931))*0.0071))*43758.5453,1),"")</f>
        <v/>
      </c>
      <c r="E3931" s="0" t="str">
        <f aca="false">IF(C3931=1,INT(MOD(ABS(SIN(D3931*7919.123+ROW()*0.618+'הדבקת לידים'!$F$2*1.3))*43758.5453,1)*1000000)*10000+ROW(),"")</f>
        <v/>
      </c>
      <c r="F3931" s="0" t="str">
        <f aca="false">IF(E3931="","",RANK(E3931,$E$2:$E$5001,1))</f>
        <v/>
      </c>
      <c r="G3931" s="0" t="n">
        <f aca="false">IF(A3931="",0,IF(SUMPRODUCT(--($A$2:$A$5001=A3931))&gt;1,1,0))</f>
        <v>0</v>
      </c>
      <c r="H3931" s="0" t="n">
        <f aca="false">ROW()-1</f>
        <v>3930</v>
      </c>
      <c r="I3931" s="0" t="str">
        <f aca="false">IF(OR(הגדרות!$E$6=0,H3931&gt;הגדרות!$E$5),"",IF(H3931-1&lt;הגדרות!$E$8*(הגדרות!$E$7+1),INT((H3931-1)/(הגדרות!$E$7+1)),הגדרות!$E$8+INT((H3931-1-הגדרות!$E$8*(הגדרות!$E$7+1))/הגדרות!$E$7)))</f>
        <v/>
      </c>
      <c r="J3931" s="0" t="str">
        <f aca="false">IF(I3931="","",IF(H3931-1&lt;הגדרות!$E$8*(הגדרות!$E$7+1),MOD(H3931-1,הגדרות!$E$7+1),MOD(H3931-1-הגדרות!$E$8*(הגדרות!$E$7+1),הגדרות!$E$7)))</f>
        <v/>
      </c>
      <c r="K3931" s="0" t="str">
        <f aca="false">IF(I3931="","",J3931*הגדרות!$E$6+I3931+1)</f>
        <v/>
      </c>
      <c r="L3931" s="0" t="str">
        <f aca="false">IF(K3931="","",MATCH(K3931,$F$2:$F$5001,0))</f>
        <v/>
      </c>
      <c r="M3931" s="0" t="str">
        <f aca="false">IF(I3931="","",INDEX(הגדרות!$A$2:$A$21,MOD(I3931+הגדרות!$E$9,הגדרות!$E$6)+1))</f>
        <v/>
      </c>
    </row>
    <row r="3932" customFormat="false" ht="15" hidden="false" customHeight="false" outlineLevel="0" collapsed="false">
      <c r="A3932" s="0" t="str">
        <f aca="false">IF('הדבקת לידים'!A3932="","",IF(ISNUMBER('הדבקת לידים'!A3932),IF(הגדרות!$E$2&gt;0,TEXT('הדבקת לידים'!A3932,REPT("0",הגדרות!$E$2)),TEXT('הדבקת לידים'!A3932,"0")),TRIM('הדבקת לידים'!A3932)))</f>
        <v/>
      </c>
      <c r="B3932" s="0" t="str">
        <f aca="false">IF('הדבקת לידים'!B3932="","",IF(ISNUMBER('הדבקת לידים'!B3932),IF(הגדרות!$E$3&gt;0,TEXT('הדבקת לידים'!B3932,REPT("0",הגדרות!$E$3)),TEXT('הדבקת לידים'!B3932,"0")),TRIM('הדבקת לידים'!B3932)))</f>
        <v/>
      </c>
      <c r="C3932" s="0" t="n">
        <f aca="false">IF(OR(A3932&lt;&gt;"",B3932&lt;&gt;""),1,0)</f>
        <v>0</v>
      </c>
      <c r="D3932" s="0" t="str">
        <f aca="false">IF(C3932=1,MOD(ABS(SIN(ROW()*12.9898+'הדבקת לידים'!$F$2*78.233+IFERROR(--RIGHT(A3932,6),LEN(A3932))*0.0137+IFERROR(--RIGHT(B3932,6),LEN(B3932))*0.0071))*43758.5453,1),"")</f>
        <v/>
      </c>
      <c r="E3932" s="0" t="str">
        <f aca="false">IF(C3932=1,INT(MOD(ABS(SIN(D3932*7919.123+ROW()*0.618+'הדבקת לידים'!$F$2*1.3))*43758.5453,1)*1000000)*10000+ROW(),"")</f>
        <v/>
      </c>
      <c r="F3932" s="0" t="str">
        <f aca="false">IF(E3932="","",RANK(E3932,$E$2:$E$5001,1))</f>
        <v/>
      </c>
      <c r="G3932" s="0" t="n">
        <f aca="false">IF(A3932="",0,IF(SUMPRODUCT(--($A$2:$A$5001=A3932))&gt;1,1,0))</f>
        <v>0</v>
      </c>
      <c r="H3932" s="0" t="n">
        <f aca="false">ROW()-1</f>
        <v>3931</v>
      </c>
      <c r="I3932" s="0" t="str">
        <f aca="false">IF(OR(הגדרות!$E$6=0,H3932&gt;הגדרות!$E$5),"",IF(H3932-1&lt;הגדרות!$E$8*(הגדרות!$E$7+1),INT((H3932-1)/(הגדרות!$E$7+1)),הגדרות!$E$8+INT((H3932-1-הגדרות!$E$8*(הגדרות!$E$7+1))/הגדרות!$E$7)))</f>
        <v/>
      </c>
      <c r="J3932" s="0" t="str">
        <f aca="false">IF(I3932="","",IF(H3932-1&lt;הגדרות!$E$8*(הגדרות!$E$7+1),MOD(H3932-1,הגדרות!$E$7+1),MOD(H3932-1-הגדרות!$E$8*(הגדרות!$E$7+1),הגדרות!$E$7)))</f>
        <v/>
      </c>
      <c r="K3932" s="0" t="str">
        <f aca="false">IF(I3932="","",J3932*הגדרות!$E$6+I3932+1)</f>
        <v/>
      </c>
      <c r="L3932" s="0" t="str">
        <f aca="false">IF(K3932="","",MATCH(K3932,$F$2:$F$5001,0))</f>
        <v/>
      </c>
      <c r="M3932" s="0" t="str">
        <f aca="false">IF(I3932="","",INDEX(הגדרות!$A$2:$A$21,MOD(I3932+הגדרות!$E$9,הגדרות!$E$6)+1))</f>
        <v/>
      </c>
    </row>
    <row r="3933" customFormat="false" ht="15" hidden="false" customHeight="false" outlineLevel="0" collapsed="false">
      <c r="A3933" s="0" t="str">
        <f aca="false">IF('הדבקת לידים'!A3933="","",IF(ISNUMBER('הדבקת לידים'!A3933),IF(הגדרות!$E$2&gt;0,TEXT('הדבקת לידים'!A3933,REPT("0",הגדרות!$E$2)),TEXT('הדבקת לידים'!A3933,"0")),TRIM('הדבקת לידים'!A3933)))</f>
        <v/>
      </c>
      <c r="B3933" s="0" t="str">
        <f aca="false">IF('הדבקת לידים'!B3933="","",IF(ISNUMBER('הדבקת לידים'!B3933),IF(הגדרות!$E$3&gt;0,TEXT('הדבקת לידים'!B3933,REPT("0",הגדרות!$E$3)),TEXT('הדבקת לידים'!B3933,"0")),TRIM('הדבקת לידים'!B3933)))</f>
        <v/>
      </c>
      <c r="C3933" s="0" t="n">
        <f aca="false">IF(OR(A3933&lt;&gt;"",B3933&lt;&gt;""),1,0)</f>
        <v>0</v>
      </c>
      <c r="D3933" s="0" t="str">
        <f aca="false">IF(C3933=1,MOD(ABS(SIN(ROW()*12.9898+'הדבקת לידים'!$F$2*78.233+IFERROR(--RIGHT(A3933,6),LEN(A3933))*0.0137+IFERROR(--RIGHT(B3933,6),LEN(B3933))*0.0071))*43758.5453,1),"")</f>
        <v/>
      </c>
      <c r="E3933" s="0" t="str">
        <f aca="false">IF(C3933=1,INT(MOD(ABS(SIN(D3933*7919.123+ROW()*0.618+'הדבקת לידים'!$F$2*1.3))*43758.5453,1)*1000000)*10000+ROW(),"")</f>
        <v/>
      </c>
      <c r="F3933" s="0" t="str">
        <f aca="false">IF(E3933="","",RANK(E3933,$E$2:$E$5001,1))</f>
        <v/>
      </c>
      <c r="G3933" s="0" t="n">
        <f aca="false">IF(A3933="",0,IF(SUMPRODUCT(--($A$2:$A$5001=A3933))&gt;1,1,0))</f>
        <v>0</v>
      </c>
      <c r="H3933" s="0" t="n">
        <f aca="false">ROW()-1</f>
        <v>3932</v>
      </c>
      <c r="I3933" s="0" t="str">
        <f aca="false">IF(OR(הגדרות!$E$6=0,H3933&gt;הגדרות!$E$5),"",IF(H3933-1&lt;הגדרות!$E$8*(הגדרות!$E$7+1),INT((H3933-1)/(הגדרות!$E$7+1)),הגדרות!$E$8+INT((H3933-1-הגדרות!$E$8*(הגדרות!$E$7+1))/הגדרות!$E$7)))</f>
        <v/>
      </c>
      <c r="J3933" s="0" t="str">
        <f aca="false">IF(I3933="","",IF(H3933-1&lt;הגדרות!$E$8*(הגדרות!$E$7+1),MOD(H3933-1,הגדרות!$E$7+1),MOD(H3933-1-הגדרות!$E$8*(הגדרות!$E$7+1),הגדרות!$E$7)))</f>
        <v/>
      </c>
      <c r="K3933" s="0" t="str">
        <f aca="false">IF(I3933="","",J3933*הגדרות!$E$6+I3933+1)</f>
        <v/>
      </c>
      <c r="L3933" s="0" t="str">
        <f aca="false">IF(K3933="","",MATCH(K3933,$F$2:$F$5001,0))</f>
        <v/>
      </c>
      <c r="M3933" s="0" t="str">
        <f aca="false">IF(I3933="","",INDEX(הגדרות!$A$2:$A$21,MOD(I3933+הגדרות!$E$9,הגדרות!$E$6)+1))</f>
        <v/>
      </c>
    </row>
    <row r="3934" customFormat="false" ht="15" hidden="false" customHeight="false" outlineLevel="0" collapsed="false">
      <c r="A3934" s="0" t="str">
        <f aca="false">IF('הדבקת לידים'!A3934="","",IF(ISNUMBER('הדבקת לידים'!A3934),IF(הגדרות!$E$2&gt;0,TEXT('הדבקת לידים'!A3934,REPT("0",הגדרות!$E$2)),TEXT('הדבקת לידים'!A3934,"0")),TRIM('הדבקת לידים'!A3934)))</f>
        <v/>
      </c>
      <c r="B3934" s="0" t="str">
        <f aca="false">IF('הדבקת לידים'!B3934="","",IF(ISNUMBER('הדבקת לידים'!B3934),IF(הגדרות!$E$3&gt;0,TEXT('הדבקת לידים'!B3934,REPT("0",הגדרות!$E$3)),TEXT('הדבקת לידים'!B3934,"0")),TRIM('הדבקת לידים'!B3934)))</f>
        <v/>
      </c>
      <c r="C3934" s="0" t="n">
        <f aca="false">IF(OR(A3934&lt;&gt;"",B3934&lt;&gt;""),1,0)</f>
        <v>0</v>
      </c>
      <c r="D3934" s="0" t="str">
        <f aca="false">IF(C3934=1,MOD(ABS(SIN(ROW()*12.9898+'הדבקת לידים'!$F$2*78.233+IFERROR(--RIGHT(A3934,6),LEN(A3934))*0.0137+IFERROR(--RIGHT(B3934,6),LEN(B3934))*0.0071))*43758.5453,1),"")</f>
        <v/>
      </c>
      <c r="E3934" s="0" t="str">
        <f aca="false">IF(C3934=1,INT(MOD(ABS(SIN(D3934*7919.123+ROW()*0.618+'הדבקת לידים'!$F$2*1.3))*43758.5453,1)*1000000)*10000+ROW(),"")</f>
        <v/>
      </c>
      <c r="F3934" s="0" t="str">
        <f aca="false">IF(E3934="","",RANK(E3934,$E$2:$E$5001,1))</f>
        <v/>
      </c>
      <c r="G3934" s="0" t="n">
        <f aca="false">IF(A3934="",0,IF(SUMPRODUCT(--($A$2:$A$5001=A3934))&gt;1,1,0))</f>
        <v>0</v>
      </c>
      <c r="H3934" s="0" t="n">
        <f aca="false">ROW()-1</f>
        <v>3933</v>
      </c>
      <c r="I3934" s="0" t="str">
        <f aca="false">IF(OR(הגדרות!$E$6=0,H3934&gt;הגדרות!$E$5),"",IF(H3934-1&lt;הגדרות!$E$8*(הגדרות!$E$7+1),INT((H3934-1)/(הגדרות!$E$7+1)),הגדרות!$E$8+INT((H3934-1-הגדרות!$E$8*(הגדרות!$E$7+1))/הגדרות!$E$7)))</f>
        <v/>
      </c>
      <c r="J3934" s="0" t="str">
        <f aca="false">IF(I3934="","",IF(H3934-1&lt;הגדרות!$E$8*(הגדרות!$E$7+1),MOD(H3934-1,הגדרות!$E$7+1),MOD(H3934-1-הגדרות!$E$8*(הגדרות!$E$7+1),הגדרות!$E$7)))</f>
        <v/>
      </c>
      <c r="K3934" s="0" t="str">
        <f aca="false">IF(I3934="","",J3934*הגדרות!$E$6+I3934+1)</f>
        <v/>
      </c>
      <c r="L3934" s="0" t="str">
        <f aca="false">IF(K3934="","",MATCH(K3934,$F$2:$F$5001,0))</f>
        <v/>
      </c>
      <c r="M3934" s="0" t="str">
        <f aca="false">IF(I3934="","",INDEX(הגדרות!$A$2:$A$21,MOD(I3934+הגדרות!$E$9,הגדרות!$E$6)+1))</f>
        <v/>
      </c>
    </row>
    <row r="3935" customFormat="false" ht="15" hidden="false" customHeight="false" outlineLevel="0" collapsed="false">
      <c r="A3935" s="0" t="str">
        <f aca="false">IF('הדבקת לידים'!A3935="","",IF(ISNUMBER('הדבקת לידים'!A3935),IF(הגדרות!$E$2&gt;0,TEXT('הדבקת לידים'!A3935,REPT("0",הגדרות!$E$2)),TEXT('הדבקת לידים'!A3935,"0")),TRIM('הדבקת לידים'!A3935)))</f>
        <v/>
      </c>
      <c r="B3935" s="0" t="str">
        <f aca="false">IF('הדבקת לידים'!B3935="","",IF(ISNUMBER('הדבקת לידים'!B3935),IF(הגדרות!$E$3&gt;0,TEXT('הדבקת לידים'!B3935,REPT("0",הגדרות!$E$3)),TEXT('הדבקת לידים'!B3935,"0")),TRIM('הדבקת לידים'!B3935)))</f>
        <v/>
      </c>
      <c r="C3935" s="0" t="n">
        <f aca="false">IF(OR(A3935&lt;&gt;"",B3935&lt;&gt;""),1,0)</f>
        <v>0</v>
      </c>
      <c r="D3935" s="0" t="str">
        <f aca="false">IF(C3935=1,MOD(ABS(SIN(ROW()*12.9898+'הדבקת לידים'!$F$2*78.233+IFERROR(--RIGHT(A3935,6),LEN(A3935))*0.0137+IFERROR(--RIGHT(B3935,6),LEN(B3935))*0.0071))*43758.5453,1),"")</f>
        <v/>
      </c>
      <c r="E3935" s="0" t="str">
        <f aca="false">IF(C3935=1,INT(MOD(ABS(SIN(D3935*7919.123+ROW()*0.618+'הדבקת לידים'!$F$2*1.3))*43758.5453,1)*1000000)*10000+ROW(),"")</f>
        <v/>
      </c>
      <c r="F3935" s="0" t="str">
        <f aca="false">IF(E3935="","",RANK(E3935,$E$2:$E$5001,1))</f>
        <v/>
      </c>
      <c r="G3935" s="0" t="n">
        <f aca="false">IF(A3935="",0,IF(SUMPRODUCT(--($A$2:$A$5001=A3935))&gt;1,1,0))</f>
        <v>0</v>
      </c>
      <c r="H3935" s="0" t="n">
        <f aca="false">ROW()-1</f>
        <v>3934</v>
      </c>
      <c r="I3935" s="0" t="str">
        <f aca="false">IF(OR(הגדרות!$E$6=0,H3935&gt;הגדרות!$E$5),"",IF(H3935-1&lt;הגדרות!$E$8*(הגדרות!$E$7+1),INT((H3935-1)/(הגדרות!$E$7+1)),הגדרות!$E$8+INT((H3935-1-הגדרות!$E$8*(הגדרות!$E$7+1))/הגדרות!$E$7)))</f>
        <v/>
      </c>
      <c r="J3935" s="0" t="str">
        <f aca="false">IF(I3935="","",IF(H3935-1&lt;הגדרות!$E$8*(הגדרות!$E$7+1),MOD(H3935-1,הגדרות!$E$7+1),MOD(H3935-1-הגדרות!$E$8*(הגדרות!$E$7+1),הגדרות!$E$7)))</f>
        <v/>
      </c>
      <c r="K3935" s="0" t="str">
        <f aca="false">IF(I3935="","",J3935*הגדרות!$E$6+I3935+1)</f>
        <v/>
      </c>
      <c r="L3935" s="0" t="str">
        <f aca="false">IF(K3935="","",MATCH(K3935,$F$2:$F$5001,0))</f>
        <v/>
      </c>
      <c r="M3935" s="0" t="str">
        <f aca="false">IF(I3935="","",INDEX(הגדרות!$A$2:$A$21,MOD(I3935+הגדרות!$E$9,הגדרות!$E$6)+1))</f>
        <v/>
      </c>
    </row>
    <row r="3936" customFormat="false" ht="15" hidden="false" customHeight="false" outlineLevel="0" collapsed="false">
      <c r="A3936" s="0" t="str">
        <f aca="false">IF('הדבקת לידים'!A3936="","",IF(ISNUMBER('הדבקת לידים'!A3936),IF(הגדרות!$E$2&gt;0,TEXT('הדבקת לידים'!A3936,REPT("0",הגדרות!$E$2)),TEXT('הדבקת לידים'!A3936,"0")),TRIM('הדבקת לידים'!A3936)))</f>
        <v/>
      </c>
      <c r="B3936" s="0" t="str">
        <f aca="false">IF('הדבקת לידים'!B3936="","",IF(ISNUMBER('הדבקת לידים'!B3936),IF(הגדרות!$E$3&gt;0,TEXT('הדבקת לידים'!B3936,REPT("0",הגדרות!$E$3)),TEXT('הדבקת לידים'!B3936,"0")),TRIM('הדבקת לידים'!B3936)))</f>
        <v/>
      </c>
      <c r="C3936" s="0" t="n">
        <f aca="false">IF(OR(A3936&lt;&gt;"",B3936&lt;&gt;""),1,0)</f>
        <v>0</v>
      </c>
      <c r="D3936" s="0" t="str">
        <f aca="false">IF(C3936=1,MOD(ABS(SIN(ROW()*12.9898+'הדבקת לידים'!$F$2*78.233+IFERROR(--RIGHT(A3936,6),LEN(A3936))*0.0137+IFERROR(--RIGHT(B3936,6),LEN(B3936))*0.0071))*43758.5453,1),"")</f>
        <v/>
      </c>
      <c r="E3936" s="0" t="str">
        <f aca="false">IF(C3936=1,INT(MOD(ABS(SIN(D3936*7919.123+ROW()*0.618+'הדבקת לידים'!$F$2*1.3))*43758.5453,1)*1000000)*10000+ROW(),"")</f>
        <v/>
      </c>
      <c r="F3936" s="0" t="str">
        <f aca="false">IF(E3936="","",RANK(E3936,$E$2:$E$5001,1))</f>
        <v/>
      </c>
      <c r="G3936" s="0" t="n">
        <f aca="false">IF(A3936="",0,IF(SUMPRODUCT(--($A$2:$A$5001=A3936))&gt;1,1,0))</f>
        <v>0</v>
      </c>
      <c r="H3936" s="0" t="n">
        <f aca="false">ROW()-1</f>
        <v>3935</v>
      </c>
      <c r="I3936" s="0" t="str">
        <f aca="false">IF(OR(הגדרות!$E$6=0,H3936&gt;הגדרות!$E$5),"",IF(H3936-1&lt;הגדרות!$E$8*(הגדרות!$E$7+1),INT((H3936-1)/(הגדרות!$E$7+1)),הגדרות!$E$8+INT((H3936-1-הגדרות!$E$8*(הגדרות!$E$7+1))/הגדרות!$E$7)))</f>
        <v/>
      </c>
      <c r="J3936" s="0" t="str">
        <f aca="false">IF(I3936="","",IF(H3936-1&lt;הגדרות!$E$8*(הגדרות!$E$7+1),MOD(H3936-1,הגדרות!$E$7+1),MOD(H3936-1-הגדרות!$E$8*(הגדרות!$E$7+1),הגדרות!$E$7)))</f>
        <v/>
      </c>
      <c r="K3936" s="0" t="str">
        <f aca="false">IF(I3936="","",J3936*הגדרות!$E$6+I3936+1)</f>
        <v/>
      </c>
      <c r="L3936" s="0" t="str">
        <f aca="false">IF(K3936="","",MATCH(K3936,$F$2:$F$5001,0))</f>
        <v/>
      </c>
      <c r="M3936" s="0" t="str">
        <f aca="false">IF(I3936="","",INDEX(הגדרות!$A$2:$A$21,MOD(I3936+הגדרות!$E$9,הגדרות!$E$6)+1))</f>
        <v/>
      </c>
    </row>
    <row r="3937" customFormat="false" ht="15" hidden="false" customHeight="false" outlineLevel="0" collapsed="false">
      <c r="A3937" s="0" t="str">
        <f aca="false">IF('הדבקת לידים'!A3937="","",IF(ISNUMBER('הדבקת לידים'!A3937),IF(הגדרות!$E$2&gt;0,TEXT('הדבקת לידים'!A3937,REPT("0",הגדרות!$E$2)),TEXT('הדבקת לידים'!A3937,"0")),TRIM('הדבקת לידים'!A3937)))</f>
        <v/>
      </c>
      <c r="B3937" s="0" t="str">
        <f aca="false">IF('הדבקת לידים'!B3937="","",IF(ISNUMBER('הדבקת לידים'!B3937),IF(הגדרות!$E$3&gt;0,TEXT('הדבקת לידים'!B3937,REPT("0",הגדרות!$E$3)),TEXT('הדבקת לידים'!B3937,"0")),TRIM('הדבקת לידים'!B3937)))</f>
        <v/>
      </c>
      <c r="C3937" s="0" t="n">
        <f aca="false">IF(OR(A3937&lt;&gt;"",B3937&lt;&gt;""),1,0)</f>
        <v>0</v>
      </c>
      <c r="D3937" s="0" t="str">
        <f aca="false">IF(C3937=1,MOD(ABS(SIN(ROW()*12.9898+'הדבקת לידים'!$F$2*78.233+IFERROR(--RIGHT(A3937,6),LEN(A3937))*0.0137+IFERROR(--RIGHT(B3937,6),LEN(B3937))*0.0071))*43758.5453,1),"")</f>
        <v/>
      </c>
      <c r="E3937" s="0" t="str">
        <f aca="false">IF(C3937=1,INT(MOD(ABS(SIN(D3937*7919.123+ROW()*0.618+'הדבקת לידים'!$F$2*1.3))*43758.5453,1)*1000000)*10000+ROW(),"")</f>
        <v/>
      </c>
      <c r="F3937" s="0" t="str">
        <f aca="false">IF(E3937="","",RANK(E3937,$E$2:$E$5001,1))</f>
        <v/>
      </c>
      <c r="G3937" s="0" t="n">
        <f aca="false">IF(A3937="",0,IF(SUMPRODUCT(--($A$2:$A$5001=A3937))&gt;1,1,0))</f>
        <v>0</v>
      </c>
      <c r="H3937" s="0" t="n">
        <f aca="false">ROW()-1</f>
        <v>3936</v>
      </c>
      <c r="I3937" s="0" t="str">
        <f aca="false">IF(OR(הגדרות!$E$6=0,H3937&gt;הגדרות!$E$5),"",IF(H3937-1&lt;הגדרות!$E$8*(הגדרות!$E$7+1),INT((H3937-1)/(הגדרות!$E$7+1)),הגדרות!$E$8+INT((H3937-1-הגדרות!$E$8*(הגדרות!$E$7+1))/הגדרות!$E$7)))</f>
        <v/>
      </c>
      <c r="J3937" s="0" t="str">
        <f aca="false">IF(I3937="","",IF(H3937-1&lt;הגדרות!$E$8*(הגדרות!$E$7+1),MOD(H3937-1,הגדרות!$E$7+1),MOD(H3937-1-הגדרות!$E$8*(הגדרות!$E$7+1),הגדרות!$E$7)))</f>
        <v/>
      </c>
      <c r="K3937" s="0" t="str">
        <f aca="false">IF(I3937="","",J3937*הגדרות!$E$6+I3937+1)</f>
        <v/>
      </c>
      <c r="L3937" s="0" t="str">
        <f aca="false">IF(K3937="","",MATCH(K3937,$F$2:$F$5001,0))</f>
        <v/>
      </c>
      <c r="M3937" s="0" t="str">
        <f aca="false">IF(I3937="","",INDEX(הגדרות!$A$2:$A$21,MOD(I3937+הגדרות!$E$9,הגדרות!$E$6)+1))</f>
        <v/>
      </c>
    </row>
    <row r="3938" customFormat="false" ht="15" hidden="false" customHeight="false" outlineLevel="0" collapsed="false">
      <c r="A3938" s="0" t="str">
        <f aca="false">IF('הדבקת לידים'!A3938="","",IF(ISNUMBER('הדבקת לידים'!A3938),IF(הגדרות!$E$2&gt;0,TEXT('הדבקת לידים'!A3938,REPT("0",הגדרות!$E$2)),TEXT('הדבקת לידים'!A3938,"0")),TRIM('הדבקת לידים'!A3938)))</f>
        <v/>
      </c>
      <c r="B3938" s="0" t="str">
        <f aca="false">IF('הדבקת לידים'!B3938="","",IF(ISNUMBER('הדבקת לידים'!B3938),IF(הגדרות!$E$3&gt;0,TEXT('הדבקת לידים'!B3938,REPT("0",הגדרות!$E$3)),TEXT('הדבקת לידים'!B3938,"0")),TRIM('הדבקת לידים'!B3938)))</f>
        <v/>
      </c>
      <c r="C3938" s="0" t="n">
        <f aca="false">IF(OR(A3938&lt;&gt;"",B3938&lt;&gt;""),1,0)</f>
        <v>0</v>
      </c>
      <c r="D3938" s="0" t="str">
        <f aca="false">IF(C3938=1,MOD(ABS(SIN(ROW()*12.9898+'הדבקת לידים'!$F$2*78.233+IFERROR(--RIGHT(A3938,6),LEN(A3938))*0.0137+IFERROR(--RIGHT(B3938,6),LEN(B3938))*0.0071))*43758.5453,1),"")</f>
        <v/>
      </c>
      <c r="E3938" s="0" t="str">
        <f aca="false">IF(C3938=1,INT(MOD(ABS(SIN(D3938*7919.123+ROW()*0.618+'הדבקת לידים'!$F$2*1.3))*43758.5453,1)*1000000)*10000+ROW(),"")</f>
        <v/>
      </c>
      <c r="F3938" s="0" t="str">
        <f aca="false">IF(E3938="","",RANK(E3938,$E$2:$E$5001,1))</f>
        <v/>
      </c>
      <c r="G3938" s="0" t="n">
        <f aca="false">IF(A3938="",0,IF(SUMPRODUCT(--($A$2:$A$5001=A3938))&gt;1,1,0))</f>
        <v>0</v>
      </c>
      <c r="H3938" s="0" t="n">
        <f aca="false">ROW()-1</f>
        <v>3937</v>
      </c>
      <c r="I3938" s="0" t="str">
        <f aca="false">IF(OR(הגדרות!$E$6=0,H3938&gt;הגדרות!$E$5),"",IF(H3938-1&lt;הגדרות!$E$8*(הגדרות!$E$7+1),INT((H3938-1)/(הגדרות!$E$7+1)),הגדרות!$E$8+INT((H3938-1-הגדרות!$E$8*(הגדרות!$E$7+1))/הגדרות!$E$7)))</f>
        <v/>
      </c>
      <c r="J3938" s="0" t="str">
        <f aca="false">IF(I3938="","",IF(H3938-1&lt;הגדרות!$E$8*(הגדרות!$E$7+1),MOD(H3938-1,הגדרות!$E$7+1),MOD(H3938-1-הגדרות!$E$8*(הגדרות!$E$7+1),הגדרות!$E$7)))</f>
        <v/>
      </c>
      <c r="K3938" s="0" t="str">
        <f aca="false">IF(I3938="","",J3938*הגדרות!$E$6+I3938+1)</f>
        <v/>
      </c>
      <c r="L3938" s="0" t="str">
        <f aca="false">IF(K3938="","",MATCH(K3938,$F$2:$F$5001,0))</f>
        <v/>
      </c>
      <c r="M3938" s="0" t="str">
        <f aca="false">IF(I3938="","",INDEX(הגדרות!$A$2:$A$21,MOD(I3938+הגדרות!$E$9,הגדרות!$E$6)+1))</f>
        <v/>
      </c>
    </row>
    <row r="3939" customFormat="false" ht="15" hidden="false" customHeight="false" outlineLevel="0" collapsed="false">
      <c r="A3939" s="0" t="str">
        <f aca="false">IF('הדבקת לידים'!A3939="","",IF(ISNUMBER('הדבקת לידים'!A3939),IF(הגדרות!$E$2&gt;0,TEXT('הדבקת לידים'!A3939,REPT("0",הגדרות!$E$2)),TEXT('הדבקת לידים'!A3939,"0")),TRIM('הדבקת לידים'!A3939)))</f>
        <v/>
      </c>
      <c r="B3939" s="0" t="str">
        <f aca="false">IF('הדבקת לידים'!B3939="","",IF(ISNUMBER('הדבקת לידים'!B3939),IF(הגדרות!$E$3&gt;0,TEXT('הדבקת לידים'!B3939,REPT("0",הגדרות!$E$3)),TEXT('הדבקת לידים'!B3939,"0")),TRIM('הדבקת לידים'!B3939)))</f>
        <v/>
      </c>
      <c r="C3939" s="0" t="n">
        <f aca="false">IF(OR(A3939&lt;&gt;"",B3939&lt;&gt;""),1,0)</f>
        <v>0</v>
      </c>
      <c r="D3939" s="0" t="str">
        <f aca="false">IF(C3939=1,MOD(ABS(SIN(ROW()*12.9898+'הדבקת לידים'!$F$2*78.233+IFERROR(--RIGHT(A3939,6),LEN(A3939))*0.0137+IFERROR(--RIGHT(B3939,6),LEN(B3939))*0.0071))*43758.5453,1),"")</f>
        <v/>
      </c>
      <c r="E3939" s="0" t="str">
        <f aca="false">IF(C3939=1,INT(MOD(ABS(SIN(D3939*7919.123+ROW()*0.618+'הדבקת לידים'!$F$2*1.3))*43758.5453,1)*1000000)*10000+ROW(),"")</f>
        <v/>
      </c>
      <c r="F3939" s="0" t="str">
        <f aca="false">IF(E3939="","",RANK(E3939,$E$2:$E$5001,1))</f>
        <v/>
      </c>
      <c r="G3939" s="0" t="n">
        <f aca="false">IF(A3939="",0,IF(SUMPRODUCT(--($A$2:$A$5001=A3939))&gt;1,1,0))</f>
        <v>0</v>
      </c>
      <c r="H3939" s="0" t="n">
        <f aca="false">ROW()-1</f>
        <v>3938</v>
      </c>
      <c r="I3939" s="0" t="str">
        <f aca="false">IF(OR(הגדרות!$E$6=0,H3939&gt;הגדרות!$E$5),"",IF(H3939-1&lt;הגדרות!$E$8*(הגדרות!$E$7+1),INT((H3939-1)/(הגדרות!$E$7+1)),הגדרות!$E$8+INT((H3939-1-הגדרות!$E$8*(הגדרות!$E$7+1))/הגדרות!$E$7)))</f>
        <v/>
      </c>
      <c r="J3939" s="0" t="str">
        <f aca="false">IF(I3939="","",IF(H3939-1&lt;הגדרות!$E$8*(הגדרות!$E$7+1),MOD(H3939-1,הגדרות!$E$7+1),MOD(H3939-1-הגדרות!$E$8*(הגדרות!$E$7+1),הגדרות!$E$7)))</f>
        <v/>
      </c>
      <c r="K3939" s="0" t="str">
        <f aca="false">IF(I3939="","",J3939*הגדרות!$E$6+I3939+1)</f>
        <v/>
      </c>
      <c r="L3939" s="0" t="str">
        <f aca="false">IF(K3939="","",MATCH(K3939,$F$2:$F$5001,0))</f>
        <v/>
      </c>
      <c r="M3939" s="0" t="str">
        <f aca="false">IF(I3939="","",INDEX(הגדרות!$A$2:$A$21,MOD(I3939+הגדרות!$E$9,הגדרות!$E$6)+1))</f>
        <v/>
      </c>
    </row>
    <row r="3940" customFormat="false" ht="15" hidden="false" customHeight="false" outlineLevel="0" collapsed="false">
      <c r="A3940" s="0" t="str">
        <f aca="false">IF('הדבקת לידים'!A3940="","",IF(ISNUMBER('הדבקת לידים'!A3940),IF(הגדרות!$E$2&gt;0,TEXT('הדבקת לידים'!A3940,REPT("0",הגדרות!$E$2)),TEXT('הדבקת לידים'!A3940,"0")),TRIM('הדבקת לידים'!A3940)))</f>
        <v/>
      </c>
      <c r="B3940" s="0" t="str">
        <f aca="false">IF('הדבקת לידים'!B3940="","",IF(ISNUMBER('הדבקת לידים'!B3940),IF(הגדרות!$E$3&gt;0,TEXT('הדבקת לידים'!B3940,REPT("0",הגדרות!$E$3)),TEXT('הדבקת לידים'!B3940,"0")),TRIM('הדבקת לידים'!B3940)))</f>
        <v/>
      </c>
      <c r="C3940" s="0" t="n">
        <f aca="false">IF(OR(A3940&lt;&gt;"",B3940&lt;&gt;""),1,0)</f>
        <v>0</v>
      </c>
      <c r="D3940" s="0" t="str">
        <f aca="false">IF(C3940=1,MOD(ABS(SIN(ROW()*12.9898+'הדבקת לידים'!$F$2*78.233+IFERROR(--RIGHT(A3940,6),LEN(A3940))*0.0137+IFERROR(--RIGHT(B3940,6),LEN(B3940))*0.0071))*43758.5453,1),"")</f>
        <v/>
      </c>
      <c r="E3940" s="0" t="str">
        <f aca="false">IF(C3940=1,INT(MOD(ABS(SIN(D3940*7919.123+ROW()*0.618+'הדבקת לידים'!$F$2*1.3))*43758.5453,1)*1000000)*10000+ROW(),"")</f>
        <v/>
      </c>
      <c r="F3940" s="0" t="str">
        <f aca="false">IF(E3940="","",RANK(E3940,$E$2:$E$5001,1))</f>
        <v/>
      </c>
      <c r="G3940" s="0" t="n">
        <f aca="false">IF(A3940="",0,IF(SUMPRODUCT(--($A$2:$A$5001=A3940))&gt;1,1,0))</f>
        <v>0</v>
      </c>
      <c r="H3940" s="0" t="n">
        <f aca="false">ROW()-1</f>
        <v>3939</v>
      </c>
      <c r="I3940" s="0" t="str">
        <f aca="false">IF(OR(הגדרות!$E$6=0,H3940&gt;הגדרות!$E$5),"",IF(H3940-1&lt;הגדרות!$E$8*(הגדרות!$E$7+1),INT((H3940-1)/(הגדרות!$E$7+1)),הגדרות!$E$8+INT((H3940-1-הגדרות!$E$8*(הגדרות!$E$7+1))/הגדרות!$E$7)))</f>
        <v/>
      </c>
      <c r="J3940" s="0" t="str">
        <f aca="false">IF(I3940="","",IF(H3940-1&lt;הגדרות!$E$8*(הגדרות!$E$7+1),MOD(H3940-1,הגדרות!$E$7+1),MOD(H3940-1-הגדרות!$E$8*(הגדרות!$E$7+1),הגדרות!$E$7)))</f>
        <v/>
      </c>
      <c r="K3940" s="0" t="str">
        <f aca="false">IF(I3940="","",J3940*הגדרות!$E$6+I3940+1)</f>
        <v/>
      </c>
      <c r="L3940" s="0" t="str">
        <f aca="false">IF(K3940="","",MATCH(K3940,$F$2:$F$5001,0))</f>
        <v/>
      </c>
      <c r="M3940" s="0" t="str">
        <f aca="false">IF(I3940="","",INDEX(הגדרות!$A$2:$A$21,MOD(I3940+הגדרות!$E$9,הגדרות!$E$6)+1))</f>
        <v/>
      </c>
    </row>
    <row r="3941" customFormat="false" ht="15" hidden="false" customHeight="false" outlineLevel="0" collapsed="false">
      <c r="A3941" s="0" t="str">
        <f aca="false">IF('הדבקת לידים'!A3941="","",IF(ISNUMBER('הדבקת לידים'!A3941),IF(הגדרות!$E$2&gt;0,TEXT('הדבקת לידים'!A3941,REPT("0",הגדרות!$E$2)),TEXT('הדבקת לידים'!A3941,"0")),TRIM('הדבקת לידים'!A3941)))</f>
        <v/>
      </c>
      <c r="B3941" s="0" t="str">
        <f aca="false">IF('הדבקת לידים'!B3941="","",IF(ISNUMBER('הדבקת לידים'!B3941),IF(הגדרות!$E$3&gt;0,TEXT('הדבקת לידים'!B3941,REPT("0",הגדרות!$E$3)),TEXT('הדבקת לידים'!B3941,"0")),TRIM('הדבקת לידים'!B3941)))</f>
        <v/>
      </c>
      <c r="C3941" s="0" t="n">
        <f aca="false">IF(OR(A3941&lt;&gt;"",B3941&lt;&gt;""),1,0)</f>
        <v>0</v>
      </c>
      <c r="D3941" s="0" t="str">
        <f aca="false">IF(C3941=1,MOD(ABS(SIN(ROW()*12.9898+'הדבקת לידים'!$F$2*78.233+IFERROR(--RIGHT(A3941,6),LEN(A3941))*0.0137+IFERROR(--RIGHT(B3941,6),LEN(B3941))*0.0071))*43758.5453,1),"")</f>
        <v/>
      </c>
      <c r="E3941" s="0" t="str">
        <f aca="false">IF(C3941=1,INT(MOD(ABS(SIN(D3941*7919.123+ROW()*0.618+'הדבקת לידים'!$F$2*1.3))*43758.5453,1)*1000000)*10000+ROW(),"")</f>
        <v/>
      </c>
      <c r="F3941" s="0" t="str">
        <f aca="false">IF(E3941="","",RANK(E3941,$E$2:$E$5001,1))</f>
        <v/>
      </c>
      <c r="G3941" s="0" t="n">
        <f aca="false">IF(A3941="",0,IF(SUMPRODUCT(--($A$2:$A$5001=A3941))&gt;1,1,0))</f>
        <v>0</v>
      </c>
      <c r="H3941" s="0" t="n">
        <f aca="false">ROW()-1</f>
        <v>3940</v>
      </c>
      <c r="I3941" s="0" t="str">
        <f aca="false">IF(OR(הגדרות!$E$6=0,H3941&gt;הגדרות!$E$5),"",IF(H3941-1&lt;הגדרות!$E$8*(הגדרות!$E$7+1),INT((H3941-1)/(הגדרות!$E$7+1)),הגדרות!$E$8+INT((H3941-1-הגדרות!$E$8*(הגדרות!$E$7+1))/הגדרות!$E$7)))</f>
        <v/>
      </c>
      <c r="J3941" s="0" t="str">
        <f aca="false">IF(I3941="","",IF(H3941-1&lt;הגדרות!$E$8*(הגדרות!$E$7+1),MOD(H3941-1,הגדרות!$E$7+1),MOD(H3941-1-הגדרות!$E$8*(הגדרות!$E$7+1),הגדרות!$E$7)))</f>
        <v/>
      </c>
      <c r="K3941" s="0" t="str">
        <f aca="false">IF(I3941="","",J3941*הגדרות!$E$6+I3941+1)</f>
        <v/>
      </c>
      <c r="L3941" s="0" t="str">
        <f aca="false">IF(K3941="","",MATCH(K3941,$F$2:$F$5001,0))</f>
        <v/>
      </c>
      <c r="M3941" s="0" t="str">
        <f aca="false">IF(I3941="","",INDEX(הגדרות!$A$2:$A$21,MOD(I3941+הגדרות!$E$9,הגדרות!$E$6)+1))</f>
        <v/>
      </c>
    </row>
    <row r="3942" customFormat="false" ht="15" hidden="false" customHeight="false" outlineLevel="0" collapsed="false">
      <c r="A3942" s="0" t="str">
        <f aca="false">IF('הדבקת לידים'!A3942="","",IF(ISNUMBER('הדבקת לידים'!A3942),IF(הגדרות!$E$2&gt;0,TEXT('הדבקת לידים'!A3942,REPT("0",הגדרות!$E$2)),TEXT('הדבקת לידים'!A3942,"0")),TRIM('הדבקת לידים'!A3942)))</f>
        <v/>
      </c>
      <c r="B3942" s="0" t="str">
        <f aca="false">IF('הדבקת לידים'!B3942="","",IF(ISNUMBER('הדבקת לידים'!B3942),IF(הגדרות!$E$3&gt;0,TEXT('הדבקת לידים'!B3942,REPT("0",הגדרות!$E$3)),TEXT('הדבקת לידים'!B3942,"0")),TRIM('הדבקת לידים'!B3942)))</f>
        <v/>
      </c>
      <c r="C3942" s="0" t="n">
        <f aca="false">IF(OR(A3942&lt;&gt;"",B3942&lt;&gt;""),1,0)</f>
        <v>0</v>
      </c>
      <c r="D3942" s="0" t="str">
        <f aca="false">IF(C3942=1,MOD(ABS(SIN(ROW()*12.9898+'הדבקת לידים'!$F$2*78.233+IFERROR(--RIGHT(A3942,6),LEN(A3942))*0.0137+IFERROR(--RIGHT(B3942,6),LEN(B3942))*0.0071))*43758.5453,1),"")</f>
        <v/>
      </c>
      <c r="E3942" s="0" t="str">
        <f aca="false">IF(C3942=1,INT(MOD(ABS(SIN(D3942*7919.123+ROW()*0.618+'הדבקת לידים'!$F$2*1.3))*43758.5453,1)*1000000)*10000+ROW(),"")</f>
        <v/>
      </c>
      <c r="F3942" s="0" t="str">
        <f aca="false">IF(E3942="","",RANK(E3942,$E$2:$E$5001,1))</f>
        <v/>
      </c>
      <c r="G3942" s="0" t="n">
        <f aca="false">IF(A3942="",0,IF(SUMPRODUCT(--($A$2:$A$5001=A3942))&gt;1,1,0))</f>
        <v>0</v>
      </c>
      <c r="H3942" s="0" t="n">
        <f aca="false">ROW()-1</f>
        <v>3941</v>
      </c>
      <c r="I3942" s="0" t="str">
        <f aca="false">IF(OR(הגדרות!$E$6=0,H3942&gt;הגדרות!$E$5),"",IF(H3942-1&lt;הגדרות!$E$8*(הגדרות!$E$7+1),INT((H3942-1)/(הגדרות!$E$7+1)),הגדרות!$E$8+INT((H3942-1-הגדרות!$E$8*(הגדרות!$E$7+1))/הגדרות!$E$7)))</f>
        <v/>
      </c>
      <c r="J3942" s="0" t="str">
        <f aca="false">IF(I3942="","",IF(H3942-1&lt;הגדרות!$E$8*(הגדרות!$E$7+1),MOD(H3942-1,הגדרות!$E$7+1),MOD(H3942-1-הגדרות!$E$8*(הגדרות!$E$7+1),הגדרות!$E$7)))</f>
        <v/>
      </c>
      <c r="K3942" s="0" t="str">
        <f aca="false">IF(I3942="","",J3942*הגדרות!$E$6+I3942+1)</f>
        <v/>
      </c>
      <c r="L3942" s="0" t="str">
        <f aca="false">IF(K3942="","",MATCH(K3942,$F$2:$F$5001,0))</f>
        <v/>
      </c>
      <c r="M3942" s="0" t="str">
        <f aca="false">IF(I3942="","",INDEX(הגדרות!$A$2:$A$21,MOD(I3942+הגדרות!$E$9,הגדרות!$E$6)+1))</f>
        <v/>
      </c>
    </row>
    <row r="3943" customFormat="false" ht="15" hidden="false" customHeight="false" outlineLevel="0" collapsed="false">
      <c r="A3943" s="0" t="str">
        <f aca="false">IF('הדבקת לידים'!A3943="","",IF(ISNUMBER('הדבקת לידים'!A3943),IF(הגדרות!$E$2&gt;0,TEXT('הדבקת לידים'!A3943,REPT("0",הגדרות!$E$2)),TEXT('הדבקת לידים'!A3943,"0")),TRIM('הדבקת לידים'!A3943)))</f>
        <v/>
      </c>
      <c r="B3943" s="0" t="str">
        <f aca="false">IF('הדבקת לידים'!B3943="","",IF(ISNUMBER('הדבקת לידים'!B3943),IF(הגדרות!$E$3&gt;0,TEXT('הדבקת לידים'!B3943,REPT("0",הגדרות!$E$3)),TEXT('הדבקת לידים'!B3943,"0")),TRIM('הדבקת לידים'!B3943)))</f>
        <v/>
      </c>
      <c r="C3943" s="0" t="n">
        <f aca="false">IF(OR(A3943&lt;&gt;"",B3943&lt;&gt;""),1,0)</f>
        <v>0</v>
      </c>
      <c r="D3943" s="0" t="str">
        <f aca="false">IF(C3943=1,MOD(ABS(SIN(ROW()*12.9898+'הדבקת לידים'!$F$2*78.233+IFERROR(--RIGHT(A3943,6),LEN(A3943))*0.0137+IFERROR(--RIGHT(B3943,6),LEN(B3943))*0.0071))*43758.5453,1),"")</f>
        <v/>
      </c>
      <c r="E3943" s="0" t="str">
        <f aca="false">IF(C3943=1,INT(MOD(ABS(SIN(D3943*7919.123+ROW()*0.618+'הדבקת לידים'!$F$2*1.3))*43758.5453,1)*1000000)*10000+ROW(),"")</f>
        <v/>
      </c>
      <c r="F3943" s="0" t="str">
        <f aca="false">IF(E3943="","",RANK(E3943,$E$2:$E$5001,1))</f>
        <v/>
      </c>
      <c r="G3943" s="0" t="n">
        <f aca="false">IF(A3943="",0,IF(SUMPRODUCT(--($A$2:$A$5001=A3943))&gt;1,1,0))</f>
        <v>0</v>
      </c>
      <c r="H3943" s="0" t="n">
        <f aca="false">ROW()-1</f>
        <v>3942</v>
      </c>
      <c r="I3943" s="0" t="str">
        <f aca="false">IF(OR(הגדרות!$E$6=0,H3943&gt;הגדרות!$E$5),"",IF(H3943-1&lt;הגדרות!$E$8*(הגדרות!$E$7+1),INT((H3943-1)/(הגדרות!$E$7+1)),הגדרות!$E$8+INT((H3943-1-הגדרות!$E$8*(הגדרות!$E$7+1))/הגדרות!$E$7)))</f>
        <v/>
      </c>
      <c r="J3943" s="0" t="str">
        <f aca="false">IF(I3943="","",IF(H3943-1&lt;הגדרות!$E$8*(הגדרות!$E$7+1),MOD(H3943-1,הגדרות!$E$7+1),MOD(H3943-1-הגדרות!$E$8*(הגדרות!$E$7+1),הגדרות!$E$7)))</f>
        <v/>
      </c>
      <c r="K3943" s="0" t="str">
        <f aca="false">IF(I3943="","",J3943*הגדרות!$E$6+I3943+1)</f>
        <v/>
      </c>
      <c r="L3943" s="0" t="str">
        <f aca="false">IF(K3943="","",MATCH(K3943,$F$2:$F$5001,0))</f>
        <v/>
      </c>
      <c r="M3943" s="0" t="str">
        <f aca="false">IF(I3943="","",INDEX(הגדרות!$A$2:$A$21,MOD(I3943+הגדרות!$E$9,הגדרות!$E$6)+1))</f>
        <v/>
      </c>
    </row>
    <row r="3944" customFormat="false" ht="15" hidden="false" customHeight="false" outlineLevel="0" collapsed="false">
      <c r="A3944" s="0" t="str">
        <f aca="false">IF('הדבקת לידים'!A3944="","",IF(ISNUMBER('הדבקת לידים'!A3944),IF(הגדרות!$E$2&gt;0,TEXT('הדבקת לידים'!A3944,REPT("0",הגדרות!$E$2)),TEXT('הדבקת לידים'!A3944,"0")),TRIM('הדבקת לידים'!A3944)))</f>
        <v/>
      </c>
      <c r="B3944" s="0" t="str">
        <f aca="false">IF('הדבקת לידים'!B3944="","",IF(ISNUMBER('הדבקת לידים'!B3944),IF(הגדרות!$E$3&gt;0,TEXT('הדבקת לידים'!B3944,REPT("0",הגדרות!$E$3)),TEXT('הדבקת לידים'!B3944,"0")),TRIM('הדבקת לידים'!B3944)))</f>
        <v/>
      </c>
      <c r="C3944" s="0" t="n">
        <f aca="false">IF(OR(A3944&lt;&gt;"",B3944&lt;&gt;""),1,0)</f>
        <v>0</v>
      </c>
      <c r="D3944" s="0" t="str">
        <f aca="false">IF(C3944=1,MOD(ABS(SIN(ROW()*12.9898+'הדבקת לידים'!$F$2*78.233+IFERROR(--RIGHT(A3944,6),LEN(A3944))*0.0137+IFERROR(--RIGHT(B3944,6),LEN(B3944))*0.0071))*43758.5453,1),"")</f>
        <v/>
      </c>
      <c r="E3944" s="0" t="str">
        <f aca="false">IF(C3944=1,INT(MOD(ABS(SIN(D3944*7919.123+ROW()*0.618+'הדבקת לידים'!$F$2*1.3))*43758.5453,1)*1000000)*10000+ROW(),"")</f>
        <v/>
      </c>
      <c r="F3944" s="0" t="str">
        <f aca="false">IF(E3944="","",RANK(E3944,$E$2:$E$5001,1))</f>
        <v/>
      </c>
      <c r="G3944" s="0" t="n">
        <f aca="false">IF(A3944="",0,IF(SUMPRODUCT(--($A$2:$A$5001=A3944))&gt;1,1,0))</f>
        <v>0</v>
      </c>
      <c r="H3944" s="0" t="n">
        <f aca="false">ROW()-1</f>
        <v>3943</v>
      </c>
      <c r="I3944" s="0" t="str">
        <f aca="false">IF(OR(הגדרות!$E$6=0,H3944&gt;הגדרות!$E$5),"",IF(H3944-1&lt;הגדרות!$E$8*(הגדרות!$E$7+1),INT((H3944-1)/(הגדרות!$E$7+1)),הגדרות!$E$8+INT((H3944-1-הגדרות!$E$8*(הגדרות!$E$7+1))/הגדרות!$E$7)))</f>
        <v/>
      </c>
      <c r="J3944" s="0" t="str">
        <f aca="false">IF(I3944="","",IF(H3944-1&lt;הגדרות!$E$8*(הגדרות!$E$7+1),MOD(H3944-1,הגדרות!$E$7+1),MOD(H3944-1-הגדרות!$E$8*(הגדרות!$E$7+1),הגדרות!$E$7)))</f>
        <v/>
      </c>
      <c r="K3944" s="0" t="str">
        <f aca="false">IF(I3944="","",J3944*הגדרות!$E$6+I3944+1)</f>
        <v/>
      </c>
      <c r="L3944" s="0" t="str">
        <f aca="false">IF(K3944="","",MATCH(K3944,$F$2:$F$5001,0))</f>
        <v/>
      </c>
      <c r="M3944" s="0" t="str">
        <f aca="false">IF(I3944="","",INDEX(הגדרות!$A$2:$A$21,MOD(I3944+הגדרות!$E$9,הגדרות!$E$6)+1))</f>
        <v/>
      </c>
    </row>
    <row r="3945" customFormat="false" ht="15" hidden="false" customHeight="false" outlineLevel="0" collapsed="false">
      <c r="A3945" s="0" t="str">
        <f aca="false">IF('הדבקת לידים'!A3945="","",IF(ISNUMBER('הדבקת לידים'!A3945),IF(הגדרות!$E$2&gt;0,TEXT('הדבקת לידים'!A3945,REPT("0",הגדרות!$E$2)),TEXT('הדבקת לידים'!A3945,"0")),TRIM('הדבקת לידים'!A3945)))</f>
        <v/>
      </c>
      <c r="B3945" s="0" t="str">
        <f aca="false">IF('הדבקת לידים'!B3945="","",IF(ISNUMBER('הדבקת לידים'!B3945),IF(הגדרות!$E$3&gt;0,TEXT('הדבקת לידים'!B3945,REPT("0",הגדרות!$E$3)),TEXT('הדבקת לידים'!B3945,"0")),TRIM('הדבקת לידים'!B3945)))</f>
        <v/>
      </c>
      <c r="C3945" s="0" t="n">
        <f aca="false">IF(OR(A3945&lt;&gt;"",B3945&lt;&gt;""),1,0)</f>
        <v>0</v>
      </c>
      <c r="D3945" s="0" t="str">
        <f aca="false">IF(C3945=1,MOD(ABS(SIN(ROW()*12.9898+'הדבקת לידים'!$F$2*78.233+IFERROR(--RIGHT(A3945,6),LEN(A3945))*0.0137+IFERROR(--RIGHT(B3945,6),LEN(B3945))*0.0071))*43758.5453,1),"")</f>
        <v/>
      </c>
      <c r="E3945" s="0" t="str">
        <f aca="false">IF(C3945=1,INT(MOD(ABS(SIN(D3945*7919.123+ROW()*0.618+'הדבקת לידים'!$F$2*1.3))*43758.5453,1)*1000000)*10000+ROW(),"")</f>
        <v/>
      </c>
      <c r="F3945" s="0" t="str">
        <f aca="false">IF(E3945="","",RANK(E3945,$E$2:$E$5001,1))</f>
        <v/>
      </c>
      <c r="G3945" s="0" t="n">
        <f aca="false">IF(A3945="",0,IF(SUMPRODUCT(--($A$2:$A$5001=A3945))&gt;1,1,0))</f>
        <v>0</v>
      </c>
      <c r="H3945" s="0" t="n">
        <f aca="false">ROW()-1</f>
        <v>3944</v>
      </c>
      <c r="I3945" s="0" t="str">
        <f aca="false">IF(OR(הגדרות!$E$6=0,H3945&gt;הגדרות!$E$5),"",IF(H3945-1&lt;הגדרות!$E$8*(הגדרות!$E$7+1),INT((H3945-1)/(הגדרות!$E$7+1)),הגדרות!$E$8+INT((H3945-1-הגדרות!$E$8*(הגדרות!$E$7+1))/הגדרות!$E$7)))</f>
        <v/>
      </c>
      <c r="J3945" s="0" t="str">
        <f aca="false">IF(I3945="","",IF(H3945-1&lt;הגדרות!$E$8*(הגדרות!$E$7+1),MOD(H3945-1,הגדרות!$E$7+1),MOD(H3945-1-הגדרות!$E$8*(הגדרות!$E$7+1),הגדרות!$E$7)))</f>
        <v/>
      </c>
      <c r="K3945" s="0" t="str">
        <f aca="false">IF(I3945="","",J3945*הגדרות!$E$6+I3945+1)</f>
        <v/>
      </c>
      <c r="L3945" s="0" t="str">
        <f aca="false">IF(K3945="","",MATCH(K3945,$F$2:$F$5001,0))</f>
        <v/>
      </c>
      <c r="M3945" s="0" t="str">
        <f aca="false">IF(I3945="","",INDEX(הגדרות!$A$2:$A$21,MOD(I3945+הגדרות!$E$9,הגדרות!$E$6)+1))</f>
        <v/>
      </c>
    </row>
    <row r="3946" customFormat="false" ht="15" hidden="false" customHeight="false" outlineLevel="0" collapsed="false">
      <c r="A3946" s="0" t="str">
        <f aca="false">IF('הדבקת לידים'!A3946="","",IF(ISNUMBER('הדבקת לידים'!A3946),IF(הגדרות!$E$2&gt;0,TEXT('הדבקת לידים'!A3946,REPT("0",הגדרות!$E$2)),TEXT('הדבקת לידים'!A3946,"0")),TRIM('הדבקת לידים'!A3946)))</f>
        <v/>
      </c>
      <c r="B3946" s="0" t="str">
        <f aca="false">IF('הדבקת לידים'!B3946="","",IF(ISNUMBER('הדבקת לידים'!B3946),IF(הגדרות!$E$3&gt;0,TEXT('הדבקת לידים'!B3946,REPT("0",הגדרות!$E$3)),TEXT('הדבקת לידים'!B3946,"0")),TRIM('הדבקת לידים'!B3946)))</f>
        <v/>
      </c>
      <c r="C3946" s="0" t="n">
        <f aca="false">IF(OR(A3946&lt;&gt;"",B3946&lt;&gt;""),1,0)</f>
        <v>0</v>
      </c>
      <c r="D3946" s="0" t="str">
        <f aca="false">IF(C3946=1,MOD(ABS(SIN(ROW()*12.9898+'הדבקת לידים'!$F$2*78.233+IFERROR(--RIGHT(A3946,6),LEN(A3946))*0.0137+IFERROR(--RIGHT(B3946,6),LEN(B3946))*0.0071))*43758.5453,1),"")</f>
        <v/>
      </c>
      <c r="E3946" s="0" t="str">
        <f aca="false">IF(C3946=1,INT(MOD(ABS(SIN(D3946*7919.123+ROW()*0.618+'הדבקת לידים'!$F$2*1.3))*43758.5453,1)*1000000)*10000+ROW(),"")</f>
        <v/>
      </c>
      <c r="F3946" s="0" t="str">
        <f aca="false">IF(E3946="","",RANK(E3946,$E$2:$E$5001,1))</f>
        <v/>
      </c>
      <c r="G3946" s="0" t="n">
        <f aca="false">IF(A3946="",0,IF(SUMPRODUCT(--($A$2:$A$5001=A3946))&gt;1,1,0))</f>
        <v>0</v>
      </c>
      <c r="H3946" s="0" t="n">
        <f aca="false">ROW()-1</f>
        <v>3945</v>
      </c>
      <c r="I3946" s="0" t="str">
        <f aca="false">IF(OR(הגדרות!$E$6=0,H3946&gt;הגדרות!$E$5),"",IF(H3946-1&lt;הגדרות!$E$8*(הגדרות!$E$7+1),INT((H3946-1)/(הגדרות!$E$7+1)),הגדרות!$E$8+INT((H3946-1-הגדרות!$E$8*(הגדרות!$E$7+1))/הגדרות!$E$7)))</f>
        <v/>
      </c>
      <c r="J3946" s="0" t="str">
        <f aca="false">IF(I3946="","",IF(H3946-1&lt;הגדרות!$E$8*(הגדרות!$E$7+1),MOD(H3946-1,הגדרות!$E$7+1),MOD(H3946-1-הגדרות!$E$8*(הגדרות!$E$7+1),הגדרות!$E$7)))</f>
        <v/>
      </c>
      <c r="K3946" s="0" t="str">
        <f aca="false">IF(I3946="","",J3946*הגדרות!$E$6+I3946+1)</f>
        <v/>
      </c>
      <c r="L3946" s="0" t="str">
        <f aca="false">IF(K3946="","",MATCH(K3946,$F$2:$F$5001,0))</f>
        <v/>
      </c>
      <c r="M3946" s="0" t="str">
        <f aca="false">IF(I3946="","",INDEX(הגדרות!$A$2:$A$21,MOD(I3946+הגדרות!$E$9,הגדרות!$E$6)+1))</f>
        <v/>
      </c>
    </row>
    <row r="3947" customFormat="false" ht="15" hidden="false" customHeight="false" outlineLevel="0" collapsed="false">
      <c r="A3947" s="0" t="str">
        <f aca="false">IF('הדבקת לידים'!A3947="","",IF(ISNUMBER('הדבקת לידים'!A3947),IF(הגדרות!$E$2&gt;0,TEXT('הדבקת לידים'!A3947,REPT("0",הגדרות!$E$2)),TEXT('הדבקת לידים'!A3947,"0")),TRIM('הדבקת לידים'!A3947)))</f>
        <v/>
      </c>
      <c r="B3947" s="0" t="str">
        <f aca="false">IF('הדבקת לידים'!B3947="","",IF(ISNUMBER('הדבקת לידים'!B3947),IF(הגדרות!$E$3&gt;0,TEXT('הדבקת לידים'!B3947,REPT("0",הגדרות!$E$3)),TEXT('הדבקת לידים'!B3947,"0")),TRIM('הדבקת לידים'!B3947)))</f>
        <v/>
      </c>
      <c r="C3947" s="0" t="n">
        <f aca="false">IF(OR(A3947&lt;&gt;"",B3947&lt;&gt;""),1,0)</f>
        <v>0</v>
      </c>
      <c r="D3947" s="0" t="str">
        <f aca="false">IF(C3947=1,MOD(ABS(SIN(ROW()*12.9898+'הדבקת לידים'!$F$2*78.233+IFERROR(--RIGHT(A3947,6),LEN(A3947))*0.0137+IFERROR(--RIGHT(B3947,6),LEN(B3947))*0.0071))*43758.5453,1),"")</f>
        <v/>
      </c>
      <c r="E3947" s="0" t="str">
        <f aca="false">IF(C3947=1,INT(MOD(ABS(SIN(D3947*7919.123+ROW()*0.618+'הדבקת לידים'!$F$2*1.3))*43758.5453,1)*1000000)*10000+ROW(),"")</f>
        <v/>
      </c>
      <c r="F3947" s="0" t="str">
        <f aca="false">IF(E3947="","",RANK(E3947,$E$2:$E$5001,1))</f>
        <v/>
      </c>
      <c r="G3947" s="0" t="n">
        <f aca="false">IF(A3947="",0,IF(SUMPRODUCT(--($A$2:$A$5001=A3947))&gt;1,1,0))</f>
        <v>0</v>
      </c>
      <c r="H3947" s="0" t="n">
        <f aca="false">ROW()-1</f>
        <v>3946</v>
      </c>
      <c r="I3947" s="0" t="str">
        <f aca="false">IF(OR(הגדרות!$E$6=0,H3947&gt;הגדרות!$E$5),"",IF(H3947-1&lt;הגדרות!$E$8*(הגדרות!$E$7+1),INT((H3947-1)/(הגדרות!$E$7+1)),הגדרות!$E$8+INT((H3947-1-הגדרות!$E$8*(הגדרות!$E$7+1))/הגדרות!$E$7)))</f>
        <v/>
      </c>
      <c r="J3947" s="0" t="str">
        <f aca="false">IF(I3947="","",IF(H3947-1&lt;הגדרות!$E$8*(הגדרות!$E$7+1),MOD(H3947-1,הגדרות!$E$7+1),MOD(H3947-1-הגדרות!$E$8*(הגדרות!$E$7+1),הגדרות!$E$7)))</f>
        <v/>
      </c>
      <c r="K3947" s="0" t="str">
        <f aca="false">IF(I3947="","",J3947*הגדרות!$E$6+I3947+1)</f>
        <v/>
      </c>
      <c r="L3947" s="0" t="str">
        <f aca="false">IF(K3947="","",MATCH(K3947,$F$2:$F$5001,0))</f>
        <v/>
      </c>
      <c r="M3947" s="0" t="str">
        <f aca="false">IF(I3947="","",INDEX(הגדרות!$A$2:$A$21,MOD(I3947+הגדרות!$E$9,הגדרות!$E$6)+1))</f>
        <v/>
      </c>
    </row>
    <row r="3948" customFormat="false" ht="15" hidden="false" customHeight="false" outlineLevel="0" collapsed="false">
      <c r="A3948" s="0" t="str">
        <f aca="false">IF('הדבקת לידים'!A3948="","",IF(ISNUMBER('הדבקת לידים'!A3948),IF(הגדרות!$E$2&gt;0,TEXT('הדבקת לידים'!A3948,REPT("0",הגדרות!$E$2)),TEXT('הדבקת לידים'!A3948,"0")),TRIM('הדבקת לידים'!A3948)))</f>
        <v/>
      </c>
      <c r="B3948" s="0" t="str">
        <f aca="false">IF('הדבקת לידים'!B3948="","",IF(ISNUMBER('הדבקת לידים'!B3948),IF(הגדרות!$E$3&gt;0,TEXT('הדבקת לידים'!B3948,REPT("0",הגדרות!$E$3)),TEXT('הדבקת לידים'!B3948,"0")),TRIM('הדבקת לידים'!B3948)))</f>
        <v/>
      </c>
      <c r="C3948" s="0" t="n">
        <f aca="false">IF(OR(A3948&lt;&gt;"",B3948&lt;&gt;""),1,0)</f>
        <v>0</v>
      </c>
      <c r="D3948" s="0" t="str">
        <f aca="false">IF(C3948=1,MOD(ABS(SIN(ROW()*12.9898+'הדבקת לידים'!$F$2*78.233+IFERROR(--RIGHT(A3948,6),LEN(A3948))*0.0137+IFERROR(--RIGHT(B3948,6),LEN(B3948))*0.0071))*43758.5453,1),"")</f>
        <v/>
      </c>
      <c r="E3948" s="0" t="str">
        <f aca="false">IF(C3948=1,INT(MOD(ABS(SIN(D3948*7919.123+ROW()*0.618+'הדבקת לידים'!$F$2*1.3))*43758.5453,1)*1000000)*10000+ROW(),"")</f>
        <v/>
      </c>
      <c r="F3948" s="0" t="str">
        <f aca="false">IF(E3948="","",RANK(E3948,$E$2:$E$5001,1))</f>
        <v/>
      </c>
      <c r="G3948" s="0" t="n">
        <f aca="false">IF(A3948="",0,IF(SUMPRODUCT(--($A$2:$A$5001=A3948))&gt;1,1,0))</f>
        <v>0</v>
      </c>
      <c r="H3948" s="0" t="n">
        <f aca="false">ROW()-1</f>
        <v>3947</v>
      </c>
      <c r="I3948" s="0" t="str">
        <f aca="false">IF(OR(הגדרות!$E$6=0,H3948&gt;הגדרות!$E$5),"",IF(H3948-1&lt;הגדרות!$E$8*(הגדרות!$E$7+1),INT((H3948-1)/(הגדרות!$E$7+1)),הגדרות!$E$8+INT((H3948-1-הגדרות!$E$8*(הגדרות!$E$7+1))/הגדרות!$E$7)))</f>
        <v/>
      </c>
      <c r="J3948" s="0" t="str">
        <f aca="false">IF(I3948="","",IF(H3948-1&lt;הגדרות!$E$8*(הגדרות!$E$7+1),MOD(H3948-1,הגדרות!$E$7+1),MOD(H3948-1-הגדרות!$E$8*(הגדרות!$E$7+1),הגדרות!$E$7)))</f>
        <v/>
      </c>
      <c r="K3948" s="0" t="str">
        <f aca="false">IF(I3948="","",J3948*הגדרות!$E$6+I3948+1)</f>
        <v/>
      </c>
      <c r="L3948" s="0" t="str">
        <f aca="false">IF(K3948="","",MATCH(K3948,$F$2:$F$5001,0))</f>
        <v/>
      </c>
      <c r="M3948" s="0" t="str">
        <f aca="false">IF(I3948="","",INDEX(הגדרות!$A$2:$A$21,MOD(I3948+הגדרות!$E$9,הגדרות!$E$6)+1))</f>
        <v/>
      </c>
    </row>
    <row r="3949" customFormat="false" ht="15" hidden="false" customHeight="false" outlineLevel="0" collapsed="false">
      <c r="A3949" s="0" t="str">
        <f aca="false">IF('הדבקת לידים'!A3949="","",IF(ISNUMBER('הדבקת לידים'!A3949),IF(הגדרות!$E$2&gt;0,TEXT('הדבקת לידים'!A3949,REPT("0",הגדרות!$E$2)),TEXT('הדבקת לידים'!A3949,"0")),TRIM('הדבקת לידים'!A3949)))</f>
        <v/>
      </c>
      <c r="B3949" s="0" t="str">
        <f aca="false">IF('הדבקת לידים'!B3949="","",IF(ISNUMBER('הדבקת לידים'!B3949),IF(הגדרות!$E$3&gt;0,TEXT('הדבקת לידים'!B3949,REPT("0",הגדרות!$E$3)),TEXT('הדבקת לידים'!B3949,"0")),TRIM('הדבקת לידים'!B3949)))</f>
        <v/>
      </c>
      <c r="C3949" s="0" t="n">
        <f aca="false">IF(OR(A3949&lt;&gt;"",B3949&lt;&gt;""),1,0)</f>
        <v>0</v>
      </c>
      <c r="D3949" s="0" t="str">
        <f aca="false">IF(C3949=1,MOD(ABS(SIN(ROW()*12.9898+'הדבקת לידים'!$F$2*78.233+IFERROR(--RIGHT(A3949,6),LEN(A3949))*0.0137+IFERROR(--RIGHT(B3949,6),LEN(B3949))*0.0071))*43758.5453,1),"")</f>
        <v/>
      </c>
      <c r="E3949" s="0" t="str">
        <f aca="false">IF(C3949=1,INT(MOD(ABS(SIN(D3949*7919.123+ROW()*0.618+'הדבקת לידים'!$F$2*1.3))*43758.5453,1)*1000000)*10000+ROW(),"")</f>
        <v/>
      </c>
      <c r="F3949" s="0" t="str">
        <f aca="false">IF(E3949="","",RANK(E3949,$E$2:$E$5001,1))</f>
        <v/>
      </c>
      <c r="G3949" s="0" t="n">
        <f aca="false">IF(A3949="",0,IF(SUMPRODUCT(--($A$2:$A$5001=A3949))&gt;1,1,0))</f>
        <v>0</v>
      </c>
      <c r="H3949" s="0" t="n">
        <f aca="false">ROW()-1</f>
        <v>3948</v>
      </c>
      <c r="I3949" s="0" t="str">
        <f aca="false">IF(OR(הגדרות!$E$6=0,H3949&gt;הגדרות!$E$5),"",IF(H3949-1&lt;הגדרות!$E$8*(הגדרות!$E$7+1),INT((H3949-1)/(הגדרות!$E$7+1)),הגדרות!$E$8+INT((H3949-1-הגדרות!$E$8*(הגדרות!$E$7+1))/הגדרות!$E$7)))</f>
        <v/>
      </c>
      <c r="J3949" s="0" t="str">
        <f aca="false">IF(I3949="","",IF(H3949-1&lt;הגדרות!$E$8*(הגדרות!$E$7+1),MOD(H3949-1,הגדרות!$E$7+1),MOD(H3949-1-הגדרות!$E$8*(הגדרות!$E$7+1),הגדרות!$E$7)))</f>
        <v/>
      </c>
      <c r="K3949" s="0" t="str">
        <f aca="false">IF(I3949="","",J3949*הגדרות!$E$6+I3949+1)</f>
        <v/>
      </c>
      <c r="L3949" s="0" t="str">
        <f aca="false">IF(K3949="","",MATCH(K3949,$F$2:$F$5001,0))</f>
        <v/>
      </c>
      <c r="M3949" s="0" t="str">
        <f aca="false">IF(I3949="","",INDEX(הגדרות!$A$2:$A$21,MOD(I3949+הגדרות!$E$9,הגדרות!$E$6)+1))</f>
        <v/>
      </c>
    </row>
    <row r="3950" customFormat="false" ht="15" hidden="false" customHeight="false" outlineLevel="0" collapsed="false">
      <c r="A3950" s="0" t="str">
        <f aca="false">IF('הדבקת לידים'!A3950="","",IF(ISNUMBER('הדבקת לידים'!A3950),IF(הגדרות!$E$2&gt;0,TEXT('הדבקת לידים'!A3950,REPT("0",הגדרות!$E$2)),TEXT('הדבקת לידים'!A3950,"0")),TRIM('הדבקת לידים'!A3950)))</f>
        <v/>
      </c>
      <c r="B3950" s="0" t="str">
        <f aca="false">IF('הדבקת לידים'!B3950="","",IF(ISNUMBER('הדבקת לידים'!B3950),IF(הגדרות!$E$3&gt;0,TEXT('הדבקת לידים'!B3950,REPT("0",הגדרות!$E$3)),TEXT('הדבקת לידים'!B3950,"0")),TRIM('הדבקת לידים'!B3950)))</f>
        <v/>
      </c>
      <c r="C3950" s="0" t="n">
        <f aca="false">IF(OR(A3950&lt;&gt;"",B3950&lt;&gt;""),1,0)</f>
        <v>0</v>
      </c>
      <c r="D3950" s="0" t="str">
        <f aca="false">IF(C3950=1,MOD(ABS(SIN(ROW()*12.9898+'הדבקת לידים'!$F$2*78.233+IFERROR(--RIGHT(A3950,6),LEN(A3950))*0.0137+IFERROR(--RIGHT(B3950,6),LEN(B3950))*0.0071))*43758.5453,1),"")</f>
        <v/>
      </c>
      <c r="E3950" s="0" t="str">
        <f aca="false">IF(C3950=1,INT(MOD(ABS(SIN(D3950*7919.123+ROW()*0.618+'הדבקת לידים'!$F$2*1.3))*43758.5453,1)*1000000)*10000+ROW(),"")</f>
        <v/>
      </c>
      <c r="F3950" s="0" t="str">
        <f aca="false">IF(E3950="","",RANK(E3950,$E$2:$E$5001,1))</f>
        <v/>
      </c>
      <c r="G3950" s="0" t="n">
        <f aca="false">IF(A3950="",0,IF(SUMPRODUCT(--($A$2:$A$5001=A3950))&gt;1,1,0))</f>
        <v>0</v>
      </c>
      <c r="H3950" s="0" t="n">
        <f aca="false">ROW()-1</f>
        <v>3949</v>
      </c>
      <c r="I3950" s="0" t="str">
        <f aca="false">IF(OR(הגדרות!$E$6=0,H3950&gt;הגדרות!$E$5),"",IF(H3950-1&lt;הגדרות!$E$8*(הגדרות!$E$7+1),INT((H3950-1)/(הגדרות!$E$7+1)),הגדרות!$E$8+INT((H3950-1-הגדרות!$E$8*(הגדרות!$E$7+1))/הגדרות!$E$7)))</f>
        <v/>
      </c>
      <c r="J3950" s="0" t="str">
        <f aca="false">IF(I3950="","",IF(H3950-1&lt;הגדרות!$E$8*(הגדרות!$E$7+1),MOD(H3950-1,הגדרות!$E$7+1),MOD(H3950-1-הגדרות!$E$8*(הגדרות!$E$7+1),הגדרות!$E$7)))</f>
        <v/>
      </c>
      <c r="K3950" s="0" t="str">
        <f aca="false">IF(I3950="","",J3950*הגדרות!$E$6+I3950+1)</f>
        <v/>
      </c>
      <c r="L3950" s="0" t="str">
        <f aca="false">IF(K3950="","",MATCH(K3950,$F$2:$F$5001,0))</f>
        <v/>
      </c>
      <c r="M3950" s="0" t="str">
        <f aca="false">IF(I3950="","",INDEX(הגדרות!$A$2:$A$21,MOD(I3950+הגדרות!$E$9,הגדרות!$E$6)+1))</f>
        <v/>
      </c>
    </row>
    <row r="3951" customFormat="false" ht="15" hidden="false" customHeight="false" outlineLevel="0" collapsed="false">
      <c r="A3951" s="0" t="str">
        <f aca="false">IF('הדבקת לידים'!A3951="","",IF(ISNUMBER('הדבקת לידים'!A3951),IF(הגדרות!$E$2&gt;0,TEXT('הדבקת לידים'!A3951,REPT("0",הגדרות!$E$2)),TEXT('הדבקת לידים'!A3951,"0")),TRIM('הדבקת לידים'!A3951)))</f>
        <v/>
      </c>
      <c r="B3951" s="0" t="str">
        <f aca="false">IF('הדבקת לידים'!B3951="","",IF(ISNUMBER('הדבקת לידים'!B3951),IF(הגדרות!$E$3&gt;0,TEXT('הדבקת לידים'!B3951,REPT("0",הגדרות!$E$3)),TEXT('הדבקת לידים'!B3951,"0")),TRIM('הדבקת לידים'!B3951)))</f>
        <v/>
      </c>
      <c r="C3951" s="0" t="n">
        <f aca="false">IF(OR(A3951&lt;&gt;"",B3951&lt;&gt;""),1,0)</f>
        <v>0</v>
      </c>
      <c r="D3951" s="0" t="str">
        <f aca="false">IF(C3951=1,MOD(ABS(SIN(ROW()*12.9898+'הדבקת לידים'!$F$2*78.233+IFERROR(--RIGHT(A3951,6),LEN(A3951))*0.0137+IFERROR(--RIGHT(B3951,6),LEN(B3951))*0.0071))*43758.5453,1),"")</f>
        <v/>
      </c>
      <c r="E3951" s="0" t="str">
        <f aca="false">IF(C3951=1,INT(MOD(ABS(SIN(D3951*7919.123+ROW()*0.618+'הדבקת לידים'!$F$2*1.3))*43758.5453,1)*1000000)*10000+ROW(),"")</f>
        <v/>
      </c>
      <c r="F3951" s="0" t="str">
        <f aca="false">IF(E3951="","",RANK(E3951,$E$2:$E$5001,1))</f>
        <v/>
      </c>
      <c r="G3951" s="0" t="n">
        <f aca="false">IF(A3951="",0,IF(SUMPRODUCT(--($A$2:$A$5001=A3951))&gt;1,1,0))</f>
        <v>0</v>
      </c>
      <c r="H3951" s="0" t="n">
        <f aca="false">ROW()-1</f>
        <v>3950</v>
      </c>
      <c r="I3951" s="0" t="str">
        <f aca="false">IF(OR(הגדרות!$E$6=0,H3951&gt;הגדרות!$E$5),"",IF(H3951-1&lt;הגדרות!$E$8*(הגדרות!$E$7+1),INT((H3951-1)/(הגדרות!$E$7+1)),הגדרות!$E$8+INT((H3951-1-הגדרות!$E$8*(הגדרות!$E$7+1))/הגדרות!$E$7)))</f>
        <v/>
      </c>
      <c r="J3951" s="0" t="str">
        <f aca="false">IF(I3951="","",IF(H3951-1&lt;הגדרות!$E$8*(הגדרות!$E$7+1),MOD(H3951-1,הגדרות!$E$7+1),MOD(H3951-1-הגדרות!$E$8*(הגדרות!$E$7+1),הגדרות!$E$7)))</f>
        <v/>
      </c>
      <c r="K3951" s="0" t="str">
        <f aca="false">IF(I3951="","",J3951*הגדרות!$E$6+I3951+1)</f>
        <v/>
      </c>
      <c r="L3951" s="0" t="str">
        <f aca="false">IF(K3951="","",MATCH(K3951,$F$2:$F$5001,0))</f>
        <v/>
      </c>
      <c r="M3951" s="0" t="str">
        <f aca="false">IF(I3951="","",INDEX(הגדרות!$A$2:$A$21,MOD(I3951+הגדרות!$E$9,הגדרות!$E$6)+1))</f>
        <v/>
      </c>
    </row>
    <row r="3952" customFormat="false" ht="15" hidden="false" customHeight="false" outlineLevel="0" collapsed="false">
      <c r="A3952" s="0" t="str">
        <f aca="false">IF('הדבקת לידים'!A3952="","",IF(ISNUMBER('הדבקת לידים'!A3952),IF(הגדרות!$E$2&gt;0,TEXT('הדבקת לידים'!A3952,REPT("0",הגדרות!$E$2)),TEXT('הדבקת לידים'!A3952,"0")),TRIM('הדבקת לידים'!A3952)))</f>
        <v/>
      </c>
      <c r="B3952" s="0" t="str">
        <f aca="false">IF('הדבקת לידים'!B3952="","",IF(ISNUMBER('הדבקת לידים'!B3952),IF(הגדרות!$E$3&gt;0,TEXT('הדבקת לידים'!B3952,REPT("0",הגדרות!$E$3)),TEXT('הדבקת לידים'!B3952,"0")),TRIM('הדבקת לידים'!B3952)))</f>
        <v/>
      </c>
      <c r="C3952" s="0" t="n">
        <f aca="false">IF(OR(A3952&lt;&gt;"",B3952&lt;&gt;""),1,0)</f>
        <v>0</v>
      </c>
      <c r="D3952" s="0" t="str">
        <f aca="false">IF(C3952=1,MOD(ABS(SIN(ROW()*12.9898+'הדבקת לידים'!$F$2*78.233+IFERROR(--RIGHT(A3952,6),LEN(A3952))*0.0137+IFERROR(--RIGHT(B3952,6),LEN(B3952))*0.0071))*43758.5453,1),"")</f>
        <v/>
      </c>
      <c r="E3952" s="0" t="str">
        <f aca="false">IF(C3952=1,INT(MOD(ABS(SIN(D3952*7919.123+ROW()*0.618+'הדבקת לידים'!$F$2*1.3))*43758.5453,1)*1000000)*10000+ROW(),"")</f>
        <v/>
      </c>
      <c r="F3952" s="0" t="str">
        <f aca="false">IF(E3952="","",RANK(E3952,$E$2:$E$5001,1))</f>
        <v/>
      </c>
      <c r="G3952" s="0" t="n">
        <f aca="false">IF(A3952="",0,IF(SUMPRODUCT(--($A$2:$A$5001=A3952))&gt;1,1,0))</f>
        <v>0</v>
      </c>
      <c r="H3952" s="0" t="n">
        <f aca="false">ROW()-1</f>
        <v>3951</v>
      </c>
      <c r="I3952" s="0" t="str">
        <f aca="false">IF(OR(הגדרות!$E$6=0,H3952&gt;הגדרות!$E$5),"",IF(H3952-1&lt;הגדרות!$E$8*(הגדרות!$E$7+1),INT((H3952-1)/(הגדרות!$E$7+1)),הגדרות!$E$8+INT((H3952-1-הגדרות!$E$8*(הגדרות!$E$7+1))/הגדרות!$E$7)))</f>
        <v/>
      </c>
      <c r="J3952" s="0" t="str">
        <f aca="false">IF(I3952="","",IF(H3952-1&lt;הגדרות!$E$8*(הגדרות!$E$7+1),MOD(H3952-1,הגדרות!$E$7+1),MOD(H3952-1-הגדרות!$E$8*(הגדרות!$E$7+1),הגדרות!$E$7)))</f>
        <v/>
      </c>
      <c r="K3952" s="0" t="str">
        <f aca="false">IF(I3952="","",J3952*הגדרות!$E$6+I3952+1)</f>
        <v/>
      </c>
      <c r="L3952" s="0" t="str">
        <f aca="false">IF(K3952="","",MATCH(K3952,$F$2:$F$5001,0))</f>
        <v/>
      </c>
      <c r="M3952" s="0" t="str">
        <f aca="false">IF(I3952="","",INDEX(הגדרות!$A$2:$A$21,MOD(I3952+הגדרות!$E$9,הגדרות!$E$6)+1))</f>
        <v/>
      </c>
    </row>
    <row r="3953" customFormat="false" ht="15" hidden="false" customHeight="false" outlineLevel="0" collapsed="false">
      <c r="A3953" s="0" t="str">
        <f aca="false">IF('הדבקת לידים'!A3953="","",IF(ISNUMBER('הדבקת לידים'!A3953),IF(הגדרות!$E$2&gt;0,TEXT('הדבקת לידים'!A3953,REPT("0",הגדרות!$E$2)),TEXT('הדבקת לידים'!A3953,"0")),TRIM('הדבקת לידים'!A3953)))</f>
        <v/>
      </c>
      <c r="B3953" s="0" t="str">
        <f aca="false">IF('הדבקת לידים'!B3953="","",IF(ISNUMBER('הדבקת לידים'!B3953),IF(הגדרות!$E$3&gt;0,TEXT('הדבקת לידים'!B3953,REPT("0",הגדרות!$E$3)),TEXT('הדבקת לידים'!B3953,"0")),TRIM('הדבקת לידים'!B3953)))</f>
        <v/>
      </c>
      <c r="C3953" s="0" t="n">
        <f aca="false">IF(OR(A3953&lt;&gt;"",B3953&lt;&gt;""),1,0)</f>
        <v>0</v>
      </c>
      <c r="D3953" s="0" t="str">
        <f aca="false">IF(C3953=1,MOD(ABS(SIN(ROW()*12.9898+'הדבקת לידים'!$F$2*78.233+IFERROR(--RIGHT(A3953,6),LEN(A3953))*0.0137+IFERROR(--RIGHT(B3953,6),LEN(B3953))*0.0071))*43758.5453,1),"")</f>
        <v/>
      </c>
      <c r="E3953" s="0" t="str">
        <f aca="false">IF(C3953=1,INT(MOD(ABS(SIN(D3953*7919.123+ROW()*0.618+'הדבקת לידים'!$F$2*1.3))*43758.5453,1)*1000000)*10000+ROW(),"")</f>
        <v/>
      </c>
      <c r="F3953" s="0" t="str">
        <f aca="false">IF(E3953="","",RANK(E3953,$E$2:$E$5001,1))</f>
        <v/>
      </c>
      <c r="G3953" s="0" t="n">
        <f aca="false">IF(A3953="",0,IF(SUMPRODUCT(--($A$2:$A$5001=A3953))&gt;1,1,0))</f>
        <v>0</v>
      </c>
      <c r="H3953" s="0" t="n">
        <f aca="false">ROW()-1</f>
        <v>3952</v>
      </c>
      <c r="I3953" s="0" t="str">
        <f aca="false">IF(OR(הגדרות!$E$6=0,H3953&gt;הגדרות!$E$5),"",IF(H3953-1&lt;הגדרות!$E$8*(הגדרות!$E$7+1),INT((H3953-1)/(הגדרות!$E$7+1)),הגדרות!$E$8+INT((H3953-1-הגדרות!$E$8*(הגדרות!$E$7+1))/הגדרות!$E$7)))</f>
        <v/>
      </c>
      <c r="J3953" s="0" t="str">
        <f aca="false">IF(I3953="","",IF(H3953-1&lt;הגדרות!$E$8*(הגדרות!$E$7+1),MOD(H3953-1,הגדרות!$E$7+1),MOD(H3953-1-הגדרות!$E$8*(הגדרות!$E$7+1),הגדרות!$E$7)))</f>
        <v/>
      </c>
      <c r="K3953" s="0" t="str">
        <f aca="false">IF(I3953="","",J3953*הגדרות!$E$6+I3953+1)</f>
        <v/>
      </c>
      <c r="L3953" s="0" t="str">
        <f aca="false">IF(K3953="","",MATCH(K3953,$F$2:$F$5001,0))</f>
        <v/>
      </c>
      <c r="M3953" s="0" t="str">
        <f aca="false">IF(I3953="","",INDEX(הגדרות!$A$2:$A$21,MOD(I3953+הגדרות!$E$9,הגדרות!$E$6)+1))</f>
        <v/>
      </c>
    </row>
    <row r="3954" customFormat="false" ht="15" hidden="false" customHeight="false" outlineLevel="0" collapsed="false">
      <c r="A3954" s="0" t="str">
        <f aca="false">IF('הדבקת לידים'!A3954="","",IF(ISNUMBER('הדבקת לידים'!A3954),IF(הגדרות!$E$2&gt;0,TEXT('הדבקת לידים'!A3954,REPT("0",הגדרות!$E$2)),TEXT('הדבקת לידים'!A3954,"0")),TRIM('הדבקת לידים'!A3954)))</f>
        <v/>
      </c>
      <c r="B3954" s="0" t="str">
        <f aca="false">IF('הדבקת לידים'!B3954="","",IF(ISNUMBER('הדבקת לידים'!B3954),IF(הגדרות!$E$3&gt;0,TEXT('הדבקת לידים'!B3954,REPT("0",הגדרות!$E$3)),TEXT('הדבקת לידים'!B3954,"0")),TRIM('הדבקת לידים'!B3954)))</f>
        <v/>
      </c>
      <c r="C3954" s="0" t="n">
        <f aca="false">IF(OR(A3954&lt;&gt;"",B3954&lt;&gt;""),1,0)</f>
        <v>0</v>
      </c>
      <c r="D3954" s="0" t="str">
        <f aca="false">IF(C3954=1,MOD(ABS(SIN(ROW()*12.9898+'הדבקת לידים'!$F$2*78.233+IFERROR(--RIGHT(A3954,6),LEN(A3954))*0.0137+IFERROR(--RIGHT(B3954,6),LEN(B3954))*0.0071))*43758.5453,1),"")</f>
        <v/>
      </c>
      <c r="E3954" s="0" t="str">
        <f aca="false">IF(C3954=1,INT(MOD(ABS(SIN(D3954*7919.123+ROW()*0.618+'הדבקת לידים'!$F$2*1.3))*43758.5453,1)*1000000)*10000+ROW(),"")</f>
        <v/>
      </c>
      <c r="F3954" s="0" t="str">
        <f aca="false">IF(E3954="","",RANK(E3954,$E$2:$E$5001,1))</f>
        <v/>
      </c>
      <c r="G3954" s="0" t="n">
        <f aca="false">IF(A3954="",0,IF(SUMPRODUCT(--($A$2:$A$5001=A3954))&gt;1,1,0))</f>
        <v>0</v>
      </c>
      <c r="H3954" s="0" t="n">
        <f aca="false">ROW()-1</f>
        <v>3953</v>
      </c>
      <c r="I3954" s="0" t="str">
        <f aca="false">IF(OR(הגדרות!$E$6=0,H3954&gt;הגדרות!$E$5),"",IF(H3954-1&lt;הגדרות!$E$8*(הגדרות!$E$7+1),INT((H3954-1)/(הגדרות!$E$7+1)),הגדרות!$E$8+INT((H3954-1-הגדרות!$E$8*(הגדרות!$E$7+1))/הגדרות!$E$7)))</f>
        <v/>
      </c>
      <c r="J3954" s="0" t="str">
        <f aca="false">IF(I3954="","",IF(H3954-1&lt;הגדרות!$E$8*(הגדרות!$E$7+1),MOD(H3954-1,הגדרות!$E$7+1),MOD(H3954-1-הגדרות!$E$8*(הגדרות!$E$7+1),הגדרות!$E$7)))</f>
        <v/>
      </c>
      <c r="K3954" s="0" t="str">
        <f aca="false">IF(I3954="","",J3954*הגדרות!$E$6+I3954+1)</f>
        <v/>
      </c>
      <c r="L3954" s="0" t="str">
        <f aca="false">IF(K3954="","",MATCH(K3954,$F$2:$F$5001,0))</f>
        <v/>
      </c>
      <c r="M3954" s="0" t="str">
        <f aca="false">IF(I3954="","",INDEX(הגדרות!$A$2:$A$21,MOD(I3954+הגדרות!$E$9,הגדרות!$E$6)+1))</f>
        <v/>
      </c>
    </row>
    <row r="3955" customFormat="false" ht="15" hidden="false" customHeight="false" outlineLevel="0" collapsed="false">
      <c r="A3955" s="0" t="str">
        <f aca="false">IF('הדבקת לידים'!A3955="","",IF(ISNUMBER('הדבקת לידים'!A3955),IF(הגדרות!$E$2&gt;0,TEXT('הדבקת לידים'!A3955,REPT("0",הגדרות!$E$2)),TEXT('הדבקת לידים'!A3955,"0")),TRIM('הדבקת לידים'!A3955)))</f>
        <v/>
      </c>
      <c r="B3955" s="0" t="str">
        <f aca="false">IF('הדבקת לידים'!B3955="","",IF(ISNUMBER('הדבקת לידים'!B3955),IF(הגדרות!$E$3&gt;0,TEXT('הדבקת לידים'!B3955,REPT("0",הגדרות!$E$3)),TEXT('הדבקת לידים'!B3955,"0")),TRIM('הדבקת לידים'!B3955)))</f>
        <v/>
      </c>
      <c r="C3955" s="0" t="n">
        <f aca="false">IF(OR(A3955&lt;&gt;"",B3955&lt;&gt;""),1,0)</f>
        <v>0</v>
      </c>
      <c r="D3955" s="0" t="str">
        <f aca="false">IF(C3955=1,MOD(ABS(SIN(ROW()*12.9898+'הדבקת לידים'!$F$2*78.233+IFERROR(--RIGHT(A3955,6),LEN(A3955))*0.0137+IFERROR(--RIGHT(B3955,6),LEN(B3955))*0.0071))*43758.5453,1),"")</f>
        <v/>
      </c>
      <c r="E3955" s="0" t="str">
        <f aca="false">IF(C3955=1,INT(MOD(ABS(SIN(D3955*7919.123+ROW()*0.618+'הדבקת לידים'!$F$2*1.3))*43758.5453,1)*1000000)*10000+ROW(),"")</f>
        <v/>
      </c>
      <c r="F3955" s="0" t="str">
        <f aca="false">IF(E3955="","",RANK(E3955,$E$2:$E$5001,1))</f>
        <v/>
      </c>
      <c r="G3955" s="0" t="n">
        <f aca="false">IF(A3955="",0,IF(SUMPRODUCT(--($A$2:$A$5001=A3955))&gt;1,1,0))</f>
        <v>0</v>
      </c>
      <c r="H3955" s="0" t="n">
        <f aca="false">ROW()-1</f>
        <v>3954</v>
      </c>
      <c r="I3955" s="0" t="str">
        <f aca="false">IF(OR(הגדרות!$E$6=0,H3955&gt;הגדרות!$E$5),"",IF(H3955-1&lt;הגדרות!$E$8*(הגדרות!$E$7+1),INT((H3955-1)/(הגדרות!$E$7+1)),הגדרות!$E$8+INT((H3955-1-הגדרות!$E$8*(הגדרות!$E$7+1))/הגדרות!$E$7)))</f>
        <v/>
      </c>
      <c r="J3955" s="0" t="str">
        <f aca="false">IF(I3955="","",IF(H3955-1&lt;הגדרות!$E$8*(הגדרות!$E$7+1),MOD(H3955-1,הגדרות!$E$7+1),MOD(H3955-1-הגדרות!$E$8*(הגדרות!$E$7+1),הגדרות!$E$7)))</f>
        <v/>
      </c>
      <c r="K3955" s="0" t="str">
        <f aca="false">IF(I3955="","",J3955*הגדרות!$E$6+I3955+1)</f>
        <v/>
      </c>
      <c r="L3955" s="0" t="str">
        <f aca="false">IF(K3955="","",MATCH(K3955,$F$2:$F$5001,0))</f>
        <v/>
      </c>
      <c r="M3955" s="0" t="str">
        <f aca="false">IF(I3955="","",INDEX(הגדרות!$A$2:$A$21,MOD(I3955+הגדרות!$E$9,הגדרות!$E$6)+1))</f>
        <v/>
      </c>
    </row>
    <row r="3956" customFormat="false" ht="15" hidden="false" customHeight="false" outlineLevel="0" collapsed="false">
      <c r="A3956" s="0" t="str">
        <f aca="false">IF('הדבקת לידים'!A3956="","",IF(ISNUMBER('הדבקת לידים'!A3956),IF(הגדרות!$E$2&gt;0,TEXT('הדבקת לידים'!A3956,REPT("0",הגדרות!$E$2)),TEXT('הדבקת לידים'!A3956,"0")),TRIM('הדבקת לידים'!A3956)))</f>
        <v/>
      </c>
      <c r="B3956" s="0" t="str">
        <f aca="false">IF('הדבקת לידים'!B3956="","",IF(ISNUMBER('הדבקת לידים'!B3956),IF(הגדרות!$E$3&gt;0,TEXT('הדבקת לידים'!B3956,REPT("0",הגדרות!$E$3)),TEXT('הדבקת לידים'!B3956,"0")),TRIM('הדבקת לידים'!B3956)))</f>
        <v/>
      </c>
      <c r="C3956" s="0" t="n">
        <f aca="false">IF(OR(A3956&lt;&gt;"",B3956&lt;&gt;""),1,0)</f>
        <v>0</v>
      </c>
      <c r="D3956" s="0" t="str">
        <f aca="false">IF(C3956=1,MOD(ABS(SIN(ROW()*12.9898+'הדבקת לידים'!$F$2*78.233+IFERROR(--RIGHT(A3956,6),LEN(A3956))*0.0137+IFERROR(--RIGHT(B3956,6),LEN(B3956))*0.0071))*43758.5453,1),"")</f>
        <v/>
      </c>
      <c r="E3956" s="0" t="str">
        <f aca="false">IF(C3956=1,INT(MOD(ABS(SIN(D3956*7919.123+ROW()*0.618+'הדבקת לידים'!$F$2*1.3))*43758.5453,1)*1000000)*10000+ROW(),"")</f>
        <v/>
      </c>
      <c r="F3956" s="0" t="str">
        <f aca="false">IF(E3956="","",RANK(E3956,$E$2:$E$5001,1))</f>
        <v/>
      </c>
      <c r="G3956" s="0" t="n">
        <f aca="false">IF(A3956="",0,IF(SUMPRODUCT(--($A$2:$A$5001=A3956))&gt;1,1,0))</f>
        <v>0</v>
      </c>
      <c r="H3956" s="0" t="n">
        <f aca="false">ROW()-1</f>
        <v>3955</v>
      </c>
      <c r="I3956" s="0" t="str">
        <f aca="false">IF(OR(הגדרות!$E$6=0,H3956&gt;הגדרות!$E$5),"",IF(H3956-1&lt;הגדרות!$E$8*(הגדרות!$E$7+1),INT((H3956-1)/(הגדרות!$E$7+1)),הגדרות!$E$8+INT((H3956-1-הגדרות!$E$8*(הגדרות!$E$7+1))/הגדרות!$E$7)))</f>
        <v/>
      </c>
      <c r="J3956" s="0" t="str">
        <f aca="false">IF(I3956="","",IF(H3956-1&lt;הגדרות!$E$8*(הגדרות!$E$7+1),MOD(H3956-1,הגדרות!$E$7+1),MOD(H3956-1-הגדרות!$E$8*(הגדרות!$E$7+1),הגדרות!$E$7)))</f>
        <v/>
      </c>
      <c r="K3956" s="0" t="str">
        <f aca="false">IF(I3956="","",J3956*הגדרות!$E$6+I3956+1)</f>
        <v/>
      </c>
      <c r="L3956" s="0" t="str">
        <f aca="false">IF(K3956="","",MATCH(K3956,$F$2:$F$5001,0))</f>
        <v/>
      </c>
      <c r="M3956" s="0" t="str">
        <f aca="false">IF(I3956="","",INDEX(הגדרות!$A$2:$A$21,MOD(I3956+הגדרות!$E$9,הגדרות!$E$6)+1))</f>
        <v/>
      </c>
    </row>
    <row r="3957" customFormat="false" ht="15" hidden="false" customHeight="false" outlineLevel="0" collapsed="false">
      <c r="A3957" s="0" t="str">
        <f aca="false">IF('הדבקת לידים'!A3957="","",IF(ISNUMBER('הדבקת לידים'!A3957),IF(הגדרות!$E$2&gt;0,TEXT('הדבקת לידים'!A3957,REPT("0",הגדרות!$E$2)),TEXT('הדבקת לידים'!A3957,"0")),TRIM('הדבקת לידים'!A3957)))</f>
        <v/>
      </c>
      <c r="B3957" s="0" t="str">
        <f aca="false">IF('הדבקת לידים'!B3957="","",IF(ISNUMBER('הדבקת לידים'!B3957),IF(הגדרות!$E$3&gt;0,TEXT('הדבקת לידים'!B3957,REPT("0",הגדרות!$E$3)),TEXT('הדבקת לידים'!B3957,"0")),TRIM('הדבקת לידים'!B3957)))</f>
        <v/>
      </c>
      <c r="C3957" s="0" t="n">
        <f aca="false">IF(OR(A3957&lt;&gt;"",B3957&lt;&gt;""),1,0)</f>
        <v>0</v>
      </c>
      <c r="D3957" s="0" t="str">
        <f aca="false">IF(C3957=1,MOD(ABS(SIN(ROW()*12.9898+'הדבקת לידים'!$F$2*78.233+IFERROR(--RIGHT(A3957,6),LEN(A3957))*0.0137+IFERROR(--RIGHT(B3957,6),LEN(B3957))*0.0071))*43758.5453,1),"")</f>
        <v/>
      </c>
      <c r="E3957" s="0" t="str">
        <f aca="false">IF(C3957=1,INT(MOD(ABS(SIN(D3957*7919.123+ROW()*0.618+'הדבקת לידים'!$F$2*1.3))*43758.5453,1)*1000000)*10000+ROW(),"")</f>
        <v/>
      </c>
      <c r="F3957" s="0" t="str">
        <f aca="false">IF(E3957="","",RANK(E3957,$E$2:$E$5001,1))</f>
        <v/>
      </c>
      <c r="G3957" s="0" t="n">
        <f aca="false">IF(A3957="",0,IF(SUMPRODUCT(--($A$2:$A$5001=A3957))&gt;1,1,0))</f>
        <v>0</v>
      </c>
      <c r="H3957" s="0" t="n">
        <f aca="false">ROW()-1</f>
        <v>3956</v>
      </c>
      <c r="I3957" s="0" t="str">
        <f aca="false">IF(OR(הגדרות!$E$6=0,H3957&gt;הגדרות!$E$5),"",IF(H3957-1&lt;הגדרות!$E$8*(הגדרות!$E$7+1),INT((H3957-1)/(הגדרות!$E$7+1)),הגדרות!$E$8+INT((H3957-1-הגדרות!$E$8*(הגדרות!$E$7+1))/הגדרות!$E$7)))</f>
        <v/>
      </c>
      <c r="J3957" s="0" t="str">
        <f aca="false">IF(I3957="","",IF(H3957-1&lt;הגדרות!$E$8*(הגדרות!$E$7+1),MOD(H3957-1,הגדרות!$E$7+1),MOD(H3957-1-הגדרות!$E$8*(הגדרות!$E$7+1),הגדרות!$E$7)))</f>
        <v/>
      </c>
      <c r="K3957" s="0" t="str">
        <f aca="false">IF(I3957="","",J3957*הגדרות!$E$6+I3957+1)</f>
        <v/>
      </c>
      <c r="L3957" s="0" t="str">
        <f aca="false">IF(K3957="","",MATCH(K3957,$F$2:$F$5001,0))</f>
        <v/>
      </c>
      <c r="M3957" s="0" t="str">
        <f aca="false">IF(I3957="","",INDEX(הגדרות!$A$2:$A$21,MOD(I3957+הגדרות!$E$9,הגדרות!$E$6)+1))</f>
        <v/>
      </c>
    </row>
    <row r="3958" customFormat="false" ht="15" hidden="false" customHeight="false" outlineLevel="0" collapsed="false">
      <c r="A3958" s="0" t="str">
        <f aca="false">IF('הדבקת לידים'!A3958="","",IF(ISNUMBER('הדבקת לידים'!A3958),IF(הגדרות!$E$2&gt;0,TEXT('הדבקת לידים'!A3958,REPT("0",הגדרות!$E$2)),TEXT('הדבקת לידים'!A3958,"0")),TRIM('הדבקת לידים'!A3958)))</f>
        <v/>
      </c>
      <c r="B3958" s="0" t="str">
        <f aca="false">IF('הדבקת לידים'!B3958="","",IF(ISNUMBER('הדבקת לידים'!B3958),IF(הגדרות!$E$3&gt;0,TEXT('הדבקת לידים'!B3958,REPT("0",הגדרות!$E$3)),TEXT('הדבקת לידים'!B3958,"0")),TRIM('הדבקת לידים'!B3958)))</f>
        <v/>
      </c>
      <c r="C3958" s="0" t="n">
        <f aca="false">IF(OR(A3958&lt;&gt;"",B3958&lt;&gt;""),1,0)</f>
        <v>0</v>
      </c>
      <c r="D3958" s="0" t="str">
        <f aca="false">IF(C3958=1,MOD(ABS(SIN(ROW()*12.9898+'הדבקת לידים'!$F$2*78.233+IFERROR(--RIGHT(A3958,6),LEN(A3958))*0.0137+IFERROR(--RIGHT(B3958,6),LEN(B3958))*0.0071))*43758.5453,1),"")</f>
        <v/>
      </c>
      <c r="E3958" s="0" t="str">
        <f aca="false">IF(C3958=1,INT(MOD(ABS(SIN(D3958*7919.123+ROW()*0.618+'הדבקת לידים'!$F$2*1.3))*43758.5453,1)*1000000)*10000+ROW(),"")</f>
        <v/>
      </c>
      <c r="F3958" s="0" t="str">
        <f aca="false">IF(E3958="","",RANK(E3958,$E$2:$E$5001,1))</f>
        <v/>
      </c>
      <c r="G3958" s="0" t="n">
        <f aca="false">IF(A3958="",0,IF(SUMPRODUCT(--($A$2:$A$5001=A3958))&gt;1,1,0))</f>
        <v>0</v>
      </c>
      <c r="H3958" s="0" t="n">
        <f aca="false">ROW()-1</f>
        <v>3957</v>
      </c>
      <c r="I3958" s="0" t="str">
        <f aca="false">IF(OR(הגדרות!$E$6=0,H3958&gt;הגדרות!$E$5),"",IF(H3958-1&lt;הגדרות!$E$8*(הגדרות!$E$7+1),INT((H3958-1)/(הגדרות!$E$7+1)),הגדרות!$E$8+INT((H3958-1-הגדרות!$E$8*(הגדרות!$E$7+1))/הגדרות!$E$7)))</f>
        <v/>
      </c>
      <c r="J3958" s="0" t="str">
        <f aca="false">IF(I3958="","",IF(H3958-1&lt;הגדרות!$E$8*(הגדרות!$E$7+1),MOD(H3958-1,הגדרות!$E$7+1),MOD(H3958-1-הגדרות!$E$8*(הגדרות!$E$7+1),הגדרות!$E$7)))</f>
        <v/>
      </c>
      <c r="K3958" s="0" t="str">
        <f aca="false">IF(I3958="","",J3958*הגדרות!$E$6+I3958+1)</f>
        <v/>
      </c>
      <c r="L3958" s="0" t="str">
        <f aca="false">IF(K3958="","",MATCH(K3958,$F$2:$F$5001,0))</f>
        <v/>
      </c>
      <c r="M3958" s="0" t="str">
        <f aca="false">IF(I3958="","",INDEX(הגדרות!$A$2:$A$21,MOD(I3958+הגדרות!$E$9,הגדרות!$E$6)+1))</f>
        <v/>
      </c>
    </row>
    <row r="3959" customFormat="false" ht="15" hidden="false" customHeight="false" outlineLevel="0" collapsed="false">
      <c r="A3959" s="0" t="str">
        <f aca="false">IF('הדבקת לידים'!A3959="","",IF(ISNUMBER('הדבקת לידים'!A3959),IF(הגדרות!$E$2&gt;0,TEXT('הדבקת לידים'!A3959,REPT("0",הגדרות!$E$2)),TEXT('הדבקת לידים'!A3959,"0")),TRIM('הדבקת לידים'!A3959)))</f>
        <v/>
      </c>
      <c r="B3959" s="0" t="str">
        <f aca="false">IF('הדבקת לידים'!B3959="","",IF(ISNUMBER('הדבקת לידים'!B3959),IF(הגדרות!$E$3&gt;0,TEXT('הדבקת לידים'!B3959,REPT("0",הגדרות!$E$3)),TEXT('הדבקת לידים'!B3959,"0")),TRIM('הדבקת לידים'!B3959)))</f>
        <v/>
      </c>
      <c r="C3959" s="0" t="n">
        <f aca="false">IF(OR(A3959&lt;&gt;"",B3959&lt;&gt;""),1,0)</f>
        <v>0</v>
      </c>
      <c r="D3959" s="0" t="str">
        <f aca="false">IF(C3959=1,MOD(ABS(SIN(ROW()*12.9898+'הדבקת לידים'!$F$2*78.233+IFERROR(--RIGHT(A3959,6),LEN(A3959))*0.0137+IFERROR(--RIGHT(B3959,6),LEN(B3959))*0.0071))*43758.5453,1),"")</f>
        <v/>
      </c>
      <c r="E3959" s="0" t="str">
        <f aca="false">IF(C3959=1,INT(MOD(ABS(SIN(D3959*7919.123+ROW()*0.618+'הדבקת לידים'!$F$2*1.3))*43758.5453,1)*1000000)*10000+ROW(),"")</f>
        <v/>
      </c>
      <c r="F3959" s="0" t="str">
        <f aca="false">IF(E3959="","",RANK(E3959,$E$2:$E$5001,1))</f>
        <v/>
      </c>
      <c r="G3959" s="0" t="n">
        <f aca="false">IF(A3959="",0,IF(SUMPRODUCT(--($A$2:$A$5001=A3959))&gt;1,1,0))</f>
        <v>0</v>
      </c>
      <c r="H3959" s="0" t="n">
        <f aca="false">ROW()-1</f>
        <v>3958</v>
      </c>
      <c r="I3959" s="0" t="str">
        <f aca="false">IF(OR(הגדרות!$E$6=0,H3959&gt;הגדרות!$E$5),"",IF(H3959-1&lt;הגדרות!$E$8*(הגדרות!$E$7+1),INT((H3959-1)/(הגדרות!$E$7+1)),הגדרות!$E$8+INT((H3959-1-הגדרות!$E$8*(הגדרות!$E$7+1))/הגדרות!$E$7)))</f>
        <v/>
      </c>
      <c r="J3959" s="0" t="str">
        <f aca="false">IF(I3959="","",IF(H3959-1&lt;הגדרות!$E$8*(הגדרות!$E$7+1),MOD(H3959-1,הגדרות!$E$7+1),MOD(H3959-1-הגדרות!$E$8*(הגדרות!$E$7+1),הגדרות!$E$7)))</f>
        <v/>
      </c>
      <c r="K3959" s="0" t="str">
        <f aca="false">IF(I3959="","",J3959*הגדרות!$E$6+I3959+1)</f>
        <v/>
      </c>
      <c r="L3959" s="0" t="str">
        <f aca="false">IF(K3959="","",MATCH(K3959,$F$2:$F$5001,0))</f>
        <v/>
      </c>
      <c r="M3959" s="0" t="str">
        <f aca="false">IF(I3959="","",INDEX(הגדרות!$A$2:$A$21,MOD(I3959+הגדרות!$E$9,הגדרות!$E$6)+1))</f>
        <v/>
      </c>
    </row>
    <row r="3960" customFormat="false" ht="15" hidden="false" customHeight="false" outlineLevel="0" collapsed="false">
      <c r="A3960" s="0" t="str">
        <f aca="false">IF('הדבקת לידים'!A3960="","",IF(ISNUMBER('הדבקת לידים'!A3960),IF(הגדרות!$E$2&gt;0,TEXT('הדבקת לידים'!A3960,REPT("0",הגדרות!$E$2)),TEXT('הדבקת לידים'!A3960,"0")),TRIM('הדבקת לידים'!A3960)))</f>
        <v/>
      </c>
      <c r="B3960" s="0" t="str">
        <f aca="false">IF('הדבקת לידים'!B3960="","",IF(ISNUMBER('הדבקת לידים'!B3960),IF(הגדרות!$E$3&gt;0,TEXT('הדבקת לידים'!B3960,REPT("0",הגדרות!$E$3)),TEXT('הדבקת לידים'!B3960,"0")),TRIM('הדבקת לידים'!B3960)))</f>
        <v/>
      </c>
      <c r="C3960" s="0" t="n">
        <f aca="false">IF(OR(A3960&lt;&gt;"",B3960&lt;&gt;""),1,0)</f>
        <v>0</v>
      </c>
      <c r="D3960" s="0" t="str">
        <f aca="false">IF(C3960=1,MOD(ABS(SIN(ROW()*12.9898+'הדבקת לידים'!$F$2*78.233+IFERROR(--RIGHT(A3960,6),LEN(A3960))*0.0137+IFERROR(--RIGHT(B3960,6),LEN(B3960))*0.0071))*43758.5453,1),"")</f>
        <v/>
      </c>
      <c r="E3960" s="0" t="str">
        <f aca="false">IF(C3960=1,INT(MOD(ABS(SIN(D3960*7919.123+ROW()*0.618+'הדבקת לידים'!$F$2*1.3))*43758.5453,1)*1000000)*10000+ROW(),"")</f>
        <v/>
      </c>
      <c r="F3960" s="0" t="str">
        <f aca="false">IF(E3960="","",RANK(E3960,$E$2:$E$5001,1))</f>
        <v/>
      </c>
      <c r="G3960" s="0" t="n">
        <f aca="false">IF(A3960="",0,IF(SUMPRODUCT(--($A$2:$A$5001=A3960))&gt;1,1,0))</f>
        <v>0</v>
      </c>
      <c r="H3960" s="0" t="n">
        <f aca="false">ROW()-1</f>
        <v>3959</v>
      </c>
      <c r="I3960" s="0" t="str">
        <f aca="false">IF(OR(הגדרות!$E$6=0,H3960&gt;הגדרות!$E$5),"",IF(H3960-1&lt;הגדרות!$E$8*(הגדרות!$E$7+1),INT((H3960-1)/(הגדרות!$E$7+1)),הגדרות!$E$8+INT((H3960-1-הגדרות!$E$8*(הגדרות!$E$7+1))/הגדרות!$E$7)))</f>
        <v/>
      </c>
      <c r="J3960" s="0" t="str">
        <f aca="false">IF(I3960="","",IF(H3960-1&lt;הגדרות!$E$8*(הגדרות!$E$7+1),MOD(H3960-1,הגדרות!$E$7+1),MOD(H3960-1-הגדרות!$E$8*(הגדרות!$E$7+1),הגדרות!$E$7)))</f>
        <v/>
      </c>
      <c r="K3960" s="0" t="str">
        <f aca="false">IF(I3960="","",J3960*הגדרות!$E$6+I3960+1)</f>
        <v/>
      </c>
      <c r="L3960" s="0" t="str">
        <f aca="false">IF(K3960="","",MATCH(K3960,$F$2:$F$5001,0))</f>
        <v/>
      </c>
      <c r="M3960" s="0" t="str">
        <f aca="false">IF(I3960="","",INDEX(הגדרות!$A$2:$A$21,MOD(I3960+הגדרות!$E$9,הגדרות!$E$6)+1))</f>
        <v/>
      </c>
    </row>
    <row r="3961" customFormat="false" ht="15" hidden="false" customHeight="false" outlineLevel="0" collapsed="false">
      <c r="A3961" s="0" t="str">
        <f aca="false">IF('הדבקת לידים'!A3961="","",IF(ISNUMBER('הדבקת לידים'!A3961),IF(הגדרות!$E$2&gt;0,TEXT('הדבקת לידים'!A3961,REPT("0",הגדרות!$E$2)),TEXT('הדבקת לידים'!A3961,"0")),TRIM('הדבקת לידים'!A3961)))</f>
        <v/>
      </c>
      <c r="B3961" s="0" t="str">
        <f aca="false">IF('הדבקת לידים'!B3961="","",IF(ISNUMBER('הדבקת לידים'!B3961),IF(הגדרות!$E$3&gt;0,TEXT('הדבקת לידים'!B3961,REPT("0",הגדרות!$E$3)),TEXT('הדבקת לידים'!B3961,"0")),TRIM('הדבקת לידים'!B3961)))</f>
        <v/>
      </c>
      <c r="C3961" s="0" t="n">
        <f aca="false">IF(OR(A3961&lt;&gt;"",B3961&lt;&gt;""),1,0)</f>
        <v>0</v>
      </c>
      <c r="D3961" s="0" t="str">
        <f aca="false">IF(C3961=1,MOD(ABS(SIN(ROW()*12.9898+'הדבקת לידים'!$F$2*78.233+IFERROR(--RIGHT(A3961,6),LEN(A3961))*0.0137+IFERROR(--RIGHT(B3961,6),LEN(B3961))*0.0071))*43758.5453,1),"")</f>
        <v/>
      </c>
      <c r="E3961" s="0" t="str">
        <f aca="false">IF(C3961=1,INT(MOD(ABS(SIN(D3961*7919.123+ROW()*0.618+'הדבקת לידים'!$F$2*1.3))*43758.5453,1)*1000000)*10000+ROW(),"")</f>
        <v/>
      </c>
      <c r="F3961" s="0" t="str">
        <f aca="false">IF(E3961="","",RANK(E3961,$E$2:$E$5001,1))</f>
        <v/>
      </c>
      <c r="G3961" s="0" t="n">
        <f aca="false">IF(A3961="",0,IF(SUMPRODUCT(--($A$2:$A$5001=A3961))&gt;1,1,0))</f>
        <v>0</v>
      </c>
      <c r="H3961" s="0" t="n">
        <f aca="false">ROW()-1</f>
        <v>3960</v>
      </c>
      <c r="I3961" s="0" t="str">
        <f aca="false">IF(OR(הגדרות!$E$6=0,H3961&gt;הגדרות!$E$5),"",IF(H3961-1&lt;הגדרות!$E$8*(הגדרות!$E$7+1),INT((H3961-1)/(הגדרות!$E$7+1)),הגדרות!$E$8+INT((H3961-1-הגדרות!$E$8*(הגדרות!$E$7+1))/הגדרות!$E$7)))</f>
        <v/>
      </c>
      <c r="J3961" s="0" t="str">
        <f aca="false">IF(I3961="","",IF(H3961-1&lt;הגדרות!$E$8*(הגדרות!$E$7+1),MOD(H3961-1,הגדרות!$E$7+1),MOD(H3961-1-הגדרות!$E$8*(הגדרות!$E$7+1),הגדרות!$E$7)))</f>
        <v/>
      </c>
      <c r="K3961" s="0" t="str">
        <f aca="false">IF(I3961="","",J3961*הגדרות!$E$6+I3961+1)</f>
        <v/>
      </c>
      <c r="L3961" s="0" t="str">
        <f aca="false">IF(K3961="","",MATCH(K3961,$F$2:$F$5001,0))</f>
        <v/>
      </c>
      <c r="M3961" s="0" t="str">
        <f aca="false">IF(I3961="","",INDEX(הגדרות!$A$2:$A$21,MOD(I3961+הגדרות!$E$9,הגדרות!$E$6)+1))</f>
        <v/>
      </c>
    </row>
    <row r="3962" customFormat="false" ht="15" hidden="false" customHeight="false" outlineLevel="0" collapsed="false">
      <c r="A3962" s="0" t="str">
        <f aca="false">IF('הדבקת לידים'!A3962="","",IF(ISNUMBER('הדבקת לידים'!A3962),IF(הגדרות!$E$2&gt;0,TEXT('הדבקת לידים'!A3962,REPT("0",הגדרות!$E$2)),TEXT('הדבקת לידים'!A3962,"0")),TRIM('הדבקת לידים'!A3962)))</f>
        <v/>
      </c>
      <c r="B3962" s="0" t="str">
        <f aca="false">IF('הדבקת לידים'!B3962="","",IF(ISNUMBER('הדבקת לידים'!B3962),IF(הגדרות!$E$3&gt;0,TEXT('הדבקת לידים'!B3962,REPT("0",הגדרות!$E$3)),TEXT('הדבקת לידים'!B3962,"0")),TRIM('הדבקת לידים'!B3962)))</f>
        <v/>
      </c>
      <c r="C3962" s="0" t="n">
        <f aca="false">IF(OR(A3962&lt;&gt;"",B3962&lt;&gt;""),1,0)</f>
        <v>0</v>
      </c>
      <c r="D3962" s="0" t="str">
        <f aca="false">IF(C3962=1,MOD(ABS(SIN(ROW()*12.9898+'הדבקת לידים'!$F$2*78.233+IFERROR(--RIGHT(A3962,6),LEN(A3962))*0.0137+IFERROR(--RIGHT(B3962,6),LEN(B3962))*0.0071))*43758.5453,1),"")</f>
        <v/>
      </c>
      <c r="E3962" s="0" t="str">
        <f aca="false">IF(C3962=1,INT(MOD(ABS(SIN(D3962*7919.123+ROW()*0.618+'הדבקת לידים'!$F$2*1.3))*43758.5453,1)*1000000)*10000+ROW(),"")</f>
        <v/>
      </c>
      <c r="F3962" s="0" t="str">
        <f aca="false">IF(E3962="","",RANK(E3962,$E$2:$E$5001,1))</f>
        <v/>
      </c>
      <c r="G3962" s="0" t="n">
        <f aca="false">IF(A3962="",0,IF(SUMPRODUCT(--($A$2:$A$5001=A3962))&gt;1,1,0))</f>
        <v>0</v>
      </c>
      <c r="H3962" s="0" t="n">
        <f aca="false">ROW()-1</f>
        <v>3961</v>
      </c>
      <c r="I3962" s="0" t="str">
        <f aca="false">IF(OR(הגדרות!$E$6=0,H3962&gt;הגדרות!$E$5),"",IF(H3962-1&lt;הגדרות!$E$8*(הגדרות!$E$7+1),INT((H3962-1)/(הגדרות!$E$7+1)),הגדרות!$E$8+INT((H3962-1-הגדרות!$E$8*(הגדרות!$E$7+1))/הגדרות!$E$7)))</f>
        <v/>
      </c>
      <c r="J3962" s="0" t="str">
        <f aca="false">IF(I3962="","",IF(H3962-1&lt;הגדרות!$E$8*(הגדרות!$E$7+1),MOD(H3962-1,הגדרות!$E$7+1),MOD(H3962-1-הגדרות!$E$8*(הגדרות!$E$7+1),הגדרות!$E$7)))</f>
        <v/>
      </c>
      <c r="K3962" s="0" t="str">
        <f aca="false">IF(I3962="","",J3962*הגדרות!$E$6+I3962+1)</f>
        <v/>
      </c>
      <c r="L3962" s="0" t="str">
        <f aca="false">IF(K3962="","",MATCH(K3962,$F$2:$F$5001,0))</f>
        <v/>
      </c>
      <c r="M3962" s="0" t="str">
        <f aca="false">IF(I3962="","",INDEX(הגדרות!$A$2:$A$21,MOD(I3962+הגדרות!$E$9,הגדרות!$E$6)+1))</f>
        <v/>
      </c>
    </row>
    <row r="3963" customFormat="false" ht="15" hidden="false" customHeight="false" outlineLevel="0" collapsed="false">
      <c r="A3963" s="0" t="str">
        <f aca="false">IF('הדבקת לידים'!A3963="","",IF(ISNUMBER('הדבקת לידים'!A3963),IF(הגדרות!$E$2&gt;0,TEXT('הדבקת לידים'!A3963,REPT("0",הגדרות!$E$2)),TEXT('הדבקת לידים'!A3963,"0")),TRIM('הדבקת לידים'!A3963)))</f>
        <v/>
      </c>
      <c r="B3963" s="0" t="str">
        <f aca="false">IF('הדבקת לידים'!B3963="","",IF(ISNUMBER('הדבקת לידים'!B3963),IF(הגדרות!$E$3&gt;0,TEXT('הדבקת לידים'!B3963,REPT("0",הגדרות!$E$3)),TEXT('הדבקת לידים'!B3963,"0")),TRIM('הדבקת לידים'!B3963)))</f>
        <v/>
      </c>
      <c r="C3963" s="0" t="n">
        <f aca="false">IF(OR(A3963&lt;&gt;"",B3963&lt;&gt;""),1,0)</f>
        <v>0</v>
      </c>
      <c r="D3963" s="0" t="str">
        <f aca="false">IF(C3963=1,MOD(ABS(SIN(ROW()*12.9898+'הדבקת לידים'!$F$2*78.233+IFERROR(--RIGHT(A3963,6),LEN(A3963))*0.0137+IFERROR(--RIGHT(B3963,6),LEN(B3963))*0.0071))*43758.5453,1),"")</f>
        <v/>
      </c>
      <c r="E3963" s="0" t="str">
        <f aca="false">IF(C3963=1,INT(MOD(ABS(SIN(D3963*7919.123+ROW()*0.618+'הדבקת לידים'!$F$2*1.3))*43758.5453,1)*1000000)*10000+ROW(),"")</f>
        <v/>
      </c>
      <c r="F3963" s="0" t="str">
        <f aca="false">IF(E3963="","",RANK(E3963,$E$2:$E$5001,1))</f>
        <v/>
      </c>
      <c r="G3963" s="0" t="n">
        <f aca="false">IF(A3963="",0,IF(SUMPRODUCT(--($A$2:$A$5001=A3963))&gt;1,1,0))</f>
        <v>0</v>
      </c>
      <c r="H3963" s="0" t="n">
        <f aca="false">ROW()-1</f>
        <v>3962</v>
      </c>
      <c r="I3963" s="0" t="str">
        <f aca="false">IF(OR(הגדרות!$E$6=0,H3963&gt;הגדרות!$E$5),"",IF(H3963-1&lt;הגדרות!$E$8*(הגדרות!$E$7+1),INT((H3963-1)/(הגדרות!$E$7+1)),הגדרות!$E$8+INT((H3963-1-הגדרות!$E$8*(הגדרות!$E$7+1))/הגדרות!$E$7)))</f>
        <v/>
      </c>
      <c r="J3963" s="0" t="str">
        <f aca="false">IF(I3963="","",IF(H3963-1&lt;הגדרות!$E$8*(הגדרות!$E$7+1),MOD(H3963-1,הגדרות!$E$7+1),MOD(H3963-1-הגדרות!$E$8*(הגדרות!$E$7+1),הגדרות!$E$7)))</f>
        <v/>
      </c>
      <c r="K3963" s="0" t="str">
        <f aca="false">IF(I3963="","",J3963*הגדרות!$E$6+I3963+1)</f>
        <v/>
      </c>
      <c r="L3963" s="0" t="str">
        <f aca="false">IF(K3963="","",MATCH(K3963,$F$2:$F$5001,0))</f>
        <v/>
      </c>
      <c r="M3963" s="0" t="str">
        <f aca="false">IF(I3963="","",INDEX(הגדרות!$A$2:$A$21,MOD(I3963+הגדרות!$E$9,הגדרות!$E$6)+1))</f>
        <v/>
      </c>
    </row>
    <row r="3964" customFormat="false" ht="15" hidden="false" customHeight="false" outlineLevel="0" collapsed="false">
      <c r="A3964" s="0" t="str">
        <f aca="false">IF('הדבקת לידים'!A3964="","",IF(ISNUMBER('הדבקת לידים'!A3964),IF(הגדרות!$E$2&gt;0,TEXT('הדבקת לידים'!A3964,REPT("0",הגדרות!$E$2)),TEXT('הדבקת לידים'!A3964,"0")),TRIM('הדבקת לידים'!A3964)))</f>
        <v/>
      </c>
      <c r="B3964" s="0" t="str">
        <f aca="false">IF('הדבקת לידים'!B3964="","",IF(ISNUMBER('הדבקת לידים'!B3964),IF(הגדרות!$E$3&gt;0,TEXT('הדבקת לידים'!B3964,REPT("0",הגדרות!$E$3)),TEXT('הדבקת לידים'!B3964,"0")),TRIM('הדבקת לידים'!B3964)))</f>
        <v/>
      </c>
      <c r="C3964" s="0" t="n">
        <f aca="false">IF(OR(A3964&lt;&gt;"",B3964&lt;&gt;""),1,0)</f>
        <v>0</v>
      </c>
      <c r="D3964" s="0" t="str">
        <f aca="false">IF(C3964=1,MOD(ABS(SIN(ROW()*12.9898+'הדבקת לידים'!$F$2*78.233+IFERROR(--RIGHT(A3964,6),LEN(A3964))*0.0137+IFERROR(--RIGHT(B3964,6),LEN(B3964))*0.0071))*43758.5453,1),"")</f>
        <v/>
      </c>
      <c r="E3964" s="0" t="str">
        <f aca="false">IF(C3964=1,INT(MOD(ABS(SIN(D3964*7919.123+ROW()*0.618+'הדבקת לידים'!$F$2*1.3))*43758.5453,1)*1000000)*10000+ROW(),"")</f>
        <v/>
      </c>
      <c r="F3964" s="0" t="str">
        <f aca="false">IF(E3964="","",RANK(E3964,$E$2:$E$5001,1))</f>
        <v/>
      </c>
      <c r="G3964" s="0" t="n">
        <f aca="false">IF(A3964="",0,IF(SUMPRODUCT(--($A$2:$A$5001=A3964))&gt;1,1,0))</f>
        <v>0</v>
      </c>
      <c r="H3964" s="0" t="n">
        <f aca="false">ROW()-1</f>
        <v>3963</v>
      </c>
      <c r="I3964" s="0" t="str">
        <f aca="false">IF(OR(הגדרות!$E$6=0,H3964&gt;הגדרות!$E$5),"",IF(H3964-1&lt;הגדרות!$E$8*(הגדרות!$E$7+1),INT((H3964-1)/(הגדרות!$E$7+1)),הגדרות!$E$8+INT((H3964-1-הגדרות!$E$8*(הגדרות!$E$7+1))/הגדרות!$E$7)))</f>
        <v/>
      </c>
      <c r="J3964" s="0" t="str">
        <f aca="false">IF(I3964="","",IF(H3964-1&lt;הגדרות!$E$8*(הגדרות!$E$7+1),MOD(H3964-1,הגדרות!$E$7+1),MOD(H3964-1-הגדרות!$E$8*(הגדרות!$E$7+1),הגדרות!$E$7)))</f>
        <v/>
      </c>
      <c r="K3964" s="0" t="str">
        <f aca="false">IF(I3964="","",J3964*הגדרות!$E$6+I3964+1)</f>
        <v/>
      </c>
      <c r="L3964" s="0" t="str">
        <f aca="false">IF(K3964="","",MATCH(K3964,$F$2:$F$5001,0))</f>
        <v/>
      </c>
      <c r="M3964" s="0" t="str">
        <f aca="false">IF(I3964="","",INDEX(הגדרות!$A$2:$A$21,MOD(I3964+הגדרות!$E$9,הגדרות!$E$6)+1))</f>
        <v/>
      </c>
    </row>
    <row r="3965" customFormat="false" ht="15" hidden="false" customHeight="false" outlineLevel="0" collapsed="false">
      <c r="A3965" s="0" t="str">
        <f aca="false">IF('הדבקת לידים'!A3965="","",IF(ISNUMBER('הדבקת לידים'!A3965),IF(הגדרות!$E$2&gt;0,TEXT('הדבקת לידים'!A3965,REPT("0",הגדרות!$E$2)),TEXT('הדבקת לידים'!A3965,"0")),TRIM('הדבקת לידים'!A3965)))</f>
        <v/>
      </c>
      <c r="B3965" s="0" t="str">
        <f aca="false">IF('הדבקת לידים'!B3965="","",IF(ISNUMBER('הדבקת לידים'!B3965),IF(הגדרות!$E$3&gt;0,TEXT('הדבקת לידים'!B3965,REPT("0",הגדרות!$E$3)),TEXT('הדבקת לידים'!B3965,"0")),TRIM('הדבקת לידים'!B3965)))</f>
        <v/>
      </c>
      <c r="C3965" s="0" t="n">
        <f aca="false">IF(OR(A3965&lt;&gt;"",B3965&lt;&gt;""),1,0)</f>
        <v>0</v>
      </c>
      <c r="D3965" s="0" t="str">
        <f aca="false">IF(C3965=1,MOD(ABS(SIN(ROW()*12.9898+'הדבקת לידים'!$F$2*78.233+IFERROR(--RIGHT(A3965,6),LEN(A3965))*0.0137+IFERROR(--RIGHT(B3965,6),LEN(B3965))*0.0071))*43758.5453,1),"")</f>
        <v/>
      </c>
      <c r="E3965" s="0" t="str">
        <f aca="false">IF(C3965=1,INT(MOD(ABS(SIN(D3965*7919.123+ROW()*0.618+'הדבקת לידים'!$F$2*1.3))*43758.5453,1)*1000000)*10000+ROW(),"")</f>
        <v/>
      </c>
      <c r="F3965" s="0" t="str">
        <f aca="false">IF(E3965="","",RANK(E3965,$E$2:$E$5001,1))</f>
        <v/>
      </c>
      <c r="G3965" s="0" t="n">
        <f aca="false">IF(A3965="",0,IF(SUMPRODUCT(--($A$2:$A$5001=A3965))&gt;1,1,0))</f>
        <v>0</v>
      </c>
      <c r="H3965" s="0" t="n">
        <f aca="false">ROW()-1</f>
        <v>3964</v>
      </c>
      <c r="I3965" s="0" t="str">
        <f aca="false">IF(OR(הגדרות!$E$6=0,H3965&gt;הגדרות!$E$5),"",IF(H3965-1&lt;הגדרות!$E$8*(הגדרות!$E$7+1),INT((H3965-1)/(הגדרות!$E$7+1)),הגדרות!$E$8+INT((H3965-1-הגדרות!$E$8*(הגדרות!$E$7+1))/הגדרות!$E$7)))</f>
        <v/>
      </c>
      <c r="J3965" s="0" t="str">
        <f aca="false">IF(I3965="","",IF(H3965-1&lt;הגדרות!$E$8*(הגדרות!$E$7+1),MOD(H3965-1,הגדרות!$E$7+1),MOD(H3965-1-הגדרות!$E$8*(הגדרות!$E$7+1),הגדרות!$E$7)))</f>
        <v/>
      </c>
      <c r="K3965" s="0" t="str">
        <f aca="false">IF(I3965="","",J3965*הגדרות!$E$6+I3965+1)</f>
        <v/>
      </c>
      <c r="L3965" s="0" t="str">
        <f aca="false">IF(K3965="","",MATCH(K3965,$F$2:$F$5001,0))</f>
        <v/>
      </c>
      <c r="M3965" s="0" t="str">
        <f aca="false">IF(I3965="","",INDEX(הגדרות!$A$2:$A$21,MOD(I3965+הגדרות!$E$9,הגדרות!$E$6)+1))</f>
        <v/>
      </c>
    </row>
    <row r="3966" customFormat="false" ht="15" hidden="false" customHeight="false" outlineLevel="0" collapsed="false">
      <c r="A3966" s="0" t="str">
        <f aca="false">IF('הדבקת לידים'!A3966="","",IF(ISNUMBER('הדבקת לידים'!A3966),IF(הגדרות!$E$2&gt;0,TEXT('הדבקת לידים'!A3966,REPT("0",הגדרות!$E$2)),TEXT('הדבקת לידים'!A3966,"0")),TRIM('הדבקת לידים'!A3966)))</f>
        <v/>
      </c>
      <c r="B3966" s="0" t="str">
        <f aca="false">IF('הדבקת לידים'!B3966="","",IF(ISNUMBER('הדבקת לידים'!B3966),IF(הגדרות!$E$3&gt;0,TEXT('הדבקת לידים'!B3966,REPT("0",הגדרות!$E$3)),TEXT('הדבקת לידים'!B3966,"0")),TRIM('הדבקת לידים'!B3966)))</f>
        <v/>
      </c>
      <c r="C3966" s="0" t="n">
        <f aca="false">IF(OR(A3966&lt;&gt;"",B3966&lt;&gt;""),1,0)</f>
        <v>0</v>
      </c>
      <c r="D3966" s="0" t="str">
        <f aca="false">IF(C3966=1,MOD(ABS(SIN(ROW()*12.9898+'הדבקת לידים'!$F$2*78.233+IFERROR(--RIGHT(A3966,6),LEN(A3966))*0.0137+IFERROR(--RIGHT(B3966,6),LEN(B3966))*0.0071))*43758.5453,1),"")</f>
        <v/>
      </c>
      <c r="E3966" s="0" t="str">
        <f aca="false">IF(C3966=1,INT(MOD(ABS(SIN(D3966*7919.123+ROW()*0.618+'הדבקת לידים'!$F$2*1.3))*43758.5453,1)*1000000)*10000+ROW(),"")</f>
        <v/>
      </c>
      <c r="F3966" s="0" t="str">
        <f aca="false">IF(E3966="","",RANK(E3966,$E$2:$E$5001,1))</f>
        <v/>
      </c>
      <c r="G3966" s="0" t="n">
        <f aca="false">IF(A3966="",0,IF(SUMPRODUCT(--($A$2:$A$5001=A3966))&gt;1,1,0))</f>
        <v>0</v>
      </c>
      <c r="H3966" s="0" t="n">
        <f aca="false">ROW()-1</f>
        <v>3965</v>
      </c>
      <c r="I3966" s="0" t="str">
        <f aca="false">IF(OR(הגדרות!$E$6=0,H3966&gt;הגדרות!$E$5),"",IF(H3966-1&lt;הגדרות!$E$8*(הגדרות!$E$7+1),INT((H3966-1)/(הגדרות!$E$7+1)),הגדרות!$E$8+INT((H3966-1-הגדרות!$E$8*(הגדרות!$E$7+1))/הגדרות!$E$7)))</f>
        <v/>
      </c>
      <c r="J3966" s="0" t="str">
        <f aca="false">IF(I3966="","",IF(H3966-1&lt;הגדרות!$E$8*(הגדרות!$E$7+1),MOD(H3966-1,הגדרות!$E$7+1),MOD(H3966-1-הגדרות!$E$8*(הגדרות!$E$7+1),הגדרות!$E$7)))</f>
        <v/>
      </c>
      <c r="K3966" s="0" t="str">
        <f aca="false">IF(I3966="","",J3966*הגדרות!$E$6+I3966+1)</f>
        <v/>
      </c>
      <c r="L3966" s="0" t="str">
        <f aca="false">IF(K3966="","",MATCH(K3966,$F$2:$F$5001,0))</f>
        <v/>
      </c>
      <c r="M3966" s="0" t="str">
        <f aca="false">IF(I3966="","",INDEX(הגדרות!$A$2:$A$21,MOD(I3966+הגדרות!$E$9,הגדרות!$E$6)+1))</f>
        <v/>
      </c>
    </row>
    <row r="3967" customFormat="false" ht="15" hidden="false" customHeight="false" outlineLevel="0" collapsed="false">
      <c r="A3967" s="0" t="str">
        <f aca="false">IF('הדבקת לידים'!A3967="","",IF(ISNUMBER('הדבקת לידים'!A3967),IF(הגדרות!$E$2&gt;0,TEXT('הדבקת לידים'!A3967,REPT("0",הגדרות!$E$2)),TEXT('הדבקת לידים'!A3967,"0")),TRIM('הדבקת לידים'!A3967)))</f>
        <v/>
      </c>
      <c r="B3967" s="0" t="str">
        <f aca="false">IF('הדבקת לידים'!B3967="","",IF(ISNUMBER('הדבקת לידים'!B3967),IF(הגדרות!$E$3&gt;0,TEXT('הדבקת לידים'!B3967,REPT("0",הגדרות!$E$3)),TEXT('הדבקת לידים'!B3967,"0")),TRIM('הדבקת לידים'!B3967)))</f>
        <v/>
      </c>
      <c r="C3967" s="0" t="n">
        <f aca="false">IF(OR(A3967&lt;&gt;"",B3967&lt;&gt;""),1,0)</f>
        <v>0</v>
      </c>
      <c r="D3967" s="0" t="str">
        <f aca="false">IF(C3967=1,MOD(ABS(SIN(ROW()*12.9898+'הדבקת לידים'!$F$2*78.233+IFERROR(--RIGHT(A3967,6),LEN(A3967))*0.0137+IFERROR(--RIGHT(B3967,6),LEN(B3967))*0.0071))*43758.5453,1),"")</f>
        <v/>
      </c>
      <c r="E3967" s="0" t="str">
        <f aca="false">IF(C3967=1,INT(MOD(ABS(SIN(D3967*7919.123+ROW()*0.618+'הדבקת לידים'!$F$2*1.3))*43758.5453,1)*1000000)*10000+ROW(),"")</f>
        <v/>
      </c>
      <c r="F3967" s="0" t="str">
        <f aca="false">IF(E3967="","",RANK(E3967,$E$2:$E$5001,1))</f>
        <v/>
      </c>
      <c r="G3967" s="0" t="n">
        <f aca="false">IF(A3967="",0,IF(SUMPRODUCT(--($A$2:$A$5001=A3967))&gt;1,1,0))</f>
        <v>0</v>
      </c>
      <c r="H3967" s="0" t="n">
        <f aca="false">ROW()-1</f>
        <v>3966</v>
      </c>
      <c r="I3967" s="0" t="str">
        <f aca="false">IF(OR(הגדרות!$E$6=0,H3967&gt;הגדרות!$E$5),"",IF(H3967-1&lt;הגדרות!$E$8*(הגדרות!$E$7+1),INT((H3967-1)/(הגדרות!$E$7+1)),הגדרות!$E$8+INT((H3967-1-הגדרות!$E$8*(הגדרות!$E$7+1))/הגדרות!$E$7)))</f>
        <v/>
      </c>
      <c r="J3967" s="0" t="str">
        <f aca="false">IF(I3967="","",IF(H3967-1&lt;הגדרות!$E$8*(הגדרות!$E$7+1),MOD(H3967-1,הגדרות!$E$7+1),MOD(H3967-1-הגדרות!$E$8*(הגדרות!$E$7+1),הגדרות!$E$7)))</f>
        <v/>
      </c>
      <c r="K3967" s="0" t="str">
        <f aca="false">IF(I3967="","",J3967*הגדרות!$E$6+I3967+1)</f>
        <v/>
      </c>
      <c r="L3967" s="0" t="str">
        <f aca="false">IF(K3967="","",MATCH(K3967,$F$2:$F$5001,0))</f>
        <v/>
      </c>
      <c r="M3967" s="0" t="str">
        <f aca="false">IF(I3967="","",INDEX(הגדרות!$A$2:$A$21,MOD(I3967+הגדרות!$E$9,הגדרות!$E$6)+1))</f>
        <v/>
      </c>
    </row>
    <row r="3968" customFormat="false" ht="15" hidden="false" customHeight="false" outlineLevel="0" collapsed="false">
      <c r="A3968" s="0" t="str">
        <f aca="false">IF('הדבקת לידים'!A3968="","",IF(ISNUMBER('הדבקת לידים'!A3968),IF(הגדרות!$E$2&gt;0,TEXT('הדבקת לידים'!A3968,REPT("0",הגדרות!$E$2)),TEXT('הדבקת לידים'!A3968,"0")),TRIM('הדבקת לידים'!A3968)))</f>
        <v/>
      </c>
      <c r="B3968" s="0" t="str">
        <f aca="false">IF('הדבקת לידים'!B3968="","",IF(ISNUMBER('הדבקת לידים'!B3968),IF(הגדרות!$E$3&gt;0,TEXT('הדבקת לידים'!B3968,REPT("0",הגדרות!$E$3)),TEXT('הדבקת לידים'!B3968,"0")),TRIM('הדבקת לידים'!B3968)))</f>
        <v/>
      </c>
      <c r="C3968" s="0" t="n">
        <f aca="false">IF(OR(A3968&lt;&gt;"",B3968&lt;&gt;""),1,0)</f>
        <v>0</v>
      </c>
      <c r="D3968" s="0" t="str">
        <f aca="false">IF(C3968=1,MOD(ABS(SIN(ROW()*12.9898+'הדבקת לידים'!$F$2*78.233+IFERROR(--RIGHT(A3968,6),LEN(A3968))*0.0137+IFERROR(--RIGHT(B3968,6),LEN(B3968))*0.0071))*43758.5453,1),"")</f>
        <v/>
      </c>
      <c r="E3968" s="0" t="str">
        <f aca="false">IF(C3968=1,INT(MOD(ABS(SIN(D3968*7919.123+ROW()*0.618+'הדבקת לידים'!$F$2*1.3))*43758.5453,1)*1000000)*10000+ROW(),"")</f>
        <v/>
      </c>
      <c r="F3968" s="0" t="str">
        <f aca="false">IF(E3968="","",RANK(E3968,$E$2:$E$5001,1))</f>
        <v/>
      </c>
      <c r="G3968" s="0" t="n">
        <f aca="false">IF(A3968="",0,IF(SUMPRODUCT(--($A$2:$A$5001=A3968))&gt;1,1,0))</f>
        <v>0</v>
      </c>
      <c r="H3968" s="0" t="n">
        <f aca="false">ROW()-1</f>
        <v>3967</v>
      </c>
      <c r="I3968" s="0" t="str">
        <f aca="false">IF(OR(הגדרות!$E$6=0,H3968&gt;הגדרות!$E$5),"",IF(H3968-1&lt;הגדרות!$E$8*(הגדרות!$E$7+1),INT((H3968-1)/(הגדרות!$E$7+1)),הגדרות!$E$8+INT((H3968-1-הגדרות!$E$8*(הגדרות!$E$7+1))/הגדרות!$E$7)))</f>
        <v/>
      </c>
      <c r="J3968" s="0" t="str">
        <f aca="false">IF(I3968="","",IF(H3968-1&lt;הגדרות!$E$8*(הגדרות!$E$7+1),MOD(H3968-1,הגדרות!$E$7+1),MOD(H3968-1-הגדרות!$E$8*(הגדרות!$E$7+1),הגדרות!$E$7)))</f>
        <v/>
      </c>
      <c r="K3968" s="0" t="str">
        <f aca="false">IF(I3968="","",J3968*הגדרות!$E$6+I3968+1)</f>
        <v/>
      </c>
      <c r="L3968" s="0" t="str">
        <f aca="false">IF(K3968="","",MATCH(K3968,$F$2:$F$5001,0))</f>
        <v/>
      </c>
      <c r="M3968" s="0" t="str">
        <f aca="false">IF(I3968="","",INDEX(הגדרות!$A$2:$A$21,MOD(I3968+הגדרות!$E$9,הגדרות!$E$6)+1))</f>
        <v/>
      </c>
    </row>
    <row r="3969" customFormat="false" ht="15" hidden="false" customHeight="false" outlineLevel="0" collapsed="false">
      <c r="A3969" s="0" t="str">
        <f aca="false">IF('הדבקת לידים'!A3969="","",IF(ISNUMBER('הדבקת לידים'!A3969),IF(הגדרות!$E$2&gt;0,TEXT('הדבקת לידים'!A3969,REPT("0",הגדרות!$E$2)),TEXT('הדבקת לידים'!A3969,"0")),TRIM('הדבקת לידים'!A3969)))</f>
        <v/>
      </c>
      <c r="B3969" s="0" t="str">
        <f aca="false">IF('הדבקת לידים'!B3969="","",IF(ISNUMBER('הדבקת לידים'!B3969),IF(הגדרות!$E$3&gt;0,TEXT('הדבקת לידים'!B3969,REPT("0",הגדרות!$E$3)),TEXT('הדבקת לידים'!B3969,"0")),TRIM('הדבקת לידים'!B3969)))</f>
        <v/>
      </c>
      <c r="C3969" s="0" t="n">
        <f aca="false">IF(OR(A3969&lt;&gt;"",B3969&lt;&gt;""),1,0)</f>
        <v>0</v>
      </c>
      <c r="D3969" s="0" t="str">
        <f aca="false">IF(C3969=1,MOD(ABS(SIN(ROW()*12.9898+'הדבקת לידים'!$F$2*78.233+IFERROR(--RIGHT(A3969,6),LEN(A3969))*0.0137+IFERROR(--RIGHT(B3969,6),LEN(B3969))*0.0071))*43758.5453,1),"")</f>
        <v/>
      </c>
      <c r="E3969" s="0" t="str">
        <f aca="false">IF(C3969=1,INT(MOD(ABS(SIN(D3969*7919.123+ROW()*0.618+'הדבקת לידים'!$F$2*1.3))*43758.5453,1)*1000000)*10000+ROW(),"")</f>
        <v/>
      </c>
      <c r="F3969" s="0" t="str">
        <f aca="false">IF(E3969="","",RANK(E3969,$E$2:$E$5001,1))</f>
        <v/>
      </c>
      <c r="G3969" s="0" t="n">
        <f aca="false">IF(A3969="",0,IF(SUMPRODUCT(--($A$2:$A$5001=A3969))&gt;1,1,0))</f>
        <v>0</v>
      </c>
      <c r="H3969" s="0" t="n">
        <f aca="false">ROW()-1</f>
        <v>3968</v>
      </c>
      <c r="I3969" s="0" t="str">
        <f aca="false">IF(OR(הגדרות!$E$6=0,H3969&gt;הגדרות!$E$5),"",IF(H3969-1&lt;הגדרות!$E$8*(הגדרות!$E$7+1),INT((H3969-1)/(הגדרות!$E$7+1)),הגדרות!$E$8+INT((H3969-1-הגדרות!$E$8*(הגדרות!$E$7+1))/הגדרות!$E$7)))</f>
        <v/>
      </c>
      <c r="J3969" s="0" t="str">
        <f aca="false">IF(I3969="","",IF(H3969-1&lt;הגדרות!$E$8*(הגדרות!$E$7+1),MOD(H3969-1,הגדרות!$E$7+1),MOD(H3969-1-הגדרות!$E$8*(הגדרות!$E$7+1),הגדרות!$E$7)))</f>
        <v/>
      </c>
      <c r="K3969" s="0" t="str">
        <f aca="false">IF(I3969="","",J3969*הגדרות!$E$6+I3969+1)</f>
        <v/>
      </c>
      <c r="L3969" s="0" t="str">
        <f aca="false">IF(K3969="","",MATCH(K3969,$F$2:$F$5001,0))</f>
        <v/>
      </c>
      <c r="M3969" s="0" t="str">
        <f aca="false">IF(I3969="","",INDEX(הגדרות!$A$2:$A$21,MOD(I3969+הגדרות!$E$9,הגדרות!$E$6)+1))</f>
        <v/>
      </c>
    </row>
    <row r="3970" customFormat="false" ht="15" hidden="false" customHeight="false" outlineLevel="0" collapsed="false">
      <c r="A3970" s="0" t="str">
        <f aca="false">IF('הדבקת לידים'!A3970="","",IF(ISNUMBER('הדבקת לידים'!A3970),IF(הגדרות!$E$2&gt;0,TEXT('הדבקת לידים'!A3970,REPT("0",הגדרות!$E$2)),TEXT('הדבקת לידים'!A3970,"0")),TRIM('הדבקת לידים'!A3970)))</f>
        <v/>
      </c>
      <c r="B3970" s="0" t="str">
        <f aca="false">IF('הדבקת לידים'!B3970="","",IF(ISNUMBER('הדבקת לידים'!B3970),IF(הגדרות!$E$3&gt;0,TEXT('הדבקת לידים'!B3970,REPT("0",הגדרות!$E$3)),TEXT('הדבקת לידים'!B3970,"0")),TRIM('הדבקת לידים'!B3970)))</f>
        <v/>
      </c>
      <c r="C3970" s="0" t="n">
        <f aca="false">IF(OR(A3970&lt;&gt;"",B3970&lt;&gt;""),1,0)</f>
        <v>0</v>
      </c>
      <c r="D3970" s="0" t="str">
        <f aca="false">IF(C3970=1,MOD(ABS(SIN(ROW()*12.9898+'הדבקת לידים'!$F$2*78.233+IFERROR(--RIGHT(A3970,6),LEN(A3970))*0.0137+IFERROR(--RIGHT(B3970,6),LEN(B3970))*0.0071))*43758.5453,1),"")</f>
        <v/>
      </c>
      <c r="E3970" s="0" t="str">
        <f aca="false">IF(C3970=1,INT(MOD(ABS(SIN(D3970*7919.123+ROW()*0.618+'הדבקת לידים'!$F$2*1.3))*43758.5453,1)*1000000)*10000+ROW(),"")</f>
        <v/>
      </c>
      <c r="F3970" s="0" t="str">
        <f aca="false">IF(E3970="","",RANK(E3970,$E$2:$E$5001,1))</f>
        <v/>
      </c>
      <c r="G3970" s="0" t="n">
        <f aca="false">IF(A3970="",0,IF(SUMPRODUCT(--($A$2:$A$5001=A3970))&gt;1,1,0))</f>
        <v>0</v>
      </c>
      <c r="H3970" s="0" t="n">
        <f aca="false">ROW()-1</f>
        <v>3969</v>
      </c>
      <c r="I3970" s="0" t="str">
        <f aca="false">IF(OR(הגדרות!$E$6=0,H3970&gt;הגדרות!$E$5),"",IF(H3970-1&lt;הגדרות!$E$8*(הגדרות!$E$7+1),INT((H3970-1)/(הגדרות!$E$7+1)),הגדרות!$E$8+INT((H3970-1-הגדרות!$E$8*(הגדרות!$E$7+1))/הגדרות!$E$7)))</f>
        <v/>
      </c>
      <c r="J3970" s="0" t="str">
        <f aca="false">IF(I3970="","",IF(H3970-1&lt;הגדרות!$E$8*(הגדרות!$E$7+1),MOD(H3970-1,הגדרות!$E$7+1),MOD(H3970-1-הגדרות!$E$8*(הגדרות!$E$7+1),הגדרות!$E$7)))</f>
        <v/>
      </c>
      <c r="K3970" s="0" t="str">
        <f aca="false">IF(I3970="","",J3970*הגדרות!$E$6+I3970+1)</f>
        <v/>
      </c>
      <c r="L3970" s="0" t="str">
        <f aca="false">IF(K3970="","",MATCH(K3970,$F$2:$F$5001,0))</f>
        <v/>
      </c>
      <c r="M3970" s="0" t="str">
        <f aca="false">IF(I3970="","",INDEX(הגדרות!$A$2:$A$21,MOD(I3970+הגדרות!$E$9,הגדרות!$E$6)+1))</f>
        <v/>
      </c>
    </row>
    <row r="3971" customFormat="false" ht="15" hidden="false" customHeight="false" outlineLevel="0" collapsed="false">
      <c r="A3971" s="0" t="str">
        <f aca="false">IF('הדבקת לידים'!A3971="","",IF(ISNUMBER('הדבקת לידים'!A3971),IF(הגדרות!$E$2&gt;0,TEXT('הדבקת לידים'!A3971,REPT("0",הגדרות!$E$2)),TEXT('הדבקת לידים'!A3971,"0")),TRIM('הדבקת לידים'!A3971)))</f>
        <v/>
      </c>
      <c r="B3971" s="0" t="str">
        <f aca="false">IF('הדבקת לידים'!B3971="","",IF(ISNUMBER('הדבקת לידים'!B3971),IF(הגדרות!$E$3&gt;0,TEXT('הדבקת לידים'!B3971,REPT("0",הגדרות!$E$3)),TEXT('הדבקת לידים'!B3971,"0")),TRIM('הדבקת לידים'!B3971)))</f>
        <v/>
      </c>
      <c r="C3971" s="0" t="n">
        <f aca="false">IF(OR(A3971&lt;&gt;"",B3971&lt;&gt;""),1,0)</f>
        <v>0</v>
      </c>
      <c r="D3971" s="0" t="str">
        <f aca="false">IF(C3971=1,MOD(ABS(SIN(ROW()*12.9898+'הדבקת לידים'!$F$2*78.233+IFERROR(--RIGHT(A3971,6),LEN(A3971))*0.0137+IFERROR(--RIGHT(B3971,6),LEN(B3971))*0.0071))*43758.5453,1),"")</f>
        <v/>
      </c>
      <c r="E3971" s="0" t="str">
        <f aca="false">IF(C3971=1,INT(MOD(ABS(SIN(D3971*7919.123+ROW()*0.618+'הדבקת לידים'!$F$2*1.3))*43758.5453,1)*1000000)*10000+ROW(),"")</f>
        <v/>
      </c>
      <c r="F3971" s="0" t="str">
        <f aca="false">IF(E3971="","",RANK(E3971,$E$2:$E$5001,1))</f>
        <v/>
      </c>
      <c r="G3971" s="0" t="n">
        <f aca="false">IF(A3971="",0,IF(SUMPRODUCT(--($A$2:$A$5001=A3971))&gt;1,1,0))</f>
        <v>0</v>
      </c>
      <c r="H3971" s="0" t="n">
        <f aca="false">ROW()-1</f>
        <v>3970</v>
      </c>
      <c r="I3971" s="0" t="str">
        <f aca="false">IF(OR(הגדרות!$E$6=0,H3971&gt;הגדרות!$E$5),"",IF(H3971-1&lt;הגדרות!$E$8*(הגדרות!$E$7+1),INT((H3971-1)/(הגדרות!$E$7+1)),הגדרות!$E$8+INT((H3971-1-הגדרות!$E$8*(הגדרות!$E$7+1))/הגדרות!$E$7)))</f>
        <v/>
      </c>
      <c r="J3971" s="0" t="str">
        <f aca="false">IF(I3971="","",IF(H3971-1&lt;הגדרות!$E$8*(הגדרות!$E$7+1),MOD(H3971-1,הגדרות!$E$7+1),MOD(H3971-1-הגדרות!$E$8*(הגדרות!$E$7+1),הגדרות!$E$7)))</f>
        <v/>
      </c>
      <c r="K3971" s="0" t="str">
        <f aca="false">IF(I3971="","",J3971*הגדרות!$E$6+I3971+1)</f>
        <v/>
      </c>
      <c r="L3971" s="0" t="str">
        <f aca="false">IF(K3971="","",MATCH(K3971,$F$2:$F$5001,0))</f>
        <v/>
      </c>
      <c r="M3971" s="0" t="str">
        <f aca="false">IF(I3971="","",INDEX(הגדרות!$A$2:$A$21,MOD(I3971+הגדרות!$E$9,הגדרות!$E$6)+1))</f>
        <v/>
      </c>
    </row>
    <row r="3972" customFormat="false" ht="15" hidden="false" customHeight="false" outlineLevel="0" collapsed="false">
      <c r="A3972" s="0" t="str">
        <f aca="false">IF('הדבקת לידים'!A3972="","",IF(ISNUMBER('הדבקת לידים'!A3972),IF(הגדרות!$E$2&gt;0,TEXT('הדבקת לידים'!A3972,REPT("0",הגדרות!$E$2)),TEXT('הדבקת לידים'!A3972,"0")),TRIM('הדבקת לידים'!A3972)))</f>
        <v/>
      </c>
      <c r="B3972" s="0" t="str">
        <f aca="false">IF('הדבקת לידים'!B3972="","",IF(ISNUMBER('הדבקת לידים'!B3972),IF(הגדרות!$E$3&gt;0,TEXT('הדבקת לידים'!B3972,REPT("0",הגדרות!$E$3)),TEXT('הדבקת לידים'!B3972,"0")),TRIM('הדבקת לידים'!B3972)))</f>
        <v/>
      </c>
      <c r="C3972" s="0" t="n">
        <f aca="false">IF(OR(A3972&lt;&gt;"",B3972&lt;&gt;""),1,0)</f>
        <v>0</v>
      </c>
      <c r="D3972" s="0" t="str">
        <f aca="false">IF(C3972=1,MOD(ABS(SIN(ROW()*12.9898+'הדבקת לידים'!$F$2*78.233+IFERROR(--RIGHT(A3972,6),LEN(A3972))*0.0137+IFERROR(--RIGHT(B3972,6),LEN(B3972))*0.0071))*43758.5453,1),"")</f>
        <v/>
      </c>
      <c r="E3972" s="0" t="str">
        <f aca="false">IF(C3972=1,INT(MOD(ABS(SIN(D3972*7919.123+ROW()*0.618+'הדבקת לידים'!$F$2*1.3))*43758.5453,1)*1000000)*10000+ROW(),"")</f>
        <v/>
      </c>
      <c r="F3972" s="0" t="str">
        <f aca="false">IF(E3972="","",RANK(E3972,$E$2:$E$5001,1))</f>
        <v/>
      </c>
      <c r="G3972" s="0" t="n">
        <f aca="false">IF(A3972="",0,IF(SUMPRODUCT(--($A$2:$A$5001=A3972))&gt;1,1,0))</f>
        <v>0</v>
      </c>
      <c r="H3972" s="0" t="n">
        <f aca="false">ROW()-1</f>
        <v>3971</v>
      </c>
      <c r="I3972" s="0" t="str">
        <f aca="false">IF(OR(הגדרות!$E$6=0,H3972&gt;הגדרות!$E$5),"",IF(H3972-1&lt;הגדרות!$E$8*(הגדרות!$E$7+1),INT((H3972-1)/(הגדרות!$E$7+1)),הגדרות!$E$8+INT((H3972-1-הגדרות!$E$8*(הגדרות!$E$7+1))/הגדרות!$E$7)))</f>
        <v/>
      </c>
      <c r="J3972" s="0" t="str">
        <f aca="false">IF(I3972="","",IF(H3972-1&lt;הגדרות!$E$8*(הגדרות!$E$7+1),MOD(H3972-1,הגדרות!$E$7+1),MOD(H3972-1-הגדרות!$E$8*(הגדרות!$E$7+1),הגדרות!$E$7)))</f>
        <v/>
      </c>
      <c r="K3972" s="0" t="str">
        <f aca="false">IF(I3972="","",J3972*הגדרות!$E$6+I3972+1)</f>
        <v/>
      </c>
      <c r="L3972" s="0" t="str">
        <f aca="false">IF(K3972="","",MATCH(K3972,$F$2:$F$5001,0))</f>
        <v/>
      </c>
      <c r="M3972" s="0" t="str">
        <f aca="false">IF(I3972="","",INDEX(הגדרות!$A$2:$A$21,MOD(I3972+הגדרות!$E$9,הגדרות!$E$6)+1))</f>
        <v/>
      </c>
    </row>
    <row r="3973" customFormat="false" ht="15" hidden="false" customHeight="false" outlineLevel="0" collapsed="false">
      <c r="A3973" s="0" t="str">
        <f aca="false">IF('הדבקת לידים'!A3973="","",IF(ISNUMBER('הדבקת לידים'!A3973),IF(הגדרות!$E$2&gt;0,TEXT('הדבקת לידים'!A3973,REPT("0",הגדרות!$E$2)),TEXT('הדבקת לידים'!A3973,"0")),TRIM('הדבקת לידים'!A3973)))</f>
        <v/>
      </c>
      <c r="B3973" s="0" t="str">
        <f aca="false">IF('הדבקת לידים'!B3973="","",IF(ISNUMBER('הדבקת לידים'!B3973),IF(הגדרות!$E$3&gt;0,TEXT('הדבקת לידים'!B3973,REPT("0",הגדרות!$E$3)),TEXT('הדבקת לידים'!B3973,"0")),TRIM('הדבקת לידים'!B3973)))</f>
        <v/>
      </c>
      <c r="C3973" s="0" t="n">
        <f aca="false">IF(OR(A3973&lt;&gt;"",B3973&lt;&gt;""),1,0)</f>
        <v>0</v>
      </c>
      <c r="D3973" s="0" t="str">
        <f aca="false">IF(C3973=1,MOD(ABS(SIN(ROW()*12.9898+'הדבקת לידים'!$F$2*78.233+IFERROR(--RIGHT(A3973,6),LEN(A3973))*0.0137+IFERROR(--RIGHT(B3973,6),LEN(B3973))*0.0071))*43758.5453,1),"")</f>
        <v/>
      </c>
      <c r="E3973" s="0" t="str">
        <f aca="false">IF(C3973=1,INT(MOD(ABS(SIN(D3973*7919.123+ROW()*0.618+'הדבקת לידים'!$F$2*1.3))*43758.5453,1)*1000000)*10000+ROW(),"")</f>
        <v/>
      </c>
      <c r="F3973" s="0" t="str">
        <f aca="false">IF(E3973="","",RANK(E3973,$E$2:$E$5001,1))</f>
        <v/>
      </c>
      <c r="G3973" s="0" t="n">
        <f aca="false">IF(A3973="",0,IF(SUMPRODUCT(--($A$2:$A$5001=A3973))&gt;1,1,0))</f>
        <v>0</v>
      </c>
      <c r="H3973" s="0" t="n">
        <f aca="false">ROW()-1</f>
        <v>3972</v>
      </c>
      <c r="I3973" s="0" t="str">
        <f aca="false">IF(OR(הגדרות!$E$6=0,H3973&gt;הגדרות!$E$5),"",IF(H3973-1&lt;הגדרות!$E$8*(הגדרות!$E$7+1),INT((H3973-1)/(הגדרות!$E$7+1)),הגדרות!$E$8+INT((H3973-1-הגדרות!$E$8*(הגדרות!$E$7+1))/הגדרות!$E$7)))</f>
        <v/>
      </c>
      <c r="J3973" s="0" t="str">
        <f aca="false">IF(I3973="","",IF(H3973-1&lt;הגדרות!$E$8*(הגדרות!$E$7+1),MOD(H3973-1,הגדרות!$E$7+1),MOD(H3973-1-הגדרות!$E$8*(הגדרות!$E$7+1),הגדרות!$E$7)))</f>
        <v/>
      </c>
      <c r="K3973" s="0" t="str">
        <f aca="false">IF(I3973="","",J3973*הגדרות!$E$6+I3973+1)</f>
        <v/>
      </c>
      <c r="L3973" s="0" t="str">
        <f aca="false">IF(K3973="","",MATCH(K3973,$F$2:$F$5001,0))</f>
        <v/>
      </c>
      <c r="M3973" s="0" t="str">
        <f aca="false">IF(I3973="","",INDEX(הגדרות!$A$2:$A$21,MOD(I3973+הגדרות!$E$9,הגדרות!$E$6)+1))</f>
        <v/>
      </c>
    </row>
    <row r="3974" customFormat="false" ht="15" hidden="false" customHeight="false" outlineLevel="0" collapsed="false">
      <c r="A3974" s="0" t="str">
        <f aca="false">IF('הדבקת לידים'!A3974="","",IF(ISNUMBER('הדבקת לידים'!A3974),IF(הגדרות!$E$2&gt;0,TEXT('הדבקת לידים'!A3974,REPT("0",הגדרות!$E$2)),TEXT('הדבקת לידים'!A3974,"0")),TRIM('הדבקת לידים'!A3974)))</f>
        <v/>
      </c>
      <c r="B3974" s="0" t="str">
        <f aca="false">IF('הדבקת לידים'!B3974="","",IF(ISNUMBER('הדבקת לידים'!B3974),IF(הגדרות!$E$3&gt;0,TEXT('הדבקת לידים'!B3974,REPT("0",הגדרות!$E$3)),TEXT('הדבקת לידים'!B3974,"0")),TRIM('הדבקת לידים'!B3974)))</f>
        <v/>
      </c>
      <c r="C3974" s="0" t="n">
        <f aca="false">IF(OR(A3974&lt;&gt;"",B3974&lt;&gt;""),1,0)</f>
        <v>0</v>
      </c>
      <c r="D3974" s="0" t="str">
        <f aca="false">IF(C3974=1,MOD(ABS(SIN(ROW()*12.9898+'הדבקת לידים'!$F$2*78.233+IFERROR(--RIGHT(A3974,6),LEN(A3974))*0.0137+IFERROR(--RIGHT(B3974,6),LEN(B3974))*0.0071))*43758.5453,1),"")</f>
        <v/>
      </c>
      <c r="E3974" s="0" t="str">
        <f aca="false">IF(C3974=1,INT(MOD(ABS(SIN(D3974*7919.123+ROW()*0.618+'הדבקת לידים'!$F$2*1.3))*43758.5453,1)*1000000)*10000+ROW(),"")</f>
        <v/>
      </c>
      <c r="F3974" s="0" t="str">
        <f aca="false">IF(E3974="","",RANK(E3974,$E$2:$E$5001,1))</f>
        <v/>
      </c>
      <c r="G3974" s="0" t="n">
        <f aca="false">IF(A3974="",0,IF(SUMPRODUCT(--($A$2:$A$5001=A3974))&gt;1,1,0))</f>
        <v>0</v>
      </c>
      <c r="H3974" s="0" t="n">
        <f aca="false">ROW()-1</f>
        <v>3973</v>
      </c>
      <c r="I3974" s="0" t="str">
        <f aca="false">IF(OR(הגדרות!$E$6=0,H3974&gt;הגדרות!$E$5),"",IF(H3974-1&lt;הגדרות!$E$8*(הגדרות!$E$7+1),INT((H3974-1)/(הגדרות!$E$7+1)),הגדרות!$E$8+INT((H3974-1-הגדרות!$E$8*(הגדרות!$E$7+1))/הגדרות!$E$7)))</f>
        <v/>
      </c>
      <c r="J3974" s="0" t="str">
        <f aca="false">IF(I3974="","",IF(H3974-1&lt;הגדרות!$E$8*(הגדרות!$E$7+1),MOD(H3974-1,הגדרות!$E$7+1),MOD(H3974-1-הגדרות!$E$8*(הגדרות!$E$7+1),הגדרות!$E$7)))</f>
        <v/>
      </c>
      <c r="K3974" s="0" t="str">
        <f aca="false">IF(I3974="","",J3974*הגדרות!$E$6+I3974+1)</f>
        <v/>
      </c>
      <c r="L3974" s="0" t="str">
        <f aca="false">IF(K3974="","",MATCH(K3974,$F$2:$F$5001,0))</f>
        <v/>
      </c>
      <c r="M3974" s="0" t="str">
        <f aca="false">IF(I3974="","",INDEX(הגדרות!$A$2:$A$21,MOD(I3974+הגדרות!$E$9,הגדרות!$E$6)+1))</f>
        <v/>
      </c>
    </row>
    <row r="3975" customFormat="false" ht="15" hidden="false" customHeight="false" outlineLevel="0" collapsed="false">
      <c r="A3975" s="0" t="str">
        <f aca="false">IF('הדבקת לידים'!A3975="","",IF(ISNUMBER('הדבקת לידים'!A3975),IF(הגדרות!$E$2&gt;0,TEXT('הדבקת לידים'!A3975,REPT("0",הגדרות!$E$2)),TEXT('הדבקת לידים'!A3975,"0")),TRIM('הדבקת לידים'!A3975)))</f>
        <v/>
      </c>
      <c r="B3975" s="0" t="str">
        <f aca="false">IF('הדבקת לידים'!B3975="","",IF(ISNUMBER('הדבקת לידים'!B3975),IF(הגדרות!$E$3&gt;0,TEXT('הדבקת לידים'!B3975,REPT("0",הגדרות!$E$3)),TEXT('הדבקת לידים'!B3975,"0")),TRIM('הדבקת לידים'!B3975)))</f>
        <v/>
      </c>
      <c r="C3975" s="0" t="n">
        <f aca="false">IF(OR(A3975&lt;&gt;"",B3975&lt;&gt;""),1,0)</f>
        <v>0</v>
      </c>
      <c r="D3975" s="0" t="str">
        <f aca="false">IF(C3975=1,MOD(ABS(SIN(ROW()*12.9898+'הדבקת לידים'!$F$2*78.233+IFERROR(--RIGHT(A3975,6),LEN(A3975))*0.0137+IFERROR(--RIGHT(B3975,6),LEN(B3975))*0.0071))*43758.5453,1),"")</f>
        <v/>
      </c>
      <c r="E3975" s="0" t="str">
        <f aca="false">IF(C3975=1,INT(MOD(ABS(SIN(D3975*7919.123+ROW()*0.618+'הדבקת לידים'!$F$2*1.3))*43758.5453,1)*1000000)*10000+ROW(),"")</f>
        <v/>
      </c>
      <c r="F3975" s="0" t="str">
        <f aca="false">IF(E3975="","",RANK(E3975,$E$2:$E$5001,1))</f>
        <v/>
      </c>
      <c r="G3975" s="0" t="n">
        <f aca="false">IF(A3975="",0,IF(SUMPRODUCT(--($A$2:$A$5001=A3975))&gt;1,1,0))</f>
        <v>0</v>
      </c>
      <c r="H3975" s="0" t="n">
        <f aca="false">ROW()-1</f>
        <v>3974</v>
      </c>
      <c r="I3975" s="0" t="str">
        <f aca="false">IF(OR(הגדרות!$E$6=0,H3975&gt;הגדרות!$E$5),"",IF(H3975-1&lt;הגדרות!$E$8*(הגדרות!$E$7+1),INT((H3975-1)/(הגדרות!$E$7+1)),הגדרות!$E$8+INT((H3975-1-הגדרות!$E$8*(הגדרות!$E$7+1))/הגדרות!$E$7)))</f>
        <v/>
      </c>
      <c r="J3975" s="0" t="str">
        <f aca="false">IF(I3975="","",IF(H3975-1&lt;הגדרות!$E$8*(הגדרות!$E$7+1),MOD(H3975-1,הגדרות!$E$7+1),MOD(H3975-1-הגדרות!$E$8*(הגדרות!$E$7+1),הגדרות!$E$7)))</f>
        <v/>
      </c>
      <c r="K3975" s="0" t="str">
        <f aca="false">IF(I3975="","",J3975*הגדרות!$E$6+I3975+1)</f>
        <v/>
      </c>
      <c r="L3975" s="0" t="str">
        <f aca="false">IF(K3975="","",MATCH(K3975,$F$2:$F$5001,0))</f>
        <v/>
      </c>
      <c r="M3975" s="0" t="str">
        <f aca="false">IF(I3975="","",INDEX(הגדרות!$A$2:$A$21,MOD(I3975+הגדרות!$E$9,הגדרות!$E$6)+1))</f>
        <v/>
      </c>
    </row>
    <row r="3976" customFormat="false" ht="15" hidden="false" customHeight="false" outlineLevel="0" collapsed="false">
      <c r="A3976" s="0" t="str">
        <f aca="false">IF('הדבקת לידים'!A3976="","",IF(ISNUMBER('הדבקת לידים'!A3976),IF(הגדרות!$E$2&gt;0,TEXT('הדבקת לידים'!A3976,REPT("0",הגדרות!$E$2)),TEXT('הדבקת לידים'!A3976,"0")),TRIM('הדבקת לידים'!A3976)))</f>
        <v/>
      </c>
      <c r="B3976" s="0" t="str">
        <f aca="false">IF('הדבקת לידים'!B3976="","",IF(ISNUMBER('הדבקת לידים'!B3976),IF(הגדרות!$E$3&gt;0,TEXT('הדבקת לידים'!B3976,REPT("0",הגדרות!$E$3)),TEXT('הדבקת לידים'!B3976,"0")),TRIM('הדבקת לידים'!B3976)))</f>
        <v/>
      </c>
      <c r="C3976" s="0" t="n">
        <f aca="false">IF(OR(A3976&lt;&gt;"",B3976&lt;&gt;""),1,0)</f>
        <v>0</v>
      </c>
      <c r="D3976" s="0" t="str">
        <f aca="false">IF(C3976=1,MOD(ABS(SIN(ROW()*12.9898+'הדבקת לידים'!$F$2*78.233+IFERROR(--RIGHT(A3976,6),LEN(A3976))*0.0137+IFERROR(--RIGHT(B3976,6),LEN(B3976))*0.0071))*43758.5453,1),"")</f>
        <v/>
      </c>
      <c r="E3976" s="0" t="str">
        <f aca="false">IF(C3976=1,INT(MOD(ABS(SIN(D3976*7919.123+ROW()*0.618+'הדבקת לידים'!$F$2*1.3))*43758.5453,1)*1000000)*10000+ROW(),"")</f>
        <v/>
      </c>
      <c r="F3976" s="0" t="str">
        <f aca="false">IF(E3976="","",RANK(E3976,$E$2:$E$5001,1))</f>
        <v/>
      </c>
      <c r="G3976" s="0" t="n">
        <f aca="false">IF(A3976="",0,IF(SUMPRODUCT(--($A$2:$A$5001=A3976))&gt;1,1,0))</f>
        <v>0</v>
      </c>
      <c r="H3976" s="0" t="n">
        <f aca="false">ROW()-1</f>
        <v>3975</v>
      </c>
      <c r="I3976" s="0" t="str">
        <f aca="false">IF(OR(הגדרות!$E$6=0,H3976&gt;הגדרות!$E$5),"",IF(H3976-1&lt;הגדרות!$E$8*(הגדרות!$E$7+1),INT((H3976-1)/(הגדרות!$E$7+1)),הגדרות!$E$8+INT((H3976-1-הגדרות!$E$8*(הגדרות!$E$7+1))/הגדרות!$E$7)))</f>
        <v/>
      </c>
      <c r="J3976" s="0" t="str">
        <f aca="false">IF(I3976="","",IF(H3976-1&lt;הגדרות!$E$8*(הגדרות!$E$7+1),MOD(H3976-1,הגדרות!$E$7+1),MOD(H3976-1-הגדרות!$E$8*(הגדרות!$E$7+1),הגדרות!$E$7)))</f>
        <v/>
      </c>
      <c r="K3976" s="0" t="str">
        <f aca="false">IF(I3976="","",J3976*הגדרות!$E$6+I3976+1)</f>
        <v/>
      </c>
      <c r="L3976" s="0" t="str">
        <f aca="false">IF(K3976="","",MATCH(K3976,$F$2:$F$5001,0))</f>
        <v/>
      </c>
      <c r="M3976" s="0" t="str">
        <f aca="false">IF(I3976="","",INDEX(הגדרות!$A$2:$A$21,MOD(I3976+הגדרות!$E$9,הגדרות!$E$6)+1))</f>
        <v/>
      </c>
    </row>
    <row r="3977" customFormat="false" ht="15" hidden="false" customHeight="false" outlineLevel="0" collapsed="false">
      <c r="A3977" s="0" t="str">
        <f aca="false">IF('הדבקת לידים'!A3977="","",IF(ISNUMBER('הדבקת לידים'!A3977),IF(הגדרות!$E$2&gt;0,TEXT('הדבקת לידים'!A3977,REPT("0",הגדרות!$E$2)),TEXT('הדבקת לידים'!A3977,"0")),TRIM('הדבקת לידים'!A3977)))</f>
        <v/>
      </c>
      <c r="B3977" s="0" t="str">
        <f aca="false">IF('הדבקת לידים'!B3977="","",IF(ISNUMBER('הדבקת לידים'!B3977),IF(הגדרות!$E$3&gt;0,TEXT('הדבקת לידים'!B3977,REPT("0",הגדרות!$E$3)),TEXT('הדבקת לידים'!B3977,"0")),TRIM('הדבקת לידים'!B3977)))</f>
        <v/>
      </c>
      <c r="C3977" s="0" t="n">
        <f aca="false">IF(OR(A3977&lt;&gt;"",B3977&lt;&gt;""),1,0)</f>
        <v>0</v>
      </c>
      <c r="D3977" s="0" t="str">
        <f aca="false">IF(C3977=1,MOD(ABS(SIN(ROW()*12.9898+'הדבקת לידים'!$F$2*78.233+IFERROR(--RIGHT(A3977,6),LEN(A3977))*0.0137+IFERROR(--RIGHT(B3977,6),LEN(B3977))*0.0071))*43758.5453,1),"")</f>
        <v/>
      </c>
      <c r="E3977" s="0" t="str">
        <f aca="false">IF(C3977=1,INT(MOD(ABS(SIN(D3977*7919.123+ROW()*0.618+'הדבקת לידים'!$F$2*1.3))*43758.5453,1)*1000000)*10000+ROW(),"")</f>
        <v/>
      </c>
      <c r="F3977" s="0" t="str">
        <f aca="false">IF(E3977="","",RANK(E3977,$E$2:$E$5001,1))</f>
        <v/>
      </c>
      <c r="G3977" s="0" t="n">
        <f aca="false">IF(A3977="",0,IF(SUMPRODUCT(--($A$2:$A$5001=A3977))&gt;1,1,0))</f>
        <v>0</v>
      </c>
      <c r="H3977" s="0" t="n">
        <f aca="false">ROW()-1</f>
        <v>3976</v>
      </c>
      <c r="I3977" s="0" t="str">
        <f aca="false">IF(OR(הגדרות!$E$6=0,H3977&gt;הגדרות!$E$5),"",IF(H3977-1&lt;הגדרות!$E$8*(הגדרות!$E$7+1),INT((H3977-1)/(הגדרות!$E$7+1)),הגדרות!$E$8+INT((H3977-1-הגדרות!$E$8*(הגדרות!$E$7+1))/הגדרות!$E$7)))</f>
        <v/>
      </c>
      <c r="J3977" s="0" t="str">
        <f aca="false">IF(I3977="","",IF(H3977-1&lt;הגדרות!$E$8*(הגדרות!$E$7+1),MOD(H3977-1,הגדרות!$E$7+1),MOD(H3977-1-הגדרות!$E$8*(הגדרות!$E$7+1),הגדרות!$E$7)))</f>
        <v/>
      </c>
      <c r="K3977" s="0" t="str">
        <f aca="false">IF(I3977="","",J3977*הגדרות!$E$6+I3977+1)</f>
        <v/>
      </c>
      <c r="L3977" s="0" t="str">
        <f aca="false">IF(K3977="","",MATCH(K3977,$F$2:$F$5001,0))</f>
        <v/>
      </c>
      <c r="M3977" s="0" t="str">
        <f aca="false">IF(I3977="","",INDEX(הגדרות!$A$2:$A$21,MOD(I3977+הגדרות!$E$9,הגדרות!$E$6)+1))</f>
        <v/>
      </c>
    </row>
    <row r="3978" customFormat="false" ht="15" hidden="false" customHeight="false" outlineLevel="0" collapsed="false">
      <c r="A3978" s="0" t="str">
        <f aca="false">IF('הדבקת לידים'!A3978="","",IF(ISNUMBER('הדבקת לידים'!A3978),IF(הגדרות!$E$2&gt;0,TEXT('הדבקת לידים'!A3978,REPT("0",הגדרות!$E$2)),TEXT('הדבקת לידים'!A3978,"0")),TRIM('הדבקת לידים'!A3978)))</f>
        <v/>
      </c>
      <c r="B3978" s="0" t="str">
        <f aca="false">IF('הדבקת לידים'!B3978="","",IF(ISNUMBER('הדבקת לידים'!B3978),IF(הגדרות!$E$3&gt;0,TEXT('הדבקת לידים'!B3978,REPT("0",הגדרות!$E$3)),TEXT('הדבקת לידים'!B3978,"0")),TRIM('הדבקת לידים'!B3978)))</f>
        <v/>
      </c>
      <c r="C3978" s="0" t="n">
        <f aca="false">IF(OR(A3978&lt;&gt;"",B3978&lt;&gt;""),1,0)</f>
        <v>0</v>
      </c>
      <c r="D3978" s="0" t="str">
        <f aca="false">IF(C3978=1,MOD(ABS(SIN(ROW()*12.9898+'הדבקת לידים'!$F$2*78.233+IFERROR(--RIGHT(A3978,6),LEN(A3978))*0.0137+IFERROR(--RIGHT(B3978,6),LEN(B3978))*0.0071))*43758.5453,1),"")</f>
        <v/>
      </c>
      <c r="E3978" s="0" t="str">
        <f aca="false">IF(C3978=1,INT(MOD(ABS(SIN(D3978*7919.123+ROW()*0.618+'הדבקת לידים'!$F$2*1.3))*43758.5453,1)*1000000)*10000+ROW(),"")</f>
        <v/>
      </c>
      <c r="F3978" s="0" t="str">
        <f aca="false">IF(E3978="","",RANK(E3978,$E$2:$E$5001,1))</f>
        <v/>
      </c>
      <c r="G3978" s="0" t="n">
        <f aca="false">IF(A3978="",0,IF(SUMPRODUCT(--($A$2:$A$5001=A3978))&gt;1,1,0))</f>
        <v>0</v>
      </c>
      <c r="H3978" s="0" t="n">
        <f aca="false">ROW()-1</f>
        <v>3977</v>
      </c>
      <c r="I3978" s="0" t="str">
        <f aca="false">IF(OR(הגדרות!$E$6=0,H3978&gt;הגדרות!$E$5),"",IF(H3978-1&lt;הגדרות!$E$8*(הגדרות!$E$7+1),INT((H3978-1)/(הגדרות!$E$7+1)),הגדרות!$E$8+INT((H3978-1-הגדרות!$E$8*(הגדרות!$E$7+1))/הגדרות!$E$7)))</f>
        <v/>
      </c>
      <c r="J3978" s="0" t="str">
        <f aca="false">IF(I3978="","",IF(H3978-1&lt;הגדרות!$E$8*(הגדרות!$E$7+1),MOD(H3978-1,הגדרות!$E$7+1),MOD(H3978-1-הגדרות!$E$8*(הגדרות!$E$7+1),הגדרות!$E$7)))</f>
        <v/>
      </c>
      <c r="K3978" s="0" t="str">
        <f aca="false">IF(I3978="","",J3978*הגדרות!$E$6+I3978+1)</f>
        <v/>
      </c>
      <c r="L3978" s="0" t="str">
        <f aca="false">IF(K3978="","",MATCH(K3978,$F$2:$F$5001,0))</f>
        <v/>
      </c>
      <c r="M3978" s="0" t="str">
        <f aca="false">IF(I3978="","",INDEX(הגדרות!$A$2:$A$21,MOD(I3978+הגדרות!$E$9,הגדרות!$E$6)+1))</f>
        <v/>
      </c>
    </row>
    <row r="3979" customFormat="false" ht="15" hidden="false" customHeight="false" outlineLevel="0" collapsed="false">
      <c r="A3979" s="0" t="str">
        <f aca="false">IF('הדבקת לידים'!A3979="","",IF(ISNUMBER('הדבקת לידים'!A3979),IF(הגדרות!$E$2&gt;0,TEXT('הדבקת לידים'!A3979,REPT("0",הגדרות!$E$2)),TEXT('הדבקת לידים'!A3979,"0")),TRIM('הדבקת לידים'!A3979)))</f>
        <v/>
      </c>
      <c r="B3979" s="0" t="str">
        <f aca="false">IF('הדבקת לידים'!B3979="","",IF(ISNUMBER('הדבקת לידים'!B3979),IF(הגדרות!$E$3&gt;0,TEXT('הדבקת לידים'!B3979,REPT("0",הגדרות!$E$3)),TEXT('הדבקת לידים'!B3979,"0")),TRIM('הדבקת לידים'!B3979)))</f>
        <v/>
      </c>
      <c r="C3979" s="0" t="n">
        <f aca="false">IF(OR(A3979&lt;&gt;"",B3979&lt;&gt;""),1,0)</f>
        <v>0</v>
      </c>
      <c r="D3979" s="0" t="str">
        <f aca="false">IF(C3979=1,MOD(ABS(SIN(ROW()*12.9898+'הדבקת לידים'!$F$2*78.233+IFERROR(--RIGHT(A3979,6),LEN(A3979))*0.0137+IFERROR(--RIGHT(B3979,6),LEN(B3979))*0.0071))*43758.5453,1),"")</f>
        <v/>
      </c>
      <c r="E3979" s="0" t="str">
        <f aca="false">IF(C3979=1,INT(MOD(ABS(SIN(D3979*7919.123+ROW()*0.618+'הדבקת לידים'!$F$2*1.3))*43758.5453,1)*1000000)*10000+ROW(),"")</f>
        <v/>
      </c>
      <c r="F3979" s="0" t="str">
        <f aca="false">IF(E3979="","",RANK(E3979,$E$2:$E$5001,1))</f>
        <v/>
      </c>
      <c r="G3979" s="0" t="n">
        <f aca="false">IF(A3979="",0,IF(SUMPRODUCT(--($A$2:$A$5001=A3979))&gt;1,1,0))</f>
        <v>0</v>
      </c>
      <c r="H3979" s="0" t="n">
        <f aca="false">ROW()-1</f>
        <v>3978</v>
      </c>
      <c r="I3979" s="0" t="str">
        <f aca="false">IF(OR(הגדרות!$E$6=0,H3979&gt;הגדרות!$E$5),"",IF(H3979-1&lt;הגדרות!$E$8*(הגדרות!$E$7+1),INT((H3979-1)/(הגדרות!$E$7+1)),הגדרות!$E$8+INT((H3979-1-הגדרות!$E$8*(הגדרות!$E$7+1))/הגדרות!$E$7)))</f>
        <v/>
      </c>
      <c r="J3979" s="0" t="str">
        <f aca="false">IF(I3979="","",IF(H3979-1&lt;הגדרות!$E$8*(הגדרות!$E$7+1),MOD(H3979-1,הגדרות!$E$7+1),MOD(H3979-1-הגדרות!$E$8*(הגדרות!$E$7+1),הגדרות!$E$7)))</f>
        <v/>
      </c>
      <c r="K3979" s="0" t="str">
        <f aca="false">IF(I3979="","",J3979*הגדרות!$E$6+I3979+1)</f>
        <v/>
      </c>
      <c r="L3979" s="0" t="str">
        <f aca="false">IF(K3979="","",MATCH(K3979,$F$2:$F$5001,0))</f>
        <v/>
      </c>
      <c r="M3979" s="0" t="str">
        <f aca="false">IF(I3979="","",INDEX(הגדרות!$A$2:$A$21,MOD(I3979+הגדרות!$E$9,הגדרות!$E$6)+1))</f>
        <v/>
      </c>
    </row>
    <row r="3980" customFormat="false" ht="15" hidden="false" customHeight="false" outlineLevel="0" collapsed="false">
      <c r="A3980" s="0" t="str">
        <f aca="false">IF('הדבקת לידים'!A3980="","",IF(ISNUMBER('הדבקת לידים'!A3980),IF(הגדרות!$E$2&gt;0,TEXT('הדבקת לידים'!A3980,REPT("0",הגדרות!$E$2)),TEXT('הדבקת לידים'!A3980,"0")),TRIM('הדבקת לידים'!A3980)))</f>
        <v/>
      </c>
      <c r="B3980" s="0" t="str">
        <f aca="false">IF('הדבקת לידים'!B3980="","",IF(ISNUMBER('הדבקת לידים'!B3980),IF(הגדרות!$E$3&gt;0,TEXT('הדבקת לידים'!B3980,REPT("0",הגדרות!$E$3)),TEXT('הדבקת לידים'!B3980,"0")),TRIM('הדבקת לידים'!B3980)))</f>
        <v/>
      </c>
      <c r="C3980" s="0" t="n">
        <f aca="false">IF(OR(A3980&lt;&gt;"",B3980&lt;&gt;""),1,0)</f>
        <v>0</v>
      </c>
      <c r="D3980" s="0" t="str">
        <f aca="false">IF(C3980=1,MOD(ABS(SIN(ROW()*12.9898+'הדבקת לידים'!$F$2*78.233+IFERROR(--RIGHT(A3980,6),LEN(A3980))*0.0137+IFERROR(--RIGHT(B3980,6),LEN(B3980))*0.0071))*43758.5453,1),"")</f>
        <v/>
      </c>
      <c r="E3980" s="0" t="str">
        <f aca="false">IF(C3980=1,INT(MOD(ABS(SIN(D3980*7919.123+ROW()*0.618+'הדבקת לידים'!$F$2*1.3))*43758.5453,1)*1000000)*10000+ROW(),"")</f>
        <v/>
      </c>
      <c r="F3980" s="0" t="str">
        <f aca="false">IF(E3980="","",RANK(E3980,$E$2:$E$5001,1))</f>
        <v/>
      </c>
      <c r="G3980" s="0" t="n">
        <f aca="false">IF(A3980="",0,IF(SUMPRODUCT(--($A$2:$A$5001=A3980))&gt;1,1,0))</f>
        <v>0</v>
      </c>
      <c r="H3980" s="0" t="n">
        <f aca="false">ROW()-1</f>
        <v>3979</v>
      </c>
      <c r="I3980" s="0" t="str">
        <f aca="false">IF(OR(הגדרות!$E$6=0,H3980&gt;הגדרות!$E$5),"",IF(H3980-1&lt;הגדרות!$E$8*(הגדרות!$E$7+1),INT((H3980-1)/(הגדרות!$E$7+1)),הגדרות!$E$8+INT((H3980-1-הגדרות!$E$8*(הגדרות!$E$7+1))/הגדרות!$E$7)))</f>
        <v/>
      </c>
      <c r="J3980" s="0" t="str">
        <f aca="false">IF(I3980="","",IF(H3980-1&lt;הגדרות!$E$8*(הגדרות!$E$7+1),MOD(H3980-1,הגדרות!$E$7+1),MOD(H3980-1-הגדרות!$E$8*(הגדרות!$E$7+1),הגדרות!$E$7)))</f>
        <v/>
      </c>
      <c r="K3980" s="0" t="str">
        <f aca="false">IF(I3980="","",J3980*הגדרות!$E$6+I3980+1)</f>
        <v/>
      </c>
      <c r="L3980" s="0" t="str">
        <f aca="false">IF(K3980="","",MATCH(K3980,$F$2:$F$5001,0))</f>
        <v/>
      </c>
      <c r="M3980" s="0" t="str">
        <f aca="false">IF(I3980="","",INDEX(הגדרות!$A$2:$A$21,MOD(I3980+הגדרות!$E$9,הגדרות!$E$6)+1))</f>
        <v/>
      </c>
    </row>
    <row r="3981" customFormat="false" ht="15" hidden="false" customHeight="false" outlineLevel="0" collapsed="false">
      <c r="A3981" s="0" t="str">
        <f aca="false">IF('הדבקת לידים'!A3981="","",IF(ISNUMBER('הדבקת לידים'!A3981),IF(הגדרות!$E$2&gt;0,TEXT('הדבקת לידים'!A3981,REPT("0",הגדרות!$E$2)),TEXT('הדבקת לידים'!A3981,"0")),TRIM('הדבקת לידים'!A3981)))</f>
        <v/>
      </c>
      <c r="B3981" s="0" t="str">
        <f aca="false">IF('הדבקת לידים'!B3981="","",IF(ISNUMBER('הדבקת לידים'!B3981),IF(הגדרות!$E$3&gt;0,TEXT('הדבקת לידים'!B3981,REPT("0",הגדרות!$E$3)),TEXT('הדבקת לידים'!B3981,"0")),TRIM('הדבקת לידים'!B3981)))</f>
        <v/>
      </c>
      <c r="C3981" s="0" t="n">
        <f aca="false">IF(OR(A3981&lt;&gt;"",B3981&lt;&gt;""),1,0)</f>
        <v>0</v>
      </c>
      <c r="D3981" s="0" t="str">
        <f aca="false">IF(C3981=1,MOD(ABS(SIN(ROW()*12.9898+'הדבקת לידים'!$F$2*78.233+IFERROR(--RIGHT(A3981,6),LEN(A3981))*0.0137+IFERROR(--RIGHT(B3981,6),LEN(B3981))*0.0071))*43758.5453,1),"")</f>
        <v/>
      </c>
      <c r="E3981" s="0" t="str">
        <f aca="false">IF(C3981=1,INT(MOD(ABS(SIN(D3981*7919.123+ROW()*0.618+'הדבקת לידים'!$F$2*1.3))*43758.5453,1)*1000000)*10000+ROW(),"")</f>
        <v/>
      </c>
      <c r="F3981" s="0" t="str">
        <f aca="false">IF(E3981="","",RANK(E3981,$E$2:$E$5001,1))</f>
        <v/>
      </c>
      <c r="G3981" s="0" t="n">
        <f aca="false">IF(A3981="",0,IF(SUMPRODUCT(--($A$2:$A$5001=A3981))&gt;1,1,0))</f>
        <v>0</v>
      </c>
      <c r="H3981" s="0" t="n">
        <f aca="false">ROW()-1</f>
        <v>3980</v>
      </c>
      <c r="I3981" s="0" t="str">
        <f aca="false">IF(OR(הגדרות!$E$6=0,H3981&gt;הגדרות!$E$5),"",IF(H3981-1&lt;הגדרות!$E$8*(הגדרות!$E$7+1),INT((H3981-1)/(הגדרות!$E$7+1)),הגדרות!$E$8+INT((H3981-1-הגדרות!$E$8*(הגדרות!$E$7+1))/הגדרות!$E$7)))</f>
        <v/>
      </c>
      <c r="J3981" s="0" t="str">
        <f aca="false">IF(I3981="","",IF(H3981-1&lt;הגדרות!$E$8*(הגדרות!$E$7+1),MOD(H3981-1,הגדרות!$E$7+1),MOD(H3981-1-הגדרות!$E$8*(הגדרות!$E$7+1),הגדרות!$E$7)))</f>
        <v/>
      </c>
      <c r="K3981" s="0" t="str">
        <f aca="false">IF(I3981="","",J3981*הגדרות!$E$6+I3981+1)</f>
        <v/>
      </c>
      <c r="L3981" s="0" t="str">
        <f aca="false">IF(K3981="","",MATCH(K3981,$F$2:$F$5001,0))</f>
        <v/>
      </c>
      <c r="M3981" s="0" t="str">
        <f aca="false">IF(I3981="","",INDEX(הגדרות!$A$2:$A$21,MOD(I3981+הגדרות!$E$9,הגדרות!$E$6)+1))</f>
        <v/>
      </c>
    </row>
    <row r="3982" customFormat="false" ht="15" hidden="false" customHeight="false" outlineLevel="0" collapsed="false">
      <c r="A3982" s="0" t="str">
        <f aca="false">IF('הדבקת לידים'!A3982="","",IF(ISNUMBER('הדבקת לידים'!A3982),IF(הגדרות!$E$2&gt;0,TEXT('הדבקת לידים'!A3982,REPT("0",הגדרות!$E$2)),TEXT('הדבקת לידים'!A3982,"0")),TRIM('הדבקת לידים'!A3982)))</f>
        <v/>
      </c>
      <c r="B3982" s="0" t="str">
        <f aca="false">IF('הדבקת לידים'!B3982="","",IF(ISNUMBER('הדבקת לידים'!B3982),IF(הגדרות!$E$3&gt;0,TEXT('הדבקת לידים'!B3982,REPT("0",הגדרות!$E$3)),TEXT('הדבקת לידים'!B3982,"0")),TRIM('הדבקת לידים'!B3982)))</f>
        <v/>
      </c>
      <c r="C3982" s="0" t="n">
        <f aca="false">IF(OR(A3982&lt;&gt;"",B3982&lt;&gt;""),1,0)</f>
        <v>0</v>
      </c>
      <c r="D3982" s="0" t="str">
        <f aca="false">IF(C3982=1,MOD(ABS(SIN(ROW()*12.9898+'הדבקת לידים'!$F$2*78.233+IFERROR(--RIGHT(A3982,6),LEN(A3982))*0.0137+IFERROR(--RIGHT(B3982,6),LEN(B3982))*0.0071))*43758.5453,1),"")</f>
        <v/>
      </c>
      <c r="E3982" s="0" t="str">
        <f aca="false">IF(C3982=1,INT(MOD(ABS(SIN(D3982*7919.123+ROW()*0.618+'הדבקת לידים'!$F$2*1.3))*43758.5453,1)*1000000)*10000+ROW(),"")</f>
        <v/>
      </c>
      <c r="F3982" s="0" t="str">
        <f aca="false">IF(E3982="","",RANK(E3982,$E$2:$E$5001,1))</f>
        <v/>
      </c>
      <c r="G3982" s="0" t="n">
        <f aca="false">IF(A3982="",0,IF(SUMPRODUCT(--($A$2:$A$5001=A3982))&gt;1,1,0))</f>
        <v>0</v>
      </c>
      <c r="H3982" s="0" t="n">
        <f aca="false">ROW()-1</f>
        <v>3981</v>
      </c>
      <c r="I3982" s="0" t="str">
        <f aca="false">IF(OR(הגדרות!$E$6=0,H3982&gt;הגדרות!$E$5),"",IF(H3982-1&lt;הגדרות!$E$8*(הגדרות!$E$7+1),INT((H3982-1)/(הגדרות!$E$7+1)),הגדרות!$E$8+INT((H3982-1-הגדרות!$E$8*(הגדרות!$E$7+1))/הגדרות!$E$7)))</f>
        <v/>
      </c>
      <c r="J3982" s="0" t="str">
        <f aca="false">IF(I3982="","",IF(H3982-1&lt;הגדרות!$E$8*(הגדרות!$E$7+1),MOD(H3982-1,הגדרות!$E$7+1),MOD(H3982-1-הגדרות!$E$8*(הגדרות!$E$7+1),הגדרות!$E$7)))</f>
        <v/>
      </c>
      <c r="K3982" s="0" t="str">
        <f aca="false">IF(I3982="","",J3982*הגדרות!$E$6+I3982+1)</f>
        <v/>
      </c>
      <c r="L3982" s="0" t="str">
        <f aca="false">IF(K3982="","",MATCH(K3982,$F$2:$F$5001,0))</f>
        <v/>
      </c>
      <c r="M3982" s="0" t="str">
        <f aca="false">IF(I3982="","",INDEX(הגדרות!$A$2:$A$21,MOD(I3982+הגדרות!$E$9,הגדרות!$E$6)+1))</f>
        <v/>
      </c>
    </row>
    <row r="3983" customFormat="false" ht="15" hidden="false" customHeight="false" outlineLevel="0" collapsed="false">
      <c r="A3983" s="0" t="str">
        <f aca="false">IF('הדבקת לידים'!A3983="","",IF(ISNUMBER('הדבקת לידים'!A3983),IF(הגדרות!$E$2&gt;0,TEXT('הדבקת לידים'!A3983,REPT("0",הגדרות!$E$2)),TEXT('הדבקת לידים'!A3983,"0")),TRIM('הדבקת לידים'!A3983)))</f>
        <v/>
      </c>
      <c r="B3983" s="0" t="str">
        <f aca="false">IF('הדבקת לידים'!B3983="","",IF(ISNUMBER('הדבקת לידים'!B3983),IF(הגדרות!$E$3&gt;0,TEXT('הדבקת לידים'!B3983,REPT("0",הגדרות!$E$3)),TEXT('הדבקת לידים'!B3983,"0")),TRIM('הדבקת לידים'!B3983)))</f>
        <v/>
      </c>
      <c r="C3983" s="0" t="n">
        <f aca="false">IF(OR(A3983&lt;&gt;"",B3983&lt;&gt;""),1,0)</f>
        <v>0</v>
      </c>
      <c r="D3983" s="0" t="str">
        <f aca="false">IF(C3983=1,MOD(ABS(SIN(ROW()*12.9898+'הדבקת לידים'!$F$2*78.233+IFERROR(--RIGHT(A3983,6),LEN(A3983))*0.0137+IFERROR(--RIGHT(B3983,6),LEN(B3983))*0.0071))*43758.5453,1),"")</f>
        <v/>
      </c>
      <c r="E3983" s="0" t="str">
        <f aca="false">IF(C3983=1,INT(MOD(ABS(SIN(D3983*7919.123+ROW()*0.618+'הדבקת לידים'!$F$2*1.3))*43758.5453,1)*1000000)*10000+ROW(),"")</f>
        <v/>
      </c>
      <c r="F3983" s="0" t="str">
        <f aca="false">IF(E3983="","",RANK(E3983,$E$2:$E$5001,1))</f>
        <v/>
      </c>
      <c r="G3983" s="0" t="n">
        <f aca="false">IF(A3983="",0,IF(SUMPRODUCT(--($A$2:$A$5001=A3983))&gt;1,1,0))</f>
        <v>0</v>
      </c>
      <c r="H3983" s="0" t="n">
        <f aca="false">ROW()-1</f>
        <v>3982</v>
      </c>
      <c r="I3983" s="0" t="str">
        <f aca="false">IF(OR(הגדרות!$E$6=0,H3983&gt;הגדרות!$E$5),"",IF(H3983-1&lt;הגדרות!$E$8*(הגדרות!$E$7+1),INT((H3983-1)/(הגדרות!$E$7+1)),הגדרות!$E$8+INT((H3983-1-הגדרות!$E$8*(הגדרות!$E$7+1))/הגדרות!$E$7)))</f>
        <v/>
      </c>
      <c r="J3983" s="0" t="str">
        <f aca="false">IF(I3983="","",IF(H3983-1&lt;הגדרות!$E$8*(הגדרות!$E$7+1),MOD(H3983-1,הגדרות!$E$7+1),MOD(H3983-1-הגדרות!$E$8*(הגדרות!$E$7+1),הגדרות!$E$7)))</f>
        <v/>
      </c>
      <c r="K3983" s="0" t="str">
        <f aca="false">IF(I3983="","",J3983*הגדרות!$E$6+I3983+1)</f>
        <v/>
      </c>
      <c r="L3983" s="0" t="str">
        <f aca="false">IF(K3983="","",MATCH(K3983,$F$2:$F$5001,0))</f>
        <v/>
      </c>
      <c r="M3983" s="0" t="str">
        <f aca="false">IF(I3983="","",INDEX(הגדרות!$A$2:$A$21,MOD(I3983+הגדרות!$E$9,הגדרות!$E$6)+1))</f>
        <v/>
      </c>
    </row>
    <row r="3984" customFormat="false" ht="15" hidden="false" customHeight="false" outlineLevel="0" collapsed="false">
      <c r="A3984" s="0" t="str">
        <f aca="false">IF('הדבקת לידים'!A3984="","",IF(ISNUMBER('הדבקת לידים'!A3984),IF(הגדרות!$E$2&gt;0,TEXT('הדבקת לידים'!A3984,REPT("0",הגדרות!$E$2)),TEXT('הדבקת לידים'!A3984,"0")),TRIM('הדבקת לידים'!A3984)))</f>
        <v/>
      </c>
      <c r="B3984" s="0" t="str">
        <f aca="false">IF('הדבקת לידים'!B3984="","",IF(ISNUMBER('הדבקת לידים'!B3984),IF(הגדרות!$E$3&gt;0,TEXT('הדבקת לידים'!B3984,REPT("0",הגדרות!$E$3)),TEXT('הדבקת לידים'!B3984,"0")),TRIM('הדבקת לידים'!B3984)))</f>
        <v/>
      </c>
      <c r="C3984" s="0" t="n">
        <f aca="false">IF(OR(A3984&lt;&gt;"",B3984&lt;&gt;""),1,0)</f>
        <v>0</v>
      </c>
      <c r="D3984" s="0" t="str">
        <f aca="false">IF(C3984=1,MOD(ABS(SIN(ROW()*12.9898+'הדבקת לידים'!$F$2*78.233+IFERROR(--RIGHT(A3984,6),LEN(A3984))*0.0137+IFERROR(--RIGHT(B3984,6),LEN(B3984))*0.0071))*43758.5453,1),"")</f>
        <v/>
      </c>
      <c r="E3984" s="0" t="str">
        <f aca="false">IF(C3984=1,INT(MOD(ABS(SIN(D3984*7919.123+ROW()*0.618+'הדבקת לידים'!$F$2*1.3))*43758.5453,1)*1000000)*10000+ROW(),"")</f>
        <v/>
      </c>
      <c r="F3984" s="0" t="str">
        <f aca="false">IF(E3984="","",RANK(E3984,$E$2:$E$5001,1))</f>
        <v/>
      </c>
      <c r="G3984" s="0" t="n">
        <f aca="false">IF(A3984="",0,IF(SUMPRODUCT(--($A$2:$A$5001=A3984))&gt;1,1,0))</f>
        <v>0</v>
      </c>
      <c r="H3984" s="0" t="n">
        <f aca="false">ROW()-1</f>
        <v>3983</v>
      </c>
      <c r="I3984" s="0" t="str">
        <f aca="false">IF(OR(הגדרות!$E$6=0,H3984&gt;הגדרות!$E$5),"",IF(H3984-1&lt;הגדרות!$E$8*(הגדרות!$E$7+1),INT((H3984-1)/(הגדרות!$E$7+1)),הגדרות!$E$8+INT((H3984-1-הגדרות!$E$8*(הגדרות!$E$7+1))/הגדרות!$E$7)))</f>
        <v/>
      </c>
      <c r="J3984" s="0" t="str">
        <f aca="false">IF(I3984="","",IF(H3984-1&lt;הגדרות!$E$8*(הגדרות!$E$7+1),MOD(H3984-1,הגדרות!$E$7+1),MOD(H3984-1-הגדרות!$E$8*(הגדרות!$E$7+1),הגדרות!$E$7)))</f>
        <v/>
      </c>
      <c r="K3984" s="0" t="str">
        <f aca="false">IF(I3984="","",J3984*הגדרות!$E$6+I3984+1)</f>
        <v/>
      </c>
      <c r="L3984" s="0" t="str">
        <f aca="false">IF(K3984="","",MATCH(K3984,$F$2:$F$5001,0))</f>
        <v/>
      </c>
      <c r="M3984" s="0" t="str">
        <f aca="false">IF(I3984="","",INDEX(הגדרות!$A$2:$A$21,MOD(I3984+הגדרות!$E$9,הגדרות!$E$6)+1))</f>
        <v/>
      </c>
    </row>
    <row r="3985" customFormat="false" ht="15" hidden="false" customHeight="false" outlineLevel="0" collapsed="false">
      <c r="A3985" s="0" t="str">
        <f aca="false">IF('הדבקת לידים'!A3985="","",IF(ISNUMBER('הדבקת לידים'!A3985),IF(הגדרות!$E$2&gt;0,TEXT('הדבקת לידים'!A3985,REPT("0",הגדרות!$E$2)),TEXT('הדבקת לידים'!A3985,"0")),TRIM('הדבקת לידים'!A3985)))</f>
        <v/>
      </c>
      <c r="B3985" s="0" t="str">
        <f aca="false">IF('הדבקת לידים'!B3985="","",IF(ISNUMBER('הדבקת לידים'!B3985),IF(הגדרות!$E$3&gt;0,TEXT('הדבקת לידים'!B3985,REPT("0",הגדרות!$E$3)),TEXT('הדבקת לידים'!B3985,"0")),TRIM('הדבקת לידים'!B3985)))</f>
        <v/>
      </c>
      <c r="C3985" s="0" t="n">
        <f aca="false">IF(OR(A3985&lt;&gt;"",B3985&lt;&gt;""),1,0)</f>
        <v>0</v>
      </c>
      <c r="D3985" s="0" t="str">
        <f aca="false">IF(C3985=1,MOD(ABS(SIN(ROW()*12.9898+'הדבקת לידים'!$F$2*78.233+IFERROR(--RIGHT(A3985,6),LEN(A3985))*0.0137+IFERROR(--RIGHT(B3985,6),LEN(B3985))*0.0071))*43758.5453,1),"")</f>
        <v/>
      </c>
      <c r="E3985" s="0" t="str">
        <f aca="false">IF(C3985=1,INT(MOD(ABS(SIN(D3985*7919.123+ROW()*0.618+'הדבקת לידים'!$F$2*1.3))*43758.5453,1)*1000000)*10000+ROW(),"")</f>
        <v/>
      </c>
      <c r="F3985" s="0" t="str">
        <f aca="false">IF(E3985="","",RANK(E3985,$E$2:$E$5001,1))</f>
        <v/>
      </c>
      <c r="G3985" s="0" t="n">
        <f aca="false">IF(A3985="",0,IF(SUMPRODUCT(--($A$2:$A$5001=A3985))&gt;1,1,0))</f>
        <v>0</v>
      </c>
      <c r="H3985" s="0" t="n">
        <f aca="false">ROW()-1</f>
        <v>3984</v>
      </c>
      <c r="I3985" s="0" t="str">
        <f aca="false">IF(OR(הגדרות!$E$6=0,H3985&gt;הגדרות!$E$5),"",IF(H3985-1&lt;הגדרות!$E$8*(הגדרות!$E$7+1),INT((H3985-1)/(הגדרות!$E$7+1)),הגדרות!$E$8+INT((H3985-1-הגדרות!$E$8*(הגדרות!$E$7+1))/הגדרות!$E$7)))</f>
        <v/>
      </c>
      <c r="J3985" s="0" t="str">
        <f aca="false">IF(I3985="","",IF(H3985-1&lt;הגדרות!$E$8*(הגדרות!$E$7+1),MOD(H3985-1,הגדרות!$E$7+1),MOD(H3985-1-הגדרות!$E$8*(הגדרות!$E$7+1),הגדרות!$E$7)))</f>
        <v/>
      </c>
      <c r="K3985" s="0" t="str">
        <f aca="false">IF(I3985="","",J3985*הגדרות!$E$6+I3985+1)</f>
        <v/>
      </c>
      <c r="L3985" s="0" t="str">
        <f aca="false">IF(K3985="","",MATCH(K3985,$F$2:$F$5001,0))</f>
        <v/>
      </c>
      <c r="M3985" s="0" t="str">
        <f aca="false">IF(I3985="","",INDEX(הגדרות!$A$2:$A$21,MOD(I3985+הגדרות!$E$9,הגדרות!$E$6)+1))</f>
        <v/>
      </c>
    </row>
    <row r="3986" customFormat="false" ht="15" hidden="false" customHeight="false" outlineLevel="0" collapsed="false">
      <c r="A3986" s="0" t="str">
        <f aca="false">IF('הדבקת לידים'!A3986="","",IF(ISNUMBER('הדבקת לידים'!A3986),IF(הגדרות!$E$2&gt;0,TEXT('הדבקת לידים'!A3986,REPT("0",הגדרות!$E$2)),TEXT('הדבקת לידים'!A3986,"0")),TRIM('הדבקת לידים'!A3986)))</f>
        <v/>
      </c>
      <c r="B3986" s="0" t="str">
        <f aca="false">IF('הדבקת לידים'!B3986="","",IF(ISNUMBER('הדבקת לידים'!B3986),IF(הגדרות!$E$3&gt;0,TEXT('הדבקת לידים'!B3986,REPT("0",הגדרות!$E$3)),TEXT('הדבקת לידים'!B3986,"0")),TRIM('הדבקת לידים'!B3986)))</f>
        <v/>
      </c>
      <c r="C3986" s="0" t="n">
        <f aca="false">IF(OR(A3986&lt;&gt;"",B3986&lt;&gt;""),1,0)</f>
        <v>0</v>
      </c>
      <c r="D3986" s="0" t="str">
        <f aca="false">IF(C3986=1,MOD(ABS(SIN(ROW()*12.9898+'הדבקת לידים'!$F$2*78.233+IFERROR(--RIGHT(A3986,6),LEN(A3986))*0.0137+IFERROR(--RIGHT(B3986,6),LEN(B3986))*0.0071))*43758.5453,1),"")</f>
        <v/>
      </c>
      <c r="E3986" s="0" t="str">
        <f aca="false">IF(C3986=1,INT(MOD(ABS(SIN(D3986*7919.123+ROW()*0.618+'הדבקת לידים'!$F$2*1.3))*43758.5453,1)*1000000)*10000+ROW(),"")</f>
        <v/>
      </c>
      <c r="F3986" s="0" t="str">
        <f aca="false">IF(E3986="","",RANK(E3986,$E$2:$E$5001,1))</f>
        <v/>
      </c>
      <c r="G3986" s="0" t="n">
        <f aca="false">IF(A3986="",0,IF(SUMPRODUCT(--($A$2:$A$5001=A3986))&gt;1,1,0))</f>
        <v>0</v>
      </c>
      <c r="H3986" s="0" t="n">
        <f aca="false">ROW()-1</f>
        <v>3985</v>
      </c>
      <c r="I3986" s="0" t="str">
        <f aca="false">IF(OR(הגדרות!$E$6=0,H3986&gt;הגדרות!$E$5),"",IF(H3986-1&lt;הגדרות!$E$8*(הגדרות!$E$7+1),INT((H3986-1)/(הגדרות!$E$7+1)),הגדרות!$E$8+INT((H3986-1-הגדרות!$E$8*(הגדרות!$E$7+1))/הגדרות!$E$7)))</f>
        <v/>
      </c>
      <c r="J3986" s="0" t="str">
        <f aca="false">IF(I3986="","",IF(H3986-1&lt;הגדרות!$E$8*(הגדרות!$E$7+1),MOD(H3986-1,הגדרות!$E$7+1),MOD(H3986-1-הגדרות!$E$8*(הגדרות!$E$7+1),הגדרות!$E$7)))</f>
        <v/>
      </c>
      <c r="K3986" s="0" t="str">
        <f aca="false">IF(I3986="","",J3986*הגדרות!$E$6+I3986+1)</f>
        <v/>
      </c>
      <c r="L3986" s="0" t="str">
        <f aca="false">IF(K3986="","",MATCH(K3986,$F$2:$F$5001,0))</f>
        <v/>
      </c>
      <c r="M3986" s="0" t="str">
        <f aca="false">IF(I3986="","",INDEX(הגדרות!$A$2:$A$21,MOD(I3986+הגדרות!$E$9,הגדרות!$E$6)+1))</f>
        <v/>
      </c>
    </row>
    <row r="3987" customFormat="false" ht="15" hidden="false" customHeight="false" outlineLevel="0" collapsed="false">
      <c r="A3987" s="0" t="str">
        <f aca="false">IF('הדבקת לידים'!A3987="","",IF(ISNUMBER('הדבקת לידים'!A3987),IF(הגדרות!$E$2&gt;0,TEXT('הדבקת לידים'!A3987,REPT("0",הגדרות!$E$2)),TEXT('הדבקת לידים'!A3987,"0")),TRIM('הדבקת לידים'!A3987)))</f>
        <v/>
      </c>
      <c r="B3987" s="0" t="str">
        <f aca="false">IF('הדבקת לידים'!B3987="","",IF(ISNUMBER('הדבקת לידים'!B3987),IF(הגדרות!$E$3&gt;0,TEXT('הדבקת לידים'!B3987,REPT("0",הגדרות!$E$3)),TEXT('הדבקת לידים'!B3987,"0")),TRIM('הדבקת לידים'!B3987)))</f>
        <v/>
      </c>
      <c r="C3987" s="0" t="n">
        <f aca="false">IF(OR(A3987&lt;&gt;"",B3987&lt;&gt;""),1,0)</f>
        <v>0</v>
      </c>
      <c r="D3987" s="0" t="str">
        <f aca="false">IF(C3987=1,MOD(ABS(SIN(ROW()*12.9898+'הדבקת לידים'!$F$2*78.233+IFERROR(--RIGHT(A3987,6),LEN(A3987))*0.0137+IFERROR(--RIGHT(B3987,6),LEN(B3987))*0.0071))*43758.5453,1),"")</f>
        <v/>
      </c>
      <c r="E3987" s="0" t="str">
        <f aca="false">IF(C3987=1,INT(MOD(ABS(SIN(D3987*7919.123+ROW()*0.618+'הדבקת לידים'!$F$2*1.3))*43758.5453,1)*1000000)*10000+ROW(),"")</f>
        <v/>
      </c>
      <c r="F3987" s="0" t="str">
        <f aca="false">IF(E3987="","",RANK(E3987,$E$2:$E$5001,1))</f>
        <v/>
      </c>
      <c r="G3987" s="0" t="n">
        <f aca="false">IF(A3987="",0,IF(SUMPRODUCT(--($A$2:$A$5001=A3987))&gt;1,1,0))</f>
        <v>0</v>
      </c>
      <c r="H3987" s="0" t="n">
        <f aca="false">ROW()-1</f>
        <v>3986</v>
      </c>
      <c r="I3987" s="0" t="str">
        <f aca="false">IF(OR(הגדרות!$E$6=0,H3987&gt;הגדרות!$E$5),"",IF(H3987-1&lt;הגדרות!$E$8*(הגדרות!$E$7+1),INT((H3987-1)/(הגדרות!$E$7+1)),הגדרות!$E$8+INT((H3987-1-הגדרות!$E$8*(הגדרות!$E$7+1))/הגדרות!$E$7)))</f>
        <v/>
      </c>
      <c r="J3987" s="0" t="str">
        <f aca="false">IF(I3987="","",IF(H3987-1&lt;הגדרות!$E$8*(הגדרות!$E$7+1),MOD(H3987-1,הגדרות!$E$7+1),MOD(H3987-1-הגדרות!$E$8*(הגדרות!$E$7+1),הגדרות!$E$7)))</f>
        <v/>
      </c>
      <c r="K3987" s="0" t="str">
        <f aca="false">IF(I3987="","",J3987*הגדרות!$E$6+I3987+1)</f>
        <v/>
      </c>
      <c r="L3987" s="0" t="str">
        <f aca="false">IF(K3987="","",MATCH(K3987,$F$2:$F$5001,0))</f>
        <v/>
      </c>
      <c r="M3987" s="0" t="str">
        <f aca="false">IF(I3987="","",INDEX(הגדרות!$A$2:$A$21,MOD(I3987+הגדרות!$E$9,הגדרות!$E$6)+1))</f>
        <v/>
      </c>
    </row>
    <row r="3988" customFormat="false" ht="15" hidden="false" customHeight="false" outlineLevel="0" collapsed="false">
      <c r="A3988" s="0" t="str">
        <f aca="false">IF('הדבקת לידים'!A3988="","",IF(ISNUMBER('הדבקת לידים'!A3988),IF(הגדרות!$E$2&gt;0,TEXT('הדבקת לידים'!A3988,REPT("0",הגדרות!$E$2)),TEXT('הדבקת לידים'!A3988,"0")),TRIM('הדבקת לידים'!A3988)))</f>
        <v/>
      </c>
      <c r="B3988" s="0" t="str">
        <f aca="false">IF('הדבקת לידים'!B3988="","",IF(ISNUMBER('הדבקת לידים'!B3988),IF(הגדרות!$E$3&gt;0,TEXT('הדבקת לידים'!B3988,REPT("0",הגדרות!$E$3)),TEXT('הדבקת לידים'!B3988,"0")),TRIM('הדבקת לידים'!B3988)))</f>
        <v/>
      </c>
      <c r="C3988" s="0" t="n">
        <f aca="false">IF(OR(A3988&lt;&gt;"",B3988&lt;&gt;""),1,0)</f>
        <v>0</v>
      </c>
      <c r="D3988" s="0" t="str">
        <f aca="false">IF(C3988=1,MOD(ABS(SIN(ROW()*12.9898+'הדבקת לידים'!$F$2*78.233+IFERROR(--RIGHT(A3988,6),LEN(A3988))*0.0137+IFERROR(--RIGHT(B3988,6),LEN(B3988))*0.0071))*43758.5453,1),"")</f>
        <v/>
      </c>
      <c r="E3988" s="0" t="str">
        <f aca="false">IF(C3988=1,INT(MOD(ABS(SIN(D3988*7919.123+ROW()*0.618+'הדבקת לידים'!$F$2*1.3))*43758.5453,1)*1000000)*10000+ROW(),"")</f>
        <v/>
      </c>
      <c r="F3988" s="0" t="str">
        <f aca="false">IF(E3988="","",RANK(E3988,$E$2:$E$5001,1))</f>
        <v/>
      </c>
      <c r="G3988" s="0" t="n">
        <f aca="false">IF(A3988="",0,IF(SUMPRODUCT(--($A$2:$A$5001=A3988))&gt;1,1,0))</f>
        <v>0</v>
      </c>
      <c r="H3988" s="0" t="n">
        <f aca="false">ROW()-1</f>
        <v>3987</v>
      </c>
      <c r="I3988" s="0" t="str">
        <f aca="false">IF(OR(הגדרות!$E$6=0,H3988&gt;הגדרות!$E$5),"",IF(H3988-1&lt;הגדרות!$E$8*(הגדרות!$E$7+1),INT((H3988-1)/(הגדרות!$E$7+1)),הגדרות!$E$8+INT((H3988-1-הגדרות!$E$8*(הגדרות!$E$7+1))/הגדרות!$E$7)))</f>
        <v/>
      </c>
      <c r="J3988" s="0" t="str">
        <f aca="false">IF(I3988="","",IF(H3988-1&lt;הגדרות!$E$8*(הגדרות!$E$7+1),MOD(H3988-1,הגדרות!$E$7+1),MOD(H3988-1-הגדרות!$E$8*(הגדרות!$E$7+1),הגדרות!$E$7)))</f>
        <v/>
      </c>
      <c r="K3988" s="0" t="str">
        <f aca="false">IF(I3988="","",J3988*הגדרות!$E$6+I3988+1)</f>
        <v/>
      </c>
      <c r="L3988" s="0" t="str">
        <f aca="false">IF(K3988="","",MATCH(K3988,$F$2:$F$5001,0))</f>
        <v/>
      </c>
      <c r="M3988" s="0" t="str">
        <f aca="false">IF(I3988="","",INDEX(הגדרות!$A$2:$A$21,MOD(I3988+הגדרות!$E$9,הגדרות!$E$6)+1))</f>
        <v/>
      </c>
    </row>
    <row r="3989" customFormat="false" ht="15" hidden="false" customHeight="false" outlineLevel="0" collapsed="false">
      <c r="A3989" s="0" t="str">
        <f aca="false">IF('הדבקת לידים'!A3989="","",IF(ISNUMBER('הדבקת לידים'!A3989),IF(הגדרות!$E$2&gt;0,TEXT('הדבקת לידים'!A3989,REPT("0",הגדרות!$E$2)),TEXT('הדבקת לידים'!A3989,"0")),TRIM('הדבקת לידים'!A3989)))</f>
        <v/>
      </c>
      <c r="B3989" s="0" t="str">
        <f aca="false">IF('הדבקת לידים'!B3989="","",IF(ISNUMBER('הדבקת לידים'!B3989),IF(הגדרות!$E$3&gt;0,TEXT('הדבקת לידים'!B3989,REPT("0",הגדרות!$E$3)),TEXT('הדבקת לידים'!B3989,"0")),TRIM('הדבקת לידים'!B3989)))</f>
        <v/>
      </c>
      <c r="C3989" s="0" t="n">
        <f aca="false">IF(OR(A3989&lt;&gt;"",B3989&lt;&gt;""),1,0)</f>
        <v>0</v>
      </c>
      <c r="D3989" s="0" t="str">
        <f aca="false">IF(C3989=1,MOD(ABS(SIN(ROW()*12.9898+'הדבקת לידים'!$F$2*78.233+IFERROR(--RIGHT(A3989,6),LEN(A3989))*0.0137+IFERROR(--RIGHT(B3989,6),LEN(B3989))*0.0071))*43758.5453,1),"")</f>
        <v/>
      </c>
      <c r="E3989" s="0" t="str">
        <f aca="false">IF(C3989=1,INT(MOD(ABS(SIN(D3989*7919.123+ROW()*0.618+'הדבקת לידים'!$F$2*1.3))*43758.5453,1)*1000000)*10000+ROW(),"")</f>
        <v/>
      </c>
      <c r="F3989" s="0" t="str">
        <f aca="false">IF(E3989="","",RANK(E3989,$E$2:$E$5001,1))</f>
        <v/>
      </c>
      <c r="G3989" s="0" t="n">
        <f aca="false">IF(A3989="",0,IF(SUMPRODUCT(--($A$2:$A$5001=A3989))&gt;1,1,0))</f>
        <v>0</v>
      </c>
      <c r="H3989" s="0" t="n">
        <f aca="false">ROW()-1</f>
        <v>3988</v>
      </c>
      <c r="I3989" s="0" t="str">
        <f aca="false">IF(OR(הגדרות!$E$6=0,H3989&gt;הגדרות!$E$5),"",IF(H3989-1&lt;הגדרות!$E$8*(הגדרות!$E$7+1),INT((H3989-1)/(הגדרות!$E$7+1)),הגדרות!$E$8+INT((H3989-1-הגדרות!$E$8*(הגדרות!$E$7+1))/הגדרות!$E$7)))</f>
        <v/>
      </c>
      <c r="J3989" s="0" t="str">
        <f aca="false">IF(I3989="","",IF(H3989-1&lt;הגדרות!$E$8*(הגדרות!$E$7+1),MOD(H3989-1,הגדרות!$E$7+1),MOD(H3989-1-הגדרות!$E$8*(הגדרות!$E$7+1),הגדרות!$E$7)))</f>
        <v/>
      </c>
      <c r="K3989" s="0" t="str">
        <f aca="false">IF(I3989="","",J3989*הגדרות!$E$6+I3989+1)</f>
        <v/>
      </c>
      <c r="L3989" s="0" t="str">
        <f aca="false">IF(K3989="","",MATCH(K3989,$F$2:$F$5001,0))</f>
        <v/>
      </c>
      <c r="M3989" s="0" t="str">
        <f aca="false">IF(I3989="","",INDEX(הגדרות!$A$2:$A$21,MOD(I3989+הגדרות!$E$9,הגדרות!$E$6)+1))</f>
        <v/>
      </c>
    </row>
    <row r="3990" customFormat="false" ht="15" hidden="false" customHeight="false" outlineLevel="0" collapsed="false">
      <c r="A3990" s="0" t="str">
        <f aca="false">IF('הדבקת לידים'!A3990="","",IF(ISNUMBER('הדבקת לידים'!A3990),IF(הגדרות!$E$2&gt;0,TEXT('הדבקת לידים'!A3990,REPT("0",הגדרות!$E$2)),TEXT('הדבקת לידים'!A3990,"0")),TRIM('הדבקת לידים'!A3990)))</f>
        <v/>
      </c>
      <c r="B3990" s="0" t="str">
        <f aca="false">IF('הדבקת לידים'!B3990="","",IF(ISNUMBER('הדבקת לידים'!B3990),IF(הגדרות!$E$3&gt;0,TEXT('הדבקת לידים'!B3990,REPT("0",הגדרות!$E$3)),TEXT('הדבקת לידים'!B3990,"0")),TRIM('הדבקת לידים'!B3990)))</f>
        <v/>
      </c>
      <c r="C3990" s="0" t="n">
        <f aca="false">IF(OR(A3990&lt;&gt;"",B3990&lt;&gt;""),1,0)</f>
        <v>0</v>
      </c>
      <c r="D3990" s="0" t="str">
        <f aca="false">IF(C3990=1,MOD(ABS(SIN(ROW()*12.9898+'הדבקת לידים'!$F$2*78.233+IFERROR(--RIGHT(A3990,6),LEN(A3990))*0.0137+IFERROR(--RIGHT(B3990,6),LEN(B3990))*0.0071))*43758.5453,1),"")</f>
        <v/>
      </c>
      <c r="E3990" s="0" t="str">
        <f aca="false">IF(C3990=1,INT(MOD(ABS(SIN(D3990*7919.123+ROW()*0.618+'הדבקת לידים'!$F$2*1.3))*43758.5453,1)*1000000)*10000+ROW(),"")</f>
        <v/>
      </c>
      <c r="F3990" s="0" t="str">
        <f aca="false">IF(E3990="","",RANK(E3990,$E$2:$E$5001,1))</f>
        <v/>
      </c>
      <c r="G3990" s="0" t="n">
        <f aca="false">IF(A3990="",0,IF(SUMPRODUCT(--($A$2:$A$5001=A3990))&gt;1,1,0))</f>
        <v>0</v>
      </c>
      <c r="H3990" s="0" t="n">
        <f aca="false">ROW()-1</f>
        <v>3989</v>
      </c>
      <c r="I3990" s="0" t="str">
        <f aca="false">IF(OR(הגדרות!$E$6=0,H3990&gt;הגדרות!$E$5),"",IF(H3990-1&lt;הגדרות!$E$8*(הגדרות!$E$7+1),INT((H3990-1)/(הגדרות!$E$7+1)),הגדרות!$E$8+INT((H3990-1-הגדרות!$E$8*(הגדרות!$E$7+1))/הגדרות!$E$7)))</f>
        <v/>
      </c>
      <c r="J3990" s="0" t="str">
        <f aca="false">IF(I3990="","",IF(H3990-1&lt;הגדרות!$E$8*(הגדרות!$E$7+1),MOD(H3990-1,הגדרות!$E$7+1),MOD(H3990-1-הגדרות!$E$8*(הגדרות!$E$7+1),הגדרות!$E$7)))</f>
        <v/>
      </c>
      <c r="K3990" s="0" t="str">
        <f aca="false">IF(I3990="","",J3990*הגדרות!$E$6+I3990+1)</f>
        <v/>
      </c>
      <c r="L3990" s="0" t="str">
        <f aca="false">IF(K3990="","",MATCH(K3990,$F$2:$F$5001,0))</f>
        <v/>
      </c>
      <c r="M3990" s="0" t="str">
        <f aca="false">IF(I3990="","",INDEX(הגדרות!$A$2:$A$21,MOD(I3990+הגדרות!$E$9,הגדרות!$E$6)+1))</f>
        <v/>
      </c>
    </row>
    <row r="3991" customFormat="false" ht="15" hidden="false" customHeight="false" outlineLevel="0" collapsed="false">
      <c r="A3991" s="0" t="str">
        <f aca="false">IF('הדבקת לידים'!A3991="","",IF(ISNUMBER('הדבקת לידים'!A3991),IF(הגדרות!$E$2&gt;0,TEXT('הדבקת לידים'!A3991,REPT("0",הגדרות!$E$2)),TEXT('הדבקת לידים'!A3991,"0")),TRIM('הדבקת לידים'!A3991)))</f>
        <v/>
      </c>
      <c r="B3991" s="0" t="str">
        <f aca="false">IF('הדבקת לידים'!B3991="","",IF(ISNUMBER('הדבקת לידים'!B3991),IF(הגדרות!$E$3&gt;0,TEXT('הדבקת לידים'!B3991,REPT("0",הגדרות!$E$3)),TEXT('הדבקת לידים'!B3991,"0")),TRIM('הדבקת לידים'!B3991)))</f>
        <v/>
      </c>
      <c r="C3991" s="0" t="n">
        <f aca="false">IF(OR(A3991&lt;&gt;"",B3991&lt;&gt;""),1,0)</f>
        <v>0</v>
      </c>
      <c r="D3991" s="0" t="str">
        <f aca="false">IF(C3991=1,MOD(ABS(SIN(ROW()*12.9898+'הדבקת לידים'!$F$2*78.233+IFERROR(--RIGHT(A3991,6),LEN(A3991))*0.0137+IFERROR(--RIGHT(B3991,6),LEN(B3991))*0.0071))*43758.5453,1),"")</f>
        <v/>
      </c>
      <c r="E3991" s="0" t="str">
        <f aca="false">IF(C3991=1,INT(MOD(ABS(SIN(D3991*7919.123+ROW()*0.618+'הדבקת לידים'!$F$2*1.3))*43758.5453,1)*1000000)*10000+ROW(),"")</f>
        <v/>
      </c>
      <c r="F3991" s="0" t="str">
        <f aca="false">IF(E3991="","",RANK(E3991,$E$2:$E$5001,1))</f>
        <v/>
      </c>
      <c r="G3991" s="0" t="n">
        <f aca="false">IF(A3991="",0,IF(SUMPRODUCT(--($A$2:$A$5001=A3991))&gt;1,1,0))</f>
        <v>0</v>
      </c>
      <c r="H3991" s="0" t="n">
        <f aca="false">ROW()-1</f>
        <v>3990</v>
      </c>
      <c r="I3991" s="0" t="str">
        <f aca="false">IF(OR(הגדרות!$E$6=0,H3991&gt;הגדרות!$E$5),"",IF(H3991-1&lt;הגדרות!$E$8*(הגדרות!$E$7+1),INT((H3991-1)/(הגדרות!$E$7+1)),הגדרות!$E$8+INT((H3991-1-הגדרות!$E$8*(הגדרות!$E$7+1))/הגדרות!$E$7)))</f>
        <v/>
      </c>
      <c r="J3991" s="0" t="str">
        <f aca="false">IF(I3991="","",IF(H3991-1&lt;הגדרות!$E$8*(הגדרות!$E$7+1),MOD(H3991-1,הגדרות!$E$7+1),MOD(H3991-1-הגדרות!$E$8*(הגדרות!$E$7+1),הגדרות!$E$7)))</f>
        <v/>
      </c>
      <c r="K3991" s="0" t="str">
        <f aca="false">IF(I3991="","",J3991*הגדרות!$E$6+I3991+1)</f>
        <v/>
      </c>
      <c r="L3991" s="0" t="str">
        <f aca="false">IF(K3991="","",MATCH(K3991,$F$2:$F$5001,0))</f>
        <v/>
      </c>
      <c r="M3991" s="0" t="str">
        <f aca="false">IF(I3991="","",INDEX(הגדרות!$A$2:$A$21,MOD(I3991+הגדרות!$E$9,הגדרות!$E$6)+1))</f>
        <v/>
      </c>
    </row>
    <row r="3992" customFormat="false" ht="15" hidden="false" customHeight="false" outlineLevel="0" collapsed="false">
      <c r="A3992" s="0" t="str">
        <f aca="false">IF('הדבקת לידים'!A3992="","",IF(ISNUMBER('הדבקת לידים'!A3992),IF(הגדרות!$E$2&gt;0,TEXT('הדבקת לידים'!A3992,REPT("0",הגדרות!$E$2)),TEXT('הדבקת לידים'!A3992,"0")),TRIM('הדבקת לידים'!A3992)))</f>
        <v/>
      </c>
      <c r="B3992" s="0" t="str">
        <f aca="false">IF('הדבקת לידים'!B3992="","",IF(ISNUMBER('הדבקת לידים'!B3992),IF(הגדרות!$E$3&gt;0,TEXT('הדבקת לידים'!B3992,REPT("0",הגדרות!$E$3)),TEXT('הדבקת לידים'!B3992,"0")),TRIM('הדבקת לידים'!B3992)))</f>
        <v/>
      </c>
      <c r="C3992" s="0" t="n">
        <f aca="false">IF(OR(A3992&lt;&gt;"",B3992&lt;&gt;""),1,0)</f>
        <v>0</v>
      </c>
      <c r="D3992" s="0" t="str">
        <f aca="false">IF(C3992=1,MOD(ABS(SIN(ROW()*12.9898+'הדבקת לידים'!$F$2*78.233+IFERROR(--RIGHT(A3992,6),LEN(A3992))*0.0137+IFERROR(--RIGHT(B3992,6),LEN(B3992))*0.0071))*43758.5453,1),"")</f>
        <v/>
      </c>
      <c r="E3992" s="0" t="str">
        <f aca="false">IF(C3992=1,INT(MOD(ABS(SIN(D3992*7919.123+ROW()*0.618+'הדבקת לידים'!$F$2*1.3))*43758.5453,1)*1000000)*10000+ROW(),"")</f>
        <v/>
      </c>
      <c r="F3992" s="0" t="str">
        <f aca="false">IF(E3992="","",RANK(E3992,$E$2:$E$5001,1))</f>
        <v/>
      </c>
      <c r="G3992" s="0" t="n">
        <f aca="false">IF(A3992="",0,IF(SUMPRODUCT(--($A$2:$A$5001=A3992))&gt;1,1,0))</f>
        <v>0</v>
      </c>
      <c r="H3992" s="0" t="n">
        <f aca="false">ROW()-1</f>
        <v>3991</v>
      </c>
      <c r="I3992" s="0" t="str">
        <f aca="false">IF(OR(הגדרות!$E$6=0,H3992&gt;הגדרות!$E$5),"",IF(H3992-1&lt;הגדרות!$E$8*(הגדרות!$E$7+1),INT((H3992-1)/(הגדרות!$E$7+1)),הגדרות!$E$8+INT((H3992-1-הגדרות!$E$8*(הגדרות!$E$7+1))/הגדרות!$E$7)))</f>
        <v/>
      </c>
      <c r="J3992" s="0" t="str">
        <f aca="false">IF(I3992="","",IF(H3992-1&lt;הגדרות!$E$8*(הגדרות!$E$7+1),MOD(H3992-1,הגדרות!$E$7+1),MOD(H3992-1-הגדרות!$E$8*(הגדרות!$E$7+1),הגדרות!$E$7)))</f>
        <v/>
      </c>
      <c r="K3992" s="0" t="str">
        <f aca="false">IF(I3992="","",J3992*הגדרות!$E$6+I3992+1)</f>
        <v/>
      </c>
      <c r="L3992" s="0" t="str">
        <f aca="false">IF(K3992="","",MATCH(K3992,$F$2:$F$5001,0))</f>
        <v/>
      </c>
      <c r="M3992" s="0" t="str">
        <f aca="false">IF(I3992="","",INDEX(הגדרות!$A$2:$A$21,MOD(I3992+הגדרות!$E$9,הגדרות!$E$6)+1))</f>
        <v/>
      </c>
    </row>
    <row r="3993" customFormat="false" ht="15" hidden="false" customHeight="false" outlineLevel="0" collapsed="false">
      <c r="A3993" s="0" t="str">
        <f aca="false">IF('הדבקת לידים'!A3993="","",IF(ISNUMBER('הדבקת לידים'!A3993),IF(הגדרות!$E$2&gt;0,TEXT('הדבקת לידים'!A3993,REPT("0",הגדרות!$E$2)),TEXT('הדבקת לידים'!A3993,"0")),TRIM('הדבקת לידים'!A3993)))</f>
        <v/>
      </c>
      <c r="B3993" s="0" t="str">
        <f aca="false">IF('הדבקת לידים'!B3993="","",IF(ISNUMBER('הדבקת לידים'!B3993),IF(הגדרות!$E$3&gt;0,TEXT('הדבקת לידים'!B3993,REPT("0",הגדרות!$E$3)),TEXT('הדבקת לידים'!B3993,"0")),TRIM('הדבקת לידים'!B3993)))</f>
        <v/>
      </c>
      <c r="C3993" s="0" t="n">
        <f aca="false">IF(OR(A3993&lt;&gt;"",B3993&lt;&gt;""),1,0)</f>
        <v>0</v>
      </c>
      <c r="D3993" s="0" t="str">
        <f aca="false">IF(C3993=1,MOD(ABS(SIN(ROW()*12.9898+'הדבקת לידים'!$F$2*78.233+IFERROR(--RIGHT(A3993,6),LEN(A3993))*0.0137+IFERROR(--RIGHT(B3993,6),LEN(B3993))*0.0071))*43758.5453,1),"")</f>
        <v/>
      </c>
      <c r="E3993" s="0" t="str">
        <f aca="false">IF(C3993=1,INT(MOD(ABS(SIN(D3993*7919.123+ROW()*0.618+'הדבקת לידים'!$F$2*1.3))*43758.5453,1)*1000000)*10000+ROW(),"")</f>
        <v/>
      </c>
      <c r="F3993" s="0" t="str">
        <f aca="false">IF(E3993="","",RANK(E3993,$E$2:$E$5001,1))</f>
        <v/>
      </c>
      <c r="G3993" s="0" t="n">
        <f aca="false">IF(A3993="",0,IF(SUMPRODUCT(--($A$2:$A$5001=A3993))&gt;1,1,0))</f>
        <v>0</v>
      </c>
      <c r="H3993" s="0" t="n">
        <f aca="false">ROW()-1</f>
        <v>3992</v>
      </c>
      <c r="I3993" s="0" t="str">
        <f aca="false">IF(OR(הגדרות!$E$6=0,H3993&gt;הגדרות!$E$5),"",IF(H3993-1&lt;הגדרות!$E$8*(הגדרות!$E$7+1),INT((H3993-1)/(הגדרות!$E$7+1)),הגדרות!$E$8+INT((H3993-1-הגדרות!$E$8*(הגדרות!$E$7+1))/הגדרות!$E$7)))</f>
        <v/>
      </c>
      <c r="J3993" s="0" t="str">
        <f aca="false">IF(I3993="","",IF(H3993-1&lt;הגדרות!$E$8*(הגדרות!$E$7+1),MOD(H3993-1,הגדרות!$E$7+1),MOD(H3993-1-הגדרות!$E$8*(הגדרות!$E$7+1),הגדרות!$E$7)))</f>
        <v/>
      </c>
      <c r="K3993" s="0" t="str">
        <f aca="false">IF(I3993="","",J3993*הגדרות!$E$6+I3993+1)</f>
        <v/>
      </c>
      <c r="L3993" s="0" t="str">
        <f aca="false">IF(K3993="","",MATCH(K3993,$F$2:$F$5001,0))</f>
        <v/>
      </c>
      <c r="M3993" s="0" t="str">
        <f aca="false">IF(I3993="","",INDEX(הגדרות!$A$2:$A$21,MOD(I3993+הגדרות!$E$9,הגדרות!$E$6)+1))</f>
        <v/>
      </c>
    </row>
    <row r="3994" customFormat="false" ht="15" hidden="false" customHeight="false" outlineLevel="0" collapsed="false">
      <c r="A3994" s="0" t="str">
        <f aca="false">IF('הדבקת לידים'!A3994="","",IF(ISNUMBER('הדבקת לידים'!A3994),IF(הגדרות!$E$2&gt;0,TEXT('הדבקת לידים'!A3994,REPT("0",הגדרות!$E$2)),TEXT('הדבקת לידים'!A3994,"0")),TRIM('הדבקת לידים'!A3994)))</f>
        <v/>
      </c>
      <c r="B3994" s="0" t="str">
        <f aca="false">IF('הדבקת לידים'!B3994="","",IF(ISNUMBER('הדבקת לידים'!B3994),IF(הגדרות!$E$3&gt;0,TEXT('הדבקת לידים'!B3994,REPT("0",הגדרות!$E$3)),TEXT('הדבקת לידים'!B3994,"0")),TRIM('הדבקת לידים'!B3994)))</f>
        <v/>
      </c>
      <c r="C3994" s="0" t="n">
        <f aca="false">IF(OR(A3994&lt;&gt;"",B3994&lt;&gt;""),1,0)</f>
        <v>0</v>
      </c>
      <c r="D3994" s="0" t="str">
        <f aca="false">IF(C3994=1,MOD(ABS(SIN(ROW()*12.9898+'הדבקת לידים'!$F$2*78.233+IFERROR(--RIGHT(A3994,6),LEN(A3994))*0.0137+IFERROR(--RIGHT(B3994,6),LEN(B3994))*0.0071))*43758.5453,1),"")</f>
        <v/>
      </c>
      <c r="E3994" s="0" t="str">
        <f aca="false">IF(C3994=1,INT(MOD(ABS(SIN(D3994*7919.123+ROW()*0.618+'הדבקת לידים'!$F$2*1.3))*43758.5453,1)*1000000)*10000+ROW(),"")</f>
        <v/>
      </c>
      <c r="F3994" s="0" t="str">
        <f aca="false">IF(E3994="","",RANK(E3994,$E$2:$E$5001,1))</f>
        <v/>
      </c>
      <c r="G3994" s="0" t="n">
        <f aca="false">IF(A3994="",0,IF(SUMPRODUCT(--($A$2:$A$5001=A3994))&gt;1,1,0))</f>
        <v>0</v>
      </c>
      <c r="H3994" s="0" t="n">
        <f aca="false">ROW()-1</f>
        <v>3993</v>
      </c>
      <c r="I3994" s="0" t="str">
        <f aca="false">IF(OR(הגדרות!$E$6=0,H3994&gt;הגדרות!$E$5),"",IF(H3994-1&lt;הגדרות!$E$8*(הגדרות!$E$7+1),INT((H3994-1)/(הגדרות!$E$7+1)),הגדרות!$E$8+INT((H3994-1-הגדרות!$E$8*(הגדרות!$E$7+1))/הגדרות!$E$7)))</f>
        <v/>
      </c>
      <c r="J3994" s="0" t="str">
        <f aca="false">IF(I3994="","",IF(H3994-1&lt;הגדרות!$E$8*(הגדרות!$E$7+1),MOD(H3994-1,הגדרות!$E$7+1),MOD(H3994-1-הגדרות!$E$8*(הגדרות!$E$7+1),הגדרות!$E$7)))</f>
        <v/>
      </c>
      <c r="K3994" s="0" t="str">
        <f aca="false">IF(I3994="","",J3994*הגדרות!$E$6+I3994+1)</f>
        <v/>
      </c>
      <c r="L3994" s="0" t="str">
        <f aca="false">IF(K3994="","",MATCH(K3994,$F$2:$F$5001,0))</f>
        <v/>
      </c>
      <c r="M3994" s="0" t="str">
        <f aca="false">IF(I3994="","",INDEX(הגדרות!$A$2:$A$21,MOD(I3994+הגדרות!$E$9,הגדרות!$E$6)+1))</f>
        <v/>
      </c>
    </row>
    <row r="3995" customFormat="false" ht="15" hidden="false" customHeight="false" outlineLevel="0" collapsed="false">
      <c r="A3995" s="0" t="str">
        <f aca="false">IF('הדבקת לידים'!A3995="","",IF(ISNUMBER('הדבקת לידים'!A3995),IF(הגדרות!$E$2&gt;0,TEXT('הדבקת לידים'!A3995,REPT("0",הגדרות!$E$2)),TEXT('הדבקת לידים'!A3995,"0")),TRIM('הדבקת לידים'!A3995)))</f>
        <v/>
      </c>
      <c r="B3995" s="0" t="str">
        <f aca="false">IF('הדבקת לידים'!B3995="","",IF(ISNUMBER('הדבקת לידים'!B3995),IF(הגדרות!$E$3&gt;0,TEXT('הדבקת לידים'!B3995,REPT("0",הגדרות!$E$3)),TEXT('הדבקת לידים'!B3995,"0")),TRIM('הדבקת לידים'!B3995)))</f>
        <v/>
      </c>
      <c r="C3995" s="0" t="n">
        <f aca="false">IF(OR(A3995&lt;&gt;"",B3995&lt;&gt;""),1,0)</f>
        <v>0</v>
      </c>
      <c r="D3995" s="0" t="str">
        <f aca="false">IF(C3995=1,MOD(ABS(SIN(ROW()*12.9898+'הדבקת לידים'!$F$2*78.233+IFERROR(--RIGHT(A3995,6),LEN(A3995))*0.0137+IFERROR(--RIGHT(B3995,6),LEN(B3995))*0.0071))*43758.5453,1),"")</f>
        <v/>
      </c>
      <c r="E3995" s="0" t="str">
        <f aca="false">IF(C3995=1,INT(MOD(ABS(SIN(D3995*7919.123+ROW()*0.618+'הדבקת לידים'!$F$2*1.3))*43758.5453,1)*1000000)*10000+ROW(),"")</f>
        <v/>
      </c>
      <c r="F3995" s="0" t="str">
        <f aca="false">IF(E3995="","",RANK(E3995,$E$2:$E$5001,1))</f>
        <v/>
      </c>
      <c r="G3995" s="0" t="n">
        <f aca="false">IF(A3995="",0,IF(SUMPRODUCT(--($A$2:$A$5001=A3995))&gt;1,1,0))</f>
        <v>0</v>
      </c>
      <c r="H3995" s="0" t="n">
        <f aca="false">ROW()-1</f>
        <v>3994</v>
      </c>
      <c r="I3995" s="0" t="str">
        <f aca="false">IF(OR(הגדרות!$E$6=0,H3995&gt;הגדרות!$E$5),"",IF(H3995-1&lt;הגדרות!$E$8*(הגדרות!$E$7+1),INT((H3995-1)/(הגדרות!$E$7+1)),הגדרות!$E$8+INT((H3995-1-הגדרות!$E$8*(הגדרות!$E$7+1))/הגדרות!$E$7)))</f>
        <v/>
      </c>
      <c r="J3995" s="0" t="str">
        <f aca="false">IF(I3995="","",IF(H3995-1&lt;הגדרות!$E$8*(הגדרות!$E$7+1),MOD(H3995-1,הגדרות!$E$7+1),MOD(H3995-1-הגדרות!$E$8*(הגדרות!$E$7+1),הגדרות!$E$7)))</f>
        <v/>
      </c>
      <c r="K3995" s="0" t="str">
        <f aca="false">IF(I3995="","",J3995*הגדרות!$E$6+I3995+1)</f>
        <v/>
      </c>
      <c r="L3995" s="0" t="str">
        <f aca="false">IF(K3995="","",MATCH(K3995,$F$2:$F$5001,0))</f>
        <v/>
      </c>
      <c r="M3995" s="0" t="str">
        <f aca="false">IF(I3995="","",INDEX(הגדרות!$A$2:$A$21,MOD(I3995+הגדרות!$E$9,הגדרות!$E$6)+1))</f>
        <v/>
      </c>
    </row>
    <row r="3996" customFormat="false" ht="15" hidden="false" customHeight="false" outlineLevel="0" collapsed="false">
      <c r="A3996" s="0" t="str">
        <f aca="false">IF('הדבקת לידים'!A3996="","",IF(ISNUMBER('הדבקת לידים'!A3996),IF(הגדרות!$E$2&gt;0,TEXT('הדבקת לידים'!A3996,REPT("0",הגדרות!$E$2)),TEXT('הדבקת לידים'!A3996,"0")),TRIM('הדבקת לידים'!A3996)))</f>
        <v/>
      </c>
      <c r="B3996" s="0" t="str">
        <f aca="false">IF('הדבקת לידים'!B3996="","",IF(ISNUMBER('הדבקת לידים'!B3996),IF(הגדרות!$E$3&gt;0,TEXT('הדבקת לידים'!B3996,REPT("0",הגדרות!$E$3)),TEXT('הדבקת לידים'!B3996,"0")),TRIM('הדבקת לידים'!B3996)))</f>
        <v/>
      </c>
      <c r="C3996" s="0" t="n">
        <f aca="false">IF(OR(A3996&lt;&gt;"",B3996&lt;&gt;""),1,0)</f>
        <v>0</v>
      </c>
      <c r="D3996" s="0" t="str">
        <f aca="false">IF(C3996=1,MOD(ABS(SIN(ROW()*12.9898+'הדבקת לידים'!$F$2*78.233+IFERROR(--RIGHT(A3996,6),LEN(A3996))*0.0137+IFERROR(--RIGHT(B3996,6),LEN(B3996))*0.0071))*43758.5453,1),"")</f>
        <v/>
      </c>
      <c r="E3996" s="0" t="str">
        <f aca="false">IF(C3996=1,INT(MOD(ABS(SIN(D3996*7919.123+ROW()*0.618+'הדבקת לידים'!$F$2*1.3))*43758.5453,1)*1000000)*10000+ROW(),"")</f>
        <v/>
      </c>
      <c r="F3996" s="0" t="str">
        <f aca="false">IF(E3996="","",RANK(E3996,$E$2:$E$5001,1))</f>
        <v/>
      </c>
      <c r="G3996" s="0" t="n">
        <f aca="false">IF(A3996="",0,IF(SUMPRODUCT(--($A$2:$A$5001=A3996))&gt;1,1,0))</f>
        <v>0</v>
      </c>
      <c r="H3996" s="0" t="n">
        <f aca="false">ROW()-1</f>
        <v>3995</v>
      </c>
      <c r="I3996" s="0" t="str">
        <f aca="false">IF(OR(הגדרות!$E$6=0,H3996&gt;הגדרות!$E$5),"",IF(H3996-1&lt;הגדרות!$E$8*(הגדרות!$E$7+1),INT((H3996-1)/(הגדרות!$E$7+1)),הגדרות!$E$8+INT((H3996-1-הגדרות!$E$8*(הגדרות!$E$7+1))/הגדרות!$E$7)))</f>
        <v/>
      </c>
      <c r="J3996" s="0" t="str">
        <f aca="false">IF(I3996="","",IF(H3996-1&lt;הגדרות!$E$8*(הגדרות!$E$7+1),MOD(H3996-1,הגדרות!$E$7+1),MOD(H3996-1-הגדרות!$E$8*(הגדרות!$E$7+1),הגדרות!$E$7)))</f>
        <v/>
      </c>
      <c r="K3996" s="0" t="str">
        <f aca="false">IF(I3996="","",J3996*הגדרות!$E$6+I3996+1)</f>
        <v/>
      </c>
      <c r="L3996" s="0" t="str">
        <f aca="false">IF(K3996="","",MATCH(K3996,$F$2:$F$5001,0))</f>
        <v/>
      </c>
      <c r="M3996" s="0" t="str">
        <f aca="false">IF(I3996="","",INDEX(הגדרות!$A$2:$A$21,MOD(I3996+הגדרות!$E$9,הגדרות!$E$6)+1))</f>
        <v/>
      </c>
    </row>
    <row r="3997" customFormat="false" ht="15" hidden="false" customHeight="false" outlineLevel="0" collapsed="false">
      <c r="A3997" s="0" t="str">
        <f aca="false">IF('הדבקת לידים'!A3997="","",IF(ISNUMBER('הדבקת לידים'!A3997),IF(הגדרות!$E$2&gt;0,TEXT('הדבקת לידים'!A3997,REPT("0",הגדרות!$E$2)),TEXT('הדבקת לידים'!A3997,"0")),TRIM('הדבקת לידים'!A3997)))</f>
        <v/>
      </c>
      <c r="B3997" s="0" t="str">
        <f aca="false">IF('הדבקת לידים'!B3997="","",IF(ISNUMBER('הדבקת לידים'!B3997),IF(הגדרות!$E$3&gt;0,TEXT('הדבקת לידים'!B3997,REPT("0",הגדרות!$E$3)),TEXT('הדבקת לידים'!B3997,"0")),TRIM('הדבקת לידים'!B3997)))</f>
        <v/>
      </c>
      <c r="C3997" s="0" t="n">
        <f aca="false">IF(OR(A3997&lt;&gt;"",B3997&lt;&gt;""),1,0)</f>
        <v>0</v>
      </c>
      <c r="D3997" s="0" t="str">
        <f aca="false">IF(C3997=1,MOD(ABS(SIN(ROW()*12.9898+'הדבקת לידים'!$F$2*78.233+IFERROR(--RIGHT(A3997,6),LEN(A3997))*0.0137+IFERROR(--RIGHT(B3997,6),LEN(B3997))*0.0071))*43758.5453,1),"")</f>
        <v/>
      </c>
      <c r="E3997" s="0" t="str">
        <f aca="false">IF(C3997=1,INT(MOD(ABS(SIN(D3997*7919.123+ROW()*0.618+'הדבקת לידים'!$F$2*1.3))*43758.5453,1)*1000000)*10000+ROW(),"")</f>
        <v/>
      </c>
      <c r="F3997" s="0" t="str">
        <f aca="false">IF(E3997="","",RANK(E3997,$E$2:$E$5001,1))</f>
        <v/>
      </c>
      <c r="G3997" s="0" t="n">
        <f aca="false">IF(A3997="",0,IF(SUMPRODUCT(--($A$2:$A$5001=A3997))&gt;1,1,0))</f>
        <v>0</v>
      </c>
      <c r="H3997" s="0" t="n">
        <f aca="false">ROW()-1</f>
        <v>3996</v>
      </c>
      <c r="I3997" s="0" t="str">
        <f aca="false">IF(OR(הגדרות!$E$6=0,H3997&gt;הגדרות!$E$5),"",IF(H3997-1&lt;הגדרות!$E$8*(הגדרות!$E$7+1),INT((H3997-1)/(הגדרות!$E$7+1)),הגדרות!$E$8+INT((H3997-1-הגדרות!$E$8*(הגדרות!$E$7+1))/הגדרות!$E$7)))</f>
        <v/>
      </c>
      <c r="J3997" s="0" t="str">
        <f aca="false">IF(I3997="","",IF(H3997-1&lt;הגדרות!$E$8*(הגדרות!$E$7+1),MOD(H3997-1,הגדרות!$E$7+1),MOD(H3997-1-הגדרות!$E$8*(הגדרות!$E$7+1),הגדרות!$E$7)))</f>
        <v/>
      </c>
      <c r="K3997" s="0" t="str">
        <f aca="false">IF(I3997="","",J3997*הגדרות!$E$6+I3997+1)</f>
        <v/>
      </c>
      <c r="L3997" s="0" t="str">
        <f aca="false">IF(K3997="","",MATCH(K3997,$F$2:$F$5001,0))</f>
        <v/>
      </c>
      <c r="M3997" s="0" t="str">
        <f aca="false">IF(I3997="","",INDEX(הגדרות!$A$2:$A$21,MOD(I3997+הגדרות!$E$9,הגדרות!$E$6)+1))</f>
        <v/>
      </c>
    </row>
    <row r="3998" customFormat="false" ht="15" hidden="false" customHeight="false" outlineLevel="0" collapsed="false">
      <c r="A3998" s="0" t="str">
        <f aca="false">IF('הדבקת לידים'!A3998="","",IF(ISNUMBER('הדבקת לידים'!A3998),IF(הגדרות!$E$2&gt;0,TEXT('הדבקת לידים'!A3998,REPT("0",הגדרות!$E$2)),TEXT('הדבקת לידים'!A3998,"0")),TRIM('הדבקת לידים'!A3998)))</f>
        <v/>
      </c>
      <c r="B3998" s="0" t="str">
        <f aca="false">IF('הדבקת לידים'!B3998="","",IF(ISNUMBER('הדבקת לידים'!B3998),IF(הגדרות!$E$3&gt;0,TEXT('הדבקת לידים'!B3998,REPT("0",הגדרות!$E$3)),TEXT('הדבקת לידים'!B3998,"0")),TRIM('הדבקת לידים'!B3998)))</f>
        <v/>
      </c>
      <c r="C3998" s="0" t="n">
        <f aca="false">IF(OR(A3998&lt;&gt;"",B3998&lt;&gt;""),1,0)</f>
        <v>0</v>
      </c>
      <c r="D3998" s="0" t="str">
        <f aca="false">IF(C3998=1,MOD(ABS(SIN(ROW()*12.9898+'הדבקת לידים'!$F$2*78.233+IFERROR(--RIGHT(A3998,6),LEN(A3998))*0.0137+IFERROR(--RIGHT(B3998,6),LEN(B3998))*0.0071))*43758.5453,1),"")</f>
        <v/>
      </c>
      <c r="E3998" s="0" t="str">
        <f aca="false">IF(C3998=1,INT(MOD(ABS(SIN(D3998*7919.123+ROW()*0.618+'הדבקת לידים'!$F$2*1.3))*43758.5453,1)*1000000)*10000+ROW(),"")</f>
        <v/>
      </c>
      <c r="F3998" s="0" t="str">
        <f aca="false">IF(E3998="","",RANK(E3998,$E$2:$E$5001,1))</f>
        <v/>
      </c>
      <c r="G3998" s="0" t="n">
        <f aca="false">IF(A3998="",0,IF(SUMPRODUCT(--($A$2:$A$5001=A3998))&gt;1,1,0))</f>
        <v>0</v>
      </c>
      <c r="H3998" s="0" t="n">
        <f aca="false">ROW()-1</f>
        <v>3997</v>
      </c>
      <c r="I3998" s="0" t="str">
        <f aca="false">IF(OR(הגדרות!$E$6=0,H3998&gt;הגדרות!$E$5),"",IF(H3998-1&lt;הגדרות!$E$8*(הגדרות!$E$7+1),INT((H3998-1)/(הגדרות!$E$7+1)),הגדרות!$E$8+INT((H3998-1-הגדרות!$E$8*(הגדרות!$E$7+1))/הגדרות!$E$7)))</f>
        <v/>
      </c>
      <c r="J3998" s="0" t="str">
        <f aca="false">IF(I3998="","",IF(H3998-1&lt;הגדרות!$E$8*(הגדרות!$E$7+1),MOD(H3998-1,הגדרות!$E$7+1),MOD(H3998-1-הגדרות!$E$8*(הגדרות!$E$7+1),הגדרות!$E$7)))</f>
        <v/>
      </c>
      <c r="K3998" s="0" t="str">
        <f aca="false">IF(I3998="","",J3998*הגדרות!$E$6+I3998+1)</f>
        <v/>
      </c>
      <c r="L3998" s="0" t="str">
        <f aca="false">IF(K3998="","",MATCH(K3998,$F$2:$F$5001,0))</f>
        <v/>
      </c>
      <c r="M3998" s="0" t="str">
        <f aca="false">IF(I3998="","",INDEX(הגדרות!$A$2:$A$21,MOD(I3998+הגדרות!$E$9,הגדרות!$E$6)+1))</f>
        <v/>
      </c>
    </row>
    <row r="3999" customFormat="false" ht="15" hidden="false" customHeight="false" outlineLevel="0" collapsed="false">
      <c r="A3999" s="0" t="str">
        <f aca="false">IF('הדבקת לידים'!A3999="","",IF(ISNUMBER('הדבקת לידים'!A3999),IF(הגדרות!$E$2&gt;0,TEXT('הדבקת לידים'!A3999,REPT("0",הגדרות!$E$2)),TEXT('הדבקת לידים'!A3999,"0")),TRIM('הדבקת לידים'!A3999)))</f>
        <v/>
      </c>
      <c r="B3999" s="0" t="str">
        <f aca="false">IF('הדבקת לידים'!B3999="","",IF(ISNUMBER('הדבקת לידים'!B3999),IF(הגדרות!$E$3&gt;0,TEXT('הדבקת לידים'!B3999,REPT("0",הגדרות!$E$3)),TEXT('הדבקת לידים'!B3999,"0")),TRIM('הדבקת לידים'!B3999)))</f>
        <v/>
      </c>
      <c r="C3999" s="0" t="n">
        <f aca="false">IF(OR(A3999&lt;&gt;"",B3999&lt;&gt;""),1,0)</f>
        <v>0</v>
      </c>
      <c r="D3999" s="0" t="str">
        <f aca="false">IF(C3999=1,MOD(ABS(SIN(ROW()*12.9898+'הדבקת לידים'!$F$2*78.233+IFERROR(--RIGHT(A3999,6),LEN(A3999))*0.0137+IFERROR(--RIGHT(B3999,6),LEN(B3999))*0.0071))*43758.5453,1),"")</f>
        <v/>
      </c>
      <c r="E3999" s="0" t="str">
        <f aca="false">IF(C3999=1,INT(MOD(ABS(SIN(D3999*7919.123+ROW()*0.618+'הדבקת לידים'!$F$2*1.3))*43758.5453,1)*1000000)*10000+ROW(),"")</f>
        <v/>
      </c>
      <c r="F3999" s="0" t="str">
        <f aca="false">IF(E3999="","",RANK(E3999,$E$2:$E$5001,1))</f>
        <v/>
      </c>
      <c r="G3999" s="0" t="n">
        <f aca="false">IF(A3999="",0,IF(SUMPRODUCT(--($A$2:$A$5001=A3999))&gt;1,1,0))</f>
        <v>0</v>
      </c>
      <c r="H3999" s="0" t="n">
        <f aca="false">ROW()-1</f>
        <v>3998</v>
      </c>
      <c r="I3999" s="0" t="str">
        <f aca="false">IF(OR(הגדרות!$E$6=0,H3999&gt;הגדרות!$E$5),"",IF(H3999-1&lt;הגדרות!$E$8*(הגדרות!$E$7+1),INT((H3999-1)/(הגדרות!$E$7+1)),הגדרות!$E$8+INT((H3999-1-הגדרות!$E$8*(הגדרות!$E$7+1))/הגדרות!$E$7)))</f>
        <v/>
      </c>
      <c r="J3999" s="0" t="str">
        <f aca="false">IF(I3999="","",IF(H3999-1&lt;הגדרות!$E$8*(הגדרות!$E$7+1),MOD(H3999-1,הגדרות!$E$7+1),MOD(H3999-1-הגדרות!$E$8*(הגדרות!$E$7+1),הגדרות!$E$7)))</f>
        <v/>
      </c>
      <c r="K3999" s="0" t="str">
        <f aca="false">IF(I3999="","",J3999*הגדרות!$E$6+I3999+1)</f>
        <v/>
      </c>
      <c r="L3999" s="0" t="str">
        <f aca="false">IF(K3999="","",MATCH(K3999,$F$2:$F$5001,0))</f>
        <v/>
      </c>
      <c r="M3999" s="0" t="str">
        <f aca="false">IF(I3999="","",INDEX(הגדרות!$A$2:$A$21,MOD(I3999+הגדרות!$E$9,הגדרות!$E$6)+1))</f>
        <v/>
      </c>
    </row>
    <row r="4000" customFormat="false" ht="15" hidden="false" customHeight="false" outlineLevel="0" collapsed="false">
      <c r="A4000" s="0" t="str">
        <f aca="false">IF('הדבקת לידים'!A4000="","",IF(ISNUMBER('הדבקת לידים'!A4000),IF(הגדרות!$E$2&gt;0,TEXT('הדבקת לידים'!A4000,REPT("0",הגדרות!$E$2)),TEXT('הדבקת לידים'!A4000,"0")),TRIM('הדבקת לידים'!A4000)))</f>
        <v/>
      </c>
      <c r="B4000" s="0" t="str">
        <f aca="false">IF('הדבקת לידים'!B4000="","",IF(ISNUMBER('הדבקת לידים'!B4000),IF(הגדרות!$E$3&gt;0,TEXT('הדבקת לידים'!B4000,REPT("0",הגדרות!$E$3)),TEXT('הדבקת לידים'!B4000,"0")),TRIM('הדבקת לידים'!B4000)))</f>
        <v/>
      </c>
      <c r="C4000" s="0" t="n">
        <f aca="false">IF(OR(A4000&lt;&gt;"",B4000&lt;&gt;""),1,0)</f>
        <v>0</v>
      </c>
      <c r="D4000" s="0" t="str">
        <f aca="false">IF(C4000=1,MOD(ABS(SIN(ROW()*12.9898+'הדבקת לידים'!$F$2*78.233+IFERROR(--RIGHT(A4000,6),LEN(A4000))*0.0137+IFERROR(--RIGHT(B4000,6),LEN(B4000))*0.0071))*43758.5453,1),"")</f>
        <v/>
      </c>
      <c r="E4000" s="0" t="str">
        <f aca="false">IF(C4000=1,INT(MOD(ABS(SIN(D4000*7919.123+ROW()*0.618+'הדבקת לידים'!$F$2*1.3))*43758.5453,1)*1000000)*10000+ROW(),"")</f>
        <v/>
      </c>
      <c r="F4000" s="0" t="str">
        <f aca="false">IF(E4000="","",RANK(E4000,$E$2:$E$5001,1))</f>
        <v/>
      </c>
      <c r="G4000" s="0" t="n">
        <f aca="false">IF(A4000="",0,IF(SUMPRODUCT(--($A$2:$A$5001=A4000))&gt;1,1,0))</f>
        <v>0</v>
      </c>
      <c r="H4000" s="0" t="n">
        <f aca="false">ROW()-1</f>
        <v>3999</v>
      </c>
      <c r="I4000" s="0" t="str">
        <f aca="false">IF(OR(הגדרות!$E$6=0,H4000&gt;הגדרות!$E$5),"",IF(H4000-1&lt;הגדרות!$E$8*(הגדרות!$E$7+1),INT((H4000-1)/(הגדרות!$E$7+1)),הגדרות!$E$8+INT((H4000-1-הגדרות!$E$8*(הגדרות!$E$7+1))/הגדרות!$E$7)))</f>
        <v/>
      </c>
      <c r="J4000" s="0" t="str">
        <f aca="false">IF(I4000="","",IF(H4000-1&lt;הגדרות!$E$8*(הגדרות!$E$7+1),MOD(H4000-1,הגדרות!$E$7+1),MOD(H4000-1-הגדרות!$E$8*(הגדרות!$E$7+1),הגדרות!$E$7)))</f>
        <v/>
      </c>
      <c r="K4000" s="0" t="str">
        <f aca="false">IF(I4000="","",J4000*הגדרות!$E$6+I4000+1)</f>
        <v/>
      </c>
      <c r="L4000" s="0" t="str">
        <f aca="false">IF(K4000="","",MATCH(K4000,$F$2:$F$5001,0))</f>
        <v/>
      </c>
      <c r="M4000" s="0" t="str">
        <f aca="false">IF(I4000="","",INDEX(הגדרות!$A$2:$A$21,MOD(I4000+הגדרות!$E$9,הגדרות!$E$6)+1))</f>
        <v/>
      </c>
    </row>
    <row r="4001" customFormat="false" ht="15" hidden="false" customHeight="false" outlineLevel="0" collapsed="false">
      <c r="A4001" s="0" t="str">
        <f aca="false">IF('הדבקת לידים'!A4001="","",IF(ISNUMBER('הדבקת לידים'!A4001),IF(הגדרות!$E$2&gt;0,TEXT('הדבקת לידים'!A4001,REPT("0",הגדרות!$E$2)),TEXT('הדבקת לידים'!A4001,"0")),TRIM('הדבקת לידים'!A4001)))</f>
        <v/>
      </c>
      <c r="B4001" s="0" t="str">
        <f aca="false">IF('הדבקת לידים'!B4001="","",IF(ISNUMBER('הדבקת לידים'!B4001),IF(הגדרות!$E$3&gt;0,TEXT('הדבקת לידים'!B4001,REPT("0",הגדרות!$E$3)),TEXT('הדבקת לידים'!B4001,"0")),TRIM('הדבקת לידים'!B4001)))</f>
        <v/>
      </c>
      <c r="C4001" s="0" t="n">
        <f aca="false">IF(OR(A4001&lt;&gt;"",B4001&lt;&gt;""),1,0)</f>
        <v>0</v>
      </c>
      <c r="D4001" s="0" t="str">
        <f aca="false">IF(C4001=1,MOD(ABS(SIN(ROW()*12.9898+'הדבקת לידים'!$F$2*78.233+IFERROR(--RIGHT(A4001,6),LEN(A4001))*0.0137+IFERROR(--RIGHT(B4001,6),LEN(B4001))*0.0071))*43758.5453,1),"")</f>
        <v/>
      </c>
      <c r="E4001" s="0" t="str">
        <f aca="false">IF(C4001=1,INT(MOD(ABS(SIN(D4001*7919.123+ROW()*0.618+'הדבקת לידים'!$F$2*1.3))*43758.5453,1)*1000000)*10000+ROW(),"")</f>
        <v/>
      </c>
      <c r="F4001" s="0" t="str">
        <f aca="false">IF(E4001="","",RANK(E4001,$E$2:$E$5001,1))</f>
        <v/>
      </c>
      <c r="G4001" s="0" t="n">
        <f aca="false">IF(A4001="",0,IF(SUMPRODUCT(--($A$2:$A$5001=A4001))&gt;1,1,0))</f>
        <v>0</v>
      </c>
      <c r="H4001" s="0" t="n">
        <f aca="false">ROW()-1</f>
        <v>4000</v>
      </c>
      <c r="I4001" s="0" t="str">
        <f aca="false">IF(OR(הגדרות!$E$6=0,H4001&gt;הגדרות!$E$5),"",IF(H4001-1&lt;הגדרות!$E$8*(הגדרות!$E$7+1),INT((H4001-1)/(הגדרות!$E$7+1)),הגדרות!$E$8+INT((H4001-1-הגדרות!$E$8*(הגדרות!$E$7+1))/הגדרות!$E$7)))</f>
        <v/>
      </c>
      <c r="J4001" s="0" t="str">
        <f aca="false">IF(I4001="","",IF(H4001-1&lt;הגדרות!$E$8*(הגדרות!$E$7+1),MOD(H4001-1,הגדרות!$E$7+1),MOD(H4001-1-הגדרות!$E$8*(הגדרות!$E$7+1),הגדרות!$E$7)))</f>
        <v/>
      </c>
      <c r="K4001" s="0" t="str">
        <f aca="false">IF(I4001="","",J4001*הגדרות!$E$6+I4001+1)</f>
        <v/>
      </c>
      <c r="L4001" s="0" t="str">
        <f aca="false">IF(K4001="","",MATCH(K4001,$F$2:$F$5001,0))</f>
        <v/>
      </c>
      <c r="M4001" s="0" t="str">
        <f aca="false">IF(I4001="","",INDEX(הגדרות!$A$2:$A$21,MOD(I4001+הגדרות!$E$9,הגדרות!$E$6)+1))</f>
        <v/>
      </c>
    </row>
    <row r="4002" customFormat="false" ht="15" hidden="false" customHeight="false" outlineLevel="0" collapsed="false">
      <c r="A4002" s="0" t="str">
        <f aca="false">IF('הדבקת לידים'!A4002="","",IF(ISNUMBER('הדבקת לידים'!A4002),IF(הגדרות!$E$2&gt;0,TEXT('הדבקת לידים'!A4002,REPT("0",הגדרות!$E$2)),TEXT('הדבקת לידים'!A4002,"0")),TRIM('הדבקת לידים'!A4002)))</f>
        <v/>
      </c>
      <c r="B4002" s="0" t="str">
        <f aca="false">IF('הדבקת לידים'!B4002="","",IF(ISNUMBER('הדבקת לידים'!B4002),IF(הגדרות!$E$3&gt;0,TEXT('הדבקת לידים'!B4002,REPT("0",הגדרות!$E$3)),TEXT('הדבקת לידים'!B4002,"0")),TRIM('הדבקת לידים'!B4002)))</f>
        <v/>
      </c>
      <c r="C4002" s="0" t="n">
        <f aca="false">IF(OR(A4002&lt;&gt;"",B4002&lt;&gt;""),1,0)</f>
        <v>0</v>
      </c>
      <c r="D4002" s="0" t="str">
        <f aca="false">IF(C4002=1,MOD(ABS(SIN(ROW()*12.9898+'הדבקת לידים'!$F$2*78.233+IFERROR(--RIGHT(A4002,6),LEN(A4002))*0.0137+IFERROR(--RIGHT(B4002,6),LEN(B4002))*0.0071))*43758.5453,1),"")</f>
        <v/>
      </c>
      <c r="E4002" s="0" t="str">
        <f aca="false">IF(C4002=1,INT(MOD(ABS(SIN(D4002*7919.123+ROW()*0.618+'הדבקת לידים'!$F$2*1.3))*43758.5453,1)*1000000)*10000+ROW(),"")</f>
        <v/>
      </c>
      <c r="F4002" s="0" t="str">
        <f aca="false">IF(E4002="","",RANK(E4002,$E$2:$E$5001,1))</f>
        <v/>
      </c>
      <c r="G4002" s="0" t="n">
        <f aca="false">IF(A4002="",0,IF(SUMPRODUCT(--($A$2:$A$5001=A4002))&gt;1,1,0))</f>
        <v>0</v>
      </c>
      <c r="H4002" s="0" t="n">
        <f aca="false">ROW()-1</f>
        <v>4001</v>
      </c>
      <c r="I4002" s="0" t="str">
        <f aca="false">IF(OR(הגדרות!$E$6=0,H4002&gt;הגדרות!$E$5),"",IF(H4002-1&lt;הגדרות!$E$8*(הגדרות!$E$7+1),INT((H4002-1)/(הגדרות!$E$7+1)),הגדרות!$E$8+INT((H4002-1-הגדרות!$E$8*(הגדרות!$E$7+1))/הגדרות!$E$7)))</f>
        <v/>
      </c>
      <c r="J4002" s="0" t="str">
        <f aca="false">IF(I4002="","",IF(H4002-1&lt;הגדרות!$E$8*(הגדרות!$E$7+1),MOD(H4002-1,הגדרות!$E$7+1),MOD(H4002-1-הגדרות!$E$8*(הגדרות!$E$7+1),הגדרות!$E$7)))</f>
        <v/>
      </c>
      <c r="K4002" s="0" t="str">
        <f aca="false">IF(I4002="","",J4002*הגדרות!$E$6+I4002+1)</f>
        <v/>
      </c>
      <c r="L4002" s="0" t="str">
        <f aca="false">IF(K4002="","",MATCH(K4002,$F$2:$F$5001,0))</f>
        <v/>
      </c>
      <c r="M4002" s="0" t="str">
        <f aca="false">IF(I4002="","",INDEX(הגדרות!$A$2:$A$21,MOD(I4002+הגדרות!$E$9,הגדרות!$E$6)+1))</f>
        <v/>
      </c>
    </row>
    <row r="4003" customFormat="false" ht="15" hidden="false" customHeight="false" outlineLevel="0" collapsed="false">
      <c r="A4003" s="0" t="str">
        <f aca="false">IF('הדבקת לידים'!A4003="","",IF(ISNUMBER('הדבקת לידים'!A4003),IF(הגדרות!$E$2&gt;0,TEXT('הדבקת לידים'!A4003,REPT("0",הגדרות!$E$2)),TEXT('הדבקת לידים'!A4003,"0")),TRIM('הדבקת לידים'!A4003)))</f>
        <v/>
      </c>
      <c r="B4003" s="0" t="str">
        <f aca="false">IF('הדבקת לידים'!B4003="","",IF(ISNUMBER('הדבקת לידים'!B4003),IF(הגדרות!$E$3&gt;0,TEXT('הדבקת לידים'!B4003,REPT("0",הגדרות!$E$3)),TEXT('הדבקת לידים'!B4003,"0")),TRIM('הדבקת לידים'!B4003)))</f>
        <v/>
      </c>
      <c r="C4003" s="0" t="n">
        <f aca="false">IF(OR(A4003&lt;&gt;"",B4003&lt;&gt;""),1,0)</f>
        <v>0</v>
      </c>
      <c r="D4003" s="0" t="str">
        <f aca="false">IF(C4003=1,MOD(ABS(SIN(ROW()*12.9898+'הדבקת לידים'!$F$2*78.233+IFERROR(--RIGHT(A4003,6),LEN(A4003))*0.0137+IFERROR(--RIGHT(B4003,6),LEN(B4003))*0.0071))*43758.5453,1),"")</f>
        <v/>
      </c>
      <c r="E4003" s="0" t="str">
        <f aca="false">IF(C4003=1,INT(MOD(ABS(SIN(D4003*7919.123+ROW()*0.618+'הדבקת לידים'!$F$2*1.3))*43758.5453,1)*1000000)*10000+ROW(),"")</f>
        <v/>
      </c>
      <c r="F4003" s="0" t="str">
        <f aca="false">IF(E4003="","",RANK(E4003,$E$2:$E$5001,1))</f>
        <v/>
      </c>
      <c r="G4003" s="0" t="n">
        <f aca="false">IF(A4003="",0,IF(SUMPRODUCT(--($A$2:$A$5001=A4003))&gt;1,1,0))</f>
        <v>0</v>
      </c>
      <c r="H4003" s="0" t="n">
        <f aca="false">ROW()-1</f>
        <v>4002</v>
      </c>
      <c r="I4003" s="0" t="str">
        <f aca="false">IF(OR(הגדרות!$E$6=0,H4003&gt;הגדרות!$E$5),"",IF(H4003-1&lt;הגדרות!$E$8*(הגדרות!$E$7+1),INT((H4003-1)/(הגדרות!$E$7+1)),הגדרות!$E$8+INT((H4003-1-הגדרות!$E$8*(הגדרות!$E$7+1))/הגדרות!$E$7)))</f>
        <v/>
      </c>
      <c r="J4003" s="0" t="str">
        <f aca="false">IF(I4003="","",IF(H4003-1&lt;הגדרות!$E$8*(הגדרות!$E$7+1),MOD(H4003-1,הגדרות!$E$7+1),MOD(H4003-1-הגדרות!$E$8*(הגדרות!$E$7+1),הגדרות!$E$7)))</f>
        <v/>
      </c>
      <c r="K4003" s="0" t="str">
        <f aca="false">IF(I4003="","",J4003*הגדרות!$E$6+I4003+1)</f>
        <v/>
      </c>
      <c r="L4003" s="0" t="str">
        <f aca="false">IF(K4003="","",MATCH(K4003,$F$2:$F$5001,0))</f>
        <v/>
      </c>
      <c r="M4003" s="0" t="str">
        <f aca="false">IF(I4003="","",INDEX(הגדרות!$A$2:$A$21,MOD(I4003+הגדרות!$E$9,הגדרות!$E$6)+1))</f>
        <v/>
      </c>
    </row>
    <row r="4004" customFormat="false" ht="15" hidden="false" customHeight="false" outlineLevel="0" collapsed="false">
      <c r="A4004" s="0" t="str">
        <f aca="false">IF('הדבקת לידים'!A4004="","",IF(ISNUMBER('הדבקת לידים'!A4004),IF(הגדרות!$E$2&gt;0,TEXT('הדבקת לידים'!A4004,REPT("0",הגדרות!$E$2)),TEXT('הדבקת לידים'!A4004,"0")),TRIM('הדבקת לידים'!A4004)))</f>
        <v/>
      </c>
      <c r="B4004" s="0" t="str">
        <f aca="false">IF('הדבקת לידים'!B4004="","",IF(ISNUMBER('הדבקת לידים'!B4004),IF(הגדרות!$E$3&gt;0,TEXT('הדבקת לידים'!B4004,REPT("0",הגדרות!$E$3)),TEXT('הדבקת לידים'!B4004,"0")),TRIM('הדבקת לידים'!B4004)))</f>
        <v/>
      </c>
      <c r="C4004" s="0" t="n">
        <f aca="false">IF(OR(A4004&lt;&gt;"",B4004&lt;&gt;""),1,0)</f>
        <v>0</v>
      </c>
      <c r="D4004" s="0" t="str">
        <f aca="false">IF(C4004=1,MOD(ABS(SIN(ROW()*12.9898+'הדבקת לידים'!$F$2*78.233+IFERROR(--RIGHT(A4004,6),LEN(A4004))*0.0137+IFERROR(--RIGHT(B4004,6),LEN(B4004))*0.0071))*43758.5453,1),"")</f>
        <v/>
      </c>
      <c r="E4004" s="0" t="str">
        <f aca="false">IF(C4004=1,INT(MOD(ABS(SIN(D4004*7919.123+ROW()*0.618+'הדבקת לידים'!$F$2*1.3))*43758.5453,1)*1000000)*10000+ROW(),"")</f>
        <v/>
      </c>
      <c r="F4004" s="0" t="str">
        <f aca="false">IF(E4004="","",RANK(E4004,$E$2:$E$5001,1))</f>
        <v/>
      </c>
      <c r="G4004" s="0" t="n">
        <f aca="false">IF(A4004="",0,IF(SUMPRODUCT(--($A$2:$A$5001=A4004))&gt;1,1,0))</f>
        <v>0</v>
      </c>
      <c r="H4004" s="0" t="n">
        <f aca="false">ROW()-1</f>
        <v>4003</v>
      </c>
      <c r="I4004" s="0" t="str">
        <f aca="false">IF(OR(הגדרות!$E$6=0,H4004&gt;הגדרות!$E$5),"",IF(H4004-1&lt;הגדרות!$E$8*(הגדרות!$E$7+1),INT((H4004-1)/(הגדרות!$E$7+1)),הגדרות!$E$8+INT((H4004-1-הגדרות!$E$8*(הגדרות!$E$7+1))/הגדרות!$E$7)))</f>
        <v/>
      </c>
      <c r="J4004" s="0" t="str">
        <f aca="false">IF(I4004="","",IF(H4004-1&lt;הגדרות!$E$8*(הגדרות!$E$7+1),MOD(H4004-1,הגדרות!$E$7+1),MOD(H4004-1-הגדרות!$E$8*(הגדרות!$E$7+1),הגדרות!$E$7)))</f>
        <v/>
      </c>
      <c r="K4004" s="0" t="str">
        <f aca="false">IF(I4004="","",J4004*הגדרות!$E$6+I4004+1)</f>
        <v/>
      </c>
      <c r="L4004" s="0" t="str">
        <f aca="false">IF(K4004="","",MATCH(K4004,$F$2:$F$5001,0))</f>
        <v/>
      </c>
      <c r="M4004" s="0" t="str">
        <f aca="false">IF(I4004="","",INDEX(הגדרות!$A$2:$A$21,MOD(I4004+הגדרות!$E$9,הגדרות!$E$6)+1))</f>
        <v/>
      </c>
    </row>
    <row r="4005" customFormat="false" ht="15" hidden="false" customHeight="false" outlineLevel="0" collapsed="false">
      <c r="A4005" s="0" t="str">
        <f aca="false">IF('הדבקת לידים'!A4005="","",IF(ISNUMBER('הדבקת לידים'!A4005),IF(הגדרות!$E$2&gt;0,TEXT('הדבקת לידים'!A4005,REPT("0",הגדרות!$E$2)),TEXT('הדבקת לידים'!A4005,"0")),TRIM('הדבקת לידים'!A4005)))</f>
        <v/>
      </c>
      <c r="B4005" s="0" t="str">
        <f aca="false">IF('הדבקת לידים'!B4005="","",IF(ISNUMBER('הדבקת לידים'!B4005),IF(הגדרות!$E$3&gt;0,TEXT('הדבקת לידים'!B4005,REPT("0",הגדרות!$E$3)),TEXT('הדבקת לידים'!B4005,"0")),TRIM('הדבקת לידים'!B4005)))</f>
        <v/>
      </c>
      <c r="C4005" s="0" t="n">
        <f aca="false">IF(OR(A4005&lt;&gt;"",B4005&lt;&gt;""),1,0)</f>
        <v>0</v>
      </c>
      <c r="D4005" s="0" t="str">
        <f aca="false">IF(C4005=1,MOD(ABS(SIN(ROW()*12.9898+'הדבקת לידים'!$F$2*78.233+IFERROR(--RIGHT(A4005,6),LEN(A4005))*0.0137+IFERROR(--RIGHT(B4005,6),LEN(B4005))*0.0071))*43758.5453,1),"")</f>
        <v/>
      </c>
      <c r="E4005" s="0" t="str">
        <f aca="false">IF(C4005=1,INT(MOD(ABS(SIN(D4005*7919.123+ROW()*0.618+'הדבקת לידים'!$F$2*1.3))*43758.5453,1)*1000000)*10000+ROW(),"")</f>
        <v/>
      </c>
      <c r="F4005" s="0" t="str">
        <f aca="false">IF(E4005="","",RANK(E4005,$E$2:$E$5001,1))</f>
        <v/>
      </c>
      <c r="G4005" s="0" t="n">
        <f aca="false">IF(A4005="",0,IF(SUMPRODUCT(--($A$2:$A$5001=A4005))&gt;1,1,0))</f>
        <v>0</v>
      </c>
      <c r="H4005" s="0" t="n">
        <f aca="false">ROW()-1</f>
        <v>4004</v>
      </c>
      <c r="I4005" s="0" t="str">
        <f aca="false">IF(OR(הגדרות!$E$6=0,H4005&gt;הגדרות!$E$5),"",IF(H4005-1&lt;הגדרות!$E$8*(הגדרות!$E$7+1),INT((H4005-1)/(הגדרות!$E$7+1)),הגדרות!$E$8+INT((H4005-1-הגדרות!$E$8*(הגדרות!$E$7+1))/הגדרות!$E$7)))</f>
        <v/>
      </c>
      <c r="J4005" s="0" t="str">
        <f aca="false">IF(I4005="","",IF(H4005-1&lt;הגדרות!$E$8*(הגדרות!$E$7+1),MOD(H4005-1,הגדרות!$E$7+1),MOD(H4005-1-הגדרות!$E$8*(הגדרות!$E$7+1),הגדרות!$E$7)))</f>
        <v/>
      </c>
      <c r="K4005" s="0" t="str">
        <f aca="false">IF(I4005="","",J4005*הגדרות!$E$6+I4005+1)</f>
        <v/>
      </c>
      <c r="L4005" s="0" t="str">
        <f aca="false">IF(K4005="","",MATCH(K4005,$F$2:$F$5001,0))</f>
        <v/>
      </c>
      <c r="M4005" s="0" t="str">
        <f aca="false">IF(I4005="","",INDEX(הגדרות!$A$2:$A$21,MOD(I4005+הגדרות!$E$9,הגדרות!$E$6)+1))</f>
        <v/>
      </c>
    </row>
    <row r="4006" customFormat="false" ht="15" hidden="false" customHeight="false" outlineLevel="0" collapsed="false">
      <c r="A4006" s="0" t="str">
        <f aca="false">IF('הדבקת לידים'!A4006="","",IF(ISNUMBER('הדבקת לידים'!A4006),IF(הגדרות!$E$2&gt;0,TEXT('הדבקת לידים'!A4006,REPT("0",הגדרות!$E$2)),TEXT('הדבקת לידים'!A4006,"0")),TRIM('הדבקת לידים'!A4006)))</f>
        <v/>
      </c>
      <c r="B4006" s="0" t="str">
        <f aca="false">IF('הדבקת לידים'!B4006="","",IF(ISNUMBER('הדבקת לידים'!B4006),IF(הגדרות!$E$3&gt;0,TEXT('הדבקת לידים'!B4006,REPT("0",הגדרות!$E$3)),TEXT('הדבקת לידים'!B4006,"0")),TRIM('הדבקת לידים'!B4006)))</f>
        <v/>
      </c>
      <c r="C4006" s="0" t="n">
        <f aca="false">IF(OR(A4006&lt;&gt;"",B4006&lt;&gt;""),1,0)</f>
        <v>0</v>
      </c>
      <c r="D4006" s="0" t="str">
        <f aca="false">IF(C4006=1,MOD(ABS(SIN(ROW()*12.9898+'הדבקת לידים'!$F$2*78.233+IFERROR(--RIGHT(A4006,6),LEN(A4006))*0.0137+IFERROR(--RIGHT(B4006,6),LEN(B4006))*0.0071))*43758.5453,1),"")</f>
        <v/>
      </c>
      <c r="E4006" s="0" t="str">
        <f aca="false">IF(C4006=1,INT(MOD(ABS(SIN(D4006*7919.123+ROW()*0.618+'הדבקת לידים'!$F$2*1.3))*43758.5453,1)*1000000)*10000+ROW(),"")</f>
        <v/>
      </c>
      <c r="F4006" s="0" t="str">
        <f aca="false">IF(E4006="","",RANK(E4006,$E$2:$E$5001,1))</f>
        <v/>
      </c>
      <c r="G4006" s="0" t="n">
        <f aca="false">IF(A4006="",0,IF(SUMPRODUCT(--($A$2:$A$5001=A4006))&gt;1,1,0))</f>
        <v>0</v>
      </c>
      <c r="H4006" s="0" t="n">
        <f aca="false">ROW()-1</f>
        <v>4005</v>
      </c>
      <c r="I4006" s="0" t="str">
        <f aca="false">IF(OR(הגדרות!$E$6=0,H4006&gt;הגדרות!$E$5),"",IF(H4006-1&lt;הגדרות!$E$8*(הגדרות!$E$7+1),INT((H4006-1)/(הגדרות!$E$7+1)),הגדרות!$E$8+INT((H4006-1-הגדרות!$E$8*(הגדרות!$E$7+1))/הגדרות!$E$7)))</f>
        <v/>
      </c>
      <c r="J4006" s="0" t="str">
        <f aca="false">IF(I4006="","",IF(H4006-1&lt;הגדרות!$E$8*(הגדרות!$E$7+1),MOD(H4006-1,הגדרות!$E$7+1),MOD(H4006-1-הגדרות!$E$8*(הגדרות!$E$7+1),הגדרות!$E$7)))</f>
        <v/>
      </c>
      <c r="K4006" s="0" t="str">
        <f aca="false">IF(I4006="","",J4006*הגדרות!$E$6+I4006+1)</f>
        <v/>
      </c>
      <c r="L4006" s="0" t="str">
        <f aca="false">IF(K4006="","",MATCH(K4006,$F$2:$F$5001,0))</f>
        <v/>
      </c>
      <c r="M4006" s="0" t="str">
        <f aca="false">IF(I4006="","",INDEX(הגדרות!$A$2:$A$21,MOD(I4006+הגדרות!$E$9,הגדרות!$E$6)+1))</f>
        <v/>
      </c>
    </row>
    <row r="4007" customFormat="false" ht="15" hidden="false" customHeight="false" outlineLevel="0" collapsed="false">
      <c r="A4007" s="0" t="str">
        <f aca="false">IF('הדבקת לידים'!A4007="","",IF(ISNUMBER('הדבקת לידים'!A4007),IF(הגדרות!$E$2&gt;0,TEXT('הדבקת לידים'!A4007,REPT("0",הגדרות!$E$2)),TEXT('הדבקת לידים'!A4007,"0")),TRIM('הדבקת לידים'!A4007)))</f>
        <v/>
      </c>
      <c r="B4007" s="0" t="str">
        <f aca="false">IF('הדבקת לידים'!B4007="","",IF(ISNUMBER('הדבקת לידים'!B4007),IF(הגדרות!$E$3&gt;0,TEXT('הדבקת לידים'!B4007,REPT("0",הגדרות!$E$3)),TEXT('הדבקת לידים'!B4007,"0")),TRIM('הדבקת לידים'!B4007)))</f>
        <v/>
      </c>
      <c r="C4007" s="0" t="n">
        <f aca="false">IF(OR(A4007&lt;&gt;"",B4007&lt;&gt;""),1,0)</f>
        <v>0</v>
      </c>
      <c r="D4007" s="0" t="str">
        <f aca="false">IF(C4007=1,MOD(ABS(SIN(ROW()*12.9898+'הדבקת לידים'!$F$2*78.233+IFERROR(--RIGHT(A4007,6),LEN(A4007))*0.0137+IFERROR(--RIGHT(B4007,6),LEN(B4007))*0.0071))*43758.5453,1),"")</f>
        <v/>
      </c>
      <c r="E4007" s="0" t="str">
        <f aca="false">IF(C4007=1,INT(MOD(ABS(SIN(D4007*7919.123+ROW()*0.618+'הדבקת לידים'!$F$2*1.3))*43758.5453,1)*1000000)*10000+ROW(),"")</f>
        <v/>
      </c>
      <c r="F4007" s="0" t="str">
        <f aca="false">IF(E4007="","",RANK(E4007,$E$2:$E$5001,1))</f>
        <v/>
      </c>
      <c r="G4007" s="0" t="n">
        <f aca="false">IF(A4007="",0,IF(SUMPRODUCT(--($A$2:$A$5001=A4007))&gt;1,1,0))</f>
        <v>0</v>
      </c>
      <c r="H4007" s="0" t="n">
        <f aca="false">ROW()-1</f>
        <v>4006</v>
      </c>
      <c r="I4007" s="0" t="str">
        <f aca="false">IF(OR(הגדרות!$E$6=0,H4007&gt;הגדרות!$E$5),"",IF(H4007-1&lt;הגדרות!$E$8*(הגדרות!$E$7+1),INT((H4007-1)/(הגדרות!$E$7+1)),הגדרות!$E$8+INT((H4007-1-הגדרות!$E$8*(הגדרות!$E$7+1))/הגדרות!$E$7)))</f>
        <v/>
      </c>
      <c r="J4007" s="0" t="str">
        <f aca="false">IF(I4007="","",IF(H4007-1&lt;הגדרות!$E$8*(הגדרות!$E$7+1),MOD(H4007-1,הגדרות!$E$7+1),MOD(H4007-1-הגדרות!$E$8*(הגדרות!$E$7+1),הגדרות!$E$7)))</f>
        <v/>
      </c>
      <c r="K4007" s="0" t="str">
        <f aca="false">IF(I4007="","",J4007*הגדרות!$E$6+I4007+1)</f>
        <v/>
      </c>
      <c r="L4007" s="0" t="str">
        <f aca="false">IF(K4007="","",MATCH(K4007,$F$2:$F$5001,0))</f>
        <v/>
      </c>
      <c r="M4007" s="0" t="str">
        <f aca="false">IF(I4007="","",INDEX(הגדרות!$A$2:$A$21,MOD(I4007+הגדרות!$E$9,הגדרות!$E$6)+1))</f>
        <v/>
      </c>
    </row>
    <row r="4008" customFormat="false" ht="15" hidden="false" customHeight="false" outlineLevel="0" collapsed="false">
      <c r="A4008" s="0" t="str">
        <f aca="false">IF('הדבקת לידים'!A4008="","",IF(ISNUMBER('הדבקת לידים'!A4008),IF(הגדרות!$E$2&gt;0,TEXT('הדבקת לידים'!A4008,REPT("0",הגדרות!$E$2)),TEXT('הדבקת לידים'!A4008,"0")),TRIM('הדבקת לידים'!A4008)))</f>
        <v/>
      </c>
      <c r="B4008" s="0" t="str">
        <f aca="false">IF('הדבקת לידים'!B4008="","",IF(ISNUMBER('הדבקת לידים'!B4008),IF(הגדרות!$E$3&gt;0,TEXT('הדבקת לידים'!B4008,REPT("0",הגדרות!$E$3)),TEXT('הדבקת לידים'!B4008,"0")),TRIM('הדבקת לידים'!B4008)))</f>
        <v/>
      </c>
      <c r="C4008" s="0" t="n">
        <f aca="false">IF(OR(A4008&lt;&gt;"",B4008&lt;&gt;""),1,0)</f>
        <v>0</v>
      </c>
      <c r="D4008" s="0" t="str">
        <f aca="false">IF(C4008=1,MOD(ABS(SIN(ROW()*12.9898+'הדבקת לידים'!$F$2*78.233+IFERROR(--RIGHT(A4008,6),LEN(A4008))*0.0137+IFERROR(--RIGHT(B4008,6),LEN(B4008))*0.0071))*43758.5453,1),"")</f>
        <v/>
      </c>
      <c r="E4008" s="0" t="str">
        <f aca="false">IF(C4008=1,INT(MOD(ABS(SIN(D4008*7919.123+ROW()*0.618+'הדבקת לידים'!$F$2*1.3))*43758.5453,1)*1000000)*10000+ROW(),"")</f>
        <v/>
      </c>
      <c r="F4008" s="0" t="str">
        <f aca="false">IF(E4008="","",RANK(E4008,$E$2:$E$5001,1))</f>
        <v/>
      </c>
      <c r="G4008" s="0" t="n">
        <f aca="false">IF(A4008="",0,IF(SUMPRODUCT(--($A$2:$A$5001=A4008))&gt;1,1,0))</f>
        <v>0</v>
      </c>
      <c r="H4008" s="0" t="n">
        <f aca="false">ROW()-1</f>
        <v>4007</v>
      </c>
      <c r="I4008" s="0" t="str">
        <f aca="false">IF(OR(הגדרות!$E$6=0,H4008&gt;הגדרות!$E$5),"",IF(H4008-1&lt;הגדרות!$E$8*(הגדרות!$E$7+1),INT((H4008-1)/(הגדרות!$E$7+1)),הגדרות!$E$8+INT((H4008-1-הגדרות!$E$8*(הגדרות!$E$7+1))/הגדרות!$E$7)))</f>
        <v/>
      </c>
      <c r="J4008" s="0" t="str">
        <f aca="false">IF(I4008="","",IF(H4008-1&lt;הגדרות!$E$8*(הגדרות!$E$7+1),MOD(H4008-1,הגדרות!$E$7+1),MOD(H4008-1-הגדרות!$E$8*(הגדרות!$E$7+1),הגדרות!$E$7)))</f>
        <v/>
      </c>
      <c r="K4008" s="0" t="str">
        <f aca="false">IF(I4008="","",J4008*הגדרות!$E$6+I4008+1)</f>
        <v/>
      </c>
      <c r="L4008" s="0" t="str">
        <f aca="false">IF(K4008="","",MATCH(K4008,$F$2:$F$5001,0))</f>
        <v/>
      </c>
      <c r="M4008" s="0" t="str">
        <f aca="false">IF(I4008="","",INDEX(הגדרות!$A$2:$A$21,MOD(I4008+הגדרות!$E$9,הגדרות!$E$6)+1))</f>
        <v/>
      </c>
    </row>
    <row r="4009" customFormat="false" ht="15" hidden="false" customHeight="false" outlineLevel="0" collapsed="false">
      <c r="A4009" s="0" t="str">
        <f aca="false">IF('הדבקת לידים'!A4009="","",IF(ISNUMBER('הדבקת לידים'!A4009),IF(הגדרות!$E$2&gt;0,TEXT('הדבקת לידים'!A4009,REPT("0",הגדרות!$E$2)),TEXT('הדבקת לידים'!A4009,"0")),TRIM('הדבקת לידים'!A4009)))</f>
        <v/>
      </c>
      <c r="B4009" s="0" t="str">
        <f aca="false">IF('הדבקת לידים'!B4009="","",IF(ISNUMBER('הדבקת לידים'!B4009),IF(הגדרות!$E$3&gt;0,TEXT('הדבקת לידים'!B4009,REPT("0",הגדרות!$E$3)),TEXT('הדבקת לידים'!B4009,"0")),TRIM('הדבקת לידים'!B4009)))</f>
        <v/>
      </c>
      <c r="C4009" s="0" t="n">
        <f aca="false">IF(OR(A4009&lt;&gt;"",B4009&lt;&gt;""),1,0)</f>
        <v>0</v>
      </c>
      <c r="D4009" s="0" t="str">
        <f aca="false">IF(C4009=1,MOD(ABS(SIN(ROW()*12.9898+'הדבקת לידים'!$F$2*78.233+IFERROR(--RIGHT(A4009,6),LEN(A4009))*0.0137+IFERROR(--RIGHT(B4009,6),LEN(B4009))*0.0071))*43758.5453,1),"")</f>
        <v/>
      </c>
      <c r="E4009" s="0" t="str">
        <f aca="false">IF(C4009=1,INT(MOD(ABS(SIN(D4009*7919.123+ROW()*0.618+'הדבקת לידים'!$F$2*1.3))*43758.5453,1)*1000000)*10000+ROW(),"")</f>
        <v/>
      </c>
      <c r="F4009" s="0" t="str">
        <f aca="false">IF(E4009="","",RANK(E4009,$E$2:$E$5001,1))</f>
        <v/>
      </c>
      <c r="G4009" s="0" t="n">
        <f aca="false">IF(A4009="",0,IF(SUMPRODUCT(--($A$2:$A$5001=A4009))&gt;1,1,0))</f>
        <v>0</v>
      </c>
      <c r="H4009" s="0" t="n">
        <f aca="false">ROW()-1</f>
        <v>4008</v>
      </c>
      <c r="I4009" s="0" t="str">
        <f aca="false">IF(OR(הגדרות!$E$6=0,H4009&gt;הגדרות!$E$5),"",IF(H4009-1&lt;הגדרות!$E$8*(הגדרות!$E$7+1),INT((H4009-1)/(הגדרות!$E$7+1)),הגדרות!$E$8+INT((H4009-1-הגדרות!$E$8*(הגדרות!$E$7+1))/הגדרות!$E$7)))</f>
        <v/>
      </c>
      <c r="J4009" s="0" t="str">
        <f aca="false">IF(I4009="","",IF(H4009-1&lt;הגדרות!$E$8*(הגדרות!$E$7+1),MOD(H4009-1,הגדרות!$E$7+1),MOD(H4009-1-הגדרות!$E$8*(הגדרות!$E$7+1),הגדרות!$E$7)))</f>
        <v/>
      </c>
      <c r="K4009" s="0" t="str">
        <f aca="false">IF(I4009="","",J4009*הגדרות!$E$6+I4009+1)</f>
        <v/>
      </c>
      <c r="L4009" s="0" t="str">
        <f aca="false">IF(K4009="","",MATCH(K4009,$F$2:$F$5001,0))</f>
        <v/>
      </c>
      <c r="M4009" s="0" t="str">
        <f aca="false">IF(I4009="","",INDEX(הגדרות!$A$2:$A$21,MOD(I4009+הגדרות!$E$9,הגדרות!$E$6)+1))</f>
        <v/>
      </c>
    </row>
    <row r="4010" customFormat="false" ht="15" hidden="false" customHeight="false" outlineLevel="0" collapsed="false">
      <c r="A4010" s="0" t="str">
        <f aca="false">IF('הדבקת לידים'!A4010="","",IF(ISNUMBER('הדבקת לידים'!A4010),IF(הגדרות!$E$2&gt;0,TEXT('הדבקת לידים'!A4010,REPT("0",הגדרות!$E$2)),TEXT('הדבקת לידים'!A4010,"0")),TRIM('הדבקת לידים'!A4010)))</f>
        <v/>
      </c>
      <c r="B4010" s="0" t="str">
        <f aca="false">IF('הדבקת לידים'!B4010="","",IF(ISNUMBER('הדבקת לידים'!B4010),IF(הגדרות!$E$3&gt;0,TEXT('הדבקת לידים'!B4010,REPT("0",הגדרות!$E$3)),TEXT('הדבקת לידים'!B4010,"0")),TRIM('הדבקת לידים'!B4010)))</f>
        <v/>
      </c>
      <c r="C4010" s="0" t="n">
        <f aca="false">IF(OR(A4010&lt;&gt;"",B4010&lt;&gt;""),1,0)</f>
        <v>0</v>
      </c>
      <c r="D4010" s="0" t="str">
        <f aca="false">IF(C4010=1,MOD(ABS(SIN(ROW()*12.9898+'הדבקת לידים'!$F$2*78.233+IFERROR(--RIGHT(A4010,6),LEN(A4010))*0.0137+IFERROR(--RIGHT(B4010,6),LEN(B4010))*0.0071))*43758.5453,1),"")</f>
        <v/>
      </c>
      <c r="E4010" s="0" t="str">
        <f aca="false">IF(C4010=1,INT(MOD(ABS(SIN(D4010*7919.123+ROW()*0.618+'הדבקת לידים'!$F$2*1.3))*43758.5453,1)*1000000)*10000+ROW(),"")</f>
        <v/>
      </c>
      <c r="F4010" s="0" t="str">
        <f aca="false">IF(E4010="","",RANK(E4010,$E$2:$E$5001,1))</f>
        <v/>
      </c>
      <c r="G4010" s="0" t="n">
        <f aca="false">IF(A4010="",0,IF(SUMPRODUCT(--($A$2:$A$5001=A4010))&gt;1,1,0))</f>
        <v>0</v>
      </c>
      <c r="H4010" s="0" t="n">
        <f aca="false">ROW()-1</f>
        <v>4009</v>
      </c>
      <c r="I4010" s="0" t="str">
        <f aca="false">IF(OR(הגדרות!$E$6=0,H4010&gt;הגדרות!$E$5),"",IF(H4010-1&lt;הגדרות!$E$8*(הגדרות!$E$7+1),INT((H4010-1)/(הגדרות!$E$7+1)),הגדרות!$E$8+INT((H4010-1-הגדרות!$E$8*(הגדרות!$E$7+1))/הגדרות!$E$7)))</f>
        <v/>
      </c>
      <c r="J4010" s="0" t="str">
        <f aca="false">IF(I4010="","",IF(H4010-1&lt;הגדרות!$E$8*(הגדרות!$E$7+1),MOD(H4010-1,הגדרות!$E$7+1),MOD(H4010-1-הגדרות!$E$8*(הגדרות!$E$7+1),הגדרות!$E$7)))</f>
        <v/>
      </c>
      <c r="K4010" s="0" t="str">
        <f aca="false">IF(I4010="","",J4010*הגדרות!$E$6+I4010+1)</f>
        <v/>
      </c>
      <c r="L4010" s="0" t="str">
        <f aca="false">IF(K4010="","",MATCH(K4010,$F$2:$F$5001,0))</f>
        <v/>
      </c>
      <c r="M4010" s="0" t="str">
        <f aca="false">IF(I4010="","",INDEX(הגדרות!$A$2:$A$21,MOD(I4010+הגדרות!$E$9,הגדרות!$E$6)+1))</f>
        <v/>
      </c>
    </row>
    <row r="4011" customFormat="false" ht="15" hidden="false" customHeight="false" outlineLevel="0" collapsed="false">
      <c r="A4011" s="0" t="str">
        <f aca="false">IF('הדבקת לידים'!A4011="","",IF(ISNUMBER('הדבקת לידים'!A4011),IF(הגדרות!$E$2&gt;0,TEXT('הדבקת לידים'!A4011,REPT("0",הגדרות!$E$2)),TEXT('הדבקת לידים'!A4011,"0")),TRIM('הדבקת לידים'!A4011)))</f>
        <v/>
      </c>
      <c r="B4011" s="0" t="str">
        <f aca="false">IF('הדבקת לידים'!B4011="","",IF(ISNUMBER('הדבקת לידים'!B4011),IF(הגדרות!$E$3&gt;0,TEXT('הדבקת לידים'!B4011,REPT("0",הגדרות!$E$3)),TEXT('הדבקת לידים'!B4011,"0")),TRIM('הדבקת לידים'!B4011)))</f>
        <v/>
      </c>
      <c r="C4011" s="0" t="n">
        <f aca="false">IF(OR(A4011&lt;&gt;"",B4011&lt;&gt;""),1,0)</f>
        <v>0</v>
      </c>
      <c r="D4011" s="0" t="str">
        <f aca="false">IF(C4011=1,MOD(ABS(SIN(ROW()*12.9898+'הדבקת לידים'!$F$2*78.233+IFERROR(--RIGHT(A4011,6),LEN(A4011))*0.0137+IFERROR(--RIGHT(B4011,6),LEN(B4011))*0.0071))*43758.5453,1),"")</f>
        <v/>
      </c>
      <c r="E4011" s="0" t="str">
        <f aca="false">IF(C4011=1,INT(MOD(ABS(SIN(D4011*7919.123+ROW()*0.618+'הדבקת לידים'!$F$2*1.3))*43758.5453,1)*1000000)*10000+ROW(),"")</f>
        <v/>
      </c>
      <c r="F4011" s="0" t="str">
        <f aca="false">IF(E4011="","",RANK(E4011,$E$2:$E$5001,1))</f>
        <v/>
      </c>
      <c r="G4011" s="0" t="n">
        <f aca="false">IF(A4011="",0,IF(SUMPRODUCT(--($A$2:$A$5001=A4011))&gt;1,1,0))</f>
        <v>0</v>
      </c>
      <c r="H4011" s="0" t="n">
        <f aca="false">ROW()-1</f>
        <v>4010</v>
      </c>
      <c r="I4011" s="0" t="str">
        <f aca="false">IF(OR(הגדרות!$E$6=0,H4011&gt;הגדרות!$E$5),"",IF(H4011-1&lt;הגדרות!$E$8*(הגדרות!$E$7+1),INT((H4011-1)/(הגדרות!$E$7+1)),הגדרות!$E$8+INT((H4011-1-הגדרות!$E$8*(הגדרות!$E$7+1))/הגדרות!$E$7)))</f>
        <v/>
      </c>
      <c r="J4011" s="0" t="str">
        <f aca="false">IF(I4011="","",IF(H4011-1&lt;הגדרות!$E$8*(הגדרות!$E$7+1),MOD(H4011-1,הגדרות!$E$7+1),MOD(H4011-1-הגדרות!$E$8*(הגדרות!$E$7+1),הגדרות!$E$7)))</f>
        <v/>
      </c>
      <c r="K4011" s="0" t="str">
        <f aca="false">IF(I4011="","",J4011*הגדרות!$E$6+I4011+1)</f>
        <v/>
      </c>
      <c r="L4011" s="0" t="str">
        <f aca="false">IF(K4011="","",MATCH(K4011,$F$2:$F$5001,0))</f>
        <v/>
      </c>
      <c r="M4011" s="0" t="str">
        <f aca="false">IF(I4011="","",INDEX(הגדרות!$A$2:$A$21,MOD(I4011+הגדרות!$E$9,הגדרות!$E$6)+1))</f>
        <v/>
      </c>
    </row>
    <row r="4012" customFormat="false" ht="15" hidden="false" customHeight="false" outlineLevel="0" collapsed="false">
      <c r="A4012" s="0" t="str">
        <f aca="false">IF('הדבקת לידים'!A4012="","",IF(ISNUMBER('הדבקת לידים'!A4012),IF(הגדרות!$E$2&gt;0,TEXT('הדבקת לידים'!A4012,REPT("0",הגדרות!$E$2)),TEXT('הדבקת לידים'!A4012,"0")),TRIM('הדבקת לידים'!A4012)))</f>
        <v/>
      </c>
      <c r="B4012" s="0" t="str">
        <f aca="false">IF('הדבקת לידים'!B4012="","",IF(ISNUMBER('הדבקת לידים'!B4012),IF(הגדרות!$E$3&gt;0,TEXT('הדבקת לידים'!B4012,REPT("0",הגדרות!$E$3)),TEXT('הדבקת לידים'!B4012,"0")),TRIM('הדבקת לידים'!B4012)))</f>
        <v/>
      </c>
      <c r="C4012" s="0" t="n">
        <f aca="false">IF(OR(A4012&lt;&gt;"",B4012&lt;&gt;""),1,0)</f>
        <v>0</v>
      </c>
      <c r="D4012" s="0" t="str">
        <f aca="false">IF(C4012=1,MOD(ABS(SIN(ROW()*12.9898+'הדבקת לידים'!$F$2*78.233+IFERROR(--RIGHT(A4012,6),LEN(A4012))*0.0137+IFERROR(--RIGHT(B4012,6),LEN(B4012))*0.0071))*43758.5453,1),"")</f>
        <v/>
      </c>
      <c r="E4012" s="0" t="str">
        <f aca="false">IF(C4012=1,INT(MOD(ABS(SIN(D4012*7919.123+ROW()*0.618+'הדבקת לידים'!$F$2*1.3))*43758.5453,1)*1000000)*10000+ROW(),"")</f>
        <v/>
      </c>
      <c r="F4012" s="0" t="str">
        <f aca="false">IF(E4012="","",RANK(E4012,$E$2:$E$5001,1))</f>
        <v/>
      </c>
      <c r="G4012" s="0" t="n">
        <f aca="false">IF(A4012="",0,IF(SUMPRODUCT(--($A$2:$A$5001=A4012))&gt;1,1,0))</f>
        <v>0</v>
      </c>
      <c r="H4012" s="0" t="n">
        <f aca="false">ROW()-1</f>
        <v>4011</v>
      </c>
      <c r="I4012" s="0" t="str">
        <f aca="false">IF(OR(הגדרות!$E$6=0,H4012&gt;הגדרות!$E$5),"",IF(H4012-1&lt;הגדרות!$E$8*(הגדרות!$E$7+1),INT((H4012-1)/(הגדרות!$E$7+1)),הגדרות!$E$8+INT((H4012-1-הגדרות!$E$8*(הגדרות!$E$7+1))/הגדרות!$E$7)))</f>
        <v/>
      </c>
      <c r="J4012" s="0" t="str">
        <f aca="false">IF(I4012="","",IF(H4012-1&lt;הגדרות!$E$8*(הגדרות!$E$7+1),MOD(H4012-1,הגדרות!$E$7+1),MOD(H4012-1-הגדרות!$E$8*(הגדרות!$E$7+1),הגדרות!$E$7)))</f>
        <v/>
      </c>
      <c r="K4012" s="0" t="str">
        <f aca="false">IF(I4012="","",J4012*הגדרות!$E$6+I4012+1)</f>
        <v/>
      </c>
      <c r="L4012" s="0" t="str">
        <f aca="false">IF(K4012="","",MATCH(K4012,$F$2:$F$5001,0))</f>
        <v/>
      </c>
      <c r="M4012" s="0" t="str">
        <f aca="false">IF(I4012="","",INDEX(הגדרות!$A$2:$A$21,MOD(I4012+הגדרות!$E$9,הגדרות!$E$6)+1))</f>
        <v/>
      </c>
    </row>
    <row r="4013" customFormat="false" ht="15" hidden="false" customHeight="false" outlineLevel="0" collapsed="false">
      <c r="A4013" s="0" t="str">
        <f aca="false">IF('הדבקת לידים'!A4013="","",IF(ISNUMBER('הדבקת לידים'!A4013),IF(הגדרות!$E$2&gt;0,TEXT('הדבקת לידים'!A4013,REPT("0",הגדרות!$E$2)),TEXT('הדבקת לידים'!A4013,"0")),TRIM('הדבקת לידים'!A4013)))</f>
        <v/>
      </c>
      <c r="B4013" s="0" t="str">
        <f aca="false">IF('הדבקת לידים'!B4013="","",IF(ISNUMBER('הדבקת לידים'!B4013),IF(הגדרות!$E$3&gt;0,TEXT('הדבקת לידים'!B4013,REPT("0",הגדרות!$E$3)),TEXT('הדבקת לידים'!B4013,"0")),TRIM('הדבקת לידים'!B4013)))</f>
        <v/>
      </c>
      <c r="C4013" s="0" t="n">
        <f aca="false">IF(OR(A4013&lt;&gt;"",B4013&lt;&gt;""),1,0)</f>
        <v>0</v>
      </c>
      <c r="D4013" s="0" t="str">
        <f aca="false">IF(C4013=1,MOD(ABS(SIN(ROW()*12.9898+'הדבקת לידים'!$F$2*78.233+IFERROR(--RIGHT(A4013,6),LEN(A4013))*0.0137+IFERROR(--RIGHT(B4013,6),LEN(B4013))*0.0071))*43758.5453,1),"")</f>
        <v/>
      </c>
      <c r="E4013" s="0" t="str">
        <f aca="false">IF(C4013=1,INT(MOD(ABS(SIN(D4013*7919.123+ROW()*0.618+'הדבקת לידים'!$F$2*1.3))*43758.5453,1)*1000000)*10000+ROW(),"")</f>
        <v/>
      </c>
      <c r="F4013" s="0" t="str">
        <f aca="false">IF(E4013="","",RANK(E4013,$E$2:$E$5001,1))</f>
        <v/>
      </c>
      <c r="G4013" s="0" t="n">
        <f aca="false">IF(A4013="",0,IF(SUMPRODUCT(--($A$2:$A$5001=A4013))&gt;1,1,0))</f>
        <v>0</v>
      </c>
      <c r="H4013" s="0" t="n">
        <f aca="false">ROW()-1</f>
        <v>4012</v>
      </c>
      <c r="I4013" s="0" t="str">
        <f aca="false">IF(OR(הגדרות!$E$6=0,H4013&gt;הגדרות!$E$5),"",IF(H4013-1&lt;הגדרות!$E$8*(הגדרות!$E$7+1),INT((H4013-1)/(הגדרות!$E$7+1)),הגדרות!$E$8+INT((H4013-1-הגדרות!$E$8*(הגדרות!$E$7+1))/הגדרות!$E$7)))</f>
        <v/>
      </c>
      <c r="J4013" s="0" t="str">
        <f aca="false">IF(I4013="","",IF(H4013-1&lt;הגדרות!$E$8*(הגדרות!$E$7+1),MOD(H4013-1,הגדרות!$E$7+1),MOD(H4013-1-הגדרות!$E$8*(הגדרות!$E$7+1),הגדרות!$E$7)))</f>
        <v/>
      </c>
      <c r="K4013" s="0" t="str">
        <f aca="false">IF(I4013="","",J4013*הגדרות!$E$6+I4013+1)</f>
        <v/>
      </c>
      <c r="L4013" s="0" t="str">
        <f aca="false">IF(K4013="","",MATCH(K4013,$F$2:$F$5001,0))</f>
        <v/>
      </c>
      <c r="M4013" s="0" t="str">
        <f aca="false">IF(I4013="","",INDEX(הגדרות!$A$2:$A$21,MOD(I4013+הגדרות!$E$9,הגדרות!$E$6)+1))</f>
        <v/>
      </c>
    </row>
    <row r="4014" customFormat="false" ht="15" hidden="false" customHeight="false" outlineLevel="0" collapsed="false">
      <c r="A4014" s="0" t="str">
        <f aca="false">IF('הדבקת לידים'!A4014="","",IF(ISNUMBER('הדבקת לידים'!A4014),IF(הגדרות!$E$2&gt;0,TEXT('הדבקת לידים'!A4014,REPT("0",הגדרות!$E$2)),TEXT('הדבקת לידים'!A4014,"0")),TRIM('הדבקת לידים'!A4014)))</f>
        <v/>
      </c>
      <c r="B4014" s="0" t="str">
        <f aca="false">IF('הדבקת לידים'!B4014="","",IF(ISNUMBER('הדבקת לידים'!B4014),IF(הגדרות!$E$3&gt;0,TEXT('הדבקת לידים'!B4014,REPT("0",הגדרות!$E$3)),TEXT('הדבקת לידים'!B4014,"0")),TRIM('הדבקת לידים'!B4014)))</f>
        <v/>
      </c>
      <c r="C4014" s="0" t="n">
        <f aca="false">IF(OR(A4014&lt;&gt;"",B4014&lt;&gt;""),1,0)</f>
        <v>0</v>
      </c>
      <c r="D4014" s="0" t="str">
        <f aca="false">IF(C4014=1,MOD(ABS(SIN(ROW()*12.9898+'הדבקת לידים'!$F$2*78.233+IFERROR(--RIGHT(A4014,6),LEN(A4014))*0.0137+IFERROR(--RIGHT(B4014,6),LEN(B4014))*0.0071))*43758.5453,1),"")</f>
        <v/>
      </c>
      <c r="E4014" s="0" t="str">
        <f aca="false">IF(C4014=1,INT(MOD(ABS(SIN(D4014*7919.123+ROW()*0.618+'הדבקת לידים'!$F$2*1.3))*43758.5453,1)*1000000)*10000+ROW(),"")</f>
        <v/>
      </c>
      <c r="F4014" s="0" t="str">
        <f aca="false">IF(E4014="","",RANK(E4014,$E$2:$E$5001,1))</f>
        <v/>
      </c>
      <c r="G4014" s="0" t="n">
        <f aca="false">IF(A4014="",0,IF(SUMPRODUCT(--($A$2:$A$5001=A4014))&gt;1,1,0))</f>
        <v>0</v>
      </c>
      <c r="H4014" s="0" t="n">
        <f aca="false">ROW()-1</f>
        <v>4013</v>
      </c>
      <c r="I4014" s="0" t="str">
        <f aca="false">IF(OR(הגדרות!$E$6=0,H4014&gt;הגדרות!$E$5),"",IF(H4014-1&lt;הגדרות!$E$8*(הגדרות!$E$7+1),INT((H4014-1)/(הגדרות!$E$7+1)),הגדרות!$E$8+INT((H4014-1-הגדרות!$E$8*(הגדרות!$E$7+1))/הגדרות!$E$7)))</f>
        <v/>
      </c>
      <c r="J4014" s="0" t="str">
        <f aca="false">IF(I4014="","",IF(H4014-1&lt;הגדרות!$E$8*(הגדרות!$E$7+1),MOD(H4014-1,הגדרות!$E$7+1),MOD(H4014-1-הגדרות!$E$8*(הגדרות!$E$7+1),הגדרות!$E$7)))</f>
        <v/>
      </c>
      <c r="K4014" s="0" t="str">
        <f aca="false">IF(I4014="","",J4014*הגדרות!$E$6+I4014+1)</f>
        <v/>
      </c>
      <c r="L4014" s="0" t="str">
        <f aca="false">IF(K4014="","",MATCH(K4014,$F$2:$F$5001,0))</f>
        <v/>
      </c>
      <c r="M4014" s="0" t="str">
        <f aca="false">IF(I4014="","",INDEX(הגדרות!$A$2:$A$21,MOD(I4014+הגדרות!$E$9,הגדרות!$E$6)+1))</f>
        <v/>
      </c>
    </row>
    <row r="4015" customFormat="false" ht="15" hidden="false" customHeight="false" outlineLevel="0" collapsed="false">
      <c r="A4015" s="0" t="str">
        <f aca="false">IF('הדבקת לידים'!A4015="","",IF(ISNUMBER('הדבקת לידים'!A4015),IF(הגדרות!$E$2&gt;0,TEXT('הדבקת לידים'!A4015,REPT("0",הגדרות!$E$2)),TEXT('הדבקת לידים'!A4015,"0")),TRIM('הדבקת לידים'!A4015)))</f>
        <v/>
      </c>
      <c r="B4015" s="0" t="str">
        <f aca="false">IF('הדבקת לידים'!B4015="","",IF(ISNUMBER('הדבקת לידים'!B4015),IF(הגדרות!$E$3&gt;0,TEXT('הדבקת לידים'!B4015,REPT("0",הגדרות!$E$3)),TEXT('הדבקת לידים'!B4015,"0")),TRIM('הדבקת לידים'!B4015)))</f>
        <v/>
      </c>
      <c r="C4015" s="0" t="n">
        <f aca="false">IF(OR(A4015&lt;&gt;"",B4015&lt;&gt;""),1,0)</f>
        <v>0</v>
      </c>
      <c r="D4015" s="0" t="str">
        <f aca="false">IF(C4015=1,MOD(ABS(SIN(ROW()*12.9898+'הדבקת לידים'!$F$2*78.233+IFERROR(--RIGHT(A4015,6),LEN(A4015))*0.0137+IFERROR(--RIGHT(B4015,6),LEN(B4015))*0.0071))*43758.5453,1),"")</f>
        <v/>
      </c>
      <c r="E4015" s="0" t="str">
        <f aca="false">IF(C4015=1,INT(MOD(ABS(SIN(D4015*7919.123+ROW()*0.618+'הדבקת לידים'!$F$2*1.3))*43758.5453,1)*1000000)*10000+ROW(),"")</f>
        <v/>
      </c>
      <c r="F4015" s="0" t="str">
        <f aca="false">IF(E4015="","",RANK(E4015,$E$2:$E$5001,1))</f>
        <v/>
      </c>
      <c r="G4015" s="0" t="n">
        <f aca="false">IF(A4015="",0,IF(SUMPRODUCT(--($A$2:$A$5001=A4015))&gt;1,1,0))</f>
        <v>0</v>
      </c>
      <c r="H4015" s="0" t="n">
        <f aca="false">ROW()-1</f>
        <v>4014</v>
      </c>
      <c r="I4015" s="0" t="str">
        <f aca="false">IF(OR(הגדרות!$E$6=0,H4015&gt;הגדרות!$E$5),"",IF(H4015-1&lt;הגדרות!$E$8*(הגדרות!$E$7+1),INT((H4015-1)/(הגדרות!$E$7+1)),הגדרות!$E$8+INT((H4015-1-הגדרות!$E$8*(הגדרות!$E$7+1))/הגדרות!$E$7)))</f>
        <v/>
      </c>
      <c r="J4015" s="0" t="str">
        <f aca="false">IF(I4015="","",IF(H4015-1&lt;הגדרות!$E$8*(הגדרות!$E$7+1),MOD(H4015-1,הגדרות!$E$7+1),MOD(H4015-1-הגדרות!$E$8*(הגדרות!$E$7+1),הגדרות!$E$7)))</f>
        <v/>
      </c>
      <c r="K4015" s="0" t="str">
        <f aca="false">IF(I4015="","",J4015*הגדרות!$E$6+I4015+1)</f>
        <v/>
      </c>
      <c r="L4015" s="0" t="str">
        <f aca="false">IF(K4015="","",MATCH(K4015,$F$2:$F$5001,0))</f>
        <v/>
      </c>
      <c r="M4015" s="0" t="str">
        <f aca="false">IF(I4015="","",INDEX(הגדרות!$A$2:$A$21,MOD(I4015+הגדרות!$E$9,הגדרות!$E$6)+1))</f>
        <v/>
      </c>
    </row>
    <row r="4016" customFormat="false" ht="15" hidden="false" customHeight="false" outlineLevel="0" collapsed="false">
      <c r="A4016" s="0" t="str">
        <f aca="false">IF('הדבקת לידים'!A4016="","",IF(ISNUMBER('הדבקת לידים'!A4016),IF(הגדרות!$E$2&gt;0,TEXT('הדבקת לידים'!A4016,REPT("0",הגדרות!$E$2)),TEXT('הדבקת לידים'!A4016,"0")),TRIM('הדבקת לידים'!A4016)))</f>
        <v/>
      </c>
      <c r="B4016" s="0" t="str">
        <f aca="false">IF('הדבקת לידים'!B4016="","",IF(ISNUMBER('הדבקת לידים'!B4016),IF(הגדרות!$E$3&gt;0,TEXT('הדבקת לידים'!B4016,REPT("0",הגדרות!$E$3)),TEXT('הדבקת לידים'!B4016,"0")),TRIM('הדבקת לידים'!B4016)))</f>
        <v/>
      </c>
      <c r="C4016" s="0" t="n">
        <f aca="false">IF(OR(A4016&lt;&gt;"",B4016&lt;&gt;""),1,0)</f>
        <v>0</v>
      </c>
      <c r="D4016" s="0" t="str">
        <f aca="false">IF(C4016=1,MOD(ABS(SIN(ROW()*12.9898+'הדבקת לידים'!$F$2*78.233+IFERROR(--RIGHT(A4016,6),LEN(A4016))*0.0137+IFERROR(--RIGHT(B4016,6),LEN(B4016))*0.0071))*43758.5453,1),"")</f>
        <v/>
      </c>
      <c r="E4016" s="0" t="str">
        <f aca="false">IF(C4016=1,INT(MOD(ABS(SIN(D4016*7919.123+ROW()*0.618+'הדבקת לידים'!$F$2*1.3))*43758.5453,1)*1000000)*10000+ROW(),"")</f>
        <v/>
      </c>
      <c r="F4016" s="0" t="str">
        <f aca="false">IF(E4016="","",RANK(E4016,$E$2:$E$5001,1))</f>
        <v/>
      </c>
      <c r="G4016" s="0" t="n">
        <f aca="false">IF(A4016="",0,IF(SUMPRODUCT(--($A$2:$A$5001=A4016))&gt;1,1,0))</f>
        <v>0</v>
      </c>
      <c r="H4016" s="0" t="n">
        <f aca="false">ROW()-1</f>
        <v>4015</v>
      </c>
      <c r="I4016" s="0" t="str">
        <f aca="false">IF(OR(הגדרות!$E$6=0,H4016&gt;הגדרות!$E$5),"",IF(H4016-1&lt;הגדרות!$E$8*(הגדרות!$E$7+1),INT((H4016-1)/(הגדרות!$E$7+1)),הגדרות!$E$8+INT((H4016-1-הגדרות!$E$8*(הגדרות!$E$7+1))/הגדרות!$E$7)))</f>
        <v/>
      </c>
      <c r="J4016" s="0" t="str">
        <f aca="false">IF(I4016="","",IF(H4016-1&lt;הגדרות!$E$8*(הגדרות!$E$7+1),MOD(H4016-1,הגדרות!$E$7+1),MOD(H4016-1-הגדרות!$E$8*(הגדרות!$E$7+1),הגדרות!$E$7)))</f>
        <v/>
      </c>
      <c r="K4016" s="0" t="str">
        <f aca="false">IF(I4016="","",J4016*הגדרות!$E$6+I4016+1)</f>
        <v/>
      </c>
      <c r="L4016" s="0" t="str">
        <f aca="false">IF(K4016="","",MATCH(K4016,$F$2:$F$5001,0))</f>
        <v/>
      </c>
      <c r="M4016" s="0" t="str">
        <f aca="false">IF(I4016="","",INDEX(הגדרות!$A$2:$A$21,MOD(I4016+הגדרות!$E$9,הגדרות!$E$6)+1))</f>
        <v/>
      </c>
    </row>
    <row r="4017" customFormat="false" ht="15" hidden="false" customHeight="false" outlineLevel="0" collapsed="false">
      <c r="A4017" s="0" t="str">
        <f aca="false">IF('הדבקת לידים'!A4017="","",IF(ISNUMBER('הדבקת לידים'!A4017),IF(הגדרות!$E$2&gt;0,TEXT('הדבקת לידים'!A4017,REPT("0",הגדרות!$E$2)),TEXT('הדבקת לידים'!A4017,"0")),TRIM('הדבקת לידים'!A4017)))</f>
        <v/>
      </c>
      <c r="B4017" s="0" t="str">
        <f aca="false">IF('הדבקת לידים'!B4017="","",IF(ISNUMBER('הדבקת לידים'!B4017),IF(הגדרות!$E$3&gt;0,TEXT('הדבקת לידים'!B4017,REPT("0",הגדרות!$E$3)),TEXT('הדבקת לידים'!B4017,"0")),TRIM('הדבקת לידים'!B4017)))</f>
        <v/>
      </c>
      <c r="C4017" s="0" t="n">
        <f aca="false">IF(OR(A4017&lt;&gt;"",B4017&lt;&gt;""),1,0)</f>
        <v>0</v>
      </c>
      <c r="D4017" s="0" t="str">
        <f aca="false">IF(C4017=1,MOD(ABS(SIN(ROW()*12.9898+'הדבקת לידים'!$F$2*78.233+IFERROR(--RIGHT(A4017,6),LEN(A4017))*0.0137+IFERROR(--RIGHT(B4017,6),LEN(B4017))*0.0071))*43758.5453,1),"")</f>
        <v/>
      </c>
      <c r="E4017" s="0" t="str">
        <f aca="false">IF(C4017=1,INT(MOD(ABS(SIN(D4017*7919.123+ROW()*0.618+'הדבקת לידים'!$F$2*1.3))*43758.5453,1)*1000000)*10000+ROW(),"")</f>
        <v/>
      </c>
      <c r="F4017" s="0" t="str">
        <f aca="false">IF(E4017="","",RANK(E4017,$E$2:$E$5001,1))</f>
        <v/>
      </c>
      <c r="G4017" s="0" t="n">
        <f aca="false">IF(A4017="",0,IF(SUMPRODUCT(--($A$2:$A$5001=A4017))&gt;1,1,0))</f>
        <v>0</v>
      </c>
      <c r="H4017" s="0" t="n">
        <f aca="false">ROW()-1</f>
        <v>4016</v>
      </c>
      <c r="I4017" s="0" t="str">
        <f aca="false">IF(OR(הגדרות!$E$6=0,H4017&gt;הגדרות!$E$5),"",IF(H4017-1&lt;הגדרות!$E$8*(הגדרות!$E$7+1),INT((H4017-1)/(הגדרות!$E$7+1)),הגדרות!$E$8+INT((H4017-1-הגדרות!$E$8*(הגדרות!$E$7+1))/הגדרות!$E$7)))</f>
        <v/>
      </c>
      <c r="J4017" s="0" t="str">
        <f aca="false">IF(I4017="","",IF(H4017-1&lt;הגדרות!$E$8*(הגדרות!$E$7+1),MOD(H4017-1,הגדרות!$E$7+1),MOD(H4017-1-הגדרות!$E$8*(הגדרות!$E$7+1),הגדרות!$E$7)))</f>
        <v/>
      </c>
      <c r="K4017" s="0" t="str">
        <f aca="false">IF(I4017="","",J4017*הגדרות!$E$6+I4017+1)</f>
        <v/>
      </c>
      <c r="L4017" s="0" t="str">
        <f aca="false">IF(K4017="","",MATCH(K4017,$F$2:$F$5001,0))</f>
        <v/>
      </c>
      <c r="M4017" s="0" t="str">
        <f aca="false">IF(I4017="","",INDEX(הגדרות!$A$2:$A$21,MOD(I4017+הגדרות!$E$9,הגדרות!$E$6)+1))</f>
        <v/>
      </c>
    </row>
    <row r="4018" customFormat="false" ht="15" hidden="false" customHeight="false" outlineLevel="0" collapsed="false">
      <c r="A4018" s="0" t="str">
        <f aca="false">IF('הדבקת לידים'!A4018="","",IF(ISNUMBER('הדבקת לידים'!A4018),IF(הגדרות!$E$2&gt;0,TEXT('הדבקת לידים'!A4018,REPT("0",הגדרות!$E$2)),TEXT('הדבקת לידים'!A4018,"0")),TRIM('הדבקת לידים'!A4018)))</f>
        <v/>
      </c>
      <c r="B4018" s="0" t="str">
        <f aca="false">IF('הדבקת לידים'!B4018="","",IF(ISNUMBER('הדבקת לידים'!B4018),IF(הגדרות!$E$3&gt;0,TEXT('הדבקת לידים'!B4018,REPT("0",הגדרות!$E$3)),TEXT('הדבקת לידים'!B4018,"0")),TRIM('הדבקת לידים'!B4018)))</f>
        <v/>
      </c>
      <c r="C4018" s="0" t="n">
        <f aca="false">IF(OR(A4018&lt;&gt;"",B4018&lt;&gt;""),1,0)</f>
        <v>0</v>
      </c>
      <c r="D4018" s="0" t="str">
        <f aca="false">IF(C4018=1,MOD(ABS(SIN(ROW()*12.9898+'הדבקת לידים'!$F$2*78.233+IFERROR(--RIGHT(A4018,6),LEN(A4018))*0.0137+IFERROR(--RIGHT(B4018,6),LEN(B4018))*0.0071))*43758.5453,1),"")</f>
        <v/>
      </c>
      <c r="E4018" s="0" t="str">
        <f aca="false">IF(C4018=1,INT(MOD(ABS(SIN(D4018*7919.123+ROW()*0.618+'הדבקת לידים'!$F$2*1.3))*43758.5453,1)*1000000)*10000+ROW(),"")</f>
        <v/>
      </c>
      <c r="F4018" s="0" t="str">
        <f aca="false">IF(E4018="","",RANK(E4018,$E$2:$E$5001,1))</f>
        <v/>
      </c>
      <c r="G4018" s="0" t="n">
        <f aca="false">IF(A4018="",0,IF(SUMPRODUCT(--($A$2:$A$5001=A4018))&gt;1,1,0))</f>
        <v>0</v>
      </c>
      <c r="H4018" s="0" t="n">
        <f aca="false">ROW()-1</f>
        <v>4017</v>
      </c>
      <c r="I4018" s="0" t="str">
        <f aca="false">IF(OR(הגדרות!$E$6=0,H4018&gt;הגדרות!$E$5),"",IF(H4018-1&lt;הגדרות!$E$8*(הגדרות!$E$7+1),INT((H4018-1)/(הגדרות!$E$7+1)),הגדרות!$E$8+INT((H4018-1-הגדרות!$E$8*(הגדרות!$E$7+1))/הגדרות!$E$7)))</f>
        <v/>
      </c>
      <c r="J4018" s="0" t="str">
        <f aca="false">IF(I4018="","",IF(H4018-1&lt;הגדרות!$E$8*(הגדרות!$E$7+1),MOD(H4018-1,הגדרות!$E$7+1),MOD(H4018-1-הגדרות!$E$8*(הגדרות!$E$7+1),הגדרות!$E$7)))</f>
        <v/>
      </c>
      <c r="K4018" s="0" t="str">
        <f aca="false">IF(I4018="","",J4018*הגדרות!$E$6+I4018+1)</f>
        <v/>
      </c>
      <c r="L4018" s="0" t="str">
        <f aca="false">IF(K4018="","",MATCH(K4018,$F$2:$F$5001,0))</f>
        <v/>
      </c>
      <c r="M4018" s="0" t="str">
        <f aca="false">IF(I4018="","",INDEX(הגדרות!$A$2:$A$21,MOD(I4018+הגדרות!$E$9,הגדרות!$E$6)+1))</f>
        <v/>
      </c>
    </row>
    <row r="4019" customFormat="false" ht="15" hidden="false" customHeight="false" outlineLevel="0" collapsed="false">
      <c r="A4019" s="0" t="str">
        <f aca="false">IF('הדבקת לידים'!A4019="","",IF(ISNUMBER('הדבקת לידים'!A4019),IF(הגדרות!$E$2&gt;0,TEXT('הדבקת לידים'!A4019,REPT("0",הגדרות!$E$2)),TEXT('הדבקת לידים'!A4019,"0")),TRIM('הדבקת לידים'!A4019)))</f>
        <v/>
      </c>
      <c r="B4019" s="0" t="str">
        <f aca="false">IF('הדבקת לידים'!B4019="","",IF(ISNUMBER('הדבקת לידים'!B4019),IF(הגדרות!$E$3&gt;0,TEXT('הדבקת לידים'!B4019,REPT("0",הגדרות!$E$3)),TEXT('הדבקת לידים'!B4019,"0")),TRIM('הדבקת לידים'!B4019)))</f>
        <v/>
      </c>
      <c r="C4019" s="0" t="n">
        <f aca="false">IF(OR(A4019&lt;&gt;"",B4019&lt;&gt;""),1,0)</f>
        <v>0</v>
      </c>
      <c r="D4019" s="0" t="str">
        <f aca="false">IF(C4019=1,MOD(ABS(SIN(ROW()*12.9898+'הדבקת לידים'!$F$2*78.233+IFERROR(--RIGHT(A4019,6),LEN(A4019))*0.0137+IFERROR(--RIGHT(B4019,6),LEN(B4019))*0.0071))*43758.5453,1),"")</f>
        <v/>
      </c>
      <c r="E4019" s="0" t="str">
        <f aca="false">IF(C4019=1,INT(MOD(ABS(SIN(D4019*7919.123+ROW()*0.618+'הדבקת לידים'!$F$2*1.3))*43758.5453,1)*1000000)*10000+ROW(),"")</f>
        <v/>
      </c>
      <c r="F4019" s="0" t="str">
        <f aca="false">IF(E4019="","",RANK(E4019,$E$2:$E$5001,1))</f>
        <v/>
      </c>
      <c r="G4019" s="0" t="n">
        <f aca="false">IF(A4019="",0,IF(SUMPRODUCT(--($A$2:$A$5001=A4019))&gt;1,1,0))</f>
        <v>0</v>
      </c>
      <c r="H4019" s="0" t="n">
        <f aca="false">ROW()-1</f>
        <v>4018</v>
      </c>
      <c r="I4019" s="0" t="str">
        <f aca="false">IF(OR(הגדרות!$E$6=0,H4019&gt;הגדרות!$E$5),"",IF(H4019-1&lt;הגדרות!$E$8*(הגדרות!$E$7+1),INT((H4019-1)/(הגדרות!$E$7+1)),הגדרות!$E$8+INT((H4019-1-הגדרות!$E$8*(הגדרות!$E$7+1))/הגדרות!$E$7)))</f>
        <v/>
      </c>
      <c r="J4019" s="0" t="str">
        <f aca="false">IF(I4019="","",IF(H4019-1&lt;הגדרות!$E$8*(הגדרות!$E$7+1),MOD(H4019-1,הגדרות!$E$7+1),MOD(H4019-1-הגדרות!$E$8*(הגדרות!$E$7+1),הגדרות!$E$7)))</f>
        <v/>
      </c>
      <c r="K4019" s="0" t="str">
        <f aca="false">IF(I4019="","",J4019*הגדרות!$E$6+I4019+1)</f>
        <v/>
      </c>
      <c r="L4019" s="0" t="str">
        <f aca="false">IF(K4019="","",MATCH(K4019,$F$2:$F$5001,0))</f>
        <v/>
      </c>
      <c r="M4019" s="0" t="str">
        <f aca="false">IF(I4019="","",INDEX(הגדרות!$A$2:$A$21,MOD(I4019+הגדרות!$E$9,הגדרות!$E$6)+1))</f>
        <v/>
      </c>
    </row>
    <row r="4020" customFormat="false" ht="15" hidden="false" customHeight="false" outlineLevel="0" collapsed="false">
      <c r="A4020" s="0" t="str">
        <f aca="false">IF('הדבקת לידים'!A4020="","",IF(ISNUMBER('הדבקת לידים'!A4020),IF(הגדרות!$E$2&gt;0,TEXT('הדבקת לידים'!A4020,REPT("0",הגדרות!$E$2)),TEXT('הדבקת לידים'!A4020,"0")),TRIM('הדבקת לידים'!A4020)))</f>
        <v/>
      </c>
      <c r="B4020" s="0" t="str">
        <f aca="false">IF('הדבקת לידים'!B4020="","",IF(ISNUMBER('הדבקת לידים'!B4020),IF(הגדרות!$E$3&gt;0,TEXT('הדבקת לידים'!B4020,REPT("0",הגדרות!$E$3)),TEXT('הדבקת לידים'!B4020,"0")),TRIM('הדבקת לידים'!B4020)))</f>
        <v/>
      </c>
      <c r="C4020" s="0" t="n">
        <f aca="false">IF(OR(A4020&lt;&gt;"",B4020&lt;&gt;""),1,0)</f>
        <v>0</v>
      </c>
      <c r="D4020" s="0" t="str">
        <f aca="false">IF(C4020=1,MOD(ABS(SIN(ROW()*12.9898+'הדבקת לידים'!$F$2*78.233+IFERROR(--RIGHT(A4020,6),LEN(A4020))*0.0137+IFERROR(--RIGHT(B4020,6),LEN(B4020))*0.0071))*43758.5453,1),"")</f>
        <v/>
      </c>
      <c r="E4020" s="0" t="str">
        <f aca="false">IF(C4020=1,INT(MOD(ABS(SIN(D4020*7919.123+ROW()*0.618+'הדבקת לידים'!$F$2*1.3))*43758.5453,1)*1000000)*10000+ROW(),"")</f>
        <v/>
      </c>
      <c r="F4020" s="0" t="str">
        <f aca="false">IF(E4020="","",RANK(E4020,$E$2:$E$5001,1))</f>
        <v/>
      </c>
      <c r="G4020" s="0" t="n">
        <f aca="false">IF(A4020="",0,IF(SUMPRODUCT(--($A$2:$A$5001=A4020))&gt;1,1,0))</f>
        <v>0</v>
      </c>
      <c r="H4020" s="0" t="n">
        <f aca="false">ROW()-1</f>
        <v>4019</v>
      </c>
      <c r="I4020" s="0" t="str">
        <f aca="false">IF(OR(הגדרות!$E$6=0,H4020&gt;הגדרות!$E$5),"",IF(H4020-1&lt;הגדרות!$E$8*(הגדרות!$E$7+1),INT((H4020-1)/(הגדרות!$E$7+1)),הגדרות!$E$8+INT((H4020-1-הגדרות!$E$8*(הגדרות!$E$7+1))/הגדרות!$E$7)))</f>
        <v/>
      </c>
      <c r="J4020" s="0" t="str">
        <f aca="false">IF(I4020="","",IF(H4020-1&lt;הגדרות!$E$8*(הגדרות!$E$7+1),MOD(H4020-1,הגדרות!$E$7+1),MOD(H4020-1-הגדרות!$E$8*(הגדרות!$E$7+1),הגדרות!$E$7)))</f>
        <v/>
      </c>
      <c r="K4020" s="0" t="str">
        <f aca="false">IF(I4020="","",J4020*הגדרות!$E$6+I4020+1)</f>
        <v/>
      </c>
      <c r="L4020" s="0" t="str">
        <f aca="false">IF(K4020="","",MATCH(K4020,$F$2:$F$5001,0))</f>
        <v/>
      </c>
      <c r="M4020" s="0" t="str">
        <f aca="false">IF(I4020="","",INDEX(הגדרות!$A$2:$A$21,MOD(I4020+הגדרות!$E$9,הגדרות!$E$6)+1))</f>
        <v/>
      </c>
    </row>
    <row r="4021" customFormat="false" ht="15" hidden="false" customHeight="false" outlineLevel="0" collapsed="false">
      <c r="A4021" s="0" t="str">
        <f aca="false">IF('הדבקת לידים'!A4021="","",IF(ISNUMBER('הדבקת לידים'!A4021),IF(הגדרות!$E$2&gt;0,TEXT('הדבקת לידים'!A4021,REPT("0",הגדרות!$E$2)),TEXT('הדבקת לידים'!A4021,"0")),TRIM('הדבקת לידים'!A4021)))</f>
        <v/>
      </c>
      <c r="B4021" s="0" t="str">
        <f aca="false">IF('הדבקת לידים'!B4021="","",IF(ISNUMBER('הדבקת לידים'!B4021),IF(הגדרות!$E$3&gt;0,TEXT('הדבקת לידים'!B4021,REPT("0",הגדרות!$E$3)),TEXT('הדבקת לידים'!B4021,"0")),TRIM('הדבקת לידים'!B4021)))</f>
        <v/>
      </c>
      <c r="C4021" s="0" t="n">
        <f aca="false">IF(OR(A4021&lt;&gt;"",B4021&lt;&gt;""),1,0)</f>
        <v>0</v>
      </c>
      <c r="D4021" s="0" t="str">
        <f aca="false">IF(C4021=1,MOD(ABS(SIN(ROW()*12.9898+'הדבקת לידים'!$F$2*78.233+IFERROR(--RIGHT(A4021,6),LEN(A4021))*0.0137+IFERROR(--RIGHT(B4021,6),LEN(B4021))*0.0071))*43758.5453,1),"")</f>
        <v/>
      </c>
      <c r="E4021" s="0" t="str">
        <f aca="false">IF(C4021=1,INT(MOD(ABS(SIN(D4021*7919.123+ROW()*0.618+'הדבקת לידים'!$F$2*1.3))*43758.5453,1)*1000000)*10000+ROW(),"")</f>
        <v/>
      </c>
      <c r="F4021" s="0" t="str">
        <f aca="false">IF(E4021="","",RANK(E4021,$E$2:$E$5001,1))</f>
        <v/>
      </c>
      <c r="G4021" s="0" t="n">
        <f aca="false">IF(A4021="",0,IF(SUMPRODUCT(--($A$2:$A$5001=A4021))&gt;1,1,0))</f>
        <v>0</v>
      </c>
      <c r="H4021" s="0" t="n">
        <f aca="false">ROW()-1</f>
        <v>4020</v>
      </c>
      <c r="I4021" s="0" t="str">
        <f aca="false">IF(OR(הגדרות!$E$6=0,H4021&gt;הגדרות!$E$5),"",IF(H4021-1&lt;הגדרות!$E$8*(הגדרות!$E$7+1),INT((H4021-1)/(הגדרות!$E$7+1)),הגדרות!$E$8+INT((H4021-1-הגדרות!$E$8*(הגדרות!$E$7+1))/הגדרות!$E$7)))</f>
        <v/>
      </c>
      <c r="J4021" s="0" t="str">
        <f aca="false">IF(I4021="","",IF(H4021-1&lt;הגדרות!$E$8*(הגדרות!$E$7+1),MOD(H4021-1,הגדרות!$E$7+1),MOD(H4021-1-הגדרות!$E$8*(הגדרות!$E$7+1),הגדרות!$E$7)))</f>
        <v/>
      </c>
      <c r="K4021" s="0" t="str">
        <f aca="false">IF(I4021="","",J4021*הגדרות!$E$6+I4021+1)</f>
        <v/>
      </c>
      <c r="L4021" s="0" t="str">
        <f aca="false">IF(K4021="","",MATCH(K4021,$F$2:$F$5001,0))</f>
        <v/>
      </c>
      <c r="M4021" s="0" t="str">
        <f aca="false">IF(I4021="","",INDEX(הגדרות!$A$2:$A$21,MOD(I4021+הגדרות!$E$9,הגדרות!$E$6)+1))</f>
        <v/>
      </c>
    </row>
    <row r="4022" customFormat="false" ht="15" hidden="false" customHeight="false" outlineLevel="0" collapsed="false">
      <c r="A4022" s="0" t="str">
        <f aca="false">IF('הדבקת לידים'!A4022="","",IF(ISNUMBER('הדבקת לידים'!A4022),IF(הגדרות!$E$2&gt;0,TEXT('הדבקת לידים'!A4022,REPT("0",הגדרות!$E$2)),TEXT('הדבקת לידים'!A4022,"0")),TRIM('הדבקת לידים'!A4022)))</f>
        <v/>
      </c>
      <c r="B4022" s="0" t="str">
        <f aca="false">IF('הדבקת לידים'!B4022="","",IF(ISNUMBER('הדבקת לידים'!B4022),IF(הגדרות!$E$3&gt;0,TEXT('הדבקת לידים'!B4022,REPT("0",הגדרות!$E$3)),TEXT('הדבקת לידים'!B4022,"0")),TRIM('הדבקת לידים'!B4022)))</f>
        <v/>
      </c>
      <c r="C4022" s="0" t="n">
        <f aca="false">IF(OR(A4022&lt;&gt;"",B4022&lt;&gt;""),1,0)</f>
        <v>0</v>
      </c>
      <c r="D4022" s="0" t="str">
        <f aca="false">IF(C4022=1,MOD(ABS(SIN(ROW()*12.9898+'הדבקת לידים'!$F$2*78.233+IFERROR(--RIGHT(A4022,6),LEN(A4022))*0.0137+IFERROR(--RIGHT(B4022,6),LEN(B4022))*0.0071))*43758.5453,1),"")</f>
        <v/>
      </c>
      <c r="E4022" s="0" t="str">
        <f aca="false">IF(C4022=1,INT(MOD(ABS(SIN(D4022*7919.123+ROW()*0.618+'הדבקת לידים'!$F$2*1.3))*43758.5453,1)*1000000)*10000+ROW(),"")</f>
        <v/>
      </c>
      <c r="F4022" s="0" t="str">
        <f aca="false">IF(E4022="","",RANK(E4022,$E$2:$E$5001,1))</f>
        <v/>
      </c>
      <c r="G4022" s="0" t="n">
        <f aca="false">IF(A4022="",0,IF(SUMPRODUCT(--($A$2:$A$5001=A4022))&gt;1,1,0))</f>
        <v>0</v>
      </c>
      <c r="H4022" s="0" t="n">
        <f aca="false">ROW()-1</f>
        <v>4021</v>
      </c>
      <c r="I4022" s="0" t="str">
        <f aca="false">IF(OR(הגדרות!$E$6=0,H4022&gt;הגדרות!$E$5),"",IF(H4022-1&lt;הגדרות!$E$8*(הגדרות!$E$7+1),INT((H4022-1)/(הגדרות!$E$7+1)),הגדרות!$E$8+INT((H4022-1-הגדרות!$E$8*(הגדרות!$E$7+1))/הגדרות!$E$7)))</f>
        <v/>
      </c>
      <c r="J4022" s="0" t="str">
        <f aca="false">IF(I4022="","",IF(H4022-1&lt;הגדרות!$E$8*(הגדרות!$E$7+1),MOD(H4022-1,הגדרות!$E$7+1),MOD(H4022-1-הגדרות!$E$8*(הגדרות!$E$7+1),הגדרות!$E$7)))</f>
        <v/>
      </c>
      <c r="K4022" s="0" t="str">
        <f aca="false">IF(I4022="","",J4022*הגדרות!$E$6+I4022+1)</f>
        <v/>
      </c>
      <c r="L4022" s="0" t="str">
        <f aca="false">IF(K4022="","",MATCH(K4022,$F$2:$F$5001,0))</f>
        <v/>
      </c>
      <c r="M4022" s="0" t="str">
        <f aca="false">IF(I4022="","",INDEX(הגדרות!$A$2:$A$21,MOD(I4022+הגדרות!$E$9,הגדרות!$E$6)+1))</f>
        <v/>
      </c>
    </row>
    <row r="4023" customFormat="false" ht="15" hidden="false" customHeight="false" outlineLevel="0" collapsed="false">
      <c r="A4023" s="0" t="str">
        <f aca="false">IF('הדבקת לידים'!A4023="","",IF(ISNUMBER('הדבקת לידים'!A4023),IF(הגדרות!$E$2&gt;0,TEXT('הדבקת לידים'!A4023,REPT("0",הגדרות!$E$2)),TEXT('הדבקת לידים'!A4023,"0")),TRIM('הדבקת לידים'!A4023)))</f>
        <v/>
      </c>
      <c r="B4023" s="0" t="str">
        <f aca="false">IF('הדבקת לידים'!B4023="","",IF(ISNUMBER('הדבקת לידים'!B4023),IF(הגדרות!$E$3&gt;0,TEXT('הדבקת לידים'!B4023,REPT("0",הגדרות!$E$3)),TEXT('הדבקת לידים'!B4023,"0")),TRIM('הדבקת לידים'!B4023)))</f>
        <v/>
      </c>
      <c r="C4023" s="0" t="n">
        <f aca="false">IF(OR(A4023&lt;&gt;"",B4023&lt;&gt;""),1,0)</f>
        <v>0</v>
      </c>
      <c r="D4023" s="0" t="str">
        <f aca="false">IF(C4023=1,MOD(ABS(SIN(ROW()*12.9898+'הדבקת לידים'!$F$2*78.233+IFERROR(--RIGHT(A4023,6),LEN(A4023))*0.0137+IFERROR(--RIGHT(B4023,6),LEN(B4023))*0.0071))*43758.5453,1),"")</f>
        <v/>
      </c>
      <c r="E4023" s="0" t="str">
        <f aca="false">IF(C4023=1,INT(MOD(ABS(SIN(D4023*7919.123+ROW()*0.618+'הדבקת לידים'!$F$2*1.3))*43758.5453,1)*1000000)*10000+ROW(),"")</f>
        <v/>
      </c>
      <c r="F4023" s="0" t="str">
        <f aca="false">IF(E4023="","",RANK(E4023,$E$2:$E$5001,1))</f>
        <v/>
      </c>
      <c r="G4023" s="0" t="n">
        <f aca="false">IF(A4023="",0,IF(SUMPRODUCT(--($A$2:$A$5001=A4023))&gt;1,1,0))</f>
        <v>0</v>
      </c>
      <c r="H4023" s="0" t="n">
        <f aca="false">ROW()-1</f>
        <v>4022</v>
      </c>
      <c r="I4023" s="0" t="str">
        <f aca="false">IF(OR(הגדרות!$E$6=0,H4023&gt;הגדרות!$E$5),"",IF(H4023-1&lt;הגדרות!$E$8*(הגדרות!$E$7+1),INT((H4023-1)/(הגדרות!$E$7+1)),הגדרות!$E$8+INT((H4023-1-הגדרות!$E$8*(הגדרות!$E$7+1))/הגדרות!$E$7)))</f>
        <v/>
      </c>
      <c r="J4023" s="0" t="str">
        <f aca="false">IF(I4023="","",IF(H4023-1&lt;הגדרות!$E$8*(הגדרות!$E$7+1),MOD(H4023-1,הגדרות!$E$7+1),MOD(H4023-1-הגדרות!$E$8*(הגדרות!$E$7+1),הגדרות!$E$7)))</f>
        <v/>
      </c>
      <c r="K4023" s="0" t="str">
        <f aca="false">IF(I4023="","",J4023*הגדרות!$E$6+I4023+1)</f>
        <v/>
      </c>
      <c r="L4023" s="0" t="str">
        <f aca="false">IF(K4023="","",MATCH(K4023,$F$2:$F$5001,0))</f>
        <v/>
      </c>
      <c r="M4023" s="0" t="str">
        <f aca="false">IF(I4023="","",INDEX(הגדרות!$A$2:$A$21,MOD(I4023+הגדרות!$E$9,הגדרות!$E$6)+1))</f>
        <v/>
      </c>
    </row>
    <row r="4024" customFormat="false" ht="15" hidden="false" customHeight="false" outlineLevel="0" collapsed="false">
      <c r="A4024" s="0" t="str">
        <f aca="false">IF('הדבקת לידים'!A4024="","",IF(ISNUMBER('הדבקת לידים'!A4024),IF(הגדרות!$E$2&gt;0,TEXT('הדבקת לידים'!A4024,REPT("0",הגדרות!$E$2)),TEXT('הדבקת לידים'!A4024,"0")),TRIM('הדבקת לידים'!A4024)))</f>
        <v/>
      </c>
      <c r="B4024" s="0" t="str">
        <f aca="false">IF('הדבקת לידים'!B4024="","",IF(ISNUMBER('הדבקת לידים'!B4024),IF(הגדרות!$E$3&gt;0,TEXT('הדבקת לידים'!B4024,REPT("0",הגדרות!$E$3)),TEXT('הדבקת לידים'!B4024,"0")),TRIM('הדבקת לידים'!B4024)))</f>
        <v/>
      </c>
      <c r="C4024" s="0" t="n">
        <f aca="false">IF(OR(A4024&lt;&gt;"",B4024&lt;&gt;""),1,0)</f>
        <v>0</v>
      </c>
      <c r="D4024" s="0" t="str">
        <f aca="false">IF(C4024=1,MOD(ABS(SIN(ROW()*12.9898+'הדבקת לידים'!$F$2*78.233+IFERROR(--RIGHT(A4024,6),LEN(A4024))*0.0137+IFERROR(--RIGHT(B4024,6),LEN(B4024))*0.0071))*43758.5453,1),"")</f>
        <v/>
      </c>
      <c r="E4024" s="0" t="str">
        <f aca="false">IF(C4024=1,INT(MOD(ABS(SIN(D4024*7919.123+ROW()*0.618+'הדבקת לידים'!$F$2*1.3))*43758.5453,1)*1000000)*10000+ROW(),"")</f>
        <v/>
      </c>
      <c r="F4024" s="0" t="str">
        <f aca="false">IF(E4024="","",RANK(E4024,$E$2:$E$5001,1))</f>
        <v/>
      </c>
      <c r="G4024" s="0" t="n">
        <f aca="false">IF(A4024="",0,IF(SUMPRODUCT(--($A$2:$A$5001=A4024))&gt;1,1,0))</f>
        <v>0</v>
      </c>
      <c r="H4024" s="0" t="n">
        <f aca="false">ROW()-1</f>
        <v>4023</v>
      </c>
      <c r="I4024" s="0" t="str">
        <f aca="false">IF(OR(הגדרות!$E$6=0,H4024&gt;הגדרות!$E$5),"",IF(H4024-1&lt;הגדרות!$E$8*(הגדרות!$E$7+1),INT((H4024-1)/(הגדרות!$E$7+1)),הגדרות!$E$8+INT((H4024-1-הגדרות!$E$8*(הגדרות!$E$7+1))/הגדרות!$E$7)))</f>
        <v/>
      </c>
      <c r="J4024" s="0" t="str">
        <f aca="false">IF(I4024="","",IF(H4024-1&lt;הגדרות!$E$8*(הגדרות!$E$7+1),MOD(H4024-1,הגדרות!$E$7+1),MOD(H4024-1-הגדרות!$E$8*(הגדרות!$E$7+1),הגדרות!$E$7)))</f>
        <v/>
      </c>
      <c r="K4024" s="0" t="str">
        <f aca="false">IF(I4024="","",J4024*הגדרות!$E$6+I4024+1)</f>
        <v/>
      </c>
      <c r="L4024" s="0" t="str">
        <f aca="false">IF(K4024="","",MATCH(K4024,$F$2:$F$5001,0))</f>
        <v/>
      </c>
      <c r="M4024" s="0" t="str">
        <f aca="false">IF(I4024="","",INDEX(הגדרות!$A$2:$A$21,MOD(I4024+הגדרות!$E$9,הגדרות!$E$6)+1))</f>
        <v/>
      </c>
    </row>
    <row r="4025" customFormat="false" ht="15" hidden="false" customHeight="false" outlineLevel="0" collapsed="false">
      <c r="A4025" s="0" t="str">
        <f aca="false">IF('הדבקת לידים'!A4025="","",IF(ISNUMBER('הדבקת לידים'!A4025),IF(הגדרות!$E$2&gt;0,TEXT('הדבקת לידים'!A4025,REPT("0",הגדרות!$E$2)),TEXT('הדבקת לידים'!A4025,"0")),TRIM('הדבקת לידים'!A4025)))</f>
        <v/>
      </c>
      <c r="B4025" s="0" t="str">
        <f aca="false">IF('הדבקת לידים'!B4025="","",IF(ISNUMBER('הדבקת לידים'!B4025),IF(הגדרות!$E$3&gt;0,TEXT('הדבקת לידים'!B4025,REPT("0",הגדרות!$E$3)),TEXT('הדבקת לידים'!B4025,"0")),TRIM('הדבקת לידים'!B4025)))</f>
        <v/>
      </c>
      <c r="C4025" s="0" t="n">
        <f aca="false">IF(OR(A4025&lt;&gt;"",B4025&lt;&gt;""),1,0)</f>
        <v>0</v>
      </c>
      <c r="D4025" s="0" t="str">
        <f aca="false">IF(C4025=1,MOD(ABS(SIN(ROW()*12.9898+'הדבקת לידים'!$F$2*78.233+IFERROR(--RIGHT(A4025,6),LEN(A4025))*0.0137+IFERROR(--RIGHT(B4025,6),LEN(B4025))*0.0071))*43758.5453,1),"")</f>
        <v/>
      </c>
      <c r="E4025" s="0" t="str">
        <f aca="false">IF(C4025=1,INT(MOD(ABS(SIN(D4025*7919.123+ROW()*0.618+'הדבקת לידים'!$F$2*1.3))*43758.5453,1)*1000000)*10000+ROW(),"")</f>
        <v/>
      </c>
      <c r="F4025" s="0" t="str">
        <f aca="false">IF(E4025="","",RANK(E4025,$E$2:$E$5001,1))</f>
        <v/>
      </c>
      <c r="G4025" s="0" t="n">
        <f aca="false">IF(A4025="",0,IF(SUMPRODUCT(--($A$2:$A$5001=A4025))&gt;1,1,0))</f>
        <v>0</v>
      </c>
      <c r="H4025" s="0" t="n">
        <f aca="false">ROW()-1</f>
        <v>4024</v>
      </c>
      <c r="I4025" s="0" t="str">
        <f aca="false">IF(OR(הגדרות!$E$6=0,H4025&gt;הגדרות!$E$5),"",IF(H4025-1&lt;הגדרות!$E$8*(הגדרות!$E$7+1),INT((H4025-1)/(הגדרות!$E$7+1)),הגדרות!$E$8+INT((H4025-1-הגדרות!$E$8*(הגדרות!$E$7+1))/הגדרות!$E$7)))</f>
        <v/>
      </c>
      <c r="J4025" s="0" t="str">
        <f aca="false">IF(I4025="","",IF(H4025-1&lt;הגדרות!$E$8*(הגדרות!$E$7+1),MOD(H4025-1,הגדרות!$E$7+1),MOD(H4025-1-הגדרות!$E$8*(הגדרות!$E$7+1),הגדרות!$E$7)))</f>
        <v/>
      </c>
      <c r="K4025" s="0" t="str">
        <f aca="false">IF(I4025="","",J4025*הגדרות!$E$6+I4025+1)</f>
        <v/>
      </c>
      <c r="L4025" s="0" t="str">
        <f aca="false">IF(K4025="","",MATCH(K4025,$F$2:$F$5001,0))</f>
        <v/>
      </c>
      <c r="M4025" s="0" t="str">
        <f aca="false">IF(I4025="","",INDEX(הגדרות!$A$2:$A$21,MOD(I4025+הגדרות!$E$9,הגדרות!$E$6)+1))</f>
        <v/>
      </c>
    </row>
    <row r="4026" customFormat="false" ht="15" hidden="false" customHeight="false" outlineLevel="0" collapsed="false">
      <c r="A4026" s="0" t="str">
        <f aca="false">IF('הדבקת לידים'!A4026="","",IF(ISNUMBER('הדבקת לידים'!A4026),IF(הגדרות!$E$2&gt;0,TEXT('הדבקת לידים'!A4026,REPT("0",הגדרות!$E$2)),TEXT('הדבקת לידים'!A4026,"0")),TRIM('הדבקת לידים'!A4026)))</f>
        <v/>
      </c>
      <c r="B4026" s="0" t="str">
        <f aca="false">IF('הדבקת לידים'!B4026="","",IF(ISNUMBER('הדבקת לידים'!B4026),IF(הגדרות!$E$3&gt;0,TEXT('הדבקת לידים'!B4026,REPT("0",הגדרות!$E$3)),TEXT('הדבקת לידים'!B4026,"0")),TRIM('הדבקת לידים'!B4026)))</f>
        <v/>
      </c>
      <c r="C4026" s="0" t="n">
        <f aca="false">IF(OR(A4026&lt;&gt;"",B4026&lt;&gt;""),1,0)</f>
        <v>0</v>
      </c>
      <c r="D4026" s="0" t="str">
        <f aca="false">IF(C4026=1,MOD(ABS(SIN(ROW()*12.9898+'הדבקת לידים'!$F$2*78.233+IFERROR(--RIGHT(A4026,6),LEN(A4026))*0.0137+IFERROR(--RIGHT(B4026,6),LEN(B4026))*0.0071))*43758.5453,1),"")</f>
        <v/>
      </c>
      <c r="E4026" s="0" t="str">
        <f aca="false">IF(C4026=1,INT(MOD(ABS(SIN(D4026*7919.123+ROW()*0.618+'הדבקת לידים'!$F$2*1.3))*43758.5453,1)*1000000)*10000+ROW(),"")</f>
        <v/>
      </c>
      <c r="F4026" s="0" t="str">
        <f aca="false">IF(E4026="","",RANK(E4026,$E$2:$E$5001,1))</f>
        <v/>
      </c>
      <c r="G4026" s="0" t="n">
        <f aca="false">IF(A4026="",0,IF(SUMPRODUCT(--($A$2:$A$5001=A4026))&gt;1,1,0))</f>
        <v>0</v>
      </c>
      <c r="H4026" s="0" t="n">
        <f aca="false">ROW()-1</f>
        <v>4025</v>
      </c>
      <c r="I4026" s="0" t="str">
        <f aca="false">IF(OR(הגדרות!$E$6=0,H4026&gt;הגדרות!$E$5),"",IF(H4026-1&lt;הגדרות!$E$8*(הגדרות!$E$7+1),INT((H4026-1)/(הגדרות!$E$7+1)),הגדרות!$E$8+INT((H4026-1-הגדרות!$E$8*(הגדרות!$E$7+1))/הגדרות!$E$7)))</f>
        <v/>
      </c>
      <c r="J4026" s="0" t="str">
        <f aca="false">IF(I4026="","",IF(H4026-1&lt;הגדרות!$E$8*(הגדרות!$E$7+1),MOD(H4026-1,הגדרות!$E$7+1),MOD(H4026-1-הגדרות!$E$8*(הגדרות!$E$7+1),הגדרות!$E$7)))</f>
        <v/>
      </c>
      <c r="K4026" s="0" t="str">
        <f aca="false">IF(I4026="","",J4026*הגדרות!$E$6+I4026+1)</f>
        <v/>
      </c>
      <c r="L4026" s="0" t="str">
        <f aca="false">IF(K4026="","",MATCH(K4026,$F$2:$F$5001,0))</f>
        <v/>
      </c>
      <c r="M4026" s="0" t="str">
        <f aca="false">IF(I4026="","",INDEX(הגדרות!$A$2:$A$21,MOD(I4026+הגדרות!$E$9,הגדרות!$E$6)+1))</f>
        <v/>
      </c>
    </row>
    <row r="4027" customFormat="false" ht="15" hidden="false" customHeight="false" outlineLevel="0" collapsed="false">
      <c r="A4027" s="0" t="str">
        <f aca="false">IF('הדבקת לידים'!A4027="","",IF(ISNUMBER('הדבקת לידים'!A4027),IF(הגדרות!$E$2&gt;0,TEXT('הדבקת לידים'!A4027,REPT("0",הגדרות!$E$2)),TEXT('הדבקת לידים'!A4027,"0")),TRIM('הדבקת לידים'!A4027)))</f>
        <v/>
      </c>
      <c r="B4027" s="0" t="str">
        <f aca="false">IF('הדבקת לידים'!B4027="","",IF(ISNUMBER('הדבקת לידים'!B4027),IF(הגדרות!$E$3&gt;0,TEXT('הדבקת לידים'!B4027,REPT("0",הגדרות!$E$3)),TEXT('הדבקת לידים'!B4027,"0")),TRIM('הדבקת לידים'!B4027)))</f>
        <v/>
      </c>
      <c r="C4027" s="0" t="n">
        <f aca="false">IF(OR(A4027&lt;&gt;"",B4027&lt;&gt;""),1,0)</f>
        <v>0</v>
      </c>
      <c r="D4027" s="0" t="str">
        <f aca="false">IF(C4027=1,MOD(ABS(SIN(ROW()*12.9898+'הדבקת לידים'!$F$2*78.233+IFERROR(--RIGHT(A4027,6),LEN(A4027))*0.0137+IFERROR(--RIGHT(B4027,6),LEN(B4027))*0.0071))*43758.5453,1),"")</f>
        <v/>
      </c>
      <c r="E4027" s="0" t="str">
        <f aca="false">IF(C4027=1,INT(MOD(ABS(SIN(D4027*7919.123+ROW()*0.618+'הדבקת לידים'!$F$2*1.3))*43758.5453,1)*1000000)*10000+ROW(),"")</f>
        <v/>
      </c>
      <c r="F4027" s="0" t="str">
        <f aca="false">IF(E4027="","",RANK(E4027,$E$2:$E$5001,1))</f>
        <v/>
      </c>
      <c r="G4027" s="0" t="n">
        <f aca="false">IF(A4027="",0,IF(SUMPRODUCT(--($A$2:$A$5001=A4027))&gt;1,1,0))</f>
        <v>0</v>
      </c>
      <c r="H4027" s="0" t="n">
        <f aca="false">ROW()-1</f>
        <v>4026</v>
      </c>
      <c r="I4027" s="0" t="str">
        <f aca="false">IF(OR(הגדרות!$E$6=0,H4027&gt;הגדרות!$E$5),"",IF(H4027-1&lt;הגדרות!$E$8*(הגדרות!$E$7+1),INT((H4027-1)/(הגדרות!$E$7+1)),הגדרות!$E$8+INT((H4027-1-הגדרות!$E$8*(הגדרות!$E$7+1))/הגדרות!$E$7)))</f>
        <v/>
      </c>
      <c r="J4027" s="0" t="str">
        <f aca="false">IF(I4027="","",IF(H4027-1&lt;הגדרות!$E$8*(הגדרות!$E$7+1),MOD(H4027-1,הגדרות!$E$7+1),MOD(H4027-1-הגדרות!$E$8*(הגדרות!$E$7+1),הגדרות!$E$7)))</f>
        <v/>
      </c>
      <c r="K4027" s="0" t="str">
        <f aca="false">IF(I4027="","",J4027*הגדרות!$E$6+I4027+1)</f>
        <v/>
      </c>
      <c r="L4027" s="0" t="str">
        <f aca="false">IF(K4027="","",MATCH(K4027,$F$2:$F$5001,0))</f>
        <v/>
      </c>
      <c r="M4027" s="0" t="str">
        <f aca="false">IF(I4027="","",INDEX(הגדרות!$A$2:$A$21,MOD(I4027+הגדרות!$E$9,הגדרות!$E$6)+1))</f>
        <v/>
      </c>
    </row>
    <row r="4028" customFormat="false" ht="15" hidden="false" customHeight="false" outlineLevel="0" collapsed="false">
      <c r="A4028" s="0" t="str">
        <f aca="false">IF('הדבקת לידים'!A4028="","",IF(ISNUMBER('הדבקת לידים'!A4028),IF(הגדרות!$E$2&gt;0,TEXT('הדבקת לידים'!A4028,REPT("0",הגדרות!$E$2)),TEXT('הדבקת לידים'!A4028,"0")),TRIM('הדבקת לידים'!A4028)))</f>
        <v/>
      </c>
      <c r="B4028" s="0" t="str">
        <f aca="false">IF('הדבקת לידים'!B4028="","",IF(ISNUMBER('הדבקת לידים'!B4028),IF(הגדרות!$E$3&gt;0,TEXT('הדבקת לידים'!B4028,REPT("0",הגדרות!$E$3)),TEXT('הדבקת לידים'!B4028,"0")),TRIM('הדבקת לידים'!B4028)))</f>
        <v/>
      </c>
      <c r="C4028" s="0" t="n">
        <f aca="false">IF(OR(A4028&lt;&gt;"",B4028&lt;&gt;""),1,0)</f>
        <v>0</v>
      </c>
      <c r="D4028" s="0" t="str">
        <f aca="false">IF(C4028=1,MOD(ABS(SIN(ROW()*12.9898+'הדבקת לידים'!$F$2*78.233+IFERROR(--RIGHT(A4028,6),LEN(A4028))*0.0137+IFERROR(--RIGHT(B4028,6),LEN(B4028))*0.0071))*43758.5453,1),"")</f>
        <v/>
      </c>
      <c r="E4028" s="0" t="str">
        <f aca="false">IF(C4028=1,INT(MOD(ABS(SIN(D4028*7919.123+ROW()*0.618+'הדבקת לידים'!$F$2*1.3))*43758.5453,1)*1000000)*10000+ROW(),"")</f>
        <v/>
      </c>
      <c r="F4028" s="0" t="str">
        <f aca="false">IF(E4028="","",RANK(E4028,$E$2:$E$5001,1))</f>
        <v/>
      </c>
      <c r="G4028" s="0" t="n">
        <f aca="false">IF(A4028="",0,IF(SUMPRODUCT(--($A$2:$A$5001=A4028))&gt;1,1,0))</f>
        <v>0</v>
      </c>
      <c r="H4028" s="0" t="n">
        <f aca="false">ROW()-1</f>
        <v>4027</v>
      </c>
      <c r="I4028" s="0" t="str">
        <f aca="false">IF(OR(הגדרות!$E$6=0,H4028&gt;הגדרות!$E$5),"",IF(H4028-1&lt;הגדרות!$E$8*(הגדרות!$E$7+1),INT((H4028-1)/(הגדרות!$E$7+1)),הגדרות!$E$8+INT((H4028-1-הגדרות!$E$8*(הגדרות!$E$7+1))/הגדרות!$E$7)))</f>
        <v/>
      </c>
      <c r="J4028" s="0" t="str">
        <f aca="false">IF(I4028="","",IF(H4028-1&lt;הגדרות!$E$8*(הגדרות!$E$7+1),MOD(H4028-1,הגדרות!$E$7+1),MOD(H4028-1-הגדרות!$E$8*(הגדרות!$E$7+1),הגדרות!$E$7)))</f>
        <v/>
      </c>
      <c r="K4028" s="0" t="str">
        <f aca="false">IF(I4028="","",J4028*הגדרות!$E$6+I4028+1)</f>
        <v/>
      </c>
      <c r="L4028" s="0" t="str">
        <f aca="false">IF(K4028="","",MATCH(K4028,$F$2:$F$5001,0))</f>
        <v/>
      </c>
      <c r="M4028" s="0" t="str">
        <f aca="false">IF(I4028="","",INDEX(הגדרות!$A$2:$A$21,MOD(I4028+הגדרות!$E$9,הגדרות!$E$6)+1))</f>
        <v/>
      </c>
    </row>
    <row r="4029" customFormat="false" ht="15" hidden="false" customHeight="false" outlineLevel="0" collapsed="false">
      <c r="A4029" s="0" t="str">
        <f aca="false">IF('הדבקת לידים'!A4029="","",IF(ISNUMBER('הדבקת לידים'!A4029),IF(הגדרות!$E$2&gt;0,TEXT('הדבקת לידים'!A4029,REPT("0",הגדרות!$E$2)),TEXT('הדבקת לידים'!A4029,"0")),TRIM('הדבקת לידים'!A4029)))</f>
        <v/>
      </c>
      <c r="B4029" s="0" t="str">
        <f aca="false">IF('הדבקת לידים'!B4029="","",IF(ISNUMBER('הדבקת לידים'!B4029),IF(הגדרות!$E$3&gt;0,TEXT('הדבקת לידים'!B4029,REPT("0",הגדרות!$E$3)),TEXT('הדבקת לידים'!B4029,"0")),TRIM('הדבקת לידים'!B4029)))</f>
        <v/>
      </c>
      <c r="C4029" s="0" t="n">
        <f aca="false">IF(OR(A4029&lt;&gt;"",B4029&lt;&gt;""),1,0)</f>
        <v>0</v>
      </c>
      <c r="D4029" s="0" t="str">
        <f aca="false">IF(C4029=1,MOD(ABS(SIN(ROW()*12.9898+'הדבקת לידים'!$F$2*78.233+IFERROR(--RIGHT(A4029,6),LEN(A4029))*0.0137+IFERROR(--RIGHT(B4029,6),LEN(B4029))*0.0071))*43758.5453,1),"")</f>
        <v/>
      </c>
      <c r="E4029" s="0" t="str">
        <f aca="false">IF(C4029=1,INT(MOD(ABS(SIN(D4029*7919.123+ROW()*0.618+'הדבקת לידים'!$F$2*1.3))*43758.5453,1)*1000000)*10000+ROW(),"")</f>
        <v/>
      </c>
      <c r="F4029" s="0" t="str">
        <f aca="false">IF(E4029="","",RANK(E4029,$E$2:$E$5001,1))</f>
        <v/>
      </c>
      <c r="G4029" s="0" t="n">
        <f aca="false">IF(A4029="",0,IF(SUMPRODUCT(--($A$2:$A$5001=A4029))&gt;1,1,0))</f>
        <v>0</v>
      </c>
      <c r="H4029" s="0" t="n">
        <f aca="false">ROW()-1</f>
        <v>4028</v>
      </c>
      <c r="I4029" s="0" t="str">
        <f aca="false">IF(OR(הגדרות!$E$6=0,H4029&gt;הגדרות!$E$5),"",IF(H4029-1&lt;הגדרות!$E$8*(הגדרות!$E$7+1),INT((H4029-1)/(הגדרות!$E$7+1)),הגדרות!$E$8+INT((H4029-1-הגדרות!$E$8*(הגדרות!$E$7+1))/הגדרות!$E$7)))</f>
        <v/>
      </c>
      <c r="J4029" s="0" t="str">
        <f aca="false">IF(I4029="","",IF(H4029-1&lt;הגדרות!$E$8*(הגדרות!$E$7+1),MOD(H4029-1,הגדרות!$E$7+1),MOD(H4029-1-הגדרות!$E$8*(הגדרות!$E$7+1),הגדרות!$E$7)))</f>
        <v/>
      </c>
      <c r="K4029" s="0" t="str">
        <f aca="false">IF(I4029="","",J4029*הגדרות!$E$6+I4029+1)</f>
        <v/>
      </c>
      <c r="L4029" s="0" t="str">
        <f aca="false">IF(K4029="","",MATCH(K4029,$F$2:$F$5001,0))</f>
        <v/>
      </c>
      <c r="M4029" s="0" t="str">
        <f aca="false">IF(I4029="","",INDEX(הגדרות!$A$2:$A$21,MOD(I4029+הגדרות!$E$9,הגדרות!$E$6)+1))</f>
        <v/>
      </c>
    </row>
    <row r="4030" customFormat="false" ht="15" hidden="false" customHeight="false" outlineLevel="0" collapsed="false">
      <c r="A4030" s="0" t="str">
        <f aca="false">IF('הדבקת לידים'!A4030="","",IF(ISNUMBER('הדבקת לידים'!A4030),IF(הגדרות!$E$2&gt;0,TEXT('הדבקת לידים'!A4030,REPT("0",הגדרות!$E$2)),TEXT('הדבקת לידים'!A4030,"0")),TRIM('הדבקת לידים'!A4030)))</f>
        <v/>
      </c>
      <c r="B4030" s="0" t="str">
        <f aca="false">IF('הדבקת לידים'!B4030="","",IF(ISNUMBER('הדבקת לידים'!B4030),IF(הגדרות!$E$3&gt;0,TEXT('הדבקת לידים'!B4030,REPT("0",הגדרות!$E$3)),TEXT('הדבקת לידים'!B4030,"0")),TRIM('הדבקת לידים'!B4030)))</f>
        <v/>
      </c>
      <c r="C4030" s="0" t="n">
        <f aca="false">IF(OR(A4030&lt;&gt;"",B4030&lt;&gt;""),1,0)</f>
        <v>0</v>
      </c>
      <c r="D4030" s="0" t="str">
        <f aca="false">IF(C4030=1,MOD(ABS(SIN(ROW()*12.9898+'הדבקת לידים'!$F$2*78.233+IFERROR(--RIGHT(A4030,6),LEN(A4030))*0.0137+IFERROR(--RIGHT(B4030,6),LEN(B4030))*0.0071))*43758.5453,1),"")</f>
        <v/>
      </c>
      <c r="E4030" s="0" t="str">
        <f aca="false">IF(C4030=1,INT(MOD(ABS(SIN(D4030*7919.123+ROW()*0.618+'הדבקת לידים'!$F$2*1.3))*43758.5453,1)*1000000)*10000+ROW(),"")</f>
        <v/>
      </c>
      <c r="F4030" s="0" t="str">
        <f aca="false">IF(E4030="","",RANK(E4030,$E$2:$E$5001,1))</f>
        <v/>
      </c>
      <c r="G4030" s="0" t="n">
        <f aca="false">IF(A4030="",0,IF(SUMPRODUCT(--($A$2:$A$5001=A4030))&gt;1,1,0))</f>
        <v>0</v>
      </c>
      <c r="H4030" s="0" t="n">
        <f aca="false">ROW()-1</f>
        <v>4029</v>
      </c>
      <c r="I4030" s="0" t="str">
        <f aca="false">IF(OR(הגדרות!$E$6=0,H4030&gt;הגדרות!$E$5),"",IF(H4030-1&lt;הגדרות!$E$8*(הגדרות!$E$7+1),INT((H4030-1)/(הגדרות!$E$7+1)),הגדרות!$E$8+INT((H4030-1-הגדרות!$E$8*(הגדרות!$E$7+1))/הגדרות!$E$7)))</f>
        <v/>
      </c>
      <c r="J4030" s="0" t="str">
        <f aca="false">IF(I4030="","",IF(H4030-1&lt;הגדרות!$E$8*(הגדרות!$E$7+1),MOD(H4030-1,הגדרות!$E$7+1),MOD(H4030-1-הגדרות!$E$8*(הגדרות!$E$7+1),הגדרות!$E$7)))</f>
        <v/>
      </c>
      <c r="K4030" s="0" t="str">
        <f aca="false">IF(I4030="","",J4030*הגדרות!$E$6+I4030+1)</f>
        <v/>
      </c>
      <c r="L4030" s="0" t="str">
        <f aca="false">IF(K4030="","",MATCH(K4030,$F$2:$F$5001,0))</f>
        <v/>
      </c>
      <c r="M4030" s="0" t="str">
        <f aca="false">IF(I4030="","",INDEX(הגדרות!$A$2:$A$21,MOD(I4030+הגדרות!$E$9,הגדרות!$E$6)+1))</f>
        <v/>
      </c>
    </row>
    <row r="4031" customFormat="false" ht="15" hidden="false" customHeight="false" outlineLevel="0" collapsed="false">
      <c r="A4031" s="0" t="str">
        <f aca="false">IF('הדבקת לידים'!A4031="","",IF(ISNUMBER('הדבקת לידים'!A4031),IF(הגדרות!$E$2&gt;0,TEXT('הדבקת לידים'!A4031,REPT("0",הגדרות!$E$2)),TEXT('הדבקת לידים'!A4031,"0")),TRIM('הדבקת לידים'!A4031)))</f>
        <v/>
      </c>
      <c r="B4031" s="0" t="str">
        <f aca="false">IF('הדבקת לידים'!B4031="","",IF(ISNUMBER('הדבקת לידים'!B4031),IF(הגדרות!$E$3&gt;0,TEXT('הדבקת לידים'!B4031,REPT("0",הגדרות!$E$3)),TEXT('הדבקת לידים'!B4031,"0")),TRIM('הדבקת לידים'!B4031)))</f>
        <v/>
      </c>
      <c r="C4031" s="0" t="n">
        <f aca="false">IF(OR(A4031&lt;&gt;"",B4031&lt;&gt;""),1,0)</f>
        <v>0</v>
      </c>
      <c r="D4031" s="0" t="str">
        <f aca="false">IF(C4031=1,MOD(ABS(SIN(ROW()*12.9898+'הדבקת לידים'!$F$2*78.233+IFERROR(--RIGHT(A4031,6),LEN(A4031))*0.0137+IFERROR(--RIGHT(B4031,6),LEN(B4031))*0.0071))*43758.5453,1),"")</f>
        <v/>
      </c>
      <c r="E4031" s="0" t="str">
        <f aca="false">IF(C4031=1,INT(MOD(ABS(SIN(D4031*7919.123+ROW()*0.618+'הדבקת לידים'!$F$2*1.3))*43758.5453,1)*1000000)*10000+ROW(),"")</f>
        <v/>
      </c>
      <c r="F4031" s="0" t="str">
        <f aca="false">IF(E4031="","",RANK(E4031,$E$2:$E$5001,1))</f>
        <v/>
      </c>
      <c r="G4031" s="0" t="n">
        <f aca="false">IF(A4031="",0,IF(SUMPRODUCT(--($A$2:$A$5001=A4031))&gt;1,1,0))</f>
        <v>0</v>
      </c>
      <c r="H4031" s="0" t="n">
        <f aca="false">ROW()-1</f>
        <v>4030</v>
      </c>
      <c r="I4031" s="0" t="str">
        <f aca="false">IF(OR(הגדרות!$E$6=0,H4031&gt;הגדרות!$E$5),"",IF(H4031-1&lt;הגדרות!$E$8*(הגדרות!$E$7+1),INT((H4031-1)/(הגדרות!$E$7+1)),הגדרות!$E$8+INT((H4031-1-הגדרות!$E$8*(הגדרות!$E$7+1))/הגדרות!$E$7)))</f>
        <v/>
      </c>
      <c r="J4031" s="0" t="str">
        <f aca="false">IF(I4031="","",IF(H4031-1&lt;הגדרות!$E$8*(הגדרות!$E$7+1),MOD(H4031-1,הגדרות!$E$7+1),MOD(H4031-1-הגדרות!$E$8*(הגדרות!$E$7+1),הגדרות!$E$7)))</f>
        <v/>
      </c>
      <c r="K4031" s="0" t="str">
        <f aca="false">IF(I4031="","",J4031*הגדרות!$E$6+I4031+1)</f>
        <v/>
      </c>
      <c r="L4031" s="0" t="str">
        <f aca="false">IF(K4031="","",MATCH(K4031,$F$2:$F$5001,0))</f>
        <v/>
      </c>
      <c r="M4031" s="0" t="str">
        <f aca="false">IF(I4031="","",INDEX(הגדרות!$A$2:$A$21,MOD(I4031+הגדרות!$E$9,הגדרות!$E$6)+1))</f>
        <v/>
      </c>
    </row>
    <row r="4032" customFormat="false" ht="15" hidden="false" customHeight="false" outlineLevel="0" collapsed="false">
      <c r="A4032" s="0" t="str">
        <f aca="false">IF('הדבקת לידים'!A4032="","",IF(ISNUMBER('הדבקת לידים'!A4032),IF(הגדרות!$E$2&gt;0,TEXT('הדבקת לידים'!A4032,REPT("0",הגדרות!$E$2)),TEXT('הדבקת לידים'!A4032,"0")),TRIM('הדבקת לידים'!A4032)))</f>
        <v/>
      </c>
      <c r="B4032" s="0" t="str">
        <f aca="false">IF('הדבקת לידים'!B4032="","",IF(ISNUMBER('הדבקת לידים'!B4032),IF(הגדרות!$E$3&gt;0,TEXT('הדבקת לידים'!B4032,REPT("0",הגדרות!$E$3)),TEXT('הדבקת לידים'!B4032,"0")),TRIM('הדבקת לידים'!B4032)))</f>
        <v/>
      </c>
      <c r="C4032" s="0" t="n">
        <f aca="false">IF(OR(A4032&lt;&gt;"",B4032&lt;&gt;""),1,0)</f>
        <v>0</v>
      </c>
      <c r="D4032" s="0" t="str">
        <f aca="false">IF(C4032=1,MOD(ABS(SIN(ROW()*12.9898+'הדבקת לידים'!$F$2*78.233+IFERROR(--RIGHT(A4032,6),LEN(A4032))*0.0137+IFERROR(--RIGHT(B4032,6),LEN(B4032))*0.0071))*43758.5453,1),"")</f>
        <v/>
      </c>
      <c r="E4032" s="0" t="str">
        <f aca="false">IF(C4032=1,INT(MOD(ABS(SIN(D4032*7919.123+ROW()*0.618+'הדבקת לידים'!$F$2*1.3))*43758.5453,1)*1000000)*10000+ROW(),"")</f>
        <v/>
      </c>
      <c r="F4032" s="0" t="str">
        <f aca="false">IF(E4032="","",RANK(E4032,$E$2:$E$5001,1))</f>
        <v/>
      </c>
      <c r="G4032" s="0" t="n">
        <f aca="false">IF(A4032="",0,IF(SUMPRODUCT(--($A$2:$A$5001=A4032))&gt;1,1,0))</f>
        <v>0</v>
      </c>
      <c r="H4032" s="0" t="n">
        <f aca="false">ROW()-1</f>
        <v>4031</v>
      </c>
      <c r="I4032" s="0" t="str">
        <f aca="false">IF(OR(הגדרות!$E$6=0,H4032&gt;הגדרות!$E$5),"",IF(H4032-1&lt;הגדרות!$E$8*(הגדרות!$E$7+1),INT((H4032-1)/(הגדרות!$E$7+1)),הגדרות!$E$8+INT((H4032-1-הגדרות!$E$8*(הגדרות!$E$7+1))/הגדרות!$E$7)))</f>
        <v/>
      </c>
      <c r="J4032" s="0" t="str">
        <f aca="false">IF(I4032="","",IF(H4032-1&lt;הגדרות!$E$8*(הגדרות!$E$7+1),MOD(H4032-1,הגדרות!$E$7+1),MOD(H4032-1-הגדרות!$E$8*(הגדרות!$E$7+1),הגדרות!$E$7)))</f>
        <v/>
      </c>
      <c r="K4032" s="0" t="str">
        <f aca="false">IF(I4032="","",J4032*הגדרות!$E$6+I4032+1)</f>
        <v/>
      </c>
      <c r="L4032" s="0" t="str">
        <f aca="false">IF(K4032="","",MATCH(K4032,$F$2:$F$5001,0))</f>
        <v/>
      </c>
      <c r="M4032" s="0" t="str">
        <f aca="false">IF(I4032="","",INDEX(הגדרות!$A$2:$A$21,MOD(I4032+הגדרות!$E$9,הגדרות!$E$6)+1))</f>
        <v/>
      </c>
    </row>
    <row r="4033" customFormat="false" ht="15" hidden="false" customHeight="false" outlineLevel="0" collapsed="false">
      <c r="A4033" s="0" t="str">
        <f aca="false">IF('הדבקת לידים'!A4033="","",IF(ISNUMBER('הדבקת לידים'!A4033),IF(הגדרות!$E$2&gt;0,TEXT('הדבקת לידים'!A4033,REPT("0",הגדרות!$E$2)),TEXT('הדבקת לידים'!A4033,"0")),TRIM('הדבקת לידים'!A4033)))</f>
        <v/>
      </c>
      <c r="B4033" s="0" t="str">
        <f aca="false">IF('הדבקת לידים'!B4033="","",IF(ISNUMBER('הדבקת לידים'!B4033),IF(הגדרות!$E$3&gt;0,TEXT('הדבקת לידים'!B4033,REPT("0",הגדרות!$E$3)),TEXT('הדבקת לידים'!B4033,"0")),TRIM('הדבקת לידים'!B4033)))</f>
        <v/>
      </c>
      <c r="C4033" s="0" t="n">
        <f aca="false">IF(OR(A4033&lt;&gt;"",B4033&lt;&gt;""),1,0)</f>
        <v>0</v>
      </c>
      <c r="D4033" s="0" t="str">
        <f aca="false">IF(C4033=1,MOD(ABS(SIN(ROW()*12.9898+'הדבקת לידים'!$F$2*78.233+IFERROR(--RIGHT(A4033,6),LEN(A4033))*0.0137+IFERROR(--RIGHT(B4033,6),LEN(B4033))*0.0071))*43758.5453,1),"")</f>
        <v/>
      </c>
      <c r="E4033" s="0" t="str">
        <f aca="false">IF(C4033=1,INT(MOD(ABS(SIN(D4033*7919.123+ROW()*0.618+'הדבקת לידים'!$F$2*1.3))*43758.5453,1)*1000000)*10000+ROW(),"")</f>
        <v/>
      </c>
      <c r="F4033" s="0" t="str">
        <f aca="false">IF(E4033="","",RANK(E4033,$E$2:$E$5001,1))</f>
        <v/>
      </c>
      <c r="G4033" s="0" t="n">
        <f aca="false">IF(A4033="",0,IF(SUMPRODUCT(--($A$2:$A$5001=A4033))&gt;1,1,0))</f>
        <v>0</v>
      </c>
      <c r="H4033" s="0" t="n">
        <f aca="false">ROW()-1</f>
        <v>4032</v>
      </c>
      <c r="I4033" s="0" t="str">
        <f aca="false">IF(OR(הגדרות!$E$6=0,H4033&gt;הגדרות!$E$5),"",IF(H4033-1&lt;הגדרות!$E$8*(הגדרות!$E$7+1),INT((H4033-1)/(הגדרות!$E$7+1)),הגדרות!$E$8+INT((H4033-1-הגדרות!$E$8*(הגדרות!$E$7+1))/הגדרות!$E$7)))</f>
        <v/>
      </c>
      <c r="J4033" s="0" t="str">
        <f aca="false">IF(I4033="","",IF(H4033-1&lt;הגדרות!$E$8*(הגדרות!$E$7+1),MOD(H4033-1,הגדרות!$E$7+1),MOD(H4033-1-הגדרות!$E$8*(הגדרות!$E$7+1),הגדרות!$E$7)))</f>
        <v/>
      </c>
      <c r="K4033" s="0" t="str">
        <f aca="false">IF(I4033="","",J4033*הגדרות!$E$6+I4033+1)</f>
        <v/>
      </c>
      <c r="L4033" s="0" t="str">
        <f aca="false">IF(K4033="","",MATCH(K4033,$F$2:$F$5001,0))</f>
        <v/>
      </c>
      <c r="M4033" s="0" t="str">
        <f aca="false">IF(I4033="","",INDEX(הגדרות!$A$2:$A$21,MOD(I4033+הגדרות!$E$9,הגדרות!$E$6)+1))</f>
        <v/>
      </c>
    </row>
    <row r="4034" customFormat="false" ht="15" hidden="false" customHeight="false" outlineLevel="0" collapsed="false">
      <c r="A4034" s="0" t="str">
        <f aca="false">IF('הדבקת לידים'!A4034="","",IF(ISNUMBER('הדבקת לידים'!A4034),IF(הגדרות!$E$2&gt;0,TEXT('הדבקת לידים'!A4034,REPT("0",הגדרות!$E$2)),TEXT('הדבקת לידים'!A4034,"0")),TRIM('הדבקת לידים'!A4034)))</f>
        <v/>
      </c>
      <c r="B4034" s="0" t="str">
        <f aca="false">IF('הדבקת לידים'!B4034="","",IF(ISNUMBER('הדבקת לידים'!B4034),IF(הגדרות!$E$3&gt;0,TEXT('הדבקת לידים'!B4034,REPT("0",הגדרות!$E$3)),TEXT('הדבקת לידים'!B4034,"0")),TRIM('הדבקת לידים'!B4034)))</f>
        <v/>
      </c>
      <c r="C4034" s="0" t="n">
        <f aca="false">IF(OR(A4034&lt;&gt;"",B4034&lt;&gt;""),1,0)</f>
        <v>0</v>
      </c>
      <c r="D4034" s="0" t="str">
        <f aca="false">IF(C4034=1,MOD(ABS(SIN(ROW()*12.9898+'הדבקת לידים'!$F$2*78.233+IFERROR(--RIGHT(A4034,6),LEN(A4034))*0.0137+IFERROR(--RIGHT(B4034,6),LEN(B4034))*0.0071))*43758.5453,1),"")</f>
        <v/>
      </c>
      <c r="E4034" s="0" t="str">
        <f aca="false">IF(C4034=1,INT(MOD(ABS(SIN(D4034*7919.123+ROW()*0.618+'הדבקת לידים'!$F$2*1.3))*43758.5453,1)*1000000)*10000+ROW(),"")</f>
        <v/>
      </c>
      <c r="F4034" s="0" t="str">
        <f aca="false">IF(E4034="","",RANK(E4034,$E$2:$E$5001,1))</f>
        <v/>
      </c>
      <c r="G4034" s="0" t="n">
        <f aca="false">IF(A4034="",0,IF(SUMPRODUCT(--($A$2:$A$5001=A4034))&gt;1,1,0))</f>
        <v>0</v>
      </c>
      <c r="H4034" s="0" t="n">
        <f aca="false">ROW()-1</f>
        <v>4033</v>
      </c>
      <c r="I4034" s="0" t="str">
        <f aca="false">IF(OR(הגדרות!$E$6=0,H4034&gt;הגדרות!$E$5),"",IF(H4034-1&lt;הגדרות!$E$8*(הגדרות!$E$7+1),INT((H4034-1)/(הגדרות!$E$7+1)),הגדרות!$E$8+INT((H4034-1-הגדרות!$E$8*(הגדרות!$E$7+1))/הגדרות!$E$7)))</f>
        <v/>
      </c>
      <c r="J4034" s="0" t="str">
        <f aca="false">IF(I4034="","",IF(H4034-1&lt;הגדרות!$E$8*(הגדרות!$E$7+1),MOD(H4034-1,הגדרות!$E$7+1),MOD(H4034-1-הגדרות!$E$8*(הגדרות!$E$7+1),הגדרות!$E$7)))</f>
        <v/>
      </c>
      <c r="K4034" s="0" t="str">
        <f aca="false">IF(I4034="","",J4034*הגדרות!$E$6+I4034+1)</f>
        <v/>
      </c>
      <c r="L4034" s="0" t="str">
        <f aca="false">IF(K4034="","",MATCH(K4034,$F$2:$F$5001,0))</f>
        <v/>
      </c>
      <c r="M4034" s="0" t="str">
        <f aca="false">IF(I4034="","",INDEX(הגדרות!$A$2:$A$21,MOD(I4034+הגדרות!$E$9,הגדרות!$E$6)+1))</f>
        <v/>
      </c>
    </row>
    <row r="4035" customFormat="false" ht="15" hidden="false" customHeight="false" outlineLevel="0" collapsed="false">
      <c r="A4035" s="0" t="str">
        <f aca="false">IF('הדבקת לידים'!A4035="","",IF(ISNUMBER('הדבקת לידים'!A4035),IF(הגדרות!$E$2&gt;0,TEXT('הדבקת לידים'!A4035,REPT("0",הגדרות!$E$2)),TEXT('הדבקת לידים'!A4035,"0")),TRIM('הדבקת לידים'!A4035)))</f>
        <v/>
      </c>
      <c r="B4035" s="0" t="str">
        <f aca="false">IF('הדבקת לידים'!B4035="","",IF(ISNUMBER('הדבקת לידים'!B4035),IF(הגדרות!$E$3&gt;0,TEXT('הדבקת לידים'!B4035,REPT("0",הגדרות!$E$3)),TEXT('הדבקת לידים'!B4035,"0")),TRIM('הדבקת לידים'!B4035)))</f>
        <v/>
      </c>
      <c r="C4035" s="0" t="n">
        <f aca="false">IF(OR(A4035&lt;&gt;"",B4035&lt;&gt;""),1,0)</f>
        <v>0</v>
      </c>
      <c r="D4035" s="0" t="str">
        <f aca="false">IF(C4035=1,MOD(ABS(SIN(ROW()*12.9898+'הדבקת לידים'!$F$2*78.233+IFERROR(--RIGHT(A4035,6),LEN(A4035))*0.0137+IFERROR(--RIGHT(B4035,6),LEN(B4035))*0.0071))*43758.5453,1),"")</f>
        <v/>
      </c>
      <c r="E4035" s="0" t="str">
        <f aca="false">IF(C4035=1,INT(MOD(ABS(SIN(D4035*7919.123+ROW()*0.618+'הדבקת לידים'!$F$2*1.3))*43758.5453,1)*1000000)*10000+ROW(),"")</f>
        <v/>
      </c>
      <c r="F4035" s="0" t="str">
        <f aca="false">IF(E4035="","",RANK(E4035,$E$2:$E$5001,1))</f>
        <v/>
      </c>
      <c r="G4035" s="0" t="n">
        <f aca="false">IF(A4035="",0,IF(SUMPRODUCT(--($A$2:$A$5001=A4035))&gt;1,1,0))</f>
        <v>0</v>
      </c>
      <c r="H4035" s="0" t="n">
        <f aca="false">ROW()-1</f>
        <v>4034</v>
      </c>
      <c r="I4035" s="0" t="str">
        <f aca="false">IF(OR(הגדרות!$E$6=0,H4035&gt;הגדרות!$E$5),"",IF(H4035-1&lt;הגדרות!$E$8*(הגדרות!$E$7+1),INT((H4035-1)/(הגדרות!$E$7+1)),הגדרות!$E$8+INT((H4035-1-הגדרות!$E$8*(הגדרות!$E$7+1))/הגדרות!$E$7)))</f>
        <v/>
      </c>
      <c r="J4035" s="0" t="str">
        <f aca="false">IF(I4035="","",IF(H4035-1&lt;הגדרות!$E$8*(הגדרות!$E$7+1),MOD(H4035-1,הגדרות!$E$7+1),MOD(H4035-1-הגדרות!$E$8*(הגדרות!$E$7+1),הגדרות!$E$7)))</f>
        <v/>
      </c>
      <c r="K4035" s="0" t="str">
        <f aca="false">IF(I4035="","",J4035*הגדרות!$E$6+I4035+1)</f>
        <v/>
      </c>
      <c r="L4035" s="0" t="str">
        <f aca="false">IF(K4035="","",MATCH(K4035,$F$2:$F$5001,0))</f>
        <v/>
      </c>
      <c r="M4035" s="0" t="str">
        <f aca="false">IF(I4035="","",INDEX(הגדרות!$A$2:$A$21,MOD(I4035+הגדרות!$E$9,הגדרות!$E$6)+1))</f>
        <v/>
      </c>
    </row>
    <row r="4036" customFormat="false" ht="15" hidden="false" customHeight="false" outlineLevel="0" collapsed="false">
      <c r="A4036" s="0" t="str">
        <f aca="false">IF('הדבקת לידים'!A4036="","",IF(ISNUMBER('הדבקת לידים'!A4036),IF(הגדרות!$E$2&gt;0,TEXT('הדבקת לידים'!A4036,REPT("0",הגדרות!$E$2)),TEXT('הדבקת לידים'!A4036,"0")),TRIM('הדבקת לידים'!A4036)))</f>
        <v/>
      </c>
      <c r="B4036" s="0" t="str">
        <f aca="false">IF('הדבקת לידים'!B4036="","",IF(ISNUMBER('הדבקת לידים'!B4036),IF(הגדרות!$E$3&gt;0,TEXT('הדבקת לידים'!B4036,REPT("0",הגדרות!$E$3)),TEXT('הדבקת לידים'!B4036,"0")),TRIM('הדבקת לידים'!B4036)))</f>
        <v/>
      </c>
      <c r="C4036" s="0" t="n">
        <f aca="false">IF(OR(A4036&lt;&gt;"",B4036&lt;&gt;""),1,0)</f>
        <v>0</v>
      </c>
      <c r="D4036" s="0" t="str">
        <f aca="false">IF(C4036=1,MOD(ABS(SIN(ROW()*12.9898+'הדבקת לידים'!$F$2*78.233+IFERROR(--RIGHT(A4036,6),LEN(A4036))*0.0137+IFERROR(--RIGHT(B4036,6),LEN(B4036))*0.0071))*43758.5453,1),"")</f>
        <v/>
      </c>
      <c r="E4036" s="0" t="str">
        <f aca="false">IF(C4036=1,INT(MOD(ABS(SIN(D4036*7919.123+ROW()*0.618+'הדבקת לידים'!$F$2*1.3))*43758.5453,1)*1000000)*10000+ROW(),"")</f>
        <v/>
      </c>
      <c r="F4036" s="0" t="str">
        <f aca="false">IF(E4036="","",RANK(E4036,$E$2:$E$5001,1))</f>
        <v/>
      </c>
      <c r="G4036" s="0" t="n">
        <f aca="false">IF(A4036="",0,IF(SUMPRODUCT(--($A$2:$A$5001=A4036))&gt;1,1,0))</f>
        <v>0</v>
      </c>
      <c r="H4036" s="0" t="n">
        <f aca="false">ROW()-1</f>
        <v>4035</v>
      </c>
      <c r="I4036" s="0" t="str">
        <f aca="false">IF(OR(הגדרות!$E$6=0,H4036&gt;הגדרות!$E$5),"",IF(H4036-1&lt;הגדרות!$E$8*(הגדרות!$E$7+1),INT((H4036-1)/(הגדרות!$E$7+1)),הגדרות!$E$8+INT((H4036-1-הגדרות!$E$8*(הגדרות!$E$7+1))/הגדרות!$E$7)))</f>
        <v/>
      </c>
      <c r="J4036" s="0" t="str">
        <f aca="false">IF(I4036="","",IF(H4036-1&lt;הגדרות!$E$8*(הגדרות!$E$7+1),MOD(H4036-1,הגדרות!$E$7+1),MOD(H4036-1-הגדרות!$E$8*(הגדרות!$E$7+1),הגדרות!$E$7)))</f>
        <v/>
      </c>
      <c r="K4036" s="0" t="str">
        <f aca="false">IF(I4036="","",J4036*הגדרות!$E$6+I4036+1)</f>
        <v/>
      </c>
      <c r="L4036" s="0" t="str">
        <f aca="false">IF(K4036="","",MATCH(K4036,$F$2:$F$5001,0))</f>
        <v/>
      </c>
      <c r="M4036" s="0" t="str">
        <f aca="false">IF(I4036="","",INDEX(הגדרות!$A$2:$A$21,MOD(I4036+הגדרות!$E$9,הגדרות!$E$6)+1))</f>
        <v/>
      </c>
    </row>
    <row r="4037" customFormat="false" ht="15" hidden="false" customHeight="false" outlineLevel="0" collapsed="false">
      <c r="A4037" s="0" t="str">
        <f aca="false">IF('הדבקת לידים'!A4037="","",IF(ISNUMBER('הדבקת לידים'!A4037),IF(הגדרות!$E$2&gt;0,TEXT('הדבקת לידים'!A4037,REPT("0",הגדרות!$E$2)),TEXT('הדבקת לידים'!A4037,"0")),TRIM('הדבקת לידים'!A4037)))</f>
        <v/>
      </c>
      <c r="B4037" s="0" t="str">
        <f aca="false">IF('הדבקת לידים'!B4037="","",IF(ISNUMBER('הדבקת לידים'!B4037),IF(הגדרות!$E$3&gt;0,TEXT('הדבקת לידים'!B4037,REPT("0",הגדרות!$E$3)),TEXT('הדבקת לידים'!B4037,"0")),TRIM('הדבקת לידים'!B4037)))</f>
        <v/>
      </c>
      <c r="C4037" s="0" t="n">
        <f aca="false">IF(OR(A4037&lt;&gt;"",B4037&lt;&gt;""),1,0)</f>
        <v>0</v>
      </c>
      <c r="D4037" s="0" t="str">
        <f aca="false">IF(C4037=1,MOD(ABS(SIN(ROW()*12.9898+'הדבקת לידים'!$F$2*78.233+IFERROR(--RIGHT(A4037,6),LEN(A4037))*0.0137+IFERROR(--RIGHT(B4037,6),LEN(B4037))*0.0071))*43758.5453,1),"")</f>
        <v/>
      </c>
      <c r="E4037" s="0" t="str">
        <f aca="false">IF(C4037=1,INT(MOD(ABS(SIN(D4037*7919.123+ROW()*0.618+'הדבקת לידים'!$F$2*1.3))*43758.5453,1)*1000000)*10000+ROW(),"")</f>
        <v/>
      </c>
      <c r="F4037" s="0" t="str">
        <f aca="false">IF(E4037="","",RANK(E4037,$E$2:$E$5001,1))</f>
        <v/>
      </c>
      <c r="G4037" s="0" t="n">
        <f aca="false">IF(A4037="",0,IF(SUMPRODUCT(--($A$2:$A$5001=A4037))&gt;1,1,0))</f>
        <v>0</v>
      </c>
      <c r="H4037" s="0" t="n">
        <f aca="false">ROW()-1</f>
        <v>4036</v>
      </c>
      <c r="I4037" s="0" t="str">
        <f aca="false">IF(OR(הגדרות!$E$6=0,H4037&gt;הגדרות!$E$5),"",IF(H4037-1&lt;הגדרות!$E$8*(הגדרות!$E$7+1),INT((H4037-1)/(הגדרות!$E$7+1)),הגדרות!$E$8+INT((H4037-1-הגדרות!$E$8*(הגדרות!$E$7+1))/הגדרות!$E$7)))</f>
        <v/>
      </c>
      <c r="J4037" s="0" t="str">
        <f aca="false">IF(I4037="","",IF(H4037-1&lt;הגדרות!$E$8*(הגדרות!$E$7+1),MOD(H4037-1,הגדרות!$E$7+1),MOD(H4037-1-הגדרות!$E$8*(הגדרות!$E$7+1),הגדרות!$E$7)))</f>
        <v/>
      </c>
      <c r="K4037" s="0" t="str">
        <f aca="false">IF(I4037="","",J4037*הגדרות!$E$6+I4037+1)</f>
        <v/>
      </c>
      <c r="L4037" s="0" t="str">
        <f aca="false">IF(K4037="","",MATCH(K4037,$F$2:$F$5001,0))</f>
        <v/>
      </c>
      <c r="M4037" s="0" t="str">
        <f aca="false">IF(I4037="","",INDEX(הגדרות!$A$2:$A$21,MOD(I4037+הגדרות!$E$9,הגדרות!$E$6)+1))</f>
        <v/>
      </c>
    </row>
    <row r="4038" customFormat="false" ht="15" hidden="false" customHeight="false" outlineLevel="0" collapsed="false">
      <c r="A4038" s="0" t="str">
        <f aca="false">IF('הדבקת לידים'!A4038="","",IF(ISNUMBER('הדבקת לידים'!A4038),IF(הגדרות!$E$2&gt;0,TEXT('הדבקת לידים'!A4038,REPT("0",הגדרות!$E$2)),TEXT('הדבקת לידים'!A4038,"0")),TRIM('הדבקת לידים'!A4038)))</f>
        <v/>
      </c>
      <c r="B4038" s="0" t="str">
        <f aca="false">IF('הדבקת לידים'!B4038="","",IF(ISNUMBER('הדבקת לידים'!B4038),IF(הגדרות!$E$3&gt;0,TEXT('הדבקת לידים'!B4038,REPT("0",הגדרות!$E$3)),TEXT('הדבקת לידים'!B4038,"0")),TRIM('הדבקת לידים'!B4038)))</f>
        <v/>
      </c>
      <c r="C4038" s="0" t="n">
        <f aca="false">IF(OR(A4038&lt;&gt;"",B4038&lt;&gt;""),1,0)</f>
        <v>0</v>
      </c>
      <c r="D4038" s="0" t="str">
        <f aca="false">IF(C4038=1,MOD(ABS(SIN(ROW()*12.9898+'הדבקת לידים'!$F$2*78.233+IFERROR(--RIGHT(A4038,6),LEN(A4038))*0.0137+IFERROR(--RIGHT(B4038,6),LEN(B4038))*0.0071))*43758.5453,1),"")</f>
        <v/>
      </c>
      <c r="E4038" s="0" t="str">
        <f aca="false">IF(C4038=1,INT(MOD(ABS(SIN(D4038*7919.123+ROW()*0.618+'הדבקת לידים'!$F$2*1.3))*43758.5453,1)*1000000)*10000+ROW(),"")</f>
        <v/>
      </c>
      <c r="F4038" s="0" t="str">
        <f aca="false">IF(E4038="","",RANK(E4038,$E$2:$E$5001,1))</f>
        <v/>
      </c>
      <c r="G4038" s="0" t="n">
        <f aca="false">IF(A4038="",0,IF(SUMPRODUCT(--($A$2:$A$5001=A4038))&gt;1,1,0))</f>
        <v>0</v>
      </c>
      <c r="H4038" s="0" t="n">
        <f aca="false">ROW()-1</f>
        <v>4037</v>
      </c>
      <c r="I4038" s="0" t="str">
        <f aca="false">IF(OR(הגדרות!$E$6=0,H4038&gt;הגדרות!$E$5),"",IF(H4038-1&lt;הגדרות!$E$8*(הגדרות!$E$7+1),INT((H4038-1)/(הגדרות!$E$7+1)),הגדרות!$E$8+INT((H4038-1-הגדרות!$E$8*(הגדרות!$E$7+1))/הגדרות!$E$7)))</f>
        <v/>
      </c>
      <c r="J4038" s="0" t="str">
        <f aca="false">IF(I4038="","",IF(H4038-1&lt;הגדרות!$E$8*(הגדרות!$E$7+1),MOD(H4038-1,הגדרות!$E$7+1),MOD(H4038-1-הגדרות!$E$8*(הגדרות!$E$7+1),הגדרות!$E$7)))</f>
        <v/>
      </c>
      <c r="K4038" s="0" t="str">
        <f aca="false">IF(I4038="","",J4038*הגדרות!$E$6+I4038+1)</f>
        <v/>
      </c>
      <c r="L4038" s="0" t="str">
        <f aca="false">IF(K4038="","",MATCH(K4038,$F$2:$F$5001,0))</f>
        <v/>
      </c>
      <c r="M4038" s="0" t="str">
        <f aca="false">IF(I4038="","",INDEX(הגדרות!$A$2:$A$21,MOD(I4038+הגדרות!$E$9,הגדרות!$E$6)+1))</f>
        <v/>
      </c>
    </row>
    <row r="4039" customFormat="false" ht="15" hidden="false" customHeight="false" outlineLevel="0" collapsed="false">
      <c r="A4039" s="0" t="str">
        <f aca="false">IF('הדבקת לידים'!A4039="","",IF(ISNUMBER('הדבקת לידים'!A4039),IF(הגדרות!$E$2&gt;0,TEXT('הדבקת לידים'!A4039,REPT("0",הגדרות!$E$2)),TEXT('הדבקת לידים'!A4039,"0")),TRIM('הדבקת לידים'!A4039)))</f>
        <v/>
      </c>
      <c r="B4039" s="0" t="str">
        <f aca="false">IF('הדבקת לידים'!B4039="","",IF(ISNUMBER('הדבקת לידים'!B4039),IF(הגדרות!$E$3&gt;0,TEXT('הדבקת לידים'!B4039,REPT("0",הגדרות!$E$3)),TEXT('הדבקת לידים'!B4039,"0")),TRIM('הדבקת לידים'!B4039)))</f>
        <v/>
      </c>
      <c r="C4039" s="0" t="n">
        <f aca="false">IF(OR(A4039&lt;&gt;"",B4039&lt;&gt;""),1,0)</f>
        <v>0</v>
      </c>
      <c r="D4039" s="0" t="str">
        <f aca="false">IF(C4039=1,MOD(ABS(SIN(ROW()*12.9898+'הדבקת לידים'!$F$2*78.233+IFERROR(--RIGHT(A4039,6),LEN(A4039))*0.0137+IFERROR(--RIGHT(B4039,6),LEN(B4039))*0.0071))*43758.5453,1),"")</f>
        <v/>
      </c>
      <c r="E4039" s="0" t="str">
        <f aca="false">IF(C4039=1,INT(MOD(ABS(SIN(D4039*7919.123+ROW()*0.618+'הדבקת לידים'!$F$2*1.3))*43758.5453,1)*1000000)*10000+ROW(),"")</f>
        <v/>
      </c>
      <c r="F4039" s="0" t="str">
        <f aca="false">IF(E4039="","",RANK(E4039,$E$2:$E$5001,1))</f>
        <v/>
      </c>
      <c r="G4039" s="0" t="n">
        <f aca="false">IF(A4039="",0,IF(SUMPRODUCT(--($A$2:$A$5001=A4039))&gt;1,1,0))</f>
        <v>0</v>
      </c>
      <c r="H4039" s="0" t="n">
        <f aca="false">ROW()-1</f>
        <v>4038</v>
      </c>
      <c r="I4039" s="0" t="str">
        <f aca="false">IF(OR(הגדרות!$E$6=0,H4039&gt;הגדרות!$E$5),"",IF(H4039-1&lt;הגדרות!$E$8*(הגדרות!$E$7+1),INT((H4039-1)/(הגדרות!$E$7+1)),הגדרות!$E$8+INT((H4039-1-הגדרות!$E$8*(הגדרות!$E$7+1))/הגדרות!$E$7)))</f>
        <v/>
      </c>
      <c r="J4039" s="0" t="str">
        <f aca="false">IF(I4039="","",IF(H4039-1&lt;הגדרות!$E$8*(הגדרות!$E$7+1),MOD(H4039-1,הגדרות!$E$7+1),MOD(H4039-1-הגדרות!$E$8*(הגדרות!$E$7+1),הגדרות!$E$7)))</f>
        <v/>
      </c>
      <c r="K4039" s="0" t="str">
        <f aca="false">IF(I4039="","",J4039*הגדרות!$E$6+I4039+1)</f>
        <v/>
      </c>
      <c r="L4039" s="0" t="str">
        <f aca="false">IF(K4039="","",MATCH(K4039,$F$2:$F$5001,0))</f>
        <v/>
      </c>
      <c r="M4039" s="0" t="str">
        <f aca="false">IF(I4039="","",INDEX(הגדרות!$A$2:$A$21,MOD(I4039+הגדרות!$E$9,הגדרות!$E$6)+1))</f>
        <v/>
      </c>
    </row>
    <row r="4040" customFormat="false" ht="15" hidden="false" customHeight="false" outlineLevel="0" collapsed="false">
      <c r="A4040" s="0" t="str">
        <f aca="false">IF('הדבקת לידים'!A4040="","",IF(ISNUMBER('הדבקת לידים'!A4040),IF(הגדרות!$E$2&gt;0,TEXT('הדבקת לידים'!A4040,REPT("0",הגדרות!$E$2)),TEXT('הדבקת לידים'!A4040,"0")),TRIM('הדבקת לידים'!A4040)))</f>
        <v/>
      </c>
      <c r="B4040" s="0" t="str">
        <f aca="false">IF('הדבקת לידים'!B4040="","",IF(ISNUMBER('הדבקת לידים'!B4040),IF(הגדרות!$E$3&gt;0,TEXT('הדבקת לידים'!B4040,REPT("0",הגדרות!$E$3)),TEXT('הדבקת לידים'!B4040,"0")),TRIM('הדבקת לידים'!B4040)))</f>
        <v/>
      </c>
      <c r="C4040" s="0" t="n">
        <f aca="false">IF(OR(A4040&lt;&gt;"",B4040&lt;&gt;""),1,0)</f>
        <v>0</v>
      </c>
      <c r="D4040" s="0" t="str">
        <f aca="false">IF(C4040=1,MOD(ABS(SIN(ROW()*12.9898+'הדבקת לידים'!$F$2*78.233+IFERROR(--RIGHT(A4040,6),LEN(A4040))*0.0137+IFERROR(--RIGHT(B4040,6),LEN(B4040))*0.0071))*43758.5453,1),"")</f>
        <v/>
      </c>
      <c r="E4040" s="0" t="str">
        <f aca="false">IF(C4040=1,INT(MOD(ABS(SIN(D4040*7919.123+ROW()*0.618+'הדבקת לידים'!$F$2*1.3))*43758.5453,1)*1000000)*10000+ROW(),"")</f>
        <v/>
      </c>
      <c r="F4040" s="0" t="str">
        <f aca="false">IF(E4040="","",RANK(E4040,$E$2:$E$5001,1))</f>
        <v/>
      </c>
      <c r="G4040" s="0" t="n">
        <f aca="false">IF(A4040="",0,IF(SUMPRODUCT(--($A$2:$A$5001=A4040))&gt;1,1,0))</f>
        <v>0</v>
      </c>
      <c r="H4040" s="0" t="n">
        <f aca="false">ROW()-1</f>
        <v>4039</v>
      </c>
      <c r="I4040" s="0" t="str">
        <f aca="false">IF(OR(הגדרות!$E$6=0,H4040&gt;הגדרות!$E$5),"",IF(H4040-1&lt;הגדרות!$E$8*(הגדרות!$E$7+1),INT((H4040-1)/(הגדרות!$E$7+1)),הגדרות!$E$8+INT((H4040-1-הגדרות!$E$8*(הגדרות!$E$7+1))/הגדרות!$E$7)))</f>
        <v/>
      </c>
      <c r="J4040" s="0" t="str">
        <f aca="false">IF(I4040="","",IF(H4040-1&lt;הגדרות!$E$8*(הגדרות!$E$7+1),MOD(H4040-1,הגדרות!$E$7+1),MOD(H4040-1-הגדרות!$E$8*(הגדרות!$E$7+1),הגדרות!$E$7)))</f>
        <v/>
      </c>
      <c r="K4040" s="0" t="str">
        <f aca="false">IF(I4040="","",J4040*הגדרות!$E$6+I4040+1)</f>
        <v/>
      </c>
      <c r="L4040" s="0" t="str">
        <f aca="false">IF(K4040="","",MATCH(K4040,$F$2:$F$5001,0))</f>
        <v/>
      </c>
      <c r="M4040" s="0" t="str">
        <f aca="false">IF(I4040="","",INDEX(הגדרות!$A$2:$A$21,MOD(I4040+הגדרות!$E$9,הגדרות!$E$6)+1))</f>
        <v/>
      </c>
    </row>
    <row r="4041" customFormat="false" ht="15" hidden="false" customHeight="false" outlineLevel="0" collapsed="false">
      <c r="A4041" s="0" t="str">
        <f aca="false">IF('הדבקת לידים'!A4041="","",IF(ISNUMBER('הדבקת לידים'!A4041),IF(הגדרות!$E$2&gt;0,TEXT('הדבקת לידים'!A4041,REPT("0",הגדרות!$E$2)),TEXT('הדבקת לידים'!A4041,"0")),TRIM('הדבקת לידים'!A4041)))</f>
        <v/>
      </c>
      <c r="B4041" s="0" t="str">
        <f aca="false">IF('הדבקת לידים'!B4041="","",IF(ISNUMBER('הדבקת לידים'!B4041),IF(הגדרות!$E$3&gt;0,TEXT('הדבקת לידים'!B4041,REPT("0",הגדרות!$E$3)),TEXT('הדבקת לידים'!B4041,"0")),TRIM('הדבקת לידים'!B4041)))</f>
        <v/>
      </c>
      <c r="C4041" s="0" t="n">
        <f aca="false">IF(OR(A4041&lt;&gt;"",B4041&lt;&gt;""),1,0)</f>
        <v>0</v>
      </c>
      <c r="D4041" s="0" t="str">
        <f aca="false">IF(C4041=1,MOD(ABS(SIN(ROW()*12.9898+'הדבקת לידים'!$F$2*78.233+IFERROR(--RIGHT(A4041,6),LEN(A4041))*0.0137+IFERROR(--RIGHT(B4041,6),LEN(B4041))*0.0071))*43758.5453,1),"")</f>
        <v/>
      </c>
      <c r="E4041" s="0" t="str">
        <f aca="false">IF(C4041=1,INT(MOD(ABS(SIN(D4041*7919.123+ROW()*0.618+'הדבקת לידים'!$F$2*1.3))*43758.5453,1)*1000000)*10000+ROW(),"")</f>
        <v/>
      </c>
      <c r="F4041" s="0" t="str">
        <f aca="false">IF(E4041="","",RANK(E4041,$E$2:$E$5001,1))</f>
        <v/>
      </c>
      <c r="G4041" s="0" t="n">
        <f aca="false">IF(A4041="",0,IF(SUMPRODUCT(--($A$2:$A$5001=A4041))&gt;1,1,0))</f>
        <v>0</v>
      </c>
      <c r="H4041" s="0" t="n">
        <f aca="false">ROW()-1</f>
        <v>4040</v>
      </c>
      <c r="I4041" s="0" t="str">
        <f aca="false">IF(OR(הגדרות!$E$6=0,H4041&gt;הגדרות!$E$5),"",IF(H4041-1&lt;הגדרות!$E$8*(הגדרות!$E$7+1),INT((H4041-1)/(הגדרות!$E$7+1)),הגדרות!$E$8+INT((H4041-1-הגדרות!$E$8*(הגדרות!$E$7+1))/הגדרות!$E$7)))</f>
        <v/>
      </c>
      <c r="J4041" s="0" t="str">
        <f aca="false">IF(I4041="","",IF(H4041-1&lt;הגדרות!$E$8*(הגדרות!$E$7+1),MOD(H4041-1,הגדרות!$E$7+1),MOD(H4041-1-הגדרות!$E$8*(הגדרות!$E$7+1),הגדרות!$E$7)))</f>
        <v/>
      </c>
      <c r="K4041" s="0" t="str">
        <f aca="false">IF(I4041="","",J4041*הגדרות!$E$6+I4041+1)</f>
        <v/>
      </c>
      <c r="L4041" s="0" t="str">
        <f aca="false">IF(K4041="","",MATCH(K4041,$F$2:$F$5001,0))</f>
        <v/>
      </c>
      <c r="M4041" s="0" t="str">
        <f aca="false">IF(I4041="","",INDEX(הגדרות!$A$2:$A$21,MOD(I4041+הגדרות!$E$9,הגדרות!$E$6)+1))</f>
        <v/>
      </c>
    </row>
    <row r="4042" customFormat="false" ht="15" hidden="false" customHeight="false" outlineLevel="0" collapsed="false">
      <c r="A4042" s="0" t="str">
        <f aca="false">IF('הדבקת לידים'!A4042="","",IF(ISNUMBER('הדבקת לידים'!A4042),IF(הגדרות!$E$2&gt;0,TEXT('הדבקת לידים'!A4042,REPT("0",הגדרות!$E$2)),TEXT('הדבקת לידים'!A4042,"0")),TRIM('הדבקת לידים'!A4042)))</f>
        <v/>
      </c>
      <c r="B4042" s="0" t="str">
        <f aca="false">IF('הדבקת לידים'!B4042="","",IF(ISNUMBER('הדבקת לידים'!B4042),IF(הגדרות!$E$3&gt;0,TEXT('הדבקת לידים'!B4042,REPT("0",הגדרות!$E$3)),TEXT('הדבקת לידים'!B4042,"0")),TRIM('הדבקת לידים'!B4042)))</f>
        <v/>
      </c>
      <c r="C4042" s="0" t="n">
        <f aca="false">IF(OR(A4042&lt;&gt;"",B4042&lt;&gt;""),1,0)</f>
        <v>0</v>
      </c>
      <c r="D4042" s="0" t="str">
        <f aca="false">IF(C4042=1,MOD(ABS(SIN(ROW()*12.9898+'הדבקת לידים'!$F$2*78.233+IFERROR(--RIGHT(A4042,6),LEN(A4042))*0.0137+IFERROR(--RIGHT(B4042,6),LEN(B4042))*0.0071))*43758.5453,1),"")</f>
        <v/>
      </c>
      <c r="E4042" s="0" t="str">
        <f aca="false">IF(C4042=1,INT(MOD(ABS(SIN(D4042*7919.123+ROW()*0.618+'הדבקת לידים'!$F$2*1.3))*43758.5453,1)*1000000)*10000+ROW(),"")</f>
        <v/>
      </c>
      <c r="F4042" s="0" t="str">
        <f aca="false">IF(E4042="","",RANK(E4042,$E$2:$E$5001,1))</f>
        <v/>
      </c>
      <c r="G4042" s="0" t="n">
        <f aca="false">IF(A4042="",0,IF(SUMPRODUCT(--($A$2:$A$5001=A4042))&gt;1,1,0))</f>
        <v>0</v>
      </c>
      <c r="H4042" s="0" t="n">
        <f aca="false">ROW()-1</f>
        <v>4041</v>
      </c>
      <c r="I4042" s="0" t="str">
        <f aca="false">IF(OR(הגדרות!$E$6=0,H4042&gt;הגדרות!$E$5),"",IF(H4042-1&lt;הגדרות!$E$8*(הגדרות!$E$7+1),INT((H4042-1)/(הגדרות!$E$7+1)),הגדרות!$E$8+INT((H4042-1-הגדרות!$E$8*(הגדרות!$E$7+1))/הגדרות!$E$7)))</f>
        <v/>
      </c>
      <c r="J4042" s="0" t="str">
        <f aca="false">IF(I4042="","",IF(H4042-1&lt;הגדרות!$E$8*(הגדרות!$E$7+1),MOD(H4042-1,הגדרות!$E$7+1),MOD(H4042-1-הגדרות!$E$8*(הגדרות!$E$7+1),הגדרות!$E$7)))</f>
        <v/>
      </c>
      <c r="K4042" s="0" t="str">
        <f aca="false">IF(I4042="","",J4042*הגדרות!$E$6+I4042+1)</f>
        <v/>
      </c>
      <c r="L4042" s="0" t="str">
        <f aca="false">IF(K4042="","",MATCH(K4042,$F$2:$F$5001,0))</f>
        <v/>
      </c>
      <c r="M4042" s="0" t="str">
        <f aca="false">IF(I4042="","",INDEX(הגדרות!$A$2:$A$21,MOD(I4042+הגדרות!$E$9,הגדרות!$E$6)+1))</f>
        <v/>
      </c>
    </row>
    <row r="4043" customFormat="false" ht="15" hidden="false" customHeight="false" outlineLevel="0" collapsed="false">
      <c r="A4043" s="0" t="str">
        <f aca="false">IF('הדבקת לידים'!A4043="","",IF(ISNUMBER('הדבקת לידים'!A4043),IF(הגדרות!$E$2&gt;0,TEXT('הדבקת לידים'!A4043,REPT("0",הגדרות!$E$2)),TEXT('הדבקת לידים'!A4043,"0")),TRIM('הדבקת לידים'!A4043)))</f>
        <v/>
      </c>
      <c r="B4043" s="0" t="str">
        <f aca="false">IF('הדבקת לידים'!B4043="","",IF(ISNUMBER('הדבקת לידים'!B4043),IF(הגדרות!$E$3&gt;0,TEXT('הדבקת לידים'!B4043,REPT("0",הגדרות!$E$3)),TEXT('הדבקת לידים'!B4043,"0")),TRIM('הדבקת לידים'!B4043)))</f>
        <v/>
      </c>
      <c r="C4043" s="0" t="n">
        <f aca="false">IF(OR(A4043&lt;&gt;"",B4043&lt;&gt;""),1,0)</f>
        <v>0</v>
      </c>
      <c r="D4043" s="0" t="str">
        <f aca="false">IF(C4043=1,MOD(ABS(SIN(ROW()*12.9898+'הדבקת לידים'!$F$2*78.233+IFERROR(--RIGHT(A4043,6),LEN(A4043))*0.0137+IFERROR(--RIGHT(B4043,6),LEN(B4043))*0.0071))*43758.5453,1),"")</f>
        <v/>
      </c>
      <c r="E4043" s="0" t="str">
        <f aca="false">IF(C4043=1,INT(MOD(ABS(SIN(D4043*7919.123+ROW()*0.618+'הדבקת לידים'!$F$2*1.3))*43758.5453,1)*1000000)*10000+ROW(),"")</f>
        <v/>
      </c>
      <c r="F4043" s="0" t="str">
        <f aca="false">IF(E4043="","",RANK(E4043,$E$2:$E$5001,1))</f>
        <v/>
      </c>
      <c r="G4043" s="0" t="n">
        <f aca="false">IF(A4043="",0,IF(SUMPRODUCT(--($A$2:$A$5001=A4043))&gt;1,1,0))</f>
        <v>0</v>
      </c>
      <c r="H4043" s="0" t="n">
        <f aca="false">ROW()-1</f>
        <v>4042</v>
      </c>
      <c r="I4043" s="0" t="str">
        <f aca="false">IF(OR(הגדרות!$E$6=0,H4043&gt;הגדרות!$E$5),"",IF(H4043-1&lt;הגדרות!$E$8*(הגדרות!$E$7+1),INT((H4043-1)/(הגדרות!$E$7+1)),הגדרות!$E$8+INT((H4043-1-הגדרות!$E$8*(הגדרות!$E$7+1))/הגדרות!$E$7)))</f>
        <v/>
      </c>
      <c r="J4043" s="0" t="str">
        <f aca="false">IF(I4043="","",IF(H4043-1&lt;הגדרות!$E$8*(הגדרות!$E$7+1),MOD(H4043-1,הגדרות!$E$7+1),MOD(H4043-1-הגדרות!$E$8*(הגדרות!$E$7+1),הגדרות!$E$7)))</f>
        <v/>
      </c>
      <c r="K4043" s="0" t="str">
        <f aca="false">IF(I4043="","",J4043*הגדרות!$E$6+I4043+1)</f>
        <v/>
      </c>
      <c r="L4043" s="0" t="str">
        <f aca="false">IF(K4043="","",MATCH(K4043,$F$2:$F$5001,0))</f>
        <v/>
      </c>
      <c r="M4043" s="0" t="str">
        <f aca="false">IF(I4043="","",INDEX(הגדרות!$A$2:$A$21,MOD(I4043+הגדרות!$E$9,הגדרות!$E$6)+1))</f>
        <v/>
      </c>
    </row>
    <row r="4044" customFormat="false" ht="15" hidden="false" customHeight="false" outlineLevel="0" collapsed="false">
      <c r="A4044" s="0" t="str">
        <f aca="false">IF('הדבקת לידים'!A4044="","",IF(ISNUMBER('הדבקת לידים'!A4044),IF(הגדרות!$E$2&gt;0,TEXT('הדבקת לידים'!A4044,REPT("0",הגדרות!$E$2)),TEXT('הדבקת לידים'!A4044,"0")),TRIM('הדבקת לידים'!A4044)))</f>
        <v/>
      </c>
      <c r="B4044" s="0" t="str">
        <f aca="false">IF('הדבקת לידים'!B4044="","",IF(ISNUMBER('הדבקת לידים'!B4044),IF(הגדרות!$E$3&gt;0,TEXT('הדבקת לידים'!B4044,REPT("0",הגדרות!$E$3)),TEXT('הדבקת לידים'!B4044,"0")),TRIM('הדבקת לידים'!B4044)))</f>
        <v/>
      </c>
      <c r="C4044" s="0" t="n">
        <f aca="false">IF(OR(A4044&lt;&gt;"",B4044&lt;&gt;""),1,0)</f>
        <v>0</v>
      </c>
      <c r="D4044" s="0" t="str">
        <f aca="false">IF(C4044=1,MOD(ABS(SIN(ROW()*12.9898+'הדבקת לידים'!$F$2*78.233+IFERROR(--RIGHT(A4044,6),LEN(A4044))*0.0137+IFERROR(--RIGHT(B4044,6),LEN(B4044))*0.0071))*43758.5453,1),"")</f>
        <v/>
      </c>
      <c r="E4044" s="0" t="str">
        <f aca="false">IF(C4044=1,INT(MOD(ABS(SIN(D4044*7919.123+ROW()*0.618+'הדבקת לידים'!$F$2*1.3))*43758.5453,1)*1000000)*10000+ROW(),"")</f>
        <v/>
      </c>
      <c r="F4044" s="0" t="str">
        <f aca="false">IF(E4044="","",RANK(E4044,$E$2:$E$5001,1))</f>
        <v/>
      </c>
      <c r="G4044" s="0" t="n">
        <f aca="false">IF(A4044="",0,IF(SUMPRODUCT(--($A$2:$A$5001=A4044))&gt;1,1,0))</f>
        <v>0</v>
      </c>
      <c r="H4044" s="0" t="n">
        <f aca="false">ROW()-1</f>
        <v>4043</v>
      </c>
      <c r="I4044" s="0" t="str">
        <f aca="false">IF(OR(הגדרות!$E$6=0,H4044&gt;הגדרות!$E$5),"",IF(H4044-1&lt;הגדרות!$E$8*(הגדרות!$E$7+1),INT((H4044-1)/(הגדרות!$E$7+1)),הגדרות!$E$8+INT((H4044-1-הגדרות!$E$8*(הגדרות!$E$7+1))/הגדרות!$E$7)))</f>
        <v/>
      </c>
      <c r="J4044" s="0" t="str">
        <f aca="false">IF(I4044="","",IF(H4044-1&lt;הגדרות!$E$8*(הגדרות!$E$7+1),MOD(H4044-1,הגדרות!$E$7+1),MOD(H4044-1-הגדרות!$E$8*(הגדרות!$E$7+1),הגדרות!$E$7)))</f>
        <v/>
      </c>
      <c r="K4044" s="0" t="str">
        <f aca="false">IF(I4044="","",J4044*הגדרות!$E$6+I4044+1)</f>
        <v/>
      </c>
      <c r="L4044" s="0" t="str">
        <f aca="false">IF(K4044="","",MATCH(K4044,$F$2:$F$5001,0))</f>
        <v/>
      </c>
      <c r="M4044" s="0" t="str">
        <f aca="false">IF(I4044="","",INDEX(הגדרות!$A$2:$A$21,MOD(I4044+הגדרות!$E$9,הגדרות!$E$6)+1))</f>
        <v/>
      </c>
    </row>
    <row r="4045" customFormat="false" ht="15" hidden="false" customHeight="false" outlineLevel="0" collapsed="false">
      <c r="A4045" s="0" t="str">
        <f aca="false">IF('הדבקת לידים'!A4045="","",IF(ISNUMBER('הדבקת לידים'!A4045),IF(הגדרות!$E$2&gt;0,TEXT('הדבקת לידים'!A4045,REPT("0",הגדרות!$E$2)),TEXT('הדבקת לידים'!A4045,"0")),TRIM('הדבקת לידים'!A4045)))</f>
        <v/>
      </c>
      <c r="B4045" s="0" t="str">
        <f aca="false">IF('הדבקת לידים'!B4045="","",IF(ISNUMBER('הדבקת לידים'!B4045),IF(הגדרות!$E$3&gt;0,TEXT('הדבקת לידים'!B4045,REPT("0",הגדרות!$E$3)),TEXT('הדבקת לידים'!B4045,"0")),TRIM('הדבקת לידים'!B4045)))</f>
        <v/>
      </c>
      <c r="C4045" s="0" t="n">
        <f aca="false">IF(OR(A4045&lt;&gt;"",B4045&lt;&gt;""),1,0)</f>
        <v>0</v>
      </c>
      <c r="D4045" s="0" t="str">
        <f aca="false">IF(C4045=1,MOD(ABS(SIN(ROW()*12.9898+'הדבקת לידים'!$F$2*78.233+IFERROR(--RIGHT(A4045,6),LEN(A4045))*0.0137+IFERROR(--RIGHT(B4045,6),LEN(B4045))*0.0071))*43758.5453,1),"")</f>
        <v/>
      </c>
      <c r="E4045" s="0" t="str">
        <f aca="false">IF(C4045=1,INT(MOD(ABS(SIN(D4045*7919.123+ROW()*0.618+'הדבקת לידים'!$F$2*1.3))*43758.5453,1)*1000000)*10000+ROW(),"")</f>
        <v/>
      </c>
      <c r="F4045" s="0" t="str">
        <f aca="false">IF(E4045="","",RANK(E4045,$E$2:$E$5001,1))</f>
        <v/>
      </c>
      <c r="G4045" s="0" t="n">
        <f aca="false">IF(A4045="",0,IF(SUMPRODUCT(--($A$2:$A$5001=A4045))&gt;1,1,0))</f>
        <v>0</v>
      </c>
      <c r="H4045" s="0" t="n">
        <f aca="false">ROW()-1</f>
        <v>4044</v>
      </c>
      <c r="I4045" s="0" t="str">
        <f aca="false">IF(OR(הגדרות!$E$6=0,H4045&gt;הגדרות!$E$5),"",IF(H4045-1&lt;הגדרות!$E$8*(הגדרות!$E$7+1),INT((H4045-1)/(הגדרות!$E$7+1)),הגדרות!$E$8+INT((H4045-1-הגדרות!$E$8*(הגדרות!$E$7+1))/הגדרות!$E$7)))</f>
        <v/>
      </c>
      <c r="J4045" s="0" t="str">
        <f aca="false">IF(I4045="","",IF(H4045-1&lt;הגדרות!$E$8*(הגדרות!$E$7+1),MOD(H4045-1,הגדרות!$E$7+1),MOD(H4045-1-הגדרות!$E$8*(הגדרות!$E$7+1),הגדרות!$E$7)))</f>
        <v/>
      </c>
      <c r="K4045" s="0" t="str">
        <f aca="false">IF(I4045="","",J4045*הגדרות!$E$6+I4045+1)</f>
        <v/>
      </c>
      <c r="L4045" s="0" t="str">
        <f aca="false">IF(K4045="","",MATCH(K4045,$F$2:$F$5001,0))</f>
        <v/>
      </c>
      <c r="M4045" s="0" t="str">
        <f aca="false">IF(I4045="","",INDEX(הגדרות!$A$2:$A$21,MOD(I4045+הגדרות!$E$9,הגדרות!$E$6)+1))</f>
        <v/>
      </c>
    </row>
    <row r="4046" customFormat="false" ht="15" hidden="false" customHeight="false" outlineLevel="0" collapsed="false">
      <c r="A4046" s="0" t="str">
        <f aca="false">IF('הדבקת לידים'!A4046="","",IF(ISNUMBER('הדבקת לידים'!A4046),IF(הגדרות!$E$2&gt;0,TEXT('הדבקת לידים'!A4046,REPT("0",הגדרות!$E$2)),TEXT('הדבקת לידים'!A4046,"0")),TRIM('הדבקת לידים'!A4046)))</f>
        <v/>
      </c>
      <c r="B4046" s="0" t="str">
        <f aca="false">IF('הדבקת לידים'!B4046="","",IF(ISNUMBER('הדבקת לידים'!B4046),IF(הגדרות!$E$3&gt;0,TEXT('הדבקת לידים'!B4046,REPT("0",הגדרות!$E$3)),TEXT('הדבקת לידים'!B4046,"0")),TRIM('הדבקת לידים'!B4046)))</f>
        <v/>
      </c>
      <c r="C4046" s="0" t="n">
        <f aca="false">IF(OR(A4046&lt;&gt;"",B4046&lt;&gt;""),1,0)</f>
        <v>0</v>
      </c>
      <c r="D4046" s="0" t="str">
        <f aca="false">IF(C4046=1,MOD(ABS(SIN(ROW()*12.9898+'הדבקת לידים'!$F$2*78.233+IFERROR(--RIGHT(A4046,6),LEN(A4046))*0.0137+IFERROR(--RIGHT(B4046,6),LEN(B4046))*0.0071))*43758.5453,1),"")</f>
        <v/>
      </c>
      <c r="E4046" s="0" t="str">
        <f aca="false">IF(C4046=1,INT(MOD(ABS(SIN(D4046*7919.123+ROW()*0.618+'הדבקת לידים'!$F$2*1.3))*43758.5453,1)*1000000)*10000+ROW(),"")</f>
        <v/>
      </c>
      <c r="F4046" s="0" t="str">
        <f aca="false">IF(E4046="","",RANK(E4046,$E$2:$E$5001,1))</f>
        <v/>
      </c>
      <c r="G4046" s="0" t="n">
        <f aca="false">IF(A4046="",0,IF(SUMPRODUCT(--($A$2:$A$5001=A4046))&gt;1,1,0))</f>
        <v>0</v>
      </c>
      <c r="H4046" s="0" t="n">
        <f aca="false">ROW()-1</f>
        <v>4045</v>
      </c>
      <c r="I4046" s="0" t="str">
        <f aca="false">IF(OR(הגדרות!$E$6=0,H4046&gt;הגדרות!$E$5),"",IF(H4046-1&lt;הגדרות!$E$8*(הגדרות!$E$7+1),INT((H4046-1)/(הגדרות!$E$7+1)),הגדרות!$E$8+INT((H4046-1-הגדרות!$E$8*(הגדרות!$E$7+1))/הגדרות!$E$7)))</f>
        <v/>
      </c>
      <c r="J4046" s="0" t="str">
        <f aca="false">IF(I4046="","",IF(H4046-1&lt;הגדרות!$E$8*(הגדרות!$E$7+1),MOD(H4046-1,הגדרות!$E$7+1),MOD(H4046-1-הגדרות!$E$8*(הגדרות!$E$7+1),הגדרות!$E$7)))</f>
        <v/>
      </c>
      <c r="K4046" s="0" t="str">
        <f aca="false">IF(I4046="","",J4046*הגדרות!$E$6+I4046+1)</f>
        <v/>
      </c>
      <c r="L4046" s="0" t="str">
        <f aca="false">IF(K4046="","",MATCH(K4046,$F$2:$F$5001,0))</f>
        <v/>
      </c>
      <c r="M4046" s="0" t="str">
        <f aca="false">IF(I4046="","",INDEX(הגדרות!$A$2:$A$21,MOD(I4046+הגדרות!$E$9,הגדרות!$E$6)+1))</f>
        <v/>
      </c>
    </row>
    <row r="4047" customFormat="false" ht="15" hidden="false" customHeight="false" outlineLevel="0" collapsed="false">
      <c r="A4047" s="0" t="str">
        <f aca="false">IF('הדבקת לידים'!A4047="","",IF(ISNUMBER('הדבקת לידים'!A4047),IF(הגדרות!$E$2&gt;0,TEXT('הדבקת לידים'!A4047,REPT("0",הגדרות!$E$2)),TEXT('הדבקת לידים'!A4047,"0")),TRIM('הדבקת לידים'!A4047)))</f>
        <v/>
      </c>
      <c r="B4047" s="0" t="str">
        <f aca="false">IF('הדבקת לידים'!B4047="","",IF(ISNUMBER('הדבקת לידים'!B4047),IF(הגדרות!$E$3&gt;0,TEXT('הדבקת לידים'!B4047,REPT("0",הגדרות!$E$3)),TEXT('הדבקת לידים'!B4047,"0")),TRIM('הדבקת לידים'!B4047)))</f>
        <v/>
      </c>
      <c r="C4047" s="0" t="n">
        <f aca="false">IF(OR(A4047&lt;&gt;"",B4047&lt;&gt;""),1,0)</f>
        <v>0</v>
      </c>
      <c r="D4047" s="0" t="str">
        <f aca="false">IF(C4047=1,MOD(ABS(SIN(ROW()*12.9898+'הדבקת לידים'!$F$2*78.233+IFERROR(--RIGHT(A4047,6),LEN(A4047))*0.0137+IFERROR(--RIGHT(B4047,6),LEN(B4047))*0.0071))*43758.5453,1),"")</f>
        <v/>
      </c>
      <c r="E4047" s="0" t="str">
        <f aca="false">IF(C4047=1,INT(MOD(ABS(SIN(D4047*7919.123+ROW()*0.618+'הדבקת לידים'!$F$2*1.3))*43758.5453,1)*1000000)*10000+ROW(),"")</f>
        <v/>
      </c>
      <c r="F4047" s="0" t="str">
        <f aca="false">IF(E4047="","",RANK(E4047,$E$2:$E$5001,1))</f>
        <v/>
      </c>
      <c r="G4047" s="0" t="n">
        <f aca="false">IF(A4047="",0,IF(SUMPRODUCT(--($A$2:$A$5001=A4047))&gt;1,1,0))</f>
        <v>0</v>
      </c>
      <c r="H4047" s="0" t="n">
        <f aca="false">ROW()-1</f>
        <v>4046</v>
      </c>
      <c r="I4047" s="0" t="str">
        <f aca="false">IF(OR(הגדרות!$E$6=0,H4047&gt;הגדרות!$E$5),"",IF(H4047-1&lt;הגדרות!$E$8*(הגדרות!$E$7+1),INT((H4047-1)/(הגדרות!$E$7+1)),הגדרות!$E$8+INT((H4047-1-הגדרות!$E$8*(הגדרות!$E$7+1))/הגדרות!$E$7)))</f>
        <v/>
      </c>
      <c r="J4047" s="0" t="str">
        <f aca="false">IF(I4047="","",IF(H4047-1&lt;הגדרות!$E$8*(הגדרות!$E$7+1),MOD(H4047-1,הגדרות!$E$7+1),MOD(H4047-1-הגדרות!$E$8*(הגדרות!$E$7+1),הגדרות!$E$7)))</f>
        <v/>
      </c>
      <c r="K4047" s="0" t="str">
        <f aca="false">IF(I4047="","",J4047*הגדרות!$E$6+I4047+1)</f>
        <v/>
      </c>
      <c r="L4047" s="0" t="str">
        <f aca="false">IF(K4047="","",MATCH(K4047,$F$2:$F$5001,0))</f>
        <v/>
      </c>
      <c r="M4047" s="0" t="str">
        <f aca="false">IF(I4047="","",INDEX(הגדרות!$A$2:$A$21,MOD(I4047+הגדרות!$E$9,הגדרות!$E$6)+1))</f>
        <v/>
      </c>
    </row>
    <row r="4048" customFormat="false" ht="15" hidden="false" customHeight="false" outlineLevel="0" collapsed="false">
      <c r="A4048" s="0" t="str">
        <f aca="false">IF('הדבקת לידים'!A4048="","",IF(ISNUMBER('הדבקת לידים'!A4048),IF(הגדרות!$E$2&gt;0,TEXT('הדבקת לידים'!A4048,REPT("0",הגדרות!$E$2)),TEXT('הדבקת לידים'!A4048,"0")),TRIM('הדבקת לידים'!A4048)))</f>
        <v/>
      </c>
      <c r="B4048" s="0" t="str">
        <f aca="false">IF('הדבקת לידים'!B4048="","",IF(ISNUMBER('הדבקת לידים'!B4048),IF(הגדרות!$E$3&gt;0,TEXT('הדבקת לידים'!B4048,REPT("0",הגדרות!$E$3)),TEXT('הדבקת לידים'!B4048,"0")),TRIM('הדבקת לידים'!B4048)))</f>
        <v/>
      </c>
      <c r="C4048" s="0" t="n">
        <f aca="false">IF(OR(A4048&lt;&gt;"",B4048&lt;&gt;""),1,0)</f>
        <v>0</v>
      </c>
      <c r="D4048" s="0" t="str">
        <f aca="false">IF(C4048=1,MOD(ABS(SIN(ROW()*12.9898+'הדבקת לידים'!$F$2*78.233+IFERROR(--RIGHT(A4048,6),LEN(A4048))*0.0137+IFERROR(--RIGHT(B4048,6),LEN(B4048))*0.0071))*43758.5453,1),"")</f>
        <v/>
      </c>
      <c r="E4048" s="0" t="str">
        <f aca="false">IF(C4048=1,INT(MOD(ABS(SIN(D4048*7919.123+ROW()*0.618+'הדבקת לידים'!$F$2*1.3))*43758.5453,1)*1000000)*10000+ROW(),"")</f>
        <v/>
      </c>
      <c r="F4048" s="0" t="str">
        <f aca="false">IF(E4048="","",RANK(E4048,$E$2:$E$5001,1))</f>
        <v/>
      </c>
      <c r="G4048" s="0" t="n">
        <f aca="false">IF(A4048="",0,IF(SUMPRODUCT(--($A$2:$A$5001=A4048))&gt;1,1,0))</f>
        <v>0</v>
      </c>
      <c r="H4048" s="0" t="n">
        <f aca="false">ROW()-1</f>
        <v>4047</v>
      </c>
      <c r="I4048" s="0" t="str">
        <f aca="false">IF(OR(הגדרות!$E$6=0,H4048&gt;הגדרות!$E$5),"",IF(H4048-1&lt;הגדרות!$E$8*(הגדרות!$E$7+1),INT((H4048-1)/(הגדרות!$E$7+1)),הגדרות!$E$8+INT((H4048-1-הגדרות!$E$8*(הגדרות!$E$7+1))/הגדרות!$E$7)))</f>
        <v/>
      </c>
      <c r="J4048" s="0" t="str">
        <f aca="false">IF(I4048="","",IF(H4048-1&lt;הגדרות!$E$8*(הגדרות!$E$7+1),MOD(H4048-1,הגדרות!$E$7+1),MOD(H4048-1-הגדרות!$E$8*(הגדרות!$E$7+1),הגדרות!$E$7)))</f>
        <v/>
      </c>
      <c r="K4048" s="0" t="str">
        <f aca="false">IF(I4048="","",J4048*הגדרות!$E$6+I4048+1)</f>
        <v/>
      </c>
      <c r="L4048" s="0" t="str">
        <f aca="false">IF(K4048="","",MATCH(K4048,$F$2:$F$5001,0))</f>
        <v/>
      </c>
      <c r="M4048" s="0" t="str">
        <f aca="false">IF(I4048="","",INDEX(הגדרות!$A$2:$A$21,MOD(I4048+הגדרות!$E$9,הגדרות!$E$6)+1))</f>
        <v/>
      </c>
    </row>
    <row r="4049" customFormat="false" ht="15" hidden="false" customHeight="false" outlineLevel="0" collapsed="false">
      <c r="A4049" s="0" t="str">
        <f aca="false">IF('הדבקת לידים'!A4049="","",IF(ISNUMBER('הדבקת לידים'!A4049),IF(הגדרות!$E$2&gt;0,TEXT('הדבקת לידים'!A4049,REPT("0",הגדרות!$E$2)),TEXT('הדבקת לידים'!A4049,"0")),TRIM('הדבקת לידים'!A4049)))</f>
        <v/>
      </c>
      <c r="B4049" s="0" t="str">
        <f aca="false">IF('הדבקת לידים'!B4049="","",IF(ISNUMBER('הדבקת לידים'!B4049),IF(הגדרות!$E$3&gt;0,TEXT('הדבקת לידים'!B4049,REPT("0",הגדרות!$E$3)),TEXT('הדבקת לידים'!B4049,"0")),TRIM('הדבקת לידים'!B4049)))</f>
        <v/>
      </c>
      <c r="C4049" s="0" t="n">
        <f aca="false">IF(OR(A4049&lt;&gt;"",B4049&lt;&gt;""),1,0)</f>
        <v>0</v>
      </c>
      <c r="D4049" s="0" t="str">
        <f aca="false">IF(C4049=1,MOD(ABS(SIN(ROW()*12.9898+'הדבקת לידים'!$F$2*78.233+IFERROR(--RIGHT(A4049,6),LEN(A4049))*0.0137+IFERROR(--RIGHT(B4049,6),LEN(B4049))*0.0071))*43758.5453,1),"")</f>
        <v/>
      </c>
      <c r="E4049" s="0" t="str">
        <f aca="false">IF(C4049=1,INT(MOD(ABS(SIN(D4049*7919.123+ROW()*0.618+'הדבקת לידים'!$F$2*1.3))*43758.5453,1)*1000000)*10000+ROW(),"")</f>
        <v/>
      </c>
      <c r="F4049" s="0" t="str">
        <f aca="false">IF(E4049="","",RANK(E4049,$E$2:$E$5001,1))</f>
        <v/>
      </c>
      <c r="G4049" s="0" t="n">
        <f aca="false">IF(A4049="",0,IF(SUMPRODUCT(--($A$2:$A$5001=A4049))&gt;1,1,0))</f>
        <v>0</v>
      </c>
      <c r="H4049" s="0" t="n">
        <f aca="false">ROW()-1</f>
        <v>4048</v>
      </c>
      <c r="I4049" s="0" t="str">
        <f aca="false">IF(OR(הגדרות!$E$6=0,H4049&gt;הגדרות!$E$5),"",IF(H4049-1&lt;הגדרות!$E$8*(הגדרות!$E$7+1),INT((H4049-1)/(הגדרות!$E$7+1)),הגדרות!$E$8+INT((H4049-1-הגדרות!$E$8*(הגדרות!$E$7+1))/הגדרות!$E$7)))</f>
        <v/>
      </c>
      <c r="J4049" s="0" t="str">
        <f aca="false">IF(I4049="","",IF(H4049-1&lt;הגדרות!$E$8*(הגדרות!$E$7+1),MOD(H4049-1,הגדרות!$E$7+1),MOD(H4049-1-הגדרות!$E$8*(הגדרות!$E$7+1),הגדרות!$E$7)))</f>
        <v/>
      </c>
      <c r="K4049" s="0" t="str">
        <f aca="false">IF(I4049="","",J4049*הגדרות!$E$6+I4049+1)</f>
        <v/>
      </c>
      <c r="L4049" s="0" t="str">
        <f aca="false">IF(K4049="","",MATCH(K4049,$F$2:$F$5001,0))</f>
        <v/>
      </c>
      <c r="M4049" s="0" t="str">
        <f aca="false">IF(I4049="","",INDEX(הגדרות!$A$2:$A$21,MOD(I4049+הגדרות!$E$9,הגדרות!$E$6)+1))</f>
        <v/>
      </c>
    </row>
    <row r="4050" customFormat="false" ht="15" hidden="false" customHeight="false" outlineLevel="0" collapsed="false">
      <c r="A4050" s="0" t="str">
        <f aca="false">IF('הדבקת לידים'!A4050="","",IF(ISNUMBER('הדבקת לידים'!A4050),IF(הגדרות!$E$2&gt;0,TEXT('הדבקת לידים'!A4050,REPT("0",הגדרות!$E$2)),TEXT('הדבקת לידים'!A4050,"0")),TRIM('הדבקת לידים'!A4050)))</f>
        <v/>
      </c>
      <c r="B4050" s="0" t="str">
        <f aca="false">IF('הדבקת לידים'!B4050="","",IF(ISNUMBER('הדבקת לידים'!B4050),IF(הגדרות!$E$3&gt;0,TEXT('הדבקת לידים'!B4050,REPT("0",הגדרות!$E$3)),TEXT('הדבקת לידים'!B4050,"0")),TRIM('הדבקת לידים'!B4050)))</f>
        <v/>
      </c>
      <c r="C4050" s="0" t="n">
        <f aca="false">IF(OR(A4050&lt;&gt;"",B4050&lt;&gt;""),1,0)</f>
        <v>0</v>
      </c>
      <c r="D4050" s="0" t="str">
        <f aca="false">IF(C4050=1,MOD(ABS(SIN(ROW()*12.9898+'הדבקת לידים'!$F$2*78.233+IFERROR(--RIGHT(A4050,6),LEN(A4050))*0.0137+IFERROR(--RIGHT(B4050,6),LEN(B4050))*0.0071))*43758.5453,1),"")</f>
        <v/>
      </c>
      <c r="E4050" s="0" t="str">
        <f aca="false">IF(C4050=1,INT(MOD(ABS(SIN(D4050*7919.123+ROW()*0.618+'הדבקת לידים'!$F$2*1.3))*43758.5453,1)*1000000)*10000+ROW(),"")</f>
        <v/>
      </c>
      <c r="F4050" s="0" t="str">
        <f aca="false">IF(E4050="","",RANK(E4050,$E$2:$E$5001,1))</f>
        <v/>
      </c>
      <c r="G4050" s="0" t="n">
        <f aca="false">IF(A4050="",0,IF(SUMPRODUCT(--($A$2:$A$5001=A4050))&gt;1,1,0))</f>
        <v>0</v>
      </c>
      <c r="H4050" s="0" t="n">
        <f aca="false">ROW()-1</f>
        <v>4049</v>
      </c>
      <c r="I4050" s="0" t="str">
        <f aca="false">IF(OR(הגדרות!$E$6=0,H4050&gt;הגדרות!$E$5),"",IF(H4050-1&lt;הגדרות!$E$8*(הגדרות!$E$7+1),INT((H4050-1)/(הגדרות!$E$7+1)),הגדרות!$E$8+INT((H4050-1-הגדרות!$E$8*(הגדרות!$E$7+1))/הגדרות!$E$7)))</f>
        <v/>
      </c>
      <c r="J4050" s="0" t="str">
        <f aca="false">IF(I4050="","",IF(H4050-1&lt;הגדרות!$E$8*(הגדרות!$E$7+1),MOD(H4050-1,הגדרות!$E$7+1),MOD(H4050-1-הגדרות!$E$8*(הגדרות!$E$7+1),הגדרות!$E$7)))</f>
        <v/>
      </c>
      <c r="K4050" s="0" t="str">
        <f aca="false">IF(I4050="","",J4050*הגדרות!$E$6+I4050+1)</f>
        <v/>
      </c>
      <c r="L4050" s="0" t="str">
        <f aca="false">IF(K4050="","",MATCH(K4050,$F$2:$F$5001,0))</f>
        <v/>
      </c>
      <c r="M4050" s="0" t="str">
        <f aca="false">IF(I4050="","",INDEX(הגדרות!$A$2:$A$21,MOD(I4050+הגדרות!$E$9,הגדרות!$E$6)+1))</f>
        <v/>
      </c>
    </row>
    <row r="4051" customFormat="false" ht="15" hidden="false" customHeight="false" outlineLevel="0" collapsed="false">
      <c r="A4051" s="0" t="str">
        <f aca="false">IF('הדבקת לידים'!A4051="","",IF(ISNUMBER('הדבקת לידים'!A4051),IF(הגדרות!$E$2&gt;0,TEXT('הדבקת לידים'!A4051,REPT("0",הגדרות!$E$2)),TEXT('הדבקת לידים'!A4051,"0")),TRIM('הדבקת לידים'!A4051)))</f>
        <v/>
      </c>
      <c r="B4051" s="0" t="str">
        <f aca="false">IF('הדבקת לידים'!B4051="","",IF(ISNUMBER('הדבקת לידים'!B4051),IF(הגדרות!$E$3&gt;0,TEXT('הדבקת לידים'!B4051,REPT("0",הגדרות!$E$3)),TEXT('הדבקת לידים'!B4051,"0")),TRIM('הדבקת לידים'!B4051)))</f>
        <v/>
      </c>
      <c r="C4051" s="0" t="n">
        <f aca="false">IF(OR(A4051&lt;&gt;"",B4051&lt;&gt;""),1,0)</f>
        <v>0</v>
      </c>
      <c r="D4051" s="0" t="str">
        <f aca="false">IF(C4051=1,MOD(ABS(SIN(ROW()*12.9898+'הדבקת לידים'!$F$2*78.233+IFERROR(--RIGHT(A4051,6),LEN(A4051))*0.0137+IFERROR(--RIGHT(B4051,6),LEN(B4051))*0.0071))*43758.5453,1),"")</f>
        <v/>
      </c>
      <c r="E4051" s="0" t="str">
        <f aca="false">IF(C4051=1,INT(MOD(ABS(SIN(D4051*7919.123+ROW()*0.618+'הדבקת לידים'!$F$2*1.3))*43758.5453,1)*1000000)*10000+ROW(),"")</f>
        <v/>
      </c>
      <c r="F4051" s="0" t="str">
        <f aca="false">IF(E4051="","",RANK(E4051,$E$2:$E$5001,1))</f>
        <v/>
      </c>
      <c r="G4051" s="0" t="n">
        <f aca="false">IF(A4051="",0,IF(SUMPRODUCT(--($A$2:$A$5001=A4051))&gt;1,1,0))</f>
        <v>0</v>
      </c>
      <c r="H4051" s="0" t="n">
        <f aca="false">ROW()-1</f>
        <v>4050</v>
      </c>
      <c r="I4051" s="0" t="str">
        <f aca="false">IF(OR(הגדרות!$E$6=0,H4051&gt;הגדרות!$E$5),"",IF(H4051-1&lt;הגדרות!$E$8*(הגדרות!$E$7+1),INT((H4051-1)/(הגדרות!$E$7+1)),הגדרות!$E$8+INT((H4051-1-הגדרות!$E$8*(הגדרות!$E$7+1))/הגדרות!$E$7)))</f>
        <v/>
      </c>
      <c r="J4051" s="0" t="str">
        <f aca="false">IF(I4051="","",IF(H4051-1&lt;הגדרות!$E$8*(הגדרות!$E$7+1),MOD(H4051-1,הגדרות!$E$7+1),MOD(H4051-1-הגדרות!$E$8*(הגדרות!$E$7+1),הגדרות!$E$7)))</f>
        <v/>
      </c>
      <c r="K4051" s="0" t="str">
        <f aca="false">IF(I4051="","",J4051*הגדרות!$E$6+I4051+1)</f>
        <v/>
      </c>
      <c r="L4051" s="0" t="str">
        <f aca="false">IF(K4051="","",MATCH(K4051,$F$2:$F$5001,0))</f>
        <v/>
      </c>
      <c r="M4051" s="0" t="str">
        <f aca="false">IF(I4051="","",INDEX(הגדרות!$A$2:$A$21,MOD(I4051+הגדרות!$E$9,הגדרות!$E$6)+1))</f>
        <v/>
      </c>
    </row>
    <row r="4052" customFormat="false" ht="15" hidden="false" customHeight="false" outlineLevel="0" collapsed="false">
      <c r="A4052" s="0" t="str">
        <f aca="false">IF('הדבקת לידים'!A4052="","",IF(ISNUMBER('הדבקת לידים'!A4052),IF(הגדרות!$E$2&gt;0,TEXT('הדבקת לידים'!A4052,REPT("0",הגדרות!$E$2)),TEXT('הדבקת לידים'!A4052,"0")),TRIM('הדבקת לידים'!A4052)))</f>
        <v/>
      </c>
      <c r="B4052" s="0" t="str">
        <f aca="false">IF('הדבקת לידים'!B4052="","",IF(ISNUMBER('הדבקת לידים'!B4052),IF(הגדרות!$E$3&gt;0,TEXT('הדבקת לידים'!B4052,REPT("0",הגדרות!$E$3)),TEXT('הדבקת לידים'!B4052,"0")),TRIM('הדבקת לידים'!B4052)))</f>
        <v/>
      </c>
      <c r="C4052" s="0" t="n">
        <f aca="false">IF(OR(A4052&lt;&gt;"",B4052&lt;&gt;""),1,0)</f>
        <v>0</v>
      </c>
      <c r="D4052" s="0" t="str">
        <f aca="false">IF(C4052=1,MOD(ABS(SIN(ROW()*12.9898+'הדבקת לידים'!$F$2*78.233+IFERROR(--RIGHT(A4052,6),LEN(A4052))*0.0137+IFERROR(--RIGHT(B4052,6),LEN(B4052))*0.0071))*43758.5453,1),"")</f>
        <v/>
      </c>
      <c r="E4052" s="0" t="str">
        <f aca="false">IF(C4052=1,INT(MOD(ABS(SIN(D4052*7919.123+ROW()*0.618+'הדבקת לידים'!$F$2*1.3))*43758.5453,1)*1000000)*10000+ROW(),"")</f>
        <v/>
      </c>
      <c r="F4052" s="0" t="str">
        <f aca="false">IF(E4052="","",RANK(E4052,$E$2:$E$5001,1))</f>
        <v/>
      </c>
      <c r="G4052" s="0" t="n">
        <f aca="false">IF(A4052="",0,IF(SUMPRODUCT(--($A$2:$A$5001=A4052))&gt;1,1,0))</f>
        <v>0</v>
      </c>
      <c r="H4052" s="0" t="n">
        <f aca="false">ROW()-1</f>
        <v>4051</v>
      </c>
      <c r="I4052" s="0" t="str">
        <f aca="false">IF(OR(הגדרות!$E$6=0,H4052&gt;הגדרות!$E$5),"",IF(H4052-1&lt;הגדרות!$E$8*(הגדרות!$E$7+1),INT((H4052-1)/(הגדרות!$E$7+1)),הגדרות!$E$8+INT((H4052-1-הגדרות!$E$8*(הגדרות!$E$7+1))/הגדרות!$E$7)))</f>
        <v/>
      </c>
      <c r="J4052" s="0" t="str">
        <f aca="false">IF(I4052="","",IF(H4052-1&lt;הגדרות!$E$8*(הגדרות!$E$7+1),MOD(H4052-1,הגדרות!$E$7+1),MOD(H4052-1-הגדרות!$E$8*(הגדרות!$E$7+1),הגדרות!$E$7)))</f>
        <v/>
      </c>
      <c r="K4052" s="0" t="str">
        <f aca="false">IF(I4052="","",J4052*הגדרות!$E$6+I4052+1)</f>
        <v/>
      </c>
      <c r="L4052" s="0" t="str">
        <f aca="false">IF(K4052="","",MATCH(K4052,$F$2:$F$5001,0))</f>
        <v/>
      </c>
      <c r="M4052" s="0" t="str">
        <f aca="false">IF(I4052="","",INDEX(הגדרות!$A$2:$A$21,MOD(I4052+הגדרות!$E$9,הגדרות!$E$6)+1))</f>
        <v/>
      </c>
    </row>
    <row r="4053" customFormat="false" ht="15" hidden="false" customHeight="false" outlineLevel="0" collapsed="false">
      <c r="A4053" s="0" t="str">
        <f aca="false">IF('הדבקת לידים'!A4053="","",IF(ISNUMBER('הדבקת לידים'!A4053),IF(הגדרות!$E$2&gt;0,TEXT('הדבקת לידים'!A4053,REPT("0",הגדרות!$E$2)),TEXT('הדבקת לידים'!A4053,"0")),TRIM('הדבקת לידים'!A4053)))</f>
        <v/>
      </c>
      <c r="B4053" s="0" t="str">
        <f aca="false">IF('הדבקת לידים'!B4053="","",IF(ISNUMBER('הדבקת לידים'!B4053),IF(הגדרות!$E$3&gt;0,TEXT('הדבקת לידים'!B4053,REPT("0",הגדרות!$E$3)),TEXT('הדבקת לידים'!B4053,"0")),TRIM('הדבקת לידים'!B4053)))</f>
        <v/>
      </c>
      <c r="C4053" s="0" t="n">
        <f aca="false">IF(OR(A4053&lt;&gt;"",B4053&lt;&gt;""),1,0)</f>
        <v>0</v>
      </c>
      <c r="D4053" s="0" t="str">
        <f aca="false">IF(C4053=1,MOD(ABS(SIN(ROW()*12.9898+'הדבקת לידים'!$F$2*78.233+IFERROR(--RIGHT(A4053,6),LEN(A4053))*0.0137+IFERROR(--RIGHT(B4053,6),LEN(B4053))*0.0071))*43758.5453,1),"")</f>
        <v/>
      </c>
      <c r="E4053" s="0" t="str">
        <f aca="false">IF(C4053=1,INT(MOD(ABS(SIN(D4053*7919.123+ROW()*0.618+'הדבקת לידים'!$F$2*1.3))*43758.5453,1)*1000000)*10000+ROW(),"")</f>
        <v/>
      </c>
      <c r="F4053" s="0" t="str">
        <f aca="false">IF(E4053="","",RANK(E4053,$E$2:$E$5001,1))</f>
        <v/>
      </c>
      <c r="G4053" s="0" t="n">
        <f aca="false">IF(A4053="",0,IF(SUMPRODUCT(--($A$2:$A$5001=A4053))&gt;1,1,0))</f>
        <v>0</v>
      </c>
      <c r="H4053" s="0" t="n">
        <f aca="false">ROW()-1</f>
        <v>4052</v>
      </c>
      <c r="I4053" s="0" t="str">
        <f aca="false">IF(OR(הגדרות!$E$6=0,H4053&gt;הגדרות!$E$5),"",IF(H4053-1&lt;הגדרות!$E$8*(הגדרות!$E$7+1),INT((H4053-1)/(הגדרות!$E$7+1)),הגדרות!$E$8+INT((H4053-1-הגדרות!$E$8*(הגדרות!$E$7+1))/הגדרות!$E$7)))</f>
        <v/>
      </c>
      <c r="J4053" s="0" t="str">
        <f aca="false">IF(I4053="","",IF(H4053-1&lt;הגדרות!$E$8*(הגדרות!$E$7+1),MOD(H4053-1,הגדרות!$E$7+1),MOD(H4053-1-הגדרות!$E$8*(הגדרות!$E$7+1),הגדרות!$E$7)))</f>
        <v/>
      </c>
      <c r="K4053" s="0" t="str">
        <f aca="false">IF(I4053="","",J4053*הגדרות!$E$6+I4053+1)</f>
        <v/>
      </c>
      <c r="L4053" s="0" t="str">
        <f aca="false">IF(K4053="","",MATCH(K4053,$F$2:$F$5001,0))</f>
        <v/>
      </c>
      <c r="M4053" s="0" t="str">
        <f aca="false">IF(I4053="","",INDEX(הגדרות!$A$2:$A$21,MOD(I4053+הגדרות!$E$9,הגדרות!$E$6)+1))</f>
        <v/>
      </c>
    </row>
    <row r="4054" customFormat="false" ht="15" hidden="false" customHeight="false" outlineLevel="0" collapsed="false">
      <c r="A4054" s="0" t="str">
        <f aca="false">IF('הדבקת לידים'!A4054="","",IF(ISNUMBER('הדבקת לידים'!A4054),IF(הגדרות!$E$2&gt;0,TEXT('הדבקת לידים'!A4054,REPT("0",הגדרות!$E$2)),TEXT('הדבקת לידים'!A4054,"0")),TRIM('הדבקת לידים'!A4054)))</f>
        <v/>
      </c>
      <c r="B4054" s="0" t="str">
        <f aca="false">IF('הדבקת לידים'!B4054="","",IF(ISNUMBER('הדבקת לידים'!B4054),IF(הגדרות!$E$3&gt;0,TEXT('הדבקת לידים'!B4054,REPT("0",הגדרות!$E$3)),TEXT('הדבקת לידים'!B4054,"0")),TRIM('הדבקת לידים'!B4054)))</f>
        <v/>
      </c>
      <c r="C4054" s="0" t="n">
        <f aca="false">IF(OR(A4054&lt;&gt;"",B4054&lt;&gt;""),1,0)</f>
        <v>0</v>
      </c>
      <c r="D4054" s="0" t="str">
        <f aca="false">IF(C4054=1,MOD(ABS(SIN(ROW()*12.9898+'הדבקת לידים'!$F$2*78.233+IFERROR(--RIGHT(A4054,6),LEN(A4054))*0.0137+IFERROR(--RIGHT(B4054,6),LEN(B4054))*0.0071))*43758.5453,1),"")</f>
        <v/>
      </c>
      <c r="E4054" s="0" t="str">
        <f aca="false">IF(C4054=1,INT(MOD(ABS(SIN(D4054*7919.123+ROW()*0.618+'הדבקת לידים'!$F$2*1.3))*43758.5453,1)*1000000)*10000+ROW(),"")</f>
        <v/>
      </c>
      <c r="F4054" s="0" t="str">
        <f aca="false">IF(E4054="","",RANK(E4054,$E$2:$E$5001,1))</f>
        <v/>
      </c>
      <c r="G4054" s="0" t="n">
        <f aca="false">IF(A4054="",0,IF(SUMPRODUCT(--($A$2:$A$5001=A4054))&gt;1,1,0))</f>
        <v>0</v>
      </c>
      <c r="H4054" s="0" t="n">
        <f aca="false">ROW()-1</f>
        <v>4053</v>
      </c>
      <c r="I4054" s="0" t="str">
        <f aca="false">IF(OR(הגדרות!$E$6=0,H4054&gt;הגדרות!$E$5),"",IF(H4054-1&lt;הגדרות!$E$8*(הגדרות!$E$7+1),INT((H4054-1)/(הגדרות!$E$7+1)),הגדרות!$E$8+INT((H4054-1-הגדרות!$E$8*(הגדרות!$E$7+1))/הגדרות!$E$7)))</f>
        <v/>
      </c>
      <c r="J4054" s="0" t="str">
        <f aca="false">IF(I4054="","",IF(H4054-1&lt;הגדרות!$E$8*(הגדרות!$E$7+1),MOD(H4054-1,הגדרות!$E$7+1),MOD(H4054-1-הגדרות!$E$8*(הגדרות!$E$7+1),הגדרות!$E$7)))</f>
        <v/>
      </c>
      <c r="K4054" s="0" t="str">
        <f aca="false">IF(I4054="","",J4054*הגדרות!$E$6+I4054+1)</f>
        <v/>
      </c>
      <c r="L4054" s="0" t="str">
        <f aca="false">IF(K4054="","",MATCH(K4054,$F$2:$F$5001,0))</f>
        <v/>
      </c>
      <c r="M4054" s="0" t="str">
        <f aca="false">IF(I4054="","",INDEX(הגדרות!$A$2:$A$21,MOD(I4054+הגדרות!$E$9,הגדרות!$E$6)+1))</f>
        <v/>
      </c>
    </row>
    <row r="4055" customFormat="false" ht="15" hidden="false" customHeight="false" outlineLevel="0" collapsed="false">
      <c r="A4055" s="0" t="str">
        <f aca="false">IF('הדבקת לידים'!A4055="","",IF(ISNUMBER('הדבקת לידים'!A4055),IF(הגדרות!$E$2&gt;0,TEXT('הדבקת לידים'!A4055,REPT("0",הגדרות!$E$2)),TEXT('הדבקת לידים'!A4055,"0")),TRIM('הדבקת לידים'!A4055)))</f>
        <v/>
      </c>
      <c r="B4055" s="0" t="str">
        <f aca="false">IF('הדבקת לידים'!B4055="","",IF(ISNUMBER('הדבקת לידים'!B4055),IF(הגדרות!$E$3&gt;0,TEXT('הדבקת לידים'!B4055,REPT("0",הגדרות!$E$3)),TEXT('הדבקת לידים'!B4055,"0")),TRIM('הדבקת לידים'!B4055)))</f>
        <v/>
      </c>
      <c r="C4055" s="0" t="n">
        <f aca="false">IF(OR(A4055&lt;&gt;"",B4055&lt;&gt;""),1,0)</f>
        <v>0</v>
      </c>
      <c r="D4055" s="0" t="str">
        <f aca="false">IF(C4055=1,MOD(ABS(SIN(ROW()*12.9898+'הדבקת לידים'!$F$2*78.233+IFERROR(--RIGHT(A4055,6),LEN(A4055))*0.0137+IFERROR(--RIGHT(B4055,6),LEN(B4055))*0.0071))*43758.5453,1),"")</f>
        <v/>
      </c>
      <c r="E4055" s="0" t="str">
        <f aca="false">IF(C4055=1,INT(MOD(ABS(SIN(D4055*7919.123+ROW()*0.618+'הדבקת לידים'!$F$2*1.3))*43758.5453,1)*1000000)*10000+ROW(),"")</f>
        <v/>
      </c>
      <c r="F4055" s="0" t="str">
        <f aca="false">IF(E4055="","",RANK(E4055,$E$2:$E$5001,1))</f>
        <v/>
      </c>
      <c r="G4055" s="0" t="n">
        <f aca="false">IF(A4055="",0,IF(SUMPRODUCT(--($A$2:$A$5001=A4055))&gt;1,1,0))</f>
        <v>0</v>
      </c>
      <c r="H4055" s="0" t="n">
        <f aca="false">ROW()-1</f>
        <v>4054</v>
      </c>
      <c r="I4055" s="0" t="str">
        <f aca="false">IF(OR(הגדרות!$E$6=0,H4055&gt;הגדרות!$E$5),"",IF(H4055-1&lt;הגדרות!$E$8*(הגדרות!$E$7+1),INT((H4055-1)/(הגדרות!$E$7+1)),הגדרות!$E$8+INT((H4055-1-הגדרות!$E$8*(הגדרות!$E$7+1))/הגדרות!$E$7)))</f>
        <v/>
      </c>
      <c r="J4055" s="0" t="str">
        <f aca="false">IF(I4055="","",IF(H4055-1&lt;הגדרות!$E$8*(הגדרות!$E$7+1),MOD(H4055-1,הגדרות!$E$7+1),MOD(H4055-1-הגדרות!$E$8*(הגדרות!$E$7+1),הגדרות!$E$7)))</f>
        <v/>
      </c>
      <c r="K4055" s="0" t="str">
        <f aca="false">IF(I4055="","",J4055*הגדרות!$E$6+I4055+1)</f>
        <v/>
      </c>
      <c r="L4055" s="0" t="str">
        <f aca="false">IF(K4055="","",MATCH(K4055,$F$2:$F$5001,0))</f>
        <v/>
      </c>
      <c r="M4055" s="0" t="str">
        <f aca="false">IF(I4055="","",INDEX(הגדרות!$A$2:$A$21,MOD(I4055+הגדרות!$E$9,הגדרות!$E$6)+1))</f>
        <v/>
      </c>
    </row>
    <row r="4056" customFormat="false" ht="15" hidden="false" customHeight="false" outlineLevel="0" collapsed="false">
      <c r="A4056" s="0" t="str">
        <f aca="false">IF('הדבקת לידים'!A4056="","",IF(ISNUMBER('הדבקת לידים'!A4056),IF(הגדרות!$E$2&gt;0,TEXT('הדבקת לידים'!A4056,REPT("0",הגדרות!$E$2)),TEXT('הדבקת לידים'!A4056,"0")),TRIM('הדבקת לידים'!A4056)))</f>
        <v/>
      </c>
      <c r="B4056" s="0" t="str">
        <f aca="false">IF('הדבקת לידים'!B4056="","",IF(ISNUMBER('הדבקת לידים'!B4056),IF(הגדרות!$E$3&gt;0,TEXT('הדבקת לידים'!B4056,REPT("0",הגדרות!$E$3)),TEXT('הדבקת לידים'!B4056,"0")),TRIM('הדבקת לידים'!B4056)))</f>
        <v/>
      </c>
      <c r="C4056" s="0" t="n">
        <f aca="false">IF(OR(A4056&lt;&gt;"",B4056&lt;&gt;""),1,0)</f>
        <v>0</v>
      </c>
      <c r="D4056" s="0" t="str">
        <f aca="false">IF(C4056=1,MOD(ABS(SIN(ROW()*12.9898+'הדבקת לידים'!$F$2*78.233+IFERROR(--RIGHT(A4056,6),LEN(A4056))*0.0137+IFERROR(--RIGHT(B4056,6),LEN(B4056))*0.0071))*43758.5453,1),"")</f>
        <v/>
      </c>
      <c r="E4056" s="0" t="str">
        <f aca="false">IF(C4056=1,INT(MOD(ABS(SIN(D4056*7919.123+ROW()*0.618+'הדבקת לידים'!$F$2*1.3))*43758.5453,1)*1000000)*10000+ROW(),"")</f>
        <v/>
      </c>
      <c r="F4056" s="0" t="str">
        <f aca="false">IF(E4056="","",RANK(E4056,$E$2:$E$5001,1))</f>
        <v/>
      </c>
      <c r="G4056" s="0" t="n">
        <f aca="false">IF(A4056="",0,IF(SUMPRODUCT(--($A$2:$A$5001=A4056))&gt;1,1,0))</f>
        <v>0</v>
      </c>
      <c r="H4056" s="0" t="n">
        <f aca="false">ROW()-1</f>
        <v>4055</v>
      </c>
      <c r="I4056" s="0" t="str">
        <f aca="false">IF(OR(הגדרות!$E$6=0,H4056&gt;הגדרות!$E$5),"",IF(H4056-1&lt;הגדרות!$E$8*(הגדרות!$E$7+1),INT((H4056-1)/(הגדרות!$E$7+1)),הגדרות!$E$8+INT((H4056-1-הגדרות!$E$8*(הגדרות!$E$7+1))/הגדרות!$E$7)))</f>
        <v/>
      </c>
      <c r="J4056" s="0" t="str">
        <f aca="false">IF(I4056="","",IF(H4056-1&lt;הגדרות!$E$8*(הגדרות!$E$7+1),MOD(H4056-1,הגדרות!$E$7+1),MOD(H4056-1-הגדרות!$E$8*(הגדרות!$E$7+1),הגדרות!$E$7)))</f>
        <v/>
      </c>
      <c r="K4056" s="0" t="str">
        <f aca="false">IF(I4056="","",J4056*הגדרות!$E$6+I4056+1)</f>
        <v/>
      </c>
      <c r="L4056" s="0" t="str">
        <f aca="false">IF(K4056="","",MATCH(K4056,$F$2:$F$5001,0))</f>
        <v/>
      </c>
      <c r="M4056" s="0" t="str">
        <f aca="false">IF(I4056="","",INDEX(הגדרות!$A$2:$A$21,MOD(I4056+הגדרות!$E$9,הגדרות!$E$6)+1))</f>
        <v/>
      </c>
    </row>
    <row r="4057" customFormat="false" ht="15" hidden="false" customHeight="false" outlineLevel="0" collapsed="false">
      <c r="A4057" s="0" t="str">
        <f aca="false">IF('הדבקת לידים'!A4057="","",IF(ISNUMBER('הדבקת לידים'!A4057),IF(הגדרות!$E$2&gt;0,TEXT('הדבקת לידים'!A4057,REPT("0",הגדרות!$E$2)),TEXT('הדבקת לידים'!A4057,"0")),TRIM('הדבקת לידים'!A4057)))</f>
        <v/>
      </c>
      <c r="B4057" s="0" t="str">
        <f aca="false">IF('הדבקת לידים'!B4057="","",IF(ISNUMBER('הדבקת לידים'!B4057),IF(הגדרות!$E$3&gt;0,TEXT('הדבקת לידים'!B4057,REPT("0",הגדרות!$E$3)),TEXT('הדבקת לידים'!B4057,"0")),TRIM('הדבקת לידים'!B4057)))</f>
        <v/>
      </c>
      <c r="C4057" s="0" t="n">
        <f aca="false">IF(OR(A4057&lt;&gt;"",B4057&lt;&gt;""),1,0)</f>
        <v>0</v>
      </c>
      <c r="D4057" s="0" t="str">
        <f aca="false">IF(C4057=1,MOD(ABS(SIN(ROW()*12.9898+'הדבקת לידים'!$F$2*78.233+IFERROR(--RIGHT(A4057,6),LEN(A4057))*0.0137+IFERROR(--RIGHT(B4057,6),LEN(B4057))*0.0071))*43758.5453,1),"")</f>
        <v/>
      </c>
      <c r="E4057" s="0" t="str">
        <f aca="false">IF(C4057=1,INT(MOD(ABS(SIN(D4057*7919.123+ROW()*0.618+'הדבקת לידים'!$F$2*1.3))*43758.5453,1)*1000000)*10000+ROW(),"")</f>
        <v/>
      </c>
      <c r="F4057" s="0" t="str">
        <f aca="false">IF(E4057="","",RANK(E4057,$E$2:$E$5001,1))</f>
        <v/>
      </c>
      <c r="G4057" s="0" t="n">
        <f aca="false">IF(A4057="",0,IF(SUMPRODUCT(--($A$2:$A$5001=A4057))&gt;1,1,0))</f>
        <v>0</v>
      </c>
      <c r="H4057" s="0" t="n">
        <f aca="false">ROW()-1</f>
        <v>4056</v>
      </c>
      <c r="I4057" s="0" t="str">
        <f aca="false">IF(OR(הגדרות!$E$6=0,H4057&gt;הגדרות!$E$5),"",IF(H4057-1&lt;הגדרות!$E$8*(הגדרות!$E$7+1),INT((H4057-1)/(הגדרות!$E$7+1)),הגדרות!$E$8+INT((H4057-1-הגדרות!$E$8*(הגדרות!$E$7+1))/הגדרות!$E$7)))</f>
        <v/>
      </c>
      <c r="J4057" s="0" t="str">
        <f aca="false">IF(I4057="","",IF(H4057-1&lt;הגדרות!$E$8*(הגדרות!$E$7+1),MOD(H4057-1,הגדרות!$E$7+1),MOD(H4057-1-הגדרות!$E$8*(הגדרות!$E$7+1),הגדרות!$E$7)))</f>
        <v/>
      </c>
      <c r="K4057" s="0" t="str">
        <f aca="false">IF(I4057="","",J4057*הגדרות!$E$6+I4057+1)</f>
        <v/>
      </c>
      <c r="L4057" s="0" t="str">
        <f aca="false">IF(K4057="","",MATCH(K4057,$F$2:$F$5001,0))</f>
        <v/>
      </c>
      <c r="M4057" s="0" t="str">
        <f aca="false">IF(I4057="","",INDEX(הגדרות!$A$2:$A$21,MOD(I4057+הגדרות!$E$9,הגדרות!$E$6)+1))</f>
        <v/>
      </c>
    </row>
    <row r="4058" customFormat="false" ht="15" hidden="false" customHeight="false" outlineLevel="0" collapsed="false">
      <c r="A4058" s="0" t="str">
        <f aca="false">IF('הדבקת לידים'!A4058="","",IF(ISNUMBER('הדבקת לידים'!A4058),IF(הגדרות!$E$2&gt;0,TEXT('הדבקת לידים'!A4058,REPT("0",הגדרות!$E$2)),TEXT('הדבקת לידים'!A4058,"0")),TRIM('הדבקת לידים'!A4058)))</f>
        <v/>
      </c>
      <c r="B4058" s="0" t="str">
        <f aca="false">IF('הדבקת לידים'!B4058="","",IF(ISNUMBER('הדבקת לידים'!B4058),IF(הגדרות!$E$3&gt;0,TEXT('הדבקת לידים'!B4058,REPT("0",הגדרות!$E$3)),TEXT('הדבקת לידים'!B4058,"0")),TRIM('הדבקת לידים'!B4058)))</f>
        <v/>
      </c>
      <c r="C4058" s="0" t="n">
        <f aca="false">IF(OR(A4058&lt;&gt;"",B4058&lt;&gt;""),1,0)</f>
        <v>0</v>
      </c>
      <c r="D4058" s="0" t="str">
        <f aca="false">IF(C4058=1,MOD(ABS(SIN(ROW()*12.9898+'הדבקת לידים'!$F$2*78.233+IFERROR(--RIGHT(A4058,6),LEN(A4058))*0.0137+IFERROR(--RIGHT(B4058,6),LEN(B4058))*0.0071))*43758.5453,1),"")</f>
        <v/>
      </c>
      <c r="E4058" s="0" t="str">
        <f aca="false">IF(C4058=1,INT(MOD(ABS(SIN(D4058*7919.123+ROW()*0.618+'הדבקת לידים'!$F$2*1.3))*43758.5453,1)*1000000)*10000+ROW(),"")</f>
        <v/>
      </c>
      <c r="F4058" s="0" t="str">
        <f aca="false">IF(E4058="","",RANK(E4058,$E$2:$E$5001,1))</f>
        <v/>
      </c>
      <c r="G4058" s="0" t="n">
        <f aca="false">IF(A4058="",0,IF(SUMPRODUCT(--($A$2:$A$5001=A4058))&gt;1,1,0))</f>
        <v>0</v>
      </c>
      <c r="H4058" s="0" t="n">
        <f aca="false">ROW()-1</f>
        <v>4057</v>
      </c>
      <c r="I4058" s="0" t="str">
        <f aca="false">IF(OR(הגדרות!$E$6=0,H4058&gt;הגדרות!$E$5),"",IF(H4058-1&lt;הגדרות!$E$8*(הגדרות!$E$7+1),INT((H4058-1)/(הגדרות!$E$7+1)),הגדרות!$E$8+INT((H4058-1-הגדרות!$E$8*(הגדרות!$E$7+1))/הגדרות!$E$7)))</f>
        <v/>
      </c>
      <c r="J4058" s="0" t="str">
        <f aca="false">IF(I4058="","",IF(H4058-1&lt;הגדרות!$E$8*(הגדרות!$E$7+1),MOD(H4058-1,הגדרות!$E$7+1),MOD(H4058-1-הגדרות!$E$8*(הגדרות!$E$7+1),הגדרות!$E$7)))</f>
        <v/>
      </c>
      <c r="K4058" s="0" t="str">
        <f aca="false">IF(I4058="","",J4058*הגדרות!$E$6+I4058+1)</f>
        <v/>
      </c>
      <c r="L4058" s="0" t="str">
        <f aca="false">IF(K4058="","",MATCH(K4058,$F$2:$F$5001,0))</f>
        <v/>
      </c>
      <c r="M4058" s="0" t="str">
        <f aca="false">IF(I4058="","",INDEX(הגדרות!$A$2:$A$21,MOD(I4058+הגדרות!$E$9,הגדרות!$E$6)+1))</f>
        <v/>
      </c>
    </row>
    <row r="4059" customFormat="false" ht="15" hidden="false" customHeight="false" outlineLevel="0" collapsed="false">
      <c r="A4059" s="0" t="str">
        <f aca="false">IF('הדבקת לידים'!A4059="","",IF(ISNUMBER('הדבקת לידים'!A4059),IF(הגדרות!$E$2&gt;0,TEXT('הדבקת לידים'!A4059,REPT("0",הגדרות!$E$2)),TEXT('הדבקת לידים'!A4059,"0")),TRIM('הדבקת לידים'!A4059)))</f>
        <v/>
      </c>
      <c r="B4059" s="0" t="str">
        <f aca="false">IF('הדבקת לידים'!B4059="","",IF(ISNUMBER('הדבקת לידים'!B4059),IF(הגדרות!$E$3&gt;0,TEXT('הדבקת לידים'!B4059,REPT("0",הגדרות!$E$3)),TEXT('הדבקת לידים'!B4059,"0")),TRIM('הדבקת לידים'!B4059)))</f>
        <v/>
      </c>
      <c r="C4059" s="0" t="n">
        <f aca="false">IF(OR(A4059&lt;&gt;"",B4059&lt;&gt;""),1,0)</f>
        <v>0</v>
      </c>
      <c r="D4059" s="0" t="str">
        <f aca="false">IF(C4059=1,MOD(ABS(SIN(ROW()*12.9898+'הדבקת לידים'!$F$2*78.233+IFERROR(--RIGHT(A4059,6),LEN(A4059))*0.0137+IFERROR(--RIGHT(B4059,6),LEN(B4059))*0.0071))*43758.5453,1),"")</f>
        <v/>
      </c>
      <c r="E4059" s="0" t="str">
        <f aca="false">IF(C4059=1,INT(MOD(ABS(SIN(D4059*7919.123+ROW()*0.618+'הדבקת לידים'!$F$2*1.3))*43758.5453,1)*1000000)*10000+ROW(),"")</f>
        <v/>
      </c>
      <c r="F4059" s="0" t="str">
        <f aca="false">IF(E4059="","",RANK(E4059,$E$2:$E$5001,1))</f>
        <v/>
      </c>
      <c r="G4059" s="0" t="n">
        <f aca="false">IF(A4059="",0,IF(SUMPRODUCT(--($A$2:$A$5001=A4059))&gt;1,1,0))</f>
        <v>0</v>
      </c>
      <c r="H4059" s="0" t="n">
        <f aca="false">ROW()-1</f>
        <v>4058</v>
      </c>
      <c r="I4059" s="0" t="str">
        <f aca="false">IF(OR(הגדרות!$E$6=0,H4059&gt;הגדרות!$E$5),"",IF(H4059-1&lt;הגדרות!$E$8*(הגדרות!$E$7+1),INT((H4059-1)/(הגדרות!$E$7+1)),הגדרות!$E$8+INT((H4059-1-הגדרות!$E$8*(הגדרות!$E$7+1))/הגדרות!$E$7)))</f>
        <v/>
      </c>
      <c r="J4059" s="0" t="str">
        <f aca="false">IF(I4059="","",IF(H4059-1&lt;הגדרות!$E$8*(הגדרות!$E$7+1),MOD(H4059-1,הגדרות!$E$7+1),MOD(H4059-1-הגדרות!$E$8*(הגדרות!$E$7+1),הגדרות!$E$7)))</f>
        <v/>
      </c>
      <c r="K4059" s="0" t="str">
        <f aca="false">IF(I4059="","",J4059*הגדרות!$E$6+I4059+1)</f>
        <v/>
      </c>
      <c r="L4059" s="0" t="str">
        <f aca="false">IF(K4059="","",MATCH(K4059,$F$2:$F$5001,0))</f>
        <v/>
      </c>
      <c r="M4059" s="0" t="str">
        <f aca="false">IF(I4059="","",INDEX(הגדרות!$A$2:$A$21,MOD(I4059+הגדרות!$E$9,הגדרות!$E$6)+1))</f>
        <v/>
      </c>
    </row>
    <row r="4060" customFormat="false" ht="15" hidden="false" customHeight="false" outlineLevel="0" collapsed="false">
      <c r="A4060" s="0" t="str">
        <f aca="false">IF('הדבקת לידים'!A4060="","",IF(ISNUMBER('הדבקת לידים'!A4060),IF(הגדרות!$E$2&gt;0,TEXT('הדבקת לידים'!A4060,REPT("0",הגדרות!$E$2)),TEXT('הדבקת לידים'!A4060,"0")),TRIM('הדבקת לידים'!A4060)))</f>
        <v/>
      </c>
      <c r="B4060" s="0" t="str">
        <f aca="false">IF('הדבקת לידים'!B4060="","",IF(ISNUMBER('הדבקת לידים'!B4060),IF(הגדרות!$E$3&gt;0,TEXT('הדבקת לידים'!B4060,REPT("0",הגדרות!$E$3)),TEXT('הדבקת לידים'!B4060,"0")),TRIM('הדבקת לידים'!B4060)))</f>
        <v/>
      </c>
      <c r="C4060" s="0" t="n">
        <f aca="false">IF(OR(A4060&lt;&gt;"",B4060&lt;&gt;""),1,0)</f>
        <v>0</v>
      </c>
      <c r="D4060" s="0" t="str">
        <f aca="false">IF(C4060=1,MOD(ABS(SIN(ROW()*12.9898+'הדבקת לידים'!$F$2*78.233+IFERROR(--RIGHT(A4060,6),LEN(A4060))*0.0137+IFERROR(--RIGHT(B4060,6),LEN(B4060))*0.0071))*43758.5453,1),"")</f>
        <v/>
      </c>
      <c r="E4060" s="0" t="str">
        <f aca="false">IF(C4060=1,INT(MOD(ABS(SIN(D4060*7919.123+ROW()*0.618+'הדבקת לידים'!$F$2*1.3))*43758.5453,1)*1000000)*10000+ROW(),"")</f>
        <v/>
      </c>
      <c r="F4060" s="0" t="str">
        <f aca="false">IF(E4060="","",RANK(E4060,$E$2:$E$5001,1))</f>
        <v/>
      </c>
      <c r="G4060" s="0" t="n">
        <f aca="false">IF(A4060="",0,IF(SUMPRODUCT(--($A$2:$A$5001=A4060))&gt;1,1,0))</f>
        <v>0</v>
      </c>
      <c r="H4060" s="0" t="n">
        <f aca="false">ROW()-1</f>
        <v>4059</v>
      </c>
      <c r="I4060" s="0" t="str">
        <f aca="false">IF(OR(הגדרות!$E$6=0,H4060&gt;הגדרות!$E$5),"",IF(H4060-1&lt;הגדרות!$E$8*(הגדרות!$E$7+1),INT((H4060-1)/(הגדרות!$E$7+1)),הגדרות!$E$8+INT((H4060-1-הגדרות!$E$8*(הגדרות!$E$7+1))/הגדרות!$E$7)))</f>
        <v/>
      </c>
      <c r="J4060" s="0" t="str">
        <f aca="false">IF(I4060="","",IF(H4060-1&lt;הגדרות!$E$8*(הגדרות!$E$7+1),MOD(H4060-1,הגדרות!$E$7+1),MOD(H4060-1-הגדרות!$E$8*(הגדרות!$E$7+1),הגדרות!$E$7)))</f>
        <v/>
      </c>
      <c r="K4060" s="0" t="str">
        <f aca="false">IF(I4060="","",J4060*הגדרות!$E$6+I4060+1)</f>
        <v/>
      </c>
      <c r="L4060" s="0" t="str">
        <f aca="false">IF(K4060="","",MATCH(K4060,$F$2:$F$5001,0))</f>
        <v/>
      </c>
      <c r="M4060" s="0" t="str">
        <f aca="false">IF(I4060="","",INDEX(הגדרות!$A$2:$A$21,MOD(I4060+הגדרות!$E$9,הגדרות!$E$6)+1))</f>
        <v/>
      </c>
    </row>
    <row r="4061" customFormat="false" ht="15" hidden="false" customHeight="false" outlineLevel="0" collapsed="false">
      <c r="A4061" s="0" t="str">
        <f aca="false">IF('הדבקת לידים'!A4061="","",IF(ISNUMBER('הדבקת לידים'!A4061),IF(הגדרות!$E$2&gt;0,TEXT('הדבקת לידים'!A4061,REPT("0",הגדרות!$E$2)),TEXT('הדבקת לידים'!A4061,"0")),TRIM('הדבקת לידים'!A4061)))</f>
        <v/>
      </c>
      <c r="B4061" s="0" t="str">
        <f aca="false">IF('הדבקת לידים'!B4061="","",IF(ISNUMBER('הדבקת לידים'!B4061),IF(הגדרות!$E$3&gt;0,TEXT('הדבקת לידים'!B4061,REPT("0",הגדרות!$E$3)),TEXT('הדבקת לידים'!B4061,"0")),TRIM('הדבקת לידים'!B4061)))</f>
        <v/>
      </c>
      <c r="C4061" s="0" t="n">
        <f aca="false">IF(OR(A4061&lt;&gt;"",B4061&lt;&gt;""),1,0)</f>
        <v>0</v>
      </c>
      <c r="D4061" s="0" t="str">
        <f aca="false">IF(C4061=1,MOD(ABS(SIN(ROW()*12.9898+'הדבקת לידים'!$F$2*78.233+IFERROR(--RIGHT(A4061,6),LEN(A4061))*0.0137+IFERROR(--RIGHT(B4061,6),LEN(B4061))*0.0071))*43758.5453,1),"")</f>
        <v/>
      </c>
      <c r="E4061" s="0" t="str">
        <f aca="false">IF(C4061=1,INT(MOD(ABS(SIN(D4061*7919.123+ROW()*0.618+'הדבקת לידים'!$F$2*1.3))*43758.5453,1)*1000000)*10000+ROW(),"")</f>
        <v/>
      </c>
      <c r="F4061" s="0" t="str">
        <f aca="false">IF(E4061="","",RANK(E4061,$E$2:$E$5001,1))</f>
        <v/>
      </c>
      <c r="G4061" s="0" t="n">
        <f aca="false">IF(A4061="",0,IF(SUMPRODUCT(--($A$2:$A$5001=A4061))&gt;1,1,0))</f>
        <v>0</v>
      </c>
      <c r="H4061" s="0" t="n">
        <f aca="false">ROW()-1</f>
        <v>4060</v>
      </c>
      <c r="I4061" s="0" t="str">
        <f aca="false">IF(OR(הגדרות!$E$6=0,H4061&gt;הגדרות!$E$5),"",IF(H4061-1&lt;הגדרות!$E$8*(הגדרות!$E$7+1),INT((H4061-1)/(הגדרות!$E$7+1)),הגדרות!$E$8+INT((H4061-1-הגדרות!$E$8*(הגדרות!$E$7+1))/הגדרות!$E$7)))</f>
        <v/>
      </c>
      <c r="J4061" s="0" t="str">
        <f aca="false">IF(I4061="","",IF(H4061-1&lt;הגדרות!$E$8*(הגדרות!$E$7+1),MOD(H4061-1,הגדרות!$E$7+1),MOD(H4061-1-הגדרות!$E$8*(הגדרות!$E$7+1),הגדרות!$E$7)))</f>
        <v/>
      </c>
      <c r="K4061" s="0" t="str">
        <f aca="false">IF(I4061="","",J4061*הגדרות!$E$6+I4061+1)</f>
        <v/>
      </c>
      <c r="L4061" s="0" t="str">
        <f aca="false">IF(K4061="","",MATCH(K4061,$F$2:$F$5001,0))</f>
        <v/>
      </c>
      <c r="M4061" s="0" t="str">
        <f aca="false">IF(I4061="","",INDEX(הגדרות!$A$2:$A$21,MOD(I4061+הגדרות!$E$9,הגדרות!$E$6)+1))</f>
        <v/>
      </c>
    </row>
    <row r="4062" customFormat="false" ht="15" hidden="false" customHeight="false" outlineLevel="0" collapsed="false">
      <c r="A4062" s="0" t="str">
        <f aca="false">IF('הדבקת לידים'!A4062="","",IF(ISNUMBER('הדבקת לידים'!A4062),IF(הגדרות!$E$2&gt;0,TEXT('הדבקת לידים'!A4062,REPT("0",הגדרות!$E$2)),TEXT('הדבקת לידים'!A4062,"0")),TRIM('הדבקת לידים'!A4062)))</f>
        <v/>
      </c>
      <c r="B4062" s="0" t="str">
        <f aca="false">IF('הדבקת לידים'!B4062="","",IF(ISNUMBER('הדבקת לידים'!B4062),IF(הגדרות!$E$3&gt;0,TEXT('הדבקת לידים'!B4062,REPT("0",הגדרות!$E$3)),TEXT('הדבקת לידים'!B4062,"0")),TRIM('הדבקת לידים'!B4062)))</f>
        <v/>
      </c>
      <c r="C4062" s="0" t="n">
        <f aca="false">IF(OR(A4062&lt;&gt;"",B4062&lt;&gt;""),1,0)</f>
        <v>0</v>
      </c>
      <c r="D4062" s="0" t="str">
        <f aca="false">IF(C4062=1,MOD(ABS(SIN(ROW()*12.9898+'הדבקת לידים'!$F$2*78.233+IFERROR(--RIGHT(A4062,6),LEN(A4062))*0.0137+IFERROR(--RIGHT(B4062,6),LEN(B4062))*0.0071))*43758.5453,1),"")</f>
        <v/>
      </c>
      <c r="E4062" s="0" t="str">
        <f aca="false">IF(C4062=1,INT(MOD(ABS(SIN(D4062*7919.123+ROW()*0.618+'הדבקת לידים'!$F$2*1.3))*43758.5453,1)*1000000)*10000+ROW(),"")</f>
        <v/>
      </c>
      <c r="F4062" s="0" t="str">
        <f aca="false">IF(E4062="","",RANK(E4062,$E$2:$E$5001,1))</f>
        <v/>
      </c>
      <c r="G4062" s="0" t="n">
        <f aca="false">IF(A4062="",0,IF(SUMPRODUCT(--($A$2:$A$5001=A4062))&gt;1,1,0))</f>
        <v>0</v>
      </c>
      <c r="H4062" s="0" t="n">
        <f aca="false">ROW()-1</f>
        <v>4061</v>
      </c>
      <c r="I4062" s="0" t="str">
        <f aca="false">IF(OR(הגדרות!$E$6=0,H4062&gt;הגדרות!$E$5),"",IF(H4062-1&lt;הגדרות!$E$8*(הגדרות!$E$7+1),INT((H4062-1)/(הגדרות!$E$7+1)),הגדרות!$E$8+INT((H4062-1-הגדרות!$E$8*(הגדרות!$E$7+1))/הגדרות!$E$7)))</f>
        <v/>
      </c>
      <c r="J4062" s="0" t="str">
        <f aca="false">IF(I4062="","",IF(H4062-1&lt;הגדרות!$E$8*(הגדרות!$E$7+1),MOD(H4062-1,הגדרות!$E$7+1),MOD(H4062-1-הגדרות!$E$8*(הגדרות!$E$7+1),הגדרות!$E$7)))</f>
        <v/>
      </c>
      <c r="K4062" s="0" t="str">
        <f aca="false">IF(I4062="","",J4062*הגדרות!$E$6+I4062+1)</f>
        <v/>
      </c>
      <c r="L4062" s="0" t="str">
        <f aca="false">IF(K4062="","",MATCH(K4062,$F$2:$F$5001,0))</f>
        <v/>
      </c>
      <c r="M4062" s="0" t="str">
        <f aca="false">IF(I4062="","",INDEX(הגדרות!$A$2:$A$21,MOD(I4062+הגדרות!$E$9,הגדרות!$E$6)+1))</f>
        <v/>
      </c>
    </row>
    <row r="4063" customFormat="false" ht="15" hidden="false" customHeight="false" outlineLevel="0" collapsed="false">
      <c r="A4063" s="0" t="str">
        <f aca="false">IF('הדבקת לידים'!A4063="","",IF(ISNUMBER('הדבקת לידים'!A4063),IF(הגדרות!$E$2&gt;0,TEXT('הדבקת לידים'!A4063,REPT("0",הגדרות!$E$2)),TEXT('הדבקת לידים'!A4063,"0")),TRIM('הדבקת לידים'!A4063)))</f>
        <v/>
      </c>
      <c r="B4063" s="0" t="str">
        <f aca="false">IF('הדבקת לידים'!B4063="","",IF(ISNUMBER('הדבקת לידים'!B4063),IF(הגדרות!$E$3&gt;0,TEXT('הדבקת לידים'!B4063,REPT("0",הגדרות!$E$3)),TEXT('הדבקת לידים'!B4063,"0")),TRIM('הדבקת לידים'!B4063)))</f>
        <v/>
      </c>
      <c r="C4063" s="0" t="n">
        <f aca="false">IF(OR(A4063&lt;&gt;"",B4063&lt;&gt;""),1,0)</f>
        <v>0</v>
      </c>
      <c r="D4063" s="0" t="str">
        <f aca="false">IF(C4063=1,MOD(ABS(SIN(ROW()*12.9898+'הדבקת לידים'!$F$2*78.233+IFERROR(--RIGHT(A4063,6),LEN(A4063))*0.0137+IFERROR(--RIGHT(B4063,6),LEN(B4063))*0.0071))*43758.5453,1),"")</f>
        <v/>
      </c>
      <c r="E4063" s="0" t="str">
        <f aca="false">IF(C4063=1,INT(MOD(ABS(SIN(D4063*7919.123+ROW()*0.618+'הדבקת לידים'!$F$2*1.3))*43758.5453,1)*1000000)*10000+ROW(),"")</f>
        <v/>
      </c>
      <c r="F4063" s="0" t="str">
        <f aca="false">IF(E4063="","",RANK(E4063,$E$2:$E$5001,1))</f>
        <v/>
      </c>
      <c r="G4063" s="0" t="n">
        <f aca="false">IF(A4063="",0,IF(SUMPRODUCT(--($A$2:$A$5001=A4063))&gt;1,1,0))</f>
        <v>0</v>
      </c>
      <c r="H4063" s="0" t="n">
        <f aca="false">ROW()-1</f>
        <v>4062</v>
      </c>
      <c r="I4063" s="0" t="str">
        <f aca="false">IF(OR(הגדרות!$E$6=0,H4063&gt;הגדרות!$E$5),"",IF(H4063-1&lt;הגדרות!$E$8*(הגדרות!$E$7+1),INT((H4063-1)/(הגדרות!$E$7+1)),הגדרות!$E$8+INT((H4063-1-הגדרות!$E$8*(הגדרות!$E$7+1))/הגדרות!$E$7)))</f>
        <v/>
      </c>
      <c r="J4063" s="0" t="str">
        <f aca="false">IF(I4063="","",IF(H4063-1&lt;הגדרות!$E$8*(הגדרות!$E$7+1),MOD(H4063-1,הגדרות!$E$7+1),MOD(H4063-1-הגדרות!$E$8*(הגדרות!$E$7+1),הגדרות!$E$7)))</f>
        <v/>
      </c>
      <c r="K4063" s="0" t="str">
        <f aca="false">IF(I4063="","",J4063*הגדרות!$E$6+I4063+1)</f>
        <v/>
      </c>
      <c r="L4063" s="0" t="str">
        <f aca="false">IF(K4063="","",MATCH(K4063,$F$2:$F$5001,0))</f>
        <v/>
      </c>
      <c r="M4063" s="0" t="str">
        <f aca="false">IF(I4063="","",INDEX(הגדרות!$A$2:$A$21,MOD(I4063+הגדרות!$E$9,הגדרות!$E$6)+1))</f>
        <v/>
      </c>
    </row>
    <row r="4064" customFormat="false" ht="15" hidden="false" customHeight="false" outlineLevel="0" collapsed="false">
      <c r="A4064" s="0" t="str">
        <f aca="false">IF('הדבקת לידים'!A4064="","",IF(ISNUMBER('הדבקת לידים'!A4064),IF(הגדרות!$E$2&gt;0,TEXT('הדבקת לידים'!A4064,REPT("0",הגדרות!$E$2)),TEXT('הדבקת לידים'!A4064,"0")),TRIM('הדבקת לידים'!A4064)))</f>
        <v/>
      </c>
      <c r="B4064" s="0" t="str">
        <f aca="false">IF('הדבקת לידים'!B4064="","",IF(ISNUMBER('הדבקת לידים'!B4064),IF(הגדרות!$E$3&gt;0,TEXT('הדבקת לידים'!B4064,REPT("0",הגדרות!$E$3)),TEXT('הדבקת לידים'!B4064,"0")),TRIM('הדבקת לידים'!B4064)))</f>
        <v/>
      </c>
      <c r="C4064" s="0" t="n">
        <f aca="false">IF(OR(A4064&lt;&gt;"",B4064&lt;&gt;""),1,0)</f>
        <v>0</v>
      </c>
      <c r="D4064" s="0" t="str">
        <f aca="false">IF(C4064=1,MOD(ABS(SIN(ROW()*12.9898+'הדבקת לידים'!$F$2*78.233+IFERROR(--RIGHT(A4064,6),LEN(A4064))*0.0137+IFERROR(--RIGHT(B4064,6),LEN(B4064))*0.0071))*43758.5453,1),"")</f>
        <v/>
      </c>
      <c r="E4064" s="0" t="str">
        <f aca="false">IF(C4064=1,INT(MOD(ABS(SIN(D4064*7919.123+ROW()*0.618+'הדבקת לידים'!$F$2*1.3))*43758.5453,1)*1000000)*10000+ROW(),"")</f>
        <v/>
      </c>
      <c r="F4064" s="0" t="str">
        <f aca="false">IF(E4064="","",RANK(E4064,$E$2:$E$5001,1))</f>
        <v/>
      </c>
      <c r="G4064" s="0" t="n">
        <f aca="false">IF(A4064="",0,IF(SUMPRODUCT(--($A$2:$A$5001=A4064))&gt;1,1,0))</f>
        <v>0</v>
      </c>
      <c r="H4064" s="0" t="n">
        <f aca="false">ROW()-1</f>
        <v>4063</v>
      </c>
      <c r="I4064" s="0" t="str">
        <f aca="false">IF(OR(הגדרות!$E$6=0,H4064&gt;הגדרות!$E$5),"",IF(H4064-1&lt;הגדרות!$E$8*(הגדרות!$E$7+1),INT((H4064-1)/(הגדרות!$E$7+1)),הגדרות!$E$8+INT((H4064-1-הגדרות!$E$8*(הגדרות!$E$7+1))/הגדרות!$E$7)))</f>
        <v/>
      </c>
      <c r="J4064" s="0" t="str">
        <f aca="false">IF(I4064="","",IF(H4064-1&lt;הגדרות!$E$8*(הגדרות!$E$7+1),MOD(H4064-1,הגדרות!$E$7+1),MOD(H4064-1-הגדרות!$E$8*(הגדרות!$E$7+1),הגדרות!$E$7)))</f>
        <v/>
      </c>
      <c r="K4064" s="0" t="str">
        <f aca="false">IF(I4064="","",J4064*הגדרות!$E$6+I4064+1)</f>
        <v/>
      </c>
      <c r="L4064" s="0" t="str">
        <f aca="false">IF(K4064="","",MATCH(K4064,$F$2:$F$5001,0))</f>
        <v/>
      </c>
      <c r="M4064" s="0" t="str">
        <f aca="false">IF(I4064="","",INDEX(הגדרות!$A$2:$A$21,MOD(I4064+הגדרות!$E$9,הגדרות!$E$6)+1))</f>
        <v/>
      </c>
    </row>
    <row r="4065" customFormat="false" ht="15" hidden="false" customHeight="false" outlineLevel="0" collapsed="false">
      <c r="A4065" s="0" t="str">
        <f aca="false">IF('הדבקת לידים'!A4065="","",IF(ISNUMBER('הדבקת לידים'!A4065),IF(הגדרות!$E$2&gt;0,TEXT('הדבקת לידים'!A4065,REPT("0",הגדרות!$E$2)),TEXT('הדבקת לידים'!A4065,"0")),TRIM('הדבקת לידים'!A4065)))</f>
        <v/>
      </c>
      <c r="B4065" s="0" t="str">
        <f aca="false">IF('הדבקת לידים'!B4065="","",IF(ISNUMBER('הדבקת לידים'!B4065),IF(הגדרות!$E$3&gt;0,TEXT('הדבקת לידים'!B4065,REPT("0",הגדרות!$E$3)),TEXT('הדבקת לידים'!B4065,"0")),TRIM('הדבקת לידים'!B4065)))</f>
        <v/>
      </c>
      <c r="C4065" s="0" t="n">
        <f aca="false">IF(OR(A4065&lt;&gt;"",B4065&lt;&gt;""),1,0)</f>
        <v>0</v>
      </c>
      <c r="D4065" s="0" t="str">
        <f aca="false">IF(C4065=1,MOD(ABS(SIN(ROW()*12.9898+'הדבקת לידים'!$F$2*78.233+IFERROR(--RIGHT(A4065,6),LEN(A4065))*0.0137+IFERROR(--RIGHT(B4065,6),LEN(B4065))*0.0071))*43758.5453,1),"")</f>
        <v/>
      </c>
      <c r="E4065" s="0" t="str">
        <f aca="false">IF(C4065=1,INT(MOD(ABS(SIN(D4065*7919.123+ROW()*0.618+'הדבקת לידים'!$F$2*1.3))*43758.5453,1)*1000000)*10000+ROW(),"")</f>
        <v/>
      </c>
      <c r="F4065" s="0" t="str">
        <f aca="false">IF(E4065="","",RANK(E4065,$E$2:$E$5001,1))</f>
        <v/>
      </c>
      <c r="G4065" s="0" t="n">
        <f aca="false">IF(A4065="",0,IF(SUMPRODUCT(--($A$2:$A$5001=A4065))&gt;1,1,0))</f>
        <v>0</v>
      </c>
      <c r="H4065" s="0" t="n">
        <f aca="false">ROW()-1</f>
        <v>4064</v>
      </c>
      <c r="I4065" s="0" t="str">
        <f aca="false">IF(OR(הגדרות!$E$6=0,H4065&gt;הגדרות!$E$5),"",IF(H4065-1&lt;הגדרות!$E$8*(הגדרות!$E$7+1),INT((H4065-1)/(הגדרות!$E$7+1)),הגדרות!$E$8+INT((H4065-1-הגדרות!$E$8*(הגדרות!$E$7+1))/הגדרות!$E$7)))</f>
        <v/>
      </c>
      <c r="J4065" s="0" t="str">
        <f aca="false">IF(I4065="","",IF(H4065-1&lt;הגדרות!$E$8*(הגדרות!$E$7+1),MOD(H4065-1,הגדרות!$E$7+1),MOD(H4065-1-הגדרות!$E$8*(הגדרות!$E$7+1),הגדרות!$E$7)))</f>
        <v/>
      </c>
      <c r="K4065" s="0" t="str">
        <f aca="false">IF(I4065="","",J4065*הגדרות!$E$6+I4065+1)</f>
        <v/>
      </c>
      <c r="L4065" s="0" t="str">
        <f aca="false">IF(K4065="","",MATCH(K4065,$F$2:$F$5001,0))</f>
        <v/>
      </c>
      <c r="M4065" s="0" t="str">
        <f aca="false">IF(I4065="","",INDEX(הגדרות!$A$2:$A$21,MOD(I4065+הגדרות!$E$9,הגדרות!$E$6)+1))</f>
        <v/>
      </c>
    </row>
    <row r="4066" customFormat="false" ht="15" hidden="false" customHeight="false" outlineLevel="0" collapsed="false">
      <c r="A4066" s="0" t="str">
        <f aca="false">IF('הדבקת לידים'!A4066="","",IF(ISNUMBER('הדבקת לידים'!A4066),IF(הגדרות!$E$2&gt;0,TEXT('הדבקת לידים'!A4066,REPT("0",הגדרות!$E$2)),TEXT('הדבקת לידים'!A4066,"0")),TRIM('הדבקת לידים'!A4066)))</f>
        <v/>
      </c>
      <c r="B4066" s="0" t="str">
        <f aca="false">IF('הדבקת לידים'!B4066="","",IF(ISNUMBER('הדבקת לידים'!B4066),IF(הגדרות!$E$3&gt;0,TEXT('הדבקת לידים'!B4066,REPT("0",הגדרות!$E$3)),TEXT('הדבקת לידים'!B4066,"0")),TRIM('הדבקת לידים'!B4066)))</f>
        <v/>
      </c>
      <c r="C4066" s="0" t="n">
        <f aca="false">IF(OR(A4066&lt;&gt;"",B4066&lt;&gt;""),1,0)</f>
        <v>0</v>
      </c>
      <c r="D4066" s="0" t="str">
        <f aca="false">IF(C4066=1,MOD(ABS(SIN(ROW()*12.9898+'הדבקת לידים'!$F$2*78.233+IFERROR(--RIGHT(A4066,6),LEN(A4066))*0.0137+IFERROR(--RIGHT(B4066,6),LEN(B4066))*0.0071))*43758.5453,1),"")</f>
        <v/>
      </c>
      <c r="E4066" s="0" t="str">
        <f aca="false">IF(C4066=1,INT(MOD(ABS(SIN(D4066*7919.123+ROW()*0.618+'הדבקת לידים'!$F$2*1.3))*43758.5453,1)*1000000)*10000+ROW(),"")</f>
        <v/>
      </c>
      <c r="F4066" s="0" t="str">
        <f aca="false">IF(E4066="","",RANK(E4066,$E$2:$E$5001,1))</f>
        <v/>
      </c>
      <c r="G4066" s="0" t="n">
        <f aca="false">IF(A4066="",0,IF(SUMPRODUCT(--($A$2:$A$5001=A4066))&gt;1,1,0))</f>
        <v>0</v>
      </c>
      <c r="H4066" s="0" t="n">
        <f aca="false">ROW()-1</f>
        <v>4065</v>
      </c>
      <c r="I4066" s="0" t="str">
        <f aca="false">IF(OR(הגדרות!$E$6=0,H4066&gt;הגדרות!$E$5),"",IF(H4066-1&lt;הגדרות!$E$8*(הגדרות!$E$7+1),INT((H4066-1)/(הגדרות!$E$7+1)),הגדרות!$E$8+INT((H4066-1-הגדרות!$E$8*(הגדרות!$E$7+1))/הגדרות!$E$7)))</f>
        <v/>
      </c>
      <c r="J4066" s="0" t="str">
        <f aca="false">IF(I4066="","",IF(H4066-1&lt;הגדרות!$E$8*(הגדרות!$E$7+1),MOD(H4066-1,הגדרות!$E$7+1),MOD(H4066-1-הגדרות!$E$8*(הגדרות!$E$7+1),הגדרות!$E$7)))</f>
        <v/>
      </c>
      <c r="K4066" s="0" t="str">
        <f aca="false">IF(I4066="","",J4066*הגדרות!$E$6+I4066+1)</f>
        <v/>
      </c>
      <c r="L4066" s="0" t="str">
        <f aca="false">IF(K4066="","",MATCH(K4066,$F$2:$F$5001,0))</f>
        <v/>
      </c>
      <c r="M4066" s="0" t="str">
        <f aca="false">IF(I4066="","",INDEX(הגדרות!$A$2:$A$21,MOD(I4066+הגדרות!$E$9,הגדרות!$E$6)+1))</f>
        <v/>
      </c>
    </row>
    <row r="4067" customFormat="false" ht="15" hidden="false" customHeight="false" outlineLevel="0" collapsed="false">
      <c r="A4067" s="0" t="str">
        <f aca="false">IF('הדבקת לידים'!A4067="","",IF(ISNUMBER('הדבקת לידים'!A4067),IF(הגדרות!$E$2&gt;0,TEXT('הדבקת לידים'!A4067,REPT("0",הגדרות!$E$2)),TEXT('הדבקת לידים'!A4067,"0")),TRIM('הדבקת לידים'!A4067)))</f>
        <v/>
      </c>
      <c r="B4067" s="0" t="str">
        <f aca="false">IF('הדבקת לידים'!B4067="","",IF(ISNUMBER('הדבקת לידים'!B4067),IF(הגדרות!$E$3&gt;0,TEXT('הדבקת לידים'!B4067,REPT("0",הגדרות!$E$3)),TEXT('הדבקת לידים'!B4067,"0")),TRIM('הדבקת לידים'!B4067)))</f>
        <v/>
      </c>
      <c r="C4067" s="0" t="n">
        <f aca="false">IF(OR(A4067&lt;&gt;"",B4067&lt;&gt;""),1,0)</f>
        <v>0</v>
      </c>
      <c r="D4067" s="0" t="str">
        <f aca="false">IF(C4067=1,MOD(ABS(SIN(ROW()*12.9898+'הדבקת לידים'!$F$2*78.233+IFERROR(--RIGHT(A4067,6),LEN(A4067))*0.0137+IFERROR(--RIGHT(B4067,6),LEN(B4067))*0.0071))*43758.5453,1),"")</f>
        <v/>
      </c>
      <c r="E4067" s="0" t="str">
        <f aca="false">IF(C4067=1,INT(MOD(ABS(SIN(D4067*7919.123+ROW()*0.618+'הדבקת לידים'!$F$2*1.3))*43758.5453,1)*1000000)*10000+ROW(),"")</f>
        <v/>
      </c>
      <c r="F4067" s="0" t="str">
        <f aca="false">IF(E4067="","",RANK(E4067,$E$2:$E$5001,1))</f>
        <v/>
      </c>
      <c r="G4067" s="0" t="n">
        <f aca="false">IF(A4067="",0,IF(SUMPRODUCT(--($A$2:$A$5001=A4067))&gt;1,1,0))</f>
        <v>0</v>
      </c>
      <c r="H4067" s="0" t="n">
        <f aca="false">ROW()-1</f>
        <v>4066</v>
      </c>
      <c r="I4067" s="0" t="str">
        <f aca="false">IF(OR(הגדרות!$E$6=0,H4067&gt;הגדרות!$E$5),"",IF(H4067-1&lt;הגדרות!$E$8*(הגדרות!$E$7+1),INT((H4067-1)/(הגדרות!$E$7+1)),הגדרות!$E$8+INT((H4067-1-הגדרות!$E$8*(הגדרות!$E$7+1))/הגדרות!$E$7)))</f>
        <v/>
      </c>
      <c r="J4067" s="0" t="str">
        <f aca="false">IF(I4067="","",IF(H4067-1&lt;הגדרות!$E$8*(הגדרות!$E$7+1),MOD(H4067-1,הגדרות!$E$7+1),MOD(H4067-1-הגדרות!$E$8*(הגדרות!$E$7+1),הגדרות!$E$7)))</f>
        <v/>
      </c>
      <c r="K4067" s="0" t="str">
        <f aca="false">IF(I4067="","",J4067*הגדרות!$E$6+I4067+1)</f>
        <v/>
      </c>
      <c r="L4067" s="0" t="str">
        <f aca="false">IF(K4067="","",MATCH(K4067,$F$2:$F$5001,0))</f>
        <v/>
      </c>
      <c r="M4067" s="0" t="str">
        <f aca="false">IF(I4067="","",INDEX(הגדרות!$A$2:$A$21,MOD(I4067+הגדרות!$E$9,הגדרות!$E$6)+1))</f>
        <v/>
      </c>
    </row>
    <row r="4068" customFormat="false" ht="15" hidden="false" customHeight="false" outlineLevel="0" collapsed="false">
      <c r="A4068" s="0" t="str">
        <f aca="false">IF('הדבקת לידים'!A4068="","",IF(ISNUMBER('הדבקת לידים'!A4068),IF(הגדרות!$E$2&gt;0,TEXT('הדבקת לידים'!A4068,REPT("0",הגדרות!$E$2)),TEXT('הדבקת לידים'!A4068,"0")),TRIM('הדבקת לידים'!A4068)))</f>
        <v/>
      </c>
      <c r="B4068" s="0" t="str">
        <f aca="false">IF('הדבקת לידים'!B4068="","",IF(ISNUMBER('הדבקת לידים'!B4068),IF(הגדרות!$E$3&gt;0,TEXT('הדבקת לידים'!B4068,REPT("0",הגדרות!$E$3)),TEXT('הדבקת לידים'!B4068,"0")),TRIM('הדבקת לידים'!B4068)))</f>
        <v/>
      </c>
      <c r="C4068" s="0" t="n">
        <f aca="false">IF(OR(A4068&lt;&gt;"",B4068&lt;&gt;""),1,0)</f>
        <v>0</v>
      </c>
      <c r="D4068" s="0" t="str">
        <f aca="false">IF(C4068=1,MOD(ABS(SIN(ROW()*12.9898+'הדבקת לידים'!$F$2*78.233+IFERROR(--RIGHT(A4068,6),LEN(A4068))*0.0137+IFERROR(--RIGHT(B4068,6),LEN(B4068))*0.0071))*43758.5453,1),"")</f>
        <v/>
      </c>
      <c r="E4068" s="0" t="str">
        <f aca="false">IF(C4068=1,INT(MOD(ABS(SIN(D4068*7919.123+ROW()*0.618+'הדבקת לידים'!$F$2*1.3))*43758.5453,1)*1000000)*10000+ROW(),"")</f>
        <v/>
      </c>
      <c r="F4068" s="0" t="str">
        <f aca="false">IF(E4068="","",RANK(E4068,$E$2:$E$5001,1))</f>
        <v/>
      </c>
      <c r="G4068" s="0" t="n">
        <f aca="false">IF(A4068="",0,IF(SUMPRODUCT(--($A$2:$A$5001=A4068))&gt;1,1,0))</f>
        <v>0</v>
      </c>
      <c r="H4068" s="0" t="n">
        <f aca="false">ROW()-1</f>
        <v>4067</v>
      </c>
      <c r="I4068" s="0" t="str">
        <f aca="false">IF(OR(הגדרות!$E$6=0,H4068&gt;הגדרות!$E$5),"",IF(H4068-1&lt;הגדרות!$E$8*(הגדרות!$E$7+1),INT((H4068-1)/(הגדרות!$E$7+1)),הגדרות!$E$8+INT((H4068-1-הגדרות!$E$8*(הגדרות!$E$7+1))/הגדרות!$E$7)))</f>
        <v/>
      </c>
      <c r="J4068" s="0" t="str">
        <f aca="false">IF(I4068="","",IF(H4068-1&lt;הגדרות!$E$8*(הגדרות!$E$7+1),MOD(H4068-1,הגדרות!$E$7+1),MOD(H4068-1-הגדרות!$E$8*(הגדרות!$E$7+1),הגדרות!$E$7)))</f>
        <v/>
      </c>
      <c r="K4068" s="0" t="str">
        <f aca="false">IF(I4068="","",J4068*הגדרות!$E$6+I4068+1)</f>
        <v/>
      </c>
      <c r="L4068" s="0" t="str">
        <f aca="false">IF(K4068="","",MATCH(K4068,$F$2:$F$5001,0))</f>
        <v/>
      </c>
      <c r="M4068" s="0" t="str">
        <f aca="false">IF(I4068="","",INDEX(הגדרות!$A$2:$A$21,MOD(I4068+הגדרות!$E$9,הגדרות!$E$6)+1))</f>
        <v/>
      </c>
    </row>
    <row r="4069" customFormat="false" ht="15" hidden="false" customHeight="false" outlineLevel="0" collapsed="false">
      <c r="A4069" s="0" t="str">
        <f aca="false">IF('הדבקת לידים'!A4069="","",IF(ISNUMBER('הדבקת לידים'!A4069),IF(הגדרות!$E$2&gt;0,TEXT('הדבקת לידים'!A4069,REPT("0",הגדרות!$E$2)),TEXT('הדבקת לידים'!A4069,"0")),TRIM('הדבקת לידים'!A4069)))</f>
        <v/>
      </c>
      <c r="B4069" s="0" t="str">
        <f aca="false">IF('הדבקת לידים'!B4069="","",IF(ISNUMBER('הדבקת לידים'!B4069),IF(הגדרות!$E$3&gt;0,TEXT('הדבקת לידים'!B4069,REPT("0",הגדרות!$E$3)),TEXT('הדבקת לידים'!B4069,"0")),TRIM('הדבקת לידים'!B4069)))</f>
        <v/>
      </c>
      <c r="C4069" s="0" t="n">
        <f aca="false">IF(OR(A4069&lt;&gt;"",B4069&lt;&gt;""),1,0)</f>
        <v>0</v>
      </c>
      <c r="D4069" s="0" t="str">
        <f aca="false">IF(C4069=1,MOD(ABS(SIN(ROW()*12.9898+'הדבקת לידים'!$F$2*78.233+IFERROR(--RIGHT(A4069,6),LEN(A4069))*0.0137+IFERROR(--RIGHT(B4069,6),LEN(B4069))*0.0071))*43758.5453,1),"")</f>
        <v/>
      </c>
      <c r="E4069" s="0" t="str">
        <f aca="false">IF(C4069=1,INT(MOD(ABS(SIN(D4069*7919.123+ROW()*0.618+'הדבקת לידים'!$F$2*1.3))*43758.5453,1)*1000000)*10000+ROW(),"")</f>
        <v/>
      </c>
      <c r="F4069" s="0" t="str">
        <f aca="false">IF(E4069="","",RANK(E4069,$E$2:$E$5001,1))</f>
        <v/>
      </c>
      <c r="G4069" s="0" t="n">
        <f aca="false">IF(A4069="",0,IF(SUMPRODUCT(--($A$2:$A$5001=A4069))&gt;1,1,0))</f>
        <v>0</v>
      </c>
      <c r="H4069" s="0" t="n">
        <f aca="false">ROW()-1</f>
        <v>4068</v>
      </c>
      <c r="I4069" s="0" t="str">
        <f aca="false">IF(OR(הגדרות!$E$6=0,H4069&gt;הגדרות!$E$5),"",IF(H4069-1&lt;הגדרות!$E$8*(הגדרות!$E$7+1),INT((H4069-1)/(הגדרות!$E$7+1)),הגדרות!$E$8+INT((H4069-1-הגדרות!$E$8*(הגדרות!$E$7+1))/הגדרות!$E$7)))</f>
        <v/>
      </c>
      <c r="J4069" s="0" t="str">
        <f aca="false">IF(I4069="","",IF(H4069-1&lt;הגדרות!$E$8*(הגדרות!$E$7+1),MOD(H4069-1,הגדרות!$E$7+1),MOD(H4069-1-הגדרות!$E$8*(הגדרות!$E$7+1),הגדרות!$E$7)))</f>
        <v/>
      </c>
      <c r="K4069" s="0" t="str">
        <f aca="false">IF(I4069="","",J4069*הגדרות!$E$6+I4069+1)</f>
        <v/>
      </c>
      <c r="L4069" s="0" t="str">
        <f aca="false">IF(K4069="","",MATCH(K4069,$F$2:$F$5001,0))</f>
        <v/>
      </c>
      <c r="M4069" s="0" t="str">
        <f aca="false">IF(I4069="","",INDEX(הגדרות!$A$2:$A$21,MOD(I4069+הגדרות!$E$9,הגדרות!$E$6)+1))</f>
        <v/>
      </c>
    </row>
    <row r="4070" customFormat="false" ht="15" hidden="false" customHeight="false" outlineLevel="0" collapsed="false">
      <c r="A4070" s="0" t="str">
        <f aca="false">IF('הדבקת לידים'!A4070="","",IF(ISNUMBER('הדבקת לידים'!A4070),IF(הגדרות!$E$2&gt;0,TEXT('הדבקת לידים'!A4070,REPT("0",הגדרות!$E$2)),TEXT('הדבקת לידים'!A4070,"0")),TRIM('הדבקת לידים'!A4070)))</f>
        <v/>
      </c>
      <c r="B4070" s="0" t="str">
        <f aca="false">IF('הדבקת לידים'!B4070="","",IF(ISNUMBER('הדבקת לידים'!B4070),IF(הגדרות!$E$3&gt;0,TEXT('הדבקת לידים'!B4070,REPT("0",הגדרות!$E$3)),TEXT('הדבקת לידים'!B4070,"0")),TRIM('הדבקת לידים'!B4070)))</f>
        <v/>
      </c>
      <c r="C4070" s="0" t="n">
        <f aca="false">IF(OR(A4070&lt;&gt;"",B4070&lt;&gt;""),1,0)</f>
        <v>0</v>
      </c>
      <c r="D4070" s="0" t="str">
        <f aca="false">IF(C4070=1,MOD(ABS(SIN(ROW()*12.9898+'הדבקת לידים'!$F$2*78.233+IFERROR(--RIGHT(A4070,6),LEN(A4070))*0.0137+IFERROR(--RIGHT(B4070,6),LEN(B4070))*0.0071))*43758.5453,1),"")</f>
        <v/>
      </c>
      <c r="E4070" s="0" t="str">
        <f aca="false">IF(C4070=1,INT(MOD(ABS(SIN(D4070*7919.123+ROW()*0.618+'הדבקת לידים'!$F$2*1.3))*43758.5453,1)*1000000)*10000+ROW(),"")</f>
        <v/>
      </c>
      <c r="F4070" s="0" t="str">
        <f aca="false">IF(E4070="","",RANK(E4070,$E$2:$E$5001,1))</f>
        <v/>
      </c>
      <c r="G4070" s="0" t="n">
        <f aca="false">IF(A4070="",0,IF(SUMPRODUCT(--($A$2:$A$5001=A4070))&gt;1,1,0))</f>
        <v>0</v>
      </c>
      <c r="H4070" s="0" t="n">
        <f aca="false">ROW()-1</f>
        <v>4069</v>
      </c>
      <c r="I4070" s="0" t="str">
        <f aca="false">IF(OR(הגדרות!$E$6=0,H4070&gt;הגדרות!$E$5),"",IF(H4070-1&lt;הגדרות!$E$8*(הגדרות!$E$7+1),INT((H4070-1)/(הגדרות!$E$7+1)),הגדרות!$E$8+INT((H4070-1-הגדרות!$E$8*(הגדרות!$E$7+1))/הגדרות!$E$7)))</f>
        <v/>
      </c>
      <c r="J4070" s="0" t="str">
        <f aca="false">IF(I4070="","",IF(H4070-1&lt;הגדרות!$E$8*(הגדרות!$E$7+1),MOD(H4070-1,הגדרות!$E$7+1),MOD(H4070-1-הגדרות!$E$8*(הגדרות!$E$7+1),הגדרות!$E$7)))</f>
        <v/>
      </c>
      <c r="K4070" s="0" t="str">
        <f aca="false">IF(I4070="","",J4070*הגדרות!$E$6+I4070+1)</f>
        <v/>
      </c>
      <c r="L4070" s="0" t="str">
        <f aca="false">IF(K4070="","",MATCH(K4070,$F$2:$F$5001,0))</f>
        <v/>
      </c>
      <c r="M4070" s="0" t="str">
        <f aca="false">IF(I4070="","",INDEX(הגדרות!$A$2:$A$21,MOD(I4070+הגדרות!$E$9,הגדרות!$E$6)+1))</f>
        <v/>
      </c>
    </row>
    <row r="4071" customFormat="false" ht="15" hidden="false" customHeight="false" outlineLevel="0" collapsed="false">
      <c r="A4071" s="0" t="str">
        <f aca="false">IF('הדבקת לידים'!A4071="","",IF(ISNUMBER('הדבקת לידים'!A4071),IF(הגדרות!$E$2&gt;0,TEXT('הדבקת לידים'!A4071,REPT("0",הגדרות!$E$2)),TEXT('הדבקת לידים'!A4071,"0")),TRIM('הדבקת לידים'!A4071)))</f>
        <v/>
      </c>
      <c r="B4071" s="0" t="str">
        <f aca="false">IF('הדבקת לידים'!B4071="","",IF(ISNUMBER('הדבקת לידים'!B4071),IF(הגדרות!$E$3&gt;0,TEXT('הדבקת לידים'!B4071,REPT("0",הגדרות!$E$3)),TEXT('הדבקת לידים'!B4071,"0")),TRIM('הדבקת לידים'!B4071)))</f>
        <v/>
      </c>
      <c r="C4071" s="0" t="n">
        <f aca="false">IF(OR(A4071&lt;&gt;"",B4071&lt;&gt;""),1,0)</f>
        <v>0</v>
      </c>
      <c r="D4071" s="0" t="str">
        <f aca="false">IF(C4071=1,MOD(ABS(SIN(ROW()*12.9898+'הדבקת לידים'!$F$2*78.233+IFERROR(--RIGHT(A4071,6),LEN(A4071))*0.0137+IFERROR(--RIGHT(B4071,6),LEN(B4071))*0.0071))*43758.5453,1),"")</f>
        <v/>
      </c>
      <c r="E4071" s="0" t="str">
        <f aca="false">IF(C4071=1,INT(MOD(ABS(SIN(D4071*7919.123+ROW()*0.618+'הדבקת לידים'!$F$2*1.3))*43758.5453,1)*1000000)*10000+ROW(),"")</f>
        <v/>
      </c>
      <c r="F4071" s="0" t="str">
        <f aca="false">IF(E4071="","",RANK(E4071,$E$2:$E$5001,1))</f>
        <v/>
      </c>
      <c r="G4071" s="0" t="n">
        <f aca="false">IF(A4071="",0,IF(SUMPRODUCT(--($A$2:$A$5001=A4071))&gt;1,1,0))</f>
        <v>0</v>
      </c>
      <c r="H4071" s="0" t="n">
        <f aca="false">ROW()-1</f>
        <v>4070</v>
      </c>
      <c r="I4071" s="0" t="str">
        <f aca="false">IF(OR(הגדרות!$E$6=0,H4071&gt;הגדרות!$E$5),"",IF(H4071-1&lt;הגדרות!$E$8*(הגדרות!$E$7+1),INT((H4071-1)/(הגדרות!$E$7+1)),הגדרות!$E$8+INT((H4071-1-הגדרות!$E$8*(הגדרות!$E$7+1))/הגדרות!$E$7)))</f>
        <v/>
      </c>
      <c r="J4071" s="0" t="str">
        <f aca="false">IF(I4071="","",IF(H4071-1&lt;הגדרות!$E$8*(הגדרות!$E$7+1),MOD(H4071-1,הגדרות!$E$7+1),MOD(H4071-1-הגדרות!$E$8*(הגדרות!$E$7+1),הגדרות!$E$7)))</f>
        <v/>
      </c>
      <c r="K4071" s="0" t="str">
        <f aca="false">IF(I4071="","",J4071*הגדרות!$E$6+I4071+1)</f>
        <v/>
      </c>
      <c r="L4071" s="0" t="str">
        <f aca="false">IF(K4071="","",MATCH(K4071,$F$2:$F$5001,0))</f>
        <v/>
      </c>
      <c r="M4071" s="0" t="str">
        <f aca="false">IF(I4071="","",INDEX(הגדרות!$A$2:$A$21,MOD(I4071+הגדרות!$E$9,הגדרות!$E$6)+1))</f>
        <v/>
      </c>
    </row>
    <row r="4072" customFormat="false" ht="15" hidden="false" customHeight="false" outlineLevel="0" collapsed="false">
      <c r="A4072" s="0" t="str">
        <f aca="false">IF('הדבקת לידים'!A4072="","",IF(ISNUMBER('הדבקת לידים'!A4072),IF(הגדרות!$E$2&gt;0,TEXT('הדבקת לידים'!A4072,REPT("0",הגדרות!$E$2)),TEXT('הדבקת לידים'!A4072,"0")),TRIM('הדבקת לידים'!A4072)))</f>
        <v/>
      </c>
      <c r="B4072" s="0" t="str">
        <f aca="false">IF('הדבקת לידים'!B4072="","",IF(ISNUMBER('הדבקת לידים'!B4072),IF(הגדרות!$E$3&gt;0,TEXT('הדבקת לידים'!B4072,REPT("0",הגדרות!$E$3)),TEXT('הדבקת לידים'!B4072,"0")),TRIM('הדבקת לידים'!B4072)))</f>
        <v/>
      </c>
      <c r="C4072" s="0" t="n">
        <f aca="false">IF(OR(A4072&lt;&gt;"",B4072&lt;&gt;""),1,0)</f>
        <v>0</v>
      </c>
      <c r="D4072" s="0" t="str">
        <f aca="false">IF(C4072=1,MOD(ABS(SIN(ROW()*12.9898+'הדבקת לידים'!$F$2*78.233+IFERROR(--RIGHT(A4072,6),LEN(A4072))*0.0137+IFERROR(--RIGHT(B4072,6),LEN(B4072))*0.0071))*43758.5453,1),"")</f>
        <v/>
      </c>
      <c r="E4072" s="0" t="str">
        <f aca="false">IF(C4072=1,INT(MOD(ABS(SIN(D4072*7919.123+ROW()*0.618+'הדבקת לידים'!$F$2*1.3))*43758.5453,1)*1000000)*10000+ROW(),"")</f>
        <v/>
      </c>
      <c r="F4072" s="0" t="str">
        <f aca="false">IF(E4072="","",RANK(E4072,$E$2:$E$5001,1))</f>
        <v/>
      </c>
      <c r="G4072" s="0" t="n">
        <f aca="false">IF(A4072="",0,IF(SUMPRODUCT(--($A$2:$A$5001=A4072))&gt;1,1,0))</f>
        <v>0</v>
      </c>
      <c r="H4072" s="0" t="n">
        <f aca="false">ROW()-1</f>
        <v>4071</v>
      </c>
      <c r="I4072" s="0" t="str">
        <f aca="false">IF(OR(הגדרות!$E$6=0,H4072&gt;הגדרות!$E$5),"",IF(H4072-1&lt;הגדרות!$E$8*(הגדרות!$E$7+1),INT((H4072-1)/(הגדרות!$E$7+1)),הגדרות!$E$8+INT((H4072-1-הגדרות!$E$8*(הגדרות!$E$7+1))/הגדרות!$E$7)))</f>
        <v/>
      </c>
      <c r="J4072" s="0" t="str">
        <f aca="false">IF(I4072="","",IF(H4072-1&lt;הגדרות!$E$8*(הגדרות!$E$7+1),MOD(H4072-1,הגדרות!$E$7+1),MOD(H4072-1-הגדרות!$E$8*(הגדרות!$E$7+1),הגדרות!$E$7)))</f>
        <v/>
      </c>
      <c r="K4072" s="0" t="str">
        <f aca="false">IF(I4072="","",J4072*הגדרות!$E$6+I4072+1)</f>
        <v/>
      </c>
      <c r="L4072" s="0" t="str">
        <f aca="false">IF(K4072="","",MATCH(K4072,$F$2:$F$5001,0))</f>
        <v/>
      </c>
      <c r="M4072" s="0" t="str">
        <f aca="false">IF(I4072="","",INDEX(הגדרות!$A$2:$A$21,MOD(I4072+הגדרות!$E$9,הגדרות!$E$6)+1))</f>
        <v/>
      </c>
    </row>
    <row r="4073" customFormat="false" ht="15" hidden="false" customHeight="false" outlineLevel="0" collapsed="false">
      <c r="A4073" s="0" t="str">
        <f aca="false">IF('הדבקת לידים'!A4073="","",IF(ISNUMBER('הדבקת לידים'!A4073),IF(הגדרות!$E$2&gt;0,TEXT('הדבקת לידים'!A4073,REPT("0",הגדרות!$E$2)),TEXT('הדבקת לידים'!A4073,"0")),TRIM('הדבקת לידים'!A4073)))</f>
        <v/>
      </c>
      <c r="B4073" s="0" t="str">
        <f aca="false">IF('הדבקת לידים'!B4073="","",IF(ISNUMBER('הדבקת לידים'!B4073),IF(הגדרות!$E$3&gt;0,TEXT('הדבקת לידים'!B4073,REPT("0",הגדרות!$E$3)),TEXT('הדבקת לידים'!B4073,"0")),TRIM('הדבקת לידים'!B4073)))</f>
        <v/>
      </c>
      <c r="C4073" s="0" t="n">
        <f aca="false">IF(OR(A4073&lt;&gt;"",B4073&lt;&gt;""),1,0)</f>
        <v>0</v>
      </c>
      <c r="D4073" s="0" t="str">
        <f aca="false">IF(C4073=1,MOD(ABS(SIN(ROW()*12.9898+'הדבקת לידים'!$F$2*78.233+IFERROR(--RIGHT(A4073,6),LEN(A4073))*0.0137+IFERROR(--RIGHT(B4073,6),LEN(B4073))*0.0071))*43758.5453,1),"")</f>
        <v/>
      </c>
      <c r="E4073" s="0" t="str">
        <f aca="false">IF(C4073=1,INT(MOD(ABS(SIN(D4073*7919.123+ROW()*0.618+'הדבקת לידים'!$F$2*1.3))*43758.5453,1)*1000000)*10000+ROW(),"")</f>
        <v/>
      </c>
      <c r="F4073" s="0" t="str">
        <f aca="false">IF(E4073="","",RANK(E4073,$E$2:$E$5001,1))</f>
        <v/>
      </c>
      <c r="G4073" s="0" t="n">
        <f aca="false">IF(A4073="",0,IF(SUMPRODUCT(--($A$2:$A$5001=A4073))&gt;1,1,0))</f>
        <v>0</v>
      </c>
      <c r="H4073" s="0" t="n">
        <f aca="false">ROW()-1</f>
        <v>4072</v>
      </c>
      <c r="I4073" s="0" t="str">
        <f aca="false">IF(OR(הגדרות!$E$6=0,H4073&gt;הגדרות!$E$5),"",IF(H4073-1&lt;הגדרות!$E$8*(הגדרות!$E$7+1),INT((H4073-1)/(הגדרות!$E$7+1)),הגדרות!$E$8+INT((H4073-1-הגדרות!$E$8*(הגדרות!$E$7+1))/הגדרות!$E$7)))</f>
        <v/>
      </c>
      <c r="J4073" s="0" t="str">
        <f aca="false">IF(I4073="","",IF(H4073-1&lt;הגדרות!$E$8*(הגדרות!$E$7+1),MOD(H4073-1,הגדרות!$E$7+1),MOD(H4073-1-הגדרות!$E$8*(הגדרות!$E$7+1),הגדרות!$E$7)))</f>
        <v/>
      </c>
      <c r="K4073" s="0" t="str">
        <f aca="false">IF(I4073="","",J4073*הגדרות!$E$6+I4073+1)</f>
        <v/>
      </c>
      <c r="L4073" s="0" t="str">
        <f aca="false">IF(K4073="","",MATCH(K4073,$F$2:$F$5001,0))</f>
        <v/>
      </c>
      <c r="M4073" s="0" t="str">
        <f aca="false">IF(I4073="","",INDEX(הגדרות!$A$2:$A$21,MOD(I4073+הגדרות!$E$9,הגדרות!$E$6)+1))</f>
        <v/>
      </c>
    </row>
    <row r="4074" customFormat="false" ht="15" hidden="false" customHeight="false" outlineLevel="0" collapsed="false">
      <c r="A4074" s="0" t="str">
        <f aca="false">IF('הדבקת לידים'!A4074="","",IF(ISNUMBER('הדבקת לידים'!A4074),IF(הגדרות!$E$2&gt;0,TEXT('הדבקת לידים'!A4074,REPT("0",הגדרות!$E$2)),TEXT('הדבקת לידים'!A4074,"0")),TRIM('הדבקת לידים'!A4074)))</f>
        <v/>
      </c>
      <c r="B4074" s="0" t="str">
        <f aca="false">IF('הדבקת לידים'!B4074="","",IF(ISNUMBER('הדבקת לידים'!B4074),IF(הגדרות!$E$3&gt;0,TEXT('הדבקת לידים'!B4074,REPT("0",הגדרות!$E$3)),TEXT('הדבקת לידים'!B4074,"0")),TRIM('הדבקת לידים'!B4074)))</f>
        <v/>
      </c>
      <c r="C4074" s="0" t="n">
        <f aca="false">IF(OR(A4074&lt;&gt;"",B4074&lt;&gt;""),1,0)</f>
        <v>0</v>
      </c>
      <c r="D4074" s="0" t="str">
        <f aca="false">IF(C4074=1,MOD(ABS(SIN(ROW()*12.9898+'הדבקת לידים'!$F$2*78.233+IFERROR(--RIGHT(A4074,6),LEN(A4074))*0.0137+IFERROR(--RIGHT(B4074,6),LEN(B4074))*0.0071))*43758.5453,1),"")</f>
        <v/>
      </c>
      <c r="E4074" s="0" t="str">
        <f aca="false">IF(C4074=1,INT(MOD(ABS(SIN(D4074*7919.123+ROW()*0.618+'הדבקת לידים'!$F$2*1.3))*43758.5453,1)*1000000)*10000+ROW(),"")</f>
        <v/>
      </c>
      <c r="F4074" s="0" t="str">
        <f aca="false">IF(E4074="","",RANK(E4074,$E$2:$E$5001,1))</f>
        <v/>
      </c>
      <c r="G4074" s="0" t="n">
        <f aca="false">IF(A4074="",0,IF(SUMPRODUCT(--($A$2:$A$5001=A4074))&gt;1,1,0))</f>
        <v>0</v>
      </c>
      <c r="H4074" s="0" t="n">
        <f aca="false">ROW()-1</f>
        <v>4073</v>
      </c>
      <c r="I4074" s="0" t="str">
        <f aca="false">IF(OR(הגדרות!$E$6=0,H4074&gt;הגדרות!$E$5),"",IF(H4074-1&lt;הגדרות!$E$8*(הגדרות!$E$7+1),INT((H4074-1)/(הגדרות!$E$7+1)),הגדרות!$E$8+INT((H4074-1-הגדרות!$E$8*(הגדרות!$E$7+1))/הגדרות!$E$7)))</f>
        <v/>
      </c>
      <c r="J4074" s="0" t="str">
        <f aca="false">IF(I4074="","",IF(H4074-1&lt;הגדרות!$E$8*(הגדרות!$E$7+1),MOD(H4074-1,הגדרות!$E$7+1),MOD(H4074-1-הגדרות!$E$8*(הגדרות!$E$7+1),הגדרות!$E$7)))</f>
        <v/>
      </c>
      <c r="K4074" s="0" t="str">
        <f aca="false">IF(I4074="","",J4074*הגדרות!$E$6+I4074+1)</f>
        <v/>
      </c>
      <c r="L4074" s="0" t="str">
        <f aca="false">IF(K4074="","",MATCH(K4074,$F$2:$F$5001,0))</f>
        <v/>
      </c>
      <c r="M4074" s="0" t="str">
        <f aca="false">IF(I4074="","",INDEX(הגדרות!$A$2:$A$21,MOD(I4074+הגדרות!$E$9,הגדרות!$E$6)+1))</f>
        <v/>
      </c>
    </row>
    <row r="4075" customFormat="false" ht="15" hidden="false" customHeight="false" outlineLevel="0" collapsed="false">
      <c r="A4075" s="0" t="str">
        <f aca="false">IF('הדבקת לידים'!A4075="","",IF(ISNUMBER('הדבקת לידים'!A4075),IF(הגדרות!$E$2&gt;0,TEXT('הדבקת לידים'!A4075,REPT("0",הגדרות!$E$2)),TEXT('הדבקת לידים'!A4075,"0")),TRIM('הדבקת לידים'!A4075)))</f>
        <v/>
      </c>
      <c r="B4075" s="0" t="str">
        <f aca="false">IF('הדבקת לידים'!B4075="","",IF(ISNUMBER('הדבקת לידים'!B4075),IF(הגדרות!$E$3&gt;0,TEXT('הדבקת לידים'!B4075,REPT("0",הגדרות!$E$3)),TEXT('הדבקת לידים'!B4075,"0")),TRIM('הדבקת לידים'!B4075)))</f>
        <v/>
      </c>
      <c r="C4075" s="0" t="n">
        <f aca="false">IF(OR(A4075&lt;&gt;"",B4075&lt;&gt;""),1,0)</f>
        <v>0</v>
      </c>
      <c r="D4075" s="0" t="str">
        <f aca="false">IF(C4075=1,MOD(ABS(SIN(ROW()*12.9898+'הדבקת לידים'!$F$2*78.233+IFERROR(--RIGHT(A4075,6),LEN(A4075))*0.0137+IFERROR(--RIGHT(B4075,6),LEN(B4075))*0.0071))*43758.5453,1),"")</f>
        <v/>
      </c>
      <c r="E4075" s="0" t="str">
        <f aca="false">IF(C4075=1,INT(MOD(ABS(SIN(D4075*7919.123+ROW()*0.618+'הדבקת לידים'!$F$2*1.3))*43758.5453,1)*1000000)*10000+ROW(),"")</f>
        <v/>
      </c>
      <c r="F4075" s="0" t="str">
        <f aca="false">IF(E4075="","",RANK(E4075,$E$2:$E$5001,1))</f>
        <v/>
      </c>
      <c r="G4075" s="0" t="n">
        <f aca="false">IF(A4075="",0,IF(SUMPRODUCT(--($A$2:$A$5001=A4075))&gt;1,1,0))</f>
        <v>0</v>
      </c>
      <c r="H4075" s="0" t="n">
        <f aca="false">ROW()-1</f>
        <v>4074</v>
      </c>
      <c r="I4075" s="0" t="str">
        <f aca="false">IF(OR(הגדרות!$E$6=0,H4075&gt;הגדרות!$E$5),"",IF(H4075-1&lt;הגדרות!$E$8*(הגדרות!$E$7+1),INT((H4075-1)/(הגדרות!$E$7+1)),הגדרות!$E$8+INT((H4075-1-הגדרות!$E$8*(הגדרות!$E$7+1))/הגדרות!$E$7)))</f>
        <v/>
      </c>
      <c r="J4075" s="0" t="str">
        <f aca="false">IF(I4075="","",IF(H4075-1&lt;הגדרות!$E$8*(הגדרות!$E$7+1),MOD(H4075-1,הגדרות!$E$7+1),MOD(H4075-1-הגדרות!$E$8*(הגדרות!$E$7+1),הגדרות!$E$7)))</f>
        <v/>
      </c>
      <c r="K4075" s="0" t="str">
        <f aca="false">IF(I4075="","",J4075*הגדרות!$E$6+I4075+1)</f>
        <v/>
      </c>
      <c r="L4075" s="0" t="str">
        <f aca="false">IF(K4075="","",MATCH(K4075,$F$2:$F$5001,0))</f>
        <v/>
      </c>
      <c r="M4075" s="0" t="str">
        <f aca="false">IF(I4075="","",INDEX(הגדרות!$A$2:$A$21,MOD(I4075+הגדרות!$E$9,הגדרות!$E$6)+1))</f>
        <v/>
      </c>
    </row>
    <row r="4076" customFormat="false" ht="15" hidden="false" customHeight="false" outlineLevel="0" collapsed="false">
      <c r="A4076" s="0" t="str">
        <f aca="false">IF('הדבקת לידים'!A4076="","",IF(ISNUMBER('הדבקת לידים'!A4076),IF(הגדרות!$E$2&gt;0,TEXT('הדבקת לידים'!A4076,REPT("0",הגדרות!$E$2)),TEXT('הדבקת לידים'!A4076,"0")),TRIM('הדבקת לידים'!A4076)))</f>
        <v/>
      </c>
      <c r="B4076" s="0" t="str">
        <f aca="false">IF('הדבקת לידים'!B4076="","",IF(ISNUMBER('הדבקת לידים'!B4076),IF(הגדרות!$E$3&gt;0,TEXT('הדבקת לידים'!B4076,REPT("0",הגדרות!$E$3)),TEXT('הדבקת לידים'!B4076,"0")),TRIM('הדבקת לידים'!B4076)))</f>
        <v/>
      </c>
      <c r="C4076" s="0" t="n">
        <f aca="false">IF(OR(A4076&lt;&gt;"",B4076&lt;&gt;""),1,0)</f>
        <v>0</v>
      </c>
      <c r="D4076" s="0" t="str">
        <f aca="false">IF(C4076=1,MOD(ABS(SIN(ROW()*12.9898+'הדבקת לידים'!$F$2*78.233+IFERROR(--RIGHT(A4076,6),LEN(A4076))*0.0137+IFERROR(--RIGHT(B4076,6),LEN(B4076))*0.0071))*43758.5453,1),"")</f>
        <v/>
      </c>
      <c r="E4076" s="0" t="str">
        <f aca="false">IF(C4076=1,INT(MOD(ABS(SIN(D4076*7919.123+ROW()*0.618+'הדבקת לידים'!$F$2*1.3))*43758.5453,1)*1000000)*10000+ROW(),"")</f>
        <v/>
      </c>
      <c r="F4076" s="0" t="str">
        <f aca="false">IF(E4076="","",RANK(E4076,$E$2:$E$5001,1))</f>
        <v/>
      </c>
      <c r="G4076" s="0" t="n">
        <f aca="false">IF(A4076="",0,IF(SUMPRODUCT(--($A$2:$A$5001=A4076))&gt;1,1,0))</f>
        <v>0</v>
      </c>
      <c r="H4076" s="0" t="n">
        <f aca="false">ROW()-1</f>
        <v>4075</v>
      </c>
      <c r="I4076" s="0" t="str">
        <f aca="false">IF(OR(הגדרות!$E$6=0,H4076&gt;הגדרות!$E$5),"",IF(H4076-1&lt;הגדרות!$E$8*(הגדרות!$E$7+1),INT((H4076-1)/(הגדרות!$E$7+1)),הגדרות!$E$8+INT((H4076-1-הגדרות!$E$8*(הגדרות!$E$7+1))/הגדרות!$E$7)))</f>
        <v/>
      </c>
      <c r="J4076" s="0" t="str">
        <f aca="false">IF(I4076="","",IF(H4076-1&lt;הגדרות!$E$8*(הגדרות!$E$7+1),MOD(H4076-1,הגדרות!$E$7+1),MOD(H4076-1-הגדרות!$E$8*(הגדרות!$E$7+1),הגדרות!$E$7)))</f>
        <v/>
      </c>
      <c r="K4076" s="0" t="str">
        <f aca="false">IF(I4076="","",J4076*הגדרות!$E$6+I4076+1)</f>
        <v/>
      </c>
      <c r="L4076" s="0" t="str">
        <f aca="false">IF(K4076="","",MATCH(K4076,$F$2:$F$5001,0))</f>
        <v/>
      </c>
      <c r="M4076" s="0" t="str">
        <f aca="false">IF(I4076="","",INDEX(הגדרות!$A$2:$A$21,MOD(I4076+הגדרות!$E$9,הגדרות!$E$6)+1))</f>
        <v/>
      </c>
    </row>
    <row r="4077" customFormat="false" ht="15" hidden="false" customHeight="false" outlineLevel="0" collapsed="false">
      <c r="A4077" s="0" t="str">
        <f aca="false">IF('הדבקת לידים'!A4077="","",IF(ISNUMBER('הדבקת לידים'!A4077),IF(הגדרות!$E$2&gt;0,TEXT('הדבקת לידים'!A4077,REPT("0",הגדרות!$E$2)),TEXT('הדבקת לידים'!A4077,"0")),TRIM('הדבקת לידים'!A4077)))</f>
        <v/>
      </c>
      <c r="B4077" s="0" t="str">
        <f aca="false">IF('הדבקת לידים'!B4077="","",IF(ISNUMBER('הדבקת לידים'!B4077),IF(הגדרות!$E$3&gt;0,TEXT('הדבקת לידים'!B4077,REPT("0",הגדרות!$E$3)),TEXT('הדבקת לידים'!B4077,"0")),TRIM('הדבקת לידים'!B4077)))</f>
        <v/>
      </c>
      <c r="C4077" s="0" t="n">
        <f aca="false">IF(OR(A4077&lt;&gt;"",B4077&lt;&gt;""),1,0)</f>
        <v>0</v>
      </c>
      <c r="D4077" s="0" t="str">
        <f aca="false">IF(C4077=1,MOD(ABS(SIN(ROW()*12.9898+'הדבקת לידים'!$F$2*78.233+IFERROR(--RIGHT(A4077,6),LEN(A4077))*0.0137+IFERROR(--RIGHT(B4077,6),LEN(B4077))*0.0071))*43758.5453,1),"")</f>
        <v/>
      </c>
      <c r="E4077" s="0" t="str">
        <f aca="false">IF(C4077=1,INT(MOD(ABS(SIN(D4077*7919.123+ROW()*0.618+'הדבקת לידים'!$F$2*1.3))*43758.5453,1)*1000000)*10000+ROW(),"")</f>
        <v/>
      </c>
      <c r="F4077" s="0" t="str">
        <f aca="false">IF(E4077="","",RANK(E4077,$E$2:$E$5001,1))</f>
        <v/>
      </c>
      <c r="G4077" s="0" t="n">
        <f aca="false">IF(A4077="",0,IF(SUMPRODUCT(--($A$2:$A$5001=A4077))&gt;1,1,0))</f>
        <v>0</v>
      </c>
      <c r="H4077" s="0" t="n">
        <f aca="false">ROW()-1</f>
        <v>4076</v>
      </c>
      <c r="I4077" s="0" t="str">
        <f aca="false">IF(OR(הגדרות!$E$6=0,H4077&gt;הגדרות!$E$5),"",IF(H4077-1&lt;הגדרות!$E$8*(הגדרות!$E$7+1),INT((H4077-1)/(הגדרות!$E$7+1)),הגדרות!$E$8+INT((H4077-1-הגדרות!$E$8*(הגדרות!$E$7+1))/הגדרות!$E$7)))</f>
        <v/>
      </c>
      <c r="J4077" s="0" t="str">
        <f aca="false">IF(I4077="","",IF(H4077-1&lt;הגדרות!$E$8*(הגדרות!$E$7+1),MOD(H4077-1,הגדרות!$E$7+1),MOD(H4077-1-הגדרות!$E$8*(הגדרות!$E$7+1),הגדרות!$E$7)))</f>
        <v/>
      </c>
      <c r="K4077" s="0" t="str">
        <f aca="false">IF(I4077="","",J4077*הגדרות!$E$6+I4077+1)</f>
        <v/>
      </c>
      <c r="L4077" s="0" t="str">
        <f aca="false">IF(K4077="","",MATCH(K4077,$F$2:$F$5001,0))</f>
        <v/>
      </c>
      <c r="M4077" s="0" t="str">
        <f aca="false">IF(I4077="","",INDEX(הגדרות!$A$2:$A$21,MOD(I4077+הגדרות!$E$9,הגדרות!$E$6)+1))</f>
        <v/>
      </c>
    </row>
    <row r="4078" customFormat="false" ht="15" hidden="false" customHeight="false" outlineLevel="0" collapsed="false">
      <c r="A4078" s="0" t="str">
        <f aca="false">IF('הדבקת לידים'!A4078="","",IF(ISNUMBER('הדבקת לידים'!A4078),IF(הגדרות!$E$2&gt;0,TEXT('הדבקת לידים'!A4078,REPT("0",הגדרות!$E$2)),TEXT('הדבקת לידים'!A4078,"0")),TRIM('הדבקת לידים'!A4078)))</f>
        <v/>
      </c>
      <c r="B4078" s="0" t="str">
        <f aca="false">IF('הדבקת לידים'!B4078="","",IF(ISNUMBER('הדבקת לידים'!B4078),IF(הגדרות!$E$3&gt;0,TEXT('הדבקת לידים'!B4078,REPT("0",הגדרות!$E$3)),TEXT('הדבקת לידים'!B4078,"0")),TRIM('הדבקת לידים'!B4078)))</f>
        <v/>
      </c>
      <c r="C4078" s="0" t="n">
        <f aca="false">IF(OR(A4078&lt;&gt;"",B4078&lt;&gt;""),1,0)</f>
        <v>0</v>
      </c>
      <c r="D4078" s="0" t="str">
        <f aca="false">IF(C4078=1,MOD(ABS(SIN(ROW()*12.9898+'הדבקת לידים'!$F$2*78.233+IFERROR(--RIGHT(A4078,6),LEN(A4078))*0.0137+IFERROR(--RIGHT(B4078,6),LEN(B4078))*0.0071))*43758.5453,1),"")</f>
        <v/>
      </c>
      <c r="E4078" s="0" t="str">
        <f aca="false">IF(C4078=1,INT(MOD(ABS(SIN(D4078*7919.123+ROW()*0.618+'הדבקת לידים'!$F$2*1.3))*43758.5453,1)*1000000)*10000+ROW(),"")</f>
        <v/>
      </c>
      <c r="F4078" s="0" t="str">
        <f aca="false">IF(E4078="","",RANK(E4078,$E$2:$E$5001,1))</f>
        <v/>
      </c>
      <c r="G4078" s="0" t="n">
        <f aca="false">IF(A4078="",0,IF(SUMPRODUCT(--($A$2:$A$5001=A4078))&gt;1,1,0))</f>
        <v>0</v>
      </c>
      <c r="H4078" s="0" t="n">
        <f aca="false">ROW()-1</f>
        <v>4077</v>
      </c>
      <c r="I4078" s="0" t="str">
        <f aca="false">IF(OR(הגדרות!$E$6=0,H4078&gt;הגדרות!$E$5),"",IF(H4078-1&lt;הגדרות!$E$8*(הגדרות!$E$7+1),INT((H4078-1)/(הגדרות!$E$7+1)),הגדרות!$E$8+INT((H4078-1-הגדרות!$E$8*(הגדרות!$E$7+1))/הגדרות!$E$7)))</f>
        <v/>
      </c>
      <c r="J4078" s="0" t="str">
        <f aca="false">IF(I4078="","",IF(H4078-1&lt;הגדרות!$E$8*(הגדרות!$E$7+1),MOD(H4078-1,הגדרות!$E$7+1),MOD(H4078-1-הגדרות!$E$8*(הגדרות!$E$7+1),הגדרות!$E$7)))</f>
        <v/>
      </c>
      <c r="K4078" s="0" t="str">
        <f aca="false">IF(I4078="","",J4078*הגדרות!$E$6+I4078+1)</f>
        <v/>
      </c>
      <c r="L4078" s="0" t="str">
        <f aca="false">IF(K4078="","",MATCH(K4078,$F$2:$F$5001,0))</f>
        <v/>
      </c>
      <c r="M4078" s="0" t="str">
        <f aca="false">IF(I4078="","",INDEX(הגדרות!$A$2:$A$21,MOD(I4078+הגדרות!$E$9,הגדרות!$E$6)+1))</f>
        <v/>
      </c>
    </row>
    <row r="4079" customFormat="false" ht="15" hidden="false" customHeight="false" outlineLevel="0" collapsed="false">
      <c r="A4079" s="0" t="str">
        <f aca="false">IF('הדבקת לידים'!A4079="","",IF(ISNUMBER('הדבקת לידים'!A4079),IF(הגדרות!$E$2&gt;0,TEXT('הדבקת לידים'!A4079,REPT("0",הגדרות!$E$2)),TEXT('הדבקת לידים'!A4079,"0")),TRIM('הדבקת לידים'!A4079)))</f>
        <v/>
      </c>
      <c r="B4079" s="0" t="str">
        <f aca="false">IF('הדבקת לידים'!B4079="","",IF(ISNUMBER('הדבקת לידים'!B4079),IF(הגדרות!$E$3&gt;0,TEXT('הדבקת לידים'!B4079,REPT("0",הגדרות!$E$3)),TEXT('הדבקת לידים'!B4079,"0")),TRIM('הדבקת לידים'!B4079)))</f>
        <v/>
      </c>
      <c r="C4079" s="0" t="n">
        <f aca="false">IF(OR(A4079&lt;&gt;"",B4079&lt;&gt;""),1,0)</f>
        <v>0</v>
      </c>
      <c r="D4079" s="0" t="str">
        <f aca="false">IF(C4079=1,MOD(ABS(SIN(ROW()*12.9898+'הדבקת לידים'!$F$2*78.233+IFERROR(--RIGHT(A4079,6),LEN(A4079))*0.0137+IFERROR(--RIGHT(B4079,6),LEN(B4079))*0.0071))*43758.5453,1),"")</f>
        <v/>
      </c>
      <c r="E4079" s="0" t="str">
        <f aca="false">IF(C4079=1,INT(MOD(ABS(SIN(D4079*7919.123+ROW()*0.618+'הדבקת לידים'!$F$2*1.3))*43758.5453,1)*1000000)*10000+ROW(),"")</f>
        <v/>
      </c>
      <c r="F4079" s="0" t="str">
        <f aca="false">IF(E4079="","",RANK(E4079,$E$2:$E$5001,1))</f>
        <v/>
      </c>
      <c r="G4079" s="0" t="n">
        <f aca="false">IF(A4079="",0,IF(SUMPRODUCT(--($A$2:$A$5001=A4079))&gt;1,1,0))</f>
        <v>0</v>
      </c>
      <c r="H4079" s="0" t="n">
        <f aca="false">ROW()-1</f>
        <v>4078</v>
      </c>
      <c r="I4079" s="0" t="str">
        <f aca="false">IF(OR(הגדרות!$E$6=0,H4079&gt;הגדרות!$E$5),"",IF(H4079-1&lt;הגדרות!$E$8*(הגדרות!$E$7+1),INT((H4079-1)/(הגדרות!$E$7+1)),הגדרות!$E$8+INT((H4079-1-הגדרות!$E$8*(הגדרות!$E$7+1))/הגדרות!$E$7)))</f>
        <v/>
      </c>
      <c r="J4079" s="0" t="str">
        <f aca="false">IF(I4079="","",IF(H4079-1&lt;הגדרות!$E$8*(הגדרות!$E$7+1),MOD(H4079-1,הגדרות!$E$7+1),MOD(H4079-1-הגדרות!$E$8*(הגדרות!$E$7+1),הגדרות!$E$7)))</f>
        <v/>
      </c>
      <c r="K4079" s="0" t="str">
        <f aca="false">IF(I4079="","",J4079*הגדרות!$E$6+I4079+1)</f>
        <v/>
      </c>
      <c r="L4079" s="0" t="str">
        <f aca="false">IF(K4079="","",MATCH(K4079,$F$2:$F$5001,0))</f>
        <v/>
      </c>
      <c r="M4079" s="0" t="str">
        <f aca="false">IF(I4079="","",INDEX(הגדרות!$A$2:$A$21,MOD(I4079+הגדרות!$E$9,הגדרות!$E$6)+1))</f>
        <v/>
      </c>
    </row>
    <row r="4080" customFormat="false" ht="15" hidden="false" customHeight="false" outlineLevel="0" collapsed="false">
      <c r="A4080" s="0" t="str">
        <f aca="false">IF('הדבקת לידים'!A4080="","",IF(ISNUMBER('הדבקת לידים'!A4080),IF(הגדרות!$E$2&gt;0,TEXT('הדבקת לידים'!A4080,REPT("0",הגדרות!$E$2)),TEXT('הדבקת לידים'!A4080,"0")),TRIM('הדבקת לידים'!A4080)))</f>
        <v/>
      </c>
      <c r="B4080" s="0" t="str">
        <f aca="false">IF('הדבקת לידים'!B4080="","",IF(ISNUMBER('הדבקת לידים'!B4080),IF(הגדרות!$E$3&gt;0,TEXT('הדבקת לידים'!B4080,REPT("0",הגדרות!$E$3)),TEXT('הדבקת לידים'!B4080,"0")),TRIM('הדבקת לידים'!B4080)))</f>
        <v/>
      </c>
      <c r="C4080" s="0" t="n">
        <f aca="false">IF(OR(A4080&lt;&gt;"",B4080&lt;&gt;""),1,0)</f>
        <v>0</v>
      </c>
      <c r="D4080" s="0" t="str">
        <f aca="false">IF(C4080=1,MOD(ABS(SIN(ROW()*12.9898+'הדבקת לידים'!$F$2*78.233+IFERROR(--RIGHT(A4080,6),LEN(A4080))*0.0137+IFERROR(--RIGHT(B4080,6),LEN(B4080))*0.0071))*43758.5453,1),"")</f>
        <v/>
      </c>
      <c r="E4080" s="0" t="str">
        <f aca="false">IF(C4080=1,INT(MOD(ABS(SIN(D4080*7919.123+ROW()*0.618+'הדבקת לידים'!$F$2*1.3))*43758.5453,1)*1000000)*10000+ROW(),"")</f>
        <v/>
      </c>
      <c r="F4080" s="0" t="str">
        <f aca="false">IF(E4080="","",RANK(E4080,$E$2:$E$5001,1))</f>
        <v/>
      </c>
      <c r="G4080" s="0" t="n">
        <f aca="false">IF(A4080="",0,IF(SUMPRODUCT(--($A$2:$A$5001=A4080))&gt;1,1,0))</f>
        <v>0</v>
      </c>
      <c r="H4080" s="0" t="n">
        <f aca="false">ROW()-1</f>
        <v>4079</v>
      </c>
      <c r="I4080" s="0" t="str">
        <f aca="false">IF(OR(הגדרות!$E$6=0,H4080&gt;הגדרות!$E$5),"",IF(H4080-1&lt;הגדרות!$E$8*(הגדרות!$E$7+1),INT((H4080-1)/(הגדרות!$E$7+1)),הגדרות!$E$8+INT((H4080-1-הגדרות!$E$8*(הגדרות!$E$7+1))/הגדרות!$E$7)))</f>
        <v/>
      </c>
      <c r="J4080" s="0" t="str">
        <f aca="false">IF(I4080="","",IF(H4080-1&lt;הגדרות!$E$8*(הגדרות!$E$7+1),MOD(H4080-1,הגדרות!$E$7+1),MOD(H4080-1-הגדרות!$E$8*(הגדרות!$E$7+1),הגדרות!$E$7)))</f>
        <v/>
      </c>
      <c r="K4080" s="0" t="str">
        <f aca="false">IF(I4080="","",J4080*הגדרות!$E$6+I4080+1)</f>
        <v/>
      </c>
      <c r="L4080" s="0" t="str">
        <f aca="false">IF(K4080="","",MATCH(K4080,$F$2:$F$5001,0))</f>
        <v/>
      </c>
      <c r="M4080" s="0" t="str">
        <f aca="false">IF(I4080="","",INDEX(הגדרות!$A$2:$A$21,MOD(I4080+הגדרות!$E$9,הגדרות!$E$6)+1))</f>
        <v/>
      </c>
    </row>
    <row r="4081" customFormat="false" ht="15" hidden="false" customHeight="false" outlineLevel="0" collapsed="false">
      <c r="A4081" s="0" t="str">
        <f aca="false">IF('הדבקת לידים'!A4081="","",IF(ISNUMBER('הדבקת לידים'!A4081),IF(הגדרות!$E$2&gt;0,TEXT('הדבקת לידים'!A4081,REPT("0",הגדרות!$E$2)),TEXT('הדבקת לידים'!A4081,"0")),TRIM('הדבקת לידים'!A4081)))</f>
        <v/>
      </c>
      <c r="B4081" s="0" t="str">
        <f aca="false">IF('הדבקת לידים'!B4081="","",IF(ISNUMBER('הדבקת לידים'!B4081),IF(הגדרות!$E$3&gt;0,TEXT('הדבקת לידים'!B4081,REPT("0",הגדרות!$E$3)),TEXT('הדבקת לידים'!B4081,"0")),TRIM('הדבקת לידים'!B4081)))</f>
        <v/>
      </c>
      <c r="C4081" s="0" t="n">
        <f aca="false">IF(OR(A4081&lt;&gt;"",B4081&lt;&gt;""),1,0)</f>
        <v>0</v>
      </c>
      <c r="D4081" s="0" t="str">
        <f aca="false">IF(C4081=1,MOD(ABS(SIN(ROW()*12.9898+'הדבקת לידים'!$F$2*78.233+IFERROR(--RIGHT(A4081,6),LEN(A4081))*0.0137+IFERROR(--RIGHT(B4081,6),LEN(B4081))*0.0071))*43758.5453,1),"")</f>
        <v/>
      </c>
      <c r="E4081" s="0" t="str">
        <f aca="false">IF(C4081=1,INT(MOD(ABS(SIN(D4081*7919.123+ROW()*0.618+'הדבקת לידים'!$F$2*1.3))*43758.5453,1)*1000000)*10000+ROW(),"")</f>
        <v/>
      </c>
      <c r="F4081" s="0" t="str">
        <f aca="false">IF(E4081="","",RANK(E4081,$E$2:$E$5001,1))</f>
        <v/>
      </c>
      <c r="G4081" s="0" t="n">
        <f aca="false">IF(A4081="",0,IF(SUMPRODUCT(--($A$2:$A$5001=A4081))&gt;1,1,0))</f>
        <v>0</v>
      </c>
      <c r="H4081" s="0" t="n">
        <f aca="false">ROW()-1</f>
        <v>4080</v>
      </c>
      <c r="I4081" s="0" t="str">
        <f aca="false">IF(OR(הגדרות!$E$6=0,H4081&gt;הגדרות!$E$5),"",IF(H4081-1&lt;הגדרות!$E$8*(הגדרות!$E$7+1),INT((H4081-1)/(הגדרות!$E$7+1)),הגדרות!$E$8+INT((H4081-1-הגדרות!$E$8*(הגדרות!$E$7+1))/הגדרות!$E$7)))</f>
        <v/>
      </c>
      <c r="J4081" s="0" t="str">
        <f aca="false">IF(I4081="","",IF(H4081-1&lt;הגדרות!$E$8*(הגדרות!$E$7+1),MOD(H4081-1,הגדרות!$E$7+1),MOD(H4081-1-הגדרות!$E$8*(הגדרות!$E$7+1),הגדרות!$E$7)))</f>
        <v/>
      </c>
      <c r="K4081" s="0" t="str">
        <f aca="false">IF(I4081="","",J4081*הגדרות!$E$6+I4081+1)</f>
        <v/>
      </c>
      <c r="L4081" s="0" t="str">
        <f aca="false">IF(K4081="","",MATCH(K4081,$F$2:$F$5001,0))</f>
        <v/>
      </c>
      <c r="M4081" s="0" t="str">
        <f aca="false">IF(I4081="","",INDEX(הגדרות!$A$2:$A$21,MOD(I4081+הגדרות!$E$9,הגדרות!$E$6)+1))</f>
        <v/>
      </c>
    </row>
    <row r="4082" customFormat="false" ht="15" hidden="false" customHeight="false" outlineLevel="0" collapsed="false">
      <c r="A4082" s="0" t="str">
        <f aca="false">IF('הדבקת לידים'!A4082="","",IF(ISNUMBER('הדבקת לידים'!A4082),IF(הגדרות!$E$2&gt;0,TEXT('הדבקת לידים'!A4082,REPT("0",הגדרות!$E$2)),TEXT('הדבקת לידים'!A4082,"0")),TRIM('הדבקת לידים'!A4082)))</f>
        <v/>
      </c>
      <c r="B4082" s="0" t="str">
        <f aca="false">IF('הדבקת לידים'!B4082="","",IF(ISNUMBER('הדבקת לידים'!B4082),IF(הגדרות!$E$3&gt;0,TEXT('הדבקת לידים'!B4082,REPT("0",הגדרות!$E$3)),TEXT('הדבקת לידים'!B4082,"0")),TRIM('הדבקת לידים'!B4082)))</f>
        <v/>
      </c>
      <c r="C4082" s="0" t="n">
        <f aca="false">IF(OR(A4082&lt;&gt;"",B4082&lt;&gt;""),1,0)</f>
        <v>0</v>
      </c>
      <c r="D4082" s="0" t="str">
        <f aca="false">IF(C4082=1,MOD(ABS(SIN(ROW()*12.9898+'הדבקת לידים'!$F$2*78.233+IFERROR(--RIGHT(A4082,6),LEN(A4082))*0.0137+IFERROR(--RIGHT(B4082,6),LEN(B4082))*0.0071))*43758.5453,1),"")</f>
        <v/>
      </c>
      <c r="E4082" s="0" t="str">
        <f aca="false">IF(C4082=1,INT(MOD(ABS(SIN(D4082*7919.123+ROW()*0.618+'הדבקת לידים'!$F$2*1.3))*43758.5453,1)*1000000)*10000+ROW(),"")</f>
        <v/>
      </c>
      <c r="F4082" s="0" t="str">
        <f aca="false">IF(E4082="","",RANK(E4082,$E$2:$E$5001,1))</f>
        <v/>
      </c>
      <c r="G4082" s="0" t="n">
        <f aca="false">IF(A4082="",0,IF(SUMPRODUCT(--($A$2:$A$5001=A4082))&gt;1,1,0))</f>
        <v>0</v>
      </c>
      <c r="H4082" s="0" t="n">
        <f aca="false">ROW()-1</f>
        <v>4081</v>
      </c>
      <c r="I4082" s="0" t="str">
        <f aca="false">IF(OR(הגדרות!$E$6=0,H4082&gt;הגדרות!$E$5),"",IF(H4082-1&lt;הגדרות!$E$8*(הגדרות!$E$7+1),INT((H4082-1)/(הגדרות!$E$7+1)),הגדרות!$E$8+INT((H4082-1-הגדרות!$E$8*(הגדרות!$E$7+1))/הגדרות!$E$7)))</f>
        <v/>
      </c>
      <c r="J4082" s="0" t="str">
        <f aca="false">IF(I4082="","",IF(H4082-1&lt;הגדרות!$E$8*(הגדרות!$E$7+1),MOD(H4082-1,הגדרות!$E$7+1),MOD(H4082-1-הגדרות!$E$8*(הגדרות!$E$7+1),הגדרות!$E$7)))</f>
        <v/>
      </c>
      <c r="K4082" s="0" t="str">
        <f aca="false">IF(I4082="","",J4082*הגדרות!$E$6+I4082+1)</f>
        <v/>
      </c>
      <c r="L4082" s="0" t="str">
        <f aca="false">IF(K4082="","",MATCH(K4082,$F$2:$F$5001,0))</f>
        <v/>
      </c>
      <c r="M4082" s="0" t="str">
        <f aca="false">IF(I4082="","",INDEX(הגדרות!$A$2:$A$21,MOD(I4082+הגדרות!$E$9,הגדרות!$E$6)+1))</f>
        <v/>
      </c>
    </row>
    <row r="4083" customFormat="false" ht="15" hidden="false" customHeight="false" outlineLevel="0" collapsed="false">
      <c r="A4083" s="0" t="str">
        <f aca="false">IF('הדבקת לידים'!A4083="","",IF(ISNUMBER('הדבקת לידים'!A4083),IF(הגדרות!$E$2&gt;0,TEXT('הדבקת לידים'!A4083,REPT("0",הגדרות!$E$2)),TEXT('הדבקת לידים'!A4083,"0")),TRIM('הדבקת לידים'!A4083)))</f>
        <v/>
      </c>
      <c r="B4083" s="0" t="str">
        <f aca="false">IF('הדבקת לידים'!B4083="","",IF(ISNUMBER('הדבקת לידים'!B4083),IF(הגדרות!$E$3&gt;0,TEXT('הדבקת לידים'!B4083,REPT("0",הגדרות!$E$3)),TEXT('הדבקת לידים'!B4083,"0")),TRIM('הדבקת לידים'!B4083)))</f>
        <v/>
      </c>
      <c r="C4083" s="0" t="n">
        <f aca="false">IF(OR(A4083&lt;&gt;"",B4083&lt;&gt;""),1,0)</f>
        <v>0</v>
      </c>
      <c r="D4083" s="0" t="str">
        <f aca="false">IF(C4083=1,MOD(ABS(SIN(ROW()*12.9898+'הדבקת לידים'!$F$2*78.233+IFERROR(--RIGHT(A4083,6),LEN(A4083))*0.0137+IFERROR(--RIGHT(B4083,6),LEN(B4083))*0.0071))*43758.5453,1),"")</f>
        <v/>
      </c>
      <c r="E4083" s="0" t="str">
        <f aca="false">IF(C4083=1,INT(MOD(ABS(SIN(D4083*7919.123+ROW()*0.618+'הדבקת לידים'!$F$2*1.3))*43758.5453,1)*1000000)*10000+ROW(),"")</f>
        <v/>
      </c>
      <c r="F4083" s="0" t="str">
        <f aca="false">IF(E4083="","",RANK(E4083,$E$2:$E$5001,1))</f>
        <v/>
      </c>
      <c r="G4083" s="0" t="n">
        <f aca="false">IF(A4083="",0,IF(SUMPRODUCT(--($A$2:$A$5001=A4083))&gt;1,1,0))</f>
        <v>0</v>
      </c>
      <c r="H4083" s="0" t="n">
        <f aca="false">ROW()-1</f>
        <v>4082</v>
      </c>
      <c r="I4083" s="0" t="str">
        <f aca="false">IF(OR(הגדרות!$E$6=0,H4083&gt;הגדרות!$E$5),"",IF(H4083-1&lt;הגדרות!$E$8*(הגדרות!$E$7+1),INT((H4083-1)/(הגדרות!$E$7+1)),הגדרות!$E$8+INT((H4083-1-הגדרות!$E$8*(הגדרות!$E$7+1))/הגדרות!$E$7)))</f>
        <v/>
      </c>
      <c r="J4083" s="0" t="str">
        <f aca="false">IF(I4083="","",IF(H4083-1&lt;הגדרות!$E$8*(הגדרות!$E$7+1),MOD(H4083-1,הגדרות!$E$7+1),MOD(H4083-1-הגדרות!$E$8*(הגדרות!$E$7+1),הגדרות!$E$7)))</f>
        <v/>
      </c>
      <c r="K4083" s="0" t="str">
        <f aca="false">IF(I4083="","",J4083*הגדרות!$E$6+I4083+1)</f>
        <v/>
      </c>
      <c r="L4083" s="0" t="str">
        <f aca="false">IF(K4083="","",MATCH(K4083,$F$2:$F$5001,0))</f>
        <v/>
      </c>
      <c r="M4083" s="0" t="str">
        <f aca="false">IF(I4083="","",INDEX(הגדרות!$A$2:$A$21,MOD(I4083+הגדרות!$E$9,הגדרות!$E$6)+1))</f>
        <v/>
      </c>
    </row>
    <row r="4084" customFormat="false" ht="15" hidden="false" customHeight="false" outlineLevel="0" collapsed="false">
      <c r="A4084" s="0" t="str">
        <f aca="false">IF('הדבקת לידים'!A4084="","",IF(ISNUMBER('הדבקת לידים'!A4084),IF(הגדרות!$E$2&gt;0,TEXT('הדבקת לידים'!A4084,REPT("0",הגדרות!$E$2)),TEXT('הדבקת לידים'!A4084,"0")),TRIM('הדבקת לידים'!A4084)))</f>
        <v/>
      </c>
      <c r="B4084" s="0" t="str">
        <f aca="false">IF('הדבקת לידים'!B4084="","",IF(ISNUMBER('הדבקת לידים'!B4084),IF(הגדרות!$E$3&gt;0,TEXT('הדבקת לידים'!B4084,REPT("0",הגדרות!$E$3)),TEXT('הדבקת לידים'!B4084,"0")),TRIM('הדבקת לידים'!B4084)))</f>
        <v/>
      </c>
      <c r="C4084" s="0" t="n">
        <f aca="false">IF(OR(A4084&lt;&gt;"",B4084&lt;&gt;""),1,0)</f>
        <v>0</v>
      </c>
      <c r="D4084" s="0" t="str">
        <f aca="false">IF(C4084=1,MOD(ABS(SIN(ROW()*12.9898+'הדבקת לידים'!$F$2*78.233+IFERROR(--RIGHT(A4084,6),LEN(A4084))*0.0137+IFERROR(--RIGHT(B4084,6),LEN(B4084))*0.0071))*43758.5453,1),"")</f>
        <v/>
      </c>
      <c r="E4084" s="0" t="str">
        <f aca="false">IF(C4084=1,INT(MOD(ABS(SIN(D4084*7919.123+ROW()*0.618+'הדבקת לידים'!$F$2*1.3))*43758.5453,1)*1000000)*10000+ROW(),"")</f>
        <v/>
      </c>
      <c r="F4084" s="0" t="str">
        <f aca="false">IF(E4084="","",RANK(E4084,$E$2:$E$5001,1))</f>
        <v/>
      </c>
      <c r="G4084" s="0" t="n">
        <f aca="false">IF(A4084="",0,IF(SUMPRODUCT(--($A$2:$A$5001=A4084))&gt;1,1,0))</f>
        <v>0</v>
      </c>
      <c r="H4084" s="0" t="n">
        <f aca="false">ROW()-1</f>
        <v>4083</v>
      </c>
      <c r="I4084" s="0" t="str">
        <f aca="false">IF(OR(הגדרות!$E$6=0,H4084&gt;הגדרות!$E$5),"",IF(H4084-1&lt;הגדרות!$E$8*(הגדרות!$E$7+1),INT((H4084-1)/(הגדרות!$E$7+1)),הגדרות!$E$8+INT((H4084-1-הגדרות!$E$8*(הגדרות!$E$7+1))/הגדרות!$E$7)))</f>
        <v/>
      </c>
      <c r="J4084" s="0" t="str">
        <f aca="false">IF(I4084="","",IF(H4084-1&lt;הגדרות!$E$8*(הגדרות!$E$7+1),MOD(H4084-1,הגדרות!$E$7+1),MOD(H4084-1-הגדרות!$E$8*(הגדרות!$E$7+1),הגדרות!$E$7)))</f>
        <v/>
      </c>
      <c r="K4084" s="0" t="str">
        <f aca="false">IF(I4084="","",J4084*הגדרות!$E$6+I4084+1)</f>
        <v/>
      </c>
      <c r="L4084" s="0" t="str">
        <f aca="false">IF(K4084="","",MATCH(K4084,$F$2:$F$5001,0))</f>
        <v/>
      </c>
      <c r="M4084" s="0" t="str">
        <f aca="false">IF(I4084="","",INDEX(הגדרות!$A$2:$A$21,MOD(I4084+הגדרות!$E$9,הגדרות!$E$6)+1))</f>
        <v/>
      </c>
    </row>
    <row r="4085" customFormat="false" ht="15" hidden="false" customHeight="false" outlineLevel="0" collapsed="false">
      <c r="A4085" s="0" t="str">
        <f aca="false">IF('הדבקת לידים'!A4085="","",IF(ISNUMBER('הדבקת לידים'!A4085),IF(הגדרות!$E$2&gt;0,TEXT('הדבקת לידים'!A4085,REPT("0",הגדרות!$E$2)),TEXT('הדבקת לידים'!A4085,"0")),TRIM('הדבקת לידים'!A4085)))</f>
        <v/>
      </c>
      <c r="B4085" s="0" t="str">
        <f aca="false">IF('הדבקת לידים'!B4085="","",IF(ISNUMBER('הדבקת לידים'!B4085),IF(הגדרות!$E$3&gt;0,TEXT('הדבקת לידים'!B4085,REPT("0",הגדרות!$E$3)),TEXT('הדבקת לידים'!B4085,"0")),TRIM('הדבקת לידים'!B4085)))</f>
        <v/>
      </c>
      <c r="C4085" s="0" t="n">
        <f aca="false">IF(OR(A4085&lt;&gt;"",B4085&lt;&gt;""),1,0)</f>
        <v>0</v>
      </c>
      <c r="D4085" s="0" t="str">
        <f aca="false">IF(C4085=1,MOD(ABS(SIN(ROW()*12.9898+'הדבקת לידים'!$F$2*78.233+IFERROR(--RIGHT(A4085,6),LEN(A4085))*0.0137+IFERROR(--RIGHT(B4085,6),LEN(B4085))*0.0071))*43758.5453,1),"")</f>
        <v/>
      </c>
      <c r="E4085" s="0" t="str">
        <f aca="false">IF(C4085=1,INT(MOD(ABS(SIN(D4085*7919.123+ROW()*0.618+'הדבקת לידים'!$F$2*1.3))*43758.5453,1)*1000000)*10000+ROW(),"")</f>
        <v/>
      </c>
      <c r="F4085" s="0" t="str">
        <f aca="false">IF(E4085="","",RANK(E4085,$E$2:$E$5001,1))</f>
        <v/>
      </c>
      <c r="G4085" s="0" t="n">
        <f aca="false">IF(A4085="",0,IF(SUMPRODUCT(--($A$2:$A$5001=A4085))&gt;1,1,0))</f>
        <v>0</v>
      </c>
      <c r="H4085" s="0" t="n">
        <f aca="false">ROW()-1</f>
        <v>4084</v>
      </c>
      <c r="I4085" s="0" t="str">
        <f aca="false">IF(OR(הגדרות!$E$6=0,H4085&gt;הגדרות!$E$5),"",IF(H4085-1&lt;הגדרות!$E$8*(הגדרות!$E$7+1),INT((H4085-1)/(הגדרות!$E$7+1)),הגדרות!$E$8+INT((H4085-1-הגדרות!$E$8*(הגדרות!$E$7+1))/הגדרות!$E$7)))</f>
        <v/>
      </c>
      <c r="J4085" s="0" t="str">
        <f aca="false">IF(I4085="","",IF(H4085-1&lt;הגדרות!$E$8*(הגדרות!$E$7+1),MOD(H4085-1,הגדרות!$E$7+1),MOD(H4085-1-הגדרות!$E$8*(הגדרות!$E$7+1),הגדרות!$E$7)))</f>
        <v/>
      </c>
      <c r="K4085" s="0" t="str">
        <f aca="false">IF(I4085="","",J4085*הגדרות!$E$6+I4085+1)</f>
        <v/>
      </c>
      <c r="L4085" s="0" t="str">
        <f aca="false">IF(K4085="","",MATCH(K4085,$F$2:$F$5001,0))</f>
        <v/>
      </c>
      <c r="M4085" s="0" t="str">
        <f aca="false">IF(I4085="","",INDEX(הגדרות!$A$2:$A$21,MOD(I4085+הגדרות!$E$9,הגדרות!$E$6)+1))</f>
        <v/>
      </c>
    </row>
    <row r="4086" customFormat="false" ht="15" hidden="false" customHeight="false" outlineLevel="0" collapsed="false">
      <c r="A4086" s="0" t="str">
        <f aca="false">IF('הדבקת לידים'!A4086="","",IF(ISNUMBER('הדבקת לידים'!A4086),IF(הגדרות!$E$2&gt;0,TEXT('הדבקת לידים'!A4086,REPT("0",הגדרות!$E$2)),TEXT('הדבקת לידים'!A4086,"0")),TRIM('הדבקת לידים'!A4086)))</f>
        <v/>
      </c>
      <c r="B4086" s="0" t="str">
        <f aca="false">IF('הדבקת לידים'!B4086="","",IF(ISNUMBER('הדבקת לידים'!B4086),IF(הגדרות!$E$3&gt;0,TEXT('הדבקת לידים'!B4086,REPT("0",הגדרות!$E$3)),TEXT('הדבקת לידים'!B4086,"0")),TRIM('הדבקת לידים'!B4086)))</f>
        <v/>
      </c>
      <c r="C4086" s="0" t="n">
        <f aca="false">IF(OR(A4086&lt;&gt;"",B4086&lt;&gt;""),1,0)</f>
        <v>0</v>
      </c>
      <c r="D4086" s="0" t="str">
        <f aca="false">IF(C4086=1,MOD(ABS(SIN(ROW()*12.9898+'הדבקת לידים'!$F$2*78.233+IFERROR(--RIGHT(A4086,6),LEN(A4086))*0.0137+IFERROR(--RIGHT(B4086,6),LEN(B4086))*0.0071))*43758.5453,1),"")</f>
        <v/>
      </c>
      <c r="E4086" s="0" t="str">
        <f aca="false">IF(C4086=1,INT(MOD(ABS(SIN(D4086*7919.123+ROW()*0.618+'הדבקת לידים'!$F$2*1.3))*43758.5453,1)*1000000)*10000+ROW(),"")</f>
        <v/>
      </c>
      <c r="F4086" s="0" t="str">
        <f aca="false">IF(E4086="","",RANK(E4086,$E$2:$E$5001,1))</f>
        <v/>
      </c>
      <c r="G4086" s="0" t="n">
        <f aca="false">IF(A4086="",0,IF(SUMPRODUCT(--($A$2:$A$5001=A4086))&gt;1,1,0))</f>
        <v>0</v>
      </c>
      <c r="H4086" s="0" t="n">
        <f aca="false">ROW()-1</f>
        <v>4085</v>
      </c>
      <c r="I4086" s="0" t="str">
        <f aca="false">IF(OR(הגדרות!$E$6=0,H4086&gt;הגדרות!$E$5),"",IF(H4086-1&lt;הגדרות!$E$8*(הגדרות!$E$7+1),INT((H4086-1)/(הגדרות!$E$7+1)),הגדרות!$E$8+INT((H4086-1-הגדרות!$E$8*(הגדרות!$E$7+1))/הגדרות!$E$7)))</f>
        <v/>
      </c>
      <c r="J4086" s="0" t="str">
        <f aca="false">IF(I4086="","",IF(H4086-1&lt;הגדרות!$E$8*(הגדרות!$E$7+1),MOD(H4086-1,הגדרות!$E$7+1),MOD(H4086-1-הגדרות!$E$8*(הגדרות!$E$7+1),הגדרות!$E$7)))</f>
        <v/>
      </c>
      <c r="K4086" s="0" t="str">
        <f aca="false">IF(I4086="","",J4086*הגדרות!$E$6+I4086+1)</f>
        <v/>
      </c>
      <c r="L4086" s="0" t="str">
        <f aca="false">IF(K4086="","",MATCH(K4086,$F$2:$F$5001,0))</f>
        <v/>
      </c>
      <c r="M4086" s="0" t="str">
        <f aca="false">IF(I4086="","",INDEX(הגדרות!$A$2:$A$21,MOD(I4086+הגדרות!$E$9,הגדרות!$E$6)+1))</f>
        <v/>
      </c>
    </row>
    <row r="4087" customFormat="false" ht="15" hidden="false" customHeight="false" outlineLevel="0" collapsed="false">
      <c r="A4087" s="0" t="str">
        <f aca="false">IF('הדבקת לידים'!A4087="","",IF(ISNUMBER('הדבקת לידים'!A4087),IF(הגדרות!$E$2&gt;0,TEXT('הדבקת לידים'!A4087,REPT("0",הגדרות!$E$2)),TEXT('הדבקת לידים'!A4087,"0")),TRIM('הדבקת לידים'!A4087)))</f>
        <v/>
      </c>
      <c r="B4087" s="0" t="str">
        <f aca="false">IF('הדבקת לידים'!B4087="","",IF(ISNUMBER('הדבקת לידים'!B4087),IF(הגדרות!$E$3&gt;0,TEXT('הדבקת לידים'!B4087,REPT("0",הגדרות!$E$3)),TEXT('הדבקת לידים'!B4087,"0")),TRIM('הדבקת לידים'!B4087)))</f>
        <v/>
      </c>
      <c r="C4087" s="0" t="n">
        <f aca="false">IF(OR(A4087&lt;&gt;"",B4087&lt;&gt;""),1,0)</f>
        <v>0</v>
      </c>
      <c r="D4087" s="0" t="str">
        <f aca="false">IF(C4087=1,MOD(ABS(SIN(ROW()*12.9898+'הדבקת לידים'!$F$2*78.233+IFERROR(--RIGHT(A4087,6),LEN(A4087))*0.0137+IFERROR(--RIGHT(B4087,6),LEN(B4087))*0.0071))*43758.5453,1),"")</f>
        <v/>
      </c>
      <c r="E4087" s="0" t="str">
        <f aca="false">IF(C4087=1,INT(MOD(ABS(SIN(D4087*7919.123+ROW()*0.618+'הדבקת לידים'!$F$2*1.3))*43758.5453,1)*1000000)*10000+ROW(),"")</f>
        <v/>
      </c>
      <c r="F4087" s="0" t="str">
        <f aca="false">IF(E4087="","",RANK(E4087,$E$2:$E$5001,1))</f>
        <v/>
      </c>
      <c r="G4087" s="0" t="n">
        <f aca="false">IF(A4087="",0,IF(SUMPRODUCT(--($A$2:$A$5001=A4087))&gt;1,1,0))</f>
        <v>0</v>
      </c>
      <c r="H4087" s="0" t="n">
        <f aca="false">ROW()-1</f>
        <v>4086</v>
      </c>
      <c r="I4087" s="0" t="str">
        <f aca="false">IF(OR(הגדרות!$E$6=0,H4087&gt;הגדרות!$E$5),"",IF(H4087-1&lt;הגדרות!$E$8*(הגדרות!$E$7+1),INT((H4087-1)/(הגדרות!$E$7+1)),הגדרות!$E$8+INT((H4087-1-הגדרות!$E$8*(הגדרות!$E$7+1))/הגדרות!$E$7)))</f>
        <v/>
      </c>
      <c r="J4087" s="0" t="str">
        <f aca="false">IF(I4087="","",IF(H4087-1&lt;הגדרות!$E$8*(הגדרות!$E$7+1),MOD(H4087-1,הגדרות!$E$7+1),MOD(H4087-1-הגדרות!$E$8*(הגדרות!$E$7+1),הגדרות!$E$7)))</f>
        <v/>
      </c>
      <c r="K4087" s="0" t="str">
        <f aca="false">IF(I4087="","",J4087*הגדרות!$E$6+I4087+1)</f>
        <v/>
      </c>
      <c r="L4087" s="0" t="str">
        <f aca="false">IF(K4087="","",MATCH(K4087,$F$2:$F$5001,0))</f>
        <v/>
      </c>
      <c r="M4087" s="0" t="str">
        <f aca="false">IF(I4087="","",INDEX(הגדרות!$A$2:$A$21,MOD(I4087+הגדרות!$E$9,הגדרות!$E$6)+1))</f>
        <v/>
      </c>
    </row>
    <row r="4088" customFormat="false" ht="15" hidden="false" customHeight="false" outlineLevel="0" collapsed="false">
      <c r="A4088" s="0" t="str">
        <f aca="false">IF('הדבקת לידים'!A4088="","",IF(ISNUMBER('הדבקת לידים'!A4088),IF(הגדרות!$E$2&gt;0,TEXT('הדבקת לידים'!A4088,REPT("0",הגדרות!$E$2)),TEXT('הדבקת לידים'!A4088,"0")),TRIM('הדבקת לידים'!A4088)))</f>
        <v/>
      </c>
      <c r="B4088" s="0" t="str">
        <f aca="false">IF('הדבקת לידים'!B4088="","",IF(ISNUMBER('הדבקת לידים'!B4088),IF(הגדרות!$E$3&gt;0,TEXT('הדבקת לידים'!B4088,REPT("0",הגדרות!$E$3)),TEXT('הדבקת לידים'!B4088,"0")),TRIM('הדבקת לידים'!B4088)))</f>
        <v/>
      </c>
      <c r="C4088" s="0" t="n">
        <f aca="false">IF(OR(A4088&lt;&gt;"",B4088&lt;&gt;""),1,0)</f>
        <v>0</v>
      </c>
      <c r="D4088" s="0" t="str">
        <f aca="false">IF(C4088=1,MOD(ABS(SIN(ROW()*12.9898+'הדבקת לידים'!$F$2*78.233+IFERROR(--RIGHT(A4088,6),LEN(A4088))*0.0137+IFERROR(--RIGHT(B4088,6),LEN(B4088))*0.0071))*43758.5453,1),"")</f>
        <v/>
      </c>
      <c r="E4088" s="0" t="str">
        <f aca="false">IF(C4088=1,INT(MOD(ABS(SIN(D4088*7919.123+ROW()*0.618+'הדבקת לידים'!$F$2*1.3))*43758.5453,1)*1000000)*10000+ROW(),"")</f>
        <v/>
      </c>
      <c r="F4088" s="0" t="str">
        <f aca="false">IF(E4088="","",RANK(E4088,$E$2:$E$5001,1))</f>
        <v/>
      </c>
      <c r="G4088" s="0" t="n">
        <f aca="false">IF(A4088="",0,IF(SUMPRODUCT(--($A$2:$A$5001=A4088))&gt;1,1,0))</f>
        <v>0</v>
      </c>
      <c r="H4088" s="0" t="n">
        <f aca="false">ROW()-1</f>
        <v>4087</v>
      </c>
      <c r="I4088" s="0" t="str">
        <f aca="false">IF(OR(הגדרות!$E$6=0,H4088&gt;הגדרות!$E$5),"",IF(H4088-1&lt;הגדרות!$E$8*(הגדרות!$E$7+1),INT((H4088-1)/(הגדרות!$E$7+1)),הגדרות!$E$8+INT((H4088-1-הגדרות!$E$8*(הגדרות!$E$7+1))/הגדרות!$E$7)))</f>
        <v/>
      </c>
      <c r="J4088" s="0" t="str">
        <f aca="false">IF(I4088="","",IF(H4088-1&lt;הגדרות!$E$8*(הגדרות!$E$7+1),MOD(H4088-1,הגדרות!$E$7+1),MOD(H4088-1-הגדרות!$E$8*(הגדרות!$E$7+1),הגדרות!$E$7)))</f>
        <v/>
      </c>
      <c r="K4088" s="0" t="str">
        <f aca="false">IF(I4088="","",J4088*הגדרות!$E$6+I4088+1)</f>
        <v/>
      </c>
      <c r="L4088" s="0" t="str">
        <f aca="false">IF(K4088="","",MATCH(K4088,$F$2:$F$5001,0))</f>
        <v/>
      </c>
      <c r="M4088" s="0" t="str">
        <f aca="false">IF(I4088="","",INDEX(הגדרות!$A$2:$A$21,MOD(I4088+הגדרות!$E$9,הגדרות!$E$6)+1))</f>
        <v/>
      </c>
    </row>
    <row r="4089" customFormat="false" ht="15" hidden="false" customHeight="false" outlineLevel="0" collapsed="false">
      <c r="A4089" s="0" t="str">
        <f aca="false">IF('הדבקת לידים'!A4089="","",IF(ISNUMBER('הדבקת לידים'!A4089),IF(הגדרות!$E$2&gt;0,TEXT('הדבקת לידים'!A4089,REPT("0",הגדרות!$E$2)),TEXT('הדבקת לידים'!A4089,"0")),TRIM('הדבקת לידים'!A4089)))</f>
        <v/>
      </c>
      <c r="B4089" s="0" t="str">
        <f aca="false">IF('הדבקת לידים'!B4089="","",IF(ISNUMBER('הדבקת לידים'!B4089),IF(הגדרות!$E$3&gt;0,TEXT('הדבקת לידים'!B4089,REPT("0",הגדרות!$E$3)),TEXT('הדבקת לידים'!B4089,"0")),TRIM('הדבקת לידים'!B4089)))</f>
        <v/>
      </c>
      <c r="C4089" s="0" t="n">
        <f aca="false">IF(OR(A4089&lt;&gt;"",B4089&lt;&gt;""),1,0)</f>
        <v>0</v>
      </c>
      <c r="D4089" s="0" t="str">
        <f aca="false">IF(C4089=1,MOD(ABS(SIN(ROW()*12.9898+'הדבקת לידים'!$F$2*78.233+IFERROR(--RIGHT(A4089,6),LEN(A4089))*0.0137+IFERROR(--RIGHT(B4089,6),LEN(B4089))*0.0071))*43758.5453,1),"")</f>
        <v/>
      </c>
      <c r="E4089" s="0" t="str">
        <f aca="false">IF(C4089=1,INT(MOD(ABS(SIN(D4089*7919.123+ROW()*0.618+'הדבקת לידים'!$F$2*1.3))*43758.5453,1)*1000000)*10000+ROW(),"")</f>
        <v/>
      </c>
      <c r="F4089" s="0" t="str">
        <f aca="false">IF(E4089="","",RANK(E4089,$E$2:$E$5001,1))</f>
        <v/>
      </c>
      <c r="G4089" s="0" t="n">
        <f aca="false">IF(A4089="",0,IF(SUMPRODUCT(--($A$2:$A$5001=A4089))&gt;1,1,0))</f>
        <v>0</v>
      </c>
      <c r="H4089" s="0" t="n">
        <f aca="false">ROW()-1</f>
        <v>4088</v>
      </c>
      <c r="I4089" s="0" t="str">
        <f aca="false">IF(OR(הגדרות!$E$6=0,H4089&gt;הגדרות!$E$5),"",IF(H4089-1&lt;הגדרות!$E$8*(הגדרות!$E$7+1),INT((H4089-1)/(הגדרות!$E$7+1)),הגדרות!$E$8+INT((H4089-1-הגדרות!$E$8*(הגדרות!$E$7+1))/הגדרות!$E$7)))</f>
        <v/>
      </c>
      <c r="J4089" s="0" t="str">
        <f aca="false">IF(I4089="","",IF(H4089-1&lt;הגדרות!$E$8*(הגדרות!$E$7+1),MOD(H4089-1,הגדרות!$E$7+1),MOD(H4089-1-הגדרות!$E$8*(הגדרות!$E$7+1),הגדרות!$E$7)))</f>
        <v/>
      </c>
      <c r="K4089" s="0" t="str">
        <f aca="false">IF(I4089="","",J4089*הגדרות!$E$6+I4089+1)</f>
        <v/>
      </c>
      <c r="L4089" s="0" t="str">
        <f aca="false">IF(K4089="","",MATCH(K4089,$F$2:$F$5001,0))</f>
        <v/>
      </c>
      <c r="M4089" s="0" t="str">
        <f aca="false">IF(I4089="","",INDEX(הגדרות!$A$2:$A$21,MOD(I4089+הגדרות!$E$9,הגדרות!$E$6)+1))</f>
        <v/>
      </c>
    </row>
    <row r="4090" customFormat="false" ht="15" hidden="false" customHeight="false" outlineLevel="0" collapsed="false">
      <c r="A4090" s="0" t="str">
        <f aca="false">IF('הדבקת לידים'!A4090="","",IF(ISNUMBER('הדבקת לידים'!A4090),IF(הגדרות!$E$2&gt;0,TEXT('הדבקת לידים'!A4090,REPT("0",הגדרות!$E$2)),TEXT('הדבקת לידים'!A4090,"0")),TRIM('הדבקת לידים'!A4090)))</f>
        <v/>
      </c>
      <c r="B4090" s="0" t="str">
        <f aca="false">IF('הדבקת לידים'!B4090="","",IF(ISNUMBER('הדבקת לידים'!B4090),IF(הגדרות!$E$3&gt;0,TEXT('הדבקת לידים'!B4090,REPT("0",הגדרות!$E$3)),TEXT('הדבקת לידים'!B4090,"0")),TRIM('הדבקת לידים'!B4090)))</f>
        <v/>
      </c>
      <c r="C4090" s="0" t="n">
        <f aca="false">IF(OR(A4090&lt;&gt;"",B4090&lt;&gt;""),1,0)</f>
        <v>0</v>
      </c>
      <c r="D4090" s="0" t="str">
        <f aca="false">IF(C4090=1,MOD(ABS(SIN(ROW()*12.9898+'הדבקת לידים'!$F$2*78.233+IFERROR(--RIGHT(A4090,6),LEN(A4090))*0.0137+IFERROR(--RIGHT(B4090,6),LEN(B4090))*0.0071))*43758.5453,1),"")</f>
        <v/>
      </c>
      <c r="E4090" s="0" t="str">
        <f aca="false">IF(C4090=1,INT(MOD(ABS(SIN(D4090*7919.123+ROW()*0.618+'הדבקת לידים'!$F$2*1.3))*43758.5453,1)*1000000)*10000+ROW(),"")</f>
        <v/>
      </c>
      <c r="F4090" s="0" t="str">
        <f aca="false">IF(E4090="","",RANK(E4090,$E$2:$E$5001,1))</f>
        <v/>
      </c>
      <c r="G4090" s="0" t="n">
        <f aca="false">IF(A4090="",0,IF(SUMPRODUCT(--($A$2:$A$5001=A4090))&gt;1,1,0))</f>
        <v>0</v>
      </c>
      <c r="H4090" s="0" t="n">
        <f aca="false">ROW()-1</f>
        <v>4089</v>
      </c>
      <c r="I4090" s="0" t="str">
        <f aca="false">IF(OR(הגדרות!$E$6=0,H4090&gt;הגדרות!$E$5),"",IF(H4090-1&lt;הגדרות!$E$8*(הגדרות!$E$7+1),INT((H4090-1)/(הגדרות!$E$7+1)),הגדרות!$E$8+INT((H4090-1-הגדרות!$E$8*(הגדרות!$E$7+1))/הגדרות!$E$7)))</f>
        <v/>
      </c>
      <c r="J4090" s="0" t="str">
        <f aca="false">IF(I4090="","",IF(H4090-1&lt;הגדרות!$E$8*(הגדרות!$E$7+1),MOD(H4090-1,הגדרות!$E$7+1),MOD(H4090-1-הגדרות!$E$8*(הגדרות!$E$7+1),הגדרות!$E$7)))</f>
        <v/>
      </c>
      <c r="K4090" s="0" t="str">
        <f aca="false">IF(I4090="","",J4090*הגדרות!$E$6+I4090+1)</f>
        <v/>
      </c>
      <c r="L4090" s="0" t="str">
        <f aca="false">IF(K4090="","",MATCH(K4090,$F$2:$F$5001,0))</f>
        <v/>
      </c>
      <c r="M4090" s="0" t="str">
        <f aca="false">IF(I4090="","",INDEX(הגדרות!$A$2:$A$21,MOD(I4090+הגדרות!$E$9,הגדרות!$E$6)+1))</f>
        <v/>
      </c>
    </row>
    <row r="4091" customFormat="false" ht="15" hidden="false" customHeight="false" outlineLevel="0" collapsed="false">
      <c r="A4091" s="0" t="str">
        <f aca="false">IF('הדבקת לידים'!A4091="","",IF(ISNUMBER('הדבקת לידים'!A4091),IF(הגדרות!$E$2&gt;0,TEXT('הדבקת לידים'!A4091,REPT("0",הגדרות!$E$2)),TEXT('הדבקת לידים'!A4091,"0")),TRIM('הדבקת לידים'!A4091)))</f>
        <v/>
      </c>
      <c r="B4091" s="0" t="str">
        <f aca="false">IF('הדבקת לידים'!B4091="","",IF(ISNUMBER('הדבקת לידים'!B4091),IF(הגדרות!$E$3&gt;0,TEXT('הדבקת לידים'!B4091,REPT("0",הגדרות!$E$3)),TEXT('הדבקת לידים'!B4091,"0")),TRIM('הדבקת לידים'!B4091)))</f>
        <v/>
      </c>
      <c r="C4091" s="0" t="n">
        <f aca="false">IF(OR(A4091&lt;&gt;"",B4091&lt;&gt;""),1,0)</f>
        <v>0</v>
      </c>
      <c r="D4091" s="0" t="str">
        <f aca="false">IF(C4091=1,MOD(ABS(SIN(ROW()*12.9898+'הדבקת לידים'!$F$2*78.233+IFERROR(--RIGHT(A4091,6),LEN(A4091))*0.0137+IFERROR(--RIGHT(B4091,6),LEN(B4091))*0.0071))*43758.5453,1),"")</f>
        <v/>
      </c>
      <c r="E4091" s="0" t="str">
        <f aca="false">IF(C4091=1,INT(MOD(ABS(SIN(D4091*7919.123+ROW()*0.618+'הדבקת לידים'!$F$2*1.3))*43758.5453,1)*1000000)*10000+ROW(),"")</f>
        <v/>
      </c>
      <c r="F4091" s="0" t="str">
        <f aca="false">IF(E4091="","",RANK(E4091,$E$2:$E$5001,1))</f>
        <v/>
      </c>
      <c r="G4091" s="0" t="n">
        <f aca="false">IF(A4091="",0,IF(SUMPRODUCT(--($A$2:$A$5001=A4091))&gt;1,1,0))</f>
        <v>0</v>
      </c>
      <c r="H4091" s="0" t="n">
        <f aca="false">ROW()-1</f>
        <v>4090</v>
      </c>
      <c r="I4091" s="0" t="str">
        <f aca="false">IF(OR(הגדרות!$E$6=0,H4091&gt;הגדרות!$E$5),"",IF(H4091-1&lt;הגדרות!$E$8*(הגדרות!$E$7+1),INT((H4091-1)/(הגדרות!$E$7+1)),הגדרות!$E$8+INT((H4091-1-הגדרות!$E$8*(הגדרות!$E$7+1))/הגדרות!$E$7)))</f>
        <v/>
      </c>
      <c r="J4091" s="0" t="str">
        <f aca="false">IF(I4091="","",IF(H4091-1&lt;הגדרות!$E$8*(הגדרות!$E$7+1),MOD(H4091-1,הגדרות!$E$7+1),MOD(H4091-1-הגדרות!$E$8*(הגדרות!$E$7+1),הגדרות!$E$7)))</f>
        <v/>
      </c>
      <c r="K4091" s="0" t="str">
        <f aca="false">IF(I4091="","",J4091*הגדרות!$E$6+I4091+1)</f>
        <v/>
      </c>
      <c r="L4091" s="0" t="str">
        <f aca="false">IF(K4091="","",MATCH(K4091,$F$2:$F$5001,0))</f>
        <v/>
      </c>
      <c r="M4091" s="0" t="str">
        <f aca="false">IF(I4091="","",INDEX(הגדרות!$A$2:$A$21,MOD(I4091+הגדרות!$E$9,הגדרות!$E$6)+1))</f>
        <v/>
      </c>
    </row>
    <row r="4092" customFormat="false" ht="15" hidden="false" customHeight="false" outlineLevel="0" collapsed="false">
      <c r="A4092" s="0" t="str">
        <f aca="false">IF('הדבקת לידים'!A4092="","",IF(ISNUMBER('הדבקת לידים'!A4092),IF(הגדרות!$E$2&gt;0,TEXT('הדבקת לידים'!A4092,REPT("0",הגדרות!$E$2)),TEXT('הדבקת לידים'!A4092,"0")),TRIM('הדבקת לידים'!A4092)))</f>
        <v/>
      </c>
      <c r="B4092" s="0" t="str">
        <f aca="false">IF('הדבקת לידים'!B4092="","",IF(ISNUMBER('הדבקת לידים'!B4092),IF(הגדרות!$E$3&gt;0,TEXT('הדבקת לידים'!B4092,REPT("0",הגדרות!$E$3)),TEXT('הדבקת לידים'!B4092,"0")),TRIM('הדבקת לידים'!B4092)))</f>
        <v/>
      </c>
      <c r="C4092" s="0" t="n">
        <f aca="false">IF(OR(A4092&lt;&gt;"",B4092&lt;&gt;""),1,0)</f>
        <v>0</v>
      </c>
      <c r="D4092" s="0" t="str">
        <f aca="false">IF(C4092=1,MOD(ABS(SIN(ROW()*12.9898+'הדבקת לידים'!$F$2*78.233+IFERROR(--RIGHT(A4092,6),LEN(A4092))*0.0137+IFERROR(--RIGHT(B4092,6),LEN(B4092))*0.0071))*43758.5453,1),"")</f>
        <v/>
      </c>
      <c r="E4092" s="0" t="str">
        <f aca="false">IF(C4092=1,INT(MOD(ABS(SIN(D4092*7919.123+ROW()*0.618+'הדבקת לידים'!$F$2*1.3))*43758.5453,1)*1000000)*10000+ROW(),"")</f>
        <v/>
      </c>
      <c r="F4092" s="0" t="str">
        <f aca="false">IF(E4092="","",RANK(E4092,$E$2:$E$5001,1))</f>
        <v/>
      </c>
      <c r="G4092" s="0" t="n">
        <f aca="false">IF(A4092="",0,IF(SUMPRODUCT(--($A$2:$A$5001=A4092))&gt;1,1,0))</f>
        <v>0</v>
      </c>
      <c r="H4092" s="0" t="n">
        <f aca="false">ROW()-1</f>
        <v>4091</v>
      </c>
      <c r="I4092" s="0" t="str">
        <f aca="false">IF(OR(הגדרות!$E$6=0,H4092&gt;הגדרות!$E$5),"",IF(H4092-1&lt;הגדרות!$E$8*(הגדרות!$E$7+1),INT((H4092-1)/(הגדרות!$E$7+1)),הגדרות!$E$8+INT((H4092-1-הגדרות!$E$8*(הגדרות!$E$7+1))/הגדרות!$E$7)))</f>
        <v/>
      </c>
      <c r="J4092" s="0" t="str">
        <f aca="false">IF(I4092="","",IF(H4092-1&lt;הגדרות!$E$8*(הגדרות!$E$7+1),MOD(H4092-1,הגדרות!$E$7+1),MOD(H4092-1-הגדרות!$E$8*(הגדרות!$E$7+1),הגדרות!$E$7)))</f>
        <v/>
      </c>
      <c r="K4092" s="0" t="str">
        <f aca="false">IF(I4092="","",J4092*הגדרות!$E$6+I4092+1)</f>
        <v/>
      </c>
      <c r="L4092" s="0" t="str">
        <f aca="false">IF(K4092="","",MATCH(K4092,$F$2:$F$5001,0))</f>
        <v/>
      </c>
      <c r="M4092" s="0" t="str">
        <f aca="false">IF(I4092="","",INDEX(הגדרות!$A$2:$A$21,MOD(I4092+הגדרות!$E$9,הגדרות!$E$6)+1))</f>
        <v/>
      </c>
    </row>
    <row r="4093" customFormat="false" ht="15" hidden="false" customHeight="false" outlineLevel="0" collapsed="false">
      <c r="A4093" s="0" t="str">
        <f aca="false">IF('הדבקת לידים'!A4093="","",IF(ISNUMBER('הדבקת לידים'!A4093),IF(הגדרות!$E$2&gt;0,TEXT('הדבקת לידים'!A4093,REPT("0",הגדרות!$E$2)),TEXT('הדבקת לידים'!A4093,"0")),TRIM('הדבקת לידים'!A4093)))</f>
        <v/>
      </c>
      <c r="B4093" s="0" t="str">
        <f aca="false">IF('הדבקת לידים'!B4093="","",IF(ISNUMBER('הדבקת לידים'!B4093),IF(הגדרות!$E$3&gt;0,TEXT('הדבקת לידים'!B4093,REPT("0",הגדרות!$E$3)),TEXT('הדבקת לידים'!B4093,"0")),TRIM('הדבקת לידים'!B4093)))</f>
        <v/>
      </c>
      <c r="C4093" s="0" t="n">
        <f aca="false">IF(OR(A4093&lt;&gt;"",B4093&lt;&gt;""),1,0)</f>
        <v>0</v>
      </c>
      <c r="D4093" s="0" t="str">
        <f aca="false">IF(C4093=1,MOD(ABS(SIN(ROW()*12.9898+'הדבקת לידים'!$F$2*78.233+IFERROR(--RIGHT(A4093,6),LEN(A4093))*0.0137+IFERROR(--RIGHT(B4093,6),LEN(B4093))*0.0071))*43758.5453,1),"")</f>
        <v/>
      </c>
      <c r="E4093" s="0" t="str">
        <f aca="false">IF(C4093=1,INT(MOD(ABS(SIN(D4093*7919.123+ROW()*0.618+'הדבקת לידים'!$F$2*1.3))*43758.5453,1)*1000000)*10000+ROW(),"")</f>
        <v/>
      </c>
      <c r="F4093" s="0" t="str">
        <f aca="false">IF(E4093="","",RANK(E4093,$E$2:$E$5001,1))</f>
        <v/>
      </c>
      <c r="G4093" s="0" t="n">
        <f aca="false">IF(A4093="",0,IF(SUMPRODUCT(--($A$2:$A$5001=A4093))&gt;1,1,0))</f>
        <v>0</v>
      </c>
      <c r="H4093" s="0" t="n">
        <f aca="false">ROW()-1</f>
        <v>4092</v>
      </c>
      <c r="I4093" s="0" t="str">
        <f aca="false">IF(OR(הגדרות!$E$6=0,H4093&gt;הגדרות!$E$5),"",IF(H4093-1&lt;הגדרות!$E$8*(הגדרות!$E$7+1),INT((H4093-1)/(הגדרות!$E$7+1)),הגדרות!$E$8+INT((H4093-1-הגדרות!$E$8*(הגדרות!$E$7+1))/הגדרות!$E$7)))</f>
        <v/>
      </c>
      <c r="J4093" s="0" t="str">
        <f aca="false">IF(I4093="","",IF(H4093-1&lt;הגדרות!$E$8*(הגדרות!$E$7+1),MOD(H4093-1,הגדרות!$E$7+1),MOD(H4093-1-הגדרות!$E$8*(הגדרות!$E$7+1),הגדרות!$E$7)))</f>
        <v/>
      </c>
      <c r="K4093" s="0" t="str">
        <f aca="false">IF(I4093="","",J4093*הגדרות!$E$6+I4093+1)</f>
        <v/>
      </c>
      <c r="L4093" s="0" t="str">
        <f aca="false">IF(K4093="","",MATCH(K4093,$F$2:$F$5001,0))</f>
        <v/>
      </c>
      <c r="M4093" s="0" t="str">
        <f aca="false">IF(I4093="","",INDEX(הגדרות!$A$2:$A$21,MOD(I4093+הגדרות!$E$9,הגדרות!$E$6)+1))</f>
        <v/>
      </c>
    </row>
    <row r="4094" customFormat="false" ht="15" hidden="false" customHeight="false" outlineLevel="0" collapsed="false">
      <c r="A4094" s="0" t="str">
        <f aca="false">IF('הדבקת לידים'!A4094="","",IF(ISNUMBER('הדבקת לידים'!A4094),IF(הגדרות!$E$2&gt;0,TEXT('הדבקת לידים'!A4094,REPT("0",הגדרות!$E$2)),TEXT('הדבקת לידים'!A4094,"0")),TRIM('הדבקת לידים'!A4094)))</f>
        <v/>
      </c>
      <c r="B4094" s="0" t="str">
        <f aca="false">IF('הדבקת לידים'!B4094="","",IF(ISNUMBER('הדבקת לידים'!B4094),IF(הגדרות!$E$3&gt;0,TEXT('הדבקת לידים'!B4094,REPT("0",הגדרות!$E$3)),TEXT('הדבקת לידים'!B4094,"0")),TRIM('הדבקת לידים'!B4094)))</f>
        <v/>
      </c>
      <c r="C4094" s="0" t="n">
        <f aca="false">IF(OR(A4094&lt;&gt;"",B4094&lt;&gt;""),1,0)</f>
        <v>0</v>
      </c>
      <c r="D4094" s="0" t="str">
        <f aca="false">IF(C4094=1,MOD(ABS(SIN(ROW()*12.9898+'הדבקת לידים'!$F$2*78.233+IFERROR(--RIGHT(A4094,6),LEN(A4094))*0.0137+IFERROR(--RIGHT(B4094,6),LEN(B4094))*0.0071))*43758.5453,1),"")</f>
        <v/>
      </c>
      <c r="E4094" s="0" t="str">
        <f aca="false">IF(C4094=1,INT(MOD(ABS(SIN(D4094*7919.123+ROW()*0.618+'הדבקת לידים'!$F$2*1.3))*43758.5453,1)*1000000)*10000+ROW(),"")</f>
        <v/>
      </c>
      <c r="F4094" s="0" t="str">
        <f aca="false">IF(E4094="","",RANK(E4094,$E$2:$E$5001,1))</f>
        <v/>
      </c>
      <c r="G4094" s="0" t="n">
        <f aca="false">IF(A4094="",0,IF(SUMPRODUCT(--($A$2:$A$5001=A4094))&gt;1,1,0))</f>
        <v>0</v>
      </c>
      <c r="H4094" s="0" t="n">
        <f aca="false">ROW()-1</f>
        <v>4093</v>
      </c>
      <c r="I4094" s="0" t="str">
        <f aca="false">IF(OR(הגדרות!$E$6=0,H4094&gt;הגדרות!$E$5),"",IF(H4094-1&lt;הגדרות!$E$8*(הגדרות!$E$7+1),INT((H4094-1)/(הגדרות!$E$7+1)),הגדרות!$E$8+INT((H4094-1-הגדרות!$E$8*(הגדרות!$E$7+1))/הגדרות!$E$7)))</f>
        <v/>
      </c>
      <c r="J4094" s="0" t="str">
        <f aca="false">IF(I4094="","",IF(H4094-1&lt;הגדרות!$E$8*(הגדרות!$E$7+1),MOD(H4094-1,הגדרות!$E$7+1),MOD(H4094-1-הגדרות!$E$8*(הגדרות!$E$7+1),הגדרות!$E$7)))</f>
        <v/>
      </c>
      <c r="K4094" s="0" t="str">
        <f aca="false">IF(I4094="","",J4094*הגדרות!$E$6+I4094+1)</f>
        <v/>
      </c>
      <c r="L4094" s="0" t="str">
        <f aca="false">IF(K4094="","",MATCH(K4094,$F$2:$F$5001,0))</f>
        <v/>
      </c>
      <c r="M4094" s="0" t="str">
        <f aca="false">IF(I4094="","",INDEX(הגדרות!$A$2:$A$21,MOD(I4094+הגדרות!$E$9,הגדרות!$E$6)+1))</f>
        <v/>
      </c>
    </row>
    <row r="4095" customFormat="false" ht="15" hidden="false" customHeight="false" outlineLevel="0" collapsed="false">
      <c r="A4095" s="0" t="str">
        <f aca="false">IF('הדבקת לידים'!A4095="","",IF(ISNUMBER('הדבקת לידים'!A4095),IF(הגדרות!$E$2&gt;0,TEXT('הדבקת לידים'!A4095,REPT("0",הגדרות!$E$2)),TEXT('הדבקת לידים'!A4095,"0")),TRIM('הדבקת לידים'!A4095)))</f>
        <v/>
      </c>
      <c r="B4095" s="0" t="str">
        <f aca="false">IF('הדבקת לידים'!B4095="","",IF(ISNUMBER('הדבקת לידים'!B4095),IF(הגדרות!$E$3&gt;0,TEXT('הדבקת לידים'!B4095,REPT("0",הגדרות!$E$3)),TEXT('הדבקת לידים'!B4095,"0")),TRIM('הדבקת לידים'!B4095)))</f>
        <v/>
      </c>
      <c r="C4095" s="0" t="n">
        <f aca="false">IF(OR(A4095&lt;&gt;"",B4095&lt;&gt;""),1,0)</f>
        <v>0</v>
      </c>
      <c r="D4095" s="0" t="str">
        <f aca="false">IF(C4095=1,MOD(ABS(SIN(ROW()*12.9898+'הדבקת לידים'!$F$2*78.233+IFERROR(--RIGHT(A4095,6),LEN(A4095))*0.0137+IFERROR(--RIGHT(B4095,6),LEN(B4095))*0.0071))*43758.5453,1),"")</f>
        <v/>
      </c>
      <c r="E4095" s="0" t="str">
        <f aca="false">IF(C4095=1,INT(MOD(ABS(SIN(D4095*7919.123+ROW()*0.618+'הדבקת לידים'!$F$2*1.3))*43758.5453,1)*1000000)*10000+ROW(),"")</f>
        <v/>
      </c>
      <c r="F4095" s="0" t="str">
        <f aca="false">IF(E4095="","",RANK(E4095,$E$2:$E$5001,1))</f>
        <v/>
      </c>
      <c r="G4095" s="0" t="n">
        <f aca="false">IF(A4095="",0,IF(SUMPRODUCT(--($A$2:$A$5001=A4095))&gt;1,1,0))</f>
        <v>0</v>
      </c>
      <c r="H4095" s="0" t="n">
        <f aca="false">ROW()-1</f>
        <v>4094</v>
      </c>
      <c r="I4095" s="0" t="str">
        <f aca="false">IF(OR(הגדרות!$E$6=0,H4095&gt;הגדרות!$E$5),"",IF(H4095-1&lt;הגדרות!$E$8*(הגדרות!$E$7+1),INT((H4095-1)/(הגדרות!$E$7+1)),הגדרות!$E$8+INT((H4095-1-הגדרות!$E$8*(הגדרות!$E$7+1))/הגדרות!$E$7)))</f>
        <v/>
      </c>
      <c r="J4095" s="0" t="str">
        <f aca="false">IF(I4095="","",IF(H4095-1&lt;הגדרות!$E$8*(הגדרות!$E$7+1),MOD(H4095-1,הגדרות!$E$7+1),MOD(H4095-1-הגדרות!$E$8*(הגדרות!$E$7+1),הגדרות!$E$7)))</f>
        <v/>
      </c>
      <c r="K4095" s="0" t="str">
        <f aca="false">IF(I4095="","",J4095*הגדרות!$E$6+I4095+1)</f>
        <v/>
      </c>
      <c r="L4095" s="0" t="str">
        <f aca="false">IF(K4095="","",MATCH(K4095,$F$2:$F$5001,0))</f>
        <v/>
      </c>
      <c r="M4095" s="0" t="str">
        <f aca="false">IF(I4095="","",INDEX(הגדרות!$A$2:$A$21,MOD(I4095+הגדרות!$E$9,הגדרות!$E$6)+1))</f>
        <v/>
      </c>
    </row>
    <row r="4096" customFormat="false" ht="15" hidden="false" customHeight="false" outlineLevel="0" collapsed="false">
      <c r="A4096" s="0" t="str">
        <f aca="false">IF('הדבקת לידים'!A4096="","",IF(ISNUMBER('הדבקת לידים'!A4096),IF(הגדרות!$E$2&gt;0,TEXT('הדבקת לידים'!A4096,REPT("0",הגדרות!$E$2)),TEXT('הדבקת לידים'!A4096,"0")),TRIM('הדבקת לידים'!A4096)))</f>
        <v/>
      </c>
      <c r="B4096" s="0" t="str">
        <f aca="false">IF('הדבקת לידים'!B4096="","",IF(ISNUMBER('הדבקת לידים'!B4096),IF(הגדרות!$E$3&gt;0,TEXT('הדבקת לידים'!B4096,REPT("0",הגדרות!$E$3)),TEXT('הדבקת לידים'!B4096,"0")),TRIM('הדבקת לידים'!B4096)))</f>
        <v/>
      </c>
      <c r="C4096" s="0" t="n">
        <f aca="false">IF(OR(A4096&lt;&gt;"",B4096&lt;&gt;""),1,0)</f>
        <v>0</v>
      </c>
      <c r="D4096" s="0" t="str">
        <f aca="false">IF(C4096=1,MOD(ABS(SIN(ROW()*12.9898+'הדבקת לידים'!$F$2*78.233+IFERROR(--RIGHT(A4096,6),LEN(A4096))*0.0137+IFERROR(--RIGHT(B4096,6),LEN(B4096))*0.0071))*43758.5453,1),"")</f>
        <v/>
      </c>
      <c r="E4096" s="0" t="str">
        <f aca="false">IF(C4096=1,INT(MOD(ABS(SIN(D4096*7919.123+ROW()*0.618+'הדבקת לידים'!$F$2*1.3))*43758.5453,1)*1000000)*10000+ROW(),"")</f>
        <v/>
      </c>
      <c r="F4096" s="0" t="str">
        <f aca="false">IF(E4096="","",RANK(E4096,$E$2:$E$5001,1))</f>
        <v/>
      </c>
      <c r="G4096" s="0" t="n">
        <f aca="false">IF(A4096="",0,IF(SUMPRODUCT(--($A$2:$A$5001=A4096))&gt;1,1,0))</f>
        <v>0</v>
      </c>
      <c r="H4096" s="0" t="n">
        <f aca="false">ROW()-1</f>
        <v>4095</v>
      </c>
      <c r="I4096" s="0" t="str">
        <f aca="false">IF(OR(הגדרות!$E$6=0,H4096&gt;הגדרות!$E$5),"",IF(H4096-1&lt;הגדרות!$E$8*(הגדרות!$E$7+1),INT((H4096-1)/(הגדרות!$E$7+1)),הגדרות!$E$8+INT((H4096-1-הגדרות!$E$8*(הגדרות!$E$7+1))/הגדרות!$E$7)))</f>
        <v/>
      </c>
      <c r="J4096" s="0" t="str">
        <f aca="false">IF(I4096="","",IF(H4096-1&lt;הגדרות!$E$8*(הגדרות!$E$7+1),MOD(H4096-1,הגדרות!$E$7+1),MOD(H4096-1-הגדרות!$E$8*(הגדרות!$E$7+1),הגדרות!$E$7)))</f>
        <v/>
      </c>
      <c r="K4096" s="0" t="str">
        <f aca="false">IF(I4096="","",J4096*הגדרות!$E$6+I4096+1)</f>
        <v/>
      </c>
      <c r="L4096" s="0" t="str">
        <f aca="false">IF(K4096="","",MATCH(K4096,$F$2:$F$5001,0))</f>
        <v/>
      </c>
      <c r="M4096" s="0" t="str">
        <f aca="false">IF(I4096="","",INDEX(הגדרות!$A$2:$A$21,MOD(I4096+הגדרות!$E$9,הגדרות!$E$6)+1))</f>
        <v/>
      </c>
    </row>
    <row r="4097" customFormat="false" ht="15" hidden="false" customHeight="false" outlineLevel="0" collapsed="false">
      <c r="A4097" s="0" t="str">
        <f aca="false">IF('הדבקת לידים'!A4097="","",IF(ISNUMBER('הדבקת לידים'!A4097),IF(הגדרות!$E$2&gt;0,TEXT('הדבקת לידים'!A4097,REPT("0",הגדרות!$E$2)),TEXT('הדבקת לידים'!A4097,"0")),TRIM('הדבקת לידים'!A4097)))</f>
        <v/>
      </c>
      <c r="B4097" s="0" t="str">
        <f aca="false">IF('הדבקת לידים'!B4097="","",IF(ISNUMBER('הדבקת לידים'!B4097),IF(הגדרות!$E$3&gt;0,TEXT('הדבקת לידים'!B4097,REPT("0",הגדרות!$E$3)),TEXT('הדבקת לידים'!B4097,"0")),TRIM('הדבקת לידים'!B4097)))</f>
        <v/>
      </c>
      <c r="C4097" s="0" t="n">
        <f aca="false">IF(OR(A4097&lt;&gt;"",B4097&lt;&gt;""),1,0)</f>
        <v>0</v>
      </c>
      <c r="D4097" s="0" t="str">
        <f aca="false">IF(C4097=1,MOD(ABS(SIN(ROW()*12.9898+'הדבקת לידים'!$F$2*78.233+IFERROR(--RIGHT(A4097,6),LEN(A4097))*0.0137+IFERROR(--RIGHT(B4097,6),LEN(B4097))*0.0071))*43758.5453,1),"")</f>
        <v/>
      </c>
      <c r="E4097" s="0" t="str">
        <f aca="false">IF(C4097=1,INT(MOD(ABS(SIN(D4097*7919.123+ROW()*0.618+'הדבקת לידים'!$F$2*1.3))*43758.5453,1)*1000000)*10000+ROW(),"")</f>
        <v/>
      </c>
      <c r="F4097" s="0" t="str">
        <f aca="false">IF(E4097="","",RANK(E4097,$E$2:$E$5001,1))</f>
        <v/>
      </c>
      <c r="G4097" s="0" t="n">
        <f aca="false">IF(A4097="",0,IF(SUMPRODUCT(--($A$2:$A$5001=A4097))&gt;1,1,0))</f>
        <v>0</v>
      </c>
      <c r="H4097" s="0" t="n">
        <f aca="false">ROW()-1</f>
        <v>4096</v>
      </c>
      <c r="I4097" s="0" t="str">
        <f aca="false">IF(OR(הגדרות!$E$6=0,H4097&gt;הגדרות!$E$5),"",IF(H4097-1&lt;הגדרות!$E$8*(הגדרות!$E$7+1),INT((H4097-1)/(הגדרות!$E$7+1)),הגדרות!$E$8+INT((H4097-1-הגדרות!$E$8*(הגדרות!$E$7+1))/הגדרות!$E$7)))</f>
        <v/>
      </c>
      <c r="J4097" s="0" t="str">
        <f aca="false">IF(I4097="","",IF(H4097-1&lt;הגדרות!$E$8*(הגדרות!$E$7+1),MOD(H4097-1,הגדרות!$E$7+1),MOD(H4097-1-הגדרות!$E$8*(הגדרות!$E$7+1),הגדרות!$E$7)))</f>
        <v/>
      </c>
      <c r="K4097" s="0" t="str">
        <f aca="false">IF(I4097="","",J4097*הגדרות!$E$6+I4097+1)</f>
        <v/>
      </c>
      <c r="L4097" s="0" t="str">
        <f aca="false">IF(K4097="","",MATCH(K4097,$F$2:$F$5001,0))</f>
        <v/>
      </c>
      <c r="M4097" s="0" t="str">
        <f aca="false">IF(I4097="","",INDEX(הגדרות!$A$2:$A$21,MOD(I4097+הגדרות!$E$9,הגדרות!$E$6)+1))</f>
        <v/>
      </c>
    </row>
    <row r="4098" customFormat="false" ht="15" hidden="false" customHeight="false" outlineLevel="0" collapsed="false">
      <c r="A4098" s="0" t="str">
        <f aca="false">IF('הדבקת לידים'!A4098="","",IF(ISNUMBER('הדבקת לידים'!A4098),IF(הגדרות!$E$2&gt;0,TEXT('הדבקת לידים'!A4098,REPT("0",הגדרות!$E$2)),TEXT('הדבקת לידים'!A4098,"0")),TRIM('הדבקת לידים'!A4098)))</f>
        <v/>
      </c>
      <c r="B4098" s="0" t="str">
        <f aca="false">IF('הדבקת לידים'!B4098="","",IF(ISNUMBER('הדבקת לידים'!B4098),IF(הגדרות!$E$3&gt;0,TEXT('הדבקת לידים'!B4098,REPT("0",הגדרות!$E$3)),TEXT('הדבקת לידים'!B4098,"0")),TRIM('הדבקת לידים'!B4098)))</f>
        <v/>
      </c>
      <c r="C4098" s="0" t="n">
        <f aca="false">IF(OR(A4098&lt;&gt;"",B4098&lt;&gt;""),1,0)</f>
        <v>0</v>
      </c>
      <c r="D4098" s="0" t="str">
        <f aca="false">IF(C4098=1,MOD(ABS(SIN(ROW()*12.9898+'הדבקת לידים'!$F$2*78.233+IFERROR(--RIGHT(A4098,6),LEN(A4098))*0.0137+IFERROR(--RIGHT(B4098,6),LEN(B4098))*0.0071))*43758.5453,1),"")</f>
        <v/>
      </c>
      <c r="E4098" s="0" t="str">
        <f aca="false">IF(C4098=1,INT(MOD(ABS(SIN(D4098*7919.123+ROW()*0.618+'הדבקת לידים'!$F$2*1.3))*43758.5453,1)*1000000)*10000+ROW(),"")</f>
        <v/>
      </c>
      <c r="F4098" s="0" t="str">
        <f aca="false">IF(E4098="","",RANK(E4098,$E$2:$E$5001,1))</f>
        <v/>
      </c>
      <c r="G4098" s="0" t="n">
        <f aca="false">IF(A4098="",0,IF(SUMPRODUCT(--($A$2:$A$5001=A4098))&gt;1,1,0))</f>
        <v>0</v>
      </c>
      <c r="H4098" s="0" t="n">
        <f aca="false">ROW()-1</f>
        <v>4097</v>
      </c>
      <c r="I4098" s="0" t="str">
        <f aca="false">IF(OR(הגדרות!$E$6=0,H4098&gt;הגדרות!$E$5),"",IF(H4098-1&lt;הגדרות!$E$8*(הגדרות!$E$7+1),INT((H4098-1)/(הגדרות!$E$7+1)),הגדרות!$E$8+INT((H4098-1-הגדרות!$E$8*(הגדרות!$E$7+1))/הגדרות!$E$7)))</f>
        <v/>
      </c>
      <c r="J4098" s="0" t="str">
        <f aca="false">IF(I4098="","",IF(H4098-1&lt;הגדרות!$E$8*(הגדרות!$E$7+1),MOD(H4098-1,הגדרות!$E$7+1),MOD(H4098-1-הגדרות!$E$8*(הגדרות!$E$7+1),הגדרות!$E$7)))</f>
        <v/>
      </c>
      <c r="K4098" s="0" t="str">
        <f aca="false">IF(I4098="","",J4098*הגדרות!$E$6+I4098+1)</f>
        <v/>
      </c>
      <c r="L4098" s="0" t="str">
        <f aca="false">IF(K4098="","",MATCH(K4098,$F$2:$F$5001,0))</f>
        <v/>
      </c>
      <c r="M4098" s="0" t="str">
        <f aca="false">IF(I4098="","",INDEX(הגדרות!$A$2:$A$21,MOD(I4098+הגדרות!$E$9,הגדרות!$E$6)+1))</f>
        <v/>
      </c>
    </row>
    <row r="4099" customFormat="false" ht="15" hidden="false" customHeight="false" outlineLevel="0" collapsed="false">
      <c r="A4099" s="0" t="str">
        <f aca="false">IF('הדבקת לידים'!A4099="","",IF(ISNUMBER('הדבקת לידים'!A4099),IF(הגדרות!$E$2&gt;0,TEXT('הדבקת לידים'!A4099,REPT("0",הגדרות!$E$2)),TEXT('הדבקת לידים'!A4099,"0")),TRIM('הדבקת לידים'!A4099)))</f>
        <v/>
      </c>
      <c r="B4099" s="0" t="str">
        <f aca="false">IF('הדבקת לידים'!B4099="","",IF(ISNUMBER('הדבקת לידים'!B4099),IF(הגדרות!$E$3&gt;0,TEXT('הדבקת לידים'!B4099,REPT("0",הגדרות!$E$3)),TEXT('הדבקת לידים'!B4099,"0")),TRIM('הדבקת לידים'!B4099)))</f>
        <v/>
      </c>
      <c r="C4099" s="0" t="n">
        <f aca="false">IF(OR(A4099&lt;&gt;"",B4099&lt;&gt;""),1,0)</f>
        <v>0</v>
      </c>
      <c r="D4099" s="0" t="str">
        <f aca="false">IF(C4099=1,MOD(ABS(SIN(ROW()*12.9898+'הדבקת לידים'!$F$2*78.233+IFERROR(--RIGHT(A4099,6),LEN(A4099))*0.0137+IFERROR(--RIGHT(B4099,6),LEN(B4099))*0.0071))*43758.5453,1),"")</f>
        <v/>
      </c>
      <c r="E4099" s="0" t="str">
        <f aca="false">IF(C4099=1,INT(MOD(ABS(SIN(D4099*7919.123+ROW()*0.618+'הדבקת לידים'!$F$2*1.3))*43758.5453,1)*1000000)*10000+ROW(),"")</f>
        <v/>
      </c>
      <c r="F4099" s="0" t="str">
        <f aca="false">IF(E4099="","",RANK(E4099,$E$2:$E$5001,1))</f>
        <v/>
      </c>
      <c r="G4099" s="0" t="n">
        <f aca="false">IF(A4099="",0,IF(SUMPRODUCT(--($A$2:$A$5001=A4099))&gt;1,1,0))</f>
        <v>0</v>
      </c>
      <c r="H4099" s="0" t="n">
        <f aca="false">ROW()-1</f>
        <v>4098</v>
      </c>
      <c r="I4099" s="0" t="str">
        <f aca="false">IF(OR(הגדרות!$E$6=0,H4099&gt;הגדרות!$E$5),"",IF(H4099-1&lt;הגדרות!$E$8*(הגדרות!$E$7+1),INT((H4099-1)/(הגדרות!$E$7+1)),הגדרות!$E$8+INT((H4099-1-הגדרות!$E$8*(הגדרות!$E$7+1))/הגדרות!$E$7)))</f>
        <v/>
      </c>
      <c r="J4099" s="0" t="str">
        <f aca="false">IF(I4099="","",IF(H4099-1&lt;הגדרות!$E$8*(הגדרות!$E$7+1),MOD(H4099-1,הגדרות!$E$7+1),MOD(H4099-1-הגדרות!$E$8*(הגדרות!$E$7+1),הגדרות!$E$7)))</f>
        <v/>
      </c>
      <c r="K4099" s="0" t="str">
        <f aca="false">IF(I4099="","",J4099*הגדרות!$E$6+I4099+1)</f>
        <v/>
      </c>
      <c r="L4099" s="0" t="str">
        <f aca="false">IF(K4099="","",MATCH(K4099,$F$2:$F$5001,0))</f>
        <v/>
      </c>
      <c r="M4099" s="0" t="str">
        <f aca="false">IF(I4099="","",INDEX(הגדרות!$A$2:$A$21,MOD(I4099+הגדרות!$E$9,הגדרות!$E$6)+1))</f>
        <v/>
      </c>
    </row>
    <row r="4100" customFormat="false" ht="15" hidden="false" customHeight="false" outlineLevel="0" collapsed="false">
      <c r="A4100" s="0" t="str">
        <f aca="false">IF('הדבקת לידים'!A4100="","",IF(ISNUMBER('הדבקת לידים'!A4100),IF(הגדרות!$E$2&gt;0,TEXT('הדבקת לידים'!A4100,REPT("0",הגדרות!$E$2)),TEXT('הדבקת לידים'!A4100,"0")),TRIM('הדבקת לידים'!A4100)))</f>
        <v/>
      </c>
      <c r="B4100" s="0" t="str">
        <f aca="false">IF('הדבקת לידים'!B4100="","",IF(ISNUMBER('הדבקת לידים'!B4100),IF(הגדרות!$E$3&gt;0,TEXT('הדבקת לידים'!B4100,REPT("0",הגדרות!$E$3)),TEXT('הדבקת לידים'!B4100,"0")),TRIM('הדבקת לידים'!B4100)))</f>
        <v/>
      </c>
      <c r="C4100" s="0" t="n">
        <f aca="false">IF(OR(A4100&lt;&gt;"",B4100&lt;&gt;""),1,0)</f>
        <v>0</v>
      </c>
      <c r="D4100" s="0" t="str">
        <f aca="false">IF(C4100=1,MOD(ABS(SIN(ROW()*12.9898+'הדבקת לידים'!$F$2*78.233+IFERROR(--RIGHT(A4100,6),LEN(A4100))*0.0137+IFERROR(--RIGHT(B4100,6),LEN(B4100))*0.0071))*43758.5453,1),"")</f>
        <v/>
      </c>
      <c r="E4100" s="0" t="str">
        <f aca="false">IF(C4100=1,INT(MOD(ABS(SIN(D4100*7919.123+ROW()*0.618+'הדבקת לידים'!$F$2*1.3))*43758.5453,1)*1000000)*10000+ROW(),"")</f>
        <v/>
      </c>
      <c r="F4100" s="0" t="str">
        <f aca="false">IF(E4100="","",RANK(E4100,$E$2:$E$5001,1))</f>
        <v/>
      </c>
      <c r="G4100" s="0" t="n">
        <f aca="false">IF(A4100="",0,IF(SUMPRODUCT(--($A$2:$A$5001=A4100))&gt;1,1,0))</f>
        <v>0</v>
      </c>
      <c r="H4100" s="0" t="n">
        <f aca="false">ROW()-1</f>
        <v>4099</v>
      </c>
      <c r="I4100" s="0" t="str">
        <f aca="false">IF(OR(הגדרות!$E$6=0,H4100&gt;הגדרות!$E$5),"",IF(H4100-1&lt;הגדרות!$E$8*(הגדרות!$E$7+1),INT((H4100-1)/(הגדרות!$E$7+1)),הגדרות!$E$8+INT((H4100-1-הגדרות!$E$8*(הגדרות!$E$7+1))/הגדרות!$E$7)))</f>
        <v/>
      </c>
      <c r="J4100" s="0" t="str">
        <f aca="false">IF(I4100="","",IF(H4100-1&lt;הגדרות!$E$8*(הגדרות!$E$7+1),MOD(H4100-1,הגדרות!$E$7+1),MOD(H4100-1-הגדרות!$E$8*(הגדרות!$E$7+1),הגדרות!$E$7)))</f>
        <v/>
      </c>
      <c r="K4100" s="0" t="str">
        <f aca="false">IF(I4100="","",J4100*הגדרות!$E$6+I4100+1)</f>
        <v/>
      </c>
      <c r="L4100" s="0" t="str">
        <f aca="false">IF(K4100="","",MATCH(K4100,$F$2:$F$5001,0))</f>
        <v/>
      </c>
      <c r="M4100" s="0" t="str">
        <f aca="false">IF(I4100="","",INDEX(הגדרות!$A$2:$A$21,MOD(I4100+הגדרות!$E$9,הגדרות!$E$6)+1))</f>
        <v/>
      </c>
    </row>
    <row r="4101" customFormat="false" ht="15" hidden="false" customHeight="false" outlineLevel="0" collapsed="false">
      <c r="A4101" s="0" t="str">
        <f aca="false">IF('הדבקת לידים'!A4101="","",IF(ISNUMBER('הדבקת לידים'!A4101),IF(הגדרות!$E$2&gt;0,TEXT('הדבקת לידים'!A4101,REPT("0",הגדרות!$E$2)),TEXT('הדבקת לידים'!A4101,"0")),TRIM('הדבקת לידים'!A4101)))</f>
        <v/>
      </c>
      <c r="B4101" s="0" t="str">
        <f aca="false">IF('הדבקת לידים'!B4101="","",IF(ISNUMBER('הדבקת לידים'!B4101),IF(הגדרות!$E$3&gt;0,TEXT('הדבקת לידים'!B4101,REPT("0",הגדרות!$E$3)),TEXT('הדבקת לידים'!B4101,"0")),TRIM('הדבקת לידים'!B4101)))</f>
        <v/>
      </c>
      <c r="C4101" s="0" t="n">
        <f aca="false">IF(OR(A4101&lt;&gt;"",B4101&lt;&gt;""),1,0)</f>
        <v>0</v>
      </c>
      <c r="D4101" s="0" t="str">
        <f aca="false">IF(C4101=1,MOD(ABS(SIN(ROW()*12.9898+'הדבקת לידים'!$F$2*78.233+IFERROR(--RIGHT(A4101,6),LEN(A4101))*0.0137+IFERROR(--RIGHT(B4101,6),LEN(B4101))*0.0071))*43758.5453,1),"")</f>
        <v/>
      </c>
      <c r="E4101" s="0" t="str">
        <f aca="false">IF(C4101=1,INT(MOD(ABS(SIN(D4101*7919.123+ROW()*0.618+'הדבקת לידים'!$F$2*1.3))*43758.5453,1)*1000000)*10000+ROW(),"")</f>
        <v/>
      </c>
      <c r="F4101" s="0" t="str">
        <f aca="false">IF(E4101="","",RANK(E4101,$E$2:$E$5001,1))</f>
        <v/>
      </c>
      <c r="G4101" s="0" t="n">
        <f aca="false">IF(A4101="",0,IF(SUMPRODUCT(--($A$2:$A$5001=A4101))&gt;1,1,0))</f>
        <v>0</v>
      </c>
      <c r="H4101" s="0" t="n">
        <f aca="false">ROW()-1</f>
        <v>4100</v>
      </c>
      <c r="I4101" s="0" t="str">
        <f aca="false">IF(OR(הגדרות!$E$6=0,H4101&gt;הגדרות!$E$5),"",IF(H4101-1&lt;הגדרות!$E$8*(הגדרות!$E$7+1),INT((H4101-1)/(הגדרות!$E$7+1)),הגדרות!$E$8+INT((H4101-1-הגדרות!$E$8*(הגדרות!$E$7+1))/הגדרות!$E$7)))</f>
        <v/>
      </c>
      <c r="J4101" s="0" t="str">
        <f aca="false">IF(I4101="","",IF(H4101-1&lt;הגדרות!$E$8*(הגדרות!$E$7+1),MOD(H4101-1,הגדרות!$E$7+1),MOD(H4101-1-הגדרות!$E$8*(הגדרות!$E$7+1),הגדרות!$E$7)))</f>
        <v/>
      </c>
      <c r="K4101" s="0" t="str">
        <f aca="false">IF(I4101="","",J4101*הגדרות!$E$6+I4101+1)</f>
        <v/>
      </c>
      <c r="L4101" s="0" t="str">
        <f aca="false">IF(K4101="","",MATCH(K4101,$F$2:$F$5001,0))</f>
        <v/>
      </c>
      <c r="M4101" s="0" t="str">
        <f aca="false">IF(I4101="","",INDEX(הגדרות!$A$2:$A$21,MOD(I4101+הגדרות!$E$9,הגדרות!$E$6)+1))</f>
        <v/>
      </c>
    </row>
    <row r="4102" customFormat="false" ht="15" hidden="false" customHeight="false" outlineLevel="0" collapsed="false">
      <c r="A4102" s="0" t="str">
        <f aca="false">IF('הדבקת לידים'!A4102="","",IF(ISNUMBER('הדבקת לידים'!A4102),IF(הגדרות!$E$2&gt;0,TEXT('הדבקת לידים'!A4102,REPT("0",הגדרות!$E$2)),TEXT('הדבקת לידים'!A4102,"0")),TRIM('הדבקת לידים'!A4102)))</f>
        <v/>
      </c>
      <c r="B4102" s="0" t="str">
        <f aca="false">IF('הדבקת לידים'!B4102="","",IF(ISNUMBER('הדבקת לידים'!B4102),IF(הגדרות!$E$3&gt;0,TEXT('הדבקת לידים'!B4102,REPT("0",הגדרות!$E$3)),TEXT('הדבקת לידים'!B4102,"0")),TRIM('הדבקת לידים'!B4102)))</f>
        <v/>
      </c>
      <c r="C4102" s="0" t="n">
        <f aca="false">IF(OR(A4102&lt;&gt;"",B4102&lt;&gt;""),1,0)</f>
        <v>0</v>
      </c>
      <c r="D4102" s="0" t="str">
        <f aca="false">IF(C4102=1,MOD(ABS(SIN(ROW()*12.9898+'הדבקת לידים'!$F$2*78.233+IFERROR(--RIGHT(A4102,6),LEN(A4102))*0.0137+IFERROR(--RIGHT(B4102,6),LEN(B4102))*0.0071))*43758.5453,1),"")</f>
        <v/>
      </c>
      <c r="E4102" s="0" t="str">
        <f aca="false">IF(C4102=1,INT(MOD(ABS(SIN(D4102*7919.123+ROW()*0.618+'הדבקת לידים'!$F$2*1.3))*43758.5453,1)*1000000)*10000+ROW(),"")</f>
        <v/>
      </c>
      <c r="F4102" s="0" t="str">
        <f aca="false">IF(E4102="","",RANK(E4102,$E$2:$E$5001,1))</f>
        <v/>
      </c>
      <c r="G4102" s="0" t="n">
        <f aca="false">IF(A4102="",0,IF(SUMPRODUCT(--($A$2:$A$5001=A4102))&gt;1,1,0))</f>
        <v>0</v>
      </c>
      <c r="H4102" s="0" t="n">
        <f aca="false">ROW()-1</f>
        <v>4101</v>
      </c>
      <c r="I4102" s="0" t="str">
        <f aca="false">IF(OR(הגדרות!$E$6=0,H4102&gt;הגדרות!$E$5),"",IF(H4102-1&lt;הגדרות!$E$8*(הגדרות!$E$7+1),INT((H4102-1)/(הגדרות!$E$7+1)),הגדרות!$E$8+INT((H4102-1-הגדרות!$E$8*(הגדרות!$E$7+1))/הגדרות!$E$7)))</f>
        <v/>
      </c>
      <c r="J4102" s="0" t="str">
        <f aca="false">IF(I4102="","",IF(H4102-1&lt;הגדרות!$E$8*(הגדרות!$E$7+1),MOD(H4102-1,הגדרות!$E$7+1),MOD(H4102-1-הגדרות!$E$8*(הגדרות!$E$7+1),הגדרות!$E$7)))</f>
        <v/>
      </c>
      <c r="K4102" s="0" t="str">
        <f aca="false">IF(I4102="","",J4102*הגדרות!$E$6+I4102+1)</f>
        <v/>
      </c>
      <c r="L4102" s="0" t="str">
        <f aca="false">IF(K4102="","",MATCH(K4102,$F$2:$F$5001,0))</f>
        <v/>
      </c>
      <c r="M4102" s="0" t="str">
        <f aca="false">IF(I4102="","",INDEX(הגדרות!$A$2:$A$21,MOD(I4102+הגדרות!$E$9,הגדרות!$E$6)+1))</f>
        <v/>
      </c>
    </row>
    <row r="4103" customFormat="false" ht="15" hidden="false" customHeight="false" outlineLevel="0" collapsed="false">
      <c r="A4103" s="0" t="str">
        <f aca="false">IF('הדבקת לידים'!A4103="","",IF(ISNUMBER('הדבקת לידים'!A4103),IF(הגדרות!$E$2&gt;0,TEXT('הדבקת לידים'!A4103,REPT("0",הגדרות!$E$2)),TEXT('הדבקת לידים'!A4103,"0")),TRIM('הדבקת לידים'!A4103)))</f>
        <v/>
      </c>
      <c r="B4103" s="0" t="str">
        <f aca="false">IF('הדבקת לידים'!B4103="","",IF(ISNUMBER('הדבקת לידים'!B4103),IF(הגדרות!$E$3&gt;0,TEXT('הדבקת לידים'!B4103,REPT("0",הגדרות!$E$3)),TEXT('הדבקת לידים'!B4103,"0")),TRIM('הדבקת לידים'!B4103)))</f>
        <v/>
      </c>
      <c r="C4103" s="0" t="n">
        <f aca="false">IF(OR(A4103&lt;&gt;"",B4103&lt;&gt;""),1,0)</f>
        <v>0</v>
      </c>
      <c r="D4103" s="0" t="str">
        <f aca="false">IF(C4103=1,MOD(ABS(SIN(ROW()*12.9898+'הדבקת לידים'!$F$2*78.233+IFERROR(--RIGHT(A4103,6),LEN(A4103))*0.0137+IFERROR(--RIGHT(B4103,6),LEN(B4103))*0.0071))*43758.5453,1),"")</f>
        <v/>
      </c>
      <c r="E4103" s="0" t="str">
        <f aca="false">IF(C4103=1,INT(MOD(ABS(SIN(D4103*7919.123+ROW()*0.618+'הדבקת לידים'!$F$2*1.3))*43758.5453,1)*1000000)*10000+ROW(),"")</f>
        <v/>
      </c>
      <c r="F4103" s="0" t="str">
        <f aca="false">IF(E4103="","",RANK(E4103,$E$2:$E$5001,1))</f>
        <v/>
      </c>
      <c r="G4103" s="0" t="n">
        <f aca="false">IF(A4103="",0,IF(SUMPRODUCT(--($A$2:$A$5001=A4103))&gt;1,1,0))</f>
        <v>0</v>
      </c>
      <c r="H4103" s="0" t="n">
        <f aca="false">ROW()-1</f>
        <v>4102</v>
      </c>
      <c r="I4103" s="0" t="str">
        <f aca="false">IF(OR(הגדרות!$E$6=0,H4103&gt;הגדרות!$E$5),"",IF(H4103-1&lt;הגדרות!$E$8*(הגדרות!$E$7+1),INT((H4103-1)/(הגדרות!$E$7+1)),הגדרות!$E$8+INT((H4103-1-הגדרות!$E$8*(הגדרות!$E$7+1))/הגדרות!$E$7)))</f>
        <v/>
      </c>
      <c r="J4103" s="0" t="str">
        <f aca="false">IF(I4103="","",IF(H4103-1&lt;הגדרות!$E$8*(הגדרות!$E$7+1),MOD(H4103-1,הגדרות!$E$7+1),MOD(H4103-1-הגדרות!$E$8*(הגדרות!$E$7+1),הגדרות!$E$7)))</f>
        <v/>
      </c>
      <c r="K4103" s="0" t="str">
        <f aca="false">IF(I4103="","",J4103*הגדרות!$E$6+I4103+1)</f>
        <v/>
      </c>
      <c r="L4103" s="0" t="str">
        <f aca="false">IF(K4103="","",MATCH(K4103,$F$2:$F$5001,0))</f>
        <v/>
      </c>
      <c r="M4103" s="0" t="str">
        <f aca="false">IF(I4103="","",INDEX(הגדרות!$A$2:$A$21,MOD(I4103+הגדרות!$E$9,הגדרות!$E$6)+1))</f>
        <v/>
      </c>
    </row>
    <row r="4104" customFormat="false" ht="15" hidden="false" customHeight="false" outlineLevel="0" collapsed="false">
      <c r="A4104" s="0" t="str">
        <f aca="false">IF('הדבקת לידים'!A4104="","",IF(ISNUMBER('הדבקת לידים'!A4104),IF(הגדרות!$E$2&gt;0,TEXT('הדבקת לידים'!A4104,REPT("0",הגדרות!$E$2)),TEXT('הדבקת לידים'!A4104,"0")),TRIM('הדבקת לידים'!A4104)))</f>
        <v/>
      </c>
      <c r="B4104" s="0" t="str">
        <f aca="false">IF('הדבקת לידים'!B4104="","",IF(ISNUMBER('הדבקת לידים'!B4104),IF(הגדרות!$E$3&gt;0,TEXT('הדבקת לידים'!B4104,REPT("0",הגדרות!$E$3)),TEXT('הדבקת לידים'!B4104,"0")),TRIM('הדבקת לידים'!B4104)))</f>
        <v/>
      </c>
      <c r="C4104" s="0" t="n">
        <f aca="false">IF(OR(A4104&lt;&gt;"",B4104&lt;&gt;""),1,0)</f>
        <v>0</v>
      </c>
      <c r="D4104" s="0" t="str">
        <f aca="false">IF(C4104=1,MOD(ABS(SIN(ROW()*12.9898+'הדבקת לידים'!$F$2*78.233+IFERROR(--RIGHT(A4104,6),LEN(A4104))*0.0137+IFERROR(--RIGHT(B4104,6),LEN(B4104))*0.0071))*43758.5453,1),"")</f>
        <v/>
      </c>
      <c r="E4104" s="0" t="str">
        <f aca="false">IF(C4104=1,INT(MOD(ABS(SIN(D4104*7919.123+ROW()*0.618+'הדבקת לידים'!$F$2*1.3))*43758.5453,1)*1000000)*10000+ROW(),"")</f>
        <v/>
      </c>
      <c r="F4104" s="0" t="str">
        <f aca="false">IF(E4104="","",RANK(E4104,$E$2:$E$5001,1))</f>
        <v/>
      </c>
      <c r="G4104" s="0" t="n">
        <f aca="false">IF(A4104="",0,IF(SUMPRODUCT(--($A$2:$A$5001=A4104))&gt;1,1,0))</f>
        <v>0</v>
      </c>
      <c r="H4104" s="0" t="n">
        <f aca="false">ROW()-1</f>
        <v>4103</v>
      </c>
      <c r="I4104" s="0" t="str">
        <f aca="false">IF(OR(הגדרות!$E$6=0,H4104&gt;הגדרות!$E$5),"",IF(H4104-1&lt;הגדרות!$E$8*(הגדרות!$E$7+1),INT((H4104-1)/(הגדרות!$E$7+1)),הגדרות!$E$8+INT((H4104-1-הגדרות!$E$8*(הגדרות!$E$7+1))/הגדרות!$E$7)))</f>
        <v/>
      </c>
      <c r="J4104" s="0" t="str">
        <f aca="false">IF(I4104="","",IF(H4104-1&lt;הגדרות!$E$8*(הגדרות!$E$7+1),MOD(H4104-1,הגדרות!$E$7+1),MOD(H4104-1-הגדרות!$E$8*(הגדרות!$E$7+1),הגדרות!$E$7)))</f>
        <v/>
      </c>
      <c r="K4104" s="0" t="str">
        <f aca="false">IF(I4104="","",J4104*הגדרות!$E$6+I4104+1)</f>
        <v/>
      </c>
      <c r="L4104" s="0" t="str">
        <f aca="false">IF(K4104="","",MATCH(K4104,$F$2:$F$5001,0))</f>
        <v/>
      </c>
      <c r="M4104" s="0" t="str">
        <f aca="false">IF(I4104="","",INDEX(הגדרות!$A$2:$A$21,MOD(I4104+הגדרות!$E$9,הגדרות!$E$6)+1))</f>
        <v/>
      </c>
    </row>
    <row r="4105" customFormat="false" ht="15" hidden="false" customHeight="false" outlineLevel="0" collapsed="false">
      <c r="A4105" s="0" t="str">
        <f aca="false">IF('הדבקת לידים'!A4105="","",IF(ISNUMBER('הדבקת לידים'!A4105),IF(הגדרות!$E$2&gt;0,TEXT('הדבקת לידים'!A4105,REPT("0",הגדרות!$E$2)),TEXT('הדבקת לידים'!A4105,"0")),TRIM('הדבקת לידים'!A4105)))</f>
        <v/>
      </c>
      <c r="B4105" s="0" t="str">
        <f aca="false">IF('הדבקת לידים'!B4105="","",IF(ISNUMBER('הדבקת לידים'!B4105),IF(הגדרות!$E$3&gt;0,TEXT('הדבקת לידים'!B4105,REPT("0",הגדרות!$E$3)),TEXT('הדבקת לידים'!B4105,"0")),TRIM('הדבקת לידים'!B4105)))</f>
        <v/>
      </c>
      <c r="C4105" s="0" t="n">
        <f aca="false">IF(OR(A4105&lt;&gt;"",B4105&lt;&gt;""),1,0)</f>
        <v>0</v>
      </c>
      <c r="D4105" s="0" t="str">
        <f aca="false">IF(C4105=1,MOD(ABS(SIN(ROW()*12.9898+'הדבקת לידים'!$F$2*78.233+IFERROR(--RIGHT(A4105,6),LEN(A4105))*0.0137+IFERROR(--RIGHT(B4105,6),LEN(B4105))*0.0071))*43758.5453,1),"")</f>
        <v/>
      </c>
      <c r="E4105" s="0" t="str">
        <f aca="false">IF(C4105=1,INT(MOD(ABS(SIN(D4105*7919.123+ROW()*0.618+'הדבקת לידים'!$F$2*1.3))*43758.5453,1)*1000000)*10000+ROW(),"")</f>
        <v/>
      </c>
      <c r="F4105" s="0" t="str">
        <f aca="false">IF(E4105="","",RANK(E4105,$E$2:$E$5001,1))</f>
        <v/>
      </c>
      <c r="G4105" s="0" t="n">
        <f aca="false">IF(A4105="",0,IF(SUMPRODUCT(--($A$2:$A$5001=A4105))&gt;1,1,0))</f>
        <v>0</v>
      </c>
      <c r="H4105" s="0" t="n">
        <f aca="false">ROW()-1</f>
        <v>4104</v>
      </c>
      <c r="I4105" s="0" t="str">
        <f aca="false">IF(OR(הגדרות!$E$6=0,H4105&gt;הגדרות!$E$5),"",IF(H4105-1&lt;הגדרות!$E$8*(הגדרות!$E$7+1),INT((H4105-1)/(הגדרות!$E$7+1)),הגדרות!$E$8+INT((H4105-1-הגדרות!$E$8*(הגדרות!$E$7+1))/הגדרות!$E$7)))</f>
        <v/>
      </c>
      <c r="J4105" s="0" t="str">
        <f aca="false">IF(I4105="","",IF(H4105-1&lt;הגדרות!$E$8*(הגדרות!$E$7+1),MOD(H4105-1,הגדרות!$E$7+1),MOD(H4105-1-הגדרות!$E$8*(הגדרות!$E$7+1),הגדרות!$E$7)))</f>
        <v/>
      </c>
      <c r="K4105" s="0" t="str">
        <f aca="false">IF(I4105="","",J4105*הגדרות!$E$6+I4105+1)</f>
        <v/>
      </c>
      <c r="L4105" s="0" t="str">
        <f aca="false">IF(K4105="","",MATCH(K4105,$F$2:$F$5001,0))</f>
        <v/>
      </c>
      <c r="M4105" s="0" t="str">
        <f aca="false">IF(I4105="","",INDEX(הגדרות!$A$2:$A$21,MOD(I4105+הגדרות!$E$9,הגדרות!$E$6)+1))</f>
        <v/>
      </c>
    </row>
    <row r="4106" customFormat="false" ht="15" hidden="false" customHeight="false" outlineLevel="0" collapsed="false">
      <c r="A4106" s="0" t="str">
        <f aca="false">IF('הדבקת לידים'!A4106="","",IF(ISNUMBER('הדבקת לידים'!A4106),IF(הגדרות!$E$2&gt;0,TEXT('הדבקת לידים'!A4106,REPT("0",הגדרות!$E$2)),TEXT('הדבקת לידים'!A4106,"0")),TRIM('הדבקת לידים'!A4106)))</f>
        <v/>
      </c>
      <c r="B4106" s="0" t="str">
        <f aca="false">IF('הדבקת לידים'!B4106="","",IF(ISNUMBER('הדבקת לידים'!B4106),IF(הגדרות!$E$3&gt;0,TEXT('הדבקת לידים'!B4106,REPT("0",הגדרות!$E$3)),TEXT('הדבקת לידים'!B4106,"0")),TRIM('הדבקת לידים'!B4106)))</f>
        <v/>
      </c>
      <c r="C4106" s="0" t="n">
        <f aca="false">IF(OR(A4106&lt;&gt;"",B4106&lt;&gt;""),1,0)</f>
        <v>0</v>
      </c>
      <c r="D4106" s="0" t="str">
        <f aca="false">IF(C4106=1,MOD(ABS(SIN(ROW()*12.9898+'הדבקת לידים'!$F$2*78.233+IFERROR(--RIGHT(A4106,6),LEN(A4106))*0.0137+IFERROR(--RIGHT(B4106,6),LEN(B4106))*0.0071))*43758.5453,1),"")</f>
        <v/>
      </c>
      <c r="E4106" s="0" t="str">
        <f aca="false">IF(C4106=1,INT(MOD(ABS(SIN(D4106*7919.123+ROW()*0.618+'הדבקת לידים'!$F$2*1.3))*43758.5453,1)*1000000)*10000+ROW(),"")</f>
        <v/>
      </c>
      <c r="F4106" s="0" t="str">
        <f aca="false">IF(E4106="","",RANK(E4106,$E$2:$E$5001,1))</f>
        <v/>
      </c>
      <c r="G4106" s="0" t="n">
        <f aca="false">IF(A4106="",0,IF(SUMPRODUCT(--($A$2:$A$5001=A4106))&gt;1,1,0))</f>
        <v>0</v>
      </c>
      <c r="H4106" s="0" t="n">
        <f aca="false">ROW()-1</f>
        <v>4105</v>
      </c>
      <c r="I4106" s="0" t="str">
        <f aca="false">IF(OR(הגדרות!$E$6=0,H4106&gt;הגדרות!$E$5),"",IF(H4106-1&lt;הגדרות!$E$8*(הגדרות!$E$7+1),INT((H4106-1)/(הגדרות!$E$7+1)),הגדרות!$E$8+INT((H4106-1-הגדרות!$E$8*(הגדרות!$E$7+1))/הגדרות!$E$7)))</f>
        <v/>
      </c>
      <c r="J4106" s="0" t="str">
        <f aca="false">IF(I4106="","",IF(H4106-1&lt;הגדרות!$E$8*(הגדרות!$E$7+1),MOD(H4106-1,הגדרות!$E$7+1),MOD(H4106-1-הגדרות!$E$8*(הגדרות!$E$7+1),הגדרות!$E$7)))</f>
        <v/>
      </c>
      <c r="K4106" s="0" t="str">
        <f aca="false">IF(I4106="","",J4106*הגדרות!$E$6+I4106+1)</f>
        <v/>
      </c>
      <c r="L4106" s="0" t="str">
        <f aca="false">IF(K4106="","",MATCH(K4106,$F$2:$F$5001,0))</f>
        <v/>
      </c>
      <c r="M4106" s="0" t="str">
        <f aca="false">IF(I4106="","",INDEX(הגדרות!$A$2:$A$21,MOD(I4106+הגדרות!$E$9,הגדרות!$E$6)+1))</f>
        <v/>
      </c>
    </row>
    <row r="4107" customFormat="false" ht="15" hidden="false" customHeight="false" outlineLevel="0" collapsed="false">
      <c r="A4107" s="0" t="str">
        <f aca="false">IF('הדבקת לידים'!A4107="","",IF(ISNUMBER('הדבקת לידים'!A4107),IF(הגדרות!$E$2&gt;0,TEXT('הדבקת לידים'!A4107,REPT("0",הגדרות!$E$2)),TEXT('הדבקת לידים'!A4107,"0")),TRIM('הדבקת לידים'!A4107)))</f>
        <v/>
      </c>
      <c r="B4107" s="0" t="str">
        <f aca="false">IF('הדבקת לידים'!B4107="","",IF(ISNUMBER('הדבקת לידים'!B4107),IF(הגדרות!$E$3&gt;0,TEXT('הדבקת לידים'!B4107,REPT("0",הגדרות!$E$3)),TEXT('הדבקת לידים'!B4107,"0")),TRIM('הדבקת לידים'!B4107)))</f>
        <v/>
      </c>
      <c r="C4107" s="0" t="n">
        <f aca="false">IF(OR(A4107&lt;&gt;"",B4107&lt;&gt;""),1,0)</f>
        <v>0</v>
      </c>
      <c r="D4107" s="0" t="str">
        <f aca="false">IF(C4107=1,MOD(ABS(SIN(ROW()*12.9898+'הדבקת לידים'!$F$2*78.233+IFERROR(--RIGHT(A4107,6),LEN(A4107))*0.0137+IFERROR(--RIGHT(B4107,6),LEN(B4107))*0.0071))*43758.5453,1),"")</f>
        <v/>
      </c>
      <c r="E4107" s="0" t="str">
        <f aca="false">IF(C4107=1,INT(MOD(ABS(SIN(D4107*7919.123+ROW()*0.618+'הדבקת לידים'!$F$2*1.3))*43758.5453,1)*1000000)*10000+ROW(),"")</f>
        <v/>
      </c>
      <c r="F4107" s="0" t="str">
        <f aca="false">IF(E4107="","",RANK(E4107,$E$2:$E$5001,1))</f>
        <v/>
      </c>
      <c r="G4107" s="0" t="n">
        <f aca="false">IF(A4107="",0,IF(SUMPRODUCT(--($A$2:$A$5001=A4107))&gt;1,1,0))</f>
        <v>0</v>
      </c>
      <c r="H4107" s="0" t="n">
        <f aca="false">ROW()-1</f>
        <v>4106</v>
      </c>
      <c r="I4107" s="0" t="str">
        <f aca="false">IF(OR(הגדרות!$E$6=0,H4107&gt;הגדרות!$E$5),"",IF(H4107-1&lt;הגדרות!$E$8*(הגדרות!$E$7+1),INT((H4107-1)/(הגדרות!$E$7+1)),הגדרות!$E$8+INT((H4107-1-הגדרות!$E$8*(הגדרות!$E$7+1))/הגדרות!$E$7)))</f>
        <v/>
      </c>
      <c r="J4107" s="0" t="str">
        <f aca="false">IF(I4107="","",IF(H4107-1&lt;הגדרות!$E$8*(הגדרות!$E$7+1),MOD(H4107-1,הגדרות!$E$7+1),MOD(H4107-1-הגדרות!$E$8*(הגדרות!$E$7+1),הגדרות!$E$7)))</f>
        <v/>
      </c>
      <c r="K4107" s="0" t="str">
        <f aca="false">IF(I4107="","",J4107*הגדרות!$E$6+I4107+1)</f>
        <v/>
      </c>
      <c r="L4107" s="0" t="str">
        <f aca="false">IF(K4107="","",MATCH(K4107,$F$2:$F$5001,0))</f>
        <v/>
      </c>
      <c r="M4107" s="0" t="str">
        <f aca="false">IF(I4107="","",INDEX(הגדרות!$A$2:$A$21,MOD(I4107+הגדרות!$E$9,הגדרות!$E$6)+1))</f>
        <v/>
      </c>
    </row>
    <row r="4108" customFormat="false" ht="15" hidden="false" customHeight="false" outlineLevel="0" collapsed="false">
      <c r="A4108" s="0" t="str">
        <f aca="false">IF('הדבקת לידים'!A4108="","",IF(ISNUMBER('הדבקת לידים'!A4108),IF(הגדרות!$E$2&gt;0,TEXT('הדבקת לידים'!A4108,REPT("0",הגדרות!$E$2)),TEXT('הדבקת לידים'!A4108,"0")),TRIM('הדבקת לידים'!A4108)))</f>
        <v/>
      </c>
      <c r="B4108" s="0" t="str">
        <f aca="false">IF('הדבקת לידים'!B4108="","",IF(ISNUMBER('הדבקת לידים'!B4108),IF(הגדרות!$E$3&gt;0,TEXT('הדבקת לידים'!B4108,REPT("0",הגדרות!$E$3)),TEXT('הדבקת לידים'!B4108,"0")),TRIM('הדבקת לידים'!B4108)))</f>
        <v/>
      </c>
      <c r="C4108" s="0" t="n">
        <f aca="false">IF(OR(A4108&lt;&gt;"",B4108&lt;&gt;""),1,0)</f>
        <v>0</v>
      </c>
      <c r="D4108" s="0" t="str">
        <f aca="false">IF(C4108=1,MOD(ABS(SIN(ROW()*12.9898+'הדבקת לידים'!$F$2*78.233+IFERROR(--RIGHT(A4108,6),LEN(A4108))*0.0137+IFERROR(--RIGHT(B4108,6),LEN(B4108))*0.0071))*43758.5453,1),"")</f>
        <v/>
      </c>
      <c r="E4108" s="0" t="str">
        <f aca="false">IF(C4108=1,INT(MOD(ABS(SIN(D4108*7919.123+ROW()*0.618+'הדבקת לידים'!$F$2*1.3))*43758.5453,1)*1000000)*10000+ROW(),"")</f>
        <v/>
      </c>
      <c r="F4108" s="0" t="str">
        <f aca="false">IF(E4108="","",RANK(E4108,$E$2:$E$5001,1))</f>
        <v/>
      </c>
      <c r="G4108" s="0" t="n">
        <f aca="false">IF(A4108="",0,IF(SUMPRODUCT(--($A$2:$A$5001=A4108))&gt;1,1,0))</f>
        <v>0</v>
      </c>
      <c r="H4108" s="0" t="n">
        <f aca="false">ROW()-1</f>
        <v>4107</v>
      </c>
      <c r="I4108" s="0" t="str">
        <f aca="false">IF(OR(הגדרות!$E$6=0,H4108&gt;הגדרות!$E$5),"",IF(H4108-1&lt;הגדרות!$E$8*(הגדרות!$E$7+1),INT((H4108-1)/(הגדרות!$E$7+1)),הגדרות!$E$8+INT((H4108-1-הגדרות!$E$8*(הגדרות!$E$7+1))/הגדרות!$E$7)))</f>
        <v/>
      </c>
      <c r="J4108" s="0" t="str">
        <f aca="false">IF(I4108="","",IF(H4108-1&lt;הגדרות!$E$8*(הגדרות!$E$7+1),MOD(H4108-1,הגדרות!$E$7+1),MOD(H4108-1-הגדרות!$E$8*(הגדרות!$E$7+1),הגדרות!$E$7)))</f>
        <v/>
      </c>
      <c r="K4108" s="0" t="str">
        <f aca="false">IF(I4108="","",J4108*הגדרות!$E$6+I4108+1)</f>
        <v/>
      </c>
      <c r="L4108" s="0" t="str">
        <f aca="false">IF(K4108="","",MATCH(K4108,$F$2:$F$5001,0))</f>
        <v/>
      </c>
      <c r="M4108" s="0" t="str">
        <f aca="false">IF(I4108="","",INDEX(הגדרות!$A$2:$A$21,MOD(I4108+הגדרות!$E$9,הגדרות!$E$6)+1))</f>
        <v/>
      </c>
    </row>
    <row r="4109" customFormat="false" ht="15" hidden="false" customHeight="false" outlineLevel="0" collapsed="false">
      <c r="A4109" s="0" t="str">
        <f aca="false">IF('הדבקת לידים'!A4109="","",IF(ISNUMBER('הדבקת לידים'!A4109),IF(הגדרות!$E$2&gt;0,TEXT('הדבקת לידים'!A4109,REPT("0",הגדרות!$E$2)),TEXT('הדבקת לידים'!A4109,"0")),TRIM('הדבקת לידים'!A4109)))</f>
        <v/>
      </c>
      <c r="B4109" s="0" t="str">
        <f aca="false">IF('הדבקת לידים'!B4109="","",IF(ISNUMBER('הדבקת לידים'!B4109),IF(הגדרות!$E$3&gt;0,TEXT('הדבקת לידים'!B4109,REPT("0",הגדרות!$E$3)),TEXT('הדבקת לידים'!B4109,"0")),TRIM('הדבקת לידים'!B4109)))</f>
        <v/>
      </c>
      <c r="C4109" s="0" t="n">
        <f aca="false">IF(OR(A4109&lt;&gt;"",B4109&lt;&gt;""),1,0)</f>
        <v>0</v>
      </c>
      <c r="D4109" s="0" t="str">
        <f aca="false">IF(C4109=1,MOD(ABS(SIN(ROW()*12.9898+'הדבקת לידים'!$F$2*78.233+IFERROR(--RIGHT(A4109,6),LEN(A4109))*0.0137+IFERROR(--RIGHT(B4109,6),LEN(B4109))*0.0071))*43758.5453,1),"")</f>
        <v/>
      </c>
      <c r="E4109" s="0" t="str">
        <f aca="false">IF(C4109=1,INT(MOD(ABS(SIN(D4109*7919.123+ROW()*0.618+'הדבקת לידים'!$F$2*1.3))*43758.5453,1)*1000000)*10000+ROW(),"")</f>
        <v/>
      </c>
      <c r="F4109" s="0" t="str">
        <f aca="false">IF(E4109="","",RANK(E4109,$E$2:$E$5001,1))</f>
        <v/>
      </c>
      <c r="G4109" s="0" t="n">
        <f aca="false">IF(A4109="",0,IF(SUMPRODUCT(--($A$2:$A$5001=A4109))&gt;1,1,0))</f>
        <v>0</v>
      </c>
      <c r="H4109" s="0" t="n">
        <f aca="false">ROW()-1</f>
        <v>4108</v>
      </c>
      <c r="I4109" s="0" t="str">
        <f aca="false">IF(OR(הגדרות!$E$6=0,H4109&gt;הגדרות!$E$5),"",IF(H4109-1&lt;הגדרות!$E$8*(הגדרות!$E$7+1),INT((H4109-1)/(הגדרות!$E$7+1)),הגדרות!$E$8+INT((H4109-1-הגדרות!$E$8*(הגדרות!$E$7+1))/הגדרות!$E$7)))</f>
        <v/>
      </c>
      <c r="J4109" s="0" t="str">
        <f aca="false">IF(I4109="","",IF(H4109-1&lt;הגדרות!$E$8*(הגדרות!$E$7+1),MOD(H4109-1,הגדרות!$E$7+1),MOD(H4109-1-הגדרות!$E$8*(הגדרות!$E$7+1),הגדרות!$E$7)))</f>
        <v/>
      </c>
      <c r="K4109" s="0" t="str">
        <f aca="false">IF(I4109="","",J4109*הגדרות!$E$6+I4109+1)</f>
        <v/>
      </c>
      <c r="L4109" s="0" t="str">
        <f aca="false">IF(K4109="","",MATCH(K4109,$F$2:$F$5001,0))</f>
        <v/>
      </c>
      <c r="M4109" s="0" t="str">
        <f aca="false">IF(I4109="","",INDEX(הגדרות!$A$2:$A$21,MOD(I4109+הגדרות!$E$9,הגדרות!$E$6)+1))</f>
        <v/>
      </c>
    </row>
    <row r="4110" customFormat="false" ht="15" hidden="false" customHeight="false" outlineLevel="0" collapsed="false">
      <c r="A4110" s="0" t="str">
        <f aca="false">IF('הדבקת לידים'!A4110="","",IF(ISNUMBER('הדבקת לידים'!A4110),IF(הגדרות!$E$2&gt;0,TEXT('הדבקת לידים'!A4110,REPT("0",הגדרות!$E$2)),TEXT('הדבקת לידים'!A4110,"0")),TRIM('הדבקת לידים'!A4110)))</f>
        <v/>
      </c>
      <c r="B4110" s="0" t="str">
        <f aca="false">IF('הדבקת לידים'!B4110="","",IF(ISNUMBER('הדבקת לידים'!B4110),IF(הגדרות!$E$3&gt;0,TEXT('הדבקת לידים'!B4110,REPT("0",הגדרות!$E$3)),TEXT('הדבקת לידים'!B4110,"0")),TRIM('הדבקת לידים'!B4110)))</f>
        <v/>
      </c>
      <c r="C4110" s="0" t="n">
        <f aca="false">IF(OR(A4110&lt;&gt;"",B4110&lt;&gt;""),1,0)</f>
        <v>0</v>
      </c>
      <c r="D4110" s="0" t="str">
        <f aca="false">IF(C4110=1,MOD(ABS(SIN(ROW()*12.9898+'הדבקת לידים'!$F$2*78.233+IFERROR(--RIGHT(A4110,6),LEN(A4110))*0.0137+IFERROR(--RIGHT(B4110,6),LEN(B4110))*0.0071))*43758.5453,1),"")</f>
        <v/>
      </c>
      <c r="E4110" s="0" t="str">
        <f aca="false">IF(C4110=1,INT(MOD(ABS(SIN(D4110*7919.123+ROW()*0.618+'הדבקת לידים'!$F$2*1.3))*43758.5453,1)*1000000)*10000+ROW(),"")</f>
        <v/>
      </c>
      <c r="F4110" s="0" t="str">
        <f aca="false">IF(E4110="","",RANK(E4110,$E$2:$E$5001,1))</f>
        <v/>
      </c>
      <c r="G4110" s="0" t="n">
        <f aca="false">IF(A4110="",0,IF(SUMPRODUCT(--($A$2:$A$5001=A4110))&gt;1,1,0))</f>
        <v>0</v>
      </c>
      <c r="H4110" s="0" t="n">
        <f aca="false">ROW()-1</f>
        <v>4109</v>
      </c>
      <c r="I4110" s="0" t="str">
        <f aca="false">IF(OR(הגדרות!$E$6=0,H4110&gt;הגדרות!$E$5),"",IF(H4110-1&lt;הגדרות!$E$8*(הגדרות!$E$7+1),INT((H4110-1)/(הגדרות!$E$7+1)),הגדרות!$E$8+INT((H4110-1-הגדרות!$E$8*(הגדרות!$E$7+1))/הגדרות!$E$7)))</f>
        <v/>
      </c>
      <c r="J4110" s="0" t="str">
        <f aca="false">IF(I4110="","",IF(H4110-1&lt;הגדרות!$E$8*(הגדרות!$E$7+1),MOD(H4110-1,הגדרות!$E$7+1),MOD(H4110-1-הגדרות!$E$8*(הגדרות!$E$7+1),הגדרות!$E$7)))</f>
        <v/>
      </c>
      <c r="K4110" s="0" t="str">
        <f aca="false">IF(I4110="","",J4110*הגדרות!$E$6+I4110+1)</f>
        <v/>
      </c>
      <c r="L4110" s="0" t="str">
        <f aca="false">IF(K4110="","",MATCH(K4110,$F$2:$F$5001,0))</f>
        <v/>
      </c>
      <c r="M4110" s="0" t="str">
        <f aca="false">IF(I4110="","",INDEX(הגדרות!$A$2:$A$21,MOD(I4110+הגדרות!$E$9,הגדרות!$E$6)+1))</f>
        <v/>
      </c>
    </row>
    <row r="4111" customFormat="false" ht="15" hidden="false" customHeight="false" outlineLevel="0" collapsed="false">
      <c r="A4111" s="0" t="str">
        <f aca="false">IF('הדבקת לידים'!A4111="","",IF(ISNUMBER('הדבקת לידים'!A4111),IF(הגדרות!$E$2&gt;0,TEXT('הדבקת לידים'!A4111,REPT("0",הגדרות!$E$2)),TEXT('הדבקת לידים'!A4111,"0")),TRIM('הדבקת לידים'!A4111)))</f>
        <v/>
      </c>
      <c r="B4111" s="0" t="str">
        <f aca="false">IF('הדבקת לידים'!B4111="","",IF(ISNUMBER('הדבקת לידים'!B4111),IF(הגדרות!$E$3&gt;0,TEXT('הדבקת לידים'!B4111,REPT("0",הגדרות!$E$3)),TEXT('הדבקת לידים'!B4111,"0")),TRIM('הדבקת לידים'!B4111)))</f>
        <v/>
      </c>
      <c r="C4111" s="0" t="n">
        <f aca="false">IF(OR(A4111&lt;&gt;"",B4111&lt;&gt;""),1,0)</f>
        <v>0</v>
      </c>
      <c r="D4111" s="0" t="str">
        <f aca="false">IF(C4111=1,MOD(ABS(SIN(ROW()*12.9898+'הדבקת לידים'!$F$2*78.233+IFERROR(--RIGHT(A4111,6),LEN(A4111))*0.0137+IFERROR(--RIGHT(B4111,6),LEN(B4111))*0.0071))*43758.5453,1),"")</f>
        <v/>
      </c>
      <c r="E4111" s="0" t="str">
        <f aca="false">IF(C4111=1,INT(MOD(ABS(SIN(D4111*7919.123+ROW()*0.618+'הדבקת לידים'!$F$2*1.3))*43758.5453,1)*1000000)*10000+ROW(),"")</f>
        <v/>
      </c>
      <c r="F4111" s="0" t="str">
        <f aca="false">IF(E4111="","",RANK(E4111,$E$2:$E$5001,1))</f>
        <v/>
      </c>
      <c r="G4111" s="0" t="n">
        <f aca="false">IF(A4111="",0,IF(SUMPRODUCT(--($A$2:$A$5001=A4111))&gt;1,1,0))</f>
        <v>0</v>
      </c>
      <c r="H4111" s="0" t="n">
        <f aca="false">ROW()-1</f>
        <v>4110</v>
      </c>
      <c r="I4111" s="0" t="str">
        <f aca="false">IF(OR(הגדרות!$E$6=0,H4111&gt;הגדרות!$E$5),"",IF(H4111-1&lt;הגדרות!$E$8*(הגדרות!$E$7+1),INT((H4111-1)/(הגדרות!$E$7+1)),הגדרות!$E$8+INT((H4111-1-הגדרות!$E$8*(הגדרות!$E$7+1))/הגדרות!$E$7)))</f>
        <v/>
      </c>
      <c r="J4111" s="0" t="str">
        <f aca="false">IF(I4111="","",IF(H4111-1&lt;הגדרות!$E$8*(הגדרות!$E$7+1),MOD(H4111-1,הגדרות!$E$7+1),MOD(H4111-1-הגדרות!$E$8*(הגדרות!$E$7+1),הגדרות!$E$7)))</f>
        <v/>
      </c>
      <c r="K4111" s="0" t="str">
        <f aca="false">IF(I4111="","",J4111*הגדרות!$E$6+I4111+1)</f>
        <v/>
      </c>
      <c r="L4111" s="0" t="str">
        <f aca="false">IF(K4111="","",MATCH(K4111,$F$2:$F$5001,0))</f>
        <v/>
      </c>
      <c r="M4111" s="0" t="str">
        <f aca="false">IF(I4111="","",INDEX(הגדרות!$A$2:$A$21,MOD(I4111+הגדרות!$E$9,הגדרות!$E$6)+1))</f>
        <v/>
      </c>
    </row>
    <row r="4112" customFormat="false" ht="15" hidden="false" customHeight="false" outlineLevel="0" collapsed="false">
      <c r="A4112" s="0" t="str">
        <f aca="false">IF('הדבקת לידים'!A4112="","",IF(ISNUMBER('הדבקת לידים'!A4112),IF(הגדרות!$E$2&gt;0,TEXT('הדבקת לידים'!A4112,REPT("0",הגדרות!$E$2)),TEXT('הדבקת לידים'!A4112,"0")),TRIM('הדבקת לידים'!A4112)))</f>
        <v/>
      </c>
      <c r="B4112" s="0" t="str">
        <f aca="false">IF('הדבקת לידים'!B4112="","",IF(ISNUMBER('הדבקת לידים'!B4112),IF(הגדרות!$E$3&gt;0,TEXT('הדבקת לידים'!B4112,REPT("0",הגדרות!$E$3)),TEXT('הדבקת לידים'!B4112,"0")),TRIM('הדבקת לידים'!B4112)))</f>
        <v/>
      </c>
      <c r="C4112" s="0" t="n">
        <f aca="false">IF(OR(A4112&lt;&gt;"",B4112&lt;&gt;""),1,0)</f>
        <v>0</v>
      </c>
      <c r="D4112" s="0" t="str">
        <f aca="false">IF(C4112=1,MOD(ABS(SIN(ROW()*12.9898+'הדבקת לידים'!$F$2*78.233+IFERROR(--RIGHT(A4112,6),LEN(A4112))*0.0137+IFERROR(--RIGHT(B4112,6),LEN(B4112))*0.0071))*43758.5453,1),"")</f>
        <v/>
      </c>
      <c r="E4112" s="0" t="str">
        <f aca="false">IF(C4112=1,INT(MOD(ABS(SIN(D4112*7919.123+ROW()*0.618+'הדבקת לידים'!$F$2*1.3))*43758.5453,1)*1000000)*10000+ROW(),"")</f>
        <v/>
      </c>
      <c r="F4112" s="0" t="str">
        <f aca="false">IF(E4112="","",RANK(E4112,$E$2:$E$5001,1))</f>
        <v/>
      </c>
      <c r="G4112" s="0" t="n">
        <f aca="false">IF(A4112="",0,IF(SUMPRODUCT(--($A$2:$A$5001=A4112))&gt;1,1,0))</f>
        <v>0</v>
      </c>
      <c r="H4112" s="0" t="n">
        <f aca="false">ROW()-1</f>
        <v>4111</v>
      </c>
      <c r="I4112" s="0" t="str">
        <f aca="false">IF(OR(הגדרות!$E$6=0,H4112&gt;הגדרות!$E$5),"",IF(H4112-1&lt;הגדרות!$E$8*(הגדרות!$E$7+1),INT((H4112-1)/(הגדרות!$E$7+1)),הגדרות!$E$8+INT((H4112-1-הגדרות!$E$8*(הגדרות!$E$7+1))/הגדרות!$E$7)))</f>
        <v/>
      </c>
      <c r="J4112" s="0" t="str">
        <f aca="false">IF(I4112="","",IF(H4112-1&lt;הגדרות!$E$8*(הגדרות!$E$7+1),MOD(H4112-1,הגדרות!$E$7+1),MOD(H4112-1-הגדרות!$E$8*(הגדרות!$E$7+1),הגדרות!$E$7)))</f>
        <v/>
      </c>
      <c r="K4112" s="0" t="str">
        <f aca="false">IF(I4112="","",J4112*הגדרות!$E$6+I4112+1)</f>
        <v/>
      </c>
      <c r="L4112" s="0" t="str">
        <f aca="false">IF(K4112="","",MATCH(K4112,$F$2:$F$5001,0))</f>
        <v/>
      </c>
      <c r="M4112" s="0" t="str">
        <f aca="false">IF(I4112="","",INDEX(הגדרות!$A$2:$A$21,MOD(I4112+הגדרות!$E$9,הגדרות!$E$6)+1))</f>
        <v/>
      </c>
    </row>
    <row r="4113" customFormat="false" ht="15" hidden="false" customHeight="false" outlineLevel="0" collapsed="false">
      <c r="A4113" s="0" t="str">
        <f aca="false">IF('הדבקת לידים'!A4113="","",IF(ISNUMBER('הדבקת לידים'!A4113),IF(הגדרות!$E$2&gt;0,TEXT('הדבקת לידים'!A4113,REPT("0",הגדרות!$E$2)),TEXT('הדבקת לידים'!A4113,"0")),TRIM('הדבקת לידים'!A4113)))</f>
        <v/>
      </c>
      <c r="B4113" s="0" t="str">
        <f aca="false">IF('הדבקת לידים'!B4113="","",IF(ISNUMBER('הדבקת לידים'!B4113),IF(הגדרות!$E$3&gt;0,TEXT('הדבקת לידים'!B4113,REPT("0",הגדרות!$E$3)),TEXT('הדבקת לידים'!B4113,"0")),TRIM('הדבקת לידים'!B4113)))</f>
        <v/>
      </c>
      <c r="C4113" s="0" t="n">
        <f aca="false">IF(OR(A4113&lt;&gt;"",B4113&lt;&gt;""),1,0)</f>
        <v>0</v>
      </c>
      <c r="D4113" s="0" t="str">
        <f aca="false">IF(C4113=1,MOD(ABS(SIN(ROW()*12.9898+'הדבקת לידים'!$F$2*78.233+IFERROR(--RIGHT(A4113,6),LEN(A4113))*0.0137+IFERROR(--RIGHT(B4113,6),LEN(B4113))*0.0071))*43758.5453,1),"")</f>
        <v/>
      </c>
      <c r="E4113" s="0" t="str">
        <f aca="false">IF(C4113=1,INT(MOD(ABS(SIN(D4113*7919.123+ROW()*0.618+'הדבקת לידים'!$F$2*1.3))*43758.5453,1)*1000000)*10000+ROW(),"")</f>
        <v/>
      </c>
      <c r="F4113" s="0" t="str">
        <f aca="false">IF(E4113="","",RANK(E4113,$E$2:$E$5001,1))</f>
        <v/>
      </c>
      <c r="G4113" s="0" t="n">
        <f aca="false">IF(A4113="",0,IF(SUMPRODUCT(--($A$2:$A$5001=A4113))&gt;1,1,0))</f>
        <v>0</v>
      </c>
      <c r="H4113" s="0" t="n">
        <f aca="false">ROW()-1</f>
        <v>4112</v>
      </c>
      <c r="I4113" s="0" t="str">
        <f aca="false">IF(OR(הגדרות!$E$6=0,H4113&gt;הגדרות!$E$5),"",IF(H4113-1&lt;הגדרות!$E$8*(הגדרות!$E$7+1),INT((H4113-1)/(הגדרות!$E$7+1)),הגדרות!$E$8+INT((H4113-1-הגדרות!$E$8*(הגדרות!$E$7+1))/הגדרות!$E$7)))</f>
        <v/>
      </c>
      <c r="J4113" s="0" t="str">
        <f aca="false">IF(I4113="","",IF(H4113-1&lt;הגדרות!$E$8*(הגדרות!$E$7+1),MOD(H4113-1,הגדרות!$E$7+1),MOD(H4113-1-הגדרות!$E$8*(הגדרות!$E$7+1),הגדרות!$E$7)))</f>
        <v/>
      </c>
      <c r="K4113" s="0" t="str">
        <f aca="false">IF(I4113="","",J4113*הגדרות!$E$6+I4113+1)</f>
        <v/>
      </c>
      <c r="L4113" s="0" t="str">
        <f aca="false">IF(K4113="","",MATCH(K4113,$F$2:$F$5001,0))</f>
        <v/>
      </c>
      <c r="M4113" s="0" t="str">
        <f aca="false">IF(I4113="","",INDEX(הגדרות!$A$2:$A$21,MOD(I4113+הגדרות!$E$9,הגדרות!$E$6)+1))</f>
        <v/>
      </c>
    </row>
    <row r="4114" customFormat="false" ht="15" hidden="false" customHeight="false" outlineLevel="0" collapsed="false">
      <c r="A4114" s="0" t="str">
        <f aca="false">IF('הדבקת לידים'!A4114="","",IF(ISNUMBER('הדבקת לידים'!A4114),IF(הגדרות!$E$2&gt;0,TEXT('הדבקת לידים'!A4114,REPT("0",הגדרות!$E$2)),TEXT('הדבקת לידים'!A4114,"0")),TRIM('הדבקת לידים'!A4114)))</f>
        <v/>
      </c>
      <c r="B4114" s="0" t="str">
        <f aca="false">IF('הדבקת לידים'!B4114="","",IF(ISNUMBER('הדבקת לידים'!B4114),IF(הגדרות!$E$3&gt;0,TEXT('הדבקת לידים'!B4114,REPT("0",הגדרות!$E$3)),TEXT('הדבקת לידים'!B4114,"0")),TRIM('הדבקת לידים'!B4114)))</f>
        <v/>
      </c>
      <c r="C4114" s="0" t="n">
        <f aca="false">IF(OR(A4114&lt;&gt;"",B4114&lt;&gt;""),1,0)</f>
        <v>0</v>
      </c>
      <c r="D4114" s="0" t="str">
        <f aca="false">IF(C4114=1,MOD(ABS(SIN(ROW()*12.9898+'הדבקת לידים'!$F$2*78.233+IFERROR(--RIGHT(A4114,6),LEN(A4114))*0.0137+IFERROR(--RIGHT(B4114,6),LEN(B4114))*0.0071))*43758.5453,1),"")</f>
        <v/>
      </c>
      <c r="E4114" s="0" t="str">
        <f aca="false">IF(C4114=1,INT(MOD(ABS(SIN(D4114*7919.123+ROW()*0.618+'הדבקת לידים'!$F$2*1.3))*43758.5453,1)*1000000)*10000+ROW(),"")</f>
        <v/>
      </c>
      <c r="F4114" s="0" t="str">
        <f aca="false">IF(E4114="","",RANK(E4114,$E$2:$E$5001,1))</f>
        <v/>
      </c>
      <c r="G4114" s="0" t="n">
        <f aca="false">IF(A4114="",0,IF(SUMPRODUCT(--($A$2:$A$5001=A4114))&gt;1,1,0))</f>
        <v>0</v>
      </c>
      <c r="H4114" s="0" t="n">
        <f aca="false">ROW()-1</f>
        <v>4113</v>
      </c>
      <c r="I4114" s="0" t="str">
        <f aca="false">IF(OR(הגדרות!$E$6=0,H4114&gt;הגדרות!$E$5),"",IF(H4114-1&lt;הגדרות!$E$8*(הגדרות!$E$7+1),INT((H4114-1)/(הגדרות!$E$7+1)),הגדרות!$E$8+INT((H4114-1-הגדרות!$E$8*(הגדרות!$E$7+1))/הגדרות!$E$7)))</f>
        <v/>
      </c>
      <c r="J4114" s="0" t="str">
        <f aca="false">IF(I4114="","",IF(H4114-1&lt;הגדרות!$E$8*(הגדרות!$E$7+1),MOD(H4114-1,הגדרות!$E$7+1),MOD(H4114-1-הגדרות!$E$8*(הגדרות!$E$7+1),הגדרות!$E$7)))</f>
        <v/>
      </c>
      <c r="K4114" s="0" t="str">
        <f aca="false">IF(I4114="","",J4114*הגדרות!$E$6+I4114+1)</f>
        <v/>
      </c>
      <c r="L4114" s="0" t="str">
        <f aca="false">IF(K4114="","",MATCH(K4114,$F$2:$F$5001,0))</f>
        <v/>
      </c>
      <c r="M4114" s="0" t="str">
        <f aca="false">IF(I4114="","",INDEX(הגדרות!$A$2:$A$21,MOD(I4114+הגדרות!$E$9,הגדרות!$E$6)+1))</f>
        <v/>
      </c>
    </row>
    <row r="4115" customFormat="false" ht="15" hidden="false" customHeight="false" outlineLevel="0" collapsed="false">
      <c r="A4115" s="0" t="str">
        <f aca="false">IF('הדבקת לידים'!A4115="","",IF(ISNUMBER('הדבקת לידים'!A4115),IF(הגדרות!$E$2&gt;0,TEXT('הדבקת לידים'!A4115,REPT("0",הגדרות!$E$2)),TEXT('הדבקת לידים'!A4115,"0")),TRIM('הדבקת לידים'!A4115)))</f>
        <v/>
      </c>
      <c r="B4115" s="0" t="str">
        <f aca="false">IF('הדבקת לידים'!B4115="","",IF(ISNUMBER('הדבקת לידים'!B4115),IF(הגדרות!$E$3&gt;0,TEXT('הדבקת לידים'!B4115,REPT("0",הגדרות!$E$3)),TEXT('הדבקת לידים'!B4115,"0")),TRIM('הדבקת לידים'!B4115)))</f>
        <v/>
      </c>
      <c r="C4115" s="0" t="n">
        <f aca="false">IF(OR(A4115&lt;&gt;"",B4115&lt;&gt;""),1,0)</f>
        <v>0</v>
      </c>
      <c r="D4115" s="0" t="str">
        <f aca="false">IF(C4115=1,MOD(ABS(SIN(ROW()*12.9898+'הדבקת לידים'!$F$2*78.233+IFERROR(--RIGHT(A4115,6),LEN(A4115))*0.0137+IFERROR(--RIGHT(B4115,6),LEN(B4115))*0.0071))*43758.5453,1),"")</f>
        <v/>
      </c>
      <c r="E4115" s="0" t="str">
        <f aca="false">IF(C4115=1,INT(MOD(ABS(SIN(D4115*7919.123+ROW()*0.618+'הדבקת לידים'!$F$2*1.3))*43758.5453,1)*1000000)*10000+ROW(),"")</f>
        <v/>
      </c>
      <c r="F4115" s="0" t="str">
        <f aca="false">IF(E4115="","",RANK(E4115,$E$2:$E$5001,1))</f>
        <v/>
      </c>
      <c r="G4115" s="0" t="n">
        <f aca="false">IF(A4115="",0,IF(SUMPRODUCT(--($A$2:$A$5001=A4115))&gt;1,1,0))</f>
        <v>0</v>
      </c>
      <c r="H4115" s="0" t="n">
        <f aca="false">ROW()-1</f>
        <v>4114</v>
      </c>
      <c r="I4115" s="0" t="str">
        <f aca="false">IF(OR(הגדרות!$E$6=0,H4115&gt;הגדרות!$E$5),"",IF(H4115-1&lt;הגדרות!$E$8*(הגדרות!$E$7+1),INT((H4115-1)/(הגדרות!$E$7+1)),הגדרות!$E$8+INT((H4115-1-הגדרות!$E$8*(הגדרות!$E$7+1))/הגדרות!$E$7)))</f>
        <v/>
      </c>
      <c r="J4115" s="0" t="str">
        <f aca="false">IF(I4115="","",IF(H4115-1&lt;הגדרות!$E$8*(הגדרות!$E$7+1),MOD(H4115-1,הגדרות!$E$7+1),MOD(H4115-1-הגדרות!$E$8*(הגדרות!$E$7+1),הגדרות!$E$7)))</f>
        <v/>
      </c>
      <c r="K4115" s="0" t="str">
        <f aca="false">IF(I4115="","",J4115*הגדרות!$E$6+I4115+1)</f>
        <v/>
      </c>
      <c r="L4115" s="0" t="str">
        <f aca="false">IF(K4115="","",MATCH(K4115,$F$2:$F$5001,0))</f>
        <v/>
      </c>
      <c r="M4115" s="0" t="str">
        <f aca="false">IF(I4115="","",INDEX(הגדרות!$A$2:$A$21,MOD(I4115+הגדרות!$E$9,הגדרות!$E$6)+1))</f>
        <v/>
      </c>
    </row>
    <row r="4116" customFormat="false" ht="15" hidden="false" customHeight="false" outlineLevel="0" collapsed="false">
      <c r="A4116" s="0" t="str">
        <f aca="false">IF('הדבקת לידים'!A4116="","",IF(ISNUMBER('הדבקת לידים'!A4116),IF(הגדרות!$E$2&gt;0,TEXT('הדבקת לידים'!A4116,REPT("0",הגדרות!$E$2)),TEXT('הדבקת לידים'!A4116,"0")),TRIM('הדבקת לידים'!A4116)))</f>
        <v/>
      </c>
      <c r="B4116" s="0" t="str">
        <f aca="false">IF('הדבקת לידים'!B4116="","",IF(ISNUMBER('הדבקת לידים'!B4116),IF(הגדרות!$E$3&gt;0,TEXT('הדבקת לידים'!B4116,REPT("0",הגדרות!$E$3)),TEXT('הדבקת לידים'!B4116,"0")),TRIM('הדבקת לידים'!B4116)))</f>
        <v/>
      </c>
      <c r="C4116" s="0" t="n">
        <f aca="false">IF(OR(A4116&lt;&gt;"",B4116&lt;&gt;""),1,0)</f>
        <v>0</v>
      </c>
      <c r="D4116" s="0" t="str">
        <f aca="false">IF(C4116=1,MOD(ABS(SIN(ROW()*12.9898+'הדבקת לידים'!$F$2*78.233+IFERROR(--RIGHT(A4116,6),LEN(A4116))*0.0137+IFERROR(--RIGHT(B4116,6),LEN(B4116))*0.0071))*43758.5453,1),"")</f>
        <v/>
      </c>
      <c r="E4116" s="0" t="str">
        <f aca="false">IF(C4116=1,INT(MOD(ABS(SIN(D4116*7919.123+ROW()*0.618+'הדבקת לידים'!$F$2*1.3))*43758.5453,1)*1000000)*10000+ROW(),"")</f>
        <v/>
      </c>
      <c r="F4116" s="0" t="str">
        <f aca="false">IF(E4116="","",RANK(E4116,$E$2:$E$5001,1))</f>
        <v/>
      </c>
      <c r="G4116" s="0" t="n">
        <f aca="false">IF(A4116="",0,IF(SUMPRODUCT(--($A$2:$A$5001=A4116))&gt;1,1,0))</f>
        <v>0</v>
      </c>
      <c r="H4116" s="0" t="n">
        <f aca="false">ROW()-1</f>
        <v>4115</v>
      </c>
      <c r="I4116" s="0" t="str">
        <f aca="false">IF(OR(הגדרות!$E$6=0,H4116&gt;הגדרות!$E$5),"",IF(H4116-1&lt;הגדרות!$E$8*(הגדרות!$E$7+1),INT((H4116-1)/(הגדרות!$E$7+1)),הגדרות!$E$8+INT((H4116-1-הגדרות!$E$8*(הגדרות!$E$7+1))/הגדרות!$E$7)))</f>
        <v/>
      </c>
      <c r="J4116" s="0" t="str">
        <f aca="false">IF(I4116="","",IF(H4116-1&lt;הגדרות!$E$8*(הגדרות!$E$7+1),MOD(H4116-1,הגדרות!$E$7+1),MOD(H4116-1-הגדרות!$E$8*(הגדרות!$E$7+1),הגדרות!$E$7)))</f>
        <v/>
      </c>
      <c r="K4116" s="0" t="str">
        <f aca="false">IF(I4116="","",J4116*הגדרות!$E$6+I4116+1)</f>
        <v/>
      </c>
      <c r="L4116" s="0" t="str">
        <f aca="false">IF(K4116="","",MATCH(K4116,$F$2:$F$5001,0))</f>
        <v/>
      </c>
      <c r="M4116" s="0" t="str">
        <f aca="false">IF(I4116="","",INDEX(הגדרות!$A$2:$A$21,MOD(I4116+הגדרות!$E$9,הגדרות!$E$6)+1))</f>
        <v/>
      </c>
    </row>
    <row r="4117" customFormat="false" ht="15" hidden="false" customHeight="false" outlineLevel="0" collapsed="false">
      <c r="A4117" s="0" t="str">
        <f aca="false">IF('הדבקת לידים'!A4117="","",IF(ISNUMBER('הדבקת לידים'!A4117),IF(הגדרות!$E$2&gt;0,TEXT('הדבקת לידים'!A4117,REPT("0",הגדרות!$E$2)),TEXT('הדבקת לידים'!A4117,"0")),TRIM('הדבקת לידים'!A4117)))</f>
        <v/>
      </c>
      <c r="B4117" s="0" t="str">
        <f aca="false">IF('הדבקת לידים'!B4117="","",IF(ISNUMBER('הדבקת לידים'!B4117),IF(הגדרות!$E$3&gt;0,TEXT('הדבקת לידים'!B4117,REPT("0",הגדרות!$E$3)),TEXT('הדבקת לידים'!B4117,"0")),TRIM('הדבקת לידים'!B4117)))</f>
        <v/>
      </c>
      <c r="C4117" s="0" t="n">
        <f aca="false">IF(OR(A4117&lt;&gt;"",B4117&lt;&gt;""),1,0)</f>
        <v>0</v>
      </c>
      <c r="D4117" s="0" t="str">
        <f aca="false">IF(C4117=1,MOD(ABS(SIN(ROW()*12.9898+'הדבקת לידים'!$F$2*78.233+IFERROR(--RIGHT(A4117,6),LEN(A4117))*0.0137+IFERROR(--RIGHT(B4117,6),LEN(B4117))*0.0071))*43758.5453,1),"")</f>
        <v/>
      </c>
      <c r="E4117" s="0" t="str">
        <f aca="false">IF(C4117=1,INT(MOD(ABS(SIN(D4117*7919.123+ROW()*0.618+'הדבקת לידים'!$F$2*1.3))*43758.5453,1)*1000000)*10000+ROW(),"")</f>
        <v/>
      </c>
      <c r="F4117" s="0" t="str">
        <f aca="false">IF(E4117="","",RANK(E4117,$E$2:$E$5001,1))</f>
        <v/>
      </c>
      <c r="G4117" s="0" t="n">
        <f aca="false">IF(A4117="",0,IF(SUMPRODUCT(--($A$2:$A$5001=A4117))&gt;1,1,0))</f>
        <v>0</v>
      </c>
      <c r="H4117" s="0" t="n">
        <f aca="false">ROW()-1</f>
        <v>4116</v>
      </c>
      <c r="I4117" s="0" t="str">
        <f aca="false">IF(OR(הגדרות!$E$6=0,H4117&gt;הגדרות!$E$5),"",IF(H4117-1&lt;הגדרות!$E$8*(הגדרות!$E$7+1),INT((H4117-1)/(הגדרות!$E$7+1)),הגדרות!$E$8+INT((H4117-1-הגדרות!$E$8*(הגדרות!$E$7+1))/הגדרות!$E$7)))</f>
        <v/>
      </c>
      <c r="J4117" s="0" t="str">
        <f aca="false">IF(I4117="","",IF(H4117-1&lt;הגדרות!$E$8*(הגדרות!$E$7+1),MOD(H4117-1,הגדרות!$E$7+1),MOD(H4117-1-הגדרות!$E$8*(הגדרות!$E$7+1),הגדרות!$E$7)))</f>
        <v/>
      </c>
      <c r="K4117" s="0" t="str">
        <f aca="false">IF(I4117="","",J4117*הגדרות!$E$6+I4117+1)</f>
        <v/>
      </c>
      <c r="L4117" s="0" t="str">
        <f aca="false">IF(K4117="","",MATCH(K4117,$F$2:$F$5001,0))</f>
        <v/>
      </c>
      <c r="M4117" s="0" t="str">
        <f aca="false">IF(I4117="","",INDEX(הגדרות!$A$2:$A$21,MOD(I4117+הגדרות!$E$9,הגדרות!$E$6)+1))</f>
        <v/>
      </c>
    </row>
    <row r="4118" customFormat="false" ht="15" hidden="false" customHeight="false" outlineLevel="0" collapsed="false">
      <c r="A4118" s="0" t="str">
        <f aca="false">IF('הדבקת לידים'!A4118="","",IF(ISNUMBER('הדבקת לידים'!A4118),IF(הגדרות!$E$2&gt;0,TEXT('הדבקת לידים'!A4118,REPT("0",הגדרות!$E$2)),TEXT('הדבקת לידים'!A4118,"0")),TRIM('הדבקת לידים'!A4118)))</f>
        <v/>
      </c>
      <c r="B4118" s="0" t="str">
        <f aca="false">IF('הדבקת לידים'!B4118="","",IF(ISNUMBER('הדבקת לידים'!B4118),IF(הגדרות!$E$3&gt;0,TEXT('הדבקת לידים'!B4118,REPT("0",הגדרות!$E$3)),TEXT('הדבקת לידים'!B4118,"0")),TRIM('הדבקת לידים'!B4118)))</f>
        <v/>
      </c>
      <c r="C4118" s="0" t="n">
        <f aca="false">IF(OR(A4118&lt;&gt;"",B4118&lt;&gt;""),1,0)</f>
        <v>0</v>
      </c>
      <c r="D4118" s="0" t="str">
        <f aca="false">IF(C4118=1,MOD(ABS(SIN(ROW()*12.9898+'הדבקת לידים'!$F$2*78.233+IFERROR(--RIGHT(A4118,6),LEN(A4118))*0.0137+IFERROR(--RIGHT(B4118,6),LEN(B4118))*0.0071))*43758.5453,1),"")</f>
        <v/>
      </c>
      <c r="E4118" s="0" t="str">
        <f aca="false">IF(C4118=1,INT(MOD(ABS(SIN(D4118*7919.123+ROW()*0.618+'הדבקת לידים'!$F$2*1.3))*43758.5453,1)*1000000)*10000+ROW(),"")</f>
        <v/>
      </c>
      <c r="F4118" s="0" t="str">
        <f aca="false">IF(E4118="","",RANK(E4118,$E$2:$E$5001,1))</f>
        <v/>
      </c>
      <c r="G4118" s="0" t="n">
        <f aca="false">IF(A4118="",0,IF(SUMPRODUCT(--($A$2:$A$5001=A4118))&gt;1,1,0))</f>
        <v>0</v>
      </c>
      <c r="H4118" s="0" t="n">
        <f aca="false">ROW()-1</f>
        <v>4117</v>
      </c>
      <c r="I4118" s="0" t="str">
        <f aca="false">IF(OR(הגדרות!$E$6=0,H4118&gt;הגדרות!$E$5),"",IF(H4118-1&lt;הגדרות!$E$8*(הגדרות!$E$7+1),INT((H4118-1)/(הגדרות!$E$7+1)),הגדרות!$E$8+INT((H4118-1-הגדרות!$E$8*(הגדרות!$E$7+1))/הגדרות!$E$7)))</f>
        <v/>
      </c>
      <c r="J4118" s="0" t="str">
        <f aca="false">IF(I4118="","",IF(H4118-1&lt;הגדרות!$E$8*(הגדרות!$E$7+1),MOD(H4118-1,הגדרות!$E$7+1),MOD(H4118-1-הגדרות!$E$8*(הגדרות!$E$7+1),הגדרות!$E$7)))</f>
        <v/>
      </c>
      <c r="K4118" s="0" t="str">
        <f aca="false">IF(I4118="","",J4118*הגדרות!$E$6+I4118+1)</f>
        <v/>
      </c>
      <c r="L4118" s="0" t="str">
        <f aca="false">IF(K4118="","",MATCH(K4118,$F$2:$F$5001,0))</f>
        <v/>
      </c>
      <c r="M4118" s="0" t="str">
        <f aca="false">IF(I4118="","",INDEX(הגדרות!$A$2:$A$21,MOD(I4118+הגדרות!$E$9,הגדרות!$E$6)+1))</f>
        <v/>
      </c>
    </row>
    <row r="4119" customFormat="false" ht="15" hidden="false" customHeight="false" outlineLevel="0" collapsed="false">
      <c r="A4119" s="0" t="str">
        <f aca="false">IF('הדבקת לידים'!A4119="","",IF(ISNUMBER('הדבקת לידים'!A4119),IF(הגדרות!$E$2&gt;0,TEXT('הדבקת לידים'!A4119,REPT("0",הגדרות!$E$2)),TEXT('הדבקת לידים'!A4119,"0")),TRIM('הדבקת לידים'!A4119)))</f>
        <v/>
      </c>
      <c r="B4119" s="0" t="str">
        <f aca="false">IF('הדבקת לידים'!B4119="","",IF(ISNUMBER('הדבקת לידים'!B4119),IF(הגדרות!$E$3&gt;0,TEXT('הדבקת לידים'!B4119,REPT("0",הגדרות!$E$3)),TEXT('הדבקת לידים'!B4119,"0")),TRIM('הדבקת לידים'!B4119)))</f>
        <v/>
      </c>
      <c r="C4119" s="0" t="n">
        <f aca="false">IF(OR(A4119&lt;&gt;"",B4119&lt;&gt;""),1,0)</f>
        <v>0</v>
      </c>
      <c r="D4119" s="0" t="str">
        <f aca="false">IF(C4119=1,MOD(ABS(SIN(ROW()*12.9898+'הדבקת לידים'!$F$2*78.233+IFERROR(--RIGHT(A4119,6),LEN(A4119))*0.0137+IFERROR(--RIGHT(B4119,6),LEN(B4119))*0.0071))*43758.5453,1),"")</f>
        <v/>
      </c>
      <c r="E4119" s="0" t="str">
        <f aca="false">IF(C4119=1,INT(MOD(ABS(SIN(D4119*7919.123+ROW()*0.618+'הדבקת לידים'!$F$2*1.3))*43758.5453,1)*1000000)*10000+ROW(),"")</f>
        <v/>
      </c>
      <c r="F4119" s="0" t="str">
        <f aca="false">IF(E4119="","",RANK(E4119,$E$2:$E$5001,1))</f>
        <v/>
      </c>
      <c r="G4119" s="0" t="n">
        <f aca="false">IF(A4119="",0,IF(SUMPRODUCT(--($A$2:$A$5001=A4119))&gt;1,1,0))</f>
        <v>0</v>
      </c>
      <c r="H4119" s="0" t="n">
        <f aca="false">ROW()-1</f>
        <v>4118</v>
      </c>
      <c r="I4119" s="0" t="str">
        <f aca="false">IF(OR(הגדרות!$E$6=0,H4119&gt;הגדרות!$E$5),"",IF(H4119-1&lt;הגדרות!$E$8*(הגדרות!$E$7+1),INT((H4119-1)/(הגדרות!$E$7+1)),הגדרות!$E$8+INT((H4119-1-הגדרות!$E$8*(הגדרות!$E$7+1))/הגדרות!$E$7)))</f>
        <v/>
      </c>
      <c r="J4119" s="0" t="str">
        <f aca="false">IF(I4119="","",IF(H4119-1&lt;הגדרות!$E$8*(הגדרות!$E$7+1),MOD(H4119-1,הגדרות!$E$7+1),MOD(H4119-1-הגדרות!$E$8*(הגדרות!$E$7+1),הגדרות!$E$7)))</f>
        <v/>
      </c>
      <c r="K4119" s="0" t="str">
        <f aca="false">IF(I4119="","",J4119*הגדרות!$E$6+I4119+1)</f>
        <v/>
      </c>
      <c r="L4119" s="0" t="str">
        <f aca="false">IF(K4119="","",MATCH(K4119,$F$2:$F$5001,0))</f>
        <v/>
      </c>
      <c r="M4119" s="0" t="str">
        <f aca="false">IF(I4119="","",INDEX(הגדרות!$A$2:$A$21,MOD(I4119+הגדרות!$E$9,הגדרות!$E$6)+1))</f>
        <v/>
      </c>
    </row>
    <row r="4120" customFormat="false" ht="15" hidden="false" customHeight="false" outlineLevel="0" collapsed="false">
      <c r="A4120" s="0" t="str">
        <f aca="false">IF('הדבקת לידים'!A4120="","",IF(ISNUMBER('הדבקת לידים'!A4120),IF(הגדרות!$E$2&gt;0,TEXT('הדבקת לידים'!A4120,REPT("0",הגדרות!$E$2)),TEXT('הדבקת לידים'!A4120,"0")),TRIM('הדבקת לידים'!A4120)))</f>
        <v/>
      </c>
      <c r="B4120" s="0" t="str">
        <f aca="false">IF('הדבקת לידים'!B4120="","",IF(ISNUMBER('הדבקת לידים'!B4120),IF(הגדרות!$E$3&gt;0,TEXT('הדבקת לידים'!B4120,REPT("0",הגדרות!$E$3)),TEXT('הדבקת לידים'!B4120,"0")),TRIM('הדבקת לידים'!B4120)))</f>
        <v/>
      </c>
      <c r="C4120" s="0" t="n">
        <f aca="false">IF(OR(A4120&lt;&gt;"",B4120&lt;&gt;""),1,0)</f>
        <v>0</v>
      </c>
      <c r="D4120" s="0" t="str">
        <f aca="false">IF(C4120=1,MOD(ABS(SIN(ROW()*12.9898+'הדבקת לידים'!$F$2*78.233+IFERROR(--RIGHT(A4120,6),LEN(A4120))*0.0137+IFERROR(--RIGHT(B4120,6),LEN(B4120))*0.0071))*43758.5453,1),"")</f>
        <v/>
      </c>
      <c r="E4120" s="0" t="str">
        <f aca="false">IF(C4120=1,INT(MOD(ABS(SIN(D4120*7919.123+ROW()*0.618+'הדבקת לידים'!$F$2*1.3))*43758.5453,1)*1000000)*10000+ROW(),"")</f>
        <v/>
      </c>
      <c r="F4120" s="0" t="str">
        <f aca="false">IF(E4120="","",RANK(E4120,$E$2:$E$5001,1))</f>
        <v/>
      </c>
      <c r="G4120" s="0" t="n">
        <f aca="false">IF(A4120="",0,IF(SUMPRODUCT(--($A$2:$A$5001=A4120))&gt;1,1,0))</f>
        <v>0</v>
      </c>
      <c r="H4120" s="0" t="n">
        <f aca="false">ROW()-1</f>
        <v>4119</v>
      </c>
      <c r="I4120" s="0" t="str">
        <f aca="false">IF(OR(הגדרות!$E$6=0,H4120&gt;הגדרות!$E$5),"",IF(H4120-1&lt;הגדרות!$E$8*(הגדרות!$E$7+1),INT((H4120-1)/(הגדרות!$E$7+1)),הגדרות!$E$8+INT((H4120-1-הגדרות!$E$8*(הגדרות!$E$7+1))/הגדרות!$E$7)))</f>
        <v/>
      </c>
      <c r="J4120" s="0" t="str">
        <f aca="false">IF(I4120="","",IF(H4120-1&lt;הגדרות!$E$8*(הגדרות!$E$7+1),MOD(H4120-1,הגדרות!$E$7+1),MOD(H4120-1-הגדרות!$E$8*(הגדרות!$E$7+1),הגדרות!$E$7)))</f>
        <v/>
      </c>
      <c r="K4120" s="0" t="str">
        <f aca="false">IF(I4120="","",J4120*הגדרות!$E$6+I4120+1)</f>
        <v/>
      </c>
      <c r="L4120" s="0" t="str">
        <f aca="false">IF(K4120="","",MATCH(K4120,$F$2:$F$5001,0))</f>
        <v/>
      </c>
      <c r="M4120" s="0" t="str">
        <f aca="false">IF(I4120="","",INDEX(הגדרות!$A$2:$A$21,MOD(I4120+הגדרות!$E$9,הגדרות!$E$6)+1))</f>
        <v/>
      </c>
    </row>
    <row r="4121" customFormat="false" ht="15" hidden="false" customHeight="false" outlineLevel="0" collapsed="false">
      <c r="A4121" s="0" t="str">
        <f aca="false">IF('הדבקת לידים'!A4121="","",IF(ISNUMBER('הדבקת לידים'!A4121),IF(הגדרות!$E$2&gt;0,TEXT('הדבקת לידים'!A4121,REPT("0",הגדרות!$E$2)),TEXT('הדבקת לידים'!A4121,"0")),TRIM('הדבקת לידים'!A4121)))</f>
        <v/>
      </c>
      <c r="B4121" s="0" t="str">
        <f aca="false">IF('הדבקת לידים'!B4121="","",IF(ISNUMBER('הדבקת לידים'!B4121),IF(הגדרות!$E$3&gt;0,TEXT('הדבקת לידים'!B4121,REPT("0",הגדרות!$E$3)),TEXT('הדבקת לידים'!B4121,"0")),TRIM('הדבקת לידים'!B4121)))</f>
        <v/>
      </c>
      <c r="C4121" s="0" t="n">
        <f aca="false">IF(OR(A4121&lt;&gt;"",B4121&lt;&gt;""),1,0)</f>
        <v>0</v>
      </c>
      <c r="D4121" s="0" t="str">
        <f aca="false">IF(C4121=1,MOD(ABS(SIN(ROW()*12.9898+'הדבקת לידים'!$F$2*78.233+IFERROR(--RIGHT(A4121,6),LEN(A4121))*0.0137+IFERROR(--RIGHT(B4121,6),LEN(B4121))*0.0071))*43758.5453,1),"")</f>
        <v/>
      </c>
      <c r="E4121" s="0" t="str">
        <f aca="false">IF(C4121=1,INT(MOD(ABS(SIN(D4121*7919.123+ROW()*0.618+'הדבקת לידים'!$F$2*1.3))*43758.5453,1)*1000000)*10000+ROW(),"")</f>
        <v/>
      </c>
      <c r="F4121" s="0" t="str">
        <f aca="false">IF(E4121="","",RANK(E4121,$E$2:$E$5001,1))</f>
        <v/>
      </c>
      <c r="G4121" s="0" t="n">
        <f aca="false">IF(A4121="",0,IF(SUMPRODUCT(--($A$2:$A$5001=A4121))&gt;1,1,0))</f>
        <v>0</v>
      </c>
      <c r="H4121" s="0" t="n">
        <f aca="false">ROW()-1</f>
        <v>4120</v>
      </c>
      <c r="I4121" s="0" t="str">
        <f aca="false">IF(OR(הגדרות!$E$6=0,H4121&gt;הגדרות!$E$5),"",IF(H4121-1&lt;הגדרות!$E$8*(הגדרות!$E$7+1),INT((H4121-1)/(הגדרות!$E$7+1)),הגדרות!$E$8+INT((H4121-1-הגדרות!$E$8*(הגדרות!$E$7+1))/הגדרות!$E$7)))</f>
        <v/>
      </c>
      <c r="J4121" s="0" t="str">
        <f aca="false">IF(I4121="","",IF(H4121-1&lt;הגדרות!$E$8*(הגדרות!$E$7+1),MOD(H4121-1,הגדרות!$E$7+1),MOD(H4121-1-הגדרות!$E$8*(הגדרות!$E$7+1),הגדרות!$E$7)))</f>
        <v/>
      </c>
      <c r="K4121" s="0" t="str">
        <f aca="false">IF(I4121="","",J4121*הגדרות!$E$6+I4121+1)</f>
        <v/>
      </c>
      <c r="L4121" s="0" t="str">
        <f aca="false">IF(K4121="","",MATCH(K4121,$F$2:$F$5001,0))</f>
        <v/>
      </c>
      <c r="M4121" s="0" t="str">
        <f aca="false">IF(I4121="","",INDEX(הגדרות!$A$2:$A$21,MOD(I4121+הגדרות!$E$9,הגדרות!$E$6)+1))</f>
        <v/>
      </c>
    </row>
    <row r="4122" customFormat="false" ht="15" hidden="false" customHeight="false" outlineLevel="0" collapsed="false">
      <c r="A4122" s="0" t="str">
        <f aca="false">IF('הדבקת לידים'!A4122="","",IF(ISNUMBER('הדבקת לידים'!A4122),IF(הגדרות!$E$2&gt;0,TEXT('הדבקת לידים'!A4122,REPT("0",הגדרות!$E$2)),TEXT('הדבקת לידים'!A4122,"0")),TRIM('הדבקת לידים'!A4122)))</f>
        <v/>
      </c>
      <c r="B4122" s="0" t="str">
        <f aca="false">IF('הדבקת לידים'!B4122="","",IF(ISNUMBER('הדבקת לידים'!B4122),IF(הגדרות!$E$3&gt;0,TEXT('הדבקת לידים'!B4122,REPT("0",הגדרות!$E$3)),TEXT('הדבקת לידים'!B4122,"0")),TRIM('הדבקת לידים'!B4122)))</f>
        <v/>
      </c>
      <c r="C4122" s="0" t="n">
        <f aca="false">IF(OR(A4122&lt;&gt;"",B4122&lt;&gt;""),1,0)</f>
        <v>0</v>
      </c>
      <c r="D4122" s="0" t="str">
        <f aca="false">IF(C4122=1,MOD(ABS(SIN(ROW()*12.9898+'הדבקת לידים'!$F$2*78.233+IFERROR(--RIGHT(A4122,6),LEN(A4122))*0.0137+IFERROR(--RIGHT(B4122,6),LEN(B4122))*0.0071))*43758.5453,1),"")</f>
        <v/>
      </c>
      <c r="E4122" s="0" t="str">
        <f aca="false">IF(C4122=1,INT(MOD(ABS(SIN(D4122*7919.123+ROW()*0.618+'הדבקת לידים'!$F$2*1.3))*43758.5453,1)*1000000)*10000+ROW(),"")</f>
        <v/>
      </c>
      <c r="F4122" s="0" t="str">
        <f aca="false">IF(E4122="","",RANK(E4122,$E$2:$E$5001,1))</f>
        <v/>
      </c>
      <c r="G4122" s="0" t="n">
        <f aca="false">IF(A4122="",0,IF(SUMPRODUCT(--($A$2:$A$5001=A4122))&gt;1,1,0))</f>
        <v>0</v>
      </c>
      <c r="H4122" s="0" t="n">
        <f aca="false">ROW()-1</f>
        <v>4121</v>
      </c>
      <c r="I4122" s="0" t="str">
        <f aca="false">IF(OR(הגדרות!$E$6=0,H4122&gt;הגדרות!$E$5),"",IF(H4122-1&lt;הגדרות!$E$8*(הגדרות!$E$7+1),INT((H4122-1)/(הגדרות!$E$7+1)),הגדרות!$E$8+INT((H4122-1-הגדרות!$E$8*(הגדרות!$E$7+1))/הגדרות!$E$7)))</f>
        <v/>
      </c>
      <c r="J4122" s="0" t="str">
        <f aca="false">IF(I4122="","",IF(H4122-1&lt;הגדרות!$E$8*(הגדרות!$E$7+1),MOD(H4122-1,הגדרות!$E$7+1),MOD(H4122-1-הגדרות!$E$8*(הגדרות!$E$7+1),הגדרות!$E$7)))</f>
        <v/>
      </c>
      <c r="K4122" s="0" t="str">
        <f aca="false">IF(I4122="","",J4122*הגדרות!$E$6+I4122+1)</f>
        <v/>
      </c>
      <c r="L4122" s="0" t="str">
        <f aca="false">IF(K4122="","",MATCH(K4122,$F$2:$F$5001,0))</f>
        <v/>
      </c>
      <c r="M4122" s="0" t="str">
        <f aca="false">IF(I4122="","",INDEX(הגדרות!$A$2:$A$21,MOD(I4122+הגדרות!$E$9,הגדרות!$E$6)+1))</f>
        <v/>
      </c>
    </row>
    <row r="4123" customFormat="false" ht="15" hidden="false" customHeight="false" outlineLevel="0" collapsed="false">
      <c r="A4123" s="0" t="str">
        <f aca="false">IF('הדבקת לידים'!A4123="","",IF(ISNUMBER('הדבקת לידים'!A4123),IF(הגדרות!$E$2&gt;0,TEXT('הדבקת לידים'!A4123,REPT("0",הגדרות!$E$2)),TEXT('הדבקת לידים'!A4123,"0")),TRIM('הדבקת לידים'!A4123)))</f>
        <v/>
      </c>
      <c r="B4123" s="0" t="str">
        <f aca="false">IF('הדבקת לידים'!B4123="","",IF(ISNUMBER('הדבקת לידים'!B4123),IF(הגדרות!$E$3&gt;0,TEXT('הדבקת לידים'!B4123,REPT("0",הגדרות!$E$3)),TEXT('הדבקת לידים'!B4123,"0")),TRIM('הדבקת לידים'!B4123)))</f>
        <v/>
      </c>
      <c r="C4123" s="0" t="n">
        <f aca="false">IF(OR(A4123&lt;&gt;"",B4123&lt;&gt;""),1,0)</f>
        <v>0</v>
      </c>
      <c r="D4123" s="0" t="str">
        <f aca="false">IF(C4123=1,MOD(ABS(SIN(ROW()*12.9898+'הדבקת לידים'!$F$2*78.233+IFERROR(--RIGHT(A4123,6),LEN(A4123))*0.0137+IFERROR(--RIGHT(B4123,6),LEN(B4123))*0.0071))*43758.5453,1),"")</f>
        <v/>
      </c>
      <c r="E4123" s="0" t="str">
        <f aca="false">IF(C4123=1,INT(MOD(ABS(SIN(D4123*7919.123+ROW()*0.618+'הדבקת לידים'!$F$2*1.3))*43758.5453,1)*1000000)*10000+ROW(),"")</f>
        <v/>
      </c>
      <c r="F4123" s="0" t="str">
        <f aca="false">IF(E4123="","",RANK(E4123,$E$2:$E$5001,1))</f>
        <v/>
      </c>
      <c r="G4123" s="0" t="n">
        <f aca="false">IF(A4123="",0,IF(SUMPRODUCT(--($A$2:$A$5001=A4123))&gt;1,1,0))</f>
        <v>0</v>
      </c>
      <c r="H4123" s="0" t="n">
        <f aca="false">ROW()-1</f>
        <v>4122</v>
      </c>
      <c r="I4123" s="0" t="str">
        <f aca="false">IF(OR(הגדרות!$E$6=0,H4123&gt;הגדרות!$E$5),"",IF(H4123-1&lt;הגדרות!$E$8*(הגדרות!$E$7+1),INT((H4123-1)/(הגדרות!$E$7+1)),הגדרות!$E$8+INT((H4123-1-הגדרות!$E$8*(הגדרות!$E$7+1))/הגדרות!$E$7)))</f>
        <v/>
      </c>
      <c r="J4123" s="0" t="str">
        <f aca="false">IF(I4123="","",IF(H4123-1&lt;הגדרות!$E$8*(הגדרות!$E$7+1),MOD(H4123-1,הגדרות!$E$7+1),MOD(H4123-1-הגדרות!$E$8*(הגדרות!$E$7+1),הגדרות!$E$7)))</f>
        <v/>
      </c>
      <c r="K4123" s="0" t="str">
        <f aca="false">IF(I4123="","",J4123*הגדרות!$E$6+I4123+1)</f>
        <v/>
      </c>
      <c r="L4123" s="0" t="str">
        <f aca="false">IF(K4123="","",MATCH(K4123,$F$2:$F$5001,0))</f>
        <v/>
      </c>
      <c r="M4123" s="0" t="str">
        <f aca="false">IF(I4123="","",INDEX(הגדרות!$A$2:$A$21,MOD(I4123+הגדרות!$E$9,הגדרות!$E$6)+1))</f>
        <v/>
      </c>
    </row>
    <row r="4124" customFormat="false" ht="15" hidden="false" customHeight="false" outlineLevel="0" collapsed="false">
      <c r="A4124" s="0" t="str">
        <f aca="false">IF('הדבקת לידים'!A4124="","",IF(ISNUMBER('הדבקת לידים'!A4124),IF(הגדרות!$E$2&gt;0,TEXT('הדבקת לידים'!A4124,REPT("0",הגדרות!$E$2)),TEXT('הדבקת לידים'!A4124,"0")),TRIM('הדבקת לידים'!A4124)))</f>
        <v/>
      </c>
      <c r="B4124" s="0" t="str">
        <f aca="false">IF('הדבקת לידים'!B4124="","",IF(ISNUMBER('הדבקת לידים'!B4124),IF(הגדרות!$E$3&gt;0,TEXT('הדבקת לידים'!B4124,REPT("0",הגדרות!$E$3)),TEXT('הדבקת לידים'!B4124,"0")),TRIM('הדבקת לידים'!B4124)))</f>
        <v/>
      </c>
      <c r="C4124" s="0" t="n">
        <f aca="false">IF(OR(A4124&lt;&gt;"",B4124&lt;&gt;""),1,0)</f>
        <v>0</v>
      </c>
      <c r="D4124" s="0" t="str">
        <f aca="false">IF(C4124=1,MOD(ABS(SIN(ROW()*12.9898+'הדבקת לידים'!$F$2*78.233+IFERROR(--RIGHT(A4124,6),LEN(A4124))*0.0137+IFERROR(--RIGHT(B4124,6),LEN(B4124))*0.0071))*43758.5453,1),"")</f>
        <v/>
      </c>
      <c r="E4124" s="0" t="str">
        <f aca="false">IF(C4124=1,INT(MOD(ABS(SIN(D4124*7919.123+ROW()*0.618+'הדבקת לידים'!$F$2*1.3))*43758.5453,1)*1000000)*10000+ROW(),"")</f>
        <v/>
      </c>
      <c r="F4124" s="0" t="str">
        <f aca="false">IF(E4124="","",RANK(E4124,$E$2:$E$5001,1))</f>
        <v/>
      </c>
      <c r="G4124" s="0" t="n">
        <f aca="false">IF(A4124="",0,IF(SUMPRODUCT(--($A$2:$A$5001=A4124))&gt;1,1,0))</f>
        <v>0</v>
      </c>
      <c r="H4124" s="0" t="n">
        <f aca="false">ROW()-1</f>
        <v>4123</v>
      </c>
      <c r="I4124" s="0" t="str">
        <f aca="false">IF(OR(הגדרות!$E$6=0,H4124&gt;הגדרות!$E$5),"",IF(H4124-1&lt;הגדרות!$E$8*(הגדרות!$E$7+1),INT((H4124-1)/(הגדרות!$E$7+1)),הגדרות!$E$8+INT((H4124-1-הגדרות!$E$8*(הגדרות!$E$7+1))/הגדרות!$E$7)))</f>
        <v/>
      </c>
      <c r="J4124" s="0" t="str">
        <f aca="false">IF(I4124="","",IF(H4124-1&lt;הגדרות!$E$8*(הגדרות!$E$7+1),MOD(H4124-1,הגדרות!$E$7+1),MOD(H4124-1-הגדרות!$E$8*(הגדרות!$E$7+1),הגדרות!$E$7)))</f>
        <v/>
      </c>
      <c r="K4124" s="0" t="str">
        <f aca="false">IF(I4124="","",J4124*הגדרות!$E$6+I4124+1)</f>
        <v/>
      </c>
      <c r="L4124" s="0" t="str">
        <f aca="false">IF(K4124="","",MATCH(K4124,$F$2:$F$5001,0))</f>
        <v/>
      </c>
      <c r="M4124" s="0" t="str">
        <f aca="false">IF(I4124="","",INDEX(הגדרות!$A$2:$A$21,MOD(I4124+הגדרות!$E$9,הגדרות!$E$6)+1))</f>
        <v/>
      </c>
    </row>
    <row r="4125" customFormat="false" ht="15" hidden="false" customHeight="false" outlineLevel="0" collapsed="false">
      <c r="A4125" s="0" t="str">
        <f aca="false">IF('הדבקת לידים'!A4125="","",IF(ISNUMBER('הדבקת לידים'!A4125),IF(הגדרות!$E$2&gt;0,TEXT('הדבקת לידים'!A4125,REPT("0",הגדרות!$E$2)),TEXT('הדבקת לידים'!A4125,"0")),TRIM('הדבקת לידים'!A4125)))</f>
        <v/>
      </c>
      <c r="B4125" s="0" t="str">
        <f aca="false">IF('הדבקת לידים'!B4125="","",IF(ISNUMBER('הדבקת לידים'!B4125),IF(הגדרות!$E$3&gt;0,TEXT('הדבקת לידים'!B4125,REPT("0",הגדרות!$E$3)),TEXT('הדבקת לידים'!B4125,"0")),TRIM('הדבקת לידים'!B4125)))</f>
        <v/>
      </c>
      <c r="C4125" s="0" t="n">
        <f aca="false">IF(OR(A4125&lt;&gt;"",B4125&lt;&gt;""),1,0)</f>
        <v>0</v>
      </c>
      <c r="D4125" s="0" t="str">
        <f aca="false">IF(C4125=1,MOD(ABS(SIN(ROW()*12.9898+'הדבקת לידים'!$F$2*78.233+IFERROR(--RIGHT(A4125,6),LEN(A4125))*0.0137+IFERROR(--RIGHT(B4125,6),LEN(B4125))*0.0071))*43758.5453,1),"")</f>
        <v/>
      </c>
      <c r="E4125" s="0" t="str">
        <f aca="false">IF(C4125=1,INT(MOD(ABS(SIN(D4125*7919.123+ROW()*0.618+'הדבקת לידים'!$F$2*1.3))*43758.5453,1)*1000000)*10000+ROW(),"")</f>
        <v/>
      </c>
      <c r="F4125" s="0" t="str">
        <f aca="false">IF(E4125="","",RANK(E4125,$E$2:$E$5001,1))</f>
        <v/>
      </c>
      <c r="G4125" s="0" t="n">
        <f aca="false">IF(A4125="",0,IF(SUMPRODUCT(--($A$2:$A$5001=A4125))&gt;1,1,0))</f>
        <v>0</v>
      </c>
      <c r="H4125" s="0" t="n">
        <f aca="false">ROW()-1</f>
        <v>4124</v>
      </c>
      <c r="I4125" s="0" t="str">
        <f aca="false">IF(OR(הגדרות!$E$6=0,H4125&gt;הגדרות!$E$5),"",IF(H4125-1&lt;הגדרות!$E$8*(הגדרות!$E$7+1),INT((H4125-1)/(הגדרות!$E$7+1)),הגדרות!$E$8+INT((H4125-1-הגדרות!$E$8*(הגדרות!$E$7+1))/הגדרות!$E$7)))</f>
        <v/>
      </c>
      <c r="J4125" s="0" t="str">
        <f aca="false">IF(I4125="","",IF(H4125-1&lt;הגדרות!$E$8*(הגדרות!$E$7+1),MOD(H4125-1,הגדרות!$E$7+1),MOD(H4125-1-הגדרות!$E$8*(הגדרות!$E$7+1),הגדרות!$E$7)))</f>
        <v/>
      </c>
      <c r="K4125" s="0" t="str">
        <f aca="false">IF(I4125="","",J4125*הגדרות!$E$6+I4125+1)</f>
        <v/>
      </c>
      <c r="L4125" s="0" t="str">
        <f aca="false">IF(K4125="","",MATCH(K4125,$F$2:$F$5001,0))</f>
        <v/>
      </c>
      <c r="M4125" s="0" t="str">
        <f aca="false">IF(I4125="","",INDEX(הגדרות!$A$2:$A$21,MOD(I4125+הגדרות!$E$9,הגדרות!$E$6)+1))</f>
        <v/>
      </c>
    </row>
    <row r="4126" customFormat="false" ht="15" hidden="false" customHeight="false" outlineLevel="0" collapsed="false">
      <c r="A4126" s="0" t="str">
        <f aca="false">IF('הדבקת לידים'!A4126="","",IF(ISNUMBER('הדבקת לידים'!A4126),IF(הגדרות!$E$2&gt;0,TEXT('הדבקת לידים'!A4126,REPT("0",הגדרות!$E$2)),TEXT('הדבקת לידים'!A4126,"0")),TRIM('הדבקת לידים'!A4126)))</f>
        <v/>
      </c>
      <c r="B4126" s="0" t="str">
        <f aca="false">IF('הדבקת לידים'!B4126="","",IF(ISNUMBER('הדבקת לידים'!B4126),IF(הגדרות!$E$3&gt;0,TEXT('הדבקת לידים'!B4126,REPT("0",הגדרות!$E$3)),TEXT('הדבקת לידים'!B4126,"0")),TRIM('הדבקת לידים'!B4126)))</f>
        <v/>
      </c>
      <c r="C4126" s="0" t="n">
        <f aca="false">IF(OR(A4126&lt;&gt;"",B4126&lt;&gt;""),1,0)</f>
        <v>0</v>
      </c>
      <c r="D4126" s="0" t="str">
        <f aca="false">IF(C4126=1,MOD(ABS(SIN(ROW()*12.9898+'הדבקת לידים'!$F$2*78.233+IFERROR(--RIGHT(A4126,6),LEN(A4126))*0.0137+IFERROR(--RIGHT(B4126,6),LEN(B4126))*0.0071))*43758.5453,1),"")</f>
        <v/>
      </c>
      <c r="E4126" s="0" t="str">
        <f aca="false">IF(C4126=1,INT(MOD(ABS(SIN(D4126*7919.123+ROW()*0.618+'הדבקת לידים'!$F$2*1.3))*43758.5453,1)*1000000)*10000+ROW(),"")</f>
        <v/>
      </c>
      <c r="F4126" s="0" t="str">
        <f aca="false">IF(E4126="","",RANK(E4126,$E$2:$E$5001,1))</f>
        <v/>
      </c>
      <c r="G4126" s="0" t="n">
        <f aca="false">IF(A4126="",0,IF(SUMPRODUCT(--($A$2:$A$5001=A4126))&gt;1,1,0))</f>
        <v>0</v>
      </c>
      <c r="H4126" s="0" t="n">
        <f aca="false">ROW()-1</f>
        <v>4125</v>
      </c>
      <c r="I4126" s="0" t="str">
        <f aca="false">IF(OR(הגדרות!$E$6=0,H4126&gt;הגדרות!$E$5),"",IF(H4126-1&lt;הגדרות!$E$8*(הגדרות!$E$7+1),INT((H4126-1)/(הגדרות!$E$7+1)),הגדרות!$E$8+INT((H4126-1-הגדרות!$E$8*(הגדרות!$E$7+1))/הגדרות!$E$7)))</f>
        <v/>
      </c>
      <c r="J4126" s="0" t="str">
        <f aca="false">IF(I4126="","",IF(H4126-1&lt;הגדרות!$E$8*(הגדרות!$E$7+1),MOD(H4126-1,הגדרות!$E$7+1),MOD(H4126-1-הגדרות!$E$8*(הגדרות!$E$7+1),הגדרות!$E$7)))</f>
        <v/>
      </c>
      <c r="K4126" s="0" t="str">
        <f aca="false">IF(I4126="","",J4126*הגדרות!$E$6+I4126+1)</f>
        <v/>
      </c>
      <c r="L4126" s="0" t="str">
        <f aca="false">IF(K4126="","",MATCH(K4126,$F$2:$F$5001,0))</f>
        <v/>
      </c>
      <c r="M4126" s="0" t="str">
        <f aca="false">IF(I4126="","",INDEX(הגדרות!$A$2:$A$21,MOD(I4126+הגדרות!$E$9,הגדרות!$E$6)+1))</f>
        <v/>
      </c>
    </row>
    <row r="4127" customFormat="false" ht="15" hidden="false" customHeight="false" outlineLevel="0" collapsed="false">
      <c r="A4127" s="0" t="str">
        <f aca="false">IF('הדבקת לידים'!A4127="","",IF(ISNUMBER('הדבקת לידים'!A4127),IF(הגדרות!$E$2&gt;0,TEXT('הדבקת לידים'!A4127,REPT("0",הגדרות!$E$2)),TEXT('הדבקת לידים'!A4127,"0")),TRIM('הדבקת לידים'!A4127)))</f>
        <v/>
      </c>
      <c r="B4127" s="0" t="str">
        <f aca="false">IF('הדבקת לידים'!B4127="","",IF(ISNUMBER('הדבקת לידים'!B4127),IF(הגדרות!$E$3&gt;0,TEXT('הדבקת לידים'!B4127,REPT("0",הגדרות!$E$3)),TEXT('הדבקת לידים'!B4127,"0")),TRIM('הדבקת לידים'!B4127)))</f>
        <v/>
      </c>
      <c r="C4127" s="0" t="n">
        <f aca="false">IF(OR(A4127&lt;&gt;"",B4127&lt;&gt;""),1,0)</f>
        <v>0</v>
      </c>
      <c r="D4127" s="0" t="str">
        <f aca="false">IF(C4127=1,MOD(ABS(SIN(ROW()*12.9898+'הדבקת לידים'!$F$2*78.233+IFERROR(--RIGHT(A4127,6),LEN(A4127))*0.0137+IFERROR(--RIGHT(B4127,6),LEN(B4127))*0.0071))*43758.5453,1),"")</f>
        <v/>
      </c>
      <c r="E4127" s="0" t="str">
        <f aca="false">IF(C4127=1,INT(MOD(ABS(SIN(D4127*7919.123+ROW()*0.618+'הדבקת לידים'!$F$2*1.3))*43758.5453,1)*1000000)*10000+ROW(),"")</f>
        <v/>
      </c>
      <c r="F4127" s="0" t="str">
        <f aca="false">IF(E4127="","",RANK(E4127,$E$2:$E$5001,1))</f>
        <v/>
      </c>
      <c r="G4127" s="0" t="n">
        <f aca="false">IF(A4127="",0,IF(SUMPRODUCT(--($A$2:$A$5001=A4127))&gt;1,1,0))</f>
        <v>0</v>
      </c>
      <c r="H4127" s="0" t="n">
        <f aca="false">ROW()-1</f>
        <v>4126</v>
      </c>
      <c r="I4127" s="0" t="str">
        <f aca="false">IF(OR(הגדרות!$E$6=0,H4127&gt;הגדרות!$E$5),"",IF(H4127-1&lt;הגדרות!$E$8*(הגדרות!$E$7+1),INT((H4127-1)/(הגדרות!$E$7+1)),הגדרות!$E$8+INT((H4127-1-הגדרות!$E$8*(הגדרות!$E$7+1))/הגדרות!$E$7)))</f>
        <v/>
      </c>
      <c r="J4127" s="0" t="str">
        <f aca="false">IF(I4127="","",IF(H4127-1&lt;הגדרות!$E$8*(הגדרות!$E$7+1),MOD(H4127-1,הגדרות!$E$7+1),MOD(H4127-1-הגדרות!$E$8*(הגדרות!$E$7+1),הגדרות!$E$7)))</f>
        <v/>
      </c>
      <c r="K4127" s="0" t="str">
        <f aca="false">IF(I4127="","",J4127*הגדרות!$E$6+I4127+1)</f>
        <v/>
      </c>
      <c r="L4127" s="0" t="str">
        <f aca="false">IF(K4127="","",MATCH(K4127,$F$2:$F$5001,0))</f>
        <v/>
      </c>
      <c r="M4127" s="0" t="str">
        <f aca="false">IF(I4127="","",INDEX(הגדרות!$A$2:$A$21,MOD(I4127+הגדרות!$E$9,הגדרות!$E$6)+1))</f>
        <v/>
      </c>
    </row>
    <row r="4128" customFormat="false" ht="15" hidden="false" customHeight="false" outlineLevel="0" collapsed="false">
      <c r="A4128" s="0" t="str">
        <f aca="false">IF('הדבקת לידים'!A4128="","",IF(ISNUMBER('הדבקת לידים'!A4128),IF(הגדרות!$E$2&gt;0,TEXT('הדבקת לידים'!A4128,REPT("0",הגדרות!$E$2)),TEXT('הדבקת לידים'!A4128,"0")),TRIM('הדבקת לידים'!A4128)))</f>
        <v/>
      </c>
      <c r="B4128" s="0" t="str">
        <f aca="false">IF('הדבקת לידים'!B4128="","",IF(ISNUMBER('הדבקת לידים'!B4128),IF(הגדרות!$E$3&gt;0,TEXT('הדבקת לידים'!B4128,REPT("0",הגדרות!$E$3)),TEXT('הדבקת לידים'!B4128,"0")),TRIM('הדבקת לידים'!B4128)))</f>
        <v/>
      </c>
      <c r="C4128" s="0" t="n">
        <f aca="false">IF(OR(A4128&lt;&gt;"",B4128&lt;&gt;""),1,0)</f>
        <v>0</v>
      </c>
      <c r="D4128" s="0" t="str">
        <f aca="false">IF(C4128=1,MOD(ABS(SIN(ROW()*12.9898+'הדבקת לידים'!$F$2*78.233+IFERROR(--RIGHT(A4128,6),LEN(A4128))*0.0137+IFERROR(--RIGHT(B4128,6),LEN(B4128))*0.0071))*43758.5453,1),"")</f>
        <v/>
      </c>
      <c r="E4128" s="0" t="str">
        <f aca="false">IF(C4128=1,INT(MOD(ABS(SIN(D4128*7919.123+ROW()*0.618+'הדבקת לידים'!$F$2*1.3))*43758.5453,1)*1000000)*10000+ROW(),"")</f>
        <v/>
      </c>
      <c r="F4128" s="0" t="str">
        <f aca="false">IF(E4128="","",RANK(E4128,$E$2:$E$5001,1))</f>
        <v/>
      </c>
      <c r="G4128" s="0" t="n">
        <f aca="false">IF(A4128="",0,IF(SUMPRODUCT(--($A$2:$A$5001=A4128))&gt;1,1,0))</f>
        <v>0</v>
      </c>
      <c r="H4128" s="0" t="n">
        <f aca="false">ROW()-1</f>
        <v>4127</v>
      </c>
      <c r="I4128" s="0" t="str">
        <f aca="false">IF(OR(הגדרות!$E$6=0,H4128&gt;הגדרות!$E$5),"",IF(H4128-1&lt;הגדרות!$E$8*(הגדרות!$E$7+1),INT((H4128-1)/(הגדרות!$E$7+1)),הגדרות!$E$8+INT((H4128-1-הגדרות!$E$8*(הגדרות!$E$7+1))/הגדרות!$E$7)))</f>
        <v/>
      </c>
      <c r="J4128" s="0" t="str">
        <f aca="false">IF(I4128="","",IF(H4128-1&lt;הגדרות!$E$8*(הגדרות!$E$7+1),MOD(H4128-1,הגדרות!$E$7+1),MOD(H4128-1-הגדרות!$E$8*(הגדרות!$E$7+1),הגדרות!$E$7)))</f>
        <v/>
      </c>
      <c r="K4128" s="0" t="str">
        <f aca="false">IF(I4128="","",J4128*הגדרות!$E$6+I4128+1)</f>
        <v/>
      </c>
      <c r="L4128" s="0" t="str">
        <f aca="false">IF(K4128="","",MATCH(K4128,$F$2:$F$5001,0))</f>
        <v/>
      </c>
      <c r="M4128" s="0" t="str">
        <f aca="false">IF(I4128="","",INDEX(הגדרות!$A$2:$A$21,MOD(I4128+הגדרות!$E$9,הגדרות!$E$6)+1))</f>
        <v/>
      </c>
    </row>
    <row r="4129" customFormat="false" ht="15" hidden="false" customHeight="false" outlineLevel="0" collapsed="false">
      <c r="A4129" s="0" t="str">
        <f aca="false">IF('הדבקת לידים'!A4129="","",IF(ISNUMBER('הדבקת לידים'!A4129),IF(הגדרות!$E$2&gt;0,TEXT('הדבקת לידים'!A4129,REPT("0",הגדרות!$E$2)),TEXT('הדבקת לידים'!A4129,"0")),TRIM('הדבקת לידים'!A4129)))</f>
        <v/>
      </c>
      <c r="B4129" s="0" t="str">
        <f aca="false">IF('הדבקת לידים'!B4129="","",IF(ISNUMBER('הדבקת לידים'!B4129),IF(הגדרות!$E$3&gt;0,TEXT('הדבקת לידים'!B4129,REPT("0",הגדרות!$E$3)),TEXT('הדבקת לידים'!B4129,"0")),TRIM('הדבקת לידים'!B4129)))</f>
        <v/>
      </c>
      <c r="C4129" s="0" t="n">
        <f aca="false">IF(OR(A4129&lt;&gt;"",B4129&lt;&gt;""),1,0)</f>
        <v>0</v>
      </c>
      <c r="D4129" s="0" t="str">
        <f aca="false">IF(C4129=1,MOD(ABS(SIN(ROW()*12.9898+'הדבקת לידים'!$F$2*78.233+IFERROR(--RIGHT(A4129,6),LEN(A4129))*0.0137+IFERROR(--RIGHT(B4129,6),LEN(B4129))*0.0071))*43758.5453,1),"")</f>
        <v/>
      </c>
      <c r="E4129" s="0" t="str">
        <f aca="false">IF(C4129=1,INT(MOD(ABS(SIN(D4129*7919.123+ROW()*0.618+'הדבקת לידים'!$F$2*1.3))*43758.5453,1)*1000000)*10000+ROW(),"")</f>
        <v/>
      </c>
      <c r="F4129" s="0" t="str">
        <f aca="false">IF(E4129="","",RANK(E4129,$E$2:$E$5001,1))</f>
        <v/>
      </c>
      <c r="G4129" s="0" t="n">
        <f aca="false">IF(A4129="",0,IF(SUMPRODUCT(--($A$2:$A$5001=A4129))&gt;1,1,0))</f>
        <v>0</v>
      </c>
      <c r="H4129" s="0" t="n">
        <f aca="false">ROW()-1</f>
        <v>4128</v>
      </c>
      <c r="I4129" s="0" t="str">
        <f aca="false">IF(OR(הגדרות!$E$6=0,H4129&gt;הגדרות!$E$5),"",IF(H4129-1&lt;הגדרות!$E$8*(הגדרות!$E$7+1),INT((H4129-1)/(הגדרות!$E$7+1)),הגדרות!$E$8+INT((H4129-1-הגדרות!$E$8*(הגדרות!$E$7+1))/הגדרות!$E$7)))</f>
        <v/>
      </c>
      <c r="J4129" s="0" t="str">
        <f aca="false">IF(I4129="","",IF(H4129-1&lt;הגדרות!$E$8*(הגדרות!$E$7+1),MOD(H4129-1,הגדרות!$E$7+1),MOD(H4129-1-הגדרות!$E$8*(הגדרות!$E$7+1),הגדרות!$E$7)))</f>
        <v/>
      </c>
      <c r="K4129" s="0" t="str">
        <f aca="false">IF(I4129="","",J4129*הגדרות!$E$6+I4129+1)</f>
        <v/>
      </c>
      <c r="L4129" s="0" t="str">
        <f aca="false">IF(K4129="","",MATCH(K4129,$F$2:$F$5001,0))</f>
        <v/>
      </c>
      <c r="M4129" s="0" t="str">
        <f aca="false">IF(I4129="","",INDEX(הגדרות!$A$2:$A$21,MOD(I4129+הגדרות!$E$9,הגדרות!$E$6)+1))</f>
        <v/>
      </c>
    </row>
    <row r="4130" customFormat="false" ht="15" hidden="false" customHeight="false" outlineLevel="0" collapsed="false">
      <c r="A4130" s="0" t="str">
        <f aca="false">IF('הדבקת לידים'!A4130="","",IF(ISNUMBER('הדבקת לידים'!A4130),IF(הגדרות!$E$2&gt;0,TEXT('הדבקת לידים'!A4130,REPT("0",הגדרות!$E$2)),TEXT('הדבקת לידים'!A4130,"0")),TRIM('הדבקת לידים'!A4130)))</f>
        <v/>
      </c>
      <c r="B4130" s="0" t="str">
        <f aca="false">IF('הדבקת לידים'!B4130="","",IF(ISNUMBER('הדבקת לידים'!B4130),IF(הגדרות!$E$3&gt;0,TEXT('הדבקת לידים'!B4130,REPT("0",הגדרות!$E$3)),TEXT('הדבקת לידים'!B4130,"0")),TRIM('הדבקת לידים'!B4130)))</f>
        <v/>
      </c>
      <c r="C4130" s="0" t="n">
        <f aca="false">IF(OR(A4130&lt;&gt;"",B4130&lt;&gt;""),1,0)</f>
        <v>0</v>
      </c>
      <c r="D4130" s="0" t="str">
        <f aca="false">IF(C4130=1,MOD(ABS(SIN(ROW()*12.9898+'הדבקת לידים'!$F$2*78.233+IFERROR(--RIGHT(A4130,6),LEN(A4130))*0.0137+IFERROR(--RIGHT(B4130,6),LEN(B4130))*0.0071))*43758.5453,1),"")</f>
        <v/>
      </c>
      <c r="E4130" s="0" t="str">
        <f aca="false">IF(C4130=1,INT(MOD(ABS(SIN(D4130*7919.123+ROW()*0.618+'הדבקת לידים'!$F$2*1.3))*43758.5453,1)*1000000)*10000+ROW(),"")</f>
        <v/>
      </c>
      <c r="F4130" s="0" t="str">
        <f aca="false">IF(E4130="","",RANK(E4130,$E$2:$E$5001,1))</f>
        <v/>
      </c>
      <c r="G4130" s="0" t="n">
        <f aca="false">IF(A4130="",0,IF(SUMPRODUCT(--($A$2:$A$5001=A4130))&gt;1,1,0))</f>
        <v>0</v>
      </c>
      <c r="H4130" s="0" t="n">
        <f aca="false">ROW()-1</f>
        <v>4129</v>
      </c>
      <c r="I4130" s="0" t="str">
        <f aca="false">IF(OR(הגדרות!$E$6=0,H4130&gt;הגדרות!$E$5),"",IF(H4130-1&lt;הגדרות!$E$8*(הגדרות!$E$7+1),INT((H4130-1)/(הגדרות!$E$7+1)),הגדרות!$E$8+INT((H4130-1-הגדרות!$E$8*(הגדרות!$E$7+1))/הגדרות!$E$7)))</f>
        <v/>
      </c>
      <c r="J4130" s="0" t="str">
        <f aca="false">IF(I4130="","",IF(H4130-1&lt;הגדרות!$E$8*(הגדרות!$E$7+1),MOD(H4130-1,הגדרות!$E$7+1),MOD(H4130-1-הגדרות!$E$8*(הגדרות!$E$7+1),הגדרות!$E$7)))</f>
        <v/>
      </c>
      <c r="K4130" s="0" t="str">
        <f aca="false">IF(I4130="","",J4130*הגדרות!$E$6+I4130+1)</f>
        <v/>
      </c>
      <c r="L4130" s="0" t="str">
        <f aca="false">IF(K4130="","",MATCH(K4130,$F$2:$F$5001,0))</f>
        <v/>
      </c>
      <c r="M4130" s="0" t="str">
        <f aca="false">IF(I4130="","",INDEX(הגדרות!$A$2:$A$21,MOD(I4130+הגדרות!$E$9,הגדרות!$E$6)+1))</f>
        <v/>
      </c>
    </row>
    <row r="4131" customFormat="false" ht="15" hidden="false" customHeight="false" outlineLevel="0" collapsed="false">
      <c r="A4131" s="0" t="str">
        <f aca="false">IF('הדבקת לידים'!A4131="","",IF(ISNUMBER('הדבקת לידים'!A4131),IF(הגדרות!$E$2&gt;0,TEXT('הדבקת לידים'!A4131,REPT("0",הגדרות!$E$2)),TEXT('הדבקת לידים'!A4131,"0")),TRIM('הדבקת לידים'!A4131)))</f>
        <v/>
      </c>
      <c r="B4131" s="0" t="str">
        <f aca="false">IF('הדבקת לידים'!B4131="","",IF(ISNUMBER('הדבקת לידים'!B4131),IF(הגדרות!$E$3&gt;0,TEXT('הדבקת לידים'!B4131,REPT("0",הגדרות!$E$3)),TEXT('הדבקת לידים'!B4131,"0")),TRIM('הדבקת לידים'!B4131)))</f>
        <v/>
      </c>
      <c r="C4131" s="0" t="n">
        <f aca="false">IF(OR(A4131&lt;&gt;"",B4131&lt;&gt;""),1,0)</f>
        <v>0</v>
      </c>
      <c r="D4131" s="0" t="str">
        <f aca="false">IF(C4131=1,MOD(ABS(SIN(ROW()*12.9898+'הדבקת לידים'!$F$2*78.233+IFERROR(--RIGHT(A4131,6),LEN(A4131))*0.0137+IFERROR(--RIGHT(B4131,6),LEN(B4131))*0.0071))*43758.5453,1),"")</f>
        <v/>
      </c>
      <c r="E4131" s="0" t="str">
        <f aca="false">IF(C4131=1,INT(MOD(ABS(SIN(D4131*7919.123+ROW()*0.618+'הדבקת לידים'!$F$2*1.3))*43758.5453,1)*1000000)*10000+ROW(),"")</f>
        <v/>
      </c>
      <c r="F4131" s="0" t="str">
        <f aca="false">IF(E4131="","",RANK(E4131,$E$2:$E$5001,1))</f>
        <v/>
      </c>
      <c r="G4131" s="0" t="n">
        <f aca="false">IF(A4131="",0,IF(SUMPRODUCT(--($A$2:$A$5001=A4131))&gt;1,1,0))</f>
        <v>0</v>
      </c>
      <c r="H4131" s="0" t="n">
        <f aca="false">ROW()-1</f>
        <v>4130</v>
      </c>
      <c r="I4131" s="0" t="str">
        <f aca="false">IF(OR(הגדרות!$E$6=0,H4131&gt;הגדרות!$E$5),"",IF(H4131-1&lt;הגדרות!$E$8*(הגדרות!$E$7+1),INT((H4131-1)/(הגדרות!$E$7+1)),הגדרות!$E$8+INT((H4131-1-הגדרות!$E$8*(הגדרות!$E$7+1))/הגדרות!$E$7)))</f>
        <v/>
      </c>
      <c r="J4131" s="0" t="str">
        <f aca="false">IF(I4131="","",IF(H4131-1&lt;הגדרות!$E$8*(הגדרות!$E$7+1),MOD(H4131-1,הגדרות!$E$7+1),MOD(H4131-1-הגדרות!$E$8*(הגדרות!$E$7+1),הגדרות!$E$7)))</f>
        <v/>
      </c>
      <c r="K4131" s="0" t="str">
        <f aca="false">IF(I4131="","",J4131*הגדרות!$E$6+I4131+1)</f>
        <v/>
      </c>
      <c r="L4131" s="0" t="str">
        <f aca="false">IF(K4131="","",MATCH(K4131,$F$2:$F$5001,0))</f>
        <v/>
      </c>
      <c r="M4131" s="0" t="str">
        <f aca="false">IF(I4131="","",INDEX(הגדרות!$A$2:$A$21,MOD(I4131+הגדרות!$E$9,הגדרות!$E$6)+1))</f>
        <v/>
      </c>
    </row>
    <row r="4132" customFormat="false" ht="15" hidden="false" customHeight="false" outlineLevel="0" collapsed="false">
      <c r="A4132" s="0" t="str">
        <f aca="false">IF('הדבקת לידים'!A4132="","",IF(ISNUMBER('הדבקת לידים'!A4132),IF(הגדרות!$E$2&gt;0,TEXT('הדבקת לידים'!A4132,REPT("0",הגדרות!$E$2)),TEXT('הדבקת לידים'!A4132,"0")),TRIM('הדבקת לידים'!A4132)))</f>
        <v/>
      </c>
      <c r="B4132" s="0" t="str">
        <f aca="false">IF('הדבקת לידים'!B4132="","",IF(ISNUMBER('הדבקת לידים'!B4132),IF(הגדרות!$E$3&gt;0,TEXT('הדבקת לידים'!B4132,REPT("0",הגדרות!$E$3)),TEXT('הדבקת לידים'!B4132,"0")),TRIM('הדבקת לידים'!B4132)))</f>
        <v/>
      </c>
      <c r="C4132" s="0" t="n">
        <f aca="false">IF(OR(A4132&lt;&gt;"",B4132&lt;&gt;""),1,0)</f>
        <v>0</v>
      </c>
      <c r="D4132" s="0" t="str">
        <f aca="false">IF(C4132=1,MOD(ABS(SIN(ROW()*12.9898+'הדבקת לידים'!$F$2*78.233+IFERROR(--RIGHT(A4132,6),LEN(A4132))*0.0137+IFERROR(--RIGHT(B4132,6),LEN(B4132))*0.0071))*43758.5453,1),"")</f>
        <v/>
      </c>
      <c r="E4132" s="0" t="str">
        <f aca="false">IF(C4132=1,INT(MOD(ABS(SIN(D4132*7919.123+ROW()*0.618+'הדבקת לידים'!$F$2*1.3))*43758.5453,1)*1000000)*10000+ROW(),"")</f>
        <v/>
      </c>
      <c r="F4132" s="0" t="str">
        <f aca="false">IF(E4132="","",RANK(E4132,$E$2:$E$5001,1))</f>
        <v/>
      </c>
      <c r="G4132" s="0" t="n">
        <f aca="false">IF(A4132="",0,IF(SUMPRODUCT(--($A$2:$A$5001=A4132))&gt;1,1,0))</f>
        <v>0</v>
      </c>
      <c r="H4132" s="0" t="n">
        <f aca="false">ROW()-1</f>
        <v>4131</v>
      </c>
      <c r="I4132" s="0" t="str">
        <f aca="false">IF(OR(הגדרות!$E$6=0,H4132&gt;הגדרות!$E$5),"",IF(H4132-1&lt;הגדרות!$E$8*(הגדרות!$E$7+1),INT((H4132-1)/(הגדרות!$E$7+1)),הגדרות!$E$8+INT((H4132-1-הגדרות!$E$8*(הגדרות!$E$7+1))/הגדרות!$E$7)))</f>
        <v/>
      </c>
      <c r="J4132" s="0" t="str">
        <f aca="false">IF(I4132="","",IF(H4132-1&lt;הגדרות!$E$8*(הגדרות!$E$7+1),MOD(H4132-1,הגדרות!$E$7+1),MOD(H4132-1-הגדרות!$E$8*(הגדרות!$E$7+1),הגדרות!$E$7)))</f>
        <v/>
      </c>
      <c r="K4132" s="0" t="str">
        <f aca="false">IF(I4132="","",J4132*הגדרות!$E$6+I4132+1)</f>
        <v/>
      </c>
      <c r="L4132" s="0" t="str">
        <f aca="false">IF(K4132="","",MATCH(K4132,$F$2:$F$5001,0))</f>
        <v/>
      </c>
      <c r="M4132" s="0" t="str">
        <f aca="false">IF(I4132="","",INDEX(הגדרות!$A$2:$A$21,MOD(I4132+הגדרות!$E$9,הגדרות!$E$6)+1))</f>
        <v/>
      </c>
    </row>
    <row r="4133" customFormat="false" ht="15" hidden="false" customHeight="false" outlineLevel="0" collapsed="false">
      <c r="A4133" s="0" t="str">
        <f aca="false">IF('הדבקת לידים'!A4133="","",IF(ISNUMBER('הדבקת לידים'!A4133),IF(הגדרות!$E$2&gt;0,TEXT('הדבקת לידים'!A4133,REPT("0",הגדרות!$E$2)),TEXT('הדבקת לידים'!A4133,"0")),TRIM('הדבקת לידים'!A4133)))</f>
        <v/>
      </c>
      <c r="B4133" s="0" t="str">
        <f aca="false">IF('הדבקת לידים'!B4133="","",IF(ISNUMBER('הדבקת לידים'!B4133),IF(הגדרות!$E$3&gt;0,TEXT('הדבקת לידים'!B4133,REPT("0",הגדרות!$E$3)),TEXT('הדבקת לידים'!B4133,"0")),TRIM('הדבקת לידים'!B4133)))</f>
        <v/>
      </c>
      <c r="C4133" s="0" t="n">
        <f aca="false">IF(OR(A4133&lt;&gt;"",B4133&lt;&gt;""),1,0)</f>
        <v>0</v>
      </c>
      <c r="D4133" s="0" t="str">
        <f aca="false">IF(C4133=1,MOD(ABS(SIN(ROW()*12.9898+'הדבקת לידים'!$F$2*78.233+IFERROR(--RIGHT(A4133,6),LEN(A4133))*0.0137+IFERROR(--RIGHT(B4133,6),LEN(B4133))*0.0071))*43758.5453,1),"")</f>
        <v/>
      </c>
      <c r="E4133" s="0" t="str">
        <f aca="false">IF(C4133=1,INT(MOD(ABS(SIN(D4133*7919.123+ROW()*0.618+'הדבקת לידים'!$F$2*1.3))*43758.5453,1)*1000000)*10000+ROW(),"")</f>
        <v/>
      </c>
      <c r="F4133" s="0" t="str">
        <f aca="false">IF(E4133="","",RANK(E4133,$E$2:$E$5001,1))</f>
        <v/>
      </c>
      <c r="G4133" s="0" t="n">
        <f aca="false">IF(A4133="",0,IF(SUMPRODUCT(--($A$2:$A$5001=A4133))&gt;1,1,0))</f>
        <v>0</v>
      </c>
      <c r="H4133" s="0" t="n">
        <f aca="false">ROW()-1</f>
        <v>4132</v>
      </c>
      <c r="I4133" s="0" t="str">
        <f aca="false">IF(OR(הגדרות!$E$6=0,H4133&gt;הגדרות!$E$5),"",IF(H4133-1&lt;הגדרות!$E$8*(הגדרות!$E$7+1),INT((H4133-1)/(הגדרות!$E$7+1)),הגדרות!$E$8+INT((H4133-1-הגדרות!$E$8*(הגדרות!$E$7+1))/הגדרות!$E$7)))</f>
        <v/>
      </c>
      <c r="J4133" s="0" t="str">
        <f aca="false">IF(I4133="","",IF(H4133-1&lt;הגדרות!$E$8*(הגדרות!$E$7+1),MOD(H4133-1,הגדרות!$E$7+1),MOD(H4133-1-הגדרות!$E$8*(הגדרות!$E$7+1),הגדרות!$E$7)))</f>
        <v/>
      </c>
      <c r="K4133" s="0" t="str">
        <f aca="false">IF(I4133="","",J4133*הגדרות!$E$6+I4133+1)</f>
        <v/>
      </c>
      <c r="L4133" s="0" t="str">
        <f aca="false">IF(K4133="","",MATCH(K4133,$F$2:$F$5001,0))</f>
        <v/>
      </c>
      <c r="M4133" s="0" t="str">
        <f aca="false">IF(I4133="","",INDEX(הגדרות!$A$2:$A$21,MOD(I4133+הגדרות!$E$9,הגדרות!$E$6)+1))</f>
        <v/>
      </c>
    </row>
    <row r="4134" customFormat="false" ht="15" hidden="false" customHeight="false" outlineLevel="0" collapsed="false">
      <c r="A4134" s="0" t="str">
        <f aca="false">IF('הדבקת לידים'!A4134="","",IF(ISNUMBER('הדבקת לידים'!A4134),IF(הגדרות!$E$2&gt;0,TEXT('הדבקת לידים'!A4134,REPT("0",הגדרות!$E$2)),TEXT('הדבקת לידים'!A4134,"0")),TRIM('הדבקת לידים'!A4134)))</f>
        <v/>
      </c>
      <c r="B4134" s="0" t="str">
        <f aca="false">IF('הדבקת לידים'!B4134="","",IF(ISNUMBER('הדבקת לידים'!B4134),IF(הגדרות!$E$3&gt;0,TEXT('הדבקת לידים'!B4134,REPT("0",הגדרות!$E$3)),TEXT('הדבקת לידים'!B4134,"0")),TRIM('הדבקת לידים'!B4134)))</f>
        <v/>
      </c>
      <c r="C4134" s="0" t="n">
        <f aca="false">IF(OR(A4134&lt;&gt;"",B4134&lt;&gt;""),1,0)</f>
        <v>0</v>
      </c>
      <c r="D4134" s="0" t="str">
        <f aca="false">IF(C4134=1,MOD(ABS(SIN(ROW()*12.9898+'הדבקת לידים'!$F$2*78.233+IFERROR(--RIGHT(A4134,6),LEN(A4134))*0.0137+IFERROR(--RIGHT(B4134,6),LEN(B4134))*0.0071))*43758.5453,1),"")</f>
        <v/>
      </c>
      <c r="E4134" s="0" t="str">
        <f aca="false">IF(C4134=1,INT(MOD(ABS(SIN(D4134*7919.123+ROW()*0.618+'הדבקת לידים'!$F$2*1.3))*43758.5453,1)*1000000)*10000+ROW(),"")</f>
        <v/>
      </c>
      <c r="F4134" s="0" t="str">
        <f aca="false">IF(E4134="","",RANK(E4134,$E$2:$E$5001,1))</f>
        <v/>
      </c>
      <c r="G4134" s="0" t="n">
        <f aca="false">IF(A4134="",0,IF(SUMPRODUCT(--($A$2:$A$5001=A4134))&gt;1,1,0))</f>
        <v>0</v>
      </c>
      <c r="H4134" s="0" t="n">
        <f aca="false">ROW()-1</f>
        <v>4133</v>
      </c>
      <c r="I4134" s="0" t="str">
        <f aca="false">IF(OR(הגדרות!$E$6=0,H4134&gt;הגדרות!$E$5),"",IF(H4134-1&lt;הגדרות!$E$8*(הגדרות!$E$7+1),INT((H4134-1)/(הגדרות!$E$7+1)),הגדרות!$E$8+INT((H4134-1-הגדרות!$E$8*(הגדרות!$E$7+1))/הגדרות!$E$7)))</f>
        <v/>
      </c>
      <c r="J4134" s="0" t="str">
        <f aca="false">IF(I4134="","",IF(H4134-1&lt;הגדרות!$E$8*(הגדרות!$E$7+1),MOD(H4134-1,הגדרות!$E$7+1),MOD(H4134-1-הגדרות!$E$8*(הגדרות!$E$7+1),הגדרות!$E$7)))</f>
        <v/>
      </c>
      <c r="K4134" s="0" t="str">
        <f aca="false">IF(I4134="","",J4134*הגדרות!$E$6+I4134+1)</f>
        <v/>
      </c>
      <c r="L4134" s="0" t="str">
        <f aca="false">IF(K4134="","",MATCH(K4134,$F$2:$F$5001,0))</f>
        <v/>
      </c>
      <c r="M4134" s="0" t="str">
        <f aca="false">IF(I4134="","",INDEX(הגדרות!$A$2:$A$21,MOD(I4134+הגדרות!$E$9,הגדרות!$E$6)+1))</f>
        <v/>
      </c>
    </row>
    <row r="4135" customFormat="false" ht="15" hidden="false" customHeight="false" outlineLevel="0" collapsed="false">
      <c r="A4135" s="0" t="str">
        <f aca="false">IF('הדבקת לידים'!A4135="","",IF(ISNUMBER('הדבקת לידים'!A4135),IF(הגדרות!$E$2&gt;0,TEXT('הדבקת לידים'!A4135,REPT("0",הגדרות!$E$2)),TEXT('הדבקת לידים'!A4135,"0")),TRIM('הדבקת לידים'!A4135)))</f>
        <v/>
      </c>
      <c r="B4135" s="0" t="str">
        <f aca="false">IF('הדבקת לידים'!B4135="","",IF(ISNUMBER('הדבקת לידים'!B4135),IF(הגדרות!$E$3&gt;0,TEXT('הדבקת לידים'!B4135,REPT("0",הגדרות!$E$3)),TEXT('הדבקת לידים'!B4135,"0")),TRIM('הדבקת לידים'!B4135)))</f>
        <v/>
      </c>
      <c r="C4135" s="0" t="n">
        <f aca="false">IF(OR(A4135&lt;&gt;"",B4135&lt;&gt;""),1,0)</f>
        <v>0</v>
      </c>
      <c r="D4135" s="0" t="str">
        <f aca="false">IF(C4135=1,MOD(ABS(SIN(ROW()*12.9898+'הדבקת לידים'!$F$2*78.233+IFERROR(--RIGHT(A4135,6),LEN(A4135))*0.0137+IFERROR(--RIGHT(B4135,6),LEN(B4135))*0.0071))*43758.5453,1),"")</f>
        <v/>
      </c>
      <c r="E4135" s="0" t="str">
        <f aca="false">IF(C4135=1,INT(MOD(ABS(SIN(D4135*7919.123+ROW()*0.618+'הדבקת לידים'!$F$2*1.3))*43758.5453,1)*1000000)*10000+ROW(),"")</f>
        <v/>
      </c>
      <c r="F4135" s="0" t="str">
        <f aca="false">IF(E4135="","",RANK(E4135,$E$2:$E$5001,1))</f>
        <v/>
      </c>
      <c r="G4135" s="0" t="n">
        <f aca="false">IF(A4135="",0,IF(SUMPRODUCT(--($A$2:$A$5001=A4135))&gt;1,1,0))</f>
        <v>0</v>
      </c>
      <c r="H4135" s="0" t="n">
        <f aca="false">ROW()-1</f>
        <v>4134</v>
      </c>
      <c r="I4135" s="0" t="str">
        <f aca="false">IF(OR(הגדרות!$E$6=0,H4135&gt;הגדרות!$E$5),"",IF(H4135-1&lt;הגדרות!$E$8*(הגדרות!$E$7+1),INT((H4135-1)/(הגדרות!$E$7+1)),הגדרות!$E$8+INT((H4135-1-הגדרות!$E$8*(הגדרות!$E$7+1))/הגדרות!$E$7)))</f>
        <v/>
      </c>
      <c r="J4135" s="0" t="str">
        <f aca="false">IF(I4135="","",IF(H4135-1&lt;הגדרות!$E$8*(הגדרות!$E$7+1),MOD(H4135-1,הגדרות!$E$7+1),MOD(H4135-1-הגדרות!$E$8*(הגדרות!$E$7+1),הגדרות!$E$7)))</f>
        <v/>
      </c>
      <c r="K4135" s="0" t="str">
        <f aca="false">IF(I4135="","",J4135*הגדרות!$E$6+I4135+1)</f>
        <v/>
      </c>
      <c r="L4135" s="0" t="str">
        <f aca="false">IF(K4135="","",MATCH(K4135,$F$2:$F$5001,0))</f>
        <v/>
      </c>
      <c r="M4135" s="0" t="str">
        <f aca="false">IF(I4135="","",INDEX(הגדרות!$A$2:$A$21,MOD(I4135+הגדרות!$E$9,הגדרות!$E$6)+1))</f>
        <v/>
      </c>
    </row>
    <row r="4136" customFormat="false" ht="15" hidden="false" customHeight="false" outlineLevel="0" collapsed="false">
      <c r="A4136" s="0" t="str">
        <f aca="false">IF('הדבקת לידים'!A4136="","",IF(ISNUMBER('הדבקת לידים'!A4136),IF(הגדרות!$E$2&gt;0,TEXT('הדבקת לידים'!A4136,REPT("0",הגדרות!$E$2)),TEXT('הדבקת לידים'!A4136,"0")),TRIM('הדבקת לידים'!A4136)))</f>
        <v/>
      </c>
      <c r="B4136" s="0" t="str">
        <f aca="false">IF('הדבקת לידים'!B4136="","",IF(ISNUMBER('הדבקת לידים'!B4136),IF(הגדרות!$E$3&gt;0,TEXT('הדבקת לידים'!B4136,REPT("0",הגדרות!$E$3)),TEXT('הדבקת לידים'!B4136,"0")),TRIM('הדבקת לידים'!B4136)))</f>
        <v/>
      </c>
      <c r="C4136" s="0" t="n">
        <f aca="false">IF(OR(A4136&lt;&gt;"",B4136&lt;&gt;""),1,0)</f>
        <v>0</v>
      </c>
      <c r="D4136" s="0" t="str">
        <f aca="false">IF(C4136=1,MOD(ABS(SIN(ROW()*12.9898+'הדבקת לידים'!$F$2*78.233+IFERROR(--RIGHT(A4136,6),LEN(A4136))*0.0137+IFERROR(--RIGHT(B4136,6),LEN(B4136))*0.0071))*43758.5453,1),"")</f>
        <v/>
      </c>
      <c r="E4136" s="0" t="str">
        <f aca="false">IF(C4136=1,INT(MOD(ABS(SIN(D4136*7919.123+ROW()*0.618+'הדבקת לידים'!$F$2*1.3))*43758.5453,1)*1000000)*10000+ROW(),"")</f>
        <v/>
      </c>
      <c r="F4136" s="0" t="str">
        <f aca="false">IF(E4136="","",RANK(E4136,$E$2:$E$5001,1))</f>
        <v/>
      </c>
      <c r="G4136" s="0" t="n">
        <f aca="false">IF(A4136="",0,IF(SUMPRODUCT(--($A$2:$A$5001=A4136))&gt;1,1,0))</f>
        <v>0</v>
      </c>
      <c r="H4136" s="0" t="n">
        <f aca="false">ROW()-1</f>
        <v>4135</v>
      </c>
      <c r="I4136" s="0" t="str">
        <f aca="false">IF(OR(הגדרות!$E$6=0,H4136&gt;הגדרות!$E$5),"",IF(H4136-1&lt;הגדרות!$E$8*(הגדרות!$E$7+1),INT((H4136-1)/(הגדרות!$E$7+1)),הגדרות!$E$8+INT((H4136-1-הגדרות!$E$8*(הגדרות!$E$7+1))/הגדרות!$E$7)))</f>
        <v/>
      </c>
      <c r="J4136" s="0" t="str">
        <f aca="false">IF(I4136="","",IF(H4136-1&lt;הגדרות!$E$8*(הגדרות!$E$7+1),MOD(H4136-1,הגדרות!$E$7+1),MOD(H4136-1-הגדרות!$E$8*(הגדרות!$E$7+1),הגדרות!$E$7)))</f>
        <v/>
      </c>
      <c r="K4136" s="0" t="str">
        <f aca="false">IF(I4136="","",J4136*הגדרות!$E$6+I4136+1)</f>
        <v/>
      </c>
      <c r="L4136" s="0" t="str">
        <f aca="false">IF(K4136="","",MATCH(K4136,$F$2:$F$5001,0))</f>
        <v/>
      </c>
      <c r="M4136" s="0" t="str">
        <f aca="false">IF(I4136="","",INDEX(הגדרות!$A$2:$A$21,MOD(I4136+הגדרות!$E$9,הגדרות!$E$6)+1))</f>
        <v/>
      </c>
    </row>
    <row r="4137" customFormat="false" ht="15" hidden="false" customHeight="false" outlineLevel="0" collapsed="false">
      <c r="A4137" s="0" t="str">
        <f aca="false">IF('הדבקת לידים'!A4137="","",IF(ISNUMBER('הדבקת לידים'!A4137),IF(הגדרות!$E$2&gt;0,TEXT('הדבקת לידים'!A4137,REPT("0",הגדרות!$E$2)),TEXT('הדבקת לידים'!A4137,"0")),TRIM('הדבקת לידים'!A4137)))</f>
        <v/>
      </c>
      <c r="B4137" s="0" t="str">
        <f aca="false">IF('הדבקת לידים'!B4137="","",IF(ISNUMBER('הדבקת לידים'!B4137),IF(הגדרות!$E$3&gt;0,TEXT('הדבקת לידים'!B4137,REPT("0",הגדרות!$E$3)),TEXT('הדבקת לידים'!B4137,"0")),TRIM('הדבקת לידים'!B4137)))</f>
        <v/>
      </c>
      <c r="C4137" s="0" t="n">
        <f aca="false">IF(OR(A4137&lt;&gt;"",B4137&lt;&gt;""),1,0)</f>
        <v>0</v>
      </c>
      <c r="D4137" s="0" t="str">
        <f aca="false">IF(C4137=1,MOD(ABS(SIN(ROW()*12.9898+'הדבקת לידים'!$F$2*78.233+IFERROR(--RIGHT(A4137,6),LEN(A4137))*0.0137+IFERROR(--RIGHT(B4137,6),LEN(B4137))*0.0071))*43758.5453,1),"")</f>
        <v/>
      </c>
      <c r="E4137" s="0" t="str">
        <f aca="false">IF(C4137=1,INT(MOD(ABS(SIN(D4137*7919.123+ROW()*0.618+'הדבקת לידים'!$F$2*1.3))*43758.5453,1)*1000000)*10000+ROW(),"")</f>
        <v/>
      </c>
      <c r="F4137" s="0" t="str">
        <f aca="false">IF(E4137="","",RANK(E4137,$E$2:$E$5001,1))</f>
        <v/>
      </c>
      <c r="G4137" s="0" t="n">
        <f aca="false">IF(A4137="",0,IF(SUMPRODUCT(--($A$2:$A$5001=A4137))&gt;1,1,0))</f>
        <v>0</v>
      </c>
      <c r="H4137" s="0" t="n">
        <f aca="false">ROW()-1</f>
        <v>4136</v>
      </c>
      <c r="I4137" s="0" t="str">
        <f aca="false">IF(OR(הגדרות!$E$6=0,H4137&gt;הגדרות!$E$5),"",IF(H4137-1&lt;הגדרות!$E$8*(הגדרות!$E$7+1),INT((H4137-1)/(הגדרות!$E$7+1)),הגדרות!$E$8+INT((H4137-1-הגדרות!$E$8*(הגדרות!$E$7+1))/הגדרות!$E$7)))</f>
        <v/>
      </c>
      <c r="J4137" s="0" t="str">
        <f aca="false">IF(I4137="","",IF(H4137-1&lt;הגדרות!$E$8*(הגדרות!$E$7+1),MOD(H4137-1,הגדרות!$E$7+1),MOD(H4137-1-הגדרות!$E$8*(הגדרות!$E$7+1),הגדרות!$E$7)))</f>
        <v/>
      </c>
      <c r="K4137" s="0" t="str">
        <f aca="false">IF(I4137="","",J4137*הגדרות!$E$6+I4137+1)</f>
        <v/>
      </c>
      <c r="L4137" s="0" t="str">
        <f aca="false">IF(K4137="","",MATCH(K4137,$F$2:$F$5001,0))</f>
        <v/>
      </c>
      <c r="M4137" s="0" t="str">
        <f aca="false">IF(I4137="","",INDEX(הגדרות!$A$2:$A$21,MOD(I4137+הגדרות!$E$9,הגדרות!$E$6)+1))</f>
        <v/>
      </c>
    </row>
    <row r="4138" customFormat="false" ht="15" hidden="false" customHeight="false" outlineLevel="0" collapsed="false">
      <c r="A4138" s="0" t="str">
        <f aca="false">IF('הדבקת לידים'!A4138="","",IF(ISNUMBER('הדבקת לידים'!A4138),IF(הגדרות!$E$2&gt;0,TEXT('הדבקת לידים'!A4138,REPT("0",הגדרות!$E$2)),TEXT('הדבקת לידים'!A4138,"0")),TRIM('הדבקת לידים'!A4138)))</f>
        <v/>
      </c>
      <c r="B4138" s="0" t="str">
        <f aca="false">IF('הדבקת לידים'!B4138="","",IF(ISNUMBER('הדבקת לידים'!B4138),IF(הגדרות!$E$3&gt;0,TEXT('הדבקת לידים'!B4138,REPT("0",הגדרות!$E$3)),TEXT('הדבקת לידים'!B4138,"0")),TRIM('הדבקת לידים'!B4138)))</f>
        <v/>
      </c>
      <c r="C4138" s="0" t="n">
        <f aca="false">IF(OR(A4138&lt;&gt;"",B4138&lt;&gt;""),1,0)</f>
        <v>0</v>
      </c>
      <c r="D4138" s="0" t="str">
        <f aca="false">IF(C4138=1,MOD(ABS(SIN(ROW()*12.9898+'הדבקת לידים'!$F$2*78.233+IFERROR(--RIGHT(A4138,6),LEN(A4138))*0.0137+IFERROR(--RIGHT(B4138,6),LEN(B4138))*0.0071))*43758.5453,1),"")</f>
        <v/>
      </c>
      <c r="E4138" s="0" t="str">
        <f aca="false">IF(C4138=1,INT(MOD(ABS(SIN(D4138*7919.123+ROW()*0.618+'הדבקת לידים'!$F$2*1.3))*43758.5453,1)*1000000)*10000+ROW(),"")</f>
        <v/>
      </c>
      <c r="F4138" s="0" t="str">
        <f aca="false">IF(E4138="","",RANK(E4138,$E$2:$E$5001,1))</f>
        <v/>
      </c>
      <c r="G4138" s="0" t="n">
        <f aca="false">IF(A4138="",0,IF(SUMPRODUCT(--($A$2:$A$5001=A4138))&gt;1,1,0))</f>
        <v>0</v>
      </c>
      <c r="H4138" s="0" t="n">
        <f aca="false">ROW()-1</f>
        <v>4137</v>
      </c>
      <c r="I4138" s="0" t="str">
        <f aca="false">IF(OR(הגדרות!$E$6=0,H4138&gt;הגדרות!$E$5),"",IF(H4138-1&lt;הגדרות!$E$8*(הגדרות!$E$7+1),INT((H4138-1)/(הגדרות!$E$7+1)),הגדרות!$E$8+INT((H4138-1-הגדרות!$E$8*(הגדרות!$E$7+1))/הגדרות!$E$7)))</f>
        <v/>
      </c>
      <c r="J4138" s="0" t="str">
        <f aca="false">IF(I4138="","",IF(H4138-1&lt;הגדרות!$E$8*(הגדרות!$E$7+1),MOD(H4138-1,הגדרות!$E$7+1),MOD(H4138-1-הגדרות!$E$8*(הגדרות!$E$7+1),הגדרות!$E$7)))</f>
        <v/>
      </c>
      <c r="K4138" s="0" t="str">
        <f aca="false">IF(I4138="","",J4138*הגדרות!$E$6+I4138+1)</f>
        <v/>
      </c>
      <c r="L4138" s="0" t="str">
        <f aca="false">IF(K4138="","",MATCH(K4138,$F$2:$F$5001,0))</f>
        <v/>
      </c>
      <c r="M4138" s="0" t="str">
        <f aca="false">IF(I4138="","",INDEX(הגדרות!$A$2:$A$21,MOD(I4138+הגדרות!$E$9,הגדרות!$E$6)+1))</f>
        <v/>
      </c>
    </row>
    <row r="4139" customFormat="false" ht="15" hidden="false" customHeight="false" outlineLevel="0" collapsed="false">
      <c r="A4139" s="0" t="str">
        <f aca="false">IF('הדבקת לידים'!A4139="","",IF(ISNUMBER('הדבקת לידים'!A4139),IF(הגדרות!$E$2&gt;0,TEXT('הדבקת לידים'!A4139,REPT("0",הגדרות!$E$2)),TEXT('הדבקת לידים'!A4139,"0")),TRIM('הדבקת לידים'!A4139)))</f>
        <v/>
      </c>
      <c r="B4139" s="0" t="str">
        <f aca="false">IF('הדבקת לידים'!B4139="","",IF(ISNUMBER('הדבקת לידים'!B4139),IF(הגדרות!$E$3&gt;0,TEXT('הדבקת לידים'!B4139,REPT("0",הגדרות!$E$3)),TEXT('הדבקת לידים'!B4139,"0")),TRIM('הדבקת לידים'!B4139)))</f>
        <v/>
      </c>
      <c r="C4139" s="0" t="n">
        <f aca="false">IF(OR(A4139&lt;&gt;"",B4139&lt;&gt;""),1,0)</f>
        <v>0</v>
      </c>
      <c r="D4139" s="0" t="str">
        <f aca="false">IF(C4139=1,MOD(ABS(SIN(ROW()*12.9898+'הדבקת לידים'!$F$2*78.233+IFERROR(--RIGHT(A4139,6),LEN(A4139))*0.0137+IFERROR(--RIGHT(B4139,6),LEN(B4139))*0.0071))*43758.5453,1),"")</f>
        <v/>
      </c>
      <c r="E4139" s="0" t="str">
        <f aca="false">IF(C4139=1,INT(MOD(ABS(SIN(D4139*7919.123+ROW()*0.618+'הדבקת לידים'!$F$2*1.3))*43758.5453,1)*1000000)*10000+ROW(),"")</f>
        <v/>
      </c>
      <c r="F4139" s="0" t="str">
        <f aca="false">IF(E4139="","",RANK(E4139,$E$2:$E$5001,1))</f>
        <v/>
      </c>
      <c r="G4139" s="0" t="n">
        <f aca="false">IF(A4139="",0,IF(SUMPRODUCT(--($A$2:$A$5001=A4139))&gt;1,1,0))</f>
        <v>0</v>
      </c>
      <c r="H4139" s="0" t="n">
        <f aca="false">ROW()-1</f>
        <v>4138</v>
      </c>
      <c r="I4139" s="0" t="str">
        <f aca="false">IF(OR(הגדרות!$E$6=0,H4139&gt;הגדרות!$E$5),"",IF(H4139-1&lt;הגדרות!$E$8*(הגדרות!$E$7+1),INT((H4139-1)/(הגדרות!$E$7+1)),הגדרות!$E$8+INT((H4139-1-הגדרות!$E$8*(הגדרות!$E$7+1))/הגדרות!$E$7)))</f>
        <v/>
      </c>
      <c r="J4139" s="0" t="str">
        <f aca="false">IF(I4139="","",IF(H4139-1&lt;הגדרות!$E$8*(הגדרות!$E$7+1),MOD(H4139-1,הגדרות!$E$7+1),MOD(H4139-1-הגדרות!$E$8*(הגדרות!$E$7+1),הגדרות!$E$7)))</f>
        <v/>
      </c>
      <c r="K4139" s="0" t="str">
        <f aca="false">IF(I4139="","",J4139*הגדרות!$E$6+I4139+1)</f>
        <v/>
      </c>
      <c r="L4139" s="0" t="str">
        <f aca="false">IF(K4139="","",MATCH(K4139,$F$2:$F$5001,0))</f>
        <v/>
      </c>
      <c r="M4139" s="0" t="str">
        <f aca="false">IF(I4139="","",INDEX(הגדרות!$A$2:$A$21,MOD(I4139+הגדרות!$E$9,הגדרות!$E$6)+1))</f>
        <v/>
      </c>
    </row>
    <row r="4140" customFormat="false" ht="15" hidden="false" customHeight="false" outlineLevel="0" collapsed="false">
      <c r="A4140" s="0" t="str">
        <f aca="false">IF('הדבקת לידים'!A4140="","",IF(ISNUMBER('הדבקת לידים'!A4140),IF(הגדרות!$E$2&gt;0,TEXT('הדבקת לידים'!A4140,REPT("0",הגדרות!$E$2)),TEXT('הדבקת לידים'!A4140,"0")),TRIM('הדבקת לידים'!A4140)))</f>
        <v/>
      </c>
      <c r="B4140" s="0" t="str">
        <f aca="false">IF('הדבקת לידים'!B4140="","",IF(ISNUMBER('הדבקת לידים'!B4140),IF(הגדרות!$E$3&gt;0,TEXT('הדבקת לידים'!B4140,REPT("0",הגדרות!$E$3)),TEXT('הדבקת לידים'!B4140,"0")),TRIM('הדבקת לידים'!B4140)))</f>
        <v/>
      </c>
      <c r="C4140" s="0" t="n">
        <f aca="false">IF(OR(A4140&lt;&gt;"",B4140&lt;&gt;""),1,0)</f>
        <v>0</v>
      </c>
      <c r="D4140" s="0" t="str">
        <f aca="false">IF(C4140=1,MOD(ABS(SIN(ROW()*12.9898+'הדבקת לידים'!$F$2*78.233+IFERROR(--RIGHT(A4140,6),LEN(A4140))*0.0137+IFERROR(--RIGHT(B4140,6),LEN(B4140))*0.0071))*43758.5453,1),"")</f>
        <v/>
      </c>
      <c r="E4140" s="0" t="str">
        <f aca="false">IF(C4140=1,INT(MOD(ABS(SIN(D4140*7919.123+ROW()*0.618+'הדבקת לידים'!$F$2*1.3))*43758.5453,1)*1000000)*10000+ROW(),"")</f>
        <v/>
      </c>
      <c r="F4140" s="0" t="str">
        <f aca="false">IF(E4140="","",RANK(E4140,$E$2:$E$5001,1))</f>
        <v/>
      </c>
      <c r="G4140" s="0" t="n">
        <f aca="false">IF(A4140="",0,IF(SUMPRODUCT(--($A$2:$A$5001=A4140))&gt;1,1,0))</f>
        <v>0</v>
      </c>
      <c r="H4140" s="0" t="n">
        <f aca="false">ROW()-1</f>
        <v>4139</v>
      </c>
      <c r="I4140" s="0" t="str">
        <f aca="false">IF(OR(הגדרות!$E$6=0,H4140&gt;הגדרות!$E$5),"",IF(H4140-1&lt;הגדרות!$E$8*(הגדרות!$E$7+1),INT((H4140-1)/(הגדרות!$E$7+1)),הגדרות!$E$8+INT((H4140-1-הגדרות!$E$8*(הגדרות!$E$7+1))/הגדרות!$E$7)))</f>
        <v/>
      </c>
      <c r="J4140" s="0" t="str">
        <f aca="false">IF(I4140="","",IF(H4140-1&lt;הגדרות!$E$8*(הגדרות!$E$7+1),MOD(H4140-1,הגדרות!$E$7+1),MOD(H4140-1-הגדרות!$E$8*(הגדרות!$E$7+1),הגדרות!$E$7)))</f>
        <v/>
      </c>
      <c r="K4140" s="0" t="str">
        <f aca="false">IF(I4140="","",J4140*הגדרות!$E$6+I4140+1)</f>
        <v/>
      </c>
      <c r="L4140" s="0" t="str">
        <f aca="false">IF(K4140="","",MATCH(K4140,$F$2:$F$5001,0))</f>
        <v/>
      </c>
      <c r="M4140" s="0" t="str">
        <f aca="false">IF(I4140="","",INDEX(הגדרות!$A$2:$A$21,MOD(I4140+הגדרות!$E$9,הגדרות!$E$6)+1))</f>
        <v/>
      </c>
    </row>
    <row r="4141" customFormat="false" ht="15" hidden="false" customHeight="false" outlineLevel="0" collapsed="false">
      <c r="A4141" s="0" t="str">
        <f aca="false">IF('הדבקת לידים'!A4141="","",IF(ISNUMBER('הדבקת לידים'!A4141),IF(הגדרות!$E$2&gt;0,TEXT('הדבקת לידים'!A4141,REPT("0",הגדרות!$E$2)),TEXT('הדבקת לידים'!A4141,"0")),TRIM('הדבקת לידים'!A4141)))</f>
        <v/>
      </c>
      <c r="B4141" s="0" t="str">
        <f aca="false">IF('הדבקת לידים'!B4141="","",IF(ISNUMBER('הדבקת לידים'!B4141),IF(הגדרות!$E$3&gt;0,TEXT('הדבקת לידים'!B4141,REPT("0",הגדרות!$E$3)),TEXT('הדבקת לידים'!B4141,"0")),TRIM('הדבקת לידים'!B4141)))</f>
        <v/>
      </c>
      <c r="C4141" s="0" t="n">
        <f aca="false">IF(OR(A4141&lt;&gt;"",B4141&lt;&gt;""),1,0)</f>
        <v>0</v>
      </c>
      <c r="D4141" s="0" t="str">
        <f aca="false">IF(C4141=1,MOD(ABS(SIN(ROW()*12.9898+'הדבקת לידים'!$F$2*78.233+IFERROR(--RIGHT(A4141,6),LEN(A4141))*0.0137+IFERROR(--RIGHT(B4141,6),LEN(B4141))*0.0071))*43758.5453,1),"")</f>
        <v/>
      </c>
      <c r="E4141" s="0" t="str">
        <f aca="false">IF(C4141=1,INT(MOD(ABS(SIN(D4141*7919.123+ROW()*0.618+'הדבקת לידים'!$F$2*1.3))*43758.5453,1)*1000000)*10000+ROW(),"")</f>
        <v/>
      </c>
      <c r="F4141" s="0" t="str">
        <f aca="false">IF(E4141="","",RANK(E4141,$E$2:$E$5001,1))</f>
        <v/>
      </c>
      <c r="G4141" s="0" t="n">
        <f aca="false">IF(A4141="",0,IF(SUMPRODUCT(--($A$2:$A$5001=A4141))&gt;1,1,0))</f>
        <v>0</v>
      </c>
      <c r="H4141" s="0" t="n">
        <f aca="false">ROW()-1</f>
        <v>4140</v>
      </c>
      <c r="I4141" s="0" t="str">
        <f aca="false">IF(OR(הגדרות!$E$6=0,H4141&gt;הגדרות!$E$5),"",IF(H4141-1&lt;הגדרות!$E$8*(הגדרות!$E$7+1),INT((H4141-1)/(הגדרות!$E$7+1)),הגדרות!$E$8+INT((H4141-1-הגדרות!$E$8*(הגדרות!$E$7+1))/הגדרות!$E$7)))</f>
        <v/>
      </c>
      <c r="J4141" s="0" t="str">
        <f aca="false">IF(I4141="","",IF(H4141-1&lt;הגדרות!$E$8*(הגדרות!$E$7+1),MOD(H4141-1,הגדרות!$E$7+1),MOD(H4141-1-הגדרות!$E$8*(הגדרות!$E$7+1),הגדרות!$E$7)))</f>
        <v/>
      </c>
      <c r="K4141" s="0" t="str">
        <f aca="false">IF(I4141="","",J4141*הגדרות!$E$6+I4141+1)</f>
        <v/>
      </c>
      <c r="L4141" s="0" t="str">
        <f aca="false">IF(K4141="","",MATCH(K4141,$F$2:$F$5001,0))</f>
        <v/>
      </c>
      <c r="M4141" s="0" t="str">
        <f aca="false">IF(I4141="","",INDEX(הגדרות!$A$2:$A$21,MOD(I4141+הגדרות!$E$9,הגדרות!$E$6)+1))</f>
        <v/>
      </c>
    </row>
    <row r="4142" customFormat="false" ht="15" hidden="false" customHeight="false" outlineLevel="0" collapsed="false">
      <c r="A4142" s="0" t="str">
        <f aca="false">IF('הדבקת לידים'!A4142="","",IF(ISNUMBER('הדבקת לידים'!A4142),IF(הגדרות!$E$2&gt;0,TEXT('הדבקת לידים'!A4142,REPT("0",הגדרות!$E$2)),TEXT('הדבקת לידים'!A4142,"0")),TRIM('הדבקת לידים'!A4142)))</f>
        <v/>
      </c>
      <c r="B4142" s="0" t="str">
        <f aca="false">IF('הדבקת לידים'!B4142="","",IF(ISNUMBER('הדבקת לידים'!B4142),IF(הגדרות!$E$3&gt;0,TEXT('הדבקת לידים'!B4142,REPT("0",הגדרות!$E$3)),TEXT('הדבקת לידים'!B4142,"0")),TRIM('הדבקת לידים'!B4142)))</f>
        <v/>
      </c>
      <c r="C4142" s="0" t="n">
        <f aca="false">IF(OR(A4142&lt;&gt;"",B4142&lt;&gt;""),1,0)</f>
        <v>0</v>
      </c>
      <c r="D4142" s="0" t="str">
        <f aca="false">IF(C4142=1,MOD(ABS(SIN(ROW()*12.9898+'הדבקת לידים'!$F$2*78.233+IFERROR(--RIGHT(A4142,6),LEN(A4142))*0.0137+IFERROR(--RIGHT(B4142,6),LEN(B4142))*0.0071))*43758.5453,1),"")</f>
        <v/>
      </c>
      <c r="E4142" s="0" t="str">
        <f aca="false">IF(C4142=1,INT(MOD(ABS(SIN(D4142*7919.123+ROW()*0.618+'הדבקת לידים'!$F$2*1.3))*43758.5453,1)*1000000)*10000+ROW(),"")</f>
        <v/>
      </c>
      <c r="F4142" s="0" t="str">
        <f aca="false">IF(E4142="","",RANK(E4142,$E$2:$E$5001,1))</f>
        <v/>
      </c>
      <c r="G4142" s="0" t="n">
        <f aca="false">IF(A4142="",0,IF(SUMPRODUCT(--($A$2:$A$5001=A4142))&gt;1,1,0))</f>
        <v>0</v>
      </c>
      <c r="H4142" s="0" t="n">
        <f aca="false">ROW()-1</f>
        <v>4141</v>
      </c>
      <c r="I4142" s="0" t="str">
        <f aca="false">IF(OR(הגדרות!$E$6=0,H4142&gt;הגדרות!$E$5),"",IF(H4142-1&lt;הגדרות!$E$8*(הגדרות!$E$7+1),INT((H4142-1)/(הגדרות!$E$7+1)),הגדרות!$E$8+INT((H4142-1-הגדרות!$E$8*(הגדרות!$E$7+1))/הגדרות!$E$7)))</f>
        <v/>
      </c>
      <c r="J4142" s="0" t="str">
        <f aca="false">IF(I4142="","",IF(H4142-1&lt;הגדרות!$E$8*(הגדרות!$E$7+1),MOD(H4142-1,הגדרות!$E$7+1),MOD(H4142-1-הגדרות!$E$8*(הגדרות!$E$7+1),הגדרות!$E$7)))</f>
        <v/>
      </c>
      <c r="K4142" s="0" t="str">
        <f aca="false">IF(I4142="","",J4142*הגדרות!$E$6+I4142+1)</f>
        <v/>
      </c>
      <c r="L4142" s="0" t="str">
        <f aca="false">IF(K4142="","",MATCH(K4142,$F$2:$F$5001,0))</f>
        <v/>
      </c>
      <c r="M4142" s="0" t="str">
        <f aca="false">IF(I4142="","",INDEX(הגדרות!$A$2:$A$21,MOD(I4142+הגדרות!$E$9,הגדרות!$E$6)+1))</f>
        <v/>
      </c>
    </row>
    <row r="4143" customFormat="false" ht="15" hidden="false" customHeight="false" outlineLevel="0" collapsed="false">
      <c r="A4143" s="0" t="str">
        <f aca="false">IF('הדבקת לידים'!A4143="","",IF(ISNUMBER('הדבקת לידים'!A4143),IF(הגדרות!$E$2&gt;0,TEXT('הדבקת לידים'!A4143,REPT("0",הגדרות!$E$2)),TEXT('הדבקת לידים'!A4143,"0")),TRIM('הדבקת לידים'!A4143)))</f>
        <v/>
      </c>
      <c r="B4143" s="0" t="str">
        <f aca="false">IF('הדבקת לידים'!B4143="","",IF(ISNUMBER('הדבקת לידים'!B4143),IF(הגדרות!$E$3&gt;0,TEXT('הדבקת לידים'!B4143,REPT("0",הגדרות!$E$3)),TEXT('הדבקת לידים'!B4143,"0")),TRIM('הדבקת לידים'!B4143)))</f>
        <v/>
      </c>
      <c r="C4143" s="0" t="n">
        <f aca="false">IF(OR(A4143&lt;&gt;"",B4143&lt;&gt;""),1,0)</f>
        <v>0</v>
      </c>
      <c r="D4143" s="0" t="str">
        <f aca="false">IF(C4143=1,MOD(ABS(SIN(ROW()*12.9898+'הדבקת לידים'!$F$2*78.233+IFERROR(--RIGHT(A4143,6),LEN(A4143))*0.0137+IFERROR(--RIGHT(B4143,6),LEN(B4143))*0.0071))*43758.5453,1),"")</f>
        <v/>
      </c>
      <c r="E4143" s="0" t="str">
        <f aca="false">IF(C4143=1,INT(MOD(ABS(SIN(D4143*7919.123+ROW()*0.618+'הדבקת לידים'!$F$2*1.3))*43758.5453,1)*1000000)*10000+ROW(),"")</f>
        <v/>
      </c>
      <c r="F4143" s="0" t="str">
        <f aca="false">IF(E4143="","",RANK(E4143,$E$2:$E$5001,1))</f>
        <v/>
      </c>
      <c r="G4143" s="0" t="n">
        <f aca="false">IF(A4143="",0,IF(SUMPRODUCT(--($A$2:$A$5001=A4143))&gt;1,1,0))</f>
        <v>0</v>
      </c>
      <c r="H4143" s="0" t="n">
        <f aca="false">ROW()-1</f>
        <v>4142</v>
      </c>
      <c r="I4143" s="0" t="str">
        <f aca="false">IF(OR(הגדרות!$E$6=0,H4143&gt;הגדרות!$E$5),"",IF(H4143-1&lt;הגדרות!$E$8*(הגדרות!$E$7+1),INT((H4143-1)/(הגדרות!$E$7+1)),הגדרות!$E$8+INT((H4143-1-הגדרות!$E$8*(הגדרות!$E$7+1))/הגדרות!$E$7)))</f>
        <v/>
      </c>
      <c r="J4143" s="0" t="str">
        <f aca="false">IF(I4143="","",IF(H4143-1&lt;הגדרות!$E$8*(הגדרות!$E$7+1),MOD(H4143-1,הגדרות!$E$7+1),MOD(H4143-1-הגדרות!$E$8*(הגדרות!$E$7+1),הגדרות!$E$7)))</f>
        <v/>
      </c>
      <c r="K4143" s="0" t="str">
        <f aca="false">IF(I4143="","",J4143*הגדרות!$E$6+I4143+1)</f>
        <v/>
      </c>
      <c r="L4143" s="0" t="str">
        <f aca="false">IF(K4143="","",MATCH(K4143,$F$2:$F$5001,0))</f>
        <v/>
      </c>
      <c r="M4143" s="0" t="str">
        <f aca="false">IF(I4143="","",INDEX(הגדרות!$A$2:$A$21,MOD(I4143+הגדרות!$E$9,הגדרות!$E$6)+1))</f>
        <v/>
      </c>
    </row>
    <row r="4144" customFormat="false" ht="15" hidden="false" customHeight="false" outlineLevel="0" collapsed="false">
      <c r="A4144" s="0" t="str">
        <f aca="false">IF('הדבקת לידים'!A4144="","",IF(ISNUMBER('הדבקת לידים'!A4144),IF(הגדרות!$E$2&gt;0,TEXT('הדבקת לידים'!A4144,REPT("0",הגדרות!$E$2)),TEXT('הדבקת לידים'!A4144,"0")),TRIM('הדבקת לידים'!A4144)))</f>
        <v/>
      </c>
      <c r="B4144" s="0" t="str">
        <f aca="false">IF('הדבקת לידים'!B4144="","",IF(ISNUMBER('הדבקת לידים'!B4144),IF(הגדרות!$E$3&gt;0,TEXT('הדבקת לידים'!B4144,REPT("0",הגדרות!$E$3)),TEXT('הדבקת לידים'!B4144,"0")),TRIM('הדבקת לידים'!B4144)))</f>
        <v/>
      </c>
      <c r="C4144" s="0" t="n">
        <f aca="false">IF(OR(A4144&lt;&gt;"",B4144&lt;&gt;""),1,0)</f>
        <v>0</v>
      </c>
      <c r="D4144" s="0" t="str">
        <f aca="false">IF(C4144=1,MOD(ABS(SIN(ROW()*12.9898+'הדבקת לידים'!$F$2*78.233+IFERROR(--RIGHT(A4144,6),LEN(A4144))*0.0137+IFERROR(--RIGHT(B4144,6),LEN(B4144))*0.0071))*43758.5453,1),"")</f>
        <v/>
      </c>
      <c r="E4144" s="0" t="str">
        <f aca="false">IF(C4144=1,INT(MOD(ABS(SIN(D4144*7919.123+ROW()*0.618+'הדבקת לידים'!$F$2*1.3))*43758.5453,1)*1000000)*10000+ROW(),"")</f>
        <v/>
      </c>
      <c r="F4144" s="0" t="str">
        <f aca="false">IF(E4144="","",RANK(E4144,$E$2:$E$5001,1))</f>
        <v/>
      </c>
      <c r="G4144" s="0" t="n">
        <f aca="false">IF(A4144="",0,IF(SUMPRODUCT(--($A$2:$A$5001=A4144))&gt;1,1,0))</f>
        <v>0</v>
      </c>
      <c r="H4144" s="0" t="n">
        <f aca="false">ROW()-1</f>
        <v>4143</v>
      </c>
      <c r="I4144" s="0" t="str">
        <f aca="false">IF(OR(הגדרות!$E$6=0,H4144&gt;הגדרות!$E$5),"",IF(H4144-1&lt;הגדרות!$E$8*(הגדרות!$E$7+1),INT((H4144-1)/(הגדרות!$E$7+1)),הגדרות!$E$8+INT((H4144-1-הגדרות!$E$8*(הגדרות!$E$7+1))/הגדרות!$E$7)))</f>
        <v/>
      </c>
      <c r="J4144" s="0" t="str">
        <f aca="false">IF(I4144="","",IF(H4144-1&lt;הגדרות!$E$8*(הגדרות!$E$7+1),MOD(H4144-1,הגדרות!$E$7+1),MOD(H4144-1-הגדרות!$E$8*(הגדרות!$E$7+1),הגדרות!$E$7)))</f>
        <v/>
      </c>
      <c r="K4144" s="0" t="str">
        <f aca="false">IF(I4144="","",J4144*הגדרות!$E$6+I4144+1)</f>
        <v/>
      </c>
      <c r="L4144" s="0" t="str">
        <f aca="false">IF(K4144="","",MATCH(K4144,$F$2:$F$5001,0))</f>
        <v/>
      </c>
      <c r="M4144" s="0" t="str">
        <f aca="false">IF(I4144="","",INDEX(הגדרות!$A$2:$A$21,MOD(I4144+הגדרות!$E$9,הגדרות!$E$6)+1))</f>
        <v/>
      </c>
    </row>
    <row r="4145" customFormat="false" ht="15" hidden="false" customHeight="false" outlineLevel="0" collapsed="false">
      <c r="A4145" s="0" t="str">
        <f aca="false">IF('הדבקת לידים'!A4145="","",IF(ISNUMBER('הדבקת לידים'!A4145),IF(הגדרות!$E$2&gt;0,TEXT('הדבקת לידים'!A4145,REPT("0",הגדרות!$E$2)),TEXT('הדבקת לידים'!A4145,"0")),TRIM('הדבקת לידים'!A4145)))</f>
        <v/>
      </c>
      <c r="B4145" s="0" t="str">
        <f aca="false">IF('הדבקת לידים'!B4145="","",IF(ISNUMBER('הדבקת לידים'!B4145),IF(הגדרות!$E$3&gt;0,TEXT('הדבקת לידים'!B4145,REPT("0",הגדרות!$E$3)),TEXT('הדבקת לידים'!B4145,"0")),TRIM('הדבקת לידים'!B4145)))</f>
        <v/>
      </c>
      <c r="C4145" s="0" t="n">
        <f aca="false">IF(OR(A4145&lt;&gt;"",B4145&lt;&gt;""),1,0)</f>
        <v>0</v>
      </c>
      <c r="D4145" s="0" t="str">
        <f aca="false">IF(C4145=1,MOD(ABS(SIN(ROW()*12.9898+'הדבקת לידים'!$F$2*78.233+IFERROR(--RIGHT(A4145,6),LEN(A4145))*0.0137+IFERROR(--RIGHT(B4145,6),LEN(B4145))*0.0071))*43758.5453,1),"")</f>
        <v/>
      </c>
      <c r="E4145" s="0" t="str">
        <f aca="false">IF(C4145=1,INT(MOD(ABS(SIN(D4145*7919.123+ROW()*0.618+'הדבקת לידים'!$F$2*1.3))*43758.5453,1)*1000000)*10000+ROW(),"")</f>
        <v/>
      </c>
      <c r="F4145" s="0" t="str">
        <f aca="false">IF(E4145="","",RANK(E4145,$E$2:$E$5001,1))</f>
        <v/>
      </c>
      <c r="G4145" s="0" t="n">
        <f aca="false">IF(A4145="",0,IF(SUMPRODUCT(--($A$2:$A$5001=A4145))&gt;1,1,0))</f>
        <v>0</v>
      </c>
      <c r="H4145" s="0" t="n">
        <f aca="false">ROW()-1</f>
        <v>4144</v>
      </c>
      <c r="I4145" s="0" t="str">
        <f aca="false">IF(OR(הגדרות!$E$6=0,H4145&gt;הגדרות!$E$5),"",IF(H4145-1&lt;הגדרות!$E$8*(הגדרות!$E$7+1),INT((H4145-1)/(הגדרות!$E$7+1)),הגדרות!$E$8+INT((H4145-1-הגדרות!$E$8*(הגדרות!$E$7+1))/הגדרות!$E$7)))</f>
        <v/>
      </c>
      <c r="J4145" s="0" t="str">
        <f aca="false">IF(I4145="","",IF(H4145-1&lt;הגדרות!$E$8*(הגדרות!$E$7+1),MOD(H4145-1,הגדרות!$E$7+1),MOD(H4145-1-הגדרות!$E$8*(הגדרות!$E$7+1),הגדרות!$E$7)))</f>
        <v/>
      </c>
      <c r="K4145" s="0" t="str">
        <f aca="false">IF(I4145="","",J4145*הגדרות!$E$6+I4145+1)</f>
        <v/>
      </c>
      <c r="L4145" s="0" t="str">
        <f aca="false">IF(K4145="","",MATCH(K4145,$F$2:$F$5001,0))</f>
        <v/>
      </c>
      <c r="M4145" s="0" t="str">
        <f aca="false">IF(I4145="","",INDEX(הגדרות!$A$2:$A$21,MOD(I4145+הגדרות!$E$9,הגדרות!$E$6)+1))</f>
        <v/>
      </c>
    </row>
    <row r="4146" customFormat="false" ht="15" hidden="false" customHeight="false" outlineLevel="0" collapsed="false">
      <c r="A4146" s="0" t="str">
        <f aca="false">IF('הדבקת לידים'!A4146="","",IF(ISNUMBER('הדבקת לידים'!A4146),IF(הגדרות!$E$2&gt;0,TEXT('הדבקת לידים'!A4146,REPT("0",הגדרות!$E$2)),TEXT('הדבקת לידים'!A4146,"0")),TRIM('הדבקת לידים'!A4146)))</f>
        <v/>
      </c>
      <c r="B4146" s="0" t="str">
        <f aca="false">IF('הדבקת לידים'!B4146="","",IF(ISNUMBER('הדבקת לידים'!B4146),IF(הגדרות!$E$3&gt;0,TEXT('הדבקת לידים'!B4146,REPT("0",הגדרות!$E$3)),TEXT('הדבקת לידים'!B4146,"0")),TRIM('הדבקת לידים'!B4146)))</f>
        <v/>
      </c>
      <c r="C4146" s="0" t="n">
        <f aca="false">IF(OR(A4146&lt;&gt;"",B4146&lt;&gt;""),1,0)</f>
        <v>0</v>
      </c>
      <c r="D4146" s="0" t="str">
        <f aca="false">IF(C4146=1,MOD(ABS(SIN(ROW()*12.9898+'הדבקת לידים'!$F$2*78.233+IFERROR(--RIGHT(A4146,6),LEN(A4146))*0.0137+IFERROR(--RIGHT(B4146,6),LEN(B4146))*0.0071))*43758.5453,1),"")</f>
        <v/>
      </c>
      <c r="E4146" s="0" t="str">
        <f aca="false">IF(C4146=1,INT(MOD(ABS(SIN(D4146*7919.123+ROW()*0.618+'הדבקת לידים'!$F$2*1.3))*43758.5453,1)*1000000)*10000+ROW(),"")</f>
        <v/>
      </c>
      <c r="F4146" s="0" t="str">
        <f aca="false">IF(E4146="","",RANK(E4146,$E$2:$E$5001,1))</f>
        <v/>
      </c>
      <c r="G4146" s="0" t="n">
        <f aca="false">IF(A4146="",0,IF(SUMPRODUCT(--($A$2:$A$5001=A4146))&gt;1,1,0))</f>
        <v>0</v>
      </c>
      <c r="H4146" s="0" t="n">
        <f aca="false">ROW()-1</f>
        <v>4145</v>
      </c>
      <c r="I4146" s="0" t="str">
        <f aca="false">IF(OR(הגדרות!$E$6=0,H4146&gt;הגדרות!$E$5),"",IF(H4146-1&lt;הגדרות!$E$8*(הגדרות!$E$7+1),INT((H4146-1)/(הגדרות!$E$7+1)),הגדרות!$E$8+INT((H4146-1-הגדרות!$E$8*(הגדרות!$E$7+1))/הגדרות!$E$7)))</f>
        <v/>
      </c>
      <c r="J4146" s="0" t="str">
        <f aca="false">IF(I4146="","",IF(H4146-1&lt;הגדרות!$E$8*(הגדרות!$E$7+1),MOD(H4146-1,הגדרות!$E$7+1),MOD(H4146-1-הגדרות!$E$8*(הגדרות!$E$7+1),הגדרות!$E$7)))</f>
        <v/>
      </c>
      <c r="K4146" s="0" t="str">
        <f aca="false">IF(I4146="","",J4146*הגדרות!$E$6+I4146+1)</f>
        <v/>
      </c>
      <c r="L4146" s="0" t="str">
        <f aca="false">IF(K4146="","",MATCH(K4146,$F$2:$F$5001,0))</f>
        <v/>
      </c>
      <c r="M4146" s="0" t="str">
        <f aca="false">IF(I4146="","",INDEX(הגדרות!$A$2:$A$21,MOD(I4146+הגדרות!$E$9,הגדרות!$E$6)+1))</f>
        <v/>
      </c>
    </row>
    <row r="4147" customFormat="false" ht="15" hidden="false" customHeight="false" outlineLevel="0" collapsed="false">
      <c r="A4147" s="0" t="str">
        <f aca="false">IF('הדבקת לידים'!A4147="","",IF(ISNUMBER('הדבקת לידים'!A4147),IF(הגדרות!$E$2&gt;0,TEXT('הדבקת לידים'!A4147,REPT("0",הגדרות!$E$2)),TEXT('הדבקת לידים'!A4147,"0")),TRIM('הדבקת לידים'!A4147)))</f>
        <v/>
      </c>
      <c r="B4147" s="0" t="str">
        <f aca="false">IF('הדבקת לידים'!B4147="","",IF(ISNUMBER('הדבקת לידים'!B4147),IF(הגדרות!$E$3&gt;0,TEXT('הדבקת לידים'!B4147,REPT("0",הגדרות!$E$3)),TEXT('הדבקת לידים'!B4147,"0")),TRIM('הדבקת לידים'!B4147)))</f>
        <v/>
      </c>
      <c r="C4147" s="0" t="n">
        <f aca="false">IF(OR(A4147&lt;&gt;"",B4147&lt;&gt;""),1,0)</f>
        <v>0</v>
      </c>
      <c r="D4147" s="0" t="str">
        <f aca="false">IF(C4147=1,MOD(ABS(SIN(ROW()*12.9898+'הדבקת לידים'!$F$2*78.233+IFERROR(--RIGHT(A4147,6),LEN(A4147))*0.0137+IFERROR(--RIGHT(B4147,6),LEN(B4147))*0.0071))*43758.5453,1),"")</f>
        <v/>
      </c>
      <c r="E4147" s="0" t="str">
        <f aca="false">IF(C4147=1,INT(MOD(ABS(SIN(D4147*7919.123+ROW()*0.618+'הדבקת לידים'!$F$2*1.3))*43758.5453,1)*1000000)*10000+ROW(),"")</f>
        <v/>
      </c>
      <c r="F4147" s="0" t="str">
        <f aca="false">IF(E4147="","",RANK(E4147,$E$2:$E$5001,1))</f>
        <v/>
      </c>
      <c r="G4147" s="0" t="n">
        <f aca="false">IF(A4147="",0,IF(SUMPRODUCT(--($A$2:$A$5001=A4147))&gt;1,1,0))</f>
        <v>0</v>
      </c>
      <c r="H4147" s="0" t="n">
        <f aca="false">ROW()-1</f>
        <v>4146</v>
      </c>
      <c r="I4147" s="0" t="str">
        <f aca="false">IF(OR(הגדרות!$E$6=0,H4147&gt;הגדרות!$E$5),"",IF(H4147-1&lt;הגדרות!$E$8*(הגדרות!$E$7+1),INT((H4147-1)/(הגדרות!$E$7+1)),הגדרות!$E$8+INT((H4147-1-הגדרות!$E$8*(הגדרות!$E$7+1))/הגדרות!$E$7)))</f>
        <v/>
      </c>
      <c r="J4147" s="0" t="str">
        <f aca="false">IF(I4147="","",IF(H4147-1&lt;הגדרות!$E$8*(הגדרות!$E$7+1),MOD(H4147-1,הגדרות!$E$7+1),MOD(H4147-1-הגדרות!$E$8*(הגדרות!$E$7+1),הגדרות!$E$7)))</f>
        <v/>
      </c>
      <c r="K4147" s="0" t="str">
        <f aca="false">IF(I4147="","",J4147*הגדרות!$E$6+I4147+1)</f>
        <v/>
      </c>
      <c r="L4147" s="0" t="str">
        <f aca="false">IF(K4147="","",MATCH(K4147,$F$2:$F$5001,0))</f>
        <v/>
      </c>
      <c r="M4147" s="0" t="str">
        <f aca="false">IF(I4147="","",INDEX(הגדרות!$A$2:$A$21,MOD(I4147+הגדרות!$E$9,הגדרות!$E$6)+1))</f>
        <v/>
      </c>
    </row>
    <row r="4148" customFormat="false" ht="15" hidden="false" customHeight="false" outlineLevel="0" collapsed="false">
      <c r="A4148" s="0" t="str">
        <f aca="false">IF('הדבקת לידים'!A4148="","",IF(ISNUMBER('הדבקת לידים'!A4148),IF(הגדרות!$E$2&gt;0,TEXT('הדבקת לידים'!A4148,REPT("0",הגדרות!$E$2)),TEXT('הדבקת לידים'!A4148,"0")),TRIM('הדבקת לידים'!A4148)))</f>
        <v/>
      </c>
      <c r="B4148" s="0" t="str">
        <f aca="false">IF('הדבקת לידים'!B4148="","",IF(ISNUMBER('הדבקת לידים'!B4148),IF(הגדרות!$E$3&gt;0,TEXT('הדבקת לידים'!B4148,REPT("0",הגדרות!$E$3)),TEXT('הדבקת לידים'!B4148,"0")),TRIM('הדבקת לידים'!B4148)))</f>
        <v/>
      </c>
      <c r="C4148" s="0" t="n">
        <f aca="false">IF(OR(A4148&lt;&gt;"",B4148&lt;&gt;""),1,0)</f>
        <v>0</v>
      </c>
      <c r="D4148" s="0" t="str">
        <f aca="false">IF(C4148=1,MOD(ABS(SIN(ROW()*12.9898+'הדבקת לידים'!$F$2*78.233+IFERROR(--RIGHT(A4148,6),LEN(A4148))*0.0137+IFERROR(--RIGHT(B4148,6),LEN(B4148))*0.0071))*43758.5453,1),"")</f>
        <v/>
      </c>
      <c r="E4148" s="0" t="str">
        <f aca="false">IF(C4148=1,INT(MOD(ABS(SIN(D4148*7919.123+ROW()*0.618+'הדבקת לידים'!$F$2*1.3))*43758.5453,1)*1000000)*10000+ROW(),"")</f>
        <v/>
      </c>
      <c r="F4148" s="0" t="str">
        <f aca="false">IF(E4148="","",RANK(E4148,$E$2:$E$5001,1))</f>
        <v/>
      </c>
      <c r="G4148" s="0" t="n">
        <f aca="false">IF(A4148="",0,IF(SUMPRODUCT(--($A$2:$A$5001=A4148))&gt;1,1,0))</f>
        <v>0</v>
      </c>
      <c r="H4148" s="0" t="n">
        <f aca="false">ROW()-1</f>
        <v>4147</v>
      </c>
      <c r="I4148" s="0" t="str">
        <f aca="false">IF(OR(הגדרות!$E$6=0,H4148&gt;הגדרות!$E$5),"",IF(H4148-1&lt;הגדרות!$E$8*(הגדרות!$E$7+1),INT((H4148-1)/(הגדרות!$E$7+1)),הגדרות!$E$8+INT((H4148-1-הגדרות!$E$8*(הגדרות!$E$7+1))/הגדרות!$E$7)))</f>
        <v/>
      </c>
      <c r="J4148" s="0" t="str">
        <f aca="false">IF(I4148="","",IF(H4148-1&lt;הגדרות!$E$8*(הגדרות!$E$7+1),MOD(H4148-1,הגדרות!$E$7+1),MOD(H4148-1-הגדרות!$E$8*(הגדרות!$E$7+1),הגדרות!$E$7)))</f>
        <v/>
      </c>
      <c r="K4148" s="0" t="str">
        <f aca="false">IF(I4148="","",J4148*הגדרות!$E$6+I4148+1)</f>
        <v/>
      </c>
      <c r="L4148" s="0" t="str">
        <f aca="false">IF(K4148="","",MATCH(K4148,$F$2:$F$5001,0))</f>
        <v/>
      </c>
      <c r="M4148" s="0" t="str">
        <f aca="false">IF(I4148="","",INDEX(הגדרות!$A$2:$A$21,MOD(I4148+הגדרות!$E$9,הגדרות!$E$6)+1))</f>
        <v/>
      </c>
    </row>
    <row r="4149" customFormat="false" ht="15" hidden="false" customHeight="false" outlineLevel="0" collapsed="false">
      <c r="A4149" s="0" t="str">
        <f aca="false">IF('הדבקת לידים'!A4149="","",IF(ISNUMBER('הדבקת לידים'!A4149),IF(הגדרות!$E$2&gt;0,TEXT('הדבקת לידים'!A4149,REPT("0",הגדרות!$E$2)),TEXT('הדבקת לידים'!A4149,"0")),TRIM('הדבקת לידים'!A4149)))</f>
        <v/>
      </c>
      <c r="B4149" s="0" t="str">
        <f aca="false">IF('הדבקת לידים'!B4149="","",IF(ISNUMBER('הדבקת לידים'!B4149),IF(הגדרות!$E$3&gt;0,TEXT('הדבקת לידים'!B4149,REPT("0",הגדרות!$E$3)),TEXT('הדבקת לידים'!B4149,"0")),TRIM('הדבקת לידים'!B4149)))</f>
        <v/>
      </c>
      <c r="C4149" s="0" t="n">
        <f aca="false">IF(OR(A4149&lt;&gt;"",B4149&lt;&gt;""),1,0)</f>
        <v>0</v>
      </c>
      <c r="D4149" s="0" t="str">
        <f aca="false">IF(C4149=1,MOD(ABS(SIN(ROW()*12.9898+'הדבקת לידים'!$F$2*78.233+IFERROR(--RIGHT(A4149,6),LEN(A4149))*0.0137+IFERROR(--RIGHT(B4149,6),LEN(B4149))*0.0071))*43758.5453,1),"")</f>
        <v/>
      </c>
      <c r="E4149" s="0" t="str">
        <f aca="false">IF(C4149=1,INT(MOD(ABS(SIN(D4149*7919.123+ROW()*0.618+'הדבקת לידים'!$F$2*1.3))*43758.5453,1)*1000000)*10000+ROW(),"")</f>
        <v/>
      </c>
      <c r="F4149" s="0" t="str">
        <f aca="false">IF(E4149="","",RANK(E4149,$E$2:$E$5001,1))</f>
        <v/>
      </c>
      <c r="G4149" s="0" t="n">
        <f aca="false">IF(A4149="",0,IF(SUMPRODUCT(--($A$2:$A$5001=A4149))&gt;1,1,0))</f>
        <v>0</v>
      </c>
      <c r="H4149" s="0" t="n">
        <f aca="false">ROW()-1</f>
        <v>4148</v>
      </c>
      <c r="I4149" s="0" t="str">
        <f aca="false">IF(OR(הגדרות!$E$6=0,H4149&gt;הגדרות!$E$5),"",IF(H4149-1&lt;הגדרות!$E$8*(הגדרות!$E$7+1),INT((H4149-1)/(הגדרות!$E$7+1)),הגדרות!$E$8+INT((H4149-1-הגדרות!$E$8*(הגדרות!$E$7+1))/הגדרות!$E$7)))</f>
        <v/>
      </c>
      <c r="J4149" s="0" t="str">
        <f aca="false">IF(I4149="","",IF(H4149-1&lt;הגדרות!$E$8*(הגדרות!$E$7+1),MOD(H4149-1,הגדרות!$E$7+1),MOD(H4149-1-הגדרות!$E$8*(הגדרות!$E$7+1),הגדרות!$E$7)))</f>
        <v/>
      </c>
      <c r="K4149" s="0" t="str">
        <f aca="false">IF(I4149="","",J4149*הגדרות!$E$6+I4149+1)</f>
        <v/>
      </c>
      <c r="L4149" s="0" t="str">
        <f aca="false">IF(K4149="","",MATCH(K4149,$F$2:$F$5001,0))</f>
        <v/>
      </c>
      <c r="M4149" s="0" t="str">
        <f aca="false">IF(I4149="","",INDEX(הגדרות!$A$2:$A$21,MOD(I4149+הגדרות!$E$9,הגדרות!$E$6)+1))</f>
        <v/>
      </c>
    </row>
    <row r="4150" customFormat="false" ht="15" hidden="false" customHeight="false" outlineLevel="0" collapsed="false">
      <c r="A4150" s="0" t="str">
        <f aca="false">IF('הדבקת לידים'!A4150="","",IF(ISNUMBER('הדבקת לידים'!A4150),IF(הגדרות!$E$2&gt;0,TEXT('הדבקת לידים'!A4150,REPT("0",הגדרות!$E$2)),TEXT('הדבקת לידים'!A4150,"0")),TRIM('הדבקת לידים'!A4150)))</f>
        <v/>
      </c>
      <c r="B4150" s="0" t="str">
        <f aca="false">IF('הדבקת לידים'!B4150="","",IF(ISNUMBER('הדבקת לידים'!B4150),IF(הגדרות!$E$3&gt;0,TEXT('הדבקת לידים'!B4150,REPT("0",הגדרות!$E$3)),TEXT('הדבקת לידים'!B4150,"0")),TRIM('הדבקת לידים'!B4150)))</f>
        <v/>
      </c>
      <c r="C4150" s="0" t="n">
        <f aca="false">IF(OR(A4150&lt;&gt;"",B4150&lt;&gt;""),1,0)</f>
        <v>0</v>
      </c>
      <c r="D4150" s="0" t="str">
        <f aca="false">IF(C4150=1,MOD(ABS(SIN(ROW()*12.9898+'הדבקת לידים'!$F$2*78.233+IFERROR(--RIGHT(A4150,6),LEN(A4150))*0.0137+IFERROR(--RIGHT(B4150,6),LEN(B4150))*0.0071))*43758.5453,1),"")</f>
        <v/>
      </c>
      <c r="E4150" s="0" t="str">
        <f aca="false">IF(C4150=1,INT(MOD(ABS(SIN(D4150*7919.123+ROW()*0.618+'הדבקת לידים'!$F$2*1.3))*43758.5453,1)*1000000)*10000+ROW(),"")</f>
        <v/>
      </c>
      <c r="F4150" s="0" t="str">
        <f aca="false">IF(E4150="","",RANK(E4150,$E$2:$E$5001,1))</f>
        <v/>
      </c>
      <c r="G4150" s="0" t="n">
        <f aca="false">IF(A4150="",0,IF(SUMPRODUCT(--($A$2:$A$5001=A4150))&gt;1,1,0))</f>
        <v>0</v>
      </c>
      <c r="H4150" s="0" t="n">
        <f aca="false">ROW()-1</f>
        <v>4149</v>
      </c>
      <c r="I4150" s="0" t="str">
        <f aca="false">IF(OR(הגדרות!$E$6=0,H4150&gt;הגדרות!$E$5),"",IF(H4150-1&lt;הגדרות!$E$8*(הגדרות!$E$7+1),INT((H4150-1)/(הגדרות!$E$7+1)),הגדרות!$E$8+INT((H4150-1-הגדרות!$E$8*(הגדרות!$E$7+1))/הגדרות!$E$7)))</f>
        <v/>
      </c>
      <c r="J4150" s="0" t="str">
        <f aca="false">IF(I4150="","",IF(H4150-1&lt;הגדרות!$E$8*(הגדרות!$E$7+1),MOD(H4150-1,הגדרות!$E$7+1),MOD(H4150-1-הגדרות!$E$8*(הגדרות!$E$7+1),הגדרות!$E$7)))</f>
        <v/>
      </c>
      <c r="K4150" s="0" t="str">
        <f aca="false">IF(I4150="","",J4150*הגדרות!$E$6+I4150+1)</f>
        <v/>
      </c>
      <c r="L4150" s="0" t="str">
        <f aca="false">IF(K4150="","",MATCH(K4150,$F$2:$F$5001,0))</f>
        <v/>
      </c>
      <c r="M4150" s="0" t="str">
        <f aca="false">IF(I4150="","",INDEX(הגדרות!$A$2:$A$21,MOD(I4150+הגדרות!$E$9,הגדרות!$E$6)+1))</f>
        <v/>
      </c>
    </row>
    <row r="4151" customFormat="false" ht="15" hidden="false" customHeight="false" outlineLevel="0" collapsed="false">
      <c r="A4151" s="0" t="str">
        <f aca="false">IF('הדבקת לידים'!A4151="","",IF(ISNUMBER('הדבקת לידים'!A4151),IF(הגדרות!$E$2&gt;0,TEXT('הדבקת לידים'!A4151,REPT("0",הגדרות!$E$2)),TEXT('הדבקת לידים'!A4151,"0")),TRIM('הדבקת לידים'!A4151)))</f>
        <v/>
      </c>
      <c r="B4151" s="0" t="str">
        <f aca="false">IF('הדבקת לידים'!B4151="","",IF(ISNUMBER('הדבקת לידים'!B4151),IF(הגדרות!$E$3&gt;0,TEXT('הדבקת לידים'!B4151,REPT("0",הגדרות!$E$3)),TEXT('הדבקת לידים'!B4151,"0")),TRIM('הדבקת לידים'!B4151)))</f>
        <v/>
      </c>
      <c r="C4151" s="0" t="n">
        <f aca="false">IF(OR(A4151&lt;&gt;"",B4151&lt;&gt;""),1,0)</f>
        <v>0</v>
      </c>
      <c r="D4151" s="0" t="str">
        <f aca="false">IF(C4151=1,MOD(ABS(SIN(ROW()*12.9898+'הדבקת לידים'!$F$2*78.233+IFERROR(--RIGHT(A4151,6),LEN(A4151))*0.0137+IFERROR(--RIGHT(B4151,6),LEN(B4151))*0.0071))*43758.5453,1),"")</f>
        <v/>
      </c>
      <c r="E4151" s="0" t="str">
        <f aca="false">IF(C4151=1,INT(MOD(ABS(SIN(D4151*7919.123+ROW()*0.618+'הדבקת לידים'!$F$2*1.3))*43758.5453,1)*1000000)*10000+ROW(),"")</f>
        <v/>
      </c>
      <c r="F4151" s="0" t="str">
        <f aca="false">IF(E4151="","",RANK(E4151,$E$2:$E$5001,1))</f>
        <v/>
      </c>
      <c r="G4151" s="0" t="n">
        <f aca="false">IF(A4151="",0,IF(SUMPRODUCT(--($A$2:$A$5001=A4151))&gt;1,1,0))</f>
        <v>0</v>
      </c>
      <c r="H4151" s="0" t="n">
        <f aca="false">ROW()-1</f>
        <v>4150</v>
      </c>
      <c r="I4151" s="0" t="str">
        <f aca="false">IF(OR(הגדרות!$E$6=0,H4151&gt;הגדרות!$E$5),"",IF(H4151-1&lt;הגדרות!$E$8*(הגדרות!$E$7+1),INT((H4151-1)/(הגדרות!$E$7+1)),הגדרות!$E$8+INT((H4151-1-הגדרות!$E$8*(הגדרות!$E$7+1))/הגדרות!$E$7)))</f>
        <v/>
      </c>
      <c r="J4151" s="0" t="str">
        <f aca="false">IF(I4151="","",IF(H4151-1&lt;הגדרות!$E$8*(הגדרות!$E$7+1),MOD(H4151-1,הגדרות!$E$7+1),MOD(H4151-1-הגדרות!$E$8*(הגדרות!$E$7+1),הגדרות!$E$7)))</f>
        <v/>
      </c>
      <c r="K4151" s="0" t="str">
        <f aca="false">IF(I4151="","",J4151*הגדרות!$E$6+I4151+1)</f>
        <v/>
      </c>
      <c r="L4151" s="0" t="str">
        <f aca="false">IF(K4151="","",MATCH(K4151,$F$2:$F$5001,0))</f>
        <v/>
      </c>
      <c r="M4151" s="0" t="str">
        <f aca="false">IF(I4151="","",INDEX(הגדרות!$A$2:$A$21,MOD(I4151+הגדרות!$E$9,הגדרות!$E$6)+1))</f>
        <v/>
      </c>
    </row>
    <row r="4152" customFormat="false" ht="15" hidden="false" customHeight="false" outlineLevel="0" collapsed="false">
      <c r="A4152" s="0" t="str">
        <f aca="false">IF('הדבקת לידים'!A4152="","",IF(ISNUMBER('הדבקת לידים'!A4152),IF(הגדרות!$E$2&gt;0,TEXT('הדבקת לידים'!A4152,REPT("0",הגדרות!$E$2)),TEXT('הדבקת לידים'!A4152,"0")),TRIM('הדבקת לידים'!A4152)))</f>
        <v/>
      </c>
      <c r="B4152" s="0" t="str">
        <f aca="false">IF('הדבקת לידים'!B4152="","",IF(ISNUMBER('הדבקת לידים'!B4152),IF(הגדרות!$E$3&gt;0,TEXT('הדבקת לידים'!B4152,REPT("0",הגדרות!$E$3)),TEXT('הדבקת לידים'!B4152,"0")),TRIM('הדבקת לידים'!B4152)))</f>
        <v/>
      </c>
      <c r="C4152" s="0" t="n">
        <f aca="false">IF(OR(A4152&lt;&gt;"",B4152&lt;&gt;""),1,0)</f>
        <v>0</v>
      </c>
      <c r="D4152" s="0" t="str">
        <f aca="false">IF(C4152=1,MOD(ABS(SIN(ROW()*12.9898+'הדבקת לידים'!$F$2*78.233+IFERROR(--RIGHT(A4152,6),LEN(A4152))*0.0137+IFERROR(--RIGHT(B4152,6),LEN(B4152))*0.0071))*43758.5453,1),"")</f>
        <v/>
      </c>
      <c r="E4152" s="0" t="str">
        <f aca="false">IF(C4152=1,INT(MOD(ABS(SIN(D4152*7919.123+ROW()*0.618+'הדבקת לידים'!$F$2*1.3))*43758.5453,1)*1000000)*10000+ROW(),"")</f>
        <v/>
      </c>
      <c r="F4152" s="0" t="str">
        <f aca="false">IF(E4152="","",RANK(E4152,$E$2:$E$5001,1))</f>
        <v/>
      </c>
      <c r="G4152" s="0" t="n">
        <f aca="false">IF(A4152="",0,IF(SUMPRODUCT(--($A$2:$A$5001=A4152))&gt;1,1,0))</f>
        <v>0</v>
      </c>
      <c r="H4152" s="0" t="n">
        <f aca="false">ROW()-1</f>
        <v>4151</v>
      </c>
      <c r="I4152" s="0" t="str">
        <f aca="false">IF(OR(הגדרות!$E$6=0,H4152&gt;הגדרות!$E$5),"",IF(H4152-1&lt;הגדרות!$E$8*(הגדרות!$E$7+1),INT((H4152-1)/(הגדרות!$E$7+1)),הגדרות!$E$8+INT((H4152-1-הגדרות!$E$8*(הגדרות!$E$7+1))/הגדרות!$E$7)))</f>
        <v/>
      </c>
      <c r="J4152" s="0" t="str">
        <f aca="false">IF(I4152="","",IF(H4152-1&lt;הגדרות!$E$8*(הגדרות!$E$7+1),MOD(H4152-1,הגדרות!$E$7+1),MOD(H4152-1-הגדרות!$E$8*(הגדרות!$E$7+1),הגדרות!$E$7)))</f>
        <v/>
      </c>
      <c r="K4152" s="0" t="str">
        <f aca="false">IF(I4152="","",J4152*הגדרות!$E$6+I4152+1)</f>
        <v/>
      </c>
      <c r="L4152" s="0" t="str">
        <f aca="false">IF(K4152="","",MATCH(K4152,$F$2:$F$5001,0))</f>
        <v/>
      </c>
      <c r="M4152" s="0" t="str">
        <f aca="false">IF(I4152="","",INDEX(הגדרות!$A$2:$A$21,MOD(I4152+הגדרות!$E$9,הגדרות!$E$6)+1))</f>
        <v/>
      </c>
    </row>
    <row r="4153" customFormat="false" ht="15" hidden="false" customHeight="false" outlineLevel="0" collapsed="false">
      <c r="A4153" s="0" t="str">
        <f aca="false">IF('הדבקת לידים'!A4153="","",IF(ISNUMBER('הדבקת לידים'!A4153),IF(הגדרות!$E$2&gt;0,TEXT('הדבקת לידים'!A4153,REPT("0",הגדרות!$E$2)),TEXT('הדבקת לידים'!A4153,"0")),TRIM('הדבקת לידים'!A4153)))</f>
        <v/>
      </c>
      <c r="B4153" s="0" t="str">
        <f aca="false">IF('הדבקת לידים'!B4153="","",IF(ISNUMBER('הדבקת לידים'!B4153),IF(הגדרות!$E$3&gt;0,TEXT('הדבקת לידים'!B4153,REPT("0",הגדרות!$E$3)),TEXT('הדבקת לידים'!B4153,"0")),TRIM('הדבקת לידים'!B4153)))</f>
        <v/>
      </c>
      <c r="C4153" s="0" t="n">
        <f aca="false">IF(OR(A4153&lt;&gt;"",B4153&lt;&gt;""),1,0)</f>
        <v>0</v>
      </c>
      <c r="D4153" s="0" t="str">
        <f aca="false">IF(C4153=1,MOD(ABS(SIN(ROW()*12.9898+'הדבקת לידים'!$F$2*78.233+IFERROR(--RIGHT(A4153,6),LEN(A4153))*0.0137+IFERROR(--RIGHT(B4153,6),LEN(B4153))*0.0071))*43758.5453,1),"")</f>
        <v/>
      </c>
      <c r="E4153" s="0" t="str">
        <f aca="false">IF(C4153=1,INT(MOD(ABS(SIN(D4153*7919.123+ROW()*0.618+'הדבקת לידים'!$F$2*1.3))*43758.5453,1)*1000000)*10000+ROW(),"")</f>
        <v/>
      </c>
      <c r="F4153" s="0" t="str">
        <f aca="false">IF(E4153="","",RANK(E4153,$E$2:$E$5001,1))</f>
        <v/>
      </c>
      <c r="G4153" s="0" t="n">
        <f aca="false">IF(A4153="",0,IF(SUMPRODUCT(--($A$2:$A$5001=A4153))&gt;1,1,0))</f>
        <v>0</v>
      </c>
      <c r="H4153" s="0" t="n">
        <f aca="false">ROW()-1</f>
        <v>4152</v>
      </c>
      <c r="I4153" s="0" t="str">
        <f aca="false">IF(OR(הגדרות!$E$6=0,H4153&gt;הגדרות!$E$5),"",IF(H4153-1&lt;הגדרות!$E$8*(הגדרות!$E$7+1),INT((H4153-1)/(הגדרות!$E$7+1)),הגדרות!$E$8+INT((H4153-1-הגדרות!$E$8*(הגדרות!$E$7+1))/הגדרות!$E$7)))</f>
        <v/>
      </c>
      <c r="J4153" s="0" t="str">
        <f aca="false">IF(I4153="","",IF(H4153-1&lt;הגדרות!$E$8*(הגדרות!$E$7+1),MOD(H4153-1,הגדרות!$E$7+1),MOD(H4153-1-הגדרות!$E$8*(הגדרות!$E$7+1),הגדרות!$E$7)))</f>
        <v/>
      </c>
      <c r="K4153" s="0" t="str">
        <f aca="false">IF(I4153="","",J4153*הגדרות!$E$6+I4153+1)</f>
        <v/>
      </c>
      <c r="L4153" s="0" t="str">
        <f aca="false">IF(K4153="","",MATCH(K4153,$F$2:$F$5001,0))</f>
        <v/>
      </c>
      <c r="M4153" s="0" t="str">
        <f aca="false">IF(I4153="","",INDEX(הגדרות!$A$2:$A$21,MOD(I4153+הגדרות!$E$9,הגדרות!$E$6)+1))</f>
        <v/>
      </c>
    </row>
    <row r="4154" customFormat="false" ht="15" hidden="false" customHeight="false" outlineLevel="0" collapsed="false">
      <c r="A4154" s="0" t="str">
        <f aca="false">IF('הדבקת לידים'!A4154="","",IF(ISNUMBER('הדבקת לידים'!A4154),IF(הגדרות!$E$2&gt;0,TEXT('הדבקת לידים'!A4154,REPT("0",הגדרות!$E$2)),TEXT('הדבקת לידים'!A4154,"0")),TRIM('הדבקת לידים'!A4154)))</f>
        <v/>
      </c>
      <c r="B4154" s="0" t="str">
        <f aca="false">IF('הדבקת לידים'!B4154="","",IF(ISNUMBER('הדבקת לידים'!B4154),IF(הגדרות!$E$3&gt;0,TEXT('הדבקת לידים'!B4154,REPT("0",הגדרות!$E$3)),TEXT('הדבקת לידים'!B4154,"0")),TRIM('הדבקת לידים'!B4154)))</f>
        <v/>
      </c>
      <c r="C4154" s="0" t="n">
        <f aca="false">IF(OR(A4154&lt;&gt;"",B4154&lt;&gt;""),1,0)</f>
        <v>0</v>
      </c>
      <c r="D4154" s="0" t="str">
        <f aca="false">IF(C4154=1,MOD(ABS(SIN(ROW()*12.9898+'הדבקת לידים'!$F$2*78.233+IFERROR(--RIGHT(A4154,6),LEN(A4154))*0.0137+IFERROR(--RIGHT(B4154,6),LEN(B4154))*0.0071))*43758.5453,1),"")</f>
        <v/>
      </c>
      <c r="E4154" s="0" t="str">
        <f aca="false">IF(C4154=1,INT(MOD(ABS(SIN(D4154*7919.123+ROW()*0.618+'הדבקת לידים'!$F$2*1.3))*43758.5453,1)*1000000)*10000+ROW(),"")</f>
        <v/>
      </c>
      <c r="F4154" s="0" t="str">
        <f aca="false">IF(E4154="","",RANK(E4154,$E$2:$E$5001,1))</f>
        <v/>
      </c>
      <c r="G4154" s="0" t="n">
        <f aca="false">IF(A4154="",0,IF(SUMPRODUCT(--($A$2:$A$5001=A4154))&gt;1,1,0))</f>
        <v>0</v>
      </c>
      <c r="H4154" s="0" t="n">
        <f aca="false">ROW()-1</f>
        <v>4153</v>
      </c>
      <c r="I4154" s="0" t="str">
        <f aca="false">IF(OR(הגדרות!$E$6=0,H4154&gt;הגדרות!$E$5),"",IF(H4154-1&lt;הגדרות!$E$8*(הגדרות!$E$7+1),INT((H4154-1)/(הגדרות!$E$7+1)),הגדרות!$E$8+INT((H4154-1-הגדרות!$E$8*(הגדרות!$E$7+1))/הגדרות!$E$7)))</f>
        <v/>
      </c>
      <c r="J4154" s="0" t="str">
        <f aca="false">IF(I4154="","",IF(H4154-1&lt;הגדרות!$E$8*(הגדרות!$E$7+1),MOD(H4154-1,הגדרות!$E$7+1),MOD(H4154-1-הגדרות!$E$8*(הגדרות!$E$7+1),הגדרות!$E$7)))</f>
        <v/>
      </c>
      <c r="K4154" s="0" t="str">
        <f aca="false">IF(I4154="","",J4154*הגדרות!$E$6+I4154+1)</f>
        <v/>
      </c>
      <c r="L4154" s="0" t="str">
        <f aca="false">IF(K4154="","",MATCH(K4154,$F$2:$F$5001,0))</f>
        <v/>
      </c>
      <c r="M4154" s="0" t="str">
        <f aca="false">IF(I4154="","",INDEX(הגדרות!$A$2:$A$21,MOD(I4154+הגדרות!$E$9,הגדרות!$E$6)+1))</f>
        <v/>
      </c>
    </row>
    <row r="4155" customFormat="false" ht="15" hidden="false" customHeight="false" outlineLevel="0" collapsed="false">
      <c r="A4155" s="0" t="str">
        <f aca="false">IF('הדבקת לידים'!A4155="","",IF(ISNUMBER('הדבקת לידים'!A4155),IF(הגדרות!$E$2&gt;0,TEXT('הדבקת לידים'!A4155,REPT("0",הגדרות!$E$2)),TEXT('הדבקת לידים'!A4155,"0")),TRIM('הדבקת לידים'!A4155)))</f>
        <v/>
      </c>
      <c r="B4155" s="0" t="str">
        <f aca="false">IF('הדבקת לידים'!B4155="","",IF(ISNUMBER('הדבקת לידים'!B4155),IF(הגדרות!$E$3&gt;0,TEXT('הדבקת לידים'!B4155,REPT("0",הגדרות!$E$3)),TEXT('הדבקת לידים'!B4155,"0")),TRIM('הדבקת לידים'!B4155)))</f>
        <v/>
      </c>
      <c r="C4155" s="0" t="n">
        <f aca="false">IF(OR(A4155&lt;&gt;"",B4155&lt;&gt;""),1,0)</f>
        <v>0</v>
      </c>
      <c r="D4155" s="0" t="str">
        <f aca="false">IF(C4155=1,MOD(ABS(SIN(ROW()*12.9898+'הדבקת לידים'!$F$2*78.233+IFERROR(--RIGHT(A4155,6),LEN(A4155))*0.0137+IFERROR(--RIGHT(B4155,6),LEN(B4155))*0.0071))*43758.5453,1),"")</f>
        <v/>
      </c>
      <c r="E4155" s="0" t="str">
        <f aca="false">IF(C4155=1,INT(MOD(ABS(SIN(D4155*7919.123+ROW()*0.618+'הדבקת לידים'!$F$2*1.3))*43758.5453,1)*1000000)*10000+ROW(),"")</f>
        <v/>
      </c>
      <c r="F4155" s="0" t="str">
        <f aca="false">IF(E4155="","",RANK(E4155,$E$2:$E$5001,1))</f>
        <v/>
      </c>
      <c r="G4155" s="0" t="n">
        <f aca="false">IF(A4155="",0,IF(SUMPRODUCT(--($A$2:$A$5001=A4155))&gt;1,1,0))</f>
        <v>0</v>
      </c>
      <c r="H4155" s="0" t="n">
        <f aca="false">ROW()-1</f>
        <v>4154</v>
      </c>
      <c r="I4155" s="0" t="str">
        <f aca="false">IF(OR(הגדרות!$E$6=0,H4155&gt;הגדרות!$E$5),"",IF(H4155-1&lt;הגדרות!$E$8*(הגדרות!$E$7+1),INT((H4155-1)/(הגדרות!$E$7+1)),הגדרות!$E$8+INT((H4155-1-הגדרות!$E$8*(הגדרות!$E$7+1))/הגדרות!$E$7)))</f>
        <v/>
      </c>
      <c r="J4155" s="0" t="str">
        <f aca="false">IF(I4155="","",IF(H4155-1&lt;הגדרות!$E$8*(הגדרות!$E$7+1),MOD(H4155-1,הגדרות!$E$7+1),MOD(H4155-1-הגדרות!$E$8*(הגדרות!$E$7+1),הגדרות!$E$7)))</f>
        <v/>
      </c>
      <c r="K4155" s="0" t="str">
        <f aca="false">IF(I4155="","",J4155*הגדרות!$E$6+I4155+1)</f>
        <v/>
      </c>
      <c r="L4155" s="0" t="str">
        <f aca="false">IF(K4155="","",MATCH(K4155,$F$2:$F$5001,0))</f>
        <v/>
      </c>
      <c r="M4155" s="0" t="str">
        <f aca="false">IF(I4155="","",INDEX(הגדרות!$A$2:$A$21,MOD(I4155+הגדרות!$E$9,הגדרות!$E$6)+1))</f>
        <v/>
      </c>
    </row>
    <row r="4156" customFormat="false" ht="15" hidden="false" customHeight="false" outlineLevel="0" collapsed="false">
      <c r="A4156" s="0" t="str">
        <f aca="false">IF('הדבקת לידים'!A4156="","",IF(ISNUMBER('הדבקת לידים'!A4156),IF(הגדרות!$E$2&gt;0,TEXT('הדבקת לידים'!A4156,REPT("0",הגדרות!$E$2)),TEXT('הדבקת לידים'!A4156,"0")),TRIM('הדבקת לידים'!A4156)))</f>
        <v/>
      </c>
      <c r="B4156" s="0" t="str">
        <f aca="false">IF('הדבקת לידים'!B4156="","",IF(ISNUMBER('הדבקת לידים'!B4156),IF(הגדרות!$E$3&gt;0,TEXT('הדבקת לידים'!B4156,REPT("0",הגדרות!$E$3)),TEXT('הדבקת לידים'!B4156,"0")),TRIM('הדבקת לידים'!B4156)))</f>
        <v/>
      </c>
      <c r="C4156" s="0" t="n">
        <f aca="false">IF(OR(A4156&lt;&gt;"",B4156&lt;&gt;""),1,0)</f>
        <v>0</v>
      </c>
      <c r="D4156" s="0" t="str">
        <f aca="false">IF(C4156=1,MOD(ABS(SIN(ROW()*12.9898+'הדבקת לידים'!$F$2*78.233+IFERROR(--RIGHT(A4156,6),LEN(A4156))*0.0137+IFERROR(--RIGHT(B4156,6),LEN(B4156))*0.0071))*43758.5453,1),"")</f>
        <v/>
      </c>
      <c r="E4156" s="0" t="str">
        <f aca="false">IF(C4156=1,INT(MOD(ABS(SIN(D4156*7919.123+ROW()*0.618+'הדבקת לידים'!$F$2*1.3))*43758.5453,1)*1000000)*10000+ROW(),"")</f>
        <v/>
      </c>
      <c r="F4156" s="0" t="str">
        <f aca="false">IF(E4156="","",RANK(E4156,$E$2:$E$5001,1))</f>
        <v/>
      </c>
      <c r="G4156" s="0" t="n">
        <f aca="false">IF(A4156="",0,IF(SUMPRODUCT(--($A$2:$A$5001=A4156))&gt;1,1,0))</f>
        <v>0</v>
      </c>
      <c r="H4156" s="0" t="n">
        <f aca="false">ROW()-1</f>
        <v>4155</v>
      </c>
      <c r="I4156" s="0" t="str">
        <f aca="false">IF(OR(הגדרות!$E$6=0,H4156&gt;הגדרות!$E$5),"",IF(H4156-1&lt;הגדרות!$E$8*(הגדרות!$E$7+1),INT((H4156-1)/(הגדרות!$E$7+1)),הגדרות!$E$8+INT((H4156-1-הגדרות!$E$8*(הגדרות!$E$7+1))/הגדרות!$E$7)))</f>
        <v/>
      </c>
      <c r="J4156" s="0" t="str">
        <f aca="false">IF(I4156="","",IF(H4156-1&lt;הגדרות!$E$8*(הגדרות!$E$7+1),MOD(H4156-1,הגדרות!$E$7+1),MOD(H4156-1-הגדרות!$E$8*(הגדרות!$E$7+1),הגדרות!$E$7)))</f>
        <v/>
      </c>
      <c r="K4156" s="0" t="str">
        <f aca="false">IF(I4156="","",J4156*הגדרות!$E$6+I4156+1)</f>
        <v/>
      </c>
      <c r="L4156" s="0" t="str">
        <f aca="false">IF(K4156="","",MATCH(K4156,$F$2:$F$5001,0))</f>
        <v/>
      </c>
      <c r="M4156" s="0" t="str">
        <f aca="false">IF(I4156="","",INDEX(הגדרות!$A$2:$A$21,MOD(I4156+הגדרות!$E$9,הגדרות!$E$6)+1))</f>
        <v/>
      </c>
    </row>
    <row r="4157" customFormat="false" ht="15" hidden="false" customHeight="false" outlineLevel="0" collapsed="false">
      <c r="A4157" s="0" t="str">
        <f aca="false">IF('הדבקת לידים'!A4157="","",IF(ISNUMBER('הדבקת לידים'!A4157),IF(הגדרות!$E$2&gt;0,TEXT('הדבקת לידים'!A4157,REPT("0",הגדרות!$E$2)),TEXT('הדבקת לידים'!A4157,"0")),TRIM('הדבקת לידים'!A4157)))</f>
        <v/>
      </c>
      <c r="B4157" s="0" t="str">
        <f aca="false">IF('הדבקת לידים'!B4157="","",IF(ISNUMBER('הדבקת לידים'!B4157),IF(הגדרות!$E$3&gt;0,TEXT('הדבקת לידים'!B4157,REPT("0",הגדרות!$E$3)),TEXT('הדבקת לידים'!B4157,"0")),TRIM('הדבקת לידים'!B4157)))</f>
        <v/>
      </c>
      <c r="C4157" s="0" t="n">
        <f aca="false">IF(OR(A4157&lt;&gt;"",B4157&lt;&gt;""),1,0)</f>
        <v>0</v>
      </c>
      <c r="D4157" s="0" t="str">
        <f aca="false">IF(C4157=1,MOD(ABS(SIN(ROW()*12.9898+'הדבקת לידים'!$F$2*78.233+IFERROR(--RIGHT(A4157,6),LEN(A4157))*0.0137+IFERROR(--RIGHT(B4157,6),LEN(B4157))*0.0071))*43758.5453,1),"")</f>
        <v/>
      </c>
      <c r="E4157" s="0" t="str">
        <f aca="false">IF(C4157=1,INT(MOD(ABS(SIN(D4157*7919.123+ROW()*0.618+'הדבקת לידים'!$F$2*1.3))*43758.5453,1)*1000000)*10000+ROW(),"")</f>
        <v/>
      </c>
      <c r="F4157" s="0" t="str">
        <f aca="false">IF(E4157="","",RANK(E4157,$E$2:$E$5001,1))</f>
        <v/>
      </c>
      <c r="G4157" s="0" t="n">
        <f aca="false">IF(A4157="",0,IF(SUMPRODUCT(--($A$2:$A$5001=A4157))&gt;1,1,0))</f>
        <v>0</v>
      </c>
      <c r="H4157" s="0" t="n">
        <f aca="false">ROW()-1</f>
        <v>4156</v>
      </c>
      <c r="I4157" s="0" t="str">
        <f aca="false">IF(OR(הגדרות!$E$6=0,H4157&gt;הגדרות!$E$5),"",IF(H4157-1&lt;הגדרות!$E$8*(הגדרות!$E$7+1),INT((H4157-1)/(הגדרות!$E$7+1)),הגדרות!$E$8+INT((H4157-1-הגדרות!$E$8*(הגדרות!$E$7+1))/הגדרות!$E$7)))</f>
        <v/>
      </c>
      <c r="J4157" s="0" t="str">
        <f aca="false">IF(I4157="","",IF(H4157-1&lt;הגדרות!$E$8*(הגדרות!$E$7+1),MOD(H4157-1,הגדרות!$E$7+1),MOD(H4157-1-הגדרות!$E$8*(הגדרות!$E$7+1),הגדרות!$E$7)))</f>
        <v/>
      </c>
      <c r="K4157" s="0" t="str">
        <f aca="false">IF(I4157="","",J4157*הגדרות!$E$6+I4157+1)</f>
        <v/>
      </c>
      <c r="L4157" s="0" t="str">
        <f aca="false">IF(K4157="","",MATCH(K4157,$F$2:$F$5001,0))</f>
        <v/>
      </c>
      <c r="M4157" s="0" t="str">
        <f aca="false">IF(I4157="","",INDEX(הגדרות!$A$2:$A$21,MOD(I4157+הגדרות!$E$9,הגדרות!$E$6)+1))</f>
        <v/>
      </c>
    </row>
    <row r="4158" customFormat="false" ht="15" hidden="false" customHeight="false" outlineLevel="0" collapsed="false">
      <c r="A4158" s="0" t="str">
        <f aca="false">IF('הדבקת לידים'!A4158="","",IF(ISNUMBER('הדבקת לידים'!A4158),IF(הגדרות!$E$2&gt;0,TEXT('הדבקת לידים'!A4158,REPT("0",הגדרות!$E$2)),TEXT('הדבקת לידים'!A4158,"0")),TRIM('הדבקת לידים'!A4158)))</f>
        <v/>
      </c>
      <c r="B4158" s="0" t="str">
        <f aca="false">IF('הדבקת לידים'!B4158="","",IF(ISNUMBER('הדבקת לידים'!B4158),IF(הגדרות!$E$3&gt;0,TEXT('הדבקת לידים'!B4158,REPT("0",הגדרות!$E$3)),TEXT('הדבקת לידים'!B4158,"0")),TRIM('הדבקת לידים'!B4158)))</f>
        <v/>
      </c>
      <c r="C4158" s="0" t="n">
        <f aca="false">IF(OR(A4158&lt;&gt;"",B4158&lt;&gt;""),1,0)</f>
        <v>0</v>
      </c>
      <c r="D4158" s="0" t="str">
        <f aca="false">IF(C4158=1,MOD(ABS(SIN(ROW()*12.9898+'הדבקת לידים'!$F$2*78.233+IFERROR(--RIGHT(A4158,6),LEN(A4158))*0.0137+IFERROR(--RIGHT(B4158,6),LEN(B4158))*0.0071))*43758.5453,1),"")</f>
        <v/>
      </c>
      <c r="E4158" s="0" t="str">
        <f aca="false">IF(C4158=1,INT(MOD(ABS(SIN(D4158*7919.123+ROW()*0.618+'הדבקת לידים'!$F$2*1.3))*43758.5453,1)*1000000)*10000+ROW(),"")</f>
        <v/>
      </c>
      <c r="F4158" s="0" t="str">
        <f aca="false">IF(E4158="","",RANK(E4158,$E$2:$E$5001,1))</f>
        <v/>
      </c>
      <c r="G4158" s="0" t="n">
        <f aca="false">IF(A4158="",0,IF(SUMPRODUCT(--($A$2:$A$5001=A4158))&gt;1,1,0))</f>
        <v>0</v>
      </c>
      <c r="H4158" s="0" t="n">
        <f aca="false">ROW()-1</f>
        <v>4157</v>
      </c>
      <c r="I4158" s="0" t="str">
        <f aca="false">IF(OR(הגדרות!$E$6=0,H4158&gt;הגדרות!$E$5),"",IF(H4158-1&lt;הגדרות!$E$8*(הגדרות!$E$7+1),INT((H4158-1)/(הגדרות!$E$7+1)),הגדרות!$E$8+INT((H4158-1-הגדרות!$E$8*(הגדרות!$E$7+1))/הגדרות!$E$7)))</f>
        <v/>
      </c>
      <c r="J4158" s="0" t="str">
        <f aca="false">IF(I4158="","",IF(H4158-1&lt;הגדרות!$E$8*(הגדרות!$E$7+1),MOD(H4158-1,הגדרות!$E$7+1),MOD(H4158-1-הגדרות!$E$8*(הגדרות!$E$7+1),הגדרות!$E$7)))</f>
        <v/>
      </c>
      <c r="K4158" s="0" t="str">
        <f aca="false">IF(I4158="","",J4158*הגדרות!$E$6+I4158+1)</f>
        <v/>
      </c>
      <c r="L4158" s="0" t="str">
        <f aca="false">IF(K4158="","",MATCH(K4158,$F$2:$F$5001,0))</f>
        <v/>
      </c>
      <c r="M4158" s="0" t="str">
        <f aca="false">IF(I4158="","",INDEX(הגדרות!$A$2:$A$21,MOD(I4158+הגדרות!$E$9,הגדרות!$E$6)+1))</f>
        <v/>
      </c>
    </row>
    <row r="4159" customFormat="false" ht="15" hidden="false" customHeight="false" outlineLevel="0" collapsed="false">
      <c r="A4159" s="0" t="str">
        <f aca="false">IF('הדבקת לידים'!A4159="","",IF(ISNUMBER('הדבקת לידים'!A4159),IF(הגדרות!$E$2&gt;0,TEXT('הדבקת לידים'!A4159,REPT("0",הגדרות!$E$2)),TEXT('הדבקת לידים'!A4159,"0")),TRIM('הדבקת לידים'!A4159)))</f>
        <v/>
      </c>
      <c r="B4159" s="0" t="str">
        <f aca="false">IF('הדבקת לידים'!B4159="","",IF(ISNUMBER('הדבקת לידים'!B4159),IF(הגדרות!$E$3&gt;0,TEXT('הדבקת לידים'!B4159,REPT("0",הגדרות!$E$3)),TEXT('הדבקת לידים'!B4159,"0")),TRIM('הדבקת לידים'!B4159)))</f>
        <v/>
      </c>
      <c r="C4159" s="0" t="n">
        <f aca="false">IF(OR(A4159&lt;&gt;"",B4159&lt;&gt;""),1,0)</f>
        <v>0</v>
      </c>
      <c r="D4159" s="0" t="str">
        <f aca="false">IF(C4159=1,MOD(ABS(SIN(ROW()*12.9898+'הדבקת לידים'!$F$2*78.233+IFERROR(--RIGHT(A4159,6),LEN(A4159))*0.0137+IFERROR(--RIGHT(B4159,6),LEN(B4159))*0.0071))*43758.5453,1),"")</f>
        <v/>
      </c>
      <c r="E4159" s="0" t="str">
        <f aca="false">IF(C4159=1,INT(MOD(ABS(SIN(D4159*7919.123+ROW()*0.618+'הדבקת לידים'!$F$2*1.3))*43758.5453,1)*1000000)*10000+ROW(),"")</f>
        <v/>
      </c>
      <c r="F4159" s="0" t="str">
        <f aca="false">IF(E4159="","",RANK(E4159,$E$2:$E$5001,1))</f>
        <v/>
      </c>
      <c r="G4159" s="0" t="n">
        <f aca="false">IF(A4159="",0,IF(SUMPRODUCT(--($A$2:$A$5001=A4159))&gt;1,1,0))</f>
        <v>0</v>
      </c>
      <c r="H4159" s="0" t="n">
        <f aca="false">ROW()-1</f>
        <v>4158</v>
      </c>
      <c r="I4159" s="0" t="str">
        <f aca="false">IF(OR(הגדרות!$E$6=0,H4159&gt;הגדרות!$E$5),"",IF(H4159-1&lt;הגדרות!$E$8*(הגדרות!$E$7+1),INT((H4159-1)/(הגדרות!$E$7+1)),הגדרות!$E$8+INT((H4159-1-הגדרות!$E$8*(הגדרות!$E$7+1))/הגדרות!$E$7)))</f>
        <v/>
      </c>
      <c r="J4159" s="0" t="str">
        <f aca="false">IF(I4159="","",IF(H4159-1&lt;הגדרות!$E$8*(הגדרות!$E$7+1),MOD(H4159-1,הגדרות!$E$7+1),MOD(H4159-1-הגדרות!$E$8*(הגדרות!$E$7+1),הגדרות!$E$7)))</f>
        <v/>
      </c>
      <c r="K4159" s="0" t="str">
        <f aca="false">IF(I4159="","",J4159*הגדרות!$E$6+I4159+1)</f>
        <v/>
      </c>
      <c r="L4159" s="0" t="str">
        <f aca="false">IF(K4159="","",MATCH(K4159,$F$2:$F$5001,0))</f>
        <v/>
      </c>
      <c r="M4159" s="0" t="str">
        <f aca="false">IF(I4159="","",INDEX(הגדרות!$A$2:$A$21,MOD(I4159+הגדרות!$E$9,הגדרות!$E$6)+1))</f>
        <v/>
      </c>
    </row>
    <row r="4160" customFormat="false" ht="15" hidden="false" customHeight="false" outlineLevel="0" collapsed="false">
      <c r="A4160" s="0" t="str">
        <f aca="false">IF('הדבקת לידים'!A4160="","",IF(ISNUMBER('הדבקת לידים'!A4160),IF(הגדרות!$E$2&gt;0,TEXT('הדבקת לידים'!A4160,REPT("0",הגדרות!$E$2)),TEXT('הדבקת לידים'!A4160,"0")),TRIM('הדבקת לידים'!A4160)))</f>
        <v/>
      </c>
      <c r="B4160" s="0" t="str">
        <f aca="false">IF('הדבקת לידים'!B4160="","",IF(ISNUMBER('הדבקת לידים'!B4160),IF(הגדרות!$E$3&gt;0,TEXT('הדבקת לידים'!B4160,REPT("0",הגדרות!$E$3)),TEXT('הדבקת לידים'!B4160,"0")),TRIM('הדבקת לידים'!B4160)))</f>
        <v/>
      </c>
      <c r="C4160" s="0" t="n">
        <f aca="false">IF(OR(A4160&lt;&gt;"",B4160&lt;&gt;""),1,0)</f>
        <v>0</v>
      </c>
      <c r="D4160" s="0" t="str">
        <f aca="false">IF(C4160=1,MOD(ABS(SIN(ROW()*12.9898+'הדבקת לידים'!$F$2*78.233+IFERROR(--RIGHT(A4160,6),LEN(A4160))*0.0137+IFERROR(--RIGHT(B4160,6),LEN(B4160))*0.0071))*43758.5453,1),"")</f>
        <v/>
      </c>
      <c r="E4160" s="0" t="str">
        <f aca="false">IF(C4160=1,INT(MOD(ABS(SIN(D4160*7919.123+ROW()*0.618+'הדבקת לידים'!$F$2*1.3))*43758.5453,1)*1000000)*10000+ROW(),"")</f>
        <v/>
      </c>
      <c r="F4160" s="0" t="str">
        <f aca="false">IF(E4160="","",RANK(E4160,$E$2:$E$5001,1))</f>
        <v/>
      </c>
      <c r="G4160" s="0" t="n">
        <f aca="false">IF(A4160="",0,IF(SUMPRODUCT(--($A$2:$A$5001=A4160))&gt;1,1,0))</f>
        <v>0</v>
      </c>
      <c r="H4160" s="0" t="n">
        <f aca="false">ROW()-1</f>
        <v>4159</v>
      </c>
      <c r="I4160" s="0" t="str">
        <f aca="false">IF(OR(הגדרות!$E$6=0,H4160&gt;הגדרות!$E$5),"",IF(H4160-1&lt;הגדרות!$E$8*(הגדרות!$E$7+1),INT((H4160-1)/(הגדרות!$E$7+1)),הגדרות!$E$8+INT((H4160-1-הגדרות!$E$8*(הגדרות!$E$7+1))/הגדרות!$E$7)))</f>
        <v/>
      </c>
      <c r="J4160" s="0" t="str">
        <f aca="false">IF(I4160="","",IF(H4160-1&lt;הגדרות!$E$8*(הגדרות!$E$7+1),MOD(H4160-1,הגדרות!$E$7+1),MOD(H4160-1-הגדרות!$E$8*(הגדרות!$E$7+1),הגדרות!$E$7)))</f>
        <v/>
      </c>
      <c r="K4160" s="0" t="str">
        <f aca="false">IF(I4160="","",J4160*הגדרות!$E$6+I4160+1)</f>
        <v/>
      </c>
      <c r="L4160" s="0" t="str">
        <f aca="false">IF(K4160="","",MATCH(K4160,$F$2:$F$5001,0))</f>
        <v/>
      </c>
      <c r="M4160" s="0" t="str">
        <f aca="false">IF(I4160="","",INDEX(הגדרות!$A$2:$A$21,MOD(I4160+הגדרות!$E$9,הגדרות!$E$6)+1))</f>
        <v/>
      </c>
    </row>
    <row r="4161" customFormat="false" ht="15" hidden="false" customHeight="false" outlineLevel="0" collapsed="false">
      <c r="A4161" s="0" t="str">
        <f aca="false">IF('הדבקת לידים'!A4161="","",IF(ISNUMBER('הדבקת לידים'!A4161),IF(הגדרות!$E$2&gt;0,TEXT('הדבקת לידים'!A4161,REPT("0",הגדרות!$E$2)),TEXT('הדבקת לידים'!A4161,"0")),TRIM('הדבקת לידים'!A4161)))</f>
        <v/>
      </c>
      <c r="B4161" s="0" t="str">
        <f aca="false">IF('הדבקת לידים'!B4161="","",IF(ISNUMBER('הדבקת לידים'!B4161),IF(הגדרות!$E$3&gt;0,TEXT('הדבקת לידים'!B4161,REPT("0",הגדרות!$E$3)),TEXT('הדבקת לידים'!B4161,"0")),TRIM('הדבקת לידים'!B4161)))</f>
        <v/>
      </c>
      <c r="C4161" s="0" t="n">
        <f aca="false">IF(OR(A4161&lt;&gt;"",B4161&lt;&gt;""),1,0)</f>
        <v>0</v>
      </c>
      <c r="D4161" s="0" t="str">
        <f aca="false">IF(C4161=1,MOD(ABS(SIN(ROW()*12.9898+'הדבקת לידים'!$F$2*78.233+IFERROR(--RIGHT(A4161,6),LEN(A4161))*0.0137+IFERROR(--RIGHT(B4161,6),LEN(B4161))*0.0071))*43758.5453,1),"")</f>
        <v/>
      </c>
      <c r="E4161" s="0" t="str">
        <f aca="false">IF(C4161=1,INT(MOD(ABS(SIN(D4161*7919.123+ROW()*0.618+'הדבקת לידים'!$F$2*1.3))*43758.5453,1)*1000000)*10000+ROW(),"")</f>
        <v/>
      </c>
      <c r="F4161" s="0" t="str">
        <f aca="false">IF(E4161="","",RANK(E4161,$E$2:$E$5001,1))</f>
        <v/>
      </c>
      <c r="G4161" s="0" t="n">
        <f aca="false">IF(A4161="",0,IF(SUMPRODUCT(--($A$2:$A$5001=A4161))&gt;1,1,0))</f>
        <v>0</v>
      </c>
      <c r="H4161" s="0" t="n">
        <f aca="false">ROW()-1</f>
        <v>4160</v>
      </c>
      <c r="I4161" s="0" t="str">
        <f aca="false">IF(OR(הגדרות!$E$6=0,H4161&gt;הגדרות!$E$5),"",IF(H4161-1&lt;הגדרות!$E$8*(הגדרות!$E$7+1),INT((H4161-1)/(הגדרות!$E$7+1)),הגדרות!$E$8+INT((H4161-1-הגדרות!$E$8*(הגדרות!$E$7+1))/הגדרות!$E$7)))</f>
        <v/>
      </c>
      <c r="J4161" s="0" t="str">
        <f aca="false">IF(I4161="","",IF(H4161-1&lt;הגדרות!$E$8*(הגדרות!$E$7+1),MOD(H4161-1,הגדרות!$E$7+1),MOD(H4161-1-הגדרות!$E$8*(הגדרות!$E$7+1),הגדרות!$E$7)))</f>
        <v/>
      </c>
      <c r="K4161" s="0" t="str">
        <f aca="false">IF(I4161="","",J4161*הגדרות!$E$6+I4161+1)</f>
        <v/>
      </c>
      <c r="L4161" s="0" t="str">
        <f aca="false">IF(K4161="","",MATCH(K4161,$F$2:$F$5001,0))</f>
        <v/>
      </c>
      <c r="M4161" s="0" t="str">
        <f aca="false">IF(I4161="","",INDEX(הגדרות!$A$2:$A$21,MOD(I4161+הגדרות!$E$9,הגדרות!$E$6)+1))</f>
        <v/>
      </c>
    </row>
    <row r="4162" customFormat="false" ht="15" hidden="false" customHeight="false" outlineLevel="0" collapsed="false">
      <c r="A4162" s="0" t="str">
        <f aca="false">IF('הדבקת לידים'!A4162="","",IF(ISNUMBER('הדבקת לידים'!A4162),IF(הגדרות!$E$2&gt;0,TEXT('הדבקת לידים'!A4162,REPT("0",הגדרות!$E$2)),TEXT('הדבקת לידים'!A4162,"0")),TRIM('הדבקת לידים'!A4162)))</f>
        <v/>
      </c>
      <c r="B4162" s="0" t="str">
        <f aca="false">IF('הדבקת לידים'!B4162="","",IF(ISNUMBER('הדבקת לידים'!B4162),IF(הגדרות!$E$3&gt;0,TEXT('הדבקת לידים'!B4162,REPT("0",הגדרות!$E$3)),TEXT('הדבקת לידים'!B4162,"0")),TRIM('הדבקת לידים'!B4162)))</f>
        <v/>
      </c>
      <c r="C4162" s="0" t="n">
        <f aca="false">IF(OR(A4162&lt;&gt;"",B4162&lt;&gt;""),1,0)</f>
        <v>0</v>
      </c>
      <c r="D4162" s="0" t="str">
        <f aca="false">IF(C4162=1,MOD(ABS(SIN(ROW()*12.9898+'הדבקת לידים'!$F$2*78.233+IFERROR(--RIGHT(A4162,6),LEN(A4162))*0.0137+IFERROR(--RIGHT(B4162,6),LEN(B4162))*0.0071))*43758.5453,1),"")</f>
        <v/>
      </c>
      <c r="E4162" s="0" t="str">
        <f aca="false">IF(C4162=1,INT(MOD(ABS(SIN(D4162*7919.123+ROW()*0.618+'הדבקת לידים'!$F$2*1.3))*43758.5453,1)*1000000)*10000+ROW(),"")</f>
        <v/>
      </c>
      <c r="F4162" s="0" t="str">
        <f aca="false">IF(E4162="","",RANK(E4162,$E$2:$E$5001,1))</f>
        <v/>
      </c>
      <c r="G4162" s="0" t="n">
        <f aca="false">IF(A4162="",0,IF(SUMPRODUCT(--($A$2:$A$5001=A4162))&gt;1,1,0))</f>
        <v>0</v>
      </c>
      <c r="H4162" s="0" t="n">
        <f aca="false">ROW()-1</f>
        <v>4161</v>
      </c>
      <c r="I4162" s="0" t="str">
        <f aca="false">IF(OR(הגדרות!$E$6=0,H4162&gt;הגדרות!$E$5),"",IF(H4162-1&lt;הגדרות!$E$8*(הגדרות!$E$7+1),INT((H4162-1)/(הגדרות!$E$7+1)),הגדרות!$E$8+INT((H4162-1-הגדרות!$E$8*(הגדרות!$E$7+1))/הגדרות!$E$7)))</f>
        <v/>
      </c>
      <c r="J4162" s="0" t="str">
        <f aca="false">IF(I4162="","",IF(H4162-1&lt;הגדרות!$E$8*(הגדרות!$E$7+1),MOD(H4162-1,הגדרות!$E$7+1),MOD(H4162-1-הגדרות!$E$8*(הגדרות!$E$7+1),הגדרות!$E$7)))</f>
        <v/>
      </c>
      <c r="K4162" s="0" t="str">
        <f aca="false">IF(I4162="","",J4162*הגדרות!$E$6+I4162+1)</f>
        <v/>
      </c>
      <c r="L4162" s="0" t="str">
        <f aca="false">IF(K4162="","",MATCH(K4162,$F$2:$F$5001,0))</f>
        <v/>
      </c>
      <c r="M4162" s="0" t="str">
        <f aca="false">IF(I4162="","",INDEX(הגדרות!$A$2:$A$21,MOD(I4162+הגדרות!$E$9,הגדרות!$E$6)+1))</f>
        <v/>
      </c>
    </row>
    <row r="4163" customFormat="false" ht="15" hidden="false" customHeight="false" outlineLevel="0" collapsed="false">
      <c r="A4163" s="0" t="str">
        <f aca="false">IF('הדבקת לידים'!A4163="","",IF(ISNUMBER('הדבקת לידים'!A4163),IF(הגדרות!$E$2&gt;0,TEXT('הדבקת לידים'!A4163,REPT("0",הגדרות!$E$2)),TEXT('הדבקת לידים'!A4163,"0")),TRIM('הדבקת לידים'!A4163)))</f>
        <v/>
      </c>
      <c r="B4163" s="0" t="str">
        <f aca="false">IF('הדבקת לידים'!B4163="","",IF(ISNUMBER('הדבקת לידים'!B4163),IF(הגדרות!$E$3&gt;0,TEXT('הדבקת לידים'!B4163,REPT("0",הגדרות!$E$3)),TEXT('הדבקת לידים'!B4163,"0")),TRIM('הדבקת לידים'!B4163)))</f>
        <v/>
      </c>
      <c r="C4163" s="0" t="n">
        <f aca="false">IF(OR(A4163&lt;&gt;"",B4163&lt;&gt;""),1,0)</f>
        <v>0</v>
      </c>
      <c r="D4163" s="0" t="str">
        <f aca="false">IF(C4163=1,MOD(ABS(SIN(ROW()*12.9898+'הדבקת לידים'!$F$2*78.233+IFERROR(--RIGHT(A4163,6),LEN(A4163))*0.0137+IFERROR(--RIGHT(B4163,6),LEN(B4163))*0.0071))*43758.5453,1),"")</f>
        <v/>
      </c>
      <c r="E4163" s="0" t="str">
        <f aca="false">IF(C4163=1,INT(MOD(ABS(SIN(D4163*7919.123+ROW()*0.618+'הדבקת לידים'!$F$2*1.3))*43758.5453,1)*1000000)*10000+ROW(),"")</f>
        <v/>
      </c>
      <c r="F4163" s="0" t="str">
        <f aca="false">IF(E4163="","",RANK(E4163,$E$2:$E$5001,1))</f>
        <v/>
      </c>
      <c r="G4163" s="0" t="n">
        <f aca="false">IF(A4163="",0,IF(SUMPRODUCT(--($A$2:$A$5001=A4163))&gt;1,1,0))</f>
        <v>0</v>
      </c>
      <c r="H4163" s="0" t="n">
        <f aca="false">ROW()-1</f>
        <v>4162</v>
      </c>
      <c r="I4163" s="0" t="str">
        <f aca="false">IF(OR(הגדרות!$E$6=0,H4163&gt;הגדרות!$E$5),"",IF(H4163-1&lt;הגדרות!$E$8*(הגדרות!$E$7+1),INT((H4163-1)/(הגדרות!$E$7+1)),הגדרות!$E$8+INT((H4163-1-הגדרות!$E$8*(הגדרות!$E$7+1))/הגדרות!$E$7)))</f>
        <v/>
      </c>
      <c r="J4163" s="0" t="str">
        <f aca="false">IF(I4163="","",IF(H4163-1&lt;הגדרות!$E$8*(הגדרות!$E$7+1),MOD(H4163-1,הגדרות!$E$7+1),MOD(H4163-1-הגדרות!$E$8*(הגדרות!$E$7+1),הגדרות!$E$7)))</f>
        <v/>
      </c>
      <c r="K4163" s="0" t="str">
        <f aca="false">IF(I4163="","",J4163*הגדרות!$E$6+I4163+1)</f>
        <v/>
      </c>
      <c r="L4163" s="0" t="str">
        <f aca="false">IF(K4163="","",MATCH(K4163,$F$2:$F$5001,0))</f>
        <v/>
      </c>
      <c r="M4163" s="0" t="str">
        <f aca="false">IF(I4163="","",INDEX(הגדרות!$A$2:$A$21,MOD(I4163+הגדרות!$E$9,הגדרות!$E$6)+1))</f>
        <v/>
      </c>
    </row>
    <row r="4164" customFormat="false" ht="15" hidden="false" customHeight="false" outlineLevel="0" collapsed="false">
      <c r="A4164" s="0" t="str">
        <f aca="false">IF('הדבקת לידים'!A4164="","",IF(ISNUMBER('הדבקת לידים'!A4164),IF(הגדרות!$E$2&gt;0,TEXT('הדבקת לידים'!A4164,REPT("0",הגדרות!$E$2)),TEXT('הדבקת לידים'!A4164,"0")),TRIM('הדבקת לידים'!A4164)))</f>
        <v/>
      </c>
      <c r="B4164" s="0" t="str">
        <f aca="false">IF('הדבקת לידים'!B4164="","",IF(ISNUMBER('הדבקת לידים'!B4164),IF(הגדרות!$E$3&gt;0,TEXT('הדבקת לידים'!B4164,REPT("0",הגדרות!$E$3)),TEXT('הדבקת לידים'!B4164,"0")),TRIM('הדבקת לידים'!B4164)))</f>
        <v/>
      </c>
      <c r="C4164" s="0" t="n">
        <f aca="false">IF(OR(A4164&lt;&gt;"",B4164&lt;&gt;""),1,0)</f>
        <v>0</v>
      </c>
      <c r="D4164" s="0" t="str">
        <f aca="false">IF(C4164=1,MOD(ABS(SIN(ROW()*12.9898+'הדבקת לידים'!$F$2*78.233+IFERROR(--RIGHT(A4164,6),LEN(A4164))*0.0137+IFERROR(--RIGHT(B4164,6),LEN(B4164))*0.0071))*43758.5453,1),"")</f>
        <v/>
      </c>
      <c r="E4164" s="0" t="str">
        <f aca="false">IF(C4164=1,INT(MOD(ABS(SIN(D4164*7919.123+ROW()*0.618+'הדבקת לידים'!$F$2*1.3))*43758.5453,1)*1000000)*10000+ROW(),"")</f>
        <v/>
      </c>
      <c r="F4164" s="0" t="str">
        <f aca="false">IF(E4164="","",RANK(E4164,$E$2:$E$5001,1))</f>
        <v/>
      </c>
      <c r="G4164" s="0" t="n">
        <f aca="false">IF(A4164="",0,IF(SUMPRODUCT(--($A$2:$A$5001=A4164))&gt;1,1,0))</f>
        <v>0</v>
      </c>
      <c r="H4164" s="0" t="n">
        <f aca="false">ROW()-1</f>
        <v>4163</v>
      </c>
      <c r="I4164" s="0" t="str">
        <f aca="false">IF(OR(הגדרות!$E$6=0,H4164&gt;הגדרות!$E$5),"",IF(H4164-1&lt;הגדרות!$E$8*(הגדרות!$E$7+1),INT((H4164-1)/(הגדרות!$E$7+1)),הגדרות!$E$8+INT((H4164-1-הגדרות!$E$8*(הגדרות!$E$7+1))/הגדרות!$E$7)))</f>
        <v/>
      </c>
      <c r="J4164" s="0" t="str">
        <f aca="false">IF(I4164="","",IF(H4164-1&lt;הגדרות!$E$8*(הגדרות!$E$7+1),MOD(H4164-1,הגדרות!$E$7+1),MOD(H4164-1-הגדרות!$E$8*(הגדרות!$E$7+1),הגדרות!$E$7)))</f>
        <v/>
      </c>
      <c r="K4164" s="0" t="str">
        <f aca="false">IF(I4164="","",J4164*הגדרות!$E$6+I4164+1)</f>
        <v/>
      </c>
      <c r="L4164" s="0" t="str">
        <f aca="false">IF(K4164="","",MATCH(K4164,$F$2:$F$5001,0))</f>
        <v/>
      </c>
      <c r="M4164" s="0" t="str">
        <f aca="false">IF(I4164="","",INDEX(הגדרות!$A$2:$A$21,MOD(I4164+הגדרות!$E$9,הגדרות!$E$6)+1))</f>
        <v/>
      </c>
    </row>
    <row r="4165" customFormat="false" ht="15" hidden="false" customHeight="false" outlineLevel="0" collapsed="false">
      <c r="A4165" s="0" t="str">
        <f aca="false">IF('הדבקת לידים'!A4165="","",IF(ISNUMBER('הדבקת לידים'!A4165),IF(הגדרות!$E$2&gt;0,TEXT('הדבקת לידים'!A4165,REPT("0",הגדרות!$E$2)),TEXT('הדבקת לידים'!A4165,"0")),TRIM('הדבקת לידים'!A4165)))</f>
        <v/>
      </c>
      <c r="B4165" s="0" t="str">
        <f aca="false">IF('הדבקת לידים'!B4165="","",IF(ISNUMBER('הדבקת לידים'!B4165),IF(הגדרות!$E$3&gt;0,TEXT('הדבקת לידים'!B4165,REPT("0",הגדרות!$E$3)),TEXT('הדבקת לידים'!B4165,"0")),TRIM('הדבקת לידים'!B4165)))</f>
        <v/>
      </c>
      <c r="C4165" s="0" t="n">
        <f aca="false">IF(OR(A4165&lt;&gt;"",B4165&lt;&gt;""),1,0)</f>
        <v>0</v>
      </c>
      <c r="D4165" s="0" t="str">
        <f aca="false">IF(C4165=1,MOD(ABS(SIN(ROW()*12.9898+'הדבקת לידים'!$F$2*78.233+IFERROR(--RIGHT(A4165,6),LEN(A4165))*0.0137+IFERROR(--RIGHT(B4165,6),LEN(B4165))*0.0071))*43758.5453,1),"")</f>
        <v/>
      </c>
      <c r="E4165" s="0" t="str">
        <f aca="false">IF(C4165=1,INT(MOD(ABS(SIN(D4165*7919.123+ROW()*0.618+'הדבקת לידים'!$F$2*1.3))*43758.5453,1)*1000000)*10000+ROW(),"")</f>
        <v/>
      </c>
      <c r="F4165" s="0" t="str">
        <f aca="false">IF(E4165="","",RANK(E4165,$E$2:$E$5001,1))</f>
        <v/>
      </c>
      <c r="G4165" s="0" t="n">
        <f aca="false">IF(A4165="",0,IF(SUMPRODUCT(--($A$2:$A$5001=A4165))&gt;1,1,0))</f>
        <v>0</v>
      </c>
      <c r="H4165" s="0" t="n">
        <f aca="false">ROW()-1</f>
        <v>4164</v>
      </c>
      <c r="I4165" s="0" t="str">
        <f aca="false">IF(OR(הגדרות!$E$6=0,H4165&gt;הגדרות!$E$5),"",IF(H4165-1&lt;הגדרות!$E$8*(הגדרות!$E$7+1),INT((H4165-1)/(הגדרות!$E$7+1)),הגדרות!$E$8+INT((H4165-1-הגדרות!$E$8*(הגדרות!$E$7+1))/הגדרות!$E$7)))</f>
        <v/>
      </c>
      <c r="J4165" s="0" t="str">
        <f aca="false">IF(I4165="","",IF(H4165-1&lt;הגדרות!$E$8*(הגדרות!$E$7+1),MOD(H4165-1,הגדרות!$E$7+1),MOD(H4165-1-הגדרות!$E$8*(הגדרות!$E$7+1),הגדרות!$E$7)))</f>
        <v/>
      </c>
      <c r="K4165" s="0" t="str">
        <f aca="false">IF(I4165="","",J4165*הגדרות!$E$6+I4165+1)</f>
        <v/>
      </c>
      <c r="L4165" s="0" t="str">
        <f aca="false">IF(K4165="","",MATCH(K4165,$F$2:$F$5001,0))</f>
        <v/>
      </c>
      <c r="M4165" s="0" t="str">
        <f aca="false">IF(I4165="","",INDEX(הגדרות!$A$2:$A$21,MOD(I4165+הגדרות!$E$9,הגדרות!$E$6)+1))</f>
        <v/>
      </c>
    </row>
    <row r="4166" customFormat="false" ht="15" hidden="false" customHeight="false" outlineLevel="0" collapsed="false">
      <c r="A4166" s="0" t="str">
        <f aca="false">IF('הדבקת לידים'!A4166="","",IF(ISNUMBER('הדבקת לידים'!A4166),IF(הגדרות!$E$2&gt;0,TEXT('הדבקת לידים'!A4166,REPT("0",הגדרות!$E$2)),TEXT('הדבקת לידים'!A4166,"0")),TRIM('הדבקת לידים'!A4166)))</f>
        <v/>
      </c>
      <c r="B4166" s="0" t="str">
        <f aca="false">IF('הדבקת לידים'!B4166="","",IF(ISNUMBER('הדבקת לידים'!B4166),IF(הגדרות!$E$3&gt;0,TEXT('הדבקת לידים'!B4166,REPT("0",הגדרות!$E$3)),TEXT('הדבקת לידים'!B4166,"0")),TRIM('הדבקת לידים'!B4166)))</f>
        <v/>
      </c>
      <c r="C4166" s="0" t="n">
        <f aca="false">IF(OR(A4166&lt;&gt;"",B4166&lt;&gt;""),1,0)</f>
        <v>0</v>
      </c>
      <c r="D4166" s="0" t="str">
        <f aca="false">IF(C4166=1,MOD(ABS(SIN(ROW()*12.9898+'הדבקת לידים'!$F$2*78.233+IFERROR(--RIGHT(A4166,6),LEN(A4166))*0.0137+IFERROR(--RIGHT(B4166,6),LEN(B4166))*0.0071))*43758.5453,1),"")</f>
        <v/>
      </c>
      <c r="E4166" s="0" t="str">
        <f aca="false">IF(C4166=1,INT(MOD(ABS(SIN(D4166*7919.123+ROW()*0.618+'הדבקת לידים'!$F$2*1.3))*43758.5453,1)*1000000)*10000+ROW(),"")</f>
        <v/>
      </c>
      <c r="F4166" s="0" t="str">
        <f aca="false">IF(E4166="","",RANK(E4166,$E$2:$E$5001,1))</f>
        <v/>
      </c>
      <c r="G4166" s="0" t="n">
        <f aca="false">IF(A4166="",0,IF(SUMPRODUCT(--($A$2:$A$5001=A4166))&gt;1,1,0))</f>
        <v>0</v>
      </c>
      <c r="H4166" s="0" t="n">
        <f aca="false">ROW()-1</f>
        <v>4165</v>
      </c>
      <c r="I4166" s="0" t="str">
        <f aca="false">IF(OR(הגדרות!$E$6=0,H4166&gt;הגדרות!$E$5),"",IF(H4166-1&lt;הגדרות!$E$8*(הגדרות!$E$7+1),INT((H4166-1)/(הגדרות!$E$7+1)),הגדרות!$E$8+INT((H4166-1-הגדרות!$E$8*(הגדרות!$E$7+1))/הגדרות!$E$7)))</f>
        <v/>
      </c>
      <c r="J4166" s="0" t="str">
        <f aca="false">IF(I4166="","",IF(H4166-1&lt;הגדרות!$E$8*(הגדרות!$E$7+1),MOD(H4166-1,הגדרות!$E$7+1),MOD(H4166-1-הגדרות!$E$8*(הגדרות!$E$7+1),הגדרות!$E$7)))</f>
        <v/>
      </c>
      <c r="K4166" s="0" t="str">
        <f aca="false">IF(I4166="","",J4166*הגדרות!$E$6+I4166+1)</f>
        <v/>
      </c>
      <c r="L4166" s="0" t="str">
        <f aca="false">IF(K4166="","",MATCH(K4166,$F$2:$F$5001,0))</f>
        <v/>
      </c>
      <c r="M4166" s="0" t="str">
        <f aca="false">IF(I4166="","",INDEX(הגדרות!$A$2:$A$21,MOD(I4166+הגדרות!$E$9,הגדרות!$E$6)+1))</f>
        <v/>
      </c>
    </row>
    <row r="4167" customFormat="false" ht="15" hidden="false" customHeight="false" outlineLevel="0" collapsed="false">
      <c r="A4167" s="0" t="str">
        <f aca="false">IF('הדבקת לידים'!A4167="","",IF(ISNUMBER('הדבקת לידים'!A4167),IF(הגדרות!$E$2&gt;0,TEXT('הדבקת לידים'!A4167,REPT("0",הגדרות!$E$2)),TEXT('הדבקת לידים'!A4167,"0")),TRIM('הדבקת לידים'!A4167)))</f>
        <v/>
      </c>
      <c r="B4167" s="0" t="str">
        <f aca="false">IF('הדבקת לידים'!B4167="","",IF(ISNUMBER('הדבקת לידים'!B4167),IF(הגדרות!$E$3&gt;0,TEXT('הדבקת לידים'!B4167,REPT("0",הגדרות!$E$3)),TEXT('הדבקת לידים'!B4167,"0")),TRIM('הדבקת לידים'!B4167)))</f>
        <v/>
      </c>
      <c r="C4167" s="0" t="n">
        <f aca="false">IF(OR(A4167&lt;&gt;"",B4167&lt;&gt;""),1,0)</f>
        <v>0</v>
      </c>
      <c r="D4167" s="0" t="str">
        <f aca="false">IF(C4167=1,MOD(ABS(SIN(ROW()*12.9898+'הדבקת לידים'!$F$2*78.233+IFERROR(--RIGHT(A4167,6),LEN(A4167))*0.0137+IFERROR(--RIGHT(B4167,6),LEN(B4167))*0.0071))*43758.5453,1),"")</f>
        <v/>
      </c>
      <c r="E4167" s="0" t="str">
        <f aca="false">IF(C4167=1,INT(MOD(ABS(SIN(D4167*7919.123+ROW()*0.618+'הדבקת לידים'!$F$2*1.3))*43758.5453,1)*1000000)*10000+ROW(),"")</f>
        <v/>
      </c>
      <c r="F4167" s="0" t="str">
        <f aca="false">IF(E4167="","",RANK(E4167,$E$2:$E$5001,1))</f>
        <v/>
      </c>
      <c r="G4167" s="0" t="n">
        <f aca="false">IF(A4167="",0,IF(SUMPRODUCT(--($A$2:$A$5001=A4167))&gt;1,1,0))</f>
        <v>0</v>
      </c>
      <c r="H4167" s="0" t="n">
        <f aca="false">ROW()-1</f>
        <v>4166</v>
      </c>
      <c r="I4167" s="0" t="str">
        <f aca="false">IF(OR(הגדרות!$E$6=0,H4167&gt;הגדרות!$E$5),"",IF(H4167-1&lt;הגדרות!$E$8*(הגדרות!$E$7+1),INT((H4167-1)/(הגדרות!$E$7+1)),הגדרות!$E$8+INT((H4167-1-הגדרות!$E$8*(הגדרות!$E$7+1))/הגדרות!$E$7)))</f>
        <v/>
      </c>
      <c r="J4167" s="0" t="str">
        <f aca="false">IF(I4167="","",IF(H4167-1&lt;הגדרות!$E$8*(הגדרות!$E$7+1),MOD(H4167-1,הגדרות!$E$7+1),MOD(H4167-1-הגדרות!$E$8*(הגדרות!$E$7+1),הגדרות!$E$7)))</f>
        <v/>
      </c>
      <c r="K4167" s="0" t="str">
        <f aca="false">IF(I4167="","",J4167*הגדרות!$E$6+I4167+1)</f>
        <v/>
      </c>
      <c r="L4167" s="0" t="str">
        <f aca="false">IF(K4167="","",MATCH(K4167,$F$2:$F$5001,0))</f>
        <v/>
      </c>
      <c r="M4167" s="0" t="str">
        <f aca="false">IF(I4167="","",INDEX(הגדרות!$A$2:$A$21,MOD(I4167+הגדרות!$E$9,הגדרות!$E$6)+1))</f>
        <v/>
      </c>
    </row>
    <row r="4168" customFormat="false" ht="15" hidden="false" customHeight="false" outlineLevel="0" collapsed="false">
      <c r="A4168" s="0" t="str">
        <f aca="false">IF('הדבקת לידים'!A4168="","",IF(ISNUMBER('הדבקת לידים'!A4168),IF(הגדרות!$E$2&gt;0,TEXT('הדבקת לידים'!A4168,REPT("0",הגדרות!$E$2)),TEXT('הדבקת לידים'!A4168,"0")),TRIM('הדבקת לידים'!A4168)))</f>
        <v/>
      </c>
      <c r="B4168" s="0" t="str">
        <f aca="false">IF('הדבקת לידים'!B4168="","",IF(ISNUMBER('הדבקת לידים'!B4168),IF(הגדרות!$E$3&gt;0,TEXT('הדבקת לידים'!B4168,REPT("0",הגדרות!$E$3)),TEXT('הדבקת לידים'!B4168,"0")),TRIM('הדבקת לידים'!B4168)))</f>
        <v/>
      </c>
      <c r="C4168" s="0" t="n">
        <f aca="false">IF(OR(A4168&lt;&gt;"",B4168&lt;&gt;""),1,0)</f>
        <v>0</v>
      </c>
      <c r="D4168" s="0" t="str">
        <f aca="false">IF(C4168=1,MOD(ABS(SIN(ROW()*12.9898+'הדבקת לידים'!$F$2*78.233+IFERROR(--RIGHT(A4168,6),LEN(A4168))*0.0137+IFERROR(--RIGHT(B4168,6),LEN(B4168))*0.0071))*43758.5453,1),"")</f>
        <v/>
      </c>
      <c r="E4168" s="0" t="str">
        <f aca="false">IF(C4168=1,INT(MOD(ABS(SIN(D4168*7919.123+ROW()*0.618+'הדבקת לידים'!$F$2*1.3))*43758.5453,1)*1000000)*10000+ROW(),"")</f>
        <v/>
      </c>
      <c r="F4168" s="0" t="str">
        <f aca="false">IF(E4168="","",RANK(E4168,$E$2:$E$5001,1))</f>
        <v/>
      </c>
      <c r="G4168" s="0" t="n">
        <f aca="false">IF(A4168="",0,IF(SUMPRODUCT(--($A$2:$A$5001=A4168))&gt;1,1,0))</f>
        <v>0</v>
      </c>
      <c r="H4168" s="0" t="n">
        <f aca="false">ROW()-1</f>
        <v>4167</v>
      </c>
      <c r="I4168" s="0" t="str">
        <f aca="false">IF(OR(הגדרות!$E$6=0,H4168&gt;הגדרות!$E$5),"",IF(H4168-1&lt;הגדרות!$E$8*(הגדרות!$E$7+1),INT((H4168-1)/(הגדרות!$E$7+1)),הגדרות!$E$8+INT((H4168-1-הגדרות!$E$8*(הגדרות!$E$7+1))/הגדרות!$E$7)))</f>
        <v/>
      </c>
      <c r="J4168" s="0" t="str">
        <f aca="false">IF(I4168="","",IF(H4168-1&lt;הגדרות!$E$8*(הגדרות!$E$7+1),MOD(H4168-1,הגדרות!$E$7+1),MOD(H4168-1-הגדרות!$E$8*(הגדרות!$E$7+1),הגדרות!$E$7)))</f>
        <v/>
      </c>
      <c r="K4168" s="0" t="str">
        <f aca="false">IF(I4168="","",J4168*הגדרות!$E$6+I4168+1)</f>
        <v/>
      </c>
      <c r="L4168" s="0" t="str">
        <f aca="false">IF(K4168="","",MATCH(K4168,$F$2:$F$5001,0))</f>
        <v/>
      </c>
      <c r="M4168" s="0" t="str">
        <f aca="false">IF(I4168="","",INDEX(הגדרות!$A$2:$A$21,MOD(I4168+הגדרות!$E$9,הגדרות!$E$6)+1))</f>
        <v/>
      </c>
    </row>
    <row r="4169" customFormat="false" ht="15" hidden="false" customHeight="false" outlineLevel="0" collapsed="false">
      <c r="A4169" s="0" t="str">
        <f aca="false">IF('הדבקת לידים'!A4169="","",IF(ISNUMBER('הדבקת לידים'!A4169),IF(הגדרות!$E$2&gt;0,TEXT('הדבקת לידים'!A4169,REPT("0",הגדרות!$E$2)),TEXT('הדבקת לידים'!A4169,"0")),TRIM('הדבקת לידים'!A4169)))</f>
        <v/>
      </c>
      <c r="B4169" s="0" t="str">
        <f aca="false">IF('הדבקת לידים'!B4169="","",IF(ISNUMBER('הדבקת לידים'!B4169),IF(הגדרות!$E$3&gt;0,TEXT('הדבקת לידים'!B4169,REPT("0",הגדרות!$E$3)),TEXT('הדבקת לידים'!B4169,"0")),TRIM('הדבקת לידים'!B4169)))</f>
        <v/>
      </c>
      <c r="C4169" s="0" t="n">
        <f aca="false">IF(OR(A4169&lt;&gt;"",B4169&lt;&gt;""),1,0)</f>
        <v>0</v>
      </c>
      <c r="D4169" s="0" t="str">
        <f aca="false">IF(C4169=1,MOD(ABS(SIN(ROW()*12.9898+'הדבקת לידים'!$F$2*78.233+IFERROR(--RIGHT(A4169,6),LEN(A4169))*0.0137+IFERROR(--RIGHT(B4169,6),LEN(B4169))*0.0071))*43758.5453,1),"")</f>
        <v/>
      </c>
      <c r="E4169" s="0" t="str">
        <f aca="false">IF(C4169=1,INT(MOD(ABS(SIN(D4169*7919.123+ROW()*0.618+'הדבקת לידים'!$F$2*1.3))*43758.5453,1)*1000000)*10000+ROW(),"")</f>
        <v/>
      </c>
      <c r="F4169" s="0" t="str">
        <f aca="false">IF(E4169="","",RANK(E4169,$E$2:$E$5001,1))</f>
        <v/>
      </c>
      <c r="G4169" s="0" t="n">
        <f aca="false">IF(A4169="",0,IF(SUMPRODUCT(--($A$2:$A$5001=A4169))&gt;1,1,0))</f>
        <v>0</v>
      </c>
      <c r="H4169" s="0" t="n">
        <f aca="false">ROW()-1</f>
        <v>4168</v>
      </c>
      <c r="I4169" s="0" t="str">
        <f aca="false">IF(OR(הגדרות!$E$6=0,H4169&gt;הגדרות!$E$5),"",IF(H4169-1&lt;הגדרות!$E$8*(הגדרות!$E$7+1),INT((H4169-1)/(הגדרות!$E$7+1)),הגדרות!$E$8+INT((H4169-1-הגדרות!$E$8*(הגדרות!$E$7+1))/הגדרות!$E$7)))</f>
        <v/>
      </c>
      <c r="J4169" s="0" t="str">
        <f aca="false">IF(I4169="","",IF(H4169-1&lt;הגדרות!$E$8*(הגדרות!$E$7+1),MOD(H4169-1,הגדרות!$E$7+1),MOD(H4169-1-הגדרות!$E$8*(הגדרות!$E$7+1),הגדרות!$E$7)))</f>
        <v/>
      </c>
      <c r="K4169" s="0" t="str">
        <f aca="false">IF(I4169="","",J4169*הגדרות!$E$6+I4169+1)</f>
        <v/>
      </c>
      <c r="L4169" s="0" t="str">
        <f aca="false">IF(K4169="","",MATCH(K4169,$F$2:$F$5001,0))</f>
        <v/>
      </c>
      <c r="M4169" s="0" t="str">
        <f aca="false">IF(I4169="","",INDEX(הגדרות!$A$2:$A$21,MOD(I4169+הגדרות!$E$9,הגדרות!$E$6)+1))</f>
        <v/>
      </c>
    </row>
    <row r="4170" customFormat="false" ht="15" hidden="false" customHeight="false" outlineLevel="0" collapsed="false">
      <c r="A4170" s="0" t="str">
        <f aca="false">IF('הדבקת לידים'!A4170="","",IF(ISNUMBER('הדבקת לידים'!A4170),IF(הגדרות!$E$2&gt;0,TEXT('הדבקת לידים'!A4170,REPT("0",הגדרות!$E$2)),TEXT('הדבקת לידים'!A4170,"0")),TRIM('הדבקת לידים'!A4170)))</f>
        <v/>
      </c>
      <c r="B4170" s="0" t="str">
        <f aca="false">IF('הדבקת לידים'!B4170="","",IF(ISNUMBER('הדבקת לידים'!B4170),IF(הגדרות!$E$3&gt;0,TEXT('הדבקת לידים'!B4170,REPT("0",הגדרות!$E$3)),TEXT('הדבקת לידים'!B4170,"0")),TRIM('הדבקת לידים'!B4170)))</f>
        <v/>
      </c>
      <c r="C4170" s="0" t="n">
        <f aca="false">IF(OR(A4170&lt;&gt;"",B4170&lt;&gt;""),1,0)</f>
        <v>0</v>
      </c>
      <c r="D4170" s="0" t="str">
        <f aca="false">IF(C4170=1,MOD(ABS(SIN(ROW()*12.9898+'הדבקת לידים'!$F$2*78.233+IFERROR(--RIGHT(A4170,6),LEN(A4170))*0.0137+IFERROR(--RIGHT(B4170,6),LEN(B4170))*0.0071))*43758.5453,1),"")</f>
        <v/>
      </c>
      <c r="E4170" s="0" t="str">
        <f aca="false">IF(C4170=1,INT(MOD(ABS(SIN(D4170*7919.123+ROW()*0.618+'הדבקת לידים'!$F$2*1.3))*43758.5453,1)*1000000)*10000+ROW(),"")</f>
        <v/>
      </c>
      <c r="F4170" s="0" t="str">
        <f aca="false">IF(E4170="","",RANK(E4170,$E$2:$E$5001,1))</f>
        <v/>
      </c>
      <c r="G4170" s="0" t="n">
        <f aca="false">IF(A4170="",0,IF(SUMPRODUCT(--($A$2:$A$5001=A4170))&gt;1,1,0))</f>
        <v>0</v>
      </c>
      <c r="H4170" s="0" t="n">
        <f aca="false">ROW()-1</f>
        <v>4169</v>
      </c>
      <c r="I4170" s="0" t="str">
        <f aca="false">IF(OR(הגדרות!$E$6=0,H4170&gt;הגדרות!$E$5),"",IF(H4170-1&lt;הגדרות!$E$8*(הגדרות!$E$7+1),INT((H4170-1)/(הגדרות!$E$7+1)),הגדרות!$E$8+INT((H4170-1-הגדרות!$E$8*(הגדרות!$E$7+1))/הגדרות!$E$7)))</f>
        <v/>
      </c>
      <c r="J4170" s="0" t="str">
        <f aca="false">IF(I4170="","",IF(H4170-1&lt;הגדרות!$E$8*(הגדרות!$E$7+1),MOD(H4170-1,הגדרות!$E$7+1),MOD(H4170-1-הגדרות!$E$8*(הגדרות!$E$7+1),הגדרות!$E$7)))</f>
        <v/>
      </c>
      <c r="K4170" s="0" t="str">
        <f aca="false">IF(I4170="","",J4170*הגדרות!$E$6+I4170+1)</f>
        <v/>
      </c>
      <c r="L4170" s="0" t="str">
        <f aca="false">IF(K4170="","",MATCH(K4170,$F$2:$F$5001,0))</f>
        <v/>
      </c>
      <c r="M4170" s="0" t="str">
        <f aca="false">IF(I4170="","",INDEX(הגדרות!$A$2:$A$21,MOD(I4170+הגדרות!$E$9,הגדרות!$E$6)+1))</f>
        <v/>
      </c>
    </row>
    <row r="4171" customFormat="false" ht="15" hidden="false" customHeight="false" outlineLevel="0" collapsed="false">
      <c r="A4171" s="0" t="str">
        <f aca="false">IF('הדבקת לידים'!A4171="","",IF(ISNUMBER('הדבקת לידים'!A4171),IF(הגדרות!$E$2&gt;0,TEXT('הדבקת לידים'!A4171,REPT("0",הגדרות!$E$2)),TEXT('הדבקת לידים'!A4171,"0")),TRIM('הדבקת לידים'!A4171)))</f>
        <v/>
      </c>
      <c r="B4171" s="0" t="str">
        <f aca="false">IF('הדבקת לידים'!B4171="","",IF(ISNUMBER('הדבקת לידים'!B4171),IF(הגדרות!$E$3&gt;0,TEXT('הדבקת לידים'!B4171,REPT("0",הגדרות!$E$3)),TEXT('הדבקת לידים'!B4171,"0")),TRIM('הדבקת לידים'!B4171)))</f>
        <v/>
      </c>
      <c r="C4171" s="0" t="n">
        <f aca="false">IF(OR(A4171&lt;&gt;"",B4171&lt;&gt;""),1,0)</f>
        <v>0</v>
      </c>
      <c r="D4171" s="0" t="str">
        <f aca="false">IF(C4171=1,MOD(ABS(SIN(ROW()*12.9898+'הדבקת לידים'!$F$2*78.233+IFERROR(--RIGHT(A4171,6),LEN(A4171))*0.0137+IFERROR(--RIGHT(B4171,6),LEN(B4171))*0.0071))*43758.5453,1),"")</f>
        <v/>
      </c>
      <c r="E4171" s="0" t="str">
        <f aca="false">IF(C4171=1,INT(MOD(ABS(SIN(D4171*7919.123+ROW()*0.618+'הדבקת לידים'!$F$2*1.3))*43758.5453,1)*1000000)*10000+ROW(),"")</f>
        <v/>
      </c>
      <c r="F4171" s="0" t="str">
        <f aca="false">IF(E4171="","",RANK(E4171,$E$2:$E$5001,1))</f>
        <v/>
      </c>
      <c r="G4171" s="0" t="n">
        <f aca="false">IF(A4171="",0,IF(SUMPRODUCT(--($A$2:$A$5001=A4171))&gt;1,1,0))</f>
        <v>0</v>
      </c>
      <c r="H4171" s="0" t="n">
        <f aca="false">ROW()-1</f>
        <v>4170</v>
      </c>
      <c r="I4171" s="0" t="str">
        <f aca="false">IF(OR(הגדרות!$E$6=0,H4171&gt;הגדרות!$E$5),"",IF(H4171-1&lt;הגדרות!$E$8*(הגדרות!$E$7+1),INT((H4171-1)/(הגדרות!$E$7+1)),הגדרות!$E$8+INT((H4171-1-הגדרות!$E$8*(הגדרות!$E$7+1))/הגדרות!$E$7)))</f>
        <v/>
      </c>
      <c r="J4171" s="0" t="str">
        <f aca="false">IF(I4171="","",IF(H4171-1&lt;הגדרות!$E$8*(הגדרות!$E$7+1),MOD(H4171-1,הגדרות!$E$7+1),MOD(H4171-1-הגדרות!$E$8*(הגדרות!$E$7+1),הגדרות!$E$7)))</f>
        <v/>
      </c>
      <c r="K4171" s="0" t="str">
        <f aca="false">IF(I4171="","",J4171*הגדרות!$E$6+I4171+1)</f>
        <v/>
      </c>
      <c r="L4171" s="0" t="str">
        <f aca="false">IF(K4171="","",MATCH(K4171,$F$2:$F$5001,0))</f>
        <v/>
      </c>
      <c r="M4171" s="0" t="str">
        <f aca="false">IF(I4171="","",INDEX(הגדרות!$A$2:$A$21,MOD(I4171+הגדרות!$E$9,הגדרות!$E$6)+1))</f>
        <v/>
      </c>
    </row>
    <row r="4172" customFormat="false" ht="15" hidden="false" customHeight="false" outlineLevel="0" collapsed="false">
      <c r="A4172" s="0" t="str">
        <f aca="false">IF('הדבקת לידים'!A4172="","",IF(ISNUMBER('הדבקת לידים'!A4172),IF(הגדרות!$E$2&gt;0,TEXT('הדבקת לידים'!A4172,REPT("0",הגדרות!$E$2)),TEXT('הדבקת לידים'!A4172,"0")),TRIM('הדבקת לידים'!A4172)))</f>
        <v/>
      </c>
      <c r="B4172" s="0" t="str">
        <f aca="false">IF('הדבקת לידים'!B4172="","",IF(ISNUMBER('הדבקת לידים'!B4172),IF(הגדרות!$E$3&gt;0,TEXT('הדבקת לידים'!B4172,REPT("0",הגדרות!$E$3)),TEXT('הדבקת לידים'!B4172,"0")),TRIM('הדבקת לידים'!B4172)))</f>
        <v/>
      </c>
      <c r="C4172" s="0" t="n">
        <f aca="false">IF(OR(A4172&lt;&gt;"",B4172&lt;&gt;""),1,0)</f>
        <v>0</v>
      </c>
      <c r="D4172" s="0" t="str">
        <f aca="false">IF(C4172=1,MOD(ABS(SIN(ROW()*12.9898+'הדבקת לידים'!$F$2*78.233+IFERROR(--RIGHT(A4172,6),LEN(A4172))*0.0137+IFERROR(--RIGHT(B4172,6),LEN(B4172))*0.0071))*43758.5453,1),"")</f>
        <v/>
      </c>
      <c r="E4172" s="0" t="str">
        <f aca="false">IF(C4172=1,INT(MOD(ABS(SIN(D4172*7919.123+ROW()*0.618+'הדבקת לידים'!$F$2*1.3))*43758.5453,1)*1000000)*10000+ROW(),"")</f>
        <v/>
      </c>
      <c r="F4172" s="0" t="str">
        <f aca="false">IF(E4172="","",RANK(E4172,$E$2:$E$5001,1))</f>
        <v/>
      </c>
      <c r="G4172" s="0" t="n">
        <f aca="false">IF(A4172="",0,IF(SUMPRODUCT(--($A$2:$A$5001=A4172))&gt;1,1,0))</f>
        <v>0</v>
      </c>
      <c r="H4172" s="0" t="n">
        <f aca="false">ROW()-1</f>
        <v>4171</v>
      </c>
      <c r="I4172" s="0" t="str">
        <f aca="false">IF(OR(הגדרות!$E$6=0,H4172&gt;הגדרות!$E$5),"",IF(H4172-1&lt;הגדרות!$E$8*(הגדרות!$E$7+1),INT((H4172-1)/(הגדרות!$E$7+1)),הגדרות!$E$8+INT((H4172-1-הגדרות!$E$8*(הגדרות!$E$7+1))/הגדרות!$E$7)))</f>
        <v/>
      </c>
      <c r="J4172" s="0" t="str">
        <f aca="false">IF(I4172="","",IF(H4172-1&lt;הגדרות!$E$8*(הגדרות!$E$7+1),MOD(H4172-1,הגדרות!$E$7+1),MOD(H4172-1-הגדרות!$E$8*(הגדרות!$E$7+1),הגדרות!$E$7)))</f>
        <v/>
      </c>
      <c r="K4172" s="0" t="str">
        <f aca="false">IF(I4172="","",J4172*הגדרות!$E$6+I4172+1)</f>
        <v/>
      </c>
      <c r="L4172" s="0" t="str">
        <f aca="false">IF(K4172="","",MATCH(K4172,$F$2:$F$5001,0))</f>
        <v/>
      </c>
      <c r="M4172" s="0" t="str">
        <f aca="false">IF(I4172="","",INDEX(הגדרות!$A$2:$A$21,MOD(I4172+הגדרות!$E$9,הגדרות!$E$6)+1))</f>
        <v/>
      </c>
    </row>
    <row r="4173" customFormat="false" ht="15" hidden="false" customHeight="false" outlineLevel="0" collapsed="false">
      <c r="A4173" s="0" t="str">
        <f aca="false">IF('הדבקת לידים'!A4173="","",IF(ISNUMBER('הדבקת לידים'!A4173),IF(הגדרות!$E$2&gt;0,TEXT('הדבקת לידים'!A4173,REPT("0",הגדרות!$E$2)),TEXT('הדבקת לידים'!A4173,"0")),TRIM('הדבקת לידים'!A4173)))</f>
        <v/>
      </c>
      <c r="B4173" s="0" t="str">
        <f aca="false">IF('הדבקת לידים'!B4173="","",IF(ISNUMBER('הדבקת לידים'!B4173),IF(הגדרות!$E$3&gt;0,TEXT('הדבקת לידים'!B4173,REPT("0",הגדרות!$E$3)),TEXT('הדבקת לידים'!B4173,"0")),TRIM('הדבקת לידים'!B4173)))</f>
        <v/>
      </c>
      <c r="C4173" s="0" t="n">
        <f aca="false">IF(OR(A4173&lt;&gt;"",B4173&lt;&gt;""),1,0)</f>
        <v>0</v>
      </c>
      <c r="D4173" s="0" t="str">
        <f aca="false">IF(C4173=1,MOD(ABS(SIN(ROW()*12.9898+'הדבקת לידים'!$F$2*78.233+IFERROR(--RIGHT(A4173,6),LEN(A4173))*0.0137+IFERROR(--RIGHT(B4173,6),LEN(B4173))*0.0071))*43758.5453,1),"")</f>
        <v/>
      </c>
      <c r="E4173" s="0" t="str">
        <f aca="false">IF(C4173=1,INT(MOD(ABS(SIN(D4173*7919.123+ROW()*0.618+'הדבקת לידים'!$F$2*1.3))*43758.5453,1)*1000000)*10000+ROW(),"")</f>
        <v/>
      </c>
      <c r="F4173" s="0" t="str">
        <f aca="false">IF(E4173="","",RANK(E4173,$E$2:$E$5001,1))</f>
        <v/>
      </c>
      <c r="G4173" s="0" t="n">
        <f aca="false">IF(A4173="",0,IF(SUMPRODUCT(--($A$2:$A$5001=A4173))&gt;1,1,0))</f>
        <v>0</v>
      </c>
      <c r="H4173" s="0" t="n">
        <f aca="false">ROW()-1</f>
        <v>4172</v>
      </c>
      <c r="I4173" s="0" t="str">
        <f aca="false">IF(OR(הגדרות!$E$6=0,H4173&gt;הגדרות!$E$5),"",IF(H4173-1&lt;הגדרות!$E$8*(הגדרות!$E$7+1),INT((H4173-1)/(הגדרות!$E$7+1)),הגדרות!$E$8+INT((H4173-1-הגדרות!$E$8*(הגדרות!$E$7+1))/הגדרות!$E$7)))</f>
        <v/>
      </c>
      <c r="J4173" s="0" t="str">
        <f aca="false">IF(I4173="","",IF(H4173-1&lt;הגדרות!$E$8*(הגדרות!$E$7+1),MOD(H4173-1,הגדרות!$E$7+1),MOD(H4173-1-הגדרות!$E$8*(הגדרות!$E$7+1),הגדרות!$E$7)))</f>
        <v/>
      </c>
      <c r="K4173" s="0" t="str">
        <f aca="false">IF(I4173="","",J4173*הגדרות!$E$6+I4173+1)</f>
        <v/>
      </c>
      <c r="L4173" s="0" t="str">
        <f aca="false">IF(K4173="","",MATCH(K4173,$F$2:$F$5001,0))</f>
        <v/>
      </c>
      <c r="M4173" s="0" t="str">
        <f aca="false">IF(I4173="","",INDEX(הגדרות!$A$2:$A$21,MOD(I4173+הגדרות!$E$9,הגדרות!$E$6)+1))</f>
        <v/>
      </c>
    </row>
    <row r="4174" customFormat="false" ht="15" hidden="false" customHeight="false" outlineLevel="0" collapsed="false">
      <c r="A4174" s="0" t="str">
        <f aca="false">IF('הדבקת לידים'!A4174="","",IF(ISNUMBER('הדבקת לידים'!A4174),IF(הגדרות!$E$2&gt;0,TEXT('הדבקת לידים'!A4174,REPT("0",הגדרות!$E$2)),TEXT('הדבקת לידים'!A4174,"0")),TRIM('הדבקת לידים'!A4174)))</f>
        <v/>
      </c>
      <c r="B4174" s="0" t="str">
        <f aca="false">IF('הדבקת לידים'!B4174="","",IF(ISNUMBER('הדבקת לידים'!B4174),IF(הגדרות!$E$3&gt;0,TEXT('הדבקת לידים'!B4174,REPT("0",הגדרות!$E$3)),TEXT('הדבקת לידים'!B4174,"0")),TRIM('הדבקת לידים'!B4174)))</f>
        <v/>
      </c>
      <c r="C4174" s="0" t="n">
        <f aca="false">IF(OR(A4174&lt;&gt;"",B4174&lt;&gt;""),1,0)</f>
        <v>0</v>
      </c>
      <c r="D4174" s="0" t="str">
        <f aca="false">IF(C4174=1,MOD(ABS(SIN(ROW()*12.9898+'הדבקת לידים'!$F$2*78.233+IFERROR(--RIGHT(A4174,6),LEN(A4174))*0.0137+IFERROR(--RIGHT(B4174,6),LEN(B4174))*0.0071))*43758.5453,1),"")</f>
        <v/>
      </c>
      <c r="E4174" s="0" t="str">
        <f aca="false">IF(C4174=1,INT(MOD(ABS(SIN(D4174*7919.123+ROW()*0.618+'הדבקת לידים'!$F$2*1.3))*43758.5453,1)*1000000)*10000+ROW(),"")</f>
        <v/>
      </c>
      <c r="F4174" s="0" t="str">
        <f aca="false">IF(E4174="","",RANK(E4174,$E$2:$E$5001,1))</f>
        <v/>
      </c>
      <c r="G4174" s="0" t="n">
        <f aca="false">IF(A4174="",0,IF(SUMPRODUCT(--($A$2:$A$5001=A4174))&gt;1,1,0))</f>
        <v>0</v>
      </c>
      <c r="H4174" s="0" t="n">
        <f aca="false">ROW()-1</f>
        <v>4173</v>
      </c>
      <c r="I4174" s="0" t="str">
        <f aca="false">IF(OR(הגדרות!$E$6=0,H4174&gt;הגדרות!$E$5),"",IF(H4174-1&lt;הגדרות!$E$8*(הגדרות!$E$7+1),INT((H4174-1)/(הגדרות!$E$7+1)),הגדרות!$E$8+INT((H4174-1-הגדרות!$E$8*(הגדרות!$E$7+1))/הגדרות!$E$7)))</f>
        <v/>
      </c>
      <c r="J4174" s="0" t="str">
        <f aca="false">IF(I4174="","",IF(H4174-1&lt;הגדרות!$E$8*(הגדרות!$E$7+1),MOD(H4174-1,הגדרות!$E$7+1),MOD(H4174-1-הגדרות!$E$8*(הגדרות!$E$7+1),הגדרות!$E$7)))</f>
        <v/>
      </c>
      <c r="K4174" s="0" t="str">
        <f aca="false">IF(I4174="","",J4174*הגדרות!$E$6+I4174+1)</f>
        <v/>
      </c>
      <c r="L4174" s="0" t="str">
        <f aca="false">IF(K4174="","",MATCH(K4174,$F$2:$F$5001,0))</f>
        <v/>
      </c>
      <c r="M4174" s="0" t="str">
        <f aca="false">IF(I4174="","",INDEX(הגדרות!$A$2:$A$21,MOD(I4174+הגדרות!$E$9,הגדרות!$E$6)+1))</f>
        <v/>
      </c>
    </row>
    <row r="4175" customFormat="false" ht="15" hidden="false" customHeight="false" outlineLevel="0" collapsed="false">
      <c r="A4175" s="0" t="str">
        <f aca="false">IF('הדבקת לידים'!A4175="","",IF(ISNUMBER('הדבקת לידים'!A4175),IF(הגדרות!$E$2&gt;0,TEXT('הדבקת לידים'!A4175,REPT("0",הגדרות!$E$2)),TEXT('הדבקת לידים'!A4175,"0")),TRIM('הדבקת לידים'!A4175)))</f>
        <v/>
      </c>
      <c r="B4175" s="0" t="str">
        <f aca="false">IF('הדבקת לידים'!B4175="","",IF(ISNUMBER('הדבקת לידים'!B4175),IF(הגדרות!$E$3&gt;0,TEXT('הדבקת לידים'!B4175,REPT("0",הגדרות!$E$3)),TEXT('הדבקת לידים'!B4175,"0")),TRIM('הדבקת לידים'!B4175)))</f>
        <v/>
      </c>
      <c r="C4175" s="0" t="n">
        <f aca="false">IF(OR(A4175&lt;&gt;"",B4175&lt;&gt;""),1,0)</f>
        <v>0</v>
      </c>
      <c r="D4175" s="0" t="str">
        <f aca="false">IF(C4175=1,MOD(ABS(SIN(ROW()*12.9898+'הדבקת לידים'!$F$2*78.233+IFERROR(--RIGHT(A4175,6),LEN(A4175))*0.0137+IFERROR(--RIGHT(B4175,6),LEN(B4175))*0.0071))*43758.5453,1),"")</f>
        <v/>
      </c>
      <c r="E4175" s="0" t="str">
        <f aca="false">IF(C4175=1,INT(MOD(ABS(SIN(D4175*7919.123+ROW()*0.618+'הדבקת לידים'!$F$2*1.3))*43758.5453,1)*1000000)*10000+ROW(),"")</f>
        <v/>
      </c>
      <c r="F4175" s="0" t="str">
        <f aca="false">IF(E4175="","",RANK(E4175,$E$2:$E$5001,1))</f>
        <v/>
      </c>
      <c r="G4175" s="0" t="n">
        <f aca="false">IF(A4175="",0,IF(SUMPRODUCT(--($A$2:$A$5001=A4175))&gt;1,1,0))</f>
        <v>0</v>
      </c>
      <c r="H4175" s="0" t="n">
        <f aca="false">ROW()-1</f>
        <v>4174</v>
      </c>
      <c r="I4175" s="0" t="str">
        <f aca="false">IF(OR(הגדרות!$E$6=0,H4175&gt;הגדרות!$E$5),"",IF(H4175-1&lt;הגדרות!$E$8*(הגדרות!$E$7+1),INT((H4175-1)/(הגדרות!$E$7+1)),הגדרות!$E$8+INT((H4175-1-הגדרות!$E$8*(הגדרות!$E$7+1))/הגדרות!$E$7)))</f>
        <v/>
      </c>
      <c r="J4175" s="0" t="str">
        <f aca="false">IF(I4175="","",IF(H4175-1&lt;הגדרות!$E$8*(הגדרות!$E$7+1),MOD(H4175-1,הגדרות!$E$7+1),MOD(H4175-1-הגדרות!$E$8*(הגדרות!$E$7+1),הגדרות!$E$7)))</f>
        <v/>
      </c>
      <c r="K4175" s="0" t="str">
        <f aca="false">IF(I4175="","",J4175*הגדרות!$E$6+I4175+1)</f>
        <v/>
      </c>
      <c r="L4175" s="0" t="str">
        <f aca="false">IF(K4175="","",MATCH(K4175,$F$2:$F$5001,0))</f>
        <v/>
      </c>
      <c r="M4175" s="0" t="str">
        <f aca="false">IF(I4175="","",INDEX(הגדרות!$A$2:$A$21,MOD(I4175+הגדרות!$E$9,הגדרות!$E$6)+1))</f>
        <v/>
      </c>
    </row>
    <row r="4176" customFormat="false" ht="15" hidden="false" customHeight="false" outlineLevel="0" collapsed="false">
      <c r="A4176" s="0" t="str">
        <f aca="false">IF('הדבקת לידים'!A4176="","",IF(ISNUMBER('הדבקת לידים'!A4176),IF(הגדרות!$E$2&gt;0,TEXT('הדבקת לידים'!A4176,REPT("0",הגדרות!$E$2)),TEXT('הדבקת לידים'!A4176,"0")),TRIM('הדבקת לידים'!A4176)))</f>
        <v/>
      </c>
      <c r="B4176" s="0" t="str">
        <f aca="false">IF('הדבקת לידים'!B4176="","",IF(ISNUMBER('הדבקת לידים'!B4176),IF(הגדרות!$E$3&gt;0,TEXT('הדבקת לידים'!B4176,REPT("0",הגדרות!$E$3)),TEXT('הדבקת לידים'!B4176,"0")),TRIM('הדבקת לידים'!B4176)))</f>
        <v/>
      </c>
      <c r="C4176" s="0" t="n">
        <f aca="false">IF(OR(A4176&lt;&gt;"",B4176&lt;&gt;""),1,0)</f>
        <v>0</v>
      </c>
      <c r="D4176" s="0" t="str">
        <f aca="false">IF(C4176=1,MOD(ABS(SIN(ROW()*12.9898+'הדבקת לידים'!$F$2*78.233+IFERROR(--RIGHT(A4176,6),LEN(A4176))*0.0137+IFERROR(--RIGHT(B4176,6),LEN(B4176))*0.0071))*43758.5453,1),"")</f>
        <v/>
      </c>
      <c r="E4176" s="0" t="str">
        <f aca="false">IF(C4176=1,INT(MOD(ABS(SIN(D4176*7919.123+ROW()*0.618+'הדבקת לידים'!$F$2*1.3))*43758.5453,1)*1000000)*10000+ROW(),"")</f>
        <v/>
      </c>
      <c r="F4176" s="0" t="str">
        <f aca="false">IF(E4176="","",RANK(E4176,$E$2:$E$5001,1))</f>
        <v/>
      </c>
      <c r="G4176" s="0" t="n">
        <f aca="false">IF(A4176="",0,IF(SUMPRODUCT(--($A$2:$A$5001=A4176))&gt;1,1,0))</f>
        <v>0</v>
      </c>
      <c r="H4176" s="0" t="n">
        <f aca="false">ROW()-1</f>
        <v>4175</v>
      </c>
      <c r="I4176" s="0" t="str">
        <f aca="false">IF(OR(הגדרות!$E$6=0,H4176&gt;הגדרות!$E$5),"",IF(H4176-1&lt;הגדרות!$E$8*(הגדרות!$E$7+1),INT((H4176-1)/(הגדרות!$E$7+1)),הגדרות!$E$8+INT((H4176-1-הגדרות!$E$8*(הגדרות!$E$7+1))/הגדרות!$E$7)))</f>
        <v/>
      </c>
      <c r="J4176" s="0" t="str">
        <f aca="false">IF(I4176="","",IF(H4176-1&lt;הגדרות!$E$8*(הגדרות!$E$7+1),MOD(H4176-1,הגדרות!$E$7+1),MOD(H4176-1-הגדרות!$E$8*(הגדרות!$E$7+1),הגדרות!$E$7)))</f>
        <v/>
      </c>
      <c r="K4176" s="0" t="str">
        <f aca="false">IF(I4176="","",J4176*הגדרות!$E$6+I4176+1)</f>
        <v/>
      </c>
      <c r="L4176" s="0" t="str">
        <f aca="false">IF(K4176="","",MATCH(K4176,$F$2:$F$5001,0))</f>
        <v/>
      </c>
      <c r="M4176" s="0" t="str">
        <f aca="false">IF(I4176="","",INDEX(הגדרות!$A$2:$A$21,MOD(I4176+הגדרות!$E$9,הגדרות!$E$6)+1))</f>
        <v/>
      </c>
    </row>
    <row r="4177" customFormat="false" ht="15" hidden="false" customHeight="false" outlineLevel="0" collapsed="false">
      <c r="A4177" s="0" t="str">
        <f aca="false">IF('הדבקת לידים'!A4177="","",IF(ISNUMBER('הדבקת לידים'!A4177),IF(הגדרות!$E$2&gt;0,TEXT('הדבקת לידים'!A4177,REPT("0",הגדרות!$E$2)),TEXT('הדבקת לידים'!A4177,"0")),TRIM('הדבקת לידים'!A4177)))</f>
        <v/>
      </c>
      <c r="B4177" s="0" t="str">
        <f aca="false">IF('הדבקת לידים'!B4177="","",IF(ISNUMBER('הדבקת לידים'!B4177),IF(הגדרות!$E$3&gt;0,TEXT('הדבקת לידים'!B4177,REPT("0",הגדרות!$E$3)),TEXT('הדבקת לידים'!B4177,"0")),TRIM('הדבקת לידים'!B4177)))</f>
        <v/>
      </c>
      <c r="C4177" s="0" t="n">
        <f aca="false">IF(OR(A4177&lt;&gt;"",B4177&lt;&gt;""),1,0)</f>
        <v>0</v>
      </c>
      <c r="D4177" s="0" t="str">
        <f aca="false">IF(C4177=1,MOD(ABS(SIN(ROW()*12.9898+'הדבקת לידים'!$F$2*78.233+IFERROR(--RIGHT(A4177,6),LEN(A4177))*0.0137+IFERROR(--RIGHT(B4177,6),LEN(B4177))*0.0071))*43758.5453,1),"")</f>
        <v/>
      </c>
      <c r="E4177" s="0" t="str">
        <f aca="false">IF(C4177=1,INT(MOD(ABS(SIN(D4177*7919.123+ROW()*0.618+'הדבקת לידים'!$F$2*1.3))*43758.5453,1)*1000000)*10000+ROW(),"")</f>
        <v/>
      </c>
      <c r="F4177" s="0" t="str">
        <f aca="false">IF(E4177="","",RANK(E4177,$E$2:$E$5001,1))</f>
        <v/>
      </c>
      <c r="G4177" s="0" t="n">
        <f aca="false">IF(A4177="",0,IF(SUMPRODUCT(--($A$2:$A$5001=A4177))&gt;1,1,0))</f>
        <v>0</v>
      </c>
      <c r="H4177" s="0" t="n">
        <f aca="false">ROW()-1</f>
        <v>4176</v>
      </c>
      <c r="I4177" s="0" t="str">
        <f aca="false">IF(OR(הגדרות!$E$6=0,H4177&gt;הגדרות!$E$5),"",IF(H4177-1&lt;הגדרות!$E$8*(הגדרות!$E$7+1),INT((H4177-1)/(הגדרות!$E$7+1)),הגדרות!$E$8+INT((H4177-1-הגדרות!$E$8*(הגדרות!$E$7+1))/הגדרות!$E$7)))</f>
        <v/>
      </c>
      <c r="J4177" s="0" t="str">
        <f aca="false">IF(I4177="","",IF(H4177-1&lt;הגדרות!$E$8*(הגדרות!$E$7+1),MOD(H4177-1,הגדרות!$E$7+1),MOD(H4177-1-הגדרות!$E$8*(הגדרות!$E$7+1),הגדרות!$E$7)))</f>
        <v/>
      </c>
      <c r="K4177" s="0" t="str">
        <f aca="false">IF(I4177="","",J4177*הגדרות!$E$6+I4177+1)</f>
        <v/>
      </c>
      <c r="L4177" s="0" t="str">
        <f aca="false">IF(K4177="","",MATCH(K4177,$F$2:$F$5001,0))</f>
        <v/>
      </c>
      <c r="M4177" s="0" t="str">
        <f aca="false">IF(I4177="","",INDEX(הגדרות!$A$2:$A$21,MOD(I4177+הגדרות!$E$9,הגדרות!$E$6)+1))</f>
        <v/>
      </c>
    </row>
    <row r="4178" customFormat="false" ht="15" hidden="false" customHeight="false" outlineLevel="0" collapsed="false">
      <c r="A4178" s="0" t="str">
        <f aca="false">IF('הדבקת לידים'!A4178="","",IF(ISNUMBER('הדבקת לידים'!A4178),IF(הגדרות!$E$2&gt;0,TEXT('הדבקת לידים'!A4178,REPT("0",הגדרות!$E$2)),TEXT('הדבקת לידים'!A4178,"0")),TRIM('הדבקת לידים'!A4178)))</f>
        <v/>
      </c>
      <c r="B4178" s="0" t="str">
        <f aca="false">IF('הדבקת לידים'!B4178="","",IF(ISNUMBER('הדבקת לידים'!B4178),IF(הגדרות!$E$3&gt;0,TEXT('הדבקת לידים'!B4178,REPT("0",הגדרות!$E$3)),TEXT('הדבקת לידים'!B4178,"0")),TRIM('הדבקת לידים'!B4178)))</f>
        <v/>
      </c>
      <c r="C4178" s="0" t="n">
        <f aca="false">IF(OR(A4178&lt;&gt;"",B4178&lt;&gt;""),1,0)</f>
        <v>0</v>
      </c>
      <c r="D4178" s="0" t="str">
        <f aca="false">IF(C4178=1,MOD(ABS(SIN(ROW()*12.9898+'הדבקת לידים'!$F$2*78.233+IFERROR(--RIGHT(A4178,6),LEN(A4178))*0.0137+IFERROR(--RIGHT(B4178,6),LEN(B4178))*0.0071))*43758.5453,1),"")</f>
        <v/>
      </c>
      <c r="E4178" s="0" t="str">
        <f aca="false">IF(C4178=1,INT(MOD(ABS(SIN(D4178*7919.123+ROW()*0.618+'הדבקת לידים'!$F$2*1.3))*43758.5453,1)*1000000)*10000+ROW(),"")</f>
        <v/>
      </c>
      <c r="F4178" s="0" t="str">
        <f aca="false">IF(E4178="","",RANK(E4178,$E$2:$E$5001,1))</f>
        <v/>
      </c>
      <c r="G4178" s="0" t="n">
        <f aca="false">IF(A4178="",0,IF(SUMPRODUCT(--($A$2:$A$5001=A4178))&gt;1,1,0))</f>
        <v>0</v>
      </c>
      <c r="H4178" s="0" t="n">
        <f aca="false">ROW()-1</f>
        <v>4177</v>
      </c>
      <c r="I4178" s="0" t="str">
        <f aca="false">IF(OR(הגדרות!$E$6=0,H4178&gt;הגדרות!$E$5),"",IF(H4178-1&lt;הגדרות!$E$8*(הגדרות!$E$7+1),INT((H4178-1)/(הגדרות!$E$7+1)),הגדרות!$E$8+INT((H4178-1-הגדרות!$E$8*(הגדרות!$E$7+1))/הגדרות!$E$7)))</f>
        <v/>
      </c>
      <c r="J4178" s="0" t="str">
        <f aca="false">IF(I4178="","",IF(H4178-1&lt;הגדרות!$E$8*(הגדרות!$E$7+1),MOD(H4178-1,הגדרות!$E$7+1),MOD(H4178-1-הגדרות!$E$8*(הגדרות!$E$7+1),הגדרות!$E$7)))</f>
        <v/>
      </c>
      <c r="K4178" s="0" t="str">
        <f aca="false">IF(I4178="","",J4178*הגדרות!$E$6+I4178+1)</f>
        <v/>
      </c>
      <c r="L4178" s="0" t="str">
        <f aca="false">IF(K4178="","",MATCH(K4178,$F$2:$F$5001,0))</f>
        <v/>
      </c>
      <c r="M4178" s="0" t="str">
        <f aca="false">IF(I4178="","",INDEX(הגדרות!$A$2:$A$21,MOD(I4178+הגדרות!$E$9,הגדרות!$E$6)+1))</f>
        <v/>
      </c>
    </row>
    <row r="4179" customFormat="false" ht="15" hidden="false" customHeight="false" outlineLevel="0" collapsed="false">
      <c r="A4179" s="0" t="str">
        <f aca="false">IF('הדבקת לידים'!A4179="","",IF(ISNUMBER('הדבקת לידים'!A4179),IF(הגדרות!$E$2&gt;0,TEXT('הדבקת לידים'!A4179,REPT("0",הגדרות!$E$2)),TEXT('הדבקת לידים'!A4179,"0")),TRIM('הדבקת לידים'!A4179)))</f>
        <v/>
      </c>
      <c r="B4179" s="0" t="str">
        <f aca="false">IF('הדבקת לידים'!B4179="","",IF(ISNUMBER('הדבקת לידים'!B4179),IF(הגדרות!$E$3&gt;0,TEXT('הדבקת לידים'!B4179,REPT("0",הגדרות!$E$3)),TEXT('הדבקת לידים'!B4179,"0")),TRIM('הדבקת לידים'!B4179)))</f>
        <v/>
      </c>
      <c r="C4179" s="0" t="n">
        <f aca="false">IF(OR(A4179&lt;&gt;"",B4179&lt;&gt;""),1,0)</f>
        <v>0</v>
      </c>
      <c r="D4179" s="0" t="str">
        <f aca="false">IF(C4179=1,MOD(ABS(SIN(ROW()*12.9898+'הדבקת לידים'!$F$2*78.233+IFERROR(--RIGHT(A4179,6),LEN(A4179))*0.0137+IFERROR(--RIGHT(B4179,6),LEN(B4179))*0.0071))*43758.5453,1),"")</f>
        <v/>
      </c>
      <c r="E4179" s="0" t="str">
        <f aca="false">IF(C4179=1,INT(MOD(ABS(SIN(D4179*7919.123+ROW()*0.618+'הדבקת לידים'!$F$2*1.3))*43758.5453,1)*1000000)*10000+ROW(),"")</f>
        <v/>
      </c>
      <c r="F4179" s="0" t="str">
        <f aca="false">IF(E4179="","",RANK(E4179,$E$2:$E$5001,1))</f>
        <v/>
      </c>
      <c r="G4179" s="0" t="n">
        <f aca="false">IF(A4179="",0,IF(SUMPRODUCT(--($A$2:$A$5001=A4179))&gt;1,1,0))</f>
        <v>0</v>
      </c>
      <c r="H4179" s="0" t="n">
        <f aca="false">ROW()-1</f>
        <v>4178</v>
      </c>
      <c r="I4179" s="0" t="str">
        <f aca="false">IF(OR(הגדרות!$E$6=0,H4179&gt;הגדרות!$E$5),"",IF(H4179-1&lt;הגדרות!$E$8*(הגדרות!$E$7+1),INT((H4179-1)/(הגדרות!$E$7+1)),הגדרות!$E$8+INT((H4179-1-הגדרות!$E$8*(הגדרות!$E$7+1))/הגדרות!$E$7)))</f>
        <v/>
      </c>
      <c r="J4179" s="0" t="str">
        <f aca="false">IF(I4179="","",IF(H4179-1&lt;הגדרות!$E$8*(הגדרות!$E$7+1),MOD(H4179-1,הגדרות!$E$7+1),MOD(H4179-1-הגדרות!$E$8*(הגדרות!$E$7+1),הגדרות!$E$7)))</f>
        <v/>
      </c>
      <c r="K4179" s="0" t="str">
        <f aca="false">IF(I4179="","",J4179*הגדרות!$E$6+I4179+1)</f>
        <v/>
      </c>
      <c r="L4179" s="0" t="str">
        <f aca="false">IF(K4179="","",MATCH(K4179,$F$2:$F$5001,0))</f>
        <v/>
      </c>
      <c r="M4179" s="0" t="str">
        <f aca="false">IF(I4179="","",INDEX(הגדרות!$A$2:$A$21,MOD(I4179+הגדרות!$E$9,הגדרות!$E$6)+1))</f>
        <v/>
      </c>
    </row>
    <row r="4180" customFormat="false" ht="15" hidden="false" customHeight="false" outlineLevel="0" collapsed="false">
      <c r="A4180" s="0" t="str">
        <f aca="false">IF('הדבקת לידים'!A4180="","",IF(ISNUMBER('הדבקת לידים'!A4180),IF(הגדרות!$E$2&gt;0,TEXT('הדבקת לידים'!A4180,REPT("0",הגדרות!$E$2)),TEXT('הדבקת לידים'!A4180,"0")),TRIM('הדבקת לידים'!A4180)))</f>
        <v/>
      </c>
      <c r="B4180" s="0" t="str">
        <f aca="false">IF('הדבקת לידים'!B4180="","",IF(ISNUMBER('הדבקת לידים'!B4180),IF(הגדרות!$E$3&gt;0,TEXT('הדבקת לידים'!B4180,REPT("0",הגדרות!$E$3)),TEXT('הדבקת לידים'!B4180,"0")),TRIM('הדבקת לידים'!B4180)))</f>
        <v/>
      </c>
      <c r="C4180" s="0" t="n">
        <f aca="false">IF(OR(A4180&lt;&gt;"",B4180&lt;&gt;""),1,0)</f>
        <v>0</v>
      </c>
      <c r="D4180" s="0" t="str">
        <f aca="false">IF(C4180=1,MOD(ABS(SIN(ROW()*12.9898+'הדבקת לידים'!$F$2*78.233+IFERROR(--RIGHT(A4180,6),LEN(A4180))*0.0137+IFERROR(--RIGHT(B4180,6),LEN(B4180))*0.0071))*43758.5453,1),"")</f>
        <v/>
      </c>
      <c r="E4180" s="0" t="str">
        <f aca="false">IF(C4180=1,INT(MOD(ABS(SIN(D4180*7919.123+ROW()*0.618+'הדבקת לידים'!$F$2*1.3))*43758.5453,1)*1000000)*10000+ROW(),"")</f>
        <v/>
      </c>
      <c r="F4180" s="0" t="str">
        <f aca="false">IF(E4180="","",RANK(E4180,$E$2:$E$5001,1))</f>
        <v/>
      </c>
      <c r="G4180" s="0" t="n">
        <f aca="false">IF(A4180="",0,IF(SUMPRODUCT(--($A$2:$A$5001=A4180))&gt;1,1,0))</f>
        <v>0</v>
      </c>
      <c r="H4180" s="0" t="n">
        <f aca="false">ROW()-1</f>
        <v>4179</v>
      </c>
      <c r="I4180" s="0" t="str">
        <f aca="false">IF(OR(הגדרות!$E$6=0,H4180&gt;הגדרות!$E$5),"",IF(H4180-1&lt;הגדרות!$E$8*(הגדרות!$E$7+1),INT((H4180-1)/(הגדרות!$E$7+1)),הגדרות!$E$8+INT((H4180-1-הגדרות!$E$8*(הגדרות!$E$7+1))/הגדרות!$E$7)))</f>
        <v/>
      </c>
      <c r="J4180" s="0" t="str">
        <f aca="false">IF(I4180="","",IF(H4180-1&lt;הגדרות!$E$8*(הגדרות!$E$7+1),MOD(H4180-1,הגדרות!$E$7+1),MOD(H4180-1-הגדרות!$E$8*(הגדרות!$E$7+1),הגדרות!$E$7)))</f>
        <v/>
      </c>
      <c r="K4180" s="0" t="str">
        <f aca="false">IF(I4180="","",J4180*הגדרות!$E$6+I4180+1)</f>
        <v/>
      </c>
      <c r="L4180" s="0" t="str">
        <f aca="false">IF(K4180="","",MATCH(K4180,$F$2:$F$5001,0))</f>
        <v/>
      </c>
      <c r="M4180" s="0" t="str">
        <f aca="false">IF(I4180="","",INDEX(הגדרות!$A$2:$A$21,MOD(I4180+הגדרות!$E$9,הגדרות!$E$6)+1))</f>
        <v/>
      </c>
    </row>
    <row r="4181" customFormat="false" ht="15" hidden="false" customHeight="false" outlineLevel="0" collapsed="false">
      <c r="A4181" s="0" t="str">
        <f aca="false">IF('הדבקת לידים'!A4181="","",IF(ISNUMBER('הדבקת לידים'!A4181),IF(הגדרות!$E$2&gt;0,TEXT('הדבקת לידים'!A4181,REPT("0",הגדרות!$E$2)),TEXT('הדבקת לידים'!A4181,"0")),TRIM('הדבקת לידים'!A4181)))</f>
        <v/>
      </c>
      <c r="B4181" s="0" t="str">
        <f aca="false">IF('הדבקת לידים'!B4181="","",IF(ISNUMBER('הדבקת לידים'!B4181),IF(הגדרות!$E$3&gt;0,TEXT('הדבקת לידים'!B4181,REPT("0",הגדרות!$E$3)),TEXT('הדבקת לידים'!B4181,"0")),TRIM('הדבקת לידים'!B4181)))</f>
        <v/>
      </c>
      <c r="C4181" s="0" t="n">
        <f aca="false">IF(OR(A4181&lt;&gt;"",B4181&lt;&gt;""),1,0)</f>
        <v>0</v>
      </c>
      <c r="D4181" s="0" t="str">
        <f aca="false">IF(C4181=1,MOD(ABS(SIN(ROW()*12.9898+'הדבקת לידים'!$F$2*78.233+IFERROR(--RIGHT(A4181,6),LEN(A4181))*0.0137+IFERROR(--RIGHT(B4181,6),LEN(B4181))*0.0071))*43758.5453,1),"")</f>
        <v/>
      </c>
      <c r="E4181" s="0" t="str">
        <f aca="false">IF(C4181=1,INT(MOD(ABS(SIN(D4181*7919.123+ROW()*0.618+'הדבקת לידים'!$F$2*1.3))*43758.5453,1)*1000000)*10000+ROW(),"")</f>
        <v/>
      </c>
      <c r="F4181" s="0" t="str">
        <f aca="false">IF(E4181="","",RANK(E4181,$E$2:$E$5001,1))</f>
        <v/>
      </c>
      <c r="G4181" s="0" t="n">
        <f aca="false">IF(A4181="",0,IF(SUMPRODUCT(--($A$2:$A$5001=A4181))&gt;1,1,0))</f>
        <v>0</v>
      </c>
      <c r="H4181" s="0" t="n">
        <f aca="false">ROW()-1</f>
        <v>4180</v>
      </c>
      <c r="I4181" s="0" t="str">
        <f aca="false">IF(OR(הגדרות!$E$6=0,H4181&gt;הגדרות!$E$5),"",IF(H4181-1&lt;הגדרות!$E$8*(הגדרות!$E$7+1),INT((H4181-1)/(הגדרות!$E$7+1)),הגדרות!$E$8+INT((H4181-1-הגדרות!$E$8*(הגדרות!$E$7+1))/הגדרות!$E$7)))</f>
        <v/>
      </c>
      <c r="J4181" s="0" t="str">
        <f aca="false">IF(I4181="","",IF(H4181-1&lt;הגדרות!$E$8*(הגדרות!$E$7+1),MOD(H4181-1,הגדרות!$E$7+1),MOD(H4181-1-הגדרות!$E$8*(הגדרות!$E$7+1),הגדרות!$E$7)))</f>
        <v/>
      </c>
      <c r="K4181" s="0" t="str">
        <f aca="false">IF(I4181="","",J4181*הגדרות!$E$6+I4181+1)</f>
        <v/>
      </c>
      <c r="L4181" s="0" t="str">
        <f aca="false">IF(K4181="","",MATCH(K4181,$F$2:$F$5001,0))</f>
        <v/>
      </c>
      <c r="M4181" s="0" t="str">
        <f aca="false">IF(I4181="","",INDEX(הגדרות!$A$2:$A$21,MOD(I4181+הגדרות!$E$9,הגדרות!$E$6)+1))</f>
        <v/>
      </c>
    </row>
    <row r="4182" customFormat="false" ht="15" hidden="false" customHeight="false" outlineLevel="0" collapsed="false">
      <c r="A4182" s="0" t="str">
        <f aca="false">IF('הדבקת לידים'!A4182="","",IF(ISNUMBER('הדבקת לידים'!A4182),IF(הגדרות!$E$2&gt;0,TEXT('הדבקת לידים'!A4182,REPT("0",הגדרות!$E$2)),TEXT('הדבקת לידים'!A4182,"0")),TRIM('הדבקת לידים'!A4182)))</f>
        <v/>
      </c>
      <c r="B4182" s="0" t="str">
        <f aca="false">IF('הדבקת לידים'!B4182="","",IF(ISNUMBER('הדבקת לידים'!B4182),IF(הגדרות!$E$3&gt;0,TEXT('הדבקת לידים'!B4182,REPT("0",הגדרות!$E$3)),TEXT('הדבקת לידים'!B4182,"0")),TRIM('הדבקת לידים'!B4182)))</f>
        <v/>
      </c>
      <c r="C4182" s="0" t="n">
        <f aca="false">IF(OR(A4182&lt;&gt;"",B4182&lt;&gt;""),1,0)</f>
        <v>0</v>
      </c>
      <c r="D4182" s="0" t="str">
        <f aca="false">IF(C4182=1,MOD(ABS(SIN(ROW()*12.9898+'הדבקת לידים'!$F$2*78.233+IFERROR(--RIGHT(A4182,6),LEN(A4182))*0.0137+IFERROR(--RIGHT(B4182,6),LEN(B4182))*0.0071))*43758.5453,1),"")</f>
        <v/>
      </c>
      <c r="E4182" s="0" t="str">
        <f aca="false">IF(C4182=1,INT(MOD(ABS(SIN(D4182*7919.123+ROW()*0.618+'הדבקת לידים'!$F$2*1.3))*43758.5453,1)*1000000)*10000+ROW(),"")</f>
        <v/>
      </c>
      <c r="F4182" s="0" t="str">
        <f aca="false">IF(E4182="","",RANK(E4182,$E$2:$E$5001,1))</f>
        <v/>
      </c>
      <c r="G4182" s="0" t="n">
        <f aca="false">IF(A4182="",0,IF(SUMPRODUCT(--($A$2:$A$5001=A4182))&gt;1,1,0))</f>
        <v>0</v>
      </c>
      <c r="H4182" s="0" t="n">
        <f aca="false">ROW()-1</f>
        <v>4181</v>
      </c>
      <c r="I4182" s="0" t="str">
        <f aca="false">IF(OR(הגדרות!$E$6=0,H4182&gt;הגדרות!$E$5),"",IF(H4182-1&lt;הגדרות!$E$8*(הגדרות!$E$7+1),INT((H4182-1)/(הגדרות!$E$7+1)),הגדרות!$E$8+INT((H4182-1-הגדרות!$E$8*(הגדרות!$E$7+1))/הגדרות!$E$7)))</f>
        <v/>
      </c>
      <c r="J4182" s="0" t="str">
        <f aca="false">IF(I4182="","",IF(H4182-1&lt;הגדרות!$E$8*(הגדרות!$E$7+1),MOD(H4182-1,הגדרות!$E$7+1),MOD(H4182-1-הגדרות!$E$8*(הגדרות!$E$7+1),הגדרות!$E$7)))</f>
        <v/>
      </c>
      <c r="K4182" s="0" t="str">
        <f aca="false">IF(I4182="","",J4182*הגדרות!$E$6+I4182+1)</f>
        <v/>
      </c>
      <c r="L4182" s="0" t="str">
        <f aca="false">IF(K4182="","",MATCH(K4182,$F$2:$F$5001,0))</f>
        <v/>
      </c>
      <c r="M4182" s="0" t="str">
        <f aca="false">IF(I4182="","",INDEX(הגדרות!$A$2:$A$21,MOD(I4182+הגדרות!$E$9,הגדרות!$E$6)+1))</f>
        <v/>
      </c>
    </row>
    <row r="4183" customFormat="false" ht="15" hidden="false" customHeight="false" outlineLevel="0" collapsed="false">
      <c r="A4183" s="0" t="str">
        <f aca="false">IF('הדבקת לידים'!A4183="","",IF(ISNUMBER('הדבקת לידים'!A4183),IF(הגדרות!$E$2&gt;0,TEXT('הדבקת לידים'!A4183,REPT("0",הגדרות!$E$2)),TEXT('הדבקת לידים'!A4183,"0")),TRIM('הדבקת לידים'!A4183)))</f>
        <v/>
      </c>
      <c r="B4183" s="0" t="str">
        <f aca="false">IF('הדבקת לידים'!B4183="","",IF(ISNUMBER('הדבקת לידים'!B4183),IF(הגדרות!$E$3&gt;0,TEXT('הדבקת לידים'!B4183,REPT("0",הגדרות!$E$3)),TEXT('הדבקת לידים'!B4183,"0")),TRIM('הדבקת לידים'!B4183)))</f>
        <v/>
      </c>
      <c r="C4183" s="0" t="n">
        <f aca="false">IF(OR(A4183&lt;&gt;"",B4183&lt;&gt;""),1,0)</f>
        <v>0</v>
      </c>
      <c r="D4183" s="0" t="str">
        <f aca="false">IF(C4183=1,MOD(ABS(SIN(ROW()*12.9898+'הדבקת לידים'!$F$2*78.233+IFERROR(--RIGHT(A4183,6),LEN(A4183))*0.0137+IFERROR(--RIGHT(B4183,6),LEN(B4183))*0.0071))*43758.5453,1),"")</f>
        <v/>
      </c>
      <c r="E4183" s="0" t="str">
        <f aca="false">IF(C4183=1,INT(MOD(ABS(SIN(D4183*7919.123+ROW()*0.618+'הדבקת לידים'!$F$2*1.3))*43758.5453,1)*1000000)*10000+ROW(),"")</f>
        <v/>
      </c>
      <c r="F4183" s="0" t="str">
        <f aca="false">IF(E4183="","",RANK(E4183,$E$2:$E$5001,1))</f>
        <v/>
      </c>
      <c r="G4183" s="0" t="n">
        <f aca="false">IF(A4183="",0,IF(SUMPRODUCT(--($A$2:$A$5001=A4183))&gt;1,1,0))</f>
        <v>0</v>
      </c>
      <c r="H4183" s="0" t="n">
        <f aca="false">ROW()-1</f>
        <v>4182</v>
      </c>
      <c r="I4183" s="0" t="str">
        <f aca="false">IF(OR(הגדרות!$E$6=0,H4183&gt;הגדרות!$E$5),"",IF(H4183-1&lt;הגדרות!$E$8*(הגדרות!$E$7+1),INT((H4183-1)/(הגדרות!$E$7+1)),הגדרות!$E$8+INT((H4183-1-הגדרות!$E$8*(הגדרות!$E$7+1))/הגדרות!$E$7)))</f>
        <v/>
      </c>
      <c r="J4183" s="0" t="str">
        <f aca="false">IF(I4183="","",IF(H4183-1&lt;הגדרות!$E$8*(הגדרות!$E$7+1),MOD(H4183-1,הגדרות!$E$7+1),MOD(H4183-1-הגדרות!$E$8*(הגדרות!$E$7+1),הגדרות!$E$7)))</f>
        <v/>
      </c>
      <c r="K4183" s="0" t="str">
        <f aca="false">IF(I4183="","",J4183*הגדרות!$E$6+I4183+1)</f>
        <v/>
      </c>
      <c r="L4183" s="0" t="str">
        <f aca="false">IF(K4183="","",MATCH(K4183,$F$2:$F$5001,0))</f>
        <v/>
      </c>
      <c r="M4183" s="0" t="str">
        <f aca="false">IF(I4183="","",INDEX(הגדרות!$A$2:$A$21,MOD(I4183+הגדרות!$E$9,הגדרות!$E$6)+1))</f>
        <v/>
      </c>
    </row>
    <row r="4184" customFormat="false" ht="15" hidden="false" customHeight="false" outlineLevel="0" collapsed="false">
      <c r="A4184" s="0" t="str">
        <f aca="false">IF('הדבקת לידים'!A4184="","",IF(ISNUMBER('הדבקת לידים'!A4184),IF(הגדרות!$E$2&gt;0,TEXT('הדבקת לידים'!A4184,REPT("0",הגדרות!$E$2)),TEXT('הדבקת לידים'!A4184,"0")),TRIM('הדבקת לידים'!A4184)))</f>
        <v/>
      </c>
      <c r="B4184" s="0" t="str">
        <f aca="false">IF('הדבקת לידים'!B4184="","",IF(ISNUMBER('הדבקת לידים'!B4184),IF(הגדרות!$E$3&gt;0,TEXT('הדבקת לידים'!B4184,REPT("0",הגדרות!$E$3)),TEXT('הדבקת לידים'!B4184,"0")),TRIM('הדבקת לידים'!B4184)))</f>
        <v/>
      </c>
      <c r="C4184" s="0" t="n">
        <f aca="false">IF(OR(A4184&lt;&gt;"",B4184&lt;&gt;""),1,0)</f>
        <v>0</v>
      </c>
      <c r="D4184" s="0" t="str">
        <f aca="false">IF(C4184=1,MOD(ABS(SIN(ROW()*12.9898+'הדבקת לידים'!$F$2*78.233+IFERROR(--RIGHT(A4184,6),LEN(A4184))*0.0137+IFERROR(--RIGHT(B4184,6),LEN(B4184))*0.0071))*43758.5453,1),"")</f>
        <v/>
      </c>
      <c r="E4184" s="0" t="str">
        <f aca="false">IF(C4184=1,INT(MOD(ABS(SIN(D4184*7919.123+ROW()*0.618+'הדבקת לידים'!$F$2*1.3))*43758.5453,1)*1000000)*10000+ROW(),"")</f>
        <v/>
      </c>
      <c r="F4184" s="0" t="str">
        <f aca="false">IF(E4184="","",RANK(E4184,$E$2:$E$5001,1))</f>
        <v/>
      </c>
      <c r="G4184" s="0" t="n">
        <f aca="false">IF(A4184="",0,IF(SUMPRODUCT(--($A$2:$A$5001=A4184))&gt;1,1,0))</f>
        <v>0</v>
      </c>
      <c r="H4184" s="0" t="n">
        <f aca="false">ROW()-1</f>
        <v>4183</v>
      </c>
      <c r="I4184" s="0" t="str">
        <f aca="false">IF(OR(הגדרות!$E$6=0,H4184&gt;הגדרות!$E$5),"",IF(H4184-1&lt;הגדרות!$E$8*(הגדרות!$E$7+1),INT((H4184-1)/(הגדרות!$E$7+1)),הגדרות!$E$8+INT((H4184-1-הגדרות!$E$8*(הגדרות!$E$7+1))/הגדרות!$E$7)))</f>
        <v/>
      </c>
      <c r="J4184" s="0" t="str">
        <f aca="false">IF(I4184="","",IF(H4184-1&lt;הגדרות!$E$8*(הגדרות!$E$7+1),MOD(H4184-1,הגדרות!$E$7+1),MOD(H4184-1-הגדרות!$E$8*(הגדרות!$E$7+1),הגדרות!$E$7)))</f>
        <v/>
      </c>
      <c r="K4184" s="0" t="str">
        <f aca="false">IF(I4184="","",J4184*הגדרות!$E$6+I4184+1)</f>
        <v/>
      </c>
      <c r="L4184" s="0" t="str">
        <f aca="false">IF(K4184="","",MATCH(K4184,$F$2:$F$5001,0))</f>
        <v/>
      </c>
      <c r="M4184" s="0" t="str">
        <f aca="false">IF(I4184="","",INDEX(הגדרות!$A$2:$A$21,MOD(I4184+הגדרות!$E$9,הגדרות!$E$6)+1))</f>
        <v/>
      </c>
    </row>
    <row r="4185" customFormat="false" ht="15" hidden="false" customHeight="false" outlineLevel="0" collapsed="false">
      <c r="A4185" s="0" t="str">
        <f aca="false">IF('הדבקת לידים'!A4185="","",IF(ISNUMBER('הדבקת לידים'!A4185),IF(הגדרות!$E$2&gt;0,TEXT('הדבקת לידים'!A4185,REPT("0",הגדרות!$E$2)),TEXT('הדבקת לידים'!A4185,"0")),TRIM('הדבקת לידים'!A4185)))</f>
        <v/>
      </c>
      <c r="B4185" s="0" t="str">
        <f aca="false">IF('הדבקת לידים'!B4185="","",IF(ISNUMBER('הדבקת לידים'!B4185),IF(הגדרות!$E$3&gt;0,TEXT('הדבקת לידים'!B4185,REPT("0",הגדרות!$E$3)),TEXT('הדבקת לידים'!B4185,"0")),TRIM('הדבקת לידים'!B4185)))</f>
        <v/>
      </c>
      <c r="C4185" s="0" t="n">
        <f aca="false">IF(OR(A4185&lt;&gt;"",B4185&lt;&gt;""),1,0)</f>
        <v>0</v>
      </c>
      <c r="D4185" s="0" t="str">
        <f aca="false">IF(C4185=1,MOD(ABS(SIN(ROW()*12.9898+'הדבקת לידים'!$F$2*78.233+IFERROR(--RIGHT(A4185,6),LEN(A4185))*0.0137+IFERROR(--RIGHT(B4185,6),LEN(B4185))*0.0071))*43758.5453,1),"")</f>
        <v/>
      </c>
      <c r="E4185" s="0" t="str">
        <f aca="false">IF(C4185=1,INT(MOD(ABS(SIN(D4185*7919.123+ROW()*0.618+'הדבקת לידים'!$F$2*1.3))*43758.5453,1)*1000000)*10000+ROW(),"")</f>
        <v/>
      </c>
      <c r="F4185" s="0" t="str">
        <f aca="false">IF(E4185="","",RANK(E4185,$E$2:$E$5001,1))</f>
        <v/>
      </c>
      <c r="G4185" s="0" t="n">
        <f aca="false">IF(A4185="",0,IF(SUMPRODUCT(--($A$2:$A$5001=A4185))&gt;1,1,0))</f>
        <v>0</v>
      </c>
      <c r="H4185" s="0" t="n">
        <f aca="false">ROW()-1</f>
        <v>4184</v>
      </c>
      <c r="I4185" s="0" t="str">
        <f aca="false">IF(OR(הגדרות!$E$6=0,H4185&gt;הגדרות!$E$5),"",IF(H4185-1&lt;הגדרות!$E$8*(הגדרות!$E$7+1),INT((H4185-1)/(הגדרות!$E$7+1)),הגדרות!$E$8+INT((H4185-1-הגדרות!$E$8*(הגדרות!$E$7+1))/הגדרות!$E$7)))</f>
        <v/>
      </c>
      <c r="J4185" s="0" t="str">
        <f aca="false">IF(I4185="","",IF(H4185-1&lt;הגדרות!$E$8*(הגדרות!$E$7+1),MOD(H4185-1,הגדרות!$E$7+1),MOD(H4185-1-הגדרות!$E$8*(הגדרות!$E$7+1),הגדרות!$E$7)))</f>
        <v/>
      </c>
      <c r="K4185" s="0" t="str">
        <f aca="false">IF(I4185="","",J4185*הגדרות!$E$6+I4185+1)</f>
        <v/>
      </c>
      <c r="L4185" s="0" t="str">
        <f aca="false">IF(K4185="","",MATCH(K4185,$F$2:$F$5001,0))</f>
        <v/>
      </c>
      <c r="M4185" s="0" t="str">
        <f aca="false">IF(I4185="","",INDEX(הגדרות!$A$2:$A$21,MOD(I4185+הגדרות!$E$9,הגדרות!$E$6)+1))</f>
        <v/>
      </c>
    </row>
    <row r="4186" customFormat="false" ht="15" hidden="false" customHeight="false" outlineLevel="0" collapsed="false">
      <c r="A4186" s="0" t="str">
        <f aca="false">IF('הדבקת לידים'!A4186="","",IF(ISNUMBER('הדבקת לידים'!A4186),IF(הגדרות!$E$2&gt;0,TEXT('הדבקת לידים'!A4186,REPT("0",הגדרות!$E$2)),TEXT('הדבקת לידים'!A4186,"0")),TRIM('הדבקת לידים'!A4186)))</f>
        <v/>
      </c>
      <c r="B4186" s="0" t="str">
        <f aca="false">IF('הדבקת לידים'!B4186="","",IF(ISNUMBER('הדבקת לידים'!B4186),IF(הגדרות!$E$3&gt;0,TEXT('הדבקת לידים'!B4186,REPT("0",הגדרות!$E$3)),TEXT('הדבקת לידים'!B4186,"0")),TRIM('הדבקת לידים'!B4186)))</f>
        <v/>
      </c>
      <c r="C4186" s="0" t="n">
        <f aca="false">IF(OR(A4186&lt;&gt;"",B4186&lt;&gt;""),1,0)</f>
        <v>0</v>
      </c>
      <c r="D4186" s="0" t="str">
        <f aca="false">IF(C4186=1,MOD(ABS(SIN(ROW()*12.9898+'הדבקת לידים'!$F$2*78.233+IFERROR(--RIGHT(A4186,6),LEN(A4186))*0.0137+IFERROR(--RIGHT(B4186,6),LEN(B4186))*0.0071))*43758.5453,1),"")</f>
        <v/>
      </c>
      <c r="E4186" s="0" t="str">
        <f aca="false">IF(C4186=1,INT(MOD(ABS(SIN(D4186*7919.123+ROW()*0.618+'הדבקת לידים'!$F$2*1.3))*43758.5453,1)*1000000)*10000+ROW(),"")</f>
        <v/>
      </c>
      <c r="F4186" s="0" t="str">
        <f aca="false">IF(E4186="","",RANK(E4186,$E$2:$E$5001,1))</f>
        <v/>
      </c>
      <c r="G4186" s="0" t="n">
        <f aca="false">IF(A4186="",0,IF(SUMPRODUCT(--($A$2:$A$5001=A4186))&gt;1,1,0))</f>
        <v>0</v>
      </c>
      <c r="H4186" s="0" t="n">
        <f aca="false">ROW()-1</f>
        <v>4185</v>
      </c>
      <c r="I4186" s="0" t="str">
        <f aca="false">IF(OR(הגדרות!$E$6=0,H4186&gt;הגדרות!$E$5),"",IF(H4186-1&lt;הגדרות!$E$8*(הגדרות!$E$7+1),INT((H4186-1)/(הגדרות!$E$7+1)),הגדרות!$E$8+INT((H4186-1-הגדרות!$E$8*(הגדרות!$E$7+1))/הגדרות!$E$7)))</f>
        <v/>
      </c>
      <c r="J4186" s="0" t="str">
        <f aca="false">IF(I4186="","",IF(H4186-1&lt;הגדרות!$E$8*(הגדרות!$E$7+1),MOD(H4186-1,הגדרות!$E$7+1),MOD(H4186-1-הגדרות!$E$8*(הגדרות!$E$7+1),הגדרות!$E$7)))</f>
        <v/>
      </c>
      <c r="K4186" s="0" t="str">
        <f aca="false">IF(I4186="","",J4186*הגדרות!$E$6+I4186+1)</f>
        <v/>
      </c>
      <c r="L4186" s="0" t="str">
        <f aca="false">IF(K4186="","",MATCH(K4186,$F$2:$F$5001,0))</f>
        <v/>
      </c>
      <c r="M4186" s="0" t="str">
        <f aca="false">IF(I4186="","",INDEX(הגדרות!$A$2:$A$21,MOD(I4186+הגדרות!$E$9,הגדרות!$E$6)+1))</f>
        <v/>
      </c>
    </row>
    <row r="4187" customFormat="false" ht="15" hidden="false" customHeight="false" outlineLevel="0" collapsed="false">
      <c r="A4187" s="0" t="str">
        <f aca="false">IF('הדבקת לידים'!A4187="","",IF(ISNUMBER('הדבקת לידים'!A4187),IF(הגדרות!$E$2&gt;0,TEXT('הדבקת לידים'!A4187,REPT("0",הגדרות!$E$2)),TEXT('הדבקת לידים'!A4187,"0")),TRIM('הדבקת לידים'!A4187)))</f>
        <v/>
      </c>
      <c r="B4187" s="0" t="str">
        <f aca="false">IF('הדבקת לידים'!B4187="","",IF(ISNUMBER('הדבקת לידים'!B4187),IF(הגדרות!$E$3&gt;0,TEXT('הדבקת לידים'!B4187,REPT("0",הגדרות!$E$3)),TEXT('הדבקת לידים'!B4187,"0")),TRIM('הדבקת לידים'!B4187)))</f>
        <v/>
      </c>
      <c r="C4187" s="0" t="n">
        <f aca="false">IF(OR(A4187&lt;&gt;"",B4187&lt;&gt;""),1,0)</f>
        <v>0</v>
      </c>
      <c r="D4187" s="0" t="str">
        <f aca="false">IF(C4187=1,MOD(ABS(SIN(ROW()*12.9898+'הדבקת לידים'!$F$2*78.233+IFERROR(--RIGHT(A4187,6),LEN(A4187))*0.0137+IFERROR(--RIGHT(B4187,6),LEN(B4187))*0.0071))*43758.5453,1),"")</f>
        <v/>
      </c>
      <c r="E4187" s="0" t="str">
        <f aca="false">IF(C4187=1,INT(MOD(ABS(SIN(D4187*7919.123+ROW()*0.618+'הדבקת לידים'!$F$2*1.3))*43758.5453,1)*1000000)*10000+ROW(),"")</f>
        <v/>
      </c>
      <c r="F4187" s="0" t="str">
        <f aca="false">IF(E4187="","",RANK(E4187,$E$2:$E$5001,1))</f>
        <v/>
      </c>
      <c r="G4187" s="0" t="n">
        <f aca="false">IF(A4187="",0,IF(SUMPRODUCT(--($A$2:$A$5001=A4187))&gt;1,1,0))</f>
        <v>0</v>
      </c>
      <c r="H4187" s="0" t="n">
        <f aca="false">ROW()-1</f>
        <v>4186</v>
      </c>
      <c r="I4187" s="0" t="str">
        <f aca="false">IF(OR(הגדרות!$E$6=0,H4187&gt;הגדרות!$E$5),"",IF(H4187-1&lt;הגדרות!$E$8*(הגדרות!$E$7+1),INT((H4187-1)/(הגדרות!$E$7+1)),הגדרות!$E$8+INT((H4187-1-הגדרות!$E$8*(הגדרות!$E$7+1))/הגדרות!$E$7)))</f>
        <v/>
      </c>
      <c r="J4187" s="0" t="str">
        <f aca="false">IF(I4187="","",IF(H4187-1&lt;הגדרות!$E$8*(הגדרות!$E$7+1),MOD(H4187-1,הגדרות!$E$7+1),MOD(H4187-1-הגדרות!$E$8*(הגדרות!$E$7+1),הגדרות!$E$7)))</f>
        <v/>
      </c>
      <c r="K4187" s="0" t="str">
        <f aca="false">IF(I4187="","",J4187*הגדרות!$E$6+I4187+1)</f>
        <v/>
      </c>
      <c r="L4187" s="0" t="str">
        <f aca="false">IF(K4187="","",MATCH(K4187,$F$2:$F$5001,0))</f>
        <v/>
      </c>
      <c r="M4187" s="0" t="str">
        <f aca="false">IF(I4187="","",INDEX(הגדרות!$A$2:$A$21,MOD(I4187+הגדרות!$E$9,הגדרות!$E$6)+1))</f>
        <v/>
      </c>
    </row>
    <row r="4188" customFormat="false" ht="15" hidden="false" customHeight="false" outlineLevel="0" collapsed="false">
      <c r="A4188" s="0" t="str">
        <f aca="false">IF('הדבקת לידים'!A4188="","",IF(ISNUMBER('הדבקת לידים'!A4188),IF(הגדרות!$E$2&gt;0,TEXT('הדבקת לידים'!A4188,REPT("0",הגדרות!$E$2)),TEXT('הדבקת לידים'!A4188,"0")),TRIM('הדבקת לידים'!A4188)))</f>
        <v/>
      </c>
      <c r="B4188" s="0" t="str">
        <f aca="false">IF('הדבקת לידים'!B4188="","",IF(ISNUMBER('הדבקת לידים'!B4188),IF(הגדרות!$E$3&gt;0,TEXT('הדבקת לידים'!B4188,REPT("0",הגדרות!$E$3)),TEXT('הדבקת לידים'!B4188,"0")),TRIM('הדבקת לידים'!B4188)))</f>
        <v/>
      </c>
      <c r="C4188" s="0" t="n">
        <f aca="false">IF(OR(A4188&lt;&gt;"",B4188&lt;&gt;""),1,0)</f>
        <v>0</v>
      </c>
      <c r="D4188" s="0" t="str">
        <f aca="false">IF(C4188=1,MOD(ABS(SIN(ROW()*12.9898+'הדבקת לידים'!$F$2*78.233+IFERROR(--RIGHT(A4188,6),LEN(A4188))*0.0137+IFERROR(--RIGHT(B4188,6),LEN(B4188))*0.0071))*43758.5453,1),"")</f>
        <v/>
      </c>
      <c r="E4188" s="0" t="str">
        <f aca="false">IF(C4188=1,INT(MOD(ABS(SIN(D4188*7919.123+ROW()*0.618+'הדבקת לידים'!$F$2*1.3))*43758.5453,1)*1000000)*10000+ROW(),"")</f>
        <v/>
      </c>
      <c r="F4188" s="0" t="str">
        <f aca="false">IF(E4188="","",RANK(E4188,$E$2:$E$5001,1))</f>
        <v/>
      </c>
      <c r="G4188" s="0" t="n">
        <f aca="false">IF(A4188="",0,IF(SUMPRODUCT(--($A$2:$A$5001=A4188))&gt;1,1,0))</f>
        <v>0</v>
      </c>
      <c r="H4188" s="0" t="n">
        <f aca="false">ROW()-1</f>
        <v>4187</v>
      </c>
      <c r="I4188" s="0" t="str">
        <f aca="false">IF(OR(הגדרות!$E$6=0,H4188&gt;הגדרות!$E$5),"",IF(H4188-1&lt;הגדרות!$E$8*(הגדרות!$E$7+1),INT((H4188-1)/(הגדרות!$E$7+1)),הגדרות!$E$8+INT((H4188-1-הגדרות!$E$8*(הגדרות!$E$7+1))/הגדרות!$E$7)))</f>
        <v/>
      </c>
      <c r="J4188" s="0" t="str">
        <f aca="false">IF(I4188="","",IF(H4188-1&lt;הגדרות!$E$8*(הגדרות!$E$7+1),MOD(H4188-1,הגדרות!$E$7+1),MOD(H4188-1-הגדרות!$E$8*(הגדרות!$E$7+1),הגדרות!$E$7)))</f>
        <v/>
      </c>
      <c r="K4188" s="0" t="str">
        <f aca="false">IF(I4188="","",J4188*הגדרות!$E$6+I4188+1)</f>
        <v/>
      </c>
      <c r="L4188" s="0" t="str">
        <f aca="false">IF(K4188="","",MATCH(K4188,$F$2:$F$5001,0))</f>
        <v/>
      </c>
      <c r="M4188" s="0" t="str">
        <f aca="false">IF(I4188="","",INDEX(הגדרות!$A$2:$A$21,MOD(I4188+הגדרות!$E$9,הגדרות!$E$6)+1))</f>
        <v/>
      </c>
    </row>
    <row r="4189" customFormat="false" ht="15" hidden="false" customHeight="false" outlineLevel="0" collapsed="false">
      <c r="A4189" s="0" t="str">
        <f aca="false">IF('הדבקת לידים'!A4189="","",IF(ISNUMBER('הדבקת לידים'!A4189),IF(הגדרות!$E$2&gt;0,TEXT('הדבקת לידים'!A4189,REPT("0",הגדרות!$E$2)),TEXT('הדבקת לידים'!A4189,"0")),TRIM('הדבקת לידים'!A4189)))</f>
        <v/>
      </c>
      <c r="B4189" s="0" t="str">
        <f aca="false">IF('הדבקת לידים'!B4189="","",IF(ISNUMBER('הדבקת לידים'!B4189),IF(הגדרות!$E$3&gt;0,TEXT('הדבקת לידים'!B4189,REPT("0",הגדרות!$E$3)),TEXT('הדבקת לידים'!B4189,"0")),TRIM('הדבקת לידים'!B4189)))</f>
        <v/>
      </c>
      <c r="C4189" s="0" t="n">
        <f aca="false">IF(OR(A4189&lt;&gt;"",B4189&lt;&gt;""),1,0)</f>
        <v>0</v>
      </c>
      <c r="D4189" s="0" t="str">
        <f aca="false">IF(C4189=1,MOD(ABS(SIN(ROW()*12.9898+'הדבקת לידים'!$F$2*78.233+IFERROR(--RIGHT(A4189,6),LEN(A4189))*0.0137+IFERROR(--RIGHT(B4189,6),LEN(B4189))*0.0071))*43758.5453,1),"")</f>
        <v/>
      </c>
      <c r="E4189" s="0" t="str">
        <f aca="false">IF(C4189=1,INT(MOD(ABS(SIN(D4189*7919.123+ROW()*0.618+'הדבקת לידים'!$F$2*1.3))*43758.5453,1)*1000000)*10000+ROW(),"")</f>
        <v/>
      </c>
      <c r="F4189" s="0" t="str">
        <f aca="false">IF(E4189="","",RANK(E4189,$E$2:$E$5001,1))</f>
        <v/>
      </c>
      <c r="G4189" s="0" t="n">
        <f aca="false">IF(A4189="",0,IF(SUMPRODUCT(--($A$2:$A$5001=A4189))&gt;1,1,0))</f>
        <v>0</v>
      </c>
      <c r="H4189" s="0" t="n">
        <f aca="false">ROW()-1</f>
        <v>4188</v>
      </c>
      <c r="I4189" s="0" t="str">
        <f aca="false">IF(OR(הגדרות!$E$6=0,H4189&gt;הגדרות!$E$5),"",IF(H4189-1&lt;הגדרות!$E$8*(הגדרות!$E$7+1),INT((H4189-1)/(הגדרות!$E$7+1)),הגדרות!$E$8+INT((H4189-1-הגדרות!$E$8*(הגדרות!$E$7+1))/הגדרות!$E$7)))</f>
        <v/>
      </c>
      <c r="J4189" s="0" t="str">
        <f aca="false">IF(I4189="","",IF(H4189-1&lt;הגדרות!$E$8*(הגדרות!$E$7+1),MOD(H4189-1,הגדרות!$E$7+1),MOD(H4189-1-הגדרות!$E$8*(הגדרות!$E$7+1),הגדרות!$E$7)))</f>
        <v/>
      </c>
      <c r="K4189" s="0" t="str">
        <f aca="false">IF(I4189="","",J4189*הגדרות!$E$6+I4189+1)</f>
        <v/>
      </c>
      <c r="L4189" s="0" t="str">
        <f aca="false">IF(K4189="","",MATCH(K4189,$F$2:$F$5001,0))</f>
        <v/>
      </c>
      <c r="M4189" s="0" t="str">
        <f aca="false">IF(I4189="","",INDEX(הגדרות!$A$2:$A$21,MOD(I4189+הגדרות!$E$9,הגדרות!$E$6)+1))</f>
        <v/>
      </c>
    </row>
    <row r="4190" customFormat="false" ht="15" hidden="false" customHeight="false" outlineLevel="0" collapsed="false">
      <c r="A4190" s="0" t="str">
        <f aca="false">IF('הדבקת לידים'!A4190="","",IF(ISNUMBER('הדבקת לידים'!A4190),IF(הגדרות!$E$2&gt;0,TEXT('הדבקת לידים'!A4190,REPT("0",הגדרות!$E$2)),TEXT('הדבקת לידים'!A4190,"0")),TRIM('הדבקת לידים'!A4190)))</f>
        <v/>
      </c>
      <c r="B4190" s="0" t="str">
        <f aca="false">IF('הדבקת לידים'!B4190="","",IF(ISNUMBER('הדבקת לידים'!B4190),IF(הגדרות!$E$3&gt;0,TEXT('הדבקת לידים'!B4190,REPT("0",הגדרות!$E$3)),TEXT('הדבקת לידים'!B4190,"0")),TRIM('הדבקת לידים'!B4190)))</f>
        <v/>
      </c>
      <c r="C4190" s="0" t="n">
        <f aca="false">IF(OR(A4190&lt;&gt;"",B4190&lt;&gt;""),1,0)</f>
        <v>0</v>
      </c>
      <c r="D4190" s="0" t="str">
        <f aca="false">IF(C4190=1,MOD(ABS(SIN(ROW()*12.9898+'הדבקת לידים'!$F$2*78.233+IFERROR(--RIGHT(A4190,6),LEN(A4190))*0.0137+IFERROR(--RIGHT(B4190,6),LEN(B4190))*0.0071))*43758.5453,1),"")</f>
        <v/>
      </c>
      <c r="E4190" s="0" t="str">
        <f aca="false">IF(C4190=1,INT(MOD(ABS(SIN(D4190*7919.123+ROW()*0.618+'הדבקת לידים'!$F$2*1.3))*43758.5453,1)*1000000)*10000+ROW(),"")</f>
        <v/>
      </c>
      <c r="F4190" s="0" t="str">
        <f aca="false">IF(E4190="","",RANK(E4190,$E$2:$E$5001,1))</f>
        <v/>
      </c>
      <c r="G4190" s="0" t="n">
        <f aca="false">IF(A4190="",0,IF(SUMPRODUCT(--($A$2:$A$5001=A4190))&gt;1,1,0))</f>
        <v>0</v>
      </c>
      <c r="H4190" s="0" t="n">
        <f aca="false">ROW()-1</f>
        <v>4189</v>
      </c>
      <c r="I4190" s="0" t="str">
        <f aca="false">IF(OR(הגדרות!$E$6=0,H4190&gt;הגדרות!$E$5),"",IF(H4190-1&lt;הגדרות!$E$8*(הגדרות!$E$7+1),INT((H4190-1)/(הגדרות!$E$7+1)),הגדרות!$E$8+INT((H4190-1-הגדרות!$E$8*(הגדרות!$E$7+1))/הגדרות!$E$7)))</f>
        <v/>
      </c>
      <c r="J4190" s="0" t="str">
        <f aca="false">IF(I4190="","",IF(H4190-1&lt;הגדרות!$E$8*(הגדרות!$E$7+1),MOD(H4190-1,הגדרות!$E$7+1),MOD(H4190-1-הגדרות!$E$8*(הגדרות!$E$7+1),הגדרות!$E$7)))</f>
        <v/>
      </c>
      <c r="K4190" s="0" t="str">
        <f aca="false">IF(I4190="","",J4190*הגדרות!$E$6+I4190+1)</f>
        <v/>
      </c>
      <c r="L4190" s="0" t="str">
        <f aca="false">IF(K4190="","",MATCH(K4190,$F$2:$F$5001,0))</f>
        <v/>
      </c>
      <c r="M4190" s="0" t="str">
        <f aca="false">IF(I4190="","",INDEX(הגדרות!$A$2:$A$21,MOD(I4190+הגדרות!$E$9,הגדרות!$E$6)+1))</f>
        <v/>
      </c>
    </row>
    <row r="4191" customFormat="false" ht="15" hidden="false" customHeight="false" outlineLevel="0" collapsed="false">
      <c r="A4191" s="0" t="str">
        <f aca="false">IF('הדבקת לידים'!A4191="","",IF(ISNUMBER('הדבקת לידים'!A4191),IF(הגדרות!$E$2&gt;0,TEXT('הדבקת לידים'!A4191,REPT("0",הגדרות!$E$2)),TEXT('הדבקת לידים'!A4191,"0")),TRIM('הדבקת לידים'!A4191)))</f>
        <v/>
      </c>
      <c r="B4191" s="0" t="str">
        <f aca="false">IF('הדבקת לידים'!B4191="","",IF(ISNUMBER('הדבקת לידים'!B4191),IF(הגדרות!$E$3&gt;0,TEXT('הדבקת לידים'!B4191,REPT("0",הגדרות!$E$3)),TEXT('הדבקת לידים'!B4191,"0")),TRIM('הדבקת לידים'!B4191)))</f>
        <v/>
      </c>
      <c r="C4191" s="0" t="n">
        <f aca="false">IF(OR(A4191&lt;&gt;"",B4191&lt;&gt;""),1,0)</f>
        <v>0</v>
      </c>
      <c r="D4191" s="0" t="str">
        <f aca="false">IF(C4191=1,MOD(ABS(SIN(ROW()*12.9898+'הדבקת לידים'!$F$2*78.233+IFERROR(--RIGHT(A4191,6),LEN(A4191))*0.0137+IFERROR(--RIGHT(B4191,6),LEN(B4191))*0.0071))*43758.5453,1),"")</f>
        <v/>
      </c>
      <c r="E4191" s="0" t="str">
        <f aca="false">IF(C4191=1,INT(MOD(ABS(SIN(D4191*7919.123+ROW()*0.618+'הדבקת לידים'!$F$2*1.3))*43758.5453,1)*1000000)*10000+ROW(),"")</f>
        <v/>
      </c>
      <c r="F4191" s="0" t="str">
        <f aca="false">IF(E4191="","",RANK(E4191,$E$2:$E$5001,1))</f>
        <v/>
      </c>
      <c r="G4191" s="0" t="n">
        <f aca="false">IF(A4191="",0,IF(SUMPRODUCT(--($A$2:$A$5001=A4191))&gt;1,1,0))</f>
        <v>0</v>
      </c>
      <c r="H4191" s="0" t="n">
        <f aca="false">ROW()-1</f>
        <v>4190</v>
      </c>
      <c r="I4191" s="0" t="str">
        <f aca="false">IF(OR(הגדרות!$E$6=0,H4191&gt;הגדרות!$E$5),"",IF(H4191-1&lt;הגדרות!$E$8*(הגדרות!$E$7+1),INT((H4191-1)/(הגדרות!$E$7+1)),הגדרות!$E$8+INT((H4191-1-הגדרות!$E$8*(הגדרות!$E$7+1))/הגדרות!$E$7)))</f>
        <v/>
      </c>
      <c r="J4191" s="0" t="str">
        <f aca="false">IF(I4191="","",IF(H4191-1&lt;הגדרות!$E$8*(הגדרות!$E$7+1),MOD(H4191-1,הגדרות!$E$7+1),MOD(H4191-1-הגדרות!$E$8*(הגדרות!$E$7+1),הגדרות!$E$7)))</f>
        <v/>
      </c>
      <c r="K4191" s="0" t="str">
        <f aca="false">IF(I4191="","",J4191*הגדרות!$E$6+I4191+1)</f>
        <v/>
      </c>
      <c r="L4191" s="0" t="str">
        <f aca="false">IF(K4191="","",MATCH(K4191,$F$2:$F$5001,0))</f>
        <v/>
      </c>
      <c r="M4191" s="0" t="str">
        <f aca="false">IF(I4191="","",INDEX(הגדרות!$A$2:$A$21,MOD(I4191+הגדרות!$E$9,הגדרות!$E$6)+1))</f>
        <v/>
      </c>
    </row>
    <row r="4192" customFormat="false" ht="15" hidden="false" customHeight="false" outlineLevel="0" collapsed="false">
      <c r="A4192" s="0" t="str">
        <f aca="false">IF('הדבקת לידים'!A4192="","",IF(ISNUMBER('הדבקת לידים'!A4192),IF(הגדרות!$E$2&gt;0,TEXT('הדבקת לידים'!A4192,REPT("0",הגדרות!$E$2)),TEXT('הדבקת לידים'!A4192,"0")),TRIM('הדבקת לידים'!A4192)))</f>
        <v/>
      </c>
      <c r="B4192" s="0" t="str">
        <f aca="false">IF('הדבקת לידים'!B4192="","",IF(ISNUMBER('הדבקת לידים'!B4192),IF(הגדרות!$E$3&gt;0,TEXT('הדבקת לידים'!B4192,REPT("0",הגדרות!$E$3)),TEXT('הדבקת לידים'!B4192,"0")),TRIM('הדבקת לידים'!B4192)))</f>
        <v/>
      </c>
      <c r="C4192" s="0" t="n">
        <f aca="false">IF(OR(A4192&lt;&gt;"",B4192&lt;&gt;""),1,0)</f>
        <v>0</v>
      </c>
      <c r="D4192" s="0" t="str">
        <f aca="false">IF(C4192=1,MOD(ABS(SIN(ROW()*12.9898+'הדבקת לידים'!$F$2*78.233+IFERROR(--RIGHT(A4192,6),LEN(A4192))*0.0137+IFERROR(--RIGHT(B4192,6),LEN(B4192))*0.0071))*43758.5453,1),"")</f>
        <v/>
      </c>
      <c r="E4192" s="0" t="str">
        <f aca="false">IF(C4192=1,INT(MOD(ABS(SIN(D4192*7919.123+ROW()*0.618+'הדבקת לידים'!$F$2*1.3))*43758.5453,1)*1000000)*10000+ROW(),"")</f>
        <v/>
      </c>
      <c r="F4192" s="0" t="str">
        <f aca="false">IF(E4192="","",RANK(E4192,$E$2:$E$5001,1))</f>
        <v/>
      </c>
      <c r="G4192" s="0" t="n">
        <f aca="false">IF(A4192="",0,IF(SUMPRODUCT(--($A$2:$A$5001=A4192))&gt;1,1,0))</f>
        <v>0</v>
      </c>
      <c r="H4192" s="0" t="n">
        <f aca="false">ROW()-1</f>
        <v>4191</v>
      </c>
      <c r="I4192" s="0" t="str">
        <f aca="false">IF(OR(הגדרות!$E$6=0,H4192&gt;הגדרות!$E$5),"",IF(H4192-1&lt;הגדרות!$E$8*(הגדרות!$E$7+1),INT((H4192-1)/(הגדרות!$E$7+1)),הגדרות!$E$8+INT((H4192-1-הגדרות!$E$8*(הגדרות!$E$7+1))/הגדרות!$E$7)))</f>
        <v/>
      </c>
      <c r="J4192" s="0" t="str">
        <f aca="false">IF(I4192="","",IF(H4192-1&lt;הגדרות!$E$8*(הגדרות!$E$7+1),MOD(H4192-1,הגדרות!$E$7+1),MOD(H4192-1-הגדרות!$E$8*(הגדרות!$E$7+1),הגדרות!$E$7)))</f>
        <v/>
      </c>
      <c r="K4192" s="0" t="str">
        <f aca="false">IF(I4192="","",J4192*הגדרות!$E$6+I4192+1)</f>
        <v/>
      </c>
      <c r="L4192" s="0" t="str">
        <f aca="false">IF(K4192="","",MATCH(K4192,$F$2:$F$5001,0))</f>
        <v/>
      </c>
      <c r="M4192" s="0" t="str">
        <f aca="false">IF(I4192="","",INDEX(הגדרות!$A$2:$A$21,MOD(I4192+הגדרות!$E$9,הגדרות!$E$6)+1))</f>
        <v/>
      </c>
    </row>
    <row r="4193" customFormat="false" ht="15" hidden="false" customHeight="false" outlineLevel="0" collapsed="false">
      <c r="A4193" s="0" t="str">
        <f aca="false">IF('הדבקת לידים'!A4193="","",IF(ISNUMBER('הדבקת לידים'!A4193),IF(הגדרות!$E$2&gt;0,TEXT('הדבקת לידים'!A4193,REPT("0",הגדרות!$E$2)),TEXT('הדבקת לידים'!A4193,"0")),TRIM('הדבקת לידים'!A4193)))</f>
        <v/>
      </c>
      <c r="B4193" s="0" t="str">
        <f aca="false">IF('הדבקת לידים'!B4193="","",IF(ISNUMBER('הדבקת לידים'!B4193),IF(הגדרות!$E$3&gt;0,TEXT('הדבקת לידים'!B4193,REPT("0",הגדרות!$E$3)),TEXT('הדבקת לידים'!B4193,"0")),TRIM('הדבקת לידים'!B4193)))</f>
        <v/>
      </c>
      <c r="C4193" s="0" t="n">
        <f aca="false">IF(OR(A4193&lt;&gt;"",B4193&lt;&gt;""),1,0)</f>
        <v>0</v>
      </c>
      <c r="D4193" s="0" t="str">
        <f aca="false">IF(C4193=1,MOD(ABS(SIN(ROW()*12.9898+'הדבקת לידים'!$F$2*78.233+IFERROR(--RIGHT(A4193,6),LEN(A4193))*0.0137+IFERROR(--RIGHT(B4193,6),LEN(B4193))*0.0071))*43758.5453,1),"")</f>
        <v/>
      </c>
      <c r="E4193" s="0" t="str">
        <f aca="false">IF(C4193=1,INT(MOD(ABS(SIN(D4193*7919.123+ROW()*0.618+'הדבקת לידים'!$F$2*1.3))*43758.5453,1)*1000000)*10000+ROW(),"")</f>
        <v/>
      </c>
      <c r="F4193" s="0" t="str">
        <f aca="false">IF(E4193="","",RANK(E4193,$E$2:$E$5001,1))</f>
        <v/>
      </c>
      <c r="G4193" s="0" t="n">
        <f aca="false">IF(A4193="",0,IF(SUMPRODUCT(--($A$2:$A$5001=A4193))&gt;1,1,0))</f>
        <v>0</v>
      </c>
      <c r="H4193" s="0" t="n">
        <f aca="false">ROW()-1</f>
        <v>4192</v>
      </c>
      <c r="I4193" s="0" t="str">
        <f aca="false">IF(OR(הגדרות!$E$6=0,H4193&gt;הגדרות!$E$5),"",IF(H4193-1&lt;הגדרות!$E$8*(הגדרות!$E$7+1),INT((H4193-1)/(הגדרות!$E$7+1)),הגדרות!$E$8+INT((H4193-1-הגדרות!$E$8*(הגדרות!$E$7+1))/הגדרות!$E$7)))</f>
        <v/>
      </c>
      <c r="J4193" s="0" t="str">
        <f aca="false">IF(I4193="","",IF(H4193-1&lt;הגדרות!$E$8*(הגדרות!$E$7+1),MOD(H4193-1,הגדרות!$E$7+1),MOD(H4193-1-הגדרות!$E$8*(הגדרות!$E$7+1),הגדרות!$E$7)))</f>
        <v/>
      </c>
      <c r="K4193" s="0" t="str">
        <f aca="false">IF(I4193="","",J4193*הגדרות!$E$6+I4193+1)</f>
        <v/>
      </c>
      <c r="L4193" s="0" t="str">
        <f aca="false">IF(K4193="","",MATCH(K4193,$F$2:$F$5001,0))</f>
        <v/>
      </c>
      <c r="M4193" s="0" t="str">
        <f aca="false">IF(I4193="","",INDEX(הגדרות!$A$2:$A$21,MOD(I4193+הגדרות!$E$9,הגדרות!$E$6)+1))</f>
        <v/>
      </c>
    </row>
    <row r="4194" customFormat="false" ht="15" hidden="false" customHeight="false" outlineLevel="0" collapsed="false">
      <c r="A4194" s="0" t="str">
        <f aca="false">IF('הדבקת לידים'!A4194="","",IF(ISNUMBER('הדבקת לידים'!A4194),IF(הגדרות!$E$2&gt;0,TEXT('הדבקת לידים'!A4194,REPT("0",הגדרות!$E$2)),TEXT('הדבקת לידים'!A4194,"0")),TRIM('הדבקת לידים'!A4194)))</f>
        <v/>
      </c>
      <c r="B4194" s="0" t="str">
        <f aca="false">IF('הדבקת לידים'!B4194="","",IF(ISNUMBER('הדבקת לידים'!B4194),IF(הגדרות!$E$3&gt;0,TEXT('הדבקת לידים'!B4194,REPT("0",הגדרות!$E$3)),TEXT('הדבקת לידים'!B4194,"0")),TRIM('הדבקת לידים'!B4194)))</f>
        <v/>
      </c>
      <c r="C4194" s="0" t="n">
        <f aca="false">IF(OR(A4194&lt;&gt;"",B4194&lt;&gt;""),1,0)</f>
        <v>0</v>
      </c>
      <c r="D4194" s="0" t="str">
        <f aca="false">IF(C4194=1,MOD(ABS(SIN(ROW()*12.9898+'הדבקת לידים'!$F$2*78.233+IFERROR(--RIGHT(A4194,6),LEN(A4194))*0.0137+IFERROR(--RIGHT(B4194,6),LEN(B4194))*0.0071))*43758.5453,1),"")</f>
        <v/>
      </c>
      <c r="E4194" s="0" t="str">
        <f aca="false">IF(C4194=1,INT(MOD(ABS(SIN(D4194*7919.123+ROW()*0.618+'הדבקת לידים'!$F$2*1.3))*43758.5453,1)*1000000)*10000+ROW(),"")</f>
        <v/>
      </c>
      <c r="F4194" s="0" t="str">
        <f aca="false">IF(E4194="","",RANK(E4194,$E$2:$E$5001,1))</f>
        <v/>
      </c>
      <c r="G4194" s="0" t="n">
        <f aca="false">IF(A4194="",0,IF(SUMPRODUCT(--($A$2:$A$5001=A4194))&gt;1,1,0))</f>
        <v>0</v>
      </c>
      <c r="H4194" s="0" t="n">
        <f aca="false">ROW()-1</f>
        <v>4193</v>
      </c>
      <c r="I4194" s="0" t="str">
        <f aca="false">IF(OR(הגדרות!$E$6=0,H4194&gt;הגדרות!$E$5),"",IF(H4194-1&lt;הגדרות!$E$8*(הגדרות!$E$7+1),INT((H4194-1)/(הגדרות!$E$7+1)),הגדרות!$E$8+INT((H4194-1-הגדרות!$E$8*(הגדרות!$E$7+1))/הגדרות!$E$7)))</f>
        <v/>
      </c>
      <c r="J4194" s="0" t="str">
        <f aca="false">IF(I4194="","",IF(H4194-1&lt;הגדרות!$E$8*(הגדרות!$E$7+1),MOD(H4194-1,הגדרות!$E$7+1),MOD(H4194-1-הגדרות!$E$8*(הגדרות!$E$7+1),הגדרות!$E$7)))</f>
        <v/>
      </c>
      <c r="K4194" s="0" t="str">
        <f aca="false">IF(I4194="","",J4194*הגדרות!$E$6+I4194+1)</f>
        <v/>
      </c>
      <c r="L4194" s="0" t="str">
        <f aca="false">IF(K4194="","",MATCH(K4194,$F$2:$F$5001,0))</f>
        <v/>
      </c>
      <c r="M4194" s="0" t="str">
        <f aca="false">IF(I4194="","",INDEX(הגדרות!$A$2:$A$21,MOD(I4194+הגדרות!$E$9,הגדרות!$E$6)+1))</f>
        <v/>
      </c>
    </row>
    <row r="4195" customFormat="false" ht="15" hidden="false" customHeight="false" outlineLevel="0" collapsed="false">
      <c r="A4195" s="0" t="str">
        <f aca="false">IF('הדבקת לידים'!A4195="","",IF(ISNUMBER('הדבקת לידים'!A4195),IF(הגדרות!$E$2&gt;0,TEXT('הדבקת לידים'!A4195,REPT("0",הגדרות!$E$2)),TEXT('הדבקת לידים'!A4195,"0")),TRIM('הדבקת לידים'!A4195)))</f>
        <v/>
      </c>
      <c r="B4195" s="0" t="str">
        <f aca="false">IF('הדבקת לידים'!B4195="","",IF(ISNUMBER('הדבקת לידים'!B4195),IF(הגדרות!$E$3&gt;0,TEXT('הדבקת לידים'!B4195,REPT("0",הגדרות!$E$3)),TEXT('הדבקת לידים'!B4195,"0")),TRIM('הדבקת לידים'!B4195)))</f>
        <v/>
      </c>
      <c r="C4195" s="0" t="n">
        <f aca="false">IF(OR(A4195&lt;&gt;"",B4195&lt;&gt;""),1,0)</f>
        <v>0</v>
      </c>
      <c r="D4195" s="0" t="str">
        <f aca="false">IF(C4195=1,MOD(ABS(SIN(ROW()*12.9898+'הדבקת לידים'!$F$2*78.233+IFERROR(--RIGHT(A4195,6),LEN(A4195))*0.0137+IFERROR(--RIGHT(B4195,6),LEN(B4195))*0.0071))*43758.5453,1),"")</f>
        <v/>
      </c>
      <c r="E4195" s="0" t="str">
        <f aca="false">IF(C4195=1,INT(MOD(ABS(SIN(D4195*7919.123+ROW()*0.618+'הדבקת לידים'!$F$2*1.3))*43758.5453,1)*1000000)*10000+ROW(),"")</f>
        <v/>
      </c>
      <c r="F4195" s="0" t="str">
        <f aca="false">IF(E4195="","",RANK(E4195,$E$2:$E$5001,1))</f>
        <v/>
      </c>
      <c r="G4195" s="0" t="n">
        <f aca="false">IF(A4195="",0,IF(SUMPRODUCT(--($A$2:$A$5001=A4195))&gt;1,1,0))</f>
        <v>0</v>
      </c>
      <c r="H4195" s="0" t="n">
        <f aca="false">ROW()-1</f>
        <v>4194</v>
      </c>
      <c r="I4195" s="0" t="str">
        <f aca="false">IF(OR(הגדרות!$E$6=0,H4195&gt;הגדרות!$E$5),"",IF(H4195-1&lt;הגדרות!$E$8*(הגדרות!$E$7+1),INT((H4195-1)/(הגדרות!$E$7+1)),הגדרות!$E$8+INT((H4195-1-הגדרות!$E$8*(הגדרות!$E$7+1))/הגדרות!$E$7)))</f>
        <v/>
      </c>
      <c r="J4195" s="0" t="str">
        <f aca="false">IF(I4195="","",IF(H4195-1&lt;הגדרות!$E$8*(הגדרות!$E$7+1),MOD(H4195-1,הגדרות!$E$7+1),MOD(H4195-1-הגדרות!$E$8*(הגדרות!$E$7+1),הגדרות!$E$7)))</f>
        <v/>
      </c>
      <c r="K4195" s="0" t="str">
        <f aca="false">IF(I4195="","",J4195*הגדרות!$E$6+I4195+1)</f>
        <v/>
      </c>
      <c r="L4195" s="0" t="str">
        <f aca="false">IF(K4195="","",MATCH(K4195,$F$2:$F$5001,0))</f>
        <v/>
      </c>
      <c r="M4195" s="0" t="str">
        <f aca="false">IF(I4195="","",INDEX(הגדרות!$A$2:$A$21,MOD(I4195+הגדרות!$E$9,הגדרות!$E$6)+1))</f>
        <v/>
      </c>
    </row>
    <row r="4196" customFormat="false" ht="15" hidden="false" customHeight="false" outlineLevel="0" collapsed="false">
      <c r="A4196" s="0" t="str">
        <f aca="false">IF('הדבקת לידים'!A4196="","",IF(ISNUMBER('הדבקת לידים'!A4196),IF(הגדרות!$E$2&gt;0,TEXT('הדבקת לידים'!A4196,REPT("0",הגדרות!$E$2)),TEXT('הדבקת לידים'!A4196,"0")),TRIM('הדבקת לידים'!A4196)))</f>
        <v/>
      </c>
      <c r="B4196" s="0" t="str">
        <f aca="false">IF('הדבקת לידים'!B4196="","",IF(ISNUMBER('הדבקת לידים'!B4196),IF(הגדרות!$E$3&gt;0,TEXT('הדבקת לידים'!B4196,REPT("0",הגדרות!$E$3)),TEXT('הדבקת לידים'!B4196,"0")),TRIM('הדבקת לידים'!B4196)))</f>
        <v/>
      </c>
      <c r="C4196" s="0" t="n">
        <f aca="false">IF(OR(A4196&lt;&gt;"",B4196&lt;&gt;""),1,0)</f>
        <v>0</v>
      </c>
      <c r="D4196" s="0" t="str">
        <f aca="false">IF(C4196=1,MOD(ABS(SIN(ROW()*12.9898+'הדבקת לידים'!$F$2*78.233+IFERROR(--RIGHT(A4196,6),LEN(A4196))*0.0137+IFERROR(--RIGHT(B4196,6),LEN(B4196))*0.0071))*43758.5453,1),"")</f>
        <v/>
      </c>
      <c r="E4196" s="0" t="str">
        <f aca="false">IF(C4196=1,INT(MOD(ABS(SIN(D4196*7919.123+ROW()*0.618+'הדבקת לידים'!$F$2*1.3))*43758.5453,1)*1000000)*10000+ROW(),"")</f>
        <v/>
      </c>
      <c r="F4196" s="0" t="str">
        <f aca="false">IF(E4196="","",RANK(E4196,$E$2:$E$5001,1))</f>
        <v/>
      </c>
      <c r="G4196" s="0" t="n">
        <f aca="false">IF(A4196="",0,IF(SUMPRODUCT(--($A$2:$A$5001=A4196))&gt;1,1,0))</f>
        <v>0</v>
      </c>
      <c r="H4196" s="0" t="n">
        <f aca="false">ROW()-1</f>
        <v>4195</v>
      </c>
      <c r="I4196" s="0" t="str">
        <f aca="false">IF(OR(הגדרות!$E$6=0,H4196&gt;הגדרות!$E$5),"",IF(H4196-1&lt;הגדרות!$E$8*(הגדרות!$E$7+1),INT((H4196-1)/(הגדרות!$E$7+1)),הגדרות!$E$8+INT((H4196-1-הגדרות!$E$8*(הגדרות!$E$7+1))/הגדרות!$E$7)))</f>
        <v/>
      </c>
      <c r="J4196" s="0" t="str">
        <f aca="false">IF(I4196="","",IF(H4196-1&lt;הגדרות!$E$8*(הגדרות!$E$7+1),MOD(H4196-1,הגדרות!$E$7+1),MOD(H4196-1-הגדרות!$E$8*(הגדרות!$E$7+1),הגדרות!$E$7)))</f>
        <v/>
      </c>
      <c r="K4196" s="0" t="str">
        <f aca="false">IF(I4196="","",J4196*הגדרות!$E$6+I4196+1)</f>
        <v/>
      </c>
      <c r="L4196" s="0" t="str">
        <f aca="false">IF(K4196="","",MATCH(K4196,$F$2:$F$5001,0))</f>
        <v/>
      </c>
      <c r="M4196" s="0" t="str">
        <f aca="false">IF(I4196="","",INDEX(הגדרות!$A$2:$A$21,MOD(I4196+הגדרות!$E$9,הגדרות!$E$6)+1))</f>
        <v/>
      </c>
    </row>
    <row r="4197" customFormat="false" ht="15" hidden="false" customHeight="false" outlineLevel="0" collapsed="false">
      <c r="A4197" s="0" t="str">
        <f aca="false">IF('הדבקת לידים'!A4197="","",IF(ISNUMBER('הדבקת לידים'!A4197),IF(הגדרות!$E$2&gt;0,TEXT('הדבקת לידים'!A4197,REPT("0",הגדרות!$E$2)),TEXT('הדבקת לידים'!A4197,"0")),TRIM('הדבקת לידים'!A4197)))</f>
        <v/>
      </c>
      <c r="B4197" s="0" t="str">
        <f aca="false">IF('הדבקת לידים'!B4197="","",IF(ISNUMBER('הדבקת לידים'!B4197),IF(הגדרות!$E$3&gt;0,TEXT('הדבקת לידים'!B4197,REPT("0",הגדרות!$E$3)),TEXT('הדבקת לידים'!B4197,"0")),TRIM('הדבקת לידים'!B4197)))</f>
        <v/>
      </c>
      <c r="C4197" s="0" t="n">
        <f aca="false">IF(OR(A4197&lt;&gt;"",B4197&lt;&gt;""),1,0)</f>
        <v>0</v>
      </c>
      <c r="D4197" s="0" t="str">
        <f aca="false">IF(C4197=1,MOD(ABS(SIN(ROW()*12.9898+'הדבקת לידים'!$F$2*78.233+IFERROR(--RIGHT(A4197,6),LEN(A4197))*0.0137+IFERROR(--RIGHT(B4197,6),LEN(B4197))*0.0071))*43758.5453,1),"")</f>
        <v/>
      </c>
      <c r="E4197" s="0" t="str">
        <f aca="false">IF(C4197=1,INT(MOD(ABS(SIN(D4197*7919.123+ROW()*0.618+'הדבקת לידים'!$F$2*1.3))*43758.5453,1)*1000000)*10000+ROW(),"")</f>
        <v/>
      </c>
      <c r="F4197" s="0" t="str">
        <f aca="false">IF(E4197="","",RANK(E4197,$E$2:$E$5001,1))</f>
        <v/>
      </c>
      <c r="G4197" s="0" t="n">
        <f aca="false">IF(A4197="",0,IF(SUMPRODUCT(--($A$2:$A$5001=A4197))&gt;1,1,0))</f>
        <v>0</v>
      </c>
      <c r="H4197" s="0" t="n">
        <f aca="false">ROW()-1</f>
        <v>4196</v>
      </c>
      <c r="I4197" s="0" t="str">
        <f aca="false">IF(OR(הגדרות!$E$6=0,H4197&gt;הגדרות!$E$5),"",IF(H4197-1&lt;הגדרות!$E$8*(הגדרות!$E$7+1),INT((H4197-1)/(הגדרות!$E$7+1)),הגדרות!$E$8+INT((H4197-1-הגדרות!$E$8*(הגדרות!$E$7+1))/הגדרות!$E$7)))</f>
        <v/>
      </c>
      <c r="J4197" s="0" t="str">
        <f aca="false">IF(I4197="","",IF(H4197-1&lt;הגדרות!$E$8*(הגדרות!$E$7+1),MOD(H4197-1,הגדרות!$E$7+1),MOD(H4197-1-הגדרות!$E$8*(הגדרות!$E$7+1),הגדרות!$E$7)))</f>
        <v/>
      </c>
      <c r="K4197" s="0" t="str">
        <f aca="false">IF(I4197="","",J4197*הגדרות!$E$6+I4197+1)</f>
        <v/>
      </c>
      <c r="L4197" s="0" t="str">
        <f aca="false">IF(K4197="","",MATCH(K4197,$F$2:$F$5001,0))</f>
        <v/>
      </c>
      <c r="M4197" s="0" t="str">
        <f aca="false">IF(I4197="","",INDEX(הגדרות!$A$2:$A$21,MOD(I4197+הגדרות!$E$9,הגדרות!$E$6)+1))</f>
        <v/>
      </c>
    </row>
    <row r="4198" customFormat="false" ht="15" hidden="false" customHeight="false" outlineLevel="0" collapsed="false">
      <c r="A4198" s="0" t="str">
        <f aca="false">IF('הדבקת לידים'!A4198="","",IF(ISNUMBER('הדבקת לידים'!A4198),IF(הגדרות!$E$2&gt;0,TEXT('הדבקת לידים'!A4198,REPT("0",הגדרות!$E$2)),TEXT('הדבקת לידים'!A4198,"0")),TRIM('הדבקת לידים'!A4198)))</f>
        <v/>
      </c>
      <c r="B4198" s="0" t="str">
        <f aca="false">IF('הדבקת לידים'!B4198="","",IF(ISNUMBER('הדבקת לידים'!B4198),IF(הגדרות!$E$3&gt;0,TEXT('הדבקת לידים'!B4198,REPT("0",הגדרות!$E$3)),TEXT('הדבקת לידים'!B4198,"0")),TRIM('הדבקת לידים'!B4198)))</f>
        <v/>
      </c>
      <c r="C4198" s="0" t="n">
        <f aca="false">IF(OR(A4198&lt;&gt;"",B4198&lt;&gt;""),1,0)</f>
        <v>0</v>
      </c>
      <c r="D4198" s="0" t="str">
        <f aca="false">IF(C4198=1,MOD(ABS(SIN(ROW()*12.9898+'הדבקת לידים'!$F$2*78.233+IFERROR(--RIGHT(A4198,6),LEN(A4198))*0.0137+IFERROR(--RIGHT(B4198,6),LEN(B4198))*0.0071))*43758.5453,1),"")</f>
        <v/>
      </c>
      <c r="E4198" s="0" t="str">
        <f aca="false">IF(C4198=1,INT(MOD(ABS(SIN(D4198*7919.123+ROW()*0.618+'הדבקת לידים'!$F$2*1.3))*43758.5453,1)*1000000)*10000+ROW(),"")</f>
        <v/>
      </c>
      <c r="F4198" s="0" t="str">
        <f aca="false">IF(E4198="","",RANK(E4198,$E$2:$E$5001,1))</f>
        <v/>
      </c>
      <c r="G4198" s="0" t="n">
        <f aca="false">IF(A4198="",0,IF(SUMPRODUCT(--($A$2:$A$5001=A4198))&gt;1,1,0))</f>
        <v>0</v>
      </c>
      <c r="H4198" s="0" t="n">
        <f aca="false">ROW()-1</f>
        <v>4197</v>
      </c>
      <c r="I4198" s="0" t="str">
        <f aca="false">IF(OR(הגדרות!$E$6=0,H4198&gt;הגדרות!$E$5),"",IF(H4198-1&lt;הגדרות!$E$8*(הגדרות!$E$7+1),INT((H4198-1)/(הגדרות!$E$7+1)),הגדרות!$E$8+INT((H4198-1-הגדרות!$E$8*(הגדרות!$E$7+1))/הגדרות!$E$7)))</f>
        <v/>
      </c>
      <c r="J4198" s="0" t="str">
        <f aca="false">IF(I4198="","",IF(H4198-1&lt;הגדרות!$E$8*(הגדרות!$E$7+1),MOD(H4198-1,הגדרות!$E$7+1),MOD(H4198-1-הגדרות!$E$8*(הגדרות!$E$7+1),הגדרות!$E$7)))</f>
        <v/>
      </c>
      <c r="K4198" s="0" t="str">
        <f aca="false">IF(I4198="","",J4198*הגדרות!$E$6+I4198+1)</f>
        <v/>
      </c>
      <c r="L4198" s="0" t="str">
        <f aca="false">IF(K4198="","",MATCH(K4198,$F$2:$F$5001,0))</f>
        <v/>
      </c>
      <c r="M4198" s="0" t="str">
        <f aca="false">IF(I4198="","",INDEX(הגדרות!$A$2:$A$21,MOD(I4198+הגדרות!$E$9,הגדרות!$E$6)+1))</f>
        <v/>
      </c>
    </row>
    <row r="4199" customFormat="false" ht="15" hidden="false" customHeight="false" outlineLevel="0" collapsed="false">
      <c r="A4199" s="0" t="str">
        <f aca="false">IF('הדבקת לידים'!A4199="","",IF(ISNUMBER('הדבקת לידים'!A4199),IF(הגדרות!$E$2&gt;0,TEXT('הדבקת לידים'!A4199,REPT("0",הגדרות!$E$2)),TEXT('הדבקת לידים'!A4199,"0")),TRIM('הדבקת לידים'!A4199)))</f>
        <v/>
      </c>
      <c r="B4199" s="0" t="str">
        <f aca="false">IF('הדבקת לידים'!B4199="","",IF(ISNUMBER('הדבקת לידים'!B4199),IF(הגדרות!$E$3&gt;0,TEXT('הדבקת לידים'!B4199,REPT("0",הגדרות!$E$3)),TEXT('הדבקת לידים'!B4199,"0")),TRIM('הדבקת לידים'!B4199)))</f>
        <v/>
      </c>
      <c r="C4199" s="0" t="n">
        <f aca="false">IF(OR(A4199&lt;&gt;"",B4199&lt;&gt;""),1,0)</f>
        <v>0</v>
      </c>
      <c r="D4199" s="0" t="str">
        <f aca="false">IF(C4199=1,MOD(ABS(SIN(ROW()*12.9898+'הדבקת לידים'!$F$2*78.233+IFERROR(--RIGHT(A4199,6),LEN(A4199))*0.0137+IFERROR(--RIGHT(B4199,6),LEN(B4199))*0.0071))*43758.5453,1),"")</f>
        <v/>
      </c>
      <c r="E4199" s="0" t="str">
        <f aca="false">IF(C4199=1,INT(MOD(ABS(SIN(D4199*7919.123+ROW()*0.618+'הדבקת לידים'!$F$2*1.3))*43758.5453,1)*1000000)*10000+ROW(),"")</f>
        <v/>
      </c>
      <c r="F4199" s="0" t="str">
        <f aca="false">IF(E4199="","",RANK(E4199,$E$2:$E$5001,1))</f>
        <v/>
      </c>
      <c r="G4199" s="0" t="n">
        <f aca="false">IF(A4199="",0,IF(SUMPRODUCT(--($A$2:$A$5001=A4199))&gt;1,1,0))</f>
        <v>0</v>
      </c>
      <c r="H4199" s="0" t="n">
        <f aca="false">ROW()-1</f>
        <v>4198</v>
      </c>
      <c r="I4199" s="0" t="str">
        <f aca="false">IF(OR(הגדרות!$E$6=0,H4199&gt;הגדרות!$E$5),"",IF(H4199-1&lt;הגדרות!$E$8*(הגדרות!$E$7+1),INT((H4199-1)/(הגדרות!$E$7+1)),הגדרות!$E$8+INT((H4199-1-הגדרות!$E$8*(הגדרות!$E$7+1))/הגדרות!$E$7)))</f>
        <v/>
      </c>
      <c r="J4199" s="0" t="str">
        <f aca="false">IF(I4199="","",IF(H4199-1&lt;הגדרות!$E$8*(הגדרות!$E$7+1),MOD(H4199-1,הגדרות!$E$7+1),MOD(H4199-1-הגדרות!$E$8*(הגדרות!$E$7+1),הגדרות!$E$7)))</f>
        <v/>
      </c>
      <c r="K4199" s="0" t="str">
        <f aca="false">IF(I4199="","",J4199*הגדרות!$E$6+I4199+1)</f>
        <v/>
      </c>
      <c r="L4199" s="0" t="str">
        <f aca="false">IF(K4199="","",MATCH(K4199,$F$2:$F$5001,0))</f>
        <v/>
      </c>
      <c r="M4199" s="0" t="str">
        <f aca="false">IF(I4199="","",INDEX(הגדרות!$A$2:$A$21,MOD(I4199+הגדרות!$E$9,הגדרות!$E$6)+1))</f>
        <v/>
      </c>
    </row>
    <row r="4200" customFormat="false" ht="15" hidden="false" customHeight="false" outlineLevel="0" collapsed="false">
      <c r="A4200" s="0" t="str">
        <f aca="false">IF('הדבקת לידים'!A4200="","",IF(ISNUMBER('הדבקת לידים'!A4200),IF(הגדרות!$E$2&gt;0,TEXT('הדבקת לידים'!A4200,REPT("0",הגדרות!$E$2)),TEXT('הדבקת לידים'!A4200,"0")),TRIM('הדבקת לידים'!A4200)))</f>
        <v/>
      </c>
      <c r="B4200" s="0" t="str">
        <f aca="false">IF('הדבקת לידים'!B4200="","",IF(ISNUMBER('הדבקת לידים'!B4200),IF(הגדרות!$E$3&gt;0,TEXT('הדבקת לידים'!B4200,REPT("0",הגדרות!$E$3)),TEXT('הדבקת לידים'!B4200,"0")),TRIM('הדבקת לידים'!B4200)))</f>
        <v/>
      </c>
      <c r="C4200" s="0" t="n">
        <f aca="false">IF(OR(A4200&lt;&gt;"",B4200&lt;&gt;""),1,0)</f>
        <v>0</v>
      </c>
      <c r="D4200" s="0" t="str">
        <f aca="false">IF(C4200=1,MOD(ABS(SIN(ROW()*12.9898+'הדבקת לידים'!$F$2*78.233+IFERROR(--RIGHT(A4200,6),LEN(A4200))*0.0137+IFERROR(--RIGHT(B4200,6),LEN(B4200))*0.0071))*43758.5453,1),"")</f>
        <v/>
      </c>
      <c r="E4200" s="0" t="str">
        <f aca="false">IF(C4200=1,INT(MOD(ABS(SIN(D4200*7919.123+ROW()*0.618+'הדבקת לידים'!$F$2*1.3))*43758.5453,1)*1000000)*10000+ROW(),"")</f>
        <v/>
      </c>
      <c r="F4200" s="0" t="str">
        <f aca="false">IF(E4200="","",RANK(E4200,$E$2:$E$5001,1))</f>
        <v/>
      </c>
      <c r="G4200" s="0" t="n">
        <f aca="false">IF(A4200="",0,IF(SUMPRODUCT(--($A$2:$A$5001=A4200))&gt;1,1,0))</f>
        <v>0</v>
      </c>
      <c r="H4200" s="0" t="n">
        <f aca="false">ROW()-1</f>
        <v>4199</v>
      </c>
      <c r="I4200" s="0" t="str">
        <f aca="false">IF(OR(הגדרות!$E$6=0,H4200&gt;הגדרות!$E$5),"",IF(H4200-1&lt;הגדרות!$E$8*(הגדרות!$E$7+1),INT((H4200-1)/(הגדרות!$E$7+1)),הגדרות!$E$8+INT((H4200-1-הגדרות!$E$8*(הגדרות!$E$7+1))/הגדרות!$E$7)))</f>
        <v/>
      </c>
      <c r="J4200" s="0" t="str">
        <f aca="false">IF(I4200="","",IF(H4200-1&lt;הגדרות!$E$8*(הגדרות!$E$7+1),MOD(H4200-1,הגדרות!$E$7+1),MOD(H4200-1-הגדרות!$E$8*(הגדרות!$E$7+1),הגדרות!$E$7)))</f>
        <v/>
      </c>
      <c r="K4200" s="0" t="str">
        <f aca="false">IF(I4200="","",J4200*הגדרות!$E$6+I4200+1)</f>
        <v/>
      </c>
      <c r="L4200" s="0" t="str">
        <f aca="false">IF(K4200="","",MATCH(K4200,$F$2:$F$5001,0))</f>
        <v/>
      </c>
      <c r="M4200" s="0" t="str">
        <f aca="false">IF(I4200="","",INDEX(הגדרות!$A$2:$A$21,MOD(I4200+הגדרות!$E$9,הגדרות!$E$6)+1))</f>
        <v/>
      </c>
    </row>
    <row r="4201" customFormat="false" ht="15" hidden="false" customHeight="false" outlineLevel="0" collapsed="false">
      <c r="A4201" s="0" t="str">
        <f aca="false">IF('הדבקת לידים'!A4201="","",IF(ISNUMBER('הדבקת לידים'!A4201),IF(הגדרות!$E$2&gt;0,TEXT('הדבקת לידים'!A4201,REPT("0",הגדרות!$E$2)),TEXT('הדבקת לידים'!A4201,"0")),TRIM('הדבקת לידים'!A4201)))</f>
        <v/>
      </c>
      <c r="B4201" s="0" t="str">
        <f aca="false">IF('הדבקת לידים'!B4201="","",IF(ISNUMBER('הדבקת לידים'!B4201),IF(הגדרות!$E$3&gt;0,TEXT('הדבקת לידים'!B4201,REPT("0",הגדרות!$E$3)),TEXT('הדבקת לידים'!B4201,"0")),TRIM('הדבקת לידים'!B4201)))</f>
        <v/>
      </c>
      <c r="C4201" s="0" t="n">
        <f aca="false">IF(OR(A4201&lt;&gt;"",B4201&lt;&gt;""),1,0)</f>
        <v>0</v>
      </c>
      <c r="D4201" s="0" t="str">
        <f aca="false">IF(C4201=1,MOD(ABS(SIN(ROW()*12.9898+'הדבקת לידים'!$F$2*78.233+IFERROR(--RIGHT(A4201,6),LEN(A4201))*0.0137+IFERROR(--RIGHT(B4201,6),LEN(B4201))*0.0071))*43758.5453,1),"")</f>
        <v/>
      </c>
      <c r="E4201" s="0" t="str">
        <f aca="false">IF(C4201=1,INT(MOD(ABS(SIN(D4201*7919.123+ROW()*0.618+'הדבקת לידים'!$F$2*1.3))*43758.5453,1)*1000000)*10000+ROW(),"")</f>
        <v/>
      </c>
      <c r="F4201" s="0" t="str">
        <f aca="false">IF(E4201="","",RANK(E4201,$E$2:$E$5001,1))</f>
        <v/>
      </c>
      <c r="G4201" s="0" t="n">
        <f aca="false">IF(A4201="",0,IF(SUMPRODUCT(--($A$2:$A$5001=A4201))&gt;1,1,0))</f>
        <v>0</v>
      </c>
      <c r="H4201" s="0" t="n">
        <f aca="false">ROW()-1</f>
        <v>4200</v>
      </c>
      <c r="I4201" s="0" t="str">
        <f aca="false">IF(OR(הגדרות!$E$6=0,H4201&gt;הגדרות!$E$5),"",IF(H4201-1&lt;הגדרות!$E$8*(הגדרות!$E$7+1),INT((H4201-1)/(הגדרות!$E$7+1)),הגדרות!$E$8+INT((H4201-1-הגדרות!$E$8*(הגדרות!$E$7+1))/הגדרות!$E$7)))</f>
        <v/>
      </c>
      <c r="J4201" s="0" t="str">
        <f aca="false">IF(I4201="","",IF(H4201-1&lt;הגדרות!$E$8*(הגדרות!$E$7+1),MOD(H4201-1,הגדרות!$E$7+1),MOD(H4201-1-הגדרות!$E$8*(הגדרות!$E$7+1),הגדרות!$E$7)))</f>
        <v/>
      </c>
      <c r="K4201" s="0" t="str">
        <f aca="false">IF(I4201="","",J4201*הגדרות!$E$6+I4201+1)</f>
        <v/>
      </c>
      <c r="L4201" s="0" t="str">
        <f aca="false">IF(K4201="","",MATCH(K4201,$F$2:$F$5001,0))</f>
        <v/>
      </c>
      <c r="M4201" s="0" t="str">
        <f aca="false">IF(I4201="","",INDEX(הגדרות!$A$2:$A$21,MOD(I4201+הגדרות!$E$9,הגדרות!$E$6)+1))</f>
        <v/>
      </c>
    </row>
    <row r="4202" customFormat="false" ht="15" hidden="false" customHeight="false" outlineLevel="0" collapsed="false">
      <c r="A4202" s="0" t="str">
        <f aca="false">IF('הדבקת לידים'!A4202="","",IF(ISNUMBER('הדבקת לידים'!A4202),IF(הגדרות!$E$2&gt;0,TEXT('הדבקת לידים'!A4202,REPT("0",הגדרות!$E$2)),TEXT('הדבקת לידים'!A4202,"0")),TRIM('הדבקת לידים'!A4202)))</f>
        <v/>
      </c>
      <c r="B4202" s="0" t="str">
        <f aca="false">IF('הדבקת לידים'!B4202="","",IF(ISNUMBER('הדבקת לידים'!B4202),IF(הגדרות!$E$3&gt;0,TEXT('הדבקת לידים'!B4202,REPT("0",הגדרות!$E$3)),TEXT('הדבקת לידים'!B4202,"0")),TRIM('הדבקת לידים'!B4202)))</f>
        <v/>
      </c>
      <c r="C4202" s="0" t="n">
        <f aca="false">IF(OR(A4202&lt;&gt;"",B4202&lt;&gt;""),1,0)</f>
        <v>0</v>
      </c>
      <c r="D4202" s="0" t="str">
        <f aca="false">IF(C4202=1,MOD(ABS(SIN(ROW()*12.9898+'הדבקת לידים'!$F$2*78.233+IFERROR(--RIGHT(A4202,6),LEN(A4202))*0.0137+IFERROR(--RIGHT(B4202,6),LEN(B4202))*0.0071))*43758.5453,1),"")</f>
        <v/>
      </c>
      <c r="E4202" s="0" t="str">
        <f aca="false">IF(C4202=1,INT(MOD(ABS(SIN(D4202*7919.123+ROW()*0.618+'הדבקת לידים'!$F$2*1.3))*43758.5453,1)*1000000)*10000+ROW(),"")</f>
        <v/>
      </c>
      <c r="F4202" s="0" t="str">
        <f aca="false">IF(E4202="","",RANK(E4202,$E$2:$E$5001,1))</f>
        <v/>
      </c>
      <c r="G4202" s="0" t="n">
        <f aca="false">IF(A4202="",0,IF(SUMPRODUCT(--($A$2:$A$5001=A4202))&gt;1,1,0))</f>
        <v>0</v>
      </c>
      <c r="H4202" s="0" t="n">
        <f aca="false">ROW()-1</f>
        <v>4201</v>
      </c>
      <c r="I4202" s="0" t="str">
        <f aca="false">IF(OR(הגדרות!$E$6=0,H4202&gt;הגדרות!$E$5),"",IF(H4202-1&lt;הגדרות!$E$8*(הגדרות!$E$7+1),INT((H4202-1)/(הגדרות!$E$7+1)),הגדרות!$E$8+INT((H4202-1-הגדרות!$E$8*(הגדרות!$E$7+1))/הגדרות!$E$7)))</f>
        <v/>
      </c>
      <c r="J4202" s="0" t="str">
        <f aca="false">IF(I4202="","",IF(H4202-1&lt;הגדרות!$E$8*(הגדרות!$E$7+1),MOD(H4202-1,הגדרות!$E$7+1),MOD(H4202-1-הגדרות!$E$8*(הגדרות!$E$7+1),הגדרות!$E$7)))</f>
        <v/>
      </c>
      <c r="K4202" s="0" t="str">
        <f aca="false">IF(I4202="","",J4202*הגדרות!$E$6+I4202+1)</f>
        <v/>
      </c>
      <c r="L4202" s="0" t="str">
        <f aca="false">IF(K4202="","",MATCH(K4202,$F$2:$F$5001,0))</f>
        <v/>
      </c>
      <c r="M4202" s="0" t="str">
        <f aca="false">IF(I4202="","",INDEX(הגדרות!$A$2:$A$21,MOD(I4202+הגדרות!$E$9,הגדרות!$E$6)+1))</f>
        <v/>
      </c>
    </row>
    <row r="4203" customFormat="false" ht="15" hidden="false" customHeight="false" outlineLevel="0" collapsed="false">
      <c r="A4203" s="0" t="str">
        <f aca="false">IF('הדבקת לידים'!A4203="","",IF(ISNUMBER('הדבקת לידים'!A4203),IF(הגדרות!$E$2&gt;0,TEXT('הדבקת לידים'!A4203,REPT("0",הגדרות!$E$2)),TEXT('הדבקת לידים'!A4203,"0")),TRIM('הדבקת לידים'!A4203)))</f>
        <v/>
      </c>
      <c r="B4203" s="0" t="str">
        <f aca="false">IF('הדבקת לידים'!B4203="","",IF(ISNUMBER('הדבקת לידים'!B4203),IF(הגדרות!$E$3&gt;0,TEXT('הדבקת לידים'!B4203,REPT("0",הגדרות!$E$3)),TEXT('הדבקת לידים'!B4203,"0")),TRIM('הדבקת לידים'!B4203)))</f>
        <v/>
      </c>
      <c r="C4203" s="0" t="n">
        <f aca="false">IF(OR(A4203&lt;&gt;"",B4203&lt;&gt;""),1,0)</f>
        <v>0</v>
      </c>
      <c r="D4203" s="0" t="str">
        <f aca="false">IF(C4203=1,MOD(ABS(SIN(ROW()*12.9898+'הדבקת לידים'!$F$2*78.233+IFERROR(--RIGHT(A4203,6),LEN(A4203))*0.0137+IFERROR(--RIGHT(B4203,6),LEN(B4203))*0.0071))*43758.5453,1),"")</f>
        <v/>
      </c>
      <c r="E4203" s="0" t="str">
        <f aca="false">IF(C4203=1,INT(MOD(ABS(SIN(D4203*7919.123+ROW()*0.618+'הדבקת לידים'!$F$2*1.3))*43758.5453,1)*1000000)*10000+ROW(),"")</f>
        <v/>
      </c>
      <c r="F4203" s="0" t="str">
        <f aca="false">IF(E4203="","",RANK(E4203,$E$2:$E$5001,1))</f>
        <v/>
      </c>
      <c r="G4203" s="0" t="n">
        <f aca="false">IF(A4203="",0,IF(SUMPRODUCT(--($A$2:$A$5001=A4203))&gt;1,1,0))</f>
        <v>0</v>
      </c>
      <c r="H4203" s="0" t="n">
        <f aca="false">ROW()-1</f>
        <v>4202</v>
      </c>
      <c r="I4203" s="0" t="str">
        <f aca="false">IF(OR(הגדרות!$E$6=0,H4203&gt;הגדרות!$E$5),"",IF(H4203-1&lt;הגדרות!$E$8*(הגדרות!$E$7+1),INT((H4203-1)/(הגדרות!$E$7+1)),הגדרות!$E$8+INT((H4203-1-הגדרות!$E$8*(הגדרות!$E$7+1))/הגדרות!$E$7)))</f>
        <v/>
      </c>
      <c r="J4203" s="0" t="str">
        <f aca="false">IF(I4203="","",IF(H4203-1&lt;הגדרות!$E$8*(הגדרות!$E$7+1),MOD(H4203-1,הגדרות!$E$7+1),MOD(H4203-1-הגדרות!$E$8*(הגדרות!$E$7+1),הגדרות!$E$7)))</f>
        <v/>
      </c>
      <c r="K4203" s="0" t="str">
        <f aca="false">IF(I4203="","",J4203*הגדרות!$E$6+I4203+1)</f>
        <v/>
      </c>
      <c r="L4203" s="0" t="str">
        <f aca="false">IF(K4203="","",MATCH(K4203,$F$2:$F$5001,0))</f>
        <v/>
      </c>
      <c r="M4203" s="0" t="str">
        <f aca="false">IF(I4203="","",INDEX(הגדרות!$A$2:$A$21,MOD(I4203+הגדרות!$E$9,הגדרות!$E$6)+1))</f>
        <v/>
      </c>
    </row>
    <row r="4204" customFormat="false" ht="15" hidden="false" customHeight="false" outlineLevel="0" collapsed="false">
      <c r="A4204" s="0" t="str">
        <f aca="false">IF('הדבקת לידים'!A4204="","",IF(ISNUMBER('הדבקת לידים'!A4204),IF(הגדרות!$E$2&gt;0,TEXT('הדבקת לידים'!A4204,REPT("0",הגדרות!$E$2)),TEXT('הדבקת לידים'!A4204,"0")),TRIM('הדבקת לידים'!A4204)))</f>
        <v/>
      </c>
      <c r="B4204" s="0" t="str">
        <f aca="false">IF('הדבקת לידים'!B4204="","",IF(ISNUMBER('הדבקת לידים'!B4204),IF(הגדרות!$E$3&gt;0,TEXT('הדבקת לידים'!B4204,REPT("0",הגדרות!$E$3)),TEXT('הדבקת לידים'!B4204,"0")),TRIM('הדבקת לידים'!B4204)))</f>
        <v/>
      </c>
      <c r="C4204" s="0" t="n">
        <f aca="false">IF(OR(A4204&lt;&gt;"",B4204&lt;&gt;""),1,0)</f>
        <v>0</v>
      </c>
      <c r="D4204" s="0" t="str">
        <f aca="false">IF(C4204=1,MOD(ABS(SIN(ROW()*12.9898+'הדבקת לידים'!$F$2*78.233+IFERROR(--RIGHT(A4204,6),LEN(A4204))*0.0137+IFERROR(--RIGHT(B4204,6),LEN(B4204))*0.0071))*43758.5453,1),"")</f>
        <v/>
      </c>
      <c r="E4204" s="0" t="str">
        <f aca="false">IF(C4204=1,INT(MOD(ABS(SIN(D4204*7919.123+ROW()*0.618+'הדבקת לידים'!$F$2*1.3))*43758.5453,1)*1000000)*10000+ROW(),"")</f>
        <v/>
      </c>
      <c r="F4204" s="0" t="str">
        <f aca="false">IF(E4204="","",RANK(E4204,$E$2:$E$5001,1))</f>
        <v/>
      </c>
      <c r="G4204" s="0" t="n">
        <f aca="false">IF(A4204="",0,IF(SUMPRODUCT(--($A$2:$A$5001=A4204))&gt;1,1,0))</f>
        <v>0</v>
      </c>
      <c r="H4204" s="0" t="n">
        <f aca="false">ROW()-1</f>
        <v>4203</v>
      </c>
      <c r="I4204" s="0" t="str">
        <f aca="false">IF(OR(הגדרות!$E$6=0,H4204&gt;הגדרות!$E$5),"",IF(H4204-1&lt;הגדרות!$E$8*(הגדרות!$E$7+1),INT((H4204-1)/(הגדרות!$E$7+1)),הגדרות!$E$8+INT((H4204-1-הגדרות!$E$8*(הגדרות!$E$7+1))/הגדרות!$E$7)))</f>
        <v/>
      </c>
      <c r="J4204" s="0" t="str">
        <f aca="false">IF(I4204="","",IF(H4204-1&lt;הגדרות!$E$8*(הגדרות!$E$7+1),MOD(H4204-1,הגדרות!$E$7+1),MOD(H4204-1-הגדרות!$E$8*(הגדרות!$E$7+1),הגדרות!$E$7)))</f>
        <v/>
      </c>
      <c r="K4204" s="0" t="str">
        <f aca="false">IF(I4204="","",J4204*הגדרות!$E$6+I4204+1)</f>
        <v/>
      </c>
      <c r="L4204" s="0" t="str">
        <f aca="false">IF(K4204="","",MATCH(K4204,$F$2:$F$5001,0))</f>
        <v/>
      </c>
      <c r="M4204" s="0" t="str">
        <f aca="false">IF(I4204="","",INDEX(הגדרות!$A$2:$A$21,MOD(I4204+הגדרות!$E$9,הגדרות!$E$6)+1))</f>
        <v/>
      </c>
    </row>
    <row r="4205" customFormat="false" ht="15" hidden="false" customHeight="false" outlineLevel="0" collapsed="false">
      <c r="A4205" s="0" t="str">
        <f aca="false">IF('הדבקת לידים'!A4205="","",IF(ISNUMBER('הדבקת לידים'!A4205),IF(הגדרות!$E$2&gt;0,TEXT('הדבקת לידים'!A4205,REPT("0",הגדרות!$E$2)),TEXT('הדבקת לידים'!A4205,"0")),TRIM('הדבקת לידים'!A4205)))</f>
        <v/>
      </c>
      <c r="B4205" s="0" t="str">
        <f aca="false">IF('הדבקת לידים'!B4205="","",IF(ISNUMBER('הדבקת לידים'!B4205),IF(הגדרות!$E$3&gt;0,TEXT('הדבקת לידים'!B4205,REPT("0",הגדרות!$E$3)),TEXT('הדבקת לידים'!B4205,"0")),TRIM('הדבקת לידים'!B4205)))</f>
        <v/>
      </c>
      <c r="C4205" s="0" t="n">
        <f aca="false">IF(OR(A4205&lt;&gt;"",B4205&lt;&gt;""),1,0)</f>
        <v>0</v>
      </c>
      <c r="D4205" s="0" t="str">
        <f aca="false">IF(C4205=1,MOD(ABS(SIN(ROW()*12.9898+'הדבקת לידים'!$F$2*78.233+IFERROR(--RIGHT(A4205,6),LEN(A4205))*0.0137+IFERROR(--RIGHT(B4205,6),LEN(B4205))*0.0071))*43758.5453,1),"")</f>
        <v/>
      </c>
      <c r="E4205" s="0" t="str">
        <f aca="false">IF(C4205=1,INT(MOD(ABS(SIN(D4205*7919.123+ROW()*0.618+'הדבקת לידים'!$F$2*1.3))*43758.5453,1)*1000000)*10000+ROW(),"")</f>
        <v/>
      </c>
      <c r="F4205" s="0" t="str">
        <f aca="false">IF(E4205="","",RANK(E4205,$E$2:$E$5001,1))</f>
        <v/>
      </c>
      <c r="G4205" s="0" t="n">
        <f aca="false">IF(A4205="",0,IF(SUMPRODUCT(--($A$2:$A$5001=A4205))&gt;1,1,0))</f>
        <v>0</v>
      </c>
      <c r="H4205" s="0" t="n">
        <f aca="false">ROW()-1</f>
        <v>4204</v>
      </c>
      <c r="I4205" s="0" t="str">
        <f aca="false">IF(OR(הגדרות!$E$6=0,H4205&gt;הגדרות!$E$5),"",IF(H4205-1&lt;הגדרות!$E$8*(הגדרות!$E$7+1),INT((H4205-1)/(הגדרות!$E$7+1)),הגדרות!$E$8+INT((H4205-1-הגדרות!$E$8*(הגדרות!$E$7+1))/הגדרות!$E$7)))</f>
        <v/>
      </c>
      <c r="J4205" s="0" t="str">
        <f aca="false">IF(I4205="","",IF(H4205-1&lt;הגדרות!$E$8*(הגדרות!$E$7+1),MOD(H4205-1,הגדרות!$E$7+1),MOD(H4205-1-הגדרות!$E$8*(הגדרות!$E$7+1),הגדרות!$E$7)))</f>
        <v/>
      </c>
      <c r="K4205" s="0" t="str">
        <f aca="false">IF(I4205="","",J4205*הגדרות!$E$6+I4205+1)</f>
        <v/>
      </c>
      <c r="L4205" s="0" t="str">
        <f aca="false">IF(K4205="","",MATCH(K4205,$F$2:$F$5001,0))</f>
        <v/>
      </c>
      <c r="M4205" s="0" t="str">
        <f aca="false">IF(I4205="","",INDEX(הגדרות!$A$2:$A$21,MOD(I4205+הגדרות!$E$9,הגדרות!$E$6)+1))</f>
        <v/>
      </c>
    </row>
    <row r="4206" customFormat="false" ht="15" hidden="false" customHeight="false" outlineLevel="0" collapsed="false">
      <c r="A4206" s="0" t="str">
        <f aca="false">IF('הדבקת לידים'!A4206="","",IF(ISNUMBER('הדבקת לידים'!A4206),IF(הגדרות!$E$2&gt;0,TEXT('הדבקת לידים'!A4206,REPT("0",הגדרות!$E$2)),TEXT('הדבקת לידים'!A4206,"0")),TRIM('הדבקת לידים'!A4206)))</f>
        <v/>
      </c>
      <c r="B4206" s="0" t="str">
        <f aca="false">IF('הדבקת לידים'!B4206="","",IF(ISNUMBER('הדבקת לידים'!B4206),IF(הגדרות!$E$3&gt;0,TEXT('הדבקת לידים'!B4206,REPT("0",הגדרות!$E$3)),TEXT('הדבקת לידים'!B4206,"0")),TRIM('הדבקת לידים'!B4206)))</f>
        <v/>
      </c>
      <c r="C4206" s="0" t="n">
        <f aca="false">IF(OR(A4206&lt;&gt;"",B4206&lt;&gt;""),1,0)</f>
        <v>0</v>
      </c>
      <c r="D4206" s="0" t="str">
        <f aca="false">IF(C4206=1,MOD(ABS(SIN(ROW()*12.9898+'הדבקת לידים'!$F$2*78.233+IFERROR(--RIGHT(A4206,6),LEN(A4206))*0.0137+IFERROR(--RIGHT(B4206,6),LEN(B4206))*0.0071))*43758.5453,1),"")</f>
        <v/>
      </c>
      <c r="E4206" s="0" t="str">
        <f aca="false">IF(C4206=1,INT(MOD(ABS(SIN(D4206*7919.123+ROW()*0.618+'הדבקת לידים'!$F$2*1.3))*43758.5453,1)*1000000)*10000+ROW(),"")</f>
        <v/>
      </c>
      <c r="F4206" s="0" t="str">
        <f aca="false">IF(E4206="","",RANK(E4206,$E$2:$E$5001,1))</f>
        <v/>
      </c>
      <c r="G4206" s="0" t="n">
        <f aca="false">IF(A4206="",0,IF(SUMPRODUCT(--($A$2:$A$5001=A4206))&gt;1,1,0))</f>
        <v>0</v>
      </c>
      <c r="H4206" s="0" t="n">
        <f aca="false">ROW()-1</f>
        <v>4205</v>
      </c>
      <c r="I4206" s="0" t="str">
        <f aca="false">IF(OR(הגדרות!$E$6=0,H4206&gt;הגדרות!$E$5),"",IF(H4206-1&lt;הגדרות!$E$8*(הגדרות!$E$7+1),INT((H4206-1)/(הגדרות!$E$7+1)),הגדרות!$E$8+INT((H4206-1-הגדרות!$E$8*(הגדרות!$E$7+1))/הגדרות!$E$7)))</f>
        <v/>
      </c>
      <c r="J4206" s="0" t="str">
        <f aca="false">IF(I4206="","",IF(H4206-1&lt;הגדרות!$E$8*(הגדרות!$E$7+1),MOD(H4206-1,הגדרות!$E$7+1),MOD(H4206-1-הגדרות!$E$8*(הגדרות!$E$7+1),הגדרות!$E$7)))</f>
        <v/>
      </c>
      <c r="K4206" s="0" t="str">
        <f aca="false">IF(I4206="","",J4206*הגדרות!$E$6+I4206+1)</f>
        <v/>
      </c>
      <c r="L4206" s="0" t="str">
        <f aca="false">IF(K4206="","",MATCH(K4206,$F$2:$F$5001,0))</f>
        <v/>
      </c>
      <c r="M4206" s="0" t="str">
        <f aca="false">IF(I4206="","",INDEX(הגדרות!$A$2:$A$21,MOD(I4206+הגדרות!$E$9,הגדרות!$E$6)+1))</f>
        <v/>
      </c>
    </row>
    <row r="4207" customFormat="false" ht="15" hidden="false" customHeight="false" outlineLevel="0" collapsed="false">
      <c r="A4207" s="0" t="str">
        <f aca="false">IF('הדבקת לידים'!A4207="","",IF(ISNUMBER('הדבקת לידים'!A4207),IF(הגדרות!$E$2&gt;0,TEXT('הדבקת לידים'!A4207,REPT("0",הגדרות!$E$2)),TEXT('הדבקת לידים'!A4207,"0")),TRIM('הדבקת לידים'!A4207)))</f>
        <v/>
      </c>
      <c r="B4207" s="0" t="str">
        <f aca="false">IF('הדבקת לידים'!B4207="","",IF(ISNUMBER('הדבקת לידים'!B4207),IF(הגדרות!$E$3&gt;0,TEXT('הדבקת לידים'!B4207,REPT("0",הגדרות!$E$3)),TEXT('הדבקת לידים'!B4207,"0")),TRIM('הדבקת לידים'!B4207)))</f>
        <v/>
      </c>
      <c r="C4207" s="0" t="n">
        <f aca="false">IF(OR(A4207&lt;&gt;"",B4207&lt;&gt;""),1,0)</f>
        <v>0</v>
      </c>
      <c r="D4207" s="0" t="str">
        <f aca="false">IF(C4207=1,MOD(ABS(SIN(ROW()*12.9898+'הדבקת לידים'!$F$2*78.233+IFERROR(--RIGHT(A4207,6),LEN(A4207))*0.0137+IFERROR(--RIGHT(B4207,6),LEN(B4207))*0.0071))*43758.5453,1),"")</f>
        <v/>
      </c>
      <c r="E4207" s="0" t="str">
        <f aca="false">IF(C4207=1,INT(MOD(ABS(SIN(D4207*7919.123+ROW()*0.618+'הדבקת לידים'!$F$2*1.3))*43758.5453,1)*1000000)*10000+ROW(),"")</f>
        <v/>
      </c>
      <c r="F4207" s="0" t="str">
        <f aca="false">IF(E4207="","",RANK(E4207,$E$2:$E$5001,1))</f>
        <v/>
      </c>
      <c r="G4207" s="0" t="n">
        <f aca="false">IF(A4207="",0,IF(SUMPRODUCT(--($A$2:$A$5001=A4207))&gt;1,1,0))</f>
        <v>0</v>
      </c>
      <c r="H4207" s="0" t="n">
        <f aca="false">ROW()-1</f>
        <v>4206</v>
      </c>
      <c r="I4207" s="0" t="str">
        <f aca="false">IF(OR(הגדרות!$E$6=0,H4207&gt;הגדרות!$E$5),"",IF(H4207-1&lt;הגדרות!$E$8*(הגדרות!$E$7+1),INT((H4207-1)/(הגדרות!$E$7+1)),הגדרות!$E$8+INT((H4207-1-הגדרות!$E$8*(הגדרות!$E$7+1))/הגדרות!$E$7)))</f>
        <v/>
      </c>
      <c r="J4207" s="0" t="str">
        <f aca="false">IF(I4207="","",IF(H4207-1&lt;הגדרות!$E$8*(הגדרות!$E$7+1),MOD(H4207-1,הגדרות!$E$7+1),MOD(H4207-1-הגדרות!$E$8*(הגדרות!$E$7+1),הגדרות!$E$7)))</f>
        <v/>
      </c>
      <c r="K4207" s="0" t="str">
        <f aca="false">IF(I4207="","",J4207*הגדרות!$E$6+I4207+1)</f>
        <v/>
      </c>
      <c r="L4207" s="0" t="str">
        <f aca="false">IF(K4207="","",MATCH(K4207,$F$2:$F$5001,0))</f>
        <v/>
      </c>
      <c r="M4207" s="0" t="str">
        <f aca="false">IF(I4207="","",INDEX(הגדרות!$A$2:$A$21,MOD(I4207+הגדרות!$E$9,הגדרות!$E$6)+1))</f>
        <v/>
      </c>
    </row>
    <row r="4208" customFormat="false" ht="15" hidden="false" customHeight="false" outlineLevel="0" collapsed="false">
      <c r="A4208" s="0" t="str">
        <f aca="false">IF('הדבקת לידים'!A4208="","",IF(ISNUMBER('הדבקת לידים'!A4208),IF(הגדרות!$E$2&gt;0,TEXT('הדבקת לידים'!A4208,REPT("0",הגדרות!$E$2)),TEXT('הדבקת לידים'!A4208,"0")),TRIM('הדבקת לידים'!A4208)))</f>
        <v/>
      </c>
      <c r="B4208" s="0" t="str">
        <f aca="false">IF('הדבקת לידים'!B4208="","",IF(ISNUMBER('הדבקת לידים'!B4208),IF(הגדרות!$E$3&gt;0,TEXT('הדבקת לידים'!B4208,REPT("0",הגדרות!$E$3)),TEXT('הדבקת לידים'!B4208,"0")),TRIM('הדבקת לידים'!B4208)))</f>
        <v/>
      </c>
      <c r="C4208" s="0" t="n">
        <f aca="false">IF(OR(A4208&lt;&gt;"",B4208&lt;&gt;""),1,0)</f>
        <v>0</v>
      </c>
      <c r="D4208" s="0" t="str">
        <f aca="false">IF(C4208=1,MOD(ABS(SIN(ROW()*12.9898+'הדבקת לידים'!$F$2*78.233+IFERROR(--RIGHT(A4208,6),LEN(A4208))*0.0137+IFERROR(--RIGHT(B4208,6),LEN(B4208))*0.0071))*43758.5453,1),"")</f>
        <v/>
      </c>
      <c r="E4208" s="0" t="str">
        <f aca="false">IF(C4208=1,INT(MOD(ABS(SIN(D4208*7919.123+ROW()*0.618+'הדבקת לידים'!$F$2*1.3))*43758.5453,1)*1000000)*10000+ROW(),"")</f>
        <v/>
      </c>
      <c r="F4208" s="0" t="str">
        <f aca="false">IF(E4208="","",RANK(E4208,$E$2:$E$5001,1))</f>
        <v/>
      </c>
      <c r="G4208" s="0" t="n">
        <f aca="false">IF(A4208="",0,IF(SUMPRODUCT(--($A$2:$A$5001=A4208))&gt;1,1,0))</f>
        <v>0</v>
      </c>
      <c r="H4208" s="0" t="n">
        <f aca="false">ROW()-1</f>
        <v>4207</v>
      </c>
      <c r="I4208" s="0" t="str">
        <f aca="false">IF(OR(הגדרות!$E$6=0,H4208&gt;הגדרות!$E$5),"",IF(H4208-1&lt;הגדרות!$E$8*(הגדרות!$E$7+1),INT((H4208-1)/(הגדרות!$E$7+1)),הגדרות!$E$8+INT((H4208-1-הגדרות!$E$8*(הגדרות!$E$7+1))/הגדרות!$E$7)))</f>
        <v/>
      </c>
      <c r="J4208" s="0" t="str">
        <f aca="false">IF(I4208="","",IF(H4208-1&lt;הגדרות!$E$8*(הגדרות!$E$7+1),MOD(H4208-1,הגדרות!$E$7+1),MOD(H4208-1-הגדרות!$E$8*(הגדרות!$E$7+1),הגדרות!$E$7)))</f>
        <v/>
      </c>
      <c r="K4208" s="0" t="str">
        <f aca="false">IF(I4208="","",J4208*הגדרות!$E$6+I4208+1)</f>
        <v/>
      </c>
      <c r="L4208" s="0" t="str">
        <f aca="false">IF(K4208="","",MATCH(K4208,$F$2:$F$5001,0))</f>
        <v/>
      </c>
      <c r="M4208" s="0" t="str">
        <f aca="false">IF(I4208="","",INDEX(הגדרות!$A$2:$A$21,MOD(I4208+הגדרות!$E$9,הגדרות!$E$6)+1))</f>
        <v/>
      </c>
    </row>
    <row r="4209" customFormat="false" ht="15" hidden="false" customHeight="false" outlineLevel="0" collapsed="false">
      <c r="A4209" s="0" t="str">
        <f aca="false">IF('הדבקת לידים'!A4209="","",IF(ISNUMBER('הדבקת לידים'!A4209),IF(הגדרות!$E$2&gt;0,TEXT('הדבקת לידים'!A4209,REPT("0",הגדרות!$E$2)),TEXT('הדבקת לידים'!A4209,"0")),TRIM('הדבקת לידים'!A4209)))</f>
        <v/>
      </c>
      <c r="B4209" s="0" t="str">
        <f aca="false">IF('הדבקת לידים'!B4209="","",IF(ISNUMBER('הדבקת לידים'!B4209),IF(הגדרות!$E$3&gt;0,TEXT('הדבקת לידים'!B4209,REPT("0",הגדרות!$E$3)),TEXT('הדבקת לידים'!B4209,"0")),TRIM('הדבקת לידים'!B4209)))</f>
        <v/>
      </c>
      <c r="C4209" s="0" t="n">
        <f aca="false">IF(OR(A4209&lt;&gt;"",B4209&lt;&gt;""),1,0)</f>
        <v>0</v>
      </c>
      <c r="D4209" s="0" t="str">
        <f aca="false">IF(C4209=1,MOD(ABS(SIN(ROW()*12.9898+'הדבקת לידים'!$F$2*78.233+IFERROR(--RIGHT(A4209,6),LEN(A4209))*0.0137+IFERROR(--RIGHT(B4209,6),LEN(B4209))*0.0071))*43758.5453,1),"")</f>
        <v/>
      </c>
      <c r="E4209" s="0" t="str">
        <f aca="false">IF(C4209=1,INT(MOD(ABS(SIN(D4209*7919.123+ROW()*0.618+'הדבקת לידים'!$F$2*1.3))*43758.5453,1)*1000000)*10000+ROW(),"")</f>
        <v/>
      </c>
      <c r="F4209" s="0" t="str">
        <f aca="false">IF(E4209="","",RANK(E4209,$E$2:$E$5001,1))</f>
        <v/>
      </c>
      <c r="G4209" s="0" t="n">
        <f aca="false">IF(A4209="",0,IF(SUMPRODUCT(--($A$2:$A$5001=A4209))&gt;1,1,0))</f>
        <v>0</v>
      </c>
      <c r="H4209" s="0" t="n">
        <f aca="false">ROW()-1</f>
        <v>4208</v>
      </c>
      <c r="I4209" s="0" t="str">
        <f aca="false">IF(OR(הגדרות!$E$6=0,H4209&gt;הגדרות!$E$5),"",IF(H4209-1&lt;הגדרות!$E$8*(הגדרות!$E$7+1),INT((H4209-1)/(הגדרות!$E$7+1)),הגדרות!$E$8+INT((H4209-1-הגדרות!$E$8*(הגדרות!$E$7+1))/הגדרות!$E$7)))</f>
        <v/>
      </c>
      <c r="J4209" s="0" t="str">
        <f aca="false">IF(I4209="","",IF(H4209-1&lt;הגדרות!$E$8*(הגדרות!$E$7+1),MOD(H4209-1,הגדרות!$E$7+1),MOD(H4209-1-הגדרות!$E$8*(הגדרות!$E$7+1),הגדרות!$E$7)))</f>
        <v/>
      </c>
      <c r="K4209" s="0" t="str">
        <f aca="false">IF(I4209="","",J4209*הגדרות!$E$6+I4209+1)</f>
        <v/>
      </c>
      <c r="L4209" s="0" t="str">
        <f aca="false">IF(K4209="","",MATCH(K4209,$F$2:$F$5001,0))</f>
        <v/>
      </c>
      <c r="M4209" s="0" t="str">
        <f aca="false">IF(I4209="","",INDEX(הגדרות!$A$2:$A$21,MOD(I4209+הגדרות!$E$9,הגדרות!$E$6)+1))</f>
        <v/>
      </c>
    </row>
    <row r="4210" customFormat="false" ht="15" hidden="false" customHeight="false" outlineLevel="0" collapsed="false">
      <c r="A4210" s="0" t="str">
        <f aca="false">IF('הדבקת לידים'!A4210="","",IF(ISNUMBER('הדבקת לידים'!A4210),IF(הגדרות!$E$2&gt;0,TEXT('הדבקת לידים'!A4210,REPT("0",הגדרות!$E$2)),TEXT('הדבקת לידים'!A4210,"0")),TRIM('הדבקת לידים'!A4210)))</f>
        <v/>
      </c>
      <c r="B4210" s="0" t="str">
        <f aca="false">IF('הדבקת לידים'!B4210="","",IF(ISNUMBER('הדבקת לידים'!B4210),IF(הגדרות!$E$3&gt;0,TEXT('הדבקת לידים'!B4210,REPT("0",הגדרות!$E$3)),TEXT('הדבקת לידים'!B4210,"0")),TRIM('הדבקת לידים'!B4210)))</f>
        <v/>
      </c>
      <c r="C4210" s="0" t="n">
        <f aca="false">IF(OR(A4210&lt;&gt;"",B4210&lt;&gt;""),1,0)</f>
        <v>0</v>
      </c>
      <c r="D4210" s="0" t="str">
        <f aca="false">IF(C4210=1,MOD(ABS(SIN(ROW()*12.9898+'הדבקת לידים'!$F$2*78.233+IFERROR(--RIGHT(A4210,6),LEN(A4210))*0.0137+IFERROR(--RIGHT(B4210,6),LEN(B4210))*0.0071))*43758.5453,1),"")</f>
        <v/>
      </c>
      <c r="E4210" s="0" t="str">
        <f aca="false">IF(C4210=1,INT(MOD(ABS(SIN(D4210*7919.123+ROW()*0.618+'הדבקת לידים'!$F$2*1.3))*43758.5453,1)*1000000)*10000+ROW(),"")</f>
        <v/>
      </c>
      <c r="F4210" s="0" t="str">
        <f aca="false">IF(E4210="","",RANK(E4210,$E$2:$E$5001,1))</f>
        <v/>
      </c>
      <c r="G4210" s="0" t="n">
        <f aca="false">IF(A4210="",0,IF(SUMPRODUCT(--($A$2:$A$5001=A4210))&gt;1,1,0))</f>
        <v>0</v>
      </c>
      <c r="H4210" s="0" t="n">
        <f aca="false">ROW()-1</f>
        <v>4209</v>
      </c>
      <c r="I4210" s="0" t="str">
        <f aca="false">IF(OR(הגדרות!$E$6=0,H4210&gt;הגדרות!$E$5),"",IF(H4210-1&lt;הגדרות!$E$8*(הגדרות!$E$7+1),INT((H4210-1)/(הגדרות!$E$7+1)),הגדרות!$E$8+INT((H4210-1-הגדרות!$E$8*(הגדרות!$E$7+1))/הגדרות!$E$7)))</f>
        <v/>
      </c>
      <c r="J4210" s="0" t="str">
        <f aca="false">IF(I4210="","",IF(H4210-1&lt;הגדרות!$E$8*(הגדרות!$E$7+1),MOD(H4210-1,הגדרות!$E$7+1),MOD(H4210-1-הגדרות!$E$8*(הגדרות!$E$7+1),הגדרות!$E$7)))</f>
        <v/>
      </c>
      <c r="K4210" s="0" t="str">
        <f aca="false">IF(I4210="","",J4210*הגדרות!$E$6+I4210+1)</f>
        <v/>
      </c>
      <c r="L4210" s="0" t="str">
        <f aca="false">IF(K4210="","",MATCH(K4210,$F$2:$F$5001,0))</f>
        <v/>
      </c>
      <c r="M4210" s="0" t="str">
        <f aca="false">IF(I4210="","",INDEX(הגדרות!$A$2:$A$21,MOD(I4210+הגדרות!$E$9,הגדרות!$E$6)+1))</f>
        <v/>
      </c>
    </row>
    <row r="4211" customFormat="false" ht="15" hidden="false" customHeight="false" outlineLevel="0" collapsed="false">
      <c r="A4211" s="0" t="str">
        <f aca="false">IF('הדבקת לידים'!A4211="","",IF(ISNUMBER('הדבקת לידים'!A4211),IF(הגדרות!$E$2&gt;0,TEXT('הדבקת לידים'!A4211,REPT("0",הגדרות!$E$2)),TEXT('הדבקת לידים'!A4211,"0")),TRIM('הדבקת לידים'!A4211)))</f>
        <v/>
      </c>
      <c r="B4211" s="0" t="str">
        <f aca="false">IF('הדבקת לידים'!B4211="","",IF(ISNUMBER('הדבקת לידים'!B4211),IF(הגדרות!$E$3&gt;0,TEXT('הדבקת לידים'!B4211,REPT("0",הגדרות!$E$3)),TEXT('הדבקת לידים'!B4211,"0")),TRIM('הדבקת לידים'!B4211)))</f>
        <v/>
      </c>
      <c r="C4211" s="0" t="n">
        <f aca="false">IF(OR(A4211&lt;&gt;"",B4211&lt;&gt;""),1,0)</f>
        <v>0</v>
      </c>
      <c r="D4211" s="0" t="str">
        <f aca="false">IF(C4211=1,MOD(ABS(SIN(ROW()*12.9898+'הדבקת לידים'!$F$2*78.233+IFERROR(--RIGHT(A4211,6),LEN(A4211))*0.0137+IFERROR(--RIGHT(B4211,6),LEN(B4211))*0.0071))*43758.5453,1),"")</f>
        <v/>
      </c>
      <c r="E4211" s="0" t="str">
        <f aca="false">IF(C4211=1,INT(MOD(ABS(SIN(D4211*7919.123+ROW()*0.618+'הדבקת לידים'!$F$2*1.3))*43758.5453,1)*1000000)*10000+ROW(),"")</f>
        <v/>
      </c>
      <c r="F4211" s="0" t="str">
        <f aca="false">IF(E4211="","",RANK(E4211,$E$2:$E$5001,1))</f>
        <v/>
      </c>
      <c r="G4211" s="0" t="n">
        <f aca="false">IF(A4211="",0,IF(SUMPRODUCT(--($A$2:$A$5001=A4211))&gt;1,1,0))</f>
        <v>0</v>
      </c>
      <c r="H4211" s="0" t="n">
        <f aca="false">ROW()-1</f>
        <v>4210</v>
      </c>
      <c r="I4211" s="0" t="str">
        <f aca="false">IF(OR(הגדרות!$E$6=0,H4211&gt;הגדרות!$E$5),"",IF(H4211-1&lt;הגדרות!$E$8*(הגדרות!$E$7+1),INT((H4211-1)/(הגדרות!$E$7+1)),הגדרות!$E$8+INT((H4211-1-הגדרות!$E$8*(הגדרות!$E$7+1))/הגדרות!$E$7)))</f>
        <v/>
      </c>
      <c r="J4211" s="0" t="str">
        <f aca="false">IF(I4211="","",IF(H4211-1&lt;הגדרות!$E$8*(הגדרות!$E$7+1),MOD(H4211-1,הגדרות!$E$7+1),MOD(H4211-1-הגדרות!$E$8*(הגדרות!$E$7+1),הגדרות!$E$7)))</f>
        <v/>
      </c>
      <c r="K4211" s="0" t="str">
        <f aca="false">IF(I4211="","",J4211*הגדרות!$E$6+I4211+1)</f>
        <v/>
      </c>
      <c r="L4211" s="0" t="str">
        <f aca="false">IF(K4211="","",MATCH(K4211,$F$2:$F$5001,0))</f>
        <v/>
      </c>
      <c r="M4211" s="0" t="str">
        <f aca="false">IF(I4211="","",INDEX(הגדרות!$A$2:$A$21,MOD(I4211+הגדרות!$E$9,הגדרות!$E$6)+1))</f>
        <v/>
      </c>
    </row>
    <row r="4212" customFormat="false" ht="15" hidden="false" customHeight="false" outlineLevel="0" collapsed="false">
      <c r="A4212" s="0" t="str">
        <f aca="false">IF('הדבקת לידים'!A4212="","",IF(ISNUMBER('הדבקת לידים'!A4212),IF(הגדרות!$E$2&gt;0,TEXT('הדבקת לידים'!A4212,REPT("0",הגדרות!$E$2)),TEXT('הדבקת לידים'!A4212,"0")),TRIM('הדבקת לידים'!A4212)))</f>
        <v/>
      </c>
      <c r="B4212" s="0" t="str">
        <f aca="false">IF('הדבקת לידים'!B4212="","",IF(ISNUMBER('הדבקת לידים'!B4212),IF(הגדרות!$E$3&gt;0,TEXT('הדבקת לידים'!B4212,REPT("0",הגדרות!$E$3)),TEXT('הדבקת לידים'!B4212,"0")),TRIM('הדבקת לידים'!B4212)))</f>
        <v/>
      </c>
      <c r="C4212" s="0" t="n">
        <f aca="false">IF(OR(A4212&lt;&gt;"",B4212&lt;&gt;""),1,0)</f>
        <v>0</v>
      </c>
      <c r="D4212" s="0" t="str">
        <f aca="false">IF(C4212=1,MOD(ABS(SIN(ROW()*12.9898+'הדבקת לידים'!$F$2*78.233+IFERROR(--RIGHT(A4212,6),LEN(A4212))*0.0137+IFERROR(--RIGHT(B4212,6),LEN(B4212))*0.0071))*43758.5453,1),"")</f>
        <v/>
      </c>
      <c r="E4212" s="0" t="str">
        <f aca="false">IF(C4212=1,INT(MOD(ABS(SIN(D4212*7919.123+ROW()*0.618+'הדבקת לידים'!$F$2*1.3))*43758.5453,1)*1000000)*10000+ROW(),"")</f>
        <v/>
      </c>
      <c r="F4212" s="0" t="str">
        <f aca="false">IF(E4212="","",RANK(E4212,$E$2:$E$5001,1))</f>
        <v/>
      </c>
      <c r="G4212" s="0" t="n">
        <f aca="false">IF(A4212="",0,IF(SUMPRODUCT(--($A$2:$A$5001=A4212))&gt;1,1,0))</f>
        <v>0</v>
      </c>
      <c r="H4212" s="0" t="n">
        <f aca="false">ROW()-1</f>
        <v>4211</v>
      </c>
      <c r="I4212" s="0" t="str">
        <f aca="false">IF(OR(הגדרות!$E$6=0,H4212&gt;הגדרות!$E$5),"",IF(H4212-1&lt;הגדרות!$E$8*(הגדרות!$E$7+1),INT((H4212-1)/(הגדרות!$E$7+1)),הגדרות!$E$8+INT((H4212-1-הגדרות!$E$8*(הגדרות!$E$7+1))/הגדרות!$E$7)))</f>
        <v/>
      </c>
      <c r="J4212" s="0" t="str">
        <f aca="false">IF(I4212="","",IF(H4212-1&lt;הגדרות!$E$8*(הגדרות!$E$7+1),MOD(H4212-1,הגדרות!$E$7+1),MOD(H4212-1-הגדרות!$E$8*(הגדרות!$E$7+1),הגדרות!$E$7)))</f>
        <v/>
      </c>
      <c r="K4212" s="0" t="str">
        <f aca="false">IF(I4212="","",J4212*הגדרות!$E$6+I4212+1)</f>
        <v/>
      </c>
      <c r="L4212" s="0" t="str">
        <f aca="false">IF(K4212="","",MATCH(K4212,$F$2:$F$5001,0))</f>
        <v/>
      </c>
      <c r="M4212" s="0" t="str">
        <f aca="false">IF(I4212="","",INDEX(הגדרות!$A$2:$A$21,MOD(I4212+הגדרות!$E$9,הגדרות!$E$6)+1))</f>
        <v/>
      </c>
    </row>
    <row r="4213" customFormat="false" ht="15" hidden="false" customHeight="false" outlineLevel="0" collapsed="false">
      <c r="A4213" s="0" t="str">
        <f aca="false">IF('הדבקת לידים'!A4213="","",IF(ISNUMBER('הדבקת לידים'!A4213),IF(הגדרות!$E$2&gt;0,TEXT('הדבקת לידים'!A4213,REPT("0",הגדרות!$E$2)),TEXT('הדבקת לידים'!A4213,"0")),TRIM('הדבקת לידים'!A4213)))</f>
        <v/>
      </c>
      <c r="B4213" s="0" t="str">
        <f aca="false">IF('הדבקת לידים'!B4213="","",IF(ISNUMBER('הדבקת לידים'!B4213),IF(הגדרות!$E$3&gt;0,TEXT('הדבקת לידים'!B4213,REPT("0",הגדרות!$E$3)),TEXT('הדבקת לידים'!B4213,"0")),TRIM('הדבקת לידים'!B4213)))</f>
        <v/>
      </c>
      <c r="C4213" s="0" t="n">
        <f aca="false">IF(OR(A4213&lt;&gt;"",B4213&lt;&gt;""),1,0)</f>
        <v>0</v>
      </c>
      <c r="D4213" s="0" t="str">
        <f aca="false">IF(C4213=1,MOD(ABS(SIN(ROW()*12.9898+'הדבקת לידים'!$F$2*78.233+IFERROR(--RIGHT(A4213,6),LEN(A4213))*0.0137+IFERROR(--RIGHT(B4213,6),LEN(B4213))*0.0071))*43758.5453,1),"")</f>
        <v/>
      </c>
      <c r="E4213" s="0" t="str">
        <f aca="false">IF(C4213=1,INT(MOD(ABS(SIN(D4213*7919.123+ROW()*0.618+'הדבקת לידים'!$F$2*1.3))*43758.5453,1)*1000000)*10000+ROW(),"")</f>
        <v/>
      </c>
      <c r="F4213" s="0" t="str">
        <f aca="false">IF(E4213="","",RANK(E4213,$E$2:$E$5001,1))</f>
        <v/>
      </c>
      <c r="G4213" s="0" t="n">
        <f aca="false">IF(A4213="",0,IF(SUMPRODUCT(--($A$2:$A$5001=A4213))&gt;1,1,0))</f>
        <v>0</v>
      </c>
      <c r="H4213" s="0" t="n">
        <f aca="false">ROW()-1</f>
        <v>4212</v>
      </c>
      <c r="I4213" s="0" t="str">
        <f aca="false">IF(OR(הגדרות!$E$6=0,H4213&gt;הגדרות!$E$5),"",IF(H4213-1&lt;הגדרות!$E$8*(הגדרות!$E$7+1),INT((H4213-1)/(הגדרות!$E$7+1)),הגדרות!$E$8+INT((H4213-1-הגדרות!$E$8*(הגדרות!$E$7+1))/הגדרות!$E$7)))</f>
        <v/>
      </c>
      <c r="J4213" s="0" t="str">
        <f aca="false">IF(I4213="","",IF(H4213-1&lt;הגדרות!$E$8*(הגדרות!$E$7+1),MOD(H4213-1,הגדרות!$E$7+1),MOD(H4213-1-הגדרות!$E$8*(הגדרות!$E$7+1),הגדרות!$E$7)))</f>
        <v/>
      </c>
      <c r="K4213" s="0" t="str">
        <f aca="false">IF(I4213="","",J4213*הגדרות!$E$6+I4213+1)</f>
        <v/>
      </c>
      <c r="L4213" s="0" t="str">
        <f aca="false">IF(K4213="","",MATCH(K4213,$F$2:$F$5001,0))</f>
        <v/>
      </c>
      <c r="M4213" s="0" t="str">
        <f aca="false">IF(I4213="","",INDEX(הגדרות!$A$2:$A$21,MOD(I4213+הגדרות!$E$9,הגדרות!$E$6)+1))</f>
        <v/>
      </c>
    </row>
    <row r="4214" customFormat="false" ht="15" hidden="false" customHeight="false" outlineLevel="0" collapsed="false">
      <c r="A4214" s="0" t="str">
        <f aca="false">IF('הדבקת לידים'!A4214="","",IF(ISNUMBER('הדבקת לידים'!A4214),IF(הגדרות!$E$2&gt;0,TEXT('הדבקת לידים'!A4214,REPT("0",הגדרות!$E$2)),TEXT('הדבקת לידים'!A4214,"0")),TRIM('הדבקת לידים'!A4214)))</f>
        <v/>
      </c>
      <c r="B4214" s="0" t="str">
        <f aca="false">IF('הדבקת לידים'!B4214="","",IF(ISNUMBER('הדבקת לידים'!B4214),IF(הגדרות!$E$3&gt;0,TEXT('הדבקת לידים'!B4214,REPT("0",הגדרות!$E$3)),TEXT('הדבקת לידים'!B4214,"0")),TRIM('הדבקת לידים'!B4214)))</f>
        <v/>
      </c>
      <c r="C4214" s="0" t="n">
        <f aca="false">IF(OR(A4214&lt;&gt;"",B4214&lt;&gt;""),1,0)</f>
        <v>0</v>
      </c>
      <c r="D4214" s="0" t="str">
        <f aca="false">IF(C4214=1,MOD(ABS(SIN(ROW()*12.9898+'הדבקת לידים'!$F$2*78.233+IFERROR(--RIGHT(A4214,6),LEN(A4214))*0.0137+IFERROR(--RIGHT(B4214,6),LEN(B4214))*0.0071))*43758.5453,1),"")</f>
        <v/>
      </c>
      <c r="E4214" s="0" t="str">
        <f aca="false">IF(C4214=1,INT(MOD(ABS(SIN(D4214*7919.123+ROW()*0.618+'הדבקת לידים'!$F$2*1.3))*43758.5453,1)*1000000)*10000+ROW(),"")</f>
        <v/>
      </c>
      <c r="F4214" s="0" t="str">
        <f aca="false">IF(E4214="","",RANK(E4214,$E$2:$E$5001,1))</f>
        <v/>
      </c>
      <c r="G4214" s="0" t="n">
        <f aca="false">IF(A4214="",0,IF(SUMPRODUCT(--($A$2:$A$5001=A4214))&gt;1,1,0))</f>
        <v>0</v>
      </c>
      <c r="H4214" s="0" t="n">
        <f aca="false">ROW()-1</f>
        <v>4213</v>
      </c>
      <c r="I4214" s="0" t="str">
        <f aca="false">IF(OR(הגדרות!$E$6=0,H4214&gt;הגדרות!$E$5),"",IF(H4214-1&lt;הגדרות!$E$8*(הגדרות!$E$7+1),INT((H4214-1)/(הגדרות!$E$7+1)),הגדרות!$E$8+INT((H4214-1-הגדרות!$E$8*(הגדרות!$E$7+1))/הגדרות!$E$7)))</f>
        <v/>
      </c>
      <c r="J4214" s="0" t="str">
        <f aca="false">IF(I4214="","",IF(H4214-1&lt;הגדרות!$E$8*(הגדרות!$E$7+1),MOD(H4214-1,הגדרות!$E$7+1),MOD(H4214-1-הגדרות!$E$8*(הגדרות!$E$7+1),הגדרות!$E$7)))</f>
        <v/>
      </c>
      <c r="K4214" s="0" t="str">
        <f aca="false">IF(I4214="","",J4214*הגדרות!$E$6+I4214+1)</f>
        <v/>
      </c>
      <c r="L4214" s="0" t="str">
        <f aca="false">IF(K4214="","",MATCH(K4214,$F$2:$F$5001,0))</f>
        <v/>
      </c>
      <c r="M4214" s="0" t="str">
        <f aca="false">IF(I4214="","",INDEX(הגדרות!$A$2:$A$21,MOD(I4214+הגדרות!$E$9,הגדרות!$E$6)+1))</f>
        <v/>
      </c>
    </row>
    <row r="4215" customFormat="false" ht="15" hidden="false" customHeight="false" outlineLevel="0" collapsed="false">
      <c r="A4215" s="0" t="str">
        <f aca="false">IF('הדבקת לידים'!A4215="","",IF(ISNUMBER('הדבקת לידים'!A4215),IF(הגדרות!$E$2&gt;0,TEXT('הדבקת לידים'!A4215,REPT("0",הגדרות!$E$2)),TEXT('הדבקת לידים'!A4215,"0")),TRIM('הדבקת לידים'!A4215)))</f>
        <v/>
      </c>
      <c r="B4215" s="0" t="str">
        <f aca="false">IF('הדבקת לידים'!B4215="","",IF(ISNUMBER('הדבקת לידים'!B4215),IF(הגדרות!$E$3&gt;0,TEXT('הדבקת לידים'!B4215,REPT("0",הגדרות!$E$3)),TEXT('הדבקת לידים'!B4215,"0")),TRIM('הדבקת לידים'!B4215)))</f>
        <v/>
      </c>
      <c r="C4215" s="0" t="n">
        <f aca="false">IF(OR(A4215&lt;&gt;"",B4215&lt;&gt;""),1,0)</f>
        <v>0</v>
      </c>
      <c r="D4215" s="0" t="str">
        <f aca="false">IF(C4215=1,MOD(ABS(SIN(ROW()*12.9898+'הדבקת לידים'!$F$2*78.233+IFERROR(--RIGHT(A4215,6),LEN(A4215))*0.0137+IFERROR(--RIGHT(B4215,6),LEN(B4215))*0.0071))*43758.5453,1),"")</f>
        <v/>
      </c>
      <c r="E4215" s="0" t="str">
        <f aca="false">IF(C4215=1,INT(MOD(ABS(SIN(D4215*7919.123+ROW()*0.618+'הדבקת לידים'!$F$2*1.3))*43758.5453,1)*1000000)*10000+ROW(),"")</f>
        <v/>
      </c>
      <c r="F4215" s="0" t="str">
        <f aca="false">IF(E4215="","",RANK(E4215,$E$2:$E$5001,1))</f>
        <v/>
      </c>
      <c r="G4215" s="0" t="n">
        <f aca="false">IF(A4215="",0,IF(SUMPRODUCT(--($A$2:$A$5001=A4215))&gt;1,1,0))</f>
        <v>0</v>
      </c>
      <c r="H4215" s="0" t="n">
        <f aca="false">ROW()-1</f>
        <v>4214</v>
      </c>
      <c r="I4215" s="0" t="str">
        <f aca="false">IF(OR(הגדרות!$E$6=0,H4215&gt;הגדרות!$E$5),"",IF(H4215-1&lt;הגדרות!$E$8*(הגדרות!$E$7+1),INT((H4215-1)/(הגדרות!$E$7+1)),הגדרות!$E$8+INT((H4215-1-הגדרות!$E$8*(הגדרות!$E$7+1))/הגדרות!$E$7)))</f>
        <v/>
      </c>
      <c r="J4215" s="0" t="str">
        <f aca="false">IF(I4215="","",IF(H4215-1&lt;הגדרות!$E$8*(הגדרות!$E$7+1),MOD(H4215-1,הגדרות!$E$7+1),MOD(H4215-1-הגדרות!$E$8*(הגדרות!$E$7+1),הגדרות!$E$7)))</f>
        <v/>
      </c>
      <c r="K4215" s="0" t="str">
        <f aca="false">IF(I4215="","",J4215*הגדרות!$E$6+I4215+1)</f>
        <v/>
      </c>
      <c r="L4215" s="0" t="str">
        <f aca="false">IF(K4215="","",MATCH(K4215,$F$2:$F$5001,0))</f>
        <v/>
      </c>
      <c r="M4215" s="0" t="str">
        <f aca="false">IF(I4215="","",INDEX(הגדרות!$A$2:$A$21,MOD(I4215+הגדרות!$E$9,הגדרות!$E$6)+1))</f>
        <v/>
      </c>
    </row>
    <row r="4216" customFormat="false" ht="15" hidden="false" customHeight="false" outlineLevel="0" collapsed="false">
      <c r="A4216" s="0" t="str">
        <f aca="false">IF('הדבקת לידים'!A4216="","",IF(ISNUMBER('הדבקת לידים'!A4216),IF(הגדרות!$E$2&gt;0,TEXT('הדבקת לידים'!A4216,REPT("0",הגדרות!$E$2)),TEXT('הדבקת לידים'!A4216,"0")),TRIM('הדבקת לידים'!A4216)))</f>
        <v/>
      </c>
      <c r="B4216" s="0" t="str">
        <f aca="false">IF('הדבקת לידים'!B4216="","",IF(ISNUMBER('הדבקת לידים'!B4216),IF(הגדרות!$E$3&gt;0,TEXT('הדבקת לידים'!B4216,REPT("0",הגדרות!$E$3)),TEXT('הדבקת לידים'!B4216,"0")),TRIM('הדבקת לידים'!B4216)))</f>
        <v/>
      </c>
      <c r="C4216" s="0" t="n">
        <f aca="false">IF(OR(A4216&lt;&gt;"",B4216&lt;&gt;""),1,0)</f>
        <v>0</v>
      </c>
      <c r="D4216" s="0" t="str">
        <f aca="false">IF(C4216=1,MOD(ABS(SIN(ROW()*12.9898+'הדבקת לידים'!$F$2*78.233+IFERROR(--RIGHT(A4216,6),LEN(A4216))*0.0137+IFERROR(--RIGHT(B4216,6),LEN(B4216))*0.0071))*43758.5453,1),"")</f>
        <v/>
      </c>
      <c r="E4216" s="0" t="str">
        <f aca="false">IF(C4216=1,INT(MOD(ABS(SIN(D4216*7919.123+ROW()*0.618+'הדבקת לידים'!$F$2*1.3))*43758.5453,1)*1000000)*10000+ROW(),"")</f>
        <v/>
      </c>
      <c r="F4216" s="0" t="str">
        <f aca="false">IF(E4216="","",RANK(E4216,$E$2:$E$5001,1))</f>
        <v/>
      </c>
      <c r="G4216" s="0" t="n">
        <f aca="false">IF(A4216="",0,IF(SUMPRODUCT(--($A$2:$A$5001=A4216))&gt;1,1,0))</f>
        <v>0</v>
      </c>
      <c r="H4216" s="0" t="n">
        <f aca="false">ROW()-1</f>
        <v>4215</v>
      </c>
      <c r="I4216" s="0" t="str">
        <f aca="false">IF(OR(הגדרות!$E$6=0,H4216&gt;הגדרות!$E$5),"",IF(H4216-1&lt;הגדרות!$E$8*(הגדרות!$E$7+1),INT((H4216-1)/(הגדרות!$E$7+1)),הגדרות!$E$8+INT((H4216-1-הגדרות!$E$8*(הגדרות!$E$7+1))/הגדרות!$E$7)))</f>
        <v/>
      </c>
      <c r="J4216" s="0" t="str">
        <f aca="false">IF(I4216="","",IF(H4216-1&lt;הגדרות!$E$8*(הגדרות!$E$7+1),MOD(H4216-1,הגדרות!$E$7+1),MOD(H4216-1-הגדרות!$E$8*(הגדרות!$E$7+1),הגדרות!$E$7)))</f>
        <v/>
      </c>
      <c r="K4216" s="0" t="str">
        <f aca="false">IF(I4216="","",J4216*הגדרות!$E$6+I4216+1)</f>
        <v/>
      </c>
      <c r="L4216" s="0" t="str">
        <f aca="false">IF(K4216="","",MATCH(K4216,$F$2:$F$5001,0))</f>
        <v/>
      </c>
      <c r="M4216" s="0" t="str">
        <f aca="false">IF(I4216="","",INDEX(הגדרות!$A$2:$A$21,MOD(I4216+הגדרות!$E$9,הגדרות!$E$6)+1))</f>
        <v/>
      </c>
    </row>
    <row r="4217" customFormat="false" ht="15" hidden="false" customHeight="false" outlineLevel="0" collapsed="false">
      <c r="A4217" s="0" t="str">
        <f aca="false">IF('הדבקת לידים'!A4217="","",IF(ISNUMBER('הדבקת לידים'!A4217),IF(הגדרות!$E$2&gt;0,TEXT('הדבקת לידים'!A4217,REPT("0",הגדרות!$E$2)),TEXT('הדבקת לידים'!A4217,"0")),TRIM('הדבקת לידים'!A4217)))</f>
        <v/>
      </c>
      <c r="B4217" s="0" t="str">
        <f aca="false">IF('הדבקת לידים'!B4217="","",IF(ISNUMBER('הדבקת לידים'!B4217),IF(הגדרות!$E$3&gt;0,TEXT('הדבקת לידים'!B4217,REPT("0",הגדרות!$E$3)),TEXT('הדבקת לידים'!B4217,"0")),TRIM('הדבקת לידים'!B4217)))</f>
        <v/>
      </c>
      <c r="C4217" s="0" t="n">
        <f aca="false">IF(OR(A4217&lt;&gt;"",B4217&lt;&gt;""),1,0)</f>
        <v>0</v>
      </c>
      <c r="D4217" s="0" t="str">
        <f aca="false">IF(C4217=1,MOD(ABS(SIN(ROW()*12.9898+'הדבקת לידים'!$F$2*78.233+IFERROR(--RIGHT(A4217,6),LEN(A4217))*0.0137+IFERROR(--RIGHT(B4217,6),LEN(B4217))*0.0071))*43758.5453,1),"")</f>
        <v/>
      </c>
      <c r="E4217" s="0" t="str">
        <f aca="false">IF(C4217=1,INT(MOD(ABS(SIN(D4217*7919.123+ROW()*0.618+'הדבקת לידים'!$F$2*1.3))*43758.5453,1)*1000000)*10000+ROW(),"")</f>
        <v/>
      </c>
      <c r="F4217" s="0" t="str">
        <f aca="false">IF(E4217="","",RANK(E4217,$E$2:$E$5001,1))</f>
        <v/>
      </c>
      <c r="G4217" s="0" t="n">
        <f aca="false">IF(A4217="",0,IF(SUMPRODUCT(--($A$2:$A$5001=A4217))&gt;1,1,0))</f>
        <v>0</v>
      </c>
      <c r="H4217" s="0" t="n">
        <f aca="false">ROW()-1</f>
        <v>4216</v>
      </c>
      <c r="I4217" s="0" t="str">
        <f aca="false">IF(OR(הגדרות!$E$6=0,H4217&gt;הגדרות!$E$5),"",IF(H4217-1&lt;הגדרות!$E$8*(הגדרות!$E$7+1),INT((H4217-1)/(הגדרות!$E$7+1)),הגדרות!$E$8+INT((H4217-1-הגדרות!$E$8*(הגדרות!$E$7+1))/הגדרות!$E$7)))</f>
        <v/>
      </c>
      <c r="J4217" s="0" t="str">
        <f aca="false">IF(I4217="","",IF(H4217-1&lt;הגדרות!$E$8*(הגדרות!$E$7+1),MOD(H4217-1,הגדרות!$E$7+1),MOD(H4217-1-הגדרות!$E$8*(הגדרות!$E$7+1),הגדרות!$E$7)))</f>
        <v/>
      </c>
      <c r="K4217" s="0" t="str">
        <f aca="false">IF(I4217="","",J4217*הגדרות!$E$6+I4217+1)</f>
        <v/>
      </c>
      <c r="L4217" s="0" t="str">
        <f aca="false">IF(K4217="","",MATCH(K4217,$F$2:$F$5001,0))</f>
        <v/>
      </c>
      <c r="M4217" s="0" t="str">
        <f aca="false">IF(I4217="","",INDEX(הגדרות!$A$2:$A$21,MOD(I4217+הגדרות!$E$9,הגדרות!$E$6)+1))</f>
        <v/>
      </c>
    </row>
    <row r="4218" customFormat="false" ht="15" hidden="false" customHeight="false" outlineLevel="0" collapsed="false">
      <c r="A4218" s="0" t="str">
        <f aca="false">IF('הדבקת לידים'!A4218="","",IF(ISNUMBER('הדבקת לידים'!A4218),IF(הגדרות!$E$2&gt;0,TEXT('הדבקת לידים'!A4218,REPT("0",הגדרות!$E$2)),TEXT('הדבקת לידים'!A4218,"0")),TRIM('הדבקת לידים'!A4218)))</f>
        <v/>
      </c>
      <c r="B4218" s="0" t="str">
        <f aca="false">IF('הדבקת לידים'!B4218="","",IF(ISNUMBER('הדבקת לידים'!B4218),IF(הגדרות!$E$3&gt;0,TEXT('הדבקת לידים'!B4218,REPT("0",הגדרות!$E$3)),TEXT('הדבקת לידים'!B4218,"0")),TRIM('הדבקת לידים'!B4218)))</f>
        <v/>
      </c>
      <c r="C4218" s="0" t="n">
        <f aca="false">IF(OR(A4218&lt;&gt;"",B4218&lt;&gt;""),1,0)</f>
        <v>0</v>
      </c>
      <c r="D4218" s="0" t="str">
        <f aca="false">IF(C4218=1,MOD(ABS(SIN(ROW()*12.9898+'הדבקת לידים'!$F$2*78.233+IFERROR(--RIGHT(A4218,6),LEN(A4218))*0.0137+IFERROR(--RIGHT(B4218,6),LEN(B4218))*0.0071))*43758.5453,1),"")</f>
        <v/>
      </c>
      <c r="E4218" s="0" t="str">
        <f aca="false">IF(C4218=1,INT(MOD(ABS(SIN(D4218*7919.123+ROW()*0.618+'הדבקת לידים'!$F$2*1.3))*43758.5453,1)*1000000)*10000+ROW(),"")</f>
        <v/>
      </c>
      <c r="F4218" s="0" t="str">
        <f aca="false">IF(E4218="","",RANK(E4218,$E$2:$E$5001,1))</f>
        <v/>
      </c>
      <c r="G4218" s="0" t="n">
        <f aca="false">IF(A4218="",0,IF(SUMPRODUCT(--($A$2:$A$5001=A4218))&gt;1,1,0))</f>
        <v>0</v>
      </c>
      <c r="H4218" s="0" t="n">
        <f aca="false">ROW()-1</f>
        <v>4217</v>
      </c>
      <c r="I4218" s="0" t="str">
        <f aca="false">IF(OR(הגדרות!$E$6=0,H4218&gt;הגדרות!$E$5),"",IF(H4218-1&lt;הגדרות!$E$8*(הגדרות!$E$7+1),INT((H4218-1)/(הגדרות!$E$7+1)),הגדרות!$E$8+INT((H4218-1-הגדרות!$E$8*(הגדרות!$E$7+1))/הגדרות!$E$7)))</f>
        <v/>
      </c>
      <c r="J4218" s="0" t="str">
        <f aca="false">IF(I4218="","",IF(H4218-1&lt;הגדרות!$E$8*(הגדרות!$E$7+1),MOD(H4218-1,הגדרות!$E$7+1),MOD(H4218-1-הגדרות!$E$8*(הגדרות!$E$7+1),הגדרות!$E$7)))</f>
        <v/>
      </c>
      <c r="K4218" s="0" t="str">
        <f aca="false">IF(I4218="","",J4218*הגדרות!$E$6+I4218+1)</f>
        <v/>
      </c>
      <c r="L4218" s="0" t="str">
        <f aca="false">IF(K4218="","",MATCH(K4218,$F$2:$F$5001,0))</f>
        <v/>
      </c>
      <c r="M4218" s="0" t="str">
        <f aca="false">IF(I4218="","",INDEX(הגדרות!$A$2:$A$21,MOD(I4218+הגדרות!$E$9,הגדרות!$E$6)+1))</f>
        <v/>
      </c>
    </row>
    <row r="4219" customFormat="false" ht="15" hidden="false" customHeight="false" outlineLevel="0" collapsed="false">
      <c r="A4219" s="0" t="str">
        <f aca="false">IF('הדבקת לידים'!A4219="","",IF(ISNUMBER('הדבקת לידים'!A4219),IF(הגדרות!$E$2&gt;0,TEXT('הדבקת לידים'!A4219,REPT("0",הגדרות!$E$2)),TEXT('הדבקת לידים'!A4219,"0")),TRIM('הדבקת לידים'!A4219)))</f>
        <v/>
      </c>
      <c r="B4219" s="0" t="str">
        <f aca="false">IF('הדבקת לידים'!B4219="","",IF(ISNUMBER('הדבקת לידים'!B4219),IF(הגדרות!$E$3&gt;0,TEXT('הדבקת לידים'!B4219,REPT("0",הגדרות!$E$3)),TEXT('הדבקת לידים'!B4219,"0")),TRIM('הדבקת לידים'!B4219)))</f>
        <v/>
      </c>
      <c r="C4219" s="0" t="n">
        <f aca="false">IF(OR(A4219&lt;&gt;"",B4219&lt;&gt;""),1,0)</f>
        <v>0</v>
      </c>
      <c r="D4219" s="0" t="str">
        <f aca="false">IF(C4219=1,MOD(ABS(SIN(ROW()*12.9898+'הדבקת לידים'!$F$2*78.233+IFERROR(--RIGHT(A4219,6),LEN(A4219))*0.0137+IFERROR(--RIGHT(B4219,6),LEN(B4219))*0.0071))*43758.5453,1),"")</f>
        <v/>
      </c>
      <c r="E4219" s="0" t="str">
        <f aca="false">IF(C4219=1,INT(MOD(ABS(SIN(D4219*7919.123+ROW()*0.618+'הדבקת לידים'!$F$2*1.3))*43758.5453,1)*1000000)*10000+ROW(),"")</f>
        <v/>
      </c>
      <c r="F4219" s="0" t="str">
        <f aca="false">IF(E4219="","",RANK(E4219,$E$2:$E$5001,1))</f>
        <v/>
      </c>
      <c r="G4219" s="0" t="n">
        <f aca="false">IF(A4219="",0,IF(SUMPRODUCT(--($A$2:$A$5001=A4219))&gt;1,1,0))</f>
        <v>0</v>
      </c>
      <c r="H4219" s="0" t="n">
        <f aca="false">ROW()-1</f>
        <v>4218</v>
      </c>
      <c r="I4219" s="0" t="str">
        <f aca="false">IF(OR(הגדרות!$E$6=0,H4219&gt;הגדרות!$E$5),"",IF(H4219-1&lt;הגדרות!$E$8*(הגדרות!$E$7+1),INT((H4219-1)/(הגדרות!$E$7+1)),הגדרות!$E$8+INT((H4219-1-הגדרות!$E$8*(הגדרות!$E$7+1))/הגדרות!$E$7)))</f>
        <v/>
      </c>
      <c r="J4219" s="0" t="str">
        <f aca="false">IF(I4219="","",IF(H4219-1&lt;הגדרות!$E$8*(הגדרות!$E$7+1),MOD(H4219-1,הגדרות!$E$7+1),MOD(H4219-1-הגדרות!$E$8*(הגדרות!$E$7+1),הגדרות!$E$7)))</f>
        <v/>
      </c>
      <c r="K4219" s="0" t="str">
        <f aca="false">IF(I4219="","",J4219*הגדרות!$E$6+I4219+1)</f>
        <v/>
      </c>
      <c r="L4219" s="0" t="str">
        <f aca="false">IF(K4219="","",MATCH(K4219,$F$2:$F$5001,0))</f>
        <v/>
      </c>
      <c r="M4219" s="0" t="str">
        <f aca="false">IF(I4219="","",INDEX(הגדרות!$A$2:$A$21,MOD(I4219+הגדרות!$E$9,הגדרות!$E$6)+1))</f>
        <v/>
      </c>
    </row>
    <row r="4220" customFormat="false" ht="15" hidden="false" customHeight="false" outlineLevel="0" collapsed="false">
      <c r="A4220" s="0" t="str">
        <f aca="false">IF('הדבקת לידים'!A4220="","",IF(ISNUMBER('הדבקת לידים'!A4220),IF(הגדרות!$E$2&gt;0,TEXT('הדבקת לידים'!A4220,REPT("0",הגדרות!$E$2)),TEXT('הדבקת לידים'!A4220,"0")),TRIM('הדבקת לידים'!A4220)))</f>
        <v/>
      </c>
      <c r="B4220" s="0" t="str">
        <f aca="false">IF('הדבקת לידים'!B4220="","",IF(ISNUMBER('הדבקת לידים'!B4220),IF(הגדרות!$E$3&gt;0,TEXT('הדבקת לידים'!B4220,REPT("0",הגדרות!$E$3)),TEXT('הדבקת לידים'!B4220,"0")),TRIM('הדבקת לידים'!B4220)))</f>
        <v/>
      </c>
      <c r="C4220" s="0" t="n">
        <f aca="false">IF(OR(A4220&lt;&gt;"",B4220&lt;&gt;""),1,0)</f>
        <v>0</v>
      </c>
      <c r="D4220" s="0" t="str">
        <f aca="false">IF(C4220=1,MOD(ABS(SIN(ROW()*12.9898+'הדבקת לידים'!$F$2*78.233+IFERROR(--RIGHT(A4220,6),LEN(A4220))*0.0137+IFERROR(--RIGHT(B4220,6),LEN(B4220))*0.0071))*43758.5453,1),"")</f>
        <v/>
      </c>
      <c r="E4220" s="0" t="str">
        <f aca="false">IF(C4220=1,INT(MOD(ABS(SIN(D4220*7919.123+ROW()*0.618+'הדבקת לידים'!$F$2*1.3))*43758.5453,1)*1000000)*10000+ROW(),"")</f>
        <v/>
      </c>
      <c r="F4220" s="0" t="str">
        <f aca="false">IF(E4220="","",RANK(E4220,$E$2:$E$5001,1))</f>
        <v/>
      </c>
      <c r="G4220" s="0" t="n">
        <f aca="false">IF(A4220="",0,IF(SUMPRODUCT(--($A$2:$A$5001=A4220))&gt;1,1,0))</f>
        <v>0</v>
      </c>
      <c r="H4220" s="0" t="n">
        <f aca="false">ROW()-1</f>
        <v>4219</v>
      </c>
      <c r="I4220" s="0" t="str">
        <f aca="false">IF(OR(הגדרות!$E$6=0,H4220&gt;הגדרות!$E$5),"",IF(H4220-1&lt;הגדרות!$E$8*(הגדרות!$E$7+1),INT((H4220-1)/(הגדרות!$E$7+1)),הגדרות!$E$8+INT((H4220-1-הגדרות!$E$8*(הגדרות!$E$7+1))/הגדרות!$E$7)))</f>
        <v/>
      </c>
      <c r="J4220" s="0" t="str">
        <f aca="false">IF(I4220="","",IF(H4220-1&lt;הגדרות!$E$8*(הגדרות!$E$7+1),MOD(H4220-1,הגדרות!$E$7+1),MOD(H4220-1-הגדרות!$E$8*(הגדרות!$E$7+1),הגדרות!$E$7)))</f>
        <v/>
      </c>
      <c r="K4220" s="0" t="str">
        <f aca="false">IF(I4220="","",J4220*הגדרות!$E$6+I4220+1)</f>
        <v/>
      </c>
      <c r="L4220" s="0" t="str">
        <f aca="false">IF(K4220="","",MATCH(K4220,$F$2:$F$5001,0))</f>
        <v/>
      </c>
      <c r="M4220" s="0" t="str">
        <f aca="false">IF(I4220="","",INDEX(הגדרות!$A$2:$A$21,MOD(I4220+הגדרות!$E$9,הגדרות!$E$6)+1))</f>
        <v/>
      </c>
    </row>
    <row r="4221" customFormat="false" ht="15" hidden="false" customHeight="false" outlineLevel="0" collapsed="false">
      <c r="A4221" s="0" t="str">
        <f aca="false">IF('הדבקת לידים'!A4221="","",IF(ISNUMBER('הדבקת לידים'!A4221),IF(הגדרות!$E$2&gt;0,TEXT('הדבקת לידים'!A4221,REPT("0",הגדרות!$E$2)),TEXT('הדבקת לידים'!A4221,"0")),TRIM('הדבקת לידים'!A4221)))</f>
        <v/>
      </c>
      <c r="B4221" s="0" t="str">
        <f aca="false">IF('הדבקת לידים'!B4221="","",IF(ISNUMBER('הדבקת לידים'!B4221),IF(הגדרות!$E$3&gt;0,TEXT('הדבקת לידים'!B4221,REPT("0",הגדרות!$E$3)),TEXT('הדבקת לידים'!B4221,"0")),TRIM('הדבקת לידים'!B4221)))</f>
        <v/>
      </c>
      <c r="C4221" s="0" t="n">
        <f aca="false">IF(OR(A4221&lt;&gt;"",B4221&lt;&gt;""),1,0)</f>
        <v>0</v>
      </c>
      <c r="D4221" s="0" t="str">
        <f aca="false">IF(C4221=1,MOD(ABS(SIN(ROW()*12.9898+'הדבקת לידים'!$F$2*78.233+IFERROR(--RIGHT(A4221,6),LEN(A4221))*0.0137+IFERROR(--RIGHT(B4221,6),LEN(B4221))*0.0071))*43758.5453,1),"")</f>
        <v/>
      </c>
      <c r="E4221" s="0" t="str">
        <f aca="false">IF(C4221=1,INT(MOD(ABS(SIN(D4221*7919.123+ROW()*0.618+'הדבקת לידים'!$F$2*1.3))*43758.5453,1)*1000000)*10000+ROW(),"")</f>
        <v/>
      </c>
      <c r="F4221" s="0" t="str">
        <f aca="false">IF(E4221="","",RANK(E4221,$E$2:$E$5001,1))</f>
        <v/>
      </c>
      <c r="G4221" s="0" t="n">
        <f aca="false">IF(A4221="",0,IF(SUMPRODUCT(--($A$2:$A$5001=A4221))&gt;1,1,0))</f>
        <v>0</v>
      </c>
      <c r="H4221" s="0" t="n">
        <f aca="false">ROW()-1</f>
        <v>4220</v>
      </c>
      <c r="I4221" s="0" t="str">
        <f aca="false">IF(OR(הגדרות!$E$6=0,H4221&gt;הגדרות!$E$5),"",IF(H4221-1&lt;הגדרות!$E$8*(הגדרות!$E$7+1),INT((H4221-1)/(הגדרות!$E$7+1)),הגדרות!$E$8+INT((H4221-1-הגדרות!$E$8*(הגדרות!$E$7+1))/הגדרות!$E$7)))</f>
        <v/>
      </c>
      <c r="J4221" s="0" t="str">
        <f aca="false">IF(I4221="","",IF(H4221-1&lt;הגדרות!$E$8*(הגדרות!$E$7+1),MOD(H4221-1,הגדרות!$E$7+1),MOD(H4221-1-הגדרות!$E$8*(הגדרות!$E$7+1),הגדרות!$E$7)))</f>
        <v/>
      </c>
      <c r="K4221" s="0" t="str">
        <f aca="false">IF(I4221="","",J4221*הגדרות!$E$6+I4221+1)</f>
        <v/>
      </c>
      <c r="L4221" s="0" t="str">
        <f aca="false">IF(K4221="","",MATCH(K4221,$F$2:$F$5001,0))</f>
        <v/>
      </c>
      <c r="M4221" s="0" t="str">
        <f aca="false">IF(I4221="","",INDEX(הגדרות!$A$2:$A$21,MOD(I4221+הגדרות!$E$9,הגדרות!$E$6)+1))</f>
        <v/>
      </c>
    </row>
    <row r="4222" customFormat="false" ht="15" hidden="false" customHeight="false" outlineLevel="0" collapsed="false">
      <c r="A4222" s="0" t="str">
        <f aca="false">IF('הדבקת לידים'!A4222="","",IF(ISNUMBER('הדבקת לידים'!A4222),IF(הגדרות!$E$2&gt;0,TEXT('הדבקת לידים'!A4222,REPT("0",הגדרות!$E$2)),TEXT('הדבקת לידים'!A4222,"0")),TRIM('הדבקת לידים'!A4222)))</f>
        <v/>
      </c>
      <c r="B4222" s="0" t="str">
        <f aca="false">IF('הדבקת לידים'!B4222="","",IF(ISNUMBER('הדבקת לידים'!B4222),IF(הגדרות!$E$3&gt;0,TEXT('הדבקת לידים'!B4222,REPT("0",הגדרות!$E$3)),TEXT('הדבקת לידים'!B4222,"0")),TRIM('הדבקת לידים'!B4222)))</f>
        <v/>
      </c>
      <c r="C4222" s="0" t="n">
        <f aca="false">IF(OR(A4222&lt;&gt;"",B4222&lt;&gt;""),1,0)</f>
        <v>0</v>
      </c>
      <c r="D4222" s="0" t="str">
        <f aca="false">IF(C4222=1,MOD(ABS(SIN(ROW()*12.9898+'הדבקת לידים'!$F$2*78.233+IFERROR(--RIGHT(A4222,6),LEN(A4222))*0.0137+IFERROR(--RIGHT(B4222,6),LEN(B4222))*0.0071))*43758.5453,1),"")</f>
        <v/>
      </c>
      <c r="E4222" s="0" t="str">
        <f aca="false">IF(C4222=1,INT(MOD(ABS(SIN(D4222*7919.123+ROW()*0.618+'הדבקת לידים'!$F$2*1.3))*43758.5453,1)*1000000)*10000+ROW(),"")</f>
        <v/>
      </c>
      <c r="F4222" s="0" t="str">
        <f aca="false">IF(E4222="","",RANK(E4222,$E$2:$E$5001,1))</f>
        <v/>
      </c>
      <c r="G4222" s="0" t="n">
        <f aca="false">IF(A4222="",0,IF(SUMPRODUCT(--($A$2:$A$5001=A4222))&gt;1,1,0))</f>
        <v>0</v>
      </c>
      <c r="H4222" s="0" t="n">
        <f aca="false">ROW()-1</f>
        <v>4221</v>
      </c>
      <c r="I4222" s="0" t="str">
        <f aca="false">IF(OR(הגדרות!$E$6=0,H4222&gt;הגדרות!$E$5),"",IF(H4222-1&lt;הגדרות!$E$8*(הגדרות!$E$7+1),INT((H4222-1)/(הגדרות!$E$7+1)),הגדרות!$E$8+INT((H4222-1-הגדרות!$E$8*(הגדרות!$E$7+1))/הגדרות!$E$7)))</f>
        <v/>
      </c>
      <c r="J4222" s="0" t="str">
        <f aca="false">IF(I4222="","",IF(H4222-1&lt;הגדרות!$E$8*(הגדרות!$E$7+1),MOD(H4222-1,הגדרות!$E$7+1),MOD(H4222-1-הגדרות!$E$8*(הגדרות!$E$7+1),הגדרות!$E$7)))</f>
        <v/>
      </c>
      <c r="K4222" s="0" t="str">
        <f aca="false">IF(I4222="","",J4222*הגדרות!$E$6+I4222+1)</f>
        <v/>
      </c>
      <c r="L4222" s="0" t="str">
        <f aca="false">IF(K4222="","",MATCH(K4222,$F$2:$F$5001,0))</f>
        <v/>
      </c>
      <c r="M4222" s="0" t="str">
        <f aca="false">IF(I4222="","",INDEX(הגדרות!$A$2:$A$21,MOD(I4222+הגדרות!$E$9,הגדרות!$E$6)+1))</f>
        <v/>
      </c>
    </row>
    <row r="4223" customFormat="false" ht="15" hidden="false" customHeight="false" outlineLevel="0" collapsed="false">
      <c r="A4223" s="0" t="str">
        <f aca="false">IF('הדבקת לידים'!A4223="","",IF(ISNUMBER('הדבקת לידים'!A4223),IF(הגדרות!$E$2&gt;0,TEXT('הדבקת לידים'!A4223,REPT("0",הגדרות!$E$2)),TEXT('הדבקת לידים'!A4223,"0")),TRIM('הדבקת לידים'!A4223)))</f>
        <v/>
      </c>
      <c r="B4223" s="0" t="str">
        <f aca="false">IF('הדבקת לידים'!B4223="","",IF(ISNUMBER('הדבקת לידים'!B4223),IF(הגדרות!$E$3&gt;0,TEXT('הדבקת לידים'!B4223,REPT("0",הגדרות!$E$3)),TEXT('הדבקת לידים'!B4223,"0")),TRIM('הדבקת לידים'!B4223)))</f>
        <v/>
      </c>
      <c r="C4223" s="0" t="n">
        <f aca="false">IF(OR(A4223&lt;&gt;"",B4223&lt;&gt;""),1,0)</f>
        <v>0</v>
      </c>
      <c r="D4223" s="0" t="str">
        <f aca="false">IF(C4223=1,MOD(ABS(SIN(ROW()*12.9898+'הדבקת לידים'!$F$2*78.233+IFERROR(--RIGHT(A4223,6),LEN(A4223))*0.0137+IFERROR(--RIGHT(B4223,6),LEN(B4223))*0.0071))*43758.5453,1),"")</f>
        <v/>
      </c>
      <c r="E4223" s="0" t="str">
        <f aca="false">IF(C4223=1,INT(MOD(ABS(SIN(D4223*7919.123+ROW()*0.618+'הדבקת לידים'!$F$2*1.3))*43758.5453,1)*1000000)*10000+ROW(),"")</f>
        <v/>
      </c>
      <c r="F4223" s="0" t="str">
        <f aca="false">IF(E4223="","",RANK(E4223,$E$2:$E$5001,1))</f>
        <v/>
      </c>
      <c r="G4223" s="0" t="n">
        <f aca="false">IF(A4223="",0,IF(SUMPRODUCT(--($A$2:$A$5001=A4223))&gt;1,1,0))</f>
        <v>0</v>
      </c>
      <c r="H4223" s="0" t="n">
        <f aca="false">ROW()-1</f>
        <v>4222</v>
      </c>
      <c r="I4223" s="0" t="str">
        <f aca="false">IF(OR(הגדרות!$E$6=0,H4223&gt;הגדרות!$E$5),"",IF(H4223-1&lt;הגדרות!$E$8*(הגדרות!$E$7+1),INT((H4223-1)/(הגדרות!$E$7+1)),הגדרות!$E$8+INT((H4223-1-הגדרות!$E$8*(הגדרות!$E$7+1))/הגדרות!$E$7)))</f>
        <v/>
      </c>
      <c r="J4223" s="0" t="str">
        <f aca="false">IF(I4223="","",IF(H4223-1&lt;הגדרות!$E$8*(הגדרות!$E$7+1),MOD(H4223-1,הגדרות!$E$7+1),MOD(H4223-1-הגדרות!$E$8*(הגדרות!$E$7+1),הגדרות!$E$7)))</f>
        <v/>
      </c>
      <c r="K4223" s="0" t="str">
        <f aca="false">IF(I4223="","",J4223*הגדרות!$E$6+I4223+1)</f>
        <v/>
      </c>
      <c r="L4223" s="0" t="str">
        <f aca="false">IF(K4223="","",MATCH(K4223,$F$2:$F$5001,0))</f>
        <v/>
      </c>
      <c r="M4223" s="0" t="str">
        <f aca="false">IF(I4223="","",INDEX(הגדרות!$A$2:$A$21,MOD(I4223+הגדרות!$E$9,הגדרות!$E$6)+1))</f>
        <v/>
      </c>
    </row>
    <row r="4224" customFormat="false" ht="15" hidden="false" customHeight="false" outlineLevel="0" collapsed="false">
      <c r="A4224" s="0" t="str">
        <f aca="false">IF('הדבקת לידים'!A4224="","",IF(ISNUMBER('הדבקת לידים'!A4224),IF(הגדרות!$E$2&gt;0,TEXT('הדבקת לידים'!A4224,REPT("0",הגדרות!$E$2)),TEXT('הדבקת לידים'!A4224,"0")),TRIM('הדבקת לידים'!A4224)))</f>
        <v/>
      </c>
      <c r="B4224" s="0" t="str">
        <f aca="false">IF('הדבקת לידים'!B4224="","",IF(ISNUMBER('הדבקת לידים'!B4224),IF(הגדרות!$E$3&gt;0,TEXT('הדבקת לידים'!B4224,REPT("0",הגדרות!$E$3)),TEXT('הדבקת לידים'!B4224,"0")),TRIM('הדבקת לידים'!B4224)))</f>
        <v/>
      </c>
      <c r="C4224" s="0" t="n">
        <f aca="false">IF(OR(A4224&lt;&gt;"",B4224&lt;&gt;""),1,0)</f>
        <v>0</v>
      </c>
      <c r="D4224" s="0" t="str">
        <f aca="false">IF(C4224=1,MOD(ABS(SIN(ROW()*12.9898+'הדבקת לידים'!$F$2*78.233+IFERROR(--RIGHT(A4224,6),LEN(A4224))*0.0137+IFERROR(--RIGHT(B4224,6),LEN(B4224))*0.0071))*43758.5453,1),"")</f>
        <v/>
      </c>
      <c r="E4224" s="0" t="str">
        <f aca="false">IF(C4224=1,INT(MOD(ABS(SIN(D4224*7919.123+ROW()*0.618+'הדבקת לידים'!$F$2*1.3))*43758.5453,1)*1000000)*10000+ROW(),"")</f>
        <v/>
      </c>
      <c r="F4224" s="0" t="str">
        <f aca="false">IF(E4224="","",RANK(E4224,$E$2:$E$5001,1))</f>
        <v/>
      </c>
      <c r="G4224" s="0" t="n">
        <f aca="false">IF(A4224="",0,IF(SUMPRODUCT(--($A$2:$A$5001=A4224))&gt;1,1,0))</f>
        <v>0</v>
      </c>
      <c r="H4224" s="0" t="n">
        <f aca="false">ROW()-1</f>
        <v>4223</v>
      </c>
      <c r="I4224" s="0" t="str">
        <f aca="false">IF(OR(הגדרות!$E$6=0,H4224&gt;הגדרות!$E$5),"",IF(H4224-1&lt;הגדרות!$E$8*(הגדרות!$E$7+1),INT((H4224-1)/(הגדרות!$E$7+1)),הגדרות!$E$8+INT((H4224-1-הגדרות!$E$8*(הגדרות!$E$7+1))/הגדרות!$E$7)))</f>
        <v/>
      </c>
      <c r="J4224" s="0" t="str">
        <f aca="false">IF(I4224="","",IF(H4224-1&lt;הגדרות!$E$8*(הגדרות!$E$7+1),MOD(H4224-1,הגדרות!$E$7+1),MOD(H4224-1-הגדרות!$E$8*(הגדרות!$E$7+1),הגדרות!$E$7)))</f>
        <v/>
      </c>
      <c r="K4224" s="0" t="str">
        <f aca="false">IF(I4224="","",J4224*הגדרות!$E$6+I4224+1)</f>
        <v/>
      </c>
      <c r="L4224" s="0" t="str">
        <f aca="false">IF(K4224="","",MATCH(K4224,$F$2:$F$5001,0))</f>
        <v/>
      </c>
      <c r="M4224" s="0" t="str">
        <f aca="false">IF(I4224="","",INDEX(הגדרות!$A$2:$A$21,MOD(I4224+הגדרות!$E$9,הגדרות!$E$6)+1))</f>
        <v/>
      </c>
    </row>
    <row r="4225" customFormat="false" ht="15" hidden="false" customHeight="false" outlineLevel="0" collapsed="false">
      <c r="A4225" s="0" t="str">
        <f aca="false">IF('הדבקת לידים'!A4225="","",IF(ISNUMBER('הדבקת לידים'!A4225),IF(הגדרות!$E$2&gt;0,TEXT('הדבקת לידים'!A4225,REPT("0",הגדרות!$E$2)),TEXT('הדבקת לידים'!A4225,"0")),TRIM('הדבקת לידים'!A4225)))</f>
        <v/>
      </c>
      <c r="B4225" s="0" t="str">
        <f aca="false">IF('הדבקת לידים'!B4225="","",IF(ISNUMBER('הדבקת לידים'!B4225),IF(הגדרות!$E$3&gt;0,TEXT('הדבקת לידים'!B4225,REPT("0",הגדרות!$E$3)),TEXT('הדבקת לידים'!B4225,"0")),TRIM('הדבקת לידים'!B4225)))</f>
        <v/>
      </c>
      <c r="C4225" s="0" t="n">
        <f aca="false">IF(OR(A4225&lt;&gt;"",B4225&lt;&gt;""),1,0)</f>
        <v>0</v>
      </c>
      <c r="D4225" s="0" t="str">
        <f aca="false">IF(C4225=1,MOD(ABS(SIN(ROW()*12.9898+'הדבקת לידים'!$F$2*78.233+IFERROR(--RIGHT(A4225,6),LEN(A4225))*0.0137+IFERROR(--RIGHT(B4225,6),LEN(B4225))*0.0071))*43758.5453,1),"")</f>
        <v/>
      </c>
      <c r="E4225" s="0" t="str">
        <f aca="false">IF(C4225=1,INT(MOD(ABS(SIN(D4225*7919.123+ROW()*0.618+'הדבקת לידים'!$F$2*1.3))*43758.5453,1)*1000000)*10000+ROW(),"")</f>
        <v/>
      </c>
      <c r="F4225" s="0" t="str">
        <f aca="false">IF(E4225="","",RANK(E4225,$E$2:$E$5001,1))</f>
        <v/>
      </c>
      <c r="G4225" s="0" t="n">
        <f aca="false">IF(A4225="",0,IF(SUMPRODUCT(--($A$2:$A$5001=A4225))&gt;1,1,0))</f>
        <v>0</v>
      </c>
      <c r="H4225" s="0" t="n">
        <f aca="false">ROW()-1</f>
        <v>4224</v>
      </c>
      <c r="I4225" s="0" t="str">
        <f aca="false">IF(OR(הגדרות!$E$6=0,H4225&gt;הגדרות!$E$5),"",IF(H4225-1&lt;הגדרות!$E$8*(הגדרות!$E$7+1),INT((H4225-1)/(הגדרות!$E$7+1)),הגדרות!$E$8+INT((H4225-1-הגדרות!$E$8*(הגדרות!$E$7+1))/הגדרות!$E$7)))</f>
        <v/>
      </c>
      <c r="J4225" s="0" t="str">
        <f aca="false">IF(I4225="","",IF(H4225-1&lt;הגדרות!$E$8*(הגדרות!$E$7+1),MOD(H4225-1,הגדרות!$E$7+1),MOD(H4225-1-הגדרות!$E$8*(הגדרות!$E$7+1),הגדרות!$E$7)))</f>
        <v/>
      </c>
      <c r="K4225" s="0" t="str">
        <f aca="false">IF(I4225="","",J4225*הגדרות!$E$6+I4225+1)</f>
        <v/>
      </c>
      <c r="L4225" s="0" t="str">
        <f aca="false">IF(K4225="","",MATCH(K4225,$F$2:$F$5001,0))</f>
        <v/>
      </c>
      <c r="M4225" s="0" t="str">
        <f aca="false">IF(I4225="","",INDEX(הגדרות!$A$2:$A$21,MOD(I4225+הגדרות!$E$9,הגדרות!$E$6)+1))</f>
        <v/>
      </c>
    </row>
    <row r="4226" customFormat="false" ht="15" hidden="false" customHeight="false" outlineLevel="0" collapsed="false">
      <c r="A4226" s="0" t="str">
        <f aca="false">IF('הדבקת לידים'!A4226="","",IF(ISNUMBER('הדבקת לידים'!A4226),IF(הגדרות!$E$2&gt;0,TEXT('הדבקת לידים'!A4226,REPT("0",הגדרות!$E$2)),TEXT('הדבקת לידים'!A4226,"0")),TRIM('הדבקת לידים'!A4226)))</f>
        <v/>
      </c>
      <c r="B4226" s="0" t="str">
        <f aca="false">IF('הדבקת לידים'!B4226="","",IF(ISNUMBER('הדבקת לידים'!B4226),IF(הגדרות!$E$3&gt;0,TEXT('הדבקת לידים'!B4226,REPT("0",הגדרות!$E$3)),TEXT('הדבקת לידים'!B4226,"0")),TRIM('הדבקת לידים'!B4226)))</f>
        <v/>
      </c>
      <c r="C4226" s="0" t="n">
        <f aca="false">IF(OR(A4226&lt;&gt;"",B4226&lt;&gt;""),1,0)</f>
        <v>0</v>
      </c>
      <c r="D4226" s="0" t="str">
        <f aca="false">IF(C4226=1,MOD(ABS(SIN(ROW()*12.9898+'הדבקת לידים'!$F$2*78.233+IFERROR(--RIGHT(A4226,6),LEN(A4226))*0.0137+IFERROR(--RIGHT(B4226,6),LEN(B4226))*0.0071))*43758.5453,1),"")</f>
        <v/>
      </c>
      <c r="E4226" s="0" t="str">
        <f aca="false">IF(C4226=1,INT(MOD(ABS(SIN(D4226*7919.123+ROW()*0.618+'הדבקת לידים'!$F$2*1.3))*43758.5453,1)*1000000)*10000+ROW(),"")</f>
        <v/>
      </c>
      <c r="F4226" s="0" t="str">
        <f aca="false">IF(E4226="","",RANK(E4226,$E$2:$E$5001,1))</f>
        <v/>
      </c>
      <c r="G4226" s="0" t="n">
        <f aca="false">IF(A4226="",0,IF(SUMPRODUCT(--($A$2:$A$5001=A4226))&gt;1,1,0))</f>
        <v>0</v>
      </c>
      <c r="H4226" s="0" t="n">
        <f aca="false">ROW()-1</f>
        <v>4225</v>
      </c>
      <c r="I4226" s="0" t="str">
        <f aca="false">IF(OR(הגדרות!$E$6=0,H4226&gt;הגדרות!$E$5),"",IF(H4226-1&lt;הגדרות!$E$8*(הגדרות!$E$7+1),INT((H4226-1)/(הגדרות!$E$7+1)),הגדרות!$E$8+INT((H4226-1-הגדרות!$E$8*(הגדרות!$E$7+1))/הגדרות!$E$7)))</f>
        <v/>
      </c>
      <c r="J4226" s="0" t="str">
        <f aca="false">IF(I4226="","",IF(H4226-1&lt;הגדרות!$E$8*(הגדרות!$E$7+1),MOD(H4226-1,הגדרות!$E$7+1),MOD(H4226-1-הגדרות!$E$8*(הגדרות!$E$7+1),הגדרות!$E$7)))</f>
        <v/>
      </c>
      <c r="K4226" s="0" t="str">
        <f aca="false">IF(I4226="","",J4226*הגדרות!$E$6+I4226+1)</f>
        <v/>
      </c>
      <c r="L4226" s="0" t="str">
        <f aca="false">IF(K4226="","",MATCH(K4226,$F$2:$F$5001,0))</f>
        <v/>
      </c>
      <c r="M4226" s="0" t="str">
        <f aca="false">IF(I4226="","",INDEX(הגדרות!$A$2:$A$21,MOD(I4226+הגדרות!$E$9,הגדרות!$E$6)+1))</f>
        <v/>
      </c>
    </row>
    <row r="4227" customFormat="false" ht="15" hidden="false" customHeight="false" outlineLevel="0" collapsed="false">
      <c r="A4227" s="0" t="str">
        <f aca="false">IF('הדבקת לידים'!A4227="","",IF(ISNUMBER('הדבקת לידים'!A4227),IF(הגדרות!$E$2&gt;0,TEXT('הדבקת לידים'!A4227,REPT("0",הגדרות!$E$2)),TEXT('הדבקת לידים'!A4227,"0")),TRIM('הדבקת לידים'!A4227)))</f>
        <v/>
      </c>
      <c r="B4227" s="0" t="str">
        <f aca="false">IF('הדבקת לידים'!B4227="","",IF(ISNUMBER('הדבקת לידים'!B4227),IF(הגדרות!$E$3&gt;0,TEXT('הדבקת לידים'!B4227,REPT("0",הגדרות!$E$3)),TEXT('הדבקת לידים'!B4227,"0")),TRIM('הדבקת לידים'!B4227)))</f>
        <v/>
      </c>
      <c r="C4227" s="0" t="n">
        <f aca="false">IF(OR(A4227&lt;&gt;"",B4227&lt;&gt;""),1,0)</f>
        <v>0</v>
      </c>
      <c r="D4227" s="0" t="str">
        <f aca="false">IF(C4227=1,MOD(ABS(SIN(ROW()*12.9898+'הדבקת לידים'!$F$2*78.233+IFERROR(--RIGHT(A4227,6),LEN(A4227))*0.0137+IFERROR(--RIGHT(B4227,6),LEN(B4227))*0.0071))*43758.5453,1),"")</f>
        <v/>
      </c>
      <c r="E4227" s="0" t="str">
        <f aca="false">IF(C4227=1,INT(MOD(ABS(SIN(D4227*7919.123+ROW()*0.618+'הדבקת לידים'!$F$2*1.3))*43758.5453,1)*1000000)*10000+ROW(),"")</f>
        <v/>
      </c>
      <c r="F4227" s="0" t="str">
        <f aca="false">IF(E4227="","",RANK(E4227,$E$2:$E$5001,1))</f>
        <v/>
      </c>
      <c r="G4227" s="0" t="n">
        <f aca="false">IF(A4227="",0,IF(SUMPRODUCT(--($A$2:$A$5001=A4227))&gt;1,1,0))</f>
        <v>0</v>
      </c>
      <c r="H4227" s="0" t="n">
        <f aca="false">ROW()-1</f>
        <v>4226</v>
      </c>
      <c r="I4227" s="0" t="str">
        <f aca="false">IF(OR(הגדרות!$E$6=0,H4227&gt;הגדרות!$E$5),"",IF(H4227-1&lt;הגדרות!$E$8*(הגדרות!$E$7+1),INT((H4227-1)/(הגדרות!$E$7+1)),הגדרות!$E$8+INT((H4227-1-הגדרות!$E$8*(הגדרות!$E$7+1))/הגדרות!$E$7)))</f>
        <v/>
      </c>
      <c r="J4227" s="0" t="str">
        <f aca="false">IF(I4227="","",IF(H4227-1&lt;הגדרות!$E$8*(הגדרות!$E$7+1),MOD(H4227-1,הגדרות!$E$7+1),MOD(H4227-1-הגדרות!$E$8*(הגדרות!$E$7+1),הגדרות!$E$7)))</f>
        <v/>
      </c>
      <c r="K4227" s="0" t="str">
        <f aca="false">IF(I4227="","",J4227*הגדרות!$E$6+I4227+1)</f>
        <v/>
      </c>
      <c r="L4227" s="0" t="str">
        <f aca="false">IF(K4227="","",MATCH(K4227,$F$2:$F$5001,0))</f>
        <v/>
      </c>
      <c r="M4227" s="0" t="str">
        <f aca="false">IF(I4227="","",INDEX(הגדרות!$A$2:$A$21,MOD(I4227+הגדרות!$E$9,הגדרות!$E$6)+1))</f>
        <v/>
      </c>
    </row>
    <row r="4228" customFormat="false" ht="15" hidden="false" customHeight="false" outlineLevel="0" collapsed="false">
      <c r="A4228" s="0" t="str">
        <f aca="false">IF('הדבקת לידים'!A4228="","",IF(ISNUMBER('הדבקת לידים'!A4228),IF(הגדרות!$E$2&gt;0,TEXT('הדבקת לידים'!A4228,REPT("0",הגדרות!$E$2)),TEXT('הדבקת לידים'!A4228,"0")),TRIM('הדבקת לידים'!A4228)))</f>
        <v/>
      </c>
      <c r="B4228" s="0" t="str">
        <f aca="false">IF('הדבקת לידים'!B4228="","",IF(ISNUMBER('הדבקת לידים'!B4228),IF(הגדרות!$E$3&gt;0,TEXT('הדבקת לידים'!B4228,REPT("0",הגדרות!$E$3)),TEXT('הדבקת לידים'!B4228,"0")),TRIM('הדבקת לידים'!B4228)))</f>
        <v/>
      </c>
      <c r="C4228" s="0" t="n">
        <f aca="false">IF(OR(A4228&lt;&gt;"",B4228&lt;&gt;""),1,0)</f>
        <v>0</v>
      </c>
      <c r="D4228" s="0" t="str">
        <f aca="false">IF(C4228=1,MOD(ABS(SIN(ROW()*12.9898+'הדבקת לידים'!$F$2*78.233+IFERROR(--RIGHT(A4228,6),LEN(A4228))*0.0137+IFERROR(--RIGHT(B4228,6),LEN(B4228))*0.0071))*43758.5453,1),"")</f>
        <v/>
      </c>
      <c r="E4228" s="0" t="str">
        <f aca="false">IF(C4228=1,INT(MOD(ABS(SIN(D4228*7919.123+ROW()*0.618+'הדבקת לידים'!$F$2*1.3))*43758.5453,1)*1000000)*10000+ROW(),"")</f>
        <v/>
      </c>
      <c r="F4228" s="0" t="str">
        <f aca="false">IF(E4228="","",RANK(E4228,$E$2:$E$5001,1))</f>
        <v/>
      </c>
      <c r="G4228" s="0" t="n">
        <f aca="false">IF(A4228="",0,IF(SUMPRODUCT(--($A$2:$A$5001=A4228))&gt;1,1,0))</f>
        <v>0</v>
      </c>
      <c r="H4228" s="0" t="n">
        <f aca="false">ROW()-1</f>
        <v>4227</v>
      </c>
      <c r="I4228" s="0" t="str">
        <f aca="false">IF(OR(הגדרות!$E$6=0,H4228&gt;הגדרות!$E$5),"",IF(H4228-1&lt;הגדרות!$E$8*(הגדרות!$E$7+1),INT((H4228-1)/(הגדרות!$E$7+1)),הגדרות!$E$8+INT((H4228-1-הגדרות!$E$8*(הגדרות!$E$7+1))/הגדרות!$E$7)))</f>
        <v/>
      </c>
      <c r="J4228" s="0" t="str">
        <f aca="false">IF(I4228="","",IF(H4228-1&lt;הגדרות!$E$8*(הגדרות!$E$7+1),MOD(H4228-1,הגדרות!$E$7+1),MOD(H4228-1-הגדרות!$E$8*(הגדרות!$E$7+1),הגדרות!$E$7)))</f>
        <v/>
      </c>
      <c r="K4228" s="0" t="str">
        <f aca="false">IF(I4228="","",J4228*הגדרות!$E$6+I4228+1)</f>
        <v/>
      </c>
      <c r="L4228" s="0" t="str">
        <f aca="false">IF(K4228="","",MATCH(K4228,$F$2:$F$5001,0))</f>
        <v/>
      </c>
      <c r="M4228" s="0" t="str">
        <f aca="false">IF(I4228="","",INDEX(הגדרות!$A$2:$A$21,MOD(I4228+הגדרות!$E$9,הגדרות!$E$6)+1))</f>
        <v/>
      </c>
    </row>
    <row r="4229" customFormat="false" ht="15" hidden="false" customHeight="false" outlineLevel="0" collapsed="false">
      <c r="A4229" s="0" t="str">
        <f aca="false">IF('הדבקת לידים'!A4229="","",IF(ISNUMBER('הדבקת לידים'!A4229),IF(הגדרות!$E$2&gt;0,TEXT('הדבקת לידים'!A4229,REPT("0",הגדרות!$E$2)),TEXT('הדבקת לידים'!A4229,"0")),TRIM('הדבקת לידים'!A4229)))</f>
        <v/>
      </c>
      <c r="B4229" s="0" t="str">
        <f aca="false">IF('הדבקת לידים'!B4229="","",IF(ISNUMBER('הדבקת לידים'!B4229),IF(הגדרות!$E$3&gt;0,TEXT('הדבקת לידים'!B4229,REPT("0",הגדרות!$E$3)),TEXT('הדבקת לידים'!B4229,"0")),TRIM('הדבקת לידים'!B4229)))</f>
        <v/>
      </c>
      <c r="C4229" s="0" t="n">
        <f aca="false">IF(OR(A4229&lt;&gt;"",B4229&lt;&gt;""),1,0)</f>
        <v>0</v>
      </c>
      <c r="D4229" s="0" t="str">
        <f aca="false">IF(C4229=1,MOD(ABS(SIN(ROW()*12.9898+'הדבקת לידים'!$F$2*78.233+IFERROR(--RIGHT(A4229,6),LEN(A4229))*0.0137+IFERROR(--RIGHT(B4229,6),LEN(B4229))*0.0071))*43758.5453,1),"")</f>
        <v/>
      </c>
      <c r="E4229" s="0" t="str">
        <f aca="false">IF(C4229=1,INT(MOD(ABS(SIN(D4229*7919.123+ROW()*0.618+'הדבקת לידים'!$F$2*1.3))*43758.5453,1)*1000000)*10000+ROW(),"")</f>
        <v/>
      </c>
      <c r="F4229" s="0" t="str">
        <f aca="false">IF(E4229="","",RANK(E4229,$E$2:$E$5001,1))</f>
        <v/>
      </c>
      <c r="G4229" s="0" t="n">
        <f aca="false">IF(A4229="",0,IF(SUMPRODUCT(--($A$2:$A$5001=A4229))&gt;1,1,0))</f>
        <v>0</v>
      </c>
      <c r="H4229" s="0" t="n">
        <f aca="false">ROW()-1</f>
        <v>4228</v>
      </c>
      <c r="I4229" s="0" t="str">
        <f aca="false">IF(OR(הגדרות!$E$6=0,H4229&gt;הגדרות!$E$5),"",IF(H4229-1&lt;הגדרות!$E$8*(הגדרות!$E$7+1),INT((H4229-1)/(הגדרות!$E$7+1)),הגדרות!$E$8+INT((H4229-1-הגדרות!$E$8*(הגדרות!$E$7+1))/הגדרות!$E$7)))</f>
        <v/>
      </c>
      <c r="J4229" s="0" t="str">
        <f aca="false">IF(I4229="","",IF(H4229-1&lt;הגדרות!$E$8*(הגדרות!$E$7+1),MOD(H4229-1,הגדרות!$E$7+1),MOD(H4229-1-הגדרות!$E$8*(הגדרות!$E$7+1),הגדרות!$E$7)))</f>
        <v/>
      </c>
      <c r="K4229" s="0" t="str">
        <f aca="false">IF(I4229="","",J4229*הגדרות!$E$6+I4229+1)</f>
        <v/>
      </c>
      <c r="L4229" s="0" t="str">
        <f aca="false">IF(K4229="","",MATCH(K4229,$F$2:$F$5001,0))</f>
        <v/>
      </c>
      <c r="M4229" s="0" t="str">
        <f aca="false">IF(I4229="","",INDEX(הגדרות!$A$2:$A$21,MOD(I4229+הגדרות!$E$9,הגדרות!$E$6)+1))</f>
        <v/>
      </c>
    </row>
    <row r="4230" customFormat="false" ht="15" hidden="false" customHeight="false" outlineLevel="0" collapsed="false">
      <c r="A4230" s="0" t="str">
        <f aca="false">IF('הדבקת לידים'!A4230="","",IF(ISNUMBER('הדבקת לידים'!A4230),IF(הגדרות!$E$2&gt;0,TEXT('הדבקת לידים'!A4230,REPT("0",הגדרות!$E$2)),TEXT('הדבקת לידים'!A4230,"0")),TRIM('הדבקת לידים'!A4230)))</f>
        <v/>
      </c>
      <c r="B4230" s="0" t="str">
        <f aca="false">IF('הדבקת לידים'!B4230="","",IF(ISNUMBER('הדבקת לידים'!B4230),IF(הגדרות!$E$3&gt;0,TEXT('הדבקת לידים'!B4230,REPT("0",הגדרות!$E$3)),TEXT('הדבקת לידים'!B4230,"0")),TRIM('הדבקת לידים'!B4230)))</f>
        <v/>
      </c>
      <c r="C4230" s="0" t="n">
        <f aca="false">IF(OR(A4230&lt;&gt;"",B4230&lt;&gt;""),1,0)</f>
        <v>0</v>
      </c>
      <c r="D4230" s="0" t="str">
        <f aca="false">IF(C4230=1,MOD(ABS(SIN(ROW()*12.9898+'הדבקת לידים'!$F$2*78.233+IFERROR(--RIGHT(A4230,6),LEN(A4230))*0.0137+IFERROR(--RIGHT(B4230,6),LEN(B4230))*0.0071))*43758.5453,1),"")</f>
        <v/>
      </c>
      <c r="E4230" s="0" t="str">
        <f aca="false">IF(C4230=1,INT(MOD(ABS(SIN(D4230*7919.123+ROW()*0.618+'הדבקת לידים'!$F$2*1.3))*43758.5453,1)*1000000)*10000+ROW(),"")</f>
        <v/>
      </c>
      <c r="F4230" s="0" t="str">
        <f aca="false">IF(E4230="","",RANK(E4230,$E$2:$E$5001,1))</f>
        <v/>
      </c>
      <c r="G4230" s="0" t="n">
        <f aca="false">IF(A4230="",0,IF(SUMPRODUCT(--($A$2:$A$5001=A4230))&gt;1,1,0))</f>
        <v>0</v>
      </c>
      <c r="H4230" s="0" t="n">
        <f aca="false">ROW()-1</f>
        <v>4229</v>
      </c>
      <c r="I4230" s="0" t="str">
        <f aca="false">IF(OR(הגדרות!$E$6=0,H4230&gt;הגדרות!$E$5),"",IF(H4230-1&lt;הגדרות!$E$8*(הגדרות!$E$7+1),INT((H4230-1)/(הגדרות!$E$7+1)),הגדרות!$E$8+INT((H4230-1-הגדרות!$E$8*(הגדרות!$E$7+1))/הגדרות!$E$7)))</f>
        <v/>
      </c>
      <c r="J4230" s="0" t="str">
        <f aca="false">IF(I4230="","",IF(H4230-1&lt;הגדרות!$E$8*(הגדרות!$E$7+1),MOD(H4230-1,הגדרות!$E$7+1),MOD(H4230-1-הגדרות!$E$8*(הגדרות!$E$7+1),הגדרות!$E$7)))</f>
        <v/>
      </c>
      <c r="K4230" s="0" t="str">
        <f aca="false">IF(I4230="","",J4230*הגדרות!$E$6+I4230+1)</f>
        <v/>
      </c>
      <c r="L4230" s="0" t="str">
        <f aca="false">IF(K4230="","",MATCH(K4230,$F$2:$F$5001,0))</f>
        <v/>
      </c>
      <c r="M4230" s="0" t="str">
        <f aca="false">IF(I4230="","",INDEX(הגדרות!$A$2:$A$21,MOD(I4230+הגדרות!$E$9,הגדרות!$E$6)+1))</f>
        <v/>
      </c>
    </row>
    <row r="4231" customFormat="false" ht="15" hidden="false" customHeight="false" outlineLevel="0" collapsed="false">
      <c r="A4231" s="0" t="str">
        <f aca="false">IF('הדבקת לידים'!A4231="","",IF(ISNUMBER('הדבקת לידים'!A4231),IF(הגדרות!$E$2&gt;0,TEXT('הדבקת לידים'!A4231,REPT("0",הגדרות!$E$2)),TEXT('הדבקת לידים'!A4231,"0")),TRIM('הדבקת לידים'!A4231)))</f>
        <v/>
      </c>
      <c r="B4231" s="0" t="str">
        <f aca="false">IF('הדבקת לידים'!B4231="","",IF(ISNUMBER('הדבקת לידים'!B4231),IF(הגדרות!$E$3&gt;0,TEXT('הדבקת לידים'!B4231,REPT("0",הגדרות!$E$3)),TEXT('הדבקת לידים'!B4231,"0")),TRIM('הדבקת לידים'!B4231)))</f>
        <v/>
      </c>
      <c r="C4231" s="0" t="n">
        <f aca="false">IF(OR(A4231&lt;&gt;"",B4231&lt;&gt;""),1,0)</f>
        <v>0</v>
      </c>
      <c r="D4231" s="0" t="str">
        <f aca="false">IF(C4231=1,MOD(ABS(SIN(ROW()*12.9898+'הדבקת לידים'!$F$2*78.233+IFERROR(--RIGHT(A4231,6),LEN(A4231))*0.0137+IFERROR(--RIGHT(B4231,6),LEN(B4231))*0.0071))*43758.5453,1),"")</f>
        <v/>
      </c>
      <c r="E4231" s="0" t="str">
        <f aca="false">IF(C4231=1,INT(MOD(ABS(SIN(D4231*7919.123+ROW()*0.618+'הדבקת לידים'!$F$2*1.3))*43758.5453,1)*1000000)*10000+ROW(),"")</f>
        <v/>
      </c>
      <c r="F4231" s="0" t="str">
        <f aca="false">IF(E4231="","",RANK(E4231,$E$2:$E$5001,1))</f>
        <v/>
      </c>
      <c r="G4231" s="0" t="n">
        <f aca="false">IF(A4231="",0,IF(SUMPRODUCT(--($A$2:$A$5001=A4231))&gt;1,1,0))</f>
        <v>0</v>
      </c>
      <c r="H4231" s="0" t="n">
        <f aca="false">ROW()-1</f>
        <v>4230</v>
      </c>
      <c r="I4231" s="0" t="str">
        <f aca="false">IF(OR(הגדרות!$E$6=0,H4231&gt;הגדרות!$E$5),"",IF(H4231-1&lt;הגדרות!$E$8*(הגדרות!$E$7+1),INT((H4231-1)/(הגדרות!$E$7+1)),הגדרות!$E$8+INT((H4231-1-הגדרות!$E$8*(הגדרות!$E$7+1))/הגדרות!$E$7)))</f>
        <v/>
      </c>
      <c r="J4231" s="0" t="str">
        <f aca="false">IF(I4231="","",IF(H4231-1&lt;הגדרות!$E$8*(הגדרות!$E$7+1),MOD(H4231-1,הגדרות!$E$7+1),MOD(H4231-1-הגדרות!$E$8*(הגדרות!$E$7+1),הגדרות!$E$7)))</f>
        <v/>
      </c>
      <c r="K4231" s="0" t="str">
        <f aca="false">IF(I4231="","",J4231*הגדרות!$E$6+I4231+1)</f>
        <v/>
      </c>
      <c r="L4231" s="0" t="str">
        <f aca="false">IF(K4231="","",MATCH(K4231,$F$2:$F$5001,0))</f>
        <v/>
      </c>
      <c r="M4231" s="0" t="str">
        <f aca="false">IF(I4231="","",INDEX(הגדרות!$A$2:$A$21,MOD(I4231+הגדרות!$E$9,הגדרות!$E$6)+1))</f>
        <v/>
      </c>
    </row>
    <row r="4232" customFormat="false" ht="15" hidden="false" customHeight="false" outlineLevel="0" collapsed="false">
      <c r="A4232" s="0" t="str">
        <f aca="false">IF('הדבקת לידים'!A4232="","",IF(ISNUMBER('הדבקת לידים'!A4232),IF(הגדרות!$E$2&gt;0,TEXT('הדבקת לידים'!A4232,REPT("0",הגדרות!$E$2)),TEXT('הדבקת לידים'!A4232,"0")),TRIM('הדבקת לידים'!A4232)))</f>
        <v/>
      </c>
      <c r="B4232" s="0" t="str">
        <f aca="false">IF('הדבקת לידים'!B4232="","",IF(ISNUMBER('הדבקת לידים'!B4232),IF(הגדרות!$E$3&gt;0,TEXT('הדבקת לידים'!B4232,REPT("0",הגדרות!$E$3)),TEXT('הדבקת לידים'!B4232,"0")),TRIM('הדבקת לידים'!B4232)))</f>
        <v/>
      </c>
      <c r="C4232" s="0" t="n">
        <f aca="false">IF(OR(A4232&lt;&gt;"",B4232&lt;&gt;""),1,0)</f>
        <v>0</v>
      </c>
      <c r="D4232" s="0" t="str">
        <f aca="false">IF(C4232=1,MOD(ABS(SIN(ROW()*12.9898+'הדבקת לידים'!$F$2*78.233+IFERROR(--RIGHT(A4232,6),LEN(A4232))*0.0137+IFERROR(--RIGHT(B4232,6),LEN(B4232))*0.0071))*43758.5453,1),"")</f>
        <v/>
      </c>
      <c r="E4232" s="0" t="str">
        <f aca="false">IF(C4232=1,INT(MOD(ABS(SIN(D4232*7919.123+ROW()*0.618+'הדבקת לידים'!$F$2*1.3))*43758.5453,1)*1000000)*10000+ROW(),"")</f>
        <v/>
      </c>
      <c r="F4232" s="0" t="str">
        <f aca="false">IF(E4232="","",RANK(E4232,$E$2:$E$5001,1))</f>
        <v/>
      </c>
      <c r="G4232" s="0" t="n">
        <f aca="false">IF(A4232="",0,IF(SUMPRODUCT(--($A$2:$A$5001=A4232))&gt;1,1,0))</f>
        <v>0</v>
      </c>
      <c r="H4232" s="0" t="n">
        <f aca="false">ROW()-1</f>
        <v>4231</v>
      </c>
      <c r="I4232" s="0" t="str">
        <f aca="false">IF(OR(הגדרות!$E$6=0,H4232&gt;הגדרות!$E$5),"",IF(H4232-1&lt;הגדרות!$E$8*(הגדרות!$E$7+1),INT((H4232-1)/(הגדרות!$E$7+1)),הגדרות!$E$8+INT((H4232-1-הגדרות!$E$8*(הגדרות!$E$7+1))/הגדרות!$E$7)))</f>
        <v/>
      </c>
      <c r="J4232" s="0" t="str">
        <f aca="false">IF(I4232="","",IF(H4232-1&lt;הגדרות!$E$8*(הגדרות!$E$7+1),MOD(H4232-1,הגדרות!$E$7+1),MOD(H4232-1-הגדרות!$E$8*(הגדרות!$E$7+1),הגדרות!$E$7)))</f>
        <v/>
      </c>
      <c r="K4232" s="0" t="str">
        <f aca="false">IF(I4232="","",J4232*הגדרות!$E$6+I4232+1)</f>
        <v/>
      </c>
      <c r="L4232" s="0" t="str">
        <f aca="false">IF(K4232="","",MATCH(K4232,$F$2:$F$5001,0))</f>
        <v/>
      </c>
      <c r="M4232" s="0" t="str">
        <f aca="false">IF(I4232="","",INDEX(הגדרות!$A$2:$A$21,MOD(I4232+הגדרות!$E$9,הגדרות!$E$6)+1))</f>
        <v/>
      </c>
    </row>
    <row r="4233" customFormat="false" ht="15" hidden="false" customHeight="false" outlineLevel="0" collapsed="false">
      <c r="A4233" s="0" t="str">
        <f aca="false">IF('הדבקת לידים'!A4233="","",IF(ISNUMBER('הדבקת לידים'!A4233),IF(הגדרות!$E$2&gt;0,TEXT('הדבקת לידים'!A4233,REPT("0",הגדרות!$E$2)),TEXT('הדבקת לידים'!A4233,"0")),TRIM('הדבקת לידים'!A4233)))</f>
        <v/>
      </c>
      <c r="B4233" s="0" t="str">
        <f aca="false">IF('הדבקת לידים'!B4233="","",IF(ISNUMBER('הדבקת לידים'!B4233),IF(הגדרות!$E$3&gt;0,TEXT('הדבקת לידים'!B4233,REPT("0",הגדרות!$E$3)),TEXT('הדבקת לידים'!B4233,"0")),TRIM('הדבקת לידים'!B4233)))</f>
        <v/>
      </c>
      <c r="C4233" s="0" t="n">
        <f aca="false">IF(OR(A4233&lt;&gt;"",B4233&lt;&gt;""),1,0)</f>
        <v>0</v>
      </c>
      <c r="D4233" s="0" t="str">
        <f aca="false">IF(C4233=1,MOD(ABS(SIN(ROW()*12.9898+'הדבקת לידים'!$F$2*78.233+IFERROR(--RIGHT(A4233,6),LEN(A4233))*0.0137+IFERROR(--RIGHT(B4233,6),LEN(B4233))*0.0071))*43758.5453,1),"")</f>
        <v/>
      </c>
      <c r="E4233" s="0" t="str">
        <f aca="false">IF(C4233=1,INT(MOD(ABS(SIN(D4233*7919.123+ROW()*0.618+'הדבקת לידים'!$F$2*1.3))*43758.5453,1)*1000000)*10000+ROW(),"")</f>
        <v/>
      </c>
      <c r="F4233" s="0" t="str">
        <f aca="false">IF(E4233="","",RANK(E4233,$E$2:$E$5001,1))</f>
        <v/>
      </c>
      <c r="G4233" s="0" t="n">
        <f aca="false">IF(A4233="",0,IF(SUMPRODUCT(--($A$2:$A$5001=A4233))&gt;1,1,0))</f>
        <v>0</v>
      </c>
      <c r="H4233" s="0" t="n">
        <f aca="false">ROW()-1</f>
        <v>4232</v>
      </c>
      <c r="I4233" s="0" t="str">
        <f aca="false">IF(OR(הגדרות!$E$6=0,H4233&gt;הגדרות!$E$5),"",IF(H4233-1&lt;הגדרות!$E$8*(הגדרות!$E$7+1),INT((H4233-1)/(הגדרות!$E$7+1)),הגדרות!$E$8+INT((H4233-1-הגדרות!$E$8*(הגדרות!$E$7+1))/הגדרות!$E$7)))</f>
        <v/>
      </c>
      <c r="J4233" s="0" t="str">
        <f aca="false">IF(I4233="","",IF(H4233-1&lt;הגדרות!$E$8*(הגדרות!$E$7+1),MOD(H4233-1,הגדרות!$E$7+1),MOD(H4233-1-הגדרות!$E$8*(הגדרות!$E$7+1),הגדרות!$E$7)))</f>
        <v/>
      </c>
      <c r="K4233" s="0" t="str">
        <f aca="false">IF(I4233="","",J4233*הגדרות!$E$6+I4233+1)</f>
        <v/>
      </c>
      <c r="L4233" s="0" t="str">
        <f aca="false">IF(K4233="","",MATCH(K4233,$F$2:$F$5001,0))</f>
        <v/>
      </c>
      <c r="M4233" s="0" t="str">
        <f aca="false">IF(I4233="","",INDEX(הגדרות!$A$2:$A$21,MOD(I4233+הגדרות!$E$9,הגדרות!$E$6)+1))</f>
        <v/>
      </c>
    </row>
    <row r="4234" customFormat="false" ht="15" hidden="false" customHeight="false" outlineLevel="0" collapsed="false">
      <c r="A4234" s="0" t="str">
        <f aca="false">IF('הדבקת לידים'!A4234="","",IF(ISNUMBER('הדבקת לידים'!A4234),IF(הגדרות!$E$2&gt;0,TEXT('הדבקת לידים'!A4234,REPT("0",הגדרות!$E$2)),TEXT('הדבקת לידים'!A4234,"0")),TRIM('הדבקת לידים'!A4234)))</f>
        <v/>
      </c>
      <c r="B4234" s="0" t="str">
        <f aca="false">IF('הדבקת לידים'!B4234="","",IF(ISNUMBER('הדבקת לידים'!B4234),IF(הגדרות!$E$3&gt;0,TEXT('הדבקת לידים'!B4234,REPT("0",הגדרות!$E$3)),TEXT('הדבקת לידים'!B4234,"0")),TRIM('הדבקת לידים'!B4234)))</f>
        <v/>
      </c>
      <c r="C4234" s="0" t="n">
        <f aca="false">IF(OR(A4234&lt;&gt;"",B4234&lt;&gt;""),1,0)</f>
        <v>0</v>
      </c>
      <c r="D4234" s="0" t="str">
        <f aca="false">IF(C4234=1,MOD(ABS(SIN(ROW()*12.9898+'הדבקת לידים'!$F$2*78.233+IFERROR(--RIGHT(A4234,6),LEN(A4234))*0.0137+IFERROR(--RIGHT(B4234,6),LEN(B4234))*0.0071))*43758.5453,1),"")</f>
        <v/>
      </c>
      <c r="E4234" s="0" t="str">
        <f aca="false">IF(C4234=1,INT(MOD(ABS(SIN(D4234*7919.123+ROW()*0.618+'הדבקת לידים'!$F$2*1.3))*43758.5453,1)*1000000)*10000+ROW(),"")</f>
        <v/>
      </c>
      <c r="F4234" s="0" t="str">
        <f aca="false">IF(E4234="","",RANK(E4234,$E$2:$E$5001,1))</f>
        <v/>
      </c>
      <c r="G4234" s="0" t="n">
        <f aca="false">IF(A4234="",0,IF(SUMPRODUCT(--($A$2:$A$5001=A4234))&gt;1,1,0))</f>
        <v>0</v>
      </c>
      <c r="H4234" s="0" t="n">
        <f aca="false">ROW()-1</f>
        <v>4233</v>
      </c>
      <c r="I4234" s="0" t="str">
        <f aca="false">IF(OR(הגדרות!$E$6=0,H4234&gt;הגדרות!$E$5),"",IF(H4234-1&lt;הגדרות!$E$8*(הגדרות!$E$7+1),INT((H4234-1)/(הגדרות!$E$7+1)),הגדרות!$E$8+INT((H4234-1-הגדרות!$E$8*(הגדרות!$E$7+1))/הגדרות!$E$7)))</f>
        <v/>
      </c>
      <c r="J4234" s="0" t="str">
        <f aca="false">IF(I4234="","",IF(H4234-1&lt;הגדרות!$E$8*(הגדרות!$E$7+1),MOD(H4234-1,הגדרות!$E$7+1),MOD(H4234-1-הגדרות!$E$8*(הגדרות!$E$7+1),הגדרות!$E$7)))</f>
        <v/>
      </c>
      <c r="K4234" s="0" t="str">
        <f aca="false">IF(I4234="","",J4234*הגדרות!$E$6+I4234+1)</f>
        <v/>
      </c>
      <c r="L4234" s="0" t="str">
        <f aca="false">IF(K4234="","",MATCH(K4234,$F$2:$F$5001,0))</f>
        <v/>
      </c>
      <c r="M4234" s="0" t="str">
        <f aca="false">IF(I4234="","",INDEX(הגדרות!$A$2:$A$21,MOD(I4234+הגדרות!$E$9,הגדרות!$E$6)+1))</f>
        <v/>
      </c>
    </row>
    <row r="4235" customFormat="false" ht="15" hidden="false" customHeight="false" outlineLevel="0" collapsed="false">
      <c r="A4235" s="0" t="str">
        <f aca="false">IF('הדבקת לידים'!A4235="","",IF(ISNUMBER('הדבקת לידים'!A4235),IF(הגדרות!$E$2&gt;0,TEXT('הדבקת לידים'!A4235,REPT("0",הגדרות!$E$2)),TEXT('הדבקת לידים'!A4235,"0")),TRIM('הדבקת לידים'!A4235)))</f>
        <v/>
      </c>
      <c r="B4235" s="0" t="str">
        <f aca="false">IF('הדבקת לידים'!B4235="","",IF(ISNUMBER('הדבקת לידים'!B4235),IF(הגדרות!$E$3&gt;0,TEXT('הדבקת לידים'!B4235,REPT("0",הגדרות!$E$3)),TEXT('הדבקת לידים'!B4235,"0")),TRIM('הדבקת לידים'!B4235)))</f>
        <v/>
      </c>
      <c r="C4235" s="0" t="n">
        <f aca="false">IF(OR(A4235&lt;&gt;"",B4235&lt;&gt;""),1,0)</f>
        <v>0</v>
      </c>
      <c r="D4235" s="0" t="str">
        <f aca="false">IF(C4235=1,MOD(ABS(SIN(ROW()*12.9898+'הדבקת לידים'!$F$2*78.233+IFERROR(--RIGHT(A4235,6),LEN(A4235))*0.0137+IFERROR(--RIGHT(B4235,6),LEN(B4235))*0.0071))*43758.5453,1),"")</f>
        <v/>
      </c>
      <c r="E4235" s="0" t="str">
        <f aca="false">IF(C4235=1,INT(MOD(ABS(SIN(D4235*7919.123+ROW()*0.618+'הדבקת לידים'!$F$2*1.3))*43758.5453,1)*1000000)*10000+ROW(),"")</f>
        <v/>
      </c>
      <c r="F4235" s="0" t="str">
        <f aca="false">IF(E4235="","",RANK(E4235,$E$2:$E$5001,1))</f>
        <v/>
      </c>
      <c r="G4235" s="0" t="n">
        <f aca="false">IF(A4235="",0,IF(SUMPRODUCT(--($A$2:$A$5001=A4235))&gt;1,1,0))</f>
        <v>0</v>
      </c>
      <c r="H4235" s="0" t="n">
        <f aca="false">ROW()-1</f>
        <v>4234</v>
      </c>
      <c r="I4235" s="0" t="str">
        <f aca="false">IF(OR(הגדרות!$E$6=0,H4235&gt;הגדרות!$E$5),"",IF(H4235-1&lt;הגדרות!$E$8*(הגדרות!$E$7+1),INT((H4235-1)/(הגדרות!$E$7+1)),הגדרות!$E$8+INT((H4235-1-הגדרות!$E$8*(הגדרות!$E$7+1))/הגדרות!$E$7)))</f>
        <v/>
      </c>
      <c r="J4235" s="0" t="str">
        <f aca="false">IF(I4235="","",IF(H4235-1&lt;הגדרות!$E$8*(הגדרות!$E$7+1),MOD(H4235-1,הגדרות!$E$7+1),MOD(H4235-1-הגדרות!$E$8*(הגדרות!$E$7+1),הגדרות!$E$7)))</f>
        <v/>
      </c>
      <c r="K4235" s="0" t="str">
        <f aca="false">IF(I4235="","",J4235*הגדרות!$E$6+I4235+1)</f>
        <v/>
      </c>
      <c r="L4235" s="0" t="str">
        <f aca="false">IF(K4235="","",MATCH(K4235,$F$2:$F$5001,0))</f>
        <v/>
      </c>
      <c r="M4235" s="0" t="str">
        <f aca="false">IF(I4235="","",INDEX(הגדרות!$A$2:$A$21,MOD(I4235+הגדרות!$E$9,הגדרות!$E$6)+1))</f>
        <v/>
      </c>
    </row>
    <row r="4236" customFormat="false" ht="15" hidden="false" customHeight="false" outlineLevel="0" collapsed="false">
      <c r="A4236" s="0" t="str">
        <f aca="false">IF('הדבקת לידים'!A4236="","",IF(ISNUMBER('הדבקת לידים'!A4236),IF(הגדרות!$E$2&gt;0,TEXT('הדבקת לידים'!A4236,REPT("0",הגדרות!$E$2)),TEXT('הדבקת לידים'!A4236,"0")),TRIM('הדבקת לידים'!A4236)))</f>
        <v/>
      </c>
      <c r="B4236" s="0" t="str">
        <f aca="false">IF('הדבקת לידים'!B4236="","",IF(ISNUMBER('הדבקת לידים'!B4236),IF(הגדרות!$E$3&gt;0,TEXT('הדבקת לידים'!B4236,REPT("0",הגדרות!$E$3)),TEXT('הדבקת לידים'!B4236,"0")),TRIM('הדבקת לידים'!B4236)))</f>
        <v/>
      </c>
      <c r="C4236" s="0" t="n">
        <f aca="false">IF(OR(A4236&lt;&gt;"",B4236&lt;&gt;""),1,0)</f>
        <v>0</v>
      </c>
      <c r="D4236" s="0" t="str">
        <f aca="false">IF(C4236=1,MOD(ABS(SIN(ROW()*12.9898+'הדבקת לידים'!$F$2*78.233+IFERROR(--RIGHT(A4236,6),LEN(A4236))*0.0137+IFERROR(--RIGHT(B4236,6),LEN(B4236))*0.0071))*43758.5453,1),"")</f>
        <v/>
      </c>
      <c r="E4236" s="0" t="str">
        <f aca="false">IF(C4236=1,INT(MOD(ABS(SIN(D4236*7919.123+ROW()*0.618+'הדבקת לידים'!$F$2*1.3))*43758.5453,1)*1000000)*10000+ROW(),"")</f>
        <v/>
      </c>
      <c r="F4236" s="0" t="str">
        <f aca="false">IF(E4236="","",RANK(E4236,$E$2:$E$5001,1))</f>
        <v/>
      </c>
      <c r="G4236" s="0" t="n">
        <f aca="false">IF(A4236="",0,IF(SUMPRODUCT(--($A$2:$A$5001=A4236))&gt;1,1,0))</f>
        <v>0</v>
      </c>
      <c r="H4236" s="0" t="n">
        <f aca="false">ROW()-1</f>
        <v>4235</v>
      </c>
      <c r="I4236" s="0" t="str">
        <f aca="false">IF(OR(הגדרות!$E$6=0,H4236&gt;הגדרות!$E$5),"",IF(H4236-1&lt;הגדרות!$E$8*(הגדרות!$E$7+1),INT((H4236-1)/(הגדרות!$E$7+1)),הגדרות!$E$8+INT((H4236-1-הגדרות!$E$8*(הגדרות!$E$7+1))/הגדרות!$E$7)))</f>
        <v/>
      </c>
      <c r="J4236" s="0" t="str">
        <f aca="false">IF(I4236="","",IF(H4236-1&lt;הגדרות!$E$8*(הגדרות!$E$7+1),MOD(H4236-1,הגדרות!$E$7+1),MOD(H4236-1-הגדרות!$E$8*(הגדרות!$E$7+1),הגדרות!$E$7)))</f>
        <v/>
      </c>
      <c r="K4236" s="0" t="str">
        <f aca="false">IF(I4236="","",J4236*הגדרות!$E$6+I4236+1)</f>
        <v/>
      </c>
      <c r="L4236" s="0" t="str">
        <f aca="false">IF(K4236="","",MATCH(K4236,$F$2:$F$5001,0))</f>
        <v/>
      </c>
      <c r="M4236" s="0" t="str">
        <f aca="false">IF(I4236="","",INDEX(הגדרות!$A$2:$A$21,MOD(I4236+הגדרות!$E$9,הגדרות!$E$6)+1))</f>
        <v/>
      </c>
    </row>
    <row r="4237" customFormat="false" ht="15" hidden="false" customHeight="false" outlineLevel="0" collapsed="false">
      <c r="A4237" s="0" t="str">
        <f aca="false">IF('הדבקת לידים'!A4237="","",IF(ISNUMBER('הדבקת לידים'!A4237),IF(הגדרות!$E$2&gt;0,TEXT('הדבקת לידים'!A4237,REPT("0",הגדרות!$E$2)),TEXT('הדבקת לידים'!A4237,"0")),TRIM('הדבקת לידים'!A4237)))</f>
        <v/>
      </c>
      <c r="B4237" s="0" t="str">
        <f aca="false">IF('הדבקת לידים'!B4237="","",IF(ISNUMBER('הדבקת לידים'!B4237),IF(הגדרות!$E$3&gt;0,TEXT('הדבקת לידים'!B4237,REPT("0",הגדרות!$E$3)),TEXT('הדבקת לידים'!B4237,"0")),TRIM('הדבקת לידים'!B4237)))</f>
        <v/>
      </c>
      <c r="C4237" s="0" t="n">
        <f aca="false">IF(OR(A4237&lt;&gt;"",B4237&lt;&gt;""),1,0)</f>
        <v>0</v>
      </c>
      <c r="D4237" s="0" t="str">
        <f aca="false">IF(C4237=1,MOD(ABS(SIN(ROW()*12.9898+'הדבקת לידים'!$F$2*78.233+IFERROR(--RIGHT(A4237,6),LEN(A4237))*0.0137+IFERROR(--RIGHT(B4237,6),LEN(B4237))*0.0071))*43758.5453,1),"")</f>
        <v/>
      </c>
      <c r="E4237" s="0" t="str">
        <f aca="false">IF(C4237=1,INT(MOD(ABS(SIN(D4237*7919.123+ROW()*0.618+'הדבקת לידים'!$F$2*1.3))*43758.5453,1)*1000000)*10000+ROW(),"")</f>
        <v/>
      </c>
      <c r="F4237" s="0" t="str">
        <f aca="false">IF(E4237="","",RANK(E4237,$E$2:$E$5001,1))</f>
        <v/>
      </c>
      <c r="G4237" s="0" t="n">
        <f aca="false">IF(A4237="",0,IF(SUMPRODUCT(--($A$2:$A$5001=A4237))&gt;1,1,0))</f>
        <v>0</v>
      </c>
      <c r="H4237" s="0" t="n">
        <f aca="false">ROW()-1</f>
        <v>4236</v>
      </c>
      <c r="I4237" s="0" t="str">
        <f aca="false">IF(OR(הגדרות!$E$6=0,H4237&gt;הגדרות!$E$5),"",IF(H4237-1&lt;הגדרות!$E$8*(הגדרות!$E$7+1),INT((H4237-1)/(הגדרות!$E$7+1)),הגדרות!$E$8+INT((H4237-1-הגדרות!$E$8*(הגדרות!$E$7+1))/הגדרות!$E$7)))</f>
        <v/>
      </c>
      <c r="J4237" s="0" t="str">
        <f aca="false">IF(I4237="","",IF(H4237-1&lt;הגדרות!$E$8*(הגדרות!$E$7+1),MOD(H4237-1,הגדרות!$E$7+1),MOD(H4237-1-הגדרות!$E$8*(הגדרות!$E$7+1),הגדרות!$E$7)))</f>
        <v/>
      </c>
      <c r="K4237" s="0" t="str">
        <f aca="false">IF(I4237="","",J4237*הגדרות!$E$6+I4237+1)</f>
        <v/>
      </c>
      <c r="L4237" s="0" t="str">
        <f aca="false">IF(K4237="","",MATCH(K4237,$F$2:$F$5001,0))</f>
        <v/>
      </c>
      <c r="M4237" s="0" t="str">
        <f aca="false">IF(I4237="","",INDEX(הגדרות!$A$2:$A$21,MOD(I4237+הגדרות!$E$9,הגדרות!$E$6)+1))</f>
        <v/>
      </c>
    </row>
    <row r="4238" customFormat="false" ht="15" hidden="false" customHeight="false" outlineLevel="0" collapsed="false">
      <c r="A4238" s="0" t="str">
        <f aca="false">IF('הדבקת לידים'!A4238="","",IF(ISNUMBER('הדבקת לידים'!A4238),IF(הגדרות!$E$2&gt;0,TEXT('הדבקת לידים'!A4238,REPT("0",הגדרות!$E$2)),TEXT('הדבקת לידים'!A4238,"0")),TRIM('הדבקת לידים'!A4238)))</f>
        <v/>
      </c>
      <c r="B4238" s="0" t="str">
        <f aca="false">IF('הדבקת לידים'!B4238="","",IF(ISNUMBER('הדבקת לידים'!B4238),IF(הגדרות!$E$3&gt;0,TEXT('הדבקת לידים'!B4238,REPT("0",הגדרות!$E$3)),TEXT('הדבקת לידים'!B4238,"0")),TRIM('הדבקת לידים'!B4238)))</f>
        <v/>
      </c>
      <c r="C4238" s="0" t="n">
        <f aca="false">IF(OR(A4238&lt;&gt;"",B4238&lt;&gt;""),1,0)</f>
        <v>0</v>
      </c>
      <c r="D4238" s="0" t="str">
        <f aca="false">IF(C4238=1,MOD(ABS(SIN(ROW()*12.9898+'הדבקת לידים'!$F$2*78.233+IFERROR(--RIGHT(A4238,6),LEN(A4238))*0.0137+IFERROR(--RIGHT(B4238,6),LEN(B4238))*0.0071))*43758.5453,1),"")</f>
        <v/>
      </c>
      <c r="E4238" s="0" t="str">
        <f aca="false">IF(C4238=1,INT(MOD(ABS(SIN(D4238*7919.123+ROW()*0.618+'הדבקת לידים'!$F$2*1.3))*43758.5453,1)*1000000)*10000+ROW(),"")</f>
        <v/>
      </c>
      <c r="F4238" s="0" t="str">
        <f aca="false">IF(E4238="","",RANK(E4238,$E$2:$E$5001,1))</f>
        <v/>
      </c>
      <c r="G4238" s="0" t="n">
        <f aca="false">IF(A4238="",0,IF(SUMPRODUCT(--($A$2:$A$5001=A4238))&gt;1,1,0))</f>
        <v>0</v>
      </c>
      <c r="H4238" s="0" t="n">
        <f aca="false">ROW()-1</f>
        <v>4237</v>
      </c>
      <c r="I4238" s="0" t="str">
        <f aca="false">IF(OR(הגדרות!$E$6=0,H4238&gt;הגדרות!$E$5),"",IF(H4238-1&lt;הגדרות!$E$8*(הגדרות!$E$7+1),INT((H4238-1)/(הגדרות!$E$7+1)),הגדרות!$E$8+INT((H4238-1-הגדרות!$E$8*(הגדרות!$E$7+1))/הגדרות!$E$7)))</f>
        <v/>
      </c>
      <c r="J4238" s="0" t="str">
        <f aca="false">IF(I4238="","",IF(H4238-1&lt;הגדרות!$E$8*(הגדרות!$E$7+1),MOD(H4238-1,הגדרות!$E$7+1),MOD(H4238-1-הגדרות!$E$8*(הגדרות!$E$7+1),הגדרות!$E$7)))</f>
        <v/>
      </c>
      <c r="K4238" s="0" t="str">
        <f aca="false">IF(I4238="","",J4238*הגדרות!$E$6+I4238+1)</f>
        <v/>
      </c>
      <c r="L4238" s="0" t="str">
        <f aca="false">IF(K4238="","",MATCH(K4238,$F$2:$F$5001,0))</f>
        <v/>
      </c>
      <c r="M4238" s="0" t="str">
        <f aca="false">IF(I4238="","",INDEX(הגדרות!$A$2:$A$21,MOD(I4238+הגדרות!$E$9,הגדרות!$E$6)+1))</f>
        <v/>
      </c>
    </row>
    <row r="4239" customFormat="false" ht="15" hidden="false" customHeight="false" outlineLevel="0" collapsed="false">
      <c r="A4239" s="0" t="str">
        <f aca="false">IF('הדבקת לידים'!A4239="","",IF(ISNUMBER('הדבקת לידים'!A4239),IF(הגדרות!$E$2&gt;0,TEXT('הדבקת לידים'!A4239,REPT("0",הגדרות!$E$2)),TEXT('הדבקת לידים'!A4239,"0")),TRIM('הדבקת לידים'!A4239)))</f>
        <v/>
      </c>
      <c r="B4239" s="0" t="str">
        <f aca="false">IF('הדבקת לידים'!B4239="","",IF(ISNUMBER('הדבקת לידים'!B4239),IF(הגדרות!$E$3&gt;0,TEXT('הדבקת לידים'!B4239,REPT("0",הגדרות!$E$3)),TEXT('הדבקת לידים'!B4239,"0")),TRIM('הדבקת לידים'!B4239)))</f>
        <v/>
      </c>
      <c r="C4239" s="0" t="n">
        <f aca="false">IF(OR(A4239&lt;&gt;"",B4239&lt;&gt;""),1,0)</f>
        <v>0</v>
      </c>
      <c r="D4239" s="0" t="str">
        <f aca="false">IF(C4239=1,MOD(ABS(SIN(ROW()*12.9898+'הדבקת לידים'!$F$2*78.233+IFERROR(--RIGHT(A4239,6),LEN(A4239))*0.0137+IFERROR(--RIGHT(B4239,6),LEN(B4239))*0.0071))*43758.5453,1),"")</f>
        <v/>
      </c>
      <c r="E4239" s="0" t="str">
        <f aca="false">IF(C4239=1,INT(MOD(ABS(SIN(D4239*7919.123+ROW()*0.618+'הדבקת לידים'!$F$2*1.3))*43758.5453,1)*1000000)*10000+ROW(),"")</f>
        <v/>
      </c>
      <c r="F4239" s="0" t="str">
        <f aca="false">IF(E4239="","",RANK(E4239,$E$2:$E$5001,1))</f>
        <v/>
      </c>
      <c r="G4239" s="0" t="n">
        <f aca="false">IF(A4239="",0,IF(SUMPRODUCT(--($A$2:$A$5001=A4239))&gt;1,1,0))</f>
        <v>0</v>
      </c>
      <c r="H4239" s="0" t="n">
        <f aca="false">ROW()-1</f>
        <v>4238</v>
      </c>
      <c r="I4239" s="0" t="str">
        <f aca="false">IF(OR(הגדרות!$E$6=0,H4239&gt;הגדרות!$E$5),"",IF(H4239-1&lt;הגדרות!$E$8*(הגדרות!$E$7+1),INT((H4239-1)/(הגדרות!$E$7+1)),הגדרות!$E$8+INT((H4239-1-הגדרות!$E$8*(הגדרות!$E$7+1))/הגדרות!$E$7)))</f>
        <v/>
      </c>
      <c r="J4239" s="0" t="str">
        <f aca="false">IF(I4239="","",IF(H4239-1&lt;הגדרות!$E$8*(הגדרות!$E$7+1),MOD(H4239-1,הגדרות!$E$7+1),MOD(H4239-1-הגדרות!$E$8*(הגדרות!$E$7+1),הגדרות!$E$7)))</f>
        <v/>
      </c>
      <c r="K4239" s="0" t="str">
        <f aca="false">IF(I4239="","",J4239*הגדרות!$E$6+I4239+1)</f>
        <v/>
      </c>
      <c r="L4239" s="0" t="str">
        <f aca="false">IF(K4239="","",MATCH(K4239,$F$2:$F$5001,0))</f>
        <v/>
      </c>
      <c r="M4239" s="0" t="str">
        <f aca="false">IF(I4239="","",INDEX(הגדרות!$A$2:$A$21,MOD(I4239+הגדרות!$E$9,הגדרות!$E$6)+1))</f>
        <v/>
      </c>
    </row>
    <row r="4240" customFormat="false" ht="15" hidden="false" customHeight="false" outlineLevel="0" collapsed="false">
      <c r="A4240" s="0" t="str">
        <f aca="false">IF('הדבקת לידים'!A4240="","",IF(ISNUMBER('הדבקת לידים'!A4240),IF(הגדרות!$E$2&gt;0,TEXT('הדבקת לידים'!A4240,REPT("0",הגדרות!$E$2)),TEXT('הדבקת לידים'!A4240,"0")),TRIM('הדבקת לידים'!A4240)))</f>
        <v/>
      </c>
      <c r="B4240" s="0" t="str">
        <f aca="false">IF('הדבקת לידים'!B4240="","",IF(ISNUMBER('הדבקת לידים'!B4240),IF(הגדרות!$E$3&gt;0,TEXT('הדבקת לידים'!B4240,REPT("0",הגדרות!$E$3)),TEXT('הדבקת לידים'!B4240,"0")),TRIM('הדבקת לידים'!B4240)))</f>
        <v/>
      </c>
      <c r="C4240" s="0" t="n">
        <f aca="false">IF(OR(A4240&lt;&gt;"",B4240&lt;&gt;""),1,0)</f>
        <v>0</v>
      </c>
      <c r="D4240" s="0" t="str">
        <f aca="false">IF(C4240=1,MOD(ABS(SIN(ROW()*12.9898+'הדבקת לידים'!$F$2*78.233+IFERROR(--RIGHT(A4240,6),LEN(A4240))*0.0137+IFERROR(--RIGHT(B4240,6),LEN(B4240))*0.0071))*43758.5453,1),"")</f>
        <v/>
      </c>
      <c r="E4240" s="0" t="str">
        <f aca="false">IF(C4240=1,INT(MOD(ABS(SIN(D4240*7919.123+ROW()*0.618+'הדבקת לידים'!$F$2*1.3))*43758.5453,1)*1000000)*10000+ROW(),"")</f>
        <v/>
      </c>
      <c r="F4240" s="0" t="str">
        <f aca="false">IF(E4240="","",RANK(E4240,$E$2:$E$5001,1))</f>
        <v/>
      </c>
      <c r="G4240" s="0" t="n">
        <f aca="false">IF(A4240="",0,IF(SUMPRODUCT(--($A$2:$A$5001=A4240))&gt;1,1,0))</f>
        <v>0</v>
      </c>
      <c r="H4240" s="0" t="n">
        <f aca="false">ROW()-1</f>
        <v>4239</v>
      </c>
      <c r="I4240" s="0" t="str">
        <f aca="false">IF(OR(הגדרות!$E$6=0,H4240&gt;הגדרות!$E$5),"",IF(H4240-1&lt;הגדרות!$E$8*(הגדרות!$E$7+1),INT((H4240-1)/(הגדרות!$E$7+1)),הגדרות!$E$8+INT((H4240-1-הגדרות!$E$8*(הגדרות!$E$7+1))/הגדרות!$E$7)))</f>
        <v/>
      </c>
      <c r="J4240" s="0" t="str">
        <f aca="false">IF(I4240="","",IF(H4240-1&lt;הגדרות!$E$8*(הגדרות!$E$7+1),MOD(H4240-1,הגדרות!$E$7+1),MOD(H4240-1-הגדרות!$E$8*(הגדרות!$E$7+1),הגדרות!$E$7)))</f>
        <v/>
      </c>
      <c r="K4240" s="0" t="str">
        <f aca="false">IF(I4240="","",J4240*הגדרות!$E$6+I4240+1)</f>
        <v/>
      </c>
      <c r="L4240" s="0" t="str">
        <f aca="false">IF(K4240="","",MATCH(K4240,$F$2:$F$5001,0))</f>
        <v/>
      </c>
      <c r="M4240" s="0" t="str">
        <f aca="false">IF(I4240="","",INDEX(הגדרות!$A$2:$A$21,MOD(I4240+הגדרות!$E$9,הגדרות!$E$6)+1))</f>
        <v/>
      </c>
    </row>
    <row r="4241" customFormat="false" ht="15" hidden="false" customHeight="false" outlineLevel="0" collapsed="false">
      <c r="A4241" s="0" t="str">
        <f aca="false">IF('הדבקת לידים'!A4241="","",IF(ISNUMBER('הדבקת לידים'!A4241),IF(הגדרות!$E$2&gt;0,TEXT('הדבקת לידים'!A4241,REPT("0",הגדרות!$E$2)),TEXT('הדבקת לידים'!A4241,"0")),TRIM('הדבקת לידים'!A4241)))</f>
        <v/>
      </c>
      <c r="B4241" s="0" t="str">
        <f aca="false">IF('הדבקת לידים'!B4241="","",IF(ISNUMBER('הדבקת לידים'!B4241),IF(הגדרות!$E$3&gt;0,TEXT('הדבקת לידים'!B4241,REPT("0",הגדרות!$E$3)),TEXT('הדבקת לידים'!B4241,"0")),TRIM('הדבקת לידים'!B4241)))</f>
        <v/>
      </c>
      <c r="C4241" s="0" t="n">
        <f aca="false">IF(OR(A4241&lt;&gt;"",B4241&lt;&gt;""),1,0)</f>
        <v>0</v>
      </c>
      <c r="D4241" s="0" t="str">
        <f aca="false">IF(C4241=1,MOD(ABS(SIN(ROW()*12.9898+'הדבקת לידים'!$F$2*78.233+IFERROR(--RIGHT(A4241,6),LEN(A4241))*0.0137+IFERROR(--RIGHT(B4241,6),LEN(B4241))*0.0071))*43758.5453,1),"")</f>
        <v/>
      </c>
      <c r="E4241" s="0" t="str">
        <f aca="false">IF(C4241=1,INT(MOD(ABS(SIN(D4241*7919.123+ROW()*0.618+'הדבקת לידים'!$F$2*1.3))*43758.5453,1)*1000000)*10000+ROW(),"")</f>
        <v/>
      </c>
      <c r="F4241" s="0" t="str">
        <f aca="false">IF(E4241="","",RANK(E4241,$E$2:$E$5001,1))</f>
        <v/>
      </c>
      <c r="G4241" s="0" t="n">
        <f aca="false">IF(A4241="",0,IF(SUMPRODUCT(--($A$2:$A$5001=A4241))&gt;1,1,0))</f>
        <v>0</v>
      </c>
      <c r="H4241" s="0" t="n">
        <f aca="false">ROW()-1</f>
        <v>4240</v>
      </c>
      <c r="I4241" s="0" t="str">
        <f aca="false">IF(OR(הגדרות!$E$6=0,H4241&gt;הגדרות!$E$5),"",IF(H4241-1&lt;הגדרות!$E$8*(הגדרות!$E$7+1),INT((H4241-1)/(הגדרות!$E$7+1)),הגדרות!$E$8+INT((H4241-1-הגדרות!$E$8*(הגדרות!$E$7+1))/הגדרות!$E$7)))</f>
        <v/>
      </c>
      <c r="J4241" s="0" t="str">
        <f aca="false">IF(I4241="","",IF(H4241-1&lt;הגדרות!$E$8*(הגדרות!$E$7+1),MOD(H4241-1,הגדרות!$E$7+1),MOD(H4241-1-הגדרות!$E$8*(הגדרות!$E$7+1),הגדרות!$E$7)))</f>
        <v/>
      </c>
      <c r="K4241" s="0" t="str">
        <f aca="false">IF(I4241="","",J4241*הגדרות!$E$6+I4241+1)</f>
        <v/>
      </c>
      <c r="L4241" s="0" t="str">
        <f aca="false">IF(K4241="","",MATCH(K4241,$F$2:$F$5001,0))</f>
        <v/>
      </c>
      <c r="M4241" s="0" t="str">
        <f aca="false">IF(I4241="","",INDEX(הגדרות!$A$2:$A$21,MOD(I4241+הגדרות!$E$9,הגדרות!$E$6)+1))</f>
        <v/>
      </c>
    </row>
    <row r="4242" customFormat="false" ht="15" hidden="false" customHeight="false" outlineLevel="0" collapsed="false">
      <c r="A4242" s="0" t="str">
        <f aca="false">IF('הדבקת לידים'!A4242="","",IF(ISNUMBER('הדבקת לידים'!A4242),IF(הגדרות!$E$2&gt;0,TEXT('הדבקת לידים'!A4242,REPT("0",הגדרות!$E$2)),TEXT('הדבקת לידים'!A4242,"0")),TRIM('הדבקת לידים'!A4242)))</f>
        <v/>
      </c>
      <c r="B4242" s="0" t="str">
        <f aca="false">IF('הדבקת לידים'!B4242="","",IF(ISNUMBER('הדבקת לידים'!B4242),IF(הגדרות!$E$3&gt;0,TEXT('הדבקת לידים'!B4242,REPT("0",הגדרות!$E$3)),TEXT('הדבקת לידים'!B4242,"0")),TRIM('הדבקת לידים'!B4242)))</f>
        <v/>
      </c>
      <c r="C4242" s="0" t="n">
        <f aca="false">IF(OR(A4242&lt;&gt;"",B4242&lt;&gt;""),1,0)</f>
        <v>0</v>
      </c>
      <c r="D4242" s="0" t="str">
        <f aca="false">IF(C4242=1,MOD(ABS(SIN(ROW()*12.9898+'הדבקת לידים'!$F$2*78.233+IFERROR(--RIGHT(A4242,6),LEN(A4242))*0.0137+IFERROR(--RIGHT(B4242,6),LEN(B4242))*0.0071))*43758.5453,1),"")</f>
        <v/>
      </c>
      <c r="E4242" s="0" t="str">
        <f aca="false">IF(C4242=1,INT(MOD(ABS(SIN(D4242*7919.123+ROW()*0.618+'הדבקת לידים'!$F$2*1.3))*43758.5453,1)*1000000)*10000+ROW(),"")</f>
        <v/>
      </c>
      <c r="F4242" s="0" t="str">
        <f aca="false">IF(E4242="","",RANK(E4242,$E$2:$E$5001,1))</f>
        <v/>
      </c>
      <c r="G4242" s="0" t="n">
        <f aca="false">IF(A4242="",0,IF(SUMPRODUCT(--($A$2:$A$5001=A4242))&gt;1,1,0))</f>
        <v>0</v>
      </c>
      <c r="H4242" s="0" t="n">
        <f aca="false">ROW()-1</f>
        <v>4241</v>
      </c>
      <c r="I4242" s="0" t="str">
        <f aca="false">IF(OR(הגדרות!$E$6=0,H4242&gt;הגדרות!$E$5),"",IF(H4242-1&lt;הגדרות!$E$8*(הגדרות!$E$7+1),INT((H4242-1)/(הגדרות!$E$7+1)),הגדרות!$E$8+INT((H4242-1-הגדרות!$E$8*(הגדרות!$E$7+1))/הגדרות!$E$7)))</f>
        <v/>
      </c>
      <c r="J4242" s="0" t="str">
        <f aca="false">IF(I4242="","",IF(H4242-1&lt;הגדרות!$E$8*(הגדרות!$E$7+1),MOD(H4242-1,הגדרות!$E$7+1),MOD(H4242-1-הגדרות!$E$8*(הגדרות!$E$7+1),הגדרות!$E$7)))</f>
        <v/>
      </c>
      <c r="K4242" s="0" t="str">
        <f aca="false">IF(I4242="","",J4242*הגדרות!$E$6+I4242+1)</f>
        <v/>
      </c>
      <c r="L4242" s="0" t="str">
        <f aca="false">IF(K4242="","",MATCH(K4242,$F$2:$F$5001,0))</f>
        <v/>
      </c>
      <c r="M4242" s="0" t="str">
        <f aca="false">IF(I4242="","",INDEX(הגדרות!$A$2:$A$21,MOD(I4242+הגדרות!$E$9,הגדרות!$E$6)+1))</f>
        <v/>
      </c>
    </row>
    <row r="4243" customFormat="false" ht="15" hidden="false" customHeight="false" outlineLevel="0" collapsed="false">
      <c r="A4243" s="0" t="str">
        <f aca="false">IF('הדבקת לידים'!A4243="","",IF(ISNUMBER('הדבקת לידים'!A4243),IF(הגדרות!$E$2&gt;0,TEXT('הדבקת לידים'!A4243,REPT("0",הגדרות!$E$2)),TEXT('הדבקת לידים'!A4243,"0")),TRIM('הדבקת לידים'!A4243)))</f>
        <v/>
      </c>
      <c r="B4243" s="0" t="str">
        <f aca="false">IF('הדבקת לידים'!B4243="","",IF(ISNUMBER('הדבקת לידים'!B4243),IF(הגדרות!$E$3&gt;0,TEXT('הדבקת לידים'!B4243,REPT("0",הגדרות!$E$3)),TEXT('הדבקת לידים'!B4243,"0")),TRIM('הדבקת לידים'!B4243)))</f>
        <v/>
      </c>
      <c r="C4243" s="0" t="n">
        <f aca="false">IF(OR(A4243&lt;&gt;"",B4243&lt;&gt;""),1,0)</f>
        <v>0</v>
      </c>
      <c r="D4243" s="0" t="str">
        <f aca="false">IF(C4243=1,MOD(ABS(SIN(ROW()*12.9898+'הדבקת לידים'!$F$2*78.233+IFERROR(--RIGHT(A4243,6),LEN(A4243))*0.0137+IFERROR(--RIGHT(B4243,6),LEN(B4243))*0.0071))*43758.5453,1),"")</f>
        <v/>
      </c>
      <c r="E4243" s="0" t="str">
        <f aca="false">IF(C4243=1,INT(MOD(ABS(SIN(D4243*7919.123+ROW()*0.618+'הדבקת לידים'!$F$2*1.3))*43758.5453,1)*1000000)*10000+ROW(),"")</f>
        <v/>
      </c>
      <c r="F4243" s="0" t="str">
        <f aca="false">IF(E4243="","",RANK(E4243,$E$2:$E$5001,1))</f>
        <v/>
      </c>
      <c r="G4243" s="0" t="n">
        <f aca="false">IF(A4243="",0,IF(SUMPRODUCT(--($A$2:$A$5001=A4243))&gt;1,1,0))</f>
        <v>0</v>
      </c>
      <c r="H4243" s="0" t="n">
        <f aca="false">ROW()-1</f>
        <v>4242</v>
      </c>
      <c r="I4243" s="0" t="str">
        <f aca="false">IF(OR(הגדרות!$E$6=0,H4243&gt;הגדרות!$E$5),"",IF(H4243-1&lt;הגדרות!$E$8*(הגדרות!$E$7+1),INT((H4243-1)/(הגדרות!$E$7+1)),הגדרות!$E$8+INT((H4243-1-הגדרות!$E$8*(הגדרות!$E$7+1))/הגדרות!$E$7)))</f>
        <v/>
      </c>
      <c r="J4243" s="0" t="str">
        <f aca="false">IF(I4243="","",IF(H4243-1&lt;הגדרות!$E$8*(הגדרות!$E$7+1),MOD(H4243-1,הגדרות!$E$7+1),MOD(H4243-1-הגדרות!$E$8*(הגדרות!$E$7+1),הגדרות!$E$7)))</f>
        <v/>
      </c>
      <c r="K4243" s="0" t="str">
        <f aca="false">IF(I4243="","",J4243*הגדרות!$E$6+I4243+1)</f>
        <v/>
      </c>
      <c r="L4243" s="0" t="str">
        <f aca="false">IF(K4243="","",MATCH(K4243,$F$2:$F$5001,0))</f>
        <v/>
      </c>
      <c r="M4243" s="0" t="str">
        <f aca="false">IF(I4243="","",INDEX(הגדרות!$A$2:$A$21,MOD(I4243+הגדרות!$E$9,הגדרות!$E$6)+1))</f>
        <v/>
      </c>
    </row>
    <row r="4244" customFormat="false" ht="15" hidden="false" customHeight="false" outlineLevel="0" collapsed="false">
      <c r="A4244" s="0" t="str">
        <f aca="false">IF('הדבקת לידים'!A4244="","",IF(ISNUMBER('הדבקת לידים'!A4244),IF(הגדרות!$E$2&gt;0,TEXT('הדבקת לידים'!A4244,REPT("0",הגדרות!$E$2)),TEXT('הדבקת לידים'!A4244,"0")),TRIM('הדבקת לידים'!A4244)))</f>
        <v/>
      </c>
      <c r="B4244" s="0" t="str">
        <f aca="false">IF('הדבקת לידים'!B4244="","",IF(ISNUMBER('הדבקת לידים'!B4244),IF(הגדרות!$E$3&gt;0,TEXT('הדבקת לידים'!B4244,REPT("0",הגדרות!$E$3)),TEXT('הדבקת לידים'!B4244,"0")),TRIM('הדבקת לידים'!B4244)))</f>
        <v/>
      </c>
      <c r="C4244" s="0" t="n">
        <f aca="false">IF(OR(A4244&lt;&gt;"",B4244&lt;&gt;""),1,0)</f>
        <v>0</v>
      </c>
      <c r="D4244" s="0" t="str">
        <f aca="false">IF(C4244=1,MOD(ABS(SIN(ROW()*12.9898+'הדבקת לידים'!$F$2*78.233+IFERROR(--RIGHT(A4244,6),LEN(A4244))*0.0137+IFERROR(--RIGHT(B4244,6),LEN(B4244))*0.0071))*43758.5453,1),"")</f>
        <v/>
      </c>
      <c r="E4244" s="0" t="str">
        <f aca="false">IF(C4244=1,INT(MOD(ABS(SIN(D4244*7919.123+ROW()*0.618+'הדבקת לידים'!$F$2*1.3))*43758.5453,1)*1000000)*10000+ROW(),"")</f>
        <v/>
      </c>
      <c r="F4244" s="0" t="str">
        <f aca="false">IF(E4244="","",RANK(E4244,$E$2:$E$5001,1))</f>
        <v/>
      </c>
      <c r="G4244" s="0" t="n">
        <f aca="false">IF(A4244="",0,IF(SUMPRODUCT(--($A$2:$A$5001=A4244))&gt;1,1,0))</f>
        <v>0</v>
      </c>
      <c r="H4244" s="0" t="n">
        <f aca="false">ROW()-1</f>
        <v>4243</v>
      </c>
      <c r="I4244" s="0" t="str">
        <f aca="false">IF(OR(הגדרות!$E$6=0,H4244&gt;הגדרות!$E$5),"",IF(H4244-1&lt;הגדרות!$E$8*(הגדרות!$E$7+1),INT((H4244-1)/(הגדרות!$E$7+1)),הגדרות!$E$8+INT((H4244-1-הגדרות!$E$8*(הגדרות!$E$7+1))/הגדרות!$E$7)))</f>
        <v/>
      </c>
      <c r="J4244" s="0" t="str">
        <f aca="false">IF(I4244="","",IF(H4244-1&lt;הגדרות!$E$8*(הגדרות!$E$7+1),MOD(H4244-1,הגדרות!$E$7+1),MOD(H4244-1-הגדרות!$E$8*(הגדרות!$E$7+1),הגדרות!$E$7)))</f>
        <v/>
      </c>
      <c r="K4244" s="0" t="str">
        <f aca="false">IF(I4244="","",J4244*הגדרות!$E$6+I4244+1)</f>
        <v/>
      </c>
      <c r="L4244" s="0" t="str">
        <f aca="false">IF(K4244="","",MATCH(K4244,$F$2:$F$5001,0))</f>
        <v/>
      </c>
      <c r="M4244" s="0" t="str">
        <f aca="false">IF(I4244="","",INDEX(הגדרות!$A$2:$A$21,MOD(I4244+הגדרות!$E$9,הגדרות!$E$6)+1))</f>
        <v/>
      </c>
    </row>
    <row r="4245" customFormat="false" ht="15" hidden="false" customHeight="false" outlineLevel="0" collapsed="false">
      <c r="A4245" s="0" t="str">
        <f aca="false">IF('הדבקת לידים'!A4245="","",IF(ISNUMBER('הדבקת לידים'!A4245),IF(הגדרות!$E$2&gt;0,TEXT('הדבקת לידים'!A4245,REPT("0",הגדרות!$E$2)),TEXT('הדבקת לידים'!A4245,"0")),TRIM('הדבקת לידים'!A4245)))</f>
        <v/>
      </c>
      <c r="B4245" s="0" t="str">
        <f aca="false">IF('הדבקת לידים'!B4245="","",IF(ISNUMBER('הדבקת לידים'!B4245),IF(הגדרות!$E$3&gt;0,TEXT('הדבקת לידים'!B4245,REPT("0",הגדרות!$E$3)),TEXT('הדבקת לידים'!B4245,"0")),TRIM('הדבקת לידים'!B4245)))</f>
        <v/>
      </c>
      <c r="C4245" s="0" t="n">
        <f aca="false">IF(OR(A4245&lt;&gt;"",B4245&lt;&gt;""),1,0)</f>
        <v>0</v>
      </c>
      <c r="D4245" s="0" t="str">
        <f aca="false">IF(C4245=1,MOD(ABS(SIN(ROW()*12.9898+'הדבקת לידים'!$F$2*78.233+IFERROR(--RIGHT(A4245,6),LEN(A4245))*0.0137+IFERROR(--RIGHT(B4245,6),LEN(B4245))*0.0071))*43758.5453,1),"")</f>
        <v/>
      </c>
      <c r="E4245" s="0" t="str">
        <f aca="false">IF(C4245=1,INT(MOD(ABS(SIN(D4245*7919.123+ROW()*0.618+'הדבקת לידים'!$F$2*1.3))*43758.5453,1)*1000000)*10000+ROW(),"")</f>
        <v/>
      </c>
      <c r="F4245" s="0" t="str">
        <f aca="false">IF(E4245="","",RANK(E4245,$E$2:$E$5001,1))</f>
        <v/>
      </c>
      <c r="G4245" s="0" t="n">
        <f aca="false">IF(A4245="",0,IF(SUMPRODUCT(--($A$2:$A$5001=A4245))&gt;1,1,0))</f>
        <v>0</v>
      </c>
      <c r="H4245" s="0" t="n">
        <f aca="false">ROW()-1</f>
        <v>4244</v>
      </c>
      <c r="I4245" s="0" t="str">
        <f aca="false">IF(OR(הגדרות!$E$6=0,H4245&gt;הגדרות!$E$5),"",IF(H4245-1&lt;הגדרות!$E$8*(הגדרות!$E$7+1),INT((H4245-1)/(הגדרות!$E$7+1)),הגדרות!$E$8+INT((H4245-1-הגדרות!$E$8*(הגדרות!$E$7+1))/הגדרות!$E$7)))</f>
        <v/>
      </c>
      <c r="J4245" s="0" t="str">
        <f aca="false">IF(I4245="","",IF(H4245-1&lt;הגדרות!$E$8*(הגדרות!$E$7+1),MOD(H4245-1,הגדרות!$E$7+1),MOD(H4245-1-הגדרות!$E$8*(הגדרות!$E$7+1),הגדרות!$E$7)))</f>
        <v/>
      </c>
      <c r="K4245" s="0" t="str">
        <f aca="false">IF(I4245="","",J4245*הגדרות!$E$6+I4245+1)</f>
        <v/>
      </c>
      <c r="L4245" s="0" t="str">
        <f aca="false">IF(K4245="","",MATCH(K4245,$F$2:$F$5001,0))</f>
        <v/>
      </c>
      <c r="M4245" s="0" t="str">
        <f aca="false">IF(I4245="","",INDEX(הגדרות!$A$2:$A$21,MOD(I4245+הגדרות!$E$9,הגדרות!$E$6)+1))</f>
        <v/>
      </c>
    </row>
    <row r="4246" customFormat="false" ht="15" hidden="false" customHeight="false" outlineLevel="0" collapsed="false">
      <c r="A4246" s="0" t="str">
        <f aca="false">IF('הדבקת לידים'!A4246="","",IF(ISNUMBER('הדבקת לידים'!A4246),IF(הגדרות!$E$2&gt;0,TEXT('הדבקת לידים'!A4246,REPT("0",הגדרות!$E$2)),TEXT('הדבקת לידים'!A4246,"0")),TRIM('הדבקת לידים'!A4246)))</f>
        <v/>
      </c>
      <c r="B4246" s="0" t="str">
        <f aca="false">IF('הדבקת לידים'!B4246="","",IF(ISNUMBER('הדבקת לידים'!B4246),IF(הגדרות!$E$3&gt;0,TEXT('הדבקת לידים'!B4246,REPT("0",הגדרות!$E$3)),TEXT('הדבקת לידים'!B4246,"0")),TRIM('הדבקת לידים'!B4246)))</f>
        <v/>
      </c>
      <c r="C4246" s="0" t="n">
        <f aca="false">IF(OR(A4246&lt;&gt;"",B4246&lt;&gt;""),1,0)</f>
        <v>0</v>
      </c>
      <c r="D4246" s="0" t="str">
        <f aca="false">IF(C4246=1,MOD(ABS(SIN(ROW()*12.9898+'הדבקת לידים'!$F$2*78.233+IFERROR(--RIGHT(A4246,6),LEN(A4246))*0.0137+IFERROR(--RIGHT(B4246,6),LEN(B4246))*0.0071))*43758.5453,1),"")</f>
        <v/>
      </c>
      <c r="E4246" s="0" t="str">
        <f aca="false">IF(C4246=1,INT(MOD(ABS(SIN(D4246*7919.123+ROW()*0.618+'הדבקת לידים'!$F$2*1.3))*43758.5453,1)*1000000)*10000+ROW(),"")</f>
        <v/>
      </c>
      <c r="F4246" s="0" t="str">
        <f aca="false">IF(E4246="","",RANK(E4246,$E$2:$E$5001,1))</f>
        <v/>
      </c>
      <c r="G4246" s="0" t="n">
        <f aca="false">IF(A4246="",0,IF(SUMPRODUCT(--($A$2:$A$5001=A4246))&gt;1,1,0))</f>
        <v>0</v>
      </c>
      <c r="H4246" s="0" t="n">
        <f aca="false">ROW()-1</f>
        <v>4245</v>
      </c>
      <c r="I4246" s="0" t="str">
        <f aca="false">IF(OR(הגדרות!$E$6=0,H4246&gt;הגדרות!$E$5),"",IF(H4246-1&lt;הגדרות!$E$8*(הגדרות!$E$7+1),INT((H4246-1)/(הגדרות!$E$7+1)),הגדרות!$E$8+INT((H4246-1-הגדרות!$E$8*(הגדרות!$E$7+1))/הגדרות!$E$7)))</f>
        <v/>
      </c>
      <c r="J4246" s="0" t="str">
        <f aca="false">IF(I4246="","",IF(H4246-1&lt;הגדרות!$E$8*(הגדרות!$E$7+1),MOD(H4246-1,הגדרות!$E$7+1),MOD(H4246-1-הגדרות!$E$8*(הגדרות!$E$7+1),הגדרות!$E$7)))</f>
        <v/>
      </c>
      <c r="K4246" s="0" t="str">
        <f aca="false">IF(I4246="","",J4246*הגדרות!$E$6+I4246+1)</f>
        <v/>
      </c>
      <c r="L4246" s="0" t="str">
        <f aca="false">IF(K4246="","",MATCH(K4246,$F$2:$F$5001,0))</f>
        <v/>
      </c>
      <c r="M4246" s="0" t="str">
        <f aca="false">IF(I4246="","",INDEX(הגדרות!$A$2:$A$21,MOD(I4246+הגדרות!$E$9,הגדרות!$E$6)+1))</f>
        <v/>
      </c>
    </row>
    <row r="4247" customFormat="false" ht="15" hidden="false" customHeight="false" outlineLevel="0" collapsed="false">
      <c r="A4247" s="0" t="str">
        <f aca="false">IF('הדבקת לידים'!A4247="","",IF(ISNUMBER('הדבקת לידים'!A4247),IF(הגדרות!$E$2&gt;0,TEXT('הדבקת לידים'!A4247,REPT("0",הגדרות!$E$2)),TEXT('הדבקת לידים'!A4247,"0")),TRIM('הדבקת לידים'!A4247)))</f>
        <v/>
      </c>
      <c r="B4247" s="0" t="str">
        <f aca="false">IF('הדבקת לידים'!B4247="","",IF(ISNUMBER('הדבקת לידים'!B4247),IF(הגדרות!$E$3&gt;0,TEXT('הדבקת לידים'!B4247,REPT("0",הגדרות!$E$3)),TEXT('הדבקת לידים'!B4247,"0")),TRIM('הדבקת לידים'!B4247)))</f>
        <v/>
      </c>
      <c r="C4247" s="0" t="n">
        <f aca="false">IF(OR(A4247&lt;&gt;"",B4247&lt;&gt;""),1,0)</f>
        <v>0</v>
      </c>
      <c r="D4247" s="0" t="str">
        <f aca="false">IF(C4247=1,MOD(ABS(SIN(ROW()*12.9898+'הדבקת לידים'!$F$2*78.233+IFERROR(--RIGHT(A4247,6),LEN(A4247))*0.0137+IFERROR(--RIGHT(B4247,6),LEN(B4247))*0.0071))*43758.5453,1),"")</f>
        <v/>
      </c>
      <c r="E4247" s="0" t="str">
        <f aca="false">IF(C4247=1,INT(MOD(ABS(SIN(D4247*7919.123+ROW()*0.618+'הדבקת לידים'!$F$2*1.3))*43758.5453,1)*1000000)*10000+ROW(),"")</f>
        <v/>
      </c>
      <c r="F4247" s="0" t="str">
        <f aca="false">IF(E4247="","",RANK(E4247,$E$2:$E$5001,1))</f>
        <v/>
      </c>
      <c r="G4247" s="0" t="n">
        <f aca="false">IF(A4247="",0,IF(SUMPRODUCT(--($A$2:$A$5001=A4247))&gt;1,1,0))</f>
        <v>0</v>
      </c>
      <c r="H4247" s="0" t="n">
        <f aca="false">ROW()-1</f>
        <v>4246</v>
      </c>
      <c r="I4247" s="0" t="str">
        <f aca="false">IF(OR(הגדרות!$E$6=0,H4247&gt;הגדרות!$E$5),"",IF(H4247-1&lt;הגדרות!$E$8*(הגדרות!$E$7+1),INT((H4247-1)/(הגדרות!$E$7+1)),הגדרות!$E$8+INT((H4247-1-הגדרות!$E$8*(הגדרות!$E$7+1))/הגדרות!$E$7)))</f>
        <v/>
      </c>
      <c r="J4247" s="0" t="str">
        <f aca="false">IF(I4247="","",IF(H4247-1&lt;הגדרות!$E$8*(הגדרות!$E$7+1),MOD(H4247-1,הגדרות!$E$7+1),MOD(H4247-1-הגדרות!$E$8*(הגדרות!$E$7+1),הגדרות!$E$7)))</f>
        <v/>
      </c>
      <c r="K4247" s="0" t="str">
        <f aca="false">IF(I4247="","",J4247*הגדרות!$E$6+I4247+1)</f>
        <v/>
      </c>
      <c r="L4247" s="0" t="str">
        <f aca="false">IF(K4247="","",MATCH(K4247,$F$2:$F$5001,0))</f>
        <v/>
      </c>
      <c r="M4247" s="0" t="str">
        <f aca="false">IF(I4247="","",INDEX(הגדרות!$A$2:$A$21,MOD(I4247+הגדרות!$E$9,הגדרות!$E$6)+1))</f>
        <v/>
      </c>
    </row>
    <row r="4248" customFormat="false" ht="15" hidden="false" customHeight="false" outlineLevel="0" collapsed="false">
      <c r="A4248" s="0" t="str">
        <f aca="false">IF('הדבקת לידים'!A4248="","",IF(ISNUMBER('הדבקת לידים'!A4248),IF(הגדרות!$E$2&gt;0,TEXT('הדבקת לידים'!A4248,REPT("0",הגדרות!$E$2)),TEXT('הדבקת לידים'!A4248,"0")),TRIM('הדבקת לידים'!A4248)))</f>
        <v/>
      </c>
      <c r="B4248" s="0" t="str">
        <f aca="false">IF('הדבקת לידים'!B4248="","",IF(ISNUMBER('הדבקת לידים'!B4248),IF(הגדרות!$E$3&gt;0,TEXT('הדבקת לידים'!B4248,REPT("0",הגדרות!$E$3)),TEXT('הדבקת לידים'!B4248,"0")),TRIM('הדבקת לידים'!B4248)))</f>
        <v/>
      </c>
      <c r="C4248" s="0" t="n">
        <f aca="false">IF(OR(A4248&lt;&gt;"",B4248&lt;&gt;""),1,0)</f>
        <v>0</v>
      </c>
      <c r="D4248" s="0" t="str">
        <f aca="false">IF(C4248=1,MOD(ABS(SIN(ROW()*12.9898+'הדבקת לידים'!$F$2*78.233+IFERROR(--RIGHT(A4248,6),LEN(A4248))*0.0137+IFERROR(--RIGHT(B4248,6),LEN(B4248))*0.0071))*43758.5453,1),"")</f>
        <v/>
      </c>
      <c r="E4248" s="0" t="str">
        <f aca="false">IF(C4248=1,INT(MOD(ABS(SIN(D4248*7919.123+ROW()*0.618+'הדבקת לידים'!$F$2*1.3))*43758.5453,1)*1000000)*10000+ROW(),"")</f>
        <v/>
      </c>
      <c r="F4248" s="0" t="str">
        <f aca="false">IF(E4248="","",RANK(E4248,$E$2:$E$5001,1))</f>
        <v/>
      </c>
      <c r="G4248" s="0" t="n">
        <f aca="false">IF(A4248="",0,IF(SUMPRODUCT(--($A$2:$A$5001=A4248))&gt;1,1,0))</f>
        <v>0</v>
      </c>
      <c r="H4248" s="0" t="n">
        <f aca="false">ROW()-1</f>
        <v>4247</v>
      </c>
      <c r="I4248" s="0" t="str">
        <f aca="false">IF(OR(הגדרות!$E$6=0,H4248&gt;הגדרות!$E$5),"",IF(H4248-1&lt;הגדרות!$E$8*(הגדרות!$E$7+1),INT((H4248-1)/(הגדרות!$E$7+1)),הגדרות!$E$8+INT((H4248-1-הגדרות!$E$8*(הגדרות!$E$7+1))/הגדרות!$E$7)))</f>
        <v/>
      </c>
      <c r="J4248" s="0" t="str">
        <f aca="false">IF(I4248="","",IF(H4248-1&lt;הגדרות!$E$8*(הגדרות!$E$7+1),MOD(H4248-1,הגדרות!$E$7+1),MOD(H4248-1-הגדרות!$E$8*(הגדרות!$E$7+1),הגדרות!$E$7)))</f>
        <v/>
      </c>
      <c r="K4248" s="0" t="str">
        <f aca="false">IF(I4248="","",J4248*הגדרות!$E$6+I4248+1)</f>
        <v/>
      </c>
      <c r="L4248" s="0" t="str">
        <f aca="false">IF(K4248="","",MATCH(K4248,$F$2:$F$5001,0))</f>
        <v/>
      </c>
      <c r="M4248" s="0" t="str">
        <f aca="false">IF(I4248="","",INDEX(הגדרות!$A$2:$A$21,MOD(I4248+הגדרות!$E$9,הגדרות!$E$6)+1))</f>
        <v/>
      </c>
    </row>
    <row r="4249" customFormat="false" ht="15" hidden="false" customHeight="false" outlineLevel="0" collapsed="false">
      <c r="A4249" s="0" t="str">
        <f aca="false">IF('הדבקת לידים'!A4249="","",IF(ISNUMBER('הדבקת לידים'!A4249),IF(הגדרות!$E$2&gt;0,TEXT('הדבקת לידים'!A4249,REPT("0",הגדרות!$E$2)),TEXT('הדבקת לידים'!A4249,"0")),TRIM('הדבקת לידים'!A4249)))</f>
        <v/>
      </c>
      <c r="B4249" s="0" t="str">
        <f aca="false">IF('הדבקת לידים'!B4249="","",IF(ISNUMBER('הדבקת לידים'!B4249),IF(הגדרות!$E$3&gt;0,TEXT('הדבקת לידים'!B4249,REPT("0",הגדרות!$E$3)),TEXT('הדבקת לידים'!B4249,"0")),TRIM('הדבקת לידים'!B4249)))</f>
        <v/>
      </c>
      <c r="C4249" s="0" t="n">
        <f aca="false">IF(OR(A4249&lt;&gt;"",B4249&lt;&gt;""),1,0)</f>
        <v>0</v>
      </c>
      <c r="D4249" s="0" t="str">
        <f aca="false">IF(C4249=1,MOD(ABS(SIN(ROW()*12.9898+'הדבקת לידים'!$F$2*78.233+IFERROR(--RIGHT(A4249,6),LEN(A4249))*0.0137+IFERROR(--RIGHT(B4249,6),LEN(B4249))*0.0071))*43758.5453,1),"")</f>
        <v/>
      </c>
      <c r="E4249" s="0" t="str">
        <f aca="false">IF(C4249=1,INT(MOD(ABS(SIN(D4249*7919.123+ROW()*0.618+'הדבקת לידים'!$F$2*1.3))*43758.5453,1)*1000000)*10000+ROW(),"")</f>
        <v/>
      </c>
      <c r="F4249" s="0" t="str">
        <f aca="false">IF(E4249="","",RANK(E4249,$E$2:$E$5001,1))</f>
        <v/>
      </c>
      <c r="G4249" s="0" t="n">
        <f aca="false">IF(A4249="",0,IF(SUMPRODUCT(--($A$2:$A$5001=A4249))&gt;1,1,0))</f>
        <v>0</v>
      </c>
      <c r="H4249" s="0" t="n">
        <f aca="false">ROW()-1</f>
        <v>4248</v>
      </c>
      <c r="I4249" s="0" t="str">
        <f aca="false">IF(OR(הגדרות!$E$6=0,H4249&gt;הגדרות!$E$5),"",IF(H4249-1&lt;הגדרות!$E$8*(הגדרות!$E$7+1),INT((H4249-1)/(הגדרות!$E$7+1)),הגדרות!$E$8+INT((H4249-1-הגדרות!$E$8*(הגדרות!$E$7+1))/הגדרות!$E$7)))</f>
        <v/>
      </c>
      <c r="J4249" s="0" t="str">
        <f aca="false">IF(I4249="","",IF(H4249-1&lt;הגדרות!$E$8*(הגדרות!$E$7+1),MOD(H4249-1,הגדרות!$E$7+1),MOD(H4249-1-הגדרות!$E$8*(הגדרות!$E$7+1),הגדרות!$E$7)))</f>
        <v/>
      </c>
      <c r="K4249" s="0" t="str">
        <f aca="false">IF(I4249="","",J4249*הגדרות!$E$6+I4249+1)</f>
        <v/>
      </c>
      <c r="L4249" s="0" t="str">
        <f aca="false">IF(K4249="","",MATCH(K4249,$F$2:$F$5001,0))</f>
        <v/>
      </c>
      <c r="M4249" s="0" t="str">
        <f aca="false">IF(I4249="","",INDEX(הגדרות!$A$2:$A$21,MOD(I4249+הגדרות!$E$9,הגדרות!$E$6)+1))</f>
        <v/>
      </c>
    </row>
    <row r="4250" customFormat="false" ht="15" hidden="false" customHeight="false" outlineLevel="0" collapsed="false">
      <c r="A4250" s="0" t="str">
        <f aca="false">IF('הדבקת לידים'!A4250="","",IF(ISNUMBER('הדבקת לידים'!A4250),IF(הגדרות!$E$2&gt;0,TEXT('הדבקת לידים'!A4250,REPT("0",הגדרות!$E$2)),TEXT('הדבקת לידים'!A4250,"0")),TRIM('הדבקת לידים'!A4250)))</f>
        <v/>
      </c>
      <c r="B4250" s="0" t="str">
        <f aca="false">IF('הדבקת לידים'!B4250="","",IF(ISNUMBER('הדבקת לידים'!B4250),IF(הגדרות!$E$3&gt;0,TEXT('הדבקת לידים'!B4250,REPT("0",הגדרות!$E$3)),TEXT('הדבקת לידים'!B4250,"0")),TRIM('הדבקת לידים'!B4250)))</f>
        <v/>
      </c>
      <c r="C4250" s="0" t="n">
        <f aca="false">IF(OR(A4250&lt;&gt;"",B4250&lt;&gt;""),1,0)</f>
        <v>0</v>
      </c>
      <c r="D4250" s="0" t="str">
        <f aca="false">IF(C4250=1,MOD(ABS(SIN(ROW()*12.9898+'הדבקת לידים'!$F$2*78.233+IFERROR(--RIGHT(A4250,6),LEN(A4250))*0.0137+IFERROR(--RIGHT(B4250,6),LEN(B4250))*0.0071))*43758.5453,1),"")</f>
        <v/>
      </c>
      <c r="E4250" s="0" t="str">
        <f aca="false">IF(C4250=1,INT(MOD(ABS(SIN(D4250*7919.123+ROW()*0.618+'הדבקת לידים'!$F$2*1.3))*43758.5453,1)*1000000)*10000+ROW(),"")</f>
        <v/>
      </c>
      <c r="F4250" s="0" t="str">
        <f aca="false">IF(E4250="","",RANK(E4250,$E$2:$E$5001,1))</f>
        <v/>
      </c>
      <c r="G4250" s="0" t="n">
        <f aca="false">IF(A4250="",0,IF(SUMPRODUCT(--($A$2:$A$5001=A4250))&gt;1,1,0))</f>
        <v>0</v>
      </c>
      <c r="H4250" s="0" t="n">
        <f aca="false">ROW()-1</f>
        <v>4249</v>
      </c>
      <c r="I4250" s="0" t="str">
        <f aca="false">IF(OR(הגדרות!$E$6=0,H4250&gt;הגדרות!$E$5),"",IF(H4250-1&lt;הגדרות!$E$8*(הגדרות!$E$7+1),INT((H4250-1)/(הגדרות!$E$7+1)),הגדרות!$E$8+INT((H4250-1-הגדרות!$E$8*(הגדרות!$E$7+1))/הגדרות!$E$7)))</f>
        <v/>
      </c>
      <c r="J4250" s="0" t="str">
        <f aca="false">IF(I4250="","",IF(H4250-1&lt;הגדרות!$E$8*(הגדרות!$E$7+1),MOD(H4250-1,הגדרות!$E$7+1),MOD(H4250-1-הגדרות!$E$8*(הגדרות!$E$7+1),הגדרות!$E$7)))</f>
        <v/>
      </c>
      <c r="K4250" s="0" t="str">
        <f aca="false">IF(I4250="","",J4250*הגדרות!$E$6+I4250+1)</f>
        <v/>
      </c>
      <c r="L4250" s="0" t="str">
        <f aca="false">IF(K4250="","",MATCH(K4250,$F$2:$F$5001,0))</f>
        <v/>
      </c>
      <c r="M4250" s="0" t="str">
        <f aca="false">IF(I4250="","",INDEX(הגדרות!$A$2:$A$21,MOD(I4250+הגדרות!$E$9,הגדרות!$E$6)+1))</f>
        <v/>
      </c>
    </row>
    <row r="4251" customFormat="false" ht="15" hidden="false" customHeight="false" outlineLevel="0" collapsed="false">
      <c r="A4251" s="0" t="str">
        <f aca="false">IF('הדבקת לידים'!A4251="","",IF(ISNUMBER('הדבקת לידים'!A4251),IF(הגדרות!$E$2&gt;0,TEXT('הדבקת לידים'!A4251,REPT("0",הגדרות!$E$2)),TEXT('הדבקת לידים'!A4251,"0")),TRIM('הדבקת לידים'!A4251)))</f>
        <v/>
      </c>
      <c r="B4251" s="0" t="str">
        <f aca="false">IF('הדבקת לידים'!B4251="","",IF(ISNUMBER('הדבקת לידים'!B4251),IF(הגדרות!$E$3&gt;0,TEXT('הדבקת לידים'!B4251,REPT("0",הגדרות!$E$3)),TEXT('הדבקת לידים'!B4251,"0")),TRIM('הדבקת לידים'!B4251)))</f>
        <v/>
      </c>
      <c r="C4251" s="0" t="n">
        <f aca="false">IF(OR(A4251&lt;&gt;"",B4251&lt;&gt;""),1,0)</f>
        <v>0</v>
      </c>
      <c r="D4251" s="0" t="str">
        <f aca="false">IF(C4251=1,MOD(ABS(SIN(ROW()*12.9898+'הדבקת לידים'!$F$2*78.233+IFERROR(--RIGHT(A4251,6),LEN(A4251))*0.0137+IFERROR(--RIGHT(B4251,6),LEN(B4251))*0.0071))*43758.5453,1),"")</f>
        <v/>
      </c>
      <c r="E4251" s="0" t="str">
        <f aca="false">IF(C4251=1,INT(MOD(ABS(SIN(D4251*7919.123+ROW()*0.618+'הדבקת לידים'!$F$2*1.3))*43758.5453,1)*1000000)*10000+ROW(),"")</f>
        <v/>
      </c>
      <c r="F4251" s="0" t="str">
        <f aca="false">IF(E4251="","",RANK(E4251,$E$2:$E$5001,1))</f>
        <v/>
      </c>
      <c r="G4251" s="0" t="n">
        <f aca="false">IF(A4251="",0,IF(SUMPRODUCT(--($A$2:$A$5001=A4251))&gt;1,1,0))</f>
        <v>0</v>
      </c>
      <c r="H4251" s="0" t="n">
        <f aca="false">ROW()-1</f>
        <v>4250</v>
      </c>
      <c r="I4251" s="0" t="str">
        <f aca="false">IF(OR(הגדרות!$E$6=0,H4251&gt;הגדרות!$E$5),"",IF(H4251-1&lt;הגדרות!$E$8*(הגדרות!$E$7+1),INT((H4251-1)/(הגדרות!$E$7+1)),הגדרות!$E$8+INT((H4251-1-הגדרות!$E$8*(הגדרות!$E$7+1))/הגדרות!$E$7)))</f>
        <v/>
      </c>
      <c r="J4251" s="0" t="str">
        <f aca="false">IF(I4251="","",IF(H4251-1&lt;הגדרות!$E$8*(הגדרות!$E$7+1),MOD(H4251-1,הגדרות!$E$7+1),MOD(H4251-1-הגדרות!$E$8*(הגדרות!$E$7+1),הגדרות!$E$7)))</f>
        <v/>
      </c>
      <c r="K4251" s="0" t="str">
        <f aca="false">IF(I4251="","",J4251*הגדרות!$E$6+I4251+1)</f>
        <v/>
      </c>
      <c r="L4251" s="0" t="str">
        <f aca="false">IF(K4251="","",MATCH(K4251,$F$2:$F$5001,0))</f>
        <v/>
      </c>
      <c r="M4251" s="0" t="str">
        <f aca="false">IF(I4251="","",INDEX(הגדרות!$A$2:$A$21,MOD(I4251+הגדרות!$E$9,הגדרות!$E$6)+1))</f>
        <v/>
      </c>
    </row>
    <row r="4252" customFormat="false" ht="15" hidden="false" customHeight="false" outlineLevel="0" collapsed="false">
      <c r="A4252" s="0" t="str">
        <f aca="false">IF('הדבקת לידים'!A4252="","",IF(ISNUMBER('הדבקת לידים'!A4252),IF(הגדרות!$E$2&gt;0,TEXT('הדבקת לידים'!A4252,REPT("0",הגדרות!$E$2)),TEXT('הדבקת לידים'!A4252,"0")),TRIM('הדבקת לידים'!A4252)))</f>
        <v/>
      </c>
      <c r="B4252" s="0" t="str">
        <f aca="false">IF('הדבקת לידים'!B4252="","",IF(ISNUMBER('הדבקת לידים'!B4252),IF(הגדרות!$E$3&gt;0,TEXT('הדבקת לידים'!B4252,REPT("0",הגדרות!$E$3)),TEXT('הדבקת לידים'!B4252,"0")),TRIM('הדבקת לידים'!B4252)))</f>
        <v/>
      </c>
      <c r="C4252" s="0" t="n">
        <f aca="false">IF(OR(A4252&lt;&gt;"",B4252&lt;&gt;""),1,0)</f>
        <v>0</v>
      </c>
      <c r="D4252" s="0" t="str">
        <f aca="false">IF(C4252=1,MOD(ABS(SIN(ROW()*12.9898+'הדבקת לידים'!$F$2*78.233+IFERROR(--RIGHT(A4252,6),LEN(A4252))*0.0137+IFERROR(--RIGHT(B4252,6),LEN(B4252))*0.0071))*43758.5453,1),"")</f>
        <v/>
      </c>
      <c r="E4252" s="0" t="str">
        <f aca="false">IF(C4252=1,INT(MOD(ABS(SIN(D4252*7919.123+ROW()*0.618+'הדבקת לידים'!$F$2*1.3))*43758.5453,1)*1000000)*10000+ROW(),"")</f>
        <v/>
      </c>
      <c r="F4252" s="0" t="str">
        <f aca="false">IF(E4252="","",RANK(E4252,$E$2:$E$5001,1))</f>
        <v/>
      </c>
      <c r="G4252" s="0" t="n">
        <f aca="false">IF(A4252="",0,IF(SUMPRODUCT(--($A$2:$A$5001=A4252))&gt;1,1,0))</f>
        <v>0</v>
      </c>
      <c r="H4252" s="0" t="n">
        <f aca="false">ROW()-1</f>
        <v>4251</v>
      </c>
      <c r="I4252" s="0" t="str">
        <f aca="false">IF(OR(הגדרות!$E$6=0,H4252&gt;הגדרות!$E$5),"",IF(H4252-1&lt;הגדרות!$E$8*(הגדרות!$E$7+1),INT((H4252-1)/(הגדרות!$E$7+1)),הגדרות!$E$8+INT((H4252-1-הגדרות!$E$8*(הגדרות!$E$7+1))/הגדרות!$E$7)))</f>
        <v/>
      </c>
      <c r="J4252" s="0" t="str">
        <f aca="false">IF(I4252="","",IF(H4252-1&lt;הגדרות!$E$8*(הגדרות!$E$7+1),MOD(H4252-1,הגדרות!$E$7+1),MOD(H4252-1-הגדרות!$E$8*(הגדרות!$E$7+1),הגדרות!$E$7)))</f>
        <v/>
      </c>
      <c r="K4252" s="0" t="str">
        <f aca="false">IF(I4252="","",J4252*הגדרות!$E$6+I4252+1)</f>
        <v/>
      </c>
      <c r="L4252" s="0" t="str">
        <f aca="false">IF(K4252="","",MATCH(K4252,$F$2:$F$5001,0))</f>
        <v/>
      </c>
      <c r="M4252" s="0" t="str">
        <f aca="false">IF(I4252="","",INDEX(הגדרות!$A$2:$A$21,MOD(I4252+הגדרות!$E$9,הגדרות!$E$6)+1))</f>
        <v/>
      </c>
    </row>
    <row r="4253" customFormat="false" ht="15" hidden="false" customHeight="false" outlineLevel="0" collapsed="false">
      <c r="A4253" s="0" t="str">
        <f aca="false">IF('הדבקת לידים'!A4253="","",IF(ISNUMBER('הדבקת לידים'!A4253),IF(הגדרות!$E$2&gt;0,TEXT('הדבקת לידים'!A4253,REPT("0",הגדרות!$E$2)),TEXT('הדבקת לידים'!A4253,"0")),TRIM('הדבקת לידים'!A4253)))</f>
        <v/>
      </c>
      <c r="B4253" s="0" t="str">
        <f aca="false">IF('הדבקת לידים'!B4253="","",IF(ISNUMBER('הדבקת לידים'!B4253),IF(הגדרות!$E$3&gt;0,TEXT('הדבקת לידים'!B4253,REPT("0",הגדרות!$E$3)),TEXT('הדבקת לידים'!B4253,"0")),TRIM('הדבקת לידים'!B4253)))</f>
        <v/>
      </c>
      <c r="C4253" s="0" t="n">
        <f aca="false">IF(OR(A4253&lt;&gt;"",B4253&lt;&gt;""),1,0)</f>
        <v>0</v>
      </c>
      <c r="D4253" s="0" t="str">
        <f aca="false">IF(C4253=1,MOD(ABS(SIN(ROW()*12.9898+'הדבקת לידים'!$F$2*78.233+IFERROR(--RIGHT(A4253,6),LEN(A4253))*0.0137+IFERROR(--RIGHT(B4253,6),LEN(B4253))*0.0071))*43758.5453,1),"")</f>
        <v/>
      </c>
      <c r="E4253" s="0" t="str">
        <f aca="false">IF(C4253=1,INT(MOD(ABS(SIN(D4253*7919.123+ROW()*0.618+'הדבקת לידים'!$F$2*1.3))*43758.5453,1)*1000000)*10000+ROW(),"")</f>
        <v/>
      </c>
      <c r="F4253" s="0" t="str">
        <f aca="false">IF(E4253="","",RANK(E4253,$E$2:$E$5001,1))</f>
        <v/>
      </c>
      <c r="G4253" s="0" t="n">
        <f aca="false">IF(A4253="",0,IF(SUMPRODUCT(--($A$2:$A$5001=A4253))&gt;1,1,0))</f>
        <v>0</v>
      </c>
      <c r="H4253" s="0" t="n">
        <f aca="false">ROW()-1</f>
        <v>4252</v>
      </c>
      <c r="I4253" s="0" t="str">
        <f aca="false">IF(OR(הגדרות!$E$6=0,H4253&gt;הגדרות!$E$5),"",IF(H4253-1&lt;הגדרות!$E$8*(הגדרות!$E$7+1),INT((H4253-1)/(הגדרות!$E$7+1)),הגדרות!$E$8+INT((H4253-1-הגדרות!$E$8*(הגדרות!$E$7+1))/הגדרות!$E$7)))</f>
        <v/>
      </c>
      <c r="J4253" s="0" t="str">
        <f aca="false">IF(I4253="","",IF(H4253-1&lt;הגדרות!$E$8*(הגדרות!$E$7+1),MOD(H4253-1,הגדרות!$E$7+1),MOD(H4253-1-הגדרות!$E$8*(הגדרות!$E$7+1),הגדרות!$E$7)))</f>
        <v/>
      </c>
      <c r="K4253" s="0" t="str">
        <f aca="false">IF(I4253="","",J4253*הגדרות!$E$6+I4253+1)</f>
        <v/>
      </c>
      <c r="L4253" s="0" t="str">
        <f aca="false">IF(K4253="","",MATCH(K4253,$F$2:$F$5001,0))</f>
        <v/>
      </c>
      <c r="M4253" s="0" t="str">
        <f aca="false">IF(I4253="","",INDEX(הגדרות!$A$2:$A$21,MOD(I4253+הגדרות!$E$9,הגדרות!$E$6)+1))</f>
        <v/>
      </c>
    </row>
    <row r="4254" customFormat="false" ht="15" hidden="false" customHeight="false" outlineLevel="0" collapsed="false">
      <c r="A4254" s="0" t="str">
        <f aca="false">IF('הדבקת לידים'!A4254="","",IF(ISNUMBER('הדבקת לידים'!A4254),IF(הגדרות!$E$2&gt;0,TEXT('הדבקת לידים'!A4254,REPT("0",הגדרות!$E$2)),TEXT('הדבקת לידים'!A4254,"0")),TRIM('הדבקת לידים'!A4254)))</f>
        <v/>
      </c>
      <c r="B4254" s="0" t="str">
        <f aca="false">IF('הדבקת לידים'!B4254="","",IF(ISNUMBER('הדבקת לידים'!B4254),IF(הגדרות!$E$3&gt;0,TEXT('הדבקת לידים'!B4254,REPT("0",הגדרות!$E$3)),TEXT('הדבקת לידים'!B4254,"0")),TRIM('הדבקת לידים'!B4254)))</f>
        <v/>
      </c>
      <c r="C4254" s="0" t="n">
        <f aca="false">IF(OR(A4254&lt;&gt;"",B4254&lt;&gt;""),1,0)</f>
        <v>0</v>
      </c>
      <c r="D4254" s="0" t="str">
        <f aca="false">IF(C4254=1,MOD(ABS(SIN(ROW()*12.9898+'הדבקת לידים'!$F$2*78.233+IFERROR(--RIGHT(A4254,6),LEN(A4254))*0.0137+IFERROR(--RIGHT(B4254,6),LEN(B4254))*0.0071))*43758.5453,1),"")</f>
        <v/>
      </c>
      <c r="E4254" s="0" t="str">
        <f aca="false">IF(C4254=1,INT(MOD(ABS(SIN(D4254*7919.123+ROW()*0.618+'הדבקת לידים'!$F$2*1.3))*43758.5453,1)*1000000)*10000+ROW(),"")</f>
        <v/>
      </c>
      <c r="F4254" s="0" t="str">
        <f aca="false">IF(E4254="","",RANK(E4254,$E$2:$E$5001,1))</f>
        <v/>
      </c>
      <c r="G4254" s="0" t="n">
        <f aca="false">IF(A4254="",0,IF(SUMPRODUCT(--($A$2:$A$5001=A4254))&gt;1,1,0))</f>
        <v>0</v>
      </c>
      <c r="H4254" s="0" t="n">
        <f aca="false">ROW()-1</f>
        <v>4253</v>
      </c>
      <c r="I4254" s="0" t="str">
        <f aca="false">IF(OR(הגדרות!$E$6=0,H4254&gt;הגדרות!$E$5),"",IF(H4254-1&lt;הגדרות!$E$8*(הגדרות!$E$7+1),INT((H4254-1)/(הגדרות!$E$7+1)),הגדרות!$E$8+INT((H4254-1-הגדרות!$E$8*(הגדרות!$E$7+1))/הגדרות!$E$7)))</f>
        <v/>
      </c>
      <c r="J4254" s="0" t="str">
        <f aca="false">IF(I4254="","",IF(H4254-1&lt;הגדרות!$E$8*(הגדרות!$E$7+1),MOD(H4254-1,הגדרות!$E$7+1),MOD(H4254-1-הגדרות!$E$8*(הגדרות!$E$7+1),הגדרות!$E$7)))</f>
        <v/>
      </c>
      <c r="K4254" s="0" t="str">
        <f aca="false">IF(I4254="","",J4254*הגדרות!$E$6+I4254+1)</f>
        <v/>
      </c>
      <c r="L4254" s="0" t="str">
        <f aca="false">IF(K4254="","",MATCH(K4254,$F$2:$F$5001,0))</f>
        <v/>
      </c>
      <c r="M4254" s="0" t="str">
        <f aca="false">IF(I4254="","",INDEX(הגדרות!$A$2:$A$21,MOD(I4254+הגדרות!$E$9,הגדרות!$E$6)+1))</f>
        <v/>
      </c>
    </row>
    <row r="4255" customFormat="false" ht="15" hidden="false" customHeight="false" outlineLevel="0" collapsed="false">
      <c r="A4255" s="0" t="str">
        <f aca="false">IF('הדבקת לידים'!A4255="","",IF(ISNUMBER('הדבקת לידים'!A4255),IF(הגדרות!$E$2&gt;0,TEXT('הדבקת לידים'!A4255,REPT("0",הגדרות!$E$2)),TEXT('הדבקת לידים'!A4255,"0")),TRIM('הדבקת לידים'!A4255)))</f>
        <v/>
      </c>
      <c r="B4255" s="0" t="str">
        <f aca="false">IF('הדבקת לידים'!B4255="","",IF(ISNUMBER('הדבקת לידים'!B4255),IF(הגדרות!$E$3&gt;0,TEXT('הדבקת לידים'!B4255,REPT("0",הגדרות!$E$3)),TEXT('הדבקת לידים'!B4255,"0")),TRIM('הדבקת לידים'!B4255)))</f>
        <v/>
      </c>
      <c r="C4255" s="0" t="n">
        <f aca="false">IF(OR(A4255&lt;&gt;"",B4255&lt;&gt;""),1,0)</f>
        <v>0</v>
      </c>
      <c r="D4255" s="0" t="str">
        <f aca="false">IF(C4255=1,MOD(ABS(SIN(ROW()*12.9898+'הדבקת לידים'!$F$2*78.233+IFERROR(--RIGHT(A4255,6),LEN(A4255))*0.0137+IFERROR(--RIGHT(B4255,6),LEN(B4255))*0.0071))*43758.5453,1),"")</f>
        <v/>
      </c>
      <c r="E4255" s="0" t="str">
        <f aca="false">IF(C4255=1,INT(MOD(ABS(SIN(D4255*7919.123+ROW()*0.618+'הדבקת לידים'!$F$2*1.3))*43758.5453,1)*1000000)*10000+ROW(),"")</f>
        <v/>
      </c>
      <c r="F4255" s="0" t="str">
        <f aca="false">IF(E4255="","",RANK(E4255,$E$2:$E$5001,1))</f>
        <v/>
      </c>
      <c r="G4255" s="0" t="n">
        <f aca="false">IF(A4255="",0,IF(SUMPRODUCT(--($A$2:$A$5001=A4255))&gt;1,1,0))</f>
        <v>0</v>
      </c>
      <c r="H4255" s="0" t="n">
        <f aca="false">ROW()-1</f>
        <v>4254</v>
      </c>
      <c r="I4255" s="0" t="str">
        <f aca="false">IF(OR(הגדרות!$E$6=0,H4255&gt;הגדרות!$E$5),"",IF(H4255-1&lt;הגדרות!$E$8*(הגדרות!$E$7+1),INT((H4255-1)/(הגדרות!$E$7+1)),הגדרות!$E$8+INT((H4255-1-הגדרות!$E$8*(הגדרות!$E$7+1))/הגדרות!$E$7)))</f>
        <v/>
      </c>
      <c r="J4255" s="0" t="str">
        <f aca="false">IF(I4255="","",IF(H4255-1&lt;הגדרות!$E$8*(הגדרות!$E$7+1),MOD(H4255-1,הגדרות!$E$7+1),MOD(H4255-1-הגדרות!$E$8*(הגדרות!$E$7+1),הגדרות!$E$7)))</f>
        <v/>
      </c>
      <c r="K4255" s="0" t="str">
        <f aca="false">IF(I4255="","",J4255*הגדרות!$E$6+I4255+1)</f>
        <v/>
      </c>
      <c r="L4255" s="0" t="str">
        <f aca="false">IF(K4255="","",MATCH(K4255,$F$2:$F$5001,0))</f>
        <v/>
      </c>
      <c r="M4255" s="0" t="str">
        <f aca="false">IF(I4255="","",INDEX(הגדרות!$A$2:$A$21,MOD(I4255+הגדרות!$E$9,הגדרות!$E$6)+1))</f>
        <v/>
      </c>
    </row>
    <row r="4256" customFormat="false" ht="15" hidden="false" customHeight="false" outlineLevel="0" collapsed="false">
      <c r="A4256" s="0" t="str">
        <f aca="false">IF('הדבקת לידים'!A4256="","",IF(ISNUMBER('הדבקת לידים'!A4256),IF(הגדרות!$E$2&gt;0,TEXT('הדבקת לידים'!A4256,REPT("0",הגדרות!$E$2)),TEXT('הדבקת לידים'!A4256,"0")),TRIM('הדבקת לידים'!A4256)))</f>
        <v/>
      </c>
      <c r="B4256" s="0" t="str">
        <f aca="false">IF('הדבקת לידים'!B4256="","",IF(ISNUMBER('הדבקת לידים'!B4256),IF(הגדרות!$E$3&gt;0,TEXT('הדבקת לידים'!B4256,REPT("0",הגדרות!$E$3)),TEXT('הדבקת לידים'!B4256,"0")),TRIM('הדבקת לידים'!B4256)))</f>
        <v/>
      </c>
      <c r="C4256" s="0" t="n">
        <f aca="false">IF(OR(A4256&lt;&gt;"",B4256&lt;&gt;""),1,0)</f>
        <v>0</v>
      </c>
      <c r="D4256" s="0" t="str">
        <f aca="false">IF(C4256=1,MOD(ABS(SIN(ROW()*12.9898+'הדבקת לידים'!$F$2*78.233+IFERROR(--RIGHT(A4256,6),LEN(A4256))*0.0137+IFERROR(--RIGHT(B4256,6),LEN(B4256))*0.0071))*43758.5453,1),"")</f>
        <v/>
      </c>
      <c r="E4256" s="0" t="str">
        <f aca="false">IF(C4256=1,INT(MOD(ABS(SIN(D4256*7919.123+ROW()*0.618+'הדבקת לידים'!$F$2*1.3))*43758.5453,1)*1000000)*10000+ROW(),"")</f>
        <v/>
      </c>
      <c r="F4256" s="0" t="str">
        <f aca="false">IF(E4256="","",RANK(E4256,$E$2:$E$5001,1))</f>
        <v/>
      </c>
      <c r="G4256" s="0" t="n">
        <f aca="false">IF(A4256="",0,IF(SUMPRODUCT(--($A$2:$A$5001=A4256))&gt;1,1,0))</f>
        <v>0</v>
      </c>
      <c r="H4256" s="0" t="n">
        <f aca="false">ROW()-1</f>
        <v>4255</v>
      </c>
      <c r="I4256" s="0" t="str">
        <f aca="false">IF(OR(הגדרות!$E$6=0,H4256&gt;הגדרות!$E$5),"",IF(H4256-1&lt;הגדרות!$E$8*(הגדרות!$E$7+1),INT((H4256-1)/(הגדרות!$E$7+1)),הגדרות!$E$8+INT((H4256-1-הגדרות!$E$8*(הגדרות!$E$7+1))/הגדרות!$E$7)))</f>
        <v/>
      </c>
      <c r="J4256" s="0" t="str">
        <f aca="false">IF(I4256="","",IF(H4256-1&lt;הגדרות!$E$8*(הגדרות!$E$7+1),MOD(H4256-1,הגדרות!$E$7+1),MOD(H4256-1-הגדרות!$E$8*(הגדרות!$E$7+1),הגדרות!$E$7)))</f>
        <v/>
      </c>
      <c r="K4256" s="0" t="str">
        <f aca="false">IF(I4256="","",J4256*הגדרות!$E$6+I4256+1)</f>
        <v/>
      </c>
      <c r="L4256" s="0" t="str">
        <f aca="false">IF(K4256="","",MATCH(K4256,$F$2:$F$5001,0))</f>
        <v/>
      </c>
      <c r="M4256" s="0" t="str">
        <f aca="false">IF(I4256="","",INDEX(הגדרות!$A$2:$A$21,MOD(I4256+הגדרות!$E$9,הגדרות!$E$6)+1))</f>
        <v/>
      </c>
    </row>
    <row r="4257" customFormat="false" ht="15" hidden="false" customHeight="false" outlineLevel="0" collapsed="false">
      <c r="A4257" s="0" t="str">
        <f aca="false">IF('הדבקת לידים'!A4257="","",IF(ISNUMBER('הדבקת לידים'!A4257),IF(הגדרות!$E$2&gt;0,TEXT('הדבקת לידים'!A4257,REPT("0",הגדרות!$E$2)),TEXT('הדבקת לידים'!A4257,"0")),TRIM('הדבקת לידים'!A4257)))</f>
        <v/>
      </c>
      <c r="B4257" s="0" t="str">
        <f aca="false">IF('הדבקת לידים'!B4257="","",IF(ISNUMBER('הדבקת לידים'!B4257),IF(הגדרות!$E$3&gt;0,TEXT('הדבקת לידים'!B4257,REPT("0",הגדרות!$E$3)),TEXT('הדבקת לידים'!B4257,"0")),TRIM('הדבקת לידים'!B4257)))</f>
        <v/>
      </c>
      <c r="C4257" s="0" t="n">
        <f aca="false">IF(OR(A4257&lt;&gt;"",B4257&lt;&gt;""),1,0)</f>
        <v>0</v>
      </c>
      <c r="D4257" s="0" t="str">
        <f aca="false">IF(C4257=1,MOD(ABS(SIN(ROW()*12.9898+'הדבקת לידים'!$F$2*78.233+IFERROR(--RIGHT(A4257,6),LEN(A4257))*0.0137+IFERROR(--RIGHT(B4257,6),LEN(B4257))*0.0071))*43758.5453,1),"")</f>
        <v/>
      </c>
      <c r="E4257" s="0" t="str">
        <f aca="false">IF(C4257=1,INT(MOD(ABS(SIN(D4257*7919.123+ROW()*0.618+'הדבקת לידים'!$F$2*1.3))*43758.5453,1)*1000000)*10000+ROW(),"")</f>
        <v/>
      </c>
      <c r="F4257" s="0" t="str">
        <f aca="false">IF(E4257="","",RANK(E4257,$E$2:$E$5001,1))</f>
        <v/>
      </c>
      <c r="G4257" s="0" t="n">
        <f aca="false">IF(A4257="",0,IF(SUMPRODUCT(--($A$2:$A$5001=A4257))&gt;1,1,0))</f>
        <v>0</v>
      </c>
      <c r="H4257" s="0" t="n">
        <f aca="false">ROW()-1</f>
        <v>4256</v>
      </c>
      <c r="I4257" s="0" t="str">
        <f aca="false">IF(OR(הגדרות!$E$6=0,H4257&gt;הגדרות!$E$5),"",IF(H4257-1&lt;הגדרות!$E$8*(הגדרות!$E$7+1),INT((H4257-1)/(הגדרות!$E$7+1)),הגדרות!$E$8+INT((H4257-1-הגדרות!$E$8*(הגדרות!$E$7+1))/הגדרות!$E$7)))</f>
        <v/>
      </c>
      <c r="J4257" s="0" t="str">
        <f aca="false">IF(I4257="","",IF(H4257-1&lt;הגדרות!$E$8*(הגדרות!$E$7+1),MOD(H4257-1,הגדרות!$E$7+1),MOD(H4257-1-הגדרות!$E$8*(הגדרות!$E$7+1),הגדרות!$E$7)))</f>
        <v/>
      </c>
      <c r="K4257" s="0" t="str">
        <f aca="false">IF(I4257="","",J4257*הגדרות!$E$6+I4257+1)</f>
        <v/>
      </c>
      <c r="L4257" s="0" t="str">
        <f aca="false">IF(K4257="","",MATCH(K4257,$F$2:$F$5001,0))</f>
        <v/>
      </c>
      <c r="M4257" s="0" t="str">
        <f aca="false">IF(I4257="","",INDEX(הגדרות!$A$2:$A$21,MOD(I4257+הגדרות!$E$9,הגדרות!$E$6)+1))</f>
        <v/>
      </c>
    </row>
    <row r="4258" customFormat="false" ht="15" hidden="false" customHeight="false" outlineLevel="0" collapsed="false">
      <c r="A4258" s="0" t="str">
        <f aca="false">IF('הדבקת לידים'!A4258="","",IF(ISNUMBER('הדבקת לידים'!A4258),IF(הגדרות!$E$2&gt;0,TEXT('הדבקת לידים'!A4258,REPT("0",הגדרות!$E$2)),TEXT('הדבקת לידים'!A4258,"0")),TRIM('הדבקת לידים'!A4258)))</f>
        <v/>
      </c>
      <c r="B4258" s="0" t="str">
        <f aca="false">IF('הדבקת לידים'!B4258="","",IF(ISNUMBER('הדבקת לידים'!B4258),IF(הגדרות!$E$3&gt;0,TEXT('הדבקת לידים'!B4258,REPT("0",הגדרות!$E$3)),TEXT('הדבקת לידים'!B4258,"0")),TRIM('הדבקת לידים'!B4258)))</f>
        <v/>
      </c>
      <c r="C4258" s="0" t="n">
        <f aca="false">IF(OR(A4258&lt;&gt;"",B4258&lt;&gt;""),1,0)</f>
        <v>0</v>
      </c>
      <c r="D4258" s="0" t="str">
        <f aca="false">IF(C4258=1,MOD(ABS(SIN(ROW()*12.9898+'הדבקת לידים'!$F$2*78.233+IFERROR(--RIGHT(A4258,6),LEN(A4258))*0.0137+IFERROR(--RIGHT(B4258,6),LEN(B4258))*0.0071))*43758.5453,1),"")</f>
        <v/>
      </c>
      <c r="E4258" s="0" t="str">
        <f aca="false">IF(C4258=1,INT(MOD(ABS(SIN(D4258*7919.123+ROW()*0.618+'הדבקת לידים'!$F$2*1.3))*43758.5453,1)*1000000)*10000+ROW(),"")</f>
        <v/>
      </c>
      <c r="F4258" s="0" t="str">
        <f aca="false">IF(E4258="","",RANK(E4258,$E$2:$E$5001,1))</f>
        <v/>
      </c>
      <c r="G4258" s="0" t="n">
        <f aca="false">IF(A4258="",0,IF(SUMPRODUCT(--($A$2:$A$5001=A4258))&gt;1,1,0))</f>
        <v>0</v>
      </c>
      <c r="H4258" s="0" t="n">
        <f aca="false">ROW()-1</f>
        <v>4257</v>
      </c>
      <c r="I4258" s="0" t="str">
        <f aca="false">IF(OR(הגדרות!$E$6=0,H4258&gt;הגדרות!$E$5),"",IF(H4258-1&lt;הגדרות!$E$8*(הגדרות!$E$7+1),INT((H4258-1)/(הגדרות!$E$7+1)),הגדרות!$E$8+INT((H4258-1-הגדרות!$E$8*(הגדרות!$E$7+1))/הגדרות!$E$7)))</f>
        <v/>
      </c>
      <c r="J4258" s="0" t="str">
        <f aca="false">IF(I4258="","",IF(H4258-1&lt;הגדרות!$E$8*(הגדרות!$E$7+1),MOD(H4258-1,הגדרות!$E$7+1),MOD(H4258-1-הגדרות!$E$8*(הגדרות!$E$7+1),הגדרות!$E$7)))</f>
        <v/>
      </c>
      <c r="K4258" s="0" t="str">
        <f aca="false">IF(I4258="","",J4258*הגדרות!$E$6+I4258+1)</f>
        <v/>
      </c>
      <c r="L4258" s="0" t="str">
        <f aca="false">IF(K4258="","",MATCH(K4258,$F$2:$F$5001,0))</f>
        <v/>
      </c>
      <c r="M4258" s="0" t="str">
        <f aca="false">IF(I4258="","",INDEX(הגדרות!$A$2:$A$21,MOD(I4258+הגדרות!$E$9,הגדרות!$E$6)+1))</f>
        <v/>
      </c>
    </row>
    <row r="4259" customFormat="false" ht="15" hidden="false" customHeight="false" outlineLevel="0" collapsed="false">
      <c r="A4259" s="0" t="str">
        <f aca="false">IF('הדבקת לידים'!A4259="","",IF(ISNUMBER('הדבקת לידים'!A4259),IF(הגדרות!$E$2&gt;0,TEXT('הדבקת לידים'!A4259,REPT("0",הגדרות!$E$2)),TEXT('הדבקת לידים'!A4259,"0")),TRIM('הדבקת לידים'!A4259)))</f>
        <v/>
      </c>
      <c r="B4259" s="0" t="str">
        <f aca="false">IF('הדבקת לידים'!B4259="","",IF(ISNUMBER('הדבקת לידים'!B4259),IF(הגדרות!$E$3&gt;0,TEXT('הדבקת לידים'!B4259,REPT("0",הגדרות!$E$3)),TEXT('הדבקת לידים'!B4259,"0")),TRIM('הדבקת לידים'!B4259)))</f>
        <v/>
      </c>
      <c r="C4259" s="0" t="n">
        <f aca="false">IF(OR(A4259&lt;&gt;"",B4259&lt;&gt;""),1,0)</f>
        <v>0</v>
      </c>
      <c r="D4259" s="0" t="str">
        <f aca="false">IF(C4259=1,MOD(ABS(SIN(ROW()*12.9898+'הדבקת לידים'!$F$2*78.233+IFERROR(--RIGHT(A4259,6),LEN(A4259))*0.0137+IFERROR(--RIGHT(B4259,6),LEN(B4259))*0.0071))*43758.5453,1),"")</f>
        <v/>
      </c>
      <c r="E4259" s="0" t="str">
        <f aca="false">IF(C4259=1,INT(MOD(ABS(SIN(D4259*7919.123+ROW()*0.618+'הדבקת לידים'!$F$2*1.3))*43758.5453,1)*1000000)*10000+ROW(),"")</f>
        <v/>
      </c>
      <c r="F4259" s="0" t="str">
        <f aca="false">IF(E4259="","",RANK(E4259,$E$2:$E$5001,1))</f>
        <v/>
      </c>
      <c r="G4259" s="0" t="n">
        <f aca="false">IF(A4259="",0,IF(SUMPRODUCT(--($A$2:$A$5001=A4259))&gt;1,1,0))</f>
        <v>0</v>
      </c>
      <c r="H4259" s="0" t="n">
        <f aca="false">ROW()-1</f>
        <v>4258</v>
      </c>
      <c r="I4259" s="0" t="str">
        <f aca="false">IF(OR(הגדרות!$E$6=0,H4259&gt;הגדרות!$E$5),"",IF(H4259-1&lt;הגדרות!$E$8*(הגדרות!$E$7+1),INT((H4259-1)/(הגדרות!$E$7+1)),הגדרות!$E$8+INT((H4259-1-הגדרות!$E$8*(הגדרות!$E$7+1))/הגדרות!$E$7)))</f>
        <v/>
      </c>
      <c r="J4259" s="0" t="str">
        <f aca="false">IF(I4259="","",IF(H4259-1&lt;הגדרות!$E$8*(הגדרות!$E$7+1),MOD(H4259-1,הגדרות!$E$7+1),MOD(H4259-1-הגדרות!$E$8*(הגדרות!$E$7+1),הגדרות!$E$7)))</f>
        <v/>
      </c>
      <c r="K4259" s="0" t="str">
        <f aca="false">IF(I4259="","",J4259*הגדרות!$E$6+I4259+1)</f>
        <v/>
      </c>
      <c r="L4259" s="0" t="str">
        <f aca="false">IF(K4259="","",MATCH(K4259,$F$2:$F$5001,0))</f>
        <v/>
      </c>
      <c r="M4259" s="0" t="str">
        <f aca="false">IF(I4259="","",INDEX(הגדרות!$A$2:$A$21,MOD(I4259+הגדרות!$E$9,הגדרות!$E$6)+1))</f>
        <v/>
      </c>
    </row>
    <row r="4260" customFormat="false" ht="15" hidden="false" customHeight="false" outlineLevel="0" collapsed="false">
      <c r="A4260" s="0" t="str">
        <f aca="false">IF('הדבקת לידים'!A4260="","",IF(ISNUMBER('הדבקת לידים'!A4260),IF(הגדרות!$E$2&gt;0,TEXT('הדבקת לידים'!A4260,REPT("0",הגדרות!$E$2)),TEXT('הדבקת לידים'!A4260,"0")),TRIM('הדבקת לידים'!A4260)))</f>
        <v/>
      </c>
      <c r="B4260" s="0" t="str">
        <f aca="false">IF('הדבקת לידים'!B4260="","",IF(ISNUMBER('הדבקת לידים'!B4260),IF(הגדרות!$E$3&gt;0,TEXT('הדבקת לידים'!B4260,REPT("0",הגדרות!$E$3)),TEXT('הדבקת לידים'!B4260,"0")),TRIM('הדבקת לידים'!B4260)))</f>
        <v/>
      </c>
      <c r="C4260" s="0" t="n">
        <f aca="false">IF(OR(A4260&lt;&gt;"",B4260&lt;&gt;""),1,0)</f>
        <v>0</v>
      </c>
      <c r="D4260" s="0" t="str">
        <f aca="false">IF(C4260=1,MOD(ABS(SIN(ROW()*12.9898+'הדבקת לידים'!$F$2*78.233+IFERROR(--RIGHT(A4260,6),LEN(A4260))*0.0137+IFERROR(--RIGHT(B4260,6),LEN(B4260))*0.0071))*43758.5453,1),"")</f>
        <v/>
      </c>
      <c r="E4260" s="0" t="str">
        <f aca="false">IF(C4260=1,INT(MOD(ABS(SIN(D4260*7919.123+ROW()*0.618+'הדבקת לידים'!$F$2*1.3))*43758.5453,1)*1000000)*10000+ROW(),"")</f>
        <v/>
      </c>
      <c r="F4260" s="0" t="str">
        <f aca="false">IF(E4260="","",RANK(E4260,$E$2:$E$5001,1))</f>
        <v/>
      </c>
      <c r="G4260" s="0" t="n">
        <f aca="false">IF(A4260="",0,IF(SUMPRODUCT(--($A$2:$A$5001=A4260))&gt;1,1,0))</f>
        <v>0</v>
      </c>
      <c r="H4260" s="0" t="n">
        <f aca="false">ROW()-1</f>
        <v>4259</v>
      </c>
      <c r="I4260" s="0" t="str">
        <f aca="false">IF(OR(הגדרות!$E$6=0,H4260&gt;הגדרות!$E$5),"",IF(H4260-1&lt;הגדרות!$E$8*(הגדרות!$E$7+1),INT((H4260-1)/(הגדרות!$E$7+1)),הגדרות!$E$8+INT((H4260-1-הגדרות!$E$8*(הגדרות!$E$7+1))/הגדרות!$E$7)))</f>
        <v/>
      </c>
      <c r="J4260" s="0" t="str">
        <f aca="false">IF(I4260="","",IF(H4260-1&lt;הגדרות!$E$8*(הגדרות!$E$7+1),MOD(H4260-1,הגדרות!$E$7+1),MOD(H4260-1-הגדרות!$E$8*(הגדרות!$E$7+1),הגדרות!$E$7)))</f>
        <v/>
      </c>
      <c r="K4260" s="0" t="str">
        <f aca="false">IF(I4260="","",J4260*הגדרות!$E$6+I4260+1)</f>
        <v/>
      </c>
      <c r="L4260" s="0" t="str">
        <f aca="false">IF(K4260="","",MATCH(K4260,$F$2:$F$5001,0))</f>
        <v/>
      </c>
      <c r="M4260" s="0" t="str">
        <f aca="false">IF(I4260="","",INDEX(הגדרות!$A$2:$A$21,MOD(I4260+הגדרות!$E$9,הגדרות!$E$6)+1))</f>
        <v/>
      </c>
    </row>
    <row r="4261" customFormat="false" ht="15" hidden="false" customHeight="false" outlineLevel="0" collapsed="false">
      <c r="A4261" s="0" t="str">
        <f aca="false">IF('הדבקת לידים'!A4261="","",IF(ISNUMBER('הדבקת לידים'!A4261),IF(הגדרות!$E$2&gt;0,TEXT('הדבקת לידים'!A4261,REPT("0",הגדרות!$E$2)),TEXT('הדבקת לידים'!A4261,"0")),TRIM('הדבקת לידים'!A4261)))</f>
        <v/>
      </c>
      <c r="B4261" s="0" t="str">
        <f aca="false">IF('הדבקת לידים'!B4261="","",IF(ISNUMBER('הדבקת לידים'!B4261),IF(הגדרות!$E$3&gt;0,TEXT('הדבקת לידים'!B4261,REPT("0",הגדרות!$E$3)),TEXT('הדבקת לידים'!B4261,"0")),TRIM('הדבקת לידים'!B4261)))</f>
        <v/>
      </c>
      <c r="C4261" s="0" t="n">
        <f aca="false">IF(OR(A4261&lt;&gt;"",B4261&lt;&gt;""),1,0)</f>
        <v>0</v>
      </c>
      <c r="D4261" s="0" t="str">
        <f aca="false">IF(C4261=1,MOD(ABS(SIN(ROW()*12.9898+'הדבקת לידים'!$F$2*78.233+IFERROR(--RIGHT(A4261,6),LEN(A4261))*0.0137+IFERROR(--RIGHT(B4261,6),LEN(B4261))*0.0071))*43758.5453,1),"")</f>
        <v/>
      </c>
      <c r="E4261" s="0" t="str">
        <f aca="false">IF(C4261=1,INT(MOD(ABS(SIN(D4261*7919.123+ROW()*0.618+'הדבקת לידים'!$F$2*1.3))*43758.5453,1)*1000000)*10000+ROW(),"")</f>
        <v/>
      </c>
      <c r="F4261" s="0" t="str">
        <f aca="false">IF(E4261="","",RANK(E4261,$E$2:$E$5001,1))</f>
        <v/>
      </c>
      <c r="G4261" s="0" t="n">
        <f aca="false">IF(A4261="",0,IF(SUMPRODUCT(--($A$2:$A$5001=A4261))&gt;1,1,0))</f>
        <v>0</v>
      </c>
      <c r="H4261" s="0" t="n">
        <f aca="false">ROW()-1</f>
        <v>4260</v>
      </c>
      <c r="I4261" s="0" t="str">
        <f aca="false">IF(OR(הגדרות!$E$6=0,H4261&gt;הגדרות!$E$5),"",IF(H4261-1&lt;הגדרות!$E$8*(הגדרות!$E$7+1),INT((H4261-1)/(הגדרות!$E$7+1)),הגדרות!$E$8+INT((H4261-1-הגדרות!$E$8*(הגדרות!$E$7+1))/הגדרות!$E$7)))</f>
        <v/>
      </c>
      <c r="J4261" s="0" t="str">
        <f aca="false">IF(I4261="","",IF(H4261-1&lt;הגדרות!$E$8*(הגדרות!$E$7+1),MOD(H4261-1,הגדרות!$E$7+1),MOD(H4261-1-הגדרות!$E$8*(הגדרות!$E$7+1),הגדרות!$E$7)))</f>
        <v/>
      </c>
      <c r="K4261" s="0" t="str">
        <f aca="false">IF(I4261="","",J4261*הגדרות!$E$6+I4261+1)</f>
        <v/>
      </c>
      <c r="L4261" s="0" t="str">
        <f aca="false">IF(K4261="","",MATCH(K4261,$F$2:$F$5001,0))</f>
        <v/>
      </c>
      <c r="M4261" s="0" t="str">
        <f aca="false">IF(I4261="","",INDEX(הגדרות!$A$2:$A$21,MOD(I4261+הגדרות!$E$9,הגדרות!$E$6)+1))</f>
        <v/>
      </c>
    </row>
    <row r="4262" customFormat="false" ht="15" hidden="false" customHeight="false" outlineLevel="0" collapsed="false">
      <c r="A4262" s="0" t="str">
        <f aca="false">IF('הדבקת לידים'!A4262="","",IF(ISNUMBER('הדבקת לידים'!A4262),IF(הגדרות!$E$2&gt;0,TEXT('הדבקת לידים'!A4262,REPT("0",הגדרות!$E$2)),TEXT('הדבקת לידים'!A4262,"0")),TRIM('הדבקת לידים'!A4262)))</f>
        <v/>
      </c>
      <c r="B4262" s="0" t="str">
        <f aca="false">IF('הדבקת לידים'!B4262="","",IF(ISNUMBER('הדבקת לידים'!B4262),IF(הגדרות!$E$3&gt;0,TEXT('הדבקת לידים'!B4262,REPT("0",הגדרות!$E$3)),TEXT('הדבקת לידים'!B4262,"0")),TRIM('הדבקת לידים'!B4262)))</f>
        <v/>
      </c>
      <c r="C4262" s="0" t="n">
        <f aca="false">IF(OR(A4262&lt;&gt;"",B4262&lt;&gt;""),1,0)</f>
        <v>0</v>
      </c>
      <c r="D4262" s="0" t="str">
        <f aca="false">IF(C4262=1,MOD(ABS(SIN(ROW()*12.9898+'הדבקת לידים'!$F$2*78.233+IFERROR(--RIGHT(A4262,6),LEN(A4262))*0.0137+IFERROR(--RIGHT(B4262,6),LEN(B4262))*0.0071))*43758.5453,1),"")</f>
        <v/>
      </c>
      <c r="E4262" s="0" t="str">
        <f aca="false">IF(C4262=1,INT(MOD(ABS(SIN(D4262*7919.123+ROW()*0.618+'הדבקת לידים'!$F$2*1.3))*43758.5453,1)*1000000)*10000+ROW(),"")</f>
        <v/>
      </c>
      <c r="F4262" s="0" t="str">
        <f aca="false">IF(E4262="","",RANK(E4262,$E$2:$E$5001,1))</f>
        <v/>
      </c>
      <c r="G4262" s="0" t="n">
        <f aca="false">IF(A4262="",0,IF(SUMPRODUCT(--($A$2:$A$5001=A4262))&gt;1,1,0))</f>
        <v>0</v>
      </c>
      <c r="H4262" s="0" t="n">
        <f aca="false">ROW()-1</f>
        <v>4261</v>
      </c>
      <c r="I4262" s="0" t="str">
        <f aca="false">IF(OR(הגדרות!$E$6=0,H4262&gt;הגדרות!$E$5),"",IF(H4262-1&lt;הגדרות!$E$8*(הגדרות!$E$7+1),INT((H4262-1)/(הגדרות!$E$7+1)),הגדרות!$E$8+INT((H4262-1-הגדרות!$E$8*(הגדרות!$E$7+1))/הגדרות!$E$7)))</f>
        <v/>
      </c>
      <c r="J4262" s="0" t="str">
        <f aca="false">IF(I4262="","",IF(H4262-1&lt;הגדרות!$E$8*(הגדרות!$E$7+1),MOD(H4262-1,הגדרות!$E$7+1),MOD(H4262-1-הגדרות!$E$8*(הגדרות!$E$7+1),הגדרות!$E$7)))</f>
        <v/>
      </c>
      <c r="K4262" s="0" t="str">
        <f aca="false">IF(I4262="","",J4262*הגדרות!$E$6+I4262+1)</f>
        <v/>
      </c>
      <c r="L4262" s="0" t="str">
        <f aca="false">IF(K4262="","",MATCH(K4262,$F$2:$F$5001,0))</f>
        <v/>
      </c>
      <c r="M4262" s="0" t="str">
        <f aca="false">IF(I4262="","",INDEX(הגדרות!$A$2:$A$21,MOD(I4262+הגדרות!$E$9,הגדרות!$E$6)+1))</f>
        <v/>
      </c>
    </row>
    <row r="4263" customFormat="false" ht="15" hidden="false" customHeight="false" outlineLevel="0" collapsed="false">
      <c r="A4263" s="0" t="str">
        <f aca="false">IF('הדבקת לידים'!A4263="","",IF(ISNUMBER('הדבקת לידים'!A4263),IF(הגדרות!$E$2&gt;0,TEXT('הדבקת לידים'!A4263,REPT("0",הגדרות!$E$2)),TEXT('הדבקת לידים'!A4263,"0")),TRIM('הדבקת לידים'!A4263)))</f>
        <v/>
      </c>
      <c r="B4263" s="0" t="str">
        <f aca="false">IF('הדבקת לידים'!B4263="","",IF(ISNUMBER('הדבקת לידים'!B4263),IF(הגדרות!$E$3&gt;0,TEXT('הדבקת לידים'!B4263,REPT("0",הגדרות!$E$3)),TEXT('הדבקת לידים'!B4263,"0")),TRIM('הדבקת לידים'!B4263)))</f>
        <v/>
      </c>
      <c r="C4263" s="0" t="n">
        <f aca="false">IF(OR(A4263&lt;&gt;"",B4263&lt;&gt;""),1,0)</f>
        <v>0</v>
      </c>
      <c r="D4263" s="0" t="str">
        <f aca="false">IF(C4263=1,MOD(ABS(SIN(ROW()*12.9898+'הדבקת לידים'!$F$2*78.233+IFERROR(--RIGHT(A4263,6),LEN(A4263))*0.0137+IFERROR(--RIGHT(B4263,6),LEN(B4263))*0.0071))*43758.5453,1),"")</f>
        <v/>
      </c>
      <c r="E4263" s="0" t="str">
        <f aca="false">IF(C4263=1,INT(MOD(ABS(SIN(D4263*7919.123+ROW()*0.618+'הדבקת לידים'!$F$2*1.3))*43758.5453,1)*1000000)*10000+ROW(),"")</f>
        <v/>
      </c>
      <c r="F4263" s="0" t="str">
        <f aca="false">IF(E4263="","",RANK(E4263,$E$2:$E$5001,1))</f>
        <v/>
      </c>
      <c r="G4263" s="0" t="n">
        <f aca="false">IF(A4263="",0,IF(SUMPRODUCT(--($A$2:$A$5001=A4263))&gt;1,1,0))</f>
        <v>0</v>
      </c>
      <c r="H4263" s="0" t="n">
        <f aca="false">ROW()-1</f>
        <v>4262</v>
      </c>
      <c r="I4263" s="0" t="str">
        <f aca="false">IF(OR(הגדרות!$E$6=0,H4263&gt;הגדרות!$E$5),"",IF(H4263-1&lt;הגדרות!$E$8*(הגדרות!$E$7+1),INT((H4263-1)/(הגדרות!$E$7+1)),הגדרות!$E$8+INT((H4263-1-הגדרות!$E$8*(הגדרות!$E$7+1))/הגדרות!$E$7)))</f>
        <v/>
      </c>
      <c r="J4263" s="0" t="str">
        <f aca="false">IF(I4263="","",IF(H4263-1&lt;הגדרות!$E$8*(הגדרות!$E$7+1),MOD(H4263-1,הגדרות!$E$7+1),MOD(H4263-1-הגדרות!$E$8*(הגדרות!$E$7+1),הגדרות!$E$7)))</f>
        <v/>
      </c>
      <c r="K4263" s="0" t="str">
        <f aca="false">IF(I4263="","",J4263*הגדרות!$E$6+I4263+1)</f>
        <v/>
      </c>
      <c r="L4263" s="0" t="str">
        <f aca="false">IF(K4263="","",MATCH(K4263,$F$2:$F$5001,0))</f>
        <v/>
      </c>
      <c r="M4263" s="0" t="str">
        <f aca="false">IF(I4263="","",INDEX(הגדרות!$A$2:$A$21,MOD(I4263+הגדרות!$E$9,הגדרות!$E$6)+1))</f>
        <v/>
      </c>
    </row>
    <row r="4264" customFormat="false" ht="15" hidden="false" customHeight="false" outlineLevel="0" collapsed="false">
      <c r="A4264" s="0" t="str">
        <f aca="false">IF('הדבקת לידים'!A4264="","",IF(ISNUMBER('הדבקת לידים'!A4264),IF(הגדרות!$E$2&gt;0,TEXT('הדבקת לידים'!A4264,REPT("0",הגדרות!$E$2)),TEXT('הדבקת לידים'!A4264,"0")),TRIM('הדבקת לידים'!A4264)))</f>
        <v/>
      </c>
      <c r="B4264" s="0" t="str">
        <f aca="false">IF('הדבקת לידים'!B4264="","",IF(ISNUMBER('הדבקת לידים'!B4264),IF(הגדרות!$E$3&gt;0,TEXT('הדבקת לידים'!B4264,REPT("0",הגדרות!$E$3)),TEXT('הדבקת לידים'!B4264,"0")),TRIM('הדבקת לידים'!B4264)))</f>
        <v/>
      </c>
      <c r="C4264" s="0" t="n">
        <f aca="false">IF(OR(A4264&lt;&gt;"",B4264&lt;&gt;""),1,0)</f>
        <v>0</v>
      </c>
      <c r="D4264" s="0" t="str">
        <f aca="false">IF(C4264=1,MOD(ABS(SIN(ROW()*12.9898+'הדבקת לידים'!$F$2*78.233+IFERROR(--RIGHT(A4264,6),LEN(A4264))*0.0137+IFERROR(--RIGHT(B4264,6),LEN(B4264))*0.0071))*43758.5453,1),"")</f>
        <v/>
      </c>
      <c r="E4264" s="0" t="str">
        <f aca="false">IF(C4264=1,INT(MOD(ABS(SIN(D4264*7919.123+ROW()*0.618+'הדבקת לידים'!$F$2*1.3))*43758.5453,1)*1000000)*10000+ROW(),"")</f>
        <v/>
      </c>
      <c r="F4264" s="0" t="str">
        <f aca="false">IF(E4264="","",RANK(E4264,$E$2:$E$5001,1))</f>
        <v/>
      </c>
      <c r="G4264" s="0" t="n">
        <f aca="false">IF(A4264="",0,IF(SUMPRODUCT(--($A$2:$A$5001=A4264))&gt;1,1,0))</f>
        <v>0</v>
      </c>
      <c r="H4264" s="0" t="n">
        <f aca="false">ROW()-1</f>
        <v>4263</v>
      </c>
      <c r="I4264" s="0" t="str">
        <f aca="false">IF(OR(הגדרות!$E$6=0,H4264&gt;הגדרות!$E$5),"",IF(H4264-1&lt;הגדרות!$E$8*(הגדרות!$E$7+1),INT((H4264-1)/(הגדרות!$E$7+1)),הגדרות!$E$8+INT((H4264-1-הגדרות!$E$8*(הגדרות!$E$7+1))/הגדרות!$E$7)))</f>
        <v/>
      </c>
      <c r="J4264" s="0" t="str">
        <f aca="false">IF(I4264="","",IF(H4264-1&lt;הגדרות!$E$8*(הגדרות!$E$7+1),MOD(H4264-1,הגדרות!$E$7+1),MOD(H4264-1-הגדרות!$E$8*(הגדרות!$E$7+1),הגדרות!$E$7)))</f>
        <v/>
      </c>
      <c r="K4264" s="0" t="str">
        <f aca="false">IF(I4264="","",J4264*הגדרות!$E$6+I4264+1)</f>
        <v/>
      </c>
      <c r="L4264" s="0" t="str">
        <f aca="false">IF(K4264="","",MATCH(K4264,$F$2:$F$5001,0))</f>
        <v/>
      </c>
      <c r="M4264" s="0" t="str">
        <f aca="false">IF(I4264="","",INDEX(הגדרות!$A$2:$A$21,MOD(I4264+הגדרות!$E$9,הגדרות!$E$6)+1))</f>
        <v/>
      </c>
    </row>
    <row r="4265" customFormat="false" ht="15" hidden="false" customHeight="false" outlineLevel="0" collapsed="false">
      <c r="A4265" s="0" t="str">
        <f aca="false">IF('הדבקת לידים'!A4265="","",IF(ISNUMBER('הדבקת לידים'!A4265),IF(הגדרות!$E$2&gt;0,TEXT('הדבקת לידים'!A4265,REPT("0",הגדרות!$E$2)),TEXT('הדבקת לידים'!A4265,"0")),TRIM('הדבקת לידים'!A4265)))</f>
        <v/>
      </c>
      <c r="B4265" s="0" t="str">
        <f aca="false">IF('הדבקת לידים'!B4265="","",IF(ISNUMBER('הדבקת לידים'!B4265),IF(הגדרות!$E$3&gt;0,TEXT('הדבקת לידים'!B4265,REPT("0",הגדרות!$E$3)),TEXT('הדבקת לידים'!B4265,"0")),TRIM('הדבקת לידים'!B4265)))</f>
        <v/>
      </c>
      <c r="C4265" s="0" t="n">
        <f aca="false">IF(OR(A4265&lt;&gt;"",B4265&lt;&gt;""),1,0)</f>
        <v>0</v>
      </c>
      <c r="D4265" s="0" t="str">
        <f aca="false">IF(C4265=1,MOD(ABS(SIN(ROW()*12.9898+'הדבקת לידים'!$F$2*78.233+IFERROR(--RIGHT(A4265,6),LEN(A4265))*0.0137+IFERROR(--RIGHT(B4265,6),LEN(B4265))*0.0071))*43758.5453,1),"")</f>
        <v/>
      </c>
      <c r="E4265" s="0" t="str">
        <f aca="false">IF(C4265=1,INT(MOD(ABS(SIN(D4265*7919.123+ROW()*0.618+'הדבקת לידים'!$F$2*1.3))*43758.5453,1)*1000000)*10000+ROW(),"")</f>
        <v/>
      </c>
      <c r="F4265" s="0" t="str">
        <f aca="false">IF(E4265="","",RANK(E4265,$E$2:$E$5001,1))</f>
        <v/>
      </c>
      <c r="G4265" s="0" t="n">
        <f aca="false">IF(A4265="",0,IF(SUMPRODUCT(--($A$2:$A$5001=A4265))&gt;1,1,0))</f>
        <v>0</v>
      </c>
      <c r="H4265" s="0" t="n">
        <f aca="false">ROW()-1</f>
        <v>4264</v>
      </c>
      <c r="I4265" s="0" t="str">
        <f aca="false">IF(OR(הגדרות!$E$6=0,H4265&gt;הגדרות!$E$5),"",IF(H4265-1&lt;הגדרות!$E$8*(הגדרות!$E$7+1),INT((H4265-1)/(הגדרות!$E$7+1)),הגדרות!$E$8+INT((H4265-1-הגדרות!$E$8*(הגדרות!$E$7+1))/הגדרות!$E$7)))</f>
        <v/>
      </c>
      <c r="J4265" s="0" t="str">
        <f aca="false">IF(I4265="","",IF(H4265-1&lt;הגדרות!$E$8*(הגדרות!$E$7+1),MOD(H4265-1,הגדרות!$E$7+1),MOD(H4265-1-הגדרות!$E$8*(הגדרות!$E$7+1),הגדרות!$E$7)))</f>
        <v/>
      </c>
      <c r="K4265" s="0" t="str">
        <f aca="false">IF(I4265="","",J4265*הגדרות!$E$6+I4265+1)</f>
        <v/>
      </c>
      <c r="L4265" s="0" t="str">
        <f aca="false">IF(K4265="","",MATCH(K4265,$F$2:$F$5001,0))</f>
        <v/>
      </c>
      <c r="M4265" s="0" t="str">
        <f aca="false">IF(I4265="","",INDEX(הגדרות!$A$2:$A$21,MOD(I4265+הגדרות!$E$9,הגדרות!$E$6)+1))</f>
        <v/>
      </c>
    </row>
    <row r="4266" customFormat="false" ht="15" hidden="false" customHeight="false" outlineLevel="0" collapsed="false">
      <c r="A4266" s="0" t="str">
        <f aca="false">IF('הדבקת לידים'!A4266="","",IF(ISNUMBER('הדבקת לידים'!A4266),IF(הגדרות!$E$2&gt;0,TEXT('הדבקת לידים'!A4266,REPT("0",הגדרות!$E$2)),TEXT('הדבקת לידים'!A4266,"0")),TRIM('הדבקת לידים'!A4266)))</f>
        <v/>
      </c>
      <c r="B4266" s="0" t="str">
        <f aca="false">IF('הדבקת לידים'!B4266="","",IF(ISNUMBER('הדבקת לידים'!B4266),IF(הגדרות!$E$3&gt;0,TEXT('הדבקת לידים'!B4266,REPT("0",הגדרות!$E$3)),TEXT('הדבקת לידים'!B4266,"0")),TRIM('הדבקת לידים'!B4266)))</f>
        <v/>
      </c>
      <c r="C4266" s="0" t="n">
        <f aca="false">IF(OR(A4266&lt;&gt;"",B4266&lt;&gt;""),1,0)</f>
        <v>0</v>
      </c>
      <c r="D4266" s="0" t="str">
        <f aca="false">IF(C4266=1,MOD(ABS(SIN(ROW()*12.9898+'הדבקת לידים'!$F$2*78.233+IFERROR(--RIGHT(A4266,6),LEN(A4266))*0.0137+IFERROR(--RIGHT(B4266,6),LEN(B4266))*0.0071))*43758.5453,1),"")</f>
        <v/>
      </c>
      <c r="E4266" s="0" t="str">
        <f aca="false">IF(C4266=1,INT(MOD(ABS(SIN(D4266*7919.123+ROW()*0.618+'הדבקת לידים'!$F$2*1.3))*43758.5453,1)*1000000)*10000+ROW(),"")</f>
        <v/>
      </c>
      <c r="F4266" s="0" t="str">
        <f aca="false">IF(E4266="","",RANK(E4266,$E$2:$E$5001,1))</f>
        <v/>
      </c>
      <c r="G4266" s="0" t="n">
        <f aca="false">IF(A4266="",0,IF(SUMPRODUCT(--($A$2:$A$5001=A4266))&gt;1,1,0))</f>
        <v>0</v>
      </c>
      <c r="H4266" s="0" t="n">
        <f aca="false">ROW()-1</f>
        <v>4265</v>
      </c>
      <c r="I4266" s="0" t="str">
        <f aca="false">IF(OR(הגדרות!$E$6=0,H4266&gt;הגדרות!$E$5),"",IF(H4266-1&lt;הגדרות!$E$8*(הגדרות!$E$7+1),INT((H4266-1)/(הגדרות!$E$7+1)),הגדרות!$E$8+INT((H4266-1-הגדרות!$E$8*(הגדרות!$E$7+1))/הגדרות!$E$7)))</f>
        <v/>
      </c>
      <c r="J4266" s="0" t="str">
        <f aca="false">IF(I4266="","",IF(H4266-1&lt;הגדרות!$E$8*(הגדרות!$E$7+1),MOD(H4266-1,הגדרות!$E$7+1),MOD(H4266-1-הגדרות!$E$8*(הגדרות!$E$7+1),הגדרות!$E$7)))</f>
        <v/>
      </c>
      <c r="K4266" s="0" t="str">
        <f aca="false">IF(I4266="","",J4266*הגדרות!$E$6+I4266+1)</f>
        <v/>
      </c>
      <c r="L4266" s="0" t="str">
        <f aca="false">IF(K4266="","",MATCH(K4266,$F$2:$F$5001,0))</f>
        <v/>
      </c>
      <c r="M4266" s="0" t="str">
        <f aca="false">IF(I4266="","",INDEX(הגדרות!$A$2:$A$21,MOD(I4266+הגדרות!$E$9,הגדרות!$E$6)+1))</f>
        <v/>
      </c>
    </row>
    <row r="4267" customFormat="false" ht="15" hidden="false" customHeight="false" outlineLevel="0" collapsed="false">
      <c r="A4267" s="0" t="str">
        <f aca="false">IF('הדבקת לידים'!A4267="","",IF(ISNUMBER('הדבקת לידים'!A4267),IF(הגדרות!$E$2&gt;0,TEXT('הדבקת לידים'!A4267,REPT("0",הגדרות!$E$2)),TEXT('הדבקת לידים'!A4267,"0")),TRIM('הדבקת לידים'!A4267)))</f>
        <v/>
      </c>
      <c r="B4267" s="0" t="str">
        <f aca="false">IF('הדבקת לידים'!B4267="","",IF(ISNUMBER('הדבקת לידים'!B4267),IF(הגדרות!$E$3&gt;0,TEXT('הדבקת לידים'!B4267,REPT("0",הגדרות!$E$3)),TEXT('הדבקת לידים'!B4267,"0")),TRIM('הדבקת לידים'!B4267)))</f>
        <v/>
      </c>
      <c r="C4267" s="0" t="n">
        <f aca="false">IF(OR(A4267&lt;&gt;"",B4267&lt;&gt;""),1,0)</f>
        <v>0</v>
      </c>
      <c r="D4267" s="0" t="str">
        <f aca="false">IF(C4267=1,MOD(ABS(SIN(ROW()*12.9898+'הדבקת לידים'!$F$2*78.233+IFERROR(--RIGHT(A4267,6),LEN(A4267))*0.0137+IFERROR(--RIGHT(B4267,6),LEN(B4267))*0.0071))*43758.5453,1),"")</f>
        <v/>
      </c>
      <c r="E4267" s="0" t="str">
        <f aca="false">IF(C4267=1,INT(MOD(ABS(SIN(D4267*7919.123+ROW()*0.618+'הדבקת לידים'!$F$2*1.3))*43758.5453,1)*1000000)*10000+ROW(),"")</f>
        <v/>
      </c>
      <c r="F4267" s="0" t="str">
        <f aca="false">IF(E4267="","",RANK(E4267,$E$2:$E$5001,1))</f>
        <v/>
      </c>
      <c r="G4267" s="0" t="n">
        <f aca="false">IF(A4267="",0,IF(SUMPRODUCT(--($A$2:$A$5001=A4267))&gt;1,1,0))</f>
        <v>0</v>
      </c>
      <c r="H4267" s="0" t="n">
        <f aca="false">ROW()-1</f>
        <v>4266</v>
      </c>
      <c r="I4267" s="0" t="str">
        <f aca="false">IF(OR(הגדרות!$E$6=0,H4267&gt;הגדרות!$E$5),"",IF(H4267-1&lt;הגדרות!$E$8*(הגדרות!$E$7+1),INT((H4267-1)/(הגדרות!$E$7+1)),הגדרות!$E$8+INT((H4267-1-הגדרות!$E$8*(הגדרות!$E$7+1))/הגדרות!$E$7)))</f>
        <v/>
      </c>
      <c r="J4267" s="0" t="str">
        <f aca="false">IF(I4267="","",IF(H4267-1&lt;הגדרות!$E$8*(הגדרות!$E$7+1),MOD(H4267-1,הגדרות!$E$7+1),MOD(H4267-1-הגדרות!$E$8*(הגדרות!$E$7+1),הגדרות!$E$7)))</f>
        <v/>
      </c>
      <c r="K4267" s="0" t="str">
        <f aca="false">IF(I4267="","",J4267*הגדרות!$E$6+I4267+1)</f>
        <v/>
      </c>
      <c r="L4267" s="0" t="str">
        <f aca="false">IF(K4267="","",MATCH(K4267,$F$2:$F$5001,0))</f>
        <v/>
      </c>
      <c r="M4267" s="0" t="str">
        <f aca="false">IF(I4267="","",INDEX(הגדרות!$A$2:$A$21,MOD(I4267+הגדרות!$E$9,הגדרות!$E$6)+1))</f>
        <v/>
      </c>
    </row>
    <row r="4268" customFormat="false" ht="15" hidden="false" customHeight="false" outlineLevel="0" collapsed="false">
      <c r="A4268" s="0" t="str">
        <f aca="false">IF('הדבקת לידים'!A4268="","",IF(ISNUMBER('הדבקת לידים'!A4268),IF(הגדרות!$E$2&gt;0,TEXT('הדבקת לידים'!A4268,REPT("0",הגדרות!$E$2)),TEXT('הדבקת לידים'!A4268,"0")),TRIM('הדבקת לידים'!A4268)))</f>
        <v/>
      </c>
      <c r="B4268" s="0" t="str">
        <f aca="false">IF('הדבקת לידים'!B4268="","",IF(ISNUMBER('הדבקת לידים'!B4268),IF(הגדרות!$E$3&gt;0,TEXT('הדבקת לידים'!B4268,REPT("0",הגדרות!$E$3)),TEXT('הדבקת לידים'!B4268,"0")),TRIM('הדבקת לידים'!B4268)))</f>
        <v/>
      </c>
      <c r="C4268" s="0" t="n">
        <f aca="false">IF(OR(A4268&lt;&gt;"",B4268&lt;&gt;""),1,0)</f>
        <v>0</v>
      </c>
      <c r="D4268" s="0" t="str">
        <f aca="false">IF(C4268=1,MOD(ABS(SIN(ROW()*12.9898+'הדבקת לידים'!$F$2*78.233+IFERROR(--RIGHT(A4268,6),LEN(A4268))*0.0137+IFERROR(--RIGHT(B4268,6),LEN(B4268))*0.0071))*43758.5453,1),"")</f>
        <v/>
      </c>
      <c r="E4268" s="0" t="str">
        <f aca="false">IF(C4268=1,INT(MOD(ABS(SIN(D4268*7919.123+ROW()*0.618+'הדבקת לידים'!$F$2*1.3))*43758.5453,1)*1000000)*10000+ROW(),"")</f>
        <v/>
      </c>
      <c r="F4268" s="0" t="str">
        <f aca="false">IF(E4268="","",RANK(E4268,$E$2:$E$5001,1))</f>
        <v/>
      </c>
      <c r="G4268" s="0" t="n">
        <f aca="false">IF(A4268="",0,IF(SUMPRODUCT(--($A$2:$A$5001=A4268))&gt;1,1,0))</f>
        <v>0</v>
      </c>
      <c r="H4268" s="0" t="n">
        <f aca="false">ROW()-1</f>
        <v>4267</v>
      </c>
      <c r="I4268" s="0" t="str">
        <f aca="false">IF(OR(הגדרות!$E$6=0,H4268&gt;הגדרות!$E$5),"",IF(H4268-1&lt;הגדרות!$E$8*(הגדרות!$E$7+1),INT((H4268-1)/(הגדרות!$E$7+1)),הגדרות!$E$8+INT((H4268-1-הגדרות!$E$8*(הגדרות!$E$7+1))/הגדרות!$E$7)))</f>
        <v/>
      </c>
      <c r="J4268" s="0" t="str">
        <f aca="false">IF(I4268="","",IF(H4268-1&lt;הגדרות!$E$8*(הגדרות!$E$7+1),MOD(H4268-1,הגדרות!$E$7+1),MOD(H4268-1-הגדרות!$E$8*(הגדרות!$E$7+1),הגדרות!$E$7)))</f>
        <v/>
      </c>
      <c r="K4268" s="0" t="str">
        <f aca="false">IF(I4268="","",J4268*הגדרות!$E$6+I4268+1)</f>
        <v/>
      </c>
      <c r="L4268" s="0" t="str">
        <f aca="false">IF(K4268="","",MATCH(K4268,$F$2:$F$5001,0))</f>
        <v/>
      </c>
      <c r="M4268" s="0" t="str">
        <f aca="false">IF(I4268="","",INDEX(הגדרות!$A$2:$A$21,MOD(I4268+הגדרות!$E$9,הגדרות!$E$6)+1))</f>
        <v/>
      </c>
    </row>
    <row r="4269" customFormat="false" ht="15" hidden="false" customHeight="false" outlineLevel="0" collapsed="false">
      <c r="A4269" s="0" t="str">
        <f aca="false">IF('הדבקת לידים'!A4269="","",IF(ISNUMBER('הדבקת לידים'!A4269),IF(הגדרות!$E$2&gt;0,TEXT('הדבקת לידים'!A4269,REPT("0",הגדרות!$E$2)),TEXT('הדבקת לידים'!A4269,"0")),TRIM('הדבקת לידים'!A4269)))</f>
        <v/>
      </c>
      <c r="B4269" s="0" t="str">
        <f aca="false">IF('הדבקת לידים'!B4269="","",IF(ISNUMBER('הדבקת לידים'!B4269),IF(הגדרות!$E$3&gt;0,TEXT('הדבקת לידים'!B4269,REPT("0",הגדרות!$E$3)),TEXT('הדבקת לידים'!B4269,"0")),TRIM('הדבקת לידים'!B4269)))</f>
        <v/>
      </c>
      <c r="C4269" s="0" t="n">
        <f aca="false">IF(OR(A4269&lt;&gt;"",B4269&lt;&gt;""),1,0)</f>
        <v>0</v>
      </c>
      <c r="D4269" s="0" t="str">
        <f aca="false">IF(C4269=1,MOD(ABS(SIN(ROW()*12.9898+'הדבקת לידים'!$F$2*78.233+IFERROR(--RIGHT(A4269,6),LEN(A4269))*0.0137+IFERROR(--RIGHT(B4269,6),LEN(B4269))*0.0071))*43758.5453,1),"")</f>
        <v/>
      </c>
      <c r="E4269" s="0" t="str">
        <f aca="false">IF(C4269=1,INT(MOD(ABS(SIN(D4269*7919.123+ROW()*0.618+'הדבקת לידים'!$F$2*1.3))*43758.5453,1)*1000000)*10000+ROW(),"")</f>
        <v/>
      </c>
      <c r="F4269" s="0" t="str">
        <f aca="false">IF(E4269="","",RANK(E4269,$E$2:$E$5001,1))</f>
        <v/>
      </c>
      <c r="G4269" s="0" t="n">
        <f aca="false">IF(A4269="",0,IF(SUMPRODUCT(--($A$2:$A$5001=A4269))&gt;1,1,0))</f>
        <v>0</v>
      </c>
      <c r="H4269" s="0" t="n">
        <f aca="false">ROW()-1</f>
        <v>4268</v>
      </c>
      <c r="I4269" s="0" t="str">
        <f aca="false">IF(OR(הגדרות!$E$6=0,H4269&gt;הגדרות!$E$5),"",IF(H4269-1&lt;הגדרות!$E$8*(הגדרות!$E$7+1),INT((H4269-1)/(הגדרות!$E$7+1)),הגדרות!$E$8+INT((H4269-1-הגדרות!$E$8*(הגדרות!$E$7+1))/הגדרות!$E$7)))</f>
        <v/>
      </c>
      <c r="J4269" s="0" t="str">
        <f aca="false">IF(I4269="","",IF(H4269-1&lt;הגדרות!$E$8*(הגדרות!$E$7+1),MOD(H4269-1,הגדרות!$E$7+1),MOD(H4269-1-הגדרות!$E$8*(הגדרות!$E$7+1),הגדרות!$E$7)))</f>
        <v/>
      </c>
      <c r="K4269" s="0" t="str">
        <f aca="false">IF(I4269="","",J4269*הגדרות!$E$6+I4269+1)</f>
        <v/>
      </c>
      <c r="L4269" s="0" t="str">
        <f aca="false">IF(K4269="","",MATCH(K4269,$F$2:$F$5001,0))</f>
        <v/>
      </c>
      <c r="M4269" s="0" t="str">
        <f aca="false">IF(I4269="","",INDEX(הגדרות!$A$2:$A$21,MOD(I4269+הגדרות!$E$9,הגדרות!$E$6)+1))</f>
        <v/>
      </c>
    </row>
    <row r="4270" customFormat="false" ht="15" hidden="false" customHeight="false" outlineLevel="0" collapsed="false">
      <c r="A4270" s="0" t="str">
        <f aca="false">IF('הדבקת לידים'!A4270="","",IF(ISNUMBER('הדבקת לידים'!A4270),IF(הגדרות!$E$2&gt;0,TEXT('הדבקת לידים'!A4270,REPT("0",הגדרות!$E$2)),TEXT('הדבקת לידים'!A4270,"0")),TRIM('הדבקת לידים'!A4270)))</f>
        <v/>
      </c>
      <c r="B4270" s="0" t="str">
        <f aca="false">IF('הדבקת לידים'!B4270="","",IF(ISNUMBER('הדבקת לידים'!B4270),IF(הגדרות!$E$3&gt;0,TEXT('הדבקת לידים'!B4270,REPT("0",הגדרות!$E$3)),TEXT('הדבקת לידים'!B4270,"0")),TRIM('הדבקת לידים'!B4270)))</f>
        <v/>
      </c>
      <c r="C4270" s="0" t="n">
        <f aca="false">IF(OR(A4270&lt;&gt;"",B4270&lt;&gt;""),1,0)</f>
        <v>0</v>
      </c>
      <c r="D4270" s="0" t="str">
        <f aca="false">IF(C4270=1,MOD(ABS(SIN(ROW()*12.9898+'הדבקת לידים'!$F$2*78.233+IFERROR(--RIGHT(A4270,6),LEN(A4270))*0.0137+IFERROR(--RIGHT(B4270,6),LEN(B4270))*0.0071))*43758.5453,1),"")</f>
        <v/>
      </c>
      <c r="E4270" s="0" t="str">
        <f aca="false">IF(C4270=1,INT(MOD(ABS(SIN(D4270*7919.123+ROW()*0.618+'הדבקת לידים'!$F$2*1.3))*43758.5453,1)*1000000)*10000+ROW(),"")</f>
        <v/>
      </c>
      <c r="F4270" s="0" t="str">
        <f aca="false">IF(E4270="","",RANK(E4270,$E$2:$E$5001,1))</f>
        <v/>
      </c>
      <c r="G4270" s="0" t="n">
        <f aca="false">IF(A4270="",0,IF(SUMPRODUCT(--($A$2:$A$5001=A4270))&gt;1,1,0))</f>
        <v>0</v>
      </c>
      <c r="H4270" s="0" t="n">
        <f aca="false">ROW()-1</f>
        <v>4269</v>
      </c>
      <c r="I4270" s="0" t="str">
        <f aca="false">IF(OR(הגדרות!$E$6=0,H4270&gt;הגדרות!$E$5),"",IF(H4270-1&lt;הגדרות!$E$8*(הגדרות!$E$7+1),INT((H4270-1)/(הגדרות!$E$7+1)),הגדרות!$E$8+INT((H4270-1-הגדרות!$E$8*(הגדרות!$E$7+1))/הגדרות!$E$7)))</f>
        <v/>
      </c>
      <c r="J4270" s="0" t="str">
        <f aca="false">IF(I4270="","",IF(H4270-1&lt;הגדרות!$E$8*(הגדרות!$E$7+1),MOD(H4270-1,הגדרות!$E$7+1),MOD(H4270-1-הגדרות!$E$8*(הגדרות!$E$7+1),הגדרות!$E$7)))</f>
        <v/>
      </c>
      <c r="K4270" s="0" t="str">
        <f aca="false">IF(I4270="","",J4270*הגדרות!$E$6+I4270+1)</f>
        <v/>
      </c>
      <c r="L4270" s="0" t="str">
        <f aca="false">IF(K4270="","",MATCH(K4270,$F$2:$F$5001,0))</f>
        <v/>
      </c>
      <c r="M4270" s="0" t="str">
        <f aca="false">IF(I4270="","",INDEX(הגדרות!$A$2:$A$21,MOD(I4270+הגדרות!$E$9,הגדרות!$E$6)+1))</f>
        <v/>
      </c>
    </row>
    <row r="4271" customFormat="false" ht="15" hidden="false" customHeight="false" outlineLevel="0" collapsed="false">
      <c r="A4271" s="0" t="str">
        <f aca="false">IF('הדבקת לידים'!A4271="","",IF(ISNUMBER('הדבקת לידים'!A4271),IF(הגדרות!$E$2&gt;0,TEXT('הדבקת לידים'!A4271,REPT("0",הגדרות!$E$2)),TEXT('הדבקת לידים'!A4271,"0")),TRIM('הדבקת לידים'!A4271)))</f>
        <v/>
      </c>
      <c r="B4271" s="0" t="str">
        <f aca="false">IF('הדבקת לידים'!B4271="","",IF(ISNUMBER('הדבקת לידים'!B4271),IF(הגדרות!$E$3&gt;0,TEXT('הדבקת לידים'!B4271,REPT("0",הגדרות!$E$3)),TEXT('הדבקת לידים'!B4271,"0")),TRIM('הדבקת לידים'!B4271)))</f>
        <v/>
      </c>
      <c r="C4271" s="0" t="n">
        <f aca="false">IF(OR(A4271&lt;&gt;"",B4271&lt;&gt;""),1,0)</f>
        <v>0</v>
      </c>
      <c r="D4271" s="0" t="str">
        <f aca="false">IF(C4271=1,MOD(ABS(SIN(ROW()*12.9898+'הדבקת לידים'!$F$2*78.233+IFERROR(--RIGHT(A4271,6),LEN(A4271))*0.0137+IFERROR(--RIGHT(B4271,6),LEN(B4271))*0.0071))*43758.5453,1),"")</f>
        <v/>
      </c>
      <c r="E4271" s="0" t="str">
        <f aca="false">IF(C4271=1,INT(MOD(ABS(SIN(D4271*7919.123+ROW()*0.618+'הדבקת לידים'!$F$2*1.3))*43758.5453,1)*1000000)*10000+ROW(),"")</f>
        <v/>
      </c>
      <c r="F4271" s="0" t="str">
        <f aca="false">IF(E4271="","",RANK(E4271,$E$2:$E$5001,1))</f>
        <v/>
      </c>
      <c r="G4271" s="0" t="n">
        <f aca="false">IF(A4271="",0,IF(SUMPRODUCT(--($A$2:$A$5001=A4271))&gt;1,1,0))</f>
        <v>0</v>
      </c>
      <c r="H4271" s="0" t="n">
        <f aca="false">ROW()-1</f>
        <v>4270</v>
      </c>
      <c r="I4271" s="0" t="str">
        <f aca="false">IF(OR(הגדרות!$E$6=0,H4271&gt;הגדרות!$E$5),"",IF(H4271-1&lt;הגדרות!$E$8*(הגדרות!$E$7+1),INT((H4271-1)/(הגדרות!$E$7+1)),הגדרות!$E$8+INT((H4271-1-הגדרות!$E$8*(הגדרות!$E$7+1))/הגדרות!$E$7)))</f>
        <v/>
      </c>
      <c r="J4271" s="0" t="str">
        <f aca="false">IF(I4271="","",IF(H4271-1&lt;הגדרות!$E$8*(הגדרות!$E$7+1),MOD(H4271-1,הגדרות!$E$7+1),MOD(H4271-1-הגדרות!$E$8*(הגדרות!$E$7+1),הגדרות!$E$7)))</f>
        <v/>
      </c>
      <c r="K4271" s="0" t="str">
        <f aca="false">IF(I4271="","",J4271*הגדרות!$E$6+I4271+1)</f>
        <v/>
      </c>
      <c r="L4271" s="0" t="str">
        <f aca="false">IF(K4271="","",MATCH(K4271,$F$2:$F$5001,0))</f>
        <v/>
      </c>
      <c r="M4271" s="0" t="str">
        <f aca="false">IF(I4271="","",INDEX(הגדרות!$A$2:$A$21,MOD(I4271+הגדרות!$E$9,הגדרות!$E$6)+1))</f>
        <v/>
      </c>
    </row>
    <row r="4272" customFormat="false" ht="15" hidden="false" customHeight="false" outlineLevel="0" collapsed="false">
      <c r="A4272" s="0" t="str">
        <f aca="false">IF('הדבקת לידים'!A4272="","",IF(ISNUMBER('הדבקת לידים'!A4272),IF(הגדרות!$E$2&gt;0,TEXT('הדבקת לידים'!A4272,REPT("0",הגדרות!$E$2)),TEXT('הדבקת לידים'!A4272,"0")),TRIM('הדבקת לידים'!A4272)))</f>
        <v/>
      </c>
      <c r="B4272" s="0" t="str">
        <f aca="false">IF('הדבקת לידים'!B4272="","",IF(ISNUMBER('הדבקת לידים'!B4272),IF(הגדרות!$E$3&gt;0,TEXT('הדבקת לידים'!B4272,REPT("0",הגדרות!$E$3)),TEXT('הדבקת לידים'!B4272,"0")),TRIM('הדבקת לידים'!B4272)))</f>
        <v/>
      </c>
      <c r="C4272" s="0" t="n">
        <f aca="false">IF(OR(A4272&lt;&gt;"",B4272&lt;&gt;""),1,0)</f>
        <v>0</v>
      </c>
      <c r="D4272" s="0" t="str">
        <f aca="false">IF(C4272=1,MOD(ABS(SIN(ROW()*12.9898+'הדבקת לידים'!$F$2*78.233+IFERROR(--RIGHT(A4272,6),LEN(A4272))*0.0137+IFERROR(--RIGHT(B4272,6),LEN(B4272))*0.0071))*43758.5453,1),"")</f>
        <v/>
      </c>
      <c r="E4272" s="0" t="str">
        <f aca="false">IF(C4272=1,INT(MOD(ABS(SIN(D4272*7919.123+ROW()*0.618+'הדבקת לידים'!$F$2*1.3))*43758.5453,1)*1000000)*10000+ROW(),"")</f>
        <v/>
      </c>
      <c r="F4272" s="0" t="str">
        <f aca="false">IF(E4272="","",RANK(E4272,$E$2:$E$5001,1))</f>
        <v/>
      </c>
      <c r="G4272" s="0" t="n">
        <f aca="false">IF(A4272="",0,IF(SUMPRODUCT(--($A$2:$A$5001=A4272))&gt;1,1,0))</f>
        <v>0</v>
      </c>
      <c r="H4272" s="0" t="n">
        <f aca="false">ROW()-1</f>
        <v>4271</v>
      </c>
      <c r="I4272" s="0" t="str">
        <f aca="false">IF(OR(הגדרות!$E$6=0,H4272&gt;הגדרות!$E$5),"",IF(H4272-1&lt;הגדרות!$E$8*(הגדרות!$E$7+1),INT((H4272-1)/(הגדרות!$E$7+1)),הגדרות!$E$8+INT((H4272-1-הגדרות!$E$8*(הגדרות!$E$7+1))/הגדרות!$E$7)))</f>
        <v/>
      </c>
      <c r="J4272" s="0" t="str">
        <f aca="false">IF(I4272="","",IF(H4272-1&lt;הגדרות!$E$8*(הגדרות!$E$7+1),MOD(H4272-1,הגדרות!$E$7+1),MOD(H4272-1-הגדרות!$E$8*(הגדרות!$E$7+1),הגדרות!$E$7)))</f>
        <v/>
      </c>
      <c r="K4272" s="0" t="str">
        <f aca="false">IF(I4272="","",J4272*הגדרות!$E$6+I4272+1)</f>
        <v/>
      </c>
      <c r="L4272" s="0" t="str">
        <f aca="false">IF(K4272="","",MATCH(K4272,$F$2:$F$5001,0))</f>
        <v/>
      </c>
      <c r="M4272" s="0" t="str">
        <f aca="false">IF(I4272="","",INDEX(הגדרות!$A$2:$A$21,MOD(I4272+הגדרות!$E$9,הגדרות!$E$6)+1))</f>
        <v/>
      </c>
    </row>
    <row r="4273" customFormat="false" ht="15" hidden="false" customHeight="false" outlineLevel="0" collapsed="false">
      <c r="A4273" s="0" t="str">
        <f aca="false">IF('הדבקת לידים'!A4273="","",IF(ISNUMBER('הדבקת לידים'!A4273),IF(הגדרות!$E$2&gt;0,TEXT('הדבקת לידים'!A4273,REPT("0",הגדרות!$E$2)),TEXT('הדבקת לידים'!A4273,"0")),TRIM('הדבקת לידים'!A4273)))</f>
        <v/>
      </c>
      <c r="B4273" s="0" t="str">
        <f aca="false">IF('הדבקת לידים'!B4273="","",IF(ISNUMBER('הדבקת לידים'!B4273),IF(הגדרות!$E$3&gt;0,TEXT('הדבקת לידים'!B4273,REPT("0",הגדרות!$E$3)),TEXT('הדבקת לידים'!B4273,"0")),TRIM('הדבקת לידים'!B4273)))</f>
        <v/>
      </c>
      <c r="C4273" s="0" t="n">
        <f aca="false">IF(OR(A4273&lt;&gt;"",B4273&lt;&gt;""),1,0)</f>
        <v>0</v>
      </c>
      <c r="D4273" s="0" t="str">
        <f aca="false">IF(C4273=1,MOD(ABS(SIN(ROW()*12.9898+'הדבקת לידים'!$F$2*78.233+IFERROR(--RIGHT(A4273,6),LEN(A4273))*0.0137+IFERROR(--RIGHT(B4273,6),LEN(B4273))*0.0071))*43758.5453,1),"")</f>
        <v/>
      </c>
      <c r="E4273" s="0" t="str">
        <f aca="false">IF(C4273=1,INT(MOD(ABS(SIN(D4273*7919.123+ROW()*0.618+'הדבקת לידים'!$F$2*1.3))*43758.5453,1)*1000000)*10000+ROW(),"")</f>
        <v/>
      </c>
      <c r="F4273" s="0" t="str">
        <f aca="false">IF(E4273="","",RANK(E4273,$E$2:$E$5001,1))</f>
        <v/>
      </c>
      <c r="G4273" s="0" t="n">
        <f aca="false">IF(A4273="",0,IF(SUMPRODUCT(--($A$2:$A$5001=A4273))&gt;1,1,0))</f>
        <v>0</v>
      </c>
      <c r="H4273" s="0" t="n">
        <f aca="false">ROW()-1</f>
        <v>4272</v>
      </c>
      <c r="I4273" s="0" t="str">
        <f aca="false">IF(OR(הגדרות!$E$6=0,H4273&gt;הגדרות!$E$5),"",IF(H4273-1&lt;הגדרות!$E$8*(הגדרות!$E$7+1),INT((H4273-1)/(הגדרות!$E$7+1)),הגדרות!$E$8+INT((H4273-1-הגדרות!$E$8*(הגדרות!$E$7+1))/הגדרות!$E$7)))</f>
        <v/>
      </c>
      <c r="J4273" s="0" t="str">
        <f aca="false">IF(I4273="","",IF(H4273-1&lt;הגדרות!$E$8*(הגדרות!$E$7+1),MOD(H4273-1,הגדרות!$E$7+1),MOD(H4273-1-הגדרות!$E$8*(הגדרות!$E$7+1),הגדרות!$E$7)))</f>
        <v/>
      </c>
      <c r="K4273" s="0" t="str">
        <f aca="false">IF(I4273="","",J4273*הגדרות!$E$6+I4273+1)</f>
        <v/>
      </c>
      <c r="L4273" s="0" t="str">
        <f aca="false">IF(K4273="","",MATCH(K4273,$F$2:$F$5001,0))</f>
        <v/>
      </c>
      <c r="M4273" s="0" t="str">
        <f aca="false">IF(I4273="","",INDEX(הגדרות!$A$2:$A$21,MOD(I4273+הגדרות!$E$9,הגדרות!$E$6)+1))</f>
        <v/>
      </c>
    </row>
    <row r="4274" customFormat="false" ht="15" hidden="false" customHeight="false" outlineLevel="0" collapsed="false">
      <c r="A4274" s="0" t="str">
        <f aca="false">IF('הדבקת לידים'!A4274="","",IF(ISNUMBER('הדבקת לידים'!A4274),IF(הגדרות!$E$2&gt;0,TEXT('הדבקת לידים'!A4274,REPT("0",הגדרות!$E$2)),TEXT('הדבקת לידים'!A4274,"0")),TRIM('הדבקת לידים'!A4274)))</f>
        <v/>
      </c>
      <c r="B4274" s="0" t="str">
        <f aca="false">IF('הדבקת לידים'!B4274="","",IF(ISNUMBER('הדבקת לידים'!B4274),IF(הגדרות!$E$3&gt;0,TEXT('הדבקת לידים'!B4274,REPT("0",הגדרות!$E$3)),TEXT('הדבקת לידים'!B4274,"0")),TRIM('הדבקת לידים'!B4274)))</f>
        <v/>
      </c>
      <c r="C4274" s="0" t="n">
        <f aca="false">IF(OR(A4274&lt;&gt;"",B4274&lt;&gt;""),1,0)</f>
        <v>0</v>
      </c>
      <c r="D4274" s="0" t="str">
        <f aca="false">IF(C4274=1,MOD(ABS(SIN(ROW()*12.9898+'הדבקת לידים'!$F$2*78.233+IFERROR(--RIGHT(A4274,6),LEN(A4274))*0.0137+IFERROR(--RIGHT(B4274,6),LEN(B4274))*0.0071))*43758.5453,1),"")</f>
        <v/>
      </c>
      <c r="E4274" s="0" t="str">
        <f aca="false">IF(C4274=1,INT(MOD(ABS(SIN(D4274*7919.123+ROW()*0.618+'הדבקת לידים'!$F$2*1.3))*43758.5453,1)*1000000)*10000+ROW(),"")</f>
        <v/>
      </c>
      <c r="F4274" s="0" t="str">
        <f aca="false">IF(E4274="","",RANK(E4274,$E$2:$E$5001,1))</f>
        <v/>
      </c>
      <c r="G4274" s="0" t="n">
        <f aca="false">IF(A4274="",0,IF(SUMPRODUCT(--($A$2:$A$5001=A4274))&gt;1,1,0))</f>
        <v>0</v>
      </c>
      <c r="H4274" s="0" t="n">
        <f aca="false">ROW()-1</f>
        <v>4273</v>
      </c>
      <c r="I4274" s="0" t="str">
        <f aca="false">IF(OR(הגדרות!$E$6=0,H4274&gt;הגדרות!$E$5),"",IF(H4274-1&lt;הגדרות!$E$8*(הגדרות!$E$7+1),INT((H4274-1)/(הגדרות!$E$7+1)),הגדרות!$E$8+INT((H4274-1-הגדרות!$E$8*(הגדרות!$E$7+1))/הגדרות!$E$7)))</f>
        <v/>
      </c>
      <c r="J4274" s="0" t="str">
        <f aca="false">IF(I4274="","",IF(H4274-1&lt;הגדרות!$E$8*(הגדרות!$E$7+1),MOD(H4274-1,הגדרות!$E$7+1),MOD(H4274-1-הגדרות!$E$8*(הגדרות!$E$7+1),הגדרות!$E$7)))</f>
        <v/>
      </c>
      <c r="K4274" s="0" t="str">
        <f aca="false">IF(I4274="","",J4274*הגדרות!$E$6+I4274+1)</f>
        <v/>
      </c>
      <c r="L4274" s="0" t="str">
        <f aca="false">IF(K4274="","",MATCH(K4274,$F$2:$F$5001,0))</f>
        <v/>
      </c>
      <c r="M4274" s="0" t="str">
        <f aca="false">IF(I4274="","",INDEX(הגדרות!$A$2:$A$21,MOD(I4274+הגדרות!$E$9,הגדרות!$E$6)+1))</f>
        <v/>
      </c>
    </row>
    <row r="4275" customFormat="false" ht="15" hidden="false" customHeight="false" outlineLevel="0" collapsed="false">
      <c r="A4275" s="0" t="str">
        <f aca="false">IF('הדבקת לידים'!A4275="","",IF(ISNUMBER('הדבקת לידים'!A4275),IF(הגדרות!$E$2&gt;0,TEXT('הדבקת לידים'!A4275,REPT("0",הגדרות!$E$2)),TEXT('הדבקת לידים'!A4275,"0")),TRIM('הדבקת לידים'!A4275)))</f>
        <v/>
      </c>
      <c r="B4275" s="0" t="str">
        <f aca="false">IF('הדבקת לידים'!B4275="","",IF(ISNUMBER('הדבקת לידים'!B4275),IF(הגדרות!$E$3&gt;0,TEXT('הדבקת לידים'!B4275,REPT("0",הגדרות!$E$3)),TEXT('הדבקת לידים'!B4275,"0")),TRIM('הדבקת לידים'!B4275)))</f>
        <v/>
      </c>
      <c r="C4275" s="0" t="n">
        <f aca="false">IF(OR(A4275&lt;&gt;"",B4275&lt;&gt;""),1,0)</f>
        <v>0</v>
      </c>
      <c r="D4275" s="0" t="str">
        <f aca="false">IF(C4275=1,MOD(ABS(SIN(ROW()*12.9898+'הדבקת לידים'!$F$2*78.233+IFERROR(--RIGHT(A4275,6),LEN(A4275))*0.0137+IFERROR(--RIGHT(B4275,6),LEN(B4275))*0.0071))*43758.5453,1),"")</f>
        <v/>
      </c>
      <c r="E4275" s="0" t="str">
        <f aca="false">IF(C4275=1,INT(MOD(ABS(SIN(D4275*7919.123+ROW()*0.618+'הדבקת לידים'!$F$2*1.3))*43758.5453,1)*1000000)*10000+ROW(),"")</f>
        <v/>
      </c>
      <c r="F4275" s="0" t="str">
        <f aca="false">IF(E4275="","",RANK(E4275,$E$2:$E$5001,1))</f>
        <v/>
      </c>
      <c r="G4275" s="0" t="n">
        <f aca="false">IF(A4275="",0,IF(SUMPRODUCT(--($A$2:$A$5001=A4275))&gt;1,1,0))</f>
        <v>0</v>
      </c>
      <c r="H4275" s="0" t="n">
        <f aca="false">ROW()-1</f>
        <v>4274</v>
      </c>
      <c r="I4275" s="0" t="str">
        <f aca="false">IF(OR(הגדרות!$E$6=0,H4275&gt;הגדרות!$E$5),"",IF(H4275-1&lt;הגדרות!$E$8*(הגדרות!$E$7+1),INT((H4275-1)/(הגדרות!$E$7+1)),הגדרות!$E$8+INT((H4275-1-הגדרות!$E$8*(הגדרות!$E$7+1))/הגדרות!$E$7)))</f>
        <v/>
      </c>
      <c r="J4275" s="0" t="str">
        <f aca="false">IF(I4275="","",IF(H4275-1&lt;הגדרות!$E$8*(הגדרות!$E$7+1),MOD(H4275-1,הגדרות!$E$7+1),MOD(H4275-1-הגדרות!$E$8*(הגדרות!$E$7+1),הגדרות!$E$7)))</f>
        <v/>
      </c>
      <c r="K4275" s="0" t="str">
        <f aca="false">IF(I4275="","",J4275*הגדרות!$E$6+I4275+1)</f>
        <v/>
      </c>
      <c r="L4275" s="0" t="str">
        <f aca="false">IF(K4275="","",MATCH(K4275,$F$2:$F$5001,0))</f>
        <v/>
      </c>
      <c r="M4275" s="0" t="str">
        <f aca="false">IF(I4275="","",INDEX(הגדרות!$A$2:$A$21,MOD(I4275+הגדרות!$E$9,הגדרות!$E$6)+1))</f>
        <v/>
      </c>
    </row>
    <row r="4276" customFormat="false" ht="15" hidden="false" customHeight="false" outlineLevel="0" collapsed="false">
      <c r="A4276" s="0" t="str">
        <f aca="false">IF('הדבקת לידים'!A4276="","",IF(ISNUMBER('הדבקת לידים'!A4276),IF(הגדרות!$E$2&gt;0,TEXT('הדבקת לידים'!A4276,REPT("0",הגדרות!$E$2)),TEXT('הדבקת לידים'!A4276,"0")),TRIM('הדבקת לידים'!A4276)))</f>
        <v/>
      </c>
      <c r="B4276" s="0" t="str">
        <f aca="false">IF('הדבקת לידים'!B4276="","",IF(ISNUMBER('הדבקת לידים'!B4276),IF(הגדרות!$E$3&gt;0,TEXT('הדבקת לידים'!B4276,REPT("0",הגדרות!$E$3)),TEXT('הדבקת לידים'!B4276,"0")),TRIM('הדבקת לידים'!B4276)))</f>
        <v/>
      </c>
      <c r="C4276" s="0" t="n">
        <f aca="false">IF(OR(A4276&lt;&gt;"",B4276&lt;&gt;""),1,0)</f>
        <v>0</v>
      </c>
      <c r="D4276" s="0" t="str">
        <f aca="false">IF(C4276=1,MOD(ABS(SIN(ROW()*12.9898+'הדבקת לידים'!$F$2*78.233+IFERROR(--RIGHT(A4276,6),LEN(A4276))*0.0137+IFERROR(--RIGHT(B4276,6),LEN(B4276))*0.0071))*43758.5453,1),"")</f>
        <v/>
      </c>
      <c r="E4276" s="0" t="str">
        <f aca="false">IF(C4276=1,INT(MOD(ABS(SIN(D4276*7919.123+ROW()*0.618+'הדבקת לידים'!$F$2*1.3))*43758.5453,1)*1000000)*10000+ROW(),"")</f>
        <v/>
      </c>
      <c r="F4276" s="0" t="str">
        <f aca="false">IF(E4276="","",RANK(E4276,$E$2:$E$5001,1))</f>
        <v/>
      </c>
      <c r="G4276" s="0" t="n">
        <f aca="false">IF(A4276="",0,IF(SUMPRODUCT(--($A$2:$A$5001=A4276))&gt;1,1,0))</f>
        <v>0</v>
      </c>
      <c r="H4276" s="0" t="n">
        <f aca="false">ROW()-1</f>
        <v>4275</v>
      </c>
      <c r="I4276" s="0" t="str">
        <f aca="false">IF(OR(הגדרות!$E$6=0,H4276&gt;הגדרות!$E$5),"",IF(H4276-1&lt;הגדרות!$E$8*(הגדרות!$E$7+1),INT((H4276-1)/(הגדרות!$E$7+1)),הגדרות!$E$8+INT((H4276-1-הגדרות!$E$8*(הגדרות!$E$7+1))/הגדרות!$E$7)))</f>
        <v/>
      </c>
      <c r="J4276" s="0" t="str">
        <f aca="false">IF(I4276="","",IF(H4276-1&lt;הגדרות!$E$8*(הגדרות!$E$7+1),MOD(H4276-1,הגדרות!$E$7+1),MOD(H4276-1-הגדרות!$E$8*(הגדרות!$E$7+1),הגדרות!$E$7)))</f>
        <v/>
      </c>
      <c r="K4276" s="0" t="str">
        <f aca="false">IF(I4276="","",J4276*הגדרות!$E$6+I4276+1)</f>
        <v/>
      </c>
      <c r="L4276" s="0" t="str">
        <f aca="false">IF(K4276="","",MATCH(K4276,$F$2:$F$5001,0))</f>
        <v/>
      </c>
      <c r="M4276" s="0" t="str">
        <f aca="false">IF(I4276="","",INDEX(הגדרות!$A$2:$A$21,MOD(I4276+הגדרות!$E$9,הגדרות!$E$6)+1))</f>
        <v/>
      </c>
    </row>
    <row r="4277" customFormat="false" ht="15" hidden="false" customHeight="false" outlineLevel="0" collapsed="false">
      <c r="A4277" s="0" t="str">
        <f aca="false">IF('הדבקת לידים'!A4277="","",IF(ISNUMBER('הדבקת לידים'!A4277),IF(הגדרות!$E$2&gt;0,TEXT('הדבקת לידים'!A4277,REPT("0",הגדרות!$E$2)),TEXT('הדבקת לידים'!A4277,"0")),TRIM('הדבקת לידים'!A4277)))</f>
        <v/>
      </c>
      <c r="B4277" s="0" t="str">
        <f aca="false">IF('הדבקת לידים'!B4277="","",IF(ISNUMBER('הדבקת לידים'!B4277),IF(הגדרות!$E$3&gt;0,TEXT('הדבקת לידים'!B4277,REPT("0",הגדרות!$E$3)),TEXT('הדבקת לידים'!B4277,"0")),TRIM('הדבקת לידים'!B4277)))</f>
        <v/>
      </c>
      <c r="C4277" s="0" t="n">
        <f aca="false">IF(OR(A4277&lt;&gt;"",B4277&lt;&gt;""),1,0)</f>
        <v>0</v>
      </c>
      <c r="D4277" s="0" t="str">
        <f aca="false">IF(C4277=1,MOD(ABS(SIN(ROW()*12.9898+'הדבקת לידים'!$F$2*78.233+IFERROR(--RIGHT(A4277,6),LEN(A4277))*0.0137+IFERROR(--RIGHT(B4277,6),LEN(B4277))*0.0071))*43758.5453,1),"")</f>
        <v/>
      </c>
      <c r="E4277" s="0" t="str">
        <f aca="false">IF(C4277=1,INT(MOD(ABS(SIN(D4277*7919.123+ROW()*0.618+'הדבקת לידים'!$F$2*1.3))*43758.5453,1)*1000000)*10000+ROW(),"")</f>
        <v/>
      </c>
      <c r="F4277" s="0" t="str">
        <f aca="false">IF(E4277="","",RANK(E4277,$E$2:$E$5001,1))</f>
        <v/>
      </c>
      <c r="G4277" s="0" t="n">
        <f aca="false">IF(A4277="",0,IF(SUMPRODUCT(--($A$2:$A$5001=A4277))&gt;1,1,0))</f>
        <v>0</v>
      </c>
      <c r="H4277" s="0" t="n">
        <f aca="false">ROW()-1</f>
        <v>4276</v>
      </c>
      <c r="I4277" s="0" t="str">
        <f aca="false">IF(OR(הגדרות!$E$6=0,H4277&gt;הגדרות!$E$5),"",IF(H4277-1&lt;הגדרות!$E$8*(הגדרות!$E$7+1),INT((H4277-1)/(הגדרות!$E$7+1)),הגדרות!$E$8+INT((H4277-1-הגדרות!$E$8*(הגדרות!$E$7+1))/הגדרות!$E$7)))</f>
        <v/>
      </c>
      <c r="J4277" s="0" t="str">
        <f aca="false">IF(I4277="","",IF(H4277-1&lt;הגדרות!$E$8*(הגדרות!$E$7+1),MOD(H4277-1,הגדרות!$E$7+1),MOD(H4277-1-הגדרות!$E$8*(הגדרות!$E$7+1),הגדרות!$E$7)))</f>
        <v/>
      </c>
      <c r="K4277" s="0" t="str">
        <f aca="false">IF(I4277="","",J4277*הגדרות!$E$6+I4277+1)</f>
        <v/>
      </c>
      <c r="L4277" s="0" t="str">
        <f aca="false">IF(K4277="","",MATCH(K4277,$F$2:$F$5001,0))</f>
        <v/>
      </c>
      <c r="M4277" s="0" t="str">
        <f aca="false">IF(I4277="","",INDEX(הגדרות!$A$2:$A$21,MOD(I4277+הגדרות!$E$9,הגדרות!$E$6)+1))</f>
        <v/>
      </c>
    </row>
    <row r="4278" customFormat="false" ht="15" hidden="false" customHeight="false" outlineLevel="0" collapsed="false">
      <c r="A4278" s="0" t="str">
        <f aca="false">IF('הדבקת לידים'!A4278="","",IF(ISNUMBER('הדבקת לידים'!A4278),IF(הגדרות!$E$2&gt;0,TEXT('הדבקת לידים'!A4278,REPT("0",הגדרות!$E$2)),TEXT('הדבקת לידים'!A4278,"0")),TRIM('הדבקת לידים'!A4278)))</f>
        <v/>
      </c>
      <c r="B4278" s="0" t="str">
        <f aca="false">IF('הדבקת לידים'!B4278="","",IF(ISNUMBER('הדבקת לידים'!B4278),IF(הגדרות!$E$3&gt;0,TEXT('הדבקת לידים'!B4278,REPT("0",הגדרות!$E$3)),TEXT('הדבקת לידים'!B4278,"0")),TRIM('הדבקת לידים'!B4278)))</f>
        <v/>
      </c>
      <c r="C4278" s="0" t="n">
        <f aca="false">IF(OR(A4278&lt;&gt;"",B4278&lt;&gt;""),1,0)</f>
        <v>0</v>
      </c>
      <c r="D4278" s="0" t="str">
        <f aca="false">IF(C4278=1,MOD(ABS(SIN(ROW()*12.9898+'הדבקת לידים'!$F$2*78.233+IFERROR(--RIGHT(A4278,6),LEN(A4278))*0.0137+IFERROR(--RIGHT(B4278,6),LEN(B4278))*0.0071))*43758.5453,1),"")</f>
        <v/>
      </c>
      <c r="E4278" s="0" t="str">
        <f aca="false">IF(C4278=1,INT(MOD(ABS(SIN(D4278*7919.123+ROW()*0.618+'הדבקת לידים'!$F$2*1.3))*43758.5453,1)*1000000)*10000+ROW(),"")</f>
        <v/>
      </c>
      <c r="F4278" s="0" t="str">
        <f aca="false">IF(E4278="","",RANK(E4278,$E$2:$E$5001,1))</f>
        <v/>
      </c>
      <c r="G4278" s="0" t="n">
        <f aca="false">IF(A4278="",0,IF(SUMPRODUCT(--($A$2:$A$5001=A4278))&gt;1,1,0))</f>
        <v>0</v>
      </c>
      <c r="H4278" s="0" t="n">
        <f aca="false">ROW()-1</f>
        <v>4277</v>
      </c>
      <c r="I4278" s="0" t="str">
        <f aca="false">IF(OR(הגדרות!$E$6=0,H4278&gt;הגדרות!$E$5),"",IF(H4278-1&lt;הגדרות!$E$8*(הגדרות!$E$7+1),INT((H4278-1)/(הגדרות!$E$7+1)),הגדרות!$E$8+INT((H4278-1-הגדרות!$E$8*(הגדרות!$E$7+1))/הגדרות!$E$7)))</f>
        <v/>
      </c>
      <c r="J4278" s="0" t="str">
        <f aca="false">IF(I4278="","",IF(H4278-1&lt;הגדרות!$E$8*(הגדרות!$E$7+1),MOD(H4278-1,הגדרות!$E$7+1),MOD(H4278-1-הגדרות!$E$8*(הגדרות!$E$7+1),הגדרות!$E$7)))</f>
        <v/>
      </c>
      <c r="K4278" s="0" t="str">
        <f aca="false">IF(I4278="","",J4278*הגדרות!$E$6+I4278+1)</f>
        <v/>
      </c>
      <c r="L4278" s="0" t="str">
        <f aca="false">IF(K4278="","",MATCH(K4278,$F$2:$F$5001,0))</f>
        <v/>
      </c>
      <c r="M4278" s="0" t="str">
        <f aca="false">IF(I4278="","",INDEX(הגדרות!$A$2:$A$21,MOD(I4278+הגדרות!$E$9,הגדרות!$E$6)+1))</f>
        <v/>
      </c>
    </row>
    <row r="4279" customFormat="false" ht="15" hidden="false" customHeight="false" outlineLevel="0" collapsed="false">
      <c r="A4279" s="0" t="str">
        <f aca="false">IF('הדבקת לידים'!A4279="","",IF(ISNUMBER('הדבקת לידים'!A4279),IF(הגדרות!$E$2&gt;0,TEXT('הדבקת לידים'!A4279,REPT("0",הגדרות!$E$2)),TEXT('הדבקת לידים'!A4279,"0")),TRIM('הדבקת לידים'!A4279)))</f>
        <v/>
      </c>
      <c r="B4279" s="0" t="str">
        <f aca="false">IF('הדבקת לידים'!B4279="","",IF(ISNUMBER('הדבקת לידים'!B4279),IF(הגדרות!$E$3&gt;0,TEXT('הדבקת לידים'!B4279,REPT("0",הגדרות!$E$3)),TEXT('הדבקת לידים'!B4279,"0")),TRIM('הדבקת לידים'!B4279)))</f>
        <v/>
      </c>
      <c r="C4279" s="0" t="n">
        <f aca="false">IF(OR(A4279&lt;&gt;"",B4279&lt;&gt;""),1,0)</f>
        <v>0</v>
      </c>
      <c r="D4279" s="0" t="str">
        <f aca="false">IF(C4279=1,MOD(ABS(SIN(ROW()*12.9898+'הדבקת לידים'!$F$2*78.233+IFERROR(--RIGHT(A4279,6),LEN(A4279))*0.0137+IFERROR(--RIGHT(B4279,6),LEN(B4279))*0.0071))*43758.5453,1),"")</f>
        <v/>
      </c>
      <c r="E4279" s="0" t="str">
        <f aca="false">IF(C4279=1,INT(MOD(ABS(SIN(D4279*7919.123+ROW()*0.618+'הדבקת לידים'!$F$2*1.3))*43758.5453,1)*1000000)*10000+ROW(),"")</f>
        <v/>
      </c>
      <c r="F4279" s="0" t="str">
        <f aca="false">IF(E4279="","",RANK(E4279,$E$2:$E$5001,1))</f>
        <v/>
      </c>
      <c r="G4279" s="0" t="n">
        <f aca="false">IF(A4279="",0,IF(SUMPRODUCT(--($A$2:$A$5001=A4279))&gt;1,1,0))</f>
        <v>0</v>
      </c>
      <c r="H4279" s="0" t="n">
        <f aca="false">ROW()-1</f>
        <v>4278</v>
      </c>
      <c r="I4279" s="0" t="str">
        <f aca="false">IF(OR(הגדרות!$E$6=0,H4279&gt;הגדרות!$E$5),"",IF(H4279-1&lt;הגדרות!$E$8*(הגדרות!$E$7+1),INT((H4279-1)/(הגדרות!$E$7+1)),הגדרות!$E$8+INT((H4279-1-הגדרות!$E$8*(הגדרות!$E$7+1))/הגדרות!$E$7)))</f>
        <v/>
      </c>
      <c r="J4279" s="0" t="str">
        <f aca="false">IF(I4279="","",IF(H4279-1&lt;הגדרות!$E$8*(הגדרות!$E$7+1),MOD(H4279-1,הגדרות!$E$7+1),MOD(H4279-1-הגדרות!$E$8*(הגדרות!$E$7+1),הגדרות!$E$7)))</f>
        <v/>
      </c>
      <c r="K4279" s="0" t="str">
        <f aca="false">IF(I4279="","",J4279*הגדרות!$E$6+I4279+1)</f>
        <v/>
      </c>
      <c r="L4279" s="0" t="str">
        <f aca="false">IF(K4279="","",MATCH(K4279,$F$2:$F$5001,0))</f>
        <v/>
      </c>
      <c r="M4279" s="0" t="str">
        <f aca="false">IF(I4279="","",INDEX(הגדרות!$A$2:$A$21,MOD(I4279+הגדרות!$E$9,הגדרות!$E$6)+1))</f>
        <v/>
      </c>
    </row>
    <row r="4280" customFormat="false" ht="15" hidden="false" customHeight="false" outlineLevel="0" collapsed="false">
      <c r="A4280" s="0" t="str">
        <f aca="false">IF('הדבקת לידים'!A4280="","",IF(ISNUMBER('הדבקת לידים'!A4280),IF(הגדרות!$E$2&gt;0,TEXT('הדבקת לידים'!A4280,REPT("0",הגדרות!$E$2)),TEXT('הדבקת לידים'!A4280,"0")),TRIM('הדבקת לידים'!A4280)))</f>
        <v/>
      </c>
      <c r="B4280" s="0" t="str">
        <f aca="false">IF('הדבקת לידים'!B4280="","",IF(ISNUMBER('הדבקת לידים'!B4280),IF(הגדרות!$E$3&gt;0,TEXT('הדבקת לידים'!B4280,REPT("0",הגדרות!$E$3)),TEXT('הדבקת לידים'!B4280,"0")),TRIM('הדבקת לידים'!B4280)))</f>
        <v/>
      </c>
      <c r="C4280" s="0" t="n">
        <f aca="false">IF(OR(A4280&lt;&gt;"",B4280&lt;&gt;""),1,0)</f>
        <v>0</v>
      </c>
      <c r="D4280" s="0" t="str">
        <f aca="false">IF(C4280=1,MOD(ABS(SIN(ROW()*12.9898+'הדבקת לידים'!$F$2*78.233+IFERROR(--RIGHT(A4280,6),LEN(A4280))*0.0137+IFERROR(--RIGHT(B4280,6),LEN(B4280))*0.0071))*43758.5453,1),"")</f>
        <v/>
      </c>
      <c r="E4280" s="0" t="str">
        <f aca="false">IF(C4280=1,INT(MOD(ABS(SIN(D4280*7919.123+ROW()*0.618+'הדבקת לידים'!$F$2*1.3))*43758.5453,1)*1000000)*10000+ROW(),"")</f>
        <v/>
      </c>
      <c r="F4280" s="0" t="str">
        <f aca="false">IF(E4280="","",RANK(E4280,$E$2:$E$5001,1))</f>
        <v/>
      </c>
      <c r="G4280" s="0" t="n">
        <f aca="false">IF(A4280="",0,IF(SUMPRODUCT(--($A$2:$A$5001=A4280))&gt;1,1,0))</f>
        <v>0</v>
      </c>
      <c r="H4280" s="0" t="n">
        <f aca="false">ROW()-1</f>
        <v>4279</v>
      </c>
      <c r="I4280" s="0" t="str">
        <f aca="false">IF(OR(הגדרות!$E$6=0,H4280&gt;הגדרות!$E$5),"",IF(H4280-1&lt;הגדרות!$E$8*(הגדרות!$E$7+1),INT((H4280-1)/(הגדרות!$E$7+1)),הגדרות!$E$8+INT((H4280-1-הגדרות!$E$8*(הגדרות!$E$7+1))/הגדרות!$E$7)))</f>
        <v/>
      </c>
      <c r="J4280" s="0" t="str">
        <f aca="false">IF(I4280="","",IF(H4280-1&lt;הגדרות!$E$8*(הגדרות!$E$7+1),MOD(H4280-1,הגדרות!$E$7+1),MOD(H4280-1-הגדרות!$E$8*(הגדרות!$E$7+1),הגדרות!$E$7)))</f>
        <v/>
      </c>
      <c r="K4280" s="0" t="str">
        <f aca="false">IF(I4280="","",J4280*הגדרות!$E$6+I4280+1)</f>
        <v/>
      </c>
      <c r="L4280" s="0" t="str">
        <f aca="false">IF(K4280="","",MATCH(K4280,$F$2:$F$5001,0))</f>
        <v/>
      </c>
      <c r="M4280" s="0" t="str">
        <f aca="false">IF(I4280="","",INDEX(הגדרות!$A$2:$A$21,MOD(I4280+הגדרות!$E$9,הגדרות!$E$6)+1))</f>
        <v/>
      </c>
    </row>
    <row r="4281" customFormat="false" ht="15" hidden="false" customHeight="false" outlineLevel="0" collapsed="false">
      <c r="A4281" s="0" t="str">
        <f aca="false">IF('הדבקת לידים'!A4281="","",IF(ISNUMBER('הדבקת לידים'!A4281),IF(הגדרות!$E$2&gt;0,TEXT('הדבקת לידים'!A4281,REPT("0",הגדרות!$E$2)),TEXT('הדבקת לידים'!A4281,"0")),TRIM('הדבקת לידים'!A4281)))</f>
        <v/>
      </c>
      <c r="B4281" s="0" t="str">
        <f aca="false">IF('הדבקת לידים'!B4281="","",IF(ISNUMBER('הדבקת לידים'!B4281),IF(הגדרות!$E$3&gt;0,TEXT('הדבקת לידים'!B4281,REPT("0",הגדרות!$E$3)),TEXT('הדבקת לידים'!B4281,"0")),TRIM('הדבקת לידים'!B4281)))</f>
        <v/>
      </c>
      <c r="C4281" s="0" t="n">
        <f aca="false">IF(OR(A4281&lt;&gt;"",B4281&lt;&gt;""),1,0)</f>
        <v>0</v>
      </c>
      <c r="D4281" s="0" t="str">
        <f aca="false">IF(C4281=1,MOD(ABS(SIN(ROW()*12.9898+'הדבקת לידים'!$F$2*78.233+IFERROR(--RIGHT(A4281,6),LEN(A4281))*0.0137+IFERROR(--RIGHT(B4281,6),LEN(B4281))*0.0071))*43758.5453,1),"")</f>
        <v/>
      </c>
      <c r="E4281" s="0" t="str">
        <f aca="false">IF(C4281=1,INT(MOD(ABS(SIN(D4281*7919.123+ROW()*0.618+'הדבקת לידים'!$F$2*1.3))*43758.5453,1)*1000000)*10000+ROW(),"")</f>
        <v/>
      </c>
      <c r="F4281" s="0" t="str">
        <f aca="false">IF(E4281="","",RANK(E4281,$E$2:$E$5001,1))</f>
        <v/>
      </c>
      <c r="G4281" s="0" t="n">
        <f aca="false">IF(A4281="",0,IF(SUMPRODUCT(--($A$2:$A$5001=A4281))&gt;1,1,0))</f>
        <v>0</v>
      </c>
      <c r="H4281" s="0" t="n">
        <f aca="false">ROW()-1</f>
        <v>4280</v>
      </c>
      <c r="I4281" s="0" t="str">
        <f aca="false">IF(OR(הגדרות!$E$6=0,H4281&gt;הגדרות!$E$5),"",IF(H4281-1&lt;הגדרות!$E$8*(הגדרות!$E$7+1),INT((H4281-1)/(הגדרות!$E$7+1)),הגדרות!$E$8+INT((H4281-1-הגדרות!$E$8*(הגדרות!$E$7+1))/הגדרות!$E$7)))</f>
        <v/>
      </c>
      <c r="J4281" s="0" t="str">
        <f aca="false">IF(I4281="","",IF(H4281-1&lt;הגדרות!$E$8*(הגדרות!$E$7+1),MOD(H4281-1,הגדרות!$E$7+1),MOD(H4281-1-הגדרות!$E$8*(הגדרות!$E$7+1),הגדרות!$E$7)))</f>
        <v/>
      </c>
      <c r="K4281" s="0" t="str">
        <f aca="false">IF(I4281="","",J4281*הגדרות!$E$6+I4281+1)</f>
        <v/>
      </c>
      <c r="L4281" s="0" t="str">
        <f aca="false">IF(K4281="","",MATCH(K4281,$F$2:$F$5001,0))</f>
        <v/>
      </c>
      <c r="M4281" s="0" t="str">
        <f aca="false">IF(I4281="","",INDEX(הגדרות!$A$2:$A$21,MOD(I4281+הגדרות!$E$9,הגדרות!$E$6)+1))</f>
        <v/>
      </c>
    </row>
    <row r="4282" customFormat="false" ht="15" hidden="false" customHeight="false" outlineLevel="0" collapsed="false">
      <c r="A4282" s="0" t="str">
        <f aca="false">IF('הדבקת לידים'!A4282="","",IF(ISNUMBER('הדבקת לידים'!A4282),IF(הגדרות!$E$2&gt;0,TEXT('הדבקת לידים'!A4282,REPT("0",הגדרות!$E$2)),TEXT('הדבקת לידים'!A4282,"0")),TRIM('הדבקת לידים'!A4282)))</f>
        <v/>
      </c>
      <c r="B4282" s="0" t="str">
        <f aca="false">IF('הדבקת לידים'!B4282="","",IF(ISNUMBER('הדבקת לידים'!B4282),IF(הגדרות!$E$3&gt;0,TEXT('הדבקת לידים'!B4282,REPT("0",הגדרות!$E$3)),TEXT('הדבקת לידים'!B4282,"0")),TRIM('הדבקת לידים'!B4282)))</f>
        <v/>
      </c>
      <c r="C4282" s="0" t="n">
        <f aca="false">IF(OR(A4282&lt;&gt;"",B4282&lt;&gt;""),1,0)</f>
        <v>0</v>
      </c>
      <c r="D4282" s="0" t="str">
        <f aca="false">IF(C4282=1,MOD(ABS(SIN(ROW()*12.9898+'הדבקת לידים'!$F$2*78.233+IFERROR(--RIGHT(A4282,6),LEN(A4282))*0.0137+IFERROR(--RIGHT(B4282,6),LEN(B4282))*0.0071))*43758.5453,1),"")</f>
        <v/>
      </c>
      <c r="E4282" s="0" t="str">
        <f aca="false">IF(C4282=1,INT(MOD(ABS(SIN(D4282*7919.123+ROW()*0.618+'הדבקת לידים'!$F$2*1.3))*43758.5453,1)*1000000)*10000+ROW(),"")</f>
        <v/>
      </c>
      <c r="F4282" s="0" t="str">
        <f aca="false">IF(E4282="","",RANK(E4282,$E$2:$E$5001,1))</f>
        <v/>
      </c>
      <c r="G4282" s="0" t="n">
        <f aca="false">IF(A4282="",0,IF(SUMPRODUCT(--($A$2:$A$5001=A4282))&gt;1,1,0))</f>
        <v>0</v>
      </c>
      <c r="H4282" s="0" t="n">
        <f aca="false">ROW()-1</f>
        <v>4281</v>
      </c>
      <c r="I4282" s="0" t="str">
        <f aca="false">IF(OR(הגדרות!$E$6=0,H4282&gt;הגדרות!$E$5),"",IF(H4282-1&lt;הגדרות!$E$8*(הגדרות!$E$7+1),INT((H4282-1)/(הגדרות!$E$7+1)),הגדרות!$E$8+INT((H4282-1-הגדרות!$E$8*(הגדרות!$E$7+1))/הגדרות!$E$7)))</f>
        <v/>
      </c>
      <c r="J4282" s="0" t="str">
        <f aca="false">IF(I4282="","",IF(H4282-1&lt;הגדרות!$E$8*(הגדרות!$E$7+1),MOD(H4282-1,הגדרות!$E$7+1),MOD(H4282-1-הגדרות!$E$8*(הגדרות!$E$7+1),הגדרות!$E$7)))</f>
        <v/>
      </c>
      <c r="K4282" s="0" t="str">
        <f aca="false">IF(I4282="","",J4282*הגדרות!$E$6+I4282+1)</f>
        <v/>
      </c>
      <c r="L4282" s="0" t="str">
        <f aca="false">IF(K4282="","",MATCH(K4282,$F$2:$F$5001,0))</f>
        <v/>
      </c>
      <c r="M4282" s="0" t="str">
        <f aca="false">IF(I4282="","",INDEX(הגדרות!$A$2:$A$21,MOD(I4282+הגדרות!$E$9,הגדרות!$E$6)+1))</f>
        <v/>
      </c>
    </row>
    <row r="4283" customFormat="false" ht="15" hidden="false" customHeight="false" outlineLevel="0" collapsed="false">
      <c r="A4283" s="0" t="str">
        <f aca="false">IF('הדבקת לידים'!A4283="","",IF(ISNUMBER('הדבקת לידים'!A4283),IF(הגדרות!$E$2&gt;0,TEXT('הדבקת לידים'!A4283,REPT("0",הגדרות!$E$2)),TEXT('הדבקת לידים'!A4283,"0")),TRIM('הדבקת לידים'!A4283)))</f>
        <v/>
      </c>
      <c r="B4283" s="0" t="str">
        <f aca="false">IF('הדבקת לידים'!B4283="","",IF(ISNUMBER('הדבקת לידים'!B4283),IF(הגדרות!$E$3&gt;0,TEXT('הדבקת לידים'!B4283,REPT("0",הגדרות!$E$3)),TEXT('הדבקת לידים'!B4283,"0")),TRIM('הדבקת לידים'!B4283)))</f>
        <v/>
      </c>
      <c r="C4283" s="0" t="n">
        <f aca="false">IF(OR(A4283&lt;&gt;"",B4283&lt;&gt;""),1,0)</f>
        <v>0</v>
      </c>
      <c r="D4283" s="0" t="str">
        <f aca="false">IF(C4283=1,MOD(ABS(SIN(ROW()*12.9898+'הדבקת לידים'!$F$2*78.233+IFERROR(--RIGHT(A4283,6),LEN(A4283))*0.0137+IFERROR(--RIGHT(B4283,6),LEN(B4283))*0.0071))*43758.5453,1),"")</f>
        <v/>
      </c>
      <c r="E4283" s="0" t="str">
        <f aca="false">IF(C4283=1,INT(MOD(ABS(SIN(D4283*7919.123+ROW()*0.618+'הדבקת לידים'!$F$2*1.3))*43758.5453,1)*1000000)*10000+ROW(),"")</f>
        <v/>
      </c>
      <c r="F4283" s="0" t="str">
        <f aca="false">IF(E4283="","",RANK(E4283,$E$2:$E$5001,1))</f>
        <v/>
      </c>
      <c r="G4283" s="0" t="n">
        <f aca="false">IF(A4283="",0,IF(SUMPRODUCT(--($A$2:$A$5001=A4283))&gt;1,1,0))</f>
        <v>0</v>
      </c>
      <c r="H4283" s="0" t="n">
        <f aca="false">ROW()-1</f>
        <v>4282</v>
      </c>
      <c r="I4283" s="0" t="str">
        <f aca="false">IF(OR(הגדרות!$E$6=0,H4283&gt;הגדרות!$E$5),"",IF(H4283-1&lt;הגדרות!$E$8*(הגדרות!$E$7+1),INT((H4283-1)/(הגדרות!$E$7+1)),הגדרות!$E$8+INT((H4283-1-הגדרות!$E$8*(הגדרות!$E$7+1))/הגדרות!$E$7)))</f>
        <v/>
      </c>
      <c r="J4283" s="0" t="str">
        <f aca="false">IF(I4283="","",IF(H4283-1&lt;הגדרות!$E$8*(הגדרות!$E$7+1),MOD(H4283-1,הגדרות!$E$7+1),MOD(H4283-1-הגדרות!$E$8*(הגדרות!$E$7+1),הגדרות!$E$7)))</f>
        <v/>
      </c>
      <c r="K4283" s="0" t="str">
        <f aca="false">IF(I4283="","",J4283*הגדרות!$E$6+I4283+1)</f>
        <v/>
      </c>
      <c r="L4283" s="0" t="str">
        <f aca="false">IF(K4283="","",MATCH(K4283,$F$2:$F$5001,0))</f>
        <v/>
      </c>
      <c r="M4283" s="0" t="str">
        <f aca="false">IF(I4283="","",INDEX(הגדרות!$A$2:$A$21,MOD(I4283+הגדרות!$E$9,הגדרות!$E$6)+1))</f>
        <v/>
      </c>
    </row>
    <row r="4284" customFormat="false" ht="15" hidden="false" customHeight="false" outlineLevel="0" collapsed="false">
      <c r="A4284" s="0" t="str">
        <f aca="false">IF('הדבקת לידים'!A4284="","",IF(ISNUMBER('הדבקת לידים'!A4284),IF(הגדרות!$E$2&gt;0,TEXT('הדבקת לידים'!A4284,REPT("0",הגדרות!$E$2)),TEXT('הדבקת לידים'!A4284,"0")),TRIM('הדבקת לידים'!A4284)))</f>
        <v/>
      </c>
      <c r="B4284" s="0" t="str">
        <f aca="false">IF('הדבקת לידים'!B4284="","",IF(ISNUMBER('הדבקת לידים'!B4284),IF(הגדרות!$E$3&gt;0,TEXT('הדבקת לידים'!B4284,REPT("0",הגדרות!$E$3)),TEXT('הדבקת לידים'!B4284,"0")),TRIM('הדבקת לידים'!B4284)))</f>
        <v/>
      </c>
      <c r="C4284" s="0" t="n">
        <f aca="false">IF(OR(A4284&lt;&gt;"",B4284&lt;&gt;""),1,0)</f>
        <v>0</v>
      </c>
      <c r="D4284" s="0" t="str">
        <f aca="false">IF(C4284=1,MOD(ABS(SIN(ROW()*12.9898+'הדבקת לידים'!$F$2*78.233+IFERROR(--RIGHT(A4284,6),LEN(A4284))*0.0137+IFERROR(--RIGHT(B4284,6),LEN(B4284))*0.0071))*43758.5453,1),"")</f>
        <v/>
      </c>
      <c r="E4284" s="0" t="str">
        <f aca="false">IF(C4284=1,INT(MOD(ABS(SIN(D4284*7919.123+ROW()*0.618+'הדבקת לידים'!$F$2*1.3))*43758.5453,1)*1000000)*10000+ROW(),"")</f>
        <v/>
      </c>
      <c r="F4284" s="0" t="str">
        <f aca="false">IF(E4284="","",RANK(E4284,$E$2:$E$5001,1))</f>
        <v/>
      </c>
      <c r="G4284" s="0" t="n">
        <f aca="false">IF(A4284="",0,IF(SUMPRODUCT(--($A$2:$A$5001=A4284))&gt;1,1,0))</f>
        <v>0</v>
      </c>
      <c r="H4284" s="0" t="n">
        <f aca="false">ROW()-1</f>
        <v>4283</v>
      </c>
      <c r="I4284" s="0" t="str">
        <f aca="false">IF(OR(הגדרות!$E$6=0,H4284&gt;הגדרות!$E$5),"",IF(H4284-1&lt;הגדרות!$E$8*(הגדרות!$E$7+1),INT((H4284-1)/(הגדרות!$E$7+1)),הגדרות!$E$8+INT((H4284-1-הגדרות!$E$8*(הגדרות!$E$7+1))/הגדרות!$E$7)))</f>
        <v/>
      </c>
      <c r="J4284" s="0" t="str">
        <f aca="false">IF(I4284="","",IF(H4284-1&lt;הגדרות!$E$8*(הגדרות!$E$7+1),MOD(H4284-1,הגדרות!$E$7+1),MOD(H4284-1-הגדרות!$E$8*(הגדרות!$E$7+1),הגדרות!$E$7)))</f>
        <v/>
      </c>
      <c r="K4284" s="0" t="str">
        <f aca="false">IF(I4284="","",J4284*הגדרות!$E$6+I4284+1)</f>
        <v/>
      </c>
      <c r="L4284" s="0" t="str">
        <f aca="false">IF(K4284="","",MATCH(K4284,$F$2:$F$5001,0))</f>
        <v/>
      </c>
      <c r="M4284" s="0" t="str">
        <f aca="false">IF(I4284="","",INDEX(הגדרות!$A$2:$A$21,MOD(I4284+הגדרות!$E$9,הגדרות!$E$6)+1))</f>
        <v/>
      </c>
    </row>
    <row r="4285" customFormat="false" ht="15" hidden="false" customHeight="false" outlineLevel="0" collapsed="false">
      <c r="A4285" s="0" t="str">
        <f aca="false">IF('הדבקת לידים'!A4285="","",IF(ISNUMBER('הדבקת לידים'!A4285),IF(הגדרות!$E$2&gt;0,TEXT('הדבקת לידים'!A4285,REPT("0",הגדרות!$E$2)),TEXT('הדבקת לידים'!A4285,"0")),TRIM('הדבקת לידים'!A4285)))</f>
        <v/>
      </c>
      <c r="B4285" s="0" t="str">
        <f aca="false">IF('הדבקת לידים'!B4285="","",IF(ISNUMBER('הדבקת לידים'!B4285),IF(הגדרות!$E$3&gt;0,TEXT('הדבקת לידים'!B4285,REPT("0",הגדרות!$E$3)),TEXT('הדבקת לידים'!B4285,"0")),TRIM('הדבקת לידים'!B4285)))</f>
        <v/>
      </c>
      <c r="C4285" s="0" t="n">
        <f aca="false">IF(OR(A4285&lt;&gt;"",B4285&lt;&gt;""),1,0)</f>
        <v>0</v>
      </c>
      <c r="D4285" s="0" t="str">
        <f aca="false">IF(C4285=1,MOD(ABS(SIN(ROW()*12.9898+'הדבקת לידים'!$F$2*78.233+IFERROR(--RIGHT(A4285,6),LEN(A4285))*0.0137+IFERROR(--RIGHT(B4285,6),LEN(B4285))*0.0071))*43758.5453,1),"")</f>
        <v/>
      </c>
      <c r="E4285" s="0" t="str">
        <f aca="false">IF(C4285=1,INT(MOD(ABS(SIN(D4285*7919.123+ROW()*0.618+'הדבקת לידים'!$F$2*1.3))*43758.5453,1)*1000000)*10000+ROW(),"")</f>
        <v/>
      </c>
      <c r="F4285" s="0" t="str">
        <f aca="false">IF(E4285="","",RANK(E4285,$E$2:$E$5001,1))</f>
        <v/>
      </c>
      <c r="G4285" s="0" t="n">
        <f aca="false">IF(A4285="",0,IF(SUMPRODUCT(--($A$2:$A$5001=A4285))&gt;1,1,0))</f>
        <v>0</v>
      </c>
      <c r="H4285" s="0" t="n">
        <f aca="false">ROW()-1</f>
        <v>4284</v>
      </c>
      <c r="I4285" s="0" t="str">
        <f aca="false">IF(OR(הגדרות!$E$6=0,H4285&gt;הגדרות!$E$5),"",IF(H4285-1&lt;הגדרות!$E$8*(הגדרות!$E$7+1),INT((H4285-1)/(הגדרות!$E$7+1)),הגדרות!$E$8+INT((H4285-1-הגדרות!$E$8*(הגדרות!$E$7+1))/הגדרות!$E$7)))</f>
        <v/>
      </c>
      <c r="J4285" s="0" t="str">
        <f aca="false">IF(I4285="","",IF(H4285-1&lt;הגדרות!$E$8*(הגדרות!$E$7+1),MOD(H4285-1,הגדרות!$E$7+1),MOD(H4285-1-הגדרות!$E$8*(הגדרות!$E$7+1),הגדרות!$E$7)))</f>
        <v/>
      </c>
      <c r="K4285" s="0" t="str">
        <f aca="false">IF(I4285="","",J4285*הגדרות!$E$6+I4285+1)</f>
        <v/>
      </c>
      <c r="L4285" s="0" t="str">
        <f aca="false">IF(K4285="","",MATCH(K4285,$F$2:$F$5001,0))</f>
        <v/>
      </c>
      <c r="M4285" s="0" t="str">
        <f aca="false">IF(I4285="","",INDEX(הגדרות!$A$2:$A$21,MOD(I4285+הגדרות!$E$9,הגדרות!$E$6)+1))</f>
        <v/>
      </c>
    </row>
    <row r="4286" customFormat="false" ht="15" hidden="false" customHeight="false" outlineLevel="0" collapsed="false">
      <c r="A4286" s="0" t="str">
        <f aca="false">IF('הדבקת לידים'!A4286="","",IF(ISNUMBER('הדבקת לידים'!A4286),IF(הגדרות!$E$2&gt;0,TEXT('הדבקת לידים'!A4286,REPT("0",הגדרות!$E$2)),TEXT('הדבקת לידים'!A4286,"0")),TRIM('הדבקת לידים'!A4286)))</f>
        <v/>
      </c>
      <c r="B4286" s="0" t="str">
        <f aca="false">IF('הדבקת לידים'!B4286="","",IF(ISNUMBER('הדבקת לידים'!B4286),IF(הגדרות!$E$3&gt;0,TEXT('הדבקת לידים'!B4286,REPT("0",הגדרות!$E$3)),TEXT('הדבקת לידים'!B4286,"0")),TRIM('הדבקת לידים'!B4286)))</f>
        <v/>
      </c>
      <c r="C4286" s="0" t="n">
        <f aca="false">IF(OR(A4286&lt;&gt;"",B4286&lt;&gt;""),1,0)</f>
        <v>0</v>
      </c>
      <c r="D4286" s="0" t="str">
        <f aca="false">IF(C4286=1,MOD(ABS(SIN(ROW()*12.9898+'הדבקת לידים'!$F$2*78.233+IFERROR(--RIGHT(A4286,6),LEN(A4286))*0.0137+IFERROR(--RIGHT(B4286,6),LEN(B4286))*0.0071))*43758.5453,1),"")</f>
        <v/>
      </c>
      <c r="E4286" s="0" t="str">
        <f aca="false">IF(C4286=1,INT(MOD(ABS(SIN(D4286*7919.123+ROW()*0.618+'הדבקת לידים'!$F$2*1.3))*43758.5453,1)*1000000)*10000+ROW(),"")</f>
        <v/>
      </c>
      <c r="F4286" s="0" t="str">
        <f aca="false">IF(E4286="","",RANK(E4286,$E$2:$E$5001,1))</f>
        <v/>
      </c>
      <c r="G4286" s="0" t="n">
        <f aca="false">IF(A4286="",0,IF(SUMPRODUCT(--($A$2:$A$5001=A4286))&gt;1,1,0))</f>
        <v>0</v>
      </c>
      <c r="H4286" s="0" t="n">
        <f aca="false">ROW()-1</f>
        <v>4285</v>
      </c>
      <c r="I4286" s="0" t="str">
        <f aca="false">IF(OR(הגדרות!$E$6=0,H4286&gt;הגדרות!$E$5),"",IF(H4286-1&lt;הגדרות!$E$8*(הגדרות!$E$7+1),INT((H4286-1)/(הגדרות!$E$7+1)),הגדרות!$E$8+INT((H4286-1-הגדרות!$E$8*(הגדרות!$E$7+1))/הגדרות!$E$7)))</f>
        <v/>
      </c>
      <c r="J4286" s="0" t="str">
        <f aca="false">IF(I4286="","",IF(H4286-1&lt;הגדרות!$E$8*(הגדרות!$E$7+1),MOD(H4286-1,הגדרות!$E$7+1),MOD(H4286-1-הגדרות!$E$8*(הגדרות!$E$7+1),הגדרות!$E$7)))</f>
        <v/>
      </c>
      <c r="K4286" s="0" t="str">
        <f aca="false">IF(I4286="","",J4286*הגדרות!$E$6+I4286+1)</f>
        <v/>
      </c>
      <c r="L4286" s="0" t="str">
        <f aca="false">IF(K4286="","",MATCH(K4286,$F$2:$F$5001,0))</f>
        <v/>
      </c>
      <c r="M4286" s="0" t="str">
        <f aca="false">IF(I4286="","",INDEX(הגדרות!$A$2:$A$21,MOD(I4286+הגדרות!$E$9,הגדרות!$E$6)+1))</f>
        <v/>
      </c>
    </row>
    <row r="4287" customFormat="false" ht="15" hidden="false" customHeight="false" outlineLevel="0" collapsed="false">
      <c r="A4287" s="0" t="str">
        <f aca="false">IF('הדבקת לידים'!A4287="","",IF(ISNUMBER('הדבקת לידים'!A4287),IF(הגדרות!$E$2&gt;0,TEXT('הדבקת לידים'!A4287,REPT("0",הגדרות!$E$2)),TEXT('הדבקת לידים'!A4287,"0")),TRIM('הדבקת לידים'!A4287)))</f>
        <v/>
      </c>
      <c r="B4287" s="0" t="str">
        <f aca="false">IF('הדבקת לידים'!B4287="","",IF(ISNUMBER('הדבקת לידים'!B4287),IF(הגדרות!$E$3&gt;0,TEXT('הדבקת לידים'!B4287,REPT("0",הגדרות!$E$3)),TEXT('הדבקת לידים'!B4287,"0")),TRIM('הדבקת לידים'!B4287)))</f>
        <v/>
      </c>
      <c r="C4287" s="0" t="n">
        <f aca="false">IF(OR(A4287&lt;&gt;"",B4287&lt;&gt;""),1,0)</f>
        <v>0</v>
      </c>
      <c r="D4287" s="0" t="str">
        <f aca="false">IF(C4287=1,MOD(ABS(SIN(ROW()*12.9898+'הדבקת לידים'!$F$2*78.233+IFERROR(--RIGHT(A4287,6),LEN(A4287))*0.0137+IFERROR(--RIGHT(B4287,6),LEN(B4287))*0.0071))*43758.5453,1),"")</f>
        <v/>
      </c>
      <c r="E4287" s="0" t="str">
        <f aca="false">IF(C4287=1,INT(MOD(ABS(SIN(D4287*7919.123+ROW()*0.618+'הדבקת לידים'!$F$2*1.3))*43758.5453,1)*1000000)*10000+ROW(),"")</f>
        <v/>
      </c>
      <c r="F4287" s="0" t="str">
        <f aca="false">IF(E4287="","",RANK(E4287,$E$2:$E$5001,1))</f>
        <v/>
      </c>
      <c r="G4287" s="0" t="n">
        <f aca="false">IF(A4287="",0,IF(SUMPRODUCT(--($A$2:$A$5001=A4287))&gt;1,1,0))</f>
        <v>0</v>
      </c>
      <c r="H4287" s="0" t="n">
        <f aca="false">ROW()-1</f>
        <v>4286</v>
      </c>
      <c r="I4287" s="0" t="str">
        <f aca="false">IF(OR(הגדרות!$E$6=0,H4287&gt;הגדרות!$E$5),"",IF(H4287-1&lt;הגדרות!$E$8*(הגדרות!$E$7+1),INT((H4287-1)/(הגדרות!$E$7+1)),הגדרות!$E$8+INT((H4287-1-הגדרות!$E$8*(הגדרות!$E$7+1))/הגדרות!$E$7)))</f>
        <v/>
      </c>
      <c r="J4287" s="0" t="str">
        <f aca="false">IF(I4287="","",IF(H4287-1&lt;הגדרות!$E$8*(הגדרות!$E$7+1),MOD(H4287-1,הגדרות!$E$7+1),MOD(H4287-1-הגדרות!$E$8*(הגדרות!$E$7+1),הגדרות!$E$7)))</f>
        <v/>
      </c>
      <c r="K4287" s="0" t="str">
        <f aca="false">IF(I4287="","",J4287*הגדרות!$E$6+I4287+1)</f>
        <v/>
      </c>
      <c r="L4287" s="0" t="str">
        <f aca="false">IF(K4287="","",MATCH(K4287,$F$2:$F$5001,0))</f>
        <v/>
      </c>
      <c r="M4287" s="0" t="str">
        <f aca="false">IF(I4287="","",INDEX(הגדרות!$A$2:$A$21,MOD(I4287+הגדרות!$E$9,הגדרות!$E$6)+1))</f>
        <v/>
      </c>
    </row>
    <row r="4288" customFormat="false" ht="15" hidden="false" customHeight="false" outlineLevel="0" collapsed="false">
      <c r="A4288" s="0" t="str">
        <f aca="false">IF('הדבקת לידים'!A4288="","",IF(ISNUMBER('הדבקת לידים'!A4288),IF(הגדרות!$E$2&gt;0,TEXT('הדבקת לידים'!A4288,REPT("0",הגדרות!$E$2)),TEXT('הדבקת לידים'!A4288,"0")),TRIM('הדבקת לידים'!A4288)))</f>
        <v/>
      </c>
      <c r="B4288" s="0" t="str">
        <f aca="false">IF('הדבקת לידים'!B4288="","",IF(ISNUMBER('הדבקת לידים'!B4288),IF(הגדרות!$E$3&gt;0,TEXT('הדבקת לידים'!B4288,REPT("0",הגדרות!$E$3)),TEXT('הדבקת לידים'!B4288,"0")),TRIM('הדבקת לידים'!B4288)))</f>
        <v/>
      </c>
      <c r="C4288" s="0" t="n">
        <f aca="false">IF(OR(A4288&lt;&gt;"",B4288&lt;&gt;""),1,0)</f>
        <v>0</v>
      </c>
      <c r="D4288" s="0" t="str">
        <f aca="false">IF(C4288=1,MOD(ABS(SIN(ROW()*12.9898+'הדבקת לידים'!$F$2*78.233+IFERROR(--RIGHT(A4288,6),LEN(A4288))*0.0137+IFERROR(--RIGHT(B4288,6),LEN(B4288))*0.0071))*43758.5453,1),"")</f>
        <v/>
      </c>
      <c r="E4288" s="0" t="str">
        <f aca="false">IF(C4288=1,INT(MOD(ABS(SIN(D4288*7919.123+ROW()*0.618+'הדבקת לידים'!$F$2*1.3))*43758.5453,1)*1000000)*10000+ROW(),"")</f>
        <v/>
      </c>
      <c r="F4288" s="0" t="str">
        <f aca="false">IF(E4288="","",RANK(E4288,$E$2:$E$5001,1))</f>
        <v/>
      </c>
      <c r="G4288" s="0" t="n">
        <f aca="false">IF(A4288="",0,IF(SUMPRODUCT(--($A$2:$A$5001=A4288))&gt;1,1,0))</f>
        <v>0</v>
      </c>
      <c r="H4288" s="0" t="n">
        <f aca="false">ROW()-1</f>
        <v>4287</v>
      </c>
      <c r="I4288" s="0" t="str">
        <f aca="false">IF(OR(הגדרות!$E$6=0,H4288&gt;הגדרות!$E$5),"",IF(H4288-1&lt;הגדרות!$E$8*(הגדרות!$E$7+1),INT((H4288-1)/(הגדרות!$E$7+1)),הגדרות!$E$8+INT((H4288-1-הגדרות!$E$8*(הגדרות!$E$7+1))/הגדרות!$E$7)))</f>
        <v/>
      </c>
      <c r="J4288" s="0" t="str">
        <f aca="false">IF(I4288="","",IF(H4288-1&lt;הגדרות!$E$8*(הגדרות!$E$7+1),MOD(H4288-1,הגדרות!$E$7+1),MOD(H4288-1-הגדרות!$E$8*(הגדרות!$E$7+1),הגדרות!$E$7)))</f>
        <v/>
      </c>
      <c r="K4288" s="0" t="str">
        <f aca="false">IF(I4288="","",J4288*הגדרות!$E$6+I4288+1)</f>
        <v/>
      </c>
      <c r="L4288" s="0" t="str">
        <f aca="false">IF(K4288="","",MATCH(K4288,$F$2:$F$5001,0))</f>
        <v/>
      </c>
      <c r="M4288" s="0" t="str">
        <f aca="false">IF(I4288="","",INDEX(הגדרות!$A$2:$A$21,MOD(I4288+הגדרות!$E$9,הגדרות!$E$6)+1))</f>
        <v/>
      </c>
    </row>
    <row r="4289" customFormat="false" ht="15" hidden="false" customHeight="false" outlineLevel="0" collapsed="false">
      <c r="A4289" s="0" t="str">
        <f aca="false">IF('הדבקת לידים'!A4289="","",IF(ISNUMBER('הדבקת לידים'!A4289),IF(הגדרות!$E$2&gt;0,TEXT('הדבקת לידים'!A4289,REPT("0",הגדרות!$E$2)),TEXT('הדבקת לידים'!A4289,"0")),TRIM('הדבקת לידים'!A4289)))</f>
        <v/>
      </c>
      <c r="B4289" s="0" t="str">
        <f aca="false">IF('הדבקת לידים'!B4289="","",IF(ISNUMBER('הדבקת לידים'!B4289),IF(הגדרות!$E$3&gt;0,TEXT('הדבקת לידים'!B4289,REPT("0",הגדרות!$E$3)),TEXT('הדבקת לידים'!B4289,"0")),TRIM('הדבקת לידים'!B4289)))</f>
        <v/>
      </c>
      <c r="C4289" s="0" t="n">
        <f aca="false">IF(OR(A4289&lt;&gt;"",B4289&lt;&gt;""),1,0)</f>
        <v>0</v>
      </c>
      <c r="D4289" s="0" t="str">
        <f aca="false">IF(C4289=1,MOD(ABS(SIN(ROW()*12.9898+'הדבקת לידים'!$F$2*78.233+IFERROR(--RIGHT(A4289,6),LEN(A4289))*0.0137+IFERROR(--RIGHT(B4289,6),LEN(B4289))*0.0071))*43758.5453,1),"")</f>
        <v/>
      </c>
      <c r="E4289" s="0" t="str">
        <f aca="false">IF(C4289=1,INT(MOD(ABS(SIN(D4289*7919.123+ROW()*0.618+'הדבקת לידים'!$F$2*1.3))*43758.5453,1)*1000000)*10000+ROW(),"")</f>
        <v/>
      </c>
      <c r="F4289" s="0" t="str">
        <f aca="false">IF(E4289="","",RANK(E4289,$E$2:$E$5001,1))</f>
        <v/>
      </c>
      <c r="G4289" s="0" t="n">
        <f aca="false">IF(A4289="",0,IF(SUMPRODUCT(--($A$2:$A$5001=A4289))&gt;1,1,0))</f>
        <v>0</v>
      </c>
      <c r="H4289" s="0" t="n">
        <f aca="false">ROW()-1</f>
        <v>4288</v>
      </c>
      <c r="I4289" s="0" t="str">
        <f aca="false">IF(OR(הגדרות!$E$6=0,H4289&gt;הגדרות!$E$5),"",IF(H4289-1&lt;הגדרות!$E$8*(הגדרות!$E$7+1),INT((H4289-1)/(הגדרות!$E$7+1)),הגדרות!$E$8+INT((H4289-1-הגדרות!$E$8*(הגדרות!$E$7+1))/הגדרות!$E$7)))</f>
        <v/>
      </c>
      <c r="J4289" s="0" t="str">
        <f aca="false">IF(I4289="","",IF(H4289-1&lt;הגדרות!$E$8*(הגדרות!$E$7+1),MOD(H4289-1,הגדרות!$E$7+1),MOD(H4289-1-הגדרות!$E$8*(הגדרות!$E$7+1),הגדרות!$E$7)))</f>
        <v/>
      </c>
      <c r="K4289" s="0" t="str">
        <f aca="false">IF(I4289="","",J4289*הגדרות!$E$6+I4289+1)</f>
        <v/>
      </c>
      <c r="L4289" s="0" t="str">
        <f aca="false">IF(K4289="","",MATCH(K4289,$F$2:$F$5001,0))</f>
        <v/>
      </c>
      <c r="M4289" s="0" t="str">
        <f aca="false">IF(I4289="","",INDEX(הגדרות!$A$2:$A$21,MOD(I4289+הגדרות!$E$9,הגדרות!$E$6)+1))</f>
        <v/>
      </c>
    </row>
    <row r="4290" customFormat="false" ht="15" hidden="false" customHeight="false" outlineLevel="0" collapsed="false">
      <c r="A4290" s="0" t="str">
        <f aca="false">IF('הדבקת לידים'!A4290="","",IF(ISNUMBER('הדבקת לידים'!A4290),IF(הגדרות!$E$2&gt;0,TEXT('הדבקת לידים'!A4290,REPT("0",הגדרות!$E$2)),TEXT('הדבקת לידים'!A4290,"0")),TRIM('הדבקת לידים'!A4290)))</f>
        <v/>
      </c>
      <c r="B4290" s="0" t="str">
        <f aca="false">IF('הדבקת לידים'!B4290="","",IF(ISNUMBER('הדבקת לידים'!B4290),IF(הגדרות!$E$3&gt;0,TEXT('הדבקת לידים'!B4290,REPT("0",הגדרות!$E$3)),TEXT('הדבקת לידים'!B4290,"0")),TRIM('הדבקת לידים'!B4290)))</f>
        <v/>
      </c>
      <c r="C4290" s="0" t="n">
        <f aca="false">IF(OR(A4290&lt;&gt;"",B4290&lt;&gt;""),1,0)</f>
        <v>0</v>
      </c>
      <c r="D4290" s="0" t="str">
        <f aca="false">IF(C4290=1,MOD(ABS(SIN(ROW()*12.9898+'הדבקת לידים'!$F$2*78.233+IFERROR(--RIGHT(A4290,6),LEN(A4290))*0.0137+IFERROR(--RIGHT(B4290,6),LEN(B4290))*0.0071))*43758.5453,1),"")</f>
        <v/>
      </c>
      <c r="E4290" s="0" t="str">
        <f aca="false">IF(C4290=1,INT(MOD(ABS(SIN(D4290*7919.123+ROW()*0.618+'הדבקת לידים'!$F$2*1.3))*43758.5453,1)*1000000)*10000+ROW(),"")</f>
        <v/>
      </c>
      <c r="F4290" s="0" t="str">
        <f aca="false">IF(E4290="","",RANK(E4290,$E$2:$E$5001,1))</f>
        <v/>
      </c>
      <c r="G4290" s="0" t="n">
        <f aca="false">IF(A4290="",0,IF(SUMPRODUCT(--($A$2:$A$5001=A4290))&gt;1,1,0))</f>
        <v>0</v>
      </c>
      <c r="H4290" s="0" t="n">
        <f aca="false">ROW()-1</f>
        <v>4289</v>
      </c>
      <c r="I4290" s="0" t="str">
        <f aca="false">IF(OR(הגדרות!$E$6=0,H4290&gt;הגדרות!$E$5),"",IF(H4290-1&lt;הגדרות!$E$8*(הגדרות!$E$7+1),INT((H4290-1)/(הגדרות!$E$7+1)),הגדרות!$E$8+INT((H4290-1-הגדרות!$E$8*(הגדרות!$E$7+1))/הגדרות!$E$7)))</f>
        <v/>
      </c>
      <c r="J4290" s="0" t="str">
        <f aca="false">IF(I4290="","",IF(H4290-1&lt;הגדרות!$E$8*(הגדרות!$E$7+1),MOD(H4290-1,הגדרות!$E$7+1),MOD(H4290-1-הגדרות!$E$8*(הגדרות!$E$7+1),הגדרות!$E$7)))</f>
        <v/>
      </c>
      <c r="K4290" s="0" t="str">
        <f aca="false">IF(I4290="","",J4290*הגדרות!$E$6+I4290+1)</f>
        <v/>
      </c>
      <c r="L4290" s="0" t="str">
        <f aca="false">IF(K4290="","",MATCH(K4290,$F$2:$F$5001,0))</f>
        <v/>
      </c>
      <c r="M4290" s="0" t="str">
        <f aca="false">IF(I4290="","",INDEX(הגדרות!$A$2:$A$21,MOD(I4290+הגדרות!$E$9,הגדרות!$E$6)+1))</f>
        <v/>
      </c>
    </row>
    <row r="4291" customFormat="false" ht="15" hidden="false" customHeight="false" outlineLevel="0" collapsed="false">
      <c r="A4291" s="0" t="str">
        <f aca="false">IF('הדבקת לידים'!A4291="","",IF(ISNUMBER('הדבקת לידים'!A4291),IF(הגדרות!$E$2&gt;0,TEXT('הדבקת לידים'!A4291,REPT("0",הגדרות!$E$2)),TEXT('הדבקת לידים'!A4291,"0")),TRIM('הדבקת לידים'!A4291)))</f>
        <v/>
      </c>
      <c r="B4291" s="0" t="str">
        <f aca="false">IF('הדבקת לידים'!B4291="","",IF(ISNUMBER('הדבקת לידים'!B4291),IF(הגדרות!$E$3&gt;0,TEXT('הדבקת לידים'!B4291,REPT("0",הגדרות!$E$3)),TEXT('הדבקת לידים'!B4291,"0")),TRIM('הדבקת לידים'!B4291)))</f>
        <v/>
      </c>
      <c r="C4291" s="0" t="n">
        <f aca="false">IF(OR(A4291&lt;&gt;"",B4291&lt;&gt;""),1,0)</f>
        <v>0</v>
      </c>
      <c r="D4291" s="0" t="str">
        <f aca="false">IF(C4291=1,MOD(ABS(SIN(ROW()*12.9898+'הדבקת לידים'!$F$2*78.233+IFERROR(--RIGHT(A4291,6),LEN(A4291))*0.0137+IFERROR(--RIGHT(B4291,6),LEN(B4291))*0.0071))*43758.5453,1),"")</f>
        <v/>
      </c>
      <c r="E4291" s="0" t="str">
        <f aca="false">IF(C4291=1,INT(MOD(ABS(SIN(D4291*7919.123+ROW()*0.618+'הדבקת לידים'!$F$2*1.3))*43758.5453,1)*1000000)*10000+ROW(),"")</f>
        <v/>
      </c>
      <c r="F4291" s="0" t="str">
        <f aca="false">IF(E4291="","",RANK(E4291,$E$2:$E$5001,1))</f>
        <v/>
      </c>
      <c r="G4291" s="0" t="n">
        <f aca="false">IF(A4291="",0,IF(SUMPRODUCT(--($A$2:$A$5001=A4291))&gt;1,1,0))</f>
        <v>0</v>
      </c>
      <c r="H4291" s="0" t="n">
        <f aca="false">ROW()-1</f>
        <v>4290</v>
      </c>
      <c r="I4291" s="0" t="str">
        <f aca="false">IF(OR(הגדרות!$E$6=0,H4291&gt;הגדרות!$E$5),"",IF(H4291-1&lt;הגדרות!$E$8*(הגדרות!$E$7+1),INT((H4291-1)/(הגדרות!$E$7+1)),הגדרות!$E$8+INT((H4291-1-הגדרות!$E$8*(הגדרות!$E$7+1))/הגדרות!$E$7)))</f>
        <v/>
      </c>
      <c r="J4291" s="0" t="str">
        <f aca="false">IF(I4291="","",IF(H4291-1&lt;הגדרות!$E$8*(הגדרות!$E$7+1),MOD(H4291-1,הגדרות!$E$7+1),MOD(H4291-1-הגדרות!$E$8*(הגדרות!$E$7+1),הגדרות!$E$7)))</f>
        <v/>
      </c>
      <c r="K4291" s="0" t="str">
        <f aca="false">IF(I4291="","",J4291*הגדרות!$E$6+I4291+1)</f>
        <v/>
      </c>
      <c r="L4291" s="0" t="str">
        <f aca="false">IF(K4291="","",MATCH(K4291,$F$2:$F$5001,0))</f>
        <v/>
      </c>
      <c r="M4291" s="0" t="str">
        <f aca="false">IF(I4291="","",INDEX(הגדרות!$A$2:$A$21,MOD(I4291+הגדרות!$E$9,הגדרות!$E$6)+1))</f>
        <v/>
      </c>
    </row>
    <row r="4292" customFormat="false" ht="15" hidden="false" customHeight="false" outlineLevel="0" collapsed="false">
      <c r="A4292" s="0" t="str">
        <f aca="false">IF('הדבקת לידים'!A4292="","",IF(ISNUMBER('הדבקת לידים'!A4292),IF(הגדרות!$E$2&gt;0,TEXT('הדבקת לידים'!A4292,REPT("0",הגדרות!$E$2)),TEXT('הדבקת לידים'!A4292,"0")),TRIM('הדבקת לידים'!A4292)))</f>
        <v/>
      </c>
      <c r="B4292" s="0" t="str">
        <f aca="false">IF('הדבקת לידים'!B4292="","",IF(ISNUMBER('הדבקת לידים'!B4292),IF(הגדרות!$E$3&gt;0,TEXT('הדבקת לידים'!B4292,REPT("0",הגדרות!$E$3)),TEXT('הדבקת לידים'!B4292,"0")),TRIM('הדבקת לידים'!B4292)))</f>
        <v/>
      </c>
      <c r="C4292" s="0" t="n">
        <f aca="false">IF(OR(A4292&lt;&gt;"",B4292&lt;&gt;""),1,0)</f>
        <v>0</v>
      </c>
      <c r="D4292" s="0" t="str">
        <f aca="false">IF(C4292=1,MOD(ABS(SIN(ROW()*12.9898+'הדבקת לידים'!$F$2*78.233+IFERROR(--RIGHT(A4292,6),LEN(A4292))*0.0137+IFERROR(--RIGHT(B4292,6),LEN(B4292))*0.0071))*43758.5453,1),"")</f>
        <v/>
      </c>
      <c r="E4292" s="0" t="str">
        <f aca="false">IF(C4292=1,INT(MOD(ABS(SIN(D4292*7919.123+ROW()*0.618+'הדבקת לידים'!$F$2*1.3))*43758.5453,1)*1000000)*10000+ROW(),"")</f>
        <v/>
      </c>
      <c r="F4292" s="0" t="str">
        <f aca="false">IF(E4292="","",RANK(E4292,$E$2:$E$5001,1))</f>
        <v/>
      </c>
      <c r="G4292" s="0" t="n">
        <f aca="false">IF(A4292="",0,IF(SUMPRODUCT(--($A$2:$A$5001=A4292))&gt;1,1,0))</f>
        <v>0</v>
      </c>
      <c r="H4292" s="0" t="n">
        <f aca="false">ROW()-1</f>
        <v>4291</v>
      </c>
      <c r="I4292" s="0" t="str">
        <f aca="false">IF(OR(הגדרות!$E$6=0,H4292&gt;הגדרות!$E$5),"",IF(H4292-1&lt;הגדרות!$E$8*(הגדרות!$E$7+1),INT((H4292-1)/(הגדרות!$E$7+1)),הגדרות!$E$8+INT((H4292-1-הגדרות!$E$8*(הגדרות!$E$7+1))/הגדרות!$E$7)))</f>
        <v/>
      </c>
      <c r="J4292" s="0" t="str">
        <f aca="false">IF(I4292="","",IF(H4292-1&lt;הגדרות!$E$8*(הגדרות!$E$7+1),MOD(H4292-1,הגדרות!$E$7+1),MOD(H4292-1-הגדרות!$E$8*(הגדרות!$E$7+1),הגדרות!$E$7)))</f>
        <v/>
      </c>
      <c r="K4292" s="0" t="str">
        <f aca="false">IF(I4292="","",J4292*הגדרות!$E$6+I4292+1)</f>
        <v/>
      </c>
      <c r="L4292" s="0" t="str">
        <f aca="false">IF(K4292="","",MATCH(K4292,$F$2:$F$5001,0))</f>
        <v/>
      </c>
      <c r="M4292" s="0" t="str">
        <f aca="false">IF(I4292="","",INDEX(הגדרות!$A$2:$A$21,MOD(I4292+הגדרות!$E$9,הגדרות!$E$6)+1))</f>
        <v/>
      </c>
    </row>
    <row r="4293" customFormat="false" ht="15" hidden="false" customHeight="false" outlineLevel="0" collapsed="false">
      <c r="A4293" s="0" t="str">
        <f aca="false">IF('הדבקת לידים'!A4293="","",IF(ISNUMBER('הדבקת לידים'!A4293),IF(הגדרות!$E$2&gt;0,TEXT('הדבקת לידים'!A4293,REPT("0",הגדרות!$E$2)),TEXT('הדבקת לידים'!A4293,"0")),TRIM('הדבקת לידים'!A4293)))</f>
        <v/>
      </c>
      <c r="B4293" s="0" t="str">
        <f aca="false">IF('הדבקת לידים'!B4293="","",IF(ISNUMBER('הדבקת לידים'!B4293),IF(הגדרות!$E$3&gt;0,TEXT('הדבקת לידים'!B4293,REPT("0",הגדרות!$E$3)),TEXT('הדבקת לידים'!B4293,"0")),TRIM('הדבקת לידים'!B4293)))</f>
        <v/>
      </c>
      <c r="C4293" s="0" t="n">
        <f aca="false">IF(OR(A4293&lt;&gt;"",B4293&lt;&gt;""),1,0)</f>
        <v>0</v>
      </c>
      <c r="D4293" s="0" t="str">
        <f aca="false">IF(C4293=1,MOD(ABS(SIN(ROW()*12.9898+'הדבקת לידים'!$F$2*78.233+IFERROR(--RIGHT(A4293,6),LEN(A4293))*0.0137+IFERROR(--RIGHT(B4293,6),LEN(B4293))*0.0071))*43758.5453,1),"")</f>
        <v/>
      </c>
      <c r="E4293" s="0" t="str">
        <f aca="false">IF(C4293=1,INT(MOD(ABS(SIN(D4293*7919.123+ROW()*0.618+'הדבקת לידים'!$F$2*1.3))*43758.5453,1)*1000000)*10000+ROW(),"")</f>
        <v/>
      </c>
      <c r="F4293" s="0" t="str">
        <f aca="false">IF(E4293="","",RANK(E4293,$E$2:$E$5001,1))</f>
        <v/>
      </c>
      <c r="G4293" s="0" t="n">
        <f aca="false">IF(A4293="",0,IF(SUMPRODUCT(--($A$2:$A$5001=A4293))&gt;1,1,0))</f>
        <v>0</v>
      </c>
      <c r="H4293" s="0" t="n">
        <f aca="false">ROW()-1</f>
        <v>4292</v>
      </c>
      <c r="I4293" s="0" t="str">
        <f aca="false">IF(OR(הגדרות!$E$6=0,H4293&gt;הגדרות!$E$5),"",IF(H4293-1&lt;הגדרות!$E$8*(הגדרות!$E$7+1),INT((H4293-1)/(הגדרות!$E$7+1)),הגדרות!$E$8+INT((H4293-1-הגדרות!$E$8*(הגדרות!$E$7+1))/הגדרות!$E$7)))</f>
        <v/>
      </c>
      <c r="J4293" s="0" t="str">
        <f aca="false">IF(I4293="","",IF(H4293-1&lt;הגדרות!$E$8*(הגדרות!$E$7+1),MOD(H4293-1,הגדרות!$E$7+1),MOD(H4293-1-הגדרות!$E$8*(הגדרות!$E$7+1),הגדרות!$E$7)))</f>
        <v/>
      </c>
      <c r="K4293" s="0" t="str">
        <f aca="false">IF(I4293="","",J4293*הגדרות!$E$6+I4293+1)</f>
        <v/>
      </c>
      <c r="L4293" s="0" t="str">
        <f aca="false">IF(K4293="","",MATCH(K4293,$F$2:$F$5001,0))</f>
        <v/>
      </c>
      <c r="M4293" s="0" t="str">
        <f aca="false">IF(I4293="","",INDEX(הגדרות!$A$2:$A$21,MOD(I4293+הגדרות!$E$9,הגדרות!$E$6)+1))</f>
        <v/>
      </c>
    </row>
    <row r="4294" customFormat="false" ht="15" hidden="false" customHeight="false" outlineLevel="0" collapsed="false">
      <c r="A4294" s="0" t="str">
        <f aca="false">IF('הדבקת לידים'!A4294="","",IF(ISNUMBER('הדבקת לידים'!A4294),IF(הגדרות!$E$2&gt;0,TEXT('הדבקת לידים'!A4294,REPT("0",הגדרות!$E$2)),TEXT('הדבקת לידים'!A4294,"0")),TRIM('הדבקת לידים'!A4294)))</f>
        <v/>
      </c>
      <c r="B4294" s="0" t="str">
        <f aca="false">IF('הדבקת לידים'!B4294="","",IF(ISNUMBER('הדבקת לידים'!B4294),IF(הגדרות!$E$3&gt;0,TEXT('הדבקת לידים'!B4294,REPT("0",הגדרות!$E$3)),TEXT('הדבקת לידים'!B4294,"0")),TRIM('הדבקת לידים'!B4294)))</f>
        <v/>
      </c>
      <c r="C4294" s="0" t="n">
        <f aca="false">IF(OR(A4294&lt;&gt;"",B4294&lt;&gt;""),1,0)</f>
        <v>0</v>
      </c>
      <c r="D4294" s="0" t="str">
        <f aca="false">IF(C4294=1,MOD(ABS(SIN(ROW()*12.9898+'הדבקת לידים'!$F$2*78.233+IFERROR(--RIGHT(A4294,6),LEN(A4294))*0.0137+IFERROR(--RIGHT(B4294,6),LEN(B4294))*0.0071))*43758.5453,1),"")</f>
        <v/>
      </c>
      <c r="E4294" s="0" t="str">
        <f aca="false">IF(C4294=1,INT(MOD(ABS(SIN(D4294*7919.123+ROW()*0.618+'הדבקת לידים'!$F$2*1.3))*43758.5453,1)*1000000)*10000+ROW(),"")</f>
        <v/>
      </c>
      <c r="F4294" s="0" t="str">
        <f aca="false">IF(E4294="","",RANK(E4294,$E$2:$E$5001,1))</f>
        <v/>
      </c>
      <c r="G4294" s="0" t="n">
        <f aca="false">IF(A4294="",0,IF(SUMPRODUCT(--($A$2:$A$5001=A4294))&gt;1,1,0))</f>
        <v>0</v>
      </c>
      <c r="H4294" s="0" t="n">
        <f aca="false">ROW()-1</f>
        <v>4293</v>
      </c>
      <c r="I4294" s="0" t="str">
        <f aca="false">IF(OR(הגדרות!$E$6=0,H4294&gt;הגדרות!$E$5),"",IF(H4294-1&lt;הגדרות!$E$8*(הגדרות!$E$7+1),INT((H4294-1)/(הגדרות!$E$7+1)),הגדרות!$E$8+INT((H4294-1-הגדרות!$E$8*(הגדרות!$E$7+1))/הגדרות!$E$7)))</f>
        <v/>
      </c>
      <c r="J4294" s="0" t="str">
        <f aca="false">IF(I4294="","",IF(H4294-1&lt;הגדרות!$E$8*(הגדרות!$E$7+1),MOD(H4294-1,הגדרות!$E$7+1),MOD(H4294-1-הגדרות!$E$8*(הגדרות!$E$7+1),הגדרות!$E$7)))</f>
        <v/>
      </c>
      <c r="K4294" s="0" t="str">
        <f aca="false">IF(I4294="","",J4294*הגדרות!$E$6+I4294+1)</f>
        <v/>
      </c>
      <c r="L4294" s="0" t="str">
        <f aca="false">IF(K4294="","",MATCH(K4294,$F$2:$F$5001,0))</f>
        <v/>
      </c>
      <c r="M4294" s="0" t="str">
        <f aca="false">IF(I4294="","",INDEX(הגדרות!$A$2:$A$21,MOD(I4294+הגדרות!$E$9,הגדרות!$E$6)+1))</f>
        <v/>
      </c>
    </row>
    <row r="4295" customFormat="false" ht="15" hidden="false" customHeight="false" outlineLevel="0" collapsed="false">
      <c r="A4295" s="0" t="str">
        <f aca="false">IF('הדבקת לידים'!A4295="","",IF(ISNUMBER('הדבקת לידים'!A4295),IF(הגדרות!$E$2&gt;0,TEXT('הדבקת לידים'!A4295,REPT("0",הגדרות!$E$2)),TEXT('הדבקת לידים'!A4295,"0")),TRIM('הדבקת לידים'!A4295)))</f>
        <v/>
      </c>
      <c r="B4295" s="0" t="str">
        <f aca="false">IF('הדבקת לידים'!B4295="","",IF(ISNUMBER('הדבקת לידים'!B4295),IF(הגדרות!$E$3&gt;0,TEXT('הדבקת לידים'!B4295,REPT("0",הגדרות!$E$3)),TEXT('הדבקת לידים'!B4295,"0")),TRIM('הדבקת לידים'!B4295)))</f>
        <v/>
      </c>
      <c r="C4295" s="0" t="n">
        <f aca="false">IF(OR(A4295&lt;&gt;"",B4295&lt;&gt;""),1,0)</f>
        <v>0</v>
      </c>
      <c r="D4295" s="0" t="str">
        <f aca="false">IF(C4295=1,MOD(ABS(SIN(ROW()*12.9898+'הדבקת לידים'!$F$2*78.233+IFERROR(--RIGHT(A4295,6),LEN(A4295))*0.0137+IFERROR(--RIGHT(B4295,6),LEN(B4295))*0.0071))*43758.5453,1),"")</f>
        <v/>
      </c>
      <c r="E4295" s="0" t="str">
        <f aca="false">IF(C4295=1,INT(MOD(ABS(SIN(D4295*7919.123+ROW()*0.618+'הדבקת לידים'!$F$2*1.3))*43758.5453,1)*1000000)*10000+ROW(),"")</f>
        <v/>
      </c>
      <c r="F4295" s="0" t="str">
        <f aca="false">IF(E4295="","",RANK(E4295,$E$2:$E$5001,1))</f>
        <v/>
      </c>
      <c r="G4295" s="0" t="n">
        <f aca="false">IF(A4295="",0,IF(SUMPRODUCT(--($A$2:$A$5001=A4295))&gt;1,1,0))</f>
        <v>0</v>
      </c>
      <c r="H4295" s="0" t="n">
        <f aca="false">ROW()-1</f>
        <v>4294</v>
      </c>
      <c r="I4295" s="0" t="str">
        <f aca="false">IF(OR(הגדרות!$E$6=0,H4295&gt;הגדרות!$E$5),"",IF(H4295-1&lt;הגדרות!$E$8*(הגדרות!$E$7+1),INT((H4295-1)/(הגדרות!$E$7+1)),הגדרות!$E$8+INT((H4295-1-הגדרות!$E$8*(הגדרות!$E$7+1))/הגדרות!$E$7)))</f>
        <v/>
      </c>
      <c r="J4295" s="0" t="str">
        <f aca="false">IF(I4295="","",IF(H4295-1&lt;הגדרות!$E$8*(הגדרות!$E$7+1),MOD(H4295-1,הגדרות!$E$7+1),MOD(H4295-1-הגדרות!$E$8*(הגדרות!$E$7+1),הגדרות!$E$7)))</f>
        <v/>
      </c>
      <c r="K4295" s="0" t="str">
        <f aca="false">IF(I4295="","",J4295*הגדרות!$E$6+I4295+1)</f>
        <v/>
      </c>
      <c r="L4295" s="0" t="str">
        <f aca="false">IF(K4295="","",MATCH(K4295,$F$2:$F$5001,0))</f>
        <v/>
      </c>
      <c r="M4295" s="0" t="str">
        <f aca="false">IF(I4295="","",INDEX(הגדרות!$A$2:$A$21,MOD(I4295+הגדרות!$E$9,הגדרות!$E$6)+1))</f>
        <v/>
      </c>
    </row>
    <row r="4296" customFormat="false" ht="15" hidden="false" customHeight="false" outlineLevel="0" collapsed="false">
      <c r="A4296" s="0" t="str">
        <f aca="false">IF('הדבקת לידים'!A4296="","",IF(ISNUMBER('הדבקת לידים'!A4296),IF(הגדרות!$E$2&gt;0,TEXT('הדבקת לידים'!A4296,REPT("0",הגדרות!$E$2)),TEXT('הדבקת לידים'!A4296,"0")),TRIM('הדבקת לידים'!A4296)))</f>
        <v/>
      </c>
      <c r="B4296" s="0" t="str">
        <f aca="false">IF('הדבקת לידים'!B4296="","",IF(ISNUMBER('הדבקת לידים'!B4296),IF(הגדרות!$E$3&gt;0,TEXT('הדבקת לידים'!B4296,REPT("0",הגדרות!$E$3)),TEXT('הדבקת לידים'!B4296,"0")),TRIM('הדבקת לידים'!B4296)))</f>
        <v/>
      </c>
      <c r="C4296" s="0" t="n">
        <f aca="false">IF(OR(A4296&lt;&gt;"",B4296&lt;&gt;""),1,0)</f>
        <v>0</v>
      </c>
      <c r="D4296" s="0" t="str">
        <f aca="false">IF(C4296=1,MOD(ABS(SIN(ROW()*12.9898+'הדבקת לידים'!$F$2*78.233+IFERROR(--RIGHT(A4296,6),LEN(A4296))*0.0137+IFERROR(--RIGHT(B4296,6),LEN(B4296))*0.0071))*43758.5453,1),"")</f>
        <v/>
      </c>
      <c r="E4296" s="0" t="str">
        <f aca="false">IF(C4296=1,INT(MOD(ABS(SIN(D4296*7919.123+ROW()*0.618+'הדבקת לידים'!$F$2*1.3))*43758.5453,1)*1000000)*10000+ROW(),"")</f>
        <v/>
      </c>
      <c r="F4296" s="0" t="str">
        <f aca="false">IF(E4296="","",RANK(E4296,$E$2:$E$5001,1))</f>
        <v/>
      </c>
      <c r="G4296" s="0" t="n">
        <f aca="false">IF(A4296="",0,IF(SUMPRODUCT(--($A$2:$A$5001=A4296))&gt;1,1,0))</f>
        <v>0</v>
      </c>
      <c r="H4296" s="0" t="n">
        <f aca="false">ROW()-1</f>
        <v>4295</v>
      </c>
      <c r="I4296" s="0" t="str">
        <f aca="false">IF(OR(הגדרות!$E$6=0,H4296&gt;הגדרות!$E$5),"",IF(H4296-1&lt;הגדרות!$E$8*(הגדרות!$E$7+1),INT((H4296-1)/(הגדרות!$E$7+1)),הגדרות!$E$8+INT((H4296-1-הגדרות!$E$8*(הגדרות!$E$7+1))/הגדרות!$E$7)))</f>
        <v/>
      </c>
      <c r="J4296" s="0" t="str">
        <f aca="false">IF(I4296="","",IF(H4296-1&lt;הגדרות!$E$8*(הגדרות!$E$7+1),MOD(H4296-1,הגדרות!$E$7+1),MOD(H4296-1-הגדרות!$E$8*(הגדרות!$E$7+1),הגדרות!$E$7)))</f>
        <v/>
      </c>
      <c r="K4296" s="0" t="str">
        <f aca="false">IF(I4296="","",J4296*הגדרות!$E$6+I4296+1)</f>
        <v/>
      </c>
      <c r="L4296" s="0" t="str">
        <f aca="false">IF(K4296="","",MATCH(K4296,$F$2:$F$5001,0))</f>
        <v/>
      </c>
      <c r="M4296" s="0" t="str">
        <f aca="false">IF(I4296="","",INDEX(הגדרות!$A$2:$A$21,MOD(I4296+הגדרות!$E$9,הגדרות!$E$6)+1))</f>
        <v/>
      </c>
    </row>
    <row r="4297" customFormat="false" ht="15" hidden="false" customHeight="false" outlineLevel="0" collapsed="false">
      <c r="A4297" s="0" t="str">
        <f aca="false">IF('הדבקת לידים'!A4297="","",IF(ISNUMBER('הדבקת לידים'!A4297),IF(הגדרות!$E$2&gt;0,TEXT('הדבקת לידים'!A4297,REPT("0",הגדרות!$E$2)),TEXT('הדבקת לידים'!A4297,"0")),TRIM('הדבקת לידים'!A4297)))</f>
        <v/>
      </c>
      <c r="B4297" s="0" t="str">
        <f aca="false">IF('הדבקת לידים'!B4297="","",IF(ISNUMBER('הדבקת לידים'!B4297),IF(הגדרות!$E$3&gt;0,TEXT('הדבקת לידים'!B4297,REPT("0",הגדרות!$E$3)),TEXT('הדבקת לידים'!B4297,"0")),TRIM('הדבקת לידים'!B4297)))</f>
        <v/>
      </c>
      <c r="C4297" s="0" t="n">
        <f aca="false">IF(OR(A4297&lt;&gt;"",B4297&lt;&gt;""),1,0)</f>
        <v>0</v>
      </c>
      <c r="D4297" s="0" t="str">
        <f aca="false">IF(C4297=1,MOD(ABS(SIN(ROW()*12.9898+'הדבקת לידים'!$F$2*78.233+IFERROR(--RIGHT(A4297,6),LEN(A4297))*0.0137+IFERROR(--RIGHT(B4297,6),LEN(B4297))*0.0071))*43758.5453,1),"")</f>
        <v/>
      </c>
      <c r="E4297" s="0" t="str">
        <f aca="false">IF(C4297=1,INT(MOD(ABS(SIN(D4297*7919.123+ROW()*0.618+'הדבקת לידים'!$F$2*1.3))*43758.5453,1)*1000000)*10000+ROW(),"")</f>
        <v/>
      </c>
      <c r="F4297" s="0" t="str">
        <f aca="false">IF(E4297="","",RANK(E4297,$E$2:$E$5001,1))</f>
        <v/>
      </c>
      <c r="G4297" s="0" t="n">
        <f aca="false">IF(A4297="",0,IF(SUMPRODUCT(--($A$2:$A$5001=A4297))&gt;1,1,0))</f>
        <v>0</v>
      </c>
      <c r="H4297" s="0" t="n">
        <f aca="false">ROW()-1</f>
        <v>4296</v>
      </c>
      <c r="I4297" s="0" t="str">
        <f aca="false">IF(OR(הגדרות!$E$6=0,H4297&gt;הגדרות!$E$5),"",IF(H4297-1&lt;הגדרות!$E$8*(הגדרות!$E$7+1),INT((H4297-1)/(הגדרות!$E$7+1)),הגדרות!$E$8+INT((H4297-1-הגדרות!$E$8*(הגדרות!$E$7+1))/הגדרות!$E$7)))</f>
        <v/>
      </c>
      <c r="J4297" s="0" t="str">
        <f aca="false">IF(I4297="","",IF(H4297-1&lt;הגדרות!$E$8*(הגדרות!$E$7+1),MOD(H4297-1,הגדרות!$E$7+1),MOD(H4297-1-הגדרות!$E$8*(הגדרות!$E$7+1),הגדרות!$E$7)))</f>
        <v/>
      </c>
      <c r="K4297" s="0" t="str">
        <f aca="false">IF(I4297="","",J4297*הגדרות!$E$6+I4297+1)</f>
        <v/>
      </c>
      <c r="L4297" s="0" t="str">
        <f aca="false">IF(K4297="","",MATCH(K4297,$F$2:$F$5001,0))</f>
        <v/>
      </c>
      <c r="M4297" s="0" t="str">
        <f aca="false">IF(I4297="","",INDEX(הגדרות!$A$2:$A$21,MOD(I4297+הגדרות!$E$9,הגדרות!$E$6)+1))</f>
        <v/>
      </c>
    </row>
    <row r="4298" customFormat="false" ht="15" hidden="false" customHeight="false" outlineLevel="0" collapsed="false">
      <c r="A4298" s="0" t="str">
        <f aca="false">IF('הדבקת לידים'!A4298="","",IF(ISNUMBER('הדבקת לידים'!A4298),IF(הגדרות!$E$2&gt;0,TEXT('הדבקת לידים'!A4298,REPT("0",הגדרות!$E$2)),TEXT('הדבקת לידים'!A4298,"0")),TRIM('הדבקת לידים'!A4298)))</f>
        <v/>
      </c>
      <c r="B4298" s="0" t="str">
        <f aca="false">IF('הדבקת לידים'!B4298="","",IF(ISNUMBER('הדבקת לידים'!B4298),IF(הגדרות!$E$3&gt;0,TEXT('הדבקת לידים'!B4298,REPT("0",הגדרות!$E$3)),TEXT('הדבקת לידים'!B4298,"0")),TRIM('הדבקת לידים'!B4298)))</f>
        <v/>
      </c>
      <c r="C4298" s="0" t="n">
        <f aca="false">IF(OR(A4298&lt;&gt;"",B4298&lt;&gt;""),1,0)</f>
        <v>0</v>
      </c>
      <c r="D4298" s="0" t="str">
        <f aca="false">IF(C4298=1,MOD(ABS(SIN(ROW()*12.9898+'הדבקת לידים'!$F$2*78.233+IFERROR(--RIGHT(A4298,6),LEN(A4298))*0.0137+IFERROR(--RIGHT(B4298,6),LEN(B4298))*0.0071))*43758.5453,1),"")</f>
        <v/>
      </c>
      <c r="E4298" s="0" t="str">
        <f aca="false">IF(C4298=1,INT(MOD(ABS(SIN(D4298*7919.123+ROW()*0.618+'הדבקת לידים'!$F$2*1.3))*43758.5453,1)*1000000)*10000+ROW(),"")</f>
        <v/>
      </c>
      <c r="F4298" s="0" t="str">
        <f aca="false">IF(E4298="","",RANK(E4298,$E$2:$E$5001,1))</f>
        <v/>
      </c>
      <c r="G4298" s="0" t="n">
        <f aca="false">IF(A4298="",0,IF(SUMPRODUCT(--($A$2:$A$5001=A4298))&gt;1,1,0))</f>
        <v>0</v>
      </c>
      <c r="H4298" s="0" t="n">
        <f aca="false">ROW()-1</f>
        <v>4297</v>
      </c>
      <c r="I4298" s="0" t="str">
        <f aca="false">IF(OR(הגדרות!$E$6=0,H4298&gt;הגדרות!$E$5),"",IF(H4298-1&lt;הגדרות!$E$8*(הגדרות!$E$7+1),INT((H4298-1)/(הגדרות!$E$7+1)),הגדרות!$E$8+INT((H4298-1-הגדרות!$E$8*(הגדרות!$E$7+1))/הגדרות!$E$7)))</f>
        <v/>
      </c>
      <c r="J4298" s="0" t="str">
        <f aca="false">IF(I4298="","",IF(H4298-1&lt;הגדרות!$E$8*(הגדרות!$E$7+1),MOD(H4298-1,הגדרות!$E$7+1),MOD(H4298-1-הגדרות!$E$8*(הגדרות!$E$7+1),הגדרות!$E$7)))</f>
        <v/>
      </c>
      <c r="K4298" s="0" t="str">
        <f aca="false">IF(I4298="","",J4298*הגדרות!$E$6+I4298+1)</f>
        <v/>
      </c>
      <c r="L4298" s="0" t="str">
        <f aca="false">IF(K4298="","",MATCH(K4298,$F$2:$F$5001,0))</f>
        <v/>
      </c>
      <c r="M4298" s="0" t="str">
        <f aca="false">IF(I4298="","",INDEX(הגדרות!$A$2:$A$21,MOD(I4298+הגדרות!$E$9,הגדרות!$E$6)+1))</f>
        <v/>
      </c>
    </row>
    <row r="4299" customFormat="false" ht="15" hidden="false" customHeight="false" outlineLevel="0" collapsed="false">
      <c r="A4299" s="0" t="str">
        <f aca="false">IF('הדבקת לידים'!A4299="","",IF(ISNUMBER('הדבקת לידים'!A4299),IF(הגדרות!$E$2&gt;0,TEXT('הדבקת לידים'!A4299,REPT("0",הגדרות!$E$2)),TEXT('הדבקת לידים'!A4299,"0")),TRIM('הדבקת לידים'!A4299)))</f>
        <v/>
      </c>
      <c r="B4299" s="0" t="str">
        <f aca="false">IF('הדבקת לידים'!B4299="","",IF(ISNUMBER('הדבקת לידים'!B4299),IF(הגדרות!$E$3&gt;0,TEXT('הדבקת לידים'!B4299,REPT("0",הגדרות!$E$3)),TEXT('הדבקת לידים'!B4299,"0")),TRIM('הדבקת לידים'!B4299)))</f>
        <v/>
      </c>
      <c r="C4299" s="0" t="n">
        <f aca="false">IF(OR(A4299&lt;&gt;"",B4299&lt;&gt;""),1,0)</f>
        <v>0</v>
      </c>
      <c r="D4299" s="0" t="str">
        <f aca="false">IF(C4299=1,MOD(ABS(SIN(ROW()*12.9898+'הדבקת לידים'!$F$2*78.233+IFERROR(--RIGHT(A4299,6),LEN(A4299))*0.0137+IFERROR(--RIGHT(B4299,6),LEN(B4299))*0.0071))*43758.5453,1),"")</f>
        <v/>
      </c>
      <c r="E4299" s="0" t="str">
        <f aca="false">IF(C4299=1,INT(MOD(ABS(SIN(D4299*7919.123+ROW()*0.618+'הדבקת לידים'!$F$2*1.3))*43758.5453,1)*1000000)*10000+ROW(),"")</f>
        <v/>
      </c>
      <c r="F4299" s="0" t="str">
        <f aca="false">IF(E4299="","",RANK(E4299,$E$2:$E$5001,1))</f>
        <v/>
      </c>
      <c r="G4299" s="0" t="n">
        <f aca="false">IF(A4299="",0,IF(SUMPRODUCT(--($A$2:$A$5001=A4299))&gt;1,1,0))</f>
        <v>0</v>
      </c>
      <c r="H4299" s="0" t="n">
        <f aca="false">ROW()-1</f>
        <v>4298</v>
      </c>
      <c r="I4299" s="0" t="str">
        <f aca="false">IF(OR(הגדרות!$E$6=0,H4299&gt;הגדרות!$E$5),"",IF(H4299-1&lt;הגדרות!$E$8*(הגדרות!$E$7+1),INT((H4299-1)/(הגדרות!$E$7+1)),הגדרות!$E$8+INT((H4299-1-הגדרות!$E$8*(הגדרות!$E$7+1))/הגדרות!$E$7)))</f>
        <v/>
      </c>
      <c r="J4299" s="0" t="str">
        <f aca="false">IF(I4299="","",IF(H4299-1&lt;הגדרות!$E$8*(הגדרות!$E$7+1),MOD(H4299-1,הגדרות!$E$7+1),MOD(H4299-1-הגדרות!$E$8*(הגדרות!$E$7+1),הגדרות!$E$7)))</f>
        <v/>
      </c>
      <c r="K4299" s="0" t="str">
        <f aca="false">IF(I4299="","",J4299*הגדרות!$E$6+I4299+1)</f>
        <v/>
      </c>
      <c r="L4299" s="0" t="str">
        <f aca="false">IF(K4299="","",MATCH(K4299,$F$2:$F$5001,0))</f>
        <v/>
      </c>
      <c r="M4299" s="0" t="str">
        <f aca="false">IF(I4299="","",INDEX(הגדרות!$A$2:$A$21,MOD(I4299+הגדרות!$E$9,הגדרות!$E$6)+1))</f>
        <v/>
      </c>
    </row>
    <row r="4300" customFormat="false" ht="15" hidden="false" customHeight="false" outlineLevel="0" collapsed="false">
      <c r="A4300" s="0" t="str">
        <f aca="false">IF('הדבקת לידים'!A4300="","",IF(ISNUMBER('הדבקת לידים'!A4300),IF(הגדרות!$E$2&gt;0,TEXT('הדבקת לידים'!A4300,REPT("0",הגדרות!$E$2)),TEXT('הדבקת לידים'!A4300,"0")),TRIM('הדבקת לידים'!A4300)))</f>
        <v/>
      </c>
      <c r="B4300" s="0" t="str">
        <f aca="false">IF('הדבקת לידים'!B4300="","",IF(ISNUMBER('הדבקת לידים'!B4300),IF(הגדרות!$E$3&gt;0,TEXT('הדבקת לידים'!B4300,REPT("0",הגדרות!$E$3)),TEXT('הדבקת לידים'!B4300,"0")),TRIM('הדבקת לידים'!B4300)))</f>
        <v/>
      </c>
      <c r="C4300" s="0" t="n">
        <f aca="false">IF(OR(A4300&lt;&gt;"",B4300&lt;&gt;""),1,0)</f>
        <v>0</v>
      </c>
      <c r="D4300" s="0" t="str">
        <f aca="false">IF(C4300=1,MOD(ABS(SIN(ROW()*12.9898+'הדבקת לידים'!$F$2*78.233+IFERROR(--RIGHT(A4300,6),LEN(A4300))*0.0137+IFERROR(--RIGHT(B4300,6),LEN(B4300))*0.0071))*43758.5453,1),"")</f>
        <v/>
      </c>
      <c r="E4300" s="0" t="str">
        <f aca="false">IF(C4300=1,INT(MOD(ABS(SIN(D4300*7919.123+ROW()*0.618+'הדבקת לידים'!$F$2*1.3))*43758.5453,1)*1000000)*10000+ROW(),"")</f>
        <v/>
      </c>
      <c r="F4300" s="0" t="str">
        <f aca="false">IF(E4300="","",RANK(E4300,$E$2:$E$5001,1))</f>
        <v/>
      </c>
      <c r="G4300" s="0" t="n">
        <f aca="false">IF(A4300="",0,IF(SUMPRODUCT(--($A$2:$A$5001=A4300))&gt;1,1,0))</f>
        <v>0</v>
      </c>
      <c r="H4300" s="0" t="n">
        <f aca="false">ROW()-1</f>
        <v>4299</v>
      </c>
      <c r="I4300" s="0" t="str">
        <f aca="false">IF(OR(הגדרות!$E$6=0,H4300&gt;הגדרות!$E$5),"",IF(H4300-1&lt;הגדרות!$E$8*(הגדרות!$E$7+1),INT((H4300-1)/(הגדרות!$E$7+1)),הגדרות!$E$8+INT((H4300-1-הגדרות!$E$8*(הגדרות!$E$7+1))/הגדרות!$E$7)))</f>
        <v/>
      </c>
      <c r="J4300" s="0" t="str">
        <f aca="false">IF(I4300="","",IF(H4300-1&lt;הגדרות!$E$8*(הגדרות!$E$7+1),MOD(H4300-1,הגדרות!$E$7+1),MOD(H4300-1-הגדרות!$E$8*(הגדרות!$E$7+1),הגדרות!$E$7)))</f>
        <v/>
      </c>
      <c r="K4300" s="0" t="str">
        <f aca="false">IF(I4300="","",J4300*הגדרות!$E$6+I4300+1)</f>
        <v/>
      </c>
      <c r="L4300" s="0" t="str">
        <f aca="false">IF(K4300="","",MATCH(K4300,$F$2:$F$5001,0))</f>
        <v/>
      </c>
      <c r="M4300" s="0" t="str">
        <f aca="false">IF(I4300="","",INDEX(הגדרות!$A$2:$A$21,MOD(I4300+הגדרות!$E$9,הגדרות!$E$6)+1))</f>
        <v/>
      </c>
    </row>
    <row r="4301" customFormat="false" ht="15" hidden="false" customHeight="false" outlineLevel="0" collapsed="false">
      <c r="A4301" s="0" t="str">
        <f aca="false">IF('הדבקת לידים'!A4301="","",IF(ISNUMBER('הדבקת לידים'!A4301),IF(הגדרות!$E$2&gt;0,TEXT('הדבקת לידים'!A4301,REPT("0",הגדרות!$E$2)),TEXT('הדבקת לידים'!A4301,"0")),TRIM('הדבקת לידים'!A4301)))</f>
        <v/>
      </c>
      <c r="B4301" s="0" t="str">
        <f aca="false">IF('הדבקת לידים'!B4301="","",IF(ISNUMBER('הדבקת לידים'!B4301),IF(הגדרות!$E$3&gt;0,TEXT('הדבקת לידים'!B4301,REPT("0",הגדרות!$E$3)),TEXT('הדבקת לידים'!B4301,"0")),TRIM('הדבקת לידים'!B4301)))</f>
        <v/>
      </c>
      <c r="C4301" s="0" t="n">
        <f aca="false">IF(OR(A4301&lt;&gt;"",B4301&lt;&gt;""),1,0)</f>
        <v>0</v>
      </c>
      <c r="D4301" s="0" t="str">
        <f aca="false">IF(C4301=1,MOD(ABS(SIN(ROW()*12.9898+'הדבקת לידים'!$F$2*78.233+IFERROR(--RIGHT(A4301,6),LEN(A4301))*0.0137+IFERROR(--RIGHT(B4301,6),LEN(B4301))*0.0071))*43758.5453,1),"")</f>
        <v/>
      </c>
      <c r="E4301" s="0" t="str">
        <f aca="false">IF(C4301=1,INT(MOD(ABS(SIN(D4301*7919.123+ROW()*0.618+'הדבקת לידים'!$F$2*1.3))*43758.5453,1)*1000000)*10000+ROW(),"")</f>
        <v/>
      </c>
      <c r="F4301" s="0" t="str">
        <f aca="false">IF(E4301="","",RANK(E4301,$E$2:$E$5001,1))</f>
        <v/>
      </c>
      <c r="G4301" s="0" t="n">
        <f aca="false">IF(A4301="",0,IF(SUMPRODUCT(--($A$2:$A$5001=A4301))&gt;1,1,0))</f>
        <v>0</v>
      </c>
      <c r="H4301" s="0" t="n">
        <f aca="false">ROW()-1</f>
        <v>4300</v>
      </c>
      <c r="I4301" s="0" t="str">
        <f aca="false">IF(OR(הגדרות!$E$6=0,H4301&gt;הגדרות!$E$5),"",IF(H4301-1&lt;הגדרות!$E$8*(הגדרות!$E$7+1),INT((H4301-1)/(הגדרות!$E$7+1)),הגדרות!$E$8+INT((H4301-1-הגדרות!$E$8*(הגדרות!$E$7+1))/הגדרות!$E$7)))</f>
        <v/>
      </c>
      <c r="J4301" s="0" t="str">
        <f aca="false">IF(I4301="","",IF(H4301-1&lt;הגדרות!$E$8*(הגדרות!$E$7+1),MOD(H4301-1,הגדרות!$E$7+1),MOD(H4301-1-הגדרות!$E$8*(הגדרות!$E$7+1),הגדרות!$E$7)))</f>
        <v/>
      </c>
      <c r="K4301" s="0" t="str">
        <f aca="false">IF(I4301="","",J4301*הגדרות!$E$6+I4301+1)</f>
        <v/>
      </c>
      <c r="L4301" s="0" t="str">
        <f aca="false">IF(K4301="","",MATCH(K4301,$F$2:$F$5001,0))</f>
        <v/>
      </c>
      <c r="M4301" s="0" t="str">
        <f aca="false">IF(I4301="","",INDEX(הגדרות!$A$2:$A$21,MOD(I4301+הגדרות!$E$9,הגדרות!$E$6)+1))</f>
        <v/>
      </c>
    </row>
    <row r="4302" customFormat="false" ht="15" hidden="false" customHeight="false" outlineLevel="0" collapsed="false">
      <c r="A4302" s="0" t="str">
        <f aca="false">IF('הדבקת לידים'!A4302="","",IF(ISNUMBER('הדבקת לידים'!A4302),IF(הגדרות!$E$2&gt;0,TEXT('הדבקת לידים'!A4302,REPT("0",הגדרות!$E$2)),TEXT('הדבקת לידים'!A4302,"0")),TRIM('הדבקת לידים'!A4302)))</f>
        <v/>
      </c>
      <c r="B4302" s="0" t="str">
        <f aca="false">IF('הדבקת לידים'!B4302="","",IF(ISNUMBER('הדבקת לידים'!B4302),IF(הגדרות!$E$3&gt;0,TEXT('הדבקת לידים'!B4302,REPT("0",הגדרות!$E$3)),TEXT('הדבקת לידים'!B4302,"0")),TRIM('הדבקת לידים'!B4302)))</f>
        <v/>
      </c>
      <c r="C4302" s="0" t="n">
        <f aca="false">IF(OR(A4302&lt;&gt;"",B4302&lt;&gt;""),1,0)</f>
        <v>0</v>
      </c>
      <c r="D4302" s="0" t="str">
        <f aca="false">IF(C4302=1,MOD(ABS(SIN(ROW()*12.9898+'הדבקת לידים'!$F$2*78.233+IFERROR(--RIGHT(A4302,6),LEN(A4302))*0.0137+IFERROR(--RIGHT(B4302,6),LEN(B4302))*0.0071))*43758.5453,1),"")</f>
        <v/>
      </c>
      <c r="E4302" s="0" t="str">
        <f aca="false">IF(C4302=1,INT(MOD(ABS(SIN(D4302*7919.123+ROW()*0.618+'הדבקת לידים'!$F$2*1.3))*43758.5453,1)*1000000)*10000+ROW(),"")</f>
        <v/>
      </c>
      <c r="F4302" s="0" t="str">
        <f aca="false">IF(E4302="","",RANK(E4302,$E$2:$E$5001,1))</f>
        <v/>
      </c>
      <c r="G4302" s="0" t="n">
        <f aca="false">IF(A4302="",0,IF(SUMPRODUCT(--($A$2:$A$5001=A4302))&gt;1,1,0))</f>
        <v>0</v>
      </c>
      <c r="H4302" s="0" t="n">
        <f aca="false">ROW()-1</f>
        <v>4301</v>
      </c>
      <c r="I4302" s="0" t="str">
        <f aca="false">IF(OR(הגדרות!$E$6=0,H4302&gt;הגדרות!$E$5),"",IF(H4302-1&lt;הגדרות!$E$8*(הגדרות!$E$7+1),INT((H4302-1)/(הגדרות!$E$7+1)),הגדרות!$E$8+INT((H4302-1-הגדרות!$E$8*(הגדרות!$E$7+1))/הגדרות!$E$7)))</f>
        <v/>
      </c>
      <c r="J4302" s="0" t="str">
        <f aca="false">IF(I4302="","",IF(H4302-1&lt;הגדרות!$E$8*(הגדרות!$E$7+1),MOD(H4302-1,הגדרות!$E$7+1),MOD(H4302-1-הגדרות!$E$8*(הגדרות!$E$7+1),הגדרות!$E$7)))</f>
        <v/>
      </c>
      <c r="K4302" s="0" t="str">
        <f aca="false">IF(I4302="","",J4302*הגדרות!$E$6+I4302+1)</f>
        <v/>
      </c>
      <c r="L4302" s="0" t="str">
        <f aca="false">IF(K4302="","",MATCH(K4302,$F$2:$F$5001,0))</f>
        <v/>
      </c>
      <c r="M4302" s="0" t="str">
        <f aca="false">IF(I4302="","",INDEX(הגדרות!$A$2:$A$21,MOD(I4302+הגדרות!$E$9,הגדרות!$E$6)+1))</f>
        <v/>
      </c>
    </row>
    <row r="4303" customFormat="false" ht="15" hidden="false" customHeight="false" outlineLevel="0" collapsed="false">
      <c r="A4303" s="0" t="str">
        <f aca="false">IF('הדבקת לידים'!A4303="","",IF(ISNUMBER('הדבקת לידים'!A4303),IF(הגדרות!$E$2&gt;0,TEXT('הדבקת לידים'!A4303,REPT("0",הגדרות!$E$2)),TEXT('הדבקת לידים'!A4303,"0")),TRIM('הדבקת לידים'!A4303)))</f>
        <v/>
      </c>
      <c r="B4303" s="0" t="str">
        <f aca="false">IF('הדבקת לידים'!B4303="","",IF(ISNUMBER('הדבקת לידים'!B4303),IF(הגדרות!$E$3&gt;0,TEXT('הדבקת לידים'!B4303,REPT("0",הגדרות!$E$3)),TEXT('הדבקת לידים'!B4303,"0")),TRIM('הדבקת לידים'!B4303)))</f>
        <v/>
      </c>
      <c r="C4303" s="0" t="n">
        <f aca="false">IF(OR(A4303&lt;&gt;"",B4303&lt;&gt;""),1,0)</f>
        <v>0</v>
      </c>
      <c r="D4303" s="0" t="str">
        <f aca="false">IF(C4303=1,MOD(ABS(SIN(ROW()*12.9898+'הדבקת לידים'!$F$2*78.233+IFERROR(--RIGHT(A4303,6),LEN(A4303))*0.0137+IFERROR(--RIGHT(B4303,6),LEN(B4303))*0.0071))*43758.5453,1),"")</f>
        <v/>
      </c>
      <c r="E4303" s="0" t="str">
        <f aca="false">IF(C4303=1,INT(MOD(ABS(SIN(D4303*7919.123+ROW()*0.618+'הדבקת לידים'!$F$2*1.3))*43758.5453,1)*1000000)*10000+ROW(),"")</f>
        <v/>
      </c>
      <c r="F4303" s="0" t="str">
        <f aca="false">IF(E4303="","",RANK(E4303,$E$2:$E$5001,1))</f>
        <v/>
      </c>
      <c r="G4303" s="0" t="n">
        <f aca="false">IF(A4303="",0,IF(SUMPRODUCT(--($A$2:$A$5001=A4303))&gt;1,1,0))</f>
        <v>0</v>
      </c>
      <c r="H4303" s="0" t="n">
        <f aca="false">ROW()-1</f>
        <v>4302</v>
      </c>
      <c r="I4303" s="0" t="str">
        <f aca="false">IF(OR(הגדרות!$E$6=0,H4303&gt;הגדרות!$E$5),"",IF(H4303-1&lt;הגדרות!$E$8*(הגדרות!$E$7+1),INT((H4303-1)/(הגדרות!$E$7+1)),הגדרות!$E$8+INT((H4303-1-הגדרות!$E$8*(הגדרות!$E$7+1))/הגדרות!$E$7)))</f>
        <v/>
      </c>
      <c r="J4303" s="0" t="str">
        <f aca="false">IF(I4303="","",IF(H4303-1&lt;הגדרות!$E$8*(הגדרות!$E$7+1),MOD(H4303-1,הגדרות!$E$7+1),MOD(H4303-1-הגדרות!$E$8*(הגדרות!$E$7+1),הגדרות!$E$7)))</f>
        <v/>
      </c>
      <c r="K4303" s="0" t="str">
        <f aca="false">IF(I4303="","",J4303*הגדרות!$E$6+I4303+1)</f>
        <v/>
      </c>
      <c r="L4303" s="0" t="str">
        <f aca="false">IF(K4303="","",MATCH(K4303,$F$2:$F$5001,0))</f>
        <v/>
      </c>
      <c r="M4303" s="0" t="str">
        <f aca="false">IF(I4303="","",INDEX(הגדרות!$A$2:$A$21,MOD(I4303+הגדרות!$E$9,הגדרות!$E$6)+1))</f>
        <v/>
      </c>
    </row>
    <row r="4304" customFormat="false" ht="15" hidden="false" customHeight="false" outlineLevel="0" collapsed="false">
      <c r="A4304" s="0" t="str">
        <f aca="false">IF('הדבקת לידים'!A4304="","",IF(ISNUMBER('הדבקת לידים'!A4304),IF(הגדרות!$E$2&gt;0,TEXT('הדבקת לידים'!A4304,REPT("0",הגדרות!$E$2)),TEXT('הדבקת לידים'!A4304,"0")),TRIM('הדבקת לידים'!A4304)))</f>
        <v/>
      </c>
      <c r="B4304" s="0" t="str">
        <f aca="false">IF('הדבקת לידים'!B4304="","",IF(ISNUMBER('הדבקת לידים'!B4304),IF(הגדרות!$E$3&gt;0,TEXT('הדבקת לידים'!B4304,REPT("0",הגדרות!$E$3)),TEXT('הדבקת לידים'!B4304,"0")),TRIM('הדבקת לידים'!B4304)))</f>
        <v/>
      </c>
      <c r="C4304" s="0" t="n">
        <f aca="false">IF(OR(A4304&lt;&gt;"",B4304&lt;&gt;""),1,0)</f>
        <v>0</v>
      </c>
      <c r="D4304" s="0" t="str">
        <f aca="false">IF(C4304=1,MOD(ABS(SIN(ROW()*12.9898+'הדבקת לידים'!$F$2*78.233+IFERROR(--RIGHT(A4304,6),LEN(A4304))*0.0137+IFERROR(--RIGHT(B4304,6),LEN(B4304))*0.0071))*43758.5453,1),"")</f>
        <v/>
      </c>
      <c r="E4304" s="0" t="str">
        <f aca="false">IF(C4304=1,INT(MOD(ABS(SIN(D4304*7919.123+ROW()*0.618+'הדבקת לידים'!$F$2*1.3))*43758.5453,1)*1000000)*10000+ROW(),"")</f>
        <v/>
      </c>
      <c r="F4304" s="0" t="str">
        <f aca="false">IF(E4304="","",RANK(E4304,$E$2:$E$5001,1))</f>
        <v/>
      </c>
      <c r="G4304" s="0" t="n">
        <f aca="false">IF(A4304="",0,IF(SUMPRODUCT(--($A$2:$A$5001=A4304))&gt;1,1,0))</f>
        <v>0</v>
      </c>
      <c r="H4304" s="0" t="n">
        <f aca="false">ROW()-1</f>
        <v>4303</v>
      </c>
      <c r="I4304" s="0" t="str">
        <f aca="false">IF(OR(הגדרות!$E$6=0,H4304&gt;הגדרות!$E$5),"",IF(H4304-1&lt;הגדרות!$E$8*(הגדרות!$E$7+1),INT((H4304-1)/(הגדרות!$E$7+1)),הגדרות!$E$8+INT((H4304-1-הגדרות!$E$8*(הגדרות!$E$7+1))/הגדרות!$E$7)))</f>
        <v/>
      </c>
      <c r="J4304" s="0" t="str">
        <f aca="false">IF(I4304="","",IF(H4304-1&lt;הגדרות!$E$8*(הגדרות!$E$7+1),MOD(H4304-1,הגדרות!$E$7+1),MOD(H4304-1-הגדרות!$E$8*(הגדרות!$E$7+1),הגדרות!$E$7)))</f>
        <v/>
      </c>
      <c r="K4304" s="0" t="str">
        <f aca="false">IF(I4304="","",J4304*הגדרות!$E$6+I4304+1)</f>
        <v/>
      </c>
      <c r="L4304" s="0" t="str">
        <f aca="false">IF(K4304="","",MATCH(K4304,$F$2:$F$5001,0))</f>
        <v/>
      </c>
      <c r="M4304" s="0" t="str">
        <f aca="false">IF(I4304="","",INDEX(הגדרות!$A$2:$A$21,MOD(I4304+הגדרות!$E$9,הגדרות!$E$6)+1))</f>
        <v/>
      </c>
    </row>
    <row r="4305" customFormat="false" ht="15" hidden="false" customHeight="false" outlineLevel="0" collapsed="false">
      <c r="A4305" s="0" t="str">
        <f aca="false">IF('הדבקת לידים'!A4305="","",IF(ISNUMBER('הדבקת לידים'!A4305),IF(הגדרות!$E$2&gt;0,TEXT('הדבקת לידים'!A4305,REPT("0",הגדרות!$E$2)),TEXT('הדבקת לידים'!A4305,"0")),TRIM('הדבקת לידים'!A4305)))</f>
        <v/>
      </c>
      <c r="B4305" s="0" t="str">
        <f aca="false">IF('הדבקת לידים'!B4305="","",IF(ISNUMBER('הדבקת לידים'!B4305),IF(הגדרות!$E$3&gt;0,TEXT('הדבקת לידים'!B4305,REPT("0",הגדרות!$E$3)),TEXT('הדבקת לידים'!B4305,"0")),TRIM('הדבקת לידים'!B4305)))</f>
        <v/>
      </c>
      <c r="C4305" s="0" t="n">
        <f aca="false">IF(OR(A4305&lt;&gt;"",B4305&lt;&gt;""),1,0)</f>
        <v>0</v>
      </c>
      <c r="D4305" s="0" t="str">
        <f aca="false">IF(C4305=1,MOD(ABS(SIN(ROW()*12.9898+'הדבקת לידים'!$F$2*78.233+IFERROR(--RIGHT(A4305,6),LEN(A4305))*0.0137+IFERROR(--RIGHT(B4305,6),LEN(B4305))*0.0071))*43758.5453,1),"")</f>
        <v/>
      </c>
      <c r="E4305" s="0" t="str">
        <f aca="false">IF(C4305=1,INT(MOD(ABS(SIN(D4305*7919.123+ROW()*0.618+'הדבקת לידים'!$F$2*1.3))*43758.5453,1)*1000000)*10000+ROW(),"")</f>
        <v/>
      </c>
      <c r="F4305" s="0" t="str">
        <f aca="false">IF(E4305="","",RANK(E4305,$E$2:$E$5001,1))</f>
        <v/>
      </c>
      <c r="G4305" s="0" t="n">
        <f aca="false">IF(A4305="",0,IF(SUMPRODUCT(--($A$2:$A$5001=A4305))&gt;1,1,0))</f>
        <v>0</v>
      </c>
      <c r="H4305" s="0" t="n">
        <f aca="false">ROW()-1</f>
        <v>4304</v>
      </c>
      <c r="I4305" s="0" t="str">
        <f aca="false">IF(OR(הגדרות!$E$6=0,H4305&gt;הגדרות!$E$5),"",IF(H4305-1&lt;הגדרות!$E$8*(הגדרות!$E$7+1),INT((H4305-1)/(הגדרות!$E$7+1)),הגדרות!$E$8+INT((H4305-1-הגדרות!$E$8*(הגדרות!$E$7+1))/הגדרות!$E$7)))</f>
        <v/>
      </c>
      <c r="J4305" s="0" t="str">
        <f aca="false">IF(I4305="","",IF(H4305-1&lt;הגדרות!$E$8*(הגדרות!$E$7+1),MOD(H4305-1,הגדרות!$E$7+1),MOD(H4305-1-הגדרות!$E$8*(הגדרות!$E$7+1),הגדרות!$E$7)))</f>
        <v/>
      </c>
      <c r="K4305" s="0" t="str">
        <f aca="false">IF(I4305="","",J4305*הגדרות!$E$6+I4305+1)</f>
        <v/>
      </c>
      <c r="L4305" s="0" t="str">
        <f aca="false">IF(K4305="","",MATCH(K4305,$F$2:$F$5001,0))</f>
        <v/>
      </c>
      <c r="M4305" s="0" t="str">
        <f aca="false">IF(I4305="","",INDEX(הגדרות!$A$2:$A$21,MOD(I4305+הגדרות!$E$9,הגדרות!$E$6)+1))</f>
        <v/>
      </c>
    </row>
    <row r="4306" customFormat="false" ht="15" hidden="false" customHeight="false" outlineLevel="0" collapsed="false">
      <c r="A4306" s="0" t="str">
        <f aca="false">IF('הדבקת לידים'!A4306="","",IF(ISNUMBER('הדבקת לידים'!A4306),IF(הגדרות!$E$2&gt;0,TEXT('הדבקת לידים'!A4306,REPT("0",הגדרות!$E$2)),TEXT('הדבקת לידים'!A4306,"0")),TRIM('הדבקת לידים'!A4306)))</f>
        <v/>
      </c>
      <c r="B4306" s="0" t="str">
        <f aca="false">IF('הדבקת לידים'!B4306="","",IF(ISNUMBER('הדבקת לידים'!B4306),IF(הגדרות!$E$3&gt;0,TEXT('הדבקת לידים'!B4306,REPT("0",הגדרות!$E$3)),TEXT('הדבקת לידים'!B4306,"0")),TRIM('הדבקת לידים'!B4306)))</f>
        <v/>
      </c>
      <c r="C4306" s="0" t="n">
        <f aca="false">IF(OR(A4306&lt;&gt;"",B4306&lt;&gt;""),1,0)</f>
        <v>0</v>
      </c>
      <c r="D4306" s="0" t="str">
        <f aca="false">IF(C4306=1,MOD(ABS(SIN(ROW()*12.9898+'הדבקת לידים'!$F$2*78.233+IFERROR(--RIGHT(A4306,6),LEN(A4306))*0.0137+IFERROR(--RIGHT(B4306,6),LEN(B4306))*0.0071))*43758.5453,1),"")</f>
        <v/>
      </c>
      <c r="E4306" s="0" t="str">
        <f aca="false">IF(C4306=1,INT(MOD(ABS(SIN(D4306*7919.123+ROW()*0.618+'הדבקת לידים'!$F$2*1.3))*43758.5453,1)*1000000)*10000+ROW(),"")</f>
        <v/>
      </c>
      <c r="F4306" s="0" t="str">
        <f aca="false">IF(E4306="","",RANK(E4306,$E$2:$E$5001,1))</f>
        <v/>
      </c>
      <c r="G4306" s="0" t="n">
        <f aca="false">IF(A4306="",0,IF(SUMPRODUCT(--($A$2:$A$5001=A4306))&gt;1,1,0))</f>
        <v>0</v>
      </c>
      <c r="H4306" s="0" t="n">
        <f aca="false">ROW()-1</f>
        <v>4305</v>
      </c>
      <c r="I4306" s="0" t="str">
        <f aca="false">IF(OR(הגדרות!$E$6=0,H4306&gt;הגדרות!$E$5),"",IF(H4306-1&lt;הגדרות!$E$8*(הגדרות!$E$7+1),INT((H4306-1)/(הגדרות!$E$7+1)),הגדרות!$E$8+INT((H4306-1-הגדרות!$E$8*(הגדרות!$E$7+1))/הגדרות!$E$7)))</f>
        <v/>
      </c>
      <c r="J4306" s="0" t="str">
        <f aca="false">IF(I4306="","",IF(H4306-1&lt;הגדרות!$E$8*(הגדרות!$E$7+1),MOD(H4306-1,הגדרות!$E$7+1),MOD(H4306-1-הגדרות!$E$8*(הגדרות!$E$7+1),הגדרות!$E$7)))</f>
        <v/>
      </c>
      <c r="K4306" s="0" t="str">
        <f aca="false">IF(I4306="","",J4306*הגדרות!$E$6+I4306+1)</f>
        <v/>
      </c>
      <c r="L4306" s="0" t="str">
        <f aca="false">IF(K4306="","",MATCH(K4306,$F$2:$F$5001,0))</f>
        <v/>
      </c>
      <c r="M4306" s="0" t="str">
        <f aca="false">IF(I4306="","",INDEX(הגדרות!$A$2:$A$21,MOD(I4306+הגדרות!$E$9,הגדרות!$E$6)+1))</f>
        <v/>
      </c>
    </row>
    <row r="4307" customFormat="false" ht="15" hidden="false" customHeight="false" outlineLevel="0" collapsed="false">
      <c r="A4307" s="0" t="str">
        <f aca="false">IF('הדבקת לידים'!A4307="","",IF(ISNUMBER('הדבקת לידים'!A4307),IF(הגדרות!$E$2&gt;0,TEXT('הדבקת לידים'!A4307,REPT("0",הגדרות!$E$2)),TEXT('הדבקת לידים'!A4307,"0")),TRIM('הדבקת לידים'!A4307)))</f>
        <v/>
      </c>
      <c r="B4307" s="0" t="str">
        <f aca="false">IF('הדבקת לידים'!B4307="","",IF(ISNUMBER('הדבקת לידים'!B4307),IF(הגדרות!$E$3&gt;0,TEXT('הדבקת לידים'!B4307,REPT("0",הגדרות!$E$3)),TEXT('הדבקת לידים'!B4307,"0")),TRIM('הדבקת לידים'!B4307)))</f>
        <v/>
      </c>
      <c r="C4307" s="0" t="n">
        <f aca="false">IF(OR(A4307&lt;&gt;"",B4307&lt;&gt;""),1,0)</f>
        <v>0</v>
      </c>
      <c r="D4307" s="0" t="str">
        <f aca="false">IF(C4307=1,MOD(ABS(SIN(ROW()*12.9898+'הדבקת לידים'!$F$2*78.233+IFERROR(--RIGHT(A4307,6),LEN(A4307))*0.0137+IFERROR(--RIGHT(B4307,6),LEN(B4307))*0.0071))*43758.5453,1),"")</f>
        <v/>
      </c>
      <c r="E4307" s="0" t="str">
        <f aca="false">IF(C4307=1,INT(MOD(ABS(SIN(D4307*7919.123+ROW()*0.618+'הדבקת לידים'!$F$2*1.3))*43758.5453,1)*1000000)*10000+ROW(),"")</f>
        <v/>
      </c>
      <c r="F4307" s="0" t="str">
        <f aca="false">IF(E4307="","",RANK(E4307,$E$2:$E$5001,1))</f>
        <v/>
      </c>
      <c r="G4307" s="0" t="n">
        <f aca="false">IF(A4307="",0,IF(SUMPRODUCT(--($A$2:$A$5001=A4307))&gt;1,1,0))</f>
        <v>0</v>
      </c>
      <c r="H4307" s="0" t="n">
        <f aca="false">ROW()-1</f>
        <v>4306</v>
      </c>
      <c r="I4307" s="0" t="str">
        <f aca="false">IF(OR(הגדרות!$E$6=0,H4307&gt;הגדרות!$E$5),"",IF(H4307-1&lt;הגדרות!$E$8*(הגדרות!$E$7+1),INT((H4307-1)/(הגדרות!$E$7+1)),הגדרות!$E$8+INT((H4307-1-הגדרות!$E$8*(הגדרות!$E$7+1))/הגדרות!$E$7)))</f>
        <v/>
      </c>
      <c r="J4307" s="0" t="str">
        <f aca="false">IF(I4307="","",IF(H4307-1&lt;הגדרות!$E$8*(הגדרות!$E$7+1),MOD(H4307-1,הגדרות!$E$7+1),MOD(H4307-1-הגדרות!$E$8*(הגדרות!$E$7+1),הגדרות!$E$7)))</f>
        <v/>
      </c>
      <c r="K4307" s="0" t="str">
        <f aca="false">IF(I4307="","",J4307*הגדרות!$E$6+I4307+1)</f>
        <v/>
      </c>
      <c r="L4307" s="0" t="str">
        <f aca="false">IF(K4307="","",MATCH(K4307,$F$2:$F$5001,0))</f>
        <v/>
      </c>
      <c r="M4307" s="0" t="str">
        <f aca="false">IF(I4307="","",INDEX(הגדרות!$A$2:$A$21,MOD(I4307+הגדרות!$E$9,הגדרות!$E$6)+1))</f>
        <v/>
      </c>
    </row>
    <row r="4308" customFormat="false" ht="15" hidden="false" customHeight="false" outlineLevel="0" collapsed="false">
      <c r="A4308" s="0" t="str">
        <f aca="false">IF('הדבקת לידים'!A4308="","",IF(ISNUMBER('הדבקת לידים'!A4308),IF(הגדרות!$E$2&gt;0,TEXT('הדבקת לידים'!A4308,REPT("0",הגדרות!$E$2)),TEXT('הדבקת לידים'!A4308,"0")),TRIM('הדבקת לידים'!A4308)))</f>
        <v/>
      </c>
      <c r="B4308" s="0" t="str">
        <f aca="false">IF('הדבקת לידים'!B4308="","",IF(ISNUMBER('הדבקת לידים'!B4308),IF(הגדרות!$E$3&gt;0,TEXT('הדבקת לידים'!B4308,REPT("0",הגדרות!$E$3)),TEXT('הדבקת לידים'!B4308,"0")),TRIM('הדבקת לידים'!B4308)))</f>
        <v/>
      </c>
      <c r="C4308" s="0" t="n">
        <f aca="false">IF(OR(A4308&lt;&gt;"",B4308&lt;&gt;""),1,0)</f>
        <v>0</v>
      </c>
      <c r="D4308" s="0" t="str">
        <f aca="false">IF(C4308=1,MOD(ABS(SIN(ROW()*12.9898+'הדבקת לידים'!$F$2*78.233+IFERROR(--RIGHT(A4308,6),LEN(A4308))*0.0137+IFERROR(--RIGHT(B4308,6),LEN(B4308))*0.0071))*43758.5453,1),"")</f>
        <v/>
      </c>
      <c r="E4308" s="0" t="str">
        <f aca="false">IF(C4308=1,INT(MOD(ABS(SIN(D4308*7919.123+ROW()*0.618+'הדבקת לידים'!$F$2*1.3))*43758.5453,1)*1000000)*10000+ROW(),"")</f>
        <v/>
      </c>
      <c r="F4308" s="0" t="str">
        <f aca="false">IF(E4308="","",RANK(E4308,$E$2:$E$5001,1))</f>
        <v/>
      </c>
      <c r="G4308" s="0" t="n">
        <f aca="false">IF(A4308="",0,IF(SUMPRODUCT(--($A$2:$A$5001=A4308))&gt;1,1,0))</f>
        <v>0</v>
      </c>
      <c r="H4308" s="0" t="n">
        <f aca="false">ROW()-1</f>
        <v>4307</v>
      </c>
      <c r="I4308" s="0" t="str">
        <f aca="false">IF(OR(הגדרות!$E$6=0,H4308&gt;הגדרות!$E$5),"",IF(H4308-1&lt;הגדרות!$E$8*(הגדרות!$E$7+1),INT((H4308-1)/(הגדרות!$E$7+1)),הגדרות!$E$8+INT((H4308-1-הגדרות!$E$8*(הגדרות!$E$7+1))/הגדרות!$E$7)))</f>
        <v/>
      </c>
      <c r="J4308" s="0" t="str">
        <f aca="false">IF(I4308="","",IF(H4308-1&lt;הגדרות!$E$8*(הגדרות!$E$7+1),MOD(H4308-1,הגדרות!$E$7+1),MOD(H4308-1-הגדרות!$E$8*(הגדרות!$E$7+1),הגדרות!$E$7)))</f>
        <v/>
      </c>
      <c r="K4308" s="0" t="str">
        <f aca="false">IF(I4308="","",J4308*הגדרות!$E$6+I4308+1)</f>
        <v/>
      </c>
      <c r="L4308" s="0" t="str">
        <f aca="false">IF(K4308="","",MATCH(K4308,$F$2:$F$5001,0))</f>
        <v/>
      </c>
      <c r="M4308" s="0" t="str">
        <f aca="false">IF(I4308="","",INDEX(הגדרות!$A$2:$A$21,MOD(I4308+הגדרות!$E$9,הגדרות!$E$6)+1))</f>
        <v/>
      </c>
    </row>
    <row r="4309" customFormat="false" ht="15" hidden="false" customHeight="false" outlineLevel="0" collapsed="false">
      <c r="A4309" s="0" t="str">
        <f aca="false">IF('הדבקת לידים'!A4309="","",IF(ISNUMBER('הדבקת לידים'!A4309),IF(הגדרות!$E$2&gt;0,TEXT('הדבקת לידים'!A4309,REPT("0",הגדרות!$E$2)),TEXT('הדבקת לידים'!A4309,"0")),TRIM('הדבקת לידים'!A4309)))</f>
        <v/>
      </c>
      <c r="B4309" s="0" t="str">
        <f aca="false">IF('הדבקת לידים'!B4309="","",IF(ISNUMBER('הדבקת לידים'!B4309),IF(הגדרות!$E$3&gt;0,TEXT('הדבקת לידים'!B4309,REPT("0",הגדרות!$E$3)),TEXT('הדבקת לידים'!B4309,"0")),TRIM('הדבקת לידים'!B4309)))</f>
        <v/>
      </c>
      <c r="C4309" s="0" t="n">
        <f aca="false">IF(OR(A4309&lt;&gt;"",B4309&lt;&gt;""),1,0)</f>
        <v>0</v>
      </c>
      <c r="D4309" s="0" t="str">
        <f aca="false">IF(C4309=1,MOD(ABS(SIN(ROW()*12.9898+'הדבקת לידים'!$F$2*78.233+IFERROR(--RIGHT(A4309,6),LEN(A4309))*0.0137+IFERROR(--RIGHT(B4309,6),LEN(B4309))*0.0071))*43758.5453,1),"")</f>
        <v/>
      </c>
      <c r="E4309" s="0" t="str">
        <f aca="false">IF(C4309=1,INT(MOD(ABS(SIN(D4309*7919.123+ROW()*0.618+'הדבקת לידים'!$F$2*1.3))*43758.5453,1)*1000000)*10000+ROW(),"")</f>
        <v/>
      </c>
      <c r="F4309" s="0" t="str">
        <f aca="false">IF(E4309="","",RANK(E4309,$E$2:$E$5001,1))</f>
        <v/>
      </c>
      <c r="G4309" s="0" t="n">
        <f aca="false">IF(A4309="",0,IF(SUMPRODUCT(--($A$2:$A$5001=A4309))&gt;1,1,0))</f>
        <v>0</v>
      </c>
      <c r="H4309" s="0" t="n">
        <f aca="false">ROW()-1</f>
        <v>4308</v>
      </c>
      <c r="I4309" s="0" t="str">
        <f aca="false">IF(OR(הגדרות!$E$6=0,H4309&gt;הגדרות!$E$5),"",IF(H4309-1&lt;הגדרות!$E$8*(הגדרות!$E$7+1),INT((H4309-1)/(הגדרות!$E$7+1)),הגדרות!$E$8+INT((H4309-1-הגדרות!$E$8*(הגדרות!$E$7+1))/הגדרות!$E$7)))</f>
        <v/>
      </c>
      <c r="J4309" s="0" t="str">
        <f aca="false">IF(I4309="","",IF(H4309-1&lt;הגדרות!$E$8*(הגדרות!$E$7+1),MOD(H4309-1,הגדרות!$E$7+1),MOD(H4309-1-הגדרות!$E$8*(הגדרות!$E$7+1),הגדרות!$E$7)))</f>
        <v/>
      </c>
      <c r="K4309" s="0" t="str">
        <f aca="false">IF(I4309="","",J4309*הגדרות!$E$6+I4309+1)</f>
        <v/>
      </c>
      <c r="L4309" s="0" t="str">
        <f aca="false">IF(K4309="","",MATCH(K4309,$F$2:$F$5001,0))</f>
        <v/>
      </c>
      <c r="M4309" s="0" t="str">
        <f aca="false">IF(I4309="","",INDEX(הגדרות!$A$2:$A$21,MOD(I4309+הגדרות!$E$9,הגדרות!$E$6)+1))</f>
        <v/>
      </c>
    </row>
    <row r="4310" customFormat="false" ht="15" hidden="false" customHeight="false" outlineLevel="0" collapsed="false">
      <c r="A4310" s="0" t="str">
        <f aca="false">IF('הדבקת לידים'!A4310="","",IF(ISNUMBER('הדבקת לידים'!A4310),IF(הגדרות!$E$2&gt;0,TEXT('הדבקת לידים'!A4310,REPT("0",הגדרות!$E$2)),TEXT('הדבקת לידים'!A4310,"0")),TRIM('הדבקת לידים'!A4310)))</f>
        <v/>
      </c>
      <c r="B4310" s="0" t="str">
        <f aca="false">IF('הדבקת לידים'!B4310="","",IF(ISNUMBER('הדבקת לידים'!B4310),IF(הגדרות!$E$3&gt;0,TEXT('הדבקת לידים'!B4310,REPT("0",הגדרות!$E$3)),TEXT('הדבקת לידים'!B4310,"0")),TRIM('הדבקת לידים'!B4310)))</f>
        <v/>
      </c>
      <c r="C4310" s="0" t="n">
        <f aca="false">IF(OR(A4310&lt;&gt;"",B4310&lt;&gt;""),1,0)</f>
        <v>0</v>
      </c>
      <c r="D4310" s="0" t="str">
        <f aca="false">IF(C4310=1,MOD(ABS(SIN(ROW()*12.9898+'הדבקת לידים'!$F$2*78.233+IFERROR(--RIGHT(A4310,6),LEN(A4310))*0.0137+IFERROR(--RIGHT(B4310,6),LEN(B4310))*0.0071))*43758.5453,1),"")</f>
        <v/>
      </c>
      <c r="E4310" s="0" t="str">
        <f aca="false">IF(C4310=1,INT(MOD(ABS(SIN(D4310*7919.123+ROW()*0.618+'הדבקת לידים'!$F$2*1.3))*43758.5453,1)*1000000)*10000+ROW(),"")</f>
        <v/>
      </c>
      <c r="F4310" s="0" t="str">
        <f aca="false">IF(E4310="","",RANK(E4310,$E$2:$E$5001,1))</f>
        <v/>
      </c>
      <c r="G4310" s="0" t="n">
        <f aca="false">IF(A4310="",0,IF(SUMPRODUCT(--($A$2:$A$5001=A4310))&gt;1,1,0))</f>
        <v>0</v>
      </c>
      <c r="H4310" s="0" t="n">
        <f aca="false">ROW()-1</f>
        <v>4309</v>
      </c>
      <c r="I4310" s="0" t="str">
        <f aca="false">IF(OR(הגדרות!$E$6=0,H4310&gt;הגדרות!$E$5),"",IF(H4310-1&lt;הגדרות!$E$8*(הגדרות!$E$7+1),INT((H4310-1)/(הגדרות!$E$7+1)),הגדרות!$E$8+INT((H4310-1-הגדרות!$E$8*(הגדרות!$E$7+1))/הגדרות!$E$7)))</f>
        <v/>
      </c>
      <c r="J4310" s="0" t="str">
        <f aca="false">IF(I4310="","",IF(H4310-1&lt;הגדרות!$E$8*(הגדרות!$E$7+1),MOD(H4310-1,הגדרות!$E$7+1),MOD(H4310-1-הגדרות!$E$8*(הגדרות!$E$7+1),הגדרות!$E$7)))</f>
        <v/>
      </c>
      <c r="K4310" s="0" t="str">
        <f aca="false">IF(I4310="","",J4310*הגדרות!$E$6+I4310+1)</f>
        <v/>
      </c>
      <c r="L4310" s="0" t="str">
        <f aca="false">IF(K4310="","",MATCH(K4310,$F$2:$F$5001,0))</f>
        <v/>
      </c>
      <c r="M4310" s="0" t="str">
        <f aca="false">IF(I4310="","",INDEX(הגדרות!$A$2:$A$21,MOD(I4310+הגדרות!$E$9,הגדרות!$E$6)+1))</f>
        <v/>
      </c>
    </row>
    <row r="4311" customFormat="false" ht="15" hidden="false" customHeight="false" outlineLevel="0" collapsed="false">
      <c r="A4311" s="0" t="str">
        <f aca="false">IF('הדבקת לידים'!A4311="","",IF(ISNUMBER('הדבקת לידים'!A4311),IF(הגדרות!$E$2&gt;0,TEXT('הדבקת לידים'!A4311,REPT("0",הגדרות!$E$2)),TEXT('הדבקת לידים'!A4311,"0")),TRIM('הדבקת לידים'!A4311)))</f>
        <v/>
      </c>
      <c r="B4311" s="0" t="str">
        <f aca="false">IF('הדבקת לידים'!B4311="","",IF(ISNUMBER('הדבקת לידים'!B4311),IF(הגדרות!$E$3&gt;0,TEXT('הדבקת לידים'!B4311,REPT("0",הגדרות!$E$3)),TEXT('הדבקת לידים'!B4311,"0")),TRIM('הדבקת לידים'!B4311)))</f>
        <v/>
      </c>
      <c r="C4311" s="0" t="n">
        <f aca="false">IF(OR(A4311&lt;&gt;"",B4311&lt;&gt;""),1,0)</f>
        <v>0</v>
      </c>
      <c r="D4311" s="0" t="str">
        <f aca="false">IF(C4311=1,MOD(ABS(SIN(ROW()*12.9898+'הדבקת לידים'!$F$2*78.233+IFERROR(--RIGHT(A4311,6),LEN(A4311))*0.0137+IFERROR(--RIGHT(B4311,6),LEN(B4311))*0.0071))*43758.5453,1),"")</f>
        <v/>
      </c>
      <c r="E4311" s="0" t="str">
        <f aca="false">IF(C4311=1,INT(MOD(ABS(SIN(D4311*7919.123+ROW()*0.618+'הדבקת לידים'!$F$2*1.3))*43758.5453,1)*1000000)*10000+ROW(),"")</f>
        <v/>
      </c>
      <c r="F4311" s="0" t="str">
        <f aca="false">IF(E4311="","",RANK(E4311,$E$2:$E$5001,1))</f>
        <v/>
      </c>
      <c r="G4311" s="0" t="n">
        <f aca="false">IF(A4311="",0,IF(SUMPRODUCT(--($A$2:$A$5001=A4311))&gt;1,1,0))</f>
        <v>0</v>
      </c>
      <c r="H4311" s="0" t="n">
        <f aca="false">ROW()-1</f>
        <v>4310</v>
      </c>
      <c r="I4311" s="0" t="str">
        <f aca="false">IF(OR(הגדרות!$E$6=0,H4311&gt;הגדרות!$E$5),"",IF(H4311-1&lt;הגדרות!$E$8*(הגדרות!$E$7+1),INT((H4311-1)/(הגדרות!$E$7+1)),הגדרות!$E$8+INT((H4311-1-הגדרות!$E$8*(הגדרות!$E$7+1))/הגדרות!$E$7)))</f>
        <v/>
      </c>
      <c r="J4311" s="0" t="str">
        <f aca="false">IF(I4311="","",IF(H4311-1&lt;הגדרות!$E$8*(הגדרות!$E$7+1),MOD(H4311-1,הגדרות!$E$7+1),MOD(H4311-1-הגדרות!$E$8*(הגדרות!$E$7+1),הגדרות!$E$7)))</f>
        <v/>
      </c>
      <c r="K4311" s="0" t="str">
        <f aca="false">IF(I4311="","",J4311*הגדרות!$E$6+I4311+1)</f>
        <v/>
      </c>
      <c r="L4311" s="0" t="str">
        <f aca="false">IF(K4311="","",MATCH(K4311,$F$2:$F$5001,0))</f>
        <v/>
      </c>
      <c r="M4311" s="0" t="str">
        <f aca="false">IF(I4311="","",INDEX(הגדרות!$A$2:$A$21,MOD(I4311+הגדרות!$E$9,הגדרות!$E$6)+1))</f>
        <v/>
      </c>
    </row>
    <row r="4312" customFormat="false" ht="15" hidden="false" customHeight="false" outlineLevel="0" collapsed="false">
      <c r="A4312" s="0" t="str">
        <f aca="false">IF('הדבקת לידים'!A4312="","",IF(ISNUMBER('הדבקת לידים'!A4312),IF(הגדרות!$E$2&gt;0,TEXT('הדבקת לידים'!A4312,REPT("0",הגדרות!$E$2)),TEXT('הדבקת לידים'!A4312,"0")),TRIM('הדבקת לידים'!A4312)))</f>
        <v/>
      </c>
      <c r="B4312" s="0" t="str">
        <f aca="false">IF('הדבקת לידים'!B4312="","",IF(ISNUMBER('הדבקת לידים'!B4312),IF(הגדרות!$E$3&gt;0,TEXT('הדבקת לידים'!B4312,REPT("0",הגדרות!$E$3)),TEXT('הדבקת לידים'!B4312,"0")),TRIM('הדבקת לידים'!B4312)))</f>
        <v/>
      </c>
      <c r="C4312" s="0" t="n">
        <f aca="false">IF(OR(A4312&lt;&gt;"",B4312&lt;&gt;""),1,0)</f>
        <v>0</v>
      </c>
      <c r="D4312" s="0" t="str">
        <f aca="false">IF(C4312=1,MOD(ABS(SIN(ROW()*12.9898+'הדבקת לידים'!$F$2*78.233+IFERROR(--RIGHT(A4312,6),LEN(A4312))*0.0137+IFERROR(--RIGHT(B4312,6),LEN(B4312))*0.0071))*43758.5453,1),"")</f>
        <v/>
      </c>
      <c r="E4312" s="0" t="str">
        <f aca="false">IF(C4312=1,INT(MOD(ABS(SIN(D4312*7919.123+ROW()*0.618+'הדבקת לידים'!$F$2*1.3))*43758.5453,1)*1000000)*10000+ROW(),"")</f>
        <v/>
      </c>
      <c r="F4312" s="0" t="str">
        <f aca="false">IF(E4312="","",RANK(E4312,$E$2:$E$5001,1))</f>
        <v/>
      </c>
      <c r="G4312" s="0" t="n">
        <f aca="false">IF(A4312="",0,IF(SUMPRODUCT(--($A$2:$A$5001=A4312))&gt;1,1,0))</f>
        <v>0</v>
      </c>
      <c r="H4312" s="0" t="n">
        <f aca="false">ROW()-1</f>
        <v>4311</v>
      </c>
      <c r="I4312" s="0" t="str">
        <f aca="false">IF(OR(הגדרות!$E$6=0,H4312&gt;הגדרות!$E$5),"",IF(H4312-1&lt;הגדרות!$E$8*(הגדרות!$E$7+1),INT((H4312-1)/(הגדרות!$E$7+1)),הגדרות!$E$8+INT((H4312-1-הגדרות!$E$8*(הגדרות!$E$7+1))/הגדרות!$E$7)))</f>
        <v/>
      </c>
      <c r="J4312" s="0" t="str">
        <f aca="false">IF(I4312="","",IF(H4312-1&lt;הגדרות!$E$8*(הגדרות!$E$7+1),MOD(H4312-1,הגדרות!$E$7+1),MOD(H4312-1-הגדרות!$E$8*(הגדרות!$E$7+1),הגדרות!$E$7)))</f>
        <v/>
      </c>
      <c r="K4312" s="0" t="str">
        <f aca="false">IF(I4312="","",J4312*הגדרות!$E$6+I4312+1)</f>
        <v/>
      </c>
      <c r="L4312" s="0" t="str">
        <f aca="false">IF(K4312="","",MATCH(K4312,$F$2:$F$5001,0))</f>
        <v/>
      </c>
      <c r="M4312" s="0" t="str">
        <f aca="false">IF(I4312="","",INDEX(הגדרות!$A$2:$A$21,MOD(I4312+הגדרות!$E$9,הגדרות!$E$6)+1))</f>
        <v/>
      </c>
    </row>
    <row r="4313" customFormat="false" ht="15" hidden="false" customHeight="false" outlineLevel="0" collapsed="false">
      <c r="A4313" s="0" t="str">
        <f aca="false">IF('הדבקת לידים'!A4313="","",IF(ISNUMBER('הדבקת לידים'!A4313),IF(הגדרות!$E$2&gt;0,TEXT('הדבקת לידים'!A4313,REPT("0",הגדרות!$E$2)),TEXT('הדבקת לידים'!A4313,"0")),TRIM('הדבקת לידים'!A4313)))</f>
        <v/>
      </c>
      <c r="B4313" s="0" t="str">
        <f aca="false">IF('הדבקת לידים'!B4313="","",IF(ISNUMBER('הדבקת לידים'!B4313),IF(הגדרות!$E$3&gt;0,TEXT('הדבקת לידים'!B4313,REPT("0",הגדרות!$E$3)),TEXT('הדבקת לידים'!B4313,"0")),TRIM('הדבקת לידים'!B4313)))</f>
        <v/>
      </c>
      <c r="C4313" s="0" t="n">
        <f aca="false">IF(OR(A4313&lt;&gt;"",B4313&lt;&gt;""),1,0)</f>
        <v>0</v>
      </c>
      <c r="D4313" s="0" t="str">
        <f aca="false">IF(C4313=1,MOD(ABS(SIN(ROW()*12.9898+'הדבקת לידים'!$F$2*78.233+IFERROR(--RIGHT(A4313,6),LEN(A4313))*0.0137+IFERROR(--RIGHT(B4313,6),LEN(B4313))*0.0071))*43758.5453,1),"")</f>
        <v/>
      </c>
      <c r="E4313" s="0" t="str">
        <f aca="false">IF(C4313=1,INT(MOD(ABS(SIN(D4313*7919.123+ROW()*0.618+'הדבקת לידים'!$F$2*1.3))*43758.5453,1)*1000000)*10000+ROW(),"")</f>
        <v/>
      </c>
      <c r="F4313" s="0" t="str">
        <f aca="false">IF(E4313="","",RANK(E4313,$E$2:$E$5001,1))</f>
        <v/>
      </c>
      <c r="G4313" s="0" t="n">
        <f aca="false">IF(A4313="",0,IF(SUMPRODUCT(--($A$2:$A$5001=A4313))&gt;1,1,0))</f>
        <v>0</v>
      </c>
      <c r="H4313" s="0" t="n">
        <f aca="false">ROW()-1</f>
        <v>4312</v>
      </c>
      <c r="I4313" s="0" t="str">
        <f aca="false">IF(OR(הגדרות!$E$6=0,H4313&gt;הגדרות!$E$5),"",IF(H4313-1&lt;הגדרות!$E$8*(הגדרות!$E$7+1),INT((H4313-1)/(הגדרות!$E$7+1)),הגדרות!$E$8+INT((H4313-1-הגדרות!$E$8*(הגדרות!$E$7+1))/הגדרות!$E$7)))</f>
        <v/>
      </c>
      <c r="J4313" s="0" t="str">
        <f aca="false">IF(I4313="","",IF(H4313-1&lt;הגדרות!$E$8*(הגדרות!$E$7+1),MOD(H4313-1,הגדרות!$E$7+1),MOD(H4313-1-הגדרות!$E$8*(הגדרות!$E$7+1),הגדרות!$E$7)))</f>
        <v/>
      </c>
      <c r="K4313" s="0" t="str">
        <f aca="false">IF(I4313="","",J4313*הגדרות!$E$6+I4313+1)</f>
        <v/>
      </c>
      <c r="L4313" s="0" t="str">
        <f aca="false">IF(K4313="","",MATCH(K4313,$F$2:$F$5001,0))</f>
        <v/>
      </c>
      <c r="M4313" s="0" t="str">
        <f aca="false">IF(I4313="","",INDEX(הגדרות!$A$2:$A$21,MOD(I4313+הגדרות!$E$9,הגדרות!$E$6)+1))</f>
        <v/>
      </c>
    </row>
    <row r="4314" customFormat="false" ht="15" hidden="false" customHeight="false" outlineLevel="0" collapsed="false">
      <c r="A4314" s="0" t="str">
        <f aca="false">IF('הדבקת לידים'!A4314="","",IF(ISNUMBER('הדבקת לידים'!A4314),IF(הגדרות!$E$2&gt;0,TEXT('הדבקת לידים'!A4314,REPT("0",הגדרות!$E$2)),TEXT('הדבקת לידים'!A4314,"0")),TRIM('הדבקת לידים'!A4314)))</f>
        <v/>
      </c>
      <c r="B4314" s="0" t="str">
        <f aca="false">IF('הדבקת לידים'!B4314="","",IF(ISNUMBER('הדבקת לידים'!B4314),IF(הגדרות!$E$3&gt;0,TEXT('הדבקת לידים'!B4314,REPT("0",הגדרות!$E$3)),TEXT('הדבקת לידים'!B4314,"0")),TRIM('הדבקת לידים'!B4314)))</f>
        <v/>
      </c>
      <c r="C4314" s="0" t="n">
        <f aca="false">IF(OR(A4314&lt;&gt;"",B4314&lt;&gt;""),1,0)</f>
        <v>0</v>
      </c>
      <c r="D4314" s="0" t="str">
        <f aca="false">IF(C4314=1,MOD(ABS(SIN(ROW()*12.9898+'הדבקת לידים'!$F$2*78.233+IFERROR(--RIGHT(A4314,6),LEN(A4314))*0.0137+IFERROR(--RIGHT(B4314,6),LEN(B4314))*0.0071))*43758.5453,1),"")</f>
        <v/>
      </c>
      <c r="E4314" s="0" t="str">
        <f aca="false">IF(C4314=1,INT(MOD(ABS(SIN(D4314*7919.123+ROW()*0.618+'הדבקת לידים'!$F$2*1.3))*43758.5453,1)*1000000)*10000+ROW(),"")</f>
        <v/>
      </c>
      <c r="F4314" s="0" t="str">
        <f aca="false">IF(E4314="","",RANK(E4314,$E$2:$E$5001,1))</f>
        <v/>
      </c>
      <c r="G4314" s="0" t="n">
        <f aca="false">IF(A4314="",0,IF(SUMPRODUCT(--($A$2:$A$5001=A4314))&gt;1,1,0))</f>
        <v>0</v>
      </c>
      <c r="H4314" s="0" t="n">
        <f aca="false">ROW()-1</f>
        <v>4313</v>
      </c>
      <c r="I4314" s="0" t="str">
        <f aca="false">IF(OR(הגדרות!$E$6=0,H4314&gt;הגדרות!$E$5),"",IF(H4314-1&lt;הגדרות!$E$8*(הגדרות!$E$7+1),INT((H4314-1)/(הגדרות!$E$7+1)),הגדרות!$E$8+INT((H4314-1-הגדרות!$E$8*(הגדרות!$E$7+1))/הגדרות!$E$7)))</f>
        <v/>
      </c>
      <c r="J4314" s="0" t="str">
        <f aca="false">IF(I4314="","",IF(H4314-1&lt;הגדרות!$E$8*(הגדרות!$E$7+1),MOD(H4314-1,הגדרות!$E$7+1),MOD(H4314-1-הגדרות!$E$8*(הגדרות!$E$7+1),הגדרות!$E$7)))</f>
        <v/>
      </c>
      <c r="K4314" s="0" t="str">
        <f aca="false">IF(I4314="","",J4314*הגדרות!$E$6+I4314+1)</f>
        <v/>
      </c>
      <c r="L4314" s="0" t="str">
        <f aca="false">IF(K4314="","",MATCH(K4314,$F$2:$F$5001,0))</f>
        <v/>
      </c>
      <c r="M4314" s="0" t="str">
        <f aca="false">IF(I4314="","",INDEX(הגדרות!$A$2:$A$21,MOD(I4314+הגדרות!$E$9,הגדרות!$E$6)+1))</f>
        <v/>
      </c>
    </row>
    <row r="4315" customFormat="false" ht="15" hidden="false" customHeight="false" outlineLevel="0" collapsed="false">
      <c r="A4315" s="0" t="str">
        <f aca="false">IF('הדבקת לידים'!A4315="","",IF(ISNUMBER('הדבקת לידים'!A4315),IF(הגדרות!$E$2&gt;0,TEXT('הדבקת לידים'!A4315,REPT("0",הגדרות!$E$2)),TEXT('הדבקת לידים'!A4315,"0")),TRIM('הדבקת לידים'!A4315)))</f>
        <v/>
      </c>
      <c r="B4315" s="0" t="str">
        <f aca="false">IF('הדבקת לידים'!B4315="","",IF(ISNUMBER('הדבקת לידים'!B4315),IF(הגדרות!$E$3&gt;0,TEXT('הדבקת לידים'!B4315,REPT("0",הגדרות!$E$3)),TEXT('הדבקת לידים'!B4315,"0")),TRIM('הדבקת לידים'!B4315)))</f>
        <v/>
      </c>
      <c r="C4315" s="0" t="n">
        <f aca="false">IF(OR(A4315&lt;&gt;"",B4315&lt;&gt;""),1,0)</f>
        <v>0</v>
      </c>
      <c r="D4315" s="0" t="str">
        <f aca="false">IF(C4315=1,MOD(ABS(SIN(ROW()*12.9898+'הדבקת לידים'!$F$2*78.233+IFERROR(--RIGHT(A4315,6),LEN(A4315))*0.0137+IFERROR(--RIGHT(B4315,6),LEN(B4315))*0.0071))*43758.5453,1),"")</f>
        <v/>
      </c>
      <c r="E4315" s="0" t="str">
        <f aca="false">IF(C4315=1,INT(MOD(ABS(SIN(D4315*7919.123+ROW()*0.618+'הדבקת לידים'!$F$2*1.3))*43758.5453,1)*1000000)*10000+ROW(),"")</f>
        <v/>
      </c>
      <c r="F4315" s="0" t="str">
        <f aca="false">IF(E4315="","",RANK(E4315,$E$2:$E$5001,1))</f>
        <v/>
      </c>
      <c r="G4315" s="0" t="n">
        <f aca="false">IF(A4315="",0,IF(SUMPRODUCT(--($A$2:$A$5001=A4315))&gt;1,1,0))</f>
        <v>0</v>
      </c>
      <c r="H4315" s="0" t="n">
        <f aca="false">ROW()-1</f>
        <v>4314</v>
      </c>
      <c r="I4315" s="0" t="str">
        <f aca="false">IF(OR(הגדרות!$E$6=0,H4315&gt;הגדרות!$E$5),"",IF(H4315-1&lt;הגדרות!$E$8*(הגדרות!$E$7+1),INT((H4315-1)/(הגדרות!$E$7+1)),הגדרות!$E$8+INT((H4315-1-הגדרות!$E$8*(הגדרות!$E$7+1))/הגדרות!$E$7)))</f>
        <v/>
      </c>
      <c r="J4315" s="0" t="str">
        <f aca="false">IF(I4315="","",IF(H4315-1&lt;הגדרות!$E$8*(הגדרות!$E$7+1),MOD(H4315-1,הגדרות!$E$7+1),MOD(H4315-1-הגדרות!$E$8*(הגדרות!$E$7+1),הגדרות!$E$7)))</f>
        <v/>
      </c>
      <c r="K4315" s="0" t="str">
        <f aca="false">IF(I4315="","",J4315*הגדרות!$E$6+I4315+1)</f>
        <v/>
      </c>
      <c r="L4315" s="0" t="str">
        <f aca="false">IF(K4315="","",MATCH(K4315,$F$2:$F$5001,0))</f>
        <v/>
      </c>
      <c r="M4315" s="0" t="str">
        <f aca="false">IF(I4315="","",INDEX(הגדרות!$A$2:$A$21,MOD(I4315+הגדרות!$E$9,הגדרות!$E$6)+1))</f>
        <v/>
      </c>
    </row>
    <row r="4316" customFormat="false" ht="15" hidden="false" customHeight="false" outlineLevel="0" collapsed="false">
      <c r="A4316" s="0" t="str">
        <f aca="false">IF('הדבקת לידים'!A4316="","",IF(ISNUMBER('הדבקת לידים'!A4316),IF(הגדרות!$E$2&gt;0,TEXT('הדבקת לידים'!A4316,REPT("0",הגדרות!$E$2)),TEXT('הדבקת לידים'!A4316,"0")),TRIM('הדבקת לידים'!A4316)))</f>
        <v/>
      </c>
      <c r="B4316" s="0" t="str">
        <f aca="false">IF('הדבקת לידים'!B4316="","",IF(ISNUMBER('הדבקת לידים'!B4316),IF(הגדרות!$E$3&gt;0,TEXT('הדבקת לידים'!B4316,REPT("0",הגדרות!$E$3)),TEXT('הדבקת לידים'!B4316,"0")),TRIM('הדבקת לידים'!B4316)))</f>
        <v/>
      </c>
      <c r="C4316" s="0" t="n">
        <f aca="false">IF(OR(A4316&lt;&gt;"",B4316&lt;&gt;""),1,0)</f>
        <v>0</v>
      </c>
      <c r="D4316" s="0" t="str">
        <f aca="false">IF(C4316=1,MOD(ABS(SIN(ROW()*12.9898+'הדבקת לידים'!$F$2*78.233+IFERROR(--RIGHT(A4316,6),LEN(A4316))*0.0137+IFERROR(--RIGHT(B4316,6),LEN(B4316))*0.0071))*43758.5453,1),"")</f>
        <v/>
      </c>
      <c r="E4316" s="0" t="str">
        <f aca="false">IF(C4316=1,INT(MOD(ABS(SIN(D4316*7919.123+ROW()*0.618+'הדבקת לידים'!$F$2*1.3))*43758.5453,1)*1000000)*10000+ROW(),"")</f>
        <v/>
      </c>
      <c r="F4316" s="0" t="str">
        <f aca="false">IF(E4316="","",RANK(E4316,$E$2:$E$5001,1))</f>
        <v/>
      </c>
      <c r="G4316" s="0" t="n">
        <f aca="false">IF(A4316="",0,IF(SUMPRODUCT(--($A$2:$A$5001=A4316))&gt;1,1,0))</f>
        <v>0</v>
      </c>
      <c r="H4316" s="0" t="n">
        <f aca="false">ROW()-1</f>
        <v>4315</v>
      </c>
      <c r="I4316" s="0" t="str">
        <f aca="false">IF(OR(הגדרות!$E$6=0,H4316&gt;הגדרות!$E$5),"",IF(H4316-1&lt;הגדרות!$E$8*(הגדרות!$E$7+1),INT((H4316-1)/(הגדרות!$E$7+1)),הגדרות!$E$8+INT((H4316-1-הגדרות!$E$8*(הגדרות!$E$7+1))/הגדרות!$E$7)))</f>
        <v/>
      </c>
      <c r="J4316" s="0" t="str">
        <f aca="false">IF(I4316="","",IF(H4316-1&lt;הגדרות!$E$8*(הגדרות!$E$7+1),MOD(H4316-1,הגדרות!$E$7+1),MOD(H4316-1-הגדרות!$E$8*(הגדרות!$E$7+1),הגדרות!$E$7)))</f>
        <v/>
      </c>
      <c r="K4316" s="0" t="str">
        <f aca="false">IF(I4316="","",J4316*הגדרות!$E$6+I4316+1)</f>
        <v/>
      </c>
      <c r="L4316" s="0" t="str">
        <f aca="false">IF(K4316="","",MATCH(K4316,$F$2:$F$5001,0))</f>
        <v/>
      </c>
      <c r="M4316" s="0" t="str">
        <f aca="false">IF(I4316="","",INDEX(הגדרות!$A$2:$A$21,MOD(I4316+הגדרות!$E$9,הגדרות!$E$6)+1))</f>
        <v/>
      </c>
    </row>
    <row r="4317" customFormat="false" ht="15" hidden="false" customHeight="false" outlineLevel="0" collapsed="false">
      <c r="A4317" s="0" t="str">
        <f aca="false">IF('הדבקת לידים'!A4317="","",IF(ISNUMBER('הדבקת לידים'!A4317),IF(הגדרות!$E$2&gt;0,TEXT('הדבקת לידים'!A4317,REPT("0",הגדרות!$E$2)),TEXT('הדבקת לידים'!A4317,"0")),TRIM('הדבקת לידים'!A4317)))</f>
        <v/>
      </c>
      <c r="B4317" s="0" t="str">
        <f aca="false">IF('הדבקת לידים'!B4317="","",IF(ISNUMBER('הדבקת לידים'!B4317),IF(הגדרות!$E$3&gt;0,TEXT('הדבקת לידים'!B4317,REPT("0",הגדרות!$E$3)),TEXT('הדבקת לידים'!B4317,"0")),TRIM('הדבקת לידים'!B4317)))</f>
        <v/>
      </c>
      <c r="C4317" s="0" t="n">
        <f aca="false">IF(OR(A4317&lt;&gt;"",B4317&lt;&gt;""),1,0)</f>
        <v>0</v>
      </c>
      <c r="D4317" s="0" t="str">
        <f aca="false">IF(C4317=1,MOD(ABS(SIN(ROW()*12.9898+'הדבקת לידים'!$F$2*78.233+IFERROR(--RIGHT(A4317,6),LEN(A4317))*0.0137+IFERROR(--RIGHT(B4317,6),LEN(B4317))*0.0071))*43758.5453,1),"")</f>
        <v/>
      </c>
      <c r="E4317" s="0" t="str">
        <f aca="false">IF(C4317=1,INT(MOD(ABS(SIN(D4317*7919.123+ROW()*0.618+'הדבקת לידים'!$F$2*1.3))*43758.5453,1)*1000000)*10000+ROW(),"")</f>
        <v/>
      </c>
      <c r="F4317" s="0" t="str">
        <f aca="false">IF(E4317="","",RANK(E4317,$E$2:$E$5001,1))</f>
        <v/>
      </c>
      <c r="G4317" s="0" t="n">
        <f aca="false">IF(A4317="",0,IF(SUMPRODUCT(--($A$2:$A$5001=A4317))&gt;1,1,0))</f>
        <v>0</v>
      </c>
      <c r="H4317" s="0" t="n">
        <f aca="false">ROW()-1</f>
        <v>4316</v>
      </c>
      <c r="I4317" s="0" t="str">
        <f aca="false">IF(OR(הגדרות!$E$6=0,H4317&gt;הגדרות!$E$5),"",IF(H4317-1&lt;הגדרות!$E$8*(הגדרות!$E$7+1),INT((H4317-1)/(הגדרות!$E$7+1)),הגדרות!$E$8+INT((H4317-1-הגדרות!$E$8*(הגדרות!$E$7+1))/הגדרות!$E$7)))</f>
        <v/>
      </c>
      <c r="J4317" s="0" t="str">
        <f aca="false">IF(I4317="","",IF(H4317-1&lt;הגדרות!$E$8*(הגדרות!$E$7+1),MOD(H4317-1,הגדרות!$E$7+1),MOD(H4317-1-הגדרות!$E$8*(הגדרות!$E$7+1),הגדרות!$E$7)))</f>
        <v/>
      </c>
      <c r="K4317" s="0" t="str">
        <f aca="false">IF(I4317="","",J4317*הגדרות!$E$6+I4317+1)</f>
        <v/>
      </c>
      <c r="L4317" s="0" t="str">
        <f aca="false">IF(K4317="","",MATCH(K4317,$F$2:$F$5001,0))</f>
        <v/>
      </c>
      <c r="M4317" s="0" t="str">
        <f aca="false">IF(I4317="","",INDEX(הגדרות!$A$2:$A$21,MOD(I4317+הגדרות!$E$9,הגדרות!$E$6)+1))</f>
        <v/>
      </c>
    </row>
    <row r="4318" customFormat="false" ht="15" hidden="false" customHeight="false" outlineLevel="0" collapsed="false">
      <c r="A4318" s="0" t="str">
        <f aca="false">IF('הדבקת לידים'!A4318="","",IF(ISNUMBER('הדבקת לידים'!A4318),IF(הגדרות!$E$2&gt;0,TEXT('הדבקת לידים'!A4318,REPT("0",הגדרות!$E$2)),TEXT('הדבקת לידים'!A4318,"0")),TRIM('הדבקת לידים'!A4318)))</f>
        <v/>
      </c>
      <c r="B4318" s="0" t="str">
        <f aca="false">IF('הדבקת לידים'!B4318="","",IF(ISNUMBER('הדבקת לידים'!B4318),IF(הגדרות!$E$3&gt;0,TEXT('הדבקת לידים'!B4318,REPT("0",הגדרות!$E$3)),TEXT('הדבקת לידים'!B4318,"0")),TRIM('הדבקת לידים'!B4318)))</f>
        <v/>
      </c>
      <c r="C4318" s="0" t="n">
        <f aca="false">IF(OR(A4318&lt;&gt;"",B4318&lt;&gt;""),1,0)</f>
        <v>0</v>
      </c>
      <c r="D4318" s="0" t="str">
        <f aca="false">IF(C4318=1,MOD(ABS(SIN(ROW()*12.9898+'הדבקת לידים'!$F$2*78.233+IFERROR(--RIGHT(A4318,6),LEN(A4318))*0.0137+IFERROR(--RIGHT(B4318,6),LEN(B4318))*0.0071))*43758.5453,1),"")</f>
        <v/>
      </c>
      <c r="E4318" s="0" t="str">
        <f aca="false">IF(C4318=1,INT(MOD(ABS(SIN(D4318*7919.123+ROW()*0.618+'הדבקת לידים'!$F$2*1.3))*43758.5453,1)*1000000)*10000+ROW(),"")</f>
        <v/>
      </c>
      <c r="F4318" s="0" t="str">
        <f aca="false">IF(E4318="","",RANK(E4318,$E$2:$E$5001,1))</f>
        <v/>
      </c>
      <c r="G4318" s="0" t="n">
        <f aca="false">IF(A4318="",0,IF(SUMPRODUCT(--($A$2:$A$5001=A4318))&gt;1,1,0))</f>
        <v>0</v>
      </c>
      <c r="H4318" s="0" t="n">
        <f aca="false">ROW()-1</f>
        <v>4317</v>
      </c>
      <c r="I4318" s="0" t="str">
        <f aca="false">IF(OR(הגדרות!$E$6=0,H4318&gt;הגדרות!$E$5),"",IF(H4318-1&lt;הגדרות!$E$8*(הגדרות!$E$7+1),INT((H4318-1)/(הגדרות!$E$7+1)),הגדרות!$E$8+INT((H4318-1-הגדרות!$E$8*(הגדרות!$E$7+1))/הגדרות!$E$7)))</f>
        <v/>
      </c>
      <c r="J4318" s="0" t="str">
        <f aca="false">IF(I4318="","",IF(H4318-1&lt;הגדרות!$E$8*(הגדרות!$E$7+1),MOD(H4318-1,הגדרות!$E$7+1),MOD(H4318-1-הגדרות!$E$8*(הגדרות!$E$7+1),הגדרות!$E$7)))</f>
        <v/>
      </c>
      <c r="K4318" s="0" t="str">
        <f aca="false">IF(I4318="","",J4318*הגדרות!$E$6+I4318+1)</f>
        <v/>
      </c>
      <c r="L4318" s="0" t="str">
        <f aca="false">IF(K4318="","",MATCH(K4318,$F$2:$F$5001,0))</f>
        <v/>
      </c>
      <c r="M4318" s="0" t="str">
        <f aca="false">IF(I4318="","",INDEX(הגדרות!$A$2:$A$21,MOD(I4318+הגדרות!$E$9,הגדרות!$E$6)+1))</f>
        <v/>
      </c>
    </row>
    <row r="4319" customFormat="false" ht="15" hidden="false" customHeight="false" outlineLevel="0" collapsed="false">
      <c r="A4319" s="0" t="str">
        <f aca="false">IF('הדבקת לידים'!A4319="","",IF(ISNUMBER('הדבקת לידים'!A4319),IF(הגדרות!$E$2&gt;0,TEXT('הדבקת לידים'!A4319,REPT("0",הגדרות!$E$2)),TEXT('הדבקת לידים'!A4319,"0")),TRIM('הדבקת לידים'!A4319)))</f>
        <v/>
      </c>
      <c r="B4319" s="0" t="str">
        <f aca="false">IF('הדבקת לידים'!B4319="","",IF(ISNUMBER('הדבקת לידים'!B4319),IF(הגדרות!$E$3&gt;0,TEXT('הדבקת לידים'!B4319,REPT("0",הגדרות!$E$3)),TEXT('הדבקת לידים'!B4319,"0")),TRIM('הדבקת לידים'!B4319)))</f>
        <v/>
      </c>
      <c r="C4319" s="0" t="n">
        <f aca="false">IF(OR(A4319&lt;&gt;"",B4319&lt;&gt;""),1,0)</f>
        <v>0</v>
      </c>
      <c r="D4319" s="0" t="str">
        <f aca="false">IF(C4319=1,MOD(ABS(SIN(ROW()*12.9898+'הדבקת לידים'!$F$2*78.233+IFERROR(--RIGHT(A4319,6),LEN(A4319))*0.0137+IFERROR(--RIGHT(B4319,6),LEN(B4319))*0.0071))*43758.5453,1),"")</f>
        <v/>
      </c>
      <c r="E4319" s="0" t="str">
        <f aca="false">IF(C4319=1,INT(MOD(ABS(SIN(D4319*7919.123+ROW()*0.618+'הדבקת לידים'!$F$2*1.3))*43758.5453,1)*1000000)*10000+ROW(),"")</f>
        <v/>
      </c>
      <c r="F4319" s="0" t="str">
        <f aca="false">IF(E4319="","",RANK(E4319,$E$2:$E$5001,1))</f>
        <v/>
      </c>
      <c r="G4319" s="0" t="n">
        <f aca="false">IF(A4319="",0,IF(SUMPRODUCT(--($A$2:$A$5001=A4319))&gt;1,1,0))</f>
        <v>0</v>
      </c>
      <c r="H4319" s="0" t="n">
        <f aca="false">ROW()-1</f>
        <v>4318</v>
      </c>
      <c r="I4319" s="0" t="str">
        <f aca="false">IF(OR(הגדרות!$E$6=0,H4319&gt;הגדרות!$E$5),"",IF(H4319-1&lt;הגדרות!$E$8*(הגדרות!$E$7+1),INT((H4319-1)/(הגדרות!$E$7+1)),הגדרות!$E$8+INT((H4319-1-הגדרות!$E$8*(הגדרות!$E$7+1))/הגדרות!$E$7)))</f>
        <v/>
      </c>
      <c r="J4319" s="0" t="str">
        <f aca="false">IF(I4319="","",IF(H4319-1&lt;הגדרות!$E$8*(הגדרות!$E$7+1),MOD(H4319-1,הגדרות!$E$7+1),MOD(H4319-1-הגדרות!$E$8*(הגדרות!$E$7+1),הגדרות!$E$7)))</f>
        <v/>
      </c>
      <c r="K4319" s="0" t="str">
        <f aca="false">IF(I4319="","",J4319*הגדרות!$E$6+I4319+1)</f>
        <v/>
      </c>
      <c r="L4319" s="0" t="str">
        <f aca="false">IF(K4319="","",MATCH(K4319,$F$2:$F$5001,0))</f>
        <v/>
      </c>
      <c r="M4319" s="0" t="str">
        <f aca="false">IF(I4319="","",INDEX(הגדרות!$A$2:$A$21,MOD(I4319+הגדרות!$E$9,הגדרות!$E$6)+1))</f>
        <v/>
      </c>
    </row>
    <row r="4320" customFormat="false" ht="15" hidden="false" customHeight="false" outlineLevel="0" collapsed="false">
      <c r="A4320" s="0" t="str">
        <f aca="false">IF('הדבקת לידים'!A4320="","",IF(ISNUMBER('הדבקת לידים'!A4320),IF(הגדרות!$E$2&gt;0,TEXT('הדבקת לידים'!A4320,REPT("0",הגדרות!$E$2)),TEXT('הדבקת לידים'!A4320,"0")),TRIM('הדבקת לידים'!A4320)))</f>
        <v/>
      </c>
      <c r="B4320" s="0" t="str">
        <f aca="false">IF('הדבקת לידים'!B4320="","",IF(ISNUMBER('הדבקת לידים'!B4320),IF(הגדרות!$E$3&gt;0,TEXT('הדבקת לידים'!B4320,REPT("0",הגדרות!$E$3)),TEXT('הדבקת לידים'!B4320,"0")),TRIM('הדבקת לידים'!B4320)))</f>
        <v/>
      </c>
      <c r="C4320" s="0" t="n">
        <f aca="false">IF(OR(A4320&lt;&gt;"",B4320&lt;&gt;""),1,0)</f>
        <v>0</v>
      </c>
      <c r="D4320" s="0" t="str">
        <f aca="false">IF(C4320=1,MOD(ABS(SIN(ROW()*12.9898+'הדבקת לידים'!$F$2*78.233+IFERROR(--RIGHT(A4320,6),LEN(A4320))*0.0137+IFERROR(--RIGHT(B4320,6),LEN(B4320))*0.0071))*43758.5453,1),"")</f>
        <v/>
      </c>
      <c r="E4320" s="0" t="str">
        <f aca="false">IF(C4320=1,INT(MOD(ABS(SIN(D4320*7919.123+ROW()*0.618+'הדבקת לידים'!$F$2*1.3))*43758.5453,1)*1000000)*10000+ROW(),"")</f>
        <v/>
      </c>
      <c r="F4320" s="0" t="str">
        <f aca="false">IF(E4320="","",RANK(E4320,$E$2:$E$5001,1))</f>
        <v/>
      </c>
      <c r="G4320" s="0" t="n">
        <f aca="false">IF(A4320="",0,IF(SUMPRODUCT(--($A$2:$A$5001=A4320))&gt;1,1,0))</f>
        <v>0</v>
      </c>
      <c r="H4320" s="0" t="n">
        <f aca="false">ROW()-1</f>
        <v>4319</v>
      </c>
      <c r="I4320" s="0" t="str">
        <f aca="false">IF(OR(הגדרות!$E$6=0,H4320&gt;הגדרות!$E$5),"",IF(H4320-1&lt;הגדרות!$E$8*(הגדרות!$E$7+1),INT((H4320-1)/(הגדרות!$E$7+1)),הגדרות!$E$8+INT((H4320-1-הגדרות!$E$8*(הגדרות!$E$7+1))/הגדרות!$E$7)))</f>
        <v/>
      </c>
      <c r="J4320" s="0" t="str">
        <f aca="false">IF(I4320="","",IF(H4320-1&lt;הגדרות!$E$8*(הגדרות!$E$7+1),MOD(H4320-1,הגדרות!$E$7+1),MOD(H4320-1-הגדרות!$E$8*(הגדרות!$E$7+1),הגדרות!$E$7)))</f>
        <v/>
      </c>
      <c r="K4320" s="0" t="str">
        <f aca="false">IF(I4320="","",J4320*הגדרות!$E$6+I4320+1)</f>
        <v/>
      </c>
      <c r="L4320" s="0" t="str">
        <f aca="false">IF(K4320="","",MATCH(K4320,$F$2:$F$5001,0))</f>
        <v/>
      </c>
      <c r="M4320" s="0" t="str">
        <f aca="false">IF(I4320="","",INDEX(הגדרות!$A$2:$A$21,MOD(I4320+הגדרות!$E$9,הגדרות!$E$6)+1))</f>
        <v/>
      </c>
    </row>
    <row r="4321" customFormat="false" ht="15" hidden="false" customHeight="false" outlineLevel="0" collapsed="false">
      <c r="A4321" s="0" t="str">
        <f aca="false">IF('הדבקת לידים'!A4321="","",IF(ISNUMBER('הדבקת לידים'!A4321),IF(הגדרות!$E$2&gt;0,TEXT('הדבקת לידים'!A4321,REPT("0",הגדרות!$E$2)),TEXT('הדבקת לידים'!A4321,"0")),TRIM('הדבקת לידים'!A4321)))</f>
        <v/>
      </c>
      <c r="B4321" s="0" t="str">
        <f aca="false">IF('הדבקת לידים'!B4321="","",IF(ISNUMBER('הדבקת לידים'!B4321),IF(הגדרות!$E$3&gt;0,TEXT('הדבקת לידים'!B4321,REPT("0",הגדרות!$E$3)),TEXT('הדבקת לידים'!B4321,"0")),TRIM('הדבקת לידים'!B4321)))</f>
        <v/>
      </c>
      <c r="C4321" s="0" t="n">
        <f aca="false">IF(OR(A4321&lt;&gt;"",B4321&lt;&gt;""),1,0)</f>
        <v>0</v>
      </c>
      <c r="D4321" s="0" t="str">
        <f aca="false">IF(C4321=1,MOD(ABS(SIN(ROW()*12.9898+'הדבקת לידים'!$F$2*78.233+IFERROR(--RIGHT(A4321,6),LEN(A4321))*0.0137+IFERROR(--RIGHT(B4321,6),LEN(B4321))*0.0071))*43758.5453,1),"")</f>
        <v/>
      </c>
      <c r="E4321" s="0" t="str">
        <f aca="false">IF(C4321=1,INT(MOD(ABS(SIN(D4321*7919.123+ROW()*0.618+'הדבקת לידים'!$F$2*1.3))*43758.5453,1)*1000000)*10000+ROW(),"")</f>
        <v/>
      </c>
      <c r="F4321" s="0" t="str">
        <f aca="false">IF(E4321="","",RANK(E4321,$E$2:$E$5001,1))</f>
        <v/>
      </c>
      <c r="G4321" s="0" t="n">
        <f aca="false">IF(A4321="",0,IF(SUMPRODUCT(--($A$2:$A$5001=A4321))&gt;1,1,0))</f>
        <v>0</v>
      </c>
      <c r="H4321" s="0" t="n">
        <f aca="false">ROW()-1</f>
        <v>4320</v>
      </c>
      <c r="I4321" s="0" t="str">
        <f aca="false">IF(OR(הגדרות!$E$6=0,H4321&gt;הגדרות!$E$5),"",IF(H4321-1&lt;הגדרות!$E$8*(הגדרות!$E$7+1),INT((H4321-1)/(הגדרות!$E$7+1)),הגדרות!$E$8+INT((H4321-1-הגדרות!$E$8*(הגדרות!$E$7+1))/הגדרות!$E$7)))</f>
        <v/>
      </c>
      <c r="J4321" s="0" t="str">
        <f aca="false">IF(I4321="","",IF(H4321-1&lt;הגדרות!$E$8*(הגדרות!$E$7+1),MOD(H4321-1,הגדרות!$E$7+1),MOD(H4321-1-הגדרות!$E$8*(הגדרות!$E$7+1),הגדרות!$E$7)))</f>
        <v/>
      </c>
      <c r="K4321" s="0" t="str">
        <f aca="false">IF(I4321="","",J4321*הגדרות!$E$6+I4321+1)</f>
        <v/>
      </c>
      <c r="L4321" s="0" t="str">
        <f aca="false">IF(K4321="","",MATCH(K4321,$F$2:$F$5001,0))</f>
        <v/>
      </c>
      <c r="M4321" s="0" t="str">
        <f aca="false">IF(I4321="","",INDEX(הגדרות!$A$2:$A$21,MOD(I4321+הגדרות!$E$9,הגדרות!$E$6)+1))</f>
        <v/>
      </c>
    </row>
    <row r="4322" customFormat="false" ht="15" hidden="false" customHeight="false" outlineLevel="0" collapsed="false">
      <c r="A4322" s="0" t="str">
        <f aca="false">IF('הדבקת לידים'!A4322="","",IF(ISNUMBER('הדבקת לידים'!A4322),IF(הגדרות!$E$2&gt;0,TEXT('הדבקת לידים'!A4322,REPT("0",הגדרות!$E$2)),TEXT('הדבקת לידים'!A4322,"0")),TRIM('הדבקת לידים'!A4322)))</f>
        <v/>
      </c>
      <c r="B4322" s="0" t="str">
        <f aca="false">IF('הדבקת לידים'!B4322="","",IF(ISNUMBER('הדבקת לידים'!B4322),IF(הגדרות!$E$3&gt;0,TEXT('הדבקת לידים'!B4322,REPT("0",הגדרות!$E$3)),TEXT('הדבקת לידים'!B4322,"0")),TRIM('הדבקת לידים'!B4322)))</f>
        <v/>
      </c>
      <c r="C4322" s="0" t="n">
        <f aca="false">IF(OR(A4322&lt;&gt;"",B4322&lt;&gt;""),1,0)</f>
        <v>0</v>
      </c>
      <c r="D4322" s="0" t="str">
        <f aca="false">IF(C4322=1,MOD(ABS(SIN(ROW()*12.9898+'הדבקת לידים'!$F$2*78.233+IFERROR(--RIGHT(A4322,6),LEN(A4322))*0.0137+IFERROR(--RIGHT(B4322,6),LEN(B4322))*0.0071))*43758.5453,1),"")</f>
        <v/>
      </c>
      <c r="E4322" s="0" t="str">
        <f aca="false">IF(C4322=1,INT(MOD(ABS(SIN(D4322*7919.123+ROW()*0.618+'הדבקת לידים'!$F$2*1.3))*43758.5453,1)*1000000)*10000+ROW(),"")</f>
        <v/>
      </c>
      <c r="F4322" s="0" t="str">
        <f aca="false">IF(E4322="","",RANK(E4322,$E$2:$E$5001,1))</f>
        <v/>
      </c>
      <c r="G4322" s="0" t="n">
        <f aca="false">IF(A4322="",0,IF(SUMPRODUCT(--($A$2:$A$5001=A4322))&gt;1,1,0))</f>
        <v>0</v>
      </c>
      <c r="H4322" s="0" t="n">
        <f aca="false">ROW()-1</f>
        <v>4321</v>
      </c>
      <c r="I4322" s="0" t="str">
        <f aca="false">IF(OR(הגדרות!$E$6=0,H4322&gt;הגדרות!$E$5),"",IF(H4322-1&lt;הגדרות!$E$8*(הגדרות!$E$7+1),INT((H4322-1)/(הגדרות!$E$7+1)),הגדרות!$E$8+INT((H4322-1-הגדרות!$E$8*(הגדרות!$E$7+1))/הגדרות!$E$7)))</f>
        <v/>
      </c>
      <c r="J4322" s="0" t="str">
        <f aca="false">IF(I4322="","",IF(H4322-1&lt;הגדרות!$E$8*(הגדרות!$E$7+1),MOD(H4322-1,הגדרות!$E$7+1),MOD(H4322-1-הגדרות!$E$8*(הגדרות!$E$7+1),הגדרות!$E$7)))</f>
        <v/>
      </c>
      <c r="K4322" s="0" t="str">
        <f aca="false">IF(I4322="","",J4322*הגדרות!$E$6+I4322+1)</f>
        <v/>
      </c>
      <c r="L4322" s="0" t="str">
        <f aca="false">IF(K4322="","",MATCH(K4322,$F$2:$F$5001,0))</f>
        <v/>
      </c>
      <c r="M4322" s="0" t="str">
        <f aca="false">IF(I4322="","",INDEX(הגדרות!$A$2:$A$21,MOD(I4322+הגדרות!$E$9,הגדרות!$E$6)+1))</f>
        <v/>
      </c>
    </row>
    <row r="4323" customFormat="false" ht="15" hidden="false" customHeight="false" outlineLevel="0" collapsed="false">
      <c r="A4323" s="0" t="str">
        <f aca="false">IF('הדבקת לידים'!A4323="","",IF(ISNUMBER('הדבקת לידים'!A4323),IF(הגדרות!$E$2&gt;0,TEXT('הדבקת לידים'!A4323,REPT("0",הגדרות!$E$2)),TEXT('הדבקת לידים'!A4323,"0")),TRIM('הדבקת לידים'!A4323)))</f>
        <v/>
      </c>
      <c r="B4323" s="0" t="str">
        <f aca="false">IF('הדבקת לידים'!B4323="","",IF(ISNUMBER('הדבקת לידים'!B4323),IF(הגדרות!$E$3&gt;0,TEXT('הדבקת לידים'!B4323,REPT("0",הגדרות!$E$3)),TEXT('הדבקת לידים'!B4323,"0")),TRIM('הדבקת לידים'!B4323)))</f>
        <v/>
      </c>
      <c r="C4323" s="0" t="n">
        <f aca="false">IF(OR(A4323&lt;&gt;"",B4323&lt;&gt;""),1,0)</f>
        <v>0</v>
      </c>
      <c r="D4323" s="0" t="str">
        <f aca="false">IF(C4323=1,MOD(ABS(SIN(ROW()*12.9898+'הדבקת לידים'!$F$2*78.233+IFERROR(--RIGHT(A4323,6),LEN(A4323))*0.0137+IFERROR(--RIGHT(B4323,6),LEN(B4323))*0.0071))*43758.5453,1),"")</f>
        <v/>
      </c>
      <c r="E4323" s="0" t="str">
        <f aca="false">IF(C4323=1,INT(MOD(ABS(SIN(D4323*7919.123+ROW()*0.618+'הדבקת לידים'!$F$2*1.3))*43758.5453,1)*1000000)*10000+ROW(),"")</f>
        <v/>
      </c>
      <c r="F4323" s="0" t="str">
        <f aca="false">IF(E4323="","",RANK(E4323,$E$2:$E$5001,1))</f>
        <v/>
      </c>
      <c r="G4323" s="0" t="n">
        <f aca="false">IF(A4323="",0,IF(SUMPRODUCT(--($A$2:$A$5001=A4323))&gt;1,1,0))</f>
        <v>0</v>
      </c>
      <c r="H4323" s="0" t="n">
        <f aca="false">ROW()-1</f>
        <v>4322</v>
      </c>
      <c r="I4323" s="0" t="str">
        <f aca="false">IF(OR(הגדרות!$E$6=0,H4323&gt;הגדרות!$E$5),"",IF(H4323-1&lt;הגדרות!$E$8*(הגדרות!$E$7+1),INT((H4323-1)/(הגדרות!$E$7+1)),הגדרות!$E$8+INT((H4323-1-הגדרות!$E$8*(הגדרות!$E$7+1))/הגדרות!$E$7)))</f>
        <v/>
      </c>
      <c r="J4323" s="0" t="str">
        <f aca="false">IF(I4323="","",IF(H4323-1&lt;הגדרות!$E$8*(הגדרות!$E$7+1),MOD(H4323-1,הגדרות!$E$7+1),MOD(H4323-1-הגדרות!$E$8*(הגדרות!$E$7+1),הגדרות!$E$7)))</f>
        <v/>
      </c>
      <c r="K4323" s="0" t="str">
        <f aca="false">IF(I4323="","",J4323*הגדרות!$E$6+I4323+1)</f>
        <v/>
      </c>
      <c r="L4323" s="0" t="str">
        <f aca="false">IF(K4323="","",MATCH(K4323,$F$2:$F$5001,0))</f>
        <v/>
      </c>
      <c r="M4323" s="0" t="str">
        <f aca="false">IF(I4323="","",INDEX(הגדרות!$A$2:$A$21,MOD(I4323+הגדרות!$E$9,הגדרות!$E$6)+1))</f>
        <v/>
      </c>
    </row>
    <row r="4324" customFormat="false" ht="15" hidden="false" customHeight="false" outlineLevel="0" collapsed="false">
      <c r="A4324" s="0" t="str">
        <f aca="false">IF('הדבקת לידים'!A4324="","",IF(ISNUMBER('הדבקת לידים'!A4324),IF(הגדרות!$E$2&gt;0,TEXT('הדבקת לידים'!A4324,REPT("0",הגדרות!$E$2)),TEXT('הדבקת לידים'!A4324,"0")),TRIM('הדבקת לידים'!A4324)))</f>
        <v/>
      </c>
      <c r="B4324" s="0" t="str">
        <f aca="false">IF('הדבקת לידים'!B4324="","",IF(ISNUMBER('הדבקת לידים'!B4324),IF(הגדרות!$E$3&gt;0,TEXT('הדבקת לידים'!B4324,REPT("0",הגדרות!$E$3)),TEXT('הדבקת לידים'!B4324,"0")),TRIM('הדבקת לידים'!B4324)))</f>
        <v/>
      </c>
      <c r="C4324" s="0" t="n">
        <f aca="false">IF(OR(A4324&lt;&gt;"",B4324&lt;&gt;""),1,0)</f>
        <v>0</v>
      </c>
      <c r="D4324" s="0" t="str">
        <f aca="false">IF(C4324=1,MOD(ABS(SIN(ROW()*12.9898+'הדבקת לידים'!$F$2*78.233+IFERROR(--RIGHT(A4324,6),LEN(A4324))*0.0137+IFERROR(--RIGHT(B4324,6),LEN(B4324))*0.0071))*43758.5453,1),"")</f>
        <v/>
      </c>
      <c r="E4324" s="0" t="str">
        <f aca="false">IF(C4324=1,INT(MOD(ABS(SIN(D4324*7919.123+ROW()*0.618+'הדבקת לידים'!$F$2*1.3))*43758.5453,1)*1000000)*10000+ROW(),"")</f>
        <v/>
      </c>
      <c r="F4324" s="0" t="str">
        <f aca="false">IF(E4324="","",RANK(E4324,$E$2:$E$5001,1))</f>
        <v/>
      </c>
      <c r="G4324" s="0" t="n">
        <f aca="false">IF(A4324="",0,IF(SUMPRODUCT(--($A$2:$A$5001=A4324))&gt;1,1,0))</f>
        <v>0</v>
      </c>
      <c r="H4324" s="0" t="n">
        <f aca="false">ROW()-1</f>
        <v>4323</v>
      </c>
      <c r="I4324" s="0" t="str">
        <f aca="false">IF(OR(הגדרות!$E$6=0,H4324&gt;הגדרות!$E$5),"",IF(H4324-1&lt;הגדרות!$E$8*(הגדרות!$E$7+1),INT((H4324-1)/(הגדרות!$E$7+1)),הגדרות!$E$8+INT((H4324-1-הגדרות!$E$8*(הגדרות!$E$7+1))/הגדרות!$E$7)))</f>
        <v/>
      </c>
      <c r="J4324" s="0" t="str">
        <f aca="false">IF(I4324="","",IF(H4324-1&lt;הגדרות!$E$8*(הגדרות!$E$7+1),MOD(H4324-1,הגדרות!$E$7+1),MOD(H4324-1-הגדרות!$E$8*(הגדרות!$E$7+1),הגדרות!$E$7)))</f>
        <v/>
      </c>
      <c r="K4324" s="0" t="str">
        <f aca="false">IF(I4324="","",J4324*הגדרות!$E$6+I4324+1)</f>
        <v/>
      </c>
      <c r="L4324" s="0" t="str">
        <f aca="false">IF(K4324="","",MATCH(K4324,$F$2:$F$5001,0))</f>
        <v/>
      </c>
      <c r="M4324" s="0" t="str">
        <f aca="false">IF(I4324="","",INDEX(הגדרות!$A$2:$A$21,MOD(I4324+הגדרות!$E$9,הגדרות!$E$6)+1))</f>
        <v/>
      </c>
    </row>
    <row r="4325" customFormat="false" ht="15" hidden="false" customHeight="false" outlineLevel="0" collapsed="false">
      <c r="A4325" s="0" t="str">
        <f aca="false">IF('הדבקת לידים'!A4325="","",IF(ISNUMBER('הדבקת לידים'!A4325),IF(הגדרות!$E$2&gt;0,TEXT('הדבקת לידים'!A4325,REPT("0",הגדרות!$E$2)),TEXT('הדבקת לידים'!A4325,"0")),TRIM('הדבקת לידים'!A4325)))</f>
        <v/>
      </c>
      <c r="B4325" s="0" t="str">
        <f aca="false">IF('הדבקת לידים'!B4325="","",IF(ISNUMBER('הדבקת לידים'!B4325),IF(הגדרות!$E$3&gt;0,TEXT('הדבקת לידים'!B4325,REPT("0",הגדרות!$E$3)),TEXT('הדבקת לידים'!B4325,"0")),TRIM('הדבקת לידים'!B4325)))</f>
        <v/>
      </c>
      <c r="C4325" s="0" t="n">
        <f aca="false">IF(OR(A4325&lt;&gt;"",B4325&lt;&gt;""),1,0)</f>
        <v>0</v>
      </c>
      <c r="D4325" s="0" t="str">
        <f aca="false">IF(C4325=1,MOD(ABS(SIN(ROW()*12.9898+'הדבקת לידים'!$F$2*78.233+IFERROR(--RIGHT(A4325,6),LEN(A4325))*0.0137+IFERROR(--RIGHT(B4325,6),LEN(B4325))*0.0071))*43758.5453,1),"")</f>
        <v/>
      </c>
      <c r="E4325" s="0" t="str">
        <f aca="false">IF(C4325=1,INT(MOD(ABS(SIN(D4325*7919.123+ROW()*0.618+'הדבקת לידים'!$F$2*1.3))*43758.5453,1)*1000000)*10000+ROW(),"")</f>
        <v/>
      </c>
      <c r="F4325" s="0" t="str">
        <f aca="false">IF(E4325="","",RANK(E4325,$E$2:$E$5001,1))</f>
        <v/>
      </c>
      <c r="G4325" s="0" t="n">
        <f aca="false">IF(A4325="",0,IF(SUMPRODUCT(--($A$2:$A$5001=A4325))&gt;1,1,0))</f>
        <v>0</v>
      </c>
      <c r="H4325" s="0" t="n">
        <f aca="false">ROW()-1</f>
        <v>4324</v>
      </c>
      <c r="I4325" s="0" t="str">
        <f aca="false">IF(OR(הגדרות!$E$6=0,H4325&gt;הגדרות!$E$5),"",IF(H4325-1&lt;הגדרות!$E$8*(הגדרות!$E$7+1),INT((H4325-1)/(הגדרות!$E$7+1)),הגדרות!$E$8+INT((H4325-1-הגדרות!$E$8*(הגדרות!$E$7+1))/הגדרות!$E$7)))</f>
        <v/>
      </c>
      <c r="J4325" s="0" t="str">
        <f aca="false">IF(I4325="","",IF(H4325-1&lt;הגדרות!$E$8*(הגדרות!$E$7+1),MOD(H4325-1,הגדרות!$E$7+1),MOD(H4325-1-הגדרות!$E$8*(הגדרות!$E$7+1),הגדרות!$E$7)))</f>
        <v/>
      </c>
      <c r="K4325" s="0" t="str">
        <f aca="false">IF(I4325="","",J4325*הגדרות!$E$6+I4325+1)</f>
        <v/>
      </c>
      <c r="L4325" s="0" t="str">
        <f aca="false">IF(K4325="","",MATCH(K4325,$F$2:$F$5001,0))</f>
        <v/>
      </c>
      <c r="M4325" s="0" t="str">
        <f aca="false">IF(I4325="","",INDEX(הגדרות!$A$2:$A$21,MOD(I4325+הגדרות!$E$9,הגדרות!$E$6)+1))</f>
        <v/>
      </c>
    </row>
    <row r="4326" customFormat="false" ht="15" hidden="false" customHeight="false" outlineLevel="0" collapsed="false">
      <c r="A4326" s="0" t="str">
        <f aca="false">IF('הדבקת לידים'!A4326="","",IF(ISNUMBER('הדבקת לידים'!A4326),IF(הגדרות!$E$2&gt;0,TEXT('הדבקת לידים'!A4326,REPT("0",הגדרות!$E$2)),TEXT('הדבקת לידים'!A4326,"0")),TRIM('הדבקת לידים'!A4326)))</f>
        <v/>
      </c>
      <c r="B4326" s="0" t="str">
        <f aca="false">IF('הדבקת לידים'!B4326="","",IF(ISNUMBER('הדבקת לידים'!B4326),IF(הגדרות!$E$3&gt;0,TEXT('הדבקת לידים'!B4326,REPT("0",הגדרות!$E$3)),TEXT('הדבקת לידים'!B4326,"0")),TRIM('הדבקת לידים'!B4326)))</f>
        <v/>
      </c>
      <c r="C4326" s="0" t="n">
        <f aca="false">IF(OR(A4326&lt;&gt;"",B4326&lt;&gt;""),1,0)</f>
        <v>0</v>
      </c>
      <c r="D4326" s="0" t="str">
        <f aca="false">IF(C4326=1,MOD(ABS(SIN(ROW()*12.9898+'הדבקת לידים'!$F$2*78.233+IFERROR(--RIGHT(A4326,6),LEN(A4326))*0.0137+IFERROR(--RIGHT(B4326,6),LEN(B4326))*0.0071))*43758.5453,1),"")</f>
        <v/>
      </c>
      <c r="E4326" s="0" t="str">
        <f aca="false">IF(C4326=1,INT(MOD(ABS(SIN(D4326*7919.123+ROW()*0.618+'הדבקת לידים'!$F$2*1.3))*43758.5453,1)*1000000)*10000+ROW(),"")</f>
        <v/>
      </c>
      <c r="F4326" s="0" t="str">
        <f aca="false">IF(E4326="","",RANK(E4326,$E$2:$E$5001,1))</f>
        <v/>
      </c>
      <c r="G4326" s="0" t="n">
        <f aca="false">IF(A4326="",0,IF(SUMPRODUCT(--($A$2:$A$5001=A4326))&gt;1,1,0))</f>
        <v>0</v>
      </c>
      <c r="H4326" s="0" t="n">
        <f aca="false">ROW()-1</f>
        <v>4325</v>
      </c>
      <c r="I4326" s="0" t="str">
        <f aca="false">IF(OR(הגדרות!$E$6=0,H4326&gt;הגדרות!$E$5),"",IF(H4326-1&lt;הגדרות!$E$8*(הגדרות!$E$7+1),INT((H4326-1)/(הגדרות!$E$7+1)),הגדרות!$E$8+INT((H4326-1-הגדרות!$E$8*(הגדרות!$E$7+1))/הגדרות!$E$7)))</f>
        <v/>
      </c>
      <c r="J4326" s="0" t="str">
        <f aca="false">IF(I4326="","",IF(H4326-1&lt;הגדרות!$E$8*(הגדרות!$E$7+1),MOD(H4326-1,הגדרות!$E$7+1),MOD(H4326-1-הגדרות!$E$8*(הגדרות!$E$7+1),הגדרות!$E$7)))</f>
        <v/>
      </c>
      <c r="K4326" s="0" t="str">
        <f aca="false">IF(I4326="","",J4326*הגדרות!$E$6+I4326+1)</f>
        <v/>
      </c>
      <c r="L4326" s="0" t="str">
        <f aca="false">IF(K4326="","",MATCH(K4326,$F$2:$F$5001,0))</f>
        <v/>
      </c>
      <c r="M4326" s="0" t="str">
        <f aca="false">IF(I4326="","",INDEX(הגדרות!$A$2:$A$21,MOD(I4326+הגדרות!$E$9,הגדרות!$E$6)+1))</f>
        <v/>
      </c>
    </row>
    <row r="4327" customFormat="false" ht="15" hidden="false" customHeight="false" outlineLevel="0" collapsed="false">
      <c r="A4327" s="0" t="str">
        <f aca="false">IF('הדבקת לידים'!A4327="","",IF(ISNUMBER('הדבקת לידים'!A4327),IF(הגדרות!$E$2&gt;0,TEXT('הדבקת לידים'!A4327,REPT("0",הגדרות!$E$2)),TEXT('הדבקת לידים'!A4327,"0")),TRIM('הדבקת לידים'!A4327)))</f>
        <v/>
      </c>
      <c r="B4327" s="0" t="str">
        <f aca="false">IF('הדבקת לידים'!B4327="","",IF(ISNUMBER('הדבקת לידים'!B4327),IF(הגדרות!$E$3&gt;0,TEXT('הדבקת לידים'!B4327,REPT("0",הגדרות!$E$3)),TEXT('הדבקת לידים'!B4327,"0")),TRIM('הדבקת לידים'!B4327)))</f>
        <v/>
      </c>
      <c r="C4327" s="0" t="n">
        <f aca="false">IF(OR(A4327&lt;&gt;"",B4327&lt;&gt;""),1,0)</f>
        <v>0</v>
      </c>
      <c r="D4327" s="0" t="str">
        <f aca="false">IF(C4327=1,MOD(ABS(SIN(ROW()*12.9898+'הדבקת לידים'!$F$2*78.233+IFERROR(--RIGHT(A4327,6),LEN(A4327))*0.0137+IFERROR(--RIGHT(B4327,6),LEN(B4327))*0.0071))*43758.5453,1),"")</f>
        <v/>
      </c>
      <c r="E4327" s="0" t="str">
        <f aca="false">IF(C4327=1,INT(MOD(ABS(SIN(D4327*7919.123+ROW()*0.618+'הדבקת לידים'!$F$2*1.3))*43758.5453,1)*1000000)*10000+ROW(),"")</f>
        <v/>
      </c>
      <c r="F4327" s="0" t="str">
        <f aca="false">IF(E4327="","",RANK(E4327,$E$2:$E$5001,1))</f>
        <v/>
      </c>
      <c r="G4327" s="0" t="n">
        <f aca="false">IF(A4327="",0,IF(SUMPRODUCT(--($A$2:$A$5001=A4327))&gt;1,1,0))</f>
        <v>0</v>
      </c>
      <c r="H4327" s="0" t="n">
        <f aca="false">ROW()-1</f>
        <v>4326</v>
      </c>
      <c r="I4327" s="0" t="str">
        <f aca="false">IF(OR(הגדרות!$E$6=0,H4327&gt;הגדרות!$E$5),"",IF(H4327-1&lt;הגדרות!$E$8*(הגדרות!$E$7+1),INT((H4327-1)/(הגדרות!$E$7+1)),הגדרות!$E$8+INT((H4327-1-הגדרות!$E$8*(הגדרות!$E$7+1))/הגדרות!$E$7)))</f>
        <v/>
      </c>
      <c r="J4327" s="0" t="str">
        <f aca="false">IF(I4327="","",IF(H4327-1&lt;הגדרות!$E$8*(הגדרות!$E$7+1),MOD(H4327-1,הגדרות!$E$7+1),MOD(H4327-1-הגדרות!$E$8*(הגדרות!$E$7+1),הגדרות!$E$7)))</f>
        <v/>
      </c>
      <c r="K4327" s="0" t="str">
        <f aca="false">IF(I4327="","",J4327*הגדרות!$E$6+I4327+1)</f>
        <v/>
      </c>
      <c r="L4327" s="0" t="str">
        <f aca="false">IF(K4327="","",MATCH(K4327,$F$2:$F$5001,0))</f>
        <v/>
      </c>
      <c r="M4327" s="0" t="str">
        <f aca="false">IF(I4327="","",INDEX(הגדרות!$A$2:$A$21,MOD(I4327+הגדרות!$E$9,הגדרות!$E$6)+1))</f>
        <v/>
      </c>
    </row>
    <row r="4328" customFormat="false" ht="15" hidden="false" customHeight="false" outlineLevel="0" collapsed="false">
      <c r="A4328" s="0" t="str">
        <f aca="false">IF('הדבקת לידים'!A4328="","",IF(ISNUMBER('הדבקת לידים'!A4328),IF(הגדרות!$E$2&gt;0,TEXT('הדבקת לידים'!A4328,REPT("0",הגדרות!$E$2)),TEXT('הדבקת לידים'!A4328,"0")),TRIM('הדבקת לידים'!A4328)))</f>
        <v/>
      </c>
      <c r="B4328" s="0" t="str">
        <f aca="false">IF('הדבקת לידים'!B4328="","",IF(ISNUMBER('הדבקת לידים'!B4328),IF(הגדרות!$E$3&gt;0,TEXT('הדבקת לידים'!B4328,REPT("0",הגדרות!$E$3)),TEXT('הדבקת לידים'!B4328,"0")),TRIM('הדבקת לידים'!B4328)))</f>
        <v/>
      </c>
      <c r="C4328" s="0" t="n">
        <f aca="false">IF(OR(A4328&lt;&gt;"",B4328&lt;&gt;""),1,0)</f>
        <v>0</v>
      </c>
      <c r="D4328" s="0" t="str">
        <f aca="false">IF(C4328=1,MOD(ABS(SIN(ROW()*12.9898+'הדבקת לידים'!$F$2*78.233+IFERROR(--RIGHT(A4328,6),LEN(A4328))*0.0137+IFERROR(--RIGHT(B4328,6),LEN(B4328))*0.0071))*43758.5453,1),"")</f>
        <v/>
      </c>
      <c r="E4328" s="0" t="str">
        <f aca="false">IF(C4328=1,INT(MOD(ABS(SIN(D4328*7919.123+ROW()*0.618+'הדבקת לידים'!$F$2*1.3))*43758.5453,1)*1000000)*10000+ROW(),"")</f>
        <v/>
      </c>
      <c r="F4328" s="0" t="str">
        <f aca="false">IF(E4328="","",RANK(E4328,$E$2:$E$5001,1))</f>
        <v/>
      </c>
      <c r="G4328" s="0" t="n">
        <f aca="false">IF(A4328="",0,IF(SUMPRODUCT(--($A$2:$A$5001=A4328))&gt;1,1,0))</f>
        <v>0</v>
      </c>
      <c r="H4328" s="0" t="n">
        <f aca="false">ROW()-1</f>
        <v>4327</v>
      </c>
      <c r="I4328" s="0" t="str">
        <f aca="false">IF(OR(הגדרות!$E$6=0,H4328&gt;הגדרות!$E$5),"",IF(H4328-1&lt;הגדרות!$E$8*(הגדרות!$E$7+1),INT((H4328-1)/(הגדרות!$E$7+1)),הגדרות!$E$8+INT((H4328-1-הגדרות!$E$8*(הגדרות!$E$7+1))/הגדרות!$E$7)))</f>
        <v/>
      </c>
      <c r="J4328" s="0" t="str">
        <f aca="false">IF(I4328="","",IF(H4328-1&lt;הגדרות!$E$8*(הגדרות!$E$7+1),MOD(H4328-1,הגדרות!$E$7+1),MOD(H4328-1-הגדרות!$E$8*(הגדרות!$E$7+1),הגדרות!$E$7)))</f>
        <v/>
      </c>
      <c r="K4328" s="0" t="str">
        <f aca="false">IF(I4328="","",J4328*הגדרות!$E$6+I4328+1)</f>
        <v/>
      </c>
      <c r="L4328" s="0" t="str">
        <f aca="false">IF(K4328="","",MATCH(K4328,$F$2:$F$5001,0))</f>
        <v/>
      </c>
      <c r="M4328" s="0" t="str">
        <f aca="false">IF(I4328="","",INDEX(הגדרות!$A$2:$A$21,MOD(I4328+הגדרות!$E$9,הגדרות!$E$6)+1))</f>
        <v/>
      </c>
    </row>
    <row r="4329" customFormat="false" ht="15" hidden="false" customHeight="false" outlineLevel="0" collapsed="false">
      <c r="A4329" s="0" t="str">
        <f aca="false">IF('הדבקת לידים'!A4329="","",IF(ISNUMBER('הדבקת לידים'!A4329),IF(הגדרות!$E$2&gt;0,TEXT('הדבקת לידים'!A4329,REPT("0",הגדרות!$E$2)),TEXT('הדבקת לידים'!A4329,"0")),TRIM('הדבקת לידים'!A4329)))</f>
        <v/>
      </c>
      <c r="B4329" s="0" t="str">
        <f aca="false">IF('הדבקת לידים'!B4329="","",IF(ISNUMBER('הדבקת לידים'!B4329),IF(הגדרות!$E$3&gt;0,TEXT('הדבקת לידים'!B4329,REPT("0",הגדרות!$E$3)),TEXT('הדבקת לידים'!B4329,"0")),TRIM('הדבקת לידים'!B4329)))</f>
        <v/>
      </c>
      <c r="C4329" s="0" t="n">
        <f aca="false">IF(OR(A4329&lt;&gt;"",B4329&lt;&gt;""),1,0)</f>
        <v>0</v>
      </c>
      <c r="D4329" s="0" t="str">
        <f aca="false">IF(C4329=1,MOD(ABS(SIN(ROW()*12.9898+'הדבקת לידים'!$F$2*78.233+IFERROR(--RIGHT(A4329,6),LEN(A4329))*0.0137+IFERROR(--RIGHT(B4329,6),LEN(B4329))*0.0071))*43758.5453,1),"")</f>
        <v/>
      </c>
      <c r="E4329" s="0" t="str">
        <f aca="false">IF(C4329=1,INT(MOD(ABS(SIN(D4329*7919.123+ROW()*0.618+'הדבקת לידים'!$F$2*1.3))*43758.5453,1)*1000000)*10000+ROW(),"")</f>
        <v/>
      </c>
      <c r="F4329" s="0" t="str">
        <f aca="false">IF(E4329="","",RANK(E4329,$E$2:$E$5001,1))</f>
        <v/>
      </c>
      <c r="G4329" s="0" t="n">
        <f aca="false">IF(A4329="",0,IF(SUMPRODUCT(--($A$2:$A$5001=A4329))&gt;1,1,0))</f>
        <v>0</v>
      </c>
      <c r="H4329" s="0" t="n">
        <f aca="false">ROW()-1</f>
        <v>4328</v>
      </c>
      <c r="I4329" s="0" t="str">
        <f aca="false">IF(OR(הגדרות!$E$6=0,H4329&gt;הגדרות!$E$5),"",IF(H4329-1&lt;הגדרות!$E$8*(הגדרות!$E$7+1),INT((H4329-1)/(הגדרות!$E$7+1)),הגדרות!$E$8+INT((H4329-1-הגדרות!$E$8*(הגדרות!$E$7+1))/הגדרות!$E$7)))</f>
        <v/>
      </c>
      <c r="J4329" s="0" t="str">
        <f aca="false">IF(I4329="","",IF(H4329-1&lt;הגדרות!$E$8*(הגדרות!$E$7+1),MOD(H4329-1,הגדרות!$E$7+1),MOD(H4329-1-הגדרות!$E$8*(הגדרות!$E$7+1),הגדרות!$E$7)))</f>
        <v/>
      </c>
      <c r="K4329" s="0" t="str">
        <f aca="false">IF(I4329="","",J4329*הגדרות!$E$6+I4329+1)</f>
        <v/>
      </c>
      <c r="L4329" s="0" t="str">
        <f aca="false">IF(K4329="","",MATCH(K4329,$F$2:$F$5001,0))</f>
        <v/>
      </c>
      <c r="M4329" s="0" t="str">
        <f aca="false">IF(I4329="","",INDEX(הגדרות!$A$2:$A$21,MOD(I4329+הגדרות!$E$9,הגדרות!$E$6)+1))</f>
        <v/>
      </c>
    </row>
    <row r="4330" customFormat="false" ht="15" hidden="false" customHeight="false" outlineLevel="0" collapsed="false">
      <c r="A4330" s="0" t="str">
        <f aca="false">IF('הדבקת לידים'!A4330="","",IF(ISNUMBER('הדבקת לידים'!A4330),IF(הגדרות!$E$2&gt;0,TEXT('הדבקת לידים'!A4330,REPT("0",הגדרות!$E$2)),TEXT('הדבקת לידים'!A4330,"0")),TRIM('הדבקת לידים'!A4330)))</f>
        <v/>
      </c>
      <c r="B4330" s="0" t="str">
        <f aca="false">IF('הדבקת לידים'!B4330="","",IF(ISNUMBER('הדבקת לידים'!B4330),IF(הגדרות!$E$3&gt;0,TEXT('הדבקת לידים'!B4330,REPT("0",הגדרות!$E$3)),TEXT('הדבקת לידים'!B4330,"0")),TRIM('הדבקת לידים'!B4330)))</f>
        <v/>
      </c>
      <c r="C4330" s="0" t="n">
        <f aca="false">IF(OR(A4330&lt;&gt;"",B4330&lt;&gt;""),1,0)</f>
        <v>0</v>
      </c>
      <c r="D4330" s="0" t="str">
        <f aca="false">IF(C4330=1,MOD(ABS(SIN(ROW()*12.9898+'הדבקת לידים'!$F$2*78.233+IFERROR(--RIGHT(A4330,6),LEN(A4330))*0.0137+IFERROR(--RIGHT(B4330,6),LEN(B4330))*0.0071))*43758.5453,1),"")</f>
        <v/>
      </c>
      <c r="E4330" s="0" t="str">
        <f aca="false">IF(C4330=1,INT(MOD(ABS(SIN(D4330*7919.123+ROW()*0.618+'הדבקת לידים'!$F$2*1.3))*43758.5453,1)*1000000)*10000+ROW(),"")</f>
        <v/>
      </c>
      <c r="F4330" s="0" t="str">
        <f aca="false">IF(E4330="","",RANK(E4330,$E$2:$E$5001,1))</f>
        <v/>
      </c>
      <c r="G4330" s="0" t="n">
        <f aca="false">IF(A4330="",0,IF(SUMPRODUCT(--($A$2:$A$5001=A4330))&gt;1,1,0))</f>
        <v>0</v>
      </c>
      <c r="H4330" s="0" t="n">
        <f aca="false">ROW()-1</f>
        <v>4329</v>
      </c>
      <c r="I4330" s="0" t="str">
        <f aca="false">IF(OR(הגדרות!$E$6=0,H4330&gt;הגדרות!$E$5),"",IF(H4330-1&lt;הגדרות!$E$8*(הגדרות!$E$7+1),INT((H4330-1)/(הגדרות!$E$7+1)),הגדרות!$E$8+INT((H4330-1-הגדרות!$E$8*(הגדרות!$E$7+1))/הגדרות!$E$7)))</f>
        <v/>
      </c>
      <c r="J4330" s="0" t="str">
        <f aca="false">IF(I4330="","",IF(H4330-1&lt;הגדרות!$E$8*(הגדרות!$E$7+1),MOD(H4330-1,הגדרות!$E$7+1),MOD(H4330-1-הגדרות!$E$8*(הגדרות!$E$7+1),הגדרות!$E$7)))</f>
        <v/>
      </c>
      <c r="K4330" s="0" t="str">
        <f aca="false">IF(I4330="","",J4330*הגדרות!$E$6+I4330+1)</f>
        <v/>
      </c>
      <c r="L4330" s="0" t="str">
        <f aca="false">IF(K4330="","",MATCH(K4330,$F$2:$F$5001,0))</f>
        <v/>
      </c>
      <c r="M4330" s="0" t="str">
        <f aca="false">IF(I4330="","",INDEX(הגדרות!$A$2:$A$21,MOD(I4330+הגדרות!$E$9,הגדרות!$E$6)+1))</f>
        <v/>
      </c>
    </row>
    <row r="4331" customFormat="false" ht="15" hidden="false" customHeight="false" outlineLevel="0" collapsed="false">
      <c r="A4331" s="0" t="str">
        <f aca="false">IF('הדבקת לידים'!A4331="","",IF(ISNUMBER('הדבקת לידים'!A4331),IF(הגדרות!$E$2&gt;0,TEXT('הדבקת לידים'!A4331,REPT("0",הגדרות!$E$2)),TEXT('הדבקת לידים'!A4331,"0")),TRIM('הדבקת לידים'!A4331)))</f>
        <v/>
      </c>
      <c r="B4331" s="0" t="str">
        <f aca="false">IF('הדבקת לידים'!B4331="","",IF(ISNUMBER('הדבקת לידים'!B4331),IF(הגדרות!$E$3&gt;0,TEXT('הדבקת לידים'!B4331,REPT("0",הגדרות!$E$3)),TEXT('הדבקת לידים'!B4331,"0")),TRIM('הדבקת לידים'!B4331)))</f>
        <v/>
      </c>
      <c r="C4331" s="0" t="n">
        <f aca="false">IF(OR(A4331&lt;&gt;"",B4331&lt;&gt;""),1,0)</f>
        <v>0</v>
      </c>
      <c r="D4331" s="0" t="str">
        <f aca="false">IF(C4331=1,MOD(ABS(SIN(ROW()*12.9898+'הדבקת לידים'!$F$2*78.233+IFERROR(--RIGHT(A4331,6),LEN(A4331))*0.0137+IFERROR(--RIGHT(B4331,6),LEN(B4331))*0.0071))*43758.5453,1),"")</f>
        <v/>
      </c>
      <c r="E4331" s="0" t="str">
        <f aca="false">IF(C4331=1,INT(MOD(ABS(SIN(D4331*7919.123+ROW()*0.618+'הדבקת לידים'!$F$2*1.3))*43758.5453,1)*1000000)*10000+ROW(),"")</f>
        <v/>
      </c>
      <c r="F4331" s="0" t="str">
        <f aca="false">IF(E4331="","",RANK(E4331,$E$2:$E$5001,1))</f>
        <v/>
      </c>
      <c r="G4331" s="0" t="n">
        <f aca="false">IF(A4331="",0,IF(SUMPRODUCT(--($A$2:$A$5001=A4331))&gt;1,1,0))</f>
        <v>0</v>
      </c>
      <c r="H4331" s="0" t="n">
        <f aca="false">ROW()-1</f>
        <v>4330</v>
      </c>
      <c r="I4331" s="0" t="str">
        <f aca="false">IF(OR(הגדרות!$E$6=0,H4331&gt;הגדרות!$E$5),"",IF(H4331-1&lt;הגדרות!$E$8*(הגדרות!$E$7+1),INT((H4331-1)/(הגדרות!$E$7+1)),הגדרות!$E$8+INT((H4331-1-הגדרות!$E$8*(הגדרות!$E$7+1))/הגדרות!$E$7)))</f>
        <v/>
      </c>
      <c r="J4331" s="0" t="str">
        <f aca="false">IF(I4331="","",IF(H4331-1&lt;הגדרות!$E$8*(הגדרות!$E$7+1),MOD(H4331-1,הגדרות!$E$7+1),MOD(H4331-1-הגדרות!$E$8*(הגדרות!$E$7+1),הגדרות!$E$7)))</f>
        <v/>
      </c>
      <c r="K4331" s="0" t="str">
        <f aca="false">IF(I4331="","",J4331*הגדרות!$E$6+I4331+1)</f>
        <v/>
      </c>
      <c r="L4331" s="0" t="str">
        <f aca="false">IF(K4331="","",MATCH(K4331,$F$2:$F$5001,0))</f>
        <v/>
      </c>
      <c r="M4331" s="0" t="str">
        <f aca="false">IF(I4331="","",INDEX(הגדרות!$A$2:$A$21,MOD(I4331+הגדרות!$E$9,הגדרות!$E$6)+1))</f>
        <v/>
      </c>
    </row>
    <row r="4332" customFormat="false" ht="15" hidden="false" customHeight="false" outlineLevel="0" collapsed="false">
      <c r="A4332" s="0" t="str">
        <f aca="false">IF('הדבקת לידים'!A4332="","",IF(ISNUMBER('הדבקת לידים'!A4332),IF(הגדרות!$E$2&gt;0,TEXT('הדבקת לידים'!A4332,REPT("0",הגדרות!$E$2)),TEXT('הדבקת לידים'!A4332,"0")),TRIM('הדבקת לידים'!A4332)))</f>
        <v/>
      </c>
      <c r="B4332" s="0" t="str">
        <f aca="false">IF('הדבקת לידים'!B4332="","",IF(ISNUMBER('הדבקת לידים'!B4332),IF(הגדרות!$E$3&gt;0,TEXT('הדבקת לידים'!B4332,REPT("0",הגדרות!$E$3)),TEXT('הדבקת לידים'!B4332,"0")),TRIM('הדבקת לידים'!B4332)))</f>
        <v/>
      </c>
      <c r="C4332" s="0" t="n">
        <f aca="false">IF(OR(A4332&lt;&gt;"",B4332&lt;&gt;""),1,0)</f>
        <v>0</v>
      </c>
      <c r="D4332" s="0" t="str">
        <f aca="false">IF(C4332=1,MOD(ABS(SIN(ROW()*12.9898+'הדבקת לידים'!$F$2*78.233+IFERROR(--RIGHT(A4332,6),LEN(A4332))*0.0137+IFERROR(--RIGHT(B4332,6),LEN(B4332))*0.0071))*43758.5453,1),"")</f>
        <v/>
      </c>
      <c r="E4332" s="0" t="str">
        <f aca="false">IF(C4332=1,INT(MOD(ABS(SIN(D4332*7919.123+ROW()*0.618+'הדבקת לידים'!$F$2*1.3))*43758.5453,1)*1000000)*10000+ROW(),"")</f>
        <v/>
      </c>
      <c r="F4332" s="0" t="str">
        <f aca="false">IF(E4332="","",RANK(E4332,$E$2:$E$5001,1))</f>
        <v/>
      </c>
      <c r="G4332" s="0" t="n">
        <f aca="false">IF(A4332="",0,IF(SUMPRODUCT(--($A$2:$A$5001=A4332))&gt;1,1,0))</f>
        <v>0</v>
      </c>
      <c r="H4332" s="0" t="n">
        <f aca="false">ROW()-1</f>
        <v>4331</v>
      </c>
      <c r="I4332" s="0" t="str">
        <f aca="false">IF(OR(הגדרות!$E$6=0,H4332&gt;הגדרות!$E$5),"",IF(H4332-1&lt;הגדרות!$E$8*(הגדרות!$E$7+1),INT((H4332-1)/(הגדרות!$E$7+1)),הגדרות!$E$8+INT((H4332-1-הגדרות!$E$8*(הגדרות!$E$7+1))/הגדרות!$E$7)))</f>
        <v/>
      </c>
      <c r="J4332" s="0" t="str">
        <f aca="false">IF(I4332="","",IF(H4332-1&lt;הגדרות!$E$8*(הגדרות!$E$7+1),MOD(H4332-1,הגדרות!$E$7+1),MOD(H4332-1-הגדרות!$E$8*(הגדרות!$E$7+1),הגדרות!$E$7)))</f>
        <v/>
      </c>
      <c r="K4332" s="0" t="str">
        <f aca="false">IF(I4332="","",J4332*הגדרות!$E$6+I4332+1)</f>
        <v/>
      </c>
      <c r="L4332" s="0" t="str">
        <f aca="false">IF(K4332="","",MATCH(K4332,$F$2:$F$5001,0))</f>
        <v/>
      </c>
      <c r="M4332" s="0" t="str">
        <f aca="false">IF(I4332="","",INDEX(הגדרות!$A$2:$A$21,MOD(I4332+הגדרות!$E$9,הגדרות!$E$6)+1))</f>
        <v/>
      </c>
    </row>
    <row r="4333" customFormat="false" ht="15" hidden="false" customHeight="false" outlineLevel="0" collapsed="false">
      <c r="A4333" s="0" t="str">
        <f aca="false">IF('הדבקת לידים'!A4333="","",IF(ISNUMBER('הדבקת לידים'!A4333),IF(הגדרות!$E$2&gt;0,TEXT('הדבקת לידים'!A4333,REPT("0",הגדרות!$E$2)),TEXT('הדבקת לידים'!A4333,"0")),TRIM('הדבקת לידים'!A4333)))</f>
        <v/>
      </c>
      <c r="B4333" s="0" t="str">
        <f aca="false">IF('הדבקת לידים'!B4333="","",IF(ISNUMBER('הדבקת לידים'!B4333),IF(הגדרות!$E$3&gt;0,TEXT('הדבקת לידים'!B4333,REPT("0",הגדרות!$E$3)),TEXT('הדבקת לידים'!B4333,"0")),TRIM('הדבקת לידים'!B4333)))</f>
        <v/>
      </c>
      <c r="C4333" s="0" t="n">
        <f aca="false">IF(OR(A4333&lt;&gt;"",B4333&lt;&gt;""),1,0)</f>
        <v>0</v>
      </c>
      <c r="D4333" s="0" t="str">
        <f aca="false">IF(C4333=1,MOD(ABS(SIN(ROW()*12.9898+'הדבקת לידים'!$F$2*78.233+IFERROR(--RIGHT(A4333,6),LEN(A4333))*0.0137+IFERROR(--RIGHT(B4333,6),LEN(B4333))*0.0071))*43758.5453,1),"")</f>
        <v/>
      </c>
      <c r="E4333" s="0" t="str">
        <f aca="false">IF(C4333=1,INT(MOD(ABS(SIN(D4333*7919.123+ROW()*0.618+'הדבקת לידים'!$F$2*1.3))*43758.5453,1)*1000000)*10000+ROW(),"")</f>
        <v/>
      </c>
      <c r="F4333" s="0" t="str">
        <f aca="false">IF(E4333="","",RANK(E4333,$E$2:$E$5001,1))</f>
        <v/>
      </c>
      <c r="G4333" s="0" t="n">
        <f aca="false">IF(A4333="",0,IF(SUMPRODUCT(--($A$2:$A$5001=A4333))&gt;1,1,0))</f>
        <v>0</v>
      </c>
      <c r="H4333" s="0" t="n">
        <f aca="false">ROW()-1</f>
        <v>4332</v>
      </c>
      <c r="I4333" s="0" t="str">
        <f aca="false">IF(OR(הגדרות!$E$6=0,H4333&gt;הגדרות!$E$5),"",IF(H4333-1&lt;הגדרות!$E$8*(הגדרות!$E$7+1),INT((H4333-1)/(הגדרות!$E$7+1)),הגדרות!$E$8+INT((H4333-1-הגדרות!$E$8*(הגדרות!$E$7+1))/הגדרות!$E$7)))</f>
        <v/>
      </c>
      <c r="J4333" s="0" t="str">
        <f aca="false">IF(I4333="","",IF(H4333-1&lt;הגדרות!$E$8*(הגדרות!$E$7+1),MOD(H4333-1,הגדרות!$E$7+1),MOD(H4333-1-הגדרות!$E$8*(הגדרות!$E$7+1),הגדרות!$E$7)))</f>
        <v/>
      </c>
      <c r="K4333" s="0" t="str">
        <f aca="false">IF(I4333="","",J4333*הגדרות!$E$6+I4333+1)</f>
        <v/>
      </c>
      <c r="L4333" s="0" t="str">
        <f aca="false">IF(K4333="","",MATCH(K4333,$F$2:$F$5001,0))</f>
        <v/>
      </c>
      <c r="M4333" s="0" t="str">
        <f aca="false">IF(I4333="","",INDEX(הגדרות!$A$2:$A$21,MOD(I4333+הגדרות!$E$9,הגדרות!$E$6)+1))</f>
        <v/>
      </c>
    </row>
    <row r="4334" customFormat="false" ht="15" hidden="false" customHeight="false" outlineLevel="0" collapsed="false">
      <c r="A4334" s="0" t="str">
        <f aca="false">IF('הדבקת לידים'!A4334="","",IF(ISNUMBER('הדבקת לידים'!A4334),IF(הגדרות!$E$2&gt;0,TEXT('הדבקת לידים'!A4334,REPT("0",הגדרות!$E$2)),TEXT('הדבקת לידים'!A4334,"0")),TRIM('הדבקת לידים'!A4334)))</f>
        <v/>
      </c>
      <c r="B4334" s="0" t="str">
        <f aca="false">IF('הדבקת לידים'!B4334="","",IF(ISNUMBER('הדבקת לידים'!B4334),IF(הגדרות!$E$3&gt;0,TEXT('הדבקת לידים'!B4334,REPT("0",הגדרות!$E$3)),TEXT('הדבקת לידים'!B4334,"0")),TRIM('הדבקת לידים'!B4334)))</f>
        <v/>
      </c>
      <c r="C4334" s="0" t="n">
        <f aca="false">IF(OR(A4334&lt;&gt;"",B4334&lt;&gt;""),1,0)</f>
        <v>0</v>
      </c>
      <c r="D4334" s="0" t="str">
        <f aca="false">IF(C4334=1,MOD(ABS(SIN(ROW()*12.9898+'הדבקת לידים'!$F$2*78.233+IFERROR(--RIGHT(A4334,6),LEN(A4334))*0.0137+IFERROR(--RIGHT(B4334,6),LEN(B4334))*0.0071))*43758.5453,1),"")</f>
        <v/>
      </c>
      <c r="E4334" s="0" t="str">
        <f aca="false">IF(C4334=1,INT(MOD(ABS(SIN(D4334*7919.123+ROW()*0.618+'הדבקת לידים'!$F$2*1.3))*43758.5453,1)*1000000)*10000+ROW(),"")</f>
        <v/>
      </c>
      <c r="F4334" s="0" t="str">
        <f aca="false">IF(E4334="","",RANK(E4334,$E$2:$E$5001,1))</f>
        <v/>
      </c>
      <c r="G4334" s="0" t="n">
        <f aca="false">IF(A4334="",0,IF(SUMPRODUCT(--($A$2:$A$5001=A4334))&gt;1,1,0))</f>
        <v>0</v>
      </c>
      <c r="H4334" s="0" t="n">
        <f aca="false">ROW()-1</f>
        <v>4333</v>
      </c>
      <c r="I4334" s="0" t="str">
        <f aca="false">IF(OR(הגדרות!$E$6=0,H4334&gt;הגדרות!$E$5),"",IF(H4334-1&lt;הגדרות!$E$8*(הגדרות!$E$7+1),INT((H4334-1)/(הגדרות!$E$7+1)),הגדרות!$E$8+INT((H4334-1-הגדרות!$E$8*(הגדרות!$E$7+1))/הגדרות!$E$7)))</f>
        <v/>
      </c>
      <c r="J4334" s="0" t="str">
        <f aca="false">IF(I4334="","",IF(H4334-1&lt;הגדרות!$E$8*(הגדרות!$E$7+1),MOD(H4334-1,הגדרות!$E$7+1),MOD(H4334-1-הגדרות!$E$8*(הגדרות!$E$7+1),הגדרות!$E$7)))</f>
        <v/>
      </c>
      <c r="K4334" s="0" t="str">
        <f aca="false">IF(I4334="","",J4334*הגדרות!$E$6+I4334+1)</f>
        <v/>
      </c>
      <c r="L4334" s="0" t="str">
        <f aca="false">IF(K4334="","",MATCH(K4334,$F$2:$F$5001,0))</f>
        <v/>
      </c>
      <c r="M4334" s="0" t="str">
        <f aca="false">IF(I4334="","",INDEX(הגדרות!$A$2:$A$21,MOD(I4334+הגדרות!$E$9,הגדרות!$E$6)+1))</f>
        <v/>
      </c>
    </row>
    <row r="4335" customFormat="false" ht="15" hidden="false" customHeight="false" outlineLevel="0" collapsed="false">
      <c r="A4335" s="0" t="str">
        <f aca="false">IF('הדבקת לידים'!A4335="","",IF(ISNUMBER('הדבקת לידים'!A4335),IF(הגדרות!$E$2&gt;0,TEXT('הדבקת לידים'!A4335,REPT("0",הגדרות!$E$2)),TEXT('הדבקת לידים'!A4335,"0")),TRIM('הדבקת לידים'!A4335)))</f>
        <v/>
      </c>
      <c r="B4335" s="0" t="str">
        <f aca="false">IF('הדבקת לידים'!B4335="","",IF(ISNUMBER('הדבקת לידים'!B4335),IF(הגדרות!$E$3&gt;0,TEXT('הדבקת לידים'!B4335,REPT("0",הגדרות!$E$3)),TEXT('הדבקת לידים'!B4335,"0")),TRIM('הדבקת לידים'!B4335)))</f>
        <v/>
      </c>
      <c r="C4335" s="0" t="n">
        <f aca="false">IF(OR(A4335&lt;&gt;"",B4335&lt;&gt;""),1,0)</f>
        <v>0</v>
      </c>
      <c r="D4335" s="0" t="str">
        <f aca="false">IF(C4335=1,MOD(ABS(SIN(ROW()*12.9898+'הדבקת לידים'!$F$2*78.233+IFERROR(--RIGHT(A4335,6),LEN(A4335))*0.0137+IFERROR(--RIGHT(B4335,6),LEN(B4335))*0.0071))*43758.5453,1),"")</f>
        <v/>
      </c>
      <c r="E4335" s="0" t="str">
        <f aca="false">IF(C4335=1,INT(MOD(ABS(SIN(D4335*7919.123+ROW()*0.618+'הדבקת לידים'!$F$2*1.3))*43758.5453,1)*1000000)*10000+ROW(),"")</f>
        <v/>
      </c>
      <c r="F4335" s="0" t="str">
        <f aca="false">IF(E4335="","",RANK(E4335,$E$2:$E$5001,1))</f>
        <v/>
      </c>
      <c r="G4335" s="0" t="n">
        <f aca="false">IF(A4335="",0,IF(SUMPRODUCT(--($A$2:$A$5001=A4335))&gt;1,1,0))</f>
        <v>0</v>
      </c>
      <c r="H4335" s="0" t="n">
        <f aca="false">ROW()-1</f>
        <v>4334</v>
      </c>
      <c r="I4335" s="0" t="str">
        <f aca="false">IF(OR(הגדרות!$E$6=0,H4335&gt;הגדרות!$E$5),"",IF(H4335-1&lt;הגדרות!$E$8*(הגדרות!$E$7+1),INT((H4335-1)/(הגדרות!$E$7+1)),הגדרות!$E$8+INT((H4335-1-הגדרות!$E$8*(הגדרות!$E$7+1))/הגדרות!$E$7)))</f>
        <v/>
      </c>
      <c r="J4335" s="0" t="str">
        <f aca="false">IF(I4335="","",IF(H4335-1&lt;הגדרות!$E$8*(הגדרות!$E$7+1),MOD(H4335-1,הגדרות!$E$7+1),MOD(H4335-1-הגדרות!$E$8*(הגדרות!$E$7+1),הגדרות!$E$7)))</f>
        <v/>
      </c>
      <c r="K4335" s="0" t="str">
        <f aca="false">IF(I4335="","",J4335*הגדרות!$E$6+I4335+1)</f>
        <v/>
      </c>
      <c r="L4335" s="0" t="str">
        <f aca="false">IF(K4335="","",MATCH(K4335,$F$2:$F$5001,0))</f>
        <v/>
      </c>
      <c r="M4335" s="0" t="str">
        <f aca="false">IF(I4335="","",INDEX(הגדרות!$A$2:$A$21,MOD(I4335+הגדרות!$E$9,הגדרות!$E$6)+1))</f>
        <v/>
      </c>
    </row>
    <row r="4336" customFormat="false" ht="15" hidden="false" customHeight="false" outlineLevel="0" collapsed="false">
      <c r="A4336" s="0" t="str">
        <f aca="false">IF('הדבקת לידים'!A4336="","",IF(ISNUMBER('הדבקת לידים'!A4336),IF(הגדרות!$E$2&gt;0,TEXT('הדבקת לידים'!A4336,REPT("0",הגדרות!$E$2)),TEXT('הדבקת לידים'!A4336,"0")),TRIM('הדבקת לידים'!A4336)))</f>
        <v/>
      </c>
      <c r="B4336" s="0" t="str">
        <f aca="false">IF('הדבקת לידים'!B4336="","",IF(ISNUMBER('הדבקת לידים'!B4336),IF(הגדרות!$E$3&gt;0,TEXT('הדבקת לידים'!B4336,REPT("0",הגדרות!$E$3)),TEXT('הדבקת לידים'!B4336,"0")),TRIM('הדבקת לידים'!B4336)))</f>
        <v/>
      </c>
      <c r="C4336" s="0" t="n">
        <f aca="false">IF(OR(A4336&lt;&gt;"",B4336&lt;&gt;""),1,0)</f>
        <v>0</v>
      </c>
      <c r="D4336" s="0" t="str">
        <f aca="false">IF(C4336=1,MOD(ABS(SIN(ROW()*12.9898+'הדבקת לידים'!$F$2*78.233+IFERROR(--RIGHT(A4336,6),LEN(A4336))*0.0137+IFERROR(--RIGHT(B4336,6),LEN(B4336))*0.0071))*43758.5453,1),"")</f>
        <v/>
      </c>
      <c r="E4336" s="0" t="str">
        <f aca="false">IF(C4336=1,INT(MOD(ABS(SIN(D4336*7919.123+ROW()*0.618+'הדבקת לידים'!$F$2*1.3))*43758.5453,1)*1000000)*10000+ROW(),"")</f>
        <v/>
      </c>
      <c r="F4336" s="0" t="str">
        <f aca="false">IF(E4336="","",RANK(E4336,$E$2:$E$5001,1))</f>
        <v/>
      </c>
      <c r="G4336" s="0" t="n">
        <f aca="false">IF(A4336="",0,IF(SUMPRODUCT(--($A$2:$A$5001=A4336))&gt;1,1,0))</f>
        <v>0</v>
      </c>
      <c r="H4336" s="0" t="n">
        <f aca="false">ROW()-1</f>
        <v>4335</v>
      </c>
      <c r="I4336" s="0" t="str">
        <f aca="false">IF(OR(הגדרות!$E$6=0,H4336&gt;הגדרות!$E$5),"",IF(H4336-1&lt;הגדרות!$E$8*(הגדרות!$E$7+1),INT((H4336-1)/(הגדרות!$E$7+1)),הגדרות!$E$8+INT((H4336-1-הגדרות!$E$8*(הגדרות!$E$7+1))/הגדרות!$E$7)))</f>
        <v/>
      </c>
      <c r="J4336" s="0" t="str">
        <f aca="false">IF(I4336="","",IF(H4336-1&lt;הגדרות!$E$8*(הגדרות!$E$7+1),MOD(H4336-1,הגדרות!$E$7+1),MOD(H4336-1-הגדרות!$E$8*(הגדרות!$E$7+1),הגדרות!$E$7)))</f>
        <v/>
      </c>
      <c r="K4336" s="0" t="str">
        <f aca="false">IF(I4336="","",J4336*הגדרות!$E$6+I4336+1)</f>
        <v/>
      </c>
      <c r="L4336" s="0" t="str">
        <f aca="false">IF(K4336="","",MATCH(K4336,$F$2:$F$5001,0))</f>
        <v/>
      </c>
      <c r="M4336" s="0" t="str">
        <f aca="false">IF(I4336="","",INDEX(הגדרות!$A$2:$A$21,MOD(I4336+הגדרות!$E$9,הגדרות!$E$6)+1))</f>
        <v/>
      </c>
    </row>
    <row r="4337" customFormat="false" ht="15" hidden="false" customHeight="false" outlineLevel="0" collapsed="false">
      <c r="A4337" s="0" t="str">
        <f aca="false">IF('הדבקת לידים'!A4337="","",IF(ISNUMBER('הדבקת לידים'!A4337),IF(הגדרות!$E$2&gt;0,TEXT('הדבקת לידים'!A4337,REPT("0",הגדרות!$E$2)),TEXT('הדבקת לידים'!A4337,"0")),TRIM('הדבקת לידים'!A4337)))</f>
        <v/>
      </c>
      <c r="B4337" s="0" t="str">
        <f aca="false">IF('הדבקת לידים'!B4337="","",IF(ISNUMBER('הדבקת לידים'!B4337),IF(הגדרות!$E$3&gt;0,TEXT('הדבקת לידים'!B4337,REPT("0",הגדרות!$E$3)),TEXT('הדבקת לידים'!B4337,"0")),TRIM('הדבקת לידים'!B4337)))</f>
        <v/>
      </c>
      <c r="C4337" s="0" t="n">
        <f aca="false">IF(OR(A4337&lt;&gt;"",B4337&lt;&gt;""),1,0)</f>
        <v>0</v>
      </c>
      <c r="D4337" s="0" t="str">
        <f aca="false">IF(C4337=1,MOD(ABS(SIN(ROW()*12.9898+'הדבקת לידים'!$F$2*78.233+IFERROR(--RIGHT(A4337,6),LEN(A4337))*0.0137+IFERROR(--RIGHT(B4337,6),LEN(B4337))*0.0071))*43758.5453,1),"")</f>
        <v/>
      </c>
      <c r="E4337" s="0" t="str">
        <f aca="false">IF(C4337=1,INT(MOD(ABS(SIN(D4337*7919.123+ROW()*0.618+'הדבקת לידים'!$F$2*1.3))*43758.5453,1)*1000000)*10000+ROW(),"")</f>
        <v/>
      </c>
      <c r="F4337" s="0" t="str">
        <f aca="false">IF(E4337="","",RANK(E4337,$E$2:$E$5001,1))</f>
        <v/>
      </c>
      <c r="G4337" s="0" t="n">
        <f aca="false">IF(A4337="",0,IF(SUMPRODUCT(--($A$2:$A$5001=A4337))&gt;1,1,0))</f>
        <v>0</v>
      </c>
      <c r="H4337" s="0" t="n">
        <f aca="false">ROW()-1</f>
        <v>4336</v>
      </c>
      <c r="I4337" s="0" t="str">
        <f aca="false">IF(OR(הגדרות!$E$6=0,H4337&gt;הגדרות!$E$5),"",IF(H4337-1&lt;הגדרות!$E$8*(הגדרות!$E$7+1),INT((H4337-1)/(הגדרות!$E$7+1)),הגדרות!$E$8+INT((H4337-1-הגדרות!$E$8*(הגדרות!$E$7+1))/הגדרות!$E$7)))</f>
        <v/>
      </c>
      <c r="J4337" s="0" t="str">
        <f aca="false">IF(I4337="","",IF(H4337-1&lt;הגדרות!$E$8*(הגדרות!$E$7+1),MOD(H4337-1,הגדרות!$E$7+1),MOD(H4337-1-הגדרות!$E$8*(הגדרות!$E$7+1),הגדרות!$E$7)))</f>
        <v/>
      </c>
      <c r="K4337" s="0" t="str">
        <f aca="false">IF(I4337="","",J4337*הגדרות!$E$6+I4337+1)</f>
        <v/>
      </c>
      <c r="L4337" s="0" t="str">
        <f aca="false">IF(K4337="","",MATCH(K4337,$F$2:$F$5001,0))</f>
        <v/>
      </c>
      <c r="M4337" s="0" t="str">
        <f aca="false">IF(I4337="","",INDEX(הגדרות!$A$2:$A$21,MOD(I4337+הגדרות!$E$9,הגדרות!$E$6)+1))</f>
        <v/>
      </c>
    </row>
    <row r="4338" customFormat="false" ht="15" hidden="false" customHeight="false" outlineLevel="0" collapsed="false">
      <c r="A4338" s="0" t="str">
        <f aca="false">IF('הדבקת לידים'!A4338="","",IF(ISNUMBER('הדבקת לידים'!A4338),IF(הגדרות!$E$2&gt;0,TEXT('הדבקת לידים'!A4338,REPT("0",הגדרות!$E$2)),TEXT('הדבקת לידים'!A4338,"0")),TRIM('הדבקת לידים'!A4338)))</f>
        <v/>
      </c>
      <c r="B4338" s="0" t="str">
        <f aca="false">IF('הדבקת לידים'!B4338="","",IF(ISNUMBER('הדבקת לידים'!B4338),IF(הגדרות!$E$3&gt;0,TEXT('הדבקת לידים'!B4338,REPT("0",הגדרות!$E$3)),TEXT('הדבקת לידים'!B4338,"0")),TRIM('הדבקת לידים'!B4338)))</f>
        <v/>
      </c>
      <c r="C4338" s="0" t="n">
        <f aca="false">IF(OR(A4338&lt;&gt;"",B4338&lt;&gt;""),1,0)</f>
        <v>0</v>
      </c>
      <c r="D4338" s="0" t="str">
        <f aca="false">IF(C4338=1,MOD(ABS(SIN(ROW()*12.9898+'הדבקת לידים'!$F$2*78.233+IFERROR(--RIGHT(A4338,6),LEN(A4338))*0.0137+IFERROR(--RIGHT(B4338,6),LEN(B4338))*0.0071))*43758.5453,1),"")</f>
        <v/>
      </c>
      <c r="E4338" s="0" t="str">
        <f aca="false">IF(C4338=1,INT(MOD(ABS(SIN(D4338*7919.123+ROW()*0.618+'הדבקת לידים'!$F$2*1.3))*43758.5453,1)*1000000)*10000+ROW(),"")</f>
        <v/>
      </c>
      <c r="F4338" s="0" t="str">
        <f aca="false">IF(E4338="","",RANK(E4338,$E$2:$E$5001,1))</f>
        <v/>
      </c>
      <c r="G4338" s="0" t="n">
        <f aca="false">IF(A4338="",0,IF(SUMPRODUCT(--($A$2:$A$5001=A4338))&gt;1,1,0))</f>
        <v>0</v>
      </c>
      <c r="H4338" s="0" t="n">
        <f aca="false">ROW()-1</f>
        <v>4337</v>
      </c>
      <c r="I4338" s="0" t="str">
        <f aca="false">IF(OR(הגדרות!$E$6=0,H4338&gt;הגדרות!$E$5),"",IF(H4338-1&lt;הגדרות!$E$8*(הגדרות!$E$7+1),INT((H4338-1)/(הגדרות!$E$7+1)),הגדרות!$E$8+INT((H4338-1-הגדרות!$E$8*(הגדרות!$E$7+1))/הגדרות!$E$7)))</f>
        <v/>
      </c>
      <c r="J4338" s="0" t="str">
        <f aca="false">IF(I4338="","",IF(H4338-1&lt;הגדרות!$E$8*(הגדרות!$E$7+1),MOD(H4338-1,הגדרות!$E$7+1),MOD(H4338-1-הגדרות!$E$8*(הגדרות!$E$7+1),הגדרות!$E$7)))</f>
        <v/>
      </c>
      <c r="K4338" s="0" t="str">
        <f aca="false">IF(I4338="","",J4338*הגדרות!$E$6+I4338+1)</f>
        <v/>
      </c>
      <c r="L4338" s="0" t="str">
        <f aca="false">IF(K4338="","",MATCH(K4338,$F$2:$F$5001,0))</f>
        <v/>
      </c>
      <c r="M4338" s="0" t="str">
        <f aca="false">IF(I4338="","",INDEX(הגדרות!$A$2:$A$21,MOD(I4338+הגדרות!$E$9,הגדרות!$E$6)+1))</f>
        <v/>
      </c>
    </row>
    <row r="4339" customFormat="false" ht="15" hidden="false" customHeight="false" outlineLevel="0" collapsed="false">
      <c r="A4339" s="0" t="str">
        <f aca="false">IF('הדבקת לידים'!A4339="","",IF(ISNUMBER('הדבקת לידים'!A4339),IF(הגדרות!$E$2&gt;0,TEXT('הדבקת לידים'!A4339,REPT("0",הגדרות!$E$2)),TEXT('הדבקת לידים'!A4339,"0")),TRIM('הדבקת לידים'!A4339)))</f>
        <v/>
      </c>
      <c r="B4339" s="0" t="str">
        <f aca="false">IF('הדבקת לידים'!B4339="","",IF(ISNUMBER('הדבקת לידים'!B4339),IF(הגדרות!$E$3&gt;0,TEXT('הדבקת לידים'!B4339,REPT("0",הגדרות!$E$3)),TEXT('הדבקת לידים'!B4339,"0")),TRIM('הדבקת לידים'!B4339)))</f>
        <v/>
      </c>
      <c r="C4339" s="0" t="n">
        <f aca="false">IF(OR(A4339&lt;&gt;"",B4339&lt;&gt;""),1,0)</f>
        <v>0</v>
      </c>
      <c r="D4339" s="0" t="str">
        <f aca="false">IF(C4339=1,MOD(ABS(SIN(ROW()*12.9898+'הדבקת לידים'!$F$2*78.233+IFERROR(--RIGHT(A4339,6),LEN(A4339))*0.0137+IFERROR(--RIGHT(B4339,6),LEN(B4339))*0.0071))*43758.5453,1),"")</f>
        <v/>
      </c>
      <c r="E4339" s="0" t="str">
        <f aca="false">IF(C4339=1,INT(MOD(ABS(SIN(D4339*7919.123+ROW()*0.618+'הדבקת לידים'!$F$2*1.3))*43758.5453,1)*1000000)*10000+ROW(),"")</f>
        <v/>
      </c>
      <c r="F4339" s="0" t="str">
        <f aca="false">IF(E4339="","",RANK(E4339,$E$2:$E$5001,1))</f>
        <v/>
      </c>
      <c r="G4339" s="0" t="n">
        <f aca="false">IF(A4339="",0,IF(SUMPRODUCT(--($A$2:$A$5001=A4339))&gt;1,1,0))</f>
        <v>0</v>
      </c>
      <c r="H4339" s="0" t="n">
        <f aca="false">ROW()-1</f>
        <v>4338</v>
      </c>
      <c r="I4339" s="0" t="str">
        <f aca="false">IF(OR(הגדרות!$E$6=0,H4339&gt;הגדרות!$E$5),"",IF(H4339-1&lt;הגדרות!$E$8*(הגדרות!$E$7+1),INT((H4339-1)/(הגדרות!$E$7+1)),הגדרות!$E$8+INT((H4339-1-הגדרות!$E$8*(הגדרות!$E$7+1))/הגדרות!$E$7)))</f>
        <v/>
      </c>
      <c r="J4339" s="0" t="str">
        <f aca="false">IF(I4339="","",IF(H4339-1&lt;הגדרות!$E$8*(הגדרות!$E$7+1),MOD(H4339-1,הגדרות!$E$7+1),MOD(H4339-1-הגדרות!$E$8*(הגדרות!$E$7+1),הגדרות!$E$7)))</f>
        <v/>
      </c>
      <c r="K4339" s="0" t="str">
        <f aca="false">IF(I4339="","",J4339*הגדרות!$E$6+I4339+1)</f>
        <v/>
      </c>
      <c r="L4339" s="0" t="str">
        <f aca="false">IF(K4339="","",MATCH(K4339,$F$2:$F$5001,0))</f>
        <v/>
      </c>
      <c r="M4339" s="0" t="str">
        <f aca="false">IF(I4339="","",INDEX(הגדרות!$A$2:$A$21,MOD(I4339+הגדרות!$E$9,הגדרות!$E$6)+1))</f>
        <v/>
      </c>
    </row>
    <row r="4340" customFormat="false" ht="15" hidden="false" customHeight="false" outlineLevel="0" collapsed="false">
      <c r="A4340" s="0" t="str">
        <f aca="false">IF('הדבקת לידים'!A4340="","",IF(ISNUMBER('הדבקת לידים'!A4340),IF(הגדרות!$E$2&gt;0,TEXT('הדבקת לידים'!A4340,REPT("0",הגדרות!$E$2)),TEXT('הדבקת לידים'!A4340,"0")),TRIM('הדבקת לידים'!A4340)))</f>
        <v/>
      </c>
      <c r="B4340" s="0" t="str">
        <f aca="false">IF('הדבקת לידים'!B4340="","",IF(ISNUMBER('הדבקת לידים'!B4340),IF(הגדרות!$E$3&gt;0,TEXT('הדבקת לידים'!B4340,REPT("0",הגדרות!$E$3)),TEXT('הדבקת לידים'!B4340,"0")),TRIM('הדבקת לידים'!B4340)))</f>
        <v/>
      </c>
      <c r="C4340" s="0" t="n">
        <f aca="false">IF(OR(A4340&lt;&gt;"",B4340&lt;&gt;""),1,0)</f>
        <v>0</v>
      </c>
      <c r="D4340" s="0" t="str">
        <f aca="false">IF(C4340=1,MOD(ABS(SIN(ROW()*12.9898+'הדבקת לידים'!$F$2*78.233+IFERROR(--RIGHT(A4340,6),LEN(A4340))*0.0137+IFERROR(--RIGHT(B4340,6),LEN(B4340))*0.0071))*43758.5453,1),"")</f>
        <v/>
      </c>
      <c r="E4340" s="0" t="str">
        <f aca="false">IF(C4340=1,INT(MOD(ABS(SIN(D4340*7919.123+ROW()*0.618+'הדבקת לידים'!$F$2*1.3))*43758.5453,1)*1000000)*10000+ROW(),"")</f>
        <v/>
      </c>
      <c r="F4340" s="0" t="str">
        <f aca="false">IF(E4340="","",RANK(E4340,$E$2:$E$5001,1))</f>
        <v/>
      </c>
      <c r="G4340" s="0" t="n">
        <f aca="false">IF(A4340="",0,IF(SUMPRODUCT(--($A$2:$A$5001=A4340))&gt;1,1,0))</f>
        <v>0</v>
      </c>
      <c r="H4340" s="0" t="n">
        <f aca="false">ROW()-1</f>
        <v>4339</v>
      </c>
      <c r="I4340" s="0" t="str">
        <f aca="false">IF(OR(הגדרות!$E$6=0,H4340&gt;הגדרות!$E$5),"",IF(H4340-1&lt;הגדרות!$E$8*(הגדרות!$E$7+1),INT((H4340-1)/(הגדרות!$E$7+1)),הגדרות!$E$8+INT((H4340-1-הגדרות!$E$8*(הגדרות!$E$7+1))/הגדרות!$E$7)))</f>
        <v/>
      </c>
      <c r="J4340" s="0" t="str">
        <f aca="false">IF(I4340="","",IF(H4340-1&lt;הגדרות!$E$8*(הגדרות!$E$7+1),MOD(H4340-1,הגדרות!$E$7+1),MOD(H4340-1-הגדרות!$E$8*(הגדרות!$E$7+1),הגדרות!$E$7)))</f>
        <v/>
      </c>
      <c r="K4340" s="0" t="str">
        <f aca="false">IF(I4340="","",J4340*הגדרות!$E$6+I4340+1)</f>
        <v/>
      </c>
      <c r="L4340" s="0" t="str">
        <f aca="false">IF(K4340="","",MATCH(K4340,$F$2:$F$5001,0))</f>
        <v/>
      </c>
      <c r="M4340" s="0" t="str">
        <f aca="false">IF(I4340="","",INDEX(הגדרות!$A$2:$A$21,MOD(I4340+הגדרות!$E$9,הגדרות!$E$6)+1))</f>
        <v/>
      </c>
    </row>
    <row r="4341" customFormat="false" ht="15" hidden="false" customHeight="false" outlineLevel="0" collapsed="false">
      <c r="A4341" s="0" t="str">
        <f aca="false">IF('הדבקת לידים'!A4341="","",IF(ISNUMBER('הדבקת לידים'!A4341),IF(הגדרות!$E$2&gt;0,TEXT('הדבקת לידים'!A4341,REPT("0",הגדרות!$E$2)),TEXT('הדבקת לידים'!A4341,"0")),TRIM('הדבקת לידים'!A4341)))</f>
        <v/>
      </c>
      <c r="B4341" s="0" t="str">
        <f aca="false">IF('הדבקת לידים'!B4341="","",IF(ISNUMBER('הדבקת לידים'!B4341),IF(הגדרות!$E$3&gt;0,TEXT('הדבקת לידים'!B4341,REPT("0",הגדרות!$E$3)),TEXT('הדבקת לידים'!B4341,"0")),TRIM('הדבקת לידים'!B4341)))</f>
        <v/>
      </c>
      <c r="C4341" s="0" t="n">
        <f aca="false">IF(OR(A4341&lt;&gt;"",B4341&lt;&gt;""),1,0)</f>
        <v>0</v>
      </c>
      <c r="D4341" s="0" t="str">
        <f aca="false">IF(C4341=1,MOD(ABS(SIN(ROW()*12.9898+'הדבקת לידים'!$F$2*78.233+IFERROR(--RIGHT(A4341,6),LEN(A4341))*0.0137+IFERROR(--RIGHT(B4341,6),LEN(B4341))*0.0071))*43758.5453,1),"")</f>
        <v/>
      </c>
      <c r="E4341" s="0" t="str">
        <f aca="false">IF(C4341=1,INT(MOD(ABS(SIN(D4341*7919.123+ROW()*0.618+'הדבקת לידים'!$F$2*1.3))*43758.5453,1)*1000000)*10000+ROW(),"")</f>
        <v/>
      </c>
      <c r="F4341" s="0" t="str">
        <f aca="false">IF(E4341="","",RANK(E4341,$E$2:$E$5001,1))</f>
        <v/>
      </c>
      <c r="G4341" s="0" t="n">
        <f aca="false">IF(A4341="",0,IF(SUMPRODUCT(--($A$2:$A$5001=A4341))&gt;1,1,0))</f>
        <v>0</v>
      </c>
      <c r="H4341" s="0" t="n">
        <f aca="false">ROW()-1</f>
        <v>4340</v>
      </c>
      <c r="I4341" s="0" t="str">
        <f aca="false">IF(OR(הגדרות!$E$6=0,H4341&gt;הגדרות!$E$5),"",IF(H4341-1&lt;הגדרות!$E$8*(הגדרות!$E$7+1),INT((H4341-1)/(הגדרות!$E$7+1)),הגדרות!$E$8+INT((H4341-1-הגדרות!$E$8*(הגדרות!$E$7+1))/הגדרות!$E$7)))</f>
        <v/>
      </c>
      <c r="J4341" s="0" t="str">
        <f aca="false">IF(I4341="","",IF(H4341-1&lt;הגדרות!$E$8*(הגדרות!$E$7+1),MOD(H4341-1,הגדרות!$E$7+1),MOD(H4341-1-הגדרות!$E$8*(הגדרות!$E$7+1),הגדרות!$E$7)))</f>
        <v/>
      </c>
      <c r="K4341" s="0" t="str">
        <f aca="false">IF(I4341="","",J4341*הגדרות!$E$6+I4341+1)</f>
        <v/>
      </c>
      <c r="L4341" s="0" t="str">
        <f aca="false">IF(K4341="","",MATCH(K4341,$F$2:$F$5001,0))</f>
        <v/>
      </c>
      <c r="M4341" s="0" t="str">
        <f aca="false">IF(I4341="","",INDEX(הגדרות!$A$2:$A$21,MOD(I4341+הגדרות!$E$9,הגדרות!$E$6)+1))</f>
        <v/>
      </c>
    </row>
    <row r="4342" customFormat="false" ht="15" hidden="false" customHeight="false" outlineLevel="0" collapsed="false">
      <c r="A4342" s="0" t="str">
        <f aca="false">IF('הדבקת לידים'!A4342="","",IF(ISNUMBER('הדבקת לידים'!A4342),IF(הגדרות!$E$2&gt;0,TEXT('הדבקת לידים'!A4342,REPT("0",הגדרות!$E$2)),TEXT('הדבקת לידים'!A4342,"0")),TRIM('הדבקת לידים'!A4342)))</f>
        <v/>
      </c>
      <c r="B4342" s="0" t="str">
        <f aca="false">IF('הדבקת לידים'!B4342="","",IF(ISNUMBER('הדבקת לידים'!B4342),IF(הגדרות!$E$3&gt;0,TEXT('הדבקת לידים'!B4342,REPT("0",הגדרות!$E$3)),TEXT('הדבקת לידים'!B4342,"0")),TRIM('הדבקת לידים'!B4342)))</f>
        <v/>
      </c>
      <c r="C4342" s="0" t="n">
        <f aca="false">IF(OR(A4342&lt;&gt;"",B4342&lt;&gt;""),1,0)</f>
        <v>0</v>
      </c>
      <c r="D4342" s="0" t="str">
        <f aca="false">IF(C4342=1,MOD(ABS(SIN(ROW()*12.9898+'הדבקת לידים'!$F$2*78.233+IFERROR(--RIGHT(A4342,6),LEN(A4342))*0.0137+IFERROR(--RIGHT(B4342,6),LEN(B4342))*0.0071))*43758.5453,1),"")</f>
        <v/>
      </c>
      <c r="E4342" s="0" t="str">
        <f aca="false">IF(C4342=1,INT(MOD(ABS(SIN(D4342*7919.123+ROW()*0.618+'הדבקת לידים'!$F$2*1.3))*43758.5453,1)*1000000)*10000+ROW(),"")</f>
        <v/>
      </c>
      <c r="F4342" s="0" t="str">
        <f aca="false">IF(E4342="","",RANK(E4342,$E$2:$E$5001,1))</f>
        <v/>
      </c>
      <c r="G4342" s="0" t="n">
        <f aca="false">IF(A4342="",0,IF(SUMPRODUCT(--($A$2:$A$5001=A4342))&gt;1,1,0))</f>
        <v>0</v>
      </c>
      <c r="H4342" s="0" t="n">
        <f aca="false">ROW()-1</f>
        <v>4341</v>
      </c>
      <c r="I4342" s="0" t="str">
        <f aca="false">IF(OR(הגדרות!$E$6=0,H4342&gt;הגדרות!$E$5),"",IF(H4342-1&lt;הגדרות!$E$8*(הגדרות!$E$7+1),INT((H4342-1)/(הגדרות!$E$7+1)),הגדרות!$E$8+INT((H4342-1-הגדרות!$E$8*(הגדרות!$E$7+1))/הגדרות!$E$7)))</f>
        <v/>
      </c>
      <c r="J4342" s="0" t="str">
        <f aca="false">IF(I4342="","",IF(H4342-1&lt;הגדרות!$E$8*(הגדרות!$E$7+1),MOD(H4342-1,הגדרות!$E$7+1),MOD(H4342-1-הגדרות!$E$8*(הגדרות!$E$7+1),הגדרות!$E$7)))</f>
        <v/>
      </c>
      <c r="K4342" s="0" t="str">
        <f aca="false">IF(I4342="","",J4342*הגדרות!$E$6+I4342+1)</f>
        <v/>
      </c>
      <c r="L4342" s="0" t="str">
        <f aca="false">IF(K4342="","",MATCH(K4342,$F$2:$F$5001,0))</f>
        <v/>
      </c>
      <c r="M4342" s="0" t="str">
        <f aca="false">IF(I4342="","",INDEX(הגדרות!$A$2:$A$21,MOD(I4342+הגדרות!$E$9,הגדרות!$E$6)+1))</f>
        <v/>
      </c>
    </row>
    <row r="4343" customFormat="false" ht="15" hidden="false" customHeight="false" outlineLevel="0" collapsed="false">
      <c r="A4343" s="0" t="str">
        <f aca="false">IF('הדבקת לידים'!A4343="","",IF(ISNUMBER('הדבקת לידים'!A4343),IF(הגדרות!$E$2&gt;0,TEXT('הדבקת לידים'!A4343,REPT("0",הגדרות!$E$2)),TEXT('הדבקת לידים'!A4343,"0")),TRIM('הדבקת לידים'!A4343)))</f>
        <v/>
      </c>
      <c r="B4343" s="0" t="str">
        <f aca="false">IF('הדבקת לידים'!B4343="","",IF(ISNUMBER('הדבקת לידים'!B4343),IF(הגדרות!$E$3&gt;0,TEXT('הדבקת לידים'!B4343,REPT("0",הגדרות!$E$3)),TEXT('הדבקת לידים'!B4343,"0")),TRIM('הדבקת לידים'!B4343)))</f>
        <v/>
      </c>
      <c r="C4343" s="0" t="n">
        <f aca="false">IF(OR(A4343&lt;&gt;"",B4343&lt;&gt;""),1,0)</f>
        <v>0</v>
      </c>
      <c r="D4343" s="0" t="str">
        <f aca="false">IF(C4343=1,MOD(ABS(SIN(ROW()*12.9898+'הדבקת לידים'!$F$2*78.233+IFERROR(--RIGHT(A4343,6),LEN(A4343))*0.0137+IFERROR(--RIGHT(B4343,6),LEN(B4343))*0.0071))*43758.5453,1),"")</f>
        <v/>
      </c>
      <c r="E4343" s="0" t="str">
        <f aca="false">IF(C4343=1,INT(MOD(ABS(SIN(D4343*7919.123+ROW()*0.618+'הדבקת לידים'!$F$2*1.3))*43758.5453,1)*1000000)*10000+ROW(),"")</f>
        <v/>
      </c>
      <c r="F4343" s="0" t="str">
        <f aca="false">IF(E4343="","",RANK(E4343,$E$2:$E$5001,1))</f>
        <v/>
      </c>
      <c r="G4343" s="0" t="n">
        <f aca="false">IF(A4343="",0,IF(SUMPRODUCT(--($A$2:$A$5001=A4343))&gt;1,1,0))</f>
        <v>0</v>
      </c>
      <c r="H4343" s="0" t="n">
        <f aca="false">ROW()-1</f>
        <v>4342</v>
      </c>
      <c r="I4343" s="0" t="str">
        <f aca="false">IF(OR(הגדרות!$E$6=0,H4343&gt;הגדרות!$E$5),"",IF(H4343-1&lt;הגדרות!$E$8*(הגדרות!$E$7+1),INT((H4343-1)/(הגדרות!$E$7+1)),הגדרות!$E$8+INT((H4343-1-הגדרות!$E$8*(הגדרות!$E$7+1))/הגדרות!$E$7)))</f>
        <v/>
      </c>
      <c r="J4343" s="0" t="str">
        <f aca="false">IF(I4343="","",IF(H4343-1&lt;הגדרות!$E$8*(הגדרות!$E$7+1),MOD(H4343-1,הגדרות!$E$7+1),MOD(H4343-1-הגדרות!$E$8*(הגדרות!$E$7+1),הגדרות!$E$7)))</f>
        <v/>
      </c>
      <c r="K4343" s="0" t="str">
        <f aca="false">IF(I4343="","",J4343*הגדרות!$E$6+I4343+1)</f>
        <v/>
      </c>
      <c r="L4343" s="0" t="str">
        <f aca="false">IF(K4343="","",MATCH(K4343,$F$2:$F$5001,0))</f>
        <v/>
      </c>
      <c r="M4343" s="0" t="str">
        <f aca="false">IF(I4343="","",INDEX(הגדרות!$A$2:$A$21,MOD(I4343+הגדרות!$E$9,הגדרות!$E$6)+1))</f>
        <v/>
      </c>
    </row>
    <row r="4344" customFormat="false" ht="15" hidden="false" customHeight="false" outlineLevel="0" collapsed="false">
      <c r="A4344" s="0" t="str">
        <f aca="false">IF('הדבקת לידים'!A4344="","",IF(ISNUMBER('הדבקת לידים'!A4344),IF(הגדרות!$E$2&gt;0,TEXT('הדבקת לידים'!A4344,REPT("0",הגדרות!$E$2)),TEXT('הדבקת לידים'!A4344,"0")),TRIM('הדבקת לידים'!A4344)))</f>
        <v/>
      </c>
      <c r="B4344" s="0" t="str">
        <f aca="false">IF('הדבקת לידים'!B4344="","",IF(ISNUMBER('הדבקת לידים'!B4344),IF(הגדרות!$E$3&gt;0,TEXT('הדבקת לידים'!B4344,REPT("0",הגדרות!$E$3)),TEXT('הדבקת לידים'!B4344,"0")),TRIM('הדבקת לידים'!B4344)))</f>
        <v/>
      </c>
      <c r="C4344" s="0" t="n">
        <f aca="false">IF(OR(A4344&lt;&gt;"",B4344&lt;&gt;""),1,0)</f>
        <v>0</v>
      </c>
      <c r="D4344" s="0" t="str">
        <f aca="false">IF(C4344=1,MOD(ABS(SIN(ROW()*12.9898+'הדבקת לידים'!$F$2*78.233+IFERROR(--RIGHT(A4344,6),LEN(A4344))*0.0137+IFERROR(--RIGHT(B4344,6),LEN(B4344))*0.0071))*43758.5453,1),"")</f>
        <v/>
      </c>
      <c r="E4344" s="0" t="str">
        <f aca="false">IF(C4344=1,INT(MOD(ABS(SIN(D4344*7919.123+ROW()*0.618+'הדבקת לידים'!$F$2*1.3))*43758.5453,1)*1000000)*10000+ROW(),"")</f>
        <v/>
      </c>
      <c r="F4344" s="0" t="str">
        <f aca="false">IF(E4344="","",RANK(E4344,$E$2:$E$5001,1))</f>
        <v/>
      </c>
      <c r="G4344" s="0" t="n">
        <f aca="false">IF(A4344="",0,IF(SUMPRODUCT(--($A$2:$A$5001=A4344))&gt;1,1,0))</f>
        <v>0</v>
      </c>
      <c r="H4344" s="0" t="n">
        <f aca="false">ROW()-1</f>
        <v>4343</v>
      </c>
      <c r="I4344" s="0" t="str">
        <f aca="false">IF(OR(הגדרות!$E$6=0,H4344&gt;הגדרות!$E$5),"",IF(H4344-1&lt;הגדרות!$E$8*(הגדרות!$E$7+1),INT((H4344-1)/(הגדרות!$E$7+1)),הגדרות!$E$8+INT((H4344-1-הגדרות!$E$8*(הגדרות!$E$7+1))/הגדרות!$E$7)))</f>
        <v/>
      </c>
      <c r="J4344" s="0" t="str">
        <f aca="false">IF(I4344="","",IF(H4344-1&lt;הגדרות!$E$8*(הגדרות!$E$7+1),MOD(H4344-1,הגדרות!$E$7+1),MOD(H4344-1-הגדרות!$E$8*(הגדרות!$E$7+1),הגדרות!$E$7)))</f>
        <v/>
      </c>
      <c r="K4344" s="0" t="str">
        <f aca="false">IF(I4344="","",J4344*הגדרות!$E$6+I4344+1)</f>
        <v/>
      </c>
      <c r="L4344" s="0" t="str">
        <f aca="false">IF(K4344="","",MATCH(K4344,$F$2:$F$5001,0))</f>
        <v/>
      </c>
      <c r="M4344" s="0" t="str">
        <f aca="false">IF(I4344="","",INDEX(הגדרות!$A$2:$A$21,MOD(I4344+הגדרות!$E$9,הגדרות!$E$6)+1))</f>
        <v/>
      </c>
    </row>
    <row r="4345" customFormat="false" ht="15" hidden="false" customHeight="false" outlineLevel="0" collapsed="false">
      <c r="A4345" s="0" t="str">
        <f aca="false">IF('הדבקת לידים'!A4345="","",IF(ISNUMBER('הדבקת לידים'!A4345),IF(הגדרות!$E$2&gt;0,TEXT('הדבקת לידים'!A4345,REPT("0",הגדרות!$E$2)),TEXT('הדבקת לידים'!A4345,"0")),TRIM('הדבקת לידים'!A4345)))</f>
        <v/>
      </c>
      <c r="B4345" s="0" t="str">
        <f aca="false">IF('הדבקת לידים'!B4345="","",IF(ISNUMBER('הדבקת לידים'!B4345),IF(הגדרות!$E$3&gt;0,TEXT('הדבקת לידים'!B4345,REPT("0",הגדרות!$E$3)),TEXT('הדבקת לידים'!B4345,"0")),TRIM('הדבקת לידים'!B4345)))</f>
        <v/>
      </c>
      <c r="C4345" s="0" t="n">
        <f aca="false">IF(OR(A4345&lt;&gt;"",B4345&lt;&gt;""),1,0)</f>
        <v>0</v>
      </c>
      <c r="D4345" s="0" t="str">
        <f aca="false">IF(C4345=1,MOD(ABS(SIN(ROW()*12.9898+'הדבקת לידים'!$F$2*78.233+IFERROR(--RIGHT(A4345,6),LEN(A4345))*0.0137+IFERROR(--RIGHT(B4345,6),LEN(B4345))*0.0071))*43758.5453,1),"")</f>
        <v/>
      </c>
      <c r="E4345" s="0" t="str">
        <f aca="false">IF(C4345=1,INT(MOD(ABS(SIN(D4345*7919.123+ROW()*0.618+'הדבקת לידים'!$F$2*1.3))*43758.5453,1)*1000000)*10000+ROW(),"")</f>
        <v/>
      </c>
      <c r="F4345" s="0" t="str">
        <f aca="false">IF(E4345="","",RANK(E4345,$E$2:$E$5001,1))</f>
        <v/>
      </c>
      <c r="G4345" s="0" t="n">
        <f aca="false">IF(A4345="",0,IF(SUMPRODUCT(--($A$2:$A$5001=A4345))&gt;1,1,0))</f>
        <v>0</v>
      </c>
      <c r="H4345" s="0" t="n">
        <f aca="false">ROW()-1</f>
        <v>4344</v>
      </c>
      <c r="I4345" s="0" t="str">
        <f aca="false">IF(OR(הגדרות!$E$6=0,H4345&gt;הגדרות!$E$5),"",IF(H4345-1&lt;הגדרות!$E$8*(הגדרות!$E$7+1),INT((H4345-1)/(הגדרות!$E$7+1)),הגדרות!$E$8+INT((H4345-1-הגדרות!$E$8*(הגדרות!$E$7+1))/הגדרות!$E$7)))</f>
        <v/>
      </c>
      <c r="J4345" s="0" t="str">
        <f aca="false">IF(I4345="","",IF(H4345-1&lt;הגדרות!$E$8*(הגדרות!$E$7+1),MOD(H4345-1,הגדרות!$E$7+1),MOD(H4345-1-הגדרות!$E$8*(הגדרות!$E$7+1),הגדרות!$E$7)))</f>
        <v/>
      </c>
      <c r="K4345" s="0" t="str">
        <f aca="false">IF(I4345="","",J4345*הגדרות!$E$6+I4345+1)</f>
        <v/>
      </c>
      <c r="L4345" s="0" t="str">
        <f aca="false">IF(K4345="","",MATCH(K4345,$F$2:$F$5001,0))</f>
        <v/>
      </c>
      <c r="M4345" s="0" t="str">
        <f aca="false">IF(I4345="","",INDEX(הגדרות!$A$2:$A$21,MOD(I4345+הגדרות!$E$9,הגדרות!$E$6)+1))</f>
        <v/>
      </c>
    </row>
    <row r="4346" customFormat="false" ht="15" hidden="false" customHeight="false" outlineLevel="0" collapsed="false">
      <c r="A4346" s="0" t="str">
        <f aca="false">IF('הדבקת לידים'!A4346="","",IF(ISNUMBER('הדבקת לידים'!A4346),IF(הגדרות!$E$2&gt;0,TEXT('הדבקת לידים'!A4346,REPT("0",הגדרות!$E$2)),TEXT('הדבקת לידים'!A4346,"0")),TRIM('הדבקת לידים'!A4346)))</f>
        <v/>
      </c>
      <c r="B4346" s="0" t="str">
        <f aca="false">IF('הדבקת לידים'!B4346="","",IF(ISNUMBER('הדבקת לידים'!B4346),IF(הגדרות!$E$3&gt;0,TEXT('הדבקת לידים'!B4346,REPT("0",הגדרות!$E$3)),TEXT('הדבקת לידים'!B4346,"0")),TRIM('הדבקת לידים'!B4346)))</f>
        <v/>
      </c>
      <c r="C4346" s="0" t="n">
        <f aca="false">IF(OR(A4346&lt;&gt;"",B4346&lt;&gt;""),1,0)</f>
        <v>0</v>
      </c>
      <c r="D4346" s="0" t="str">
        <f aca="false">IF(C4346=1,MOD(ABS(SIN(ROW()*12.9898+'הדבקת לידים'!$F$2*78.233+IFERROR(--RIGHT(A4346,6),LEN(A4346))*0.0137+IFERROR(--RIGHT(B4346,6),LEN(B4346))*0.0071))*43758.5453,1),"")</f>
        <v/>
      </c>
      <c r="E4346" s="0" t="str">
        <f aca="false">IF(C4346=1,INT(MOD(ABS(SIN(D4346*7919.123+ROW()*0.618+'הדבקת לידים'!$F$2*1.3))*43758.5453,1)*1000000)*10000+ROW(),"")</f>
        <v/>
      </c>
      <c r="F4346" s="0" t="str">
        <f aca="false">IF(E4346="","",RANK(E4346,$E$2:$E$5001,1))</f>
        <v/>
      </c>
      <c r="G4346" s="0" t="n">
        <f aca="false">IF(A4346="",0,IF(SUMPRODUCT(--($A$2:$A$5001=A4346))&gt;1,1,0))</f>
        <v>0</v>
      </c>
      <c r="H4346" s="0" t="n">
        <f aca="false">ROW()-1</f>
        <v>4345</v>
      </c>
      <c r="I4346" s="0" t="str">
        <f aca="false">IF(OR(הגדרות!$E$6=0,H4346&gt;הגדרות!$E$5),"",IF(H4346-1&lt;הגדרות!$E$8*(הגדרות!$E$7+1),INT((H4346-1)/(הגדרות!$E$7+1)),הגדרות!$E$8+INT((H4346-1-הגדרות!$E$8*(הגדרות!$E$7+1))/הגדרות!$E$7)))</f>
        <v/>
      </c>
      <c r="J4346" s="0" t="str">
        <f aca="false">IF(I4346="","",IF(H4346-1&lt;הגדרות!$E$8*(הגדרות!$E$7+1),MOD(H4346-1,הגדרות!$E$7+1),MOD(H4346-1-הגדרות!$E$8*(הגדרות!$E$7+1),הגדרות!$E$7)))</f>
        <v/>
      </c>
      <c r="K4346" s="0" t="str">
        <f aca="false">IF(I4346="","",J4346*הגדרות!$E$6+I4346+1)</f>
        <v/>
      </c>
      <c r="L4346" s="0" t="str">
        <f aca="false">IF(K4346="","",MATCH(K4346,$F$2:$F$5001,0))</f>
        <v/>
      </c>
      <c r="M4346" s="0" t="str">
        <f aca="false">IF(I4346="","",INDEX(הגדרות!$A$2:$A$21,MOD(I4346+הגדרות!$E$9,הגדרות!$E$6)+1))</f>
        <v/>
      </c>
    </row>
    <row r="4347" customFormat="false" ht="15" hidden="false" customHeight="false" outlineLevel="0" collapsed="false">
      <c r="A4347" s="0" t="str">
        <f aca="false">IF('הדבקת לידים'!A4347="","",IF(ISNUMBER('הדבקת לידים'!A4347),IF(הגדרות!$E$2&gt;0,TEXT('הדבקת לידים'!A4347,REPT("0",הגדרות!$E$2)),TEXT('הדבקת לידים'!A4347,"0")),TRIM('הדבקת לידים'!A4347)))</f>
        <v/>
      </c>
      <c r="B4347" s="0" t="str">
        <f aca="false">IF('הדבקת לידים'!B4347="","",IF(ISNUMBER('הדבקת לידים'!B4347),IF(הגדרות!$E$3&gt;0,TEXT('הדבקת לידים'!B4347,REPT("0",הגדרות!$E$3)),TEXT('הדבקת לידים'!B4347,"0")),TRIM('הדבקת לידים'!B4347)))</f>
        <v/>
      </c>
      <c r="C4347" s="0" t="n">
        <f aca="false">IF(OR(A4347&lt;&gt;"",B4347&lt;&gt;""),1,0)</f>
        <v>0</v>
      </c>
      <c r="D4347" s="0" t="str">
        <f aca="false">IF(C4347=1,MOD(ABS(SIN(ROW()*12.9898+'הדבקת לידים'!$F$2*78.233+IFERROR(--RIGHT(A4347,6),LEN(A4347))*0.0137+IFERROR(--RIGHT(B4347,6),LEN(B4347))*0.0071))*43758.5453,1),"")</f>
        <v/>
      </c>
      <c r="E4347" s="0" t="str">
        <f aca="false">IF(C4347=1,INT(MOD(ABS(SIN(D4347*7919.123+ROW()*0.618+'הדבקת לידים'!$F$2*1.3))*43758.5453,1)*1000000)*10000+ROW(),"")</f>
        <v/>
      </c>
      <c r="F4347" s="0" t="str">
        <f aca="false">IF(E4347="","",RANK(E4347,$E$2:$E$5001,1))</f>
        <v/>
      </c>
      <c r="G4347" s="0" t="n">
        <f aca="false">IF(A4347="",0,IF(SUMPRODUCT(--($A$2:$A$5001=A4347))&gt;1,1,0))</f>
        <v>0</v>
      </c>
      <c r="H4347" s="0" t="n">
        <f aca="false">ROW()-1</f>
        <v>4346</v>
      </c>
      <c r="I4347" s="0" t="str">
        <f aca="false">IF(OR(הגדרות!$E$6=0,H4347&gt;הגדרות!$E$5),"",IF(H4347-1&lt;הגדרות!$E$8*(הגדרות!$E$7+1),INT((H4347-1)/(הגדרות!$E$7+1)),הגדרות!$E$8+INT((H4347-1-הגדרות!$E$8*(הגדרות!$E$7+1))/הגדרות!$E$7)))</f>
        <v/>
      </c>
      <c r="J4347" s="0" t="str">
        <f aca="false">IF(I4347="","",IF(H4347-1&lt;הגדרות!$E$8*(הגדרות!$E$7+1),MOD(H4347-1,הגדרות!$E$7+1),MOD(H4347-1-הגדרות!$E$8*(הגדרות!$E$7+1),הגדרות!$E$7)))</f>
        <v/>
      </c>
      <c r="K4347" s="0" t="str">
        <f aca="false">IF(I4347="","",J4347*הגדרות!$E$6+I4347+1)</f>
        <v/>
      </c>
      <c r="L4347" s="0" t="str">
        <f aca="false">IF(K4347="","",MATCH(K4347,$F$2:$F$5001,0))</f>
        <v/>
      </c>
      <c r="M4347" s="0" t="str">
        <f aca="false">IF(I4347="","",INDEX(הגדרות!$A$2:$A$21,MOD(I4347+הגדרות!$E$9,הגדרות!$E$6)+1))</f>
        <v/>
      </c>
    </row>
    <row r="4348" customFormat="false" ht="15" hidden="false" customHeight="false" outlineLevel="0" collapsed="false">
      <c r="A4348" s="0" t="str">
        <f aca="false">IF('הדבקת לידים'!A4348="","",IF(ISNUMBER('הדבקת לידים'!A4348),IF(הגדרות!$E$2&gt;0,TEXT('הדבקת לידים'!A4348,REPT("0",הגדרות!$E$2)),TEXT('הדבקת לידים'!A4348,"0")),TRIM('הדבקת לידים'!A4348)))</f>
        <v/>
      </c>
      <c r="B4348" s="0" t="str">
        <f aca="false">IF('הדבקת לידים'!B4348="","",IF(ISNUMBER('הדבקת לידים'!B4348),IF(הגדרות!$E$3&gt;0,TEXT('הדבקת לידים'!B4348,REPT("0",הגדרות!$E$3)),TEXT('הדבקת לידים'!B4348,"0")),TRIM('הדבקת לידים'!B4348)))</f>
        <v/>
      </c>
      <c r="C4348" s="0" t="n">
        <f aca="false">IF(OR(A4348&lt;&gt;"",B4348&lt;&gt;""),1,0)</f>
        <v>0</v>
      </c>
      <c r="D4348" s="0" t="str">
        <f aca="false">IF(C4348=1,MOD(ABS(SIN(ROW()*12.9898+'הדבקת לידים'!$F$2*78.233+IFERROR(--RIGHT(A4348,6),LEN(A4348))*0.0137+IFERROR(--RIGHT(B4348,6),LEN(B4348))*0.0071))*43758.5453,1),"")</f>
        <v/>
      </c>
      <c r="E4348" s="0" t="str">
        <f aca="false">IF(C4348=1,INT(MOD(ABS(SIN(D4348*7919.123+ROW()*0.618+'הדבקת לידים'!$F$2*1.3))*43758.5453,1)*1000000)*10000+ROW(),"")</f>
        <v/>
      </c>
      <c r="F4348" s="0" t="str">
        <f aca="false">IF(E4348="","",RANK(E4348,$E$2:$E$5001,1))</f>
        <v/>
      </c>
      <c r="G4348" s="0" t="n">
        <f aca="false">IF(A4348="",0,IF(SUMPRODUCT(--($A$2:$A$5001=A4348))&gt;1,1,0))</f>
        <v>0</v>
      </c>
      <c r="H4348" s="0" t="n">
        <f aca="false">ROW()-1</f>
        <v>4347</v>
      </c>
      <c r="I4348" s="0" t="str">
        <f aca="false">IF(OR(הגדרות!$E$6=0,H4348&gt;הגדרות!$E$5),"",IF(H4348-1&lt;הגדרות!$E$8*(הגדרות!$E$7+1),INT((H4348-1)/(הגדרות!$E$7+1)),הגדרות!$E$8+INT((H4348-1-הגדרות!$E$8*(הגדרות!$E$7+1))/הגדרות!$E$7)))</f>
        <v/>
      </c>
      <c r="J4348" s="0" t="str">
        <f aca="false">IF(I4348="","",IF(H4348-1&lt;הגדרות!$E$8*(הגדרות!$E$7+1),MOD(H4348-1,הגדרות!$E$7+1),MOD(H4348-1-הגדרות!$E$8*(הגדרות!$E$7+1),הגדרות!$E$7)))</f>
        <v/>
      </c>
      <c r="K4348" s="0" t="str">
        <f aca="false">IF(I4348="","",J4348*הגדרות!$E$6+I4348+1)</f>
        <v/>
      </c>
      <c r="L4348" s="0" t="str">
        <f aca="false">IF(K4348="","",MATCH(K4348,$F$2:$F$5001,0))</f>
        <v/>
      </c>
      <c r="M4348" s="0" t="str">
        <f aca="false">IF(I4348="","",INDEX(הגדרות!$A$2:$A$21,MOD(I4348+הגדרות!$E$9,הגדרות!$E$6)+1))</f>
        <v/>
      </c>
    </row>
    <row r="4349" customFormat="false" ht="15" hidden="false" customHeight="false" outlineLevel="0" collapsed="false">
      <c r="A4349" s="0" t="str">
        <f aca="false">IF('הדבקת לידים'!A4349="","",IF(ISNUMBER('הדבקת לידים'!A4349),IF(הגדרות!$E$2&gt;0,TEXT('הדבקת לידים'!A4349,REPT("0",הגדרות!$E$2)),TEXT('הדבקת לידים'!A4349,"0")),TRIM('הדבקת לידים'!A4349)))</f>
        <v/>
      </c>
      <c r="B4349" s="0" t="str">
        <f aca="false">IF('הדבקת לידים'!B4349="","",IF(ISNUMBER('הדבקת לידים'!B4349),IF(הגדרות!$E$3&gt;0,TEXT('הדבקת לידים'!B4349,REPT("0",הגדרות!$E$3)),TEXT('הדבקת לידים'!B4349,"0")),TRIM('הדבקת לידים'!B4349)))</f>
        <v/>
      </c>
      <c r="C4349" s="0" t="n">
        <f aca="false">IF(OR(A4349&lt;&gt;"",B4349&lt;&gt;""),1,0)</f>
        <v>0</v>
      </c>
      <c r="D4349" s="0" t="str">
        <f aca="false">IF(C4349=1,MOD(ABS(SIN(ROW()*12.9898+'הדבקת לידים'!$F$2*78.233+IFERROR(--RIGHT(A4349,6),LEN(A4349))*0.0137+IFERROR(--RIGHT(B4349,6),LEN(B4349))*0.0071))*43758.5453,1),"")</f>
        <v/>
      </c>
      <c r="E4349" s="0" t="str">
        <f aca="false">IF(C4349=1,INT(MOD(ABS(SIN(D4349*7919.123+ROW()*0.618+'הדבקת לידים'!$F$2*1.3))*43758.5453,1)*1000000)*10000+ROW(),"")</f>
        <v/>
      </c>
      <c r="F4349" s="0" t="str">
        <f aca="false">IF(E4349="","",RANK(E4349,$E$2:$E$5001,1))</f>
        <v/>
      </c>
      <c r="G4349" s="0" t="n">
        <f aca="false">IF(A4349="",0,IF(SUMPRODUCT(--($A$2:$A$5001=A4349))&gt;1,1,0))</f>
        <v>0</v>
      </c>
      <c r="H4349" s="0" t="n">
        <f aca="false">ROW()-1</f>
        <v>4348</v>
      </c>
      <c r="I4349" s="0" t="str">
        <f aca="false">IF(OR(הגדרות!$E$6=0,H4349&gt;הגדרות!$E$5),"",IF(H4349-1&lt;הגדרות!$E$8*(הגדרות!$E$7+1),INT((H4349-1)/(הגדרות!$E$7+1)),הגדרות!$E$8+INT((H4349-1-הגדרות!$E$8*(הגדרות!$E$7+1))/הגדרות!$E$7)))</f>
        <v/>
      </c>
      <c r="J4349" s="0" t="str">
        <f aca="false">IF(I4349="","",IF(H4349-1&lt;הגדרות!$E$8*(הגדרות!$E$7+1),MOD(H4349-1,הגדרות!$E$7+1),MOD(H4349-1-הגדרות!$E$8*(הגדרות!$E$7+1),הגדרות!$E$7)))</f>
        <v/>
      </c>
      <c r="K4349" s="0" t="str">
        <f aca="false">IF(I4349="","",J4349*הגדרות!$E$6+I4349+1)</f>
        <v/>
      </c>
      <c r="L4349" s="0" t="str">
        <f aca="false">IF(K4349="","",MATCH(K4349,$F$2:$F$5001,0))</f>
        <v/>
      </c>
      <c r="M4349" s="0" t="str">
        <f aca="false">IF(I4349="","",INDEX(הגדרות!$A$2:$A$21,MOD(I4349+הגדרות!$E$9,הגדרות!$E$6)+1))</f>
        <v/>
      </c>
    </row>
    <row r="4350" customFormat="false" ht="15" hidden="false" customHeight="false" outlineLevel="0" collapsed="false">
      <c r="A4350" s="0" t="str">
        <f aca="false">IF('הדבקת לידים'!A4350="","",IF(ISNUMBER('הדבקת לידים'!A4350),IF(הגדרות!$E$2&gt;0,TEXT('הדבקת לידים'!A4350,REPT("0",הגדרות!$E$2)),TEXT('הדבקת לידים'!A4350,"0")),TRIM('הדבקת לידים'!A4350)))</f>
        <v/>
      </c>
      <c r="B4350" s="0" t="str">
        <f aca="false">IF('הדבקת לידים'!B4350="","",IF(ISNUMBER('הדבקת לידים'!B4350),IF(הגדרות!$E$3&gt;0,TEXT('הדבקת לידים'!B4350,REPT("0",הגדרות!$E$3)),TEXT('הדבקת לידים'!B4350,"0")),TRIM('הדבקת לידים'!B4350)))</f>
        <v/>
      </c>
      <c r="C4350" s="0" t="n">
        <f aca="false">IF(OR(A4350&lt;&gt;"",B4350&lt;&gt;""),1,0)</f>
        <v>0</v>
      </c>
      <c r="D4350" s="0" t="str">
        <f aca="false">IF(C4350=1,MOD(ABS(SIN(ROW()*12.9898+'הדבקת לידים'!$F$2*78.233+IFERROR(--RIGHT(A4350,6),LEN(A4350))*0.0137+IFERROR(--RIGHT(B4350,6),LEN(B4350))*0.0071))*43758.5453,1),"")</f>
        <v/>
      </c>
      <c r="E4350" s="0" t="str">
        <f aca="false">IF(C4350=1,INT(MOD(ABS(SIN(D4350*7919.123+ROW()*0.618+'הדבקת לידים'!$F$2*1.3))*43758.5453,1)*1000000)*10000+ROW(),"")</f>
        <v/>
      </c>
      <c r="F4350" s="0" t="str">
        <f aca="false">IF(E4350="","",RANK(E4350,$E$2:$E$5001,1))</f>
        <v/>
      </c>
      <c r="G4350" s="0" t="n">
        <f aca="false">IF(A4350="",0,IF(SUMPRODUCT(--($A$2:$A$5001=A4350))&gt;1,1,0))</f>
        <v>0</v>
      </c>
      <c r="H4350" s="0" t="n">
        <f aca="false">ROW()-1</f>
        <v>4349</v>
      </c>
      <c r="I4350" s="0" t="str">
        <f aca="false">IF(OR(הגדרות!$E$6=0,H4350&gt;הגדרות!$E$5),"",IF(H4350-1&lt;הגדרות!$E$8*(הגדרות!$E$7+1),INT((H4350-1)/(הגדרות!$E$7+1)),הגדרות!$E$8+INT((H4350-1-הגדרות!$E$8*(הגדרות!$E$7+1))/הגדרות!$E$7)))</f>
        <v/>
      </c>
      <c r="J4350" s="0" t="str">
        <f aca="false">IF(I4350="","",IF(H4350-1&lt;הגדרות!$E$8*(הגדרות!$E$7+1),MOD(H4350-1,הגדרות!$E$7+1),MOD(H4350-1-הגדרות!$E$8*(הגדרות!$E$7+1),הגדרות!$E$7)))</f>
        <v/>
      </c>
      <c r="K4350" s="0" t="str">
        <f aca="false">IF(I4350="","",J4350*הגדרות!$E$6+I4350+1)</f>
        <v/>
      </c>
      <c r="L4350" s="0" t="str">
        <f aca="false">IF(K4350="","",MATCH(K4350,$F$2:$F$5001,0))</f>
        <v/>
      </c>
      <c r="M4350" s="0" t="str">
        <f aca="false">IF(I4350="","",INDEX(הגדרות!$A$2:$A$21,MOD(I4350+הגדרות!$E$9,הגדרות!$E$6)+1))</f>
        <v/>
      </c>
    </row>
    <row r="4351" customFormat="false" ht="15" hidden="false" customHeight="false" outlineLevel="0" collapsed="false">
      <c r="A4351" s="0" t="str">
        <f aca="false">IF('הדבקת לידים'!A4351="","",IF(ISNUMBER('הדבקת לידים'!A4351),IF(הגדרות!$E$2&gt;0,TEXT('הדבקת לידים'!A4351,REPT("0",הגדרות!$E$2)),TEXT('הדבקת לידים'!A4351,"0")),TRIM('הדבקת לידים'!A4351)))</f>
        <v/>
      </c>
      <c r="B4351" s="0" t="str">
        <f aca="false">IF('הדבקת לידים'!B4351="","",IF(ISNUMBER('הדבקת לידים'!B4351),IF(הגדרות!$E$3&gt;0,TEXT('הדבקת לידים'!B4351,REPT("0",הגדרות!$E$3)),TEXT('הדבקת לידים'!B4351,"0")),TRIM('הדבקת לידים'!B4351)))</f>
        <v/>
      </c>
      <c r="C4351" s="0" t="n">
        <f aca="false">IF(OR(A4351&lt;&gt;"",B4351&lt;&gt;""),1,0)</f>
        <v>0</v>
      </c>
      <c r="D4351" s="0" t="str">
        <f aca="false">IF(C4351=1,MOD(ABS(SIN(ROW()*12.9898+'הדבקת לידים'!$F$2*78.233+IFERROR(--RIGHT(A4351,6),LEN(A4351))*0.0137+IFERROR(--RIGHT(B4351,6),LEN(B4351))*0.0071))*43758.5453,1),"")</f>
        <v/>
      </c>
      <c r="E4351" s="0" t="str">
        <f aca="false">IF(C4351=1,INT(MOD(ABS(SIN(D4351*7919.123+ROW()*0.618+'הדבקת לידים'!$F$2*1.3))*43758.5453,1)*1000000)*10000+ROW(),"")</f>
        <v/>
      </c>
      <c r="F4351" s="0" t="str">
        <f aca="false">IF(E4351="","",RANK(E4351,$E$2:$E$5001,1))</f>
        <v/>
      </c>
      <c r="G4351" s="0" t="n">
        <f aca="false">IF(A4351="",0,IF(SUMPRODUCT(--($A$2:$A$5001=A4351))&gt;1,1,0))</f>
        <v>0</v>
      </c>
      <c r="H4351" s="0" t="n">
        <f aca="false">ROW()-1</f>
        <v>4350</v>
      </c>
      <c r="I4351" s="0" t="str">
        <f aca="false">IF(OR(הגדרות!$E$6=0,H4351&gt;הגדרות!$E$5),"",IF(H4351-1&lt;הגדרות!$E$8*(הגדרות!$E$7+1),INT((H4351-1)/(הגדרות!$E$7+1)),הגדרות!$E$8+INT((H4351-1-הגדרות!$E$8*(הגדרות!$E$7+1))/הגדרות!$E$7)))</f>
        <v/>
      </c>
      <c r="J4351" s="0" t="str">
        <f aca="false">IF(I4351="","",IF(H4351-1&lt;הגדרות!$E$8*(הגדרות!$E$7+1),MOD(H4351-1,הגדרות!$E$7+1),MOD(H4351-1-הגדרות!$E$8*(הגדרות!$E$7+1),הגדרות!$E$7)))</f>
        <v/>
      </c>
      <c r="K4351" s="0" t="str">
        <f aca="false">IF(I4351="","",J4351*הגדרות!$E$6+I4351+1)</f>
        <v/>
      </c>
      <c r="L4351" s="0" t="str">
        <f aca="false">IF(K4351="","",MATCH(K4351,$F$2:$F$5001,0))</f>
        <v/>
      </c>
      <c r="M4351" s="0" t="str">
        <f aca="false">IF(I4351="","",INDEX(הגדרות!$A$2:$A$21,MOD(I4351+הגדרות!$E$9,הגדרות!$E$6)+1))</f>
        <v/>
      </c>
    </row>
    <row r="4352" customFormat="false" ht="15" hidden="false" customHeight="false" outlineLevel="0" collapsed="false">
      <c r="A4352" s="0" t="str">
        <f aca="false">IF('הדבקת לידים'!A4352="","",IF(ISNUMBER('הדבקת לידים'!A4352),IF(הגדרות!$E$2&gt;0,TEXT('הדבקת לידים'!A4352,REPT("0",הגדרות!$E$2)),TEXT('הדבקת לידים'!A4352,"0")),TRIM('הדבקת לידים'!A4352)))</f>
        <v/>
      </c>
      <c r="B4352" s="0" t="str">
        <f aca="false">IF('הדבקת לידים'!B4352="","",IF(ISNUMBER('הדבקת לידים'!B4352),IF(הגדרות!$E$3&gt;0,TEXT('הדבקת לידים'!B4352,REPT("0",הגדרות!$E$3)),TEXT('הדבקת לידים'!B4352,"0")),TRIM('הדבקת לידים'!B4352)))</f>
        <v/>
      </c>
      <c r="C4352" s="0" t="n">
        <f aca="false">IF(OR(A4352&lt;&gt;"",B4352&lt;&gt;""),1,0)</f>
        <v>0</v>
      </c>
      <c r="D4352" s="0" t="str">
        <f aca="false">IF(C4352=1,MOD(ABS(SIN(ROW()*12.9898+'הדבקת לידים'!$F$2*78.233+IFERROR(--RIGHT(A4352,6),LEN(A4352))*0.0137+IFERROR(--RIGHT(B4352,6),LEN(B4352))*0.0071))*43758.5453,1),"")</f>
        <v/>
      </c>
      <c r="E4352" s="0" t="str">
        <f aca="false">IF(C4352=1,INT(MOD(ABS(SIN(D4352*7919.123+ROW()*0.618+'הדבקת לידים'!$F$2*1.3))*43758.5453,1)*1000000)*10000+ROW(),"")</f>
        <v/>
      </c>
      <c r="F4352" s="0" t="str">
        <f aca="false">IF(E4352="","",RANK(E4352,$E$2:$E$5001,1))</f>
        <v/>
      </c>
      <c r="G4352" s="0" t="n">
        <f aca="false">IF(A4352="",0,IF(SUMPRODUCT(--($A$2:$A$5001=A4352))&gt;1,1,0))</f>
        <v>0</v>
      </c>
      <c r="H4352" s="0" t="n">
        <f aca="false">ROW()-1</f>
        <v>4351</v>
      </c>
      <c r="I4352" s="0" t="str">
        <f aca="false">IF(OR(הגדרות!$E$6=0,H4352&gt;הגדרות!$E$5),"",IF(H4352-1&lt;הגדרות!$E$8*(הגדרות!$E$7+1),INT((H4352-1)/(הגדרות!$E$7+1)),הגדרות!$E$8+INT((H4352-1-הגדרות!$E$8*(הגדרות!$E$7+1))/הגדרות!$E$7)))</f>
        <v/>
      </c>
      <c r="J4352" s="0" t="str">
        <f aca="false">IF(I4352="","",IF(H4352-1&lt;הגדרות!$E$8*(הגדרות!$E$7+1),MOD(H4352-1,הגדרות!$E$7+1),MOD(H4352-1-הגדרות!$E$8*(הגדרות!$E$7+1),הגדרות!$E$7)))</f>
        <v/>
      </c>
      <c r="K4352" s="0" t="str">
        <f aca="false">IF(I4352="","",J4352*הגדרות!$E$6+I4352+1)</f>
        <v/>
      </c>
      <c r="L4352" s="0" t="str">
        <f aca="false">IF(K4352="","",MATCH(K4352,$F$2:$F$5001,0))</f>
        <v/>
      </c>
      <c r="M4352" s="0" t="str">
        <f aca="false">IF(I4352="","",INDEX(הגדרות!$A$2:$A$21,MOD(I4352+הגדרות!$E$9,הגדרות!$E$6)+1))</f>
        <v/>
      </c>
    </row>
    <row r="4353" customFormat="false" ht="15" hidden="false" customHeight="false" outlineLevel="0" collapsed="false">
      <c r="A4353" s="0" t="str">
        <f aca="false">IF('הדבקת לידים'!A4353="","",IF(ISNUMBER('הדבקת לידים'!A4353),IF(הגדרות!$E$2&gt;0,TEXT('הדבקת לידים'!A4353,REPT("0",הגדרות!$E$2)),TEXT('הדבקת לידים'!A4353,"0")),TRIM('הדבקת לידים'!A4353)))</f>
        <v/>
      </c>
      <c r="B4353" s="0" t="str">
        <f aca="false">IF('הדבקת לידים'!B4353="","",IF(ISNUMBER('הדבקת לידים'!B4353),IF(הגדרות!$E$3&gt;0,TEXT('הדבקת לידים'!B4353,REPT("0",הגדרות!$E$3)),TEXT('הדבקת לידים'!B4353,"0")),TRIM('הדבקת לידים'!B4353)))</f>
        <v/>
      </c>
      <c r="C4353" s="0" t="n">
        <f aca="false">IF(OR(A4353&lt;&gt;"",B4353&lt;&gt;""),1,0)</f>
        <v>0</v>
      </c>
      <c r="D4353" s="0" t="str">
        <f aca="false">IF(C4353=1,MOD(ABS(SIN(ROW()*12.9898+'הדבקת לידים'!$F$2*78.233+IFERROR(--RIGHT(A4353,6),LEN(A4353))*0.0137+IFERROR(--RIGHT(B4353,6),LEN(B4353))*0.0071))*43758.5453,1),"")</f>
        <v/>
      </c>
      <c r="E4353" s="0" t="str">
        <f aca="false">IF(C4353=1,INT(MOD(ABS(SIN(D4353*7919.123+ROW()*0.618+'הדבקת לידים'!$F$2*1.3))*43758.5453,1)*1000000)*10000+ROW(),"")</f>
        <v/>
      </c>
      <c r="F4353" s="0" t="str">
        <f aca="false">IF(E4353="","",RANK(E4353,$E$2:$E$5001,1))</f>
        <v/>
      </c>
      <c r="G4353" s="0" t="n">
        <f aca="false">IF(A4353="",0,IF(SUMPRODUCT(--($A$2:$A$5001=A4353))&gt;1,1,0))</f>
        <v>0</v>
      </c>
      <c r="H4353" s="0" t="n">
        <f aca="false">ROW()-1</f>
        <v>4352</v>
      </c>
      <c r="I4353" s="0" t="str">
        <f aca="false">IF(OR(הגדרות!$E$6=0,H4353&gt;הגדרות!$E$5),"",IF(H4353-1&lt;הגדרות!$E$8*(הגדרות!$E$7+1),INT((H4353-1)/(הגדרות!$E$7+1)),הגדרות!$E$8+INT((H4353-1-הגדרות!$E$8*(הגדרות!$E$7+1))/הגדרות!$E$7)))</f>
        <v/>
      </c>
      <c r="J4353" s="0" t="str">
        <f aca="false">IF(I4353="","",IF(H4353-1&lt;הגדרות!$E$8*(הגדרות!$E$7+1),MOD(H4353-1,הגדרות!$E$7+1),MOD(H4353-1-הגדרות!$E$8*(הגדרות!$E$7+1),הגדרות!$E$7)))</f>
        <v/>
      </c>
      <c r="K4353" s="0" t="str">
        <f aca="false">IF(I4353="","",J4353*הגדרות!$E$6+I4353+1)</f>
        <v/>
      </c>
      <c r="L4353" s="0" t="str">
        <f aca="false">IF(K4353="","",MATCH(K4353,$F$2:$F$5001,0))</f>
        <v/>
      </c>
      <c r="M4353" s="0" t="str">
        <f aca="false">IF(I4353="","",INDEX(הגדרות!$A$2:$A$21,MOD(I4353+הגדרות!$E$9,הגדרות!$E$6)+1))</f>
        <v/>
      </c>
    </row>
    <row r="4354" customFormat="false" ht="15" hidden="false" customHeight="false" outlineLevel="0" collapsed="false">
      <c r="A4354" s="0" t="str">
        <f aca="false">IF('הדבקת לידים'!A4354="","",IF(ISNUMBER('הדבקת לידים'!A4354),IF(הגדרות!$E$2&gt;0,TEXT('הדבקת לידים'!A4354,REPT("0",הגדרות!$E$2)),TEXT('הדבקת לידים'!A4354,"0")),TRIM('הדבקת לידים'!A4354)))</f>
        <v/>
      </c>
      <c r="B4354" s="0" t="str">
        <f aca="false">IF('הדבקת לידים'!B4354="","",IF(ISNUMBER('הדבקת לידים'!B4354),IF(הגדרות!$E$3&gt;0,TEXT('הדבקת לידים'!B4354,REPT("0",הגדרות!$E$3)),TEXT('הדבקת לידים'!B4354,"0")),TRIM('הדבקת לידים'!B4354)))</f>
        <v/>
      </c>
      <c r="C4354" s="0" t="n">
        <f aca="false">IF(OR(A4354&lt;&gt;"",B4354&lt;&gt;""),1,0)</f>
        <v>0</v>
      </c>
      <c r="D4354" s="0" t="str">
        <f aca="false">IF(C4354=1,MOD(ABS(SIN(ROW()*12.9898+'הדבקת לידים'!$F$2*78.233+IFERROR(--RIGHT(A4354,6),LEN(A4354))*0.0137+IFERROR(--RIGHT(B4354,6),LEN(B4354))*0.0071))*43758.5453,1),"")</f>
        <v/>
      </c>
      <c r="E4354" s="0" t="str">
        <f aca="false">IF(C4354=1,INT(MOD(ABS(SIN(D4354*7919.123+ROW()*0.618+'הדבקת לידים'!$F$2*1.3))*43758.5453,1)*1000000)*10000+ROW(),"")</f>
        <v/>
      </c>
      <c r="F4354" s="0" t="str">
        <f aca="false">IF(E4354="","",RANK(E4354,$E$2:$E$5001,1))</f>
        <v/>
      </c>
      <c r="G4354" s="0" t="n">
        <f aca="false">IF(A4354="",0,IF(SUMPRODUCT(--($A$2:$A$5001=A4354))&gt;1,1,0))</f>
        <v>0</v>
      </c>
      <c r="H4354" s="0" t="n">
        <f aca="false">ROW()-1</f>
        <v>4353</v>
      </c>
      <c r="I4354" s="0" t="str">
        <f aca="false">IF(OR(הגדרות!$E$6=0,H4354&gt;הגדרות!$E$5),"",IF(H4354-1&lt;הגדרות!$E$8*(הגדרות!$E$7+1),INT((H4354-1)/(הגדרות!$E$7+1)),הגדרות!$E$8+INT((H4354-1-הגדרות!$E$8*(הגדרות!$E$7+1))/הגדרות!$E$7)))</f>
        <v/>
      </c>
      <c r="J4354" s="0" t="str">
        <f aca="false">IF(I4354="","",IF(H4354-1&lt;הגדרות!$E$8*(הגדרות!$E$7+1),MOD(H4354-1,הגדרות!$E$7+1),MOD(H4354-1-הגדרות!$E$8*(הגדרות!$E$7+1),הגדרות!$E$7)))</f>
        <v/>
      </c>
      <c r="K4354" s="0" t="str">
        <f aca="false">IF(I4354="","",J4354*הגדרות!$E$6+I4354+1)</f>
        <v/>
      </c>
      <c r="L4354" s="0" t="str">
        <f aca="false">IF(K4354="","",MATCH(K4354,$F$2:$F$5001,0))</f>
        <v/>
      </c>
      <c r="M4354" s="0" t="str">
        <f aca="false">IF(I4354="","",INDEX(הגדרות!$A$2:$A$21,MOD(I4354+הגדרות!$E$9,הגדרות!$E$6)+1))</f>
        <v/>
      </c>
    </row>
    <row r="4355" customFormat="false" ht="15" hidden="false" customHeight="false" outlineLevel="0" collapsed="false">
      <c r="A4355" s="0" t="str">
        <f aca="false">IF('הדבקת לידים'!A4355="","",IF(ISNUMBER('הדבקת לידים'!A4355),IF(הגדרות!$E$2&gt;0,TEXT('הדבקת לידים'!A4355,REPT("0",הגדרות!$E$2)),TEXT('הדבקת לידים'!A4355,"0")),TRIM('הדבקת לידים'!A4355)))</f>
        <v/>
      </c>
      <c r="B4355" s="0" t="str">
        <f aca="false">IF('הדבקת לידים'!B4355="","",IF(ISNUMBER('הדבקת לידים'!B4355),IF(הגדרות!$E$3&gt;0,TEXT('הדבקת לידים'!B4355,REPT("0",הגדרות!$E$3)),TEXT('הדבקת לידים'!B4355,"0")),TRIM('הדבקת לידים'!B4355)))</f>
        <v/>
      </c>
      <c r="C4355" s="0" t="n">
        <f aca="false">IF(OR(A4355&lt;&gt;"",B4355&lt;&gt;""),1,0)</f>
        <v>0</v>
      </c>
      <c r="D4355" s="0" t="str">
        <f aca="false">IF(C4355=1,MOD(ABS(SIN(ROW()*12.9898+'הדבקת לידים'!$F$2*78.233+IFERROR(--RIGHT(A4355,6),LEN(A4355))*0.0137+IFERROR(--RIGHT(B4355,6),LEN(B4355))*0.0071))*43758.5453,1),"")</f>
        <v/>
      </c>
      <c r="E4355" s="0" t="str">
        <f aca="false">IF(C4355=1,INT(MOD(ABS(SIN(D4355*7919.123+ROW()*0.618+'הדבקת לידים'!$F$2*1.3))*43758.5453,1)*1000000)*10000+ROW(),"")</f>
        <v/>
      </c>
      <c r="F4355" s="0" t="str">
        <f aca="false">IF(E4355="","",RANK(E4355,$E$2:$E$5001,1))</f>
        <v/>
      </c>
      <c r="G4355" s="0" t="n">
        <f aca="false">IF(A4355="",0,IF(SUMPRODUCT(--($A$2:$A$5001=A4355))&gt;1,1,0))</f>
        <v>0</v>
      </c>
      <c r="H4355" s="0" t="n">
        <f aca="false">ROW()-1</f>
        <v>4354</v>
      </c>
      <c r="I4355" s="0" t="str">
        <f aca="false">IF(OR(הגדרות!$E$6=0,H4355&gt;הגדרות!$E$5),"",IF(H4355-1&lt;הגדרות!$E$8*(הגדרות!$E$7+1),INT((H4355-1)/(הגדרות!$E$7+1)),הגדרות!$E$8+INT((H4355-1-הגדרות!$E$8*(הגדרות!$E$7+1))/הגדרות!$E$7)))</f>
        <v/>
      </c>
      <c r="J4355" s="0" t="str">
        <f aca="false">IF(I4355="","",IF(H4355-1&lt;הגדרות!$E$8*(הגדרות!$E$7+1),MOD(H4355-1,הגדרות!$E$7+1),MOD(H4355-1-הגדרות!$E$8*(הגדרות!$E$7+1),הגדרות!$E$7)))</f>
        <v/>
      </c>
      <c r="K4355" s="0" t="str">
        <f aca="false">IF(I4355="","",J4355*הגדרות!$E$6+I4355+1)</f>
        <v/>
      </c>
      <c r="L4355" s="0" t="str">
        <f aca="false">IF(K4355="","",MATCH(K4355,$F$2:$F$5001,0))</f>
        <v/>
      </c>
      <c r="M4355" s="0" t="str">
        <f aca="false">IF(I4355="","",INDEX(הגדרות!$A$2:$A$21,MOD(I4355+הגדרות!$E$9,הגדרות!$E$6)+1))</f>
        <v/>
      </c>
    </row>
    <row r="4356" customFormat="false" ht="15" hidden="false" customHeight="false" outlineLevel="0" collapsed="false">
      <c r="A4356" s="0" t="str">
        <f aca="false">IF('הדבקת לידים'!A4356="","",IF(ISNUMBER('הדבקת לידים'!A4356),IF(הגדרות!$E$2&gt;0,TEXT('הדבקת לידים'!A4356,REPT("0",הגדרות!$E$2)),TEXT('הדבקת לידים'!A4356,"0")),TRIM('הדבקת לידים'!A4356)))</f>
        <v/>
      </c>
      <c r="B4356" s="0" t="str">
        <f aca="false">IF('הדבקת לידים'!B4356="","",IF(ISNUMBER('הדבקת לידים'!B4356),IF(הגדרות!$E$3&gt;0,TEXT('הדבקת לידים'!B4356,REPT("0",הגדרות!$E$3)),TEXT('הדבקת לידים'!B4356,"0")),TRIM('הדבקת לידים'!B4356)))</f>
        <v/>
      </c>
      <c r="C4356" s="0" t="n">
        <f aca="false">IF(OR(A4356&lt;&gt;"",B4356&lt;&gt;""),1,0)</f>
        <v>0</v>
      </c>
      <c r="D4356" s="0" t="str">
        <f aca="false">IF(C4356=1,MOD(ABS(SIN(ROW()*12.9898+'הדבקת לידים'!$F$2*78.233+IFERROR(--RIGHT(A4356,6),LEN(A4356))*0.0137+IFERROR(--RIGHT(B4356,6),LEN(B4356))*0.0071))*43758.5453,1),"")</f>
        <v/>
      </c>
      <c r="E4356" s="0" t="str">
        <f aca="false">IF(C4356=1,INT(MOD(ABS(SIN(D4356*7919.123+ROW()*0.618+'הדבקת לידים'!$F$2*1.3))*43758.5453,1)*1000000)*10000+ROW(),"")</f>
        <v/>
      </c>
      <c r="F4356" s="0" t="str">
        <f aca="false">IF(E4356="","",RANK(E4356,$E$2:$E$5001,1))</f>
        <v/>
      </c>
      <c r="G4356" s="0" t="n">
        <f aca="false">IF(A4356="",0,IF(SUMPRODUCT(--($A$2:$A$5001=A4356))&gt;1,1,0))</f>
        <v>0</v>
      </c>
      <c r="H4356" s="0" t="n">
        <f aca="false">ROW()-1</f>
        <v>4355</v>
      </c>
      <c r="I4356" s="0" t="str">
        <f aca="false">IF(OR(הגדרות!$E$6=0,H4356&gt;הגדרות!$E$5),"",IF(H4356-1&lt;הגדרות!$E$8*(הגדרות!$E$7+1),INT((H4356-1)/(הגדרות!$E$7+1)),הגדרות!$E$8+INT((H4356-1-הגדרות!$E$8*(הגדרות!$E$7+1))/הגדרות!$E$7)))</f>
        <v/>
      </c>
      <c r="J4356" s="0" t="str">
        <f aca="false">IF(I4356="","",IF(H4356-1&lt;הגדרות!$E$8*(הגדרות!$E$7+1),MOD(H4356-1,הגדרות!$E$7+1),MOD(H4356-1-הגדרות!$E$8*(הגדרות!$E$7+1),הגדרות!$E$7)))</f>
        <v/>
      </c>
      <c r="K4356" s="0" t="str">
        <f aca="false">IF(I4356="","",J4356*הגדרות!$E$6+I4356+1)</f>
        <v/>
      </c>
      <c r="L4356" s="0" t="str">
        <f aca="false">IF(K4356="","",MATCH(K4356,$F$2:$F$5001,0))</f>
        <v/>
      </c>
      <c r="M4356" s="0" t="str">
        <f aca="false">IF(I4356="","",INDEX(הגדרות!$A$2:$A$21,MOD(I4356+הגדרות!$E$9,הגדרות!$E$6)+1))</f>
        <v/>
      </c>
    </row>
    <row r="4357" customFormat="false" ht="15" hidden="false" customHeight="false" outlineLevel="0" collapsed="false">
      <c r="A4357" s="0" t="str">
        <f aca="false">IF('הדבקת לידים'!A4357="","",IF(ISNUMBER('הדבקת לידים'!A4357),IF(הגדרות!$E$2&gt;0,TEXT('הדבקת לידים'!A4357,REPT("0",הגדרות!$E$2)),TEXT('הדבקת לידים'!A4357,"0")),TRIM('הדבקת לידים'!A4357)))</f>
        <v/>
      </c>
      <c r="B4357" s="0" t="str">
        <f aca="false">IF('הדבקת לידים'!B4357="","",IF(ISNUMBER('הדבקת לידים'!B4357),IF(הגדרות!$E$3&gt;0,TEXT('הדבקת לידים'!B4357,REPT("0",הגדרות!$E$3)),TEXT('הדבקת לידים'!B4357,"0")),TRIM('הדבקת לידים'!B4357)))</f>
        <v/>
      </c>
      <c r="C4357" s="0" t="n">
        <f aca="false">IF(OR(A4357&lt;&gt;"",B4357&lt;&gt;""),1,0)</f>
        <v>0</v>
      </c>
      <c r="D4357" s="0" t="str">
        <f aca="false">IF(C4357=1,MOD(ABS(SIN(ROW()*12.9898+'הדבקת לידים'!$F$2*78.233+IFERROR(--RIGHT(A4357,6),LEN(A4357))*0.0137+IFERROR(--RIGHT(B4357,6),LEN(B4357))*0.0071))*43758.5453,1),"")</f>
        <v/>
      </c>
      <c r="E4357" s="0" t="str">
        <f aca="false">IF(C4357=1,INT(MOD(ABS(SIN(D4357*7919.123+ROW()*0.618+'הדבקת לידים'!$F$2*1.3))*43758.5453,1)*1000000)*10000+ROW(),"")</f>
        <v/>
      </c>
      <c r="F4357" s="0" t="str">
        <f aca="false">IF(E4357="","",RANK(E4357,$E$2:$E$5001,1))</f>
        <v/>
      </c>
      <c r="G4357" s="0" t="n">
        <f aca="false">IF(A4357="",0,IF(SUMPRODUCT(--($A$2:$A$5001=A4357))&gt;1,1,0))</f>
        <v>0</v>
      </c>
      <c r="H4357" s="0" t="n">
        <f aca="false">ROW()-1</f>
        <v>4356</v>
      </c>
      <c r="I4357" s="0" t="str">
        <f aca="false">IF(OR(הגדרות!$E$6=0,H4357&gt;הגדרות!$E$5),"",IF(H4357-1&lt;הגדרות!$E$8*(הגדרות!$E$7+1),INT((H4357-1)/(הגדרות!$E$7+1)),הגדרות!$E$8+INT((H4357-1-הגדרות!$E$8*(הגדרות!$E$7+1))/הגדרות!$E$7)))</f>
        <v/>
      </c>
      <c r="J4357" s="0" t="str">
        <f aca="false">IF(I4357="","",IF(H4357-1&lt;הגדרות!$E$8*(הגדרות!$E$7+1),MOD(H4357-1,הגדרות!$E$7+1),MOD(H4357-1-הגדרות!$E$8*(הגדרות!$E$7+1),הגדרות!$E$7)))</f>
        <v/>
      </c>
      <c r="K4357" s="0" t="str">
        <f aca="false">IF(I4357="","",J4357*הגדרות!$E$6+I4357+1)</f>
        <v/>
      </c>
      <c r="L4357" s="0" t="str">
        <f aca="false">IF(K4357="","",MATCH(K4357,$F$2:$F$5001,0))</f>
        <v/>
      </c>
      <c r="M4357" s="0" t="str">
        <f aca="false">IF(I4357="","",INDEX(הגדרות!$A$2:$A$21,MOD(I4357+הגדרות!$E$9,הגדרות!$E$6)+1))</f>
        <v/>
      </c>
    </row>
    <row r="4358" customFormat="false" ht="15" hidden="false" customHeight="false" outlineLevel="0" collapsed="false">
      <c r="A4358" s="0" t="str">
        <f aca="false">IF('הדבקת לידים'!A4358="","",IF(ISNUMBER('הדבקת לידים'!A4358),IF(הגדרות!$E$2&gt;0,TEXT('הדבקת לידים'!A4358,REPT("0",הגדרות!$E$2)),TEXT('הדבקת לידים'!A4358,"0")),TRIM('הדבקת לידים'!A4358)))</f>
        <v/>
      </c>
      <c r="B4358" s="0" t="str">
        <f aca="false">IF('הדבקת לידים'!B4358="","",IF(ISNUMBER('הדבקת לידים'!B4358),IF(הגדרות!$E$3&gt;0,TEXT('הדבקת לידים'!B4358,REPT("0",הגדרות!$E$3)),TEXT('הדבקת לידים'!B4358,"0")),TRIM('הדבקת לידים'!B4358)))</f>
        <v/>
      </c>
      <c r="C4358" s="0" t="n">
        <f aca="false">IF(OR(A4358&lt;&gt;"",B4358&lt;&gt;""),1,0)</f>
        <v>0</v>
      </c>
      <c r="D4358" s="0" t="str">
        <f aca="false">IF(C4358=1,MOD(ABS(SIN(ROW()*12.9898+'הדבקת לידים'!$F$2*78.233+IFERROR(--RIGHT(A4358,6),LEN(A4358))*0.0137+IFERROR(--RIGHT(B4358,6),LEN(B4358))*0.0071))*43758.5453,1),"")</f>
        <v/>
      </c>
      <c r="E4358" s="0" t="str">
        <f aca="false">IF(C4358=1,INT(MOD(ABS(SIN(D4358*7919.123+ROW()*0.618+'הדבקת לידים'!$F$2*1.3))*43758.5453,1)*1000000)*10000+ROW(),"")</f>
        <v/>
      </c>
      <c r="F4358" s="0" t="str">
        <f aca="false">IF(E4358="","",RANK(E4358,$E$2:$E$5001,1))</f>
        <v/>
      </c>
      <c r="G4358" s="0" t="n">
        <f aca="false">IF(A4358="",0,IF(SUMPRODUCT(--($A$2:$A$5001=A4358))&gt;1,1,0))</f>
        <v>0</v>
      </c>
      <c r="H4358" s="0" t="n">
        <f aca="false">ROW()-1</f>
        <v>4357</v>
      </c>
      <c r="I4358" s="0" t="str">
        <f aca="false">IF(OR(הגדרות!$E$6=0,H4358&gt;הגדרות!$E$5),"",IF(H4358-1&lt;הגדרות!$E$8*(הגדרות!$E$7+1),INT((H4358-1)/(הגדרות!$E$7+1)),הגדרות!$E$8+INT((H4358-1-הגדרות!$E$8*(הגדרות!$E$7+1))/הגדרות!$E$7)))</f>
        <v/>
      </c>
      <c r="J4358" s="0" t="str">
        <f aca="false">IF(I4358="","",IF(H4358-1&lt;הגדרות!$E$8*(הגדרות!$E$7+1),MOD(H4358-1,הגדרות!$E$7+1),MOD(H4358-1-הגדרות!$E$8*(הגדרות!$E$7+1),הגדרות!$E$7)))</f>
        <v/>
      </c>
      <c r="K4358" s="0" t="str">
        <f aca="false">IF(I4358="","",J4358*הגדרות!$E$6+I4358+1)</f>
        <v/>
      </c>
      <c r="L4358" s="0" t="str">
        <f aca="false">IF(K4358="","",MATCH(K4358,$F$2:$F$5001,0))</f>
        <v/>
      </c>
      <c r="M4358" s="0" t="str">
        <f aca="false">IF(I4358="","",INDEX(הגדרות!$A$2:$A$21,MOD(I4358+הגדרות!$E$9,הגדרות!$E$6)+1))</f>
        <v/>
      </c>
    </row>
    <row r="4359" customFormat="false" ht="15" hidden="false" customHeight="false" outlineLevel="0" collapsed="false">
      <c r="A4359" s="0" t="str">
        <f aca="false">IF('הדבקת לידים'!A4359="","",IF(ISNUMBER('הדבקת לידים'!A4359),IF(הגדרות!$E$2&gt;0,TEXT('הדבקת לידים'!A4359,REPT("0",הגדרות!$E$2)),TEXT('הדבקת לידים'!A4359,"0")),TRIM('הדבקת לידים'!A4359)))</f>
        <v/>
      </c>
      <c r="B4359" s="0" t="str">
        <f aca="false">IF('הדבקת לידים'!B4359="","",IF(ISNUMBER('הדבקת לידים'!B4359),IF(הגדרות!$E$3&gt;0,TEXT('הדבקת לידים'!B4359,REPT("0",הגדרות!$E$3)),TEXT('הדבקת לידים'!B4359,"0")),TRIM('הדבקת לידים'!B4359)))</f>
        <v/>
      </c>
      <c r="C4359" s="0" t="n">
        <f aca="false">IF(OR(A4359&lt;&gt;"",B4359&lt;&gt;""),1,0)</f>
        <v>0</v>
      </c>
      <c r="D4359" s="0" t="str">
        <f aca="false">IF(C4359=1,MOD(ABS(SIN(ROW()*12.9898+'הדבקת לידים'!$F$2*78.233+IFERROR(--RIGHT(A4359,6),LEN(A4359))*0.0137+IFERROR(--RIGHT(B4359,6),LEN(B4359))*0.0071))*43758.5453,1),"")</f>
        <v/>
      </c>
      <c r="E4359" s="0" t="str">
        <f aca="false">IF(C4359=1,INT(MOD(ABS(SIN(D4359*7919.123+ROW()*0.618+'הדבקת לידים'!$F$2*1.3))*43758.5453,1)*1000000)*10000+ROW(),"")</f>
        <v/>
      </c>
      <c r="F4359" s="0" t="str">
        <f aca="false">IF(E4359="","",RANK(E4359,$E$2:$E$5001,1))</f>
        <v/>
      </c>
      <c r="G4359" s="0" t="n">
        <f aca="false">IF(A4359="",0,IF(SUMPRODUCT(--($A$2:$A$5001=A4359))&gt;1,1,0))</f>
        <v>0</v>
      </c>
      <c r="H4359" s="0" t="n">
        <f aca="false">ROW()-1</f>
        <v>4358</v>
      </c>
      <c r="I4359" s="0" t="str">
        <f aca="false">IF(OR(הגדרות!$E$6=0,H4359&gt;הגדרות!$E$5),"",IF(H4359-1&lt;הגדרות!$E$8*(הגדרות!$E$7+1),INT((H4359-1)/(הגדרות!$E$7+1)),הגדרות!$E$8+INT((H4359-1-הגדרות!$E$8*(הגדרות!$E$7+1))/הגדרות!$E$7)))</f>
        <v/>
      </c>
      <c r="J4359" s="0" t="str">
        <f aca="false">IF(I4359="","",IF(H4359-1&lt;הגדרות!$E$8*(הגדרות!$E$7+1),MOD(H4359-1,הגדרות!$E$7+1),MOD(H4359-1-הגדרות!$E$8*(הגדרות!$E$7+1),הגדרות!$E$7)))</f>
        <v/>
      </c>
      <c r="K4359" s="0" t="str">
        <f aca="false">IF(I4359="","",J4359*הגדרות!$E$6+I4359+1)</f>
        <v/>
      </c>
      <c r="L4359" s="0" t="str">
        <f aca="false">IF(K4359="","",MATCH(K4359,$F$2:$F$5001,0))</f>
        <v/>
      </c>
      <c r="M4359" s="0" t="str">
        <f aca="false">IF(I4359="","",INDEX(הגדרות!$A$2:$A$21,MOD(I4359+הגדרות!$E$9,הגדרות!$E$6)+1))</f>
        <v/>
      </c>
    </row>
    <row r="4360" customFormat="false" ht="15" hidden="false" customHeight="false" outlineLevel="0" collapsed="false">
      <c r="A4360" s="0" t="str">
        <f aca="false">IF('הדבקת לידים'!A4360="","",IF(ISNUMBER('הדבקת לידים'!A4360),IF(הגדרות!$E$2&gt;0,TEXT('הדבקת לידים'!A4360,REPT("0",הגדרות!$E$2)),TEXT('הדבקת לידים'!A4360,"0")),TRIM('הדבקת לידים'!A4360)))</f>
        <v/>
      </c>
      <c r="B4360" s="0" t="str">
        <f aca="false">IF('הדבקת לידים'!B4360="","",IF(ISNUMBER('הדבקת לידים'!B4360),IF(הגדרות!$E$3&gt;0,TEXT('הדבקת לידים'!B4360,REPT("0",הגדרות!$E$3)),TEXT('הדבקת לידים'!B4360,"0")),TRIM('הדבקת לידים'!B4360)))</f>
        <v/>
      </c>
      <c r="C4360" s="0" t="n">
        <f aca="false">IF(OR(A4360&lt;&gt;"",B4360&lt;&gt;""),1,0)</f>
        <v>0</v>
      </c>
      <c r="D4360" s="0" t="str">
        <f aca="false">IF(C4360=1,MOD(ABS(SIN(ROW()*12.9898+'הדבקת לידים'!$F$2*78.233+IFERROR(--RIGHT(A4360,6),LEN(A4360))*0.0137+IFERROR(--RIGHT(B4360,6),LEN(B4360))*0.0071))*43758.5453,1),"")</f>
        <v/>
      </c>
      <c r="E4360" s="0" t="str">
        <f aca="false">IF(C4360=1,INT(MOD(ABS(SIN(D4360*7919.123+ROW()*0.618+'הדבקת לידים'!$F$2*1.3))*43758.5453,1)*1000000)*10000+ROW(),"")</f>
        <v/>
      </c>
      <c r="F4360" s="0" t="str">
        <f aca="false">IF(E4360="","",RANK(E4360,$E$2:$E$5001,1))</f>
        <v/>
      </c>
      <c r="G4360" s="0" t="n">
        <f aca="false">IF(A4360="",0,IF(SUMPRODUCT(--($A$2:$A$5001=A4360))&gt;1,1,0))</f>
        <v>0</v>
      </c>
      <c r="H4360" s="0" t="n">
        <f aca="false">ROW()-1</f>
        <v>4359</v>
      </c>
      <c r="I4360" s="0" t="str">
        <f aca="false">IF(OR(הגדרות!$E$6=0,H4360&gt;הגדרות!$E$5),"",IF(H4360-1&lt;הגדרות!$E$8*(הגדרות!$E$7+1),INT((H4360-1)/(הגדרות!$E$7+1)),הגדרות!$E$8+INT((H4360-1-הגדרות!$E$8*(הגדרות!$E$7+1))/הגדרות!$E$7)))</f>
        <v/>
      </c>
      <c r="J4360" s="0" t="str">
        <f aca="false">IF(I4360="","",IF(H4360-1&lt;הגדרות!$E$8*(הגדרות!$E$7+1),MOD(H4360-1,הגדרות!$E$7+1),MOD(H4360-1-הגדרות!$E$8*(הגדרות!$E$7+1),הגדרות!$E$7)))</f>
        <v/>
      </c>
      <c r="K4360" s="0" t="str">
        <f aca="false">IF(I4360="","",J4360*הגדרות!$E$6+I4360+1)</f>
        <v/>
      </c>
      <c r="L4360" s="0" t="str">
        <f aca="false">IF(K4360="","",MATCH(K4360,$F$2:$F$5001,0))</f>
        <v/>
      </c>
      <c r="M4360" s="0" t="str">
        <f aca="false">IF(I4360="","",INDEX(הגדרות!$A$2:$A$21,MOD(I4360+הגדרות!$E$9,הגדרות!$E$6)+1))</f>
        <v/>
      </c>
    </row>
    <row r="4361" customFormat="false" ht="15" hidden="false" customHeight="false" outlineLevel="0" collapsed="false">
      <c r="A4361" s="0" t="str">
        <f aca="false">IF('הדבקת לידים'!A4361="","",IF(ISNUMBER('הדבקת לידים'!A4361),IF(הגדרות!$E$2&gt;0,TEXT('הדבקת לידים'!A4361,REPT("0",הגדרות!$E$2)),TEXT('הדבקת לידים'!A4361,"0")),TRIM('הדבקת לידים'!A4361)))</f>
        <v/>
      </c>
      <c r="B4361" s="0" t="str">
        <f aca="false">IF('הדבקת לידים'!B4361="","",IF(ISNUMBER('הדבקת לידים'!B4361),IF(הגדרות!$E$3&gt;0,TEXT('הדבקת לידים'!B4361,REPT("0",הגדרות!$E$3)),TEXT('הדבקת לידים'!B4361,"0")),TRIM('הדבקת לידים'!B4361)))</f>
        <v/>
      </c>
      <c r="C4361" s="0" t="n">
        <f aca="false">IF(OR(A4361&lt;&gt;"",B4361&lt;&gt;""),1,0)</f>
        <v>0</v>
      </c>
      <c r="D4361" s="0" t="str">
        <f aca="false">IF(C4361=1,MOD(ABS(SIN(ROW()*12.9898+'הדבקת לידים'!$F$2*78.233+IFERROR(--RIGHT(A4361,6),LEN(A4361))*0.0137+IFERROR(--RIGHT(B4361,6),LEN(B4361))*0.0071))*43758.5453,1),"")</f>
        <v/>
      </c>
      <c r="E4361" s="0" t="str">
        <f aca="false">IF(C4361=1,INT(MOD(ABS(SIN(D4361*7919.123+ROW()*0.618+'הדבקת לידים'!$F$2*1.3))*43758.5453,1)*1000000)*10000+ROW(),"")</f>
        <v/>
      </c>
      <c r="F4361" s="0" t="str">
        <f aca="false">IF(E4361="","",RANK(E4361,$E$2:$E$5001,1))</f>
        <v/>
      </c>
      <c r="G4361" s="0" t="n">
        <f aca="false">IF(A4361="",0,IF(SUMPRODUCT(--($A$2:$A$5001=A4361))&gt;1,1,0))</f>
        <v>0</v>
      </c>
      <c r="H4361" s="0" t="n">
        <f aca="false">ROW()-1</f>
        <v>4360</v>
      </c>
      <c r="I4361" s="0" t="str">
        <f aca="false">IF(OR(הגדרות!$E$6=0,H4361&gt;הגדרות!$E$5),"",IF(H4361-1&lt;הגדרות!$E$8*(הגדרות!$E$7+1),INT((H4361-1)/(הגדרות!$E$7+1)),הגדרות!$E$8+INT((H4361-1-הגדרות!$E$8*(הגדרות!$E$7+1))/הגדרות!$E$7)))</f>
        <v/>
      </c>
      <c r="J4361" s="0" t="str">
        <f aca="false">IF(I4361="","",IF(H4361-1&lt;הגדרות!$E$8*(הגדרות!$E$7+1),MOD(H4361-1,הגדרות!$E$7+1),MOD(H4361-1-הגדרות!$E$8*(הגדרות!$E$7+1),הגדרות!$E$7)))</f>
        <v/>
      </c>
      <c r="K4361" s="0" t="str">
        <f aca="false">IF(I4361="","",J4361*הגדרות!$E$6+I4361+1)</f>
        <v/>
      </c>
      <c r="L4361" s="0" t="str">
        <f aca="false">IF(K4361="","",MATCH(K4361,$F$2:$F$5001,0))</f>
        <v/>
      </c>
      <c r="M4361" s="0" t="str">
        <f aca="false">IF(I4361="","",INDEX(הגדרות!$A$2:$A$21,MOD(I4361+הגדרות!$E$9,הגדרות!$E$6)+1))</f>
        <v/>
      </c>
    </row>
    <row r="4362" customFormat="false" ht="15" hidden="false" customHeight="false" outlineLevel="0" collapsed="false">
      <c r="A4362" s="0" t="str">
        <f aca="false">IF('הדבקת לידים'!A4362="","",IF(ISNUMBER('הדבקת לידים'!A4362),IF(הגדרות!$E$2&gt;0,TEXT('הדבקת לידים'!A4362,REPT("0",הגדרות!$E$2)),TEXT('הדבקת לידים'!A4362,"0")),TRIM('הדבקת לידים'!A4362)))</f>
        <v/>
      </c>
      <c r="B4362" s="0" t="str">
        <f aca="false">IF('הדבקת לידים'!B4362="","",IF(ISNUMBER('הדבקת לידים'!B4362),IF(הגדרות!$E$3&gt;0,TEXT('הדבקת לידים'!B4362,REPT("0",הגדרות!$E$3)),TEXT('הדבקת לידים'!B4362,"0")),TRIM('הדבקת לידים'!B4362)))</f>
        <v/>
      </c>
      <c r="C4362" s="0" t="n">
        <f aca="false">IF(OR(A4362&lt;&gt;"",B4362&lt;&gt;""),1,0)</f>
        <v>0</v>
      </c>
      <c r="D4362" s="0" t="str">
        <f aca="false">IF(C4362=1,MOD(ABS(SIN(ROW()*12.9898+'הדבקת לידים'!$F$2*78.233+IFERROR(--RIGHT(A4362,6),LEN(A4362))*0.0137+IFERROR(--RIGHT(B4362,6),LEN(B4362))*0.0071))*43758.5453,1),"")</f>
        <v/>
      </c>
      <c r="E4362" s="0" t="str">
        <f aca="false">IF(C4362=1,INT(MOD(ABS(SIN(D4362*7919.123+ROW()*0.618+'הדבקת לידים'!$F$2*1.3))*43758.5453,1)*1000000)*10000+ROW(),"")</f>
        <v/>
      </c>
      <c r="F4362" s="0" t="str">
        <f aca="false">IF(E4362="","",RANK(E4362,$E$2:$E$5001,1))</f>
        <v/>
      </c>
      <c r="G4362" s="0" t="n">
        <f aca="false">IF(A4362="",0,IF(SUMPRODUCT(--($A$2:$A$5001=A4362))&gt;1,1,0))</f>
        <v>0</v>
      </c>
      <c r="H4362" s="0" t="n">
        <f aca="false">ROW()-1</f>
        <v>4361</v>
      </c>
      <c r="I4362" s="0" t="str">
        <f aca="false">IF(OR(הגדרות!$E$6=0,H4362&gt;הגדרות!$E$5),"",IF(H4362-1&lt;הגדרות!$E$8*(הגדרות!$E$7+1),INT((H4362-1)/(הגדרות!$E$7+1)),הגדרות!$E$8+INT((H4362-1-הגדרות!$E$8*(הגדרות!$E$7+1))/הגדרות!$E$7)))</f>
        <v/>
      </c>
      <c r="J4362" s="0" t="str">
        <f aca="false">IF(I4362="","",IF(H4362-1&lt;הגדרות!$E$8*(הגדרות!$E$7+1),MOD(H4362-1,הגדרות!$E$7+1),MOD(H4362-1-הגדרות!$E$8*(הגדרות!$E$7+1),הגדרות!$E$7)))</f>
        <v/>
      </c>
      <c r="K4362" s="0" t="str">
        <f aca="false">IF(I4362="","",J4362*הגדרות!$E$6+I4362+1)</f>
        <v/>
      </c>
      <c r="L4362" s="0" t="str">
        <f aca="false">IF(K4362="","",MATCH(K4362,$F$2:$F$5001,0))</f>
        <v/>
      </c>
      <c r="M4362" s="0" t="str">
        <f aca="false">IF(I4362="","",INDEX(הגדרות!$A$2:$A$21,MOD(I4362+הגדרות!$E$9,הגדרות!$E$6)+1))</f>
        <v/>
      </c>
    </row>
    <row r="4363" customFormat="false" ht="15" hidden="false" customHeight="false" outlineLevel="0" collapsed="false">
      <c r="A4363" s="0" t="str">
        <f aca="false">IF('הדבקת לידים'!A4363="","",IF(ISNUMBER('הדבקת לידים'!A4363),IF(הגדרות!$E$2&gt;0,TEXT('הדבקת לידים'!A4363,REPT("0",הגדרות!$E$2)),TEXT('הדבקת לידים'!A4363,"0")),TRIM('הדבקת לידים'!A4363)))</f>
        <v/>
      </c>
      <c r="B4363" s="0" t="str">
        <f aca="false">IF('הדבקת לידים'!B4363="","",IF(ISNUMBER('הדבקת לידים'!B4363),IF(הגדרות!$E$3&gt;0,TEXT('הדבקת לידים'!B4363,REPT("0",הגדרות!$E$3)),TEXT('הדבקת לידים'!B4363,"0")),TRIM('הדבקת לידים'!B4363)))</f>
        <v/>
      </c>
      <c r="C4363" s="0" t="n">
        <f aca="false">IF(OR(A4363&lt;&gt;"",B4363&lt;&gt;""),1,0)</f>
        <v>0</v>
      </c>
      <c r="D4363" s="0" t="str">
        <f aca="false">IF(C4363=1,MOD(ABS(SIN(ROW()*12.9898+'הדבקת לידים'!$F$2*78.233+IFERROR(--RIGHT(A4363,6),LEN(A4363))*0.0137+IFERROR(--RIGHT(B4363,6),LEN(B4363))*0.0071))*43758.5453,1),"")</f>
        <v/>
      </c>
      <c r="E4363" s="0" t="str">
        <f aca="false">IF(C4363=1,INT(MOD(ABS(SIN(D4363*7919.123+ROW()*0.618+'הדבקת לידים'!$F$2*1.3))*43758.5453,1)*1000000)*10000+ROW(),"")</f>
        <v/>
      </c>
      <c r="F4363" s="0" t="str">
        <f aca="false">IF(E4363="","",RANK(E4363,$E$2:$E$5001,1))</f>
        <v/>
      </c>
      <c r="G4363" s="0" t="n">
        <f aca="false">IF(A4363="",0,IF(SUMPRODUCT(--($A$2:$A$5001=A4363))&gt;1,1,0))</f>
        <v>0</v>
      </c>
      <c r="H4363" s="0" t="n">
        <f aca="false">ROW()-1</f>
        <v>4362</v>
      </c>
      <c r="I4363" s="0" t="str">
        <f aca="false">IF(OR(הגדרות!$E$6=0,H4363&gt;הגדרות!$E$5),"",IF(H4363-1&lt;הגדרות!$E$8*(הגדרות!$E$7+1),INT((H4363-1)/(הגדרות!$E$7+1)),הגדרות!$E$8+INT((H4363-1-הגדרות!$E$8*(הגדרות!$E$7+1))/הגדרות!$E$7)))</f>
        <v/>
      </c>
      <c r="J4363" s="0" t="str">
        <f aca="false">IF(I4363="","",IF(H4363-1&lt;הגדרות!$E$8*(הגדרות!$E$7+1),MOD(H4363-1,הגדרות!$E$7+1),MOD(H4363-1-הגדרות!$E$8*(הגדרות!$E$7+1),הגדרות!$E$7)))</f>
        <v/>
      </c>
      <c r="K4363" s="0" t="str">
        <f aca="false">IF(I4363="","",J4363*הגדרות!$E$6+I4363+1)</f>
        <v/>
      </c>
      <c r="L4363" s="0" t="str">
        <f aca="false">IF(K4363="","",MATCH(K4363,$F$2:$F$5001,0))</f>
        <v/>
      </c>
      <c r="M4363" s="0" t="str">
        <f aca="false">IF(I4363="","",INDEX(הגדרות!$A$2:$A$21,MOD(I4363+הגדרות!$E$9,הגדרות!$E$6)+1))</f>
        <v/>
      </c>
    </row>
    <row r="4364" customFormat="false" ht="15" hidden="false" customHeight="false" outlineLevel="0" collapsed="false">
      <c r="A4364" s="0" t="str">
        <f aca="false">IF('הדבקת לידים'!A4364="","",IF(ISNUMBER('הדבקת לידים'!A4364),IF(הגדרות!$E$2&gt;0,TEXT('הדבקת לידים'!A4364,REPT("0",הגדרות!$E$2)),TEXT('הדבקת לידים'!A4364,"0")),TRIM('הדבקת לידים'!A4364)))</f>
        <v/>
      </c>
      <c r="B4364" s="0" t="str">
        <f aca="false">IF('הדבקת לידים'!B4364="","",IF(ISNUMBER('הדבקת לידים'!B4364),IF(הגדרות!$E$3&gt;0,TEXT('הדבקת לידים'!B4364,REPT("0",הגדרות!$E$3)),TEXT('הדבקת לידים'!B4364,"0")),TRIM('הדבקת לידים'!B4364)))</f>
        <v/>
      </c>
      <c r="C4364" s="0" t="n">
        <f aca="false">IF(OR(A4364&lt;&gt;"",B4364&lt;&gt;""),1,0)</f>
        <v>0</v>
      </c>
      <c r="D4364" s="0" t="str">
        <f aca="false">IF(C4364=1,MOD(ABS(SIN(ROW()*12.9898+'הדבקת לידים'!$F$2*78.233+IFERROR(--RIGHT(A4364,6),LEN(A4364))*0.0137+IFERROR(--RIGHT(B4364,6),LEN(B4364))*0.0071))*43758.5453,1),"")</f>
        <v/>
      </c>
      <c r="E4364" s="0" t="str">
        <f aca="false">IF(C4364=1,INT(MOD(ABS(SIN(D4364*7919.123+ROW()*0.618+'הדבקת לידים'!$F$2*1.3))*43758.5453,1)*1000000)*10000+ROW(),"")</f>
        <v/>
      </c>
      <c r="F4364" s="0" t="str">
        <f aca="false">IF(E4364="","",RANK(E4364,$E$2:$E$5001,1))</f>
        <v/>
      </c>
      <c r="G4364" s="0" t="n">
        <f aca="false">IF(A4364="",0,IF(SUMPRODUCT(--($A$2:$A$5001=A4364))&gt;1,1,0))</f>
        <v>0</v>
      </c>
      <c r="H4364" s="0" t="n">
        <f aca="false">ROW()-1</f>
        <v>4363</v>
      </c>
      <c r="I4364" s="0" t="str">
        <f aca="false">IF(OR(הגדרות!$E$6=0,H4364&gt;הגדרות!$E$5),"",IF(H4364-1&lt;הגדרות!$E$8*(הגדרות!$E$7+1),INT((H4364-1)/(הגדרות!$E$7+1)),הגדרות!$E$8+INT((H4364-1-הגדרות!$E$8*(הגדרות!$E$7+1))/הגדרות!$E$7)))</f>
        <v/>
      </c>
      <c r="J4364" s="0" t="str">
        <f aca="false">IF(I4364="","",IF(H4364-1&lt;הגדרות!$E$8*(הגדרות!$E$7+1),MOD(H4364-1,הגדרות!$E$7+1),MOD(H4364-1-הגדרות!$E$8*(הגדרות!$E$7+1),הגדרות!$E$7)))</f>
        <v/>
      </c>
      <c r="K4364" s="0" t="str">
        <f aca="false">IF(I4364="","",J4364*הגדרות!$E$6+I4364+1)</f>
        <v/>
      </c>
      <c r="L4364" s="0" t="str">
        <f aca="false">IF(K4364="","",MATCH(K4364,$F$2:$F$5001,0))</f>
        <v/>
      </c>
      <c r="M4364" s="0" t="str">
        <f aca="false">IF(I4364="","",INDEX(הגדרות!$A$2:$A$21,MOD(I4364+הגדרות!$E$9,הגדרות!$E$6)+1))</f>
        <v/>
      </c>
    </row>
    <row r="4365" customFormat="false" ht="15" hidden="false" customHeight="false" outlineLevel="0" collapsed="false">
      <c r="A4365" s="0" t="str">
        <f aca="false">IF('הדבקת לידים'!A4365="","",IF(ISNUMBER('הדבקת לידים'!A4365),IF(הגדרות!$E$2&gt;0,TEXT('הדבקת לידים'!A4365,REPT("0",הגדרות!$E$2)),TEXT('הדבקת לידים'!A4365,"0")),TRIM('הדבקת לידים'!A4365)))</f>
        <v/>
      </c>
      <c r="B4365" s="0" t="str">
        <f aca="false">IF('הדבקת לידים'!B4365="","",IF(ISNUMBER('הדבקת לידים'!B4365),IF(הגדרות!$E$3&gt;0,TEXT('הדבקת לידים'!B4365,REPT("0",הגדרות!$E$3)),TEXT('הדבקת לידים'!B4365,"0")),TRIM('הדבקת לידים'!B4365)))</f>
        <v/>
      </c>
      <c r="C4365" s="0" t="n">
        <f aca="false">IF(OR(A4365&lt;&gt;"",B4365&lt;&gt;""),1,0)</f>
        <v>0</v>
      </c>
      <c r="D4365" s="0" t="str">
        <f aca="false">IF(C4365=1,MOD(ABS(SIN(ROW()*12.9898+'הדבקת לידים'!$F$2*78.233+IFERROR(--RIGHT(A4365,6),LEN(A4365))*0.0137+IFERROR(--RIGHT(B4365,6),LEN(B4365))*0.0071))*43758.5453,1),"")</f>
        <v/>
      </c>
      <c r="E4365" s="0" t="str">
        <f aca="false">IF(C4365=1,INT(MOD(ABS(SIN(D4365*7919.123+ROW()*0.618+'הדבקת לידים'!$F$2*1.3))*43758.5453,1)*1000000)*10000+ROW(),"")</f>
        <v/>
      </c>
      <c r="F4365" s="0" t="str">
        <f aca="false">IF(E4365="","",RANK(E4365,$E$2:$E$5001,1))</f>
        <v/>
      </c>
      <c r="G4365" s="0" t="n">
        <f aca="false">IF(A4365="",0,IF(SUMPRODUCT(--($A$2:$A$5001=A4365))&gt;1,1,0))</f>
        <v>0</v>
      </c>
      <c r="H4365" s="0" t="n">
        <f aca="false">ROW()-1</f>
        <v>4364</v>
      </c>
      <c r="I4365" s="0" t="str">
        <f aca="false">IF(OR(הגדרות!$E$6=0,H4365&gt;הגדרות!$E$5),"",IF(H4365-1&lt;הגדרות!$E$8*(הגדרות!$E$7+1),INT((H4365-1)/(הגדרות!$E$7+1)),הגדרות!$E$8+INT((H4365-1-הגדרות!$E$8*(הגדרות!$E$7+1))/הגדרות!$E$7)))</f>
        <v/>
      </c>
      <c r="J4365" s="0" t="str">
        <f aca="false">IF(I4365="","",IF(H4365-1&lt;הגדרות!$E$8*(הגדרות!$E$7+1),MOD(H4365-1,הגדרות!$E$7+1),MOD(H4365-1-הגדרות!$E$8*(הגדרות!$E$7+1),הגדרות!$E$7)))</f>
        <v/>
      </c>
      <c r="K4365" s="0" t="str">
        <f aca="false">IF(I4365="","",J4365*הגדרות!$E$6+I4365+1)</f>
        <v/>
      </c>
      <c r="L4365" s="0" t="str">
        <f aca="false">IF(K4365="","",MATCH(K4365,$F$2:$F$5001,0))</f>
        <v/>
      </c>
      <c r="M4365" s="0" t="str">
        <f aca="false">IF(I4365="","",INDEX(הגדרות!$A$2:$A$21,MOD(I4365+הגדרות!$E$9,הגדרות!$E$6)+1))</f>
        <v/>
      </c>
    </row>
    <row r="4366" customFormat="false" ht="15" hidden="false" customHeight="false" outlineLevel="0" collapsed="false">
      <c r="A4366" s="0" t="str">
        <f aca="false">IF('הדבקת לידים'!A4366="","",IF(ISNUMBER('הדבקת לידים'!A4366),IF(הגדרות!$E$2&gt;0,TEXT('הדבקת לידים'!A4366,REPT("0",הגדרות!$E$2)),TEXT('הדבקת לידים'!A4366,"0")),TRIM('הדבקת לידים'!A4366)))</f>
        <v/>
      </c>
      <c r="B4366" s="0" t="str">
        <f aca="false">IF('הדבקת לידים'!B4366="","",IF(ISNUMBER('הדבקת לידים'!B4366),IF(הגדרות!$E$3&gt;0,TEXT('הדבקת לידים'!B4366,REPT("0",הגדרות!$E$3)),TEXT('הדבקת לידים'!B4366,"0")),TRIM('הדבקת לידים'!B4366)))</f>
        <v/>
      </c>
      <c r="C4366" s="0" t="n">
        <f aca="false">IF(OR(A4366&lt;&gt;"",B4366&lt;&gt;""),1,0)</f>
        <v>0</v>
      </c>
      <c r="D4366" s="0" t="str">
        <f aca="false">IF(C4366=1,MOD(ABS(SIN(ROW()*12.9898+'הדבקת לידים'!$F$2*78.233+IFERROR(--RIGHT(A4366,6),LEN(A4366))*0.0137+IFERROR(--RIGHT(B4366,6),LEN(B4366))*0.0071))*43758.5453,1),"")</f>
        <v/>
      </c>
      <c r="E4366" s="0" t="str">
        <f aca="false">IF(C4366=1,INT(MOD(ABS(SIN(D4366*7919.123+ROW()*0.618+'הדבקת לידים'!$F$2*1.3))*43758.5453,1)*1000000)*10000+ROW(),"")</f>
        <v/>
      </c>
      <c r="F4366" s="0" t="str">
        <f aca="false">IF(E4366="","",RANK(E4366,$E$2:$E$5001,1))</f>
        <v/>
      </c>
      <c r="G4366" s="0" t="n">
        <f aca="false">IF(A4366="",0,IF(SUMPRODUCT(--($A$2:$A$5001=A4366))&gt;1,1,0))</f>
        <v>0</v>
      </c>
      <c r="H4366" s="0" t="n">
        <f aca="false">ROW()-1</f>
        <v>4365</v>
      </c>
      <c r="I4366" s="0" t="str">
        <f aca="false">IF(OR(הגדרות!$E$6=0,H4366&gt;הגדרות!$E$5),"",IF(H4366-1&lt;הגדרות!$E$8*(הגדרות!$E$7+1),INT((H4366-1)/(הגדרות!$E$7+1)),הגדרות!$E$8+INT((H4366-1-הגדרות!$E$8*(הגדרות!$E$7+1))/הגדרות!$E$7)))</f>
        <v/>
      </c>
      <c r="J4366" s="0" t="str">
        <f aca="false">IF(I4366="","",IF(H4366-1&lt;הגדרות!$E$8*(הגדרות!$E$7+1),MOD(H4366-1,הגדרות!$E$7+1),MOD(H4366-1-הגדרות!$E$8*(הגדרות!$E$7+1),הגדרות!$E$7)))</f>
        <v/>
      </c>
      <c r="K4366" s="0" t="str">
        <f aca="false">IF(I4366="","",J4366*הגדרות!$E$6+I4366+1)</f>
        <v/>
      </c>
      <c r="L4366" s="0" t="str">
        <f aca="false">IF(K4366="","",MATCH(K4366,$F$2:$F$5001,0))</f>
        <v/>
      </c>
      <c r="M4366" s="0" t="str">
        <f aca="false">IF(I4366="","",INDEX(הגדרות!$A$2:$A$21,MOD(I4366+הגדרות!$E$9,הגדרות!$E$6)+1))</f>
        <v/>
      </c>
    </row>
    <row r="4367" customFormat="false" ht="15" hidden="false" customHeight="false" outlineLevel="0" collapsed="false">
      <c r="A4367" s="0" t="str">
        <f aca="false">IF('הדבקת לידים'!A4367="","",IF(ISNUMBER('הדבקת לידים'!A4367),IF(הגדרות!$E$2&gt;0,TEXT('הדבקת לידים'!A4367,REPT("0",הגדרות!$E$2)),TEXT('הדבקת לידים'!A4367,"0")),TRIM('הדבקת לידים'!A4367)))</f>
        <v/>
      </c>
      <c r="B4367" s="0" t="str">
        <f aca="false">IF('הדבקת לידים'!B4367="","",IF(ISNUMBER('הדבקת לידים'!B4367),IF(הגדרות!$E$3&gt;0,TEXT('הדבקת לידים'!B4367,REPT("0",הגדרות!$E$3)),TEXT('הדבקת לידים'!B4367,"0")),TRIM('הדבקת לידים'!B4367)))</f>
        <v/>
      </c>
      <c r="C4367" s="0" t="n">
        <f aca="false">IF(OR(A4367&lt;&gt;"",B4367&lt;&gt;""),1,0)</f>
        <v>0</v>
      </c>
      <c r="D4367" s="0" t="str">
        <f aca="false">IF(C4367=1,MOD(ABS(SIN(ROW()*12.9898+'הדבקת לידים'!$F$2*78.233+IFERROR(--RIGHT(A4367,6),LEN(A4367))*0.0137+IFERROR(--RIGHT(B4367,6),LEN(B4367))*0.0071))*43758.5453,1),"")</f>
        <v/>
      </c>
      <c r="E4367" s="0" t="str">
        <f aca="false">IF(C4367=1,INT(MOD(ABS(SIN(D4367*7919.123+ROW()*0.618+'הדבקת לידים'!$F$2*1.3))*43758.5453,1)*1000000)*10000+ROW(),"")</f>
        <v/>
      </c>
      <c r="F4367" s="0" t="str">
        <f aca="false">IF(E4367="","",RANK(E4367,$E$2:$E$5001,1))</f>
        <v/>
      </c>
      <c r="G4367" s="0" t="n">
        <f aca="false">IF(A4367="",0,IF(SUMPRODUCT(--($A$2:$A$5001=A4367))&gt;1,1,0))</f>
        <v>0</v>
      </c>
      <c r="H4367" s="0" t="n">
        <f aca="false">ROW()-1</f>
        <v>4366</v>
      </c>
      <c r="I4367" s="0" t="str">
        <f aca="false">IF(OR(הגדרות!$E$6=0,H4367&gt;הגדרות!$E$5),"",IF(H4367-1&lt;הגדרות!$E$8*(הגדרות!$E$7+1),INT((H4367-1)/(הגדרות!$E$7+1)),הגדרות!$E$8+INT((H4367-1-הגדרות!$E$8*(הגדרות!$E$7+1))/הגדרות!$E$7)))</f>
        <v/>
      </c>
      <c r="J4367" s="0" t="str">
        <f aca="false">IF(I4367="","",IF(H4367-1&lt;הגדרות!$E$8*(הגדרות!$E$7+1),MOD(H4367-1,הגדרות!$E$7+1),MOD(H4367-1-הגדרות!$E$8*(הגדרות!$E$7+1),הגדרות!$E$7)))</f>
        <v/>
      </c>
      <c r="K4367" s="0" t="str">
        <f aca="false">IF(I4367="","",J4367*הגדרות!$E$6+I4367+1)</f>
        <v/>
      </c>
      <c r="L4367" s="0" t="str">
        <f aca="false">IF(K4367="","",MATCH(K4367,$F$2:$F$5001,0))</f>
        <v/>
      </c>
      <c r="M4367" s="0" t="str">
        <f aca="false">IF(I4367="","",INDEX(הגדרות!$A$2:$A$21,MOD(I4367+הגדרות!$E$9,הגדרות!$E$6)+1))</f>
        <v/>
      </c>
    </row>
    <row r="4368" customFormat="false" ht="15" hidden="false" customHeight="false" outlineLevel="0" collapsed="false">
      <c r="A4368" s="0" t="str">
        <f aca="false">IF('הדבקת לידים'!A4368="","",IF(ISNUMBER('הדבקת לידים'!A4368),IF(הגדרות!$E$2&gt;0,TEXT('הדבקת לידים'!A4368,REPT("0",הגדרות!$E$2)),TEXT('הדבקת לידים'!A4368,"0")),TRIM('הדבקת לידים'!A4368)))</f>
        <v/>
      </c>
      <c r="B4368" s="0" t="str">
        <f aca="false">IF('הדבקת לידים'!B4368="","",IF(ISNUMBER('הדבקת לידים'!B4368),IF(הגדרות!$E$3&gt;0,TEXT('הדבקת לידים'!B4368,REPT("0",הגדרות!$E$3)),TEXT('הדבקת לידים'!B4368,"0")),TRIM('הדבקת לידים'!B4368)))</f>
        <v/>
      </c>
      <c r="C4368" s="0" t="n">
        <f aca="false">IF(OR(A4368&lt;&gt;"",B4368&lt;&gt;""),1,0)</f>
        <v>0</v>
      </c>
      <c r="D4368" s="0" t="str">
        <f aca="false">IF(C4368=1,MOD(ABS(SIN(ROW()*12.9898+'הדבקת לידים'!$F$2*78.233+IFERROR(--RIGHT(A4368,6),LEN(A4368))*0.0137+IFERROR(--RIGHT(B4368,6),LEN(B4368))*0.0071))*43758.5453,1),"")</f>
        <v/>
      </c>
      <c r="E4368" s="0" t="str">
        <f aca="false">IF(C4368=1,INT(MOD(ABS(SIN(D4368*7919.123+ROW()*0.618+'הדבקת לידים'!$F$2*1.3))*43758.5453,1)*1000000)*10000+ROW(),"")</f>
        <v/>
      </c>
      <c r="F4368" s="0" t="str">
        <f aca="false">IF(E4368="","",RANK(E4368,$E$2:$E$5001,1))</f>
        <v/>
      </c>
      <c r="G4368" s="0" t="n">
        <f aca="false">IF(A4368="",0,IF(SUMPRODUCT(--($A$2:$A$5001=A4368))&gt;1,1,0))</f>
        <v>0</v>
      </c>
      <c r="H4368" s="0" t="n">
        <f aca="false">ROW()-1</f>
        <v>4367</v>
      </c>
      <c r="I4368" s="0" t="str">
        <f aca="false">IF(OR(הגדרות!$E$6=0,H4368&gt;הגדרות!$E$5),"",IF(H4368-1&lt;הגדרות!$E$8*(הגדרות!$E$7+1),INT((H4368-1)/(הגדרות!$E$7+1)),הגדרות!$E$8+INT((H4368-1-הגדרות!$E$8*(הגדרות!$E$7+1))/הגדרות!$E$7)))</f>
        <v/>
      </c>
      <c r="J4368" s="0" t="str">
        <f aca="false">IF(I4368="","",IF(H4368-1&lt;הגדרות!$E$8*(הגדרות!$E$7+1),MOD(H4368-1,הגדרות!$E$7+1),MOD(H4368-1-הגדרות!$E$8*(הגדרות!$E$7+1),הגדרות!$E$7)))</f>
        <v/>
      </c>
      <c r="K4368" s="0" t="str">
        <f aca="false">IF(I4368="","",J4368*הגדרות!$E$6+I4368+1)</f>
        <v/>
      </c>
      <c r="L4368" s="0" t="str">
        <f aca="false">IF(K4368="","",MATCH(K4368,$F$2:$F$5001,0))</f>
        <v/>
      </c>
      <c r="M4368" s="0" t="str">
        <f aca="false">IF(I4368="","",INDEX(הגדרות!$A$2:$A$21,MOD(I4368+הגדרות!$E$9,הגדרות!$E$6)+1))</f>
        <v/>
      </c>
    </row>
    <row r="4369" customFormat="false" ht="15" hidden="false" customHeight="false" outlineLevel="0" collapsed="false">
      <c r="A4369" s="0" t="str">
        <f aca="false">IF('הדבקת לידים'!A4369="","",IF(ISNUMBER('הדבקת לידים'!A4369),IF(הגדרות!$E$2&gt;0,TEXT('הדבקת לידים'!A4369,REPT("0",הגדרות!$E$2)),TEXT('הדבקת לידים'!A4369,"0")),TRIM('הדבקת לידים'!A4369)))</f>
        <v/>
      </c>
      <c r="B4369" s="0" t="str">
        <f aca="false">IF('הדבקת לידים'!B4369="","",IF(ISNUMBER('הדבקת לידים'!B4369),IF(הגדרות!$E$3&gt;0,TEXT('הדבקת לידים'!B4369,REPT("0",הגדרות!$E$3)),TEXT('הדבקת לידים'!B4369,"0")),TRIM('הדבקת לידים'!B4369)))</f>
        <v/>
      </c>
      <c r="C4369" s="0" t="n">
        <f aca="false">IF(OR(A4369&lt;&gt;"",B4369&lt;&gt;""),1,0)</f>
        <v>0</v>
      </c>
      <c r="D4369" s="0" t="str">
        <f aca="false">IF(C4369=1,MOD(ABS(SIN(ROW()*12.9898+'הדבקת לידים'!$F$2*78.233+IFERROR(--RIGHT(A4369,6),LEN(A4369))*0.0137+IFERROR(--RIGHT(B4369,6),LEN(B4369))*0.0071))*43758.5453,1),"")</f>
        <v/>
      </c>
      <c r="E4369" s="0" t="str">
        <f aca="false">IF(C4369=1,INT(MOD(ABS(SIN(D4369*7919.123+ROW()*0.618+'הדבקת לידים'!$F$2*1.3))*43758.5453,1)*1000000)*10000+ROW(),"")</f>
        <v/>
      </c>
      <c r="F4369" s="0" t="str">
        <f aca="false">IF(E4369="","",RANK(E4369,$E$2:$E$5001,1))</f>
        <v/>
      </c>
      <c r="G4369" s="0" t="n">
        <f aca="false">IF(A4369="",0,IF(SUMPRODUCT(--($A$2:$A$5001=A4369))&gt;1,1,0))</f>
        <v>0</v>
      </c>
      <c r="H4369" s="0" t="n">
        <f aca="false">ROW()-1</f>
        <v>4368</v>
      </c>
      <c r="I4369" s="0" t="str">
        <f aca="false">IF(OR(הגדרות!$E$6=0,H4369&gt;הגדרות!$E$5),"",IF(H4369-1&lt;הגדרות!$E$8*(הגדרות!$E$7+1),INT((H4369-1)/(הגדרות!$E$7+1)),הגדרות!$E$8+INT((H4369-1-הגדרות!$E$8*(הגדרות!$E$7+1))/הגדרות!$E$7)))</f>
        <v/>
      </c>
      <c r="J4369" s="0" t="str">
        <f aca="false">IF(I4369="","",IF(H4369-1&lt;הגדרות!$E$8*(הגדרות!$E$7+1),MOD(H4369-1,הגדרות!$E$7+1),MOD(H4369-1-הגדרות!$E$8*(הגדרות!$E$7+1),הגדרות!$E$7)))</f>
        <v/>
      </c>
      <c r="K4369" s="0" t="str">
        <f aca="false">IF(I4369="","",J4369*הגדרות!$E$6+I4369+1)</f>
        <v/>
      </c>
      <c r="L4369" s="0" t="str">
        <f aca="false">IF(K4369="","",MATCH(K4369,$F$2:$F$5001,0))</f>
        <v/>
      </c>
      <c r="M4369" s="0" t="str">
        <f aca="false">IF(I4369="","",INDEX(הגדרות!$A$2:$A$21,MOD(I4369+הגדרות!$E$9,הגדרות!$E$6)+1))</f>
        <v/>
      </c>
    </row>
    <row r="4370" customFormat="false" ht="15" hidden="false" customHeight="false" outlineLevel="0" collapsed="false">
      <c r="A4370" s="0" t="str">
        <f aca="false">IF('הדבקת לידים'!A4370="","",IF(ISNUMBER('הדבקת לידים'!A4370),IF(הגדרות!$E$2&gt;0,TEXT('הדבקת לידים'!A4370,REPT("0",הגדרות!$E$2)),TEXT('הדבקת לידים'!A4370,"0")),TRIM('הדבקת לידים'!A4370)))</f>
        <v/>
      </c>
      <c r="B4370" s="0" t="str">
        <f aca="false">IF('הדבקת לידים'!B4370="","",IF(ISNUMBER('הדבקת לידים'!B4370),IF(הגדרות!$E$3&gt;0,TEXT('הדבקת לידים'!B4370,REPT("0",הגדרות!$E$3)),TEXT('הדבקת לידים'!B4370,"0")),TRIM('הדבקת לידים'!B4370)))</f>
        <v/>
      </c>
      <c r="C4370" s="0" t="n">
        <f aca="false">IF(OR(A4370&lt;&gt;"",B4370&lt;&gt;""),1,0)</f>
        <v>0</v>
      </c>
      <c r="D4370" s="0" t="str">
        <f aca="false">IF(C4370=1,MOD(ABS(SIN(ROW()*12.9898+'הדבקת לידים'!$F$2*78.233+IFERROR(--RIGHT(A4370,6),LEN(A4370))*0.0137+IFERROR(--RIGHT(B4370,6),LEN(B4370))*0.0071))*43758.5453,1),"")</f>
        <v/>
      </c>
      <c r="E4370" s="0" t="str">
        <f aca="false">IF(C4370=1,INT(MOD(ABS(SIN(D4370*7919.123+ROW()*0.618+'הדבקת לידים'!$F$2*1.3))*43758.5453,1)*1000000)*10000+ROW(),"")</f>
        <v/>
      </c>
      <c r="F4370" s="0" t="str">
        <f aca="false">IF(E4370="","",RANK(E4370,$E$2:$E$5001,1))</f>
        <v/>
      </c>
      <c r="G4370" s="0" t="n">
        <f aca="false">IF(A4370="",0,IF(SUMPRODUCT(--($A$2:$A$5001=A4370))&gt;1,1,0))</f>
        <v>0</v>
      </c>
      <c r="H4370" s="0" t="n">
        <f aca="false">ROW()-1</f>
        <v>4369</v>
      </c>
      <c r="I4370" s="0" t="str">
        <f aca="false">IF(OR(הגדרות!$E$6=0,H4370&gt;הגדרות!$E$5),"",IF(H4370-1&lt;הגדרות!$E$8*(הגדרות!$E$7+1),INT((H4370-1)/(הגדרות!$E$7+1)),הגדרות!$E$8+INT((H4370-1-הגדרות!$E$8*(הגדרות!$E$7+1))/הגדרות!$E$7)))</f>
        <v/>
      </c>
      <c r="J4370" s="0" t="str">
        <f aca="false">IF(I4370="","",IF(H4370-1&lt;הגדרות!$E$8*(הגדרות!$E$7+1),MOD(H4370-1,הגדרות!$E$7+1),MOD(H4370-1-הגדרות!$E$8*(הגדרות!$E$7+1),הגדרות!$E$7)))</f>
        <v/>
      </c>
      <c r="K4370" s="0" t="str">
        <f aca="false">IF(I4370="","",J4370*הגדרות!$E$6+I4370+1)</f>
        <v/>
      </c>
      <c r="L4370" s="0" t="str">
        <f aca="false">IF(K4370="","",MATCH(K4370,$F$2:$F$5001,0))</f>
        <v/>
      </c>
      <c r="M4370" s="0" t="str">
        <f aca="false">IF(I4370="","",INDEX(הגדרות!$A$2:$A$21,MOD(I4370+הגדרות!$E$9,הגדרות!$E$6)+1))</f>
        <v/>
      </c>
    </row>
    <row r="4371" customFormat="false" ht="15" hidden="false" customHeight="false" outlineLevel="0" collapsed="false">
      <c r="A4371" s="0" t="str">
        <f aca="false">IF('הדבקת לידים'!A4371="","",IF(ISNUMBER('הדבקת לידים'!A4371),IF(הגדרות!$E$2&gt;0,TEXT('הדבקת לידים'!A4371,REPT("0",הגדרות!$E$2)),TEXT('הדבקת לידים'!A4371,"0")),TRIM('הדבקת לידים'!A4371)))</f>
        <v/>
      </c>
      <c r="B4371" s="0" t="str">
        <f aca="false">IF('הדבקת לידים'!B4371="","",IF(ISNUMBER('הדבקת לידים'!B4371),IF(הגדרות!$E$3&gt;0,TEXT('הדבקת לידים'!B4371,REPT("0",הגדרות!$E$3)),TEXT('הדבקת לידים'!B4371,"0")),TRIM('הדבקת לידים'!B4371)))</f>
        <v/>
      </c>
      <c r="C4371" s="0" t="n">
        <f aca="false">IF(OR(A4371&lt;&gt;"",B4371&lt;&gt;""),1,0)</f>
        <v>0</v>
      </c>
      <c r="D4371" s="0" t="str">
        <f aca="false">IF(C4371=1,MOD(ABS(SIN(ROW()*12.9898+'הדבקת לידים'!$F$2*78.233+IFERROR(--RIGHT(A4371,6),LEN(A4371))*0.0137+IFERROR(--RIGHT(B4371,6),LEN(B4371))*0.0071))*43758.5453,1),"")</f>
        <v/>
      </c>
      <c r="E4371" s="0" t="str">
        <f aca="false">IF(C4371=1,INT(MOD(ABS(SIN(D4371*7919.123+ROW()*0.618+'הדבקת לידים'!$F$2*1.3))*43758.5453,1)*1000000)*10000+ROW(),"")</f>
        <v/>
      </c>
      <c r="F4371" s="0" t="str">
        <f aca="false">IF(E4371="","",RANK(E4371,$E$2:$E$5001,1))</f>
        <v/>
      </c>
      <c r="G4371" s="0" t="n">
        <f aca="false">IF(A4371="",0,IF(SUMPRODUCT(--($A$2:$A$5001=A4371))&gt;1,1,0))</f>
        <v>0</v>
      </c>
      <c r="H4371" s="0" t="n">
        <f aca="false">ROW()-1</f>
        <v>4370</v>
      </c>
      <c r="I4371" s="0" t="str">
        <f aca="false">IF(OR(הגדרות!$E$6=0,H4371&gt;הגדרות!$E$5),"",IF(H4371-1&lt;הגדרות!$E$8*(הגדרות!$E$7+1),INT((H4371-1)/(הגדרות!$E$7+1)),הגדרות!$E$8+INT((H4371-1-הגדרות!$E$8*(הגדרות!$E$7+1))/הגדרות!$E$7)))</f>
        <v/>
      </c>
      <c r="J4371" s="0" t="str">
        <f aca="false">IF(I4371="","",IF(H4371-1&lt;הגדרות!$E$8*(הגדרות!$E$7+1),MOD(H4371-1,הגדרות!$E$7+1),MOD(H4371-1-הגדרות!$E$8*(הגדרות!$E$7+1),הגדרות!$E$7)))</f>
        <v/>
      </c>
      <c r="K4371" s="0" t="str">
        <f aca="false">IF(I4371="","",J4371*הגדרות!$E$6+I4371+1)</f>
        <v/>
      </c>
      <c r="L4371" s="0" t="str">
        <f aca="false">IF(K4371="","",MATCH(K4371,$F$2:$F$5001,0))</f>
        <v/>
      </c>
      <c r="M4371" s="0" t="str">
        <f aca="false">IF(I4371="","",INDEX(הגדרות!$A$2:$A$21,MOD(I4371+הגדרות!$E$9,הגדרות!$E$6)+1))</f>
        <v/>
      </c>
    </row>
    <row r="4372" customFormat="false" ht="15" hidden="false" customHeight="false" outlineLevel="0" collapsed="false">
      <c r="A4372" s="0" t="str">
        <f aca="false">IF('הדבקת לידים'!A4372="","",IF(ISNUMBER('הדבקת לידים'!A4372),IF(הגדרות!$E$2&gt;0,TEXT('הדבקת לידים'!A4372,REPT("0",הגדרות!$E$2)),TEXT('הדבקת לידים'!A4372,"0")),TRIM('הדבקת לידים'!A4372)))</f>
        <v/>
      </c>
      <c r="B4372" s="0" t="str">
        <f aca="false">IF('הדבקת לידים'!B4372="","",IF(ISNUMBER('הדבקת לידים'!B4372),IF(הגדרות!$E$3&gt;0,TEXT('הדבקת לידים'!B4372,REPT("0",הגדרות!$E$3)),TEXT('הדבקת לידים'!B4372,"0")),TRIM('הדבקת לידים'!B4372)))</f>
        <v/>
      </c>
      <c r="C4372" s="0" t="n">
        <f aca="false">IF(OR(A4372&lt;&gt;"",B4372&lt;&gt;""),1,0)</f>
        <v>0</v>
      </c>
      <c r="D4372" s="0" t="str">
        <f aca="false">IF(C4372=1,MOD(ABS(SIN(ROW()*12.9898+'הדבקת לידים'!$F$2*78.233+IFERROR(--RIGHT(A4372,6),LEN(A4372))*0.0137+IFERROR(--RIGHT(B4372,6),LEN(B4372))*0.0071))*43758.5453,1),"")</f>
        <v/>
      </c>
      <c r="E4372" s="0" t="str">
        <f aca="false">IF(C4372=1,INT(MOD(ABS(SIN(D4372*7919.123+ROW()*0.618+'הדבקת לידים'!$F$2*1.3))*43758.5453,1)*1000000)*10000+ROW(),"")</f>
        <v/>
      </c>
      <c r="F4372" s="0" t="str">
        <f aca="false">IF(E4372="","",RANK(E4372,$E$2:$E$5001,1))</f>
        <v/>
      </c>
      <c r="G4372" s="0" t="n">
        <f aca="false">IF(A4372="",0,IF(SUMPRODUCT(--($A$2:$A$5001=A4372))&gt;1,1,0))</f>
        <v>0</v>
      </c>
      <c r="H4372" s="0" t="n">
        <f aca="false">ROW()-1</f>
        <v>4371</v>
      </c>
      <c r="I4372" s="0" t="str">
        <f aca="false">IF(OR(הגדרות!$E$6=0,H4372&gt;הגדרות!$E$5),"",IF(H4372-1&lt;הגדרות!$E$8*(הגדרות!$E$7+1),INT((H4372-1)/(הגדרות!$E$7+1)),הגדרות!$E$8+INT((H4372-1-הגדרות!$E$8*(הגדרות!$E$7+1))/הגדרות!$E$7)))</f>
        <v/>
      </c>
      <c r="J4372" s="0" t="str">
        <f aca="false">IF(I4372="","",IF(H4372-1&lt;הגדרות!$E$8*(הגדרות!$E$7+1),MOD(H4372-1,הגדרות!$E$7+1),MOD(H4372-1-הגדרות!$E$8*(הגדרות!$E$7+1),הגדרות!$E$7)))</f>
        <v/>
      </c>
      <c r="K4372" s="0" t="str">
        <f aca="false">IF(I4372="","",J4372*הגדרות!$E$6+I4372+1)</f>
        <v/>
      </c>
      <c r="L4372" s="0" t="str">
        <f aca="false">IF(K4372="","",MATCH(K4372,$F$2:$F$5001,0))</f>
        <v/>
      </c>
      <c r="M4372" s="0" t="str">
        <f aca="false">IF(I4372="","",INDEX(הגדרות!$A$2:$A$21,MOD(I4372+הגדרות!$E$9,הגדרות!$E$6)+1))</f>
        <v/>
      </c>
    </row>
    <row r="4373" customFormat="false" ht="15" hidden="false" customHeight="false" outlineLevel="0" collapsed="false">
      <c r="A4373" s="0" t="str">
        <f aca="false">IF('הדבקת לידים'!A4373="","",IF(ISNUMBER('הדבקת לידים'!A4373),IF(הגדרות!$E$2&gt;0,TEXT('הדבקת לידים'!A4373,REPT("0",הגדרות!$E$2)),TEXT('הדבקת לידים'!A4373,"0")),TRIM('הדבקת לידים'!A4373)))</f>
        <v/>
      </c>
      <c r="B4373" s="0" t="str">
        <f aca="false">IF('הדבקת לידים'!B4373="","",IF(ISNUMBER('הדבקת לידים'!B4373),IF(הגדרות!$E$3&gt;0,TEXT('הדבקת לידים'!B4373,REPT("0",הגדרות!$E$3)),TEXT('הדבקת לידים'!B4373,"0")),TRIM('הדבקת לידים'!B4373)))</f>
        <v/>
      </c>
      <c r="C4373" s="0" t="n">
        <f aca="false">IF(OR(A4373&lt;&gt;"",B4373&lt;&gt;""),1,0)</f>
        <v>0</v>
      </c>
      <c r="D4373" s="0" t="str">
        <f aca="false">IF(C4373=1,MOD(ABS(SIN(ROW()*12.9898+'הדבקת לידים'!$F$2*78.233+IFERROR(--RIGHT(A4373,6),LEN(A4373))*0.0137+IFERROR(--RIGHT(B4373,6),LEN(B4373))*0.0071))*43758.5453,1),"")</f>
        <v/>
      </c>
      <c r="E4373" s="0" t="str">
        <f aca="false">IF(C4373=1,INT(MOD(ABS(SIN(D4373*7919.123+ROW()*0.618+'הדבקת לידים'!$F$2*1.3))*43758.5453,1)*1000000)*10000+ROW(),"")</f>
        <v/>
      </c>
      <c r="F4373" s="0" t="str">
        <f aca="false">IF(E4373="","",RANK(E4373,$E$2:$E$5001,1))</f>
        <v/>
      </c>
      <c r="G4373" s="0" t="n">
        <f aca="false">IF(A4373="",0,IF(SUMPRODUCT(--($A$2:$A$5001=A4373))&gt;1,1,0))</f>
        <v>0</v>
      </c>
      <c r="H4373" s="0" t="n">
        <f aca="false">ROW()-1</f>
        <v>4372</v>
      </c>
      <c r="I4373" s="0" t="str">
        <f aca="false">IF(OR(הגדרות!$E$6=0,H4373&gt;הגדרות!$E$5),"",IF(H4373-1&lt;הגדרות!$E$8*(הגדרות!$E$7+1),INT((H4373-1)/(הגדרות!$E$7+1)),הגדרות!$E$8+INT((H4373-1-הגדרות!$E$8*(הגדרות!$E$7+1))/הגדרות!$E$7)))</f>
        <v/>
      </c>
      <c r="J4373" s="0" t="str">
        <f aca="false">IF(I4373="","",IF(H4373-1&lt;הגדרות!$E$8*(הגדרות!$E$7+1),MOD(H4373-1,הגדרות!$E$7+1),MOD(H4373-1-הגדרות!$E$8*(הגדרות!$E$7+1),הגדרות!$E$7)))</f>
        <v/>
      </c>
      <c r="K4373" s="0" t="str">
        <f aca="false">IF(I4373="","",J4373*הגדרות!$E$6+I4373+1)</f>
        <v/>
      </c>
      <c r="L4373" s="0" t="str">
        <f aca="false">IF(K4373="","",MATCH(K4373,$F$2:$F$5001,0))</f>
        <v/>
      </c>
      <c r="M4373" s="0" t="str">
        <f aca="false">IF(I4373="","",INDEX(הגדרות!$A$2:$A$21,MOD(I4373+הגדרות!$E$9,הגדרות!$E$6)+1))</f>
        <v/>
      </c>
    </row>
    <row r="4374" customFormat="false" ht="15" hidden="false" customHeight="false" outlineLevel="0" collapsed="false">
      <c r="A4374" s="0" t="str">
        <f aca="false">IF('הדבקת לידים'!A4374="","",IF(ISNUMBER('הדבקת לידים'!A4374),IF(הגדרות!$E$2&gt;0,TEXT('הדבקת לידים'!A4374,REPT("0",הגדרות!$E$2)),TEXT('הדבקת לידים'!A4374,"0")),TRIM('הדבקת לידים'!A4374)))</f>
        <v/>
      </c>
      <c r="B4374" s="0" t="str">
        <f aca="false">IF('הדבקת לידים'!B4374="","",IF(ISNUMBER('הדבקת לידים'!B4374),IF(הגדרות!$E$3&gt;0,TEXT('הדבקת לידים'!B4374,REPT("0",הגדרות!$E$3)),TEXT('הדבקת לידים'!B4374,"0")),TRIM('הדבקת לידים'!B4374)))</f>
        <v/>
      </c>
      <c r="C4374" s="0" t="n">
        <f aca="false">IF(OR(A4374&lt;&gt;"",B4374&lt;&gt;""),1,0)</f>
        <v>0</v>
      </c>
      <c r="D4374" s="0" t="str">
        <f aca="false">IF(C4374=1,MOD(ABS(SIN(ROW()*12.9898+'הדבקת לידים'!$F$2*78.233+IFERROR(--RIGHT(A4374,6),LEN(A4374))*0.0137+IFERROR(--RIGHT(B4374,6),LEN(B4374))*0.0071))*43758.5453,1),"")</f>
        <v/>
      </c>
      <c r="E4374" s="0" t="str">
        <f aca="false">IF(C4374=1,INT(MOD(ABS(SIN(D4374*7919.123+ROW()*0.618+'הדבקת לידים'!$F$2*1.3))*43758.5453,1)*1000000)*10000+ROW(),"")</f>
        <v/>
      </c>
      <c r="F4374" s="0" t="str">
        <f aca="false">IF(E4374="","",RANK(E4374,$E$2:$E$5001,1))</f>
        <v/>
      </c>
      <c r="G4374" s="0" t="n">
        <f aca="false">IF(A4374="",0,IF(SUMPRODUCT(--($A$2:$A$5001=A4374))&gt;1,1,0))</f>
        <v>0</v>
      </c>
      <c r="H4374" s="0" t="n">
        <f aca="false">ROW()-1</f>
        <v>4373</v>
      </c>
      <c r="I4374" s="0" t="str">
        <f aca="false">IF(OR(הגדרות!$E$6=0,H4374&gt;הגדרות!$E$5),"",IF(H4374-1&lt;הגדרות!$E$8*(הגדרות!$E$7+1),INT((H4374-1)/(הגדרות!$E$7+1)),הגדרות!$E$8+INT((H4374-1-הגדרות!$E$8*(הגדרות!$E$7+1))/הגדרות!$E$7)))</f>
        <v/>
      </c>
      <c r="J4374" s="0" t="str">
        <f aca="false">IF(I4374="","",IF(H4374-1&lt;הגדרות!$E$8*(הגדרות!$E$7+1),MOD(H4374-1,הגדרות!$E$7+1),MOD(H4374-1-הגדרות!$E$8*(הגדרות!$E$7+1),הגדרות!$E$7)))</f>
        <v/>
      </c>
      <c r="K4374" s="0" t="str">
        <f aca="false">IF(I4374="","",J4374*הגדרות!$E$6+I4374+1)</f>
        <v/>
      </c>
      <c r="L4374" s="0" t="str">
        <f aca="false">IF(K4374="","",MATCH(K4374,$F$2:$F$5001,0))</f>
        <v/>
      </c>
      <c r="M4374" s="0" t="str">
        <f aca="false">IF(I4374="","",INDEX(הגדרות!$A$2:$A$21,MOD(I4374+הגדרות!$E$9,הגדרות!$E$6)+1))</f>
        <v/>
      </c>
    </row>
    <row r="4375" customFormat="false" ht="15" hidden="false" customHeight="false" outlineLevel="0" collapsed="false">
      <c r="A4375" s="0" t="str">
        <f aca="false">IF('הדבקת לידים'!A4375="","",IF(ISNUMBER('הדבקת לידים'!A4375),IF(הגדרות!$E$2&gt;0,TEXT('הדבקת לידים'!A4375,REPT("0",הגדרות!$E$2)),TEXT('הדבקת לידים'!A4375,"0")),TRIM('הדבקת לידים'!A4375)))</f>
        <v/>
      </c>
      <c r="B4375" s="0" t="str">
        <f aca="false">IF('הדבקת לידים'!B4375="","",IF(ISNUMBER('הדבקת לידים'!B4375),IF(הגדרות!$E$3&gt;0,TEXT('הדבקת לידים'!B4375,REPT("0",הגדרות!$E$3)),TEXT('הדבקת לידים'!B4375,"0")),TRIM('הדבקת לידים'!B4375)))</f>
        <v/>
      </c>
      <c r="C4375" s="0" t="n">
        <f aca="false">IF(OR(A4375&lt;&gt;"",B4375&lt;&gt;""),1,0)</f>
        <v>0</v>
      </c>
      <c r="D4375" s="0" t="str">
        <f aca="false">IF(C4375=1,MOD(ABS(SIN(ROW()*12.9898+'הדבקת לידים'!$F$2*78.233+IFERROR(--RIGHT(A4375,6),LEN(A4375))*0.0137+IFERROR(--RIGHT(B4375,6),LEN(B4375))*0.0071))*43758.5453,1),"")</f>
        <v/>
      </c>
      <c r="E4375" s="0" t="str">
        <f aca="false">IF(C4375=1,INT(MOD(ABS(SIN(D4375*7919.123+ROW()*0.618+'הדבקת לידים'!$F$2*1.3))*43758.5453,1)*1000000)*10000+ROW(),"")</f>
        <v/>
      </c>
      <c r="F4375" s="0" t="str">
        <f aca="false">IF(E4375="","",RANK(E4375,$E$2:$E$5001,1))</f>
        <v/>
      </c>
      <c r="G4375" s="0" t="n">
        <f aca="false">IF(A4375="",0,IF(SUMPRODUCT(--($A$2:$A$5001=A4375))&gt;1,1,0))</f>
        <v>0</v>
      </c>
      <c r="H4375" s="0" t="n">
        <f aca="false">ROW()-1</f>
        <v>4374</v>
      </c>
      <c r="I4375" s="0" t="str">
        <f aca="false">IF(OR(הגדרות!$E$6=0,H4375&gt;הגדרות!$E$5),"",IF(H4375-1&lt;הגדרות!$E$8*(הגדרות!$E$7+1),INT((H4375-1)/(הגדרות!$E$7+1)),הגדרות!$E$8+INT((H4375-1-הגדרות!$E$8*(הגדרות!$E$7+1))/הגדרות!$E$7)))</f>
        <v/>
      </c>
      <c r="J4375" s="0" t="str">
        <f aca="false">IF(I4375="","",IF(H4375-1&lt;הגדרות!$E$8*(הגדרות!$E$7+1),MOD(H4375-1,הגדרות!$E$7+1),MOD(H4375-1-הגדרות!$E$8*(הגדרות!$E$7+1),הגדרות!$E$7)))</f>
        <v/>
      </c>
      <c r="K4375" s="0" t="str">
        <f aca="false">IF(I4375="","",J4375*הגדרות!$E$6+I4375+1)</f>
        <v/>
      </c>
      <c r="L4375" s="0" t="str">
        <f aca="false">IF(K4375="","",MATCH(K4375,$F$2:$F$5001,0))</f>
        <v/>
      </c>
      <c r="M4375" s="0" t="str">
        <f aca="false">IF(I4375="","",INDEX(הגדרות!$A$2:$A$21,MOD(I4375+הגדרות!$E$9,הגדרות!$E$6)+1))</f>
        <v/>
      </c>
    </row>
    <row r="4376" customFormat="false" ht="15" hidden="false" customHeight="false" outlineLevel="0" collapsed="false">
      <c r="A4376" s="0" t="str">
        <f aca="false">IF('הדבקת לידים'!A4376="","",IF(ISNUMBER('הדבקת לידים'!A4376),IF(הגדרות!$E$2&gt;0,TEXT('הדבקת לידים'!A4376,REPT("0",הגדרות!$E$2)),TEXT('הדבקת לידים'!A4376,"0")),TRIM('הדבקת לידים'!A4376)))</f>
        <v/>
      </c>
      <c r="B4376" s="0" t="str">
        <f aca="false">IF('הדבקת לידים'!B4376="","",IF(ISNUMBER('הדבקת לידים'!B4376),IF(הגדרות!$E$3&gt;0,TEXT('הדבקת לידים'!B4376,REPT("0",הגדרות!$E$3)),TEXT('הדבקת לידים'!B4376,"0")),TRIM('הדבקת לידים'!B4376)))</f>
        <v/>
      </c>
      <c r="C4376" s="0" t="n">
        <f aca="false">IF(OR(A4376&lt;&gt;"",B4376&lt;&gt;""),1,0)</f>
        <v>0</v>
      </c>
      <c r="D4376" s="0" t="str">
        <f aca="false">IF(C4376=1,MOD(ABS(SIN(ROW()*12.9898+'הדבקת לידים'!$F$2*78.233+IFERROR(--RIGHT(A4376,6),LEN(A4376))*0.0137+IFERROR(--RIGHT(B4376,6),LEN(B4376))*0.0071))*43758.5453,1),"")</f>
        <v/>
      </c>
      <c r="E4376" s="0" t="str">
        <f aca="false">IF(C4376=1,INT(MOD(ABS(SIN(D4376*7919.123+ROW()*0.618+'הדבקת לידים'!$F$2*1.3))*43758.5453,1)*1000000)*10000+ROW(),"")</f>
        <v/>
      </c>
      <c r="F4376" s="0" t="str">
        <f aca="false">IF(E4376="","",RANK(E4376,$E$2:$E$5001,1))</f>
        <v/>
      </c>
      <c r="G4376" s="0" t="n">
        <f aca="false">IF(A4376="",0,IF(SUMPRODUCT(--($A$2:$A$5001=A4376))&gt;1,1,0))</f>
        <v>0</v>
      </c>
      <c r="H4376" s="0" t="n">
        <f aca="false">ROW()-1</f>
        <v>4375</v>
      </c>
      <c r="I4376" s="0" t="str">
        <f aca="false">IF(OR(הגדרות!$E$6=0,H4376&gt;הגדרות!$E$5),"",IF(H4376-1&lt;הגדרות!$E$8*(הגדרות!$E$7+1),INT((H4376-1)/(הגדרות!$E$7+1)),הגדרות!$E$8+INT((H4376-1-הגדרות!$E$8*(הגדרות!$E$7+1))/הגדרות!$E$7)))</f>
        <v/>
      </c>
      <c r="J4376" s="0" t="str">
        <f aca="false">IF(I4376="","",IF(H4376-1&lt;הגדרות!$E$8*(הגדרות!$E$7+1),MOD(H4376-1,הגדרות!$E$7+1),MOD(H4376-1-הגדרות!$E$8*(הגדרות!$E$7+1),הגדרות!$E$7)))</f>
        <v/>
      </c>
      <c r="K4376" s="0" t="str">
        <f aca="false">IF(I4376="","",J4376*הגדרות!$E$6+I4376+1)</f>
        <v/>
      </c>
      <c r="L4376" s="0" t="str">
        <f aca="false">IF(K4376="","",MATCH(K4376,$F$2:$F$5001,0))</f>
        <v/>
      </c>
      <c r="M4376" s="0" t="str">
        <f aca="false">IF(I4376="","",INDEX(הגדרות!$A$2:$A$21,MOD(I4376+הגדרות!$E$9,הגדרות!$E$6)+1))</f>
        <v/>
      </c>
    </row>
    <row r="4377" customFormat="false" ht="15" hidden="false" customHeight="false" outlineLevel="0" collapsed="false">
      <c r="A4377" s="0" t="str">
        <f aca="false">IF('הדבקת לידים'!A4377="","",IF(ISNUMBER('הדבקת לידים'!A4377),IF(הגדרות!$E$2&gt;0,TEXT('הדבקת לידים'!A4377,REPT("0",הגדרות!$E$2)),TEXT('הדבקת לידים'!A4377,"0")),TRIM('הדבקת לידים'!A4377)))</f>
        <v/>
      </c>
      <c r="B4377" s="0" t="str">
        <f aca="false">IF('הדבקת לידים'!B4377="","",IF(ISNUMBER('הדבקת לידים'!B4377),IF(הגדרות!$E$3&gt;0,TEXT('הדבקת לידים'!B4377,REPT("0",הגדרות!$E$3)),TEXT('הדבקת לידים'!B4377,"0")),TRIM('הדבקת לידים'!B4377)))</f>
        <v/>
      </c>
      <c r="C4377" s="0" t="n">
        <f aca="false">IF(OR(A4377&lt;&gt;"",B4377&lt;&gt;""),1,0)</f>
        <v>0</v>
      </c>
      <c r="D4377" s="0" t="str">
        <f aca="false">IF(C4377=1,MOD(ABS(SIN(ROW()*12.9898+'הדבקת לידים'!$F$2*78.233+IFERROR(--RIGHT(A4377,6),LEN(A4377))*0.0137+IFERROR(--RIGHT(B4377,6),LEN(B4377))*0.0071))*43758.5453,1),"")</f>
        <v/>
      </c>
      <c r="E4377" s="0" t="str">
        <f aca="false">IF(C4377=1,INT(MOD(ABS(SIN(D4377*7919.123+ROW()*0.618+'הדבקת לידים'!$F$2*1.3))*43758.5453,1)*1000000)*10000+ROW(),"")</f>
        <v/>
      </c>
      <c r="F4377" s="0" t="str">
        <f aca="false">IF(E4377="","",RANK(E4377,$E$2:$E$5001,1))</f>
        <v/>
      </c>
      <c r="G4377" s="0" t="n">
        <f aca="false">IF(A4377="",0,IF(SUMPRODUCT(--($A$2:$A$5001=A4377))&gt;1,1,0))</f>
        <v>0</v>
      </c>
      <c r="H4377" s="0" t="n">
        <f aca="false">ROW()-1</f>
        <v>4376</v>
      </c>
      <c r="I4377" s="0" t="str">
        <f aca="false">IF(OR(הגדרות!$E$6=0,H4377&gt;הגדרות!$E$5),"",IF(H4377-1&lt;הגדרות!$E$8*(הגדרות!$E$7+1),INT((H4377-1)/(הגדרות!$E$7+1)),הגדרות!$E$8+INT((H4377-1-הגדרות!$E$8*(הגדרות!$E$7+1))/הגדרות!$E$7)))</f>
        <v/>
      </c>
      <c r="J4377" s="0" t="str">
        <f aca="false">IF(I4377="","",IF(H4377-1&lt;הגדרות!$E$8*(הגדרות!$E$7+1),MOD(H4377-1,הגדרות!$E$7+1),MOD(H4377-1-הגדרות!$E$8*(הגדרות!$E$7+1),הגדרות!$E$7)))</f>
        <v/>
      </c>
      <c r="K4377" s="0" t="str">
        <f aca="false">IF(I4377="","",J4377*הגדרות!$E$6+I4377+1)</f>
        <v/>
      </c>
      <c r="L4377" s="0" t="str">
        <f aca="false">IF(K4377="","",MATCH(K4377,$F$2:$F$5001,0))</f>
        <v/>
      </c>
      <c r="M4377" s="0" t="str">
        <f aca="false">IF(I4377="","",INDEX(הגדרות!$A$2:$A$21,MOD(I4377+הגדרות!$E$9,הגדרות!$E$6)+1))</f>
        <v/>
      </c>
    </row>
    <row r="4378" customFormat="false" ht="15" hidden="false" customHeight="false" outlineLevel="0" collapsed="false">
      <c r="A4378" s="0" t="str">
        <f aca="false">IF('הדבקת לידים'!A4378="","",IF(ISNUMBER('הדבקת לידים'!A4378),IF(הגדרות!$E$2&gt;0,TEXT('הדבקת לידים'!A4378,REPT("0",הגדרות!$E$2)),TEXT('הדבקת לידים'!A4378,"0")),TRIM('הדבקת לידים'!A4378)))</f>
        <v/>
      </c>
      <c r="B4378" s="0" t="str">
        <f aca="false">IF('הדבקת לידים'!B4378="","",IF(ISNUMBER('הדבקת לידים'!B4378),IF(הגדרות!$E$3&gt;0,TEXT('הדבקת לידים'!B4378,REPT("0",הגדרות!$E$3)),TEXT('הדבקת לידים'!B4378,"0")),TRIM('הדבקת לידים'!B4378)))</f>
        <v/>
      </c>
      <c r="C4378" s="0" t="n">
        <f aca="false">IF(OR(A4378&lt;&gt;"",B4378&lt;&gt;""),1,0)</f>
        <v>0</v>
      </c>
      <c r="D4378" s="0" t="str">
        <f aca="false">IF(C4378=1,MOD(ABS(SIN(ROW()*12.9898+'הדבקת לידים'!$F$2*78.233+IFERROR(--RIGHT(A4378,6),LEN(A4378))*0.0137+IFERROR(--RIGHT(B4378,6),LEN(B4378))*0.0071))*43758.5453,1),"")</f>
        <v/>
      </c>
      <c r="E4378" s="0" t="str">
        <f aca="false">IF(C4378=1,INT(MOD(ABS(SIN(D4378*7919.123+ROW()*0.618+'הדבקת לידים'!$F$2*1.3))*43758.5453,1)*1000000)*10000+ROW(),"")</f>
        <v/>
      </c>
      <c r="F4378" s="0" t="str">
        <f aca="false">IF(E4378="","",RANK(E4378,$E$2:$E$5001,1))</f>
        <v/>
      </c>
      <c r="G4378" s="0" t="n">
        <f aca="false">IF(A4378="",0,IF(SUMPRODUCT(--($A$2:$A$5001=A4378))&gt;1,1,0))</f>
        <v>0</v>
      </c>
      <c r="H4378" s="0" t="n">
        <f aca="false">ROW()-1</f>
        <v>4377</v>
      </c>
      <c r="I4378" s="0" t="str">
        <f aca="false">IF(OR(הגדרות!$E$6=0,H4378&gt;הגדרות!$E$5),"",IF(H4378-1&lt;הגדרות!$E$8*(הגדרות!$E$7+1),INT((H4378-1)/(הגדרות!$E$7+1)),הגדרות!$E$8+INT((H4378-1-הגדרות!$E$8*(הגדרות!$E$7+1))/הגדרות!$E$7)))</f>
        <v/>
      </c>
      <c r="J4378" s="0" t="str">
        <f aca="false">IF(I4378="","",IF(H4378-1&lt;הגדרות!$E$8*(הגדרות!$E$7+1),MOD(H4378-1,הגדרות!$E$7+1),MOD(H4378-1-הגדרות!$E$8*(הגדרות!$E$7+1),הגדרות!$E$7)))</f>
        <v/>
      </c>
      <c r="K4378" s="0" t="str">
        <f aca="false">IF(I4378="","",J4378*הגדרות!$E$6+I4378+1)</f>
        <v/>
      </c>
      <c r="L4378" s="0" t="str">
        <f aca="false">IF(K4378="","",MATCH(K4378,$F$2:$F$5001,0))</f>
        <v/>
      </c>
      <c r="M4378" s="0" t="str">
        <f aca="false">IF(I4378="","",INDEX(הגדרות!$A$2:$A$21,MOD(I4378+הגדרות!$E$9,הגדרות!$E$6)+1))</f>
        <v/>
      </c>
    </row>
    <row r="4379" customFormat="false" ht="15" hidden="false" customHeight="false" outlineLevel="0" collapsed="false">
      <c r="A4379" s="0" t="str">
        <f aca="false">IF('הדבקת לידים'!A4379="","",IF(ISNUMBER('הדבקת לידים'!A4379),IF(הגדרות!$E$2&gt;0,TEXT('הדבקת לידים'!A4379,REPT("0",הגדרות!$E$2)),TEXT('הדבקת לידים'!A4379,"0")),TRIM('הדבקת לידים'!A4379)))</f>
        <v/>
      </c>
      <c r="B4379" s="0" t="str">
        <f aca="false">IF('הדבקת לידים'!B4379="","",IF(ISNUMBER('הדבקת לידים'!B4379),IF(הגדרות!$E$3&gt;0,TEXT('הדבקת לידים'!B4379,REPT("0",הגדרות!$E$3)),TEXT('הדבקת לידים'!B4379,"0")),TRIM('הדבקת לידים'!B4379)))</f>
        <v/>
      </c>
      <c r="C4379" s="0" t="n">
        <f aca="false">IF(OR(A4379&lt;&gt;"",B4379&lt;&gt;""),1,0)</f>
        <v>0</v>
      </c>
      <c r="D4379" s="0" t="str">
        <f aca="false">IF(C4379=1,MOD(ABS(SIN(ROW()*12.9898+'הדבקת לידים'!$F$2*78.233+IFERROR(--RIGHT(A4379,6),LEN(A4379))*0.0137+IFERROR(--RIGHT(B4379,6),LEN(B4379))*0.0071))*43758.5453,1),"")</f>
        <v/>
      </c>
      <c r="E4379" s="0" t="str">
        <f aca="false">IF(C4379=1,INT(MOD(ABS(SIN(D4379*7919.123+ROW()*0.618+'הדבקת לידים'!$F$2*1.3))*43758.5453,1)*1000000)*10000+ROW(),"")</f>
        <v/>
      </c>
      <c r="F4379" s="0" t="str">
        <f aca="false">IF(E4379="","",RANK(E4379,$E$2:$E$5001,1))</f>
        <v/>
      </c>
      <c r="G4379" s="0" t="n">
        <f aca="false">IF(A4379="",0,IF(SUMPRODUCT(--($A$2:$A$5001=A4379))&gt;1,1,0))</f>
        <v>0</v>
      </c>
      <c r="H4379" s="0" t="n">
        <f aca="false">ROW()-1</f>
        <v>4378</v>
      </c>
      <c r="I4379" s="0" t="str">
        <f aca="false">IF(OR(הגדרות!$E$6=0,H4379&gt;הגדרות!$E$5),"",IF(H4379-1&lt;הגדרות!$E$8*(הגדרות!$E$7+1),INT((H4379-1)/(הגדרות!$E$7+1)),הגדרות!$E$8+INT((H4379-1-הגדרות!$E$8*(הגדרות!$E$7+1))/הגדרות!$E$7)))</f>
        <v/>
      </c>
      <c r="J4379" s="0" t="str">
        <f aca="false">IF(I4379="","",IF(H4379-1&lt;הגדרות!$E$8*(הגדרות!$E$7+1),MOD(H4379-1,הגדרות!$E$7+1),MOD(H4379-1-הגדרות!$E$8*(הגדרות!$E$7+1),הגדרות!$E$7)))</f>
        <v/>
      </c>
      <c r="K4379" s="0" t="str">
        <f aca="false">IF(I4379="","",J4379*הגדרות!$E$6+I4379+1)</f>
        <v/>
      </c>
      <c r="L4379" s="0" t="str">
        <f aca="false">IF(K4379="","",MATCH(K4379,$F$2:$F$5001,0))</f>
        <v/>
      </c>
      <c r="M4379" s="0" t="str">
        <f aca="false">IF(I4379="","",INDEX(הגדרות!$A$2:$A$21,MOD(I4379+הגדרות!$E$9,הגדרות!$E$6)+1))</f>
        <v/>
      </c>
    </row>
    <row r="4380" customFormat="false" ht="15" hidden="false" customHeight="false" outlineLevel="0" collapsed="false">
      <c r="A4380" s="0" t="str">
        <f aca="false">IF('הדבקת לידים'!A4380="","",IF(ISNUMBER('הדבקת לידים'!A4380),IF(הגדרות!$E$2&gt;0,TEXT('הדבקת לידים'!A4380,REPT("0",הגדרות!$E$2)),TEXT('הדבקת לידים'!A4380,"0")),TRIM('הדבקת לידים'!A4380)))</f>
        <v/>
      </c>
      <c r="B4380" s="0" t="str">
        <f aca="false">IF('הדבקת לידים'!B4380="","",IF(ISNUMBER('הדבקת לידים'!B4380),IF(הגדרות!$E$3&gt;0,TEXT('הדבקת לידים'!B4380,REPT("0",הגדרות!$E$3)),TEXT('הדבקת לידים'!B4380,"0")),TRIM('הדבקת לידים'!B4380)))</f>
        <v/>
      </c>
      <c r="C4380" s="0" t="n">
        <f aca="false">IF(OR(A4380&lt;&gt;"",B4380&lt;&gt;""),1,0)</f>
        <v>0</v>
      </c>
      <c r="D4380" s="0" t="str">
        <f aca="false">IF(C4380=1,MOD(ABS(SIN(ROW()*12.9898+'הדבקת לידים'!$F$2*78.233+IFERROR(--RIGHT(A4380,6),LEN(A4380))*0.0137+IFERROR(--RIGHT(B4380,6),LEN(B4380))*0.0071))*43758.5453,1),"")</f>
        <v/>
      </c>
      <c r="E4380" s="0" t="str">
        <f aca="false">IF(C4380=1,INT(MOD(ABS(SIN(D4380*7919.123+ROW()*0.618+'הדבקת לידים'!$F$2*1.3))*43758.5453,1)*1000000)*10000+ROW(),"")</f>
        <v/>
      </c>
      <c r="F4380" s="0" t="str">
        <f aca="false">IF(E4380="","",RANK(E4380,$E$2:$E$5001,1))</f>
        <v/>
      </c>
      <c r="G4380" s="0" t="n">
        <f aca="false">IF(A4380="",0,IF(SUMPRODUCT(--($A$2:$A$5001=A4380))&gt;1,1,0))</f>
        <v>0</v>
      </c>
      <c r="H4380" s="0" t="n">
        <f aca="false">ROW()-1</f>
        <v>4379</v>
      </c>
      <c r="I4380" s="0" t="str">
        <f aca="false">IF(OR(הגדרות!$E$6=0,H4380&gt;הגדרות!$E$5),"",IF(H4380-1&lt;הגדרות!$E$8*(הגדרות!$E$7+1),INT((H4380-1)/(הגדרות!$E$7+1)),הגדרות!$E$8+INT((H4380-1-הגדרות!$E$8*(הגדרות!$E$7+1))/הגדרות!$E$7)))</f>
        <v/>
      </c>
      <c r="J4380" s="0" t="str">
        <f aca="false">IF(I4380="","",IF(H4380-1&lt;הגדרות!$E$8*(הגדרות!$E$7+1),MOD(H4380-1,הגדרות!$E$7+1),MOD(H4380-1-הגדרות!$E$8*(הגדרות!$E$7+1),הגדרות!$E$7)))</f>
        <v/>
      </c>
      <c r="K4380" s="0" t="str">
        <f aca="false">IF(I4380="","",J4380*הגדרות!$E$6+I4380+1)</f>
        <v/>
      </c>
      <c r="L4380" s="0" t="str">
        <f aca="false">IF(K4380="","",MATCH(K4380,$F$2:$F$5001,0))</f>
        <v/>
      </c>
      <c r="M4380" s="0" t="str">
        <f aca="false">IF(I4380="","",INDEX(הגדרות!$A$2:$A$21,MOD(I4380+הגדרות!$E$9,הגדרות!$E$6)+1))</f>
        <v/>
      </c>
    </row>
    <row r="4381" customFormat="false" ht="15" hidden="false" customHeight="false" outlineLevel="0" collapsed="false">
      <c r="A4381" s="0" t="str">
        <f aca="false">IF('הדבקת לידים'!A4381="","",IF(ISNUMBER('הדבקת לידים'!A4381),IF(הגדרות!$E$2&gt;0,TEXT('הדבקת לידים'!A4381,REPT("0",הגדרות!$E$2)),TEXT('הדבקת לידים'!A4381,"0")),TRIM('הדבקת לידים'!A4381)))</f>
        <v/>
      </c>
      <c r="B4381" s="0" t="str">
        <f aca="false">IF('הדבקת לידים'!B4381="","",IF(ISNUMBER('הדבקת לידים'!B4381),IF(הגדרות!$E$3&gt;0,TEXT('הדבקת לידים'!B4381,REPT("0",הגדרות!$E$3)),TEXT('הדבקת לידים'!B4381,"0")),TRIM('הדבקת לידים'!B4381)))</f>
        <v/>
      </c>
      <c r="C4381" s="0" t="n">
        <f aca="false">IF(OR(A4381&lt;&gt;"",B4381&lt;&gt;""),1,0)</f>
        <v>0</v>
      </c>
      <c r="D4381" s="0" t="str">
        <f aca="false">IF(C4381=1,MOD(ABS(SIN(ROW()*12.9898+'הדבקת לידים'!$F$2*78.233+IFERROR(--RIGHT(A4381,6),LEN(A4381))*0.0137+IFERROR(--RIGHT(B4381,6),LEN(B4381))*0.0071))*43758.5453,1),"")</f>
        <v/>
      </c>
      <c r="E4381" s="0" t="str">
        <f aca="false">IF(C4381=1,INT(MOD(ABS(SIN(D4381*7919.123+ROW()*0.618+'הדבקת לידים'!$F$2*1.3))*43758.5453,1)*1000000)*10000+ROW(),"")</f>
        <v/>
      </c>
      <c r="F4381" s="0" t="str">
        <f aca="false">IF(E4381="","",RANK(E4381,$E$2:$E$5001,1))</f>
        <v/>
      </c>
      <c r="G4381" s="0" t="n">
        <f aca="false">IF(A4381="",0,IF(SUMPRODUCT(--($A$2:$A$5001=A4381))&gt;1,1,0))</f>
        <v>0</v>
      </c>
      <c r="H4381" s="0" t="n">
        <f aca="false">ROW()-1</f>
        <v>4380</v>
      </c>
      <c r="I4381" s="0" t="str">
        <f aca="false">IF(OR(הגדרות!$E$6=0,H4381&gt;הגדרות!$E$5),"",IF(H4381-1&lt;הגדרות!$E$8*(הגדרות!$E$7+1),INT((H4381-1)/(הגדרות!$E$7+1)),הגדרות!$E$8+INT((H4381-1-הגדרות!$E$8*(הגדרות!$E$7+1))/הגדרות!$E$7)))</f>
        <v/>
      </c>
      <c r="J4381" s="0" t="str">
        <f aca="false">IF(I4381="","",IF(H4381-1&lt;הגדרות!$E$8*(הגדרות!$E$7+1),MOD(H4381-1,הגדרות!$E$7+1),MOD(H4381-1-הגדרות!$E$8*(הגדרות!$E$7+1),הגדרות!$E$7)))</f>
        <v/>
      </c>
      <c r="K4381" s="0" t="str">
        <f aca="false">IF(I4381="","",J4381*הגדרות!$E$6+I4381+1)</f>
        <v/>
      </c>
      <c r="L4381" s="0" t="str">
        <f aca="false">IF(K4381="","",MATCH(K4381,$F$2:$F$5001,0))</f>
        <v/>
      </c>
      <c r="M4381" s="0" t="str">
        <f aca="false">IF(I4381="","",INDEX(הגדרות!$A$2:$A$21,MOD(I4381+הגדרות!$E$9,הגדרות!$E$6)+1))</f>
        <v/>
      </c>
    </row>
    <row r="4382" customFormat="false" ht="15" hidden="false" customHeight="false" outlineLevel="0" collapsed="false">
      <c r="A4382" s="0" t="str">
        <f aca="false">IF('הדבקת לידים'!A4382="","",IF(ISNUMBER('הדבקת לידים'!A4382),IF(הגדרות!$E$2&gt;0,TEXT('הדבקת לידים'!A4382,REPT("0",הגדרות!$E$2)),TEXT('הדבקת לידים'!A4382,"0")),TRIM('הדבקת לידים'!A4382)))</f>
        <v/>
      </c>
      <c r="B4382" s="0" t="str">
        <f aca="false">IF('הדבקת לידים'!B4382="","",IF(ISNUMBER('הדבקת לידים'!B4382),IF(הגדרות!$E$3&gt;0,TEXT('הדבקת לידים'!B4382,REPT("0",הגדרות!$E$3)),TEXT('הדבקת לידים'!B4382,"0")),TRIM('הדבקת לידים'!B4382)))</f>
        <v/>
      </c>
      <c r="C4382" s="0" t="n">
        <f aca="false">IF(OR(A4382&lt;&gt;"",B4382&lt;&gt;""),1,0)</f>
        <v>0</v>
      </c>
      <c r="D4382" s="0" t="str">
        <f aca="false">IF(C4382=1,MOD(ABS(SIN(ROW()*12.9898+'הדבקת לידים'!$F$2*78.233+IFERROR(--RIGHT(A4382,6),LEN(A4382))*0.0137+IFERROR(--RIGHT(B4382,6),LEN(B4382))*0.0071))*43758.5453,1),"")</f>
        <v/>
      </c>
      <c r="E4382" s="0" t="str">
        <f aca="false">IF(C4382=1,INT(MOD(ABS(SIN(D4382*7919.123+ROW()*0.618+'הדבקת לידים'!$F$2*1.3))*43758.5453,1)*1000000)*10000+ROW(),"")</f>
        <v/>
      </c>
      <c r="F4382" s="0" t="str">
        <f aca="false">IF(E4382="","",RANK(E4382,$E$2:$E$5001,1))</f>
        <v/>
      </c>
      <c r="G4382" s="0" t="n">
        <f aca="false">IF(A4382="",0,IF(SUMPRODUCT(--($A$2:$A$5001=A4382))&gt;1,1,0))</f>
        <v>0</v>
      </c>
      <c r="H4382" s="0" t="n">
        <f aca="false">ROW()-1</f>
        <v>4381</v>
      </c>
      <c r="I4382" s="0" t="str">
        <f aca="false">IF(OR(הגדרות!$E$6=0,H4382&gt;הגדרות!$E$5),"",IF(H4382-1&lt;הגדרות!$E$8*(הגדרות!$E$7+1),INT((H4382-1)/(הגדרות!$E$7+1)),הגדרות!$E$8+INT((H4382-1-הגדרות!$E$8*(הגדרות!$E$7+1))/הגדרות!$E$7)))</f>
        <v/>
      </c>
      <c r="J4382" s="0" t="str">
        <f aca="false">IF(I4382="","",IF(H4382-1&lt;הגדרות!$E$8*(הגדרות!$E$7+1),MOD(H4382-1,הגדרות!$E$7+1),MOD(H4382-1-הגדרות!$E$8*(הגדרות!$E$7+1),הגדרות!$E$7)))</f>
        <v/>
      </c>
      <c r="K4382" s="0" t="str">
        <f aca="false">IF(I4382="","",J4382*הגדרות!$E$6+I4382+1)</f>
        <v/>
      </c>
      <c r="L4382" s="0" t="str">
        <f aca="false">IF(K4382="","",MATCH(K4382,$F$2:$F$5001,0))</f>
        <v/>
      </c>
      <c r="M4382" s="0" t="str">
        <f aca="false">IF(I4382="","",INDEX(הגדרות!$A$2:$A$21,MOD(I4382+הגדרות!$E$9,הגדרות!$E$6)+1))</f>
        <v/>
      </c>
    </row>
    <row r="4383" customFormat="false" ht="15" hidden="false" customHeight="false" outlineLevel="0" collapsed="false">
      <c r="A4383" s="0" t="str">
        <f aca="false">IF('הדבקת לידים'!A4383="","",IF(ISNUMBER('הדבקת לידים'!A4383),IF(הגדרות!$E$2&gt;0,TEXT('הדבקת לידים'!A4383,REPT("0",הגדרות!$E$2)),TEXT('הדבקת לידים'!A4383,"0")),TRIM('הדבקת לידים'!A4383)))</f>
        <v/>
      </c>
      <c r="B4383" s="0" t="str">
        <f aca="false">IF('הדבקת לידים'!B4383="","",IF(ISNUMBER('הדבקת לידים'!B4383),IF(הגדרות!$E$3&gt;0,TEXT('הדבקת לידים'!B4383,REPT("0",הגדרות!$E$3)),TEXT('הדבקת לידים'!B4383,"0")),TRIM('הדבקת לידים'!B4383)))</f>
        <v/>
      </c>
      <c r="C4383" s="0" t="n">
        <f aca="false">IF(OR(A4383&lt;&gt;"",B4383&lt;&gt;""),1,0)</f>
        <v>0</v>
      </c>
      <c r="D4383" s="0" t="str">
        <f aca="false">IF(C4383=1,MOD(ABS(SIN(ROW()*12.9898+'הדבקת לידים'!$F$2*78.233+IFERROR(--RIGHT(A4383,6),LEN(A4383))*0.0137+IFERROR(--RIGHT(B4383,6),LEN(B4383))*0.0071))*43758.5453,1),"")</f>
        <v/>
      </c>
      <c r="E4383" s="0" t="str">
        <f aca="false">IF(C4383=1,INT(MOD(ABS(SIN(D4383*7919.123+ROW()*0.618+'הדבקת לידים'!$F$2*1.3))*43758.5453,1)*1000000)*10000+ROW(),"")</f>
        <v/>
      </c>
      <c r="F4383" s="0" t="str">
        <f aca="false">IF(E4383="","",RANK(E4383,$E$2:$E$5001,1))</f>
        <v/>
      </c>
      <c r="G4383" s="0" t="n">
        <f aca="false">IF(A4383="",0,IF(SUMPRODUCT(--($A$2:$A$5001=A4383))&gt;1,1,0))</f>
        <v>0</v>
      </c>
      <c r="H4383" s="0" t="n">
        <f aca="false">ROW()-1</f>
        <v>4382</v>
      </c>
      <c r="I4383" s="0" t="str">
        <f aca="false">IF(OR(הגדרות!$E$6=0,H4383&gt;הגדרות!$E$5),"",IF(H4383-1&lt;הגדרות!$E$8*(הגדרות!$E$7+1),INT((H4383-1)/(הגדרות!$E$7+1)),הגדרות!$E$8+INT((H4383-1-הגדרות!$E$8*(הגדרות!$E$7+1))/הגדרות!$E$7)))</f>
        <v/>
      </c>
      <c r="J4383" s="0" t="str">
        <f aca="false">IF(I4383="","",IF(H4383-1&lt;הגדרות!$E$8*(הגדרות!$E$7+1),MOD(H4383-1,הגדרות!$E$7+1),MOD(H4383-1-הגדרות!$E$8*(הגדרות!$E$7+1),הגדרות!$E$7)))</f>
        <v/>
      </c>
      <c r="K4383" s="0" t="str">
        <f aca="false">IF(I4383="","",J4383*הגדרות!$E$6+I4383+1)</f>
        <v/>
      </c>
      <c r="L4383" s="0" t="str">
        <f aca="false">IF(K4383="","",MATCH(K4383,$F$2:$F$5001,0))</f>
        <v/>
      </c>
      <c r="M4383" s="0" t="str">
        <f aca="false">IF(I4383="","",INDEX(הגדרות!$A$2:$A$21,MOD(I4383+הגדרות!$E$9,הגדרות!$E$6)+1))</f>
        <v/>
      </c>
    </row>
    <row r="4384" customFormat="false" ht="15" hidden="false" customHeight="false" outlineLevel="0" collapsed="false">
      <c r="A4384" s="0" t="str">
        <f aca="false">IF('הדבקת לידים'!A4384="","",IF(ISNUMBER('הדבקת לידים'!A4384),IF(הגדרות!$E$2&gt;0,TEXT('הדבקת לידים'!A4384,REPT("0",הגדרות!$E$2)),TEXT('הדבקת לידים'!A4384,"0")),TRIM('הדבקת לידים'!A4384)))</f>
        <v/>
      </c>
      <c r="B4384" s="0" t="str">
        <f aca="false">IF('הדבקת לידים'!B4384="","",IF(ISNUMBER('הדבקת לידים'!B4384),IF(הגדרות!$E$3&gt;0,TEXT('הדבקת לידים'!B4384,REPT("0",הגדרות!$E$3)),TEXT('הדבקת לידים'!B4384,"0")),TRIM('הדבקת לידים'!B4384)))</f>
        <v/>
      </c>
      <c r="C4384" s="0" t="n">
        <f aca="false">IF(OR(A4384&lt;&gt;"",B4384&lt;&gt;""),1,0)</f>
        <v>0</v>
      </c>
      <c r="D4384" s="0" t="str">
        <f aca="false">IF(C4384=1,MOD(ABS(SIN(ROW()*12.9898+'הדבקת לידים'!$F$2*78.233+IFERROR(--RIGHT(A4384,6),LEN(A4384))*0.0137+IFERROR(--RIGHT(B4384,6),LEN(B4384))*0.0071))*43758.5453,1),"")</f>
        <v/>
      </c>
      <c r="E4384" s="0" t="str">
        <f aca="false">IF(C4384=1,INT(MOD(ABS(SIN(D4384*7919.123+ROW()*0.618+'הדבקת לידים'!$F$2*1.3))*43758.5453,1)*1000000)*10000+ROW(),"")</f>
        <v/>
      </c>
      <c r="F4384" s="0" t="str">
        <f aca="false">IF(E4384="","",RANK(E4384,$E$2:$E$5001,1))</f>
        <v/>
      </c>
      <c r="G4384" s="0" t="n">
        <f aca="false">IF(A4384="",0,IF(SUMPRODUCT(--($A$2:$A$5001=A4384))&gt;1,1,0))</f>
        <v>0</v>
      </c>
      <c r="H4384" s="0" t="n">
        <f aca="false">ROW()-1</f>
        <v>4383</v>
      </c>
      <c r="I4384" s="0" t="str">
        <f aca="false">IF(OR(הגדרות!$E$6=0,H4384&gt;הגדרות!$E$5),"",IF(H4384-1&lt;הגדרות!$E$8*(הגדרות!$E$7+1),INT((H4384-1)/(הגדרות!$E$7+1)),הגדרות!$E$8+INT((H4384-1-הגדרות!$E$8*(הגדרות!$E$7+1))/הגדרות!$E$7)))</f>
        <v/>
      </c>
      <c r="J4384" s="0" t="str">
        <f aca="false">IF(I4384="","",IF(H4384-1&lt;הגדרות!$E$8*(הגדרות!$E$7+1),MOD(H4384-1,הגדרות!$E$7+1),MOD(H4384-1-הגדרות!$E$8*(הגדרות!$E$7+1),הגדרות!$E$7)))</f>
        <v/>
      </c>
      <c r="K4384" s="0" t="str">
        <f aca="false">IF(I4384="","",J4384*הגדרות!$E$6+I4384+1)</f>
        <v/>
      </c>
      <c r="L4384" s="0" t="str">
        <f aca="false">IF(K4384="","",MATCH(K4384,$F$2:$F$5001,0))</f>
        <v/>
      </c>
      <c r="M4384" s="0" t="str">
        <f aca="false">IF(I4384="","",INDEX(הגדרות!$A$2:$A$21,MOD(I4384+הגדרות!$E$9,הגדרות!$E$6)+1))</f>
        <v/>
      </c>
    </row>
    <row r="4385" customFormat="false" ht="15" hidden="false" customHeight="false" outlineLevel="0" collapsed="false">
      <c r="A4385" s="0" t="str">
        <f aca="false">IF('הדבקת לידים'!A4385="","",IF(ISNUMBER('הדבקת לידים'!A4385),IF(הגדרות!$E$2&gt;0,TEXT('הדבקת לידים'!A4385,REPT("0",הגדרות!$E$2)),TEXT('הדבקת לידים'!A4385,"0")),TRIM('הדבקת לידים'!A4385)))</f>
        <v/>
      </c>
      <c r="B4385" s="0" t="str">
        <f aca="false">IF('הדבקת לידים'!B4385="","",IF(ISNUMBER('הדבקת לידים'!B4385),IF(הגדרות!$E$3&gt;0,TEXT('הדבקת לידים'!B4385,REPT("0",הגדרות!$E$3)),TEXT('הדבקת לידים'!B4385,"0")),TRIM('הדבקת לידים'!B4385)))</f>
        <v/>
      </c>
      <c r="C4385" s="0" t="n">
        <f aca="false">IF(OR(A4385&lt;&gt;"",B4385&lt;&gt;""),1,0)</f>
        <v>0</v>
      </c>
      <c r="D4385" s="0" t="str">
        <f aca="false">IF(C4385=1,MOD(ABS(SIN(ROW()*12.9898+'הדבקת לידים'!$F$2*78.233+IFERROR(--RIGHT(A4385,6),LEN(A4385))*0.0137+IFERROR(--RIGHT(B4385,6),LEN(B4385))*0.0071))*43758.5453,1),"")</f>
        <v/>
      </c>
      <c r="E4385" s="0" t="str">
        <f aca="false">IF(C4385=1,INT(MOD(ABS(SIN(D4385*7919.123+ROW()*0.618+'הדבקת לידים'!$F$2*1.3))*43758.5453,1)*1000000)*10000+ROW(),"")</f>
        <v/>
      </c>
      <c r="F4385" s="0" t="str">
        <f aca="false">IF(E4385="","",RANK(E4385,$E$2:$E$5001,1))</f>
        <v/>
      </c>
      <c r="G4385" s="0" t="n">
        <f aca="false">IF(A4385="",0,IF(SUMPRODUCT(--($A$2:$A$5001=A4385))&gt;1,1,0))</f>
        <v>0</v>
      </c>
      <c r="H4385" s="0" t="n">
        <f aca="false">ROW()-1</f>
        <v>4384</v>
      </c>
      <c r="I4385" s="0" t="str">
        <f aca="false">IF(OR(הגדרות!$E$6=0,H4385&gt;הגדרות!$E$5),"",IF(H4385-1&lt;הגדרות!$E$8*(הגדרות!$E$7+1),INT((H4385-1)/(הגדרות!$E$7+1)),הגדרות!$E$8+INT((H4385-1-הגדרות!$E$8*(הגדרות!$E$7+1))/הגדרות!$E$7)))</f>
        <v/>
      </c>
      <c r="J4385" s="0" t="str">
        <f aca="false">IF(I4385="","",IF(H4385-1&lt;הגדרות!$E$8*(הגדרות!$E$7+1),MOD(H4385-1,הגדרות!$E$7+1),MOD(H4385-1-הגדרות!$E$8*(הגדרות!$E$7+1),הגדרות!$E$7)))</f>
        <v/>
      </c>
      <c r="K4385" s="0" t="str">
        <f aca="false">IF(I4385="","",J4385*הגדרות!$E$6+I4385+1)</f>
        <v/>
      </c>
      <c r="L4385" s="0" t="str">
        <f aca="false">IF(K4385="","",MATCH(K4385,$F$2:$F$5001,0))</f>
        <v/>
      </c>
      <c r="M4385" s="0" t="str">
        <f aca="false">IF(I4385="","",INDEX(הגדרות!$A$2:$A$21,MOD(I4385+הגדרות!$E$9,הגדרות!$E$6)+1))</f>
        <v/>
      </c>
    </row>
    <row r="4386" customFormat="false" ht="15" hidden="false" customHeight="false" outlineLevel="0" collapsed="false">
      <c r="A4386" s="0" t="str">
        <f aca="false">IF('הדבקת לידים'!A4386="","",IF(ISNUMBER('הדבקת לידים'!A4386),IF(הגדרות!$E$2&gt;0,TEXT('הדבקת לידים'!A4386,REPT("0",הגדרות!$E$2)),TEXT('הדבקת לידים'!A4386,"0")),TRIM('הדבקת לידים'!A4386)))</f>
        <v/>
      </c>
      <c r="B4386" s="0" t="str">
        <f aca="false">IF('הדבקת לידים'!B4386="","",IF(ISNUMBER('הדבקת לידים'!B4386),IF(הגדרות!$E$3&gt;0,TEXT('הדבקת לידים'!B4386,REPT("0",הגדרות!$E$3)),TEXT('הדבקת לידים'!B4386,"0")),TRIM('הדבקת לידים'!B4386)))</f>
        <v/>
      </c>
      <c r="C4386" s="0" t="n">
        <f aca="false">IF(OR(A4386&lt;&gt;"",B4386&lt;&gt;""),1,0)</f>
        <v>0</v>
      </c>
      <c r="D4386" s="0" t="str">
        <f aca="false">IF(C4386=1,MOD(ABS(SIN(ROW()*12.9898+'הדבקת לידים'!$F$2*78.233+IFERROR(--RIGHT(A4386,6),LEN(A4386))*0.0137+IFERROR(--RIGHT(B4386,6),LEN(B4386))*0.0071))*43758.5453,1),"")</f>
        <v/>
      </c>
      <c r="E4386" s="0" t="str">
        <f aca="false">IF(C4386=1,INT(MOD(ABS(SIN(D4386*7919.123+ROW()*0.618+'הדבקת לידים'!$F$2*1.3))*43758.5453,1)*1000000)*10000+ROW(),"")</f>
        <v/>
      </c>
      <c r="F4386" s="0" t="str">
        <f aca="false">IF(E4386="","",RANK(E4386,$E$2:$E$5001,1))</f>
        <v/>
      </c>
      <c r="G4386" s="0" t="n">
        <f aca="false">IF(A4386="",0,IF(SUMPRODUCT(--($A$2:$A$5001=A4386))&gt;1,1,0))</f>
        <v>0</v>
      </c>
      <c r="H4386" s="0" t="n">
        <f aca="false">ROW()-1</f>
        <v>4385</v>
      </c>
      <c r="I4386" s="0" t="str">
        <f aca="false">IF(OR(הגדרות!$E$6=0,H4386&gt;הגדרות!$E$5),"",IF(H4386-1&lt;הגדרות!$E$8*(הגדרות!$E$7+1),INT((H4386-1)/(הגדרות!$E$7+1)),הגדרות!$E$8+INT((H4386-1-הגדרות!$E$8*(הגדרות!$E$7+1))/הגדרות!$E$7)))</f>
        <v/>
      </c>
      <c r="J4386" s="0" t="str">
        <f aca="false">IF(I4386="","",IF(H4386-1&lt;הגדרות!$E$8*(הגדרות!$E$7+1),MOD(H4386-1,הגדרות!$E$7+1),MOD(H4386-1-הגדרות!$E$8*(הגדרות!$E$7+1),הגדרות!$E$7)))</f>
        <v/>
      </c>
      <c r="K4386" s="0" t="str">
        <f aca="false">IF(I4386="","",J4386*הגדרות!$E$6+I4386+1)</f>
        <v/>
      </c>
      <c r="L4386" s="0" t="str">
        <f aca="false">IF(K4386="","",MATCH(K4386,$F$2:$F$5001,0))</f>
        <v/>
      </c>
      <c r="M4386" s="0" t="str">
        <f aca="false">IF(I4386="","",INDEX(הגדרות!$A$2:$A$21,MOD(I4386+הגדרות!$E$9,הגדרות!$E$6)+1))</f>
        <v/>
      </c>
    </row>
    <row r="4387" customFormat="false" ht="15" hidden="false" customHeight="false" outlineLevel="0" collapsed="false">
      <c r="A4387" s="0" t="str">
        <f aca="false">IF('הדבקת לידים'!A4387="","",IF(ISNUMBER('הדבקת לידים'!A4387),IF(הגדרות!$E$2&gt;0,TEXT('הדבקת לידים'!A4387,REPT("0",הגדרות!$E$2)),TEXT('הדבקת לידים'!A4387,"0")),TRIM('הדבקת לידים'!A4387)))</f>
        <v/>
      </c>
      <c r="B4387" s="0" t="str">
        <f aca="false">IF('הדבקת לידים'!B4387="","",IF(ISNUMBER('הדבקת לידים'!B4387),IF(הגדרות!$E$3&gt;0,TEXT('הדבקת לידים'!B4387,REPT("0",הגדרות!$E$3)),TEXT('הדבקת לידים'!B4387,"0")),TRIM('הדבקת לידים'!B4387)))</f>
        <v/>
      </c>
      <c r="C4387" s="0" t="n">
        <f aca="false">IF(OR(A4387&lt;&gt;"",B4387&lt;&gt;""),1,0)</f>
        <v>0</v>
      </c>
      <c r="D4387" s="0" t="str">
        <f aca="false">IF(C4387=1,MOD(ABS(SIN(ROW()*12.9898+'הדבקת לידים'!$F$2*78.233+IFERROR(--RIGHT(A4387,6),LEN(A4387))*0.0137+IFERROR(--RIGHT(B4387,6),LEN(B4387))*0.0071))*43758.5453,1),"")</f>
        <v/>
      </c>
      <c r="E4387" s="0" t="str">
        <f aca="false">IF(C4387=1,INT(MOD(ABS(SIN(D4387*7919.123+ROW()*0.618+'הדבקת לידים'!$F$2*1.3))*43758.5453,1)*1000000)*10000+ROW(),"")</f>
        <v/>
      </c>
      <c r="F4387" s="0" t="str">
        <f aca="false">IF(E4387="","",RANK(E4387,$E$2:$E$5001,1))</f>
        <v/>
      </c>
      <c r="G4387" s="0" t="n">
        <f aca="false">IF(A4387="",0,IF(SUMPRODUCT(--($A$2:$A$5001=A4387))&gt;1,1,0))</f>
        <v>0</v>
      </c>
      <c r="H4387" s="0" t="n">
        <f aca="false">ROW()-1</f>
        <v>4386</v>
      </c>
      <c r="I4387" s="0" t="str">
        <f aca="false">IF(OR(הגדרות!$E$6=0,H4387&gt;הגדרות!$E$5),"",IF(H4387-1&lt;הגדרות!$E$8*(הגדרות!$E$7+1),INT((H4387-1)/(הגדרות!$E$7+1)),הגדרות!$E$8+INT((H4387-1-הגדרות!$E$8*(הגדרות!$E$7+1))/הגדרות!$E$7)))</f>
        <v/>
      </c>
      <c r="J4387" s="0" t="str">
        <f aca="false">IF(I4387="","",IF(H4387-1&lt;הגדרות!$E$8*(הגדרות!$E$7+1),MOD(H4387-1,הגדרות!$E$7+1),MOD(H4387-1-הגדרות!$E$8*(הגדרות!$E$7+1),הגדרות!$E$7)))</f>
        <v/>
      </c>
      <c r="K4387" s="0" t="str">
        <f aca="false">IF(I4387="","",J4387*הגדרות!$E$6+I4387+1)</f>
        <v/>
      </c>
      <c r="L4387" s="0" t="str">
        <f aca="false">IF(K4387="","",MATCH(K4387,$F$2:$F$5001,0))</f>
        <v/>
      </c>
      <c r="M4387" s="0" t="str">
        <f aca="false">IF(I4387="","",INDEX(הגדרות!$A$2:$A$21,MOD(I4387+הגדרות!$E$9,הגדרות!$E$6)+1))</f>
        <v/>
      </c>
    </row>
    <row r="4388" customFormat="false" ht="15" hidden="false" customHeight="false" outlineLevel="0" collapsed="false">
      <c r="A4388" s="0" t="str">
        <f aca="false">IF('הדבקת לידים'!A4388="","",IF(ISNUMBER('הדבקת לידים'!A4388),IF(הגדרות!$E$2&gt;0,TEXT('הדבקת לידים'!A4388,REPT("0",הגדרות!$E$2)),TEXT('הדבקת לידים'!A4388,"0")),TRIM('הדבקת לידים'!A4388)))</f>
        <v/>
      </c>
      <c r="B4388" s="0" t="str">
        <f aca="false">IF('הדבקת לידים'!B4388="","",IF(ISNUMBER('הדבקת לידים'!B4388),IF(הגדרות!$E$3&gt;0,TEXT('הדבקת לידים'!B4388,REPT("0",הגדרות!$E$3)),TEXT('הדבקת לידים'!B4388,"0")),TRIM('הדבקת לידים'!B4388)))</f>
        <v/>
      </c>
      <c r="C4388" s="0" t="n">
        <f aca="false">IF(OR(A4388&lt;&gt;"",B4388&lt;&gt;""),1,0)</f>
        <v>0</v>
      </c>
      <c r="D4388" s="0" t="str">
        <f aca="false">IF(C4388=1,MOD(ABS(SIN(ROW()*12.9898+'הדבקת לידים'!$F$2*78.233+IFERROR(--RIGHT(A4388,6),LEN(A4388))*0.0137+IFERROR(--RIGHT(B4388,6),LEN(B4388))*0.0071))*43758.5453,1),"")</f>
        <v/>
      </c>
      <c r="E4388" s="0" t="str">
        <f aca="false">IF(C4388=1,INT(MOD(ABS(SIN(D4388*7919.123+ROW()*0.618+'הדבקת לידים'!$F$2*1.3))*43758.5453,1)*1000000)*10000+ROW(),"")</f>
        <v/>
      </c>
      <c r="F4388" s="0" t="str">
        <f aca="false">IF(E4388="","",RANK(E4388,$E$2:$E$5001,1))</f>
        <v/>
      </c>
      <c r="G4388" s="0" t="n">
        <f aca="false">IF(A4388="",0,IF(SUMPRODUCT(--($A$2:$A$5001=A4388))&gt;1,1,0))</f>
        <v>0</v>
      </c>
      <c r="H4388" s="0" t="n">
        <f aca="false">ROW()-1</f>
        <v>4387</v>
      </c>
      <c r="I4388" s="0" t="str">
        <f aca="false">IF(OR(הגדרות!$E$6=0,H4388&gt;הגדרות!$E$5),"",IF(H4388-1&lt;הגדרות!$E$8*(הגדרות!$E$7+1),INT((H4388-1)/(הגדרות!$E$7+1)),הגדרות!$E$8+INT((H4388-1-הגדרות!$E$8*(הגדרות!$E$7+1))/הגדרות!$E$7)))</f>
        <v/>
      </c>
      <c r="J4388" s="0" t="str">
        <f aca="false">IF(I4388="","",IF(H4388-1&lt;הגדרות!$E$8*(הגדרות!$E$7+1),MOD(H4388-1,הגדרות!$E$7+1),MOD(H4388-1-הגדרות!$E$8*(הגדרות!$E$7+1),הגדרות!$E$7)))</f>
        <v/>
      </c>
      <c r="K4388" s="0" t="str">
        <f aca="false">IF(I4388="","",J4388*הגדרות!$E$6+I4388+1)</f>
        <v/>
      </c>
      <c r="L4388" s="0" t="str">
        <f aca="false">IF(K4388="","",MATCH(K4388,$F$2:$F$5001,0))</f>
        <v/>
      </c>
      <c r="M4388" s="0" t="str">
        <f aca="false">IF(I4388="","",INDEX(הגדרות!$A$2:$A$21,MOD(I4388+הגדרות!$E$9,הגדרות!$E$6)+1))</f>
        <v/>
      </c>
    </row>
    <row r="4389" customFormat="false" ht="15" hidden="false" customHeight="false" outlineLevel="0" collapsed="false">
      <c r="A4389" s="0" t="str">
        <f aca="false">IF('הדבקת לידים'!A4389="","",IF(ISNUMBER('הדבקת לידים'!A4389),IF(הגדרות!$E$2&gt;0,TEXT('הדבקת לידים'!A4389,REPT("0",הגדרות!$E$2)),TEXT('הדבקת לידים'!A4389,"0")),TRIM('הדבקת לידים'!A4389)))</f>
        <v/>
      </c>
      <c r="B4389" s="0" t="str">
        <f aca="false">IF('הדבקת לידים'!B4389="","",IF(ISNUMBER('הדבקת לידים'!B4389),IF(הגדרות!$E$3&gt;0,TEXT('הדבקת לידים'!B4389,REPT("0",הגדרות!$E$3)),TEXT('הדבקת לידים'!B4389,"0")),TRIM('הדבקת לידים'!B4389)))</f>
        <v/>
      </c>
      <c r="C4389" s="0" t="n">
        <f aca="false">IF(OR(A4389&lt;&gt;"",B4389&lt;&gt;""),1,0)</f>
        <v>0</v>
      </c>
      <c r="D4389" s="0" t="str">
        <f aca="false">IF(C4389=1,MOD(ABS(SIN(ROW()*12.9898+'הדבקת לידים'!$F$2*78.233+IFERROR(--RIGHT(A4389,6),LEN(A4389))*0.0137+IFERROR(--RIGHT(B4389,6),LEN(B4389))*0.0071))*43758.5453,1),"")</f>
        <v/>
      </c>
      <c r="E4389" s="0" t="str">
        <f aca="false">IF(C4389=1,INT(MOD(ABS(SIN(D4389*7919.123+ROW()*0.618+'הדבקת לידים'!$F$2*1.3))*43758.5453,1)*1000000)*10000+ROW(),"")</f>
        <v/>
      </c>
      <c r="F4389" s="0" t="str">
        <f aca="false">IF(E4389="","",RANK(E4389,$E$2:$E$5001,1))</f>
        <v/>
      </c>
      <c r="G4389" s="0" t="n">
        <f aca="false">IF(A4389="",0,IF(SUMPRODUCT(--($A$2:$A$5001=A4389))&gt;1,1,0))</f>
        <v>0</v>
      </c>
      <c r="H4389" s="0" t="n">
        <f aca="false">ROW()-1</f>
        <v>4388</v>
      </c>
      <c r="I4389" s="0" t="str">
        <f aca="false">IF(OR(הגדרות!$E$6=0,H4389&gt;הגדרות!$E$5),"",IF(H4389-1&lt;הגדרות!$E$8*(הגדרות!$E$7+1),INT((H4389-1)/(הגדרות!$E$7+1)),הגדרות!$E$8+INT((H4389-1-הגדרות!$E$8*(הגדרות!$E$7+1))/הגדרות!$E$7)))</f>
        <v/>
      </c>
      <c r="J4389" s="0" t="str">
        <f aca="false">IF(I4389="","",IF(H4389-1&lt;הגדרות!$E$8*(הגדרות!$E$7+1),MOD(H4389-1,הגדרות!$E$7+1),MOD(H4389-1-הגדרות!$E$8*(הגדרות!$E$7+1),הגדרות!$E$7)))</f>
        <v/>
      </c>
      <c r="K4389" s="0" t="str">
        <f aca="false">IF(I4389="","",J4389*הגדרות!$E$6+I4389+1)</f>
        <v/>
      </c>
      <c r="L4389" s="0" t="str">
        <f aca="false">IF(K4389="","",MATCH(K4389,$F$2:$F$5001,0))</f>
        <v/>
      </c>
      <c r="M4389" s="0" t="str">
        <f aca="false">IF(I4389="","",INDEX(הגדרות!$A$2:$A$21,MOD(I4389+הגדרות!$E$9,הגדרות!$E$6)+1))</f>
        <v/>
      </c>
    </row>
    <row r="4390" customFormat="false" ht="15" hidden="false" customHeight="false" outlineLevel="0" collapsed="false">
      <c r="A4390" s="0" t="str">
        <f aca="false">IF('הדבקת לידים'!A4390="","",IF(ISNUMBER('הדבקת לידים'!A4390),IF(הגדרות!$E$2&gt;0,TEXT('הדבקת לידים'!A4390,REPT("0",הגדרות!$E$2)),TEXT('הדבקת לידים'!A4390,"0")),TRIM('הדבקת לידים'!A4390)))</f>
        <v/>
      </c>
      <c r="B4390" s="0" t="str">
        <f aca="false">IF('הדבקת לידים'!B4390="","",IF(ISNUMBER('הדבקת לידים'!B4390),IF(הגדרות!$E$3&gt;0,TEXT('הדבקת לידים'!B4390,REPT("0",הגדרות!$E$3)),TEXT('הדבקת לידים'!B4390,"0")),TRIM('הדבקת לידים'!B4390)))</f>
        <v/>
      </c>
      <c r="C4390" s="0" t="n">
        <f aca="false">IF(OR(A4390&lt;&gt;"",B4390&lt;&gt;""),1,0)</f>
        <v>0</v>
      </c>
      <c r="D4390" s="0" t="str">
        <f aca="false">IF(C4390=1,MOD(ABS(SIN(ROW()*12.9898+'הדבקת לידים'!$F$2*78.233+IFERROR(--RIGHT(A4390,6),LEN(A4390))*0.0137+IFERROR(--RIGHT(B4390,6),LEN(B4390))*0.0071))*43758.5453,1),"")</f>
        <v/>
      </c>
      <c r="E4390" s="0" t="str">
        <f aca="false">IF(C4390=1,INT(MOD(ABS(SIN(D4390*7919.123+ROW()*0.618+'הדבקת לידים'!$F$2*1.3))*43758.5453,1)*1000000)*10000+ROW(),"")</f>
        <v/>
      </c>
      <c r="F4390" s="0" t="str">
        <f aca="false">IF(E4390="","",RANK(E4390,$E$2:$E$5001,1))</f>
        <v/>
      </c>
      <c r="G4390" s="0" t="n">
        <f aca="false">IF(A4390="",0,IF(SUMPRODUCT(--($A$2:$A$5001=A4390))&gt;1,1,0))</f>
        <v>0</v>
      </c>
      <c r="H4390" s="0" t="n">
        <f aca="false">ROW()-1</f>
        <v>4389</v>
      </c>
      <c r="I4390" s="0" t="str">
        <f aca="false">IF(OR(הגדרות!$E$6=0,H4390&gt;הגדרות!$E$5),"",IF(H4390-1&lt;הגדרות!$E$8*(הגדרות!$E$7+1),INT((H4390-1)/(הגדרות!$E$7+1)),הגדרות!$E$8+INT((H4390-1-הגדרות!$E$8*(הגדרות!$E$7+1))/הגדרות!$E$7)))</f>
        <v/>
      </c>
      <c r="J4390" s="0" t="str">
        <f aca="false">IF(I4390="","",IF(H4390-1&lt;הגדרות!$E$8*(הגדרות!$E$7+1),MOD(H4390-1,הגדרות!$E$7+1),MOD(H4390-1-הגדרות!$E$8*(הגדרות!$E$7+1),הגדרות!$E$7)))</f>
        <v/>
      </c>
      <c r="K4390" s="0" t="str">
        <f aca="false">IF(I4390="","",J4390*הגדרות!$E$6+I4390+1)</f>
        <v/>
      </c>
      <c r="L4390" s="0" t="str">
        <f aca="false">IF(K4390="","",MATCH(K4390,$F$2:$F$5001,0))</f>
        <v/>
      </c>
      <c r="M4390" s="0" t="str">
        <f aca="false">IF(I4390="","",INDEX(הגדרות!$A$2:$A$21,MOD(I4390+הגדרות!$E$9,הגדרות!$E$6)+1))</f>
        <v/>
      </c>
    </row>
    <row r="4391" customFormat="false" ht="15" hidden="false" customHeight="false" outlineLevel="0" collapsed="false">
      <c r="A4391" s="0" t="str">
        <f aca="false">IF('הדבקת לידים'!A4391="","",IF(ISNUMBER('הדבקת לידים'!A4391),IF(הגדרות!$E$2&gt;0,TEXT('הדבקת לידים'!A4391,REPT("0",הגדרות!$E$2)),TEXT('הדבקת לידים'!A4391,"0")),TRIM('הדבקת לידים'!A4391)))</f>
        <v/>
      </c>
      <c r="B4391" s="0" t="str">
        <f aca="false">IF('הדבקת לידים'!B4391="","",IF(ISNUMBER('הדבקת לידים'!B4391),IF(הגדרות!$E$3&gt;0,TEXT('הדבקת לידים'!B4391,REPT("0",הגדרות!$E$3)),TEXT('הדבקת לידים'!B4391,"0")),TRIM('הדבקת לידים'!B4391)))</f>
        <v/>
      </c>
      <c r="C4391" s="0" t="n">
        <f aca="false">IF(OR(A4391&lt;&gt;"",B4391&lt;&gt;""),1,0)</f>
        <v>0</v>
      </c>
      <c r="D4391" s="0" t="str">
        <f aca="false">IF(C4391=1,MOD(ABS(SIN(ROW()*12.9898+'הדבקת לידים'!$F$2*78.233+IFERROR(--RIGHT(A4391,6),LEN(A4391))*0.0137+IFERROR(--RIGHT(B4391,6),LEN(B4391))*0.0071))*43758.5453,1),"")</f>
        <v/>
      </c>
      <c r="E4391" s="0" t="str">
        <f aca="false">IF(C4391=1,INT(MOD(ABS(SIN(D4391*7919.123+ROW()*0.618+'הדבקת לידים'!$F$2*1.3))*43758.5453,1)*1000000)*10000+ROW(),"")</f>
        <v/>
      </c>
      <c r="F4391" s="0" t="str">
        <f aca="false">IF(E4391="","",RANK(E4391,$E$2:$E$5001,1))</f>
        <v/>
      </c>
      <c r="G4391" s="0" t="n">
        <f aca="false">IF(A4391="",0,IF(SUMPRODUCT(--($A$2:$A$5001=A4391))&gt;1,1,0))</f>
        <v>0</v>
      </c>
      <c r="H4391" s="0" t="n">
        <f aca="false">ROW()-1</f>
        <v>4390</v>
      </c>
      <c r="I4391" s="0" t="str">
        <f aca="false">IF(OR(הגדרות!$E$6=0,H4391&gt;הגדרות!$E$5),"",IF(H4391-1&lt;הגדרות!$E$8*(הגדרות!$E$7+1),INT((H4391-1)/(הגדרות!$E$7+1)),הגדרות!$E$8+INT((H4391-1-הגדרות!$E$8*(הגדרות!$E$7+1))/הגדרות!$E$7)))</f>
        <v/>
      </c>
      <c r="J4391" s="0" t="str">
        <f aca="false">IF(I4391="","",IF(H4391-1&lt;הגדרות!$E$8*(הגדרות!$E$7+1),MOD(H4391-1,הגדרות!$E$7+1),MOD(H4391-1-הגדרות!$E$8*(הגדרות!$E$7+1),הגדרות!$E$7)))</f>
        <v/>
      </c>
      <c r="K4391" s="0" t="str">
        <f aca="false">IF(I4391="","",J4391*הגדרות!$E$6+I4391+1)</f>
        <v/>
      </c>
      <c r="L4391" s="0" t="str">
        <f aca="false">IF(K4391="","",MATCH(K4391,$F$2:$F$5001,0))</f>
        <v/>
      </c>
      <c r="M4391" s="0" t="str">
        <f aca="false">IF(I4391="","",INDEX(הגדרות!$A$2:$A$21,MOD(I4391+הגדרות!$E$9,הגדרות!$E$6)+1))</f>
        <v/>
      </c>
    </row>
    <row r="4392" customFormat="false" ht="15" hidden="false" customHeight="false" outlineLevel="0" collapsed="false">
      <c r="A4392" s="0" t="str">
        <f aca="false">IF('הדבקת לידים'!A4392="","",IF(ISNUMBER('הדבקת לידים'!A4392),IF(הגדרות!$E$2&gt;0,TEXT('הדבקת לידים'!A4392,REPT("0",הגדרות!$E$2)),TEXT('הדבקת לידים'!A4392,"0")),TRIM('הדבקת לידים'!A4392)))</f>
        <v/>
      </c>
      <c r="B4392" s="0" t="str">
        <f aca="false">IF('הדבקת לידים'!B4392="","",IF(ISNUMBER('הדבקת לידים'!B4392),IF(הגדרות!$E$3&gt;0,TEXT('הדבקת לידים'!B4392,REPT("0",הגדרות!$E$3)),TEXT('הדבקת לידים'!B4392,"0")),TRIM('הדבקת לידים'!B4392)))</f>
        <v/>
      </c>
      <c r="C4392" s="0" t="n">
        <f aca="false">IF(OR(A4392&lt;&gt;"",B4392&lt;&gt;""),1,0)</f>
        <v>0</v>
      </c>
      <c r="D4392" s="0" t="str">
        <f aca="false">IF(C4392=1,MOD(ABS(SIN(ROW()*12.9898+'הדבקת לידים'!$F$2*78.233+IFERROR(--RIGHT(A4392,6),LEN(A4392))*0.0137+IFERROR(--RIGHT(B4392,6),LEN(B4392))*0.0071))*43758.5453,1),"")</f>
        <v/>
      </c>
      <c r="E4392" s="0" t="str">
        <f aca="false">IF(C4392=1,INT(MOD(ABS(SIN(D4392*7919.123+ROW()*0.618+'הדבקת לידים'!$F$2*1.3))*43758.5453,1)*1000000)*10000+ROW(),"")</f>
        <v/>
      </c>
      <c r="F4392" s="0" t="str">
        <f aca="false">IF(E4392="","",RANK(E4392,$E$2:$E$5001,1))</f>
        <v/>
      </c>
      <c r="G4392" s="0" t="n">
        <f aca="false">IF(A4392="",0,IF(SUMPRODUCT(--($A$2:$A$5001=A4392))&gt;1,1,0))</f>
        <v>0</v>
      </c>
      <c r="H4392" s="0" t="n">
        <f aca="false">ROW()-1</f>
        <v>4391</v>
      </c>
      <c r="I4392" s="0" t="str">
        <f aca="false">IF(OR(הגדרות!$E$6=0,H4392&gt;הגדרות!$E$5),"",IF(H4392-1&lt;הגדרות!$E$8*(הגדרות!$E$7+1),INT((H4392-1)/(הגדרות!$E$7+1)),הגדרות!$E$8+INT((H4392-1-הגדרות!$E$8*(הגדרות!$E$7+1))/הגדרות!$E$7)))</f>
        <v/>
      </c>
      <c r="J4392" s="0" t="str">
        <f aca="false">IF(I4392="","",IF(H4392-1&lt;הגדרות!$E$8*(הגדרות!$E$7+1),MOD(H4392-1,הגדרות!$E$7+1),MOD(H4392-1-הגדרות!$E$8*(הגדרות!$E$7+1),הגדרות!$E$7)))</f>
        <v/>
      </c>
      <c r="K4392" s="0" t="str">
        <f aca="false">IF(I4392="","",J4392*הגדרות!$E$6+I4392+1)</f>
        <v/>
      </c>
      <c r="L4392" s="0" t="str">
        <f aca="false">IF(K4392="","",MATCH(K4392,$F$2:$F$5001,0))</f>
        <v/>
      </c>
      <c r="M4392" s="0" t="str">
        <f aca="false">IF(I4392="","",INDEX(הגדרות!$A$2:$A$21,MOD(I4392+הגדרות!$E$9,הגדרות!$E$6)+1))</f>
        <v/>
      </c>
    </row>
    <row r="4393" customFormat="false" ht="15" hidden="false" customHeight="false" outlineLevel="0" collapsed="false">
      <c r="A4393" s="0" t="str">
        <f aca="false">IF('הדבקת לידים'!A4393="","",IF(ISNUMBER('הדבקת לידים'!A4393),IF(הגדרות!$E$2&gt;0,TEXT('הדבקת לידים'!A4393,REPT("0",הגדרות!$E$2)),TEXT('הדבקת לידים'!A4393,"0")),TRIM('הדבקת לידים'!A4393)))</f>
        <v/>
      </c>
      <c r="B4393" s="0" t="str">
        <f aca="false">IF('הדבקת לידים'!B4393="","",IF(ISNUMBER('הדבקת לידים'!B4393),IF(הגדרות!$E$3&gt;0,TEXT('הדבקת לידים'!B4393,REPT("0",הגדרות!$E$3)),TEXT('הדבקת לידים'!B4393,"0")),TRIM('הדבקת לידים'!B4393)))</f>
        <v/>
      </c>
      <c r="C4393" s="0" t="n">
        <f aca="false">IF(OR(A4393&lt;&gt;"",B4393&lt;&gt;""),1,0)</f>
        <v>0</v>
      </c>
      <c r="D4393" s="0" t="str">
        <f aca="false">IF(C4393=1,MOD(ABS(SIN(ROW()*12.9898+'הדבקת לידים'!$F$2*78.233+IFERROR(--RIGHT(A4393,6),LEN(A4393))*0.0137+IFERROR(--RIGHT(B4393,6),LEN(B4393))*0.0071))*43758.5453,1),"")</f>
        <v/>
      </c>
      <c r="E4393" s="0" t="str">
        <f aca="false">IF(C4393=1,INT(MOD(ABS(SIN(D4393*7919.123+ROW()*0.618+'הדבקת לידים'!$F$2*1.3))*43758.5453,1)*1000000)*10000+ROW(),"")</f>
        <v/>
      </c>
      <c r="F4393" s="0" t="str">
        <f aca="false">IF(E4393="","",RANK(E4393,$E$2:$E$5001,1))</f>
        <v/>
      </c>
      <c r="G4393" s="0" t="n">
        <f aca="false">IF(A4393="",0,IF(SUMPRODUCT(--($A$2:$A$5001=A4393))&gt;1,1,0))</f>
        <v>0</v>
      </c>
      <c r="H4393" s="0" t="n">
        <f aca="false">ROW()-1</f>
        <v>4392</v>
      </c>
      <c r="I4393" s="0" t="str">
        <f aca="false">IF(OR(הגדרות!$E$6=0,H4393&gt;הגדרות!$E$5),"",IF(H4393-1&lt;הגדרות!$E$8*(הגדרות!$E$7+1),INT((H4393-1)/(הגדרות!$E$7+1)),הגדרות!$E$8+INT((H4393-1-הגדרות!$E$8*(הגדרות!$E$7+1))/הגדרות!$E$7)))</f>
        <v/>
      </c>
      <c r="J4393" s="0" t="str">
        <f aca="false">IF(I4393="","",IF(H4393-1&lt;הגדרות!$E$8*(הגדרות!$E$7+1),MOD(H4393-1,הגדרות!$E$7+1),MOD(H4393-1-הגדרות!$E$8*(הגדרות!$E$7+1),הגדרות!$E$7)))</f>
        <v/>
      </c>
      <c r="K4393" s="0" t="str">
        <f aca="false">IF(I4393="","",J4393*הגדרות!$E$6+I4393+1)</f>
        <v/>
      </c>
      <c r="L4393" s="0" t="str">
        <f aca="false">IF(K4393="","",MATCH(K4393,$F$2:$F$5001,0))</f>
        <v/>
      </c>
      <c r="M4393" s="0" t="str">
        <f aca="false">IF(I4393="","",INDEX(הגדרות!$A$2:$A$21,MOD(I4393+הגדרות!$E$9,הגדרות!$E$6)+1))</f>
        <v/>
      </c>
    </row>
    <row r="4394" customFormat="false" ht="15" hidden="false" customHeight="false" outlineLevel="0" collapsed="false">
      <c r="A4394" s="0" t="str">
        <f aca="false">IF('הדבקת לידים'!A4394="","",IF(ISNUMBER('הדבקת לידים'!A4394),IF(הגדרות!$E$2&gt;0,TEXT('הדבקת לידים'!A4394,REPT("0",הגדרות!$E$2)),TEXT('הדבקת לידים'!A4394,"0")),TRIM('הדבקת לידים'!A4394)))</f>
        <v/>
      </c>
      <c r="B4394" s="0" t="str">
        <f aca="false">IF('הדבקת לידים'!B4394="","",IF(ISNUMBER('הדבקת לידים'!B4394),IF(הגדרות!$E$3&gt;0,TEXT('הדבקת לידים'!B4394,REPT("0",הגדרות!$E$3)),TEXT('הדבקת לידים'!B4394,"0")),TRIM('הדבקת לידים'!B4394)))</f>
        <v/>
      </c>
      <c r="C4394" s="0" t="n">
        <f aca="false">IF(OR(A4394&lt;&gt;"",B4394&lt;&gt;""),1,0)</f>
        <v>0</v>
      </c>
      <c r="D4394" s="0" t="str">
        <f aca="false">IF(C4394=1,MOD(ABS(SIN(ROW()*12.9898+'הדבקת לידים'!$F$2*78.233+IFERROR(--RIGHT(A4394,6),LEN(A4394))*0.0137+IFERROR(--RIGHT(B4394,6),LEN(B4394))*0.0071))*43758.5453,1),"")</f>
        <v/>
      </c>
      <c r="E4394" s="0" t="str">
        <f aca="false">IF(C4394=1,INT(MOD(ABS(SIN(D4394*7919.123+ROW()*0.618+'הדבקת לידים'!$F$2*1.3))*43758.5453,1)*1000000)*10000+ROW(),"")</f>
        <v/>
      </c>
      <c r="F4394" s="0" t="str">
        <f aca="false">IF(E4394="","",RANK(E4394,$E$2:$E$5001,1))</f>
        <v/>
      </c>
      <c r="G4394" s="0" t="n">
        <f aca="false">IF(A4394="",0,IF(SUMPRODUCT(--($A$2:$A$5001=A4394))&gt;1,1,0))</f>
        <v>0</v>
      </c>
      <c r="H4394" s="0" t="n">
        <f aca="false">ROW()-1</f>
        <v>4393</v>
      </c>
      <c r="I4394" s="0" t="str">
        <f aca="false">IF(OR(הגדרות!$E$6=0,H4394&gt;הגדרות!$E$5),"",IF(H4394-1&lt;הגדרות!$E$8*(הגדרות!$E$7+1),INT((H4394-1)/(הגדרות!$E$7+1)),הגדרות!$E$8+INT((H4394-1-הגדרות!$E$8*(הגדרות!$E$7+1))/הגדרות!$E$7)))</f>
        <v/>
      </c>
      <c r="J4394" s="0" t="str">
        <f aca="false">IF(I4394="","",IF(H4394-1&lt;הגדרות!$E$8*(הגדרות!$E$7+1),MOD(H4394-1,הגדרות!$E$7+1),MOD(H4394-1-הגדרות!$E$8*(הגדרות!$E$7+1),הגדרות!$E$7)))</f>
        <v/>
      </c>
      <c r="K4394" s="0" t="str">
        <f aca="false">IF(I4394="","",J4394*הגדרות!$E$6+I4394+1)</f>
        <v/>
      </c>
      <c r="L4394" s="0" t="str">
        <f aca="false">IF(K4394="","",MATCH(K4394,$F$2:$F$5001,0))</f>
        <v/>
      </c>
      <c r="M4394" s="0" t="str">
        <f aca="false">IF(I4394="","",INDEX(הגדרות!$A$2:$A$21,MOD(I4394+הגדרות!$E$9,הגדרות!$E$6)+1))</f>
        <v/>
      </c>
    </row>
    <row r="4395" customFormat="false" ht="15" hidden="false" customHeight="false" outlineLevel="0" collapsed="false">
      <c r="A4395" s="0" t="str">
        <f aca="false">IF('הדבקת לידים'!A4395="","",IF(ISNUMBER('הדבקת לידים'!A4395),IF(הגדרות!$E$2&gt;0,TEXT('הדבקת לידים'!A4395,REPT("0",הגדרות!$E$2)),TEXT('הדבקת לידים'!A4395,"0")),TRIM('הדבקת לידים'!A4395)))</f>
        <v/>
      </c>
      <c r="B4395" s="0" t="str">
        <f aca="false">IF('הדבקת לידים'!B4395="","",IF(ISNUMBER('הדבקת לידים'!B4395),IF(הגדרות!$E$3&gt;0,TEXT('הדבקת לידים'!B4395,REPT("0",הגדרות!$E$3)),TEXT('הדבקת לידים'!B4395,"0")),TRIM('הדבקת לידים'!B4395)))</f>
        <v/>
      </c>
      <c r="C4395" s="0" t="n">
        <f aca="false">IF(OR(A4395&lt;&gt;"",B4395&lt;&gt;""),1,0)</f>
        <v>0</v>
      </c>
      <c r="D4395" s="0" t="str">
        <f aca="false">IF(C4395=1,MOD(ABS(SIN(ROW()*12.9898+'הדבקת לידים'!$F$2*78.233+IFERROR(--RIGHT(A4395,6),LEN(A4395))*0.0137+IFERROR(--RIGHT(B4395,6),LEN(B4395))*0.0071))*43758.5453,1),"")</f>
        <v/>
      </c>
      <c r="E4395" s="0" t="str">
        <f aca="false">IF(C4395=1,INT(MOD(ABS(SIN(D4395*7919.123+ROW()*0.618+'הדבקת לידים'!$F$2*1.3))*43758.5453,1)*1000000)*10000+ROW(),"")</f>
        <v/>
      </c>
      <c r="F4395" s="0" t="str">
        <f aca="false">IF(E4395="","",RANK(E4395,$E$2:$E$5001,1))</f>
        <v/>
      </c>
      <c r="G4395" s="0" t="n">
        <f aca="false">IF(A4395="",0,IF(SUMPRODUCT(--($A$2:$A$5001=A4395))&gt;1,1,0))</f>
        <v>0</v>
      </c>
      <c r="H4395" s="0" t="n">
        <f aca="false">ROW()-1</f>
        <v>4394</v>
      </c>
      <c r="I4395" s="0" t="str">
        <f aca="false">IF(OR(הגדרות!$E$6=0,H4395&gt;הגדרות!$E$5),"",IF(H4395-1&lt;הגדרות!$E$8*(הגדרות!$E$7+1),INT((H4395-1)/(הגדרות!$E$7+1)),הגדרות!$E$8+INT((H4395-1-הגדרות!$E$8*(הגדרות!$E$7+1))/הגדרות!$E$7)))</f>
        <v/>
      </c>
      <c r="J4395" s="0" t="str">
        <f aca="false">IF(I4395="","",IF(H4395-1&lt;הגדרות!$E$8*(הגדרות!$E$7+1),MOD(H4395-1,הגדרות!$E$7+1),MOD(H4395-1-הגדרות!$E$8*(הגדרות!$E$7+1),הגדרות!$E$7)))</f>
        <v/>
      </c>
      <c r="K4395" s="0" t="str">
        <f aca="false">IF(I4395="","",J4395*הגדרות!$E$6+I4395+1)</f>
        <v/>
      </c>
      <c r="L4395" s="0" t="str">
        <f aca="false">IF(K4395="","",MATCH(K4395,$F$2:$F$5001,0))</f>
        <v/>
      </c>
      <c r="M4395" s="0" t="str">
        <f aca="false">IF(I4395="","",INDEX(הגדרות!$A$2:$A$21,MOD(I4395+הגדרות!$E$9,הגדרות!$E$6)+1))</f>
        <v/>
      </c>
    </row>
    <row r="4396" customFormat="false" ht="15" hidden="false" customHeight="false" outlineLevel="0" collapsed="false">
      <c r="A4396" s="0" t="str">
        <f aca="false">IF('הדבקת לידים'!A4396="","",IF(ISNUMBER('הדבקת לידים'!A4396),IF(הגדרות!$E$2&gt;0,TEXT('הדבקת לידים'!A4396,REPT("0",הגדרות!$E$2)),TEXT('הדבקת לידים'!A4396,"0")),TRIM('הדבקת לידים'!A4396)))</f>
        <v/>
      </c>
      <c r="B4396" s="0" t="str">
        <f aca="false">IF('הדבקת לידים'!B4396="","",IF(ISNUMBER('הדבקת לידים'!B4396),IF(הגדרות!$E$3&gt;0,TEXT('הדבקת לידים'!B4396,REPT("0",הגדרות!$E$3)),TEXT('הדבקת לידים'!B4396,"0")),TRIM('הדבקת לידים'!B4396)))</f>
        <v/>
      </c>
      <c r="C4396" s="0" t="n">
        <f aca="false">IF(OR(A4396&lt;&gt;"",B4396&lt;&gt;""),1,0)</f>
        <v>0</v>
      </c>
      <c r="D4396" s="0" t="str">
        <f aca="false">IF(C4396=1,MOD(ABS(SIN(ROW()*12.9898+'הדבקת לידים'!$F$2*78.233+IFERROR(--RIGHT(A4396,6),LEN(A4396))*0.0137+IFERROR(--RIGHT(B4396,6),LEN(B4396))*0.0071))*43758.5453,1),"")</f>
        <v/>
      </c>
      <c r="E4396" s="0" t="str">
        <f aca="false">IF(C4396=1,INT(MOD(ABS(SIN(D4396*7919.123+ROW()*0.618+'הדבקת לידים'!$F$2*1.3))*43758.5453,1)*1000000)*10000+ROW(),"")</f>
        <v/>
      </c>
      <c r="F4396" s="0" t="str">
        <f aca="false">IF(E4396="","",RANK(E4396,$E$2:$E$5001,1))</f>
        <v/>
      </c>
      <c r="G4396" s="0" t="n">
        <f aca="false">IF(A4396="",0,IF(SUMPRODUCT(--($A$2:$A$5001=A4396))&gt;1,1,0))</f>
        <v>0</v>
      </c>
      <c r="H4396" s="0" t="n">
        <f aca="false">ROW()-1</f>
        <v>4395</v>
      </c>
      <c r="I4396" s="0" t="str">
        <f aca="false">IF(OR(הגדרות!$E$6=0,H4396&gt;הגדרות!$E$5),"",IF(H4396-1&lt;הגדרות!$E$8*(הגדרות!$E$7+1),INT((H4396-1)/(הגדרות!$E$7+1)),הגדרות!$E$8+INT((H4396-1-הגדרות!$E$8*(הגדרות!$E$7+1))/הגדרות!$E$7)))</f>
        <v/>
      </c>
      <c r="J4396" s="0" t="str">
        <f aca="false">IF(I4396="","",IF(H4396-1&lt;הגדרות!$E$8*(הגדרות!$E$7+1),MOD(H4396-1,הגדרות!$E$7+1),MOD(H4396-1-הגדרות!$E$8*(הגדרות!$E$7+1),הגדרות!$E$7)))</f>
        <v/>
      </c>
      <c r="K4396" s="0" t="str">
        <f aca="false">IF(I4396="","",J4396*הגדרות!$E$6+I4396+1)</f>
        <v/>
      </c>
      <c r="L4396" s="0" t="str">
        <f aca="false">IF(K4396="","",MATCH(K4396,$F$2:$F$5001,0))</f>
        <v/>
      </c>
      <c r="M4396" s="0" t="str">
        <f aca="false">IF(I4396="","",INDEX(הגדרות!$A$2:$A$21,MOD(I4396+הגדרות!$E$9,הגדרות!$E$6)+1))</f>
        <v/>
      </c>
    </row>
    <row r="4397" customFormat="false" ht="15" hidden="false" customHeight="false" outlineLevel="0" collapsed="false">
      <c r="A4397" s="0" t="str">
        <f aca="false">IF('הדבקת לידים'!A4397="","",IF(ISNUMBER('הדבקת לידים'!A4397),IF(הגדרות!$E$2&gt;0,TEXT('הדבקת לידים'!A4397,REPT("0",הגדרות!$E$2)),TEXT('הדבקת לידים'!A4397,"0")),TRIM('הדבקת לידים'!A4397)))</f>
        <v/>
      </c>
      <c r="B4397" s="0" t="str">
        <f aca="false">IF('הדבקת לידים'!B4397="","",IF(ISNUMBER('הדבקת לידים'!B4397),IF(הגדרות!$E$3&gt;0,TEXT('הדבקת לידים'!B4397,REPT("0",הגדרות!$E$3)),TEXT('הדבקת לידים'!B4397,"0")),TRIM('הדבקת לידים'!B4397)))</f>
        <v/>
      </c>
      <c r="C4397" s="0" t="n">
        <f aca="false">IF(OR(A4397&lt;&gt;"",B4397&lt;&gt;""),1,0)</f>
        <v>0</v>
      </c>
      <c r="D4397" s="0" t="str">
        <f aca="false">IF(C4397=1,MOD(ABS(SIN(ROW()*12.9898+'הדבקת לידים'!$F$2*78.233+IFERROR(--RIGHT(A4397,6),LEN(A4397))*0.0137+IFERROR(--RIGHT(B4397,6),LEN(B4397))*0.0071))*43758.5453,1),"")</f>
        <v/>
      </c>
      <c r="E4397" s="0" t="str">
        <f aca="false">IF(C4397=1,INT(MOD(ABS(SIN(D4397*7919.123+ROW()*0.618+'הדבקת לידים'!$F$2*1.3))*43758.5453,1)*1000000)*10000+ROW(),"")</f>
        <v/>
      </c>
      <c r="F4397" s="0" t="str">
        <f aca="false">IF(E4397="","",RANK(E4397,$E$2:$E$5001,1))</f>
        <v/>
      </c>
      <c r="G4397" s="0" t="n">
        <f aca="false">IF(A4397="",0,IF(SUMPRODUCT(--($A$2:$A$5001=A4397))&gt;1,1,0))</f>
        <v>0</v>
      </c>
      <c r="H4397" s="0" t="n">
        <f aca="false">ROW()-1</f>
        <v>4396</v>
      </c>
      <c r="I4397" s="0" t="str">
        <f aca="false">IF(OR(הגדרות!$E$6=0,H4397&gt;הגדרות!$E$5),"",IF(H4397-1&lt;הגדרות!$E$8*(הגדרות!$E$7+1),INT((H4397-1)/(הגדרות!$E$7+1)),הגדרות!$E$8+INT((H4397-1-הגדרות!$E$8*(הגדרות!$E$7+1))/הגדרות!$E$7)))</f>
        <v/>
      </c>
      <c r="J4397" s="0" t="str">
        <f aca="false">IF(I4397="","",IF(H4397-1&lt;הגדרות!$E$8*(הגדרות!$E$7+1),MOD(H4397-1,הגדרות!$E$7+1),MOD(H4397-1-הגדרות!$E$8*(הגדרות!$E$7+1),הגדרות!$E$7)))</f>
        <v/>
      </c>
      <c r="K4397" s="0" t="str">
        <f aca="false">IF(I4397="","",J4397*הגדרות!$E$6+I4397+1)</f>
        <v/>
      </c>
      <c r="L4397" s="0" t="str">
        <f aca="false">IF(K4397="","",MATCH(K4397,$F$2:$F$5001,0))</f>
        <v/>
      </c>
      <c r="M4397" s="0" t="str">
        <f aca="false">IF(I4397="","",INDEX(הגדרות!$A$2:$A$21,MOD(I4397+הגדרות!$E$9,הגדרות!$E$6)+1))</f>
        <v/>
      </c>
    </row>
    <row r="4398" customFormat="false" ht="15" hidden="false" customHeight="false" outlineLevel="0" collapsed="false">
      <c r="A4398" s="0" t="str">
        <f aca="false">IF('הדבקת לידים'!A4398="","",IF(ISNUMBER('הדבקת לידים'!A4398),IF(הגדרות!$E$2&gt;0,TEXT('הדבקת לידים'!A4398,REPT("0",הגדרות!$E$2)),TEXT('הדבקת לידים'!A4398,"0")),TRIM('הדבקת לידים'!A4398)))</f>
        <v/>
      </c>
      <c r="B4398" s="0" t="str">
        <f aca="false">IF('הדבקת לידים'!B4398="","",IF(ISNUMBER('הדבקת לידים'!B4398),IF(הגדרות!$E$3&gt;0,TEXT('הדבקת לידים'!B4398,REPT("0",הגדרות!$E$3)),TEXT('הדבקת לידים'!B4398,"0")),TRIM('הדבקת לידים'!B4398)))</f>
        <v/>
      </c>
      <c r="C4398" s="0" t="n">
        <f aca="false">IF(OR(A4398&lt;&gt;"",B4398&lt;&gt;""),1,0)</f>
        <v>0</v>
      </c>
      <c r="D4398" s="0" t="str">
        <f aca="false">IF(C4398=1,MOD(ABS(SIN(ROW()*12.9898+'הדבקת לידים'!$F$2*78.233+IFERROR(--RIGHT(A4398,6),LEN(A4398))*0.0137+IFERROR(--RIGHT(B4398,6),LEN(B4398))*0.0071))*43758.5453,1),"")</f>
        <v/>
      </c>
      <c r="E4398" s="0" t="str">
        <f aca="false">IF(C4398=1,INT(MOD(ABS(SIN(D4398*7919.123+ROW()*0.618+'הדבקת לידים'!$F$2*1.3))*43758.5453,1)*1000000)*10000+ROW(),"")</f>
        <v/>
      </c>
      <c r="F4398" s="0" t="str">
        <f aca="false">IF(E4398="","",RANK(E4398,$E$2:$E$5001,1))</f>
        <v/>
      </c>
      <c r="G4398" s="0" t="n">
        <f aca="false">IF(A4398="",0,IF(SUMPRODUCT(--($A$2:$A$5001=A4398))&gt;1,1,0))</f>
        <v>0</v>
      </c>
      <c r="H4398" s="0" t="n">
        <f aca="false">ROW()-1</f>
        <v>4397</v>
      </c>
      <c r="I4398" s="0" t="str">
        <f aca="false">IF(OR(הגדרות!$E$6=0,H4398&gt;הגדרות!$E$5),"",IF(H4398-1&lt;הגדרות!$E$8*(הגדרות!$E$7+1),INT((H4398-1)/(הגדרות!$E$7+1)),הגדרות!$E$8+INT((H4398-1-הגדרות!$E$8*(הגדרות!$E$7+1))/הגדרות!$E$7)))</f>
        <v/>
      </c>
      <c r="J4398" s="0" t="str">
        <f aca="false">IF(I4398="","",IF(H4398-1&lt;הגדרות!$E$8*(הגדרות!$E$7+1),MOD(H4398-1,הגדרות!$E$7+1),MOD(H4398-1-הגדרות!$E$8*(הגדרות!$E$7+1),הגדרות!$E$7)))</f>
        <v/>
      </c>
      <c r="K4398" s="0" t="str">
        <f aca="false">IF(I4398="","",J4398*הגדרות!$E$6+I4398+1)</f>
        <v/>
      </c>
      <c r="L4398" s="0" t="str">
        <f aca="false">IF(K4398="","",MATCH(K4398,$F$2:$F$5001,0))</f>
        <v/>
      </c>
      <c r="M4398" s="0" t="str">
        <f aca="false">IF(I4398="","",INDEX(הגדרות!$A$2:$A$21,MOD(I4398+הגדרות!$E$9,הגדרות!$E$6)+1))</f>
        <v/>
      </c>
    </row>
    <row r="4399" customFormat="false" ht="15" hidden="false" customHeight="false" outlineLevel="0" collapsed="false">
      <c r="A4399" s="0" t="str">
        <f aca="false">IF('הדבקת לידים'!A4399="","",IF(ISNUMBER('הדבקת לידים'!A4399),IF(הגדרות!$E$2&gt;0,TEXT('הדבקת לידים'!A4399,REPT("0",הגדרות!$E$2)),TEXT('הדבקת לידים'!A4399,"0")),TRIM('הדבקת לידים'!A4399)))</f>
        <v/>
      </c>
      <c r="B4399" s="0" t="str">
        <f aca="false">IF('הדבקת לידים'!B4399="","",IF(ISNUMBER('הדבקת לידים'!B4399),IF(הגדרות!$E$3&gt;0,TEXT('הדבקת לידים'!B4399,REPT("0",הגדרות!$E$3)),TEXT('הדבקת לידים'!B4399,"0")),TRIM('הדבקת לידים'!B4399)))</f>
        <v/>
      </c>
      <c r="C4399" s="0" t="n">
        <f aca="false">IF(OR(A4399&lt;&gt;"",B4399&lt;&gt;""),1,0)</f>
        <v>0</v>
      </c>
      <c r="D4399" s="0" t="str">
        <f aca="false">IF(C4399=1,MOD(ABS(SIN(ROW()*12.9898+'הדבקת לידים'!$F$2*78.233+IFERROR(--RIGHT(A4399,6),LEN(A4399))*0.0137+IFERROR(--RIGHT(B4399,6),LEN(B4399))*0.0071))*43758.5453,1),"")</f>
        <v/>
      </c>
      <c r="E4399" s="0" t="str">
        <f aca="false">IF(C4399=1,INT(MOD(ABS(SIN(D4399*7919.123+ROW()*0.618+'הדבקת לידים'!$F$2*1.3))*43758.5453,1)*1000000)*10000+ROW(),"")</f>
        <v/>
      </c>
      <c r="F4399" s="0" t="str">
        <f aca="false">IF(E4399="","",RANK(E4399,$E$2:$E$5001,1))</f>
        <v/>
      </c>
      <c r="G4399" s="0" t="n">
        <f aca="false">IF(A4399="",0,IF(SUMPRODUCT(--($A$2:$A$5001=A4399))&gt;1,1,0))</f>
        <v>0</v>
      </c>
      <c r="H4399" s="0" t="n">
        <f aca="false">ROW()-1</f>
        <v>4398</v>
      </c>
      <c r="I4399" s="0" t="str">
        <f aca="false">IF(OR(הגדרות!$E$6=0,H4399&gt;הגדרות!$E$5),"",IF(H4399-1&lt;הגדרות!$E$8*(הגדרות!$E$7+1),INT((H4399-1)/(הגדרות!$E$7+1)),הגדרות!$E$8+INT((H4399-1-הגדרות!$E$8*(הגדרות!$E$7+1))/הגדרות!$E$7)))</f>
        <v/>
      </c>
      <c r="J4399" s="0" t="str">
        <f aca="false">IF(I4399="","",IF(H4399-1&lt;הגדרות!$E$8*(הגדרות!$E$7+1),MOD(H4399-1,הגדרות!$E$7+1),MOD(H4399-1-הגדרות!$E$8*(הגדרות!$E$7+1),הגדרות!$E$7)))</f>
        <v/>
      </c>
      <c r="K4399" s="0" t="str">
        <f aca="false">IF(I4399="","",J4399*הגדרות!$E$6+I4399+1)</f>
        <v/>
      </c>
      <c r="L4399" s="0" t="str">
        <f aca="false">IF(K4399="","",MATCH(K4399,$F$2:$F$5001,0))</f>
        <v/>
      </c>
      <c r="M4399" s="0" t="str">
        <f aca="false">IF(I4399="","",INDEX(הגדרות!$A$2:$A$21,MOD(I4399+הגדרות!$E$9,הגדרות!$E$6)+1))</f>
        <v/>
      </c>
    </row>
    <row r="4400" customFormat="false" ht="15" hidden="false" customHeight="false" outlineLevel="0" collapsed="false">
      <c r="A4400" s="0" t="str">
        <f aca="false">IF('הדבקת לידים'!A4400="","",IF(ISNUMBER('הדבקת לידים'!A4400),IF(הגדרות!$E$2&gt;0,TEXT('הדבקת לידים'!A4400,REPT("0",הגדרות!$E$2)),TEXT('הדבקת לידים'!A4400,"0")),TRIM('הדבקת לידים'!A4400)))</f>
        <v/>
      </c>
      <c r="B4400" s="0" t="str">
        <f aca="false">IF('הדבקת לידים'!B4400="","",IF(ISNUMBER('הדבקת לידים'!B4400),IF(הגדרות!$E$3&gt;0,TEXT('הדבקת לידים'!B4400,REPT("0",הגדרות!$E$3)),TEXT('הדבקת לידים'!B4400,"0")),TRIM('הדבקת לידים'!B4400)))</f>
        <v/>
      </c>
      <c r="C4400" s="0" t="n">
        <f aca="false">IF(OR(A4400&lt;&gt;"",B4400&lt;&gt;""),1,0)</f>
        <v>0</v>
      </c>
      <c r="D4400" s="0" t="str">
        <f aca="false">IF(C4400=1,MOD(ABS(SIN(ROW()*12.9898+'הדבקת לידים'!$F$2*78.233+IFERROR(--RIGHT(A4400,6),LEN(A4400))*0.0137+IFERROR(--RIGHT(B4400,6),LEN(B4400))*0.0071))*43758.5453,1),"")</f>
        <v/>
      </c>
      <c r="E4400" s="0" t="str">
        <f aca="false">IF(C4400=1,INT(MOD(ABS(SIN(D4400*7919.123+ROW()*0.618+'הדבקת לידים'!$F$2*1.3))*43758.5453,1)*1000000)*10000+ROW(),"")</f>
        <v/>
      </c>
      <c r="F4400" s="0" t="str">
        <f aca="false">IF(E4400="","",RANK(E4400,$E$2:$E$5001,1))</f>
        <v/>
      </c>
      <c r="G4400" s="0" t="n">
        <f aca="false">IF(A4400="",0,IF(SUMPRODUCT(--($A$2:$A$5001=A4400))&gt;1,1,0))</f>
        <v>0</v>
      </c>
      <c r="H4400" s="0" t="n">
        <f aca="false">ROW()-1</f>
        <v>4399</v>
      </c>
      <c r="I4400" s="0" t="str">
        <f aca="false">IF(OR(הגדרות!$E$6=0,H4400&gt;הגדרות!$E$5),"",IF(H4400-1&lt;הגדרות!$E$8*(הגדרות!$E$7+1),INT((H4400-1)/(הגדרות!$E$7+1)),הגדרות!$E$8+INT((H4400-1-הגדרות!$E$8*(הגדרות!$E$7+1))/הגדרות!$E$7)))</f>
        <v/>
      </c>
      <c r="J4400" s="0" t="str">
        <f aca="false">IF(I4400="","",IF(H4400-1&lt;הגדרות!$E$8*(הגדרות!$E$7+1),MOD(H4400-1,הגדרות!$E$7+1),MOD(H4400-1-הגדרות!$E$8*(הגדרות!$E$7+1),הגדרות!$E$7)))</f>
        <v/>
      </c>
      <c r="K4400" s="0" t="str">
        <f aca="false">IF(I4400="","",J4400*הגדרות!$E$6+I4400+1)</f>
        <v/>
      </c>
      <c r="L4400" s="0" t="str">
        <f aca="false">IF(K4400="","",MATCH(K4400,$F$2:$F$5001,0))</f>
        <v/>
      </c>
      <c r="M4400" s="0" t="str">
        <f aca="false">IF(I4400="","",INDEX(הגדרות!$A$2:$A$21,MOD(I4400+הגדרות!$E$9,הגדרות!$E$6)+1))</f>
        <v/>
      </c>
    </row>
    <row r="4401" customFormat="false" ht="15" hidden="false" customHeight="false" outlineLevel="0" collapsed="false">
      <c r="A4401" s="0" t="str">
        <f aca="false">IF('הדבקת לידים'!A4401="","",IF(ISNUMBER('הדבקת לידים'!A4401),IF(הגדרות!$E$2&gt;0,TEXT('הדבקת לידים'!A4401,REPT("0",הגדרות!$E$2)),TEXT('הדבקת לידים'!A4401,"0")),TRIM('הדבקת לידים'!A4401)))</f>
        <v/>
      </c>
      <c r="B4401" s="0" t="str">
        <f aca="false">IF('הדבקת לידים'!B4401="","",IF(ISNUMBER('הדבקת לידים'!B4401),IF(הגדרות!$E$3&gt;0,TEXT('הדבקת לידים'!B4401,REPT("0",הגדרות!$E$3)),TEXT('הדבקת לידים'!B4401,"0")),TRIM('הדבקת לידים'!B4401)))</f>
        <v/>
      </c>
      <c r="C4401" s="0" t="n">
        <f aca="false">IF(OR(A4401&lt;&gt;"",B4401&lt;&gt;""),1,0)</f>
        <v>0</v>
      </c>
      <c r="D4401" s="0" t="str">
        <f aca="false">IF(C4401=1,MOD(ABS(SIN(ROW()*12.9898+'הדבקת לידים'!$F$2*78.233+IFERROR(--RIGHT(A4401,6),LEN(A4401))*0.0137+IFERROR(--RIGHT(B4401,6),LEN(B4401))*0.0071))*43758.5453,1),"")</f>
        <v/>
      </c>
      <c r="E4401" s="0" t="str">
        <f aca="false">IF(C4401=1,INT(MOD(ABS(SIN(D4401*7919.123+ROW()*0.618+'הדבקת לידים'!$F$2*1.3))*43758.5453,1)*1000000)*10000+ROW(),"")</f>
        <v/>
      </c>
      <c r="F4401" s="0" t="str">
        <f aca="false">IF(E4401="","",RANK(E4401,$E$2:$E$5001,1))</f>
        <v/>
      </c>
      <c r="G4401" s="0" t="n">
        <f aca="false">IF(A4401="",0,IF(SUMPRODUCT(--($A$2:$A$5001=A4401))&gt;1,1,0))</f>
        <v>0</v>
      </c>
      <c r="H4401" s="0" t="n">
        <f aca="false">ROW()-1</f>
        <v>4400</v>
      </c>
      <c r="I4401" s="0" t="str">
        <f aca="false">IF(OR(הגדרות!$E$6=0,H4401&gt;הגדרות!$E$5),"",IF(H4401-1&lt;הגדרות!$E$8*(הגדרות!$E$7+1),INT((H4401-1)/(הגדרות!$E$7+1)),הגדרות!$E$8+INT((H4401-1-הגדרות!$E$8*(הגדרות!$E$7+1))/הגדרות!$E$7)))</f>
        <v/>
      </c>
      <c r="J4401" s="0" t="str">
        <f aca="false">IF(I4401="","",IF(H4401-1&lt;הגדרות!$E$8*(הגדרות!$E$7+1),MOD(H4401-1,הגדרות!$E$7+1),MOD(H4401-1-הגדרות!$E$8*(הגדרות!$E$7+1),הגדרות!$E$7)))</f>
        <v/>
      </c>
      <c r="K4401" s="0" t="str">
        <f aca="false">IF(I4401="","",J4401*הגדרות!$E$6+I4401+1)</f>
        <v/>
      </c>
      <c r="L4401" s="0" t="str">
        <f aca="false">IF(K4401="","",MATCH(K4401,$F$2:$F$5001,0))</f>
        <v/>
      </c>
      <c r="M4401" s="0" t="str">
        <f aca="false">IF(I4401="","",INDEX(הגדרות!$A$2:$A$21,MOD(I4401+הגדרות!$E$9,הגדרות!$E$6)+1))</f>
        <v/>
      </c>
    </row>
    <row r="4402" customFormat="false" ht="15" hidden="false" customHeight="false" outlineLevel="0" collapsed="false">
      <c r="A4402" s="0" t="str">
        <f aca="false">IF('הדבקת לידים'!A4402="","",IF(ISNUMBER('הדבקת לידים'!A4402),IF(הגדרות!$E$2&gt;0,TEXT('הדבקת לידים'!A4402,REPT("0",הגדרות!$E$2)),TEXT('הדבקת לידים'!A4402,"0")),TRIM('הדבקת לידים'!A4402)))</f>
        <v/>
      </c>
      <c r="B4402" s="0" t="str">
        <f aca="false">IF('הדבקת לידים'!B4402="","",IF(ISNUMBER('הדבקת לידים'!B4402),IF(הגדרות!$E$3&gt;0,TEXT('הדבקת לידים'!B4402,REPT("0",הגדרות!$E$3)),TEXT('הדבקת לידים'!B4402,"0")),TRIM('הדבקת לידים'!B4402)))</f>
        <v/>
      </c>
      <c r="C4402" s="0" t="n">
        <f aca="false">IF(OR(A4402&lt;&gt;"",B4402&lt;&gt;""),1,0)</f>
        <v>0</v>
      </c>
      <c r="D4402" s="0" t="str">
        <f aca="false">IF(C4402=1,MOD(ABS(SIN(ROW()*12.9898+'הדבקת לידים'!$F$2*78.233+IFERROR(--RIGHT(A4402,6),LEN(A4402))*0.0137+IFERROR(--RIGHT(B4402,6),LEN(B4402))*0.0071))*43758.5453,1),"")</f>
        <v/>
      </c>
      <c r="E4402" s="0" t="str">
        <f aca="false">IF(C4402=1,INT(MOD(ABS(SIN(D4402*7919.123+ROW()*0.618+'הדבקת לידים'!$F$2*1.3))*43758.5453,1)*1000000)*10000+ROW(),"")</f>
        <v/>
      </c>
      <c r="F4402" s="0" t="str">
        <f aca="false">IF(E4402="","",RANK(E4402,$E$2:$E$5001,1))</f>
        <v/>
      </c>
      <c r="G4402" s="0" t="n">
        <f aca="false">IF(A4402="",0,IF(SUMPRODUCT(--($A$2:$A$5001=A4402))&gt;1,1,0))</f>
        <v>0</v>
      </c>
      <c r="H4402" s="0" t="n">
        <f aca="false">ROW()-1</f>
        <v>4401</v>
      </c>
      <c r="I4402" s="0" t="str">
        <f aca="false">IF(OR(הגדרות!$E$6=0,H4402&gt;הגדרות!$E$5),"",IF(H4402-1&lt;הגדרות!$E$8*(הגדרות!$E$7+1),INT((H4402-1)/(הגדרות!$E$7+1)),הגדרות!$E$8+INT((H4402-1-הגדרות!$E$8*(הגדרות!$E$7+1))/הגדרות!$E$7)))</f>
        <v/>
      </c>
      <c r="J4402" s="0" t="str">
        <f aca="false">IF(I4402="","",IF(H4402-1&lt;הגדרות!$E$8*(הגדרות!$E$7+1),MOD(H4402-1,הגדרות!$E$7+1),MOD(H4402-1-הגדרות!$E$8*(הגדרות!$E$7+1),הגדרות!$E$7)))</f>
        <v/>
      </c>
      <c r="K4402" s="0" t="str">
        <f aca="false">IF(I4402="","",J4402*הגדרות!$E$6+I4402+1)</f>
        <v/>
      </c>
      <c r="L4402" s="0" t="str">
        <f aca="false">IF(K4402="","",MATCH(K4402,$F$2:$F$5001,0))</f>
        <v/>
      </c>
      <c r="M4402" s="0" t="str">
        <f aca="false">IF(I4402="","",INDEX(הגדרות!$A$2:$A$21,MOD(I4402+הגדרות!$E$9,הגדרות!$E$6)+1))</f>
        <v/>
      </c>
    </row>
    <row r="4403" customFormat="false" ht="15" hidden="false" customHeight="false" outlineLevel="0" collapsed="false">
      <c r="A4403" s="0" t="str">
        <f aca="false">IF('הדבקת לידים'!A4403="","",IF(ISNUMBER('הדבקת לידים'!A4403),IF(הגדרות!$E$2&gt;0,TEXT('הדבקת לידים'!A4403,REPT("0",הגדרות!$E$2)),TEXT('הדבקת לידים'!A4403,"0")),TRIM('הדבקת לידים'!A4403)))</f>
        <v/>
      </c>
      <c r="B4403" s="0" t="str">
        <f aca="false">IF('הדבקת לידים'!B4403="","",IF(ISNUMBER('הדבקת לידים'!B4403),IF(הגדרות!$E$3&gt;0,TEXT('הדבקת לידים'!B4403,REPT("0",הגדרות!$E$3)),TEXT('הדבקת לידים'!B4403,"0")),TRIM('הדבקת לידים'!B4403)))</f>
        <v/>
      </c>
      <c r="C4403" s="0" t="n">
        <f aca="false">IF(OR(A4403&lt;&gt;"",B4403&lt;&gt;""),1,0)</f>
        <v>0</v>
      </c>
      <c r="D4403" s="0" t="str">
        <f aca="false">IF(C4403=1,MOD(ABS(SIN(ROW()*12.9898+'הדבקת לידים'!$F$2*78.233+IFERROR(--RIGHT(A4403,6),LEN(A4403))*0.0137+IFERROR(--RIGHT(B4403,6),LEN(B4403))*0.0071))*43758.5453,1),"")</f>
        <v/>
      </c>
      <c r="E4403" s="0" t="str">
        <f aca="false">IF(C4403=1,INT(MOD(ABS(SIN(D4403*7919.123+ROW()*0.618+'הדבקת לידים'!$F$2*1.3))*43758.5453,1)*1000000)*10000+ROW(),"")</f>
        <v/>
      </c>
      <c r="F4403" s="0" t="str">
        <f aca="false">IF(E4403="","",RANK(E4403,$E$2:$E$5001,1))</f>
        <v/>
      </c>
      <c r="G4403" s="0" t="n">
        <f aca="false">IF(A4403="",0,IF(SUMPRODUCT(--($A$2:$A$5001=A4403))&gt;1,1,0))</f>
        <v>0</v>
      </c>
      <c r="H4403" s="0" t="n">
        <f aca="false">ROW()-1</f>
        <v>4402</v>
      </c>
      <c r="I4403" s="0" t="str">
        <f aca="false">IF(OR(הגדרות!$E$6=0,H4403&gt;הגדרות!$E$5),"",IF(H4403-1&lt;הגדרות!$E$8*(הגדרות!$E$7+1),INT((H4403-1)/(הגדרות!$E$7+1)),הגדרות!$E$8+INT((H4403-1-הגדרות!$E$8*(הגדרות!$E$7+1))/הגדרות!$E$7)))</f>
        <v/>
      </c>
      <c r="J4403" s="0" t="str">
        <f aca="false">IF(I4403="","",IF(H4403-1&lt;הגדרות!$E$8*(הגדרות!$E$7+1),MOD(H4403-1,הגדרות!$E$7+1),MOD(H4403-1-הגדרות!$E$8*(הגדרות!$E$7+1),הגדרות!$E$7)))</f>
        <v/>
      </c>
      <c r="K4403" s="0" t="str">
        <f aca="false">IF(I4403="","",J4403*הגדרות!$E$6+I4403+1)</f>
        <v/>
      </c>
      <c r="L4403" s="0" t="str">
        <f aca="false">IF(K4403="","",MATCH(K4403,$F$2:$F$5001,0))</f>
        <v/>
      </c>
      <c r="M4403" s="0" t="str">
        <f aca="false">IF(I4403="","",INDEX(הגדרות!$A$2:$A$21,MOD(I4403+הגדרות!$E$9,הגדרות!$E$6)+1))</f>
        <v/>
      </c>
    </row>
    <row r="4404" customFormat="false" ht="15" hidden="false" customHeight="false" outlineLevel="0" collapsed="false">
      <c r="A4404" s="0" t="str">
        <f aca="false">IF('הדבקת לידים'!A4404="","",IF(ISNUMBER('הדבקת לידים'!A4404),IF(הגדרות!$E$2&gt;0,TEXT('הדבקת לידים'!A4404,REPT("0",הגדרות!$E$2)),TEXT('הדבקת לידים'!A4404,"0")),TRIM('הדבקת לידים'!A4404)))</f>
        <v/>
      </c>
      <c r="B4404" s="0" t="str">
        <f aca="false">IF('הדבקת לידים'!B4404="","",IF(ISNUMBER('הדבקת לידים'!B4404),IF(הגדרות!$E$3&gt;0,TEXT('הדבקת לידים'!B4404,REPT("0",הגדרות!$E$3)),TEXT('הדבקת לידים'!B4404,"0")),TRIM('הדבקת לידים'!B4404)))</f>
        <v/>
      </c>
      <c r="C4404" s="0" t="n">
        <f aca="false">IF(OR(A4404&lt;&gt;"",B4404&lt;&gt;""),1,0)</f>
        <v>0</v>
      </c>
      <c r="D4404" s="0" t="str">
        <f aca="false">IF(C4404=1,MOD(ABS(SIN(ROW()*12.9898+'הדבקת לידים'!$F$2*78.233+IFERROR(--RIGHT(A4404,6),LEN(A4404))*0.0137+IFERROR(--RIGHT(B4404,6),LEN(B4404))*0.0071))*43758.5453,1),"")</f>
        <v/>
      </c>
      <c r="E4404" s="0" t="str">
        <f aca="false">IF(C4404=1,INT(MOD(ABS(SIN(D4404*7919.123+ROW()*0.618+'הדבקת לידים'!$F$2*1.3))*43758.5453,1)*1000000)*10000+ROW(),"")</f>
        <v/>
      </c>
      <c r="F4404" s="0" t="str">
        <f aca="false">IF(E4404="","",RANK(E4404,$E$2:$E$5001,1))</f>
        <v/>
      </c>
      <c r="G4404" s="0" t="n">
        <f aca="false">IF(A4404="",0,IF(SUMPRODUCT(--($A$2:$A$5001=A4404))&gt;1,1,0))</f>
        <v>0</v>
      </c>
      <c r="H4404" s="0" t="n">
        <f aca="false">ROW()-1</f>
        <v>4403</v>
      </c>
      <c r="I4404" s="0" t="str">
        <f aca="false">IF(OR(הגדרות!$E$6=0,H4404&gt;הגדרות!$E$5),"",IF(H4404-1&lt;הגדרות!$E$8*(הגדרות!$E$7+1),INT((H4404-1)/(הגדרות!$E$7+1)),הגדרות!$E$8+INT((H4404-1-הגדרות!$E$8*(הגדרות!$E$7+1))/הגדרות!$E$7)))</f>
        <v/>
      </c>
      <c r="J4404" s="0" t="str">
        <f aca="false">IF(I4404="","",IF(H4404-1&lt;הגדרות!$E$8*(הגדרות!$E$7+1),MOD(H4404-1,הגדרות!$E$7+1),MOD(H4404-1-הגדרות!$E$8*(הגדרות!$E$7+1),הגדרות!$E$7)))</f>
        <v/>
      </c>
      <c r="K4404" s="0" t="str">
        <f aca="false">IF(I4404="","",J4404*הגדרות!$E$6+I4404+1)</f>
        <v/>
      </c>
      <c r="L4404" s="0" t="str">
        <f aca="false">IF(K4404="","",MATCH(K4404,$F$2:$F$5001,0))</f>
        <v/>
      </c>
      <c r="M4404" s="0" t="str">
        <f aca="false">IF(I4404="","",INDEX(הגדרות!$A$2:$A$21,MOD(I4404+הגדרות!$E$9,הגדרות!$E$6)+1))</f>
        <v/>
      </c>
    </row>
    <row r="4405" customFormat="false" ht="15" hidden="false" customHeight="false" outlineLevel="0" collapsed="false">
      <c r="A4405" s="0" t="str">
        <f aca="false">IF('הדבקת לידים'!A4405="","",IF(ISNUMBER('הדבקת לידים'!A4405),IF(הגדרות!$E$2&gt;0,TEXT('הדבקת לידים'!A4405,REPT("0",הגדרות!$E$2)),TEXT('הדבקת לידים'!A4405,"0")),TRIM('הדבקת לידים'!A4405)))</f>
        <v/>
      </c>
      <c r="B4405" s="0" t="str">
        <f aca="false">IF('הדבקת לידים'!B4405="","",IF(ISNUMBER('הדבקת לידים'!B4405),IF(הגדרות!$E$3&gt;0,TEXT('הדבקת לידים'!B4405,REPT("0",הגדרות!$E$3)),TEXT('הדבקת לידים'!B4405,"0")),TRIM('הדבקת לידים'!B4405)))</f>
        <v/>
      </c>
      <c r="C4405" s="0" t="n">
        <f aca="false">IF(OR(A4405&lt;&gt;"",B4405&lt;&gt;""),1,0)</f>
        <v>0</v>
      </c>
      <c r="D4405" s="0" t="str">
        <f aca="false">IF(C4405=1,MOD(ABS(SIN(ROW()*12.9898+'הדבקת לידים'!$F$2*78.233+IFERROR(--RIGHT(A4405,6),LEN(A4405))*0.0137+IFERROR(--RIGHT(B4405,6),LEN(B4405))*0.0071))*43758.5453,1),"")</f>
        <v/>
      </c>
      <c r="E4405" s="0" t="str">
        <f aca="false">IF(C4405=1,INT(MOD(ABS(SIN(D4405*7919.123+ROW()*0.618+'הדבקת לידים'!$F$2*1.3))*43758.5453,1)*1000000)*10000+ROW(),"")</f>
        <v/>
      </c>
      <c r="F4405" s="0" t="str">
        <f aca="false">IF(E4405="","",RANK(E4405,$E$2:$E$5001,1))</f>
        <v/>
      </c>
      <c r="G4405" s="0" t="n">
        <f aca="false">IF(A4405="",0,IF(SUMPRODUCT(--($A$2:$A$5001=A4405))&gt;1,1,0))</f>
        <v>0</v>
      </c>
      <c r="H4405" s="0" t="n">
        <f aca="false">ROW()-1</f>
        <v>4404</v>
      </c>
      <c r="I4405" s="0" t="str">
        <f aca="false">IF(OR(הגדרות!$E$6=0,H4405&gt;הגדרות!$E$5),"",IF(H4405-1&lt;הגדרות!$E$8*(הגדרות!$E$7+1),INT((H4405-1)/(הגדרות!$E$7+1)),הגדרות!$E$8+INT((H4405-1-הגדרות!$E$8*(הגדרות!$E$7+1))/הגדרות!$E$7)))</f>
        <v/>
      </c>
      <c r="J4405" s="0" t="str">
        <f aca="false">IF(I4405="","",IF(H4405-1&lt;הגדרות!$E$8*(הגדרות!$E$7+1),MOD(H4405-1,הגדרות!$E$7+1),MOD(H4405-1-הגדרות!$E$8*(הגדרות!$E$7+1),הגדרות!$E$7)))</f>
        <v/>
      </c>
      <c r="K4405" s="0" t="str">
        <f aca="false">IF(I4405="","",J4405*הגדרות!$E$6+I4405+1)</f>
        <v/>
      </c>
      <c r="L4405" s="0" t="str">
        <f aca="false">IF(K4405="","",MATCH(K4405,$F$2:$F$5001,0))</f>
        <v/>
      </c>
      <c r="M4405" s="0" t="str">
        <f aca="false">IF(I4405="","",INDEX(הגדרות!$A$2:$A$21,MOD(I4405+הגדרות!$E$9,הגדרות!$E$6)+1))</f>
        <v/>
      </c>
    </row>
    <row r="4406" customFormat="false" ht="15" hidden="false" customHeight="false" outlineLevel="0" collapsed="false">
      <c r="A4406" s="0" t="str">
        <f aca="false">IF('הדבקת לידים'!A4406="","",IF(ISNUMBER('הדבקת לידים'!A4406),IF(הגדרות!$E$2&gt;0,TEXT('הדבקת לידים'!A4406,REPT("0",הגדרות!$E$2)),TEXT('הדבקת לידים'!A4406,"0")),TRIM('הדבקת לידים'!A4406)))</f>
        <v/>
      </c>
      <c r="B4406" s="0" t="str">
        <f aca="false">IF('הדבקת לידים'!B4406="","",IF(ISNUMBER('הדבקת לידים'!B4406),IF(הגדרות!$E$3&gt;0,TEXT('הדבקת לידים'!B4406,REPT("0",הגדרות!$E$3)),TEXT('הדבקת לידים'!B4406,"0")),TRIM('הדבקת לידים'!B4406)))</f>
        <v/>
      </c>
      <c r="C4406" s="0" t="n">
        <f aca="false">IF(OR(A4406&lt;&gt;"",B4406&lt;&gt;""),1,0)</f>
        <v>0</v>
      </c>
      <c r="D4406" s="0" t="str">
        <f aca="false">IF(C4406=1,MOD(ABS(SIN(ROW()*12.9898+'הדבקת לידים'!$F$2*78.233+IFERROR(--RIGHT(A4406,6),LEN(A4406))*0.0137+IFERROR(--RIGHT(B4406,6),LEN(B4406))*0.0071))*43758.5453,1),"")</f>
        <v/>
      </c>
      <c r="E4406" s="0" t="str">
        <f aca="false">IF(C4406=1,INT(MOD(ABS(SIN(D4406*7919.123+ROW()*0.618+'הדבקת לידים'!$F$2*1.3))*43758.5453,1)*1000000)*10000+ROW(),"")</f>
        <v/>
      </c>
      <c r="F4406" s="0" t="str">
        <f aca="false">IF(E4406="","",RANK(E4406,$E$2:$E$5001,1))</f>
        <v/>
      </c>
      <c r="G4406" s="0" t="n">
        <f aca="false">IF(A4406="",0,IF(SUMPRODUCT(--($A$2:$A$5001=A4406))&gt;1,1,0))</f>
        <v>0</v>
      </c>
      <c r="H4406" s="0" t="n">
        <f aca="false">ROW()-1</f>
        <v>4405</v>
      </c>
      <c r="I4406" s="0" t="str">
        <f aca="false">IF(OR(הגדרות!$E$6=0,H4406&gt;הגדרות!$E$5),"",IF(H4406-1&lt;הגדרות!$E$8*(הגדרות!$E$7+1),INT((H4406-1)/(הגדרות!$E$7+1)),הגדרות!$E$8+INT((H4406-1-הגדרות!$E$8*(הגדרות!$E$7+1))/הגדרות!$E$7)))</f>
        <v/>
      </c>
      <c r="J4406" s="0" t="str">
        <f aca="false">IF(I4406="","",IF(H4406-1&lt;הגדרות!$E$8*(הגדרות!$E$7+1),MOD(H4406-1,הגדרות!$E$7+1),MOD(H4406-1-הגדרות!$E$8*(הגדרות!$E$7+1),הגדרות!$E$7)))</f>
        <v/>
      </c>
      <c r="K4406" s="0" t="str">
        <f aca="false">IF(I4406="","",J4406*הגדרות!$E$6+I4406+1)</f>
        <v/>
      </c>
      <c r="L4406" s="0" t="str">
        <f aca="false">IF(K4406="","",MATCH(K4406,$F$2:$F$5001,0))</f>
        <v/>
      </c>
      <c r="M4406" s="0" t="str">
        <f aca="false">IF(I4406="","",INDEX(הגדרות!$A$2:$A$21,MOD(I4406+הגדרות!$E$9,הגדרות!$E$6)+1))</f>
        <v/>
      </c>
    </row>
    <row r="4407" customFormat="false" ht="15" hidden="false" customHeight="false" outlineLevel="0" collapsed="false">
      <c r="A4407" s="0" t="str">
        <f aca="false">IF('הדבקת לידים'!A4407="","",IF(ISNUMBER('הדבקת לידים'!A4407),IF(הגדרות!$E$2&gt;0,TEXT('הדבקת לידים'!A4407,REPT("0",הגדרות!$E$2)),TEXT('הדבקת לידים'!A4407,"0")),TRIM('הדבקת לידים'!A4407)))</f>
        <v/>
      </c>
      <c r="B4407" s="0" t="str">
        <f aca="false">IF('הדבקת לידים'!B4407="","",IF(ISNUMBER('הדבקת לידים'!B4407),IF(הגדרות!$E$3&gt;0,TEXT('הדבקת לידים'!B4407,REPT("0",הגדרות!$E$3)),TEXT('הדבקת לידים'!B4407,"0")),TRIM('הדבקת לידים'!B4407)))</f>
        <v/>
      </c>
      <c r="C4407" s="0" t="n">
        <f aca="false">IF(OR(A4407&lt;&gt;"",B4407&lt;&gt;""),1,0)</f>
        <v>0</v>
      </c>
      <c r="D4407" s="0" t="str">
        <f aca="false">IF(C4407=1,MOD(ABS(SIN(ROW()*12.9898+'הדבקת לידים'!$F$2*78.233+IFERROR(--RIGHT(A4407,6),LEN(A4407))*0.0137+IFERROR(--RIGHT(B4407,6),LEN(B4407))*0.0071))*43758.5453,1),"")</f>
        <v/>
      </c>
      <c r="E4407" s="0" t="str">
        <f aca="false">IF(C4407=1,INT(MOD(ABS(SIN(D4407*7919.123+ROW()*0.618+'הדבקת לידים'!$F$2*1.3))*43758.5453,1)*1000000)*10000+ROW(),"")</f>
        <v/>
      </c>
      <c r="F4407" s="0" t="str">
        <f aca="false">IF(E4407="","",RANK(E4407,$E$2:$E$5001,1))</f>
        <v/>
      </c>
      <c r="G4407" s="0" t="n">
        <f aca="false">IF(A4407="",0,IF(SUMPRODUCT(--($A$2:$A$5001=A4407))&gt;1,1,0))</f>
        <v>0</v>
      </c>
      <c r="H4407" s="0" t="n">
        <f aca="false">ROW()-1</f>
        <v>4406</v>
      </c>
      <c r="I4407" s="0" t="str">
        <f aca="false">IF(OR(הגדרות!$E$6=0,H4407&gt;הגדרות!$E$5),"",IF(H4407-1&lt;הגדרות!$E$8*(הגדרות!$E$7+1),INT((H4407-1)/(הגדרות!$E$7+1)),הגדרות!$E$8+INT((H4407-1-הגדרות!$E$8*(הגדרות!$E$7+1))/הגדרות!$E$7)))</f>
        <v/>
      </c>
      <c r="J4407" s="0" t="str">
        <f aca="false">IF(I4407="","",IF(H4407-1&lt;הגדרות!$E$8*(הגדרות!$E$7+1),MOD(H4407-1,הגדרות!$E$7+1),MOD(H4407-1-הגדרות!$E$8*(הגדרות!$E$7+1),הגדרות!$E$7)))</f>
        <v/>
      </c>
      <c r="K4407" s="0" t="str">
        <f aca="false">IF(I4407="","",J4407*הגדרות!$E$6+I4407+1)</f>
        <v/>
      </c>
      <c r="L4407" s="0" t="str">
        <f aca="false">IF(K4407="","",MATCH(K4407,$F$2:$F$5001,0))</f>
        <v/>
      </c>
      <c r="M4407" s="0" t="str">
        <f aca="false">IF(I4407="","",INDEX(הגדרות!$A$2:$A$21,MOD(I4407+הגדרות!$E$9,הגדרות!$E$6)+1))</f>
        <v/>
      </c>
    </row>
    <row r="4408" customFormat="false" ht="15" hidden="false" customHeight="false" outlineLevel="0" collapsed="false">
      <c r="A4408" s="0" t="str">
        <f aca="false">IF('הדבקת לידים'!A4408="","",IF(ISNUMBER('הדבקת לידים'!A4408),IF(הגדרות!$E$2&gt;0,TEXT('הדבקת לידים'!A4408,REPT("0",הגדרות!$E$2)),TEXT('הדבקת לידים'!A4408,"0")),TRIM('הדבקת לידים'!A4408)))</f>
        <v/>
      </c>
      <c r="B4408" s="0" t="str">
        <f aca="false">IF('הדבקת לידים'!B4408="","",IF(ISNUMBER('הדבקת לידים'!B4408),IF(הגדרות!$E$3&gt;0,TEXT('הדבקת לידים'!B4408,REPT("0",הגדרות!$E$3)),TEXT('הדבקת לידים'!B4408,"0")),TRIM('הדבקת לידים'!B4408)))</f>
        <v/>
      </c>
      <c r="C4408" s="0" t="n">
        <f aca="false">IF(OR(A4408&lt;&gt;"",B4408&lt;&gt;""),1,0)</f>
        <v>0</v>
      </c>
      <c r="D4408" s="0" t="str">
        <f aca="false">IF(C4408=1,MOD(ABS(SIN(ROW()*12.9898+'הדבקת לידים'!$F$2*78.233+IFERROR(--RIGHT(A4408,6),LEN(A4408))*0.0137+IFERROR(--RIGHT(B4408,6),LEN(B4408))*0.0071))*43758.5453,1),"")</f>
        <v/>
      </c>
      <c r="E4408" s="0" t="str">
        <f aca="false">IF(C4408=1,INT(MOD(ABS(SIN(D4408*7919.123+ROW()*0.618+'הדבקת לידים'!$F$2*1.3))*43758.5453,1)*1000000)*10000+ROW(),"")</f>
        <v/>
      </c>
      <c r="F4408" s="0" t="str">
        <f aca="false">IF(E4408="","",RANK(E4408,$E$2:$E$5001,1))</f>
        <v/>
      </c>
      <c r="G4408" s="0" t="n">
        <f aca="false">IF(A4408="",0,IF(SUMPRODUCT(--($A$2:$A$5001=A4408))&gt;1,1,0))</f>
        <v>0</v>
      </c>
      <c r="H4408" s="0" t="n">
        <f aca="false">ROW()-1</f>
        <v>4407</v>
      </c>
      <c r="I4408" s="0" t="str">
        <f aca="false">IF(OR(הגדרות!$E$6=0,H4408&gt;הגדרות!$E$5),"",IF(H4408-1&lt;הגדרות!$E$8*(הגדרות!$E$7+1),INT((H4408-1)/(הגדרות!$E$7+1)),הגדרות!$E$8+INT((H4408-1-הגדרות!$E$8*(הגדרות!$E$7+1))/הגדרות!$E$7)))</f>
        <v/>
      </c>
      <c r="J4408" s="0" t="str">
        <f aca="false">IF(I4408="","",IF(H4408-1&lt;הגדרות!$E$8*(הגדרות!$E$7+1),MOD(H4408-1,הגדרות!$E$7+1),MOD(H4408-1-הגדרות!$E$8*(הגדרות!$E$7+1),הגדרות!$E$7)))</f>
        <v/>
      </c>
      <c r="K4408" s="0" t="str">
        <f aca="false">IF(I4408="","",J4408*הגדרות!$E$6+I4408+1)</f>
        <v/>
      </c>
      <c r="L4408" s="0" t="str">
        <f aca="false">IF(K4408="","",MATCH(K4408,$F$2:$F$5001,0))</f>
        <v/>
      </c>
      <c r="M4408" s="0" t="str">
        <f aca="false">IF(I4408="","",INDEX(הגדרות!$A$2:$A$21,MOD(I4408+הגדרות!$E$9,הגדרות!$E$6)+1))</f>
        <v/>
      </c>
    </row>
    <row r="4409" customFormat="false" ht="15" hidden="false" customHeight="false" outlineLevel="0" collapsed="false">
      <c r="A4409" s="0" t="str">
        <f aca="false">IF('הדבקת לידים'!A4409="","",IF(ISNUMBER('הדבקת לידים'!A4409),IF(הגדרות!$E$2&gt;0,TEXT('הדבקת לידים'!A4409,REPT("0",הגדרות!$E$2)),TEXT('הדבקת לידים'!A4409,"0")),TRIM('הדבקת לידים'!A4409)))</f>
        <v/>
      </c>
      <c r="B4409" s="0" t="str">
        <f aca="false">IF('הדבקת לידים'!B4409="","",IF(ISNUMBER('הדבקת לידים'!B4409),IF(הגדרות!$E$3&gt;0,TEXT('הדבקת לידים'!B4409,REPT("0",הגדרות!$E$3)),TEXT('הדבקת לידים'!B4409,"0")),TRIM('הדבקת לידים'!B4409)))</f>
        <v/>
      </c>
      <c r="C4409" s="0" t="n">
        <f aca="false">IF(OR(A4409&lt;&gt;"",B4409&lt;&gt;""),1,0)</f>
        <v>0</v>
      </c>
      <c r="D4409" s="0" t="str">
        <f aca="false">IF(C4409=1,MOD(ABS(SIN(ROW()*12.9898+'הדבקת לידים'!$F$2*78.233+IFERROR(--RIGHT(A4409,6),LEN(A4409))*0.0137+IFERROR(--RIGHT(B4409,6),LEN(B4409))*0.0071))*43758.5453,1),"")</f>
        <v/>
      </c>
      <c r="E4409" s="0" t="str">
        <f aca="false">IF(C4409=1,INT(MOD(ABS(SIN(D4409*7919.123+ROW()*0.618+'הדבקת לידים'!$F$2*1.3))*43758.5453,1)*1000000)*10000+ROW(),"")</f>
        <v/>
      </c>
      <c r="F4409" s="0" t="str">
        <f aca="false">IF(E4409="","",RANK(E4409,$E$2:$E$5001,1))</f>
        <v/>
      </c>
      <c r="G4409" s="0" t="n">
        <f aca="false">IF(A4409="",0,IF(SUMPRODUCT(--($A$2:$A$5001=A4409))&gt;1,1,0))</f>
        <v>0</v>
      </c>
      <c r="H4409" s="0" t="n">
        <f aca="false">ROW()-1</f>
        <v>4408</v>
      </c>
      <c r="I4409" s="0" t="str">
        <f aca="false">IF(OR(הגדרות!$E$6=0,H4409&gt;הגדרות!$E$5),"",IF(H4409-1&lt;הגדרות!$E$8*(הגדרות!$E$7+1),INT((H4409-1)/(הגדרות!$E$7+1)),הגדרות!$E$8+INT((H4409-1-הגדרות!$E$8*(הגדרות!$E$7+1))/הגדרות!$E$7)))</f>
        <v/>
      </c>
      <c r="J4409" s="0" t="str">
        <f aca="false">IF(I4409="","",IF(H4409-1&lt;הגדרות!$E$8*(הגדרות!$E$7+1),MOD(H4409-1,הגדרות!$E$7+1),MOD(H4409-1-הגדרות!$E$8*(הגדרות!$E$7+1),הגדרות!$E$7)))</f>
        <v/>
      </c>
      <c r="K4409" s="0" t="str">
        <f aca="false">IF(I4409="","",J4409*הגדרות!$E$6+I4409+1)</f>
        <v/>
      </c>
      <c r="L4409" s="0" t="str">
        <f aca="false">IF(K4409="","",MATCH(K4409,$F$2:$F$5001,0))</f>
        <v/>
      </c>
      <c r="M4409" s="0" t="str">
        <f aca="false">IF(I4409="","",INDEX(הגדרות!$A$2:$A$21,MOD(I4409+הגדרות!$E$9,הגדרות!$E$6)+1))</f>
        <v/>
      </c>
    </row>
    <row r="4410" customFormat="false" ht="15" hidden="false" customHeight="false" outlineLevel="0" collapsed="false">
      <c r="A4410" s="0" t="str">
        <f aca="false">IF('הדבקת לידים'!A4410="","",IF(ISNUMBER('הדבקת לידים'!A4410),IF(הגדרות!$E$2&gt;0,TEXT('הדבקת לידים'!A4410,REPT("0",הגדרות!$E$2)),TEXT('הדבקת לידים'!A4410,"0")),TRIM('הדבקת לידים'!A4410)))</f>
        <v/>
      </c>
      <c r="B4410" s="0" t="str">
        <f aca="false">IF('הדבקת לידים'!B4410="","",IF(ISNUMBER('הדבקת לידים'!B4410),IF(הגדרות!$E$3&gt;0,TEXT('הדבקת לידים'!B4410,REPT("0",הגדרות!$E$3)),TEXT('הדבקת לידים'!B4410,"0")),TRIM('הדבקת לידים'!B4410)))</f>
        <v/>
      </c>
      <c r="C4410" s="0" t="n">
        <f aca="false">IF(OR(A4410&lt;&gt;"",B4410&lt;&gt;""),1,0)</f>
        <v>0</v>
      </c>
      <c r="D4410" s="0" t="str">
        <f aca="false">IF(C4410=1,MOD(ABS(SIN(ROW()*12.9898+'הדבקת לידים'!$F$2*78.233+IFERROR(--RIGHT(A4410,6),LEN(A4410))*0.0137+IFERROR(--RIGHT(B4410,6),LEN(B4410))*0.0071))*43758.5453,1),"")</f>
        <v/>
      </c>
      <c r="E4410" s="0" t="str">
        <f aca="false">IF(C4410=1,INT(MOD(ABS(SIN(D4410*7919.123+ROW()*0.618+'הדבקת לידים'!$F$2*1.3))*43758.5453,1)*1000000)*10000+ROW(),"")</f>
        <v/>
      </c>
      <c r="F4410" s="0" t="str">
        <f aca="false">IF(E4410="","",RANK(E4410,$E$2:$E$5001,1))</f>
        <v/>
      </c>
      <c r="G4410" s="0" t="n">
        <f aca="false">IF(A4410="",0,IF(SUMPRODUCT(--($A$2:$A$5001=A4410))&gt;1,1,0))</f>
        <v>0</v>
      </c>
      <c r="H4410" s="0" t="n">
        <f aca="false">ROW()-1</f>
        <v>4409</v>
      </c>
      <c r="I4410" s="0" t="str">
        <f aca="false">IF(OR(הגדרות!$E$6=0,H4410&gt;הגדרות!$E$5),"",IF(H4410-1&lt;הגדרות!$E$8*(הגדרות!$E$7+1),INT((H4410-1)/(הגדרות!$E$7+1)),הגדרות!$E$8+INT((H4410-1-הגדרות!$E$8*(הגדרות!$E$7+1))/הגדרות!$E$7)))</f>
        <v/>
      </c>
      <c r="J4410" s="0" t="str">
        <f aca="false">IF(I4410="","",IF(H4410-1&lt;הגדרות!$E$8*(הגדרות!$E$7+1),MOD(H4410-1,הגדרות!$E$7+1),MOD(H4410-1-הגדרות!$E$8*(הגדרות!$E$7+1),הגדרות!$E$7)))</f>
        <v/>
      </c>
      <c r="K4410" s="0" t="str">
        <f aca="false">IF(I4410="","",J4410*הגדרות!$E$6+I4410+1)</f>
        <v/>
      </c>
      <c r="L4410" s="0" t="str">
        <f aca="false">IF(K4410="","",MATCH(K4410,$F$2:$F$5001,0))</f>
        <v/>
      </c>
      <c r="M4410" s="0" t="str">
        <f aca="false">IF(I4410="","",INDEX(הגדרות!$A$2:$A$21,MOD(I4410+הגדרות!$E$9,הגדרות!$E$6)+1))</f>
        <v/>
      </c>
    </row>
    <row r="4411" customFormat="false" ht="15" hidden="false" customHeight="false" outlineLevel="0" collapsed="false">
      <c r="A4411" s="0" t="str">
        <f aca="false">IF('הדבקת לידים'!A4411="","",IF(ISNUMBER('הדבקת לידים'!A4411),IF(הגדרות!$E$2&gt;0,TEXT('הדבקת לידים'!A4411,REPT("0",הגדרות!$E$2)),TEXT('הדבקת לידים'!A4411,"0")),TRIM('הדבקת לידים'!A4411)))</f>
        <v/>
      </c>
      <c r="B4411" s="0" t="str">
        <f aca="false">IF('הדבקת לידים'!B4411="","",IF(ISNUMBER('הדבקת לידים'!B4411),IF(הגדרות!$E$3&gt;0,TEXT('הדבקת לידים'!B4411,REPT("0",הגדרות!$E$3)),TEXT('הדבקת לידים'!B4411,"0")),TRIM('הדבקת לידים'!B4411)))</f>
        <v/>
      </c>
      <c r="C4411" s="0" t="n">
        <f aca="false">IF(OR(A4411&lt;&gt;"",B4411&lt;&gt;""),1,0)</f>
        <v>0</v>
      </c>
      <c r="D4411" s="0" t="str">
        <f aca="false">IF(C4411=1,MOD(ABS(SIN(ROW()*12.9898+'הדבקת לידים'!$F$2*78.233+IFERROR(--RIGHT(A4411,6),LEN(A4411))*0.0137+IFERROR(--RIGHT(B4411,6),LEN(B4411))*0.0071))*43758.5453,1),"")</f>
        <v/>
      </c>
      <c r="E4411" s="0" t="str">
        <f aca="false">IF(C4411=1,INT(MOD(ABS(SIN(D4411*7919.123+ROW()*0.618+'הדבקת לידים'!$F$2*1.3))*43758.5453,1)*1000000)*10000+ROW(),"")</f>
        <v/>
      </c>
      <c r="F4411" s="0" t="str">
        <f aca="false">IF(E4411="","",RANK(E4411,$E$2:$E$5001,1))</f>
        <v/>
      </c>
      <c r="G4411" s="0" t="n">
        <f aca="false">IF(A4411="",0,IF(SUMPRODUCT(--($A$2:$A$5001=A4411))&gt;1,1,0))</f>
        <v>0</v>
      </c>
      <c r="H4411" s="0" t="n">
        <f aca="false">ROW()-1</f>
        <v>4410</v>
      </c>
      <c r="I4411" s="0" t="str">
        <f aca="false">IF(OR(הגדרות!$E$6=0,H4411&gt;הגדרות!$E$5),"",IF(H4411-1&lt;הגדרות!$E$8*(הגדרות!$E$7+1),INT((H4411-1)/(הגדרות!$E$7+1)),הגדרות!$E$8+INT((H4411-1-הגדרות!$E$8*(הגדרות!$E$7+1))/הגדרות!$E$7)))</f>
        <v/>
      </c>
      <c r="J4411" s="0" t="str">
        <f aca="false">IF(I4411="","",IF(H4411-1&lt;הגדרות!$E$8*(הגדרות!$E$7+1),MOD(H4411-1,הגדרות!$E$7+1),MOD(H4411-1-הגדרות!$E$8*(הגדרות!$E$7+1),הגדרות!$E$7)))</f>
        <v/>
      </c>
      <c r="K4411" s="0" t="str">
        <f aca="false">IF(I4411="","",J4411*הגדרות!$E$6+I4411+1)</f>
        <v/>
      </c>
      <c r="L4411" s="0" t="str">
        <f aca="false">IF(K4411="","",MATCH(K4411,$F$2:$F$5001,0))</f>
        <v/>
      </c>
      <c r="M4411" s="0" t="str">
        <f aca="false">IF(I4411="","",INDEX(הגדרות!$A$2:$A$21,MOD(I4411+הגדרות!$E$9,הגדרות!$E$6)+1))</f>
        <v/>
      </c>
    </row>
    <row r="4412" customFormat="false" ht="15" hidden="false" customHeight="false" outlineLevel="0" collapsed="false">
      <c r="A4412" s="0" t="str">
        <f aca="false">IF('הדבקת לידים'!A4412="","",IF(ISNUMBER('הדבקת לידים'!A4412),IF(הגדרות!$E$2&gt;0,TEXT('הדבקת לידים'!A4412,REPT("0",הגדרות!$E$2)),TEXT('הדבקת לידים'!A4412,"0")),TRIM('הדבקת לידים'!A4412)))</f>
        <v/>
      </c>
      <c r="B4412" s="0" t="str">
        <f aca="false">IF('הדבקת לידים'!B4412="","",IF(ISNUMBER('הדבקת לידים'!B4412),IF(הגדרות!$E$3&gt;0,TEXT('הדבקת לידים'!B4412,REPT("0",הגדרות!$E$3)),TEXT('הדבקת לידים'!B4412,"0")),TRIM('הדבקת לידים'!B4412)))</f>
        <v/>
      </c>
      <c r="C4412" s="0" t="n">
        <f aca="false">IF(OR(A4412&lt;&gt;"",B4412&lt;&gt;""),1,0)</f>
        <v>0</v>
      </c>
      <c r="D4412" s="0" t="str">
        <f aca="false">IF(C4412=1,MOD(ABS(SIN(ROW()*12.9898+'הדבקת לידים'!$F$2*78.233+IFERROR(--RIGHT(A4412,6),LEN(A4412))*0.0137+IFERROR(--RIGHT(B4412,6),LEN(B4412))*0.0071))*43758.5453,1),"")</f>
        <v/>
      </c>
      <c r="E4412" s="0" t="str">
        <f aca="false">IF(C4412=1,INT(MOD(ABS(SIN(D4412*7919.123+ROW()*0.618+'הדבקת לידים'!$F$2*1.3))*43758.5453,1)*1000000)*10000+ROW(),"")</f>
        <v/>
      </c>
      <c r="F4412" s="0" t="str">
        <f aca="false">IF(E4412="","",RANK(E4412,$E$2:$E$5001,1))</f>
        <v/>
      </c>
      <c r="G4412" s="0" t="n">
        <f aca="false">IF(A4412="",0,IF(SUMPRODUCT(--($A$2:$A$5001=A4412))&gt;1,1,0))</f>
        <v>0</v>
      </c>
      <c r="H4412" s="0" t="n">
        <f aca="false">ROW()-1</f>
        <v>4411</v>
      </c>
      <c r="I4412" s="0" t="str">
        <f aca="false">IF(OR(הגדרות!$E$6=0,H4412&gt;הגדרות!$E$5),"",IF(H4412-1&lt;הגדרות!$E$8*(הגדרות!$E$7+1),INT((H4412-1)/(הגדרות!$E$7+1)),הגדרות!$E$8+INT((H4412-1-הגדרות!$E$8*(הגדרות!$E$7+1))/הגדרות!$E$7)))</f>
        <v/>
      </c>
      <c r="J4412" s="0" t="str">
        <f aca="false">IF(I4412="","",IF(H4412-1&lt;הגדרות!$E$8*(הגדרות!$E$7+1),MOD(H4412-1,הגדרות!$E$7+1),MOD(H4412-1-הגדרות!$E$8*(הגדרות!$E$7+1),הגדרות!$E$7)))</f>
        <v/>
      </c>
      <c r="K4412" s="0" t="str">
        <f aca="false">IF(I4412="","",J4412*הגדרות!$E$6+I4412+1)</f>
        <v/>
      </c>
      <c r="L4412" s="0" t="str">
        <f aca="false">IF(K4412="","",MATCH(K4412,$F$2:$F$5001,0))</f>
        <v/>
      </c>
      <c r="M4412" s="0" t="str">
        <f aca="false">IF(I4412="","",INDEX(הגדרות!$A$2:$A$21,MOD(I4412+הגדרות!$E$9,הגדרות!$E$6)+1))</f>
        <v/>
      </c>
    </row>
    <row r="4413" customFormat="false" ht="15" hidden="false" customHeight="false" outlineLevel="0" collapsed="false">
      <c r="A4413" s="0" t="str">
        <f aca="false">IF('הדבקת לידים'!A4413="","",IF(ISNUMBER('הדבקת לידים'!A4413),IF(הגדרות!$E$2&gt;0,TEXT('הדבקת לידים'!A4413,REPT("0",הגדרות!$E$2)),TEXT('הדבקת לידים'!A4413,"0")),TRIM('הדבקת לידים'!A4413)))</f>
        <v/>
      </c>
      <c r="B4413" s="0" t="str">
        <f aca="false">IF('הדבקת לידים'!B4413="","",IF(ISNUMBER('הדבקת לידים'!B4413),IF(הגדרות!$E$3&gt;0,TEXT('הדבקת לידים'!B4413,REPT("0",הגדרות!$E$3)),TEXT('הדבקת לידים'!B4413,"0")),TRIM('הדבקת לידים'!B4413)))</f>
        <v/>
      </c>
      <c r="C4413" s="0" t="n">
        <f aca="false">IF(OR(A4413&lt;&gt;"",B4413&lt;&gt;""),1,0)</f>
        <v>0</v>
      </c>
      <c r="D4413" s="0" t="str">
        <f aca="false">IF(C4413=1,MOD(ABS(SIN(ROW()*12.9898+'הדבקת לידים'!$F$2*78.233+IFERROR(--RIGHT(A4413,6),LEN(A4413))*0.0137+IFERROR(--RIGHT(B4413,6),LEN(B4413))*0.0071))*43758.5453,1),"")</f>
        <v/>
      </c>
      <c r="E4413" s="0" t="str">
        <f aca="false">IF(C4413=1,INT(MOD(ABS(SIN(D4413*7919.123+ROW()*0.618+'הדבקת לידים'!$F$2*1.3))*43758.5453,1)*1000000)*10000+ROW(),"")</f>
        <v/>
      </c>
      <c r="F4413" s="0" t="str">
        <f aca="false">IF(E4413="","",RANK(E4413,$E$2:$E$5001,1))</f>
        <v/>
      </c>
      <c r="G4413" s="0" t="n">
        <f aca="false">IF(A4413="",0,IF(SUMPRODUCT(--($A$2:$A$5001=A4413))&gt;1,1,0))</f>
        <v>0</v>
      </c>
      <c r="H4413" s="0" t="n">
        <f aca="false">ROW()-1</f>
        <v>4412</v>
      </c>
      <c r="I4413" s="0" t="str">
        <f aca="false">IF(OR(הגדרות!$E$6=0,H4413&gt;הגדרות!$E$5),"",IF(H4413-1&lt;הגדרות!$E$8*(הגדרות!$E$7+1),INT((H4413-1)/(הגדרות!$E$7+1)),הגדרות!$E$8+INT((H4413-1-הגדרות!$E$8*(הגדרות!$E$7+1))/הגדרות!$E$7)))</f>
        <v/>
      </c>
      <c r="J4413" s="0" t="str">
        <f aca="false">IF(I4413="","",IF(H4413-1&lt;הגדרות!$E$8*(הגדרות!$E$7+1),MOD(H4413-1,הגדרות!$E$7+1),MOD(H4413-1-הגדרות!$E$8*(הגדרות!$E$7+1),הגדרות!$E$7)))</f>
        <v/>
      </c>
      <c r="K4413" s="0" t="str">
        <f aca="false">IF(I4413="","",J4413*הגדרות!$E$6+I4413+1)</f>
        <v/>
      </c>
      <c r="L4413" s="0" t="str">
        <f aca="false">IF(K4413="","",MATCH(K4413,$F$2:$F$5001,0))</f>
        <v/>
      </c>
      <c r="M4413" s="0" t="str">
        <f aca="false">IF(I4413="","",INDEX(הגדרות!$A$2:$A$21,MOD(I4413+הגדרות!$E$9,הגדרות!$E$6)+1))</f>
        <v/>
      </c>
    </row>
    <row r="4414" customFormat="false" ht="15" hidden="false" customHeight="false" outlineLevel="0" collapsed="false">
      <c r="A4414" s="0" t="str">
        <f aca="false">IF('הדבקת לידים'!A4414="","",IF(ISNUMBER('הדבקת לידים'!A4414),IF(הגדרות!$E$2&gt;0,TEXT('הדבקת לידים'!A4414,REPT("0",הגדרות!$E$2)),TEXT('הדבקת לידים'!A4414,"0")),TRIM('הדבקת לידים'!A4414)))</f>
        <v/>
      </c>
      <c r="B4414" s="0" t="str">
        <f aca="false">IF('הדבקת לידים'!B4414="","",IF(ISNUMBER('הדבקת לידים'!B4414),IF(הגדרות!$E$3&gt;0,TEXT('הדבקת לידים'!B4414,REPT("0",הגדרות!$E$3)),TEXT('הדבקת לידים'!B4414,"0")),TRIM('הדבקת לידים'!B4414)))</f>
        <v/>
      </c>
      <c r="C4414" s="0" t="n">
        <f aca="false">IF(OR(A4414&lt;&gt;"",B4414&lt;&gt;""),1,0)</f>
        <v>0</v>
      </c>
      <c r="D4414" s="0" t="str">
        <f aca="false">IF(C4414=1,MOD(ABS(SIN(ROW()*12.9898+'הדבקת לידים'!$F$2*78.233+IFERROR(--RIGHT(A4414,6),LEN(A4414))*0.0137+IFERROR(--RIGHT(B4414,6),LEN(B4414))*0.0071))*43758.5453,1),"")</f>
        <v/>
      </c>
      <c r="E4414" s="0" t="str">
        <f aca="false">IF(C4414=1,INT(MOD(ABS(SIN(D4414*7919.123+ROW()*0.618+'הדבקת לידים'!$F$2*1.3))*43758.5453,1)*1000000)*10000+ROW(),"")</f>
        <v/>
      </c>
      <c r="F4414" s="0" t="str">
        <f aca="false">IF(E4414="","",RANK(E4414,$E$2:$E$5001,1))</f>
        <v/>
      </c>
      <c r="G4414" s="0" t="n">
        <f aca="false">IF(A4414="",0,IF(SUMPRODUCT(--($A$2:$A$5001=A4414))&gt;1,1,0))</f>
        <v>0</v>
      </c>
      <c r="H4414" s="0" t="n">
        <f aca="false">ROW()-1</f>
        <v>4413</v>
      </c>
      <c r="I4414" s="0" t="str">
        <f aca="false">IF(OR(הגדרות!$E$6=0,H4414&gt;הגדרות!$E$5),"",IF(H4414-1&lt;הגדרות!$E$8*(הגדרות!$E$7+1),INT((H4414-1)/(הגדרות!$E$7+1)),הגדרות!$E$8+INT((H4414-1-הגדרות!$E$8*(הגדרות!$E$7+1))/הגדרות!$E$7)))</f>
        <v/>
      </c>
      <c r="J4414" s="0" t="str">
        <f aca="false">IF(I4414="","",IF(H4414-1&lt;הגדרות!$E$8*(הגדרות!$E$7+1),MOD(H4414-1,הגדרות!$E$7+1),MOD(H4414-1-הגדרות!$E$8*(הגדרות!$E$7+1),הגדרות!$E$7)))</f>
        <v/>
      </c>
      <c r="K4414" s="0" t="str">
        <f aca="false">IF(I4414="","",J4414*הגדרות!$E$6+I4414+1)</f>
        <v/>
      </c>
      <c r="L4414" s="0" t="str">
        <f aca="false">IF(K4414="","",MATCH(K4414,$F$2:$F$5001,0))</f>
        <v/>
      </c>
      <c r="M4414" s="0" t="str">
        <f aca="false">IF(I4414="","",INDEX(הגדרות!$A$2:$A$21,MOD(I4414+הגדרות!$E$9,הגדרות!$E$6)+1))</f>
        <v/>
      </c>
    </row>
    <row r="4415" customFormat="false" ht="15" hidden="false" customHeight="false" outlineLevel="0" collapsed="false">
      <c r="A4415" s="0" t="str">
        <f aca="false">IF('הדבקת לידים'!A4415="","",IF(ISNUMBER('הדבקת לידים'!A4415),IF(הגדרות!$E$2&gt;0,TEXT('הדבקת לידים'!A4415,REPT("0",הגדרות!$E$2)),TEXT('הדבקת לידים'!A4415,"0")),TRIM('הדבקת לידים'!A4415)))</f>
        <v/>
      </c>
      <c r="B4415" s="0" t="str">
        <f aca="false">IF('הדבקת לידים'!B4415="","",IF(ISNUMBER('הדבקת לידים'!B4415),IF(הגדרות!$E$3&gt;0,TEXT('הדבקת לידים'!B4415,REPT("0",הגדרות!$E$3)),TEXT('הדבקת לידים'!B4415,"0")),TRIM('הדבקת לידים'!B4415)))</f>
        <v/>
      </c>
      <c r="C4415" s="0" t="n">
        <f aca="false">IF(OR(A4415&lt;&gt;"",B4415&lt;&gt;""),1,0)</f>
        <v>0</v>
      </c>
      <c r="D4415" s="0" t="str">
        <f aca="false">IF(C4415=1,MOD(ABS(SIN(ROW()*12.9898+'הדבקת לידים'!$F$2*78.233+IFERROR(--RIGHT(A4415,6),LEN(A4415))*0.0137+IFERROR(--RIGHT(B4415,6),LEN(B4415))*0.0071))*43758.5453,1),"")</f>
        <v/>
      </c>
      <c r="E4415" s="0" t="str">
        <f aca="false">IF(C4415=1,INT(MOD(ABS(SIN(D4415*7919.123+ROW()*0.618+'הדבקת לידים'!$F$2*1.3))*43758.5453,1)*1000000)*10000+ROW(),"")</f>
        <v/>
      </c>
      <c r="F4415" s="0" t="str">
        <f aca="false">IF(E4415="","",RANK(E4415,$E$2:$E$5001,1))</f>
        <v/>
      </c>
      <c r="G4415" s="0" t="n">
        <f aca="false">IF(A4415="",0,IF(SUMPRODUCT(--($A$2:$A$5001=A4415))&gt;1,1,0))</f>
        <v>0</v>
      </c>
      <c r="H4415" s="0" t="n">
        <f aca="false">ROW()-1</f>
        <v>4414</v>
      </c>
      <c r="I4415" s="0" t="str">
        <f aca="false">IF(OR(הגדרות!$E$6=0,H4415&gt;הגדרות!$E$5),"",IF(H4415-1&lt;הגדרות!$E$8*(הגדרות!$E$7+1),INT((H4415-1)/(הגדרות!$E$7+1)),הגדרות!$E$8+INT((H4415-1-הגדרות!$E$8*(הגדרות!$E$7+1))/הגדרות!$E$7)))</f>
        <v/>
      </c>
      <c r="J4415" s="0" t="str">
        <f aca="false">IF(I4415="","",IF(H4415-1&lt;הגדרות!$E$8*(הגדרות!$E$7+1),MOD(H4415-1,הגדרות!$E$7+1),MOD(H4415-1-הגדרות!$E$8*(הגדרות!$E$7+1),הגדרות!$E$7)))</f>
        <v/>
      </c>
      <c r="K4415" s="0" t="str">
        <f aca="false">IF(I4415="","",J4415*הגדרות!$E$6+I4415+1)</f>
        <v/>
      </c>
      <c r="L4415" s="0" t="str">
        <f aca="false">IF(K4415="","",MATCH(K4415,$F$2:$F$5001,0))</f>
        <v/>
      </c>
      <c r="M4415" s="0" t="str">
        <f aca="false">IF(I4415="","",INDEX(הגדרות!$A$2:$A$21,MOD(I4415+הגדרות!$E$9,הגדרות!$E$6)+1))</f>
        <v/>
      </c>
    </row>
    <row r="4416" customFormat="false" ht="15" hidden="false" customHeight="false" outlineLevel="0" collapsed="false">
      <c r="A4416" s="0" t="str">
        <f aca="false">IF('הדבקת לידים'!A4416="","",IF(ISNUMBER('הדבקת לידים'!A4416),IF(הגדרות!$E$2&gt;0,TEXT('הדבקת לידים'!A4416,REPT("0",הגדרות!$E$2)),TEXT('הדבקת לידים'!A4416,"0")),TRIM('הדבקת לידים'!A4416)))</f>
        <v/>
      </c>
      <c r="B4416" s="0" t="str">
        <f aca="false">IF('הדבקת לידים'!B4416="","",IF(ISNUMBER('הדבקת לידים'!B4416),IF(הגדרות!$E$3&gt;0,TEXT('הדבקת לידים'!B4416,REPT("0",הגדרות!$E$3)),TEXT('הדבקת לידים'!B4416,"0")),TRIM('הדבקת לידים'!B4416)))</f>
        <v/>
      </c>
      <c r="C4416" s="0" t="n">
        <f aca="false">IF(OR(A4416&lt;&gt;"",B4416&lt;&gt;""),1,0)</f>
        <v>0</v>
      </c>
      <c r="D4416" s="0" t="str">
        <f aca="false">IF(C4416=1,MOD(ABS(SIN(ROW()*12.9898+'הדבקת לידים'!$F$2*78.233+IFERROR(--RIGHT(A4416,6),LEN(A4416))*0.0137+IFERROR(--RIGHT(B4416,6),LEN(B4416))*0.0071))*43758.5453,1),"")</f>
        <v/>
      </c>
      <c r="E4416" s="0" t="str">
        <f aca="false">IF(C4416=1,INT(MOD(ABS(SIN(D4416*7919.123+ROW()*0.618+'הדבקת לידים'!$F$2*1.3))*43758.5453,1)*1000000)*10000+ROW(),"")</f>
        <v/>
      </c>
      <c r="F4416" s="0" t="str">
        <f aca="false">IF(E4416="","",RANK(E4416,$E$2:$E$5001,1))</f>
        <v/>
      </c>
      <c r="G4416" s="0" t="n">
        <f aca="false">IF(A4416="",0,IF(SUMPRODUCT(--($A$2:$A$5001=A4416))&gt;1,1,0))</f>
        <v>0</v>
      </c>
      <c r="H4416" s="0" t="n">
        <f aca="false">ROW()-1</f>
        <v>4415</v>
      </c>
      <c r="I4416" s="0" t="str">
        <f aca="false">IF(OR(הגדרות!$E$6=0,H4416&gt;הגדרות!$E$5),"",IF(H4416-1&lt;הגדרות!$E$8*(הגדרות!$E$7+1),INT((H4416-1)/(הגדרות!$E$7+1)),הגדרות!$E$8+INT((H4416-1-הגדרות!$E$8*(הגדרות!$E$7+1))/הגדרות!$E$7)))</f>
        <v/>
      </c>
      <c r="J4416" s="0" t="str">
        <f aca="false">IF(I4416="","",IF(H4416-1&lt;הגדרות!$E$8*(הגדרות!$E$7+1),MOD(H4416-1,הגדרות!$E$7+1),MOD(H4416-1-הגדרות!$E$8*(הגדרות!$E$7+1),הגדרות!$E$7)))</f>
        <v/>
      </c>
      <c r="K4416" s="0" t="str">
        <f aca="false">IF(I4416="","",J4416*הגדרות!$E$6+I4416+1)</f>
        <v/>
      </c>
      <c r="L4416" s="0" t="str">
        <f aca="false">IF(K4416="","",MATCH(K4416,$F$2:$F$5001,0))</f>
        <v/>
      </c>
      <c r="M4416" s="0" t="str">
        <f aca="false">IF(I4416="","",INDEX(הגדרות!$A$2:$A$21,MOD(I4416+הגדרות!$E$9,הגדרות!$E$6)+1))</f>
        <v/>
      </c>
    </row>
    <row r="4417" customFormat="false" ht="15" hidden="false" customHeight="false" outlineLevel="0" collapsed="false">
      <c r="A4417" s="0" t="str">
        <f aca="false">IF('הדבקת לידים'!A4417="","",IF(ISNUMBER('הדבקת לידים'!A4417),IF(הגדרות!$E$2&gt;0,TEXT('הדבקת לידים'!A4417,REPT("0",הגדרות!$E$2)),TEXT('הדבקת לידים'!A4417,"0")),TRIM('הדבקת לידים'!A4417)))</f>
        <v/>
      </c>
      <c r="B4417" s="0" t="str">
        <f aca="false">IF('הדבקת לידים'!B4417="","",IF(ISNUMBER('הדבקת לידים'!B4417),IF(הגדרות!$E$3&gt;0,TEXT('הדבקת לידים'!B4417,REPT("0",הגדרות!$E$3)),TEXT('הדבקת לידים'!B4417,"0")),TRIM('הדבקת לידים'!B4417)))</f>
        <v/>
      </c>
      <c r="C4417" s="0" t="n">
        <f aca="false">IF(OR(A4417&lt;&gt;"",B4417&lt;&gt;""),1,0)</f>
        <v>0</v>
      </c>
      <c r="D4417" s="0" t="str">
        <f aca="false">IF(C4417=1,MOD(ABS(SIN(ROW()*12.9898+'הדבקת לידים'!$F$2*78.233+IFERROR(--RIGHT(A4417,6),LEN(A4417))*0.0137+IFERROR(--RIGHT(B4417,6),LEN(B4417))*0.0071))*43758.5453,1),"")</f>
        <v/>
      </c>
      <c r="E4417" s="0" t="str">
        <f aca="false">IF(C4417=1,INT(MOD(ABS(SIN(D4417*7919.123+ROW()*0.618+'הדבקת לידים'!$F$2*1.3))*43758.5453,1)*1000000)*10000+ROW(),"")</f>
        <v/>
      </c>
      <c r="F4417" s="0" t="str">
        <f aca="false">IF(E4417="","",RANK(E4417,$E$2:$E$5001,1))</f>
        <v/>
      </c>
      <c r="G4417" s="0" t="n">
        <f aca="false">IF(A4417="",0,IF(SUMPRODUCT(--($A$2:$A$5001=A4417))&gt;1,1,0))</f>
        <v>0</v>
      </c>
      <c r="H4417" s="0" t="n">
        <f aca="false">ROW()-1</f>
        <v>4416</v>
      </c>
      <c r="I4417" s="0" t="str">
        <f aca="false">IF(OR(הגדרות!$E$6=0,H4417&gt;הגדרות!$E$5),"",IF(H4417-1&lt;הגדרות!$E$8*(הגדרות!$E$7+1),INT((H4417-1)/(הגדרות!$E$7+1)),הגדרות!$E$8+INT((H4417-1-הגדרות!$E$8*(הגדרות!$E$7+1))/הגדרות!$E$7)))</f>
        <v/>
      </c>
      <c r="J4417" s="0" t="str">
        <f aca="false">IF(I4417="","",IF(H4417-1&lt;הגדרות!$E$8*(הגדרות!$E$7+1),MOD(H4417-1,הגדרות!$E$7+1),MOD(H4417-1-הגדרות!$E$8*(הגדרות!$E$7+1),הגדרות!$E$7)))</f>
        <v/>
      </c>
      <c r="K4417" s="0" t="str">
        <f aca="false">IF(I4417="","",J4417*הגדרות!$E$6+I4417+1)</f>
        <v/>
      </c>
      <c r="L4417" s="0" t="str">
        <f aca="false">IF(K4417="","",MATCH(K4417,$F$2:$F$5001,0))</f>
        <v/>
      </c>
      <c r="M4417" s="0" t="str">
        <f aca="false">IF(I4417="","",INDEX(הגדרות!$A$2:$A$21,MOD(I4417+הגדרות!$E$9,הגדרות!$E$6)+1))</f>
        <v/>
      </c>
    </row>
    <row r="4418" customFormat="false" ht="15" hidden="false" customHeight="false" outlineLevel="0" collapsed="false">
      <c r="A4418" s="0" t="str">
        <f aca="false">IF('הדבקת לידים'!A4418="","",IF(ISNUMBER('הדבקת לידים'!A4418),IF(הגדרות!$E$2&gt;0,TEXT('הדבקת לידים'!A4418,REPT("0",הגדרות!$E$2)),TEXT('הדבקת לידים'!A4418,"0")),TRIM('הדבקת לידים'!A4418)))</f>
        <v/>
      </c>
      <c r="B4418" s="0" t="str">
        <f aca="false">IF('הדבקת לידים'!B4418="","",IF(ISNUMBER('הדבקת לידים'!B4418),IF(הגדרות!$E$3&gt;0,TEXT('הדבקת לידים'!B4418,REPT("0",הגדרות!$E$3)),TEXT('הדבקת לידים'!B4418,"0")),TRIM('הדבקת לידים'!B4418)))</f>
        <v/>
      </c>
      <c r="C4418" s="0" t="n">
        <f aca="false">IF(OR(A4418&lt;&gt;"",B4418&lt;&gt;""),1,0)</f>
        <v>0</v>
      </c>
      <c r="D4418" s="0" t="str">
        <f aca="false">IF(C4418=1,MOD(ABS(SIN(ROW()*12.9898+'הדבקת לידים'!$F$2*78.233+IFERROR(--RIGHT(A4418,6),LEN(A4418))*0.0137+IFERROR(--RIGHT(B4418,6),LEN(B4418))*0.0071))*43758.5453,1),"")</f>
        <v/>
      </c>
      <c r="E4418" s="0" t="str">
        <f aca="false">IF(C4418=1,INT(MOD(ABS(SIN(D4418*7919.123+ROW()*0.618+'הדבקת לידים'!$F$2*1.3))*43758.5453,1)*1000000)*10000+ROW(),"")</f>
        <v/>
      </c>
      <c r="F4418" s="0" t="str">
        <f aca="false">IF(E4418="","",RANK(E4418,$E$2:$E$5001,1))</f>
        <v/>
      </c>
      <c r="G4418" s="0" t="n">
        <f aca="false">IF(A4418="",0,IF(SUMPRODUCT(--($A$2:$A$5001=A4418))&gt;1,1,0))</f>
        <v>0</v>
      </c>
      <c r="H4418" s="0" t="n">
        <f aca="false">ROW()-1</f>
        <v>4417</v>
      </c>
      <c r="I4418" s="0" t="str">
        <f aca="false">IF(OR(הגדרות!$E$6=0,H4418&gt;הגדרות!$E$5),"",IF(H4418-1&lt;הגדרות!$E$8*(הגדרות!$E$7+1),INT((H4418-1)/(הגדרות!$E$7+1)),הגדרות!$E$8+INT((H4418-1-הגדרות!$E$8*(הגדרות!$E$7+1))/הגדרות!$E$7)))</f>
        <v/>
      </c>
      <c r="J4418" s="0" t="str">
        <f aca="false">IF(I4418="","",IF(H4418-1&lt;הגדרות!$E$8*(הגדרות!$E$7+1),MOD(H4418-1,הגדרות!$E$7+1),MOD(H4418-1-הגדרות!$E$8*(הגדרות!$E$7+1),הגדרות!$E$7)))</f>
        <v/>
      </c>
      <c r="K4418" s="0" t="str">
        <f aca="false">IF(I4418="","",J4418*הגדרות!$E$6+I4418+1)</f>
        <v/>
      </c>
      <c r="L4418" s="0" t="str">
        <f aca="false">IF(K4418="","",MATCH(K4418,$F$2:$F$5001,0))</f>
        <v/>
      </c>
      <c r="M4418" s="0" t="str">
        <f aca="false">IF(I4418="","",INDEX(הגדרות!$A$2:$A$21,MOD(I4418+הגדרות!$E$9,הגדרות!$E$6)+1))</f>
        <v/>
      </c>
    </row>
    <row r="4419" customFormat="false" ht="15" hidden="false" customHeight="false" outlineLevel="0" collapsed="false">
      <c r="A4419" s="0" t="str">
        <f aca="false">IF('הדבקת לידים'!A4419="","",IF(ISNUMBER('הדבקת לידים'!A4419),IF(הגדרות!$E$2&gt;0,TEXT('הדבקת לידים'!A4419,REPT("0",הגדרות!$E$2)),TEXT('הדבקת לידים'!A4419,"0")),TRIM('הדבקת לידים'!A4419)))</f>
        <v/>
      </c>
      <c r="B4419" s="0" t="str">
        <f aca="false">IF('הדבקת לידים'!B4419="","",IF(ISNUMBER('הדבקת לידים'!B4419),IF(הגדרות!$E$3&gt;0,TEXT('הדבקת לידים'!B4419,REPT("0",הגדרות!$E$3)),TEXT('הדבקת לידים'!B4419,"0")),TRIM('הדבקת לידים'!B4419)))</f>
        <v/>
      </c>
      <c r="C4419" s="0" t="n">
        <f aca="false">IF(OR(A4419&lt;&gt;"",B4419&lt;&gt;""),1,0)</f>
        <v>0</v>
      </c>
      <c r="D4419" s="0" t="str">
        <f aca="false">IF(C4419=1,MOD(ABS(SIN(ROW()*12.9898+'הדבקת לידים'!$F$2*78.233+IFERROR(--RIGHT(A4419,6),LEN(A4419))*0.0137+IFERROR(--RIGHT(B4419,6),LEN(B4419))*0.0071))*43758.5453,1),"")</f>
        <v/>
      </c>
      <c r="E4419" s="0" t="str">
        <f aca="false">IF(C4419=1,INT(MOD(ABS(SIN(D4419*7919.123+ROW()*0.618+'הדבקת לידים'!$F$2*1.3))*43758.5453,1)*1000000)*10000+ROW(),"")</f>
        <v/>
      </c>
      <c r="F4419" s="0" t="str">
        <f aca="false">IF(E4419="","",RANK(E4419,$E$2:$E$5001,1))</f>
        <v/>
      </c>
      <c r="G4419" s="0" t="n">
        <f aca="false">IF(A4419="",0,IF(SUMPRODUCT(--($A$2:$A$5001=A4419))&gt;1,1,0))</f>
        <v>0</v>
      </c>
      <c r="H4419" s="0" t="n">
        <f aca="false">ROW()-1</f>
        <v>4418</v>
      </c>
      <c r="I4419" s="0" t="str">
        <f aca="false">IF(OR(הגדרות!$E$6=0,H4419&gt;הגדרות!$E$5),"",IF(H4419-1&lt;הגדרות!$E$8*(הגדרות!$E$7+1),INT((H4419-1)/(הגדרות!$E$7+1)),הגדרות!$E$8+INT((H4419-1-הגדרות!$E$8*(הגדרות!$E$7+1))/הגדרות!$E$7)))</f>
        <v/>
      </c>
      <c r="J4419" s="0" t="str">
        <f aca="false">IF(I4419="","",IF(H4419-1&lt;הגדרות!$E$8*(הגדרות!$E$7+1),MOD(H4419-1,הגדרות!$E$7+1),MOD(H4419-1-הגדרות!$E$8*(הגדרות!$E$7+1),הגדרות!$E$7)))</f>
        <v/>
      </c>
      <c r="K4419" s="0" t="str">
        <f aca="false">IF(I4419="","",J4419*הגדרות!$E$6+I4419+1)</f>
        <v/>
      </c>
      <c r="L4419" s="0" t="str">
        <f aca="false">IF(K4419="","",MATCH(K4419,$F$2:$F$5001,0))</f>
        <v/>
      </c>
      <c r="M4419" s="0" t="str">
        <f aca="false">IF(I4419="","",INDEX(הגדרות!$A$2:$A$21,MOD(I4419+הגדרות!$E$9,הגדרות!$E$6)+1))</f>
        <v/>
      </c>
    </row>
    <row r="4420" customFormat="false" ht="15" hidden="false" customHeight="false" outlineLevel="0" collapsed="false">
      <c r="A4420" s="0" t="str">
        <f aca="false">IF('הדבקת לידים'!A4420="","",IF(ISNUMBER('הדבקת לידים'!A4420),IF(הגדרות!$E$2&gt;0,TEXT('הדבקת לידים'!A4420,REPT("0",הגדרות!$E$2)),TEXT('הדבקת לידים'!A4420,"0")),TRIM('הדבקת לידים'!A4420)))</f>
        <v/>
      </c>
      <c r="B4420" s="0" t="str">
        <f aca="false">IF('הדבקת לידים'!B4420="","",IF(ISNUMBER('הדבקת לידים'!B4420),IF(הגדרות!$E$3&gt;0,TEXT('הדבקת לידים'!B4420,REPT("0",הגדרות!$E$3)),TEXT('הדבקת לידים'!B4420,"0")),TRIM('הדבקת לידים'!B4420)))</f>
        <v/>
      </c>
      <c r="C4420" s="0" t="n">
        <f aca="false">IF(OR(A4420&lt;&gt;"",B4420&lt;&gt;""),1,0)</f>
        <v>0</v>
      </c>
      <c r="D4420" s="0" t="str">
        <f aca="false">IF(C4420=1,MOD(ABS(SIN(ROW()*12.9898+'הדבקת לידים'!$F$2*78.233+IFERROR(--RIGHT(A4420,6),LEN(A4420))*0.0137+IFERROR(--RIGHT(B4420,6),LEN(B4420))*0.0071))*43758.5453,1),"")</f>
        <v/>
      </c>
      <c r="E4420" s="0" t="str">
        <f aca="false">IF(C4420=1,INT(MOD(ABS(SIN(D4420*7919.123+ROW()*0.618+'הדבקת לידים'!$F$2*1.3))*43758.5453,1)*1000000)*10000+ROW(),"")</f>
        <v/>
      </c>
      <c r="F4420" s="0" t="str">
        <f aca="false">IF(E4420="","",RANK(E4420,$E$2:$E$5001,1))</f>
        <v/>
      </c>
      <c r="G4420" s="0" t="n">
        <f aca="false">IF(A4420="",0,IF(SUMPRODUCT(--($A$2:$A$5001=A4420))&gt;1,1,0))</f>
        <v>0</v>
      </c>
      <c r="H4420" s="0" t="n">
        <f aca="false">ROW()-1</f>
        <v>4419</v>
      </c>
      <c r="I4420" s="0" t="str">
        <f aca="false">IF(OR(הגדרות!$E$6=0,H4420&gt;הגדרות!$E$5),"",IF(H4420-1&lt;הגדרות!$E$8*(הגדרות!$E$7+1),INT((H4420-1)/(הגדרות!$E$7+1)),הגדרות!$E$8+INT((H4420-1-הגדרות!$E$8*(הגדרות!$E$7+1))/הגדרות!$E$7)))</f>
        <v/>
      </c>
      <c r="J4420" s="0" t="str">
        <f aca="false">IF(I4420="","",IF(H4420-1&lt;הגדרות!$E$8*(הגדרות!$E$7+1),MOD(H4420-1,הגדרות!$E$7+1),MOD(H4420-1-הגדרות!$E$8*(הגדרות!$E$7+1),הגדרות!$E$7)))</f>
        <v/>
      </c>
      <c r="K4420" s="0" t="str">
        <f aca="false">IF(I4420="","",J4420*הגדרות!$E$6+I4420+1)</f>
        <v/>
      </c>
      <c r="L4420" s="0" t="str">
        <f aca="false">IF(K4420="","",MATCH(K4420,$F$2:$F$5001,0))</f>
        <v/>
      </c>
      <c r="M4420" s="0" t="str">
        <f aca="false">IF(I4420="","",INDEX(הגדרות!$A$2:$A$21,MOD(I4420+הגדרות!$E$9,הגדרות!$E$6)+1))</f>
        <v/>
      </c>
    </row>
    <row r="4421" customFormat="false" ht="15" hidden="false" customHeight="false" outlineLevel="0" collapsed="false">
      <c r="A4421" s="0" t="str">
        <f aca="false">IF('הדבקת לידים'!A4421="","",IF(ISNUMBER('הדבקת לידים'!A4421),IF(הגדרות!$E$2&gt;0,TEXT('הדבקת לידים'!A4421,REPT("0",הגדרות!$E$2)),TEXT('הדבקת לידים'!A4421,"0")),TRIM('הדבקת לידים'!A4421)))</f>
        <v/>
      </c>
      <c r="B4421" s="0" t="str">
        <f aca="false">IF('הדבקת לידים'!B4421="","",IF(ISNUMBER('הדבקת לידים'!B4421),IF(הגדרות!$E$3&gt;0,TEXT('הדבקת לידים'!B4421,REPT("0",הגדרות!$E$3)),TEXT('הדבקת לידים'!B4421,"0")),TRIM('הדבקת לידים'!B4421)))</f>
        <v/>
      </c>
      <c r="C4421" s="0" t="n">
        <f aca="false">IF(OR(A4421&lt;&gt;"",B4421&lt;&gt;""),1,0)</f>
        <v>0</v>
      </c>
      <c r="D4421" s="0" t="str">
        <f aca="false">IF(C4421=1,MOD(ABS(SIN(ROW()*12.9898+'הדבקת לידים'!$F$2*78.233+IFERROR(--RIGHT(A4421,6),LEN(A4421))*0.0137+IFERROR(--RIGHT(B4421,6),LEN(B4421))*0.0071))*43758.5453,1),"")</f>
        <v/>
      </c>
      <c r="E4421" s="0" t="str">
        <f aca="false">IF(C4421=1,INT(MOD(ABS(SIN(D4421*7919.123+ROW()*0.618+'הדבקת לידים'!$F$2*1.3))*43758.5453,1)*1000000)*10000+ROW(),"")</f>
        <v/>
      </c>
      <c r="F4421" s="0" t="str">
        <f aca="false">IF(E4421="","",RANK(E4421,$E$2:$E$5001,1))</f>
        <v/>
      </c>
      <c r="G4421" s="0" t="n">
        <f aca="false">IF(A4421="",0,IF(SUMPRODUCT(--($A$2:$A$5001=A4421))&gt;1,1,0))</f>
        <v>0</v>
      </c>
      <c r="H4421" s="0" t="n">
        <f aca="false">ROW()-1</f>
        <v>4420</v>
      </c>
      <c r="I4421" s="0" t="str">
        <f aca="false">IF(OR(הגדרות!$E$6=0,H4421&gt;הגדרות!$E$5),"",IF(H4421-1&lt;הגדרות!$E$8*(הגדרות!$E$7+1),INT((H4421-1)/(הגדרות!$E$7+1)),הגדרות!$E$8+INT((H4421-1-הגדרות!$E$8*(הגדרות!$E$7+1))/הגדרות!$E$7)))</f>
        <v/>
      </c>
      <c r="J4421" s="0" t="str">
        <f aca="false">IF(I4421="","",IF(H4421-1&lt;הגדרות!$E$8*(הגדרות!$E$7+1),MOD(H4421-1,הגדרות!$E$7+1),MOD(H4421-1-הגדרות!$E$8*(הגדרות!$E$7+1),הגדרות!$E$7)))</f>
        <v/>
      </c>
      <c r="K4421" s="0" t="str">
        <f aca="false">IF(I4421="","",J4421*הגדרות!$E$6+I4421+1)</f>
        <v/>
      </c>
      <c r="L4421" s="0" t="str">
        <f aca="false">IF(K4421="","",MATCH(K4421,$F$2:$F$5001,0))</f>
        <v/>
      </c>
      <c r="M4421" s="0" t="str">
        <f aca="false">IF(I4421="","",INDEX(הגדרות!$A$2:$A$21,MOD(I4421+הגדרות!$E$9,הגדרות!$E$6)+1))</f>
        <v/>
      </c>
    </row>
    <row r="4422" customFormat="false" ht="15" hidden="false" customHeight="false" outlineLevel="0" collapsed="false">
      <c r="A4422" s="0" t="str">
        <f aca="false">IF('הדבקת לידים'!A4422="","",IF(ISNUMBER('הדבקת לידים'!A4422),IF(הגדרות!$E$2&gt;0,TEXT('הדבקת לידים'!A4422,REPT("0",הגדרות!$E$2)),TEXT('הדבקת לידים'!A4422,"0")),TRIM('הדבקת לידים'!A4422)))</f>
        <v/>
      </c>
      <c r="B4422" s="0" t="str">
        <f aca="false">IF('הדבקת לידים'!B4422="","",IF(ISNUMBER('הדבקת לידים'!B4422),IF(הגדרות!$E$3&gt;0,TEXT('הדבקת לידים'!B4422,REPT("0",הגדרות!$E$3)),TEXT('הדבקת לידים'!B4422,"0")),TRIM('הדבקת לידים'!B4422)))</f>
        <v/>
      </c>
      <c r="C4422" s="0" t="n">
        <f aca="false">IF(OR(A4422&lt;&gt;"",B4422&lt;&gt;""),1,0)</f>
        <v>0</v>
      </c>
      <c r="D4422" s="0" t="str">
        <f aca="false">IF(C4422=1,MOD(ABS(SIN(ROW()*12.9898+'הדבקת לידים'!$F$2*78.233+IFERROR(--RIGHT(A4422,6),LEN(A4422))*0.0137+IFERROR(--RIGHT(B4422,6),LEN(B4422))*0.0071))*43758.5453,1),"")</f>
        <v/>
      </c>
      <c r="E4422" s="0" t="str">
        <f aca="false">IF(C4422=1,INT(MOD(ABS(SIN(D4422*7919.123+ROW()*0.618+'הדבקת לידים'!$F$2*1.3))*43758.5453,1)*1000000)*10000+ROW(),"")</f>
        <v/>
      </c>
      <c r="F4422" s="0" t="str">
        <f aca="false">IF(E4422="","",RANK(E4422,$E$2:$E$5001,1))</f>
        <v/>
      </c>
      <c r="G4422" s="0" t="n">
        <f aca="false">IF(A4422="",0,IF(SUMPRODUCT(--($A$2:$A$5001=A4422))&gt;1,1,0))</f>
        <v>0</v>
      </c>
      <c r="H4422" s="0" t="n">
        <f aca="false">ROW()-1</f>
        <v>4421</v>
      </c>
      <c r="I4422" s="0" t="str">
        <f aca="false">IF(OR(הגדרות!$E$6=0,H4422&gt;הגדרות!$E$5),"",IF(H4422-1&lt;הגדרות!$E$8*(הגדרות!$E$7+1),INT((H4422-1)/(הגדרות!$E$7+1)),הגדרות!$E$8+INT((H4422-1-הגדרות!$E$8*(הגדרות!$E$7+1))/הגדרות!$E$7)))</f>
        <v/>
      </c>
      <c r="J4422" s="0" t="str">
        <f aca="false">IF(I4422="","",IF(H4422-1&lt;הגדרות!$E$8*(הגדרות!$E$7+1),MOD(H4422-1,הגדרות!$E$7+1),MOD(H4422-1-הגדרות!$E$8*(הגדרות!$E$7+1),הגדרות!$E$7)))</f>
        <v/>
      </c>
      <c r="K4422" s="0" t="str">
        <f aca="false">IF(I4422="","",J4422*הגדרות!$E$6+I4422+1)</f>
        <v/>
      </c>
      <c r="L4422" s="0" t="str">
        <f aca="false">IF(K4422="","",MATCH(K4422,$F$2:$F$5001,0))</f>
        <v/>
      </c>
      <c r="M4422" s="0" t="str">
        <f aca="false">IF(I4422="","",INDEX(הגדרות!$A$2:$A$21,MOD(I4422+הגדרות!$E$9,הגדרות!$E$6)+1))</f>
        <v/>
      </c>
    </row>
    <row r="4423" customFormat="false" ht="15" hidden="false" customHeight="false" outlineLevel="0" collapsed="false">
      <c r="A4423" s="0" t="str">
        <f aca="false">IF('הדבקת לידים'!A4423="","",IF(ISNUMBER('הדבקת לידים'!A4423),IF(הגדרות!$E$2&gt;0,TEXT('הדבקת לידים'!A4423,REPT("0",הגדרות!$E$2)),TEXT('הדבקת לידים'!A4423,"0")),TRIM('הדבקת לידים'!A4423)))</f>
        <v/>
      </c>
      <c r="B4423" s="0" t="str">
        <f aca="false">IF('הדבקת לידים'!B4423="","",IF(ISNUMBER('הדבקת לידים'!B4423),IF(הגדרות!$E$3&gt;0,TEXT('הדבקת לידים'!B4423,REPT("0",הגדרות!$E$3)),TEXT('הדבקת לידים'!B4423,"0")),TRIM('הדבקת לידים'!B4423)))</f>
        <v/>
      </c>
      <c r="C4423" s="0" t="n">
        <f aca="false">IF(OR(A4423&lt;&gt;"",B4423&lt;&gt;""),1,0)</f>
        <v>0</v>
      </c>
      <c r="D4423" s="0" t="str">
        <f aca="false">IF(C4423=1,MOD(ABS(SIN(ROW()*12.9898+'הדבקת לידים'!$F$2*78.233+IFERROR(--RIGHT(A4423,6),LEN(A4423))*0.0137+IFERROR(--RIGHT(B4423,6),LEN(B4423))*0.0071))*43758.5453,1),"")</f>
        <v/>
      </c>
      <c r="E4423" s="0" t="str">
        <f aca="false">IF(C4423=1,INT(MOD(ABS(SIN(D4423*7919.123+ROW()*0.618+'הדבקת לידים'!$F$2*1.3))*43758.5453,1)*1000000)*10000+ROW(),"")</f>
        <v/>
      </c>
      <c r="F4423" s="0" t="str">
        <f aca="false">IF(E4423="","",RANK(E4423,$E$2:$E$5001,1))</f>
        <v/>
      </c>
      <c r="G4423" s="0" t="n">
        <f aca="false">IF(A4423="",0,IF(SUMPRODUCT(--($A$2:$A$5001=A4423))&gt;1,1,0))</f>
        <v>0</v>
      </c>
      <c r="H4423" s="0" t="n">
        <f aca="false">ROW()-1</f>
        <v>4422</v>
      </c>
      <c r="I4423" s="0" t="str">
        <f aca="false">IF(OR(הגדרות!$E$6=0,H4423&gt;הגדרות!$E$5),"",IF(H4423-1&lt;הגדרות!$E$8*(הגדרות!$E$7+1),INT((H4423-1)/(הגדרות!$E$7+1)),הגדרות!$E$8+INT((H4423-1-הגדרות!$E$8*(הגדרות!$E$7+1))/הגדרות!$E$7)))</f>
        <v/>
      </c>
      <c r="J4423" s="0" t="str">
        <f aca="false">IF(I4423="","",IF(H4423-1&lt;הגדרות!$E$8*(הגדרות!$E$7+1),MOD(H4423-1,הגדרות!$E$7+1),MOD(H4423-1-הגדרות!$E$8*(הגדרות!$E$7+1),הגדרות!$E$7)))</f>
        <v/>
      </c>
      <c r="K4423" s="0" t="str">
        <f aca="false">IF(I4423="","",J4423*הגדרות!$E$6+I4423+1)</f>
        <v/>
      </c>
      <c r="L4423" s="0" t="str">
        <f aca="false">IF(K4423="","",MATCH(K4423,$F$2:$F$5001,0))</f>
        <v/>
      </c>
      <c r="M4423" s="0" t="str">
        <f aca="false">IF(I4423="","",INDEX(הגדרות!$A$2:$A$21,MOD(I4423+הגדרות!$E$9,הגדרות!$E$6)+1))</f>
        <v/>
      </c>
    </row>
    <row r="4424" customFormat="false" ht="15" hidden="false" customHeight="false" outlineLevel="0" collapsed="false">
      <c r="A4424" s="0" t="str">
        <f aca="false">IF('הדבקת לידים'!A4424="","",IF(ISNUMBER('הדבקת לידים'!A4424),IF(הגדרות!$E$2&gt;0,TEXT('הדבקת לידים'!A4424,REPT("0",הגדרות!$E$2)),TEXT('הדבקת לידים'!A4424,"0")),TRIM('הדבקת לידים'!A4424)))</f>
        <v/>
      </c>
      <c r="B4424" s="0" t="str">
        <f aca="false">IF('הדבקת לידים'!B4424="","",IF(ISNUMBER('הדבקת לידים'!B4424),IF(הגדרות!$E$3&gt;0,TEXT('הדבקת לידים'!B4424,REPT("0",הגדרות!$E$3)),TEXT('הדבקת לידים'!B4424,"0")),TRIM('הדבקת לידים'!B4424)))</f>
        <v/>
      </c>
      <c r="C4424" s="0" t="n">
        <f aca="false">IF(OR(A4424&lt;&gt;"",B4424&lt;&gt;""),1,0)</f>
        <v>0</v>
      </c>
      <c r="D4424" s="0" t="str">
        <f aca="false">IF(C4424=1,MOD(ABS(SIN(ROW()*12.9898+'הדבקת לידים'!$F$2*78.233+IFERROR(--RIGHT(A4424,6),LEN(A4424))*0.0137+IFERROR(--RIGHT(B4424,6),LEN(B4424))*0.0071))*43758.5453,1),"")</f>
        <v/>
      </c>
      <c r="E4424" s="0" t="str">
        <f aca="false">IF(C4424=1,INT(MOD(ABS(SIN(D4424*7919.123+ROW()*0.618+'הדבקת לידים'!$F$2*1.3))*43758.5453,1)*1000000)*10000+ROW(),"")</f>
        <v/>
      </c>
      <c r="F4424" s="0" t="str">
        <f aca="false">IF(E4424="","",RANK(E4424,$E$2:$E$5001,1))</f>
        <v/>
      </c>
      <c r="G4424" s="0" t="n">
        <f aca="false">IF(A4424="",0,IF(SUMPRODUCT(--($A$2:$A$5001=A4424))&gt;1,1,0))</f>
        <v>0</v>
      </c>
      <c r="H4424" s="0" t="n">
        <f aca="false">ROW()-1</f>
        <v>4423</v>
      </c>
      <c r="I4424" s="0" t="str">
        <f aca="false">IF(OR(הגדרות!$E$6=0,H4424&gt;הגדרות!$E$5),"",IF(H4424-1&lt;הגדרות!$E$8*(הגדרות!$E$7+1),INT((H4424-1)/(הגדרות!$E$7+1)),הגדרות!$E$8+INT((H4424-1-הגדרות!$E$8*(הגדרות!$E$7+1))/הגדרות!$E$7)))</f>
        <v/>
      </c>
      <c r="J4424" s="0" t="str">
        <f aca="false">IF(I4424="","",IF(H4424-1&lt;הגדרות!$E$8*(הגדרות!$E$7+1),MOD(H4424-1,הגדרות!$E$7+1),MOD(H4424-1-הגדרות!$E$8*(הגדרות!$E$7+1),הגדרות!$E$7)))</f>
        <v/>
      </c>
      <c r="K4424" s="0" t="str">
        <f aca="false">IF(I4424="","",J4424*הגדרות!$E$6+I4424+1)</f>
        <v/>
      </c>
      <c r="L4424" s="0" t="str">
        <f aca="false">IF(K4424="","",MATCH(K4424,$F$2:$F$5001,0))</f>
        <v/>
      </c>
      <c r="M4424" s="0" t="str">
        <f aca="false">IF(I4424="","",INDEX(הגדרות!$A$2:$A$21,MOD(I4424+הגדרות!$E$9,הגדרות!$E$6)+1))</f>
        <v/>
      </c>
    </row>
    <row r="4425" customFormat="false" ht="15" hidden="false" customHeight="false" outlineLevel="0" collapsed="false">
      <c r="A4425" s="0" t="str">
        <f aca="false">IF('הדבקת לידים'!A4425="","",IF(ISNUMBER('הדבקת לידים'!A4425),IF(הגדרות!$E$2&gt;0,TEXT('הדבקת לידים'!A4425,REPT("0",הגדרות!$E$2)),TEXT('הדבקת לידים'!A4425,"0")),TRIM('הדבקת לידים'!A4425)))</f>
        <v/>
      </c>
      <c r="B4425" s="0" t="str">
        <f aca="false">IF('הדבקת לידים'!B4425="","",IF(ISNUMBER('הדבקת לידים'!B4425),IF(הגדרות!$E$3&gt;0,TEXT('הדבקת לידים'!B4425,REPT("0",הגדרות!$E$3)),TEXT('הדבקת לידים'!B4425,"0")),TRIM('הדבקת לידים'!B4425)))</f>
        <v/>
      </c>
      <c r="C4425" s="0" t="n">
        <f aca="false">IF(OR(A4425&lt;&gt;"",B4425&lt;&gt;""),1,0)</f>
        <v>0</v>
      </c>
      <c r="D4425" s="0" t="str">
        <f aca="false">IF(C4425=1,MOD(ABS(SIN(ROW()*12.9898+'הדבקת לידים'!$F$2*78.233+IFERROR(--RIGHT(A4425,6),LEN(A4425))*0.0137+IFERROR(--RIGHT(B4425,6),LEN(B4425))*0.0071))*43758.5453,1),"")</f>
        <v/>
      </c>
      <c r="E4425" s="0" t="str">
        <f aca="false">IF(C4425=1,INT(MOD(ABS(SIN(D4425*7919.123+ROW()*0.618+'הדבקת לידים'!$F$2*1.3))*43758.5453,1)*1000000)*10000+ROW(),"")</f>
        <v/>
      </c>
      <c r="F4425" s="0" t="str">
        <f aca="false">IF(E4425="","",RANK(E4425,$E$2:$E$5001,1))</f>
        <v/>
      </c>
      <c r="G4425" s="0" t="n">
        <f aca="false">IF(A4425="",0,IF(SUMPRODUCT(--($A$2:$A$5001=A4425))&gt;1,1,0))</f>
        <v>0</v>
      </c>
      <c r="H4425" s="0" t="n">
        <f aca="false">ROW()-1</f>
        <v>4424</v>
      </c>
      <c r="I4425" s="0" t="str">
        <f aca="false">IF(OR(הגדרות!$E$6=0,H4425&gt;הגדרות!$E$5),"",IF(H4425-1&lt;הגדרות!$E$8*(הגדרות!$E$7+1),INT((H4425-1)/(הגדרות!$E$7+1)),הגדרות!$E$8+INT((H4425-1-הגדרות!$E$8*(הגדרות!$E$7+1))/הגדרות!$E$7)))</f>
        <v/>
      </c>
      <c r="J4425" s="0" t="str">
        <f aca="false">IF(I4425="","",IF(H4425-1&lt;הגדרות!$E$8*(הגדרות!$E$7+1),MOD(H4425-1,הגדרות!$E$7+1),MOD(H4425-1-הגדרות!$E$8*(הגדרות!$E$7+1),הגדרות!$E$7)))</f>
        <v/>
      </c>
      <c r="K4425" s="0" t="str">
        <f aca="false">IF(I4425="","",J4425*הגדרות!$E$6+I4425+1)</f>
        <v/>
      </c>
      <c r="L4425" s="0" t="str">
        <f aca="false">IF(K4425="","",MATCH(K4425,$F$2:$F$5001,0))</f>
        <v/>
      </c>
      <c r="M4425" s="0" t="str">
        <f aca="false">IF(I4425="","",INDEX(הגדרות!$A$2:$A$21,MOD(I4425+הגדרות!$E$9,הגדרות!$E$6)+1))</f>
        <v/>
      </c>
    </row>
    <row r="4426" customFormat="false" ht="15" hidden="false" customHeight="false" outlineLevel="0" collapsed="false">
      <c r="A4426" s="0" t="str">
        <f aca="false">IF('הדבקת לידים'!A4426="","",IF(ISNUMBER('הדבקת לידים'!A4426),IF(הגדרות!$E$2&gt;0,TEXT('הדבקת לידים'!A4426,REPT("0",הגדרות!$E$2)),TEXT('הדבקת לידים'!A4426,"0")),TRIM('הדבקת לידים'!A4426)))</f>
        <v/>
      </c>
      <c r="B4426" s="0" t="str">
        <f aca="false">IF('הדבקת לידים'!B4426="","",IF(ISNUMBER('הדבקת לידים'!B4426),IF(הגדרות!$E$3&gt;0,TEXT('הדבקת לידים'!B4426,REPT("0",הגדרות!$E$3)),TEXT('הדבקת לידים'!B4426,"0")),TRIM('הדבקת לידים'!B4426)))</f>
        <v/>
      </c>
      <c r="C4426" s="0" t="n">
        <f aca="false">IF(OR(A4426&lt;&gt;"",B4426&lt;&gt;""),1,0)</f>
        <v>0</v>
      </c>
      <c r="D4426" s="0" t="str">
        <f aca="false">IF(C4426=1,MOD(ABS(SIN(ROW()*12.9898+'הדבקת לידים'!$F$2*78.233+IFERROR(--RIGHT(A4426,6),LEN(A4426))*0.0137+IFERROR(--RIGHT(B4426,6),LEN(B4426))*0.0071))*43758.5453,1),"")</f>
        <v/>
      </c>
      <c r="E4426" s="0" t="str">
        <f aca="false">IF(C4426=1,INT(MOD(ABS(SIN(D4426*7919.123+ROW()*0.618+'הדבקת לידים'!$F$2*1.3))*43758.5453,1)*1000000)*10000+ROW(),"")</f>
        <v/>
      </c>
      <c r="F4426" s="0" t="str">
        <f aca="false">IF(E4426="","",RANK(E4426,$E$2:$E$5001,1))</f>
        <v/>
      </c>
      <c r="G4426" s="0" t="n">
        <f aca="false">IF(A4426="",0,IF(SUMPRODUCT(--($A$2:$A$5001=A4426))&gt;1,1,0))</f>
        <v>0</v>
      </c>
      <c r="H4426" s="0" t="n">
        <f aca="false">ROW()-1</f>
        <v>4425</v>
      </c>
      <c r="I4426" s="0" t="str">
        <f aca="false">IF(OR(הגדרות!$E$6=0,H4426&gt;הגדרות!$E$5),"",IF(H4426-1&lt;הגדרות!$E$8*(הגדרות!$E$7+1),INT((H4426-1)/(הגדרות!$E$7+1)),הגדרות!$E$8+INT((H4426-1-הגדרות!$E$8*(הגדרות!$E$7+1))/הגדרות!$E$7)))</f>
        <v/>
      </c>
      <c r="J4426" s="0" t="str">
        <f aca="false">IF(I4426="","",IF(H4426-1&lt;הגדרות!$E$8*(הגדרות!$E$7+1),MOD(H4426-1,הגדרות!$E$7+1),MOD(H4426-1-הגדרות!$E$8*(הגדרות!$E$7+1),הגדרות!$E$7)))</f>
        <v/>
      </c>
      <c r="K4426" s="0" t="str">
        <f aca="false">IF(I4426="","",J4426*הגדרות!$E$6+I4426+1)</f>
        <v/>
      </c>
      <c r="L4426" s="0" t="str">
        <f aca="false">IF(K4426="","",MATCH(K4426,$F$2:$F$5001,0))</f>
        <v/>
      </c>
      <c r="M4426" s="0" t="str">
        <f aca="false">IF(I4426="","",INDEX(הגדרות!$A$2:$A$21,MOD(I4426+הגדרות!$E$9,הגדרות!$E$6)+1))</f>
        <v/>
      </c>
    </row>
    <row r="4427" customFormat="false" ht="15" hidden="false" customHeight="false" outlineLevel="0" collapsed="false">
      <c r="A4427" s="0" t="str">
        <f aca="false">IF('הדבקת לידים'!A4427="","",IF(ISNUMBER('הדבקת לידים'!A4427),IF(הגדרות!$E$2&gt;0,TEXT('הדבקת לידים'!A4427,REPT("0",הגדרות!$E$2)),TEXT('הדבקת לידים'!A4427,"0")),TRIM('הדבקת לידים'!A4427)))</f>
        <v/>
      </c>
      <c r="B4427" s="0" t="str">
        <f aca="false">IF('הדבקת לידים'!B4427="","",IF(ISNUMBER('הדבקת לידים'!B4427),IF(הגדרות!$E$3&gt;0,TEXT('הדבקת לידים'!B4427,REPT("0",הגדרות!$E$3)),TEXT('הדבקת לידים'!B4427,"0")),TRIM('הדבקת לידים'!B4427)))</f>
        <v/>
      </c>
      <c r="C4427" s="0" t="n">
        <f aca="false">IF(OR(A4427&lt;&gt;"",B4427&lt;&gt;""),1,0)</f>
        <v>0</v>
      </c>
      <c r="D4427" s="0" t="str">
        <f aca="false">IF(C4427=1,MOD(ABS(SIN(ROW()*12.9898+'הדבקת לידים'!$F$2*78.233+IFERROR(--RIGHT(A4427,6),LEN(A4427))*0.0137+IFERROR(--RIGHT(B4427,6),LEN(B4427))*0.0071))*43758.5453,1),"")</f>
        <v/>
      </c>
      <c r="E4427" s="0" t="str">
        <f aca="false">IF(C4427=1,INT(MOD(ABS(SIN(D4427*7919.123+ROW()*0.618+'הדבקת לידים'!$F$2*1.3))*43758.5453,1)*1000000)*10000+ROW(),"")</f>
        <v/>
      </c>
      <c r="F4427" s="0" t="str">
        <f aca="false">IF(E4427="","",RANK(E4427,$E$2:$E$5001,1))</f>
        <v/>
      </c>
      <c r="G4427" s="0" t="n">
        <f aca="false">IF(A4427="",0,IF(SUMPRODUCT(--($A$2:$A$5001=A4427))&gt;1,1,0))</f>
        <v>0</v>
      </c>
      <c r="H4427" s="0" t="n">
        <f aca="false">ROW()-1</f>
        <v>4426</v>
      </c>
      <c r="I4427" s="0" t="str">
        <f aca="false">IF(OR(הגדרות!$E$6=0,H4427&gt;הגדרות!$E$5),"",IF(H4427-1&lt;הגדרות!$E$8*(הגדרות!$E$7+1),INT((H4427-1)/(הגדרות!$E$7+1)),הגדרות!$E$8+INT((H4427-1-הגדרות!$E$8*(הגדרות!$E$7+1))/הגדרות!$E$7)))</f>
        <v/>
      </c>
      <c r="J4427" s="0" t="str">
        <f aca="false">IF(I4427="","",IF(H4427-1&lt;הגדרות!$E$8*(הגדרות!$E$7+1),MOD(H4427-1,הגדרות!$E$7+1),MOD(H4427-1-הגדרות!$E$8*(הגדרות!$E$7+1),הגדרות!$E$7)))</f>
        <v/>
      </c>
      <c r="K4427" s="0" t="str">
        <f aca="false">IF(I4427="","",J4427*הגדרות!$E$6+I4427+1)</f>
        <v/>
      </c>
      <c r="L4427" s="0" t="str">
        <f aca="false">IF(K4427="","",MATCH(K4427,$F$2:$F$5001,0))</f>
        <v/>
      </c>
      <c r="M4427" s="0" t="str">
        <f aca="false">IF(I4427="","",INDEX(הגדרות!$A$2:$A$21,MOD(I4427+הגדרות!$E$9,הגדרות!$E$6)+1))</f>
        <v/>
      </c>
    </row>
    <row r="4428" customFormat="false" ht="15" hidden="false" customHeight="false" outlineLevel="0" collapsed="false">
      <c r="A4428" s="0" t="str">
        <f aca="false">IF('הדבקת לידים'!A4428="","",IF(ISNUMBER('הדבקת לידים'!A4428),IF(הגדרות!$E$2&gt;0,TEXT('הדבקת לידים'!A4428,REPT("0",הגדרות!$E$2)),TEXT('הדבקת לידים'!A4428,"0")),TRIM('הדבקת לידים'!A4428)))</f>
        <v/>
      </c>
      <c r="B4428" s="0" t="str">
        <f aca="false">IF('הדבקת לידים'!B4428="","",IF(ISNUMBER('הדבקת לידים'!B4428),IF(הגדרות!$E$3&gt;0,TEXT('הדבקת לידים'!B4428,REPT("0",הגדרות!$E$3)),TEXT('הדבקת לידים'!B4428,"0")),TRIM('הדבקת לידים'!B4428)))</f>
        <v/>
      </c>
      <c r="C4428" s="0" t="n">
        <f aca="false">IF(OR(A4428&lt;&gt;"",B4428&lt;&gt;""),1,0)</f>
        <v>0</v>
      </c>
      <c r="D4428" s="0" t="str">
        <f aca="false">IF(C4428=1,MOD(ABS(SIN(ROW()*12.9898+'הדבקת לידים'!$F$2*78.233+IFERROR(--RIGHT(A4428,6),LEN(A4428))*0.0137+IFERROR(--RIGHT(B4428,6),LEN(B4428))*0.0071))*43758.5453,1),"")</f>
        <v/>
      </c>
      <c r="E4428" s="0" t="str">
        <f aca="false">IF(C4428=1,INT(MOD(ABS(SIN(D4428*7919.123+ROW()*0.618+'הדבקת לידים'!$F$2*1.3))*43758.5453,1)*1000000)*10000+ROW(),"")</f>
        <v/>
      </c>
      <c r="F4428" s="0" t="str">
        <f aca="false">IF(E4428="","",RANK(E4428,$E$2:$E$5001,1))</f>
        <v/>
      </c>
      <c r="G4428" s="0" t="n">
        <f aca="false">IF(A4428="",0,IF(SUMPRODUCT(--($A$2:$A$5001=A4428))&gt;1,1,0))</f>
        <v>0</v>
      </c>
      <c r="H4428" s="0" t="n">
        <f aca="false">ROW()-1</f>
        <v>4427</v>
      </c>
      <c r="I4428" s="0" t="str">
        <f aca="false">IF(OR(הגדרות!$E$6=0,H4428&gt;הגדרות!$E$5),"",IF(H4428-1&lt;הגדרות!$E$8*(הגדרות!$E$7+1),INT((H4428-1)/(הגדרות!$E$7+1)),הגדרות!$E$8+INT((H4428-1-הגדרות!$E$8*(הגדרות!$E$7+1))/הגדרות!$E$7)))</f>
        <v/>
      </c>
      <c r="J4428" s="0" t="str">
        <f aca="false">IF(I4428="","",IF(H4428-1&lt;הגדרות!$E$8*(הגדרות!$E$7+1),MOD(H4428-1,הגדרות!$E$7+1),MOD(H4428-1-הגדרות!$E$8*(הגדרות!$E$7+1),הגדרות!$E$7)))</f>
        <v/>
      </c>
      <c r="K4428" s="0" t="str">
        <f aca="false">IF(I4428="","",J4428*הגדרות!$E$6+I4428+1)</f>
        <v/>
      </c>
      <c r="L4428" s="0" t="str">
        <f aca="false">IF(K4428="","",MATCH(K4428,$F$2:$F$5001,0))</f>
        <v/>
      </c>
      <c r="M4428" s="0" t="str">
        <f aca="false">IF(I4428="","",INDEX(הגדרות!$A$2:$A$21,MOD(I4428+הגדרות!$E$9,הגדרות!$E$6)+1))</f>
        <v/>
      </c>
    </row>
    <row r="4429" customFormat="false" ht="15" hidden="false" customHeight="false" outlineLevel="0" collapsed="false">
      <c r="A4429" s="0" t="str">
        <f aca="false">IF('הדבקת לידים'!A4429="","",IF(ISNUMBER('הדבקת לידים'!A4429),IF(הגדרות!$E$2&gt;0,TEXT('הדבקת לידים'!A4429,REPT("0",הגדרות!$E$2)),TEXT('הדבקת לידים'!A4429,"0")),TRIM('הדבקת לידים'!A4429)))</f>
        <v/>
      </c>
      <c r="B4429" s="0" t="str">
        <f aca="false">IF('הדבקת לידים'!B4429="","",IF(ISNUMBER('הדבקת לידים'!B4429),IF(הגדרות!$E$3&gt;0,TEXT('הדבקת לידים'!B4429,REPT("0",הגדרות!$E$3)),TEXT('הדבקת לידים'!B4429,"0")),TRIM('הדבקת לידים'!B4429)))</f>
        <v/>
      </c>
      <c r="C4429" s="0" t="n">
        <f aca="false">IF(OR(A4429&lt;&gt;"",B4429&lt;&gt;""),1,0)</f>
        <v>0</v>
      </c>
      <c r="D4429" s="0" t="str">
        <f aca="false">IF(C4429=1,MOD(ABS(SIN(ROW()*12.9898+'הדבקת לידים'!$F$2*78.233+IFERROR(--RIGHT(A4429,6),LEN(A4429))*0.0137+IFERROR(--RIGHT(B4429,6),LEN(B4429))*0.0071))*43758.5453,1),"")</f>
        <v/>
      </c>
      <c r="E4429" s="0" t="str">
        <f aca="false">IF(C4429=1,INT(MOD(ABS(SIN(D4429*7919.123+ROW()*0.618+'הדבקת לידים'!$F$2*1.3))*43758.5453,1)*1000000)*10000+ROW(),"")</f>
        <v/>
      </c>
      <c r="F4429" s="0" t="str">
        <f aca="false">IF(E4429="","",RANK(E4429,$E$2:$E$5001,1))</f>
        <v/>
      </c>
      <c r="G4429" s="0" t="n">
        <f aca="false">IF(A4429="",0,IF(SUMPRODUCT(--($A$2:$A$5001=A4429))&gt;1,1,0))</f>
        <v>0</v>
      </c>
      <c r="H4429" s="0" t="n">
        <f aca="false">ROW()-1</f>
        <v>4428</v>
      </c>
      <c r="I4429" s="0" t="str">
        <f aca="false">IF(OR(הגדרות!$E$6=0,H4429&gt;הגדרות!$E$5),"",IF(H4429-1&lt;הגדרות!$E$8*(הגדרות!$E$7+1),INT((H4429-1)/(הגדרות!$E$7+1)),הגדרות!$E$8+INT((H4429-1-הגדרות!$E$8*(הגדרות!$E$7+1))/הגדרות!$E$7)))</f>
        <v/>
      </c>
      <c r="J4429" s="0" t="str">
        <f aca="false">IF(I4429="","",IF(H4429-1&lt;הגדרות!$E$8*(הגדרות!$E$7+1),MOD(H4429-1,הגדרות!$E$7+1),MOD(H4429-1-הגדרות!$E$8*(הגדרות!$E$7+1),הגדרות!$E$7)))</f>
        <v/>
      </c>
      <c r="K4429" s="0" t="str">
        <f aca="false">IF(I4429="","",J4429*הגדרות!$E$6+I4429+1)</f>
        <v/>
      </c>
      <c r="L4429" s="0" t="str">
        <f aca="false">IF(K4429="","",MATCH(K4429,$F$2:$F$5001,0))</f>
        <v/>
      </c>
      <c r="M4429" s="0" t="str">
        <f aca="false">IF(I4429="","",INDEX(הגדרות!$A$2:$A$21,MOD(I4429+הגדרות!$E$9,הגדרות!$E$6)+1))</f>
        <v/>
      </c>
    </row>
    <row r="4430" customFormat="false" ht="15" hidden="false" customHeight="false" outlineLevel="0" collapsed="false">
      <c r="A4430" s="0" t="str">
        <f aca="false">IF('הדבקת לידים'!A4430="","",IF(ISNUMBER('הדבקת לידים'!A4430),IF(הגדרות!$E$2&gt;0,TEXT('הדבקת לידים'!A4430,REPT("0",הגדרות!$E$2)),TEXT('הדבקת לידים'!A4430,"0")),TRIM('הדבקת לידים'!A4430)))</f>
        <v/>
      </c>
      <c r="B4430" s="0" t="str">
        <f aca="false">IF('הדבקת לידים'!B4430="","",IF(ISNUMBER('הדבקת לידים'!B4430),IF(הגדרות!$E$3&gt;0,TEXT('הדבקת לידים'!B4430,REPT("0",הגדרות!$E$3)),TEXT('הדבקת לידים'!B4430,"0")),TRIM('הדבקת לידים'!B4430)))</f>
        <v/>
      </c>
      <c r="C4430" s="0" t="n">
        <f aca="false">IF(OR(A4430&lt;&gt;"",B4430&lt;&gt;""),1,0)</f>
        <v>0</v>
      </c>
      <c r="D4430" s="0" t="str">
        <f aca="false">IF(C4430=1,MOD(ABS(SIN(ROW()*12.9898+'הדבקת לידים'!$F$2*78.233+IFERROR(--RIGHT(A4430,6),LEN(A4430))*0.0137+IFERROR(--RIGHT(B4430,6),LEN(B4430))*0.0071))*43758.5453,1),"")</f>
        <v/>
      </c>
      <c r="E4430" s="0" t="str">
        <f aca="false">IF(C4430=1,INT(MOD(ABS(SIN(D4430*7919.123+ROW()*0.618+'הדבקת לידים'!$F$2*1.3))*43758.5453,1)*1000000)*10000+ROW(),"")</f>
        <v/>
      </c>
      <c r="F4430" s="0" t="str">
        <f aca="false">IF(E4430="","",RANK(E4430,$E$2:$E$5001,1))</f>
        <v/>
      </c>
      <c r="G4430" s="0" t="n">
        <f aca="false">IF(A4430="",0,IF(SUMPRODUCT(--($A$2:$A$5001=A4430))&gt;1,1,0))</f>
        <v>0</v>
      </c>
      <c r="H4430" s="0" t="n">
        <f aca="false">ROW()-1</f>
        <v>4429</v>
      </c>
      <c r="I4430" s="0" t="str">
        <f aca="false">IF(OR(הגדרות!$E$6=0,H4430&gt;הגדרות!$E$5),"",IF(H4430-1&lt;הגדרות!$E$8*(הגדרות!$E$7+1),INT((H4430-1)/(הגדרות!$E$7+1)),הגדרות!$E$8+INT((H4430-1-הגדרות!$E$8*(הגדרות!$E$7+1))/הגדרות!$E$7)))</f>
        <v/>
      </c>
      <c r="J4430" s="0" t="str">
        <f aca="false">IF(I4430="","",IF(H4430-1&lt;הגדרות!$E$8*(הגדרות!$E$7+1),MOD(H4430-1,הגדרות!$E$7+1),MOD(H4430-1-הגדרות!$E$8*(הגדרות!$E$7+1),הגדרות!$E$7)))</f>
        <v/>
      </c>
      <c r="K4430" s="0" t="str">
        <f aca="false">IF(I4430="","",J4430*הגדרות!$E$6+I4430+1)</f>
        <v/>
      </c>
      <c r="L4430" s="0" t="str">
        <f aca="false">IF(K4430="","",MATCH(K4430,$F$2:$F$5001,0))</f>
        <v/>
      </c>
      <c r="M4430" s="0" t="str">
        <f aca="false">IF(I4430="","",INDEX(הגדרות!$A$2:$A$21,MOD(I4430+הגדרות!$E$9,הגדרות!$E$6)+1))</f>
        <v/>
      </c>
    </row>
    <row r="4431" customFormat="false" ht="15" hidden="false" customHeight="false" outlineLevel="0" collapsed="false">
      <c r="A4431" s="0" t="str">
        <f aca="false">IF('הדבקת לידים'!A4431="","",IF(ISNUMBER('הדבקת לידים'!A4431),IF(הגדרות!$E$2&gt;0,TEXT('הדבקת לידים'!A4431,REPT("0",הגדרות!$E$2)),TEXT('הדבקת לידים'!A4431,"0")),TRIM('הדבקת לידים'!A4431)))</f>
        <v/>
      </c>
      <c r="B4431" s="0" t="str">
        <f aca="false">IF('הדבקת לידים'!B4431="","",IF(ISNUMBER('הדבקת לידים'!B4431),IF(הגדרות!$E$3&gt;0,TEXT('הדבקת לידים'!B4431,REPT("0",הגדרות!$E$3)),TEXT('הדבקת לידים'!B4431,"0")),TRIM('הדבקת לידים'!B4431)))</f>
        <v/>
      </c>
      <c r="C4431" s="0" t="n">
        <f aca="false">IF(OR(A4431&lt;&gt;"",B4431&lt;&gt;""),1,0)</f>
        <v>0</v>
      </c>
      <c r="D4431" s="0" t="str">
        <f aca="false">IF(C4431=1,MOD(ABS(SIN(ROW()*12.9898+'הדבקת לידים'!$F$2*78.233+IFERROR(--RIGHT(A4431,6),LEN(A4431))*0.0137+IFERROR(--RIGHT(B4431,6),LEN(B4431))*0.0071))*43758.5453,1),"")</f>
        <v/>
      </c>
      <c r="E4431" s="0" t="str">
        <f aca="false">IF(C4431=1,INT(MOD(ABS(SIN(D4431*7919.123+ROW()*0.618+'הדבקת לידים'!$F$2*1.3))*43758.5453,1)*1000000)*10000+ROW(),"")</f>
        <v/>
      </c>
      <c r="F4431" s="0" t="str">
        <f aca="false">IF(E4431="","",RANK(E4431,$E$2:$E$5001,1))</f>
        <v/>
      </c>
      <c r="G4431" s="0" t="n">
        <f aca="false">IF(A4431="",0,IF(SUMPRODUCT(--($A$2:$A$5001=A4431))&gt;1,1,0))</f>
        <v>0</v>
      </c>
      <c r="H4431" s="0" t="n">
        <f aca="false">ROW()-1</f>
        <v>4430</v>
      </c>
      <c r="I4431" s="0" t="str">
        <f aca="false">IF(OR(הגדרות!$E$6=0,H4431&gt;הגדרות!$E$5),"",IF(H4431-1&lt;הגדרות!$E$8*(הגדרות!$E$7+1),INT((H4431-1)/(הגדרות!$E$7+1)),הגדרות!$E$8+INT((H4431-1-הגדרות!$E$8*(הגדרות!$E$7+1))/הגדרות!$E$7)))</f>
        <v/>
      </c>
      <c r="J4431" s="0" t="str">
        <f aca="false">IF(I4431="","",IF(H4431-1&lt;הגדרות!$E$8*(הגדרות!$E$7+1),MOD(H4431-1,הגדרות!$E$7+1),MOD(H4431-1-הגדרות!$E$8*(הגדרות!$E$7+1),הגדרות!$E$7)))</f>
        <v/>
      </c>
      <c r="K4431" s="0" t="str">
        <f aca="false">IF(I4431="","",J4431*הגדרות!$E$6+I4431+1)</f>
        <v/>
      </c>
      <c r="L4431" s="0" t="str">
        <f aca="false">IF(K4431="","",MATCH(K4431,$F$2:$F$5001,0))</f>
        <v/>
      </c>
      <c r="M4431" s="0" t="str">
        <f aca="false">IF(I4431="","",INDEX(הגדרות!$A$2:$A$21,MOD(I4431+הגדרות!$E$9,הגדרות!$E$6)+1))</f>
        <v/>
      </c>
    </row>
    <row r="4432" customFormat="false" ht="15" hidden="false" customHeight="false" outlineLevel="0" collapsed="false">
      <c r="A4432" s="0" t="str">
        <f aca="false">IF('הדבקת לידים'!A4432="","",IF(ISNUMBER('הדבקת לידים'!A4432),IF(הגדרות!$E$2&gt;0,TEXT('הדבקת לידים'!A4432,REPT("0",הגדרות!$E$2)),TEXT('הדבקת לידים'!A4432,"0")),TRIM('הדבקת לידים'!A4432)))</f>
        <v/>
      </c>
      <c r="B4432" s="0" t="str">
        <f aca="false">IF('הדבקת לידים'!B4432="","",IF(ISNUMBER('הדבקת לידים'!B4432),IF(הגדרות!$E$3&gt;0,TEXT('הדבקת לידים'!B4432,REPT("0",הגדרות!$E$3)),TEXT('הדבקת לידים'!B4432,"0")),TRIM('הדבקת לידים'!B4432)))</f>
        <v/>
      </c>
      <c r="C4432" s="0" t="n">
        <f aca="false">IF(OR(A4432&lt;&gt;"",B4432&lt;&gt;""),1,0)</f>
        <v>0</v>
      </c>
      <c r="D4432" s="0" t="str">
        <f aca="false">IF(C4432=1,MOD(ABS(SIN(ROW()*12.9898+'הדבקת לידים'!$F$2*78.233+IFERROR(--RIGHT(A4432,6),LEN(A4432))*0.0137+IFERROR(--RIGHT(B4432,6),LEN(B4432))*0.0071))*43758.5453,1),"")</f>
        <v/>
      </c>
      <c r="E4432" s="0" t="str">
        <f aca="false">IF(C4432=1,INT(MOD(ABS(SIN(D4432*7919.123+ROW()*0.618+'הדבקת לידים'!$F$2*1.3))*43758.5453,1)*1000000)*10000+ROW(),"")</f>
        <v/>
      </c>
      <c r="F4432" s="0" t="str">
        <f aca="false">IF(E4432="","",RANK(E4432,$E$2:$E$5001,1))</f>
        <v/>
      </c>
      <c r="G4432" s="0" t="n">
        <f aca="false">IF(A4432="",0,IF(SUMPRODUCT(--($A$2:$A$5001=A4432))&gt;1,1,0))</f>
        <v>0</v>
      </c>
      <c r="H4432" s="0" t="n">
        <f aca="false">ROW()-1</f>
        <v>4431</v>
      </c>
      <c r="I4432" s="0" t="str">
        <f aca="false">IF(OR(הגדרות!$E$6=0,H4432&gt;הגדרות!$E$5),"",IF(H4432-1&lt;הגדרות!$E$8*(הגדרות!$E$7+1),INT((H4432-1)/(הגדרות!$E$7+1)),הגדרות!$E$8+INT((H4432-1-הגדרות!$E$8*(הגדרות!$E$7+1))/הגדרות!$E$7)))</f>
        <v/>
      </c>
      <c r="J4432" s="0" t="str">
        <f aca="false">IF(I4432="","",IF(H4432-1&lt;הגדרות!$E$8*(הגדרות!$E$7+1),MOD(H4432-1,הגדרות!$E$7+1),MOD(H4432-1-הגדרות!$E$8*(הגדרות!$E$7+1),הגדרות!$E$7)))</f>
        <v/>
      </c>
      <c r="K4432" s="0" t="str">
        <f aca="false">IF(I4432="","",J4432*הגדרות!$E$6+I4432+1)</f>
        <v/>
      </c>
      <c r="L4432" s="0" t="str">
        <f aca="false">IF(K4432="","",MATCH(K4432,$F$2:$F$5001,0))</f>
        <v/>
      </c>
      <c r="M4432" s="0" t="str">
        <f aca="false">IF(I4432="","",INDEX(הגדרות!$A$2:$A$21,MOD(I4432+הגדרות!$E$9,הגדרות!$E$6)+1))</f>
        <v/>
      </c>
    </row>
    <row r="4433" customFormat="false" ht="15" hidden="false" customHeight="false" outlineLevel="0" collapsed="false">
      <c r="A4433" s="0" t="str">
        <f aca="false">IF('הדבקת לידים'!A4433="","",IF(ISNUMBER('הדבקת לידים'!A4433),IF(הגדרות!$E$2&gt;0,TEXT('הדבקת לידים'!A4433,REPT("0",הגדרות!$E$2)),TEXT('הדבקת לידים'!A4433,"0")),TRIM('הדבקת לידים'!A4433)))</f>
        <v/>
      </c>
      <c r="B4433" s="0" t="str">
        <f aca="false">IF('הדבקת לידים'!B4433="","",IF(ISNUMBER('הדבקת לידים'!B4433),IF(הגדרות!$E$3&gt;0,TEXT('הדבקת לידים'!B4433,REPT("0",הגדרות!$E$3)),TEXT('הדבקת לידים'!B4433,"0")),TRIM('הדבקת לידים'!B4433)))</f>
        <v/>
      </c>
      <c r="C4433" s="0" t="n">
        <f aca="false">IF(OR(A4433&lt;&gt;"",B4433&lt;&gt;""),1,0)</f>
        <v>0</v>
      </c>
      <c r="D4433" s="0" t="str">
        <f aca="false">IF(C4433=1,MOD(ABS(SIN(ROW()*12.9898+'הדבקת לידים'!$F$2*78.233+IFERROR(--RIGHT(A4433,6),LEN(A4433))*0.0137+IFERROR(--RIGHT(B4433,6),LEN(B4433))*0.0071))*43758.5453,1),"")</f>
        <v/>
      </c>
      <c r="E4433" s="0" t="str">
        <f aca="false">IF(C4433=1,INT(MOD(ABS(SIN(D4433*7919.123+ROW()*0.618+'הדבקת לידים'!$F$2*1.3))*43758.5453,1)*1000000)*10000+ROW(),"")</f>
        <v/>
      </c>
      <c r="F4433" s="0" t="str">
        <f aca="false">IF(E4433="","",RANK(E4433,$E$2:$E$5001,1))</f>
        <v/>
      </c>
      <c r="G4433" s="0" t="n">
        <f aca="false">IF(A4433="",0,IF(SUMPRODUCT(--($A$2:$A$5001=A4433))&gt;1,1,0))</f>
        <v>0</v>
      </c>
      <c r="H4433" s="0" t="n">
        <f aca="false">ROW()-1</f>
        <v>4432</v>
      </c>
      <c r="I4433" s="0" t="str">
        <f aca="false">IF(OR(הגדרות!$E$6=0,H4433&gt;הגדרות!$E$5),"",IF(H4433-1&lt;הגדרות!$E$8*(הגדרות!$E$7+1),INT((H4433-1)/(הגדרות!$E$7+1)),הגדרות!$E$8+INT((H4433-1-הגדרות!$E$8*(הגדרות!$E$7+1))/הגדרות!$E$7)))</f>
        <v/>
      </c>
      <c r="J4433" s="0" t="str">
        <f aca="false">IF(I4433="","",IF(H4433-1&lt;הגדרות!$E$8*(הגדרות!$E$7+1),MOD(H4433-1,הגדרות!$E$7+1),MOD(H4433-1-הגדרות!$E$8*(הגדרות!$E$7+1),הגדרות!$E$7)))</f>
        <v/>
      </c>
      <c r="K4433" s="0" t="str">
        <f aca="false">IF(I4433="","",J4433*הגדרות!$E$6+I4433+1)</f>
        <v/>
      </c>
      <c r="L4433" s="0" t="str">
        <f aca="false">IF(K4433="","",MATCH(K4433,$F$2:$F$5001,0))</f>
        <v/>
      </c>
      <c r="M4433" s="0" t="str">
        <f aca="false">IF(I4433="","",INDEX(הגדרות!$A$2:$A$21,MOD(I4433+הגדרות!$E$9,הגדרות!$E$6)+1))</f>
        <v/>
      </c>
    </row>
    <row r="4434" customFormat="false" ht="15" hidden="false" customHeight="false" outlineLevel="0" collapsed="false">
      <c r="A4434" s="0" t="str">
        <f aca="false">IF('הדבקת לידים'!A4434="","",IF(ISNUMBER('הדבקת לידים'!A4434),IF(הגדרות!$E$2&gt;0,TEXT('הדבקת לידים'!A4434,REPT("0",הגדרות!$E$2)),TEXT('הדבקת לידים'!A4434,"0")),TRIM('הדבקת לידים'!A4434)))</f>
        <v/>
      </c>
      <c r="B4434" s="0" t="str">
        <f aca="false">IF('הדבקת לידים'!B4434="","",IF(ISNUMBER('הדבקת לידים'!B4434),IF(הגדרות!$E$3&gt;0,TEXT('הדבקת לידים'!B4434,REPT("0",הגדרות!$E$3)),TEXT('הדבקת לידים'!B4434,"0")),TRIM('הדבקת לידים'!B4434)))</f>
        <v/>
      </c>
      <c r="C4434" s="0" t="n">
        <f aca="false">IF(OR(A4434&lt;&gt;"",B4434&lt;&gt;""),1,0)</f>
        <v>0</v>
      </c>
      <c r="D4434" s="0" t="str">
        <f aca="false">IF(C4434=1,MOD(ABS(SIN(ROW()*12.9898+'הדבקת לידים'!$F$2*78.233+IFERROR(--RIGHT(A4434,6),LEN(A4434))*0.0137+IFERROR(--RIGHT(B4434,6),LEN(B4434))*0.0071))*43758.5453,1),"")</f>
        <v/>
      </c>
      <c r="E4434" s="0" t="str">
        <f aca="false">IF(C4434=1,INT(MOD(ABS(SIN(D4434*7919.123+ROW()*0.618+'הדבקת לידים'!$F$2*1.3))*43758.5453,1)*1000000)*10000+ROW(),"")</f>
        <v/>
      </c>
      <c r="F4434" s="0" t="str">
        <f aca="false">IF(E4434="","",RANK(E4434,$E$2:$E$5001,1))</f>
        <v/>
      </c>
      <c r="G4434" s="0" t="n">
        <f aca="false">IF(A4434="",0,IF(SUMPRODUCT(--($A$2:$A$5001=A4434))&gt;1,1,0))</f>
        <v>0</v>
      </c>
      <c r="H4434" s="0" t="n">
        <f aca="false">ROW()-1</f>
        <v>4433</v>
      </c>
      <c r="I4434" s="0" t="str">
        <f aca="false">IF(OR(הגדרות!$E$6=0,H4434&gt;הגדרות!$E$5),"",IF(H4434-1&lt;הגדרות!$E$8*(הגדרות!$E$7+1),INT((H4434-1)/(הגדרות!$E$7+1)),הגדרות!$E$8+INT((H4434-1-הגדרות!$E$8*(הגדרות!$E$7+1))/הגדרות!$E$7)))</f>
        <v/>
      </c>
      <c r="J4434" s="0" t="str">
        <f aca="false">IF(I4434="","",IF(H4434-1&lt;הגדרות!$E$8*(הגדרות!$E$7+1),MOD(H4434-1,הגדרות!$E$7+1),MOD(H4434-1-הגדרות!$E$8*(הגדרות!$E$7+1),הגדרות!$E$7)))</f>
        <v/>
      </c>
      <c r="K4434" s="0" t="str">
        <f aca="false">IF(I4434="","",J4434*הגדרות!$E$6+I4434+1)</f>
        <v/>
      </c>
      <c r="L4434" s="0" t="str">
        <f aca="false">IF(K4434="","",MATCH(K4434,$F$2:$F$5001,0))</f>
        <v/>
      </c>
      <c r="M4434" s="0" t="str">
        <f aca="false">IF(I4434="","",INDEX(הגדרות!$A$2:$A$21,MOD(I4434+הגדרות!$E$9,הגדרות!$E$6)+1))</f>
        <v/>
      </c>
    </row>
    <row r="4435" customFormat="false" ht="15" hidden="false" customHeight="false" outlineLevel="0" collapsed="false">
      <c r="A4435" s="0" t="str">
        <f aca="false">IF('הדבקת לידים'!A4435="","",IF(ISNUMBER('הדבקת לידים'!A4435),IF(הגדרות!$E$2&gt;0,TEXT('הדבקת לידים'!A4435,REPT("0",הגדרות!$E$2)),TEXT('הדבקת לידים'!A4435,"0")),TRIM('הדבקת לידים'!A4435)))</f>
        <v/>
      </c>
      <c r="B4435" s="0" t="str">
        <f aca="false">IF('הדבקת לידים'!B4435="","",IF(ISNUMBER('הדבקת לידים'!B4435),IF(הגדרות!$E$3&gt;0,TEXT('הדבקת לידים'!B4435,REPT("0",הגדרות!$E$3)),TEXT('הדבקת לידים'!B4435,"0")),TRIM('הדבקת לידים'!B4435)))</f>
        <v/>
      </c>
      <c r="C4435" s="0" t="n">
        <f aca="false">IF(OR(A4435&lt;&gt;"",B4435&lt;&gt;""),1,0)</f>
        <v>0</v>
      </c>
      <c r="D4435" s="0" t="str">
        <f aca="false">IF(C4435=1,MOD(ABS(SIN(ROW()*12.9898+'הדבקת לידים'!$F$2*78.233+IFERROR(--RIGHT(A4435,6),LEN(A4435))*0.0137+IFERROR(--RIGHT(B4435,6),LEN(B4435))*0.0071))*43758.5453,1),"")</f>
        <v/>
      </c>
      <c r="E4435" s="0" t="str">
        <f aca="false">IF(C4435=1,INT(MOD(ABS(SIN(D4435*7919.123+ROW()*0.618+'הדבקת לידים'!$F$2*1.3))*43758.5453,1)*1000000)*10000+ROW(),"")</f>
        <v/>
      </c>
      <c r="F4435" s="0" t="str">
        <f aca="false">IF(E4435="","",RANK(E4435,$E$2:$E$5001,1))</f>
        <v/>
      </c>
      <c r="G4435" s="0" t="n">
        <f aca="false">IF(A4435="",0,IF(SUMPRODUCT(--($A$2:$A$5001=A4435))&gt;1,1,0))</f>
        <v>0</v>
      </c>
      <c r="H4435" s="0" t="n">
        <f aca="false">ROW()-1</f>
        <v>4434</v>
      </c>
      <c r="I4435" s="0" t="str">
        <f aca="false">IF(OR(הגדרות!$E$6=0,H4435&gt;הגדרות!$E$5),"",IF(H4435-1&lt;הגדרות!$E$8*(הגדרות!$E$7+1),INT((H4435-1)/(הגדרות!$E$7+1)),הגדרות!$E$8+INT((H4435-1-הגדרות!$E$8*(הגדרות!$E$7+1))/הגדרות!$E$7)))</f>
        <v/>
      </c>
      <c r="J4435" s="0" t="str">
        <f aca="false">IF(I4435="","",IF(H4435-1&lt;הגדרות!$E$8*(הגדרות!$E$7+1),MOD(H4435-1,הגדרות!$E$7+1),MOD(H4435-1-הגדרות!$E$8*(הגדרות!$E$7+1),הגדרות!$E$7)))</f>
        <v/>
      </c>
      <c r="K4435" s="0" t="str">
        <f aca="false">IF(I4435="","",J4435*הגדרות!$E$6+I4435+1)</f>
        <v/>
      </c>
      <c r="L4435" s="0" t="str">
        <f aca="false">IF(K4435="","",MATCH(K4435,$F$2:$F$5001,0))</f>
        <v/>
      </c>
      <c r="M4435" s="0" t="str">
        <f aca="false">IF(I4435="","",INDEX(הגדרות!$A$2:$A$21,MOD(I4435+הגדרות!$E$9,הגדרות!$E$6)+1))</f>
        <v/>
      </c>
    </row>
    <row r="4436" customFormat="false" ht="15" hidden="false" customHeight="false" outlineLevel="0" collapsed="false">
      <c r="A4436" s="0" t="str">
        <f aca="false">IF('הדבקת לידים'!A4436="","",IF(ISNUMBER('הדבקת לידים'!A4436),IF(הגדרות!$E$2&gt;0,TEXT('הדבקת לידים'!A4436,REPT("0",הגדרות!$E$2)),TEXT('הדבקת לידים'!A4436,"0")),TRIM('הדבקת לידים'!A4436)))</f>
        <v/>
      </c>
      <c r="B4436" s="0" t="str">
        <f aca="false">IF('הדבקת לידים'!B4436="","",IF(ISNUMBER('הדבקת לידים'!B4436),IF(הגדרות!$E$3&gt;0,TEXT('הדבקת לידים'!B4436,REPT("0",הגדרות!$E$3)),TEXT('הדבקת לידים'!B4436,"0")),TRIM('הדבקת לידים'!B4436)))</f>
        <v/>
      </c>
      <c r="C4436" s="0" t="n">
        <f aca="false">IF(OR(A4436&lt;&gt;"",B4436&lt;&gt;""),1,0)</f>
        <v>0</v>
      </c>
      <c r="D4436" s="0" t="str">
        <f aca="false">IF(C4436=1,MOD(ABS(SIN(ROW()*12.9898+'הדבקת לידים'!$F$2*78.233+IFERROR(--RIGHT(A4436,6),LEN(A4436))*0.0137+IFERROR(--RIGHT(B4436,6),LEN(B4436))*0.0071))*43758.5453,1),"")</f>
        <v/>
      </c>
      <c r="E4436" s="0" t="str">
        <f aca="false">IF(C4436=1,INT(MOD(ABS(SIN(D4436*7919.123+ROW()*0.618+'הדבקת לידים'!$F$2*1.3))*43758.5453,1)*1000000)*10000+ROW(),"")</f>
        <v/>
      </c>
      <c r="F4436" s="0" t="str">
        <f aca="false">IF(E4436="","",RANK(E4436,$E$2:$E$5001,1))</f>
        <v/>
      </c>
      <c r="G4436" s="0" t="n">
        <f aca="false">IF(A4436="",0,IF(SUMPRODUCT(--($A$2:$A$5001=A4436))&gt;1,1,0))</f>
        <v>0</v>
      </c>
      <c r="H4436" s="0" t="n">
        <f aca="false">ROW()-1</f>
        <v>4435</v>
      </c>
      <c r="I4436" s="0" t="str">
        <f aca="false">IF(OR(הגדרות!$E$6=0,H4436&gt;הגדרות!$E$5),"",IF(H4436-1&lt;הגדרות!$E$8*(הגדרות!$E$7+1),INT((H4436-1)/(הגדרות!$E$7+1)),הגדרות!$E$8+INT((H4436-1-הגדרות!$E$8*(הגדרות!$E$7+1))/הגדרות!$E$7)))</f>
        <v/>
      </c>
      <c r="J4436" s="0" t="str">
        <f aca="false">IF(I4436="","",IF(H4436-1&lt;הגדרות!$E$8*(הגדרות!$E$7+1),MOD(H4436-1,הגדרות!$E$7+1),MOD(H4436-1-הגדרות!$E$8*(הגדרות!$E$7+1),הגדרות!$E$7)))</f>
        <v/>
      </c>
      <c r="K4436" s="0" t="str">
        <f aca="false">IF(I4436="","",J4436*הגדרות!$E$6+I4436+1)</f>
        <v/>
      </c>
      <c r="L4436" s="0" t="str">
        <f aca="false">IF(K4436="","",MATCH(K4436,$F$2:$F$5001,0))</f>
        <v/>
      </c>
      <c r="M4436" s="0" t="str">
        <f aca="false">IF(I4436="","",INDEX(הגדרות!$A$2:$A$21,MOD(I4436+הגדרות!$E$9,הגדרות!$E$6)+1))</f>
        <v/>
      </c>
    </row>
    <row r="4437" customFormat="false" ht="15" hidden="false" customHeight="false" outlineLevel="0" collapsed="false">
      <c r="A4437" s="0" t="str">
        <f aca="false">IF('הדבקת לידים'!A4437="","",IF(ISNUMBER('הדבקת לידים'!A4437),IF(הגדרות!$E$2&gt;0,TEXT('הדבקת לידים'!A4437,REPT("0",הגדרות!$E$2)),TEXT('הדבקת לידים'!A4437,"0")),TRIM('הדבקת לידים'!A4437)))</f>
        <v/>
      </c>
      <c r="B4437" s="0" t="str">
        <f aca="false">IF('הדבקת לידים'!B4437="","",IF(ISNUMBER('הדבקת לידים'!B4437),IF(הגדרות!$E$3&gt;0,TEXT('הדבקת לידים'!B4437,REPT("0",הגדרות!$E$3)),TEXT('הדבקת לידים'!B4437,"0")),TRIM('הדבקת לידים'!B4437)))</f>
        <v/>
      </c>
      <c r="C4437" s="0" t="n">
        <f aca="false">IF(OR(A4437&lt;&gt;"",B4437&lt;&gt;""),1,0)</f>
        <v>0</v>
      </c>
      <c r="D4437" s="0" t="str">
        <f aca="false">IF(C4437=1,MOD(ABS(SIN(ROW()*12.9898+'הדבקת לידים'!$F$2*78.233+IFERROR(--RIGHT(A4437,6),LEN(A4437))*0.0137+IFERROR(--RIGHT(B4437,6),LEN(B4437))*0.0071))*43758.5453,1),"")</f>
        <v/>
      </c>
      <c r="E4437" s="0" t="str">
        <f aca="false">IF(C4437=1,INT(MOD(ABS(SIN(D4437*7919.123+ROW()*0.618+'הדבקת לידים'!$F$2*1.3))*43758.5453,1)*1000000)*10000+ROW(),"")</f>
        <v/>
      </c>
      <c r="F4437" s="0" t="str">
        <f aca="false">IF(E4437="","",RANK(E4437,$E$2:$E$5001,1))</f>
        <v/>
      </c>
      <c r="G4437" s="0" t="n">
        <f aca="false">IF(A4437="",0,IF(SUMPRODUCT(--($A$2:$A$5001=A4437))&gt;1,1,0))</f>
        <v>0</v>
      </c>
      <c r="H4437" s="0" t="n">
        <f aca="false">ROW()-1</f>
        <v>4436</v>
      </c>
      <c r="I4437" s="0" t="str">
        <f aca="false">IF(OR(הגדרות!$E$6=0,H4437&gt;הגדרות!$E$5),"",IF(H4437-1&lt;הגדרות!$E$8*(הגדרות!$E$7+1),INT((H4437-1)/(הגדרות!$E$7+1)),הגדרות!$E$8+INT((H4437-1-הגדרות!$E$8*(הגדרות!$E$7+1))/הגדרות!$E$7)))</f>
        <v/>
      </c>
      <c r="J4437" s="0" t="str">
        <f aca="false">IF(I4437="","",IF(H4437-1&lt;הגדרות!$E$8*(הגדרות!$E$7+1),MOD(H4437-1,הגדרות!$E$7+1),MOD(H4437-1-הגדרות!$E$8*(הגדרות!$E$7+1),הגדרות!$E$7)))</f>
        <v/>
      </c>
      <c r="K4437" s="0" t="str">
        <f aca="false">IF(I4437="","",J4437*הגדרות!$E$6+I4437+1)</f>
        <v/>
      </c>
      <c r="L4437" s="0" t="str">
        <f aca="false">IF(K4437="","",MATCH(K4437,$F$2:$F$5001,0))</f>
        <v/>
      </c>
      <c r="M4437" s="0" t="str">
        <f aca="false">IF(I4437="","",INDEX(הגדרות!$A$2:$A$21,MOD(I4437+הגדרות!$E$9,הגדרות!$E$6)+1))</f>
        <v/>
      </c>
    </row>
    <row r="4438" customFormat="false" ht="15" hidden="false" customHeight="false" outlineLevel="0" collapsed="false">
      <c r="A4438" s="0" t="str">
        <f aca="false">IF('הדבקת לידים'!A4438="","",IF(ISNUMBER('הדבקת לידים'!A4438),IF(הגדרות!$E$2&gt;0,TEXT('הדבקת לידים'!A4438,REPT("0",הגדרות!$E$2)),TEXT('הדבקת לידים'!A4438,"0")),TRIM('הדבקת לידים'!A4438)))</f>
        <v/>
      </c>
      <c r="B4438" s="0" t="str">
        <f aca="false">IF('הדבקת לידים'!B4438="","",IF(ISNUMBER('הדבקת לידים'!B4438),IF(הגדרות!$E$3&gt;0,TEXT('הדבקת לידים'!B4438,REPT("0",הגדרות!$E$3)),TEXT('הדבקת לידים'!B4438,"0")),TRIM('הדבקת לידים'!B4438)))</f>
        <v/>
      </c>
      <c r="C4438" s="0" t="n">
        <f aca="false">IF(OR(A4438&lt;&gt;"",B4438&lt;&gt;""),1,0)</f>
        <v>0</v>
      </c>
      <c r="D4438" s="0" t="str">
        <f aca="false">IF(C4438=1,MOD(ABS(SIN(ROW()*12.9898+'הדבקת לידים'!$F$2*78.233+IFERROR(--RIGHT(A4438,6),LEN(A4438))*0.0137+IFERROR(--RIGHT(B4438,6),LEN(B4438))*0.0071))*43758.5453,1),"")</f>
        <v/>
      </c>
      <c r="E4438" s="0" t="str">
        <f aca="false">IF(C4438=1,INT(MOD(ABS(SIN(D4438*7919.123+ROW()*0.618+'הדבקת לידים'!$F$2*1.3))*43758.5453,1)*1000000)*10000+ROW(),"")</f>
        <v/>
      </c>
      <c r="F4438" s="0" t="str">
        <f aca="false">IF(E4438="","",RANK(E4438,$E$2:$E$5001,1))</f>
        <v/>
      </c>
      <c r="G4438" s="0" t="n">
        <f aca="false">IF(A4438="",0,IF(SUMPRODUCT(--($A$2:$A$5001=A4438))&gt;1,1,0))</f>
        <v>0</v>
      </c>
      <c r="H4438" s="0" t="n">
        <f aca="false">ROW()-1</f>
        <v>4437</v>
      </c>
      <c r="I4438" s="0" t="str">
        <f aca="false">IF(OR(הגדרות!$E$6=0,H4438&gt;הגדרות!$E$5),"",IF(H4438-1&lt;הגדרות!$E$8*(הגדרות!$E$7+1),INT((H4438-1)/(הגדרות!$E$7+1)),הגדרות!$E$8+INT((H4438-1-הגדרות!$E$8*(הגדרות!$E$7+1))/הגדרות!$E$7)))</f>
        <v/>
      </c>
      <c r="J4438" s="0" t="str">
        <f aca="false">IF(I4438="","",IF(H4438-1&lt;הגדרות!$E$8*(הגדרות!$E$7+1),MOD(H4438-1,הגדרות!$E$7+1),MOD(H4438-1-הגדרות!$E$8*(הגדרות!$E$7+1),הגדרות!$E$7)))</f>
        <v/>
      </c>
      <c r="K4438" s="0" t="str">
        <f aca="false">IF(I4438="","",J4438*הגדרות!$E$6+I4438+1)</f>
        <v/>
      </c>
      <c r="L4438" s="0" t="str">
        <f aca="false">IF(K4438="","",MATCH(K4438,$F$2:$F$5001,0))</f>
        <v/>
      </c>
      <c r="M4438" s="0" t="str">
        <f aca="false">IF(I4438="","",INDEX(הגדרות!$A$2:$A$21,MOD(I4438+הגדרות!$E$9,הגדרות!$E$6)+1))</f>
        <v/>
      </c>
    </row>
    <row r="4439" customFormat="false" ht="15" hidden="false" customHeight="false" outlineLevel="0" collapsed="false">
      <c r="A4439" s="0" t="str">
        <f aca="false">IF('הדבקת לידים'!A4439="","",IF(ISNUMBER('הדבקת לידים'!A4439),IF(הגדרות!$E$2&gt;0,TEXT('הדבקת לידים'!A4439,REPT("0",הגדרות!$E$2)),TEXT('הדבקת לידים'!A4439,"0")),TRIM('הדבקת לידים'!A4439)))</f>
        <v/>
      </c>
      <c r="B4439" s="0" t="str">
        <f aca="false">IF('הדבקת לידים'!B4439="","",IF(ISNUMBER('הדבקת לידים'!B4439),IF(הגדרות!$E$3&gt;0,TEXT('הדבקת לידים'!B4439,REPT("0",הגדרות!$E$3)),TEXT('הדבקת לידים'!B4439,"0")),TRIM('הדבקת לידים'!B4439)))</f>
        <v/>
      </c>
      <c r="C4439" s="0" t="n">
        <f aca="false">IF(OR(A4439&lt;&gt;"",B4439&lt;&gt;""),1,0)</f>
        <v>0</v>
      </c>
      <c r="D4439" s="0" t="str">
        <f aca="false">IF(C4439=1,MOD(ABS(SIN(ROW()*12.9898+'הדבקת לידים'!$F$2*78.233+IFERROR(--RIGHT(A4439,6),LEN(A4439))*0.0137+IFERROR(--RIGHT(B4439,6),LEN(B4439))*0.0071))*43758.5453,1),"")</f>
        <v/>
      </c>
      <c r="E4439" s="0" t="str">
        <f aca="false">IF(C4439=1,INT(MOD(ABS(SIN(D4439*7919.123+ROW()*0.618+'הדבקת לידים'!$F$2*1.3))*43758.5453,1)*1000000)*10000+ROW(),"")</f>
        <v/>
      </c>
      <c r="F4439" s="0" t="str">
        <f aca="false">IF(E4439="","",RANK(E4439,$E$2:$E$5001,1))</f>
        <v/>
      </c>
      <c r="G4439" s="0" t="n">
        <f aca="false">IF(A4439="",0,IF(SUMPRODUCT(--($A$2:$A$5001=A4439))&gt;1,1,0))</f>
        <v>0</v>
      </c>
      <c r="H4439" s="0" t="n">
        <f aca="false">ROW()-1</f>
        <v>4438</v>
      </c>
      <c r="I4439" s="0" t="str">
        <f aca="false">IF(OR(הגדרות!$E$6=0,H4439&gt;הגדרות!$E$5),"",IF(H4439-1&lt;הגדרות!$E$8*(הגדרות!$E$7+1),INT((H4439-1)/(הגדרות!$E$7+1)),הגדרות!$E$8+INT((H4439-1-הגדרות!$E$8*(הגדרות!$E$7+1))/הגדרות!$E$7)))</f>
        <v/>
      </c>
      <c r="J4439" s="0" t="str">
        <f aca="false">IF(I4439="","",IF(H4439-1&lt;הגדרות!$E$8*(הגדרות!$E$7+1),MOD(H4439-1,הגדרות!$E$7+1),MOD(H4439-1-הגדרות!$E$8*(הגדרות!$E$7+1),הגדרות!$E$7)))</f>
        <v/>
      </c>
      <c r="K4439" s="0" t="str">
        <f aca="false">IF(I4439="","",J4439*הגדרות!$E$6+I4439+1)</f>
        <v/>
      </c>
      <c r="L4439" s="0" t="str">
        <f aca="false">IF(K4439="","",MATCH(K4439,$F$2:$F$5001,0))</f>
        <v/>
      </c>
      <c r="M4439" s="0" t="str">
        <f aca="false">IF(I4439="","",INDEX(הגדרות!$A$2:$A$21,MOD(I4439+הגדרות!$E$9,הגדרות!$E$6)+1))</f>
        <v/>
      </c>
    </row>
    <row r="4440" customFormat="false" ht="15" hidden="false" customHeight="false" outlineLevel="0" collapsed="false">
      <c r="A4440" s="0" t="str">
        <f aca="false">IF('הדבקת לידים'!A4440="","",IF(ISNUMBER('הדבקת לידים'!A4440),IF(הגדרות!$E$2&gt;0,TEXT('הדבקת לידים'!A4440,REPT("0",הגדרות!$E$2)),TEXT('הדבקת לידים'!A4440,"0")),TRIM('הדבקת לידים'!A4440)))</f>
        <v/>
      </c>
      <c r="B4440" s="0" t="str">
        <f aca="false">IF('הדבקת לידים'!B4440="","",IF(ISNUMBER('הדבקת לידים'!B4440),IF(הגדרות!$E$3&gt;0,TEXT('הדבקת לידים'!B4440,REPT("0",הגדרות!$E$3)),TEXT('הדבקת לידים'!B4440,"0")),TRIM('הדבקת לידים'!B4440)))</f>
        <v/>
      </c>
      <c r="C4440" s="0" t="n">
        <f aca="false">IF(OR(A4440&lt;&gt;"",B4440&lt;&gt;""),1,0)</f>
        <v>0</v>
      </c>
      <c r="D4440" s="0" t="str">
        <f aca="false">IF(C4440=1,MOD(ABS(SIN(ROW()*12.9898+'הדבקת לידים'!$F$2*78.233+IFERROR(--RIGHT(A4440,6),LEN(A4440))*0.0137+IFERROR(--RIGHT(B4440,6),LEN(B4440))*0.0071))*43758.5453,1),"")</f>
        <v/>
      </c>
      <c r="E4440" s="0" t="str">
        <f aca="false">IF(C4440=1,INT(MOD(ABS(SIN(D4440*7919.123+ROW()*0.618+'הדבקת לידים'!$F$2*1.3))*43758.5453,1)*1000000)*10000+ROW(),"")</f>
        <v/>
      </c>
      <c r="F4440" s="0" t="str">
        <f aca="false">IF(E4440="","",RANK(E4440,$E$2:$E$5001,1))</f>
        <v/>
      </c>
      <c r="G4440" s="0" t="n">
        <f aca="false">IF(A4440="",0,IF(SUMPRODUCT(--($A$2:$A$5001=A4440))&gt;1,1,0))</f>
        <v>0</v>
      </c>
      <c r="H4440" s="0" t="n">
        <f aca="false">ROW()-1</f>
        <v>4439</v>
      </c>
      <c r="I4440" s="0" t="str">
        <f aca="false">IF(OR(הגדרות!$E$6=0,H4440&gt;הגדרות!$E$5),"",IF(H4440-1&lt;הגדרות!$E$8*(הגדרות!$E$7+1),INT((H4440-1)/(הגדרות!$E$7+1)),הגדרות!$E$8+INT((H4440-1-הגדרות!$E$8*(הגדרות!$E$7+1))/הגדרות!$E$7)))</f>
        <v/>
      </c>
      <c r="J4440" s="0" t="str">
        <f aca="false">IF(I4440="","",IF(H4440-1&lt;הגדרות!$E$8*(הגדרות!$E$7+1),MOD(H4440-1,הגדרות!$E$7+1),MOD(H4440-1-הגדרות!$E$8*(הגדרות!$E$7+1),הגדרות!$E$7)))</f>
        <v/>
      </c>
      <c r="K4440" s="0" t="str">
        <f aca="false">IF(I4440="","",J4440*הגדרות!$E$6+I4440+1)</f>
        <v/>
      </c>
      <c r="L4440" s="0" t="str">
        <f aca="false">IF(K4440="","",MATCH(K4440,$F$2:$F$5001,0))</f>
        <v/>
      </c>
      <c r="M4440" s="0" t="str">
        <f aca="false">IF(I4440="","",INDEX(הגדרות!$A$2:$A$21,MOD(I4440+הגדרות!$E$9,הגדרות!$E$6)+1))</f>
        <v/>
      </c>
    </row>
    <row r="4441" customFormat="false" ht="15" hidden="false" customHeight="false" outlineLevel="0" collapsed="false">
      <c r="A4441" s="0" t="str">
        <f aca="false">IF('הדבקת לידים'!A4441="","",IF(ISNUMBER('הדבקת לידים'!A4441),IF(הגדרות!$E$2&gt;0,TEXT('הדבקת לידים'!A4441,REPT("0",הגדרות!$E$2)),TEXT('הדבקת לידים'!A4441,"0")),TRIM('הדבקת לידים'!A4441)))</f>
        <v/>
      </c>
      <c r="B4441" s="0" t="str">
        <f aca="false">IF('הדבקת לידים'!B4441="","",IF(ISNUMBER('הדבקת לידים'!B4441),IF(הגדרות!$E$3&gt;0,TEXT('הדבקת לידים'!B4441,REPT("0",הגדרות!$E$3)),TEXT('הדבקת לידים'!B4441,"0")),TRIM('הדבקת לידים'!B4441)))</f>
        <v/>
      </c>
      <c r="C4441" s="0" t="n">
        <f aca="false">IF(OR(A4441&lt;&gt;"",B4441&lt;&gt;""),1,0)</f>
        <v>0</v>
      </c>
      <c r="D4441" s="0" t="str">
        <f aca="false">IF(C4441=1,MOD(ABS(SIN(ROW()*12.9898+'הדבקת לידים'!$F$2*78.233+IFERROR(--RIGHT(A4441,6),LEN(A4441))*0.0137+IFERROR(--RIGHT(B4441,6),LEN(B4441))*0.0071))*43758.5453,1),"")</f>
        <v/>
      </c>
      <c r="E4441" s="0" t="str">
        <f aca="false">IF(C4441=1,INT(MOD(ABS(SIN(D4441*7919.123+ROW()*0.618+'הדבקת לידים'!$F$2*1.3))*43758.5453,1)*1000000)*10000+ROW(),"")</f>
        <v/>
      </c>
      <c r="F4441" s="0" t="str">
        <f aca="false">IF(E4441="","",RANK(E4441,$E$2:$E$5001,1))</f>
        <v/>
      </c>
      <c r="G4441" s="0" t="n">
        <f aca="false">IF(A4441="",0,IF(SUMPRODUCT(--($A$2:$A$5001=A4441))&gt;1,1,0))</f>
        <v>0</v>
      </c>
      <c r="H4441" s="0" t="n">
        <f aca="false">ROW()-1</f>
        <v>4440</v>
      </c>
      <c r="I4441" s="0" t="str">
        <f aca="false">IF(OR(הגדרות!$E$6=0,H4441&gt;הגדרות!$E$5),"",IF(H4441-1&lt;הגדרות!$E$8*(הגדרות!$E$7+1),INT((H4441-1)/(הגדרות!$E$7+1)),הגדרות!$E$8+INT((H4441-1-הגדרות!$E$8*(הגדרות!$E$7+1))/הגדרות!$E$7)))</f>
        <v/>
      </c>
      <c r="J4441" s="0" t="str">
        <f aca="false">IF(I4441="","",IF(H4441-1&lt;הגדרות!$E$8*(הגדרות!$E$7+1),MOD(H4441-1,הגדרות!$E$7+1),MOD(H4441-1-הגדרות!$E$8*(הגדרות!$E$7+1),הגדרות!$E$7)))</f>
        <v/>
      </c>
      <c r="K4441" s="0" t="str">
        <f aca="false">IF(I4441="","",J4441*הגדרות!$E$6+I4441+1)</f>
        <v/>
      </c>
      <c r="L4441" s="0" t="str">
        <f aca="false">IF(K4441="","",MATCH(K4441,$F$2:$F$5001,0))</f>
        <v/>
      </c>
      <c r="M4441" s="0" t="str">
        <f aca="false">IF(I4441="","",INDEX(הגדרות!$A$2:$A$21,MOD(I4441+הגדרות!$E$9,הגדרות!$E$6)+1))</f>
        <v/>
      </c>
    </row>
    <row r="4442" customFormat="false" ht="15" hidden="false" customHeight="false" outlineLevel="0" collapsed="false">
      <c r="A4442" s="0" t="str">
        <f aca="false">IF('הדבקת לידים'!A4442="","",IF(ISNUMBER('הדבקת לידים'!A4442),IF(הגדרות!$E$2&gt;0,TEXT('הדבקת לידים'!A4442,REPT("0",הגדרות!$E$2)),TEXT('הדבקת לידים'!A4442,"0")),TRIM('הדבקת לידים'!A4442)))</f>
        <v/>
      </c>
      <c r="B4442" s="0" t="str">
        <f aca="false">IF('הדבקת לידים'!B4442="","",IF(ISNUMBER('הדבקת לידים'!B4442),IF(הגדרות!$E$3&gt;0,TEXT('הדבקת לידים'!B4442,REPT("0",הגדרות!$E$3)),TEXT('הדבקת לידים'!B4442,"0")),TRIM('הדבקת לידים'!B4442)))</f>
        <v/>
      </c>
      <c r="C4442" s="0" t="n">
        <f aca="false">IF(OR(A4442&lt;&gt;"",B4442&lt;&gt;""),1,0)</f>
        <v>0</v>
      </c>
      <c r="D4442" s="0" t="str">
        <f aca="false">IF(C4442=1,MOD(ABS(SIN(ROW()*12.9898+'הדבקת לידים'!$F$2*78.233+IFERROR(--RIGHT(A4442,6),LEN(A4442))*0.0137+IFERROR(--RIGHT(B4442,6),LEN(B4442))*0.0071))*43758.5453,1),"")</f>
        <v/>
      </c>
      <c r="E4442" s="0" t="str">
        <f aca="false">IF(C4442=1,INT(MOD(ABS(SIN(D4442*7919.123+ROW()*0.618+'הדבקת לידים'!$F$2*1.3))*43758.5453,1)*1000000)*10000+ROW(),"")</f>
        <v/>
      </c>
      <c r="F4442" s="0" t="str">
        <f aca="false">IF(E4442="","",RANK(E4442,$E$2:$E$5001,1))</f>
        <v/>
      </c>
      <c r="G4442" s="0" t="n">
        <f aca="false">IF(A4442="",0,IF(SUMPRODUCT(--($A$2:$A$5001=A4442))&gt;1,1,0))</f>
        <v>0</v>
      </c>
      <c r="H4442" s="0" t="n">
        <f aca="false">ROW()-1</f>
        <v>4441</v>
      </c>
      <c r="I4442" s="0" t="str">
        <f aca="false">IF(OR(הגדרות!$E$6=0,H4442&gt;הגדרות!$E$5),"",IF(H4442-1&lt;הגדרות!$E$8*(הגדרות!$E$7+1),INT((H4442-1)/(הגדרות!$E$7+1)),הגדרות!$E$8+INT((H4442-1-הגדרות!$E$8*(הגדרות!$E$7+1))/הגדרות!$E$7)))</f>
        <v/>
      </c>
      <c r="J4442" s="0" t="str">
        <f aca="false">IF(I4442="","",IF(H4442-1&lt;הגדרות!$E$8*(הגדרות!$E$7+1),MOD(H4442-1,הגדרות!$E$7+1),MOD(H4442-1-הגדרות!$E$8*(הגדרות!$E$7+1),הגדרות!$E$7)))</f>
        <v/>
      </c>
      <c r="K4442" s="0" t="str">
        <f aca="false">IF(I4442="","",J4442*הגדרות!$E$6+I4442+1)</f>
        <v/>
      </c>
      <c r="L4442" s="0" t="str">
        <f aca="false">IF(K4442="","",MATCH(K4442,$F$2:$F$5001,0))</f>
        <v/>
      </c>
      <c r="M4442" s="0" t="str">
        <f aca="false">IF(I4442="","",INDEX(הגדרות!$A$2:$A$21,MOD(I4442+הגדרות!$E$9,הגדרות!$E$6)+1))</f>
        <v/>
      </c>
    </row>
    <row r="4443" customFormat="false" ht="15" hidden="false" customHeight="false" outlineLevel="0" collapsed="false">
      <c r="A4443" s="0" t="str">
        <f aca="false">IF('הדבקת לידים'!A4443="","",IF(ISNUMBER('הדבקת לידים'!A4443),IF(הגדרות!$E$2&gt;0,TEXT('הדבקת לידים'!A4443,REPT("0",הגדרות!$E$2)),TEXT('הדבקת לידים'!A4443,"0")),TRIM('הדבקת לידים'!A4443)))</f>
        <v/>
      </c>
      <c r="B4443" s="0" t="str">
        <f aca="false">IF('הדבקת לידים'!B4443="","",IF(ISNUMBER('הדבקת לידים'!B4443),IF(הגדרות!$E$3&gt;0,TEXT('הדבקת לידים'!B4443,REPT("0",הגדרות!$E$3)),TEXT('הדבקת לידים'!B4443,"0")),TRIM('הדבקת לידים'!B4443)))</f>
        <v/>
      </c>
      <c r="C4443" s="0" t="n">
        <f aca="false">IF(OR(A4443&lt;&gt;"",B4443&lt;&gt;""),1,0)</f>
        <v>0</v>
      </c>
      <c r="D4443" s="0" t="str">
        <f aca="false">IF(C4443=1,MOD(ABS(SIN(ROW()*12.9898+'הדבקת לידים'!$F$2*78.233+IFERROR(--RIGHT(A4443,6),LEN(A4443))*0.0137+IFERROR(--RIGHT(B4443,6),LEN(B4443))*0.0071))*43758.5453,1),"")</f>
        <v/>
      </c>
      <c r="E4443" s="0" t="str">
        <f aca="false">IF(C4443=1,INT(MOD(ABS(SIN(D4443*7919.123+ROW()*0.618+'הדבקת לידים'!$F$2*1.3))*43758.5453,1)*1000000)*10000+ROW(),"")</f>
        <v/>
      </c>
      <c r="F4443" s="0" t="str">
        <f aca="false">IF(E4443="","",RANK(E4443,$E$2:$E$5001,1))</f>
        <v/>
      </c>
      <c r="G4443" s="0" t="n">
        <f aca="false">IF(A4443="",0,IF(SUMPRODUCT(--($A$2:$A$5001=A4443))&gt;1,1,0))</f>
        <v>0</v>
      </c>
      <c r="H4443" s="0" t="n">
        <f aca="false">ROW()-1</f>
        <v>4442</v>
      </c>
      <c r="I4443" s="0" t="str">
        <f aca="false">IF(OR(הגדרות!$E$6=0,H4443&gt;הגדרות!$E$5),"",IF(H4443-1&lt;הגדרות!$E$8*(הגדרות!$E$7+1),INT((H4443-1)/(הגדרות!$E$7+1)),הגדרות!$E$8+INT((H4443-1-הגדרות!$E$8*(הגדרות!$E$7+1))/הגדרות!$E$7)))</f>
        <v/>
      </c>
      <c r="J4443" s="0" t="str">
        <f aca="false">IF(I4443="","",IF(H4443-1&lt;הגדרות!$E$8*(הגדרות!$E$7+1),MOD(H4443-1,הגדרות!$E$7+1),MOD(H4443-1-הגדרות!$E$8*(הגדרות!$E$7+1),הגדרות!$E$7)))</f>
        <v/>
      </c>
      <c r="K4443" s="0" t="str">
        <f aca="false">IF(I4443="","",J4443*הגדרות!$E$6+I4443+1)</f>
        <v/>
      </c>
      <c r="L4443" s="0" t="str">
        <f aca="false">IF(K4443="","",MATCH(K4443,$F$2:$F$5001,0))</f>
        <v/>
      </c>
      <c r="M4443" s="0" t="str">
        <f aca="false">IF(I4443="","",INDEX(הגדרות!$A$2:$A$21,MOD(I4443+הגדרות!$E$9,הגדרות!$E$6)+1))</f>
        <v/>
      </c>
    </row>
    <row r="4444" customFormat="false" ht="15" hidden="false" customHeight="false" outlineLevel="0" collapsed="false">
      <c r="A4444" s="0" t="str">
        <f aca="false">IF('הדבקת לידים'!A4444="","",IF(ISNUMBER('הדבקת לידים'!A4444),IF(הגדרות!$E$2&gt;0,TEXT('הדבקת לידים'!A4444,REPT("0",הגדרות!$E$2)),TEXT('הדבקת לידים'!A4444,"0")),TRIM('הדבקת לידים'!A4444)))</f>
        <v/>
      </c>
      <c r="B4444" s="0" t="str">
        <f aca="false">IF('הדבקת לידים'!B4444="","",IF(ISNUMBER('הדבקת לידים'!B4444),IF(הגדרות!$E$3&gt;0,TEXT('הדבקת לידים'!B4444,REPT("0",הגדרות!$E$3)),TEXT('הדבקת לידים'!B4444,"0")),TRIM('הדבקת לידים'!B4444)))</f>
        <v/>
      </c>
      <c r="C4444" s="0" t="n">
        <f aca="false">IF(OR(A4444&lt;&gt;"",B4444&lt;&gt;""),1,0)</f>
        <v>0</v>
      </c>
      <c r="D4444" s="0" t="str">
        <f aca="false">IF(C4444=1,MOD(ABS(SIN(ROW()*12.9898+'הדבקת לידים'!$F$2*78.233+IFERROR(--RIGHT(A4444,6),LEN(A4444))*0.0137+IFERROR(--RIGHT(B4444,6),LEN(B4444))*0.0071))*43758.5453,1),"")</f>
        <v/>
      </c>
      <c r="E4444" s="0" t="str">
        <f aca="false">IF(C4444=1,INT(MOD(ABS(SIN(D4444*7919.123+ROW()*0.618+'הדבקת לידים'!$F$2*1.3))*43758.5453,1)*1000000)*10000+ROW(),"")</f>
        <v/>
      </c>
      <c r="F4444" s="0" t="str">
        <f aca="false">IF(E4444="","",RANK(E4444,$E$2:$E$5001,1))</f>
        <v/>
      </c>
      <c r="G4444" s="0" t="n">
        <f aca="false">IF(A4444="",0,IF(SUMPRODUCT(--($A$2:$A$5001=A4444))&gt;1,1,0))</f>
        <v>0</v>
      </c>
      <c r="H4444" s="0" t="n">
        <f aca="false">ROW()-1</f>
        <v>4443</v>
      </c>
      <c r="I4444" s="0" t="str">
        <f aca="false">IF(OR(הגדרות!$E$6=0,H4444&gt;הגדרות!$E$5),"",IF(H4444-1&lt;הגדרות!$E$8*(הגדרות!$E$7+1),INT((H4444-1)/(הגדרות!$E$7+1)),הגדרות!$E$8+INT((H4444-1-הגדרות!$E$8*(הגדרות!$E$7+1))/הגדרות!$E$7)))</f>
        <v/>
      </c>
      <c r="J4444" s="0" t="str">
        <f aca="false">IF(I4444="","",IF(H4444-1&lt;הגדרות!$E$8*(הגדרות!$E$7+1),MOD(H4444-1,הגדרות!$E$7+1),MOD(H4444-1-הגדרות!$E$8*(הגדרות!$E$7+1),הגדרות!$E$7)))</f>
        <v/>
      </c>
      <c r="K4444" s="0" t="str">
        <f aca="false">IF(I4444="","",J4444*הגדרות!$E$6+I4444+1)</f>
        <v/>
      </c>
      <c r="L4444" s="0" t="str">
        <f aca="false">IF(K4444="","",MATCH(K4444,$F$2:$F$5001,0))</f>
        <v/>
      </c>
      <c r="M4444" s="0" t="str">
        <f aca="false">IF(I4444="","",INDEX(הגדרות!$A$2:$A$21,MOD(I4444+הגדרות!$E$9,הגדרות!$E$6)+1))</f>
        <v/>
      </c>
    </row>
    <row r="4445" customFormat="false" ht="15" hidden="false" customHeight="false" outlineLevel="0" collapsed="false">
      <c r="A4445" s="0" t="str">
        <f aca="false">IF('הדבקת לידים'!A4445="","",IF(ISNUMBER('הדבקת לידים'!A4445),IF(הגדרות!$E$2&gt;0,TEXT('הדבקת לידים'!A4445,REPT("0",הגדרות!$E$2)),TEXT('הדבקת לידים'!A4445,"0")),TRIM('הדבקת לידים'!A4445)))</f>
        <v/>
      </c>
      <c r="B4445" s="0" t="str">
        <f aca="false">IF('הדבקת לידים'!B4445="","",IF(ISNUMBER('הדבקת לידים'!B4445),IF(הגדרות!$E$3&gt;0,TEXT('הדבקת לידים'!B4445,REPT("0",הגדרות!$E$3)),TEXT('הדבקת לידים'!B4445,"0")),TRIM('הדבקת לידים'!B4445)))</f>
        <v/>
      </c>
      <c r="C4445" s="0" t="n">
        <f aca="false">IF(OR(A4445&lt;&gt;"",B4445&lt;&gt;""),1,0)</f>
        <v>0</v>
      </c>
      <c r="D4445" s="0" t="str">
        <f aca="false">IF(C4445=1,MOD(ABS(SIN(ROW()*12.9898+'הדבקת לידים'!$F$2*78.233+IFERROR(--RIGHT(A4445,6),LEN(A4445))*0.0137+IFERROR(--RIGHT(B4445,6),LEN(B4445))*0.0071))*43758.5453,1),"")</f>
        <v/>
      </c>
      <c r="E4445" s="0" t="str">
        <f aca="false">IF(C4445=1,INT(MOD(ABS(SIN(D4445*7919.123+ROW()*0.618+'הדבקת לידים'!$F$2*1.3))*43758.5453,1)*1000000)*10000+ROW(),"")</f>
        <v/>
      </c>
      <c r="F4445" s="0" t="str">
        <f aca="false">IF(E4445="","",RANK(E4445,$E$2:$E$5001,1))</f>
        <v/>
      </c>
      <c r="G4445" s="0" t="n">
        <f aca="false">IF(A4445="",0,IF(SUMPRODUCT(--($A$2:$A$5001=A4445))&gt;1,1,0))</f>
        <v>0</v>
      </c>
      <c r="H4445" s="0" t="n">
        <f aca="false">ROW()-1</f>
        <v>4444</v>
      </c>
      <c r="I4445" s="0" t="str">
        <f aca="false">IF(OR(הגדרות!$E$6=0,H4445&gt;הגדרות!$E$5),"",IF(H4445-1&lt;הגדרות!$E$8*(הגדרות!$E$7+1),INT((H4445-1)/(הגדרות!$E$7+1)),הגדרות!$E$8+INT((H4445-1-הגדרות!$E$8*(הגדרות!$E$7+1))/הגדרות!$E$7)))</f>
        <v/>
      </c>
      <c r="J4445" s="0" t="str">
        <f aca="false">IF(I4445="","",IF(H4445-1&lt;הגדרות!$E$8*(הגדרות!$E$7+1),MOD(H4445-1,הגדרות!$E$7+1),MOD(H4445-1-הגדרות!$E$8*(הגדרות!$E$7+1),הגדרות!$E$7)))</f>
        <v/>
      </c>
      <c r="K4445" s="0" t="str">
        <f aca="false">IF(I4445="","",J4445*הגדרות!$E$6+I4445+1)</f>
        <v/>
      </c>
      <c r="L4445" s="0" t="str">
        <f aca="false">IF(K4445="","",MATCH(K4445,$F$2:$F$5001,0))</f>
        <v/>
      </c>
      <c r="M4445" s="0" t="str">
        <f aca="false">IF(I4445="","",INDEX(הגדרות!$A$2:$A$21,MOD(I4445+הגדרות!$E$9,הגדרות!$E$6)+1))</f>
        <v/>
      </c>
    </row>
    <row r="4446" customFormat="false" ht="15" hidden="false" customHeight="false" outlineLevel="0" collapsed="false">
      <c r="A4446" s="0" t="str">
        <f aca="false">IF('הדבקת לידים'!A4446="","",IF(ISNUMBER('הדבקת לידים'!A4446),IF(הגדרות!$E$2&gt;0,TEXT('הדבקת לידים'!A4446,REPT("0",הגדרות!$E$2)),TEXT('הדבקת לידים'!A4446,"0")),TRIM('הדבקת לידים'!A4446)))</f>
        <v/>
      </c>
      <c r="B4446" s="0" t="str">
        <f aca="false">IF('הדבקת לידים'!B4446="","",IF(ISNUMBER('הדבקת לידים'!B4446),IF(הגדרות!$E$3&gt;0,TEXT('הדבקת לידים'!B4446,REPT("0",הגדרות!$E$3)),TEXT('הדבקת לידים'!B4446,"0")),TRIM('הדבקת לידים'!B4446)))</f>
        <v/>
      </c>
      <c r="C4446" s="0" t="n">
        <f aca="false">IF(OR(A4446&lt;&gt;"",B4446&lt;&gt;""),1,0)</f>
        <v>0</v>
      </c>
      <c r="D4446" s="0" t="str">
        <f aca="false">IF(C4446=1,MOD(ABS(SIN(ROW()*12.9898+'הדבקת לידים'!$F$2*78.233+IFERROR(--RIGHT(A4446,6),LEN(A4446))*0.0137+IFERROR(--RIGHT(B4446,6),LEN(B4446))*0.0071))*43758.5453,1),"")</f>
        <v/>
      </c>
      <c r="E4446" s="0" t="str">
        <f aca="false">IF(C4446=1,INT(MOD(ABS(SIN(D4446*7919.123+ROW()*0.618+'הדבקת לידים'!$F$2*1.3))*43758.5453,1)*1000000)*10000+ROW(),"")</f>
        <v/>
      </c>
      <c r="F4446" s="0" t="str">
        <f aca="false">IF(E4446="","",RANK(E4446,$E$2:$E$5001,1))</f>
        <v/>
      </c>
      <c r="G4446" s="0" t="n">
        <f aca="false">IF(A4446="",0,IF(SUMPRODUCT(--($A$2:$A$5001=A4446))&gt;1,1,0))</f>
        <v>0</v>
      </c>
      <c r="H4446" s="0" t="n">
        <f aca="false">ROW()-1</f>
        <v>4445</v>
      </c>
      <c r="I4446" s="0" t="str">
        <f aca="false">IF(OR(הגדרות!$E$6=0,H4446&gt;הגדרות!$E$5),"",IF(H4446-1&lt;הגדרות!$E$8*(הגדרות!$E$7+1),INT((H4446-1)/(הגדרות!$E$7+1)),הגדרות!$E$8+INT((H4446-1-הגדרות!$E$8*(הגדרות!$E$7+1))/הגדרות!$E$7)))</f>
        <v/>
      </c>
      <c r="J4446" s="0" t="str">
        <f aca="false">IF(I4446="","",IF(H4446-1&lt;הגדרות!$E$8*(הגדרות!$E$7+1),MOD(H4446-1,הגדרות!$E$7+1),MOD(H4446-1-הגדרות!$E$8*(הגדרות!$E$7+1),הגדרות!$E$7)))</f>
        <v/>
      </c>
      <c r="K4446" s="0" t="str">
        <f aca="false">IF(I4446="","",J4446*הגדרות!$E$6+I4446+1)</f>
        <v/>
      </c>
      <c r="L4446" s="0" t="str">
        <f aca="false">IF(K4446="","",MATCH(K4446,$F$2:$F$5001,0))</f>
        <v/>
      </c>
      <c r="M4446" s="0" t="str">
        <f aca="false">IF(I4446="","",INDEX(הגדרות!$A$2:$A$21,MOD(I4446+הגדרות!$E$9,הגדרות!$E$6)+1))</f>
        <v/>
      </c>
    </row>
    <row r="4447" customFormat="false" ht="15" hidden="false" customHeight="false" outlineLevel="0" collapsed="false">
      <c r="A4447" s="0" t="str">
        <f aca="false">IF('הדבקת לידים'!A4447="","",IF(ISNUMBER('הדבקת לידים'!A4447),IF(הגדרות!$E$2&gt;0,TEXT('הדבקת לידים'!A4447,REPT("0",הגדרות!$E$2)),TEXT('הדבקת לידים'!A4447,"0")),TRIM('הדבקת לידים'!A4447)))</f>
        <v/>
      </c>
      <c r="B4447" s="0" t="str">
        <f aca="false">IF('הדבקת לידים'!B4447="","",IF(ISNUMBER('הדבקת לידים'!B4447),IF(הגדרות!$E$3&gt;0,TEXT('הדבקת לידים'!B4447,REPT("0",הגדרות!$E$3)),TEXT('הדבקת לידים'!B4447,"0")),TRIM('הדבקת לידים'!B4447)))</f>
        <v/>
      </c>
      <c r="C4447" s="0" t="n">
        <f aca="false">IF(OR(A4447&lt;&gt;"",B4447&lt;&gt;""),1,0)</f>
        <v>0</v>
      </c>
      <c r="D4447" s="0" t="str">
        <f aca="false">IF(C4447=1,MOD(ABS(SIN(ROW()*12.9898+'הדבקת לידים'!$F$2*78.233+IFERROR(--RIGHT(A4447,6),LEN(A4447))*0.0137+IFERROR(--RIGHT(B4447,6),LEN(B4447))*0.0071))*43758.5453,1),"")</f>
        <v/>
      </c>
      <c r="E4447" s="0" t="str">
        <f aca="false">IF(C4447=1,INT(MOD(ABS(SIN(D4447*7919.123+ROW()*0.618+'הדבקת לידים'!$F$2*1.3))*43758.5453,1)*1000000)*10000+ROW(),"")</f>
        <v/>
      </c>
      <c r="F4447" s="0" t="str">
        <f aca="false">IF(E4447="","",RANK(E4447,$E$2:$E$5001,1))</f>
        <v/>
      </c>
      <c r="G4447" s="0" t="n">
        <f aca="false">IF(A4447="",0,IF(SUMPRODUCT(--($A$2:$A$5001=A4447))&gt;1,1,0))</f>
        <v>0</v>
      </c>
      <c r="H4447" s="0" t="n">
        <f aca="false">ROW()-1</f>
        <v>4446</v>
      </c>
      <c r="I4447" s="0" t="str">
        <f aca="false">IF(OR(הגדרות!$E$6=0,H4447&gt;הגדרות!$E$5),"",IF(H4447-1&lt;הגדרות!$E$8*(הגדרות!$E$7+1),INT((H4447-1)/(הגדרות!$E$7+1)),הגדרות!$E$8+INT((H4447-1-הגדרות!$E$8*(הגדרות!$E$7+1))/הגדרות!$E$7)))</f>
        <v/>
      </c>
      <c r="J4447" s="0" t="str">
        <f aca="false">IF(I4447="","",IF(H4447-1&lt;הגדרות!$E$8*(הגדרות!$E$7+1),MOD(H4447-1,הגדרות!$E$7+1),MOD(H4447-1-הגדרות!$E$8*(הגדרות!$E$7+1),הגדרות!$E$7)))</f>
        <v/>
      </c>
      <c r="K4447" s="0" t="str">
        <f aca="false">IF(I4447="","",J4447*הגדרות!$E$6+I4447+1)</f>
        <v/>
      </c>
      <c r="L4447" s="0" t="str">
        <f aca="false">IF(K4447="","",MATCH(K4447,$F$2:$F$5001,0))</f>
        <v/>
      </c>
      <c r="M4447" s="0" t="str">
        <f aca="false">IF(I4447="","",INDEX(הגדרות!$A$2:$A$21,MOD(I4447+הגדרות!$E$9,הגדרות!$E$6)+1))</f>
        <v/>
      </c>
    </row>
    <row r="4448" customFormat="false" ht="15" hidden="false" customHeight="false" outlineLevel="0" collapsed="false">
      <c r="A4448" s="0" t="str">
        <f aca="false">IF('הדבקת לידים'!A4448="","",IF(ISNUMBER('הדבקת לידים'!A4448),IF(הגדרות!$E$2&gt;0,TEXT('הדבקת לידים'!A4448,REPT("0",הגדרות!$E$2)),TEXT('הדבקת לידים'!A4448,"0")),TRIM('הדבקת לידים'!A4448)))</f>
        <v/>
      </c>
      <c r="B4448" s="0" t="str">
        <f aca="false">IF('הדבקת לידים'!B4448="","",IF(ISNUMBER('הדבקת לידים'!B4448),IF(הגדרות!$E$3&gt;0,TEXT('הדבקת לידים'!B4448,REPT("0",הגדרות!$E$3)),TEXT('הדבקת לידים'!B4448,"0")),TRIM('הדבקת לידים'!B4448)))</f>
        <v/>
      </c>
      <c r="C4448" s="0" t="n">
        <f aca="false">IF(OR(A4448&lt;&gt;"",B4448&lt;&gt;""),1,0)</f>
        <v>0</v>
      </c>
      <c r="D4448" s="0" t="str">
        <f aca="false">IF(C4448=1,MOD(ABS(SIN(ROW()*12.9898+'הדבקת לידים'!$F$2*78.233+IFERROR(--RIGHT(A4448,6),LEN(A4448))*0.0137+IFERROR(--RIGHT(B4448,6),LEN(B4448))*0.0071))*43758.5453,1),"")</f>
        <v/>
      </c>
      <c r="E4448" s="0" t="str">
        <f aca="false">IF(C4448=1,INT(MOD(ABS(SIN(D4448*7919.123+ROW()*0.618+'הדבקת לידים'!$F$2*1.3))*43758.5453,1)*1000000)*10000+ROW(),"")</f>
        <v/>
      </c>
      <c r="F4448" s="0" t="str">
        <f aca="false">IF(E4448="","",RANK(E4448,$E$2:$E$5001,1))</f>
        <v/>
      </c>
      <c r="G4448" s="0" t="n">
        <f aca="false">IF(A4448="",0,IF(SUMPRODUCT(--($A$2:$A$5001=A4448))&gt;1,1,0))</f>
        <v>0</v>
      </c>
      <c r="H4448" s="0" t="n">
        <f aca="false">ROW()-1</f>
        <v>4447</v>
      </c>
      <c r="I4448" s="0" t="str">
        <f aca="false">IF(OR(הגדרות!$E$6=0,H4448&gt;הגדרות!$E$5),"",IF(H4448-1&lt;הגדרות!$E$8*(הגדרות!$E$7+1),INT((H4448-1)/(הגדרות!$E$7+1)),הגדרות!$E$8+INT((H4448-1-הגדרות!$E$8*(הגדרות!$E$7+1))/הגדרות!$E$7)))</f>
        <v/>
      </c>
      <c r="J4448" s="0" t="str">
        <f aca="false">IF(I4448="","",IF(H4448-1&lt;הגדרות!$E$8*(הגדרות!$E$7+1),MOD(H4448-1,הגדרות!$E$7+1),MOD(H4448-1-הגדרות!$E$8*(הגדרות!$E$7+1),הגדרות!$E$7)))</f>
        <v/>
      </c>
      <c r="K4448" s="0" t="str">
        <f aca="false">IF(I4448="","",J4448*הגדרות!$E$6+I4448+1)</f>
        <v/>
      </c>
      <c r="L4448" s="0" t="str">
        <f aca="false">IF(K4448="","",MATCH(K4448,$F$2:$F$5001,0))</f>
        <v/>
      </c>
      <c r="M4448" s="0" t="str">
        <f aca="false">IF(I4448="","",INDEX(הגדרות!$A$2:$A$21,MOD(I4448+הגדרות!$E$9,הגדרות!$E$6)+1))</f>
        <v/>
      </c>
    </row>
    <row r="4449" customFormat="false" ht="15" hidden="false" customHeight="false" outlineLevel="0" collapsed="false">
      <c r="A4449" s="0" t="str">
        <f aca="false">IF('הדבקת לידים'!A4449="","",IF(ISNUMBER('הדבקת לידים'!A4449),IF(הגדרות!$E$2&gt;0,TEXT('הדבקת לידים'!A4449,REPT("0",הגדרות!$E$2)),TEXT('הדבקת לידים'!A4449,"0")),TRIM('הדבקת לידים'!A4449)))</f>
        <v/>
      </c>
      <c r="B4449" s="0" t="str">
        <f aca="false">IF('הדבקת לידים'!B4449="","",IF(ISNUMBER('הדבקת לידים'!B4449),IF(הגדרות!$E$3&gt;0,TEXT('הדבקת לידים'!B4449,REPT("0",הגדרות!$E$3)),TEXT('הדבקת לידים'!B4449,"0")),TRIM('הדבקת לידים'!B4449)))</f>
        <v/>
      </c>
      <c r="C4449" s="0" t="n">
        <f aca="false">IF(OR(A4449&lt;&gt;"",B4449&lt;&gt;""),1,0)</f>
        <v>0</v>
      </c>
      <c r="D4449" s="0" t="str">
        <f aca="false">IF(C4449=1,MOD(ABS(SIN(ROW()*12.9898+'הדבקת לידים'!$F$2*78.233+IFERROR(--RIGHT(A4449,6),LEN(A4449))*0.0137+IFERROR(--RIGHT(B4449,6),LEN(B4449))*0.0071))*43758.5453,1),"")</f>
        <v/>
      </c>
      <c r="E4449" s="0" t="str">
        <f aca="false">IF(C4449=1,INT(MOD(ABS(SIN(D4449*7919.123+ROW()*0.618+'הדבקת לידים'!$F$2*1.3))*43758.5453,1)*1000000)*10000+ROW(),"")</f>
        <v/>
      </c>
      <c r="F4449" s="0" t="str">
        <f aca="false">IF(E4449="","",RANK(E4449,$E$2:$E$5001,1))</f>
        <v/>
      </c>
      <c r="G4449" s="0" t="n">
        <f aca="false">IF(A4449="",0,IF(SUMPRODUCT(--($A$2:$A$5001=A4449))&gt;1,1,0))</f>
        <v>0</v>
      </c>
      <c r="H4449" s="0" t="n">
        <f aca="false">ROW()-1</f>
        <v>4448</v>
      </c>
      <c r="I4449" s="0" t="str">
        <f aca="false">IF(OR(הגדרות!$E$6=0,H4449&gt;הגדרות!$E$5),"",IF(H4449-1&lt;הגדרות!$E$8*(הגדרות!$E$7+1),INT((H4449-1)/(הגדרות!$E$7+1)),הגדרות!$E$8+INT((H4449-1-הגדרות!$E$8*(הגדרות!$E$7+1))/הגדרות!$E$7)))</f>
        <v/>
      </c>
      <c r="J4449" s="0" t="str">
        <f aca="false">IF(I4449="","",IF(H4449-1&lt;הגדרות!$E$8*(הגדרות!$E$7+1),MOD(H4449-1,הגדרות!$E$7+1),MOD(H4449-1-הגדרות!$E$8*(הגדרות!$E$7+1),הגדרות!$E$7)))</f>
        <v/>
      </c>
      <c r="K4449" s="0" t="str">
        <f aca="false">IF(I4449="","",J4449*הגדרות!$E$6+I4449+1)</f>
        <v/>
      </c>
      <c r="L4449" s="0" t="str">
        <f aca="false">IF(K4449="","",MATCH(K4449,$F$2:$F$5001,0))</f>
        <v/>
      </c>
      <c r="M4449" s="0" t="str">
        <f aca="false">IF(I4449="","",INDEX(הגדרות!$A$2:$A$21,MOD(I4449+הגדרות!$E$9,הגדרות!$E$6)+1))</f>
        <v/>
      </c>
    </row>
    <row r="4450" customFormat="false" ht="15" hidden="false" customHeight="false" outlineLevel="0" collapsed="false">
      <c r="A4450" s="0" t="str">
        <f aca="false">IF('הדבקת לידים'!A4450="","",IF(ISNUMBER('הדבקת לידים'!A4450),IF(הגדרות!$E$2&gt;0,TEXT('הדבקת לידים'!A4450,REPT("0",הגדרות!$E$2)),TEXT('הדבקת לידים'!A4450,"0")),TRIM('הדבקת לידים'!A4450)))</f>
        <v/>
      </c>
      <c r="B4450" s="0" t="str">
        <f aca="false">IF('הדבקת לידים'!B4450="","",IF(ISNUMBER('הדבקת לידים'!B4450),IF(הגדרות!$E$3&gt;0,TEXT('הדבקת לידים'!B4450,REPT("0",הגדרות!$E$3)),TEXT('הדבקת לידים'!B4450,"0")),TRIM('הדבקת לידים'!B4450)))</f>
        <v/>
      </c>
      <c r="C4450" s="0" t="n">
        <f aca="false">IF(OR(A4450&lt;&gt;"",B4450&lt;&gt;""),1,0)</f>
        <v>0</v>
      </c>
      <c r="D4450" s="0" t="str">
        <f aca="false">IF(C4450=1,MOD(ABS(SIN(ROW()*12.9898+'הדבקת לידים'!$F$2*78.233+IFERROR(--RIGHT(A4450,6),LEN(A4450))*0.0137+IFERROR(--RIGHT(B4450,6),LEN(B4450))*0.0071))*43758.5453,1),"")</f>
        <v/>
      </c>
      <c r="E4450" s="0" t="str">
        <f aca="false">IF(C4450=1,INT(MOD(ABS(SIN(D4450*7919.123+ROW()*0.618+'הדבקת לידים'!$F$2*1.3))*43758.5453,1)*1000000)*10000+ROW(),"")</f>
        <v/>
      </c>
      <c r="F4450" s="0" t="str">
        <f aca="false">IF(E4450="","",RANK(E4450,$E$2:$E$5001,1))</f>
        <v/>
      </c>
      <c r="G4450" s="0" t="n">
        <f aca="false">IF(A4450="",0,IF(SUMPRODUCT(--($A$2:$A$5001=A4450))&gt;1,1,0))</f>
        <v>0</v>
      </c>
      <c r="H4450" s="0" t="n">
        <f aca="false">ROW()-1</f>
        <v>4449</v>
      </c>
      <c r="I4450" s="0" t="str">
        <f aca="false">IF(OR(הגדרות!$E$6=0,H4450&gt;הגדרות!$E$5),"",IF(H4450-1&lt;הגדרות!$E$8*(הגדרות!$E$7+1),INT((H4450-1)/(הגדרות!$E$7+1)),הגדרות!$E$8+INT((H4450-1-הגדרות!$E$8*(הגדרות!$E$7+1))/הגדרות!$E$7)))</f>
        <v/>
      </c>
      <c r="J4450" s="0" t="str">
        <f aca="false">IF(I4450="","",IF(H4450-1&lt;הגדרות!$E$8*(הגדרות!$E$7+1),MOD(H4450-1,הגדרות!$E$7+1),MOD(H4450-1-הגדרות!$E$8*(הגדרות!$E$7+1),הגדרות!$E$7)))</f>
        <v/>
      </c>
      <c r="K4450" s="0" t="str">
        <f aca="false">IF(I4450="","",J4450*הגדרות!$E$6+I4450+1)</f>
        <v/>
      </c>
      <c r="L4450" s="0" t="str">
        <f aca="false">IF(K4450="","",MATCH(K4450,$F$2:$F$5001,0))</f>
        <v/>
      </c>
      <c r="M4450" s="0" t="str">
        <f aca="false">IF(I4450="","",INDEX(הגדרות!$A$2:$A$21,MOD(I4450+הגדרות!$E$9,הגדרות!$E$6)+1))</f>
        <v/>
      </c>
    </row>
    <row r="4451" customFormat="false" ht="15" hidden="false" customHeight="false" outlineLevel="0" collapsed="false">
      <c r="A4451" s="0" t="str">
        <f aca="false">IF('הדבקת לידים'!A4451="","",IF(ISNUMBER('הדבקת לידים'!A4451),IF(הגדרות!$E$2&gt;0,TEXT('הדבקת לידים'!A4451,REPT("0",הגדרות!$E$2)),TEXT('הדבקת לידים'!A4451,"0")),TRIM('הדבקת לידים'!A4451)))</f>
        <v/>
      </c>
      <c r="B4451" s="0" t="str">
        <f aca="false">IF('הדבקת לידים'!B4451="","",IF(ISNUMBER('הדבקת לידים'!B4451),IF(הגדרות!$E$3&gt;0,TEXT('הדבקת לידים'!B4451,REPT("0",הגדרות!$E$3)),TEXT('הדבקת לידים'!B4451,"0")),TRIM('הדבקת לידים'!B4451)))</f>
        <v/>
      </c>
      <c r="C4451" s="0" t="n">
        <f aca="false">IF(OR(A4451&lt;&gt;"",B4451&lt;&gt;""),1,0)</f>
        <v>0</v>
      </c>
      <c r="D4451" s="0" t="str">
        <f aca="false">IF(C4451=1,MOD(ABS(SIN(ROW()*12.9898+'הדבקת לידים'!$F$2*78.233+IFERROR(--RIGHT(A4451,6),LEN(A4451))*0.0137+IFERROR(--RIGHT(B4451,6),LEN(B4451))*0.0071))*43758.5453,1),"")</f>
        <v/>
      </c>
      <c r="E4451" s="0" t="str">
        <f aca="false">IF(C4451=1,INT(MOD(ABS(SIN(D4451*7919.123+ROW()*0.618+'הדבקת לידים'!$F$2*1.3))*43758.5453,1)*1000000)*10000+ROW(),"")</f>
        <v/>
      </c>
      <c r="F4451" s="0" t="str">
        <f aca="false">IF(E4451="","",RANK(E4451,$E$2:$E$5001,1))</f>
        <v/>
      </c>
      <c r="G4451" s="0" t="n">
        <f aca="false">IF(A4451="",0,IF(SUMPRODUCT(--($A$2:$A$5001=A4451))&gt;1,1,0))</f>
        <v>0</v>
      </c>
      <c r="H4451" s="0" t="n">
        <f aca="false">ROW()-1</f>
        <v>4450</v>
      </c>
      <c r="I4451" s="0" t="str">
        <f aca="false">IF(OR(הגדרות!$E$6=0,H4451&gt;הגדרות!$E$5),"",IF(H4451-1&lt;הגדרות!$E$8*(הגדרות!$E$7+1),INT((H4451-1)/(הגדרות!$E$7+1)),הגדרות!$E$8+INT((H4451-1-הגדרות!$E$8*(הגדרות!$E$7+1))/הגדרות!$E$7)))</f>
        <v/>
      </c>
      <c r="J4451" s="0" t="str">
        <f aca="false">IF(I4451="","",IF(H4451-1&lt;הגדרות!$E$8*(הגדרות!$E$7+1),MOD(H4451-1,הגדרות!$E$7+1),MOD(H4451-1-הגדרות!$E$8*(הגדרות!$E$7+1),הגדרות!$E$7)))</f>
        <v/>
      </c>
      <c r="K4451" s="0" t="str">
        <f aca="false">IF(I4451="","",J4451*הגדרות!$E$6+I4451+1)</f>
        <v/>
      </c>
      <c r="L4451" s="0" t="str">
        <f aca="false">IF(K4451="","",MATCH(K4451,$F$2:$F$5001,0))</f>
        <v/>
      </c>
      <c r="M4451" s="0" t="str">
        <f aca="false">IF(I4451="","",INDEX(הגדרות!$A$2:$A$21,MOD(I4451+הגדרות!$E$9,הגדרות!$E$6)+1))</f>
        <v/>
      </c>
    </row>
    <row r="4452" customFormat="false" ht="15" hidden="false" customHeight="false" outlineLevel="0" collapsed="false">
      <c r="A4452" s="0" t="str">
        <f aca="false">IF('הדבקת לידים'!A4452="","",IF(ISNUMBER('הדבקת לידים'!A4452),IF(הגדרות!$E$2&gt;0,TEXT('הדבקת לידים'!A4452,REPT("0",הגדרות!$E$2)),TEXT('הדבקת לידים'!A4452,"0")),TRIM('הדבקת לידים'!A4452)))</f>
        <v/>
      </c>
      <c r="B4452" s="0" t="str">
        <f aca="false">IF('הדבקת לידים'!B4452="","",IF(ISNUMBER('הדבקת לידים'!B4452),IF(הגדרות!$E$3&gt;0,TEXT('הדבקת לידים'!B4452,REPT("0",הגדרות!$E$3)),TEXT('הדבקת לידים'!B4452,"0")),TRIM('הדבקת לידים'!B4452)))</f>
        <v/>
      </c>
      <c r="C4452" s="0" t="n">
        <f aca="false">IF(OR(A4452&lt;&gt;"",B4452&lt;&gt;""),1,0)</f>
        <v>0</v>
      </c>
      <c r="D4452" s="0" t="str">
        <f aca="false">IF(C4452=1,MOD(ABS(SIN(ROW()*12.9898+'הדבקת לידים'!$F$2*78.233+IFERROR(--RIGHT(A4452,6),LEN(A4452))*0.0137+IFERROR(--RIGHT(B4452,6),LEN(B4452))*0.0071))*43758.5453,1),"")</f>
        <v/>
      </c>
      <c r="E4452" s="0" t="str">
        <f aca="false">IF(C4452=1,INT(MOD(ABS(SIN(D4452*7919.123+ROW()*0.618+'הדבקת לידים'!$F$2*1.3))*43758.5453,1)*1000000)*10000+ROW(),"")</f>
        <v/>
      </c>
      <c r="F4452" s="0" t="str">
        <f aca="false">IF(E4452="","",RANK(E4452,$E$2:$E$5001,1))</f>
        <v/>
      </c>
      <c r="G4452" s="0" t="n">
        <f aca="false">IF(A4452="",0,IF(SUMPRODUCT(--($A$2:$A$5001=A4452))&gt;1,1,0))</f>
        <v>0</v>
      </c>
      <c r="H4452" s="0" t="n">
        <f aca="false">ROW()-1</f>
        <v>4451</v>
      </c>
      <c r="I4452" s="0" t="str">
        <f aca="false">IF(OR(הגדרות!$E$6=0,H4452&gt;הגדרות!$E$5),"",IF(H4452-1&lt;הגדרות!$E$8*(הגדרות!$E$7+1),INT((H4452-1)/(הגדרות!$E$7+1)),הגדרות!$E$8+INT((H4452-1-הגדרות!$E$8*(הגדרות!$E$7+1))/הגדרות!$E$7)))</f>
        <v/>
      </c>
      <c r="J4452" s="0" t="str">
        <f aca="false">IF(I4452="","",IF(H4452-1&lt;הגדרות!$E$8*(הגדרות!$E$7+1),MOD(H4452-1,הגדרות!$E$7+1),MOD(H4452-1-הגדרות!$E$8*(הגדרות!$E$7+1),הגדרות!$E$7)))</f>
        <v/>
      </c>
      <c r="K4452" s="0" t="str">
        <f aca="false">IF(I4452="","",J4452*הגדרות!$E$6+I4452+1)</f>
        <v/>
      </c>
      <c r="L4452" s="0" t="str">
        <f aca="false">IF(K4452="","",MATCH(K4452,$F$2:$F$5001,0))</f>
        <v/>
      </c>
      <c r="M4452" s="0" t="str">
        <f aca="false">IF(I4452="","",INDEX(הגדרות!$A$2:$A$21,MOD(I4452+הגדרות!$E$9,הגדרות!$E$6)+1))</f>
        <v/>
      </c>
    </row>
    <row r="4453" customFormat="false" ht="15" hidden="false" customHeight="false" outlineLevel="0" collapsed="false">
      <c r="A4453" s="0" t="str">
        <f aca="false">IF('הדבקת לידים'!A4453="","",IF(ISNUMBER('הדבקת לידים'!A4453),IF(הגדרות!$E$2&gt;0,TEXT('הדבקת לידים'!A4453,REPT("0",הגדרות!$E$2)),TEXT('הדבקת לידים'!A4453,"0")),TRIM('הדבקת לידים'!A4453)))</f>
        <v/>
      </c>
      <c r="B4453" s="0" t="str">
        <f aca="false">IF('הדבקת לידים'!B4453="","",IF(ISNUMBER('הדבקת לידים'!B4453),IF(הגדרות!$E$3&gt;0,TEXT('הדבקת לידים'!B4453,REPT("0",הגדרות!$E$3)),TEXT('הדבקת לידים'!B4453,"0")),TRIM('הדבקת לידים'!B4453)))</f>
        <v/>
      </c>
      <c r="C4453" s="0" t="n">
        <f aca="false">IF(OR(A4453&lt;&gt;"",B4453&lt;&gt;""),1,0)</f>
        <v>0</v>
      </c>
      <c r="D4453" s="0" t="str">
        <f aca="false">IF(C4453=1,MOD(ABS(SIN(ROW()*12.9898+'הדבקת לידים'!$F$2*78.233+IFERROR(--RIGHT(A4453,6),LEN(A4453))*0.0137+IFERROR(--RIGHT(B4453,6),LEN(B4453))*0.0071))*43758.5453,1),"")</f>
        <v/>
      </c>
      <c r="E4453" s="0" t="str">
        <f aca="false">IF(C4453=1,INT(MOD(ABS(SIN(D4453*7919.123+ROW()*0.618+'הדבקת לידים'!$F$2*1.3))*43758.5453,1)*1000000)*10000+ROW(),"")</f>
        <v/>
      </c>
      <c r="F4453" s="0" t="str">
        <f aca="false">IF(E4453="","",RANK(E4453,$E$2:$E$5001,1))</f>
        <v/>
      </c>
      <c r="G4453" s="0" t="n">
        <f aca="false">IF(A4453="",0,IF(SUMPRODUCT(--($A$2:$A$5001=A4453))&gt;1,1,0))</f>
        <v>0</v>
      </c>
      <c r="H4453" s="0" t="n">
        <f aca="false">ROW()-1</f>
        <v>4452</v>
      </c>
      <c r="I4453" s="0" t="str">
        <f aca="false">IF(OR(הגדרות!$E$6=0,H4453&gt;הגדרות!$E$5),"",IF(H4453-1&lt;הגדרות!$E$8*(הגדרות!$E$7+1),INT((H4453-1)/(הגדרות!$E$7+1)),הגדרות!$E$8+INT((H4453-1-הגדרות!$E$8*(הגדרות!$E$7+1))/הגדרות!$E$7)))</f>
        <v/>
      </c>
      <c r="J4453" s="0" t="str">
        <f aca="false">IF(I4453="","",IF(H4453-1&lt;הגדרות!$E$8*(הגדרות!$E$7+1),MOD(H4453-1,הגדרות!$E$7+1),MOD(H4453-1-הגדרות!$E$8*(הגדרות!$E$7+1),הגדרות!$E$7)))</f>
        <v/>
      </c>
      <c r="K4453" s="0" t="str">
        <f aca="false">IF(I4453="","",J4453*הגדרות!$E$6+I4453+1)</f>
        <v/>
      </c>
      <c r="L4453" s="0" t="str">
        <f aca="false">IF(K4453="","",MATCH(K4453,$F$2:$F$5001,0))</f>
        <v/>
      </c>
      <c r="M4453" s="0" t="str">
        <f aca="false">IF(I4453="","",INDEX(הגדרות!$A$2:$A$21,MOD(I4453+הגדרות!$E$9,הגדרות!$E$6)+1))</f>
        <v/>
      </c>
    </row>
    <row r="4454" customFormat="false" ht="15" hidden="false" customHeight="false" outlineLevel="0" collapsed="false">
      <c r="A4454" s="0" t="str">
        <f aca="false">IF('הדבקת לידים'!A4454="","",IF(ISNUMBER('הדבקת לידים'!A4454),IF(הגדרות!$E$2&gt;0,TEXT('הדבקת לידים'!A4454,REPT("0",הגדרות!$E$2)),TEXT('הדבקת לידים'!A4454,"0")),TRIM('הדבקת לידים'!A4454)))</f>
        <v/>
      </c>
      <c r="B4454" s="0" t="str">
        <f aca="false">IF('הדבקת לידים'!B4454="","",IF(ISNUMBER('הדבקת לידים'!B4454),IF(הגדרות!$E$3&gt;0,TEXT('הדבקת לידים'!B4454,REPT("0",הגדרות!$E$3)),TEXT('הדבקת לידים'!B4454,"0")),TRIM('הדבקת לידים'!B4454)))</f>
        <v/>
      </c>
      <c r="C4454" s="0" t="n">
        <f aca="false">IF(OR(A4454&lt;&gt;"",B4454&lt;&gt;""),1,0)</f>
        <v>0</v>
      </c>
      <c r="D4454" s="0" t="str">
        <f aca="false">IF(C4454=1,MOD(ABS(SIN(ROW()*12.9898+'הדבקת לידים'!$F$2*78.233+IFERROR(--RIGHT(A4454,6),LEN(A4454))*0.0137+IFERROR(--RIGHT(B4454,6),LEN(B4454))*0.0071))*43758.5453,1),"")</f>
        <v/>
      </c>
      <c r="E4454" s="0" t="str">
        <f aca="false">IF(C4454=1,INT(MOD(ABS(SIN(D4454*7919.123+ROW()*0.618+'הדבקת לידים'!$F$2*1.3))*43758.5453,1)*1000000)*10000+ROW(),"")</f>
        <v/>
      </c>
      <c r="F4454" s="0" t="str">
        <f aca="false">IF(E4454="","",RANK(E4454,$E$2:$E$5001,1))</f>
        <v/>
      </c>
      <c r="G4454" s="0" t="n">
        <f aca="false">IF(A4454="",0,IF(SUMPRODUCT(--($A$2:$A$5001=A4454))&gt;1,1,0))</f>
        <v>0</v>
      </c>
      <c r="H4454" s="0" t="n">
        <f aca="false">ROW()-1</f>
        <v>4453</v>
      </c>
      <c r="I4454" s="0" t="str">
        <f aca="false">IF(OR(הגדרות!$E$6=0,H4454&gt;הגדרות!$E$5),"",IF(H4454-1&lt;הגדרות!$E$8*(הגדרות!$E$7+1),INT((H4454-1)/(הגדרות!$E$7+1)),הגדרות!$E$8+INT((H4454-1-הגדרות!$E$8*(הגדרות!$E$7+1))/הגדרות!$E$7)))</f>
        <v/>
      </c>
      <c r="J4454" s="0" t="str">
        <f aca="false">IF(I4454="","",IF(H4454-1&lt;הגדרות!$E$8*(הגדרות!$E$7+1),MOD(H4454-1,הגדרות!$E$7+1),MOD(H4454-1-הגדרות!$E$8*(הגדרות!$E$7+1),הגדרות!$E$7)))</f>
        <v/>
      </c>
      <c r="K4454" s="0" t="str">
        <f aca="false">IF(I4454="","",J4454*הגדרות!$E$6+I4454+1)</f>
        <v/>
      </c>
      <c r="L4454" s="0" t="str">
        <f aca="false">IF(K4454="","",MATCH(K4454,$F$2:$F$5001,0))</f>
        <v/>
      </c>
      <c r="M4454" s="0" t="str">
        <f aca="false">IF(I4454="","",INDEX(הגדרות!$A$2:$A$21,MOD(I4454+הגדרות!$E$9,הגדרות!$E$6)+1))</f>
        <v/>
      </c>
    </row>
    <row r="4455" customFormat="false" ht="15" hidden="false" customHeight="false" outlineLevel="0" collapsed="false">
      <c r="A4455" s="0" t="str">
        <f aca="false">IF('הדבקת לידים'!A4455="","",IF(ISNUMBER('הדבקת לידים'!A4455),IF(הגדרות!$E$2&gt;0,TEXT('הדבקת לידים'!A4455,REPT("0",הגדרות!$E$2)),TEXT('הדבקת לידים'!A4455,"0")),TRIM('הדבקת לידים'!A4455)))</f>
        <v/>
      </c>
      <c r="B4455" s="0" t="str">
        <f aca="false">IF('הדבקת לידים'!B4455="","",IF(ISNUMBER('הדבקת לידים'!B4455),IF(הגדרות!$E$3&gt;0,TEXT('הדבקת לידים'!B4455,REPT("0",הגדרות!$E$3)),TEXT('הדבקת לידים'!B4455,"0")),TRIM('הדבקת לידים'!B4455)))</f>
        <v/>
      </c>
      <c r="C4455" s="0" t="n">
        <f aca="false">IF(OR(A4455&lt;&gt;"",B4455&lt;&gt;""),1,0)</f>
        <v>0</v>
      </c>
      <c r="D4455" s="0" t="str">
        <f aca="false">IF(C4455=1,MOD(ABS(SIN(ROW()*12.9898+'הדבקת לידים'!$F$2*78.233+IFERROR(--RIGHT(A4455,6),LEN(A4455))*0.0137+IFERROR(--RIGHT(B4455,6),LEN(B4455))*0.0071))*43758.5453,1),"")</f>
        <v/>
      </c>
      <c r="E4455" s="0" t="str">
        <f aca="false">IF(C4455=1,INT(MOD(ABS(SIN(D4455*7919.123+ROW()*0.618+'הדבקת לידים'!$F$2*1.3))*43758.5453,1)*1000000)*10000+ROW(),"")</f>
        <v/>
      </c>
      <c r="F4455" s="0" t="str">
        <f aca="false">IF(E4455="","",RANK(E4455,$E$2:$E$5001,1))</f>
        <v/>
      </c>
      <c r="G4455" s="0" t="n">
        <f aca="false">IF(A4455="",0,IF(SUMPRODUCT(--($A$2:$A$5001=A4455))&gt;1,1,0))</f>
        <v>0</v>
      </c>
      <c r="H4455" s="0" t="n">
        <f aca="false">ROW()-1</f>
        <v>4454</v>
      </c>
      <c r="I4455" s="0" t="str">
        <f aca="false">IF(OR(הגדרות!$E$6=0,H4455&gt;הגדרות!$E$5),"",IF(H4455-1&lt;הגדרות!$E$8*(הגדרות!$E$7+1),INT((H4455-1)/(הגדרות!$E$7+1)),הגדרות!$E$8+INT((H4455-1-הגדרות!$E$8*(הגדרות!$E$7+1))/הגדרות!$E$7)))</f>
        <v/>
      </c>
      <c r="J4455" s="0" t="str">
        <f aca="false">IF(I4455="","",IF(H4455-1&lt;הגדרות!$E$8*(הגדרות!$E$7+1),MOD(H4455-1,הגדרות!$E$7+1),MOD(H4455-1-הגדרות!$E$8*(הגדרות!$E$7+1),הגדרות!$E$7)))</f>
        <v/>
      </c>
      <c r="K4455" s="0" t="str">
        <f aca="false">IF(I4455="","",J4455*הגדרות!$E$6+I4455+1)</f>
        <v/>
      </c>
      <c r="L4455" s="0" t="str">
        <f aca="false">IF(K4455="","",MATCH(K4455,$F$2:$F$5001,0))</f>
        <v/>
      </c>
      <c r="M4455" s="0" t="str">
        <f aca="false">IF(I4455="","",INDEX(הגדרות!$A$2:$A$21,MOD(I4455+הגדרות!$E$9,הגדרות!$E$6)+1))</f>
        <v/>
      </c>
    </row>
    <row r="4456" customFormat="false" ht="15" hidden="false" customHeight="false" outlineLevel="0" collapsed="false">
      <c r="A4456" s="0" t="str">
        <f aca="false">IF('הדבקת לידים'!A4456="","",IF(ISNUMBER('הדבקת לידים'!A4456),IF(הגדרות!$E$2&gt;0,TEXT('הדבקת לידים'!A4456,REPT("0",הגדרות!$E$2)),TEXT('הדבקת לידים'!A4456,"0")),TRIM('הדבקת לידים'!A4456)))</f>
        <v/>
      </c>
      <c r="B4456" s="0" t="str">
        <f aca="false">IF('הדבקת לידים'!B4456="","",IF(ISNUMBER('הדבקת לידים'!B4456),IF(הגדרות!$E$3&gt;0,TEXT('הדבקת לידים'!B4456,REPT("0",הגדרות!$E$3)),TEXT('הדבקת לידים'!B4456,"0")),TRIM('הדבקת לידים'!B4456)))</f>
        <v/>
      </c>
      <c r="C4456" s="0" t="n">
        <f aca="false">IF(OR(A4456&lt;&gt;"",B4456&lt;&gt;""),1,0)</f>
        <v>0</v>
      </c>
      <c r="D4456" s="0" t="str">
        <f aca="false">IF(C4456=1,MOD(ABS(SIN(ROW()*12.9898+'הדבקת לידים'!$F$2*78.233+IFERROR(--RIGHT(A4456,6),LEN(A4456))*0.0137+IFERROR(--RIGHT(B4456,6),LEN(B4456))*0.0071))*43758.5453,1),"")</f>
        <v/>
      </c>
      <c r="E4456" s="0" t="str">
        <f aca="false">IF(C4456=1,INT(MOD(ABS(SIN(D4456*7919.123+ROW()*0.618+'הדבקת לידים'!$F$2*1.3))*43758.5453,1)*1000000)*10000+ROW(),"")</f>
        <v/>
      </c>
      <c r="F4456" s="0" t="str">
        <f aca="false">IF(E4456="","",RANK(E4456,$E$2:$E$5001,1))</f>
        <v/>
      </c>
      <c r="G4456" s="0" t="n">
        <f aca="false">IF(A4456="",0,IF(SUMPRODUCT(--($A$2:$A$5001=A4456))&gt;1,1,0))</f>
        <v>0</v>
      </c>
      <c r="H4456" s="0" t="n">
        <f aca="false">ROW()-1</f>
        <v>4455</v>
      </c>
      <c r="I4456" s="0" t="str">
        <f aca="false">IF(OR(הגדרות!$E$6=0,H4456&gt;הגדרות!$E$5),"",IF(H4456-1&lt;הגדרות!$E$8*(הגדרות!$E$7+1),INT((H4456-1)/(הגדרות!$E$7+1)),הגדרות!$E$8+INT((H4456-1-הגדרות!$E$8*(הגדרות!$E$7+1))/הגדרות!$E$7)))</f>
        <v/>
      </c>
      <c r="J4456" s="0" t="str">
        <f aca="false">IF(I4456="","",IF(H4456-1&lt;הגדרות!$E$8*(הגדרות!$E$7+1),MOD(H4456-1,הגדרות!$E$7+1),MOD(H4456-1-הגדרות!$E$8*(הגדרות!$E$7+1),הגדרות!$E$7)))</f>
        <v/>
      </c>
      <c r="K4456" s="0" t="str">
        <f aca="false">IF(I4456="","",J4456*הגדרות!$E$6+I4456+1)</f>
        <v/>
      </c>
      <c r="L4456" s="0" t="str">
        <f aca="false">IF(K4456="","",MATCH(K4456,$F$2:$F$5001,0))</f>
        <v/>
      </c>
      <c r="M4456" s="0" t="str">
        <f aca="false">IF(I4456="","",INDEX(הגדרות!$A$2:$A$21,MOD(I4456+הגדרות!$E$9,הגדרות!$E$6)+1))</f>
        <v/>
      </c>
    </row>
    <row r="4457" customFormat="false" ht="15" hidden="false" customHeight="false" outlineLevel="0" collapsed="false">
      <c r="A4457" s="0" t="str">
        <f aca="false">IF('הדבקת לידים'!A4457="","",IF(ISNUMBER('הדבקת לידים'!A4457),IF(הגדרות!$E$2&gt;0,TEXT('הדבקת לידים'!A4457,REPT("0",הגדרות!$E$2)),TEXT('הדבקת לידים'!A4457,"0")),TRIM('הדבקת לידים'!A4457)))</f>
        <v/>
      </c>
      <c r="B4457" s="0" t="str">
        <f aca="false">IF('הדבקת לידים'!B4457="","",IF(ISNUMBER('הדבקת לידים'!B4457),IF(הגדרות!$E$3&gt;0,TEXT('הדבקת לידים'!B4457,REPT("0",הגדרות!$E$3)),TEXT('הדבקת לידים'!B4457,"0")),TRIM('הדבקת לידים'!B4457)))</f>
        <v/>
      </c>
      <c r="C4457" s="0" t="n">
        <f aca="false">IF(OR(A4457&lt;&gt;"",B4457&lt;&gt;""),1,0)</f>
        <v>0</v>
      </c>
      <c r="D4457" s="0" t="str">
        <f aca="false">IF(C4457=1,MOD(ABS(SIN(ROW()*12.9898+'הדבקת לידים'!$F$2*78.233+IFERROR(--RIGHT(A4457,6),LEN(A4457))*0.0137+IFERROR(--RIGHT(B4457,6),LEN(B4457))*0.0071))*43758.5453,1),"")</f>
        <v/>
      </c>
      <c r="E4457" s="0" t="str">
        <f aca="false">IF(C4457=1,INT(MOD(ABS(SIN(D4457*7919.123+ROW()*0.618+'הדבקת לידים'!$F$2*1.3))*43758.5453,1)*1000000)*10000+ROW(),"")</f>
        <v/>
      </c>
      <c r="F4457" s="0" t="str">
        <f aca="false">IF(E4457="","",RANK(E4457,$E$2:$E$5001,1))</f>
        <v/>
      </c>
      <c r="G4457" s="0" t="n">
        <f aca="false">IF(A4457="",0,IF(SUMPRODUCT(--($A$2:$A$5001=A4457))&gt;1,1,0))</f>
        <v>0</v>
      </c>
      <c r="H4457" s="0" t="n">
        <f aca="false">ROW()-1</f>
        <v>4456</v>
      </c>
      <c r="I4457" s="0" t="str">
        <f aca="false">IF(OR(הגדרות!$E$6=0,H4457&gt;הגדרות!$E$5),"",IF(H4457-1&lt;הגדרות!$E$8*(הגדרות!$E$7+1),INT((H4457-1)/(הגדרות!$E$7+1)),הגדרות!$E$8+INT((H4457-1-הגדרות!$E$8*(הגדרות!$E$7+1))/הגדרות!$E$7)))</f>
        <v/>
      </c>
      <c r="J4457" s="0" t="str">
        <f aca="false">IF(I4457="","",IF(H4457-1&lt;הגדרות!$E$8*(הגדרות!$E$7+1),MOD(H4457-1,הגדרות!$E$7+1),MOD(H4457-1-הגדרות!$E$8*(הגדרות!$E$7+1),הגדרות!$E$7)))</f>
        <v/>
      </c>
      <c r="K4457" s="0" t="str">
        <f aca="false">IF(I4457="","",J4457*הגדרות!$E$6+I4457+1)</f>
        <v/>
      </c>
      <c r="L4457" s="0" t="str">
        <f aca="false">IF(K4457="","",MATCH(K4457,$F$2:$F$5001,0))</f>
        <v/>
      </c>
      <c r="M4457" s="0" t="str">
        <f aca="false">IF(I4457="","",INDEX(הגדרות!$A$2:$A$21,MOD(I4457+הגדרות!$E$9,הגדרות!$E$6)+1))</f>
        <v/>
      </c>
    </row>
    <row r="4458" customFormat="false" ht="15" hidden="false" customHeight="false" outlineLevel="0" collapsed="false">
      <c r="A4458" s="0" t="str">
        <f aca="false">IF('הדבקת לידים'!A4458="","",IF(ISNUMBER('הדבקת לידים'!A4458),IF(הגדרות!$E$2&gt;0,TEXT('הדבקת לידים'!A4458,REPT("0",הגדרות!$E$2)),TEXT('הדבקת לידים'!A4458,"0")),TRIM('הדבקת לידים'!A4458)))</f>
        <v/>
      </c>
      <c r="B4458" s="0" t="str">
        <f aca="false">IF('הדבקת לידים'!B4458="","",IF(ISNUMBER('הדבקת לידים'!B4458),IF(הגדרות!$E$3&gt;0,TEXT('הדבקת לידים'!B4458,REPT("0",הגדרות!$E$3)),TEXT('הדבקת לידים'!B4458,"0")),TRIM('הדבקת לידים'!B4458)))</f>
        <v/>
      </c>
      <c r="C4458" s="0" t="n">
        <f aca="false">IF(OR(A4458&lt;&gt;"",B4458&lt;&gt;""),1,0)</f>
        <v>0</v>
      </c>
      <c r="D4458" s="0" t="str">
        <f aca="false">IF(C4458=1,MOD(ABS(SIN(ROW()*12.9898+'הדבקת לידים'!$F$2*78.233+IFERROR(--RIGHT(A4458,6),LEN(A4458))*0.0137+IFERROR(--RIGHT(B4458,6),LEN(B4458))*0.0071))*43758.5453,1),"")</f>
        <v/>
      </c>
      <c r="E4458" s="0" t="str">
        <f aca="false">IF(C4458=1,INT(MOD(ABS(SIN(D4458*7919.123+ROW()*0.618+'הדבקת לידים'!$F$2*1.3))*43758.5453,1)*1000000)*10000+ROW(),"")</f>
        <v/>
      </c>
      <c r="F4458" s="0" t="str">
        <f aca="false">IF(E4458="","",RANK(E4458,$E$2:$E$5001,1))</f>
        <v/>
      </c>
      <c r="G4458" s="0" t="n">
        <f aca="false">IF(A4458="",0,IF(SUMPRODUCT(--($A$2:$A$5001=A4458))&gt;1,1,0))</f>
        <v>0</v>
      </c>
      <c r="H4458" s="0" t="n">
        <f aca="false">ROW()-1</f>
        <v>4457</v>
      </c>
      <c r="I4458" s="0" t="str">
        <f aca="false">IF(OR(הגדרות!$E$6=0,H4458&gt;הגדרות!$E$5),"",IF(H4458-1&lt;הגדרות!$E$8*(הגדרות!$E$7+1),INT((H4458-1)/(הגדרות!$E$7+1)),הגדרות!$E$8+INT((H4458-1-הגדרות!$E$8*(הגדרות!$E$7+1))/הגדרות!$E$7)))</f>
        <v/>
      </c>
      <c r="J4458" s="0" t="str">
        <f aca="false">IF(I4458="","",IF(H4458-1&lt;הגדרות!$E$8*(הגדרות!$E$7+1),MOD(H4458-1,הגדרות!$E$7+1),MOD(H4458-1-הגדרות!$E$8*(הגדרות!$E$7+1),הגדרות!$E$7)))</f>
        <v/>
      </c>
      <c r="K4458" s="0" t="str">
        <f aca="false">IF(I4458="","",J4458*הגדרות!$E$6+I4458+1)</f>
        <v/>
      </c>
      <c r="L4458" s="0" t="str">
        <f aca="false">IF(K4458="","",MATCH(K4458,$F$2:$F$5001,0))</f>
        <v/>
      </c>
      <c r="M4458" s="0" t="str">
        <f aca="false">IF(I4458="","",INDEX(הגדרות!$A$2:$A$21,MOD(I4458+הגדרות!$E$9,הגדרות!$E$6)+1))</f>
        <v/>
      </c>
    </row>
    <row r="4459" customFormat="false" ht="15" hidden="false" customHeight="false" outlineLevel="0" collapsed="false">
      <c r="A4459" s="0" t="str">
        <f aca="false">IF('הדבקת לידים'!A4459="","",IF(ISNUMBER('הדבקת לידים'!A4459),IF(הגדרות!$E$2&gt;0,TEXT('הדבקת לידים'!A4459,REPT("0",הגדרות!$E$2)),TEXT('הדבקת לידים'!A4459,"0")),TRIM('הדבקת לידים'!A4459)))</f>
        <v/>
      </c>
      <c r="B4459" s="0" t="str">
        <f aca="false">IF('הדבקת לידים'!B4459="","",IF(ISNUMBER('הדבקת לידים'!B4459),IF(הגדרות!$E$3&gt;0,TEXT('הדבקת לידים'!B4459,REPT("0",הגדרות!$E$3)),TEXT('הדבקת לידים'!B4459,"0")),TRIM('הדבקת לידים'!B4459)))</f>
        <v/>
      </c>
      <c r="C4459" s="0" t="n">
        <f aca="false">IF(OR(A4459&lt;&gt;"",B4459&lt;&gt;""),1,0)</f>
        <v>0</v>
      </c>
      <c r="D4459" s="0" t="str">
        <f aca="false">IF(C4459=1,MOD(ABS(SIN(ROW()*12.9898+'הדבקת לידים'!$F$2*78.233+IFERROR(--RIGHT(A4459,6),LEN(A4459))*0.0137+IFERROR(--RIGHT(B4459,6),LEN(B4459))*0.0071))*43758.5453,1),"")</f>
        <v/>
      </c>
      <c r="E4459" s="0" t="str">
        <f aca="false">IF(C4459=1,INT(MOD(ABS(SIN(D4459*7919.123+ROW()*0.618+'הדבקת לידים'!$F$2*1.3))*43758.5453,1)*1000000)*10000+ROW(),"")</f>
        <v/>
      </c>
      <c r="F4459" s="0" t="str">
        <f aca="false">IF(E4459="","",RANK(E4459,$E$2:$E$5001,1))</f>
        <v/>
      </c>
      <c r="G4459" s="0" t="n">
        <f aca="false">IF(A4459="",0,IF(SUMPRODUCT(--($A$2:$A$5001=A4459))&gt;1,1,0))</f>
        <v>0</v>
      </c>
      <c r="H4459" s="0" t="n">
        <f aca="false">ROW()-1</f>
        <v>4458</v>
      </c>
      <c r="I4459" s="0" t="str">
        <f aca="false">IF(OR(הגדרות!$E$6=0,H4459&gt;הגדרות!$E$5),"",IF(H4459-1&lt;הגדרות!$E$8*(הגדרות!$E$7+1),INT((H4459-1)/(הגדרות!$E$7+1)),הגדרות!$E$8+INT((H4459-1-הגדרות!$E$8*(הגדרות!$E$7+1))/הגדרות!$E$7)))</f>
        <v/>
      </c>
      <c r="J4459" s="0" t="str">
        <f aca="false">IF(I4459="","",IF(H4459-1&lt;הגדרות!$E$8*(הגדרות!$E$7+1),MOD(H4459-1,הגדרות!$E$7+1),MOD(H4459-1-הגדרות!$E$8*(הגדרות!$E$7+1),הגדרות!$E$7)))</f>
        <v/>
      </c>
      <c r="K4459" s="0" t="str">
        <f aca="false">IF(I4459="","",J4459*הגדרות!$E$6+I4459+1)</f>
        <v/>
      </c>
      <c r="L4459" s="0" t="str">
        <f aca="false">IF(K4459="","",MATCH(K4459,$F$2:$F$5001,0))</f>
        <v/>
      </c>
      <c r="M4459" s="0" t="str">
        <f aca="false">IF(I4459="","",INDEX(הגדרות!$A$2:$A$21,MOD(I4459+הגדרות!$E$9,הגדרות!$E$6)+1))</f>
        <v/>
      </c>
    </row>
    <row r="4460" customFormat="false" ht="15" hidden="false" customHeight="false" outlineLevel="0" collapsed="false">
      <c r="A4460" s="0" t="str">
        <f aca="false">IF('הדבקת לידים'!A4460="","",IF(ISNUMBER('הדבקת לידים'!A4460),IF(הגדרות!$E$2&gt;0,TEXT('הדבקת לידים'!A4460,REPT("0",הגדרות!$E$2)),TEXT('הדבקת לידים'!A4460,"0")),TRIM('הדבקת לידים'!A4460)))</f>
        <v/>
      </c>
      <c r="B4460" s="0" t="str">
        <f aca="false">IF('הדבקת לידים'!B4460="","",IF(ISNUMBER('הדבקת לידים'!B4460),IF(הגדרות!$E$3&gt;0,TEXT('הדבקת לידים'!B4460,REPT("0",הגדרות!$E$3)),TEXT('הדבקת לידים'!B4460,"0")),TRIM('הדבקת לידים'!B4460)))</f>
        <v/>
      </c>
      <c r="C4460" s="0" t="n">
        <f aca="false">IF(OR(A4460&lt;&gt;"",B4460&lt;&gt;""),1,0)</f>
        <v>0</v>
      </c>
      <c r="D4460" s="0" t="str">
        <f aca="false">IF(C4460=1,MOD(ABS(SIN(ROW()*12.9898+'הדבקת לידים'!$F$2*78.233+IFERROR(--RIGHT(A4460,6),LEN(A4460))*0.0137+IFERROR(--RIGHT(B4460,6),LEN(B4460))*0.0071))*43758.5453,1),"")</f>
        <v/>
      </c>
      <c r="E4460" s="0" t="str">
        <f aca="false">IF(C4460=1,INT(MOD(ABS(SIN(D4460*7919.123+ROW()*0.618+'הדבקת לידים'!$F$2*1.3))*43758.5453,1)*1000000)*10000+ROW(),"")</f>
        <v/>
      </c>
      <c r="F4460" s="0" t="str">
        <f aca="false">IF(E4460="","",RANK(E4460,$E$2:$E$5001,1))</f>
        <v/>
      </c>
      <c r="G4460" s="0" t="n">
        <f aca="false">IF(A4460="",0,IF(SUMPRODUCT(--($A$2:$A$5001=A4460))&gt;1,1,0))</f>
        <v>0</v>
      </c>
      <c r="H4460" s="0" t="n">
        <f aca="false">ROW()-1</f>
        <v>4459</v>
      </c>
      <c r="I4460" s="0" t="str">
        <f aca="false">IF(OR(הגדרות!$E$6=0,H4460&gt;הגדרות!$E$5),"",IF(H4460-1&lt;הגדרות!$E$8*(הגדרות!$E$7+1),INT((H4460-1)/(הגדרות!$E$7+1)),הגדרות!$E$8+INT((H4460-1-הגדרות!$E$8*(הגדרות!$E$7+1))/הגדרות!$E$7)))</f>
        <v/>
      </c>
      <c r="J4460" s="0" t="str">
        <f aca="false">IF(I4460="","",IF(H4460-1&lt;הגדרות!$E$8*(הגדרות!$E$7+1),MOD(H4460-1,הגדרות!$E$7+1),MOD(H4460-1-הגדרות!$E$8*(הגדרות!$E$7+1),הגדרות!$E$7)))</f>
        <v/>
      </c>
      <c r="K4460" s="0" t="str">
        <f aca="false">IF(I4460="","",J4460*הגדרות!$E$6+I4460+1)</f>
        <v/>
      </c>
      <c r="L4460" s="0" t="str">
        <f aca="false">IF(K4460="","",MATCH(K4460,$F$2:$F$5001,0))</f>
        <v/>
      </c>
      <c r="M4460" s="0" t="str">
        <f aca="false">IF(I4460="","",INDEX(הגדרות!$A$2:$A$21,MOD(I4460+הגדרות!$E$9,הגדרות!$E$6)+1))</f>
        <v/>
      </c>
    </row>
    <row r="4461" customFormat="false" ht="15" hidden="false" customHeight="false" outlineLevel="0" collapsed="false">
      <c r="A4461" s="0" t="str">
        <f aca="false">IF('הדבקת לידים'!A4461="","",IF(ISNUMBER('הדבקת לידים'!A4461),IF(הגדרות!$E$2&gt;0,TEXT('הדבקת לידים'!A4461,REPT("0",הגדרות!$E$2)),TEXT('הדבקת לידים'!A4461,"0")),TRIM('הדבקת לידים'!A4461)))</f>
        <v/>
      </c>
      <c r="B4461" s="0" t="str">
        <f aca="false">IF('הדבקת לידים'!B4461="","",IF(ISNUMBER('הדבקת לידים'!B4461),IF(הגדרות!$E$3&gt;0,TEXT('הדבקת לידים'!B4461,REPT("0",הגדרות!$E$3)),TEXT('הדבקת לידים'!B4461,"0")),TRIM('הדבקת לידים'!B4461)))</f>
        <v/>
      </c>
      <c r="C4461" s="0" t="n">
        <f aca="false">IF(OR(A4461&lt;&gt;"",B4461&lt;&gt;""),1,0)</f>
        <v>0</v>
      </c>
      <c r="D4461" s="0" t="str">
        <f aca="false">IF(C4461=1,MOD(ABS(SIN(ROW()*12.9898+'הדבקת לידים'!$F$2*78.233+IFERROR(--RIGHT(A4461,6),LEN(A4461))*0.0137+IFERROR(--RIGHT(B4461,6),LEN(B4461))*0.0071))*43758.5453,1),"")</f>
        <v/>
      </c>
      <c r="E4461" s="0" t="str">
        <f aca="false">IF(C4461=1,INT(MOD(ABS(SIN(D4461*7919.123+ROW()*0.618+'הדבקת לידים'!$F$2*1.3))*43758.5453,1)*1000000)*10000+ROW(),"")</f>
        <v/>
      </c>
      <c r="F4461" s="0" t="str">
        <f aca="false">IF(E4461="","",RANK(E4461,$E$2:$E$5001,1))</f>
        <v/>
      </c>
      <c r="G4461" s="0" t="n">
        <f aca="false">IF(A4461="",0,IF(SUMPRODUCT(--($A$2:$A$5001=A4461))&gt;1,1,0))</f>
        <v>0</v>
      </c>
      <c r="H4461" s="0" t="n">
        <f aca="false">ROW()-1</f>
        <v>4460</v>
      </c>
      <c r="I4461" s="0" t="str">
        <f aca="false">IF(OR(הגדרות!$E$6=0,H4461&gt;הגדרות!$E$5),"",IF(H4461-1&lt;הגדרות!$E$8*(הגדרות!$E$7+1),INT((H4461-1)/(הגדרות!$E$7+1)),הגדרות!$E$8+INT((H4461-1-הגדרות!$E$8*(הגדרות!$E$7+1))/הגדרות!$E$7)))</f>
        <v/>
      </c>
      <c r="J4461" s="0" t="str">
        <f aca="false">IF(I4461="","",IF(H4461-1&lt;הגדרות!$E$8*(הגדרות!$E$7+1),MOD(H4461-1,הגדרות!$E$7+1),MOD(H4461-1-הגדרות!$E$8*(הגדרות!$E$7+1),הגדרות!$E$7)))</f>
        <v/>
      </c>
      <c r="K4461" s="0" t="str">
        <f aca="false">IF(I4461="","",J4461*הגדרות!$E$6+I4461+1)</f>
        <v/>
      </c>
      <c r="L4461" s="0" t="str">
        <f aca="false">IF(K4461="","",MATCH(K4461,$F$2:$F$5001,0))</f>
        <v/>
      </c>
      <c r="M4461" s="0" t="str">
        <f aca="false">IF(I4461="","",INDEX(הגדרות!$A$2:$A$21,MOD(I4461+הגדרות!$E$9,הגדרות!$E$6)+1))</f>
        <v/>
      </c>
    </row>
    <row r="4462" customFormat="false" ht="15" hidden="false" customHeight="false" outlineLevel="0" collapsed="false">
      <c r="A4462" s="0" t="str">
        <f aca="false">IF('הדבקת לידים'!A4462="","",IF(ISNUMBER('הדבקת לידים'!A4462),IF(הגדרות!$E$2&gt;0,TEXT('הדבקת לידים'!A4462,REPT("0",הגדרות!$E$2)),TEXT('הדבקת לידים'!A4462,"0")),TRIM('הדבקת לידים'!A4462)))</f>
        <v/>
      </c>
      <c r="B4462" s="0" t="str">
        <f aca="false">IF('הדבקת לידים'!B4462="","",IF(ISNUMBER('הדבקת לידים'!B4462),IF(הגדרות!$E$3&gt;0,TEXT('הדבקת לידים'!B4462,REPT("0",הגדרות!$E$3)),TEXT('הדבקת לידים'!B4462,"0")),TRIM('הדבקת לידים'!B4462)))</f>
        <v/>
      </c>
      <c r="C4462" s="0" t="n">
        <f aca="false">IF(OR(A4462&lt;&gt;"",B4462&lt;&gt;""),1,0)</f>
        <v>0</v>
      </c>
      <c r="D4462" s="0" t="str">
        <f aca="false">IF(C4462=1,MOD(ABS(SIN(ROW()*12.9898+'הדבקת לידים'!$F$2*78.233+IFERROR(--RIGHT(A4462,6),LEN(A4462))*0.0137+IFERROR(--RIGHT(B4462,6),LEN(B4462))*0.0071))*43758.5453,1),"")</f>
        <v/>
      </c>
      <c r="E4462" s="0" t="str">
        <f aca="false">IF(C4462=1,INT(MOD(ABS(SIN(D4462*7919.123+ROW()*0.618+'הדבקת לידים'!$F$2*1.3))*43758.5453,1)*1000000)*10000+ROW(),"")</f>
        <v/>
      </c>
      <c r="F4462" s="0" t="str">
        <f aca="false">IF(E4462="","",RANK(E4462,$E$2:$E$5001,1))</f>
        <v/>
      </c>
      <c r="G4462" s="0" t="n">
        <f aca="false">IF(A4462="",0,IF(SUMPRODUCT(--($A$2:$A$5001=A4462))&gt;1,1,0))</f>
        <v>0</v>
      </c>
      <c r="H4462" s="0" t="n">
        <f aca="false">ROW()-1</f>
        <v>4461</v>
      </c>
      <c r="I4462" s="0" t="str">
        <f aca="false">IF(OR(הגדרות!$E$6=0,H4462&gt;הגדרות!$E$5),"",IF(H4462-1&lt;הגדרות!$E$8*(הגדרות!$E$7+1),INT((H4462-1)/(הגדרות!$E$7+1)),הגדרות!$E$8+INT((H4462-1-הגדרות!$E$8*(הגדרות!$E$7+1))/הגדרות!$E$7)))</f>
        <v/>
      </c>
      <c r="J4462" s="0" t="str">
        <f aca="false">IF(I4462="","",IF(H4462-1&lt;הגדרות!$E$8*(הגדרות!$E$7+1),MOD(H4462-1,הגדרות!$E$7+1),MOD(H4462-1-הגדרות!$E$8*(הגדרות!$E$7+1),הגדרות!$E$7)))</f>
        <v/>
      </c>
      <c r="K4462" s="0" t="str">
        <f aca="false">IF(I4462="","",J4462*הגדרות!$E$6+I4462+1)</f>
        <v/>
      </c>
      <c r="L4462" s="0" t="str">
        <f aca="false">IF(K4462="","",MATCH(K4462,$F$2:$F$5001,0))</f>
        <v/>
      </c>
      <c r="M4462" s="0" t="str">
        <f aca="false">IF(I4462="","",INDEX(הגדרות!$A$2:$A$21,MOD(I4462+הגדרות!$E$9,הגדרות!$E$6)+1))</f>
        <v/>
      </c>
    </row>
    <row r="4463" customFormat="false" ht="15" hidden="false" customHeight="false" outlineLevel="0" collapsed="false">
      <c r="A4463" s="0" t="str">
        <f aca="false">IF('הדבקת לידים'!A4463="","",IF(ISNUMBER('הדבקת לידים'!A4463),IF(הגדרות!$E$2&gt;0,TEXT('הדבקת לידים'!A4463,REPT("0",הגדרות!$E$2)),TEXT('הדבקת לידים'!A4463,"0")),TRIM('הדבקת לידים'!A4463)))</f>
        <v/>
      </c>
      <c r="B4463" s="0" t="str">
        <f aca="false">IF('הדבקת לידים'!B4463="","",IF(ISNUMBER('הדבקת לידים'!B4463),IF(הגדרות!$E$3&gt;0,TEXT('הדבקת לידים'!B4463,REPT("0",הגדרות!$E$3)),TEXT('הדבקת לידים'!B4463,"0")),TRIM('הדבקת לידים'!B4463)))</f>
        <v/>
      </c>
      <c r="C4463" s="0" t="n">
        <f aca="false">IF(OR(A4463&lt;&gt;"",B4463&lt;&gt;""),1,0)</f>
        <v>0</v>
      </c>
      <c r="D4463" s="0" t="str">
        <f aca="false">IF(C4463=1,MOD(ABS(SIN(ROW()*12.9898+'הדבקת לידים'!$F$2*78.233+IFERROR(--RIGHT(A4463,6),LEN(A4463))*0.0137+IFERROR(--RIGHT(B4463,6),LEN(B4463))*0.0071))*43758.5453,1),"")</f>
        <v/>
      </c>
      <c r="E4463" s="0" t="str">
        <f aca="false">IF(C4463=1,INT(MOD(ABS(SIN(D4463*7919.123+ROW()*0.618+'הדבקת לידים'!$F$2*1.3))*43758.5453,1)*1000000)*10000+ROW(),"")</f>
        <v/>
      </c>
      <c r="F4463" s="0" t="str">
        <f aca="false">IF(E4463="","",RANK(E4463,$E$2:$E$5001,1))</f>
        <v/>
      </c>
      <c r="G4463" s="0" t="n">
        <f aca="false">IF(A4463="",0,IF(SUMPRODUCT(--($A$2:$A$5001=A4463))&gt;1,1,0))</f>
        <v>0</v>
      </c>
      <c r="H4463" s="0" t="n">
        <f aca="false">ROW()-1</f>
        <v>4462</v>
      </c>
      <c r="I4463" s="0" t="str">
        <f aca="false">IF(OR(הגדרות!$E$6=0,H4463&gt;הגדרות!$E$5),"",IF(H4463-1&lt;הגדרות!$E$8*(הגדרות!$E$7+1),INT((H4463-1)/(הגדרות!$E$7+1)),הגדרות!$E$8+INT((H4463-1-הגדרות!$E$8*(הגדרות!$E$7+1))/הגדרות!$E$7)))</f>
        <v/>
      </c>
      <c r="J4463" s="0" t="str">
        <f aca="false">IF(I4463="","",IF(H4463-1&lt;הגדרות!$E$8*(הגדרות!$E$7+1),MOD(H4463-1,הגדרות!$E$7+1),MOD(H4463-1-הגדרות!$E$8*(הגדרות!$E$7+1),הגדרות!$E$7)))</f>
        <v/>
      </c>
      <c r="K4463" s="0" t="str">
        <f aca="false">IF(I4463="","",J4463*הגדרות!$E$6+I4463+1)</f>
        <v/>
      </c>
      <c r="L4463" s="0" t="str">
        <f aca="false">IF(K4463="","",MATCH(K4463,$F$2:$F$5001,0))</f>
        <v/>
      </c>
      <c r="M4463" s="0" t="str">
        <f aca="false">IF(I4463="","",INDEX(הגדרות!$A$2:$A$21,MOD(I4463+הגדרות!$E$9,הגדרות!$E$6)+1))</f>
        <v/>
      </c>
    </row>
    <row r="4464" customFormat="false" ht="15" hidden="false" customHeight="false" outlineLevel="0" collapsed="false">
      <c r="A4464" s="0" t="str">
        <f aca="false">IF('הדבקת לידים'!A4464="","",IF(ISNUMBER('הדבקת לידים'!A4464),IF(הגדרות!$E$2&gt;0,TEXT('הדבקת לידים'!A4464,REPT("0",הגדרות!$E$2)),TEXT('הדבקת לידים'!A4464,"0")),TRIM('הדבקת לידים'!A4464)))</f>
        <v/>
      </c>
      <c r="B4464" s="0" t="str">
        <f aca="false">IF('הדבקת לידים'!B4464="","",IF(ISNUMBER('הדבקת לידים'!B4464),IF(הגדרות!$E$3&gt;0,TEXT('הדבקת לידים'!B4464,REPT("0",הגדרות!$E$3)),TEXT('הדבקת לידים'!B4464,"0")),TRIM('הדבקת לידים'!B4464)))</f>
        <v/>
      </c>
      <c r="C4464" s="0" t="n">
        <f aca="false">IF(OR(A4464&lt;&gt;"",B4464&lt;&gt;""),1,0)</f>
        <v>0</v>
      </c>
      <c r="D4464" s="0" t="str">
        <f aca="false">IF(C4464=1,MOD(ABS(SIN(ROW()*12.9898+'הדבקת לידים'!$F$2*78.233+IFERROR(--RIGHT(A4464,6),LEN(A4464))*0.0137+IFERROR(--RIGHT(B4464,6),LEN(B4464))*0.0071))*43758.5453,1),"")</f>
        <v/>
      </c>
      <c r="E4464" s="0" t="str">
        <f aca="false">IF(C4464=1,INT(MOD(ABS(SIN(D4464*7919.123+ROW()*0.618+'הדבקת לידים'!$F$2*1.3))*43758.5453,1)*1000000)*10000+ROW(),"")</f>
        <v/>
      </c>
      <c r="F4464" s="0" t="str">
        <f aca="false">IF(E4464="","",RANK(E4464,$E$2:$E$5001,1))</f>
        <v/>
      </c>
      <c r="G4464" s="0" t="n">
        <f aca="false">IF(A4464="",0,IF(SUMPRODUCT(--($A$2:$A$5001=A4464))&gt;1,1,0))</f>
        <v>0</v>
      </c>
      <c r="H4464" s="0" t="n">
        <f aca="false">ROW()-1</f>
        <v>4463</v>
      </c>
      <c r="I4464" s="0" t="str">
        <f aca="false">IF(OR(הגדרות!$E$6=0,H4464&gt;הגדרות!$E$5),"",IF(H4464-1&lt;הגדרות!$E$8*(הגדרות!$E$7+1),INT((H4464-1)/(הגדרות!$E$7+1)),הגדרות!$E$8+INT((H4464-1-הגדרות!$E$8*(הגדרות!$E$7+1))/הגדרות!$E$7)))</f>
        <v/>
      </c>
      <c r="J4464" s="0" t="str">
        <f aca="false">IF(I4464="","",IF(H4464-1&lt;הגדרות!$E$8*(הגדרות!$E$7+1),MOD(H4464-1,הגדרות!$E$7+1),MOD(H4464-1-הגדרות!$E$8*(הגדרות!$E$7+1),הגדרות!$E$7)))</f>
        <v/>
      </c>
      <c r="K4464" s="0" t="str">
        <f aca="false">IF(I4464="","",J4464*הגדרות!$E$6+I4464+1)</f>
        <v/>
      </c>
      <c r="L4464" s="0" t="str">
        <f aca="false">IF(K4464="","",MATCH(K4464,$F$2:$F$5001,0))</f>
        <v/>
      </c>
      <c r="M4464" s="0" t="str">
        <f aca="false">IF(I4464="","",INDEX(הגדרות!$A$2:$A$21,MOD(I4464+הגדרות!$E$9,הגדרות!$E$6)+1))</f>
        <v/>
      </c>
    </row>
    <row r="4465" customFormat="false" ht="15" hidden="false" customHeight="false" outlineLevel="0" collapsed="false">
      <c r="A4465" s="0" t="str">
        <f aca="false">IF('הדבקת לידים'!A4465="","",IF(ISNUMBER('הדבקת לידים'!A4465),IF(הגדרות!$E$2&gt;0,TEXT('הדבקת לידים'!A4465,REPT("0",הגדרות!$E$2)),TEXT('הדבקת לידים'!A4465,"0")),TRIM('הדבקת לידים'!A4465)))</f>
        <v/>
      </c>
      <c r="B4465" s="0" t="str">
        <f aca="false">IF('הדבקת לידים'!B4465="","",IF(ISNUMBER('הדבקת לידים'!B4465),IF(הגדרות!$E$3&gt;0,TEXT('הדבקת לידים'!B4465,REPT("0",הגדרות!$E$3)),TEXT('הדבקת לידים'!B4465,"0")),TRIM('הדבקת לידים'!B4465)))</f>
        <v/>
      </c>
      <c r="C4465" s="0" t="n">
        <f aca="false">IF(OR(A4465&lt;&gt;"",B4465&lt;&gt;""),1,0)</f>
        <v>0</v>
      </c>
      <c r="D4465" s="0" t="str">
        <f aca="false">IF(C4465=1,MOD(ABS(SIN(ROW()*12.9898+'הדבקת לידים'!$F$2*78.233+IFERROR(--RIGHT(A4465,6),LEN(A4465))*0.0137+IFERROR(--RIGHT(B4465,6),LEN(B4465))*0.0071))*43758.5453,1),"")</f>
        <v/>
      </c>
      <c r="E4465" s="0" t="str">
        <f aca="false">IF(C4465=1,INT(MOD(ABS(SIN(D4465*7919.123+ROW()*0.618+'הדבקת לידים'!$F$2*1.3))*43758.5453,1)*1000000)*10000+ROW(),"")</f>
        <v/>
      </c>
      <c r="F4465" s="0" t="str">
        <f aca="false">IF(E4465="","",RANK(E4465,$E$2:$E$5001,1))</f>
        <v/>
      </c>
      <c r="G4465" s="0" t="n">
        <f aca="false">IF(A4465="",0,IF(SUMPRODUCT(--($A$2:$A$5001=A4465))&gt;1,1,0))</f>
        <v>0</v>
      </c>
      <c r="H4465" s="0" t="n">
        <f aca="false">ROW()-1</f>
        <v>4464</v>
      </c>
      <c r="I4465" s="0" t="str">
        <f aca="false">IF(OR(הגדרות!$E$6=0,H4465&gt;הגדרות!$E$5),"",IF(H4465-1&lt;הגדרות!$E$8*(הגדרות!$E$7+1),INT((H4465-1)/(הגדרות!$E$7+1)),הגדרות!$E$8+INT((H4465-1-הגדרות!$E$8*(הגדרות!$E$7+1))/הגדרות!$E$7)))</f>
        <v/>
      </c>
      <c r="J4465" s="0" t="str">
        <f aca="false">IF(I4465="","",IF(H4465-1&lt;הגדרות!$E$8*(הגדרות!$E$7+1),MOD(H4465-1,הגדרות!$E$7+1),MOD(H4465-1-הגדרות!$E$8*(הגדרות!$E$7+1),הגדרות!$E$7)))</f>
        <v/>
      </c>
      <c r="K4465" s="0" t="str">
        <f aca="false">IF(I4465="","",J4465*הגדרות!$E$6+I4465+1)</f>
        <v/>
      </c>
      <c r="L4465" s="0" t="str">
        <f aca="false">IF(K4465="","",MATCH(K4465,$F$2:$F$5001,0))</f>
        <v/>
      </c>
      <c r="M4465" s="0" t="str">
        <f aca="false">IF(I4465="","",INDEX(הגדרות!$A$2:$A$21,MOD(I4465+הגדרות!$E$9,הגדרות!$E$6)+1))</f>
        <v/>
      </c>
    </row>
    <row r="4466" customFormat="false" ht="15" hidden="false" customHeight="false" outlineLevel="0" collapsed="false">
      <c r="A4466" s="0" t="str">
        <f aca="false">IF('הדבקת לידים'!A4466="","",IF(ISNUMBER('הדבקת לידים'!A4466),IF(הגדרות!$E$2&gt;0,TEXT('הדבקת לידים'!A4466,REPT("0",הגדרות!$E$2)),TEXT('הדבקת לידים'!A4466,"0")),TRIM('הדבקת לידים'!A4466)))</f>
        <v/>
      </c>
      <c r="B4466" s="0" t="str">
        <f aca="false">IF('הדבקת לידים'!B4466="","",IF(ISNUMBER('הדבקת לידים'!B4466),IF(הגדרות!$E$3&gt;0,TEXT('הדבקת לידים'!B4466,REPT("0",הגדרות!$E$3)),TEXT('הדבקת לידים'!B4466,"0")),TRIM('הדבקת לידים'!B4466)))</f>
        <v/>
      </c>
      <c r="C4466" s="0" t="n">
        <f aca="false">IF(OR(A4466&lt;&gt;"",B4466&lt;&gt;""),1,0)</f>
        <v>0</v>
      </c>
      <c r="D4466" s="0" t="str">
        <f aca="false">IF(C4466=1,MOD(ABS(SIN(ROW()*12.9898+'הדבקת לידים'!$F$2*78.233+IFERROR(--RIGHT(A4466,6),LEN(A4466))*0.0137+IFERROR(--RIGHT(B4466,6),LEN(B4466))*0.0071))*43758.5453,1),"")</f>
        <v/>
      </c>
      <c r="E4466" s="0" t="str">
        <f aca="false">IF(C4466=1,INT(MOD(ABS(SIN(D4466*7919.123+ROW()*0.618+'הדבקת לידים'!$F$2*1.3))*43758.5453,1)*1000000)*10000+ROW(),"")</f>
        <v/>
      </c>
      <c r="F4466" s="0" t="str">
        <f aca="false">IF(E4466="","",RANK(E4466,$E$2:$E$5001,1))</f>
        <v/>
      </c>
      <c r="G4466" s="0" t="n">
        <f aca="false">IF(A4466="",0,IF(SUMPRODUCT(--($A$2:$A$5001=A4466))&gt;1,1,0))</f>
        <v>0</v>
      </c>
      <c r="H4466" s="0" t="n">
        <f aca="false">ROW()-1</f>
        <v>4465</v>
      </c>
      <c r="I4466" s="0" t="str">
        <f aca="false">IF(OR(הגדרות!$E$6=0,H4466&gt;הגדרות!$E$5),"",IF(H4466-1&lt;הגדרות!$E$8*(הגדרות!$E$7+1),INT((H4466-1)/(הגדרות!$E$7+1)),הגדרות!$E$8+INT((H4466-1-הגדרות!$E$8*(הגדרות!$E$7+1))/הגדרות!$E$7)))</f>
        <v/>
      </c>
      <c r="J4466" s="0" t="str">
        <f aca="false">IF(I4466="","",IF(H4466-1&lt;הגדרות!$E$8*(הגדרות!$E$7+1),MOD(H4466-1,הגדרות!$E$7+1),MOD(H4466-1-הגדרות!$E$8*(הגדרות!$E$7+1),הגדרות!$E$7)))</f>
        <v/>
      </c>
      <c r="K4466" s="0" t="str">
        <f aca="false">IF(I4466="","",J4466*הגדרות!$E$6+I4466+1)</f>
        <v/>
      </c>
      <c r="L4466" s="0" t="str">
        <f aca="false">IF(K4466="","",MATCH(K4466,$F$2:$F$5001,0))</f>
        <v/>
      </c>
      <c r="M4466" s="0" t="str">
        <f aca="false">IF(I4466="","",INDEX(הגדרות!$A$2:$A$21,MOD(I4466+הגדרות!$E$9,הגדרות!$E$6)+1))</f>
        <v/>
      </c>
    </row>
    <row r="4467" customFormat="false" ht="15" hidden="false" customHeight="false" outlineLevel="0" collapsed="false">
      <c r="A4467" s="0" t="str">
        <f aca="false">IF('הדבקת לידים'!A4467="","",IF(ISNUMBER('הדבקת לידים'!A4467),IF(הגדרות!$E$2&gt;0,TEXT('הדבקת לידים'!A4467,REPT("0",הגדרות!$E$2)),TEXT('הדבקת לידים'!A4467,"0")),TRIM('הדבקת לידים'!A4467)))</f>
        <v/>
      </c>
      <c r="B4467" s="0" t="str">
        <f aca="false">IF('הדבקת לידים'!B4467="","",IF(ISNUMBER('הדבקת לידים'!B4467),IF(הגדרות!$E$3&gt;0,TEXT('הדבקת לידים'!B4467,REPT("0",הגדרות!$E$3)),TEXT('הדבקת לידים'!B4467,"0")),TRIM('הדבקת לידים'!B4467)))</f>
        <v/>
      </c>
      <c r="C4467" s="0" t="n">
        <f aca="false">IF(OR(A4467&lt;&gt;"",B4467&lt;&gt;""),1,0)</f>
        <v>0</v>
      </c>
      <c r="D4467" s="0" t="str">
        <f aca="false">IF(C4467=1,MOD(ABS(SIN(ROW()*12.9898+'הדבקת לידים'!$F$2*78.233+IFERROR(--RIGHT(A4467,6),LEN(A4467))*0.0137+IFERROR(--RIGHT(B4467,6),LEN(B4467))*0.0071))*43758.5453,1),"")</f>
        <v/>
      </c>
      <c r="E4467" s="0" t="str">
        <f aca="false">IF(C4467=1,INT(MOD(ABS(SIN(D4467*7919.123+ROW()*0.618+'הדבקת לידים'!$F$2*1.3))*43758.5453,1)*1000000)*10000+ROW(),"")</f>
        <v/>
      </c>
      <c r="F4467" s="0" t="str">
        <f aca="false">IF(E4467="","",RANK(E4467,$E$2:$E$5001,1))</f>
        <v/>
      </c>
      <c r="G4467" s="0" t="n">
        <f aca="false">IF(A4467="",0,IF(SUMPRODUCT(--($A$2:$A$5001=A4467))&gt;1,1,0))</f>
        <v>0</v>
      </c>
      <c r="H4467" s="0" t="n">
        <f aca="false">ROW()-1</f>
        <v>4466</v>
      </c>
      <c r="I4467" s="0" t="str">
        <f aca="false">IF(OR(הגדרות!$E$6=0,H4467&gt;הגדרות!$E$5),"",IF(H4467-1&lt;הגדרות!$E$8*(הגדרות!$E$7+1),INT((H4467-1)/(הגדרות!$E$7+1)),הגדרות!$E$8+INT((H4467-1-הגדרות!$E$8*(הגדרות!$E$7+1))/הגדרות!$E$7)))</f>
        <v/>
      </c>
      <c r="J4467" s="0" t="str">
        <f aca="false">IF(I4467="","",IF(H4467-1&lt;הגדרות!$E$8*(הגדרות!$E$7+1),MOD(H4467-1,הגדרות!$E$7+1),MOD(H4467-1-הגדרות!$E$8*(הגדרות!$E$7+1),הגדרות!$E$7)))</f>
        <v/>
      </c>
      <c r="K4467" s="0" t="str">
        <f aca="false">IF(I4467="","",J4467*הגדרות!$E$6+I4467+1)</f>
        <v/>
      </c>
      <c r="L4467" s="0" t="str">
        <f aca="false">IF(K4467="","",MATCH(K4467,$F$2:$F$5001,0))</f>
        <v/>
      </c>
      <c r="M4467" s="0" t="str">
        <f aca="false">IF(I4467="","",INDEX(הגדרות!$A$2:$A$21,MOD(I4467+הגדרות!$E$9,הגדרות!$E$6)+1))</f>
        <v/>
      </c>
    </row>
    <row r="4468" customFormat="false" ht="15" hidden="false" customHeight="false" outlineLevel="0" collapsed="false">
      <c r="A4468" s="0" t="str">
        <f aca="false">IF('הדבקת לידים'!A4468="","",IF(ISNUMBER('הדבקת לידים'!A4468),IF(הגדרות!$E$2&gt;0,TEXT('הדבקת לידים'!A4468,REPT("0",הגדרות!$E$2)),TEXT('הדבקת לידים'!A4468,"0")),TRIM('הדבקת לידים'!A4468)))</f>
        <v/>
      </c>
      <c r="B4468" s="0" t="str">
        <f aca="false">IF('הדבקת לידים'!B4468="","",IF(ISNUMBER('הדבקת לידים'!B4468),IF(הגדרות!$E$3&gt;0,TEXT('הדבקת לידים'!B4468,REPT("0",הגדרות!$E$3)),TEXT('הדבקת לידים'!B4468,"0")),TRIM('הדבקת לידים'!B4468)))</f>
        <v/>
      </c>
      <c r="C4468" s="0" t="n">
        <f aca="false">IF(OR(A4468&lt;&gt;"",B4468&lt;&gt;""),1,0)</f>
        <v>0</v>
      </c>
      <c r="D4468" s="0" t="str">
        <f aca="false">IF(C4468=1,MOD(ABS(SIN(ROW()*12.9898+'הדבקת לידים'!$F$2*78.233+IFERROR(--RIGHT(A4468,6),LEN(A4468))*0.0137+IFERROR(--RIGHT(B4468,6),LEN(B4468))*0.0071))*43758.5453,1),"")</f>
        <v/>
      </c>
      <c r="E4468" s="0" t="str">
        <f aca="false">IF(C4468=1,INT(MOD(ABS(SIN(D4468*7919.123+ROW()*0.618+'הדבקת לידים'!$F$2*1.3))*43758.5453,1)*1000000)*10000+ROW(),"")</f>
        <v/>
      </c>
      <c r="F4468" s="0" t="str">
        <f aca="false">IF(E4468="","",RANK(E4468,$E$2:$E$5001,1))</f>
        <v/>
      </c>
      <c r="G4468" s="0" t="n">
        <f aca="false">IF(A4468="",0,IF(SUMPRODUCT(--($A$2:$A$5001=A4468))&gt;1,1,0))</f>
        <v>0</v>
      </c>
      <c r="H4468" s="0" t="n">
        <f aca="false">ROW()-1</f>
        <v>4467</v>
      </c>
      <c r="I4468" s="0" t="str">
        <f aca="false">IF(OR(הגדרות!$E$6=0,H4468&gt;הגדרות!$E$5),"",IF(H4468-1&lt;הגדרות!$E$8*(הגדרות!$E$7+1),INT((H4468-1)/(הגדרות!$E$7+1)),הגדרות!$E$8+INT((H4468-1-הגדרות!$E$8*(הגדרות!$E$7+1))/הגדרות!$E$7)))</f>
        <v/>
      </c>
      <c r="J4468" s="0" t="str">
        <f aca="false">IF(I4468="","",IF(H4468-1&lt;הגדרות!$E$8*(הגדרות!$E$7+1),MOD(H4468-1,הגדרות!$E$7+1),MOD(H4468-1-הגדרות!$E$8*(הגדרות!$E$7+1),הגדרות!$E$7)))</f>
        <v/>
      </c>
      <c r="K4468" s="0" t="str">
        <f aca="false">IF(I4468="","",J4468*הגדרות!$E$6+I4468+1)</f>
        <v/>
      </c>
      <c r="L4468" s="0" t="str">
        <f aca="false">IF(K4468="","",MATCH(K4468,$F$2:$F$5001,0))</f>
        <v/>
      </c>
      <c r="M4468" s="0" t="str">
        <f aca="false">IF(I4468="","",INDEX(הגדרות!$A$2:$A$21,MOD(I4468+הגדרות!$E$9,הגדרות!$E$6)+1))</f>
        <v/>
      </c>
    </row>
    <row r="4469" customFormat="false" ht="15" hidden="false" customHeight="false" outlineLevel="0" collapsed="false">
      <c r="A4469" s="0" t="str">
        <f aca="false">IF('הדבקת לידים'!A4469="","",IF(ISNUMBER('הדבקת לידים'!A4469),IF(הגדרות!$E$2&gt;0,TEXT('הדבקת לידים'!A4469,REPT("0",הגדרות!$E$2)),TEXT('הדבקת לידים'!A4469,"0")),TRIM('הדבקת לידים'!A4469)))</f>
        <v/>
      </c>
      <c r="B4469" s="0" t="str">
        <f aca="false">IF('הדבקת לידים'!B4469="","",IF(ISNUMBER('הדבקת לידים'!B4469),IF(הגדרות!$E$3&gt;0,TEXT('הדבקת לידים'!B4469,REPT("0",הגדרות!$E$3)),TEXT('הדבקת לידים'!B4469,"0")),TRIM('הדבקת לידים'!B4469)))</f>
        <v/>
      </c>
      <c r="C4469" s="0" t="n">
        <f aca="false">IF(OR(A4469&lt;&gt;"",B4469&lt;&gt;""),1,0)</f>
        <v>0</v>
      </c>
      <c r="D4469" s="0" t="str">
        <f aca="false">IF(C4469=1,MOD(ABS(SIN(ROW()*12.9898+'הדבקת לידים'!$F$2*78.233+IFERROR(--RIGHT(A4469,6),LEN(A4469))*0.0137+IFERROR(--RIGHT(B4469,6),LEN(B4469))*0.0071))*43758.5453,1),"")</f>
        <v/>
      </c>
      <c r="E4469" s="0" t="str">
        <f aca="false">IF(C4469=1,INT(MOD(ABS(SIN(D4469*7919.123+ROW()*0.618+'הדבקת לידים'!$F$2*1.3))*43758.5453,1)*1000000)*10000+ROW(),"")</f>
        <v/>
      </c>
      <c r="F4469" s="0" t="str">
        <f aca="false">IF(E4469="","",RANK(E4469,$E$2:$E$5001,1))</f>
        <v/>
      </c>
      <c r="G4469" s="0" t="n">
        <f aca="false">IF(A4469="",0,IF(SUMPRODUCT(--($A$2:$A$5001=A4469))&gt;1,1,0))</f>
        <v>0</v>
      </c>
      <c r="H4469" s="0" t="n">
        <f aca="false">ROW()-1</f>
        <v>4468</v>
      </c>
      <c r="I4469" s="0" t="str">
        <f aca="false">IF(OR(הגדרות!$E$6=0,H4469&gt;הגדרות!$E$5),"",IF(H4469-1&lt;הגדרות!$E$8*(הגדרות!$E$7+1),INT((H4469-1)/(הגדרות!$E$7+1)),הגדרות!$E$8+INT((H4469-1-הגדרות!$E$8*(הגדרות!$E$7+1))/הגדרות!$E$7)))</f>
        <v/>
      </c>
      <c r="J4469" s="0" t="str">
        <f aca="false">IF(I4469="","",IF(H4469-1&lt;הגדרות!$E$8*(הגדרות!$E$7+1),MOD(H4469-1,הגדרות!$E$7+1),MOD(H4469-1-הגדרות!$E$8*(הגדרות!$E$7+1),הגדרות!$E$7)))</f>
        <v/>
      </c>
      <c r="K4469" s="0" t="str">
        <f aca="false">IF(I4469="","",J4469*הגדרות!$E$6+I4469+1)</f>
        <v/>
      </c>
      <c r="L4469" s="0" t="str">
        <f aca="false">IF(K4469="","",MATCH(K4469,$F$2:$F$5001,0))</f>
        <v/>
      </c>
      <c r="M4469" s="0" t="str">
        <f aca="false">IF(I4469="","",INDEX(הגדרות!$A$2:$A$21,MOD(I4469+הגדרות!$E$9,הגדרות!$E$6)+1))</f>
        <v/>
      </c>
    </row>
    <row r="4470" customFormat="false" ht="15" hidden="false" customHeight="false" outlineLevel="0" collapsed="false">
      <c r="A4470" s="0" t="str">
        <f aca="false">IF('הדבקת לידים'!A4470="","",IF(ISNUMBER('הדבקת לידים'!A4470),IF(הגדרות!$E$2&gt;0,TEXT('הדבקת לידים'!A4470,REPT("0",הגדרות!$E$2)),TEXT('הדבקת לידים'!A4470,"0")),TRIM('הדבקת לידים'!A4470)))</f>
        <v/>
      </c>
      <c r="B4470" s="0" t="str">
        <f aca="false">IF('הדבקת לידים'!B4470="","",IF(ISNUMBER('הדבקת לידים'!B4470),IF(הגדרות!$E$3&gt;0,TEXT('הדבקת לידים'!B4470,REPT("0",הגדרות!$E$3)),TEXT('הדבקת לידים'!B4470,"0")),TRIM('הדבקת לידים'!B4470)))</f>
        <v/>
      </c>
      <c r="C4470" s="0" t="n">
        <f aca="false">IF(OR(A4470&lt;&gt;"",B4470&lt;&gt;""),1,0)</f>
        <v>0</v>
      </c>
      <c r="D4470" s="0" t="str">
        <f aca="false">IF(C4470=1,MOD(ABS(SIN(ROW()*12.9898+'הדבקת לידים'!$F$2*78.233+IFERROR(--RIGHT(A4470,6),LEN(A4470))*0.0137+IFERROR(--RIGHT(B4470,6),LEN(B4470))*0.0071))*43758.5453,1),"")</f>
        <v/>
      </c>
      <c r="E4470" s="0" t="str">
        <f aca="false">IF(C4470=1,INT(MOD(ABS(SIN(D4470*7919.123+ROW()*0.618+'הדבקת לידים'!$F$2*1.3))*43758.5453,1)*1000000)*10000+ROW(),"")</f>
        <v/>
      </c>
      <c r="F4470" s="0" t="str">
        <f aca="false">IF(E4470="","",RANK(E4470,$E$2:$E$5001,1))</f>
        <v/>
      </c>
      <c r="G4470" s="0" t="n">
        <f aca="false">IF(A4470="",0,IF(SUMPRODUCT(--($A$2:$A$5001=A4470))&gt;1,1,0))</f>
        <v>0</v>
      </c>
      <c r="H4470" s="0" t="n">
        <f aca="false">ROW()-1</f>
        <v>4469</v>
      </c>
      <c r="I4470" s="0" t="str">
        <f aca="false">IF(OR(הגדרות!$E$6=0,H4470&gt;הגדרות!$E$5),"",IF(H4470-1&lt;הגדרות!$E$8*(הגדרות!$E$7+1),INT((H4470-1)/(הגדרות!$E$7+1)),הגדרות!$E$8+INT((H4470-1-הגדרות!$E$8*(הגדרות!$E$7+1))/הגדרות!$E$7)))</f>
        <v/>
      </c>
      <c r="J4470" s="0" t="str">
        <f aca="false">IF(I4470="","",IF(H4470-1&lt;הגדרות!$E$8*(הגדרות!$E$7+1),MOD(H4470-1,הגדרות!$E$7+1),MOD(H4470-1-הגדרות!$E$8*(הגדרות!$E$7+1),הגדרות!$E$7)))</f>
        <v/>
      </c>
      <c r="K4470" s="0" t="str">
        <f aca="false">IF(I4470="","",J4470*הגדרות!$E$6+I4470+1)</f>
        <v/>
      </c>
      <c r="L4470" s="0" t="str">
        <f aca="false">IF(K4470="","",MATCH(K4470,$F$2:$F$5001,0))</f>
        <v/>
      </c>
      <c r="M4470" s="0" t="str">
        <f aca="false">IF(I4470="","",INDEX(הגדרות!$A$2:$A$21,MOD(I4470+הגדרות!$E$9,הגדרות!$E$6)+1))</f>
        <v/>
      </c>
    </row>
    <row r="4471" customFormat="false" ht="15" hidden="false" customHeight="false" outlineLevel="0" collapsed="false">
      <c r="A4471" s="0" t="str">
        <f aca="false">IF('הדבקת לידים'!A4471="","",IF(ISNUMBER('הדבקת לידים'!A4471),IF(הגדרות!$E$2&gt;0,TEXT('הדבקת לידים'!A4471,REPT("0",הגדרות!$E$2)),TEXT('הדבקת לידים'!A4471,"0")),TRIM('הדבקת לידים'!A4471)))</f>
        <v/>
      </c>
      <c r="B4471" s="0" t="str">
        <f aca="false">IF('הדבקת לידים'!B4471="","",IF(ISNUMBER('הדבקת לידים'!B4471),IF(הגדרות!$E$3&gt;0,TEXT('הדבקת לידים'!B4471,REPT("0",הגדרות!$E$3)),TEXT('הדבקת לידים'!B4471,"0")),TRIM('הדבקת לידים'!B4471)))</f>
        <v/>
      </c>
      <c r="C4471" s="0" t="n">
        <f aca="false">IF(OR(A4471&lt;&gt;"",B4471&lt;&gt;""),1,0)</f>
        <v>0</v>
      </c>
      <c r="D4471" s="0" t="str">
        <f aca="false">IF(C4471=1,MOD(ABS(SIN(ROW()*12.9898+'הדבקת לידים'!$F$2*78.233+IFERROR(--RIGHT(A4471,6),LEN(A4471))*0.0137+IFERROR(--RIGHT(B4471,6),LEN(B4471))*0.0071))*43758.5453,1),"")</f>
        <v/>
      </c>
      <c r="E4471" s="0" t="str">
        <f aca="false">IF(C4471=1,INT(MOD(ABS(SIN(D4471*7919.123+ROW()*0.618+'הדבקת לידים'!$F$2*1.3))*43758.5453,1)*1000000)*10000+ROW(),"")</f>
        <v/>
      </c>
      <c r="F4471" s="0" t="str">
        <f aca="false">IF(E4471="","",RANK(E4471,$E$2:$E$5001,1))</f>
        <v/>
      </c>
      <c r="G4471" s="0" t="n">
        <f aca="false">IF(A4471="",0,IF(SUMPRODUCT(--($A$2:$A$5001=A4471))&gt;1,1,0))</f>
        <v>0</v>
      </c>
      <c r="H4471" s="0" t="n">
        <f aca="false">ROW()-1</f>
        <v>4470</v>
      </c>
      <c r="I4471" s="0" t="str">
        <f aca="false">IF(OR(הגדרות!$E$6=0,H4471&gt;הגדרות!$E$5),"",IF(H4471-1&lt;הגדרות!$E$8*(הגדרות!$E$7+1),INT((H4471-1)/(הגדרות!$E$7+1)),הגדרות!$E$8+INT((H4471-1-הגדרות!$E$8*(הגדרות!$E$7+1))/הגדרות!$E$7)))</f>
        <v/>
      </c>
      <c r="J4471" s="0" t="str">
        <f aca="false">IF(I4471="","",IF(H4471-1&lt;הגדרות!$E$8*(הגדרות!$E$7+1),MOD(H4471-1,הגדרות!$E$7+1),MOD(H4471-1-הגדרות!$E$8*(הגדרות!$E$7+1),הגדרות!$E$7)))</f>
        <v/>
      </c>
      <c r="K4471" s="0" t="str">
        <f aca="false">IF(I4471="","",J4471*הגדרות!$E$6+I4471+1)</f>
        <v/>
      </c>
      <c r="L4471" s="0" t="str">
        <f aca="false">IF(K4471="","",MATCH(K4471,$F$2:$F$5001,0))</f>
        <v/>
      </c>
      <c r="M4471" s="0" t="str">
        <f aca="false">IF(I4471="","",INDEX(הגדרות!$A$2:$A$21,MOD(I4471+הגדרות!$E$9,הגדרות!$E$6)+1))</f>
        <v/>
      </c>
    </row>
    <row r="4472" customFormat="false" ht="15" hidden="false" customHeight="false" outlineLevel="0" collapsed="false">
      <c r="A4472" s="0" t="str">
        <f aca="false">IF('הדבקת לידים'!A4472="","",IF(ISNUMBER('הדבקת לידים'!A4472),IF(הגדרות!$E$2&gt;0,TEXT('הדבקת לידים'!A4472,REPT("0",הגדרות!$E$2)),TEXT('הדבקת לידים'!A4472,"0")),TRIM('הדבקת לידים'!A4472)))</f>
        <v/>
      </c>
      <c r="B4472" s="0" t="str">
        <f aca="false">IF('הדבקת לידים'!B4472="","",IF(ISNUMBER('הדבקת לידים'!B4472),IF(הגדרות!$E$3&gt;0,TEXT('הדבקת לידים'!B4472,REPT("0",הגדרות!$E$3)),TEXT('הדבקת לידים'!B4472,"0")),TRIM('הדבקת לידים'!B4472)))</f>
        <v/>
      </c>
      <c r="C4472" s="0" t="n">
        <f aca="false">IF(OR(A4472&lt;&gt;"",B4472&lt;&gt;""),1,0)</f>
        <v>0</v>
      </c>
      <c r="D4472" s="0" t="str">
        <f aca="false">IF(C4472=1,MOD(ABS(SIN(ROW()*12.9898+'הדבקת לידים'!$F$2*78.233+IFERROR(--RIGHT(A4472,6),LEN(A4472))*0.0137+IFERROR(--RIGHT(B4472,6),LEN(B4472))*0.0071))*43758.5453,1),"")</f>
        <v/>
      </c>
      <c r="E4472" s="0" t="str">
        <f aca="false">IF(C4472=1,INT(MOD(ABS(SIN(D4472*7919.123+ROW()*0.618+'הדבקת לידים'!$F$2*1.3))*43758.5453,1)*1000000)*10000+ROW(),"")</f>
        <v/>
      </c>
      <c r="F4472" s="0" t="str">
        <f aca="false">IF(E4472="","",RANK(E4472,$E$2:$E$5001,1))</f>
        <v/>
      </c>
      <c r="G4472" s="0" t="n">
        <f aca="false">IF(A4472="",0,IF(SUMPRODUCT(--($A$2:$A$5001=A4472))&gt;1,1,0))</f>
        <v>0</v>
      </c>
      <c r="H4472" s="0" t="n">
        <f aca="false">ROW()-1</f>
        <v>4471</v>
      </c>
      <c r="I4472" s="0" t="str">
        <f aca="false">IF(OR(הגדרות!$E$6=0,H4472&gt;הגדרות!$E$5),"",IF(H4472-1&lt;הגדרות!$E$8*(הגדרות!$E$7+1),INT((H4472-1)/(הגדרות!$E$7+1)),הגדרות!$E$8+INT((H4472-1-הגדרות!$E$8*(הגדרות!$E$7+1))/הגדרות!$E$7)))</f>
        <v/>
      </c>
      <c r="J4472" s="0" t="str">
        <f aca="false">IF(I4472="","",IF(H4472-1&lt;הגדרות!$E$8*(הגדרות!$E$7+1),MOD(H4472-1,הגדרות!$E$7+1),MOD(H4472-1-הגדרות!$E$8*(הגדרות!$E$7+1),הגדרות!$E$7)))</f>
        <v/>
      </c>
      <c r="K4472" s="0" t="str">
        <f aca="false">IF(I4472="","",J4472*הגדרות!$E$6+I4472+1)</f>
        <v/>
      </c>
      <c r="L4472" s="0" t="str">
        <f aca="false">IF(K4472="","",MATCH(K4472,$F$2:$F$5001,0))</f>
        <v/>
      </c>
      <c r="M4472" s="0" t="str">
        <f aca="false">IF(I4472="","",INDEX(הגדרות!$A$2:$A$21,MOD(I4472+הגדרות!$E$9,הגדרות!$E$6)+1))</f>
        <v/>
      </c>
    </row>
    <row r="4473" customFormat="false" ht="15" hidden="false" customHeight="false" outlineLevel="0" collapsed="false">
      <c r="A4473" s="0" t="str">
        <f aca="false">IF('הדבקת לידים'!A4473="","",IF(ISNUMBER('הדבקת לידים'!A4473),IF(הגדרות!$E$2&gt;0,TEXT('הדבקת לידים'!A4473,REPT("0",הגדרות!$E$2)),TEXT('הדבקת לידים'!A4473,"0")),TRIM('הדבקת לידים'!A4473)))</f>
        <v/>
      </c>
      <c r="B4473" s="0" t="str">
        <f aca="false">IF('הדבקת לידים'!B4473="","",IF(ISNUMBER('הדבקת לידים'!B4473),IF(הגדרות!$E$3&gt;0,TEXT('הדבקת לידים'!B4473,REPT("0",הגדרות!$E$3)),TEXT('הדבקת לידים'!B4473,"0")),TRIM('הדבקת לידים'!B4473)))</f>
        <v/>
      </c>
      <c r="C4473" s="0" t="n">
        <f aca="false">IF(OR(A4473&lt;&gt;"",B4473&lt;&gt;""),1,0)</f>
        <v>0</v>
      </c>
      <c r="D4473" s="0" t="str">
        <f aca="false">IF(C4473=1,MOD(ABS(SIN(ROW()*12.9898+'הדבקת לידים'!$F$2*78.233+IFERROR(--RIGHT(A4473,6),LEN(A4473))*0.0137+IFERROR(--RIGHT(B4473,6),LEN(B4473))*0.0071))*43758.5453,1),"")</f>
        <v/>
      </c>
      <c r="E4473" s="0" t="str">
        <f aca="false">IF(C4473=1,INT(MOD(ABS(SIN(D4473*7919.123+ROW()*0.618+'הדבקת לידים'!$F$2*1.3))*43758.5453,1)*1000000)*10000+ROW(),"")</f>
        <v/>
      </c>
      <c r="F4473" s="0" t="str">
        <f aca="false">IF(E4473="","",RANK(E4473,$E$2:$E$5001,1))</f>
        <v/>
      </c>
      <c r="G4473" s="0" t="n">
        <f aca="false">IF(A4473="",0,IF(SUMPRODUCT(--($A$2:$A$5001=A4473))&gt;1,1,0))</f>
        <v>0</v>
      </c>
      <c r="H4473" s="0" t="n">
        <f aca="false">ROW()-1</f>
        <v>4472</v>
      </c>
      <c r="I4473" s="0" t="str">
        <f aca="false">IF(OR(הגדרות!$E$6=0,H4473&gt;הגדרות!$E$5),"",IF(H4473-1&lt;הגדרות!$E$8*(הגדרות!$E$7+1),INT((H4473-1)/(הגדרות!$E$7+1)),הגדרות!$E$8+INT((H4473-1-הגדרות!$E$8*(הגדרות!$E$7+1))/הגדרות!$E$7)))</f>
        <v/>
      </c>
      <c r="J4473" s="0" t="str">
        <f aca="false">IF(I4473="","",IF(H4473-1&lt;הגדרות!$E$8*(הגדרות!$E$7+1),MOD(H4473-1,הגדרות!$E$7+1),MOD(H4473-1-הגדרות!$E$8*(הגדרות!$E$7+1),הגדרות!$E$7)))</f>
        <v/>
      </c>
      <c r="K4473" s="0" t="str">
        <f aca="false">IF(I4473="","",J4473*הגדרות!$E$6+I4473+1)</f>
        <v/>
      </c>
      <c r="L4473" s="0" t="str">
        <f aca="false">IF(K4473="","",MATCH(K4473,$F$2:$F$5001,0))</f>
        <v/>
      </c>
      <c r="M4473" s="0" t="str">
        <f aca="false">IF(I4473="","",INDEX(הגדרות!$A$2:$A$21,MOD(I4473+הגדרות!$E$9,הגדרות!$E$6)+1))</f>
        <v/>
      </c>
    </row>
    <row r="4474" customFormat="false" ht="15" hidden="false" customHeight="false" outlineLevel="0" collapsed="false">
      <c r="A4474" s="0" t="str">
        <f aca="false">IF('הדבקת לידים'!A4474="","",IF(ISNUMBER('הדבקת לידים'!A4474),IF(הגדרות!$E$2&gt;0,TEXT('הדבקת לידים'!A4474,REPT("0",הגדרות!$E$2)),TEXT('הדבקת לידים'!A4474,"0")),TRIM('הדבקת לידים'!A4474)))</f>
        <v/>
      </c>
      <c r="B4474" s="0" t="str">
        <f aca="false">IF('הדבקת לידים'!B4474="","",IF(ISNUMBER('הדבקת לידים'!B4474),IF(הגדרות!$E$3&gt;0,TEXT('הדבקת לידים'!B4474,REPT("0",הגדרות!$E$3)),TEXT('הדבקת לידים'!B4474,"0")),TRIM('הדבקת לידים'!B4474)))</f>
        <v/>
      </c>
      <c r="C4474" s="0" t="n">
        <f aca="false">IF(OR(A4474&lt;&gt;"",B4474&lt;&gt;""),1,0)</f>
        <v>0</v>
      </c>
      <c r="D4474" s="0" t="str">
        <f aca="false">IF(C4474=1,MOD(ABS(SIN(ROW()*12.9898+'הדבקת לידים'!$F$2*78.233+IFERROR(--RIGHT(A4474,6),LEN(A4474))*0.0137+IFERROR(--RIGHT(B4474,6),LEN(B4474))*0.0071))*43758.5453,1),"")</f>
        <v/>
      </c>
      <c r="E4474" s="0" t="str">
        <f aca="false">IF(C4474=1,INT(MOD(ABS(SIN(D4474*7919.123+ROW()*0.618+'הדבקת לידים'!$F$2*1.3))*43758.5453,1)*1000000)*10000+ROW(),"")</f>
        <v/>
      </c>
      <c r="F4474" s="0" t="str">
        <f aca="false">IF(E4474="","",RANK(E4474,$E$2:$E$5001,1))</f>
        <v/>
      </c>
      <c r="G4474" s="0" t="n">
        <f aca="false">IF(A4474="",0,IF(SUMPRODUCT(--($A$2:$A$5001=A4474))&gt;1,1,0))</f>
        <v>0</v>
      </c>
      <c r="H4474" s="0" t="n">
        <f aca="false">ROW()-1</f>
        <v>4473</v>
      </c>
      <c r="I4474" s="0" t="str">
        <f aca="false">IF(OR(הגדרות!$E$6=0,H4474&gt;הגדרות!$E$5),"",IF(H4474-1&lt;הגדרות!$E$8*(הגדרות!$E$7+1),INT((H4474-1)/(הגדרות!$E$7+1)),הגדרות!$E$8+INT((H4474-1-הגדרות!$E$8*(הגדרות!$E$7+1))/הגדרות!$E$7)))</f>
        <v/>
      </c>
      <c r="J4474" s="0" t="str">
        <f aca="false">IF(I4474="","",IF(H4474-1&lt;הגדרות!$E$8*(הגדרות!$E$7+1),MOD(H4474-1,הגדרות!$E$7+1),MOD(H4474-1-הגדרות!$E$8*(הגדרות!$E$7+1),הגדרות!$E$7)))</f>
        <v/>
      </c>
      <c r="K4474" s="0" t="str">
        <f aca="false">IF(I4474="","",J4474*הגדרות!$E$6+I4474+1)</f>
        <v/>
      </c>
      <c r="L4474" s="0" t="str">
        <f aca="false">IF(K4474="","",MATCH(K4474,$F$2:$F$5001,0))</f>
        <v/>
      </c>
      <c r="M4474" s="0" t="str">
        <f aca="false">IF(I4474="","",INDEX(הגדרות!$A$2:$A$21,MOD(I4474+הגדרות!$E$9,הגדרות!$E$6)+1))</f>
        <v/>
      </c>
    </row>
    <row r="4475" customFormat="false" ht="15" hidden="false" customHeight="false" outlineLevel="0" collapsed="false">
      <c r="A4475" s="0" t="str">
        <f aca="false">IF('הדבקת לידים'!A4475="","",IF(ISNUMBER('הדבקת לידים'!A4475),IF(הגדרות!$E$2&gt;0,TEXT('הדבקת לידים'!A4475,REPT("0",הגדרות!$E$2)),TEXT('הדבקת לידים'!A4475,"0")),TRIM('הדבקת לידים'!A4475)))</f>
        <v/>
      </c>
      <c r="B4475" s="0" t="str">
        <f aca="false">IF('הדבקת לידים'!B4475="","",IF(ISNUMBER('הדבקת לידים'!B4475),IF(הגדרות!$E$3&gt;0,TEXT('הדבקת לידים'!B4475,REPT("0",הגדרות!$E$3)),TEXT('הדבקת לידים'!B4475,"0")),TRIM('הדבקת לידים'!B4475)))</f>
        <v/>
      </c>
      <c r="C4475" s="0" t="n">
        <f aca="false">IF(OR(A4475&lt;&gt;"",B4475&lt;&gt;""),1,0)</f>
        <v>0</v>
      </c>
      <c r="D4475" s="0" t="str">
        <f aca="false">IF(C4475=1,MOD(ABS(SIN(ROW()*12.9898+'הדבקת לידים'!$F$2*78.233+IFERROR(--RIGHT(A4475,6),LEN(A4475))*0.0137+IFERROR(--RIGHT(B4475,6),LEN(B4475))*0.0071))*43758.5453,1),"")</f>
        <v/>
      </c>
      <c r="E4475" s="0" t="str">
        <f aca="false">IF(C4475=1,INT(MOD(ABS(SIN(D4475*7919.123+ROW()*0.618+'הדבקת לידים'!$F$2*1.3))*43758.5453,1)*1000000)*10000+ROW(),"")</f>
        <v/>
      </c>
      <c r="F4475" s="0" t="str">
        <f aca="false">IF(E4475="","",RANK(E4475,$E$2:$E$5001,1))</f>
        <v/>
      </c>
      <c r="G4475" s="0" t="n">
        <f aca="false">IF(A4475="",0,IF(SUMPRODUCT(--($A$2:$A$5001=A4475))&gt;1,1,0))</f>
        <v>0</v>
      </c>
      <c r="H4475" s="0" t="n">
        <f aca="false">ROW()-1</f>
        <v>4474</v>
      </c>
      <c r="I4475" s="0" t="str">
        <f aca="false">IF(OR(הגדרות!$E$6=0,H4475&gt;הגדרות!$E$5),"",IF(H4475-1&lt;הגדרות!$E$8*(הגדרות!$E$7+1),INT((H4475-1)/(הגדרות!$E$7+1)),הגדרות!$E$8+INT((H4475-1-הגדרות!$E$8*(הגדרות!$E$7+1))/הגדרות!$E$7)))</f>
        <v/>
      </c>
      <c r="J4475" s="0" t="str">
        <f aca="false">IF(I4475="","",IF(H4475-1&lt;הגדרות!$E$8*(הגדרות!$E$7+1),MOD(H4475-1,הגדרות!$E$7+1),MOD(H4475-1-הגדרות!$E$8*(הגדרות!$E$7+1),הגדרות!$E$7)))</f>
        <v/>
      </c>
      <c r="K4475" s="0" t="str">
        <f aca="false">IF(I4475="","",J4475*הגדרות!$E$6+I4475+1)</f>
        <v/>
      </c>
      <c r="L4475" s="0" t="str">
        <f aca="false">IF(K4475="","",MATCH(K4475,$F$2:$F$5001,0))</f>
        <v/>
      </c>
      <c r="M4475" s="0" t="str">
        <f aca="false">IF(I4475="","",INDEX(הגדרות!$A$2:$A$21,MOD(I4475+הגדרות!$E$9,הגדרות!$E$6)+1))</f>
        <v/>
      </c>
    </row>
    <row r="4476" customFormat="false" ht="15" hidden="false" customHeight="false" outlineLevel="0" collapsed="false">
      <c r="A4476" s="0" t="str">
        <f aca="false">IF('הדבקת לידים'!A4476="","",IF(ISNUMBER('הדבקת לידים'!A4476),IF(הגדרות!$E$2&gt;0,TEXT('הדבקת לידים'!A4476,REPT("0",הגדרות!$E$2)),TEXT('הדבקת לידים'!A4476,"0")),TRIM('הדבקת לידים'!A4476)))</f>
        <v/>
      </c>
      <c r="B4476" s="0" t="str">
        <f aca="false">IF('הדבקת לידים'!B4476="","",IF(ISNUMBER('הדבקת לידים'!B4476),IF(הגדרות!$E$3&gt;0,TEXT('הדבקת לידים'!B4476,REPT("0",הגדרות!$E$3)),TEXT('הדבקת לידים'!B4476,"0")),TRIM('הדבקת לידים'!B4476)))</f>
        <v/>
      </c>
      <c r="C4476" s="0" t="n">
        <f aca="false">IF(OR(A4476&lt;&gt;"",B4476&lt;&gt;""),1,0)</f>
        <v>0</v>
      </c>
      <c r="D4476" s="0" t="str">
        <f aca="false">IF(C4476=1,MOD(ABS(SIN(ROW()*12.9898+'הדבקת לידים'!$F$2*78.233+IFERROR(--RIGHT(A4476,6),LEN(A4476))*0.0137+IFERROR(--RIGHT(B4476,6),LEN(B4476))*0.0071))*43758.5453,1),"")</f>
        <v/>
      </c>
      <c r="E4476" s="0" t="str">
        <f aca="false">IF(C4476=1,INT(MOD(ABS(SIN(D4476*7919.123+ROW()*0.618+'הדבקת לידים'!$F$2*1.3))*43758.5453,1)*1000000)*10000+ROW(),"")</f>
        <v/>
      </c>
      <c r="F4476" s="0" t="str">
        <f aca="false">IF(E4476="","",RANK(E4476,$E$2:$E$5001,1))</f>
        <v/>
      </c>
      <c r="G4476" s="0" t="n">
        <f aca="false">IF(A4476="",0,IF(SUMPRODUCT(--($A$2:$A$5001=A4476))&gt;1,1,0))</f>
        <v>0</v>
      </c>
      <c r="H4476" s="0" t="n">
        <f aca="false">ROW()-1</f>
        <v>4475</v>
      </c>
      <c r="I4476" s="0" t="str">
        <f aca="false">IF(OR(הגדרות!$E$6=0,H4476&gt;הגדרות!$E$5),"",IF(H4476-1&lt;הגדרות!$E$8*(הגדרות!$E$7+1),INT((H4476-1)/(הגדרות!$E$7+1)),הגדרות!$E$8+INT((H4476-1-הגדרות!$E$8*(הגדרות!$E$7+1))/הגדרות!$E$7)))</f>
        <v/>
      </c>
      <c r="J4476" s="0" t="str">
        <f aca="false">IF(I4476="","",IF(H4476-1&lt;הגדרות!$E$8*(הגדרות!$E$7+1),MOD(H4476-1,הגדרות!$E$7+1),MOD(H4476-1-הגדרות!$E$8*(הגדרות!$E$7+1),הגדרות!$E$7)))</f>
        <v/>
      </c>
      <c r="K4476" s="0" t="str">
        <f aca="false">IF(I4476="","",J4476*הגדרות!$E$6+I4476+1)</f>
        <v/>
      </c>
      <c r="L4476" s="0" t="str">
        <f aca="false">IF(K4476="","",MATCH(K4476,$F$2:$F$5001,0))</f>
        <v/>
      </c>
      <c r="M4476" s="0" t="str">
        <f aca="false">IF(I4476="","",INDEX(הגדרות!$A$2:$A$21,MOD(I4476+הגדרות!$E$9,הגדרות!$E$6)+1))</f>
        <v/>
      </c>
    </row>
    <row r="4477" customFormat="false" ht="15" hidden="false" customHeight="false" outlineLevel="0" collapsed="false">
      <c r="A4477" s="0" t="str">
        <f aca="false">IF('הדבקת לידים'!A4477="","",IF(ISNUMBER('הדבקת לידים'!A4477),IF(הגדרות!$E$2&gt;0,TEXT('הדבקת לידים'!A4477,REPT("0",הגדרות!$E$2)),TEXT('הדבקת לידים'!A4477,"0")),TRIM('הדבקת לידים'!A4477)))</f>
        <v/>
      </c>
      <c r="B4477" s="0" t="str">
        <f aca="false">IF('הדבקת לידים'!B4477="","",IF(ISNUMBER('הדבקת לידים'!B4477),IF(הגדרות!$E$3&gt;0,TEXT('הדבקת לידים'!B4477,REPT("0",הגדרות!$E$3)),TEXT('הדבקת לידים'!B4477,"0")),TRIM('הדבקת לידים'!B4477)))</f>
        <v/>
      </c>
      <c r="C4477" s="0" t="n">
        <f aca="false">IF(OR(A4477&lt;&gt;"",B4477&lt;&gt;""),1,0)</f>
        <v>0</v>
      </c>
      <c r="D4477" s="0" t="str">
        <f aca="false">IF(C4477=1,MOD(ABS(SIN(ROW()*12.9898+'הדבקת לידים'!$F$2*78.233+IFERROR(--RIGHT(A4477,6),LEN(A4477))*0.0137+IFERROR(--RIGHT(B4477,6),LEN(B4477))*0.0071))*43758.5453,1),"")</f>
        <v/>
      </c>
      <c r="E4477" s="0" t="str">
        <f aca="false">IF(C4477=1,INT(MOD(ABS(SIN(D4477*7919.123+ROW()*0.618+'הדבקת לידים'!$F$2*1.3))*43758.5453,1)*1000000)*10000+ROW(),"")</f>
        <v/>
      </c>
      <c r="F4477" s="0" t="str">
        <f aca="false">IF(E4477="","",RANK(E4477,$E$2:$E$5001,1))</f>
        <v/>
      </c>
      <c r="G4477" s="0" t="n">
        <f aca="false">IF(A4477="",0,IF(SUMPRODUCT(--($A$2:$A$5001=A4477))&gt;1,1,0))</f>
        <v>0</v>
      </c>
      <c r="H4477" s="0" t="n">
        <f aca="false">ROW()-1</f>
        <v>4476</v>
      </c>
      <c r="I4477" s="0" t="str">
        <f aca="false">IF(OR(הגדרות!$E$6=0,H4477&gt;הגדרות!$E$5),"",IF(H4477-1&lt;הגדרות!$E$8*(הגדרות!$E$7+1),INT((H4477-1)/(הגדרות!$E$7+1)),הגדרות!$E$8+INT((H4477-1-הגדרות!$E$8*(הגדרות!$E$7+1))/הגדרות!$E$7)))</f>
        <v/>
      </c>
      <c r="J4477" s="0" t="str">
        <f aca="false">IF(I4477="","",IF(H4477-1&lt;הגדרות!$E$8*(הגדרות!$E$7+1),MOD(H4477-1,הגדרות!$E$7+1),MOD(H4477-1-הגדרות!$E$8*(הגדרות!$E$7+1),הגדרות!$E$7)))</f>
        <v/>
      </c>
      <c r="K4477" s="0" t="str">
        <f aca="false">IF(I4477="","",J4477*הגדרות!$E$6+I4477+1)</f>
        <v/>
      </c>
      <c r="L4477" s="0" t="str">
        <f aca="false">IF(K4477="","",MATCH(K4477,$F$2:$F$5001,0))</f>
        <v/>
      </c>
      <c r="M4477" s="0" t="str">
        <f aca="false">IF(I4477="","",INDEX(הגדרות!$A$2:$A$21,MOD(I4477+הגדרות!$E$9,הגדרות!$E$6)+1))</f>
        <v/>
      </c>
    </row>
    <row r="4478" customFormat="false" ht="15" hidden="false" customHeight="false" outlineLevel="0" collapsed="false">
      <c r="A4478" s="0" t="str">
        <f aca="false">IF('הדבקת לידים'!A4478="","",IF(ISNUMBER('הדבקת לידים'!A4478),IF(הגדרות!$E$2&gt;0,TEXT('הדבקת לידים'!A4478,REPT("0",הגדרות!$E$2)),TEXT('הדבקת לידים'!A4478,"0")),TRIM('הדבקת לידים'!A4478)))</f>
        <v/>
      </c>
      <c r="B4478" s="0" t="str">
        <f aca="false">IF('הדבקת לידים'!B4478="","",IF(ISNUMBER('הדבקת לידים'!B4478),IF(הגדרות!$E$3&gt;0,TEXT('הדבקת לידים'!B4478,REPT("0",הגדרות!$E$3)),TEXT('הדבקת לידים'!B4478,"0")),TRIM('הדבקת לידים'!B4478)))</f>
        <v/>
      </c>
      <c r="C4478" s="0" t="n">
        <f aca="false">IF(OR(A4478&lt;&gt;"",B4478&lt;&gt;""),1,0)</f>
        <v>0</v>
      </c>
      <c r="D4478" s="0" t="str">
        <f aca="false">IF(C4478=1,MOD(ABS(SIN(ROW()*12.9898+'הדבקת לידים'!$F$2*78.233+IFERROR(--RIGHT(A4478,6),LEN(A4478))*0.0137+IFERROR(--RIGHT(B4478,6),LEN(B4478))*0.0071))*43758.5453,1),"")</f>
        <v/>
      </c>
      <c r="E4478" s="0" t="str">
        <f aca="false">IF(C4478=1,INT(MOD(ABS(SIN(D4478*7919.123+ROW()*0.618+'הדבקת לידים'!$F$2*1.3))*43758.5453,1)*1000000)*10000+ROW(),"")</f>
        <v/>
      </c>
      <c r="F4478" s="0" t="str">
        <f aca="false">IF(E4478="","",RANK(E4478,$E$2:$E$5001,1))</f>
        <v/>
      </c>
      <c r="G4478" s="0" t="n">
        <f aca="false">IF(A4478="",0,IF(SUMPRODUCT(--($A$2:$A$5001=A4478))&gt;1,1,0))</f>
        <v>0</v>
      </c>
      <c r="H4478" s="0" t="n">
        <f aca="false">ROW()-1</f>
        <v>4477</v>
      </c>
      <c r="I4478" s="0" t="str">
        <f aca="false">IF(OR(הגדרות!$E$6=0,H4478&gt;הגדרות!$E$5),"",IF(H4478-1&lt;הגדרות!$E$8*(הגדרות!$E$7+1),INT((H4478-1)/(הגדרות!$E$7+1)),הגדרות!$E$8+INT((H4478-1-הגדרות!$E$8*(הגדרות!$E$7+1))/הגדרות!$E$7)))</f>
        <v/>
      </c>
      <c r="J4478" s="0" t="str">
        <f aca="false">IF(I4478="","",IF(H4478-1&lt;הגדרות!$E$8*(הגדרות!$E$7+1),MOD(H4478-1,הגדרות!$E$7+1),MOD(H4478-1-הגדרות!$E$8*(הגדרות!$E$7+1),הגדרות!$E$7)))</f>
        <v/>
      </c>
      <c r="K4478" s="0" t="str">
        <f aca="false">IF(I4478="","",J4478*הגדרות!$E$6+I4478+1)</f>
        <v/>
      </c>
      <c r="L4478" s="0" t="str">
        <f aca="false">IF(K4478="","",MATCH(K4478,$F$2:$F$5001,0))</f>
        <v/>
      </c>
      <c r="M4478" s="0" t="str">
        <f aca="false">IF(I4478="","",INDEX(הגדרות!$A$2:$A$21,MOD(I4478+הגדרות!$E$9,הגדרות!$E$6)+1))</f>
        <v/>
      </c>
    </row>
    <row r="4479" customFormat="false" ht="15" hidden="false" customHeight="false" outlineLevel="0" collapsed="false">
      <c r="A4479" s="0" t="str">
        <f aca="false">IF('הדבקת לידים'!A4479="","",IF(ISNUMBER('הדבקת לידים'!A4479),IF(הגדרות!$E$2&gt;0,TEXT('הדבקת לידים'!A4479,REPT("0",הגדרות!$E$2)),TEXT('הדבקת לידים'!A4479,"0")),TRIM('הדבקת לידים'!A4479)))</f>
        <v/>
      </c>
      <c r="B4479" s="0" t="str">
        <f aca="false">IF('הדבקת לידים'!B4479="","",IF(ISNUMBER('הדבקת לידים'!B4479),IF(הגדרות!$E$3&gt;0,TEXT('הדבקת לידים'!B4479,REPT("0",הגדרות!$E$3)),TEXT('הדבקת לידים'!B4479,"0")),TRIM('הדבקת לידים'!B4479)))</f>
        <v/>
      </c>
      <c r="C4479" s="0" t="n">
        <f aca="false">IF(OR(A4479&lt;&gt;"",B4479&lt;&gt;""),1,0)</f>
        <v>0</v>
      </c>
      <c r="D4479" s="0" t="str">
        <f aca="false">IF(C4479=1,MOD(ABS(SIN(ROW()*12.9898+'הדבקת לידים'!$F$2*78.233+IFERROR(--RIGHT(A4479,6),LEN(A4479))*0.0137+IFERROR(--RIGHT(B4479,6),LEN(B4479))*0.0071))*43758.5453,1),"")</f>
        <v/>
      </c>
      <c r="E4479" s="0" t="str">
        <f aca="false">IF(C4479=1,INT(MOD(ABS(SIN(D4479*7919.123+ROW()*0.618+'הדבקת לידים'!$F$2*1.3))*43758.5453,1)*1000000)*10000+ROW(),"")</f>
        <v/>
      </c>
      <c r="F4479" s="0" t="str">
        <f aca="false">IF(E4479="","",RANK(E4479,$E$2:$E$5001,1))</f>
        <v/>
      </c>
      <c r="G4479" s="0" t="n">
        <f aca="false">IF(A4479="",0,IF(SUMPRODUCT(--($A$2:$A$5001=A4479))&gt;1,1,0))</f>
        <v>0</v>
      </c>
      <c r="H4479" s="0" t="n">
        <f aca="false">ROW()-1</f>
        <v>4478</v>
      </c>
      <c r="I4479" s="0" t="str">
        <f aca="false">IF(OR(הגדרות!$E$6=0,H4479&gt;הגדרות!$E$5),"",IF(H4479-1&lt;הגדרות!$E$8*(הגדרות!$E$7+1),INT((H4479-1)/(הגדרות!$E$7+1)),הגדרות!$E$8+INT((H4479-1-הגדרות!$E$8*(הגדרות!$E$7+1))/הגדרות!$E$7)))</f>
        <v/>
      </c>
      <c r="J4479" s="0" t="str">
        <f aca="false">IF(I4479="","",IF(H4479-1&lt;הגדרות!$E$8*(הגדרות!$E$7+1),MOD(H4479-1,הגדרות!$E$7+1),MOD(H4479-1-הגדרות!$E$8*(הגדרות!$E$7+1),הגדרות!$E$7)))</f>
        <v/>
      </c>
      <c r="K4479" s="0" t="str">
        <f aca="false">IF(I4479="","",J4479*הגדרות!$E$6+I4479+1)</f>
        <v/>
      </c>
      <c r="L4479" s="0" t="str">
        <f aca="false">IF(K4479="","",MATCH(K4479,$F$2:$F$5001,0))</f>
        <v/>
      </c>
      <c r="M4479" s="0" t="str">
        <f aca="false">IF(I4479="","",INDEX(הגדרות!$A$2:$A$21,MOD(I4479+הגדרות!$E$9,הגדרות!$E$6)+1))</f>
        <v/>
      </c>
    </row>
    <row r="4480" customFormat="false" ht="15" hidden="false" customHeight="false" outlineLevel="0" collapsed="false">
      <c r="A4480" s="0" t="str">
        <f aca="false">IF('הדבקת לידים'!A4480="","",IF(ISNUMBER('הדבקת לידים'!A4480),IF(הגדרות!$E$2&gt;0,TEXT('הדבקת לידים'!A4480,REPT("0",הגדרות!$E$2)),TEXT('הדבקת לידים'!A4480,"0")),TRIM('הדבקת לידים'!A4480)))</f>
        <v/>
      </c>
      <c r="B4480" s="0" t="str">
        <f aca="false">IF('הדבקת לידים'!B4480="","",IF(ISNUMBER('הדבקת לידים'!B4480),IF(הגדרות!$E$3&gt;0,TEXT('הדבקת לידים'!B4480,REPT("0",הגדרות!$E$3)),TEXT('הדבקת לידים'!B4480,"0")),TRIM('הדבקת לידים'!B4480)))</f>
        <v/>
      </c>
      <c r="C4480" s="0" t="n">
        <f aca="false">IF(OR(A4480&lt;&gt;"",B4480&lt;&gt;""),1,0)</f>
        <v>0</v>
      </c>
      <c r="D4480" s="0" t="str">
        <f aca="false">IF(C4480=1,MOD(ABS(SIN(ROW()*12.9898+'הדבקת לידים'!$F$2*78.233+IFERROR(--RIGHT(A4480,6),LEN(A4480))*0.0137+IFERROR(--RIGHT(B4480,6),LEN(B4480))*0.0071))*43758.5453,1),"")</f>
        <v/>
      </c>
      <c r="E4480" s="0" t="str">
        <f aca="false">IF(C4480=1,INT(MOD(ABS(SIN(D4480*7919.123+ROW()*0.618+'הדבקת לידים'!$F$2*1.3))*43758.5453,1)*1000000)*10000+ROW(),"")</f>
        <v/>
      </c>
      <c r="F4480" s="0" t="str">
        <f aca="false">IF(E4480="","",RANK(E4480,$E$2:$E$5001,1))</f>
        <v/>
      </c>
      <c r="G4480" s="0" t="n">
        <f aca="false">IF(A4480="",0,IF(SUMPRODUCT(--($A$2:$A$5001=A4480))&gt;1,1,0))</f>
        <v>0</v>
      </c>
      <c r="H4480" s="0" t="n">
        <f aca="false">ROW()-1</f>
        <v>4479</v>
      </c>
      <c r="I4480" s="0" t="str">
        <f aca="false">IF(OR(הגדרות!$E$6=0,H4480&gt;הגדרות!$E$5),"",IF(H4480-1&lt;הגדרות!$E$8*(הגדרות!$E$7+1),INT((H4480-1)/(הגדרות!$E$7+1)),הגדרות!$E$8+INT((H4480-1-הגדרות!$E$8*(הגדרות!$E$7+1))/הגדרות!$E$7)))</f>
        <v/>
      </c>
      <c r="J4480" s="0" t="str">
        <f aca="false">IF(I4480="","",IF(H4480-1&lt;הגדרות!$E$8*(הגדרות!$E$7+1),MOD(H4480-1,הגדרות!$E$7+1),MOD(H4480-1-הגדרות!$E$8*(הגדרות!$E$7+1),הגדרות!$E$7)))</f>
        <v/>
      </c>
      <c r="K4480" s="0" t="str">
        <f aca="false">IF(I4480="","",J4480*הגדרות!$E$6+I4480+1)</f>
        <v/>
      </c>
      <c r="L4480" s="0" t="str">
        <f aca="false">IF(K4480="","",MATCH(K4480,$F$2:$F$5001,0))</f>
        <v/>
      </c>
      <c r="M4480" s="0" t="str">
        <f aca="false">IF(I4480="","",INDEX(הגדרות!$A$2:$A$21,MOD(I4480+הגדרות!$E$9,הגדרות!$E$6)+1))</f>
        <v/>
      </c>
    </row>
    <row r="4481" customFormat="false" ht="15" hidden="false" customHeight="false" outlineLevel="0" collapsed="false">
      <c r="A4481" s="0" t="str">
        <f aca="false">IF('הדבקת לידים'!A4481="","",IF(ISNUMBER('הדבקת לידים'!A4481),IF(הגדרות!$E$2&gt;0,TEXT('הדבקת לידים'!A4481,REPT("0",הגדרות!$E$2)),TEXT('הדבקת לידים'!A4481,"0")),TRIM('הדבקת לידים'!A4481)))</f>
        <v/>
      </c>
      <c r="B4481" s="0" t="str">
        <f aca="false">IF('הדבקת לידים'!B4481="","",IF(ISNUMBER('הדבקת לידים'!B4481),IF(הגדרות!$E$3&gt;0,TEXT('הדבקת לידים'!B4481,REPT("0",הגדרות!$E$3)),TEXT('הדבקת לידים'!B4481,"0")),TRIM('הדבקת לידים'!B4481)))</f>
        <v/>
      </c>
      <c r="C4481" s="0" t="n">
        <f aca="false">IF(OR(A4481&lt;&gt;"",B4481&lt;&gt;""),1,0)</f>
        <v>0</v>
      </c>
      <c r="D4481" s="0" t="str">
        <f aca="false">IF(C4481=1,MOD(ABS(SIN(ROW()*12.9898+'הדבקת לידים'!$F$2*78.233+IFERROR(--RIGHT(A4481,6),LEN(A4481))*0.0137+IFERROR(--RIGHT(B4481,6),LEN(B4481))*0.0071))*43758.5453,1),"")</f>
        <v/>
      </c>
      <c r="E4481" s="0" t="str">
        <f aca="false">IF(C4481=1,INT(MOD(ABS(SIN(D4481*7919.123+ROW()*0.618+'הדבקת לידים'!$F$2*1.3))*43758.5453,1)*1000000)*10000+ROW(),"")</f>
        <v/>
      </c>
      <c r="F4481" s="0" t="str">
        <f aca="false">IF(E4481="","",RANK(E4481,$E$2:$E$5001,1))</f>
        <v/>
      </c>
      <c r="G4481" s="0" t="n">
        <f aca="false">IF(A4481="",0,IF(SUMPRODUCT(--($A$2:$A$5001=A4481))&gt;1,1,0))</f>
        <v>0</v>
      </c>
      <c r="H4481" s="0" t="n">
        <f aca="false">ROW()-1</f>
        <v>4480</v>
      </c>
      <c r="I4481" s="0" t="str">
        <f aca="false">IF(OR(הגדרות!$E$6=0,H4481&gt;הגדרות!$E$5),"",IF(H4481-1&lt;הגדרות!$E$8*(הגדרות!$E$7+1),INT((H4481-1)/(הגדרות!$E$7+1)),הגדרות!$E$8+INT((H4481-1-הגדרות!$E$8*(הגדרות!$E$7+1))/הגדרות!$E$7)))</f>
        <v/>
      </c>
      <c r="J4481" s="0" t="str">
        <f aca="false">IF(I4481="","",IF(H4481-1&lt;הגדרות!$E$8*(הגדרות!$E$7+1),MOD(H4481-1,הגדרות!$E$7+1),MOD(H4481-1-הגדרות!$E$8*(הגדרות!$E$7+1),הגדרות!$E$7)))</f>
        <v/>
      </c>
      <c r="K4481" s="0" t="str">
        <f aca="false">IF(I4481="","",J4481*הגדרות!$E$6+I4481+1)</f>
        <v/>
      </c>
      <c r="L4481" s="0" t="str">
        <f aca="false">IF(K4481="","",MATCH(K4481,$F$2:$F$5001,0))</f>
        <v/>
      </c>
      <c r="M4481" s="0" t="str">
        <f aca="false">IF(I4481="","",INDEX(הגדרות!$A$2:$A$21,MOD(I4481+הגדרות!$E$9,הגדרות!$E$6)+1))</f>
        <v/>
      </c>
    </row>
    <row r="4482" customFormat="false" ht="15" hidden="false" customHeight="false" outlineLevel="0" collapsed="false">
      <c r="A4482" s="0" t="str">
        <f aca="false">IF('הדבקת לידים'!A4482="","",IF(ISNUMBER('הדבקת לידים'!A4482),IF(הגדרות!$E$2&gt;0,TEXT('הדבקת לידים'!A4482,REPT("0",הגדרות!$E$2)),TEXT('הדבקת לידים'!A4482,"0")),TRIM('הדבקת לידים'!A4482)))</f>
        <v/>
      </c>
      <c r="B4482" s="0" t="str">
        <f aca="false">IF('הדבקת לידים'!B4482="","",IF(ISNUMBER('הדבקת לידים'!B4482),IF(הגדרות!$E$3&gt;0,TEXT('הדבקת לידים'!B4482,REPT("0",הגדרות!$E$3)),TEXT('הדבקת לידים'!B4482,"0")),TRIM('הדבקת לידים'!B4482)))</f>
        <v/>
      </c>
      <c r="C4482" s="0" t="n">
        <f aca="false">IF(OR(A4482&lt;&gt;"",B4482&lt;&gt;""),1,0)</f>
        <v>0</v>
      </c>
      <c r="D4482" s="0" t="str">
        <f aca="false">IF(C4482=1,MOD(ABS(SIN(ROW()*12.9898+'הדבקת לידים'!$F$2*78.233+IFERROR(--RIGHT(A4482,6),LEN(A4482))*0.0137+IFERROR(--RIGHT(B4482,6),LEN(B4482))*0.0071))*43758.5453,1),"")</f>
        <v/>
      </c>
      <c r="E4482" s="0" t="str">
        <f aca="false">IF(C4482=1,INT(MOD(ABS(SIN(D4482*7919.123+ROW()*0.618+'הדבקת לידים'!$F$2*1.3))*43758.5453,1)*1000000)*10000+ROW(),"")</f>
        <v/>
      </c>
      <c r="F4482" s="0" t="str">
        <f aca="false">IF(E4482="","",RANK(E4482,$E$2:$E$5001,1))</f>
        <v/>
      </c>
      <c r="G4482" s="0" t="n">
        <f aca="false">IF(A4482="",0,IF(SUMPRODUCT(--($A$2:$A$5001=A4482))&gt;1,1,0))</f>
        <v>0</v>
      </c>
      <c r="H4482" s="0" t="n">
        <f aca="false">ROW()-1</f>
        <v>4481</v>
      </c>
      <c r="I4482" s="0" t="str">
        <f aca="false">IF(OR(הגדרות!$E$6=0,H4482&gt;הגדרות!$E$5),"",IF(H4482-1&lt;הגדרות!$E$8*(הגדרות!$E$7+1),INT((H4482-1)/(הגדרות!$E$7+1)),הגדרות!$E$8+INT((H4482-1-הגדרות!$E$8*(הגדרות!$E$7+1))/הגדרות!$E$7)))</f>
        <v/>
      </c>
      <c r="J4482" s="0" t="str">
        <f aca="false">IF(I4482="","",IF(H4482-1&lt;הגדרות!$E$8*(הגדרות!$E$7+1),MOD(H4482-1,הגדרות!$E$7+1),MOD(H4482-1-הגדרות!$E$8*(הגדרות!$E$7+1),הגדרות!$E$7)))</f>
        <v/>
      </c>
      <c r="K4482" s="0" t="str">
        <f aca="false">IF(I4482="","",J4482*הגדרות!$E$6+I4482+1)</f>
        <v/>
      </c>
      <c r="L4482" s="0" t="str">
        <f aca="false">IF(K4482="","",MATCH(K4482,$F$2:$F$5001,0))</f>
        <v/>
      </c>
      <c r="M4482" s="0" t="str">
        <f aca="false">IF(I4482="","",INDEX(הגדרות!$A$2:$A$21,MOD(I4482+הגדרות!$E$9,הגדרות!$E$6)+1))</f>
        <v/>
      </c>
    </row>
    <row r="4483" customFormat="false" ht="15" hidden="false" customHeight="false" outlineLevel="0" collapsed="false">
      <c r="A4483" s="0" t="str">
        <f aca="false">IF('הדבקת לידים'!A4483="","",IF(ISNUMBER('הדבקת לידים'!A4483),IF(הגדרות!$E$2&gt;0,TEXT('הדבקת לידים'!A4483,REPT("0",הגדרות!$E$2)),TEXT('הדבקת לידים'!A4483,"0")),TRIM('הדבקת לידים'!A4483)))</f>
        <v/>
      </c>
      <c r="B4483" s="0" t="str">
        <f aca="false">IF('הדבקת לידים'!B4483="","",IF(ISNUMBER('הדבקת לידים'!B4483),IF(הגדרות!$E$3&gt;0,TEXT('הדבקת לידים'!B4483,REPT("0",הגדרות!$E$3)),TEXT('הדבקת לידים'!B4483,"0")),TRIM('הדבקת לידים'!B4483)))</f>
        <v/>
      </c>
      <c r="C4483" s="0" t="n">
        <f aca="false">IF(OR(A4483&lt;&gt;"",B4483&lt;&gt;""),1,0)</f>
        <v>0</v>
      </c>
      <c r="D4483" s="0" t="str">
        <f aca="false">IF(C4483=1,MOD(ABS(SIN(ROW()*12.9898+'הדבקת לידים'!$F$2*78.233+IFERROR(--RIGHT(A4483,6),LEN(A4483))*0.0137+IFERROR(--RIGHT(B4483,6),LEN(B4483))*0.0071))*43758.5453,1),"")</f>
        <v/>
      </c>
      <c r="E4483" s="0" t="str">
        <f aca="false">IF(C4483=1,INT(MOD(ABS(SIN(D4483*7919.123+ROW()*0.618+'הדבקת לידים'!$F$2*1.3))*43758.5453,1)*1000000)*10000+ROW(),"")</f>
        <v/>
      </c>
      <c r="F4483" s="0" t="str">
        <f aca="false">IF(E4483="","",RANK(E4483,$E$2:$E$5001,1))</f>
        <v/>
      </c>
      <c r="G4483" s="0" t="n">
        <f aca="false">IF(A4483="",0,IF(SUMPRODUCT(--($A$2:$A$5001=A4483))&gt;1,1,0))</f>
        <v>0</v>
      </c>
      <c r="H4483" s="0" t="n">
        <f aca="false">ROW()-1</f>
        <v>4482</v>
      </c>
      <c r="I4483" s="0" t="str">
        <f aca="false">IF(OR(הגדרות!$E$6=0,H4483&gt;הגדרות!$E$5),"",IF(H4483-1&lt;הגדרות!$E$8*(הגדרות!$E$7+1),INT((H4483-1)/(הגדרות!$E$7+1)),הגדרות!$E$8+INT((H4483-1-הגדרות!$E$8*(הגדרות!$E$7+1))/הגדרות!$E$7)))</f>
        <v/>
      </c>
      <c r="J4483" s="0" t="str">
        <f aca="false">IF(I4483="","",IF(H4483-1&lt;הגדרות!$E$8*(הגדרות!$E$7+1),MOD(H4483-1,הגדרות!$E$7+1),MOD(H4483-1-הגדרות!$E$8*(הגדרות!$E$7+1),הגדרות!$E$7)))</f>
        <v/>
      </c>
      <c r="K4483" s="0" t="str">
        <f aca="false">IF(I4483="","",J4483*הגדרות!$E$6+I4483+1)</f>
        <v/>
      </c>
      <c r="L4483" s="0" t="str">
        <f aca="false">IF(K4483="","",MATCH(K4483,$F$2:$F$5001,0))</f>
        <v/>
      </c>
      <c r="M4483" s="0" t="str">
        <f aca="false">IF(I4483="","",INDEX(הגדרות!$A$2:$A$21,MOD(I4483+הגדרות!$E$9,הגדרות!$E$6)+1))</f>
        <v/>
      </c>
    </row>
    <row r="4484" customFormat="false" ht="15" hidden="false" customHeight="false" outlineLevel="0" collapsed="false">
      <c r="A4484" s="0" t="str">
        <f aca="false">IF('הדבקת לידים'!A4484="","",IF(ISNUMBER('הדבקת לידים'!A4484),IF(הגדרות!$E$2&gt;0,TEXT('הדבקת לידים'!A4484,REPT("0",הגדרות!$E$2)),TEXT('הדבקת לידים'!A4484,"0")),TRIM('הדבקת לידים'!A4484)))</f>
        <v/>
      </c>
      <c r="B4484" s="0" t="str">
        <f aca="false">IF('הדבקת לידים'!B4484="","",IF(ISNUMBER('הדבקת לידים'!B4484),IF(הגדרות!$E$3&gt;0,TEXT('הדבקת לידים'!B4484,REPT("0",הגדרות!$E$3)),TEXT('הדבקת לידים'!B4484,"0")),TRIM('הדבקת לידים'!B4484)))</f>
        <v/>
      </c>
      <c r="C4484" s="0" t="n">
        <f aca="false">IF(OR(A4484&lt;&gt;"",B4484&lt;&gt;""),1,0)</f>
        <v>0</v>
      </c>
      <c r="D4484" s="0" t="str">
        <f aca="false">IF(C4484=1,MOD(ABS(SIN(ROW()*12.9898+'הדבקת לידים'!$F$2*78.233+IFERROR(--RIGHT(A4484,6),LEN(A4484))*0.0137+IFERROR(--RIGHT(B4484,6),LEN(B4484))*0.0071))*43758.5453,1),"")</f>
        <v/>
      </c>
      <c r="E4484" s="0" t="str">
        <f aca="false">IF(C4484=1,INT(MOD(ABS(SIN(D4484*7919.123+ROW()*0.618+'הדבקת לידים'!$F$2*1.3))*43758.5453,1)*1000000)*10000+ROW(),"")</f>
        <v/>
      </c>
      <c r="F4484" s="0" t="str">
        <f aca="false">IF(E4484="","",RANK(E4484,$E$2:$E$5001,1))</f>
        <v/>
      </c>
      <c r="G4484" s="0" t="n">
        <f aca="false">IF(A4484="",0,IF(SUMPRODUCT(--($A$2:$A$5001=A4484))&gt;1,1,0))</f>
        <v>0</v>
      </c>
      <c r="H4484" s="0" t="n">
        <f aca="false">ROW()-1</f>
        <v>4483</v>
      </c>
      <c r="I4484" s="0" t="str">
        <f aca="false">IF(OR(הגדרות!$E$6=0,H4484&gt;הגדרות!$E$5),"",IF(H4484-1&lt;הגדרות!$E$8*(הגדרות!$E$7+1),INT((H4484-1)/(הגדרות!$E$7+1)),הגדרות!$E$8+INT((H4484-1-הגדרות!$E$8*(הגדרות!$E$7+1))/הגדרות!$E$7)))</f>
        <v/>
      </c>
      <c r="J4484" s="0" t="str">
        <f aca="false">IF(I4484="","",IF(H4484-1&lt;הגדרות!$E$8*(הגדרות!$E$7+1),MOD(H4484-1,הגדרות!$E$7+1),MOD(H4484-1-הגדרות!$E$8*(הגדרות!$E$7+1),הגדרות!$E$7)))</f>
        <v/>
      </c>
      <c r="K4484" s="0" t="str">
        <f aca="false">IF(I4484="","",J4484*הגדרות!$E$6+I4484+1)</f>
        <v/>
      </c>
      <c r="L4484" s="0" t="str">
        <f aca="false">IF(K4484="","",MATCH(K4484,$F$2:$F$5001,0))</f>
        <v/>
      </c>
      <c r="M4484" s="0" t="str">
        <f aca="false">IF(I4484="","",INDEX(הגדרות!$A$2:$A$21,MOD(I4484+הגדרות!$E$9,הגדרות!$E$6)+1))</f>
        <v/>
      </c>
    </row>
    <row r="4485" customFormat="false" ht="15" hidden="false" customHeight="false" outlineLevel="0" collapsed="false">
      <c r="A4485" s="0" t="str">
        <f aca="false">IF('הדבקת לידים'!A4485="","",IF(ISNUMBER('הדבקת לידים'!A4485),IF(הגדרות!$E$2&gt;0,TEXT('הדבקת לידים'!A4485,REPT("0",הגדרות!$E$2)),TEXT('הדבקת לידים'!A4485,"0")),TRIM('הדבקת לידים'!A4485)))</f>
        <v/>
      </c>
      <c r="B4485" s="0" t="str">
        <f aca="false">IF('הדבקת לידים'!B4485="","",IF(ISNUMBER('הדבקת לידים'!B4485),IF(הגדרות!$E$3&gt;0,TEXT('הדבקת לידים'!B4485,REPT("0",הגדרות!$E$3)),TEXT('הדבקת לידים'!B4485,"0")),TRIM('הדבקת לידים'!B4485)))</f>
        <v/>
      </c>
      <c r="C4485" s="0" t="n">
        <f aca="false">IF(OR(A4485&lt;&gt;"",B4485&lt;&gt;""),1,0)</f>
        <v>0</v>
      </c>
      <c r="D4485" s="0" t="str">
        <f aca="false">IF(C4485=1,MOD(ABS(SIN(ROW()*12.9898+'הדבקת לידים'!$F$2*78.233+IFERROR(--RIGHT(A4485,6),LEN(A4485))*0.0137+IFERROR(--RIGHT(B4485,6),LEN(B4485))*0.0071))*43758.5453,1),"")</f>
        <v/>
      </c>
      <c r="E4485" s="0" t="str">
        <f aca="false">IF(C4485=1,INT(MOD(ABS(SIN(D4485*7919.123+ROW()*0.618+'הדבקת לידים'!$F$2*1.3))*43758.5453,1)*1000000)*10000+ROW(),"")</f>
        <v/>
      </c>
      <c r="F4485" s="0" t="str">
        <f aca="false">IF(E4485="","",RANK(E4485,$E$2:$E$5001,1))</f>
        <v/>
      </c>
      <c r="G4485" s="0" t="n">
        <f aca="false">IF(A4485="",0,IF(SUMPRODUCT(--($A$2:$A$5001=A4485))&gt;1,1,0))</f>
        <v>0</v>
      </c>
      <c r="H4485" s="0" t="n">
        <f aca="false">ROW()-1</f>
        <v>4484</v>
      </c>
      <c r="I4485" s="0" t="str">
        <f aca="false">IF(OR(הגדרות!$E$6=0,H4485&gt;הגדרות!$E$5),"",IF(H4485-1&lt;הגדרות!$E$8*(הגדרות!$E$7+1),INT((H4485-1)/(הגדרות!$E$7+1)),הגדרות!$E$8+INT((H4485-1-הגדרות!$E$8*(הגדרות!$E$7+1))/הגדרות!$E$7)))</f>
        <v/>
      </c>
      <c r="J4485" s="0" t="str">
        <f aca="false">IF(I4485="","",IF(H4485-1&lt;הגדרות!$E$8*(הגדרות!$E$7+1),MOD(H4485-1,הגדרות!$E$7+1),MOD(H4485-1-הגדרות!$E$8*(הגדרות!$E$7+1),הגדרות!$E$7)))</f>
        <v/>
      </c>
      <c r="K4485" s="0" t="str">
        <f aca="false">IF(I4485="","",J4485*הגדרות!$E$6+I4485+1)</f>
        <v/>
      </c>
      <c r="L4485" s="0" t="str">
        <f aca="false">IF(K4485="","",MATCH(K4485,$F$2:$F$5001,0))</f>
        <v/>
      </c>
      <c r="M4485" s="0" t="str">
        <f aca="false">IF(I4485="","",INDEX(הגדרות!$A$2:$A$21,MOD(I4485+הגדרות!$E$9,הגדרות!$E$6)+1))</f>
        <v/>
      </c>
    </row>
    <row r="4486" customFormat="false" ht="15" hidden="false" customHeight="false" outlineLevel="0" collapsed="false">
      <c r="A4486" s="0" t="str">
        <f aca="false">IF('הדבקת לידים'!A4486="","",IF(ISNUMBER('הדבקת לידים'!A4486),IF(הגדרות!$E$2&gt;0,TEXT('הדבקת לידים'!A4486,REPT("0",הגדרות!$E$2)),TEXT('הדבקת לידים'!A4486,"0")),TRIM('הדבקת לידים'!A4486)))</f>
        <v/>
      </c>
      <c r="B4486" s="0" t="str">
        <f aca="false">IF('הדבקת לידים'!B4486="","",IF(ISNUMBER('הדבקת לידים'!B4486),IF(הגדרות!$E$3&gt;0,TEXT('הדבקת לידים'!B4486,REPT("0",הגדרות!$E$3)),TEXT('הדבקת לידים'!B4486,"0")),TRIM('הדבקת לידים'!B4486)))</f>
        <v/>
      </c>
      <c r="C4486" s="0" t="n">
        <f aca="false">IF(OR(A4486&lt;&gt;"",B4486&lt;&gt;""),1,0)</f>
        <v>0</v>
      </c>
      <c r="D4486" s="0" t="str">
        <f aca="false">IF(C4486=1,MOD(ABS(SIN(ROW()*12.9898+'הדבקת לידים'!$F$2*78.233+IFERROR(--RIGHT(A4486,6),LEN(A4486))*0.0137+IFERROR(--RIGHT(B4486,6),LEN(B4486))*0.0071))*43758.5453,1),"")</f>
        <v/>
      </c>
      <c r="E4486" s="0" t="str">
        <f aca="false">IF(C4486=1,INT(MOD(ABS(SIN(D4486*7919.123+ROW()*0.618+'הדבקת לידים'!$F$2*1.3))*43758.5453,1)*1000000)*10000+ROW(),"")</f>
        <v/>
      </c>
      <c r="F4486" s="0" t="str">
        <f aca="false">IF(E4486="","",RANK(E4486,$E$2:$E$5001,1))</f>
        <v/>
      </c>
      <c r="G4486" s="0" t="n">
        <f aca="false">IF(A4486="",0,IF(SUMPRODUCT(--($A$2:$A$5001=A4486))&gt;1,1,0))</f>
        <v>0</v>
      </c>
      <c r="H4486" s="0" t="n">
        <f aca="false">ROW()-1</f>
        <v>4485</v>
      </c>
      <c r="I4486" s="0" t="str">
        <f aca="false">IF(OR(הגדרות!$E$6=0,H4486&gt;הגדרות!$E$5),"",IF(H4486-1&lt;הגדרות!$E$8*(הגדרות!$E$7+1),INT((H4486-1)/(הגדרות!$E$7+1)),הגדרות!$E$8+INT((H4486-1-הגדרות!$E$8*(הגדרות!$E$7+1))/הגדרות!$E$7)))</f>
        <v/>
      </c>
      <c r="J4486" s="0" t="str">
        <f aca="false">IF(I4486="","",IF(H4486-1&lt;הגדרות!$E$8*(הגדרות!$E$7+1),MOD(H4486-1,הגדרות!$E$7+1),MOD(H4486-1-הגדרות!$E$8*(הגדרות!$E$7+1),הגדרות!$E$7)))</f>
        <v/>
      </c>
      <c r="K4486" s="0" t="str">
        <f aca="false">IF(I4486="","",J4486*הגדרות!$E$6+I4486+1)</f>
        <v/>
      </c>
      <c r="L4486" s="0" t="str">
        <f aca="false">IF(K4486="","",MATCH(K4486,$F$2:$F$5001,0))</f>
        <v/>
      </c>
      <c r="M4486" s="0" t="str">
        <f aca="false">IF(I4486="","",INDEX(הגדרות!$A$2:$A$21,MOD(I4486+הגדרות!$E$9,הגדרות!$E$6)+1))</f>
        <v/>
      </c>
    </row>
    <row r="4487" customFormat="false" ht="15" hidden="false" customHeight="false" outlineLevel="0" collapsed="false">
      <c r="A4487" s="0" t="str">
        <f aca="false">IF('הדבקת לידים'!A4487="","",IF(ISNUMBER('הדבקת לידים'!A4487),IF(הגדרות!$E$2&gt;0,TEXT('הדבקת לידים'!A4487,REPT("0",הגדרות!$E$2)),TEXT('הדבקת לידים'!A4487,"0")),TRIM('הדבקת לידים'!A4487)))</f>
        <v/>
      </c>
      <c r="B4487" s="0" t="str">
        <f aca="false">IF('הדבקת לידים'!B4487="","",IF(ISNUMBER('הדבקת לידים'!B4487),IF(הגדרות!$E$3&gt;0,TEXT('הדבקת לידים'!B4487,REPT("0",הגדרות!$E$3)),TEXT('הדבקת לידים'!B4487,"0")),TRIM('הדבקת לידים'!B4487)))</f>
        <v/>
      </c>
      <c r="C4487" s="0" t="n">
        <f aca="false">IF(OR(A4487&lt;&gt;"",B4487&lt;&gt;""),1,0)</f>
        <v>0</v>
      </c>
      <c r="D4487" s="0" t="str">
        <f aca="false">IF(C4487=1,MOD(ABS(SIN(ROW()*12.9898+'הדבקת לידים'!$F$2*78.233+IFERROR(--RIGHT(A4487,6),LEN(A4487))*0.0137+IFERROR(--RIGHT(B4487,6),LEN(B4487))*0.0071))*43758.5453,1),"")</f>
        <v/>
      </c>
      <c r="E4487" s="0" t="str">
        <f aca="false">IF(C4487=1,INT(MOD(ABS(SIN(D4487*7919.123+ROW()*0.618+'הדבקת לידים'!$F$2*1.3))*43758.5453,1)*1000000)*10000+ROW(),"")</f>
        <v/>
      </c>
      <c r="F4487" s="0" t="str">
        <f aca="false">IF(E4487="","",RANK(E4487,$E$2:$E$5001,1))</f>
        <v/>
      </c>
      <c r="G4487" s="0" t="n">
        <f aca="false">IF(A4487="",0,IF(SUMPRODUCT(--($A$2:$A$5001=A4487))&gt;1,1,0))</f>
        <v>0</v>
      </c>
      <c r="H4487" s="0" t="n">
        <f aca="false">ROW()-1</f>
        <v>4486</v>
      </c>
      <c r="I4487" s="0" t="str">
        <f aca="false">IF(OR(הגדרות!$E$6=0,H4487&gt;הגדרות!$E$5),"",IF(H4487-1&lt;הגדרות!$E$8*(הגדרות!$E$7+1),INT((H4487-1)/(הגדרות!$E$7+1)),הגדרות!$E$8+INT((H4487-1-הגדרות!$E$8*(הגדרות!$E$7+1))/הגדרות!$E$7)))</f>
        <v/>
      </c>
      <c r="J4487" s="0" t="str">
        <f aca="false">IF(I4487="","",IF(H4487-1&lt;הגדרות!$E$8*(הגדרות!$E$7+1),MOD(H4487-1,הגדרות!$E$7+1),MOD(H4487-1-הגדרות!$E$8*(הגדרות!$E$7+1),הגדרות!$E$7)))</f>
        <v/>
      </c>
      <c r="K4487" s="0" t="str">
        <f aca="false">IF(I4487="","",J4487*הגדרות!$E$6+I4487+1)</f>
        <v/>
      </c>
      <c r="L4487" s="0" t="str">
        <f aca="false">IF(K4487="","",MATCH(K4487,$F$2:$F$5001,0))</f>
        <v/>
      </c>
      <c r="M4487" s="0" t="str">
        <f aca="false">IF(I4487="","",INDEX(הגדרות!$A$2:$A$21,MOD(I4487+הגדרות!$E$9,הגדרות!$E$6)+1))</f>
        <v/>
      </c>
    </row>
    <row r="4488" customFormat="false" ht="15" hidden="false" customHeight="false" outlineLevel="0" collapsed="false">
      <c r="A4488" s="0" t="str">
        <f aca="false">IF('הדבקת לידים'!A4488="","",IF(ISNUMBER('הדבקת לידים'!A4488),IF(הגדרות!$E$2&gt;0,TEXT('הדבקת לידים'!A4488,REPT("0",הגדרות!$E$2)),TEXT('הדבקת לידים'!A4488,"0")),TRIM('הדבקת לידים'!A4488)))</f>
        <v/>
      </c>
      <c r="B4488" s="0" t="str">
        <f aca="false">IF('הדבקת לידים'!B4488="","",IF(ISNUMBER('הדבקת לידים'!B4488),IF(הגדרות!$E$3&gt;0,TEXT('הדבקת לידים'!B4488,REPT("0",הגדרות!$E$3)),TEXT('הדבקת לידים'!B4488,"0")),TRIM('הדבקת לידים'!B4488)))</f>
        <v/>
      </c>
      <c r="C4488" s="0" t="n">
        <f aca="false">IF(OR(A4488&lt;&gt;"",B4488&lt;&gt;""),1,0)</f>
        <v>0</v>
      </c>
      <c r="D4488" s="0" t="str">
        <f aca="false">IF(C4488=1,MOD(ABS(SIN(ROW()*12.9898+'הדבקת לידים'!$F$2*78.233+IFERROR(--RIGHT(A4488,6),LEN(A4488))*0.0137+IFERROR(--RIGHT(B4488,6),LEN(B4488))*0.0071))*43758.5453,1),"")</f>
        <v/>
      </c>
      <c r="E4488" s="0" t="str">
        <f aca="false">IF(C4488=1,INT(MOD(ABS(SIN(D4488*7919.123+ROW()*0.618+'הדבקת לידים'!$F$2*1.3))*43758.5453,1)*1000000)*10000+ROW(),"")</f>
        <v/>
      </c>
      <c r="F4488" s="0" t="str">
        <f aca="false">IF(E4488="","",RANK(E4488,$E$2:$E$5001,1))</f>
        <v/>
      </c>
      <c r="G4488" s="0" t="n">
        <f aca="false">IF(A4488="",0,IF(SUMPRODUCT(--($A$2:$A$5001=A4488))&gt;1,1,0))</f>
        <v>0</v>
      </c>
      <c r="H4488" s="0" t="n">
        <f aca="false">ROW()-1</f>
        <v>4487</v>
      </c>
      <c r="I4488" s="0" t="str">
        <f aca="false">IF(OR(הגדרות!$E$6=0,H4488&gt;הגדרות!$E$5),"",IF(H4488-1&lt;הגדרות!$E$8*(הגדרות!$E$7+1),INT((H4488-1)/(הגדרות!$E$7+1)),הגדרות!$E$8+INT((H4488-1-הגדרות!$E$8*(הגדרות!$E$7+1))/הגדרות!$E$7)))</f>
        <v/>
      </c>
      <c r="J4488" s="0" t="str">
        <f aca="false">IF(I4488="","",IF(H4488-1&lt;הגדרות!$E$8*(הגדרות!$E$7+1),MOD(H4488-1,הגדרות!$E$7+1),MOD(H4488-1-הגדרות!$E$8*(הגדרות!$E$7+1),הגדרות!$E$7)))</f>
        <v/>
      </c>
      <c r="K4488" s="0" t="str">
        <f aca="false">IF(I4488="","",J4488*הגדרות!$E$6+I4488+1)</f>
        <v/>
      </c>
      <c r="L4488" s="0" t="str">
        <f aca="false">IF(K4488="","",MATCH(K4488,$F$2:$F$5001,0))</f>
        <v/>
      </c>
      <c r="M4488" s="0" t="str">
        <f aca="false">IF(I4488="","",INDEX(הגדרות!$A$2:$A$21,MOD(I4488+הגדרות!$E$9,הגדרות!$E$6)+1))</f>
        <v/>
      </c>
    </row>
    <row r="4489" customFormat="false" ht="15" hidden="false" customHeight="false" outlineLevel="0" collapsed="false">
      <c r="A4489" s="0" t="str">
        <f aca="false">IF('הדבקת לידים'!A4489="","",IF(ISNUMBER('הדבקת לידים'!A4489),IF(הגדרות!$E$2&gt;0,TEXT('הדבקת לידים'!A4489,REPT("0",הגדרות!$E$2)),TEXT('הדבקת לידים'!A4489,"0")),TRIM('הדבקת לידים'!A4489)))</f>
        <v/>
      </c>
      <c r="B4489" s="0" t="str">
        <f aca="false">IF('הדבקת לידים'!B4489="","",IF(ISNUMBER('הדבקת לידים'!B4489),IF(הגדרות!$E$3&gt;0,TEXT('הדבקת לידים'!B4489,REPT("0",הגדרות!$E$3)),TEXT('הדבקת לידים'!B4489,"0")),TRIM('הדבקת לידים'!B4489)))</f>
        <v/>
      </c>
      <c r="C4489" s="0" t="n">
        <f aca="false">IF(OR(A4489&lt;&gt;"",B4489&lt;&gt;""),1,0)</f>
        <v>0</v>
      </c>
      <c r="D4489" s="0" t="str">
        <f aca="false">IF(C4489=1,MOD(ABS(SIN(ROW()*12.9898+'הדבקת לידים'!$F$2*78.233+IFERROR(--RIGHT(A4489,6),LEN(A4489))*0.0137+IFERROR(--RIGHT(B4489,6),LEN(B4489))*0.0071))*43758.5453,1),"")</f>
        <v/>
      </c>
      <c r="E4489" s="0" t="str">
        <f aca="false">IF(C4489=1,INT(MOD(ABS(SIN(D4489*7919.123+ROW()*0.618+'הדבקת לידים'!$F$2*1.3))*43758.5453,1)*1000000)*10000+ROW(),"")</f>
        <v/>
      </c>
      <c r="F4489" s="0" t="str">
        <f aca="false">IF(E4489="","",RANK(E4489,$E$2:$E$5001,1))</f>
        <v/>
      </c>
      <c r="G4489" s="0" t="n">
        <f aca="false">IF(A4489="",0,IF(SUMPRODUCT(--($A$2:$A$5001=A4489))&gt;1,1,0))</f>
        <v>0</v>
      </c>
      <c r="H4489" s="0" t="n">
        <f aca="false">ROW()-1</f>
        <v>4488</v>
      </c>
      <c r="I4489" s="0" t="str">
        <f aca="false">IF(OR(הגדרות!$E$6=0,H4489&gt;הגדרות!$E$5),"",IF(H4489-1&lt;הגדרות!$E$8*(הגדרות!$E$7+1),INT((H4489-1)/(הגדרות!$E$7+1)),הגדרות!$E$8+INT((H4489-1-הגדרות!$E$8*(הגדרות!$E$7+1))/הגדרות!$E$7)))</f>
        <v/>
      </c>
      <c r="J4489" s="0" t="str">
        <f aca="false">IF(I4489="","",IF(H4489-1&lt;הגדרות!$E$8*(הגדרות!$E$7+1),MOD(H4489-1,הגדרות!$E$7+1),MOD(H4489-1-הגדרות!$E$8*(הגדרות!$E$7+1),הגדרות!$E$7)))</f>
        <v/>
      </c>
      <c r="K4489" s="0" t="str">
        <f aca="false">IF(I4489="","",J4489*הגדרות!$E$6+I4489+1)</f>
        <v/>
      </c>
      <c r="L4489" s="0" t="str">
        <f aca="false">IF(K4489="","",MATCH(K4489,$F$2:$F$5001,0))</f>
        <v/>
      </c>
      <c r="M4489" s="0" t="str">
        <f aca="false">IF(I4489="","",INDEX(הגדרות!$A$2:$A$21,MOD(I4489+הגדרות!$E$9,הגדרות!$E$6)+1))</f>
        <v/>
      </c>
    </row>
    <row r="4490" customFormat="false" ht="15" hidden="false" customHeight="false" outlineLevel="0" collapsed="false">
      <c r="A4490" s="0" t="str">
        <f aca="false">IF('הדבקת לידים'!A4490="","",IF(ISNUMBER('הדבקת לידים'!A4490),IF(הגדרות!$E$2&gt;0,TEXT('הדבקת לידים'!A4490,REPT("0",הגדרות!$E$2)),TEXT('הדבקת לידים'!A4490,"0")),TRIM('הדבקת לידים'!A4490)))</f>
        <v/>
      </c>
      <c r="B4490" s="0" t="str">
        <f aca="false">IF('הדבקת לידים'!B4490="","",IF(ISNUMBER('הדבקת לידים'!B4490),IF(הגדרות!$E$3&gt;0,TEXT('הדבקת לידים'!B4490,REPT("0",הגדרות!$E$3)),TEXT('הדבקת לידים'!B4490,"0")),TRIM('הדבקת לידים'!B4490)))</f>
        <v/>
      </c>
      <c r="C4490" s="0" t="n">
        <f aca="false">IF(OR(A4490&lt;&gt;"",B4490&lt;&gt;""),1,0)</f>
        <v>0</v>
      </c>
      <c r="D4490" s="0" t="str">
        <f aca="false">IF(C4490=1,MOD(ABS(SIN(ROW()*12.9898+'הדבקת לידים'!$F$2*78.233+IFERROR(--RIGHT(A4490,6),LEN(A4490))*0.0137+IFERROR(--RIGHT(B4490,6),LEN(B4490))*0.0071))*43758.5453,1),"")</f>
        <v/>
      </c>
      <c r="E4490" s="0" t="str">
        <f aca="false">IF(C4490=1,INT(MOD(ABS(SIN(D4490*7919.123+ROW()*0.618+'הדבקת לידים'!$F$2*1.3))*43758.5453,1)*1000000)*10000+ROW(),"")</f>
        <v/>
      </c>
      <c r="F4490" s="0" t="str">
        <f aca="false">IF(E4490="","",RANK(E4490,$E$2:$E$5001,1))</f>
        <v/>
      </c>
      <c r="G4490" s="0" t="n">
        <f aca="false">IF(A4490="",0,IF(SUMPRODUCT(--($A$2:$A$5001=A4490))&gt;1,1,0))</f>
        <v>0</v>
      </c>
      <c r="H4490" s="0" t="n">
        <f aca="false">ROW()-1</f>
        <v>4489</v>
      </c>
      <c r="I4490" s="0" t="str">
        <f aca="false">IF(OR(הגדרות!$E$6=0,H4490&gt;הגדרות!$E$5),"",IF(H4490-1&lt;הגדרות!$E$8*(הגדרות!$E$7+1),INT((H4490-1)/(הגדרות!$E$7+1)),הגדרות!$E$8+INT((H4490-1-הגדרות!$E$8*(הגדרות!$E$7+1))/הגדרות!$E$7)))</f>
        <v/>
      </c>
      <c r="J4490" s="0" t="str">
        <f aca="false">IF(I4490="","",IF(H4490-1&lt;הגדרות!$E$8*(הגדרות!$E$7+1),MOD(H4490-1,הגדרות!$E$7+1),MOD(H4490-1-הגדרות!$E$8*(הגדרות!$E$7+1),הגדרות!$E$7)))</f>
        <v/>
      </c>
      <c r="K4490" s="0" t="str">
        <f aca="false">IF(I4490="","",J4490*הגדרות!$E$6+I4490+1)</f>
        <v/>
      </c>
      <c r="L4490" s="0" t="str">
        <f aca="false">IF(K4490="","",MATCH(K4490,$F$2:$F$5001,0))</f>
        <v/>
      </c>
      <c r="M4490" s="0" t="str">
        <f aca="false">IF(I4490="","",INDEX(הגדרות!$A$2:$A$21,MOD(I4490+הגדרות!$E$9,הגדרות!$E$6)+1))</f>
        <v/>
      </c>
    </row>
    <row r="4491" customFormat="false" ht="15" hidden="false" customHeight="false" outlineLevel="0" collapsed="false">
      <c r="A4491" s="0" t="str">
        <f aca="false">IF('הדבקת לידים'!A4491="","",IF(ISNUMBER('הדבקת לידים'!A4491),IF(הגדרות!$E$2&gt;0,TEXT('הדבקת לידים'!A4491,REPT("0",הגדרות!$E$2)),TEXT('הדבקת לידים'!A4491,"0")),TRIM('הדבקת לידים'!A4491)))</f>
        <v/>
      </c>
      <c r="B4491" s="0" t="str">
        <f aca="false">IF('הדבקת לידים'!B4491="","",IF(ISNUMBER('הדבקת לידים'!B4491),IF(הגדרות!$E$3&gt;0,TEXT('הדבקת לידים'!B4491,REPT("0",הגדרות!$E$3)),TEXT('הדבקת לידים'!B4491,"0")),TRIM('הדבקת לידים'!B4491)))</f>
        <v/>
      </c>
      <c r="C4491" s="0" t="n">
        <f aca="false">IF(OR(A4491&lt;&gt;"",B4491&lt;&gt;""),1,0)</f>
        <v>0</v>
      </c>
      <c r="D4491" s="0" t="str">
        <f aca="false">IF(C4491=1,MOD(ABS(SIN(ROW()*12.9898+'הדבקת לידים'!$F$2*78.233+IFERROR(--RIGHT(A4491,6),LEN(A4491))*0.0137+IFERROR(--RIGHT(B4491,6),LEN(B4491))*0.0071))*43758.5453,1),"")</f>
        <v/>
      </c>
      <c r="E4491" s="0" t="str">
        <f aca="false">IF(C4491=1,INT(MOD(ABS(SIN(D4491*7919.123+ROW()*0.618+'הדבקת לידים'!$F$2*1.3))*43758.5453,1)*1000000)*10000+ROW(),"")</f>
        <v/>
      </c>
      <c r="F4491" s="0" t="str">
        <f aca="false">IF(E4491="","",RANK(E4491,$E$2:$E$5001,1))</f>
        <v/>
      </c>
      <c r="G4491" s="0" t="n">
        <f aca="false">IF(A4491="",0,IF(SUMPRODUCT(--($A$2:$A$5001=A4491))&gt;1,1,0))</f>
        <v>0</v>
      </c>
      <c r="H4491" s="0" t="n">
        <f aca="false">ROW()-1</f>
        <v>4490</v>
      </c>
      <c r="I4491" s="0" t="str">
        <f aca="false">IF(OR(הגדרות!$E$6=0,H4491&gt;הגדרות!$E$5),"",IF(H4491-1&lt;הגדרות!$E$8*(הגדרות!$E$7+1),INT((H4491-1)/(הגדרות!$E$7+1)),הגדרות!$E$8+INT((H4491-1-הגדרות!$E$8*(הגדרות!$E$7+1))/הגדרות!$E$7)))</f>
        <v/>
      </c>
      <c r="J4491" s="0" t="str">
        <f aca="false">IF(I4491="","",IF(H4491-1&lt;הגדרות!$E$8*(הגדרות!$E$7+1),MOD(H4491-1,הגדרות!$E$7+1),MOD(H4491-1-הגדרות!$E$8*(הגדרות!$E$7+1),הגדרות!$E$7)))</f>
        <v/>
      </c>
      <c r="K4491" s="0" t="str">
        <f aca="false">IF(I4491="","",J4491*הגדרות!$E$6+I4491+1)</f>
        <v/>
      </c>
      <c r="L4491" s="0" t="str">
        <f aca="false">IF(K4491="","",MATCH(K4491,$F$2:$F$5001,0))</f>
        <v/>
      </c>
      <c r="M4491" s="0" t="str">
        <f aca="false">IF(I4491="","",INDEX(הגדרות!$A$2:$A$21,MOD(I4491+הגדרות!$E$9,הגדרות!$E$6)+1))</f>
        <v/>
      </c>
    </row>
    <row r="4492" customFormat="false" ht="15" hidden="false" customHeight="false" outlineLevel="0" collapsed="false">
      <c r="A4492" s="0" t="str">
        <f aca="false">IF('הדבקת לידים'!A4492="","",IF(ISNUMBER('הדבקת לידים'!A4492),IF(הגדרות!$E$2&gt;0,TEXT('הדבקת לידים'!A4492,REPT("0",הגדרות!$E$2)),TEXT('הדבקת לידים'!A4492,"0")),TRIM('הדבקת לידים'!A4492)))</f>
        <v/>
      </c>
      <c r="B4492" s="0" t="str">
        <f aca="false">IF('הדבקת לידים'!B4492="","",IF(ISNUMBER('הדבקת לידים'!B4492),IF(הגדרות!$E$3&gt;0,TEXT('הדבקת לידים'!B4492,REPT("0",הגדרות!$E$3)),TEXT('הדבקת לידים'!B4492,"0")),TRIM('הדבקת לידים'!B4492)))</f>
        <v/>
      </c>
      <c r="C4492" s="0" t="n">
        <f aca="false">IF(OR(A4492&lt;&gt;"",B4492&lt;&gt;""),1,0)</f>
        <v>0</v>
      </c>
      <c r="D4492" s="0" t="str">
        <f aca="false">IF(C4492=1,MOD(ABS(SIN(ROW()*12.9898+'הדבקת לידים'!$F$2*78.233+IFERROR(--RIGHT(A4492,6),LEN(A4492))*0.0137+IFERROR(--RIGHT(B4492,6),LEN(B4492))*0.0071))*43758.5453,1),"")</f>
        <v/>
      </c>
      <c r="E4492" s="0" t="str">
        <f aca="false">IF(C4492=1,INT(MOD(ABS(SIN(D4492*7919.123+ROW()*0.618+'הדבקת לידים'!$F$2*1.3))*43758.5453,1)*1000000)*10000+ROW(),"")</f>
        <v/>
      </c>
      <c r="F4492" s="0" t="str">
        <f aca="false">IF(E4492="","",RANK(E4492,$E$2:$E$5001,1))</f>
        <v/>
      </c>
      <c r="G4492" s="0" t="n">
        <f aca="false">IF(A4492="",0,IF(SUMPRODUCT(--($A$2:$A$5001=A4492))&gt;1,1,0))</f>
        <v>0</v>
      </c>
      <c r="H4492" s="0" t="n">
        <f aca="false">ROW()-1</f>
        <v>4491</v>
      </c>
      <c r="I4492" s="0" t="str">
        <f aca="false">IF(OR(הגדרות!$E$6=0,H4492&gt;הגדרות!$E$5),"",IF(H4492-1&lt;הגדרות!$E$8*(הגדרות!$E$7+1),INT((H4492-1)/(הגדרות!$E$7+1)),הגדרות!$E$8+INT((H4492-1-הגדרות!$E$8*(הגדרות!$E$7+1))/הגדרות!$E$7)))</f>
        <v/>
      </c>
      <c r="J4492" s="0" t="str">
        <f aca="false">IF(I4492="","",IF(H4492-1&lt;הגדרות!$E$8*(הגדרות!$E$7+1),MOD(H4492-1,הגדרות!$E$7+1),MOD(H4492-1-הגדרות!$E$8*(הגדרות!$E$7+1),הגדרות!$E$7)))</f>
        <v/>
      </c>
      <c r="K4492" s="0" t="str">
        <f aca="false">IF(I4492="","",J4492*הגדרות!$E$6+I4492+1)</f>
        <v/>
      </c>
      <c r="L4492" s="0" t="str">
        <f aca="false">IF(K4492="","",MATCH(K4492,$F$2:$F$5001,0))</f>
        <v/>
      </c>
      <c r="M4492" s="0" t="str">
        <f aca="false">IF(I4492="","",INDEX(הגדרות!$A$2:$A$21,MOD(I4492+הגדרות!$E$9,הגדרות!$E$6)+1))</f>
        <v/>
      </c>
    </row>
    <row r="4493" customFormat="false" ht="15" hidden="false" customHeight="false" outlineLevel="0" collapsed="false">
      <c r="A4493" s="0" t="str">
        <f aca="false">IF('הדבקת לידים'!A4493="","",IF(ISNUMBER('הדבקת לידים'!A4493),IF(הגדרות!$E$2&gt;0,TEXT('הדבקת לידים'!A4493,REPT("0",הגדרות!$E$2)),TEXT('הדבקת לידים'!A4493,"0")),TRIM('הדבקת לידים'!A4493)))</f>
        <v/>
      </c>
      <c r="B4493" s="0" t="str">
        <f aca="false">IF('הדבקת לידים'!B4493="","",IF(ISNUMBER('הדבקת לידים'!B4493),IF(הגדרות!$E$3&gt;0,TEXT('הדבקת לידים'!B4493,REPT("0",הגדרות!$E$3)),TEXT('הדבקת לידים'!B4493,"0")),TRIM('הדבקת לידים'!B4493)))</f>
        <v/>
      </c>
      <c r="C4493" s="0" t="n">
        <f aca="false">IF(OR(A4493&lt;&gt;"",B4493&lt;&gt;""),1,0)</f>
        <v>0</v>
      </c>
      <c r="D4493" s="0" t="str">
        <f aca="false">IF(C4493=1,MOD(ABS(SIN(ROW()*12.9898+'הדבקת לידים'!$F$2*78.233+IFERROR(--RIGHT(A4493,6),LEN(A4493))*0.0137+IFERROR(--RIGHT(B4493,6),LEN(B4493))*0.0071))*43758.5453,1),"")</f>
        <v/>
      </c>
      <c r="E4493" s="0" t="str">
        <f aca="false">IF(C4493=1,INT(MOD(ABS(SIN(D4493*7919.123+ROW()*0.618+'הדבקת לידים'!$F$2*1.3))*43758.5453,1)*1000000)*10000+ROW(),"")</f>
        <v/>
      </c>
      <c r="F4493" s="0" t="str">
        <f aca="false">IF(E4493="","",RANK(E4493,$E$2:$E$5001,1))</f>
        <v/>
      </c>
      <c r="G4493" s="0" t="n">
        <f aca="false">IF(A4493="",0,IF(SUMPRODUCT(--($A$2:$A$5001=A4493))&gt;1,1,0))</f>
        <v>0</v>
      </c>
      <c r="H4493" s="0" t="n">
        <f aca="false">ROW()-1</f>
        <v>4492</v>
      </c>
      <c r="I4493" s="0" t="str">
        <f aca="false">IF(OR(הגדרות!$E$6=0,H4493&gt;הגדרות!$E$5),"",IF(H4493-1&lt;הגדרות!$E$8*(הגדרות!$E$7+1),INT((H4493-1)/(הגדרות!$E$7+1)),הגדרות!$E$8+INT((H4493-1-הגדרות!$E$8*(הגדרות!$E$7+1))/הגדרות!$E$7)))</f>
        <v/>
      </c>
      <c r="J4493" s="0" t="str">
        <f aca="false">IF(I4493="","",IF(H4493-1&lt;הגדרות!$E$8*(הגדרות!$E$7+1),MOD(H4493-1,הגדרות!$E$7+1),MOD(H4493-1-הגדרות!$E$8*(הגדרות!$E$7+1),הגדרות!$E$7)))</f>
        <v/>
      </c>
      <c r="K4493" s="0" t="str">
        <f aca="false">IF(I4493="","",J4493*הגדרות!$E$6+I4493+1)</f>
        <v/>
      </c>
      <c r="L4493" s="0" t="str">
        <f aca="false">IF(K4493="","",MATCH(K4493,$F$2:$F$5001,0))</f>
        <v/>
      </c>
      <c r="M4493" s="0" t="str">
        <f aca="false">IF(I4493="","",INDEX(הגדרות!$A$2:$A$21,MOD(I4493+הגדרות!$E$9,הגדרות!$E$6)+1))</f>
        <v/>
      </c>
    </row>
    <row r="4494" customFormat="false" ht="15" hidden="false" customHeight="false" outlineLevel="0" collapsed="false">
      <c r="A4494" s="0" t="str">
        <f aca="false">IF('הדבקת לידים'!A4494="","",IF(ISNUMBER('הדבקת לידים'!A4494),IF(הגדרות!$E$2&gt;0,TEXT('הדבקת לידים'!A4494,REPT("0",הגדרות!$E$2)),TEXT('הדבקת לידים'!A4494,"0")),TRIM('הדבקת לידים'!A4494)))</f>
        <v/>
      </c>
      <c r="B4494" s="0" t="str">
        <f aca="false">IF('הדבקת לידים'!B4494="","",IF(ISNUMBER('הדבקת לידים'!B4494),IF(הגדרות!$E$3&gt;0,TEXT('הדבקת לידים'!B4494,REPT("0",הגדרות!$E$3)),TEXT('הדבקת לידים'!B4494,"0")),TRIM('הדבקת לידים'!B4494)))</f>
        <v/>
      </c>
      <c r="C4494" s="0" t="n">
        <f aca="false">IF(OR(A4494&lt;&gt;"",B4494&lt;&gt;""),1,0)</f>
        <v>0</v>
      </c>
      <c r="D4494" s="0" t="str">
        <f aca="false">IF(C4494=1,MOD(ABS(SIN(ROW()*12.9898+'הדבקת לידים'!$F$2*78.233+IFERROR(--RIGHT(A4494,6),LEN(A4494))*0.0137+IFERROR(--RIGHT(B4494,6),LEN(B4494))*0.0071))*43758.5453,1),"")</f>
        <v/>
      </c>
      <c r="E4494" s="0" t="str">
        <f aca="false">IF(C4494=1,INT(MOD(ABS(SIN(D4494*7919.123+ROW()*0.618+'הדבקת לידים'!$F$2*1.3))*43758.5453,1)*1000000)*10000+ROW(),"")</f>
        <v/>
      </c>
      <c r="F4494" s="0" t="str">
        <f aca="false">IF(E4494="","",RANK(E4494,$E$2:$E$5001,1))</f>
        <v/>
      </c>
      <c r="G4494" s="0" t="n">
        <f aca="false">IF(A4494="",0,IF(SUMPRODUCT(--($A$2:$A$5001=A4494))&gt;1,1,0))</f>
        <v>0</v>
      </c>
      <c r="H4494" s="0" t="n">
        <f aca="false">ROW()-1</f>
        <v>4493</v>
      </c>
      <c r="I4494" s="0" t="str">
        <f aca="false">IF(OR(הגדרות!$E$6=0,H4494&gt;הגדרות!$E$5),"",IF(H4494-1&lt;הגדרות!$E$8*(הגדרות!$E$7+1),INT((H4494-1)/(הגדרות!$E$7+1)),הגדרות!$E$8+INT((H4494-1-הגדרות!$E$8*(הגדרות!$E$7+1))/הגדרות!$E$7)))</f>
        <v/>
      </c>
      <c r="J4494" s="0" t="str">
        <f aca="false">IF(I4494="","",IF(H4494-1&lt;הגדרות!$E$8*(הגדרות!$E$7+1),MOD(H4494-1,הגדרות!$E$7+1),MOD(H4494-1-הגדרות!$E$8*(הגדרות!$E$7+1),הגדרות!$E$7)))</f>
        <v/>
      </c>
      <c r="K4494" s="0" t="str">
        <f aca="false">IF(I4494="","",J4494*הגדרות!$E$6+I4494+1)</f>
        <v/>
      </c>
      <c r="L4494" s="0" t="str">
        <f aca="false">IF(K4494="","",MATCH(K4494,$F$2:$F$5001,0))</f>
        <v/>
      </c>
      <c r="M4494" s="0" t="str">
        <f aca="false">IF(I4494="","",INDEX(הגדרות!$A$2:$A$21,MOD(I4494+הגדרות!$E$9,הגדרות!$E$6)+1))</f>
        <v/>
      </c>
    </row>
    <row r="4495" customFormat="false" ht="15" hidden="false" customHeight="false" outlineLevel="0" collapsed="false">
      <c r="A4495" s="0" t="str">
        <f aca="false">IF('הדבקת לידים'!A4495="","",IF(ISNUMBER('הדבקת לידים'!A4495),IF(הגדרות!$E$2&gt;0,TEXT('הדבקת לידים'!A4495,REPT("0",הגדרות!$E$2)),TEXT('הדבקת לידים'!A4495,"0")),TRIM('הדבקת לידים'!A4495)))</f>
        <v/>
      </c>
      <c r="B4495" s="0" t="str">
        <f aca="false">IF('הדבקת לידים'!B4495="","",IF(ISNUMBER('הדבקת לידים'!B4495),IF(הגדרות!$E$3&gt;0,TEXT('הדבקת לידים'!B4495,REPT("0",הגדרות!$E$3)),TEXT('הדבקת לידים'!B4495,"0")),TRIM('הדבקת לידים'!B4495)))</f>
        <v/>
      </c>
      <c r="C4495" s="0" t="n">
        <f aca="false">IF(OR(A4495&lt;&gt;"",B4495&lt;&gt;""),1,0)</f>
        <v>0</v>
      </c>
      <c r="D4495" s="0" t="str">
        <f aca="false">IF(C4495=1,MOD(ABS(SIN(ROW()*12.9898+'הדבקת לידים'!$F$2*78.233+IFERROR(--RIGHT(A4495,6),LEN(A4495))*0.0137+IFERROR(--RIGHT(B4495,6),LEN(B4495))*0.0071))*43758.5453,1),"")</f>
        <v/>
      </c>
      <c r="E4495" s="0" t="str">
        <f aca="false">IF(C4495=1,INT(MOD(ABS(SIN(D4495*7919.123+ROW()*0.618+'הדבקת לידים'!$F$2*1.3))*43758.5453,1)*1000000)*10000+ROW(),"")</f>
        <v/>
      </c>
      <c r="F4495" s="0" t="str">
        <f aca="false">IF(E4495="","",RANK(E4495,$E$2:$E$5001,1))</f>
        <v/>
      </c>
      <c r="G4495" s="0" t="n">
        <f aca="false">IF(A4495="",0,IF(SUMPRODUCT(--($A$2:$A$5001=A4495))&gt;1,1,0))</f>
        <v>0</v>
      </c>
      <c r="H4495" s="0" t="n">
        <f aca="false">ROW()-1</f>
        <v>4494</v>
      </c>
      <c r="I4495" s="0" t="str">
        <f aca="false">IF(OR(הגדרות!$E$6=0,H4495&gt;הגדרות!$E$5),"",IF(H4495-1&lt;הגדרות!$E$8*(הגדרות!$E$7+1),INT((H4495-1)/(הגדרות!$E$7+1)),הגדרות!$E$8+INT((H4495-1-הגדרות!$E$8*(הגדרות!$E$7+1))/הגדרות!$E$7)))</f>
        <v/>
      </c>
      <c r="J4495" s="0" t="str">
        <f aca="false">IF(I4495="","",IF(H4495-1&lt;הגדרות!$E$8*(הגדרות!$E$7+1),MOD(H4495-1,הגדרות!$E$7+1),MOD(H4495-1-הגדרות!$E$8*(הגדרות!$E$7+1),הגדרות!$E$7)))</f>
        <v/>
      </c>
      <c r="K4495" s="0" t="str">
        <f aca="false">IF(I4495="","",J4495*הגדרות!$E$6+I4495+1)</f>
        <v/>
      </c>
      <c r="L4495" s="0" t="str">
        <f aca="false">IF(K4495="","",MATCH(K4495,$F$2:$F$5001,0))</f>
        <v/>
      </c>
      <c r="M4495" s="0" t="str">
        <f aca="false">IF(I4495="","",INDEX(הגדרות!$A$2:$A$21,MOD(I4495+הגדרות!$E$9,הגדרות!$E$6)+1))</f>
        <v/>
      </c>
    </row>
    <row r="4496" customFormat="false" ht="15" hidden="false" customHeight="false" outlineLevel="0" collapsed="false">
      <c r="A4496" s="0" t="str">
        <f aca="false">IF('הדבקת לידים'!A4496="","",IF(ISNUMBER('הדבקת לידים'!A4496),IF(הגדרות!$E$2&gt;0,TEXT('הדבקת לידים'!A4496,REPT("0",הגדרות!$E$2)),TEXT('הדבקת לידים'!A4496,"0")),TRIM('הדבקת לידים'!A4496)))</f>
        <v/>
      </c>
      <c r="B4496" s="0" t="str">
        <f aca="false">IF('הדבקת לידים'!B4496="","",IF(ISNUMBER('הדבקת לידים'!B4496),IF(הגדרות!$E$3&gt;0,TEXT('הדבקת לידים'!B4496,REPT("0",הגדרות!$E$3)),TEXT('הדבקת לידים'!B4496,"0")),TRIM('הדבקת לידים'!B4496)))</f>
        <v/>
      </c>
      <c r="C4496" s="0" t="n">
        <f aca="false">IF(OR(A4496&lt;&gt;"",B4496&lt;&gt;""),1,0)</f>
        <v>0</v>
      </c>
      <c r="D4496" s="0" t="str">
        <f aca="false">IF(C4496=1,MOD(ABS(SIN(ROW()*12.9898+'הדבקת לידים'!$F$2*78.233+IFERROR(--RIGHT(A4496,6),LEN(A4496))*0.0137+IFERROR(--RIGHT(B4496,6),LEN(B4496))*0.0071))*43758.5453,1),"")</f>
        <v/>
      </c>
      <c r="E4496" s="0" t="str">
        <f aca="false">IF(C4496=1,INT(MOD(ABS(SIN(D4496*7919.123+ROW()*0.618+'הדבקת לידים'!$F$2*1.3))*43758.5453,1)*1000000)*10000+ROW(),"")</f>
        <v/>
      </c>
      <c r="F4496" s="0" t="str">
        <f aca="false">IF(E4496="","",RANK(E4496,$E$2:$E$5001,1))</f>
        <v/>
      </c>
      <c r="G4496" s="0" t="n">
        <f aca="false">IF(A4496="",0,IF(SUMPRODUCT(--($A$2:$A$5001=A4496))&gt;1,1,0))</f>
        <v>0</v>
      </c>
      <c r="H4496" s="0" t="n">
        <f aca="false">ROW()-1</f>
        <v>4495</v>
      </c>
      <c r="I4496" s="0" t="str">
        <f aca="false">IF(OR(הגדרות!$E$6=0,H4496&gt;הגדרות!$E$5),"",IF(H4496-1&lt;הגדרות!$E$8*(הגדרות!$E$7+1),INT((H4496-1)/(הגדרות!$E$7+1)),הגדרות!$E$8+INT((H4496-1-הגדרות!$E$8*(הגדרות!$E$7+1))/הגדרות!$E$7)))</f>
        <v/>
      </c>
      <c r="J4496" s="0" t="str">
        <f aca="false">IF(I4496="","",IF(H4496-1&lt;הגדרות!$E$8*(הגדרות!$E$7+1),MOD(H4496-1,הגדרות!$E$7+1),MOD(H4496-1-הגדרות!$E$8*(הגדרות!$E$7+1),הגדרות!$E$7)))</f>
        <v/>
      </c>
      <c r="K4496" s="0" t="str">
        <f aca="false">IF(I4496="","",J4496*הגדרות!$E$6+I4496+1)</f>
        <v/>
      </c>
      <c r="L4496" s="0" t="str">
        <f aca="false">IF(K4496="","",MATCH(K4496,$F$2:$F$5001,0))</f>
        <v/>
      </c>
      <c r="M4496" s="0" t="str">
        <f aca="false">IF(I4496="","",INDEX(הגדרות!$A$2:$A$21,MOD(I4496+הגדרות!$E$9,הגדרות!$E$6)+1))</f>
        <v/>
      </c>
    </row>
    <row r="4497" customFormat="false" ht="15" hidden="false" customHeight="false" outlineLevel="0" collapsed="false">
      <c r="A4497" s="0" t="str">
        <f aca="false">IF('הדבקת לידים'!A4497="","",IF(ISNUMBER('הדבקת לידים'!A4497),IF(הגדרות!$E$2&gt;0,TEXT('הדבקת לידים'!A4497,REPT("0",הגדרות!$E$2)),TEXT('הדבקת לידים'!A4497,"0")),TRIM('הדבקת לידים'!A4497)))</f>
        <v/>
      </c>
      <c r="B4497" s="0" t="str">
        <f aca="false">IF('הדבקת לידים'!B4497="","",IF(ISNUMBER('הדבקת לידים'!B4497),IF(הגדרות!$E$3&gt;0,TEXT('הדבקת לידים'!B4497,REPT("0",הגדרות!$E$3)),TEXT('הדבקת לידים'!B4497,"0")),TRIM('הדבקת לידים'!B4497)))</f>
        <v/>
      </c>
      <c r="C4497" s="0" t="n">
        <f aca="false">IF(OR(A4497&lt;&gt;"",B4497&lt;&gt;""),1,0)</f>
        <v>0</v>
      </c>
      <c r="D4497" s="0" t="str">
        <f aca="false">IF(C4497=1,MOD(ABS(SIN(ROW()*12.9898+'הדבקת לידים'!$F$2*78.233+IFERROR(--RIGHT(A4497,6),LEN(A4497))*0.0137+IFERROR(--RIGHT(B4497,6),LEN(B4497))*0.0071))*43758.5453,1),"")</f>
        <v/>
      </c>
      <c r="E4497" s="0" t="str">
        <f aca="false">IF(C4497=1,INT(MOD(ABS(SIN(D4497*7919.123+ROW()*0.618+'הדבקת לידים'!$F$2*1.3))*43758.5453,1)*1000000)*10000+ROW(),"")</f>
        <v/>
      </c>
      <c r="F4497" s="0" t="str">
        <f aca="false">IF(E4497="","",RANK(E4497,$E$2:$E$5001,1))</f>
        <v/>
      </c>
      <c r="G4497" s="0" t="n">
        <f aca="false">IF(A4497="",0,IF(SUMPRODUCT(--($A$2:$A$5001=A4497))&gt;1,1,0))</f>
        <v>0</v>
      </c>
      <c r="H4497" s="0" t="n">
        <f aca="false">ROW()-1</f>
        <v>4496</v>
      </c>
      <c r="I4497" s="0" t="str">
        <f aca="false">IF(OR(הגדרות!$E$6=0,H4497&gt;הגדרות!$E$5),"",IF(H4497-1&lt;הגדרות!$E$8*(הגדרות!$E$7+1),INT((H4497-1)/(הגדרות!$E$7+1)),הגדרות!$E$8+INT((H4497-1-הגדרות!$E$8*(הגדרות!$E$7+1))/הגדרות!$E$7)))</f>
        <v/>
      </c>
      <c r="J4497" s="0" t="str">
        <f aca="false">IF(I4497="","",IF(H4497-1&lt;הגדרות!$E$8*(הגדרות!$E$7+1),MOD(H4497-1,הגדרות!$E$7+1),MOD(H4497-1-הגדרות!$E$8*(הגדרות!$E$7+1),הגדרות!$E$7)))</f>
        <v/>
      </c>
      <c r="K4497" s="0" t="str">
        <f aca="false">IF(I4497="","",J4497*הגדרות!$E$6+I4497+1)</f>
        <v/>
      </c>
      <c r="L4497" s="0" t="str">
        <f aca="false">IF(K4497="","",MATCH(K4497,$F$2:$F$5001,0))</f>
        <v/>
      </c>
      <c r="M4497" s="0" t="str">
        <f aca="false">IF(I4497="","",INDEX(הגדרות!$A$2:$A$21,MOD(I4497+הגדרות!$E$9,הגדרות!$E$6)+1))</f>
        <v/>
      </c>
    </row>
    <row r="4498" customFormat="false" ht="15" hidden="false" customHeight="false" outlineLevel="0" collapsed="false">
      <c r="A4498" s="0" t="str">
        <f aca="false">IF('הדבקת לידים'!A4498="","",IF(ISNUMBER('הדבקת לידים'!A4498),IF(הגדרות!$E$2&gt;0,TEXT('הדבקת לידים'!A4498,REPT("0",הגדרות!$E$2)),TEXT('הדבקת לידים'!A4498,"0")),TRIM('הדבקת לידים'!A4498)))</f>
        <v/>
      </c>
      <c r="B4498" s="0" t="str">
        <f aca="false">IF('הדבקת לידים'!B4498="","",IF(ISNUMBER('הדבקת לידים'!B4498),IF(הגדרות!$E$3&gt;0,TEXT('הדבקת לידים'!B4498,REPT("0",הגדרות!$E$3)),TEXT('הדבקת לידים'!B4498,"0")),TRIM('הדבקת לידים'!B4498)))</f>
        <v/>
      </c>
      <c r="C4498" s="0" t="n">
        <f aca="false">IF(OR(A4498&lt;&gt;"",B4498&lt;&gt;""),1,0)</f>
        <v>0</v>
      </c>
      <c r="D4498" s="0" t="str">
        <f aca="false">IF(C4498=1,MOD(ABS(SIN(ROW()*12.9898+'הדבקת לידים'!$F$2*78.233+IFERROR(--RIGHT(A4498,6),LEN(A4498))*0.0137+IFERROR(--RIGHT(B4498,6),LEN(B4498))*0.0071))*43758.5453,1),"")</f>
        <v/>
      </c>
      <c r="E4498" s="0" t="str">
        <f aca="false">IF(C4498=1,INT(MOD(ABS(SIN(D4498*7919.123+ROW()*0.618+'הדבקת לידים'!$F$2*1.3))*43758.5453,1)*1000000)*10000+ROW(),"")</f>
        <v/>
      </c>
      <c r="F4498" s="0" t="str">
        <f aca="false">IF(E4498="","",RANK(E4498,$E$2:$E$5001,1))</f>
        <v/>
      </c>
      <c r="G4498" s="0" t="n">
        <f aca="false">IF(A4498="",0,IF(SUMPRODUCT(--($A$2:$A$5001=A4498))&gt;1,1,0))</f>
        <v>0</v>
      </c>
      <c r="H4498" s="0" t="n">
        <f aca="false">ROW()-1</f>
        <v>4497</v>
      </c>
      <c r="I4498" s="0" t="str">
        <f aca="false">IF(OR(הגדרות!$E$6=0,H4498&gt;הגדרות!$E$5),"",IF(H4498-1&lt;הגדרות!$E$8*(הגדרות!$E$7+1),INT((H4498-1)/(הגדרות!$E$7+1)),הגדרות!$E$8+INT((H4498-1-הגדרות!$E$8*(הגדרות!$E$7+1))/הגדרות!$E$7)))</f>
        <v/>
      </c>
      <c r="J4498" s="0" t="str">
        <f aca="false">IF(I4498="","",IF(H4498-1&lt;הגדרות!$E$8*(הגדרות!$E$7+1),MOD(H4498-1,הגדרות!$E$7+1),MOD(H4498-1-הגדרות!$E$8*(הגדרות!$E$7+1),הגדרות!$E$7)))</f>
        <v/>
      </c>
      <c r="K4498" s="0" t="str">
        <f aca="false">IF(I4498="","",J4498*הגדרות!$E$6+I4498+1)</f>
        <v/>
      </c>
      <c r="L4498" s="0" t="str">
        <f aca="false">IF(K4498="","",MATCH(K4498,$F$2:$F$5001,0))</f>
        <v/>
      </c>
      <c r="M4498" s="0" t="str">
        <f aca="false">IF(I4498="","",INDEX(הגדרות!$A$2:$A$21,MOD(I4498+הגדרות!$E$9,הגדרות!$E$6)+1))</f>
        <v/>
      </c>
    </row>
    <row r="4499" customFormat="false" ht="15" hidden="false" customHeight="false" outlineLevel="0" collapsed="false">
      <c r="A4499" s="0" t="str">
        <f aca="false">IF('הדבקת לידים'!A4499="","",IF(ISNUMBER('הדבקת לידים'!A4499),IF(הגדרות!$E$2&gt;0,TEXT('הדבקת לידים'!A4499,REPT("0",הגדרות!$E$2)),TEXT('הדבקת לידים'!A4499,"0")),TRIM('הדבקת לידים'!A4499)))</f>
        <v/>
      </c>
      <c r="B4499" s="0" t="str">
        <f aca="false">IF('הדבקת לידים'!B4499="","",IF(ISNUMBER('הדבקת לידים'!B4499),IF(הגדרות!$E$3&gt;0,TEXT('הדבקת לידים'!B4499,REPT("0",הגדרות!$E$3)),TEXT('הדבקת לידים'!B4499,"0")),TRIM('הדבקת לידים'!B4499)))</f>
        <v/>
      </c>
      <c r="C4499" s="0" t="n">
        <f aca="false">IF(OR(A4499&lt;&gt;"",B4499&lt;&gt;""),1,0)</f>
        <v>0</v>
      </c>
      <c r="D4499" s="0" t="str">
        <f aca="false">IF(C4499=1,MOD(ABS(SIN(ROW()*12.9898+'הדבקת לידים'!$F$2*78.233+IFERROR(--RIGHT(A4499,6),LEN(A4499))*0.0137+IFERROR(--RIGHT(B4499,6),LEN(B4499))*0.0071))*43758.5453,1),"")</f>
        <v/>
      </c>
      <c r="E4499" s="0" t="str">
        <f aca="false">IF(C4499=1,INT(MOD(ABS(SIN(D4499*7919.123+ROW()*0.618+'הדבקת לידים'!$F$2*1.3))*43758.5453,1)*1000000)*10000+ROW(),"")</f>
        <v/>
      </c>
      <c r="F4499" s="0" t="str">
        <f aca="false">IF(E4499="","",RANK(E4499,$E$2:$E$5001,1))</f>
        <v/>
      </c>
      <c r="G4499" s="0" t="n">
        <f aca="false">IF(A4499="",0,IF(SUMPRODUCT(--($A$2:$A$5001=A4499))&gt;1,1,0))</f>
        <v>0</v>
      </c>
      <c r="H4499" s="0" t="n">
        <f aca="false">ROW()-1</f>
        <v>4498</v>
      </c>
      <c r="I4499" s="0" t="str">
        <f aca="false">IF(OR(הגדרות!$E$6=0,H4499&gt;הגדרות!$E$5),"",IF(H4499-1&lt;הגדרות!$E$8*(הגדרות!$E$7+1),INT((H4499-1)/(הגדרות!$E$7+1)),הגדרות!$E$8+INT((H4499-1-הגדרות!$E$8*(הגדרות!$E$7+1))/הגדרות!$E$7)))</f>
        <v/>
      </c>
      <c r="J4499" s="0" t="str">
        <f aca="false">IF(I4499="","",IF(H4499-1&lt;הגדרות!$E$8*(הגדרות!$E$7+1),MOD(H4499-1,הגדרות!$E$7+1),MOD(H4499-1-הגדרות!$E$8*(הגדרות!$E$7+1),הגדרות!$E$7)))</f>
        <v/>
      </c>
      <c r="K4499" s="0" t="str">
        <f aca="false">IF(I4499="","",J4499*הגדרות!$E$6+I4499+1)</f>
        <v/>
      </c>
      <c r="L4499" s="0" t="str">
        <f aca="false">IF(K4499="","",MATCH(K4499,$F$2:$F$5001,0))</f>
        <v/>
      </c>
      <c r="M4499" s="0" t="str">
        <f aca="false">IF(I4499="","",INDEX(הגדרות!$A$2:$A$21,MOD(I4499+הגדרות!$E$9,הגדרות!$E$6)+1))</f>
        <v/>
      </c>
    </row>
    <row r="4500" customFormat="false" ht="15" hidden="false" customHeight="false" outlineLevel="0" collapsed="false">
      <c r="A4500" s="0" t="str">
        <f aca="false">IF('הדבקת לידים'!A4500="","",IF(ISNUMBER('הדבקת לידים'!A4500),IF(הגדרות!$E$2&gt;0,TEXT('הדבקת לידים'!A4500,REPT("0",הגדרות!$E$2)),TEXT('הדבקת לידים'!A4500,"0")),TRIM('הדבקת לידים'!A4500)))</f>
        <v/>
      </c>
      <c r="B4500" s="0" t="str">
        <f aca="false">IF('הדבקת לידים'!B4500="","",IF(ISNUMBER('הדבקת לידים'!B4500),IF(הגדרות!$E$3&gt;0,TEXT('הדבקת לידים'!B4500,REPT("0",הגדרות!$E$3)),TEXT('הדבקת לידים'!B4500,"0")),TRIM('הדבקת לידים'!B4500)))</f>
        <v/>
      </c>
      <c r="C4500" s="0" t="n">
        <f aca="false">IF(OR(A4500&lt;&gt;"",B4500&lt;&gt;""),1,0)</f>
        <v>0</v>
      </c>
      <c r="D4500" s="0" t="str">
        <f aca="false">IF(C4500=1,MOD(ABS(SIN(ROW()*12.9898+'הדבקת לידים'!$F$2*78.233+IFERROR(--RIGHT(A4500,6),LEN(A4500))*0.0137+IFERROR(--RIGHT(B4500,6),LEN(B4500))*0.0071))*43758.5453,1),"")</f>
        <v/>
      </c>
      <c r="E4500" s="0" t="str">
        <f aca="false">IF(C4500=1,INT(MOD(ABS(SIN(D4500*7919.123+ROW()*0.618+'הדבקת לידים'!$F$2*1.3))*43758.5453,1)*1000000)*10000+ROW(),"")</f>
        <v/>
      </c>
      <c r="F4500" s="0" t="str">
        <f aca="false">IF(E4500="","",RANK(E4500,$E$2:$E$5001,1))</f>
        <v/>
      </c>
      <c r="G4500" s="0" t="n">
        <f aca="false">IF(A4500="",0,IF(SUMPRODUCT(--($A$2:$A$5001=A4500))&gt;1,1,0))</f>
        <v>0</v>
      </c>
      <c r="H4500" s="0" t="n">
        <f aca="false">ROW()-1</f>
        <v>4499</v>
      </c>
      <c r="I4500" s="0" t="str">
        <f aca="false">IF(OR(הגדרות!$E$6=0,H4500&gt;הגדרות!$E$5),"",IF(H4500-1&lt;הגדרות!$E$8*(הגדרות!$E$7+1),INT((H4500-1)/(הגדרות!$E$7+1)),הגדרות!$E$8+INT((H4500-1-הגדרות!$E$8*(הגדרות!$E$7+1))/הגדרות!$E$7)))</f>
        <v/>
      </c>
      <c r="J4500" s="0" t="str">
        <f aca="false">IF(I4500="","",IF(H4500-1&lt;הגדרות!$E$8*(הגדרות!$E$7+1),MOD(H4500-1,הגדרות!$E$7+1),MOD(H4500-1-הגדרות!$E$8*(הגדרות!$E$7+1),הגדרות!$E$7)))</f>
        <v/>
      </c>
      <c r="K4500" s="0" t="str">
        <f aca="false">IF(I4500="","",J4500*הגדרות!$E$6+I4500+1)</f>
        <v/>
      </c>
      <c r="L4500" s="0" t="str">
        <f aca="false">IF(K4500="","",MATCH(K4500,$F$2:$F$5001,0))</f>
        <v/>
      </c>
      <c r="M4500" s="0" t="str">
        <f aca="false">IF(I4500="","",INDEX(הגדרות!$A$2:$A$21,MOD(I4500+הגדרות!$E$9,הגדרות!$E$6)+1))</f>
        <v/>
      </c>
    </row>
    <row r="4501" customFormat="false" ht="15" hidden="false" customHeight="false" outlineLevel="0" collapsed="false">
      <c r="A4501" s="0" t="str">
        <f aca="false">IF('הדבקת לידים'!A4501="","",IF(ISNUMBER('הדבקת לידים'!A4501),IF(הגדרות!$E$2&gt;0,TEXT('הדבקת לידים'!A4501,REPT("0",הגדרות!$E$2)),TEXT('הדבקת לידים'!A4501,"0")),TRIM('הדבקת לידים'!A4501)))</f>
        <v/>
      </c>
      <c r="B4501" s="0" t="str">
        <f aca="false">IF('הדבקת לידים'!B4501="","",IF(ISNUMBER('הדבקת לידים'!B4501),IF(הגדרות!$E$3&gt;0,TEXT('הדבקת לידים'!B4501,REPT("0",הגדרות!$E$3)),TEXT('הדבקת לידים'!B4501,"0")),TRIM('הדבקת לידים'!B4501)))</f>
        <v/>
      </c>
      <c r="C4501" s="0" t="n">
        <f aca="false">IF(OR(A4501&lt;&gt;"",B4501&lt;&gt;""),1,0)</f>
        <v>0</v>
      </c>
      <c r="D4501" s="0" t="str">
        <f aca="false">IF(C4501=1,MOD(ABS(SIN(ROW()*12.9898+'הדבקת לידים'!$F$2*78.233+IFERROR(--RIGHT(A4501,6),LEN(A4501))*0.0137+IFERROR(--RIGHT(B4501,6),LEN(B4501))*0.0071))*43758.5453,1),"")</f>
        <v/>
      </c>
      <c r="E4501" s="0" t="str">
        <f aca="false">IF(C4501=1,INT(MOD(ABS(SIN(D4501*7919.123+ROW()*0.618+'הדבקת לידים'!$F$2*1.3))*43758.5453,1)*1000000)*10000+ROW(),"")</f>
        <v/>
      </c>
      <c r="F4501" s="0" t="str">
        <f aca="false">IF(E4501="","",RANK(E4501,$E$2:$E$5001,1))</f>
        <v/>
      </c>
      <c r="G4501" s="0" t="n">
        <f aca="false">IF(A4501="",0,IF(SUMPRODUCT(--($A$2:$A$5001=A4501))&gt;1,1,0))</f>
        <v>0</v>
      </c>
      <c r="H4501" s="0" t="n">
        <f aca="false">ROW()-1</f>
        <v>4500</v>
      </c>
      <c r="I4501" s="0" t="str">
        <f aca="false">IF(OR(הגדרות!$E$6=0,H4501&gt;הגדרות!$E$5),"",IF(H4501-1&lt;הגדרות!$E$8*(הגדרות!$E$7+1),INT((H4501-1)/(הגדרות!$E$7+1)),הגדרות!$E$8+INT((H4501-1-הגדרות!$E$8*(הגדרות!$E$7+1))/הגדרות!$E$7)))</f>
        <v/>
      </c>
      <c r="J4501" s="0" t="str">
        <f aca="false">IF(I4501="","",IF(H4501-1&lt;הגדרות!$E$8*(הגדרות!$E$7+1),MOD(H4501-1,הגדרות!$E$7+1),MOD(H4501-1-הגדרות!$E$8*(הגדרות!$E$7+1),הגדרות!$E$7)))</f>
        <v/>
      </c>
      <c r="K4501" s="0" t="str">
        <f aca="false">IF(I4501="","",J4501*הגדרות!$E$6+I4501+1)</f>
        <v/>
      </c>
      <c r="L4501" s="0" t="str">
        <f aca="false">IF(K4501="","",MATCH(K4501,$F$2:$F$5001,0))</f>
        <v/>
      </c>
      <c r="M4501" s="0" t="str">
        <f aca="false">IF(I4501="","",INDEX(הגדרות!$A$2:$A$21,MOD(I4501+הגדרות!$E$9,הגדרות!$E$6)+1))</f>
        <v/>
      </c>
    </row>
    <row r="4502" customFormat="false" ht="15" hidden="false" customHeight="false" outlineLevel="0" collapsed="false">
      <c r="A4502" s="0" t="str">
        <f aca="false">IF('הדבקת לידים'!A4502="","",IF(ISNUMBER('הדבקת לידים'!A4502),IF(הגדרות!$E$2&gt;0,TEXT('הדבקת לידים'!A4502,REPT("0",הגדרות!$E$2)),TEXT('הדבקת לידים'!A4502,"0")),TRIM('הדבקת לידים'!A4502)))</f>
        <v/>
      </c>
      <c r="B4502" s="0" t="str">
        <f aca="false">IF('הדבקת לידים'!B4502="","",IF(ISNUMBER('הדבקת לידים'!B4502),IF(הגדרות!$E$3&gt;0,TEXT('הדבקת לידים'!B4502,REPT("0",הגדרות!$E$3)),TEXT('הדבקת לידים'!B4502,"0")),TRIM('הדבקת לידים'!B4502)))</f>
        <v/>
      </c>
      <c r="C4502" s="0" t="n">
        <f aca="false">IF(OR(A4502&lt;&gt;"",B4502&lt;&gt;""),1,0)</f>
        <v>0</v>
      </c>
      <c r="D4502" s="0" t="str">
        <f aca="false">IF(C4502=1,MOD(ABS(SIN(ROW()*12.9898+'הדבקת לידים'!$F$2*78.233+IFERROR(--RIGHT(A4502,6),LEN(A4502))*0.0137+IFERROR(--RIGHT(B4502,6),LEN(B4502))*0.0071))*43758.5453,1),"")</f>
        <v/>
      </c>
      <c r="E4502" s="0" t="str">
        <f aca="false">IF(C4502=1,INT(MOD(ABS(SIN(D4502*7919.123+ROW()*0.618+'הדבקת לידים'!$F$2*1.3))*43758.5453,1)*1000000)*10000+ROW(),"")</f>
        <v/>
      </c>
      <c r="F4502" s="0" t="str">
        <f aca="false">IF(E4502="","",RANK(E4502,$E$2:$E$5001,1))</f>
        <v/>
      </c>
      <c r="G4502" s="0" t="n">
        <f aca="false">IF(A4502="",0,IF(SUMPRODUCT(--($A$2:$A$5001=A4502))&gt;1,1,0))</f>
        <v>0</v>
      </c>
      <c r="H4502" s="0" t="n">
        <f aca="false">ROW()-1</f>
        <v>4501</v>
      </c>
      <c r="I4502" s="0" t="str">
        <f aca="false">IF(OR(הגדרות!$E$6=0,H4502&gt;הגדרות!$E$5),"",IF(H4502-1&lt;הגדרות!$E$8*(הגדרות!$E$7+1),INT((H4502-1)/(הגדרות!$E$7+1)),הגדרות!$E$8+INT((H4502-1-הגדרות!$E$8*(הגדרות!$E$7+1))/הגדרות!$E$7)))</f>
        <v/>
      </c>
      <c r="J4502" s="0" t="str">
        <f aca="false">IF(I4502="","",IF(H4502-1&lt;הגדרות!$E$8*(הגדרות!$E$7+1),MOD(H4502-1,הגדרות!$E$7+1),MOD(H4502-1-הגדרות!$E$8*(הגדרות!$E$7+1),הגדרות!$E$7)))</f>
        <v/>
      </c>
      <c r="K4502" s="0" t="str">
        <f aca="false">IF(I4502="","",J4502*הגדרות!$E$6+I4502+1)</f>
        <v/>
      </c>
      <c r="L4502" s="0" t="str">
        <f aca="false">IF(K4502="","",MATCH(K4502,$F$2:$F$5001,0))</f>
        <v/>
      </c>
      <c r="M4502" s="0" t="str">
        <f aca="false">IF(I4502="","",INDEX(הגדרות!$A$2:$A$21,MOD(I4502+הגדרות!$E$9,הגדרות!$E$6)+1))</f>
        <v/>
      </c>
    </row>
    <row r="4503" customFormat="false" ht="15" hidden="false" customHeight="false" outlineLevel="0" collapsed="false">
      <c r="A4503" s="0" t="str">
        <f aca="false">IF('הדבקת לידים'!A4503="","",IF(ISNUMBER('הדבקת לידים'!A4503),IF(הגדרות!$E$2&gt;0,TEXT('הדבקת לידים'!A4503,REPT("0",הגדרות!$E$2)),TEXT('הדבקת לידים'!A4503,"0")),TRIM('הדבקת לידים'!A4503)))</f>
        <v/>
      </c>
      <c r="B4503" s="0" t="str">
        <f aca="false">IF('הדבקת לידים'!B4503="","",IF(ISNUMBER('הדבקת לידים'!B4503),IF(הגדרות!$E$3&gt;0,TEXT('הדבקת לידים'!B4503,REPT("0",הגדרות!$E$3)),TEXT('הדבקת לידים'!B4503,"0")),TRIM('הדבקת לידים'!B4503)))</f>
        <v/>
      </c>
      <c r="C4503" s="0" t="n">
        <f aca="false">IF(OR(A4503&lt;&gt;"",B4503&lt;&gt;""),1,0)</f>
        <v>0</v>
      </c>
      <c r="D4503" s="0" t="str">
        <f aca="false">IF(C4503=1,MOD(ABS(SIN(ROW()*12.9898+'הדבקת לידים'!$F$2*78.233+IFERROR(--RIGHT(A4503,6),LEN(A4503))*0.0137+IFERROR(--RIGHT(B4503,6),LEN(B4503))*0.0071))*43758.5453,1),"")</f>
        <v/>
      </c>
      <c r="E4503" s="0" t="str">
        <f aca="false">IF(C4503=1,INT(MOD(ABS(SIN(D4503*7919.123+ROW()*0.618+'הדבקת לידים'!$F$2*1.3))*43758.5453,1)*1000000)*10000+ROW(),"")</f>
        <v/>
      </c>
      <c r="F4503" s="0" t="str">
        <f aca="false">IF(E4503="","",RANK(E4503,$E$2:$E$5001,1))</f>
        <v/>
      </c>
      <c r="G4503" s="0" t="n">
        <f aca="false">IF(A4503="",0,IF(SUMPRODUCT(--($A$2:$A$5001=A4503))&gt;1,1,0))</f>
        <v>0</v>
      </c>
      <c r="H4503" s="0" t="n">
        <f aca="false">ROW()-1</f>
        <v>4502</v>
      </c>
      <c r="I4503" s="0" t="str">
        <f aca="false">IF(OR(הגדרות!$E$6=0,H4503&gt;הגדרות!$E$5),"",IF(H4503-1&lt;הגדרות!$E$8*(הגדרות!$E$7+1),INT((H4503-1)/(הגדרות!$E$7+1)),הגדרות!$E$8+INT((H4503-1-הגדרות!$E$8*(הגדרות!$E$7+1))/הגדרות!$E$7)))</f>
        <v/>
      </c>
      <c r="J4503" s="0" t="str">
        <f aca="false">IF(I4503="","",IF(H4503-1&lt;הגדרות!$E$8*(הגדרות!$E$7+1),MOD(H4503-1,הגדרות!$E$7+1),MOD(H4503-1-הגדרות!$E$8*(הגדרות!$E$7+1),הגדרות!$E$7)))</f>
        <v/>
      </c>
      <c r="K4503" s="0" t="str">
        <f aca="false">IF(I4503="","",J4503*הגדרות!$E$6+I4503+1)</f>
        <v/>
      </c>
      <c r="L4503" s="0" t="str">
        <f aca="false">IF(K4503="","",MATCH(K4503,$F$2:$F$5001,0))</f>
        <v/>
      </c>
      <c r="M4503" s="0" t="str">
        <f aca="false">IF(I4503="","",INDEX(הגדרות!$A$2:$A$21,MOD(I4503+הגדרות!$E$9,הגדרות!$E$6)+1))</f>
        <v/>
      </c>
    </row>
    <row r="4504" customFormat="false" ht="15" hidden="false" customHeight="false" outlineLevel="0" collapsed="false">
      <c r="A4504" s="0" t="str">
        <f aca="false">IF('הדבקת לידים'!A4504="","",IF(ISNUMBER('הדבקת לידים'!A4504),IF(הגדרות!$E$2&gt;0,TEXT('הדבקת לידים'!A4504,REPT("0",הגדרות!$E$2)),TEXT('הדבקת לידים'!A4504,"0")),TRIM('הדבקת לידים'!A4504)))</f>
        <v/>
      </c>
      <c r="B4504" s="0" t="str">
        <f aca="false">IF('הדבקת לידים'!B4504="","",IF(ISNUMBER('הדבקת לידים'!B4504),IF(הגדרות!$E$3&gt;0,TEXT('הדבקת לידים'!B4504,REPT("0",הגדרות!$E$3)),TEXT('הדבקת לידים'!B4504,"0")),TRIM('הדבקת לידים'!B4504)))</f>
        <v/>
      </c>
      <c r="C4504" s="0" t="n">
        <f aca="false">IF(OR(A4504&lt;&gt;"",B4504&lt;&gt;""),1,0)</f>
        <v>0</v>
      </c>
      <c r="D4504" s="0" t="str">
        <f aca="false">IF(C4504=1,MOD(ABS(SIN(ROW()*12.9898+'הדבקת לידים'!$F$2*78.233+IFERROR(--RIGHT(A4504,6),LEN(A4504))*0.0137+IFERROR(--RIGHT(B4504,6),LEN(B4504))*0.0071))*43758.5453,1),"")</f>
        <v/>
      </c>
      <c r="E4504" s="0" t="str">
        <f aca="false">IF(C4504=1,INT(MOD(ABS(SIN(D4504*7919.123+ROW()*0.618+'הדבקת לידים'!$F$2*1.3))*43758.5453,1)*1000000)*10000+ROW(),"")</f>
        <v/>
      </c>
      <c r="F4504" s="0" t="str">
        <f aca="false">IF(E4504="","",RANK(E4504,$E$2:$E$5001,1))</f>
        <v/>
      </c>
      <c r="G4504" s="0" t="n">
        <f aca="false">IF(A4504="",0,IF(SUMPRODUCT(--($A$2:$A$5001=A4504))&gt;1,1,0))</f>
        <v>0</v>
      </c>
      <c r="H4504" s="0" t="n">
        <f aca="false">ROW()-1</f>
        <v>4503</v>
      </c>
      <c r="I4504" s="0" t="str">
        <f aca="false">IF(OR(הגדרות!$E$6=0,H4504&gt;הגדרות!$E$5),"",IF(H4504-1&lt;הגדרות!$E$8*(הגדרות!$E$7+1),INT((H4504-1)/(הגדרות!$E$7+1)),הגדרות!$E$8+INT((H4504-1-הגדרות!$E$8*(הגדרות!$E$7+1))/הגדרות!$E$7)))</f>
        <v/>
      </c>
      <c r="J4504" s="0" t="str">
        <f aca="false">IF(I4504="","",IF(H4504-1&lt;הגדרות!$E$8*(הגדרות!$E$7+1),MOD(H4504-1,הגדרות!$E$7+1),MOD(H4504-1-הגדרות!$E$8*(הגדרות!$E$7+1),הגדרות!$E$7)))</f>
        <v/>
      </c>
      <c r="K4504" s="0" t="str">
        <f aca="false">IF(I4504="","",J4504*הגדרות!$E$6+I4504+1)</f>
        <v/>
      </c>
      <c r="L4504" s="0" t="str">
        <f aca="false">IF(K4504="","",MATCH(K4504,$F$2:$F$5001,0))</f>
        <v/>
      </c>
      <c r="M4504" s="0" t="str">
        <f aca="false">IF(I4504="","",INDEX(הגדרות!$A$2:$A$21,MOD(I4504+הגדרות!$E$9,הגדרות!$E$6)+1))</f>
        <v/>
      </c>
    </row>
    <row r="4505" customFormat="false" ht="15" hidden="false" customHeight="false" outlineLevel="0" collapsed="false">
      <c r="A4505" s="0" t="str">
        <f aca="false">IF('הדבקת לידים'!A4505="","",IF(ISNUMBER('הדבקת לידים'!A4505),IF(הגדרות!$E$2&gt;0,TEXT('הדבקת לידים'!A4505,REPT("0",הגדרות!$E$2)),TEXT('הדבקת לידים'!A4505,"0")),TRIM('הדבקת לידים'!A4505)))</f>
        <v/>
      </c>
      <c r="B4505" s="0" t="str">
        <f aca="false">IF('הדבקת לידים'!B4505="","",IF(ISNUMBER('הדבקת לידים'!B4505),IF(הגדרות!$E$3&gt;0,TEXT('הדבקת לידים'!B4505,REPT("0",הגדרות!$E$3)),TEXT('הדבקת לידים'!B4505,"0")),TRIM('הדבקת לידים'!B4505)))</f>
        <v/>
      </c>
      <c r="C4505" s="0" t="n">
        <f aca="false">IF(OR(A4505&lt;&gt;"",B4505&lt;&gt;""),1,0)</f>
        <v>0</v>
      </c>
      <c r="D4505" s="0" t="str">
        <f aca="false">IF(C4505=1,MOD(ABS(SIN(ROW()*12.9898+'הדבקת לידים'!$F$2*78.233+IFERROR(--RIGHT(A4505,6),LEN(A4505))*0.0137+IFERROR(--RIGHT(B4505,6),LEN(B4505))*0.0071))*43758.5453,1),"")</f>
        <v/>
      </c>
      <c r="E4505" s="0" t="str">
        <f aca="false">IF(C4505=1,INT(MOD(ABS(SIN(D4505*7919.123+ROW()*0.618+'הדבקת לידים'!$F$2*1.3))*43758.5453,1)*1000000)*10000+ROW(),"")</f>
        <v/>
      </c>
      <c r="F4505" s="0" t="str">
        <f aca="false">IF(E4505="","",RANK(E4505,$E$2:$E$5001,1))</f>
        <v/>
      </c>
      <c r="G4505" s="0" t="n">
        <f aca="false">IF(A4505="",0,IF(SUMPRODUCT(--($A$2:$A$5001=A4505))&gt;1,1,0))</f>
        <v>0</v>
      </c>
      <c r="H4505" s="0" t="n">
        <f aca="false">ROW()-1</f>
        <v>4504</v>
      </c>
      <c r="I4505" s="0" t="str">
        <f aca="false">IF(OR(הגדרות!$E$6=0,H4505&gt;הגדרות!$E$5),"",IF(H4505-1&lt;הגדרות!$E$8*(הגדרות!$E$7+1),INT((H4505-1)/(הגדרות!$E$7+1)),הגדרות!$E$8+INT((H4505-1-הגדרות!$E$8*(הגדרות!$E$7+1))/הגדרות!$E$7)))</f>
        <v/>
      </c>
      <c r="J4505" s="0" t="str">
        <f aca="false">IF(I4505="","",IF(H4505-1&lt;הגדרות!$E$8*(הגדרות!$E$7+1),MOD(H4505-1,הגדרות!$E$7+1),MOD(H4505-1-הגדרות!$E$8*(הגדרות!$E$7+1),הגדרות!$E$7)))</f>
        <v/>
      </c>
      <c r="K4505" s="0" t="str">
        <f aca="false">IF(I4505="","",J4505*הגדרות!$E$6+I4505+1)</f>
        <v/>
      </c>
      <c r="L4505" s="0" t="str">
        <f aca="false">IF(K4505="","",MATCH(K4505,$F$2:$F$5001,0))</f>
        <v/>
      </c>
      <c r="M4505" s="0" t="str">
        <f aca="false">IF(I4505="","",INDEX(הגדרות!$A$2:$A$21,MOD(I4505+הגדרות!$E$9,הגדרות!$E$6)+1))</f>
        <v/>
      </c>
    </row>
    <row r="4506" customFormat="false" ht="15" hidden="false" customHeight="false" outlineLevel="0" collapsed="false">
      <c r="A4506" s="0" t="str">
        <f aca="false">IF('הדבקת לידים'!A4506="","",IF(ISNUMBER('הדבקת לידים'!A4506),IF(הגדרות!$E$2&gt;0,TEXT('הדבקת לידים'!A4506,REPT("0",הגדרות!$E$2)),TEXT('הדבקת לידים'!A4506,"0")),TRIM('הדבקת לידים'!A4506)))</f>
        <v/>
      </c>
      <c r="B4506" s="0" t="str">
        <f aca="false">IF('הדבקת לידים'!B4506="","",IF(ISNUMBER('הדבקת לידים'!B4506),IF(הגדרות!$E$3&gt;0,TEXT('הדבקת לידים'!B4506,REPT("0",הגדרות!$E$3)),TEXT('הדבקת לידים'!B4506,"0")),TRIM('הדבקת לידים'!B4506)))</f>
        <v/>
      </c>
      <c r="C4506" s="0" t="n">
        <f aca="false">IF(OR(A4506&lt;&gt;"",B4506&lt;&gt;""),1,0)</f>
        <v>0</v>
      </c>
      <c r="D4506" s="0" t="str">
        <f aca="false">IF(C4506=1,MOD(ABS(SIN(ROW()*12.9898+'הדבקת לידים'!$F$2*78.233+IFERROR(--RIGHT(A4506,6),LEN(A4506))*0.0137+IFERROR(--RIGHT(B4506,6),LEN(B4506))*0.0071))*43758.5453,1),"")</f>
        <v/>
      </c>
      <c r="E4506" s="0" t="str">
        <f aca="false">IF(C4506=1,INT(MOD(ABS(SIN(D4506*7919.123+ROW()*0.618+'הדבקת לידים'!$F$2*1.3))*43758.5453,1)*1000000)*10000+ROW(),"")</f>
        <v/>
      </c>
      <c r="F4506" s="0" t="str">
        <f aca="false">IF(E4506="","",RANK(E4506,$E$2:$E$5001,1))</f>
        <v/>
      </c>
      <c r="G4506" s="0" t="n">
        <f aca="false">IF(A4506="",0,IF(SUMPRODUCT(--($A$2:$A$5001=A4506))&gt;1,1,0))</f>
        <v>0</v>
      </c>
      <c r="H4506" s="0" t="n">
        <f aca="false">ROW()-1</f>
        <v>4505</v>
      </c>
      <c r="I4506" s="0" t="str">
        <f aca="false">IF(OR(הגדרות!$E$6=0,H4506&gt;הגדרות!$E$5),"",IF(H4506-1&lt;הגדרות!$E$8*(הגדרות!$E$7+1),INT((H4506-1)/(הגדרות!$E$7+1)),הגדרות!$E$8+INT((H4506-1-הגדרות!$E$8*(הגדרות!$E$7+1))/הגדרות!$E$7)))</f>
        <v/>
      </c>
      <c r="J4506" s="0" t="str">
        <f aca="false">IF(I4506="","",IF(H4506-1&lt;הגדרות!$E$8*(הגדרות!$E$7+1),MOD(H4506-1,הגדרות!$E$7+1),MOD(H4506-1-הגדרות!$E$8*(הגדרות!$E$7+1),הגדרות!$E$7)))</f>
        <v/>
      </c>
      <c r="K4506" s="0" t="str">
        <f aca="false">IF(I4506="","",J4506*הגדרות!$E$6+I4506+1)</f>
        <v/>
      </c>
      <c r="L4506" s="0" t="str">
        <f aca="false">IF(K4506="","",MATCH(K4506,$F$2:$F$5001,0))</f>
        <v/>
      </c>
      <c r="M4506" s="0" t="str">
        <f aca="false">IF(I4506="","",INDEX(הגדרות!$A$2:$A$21,MOD(I4506+הגדרות!$E$9,הגדרות!$E$6)+1))</f>
        <v/>
      </c>
    </row>
    <row r="4507" customFormat="false" ht="15" hidden="false" customHeight="false" outlineLevel="0" collapsed="false">
      <c r="A4507" s="0" t="str">
        <f aca="false">IF('הדבקת לידים'!A4507="","",IF(ISNUMBER('הדבקת לידים'!A4507),IF(הגדרות!$E$2&gt;0,TEXT('הדבקת לידים'!A4507,REPT("0",הגדרות!$E$2)),TEXT('הדבקת לידים'!A4507,"0")),TRIM('הדבקת לידים'!A4507)))</f>
        <v/>
      </c>
      <c r="B4507" s="0" t="str">
        <f aca="false">IF('הדבקת לידים'!B4507="","",IF(ISNUMBER('הדבקת לידים'!B4507),IF(הגדרות!$E$3&gt;0,TEXT('הדבקת לידים'!B4507,REPT("0",הגדרות!$E$3)),TEXT('הדבקת לידים'!B4507,"0")),TRIM('הדבקת לידים'!B4507)))</f>
        <v/>
      </c>
      <c r="C4507" s="0" t="n">
        <f aca="false">IF(OR(A4507&lt;&gt;"",B4507&lt;&gt;""),1,0)</f>
        <v>0</v>
      </c>
      <c r="D4507" s="0" t="str">
        <f aca="false">IF(C4507=1,MOD(ABS(SIN(ROW()*12.9898+'הדבקת לידים'!$F$2*78.233+IFERROR(--RIGHT(A4507,6),LEN(A4507))*0.0137+IFERROR(--RIGHT(B4507,6),LEN(B4507))*0.0071))*43758.5453,1),"")</f>
        <v/>
      </c>
      <c r="E4507" s="0" t="str">
        <f aca="false">IF(C4507=1,INT(MOD(ABS(SIN(D4507*7919.123+ROW()*0.618+'הדבקת לידים'!$F$2*1.3))*43758.5453,1)*1000000)*10000+ROW(),"")</f>
        <v/>
      </c>
      <c r="F4507" s="0" t="str">
        <f aca="false">IF(E4507="","",RANK(E4507,$E$2:$E$5001,1))</f>
        <v/>
      </c>
      <c r="G4507" s="0" t="n">
        <f aca="false">IF(A4507="",0,IF(SUMPRODUCT(--($A$2:$A$5001=A4507))&gt;1,1,0))</f>
        <v>0</v>
      </c>
      <c r="H4507" s="0" t="n">
        <f aca="false">ROW()-1</f>
        <v>4506</v>
      </c>
      <c r="I4507" s="0" t="str">
        <f aca="false">IF(OR(הגדרות!$E$6=0,H4507&gt;הגדרות!$E$5),"",IF(H4507-1&lt;הגדרות!$E$8*(הגדרות!$E$7+1),INT((H4507-1)/(הגדרות!$E$7+1)),הגדרות!$E$8+INT((H4507-1-הגדרות!$E$8*(הגדרות!$E$7+1))/הגדרות!$E$7)))</f>
        <v/>
      </c>
      <c r="J4507" s="0" t="str">
        <f aca="false">IF(I4507="","",IF(H4507-1&lt;הגדרות!$E$8*(הגדרות!$E$7+1),MOD(H4507-1,הגדרות!$E$7+1),MOD(H4507-1-הגדרות!$E$8*(הגדרות!$E$7+1),הגדרות!$E$7)))</f>
        <v/>
      </c>
      <c r="K4507" s="0" t="str">
        <f aca="false">IF(I4507="","",J4507*הגדרות!$E$6+I4507+1)</f>
        <v/>
      </c>
      <c r="L4507" s="0" t="str">
        <f aca="false">IF(K4507="","",MATCH(K4507,$F$2:$F$5001,0))</f>
        <v/>
      </c>
      <c r="M4507" s="0" t="str">
        <f aca="false">IF(I4507="","",INDEX(הגדרות!$A$2:$A$21,MOD(I4507+הגדרות!$E$9,הגדרות!$E$6)+1))</f>
        <v/>
      </c>
    </row>
    <row r="4508" customFormat="false" ht="15" hidden="false" customHeight="false" outlineLevel="0" collapsed="false">
      <c r="A4508" s="0" t="str">
        <f aca="false">IF('הדבקת לידים'!A4508="","",IF(ISNUMBER('הדבקת לידים'!A4508),IF(הגדרות!$E$2&gt;0,TEXT('הדבקת לידים'!A4508,REPT("0",הגדרות!$E$2)),TEXT('הדבקת לידים'!A4508,"0")),TRIM('הדבקת לידים'!A4508)))</f>
        <v/>
      </c>
      <c r="B4508" s="0" t="str">
        <f aca="false">IF('הדבקת לידים'!B4508="","",IF(ISNUMBER('הדבקת לידים'!B4508),IF(הגדרות!$E$3&gt;0,TEXT('הדבקת לידים'!B4508,REPT("0",הגדרות!$E$3)),TEXT('הדבקת לידים'!B4508,"0")),TRIM('הדבקת לידים'!B4508)))</f>
        <v/>
      </c>
      <c r="C4508" s="0" t="n">
        <f aca="false">IF(OR(A4508&lt;&gt;"",B4508&lt;&gt;""),1,0)</f>
        <v>0</v>
      </c>
      <c r="D4508" s="0" t="str">
        <f aca="false">IF(C4508=1,MOD(ABS(SIN(ROW()*12.9898+'הדבקת לידים'!$F$2*78.233+IFERROR(--RIGHT(A4508,6),LEN(A4508))*0.0137+IFERROR(--RIGHT(B4508,6),LEN(B4508))*0.0071))*43758.5453,1),"")</f>
        <v/>
      </c>
      <c r="E4508" s="0" t="str">
        <f aca="false">IF(C4508=1,INT(MOD(ABS(SIN(D4508*7919.123+ROW()*0.618+'הדבקת לידים'!$F$2*1.3))*43758.5453,1)*1000000)*10000+ROW(),"")</f>
        <v/>
      </c>
      <c r="F4508" s="0" t="str">
        <f aca="false">IF(E4508="","",RANK(E4508,$E$2:$E$5001,1))</f>
        <v/>
      </c>
      <c r="G4508" s="0" t="n">
        <f aca="false">IF(A4508="",0,IF(SUMPRODUCT(--($A$2:$A$5001=A4508))&gt;1,1,0))</f>
        <v>0</v>
      </c>
      <c r="H4508" s="0" t="n">
        <f aca="false">ROW()-1</f>
        <v>4507</v>
      </c>
      <c r="I4508" s="0" t="str">
        <f aca="false">IF(OR(הגדרות!$E$6=0,H4508&gt;הגדרות!$E$5),"",IF(H4508-1&lt;הגדרות!$E$8*(הגדרות!$E$7+1),INT((H4508-1)/(הגדרות!$E$7+1)),הגדרות!$E$8+INT((H4508-1-הגדרות!$E$8*(הגדרות!$E$7+1))/הגדרות!$E$7)))</f>
        <v/>
      </c>
      <c r="J4508" s="0" t="str">
        <f aca="false">IF(I4508="","",IF(H4508-1&lt;הגדרות!$E$8*(הגדרות!$E$7+1),MOD(H4508-1,הגדרות!$E$7+1),MOD(H4508-1-הגדרות!$E$8*(הגדרות!$E$7+1),הגדרות!$E$7)))</f>
        <v/>
      </c>
      <c r="K4508" s="0" t="str">
        <f aca="false">IF(I4508="","",J4508*הגדרות!$E$6+I4508+1)</f>
        <v/>
      </c>
      <c r="L4508" s="0" t="str">
        <f aca="false">IF(K4508="","",MATCH(K4508,$F$2:$F$5001,0))</f>
        <v/>
      </c>
      <c r="M4508" s="0" t="str">
        <f aca="false">IF(I4508="","",INDEX(הגדרות!$A$2:$A$21,MOD(I4508+הגדרות!$E$9,הגדרות!$E$6)+1))</f>
        <v/>
      </c>
    </row>
    <row r="4509" customFormat="false" ht="15" hidden="false" customHeight="false" outlineLevel="0" collapsed="false">
      <c r="A4509" s="0" t="str">
        <f aca="false">IF('הדבקת לידים'!A4509="","",IF(ISNUMBER('הדבקת לידים'!A4509),IF(הגדרות!$E$2&gt;0,TEXT('הדבקת לידים'!A4509,REPT("0",הגדרות!$E$2)),TEXT('הדבקת לידים'!A4509,"0")),TRIM('הדבקת לידים'!A4509)))</f>
        <v/>
      </c>
      <c r="B4509" s="0" t="str">
        <f aca="false">IF('הדבקת לידים'!B4509="","",IF(ISNUMBER('הדבקת לידים'!B4509),IF(הגדרות!$E$3&gt;0,TEXT('הדבקת לידים'!B4509,REPT("0",הגדרות!$E$3)),TEXT('הדבקת לידים'!B4509,"0")),TRIM('הדבקת לידים'!B4509)))</f>
        <v/>
      </c>
      <c r="C4509" s="0" t="n">
        <f aca="false">IF(OR(A4509&lt;&gt;"",B4509&lt;&gt;""),1,0)</f>
        <v>0</v>
      </c>
      <c r="D4509" s="0" t="str">
        <f aca="false">IF(C4509=1,MOD(ABS(SIN(ROW()*12.9898+'הדבקת לידים'!$F$2*78.233+IFERROR(--RIGHT(A4509,6),LEN(A4509))*0.0137+IFERROR(--RIGHT(B4509,6),LEN(B4509))*0.0071))*43758.5453,1),"")</f>
        <v/>
      </c>
      <c r="E4509" s="0" t="str">
        <f aca="false">IF(C4509=1,INT(MOD(ABS(SIN(D4509*7919.123+ROW()*0.618+'הדבקת לידים'!$F$2*1.3))*43758.5453,1)*1000000)*10000+ROW(),"")</f>
        <v/>
      </c>
      <c r="F4509" s="0" t="str">
        <f aca="false">IF(E4509="","",RANK(E4509,$E$2:$E$5001,1))</f>
        <v/>
      </c>
      <c r="G4509" s="0" t="n">
        <f aca="false">IF(A4509="",0,IF(SUMPRODUCT(--($A$2:$A$5001=A4509))&gt;1,1,0))</f>
        <v>0</v>
      </c>
      <c r="H4509" s="0" t="n">
        <f aca="false">ROW()-1</f>
        <v>4508</v>
      </c>
      <c r="I4509" s="0" t="str">
        <f aca="false">IF(OR(הגדרות!$E$6=0,H4509&gt;הגדרות!$E$5),"",IF(H4509-1&lt;הגדרות!$E$8*(הגדרות!$E$7+1),INT((H4509-1)/(הגדרות!$E$7+1)),הגדרות!$E$8+INT((H4509-1-הגדרות!$E$8*(הגדרות!$E$7+1))/הגדרות!$E$7)))</f>
        <v/>
      </c>
      <c r="J4509" s="0" t="str">
        <f aca="false">IF(I4509="","",IF(H4509-1&lt;הגדרות!$E$8*(הגדרות!$E$7+1),MOD(H4509-1,הגדרות!$E$7+1),MOD(H4509-1-הגדרות!$E$8*(הגדרות!$E$7+1),הגדרות!$E$7)))</f>
        <v/>
      </c>
      <c r="K4509" s="0" t="str">
        <f aca="false">IF(I4509="","",J4509*הגדרות!$E$6+I4509+1)</f>
        <v/>
      </c>
      <c r="L4509" s="0" t="str">
        <f aca="false">IF(K4509="","",MATCH(K4509,$F$2:$F$5001,0))</f>
        <v/>
      </c>
      <c r="M4509" s="0" t="str">
        <f aca="false">IF(I4509="","",INDEX(הגדרות!$A$2:$A$21,MOD(I4509+הגדרות!$E$9,הגדרות!$E$6)+1))</f>
        <v/>
      </c>
    </row>
    <row r="4510" customFormat="false" ht="15" hidden="false" customHeight="false" outlineLevel="0" collapsed="false">
      <c r="A4510" s="0" t="str">
        <f aca="false">IF('הדבקת לידים'!A4510="","",IF(ISNUMBER('הדבקת לידים'!A4510),IF(הגדרות!$E$2&gt;0,TEXT('הדבקת לידים'!A4510,REPT("0",הגדרות!$E$2)),TEXT('הדבקת לידים'!A4510,"0")),TRIM('הדבקת לידים'!A4510)))</f>
        <v/>
      </c>
      <c r="B4510" s="0" t="str">
        <f aca="false">IF('הדבקת לידים'!B4510="","",IF(ISNUMBER('הדבקת לידים'!B4510),IF(הגדרות!$E$3&gt;0,TEXT('הדבקת לידים'!B4510,REPT("0",הגדרות!$E$3)),TEXT('הדבקת לידים'!B4510,"0")),TRIM('הדבקת לידים'!B4510)))</f>
        <v/>
      </c>
      <c r="C4510" s="0" t="n">
        <f aca="false">IF(OR(A4510&lt;&gt;"",B4510&lt;&gt;""),1,0)</f>
        <v>0</v>
      </c>
      <c r="D4510" s="0" t="str">
        <f aca="false">IF(C4510=1,MOD(ABS(SIN(ROW()*12.9898+'הדבקת לידים'!$F$2*78.233+IFERROR(--RIGHT(A4510,6),LEN(A4510))*0.0137+IFERROR(--RIGHT(B4510,6),LEN(B4510))*0.0071))*43758.5453,1),"")</f>
        <v/>
      </c>
      <c r="E4510" s="0" t="str">
        <f aca="false">IF(C4510=1,INT(MOD(ABS(SIN(D4510*7919.123+ROW()*0.618+'הדבקת לידים'!$F$2*1.3))*43758.5453,1)*1000000)*10000+ROW(),"")</f>
        <v/>
      </c>
      <c r="F4510" s="0" t="str">
        <f aca="false">IF(E4510="","",RANK(E4510,$E$2:$E$5001,1))</f>
        <v/>
      </c>
      <c r="G4510" s="0" t="n">
        <f aca="false">IF(A4510="",0,IF(SUMPRODUCT(--($A$2:$A$5001=A4510))&gt;1,1,0))</f>
        <v>0</v>
      </c>
      <c r="H4510" s="0" t="n">
        <f aca="false">ROW()-1</f>
        <v>4509</v>
      </c>
      <c r="I4510" s="0" t="str">
        <f aca="false">IF(OR(הגדרות!$E$6=0,H4510&gt;הגדרות!$E$5),"",IF(H4510-1&lt;הגדרות!$E$8*(הגדרות!$E$7+1),INT((H4510-1)/(הגדרות!$E$7+1)),הגדרות!$E$8+INT((H4510-1-הגדרות!$E$8*(הגדרות!$E$7+1))/הגדרות!$E$7)))</f>
        <v/>
      </c>
      <c r="J4510" s="0" t="str">
        <f aca="false">IF(I4510="","",IF(H4510-1&lt;הגדרות!$E$8*(הגדרות!$E$7+1),MOD(H4510-1,הגדרות!$E$7+1),MOD(H4510-1-הגדרות!$E$8*(הגדרות!$E$7+1),הגדרות!$E$7)))</f>
        <v/>
      </c>
      <c r="K4510" s="0" t="str">
        <f aca="false">IF(I4510="","",J4510*הגדרות!$E$6+I4510+1)</f>
        <v/>
      </c>
      <c r="L4510" s="0" t="str">
        <f aca="false">IF(K4510="","",MATCH(K4510,$F$2:$F$5001,0))</f>
        <v/>
      </c>
      <c r="M4510" s="0" t="str">
        <f aca="false">IF(I4510="","",INDEX(הגדרות!$A$2:$A$21,MOD(I4510+הגדרות!$E$9,הגדרות!$E$6)+1))</f>
        <v/>
      </c>
    </row>
    <row r="4511" customFormat="false" ht="15" hidden="false" customHeight="false" outlineLevel="0" collapsed="false">
      <c r="A4511" s="0" t="str">
        <f aca="false">IF('הדבקת לידים'!A4511="","",IF(ISNUMBER('הדבקת לידים'!A4511),IF(הגדרות!$E$2&gt;0,TEXT('הדבקת לידים'!A4511,REPT("0",הגדרות!$E$2)),TEXT('הדבקת לידים'!A4511,"0")),TRIM('הדבקת לידים'!A4511)))</f>
        <v/>
      </c>
      <c r="B4511" s="0" t="str">
        <f aca="false">IF('הדבקת לידים'!B4511="","",IF(ISNUMBER('הדבקת לידים'!B4511),IF(הגדרות!$E$3&gt;0,TEXT('הדבקת לידים'!B4511,REPT("0",הגדרות!$E$3)),TEXT('הדבקת לידים'!B4511,"0")),TRIM('הדבקת לידים'!B4511)))</f>
        <v/>
      </c>
      <c r="C4511" s="0" t="n">
        <f aca="false">IF(OR(A4511&lt;&gt;"",B4511&lt;&gt;""),1,0)</f>
        <v>0</v>
      </c>
      <c r="D4511" s="0" t="str">
        <f aca="false">IF(C4511=1,MOD(ABS(SIN(ROW()*12.9898+'הדבקת לידים'!$F$2*78.233+IFERROR(--RIGHT(A4511,6),LEN(A4511))*0.0137+IFERROR(--RIGHT(B4511,6),LEN(B4511))*0.0071))*43758.5453,1),"")</f>
        <v/>
      </c>
      <c r="E4511" s="0" t="str">
        <f aca="false">IF(C4511=1,INT(MOD(ABS(SIN(D4511*7919.123+ROW()*0.618+'הדבקת לידים'!$F$2*1.3))*43758.5453,1)*1000000)*10000+ROW(),"")</f>
        <v/>
      </c>
      <c r="F4511" s="0" t="str">
        <f aca="false">IF(E4511="","",RANK(E4511,$E$2:$E$5001,1))</f>
        <v/>
      </c>
      <c r="G4511" s="0" t="n">
        <f aca="false">IF(A4511="",0,IF(SUMPRODUCT(--($A$2:$A$5001=A4511))&gt;1,1,0))</f>
        <v>0</v>
      </c>
      <c r="H4511" s="0" t="n">
        <f aca="false">ROW()-1</f>
        <v>4510</v>
      </c>
      <c r="I4511" s="0" t="str">
        <f aca="false">IF(OR(הגדרות!$E$6=0,H4511&gt;הגדרות!$E$5),"",IF(H4511-1&lt;הגדרות!$E$8*(הגדרות!$E$7+1),INT((H4511-1)/(הגדרות!$E$7+1)),הגדרות!$E$8+INT((H4511-1-הגדרות!$E$8*(הגדרות!$E$7+1))/הגדרות!$E$7)))</f>
        <v/>
      </c>
      <c r="J4511" s="0" t="str">
        <f aca="false">IF(I4511="","",IF(H4511-1&lt;הגדרות!$E$8*(הגדרות!$E$7+1),MOD(H4511-1,הגדרות!$E$7+1),MOD(H4511-1-הגדרות!$E$8*(הגדרות!$E$7+1),הגדרות!$E$7)))</f>
        <v/>
      </c>
      <c r="K4511" s="0" t="str">
        <f aca="false">IF(I4511="","",J4511*הגדרות!$E$6+I4511+1)</f>
        <v/>
      </c>
      <c r="L4511" s="0" t="str">
        <f aca="false">IF(K4511="","",MATCH(K4511,$F$2:$F$5001,0))</f>
        <v/>
      </c>
      <c r="M4511" s="0" t="str">
        <f aca="false">IF(I4511="","",INDEX(הגדרות!$A$2:$A$21,MOD(I4511+הגדרות!$E$9,הגדרות!$E$6)+1))</f>
        <v/>
      </c>
    </row>
    <row r="4512" customFormat="false" ht="15" hidden="false" customHeight="false" outlineLevel="0" collapsed="false">
      <c r="A4512" s="0" t="str">
        <f aca="false">IF('הדבקת לידים'!A4512="","",IF(ISNUMBER('הדבקת לידים'!A4512),IF(הגדרות!$E$2&gt;0,TEXT('הדבקת לידים'!A4512,REPT("0",הגדרות!$E$2)),TEXT('הדבקת לידים'!A4512,"0")),TRIM('הדבקת לידים'!A4512)))</f>
        <v/>
      </c>
      <c r="B4512" s="0" t="str">
        <f aca="false">IF('הדבקת לידים'!B4512="","",IF(ISNUMBER('הדבקת לידים'!B4512),IF(הגדרות!$E$3&gt;0,TEXT('הדבקת לידים'!B4512,REPT("0",הגדרות!$E$3)),TEXT('הדבקת לידים'!B4512,"0")),TRIM('הדבקת לידים'!B4512)))</f>
        <v/>
      </c>
      <c r="C4512" s="0" t="n">
        <f aca="false">IF(OR(A4512&lt;&gt;"",B4512&lt;&gt;""),1,0)</f>
        <v>0</v>
      </c>
      <c r="D4512" s="0" t="str">
        <f aca="false">IF(C4512=1,MOD(ABS(SIN(ROW()*12.9898+'הדבקת לידים'!$F$2*78.233+IFERROR(--RIGHT(A4512,6),LEN(A4512))*0.0137+IFERROR(--RIGHT(B4512,6),LEN(B4512))*0.0071))*43758.5453,1),"")</f>
        <v/>
      </c>
      <c r="E4512" s="0" t="str">
        <f aca="false">IF(C4512=1,INT(MOD(ABS(SIN(D4512*7919.123+ROW()*0.618+'הדבקת לידים'!$F$2*1.3))*43758.5453,1)*1000000)*10000+ROW(),"")</f>
        <v/>
      </c>
      <c r="F4512" s="0" t="str">
        <f aca="false">IF(E4512="","",RANK(E4512,$E$2:$E$5001,1))</f>
        <v/>
      </c>
      <c r="G4512" s="0" t="n">
        <f aca="false">IF(A4512="",0,IF(SUMPRODUCT(--($A$2:$A$5001=A4512))&gt;1,1,0))</f>
        <v>0</v>
      </c>
      <c r="H4512" s="0" t="n">
        <f aca="false">ROW()-1</f>
        <v>4511</v>
      </c>
      <c r="I4512" s="0" t="str">
        <f aca="false">IF(OR(הגדרות!$E$6=0,H4512&gt;הגדרות!$E$5),"",IF(H4512-1&lt;הגדרות!$E$8*(הגדרות!$E$7+1),INT((H4512-1)/(הגדרות!$E$7+1)),הגדרות!$E$8+INT((H4512-1-הגדרות!$E$8*(הגדרות!$E$7+1))/הגדרות!$E$7)))</f>
        <v/>
      </c>
      <c r="J4512" s="0" t="str">
        <f aca="false">IF(I4512="","",IF(H4512-1&lt;הגדרות!$E$8*(הגדרות!$E$7+1),MOD(H4512-1,הגדרות!$E$7+1),MOD(H4512-1-הגדרות!$E$8*(הגדרות!$E$7+1),הגדרות!$E$7)))</f>
        <v/>
      </c>
      <c r="K4512" s="0" t="str">
        <f aca="false">IF(I4512="","",J4512*הגדרות!$E$6+I4512+1)</f>
        <v/>
      </c>
      <c r="L4512" s="0" t="str">
        <f aca="false">IF(K4512="","",MATCH(K4512,$F$2:$F$5001,0))</f>
        <v/>
      </c>
      <c r="M4512" s="0" t="str">
        <f aca="false">IF(I4512="","",INDEX(הגדרות!$A$2:$A$21,MOD(I4512+הגדרות!$E$9,הגדרות!$E$6)+1))</f>
        <v/>
      </c>
    </row>
    <row r="4513" customFormat="false" ht="15" hidden="false" customHeight="false" outlineLevel="0" collapsed="false">
      <c r="A4513" s="0" t="str">
        <f aca="false">IF('הדבקת לידים'!A4513="","",IF(ISNUMBER('הדבקת לידים'!A4513),IF(הגדרות!$E$2&gt;0,TEXT('הדבקת לידים'!A4513,REPT("0",הגדרות!$E$2)),TEXT('הדבקת לידים'!A4513,"0")),TRIM('הדבקת לידים'!A4513)))</f>
        <v/>
      </c>
      <c r="B4513" s="0" t="str">
        <f aca="false">IF('הדבקת לידים'!B4513="","",IF(ISNUMBER('הדבקת לידים'!B4513),IF(הגדרות!$E$3&gt;0,TEXT('הדבקת לידים'!B4513,REPT("0",הגדרות!$E$3)),TEXT('הדבקת לידים'!B4513,"0")),TRIM('הדבקת לידים'!B4513)))</f>
        <v/>
      </c>
      <c r="C4513" s="0" t="n">
        <f aca="false">IF(OR(A4513&lt;&gt;"",B4513&lt;&gt;""),1,0)</f>
        <v>0</v>
      </c>
      <c r="D4513" s="0" t="str">
        <f aca="false">IF(C4513=1,MOD(ABS(SIN(ROW()*12.9898+'הדבקת לידים'!$F$2*78.233+IFERROR(--RIGHT(A4513,6),LEN(A4513))*0.0137+IFERROR(--RIGHT(B4513,6),LEN(B4513))*0.0071))*43758.5453,1),"")</f>
        <v/>
      </c>
      <c r="E4513" s="0" t="str">
        <f aca="false">IF(C4513=1,INT(MOD(ABS(SIN(D4513*7919.123+ROW()*0.618+'הדבקת לידים'!$F$2*1.3))*43758.5453,1)*1000000)*10000+ROW(),"")</f>
        <v/>
      </c>
      <c r="F4513" s="0" t="str">
        <f aca="false">IF(E4513="","",RANK(E4513,$E$2:$E$5001,1))</f>
        <v/>
      </c>
      <c r="G4513" s="0" t="n">
        <f aca="false">IF(A4513="",0,IF(SUMPRODUCT(--($A$2:$A$5001=A4513))&gt;1,1,0))</f>
        <v>0</v>
      </c>
      <c r="H4513" s="0" t="n">
        <f aca="false">ROW()-1</f>
        <v>4512</v>
      </c>
      <c r="I4513" s="0" t="str">
        <f aca="false">IF(OR(הגדרות!$E$6=0,H4513&gt;הגדרות!$E$5),"",IF(H4513-1&lt;הגדרות!$E$8*(הגדרות!$E$7+1),INT((H4513-1)/(הגדרות!$E$7+1)),הגדרות!$E$8+INT((H4513-1-הגדרות!$E$8*(הגדרות!$E$7+1))/הגדרות!$E$7)))</f>
        <v/>
      </c>
      <c r="J4513" s="0" t="str">
        <f aca="false">IF(I4513="","",IF(H4513-1&lt;הגדרות!$E$8*(הגדרות!$E$7+1),MOD(H4513-1,הגדרות!$E$7+1),MOD(H4513-1-הגדרות!$E$8*(הגדרות!$E$7+1),הגדרות!$E$7)))</f>
        <v/>
      </c>
      <c r="K4513" s="0" t="str">
        <f aca="false">IF(I4513="","",J4513*הגדרות!$E$6+I4513+1)</f>
        <v/>
      </c>
      <c r="L4513" s="0" t="str">
        <f aca="false">IF(K4513="","",MATCH(K4513,$F$2:$F$5001,0))</f>
        <v/>
      </c>
      <c r="M4513" s="0" t="str">
        <f aca="false">IF(I4513="","",INDEX(הגדרות!$A$2:$A$21,MOD(I4513+הגדרות!$E$9,הגדרות!$E$6)+1))</f>
        <v/>
      </c>
    </row>
    <row r="4514" customFormat="false" ht="15" hidden="false" customHeight="false" outlineLevel="0" collapsed="false">
      <c r="A4514" s="0" t="str">
        <f aca="false">IF('הדבקת לידים'!A4514="","",IF(ISNUMBER('הדבקת לידים'!A4514),IF(הגדרות!$E$2&gt;0,TEXT('הדבקת לידים'!A4514,REPT("0",הגדרות!$E$2)),TEXT('הדבקת לידים'!A4514,"0")),TRIM('הדבקת לידים'!A4514)))</f>
        <v/>
      </c>
      <c r="B4514" s="0" t="str">
        <f aca="false">IF('הדבקת לידים'!B4514="","",IF(ISNUMBER('הדבקת לידים'!B4514),IF(הגדרות!$E$3&gt;0,TEXT('הדבקת לידים'!B4514,REPT("0",הגדרות!$E$3)),TEXT('הדבקת לידים'!B4514,"0")),TRIM('הדבקת לידים'!B4514)))</f>
        <v/>
      </c>
      <c r="C4514" s="0" t="n">
        <f aca="false">IF(OR(A4514&lt;&gt;"",B4514&lt;&gt;""),1,0)</f>
        <v>0</v>
      </c>
      <c r="D4514" s="0" t="str">
        <f aca="false">IF(C4514=1,MOD(ABS(SIN(ROW()*12.9898+'הדבקת לידים'!$F$2*78.233+IFERROR(--RIGHT(A4514,6),LEN(A4514))*0.0137+IFERROR(--RIGHT(B4514,6),LEN(B4514))*0.0071))*43758.5453,1),"")</f>
        <v/>
      </c>
      <c r="E4514" s="0" t="str">
        <f aca="false">IF(C4514=1,INT(MOD(ABS(SIN(D4514*7919.123+ROW()*0.618+'הדבקת לידים'!$F$2*1.3))*43758.5453,1)*1000000)*10000+ROW(),"")</f>
        <v/>
      </c>
      <c r="F4514" s="0" t="str">
        <f aca="false">IF(E4514="","",RANK(E4514,$E$2:$E$5001,1))</f>
        <v/>
      </c>
      <c r="G4514" s="0" t="n">
        <f aca="false">IF(A4514="",0,IF(SUMPRODUCT(--($A$2:$A$5001=A4514))&gt;1,1,0))</f>
        <v>0</v>
      </c>
      <c r="H4514" s="0" t="n">
        <f aca="false">ROW()-1</f>
        <v>4513</v>
      </c>
      <c r="I4514" s="0" t="str">
        <f aca="false">IF(OR(הגדרות!$E$6=0,H4514&gt;הגדרות!$E$5),"",IF(H4514-1&lt;הגדרות!$E$8*(הגדרות!$E$7+1),INT((H4514-1)/(הגדרות!$E$7+1)),הגדרות!$E$8+INT((H4514-1-הגדרות!$E$8*(הגדרות!$E$7+1))/הגדרות!$E$7)))</f>
        <v/>
      </c>
      <c r="J4514" s="0" t="str">
        <f aca="false">IF(I4514="","",IF(H4514-1&lt;הגדרות!$E$8*(הגדרות!$E$7+1),MOD(H4514-1,הגדרות!$E$7+1),MOD(H4514-1-הגדרות!$E$8*(הגדרות!$E$7+1),הגדרות!$E$7)))</f>
        <v/>
      </c>
      <c r="K4514" s="0" t="str">
        <f aca="false">IF(I4514="","",J4514*הגדרות!$E$6+I4514+1)</f>
        <v/>
      </c>
      <c r="L4514" s="0" t="str">
        <f aca="false">IF(K4514="","",MATCH(K4514,$F$2:$F$5001,0))</f>
        <v/>
      </c>
      <c r="M4514" s="0" t="str">
        <f aca="false">IF(I4514="","",INDEX(הגדרות!$A$2:$A$21,MOD(I4514+הגדרות!$E$9,הגדרות!$E$6)+1))</f>
        <v/>
      </c>
    </row>
    <row r="4515" customFormat="false" ht="15" hidden="false" customHeight="false" outlineLevel="0" collapsed="false">
      <c r="A4515" s="0" t="str">
        <f aca="false">IF('הדבקת לידים'!A4515="","",IF(ISNUMBER('הדבקת לידים'!A4515),IF(הגדרות!$E$2&gt;0,TEXT('הדבקת לידים'!A4515,REPT("0",הגדרות!$E$2)),TEXT('הדבקת לידים'!A4515,"0")),TRIM('הדבקת לידים'!A4515)))</f>
        <v/>
      </c>
      <c r="B4515" s="0" t="str">
        <f aca="false">IF('הדבקת לידים'!B4515="","",IF(ISNUMBER('הדבקת לידים'!B4515),IF(הגדרות!$E$3&gt;0,TEXT('הדבקת לידים'!B4515,REPT("0",הגדרות!$E$3)),TEXT('הדבקת לידים'!B4515,"0")),TRIM('הדבקת לידים'!B4515)))</f>
        <v/>
      </c>
      <c r="C4515" s="0" t="n">
        <f aca="false">IF(OR(A4515&lt;&gt;"",B4515&lt;&gt;""),1,0)</f>
        <v>0</v>
      </c>
      <c r="D4515" s="0" t="str">
        <f aca="false">IF(C4515=1,MOD(ABS(SIN(ROW()*12.9898+'הדבקת לידים'!$F$2*78.233+IFERROR(--RIGHT(A4515,6),LEN(A4515))*0.0137+IFERROR(--RIGHT(B4515,6),LEN(B4515))*0.0071))*43758.5453,1),"")</f>
        <v/>
      </c>
      <c r="E4515" s="0" t="str">
        <f aca="false">IF(C4515=1,INT(MOD(ABS(SIN(D4515*7919.123+ROW()*0.618+'הדבקת לידים'!$F$2*1.3))*43758.5453,1)*1000000)*10000+ROW(),"")</f>
        <v/>
      </c>
      <c r="F4515" s="0" t="str">
        <f aca="false">IF(E4515="","",RANK(E4515,$E$2:$E$5001,1))</f>
        <v/>
      </c>
      <c r="G4515" s="0" t="n">
        <f aca="false">IF(A4515="",0,IF(SUMPRODUCT(--($A$2:$A$5001=A4515))&gt;1,1,0))</f>
        <v>0</v>
      </c>
      <c r="H4515" s="0" t="n">
        <f aca="false">ROW()-1</f>
        <v>4514</v>
      </c>
      <c r="I4515" s="0" t="str">
        <f aca="false">IF(OR(הגדרות!$E$6=0,H4515&gt;הגדרות!$E$5),"",IF(H4515-1&lt;הגדרות!$E$8*(הגדרות!$E$7+1),INT((H4515-1)/(הגדרות!$E$7+1)),הגדרות!$E$8+INT((H4515-1-הגדרות!$E$8*(הגדרות!$E$7+1))/הגדרות!$E$7)))</f>
        <v/>
      </c>
      <c r="J4515" s="0" t="str">
        <f aca="false">IF(I4515="","",IF(H4515-1&lt;הגדרות!$E$8*(הגדרות!$E$7+1),MOD(H4515-1,הגדרות!$E$7+1),MOD(H4515-1-הגדרות!$E$8*(הגדרות!$E$7+1),הגדרות!$E$7)))</f>
        <v/>
      </c>
      <c r="K4515" s="0" t="str">
        <f aca="false">IF(I4515="","",J4515*הגדרות!$E$6+I4515+1)</f>
        <v/>
      </c>
      <c r="L4515" s="0" t="str">
        <f aca="false">IF(K4515="","",MATCH(K4515,$F$2:$F$5001,0))</f>
        <v/>
      </c>
      <c r="M4515" s="0" t="str">
        <f aca="false">IF(I4515="","",INDEX(הגדרות!$A$2:$A$21,MOD(I4515+הגדרות!$E$9,הגדרות!$E$6)+1))</f>
        <v/>
      </c>
    </row>
    <row r="4516" customFormat="false" ht="15" hidden="false" customHeight="false" outlineLevel="0" collapsed="false">
      <c r="A4516" s="0" t="str">
        <f aca="false">IF('הדבקת לידים'!A4516="","",IF(ISNUMBER('הדבקת לידים'!A4516),IF(הגדרות!$E$2&gt;0,TEXT('הדבקת לידים'!A4516,REPT("0",הגדרות!$E$2)),TEXT('הדבקת לידים'!A4516,"0")),TRIM('הדבקת לידים'!A4516)))</f>
        <v/>
      </c>
      <c r="B4516" s="0" t="str">
        <f aca="false">IF('הדבקת לידים'!B4516="","",IF(ISNUMBER('הדבקת לידים'!B4516),IF(הגדרות!$E$3&gt;0,TEXT('הדבקת לידים'!B4516,REPT("0",הגדרות!$E$3)),TEXT('הדבקת לידים'!B4516,"0")),TRIM('הדבקת לידים'!B4516)))</f>
        <v/>
      </c>
      <c r="C4516" s="0" t="n">
        <f aca="false">IF(OR(A4516&lt;&gt;"",B4516&lt;&gt;""),1,0)</f>
        <v>0</v>
      </c>
      <c r="D4516" s="0" t="str">
        <f aca="false">IF(C4516=1,MOD(ABS(SIN(ROW()*12.9898+'הדבקת לידים'!$F$2*78.233+IFERROR(--RIGHT(A4516,6),LEN(A4516))*0.0137+IFERROR(--RIGHT(B4516,6),LEN(B4516))*0.0071))*43758.5453,1),"")</f>
        <v/>
      </c>
      <c r="E4516" s="0" t="str">
        <f aca="false">IF(C4516=1,INT(MOD(ABS(SIN(D4516*7919.123+ROW()*0.618+'הדבקת לידים'!$F$2*1.3))*43758.5453,1)*1000000)*10000+ROW(),"")</f>
        <v/>
      </c>
      <c r="F4516" s="0" t="str">
        <f aca="false">IF(E4516="","",RANK(E4516,$E$2:$E$5001,1))</f>
        <v/>
      </c>
      <c r="G4516" s="0" t="n">
        <f aca="false">IF(A4516="",0,IF(SUMPRODUCT(--($A$2:$A$5001=A4516))&gt;1,1,0))</f>
        <v>0</v>
      </c>
      <c r="H4516" s="0" t="n">
        <f aca="false">ROW()-1</f>
        <v>4515</v>
      </c>
      <c r="I4516" s="0" t="str">
        <f aca="false">IF(OR(הגדרות!$E$6=0,H4516&gt;הגדרות!$E$5),"",IF(H4516-1&lt;הגדרות!$E$8*(הגדרות!$E$7+1),INT((H4516-1)/(הגדרות!$E$7+1)),הגדרות!$E$8+INT((H4516-1-הגדרות!$E$8*(הגדרות!$E$7+1))/הגדרות!$E$7)))</f>
        <v/>
      </c>
      <c r="J4516" s="0" t="str">
        <f aca="false">IF(I4516="","",IF(H4516-1&lt;הגדרות!$E$8*(הגדרות!$E$7+1),MOD(H4516-1,הגדרות!$E$7+1),MOD(H4516-1-הגדרות!$E$8*(הגדרות!$E$7+1),הגדרות!$E$7)))</f>
        <v/>
      </c>
      <c r="K4516" s="0" t="str">
        <f aca="false">IF(I4516="","",J4516*הגדרות!$E$6+I4516+1)</f>
        <v/>
      </c>
      <c r="L4516" s="0" t="str">
        <f aca="false">IF(K4516="","",MATCH(K4516,$F$2:$F$5001,0))</f>
        <v/>
      </c>
      <c r="M4516" s="0" t="str">
        <f aca="false">IF(I4516="","",INDEX(הגדרות!$A$2:$A$21,MOD(I4516+הגדרות!$E$9,הגדרות!$E$6)+1))</f>
        <v/>
      </c>
    </row>
    <row r="4517" customFormat="false" ht="15" hidden="false" customHeight="false" outlineLevel="0" collapsed="false">
      <c r="A4517" s="0" t="str">
        <f aca="false">IF('הדבקת לידים'!A4517="","",IF(ISNUMBER('הדבקת לידים'!A4517),IF(הגדרות!$E$2&gt;0,TEXT('הדבקת לידים'!A4517,REPT("0",הגדרות!$E$2)),TEXT('הדבקת לידים'!A4517,"0")),TRIM('הדבקת לידים'!A4517)))</f>
        <v/>
      </c>
      <c r="B4517" s="0" t="str">
        <f aca="false">IF('הדבקת לידים'!B4517="","",IF(ISNUMBER('הדבקת לידים'!B4517),IF(הגדרות!$E$3&gt;0,TEXT('הדבקת לידים'!B4517,REPT("0",הגדרות!$E$3)),TEXT('הדבקת לידים'!B4517,"0")),TRIM('הדבקת לידים'!B4517)))</f>
        <v/>
      </c>
      <c r="C4517" s="0" t="n">
        <f aca="false">IF(OR(A4517&lt;&gt;"",B4517&lt;&gt;""),1,0)</f>
        <v>0</v>
      </c>
      <c r="D4517" s="0" t="str">
        <f aca="false">IF(C4517=1,MOD(ABS(SIN(ROW()*12.9898+'הדבקת לידים'!$F$2*78.233+IFERROR(--RIGHT(A4517,6),LEN(A4517))*0.0137+IFERROR(--RIGHT(B4517,6),LEN(B4517))*0.0071))*43758.5453,1),"")</f>
        <v/>
      </c>
      <c r="E4517" s="0" t="str">
        <f aca="false">IF(C4517=1,INT(MOD(ABS(SIN(D4517*7919.123+ROW()*0.618+'הדבקת לידים'!$F$2*1.3))*43758.5453,1)*1000000)*10000+ROW(),"")</f>
        <v/>
      </c>
      <c r="F4517" s="0" t="str">
        <f aca="false">IF(E4517="","",RANK(E4517,$E$2:$E$5001,1))</f>
        <v/>
      </c>
      <c r="G4517" s="0" t="n">
        <f aca="false">IF(A4517="",0,IF(SUMPRODUCT(--($A$2:$A$5001=A4517))&gt;1,1,0))</f>
        <v>0</v>
      </c>
      <c r="H4517" s="0" t="n">
        <f aca="false">ROW()-1</f>
        <v>4516</v>
      </c>
      <c r="I4517" s="0" t="str">
        <f aca="false">IF(OR(הגדרות!$E$6=0,H4517&gt;הגדרות!$E$5),"",IF(H4517-1&lt;הגדרות!$E$8*(הגדרות!$E$7+1),INT((H4517-1)/(הגדרות!$E$7+1)),הגדרות!$E$8+INT((H4517-1-הגדרות!$E$8*(הגדרות!$E$7+1))/הגדרות!$E$7)))</f>
        <v/>
      </c>
      <c r="J4517" s="0" t="str">
        <f aca="false">IF(I4517="","",IF(H4517-1&lt;הגדרות!$E$8*(הגדרות!$E$7+1),MOD(H4517-1,הגדרות!$E$7+1),MOD(H4517-1-הגדרות!$E$8*(הגדרות!$E$7+1),הגדרות!$E$7)))</f>
        <v/>
      </c>
      <c r="K4517" s="0" t="str">
        <f aca="false">IF(I4517="","",J4517*הגדרות!$E$6+I4517+1)</f>
        <v/>
      </c>
      <c r="L4517" s="0" t="str">
        <f aca="false">IF(K4517="","",MATCH(K4517,$F$2:$F$5001,0))</f>
        <v/>
      </c>
      <c r="M4517" s="0" t="str">
        <f aca="false">IF(I4517="","",INDEX(הגדרות!$A$2:$A$21,MOD(I4517+הגדרות!$E$9,הגדרות!$E$6)+1))</f>
        <v/>
      </c>
    </row>
    <row r="4518" customFormat="false" ht="15" hidden="false" customHeight="false" outlineLevel="0" collapsed="false">
      <c r="A4518" s="0" t="str">
        <f aca="false">IF('הדבקת לידים'!A4518="","",IF(ISNUMBER('הדבקת לידים'!A4518),IF(הגדרות!$E$2&gt;0,TEXT('הדבקת לידים'!A4518,REPT("0",הגדרות!$E$2)),TEXT('הדבקת לידים'!A4518,"0")),TRIM('הדבקת לידים'!A4518)))</f>
        <v/>
      </c>
      <c r="B4518" s="0" t="str">
        <f aca="false">IF('הדבקת לידים'!B4518="","",IF(ISNUMBER('הדבקת לידים'!B4518),IF(הגדרות!$E$3&gt;0,TEXT('הדבקת לידים'!B4518,REPT("0",הגדרות!$E$3)),TEXT('הדבקת לידים'!B4518,"0")),TRIM('הדבקת לידים'!B4518)))</f>
        <v/>
      </c>
      <c r="C4518" s="0" t="n">
        <f aca="false">IF(OR(A4518&lt;&gt;"",B4518&lt;&gt;""),1,0)</f>
        <v>0</v>
      </c>
      <c r="D4518" s="0" t="str">
        <f aca="false">IF(C4518=1,MOD(ABS(SIN(ROW()*12.9898+'הדבקת לידים'!$F$2*78.233+IFERROR(--RIGHT(A4518,6),LEN(A4518))*0.0137+IFERROR(--RIGHT(B4518,6),LEN(B4518))*0.0071))*43758.5453,1),"")</f>
        <v/>
      </c>
      <c r="E4518" s="0" t="str">
        <f aca="false">IF(C4518=1,INT(MOD(ABS(SIN(D4518*7919.123+ROW()*0.618+'הדבקת לידים'!$F$2*1.3))*43758.5453,1)*1000000)*10000+ROW(),"")</f>
        <v/>
      </c>
      <c r="F4518" s="0" t="str">
        <f aca="false">IF(E4518="","",RANK(E4518,$E$2:$E$5001,1))</f>
        <v/>
      </c>
      <c r="G4518" s="0" t="n">
        <f aca="false">IF(A4518="",0,IF(SUMPRODUCT(--($A$2:$A$5001=A4518))&gt;1,1,0))</f>
        <v>0</v>
      </c>
      <c r="H4518" s="0" t="n">
        <f aca="false">ROW()-1</f>
        <v>4517</v>
      </c>
      <c r="I4518" s="0" t="str">
        <f aca="false">IF(OR(הגדרות!$E$6=0,H4518&gt;הגדרות!$E$5),"",IF(H4518-1&lt;הגדרות!$E$8*(הגדרות!$E$7+1),INT((H4518-1)/(הגדרות!$E$7+1)),הגדרות!$E$8+INT((H4518-1-הגדרות!$E$8*(הגדרות!$E$7+1))/הגדרות!$E$7)))</f>
        <v/>
      </c>
      <c r="J4518" s="0" t="str">
        <f aca="false">IF(I4518="","",IF(H4518-1&lt;הגדרות!$E$8*(הגדרות!$E$7+1),MOD(H4518-1,הגדרות!$E$7+1),MOD(H4518-1-הגדרות!$E$8*(הגדרות!$E$7+1),הגדרות!$E$7)))</f>
        <v/>
      </c>
      <c r="K4518" s="0" t="str">
        <f aca="false">IF(I4518="","",J4518*הגדרות!$E$6+I4518+1)</f>
        <v/>
      </c>
      <c r="L4518" s="0" t="str">
        <f aca="false">IF(K4518="","",MATCH(K4518,$F$2:$F$5001,0))</f>
        <v/>
      </c>
      <c r="M4518" s="0" t="str">
        <f aca="false">IF(I4518="","",INDEX(הגדרות!$A$2:$A$21,MOD(I4518+הגדרות!$E$9,הגדרות!$E$6)+1))</f>
        <v/>
      </c>
    </row>
    <row r="4519" customFormat="false" ht="15" hidden="false" customHeight="false" outlineLevel="0" collapsed="false">
      <c r="A4519" s="0" t="str">
        <f aca="false">IF('הדבקת לידים'!A4519="","",IF(ISNUMBER('הדבקת לידים'!A4519),IF(הגדרות!$E$2&gt;0,TEXT('הדבקת לידים'!A4519,REPT("0",הגדרות!$E$2)),TEXT('הדבקת לידים'!A4519,"0")),TRIM('הדבקת לידים'!A4519)))</f>
        <v/>
      </c>
      <c r="B4519" s="0" t="str">
        <f aca="false">IF('הדבקת לידים'!B4519="","",IF(ISNUMBER('הדבקת לידים'!B4519),IF(הגדרות!$E$3&gt;0,TEXT('הדבקת לידים'!B4519,REPT("0",הגדרות!$E$3)),TEXT('הדבקת לידים'!B4519,"0")),TRIM('הדבקת לידים'!B4519)))</f>
        <v/>
      </c>
      <c r="C4519" s="0" t="n">
        <f aca="false">IF(OR(A4519&lt;&gt;"",B4519&lt;&gt;""),1,0)</f>
        <v>0</v>
      </c>
      <c r="D4519" s="0" t="str">
        <f aca="false">IF(C4519=1,MOD(ABS(SIN(ROW()*12.9898+'הדבקת לידים'!$F$2*78.233+IFERROR(--RIGHT(A4519,6),LEN(A4519))*0.0137+IFERROR(--RIGHT(B4519,6),LEN(B4519))*0.0071))*43758.5453,1),"")</f>
        <v/>
      </c>
      <c r="E4519" s="0" t="str">
        <f aca="false">IF(C4519=1,INT(MOD(ABS(SIN(D4519*7919.123+ROW()*0.618+'הדבקת לידים'!$F$2*1.3))*43758.5453,1)*1000000)*10000+ROW(),"")</f>
        <v/>
      </c>
      <c r="F4519" s="0" t="str">
        <f aca="false">IF(E4519="","",RANK(E4519,$E$2:$E$5001,1))</f>
        <v/>
      </c>
      <c r="G4519" s="0" t="n">
        <f aca="false">IF(A4519="",0,IF(SUMPRODUCT(--($A$2:$A$5001=A4519))&gt;1,1,0))</f>
        <v>0</v>
      </c>
      <c r="H4519" s="0" t="n">
        <f aca="false">ROW()-1</f>
        <v>4518</v>
      </c>
      <c r="I4519" s="0" t="str">
        <f aca="false">IF(OR(הגדרות!$E$6=0,H4519&gt;הגדרות!$E$5),"",IF(H4519-1&lt;הגדרות!$E$8*(הגדרות!$E$7+1),INT((H4519-1)/(הגדרות!$E$7+1)),הגדרות!$E$8+INT((H4519-1-הגדרות!$E$8*(הגדרות!$E$7+1))/הגדרות!$E$7)))</f>
        <v/>
      </c>
      <c r="J4519" s="0" t="str">
        <f aca="false">IF(I4519="","",IF(H4519-1&lt;הגדרות!$E$8*(הגדרות!$E$7+1),MOD(H4519-1,הגדרות!$E$7+1),MOD(H4519-1-הגדרות!$E$8*(הגדרות!$E$7+1),הגדרות!$E$7)))</f>
        <v/>
      </c>
      <c r="K4519" s="0" t="str">
        <f aca="false">IF(I4519="","",J4519*הגדרות!$E$6+I4519+1)</f>
        <v/>
      </c>
      <c r="L4519" s="0" t="str">
        <f aca="false">IF(K4519="","",MATCH(K4519,$F$2:$F$5001,0))</f>
        <v/>
      </c>
      <c r="M4519" s="0" t="str">
        <f aca="false">IF(I4519="","",INDEX(הגדרות!$A$2:$A$21,MOD(I4519+הגדרות!$E$9,הגדרות!$E$6)+1))</f>
        <v/>
      </c>
    </row>
    <row r="4520" customFormat="false" ht="15" hidden="false" customHeight="false" outlineLevel="0" collapsed="false">
      <c r="A4520" s="0" t="str">
        <f aca="false">IF('הדבקת לידים'!A4520="","",IF(ISNUMBER('הדבקת לידים'!A4520),IF(הגדרות!$E$2&gt;0,TEXT('הדבקת לידים'!A4520,REPT("0",הגדרות!$E$2)),TEXT('הדבקת לידים'!A4520,"0")),TRIM('הדבקת לידים'!A4520)))</f>
        <v/>
      </c>
      <c r="B4520" s="0" t="str">
        <f aca="false">IF('הדבקת לידים'!B4520="","",IF(ISNUMBER('הדבקת לידים'!B4520),IF(הגדרות!$E$3&gt;0,TEXT('הדבקת לידים'!B4520,REPT("0",הגדרות!$E$3)),TEXT('הדבקת לידים'!B4520,"0")),TRIM('הדבקת לידים'!B4520)))</f>
        <v/>
      </c>
      <c r="C4520" s="0" t="n">
        <f aca="false">IF(OR(A4520&lt;&gt;"",B4520&lt;&gt;""),1,0)</f>
        <v>0</v>
      </c>
      <c r="D4520" s="0" t="str">
        <f aca="false">IF(C4520=1,MOD(ABS(SIN(ROW()*12.9898+'הדבקת לידים'!$F$2*78.233+IFERROR(--RIGHT(A4520,6),LEN(A4520))*0.0137+IFERROR(--RIGHT(B4520,6),LEN(B4520))*0.0071))*43758.5453,1),"")</f>
        <v/>
      </c>
      <c r="E4520" s="0" t="str">
        <f aca="false">IF(C4520=1,INT(MOD(ABS(SIN(D4520*7919.123+ROW()*0.618+'הדבקת לידים'!$F$2*1.3))*43758.5453,1)*1000000)*10000+ROW(),"")</f>
        <v/>
      </c>
      <c r="F4520" s="0" t="str">
        <f aca="false">IF(E4520="","",RANK(E4520,$E$2:$E$5001,1))</f>
        <v/>
      </c>
      <c r="G4520" s="0" t="n">
        <f aca="false">IF(A4520="",0,IF(SUMPRODUCT(--($A$2:$A$5001=A4520))&gt;1,1,0))</f>
        <v>0</v>
      </c>
      <c r="H4520" s="0" t="n">
        <f aca="false">ROW()-1</f>
        <v>4519</v>
      </c>
      <c r="I4520" s="0" t="str">
        <f aca="false">IF(OR(הגדרות!$E$6=0,H4520&gt;הגדרות!$E$5),"",IF(H4520-1&lt;הגדרות!$E$8*(הגדרות!$E$7+1),INT((H4520-1)/(הגדרות!$E$7+1)),הגדרות!$E$8+INT((H4520-1-הגדרות!$E$8*(הגדרות!$E$7+1))/הגדרות!$E$7)))</f>
        <v/>
      </c>
      <c r="J4520" s="0" t="str">
        <f aca="false">IF(I4520="","",IF(H4520-1&lt;הגדרות!$E$8*(הגדרות!$E$7+1),MOD(H4520-1,הגדרות!$E$7+1),MOD(H4520-1-הגדרות!$E$8*(הגדרות!$E$7+1),הגדרות!$E$7)))</f>
        <v/>
      </c>
      <c r="K4520" s="0" t="str">
        <f aca="false">IF(I4520="","",J4520*הגדרות!$E$6+I4520+1)</f>
        <v/>
      </c>
      <c r="L4520" s="0" t="str">
        <f aca="false">IF(K4520="","",MATCH(K4520,$F$2:$F$5001,0))</f>
        <v/>
      </c>
      <c r="M4520" s="0" t="str">
        <f aca="false">IF(I4520="","",INDEX(הגדרות!$A$2:$A$21,MOD(I4520+הגדרות!$E$9,הגדרות!$E$6)+1))</f>
        <v/>
      </c>
    </row>
    <row r="4521" customFormat="false" ht="15" hidden="false" customHeight="false" outlineLevel="0" collapsed="false">
      <c r="A4521" s="0" t="str">
        <f aca="false">IF('הדבקת לידים'!A4521="","",IF(ISNUMBER('הדבקת לידים'!A4521),IF(הגדרות!$E$2&gt;0,TEXT('הדבקת לידים'!A4521,REPT("0",הגדרות!$E$2)),TEXT('הדבקת לידים'!A4521,"0")),TRIM('הדבקת לידים'!A4521)))</f>
        <v/>
      </c>
      <c r="B4521" s="0" t="str">
        <f aca="false">IF('הדבקת לידים'!B4521="","",IF(ISNUMBER('הדבקת לידים'!B4521),IF(הגדרות!$E$3&gt;0,TEXT('הדבקת לידים'!B4521,REPT("0",הגדרות!$E$3)),TEXT('הדבקת לידים'!B4521,"0")),TRIM('הדבקת לידים'!B4521)))</f>
        <v/>
      </c>
      <c r="C4521" s="0" t="n">
        <f aca="false">IF(OR(A4521&lt;&gt;"",B4521&lt;&gt;""),1,0)</f>
        <v>0</v>
      </c>
      <c r="D4521" s="0" t="str">
        <f aca="false">IF(C4521=1,MOD(ABS(SIN(ROW()*12.9898+'הדבקת לידים'!$F$2*78.233+IFERROR(--RIGHT(A4521,6),LEN(A4521))*0.0137+IFERROR(--RIGHT(B4521,6),LEN(B4521))*0.0071))*43758.5453,1),"")</f>
        <v/>
      </c>
      <c r="E4521" s="0" t="str">
        <f aca="false">IF(C4521=1,INT(MOD(ABS(SIN(D4521*7919.123+ROW()*0.618+'הדבקת לידים'!$F$2*1.3))*43758.5453,1)*1000000)*10000+ROW(),"")</f>
        <v/>
      </c>
      <c r="F4521" s="0" t="str">
        <f aca="false">IF(E4521="","",RANK(E4521,$E$2:$E$5001,1))</f>
        <v/>
      </c>
      <c r="G4521" s="0" t="n">
        <f aca="false">IF(A4521="",0,IF(SUMPRODUCT(--($A$2:$A$5001=A4521))&gt;1,1,0))</f>
        <v>0</v>
      </c>
      <c r="H4521" s="0" t="n">
        <f aca="false">ROW()-1</f>
        <v>4520</v>
      </c>
      <c r="I4521" s="0" t="str">
        <f aca="false">IF(OR(הגדרות!$E$6=0,H4521&gt;הגדרות!$E$5),"",IF(H4521-1&lt;הגדרות!$E$8*(הגדרות!$E$7+1),INT((H4521-1)/(הגדרות!$E$7+1)),הגדרות!$E$8+INT((H4521-1-הגדרות!$E$8*(הגדרות!$E$7+1))/הגדרות!$E$7)))</f>
        <v/>
      </c>
      <c r="J4521" s="0" t="str">
        <f aca="false">IF(I4521="","",IF(H4521-1&lt;הגדרות!$E$8*(הגדרות!$E$7+1),MOD(H4521-1,הגדרות!$E$7+1),MOD(H4521-1-הגדרות!$E$8*(הגדרות!$E$7+1),הגדרות!$E$7)))</f>
        <v/>
      </c>
      <c r="K4521" s="0" t="str">
        <f aca="false">IF(I4521="","",J4521*הגדרות!$E$6+I4521+1)</f>
        <v/>
      </c>
      <c r="L4521" s="0" t="str">
        <f aca="false">IF(K4521="","",MATCH(K4521,$F$2:$F$5001,0))</f>
        <v/>
      </c>
      <c r="M4521" s="0" t="str">
        <f aca="false">IF(I4521="","",INDEX(הגדרות!$A$2:$A$21,MOD(I4521+הגדרות!$E$9,הגדרות!$E$6)+1))</f>
        <v/>
      </c>
    </row>
    <row r="4522" customFormat="false" ht="15" hidden="false" customHeight="false" outlineLevel="0" collapsed="false">
      <c r="A4522" s="0" t="str">
        <f aca="false">IF('הדבקת לידים'!A4522="","",IF(ISNUMBER('הדבקת לידים'!A4522),IF(הגדרות!$E$2&gt;0,TEXT('הדבקת לידים'!A4522,REPT("0",הגדרות!$E$2)),TEXT('הדבקת לידים'!A4522,"0")),TRIM('הדבקת לידים'!A4522)))</f>
        <v/>
      </c>
      <c r="B4522" s="0" t="str">
        <f aca="false">IF('הדבקת לידים'!B4522="","",IF(ISNUMBER('הדבקת לידים'!B4522),IF(הגדרות!$E$3&gt;0,TEXT('הדבקת לידים'!B4522,REPT("0",הגדרות!$E$3)),TEXT('הדבקת לידים'!B4522,"0")),TRIM('הדבקת לידים'!B4522)))</f>
        <v/>
      </c>
      <c r="C4522" s="0" t="n">
        <f aca="false">IF(OR(A4522&lt;&gt;"",B4522&lt;&gt;""),1,0)</f>
        <v>0</v>
      </c>
      <c r="D4522" s="0" t="str">
        <f aca="false">IF(C4522=1,MOD(ABS(SIN(ROW()*12.9898+'הדבקת לידים'!$F$2*78.233+IFERROR(--RIGHT(A4522,6),LEN(A4522))*0.0137+IFERROR(--RIGHT(B4522,6),LEN(B4522))*0.0071))*43758.5453,1),"")</f>
        <v/>
      </c>
      <c r="E4522" s="0" t="str">
        <f aca="false">IF(C4522=1,INT(MOD(ABS(SIN(D4522*7919.123+ROW()*0.618+'הדבקת לידים'!$F$2*1.3))*43758.5453,1)*1000000)*10000+ROW(),"")</f>
        <v/>
      </c>
      <c r="F4522" s="0" t="str">
        <f aca="false">IF(E4522="","",RANK(E4522,$E$2:$E$5001,1))</f>
        <v/>
      </c>
      <c r="G4522" s="0" t="n">
        <f aca="false">IF(A4522="",0,IF(SUMPRODUCT(--($A$2:$A$5001=A4522))&gt;1,1,0))</f>
        <v>0</v>
      </c>
      <c r="H4522" s="0" t="n">
        <f aca="false">ROW()-1</f>
        <v>4521</v>
      </c>
      <c r="I4522" s="0" t="str">
        <f aca="false">IF(OR(הגדרות!$E$6=0,H4522&gt;הגדרות!$E$5),"",IF(H4522-1&lt;הגדרות!$E$8*(הגדרות!$E$7+1),INT((H4522-1)/(הגדרות!$E$7+1)),הגדרות!$E$8+INT((H4522-1-הגדרות!$E$8*(הגדרות!$E$7+1))/הגדרות!$E$7)))</f>
        <v/>
      </c>
      <c r="J4522" s="0" t="str">
        <f aca="false">IF(I4522="","",IF(H4522-1&lt;הגדרות!$E$8*(הגדרות!$E$7+1),MOD(H4522-1,הגדרות!$E$7+1),MOD(H4522-1-הגדרות!$E$8*(הגדרות!$E$7+1),הגדרות!$E$7)))</f>
        <v/>
      </c>
      <c r="K4522" s="0" t="str">
        <f aca="false">IF(I4522="","",J4522*הגדרות!$E$6+I4522+1)</f>
        <v/>
      </c>
      <c r="L4522" s="0" t="str">
        <f aca="false">IF(K4522="","",MATCH(K4522,$F$2:$F$5001,0))</f>
        <v/>
      </c>
      <c r="M4522" s="0" t="str">
        <f aca="false">IF(I4522="","",INDEX(הגדרות!$A$2:$A$21,MOD(I4522+הגדרות!$E$9,הגדרות!$E$6)+1))</f>
        <v/>
      </c>
    </row>
    <row r="4523" customFormat="false" ht="15" hidden="false" customHeight="false" outlineLevel="0" collapsed="false">
      <c r="A4523" s="0" t="str">
        <f aca="false">IF('הדבקת לידים'!A4523="","",IF(ISNUMBER('הדבקת לידים'!A4523),IF(הגדרות!$E$2&gt;0,TEXT('הדבקת לידים'!A4523,REPT("0",הגדרות!$E$2)),TEXT('הדבקת לידים'!A4523,"0")),TRIM('הדבקת לידים'!A4523)))</f>
        <v/>
      </c>
      <c r="B4523" s="0" t="str">
        <f aca="false">IF('הדבקת לידים'!B4523="","",IF(ISNUMBER('הדבקת לידים'!B4523),IF(הגדרות!$E$3&gt;0,TEXT('הדבקת לידים'!B4523,REPT("0",הגדרות!$E$3)),TEXT('הדבקת לידים'!B4523,"0")),TRIM('הדבקת לידים'!B4523)))</f>
        <v/>
      </c>
      <c r="C4523" s="0" t="n">
        <f aca="false">IF(OR(A4523&lt;&gt;"",B4523&lt;&gt;""),1,0)</f>
        <v>0</v>
      </c>
      <c r="D4523" s="0" t="str">
        <f aca="false">IF(C4523=1,MOD(ABS(SIN(ROW()*12.9898+'הדבקת לידים'!$F$2*78.233+IFERROR(--RIGHT(A4523,6),LEN(A4523))*0.0137+IFERROR(--RIGHT(B4523,6),LEN(B4523))*0.0071))*43758.5453,1),"")</f>
        <v/>
      </c>
      <c r="E4523" s="0" t="str">
        <f aca="false">IF(C4523=1,INT(MOD(ABS(SIN(D4523*7919.123+ROW()*0.618+'הדבקת לידים'!$F$2*1.3))*43758.5453,1)*1000000)*10000+ROW(),"")</f>
        <v/>
      </c>
      <c r="F4523" s="0" t="str">
        <f aca="false">IF(E4523="","",RANK(E4523,$E$2:$E$5001,1))</f>
        <v/>
      </c>
      <c r="G4523" s="0" t="n">
        <f aca="false">IF(A4523="",0,IF(SUMPRODUCT(--($A$2:$A$5001=A4523))&gt;1,1,0))</f>
        <v>0</v>
      </c>
      <c r="H4523" s="0" t="n">
        <f aca="false">ROW()-1</f>
        <v>4522</v>
      </c>
      <c r="I4523" s="0" t="str">
        <f aca="false">IF(OR(הגדרות!$E$6=0,H4523&gt;הגדרות!$E$5),"",IF(H4523-1&lt;הגדרות!$E$8*(הגדרות!$E$7+1),INT((H4523-1)/(הגדרות!$E$7+1)),הגדרות!$E$8+INT((H4523-1-הגדרות!$E$8*(הגדרות!$E$7+1))/הגדרות!$E$7)))</f>
        <v/>
      </c>
      <c r="J4523" s="0" t="str">
        <f aca="false">IF(I4523="","",IF(H4523-1&lt;הגדרות!$E$8*(הגדרות!$E$7+1),MOD(H4523-1,הגדרות!$E$7+1),MOD(H4523-1-הגדרות!$E$8*(הגדרות!$E$7+1),הגדרות!$E$7)))</f>
        <v/>
      </c>
      <c r="K4523" s="0" t="str">
        <f aca="false">IF(I4523="","",J4523*הגדרות!$E$6+I4523+1)</f>
        <v/>
      </c>
      <c r="L4523" s="0" t="str">
        <f aca="false">IF(K4523="","",MATCH(K4523,$F$2:$F$5001,0))</f>
        <v/>
      </c>
      <c r="M4523" s="0" t="str">
        <f aca="false">IF(I4523="","",INDEX(הגדרות!$A$2:$A$21,MOD(I4523+הגדרות!$E$9,הגדרות!$E$6)+1))</f>
        <v/>
      </c>
    </row>
    <row r="4524" customFormat="false" ht="15" hidden="false" customHeight="false" outlineLevel="0" collapsed="false">
      <c r="A4524" s="0" t="str">
        <f aca="false">IF('הדבקת לידים'!A4524="","",IF(ISNUMBER('הדבקת לידים'!A4524),IF(הגדרות!$E$2&gt;0,TEXT('הדבקת לידים'!A4524,REPT("0",הגדרות!$E$2)),TEXT('הדבקת לידים'!A4524,"0")),TRIM('הדבקת לידים'!A4524)))</f>
        <v/>
      </c>
      <c r="B4524" s="0" t="str">
        <f aca="false">IF('הדבקת לידים'!B4524="","",IF(ISNUMBER('הדבקת לידים'!B4524),IF(הגדרות!$E$3&gt;0,TEXT('הדבקת לידים'!B4524,REPT("0",הגדרות!$E$3)),TEXT('הדבקת לידים'!B4524,"0")),TRIM('הדבקת לידים'!B4524)))</f>
        <v/>
      </c>
      <c r="C4524" s="0" t="n">
        <f aca="false">IF(OR(A4524&lt;&gt;"",B4524&lt;&gt;""),1,0)</f>
        <v>0</v>
      </c>
      <c r="D4524" s="0" t="str">
        <f aca="false">IF(C4524=1,MOD(ABS(SIN(ROW()*12.9898+'הדבקת לידים'!$F$2*78.233+IFERROR(--RIGHT(A4524,6),LEN(A4524))*0.0137+IFERROR(--RIGHT(B4524,6),LEN(B4524))*0.0071))*43758.5453,1),"")</f>
        <v/>
      </c>
      <c r="E4524" s="0" t="str">
        <f aca="false">IF(C4524=1,INT(MOD(ABS(SIN(D4524*7919.123+ROW()*0.618+'הדבקת לידים'!$F$2*1.3))*43758.5453,1)*1000000)*10000+ROW(),"")</f>
        <v/>
      </c>
      <c r="F4524" s="0" t="str">
        <f aca="false">IF(E4524="","",RANK(E4524,$E$2:$E$5001,1))</f>
        <v/>
      </c>
      <c r="G4524" s="0" t="n">
        <f aca="false">IF(A4524="",0,IF(SUMPRODUCT(--($A$2:$A$5001=A4524))&gt;1,1,0))</f>
        <v>0</v>
      </c>
      <c r="H4524" s="0" t="n">
        <f aca="false">ROW()-1</f>
        <v>4523</v>
      </c>
      <c r="I4524" s="0" t="str">
        <f aca="false">IF(OR(הגדרות!$E$6=0,H4524&gt;הגדרות!$E$5),"",IF(H4524-1&lt;הגדרות!$E$8*(הגדרות!$E$7+1),INT((H4524-1)/(הגדרות!$E$7+1)),הגדרות!$E$8+INT((H4524-1-הגדרות!$E$8*(הגדרות!$E$7+1))/הגדרות!$E$7)))</f>
        <v/>
      </c>
      <c r="J4524" s="0" t="str">
        <f aca="false">IF(I4524="","",IF(H4524-1&lt;הגדרות!$E$8*(הגדרות!$E$7+1),MOD(H4524-1,הגדרות!$E$7+1),MOD(H4524-1-הגדרות!$E$8*(הגדרות!$E$7+1),הגדרות!$E$7)))</f>
        <v/>
      </c>
      <c r="K4524" s="0" t="str">
        <f aca="false">IF(I4524="","",J4524*הגדרות!$E$6+I4524+1)</f>
        <v/>
      </c>
      <c r="L4524" s="0" t="str">
        <f aca="false">IF(K4524="","",MATCH(K4524,$F$2:$F$5001,0))</f>
        <v/>
      </c>
      <c r="M4524" s="0" t="str">
        <f aca="false">IF(I4524="","",INDEX(הגדרות!$A$2:$A$21,MOD(I4524+הגדרות!$E$9,הגדרות!$E$6)+1))</f>
        <v/>
      </c>
    </row>
    <row r="4525" customFormat="false" ht="15" hidden="false" customHeight="false" outlineLevel="0" collapsed="false">
      <c r="A4525" s="0" t="str">
        <f aca="false">IF('הדבקת לידים'!A4525="","",IF(ISNUMBER('הדבקת לידים'!A4525),IF(הגדרות!$E$2&gt;0,TEXT('הדבקת לידים'!A4525,REPT("0",הגדרות!$E$2)),TEXT('הדבקת לידים'!A4525,"0")),TRIM('הדבקת לידים'!A4525)))</f>
        <v/>
      </c>
      <c r="B4525" s="0" t="str">
        <f aca="false">IF('הדבקת לידים'!B4525="","",IF(ISNUMBER('הדבקת לידים'!B4525),IF(הגדרות!$E$3&gt;0,TEXT('הדבקת לידים'!B4525,REPT("0",הגדרות!$E$3)),TEXT('הדבקת לידים'!B4525,"0")),TRIM('הדבקת לידים'!B4525)))</f>
        <v/>
      </c>
      <c r="C4525" s="0" t="n">
        <f aca="false">IF(OR(A4525&lt;&gt;"",B4525&lt;&gt;""),1,0)</f>
        <v>0</v>
      </c>
      <c r="D4525" s="0" t="str">
        <f aca="false">IF(C4525=1,MOD(ABS(SIN(ROW()*12.9898+'הדבקת לידים'!$F$2*78.233+IFERROR(--RIGHT(A4525,6),LEN(A4525))*0.0137+IFERROR(--RIGHT(B4525,6),LEN(B4525))*0.0071))*43758.5453,1),"")</f>
        <v/>
      </c>
      <c r="E4525" s="0" t="str">
        <f aca="false">IF(C4525=1,INT(MOD(ABS(SIN(D4525*7919.123+ROW()*0.618+'הדבקת לידים'!$F$2*1.3))*43758.5453,1)*1000000)*10000+ROW(),"")</f>
        <v/>
      </c>
      <c r="F4525" s="0" t="str">
        <f aca="false">IF(E4525="","",RANK(E4525,$E$2:$E$5001,1))</f>
        <v/>
      </c>
      <c r="G4525" s="0" t="n">
        <f aca="false">IF(A4525="",0,IF(SUMPRODUCT(--($A$2:$A$5001=A4525))&gt;1,1,0))</f>
        <v>0</v>
      </c>
      <c r="H4525" s="0" t="n">
        <f aca="false">ROW()-1</f>
        <v>4524</v>
      </c>
      <c r="I4525" s="0" t="str">
        <f aca="false">IF(OR(הגדרות!$E$6=0,H4525&gt;הגדרות!$E$5),"",IF(H4525-1&lt;הגדרות!$E$8*(הגדרות!$E$7+1),INT((H4525-1)/(הגדרות!$E$7+1)),הגדרות!$E$8+INT((H4525-1-הגדרות!$E$8*(הגדרות!$E$7+1))/הגדרות!$E$7)))</f>
        <v/>
      </c>
      <c r="J4525" s="0" t="str">
        <f aca="false">IF(I4525="","",IF(H4525-1&lt;הגדרות!$E$8*(הגדרות!$E$7+1),MOD(H4525-1,הגדרות!$E$7+1),MOD(H4525-1-הגדרות!$E$8*(הגדרות!$E$7+1),הגדרות!$E$7)))</f>
        <v/>
      </c>
      <c r="K4525" s="0" t="str">
        <f aca="false">IF(I4525="","",J4525*הגדרות!$E$6+I4525+1)</f>
        <v/>
      </c>
      <c r="L4525" s="0" t="str">
        <f aca="false">IF(K4525="","",MATCH(K4525,$F$2:$F$5001,0))</f>
        <v/>
      </c>
      <c r="M4525" s="0" t="str">
        <f aca="false">IF(I4525="","",INDEX(הגדרות!$A$2:$A$21,MOD(I4525+הגדרות!$E$9,הגדרות!$E$6)+1))</f>
        <v/>
      </c>
    </row>
    <row r="4526" customFormat="false" ht="15" hidden="false" customHeight="false" outlineLevel="0" collapsed="false">
      <c r="A4526" s="0" t="str">
        <f aca="false">IF('הדבקת לידים'!A4526="","",IF(ISNUMBER('הדבקת לידים'!A4526),IF(הגדרות!$E$2&gt;0,TEXT('הדבקת לידים'!A4526,REPT("0",הגדרות!$E$2)),TEXT('הדבקת לידים'!A4526,"0")),TRIM('הדבקת לידים'!A4526)))</f>
        <v/>
      </c>
      <c r="B4526" s="0" t="str">
        <f aca="false">IF('הדבקת לידים'!B4526="","",IF(ISNUMBER('הדבקת לידים'!B4526),IF(הגדרות!$E$3&gt;0,TEXT('הדבקת לידים'!B4526,REPT("0",הגדרות!$E$3)),TEXT('הדבקת לידים'!B4526,"0")),TRIM('הדבקת לידים'!B4526)))</f>
        <v/>
      </c>
      <c r="C4526" s="0" t="n">
        <f aca="false">IF(OR(A4526&lt;&gt;"",B4526&lt;&gt;""),1,0)</f>
        <v>0</v>
      </c>
      <c r="D4526" s="0" t="str">
        <f aca="false">IF(C4526=1,MOD(ABS(SIN(ROW()*12.9898+'הדבקת לידים'!$F$2*78.233+IFERROR(--RIGHT(A4526,6),LEN(A4526))*0.0137+IFERROR(--RIGHT(B4526,6),LEN(B4526))*0.0071))*43758.5453,1),"")</f>
        <v/>
      </c>
      <c r="E4526" s="0" t="str">
        <f aca="false">IF(C4526=1,INT(MOD(ABS(SIN(D4526*7919.123+ROW()*0.618+'הדבקת לידים'!$F$2*1.3))*43758.5453,1)*1000000)*10000+ROW(),"")</f>
        <v/>
      </c>
      <c r="F4526" s="0" t="str">
        <f aca="false">IF(E4526="","",RANK(E4526,$E$2:$E$5001,1))</f>
        <v/>
      </c>
      <c r="G4526" s="0" t="n">
        <f aca="false">IF(A4526="",0,IF(SUMPRODUCT(--($A$2:$A$5001=A4526))&gt;1,1,0))</f>
        <v>0</v>
      </c>
      <c r="H4526" s="0" t="n">
        <f aca="false">ROW()-1</f>
        <v>4525</v>
      </c>
      <c r="I4526" s="0" t="str">
        <f aca="false">IF(OR(הגדרות!$E$6=0,H4526&gt;הגדרות!$E$5),"",IF(H4526-1&lt;הגדרות!$E$8*(הגדרות!$E$7+1),INT((H4526-1)/(הגדרות!$E$7+1)),הגדרות!$E$8+INT((H4526-1-הגדרות!$E$8*(הגדרות!$E$7+1))/הגדרות!$E$7)))</f>
        <v/>
      </c>
      <c r="J4526" s="0" t="str">
        <f aca="false">IF(I4526="","",IF(H4526-1&lt;הגדרות!$E$8*(הגדרות!$E$7+1),MOD(H4526-1,הגדרות!$E$7+1),MOD(H4526-1-הגדרות!$E$8*(הגדרות!$E$7+1),הגדרות!$E$7)))</f>
        <v/>
      </c>
      <c r="K4526" s="0" t="str">
        <f aca="false">IF(I4526="","",J4526*הגדרות!$E$6+I4526+1)</f>
        <v/>
      </c>
      <c r="L4526" s="0" t="str">
        <f aca="false">IF(K4526="","",MATCH(K4526,$F$2:$F$5001,0))</f>
        <v/>
      </c>
      <c r="M4526" s="0" t="str">
        <f aca="false">IF(I4526="","",INDEX(הגדרות!$A$2:$A$21,MOD(I4526+הגדרות!$E$9,הגדרות!$E$6)+1))</f>
        <v/>
      </c>
    </row>
    <row r="4527" customFormat="false" ht="15" hidden="false" customHeight="false" outlineLevel="0" collapsed="false">
      <c r="A4527" s="0" t="str">
        <f aca="false">IF('הדבקת לידים'!A4527="","",IF(ISNUMBER('הדבקת לידים'!A4527),IF(הגדרות!$E$2&gt;0,TEXT('הדבקת לידים'!A4527,REPT("0",הגדרות!$E$2)),TEXT('הדבקת לידים'!A4527,"0")),TRIM('הדבקת לידים'!A4527)))</f>
        <v/>
      </c>
      <c r="B4527" s="0" t="str">
        <f aca="false">IF('הדבקת לידים'!B4527="","",IF(ISNUMBER('הדבקת לידים'!B4527),IF(הגדרות!$E$3&gt;0,TEXT('הדבקת לידים'!B4527,REPT("0",הגדרות!$E$3)),TEXT('הדבקת לידים'!B4527,"0")),TRIM('הדבקת לידים'!B4527)))</f>
        <v/>
      </c>
      <c r="C4527" s="0" t="n">
        <f aca="false">IF(OR(A4527&lt;&gt;"",B4527&lt;&gt;""),1,0)</f>
        <v>0</v>
      </c>
      <c r="D4527" s="0" t="str">
        <f aca="false">IF(C4527=1,MOD(ABS(SIN(ROW()*12.9898+'הדבקת לידים'!$F$2*78.233+IFERROR(--RIGHT(A4527,6),LEN(A4527))*0.0137+IFERROR(--RIGHT(B4527,6),LEN(B4527))*0.0071))*43758.5453,1),"")</f>
        <v/>
      </c>
      <c r="E4527" s="0" t="str">
        <f aca="false">IF(C4527=1,INT(MOD(ABS(SIN(D4527*7919.123+ROW()*0.618+'הדבקת לידים'!$F$2*1.3))*43758.5453,1)*1000000)*10000+ROW(),"")</f>
        <v/>
      </c>
      <c r="F4527" s="0" t="str">
        <f aca="false">IF(E4527="","",RANK(E4527,$E$2:$E$5001,1))</f>
        <v/>
      </c>
      <c r="G4527" s="0" t="n">
        <f aca="false">IF(A4527="",0,IF(SUMPRODUCT(--($A$2:$A$5001=A4527))&gt;1,1,0))</f>
        <v>0</v>
      </c>
      <c r="H4527" s="0" t="n">
        <f aca="false">ROW()-1</f>
        <v>4526</v>
      </c>
      <c r="I4527" s="0" t="str">
        <f aca="false">IF(OR(הגדרות!$E$6=0,H4527&gt;הגדרות!$E$5),"",IF(H4527-1&lt;הגדרות!$E$8*(הגדרות!$E$7+1),INT((H4527-1)/(הגדרות!$E$7+1)),הגדרות!$E$8+INT((H4527-1-הגדרות!$E$8*(הגדרות!$E$7+1))/הגדרות!$E$7)))</f>
        <v/>
      </c>
      <c r="J4527" s="0" t="str">
        <f aca="false">IF(I4527="","",IF(H4527-1&lt;הגדרות!$E$8*(הגדרות!$E$7+1),MOD(H4527-1,הגדרות!$E$7+1),MOD(H4527-1-הגדרות!$E$8*(הגדרות!$E$7+1),הגדרות!$E$7)))</f>
        <v/>
      </c>
      <c r="K4527" s="0" t="str">
        <f aca="false">IF(I4527="","",J4527*הגדרות!$E$6+I4527+1)</f>
        <v/>
      </c>
      <c r="L4527" s="0" t="str">
        <f aca="false">IF(K4527="","",MATCH(K4527,$F$2:$F$5001,0))</f>
        <v/>
      </c>
      <c r="M4527" s="0" t="str">
        <f aca="false">IF(I4527="","",INDEX(הגדרות!$A$2:$A$21,MOD(I4527+הגדרות!$E$9,הגדרות!$E$6)+1))</f>
        <v/>
      </c>
    </row>
    <row r="4528" customFormat="false" ht="15" hidden="false" customHeight="false" outlineLevel="0" collapsed="false">
      <c r="A4528" s="0" t="str">
        <f aca="false">IF('הדבקת לידים'!A4528="","",IF(ISNUMBER('הדבקת לידים'!A4528),IF(הגדרות!$E$2&gt;0,TEXT('הדבקת לידים'!A4528,REPT("0",הגדרות!$E$2)),TEXT('הדבקת לידים'!A4528,"0")),TRIM('הדבקת לידים'!A4528)))</f>
        <v/>
      </c>
      <c r="B4528" s="0" t="str">
        <f aca="false">IF('הדבקת לידים'!B4528="","",IF(ISNUMBER('הדבקת לידים'!B4528),IF(הגדרות!$E$3&gt;0,TEXT('הדבקת לידים'!B4528,REPT("0",הגדרות!$E$3)),TEXT('הדבקת לידים'!B4528,"0")),TRIM('הדבקת לידים'!B4528)))</f>
        <v/>
      </c>
      <c r="C4528" s="0" t="n">
        <f aca="false">IF(OR(A4528&lt;&gt;"",B4528&lt;&gt;""),1,0)</f>
        <v>0</v>
      </c>
      <c r="D4528" s="0" t="str">
        <f aca="false">IF(C4528=1,MOD(ABS(SIN(ROW()*12.9898+'הדבקת לידים'!$F$2*78.233+IFERROR(--RIGHT(A4528,6),LEN(A4528))*0.0137+IFERROR(--RIGHT(B4528,6),LEN(B4528))*0.0071))*43758.5453,1),"")</f>
        <v/>
      </c>
      <c r="E4528" s="0" t="str">
        <f aca="false">IF(C4528=1,INT(MOD(ABS(SIN(D4528*7919.123+ROW()*0.618+'הדבקת לידים'!$F$2*1.3))*43758.5453,1)*1000000)*10000+ROW(),"")</f>
        <v/>
      </c>
      <c r="F4528" s="0" t="str">
        <f aca="false">IF(E4528="","",RANK(E4528,$E$2:$E$5001,1))</f>
        <v/>
      </c>
      <c r="G4528" s="0" t="n">
        <f aca="false">IF(A4528="",0,IF(SUMPRODUCT(--($A$2:$A$5001=A4528))&gt;1,1,0))</f>
        <v>0</v>
      </c>
      <c r="H4528" s="0" t="n">
        <f aca="false">ROW()-1</f>
        <v>4527</v>
      </c>
      <c r="I4528" s="0" t="str">
        <f aca="false">IF(OR(הגדרות!$E$6=0,H4528&gt;הגדרות!$E$5),"",IF(H4528-1&lt;הגדרות!$E$8*(הגדרות!$E$7+1),INT((H4528-1)/(הגדרות!$E$7+1)),הגדרות!$E$8+INT((H4528-1-הגדרות!$E$8*(הגדרות!$E$7+1))/הגדרות!$E$7)))</f>
        <v/>
      </c>
      <c r="J4528" s="0" t="str">
        <f aca="false">IF(I4528="","",IF(H4528-1&lt;הגדרות!$E$8*(הגדרות!$E$7+1),MOD(H4528-1,הגדרות!$E$7+1),MOD(H4528-1-הגדרות!$E$8*(הגדרות!$E$7+1),הגדרות!$E$7)))</f>
        <v/>
      </c>
      <c r="K4528" s="0" t="str">
        <f aca="false">IF(I4528="","",J4528*הגדרות!$E$6+I4528+1)</f>
        <v/>
      </c>
      <c r="L4528" s="0" t="str">
        <f aca="false">IF(K4528="","",MATCH(K4528,$F$2:$F$5001,0))</f>
        <v/>
      </c>
      <c r="M4528" s="0" t="str">
        <f aca="false">IF(I4528="","",INDEX(הגדרות!$A$2:$A$21,MOD(I4528+הגדרות!$E$9,הגדרות!$E$6)+1))</f>
        <v/>
      </c>
    </row>
    <row r="4529" customFormat="false" ht="15" hidden="false" customHeight="false" outlineLevel="0" collapsed="false">
      <c r="A4529" s="0" t="str">
        <f aca="false">IF('הדבקת לידים'!A4529="","",IF(ISNUMBER('הדבקת לידים'!A4529),IF(הגדרות!$E$2&gt;0,TEXT('הדבקת לידים'!A4529,REPT("0",הגדרות!$E$2)),TEXT('הדבקת לידים'!A4529,"0")),TRIM('הדבקת לידים'!A4529)))</f>
        <v/>
      </c>
      <c r="B4529" s="0" t="str">
        <f aca="false">IF('הדבקת לידים'!B4529="","",IF(ISNUMBER('הדבקת לידים'!B4529),IF(הגדרות!$E$3&gt;0,TEXT('הדבקת לידים'!B4529,REPT("0",הגדרות!$E$3)),TEXT('הדבקת לידים'!B4529,"0")),TRIM('הדבקת לידים'!B4529)))</f>
        <v/>
      </c>
      <c r="C4529" s="0" t="n">
        <f aca="false">IF(OR(A4529&lt;&gt;"",B4529&lt;&gt;""),1,0)</f>
        <v>0</v>
      </c>
      <c r="D4529" s="0" t="str">
        <f aca="false">IF(C4529=1,MOD(ABS(SIN(ROW()*12.9898+'הדבקת לידים'!$F$2*78.233+IFERROR(--RIGHT(A4529,6),LEN(A4529))*0.0137+IFERROR(--RIGHT(B4529,6),LEN(B4529))*0.0071))*43758.5453,1),"")</f>
        <v/>
      </c>
      <c r="E4529" s="0" t="str">
        <f aca="false">IF(C4529=1,INT(MOD(ABS(SIN(D4529*7919.123+ROW()*0.618+'הדבקת לידים'!$F$2*1.3))*43758.5453,1)*1000000)*10000+ROW(),"")</f>
        <v/>
      </c>
      <c r="F4529" s="0" t="str">
        <f aca="false">IF(E4529="","",RANK(E4529,$E$2:$E$5001,1))</f>
        <v/>
      </c>
      <c r="G4529" s="0" t="n">
        <f aca="false">IF(A4529="",0,IF(SUMPRODUCT(--($A$2:$A$5001=A4529))&gt;1,1,0))</f>
        <v>0</v>
      </c>
      <c r="H4529" s="0" t="n">
        <f aca="false">ROW()-1</f>
        <v>4528</v>
      </c>
      <c r="I4529" s="0" t="str">
        <f aca="false">IF(OR(הגדרות!$E$6=0,H4529&gt;הגדרות!$E$5),"",IF(H4529-1&lt;הגדרות!$E$8*(הגדרות!$E$7+1),INT((H4529-1)/(הגדרות!$E$7+1)),הגדרות!$E$8+INT((H4529-1-הגדרות!$E$8*(הגדרות!$E$7+1))/הגדרות!$E$7)))</f>
        <v/>
      </c>
      <c r="J4529" s="0" t="str">
        <f aca="false">IF(I4529="","",IF(H4529-1&lt;הגדרות!$E$8*(הגדרות!$E$7+1),MOD(H4529-1,הגדרות!$E$7+1),MOD(H4529-1-הגדרות!$E$8*(הגדרות!$E$7+1),הגדרות!$E$7)))</f>
        <v/>
      </c>
      <c r="K4529" s="0" t="str">
        <f aca="false">IF(I4529="","",J4529*הגדרות!$E$6+I4529+1)</f>
        <v/>
      </c>
      <c r="L4529" s="0" t="str">
        <f aca="false">IF(K4529="","",MATCH(K4529,$F$2:$F$5001,0))</f>
        <v/>
      </c>
      <c r="M4529" s="0" t="str">
        <f aca="false">IF(I4529="","",INDEX(הגדרות!$A$2:$A$21,MOD(I4529+הגדרות!$E$9,הגדרות!$E$6)+1))</f>
        <v/>
      </c>
    </row>
    <row r="4530" customFormat="false" ht="15" hidden="false" customHeight="false" outlineLevel="0" collapsed="false">
      <c r="A4530" s="0" t="str">
        <f aca="false">IF('הדבקת לידים'!A4530="","",IF(ISNUMBER('הדבקת לידים'!A4530),IF(הגדרות!$E$2&gt;0,TEXT('הדבקת לידים'!A4530,REPT("0",הגדרות!$E$2)),TEXT('הדבקת לידים'!A4530,"0")),TRIM('הדבקת לידים'!A4530)))</f>
        <v/>
      </c>
      <c r="B4530" s="0" t="str">
        <f aca="false">IF('הדבקת לידים'!B4530="","",IF(ISNUMBER('הדבקת לידים'!B4530),IF(הגדרות!$E$3&gt;0,TEXT('הדבקת לידים'!B4530,REPT("0",הגדרות!$E$3)),TEXT('הדבקת לידים'!B4530,"0")),TRIM('הדבקת לידים'!B4530)))</f>
        <v/>
      </c>
      <c r="C4530" s="0" t="n">
        <f aca="false">IF(OR(A4530&lt;&gt;"",B4530&lt;&gt;""),1,0)</f>
        <v>0</v>
      </c>
      <c r="D4530" s="0" t="str">
        <f aca="false">IF(C4530=1,MOD(ABS(SIN(ROW()*12.9898+'הדבקת לידים'!$F$2*78.233+IFERROR(--RIGHT(A4530,6),LEN(A4530))*0.0137+IFERROR(--RIGHT(B4530,6),LEN(B4530))*0.0071))*43758.5453,1),"")</f>
        <v/>
      </c>
      <c r="E4530" s="0" t="str">
        <f aca="false">IF(C4530=1,INT(MOD(ABS(SIN(D4530*7919.123+ROW()*0.618+'הדבקת לידים'!$F$2*1.3))*43758.5453,1)*1000000)*10000+ROW(),"")</f>
        <v/>
      </c>
      <c r="F4530" s="0" t="str">
        <f aca="false">IF(E4530="","",RANK(E4530,$E$2:$E$5001,1))</f>
        <v/>
      </c>
      <c r="G4530" s="0" t="n">
        <f aca="false">IF(A4530="",0,IF(SUMPRODUCT(--($A$2:$A$5001=A4530))&gt;1,1,0))</f>
        <v>0</v>
      </c>
      <c r="H4530" s="0" t="n">
        <f aca="false">ROW()-1</f>
        <v>4529</v>
      </c>
      <c r="I4530" s="0" t="str">
        <f aca="false">IF(OR(הגדרות!$E$6=0,H4530&gt;הגדרות!$E$5),"",IF(H4530-1&lt;הגדרות!$E$8*(הגדרות!$E$7+1),INT((H4530-1)/(הגדרות!$E$7+1)),הגדרות!$E$8+INT((H4530-1-הגדרות!$E$8*(הגדרות!$E$7+1))/הגדרות!$E$7)))</f>
        <v/>
      </c>
      <c r="J4530" s="0" t="str">
        <f aca="false">IF(I4530="","",IF(H4530-1&lt;הגדרות!$E$8*(הגדרות!$E$7+1),MOD(H4530-1,הגדרות!$E$7+1),MOD(H4530-1-הגדרות!$E$8*(הגדרות!$E$7+1),הגדרות!$E$7)))</f>
        <v/>
      </c>
      <c r="K4530" s="0" t="str">
        <f aca="false">IF(I4530="","",J4530*הגדרות!$E$6+I4530+1)</f>
        <v/>
      </c>
      <c r="L4530" s="0" t="str">
        <f aca="false">IF(K4530="","",MATCH(K4530,$F$2:$F$5001,0))</f>
        <v/>
      </c>
      <c r="M4530" s="0" t="str">
        <f aca="false">IF(I4530="","",INDEX(הגדרות!$A$2:$A$21,MOD(I4530+הגדרות!$E$9,הגדרות!$E$6)+1))</f>
        <v/>
      </c>
    </row>
    <row r="4531" customFormat="false" ht="15" hidden="false" customHeight="false" outlineLevel="0" collapsed="false">
      <c r="A4531" s="0" t="str">
        <f aca="false">IF('הדבקת לידים'!A4531="","",IF(ISNUMBER('הדבקת לידים'!A4531),IF(הגדרות!$E$2&gt;0,TEXT('הדבקת לידים'!A4531,REPT("0",הגדרות!$E$2)),TEXT('הדבקת לידים'!A4531,"0")),TRIM('הדבקת לידים'!A4531)))</f>
        <v/>
      </c>
      <c r="B4531" s="0" t="str">
        <f aca="false">IF('הדבקת לידים'!B4531="","",IF(ISNUMBER('הדבקת לידים'!B4531),IF(הגדרות!$E$3&gt;0,TEXT('הדבקת לידים'!B4531,REPT("0",הגדרות!$E$3)),TEXT('הדבקת לידים'!B4531,"0")),TRIM('הדבקת לידים'!B4531)))</f>
        <v/>
      </c>
      <c r="C4531" s="0" t="n">
        <f aca="false">IF(OR(A4531&lt;&gt;"",B4531&lt;&gt;""),1,0)</f>
        <v>0</v>
      </c>
      <c r="D4531" s="0" t="str">
        <f aca="false">IF(C4531=1,MOD(ABS(SIN(ROW()*12.9898+'הדבקת לידים'!$F$2*78.233+IFERROR(--RIGHT(A4531,6),LEN(A4531))*0.0137+IFERROR(--RIGHT(B4531,6),LEN(B4531))*0.0071))*43758.5453,1),"")</f>
        <v/>
      </c>
      <c r="E4531" s="0" t="str">
        <f aca="false">IF(C4531=1,INT(MOD(ABS(SIN(D4531*7919.123+ROW()*0.618+'הדבקת לידים'!$F$2*1.3))*43758.5453,1)*1000000)*10000+ROW(),"")</f>
        <v/>
      </c>
      <c r="F4531" s="0" t="str">
        <f aca="false">IF(E4531="","",RANK(E4531,$E$2:$E$5001,1))</f>
        <v/>
      </c>
      <c r="G4531" s="0" t="n">
        <f aca="false">IF(A4531="",0,IF(SUMPRODUCT(--($A$2:$A$5001=A4531))&gt;1,1,0))</f>
        <v>0</v>
      </c>
      <c r="H4531" s="0" t="n">
        <f aca="false">ROW()-1</f>
        <v>4530</v>
      </c>
      <c r="I4531" s="0" t="str">
        <f aca="false">IF(OR(הגדרות!$E$6=0,H4531&gt;הגדרות!$E$5),"",IF(H4531-1&lt;הגדרות!$E$8*(הגדרות!$E$7+1),INT((H4531-1)/(הגדרות!$E$7+1)),הגדרות!$E$8+INT((H4531-1-הגדרות!$E$8*(הגדרות!$E$7+1))/הגדרות!$E$7)))</f>
        <v/>
      </c>
      <c r="J4531" s="0" t="str">
        <f aca="false">IF(I4531="","",IF(H4531-1&lt;הגדרות!$E$8*(הגדרות!$E$7+1),MOD(H4531-1,הגדרות!$E$7+1),MOD(H4531-1-הגדרות!$E$8*(הגדרות!$E$7+1),הגדרות!$E$7)))</f>
        <v/>
      </c>
      <c r="K4531" s="0" t="str">
        <f aca="false">IF(I4531="","",J4531*הגדרות!$E$6+I4531+1)</f>
        <v/>
      </c>
      <c r="L4531" s="0" t="str">
        <f aca="false">IF(K4531="","",MATCH(K4531,$F$2:$F$5001,0))</f>
        <v/>
      </c>
      <c r="M4531" s="0" t="str">
        <f aca="false">IF(I4531="","",INDEX(הגדרות!$A$2:$A$21,MOD(I4531+הגדרות!$E$9,הגדרות!$E$6)+1))</f>
        <v/>
      </c>
    </row>
    <row r="4532" customFormat="false" ht="15" hidden="false" customHeight="false" outlineLevel="0" collapsed="false">
      <c r="A4532" s="0" t="str">
        <f aca="false">IF('הדבקת לידים'!A4532="","",IF(ISNUMBER('הדבקת לידים'!A4532),IF(הגדרות!$E$2&gt;0,TEXT('הדבקת לידים'!A4532,REPT("0",הגדרות!$E$2)),TEXT('הדבקת לידים'!A4532,"0")),TRIM('הדבקת לידים'!A4532)))</f>
        <v/>
      </c>
      <c r="B4532" s="0" t="str">
        <f aca="false">IF('הדבקת לידים'!B4532="","",IF(ISNUMBER('הדבקת לידים'!B4532),IF(הגדרות!$E$3&gt;0,TEXT('הדבקת לידים'!B4532,REPT("0",הגדרות!$E$3)),TEXT('הדבקת לידים'!B4532,"0")),TRIM('הדבקת לידים'!B4532)))</f>
        <v/>
      </c>
      <c r="C4532" s="0" t="n">
        <f aca="false">IF(OR(A4532&lt;&gt;"",B4532&lt;&gt;""),1,0)</f>
        <v>0</v>
      </c>
      <c r="D4532" s="0" t="str">
        <f aca="false">IF(C4532=1,MOD(ABS(SIN(ROW()*12.9898+'הדבקת לידים'!$F$2*78.233+IFERROR(--RIGHT(A4532,6),LEN(A4532))*0.0137+IFERROR(--RIGHT(B4532,6),LEN(B4532))*0.0071))*43758.5453,1),"")</f>
        <v/>
      </c>
      <c r="E4532" s="0" t="str">
        <f aca="false">IF(C4532=1,INT(MOD(ABS(SIN(D4532*7919.123+ROW()*0.618+'הדבקת לידים'!$F$2*1.3))*43758.5453,1)*1000000)*10000+ROW(),"")</f>
        <v/>
      </c>
      <c r="F4532" s="0" t="str">
        <f aca="false">IF(E4532="","",RANK(E4532,$E$2:$E$5001,1))</f>
        <v/>
      </c>
      <c r="G4532" s="0" t="n">
        <f aca="false">IF(A4532="",0,IF(SUMPRODUCT(--($A$2:$A$5001=A4532))&gt;1,1,0))</f>
        <v>0</v>
      </c>
      <c r="H4532" s="0" t="n">
        <f aca="false">ROW()-1</f>
        <v>4531</v>
      </c>
      <c r="I4532" s="0" t="str">
        <f aca="false">IF(OR(הגדרות!$E$6=0,H4532&gt;הגדרות!$E$5),"",IF(H4532-1&lt;הגדרות!$E$8*(הגדרות!$E$7+1),INT((H4532-1)/(הגדרות!$E$7+1)),הגדרות!$E$8+INT((H4532-1-הגדרות!$E$8*(הגדרות!$E$7+1))/הגדרות!$E$7)))</f>
        <v/>
      </c>
      <c r="J4532" s="0" t="str">
        <f aca="false">IF(I4532="","",IF(H4532-1&lt;הגדרות!$E$8*(הגדרות!$E$7+1),MOD(H4532-1,הגדרות!$E$7+1),MOD(H4532-1-הגדרות!$E$8*(הגדרות!$E$7+1),הגדרות!$E$7)))</f>
        <v/>
      </c>
      <c r="K4532" s="0" t="str">
        <f aca="false">IF(I4532="","",J4532*הגדרות!$E$6+I4532+1)</f>
        <v/>
      </c>
      <c r="L4532" s="0" t="str">
        <f aca="false">IF(K4532="","",MATCH(K4532,$F$2:$F$5001,0))</f>
        <v/>
      </c>
      <c r="M4532" s="0" t="str">
        <f aca="false">IF(I4532="","",INDEX(הגדרות!$A$2:$A$21,MOD(I4532+הגדרות!$E$9,הגדרות!$E$6)+1))</f>
        <v/>
      </c>
    </row>
    <row r="4533" customFormat="false" ht="15" hidden="false" customHeight="false" outlineLevel="0" collapsed="false">
      <c r="A4533" s="0" t="str">
        <f aca="false">IF('הדבקת לידים'!A4533="","",IF(ISNUMBER('הדבקת לידים'!A4533),IF(הגדרות!$E$2&gt;0,TEXT('הדבקת לידים'!A4533,REPT("0",הגדרות!$E$2)),TEXT('הדבקת לידים'!A4533,"0")),TRIM('הדבקת לידים'!A4533)))</f>
        <v/>
      </c>
      <c r="B4533" s="0" t="str">
        <f aca="false">IF('הדבקת לידים'!B4533="","",IF(ISNUMBER('הדבקת לידים'!B4533),IF(הגדרות!$E$3&gt;0,TEXT('הדבקת לידים'!B4533,REPT("0",הגדרות!$E$3)),TEXT('הדבקת לידים'!B4533,"0")),TRIM('הדבקת לידים'!B4533)))</f>
        <v/>
      </c>
      <c r="C4533" s="0" t="n">
        <f aca="false">IF(OR(A4533&lt;&gt;"",B4533&lt;&gt;""),1,0)</f>
        <v>0</v>
      </c>
      <c r="D4533" s="0" t="str">
        <f aca="false">IF(C4533=1,MOD(ABS(SIN(ROW()*12.9898+'הדבקת לידים'!$F$2*78.233+IFERROR(--RIGHT(A4533,6),LEN(A4533))*0.0137+IFERROR(--RIGHT(B4533,6),LEN(B4533))*0.0071))*43758.5453,1),"")</f>
        <v/>
      </c>
      <c r="E4533" s="0" t="str">
        <f aca="false">IF(C4533=1,INT(MOD(ABS(SIN(D4533*7919.123+ROW()*0.618+'הדבקת לידים'!$F$2*1.3))*43758.5453,1)*1000000)*10000+ROW(),"")</f>
        <v/>
      </c>
      <c r="F4533" s="0" t="str">
        <f aca="false">IF(E4533="","",RANK(E4533,$E$2:$E$5001,1))</f>
        <v/>
      </c>
      <c r="G4533" s="0" t="n">
        <f aca="false">IF(A4533="",0,IF(SUMPRODUCT(--($A$2:$A$5001=A4533))&gt;1,1,0))</f>
        <v>0</v>
      </c>
      <c r="H4533" s="0" t="n">
        <f aca="false">ROW()-1</f>
        <v>4532</v>
      </c>
      <c r="I4533" s="0" t="str">
        <f aca="false">IF(OR(הגדרות!$E$6=0,H4533&gt;הגדרות!$E$5),"",IF(H4533-1&lt;הגדרות!$E$8*(הגדרות!$E$7+1),INT((H4533-1)/(הגדרות!$E$7+1)),הגדרות!$E$8+INT((H4533-1-הגדרות!$E$8*(הגדרות!$E$7+1))/הגדרות!$E$7)))</f>
        <v/>
      </c>
      <c r="J4533" s="0" t="str">
        <f aca="false">IF(I4533="","",IF(H4533-1&lt;הגדרות!$E$8*(הגדרות!$E$7+1),MOD(H4533-1,הגדרות!$E$7+1),MOD(H4533-1-הגדרות!$E$8*(הגדרות!$E$7+1),הגדרות!$E$7)))</f>
        <v/>
      </c>
      <c r="K4533" s="0" t="str">
        <f aca="false">IF(I4533="","",J4533*הגדרות!$E$6+I4533+1)</f>
        <v/>
      </c>
      <c r="L4533" s="0" t="str">
        <f aca="false">IF(K4533="","",MATCH(K4533,$F$2:$F$5001,0))</f>
        <v/>
      </c>
      <c r="M4533" s="0" t="str">
        <f aca="false">IF(I4533="","",INDEX(הגדרות!$A$2:$A$21,MOD(I4533+הגדרות!$E$9,הגדרות!$E$6)+1))</f>
        <v/>
      </c>
    </row>
    <row r="4534" customFormat="false" ht="15" hidden="false" customHeight="false" outlineLevel="0" collapsed="false">
      <c r="A4534" s="0" t="str">
        <f aca="false">IF('הדבקת לידים'!A4534="","",IF(ISNUMBER('הדבקת לידים'!A4534),IF(הגדרות!$E$2&gt;0,TEXT('הדבקת לידים'!A4534,REPT("0",הגדרות!$E$2)),TEXT('הדבקת לידים'!A4534,"0")),TRIM('הדבקת לידים'!A4534)))</f>
        <v/>
      </c>
      <c r="B4534" s="0" t="str">
        <f aca="false">IF('הדבקת לידים'!B4534="","",IF(ISNUMBER('הדבקת לידים'!B4534),IF(הגדרות!$E$3&gt;0,TEXT('הדבקת לידים'!B4534,REPT("0",הגדרות!$E$3)),TEXT('הדבקת לידים'!B4534,"0")),TRIM('הדבקת לידים'!B4534)))</f>
        <v/>
      </c>
      <c r="C4534" s="0" t="n">
        <f aca="false">IF(OR(A4534&lt;&gt;"",B4534&lt;&gt;""),1,0)</f>
        <v>0</v>
      </c>
      <c r="D4534" s="0" t="str">
        <f aca="false">IF(C4534=1,MOD(ABS(SIN(ROW()*12.9898+'הדבקת לידים'!$F$2*78.233+IFERROR(--RIGHT(A4534,6),LEN(A4534))*0.0137+IFERROR(--RIGHT(B4534,6),LEN(B4534))*0.0071))*43758.5453,1),"")</f>
        <v/>
      </c>
      <c r="E4534" s="0" t="str">
        <f aca="false">IF(C4534=1,INT(MOD(ABS(SIN(D4534*7919.123+ROW()*0.618+'הדבקת לידים'!$F$2*1.3))*43758.5453,1)*1000000)*10000+ROW(),"")</f>
        <v/>
      </c>
      <c r="F4534" s="0" t="str">
        <f aca="false">IF(E4534="","",RANK(E4534,$E$2:$E$5001,1))</f>
        <v/>
      </c>
      <c r="G4534" s="0" t="n">
        <f aca="false">IF(A4534="",0,IF(SUMPRODUCT(--($A$2:$A$5001=A4534))&gt;1,1,0))</f>
        <v>0</v>
      </c>
      <c r="H4534" s="0" t="n">
        <f aca="false">ROW()-1</f>
        <v>4533</v>
      </c>
      <c r="I4534" s="0" t="str">
        <f aca="false">IF(OR(הגדרות!$E$6=0,H4534&gt;הגדרות!$E$5),"",IF(H4534-1&lt;הגדרות!$E$8*(הגדרות!$E$7+1),INT((H4534-1)/(הגדרות!$E$7+1)),הגדרות!$E$8+INT((H4534-1-הגדרות!$E$8*(הגדרות!$E$7+1))/הגדרות!$E$7)))</f>
        <v/>
      </c>
      <c r="J4534" s="0" t="str">
        <f aca="false">IF(I4534="","",IF(H4534-1&lt;הגדרות!$E$8*(הגדרות!$E$7+1),MOD(H4534-1,הגדרות!$E$7+1),MOD(H4534-1-הגדרות!$E$8*(הגדרות!$E$7+1),הגדרות!$E$7)))</f>
        <v/>
      </c>
      <c r="K4534" s="0" t="str">
        <f aca="false">IF(I4534="","",J4534*הגדרות!$E$6+I4534+1)</f>
        <v/>
      </c>
      <c r="L4534" s="0" t="str">
        <f aca="false">IF(K4534="","",MATCH(K4534,$F$2:$F$5001,0))</f>
        <v/>
      </c>
      <c r="M4534" s="0" t="str">
        <f aca="false">IF(I4534="","",INDEX(הגדרות!$A$2:$A$21,MOD(I4534+הגדרות!$E$9,הגדרות!$E$6)+1))</f>
        <v/>
      </c>
    </row>
    <row r="4535" customFormat="false" ht="15" hidden="false" customHeight="false" outlineLevel="0" collapsed="false">
      <c r="A4535" s="0" t="str">
        <f aca="false">IF('הדבקת לידים'!A4535="","",IF(ISNUMBER('הדבקת לידים'!A4535),IF(הגדרות!$E$2&gt;0,TEXT('הדבקת לידים'!A4535,REPT("0",הגדרות!$E$2)),TEXT('הדבקת לידים'!A4535,"0")),TRIM('הדבקת לידים'!A4535)))</f>
        <v/>
      </c>
      <c r="B4535" s="0" t="str">
        <f aca="false">IF('הדבקת לידים'!B4535="","",IF(ISNUMBER('הדבקת לידים'!B4535),IF(הגדרות!$E$3&gt;0,TEXT('הדבקת לידים'!B4535,REPT("0",הגדרות!$E$3)),TEXT('הדבקת לידים'!B4535,"0")),TRIM('הדבקת לידים'!B4535)))</f>
        <v/>
      </c>
      <c r="C4535" s="0" t="n">
        <f aca="false">IF(OR(A4535&lt;&gt;"",B4535&lt;&gt;""),1,0)</f>
        <v>0</v>
      </c>
      <c r="D4535" s="0" t="str">
        <f aca="false">IF(C4535=1,MOD(ABS(SIN(ROW()*12.9898+'הדבקת לידים'!$F$2*78.233+IFERROR(--RIGHT(A4535,6),LEN(A4535))*0.0137+IFERROR(--RIGHT(B4535,6),LEN(B4535))*0.0071))*43758.5453,1),"")</f>
        <v/>
      </c>
      <c r="E4535" s="0" t="str">
        <f aca="false">IF(C4535=1,INT(MOD(ABS(SIN(D4535*7919.123+ROW()*0.618+'הדבקת לידים'!$F$2*1.3))*43758.5453,1)*1000000)*10000+ROW(),"")</f>
        <v/>
      </c>
      <c r="F4535" s="0" t="str">
        <f aca="false">IF(E4535="","",RANK(E4535,$E$2:$E$5001,1))</f>
        <v/>
      </c>
      <c r="G4535" s="0" t="n">
        <f aca="false">IF(A4535="",0,IF(SUMPRODUCT(--($A$2:$A$5001=A4535))&gt;1,1,0))</f>
        <v>0</v>
      </c>
      <c r="H4535" s="0" t="n">
        <f aca="false">ROW()-1</f>
        <v>4534</v>
      </c>
      <c r="I4535" s="0" t="str">
        <f aca="false">IF(OR(הגדרות!$E$6=0,H4535&gt;הגדרות!$E$5),"",IF(H4535-1&lt;הגדרות!$E$8*(הגדרות!$E$7+1),INT((H4535-1)/(הגדרות!$E$7+1)),הגדרות!$E$8+INT((H4535-1-הגדרות!$E$8*(הגדרות!$E$7+1))/הגדרות!$E$7)))</f>
        <v/>
      </c>
      <c r="J4535" s="0" t="str">
        <f aca="false">IF(I4535="","",IF(H4535-1&lt;הגדרות!$E$8*(הגדרות!$E$7+1),MOD(H4535-1,הגדרות!$E$7+1),MOD(H4535-1-הגדרות!$E$8*(הגדרות!$E$7+1),הגדרות!$E$7)))</f>
        <v/>
      </c>
      <c r="K4535" s="0" t="str">
        <f aca="false">IF(I4535="","",J4535*הגדרות!$E$6+I4535+1)</f>
        <v/>
      </c>
      <c r="L4535" s="0" t="str">
        <f aca="false">IF(K4535="","",MATCH(K4535,$F$2:$F$5001,0))</f>
        <v/>
      </c>
      <c r="M4535" s="0" t="str">
        <f aca="false">IF(I4535="","",INDEX(הגדרות!$A$2:$A$21,MOD(I4535+הגדרות!$E$9,הגדרות!$E$6)+1))</f>
        <v/>
      </c>
    </row>
    <row r="4536" customFormat="false" ht="15" hidden="false" customHeight="false" outlineLevel="0" collapsed="false">
      <c r="A4536" s="0" t="str">
        <f aca="false">IF('הדבקת לידים'!A4536="","",IF(ISNUMBER('הדבקת לידים'!A4536),IF(הגדרות!$E$2&gt;0,TEXT('הדבקת לידים'!A4536,REPT("0",הגדרות!$E$2)),TEXT('הדבקת לידים'!A4536,"0")),TRIM('הדבקת לידים'!A4536)))</f>
        <v/>
      </c>
      <c r="B4536" s="0" t="str">
        <f aca="false">IF('הדבקת לידים'!B4536="","",IF(ISNUMBER('הדבקת לידים'!B4536),IF(הגדרות!$E$3&gt;0,TEXT('הדבקת לידים'!B4536,REPT("0",הגדרות!$E$3)),TEXT('הדבקת לידים'!B4536,"0")),TRIM('הדבקת לידים'!B4536)))</f>
        <v/>
      </c>
      <c r="C4536" s="0" t="n">
        <f aca="false">IF(OR(A4536&lt;&gt;"",B4536&lt;&gt;""),1,0)</f>
        <v>0</v>
      </c>
      <c r="D4536" s="0" t="str">
        <f aca="false">IF(C4536=1,MOD(ABS(SIN(ROW()*12.9898+'הדבקת לידים'!$F$2*78.233+IFERROR(--RIGHT(A4536,6),LEN(A4536))*0.0137+IFERROR(--RIGHT(B4536,6),LEN(B4536))*0.0071))*43758.5453,1),"")</f>
        <v/>
      </c>
      <c r="E4536" s="0" t="str">
        <f aca="false">IF(C4536=1,INT(MOD(ABS(SIN(D4536*7919.123+ROW()*0.618+'הדבקת לידים'!$F$2*1.3))*43758.5453,1)*1000000)*10000+ROW(),"")</f>
        <v/>
      </c>
      <c r="F4536" s="0" t="str">
        <f aca="false">IF(E4536="","",RANK(E4536,$E$2:$E$5001,1))</f>
        <v/>
      </c>
      <c r="G4536" s="0" t="n">
        <f aca="false">IF(A4536="",0,IF(SUMPRODUCT(--($A$2:$A$5001=A4536))&gt;1,1,0))</f>
        <v>0</v>
      </c>
      <c r="H4536" s="0" t="n">
        <f aca="false">ROW()-1</f>
        <v>4535</v>
      </c>
      <c r="I4536" s="0" t="str">
        <f aca="false">IF(OR(הגדרות!$E$6=0,H4536&gt;הגדרות!$E$5),"",IF(H4536-1&lt;הגדרות!$E$8*(הגדרות!$E$7+1),INT((H4536-1)/(הגדרות!$E$7+1)),הגדרות!$E$8+INT((H4536-1-הגדרות!$E$8*(הגדרות!$E$7+1))/הגדרות!$E$7)))</f>
        <v/>
      </c>
      <c r="J4536" s="0" t="str">
        <f aca="false">IF(I4536="","",IF(H4536-1&lt;הגדרות!$E$8*(הגדרות!$E$7+1),MOD(H4536-1,הגדרות!$E$7+1),MOD(H4536-1-הגדרות!$E$8*(הגדרות!$E$7+1),הגדרות!$E$7)))</f>
        <v/>
      </c>
      <c r="K4536" s="0" t="str">
        <f aca="false">IF(I4536="","",J4536*הגדרות!$E$6+I4536+1)</f>
        <v/>
      </c>
      <c r="L4536" s="0" t="str">
        <f aca="false">IF(K4536="","",MATCH(K4536,$F$2:$F$5001,0))</f>
        <v/>
      </c>
      <c r="M4536" s="0" t="str">
        <f aca="false">IF(I4536="","",INDEX(הגדרות!$A$2:$A$21,MOD(I4536+הגדרות!$E$9,הגדרות!$E$6)+1))</f>
        <v/>
      </c>
    </row>
    <row r="4537" customFormat="false" ht="15" hidden="false" customHeight="false" outlineLevel="0" collapsed="false">
      <c r="A4537" s="0" t="str">
        <f aca="false">IF('הדבקת לידים'!A4537="","",IF(ISNUMBER('הדבקת לידים'!A4537),IF(הגדרות!$E$2&gt;0,TEXT('הדבקת לידים'!A4537,REPT("0",הגדרות!$E$2)),TEXT('הדבקת לידים'!A4537,"0")),TRIM('הדבקת לידים'!A4537)))</f>
        <v/>
      </c>
      <c r="B4537" s="0" t="str">
        <f aca="false">IF('הדבקת לידים'!B4537="","",IF(ISNUMBER('הדבקת לידים'!B4537),IF(הגדרות!$E$3&gt;0,TEXT('הדבקת לידים'!B4537,REPT("0",הגדרות!$E$3)),TEXT('הדבקת לידים'!B4537,"0")),TRIM('הדבקת לידים'!B4537)))</f>
        <v/>
      </c>
      <c r="C4537" s="0" t="n">
        <f aca="false">IF(OR(A4537&lt;&gt;"",B4537&lt;&gt;""),1,0)</f>
        <v>0</v>
      </c>
      <c r="D4537" s="0" t="str">
        <f aca="false">IF(C4537=1,MOD(ABS(SIN(ROW()*12.9898+'הדבקת לידים'!$F$2*78.233+IFERROR(--RIGHT(A4537,6),LEN(A4537))*0.0137+IFERROR(--RIGHT(B4537,6),LEN(B4537))*0.0071))*43758.5453,1),"")</f>
        <v/>
      </c>
      <c r="E4537" s="0" t="str">
        <f aca="false">IF(C4537=1,INT(MOD(ABS(SIN(D4537*7919.123+ROW()*0.618+'הדבקת לידים'!$F$2*1.3))*43758.5453,1)*1000000)*10000+ROW(),"")</f>
        <v/>
      </c>
      <c r="F4537" s="0" t="str">
        <f aca="false">IF(E4537="","",RANK(E4537,$E$2:$E$5001,1))</f>
        <v/>
      </c>
      <c r="G4537" s="0" t="n">
        <f aca="false">IF(A4537="",0,IF(SUMPRODUCT(--($A$2:$A$5001=A4537))&gt;1,1,0))</f>
        <v>0</v>
      </c>
      <c r="H4537" s="0" t="n">
        <f aca="false">ROW()-1</f>
        <v>4536</v>
      </c>
      <c r="I4537" s="0" t="str">
        <f aca="false">IF(OR(הגדרות!$E$6=0,H4537&gt;הגדרות!$E$5),"",IF(H4537-1&lt;הגדרות!$E$8*(הגדרות!$E$7+1),INT((H4537-1)/(הגדרות!$E$7+1)),הגדרות!$E$8+INT((H4537-1-הגדרות!$E$8*(הגדרות!$E$7+1))/הגדרות!$E$7)))</f>
        <v/>
      </c>
      <c r="J4537" s="0" t="str">
        <f aca="false">IF(I4537="","",IF(H4537-1&lt;הגדרות!$E$8*(הגדרות!$E$7+1),MOD(H4537-1,הגדרות!$E$7+1),MOD(H4537-1-הגדרות!$E$8*(הגדרות!$E$7+1),הגדרות!$E$7)))</f>
        <v/>
      </c>
      <c r="K4537" s="0" t="str">
        <f aca="false">IF(I4537="","",J4537*הגדרות!$E$6+I4537+1)</f>
        <v/>
      </c>
      <c r="L4537" s="0" t="str">
        <f aca="false">IF(K4537="","",MATCH(K4537,$F$2:$F$5001,0))</f>
        <v/>
      </c>
      <c r="M4537" s="0" t="str">
        <f aca="false">IF(I4537="","",INDEX(הגדרות!$A$2:$A$21,MOD(I4537+הגדרות!$E$9,הגדרות!$E$6)+1))</f>
        <v/>
      </c>
    </row>
    <row r="4538" customFormat="false" ht="15" hidden="false" customHeight="false" outlineLevel="0" collapsed="false">
      <c r="A4538" s="0" t="str">
        <f aca="false">IF('הדבקת לידים'!A4538="","",IF(ISNUMBER('הדבקת לידים'!A4538),IF(הגדרות!$E$2&gt;0,TEXT('הדבקת לידים'!A4538,REPT("0",הגדרות!$E$2)),TEXT('הדבקת לידים'!A4538,"0")),TRIM('הדבקת לידים'!A4538)))</f>
        <v/>
      </c>
      <c r="B4538" s="0" t="str">
        <f aca="false">IF('הדבקת לידים'!B4538="","",IF(ISNUMBER('הדבקת לידים'!B4538),IF(הגדרות!$E$3&gt;0,TEXT('הדבקת לידים'!B4538,REPT("0",הגדרות!$E$3)),TEXT('הדבקת לידים'!B4538,"0")),TRIM('הדבקת לידים'!B4538)))</f>
        <v/>
      </c>
      <c r="C4538" s="0" t="n">
        <f aca="false">IF(OR(A4538&lt;&gt;"",B4538&lt;&gt;""),1,0)</f>
        <v>0</v>
      </c>
      <c r="D4538" s="0" t="str">
        <f aca="false">IF(C4538=1,MOD(ABS(SIN(ROW()*12.9898+'הדבקת לידים'!$F$2*78.233+IFERROR(--RIGHT(A4538,6),LEN(A4538))*0.0137+IFERROR(--RIGHT(B4538,6),LEN(B4538))*0.0071))*43758.5453,1),"")</f>
        <v/>
      </c>
      <c r="E4538" s="0" t="str">
        <f aca="false">IF(C4538=1,INT(MOD(ABS(SIN(D4538*7919.123+ROW()*0.618+'הדבקת לידים'!$F$2*1.3))*43758.5453,1)*1000000)*10000+ROW(),"")</f>
        <v/>
      </c>
      <c r="F4538" s="0" t="str">
        <f aca="false">IF(E4538="","",RANK(E4538,$E$2:$E$5001,1))</f>
        <v/>
      </c>
      <c r="G4538" s="0" t="n">
        <f aca="false">IF(A4538="",0,IF(SUMPRODUCT(--($A$2:$A$5001=A4538))&gt;1,1,0))</f>
        <v>0</v>
      </c>
      <c r="H4538" s="0" t="n">
        <f aca="false">ROW()-1</f>
        <v>4537</v>
      </c>
      <c r="I4538" s="0" t="str">
        <f aca="false">IF(OR(הגדרות!$E$6=0,H4538&gt;הגדרות!$E$5),"",IF(H4538-1&lt;הגדרות!$E$8*(הגדרות!$E$7+1),INT((H4538-1)/(הגדרות!$E$7+1)),הגדרות!$E$8+INT((H4538-1-הגדרות!$E$8*(הגדרות!$E$7+1))/הגדרות!$E$7)))</f>
        <v/>
      </c>
      <c r="J4538" s="0" t="str">
        <f aca="false">IF(I4538="","",IF(H4538-1&lt;הגדרות!$E$8*(הגדרות!$E$7+1),MOD(H4538-1,הגדרות!$E$7+1),MOD(H4538-1-הגדרות!$E$8*(הגדרות!$E$7+1),הגדרות!$E$7)))</f>
        <v/>
      </c>
      <c r="K4538" s="0" t="str">
        <f aca="false">IF(I4538="","",J4538*הגדרות!$E$6+I4538+1)</f>
        <v/>
      </c>
      <c r="L4538" s="0" t="str">
        <f aca="false">IF(K4538="","",MATCH(K4538,$F$2:$F$5001,0))</f>
        <v/>
      </c>
      <c r="M4538" s="0" t="str">
        <f aca="false">IF(I4538="","",INDEX(הגדרות!$A$2:$A$21,MOD(I4538+הגדרות!$E$9,הגדרות!$E$6)+1))</f>
        <v/>
      </c>
    </row>
    <row r="4539" customFormat="false" ht="15" hidden="false" customHeight="false" outlineLevel="0" collapsed="false">
      <c r="A4539" s="0" t="str">
        <f aca="false">IF('הדבקת לידים'!A4539="","",IF(ISNUMBER('הדבקת לידים'!A4539),IF(הגדרות!$E$2&gt;0,TEXT('הדבקת לידים'!A4539,REPT("0",הגדרות!$E$2)),TEXT('הדבקת לידים'!A4539,"0")),TRIM('הדבקת לידים'!A4539)))</f>
        <v/>
      </c>
      <c r="B4539" s="0" t="str">
        <f aca="false">IF('הדבקת לידים'!B4539="","",IF(ISNUMBER('הדבקת לידים'!B4539),IF(הגדרות!$E$3&gt;0,TEXT('הדבקת לידים'!B4539,REPT("0",הגדרות!$E$3)),TEXT('הדבקת לידים'!B4539,"0")),TRIM('הדבקת לידים'!B4539)))</f>
        <v/>
      </c>
      <c r="C4539" s="0" t="n">
        <f aca="false">IF(OR(A4539&lt;&gt;"",B4539&lt;&gt;""),1,0)</f>
        <v>0</v>
      </c>
      <c r="D4539" s="0" t="str">
        <f aca="false">IF(C4539=1,MOD(ABS(SIN(ROW()*12.9898+'הדבקת לידים'!$F$2*78.233+IFERROR(--RIGHT(A4539,6),LEN(A4539))*0.0137+IFERROR(--RIGHT(B4539,6),LEN(B4539))*0.0071))*43758.5453,1),"")</f>
        <v/>
      </c>
      <c r="E4539" s="0" t="str">
        <f aca="false">IF(C4539=1,INT(MOD(ABS(SIN(D4539*7919.123+ROW()*0.618+'הדבקת לידים'!$F$2*1.3))*43758.5453,1)*1000000)*10000+ROW(),"")</f>
        <v/>
      </c>
      <c r="F4539" s="0" t="str">
        <f aca="false">IF(E4539="","",RANK(E4539,$E$2:$E$5001,1))</f>
        <v/>
      </c>
      <c r="G4539" s="0" t="n">
        <f aca="false">IF(A4539="",0,IF(SUMPRODUCT(--($A$2:$A$5001=A4539))&gt;1,1,0))</f>
        <v>0</v>
      </c>
      <c r="H4539" s="0" t="n">
        <f aca="false">ROW()-1</f>
        <v>4538</v>
      </c>
      <c r="I4539" s="0" t="str">
        <f aca="false">IF(OR(הגדרות!$E$6=0,H4539&gt;הגדרות!$E$5),"",IF(H4539-1&lt;הגדרות!$E$8*(הגדרות!$E$7+1),INT((H4539-1)/(הגדרות!$E$7+1)),הגדרות!$E$8+INT((H4539-1-הגדרות!$E$8*(הגדרות!$E$7+1))/הגדרות!$E$7)))</f>
        <v/>
      </c>
      <c r="J4539" s="0" t="str">
        <f aca="false">IF(I4539="","",IF(H4539-1&lt;הגדרות!$E$8*(הגדרות!$E$7+1),MOD(H4539-1,הגדרות!$E$7+1),MOD(H4539-1-הגדרות!$E$8*(הגדרות!$E$7+1),הגדרות!$E$7)))</f>
        <v/>
      </c>
      <c r="K4539" s="0" t="str">
        <f aca="false">IF(I4539="","",J4539*הגדרות!$E$6+I4539+1)</f>
        <v/>
      </c>
      <c r="L4539" s="0" t="str">
        <f aca="false">IF(K4539="","",MATCH(K4539,$F$2:$F$5001,0))</f>
        <v/>
      </c>
      <c r="M4539" s="0" t="str">
        <f aca="false">IF(I4539="","",INDEX(הגדרות!$A$2:$A$21,MOD(I4539+הגדרות!$E$9,הגדרות!$E$6)+1))</f>
        <v/>
      </c>
    </row>
    <row r="4540" customFormat="false" ht="15" hidden="false" customHeight="false" outlineLevel="0" collapsed="false">
      <c r="A4540" s="0" t="str">
        <f aca="false">IF('הדבקת לידים'!A4540="","",IF(ISNUMBER('הדבקת לידים'!A4540),IF(הגדרות!$E$2&gt;0,TEXT('הדבקת לידים'!A4540,REPT("0",הגדרות!$E$2)),TEXT('הדבקת לידים'!A4540,"0")),TRIM('הדבקת לידים'!A4540)))</f>
        <v/>
      </c>
      <c r="B4540" s="0" t="str">
        <f aca="false">IF('הדבקת לידים'!B4540="","",IF(ISNUMBER('הדבקת לידים'!B4540),IF(הגדרות!$E$3&gt;0,TEXT('הדבקת לידים'!B4540,REPT("0",הגדרות!$E$3)),TEXT('הדבקת לידים'!B4540,"0")),TRIM('הדבקת לידים'!B4540)))</f>
        <v/>
      </c>
      <c r="C4540" s="0" t="n">
        <f aca="false">IF(OR(A4540&lt;&gt;"",B4540&lt;&gt;""),1,0)</f>
        <v>0</v>
      </c>
      <c r="D4540" s="0" t="str">
        <f aca="false">IF(C4540=1,MOD(ABS(SIN(ROW()*12.9898+'הדבקת לידים'!$F$2*78.233+IFERROR(--RIGHT(A4540,6),LEN(A4540))*0.0137+IFERROR(--RIGHT(B4540,6),LEN(B4540))*0.0071))*43758.5453,1),"")</f>
        <v/>
      </c>
      <c r="E4540" s="0" t="str">
        <f aca="false">IF(C4540=1,INT(MOD(ABS(SIN(D4540*7919.123+ROW()*0.618+'הדבקת לידים'!$F$2*1.3))*43758.5453,1)*1000000)*10000+ROW(),"")</f>
        <v/>
      </c>
      <c r="F4540" s="0" t="str">
        <f aca="false">IF(E4540="","",RANK(E4540,$E$2:$E$5001,1))</f>
        <v/>
      </c>
      <c r="G4540" s="0" t="n">
        <f aca="false">IF(A4540="",0,IF(SUMPRODUCT(--($A$2:$A$5001=A4540))&gt;1,1,0))</f>
        <v>0</v>
      </c>
      <c r="H4540" s="0" t="n">
        <f aca="false">ROW()-1</f>
        <v>4539</v>
      </c>
      <c r="I4540" s="0" t="str">
        <f aca="false">IF(OR(הגדרות!$E$6=0,H4540&gt;הגדרות!$E$5),"",IF(H4540-1&lt;הגדרות!$E$8*(הגדרות!$E$7+1),INT((H4540-1)/(הגדרות!$E$7+1)),הגדרות!$E$8+INT((H4540-1-הגדרות!$E$8*(הגדרות!$E$7+1))/הגדרות!$E$7)))</f>
        <v/>
      </c>
      <c r="J4540" s="0" t="str">
        <f aca="false">IF(I4540="","",IF(H4540-1&lt;הגדרות!$E$8*(הגדרות!$E$7+1),MOD(H4540-1,הגדרות!$E$7+1),MOD(H4540-1-הגדרות!$E$8*(הגדרות!$E$7+1),הגדרות!$E$7)))</f>
        <v/>
      </c>
      <c r="K4540" s="0" t="str">
        <f aca="false">IF(I4540="","",J4540*הגדרות!$E$6+I4540+1)</f>
        <v/>
      </c>
      <c r="L4540" s="0" t="str">
        <f aca="false">IF(K4540="","",MATCH(K4540,$F$2:$F$5001,0))</f>
        <v/>
      </c>
      <c r="M4540" s="0" t="str">
        <f aca="false">IF(I4540="","",INDEX(הגדרות!$A$2:$A$21,MOD(I4540+הגדרות!$E$9,הגדרות!$E$6)+1))</f>
        <v/>
      </c>
    </row>
    <row r="4541" customFormat="false" ht="15" hidden="false" customHeight="false" outlineLevel="0" collapsed="false">
      <c r="A4541" s="0" t="str">
        <f aca="false">IF('הדבקת לידים'!A4541="","",IF(ISNUMBER('הדבקת לידים'!A4541),IF(הגדרות!$E$2&gt;0,TEXT('הדבקת לידים'!A4541,REPT("0",הגדרות!$E$2)),TEXT('הדבקת לידים'!A4541,"0")),TRIM('הדבקת לידים'!A4541)))</f>
        <v/>
      </c>
      <c r="B4541" s="0" t="str">
        <f aca="false">IF('הדבקת לידים'!B4541="","",IF(ISNUMBER('הדבקת לידים'!B4541),IF(הגדרות!$E$3&gt;0,TEXT('הדבקת לידים'!B4541,REPT("0",הגדרות!$E$3)),TEXT('הדבקת לידים'!B4541,"0")),TRIM('הדבקת לידים'!B4541)))</f>
        <v/>
      </c>
      <c r="C4541" s="0" t="n">
        <f aca="false">IF(OR(A4541&lt;&gt;"",B4541&lt;&gt;""),1,0)</f>
        <v>0</v>
      </c>
      <c r="D4541" s="0" t="str">
        <f aca="false">IF(C4541=1,MOD(ABS(SIN(ROW()*12.9898+'הדבקת לידים'!$F$2*78.233+IFERROR(--RIGHT(A4541,6),LEN(A4541))*0.0137+IFERROR(--RIGHT(B4541,6),LEN(B4541))*0.0071))*43758.5453,1),"")</f>
        <v/>
      </c>
      <c r="E4541" s="0" t="str">
        <f aca="false">IF(C4541=1,INT(MOD(ABS(SIN(D4541*7919.123+ROW()*0.618+'הדבקת לידים'!$F$2*1.3))*43758.5453,1)*1000000)*10000+ROW(),"")</f>
        <v/>
      </c>
      <c r="F4541" s="0" t="str">
        <f aca="false">IF(E4541="","",RANK(E4541,$E$2:$E$5001,1))</f>
        <v/>
      </c>
      <c r="G4541" s="0" t="n">
        <f aca="false">IF(A4541="",0,IF(SUMPRODUCT(--($A$2:$A$5001=A4541))&gt;1,1,0))</f>
        <v>0</v>
      </c>
      <c r="H4541" s="0" t="n">
        <f aca="false">ROW()-1</f>
        <v>4540</v>
      </c>
      <c r="I4541" s="0" t="str">
        <f aca="false">IF(OR(הגדרות!$E$6=0,H4541&gt;הגדרות!$E$5),"",IF(H4541-1&lt;הגדרות!$E$8*(הגדרות!$E$7+1),INT((H4541-1)/(הגדרות!$E$7+1)),הגדרות!$E$8+INT((H4541-1-הגדרות!$E$8*(הגדרות!$E$7+1))/הגדרות!$E$7)))</f>
        <v/>
      </c>
      <c r="J4541" s="0" t="str">
        <f aca="false">IF(I4541="","",IF(H4541-1&lt;הגדרות!$E$8*(הגדרות!$E$7+1),MOD(H4541-1,הגדרות!$E$7+1),MOD(H4541-1-הגדרות!$E$8*(הגדרות!$E$7+1),הגדרות!$E$7)))</f>
        <v/>
      </c>
      <c r="K4541" s="0" t="str">
        <f aca="false">IF(I4541="","",J4541*הגדרות!$E$6+I4541+1)</f>
        <v/>
      </c>
      <c r="L4541" s="0" t="str">
        <f aca="false">IF(K4541="","",MATCH(K4541,$F$2:$F$5001,0))</f>
        <v/>
      </c>
      <c r="M4541" s="0" t="str">
        <f aca="false">IF(I4541="","",INDEX(הגדרות!$A$2:$A$21,MOD(I4541+הגדרות!$E$9,הגדרות!$E$6)+1))</f>
        <v/>
      </c>
    </row>
    <row r="4542" customFormat="false" ht="15" hidden="false" customHeight="false" outlineLevel="0" collapsed="false">
      <c r="A4542" s="0" t="str">
        <f aca="false">IF('הדבקת לידים'!A4542="","",IF(ISNUMBER('הדבקת לידים'!A4542),IF(הגדרות!$E$2&gt;0,TEXT('הדבקת לידים'!A4542,REPT("0",הגדרות!$E$2)),TEXT('הדבקת לידים'!A4542,"0")),TRIM('הדבקת לידים'!A4542)))</f>
        <v/>
      </c>
      <c r="B4542" s="0" t="str">
        <f aca="false">IF('הדבקת לידים'!B4542="","",IF(ISNUMBER('הדבקת לידים'!B4542),IF(הגדרות!$E$3&gt;0,TEXT('הדבקת לידים'!B4542,REPT("0",הגדרות!$E$3)),TEXT('הדבקת לידים'!B4542,"0")),TRIM('הדבקת לידים'!B4542)))</f>
        <v/>
      </c>
      <c r="C4542" s="0" t="n">
        <f aca="false">IF(OR(A4542&lt;&gt;"",B4542&lt;&gt;""),1,0)</f>
        <v>0</v>
      </c>
      <c r="D4542" s="0" t="str">
        <f aca="false">IF(C4542=1,MOD(ABS(SIN(ROW()*12.9898+'הדבקת לידים'!$F$2*78.233+IFERROR(--RIGHT(A4542,6),LEN(A4542))*0.0137+IFERROR(--RIGHT(B4542,6),LEN(B4542))*0.0071))*43758.5453,1),"")</f>
        <v/>
      </c>
      <c r="E4542" s="0" t="str">
        <f aca="false">IF(C4542=1,INT(MOD(ABS(SIN(D4542*7919.123+ROW()*0.618+'הדבקת לידים'!$F$2*1.3))*43758.5453,1)*1000000)*10000+ROW(),"")</f>
        <v/>
      </c>
      <c r="F4542" s="0" t="str">
        <f aca="false">IF(E4542="","",RANK(E4542,$E$2:$E$5001,1))</f>
        <v/>
      </c>
      <c r="G4542" s="0" t="n">
        <f aca="false">IF(A4542="",0,IF(SUMPRODUCT(--($A$2:$A$5001=A4542))&gt;1,1,0))</f>
        <v>0</v>
      </c>
      <c r="H4542" s="0" t="n">
        <f aca="false">ROW()-1</f>
        <v>4541</v>
      </c>
      <c r="I4542" s="0" t="str">
        <f aca="false">IF(OR(הגדרות!$E$6=0,H4542&gt;הגדרות!$E$5),"",IF(H4542-1&lt;הגדרות!$E$8*(הגדרות!$E$7+1),INT((H4542-1)/(הגדרות!$E$7+1)),הגדרות!$E$8+INT((H4542-1-הגדרות!$E$8*(הגדרות!$E$7+1))/הגדרות!$E$7)))</f>
        <v/>
      </c>
      <c r="J4542" s="0" t="str">
        <f aca="false">IF(I4542="","",IF(H4542-1&lt;הגדרות!$E$8*(הגדרות!$E$7+1),MOD(H4542-1,הגדרות!$E$7+1),MOD(H4542-1-הגדרות!$E$8*(הגדרות!$E$7+1),הגדרות!$E$7)))</f>
        <v/>
      </c>
      <c r="K4542" s="0" t="str">
        <f aca="false">IF(I4542="","",J4542*הגדרות!$E$6+I4542+1)</f>
        <v/>
      </c>
      <c r="L4542" s="0" t="str">
        <f aca="false">IF(K4542="","",MATCH(K4542,$F$2:$F$5001,0))</f>
        <v/>
      </c>
      <c r="M4542" s="0" t="str">
        <f aca="false">IF(I4542="","",INDEX(הגדרות!$A$2:$A$21,MOD(I4542+הגדרות!$E$9,הגדרות!$E$6)+1))</f>
        <v/>
      </c>
    </row>
    <row r="4543" customFormat="false" ht="15" hidden="false" customHeight="false" outlineLevel="0" collapsed="false">
      <c r="A4543" s="0" t="str">
        <f aca="false">IF('הדבקת לידים'!A4543="","",IF(ISNUMBER('הדבקת לידים'!A4543),IF(הגדרות!$E$2&gt;0,TEXT('הדבקת לידים'!A4543,REPT("0",הגדרות!$E$2)),TEXT('הדבקת לידים'!A4543,"0")),TRIM('הדבקת לידים'!A4543)))</f>
        <v/>
      </c>
      <c r="B4543" s="0" t="str">
        <f aca="false">IF('הדבקת לידים'!B4543="","",IF(ISNUMBER('הדבקת לידים'!B4543),IF(הגדרות!$E$3&gt;0,TEXT('הדבקת לידים'!B4543,REPT("0",הגדרות!$E$3)),TEXT('הדבקת לידים'!B4543,"0")),TRIM('הדבקת לידים'!B4543)))</f>
        <v/>
      </c>
      <c r="C4543" s="0" t="n">
        <f aca="false">IF(OR(A4543&lt;&gt;"",B4543&lt;&gt;""),1,0)</f>
        <v>0</v>
      </c>
      <c r="D4543" s="0" t="str">
        <f aca="false">IF(C4543=1,MOD(ABS(SIN(ROW()*12.9898+'הדבקת לידים'!$F$2*78.233+IFERROR(--RIGHT(A4543,6),LEN(A4543))*0.0137+IFERROR(--RIGHT(B4543,6),LEN(B4543))*0.0071))*43758.5453,1),"")</f>
        <v/>
      </c>
      <c r="E4543" s="0" t="str">
        <f aca="false">IF(C4543=1,INT(MOD(ABS(SIN(D4543*7919.123+ROW()*0.618+'הדבקת לידים'!$F$2*1.3))*43758.5453,1)*1000000)*10000+ROW(),"")</f>
        <v/>
      </c>
      <c r="F4543" s="0" t="str">
        <f aca="false">IF(E4543="","",RANK(E4543,$E$2:$E$5001,1))</f>
        <v/>
      </c>
      <c r="G4543" s="0" t="n">
        <f aca="false">IF(A4543="",0,IF(SUMPRODUCT(--($A$2:$A$5001=A4543))&gt;1,1,0))</f>
        <v>0</v>
      </c>
      <c r="H4543" s="0" t="n">
        <f aca="false">ROW()-1</f>
        <v>4542</v>
      </c>
      <c r="I4543" s="0" t="str">
        <f aca="false">IF(OR(הגדרות!$E$6=0,H4543&gt;הגדרות!$E$5),"",IF(H4543-1&lt;הגדרות!$E$8*(הגדרות!$E$7+1),INT((H4543-1)/(הגדרות!$E$7+1)),הגדרות!$E$8+INT((H4543-1-הגדרות!$E$8*(הגדרות!$E$7+1))/הגדרות!$E$7)))</f>
        <v/>
      </c>
      <c r="J4543" s="0" t="str">
        <f aca="false">IF(I4543="","",IF(H4543-1&lt;הגדרות!$E$8*(הגדרות!$E$7+1),MOD(H4543-1,הגדרות!$E$7+1),MOD(H4543-1-הגדרות!$E$8*(הגדרות!$E$7+1),הגדרות!$E$7)))</f>
        <v/>
      </c>
      <c r="K4543" s="0" t="str">
        <f aca="false">IF(I4543="","",J4543*הגדרות!$E$6+I4543+1)</f>
        <v/>
      </c>
      <c r="L4543" s="0" t="str">
        <f aca="false">IF(K4543="","",MATCH(K4543,$F$2:$F$5001,0))</f>
        <v/>
      </c>
      <c r="M4543" s="0" t="str">
        <f aca="false">IF(I4543="","",INDEX(הגדרות!$A$2:$A$21,MOD(I4543+הגדרות!$E$9,הגדרות!$E$6)+1))</f>
        <v/>
      </c>
    </row>
    <row r="4544" customFormat="false" ht="15" hidden="false" customHeight="false" outlineLevel="0" collapsed="false">
      <c r="A4544" s="0" t="str">
        <f aca="false">IF('הדבקת לידים'!A4544="","",IF(ISNUMBER('הדבקת לידים'!A4544),IF(הגדרות!$E$2&gt;0,TEXT('הדבקת לידים'!A4544,REPT("0",הגדרות!$E$2)),TEXT('הדבקת לידים'!A4544,"0")),TRIM('הדבקת לידים'!A4544)))</f>
        <v/>
      </c>
      <c r="B4544" s="0" t="str">
        <f aca="false">IF('הדבקת לידים'!B4544="","",IF(ISNUMBER('הדבקת לידים'!B4544),IF(הגדרות!$E$3&gt;0,TEXT('הדבקת לידים'!B4544,REPT("0",הגדרות!$E$3)),TEXT('הדבקת לידים'!B4544,"0")),TRIM('הדבקת לידים'!B4544)))</f>
        <v/>
      </c>
      <c r="C4544" s="0" t="n">
        <f aca="false">IF(OR(A4544&lt;&gt;"",B4544&lt;&gt;""),1,0)</f>
        <v>0</v>
      </c>
      <c r="D4544" s="0" t="str">
        <f aca="false">IF(C4544=1,MOD(ABS(SIN(ROW()*12.9898+'הדבקת לידים'!$F$2*78.233+IFERROR(--RIGHT(A4544,6),LEN(A4544))*0.0137+IFERROR(--RIGHT(B4544,6),LEN(B4544))*0.0071))*43758.5453,1),"")</f>
        <v/>
      </c>
      <c r="E4544" s="0" t="str">
        <f aca="false">IF(C4544=1,INT(MOD(ABS(SIN(D4544*7919.123+ROW()*0.618+'הדבקת לידים'!$F$2*1.3))*43758.5453,1)*1000000)*10000+ROW(),"")</f>
        <v/>
      </c>
      <c r="F4544" s="0" t="str">
        <f aca="false">IF(E4544="","",RANK(E4544,$E$2:$E$5001,1))</f>
        <v/>
      </c>
      <c r="G4544" s="0" t="n">
        <f aca="false">IF(A4544="",0,IF(SUMPRODUCT(--($A$2:$A$5001=A4544))&gt;1,1,0))</f>
        <v>0</v>
      </c>
      <c r="H4544" s="0" t="n">
        <f aca="false">ROW()-1</f>
        <v>4543</v>
      </c>
      <c r="I4544" s="0" t="str">
        <f aca="false">IF(OR(הגדרות!$E$6=0,H4544&gt;הגדרות!$E$5),"",IF(H4544-1&lt;הגדרות!$E$8*(הגדרות!$E$7+1),INT((H4544-1)/(הגדרות!$E$7+1)),הגדרות!$E$8+INT((H4544-1-הגדרות!$E$8*(הגדרות!$E$7+1))/הגדרות!$E$7)))</f>
        <v/>
      </c>
      <c r="J4544" s="0" t="str">
        <f aca="false">IF(I4544="","",IF(H4544-1&lt;הגדרות!$E$8*(הגדרות!$E$7+1),MOD(H4544-1,הגדרות!$E$7+1),MOD(H4544-1-הגדרות!$E$8*(הגדרות!$E$7+1),הגדרות!$E$7)))</f>
        <v/>
      </c>
      <c r="K4544" s="0" t="str">
        <f aca="false">IF(I4544="","",J4544*הגדרות!$E$6+I4544+1)</f>
        <v/>
      </c>
      <c r="L4544" s="0" t="str">
        <f aca="false">IF(K4544="","",MATCH(K4544,$F$2:$F$5001,0))</f>
        <v/>
      </c>
      <c r="M4544" s="0" t="str">
        <f aca="false">IF(I4544="","",INDEX(הגדרות!$A$2:$A$21,MOD(I4544+הגדרות!$E$9,הגדרות!$E$6)+1))</f>
        <v/>
      </c>
    </row>
    <row r="4545" customFormat="false" ht="15" hidden="false" customHeight="false" outlineLevel="0" collapsed="false">
      <c r="A4545" s="0" t="str">
        <f aca="false">IF('הדבקת לידים'!A4545="","",IF(ISNUMBER('הדבקת לידים'!A4545),IF(הגדרות!$E$2&gt;0,TEXT('הדבקת לידים'!A4545,REPT("0",הגדרות!$E$2)),TEXT('הדבקת לידים'!A4545,"0")),TRIM('הדבקת לידים'!A4545)))</f>
        <v/>
      </c>
      <c r="B4545" s="0" t="str">
        <f aca="false">IF('הדבקת לידים'!B4545="","",IF(ISNUMBER('הדבקת לידים'!B4545),IF(הגדרות!$E$3&gt;0,TEXT('הדבקת לידים'!B4545,REPT("0",הגדרות!$E$3)),TEXT('הדבקת לידים'!B4545,"0")),TRIM('הדבקת לידים'!B4545)))</f>
        <v/>
      </c>
      <c r="C4545" s="0" t="n">
        <f aca="false">IF(OR(A4545&lt;&gt;"",B4545&lt;&gt;""),1,0)</f>
        <v>0</v>
      </c>
      <c r="D4545" s="0" t="str">
        <f aca="false">IF(C4545=1,MOD(ABS(SIN(ROW()*12.9898+'הדבקת לידים'!$F$2*78.233+IFERROR(--RIGHT(A4545,6),LEN(A4545))*0.0137+IFERROR(--RIGHT(B4545,6),LEN(B4545))*0.0071))*43758.5453,1),"")</f>
        <v/>
      </c>
      <c r="E4545" s="0" t="str">
        <f aca="false">IF(C4545=1,INT(MOD(ABS(SIN(D4545*7919.123+ROW()*0.618+'הדבקת לידים'!$F$2*1.3))*43758.5453,1)*1000000)*10000+ROW(),"")</f>
        <v/>
      </c>
      <c r="F4545" s="0" t="str">
        <f aca="false">IF(E4545="","",RANK(E4545,$E$2:$E$5001,1))</f>
        <v/>
      </c>
      <c r="G4545" s="0" t="n">
        <f aca="false">IF(A4545="",0,IF(SUMPRODUCT(--($A$2:$A$5001=A4545))&gt;1,1,0))</f>
        <v>0</v>
      </c>
      <c r="H4545" s="0" t="n">
        <f aca="false">ROW()-1</f>
        <v>4544</v>
      </c>
      <c r="I4545" s="0" t="str">
        <f aca="false">IF(OR(הגדרות!$E$6=0,H4545&gt;הגדרות!$E$5),"",IF(H4545-1&lt;הגדרות!$E$8*(הגדרות!$E$7+1),INT((H4545-1)/(הגדרות!$E$7+1)),הגדרות!$E$8+INT((H4545-1-הגדרות!$E$8*(הגדרות!$E$7+1))/הגדרות!$E$7)))</f>
        <v/>
      </c>
      <c r="J4545" s="0" t="str">
        <f aca="false">IF(I4545="","",IF(H4545-1&lt;הגדרות!$E$8*(הגדרות!$E$7+1),MOD(H4545-1,הגדרות!$E$7+1),MOD(H4545-1-הגדרות!$E$8*(הגדרות!$E$7+1),הגדרות!$E$7)))</f>
        <v/>
      </c>
      <c r="K4545" s="0" t="str">
        <f aca="false">IF(I4545="","",J4545*הגדרות!$E$6+I4545+1)</f>
        <v/>
      </c>
      <c r="L4545" s="0" t="str">
        <f aca="false">IF(K4545="","",MATCH(K4545,$F$2:$F$5001,0))</f>
        <v/>
      </c>
      <c r="M4545" s="0" t="str">
        <f aca="false">IF(I4545="","",INDEX(הגדרות!$A$2:$A$21,MOD(I4545+הגדרות!$E$9,הגדרות!$E$6)+1))</f>
        <v/>
      </c>
    </row>
    <row r="4546" customFormat="false" ht="15" hidden="false" customHeight="false" outlineLevel="0" collapsed="false">
      <c r="A4546" s="0" t="str">
        <f aca="false">IF('הדבקת לידים'!A4546="","",IF(ISNUMBER('הדבקת לידים'!A4546),IF(הגדרות!$E$2&gt;0,TEXT('הדבקת לידים'!A4546,REPT("0",הגדרות!$E$2)),TEXT('הדבקת לידים'!A4546,"0")),TRIM('הדבקת לידים'!A4546)))</f>
        <v/>
      </c>
      <c r="B4546" s="0" t="str">
        <f aca="false">IF('הדבקת לידים'!B4546="","",IF(ISNUMBER('הדבקת לידים'!B4546),IF(הגדרות!$E$3&gt;0,TEXT('הדבקת לידים'!B4546,REPT("0",הגדרות!$E$3)),TEXT('הדבקת לידים'!B4546,"0")),TRIM('הדבקת לידים'!B4546)))</f>
        <v/>
      </c>
      <c r="C4546" s="0" t="n">
        <f aca="false">IF(OR(A4546&lt;&gt;"",B4546&lt;&gt;""),1,0)</f>
        <v>0</v>
      </c>
      <c r="D4546" s="0" t="str">
        <f aca="false">IF(C4546=1,MOD(ABS(SIN(ROW()*12.9898+'הדבקת לידים'!$F$2*78.233+IFERROR(--RIGHT(A4546,6),LEN(A4546))*0.0137+IFERROR(--RIGHT(B4546,6),LEN(B4546))*0.0071))*43758.5453,1),"")</f>
        <v/>
      </c>
      <c r="E4546" s="0" t="str">
        <f aca="false">IF(C4546=1,INT(MOD(ABS(SIN(D4546*7919.123+ROW()*0.618+'הדבקת לידים'!$F$2*1.3))*43758.5453,1)*1000000)*10000+ROW(),"")</f>
        <v/>
      </c>
      <c r="F4546" s="0" t="str">
        <f aca="false">IF(E4546="","",RANK(E4546,$E$2:$E$5001,1))</f>
        <v/>
      </c>
      <c r="G4546" s="0" t="n">
        <f aca="false">IF(A4546="",0,IF(SUMPRODUCT(--($A$2:$A$5001=A4546))&gt;1,1,0))</f>
        <v>0</v>
      </c>
      <c r="H4546" s="0" t="n">
        <f aca="false">ROW()-1</f>
        <v>4545</v>
      </c>
      <c r="I4546" s="0" t="str">
        <f aca="false">IF(OR(הגדרות!$E$6=0,H4546&gt;הגדרות!$E$5),"",IF(H4546-1&lt;הגדרות!$E$8*(הגדרות!$E$7+1),INT((H4546-1)/(הגדרות!$E$7+1)),הגדרות!$E$8+INT((H4546-1-הגדרות!$E$8*(הגדרות!$E$7+1))/הגדרות!$E$7)))</f>
        <v/>
      </c>
      <c r="J4546" s="0" t="str">
        <f aca="false">IF(I4546="","",IF(H4546-1&lt;הגדרות!$E$8*(הגדרות!$E$7+1),MOD(H4546-1,הגדרות!$E$7+1),MOD(H4546-1-הגדרות!$E$8*(הגדרות!$E$7+1),הגדרות!$E$7)))</f>
        <v/>
      </c>
      <c r="K4546" s="0" t="str">
        <f aca="false">IF(I4546="","",J4546*הגדרות!$E$6+I4546+1)</f>
        <v/>
      </c>
      <c r="L4546" s="0" t="str">
        <f aca="false">IF(K4546="","",MATCH(K4546,$F$2:$F$5001,0))</f>
        <v/>
      </c>
      <c r="M4546" s="0" t="str">
        <f aca="false">IF(I4546="","",INDEX(הגדרות!$A$2:$A$21,MOD(I4546+הגדרות!$E$9,הגדרות!$E$6)+1))</f>
        <v/>
      </c>
    </row>
    <row r="4547" customFormat="false" ht="15" hidden="false" customHeight="false" outlineLevel="0" collapsed="false">
      <c r="A4547" s="0" t="str">
        <f aca="false">IF('הדבקת לידים'!A4547="","",IF(ISNUMBER('הדבקת לידים'!A4547),IF(הגדרות!$E$2&gt;0,TEXT('הדבקת לידים'!A4547,REPT("0",הגדרות!$E$2)),TEXT('הדבקת לידים'!A4547,"0")),TRIM('הדבקת לידים'!A4547)))</f>
        <v/>
      </c>
      <c r="B4547" s="0" t="str">
        <f aca="false">IF('הדבקת לידים'!B4547="","",IF(ISNUMBER('הדבקת לידים'!B4547),IF(הגדרות!$E$3&gt;0,TEXT('הדבקת לידים'!B4547,REPT("0",הגדרות!$E$3)),TEXT('הדבקת לידים'!B4547,"0")),TRIM('הדבקת לידים'!B4547)))</f>
        <v/>
      </c>
      <c r="C4547" s="0" t="n">
        <f aca="false">IF(OR(A4547&lt;&gt;"",B4547&lt;&gt;""),1,0)</f>
        <v>0</v>
      </c>
      <c r="D4547" s="0" t="str">
        <f aca="false">IF(C4547=1,MOD(ABS(SIN(ROW()*12.9898+'הדבקת לידים'!$F$2*78.233+IFERROR(--RIGHT(A4547,6),LEN(A4547))*0.0137+IFERROR(--RIGHT(B4547,6),LEN(B4547))*0.0071))*43758.5453,1),"")</f>
        <v/>
      </c>
      <c r="E4547" s="0" t="str">
        <f aca="false">IF(C4547=1,INT(MOD(ABS(SIN(D4547*7919.123+ROW()*0.618+'הדבקת לידים'!$F$2*1.3))*43758.5453,1)*1000000)*10000+ROW(),"")</f>
        <v/>
      </c>
      <c r="F4547" s="0" t="str">
        <f aca="false">IF(E4547="","",RANK(E4547,$E$2:$E$5001,1))</f>
        <v/>
      </c>
      <c r="G4547" s="0" t="n">
        <f aca="false">IF(A4547="",0,IF(SUMPRODUCT(--($A$2:$A$5001=A4547))&gt;1,1,0))</f>
        <v>0</v>
      </c>
      <c r="H4547" s="0" t="n">
        <f aca="false">ROW()-1</f>
        <v>4546</v>
      </c>
      <c r="I4547" s="0" t="str">
        <f aca="false">IF(OR(הגדרות!$E$6=0,H4547&gt;הגדרות!$E$5),"",IF(H4547-1&lt;הגדרות!$E$8*(הגדרות!$E$7+1),INT((H4547-1)/(הגדרות!$E$7+1)),הגדרות!$E$8+INT((H4547-1-הגדרות!$E$8*(הגדרות!$E$7+1))/הגדרות!$E$7)))</f>
        <v/>
      </c>
      <c r="J4547" s="0" t="str">
        <f aca="false">IF(I4547="","",IF(H4547-1&lt;הגדרות!$E$8*(הגדרות!$E$7+1),MOD(H4547-1,הגדרות!$E$7+1),MOD(H4547-1-הגדרות!$E$8*(הגדרות!$E$7+1),הגדרות!$E$7)))</f>
        <v/>
      </c>
      <c r="K4547" s="0" t="str">
        <f aca="false">IF(I4547="","",J4547*הגדרות!$E$6+I4547+1)</f>
        <v/>
      </c>
      <c r="L4547" s="0" t="str">
        <f aca="false">IF(K4547="","",MATCH(K4547,$F$2:$F$5001,0))</f>
        <v/>
      </c>
      <c r="M4547" s="0" t="str">
        <f aca="false">IF(I4547="","",INDEX(הגדרות!$A$2:$A$21,MOD(I4547+הגדרות!$E$9,הגדרות!$E$6)+1))</f>
        <v/>
      </c>
    </row>
    <row r="4548" customFormat="false" ht="15" hidden="false" customHeight="false" outlineLevel="0" collapsed="false">
      <c r="A4548" s="0" t="str">
        <f aca="false">IF('הדבקת לידים'!A4548="","",IF(ISNUMBER('הדבקת לידים'!A4548),IF(הגדרות!$E$2&gt;0,TEXT('הדבקת לידים'!A4548,REPT("0",הגדרות!$E$2)),TEXT('הדבקת לידים'!A4548,"0")),TRIM('הדבקת לידים'!A4548)))</f>
        <v/>
      </c>
      <c r="B4548" s="0" t="str">
        <f aca="false">IF('הדבקת לידים'!B4548="","",IF(ISNUMBER('הדבקת לידים'!B4548),IF(הגדרות!$E$3&gt;0,TEXT('הדבקת לידים'!B4548,REPT("0",הגדרות!$E$3)),TEXT('הדבקת לידים'!B4548,"0")),TRIM('הדבקת לידים'!B4548)))</f>
        <v/>
      </c>
      <c r="C4548" s="0" t="n">
        <f aca="false">IF(OR(A4548&lt;&gt;"",B4548&lt;&gt;""),1,0)</f>
        <v>0</v>
      </c>
      <c r="D4548" s="0" t="str">
        <f aca="false">IF(C4548=1,MOD(ABS(SIN(ROW()*12.9898+'הדבקת לידים'!$F$2*78.233+IFERROR(--RIGHT(A4548,6),LEN(A4548))*0.0137+IFERROR(--RIGHT(B4548,6),LEN(B4548))*0.0071))*43758.5453,1),"")</f>
        <v/>
      </c>
      <c r="E4548" s="0" t="str">
        <f aca="false">IF(C4548=1,INT(MOD(ABS(SIN(D4548*7919.123+ROW()*0.618+'הדבקת לידים'!$F$2*1.3))*43758.5453,1)*1000000)*10000+ROW(),"")</f>
        <v/>
      </c>
      <c r="F4548" s="0" t="str">
        <f aca="false">IF(E4548="","",RANK(E4548,$E$2:$E$5001,1))</f>
        <v/>
      </c>
      <c r="G4548" s="0" t="n">
        <f aca="false">IF(A4548="",0,IF(SUMPRODUCT(--($A$2:$A$5001=A4548))&gt;1,1,0))</f>
        <v>0</v>
      </c>
      <c r="H4548" s="0" t="n">
        <f aca="false">ROW()-1</f>
        <v>4547</v>
      </c>
      <c r="I4548" s="0" t="str">
        <f aca="false">IF(OR(הגדרות!$E$6=0,H4548&gt;הגדרות!$E$5),"",IF(H4548-1&lt;הגדרות!$E$8*(הגדרות!$E$7+1),INT((H4548-1)/(הגדרות!$E$7+1)),הגדרות!$E$8+INT((H4548-1-הגדרות!$E$8*(הגדרות!$E$7+1))/הגדרות!$E$7)))</f>
        <v/>
      </c>
      <c r="J4548" s="0" t="str">
        <f aca="false">IF(I4548="","",IF(H4548-1&lt;הגדרות!$E$8*(הגדרות!$E$7+1),MOD(H4548-1,הגדרות!$E$7+1),MOD(H4548-1-הגדרות!$E$8*(הגדרות!$E$7+1),הגדרות!$E$7)))</f>
        <v/>
      </c>
      <c r="K4548" s="0" t="str">
        <f aca="false">IF(I4548="","",J4548*הגדרות!$E$6+I4548+1)</f>
        <v/>
      </c>
      <c r="L4548" s="0" t="str">
        <f aca="false">IF(K4548="","",MATCH(K4548,$F$2:$F$5001,0))</f>
        <v/>
      </c>
      <c r="M4548" s="0" t="str">
        <f aca="false">IF(I4548="","",INDEX(הגדרות!$A$2:$A$21,MOD(I4548+הגדרות!$E$9,הגדרות!$E$6)+1))</f>
        <v/>
      </c>
    </row>
    <row r="4549" customFormat="false" ht="15" hidden="false" customHeight="false" outlineLevel="0" collapsed="false">
      <c r="A4549" s="0" t="str">
        <f aca="false">IF('הדבקת לידים'!A4549="","",IF(ISNUMBER('הדבקת לידים'!A4549),IF(הגדרות!$E$2&gt;0,TEXT('הדבקת לידים'!A4549,REPT("0",הגדרות!$E$2)),TEXT('הדבקת לידים'!A4549,"0")),TRIM('הדבקת לידים'!A4549)))</f>
        <v/>
      </c>
      <c r="B4549" s="0" t="str">
        <f aca="false">IF('הדבקת לידים'!B4549="","",IF(ISNUMBER('הדבקת לידים'!B4549),IF(הגדרות!$E$3&gt;0,TEXT('הדבקת לידים'!B4549,REPT("0",הגדרות!$E$3)),TEXT('הדבקת לידים'!B4549,"0")),TRIM('הדבקת לידים'!B4549)))</f>
        <v/>
      </c>
      <c r="C4549" s="0" t="n">
        <f aca="false">IF(OR(A4549&lt;&gt;"",B4549&lt;&gt;""),1,0)</f>
        <v>0</v>
      </c>
      <c r="D4549" s="0" t="str">
        <f aca="false">IF(C4549=1,MOD(ABS(SIN(ROW()*12.9898+'הדבקת לידים'!$F$2*78.233+IFERROR(--RIGHT(A4549,6),LEN(A4549))*0.0137+IFERROR(--RIGHT(B4549,6),LEN(B4549))*0.0071))*43758.5453,1),"")</f>
        <v/>
      </c>
      <c r="E4549" s="0" t="str">
        <f aca="false">IF(C4549=1,INT(MOD(ABS(SIN(D4549*7919.123+ROW()*0.618+'הדבקת לידים'!$F$2*1.3))*43758.5453,1)*1000000)*10000+ROW(),"")</f>
        <v/>
      </c>
      <c r="F4549" s="0" t="str">
        <f aca="false">IF(E4549="","",RANK(E4549,$E$2:$E$5001,1))</f>
        <v/>
      </c>
      <c r="G4549" s="0" t="n">
        <f aca="false">IF(A4549="",0,IF(SUMPRODUCT(--($A$2:$A$5001=A4549))&gt;1,1,0))</f>
        <v>0</v>
      </c>
      <c r="H4549" s="0" t="n">
        <f aca="false">ROW()-1</f>
        <v>4548</v>
      </c>
      <c r="I4549" s="0" t="str">
        <f aca="false">IF(OR(הגדרות!$E$6=0,H4549&gt;הגדרות!$E$5),"",IF(H4549-1&lt;הגדרות!$E$8*(הגדרות!$E$7+1),INT((H4549-1)/(הגדרות!$E$7+1)),הגדרות!$E$8+INT((H4549-1-הגדרות!$E$8*(הגדרות!$E$7+1))/הגדרות!$E$7)))</f>
        <v/>
      </c>
      <c r="J4549" s="0" t="str">
        <f aca="false">IF(I4549="","",IF(H4549-1&lt;הגדרות!$E$8*(הגדרות!$E$7+1),MOD(H4549-1,הגדרות!$E$7+1),MOD(H4549-1-הגדרות!$E$8*(הגדרות!$E$7+1),הגדרות!$E$7)))</f>
        <v/>
      </c>
      <c r="K4549" s="0" t="str">
        <f aca="false">IF(I4549="","",J4549*הגדרות!$E$6+I4549+1)</f>
        <v/>
      </c>
      <c r="L4549" s="0" t="str">
        <f aca="false">IF(K4549="","",MATCH(K4549,$F$2:$F$5001,0))</f>
        <v/>
      </c>
      <c r="M4549" s="0" t="str">
        <f aca="false">IF(I4549="","",INDEX(הגדרות!$A$2:$A$21,MOD(I4549+הגדרות!$E$9,הגדרות!$E$6)+1))</f>
        <v/>
      </c>
    </row>
    <row r="4550" customFormat="false" ht="15" hidden="false" customHeight="false" outlineLevel="0" collapsed="false">
      <c r="A4550" s="0" t="str">
        <f aca="false">IF('הדבקת לידים'!A4550="","",IF(ISNUMBER('הדבקת לידים'!A4550),IF(הגדרות!$E$2&gt;0,TEXT('הדבקת לידים'!A4550,REPT("0",הגדרות!$E$2)),TEXT('הדבקת לידים'!A4550,"0")),TRIM('הדבקת לידים'!A4550)))</f>
        <v/>
      </c>
      <c r="B4550" s="0" t="str">
        <f aca="false">IF('הדבקת לידים'!B4550="","",IF(ISNUMBER('הדבקת לידים'!B4550),IF(הגדרות!$E$3&gt;0,TEXT('הדבקת לידים'!B4550,REPT("0",הגדרות!$E$3)),TEXT('הדבקת לידים'!B4550,"0")),TRIM('הדבקת לידים'!B4550)))</f>
        <v/>
      </c>
      <c r="C4550" s="0" t="n">
        <f aca="false">IF(OR(A4550&lt;&gt;"",B4550&lt;&gt;""),1,0)</f>
        <v>0</v>
      </c>
      <c r="D4550" s="0" t="str">
        <f aca="false">IF(C4550=1,MOD(ABS(SIN(ROW()*12.9898+'הדבקת לידים'!$F$2*78.233+IFERROR(--RIGHT(A4550,6),LEN(A4550))*0.0137+IFERROR(--RIGHT(B4550,6),LEN(B4550))*0.0071))*43758.5453,1),"")</f>
        <v/>
      </c>
      <c r="E4550" s="0" t="str">
        <f aca="false">IF(C4550=1,INT(MOD(ABS(SIN(D4550*7919.123+ROW()*0.618+'הדבקת לידים'!$F$2*1.3))*43758.5453,1)*1000000)*10000+ROW(),"")</f>
        <v/>
      </c>
      <c r="F4550" s="0" t="str">
        <f aca="false">IF(E4550="","",RANK(E4550,$E$2:$E$5001,1))</f>
        <v/>
      </c>
      <c r="G4550" s="0" t="n">
        <f aca="false">IF(A4550="",0,IF(SUMPRODUCT(--($A$2:$A$5001=A4550))&gt;1,1,0))</f>
        <v>0</v>
      </c>
      <c r="H4550" s="0" t="n">
        <f aca="false">ROW()-1</f>
        <v>4549</v>
      </c>
      <c r="I4550" s="0" t="str">
        <f aca="false">IF(OR(הגדרות!$E$6=0,H4550&gt;הגדרות!$E$5),"",IF(H4550-1&lt;הגדרות!$E$8*(הגדרות!$E$7+1),INT((H4550-1)/(הגדרות!$E$7+1)),הגדרות!$E$8+INT((H4550-1-הגדרות!$E$8*(הגדרות!$E$7+1))/הגדרות!$E$7)))</f>
        <v/>
      </c>
      <c r="J4550" s="0" t="str">
        <f aca="false">IF(I4550="","",IF(H4550-1&lt;הגדרות!$E$8*(הגדרות!$E$7+1),MOD(H4550-1,הגדרות!$E$7+1),MOD(H4550-1-הגדרות!$E$8*(הגדרות!$E$7+1),הגדרות!$E$7)))</f>
        <v/>
      </c>
      <c r="K4550" s="0" t="str">
        <f aca="false">IF(I4550="","",J4550*הגדרות!$E$6+I4550+1)</f>
        <v/>
      </c>
      <c r="L4550" s="0" t="str">
        <f aca="false">IF(K4550="","",MATCH(K4550,$F$2:$F$5001,0))</f>
        <v/>
      </c>
      <c r="M4550" s="0" t="str">
        <f aca="false">IF(I4550="","",INDEX(הגדרות!$A$2:$A$21,MOD(I4550+הגדרות!$E$9,הגדרות!$E$6)+1))</f>
        <v/>
      </c>
    </row>
    <row r="4551" customFormat="false" ht="15" hidden="false" customHeight="false" outlineLevel="0" collapsed="false">
      <c r="A4551" s="0" t="str">
        <f aca="false">IF('הדבקת לידים'!A4551="","",IF(ISNUMBER('הדבקת לידים'!A4551),IF(הגדרות!$E$2&gt;0,TEXT('הדבקת לידים'!A4551,REPT("0",הגדרות!$E$2)),TEXT('הדבקת לידים'!A4551,"0")),TRIM('הדבקת לידים'!A4551)))</f>
        <v/>
      </c>
      <c r="B4551" s="0" t="str">
        <f aca="false">IF('הדבקת לידים'!B4551="","",IF(ISNUMBER('הדבקת לידים'!B4551),IF(הגדרות!$E$3&gt;0,TEXT('הדבקת לידים'!B4551,REPT("0",הגדרות!$E$3)),TEXT('הדבקת לידים'!B4551,"0")),TRIM('הדבקת לידים'!B4551)))</f>
        <v/>
      </c>
      <c r="C4551" s="0" t="n">
        <f aca="false">IF(OR(A4551&lt;&gt;"",B4551&lt;&gt;""),1,0)</f>
        <v>0</v>
      </c>
      <c r="D4551" s="0" t="str">
        <f aca="false">IF(C4551=1,MOD(ABS(SIN(ROW()*12.9898+'הדבקת לידים'!$F$2*78.233+IFERROR(--RIGHT(A4551,6),LEN(A4551))*0.0137+IFERROR(--RIGHT(B4551,6),LEN(B4551))*0.0071))*43758.5453,1),"")</f>
        <v/>
      </c>
      <c r="E4551" s="0" t="str">
        <f aca="false">IF(C4551=1,INT(MOD(ABS(SIN(D4551*7919.123+ROW()*0.618+'הדבקת לידים'!$F$2*1.3))*43758.5453,1)*1000000)*10000+ROW(),"")</f>
        <v/>
      </c>
      <c r="F4551" s="0" t="str">
        <f aca="false">IF(E4551="","",RANK(E4551,$E$2:$E$5001,1))</f>
        <v/>
      </c>
      <c r="G4551" s="0" t="n">
        <f aca="false">IF(A4551="",0,IF(SUMPRODUCT(--($A$2:$A$5001=A4551))&gt;1,1,0))</f>
        <v>0</v>
      </c>
      <c r="H4551" s="0" t="n">
        <f aca="false">ROW()-1</f>
        <v>4550</v>
      </c>
      <c r="I4551" s="0" t="str">
        <f aca="false">IF(OR(הגדרות!$E$6=0,H4551&gt;הגדרות!$E$5),"",IF(H4551-1&lt;הגדרות!$E$8*(הגדרות!$E$7+1),INT((H4551-1)/(הגדרות!$E$7+1)),הגדרות!$E$8+INT((H4551-1-הגדרות!$E$8*(הגדרות!$E$7+1))/הגדרות!$E$7)))</f>
        <v/>
      </c>
      <c r="J4551" s="0" t="str">
        <f aca="false">IF(I4551="","",IF(H4551-1&lt;הגדרות!$E$8*(הגדרות!$E$7+1),MOD(H4551-1,הגדרות!$E$7+1),MOD(H4551-1-הגדרות!$E$8*(הגדרות!$E$7+1),הגדרות!$E$7)))</f>
        <v/>
      </c>
      <c r="K4551" s="0" t="str">
        <f aca="false">IF(I4551="","",J4551*הגדרות!$E$6+I4551+1)</f>
        <v/>
      </c>
      <c r="L4551" s="0" t="str">
        <f aca="false">IF(K4551="","",MATCH(K4551,$F$2:$F$5001,0))</f>
        <v/>
      </c>
      <c r="M4551" s="0" t="str">
        <f aca="false">IF(I4551="","",INDEX(הגדרות!$A$2:$A$21,MOD(I4551+הגדרות!$E$9,הגדרות!$E$6)+1))</f>
        <v/>
      </c>
    </row>
    <row r="4552" customFormat="false" ht="15" hidden="false" customHeight="false" outlineLevel="0" collapsed="false">
      <c r="A4552" s="0" t="str">
        <f aca="false">IF('הדבקת לידים'!A4552="","",IF(ISNUMBER('הדבקת לידים'!A4552),IF(הגדרות!$E$2&gt;0,TEXT('הדבקת לידים'!A4552,REPT("0",הגדרות!$E$2)),TEXT('הדבקת לידים'!A4552,"0")),TRIM('הדבקת לידים'!A4552)))</f>
        <v/>
      </c>
      <c r="B4552" s="0" t="str">
        <f aca="false">IF('הדבקת לידים'!B4552="","",IF(ISNUMBER('הדבקת לידים'!B4552),IF(הגדרות!$E$3&gt;0,TEXT('הדבקת לידים'!B4552,REPT("0",הגדרות!$E$3)),TEXT('הדבקת לידים'!B4552,"0")),TRIM('הדבקת לידים'!B4552)))</f>
        <v/>
      </c>
      <c r="C4552" s="0" t="n">
        <f aca="false">IF(OR(A4552&lt;&gt;"",B4552&lt;&gt;""),1,0)</f>
        <v>0</v>
      </c>
      <c r="D4552" s="0" t="str">
        <f aca="false">IF(C4552=1,MOD(ABS(SIN(ROW()*12.9898+'הדבקת לידים'!$F$2*78.233+IFERROR(--RIGHT(A4552,6),LEN(A4552))*0.0137+IFERROR(--RIGHT(B4552,6),LEN(B4552))*0.0071))*43758.5453,1),"")</f>
        <v/>
      </c>
      <c r="E4552" s="0" t="str">
        <f aca="false">IF(C4552=1,INT(MOD(ABS(SIN(D4552*7919.123+ROW()*0.618+'הדבקת לידים'!$F$2*1.3))*43758.5453,1)*1000000)*10000+ROW(),"")</f>
        <v/>
      </c>
      <c r="F4552" s="0" t="str">
        <f aca="false">IF(E4552="","",RANK(E4552,$E$2:$E$5001,1))</f>
        <v/>
      </c>
      <c r="G4552" s="0" t="n">
        <f aca="false">IF(A4552="",0,IF(SUMPRODUCT(--($A$2:$A$5001=A4552))&gt;1,1,0))</f>
        <v>0</v>
      </c>
      <c r="H4552" s="0" t="n">
        <f aca="false">ROW()-1</f>
        <v>4551</v>
      </c>
      <c r="I4552" s="0" t="str">
        <f aca="false">IF(OR(הגדרות!$E$6=0,H4552&gt;הגדרות!$E$5),"",IF(H4552-1&lt;הגדרות!$E$8*(הגדרות!$E$7+1),INT((H4552-1)/(הגדרות!$E$7+1)),הגדרות!$E$8+INT((H4552-1-הגדרות!$E$8*(הגדרות!$E$7+1))/הגדרות!$E$7)))</f>
        <v/>
      </c>
      <c r="J4552" s="0" t="str">
        <f aca="false">IF(I4552="","",IF(H4552-1&lt;הגדרות!$E$8*(הגדרות!$E$7+1),MOD(H4552-1,הגדרות!$E$7+1),MOD(H4552-1-הגדרות!$E$8*(הגדרות!$E$7+1),הגדרות!$E$7)))</f>
        <v/>
      </c>
      <c r="K4552" s="0" t="str">
        <f aca="false">IF(I4552="","",J4552*הגדרות!$E$6+I4552+1)</f>
        <v/>
      </c>
      <c r="L4552" s="0" t="str">
        <f aca="false">IF(K4552="","",MATCH(K4552,$F$2:$F$5001,0))</f>
        <v/>
      </c>
      <c r="M4552" s="0" t="str">
        <f aca="false">IF(I4552="","",INDEX(הגדרות!$A$2:$A$21,MOD(I4552+הגדרות!$E$9,הגדרות!$E$6)+1))</f>
        <v/>
      </c>
    </row>
    <row r="4553" customFormat="false" ht="15" hidden="false" customHeight="false" outlineLevel="0" collapsed="false">
      <c r="A4553" s="0" t="str">
        <f aca="false">IF('הדבקת לידים'!A4553="","",IF(ISNUMBER('הדבקת לידים'!A4553),IF(הגדרות!$E$2&gt;0,TEXT('הדבקת לידים'!A4553,REPT("0",הגדרות!$E$2)),TEXT('הדבקת לידים'!A4553,"0")),TRIM('הדבקת לידים'!A4553)))</f>
        <v/>
      </c>
      <c r="B4553" s="0" t="str">
        <f aca="false">IF('הדבקת לידים'!B4553="","",IF(ISNUMBER('הדבקת לידים'!B4553),IF(הגדרות!$E$3&gt;0,TEXT('הדבקת לידים'!B4553,REPT("0",הגדרות!$E$3)),TEXT('הדבקת לידים'!B4553,"0")),TRIM('הדבקת לידים'!B4553)))</f>
        <v/>
      </c>
      <c r="C4553" s="0" t="n">
        <f aca="false">IF(OR(A4553&lt;&gt;"",B4553&lt;&gt;""),1,0)</f>
        <v>0</v>
      </c>
      <c r="D4553" s="0" t="str">
        <f aca="false">IF(C4553=1,MOD(ABS(SIN(ROW()*12.9898+'הדבקת לידים'!$F$2*78.233+IFERROR(--RIGHT(A4553,6),LEN(A4553))*0.0137+IFERROR(--RIGHT(B4553,6),LEN(B4553))*0.0071))*43758.5453,1),"")</f>
        <v/>
      </c>
      <c r="E4553" s="0" t="str">
        <f aca="false">IF(C4553=1,INT(MOD(ABS(SIN(D4553*7919.123+ROW()*0.618+'הדבקת לידים'!$F$2*1.3))*43758.5453,1)*1000000)*10000+ROW(),"")</f>
        <v/>
      </c>
      <c r="F4553" s="0" t="str">
        <f aca="false">IF(E4553="","",RANK(E4553,$E$2:$E$5001,1))</f>
        <v/>
      </c>
      <c r="G4553" s="0" t="n">
        <f aca="false">IF(A4553="",0,IF(SUMPRODUCT(--($A$2:$A$5001=A4553))&gt;1,1,0))</f>
        <v>0</v>
      </c>
      <c r="H4553" s="0" t="n">
        <f aca="false">ROW()-1</f>
        <v>4552</v>
      </c>
      <c r="I4553" s="0" t="str">
        <f aca="false">IF(OR(הגדרות!$E$6=0,H4553&gt;הגדרות!$E$5),"",IF(H4553-1&lt;הגדרות!$E$8*(הגדרות!$E$7+1),INT((H4553-1)/(הגדרות!$E$7+1)),הגדרות!$E$8+INT((H4553-1-הגדרות!$E$8*(הגדרות!$E$7+1))/הגדרות!$E$7)))</f>
        <v/>
      </c>
      <c r="J4553" s="0" t="str">
        <f aca="false">IF(I4553="","",IF(H4553-1&lt;הגדרות!$E$8*(הגדרות!$E$7+1),MOD(H4553-1,הגדרות!$E$7+1),MOD(H4553-1-הגדרות!$E$8*(הגדרות!$E$7+1),הגדרות!$E$7)))</f>
        <v/>
      </c>
      <c r="K4553" s="0" t="str">
        <f aca="false">IF(I4553="","",J4553*הגדרות!$E$6+I4553+1)</f>
        <v/>
      </c>
      <c r="L4553" s="0" t="str">
        <f aca="false">IF(K4553="","",MATCH(K4553,$F$2:$F$5001,0))</f>
        <v/>
      </c>
      <c r="M4553" s="0" t="str">
        <f aca="false">IF(I4553="","",INDEX(הגדרות!$A$2:$A$21,MOD(I4553+הגדרות!$E$9,הגדרות!$E$6)+1))</f>
        <v/>
      </c>
    </row>
    <row r="4554" customFormat="false" ht="15" hidden="false" customHeight="false" outlineLevel="0" collapsed="false">
      <c r="A4554" s="0" t="str">
        <f aca="false">IF('הדבקת לידים'!A4554="","",IF(ISNUMBER('הדבקת לידים'!A4554),IF(הגדרות!$E$2&gt;0,TEXT('הדבקת לידים'!A4554,REPT("0",הגדרות!$E$2)),TEXT('הדבקת לידים'!A4554,"0")),TRIM('הדבקת לידים'!A4554)))</f>
        <v/>
      </c>
      <c r="B4554" s="0" t="str">
        <f aca="false">IF('הדבקת לידים'!B4554="","",IF(ISNUMBER('הדבקת לידים'!B4554),IF(הגדרות!$E$3&gt;0,TEXT('הדבקת לידים'!B4554,REPT("0",הגדרות!$E$3)),TEXT('הדבקת לידים'!B4554,"0")),TRIM('הדבקת לידים'!B4554)))</f>
        <v/>
      </c>
      <c r="C4554" s="0" t="n">
        <f aca="false">IF(OR(A4554&lt;&gt;"",B4554&lt;&gt;""),1,0)</f>
        <v>0</v>
      </c>
      <c r="D4554" s="0" t="str">
        <f aca="false">IF(C4554=1,MOD(ABS(SIN(ROW()*12.9898+'הדבקת לידים'!$F$2*78.233+IFERROR(--RIGHT(A4554,6),LEN(A4554))*0.0137+IFERROR(--RIGHT(B4554,6),LEN(B4554))*0.0071))*43758.5453,1),"")</f>
        <v/>
      </c>
      <c r="E4554" s="0" t="str">
        <f aca="false">IF(C4554=1,INT(MOD(ABS(SIN(D4554*7919.123+ROW()*0.618+'הדבקת לידים'!$F$2*1.3))*43758.5453,1)*1000000)*10000+ROW(),"")</f>
        <v/>
      </c>
      <c r="F4554" s="0" t="str">
        <f aca="false">IF(E4554="","",RANK(E4554,$E$2:$E$5001,1))</f>
        <v/>
      </c>
      <c r="G4554" s="0" t="n">
        <f aca="false">IF(A4554="",0,IF(SUMPRODUCT(--($A$2:$A$5001=A4554))&gt;1,1,0))</f>
        <v>0</v>
      </c>
      <c r="H4554" s="0" t="n">
        <f aca="false">ROW()-1</f>
        <v>4553</v>
      </c>
      <c r="I4554" s="0" t="str">
        <f aca="false">IF(OR(הגדרות!$E$6=0,H4554&gt;הגדרות!$E$5),"",IF(H4554-1&lt;הגדרות!$E$8*(הגדרות!$E$7+1),INT((H4554-1)/(הגדרות!$E$7+1)),הגדרות!$E$8+INT((H4554-1-הגדרות!$E$8*(הגדרות!$E$7+1))/הגדרות!$E$7)))</f>
        <v/>
      </c>
      <c r="J4554" s="0" t="str">
        <f aca="false">IF(I4554="","",IF(H4554-1&lt;הגדרות!$E$8*(הגדרות!$E$7+1),MOD(H4554-1,הגדרות!$E$7+1),MOD(H4554-1-הגדרות!$E$8*(הגדרות!$E$7+1),הגדרות!$E$7)))</f>
        <v/>
      </c>
      <c r="K4554" s="0" t="str">
        <f aca="false">IF(I4554="","",J4554*הגדרות!$E$6+I4554+1)</f>
        <v/>
      </c>
      <c r="L4554" s="0" t="str">
        <f aca="false">IF(K4554="","",MATCH(K4554,$F$2:$F$5001,0))</f>
        <v/>
      </c>
      <c r="M4554" s="0" t="str">
        <f aca="false">IF(I4554="","",INDEX(הגדרות!$A$2:$A$21,MOD(I4554+הגדרות!$E$9,הגדרות!$E$6)+1))</f>
        <v/>
      </c>
    </row>
    <row r="4555" customFormat="false" ht="15" hidden="false" customHeight="false" outlineLevel="0" collapsed="false">
      <c r="A4555" s="0" t="str">
        <f aca="false">IF('הדבקת לידים'!A4555="","",IF(ISNUMBER('הדבקת לידים'!A4555),IF(הגדרות!$E$2&gt;0,TEXT('הדבקת לידים'!A4555,REPT("0",הגדרות!$E$2)),TEXT('הדבקת לידים'!A4555,"0")),TRIM('הדבקת לידים'!A4555)))</f>
        <v/>
      </c>
      <c r="B4555" s="0" t="str">
        <f aca="false">IF('הדבקת לידים'!B4555="","",IF(ISNUMBER('הדבקת לידים'!B4555),IF(הגדרות!$E$3&gt;0,TEXT('הדבקת לידים'!B4555,REPT("0",הגדרות!$E$3)),TEXT('הדבקת לידים'!B4555,"0")),TRIM('הדבקת לידים'!B4555)))</f>
        <v/>
      </c>
      <c r="C4555" s="0" t="n">
        <f aca="false">IF(OR(A4555&lt;&gt;"",B4555&lt;&gt;""),1,0)</f>
        <v>0</v>
      </c>
      <c r="D4555" s="0" t="str">
        <f aca="false">IF(C4555=1,MOD(ABS(SIN(ROW()*12.9898+'הדבקת לידים'!$F$2*78.233+IFERROR(--RIGHT(A4555,6),LEN(A4555))*0.0137+IFERROR(--RIGHT(B4555,6),LEN(B4555))*0.0071))*43758.5453,1),"")</f>
        <v/>
      </c>
      <c r="E4555" s="0" t="str">
        <f aca="false">IF(C4555=1,INT(MOD(ABS(SIN(D4555*7919.123+ROW()*0.618+'הדבקת לידים'!$F$2*1.3))*43758.5453,1)*1000000)*10000+ROW(),"")</f>
        <v/>
      </c>
      <c r="F4555" s="0" t="str">
        <f aca="false">IF(E4555="","",RANK(E4555,$E$2:$E$5001,1))</f>
        <v/>
      </c>
      <c r="G4555" s="0" t="n">
        <f aca="false">IF(A4555="",0,IF(SUMPRODUCT(--($A$2:$A$5001=A4555))&gt;1,1,0))</f>
        <v>0</v>
      </c>
      <c r="H4555" s="0" t="n">
        <f aca="false">ROW()-1</f>
        <v>4554</v>
      </c>
      <c r="I4555" s="0" t="str">
        <f aca="false">IF(OR(הגדרות!$E$6=0,H4555&gt;הגדרות!$E$5),"",IF(H4555-1&lt;הגדרות!$E$8*(הגדרות!$E$7+1),INT((H4555-1)/(הגדרות!$E$7+1)),הגדרות!$E$8+INT((H4555-1-הגדרות!$E$8*(הגדרות!$E$7+1))/הגדרות!$E$7)))</f>
        <v/>
      </c>
      <c r="J4555" s="0" t="str">
        <f aca="false">IF(I4555="","",IF(H4555-1&lt;הגדרות!$E$8*(הגדרות!$E$7+1),MOD(H4555-1,הגדרות!$E$7+1),MOD(H4555-1-הגדרות!$E$8*(הגדרות!$E$7+1),הגדרות!$E$7)))</f>
        <v/>
      </c>
      <c r="K4555" s="0" t="str">
        <f aca="false">IF(I4555="","",J4555*הגדרות!$E$6+I4555+1)</f>
        <v/>
      </c>
      <c r="L4555" s="0" t="str">
        <f aca="false">IF(K4555="","",MATCH(K4555,$F$2:$F$5001,0))</f>
        <v/>
      </c>
      <c r="M4555" s="0" t="str">
        <f aca="false">IF(I4555="","",INDEX(הגדרות!$A$2:$A$21,MOD(I4555+הגדרות!$E$9,הגדרות!$E$6)+1))</f>
        <v/>
      </c>
    </row>
    <row r="4556" customFormat="false" ht="15" hidden="false" customHeight="false" outlineLevel="0" collapsed="false">
      <c r="A4556" s="0" t="str">
        <f aca="false">IF('הדבקת לידים'!A4556="","",IF(ISNUMBER('הדבקת לידים'!A4556),IF(הגדרות!$E$2&gt;0,TEXT('הדבקת לידים'!A4556,REPT("0",הגדרות!$E$2)),TEXT('הדבקת לידים'!A4556,"0")),TRIM('הדבקת לידים'!A4556)))</f>
        <v/>
      </c>
      <c r="B4556" s="0" t="str">
        <f aca="false">IF('הדבקת לידים'!B4556="","",IF(ISNUMBER('הדבקת לידים'!B4556),IF(הגדרות!$E$3&gt;0,TEXT('הדבקת לידים'!B4556,REPT("0",הגדרות!$E$3)),TEXT('הדבקת לידים'!B4556,"0")),TRIM('הדבקת לידים'!B4556)))</f>
        <v/>
      </c>
      <c r="C4556" s="0" t="n">
        <f aca="false">IF(OR(A4556&lt;&gt;"",B4556&lt;&gt;""),1,0)</f>
        <v>0</v>
      </c>
      <c r="D4556" s="0" t="str">
        <f aca="false">IF(C4556=1,MOD(ABS(SIN(ROW()*12.9898+'הדבקת לידים'!$F$2*78.233+IFERROR(--RIGHT(A4556,6),LEN(A4556))*0.0137+IFERROR(--RIGHT(B4556,6),LEN(B4556))*0.0071))*43758.5453,1),"")</f>
        <v/>
      </c>
      <c r="E4556" s="0" t="str">
        <f aca="false">IF(C4556=1,INT(MOD(ABS(SIN(D4556*7919.123+ROW()*0.618+'הדבקת לידים'!$F$2*1.3))*43758.5453,1)*1000000)*10000+ROW(),"")</f>
        <v/>
      </c>
      <c r="F4556" s="0" t="str">
        <f aca="false">IF(E4556="","",RANK(E4556,$E$2:$E$5001,1))</f>
        <v/>
      </c>
      <c r="G4556" s="0" t="n">
        <f aca="false">IF(A4556="",0,IF(SUMPRODUCT(--($A$2:$A$5001=A4556))&gt;1,1,0))</f>
        <v>0</v>
      </c>
      <c r="H4556" s="0" t="n">
        <f aca="false">ROW()-1</f>
        <v>4555</v>
      </c>
      <c r="I4556" s="0" t="str">
        <f aca="false">IF(OR(הגדרות!$E$6=0,H4556&gt;הגדרות!$E$5),"",IF(H4556-1&lt;הגדרות!$E$8*(הגדרות!$E$7+1),INT((H4556-1)/(הגדרות!$E$7+1)),הגדרות!$E$8+INT((H4556-1-הגדרות!$E$8*(הגדרות!$E$7+1))/הגדרות!$E$7)))</f>
        <v/>
      </c>
      <c r="J4556" s="0" t="str">
        <f aca="false">IF(I4556="","",IF(H4556-1&lt;הגדרות!$E$8*(הגדרות!$E$7+1),MOD(H4556-1,הגדרות!$E$7+1),MOD(H4556-1-הגדרות!$E$8*(הגדרות!$E$7+1),הגדרות!$E$7)))</f>
        <v/>
      </c>
      <c r="K4556" s="0" t="str">
        <f aca="false">IF(I4556="","",J4556*הגדרות!$E$6+I4556+1)</f>
        <v/>
      </c>
      <c r="L4556" s="0" t="str">
        <f aca="false">IF(K4556="","",MATCH(K4556,$F$2:$F$5001,0))</f>
        <v/>
      </c>
      <c r="M4556" s="0" t="str">
        <f aca="false">IF(I4556="","",INDEX(הגדרות!$A$2:$A$21,MOD(I4556+הגדרות!$E$9,הגדרות!$E$6)+1))</f>
        <v/>
      </c>
    </row>
    <row r="4557" customFormat="false" ht="15" hidden="false" customHeight="false" outlineLevel="0" collapsed="false">
      <c r="A4557" s="0" t="str">
        <f aca="false">IF('הדבקת לידים'!A4557="","",IF(ISNUMBER('הדבקת לידים'!A4557),IF(הגדרות!$E$2&gt;0,TEXT('הדבקת לידים'!A4557,REPT("0",הגדרות!$E$2)),TEXT('הדבקת לידים'!A4557,"0")),TRIM('הדבקת לידים'!A4557)))</f>
        <v/>
      </c>
      <c r="B4557" s="0" t="str">
        <f aca="false">IF('הדבקת לידים'!B4557="","",IF(ISNUMBER('הדבקת לידים'!B4557),IF(הגדרות!$E$3&gt;0,TEXT('הדבקת לידים'!B4557,REPT("0",הגדרות!$E$3)),TEXT('הדבקת לידים'!B4557,"0")),TRIM('הדבקת לידים'!B4557)))</f>
        <v/>
      </c>
      <c r="C4557" s="0" t="n">
        <f aca="false">IF(OR(A4557&lt;&gt;"",B4557&lt;&gt;""),1,0)</f>
        <v>0</v>
      </c>
      <c r="D4557" s="0" t="str">
        <f aca="false">IF(C4557=1,MOD(ABS(SIN(ROW()*12.9898+'הדבקת לידים'!$F$2*78.233+IFERROR(--RIGHT(A4557,6),LEN(A4557))*0.0137+IFERROR(--RIGHT(B4557,6),LEN(B4557))*0.0071))*43758.5453,1),"")</f>
        <v/>
      </c>
      <c r="E4557" s="0" t="str">
        <f aca="false">IF(C4557=1,INT(MOD(ABS(SIN(D4557*7919.123+ROW()*0.618+'הדבקת לידים'!$F$2*1.3))*43758.5453,1)*1000000)*10000+ROW(),"")</f>
        <v/>
      </c>
      <c r="F4557" s="0" t="str">
        <f aca="false">IF(E4557="","",RANK(E4557,$E$2:$E$5001,1))</f>
        <v/>
      </c>
      <c r="G4557" s="0" t="n">
        <f aca="false">IF(A4557="",0,IF(SUMPRODUCT(--($A$2:$A$5001=A4557))&gt;1,1,0))</f>
        <v>0</v>
      </c>
      <c r="H4557" s="0" t="n">
        <f aca="false">ROW()-1</f>
        <v>4556</v>
      </c>
      <c r="I4557" s="0" t="str">
        <f aca="false">IF(OR(הגדרות!$E$6=0,H4557&gt;הגדרות!$E$5),"",IF(H4557-1&lt;הגדרות!$E$8*(הגדרות!$E$7+1),INT((H4557-1)/(הגדרות!$E$7+1)),הגדרות!$E$8+INT((H4557-1-הגדרות!$E$8*(הגדרות!$E$7+1))/הגדרות!$E$7)))</f>
        <v/>
      </c>
      <c r="J4557" s="0" t="str">
        <f aca="false">IF(I4557="","",IF(H4557-1&lt;הגדרות!$E$8*(הגדרות!$E$7+1),MOD(H4557-1,הגדרות!$E$7+1),MOD(H4557-1-הגדרות!$E$8*(הגדרות!$E$7+1),הגדרות!$E$7)))</f>
        <v/>
      </c>
      <c r="K4557" s="0" t="str">
        <f aca="false">IF(I4557="","",J4557*הגדרות!$E$6+I4557+1)</f>
        <v/>
      </c>
      <c r="L4557" s="0" t="str">
        <f aca="false">IF(K4557="","",MATCH(K4557,$F$2:$F$5001,0))</f>
        <v/>
      </c>
      <c r="M4557" s="0" t="str">
        <f aca="false">IF(I4557="","",INDEX(הגדרות!$A$2:$A$21,MOD(I4557+הגדרות!$E$9,הגדרות!$E$6)+1))</f>
        <v/>
      </c>
    </row>
    <row r="4558" customFormat="false" ht="15" hidden="false" customHeight="false" outlineLevel="0" collapsed="false">
      <c r="A4558" s="0" t="str">
        <f aca="false">IF('הדבקת לידים'!A4558="","",IF(ISNUMBER('הדבקת לידים'!A4558),IF(הגדרות!$E$2&gt;0,TEXT('הדבקת לידים'!A4558,REPT("0",הגדרות!$E$2)),TEXT('הדבקת לידים'!A4558,"0")),TRIM('הדבקת לידים'!A4558)))</f>
        <v/>
      </c>
      <c r="B4558" s="0" t="str">
        <f aca="false">IF('הדבקת לידים'!B4558="","",IF(ISNUMBER('הדבקת לידים'!B4558),IF(הגדרות!$E$3&gt;0,TEXT('הדבקת לידים'!B4558,REPT("0",הגדרות!$E$3)),TEXT('הדבקת לידים'!B4558,"0")),TRIM('הדבקת לידים'!B4558)))</f>
        <v/>
      </c>
      <c r="C4558" s="0" t="n">
        <f aca="false">IF(OR(A4558&lt;&gt;"",B4558&lt;&gt;""),1,0)</f>
        <v>0</v>
      </c>
      <c r="D4558" s="0" t="str">
        <f aca="false">IF(C4558=1,MOD(ABS(SIN(ROW()*12.9898+'הדבקת לידים'!$F$2*78.233+IFERROR(--RIGHT(A4558,6),LEN(A4558))*0.0137+IFERROR(--RIGHT(B4558,6),LEN(B4558))*0.0071))*43758.5453,1),"")</f>
        <v/>
      </c>
      <c r="E4558" s="0" t="str">
        <f aca="false">IF(C4558=1,INT(MOD(ABS(SIN(D4558*7919.123+ROW()*0.618+'הדבקת לידים'!$F$2*1.3))*43758.5453,1)*1000000)*10000+ROW(),"")</f>
        <v/>
      </c>
      <c r="F4558" s="0" t="str">
        <f aca="false">IF(E4558="","",RANK(E4558,$E$2:$E$5001,1))</f>
        <v/>
      </c>
      <c r="G4558" s="0" t="n">
        <f aca="false">IF(A4558="",0,IF(SUMPRODUCT(--($A$2:$A$5001=A4558))&gt;1,1,0))</f>
        <v>0</v>
      </c>
      <c r="H4558" s="0" t="n">
        <f aca="false">ROW()-1</f>
        <v>4557</v>
      </c>
      <c r="I4558" s="0" t="str">
        <f aca="false">IF(OR(הגדרות!$E$6=0,H4558&gt;הגדרות!$E$5),"",IF(H4558-1&lt;הגדרות!$E$8*(הגדרות!$E$7+1),INT((H4558-1)/(הגדרות!$E$7+1)),הגדרות!$E$8+INT((H4558-1-הגדרות!$E$8*(הגדרות!$E$7+1))/הגדרות!$E$7)))</f>
        <v/>
      </c>
      <c r="J4558" s="0" t="str">
        <f aca="false">IF(I4558="","",IF(H4558-1&lt;הגדרות!$E$8*(הגדרות!$E$7+1),MOD(H4558-1,הגדרות!$E$7+1),MOD(H4558-1-הגדרות!$E$8*(הגדרות!$E$7+1),הגדרות!$E$7)))</f>
        <v/>
      </c>
      <c r="K4558" s="0" t="str">
        <f aca="false">IF(I4558="","",J4558*הגדרות!$E$6+I4558+1)</f>
        <v/>
      </c>
      <c r="L4558" s="0" t="str">
        <f aca="false">IF(K4558="","",MATCH(K4558,$F$2:$F$5001,0))</f>
        <v/>
      </c>
      <c r="M4558" s="0" t="str">
        <f aca="false">IF(I4558="","",INDEX(הגדרות!$A$2:$A$21,MOD(I4558+הגדרות!$E$9,הגדרות!$E$6)+1))</f>
        <v/>
      </c>
    </row>
    <row r="4559" customFormat="false" ht="15" hidden="false" customHeight="false" outlineLevel="0" collapsed="false">
      <c r="A4559" s="0" t="str">
        <f aca="false">IF('הדבקת לידים'!A4559="","",IF(ISNUMBER('הדבקת לידים'!A4559),IF(הגדרות!$E$2&gt;0,TEXT('הדבקת לידים'!A4559,REPT("0",הגדרות!$E$2)),TEXT('הדבקת לידים'!A4559,"0")),TRIM('הדבקת לידים'!A4559)))</f>
        <v/>
      </c>
      <c r="B4559" s="0" t="str">
        <f aca="false">IF('הדבקת לידים'!B4559="","",IF(ISNUMBER('הדבקת לידים'!B4559),IF(הגדרות!$E$3&gt;0,TEXT('הדבקת לידים'!B4559,REPT("0",הגדרות!$E$3)),TEXT('הדבקת לידים'!B4559,"0")),TRIM('הדבקת לידים'!B4559)))</f>
        <v/>
      </c>
      <c r="C4559" s="0" t="n">
        <f aca="false">IF(OR(A4559&lt;&gt;"",B4559&lt;&gt;""),1,0)</f>
        <v>0</v>
      </c>
      <c r="D4559" s="0" t="str">
        <f aca="false">IF(C4559=1,MOD(ABS(SIN(ROW()*12.9898+'הדבקת לידים'!$F$2*78.233+IFERROR(--RIGHT(A4559,6),LEN(A4559))*0.0137+IFERROR(--RIGHT(B4559,6),LEN(B4559))*0.0071))*43758.5453,1),"")</f>
        <v/>
      </c>
      <c r="E4559" s="0" t="str">
        <f aca="false">IF(C4559=1,INT(MOD(ABS(SIN(D4559*7919.123+ROW()*0.618+'הדבקת לידים'!$F$2*1.3))*43758.5453,1)*1000000)*10000+ROW(),"")</f>
        <v/>
      </c>
      <c r="F4559" s="0" t="str">
        <f aca="false">IF(E4559="","",RANK(E4559,$E$2:$E$5001,1))</f>
        <v/>
      </c>
      <c r="G4559" s="0" t="n">
        <f aca="false">IF(A4559="",0,IF(SUMPRODUCT(--($A$2:$A$5001=A4559))&gt;1,1,0))</f>
        <v>0</v>
      </c>
      <c r="H4559" s="0" t="n">
        <f aca="false">ROW()-1</f>
        <v>4558</v>
      </c>
      <c r="I4559" s="0" t="str">
        <f aca="false">IF(OR(הגדרות!$E$6=0,H4559&gt;הגדרות!$E$5),"",IF(H4559-1&lt;הגדרות!$E$8*(הגדרות!$E$7+1),INT((H4559-1)/(הגדרות!$E$7+1)),הגדרות!$E$8+INT((H4559-1-הגדרות!$E$8*(הגדרות!$E$7+1))/הגדרות!$E$7)))</f>
        <v/>
      </c>
      <c r="J4559" s="0" t="str">
        <f aca="false">IF(I4559="","",IF(H4559-1&lt;הגדרות!$E$8*(הגדרות!$E$7+1),MOD(H4559-1,הגדרות!$E$7+1),MOD(H4559-1-הגדרות!$E$8*(הגדרות!$E$7+1),הגדרות!$E$7)))</f>
        <v/>
      </c>
      <c r="K4559" s="0" t="str">
        <f aca="false">IF(I4559="","",J4559*הגדרות!$E$6+I4559+1)</f>
        <v/>
      </c>
      <c r="L4559" s="0" t="str">
        <f aca="false">IF(K4559="","",MATCH(K4559,$F$2:$F$5001,0))</f>
        <v/>
      </c>
      <c r="M4559" s="0" t="str">
        <f aca="false">IF(I4559="","",INDEX(הגדרות!$A$2:$A$21,MOD(I4559+הגדרות!$E$9,הגדרות!$E$6)+1))</f>
        <v/>
      </c>
    </row>
    <row r="4560" customFormat="false" ht="15" hidden="false" customHeight="false" outlineLevel="0" collapsed="false">
      <c r="A4560" s="0" t="str">
        <f aca="false">IF('הדבקת לידים'!A4560="","",IF(ISNUMBER('הדבקת לידים'!A4560),IF(הגדרות!$E$2&gt;0,TEXT('הדבקת לידים'!A4560,REPT("0",הגדרות!$E$2)),TEXT('הדבקת לידים'!A4560,"0")),TRIM('הדבקת לידים'!A4560)))</f>
        <v/>
      </c>
      <c r="B4560" s="0" t="str">
        <f aca="false">IF('הדבקת לידים'!B4560="","",IF(ISNUMBER('הדבקת לידים'!B4560),IF(הגדרות!$E$3&gt;0,TEXT('הדבקת לידים'!B4560,REPT("0",הגדרות!$E$3)),TEXT('הדבקת לידים'!B4560,"0")),TRIM('הדבקת לידים'!B4560)))</f>
        <v/>
      </c>
      <c r="C4560" s="0" t="n">
        <f aca="false">IF(OR(A4560&lt;&gt;"",B4560&lt;&gt;""),1,0)</f>
        <v>0</v>
      </c>
      <c r="D4560" s="0" t="str">
        <f aca="false">IF(C4560=1,MOD(ABS(SIN(ROW()*12.9898+'הדבקת לידים'!$F$2*78.233+IFERROR(--RIGHT(A4560,6),LEN(A4560))*0.0137+IFERROR(--RIGHT(B4560,6),LEN(B4560))*0.0071))*43758.5453,1),"")</f>
        <v/>
      </c>
      <c r="E4560" s="0" t="str">
        <f aca="false">IF(C4560=1,INT(MOD(ABS(SIN(D4560*7919.123+ROW()*0.618+'הדבקת לידים'!$F$2*1.3))*43758.5453,1)*1000000)*10000+ROW(),"")</f>
        <v/>
      </c>
      <c r="F4560" s="0" t="str">
        <f aca="false">IF(E4560="","",RANK(E4560,$E$2:$E$5001,1))</f>
        <v/>
      </c>
      <c r="G4560" s="0" t="n">
        <f aca="false">IF(A4560="",0,IF(SUMPRODUCT(--($A$2:$A$5001=A4560))&gt;1,1,0))</f>
        <v>0</v>
      </c>
      <c r="H4560" s="0" t="n">
        <f aca="false">ROW()-1</f>
        <v>4559</v>
      </c>
      <c r="I4560" s="0" t="str">
        <f aca="false">IF(OR(הגדרות!$E$6=0,H4560&gt;הגדרות!$E$5),"",IF(H4560-1&lt;הגדרות!$E$8*(הגדרות!$E$7+1),INT((H4560-1)/(הגדרות!$E$7+1)),הגדרות!$E$8+INT((H4560-1-הגדרות!$E$8*(הגדרות!$E$7+1))/הגדרות!$E$7)))</f>
        <v/>
      </c>
      <c r="J4560" s="0" t="str">
        <f aca="false">IF(I4560="","",IF(H4560-1&lt;הגדרות!$E$8*(הגדרות!$E$7+1),MOD(H4560-1,הגדרות!$E$7+1),MOD(H4560-1-הגדרות!$E$8*(הגדרות!$E$7+1),הגדרות!$E$7)))</f>
        <v/>
      </c>
      <c r="K4560" s="0" t="str">
        <f aca="false">IF(I4560="","",J4560*הגדרות!$E$6+I4560+1)</f>
        <v/>
      </c>
      <c r="L4560" s="0" t="str">
        <f aca="false">IF(K4560="","",MATCH(K4560,$F$2:$F$5001,0))</f>
        <v/>
      </c>
      <c r="M4560" s="0" t="str">
        <f aca="false">IF(I4560="","",INDEX(הגדרות!$A$2:$A$21,MOD(I4560+הגדרות!$E$9,הגדרות!$E$6)+1))</f>
        <v/>
      </c>
    </row>
    <row r="4561" customFormat="false" ht="15" hidden="false" customHeight="false" outlineLevel="0" collapsed="false">
      <c r="A4561" s="0" t="str">
        <f aca="false">IF('הדבקת לידים'!A4561="","",IF(ISNUMBER('הדבקת לידים'!A4561),IF(הגדרות!$E$2&gt;0,TEXT('הדבקת לידים'!A4561,REPT("0",הגדרות!$E$2)),TEXT('הדבקת לידים'!A4561,"0")),TRIM('הדבקת לידים'!A4561)))</f>
        <v/>
      </c>
      <c r="B4561" s="0" t="str">
        <f aca="false">IF('הדבקת לידים'!B4561="","",IF(ISNUMBER('הדבקת לידים'!B4561),IF(הגדרות!$E$3&gt;0,TEXT('הדבקת לידים'!B4561,REPT("0",הגדרות!$E$3)),TEXT('הדבקת לידים'!B4561,"0")),TRIM('הדבקת לידים'!B4561)))</f>
        <v/>
      </c>
      <c r="C4561" s="0" t="n">
        <f aca="false">IF(OR(A4561&lt;&gt;"",B4561&lt;&gt;""),1,0)</f>
        <v>0</v>
      </c>
      <c r="D4561" s="0" t="str">
        <f aca="false">IF(C4561=1,MOD(ABS(SIN(ROW()*12.9898+'הדבקת לידים'!$F$2*78.233+IFERROR(--RIGHT(A4561,6),LEN(A4561))*0.0137+IFERROR(--RIGHT(B4561,6),LEN(B4561))*0.0071))*43758.5453,1),"")</f>
        <v/>
      </c>
      <c r="E4561" s="0" t="str">
        <f aca="false">IF(C4561=1,INT(MOD(ABS(SIN(D4561*7919.123+ROW()*0.618+'הדבקת לידים'!$F$2*1.3))*43758.5453,1)*1000000)*10000+ROW(),"")</f>
        <v/>
      </c>
      <c r="F4561" s="0" t="str">
        <f aca="false">IF(E4561="","",RANK(E4561,$E$2:$E$5001,1))</f>
        <v/>
      </c>
      <c r="G4561" s="0" t="n">
        <f aca="false">IF(A4561="",0,IF(SUMPRODUCT(--($A$2:$A$5001=A4561))&gt;1,1,0))</f>
        <v>0</v>
      </c>
      <c r="H4561" s="0" t="n">
        <f aca="false">ROW()-1</f>
        <v>4560</v>
      </c>
      <c r="I4561" s="0" t="str">
        <f aca="false">IF(OR(הגדרות!$E$6=0,H4561&gt;הגדרות!$E$5),"",IF(H4561-1&lt;הגדרות!$E$8*(הגדרות!$E$7+1),INT((H4561-1)/(הגדרות!$E$7+1)),הגדרות!$E$8+INT((H4561-1-הגדרות!$E$8*(הגדרות!$E$7+1))/הגדרות!$E$7)))</f>
        <v/>
      </c>
      <c r="J4561" s="0" t="str">
        <f aca="false">IF(I4561="","",IF(H4561-1&lt;הגדרות!$E$8*(הגדרות!$E$7+1),MOD(H4561-1,הגדרות!$E$7+1),MOD(H4561-1-הגדרות!$E$8*(הגדרות!$E$7+1),הגדרות!$E$7)))</f>
        <v/>
      </c>
      <c r="K4561" s="0" t="str">
        <f aca="false">IF(I4561="","",J4561*הגדרות!$E$6+I4561+1)</f>
        <v/>
      </c>
      <c r="L4561" s="0" t="str">
        <f aca="false">IF(K4561="","",MATCH(K4561,$F$2:$F$5001,0))</f>
        <v/>
      </c>
      <c r="M4561" s="0" t="str">
        <f aca="false">IF(I4561="","",INDEX(הגדרות!$A$2:$A$21,MOD(I4561+הגדרות!$E$9,הגדרות!$E$6)+1))</f>
        <v/>
      </c>
    </row>
    <row r="4562" customFormat="false" ht="15" hidden="false" customHeight="false" outlineLevel="0" collapsed="false">
      <c r="A4562" s="0" t="str">
        <f aca="false">IF('הדבקת לידים'!A4562="","",IF(ISNUMBER('הדבקת לידים'!A4562),IF(הגדרות!$E$2&gt;0,TEXT('הדבקת לידים'!A4562,REPT("0",הגדרות!$E$2)),TEXT('הדבקת לידים'!A4562,"0")),TRIM('הדבקת לידים'!A4562)))</f>
        <v/>
      </c>
      <c r="B4562" s="0" t="str">
        <f aca="false">IF('הדבקת לידים'!B4562="","",IF(ISNUMBER('הדבקת לידים'!B4562),IF(הגדרות!$E$3&gt;0,TEXT('הדבקת לידים'!B4562,REPT("0",הגדרות!$E$3)),TEXT('הדבקת לידים'!B4562,"0")),TRIM('הדבקת לידים'!B4562)))</f>
        <v/>
      </c>
      <c r="C4562" s="0" t="n">
        <f aca="false">IF(OR(A4562&lt;&gt;"",B4562&lt;&gt;""),1,0)</f>
        <v>0</v>
      </c>
      <c r="D4562" s="0" t="str">
        <f aca="false">IF(C4562=1,MOD(ABS(SIN(ROW()*12.9898+'הדבקת לידים'!$F$2*78.233+IFERROR(--RIGHT(A4562,6),LEN(A4562))*0.0137+IFERROR(--RIGHT(B4562,6),LEN(B4562))*0.0071))*43758.5453,1),"")</f>
        <v/>
      </c>
      <c r="E4562" s="0" t="str">
        <f aca="false">IF(C4562=1,INT(MOD(ABS(SIN(D4562*7919.123+ROW()*0.618+'הדבקת לידים'!$F$2*1.3))*43758.5453,1)*1000000)*10000+ROW(),"")</f>
        <v/>
      </c>
      <c r="F4562" s="0" t="str">
        <f aca="false">IF(E4562="","",RANK(E4562,$E$2:$E$5001,1))</f>
        <v/>
      </c>
      <c r="G4562" s="0" t="n">
        <f aca="false">IF(A4562="",0,IF(SUMPRODUCT(--($A$2:$A$5001=A4562))&gt;1,1,0))</f>
        <v>0</v>
      </c>
      <c r="H4562" s="0" t="n">
        <f aca="false">ROW()-1</f>
        <v>4561</v>
      </c>
      <c r="I4562" s="0" t="str">
        <f aca="false">IF(OR(הגדרות!$E$6=0,H4562&gt;הגדרות!$E$5),"",IF(H4562-1&lt;הגדרות!$E$8*(הגדרות!$E$7+1),INT((H4562-1)/(הגדרות!$E$7+1)),הגדרות!$E$8+INT((H4562-1-הגדרות!$E$8*(הגדרות!$E$7+1))/הגדרות!$E$7)))</f>
        <v/>
      </c>
      <c r="J4562" s="0" t="str">
        <f aca="false">IF(I4562="","",IF(H4562-1&lt;הגדרות!$E$8*(הגדרות!$E$7+1),MOD(H4562-1,הגדרות!$E$7+1),MOD(H4562-1-הגדרות!$E$8*(הגדרות!$E$7+1),הגדרות!$E$7)))</f>
        <v/>
      </c>
      <c r="K4562" s="0" t="str">
        <f aca="false">IF(I4562="","",J4562*הגדרות!$E$6+I4562+1)</f>
        <v/>
      </c>
      <c r="L4562" s="0" t="str">
        <f aca="false">IF(K4562="","",MATCH(K4562,$F$2:$F$5001,0))</f>
        <v/>
      </c>
      <c r="M4562" s="0" t="str">
        <f aca="false">IF(I4562="","",INDEX(הגדרות!$A$2:$A$21,MOD(I4562+הגדרות!$E$9,הגדרות!$E$6)+1))</f>
        <v/>
      </c>
    </row>
    <row r="4563" customFormat="false" ht="15" hidden="false" customHeight="false" outlineLevel="0" collapsed="false">
      <c r="A4563" s="0" t="str">
        <f aca="false">IF('הדבקת לידים'!A4563="","",IF(ISNUMBER('הדבקת לידים'!A4563),IF(הגדרות!$E$2&gt;0,TEXT('הדבקת לידים'!A4563,REPT("0",הגדרות!$E$2)),TEXT('הדבקת לידים'!A4563,"0")),TRIM('הדבקת לידים'!A4563)))</f>
        <v/>
      </c>
      <c r="B4563" s="0" t="str">
        <f aca="false">IF('הדבקת לידים'!B4563="","",IF(ISNUMBER('הדבקת לידים'!B4563),IF(הגדרות!$E$3&gt;0,TEXT('הדבקת לידים'!B4563,REPT("0",הגדרות!$E$3)),TEXT('הדבקת לידים'!B4563,"0")),TRIM('הדבקת לידים'!B4563)))</f>
        <v/>
      </c>
      <c r="C4563" s="0" t="n">
        <f aca="false">IF(OR(A4563&lt;&gt;"",B4563&lt;&gt;""),1,0)</f>
        <v>0</v>
      </c>
      <c r="D4563" s="0" t="str">
        <f aca="false">IF(C4563=1,MOD(ABS(SIN(ROW()*12.9898+'הדבקת לידים'!$F$2*78.233+IFERROR(--RIGHT(A4563,6),LEN(A4563))*0.0137+IFERROR(--RIGHT(B4563,6),LEN(B4563))*0.0071))*43758.5453,1),"")</f>
        <v/>
      </c>
      <c r="E4563" s="0" t="str">
        <f aca="false">IF(C4563=1,INT(MOD(ABS(SIN(D4563*7919.123+ROW()*0.618+'הדבקת לידים'!$F$2*1.3))*43758.5453,1)*1000000)*10000+ROW(),"")</f>
        <v/>
      </c>
      <c r="F4563" s="0" t="str">
        <f aca="false">IF(E4563="","",RANK(E4563,$E$2:$E$5001,1))</f>
        <v/>
      </c>
      <c r="G4563" s="0" t="n">
        <f aca="false">IF(A4563="",0,IF(SUMPRODUCT(--($A$2:$A$5001=A4563))&gt;1,1,0))</f>
        <v>0</v>
      </c>
      <c r="H4563" s="0" t="n">
        <f aca="false">ROW()-1</f>
        <v>4562</v>
      </c>
      <c r="I4563" s="0" t="str">
        <f aca="false">IF(OR(הגדרות!$E$6=0,H4563&gt;הגדרות!$E$5),"",IF(H4563-1&lt;הגדרות!$E$8*(הגדרות!$E$7+1),INT((H4563-1)/(הגדרות!$E$7+1)),הגדרות!$E$8+INT((H4563-1-הגדרות!$E$8*(הגדרות!$E$7+1))/הגדרות!$E$7)))</f>
        <v/>
      </c>
      <c r="J4563" s="0" t="str">
        <f aca="false">IF(I4563="","",IF(H4563-1&lt;הגדרות!$E$8*(הגדרות!$E$7+1),MOD(H4563-1,הגדרות!$E$7+1),MOD(H4563-1-הגדרות!$E$8*(הגדרות!$E$7+1),הגדרות!$E$7)))</f>
        <v/>
      </c>
      <c r="K4563" s="0" t="str">
        <f aca="false">IF(I4563="","",J4563*הגדרות!$E$6+I4563+1)</f>
        <v/>
      </c>
      <c r="L4563" s="0" t="str">
        <f aca="false">IF(K4563="","",MATCH(K4563,$F$2:$F$5001,0))</f>
        <v/>
      </c>
      <c r="M4563" s="0" t="str">
        <f aca="false">IF(I4563="","",INDEX(הגדרות!$A$2:$A$21,MOD(I4563+הגדרות!$E$9,הגדרות!$E$6)+1))</f>
        <v/>
      </c>
    </row>
    <row r="4564" customFormat="false" ht="15" hidden="false" customHeight="false" outlineLevel="0" collapsed="false">
      <c r="A4564" s="0" t="str">
        <f aca="false">IF('הדבקת לידים'!A4564="","",IF(ISNUMBER('הדבקת לידים'!A4564),IF(הגדרות!$E$2&gt;0,TEXT('הדבקת לידים'!A4564,REPT("0",הגדרות!$E$2)),TEXT('הדבקת לידים'!A4564,"0")),TRIM('הדבקת לידים'!A4564)))</f>
        <v/>
      </c>
      <c r="B4564" s="0" t="str">
        <f aca="false">IF('הדבקת לידים'!B4564="","",IF(ISNUMBER('הדבקת לידים'!B4564),IF(הגדרות!$E$3&gt;0,TEXT('הדבקת לידים'!B4564,REPT("0",הגדרות!$E$3)),TEXT('הדבקת לידים'!B4564,"0")),TRIM('הדבקת לידים'!B4564)))</f>
        <v/>
      </c>
      <c r="C4564" s="0" t="n">
        <f aca="false">IF(OR(A4564&lt;&gt;"",B4564&lt;&gt;""),1,0)</f>
        <v>0</v>
      </c>
      <c r="D4564" s="0" t="str">
        <f aca="false">IF(C4564=1,MOD(ABS(SIN(ROW()*12.9898+'הדבקת לידים'!$F$2*78.233+IFERROR(--RIGHT(A4564,6),LEN(A4564))*0.0137+IFERROR(--RIGHT(B4564,6),LEN(B4564))*0.0071))*43758.5453,1),"")</f>
        <v/>
      </c>
      <c r="E4564" s="0" t="str">
        <f aca="false">IF(C4564=1,INT(MOD(ABS(SIN(D4564*7919.123+ROW()*0.618+'הדבקת לידים'!$F$2*1.3))*43758.5453,1)*1000000)*10000+ROW(),"")</f>
        <v/>
      </c>
      <c r="F4564" s="0" t="str">
        <f aca="false">IF(E4564="","",RANK(E4564,$E$2:$E$5001,1))</f>
        <v/>
      </c>
      <c r="G4564" s="0" t="n">
        <f aca="false">IF(A4564="",0,IF(SUMPRODUCT(--($A$2:$A$5001=A4564))&gt;1,1,0))</f>
        <v>0</v>
      </c>
      <c r="H4564" s="0" t="n">
        <f aca="false">ROW()-1</f>
        <v>4563</v>
      </c>
      <c r="I4564" s="0" t="str">
        <f aca="false">IF(OR(הגדרות!$E$6=0,H4564&gt;הגדרות!$E$5),"",IF(H4564-1&lt;הגדרות!$E$8*(הגדרות!$E$7+1),INT((H4564-1)/(הגדרות!$E$7+1)),הגדרות!$E$8+INT((H4564-1-הגדרות!$E$8*(הגדרות!$E$7+1))/הגדרות!$E$7)))</f>
        <v/>
      </c>
      <c r="J4564" s="0" t="str">
        <f aca="false">IF(I4564="","",IF(H4564-1&lt;הגדרות!$E$8*(הגדרות!$E$7+1),MOD(H4564-1,הגדרות!$E$7+1),MOD(H4564-1-הגדרות!$E$8*(הגדרות!$E$7+1),הגדרות!$E$7)))</f>
        <v/>
      </c>
      <c r="K4564" s="0" t="str">
        <f aca="false">IF(I4564="","",J4564*הגדרות!$E$6+I4564+1)</f>
        <v/>
      </c>
      <c r="L4564" s="0" t="str">
        <f aca="false">IF(K4564="","",MATCH(K4564,$F$2:$F$5001,0))</f>
        <v/>
      </c>
      <c r="M4564" s="0" t="str">
        <f aca="false">IF(I4564="","",INDEX(הגדרות!$A$2:$A$21,MOD(I4564+הגדרות!$E$9,הגדרות!$E$6)+1))</f>
        <v/>
      </c>
    </row>
    <row r="4565" customFormat="false" ht="15" hidden="false" customHeight="false" outlineLevel="0" collapsed="false">
      <c r="A4565" s="0" t="str">
        <f aca="false">IF('הדבקת לידים'!A4565="","",IF(ISNUMBER('הדבקת לידים'!A4565),IF(הגדרות!$E$2&gt;0,TEXT('הדבקת לידים'!A4565,REPT("0",הגדרות!$E$2)),TEXT('הדבקת לידים'!A4565,"0")),TRIM('הדבקת לידים'!A4565)))</f>
        <v/>
      </c>
      <c r="B4565" s="0" t="str">
        <f aca="false">IF('הדבקת לידים'!B4565="","",IF(ISNUMBER('הדבקת לידים'!B4565),IF(הגדרות!$E$3&gt;0,TEXT('הדבקת לידים'!B4565,REPT("0",הגדרות!$E$3)),TEXT('הדבקת לידים'!B4565,"0")),TRIM('הדבקת לידים'!B4565)))</f>
        <v/>
      </c>
      <c r="C4565" s="0" t="n">
        <f aca="false">IF(OR(A4565&lt;&gt;"",B4565&lt;&gt;""),1,0)</f>
        <v>0</v>
      </c>
      <c r="D4565" s="0" t="str">
        <f aca="false">IF(C4565=1,MOD(ABS(SIN(ROW()*12.9898+'הדבקת לידים'!$F$2*78.233+IFERROR(--RIGHT(A4565,6),LEN(A4565))*0.0137+IFERROR(--RIGHT(B4565,6),LEN(B4565))*0.0071))*43758.5453,1),"")</f>
        <v/>
      </c>
      <c r="E4565" s="0" t="str">
        <f aca="false">IF(C4565=1,INT(MOD(ABS(SIN(D4565*7919.123+ROW()*0.618+'הדבקת לידים'!$F$2*1.3))*43758.5453,1)*1000000)*10000+ROW(),"")</f>
        <v/>
      </c>
      <c r="F4565" s="0" t="str">
        <f aca="false">IF(E4565="","",RANK(E4565,$E$2:$E$5001,1))</f>
        <v/>
      </c>
      <c r="G4565" s="0" t="n">
        <f aca="false">IF(A4565="",0,IF(SUMPRODUCT(--($A$2:$A$5001=A4565))&gt;1,1,0))</f>
        <v>0</v>
      </c>
      <c r="H4565" s="0" t="n">
        <f aca="false">ROW()-1</f>
        <v>4564</v>
      </c>
      <c r="I4565" s="0" t="str">
        <f aca="false">IF(OR(הגדרות!$E$6=0,H4565&gt;הגדרות!$E$5),"",IF(H4565-1&lt;הגדרות!$E$8*(הגדרות!$E$7+1),INT((H4565-1)/(הגדרות!$E$7+1)),הגדרות!$E$8+INT((H4565-1-הגדרות!$E$8*(הגדרות!$E$7+1))/הגדרות!$E$7)))</f>
        <v/>
      </c>
      <c r="J4565" s="0" t="str">
        <f aca="false">IF(I4565="","",IF(H4565-1&lt;הגדרות!$E$8*(הגדרות!$E$7+1),MOD(H4565-1,הגדרות!$E$7+1),MOD(H4565-1-הגדרות!$E$8*(הגדרות!$E$7+1),הגדרות!$E$7)))</f>
        <v/>
      </c>
      <c r="K4565" s="0" t="str">
        <f aca="false">IF(I4565="","",J4565*הגדרות!$E$6+I4565+1)</f>
        <v/>
      </c>
      <c r="L4565" s="0" t="str">
        <f aca="false">IF(K4565="","",MATCH(K4565,$F$2:$F$5001,0))</f>
        <v/>
      </c>
      <c r="M4565" s="0" t="str">
        <f aca="false">IF(I4565="","",INDEX(הגדרות!$A$2:$A$21,MOD(I4565+הגדרות!$E$9,הגדרות!$E$6)+1))</f>
        <v/>
      </c>
    </row>
    <row r="4566" customFormat="false" ht="15" hidden="false" customHeight="false" outlineLevel="0" collapsed="false">
      <c r="A4566" s="0" t="str">
        <f aca="false">IF('הדבקת לידים'!A4566="","",IF(ISNUMBER('הדבקת לידים'!A4566),IF(הגדרות!$E$2&gt;0,TEXT('הדבקת לידים'!A4566,REPT("0",הגדרות!$E$2)),TEXT('הדבקת לידים'!A4566,"0")),TRIM('הדבקת לידים'!A4566)))</f>
        <v/>
      </c>
      <c r="B4566" s="0" t="str">
        <f aca="false">IF('הדבקת לידים'!B4566="","",IF(ISNUMBER('הדבקת לידים'!B4566),IF(הגדרות!$E$3&gt;0,TEXT('הדבקת לידים'!B4566,REPT("0",הגדרות!$E$3)),TEXT('הדבקת לידים'!B4566,"0")),TRIM('הדבקת לידים'!B4566)))</f>
        <v/>
      </c>
      <c r="C4566" s="0" t="n">
        <f aca="false">IF(OR(A4566&lt;&gt;"",B4566&lt;&gt;""),1,0)</f>
        <v>0</v>
      </c>
      <c r="D4566" s="0" t="str">
        <f aca="false">IF(C4566=1,MOD(ABS(SIN(ROW()*12.9898+'הדבקת לידים'!$F$2*78.233+IFERROR(--RIGHT(A4566,6),LEN(A4566))*0.0137+IFERROR(--RIGHT(B4566,6),LEN(B4566))*0.0071))*43758.5453,1),"")</f>
        <v/>
      </c>
      <c r="E4566" s="0" t="str">
        <f aca="false">IF(C4566=1,INT(MOD(ABS(SIN(D4566*7919.123+ROW()*0.618+'הדבקת לידים'!$F$2*1.3))*43758.5453,1)*1000000)*10000+ROW(),"")</f>
        <v/>
      </c>
      <c r="F4566" s="0" t="str">
        <f aca="false">IF(E4566="","",RANK(E4566,$E$2:$E$5001,1))</f>
        <v/>
      </c>
      <c r="G4566" s="0" t="n">
        <f aca="false">IF(A4566="",0,IF(SUMPRODUCT(--($A$2:$A$5001=A4566))&gt;1,1,0))</f>
        <v>0</v>
      </c>
      <c r="H4566" s="0" t="n">
        <f aca="false">ROW()-1</f>
        <v>4565</v>
      </c>
      <c r="I4566" s="0" t="str">
        <f aca="false">IF(OR(הגדרות!$E$6=0,H4566&gt;הגדרות!$E$5),"",IF(H4566-1&lt;הגדרות!$E$8*(הגדרות!$E$7+1),INT((H4566-1)/(הגדרות!$E$7+1)),הגדרות!$E$8+INT((H4566-1-הגדרות!$E$8*(הגדרות!$E$7+1))/הגדרות!$E$7)))</f>
        <v/>
      </c>
      <c r="J4566" s="0" t="str">
        <f aca="false">IF(I4566="","",IF(H4566-1&lt;הגדרות!$E$8*(הגדרות!$E$7+1),MOD(H4566-1,הגדרות!$E$7+1),MOD(H4566-1-הגדרות!$E$8*(הגדרות!$E$7+1),הגדרות!$E$7)))</f>
        <v/>
      </c>
      <c r="K4566" s="0" t="str">
        <f aca="false">IF(I4566="","",J4566*הגדרות!$E$6+I4566+1)</f>
        <v/>
      </c>
      <c r="L4566" s="0" t="str">
        <f aca="false">IF(K4566="","",MATCH(K4566,$F$2:$F$5001,0))</f>
        <v/>
      </c>
      <c r="M4566" s="0" t="str">
        <f aca="false">IF(I4566="","",INDEX(הגדרות!$A$2:$A$21,MOD(I4566+הגדרות!$E$9,הגדרות!$E$6)+1))</f>
        <v/>
      </c>
    </row>
    <row r="4567" customFormat="false" ht="15" hidden="false" customHeight="false" outlineLevel="0" collapsed="false">
      <c r="A4567" s="0" t="str">
        <f aca="false">IF('הדבקת לידים'!A4567="","",IF(ISNUMBER('הדבקת לידים'!A4567),IF(הגדרות!$E$2&gt;0,TEXT('הדבקת לידים'!A4567,REPT("0",הגדרות!$E$2)),TEXT('הדבקת לידים'!A4567,"0")),TRIM('הדבקת לידים'!A4567)))</f>
        <v/>
      </c>
      <c r="B4567" s="0" t="str">
        <f aca="false">IF('הדבקת לידים'!B4567="","",IF(ISNUMBER('הדבקת לידים'!B4567),IF(הגדרות!$E$3&gt;0,TEXT('הדבקת לידים'!B4567,REPT("0",הגדרות!$E$3)),TEXT('הדבקת לידים'!B4567,"0")),TRIM('הדבקת לידים'!B4567)))</f>
        <v/>
      </c>
      <c r="C4567" s="0" t="n">
        <f aca="false">IF(OR(A4567&lt;&gt;"",B4567&lt;&gt;""),1,0)</f>
        <v>0</v>
      </c>
      <c r="D4567" s="0" t="str">
        <f aca="false">IF(C4567=1,MOD(ABS(SIN(ROW()*12.9898+'הדבקת לידים'!$F$2*78.233+IFERROR(--RIGHT(A4567,6),LEN(A4567))*0.0137+IFERROR(--RIGHT(B4567,6),LEN(B4567))*0.0071))*43758.5453,1),"")</f>
        <v/>
      </c>
      <c r="E4567" s="0" t="str">
        <f aca="false">IF(C4567=1,INT(MOD(ABS(SIN(D4567*7919.123+ROW()*0.618+'הדבקת לידים'!$F$2*1.3))*43758.5453,1)*1000000)*10000+ROW(),"")</f>
        <v/>
      </c>
      <c r="F4567" s="0" t="str">
        <f aca="false">IF(E4567="","",RANK(E4567,$E$2:$E$5001,1))</f>
        <v/>
      </c>
      <c r="G4567" s="0" t="n">
        <f aca="false">IF(A4567="",0,IF(SUMPRODUCT(--($A$2:$A$5001=A4567))&gt;1,1,0))</f>
        <v>0</v>
      </c>
      <c r="H4567" s="0" t="n">
        <f aca="false">ROW()-1</f>
        <v>4566</v>
      </c>
      <c r="I4567" s="0" t="str">
        <f aca="false">IF(OR(הגדרות!$E$6=0,H4567&gt;הגדרות!$E$5),"",IF(H4567-1&lt;הגדרות!$E$8*(הגדרות!$E$7+1),INT((H4567-1)/(הגדרות!$E$7+1)),הגדרות!$E$8+INT((H4567-1-הגדרות!$E$8*(הגדרות!$E$7+1))/הגדרות!$E$7)))</f>
        <v/>
      </c>
      <c r="J4567" s="0" t="str">
        <f aca="false">IF(I4567="","",IF(H4567-1&lt;הגדרות!$E$8*(הגדרות!$E$7+1),MOD(H4567-1,הגדרות!$E$7+1),MOD(H4567-1-הגדרות!$E$8*(הגדרות!$E$7+1),הגדרות!$E$7)))</f>
        <v/>
      </c>
      <c r="K4567" s="0" t="str">
        <f aca="false">IF(I4567="","",J4567*הגדרות!$E$6+I4567+1)</f>
        <v/>
      </c>
      <c r="L4567" s="0" t="str">
        <f aca="false">IF(K4567="","",MATCH(K4567,$F$2:$F$5001,0))</f>
        <v/>
      </c>
      <c r="M4567" s="0" t="str">
        <f aca="false">IF(I4567="","",INDEX(הגדרות!$A$2:$A$21,MOD(I4567+הגדרות!$E$9,הגדרות!$E$6)+1))</f>
        <v/>
      </c>
    </row>
    <row r="4568" customFormat="false" ht="15" hidden="false" customHeight="false" outlineLevel="0" collapsed="false">
      <c r="A4568" s="0" t="str">
        <f aca="false">IF('הדבקת לידים'!A4568="","",IF(ISNUMBER('הדבקת לידים'!A4568),IF(הגדרות!$E$2&gt;0,TEXT('הדבקת לידים'!A4568,REPT("0",הגדרות!$E$2)),TEXT('הדבקת לידים'!A4568,"0")),TRIM('הדבקת לידים'!A4568)))</f>
        <v/>
      </c>
      <c r="B4568" s="0" t="str">
        <f aca="false">IF('הדבקת לידים'!B4568="","",IF(ISNUMBER('הדבקת לידים'!B4568),IF(הגדרות!$E$3&gt;0,TEXT('הדבקת לידים'!B4568,REPT("0",הגדרות!$E$3)),TEXT('הדבקת לידים'!B4568,"0")),TRIM('הדבקת לידים'!B4568)))</f>
        <v/>
      </c>
      <c r="C4568" s="0" t="n">
        <f aca="false">IF(OR(A4568&lt;&gt;"",B4568&lt;&gt;""),1,0)</f>
        <v>0</v>
      </c>
      <c r="D4568" s="0" t="str">
        <f aca="false">IF(C4568=1,MOD(ABS(SIN(ROW()*12.9898+'הדבקת לידים'!$F$2*78.233+IFERROR(--RIGHT(A4568,6),LEN(A4568))*0.0137+IFERROR(--RIGHT(B4568,6),LEN(B4568))*0.0071))*43758.5453,1),"")</f>
        <v/>
      </c>
      <c r="E4568" s="0" t="str">
        <f aca="false">IF(C4568=1,INT(MOD(ABS(SIN(D4568*7919.123+ROW()*0.618+'הדבקת לידים'!$F$2*1.3))*43758.5453,1)*1000000)*10000+ROW(),"")</f>
        <v/>
      </c>
      <c r="F4568" s="0" t="str">
        <f aca="false">IF(E4568="","",RANK(E4568,$E$2:$E$5001,1))</f>
        <v/>
      </c>
      <c r="G4568" s="0" t="n">
        <f aca="false">IF(A4568="",0,IF(SUMPRODUCT(--($A$2:$A$5001=A4568))&gt;1,1,0))</f>
        <v>0</v>
      </c>
      <c r="H4568" s="0" t="n">
        <f aca="false">ROW()-1</f>
        <v>4567</v>
      </c>
      <c r="I4568" s="0" t="str">
        <f aca="false">IF(OR(הגדרות!$E$6=0,H4568&gt;הגדרות!$E$5),"",IF(H4568-1&lt;הגדרות!$E$8*(הגדרות!$E$7+1),INT((H4568-1)/(הגדרות!$E$7+1)),הגדרות!$E$8+INT((H4568-1-הגדרות!$E$8*(הגדרות!$E$7+1))/הגדרות!$E$7)))</f>
        <v/>
      </c>
      <c r="J4568" s="0" t="str">
        <f aca="false">IF(I4568="","",IF(H4568-1&lt;הגדרות!$E$8*(הגדרות!$E$7+1),MOD(H4568-1,הגדרות!$E$7+1),MOD(H4568-1-הגדרות!$E$8*(הגדרות!$E$7+1),הגדרות!$E$7)))</f>
        <v/>
      </c>
      <c r="K4568" s="0" t="str">
        <f aca="false">IF(I4568="","",J4568*הגדרות!$E$6+I4568+1)</f>
        <v/>
      </c>
      <c r="L4568" s="0" t="str">
        <f aca="false">IF(K4568="","",MATCH(K4568,$F$2:$F$5001,0))</f>
        <v/>
      </c>
      <c r="M4568" s="0" t="str">
        <f aca="false">IF(I4568="","",INDEX(הגדרות!$A$2:$A$21,MOD(I4568+הגדרות!$E$9,הגדרות!$E$6)+1))</f>
        <v/>
      </c>
    </row>
    <row r="4569" customFormat="false" ht="15" hidden="false" customHeight="false" outlineLevel="0" collapsed="false">
      <c r="A4569" s="0" t="str">
        <f aca="false">IF('הדבקת לידים'!A4569="","",IF(ISNUMBER('הדבקת לידים'!A4569),IF(הגדרות!$E$2&gt;0,TEXT('הדבקת לידים'!A4569,REPT("0",הגדרות!$E$2)),TEXT('הדבקת לידים'!A4569,"0")),TRIM('הדבקת לידים'!A4569)))</f>
        <v/>
      </c>
      <c r="B4569" s="0" t="str">
        <f aca="false">IF('הדבקת לידים'!B4569="","",IF(ISNUMBER('הדבקת לידים'!B4569),IF(הגדרות!$E$3&gt;0,TEXT('הדבקת לידים'!B4569,REPT("0",הגדרות!$E$3)),TEXT('הדבקת לידים'!B4569,"0")),TRIM('הדבקת לידים'!B4569)))</f>
        <v/>
      </c>
      <c r="C4569" s="0" t="n">
        <f aca="false">IF(OR(A4569&lt;&gt;"",B4569&lt;&gt;""),1,0)</f>
        <v>0</v>
      </c>
      <c r="D4569" s="0" t="str">
        <f aca="false">IF(C4569=1,MOD(ABS(SIN(ROW()*12.9898+'הדבקת לידים'!$F$2*78.233+IFERROR(--RIGHT(A4569,6),LEN(A4569))*0.0137+IFERROR(--RIGHT(B4569,6),LEN(B4569))*0.0071))*43758.5453,1),"")</f>
        <v/>
      </c>
      <c r="E4569" s="0" t="str">
        <f aca="false">IF(C4569=1,INT(MOD(ABS(SIN(D4569*7919.123+ROW()*0.618+'הדבקת לידים'!$F$2*1.3))*43758.5453,1)*1000000)*10000+ROW(),"")</f>
        <v/>
      </c>
      <c r="F4569" s="0" t="str">
        <f aca="false">IF(E4569="","",RANK(E4569,$E$2:$E$5001,1))</f>
        <v/>
      </c>
      <c r="G4569" s="0" t="n">
        <f aca="false">IF(A4569="",0,IF(SUMPRODUCT(--($A$2:$A$5001=A4569))&gt;1,1,0))</f>
        <v>0</v>
      </c>
      <c r="H4569" s="0" t="n">
        <f aca="false">ROW()-1</f>
        <v>4568</v>
      </c>
      <c r="I4569" s="0" t="str">
        <f aca="false">IF(OR(הגדרות!$E$6=0,H4569&gt;הגדרות!$E$5),"",IF(H4569-1&lt;הגדרות!$E$8*(הגדרות!$E$7+1),INT((H4569-1)/(הגדרות!$E$7+1)),הגדרות!$E$8+INT((H4569-1-הגדרות!$E$8*(הגדרות!$E$7+1))/הגדרות!$E$7)))</f>
        <v/>
      </c>
      <c r="J4569" s="0" t="str">
        <f aca="false">IF(I4569="","",IF(H4569-1&lt;הגדרות!$E$8*(הגדרות!$E$7+1),MOD(H4569-1,הגדרות!$E$7+1),MOD(H4569-1-הגדרות!$E$8*(הגדרות!$E$7+1),הגדרות!$E$7)))</f>
        <v/>
      </c>
      <c r="K4569" s="0" t="str">
        <f aca="false">IF(I4569="","",J4569*הגדרות!$E$6+I4569+1)</f>
        <v/>
      </c>
      <c r="L4569" s="0" t="str">
        <f aca="false">IF(K4569="","",MATCH(K4569,$F$2:$F$5001,0))</f>
        <v/>
      </c>
      <c r="M4569" s="0" t="str">
        <f aca="false">IF(I4569="","",INDEX(הגדרות!$A$2:$A$21,MOD(I4569+הגדרות!$E$9,הגדרות!$E$6)+1))</f>
        <v/>
      </c>
    </row>
    <row r="4570" customFormat="false" ht="15" hidden="false" customHeight="false" outlineLevel="0" collapsed="false">
      <c r="A4570" s="0" t="str">
        <f aca="false">IF('הדבקת לידים'!A4570="","",IF(ISNUMBER('הדבקת לידים'!A4570),IF(הגדרות!$E$2&gt;0,TEXT('הדבקת לידים'!A4570,REPT("0",הגדרות!$E$2)),TEXT('הדבקת לידים'!A4570,"0")),TRIM('הדבקת לידים'!A4570)))</f>
        <v/>
      </c>
      <c r="B4570" s="0" t="str">
        <f aca="false">IF('הדבקת לידים'!B4570="","",IF(ISNUMBER('הדבקת לידים'!B4570),IF(הגדרות!$E$3&gt;0,TEXT('הדבקת לידים'!B4570,REPT("0",הגדרות!$E$3)),TEXT('הדבקת לידים'!B4570,"0")),TRIM('הדבקת לידים'!B4570)))</f>
        <v/>
      </c>
      <c r="C4570" s="0" t="n">
        <f aca="false">IF(OR(A4570&lt;&gt;"",B4570&lt;&gt;""),1,0)</f>
        <v>0</v>
      </c>
      <c r="D4570" s="0" t="str">
        <f aca="false">IF(C4570=1,MOD(ABS(SIN(ROW()*12.9898+'הדבקת לידים'!$F$2*78.233+IFERROR(--RIGHT(A4570,6),LEN(A4570))*0.0137+IFERROR(--RIGHT(B4570,6),LEN(B4570))*0.0071))*43758.5453,1),"")</f>
        <v/>
      </c>
      <c r="E4570" s="0" t="str">
        <f aca="false">IF(C4570=1,INT(MOD(ABS(SIN(D4570*7919.123+ROW()*0.618+'הדבקת לידים'!$F$2*1.3))*43758.5453,1)*1000000)*10000+ROW(),"")</f>
        <v/>
      </c>
      <c r="F4570" s="0" t="str">
        <f aca="false">IF(E4570="","",RANK(E4570,$E$2:$E$5001,1))</f>
        <v/>
      </c>
      <c r="G4570" s="0" t="n">
        <f aca="false">IF(A4570="",0,IF(SUMPRODUCT(--($A$2:$A$5001=A4570))&gt;1,1,0))</f>
        <v>0</v>
      </c>
      <c r="H4570" s="0" t="n">
        <f aca="false">ROW()-1</f>
        <v>4569</v>
      </c>
      <c r="I4570" s="0" t="str">
        <f aca="false">IF(OR(הגדרות!$E$6=0,H4570&gt;הגדרות!$E$5),"",IF(H4570-1&lt;הגדרות!$E$8*(הגדרות!$E$7+1),INT((H4570-1)/(הגדרות!$E$7+1)),הגדרות!$E$8+INT((H4570-1-הגדרות!$E$8*(הגדרות!$E$7+1))/הגדרות!$E$7)))</f>
        <v/>
      </c>
      <c r="J4570" s="0" t="str">
        <f aca="false">IF(I4570="","",IF(H4570-1&lt;הגדרות!$E$8*(הגדרות!$E$7+1),MOD(H4570-1,הגדרות!$E$7+1),MOD(H4570-1-הגדרות!$E$8*(הגדרות!$E$7+1),הגדרות!$E$7)))</f>
        <v/>
      </c>
      <c r="K4570" s="0" t="str">
        <f aca="false">IF(I4570="","",J4570*הגדרות!$E$6+I4570+1)</f>
        <v/>
      </c>
      <c r="L4570" s="0" t="str">
        <f aca="false">IF(K4570="","",MATCH(K4570,$F$2:$F$5001,0))</f>
        <v/>
      </c>
      <c r="M4570" s="0" t="str">
        <f aca="false">IF(I4570="","",INDEX(הגדרות!$A$2:$A$21,MOD(I4570+הגדרות!$E$9,הגדרות!$E$6)+1))</f>
        <v/>
      </c>
    </row>
    <row r="4571" customFormat="false" ht="15" hidden="false" customHeight="false" outlineLevel="0" collapsed="false">
      <c r="A4571" s="0" t="str">
        <f aca="false">IF('הדבקת לידים'!A4571="","",IF(ISNUMBER('הדבקת לידים'!A4571),IF(הגדרות!$E$2&gt;0,TEXT('הדבקת לידים'!A4571,REPT("0",הגדרות!$E$2)),TEXT('הדבקת לידים'!A4571,"0")),TRIM('הדבקת לידים'!A4571)))</f>
        <v/>
      </c>
      <c r="B4571" s="0" t="str">
        <f aca="false">IF('הדבקת לידים'!B4571="","",IF(ISNUMBER('הדבקת לידים'!B4571),IF(הגדרות!$E$3&gt;0,TEXT('הדבקת לידים'!B4571,REPT("0",הגדרות!$E$3)),TEXT('הדבקת לידים'!B4571,"0")),TRIM('הדבקת לידים'!B4571)))</f>
        <v/>
      </c>
      <c r="C4571" s="0" t="n">
        <f aca="false">IF(OR(A4571&lt;&gt;"",B4571&lt;&gt;""),1,0)</f>
        <v>0</v>
      </c>
      <c r="D4571" s="0" t="str">
        <f aca="false">IF(C4571=1,MOD(ABS(SIN(ROW()*12.9898+'הדבקת לידים'!$F$2*78.233+IFERROR(--RIGHT(A4571,6),LEN(A4571))*0.0137+IFERROR(--RIGHT(B4571,6),LEN(B4571))*0.0071))*43758.5453,1),"")</f>
        <v/>
      </c>
      <c r="E4571" s="0" t="str">
        <f aca="false">IF(C4571=1,INT(MOD(ABS(SIN(D4571*7919.123+ROW()*0.618+'הדבקת לידים'!$F$2*1.3))*43758.5453,1)*1000000)*10000+ROW(),"")</f>
        <v/>
      </c>
      <c r="F4571" s="0" t="str">
        <f aca="false">IF(E4571="","",RANK(E4571,$E$2:$E$5001,1))</f>
        <v/>
      </c>
      <c r="G4571" s="0" t="n">
        <f aca="false">IF(A4571="",0,IF(SUMPRODUCT(--($A$2:$A$5001=A4571))&gt;1,1,0))</f>
        <v>0</v>
      </c>
      <c r="H4571" s="0" t="n">
        <f aca="false">ROW()-1</f>
        <v>4570</v>
      </c>
      <c r="I4571" s="0" t="str">
        <f aca="false">IF(OR(הגדרות!$E$6=0,H4571&gt;הגדרות!$E$5),"",IF(H4571-1&lt;הגדרות!$E$8*(הגדרות!$E$7+1),INT((H4571-1)/(הגדרות!$E$7+1)),הגדרות!$E$8+INT((H4571-1-הגדרות!$E$8*(הגדרות!$E$7+1))/הגדרות!$E$7)))</f>
        <v/>
      </c>
      <c r="J4571" s="0" t="str">
        <f aca="false">IF(I4571="","",IF(H4571-1&lt;הגדרות!$E$8*(הגדרות!$E$7+1),MOD(H4571-1,הגדרות!$E$7+1),MOD(H4571-1-הגדרות!$E$8*(הגדרות!$E$7+1),הגדרות!$E$7)))</f>
        <v/>
      </c>
      <c r="K4571" s="0" t="str">
        <f aca="false">IF(I4571="","",J4571*הגדרות!$E$6+I4571+1)</f>
        <v/>
      </c>
      <c r="L4571" s="0" t="str">
        <f aca="false">IF(K4571="","",MATCH(K4571,$F$2:$F$5001,0))</f>
        <v/>
      </c>
      <c r="M4571" s="0" t="str">
        <f aca="false">IF(I4571="","",INDEX(הגדרות!$A$2:$A$21,MOD(I4571+הגדרות!$E$9,הגדרות!$E$6)+1))</f>
        <v/>
      </c>
    </row>
    <row r="4572" customFormat="false" ht="15" hidden="false" customHeight="false" outlineLevel="0" collapsed="false">
      <c r="A4572" s="0" t="str">
        <f aca="false">IF('הדבקת לידים'!A4572="","",IF(ISNUMBER('הדבקת לידים'!A4572),IF(הגדרות!$E$2&gt;0,TEXT('הדבקת לידים'!A4572,REPT("0",הגדרות!$E$2)),TEXT('הדבקת לידים'!A4572,"0")),TRIM('הדבקת לידים'!A4572)))</f>
        <v/>
      </c>
      <c r="B4572" s="0" t="str">
        <f aca="false">IF('הדבקת לידים'!B4572="","",IF(ISNUMBER('הדבקת לידים'!B4572),IF(הגדרות!$E$3&gt;0,TEXT('הדבקת לידים'!B4572,REPT("0",הגדרות!$E$3)),TEXT('הדבקת לידים'!B4572,"0")),TRIM('הדבקת לידים'!B4572)))</f>
        <v/>
      </c>
      <c r="C4572" s="0" t="n">
        <f aca="false">IF(OR(A4572&lt;&gt;"",B4572&lt;&gt;""),1,0)</f>
        <v>0</v>
      </c>
      <c r="D4572" s="0" t="str">
        <f aca="false">IF(C4572=1,MOD(ABS(SIN(ROW()*12.9898+'הדבקת לידים'!$F$2*78.233+IFERROR(--RIGHT(A4572,6),LEN(A4572))*0.0137+IFERROR(--RIGHT(B4572,6),LEN(B4572))*0.0071))*43758.5453,1),"")</f>
        <v/>
      </c>
      <c r="E4572" s="0" t="str">
        <f aca="false">IF(C4572=1,INT(MOD(ABS(SIN(D4572*7919.123+ROW()*0.618+'הדבקת לידים'!$F$2*1.3))*43758.5453,1)*1000000)*10000+ROW(),"")</f>
        <v/>
      </c>
      <c r="F4572" s="0" t="str">
        <f aca="false">IF(E4572="","",RANK(E4572,$E$2:$E$5001,1))</f>
        <v/>
      </c>
      <c r="G4572" s="0" t="n">
        <f aca="false">IF(A4572="",0,IF(SUMPRODUCT(--($A$2:$A$5001=A4572))&gt;1,1,0))</f>
        <v>0</v>
      </c>
      <c r="H4572" s="0" t="n">
        <f aca="false">ROW()-1</f>
        <v>4571</v>
      </c>
      <c r="I4572" s="0" t="str">
        <f aca="false">IF(OR(הגדרות!$E$6=0,H4572&gt;הגדרות!$E$5),"",IF(H4572-1&lt;הגדרות!$E$8*(הגדרות!$E$7+1),INT((H4572-1)/(הגדרות!$E$7+1)),הגדרות!$E$8+INT((H4572-1-הגדרות!$E$8*(הגדרות!$E$7+1))/הגדרות!$E$7)))</f>
        <v/>
      </c>
      <c r="J4572" s="0" t="str">
        <f aca="false">IF(I4572="","",IF(H4572-1&lt;הגדרות!$E$8*(הגדרות!$E$7+1),MOD(H4572-1,הגדרות!$E$7+1),MOD(H4572-1-הגדרות!$E$8*(הגדרות!$E$7+1),הגדרות!$E$7)))</f>
        <v/>
      </c>
      <c r="K4572" s="0" t="str">
        <f aca="false">IF(I4572="","",J4572*הגדרות!$E$6+I4572+1)</f>
        <v/>
      </c>
      <c r="L4572" s="0" t="str">
        <f aca="false">IF(K4572="","",MATCH(K4572,$F$2:$F$5001,0))</f>
        <v/>
      </c>
      <c r="M4572" s="0" t="str">
        <f aca="false">IF(I4572="","",INDEX(הגדרות!$A$2:$A$21,MOD(I4572+הגדרות!$E$9,הגדרות!$E$6)+1))</f>
        <v/>
      </c>
    </row>
    <row r="4573" customFormat="false" ht="15" hidden="false" customHeight="false" outlineLevel="0" collapsed="false">
      <c r="A4573" s="0" t="str">
        <f aca="false">IF('הדבקת לידים'!A4573="","",IF(ISNUMBER('הדבקת לידים'!A4573),IF(הגדרות!$E$2&gt;0,TEXT('הדבקת לידים'!A4573,REPT("0",הגדרות!$E$2)),TEXT('הדבקת לידים'!A4573,"0")),TRIM('הדבקת לידים'!A4573)))</f>
        <v/>
      </c>
      <c r="B4573" s="0" t="str">
        <f aca="false">IF('הדבקת לידים'!B4573="","",IF(ISNUMBER('הדבקת לידים'!B4573),IF(הגדרות!$E$3&gt;0,TEXT('הדבקת לידים'!B4573,REPT("0",הגדרות!$E$3)),TEXT('הדבקת לידים'!B4573,"0")),TRIM('הדבקת לידים'!B4573)))</f>
        <v/>
      </c>
      <c r="C4573" s="0" t="n">
        <f aca="false">IF(OR(A4573&lt;&gt;"",B4573&lt;&gt;""),1,0)</f>
        <v>0</v>
      </c>
      <c r="D4573" s="0" t="str">
        <f aca="false">IF(C4573=1,MOD(ABS(SIN(ROW()*12.9898+'הדבקת לידים'!$F$2*78.233+IFERROR(--RIGHT(A4573,6),LEN(A4573))*0.0137+IFERROR(--RIGHT(B4573,6),LEN(B4573))*0.0071))*43758.5453,1),"")</f>
        <v/>
      </c>
      <c r="E4573" s="0" t="str">
        <f aca="false">IF(C4573=1,INT(MOD(ABS(SIN(D4573*7919.123+ROW()*0.618+'הדבקת לידים'!$F$2*1.3))*43758.5453,1)*1000000)*10000+ROW(),"")</f>
        <v/>
      </c>
      <c r="F4573" s="0" t="str">
        <f aca="false">IF(E4573="","",RANK(E4573,$E$2:$E$5001,1))</f>
        <v/>
      </c>
      <c r="G4573" s="0" t="n">
        <f aca="false">IF(A4573="",0,IF(SUMPRODUCT(--($A$2:$A$5001=A4573))&gt;1,1,0))</f>
        <v>0</v>
      </c>
      <c r="H4573" s="0" t="n">
        <f aca="false">ROW()-1</f>
        <v>4572</v>
      </c>
      <c r="I4573" s="0" t="str">
        <f aca="false">IF(OR(הגדרות!$E$6=0,H4573&gt;הגדרות!$E$5),"",IF(H4573-1&lt;הגדרות!$E$8*(הגדרות!$E$7+1),INT((H4573-1)/(הגדרות!$E$7+1)),הגדרות!$E$8+INT((H4573-1-הגדרות!$E$8*(הגדרות!$E$7+1))/הגדרות!$E$7)))</f>
        <v/>
      </c>
      <c r="J4573" s="0" t="str">
        <f aca="false">IF(I4573="","",IF(H4573-1&lt;הגדרות!$E$8*(הגדרות!$E$7+1),MOD(H4573-1,הגדרות!$E$7+1),MOD(H4573-1-הגדרות!$E$8*(הגדרות!$E$7+1),הגדרות!$E$7)))</f>
        <v/>
      </c>
      <c r="K4573" s="0" t="str">
        <f aca="false">IF(I4573="","",J4573*הגדרות!$E$6+I4573+1)</f>
        <v/>
      </c>
      <c r="L4573" s="0" t="str">
        <f aca="false">IF(K4573="","",MATCH(K4573,$F$2:$F$5001,0))</f>
        <v/>
      </c>
      <c r="M4573" s="0" t="str">
        <f aca="false">IF(I4573="","",INDEX(הגדרות!$A$2:$A$21,MOD(I4573+הגדרות!$E$9,הגדרות!$E$6)+1))</f>
        <v/>
      </c>
    </row>
    <row r="4574" customFormat="false" ht="15" hidden="false" customHeight="false" outlineLevel="0" collapsed="false">
      <c r="A4574" s="0" t="str">
        <f aca="false">IF('הדבקת לידים'!A4574="","",IF(ISNUMBER('הדבקת לידים'!A4574),IF(הגדרות!$E$2&gt;0,TEXT('הדבקת לידים'!A4574,REPT("0",הגדרות!$E$2)),TEXT('הדבקת לידים'!A4574,"0")),TRIM('הדבקת לידים'!A4574)))</f>
        <v/>
      </c>
      <c r="B4574" s="0" t="str">
        <f aca="false">IF('הדבקת לידים'!B4574="","",IF(ISNUMBER('הדבקת לידים'!B4574),IF(הגדרות!$E$3&gt;0,TEXT('הדבקת לידים'!B4574,REPT("0",הגדרות!$E$3)),TEXT('הדבקת לידים'!B4574,"0")),TRIM('הדבקת לידים'!B4574)))</f>
        <v/>
      </c>
      <c r="C4574" s="0" t="n">
        <f aca="false">IF(OR(A4574&lt;&gt;"",B4574&lt;&gt;""),1,0)</f>
        <v>0</v>
      </c>
      <c r="D4574" s="0" t="str">
        <f aca="false">IF(C4574=1,MOD(ABS(SIN(ROW()*12.9898+'הדבקת לידים'!$F$2*78.233+IFERROR(--RIGHT(A4574,6),LEN(A4574))*0.0137+IFERROR(--RIGHT(B4574,6),LEN(B4574))*0.0071))*43758.5453,1),"")</f>
        <v/>
      </c>
      <c r="E4574" s="0" t="str">
        <f aca="false">IF(C4574=1,INT(MOD(ABS(SIN(D4574*7919.123+ROW()*0.618+'הדבקת לידים'!$F$2*1.3))*43758.5453,1)*1000000)*10000+ROW(),"")</f>
        <v/>
      </c>
      <c r="F4574" s="0" t="str">
        <f aca="false">IF(E4574="","",RANK(E4574,$E$2:$E$5001,1))</f>
        <v/>
      </c>
      <c r="G4574" s="0" t="n">
        <f aca="false">IF(A4574="",0,IF(SUMPRODUCT(--($A$2:$A$5001=A4574))&gt;1,1,0))</f>
        <v>0</v>
      </c>
      <c r="H4574" s="0" t="n">
        <f aca="false">ROW()-1</f>
        <v>4573</v>
      </c>
      <c r="I4574" s="0" t="str">
        <f aca="false">IF(OR(הגדרות!$E$6=0,H4574&gt;הגדרות!$E$5),"",IF(H4574-1&lt;הגדרות!$E$8*(הגדרות!$E$7+1),INT((H4574-1)/(הגדרות!$E$7+1)),הגדרות!$E$8+INT((H4574-1-הגדרות!$E$8*(הגדרות!$E$7+1))/הגדרות!$E$7)))</f>
        <v/>
      </c>
      <c r="J4574" s="0" t="str">
        <f aca="false">IF(I4574="","",IF(H4574-1&lt;הגדרות!$E$8*(הגדרות!$E$7+1),MOD(H4574-1,הגדרות!$E$7+1),MOD(H4574-1-הגדרות!$E$8*(הגדרות!$E$7+1),הגדרות!$E$7)))</f>
        <v/>
      </c>
      <c r="K4574" s="0" t="str">
        <f aca="false">IF(I4574="","",J4574*הגדרות!$E$6+I4574+1)</f>
        <v/>
      </c>
      <c r="L4574" s="0" t="str">
        <f aca="false">IF(K4574="","",MATCH(K4574,$F$2:$F$5001,0))</f>
        <v/>
      </c>
      <c r="M4574" s="0" t="str">
        <f aca="false">IF(I4574="","",INDEX(הגדרות!$A$2:$A$21,MOD(I4574+הגדרות!$E$9,הגדרות!$E$6)+1))</f>
        <v/>
      </c>
    </row>
    <row r="4575" customFormat="false" ht="15" hidden="false" customHeight="false" outlineLevel="0" collapsed="false">
      <c r="A4575" s="0" t="str">
        <f aca="false">IF('הדבקת לידים'!A4575="","",IF(ISNUMBER('הדבקת לידים'!A4575),IF(הגדרות!$E$2&gt;0,TEXT('הדבקת לידים'!A4575,REPT("0",הגדרות!$E$2)),TEXT('הדבקת לידים'!A4575,"0")),TRIM('הדבקת לידים'!A4575)))</f>
        <v/>
      </c>
      <c r="B4575" s="0" t="str">
        <f aca="false">IF('הדבקת לידים'!B4575="","",IF(ISNUMBER('הדבקת לידים'!B4575),IF(הגדרות!$E$3&gt;0,TEXT('הדבקת לידים'!B4575,REPT("0",הגדרות!$E$3)),TEXT('הדבקת לידים'!B4575,"0")),TRIM('הדבקת לידים'!B4575)))</f>
        <v/>
      </c>
      <c r="C4575" s="0" t="n">
        <f aca="false">IF(OR(A4575&lt;&gt;"",B4575&lt;&gt;""),1,0)</f>
        <v>0</v>
      </c>
      <c r="D4575" s="0" t="str">
        <f aca="false">IF(C4575=1,MOD(ABS(SIN(ROW()*12.9898+'הדבקת לידים'!$F$2*78.233+IFERROR(--RIGHT(A4575,6),LEN(A4575))*0.0137+IFERROR(--RIGHT(B4575,6),LEN(B4575))*0.0071))*43758.5453,1),"")</f>
        <v/>
      </c>
      <c r="E4575" s="0" t="str">
        <f aca="false">IF(C4575=1,INT(MOD(ABS(SIN(D4575*7919.123+ROW()*0.618+'הדבקת לידים'!$F$2*1.3))*43758.5453,1)*1000000)*10000+ROW(),"")</f>
        <v/>
      </c>
      <c r="F4575" s="0" t="str">
        <f aca="false">IF(E4575="","",RANK(E4575,$E$2:$E$5001,1))</f>
        <v/>
      </c>
      <c r="G4575" s="0" t="n">
        <f aca="false">IF(A4575="",0,IF(SUMPRODUCT(--($A$2:$A$5001=A4575))&gt;1,1,0))</f>
        <v>0</v>
      </c>
      <c r="H4575" s="0" t="n">
        <f aca="false">ROW()-1</f>
        <v>4574</v>
      </c>
      <c r="I4575" s="0" t="str">
        <f aca="false">IF(OR(הגדרות!$E$6=0,H4575&gt;הגדרות!$E$5),"",IF(H4575-1&lt;הגדרות!$E$8*(הגדרות!$E$7+1),INT((H4575-1)/(הגדרות!$E$7+1)),הגדרות!$E$8+INT((H4575-1-הגדרות!$E$8*(הגדרות!$E$7+1))/הגדרות!$E$7)))</f>
        <v/>
      </c>
      <c r="J4575" s="0" t="str">
        <f aca="false">IF(I4575="","",IF(H4575-1&lt;הגדרות!$E$8*(הגדרות!$E$7+1),MOD(H4575-1,הגדרות!$E$7+1),MOD(H4575-1-הגדרות!$E$8*(הגדרות!$E$7+1),הגדרות!$E$7)))</f>
        <v/>
      </c>
      <c r="K4575" s="0" t="str">
        <f aca="false">IF(I4575="","",J4575*הגדרות!$E$6+I4575+1)</f>
        <v/>
      </c>
      <c r="L4575" s="0" t="str">
        <f aca="false">IF(K4575="","",MATCH(K4575,$F$2:$F$5001,0))</f>
        <v/>
      </c>
      <c r="M4575" s="0" t="str">
        <f aca="false">IF(I4575="","",INDEX(הגדרות!$A$2:$A$21,MOD(I4575+הגדרות!$E$9,הגדרות!$E$6)+1))</f>
        <v/>
      </c>
    </row>
    <row r="4576" customFormat="false" ht="15" hidden="false" customHeight="false" outlineLevel="0" collapsed="false">
      <c r="A4576" s="0" t="str">
        <f aca="false">IF('הדבקת לידים'!A4576="","",IF(ISNUMBER('הדבקת לידים'!A4576),IF(הגדרות!$E$2&gt;0,TEXT('הדבקת לידים'!A4576,REPT("0",הגדרות!$E$2)),TEXT('הדבקת לידים'!A4576,"0")),TRIM('הדבקת לידים'!A4576)))</f>
        <v/>
      </c>
      <c r="B4576" s="0" t="str">
        <f aca="false">IF('הדבקת לידים'!B4576="","",IF(ISNUMBER('הדבקת לידים'!B4576),IF(הגדרות!$E$3&gt;0,TEXT('הדבקת לידים'!B4576,REPT("0",הגדרות!$E$3)),TEXT('הדבקת לידים'!B4576,"0")),TRIM('הדבקת לידים'!B4576)))</f>
        <v/>
      </c>
      <c r="C4576" s="0" t="n">
        <f aca="false">IF(OR(A4576&lt;&gt;"",B4576&lt;&gt;""),1,0)</f>
        <v>0</v>
      </c>
      <c r="D4576" s="0" t="str">
        <f aca="false">IF(C4576=1,MOD(ABS(SIN(ROW()*12.9898+'הדבקת לידים'!$F$2*78.233+IFERROR(--RIGHT(A4576,6),LEN(A4576))*0.0137+IFERROR(--RIGHT(B4576,6),LEN(B4576))*0.0071))*43758.5453,1),"")</f>
        <v/>
      </c>
      <c r="E4576" s="0" t="str">
        <f aca="false">IF(C4576=1,INT(MOD(ABS(SIN(D4576*7919.123+ROW()*0.618+'הדבקת לידים'!$F$2*1.3))*43758.5453,1)*1000000)*10000+ROW(),"")</f>
        <v/>
      </c>
      <c r="F4576" s="0" t="str">
        <f aca="false">IF(E4576="","",RANK(E4576,$E$2:$E$5001,1))</f>
        <v/>
      </c>
      <c r="G4576" s="0" t="n">
        <f aca="false">IF(A4576="",0,IF(SUMPRODUCT(--($A$2:$A$5001=A4576))&gt;1,1,0))</f>
        <v>0</v>
      </c>
      <c r="H4576" s="0" t="n">
        <f aca="false">ROW()-1</f>
        <v>4575</v>
      </c>
      <c r="I4576" s="0" t="str">
        <f aca="false">IF(OR(הגדרות!$E$6=0,H4576&gt;הגדרות!$E$5),"",IF(H4576-1&lt;הגדרות!$E$8*(הגדרות!$E$7+1),INT((H4576-1)/(הגדרות!$E$7+1)),הגדרות!$E$8+INT((H4576-1-הגדרות!$E$8*(הגדרות!$E$7+1))/הגדרות!$E$7)))</f>
        <v/>
      </c>
      <c r="J4576" s="0" t="str">
        <f aca="false">IF(I4576="","",IF(H4576-1&lt;הגדרות!$E$8*(הגדרות!$E$7+1),MOD(H4576-1,הגדרות!$E$7+1),MOD(H4576-1-הגדרות!$E$8*(הגדרות!$E$7+1),הגדרות!$E$7)))</f>
        <v/>
      </c>
      <c r="K4576" s="0" t="str">
        <f aca="false">IF(I4576="","",J4576*הגדרות!$E$6+I4576+1)</f>
        <v/>
      </c>
      <c r="L4576" s="0" t="str">
        <f aca="false">IF(K4576="","",MATCH(K4576,$F$2:$F$5001,0))</f>
        <v/>
      </c>
      <c r="M4576" s="0" t="str">
        <f aca="false">IF(I4576="","",INDEX(הגדרות!$A$2:$A$21,MOD(I4576+הגדרות!$E$9,הגדרות!$E$6)+1))</f>
        <v/>
      </c>
    </row>
    <row r="4577" customFormat="false" ht="15" hidden="false" customHeight="false" outlineLevel="0" collapsed="false">
      <c r="A4577" s="0" t="str">
        <f aca="false">IF('הדבקת לידים'!A4577="","",IF(ISNUMBER('הדבקת לידים'!A4577),IF(הגדרות!$E$2&gt;0,TEXT('הדבקת לידים'!A4577,REPT("0",הגדרות!$E$2)),TEXT('הדבקת לידים'!A4577,"0")),TRIM('הדבקת לידים'!A4577)))</f>
        <v/>
      </c>
      <c r="B4577" s="0" t="str">
        <f aca="false">IF('הדבקת לידים'!B4577="","",IF(ISNUMBER('הדבקת לידים'!B4577),IF(הגדרות!$E$3&gt;0,TEXT('הדבקת לידים'!B4577,REPT("0",הגדרות!$E$3)),TEXT('הדבקת לידים'!B4577,"0")),TRIM('הדבקת לידים'!B4577)))</f>
        <v/>
      </c>
      <c r="C4577" s="0" t="n">
        <f aca="false">IF(OR(A4577&lt;&gt;"",B4577&lt;&gt;""),1,0)</f>
        <v>0</v>
      </c>
      <c r="D4577" s="0" t="str">
        <f aca="false">IF(C4577=1,MOD(ABS(SIN(ROW()*12.9898+'הדבקת לידים'!$F$2*78.233+IFERROR(--RIGHT(A4577,6),LEN(A4577))*0.0137+IFERROR(--RIGHT(B4577,6),LEN(B4577))*0.0071))*43758.5453,1),"")</f>
        <v/>
      </c>
      <c r="E4577" s="0" t="str">
        <f aca="false">IF(C4577=1,INT(MOD(ABS(SIN(D4577*7919.123+ROW()*0.618+'הדבקת לידים'!$F$2*1.3))*43758.5453,1)*1000000)*10000+ROW(),"")</f>
        <v/>
      </c>
      <c r="F4577" s="0" t="str">
        <f aca="false">IF(E4577="","",RANK(E4577,$E$2:$E$5001,1))</f>
        <v/>
      </c>
      <c r="G4577" s="0" t="n">
        <f aca="false">IF(A4577="",0,IF(SUMPRODUCT(--($A$2:$A$5001=A4577))&gt;1,1,0))</f>
        <v>0</v>
      </c>
      <c r="H4577" s="0" t="n">
        <f aca="false">ROW()-1</f>
        <v>4576</v>
      </c>
      <c r="I4577" s="0" t="str">
        <f aca="false">IF(OR(הגדרות!$E$6=0,H4577&gt;הגדרות!$E$5),"",IF(H4577-1&lt;הגדרות!$E$8*(הגדרות!$E$7+1),INT((H4577-1)/(הגדרות!$E$7+1)),הגדרות!$E$8+INT((H4577-1-הגדרות!$E$8*(הגדרות!$E$7+1))/הגדרות!$E$7)))</f>
        <v/>
      </c>
      <c r="J4577" s="0" t="str">
        <f aca="false">IF(I4577="","",IF(H4577-1&lt;הגדרות!$E$8*(הגדרות!$E$7+1),MOD(H4577-1,הגדרות!$E$7+1),MOD(H4577-1-הגדרות!$E$8*(הגדרות!$E$7+1),הגדרות!$E$7)))</f>
        <v/>
      </c>
      <c r="K4577" s="0" t="str">
        <f aca="false">IF(I4577="","",J4577*הגדרות!$E$6+I4577+1)</f>
        <v/>
      </c>
      <c r="L4577" s="0" t="str">
        <f aca="false">IF(K4577="","",MATCH(K4577,$F$2:$F$5001,0))</f>
        <v/>
      </c>
      <c r="M4577" s="0" t="str">
        <f aca="false">IF(I4577="","",INDEX(הגדרות!$A$2:$A$21,MOD(I4577+הגדרות!$E$9,הגדרות!$E$6)+1))</f>
        <v/>
      </c>
    </row>
    <row r="4578" customFormat="false" ht="15" hidden="false" customHeight="false" outlineLevel="0" collapsed="false">
      <c r="A4578" s="0" t="str">
        <f aca="false">IF('הדבקת לידים'!A4578="","",IF(ISNUMBER('הדבקת לידים'!A4578),IF(הגדרות!$E$2&gt;0,TEXT('הדבקת לידים'!A4578,REPT("0",הגדרות!$E$2)),TEXT('הדבקת לידים'!A4578,"0")),TRIM('הדבקת לידים'!A4578)))</f>
        <v/>
      </c>
      <c r="B4578" s="0" t="str">
        <f aca="false">IF('הדבקת לידים'!B4578="","",IF(ISNUMBER('הדבקת לידים'!B4578),IF(הגדרות!$E$3&gt;0,TEXT('הדבקת לידים'!B4578,REPT("0",הגדרות!$E$3)),TEXT('הדבקת לידים'!B4578,"0")),TRIM('הדבקת לידים'!B4578)))</f>
        <v/>
      </c>
      <c r="C4578" s="0" t="n">
        <f aca="false">IF(OR(A4578&lt;&gt;"",B4578&lt;&gt;""),1,0)</f>
        <v>0</v>
      </c>
      <c r="D4578" s="0" t="str">
        <f aca="false">IF(C4578=1,MOD(ABS(SIN(ROW()*12.9898+'הדבקת לידים'!$F$2*78.233+IFERROR(--RIGHT(A4578,6),LEN(A4578))*0.0137+IFERROR(--RIGHT(B4578,6),LEN(B4578))*0.0071))*43758.5453,1),"")</f>
        <v/>
      </c>
      <c r="E4578" s="0" t="str">
        <f aca="false">IF(C4578=1,INT(MOD(ABS(SIN(D4578*7919.123+ROW()*0.618+'הדבקת לידים'!$F$2*1.3))*43758.5453,1)*1000000)*10000+ROW(),"")</f>
        <v/>
      </c>
      <c r="F4578" s="0" t="str">
        <f aca="false">IF(E4578="","",RANK(E4578,$E$2:$E$5001,1))</f>
        <v/>
      </c>
      <c r="G4578" s="0" t="n">
        <f aca="false">IF(A4578="",0,IF(SUMPRODUCT(--($A$2:$A$5001=A4578))&gt;1,1,0))</f>
        <v>0</v>
      </c>
      <c r="H4578" s="0" t="n">
        <f aca="false">ROW()-1</f>
        <v>4577</v>
      </c>
      <c r="I4578" s="0" t="str">
        <f aca="false">IF(OR(הגדרות!$E$6=0,H4578&gt;הגדרות!$E$5),"",IF(H4578-1&lt;הגדרות!$E$8*(הגדרות!$E$7+1),INT((H4578-1)/(הגדרות!$E$7+1)),הגדרות!$E$8+INT((H4578-1-הגדרות!$E$8*(הגדרות!$E$7+1))/הגדרות!$E$7)))</f>
        <v/>
      </c>
      <c r="J4578" s="0" t="str">
        <f aca="false">IF(I4578="","",IF(H4578-1&lt;הגדרות!$E$8*(הגדרות!$E$7+1),MOD(H4578-1,הגדרות!$E$7+1),MOD(H4578-1-הגדרות!$E$8*(הגדרות!$E$7+1),הגדרות!$E$7)))</f>
        <v/>
      </c>
      <c r="K4578" s="0" t="str">
        <f aca="false">IF(I4578="","",J4578*הגדרות!$E$6+I4578+1)</f>
        <v/>
      </c>
      <c r="L4578" s="0" t="str">
        <f aca="false">IF(K4578="","",MATCH(K4578,$F$2:$F$5001,0))</f>
        <v/>
      </c>
      <c r="M4578" s="0" t="str">
        <f aca="false">IF(I4578="","",INDEX(הגדרות!$A$2:$A$21,MOD(I4578+הגדרות!$E$9,הגדרות!$E$6)+1))</f>
        <v/>
      </c>
    </row>
    <row r="4579" customFormat="false" ht="15" hidden="false" customHeight="false" outlineLevel="0" collapsed="false">
      <c r="A4579" s="0" t="str">
        <f aca="false">IF('הדבקת לידים'!A4579="","",IF(ISNUMBER('הדבקת לידים'!A4579),IF(הגדרות!$E$2&gt;0,TEXT('הדבקת לידים'!A4579,REPT("0",הגדרות!$E$2)),TEXT('הדבקת לידים'!A4579,"0")),TRIM('הדבקת לידים'!A4579)))</f>
        <v/>
      </c>
      <c r="B4579" s="0" t="str">
        <f aca="false">IF('הדבקת לידים'!B4579="","",IF(ISNUMBER('הדבקת לידים'!B4579),IF(הגדרות!$E$3&gt;0,TEXT('הדבקת לידים'!B4579,REPT("0",הגדרות!$E$3)),TEXT('הדבקת לידים'!B4579,"0")),TRIM('הדבקת לידים'!B4579)))</f>
        <v/>
      </c>
      <c r="C4579" s="0" t="n">
        <f aca="false">IF(OR(A4579&lt;&gt;"",B4579&lt;&gt;""),1,0)</f>
        <v>0</v>
      </c>
      <c r="D4579" s="0" t="str">
        <f aca="false">IF(C4579=1,MOD(ABS(SIN(ROW()*12.9898+'הדבקת לידים'!$F$2*78.233+IFERROR(--RIGHT(A4579,6),LEN(A4579))*0.0137+IFERROR(--RIGHT(B4579,6),LEN(B4579))*0.0071))*43758.5453,1),"")</f>
        <v/>
      </c>
      <c r="E4579" s="0" t="str">
        <f aca="false">IF(C4579=1,INT(MOD(ABS(SIN(D4579*7919.123+ROW()*0.618+'הדבקת לידים'!$F$2*1.3))*43758.5453,1)*1000000)*10000+ROW(),"")</f>
        <v/>
      </c>
      <c r="F4579" s="0" t="str">
        <f aca="false">IF(E4579="","",RANK(E4579,$E$2:$E$5001,1))</f>
        <v/>
      </c>
      <c r="G4579" s="0" t="n">
        <f aca="false">IF(A4579="",0,IF(SUMPRODUCT(--($A$2:$A$5001=A4579))&gt;1,1,0))</f>
        <v>0</v>
      </c>
      <c r="H4579" s="0" t="n">
        <f aca="false">ROW()-1</f>
        <v>4578</v>
      </c>
      <c r="I4579" s="0" t="str">
        <f aca="false">IF(OR(הגדרות!$E$6=0,H4579&gt;הגדרות!$E$5),"",IF(H4579-1&lt;הגדרות!$E$8*(הגדרות!$E$7+1),INT((H4579-1)/(הגדרות!$E$7+1)),הגדרות!$E$8+INT((H4579-1-הגדרות!$E$8*(הגדרות!$E$7+1))/הגדרות!$E$7)))</f>
        <v/>
      </c>
      <c r="J4579" s="0" t="str">
        <f aca="false">IF(I4579="","",IF(H4579-1&lt;הגדרות!$E$8*(הגדרות!$E$7+1),MOD(H4579-1,הגדרות!$E$7+1),MOD(H4579-1-הגדרות!$E$8*(הגדרות!$E$7+1),הגדרות!$E$7)))</f>
        <v/>
      </c>
      <c r="K4579" s="0" t="str">
        <f aca="false">IF(I4579="","",J4579*הגדרות!$E$6+I4579+1)</f>
        <v/>
      </c>
      <c r="L4579" s="0" t="str">
        <f aca="false">IF(K4579="","",MATCH(K4579,$F$2:$F$5001,0))</f>
        <v/>
      </c>
      <c r="M4579" s="0" t="str">
        <f aca="false">IF(I4579="","",INDEX(הגדרות!$A$2:$A$21,MOD(I4579+הגדרות!$E$9,הגדרות!$E$6)+1))</f>
        <v/>
      </c>
    </row>
    <row r="4580" customFormat="false" ht="15" hidden="false" customHeight="false" outlineLevel="0" collapsed="false">
      <c r="A4580" s="0" t="str">
        <f aca="false">IF('הדבקת לידים'!A4580="","",IF(ISNUMBER('הדבקת לידים'!A4580),IF(הגדרות!$E$2&gt;0,TEXT('הדבקת לידים'!A4580,REPT("0",הגדרות!$E$2)),TEXT('הדבקת לידים'!A4580,"0")),TRIM('הדבקת לידים'!A4580)))</f>
        <v/>
      </c>
      <c r="B4580" s="0" t="str">
        <f aca="false">IF('הדבקת לידים'!B4580="","",IF(ISNUMBER('הדבקת לידים'!B4580),IF(הגדרות!$E$3&gt;0,TEXT('הדבקת לידים'!B4580,REPT("0",הגדרות!$E$3)),TEXT('הדבקת לידים'!B4580,"0")),TRIM('הדבקת לידים'!B4580)))</f>
        <v/>
      </c>
      <c r="C4580" s="0" t="n">
        <f aca="false">IF(OR(A4580&lt;&gt;"",B4580&lt;&gt;""),1,0)</f>
        <v>0</v>
      </c>
      <c r="D4580" s="0" t="str">
        <f aca="false">IF(C4580=1,MOD(ABS(SIN(ROW()*12.9898+'הדבקת לידים'!$F$2*78.233+IFERROR(--RIGHT(A4580,6),LEN(A4580))*0.0137+IFERROR(--RIGHT(B4580,6),LEN(B4580))*0.0071))*43758.5453,1),"")</f>
        <v/>
      </c>
      <c r="E4580" s="0" t="str">
        <f aca="false">IF(C4580=1,INT(MOD(ABS(SIN(D4580*7919.123+ROW()*0.618+'הדבקת לידים'!$F$2*1.3))*43758.5453,1)*1000000)*10000+ROW(),"")</f>
        <v/>
      </c>
      <c r="F4580" s="0" t="str">
        <f aca="false">IF(E4580="","",RANK(E4580,$E$2:$E$5001,1))</f>
        <v/>
      </c>
      <c r="G4580" s="0" t="n">
        <f aca="false">IF(A4580="",0,IF(SUMPRODUCT(--($A$2:$A$5001=A4580))&gt;1,1,0))</f>
        <v>0</v>
      </c>
      <c r="H4580" s="0" t="n">
        <f aca="false">ROW()-1</f>
        <v>4579</v>
      </c>
      <c r="I4580" s="0" t="str">
        <f aca="false">IF(OR(הגדרות!$E$6=0,H4580&gt;הגדרות!$E$5),"",IF(H4580-1&lt;הגדרות!$E$8*(הגדרות!$E$7+1),INT((H4580-1)/(הגדרות!$E$7+1)),הגדרות!$E$8+INT((H4580-1-הגדרות!$E$8*(הגדרות!$E$7+1))/הגדרות!$E$7)))</f>
        <v/>
      </c>
      <c r="J4580" s="0" t="str">
        <f aca="false">IF(I4580="","",IF(H4580-1&lt;הגדרות!$E$8*(הגדרות!$E$7+1),MOD(H4580-1,הגדרות!$E$7+1),MOD(H4580-1-הגדרות!$E$8*(הגדרות!$E$7+1),הגדרות!$E$7)))</f>
        <v/>
      </c>
      <c r="K4580" s="0" t="str">
        <f aca="false">IF(I4580="","",J4580*הגדרות!$E$6+I4580+1)</f>
        <v/>
      </c>
      <c r="L4580" s="0" t="str">
        <f aca="false">IF(K4580="","",MATCH(K4580,$F$2:$F$5001,0))</f>
        <v/>
      </c>
      <c r="M4580" s="0" t="str">
        <f aca="false">IF(I4580="","",INDEX(הגדרות!$A$2:$A$21,MOD(I4580+הגדרות!$E$9,הגדרות!$E$6)+1))</f>
        <v/>
      </c>
    </row>
    <row r="4581" customFormat="false" ht="15" hidden="false" customHeight="false" outlineLevel="0" collapsed="false">
      <c r="A4581" s="0" t="str">
        <f aca="false">IF('הדבקת לידים'!A4581="","",IF(ISNUMBER('הדבקת לידים'!A4581),IF(הגדרות!$E$2&gt;0,TEXT('הדבקת לידים'!A4581,REPT("0",הגדרות!$E$2)),TEXT('הדבקת לידים'!A4581,"0")),TRIM('הדבקת לידים'!A4581)))</f>
        <v/>
      </c>
      <c r="B4581" s="0" t="str">
        <f aca="false">IF('הדבקת לידים'!B4581="","",IF(ISNUMBER('הדבקת לידים'!B4581),IF(הגדרות!$E$3&gt;0,TEXT('הדבקת לידים'!B4581,REPT("0",הגדרות!$E$3)),TEXT('הדבקת לידים'!B4581,"0")),TRIM('הדבקת לידים'!B4581)))</f>
        <v/>
      </c>
      <c r="C4581" s="0" t="n">
        <f aca="false">IF(OR(A4581&lt;&gt;"",B4581&lt;&gt;""),1,0)</f>
        <v>0</v>
      </c>
      <c r="D4581" s="0" t="str">
        <f aca="false">IF(C4581=1,MOD(ABS(SIN(ROW()*12.9898+'הדבקת לידים'!$F$2*78.233+IFERROR(--RIGHT(A4581,6),LEN(A4581))*0.0137+IFERROR(--RIGHT(B4581,6),LEN(B4581))*0.0071))*43758.5453,1),"")</f>
        <v/>
      </c>
      <c r="E4581" s="0" t="str">
        <f aca="false">IF(C4581=1,INT(MOD(ABS(SIN(D4581*7919.123+ROW()*0.618+'הדבקת לידים'!$F$2*1.3))*43758.5453,1)*1000000)*10000+ROW(),"")</f>
        <v/>
      </c>
      <c r="F4581" s="0" t="str">
        <f aca="false">IF(E4581="","",RANK(E4581,$E$2:$E$5001,1))</f>
        <v/>
      </c>
      <c r="G4581" s="0" t="n">
        <f aca="false">IF(A4581="",0,IF(SUMPRODUCT(--($A$2:$A$5001=A4581))&gt;1,1,0))</f>
        <v>0</v>
      </c>
      <c r="H4581" s="0" t="n">
        <f aca="false">ROW()-1</f>
        <v>4580</v>
      </c>
      <c r="I4581" s="0" t="str">
        <f aca="false">IF(OR(הגדרות!$E$6=0,H4581&gt;הגדרות!$E$5),"",IF(H4581-1&lt;הגדרות!$E$8*(הגדרות!$E$7+1),INT((H4581-1)/(הגדרות!$E$7+1)),הגדרות!$E$8+INT((H4581-1-הגדרות!$E$8*(הגדרות!$E$7+1))/הגדרות!$E$7)))</f>
        <v/>
      </c>
      <c r="J4581" s="0" t="str">
        <f aca="false">IF(I4581="","",IF(H4581-1&lt;הגדרות!$E$8*(הגדרות!$E$7+1),MOD(H4581-1,הגדרות!$E$7+1),MOD(H4581-1-הגדרות!$E$8*(הגדרות!$E$7+1),הגדרות!$E$7)))</f>
        <v/>
      </c>
      <c r="K4581" s="0" t="str">
        <f aca="false">IF(I4581="","",J4581*הגדרות!$E$6+I4581+1)</f>
        <v/>
      </c>
      <c r="L4581" s="0" t="str">
        <f aca="false">IF(K4581="","",MATCH(K4581,$F$2:$F$5001,0))</f>
        <v/>
      </c>
      <c r="M4581" s="0" t="str">
        <f aca="false">IF(I4581="","",INDEX(הגדרות!$A$2:$A$21,MOD(I4581+הגדרות!$E$9,הגדרות!$E$6)+1))</f>
        <v/>
      </c>
    </row>
    <row r="4582" customFormat="false" ht="15" hidden="false" customHeight="false" outlineLevel="0" collapsed="false">
      <c r="A4582" s="0" t="str">
        <f aca="false">IF('הדבקת לידים'!A4582="","",IF(ISNUMBER('הדבקת לידים'!A4582),IF(הגדרות!$E$2&gt;0,TEXT('הדבקת לידים'!A4582,REPT("0",הגדרות!$E$2)),TEXT('הדבקת לידים'!A4582,"0")),TRIM('הדבקת לידים'!A4582)))</f>
        <v/>
      </c>
      <c r="B4582" s="0" t="str">
        <f aca="false">IF('הדבקת לידים'!B4582="","",IF(ISNUMBER('הדבקת לידים'!B4582),IF(הגדרות!$E$3&gt;0,TEXT('הדבקת לידים'!B4582,REPT("0",הגדרות!$E$3)),TEXT('הדבקת לידים'!B4582,"0")),TRIM('הדבקת לידים'!B4582)))</f>
        <v/>
      </c>
      <c r="C4582" s="0" t="n">
        <f aca="false">IF(OR(A4582&lt;&gt;"",B4582&lt;&gt;""),1,0)</f>
        <v>0</v>
      </c>
      <c r="D4582" s="0" t="str">
        <f aca="false">IF(C4582=1,MOD(ABS(SIN(ROW()*12.9898+'הדבקת לידים'!$F$2*78.233+IFERROR(--RIGHT(A4582,6),LEN(A4582))*0.0137+IFERROR(--RIGHT(B4582,6),LEN(B4582))*0.0071))*43758.5453,1),"")</f>
        <v/>
      </c>
      <c r="E4582" s="0" t="str">
        <f aca="false">IF(C4582=1,INT(MOD(ABS(SIN(D4582*7919.123+ROW()*0.618+'הדבקת לידים'!$F$2*1.3))*43758.5453,1)*1000000)*10000+ROW(),"")</f>
        <v/>
      </c>
      <c r="F4582" s="0" t="str">
        <f aca="false">IF(E4582="","",RANK(E4582,$E$2:$E$5001,1))</f>
        <v/>
      </c>
      <c r="G4582" s="0" t="n">
        <f aca="false">IF(A4582="",0,IF(SUMPRODUCT(--($A$2:$A$5001=A4582))&gt;1,1,0))</f>
        <v>0</v>
      </c>
      <c r="H4582" s="0" t="n">
        <f aca="false">ROW()-1</f>
        <v>4581</v>
      </c>
      <c r="I4582" s="0" t="str">
        <f aca="false">IF(OR(הגדרות!$E$6=0,H4582&gt;הגדרות!$E$5),"",IF(H4582-1&lt;הגדרות!$E$8*(הגדרות!$E$7+1),INT((H4582-1)/(הגדרות!$E$7+1)),הגדרות!$E$8+INT((H4582-1-הגדרות!$E$8*(הגדרות!$E$7+1))/הגדרות!$E$7)))</f>
        <v/>
      </c>
      <c r="J4582" s="0" t="str">
        <f aca="false">IF(I4582="","",IF(H4582-1&lt;הגדרות!$E$8*(הגדרות!$E$7+1),MOD(H4582-1,הגדרות!$E$7+1),MOD(H4582-1-הגדרות!$E$8*(הגדרות!$E$7+1),הגדרות!$E$7)))</f>
        <v/>
      </c>
      <c r="K4582" s="0" t="str">
        <f aca="false">IF(I4582="","",J4582*הגדרות!$E$6+I4582+1)</f>
        <v/>
      </c>
      <c r="L4582" s="0" t="str">
        <f aca="false">IF(K4582="","",MATCH(K4582,$F$2:$F$5001,0))</f>
        <v/>
      </c>
      <c r="M4582" s="0" t="str">
        <f aca="false">IF(I4582="","",INDEX(הגדרות!$A$2:$A$21,MOD(I4582+הגדרות!$E$9,הגדרות!$E$6)+1))</f>
        <v/>
      </c>
    </row>
    <row r="4583" customFormat="false" ht="15" hidden="false" customHeight="false" outlineLevel="0" collapsed="false">
      <c r="A4583" s="0" t="str">
        <f aca="false">IF('הדבקת לידים'!A4583="","",IF(ISNUMBER('הדבקת לידים'!A4583),IF(הגדרות!$E$2&gt;0,TEXT('הדבקת לידים'!A4583,REPT("0",הגדרות!$E$2)),TEXT('הדבקת לידים'!A4583,"0")),TRIM('הדבקת לידים'!A4583)))</f>
        <v/>
      </c>
      <c r="B4583" s="0" t="str">
        <f aca="false">IF('הדבקת לידים'!B4583="","",IF(ISNUMBER('הדבקת לידים'!B4583),IF(הגדרות!$E$3&gt;0,TEXT('הדבקת לידים'!B4583,REPT("0",הגדרות!$E$3)),TEXT('הדבקת לידים'!B4583,"0")),TRIM('הדבקת לידים'!B4583)))</f>
        <v/>
      </c>
      <c r="C4583" s="0" t="n">
        <f aca="false">IF(OR(A4583&lt;&gt;"",B4583&lt;&gt;""),1,0)</f>
        <v>0</v>
      </c>
      <c r="D4583" s="0" t="str">
        <f aca="false">IF(C4583=1,MOD(ABS(SIN(ROW()*12.9898+'הדבקת לידים'!$F$2*78.233+IFERROR(--RIGHT(A4583,6),LEN(A4583))*0.0137+IFERROR(--RIGHT(B4583,6),LEN(B4583))*0.0071))*43758.5453,1),"")</f>
        <v/>
      </c>
      <c r="E4583" s="0" t="str">
        <f aca="false">IF(C4583=1,INT(MOD(ABS(SIN(D4583*7919.123+ROW()*0.618+'הדבקת לידים'!$F$2*1.3))*43758.5453,1)*1000000)*10000+ROW(),"")</f>
        <v/>
      </c>
      <c r="F4583" s="0" t="str">
        <f aca="false">IF(E4583="","",RANK(E4583,$E$2:$E$5001,1))</f>
        <v/>
      </c>
      <c r="G4583" s="0" t="n">
        <f aca="false">IF(A4583="",0,IF(SUMPRODUCT(--($A$2:$A$5001=A4583))&gt;1,1,0))</f>
        <v>0</v>
      </c>
      <c r="H4583" s="0" t="n">
        <f aca="false">ROW()-1</f>
        <v>4582</v>
      </c>
      <c r="I4583" s="0" t="str">
        <f aca="false">IF(OR(הגדרות!$E$6=0,H4583&gt;הגדרות!$E$5),"",IF(H4583-1&lt;הגדרות!$E$8*(הגדרות!$E$7+1),INT((H4583-1)/(הגדרות!$E$7+1)),הגדרות!$E$8+INT((H4583-1-הגדרות!$E$8*(הגדרות!$E$7+1))/הגדרות!$E$7)))</f>
        <v/>
      </c>
      <c r="J4583" s="0" t="str">
        <f aca="false">IF(I4583="","",IF(H4583-1&lt;הגדרות!$E$8*(הגדרות!$E$7+1),MOD(H4583-1,הגדרות!$E$7+1),MOD(H4583-1-הגדרות!$E$8*(הגדרות!$E$7+1),הגדרות!$E$7)))</f>
        <v/>
      </c>
      <c r="K4583" s="0" t="str">
        <f aca="false">IF(I4583="","",J4583*הגדרות!$E$6+I4583+1)</f>
        <v/>
      </c>
      <c r="L4583" s="0" t="str">
        <f aca="false">IF(K4583="","",MATCH(K4583,$F$2:$F$5001,0))</f>
        <v/>
      </c>
      <c r="M4583" s="0" t="str">
        <f aca="false">IF(I4583="","",INDEX(הגדרות!$A$2:$A$21,MOD(I4583+הגדרות!$E$9,הגדרות!$E$6)+1))</f>
        <v/>
      </c>
    </row>
    <row r="4584" customFormat="false" ht="15" hidden="false" customHeight="false" outlineLevel="0" collapsed="false">
      <c r="A4584" s="0" t="str">
        <f aca="false">IF('הדבקת לידים'!A4584="","",IF(ISNUMBER('הדבקת לידים'!A4584),IF(הגדרות!$E$2&gt;0,TEXT('הדבקת לידים'!A4584,REPT("0",הגדרות!$E$2)),TEXT('הדבקת לידים'!A4584,"0")),TRIM('הדבקת לידים'!A4584)))</f>
        <v/>
      </c>
      <c r="B4584" s="0" t="str">
        <f aca="false">IF('הדבקת לידים'!B4584="","",IF(ISNUMBER('הדבקת לידים'!B4584),IF(הגדרות!$E$3&gt;0,TEXT('הדבקת לידים'!B4584,REPT("0",הגדרות!$E$3)),TEXT('הדבקת לידים'!B4584,"0")),TRIM('הדבקת לידים'!B4584)))</f>
        <v/>
      </c>
      <c r="C4584" s="0" t="n">
        <f aca="false">IF(OR(A4584&lt;&gt;"",B4584&lt;&gt;""),1,0)</f>
        <v>0</v>
      </c>
      <c r="D4584" s="0" t="str">
        <f aca="false">IF(C4584=1,MOD(ABS(SIN(ROW()*12.9898+'הדבקת לידים'!$F$2*78.233+IFERROR(--RIGHT(A4584,6),LEN(A4584))*0.0137+IFERROR(--RIGHT(B4584,6),LEN(B4584))*0.0071))*43758.5453,1),"")</f>
        <v/>
      </c>
      <c r="E4584" s="0" t="str">
        <f aca="false">IF(C4584=1,INT(MOD(ABS(SIN(D4584*7919.123+ROW()*0.618+'הדבקת לידים'!$F$2*1.3))*43758.5453,1)*1000000)*10000+ROW(),"")</f>
        <v/>
      </c>
      <c r="F4584" s="0" t="str">
        <f aca="false">IF(E4584="","",RANK(E4584,$E$2:$E$5001,1))</f>
        <v/>
      </c>
      <c r="G4584" s="0" t="n">
        <f aca="false">IF(A4584="",0,IF(SUMPRODUCT(--($A$2:$A$5001=A4584))&gt;1,1,0))</f>
        <v>0</v>
      </c>
      <c r="H4584" s="0" t="n">
        <f aca="false">ROW()-1</f>
        <v>4583</v>
      </c>
      <c r="I4584" s="0" t="str">
        <f aca="false">IF(OR(הגדרות!$E$6=0,H4584&gt;הגדרות!$E$5),"",IF(H4584-1&lt;הגדרות!$E$8*(הגדרות!$E$7+1),INT((H4584-1)/(הגדרות!$E$7+1)),הגדרות!$E$8+INT((H4584-1-הגדרות!$E$8*(הגדרות!$E$7+1))/הגדרות!$E$7)))</f>
        <v/>
      </c>
      <c r="J4584" s="0" t="str">
        <f aca="false">IF(I4584="","",IF(H4584-1&lt;הגדרות!$E$8*(הגדרות!$E$7+1),MOD(H4584-1,הגדרות!$E$7+1),MOD(H4584-1-הגדרות!$E$8*(הגדרות!$E$7+1),הגדרות!$E$7)))</f>
        <v/>
      </c>
      <c r="K4584" s="0" t="str">
        <f aca="false">IF(I4584="","",J4584*הגדרות!$E$6+I4584+1)</f>
        <v/>
      </c>
      <c r="L4584" s="0" t="str">
        <f aca="false">IF(K4584="","",MATCH(K4584,$F$2:$F$5001,0))</f>
        <v/>
      </c>
      <c r="M4584" s="0" t="str">
        <f aca="false">IF(I4584="","",INDEX(הגדרות!$A$2:$A$21,MOD(I4584+הגדרות!$E$9,הגדרות!$E$6)+1))</f>
        <v/>
      </c>
    </row>
    <row r="4585" customFormat="false" ht="15" hidden="false" customHeight="false" outlineLevel="0" collapsed="false">
      <c r="A4585" s="0" t="str">
        <f aca="false">IF('הדבקת לידים'!A4585="","",IF(ISNUMBER('הדבקת לידים'!A4585),IF(הגדרות!$E$2&gt;0,TEXT('הדבקת לידים'!A4585,REPT("0",הגדרות!$E$2)),TEXT('הדבקת לידים'!A4585,"0")),TRIM('הדבקת לידים'!A4585)))</f>
        <v/>
      </c>
      <c r="B4585" s="0" t="str">
        <f aca="false">IF('הדבקת לידים'!B4585="","",IF(ISNUMBER('הדבקת לידים'!B4585),IF(הגדרות!$E$3&gt;0,TEXT('הדבקת לידים'!B4585,REPT("0",הגדרות!$E$3)),TEXT('הדבקת לידים'!B4585,"0")),TRIM('הדבקת לידים'!B4585)))</f>
        <v/>
      </c>
      <c r="C4585" s="0" t="n">
        <f aca="false">IF(OR(A4585&lt;&gt;"",B4585&lt;&gt;""),1,0)</f>
        <v>0</v>
      </c>
      <c r="D4585" s="0" t="str">
        <f aca="false">IF(C4585=1,MOD(ABS(SIN(ROW()*12.9898+'הדבקת לידים'!$F$2*78.233+IFERROR(--RIGHT(A4585,6),LEN(A4585))*0.0137+IFERROR(--RIGHT(B4585,6),LEN(B4585))*0.0071))*43758.5453,1),"")</f>
        <v/>
      </c>
      <c r="E4585" s="0" t="str">
        <f aca="false">IF(C4585=1,INT(MOD(ABS(SIN(D4585*7919.123+ROW()*0.618+'הדבקת לידים'!$F$2*1.3))*43758.5453,1)*1000000)*10000+ROW(),"")</f>
        <v/>
      </c>
      <c r="F4585" s="0" t="str">
        <f aca="false">IF(E4585="","",RANK(E4585,$E$2:$E$5001,1))</f>
        <v/>
      </c>
      <c r="G4585" s="0" t="n">
        <f aca="false">IF(A4585="",0,IF(SUMPRODUCT(--($A$2:$A$5001=A4585))&gt;1,1,0))</f>
        <v>0</v>
      </c>
      <c r="H4585" s="0" t="n">
        <f aca="false">ROW()-1</f>
        <v>4584</v>
      </c>
      <c r="I4585" s="0" t="str">
        <f aca="false">IF(OR(הגדרות!$E$6=0,H4585&gt;הגדרות!$E$5),"",IF(H4585-1&lt;הגדרות!$E$8*(הגדרות!$E$7+1),INT((H4585-1)/(הגדרות!$E$7+1)),הגדרות!$E$8+INT((H4585-1-הגדרות!$E$8*(הגדרות!$E$7+1))/הגדרות!$E$7)))</f>
        <v/>
      </c>
      <c r="J4585" s="0" t="str">
        <f aca="false">IF(I4585="","",IF(H4585-1&lt;הגדרות!$E$8*(הגדרות!$E$7+1),MOD(H4585-1,הגדרות!$E$7+1),MOD(H4585-1-הגדרות!$E$8*(הגדרות!$E$7+1),הגדרות!$E$7)))</f>
        <v/>
      </c>
      <c r="K4585" s="0" t="str">
        <f aca="false">IF(I4585="","",J4585*הגדרות!$E$6+I4585+1)</f>
        <v/>
      </c>
      <c r="L4585" s="0" t="str">
        <f aca="false">IF(K4585="","",MATCH(K4585,$F$2:$F$5001,0))</f>
        <v/>
      </c>
      <c r="M4585" s="0" t="str">
        <f aca="false">IF(I4585="","",INDEX(הגדרות!$A$2:$A$21,MOD(I4585+הגדרות!$E$9,הגדרות!$E$6)+1))</f>
        <v/>
      </c>
    </row>
    <row r="4586" customFormat="false" ht="15" hidden="false" customHeight="false" outlineLevel="0" collapsed="false">
      <c r="A4586" s="0" t="str">
        <f aca="false">IF('הדבקת לידים'!A4586="","",IF(ISNUMBER('הדבקת לידים'!A4586),IF(הגדרות!$E$2&gt;0,TEXT('הדבקת לידים'!A4586,REPT("0",הגדרות!$E$2)),TEXT('הדבקת לידים'!A4586,"0")),TRIM('הדבקת לידים'!A4586)))</f>
        <v/>
      </c>
      <c r="B4586" s="0" t="str">
        <f aca="false">IF('הדבקת לידים'!B4586="","",IF(ISNUMBER('הדבקת לידים'!B4586),IF(הגדרות!$E$3&gt;0,TEXT('הדבקת לידים'!B4586,REPT("0",הגדרות!$E$3)),TEXT('הדבקת לידים'!B4586,"0")),TRIM('הדבקת לידים'!B4586)))</f>
        <v/>
      </c>
      <c r="C4586" s="0" t="n">
        <f aca="false">IF(OR(A4586&lt;&gt;"",B4586&lt;&gt;""),1,0)</f>
        <v>0</v>
      </c>
      <c r="D4586" s="0" t="str">
        <f aca="false">IF(C4586=1,MOD(ABS(SIN(ROW()*12.9898+'הדבקת לידים'!$F$2*78.233+IFERROR(--RIGHT(A4586,6),LEN(A4586))*0.0137+IFERROR(--RIGHT(B4586,6),LEN(B4586))*0.0071))*43758.5453,1),"")</f>
        <v/>
      </c>
      <c r="E4586" s="0" t="str">
        <f aca="false">IF(C4586=1,INT(MOD(ABS(SIN(D4586*7919.123+ROW()*0.618+'הדבקת לידים'!$F$2*1.3))*43758.5453,1)*1000000)*10000+ROW(),"")</f>
        <v/>
      </c>
      <c r="F4586" s="0" t="str">
        <f aca="false">IF(E4586="","",RANK(E4586,$E$2:$E$5001,1))</f>
        <v/>
      </c>
      <c r="G4586" s="0" t="n">
        <f aca="false">IF(A4586="",0,IF(SUMPRODUCT(--($A$2:$A$5001=A4586))&gt;1,1,0))</f>
        <v>0</v>
      </c>
      <c r="H4586" s="0" t="n">
        <f aca="false">ROW()-1</f>
        <v>4585</v>
      </c>
      <c r="I4586" s="0" t="str">
        <f aca="false">IF(OR(הגדרות!$E$6=0,H4586&gt;הגדרות!$E$5),"",IF(H4586-1&lt;הגדרות!$E$8*(הגדרות!$E$7+1),INT((H4586-1)/(הגדרות!$E$7+1)),הגדרות!$E$8+INT((H4586-1-הגדרות!$E$8*(הגדרות!$E$7+1))/הגדרות!$E$7)))</f>
        <v/>
      </c>
      <c r="J4586" s="0" t="str">
        <f aca="false">IF(I4586="","",IF(H4586-1&lt;הגדרות!$E$8*(הגדרות!$E$7+1),MOD(H4586-1,הגדרות!$E$7+1),MOD(H4586-1-הגדרות!$E$8*(הגדרות!$E$7+1),הגדרות!$E$7)))</f>
        <v/>
      </c>
      <c r="K4586" s="0" t="str">
        <f aca="false">IF(I4586="","",J4586*הגדרות!$E$6+I4586+1)</f>
        <v/>
      </c>
      <c r="L4586" s="0" t="str">
        <f aca="false">IF(K4586="","",MATCH(K4586,$F$2:$F$5001,0))</f>
        <v/>
      </c>
      <c r="M4586" s="0" t="str">
        <f aca="false">IF(I4586="","",INDEX(הגדרות!$A$2:$A$21,MOD(I4586+הגדרות!$E$9,הגדרות!$E$6)+1))</f>
        <v/>
      </c>
    </row>
    <row r="4587" customFormat="false" ht="15" hidden="false" customHeight="false" outlineLevel="0" collapsed="false">
      <c r="A4587" s="0" t="str">
        <f aca="false">IF('הדבקת לידים'!A4587="","",IF(ISNUMBER('הדבקת לידים'!A4587),IF(הגדרות!$E$2&gt;0,TEXT('הדבקת לידים'!A4587,REPT("0",הגדרות!$E$2)),TEXT('הדבקת לידים'!A4587,"0")),TRIM('הדבקת לידים'!A4587)))</f>
        <v/>
      </c>
      <c r="B4587" s="0" t="str">
        <f aca="false">IF('הדבקת לידים'!B4587="","",IF(ISNUMBER('הדבקת לידים'!B4587),IF(הגדרות!$E$3&gt;0,TEXT('הדבקת לידים'!B4587,REPT("0",הגדרות!$E$3)),TEXT('הדבקת לידים'!B4587,"0")),TRIM('הדבקת לידים'!B4587)))</f>
        <v/>
      </c>
      <c r="C4587" s="0" t="n">
        <f aca="false">IF(OR(A4587&lt;&gt;"",B4587&lt;&gt;""),1,0)</f>
        <v>0</v>
      </c>
      <c r="D4587" s="0" t="str">
        <f aca="false">IF(C4587=1,MOD(ABS(SIN(ROW()*12.9898+'הדבקת לידים'!$F$2*78.233+IFERROR(--RIGHT(A4587,6),LEN(A4587))*0.0137+IFERROR(--RIGHT(B4587,6),LEN(B4587))*0.0071))*43758.5453,1),"")</f>
        <v/>
      </c>
      <c r="E4587" s="0" t="str">
        <f aca="false">IF(C4587=1,INT(MOD(ABS(SIN(D4587*7919.123+ROW()*0.618+'הדבקת לידים'!$F$2*1.3))*43758.5453,1)*1000000)*10000+ROW(),"")</f>
        <v/>
      </c>
      <c r="F4587" s="0" t="str">
        <f aca="false">IF(E4587="","",RANK(E4587,$E$2:$E$5001,1))</f>
        <v/>
      </c>
      <c r="G4587" s="0" t="n">
        <f aca="false">IF(A4587="",0,IF(SUMPRODUCT(--($A$2:$A$5001=A4587))&gt;1,1,0))</f>
        <v>0</v>
      </c>
      <c r="H4587" s="0" t="n">
        <f aca="false">ROW()-1</f>
        <v>4586</v>
      </c>
      <c r="I4587" s="0" t="str">
        <f aca="false">IF(OR(הגדרות!$E$6=0,H4587&gt;הגדרות!$E$5),"",IF(H4587-1&lt;הגדרות!$E$8*(הגדרות!$E$7+1),INT((H4587-1)/(הגדרות!$E$7+1)),הגדרות!$E$8+INT((H4587-1-הגדרות!$E$8*(הגדרות!$E$7+1))/הגדרות!$E$7)))</f>
        <v/>
      </c>
      <c r="J4587" s="0" t="str">
        <f aca="false">IF(I4587="","",IF(H4587-1&lt;הגדרות!$E$8*(הגדרות!$E$7+1),MOD(H4587-1,הגדרות!$E$7+1),MOD(H4587-1-הגדרות!$E$8*(הגדרות!$E$7+1),הגדרות!$E$7)))</f>
        <v/>
      </c>
      <c r="K4587" s="0" t="str">
        <f aca="false">IF(I4587="","",J4587*הגדרות!$E$6+I4587+1)</f>
        <v/>
      </c>
      <c r="L4587" s="0" t="str">
        <f aca="false">IF(K4587="","",MATCH(K4587,$F$2:$F$5001,0))</f>
        <v/>
      </c>
      <c r="M4587" s="0" t="str">
        <f aca="false">IF(I4587="","",INDEX(הגדרות!$A$2:$A$21,MOD(I4587+הגדרות!$E$9,הגדרות!$E$6)+1))</f>
        <v/>
      </c>
    </row>
    <row r="4588" customFormat="false" ht="15" hidden="false" customHeight="false" outlineLevel="0" collapsed="false">
      <c r="A4588" s="0" t="str">
        <f aca="false">IF('הדבקת לידים'!A4588="","",IF(ISNUMBER('הדבקת לידים'!A4588),IF(הגדרות!$E$2&gt;0,TEXT('הדבקת לידים'!A4588,REPT("0",הגדרות!$E$2)),TEXT('הדבקת לידים'!A4588,"0")),TRIM('הדבקת לידים'!A4588)))</f>
        <v/>
      </c>
      <c r="B4588" s="0" t="str">
        <f aca="false">IF('הדבקת לידים'!B4588="","",IF(ISNUMBER('הדבקת לידים'!B4588),IF(הגדרות!$E$3&gt;0,TEXT('הדבקת לידים'!B4588,REPT("0",הגדרות!$E$3)),TEXT('הדבקת לידים'!B4588,"0")),TRIM('הדבקת לידים'!B4588)))</f>
        <v/>
      </c>
      <c r="C4588" s="0" t="n">
        <f aca="false">IF(OR(A4588&lt;&gt;"",B4588&lt;&gt;""),1,0)</f>
        <v>0</v>
      </c>
      <c r="D4588" s="0" t="str">
        <f aca="false">IF(C4588=1,MOD(ABS(SIN(ROW()*12.9898+'הדבקת לידים'!$F$2*78.233+IFERROR(--RIGHT(A4588,6),LEN(A4588))*0.0137+IFERROR(--RIGHT(B4588,6),LEN(B4588))*0.0071))*43758.5453,1),"")</f>
        <v/>
      </c>
      <c r="E4588" s="0" t="str">
        <f aca="false">IF(C4588=1,INT(MOD(ABS(SIN(D4588*7919.123+ROW()*0.618+'הדבקת לידים'!$F$2*1.3))*43758.5453,1)*1000000)*10000+ROW(),"")</f>
        <v/>
      </c>
      <c r="F4588" s="0" t="str">
        <f aca="false">IF(E4588="","",RANK(E4588,$E$2:$E$5001,1))</f>
        <v/>
      </c>
      <c r="G4588" s="0" t="n">
        <f aca="false">IF(A4588="",0,IF(SUMPRODUCT(--($A$2:$A$5001=A4588))&gt;1,1,0))</f>
        <v>0</v>
      </c>
      <c r="H4588" s="0" t="n">
        <f aca="false">ROW()-1</f>
        <v>4587</v>
      </c>
      <c r="I4588" s="0" t="str">
        <f aca="false">IF(OR(הגדרות!$E$6=0,H4588&gt;הגדרות!$E$5),"",IF(H4588-1&lt;הגדרות!$E$8*(הגדרות!$E$7+1),INT((H4588-1)/(הגדרות!$E$7+1)),הגדרות!$E$8+INT((H4588-1-הגדרות!$E$8*(הגדרות!$E$7+1))/הגדרות!$E$7)))</f>
        <v/>
      </c>
      <c r="J4588" s="0" t="str">
        <f aca="false">IF(I4588="","",IF(H4588-1&lt;הגדרות!$E$8*(הגדרות!$E$7+1),MOD(H4588-1,הגדרות!$E$7+1),MOD(H4588-1-הגדרות!$E$8*(הגדרות!$E$7+1),הגדרות!$E$7)))</f>
        <v/>
      </c>
      <c r="K4588" s="0" t="str">
        <f aca="false">IF(I4588="","",J4588*הגדרות!$E$6+I4588+1)</f>
        <v/>
      </c>
      <c r="L4588" s="0" t="str">
        <f aca="false">IF(K4588="","",MATCH(K4588,$F$2:$F$5001,0))</f>
        <v/>
      </c>
      <c r="M4588" s="0" t="str">
        <f aca="false">IF(I4588="","",INDEX(הגדרות!$A$2:$A$21,MOD(I4588+הגדרות!$E$9,הגדרות!$E$6)+1))</f>
        <v/>
      </c>
    </row>
    <row r="4589" customFormat="false" ht="15" hidden="false" customHeight="false" outlineLevel="0" collapsed="false">
      <c r="A4589" s="0" t="str">
        <f aca="false">IF('הדבקת לידים'!A4589="","",IF(ISNUMBER('הדבקת לידים'!A4589),IF(הגדרות!$E$2&gt;0,TEXT('הדבקת לידים'!A4589,REPT("0",הגדרות!$E$2)),TEXT('הדבקת לידים'!A4589,"0")),TRIM('הדבקת לידים'!A4589)))</f>
        <v/>
      </c>
      <c r="B4589" s="0" t="str">
        <f aca="false">IF('הדבקת לידים'!B4589="","",IF(ISNUMBER('הדבקת לידים'!B4589),IF(הגדרות!$E$3&gt;0,TEXT('הדבקת לידים'!B4589,REPT("0",הגדרות!$E$3)),TEXT('הדבקת לידים'!B4589,"0")),TRIM('הדבקת לידים'!B4589)))</f>
        <v/>
      </c>
      <c r="C4589" s="0" t="n">
        <f aca="false">IF(OR(A4589&lt;&gt;"",B4589&lt;&gt;""),1,0)</f>
        <v>0</v>
      </c>
      <c r="D4589" s="0" t="str">
        <f aca="false">IF(C4589=1,MOD(ABS(SIN(ROW()*12.9898+'הדבקת לידים'!$F$2*78.233+IFERROR(--RIGHT(A4589,6),LEN(A4589))*0.0137+IFERROR(--RIGHT(B4589,6),LEN(B4589))*0.0071))*43758.5453,1),"")</f>
        <v/>
      </c>
      <c r="E4589" s="0" t="str">
        <f aca="false">IF(C4589=1,INT(MOD(ABS(SIN(D4589*7919.123+ROW()*0.618+'הדבקת לידים'!$F$2*1.3))*43758.5453,1)*1000000)*10000+ROW(),"")</f>
        <v/>
      </c>
      <c r="F4589" s="0" t="str">
        <f aca="false">IF(E4589="","",RANK(E4589,$E$2:$E$5001,1))</f>
        <v/>
      </c>
      <c r="G4589" s="0" t="n">
        <f aca="false">IF(A4589="",0,IF(SUMPRODUCT(--($A$2:$A$5001=A4589))&gt;1,1,0))</f>
        <v>0</v>
      </c>
      <c r="H4589" s="0" t="n">
        <f aca="false">ROW()-1</f>
        <v>4588</v>
      </c>
      <c r="I4589" s="0" t="str">
        <f aca="false">IF(OR(הגדרות!$E$6=0,H4589&gt;הגדרות!$E$5),"",IF(H4589-1&lt;הגדרות!$E$8*(הגדרות!$E$7+1),INT((H4589-1)/(הגדרות!$E$7+1)),הגדרות!$E$8+INT((H4589-1-הגדרות!$E$8*(הגדרות!$E$7+1))/הגדרות!$E$7)))</f>
        <v/>
      </c>
      <c r="J4589" s="0" t="str">
        <f aca="false">IF(I4589="","",IF(H4589-1&lt;הגדרות!$E$8*(הגדרות!$E$7+1),MOD(H4589-1,הגדרות!$E$7+1),MOD(H4589-1-הגדרות!$E$8*(הגדרות!$E$7+1),הגדרות!$E$7)))</f>
        <v/>
      </c>
      <c r="K4589" s="0" t="str">
        <f aca="false">IF(I4589="","",J4589*הגדרות!$E$6+I4589+1)</f>
        <v/>
      </c>
      <c r="L4589" s="0" t="str">
        <f aca="false">IF(K4589="","",MATCH(K4589,$F$2:$F$5001,0))</f>
        <v/>
      </c>
      <c r="M4589" s="0" t="str">
        <f aca="false">IF(I4589="","",INDEX(הגדרות!$A$2:$A$21,MOD(I4589+הגדרות!$E$9,הגדרות!$E$6)+1))</f>
        <v/>
      </c>
    </row>
    <row r="4590" customFormat="false" ht="15" hidden="false" customHeight="false" outlineLevel="0" collapsed="false">
      <c r="A4590" s="0" t="str">
        <f aca="false">IF('הדבקת לידים'!A4590="","",IF(ISNUMBER('הדבקת לידים'!A4590),IF(הגדרות!$E$2&gt;0,TEXT('הדבקת לידים'!A4590,REPT("0",הגדרות!$E$2)),TEXT('הדבקת לידים'!A4590,"0")),TRIM('הדבקת לידים'!A4590)))</f>
        <v/>
      </c>
      <c r="B4590" s="0" t="str">
        <f aca="false">IF('הדבקת לידים'!B4590="","",IF(ISNUMBER('הדבקת לידים'!B4590),IF(הגדרות!$E$3&gt;0,TEXT('הדבקת לידים'!B4590,REPT("0",הגדרות!$E$3)),TEXT('הדבקת לידים'!B4590,"0")),TRIM('הדבקת לידים'!B4590)))</f>
        <v/>
      </c>
      <c r="C4590" s="0" t="n">
        <f aca="false">IF(OR(A4590&lt;&gt;"",B4590&lt;&gt;""),1,0)</f>
        <v>0</v>
      </c>
      <c r="D4590" s="0" t="str">
        <f aca="false">IF(C4590=1,MOD(ABS(SIN(ROW()*12.9898+'הדבקת לידים'!$F$2*78.233+IFERROR(--RIGHT(A4590,6),LEN(A4590))*0.0137+IFERROR(--RIGHT(B4590,6),LEN(B4590))*0.0071))*43758.5453,1),"")</f>
        <v/>
      </c>
      <c r="E4590" s="0" t="str">
        <f aca="false">IF(C4590=1,INT(MOD(ABS(SIN(D4590*7919.123+ROW()*0.618+'הדבקת לידים'!$F$2*1.3))*43758.5453,1)*1000000)*10000+ROW(),"")</f>
        <v/>
      </c>
      <c r="F4590" s="0" t="str">
        <f aca="false">IF(E4590="","",RANK(E4590,$E$2:$E$5001,1))</f>
        <v/>
      </c>
      <c r="G4590" s="0" t="n">
        <f aca="false">IF(A4590="",0,IF(SUMPRODUCT(--($A$2:$A$5001=A4590))&gt;1,1,0))</f>
        <v>0</v>
      </c>
      <c r="H4590" s="0" t="n">
        <f aca="false">ROW()-1</f>
        <v>4589</v>
      </c>
      <c r="I4590" s="0" t="str">
        <f aca="false">IF(OR(הגדרות!$E$6=0,H4590&gt;הגדרות!$E$5),"",IF(H4590-1&lt;הגדרות!$E$8*(הגדרות!$E$7+1),INT((H4590-1)/(הגדרות!$E$7+1)),הגדרות!$E$8+INT((H4590-1-הגדרות!$E$8*(הגדרות!$E$7+1))/הגדרות!$E$7)))</f>
        <v/>
      </c>
      <c r="J4590" s="0" t="str">
        <f aca="false">IF(I4590="","",IF(H4590-1&lt;הגדרות!$E$8*(הגדרות!$E$7+1),MOD(H4590-1,הגדרות!$E$7+1),MOD(H4590-1-הגדרות!$E$8*(הגדרות!$E$7+1),הגדרות!$E$7)))</f>
        <v/>
      </c>
      <c r="K4590" s="0" t="str">
        <f aca="false">IF(I4590="","",J4590*הגדרות!$E$6+I4590+1)</f>
        <v/>
      </c>
      <c r="L4590" s="0" t="str">
        <f aca="false">IF(K4590="","",MATCH(K4590,$F$2:$F$5001,0))</f>
        <v/>
      </c>
      <c r="M4590" s="0" t="str">
        <f aca="false">IF(I4590="","",INDEX(הגדרות!$A$2:$A$21,MOD(I4590+הגדרות!$E$9,הגדרות!$E$6)+1))</f>
        <v/>
      </c>
    </row>
    <row r="4591" customFormat="false" ht="15" hidden="false" customHeight="false" outlineLevel="0" collapsed="false">
      <c r="A4591" s="0" t="str">
        <f aca="false">IF('הדבקת לידים'!A4591="","",IF(ISNUMBER('הדבקת לידים'!A4591),IF(הגדרות!$E$2&gt;0,TEXT('הדבקת לידים'!A4591,REPT("0",הגדרות!$E$2)),TEXT('הדבקת לידים'!A4591,"0")),TRIM('הדבקת לידים'!A4591)))</f>
        <v/>
      </c>
      <c r="B4591" s="0" t="str">
        <f aca="false">IF('הדבקת לידים'!B4591="","",IF(ISNUMBER('הדבקת לידים'!B4591),IF(הגדרות!$E$3&gt;0,TEXT('הדבקת לידים'!B4591,REPT("0",הגדרות!$E$3)),TEXT('הדבקת לידים'!B4591,"0")),TRIM('הדבקת לידים'!B4591)))</f>
        <v/>
      </c>
      <c r="C4591" s="0" t="n">
        <f aca="false">IF(OR(A4591&lt;&gt;"",B4591&lt;&gt;""),1,0)</f>
        <v>0</v>
      </c>
      <c r="D4591" s="0" t="str">
        <f aca="false">IF(C4591=1,MOD(ABS(SIN(ROW()*12.9898+'הדבקת לידים'!$F$2*78.233+IFERROR(--RIGHT(A4591,6),LEN(A4591))*0.0137+IFERROR(--RIGHT(B4591,6),LEN(B4591))*0.0071))*43758.5453,1),"")</f>
        <v/>
      </c>
      <c r="E4591" s="0" t="str">
        <f aca="false">IF(C4591=1,INT(MOD(ABS(SIN(D4591*7919.123+ROW()*0.618+'הדבקת לידים'!$F$2*1.3))*43758.5453,1)*1000000)*10000+ROW(),"")</f>
        <v/>
      </c>
      <c r="F4591" s="0" t="str">
        <f aca="false">IF(E4591="","",RANK(E4591,$E$2:$E$5001,1))</f>
        <v/>
      </c>
      <c r="G4591" s="0" t="n">
        <f aca="false">IF(A4591="",0,IF(SUMPRODUCT(--($A$2:$A$5001=A4591))&gt;1,1,0))</f>
        <v>0</v>
      </c>
      <c r="H4591" s="0" t="n">
        <f aca="false">ROW()-1</f>
        <v>4590</v>
      </c>
      <c r="I4591" s="0" t="str">
        <f aca="false">IF(OR(הגדרות!$E$6=0,H4591&gt;הגדרות!$E$5),"",IF(H4591-1&lt;הגדרות!$E$8*(הגדרות!$E$7+1),INT((H4591-1)/(הגדרות!$E$7+1)),הגדרות!$E$8+INT((H4591-1-הגדרות!$E$8*(הגדרות!$E$7+1))/הגדרות!$E$7)))</f>
        <v/>
      </c>
      <c r="J4591" s="0" t="str">
        <f aca="false">IF(I4591="","",IF(H4591-1&lt;הגדרות!$E$8*(הגדרות!$E$7+1),MOD(H4591-1,הגדרות!$E$7+1),MOD(H4591-1-הגדרות!$E$8*(הגדרות!$E$7+1),הגדרות!$E$7)))</f>
        <v/>
      </c>
      <c r="K4591" s="0" t="str">
        <f aca="false">IF(I4591="","",J4591*הגדרות!$E$6+I4591+1)</f>
        <v/>
      </c>
      <c r="L4591" s="0" t="str">
        <f aca="false">IF(K4591="","",MATCH(K4591,$F$2:$F$5001,0))</f>
        <v/>
      </c>
      <c r="M4591" s="0" t="str">
        <f aca="false">IF(I4591="","",INDEX(הגדרות!$A$2:$A$21,MOD(I4591+הגדרות!$E$9,הגדרות!$E$6)+1))</f>
        <v/>
      </c>
    </row>
    <row r="4592" customFormat="false" ht="15" hidden="false" customHeight="false" outlineLevel="0" collapsed="false">
      <c r="A4592" s="0" t="str">
        <f aca="false">IF('הדבקת לידים'!A4592="","",IF(ISNUMBER('הדבקת לידים'!A4592),IF(הגדרות!$E$2&gt;0,TEXT('הדבקת לידים'!A4592,REPT("0",הגדרות!$E$2)),TEXT('הדבקת לידים'!A4592,"0")),TRIM('הדבקת לידים'!A4592)))</f>
        <v/>
      </c>
      <c r="B4592" s="0" t="str">
        <f aca="false">IF('הדבקת לידים'!B4592="","",IF(ISNUMBER('הדבקת לידים'!B4592),IF(הגדרות!$E$3&gt;0,TEXT('הדבקת לידים'!B4592,REPT("0",הגדרות!$E$3)),TEXT('הדבקת לידים'!B4592,"0")),TRIM('הדבקת לידים'!B4592)))</f>
        <v/>
      </c>
      <c r="C4592" s="0" t="n">
        <f aca="false">IF(OR(A4592&lt;&gt;"",B4592&lt;&gt;""),1,0)</f>
        <v>0</v>
      </c>
      <c r="D4592" s="0" t="str">
        <f aca="false">IF(C4592=1,MOD(ABS(SIN(ROW()*12.9898+'הדבקת לידים'!$F$2*78.233+IFERROR(--RIGHT(A4592,6),LEN(A4592))*0.0137+IFERROR(--RIGHT(B4592,6),LEN(B4592))*0.0071))*43758.5453,1),"")</f>
        <v/>
      </c>
      <c r="E4592" s="0" t="str">
        <f aca="false">IF(C4592=1,INT(MOD(ABS(SIN(D4592*7919.123+ROW()*0.618+'הדבקת לידים'!$F$2*1.3))*43758.5453,1)*1000000)*10000+ROW(),"")</f>
        <v/>
      </c>
      <c r="F4592" s="0" t="str">
        <f aca="false">IF(E4592="","",RANK(E4592,$E$2:$E$5001,1))</f>
        <v/>
      </c>
      <c r="G4592" s="0" t="n">
        <f aca="false">IF(A4592="",0,IF(SUMPRODUCT(--($A$2:$A$5001=A4592))&gt;1,1,0))</f>
        <v>0</v>
      </c>
      <c r="H4592" s="0" t="n">
        <f aca="false">ROW()-1</f>
        <v>4591</v>
      </c>
      <c r="I4592" s="0" t="str">
        <f aca="false">IF(OR(הגדרות!$E$6=0,H4592&gt;הגדרות!$E$5),"",IF(H4592-1&lt;הגדרות!$E$8*(הגדרות!$E$7+1),INT((H4592-1)/(הגדרות!$E$7+1)),הגדרות!$E$8+INT((H4592-1-הגדרות!$E$8*(הגדרות!$E$7+1))/הגדרות!$E$7)))</f>
        <v/>
      </c>
      <c r="J4592" s="0" t="str">
        <f aca="false">IF(I4592="","",IF(H4592-1&lt;הגדרות!$E$8*(הגדרות!$E$7+1),MOD(H4592-1,הגדרות!$E$7+1),MOD(H4592-1-הגדרות!$E$8*(הגדרות!$E$7+1),הגדרות!$E$7)))</f>
        <v/>
      </c>
      <c r="K4592" s="0" t="str">
        <f aca="false">IF(I4592="","",J4592*הגדרות!$E$6+I4592+1)</f>
        <v/>
      </c>
      <c r="L4592" s="0" t="str">
        <f aca="false">IF(K4592="","",MATCH(K4592,$F$2:$F$5001,0))</f>
        <v/>
      </c>
      <c r="M4592" s="0" t="str">
        <f aca="false">IF(I4592="","",INDEX(הגדרות!$A$2:$A$21,MOD(I4592+הגדרות!$E$9,הגדרות!$E$6)+1))</f>
        <v/>
      </c>
    </row>
    <row r="4593" customFormat="false" ht="15" hidden="false" customHeight="false" outlineLevel="0" collapsed="false">
      <c r="A4593" s="0" t="str">
        <f aca="false">IF('הדבקת לידים'!A4593="","",IF(ISNUMBER('הדבקת לידים'!A4593),IF(הגדרות!$E$2&gt;0,TEXT('הדבקת לידים'!A4593,REPT("0",הגדרות!$E$2)),TEXT('הדבקת לידים'!A4593,"0")),TRIM('הדבקת לידים'!A4593)))</f>
        <v/>
      </c>
      <c r="B4593" s="0" t="str">
        <f aca="false">IF('הדבקת לידים'!B4593="","",IF(ISNUMBER('הדבקת לידים'!B4593),IF(הגדרות!$E$3&gt;0,TEXT('הדבקת לידים'!B4593,REPT("0",הגדרות!$E$3)),TEXT('הדבקת לידים'!B4593,"0")),TRIM('הדבקת לידים'!B4593)))</f>
        <v/>
      </c>
      <c r="C4593" s="0" t="n">
        <f aca="false">IF(OR(A4593&lt;&gt;"",B4593&lt;&gt;""),1,0)</f>
        <v>0</v>
      </c>
      <c r="D4593" s="0" t="str">
        <f aca="false">IF(C4593=1,MOD(ABS(SIN(ROW()*12.9898+'הדבקת לידים'!$F$2*78.233+IFERROR(--RIGHT(A4593,6),LEN(A4593))*0.0137+IFERROR(--RIGHT(B4593,6),LEN(B4593))*0.0071))*43758.5453,1),"")</f>
        <v/>
      </c>
      <c r="E4593" s="0" t="str">
        <f aca="false">IF(C4593=1,INT(MOD(ABS(SIN(D4593*7919.123+ROW()*0.618+'הדבקת לידים'!$F$2*1.3))*43758.5453,1)*1000000)*10000+ROW(),"")</f>
        <v/>
      </c>
      <c r="F4593" s="0" t="str">
        <f aca="false">IF(E4593="","",RANK(E4593,$E$2:$E$5001,1))</f>
        <v/>
      </c>
      <c r="G4593" s="0" t="n">
        <f aca="false">IF(A4593="",0,IF(SUMPRODUCT(--($A$2:$A$5001=A4593))&gt;1,1,0))</f>
        <v>0</v>
      </c>
      <c r="H4593" s="0" t="n">
        <f aca="false">ROW()-1</f>
        <v>4592</v>
      </c>
      <c r="I4593" s="0" t="str">
        <f aca="false">IF(OR(הגדרות!$E$6=0,H4593&gt;הגדרות!$E$5),"",IF(H4593-1&lt;הגדרות!$E$8*(הגדרות!$E$7+1),INT((H4593-1)/(הגדרות!$E$7+1)),הגדרות!$E$8+INT((H4593-1-הגדרות!$E$8*(הגדרות!$E$7+1))/הגדרות!$E$7)))</f>
        <v/>
      </c>
      <c r="J4593" s="0" t="str">
        <f aca="false">IF(I4593="","",IF(H4593-1&lt;הגדרות!$E$8*(הגדרות!$E$7+1),MOD(H4593-1,הגדרות!$E$7+1),MOD(H4593-1-הגדרות!$E$8*(הגדרות!$E$7+1),הגדרות!$E$7)))</f>
        <v/>
      </c>
      <c r="K4593" s="0" t="str">
        <f aca="false">IF(I4593="","",J4593*הגדרות!$E$6+I4593+1)</f>
        <v/>
      </c>
      <c r="L4593" s="0" t="str">
        <f aca="false">IF(K4593="","",MATCH(K4593,$F$2:$F$5001,0))</f>
        <v/>
      </c>
      <c r="M4593" s="0" t="str">
        <f aca="false">IF(I4593="","",INDEX(הגדרות!$A$2:$A$21,MOD(I4593+הגדרות!$E$9,הגדרות!$E$6)+1))</f>
        <v/>
      </c>
    </row>
    <row r="4594" customFormat="false" ht="15" hidden="false" customHeight="false" outlineLevel="0" collapsed="false">
      <c r="A4594" s="0" t="str">
        <f aca="false">IF('הדבקת לידים'!A4594="","",IF(ISNUMBER('הדבקת לידים'!A4594),IF(הגדרות!$E$2&gt;0,TEXT('הדבקת לידים'!A4594,REPT("0",הגדרות!$E$2)),TEXT('הדבקת לידים'!A4594,"0")),TRIM('הדבקת לידים'!A4594)))</f>
        <v/>
      </c>
      <c r="B4594" s="0" t="str">
        <f aca="false">IF('הדבקת לידים'!B4594="","",IF(ISNUMBER('הדבקת לידים'!B4594),IF(הגדרות!$E$3&gt;0,TEXT('הדבקת לידים'!B4594,REPT("0",הגדרות!$E$3)),TEXT('הדבקת לידים'!B4594,"0")),TRIM('הדבקת לידים'!B4594)))</f>
        <v/>
      </c>
      <c r="C4594" s="0" t="n">
        <f aca="false">IF(OR(A4594&lt;&gt;"",B4594&lt;&gt;""),1,0)</f>
        <v>0</v>
      </c>
      <c r="D4594" s="0" t="str">
        <f aca="false">IF(C4594=1,MOD(ABS(SIN(ROW()*12.9898+'הדבקת לידים'!$F$2*78.233+IFERROR(--RIGHT(A4594,6),LEN(A4594))*0.0137+IFERROR(--RIGHT(B4594,6),LEN(B4594))*0.0071))*43758.5453,1),"")</f>
        <v/>
      </c>
      <c r="E4594" s="0" t="str">
        <f aca="false">IF(C4594=1,INT(MOD(ABS(SIN(D4594*7919.123+ROW()*0.618+'הדבקת לידים'!$F$2*1.3))*43758.5453,1)*1000000)*10000+ROW(),"")</f>
        <v/>
      </c>
      <c r="F4594" s="0" t="str">
        <f aca="false">IF(E4594="","",RANK(E4594,$E$2:$E$5001,1))</f>
        <v/>
      </c>
      <c r="G4594" s="0" t="n">
        <f aca="false">IF(A4594="",0,IF(SUMPRODUCT(--($A$2:$A$5001=A4594))&gt;1,1,0))</f>
        <v>0</v>
      </c>
      <c r="H4594" s="0" t="n">
        <f aca="false">ROW()-1</f>
        <v>4593</v>
      </c>
      <c r="I4594" s="0" t="str">
        <f aca="false">IF(OR(הגדרות!$E$6=0,H4594&gt;הגדרות!$E$5),"",IF(H4594-1&lt;הגדרות!$E$8*(הגדרות!$E$7+1),INT((H4594-1)/(הגדרות!$E$7+1)),הגדרות!$E$8+INT((H4594-1-הגדרות!$E$8*(הגדרות!$E$7+1))/הגדרות!$E$7)))</f>
        <v/>
      </c>
      <c r="J4594" s="0" t="str">
        <f aca="false">IF(I4594="","",IF(H4594-1&lt;הגדרות!$E$8*(הגדרות!$E$7+1),MOD(H4594-1,הגדרות!$E$7+1),MOD(H4594-1-הגדרות!$E$8*(הגדרות!$E$7+1),הגדרות!$E$7)))</f>
        <v/>
      </c>
      <c r="K4594" s="0" t="str">
        <f aca="false">IF(I4594="","",J4594*הגדרות!$E$6+I4594+1)</f>
        <v/>
      </c>
      <c r="L4594" s="0" t="str">
        <f aca="false">IF(K4594="","",MATCH(K4594,$F$2:$F$5001,0))</f>
        <v/>
      </c>
      <c r="M4594" s="0" t="str">
        <f aca="false">IF(I4594="","",INDEX(הגדרות!$A$2:$A$21,MOD(I4594+הגדרות!$E$9,הגדרות!$E$6)+1))</f>
        <v/>
      </c>
    </row>
    <row r="4595" customFormat="false" ht="15" hidden="false" customHeight="false" outlineLevel="0" collapsed="false">
      <c r="A4595" s="0" t="str">
        <f aca="false">IF('הדבקת לידים'!A4595="","",IF(ISNUMBER('הדבקת לידים'!A4595),IF(הגדרות!$E$2&gt;0,TEXT('הדבקת לידים'!A4595,REPT("0",הגדרות!$E$2)),TEXT('הדבקת לידים'!A4595,"0")),TRIM('הדבקת לידים'!A4595)))</f>
        <v/>
      </c>
      <c r="B4595" s="0" t="str">
        <f aca="false">IF('הדבקת לידים'!B4595="","",IF(ISNUMBER('הדבקת לידים'!B4595),IF(הגדרות!$E$3&gt;0,TEXT('הדבקת לידים'!B4595,REPT("0",הגדרות!$E$3)),TEXT('הדבקת לידים'!B4595,"0")),TRIM('הדבקת לידים'!B4595)))</f>
        <v/>
      </c>
      <c r="C4595" s="0" t="n">
        <f aca="false">IF(OR(A4595&lt;&gt;"",B4595&lt;&gt;""),1,0)</f>
        <v>0</v>
      </c>
      <c r="D4595" s="0" t="str">
        <f aca="false">IF(C4595=1,MOD(ABS(SIN(ROW()*12.9898+'הדבקת לידים'!$F$2*78.233+IFERROR(--RIGHT(A4595,6),LEN(A4595))*0.0137+IFERROR(--RIGHT(B4595,6),LEN(B4595))*0.0071))*43758.5453,1),"")</f>
        <v/>
      </c>
      <c r="E4595" s="0" t="str">
        <f aca="false">IF(C4595=1,INT(MOD(ABS(SIN(D4595*7919.123+ROW()*0.618+'הדבקת לידים'!$F$2*1.3))*43758.5453,1)*1000000)*10000+ROW(),"")</f>
        <v/>
      </c>
      <c r="F4595" s="0" t="str">
        <f aca="false">IF(E4595="","",RANK(E4595,$E$2:$E$5001,1))</f>
        <v/>
      </c>
      <c r="G4595" s="0" t="n">
        <f aca="false">IF(A4595="",0,IF(SUMPRODUCT(--($A$2:$A$5001=A4595))&gt;1,1,0))</f>
        <v>0</v>
      </c>
      <c r="H4595" s="0" t="n">
        <f aca="false">ROW()-1</f>
        <v>4594</v>
      </c>
      <c r="I4595" s="0" t="str">
        <f aca="false">IF(OR(הגדרות!$E$6=0,H4595&gt;הגדרות!$E$5),"",IF(H4595-1&lt;הגדרות!$E$8*(הגדרות!$E$7+1),INT((H4595-1)/(הגדרות!$E$7+1)),הגדרות!$E$8+INT((H4595-1-הגדרות!$E$8*(הגדרות!$E$7+1))/הגדרות!$E$7)))</f>
        <v/>
      </c>
      <c r="J4595" s="0" t="str">
        <f aca="false">IF(I4595="","",IF(H4595-1&lt;הגדרות!$E$8*(הגדרות!$E$7+1),MOD(H4595-1,הגדרות!$E$7+1),MOD(H4595-1-הגדרות!$E$8*(הגדרות!$E$7+1),הגדרות!$E$7)))</f>
        <v/>
      </c>
      <c r="K4595" s="0" t="str">
        <f aca="false">IF(I4595="","",J4595*הגדרות!$E$6+I4595+1)</f>
        <v/>
      </c>
      <c r="L4595" s="0" t="str">
        <f aca="false">IF(K4595="","",MATCH(K4595,$F$2:$F$5001,0))</f>
        <v/>
      </c>
      <c r="M4595" s="0" t="str">
        <f aca="false">IF(I4595="","",INDEX(הגדרות!$A$2:$A$21,MOD(I4595+הגדרות!$E$9,הגדרות!$E$6)+1))</f>
        <v/>
      </c>
    </row>
    <row r="4596" customFormat="false" ht="15" hidden="false" customHeight="false" outlineLevel="0" collapsed="false">
      <c r="A4596" s="0" t="str">
        <f aca="false">IF('הדבקת לידים'!A4596="","",IF(ISNUMBER('הדבקת לידים'!A4596),IF(הגדרות!$E$2&gt;0,TEXT('הדבקת לידים'!A4596,REPT("0",הגדרות!$E$2)),TEXT('הדבקת לידים'!A4596,"0")),TRIM('הדבקת לידים'!A4596)))</f>
        <v/>
      </c>
      <c r="B4596" s="0" t="str">
        <f aca="false">IF('הדבקת לידים'!B4596="","",IF(ISNUMBER('הדבקת לידים'!B4596),IF(הגדרות!$E$3&gt;0,TEXT('הדבקת לידים'!B4596,REPT("0",הגדרות!$E$3)),TEXT('הדבקת לידים'!B4596,"0")),TRIM('הדבקת לידים'!B4596)))</f>
        <v/>
      </c>
      <c r="C4596" s="0" t="n">
        <f aca="false">IF(OR(A4596&lt;&gt;"",B4596&lt;&gt;""),1,0)</f>
        <v>0</v>
      </c>
      <c r="D4596" s="0" t="str">
        <f aca="false">IF(C4596=1,MOD(ABS(SIN(ROW()*12.9898+'הדבקת לידים'!$F$2*78.233+IFERROR(--RIGHT(A4596,6),LEN(A4596))*0.0137+IFERROR(--RIGHT(B4596,6),LEN(B4596))*0.0071))*43758.5453,1),"")</f>
        <v/>
      </c>
      <c r="E4596" s="0" t="str">
        <f aca="false">IF(C4596=1,INT(MOD(ABS(SIN(D4596*7919.123+ROW()*0.618+'הדבקת לידים'!$F$2*1.3))*43758.5453,1)*1000000)*10000+ROW(),"")</f>
        <v/>
      </c>
      <c r="F4596" s="0" t="str">
        <f aca="false">IF(E4596="","",RANK(E4596,$E$2:$E$5001,1))</f>
        <v/>
      </c>
      <c r="G4596" s="0" t="n">
        <f aca="false">IF(A4596="",0,IF(SUMPRODUCT(--($A$2:$A$5001=A4596))&gt;1,1,0))</f>
        <v>0</v>
      </c>
      <c r="H4596" s="0" t="n">
        <f aca="false">ROW()-1</f>
        <v>4595</v>
      </c>
      <c r="I4596" s="0" t="str">
        <f aca="false">IF(OR(הגדרות!$E$6=0,H4596&gt;הגדרות!$E$5),"",IF(H4596-1&lt;הגדרות!$E$8*(הגדרות!$E$7+1),INT((H4596-1)/(הגדרות!$E$7+1)),הגדרות!$E$8+INT((H4596-1-הגדרות!$E$8*(הגדרות!$E$7+1))/הגדרות!$E$7)))</f>
        <v/>
      </c>
      <c r="J4596" s="0" t="str">
        <f aca="false">IF(I4596="","",IF(H4596-1&lt;הגדרות!$E$8*(הגדרות!$E$7+1),MOD(H4596-1,הגדרות!$E$7+1),MOD(H4596-1-הגדרות!$E$8*(הגדרות!$E$7+1),הגדרות!$E$7)))</f>
        <v/>
      </c>
      <c r="K4596" s="0" t="str">
        <f aca="false">IF(I4596="","",J4596*הגדרות!$E$6+I4596+1)</f>
        <v/>
      </c>
      <c r="L4596" s="0" t="str">
        <f aca="false">IF(K4596="","",MATCH(K4596,$F$2:$F$5001,0))</f>
        <v/>
      </c>
      <c r="M4596" s="0" t="str">
        <f aca="false">IF(I4596="","",INDEX(הגדרות!$A$2:$A$21,MOD(I4596+הגדרות!$E$9,הגדרות!$E$6)+1))</f>
        <v/>
      </c>
    </row>
    <row r="4597" customFormat="false" ht="15" hidden="false" customHeight="false" outlineLevel="0" collapsed="false">
      <c r="A4597" s="0" t="str">
        <f aca="false">IF('הדבקת לידים'!A4597="","",IF(ISNUMBER('הדבקת לידים'!A4597),IF(הגדרות!$E$2&gt;0,TEXT('הדבקת לידים'!A4597,REPT("0",הגדרות!$E$2)),TEXT('הדבקת לידים'!A4597,"0")),TRIM('הדבקת לידים'!A4597)))</f>
        <v/>
      </c>
      <c r="B4597" s="0" t="str">
        <f aca="false">IF('הדבקת לידים'!B4597="","",IF(ISNUMBER('הדבקת לידים'!B4597),IF(הגדרות!$E$3&gt;0,TEXT('הדבקת לידים'!B4597,REPT("0",הגדרות!$E$3)),TEXT('הדבקת לידים'!B4597,"0")),TRIM('הדבקת לידים'!B4597)))</f>
        <v/>
      </c>
      <c r="C4597" s="0" t="n">
        <f aca="false">IF(OR(A4597&lt;&gt;"",B4597&lt;&gt;""),1,0)</f>
        <v>0</v>
      </c>
      <c r="D4597" s="0" t="str">
        <f aca="false">IF(C4597=1,MOD(ABS(SIN(ROW()*12.9898+'הדבקת לידים'!$F$2*78.233+IFERROR(--RIGHT(A4597,6),LEN(A4597))*0.0137+IFERROR(--RIGHT(B4597,6),LEN(B4597))*0.0071))*43758.5453,1),"")</f>
        <v/>
      </c>
      <c r="E4597" s="0" t="str">
        <f aca="false">IF(C4597=1,INT(MOD(ABS(SIN(D4597*7919.123+ROW()*0.618+'הדבקת לידים'!$F$2*1.3))*43758.5453,1)*1000000)*10000+ROW(),"")</f>
        <v/>
      </c>
      <c r="F4597" s="0" t="str">
        <f aca="false">IF(E4597="","",RANK(E4597,$E$2:$E$5001,1))</f>
        <v/>
      </c>
      <c r="G4597" s="0" t="n">
        <f aca="false">IF(A4597="",0,IF(SUMPRODUCT(--($A$2:$A$5001=A4597))&gt;1,1,0))</f>
        <v>0</v>
      </c>
      <c r="H4597" s="0" t="n">
        <f aca="false">ROW()-1</f>
        <v>4596</v>
      </c>
      <c r="I4597" s="0" t="str">
        <f aca="false">IF(OR(הגדרות!$E$6=0,H4597&gt;הגדרות!$E$5),"",IF(H4597-1&lt;הגדרות!$E$8*(הגדרות!$E$7+1),INT((H4597-1)/(הגדרות!$E$7+1)),הגדרות!$E$8+INT((H4597-1-הגדרות!$E$8*(הגדרות!$E$7+1))/הגדרות!$E$7)))</f>
        <v/>
      </c>
      <c r="J4597" s="0" t="str">
        <f aca="false">IF(I4597="","",IF(H4597-1&lt;הגדרות!$E$8*(הגדרות!$E$7+1),MOD(H4597-1,הגדרות!$E$7+1),MOD(H4597-1-הגדרות!$E$8*(הגדרות!$E$7+1),הגדרות!$E$7)))</f>
        <v/>
      </c>
      <c r="K4597" s="0" t="str">
        <f aca="false">IF(I4597="","",J4597*הגדרות!$E$6+I4597+1)</f>
        <v/>
      </c>
      <c r="L4597" s="0" t="str">
        <f aca="false">IF(K4597="","",MATCH(K4597,$F$2:$F$5001,0))</f>
        <v/>
      </c>
      <c r="M4597" s="0" t="str">
        <f aca="false">IF(I4597="","",INDEX(הגדרות!$A$2:$A$21,MOD(I4597+הגדרות!$E$9,הגדרות!$E$6)+1))</f>
        <v/>
      </c>
    </row>
    <row r="4598" customFormat="false" ht="15" hidden="false" customHeight="false" outlineLevel="0" collapsed="false">
      <c r="A4598" s="0" t="str">
        <f aca="false">IF('הדבקת לידים'!A4598="","",IF(ISNUMBER('הדבקת לידים'!A4598),IF(הגדרות!$E$2&gt;0,TEXT('הדבקת לידים'!A4598,REPT("0",הגדרות!$E$2)),TEXT('הדבקת לידים'!A4598,"0")),TRIM('הדבקת לידים'!A4598)))</f>
        <v/>
      </c>
      <c r="B4598" s="0" t="str">
        <f aca="false">IF('הדבקת לידים'!B4598="","",IF(ISNUMBER('הדבקת לידים'!B4598),IF(הגדרות!$E$3&gt;0,TEXT('הדבקת לידים'!B4598,REPT("0",הגדרות!$E$3)),TEXT('הדבקת לידים'!B4598,"0")),TRIM('הדבקת לידים'!B4598)))</f>
        <v/>
      </c>
      <c r="C4598" s="0" t="n">
        <f aca="false">IF(OR(A4598&lt;&gt;"",B4598&lt;&gt;""),1,0)</f>
        <v>0</v>
      </c>
      <c r="D4598" s="0" t="str">
        <f aca="false">IF(C4598=1,MOD(ABS(SIN(ROW()*12.9898+'הדבקת לידים'!$F$2*78.233+IFERROR(--RIGHT(A4598,6),LEN(A4598))*0.0137+IFERROR(--RIGHT(B4598,6),LEN(B4598))*0.0071))*43758.5453,1),"")</f>
        <v/>
      </c>
      <c r="E4598" s="0" t="str">
        <f aca="false">IF(C4598=1,INT(MOD(ABS(SIN(D4598*7919.123+ROW()*0.618+'הדבקת לידים'!$F$2*1.3))*43758.5453,1)*1000000)*10000+ROW(),"")</f>
        <v/>
      </c>
      <c r="F4598" s="0" t="str">
        <f aca="false">IF(E4598="","",RANK(E4598,$E$2:$E$5001,1))</f>
        <v/>
      </c>
      <c r="G4598" s="0" t="n">
        <f aca="false">IF(A4598="",0,IF(SUMPRODUCT(--($A$2:$A$5001=A4598))&gt;1,1,0))</f>
        <v>0</v>
      </c>
      <c r="H4598" s="0" t="n">
        <f aca="false">ROW()-1</f>
        <v>4597</v>
      </c>
      <c r="I4598" s="0" t="str">
        <f aca="false">IF(OR(הגדרות!$E$6=0,H4598&gt;הגדרות!$E$5),"",IF(H4598-1&lt;הגדרות!$E$8*(הגדרות!$E$7+1),INT((H4598-1)/(הגדרות!$E$7+1)),הגדרות!$E$8+INT((H4598-1-הגדרות!$E$8*(הגדרות!$E$7+1))/הגדרות!$E$7)))</f>
        <v/>
      </c>
      <c r="J4598" s="0" t="str">
        <f aca="false">IF(I4598="","",IF(H4598-1&lt;הגדרות!$E$8*(הגדרות!$E$7+1),MOD(H4598-1,הגדרות!$E$7+1),MOD(H4598-1-הגדרות!$E$8*(הגדרות!$E$7+1),הגדרות!$E$7)))</f>
        <v/>
      </c>
      <c r="K4598" s="0" t="str">
        <f aca="false">IF(I4598="","",J4598*הגדרות!$E$6+I4598+1)</f>
        <v/>
      </c>
      <c r="L4598" s="0" t="str">
        <f aca="false">IF(K4598="","",MATCH(K4598,$F$2:$F$5001,0))</f>
        <v/>
      </c>
      <c r="M4598" s="0" t="str">
        <f aca="false">IF(I4598="","",INDEX(הגדרות!$A$2:$A$21,MOD(I4598+הגדרות!$E$9,הגדרות!$E$6)+1))</f>
        <v/>
      </c>
    </row>
    <row r="4599" customFormat="false" ht="15" hidden="false" customHeight="false" outlineLevel="0" collapsed="false">
      <c r="A4599" s="0" t="str">
        <f aca="false">IF('הדבקת לידים'!A4599="","",IF(ISNUMBER('הדבקת לידים'!A4599),IF(הגדרות!$E$2&gt;0,TEXT('הדבקת לידים'!A4599,REPT("0",הגדרות!$E$2)),TEXT('הדבקת לידים'!A4599,"0")),TRIM('הדבקת לידים'!A4599)))</f>
        <v/>
      </c>
      <c r="B4599" s="0" t="str">
        <f aca="false">IF('הדבקת לידים'!B4599="","",IF(ISNUMBER('הדבקת לידים'!B4599),IF(הגדרות!$E$3&gt;0,TEXT('הדבקת לידים'!B4599,REPT("0",הגדרות!$E$3)),TEXT('הדבקת לידים'!B4599,"0")),TRIM('הדבקת לידים'!B4599)))</f>
        <v/>
      </c>
      <c r="C4599" s="0" t="n">
        <f aca="false">IF(OR(A4599&lt;&gt;"",B4599&lt;&gt;""),1,0)</f>
        <v>0</v>
      </c>
      <c r="D4599" s="0" t="str">
        <f aca="false">IF(C4599=1,MOD(ABS(SIN(ROW()*12.9898+'הדבקת לידים'!$F$2*78.233+IFERROR(--RIGHT(A4599,6),LEN(A4599))*0.0137+IFERROR(--RIGHT(B4599,6),LEN(B4599))*0.0071))*43758.5453,1),"")</f>
        <v/>
      </c>
      <c r="E4599" s="0" t="str">
        <f aca="false">IF(C4599=1,INT(MOD(ABS(SIN(D4599*7919.123+ROW()*0.618+'הדבקת לידים'!$F$2*1.3))*43758.5453,1)*1000000)*10000+ROW(),"")</f>
        <v/>
      </c>
      <c r="F4599" s="0" t="str">
        <f aca="false">IF(E4599="","",RANK(E4599,$E$2:$E$5001,1))</f>
        <v/>
      </c>
      <c r="G4599" s="0" t="n">
        <f aca="false">IF(A4599="",0,IF(SUMPRODUCT(--($A$2:$A$5001=A4599))&gt;1,1,0))</f>
        <v>0</v>
      </c>
      <c r="H4599" s="0" t="n">
        <f aca="false">ROW()-1</f>
        <v>4598</v>
      </c>
      <c r="I4599" s="0" t="str">
        <f aca="false">IF(OR(הגדרות!$E$6=0,H4599&gt;הגדרות!$E$5),"",IF(H4599-1&lt;הגדרות!$E$8*(הגדרות!$E$7+1),INT((H4599-1)/(הגדרות!$E$7+1)),הגדרות!$E$8+INT((H4599-1-הגדרות!$E$8*(הגדרות!$E$7+1))/הגדרות!$E$7)))</f>
        <v/>
      </c>
      <c r="J4599" s="0" t="str">
        <f aca="false">IF(I4599="","",IF(H4599-1&lt;הגדרות!$E$8*(הגדרות!$E$7+1),MOD(H4599-1,הגדרות!$E$7+1),MOD(H4599-1-הגדרות!$E$8*(הגדרות!$E$7+1),הגדרות!$E$7)))</f>
        <v/>
      </c>
      <c r="K4599" s="0" t="str">
        <f aca="false">IF(I4599="","",J4599*הגדרות!$E$6+I4599+1)</f>
        <v/>
      </c>
      <c r="L4599" s="0" t="str">
        <f aca="false">IF(K4599="","",MATCH(K4599,$F$2:$F$5001,0))</f>
        <v/>
      </c>
      <c r="M4599" s="0" t="str">
        <f aca="false">IF(I4599="","",INDEX(הגדרות!$A$2:$A$21,MOD(I4599+הגדרות!$E$9,הגדרות!$E$6)+1))</f>
        <v/>
      </c>
    </row>
    <row r="4600" customFormat="false" ht="15" hidden="false" customHeight="false" outlineLevel="0" collapsed="false">
      <c r="A4600" s="0" t="str">
        <f aca="false">IF('הדבקת לידים'!A4600="","",IF(ISNUMBER('הדבקת לידים'!A4600),IF(הגדרות!$E$2&gt;0,TEXT('הדבקת לידים'!A4600,REPT("0",הגדרות!$E$2)),TEXT('הדבקת לידים'!A4600,"0")),TRIM('הדבקת לידים'!A4600)))</f>
        <v/>
      </c>
      <c r="B4600" s="0" t="str">
        <f aca="false">IF('הדבקת לידים'!B4600="","",IF(ISNUMBER('הדבקת לידים'!B4600),IF(הגדרות!$E$3&gt;0,TEXT('הדבקת לידים'!B4600,REPT("0",הגדרות!$E$3)),TEXT('הדבקת לידים'!B4600,"0")),TRIM('הדבקת לידים'!B4600)))</f>
        <v/>
      </c>
      <c r="C4600" s="0" t="n">
        <f aca="false">IF(OR(A4600&lt;&gt;"",B4600&lt;&gt;""),1,0)</f>
        <v>0</v>
      </c>
      <c r="D4600" s="0" t="str">
        <f aca="false">IF(C4600=1,MOD(ABS(SIN(ROW()*12.9898+'הדבקת לידים'!$F$2*78.233+IFERROR(--RIGHT(A4600,6),LEN(A4600))*0.0137+IFERROR(--RIGHT(B4600,6),LEN(B4600))*0.0071))*43758.5453,1),"")</f>
        <v/>
      </c>
      <c r="E4600" s="0" t="str">
        <f aca="false">IF(C4600=1,INT(MOD(ABS(SIN(D4600*7919.123+ROW()*0.618+'הדבקת לידים'!$F$2*1.3))*43758.5453,1)*1000000)*10000+ROW(),"")</f>
        <v/>
      </c>
      <c r="F4600" s="0" t="str">
        <f aca="false">IF(E4600="","",RANK(E4600,$E$2:$E$5001,1))</f>
        <v/>
      </c>
      <c r="G4600" s="0" t="n">
        <f aca="false">IF(A4600="",0,IF(SUMPRODUCT(--($A$2:$A$5001=A4600))&gt;1,1,0))</f>
        <v>0</v>
      </c>
      <c r="H4600" s="0" t="n">
        <f aca="false">ROW()-1</f>
        <v>4599</v>
      </c>
      <c r="I4600" s="0" t="str">
        <f aca="false">IF(OR(הגדרות!$E$6=0,H4600&gt;הגדרות!$E$5),"",IF(H4600-1&lt;הגדרות!$E$8*(הגדרות!$E$7+1),INT((H4600-1)/(הגדרות!$E$7+1)),הגדרות!$E$8+INT((H4600-1-הגדרות!$E$8*(הגדרות!$E$7+1))/הגדרות!$E$7)))</f>
        <v/>
      </c>
      <c r="J4600" s="0" t="str">
        <f aca="false">IF(I4600="","",IF(H4600-1&lt;הגדרות!$E$8*(הגדרות!$E$7+1),MOD(H4600-1,הגדרות!$E$7+1),MOD(H4600-1-הגדרות!$E$8*(הגדרות!$E$7+1),הגדרות!$E$7)))</f>
        <v/>
      </c>
      <c r="K4600" s="0" t="str">
        <f aca="false">IF(I4600="","",J4600*הגדרות!$E$6+I4600+1)</f>
        <v/>
      </c>
      <c r="L4600" s="0" t="str">
        <f aca="false">IF(K4600="","",MATCH(K4600,$F$2:$F$5001,0))</f>
        <v/>
      </c>
      <c r="M4600" s="0" t="str">
        <f aca="false">IF(I4600="","",INDEX(הגדרות!$A$2:$A$21,MOD(I4600+הגדרות!$E$9,הגדרות!$E$6)+1))</f>
        <v/>
      </c>
    </row>
    <row r="4601" customFormat="false" ht="15" hidden="false" customHeight="false" outlineLevel="0" collapsed="false">
      <c r="A4601" s="0" t="str">
        <f aca="false">IF('הדבקת לידים'!A4601="","",IF(ISNUMBER('הדבקת לידים'!A4601),IF(הגדרות!$E$2&gt;0,TEXT('הדבקת לידים'!A4601,REPT("0",הגדרות!$E$2)),TEXT('הדבקת לידים'!A4601,"0")),TRIM('הדבקת לידים'!A4601)))</f>
        <v/>
      </c>
      <c r="B4601" s="0" t="str">
        <f aca="false">IF('הדבקת לידים'!B4601="","",IF(ISNUMBER('הדבקת לידים'!B4601),IF(הגדרות!$E$3&gt;0,TEXT('הדבקת לידים'!B4601,REPT("0",הגדרות!$E$3)),TEXT('הדבקת לידים'!B4601,"0")),TRIM('הדבקת לידים'!B4601)))</f>
        <v/>
      </c>
      <c r="C4601" s="0" t="n">
        <f aca="false">IF(OR(A4601&lt;&gt;"",B4601&lt;&gt;""),1,0)</f>
        <v>0</v>
      </c>
      <c r="D4601" s="0" t="str">
        <f aca="false">IF(C4601=1,MOD(ABS(SIN(ROW()*12.9898+'הדבקת לידים'!$F$2*78.233+IFERROR(--RIGHT(A4601,6),LEN(A4601))*0.0137+IFERROR(--RIGHT(B4601,6),LEN(B4601))*0.0071))*43758.5453,1),"")</f>
        <v/>
      </c>
      <c r="E4601" s="0" t="str">
        <f aca="false">IF(C4601=1,INT(MOD(ABS(SIN(D4601*7919.123+ROW()*0.618+'הדבקת לידים'!$F$2*1.3))*43758.5453,1)*1000000)*10000+ROW(),"")</f>
        <v/>
      </c>
      <c r="F4601" s="0" t="str">
        <f aca="false">IF(E4601="","",RANK(E4601,$E$2:$E$5001,1))</f>
        <v/>
      </c>
      <c r="G4601" s="0" t="n">
        <f aca="false">IF(A4601="",0,IF(SUMPRODUCT(--($A$2:$A$5001=A4601))&gt;1,1,0))</f>
        <v>0</v>
      </c>
      <c r="H4601" s="0" t="n">
        <f aca="false">ROW()-1</f>
        <v>4600</v>
      </c>
      <c r="I4601" s="0" t="str">
        <f aca="false">IF(OR(הגדרות!$E$6=0,H4601&gt;הגדרות!$E$5),"",IF(H4601-1&lt;הגדרות!$E$8*(הגדרות!$E$7+1),INT((H4601-1)/(הגדרות!$E$7+1)),הגדרות!$E$8+INT((H4601-1-הגדרות!$E$8*(הגדרות!$E$7+1))/הגדרות!$E$7)))</f>
        <v/>
      </c>
      <c r="J4601" s="0" t="str">
        <f aca="false">IF(I4601="","",IF(H4601-1&lt;הגדרות!$E$8*(הגדרות!$E$7+1),MOD(H4601-1,הגדרות!$E$7+1),MOD(H4601-1-הגדרות!$E$8*(הגדרות!$E$7+1),הגדרות!$E$7)))</f>
        <v/>
      </c>
      <c r="K4601" s="0" t="str">
        <f aca="false">IF(I4601="","",J4601*הגדרות!$E$6+I4601+1)</f>
        <v/>
      </c>
      <c r="L4601" s="0" t="str">
        <f aca="false">IF(K4601="","",MATCH(K4601,$F$2:$F$5001,0))</f>
        <v/>
      </c>
      <c r="M4601" s="0" t="str">
        <f aca="false">IF(I4601="","",INDEX(הגדרות!$A$2:$A$21,MOD(I4601+הגדרות!$E$9,הגדרות!$E$6)+1))</f>
        <v/>
      </c>
    </row>
    <row r="4602" customFormat="false" ht="15" hidden="false" customHeight="false" outlineLevel="0" collapsed="false">
      <c r="A4602" s="0" t="str">
        <f aca="false">IF('הדבקת לידים'!A4602="","",IF(ISNUMBER('הדבקת לידים'!A4602),IF(הגדרות!$E$2&gt;0,TEXT('הדבקת לידים'!A4602,REPT("0",הגדרות!$E$2)),TEXT('הדבקת לידים'!A4602,"0")),TRIM('הדבקת לידים'!A4602)))</f>
        <v/>
      </c>
      <c r="B4602" s="0" t="str">
        <f aca="false">IF('הדבקת לידים'!B4602="","",IF(ISNUMBER('הדבקת לידים'!B4602),IF(הגדרות!$E$3&gt;0,TEXT('הדבקת לידים'!B4602,REPT("0",הגדרות!$E$3)),TEXT('הדבקת לידים'!B4602,"0")),TRIM('הדבקת לידים'!B4602)))</f>
        <v/>
      </c>
      <c r="C4602" s="0" t="n">
        <f aca="false">IF(OR(A4602&lt;&gt;"",B4602&lt;&gt;""),1,0)</f>
        <v>0</v>
      </c>
      <c r="D4602" s="0" t="str">
        <f aca="false">IF(C4602=1,MOD(ABS(SIN(ROW()*12.9898+'הדבקת לידים'!$F$2*78.233+IFERROR(--RIGHT(A4602,6),LEN(A4602))*0.0137+IFERROR(--RIGHT(B4602,6),LEN(B4602))*0.0071))*43758.5453,1),"")</f>
        <v/>
      </c>
      <c r="E4602" s="0" t="str">
        <f aca="false">IF(C4602=1,INT(MOD(ABS(SIN(D4602*7919.123+ROW()*0.618+'הדבקת לידים'!$F$2*1.3))*43758.5453,1)*1000000)*10000+ROW(),"")</f>
        <v/>
      </c>
      <c r="F4602" s="0" t="str">
        <f aca="false">IF(E4602="","",RANK(E4602,$E$2:$E$5001,1))</f>
        <v/>
      </c>
      <c r="G4602" s="0" t="n">
        <f aca="false">IF(A4602="",0,IF(SUMPRODUCT(--($A$2:$A$5001=A4602))&gt;1,1,0))</f>
        <v>0</v>
      </c>
      <c r="H4602" s="0" t="n">
        <f aca="false">ROW()-1</f>
        <v>4601</v>
      </c>
      <c r="I4602" s="0" t="str">
        <f aca="false">IF(OR(הגדרות!$E$6=0,H4602&gt;הגדרות!$E$5),"",IF(H4602-1&lt;הגדרות!$E$8*(הגדרות!$E$7+1),INT((H4602-1)/(הגדרות!$E$7+1)),הגדרות!$E$8+INT((H4602-1-הגדרות!$E$8*(הגדרות!$E$7+1))/הגדרות!$E$7)))</f>
        <v/>
      </c>
      <c r="J4602" s="0" t="str">
        <f aca="false">IF(I4602="","",IF(H4602-1&lt;הגדרות!$E$8*(הגדרות!$E$7+1),MOD(H4602-1,הגדרות!$E$7+1),MOD(H4602-1-הגדרות!$E$8*(הגדרות!$E$7+1),הגדרות!$E$7)))</f>
        <v/>
      </c>
      <c r="K4602" s="0" t="str">
        <f aca="false">IF(I4602="","",J4602*הגדרות!$E$6+I4602+1)</f>
        <v/>
      </c>
      <c r="L4602" s="0" t="str">
        <f aca="false">IF(K4602="","",MATCH(K4602,$F$2:$F$5001,0))</f>
        <v/>
      </c>
      <c r="M4602" s="0" t="str">
        <f aca="false">IF(I4602="","",INDEX(הגדרות!$A$2:$A$21,MOD(I4602+הגדרות!$E$9,הגדרות!$E$6)+1))</f>
        <v/>
      </c>
    </row>
    <row r="4603" customFormat="false" ht="15" hidden="false" customHeight="false" outlineLevel="0" collapsed="false">
      <c r="A4603" s="0" t="str">
        <f aca="false">IF('הדבקת לידים'!A4603="","",IF(ISNUMBER('הדבקת לידים'!A4603),IF(הגדרות!$E$2&gt;0,TEXT('הדבקת לידים'!A4603,REPT("0",הגדרות!$E$2)),TEXT('הדבקת לידים'!A4603,"0")),TRIM('הדבקת לידים'!A4603)))</f>
        <v/>
      </c>
      <c r="B4603" s="0" t="str">
        <f aca="false">IF('הדבקת לידים'!B4603="","",IF(ISNUMBER('הדבקת לידים'!B4603),IF(הגדרות!$E$3&gt;0,TEXT('הדבקת לידים'!B4603,REPT("0",הגדרות!$E$3)),TEXT('הדבקת לידים'!B4603,"0")),TRIM('הדבקת לידים'!B4603)))</f>
        <v/>
      </c>
      <c r="C4603" s="0" t="n">
        <f aca="false">IF(OR(A4603&lt;&gt;"",B4603&lt;&gt;""),1,0)</f>
        <v>0</v>
      </c>
      <c r="D4603" s="0" t="str">
        <f aca="false">IF(C4603=1,MOD(ABS(SIN(ROW()*12.9898+'הדבקת לידים'!$F$2*78.233+IFERROR(--RIGHT(A4603,6),LEN(A4603))*0.0137+IFERROR(--RIGHT(B4603,6),LEN(B4603))*0.0071))*43758.5453,1),"")</f>
        <v/>
      </c>
      <c r="E4603" s="0" t="str">
        <f aca="false">IF(C4603=1,INT(MOD(ABS(SIN(D4603*7919.123+ROW()*0.618+'הדבקת לידים'!$F$2*1.3))*43758.5453,1)*1000000)*10000+ROW(),"")</f>
        <v/>
      </c>
      <c r="F4603" s="0" t="str">
        <f aca="false">IF(E4603="","",RANK(E4603,$E$2:$E$5001,1))</f>
        <v/>
      </c>
      <c r="G4603" s="0" t="n">
        <f aca="false">IF(A4603="",0,IF(SUMPRODUCT(--($A$2:$A$5001=A4603))&gt;1,1,0))</f>
        <v>0</v>
      </c>
      <c r="H4603" s="0" t="n">
        <f aca="false">ROW()-1</f>
        <v>4602</v>
      </c>
      <c r="I4603" s="0" t="str">
        <f aca="false">IF(OR(הגדרות!$E$6=0,H4603&gt;הגדרות!$E$5),"",IF(H4603-1&lt;הגדרות!$E$8*(הגדרות!$E$7+1),INT((H4603-1)/(הגדרות!$E$7+1)),הגדרות!$E$8+INT((H4603-1-הגדרות!$E$8*(הגדרות!$E$7+1))/הגדרות!$E$7)))</f>
        <v/>
      </c>
      <c r="J4603" s="0" t="str">
        <f aca="false">IF(I4603="","",IF(H4603-1&lt;הגדרות!$E$8*(הגדרות!$E$7+1),MOD(H4603-1,הגדרות!$E$7+1),MOD(H4603-1-הגדרות!$E$8*(הגדרות!$E$7+1),הגדרות!$E$7)))</f>
        <v/>
      </c>
      <c r="K4603" s="0" t="str">
        <f aca="false">IF(I4603="","",J4603*הגדרות!$E$6+I4603+1)</f>
        <v/>
      </c>
      <c r="L4603" s="0" t="str">
        <f aca="false">IF(K4603="","",MATCH(K4603,$F$2:$F$5001,0))</f>
        <v/>
      </c>
      <c r="M4603" s="0" t="str">
        <f aca="false">IF(I4603="","",INDEX(הגדרות!$A$2:$A$21,MOD(I4603+הגדרות!$E$9,הגדרות!$E$6)+1))</f>
        <v/>
      </c>
    </row>
    <row r="4604" customFormat="false" ht="15" hidden="false" customHeight="false" outlineLevel="0" collapsed="false">
      <c r="A4604" s="0" t="str">
        <f aca="false">IF('הדבקת לידים'!A4604="","",IF(ISNUMBER('הדבקת לידים'!A4604),IF(הגדרות!$E$2&gt;0,TEXT('הדבקת לידים'!A4604,REPT("0",הגדרות!$E$2)),TEXT('הדבקת לידים'!A4604,"0")),TRIM('הדבקת לידים'!A4604)))</f>
        <v/>
      </c>
      <c r="B4604" s="0" t="str">
        <f aca="false">IF('הדבקת לידים'!B4604="","",IF(ISNUMBER('הדבקת לידים'!B4604),IF(הגדרות!$E$3&gt;0,TEXT('הדבקת לידים'!B4604,REPT("0",הגדרות!$E$3)),TEXT('הדבקת לידים'!B4604,"0")),TRIM('הדבקת לידים'!B4604)))</f>
        <v/>
      </c>
      <c r="C4604" s="0" t="n">
        <f aca="false">IF(OR(A4604&lt;&gt;"",B4604&lt;&gt;""),1,0)</f>
        <v>0</v>
      </c>
      <c r="D4604" s="0" t="str">
        <f aca="false">IF(C4604=1,MOD(ABS(SIN(ROW()*12.9898+'הדבקת לידים'!$F$2*78.233+IFERROR(--RIGHT(A4604,6),LEN(A4604))*0.0137+IFERROR(--RIGHT(B4604,6),LEN(B4604))*0.0071))*43758.5453,1),"")</f>
        <v/>
      </c>
      <c r="E4604" s="0" t="str">
        <f aca="false">IF(C4604=1,INT(MOD(ABS(SIN(D4604*7919.123+ROW()*0.618+'הדבקת לידים'!$F$2*1.3))*43758.5453,1)*1000000)*10000+ROW(),"")</f>
        <v/>
      </c>
      <c r="F4604" s="0" t="str">
        <f aca="false">IF(E4604="","",RANK(E4604,$E$2:$E$5001,1))</f>
        <v/>
      </c>
      <c r="G4604" s="0" t="n">
        <f aca="false">IF(A4604="",0,IF(SUMPRODUCT(--($A$2:$A$5001=A4604))&gt;1,1,0))</f>
        <v>0</v>
      </c>
      <c r="H4604" s="0" t="n">
        <f aca="false">ROW()-1</f>
        <v>4603</v>
      </c>
      <c r="I4604" s="0" t="str">
        <f aca="false">IF(OR(הגדרות!$E$6=0,H4604&gt;הגדרות!$E$5),"",IF(H4604-1&lt;הגדרות!$E$8*(הגדרות!$E$7+1),INT((H4604-1)/(הגדרות!$E$7+1)),הגדרות!$E$8+INT((H4604-1-הגדרות!$E$8*(הגדרות!$E$7+1))/הגדרות!$E$7)))</f>
        <v/>
      </c>
      <c r="J4604" s="0" t="str">
        <f aca="false">IF(I4604="","",IF(H4604-1&lt;הגדרות!$E$8*(הגדרות!$E$7+1),MOD(H4604-1,הגדרות!$E$7+1),MOD(H4604-1-הגדרות!$E$8*(הגדרות!$E$7+1),הגדרות!$E$7)))</f>
        <v/>
      </c>
      <c r="K4604" s="0" t="str">
        <f aca="false">IF(I4604="","",J4604*הגדרות!$E$6+I4604+1)</f>
        <v/>
      </c>
      <c r="L4604" s="0" t="str">
        <f aca="false">IF(K4604="","",MATCH(K4604,$F$2:$F$5001,0))</f>
        <v/>
      </c>
      <c r="M4604" s="0" t="str">
        <f aca="false">IF(I4604="","",INDEX(הגדרות!$A$2:$A$21,MOD(I4604+הגדרות!$E$9,הגדרות!$E$6)+1))</f>
        <v/>
      </c>
    </row>
    <row r="4605" customFormat="false" ht="15" hidden="false" customHeight="false" outlineLevel="0" collapsed="false">
      <c r="A4605" s="0" t="str">
        <f aca="false">IF('הדבקת לידים'!A4605="","",IF(ISNUMBER('הדבקת לידים'!A4605),IF(הגדרות!$E$2&gt;0,TEXT('הדבקת לידים'!A4605,REPT("0",הגדרות!$E$2)),TEXT('הדבקת לידים'!A4605,"0")),TRIM('הדבקת לידים'!A4605)))</f>
        <v/>
      </c>
      <c r="B4605" s="0" t="str">
        <f aca="false">IF('הדבקת לידים'!B4605="","",IF(ISNUMBER('הדבקת לידים'!B4605),IF(הגדרות!$E$3&gt;0,TEXT('הדבקת לידים'!B4605,REPT("0",הגדרות!$E$3)),TEXT('הדבקת לידים'!B4605,"0")),TRIM('הדבקת לידים'!B4605)))</f>
        <v/>
      </c>
      <c r="C4605" s="0" t="n">
        <f aca="false">IF(OR(A4605&lt;&gt;"",B4605&lt;&gt;""),1,0)</f>
        <v>0</v>
      </c>
      <c r="D4605" s="0" t="str">
        <f aca="false">IF(C4605=1,MOD(ABS(SIN(ROW()*12.9898+'הדבקת לידים'!$F$2*78.233+IFERROR(--RIGHT(A4605,6),LEN(A4605))*0.0137+IFERROR(--RIGHT(B4605,6),LEN(B4605))*0.0071))*43758.5453,1),"")</f>
        <v/>
      </c>
      <c r="E4605" s="0" t="str">
        <f aca="false">IF(C4605=1,INT(MOD(ABS(SIN(D4605*7919.123+ROW()*0.618+'הדבקת לידים'!$F$2*1.3))*43758.5453,1)*1000000)*10000+ROW(),"")</f>
        <v/>
      </c>
      <c r="F4605" s="0" t="str">
        <f aca="false">IF(E4605="","",RANK(E4605,$E$2:$E$5001,1))</f>
        <v/>
      </c>
      <c r="G4605" s="0" t="n">
        <f aca="false">IF(A4605="",0,IF(SUMPRODUCT(--($A$2:$A$5001=A4605))&gt;1,1,0))</f>
        <v>0</v>
      </c>
      <c r="H4605" s="0" t="n">
        <f aca="false">ROW()-1</f>
        <v>4604</v>
      </c>
      <c r="I4605" s="0" t="str">
        <f aca="false">IF(OR(הגדרות!$E$6=0,H4605&gt;הגדרות!$E$5),"",IF(H4605-1&lt;הגדרות!$E$8*(הגדרות!$E$7+1),INT((H4605-1)/(הגדרות!$E$7+1)),הגדרות!$E$8+INT((H4605-1-הגדרות!$E$8*(הגדרות!$E$7+1))/הגדרות!$E$7)))</f>
        <v/>
      </c>
      <c r="J4605" s="0" t="str">
        <f aca="false">IF(I4605="","",IF(H4605-1&lt;הגדרות!$E$8*(הגדרות!$E$7+1),MOD(H4605-1,הגדרות!$E$7+1),MOD(H4605-1-הגדרות!$E$8*(הגדרות!$E$7+1),הגדרות!$E$7)))</f>
        <v/>
      </c>
      <c r="K4605" s="0" t="str">
        <f aca="false">IF(I4605="","",J4605*הגדרות!$E$6+I4605+1)</f>
        <v/>
      </c>
      <c r="L4605" s="0" t="str">
        <f aca="false">IF(K4605="","",MATCH(K4605,$F$2:$F$5001,0))</f>
        <v/>
      </c>
      <c r="M4605" s="0" t="str">
        <f aca="false">IF(I4605="","",INDEX(הגדרות!$A$2:$A$21,MOD(I4605+הגדרות!$E$9,הגדרות!$E$6)+1))</f>
        <v/>
      </c>
    </row>
    <row r="4606" customFormat="false" ht="15" hidden="false" customHeight="false" outlineLevel="0" collapsed="false">
      <c r="A4606" s="0" t="str">
        <f aca="false">IF('הדבקת לידים'!A4606="","",IF(ISNUMBER('הדבקת לידים'!A4606),IF(הגדרות!$E$2&gt;0,TEXT('הדבקת לידים'!A4606,REPT("0",הגדרות!$E$2)),TEXT('הדבקת לידים'!A4606,"0")),TRIM('הדבקת לידים'!A4606)))</f>
        <v/>
      </c>
      <c r="B4606" s="0" t="str">
        <f aca="false">IF('הדבקת לידים'!B4606="","",IF(ISNUMBER('הדבקת לידים'!B4606),IF(הגדרות!$E$3&gt;0,TEXT('הדבקת לידים'!B4606,REPT("0",הגדרות!$E$3)),TEXT('הדבקת לידים'!B4606,"0")),TRIM('הדבקת לידים'!B4606)))</f>
        <v/>
      </c>
      <c r="C4606" s="0" t="n">
        <f aca="false">IF(OR(A4606&lt;&gt;"",B4606&lt;&gt;""),1,0)</f>
        <v>0</v>
      </c>
      <c r="D4606" s="0" t="str">
        <f aca="false">IF(C4606=1,MOD(ABS(SIN(ROW()*12.9898+'הדבקת לידים'!$F$2*78.233+IFERROR(--RIGHT(A4606,6),LEN(A4606))*0.0137+IFERROR(--RIGHT(B4606,6),LEN(B4606))*0.0071))*43758.5453,1),"")</f>
        <v/>
      </c>
      <c r="E4606" s="0" t="str">
        <f aca="false">IF(C4606=1,INT(MOD(ABS(SIN(D4606*7919.123+ROW()*0.618+'הדבקת לידים'!$F$2*1.3))*43758.5453,1)*1000000)*10000+ROW(),"")</f>
        <v/>
      </c>
      <c r="F4606" s="0" t="str">
        <f aca="false">IF(E4606="","",RANK(E4606,$E$2:$E$5001,1))</f>
        <v/>
      </c>
      <c r="G4606" s="0" t="n">
        <f aca="false">IF(A4606="",0,IF(SUMPRODUCT(--($A$2:$A$5001=A4606))&gt;1,1,0))</f>
        <v>0</v>
      </c>
      <c r="H4606" s="0" t="n">
        <f aca="false">ROW()-1</f>
        <v>4605</v>
      </c>
      <c r="I4606" s="0" t="str">
        <f aca="false">IF(OR(הגדרות!$E$6=0,H4606&gt;הגדרות!$E$5),"",IF(H4606-1&lt;הגדרות!$E$8*(הגדרות!$E$7+1),INT((H4606-1)/(הגדרות!$E$7+1)),הגדרות!$E$8+INT((H4606-1-הגדרות!$E$8*(הגדרות!$E$7+1))/הגדרות!$E$7)))</f>
        <v/>
      </c>
      <c r="J4606" s="0" t="str">
        <f aca="false">IF(I4606="","",IF(H4606-1&lt;הגדרות!$E$8*(הגדרות!$E$7+1),MOD(H4606-1,הגדרות!$E$7+1),MOD(H4606-1-הגדרות!$E$8*(הגדרות!$E$7+1),הגדרות!$E$7)))</f>
        <v/>
      </c>
      <c r="K4606" s="0" t="str">
        <f aca="false">IF(I4606="","",J4606*הגדרות!$E$6+I4606+1)</f>
        <v/>
      </c>
      <c r="L4606" s="0" t="str">
        <f aca="false">IF(K4606="","",MATCH(K4606,$F$2:$F$5001,0))</f>
        <v/>
      </c>
      <c r="M4606" s="0" t="str">
        <f aca="false">IF(I4606="","",INDEX(הגדרות!$A$2:$A$21,MOD(I4606+הגדרות!$E$9,הגדרות!$E$6)+1))</f>
        <v/>
      </c>
    </row>
    <row r="4607" customFormat="false" ht="15" hidden="false" customHeight="false" outlineLevel="0" collapsed="false">
      <c r="A4607" s="0" t="str">
        <f aca="false">IF('הדבקת לידים'!A4607="","",IF(ISNUMBER('הדבקת לידים'!A4607),IF(הגדרות!$E$2&gt;0,TEXT('הדבקת לידים'!A4607,REPT("0",הגדרות!$E$2)),TEXT('הדבקת לידים'!A4607,"0")),TRIM('הדבקת לידים'!A4607)))</f>
        <v/>
      </c>
      <c r="B4607" s="0" t="str">
        <f aca="false">IF('הדבקת לידים'!B4607="","",IF(ISNUMBER('הדבקת לידים'!B4607),IF(הגדרות!$E$3&gt;0,TEXT('הדבקת לידים'!B4607,REPT("0",הגדרות!$E$3)),TEXT('הדבקת לידים'!B4607,"0")),TRIM('הדבקת לידים'!B4607)))</f>
        <v/>
      </c>
      <c r="C4607" s="0" t="n">
        <f aca="false">IF(OR(A4607&lt;&gt;"",B4607&lt;&gt;""),1,0)</f>
        <v>0</v>
      </c>
      <c r="D4607" s="0" t="str">
        <f aca="false">IF(C4607=1,MOD(ABS(SIN(ROW()*12.9898+'הדבקת לידים'!$F$2*78.233+IFERROR(--RIGHT(A4607,6),LEN(A4607))*0.0137+IFERROR(--RIGHT(B4607,6),LEN(B4607))*0.0071))*43758.5453,1),"")</f>
        <v/>
      </c>
      <c r="E4607" s="0" t="str">
        <f aca="false">IF(C4607=1,INT(MOD(ABS(SIN(D4607*7919.123+ROW()*0.618+'הדבקת לידים'!$F$2*1.3))*43758.5453,1)*1000000)*10000+ROW(),"")</f>
        <v/>
      </c>
      <c r="F4607" s="0" t="str">
        <f aca="false">IF(E4607="","",RANK(E4607,$E$2:$E$5001,1))</f>
        <v/>
      </c>
      <c r="G4607" s="0" t="n">
        <f aca="false">IF(A4607="",0,IF(SUMPRODUCT(--($A$2:$A$5001=A4607))&gt;1,1,0))</f>
        <v>0</v>
      </c>
      <c r="H4607" s="0" t="n">
        <f aca="false">ROW()-1</f>
        <v>4606</v>
      </c>
      <c r="I4607" s="0" t="str">
        <f aca="false">IF(OR(הגדרות!$E$6=0,H4607&gt;הגדרות!$E$5),"",IF(H4607-1&lt;הגדרות!$E$8*(הגדרות!$E$7+1),INT((H4607-1)/(הגדרות!$E$7+1)),הגדרות!$E$8+INT((H4607-1-הגדרות!$E$8*(הגדרות!$E$7+1))/הגדרות!$E$7)))</f>
        <v/>
      </c>
      <c r="J4607" s="0" t="str">
        <f aca="false">IF(I4607="","",IF(H4607-1&lt;הגדרות!$E$8*(הגדרות!$E$7+1),MOD(H4607-1,הגדרות!$E$7+1),MOD(H4607-1-הגדרות!$E$8*(הגדרות!$E$7+1),הגדרות!$E$7)))</f>
        <v/>
      </c>
      <c r="K4607" s="0" t="str">
        <f aca="false">IF(I4607="","",J4607*הגדרות!$E$6+I4607+1)</f>
        <v/>
      </c>
      <c r="L4607" s="0" t="str">
        <f aca="false">IF(K4607="","",MATCH(K4607,$F$2:$F$5001,0))</f>
        <v/>
      </c>
      <c r="M4607" s="0" t="str">
        <f aca="false">IF(I4607="","",INDEX(הגדרות!$A$2:$A$21,MOD(I4607+הגדרות!$E$9,הגדרות!$E$6)+1))</f>
        <v/>
      </c>
    </row>
    <row r="4608" customFormat="false" ht="15" hidden="false" customHeight="false" outlineLevel="0" collapsed="false">
      <c r="A4608" s="0" t="str">
        <f aca="false">IF('הדבקת לידים'!A4608="","",IF(ISNUMBER('הדבקת לידים'!A4608),IF(הגדרות!$E$2&gt;0,TEXT('הדבקת לידים'!A4608,REPT("0",הגדרות!$E$2)),TEXT('הדבקת לידים'!A4608,"0")),TRIM('הדבקת לידים'!A4608)))</f>
        <v/>
      </c>
      <c r="B4608" s="0" t="str">
        <f aca="false">IF('הדבקת לידים'!B4608="","",IF(ISNUMBER('הדבקת לידים'!B4608),IF(הגדרות!$E$3&gt;0,TEXT('הדבקת לידים'!B4608,REPT("0",הגדרות!$E$3)),TEXT('הדבקת לידים'!B4608,"0")),TRIM('הדבקת לידים'!B4608)))</f>
        <v/>
      </c>
      <c r="C4608" s="0" t="n">
        <f aca="false">IF(OR(A4608&lt;&gt;"",B4608&lt;&gt;""),1,0)</f>
        <v>0</v>
      </c>
      <c r="D4608" s="0" t="str">
        <f aca="false">IF(C4608=1,MOD(ABS(SIN(ROW()*12.9898+'הדבקת לידים'!$F$2*78.233+IFERROR(--RIGHT(A4608,6),LEN(A4608))*0.0137+IFERROR(--RIGHT(B4608,6),LEN(B4608))*0.0071))*43758.5453,1),"")</f>
        <v/>
      </c>
      <c r="E4608" s="0" t="str">
        <f aca="false">IF(C4608=1,INT(MOD(ABS(SIN(D4608*7919.123+ROW()*0.618+'הדבקת לידים'!$F$2*1.3))*43758.5453,1)*1000000)*10000+ROW(),"")</f>
        <v/>
      </c>
      <c r="F4608" s="0" t="str">
        <f aca="false">IF(E4608="","",RANK(E4608,$E$2:$E$5001,1))</f>
        <v/>
      </c>
      <c r="G4608" s="0" t="n">
        <f aca="false">IF(A4608="",0,IF(SUMPRODUCT(--($A$2:$A$5001=A4608))&gt;1,1,0))</f>
        <v>0</v>
      </c>
      <c r="H4608" s="0" t="n">
        <f aca="false">ROW()-1</f>
        <v>4607</v>
      </c>
      <c r="I4608" s="0" t="str">
        <f aca="false">IF(OR(הגדרות!$E$6=0,H4608&gt;הגדרות!$E$5),"",IF(H4608-1&lt;הגדרות!$E$8*(הגדרות!$E$7+1),INT((H4608-1)/(הגדרות!$E$7+1)),הגדרות!$E$8+INT((H4608-1-הגדרות!$E$8*(הגדרות!$E$7+1))/הגדרות!$E$7)))</f>
        <v/>
      </c>
      <c r="J4608" s="0" t="str">
        <f aca="false">IF(I4608="","",IF(H4608-1&lt;הגדרות!$E$8*(הגדרות!$E$7+1),MOD(H4608-1,הגדרות!$E$7+1),MOD(H4608-1-הגדרות!$E$8*(הגדרות!$E$7+1),הגדרות!$E$7)))</f>
        <v/>
      </c>
      <c r="K4608" s="0" t="str">
        <f aca="false">IF(I4608="","",J4608*הגדרות!$E$6+I4608+1)</f>
        <v/>
      </c>
      <c r="L4608" s="0" t="str">
        <f aca="false">IF(K4608="","",MATCH(K4608,$F$2:$F$5001,0))</f>
        <v/>
      </c>
      <c r="M4608" s="0" t="str">
        <f aca="false">IF(I4608="","",INDEX(הגדרות!$A$2:$A$21,MOD(I4608+הגדרות!$E$9,הגדרות!$E$6)+1))</f>
        <v/>
      </c>
    </row>
    <row r="4609" customFormat="false" ht="15" hidden="false" customHeight="false" outlineLevel="0" collapsed="false">
      <c r="A4609" s="0" t="str">
        <f aca="false">IF('הדבקת לידים'!A4609="","",IF(ISNUMBER('הדבקת לידים'!A4609),IF(הגדרות!$E$2&gt;0,TEXT('הדבקת לידים'!A4609,REPT("0",הגדרות!$E$2)),TEXT('הדבקת לידים'!A4609,"0")),TRIM('הדבקת לידים'!A4609)))</f>
        <v/>
      </c>
      <c r="B4609" s="0" t="str">
        <f aca="false">IF('הדבקת לידים'!B4609="","",IF(ISNUMBER('הדבקת לידים'!B4609),IF(הגדרות!$E$3&gt;0,TEXT('הדבקת לידים'!B4609,REPT("0",הגדרות!$E$3)),TEXT('הדבקת לידים'!B4609,"0")),TRIM('הדבקת לידים'!B4609)))</f>
        <v/>
      </c>
      <c r="C4609" s="0" t="n">
        <f aca="false">IF(OR(A4609&lt;&gt;"",B4609&lt;&gt;""),1,0)</f>
        <v>0</v>
      </c>
      <c r="D4609" s="0" t="str">
        <f aca="false">IF(C4609=1,MOD(ABS(SIN(ROW()*12.9898+'הדבקת לידים'!$F$2*78.233+IFERROR(--RIGHT(A4609,6),LEN(A4609))*0.0137+IFERROR(--RIGHT(B4609,6),LEN(B4609))*0.0071))*43758.5453,1),"")</f>
        <v/>
      </c>
      <c r="E4609" s="0" t="str">
        <f aca="false">IF(C4609=1,INT(MOD(ABS(SIN(D4609*7919.123+ROW()*0.618+'הדבקת לידים'!$F$2*1.3))*43758.5453,1)*1000000)*10000+ROW(),"")</f>
        <v/>
      </c>
      <c r="F4609" s="0" t="str">
        <f aca="false">IF(E4609="","",RANK(E4609,$E$2:$E$5001,1))</f>
        <v/>
      </c>
      <c r="G4609" s="0" t="n">
        <f aca="false">IF(A4609="",0,IF(SUMPRODUCT(--($A$2:$A$5001=A4609))&gt;1,1,0))</f>
        <v>0</v>
      </c>
      <c r="H4609" s="0" t="n">
        <f aca="false">ROW()-1</f>
        <v>4608</v>
      </c>
      <c r="I4609" s="0" t="str">
        <f aca="false">IF(OR(הגדרות!$E$6=0,H4609&gt;הגדרות!$E$5),"",IF(H4609-1&lt;הגדרות!$E$8*(הגדרות!$E$7+1),INT((H4609-1)/(הגדרות!$E$7+1)),הגדרות!$E$8+INT((H4609-1-הגדרות!$E$8*(הגדרות!$E$7+1))/הגדרות!$E$7)))</f>
        <v/>
      </c>
      <c r="J4609" s="0" t="str">
        <f aca="false">IF(I4609="","",IF(H4609-1&lt;הגדרות!$E$8*(הגדרות!$E$7+1),MOD(H4609-1,הגדרות!$E$7+1),MOD(H4609-1-הגדרות!$E$8*(הגדרות!$E$7+1),הגדרות!$E$7)))</f>
        <v/>
      </c>
      <c r="K4609" s="0" t="str">
        <f aca="false">IF(I4609="","",J4609*הגדרות!$E$6+I4609+1)</f>
        <v/>
      </c>
      <c r="L4609" s="0" t="str">
        <f aca="false">IF(K4609="","",MATCH(K4609,$F$2:$F$5001,0))</f>
        <v/>
      </c>
      <c r="M4609" s="0" t="str">
        <f aca="false">IF(I4609="","",INDEX(הגדרות!$A$2:$A$21,MOD(I4609+הגדרות!$E$9,הגדרות!$E$6)+1))</f>
        <v/>
      </c>
    </row>
    <row r="4610" customFormat="false" ht="15" hidden="false" customHeight="false" outlineLevel="0" collapsed="false">
      <c r="A4610" s="0" t="str">
        <f aca="false">IF('הדבקת לידים'!A4610="","",IF(ISNUMBER('הדבקת לידים'!A4610),IF(הגדרות!$E$2&gt;0,TEXT('הדבקת לידים'!A4610,REPT("0",הגדרות!$E$2)),TEXT('הדבקת לידים'!A4610,"0")),TRIM('הדבקת לידים'!A4610)))</f>
        <v/>
      </c>
      <c r="B4610" s="0" t="str">
        <f aca="false">IF('הדבקת לידים'!B4610="","",IF(ISNUMBER('הדבקת לידים'!B4610),IF(הגדרות!$E$3&gt;0,TEXT('הדבקת לידים'!B4610,REPT("0",הגדרות!$E$3)),TEXT('הדבקת לידים'!B4610,"0")),TRIM('הדבקת לידים'!B4610)))</f>
        <v/>
      </c>
      <c r="C4610" s="0" t="n">
        <f aca="false">IF(OR(A4610&lt;&gt;"",B4610&lt;&gt;""),1,0)</f>
        <v>0</v>
      </c>
      <c r="D4610" s="0" t="str">
        <f aca="false">IF(C4610=1,MOD(ABS(SIN(ROW()*12.9898+'הדבקת לידים'!$F$2*78.233+IFERROR(--RIGHT(A4610,6),LEN(A4610))*0.0137+IFERROR(--RIGHT(B4610,6),LEN(B4610))*0.0071))*43758.5453,1),"")</f>
        <v/>
      </c>
      <c r="E4610" s="0" t="str">
        <f aca="false">IF(C4610=1,INT(MOD(ABS(SIN(D4610*7919.123+ROW()*0.618+'הדבקת לידים'!$F$2*1.3))*43758.5453,1)*1000000)*10000+ROW(),"")</f>
        <v/>
      </c>
      <c r="F4610" s="0" t="str">
        <f aca="false">IF(E4610="","",RANK(E4610,$E$2:$E$5001,1))</f>
        <v/>
      </c>
      <c r="G4610" s="0" t="n">
        <f aca="false">IF(A4610="",0,IF(SUMPRODUCT(--($A$2:$A$5001=A4610))&gt;1,1,0))</f>
        <v>0</v>
      </c>
      <c r="H4610" s="0" t="n">
        <f aca="false">ROW()-1</f>
        <v>4609</v>
      </c>
      <c r="I4610" s="0" t="str">
        <f aca="false">IF(OR(הגדרות!$E$6=0,H4610&gt;הגדרות!$E$5),"",IF(H4610-1&lt;הגדרות!$E$8*(הגדרות!$E$7+1),INT((H4610-1)/(הגדרות!$E$7+1)),הגדרות!$E$8+INT((H4610-1-הגדרות!$E$8*(הגדרות!$E$7+1))/הגדרות!$E$7)))</f>
        <v/>
      </c>
      <c r="J4610" s="0" t="str">
        <f aca="false">IF(I4610="","",IF(H4610-1&lt;הגדרות!$E$8*(הגדרות!$E$7+1),MOD(H4610-1,הגדרות!$E$7+1),MOD(H4610-1-הגדרות!$E$8*(הגדרות!$E$7+1),הגדרות!$E$7)))</f>
        <v/>
      </c>
      <c r="K4610" s="0" t="str">
        <f aca="false">IF(I4610="","",J4610*הגדרות!$E$6+I4610+1)</f>
        <v/>
      </c>
      <c r="L4610" s="0" t="str">
        <f aca="false">IF(K4610="","",MATCH(K4610,$F$2:$F$5001,0))</f>
        <v/>
      </c>
      <c r="M4610" s="0" t="str">
        <f aca="false">IF(I4610="","",INDEX(הגדרות!$A$2:$A$21,MOD(I4610+הגדרות!$E$9,הגדרות!$E$6)+1))</f>
        <v/>
      </c>
    </row>
    <row r="4611" customFormat="false" ht="15" hidden="false" customHeight="false" outlineLevel="0" collapsed="false">
      <c r="A4611" s="0" t="str">
        <f aca="false">IF('הדבקת לידים'!A4611="","",IF(ISNUMBER('הדבקת לידים'!A4611),IF(הגדרות!$E$2&gt;0,TEXT('הדבקת לידים'!A4611,REPT("0",הגדרות!$E$2)),TEXT('הדבקת לידים'!A4611,"0")),TRIM('הדבקת לידים'!A4611)))</f>
        <v/>
      </c>
      <c r="B4611" s="0" t="str">
        <f aca="false">IF('הדבקת לידים'!B4611="","",IF(ISNUMBER('הדבקת לידים'!B4611),IF(הגדרות!$E$3&gt;0,TEXT('הדבקת לידים'!B4611,REPT("0",הגדרות!$E$3)),TEXT('הדבקת לידים'!B4611,"0")),TRIM('הדבקת לידים'!B4611)))</f>
        <v/>
      </c>
      <c r="C4611" s="0" t="n">
        <f aca="false">IF(OR(A4611&lt;&gt;"",B4611&lt;&gt;""),1,0)</f>
        <v>0</v>
      </c>
      <c r="D4611" s="0" t="str">
        <f aca="false">IF(C4611=1,MOD(ABS(SIN(ROW()*12.9898+'הדבקת לידים'!$F$2*78.233+IFERROR(--RIGHT(A4611,6),LEN(A4611))*0.0137+IFERROR(--RIGHT(B4611,6),LEN(B4611))*0.0071))*43758.5453,1),"")</f>
        <v/>
      </c>
      <c r="E4611" s="0" t="str">
        <f aca="false">IF(C4611=1,INT(MOD(ABS(SIN(D4611*7919.123+ROW()*0.618+'הדבקת לידים'!$F$2*1.3))*43758.5453,1)*1000000)*10000+ROW(),"")</f>
        <v/>
      </c>
      <c r="F4611" s="0" t="str">
        <f aca="false">IF(E4611="","",RANK(E4611,$E$2:$E$5001,1))</f>
        <v/>
      </c>
      <c r="G4611" s="0" t="n">
        <f aca="false">IF(A4611="",0,IF(SUMPRODUCT(--($A$2:$A$5001=A4611))&gt;1,1,0))</f>
        <v>0</v>
      </c>
      <c r="H4611" s="0" t="n">
        <f aca="false">ROW()-1</f>
        <v>4610</v>
      </c>
      <c r="I4611" s="0" t="str">
        <f aca="false">IF(OR(הגדרות!$E$6=0,H4611&gt;הגדרות!$E$5),"",IF(H4611-1&lt;הגדרות!$E$8*(הגדרות!$E$7+1),INT((H4611-1)/(הגדרות!$E$7+1)),הגדרות!$E$8+INT((H4611-1-הגדרות!$E$8*(הגדרות!$E$7+1))/הגדרות!$E$7)))</f>
        <v/>
      </c>
      <c r="J4611" s="0" t="str">
        <f aca="false">IF(I4611="","",IF(H4611-1&lt;הגדרות!$E$8*(הגדרות!$E$7+1),MOD(H4611-1,הגדרות!$E$7+1),MOD(H4611-1-הגדרות!$E$8*(הגדרות!$E$7+1),הגדרות!$E$7)))</f>
        <v/>
      </c>
      <c r="K4611" s="0" t="str">
        <f aca="false">IF(I4611="","",J4611*הגדרות!$E$6+I4611+1)</f>
        <v/>
      </c>
      <c r="L4611" s="0" t="str">
        <f aca="false">IF(K4611="","",MATCH(K4611,$F$2:$F$5001,0))</f>
        <v/>
      </c>
      <c r="M4611" s="0" t="str">
        <f aca="false">IF(I4611="","",INDEX(הגדרות!$A$2:$A$21,MOD(I4611+הגדרות!$E$9,הגדרות!$E$6)+1))</f>
        <v/>
      </c>
    </row>
    <row r="4612" customFormat="false" ht="15" hidden="false" customHeight="false" outlineLevel="0" collapsed="false">
      <c r="A4612" s="0" t="str">
        <f aca="false">IF('הדבקת לידים'!A4612="","",IF(ISNUMBER('הדבקת לידים'!A4612),IF(הגדרות!$E$2&gt;0,TEXT('הדבקת לידים'!A4612,REPT("0",הגדרות!$E$2)),TEXT('הדבקת לידים'!A4612,"0")),TRIM('הדבקת לידים'!A4612)))</f>
        <v/>
      </c>
      <c r="B4612" s="0" t="str">
        <f aca="false">IF('הדבקת לידים'!B4612="","",IF(ISNUMBER('הדבקת לידים'!B4612),IF(הגדרות!$E$3&gt;0,TEXT('הדבקת לידים'!B4612,REPT("0",הגדרות!$E$3)),TEXT('הדבקת לידים'!B4612,"0")),TRIM('הדבקת לידים'!B4612)))</f>
        <v/>
      </c>
      <c r="C4612" s="0" t="n">
        <f aca="false">IF(OR(A4612&lt;&gt;"",B4612&lt;&gt;""),1,0)</f>
        <v>0</v>
      </c>
      <c r="D4612" s="0" t="str">
        <f aca="false">IF(C4612=1,MOD(ABS(SIN(ROW()*12.9898+'הדבקת לידים'!$F$2*78.233+IFERROR(--RIGHT(A4612,6),LEN(A4612))*0.0137+IFERROR(--RIGHT(B4612,6),LEN(B4612))*0.0071))*43758.5453,1),"")</f>
        <v/>
      </c>
      <c r="E4612" s="0" t="str">
        <f aca="false">IF(C4612=1,INT(MOD(ABS(SIN(D4612*7919.123+ROW()*0.618+'הדבקת לידים'!$F$2*1.3))*43758.5453,1)*1000000)*10000+ROW(),"")</f>
        <v/>
      </c>
      <c r="F4612" s="0" t="str">
        <f aca="false">IF(E4612="","",RANK(E4612,$E$2:$E$5001,1))</f>
        <v/>
      </c>
      <c r="G4612" s="0" t="n">
        <f aca="false">IF(A4612="",0,IF(SUMPRODUCT(--($A$2:$A$5001=A4612))&gt;1,1,0))</f>
        <v>0</v>
      </c>
      <c r="H4612" s="0" t="n">
        <f aca="false">ROW()-1</f>
        <v>4611</v>
      </c>
      <c r="I4612" s="0" t="str">
        <f aca="false">IF(OR(הגדרות!$E$6=0,H4612&gt;הגדרות!$E$5),"",IF(H4612-1&lt;הגדרות!$E$8*(הגדרות!$E$7+1),INT((H4612-1)/(הגדרות!$E$7+1)),הגדרות!$E$8+INT((H4612-1-הגדרות!$E$8*(הגדרות!$E$7+1))/הגדרות!$E$7)))</f>
        <v/>
      </c>
      <c r="J4612" s="0" t="str">
        <f aca="false">IF(I4612="","",IF(H4612-1&lt;הגדרות!$E$8*(הגדרות!$E$7+1),MOD(H4612-1,הגדרות!$E$7+1),MOD(H4612-1-הגדרות!$E$8*(הגדרות!$E$7+1),הגדרות!$E$7)))</f>
        <v/>
      </c>
      <c r="K4612" s="0" t="str">
        <f aca="false">IF(I4612="","",J4612*הגדרות!$E$6+I4612+1)</f>
        <v/>
      </c>
      <c r="L4612" s="0" t="str">
        <f aca="false">IF(K4612="","",MATCH(K4612,$F$2:$F$5001,0))</f>
        <v/>
      </c>
      <c r="M4612" s="0" t="str">
        <f aca="false">IF(I4612="","",INDEX(הגדרות!$A$2:$A$21,MOD(I4612+הגדרות!$E$9,הגדרות!$E$6)+1))</f>
        <v/>
      </c>
    </row>
    <row r="4613" customFormat="false" ht="15" hidden="false" customHeight="false" outlineLevel="0" collapsed="false">
      <c r="A4613" s="0" t="str">
        <f aca="false">IF('הדבקת לידים'!A4613="","",IF(ISNUMBER('הדבקת לידים'!A4613),IF(הגדרות!$E$2&gt;0,TEXT('הדבקת לידים'!A4613,REPT("0",הגדרות!$E$2)),TEXT('הדבקת לידים'!A4613,"0")),TRIM('הדבקת לידים'!A4613)))</f>
        <v/>
      </c>
      <c r="B4613" s="0" t="str">
        <f aca="false">IF('הדבקת לידים'!B4613="","",IF(ISNUMBER('הדבקת לידים'!B4613),IF(הגדרות!$E$3&gt;0,TEXT('הדבקת לידים'!B4613,REPT("0",הגדרות!$E$3)),TEXT('הדבקת לידים'!B4613,"0")),TRIM('הדבקת לידים'!B4613)))</f>
        <v/>
      </c>
      <c r="C4613" s="0" t="n">
        <f aca="false">IF(OR(A4613&lt;&gt;"",B4613&lt;&gt;""),1,0)</f>
        <v>0</v>
      </c>
      <c r="D4613" s="0" t="str">
        <f aca="false">IF(C4613=1,MOD(ABS(SIN(ROW()*12.9898+'הדבקת לידים'!$F$2*78.233+IFERROR(--RIGHT(A4613,6),LEN(A4613))*0.0137+IFERROR(--RIGHT(B4613,6),LEN(B4613))*0.0071))*43758.5453,1),"")</f>
        <v/>
      </c>
      <c r="E4613" s="0" t="str">
        <f aca="false">IF(C4613=1,INT(MOD(ABS(SIN(D4613*7919.123+ROW()*0.618+'הדבקת לידים'!$F$2*1.3))*43758.5453,1)*1000000)*10000+ROW(),"")</f>
        <v/>
      </c>
      <c r="F4613" s="0" t="str">
        <f aca="false">IF(E4613="","",RANK(E4613,$E$2:$E$5001,1))</f>
        <v/>
      </c>
      <c r="G4613" s="0" t="n">
        <f aca="false">IF(A4613="",0,IF(SUMPRODUCT(--($A$2:$A$5001=A4613))&gt;1,1,0))</f>
        <v>0</v>
      </c>
      <c r="H4613" s="0" t="n">
        <f aca="false">ROW()-1</f>
        <v>4612</v>
      </c>
      <c r="I4613" s="0" t="str">
        <f aca="false">IF(OR(הגדרות!$E$6=0,H4613&gt;הגדרות!$E$5),"",IF(H4613-1&lt;הגדרות!$E$8*(הגדרות!$E$7+1),INT((H4613-1)/(הגדרות!$E$7+1)),הגדרות!$E$8+INT((H4613-1-הגדרות!$E$8*(הגדרות!$E$7+1))/הגדרות!$E$7)))</f>
        <v/>
      </c>
      <c r="J4613" s="0" t="str">
        <f aca="false">IF(I4613="","",IF(H4613-1&lt;הגדרות!$E$8*(הגדרות!$E$7+1),MOD(H4613-1,הגדרות!$E$7+1),MOD(H4613-1-הגדרות!$E$8*(הגדרות!$E$7+1),הגדרות!$E$7)))</f>
        <v/>
      </c>
      <c r="K4613" s="0" t="str">
        <f aca="false">IF(I4613="","",J4613*הגדרות!$E$6+I4613+1)</f>
        <v/>
      </c>
      <c r="L4613" s="0" t="str">
        <f aca="false">IF(K4613="","",MATCH(K4613,$F$2:$F$5001,0))</f>
        <v/>
      </c>
      <c r="M4613" s="0" t="str">
        <f aca="false">IF(I4613="","",INDEX(הגדרות!$A$2:$A$21,MOD(I4613+הגדרות!$E$9,הגדרות!$E$6)+1))</f>
        <v/>
      </c>
    </row>
    <row r="4614" customFormat="false" ht="15" hidden="false" customHeight="false" outlineLevel="0" collapsed="false">
      <c r="A4614" s="0" t="str">
        <f aca="false">IF('הדבקת לידים'!A4614="","",IF(ISNUMBER('הדבקת לידים'!A4614),IF(הגדרות!$E$2&gt;0,TEXT('הדבקת לידים'!A4614,REPT("0",הגדרות!$E$2)),TEXT('הדבקת לידים'!A4614,"0")),TRIM('הדבקת לידים'!A4614)))</f>
        <v/>
      </c>
      <c r="B4614" s="0" t="str">
        <f aca="false">IF('הדבקת לידים'!B4614="","",IF(ISNUMBER('הדבקת לידים'!B4614),IF(הגדרות!$E$3&gt;0,TEXT('הדבקת לידים'!B4614,REPT("0",הגדרות!$E$3)),TEXT('הדבקת לידים'!B4614,"0")),TRIM('הדבקת לידים'!B4614)))</f>
        <v/>
      </c>
      <c r="C4614" s="0" t="n">
        <f aca="false">IF(OR(A4614&lt;&gt;"",B4614&lt;&gt;""),1,0)</f>
        <v>0</v>
      </c>
      <c r="D4614" s="0" t="str">
        <f aca="false">IF(C4614=1,MOD(ABS(SIN(ROW()*12.9898+'הדבקת לידים'!$F$2*78.233+IFERROR(--RIGHT(A4614,6),LEN(A4614))*0.0137+IFERROR(--RIGHT(B4614,6),LEN(B4614))*0.0071))*43758.5453,1),"")</f>
        <v/>
      </c>
      <c r="E4614" s="0" t="str">
        <f aca="false">IF(C4614=1,INT(MOD(ABS(SIN(D4614*7919.123+ROW()*0.618+'הדבקת לידים'!$F$2*1.3))*43758.5453,1)*1000000)*10000+ROW(),"")</f>
        <v/>
      </c>
      <c r="F4614" s="0" t="str">
        <f aca="false">IF(E4614="","",RANK(E4614,$E$2:$E$5001,1))</f>
        <v/>
      </c>
      <c r="G4614" s="0" t="n">
        <f aca="false">IF(A4614="",0,IF(SUMPRODUCT(--($A$2:$A$5001=A4614))&gt;1,1,0))</f>
        <v>0</v>
      </c>
      <c r="H4614" s="0" t="n">
        <f aca="false">ROW()-1</f>
        <v>4613</v>
      </c>
      <c r="I4614" s="0" t="str">
        <f aca="false">IF(OR(הגדרות!$E$6=0,H4614&gt;הגדרות!$E$5),"",IF(H4614-1&lt;הגדרות!$E$8*(הגדרות!$E$7+1),INT((H4614-1)/(הגדרות!$E$7+1)),הגדרות!$E$8+INT((H4614-1-הגדרות!$E$8*(הגדרות!$E$7+1))/הגדרות!$E$7)))</f>
        <v/>
      </c>
      <c r="J4614" s="0" t="str">
        <f aca="false">IF(I4614="","",IF(H4614-1&lt;הגדרות!$E$8*(הגדרות!$E$7+1),MOD(H4614-1,הגדרות!$E$7+1),MOD(H4614-1-הגדרות!$E$8*(הגדרות!$E$7+1),הגדרות!$E$7)))</f>
        <v/>
      </c>
      <c r="K4614" s="0" t="str">
        <f aca="false">IF(I4614="","",J4614*הגדרות!$E$6+I4614+1)</f>
        <v/>
      </c>
      <c r="L4614" s="0" t="str">
        <f aca="false">IF(K4614="","",MATCH(K4614,$F$2:$F$5001,0))</f>
        <v/>
      </c>
      <c r="M4614" s="0" t="str">
        <f aca="false">IF(I4614="","",INDEX(הגדרות!$A$2:$A$21,MOD(I4614+הגדרות!$E$9,הגדרות!$E$6)+1))</f>
        <v/>
      </c>
    </row>
    <row r="4615" customFormat="false" ht="15" hidden="false" customHeight="false" outlineLevel="0" collapsed="false">
      <c r="A4615" s="0" t="str">
        <f aca="false">IF('הדבקת לידים'!A4615="","",IF(ISNUMBER('הדבקת לידים'!A4615),IF(הגדרות!$E$2&gt;0,TEXT('הדבקת לידים'!A4615,REPT("0",הגדרות!$E$2)),TEXT('הדבקת לידים'!A4615,"0")),TRIM('הדבקת לידים'!A4615)))</f>
        <v/>
      </c>
      <c r="B4615" s="0" t="str">
        <f aca="false">IF('הדבקת לידים'!B4615="","",IF(ISNUMBER('הדבקת לידים'!B4615),IF(הגדרות!$E$3&gt;0,TEXT('הדבקת לידים'!B4615,REPT("0",הגדרות!$E$3)),TEXT('הדבקת לידים'!B4615,"0")),TRIM('הדבקת לידים'!B4615)))</f>
        <v/>
      </c>
      <c r="C4615" s="0" t="n">
        <f aca="false">IF(OR(A4615&lt;&gt;"",B4615&lt;&gt;""),1,0)</f>
        <v>0</v>
      </c>
      <c r="D4615" s="0" t="str">
        <f aca="false">IF(C4615=1,MOD(ABS(SIN(ROW()*12.9898+'הדבקת לידים'!$F$2*78.233+IFERROR(--RIGHT(A4615,6),LEN(A4615))*0.0137+IFERROR(--RIGHT(B4615,6),LEN(B4615))*0.0071))*43758.5453,1),"")</f>
        <v/>
      </c>
      <c r="E4615" s="0" t="str">
        <f aca="false">IF(C4615=1,INT(MOD(ABS(SIN(D4615*7919.123+ROW()*0.618+'הדבקת לידים'!$F$2*1.3))*43758.5453,1)*1000000)*10000+ROW(),"")</f>
        <v/>
      </c>
      <c r="F4615" s="0" t="str">
        <f aca="false">IF(E4615="","",RANK(E4615,$E$2:$E$5001,1))</f>
        <v/>
      </c>
      <c r="G4615" s="0" t="n">
        <f aca="false">IF(A4615="",0,IF(SUMPRODUCT(--($A$2:$A$5001=A4615))&gt;1,1,0))</f>
        <v>0</v>
      </c>
      <c r="H4615" s="0" t="n">
        <f aca="false">ROW()-1</f>
        <v>4614</v>
      </c>
      <c r="I4615" s="0" t="str">
        <f aca="false">IF(OR(הגדרות!$E$6=0,H4615&gt;הגדרות!$E$5),"",IF(H4615-1&lt;הגדרות!$E$8*(הגדרות!$E$7+1),INT((H4615-1)/(הגדרות!$E$7+1)),הגדרות!$E$8+INT((H4615-1-הגדרות!$E$8*(הגדרות!$E$7+1))/הגדרות!$E$7)))</f>
        <v/>
      </c>
      <c r="J4615" s="0" t="str">
        <f aca="false">IF(I4615="","",IF(H4615-1&lt;הגדרות!$E$8*(הגדרות!$E$7+1),MOD(H4615-1,הגדרות!$E$7+1),MOD(H4615-1-הגדרות!$E$8*(הגדרות!$E$7+1),הגדרות!$E$7)))</f>
        <v/>
      </c>
      <c r="K4615" s="0" t="str">
        <f aca="false">IF(I4615="","",J4615*הגדרות!$E$6+I4615+1)</f>
        <v/>
      </c>
      <c r="L4615" s="0" t="str">
        <f aca="false">IF(K4615="","",MATCH(K4615,$F$2:$F$5001,0))</f>
        <v/>
      </c>
      <c r="M4615" s="0" t="str">
        <f aca="false">IF(I4615="","",INDEX(הגדרות!$A$2:$A$21,MOD(I4615+הגדרות!$E$9,הגדרות!$E$6)+1))</f>
        <v/>
      </c>
    </row>
    <row r="4616" customFormat="false" ht="15" hidden="false" customHeight="false" outlineLevel="0" collapsed="false">
      <c r="A4616" s="0" t="str">
        <f aca="false">IF('הדבקת לידים'!A4616="","",IF(ISNUMBER('הדבקת לידים'!A4616),IF(הגדרות!$E$2&gt;0,TEXT('הדבקת לידים'!A4616,REPT("0",הגדרות!$E$2)),TEXT('הדבקת לידים'!A4616,"0")),TRIM('הדבקת לידים'!A4616)))</f>
        <v/>
      </c>
      <c r="B4616" s="0" t="str">
        <f aca="false">IF('הדבקת לידים'!B4616="","",IF(ISNUMBER('הדבקת לידים'!B4616),IF(הגדרות!$E$3&gt;0,TEXT('הדבקת לידים'!B4616,REPT("0",הגדרות!$E$3)),TEXT('הדבקת לידים'!B4616,"0")),TRIM('הדבקת לידים'!B4616)))</f>
        <v/>
      </c>
      <c r="C4616" s="0" t="n">
        <f aca="false">IF(OR(A4616&lt;&gt;"",B4616&lt;&gt;""),1,0)</f>
        <v>0</v>
      </c>
      <c r="D4616" s="0" t="str">
        <f aca="false">IF(C4616=1,MOD(ABS(SIN(ROW()*12.9898+'הדבקת לידים'!$F$2*78.233+IFERROR(--RIGHT(A4616,6),LEN(A4616))*0.0137+IFERROR(--RIGHT(B4616,6),LEN(B4616))*0.0071))*43758.5453,1),"")</f>
        <v/>
      </c>
      <c r="E4616" s="0" t="str">
        <f aca="false">IF(C4616=1,INT(MOD(ABS(SIN(D4616*7919.123+ROW()*0.618+'הדבקת לידים'!$F$2*1.3))*43758.5453,1)*1000000)*10000+ROW(),"")</f>
        <v/>
      </c>
      <c r="F4616" s="0" t="str">
        <f aca="false">IF(E4616="","",RANK(E4616,$E$2:$E$5001,1))</f>
        <v/>
      </c>
      <c r="G4616" s="0" t="n">
        <f aca="false">IF(A4616="",0,IF(SUMPRODUCT(--($A$2:$A$5001=A4616))&gt;1,1,0))</f>
        <v>0</v>
      </c>
      <c r="H4616" s="0" t="n">
        <f aca="false">ROW()-1</f>
        <v>4615</v>
      </c>
      <c r="I4616" s="0" t="str">
        <f aca="false">IF(OR(הגדרות!$E$6=0,H4616&gt;הגדרות!$E$5),"",IF(H4616-1&lt;הגדרות!$E$8*(הגדרות!$E$7+1),INT((H4616-1)/(הגדרות!$E$7+1)),הגדרות!$E$8+INT((H4616-1-הגדרות!$E$8*(הגדרות!$E$7+1))/הגדרות!$E$7)))</f>
        <v/>
      </c>
      <c r="J4616" s="0" t="str">
        <f aca="false">IF(I4616="","",IF(H4616-1&lt;הגדרות!$E$8*(הגדרות!$E$7+1),MOD(H4616-1,הגדרות!$E$7+1),MOD(H4616-1-הגדרות!$E$8*(הגדרות!$E$7+1),הגדרות!$E$7)))</f>
        <v/>
      </c>
      <c r="K4616" s="0" t="str">
        <f aca="false">IF(I4616="","",J4616*הגדרות!$E$6+I4616+1)</f>
        <v/>
      </c>
      <c r="L4616" s="0" t="str">
        <f aca="false">IF(K4616="","",MATCH(K4616,$F$2:$F$5001,0))</f>
        <v/>
      </c>
      <c r="M4616" s="0" t="str">
        <f aca="false">IF(I4616="","",INDEX(הגדרות!$A$2:$A$21,MOD(I4616+הגדרות!$E$9,הגדרות!$E$6)+1))</f>
        <v/>
      </c>
    </row>
    <row r="4617" customFormat="false" ht="15" hidden="false" customHeight="false" outlineLevel="0" collapsed="false">
      <c r="A4617" s="0" t="str">
        <f aca="false">IF('הדבקת לידים'!A4617="","",IF(ISNUMBER('הדבקת לידים'!A4617),IF(הגדרות!$E$2&gt;0,TEXT('הדבקת לידים'!A4617,REPT("0",הגדרות!$E$2)),TEXT('הדבקת לידים'!A4617,"0")),TRIM('הדבקת לידים'!A4617)))</f>
        <v/>
      </c>
      <c r="B4617" s="0" t="str">
        <f aca="false">IF('הדבקת לידים'!B4617="","",IF(ISNUMBER('הדבקת לידים'!B4617),IF(הגדרות!$E$3&gt;0,TEXT('הדבקת לידים'!B4617,REPT("0",הגדרות!$E$3)),TEXT('הדבקת לידים'!B4617,"0")),TRIM('הדבקת לידים'!B4617)))</f>
        <v/>
      </c>
      <c r="C4617" s="0" t="n">
        <f aca="false">IF(OR(A4617&lt;&gt;"",B4617&lt;&gt;""),1,0)</f>
        <v>0</v>
      </c>
      <c r="D4617" s="0" t="str">
        <f aca="false">IF(C4617=1,MOD(ABS(SIN(ROW()*12.9898+'הדבקת לידים'!$F$2*78.233+IFERROR(--RIGHT(A4617,6),LEN(A4617))*0.0137+IFERROR(--RIGHT(B4617,6),LEN(B4617))*0.0071))*43758.5453,1),"")</f>
        <v/>
      </c>
      <c r="E4617" s="0" t="str">
        <f aca="false">IF(C4617=1,INT(MOD(ABS(SIN(D4617*7919.123+ROW()*0.618+'הדבקת לידים'!$F$2*1.3))*43758.5453,1)*1000000)*10000+ROW(),"")</f>
        <v/>
      </c>
      <c r="F4617" s="0" t="str">
        <f aca="false">IF(E4617="","",RANK(E4617,$E$2:$E$5001,1))</f>
        <v/>
      </c>
      <c r="G4617" s="0" t="n">
        <f aca="false">IF(A4617="",0,IF(SUMPRODUCT(--($A$2:$A$5001=A4617))&gt;1,1,0))</f>
        <v>0</v>
      </c>
      <c r="H4617" s="0" t="n">
        <f aca="false">ROW()-1</f>
        <v>4616</v>
      </c>
      <c r="I4617" s="0" t="str">
        <f aca="false">IF(OR(הגדרות!$E$6=0,H4617&gt;הגדרות!$E$5),"",IF(H4617-1&lt;הגדרות!$E$8*(הגדרות!$E$7+1),INT((H4617-1)/(הגדרות!$E$7+1)),הגדרות!$E$8+INT((H4617-1-הגדרות!$E$8*(הגדרות!$E$7+1))/הגדרות!$E$7)))</f>
        <v/>
      </c>
      <c r="J4617" s="0" t="str">
        <f aca="false">IF(I4617="","",IF(H4617-1&lt;הגדרות!$E$8*(הגדרות!$E$7+1),MOD(H4617-1,הגדרות!$E$7+1),MOD(H4617-1-הגדרות!$E$8*(הגדרות!$E$7+1),הגדרות!$E$7)))</f>
        <v/>
      </c>
      <c r="K4617" s="0" t="str">
        <f aca="false">IF(I4617="","",J4617*הגדרות!$E$6+I4617+1)</f>
        <v/>
      </c>
      <c r="L4617" s="0" t="str">
        <f aca="false">IF(K4617="","",MATCH(K4617,$F$2:$F$5001,0))</f>
        <v/>
      </c>
      <c r="M4617" s="0" t="str">
        <f aca="false">IF(I4617="","",INDEX(הגדרות!$A$2:$A$21,MOD(I4617+הגדרות!$E$9,הגדרות!$E$6)+1))</f>
        <v/>
      </c>
    </row>
    <row r="4618" customFormat="false" ht="15" hidden="false" customHeight="false" outlineLevel="0" collapsed="false">
      <c r="A4618" s="0" t="str">
        <f aca="false">IF('הדבקת לידים'!A4618="","",IF(ISNUMBER('הדבקת לידים'!A4618),IF(הגדרות!$E$2&gt;0,TEXT('הדבקת לידים'!A4618,REPT("0",הגדרות!$E$2)),TEXT('הדבקת לידים'!A4618,"0")),TRIM('הדבקת לידים'!A4618)))</f>
        <v/>
      </c>
      <c r="B4618" s="0" t="str">
        <f aca="false">IF('הדבקת לידים'!B4618="","",IF(ISNUMBER('הדבקת לידים'!B4618),IF(הגדרות!$E$3&gt;0,TEXT('הדבקת לידים'!B4618,REPT("0",הגדרות!$E$3)),TEXT('הדבקת לידים'!B4618,"0")),TRIM('הדבקת לידים'!B4618)))</f>
        <v/>
      </c>
      <c r="C4618" s="0" t="n">
        <f aca="false">IF(OR(A4618&lt;&gt;"",B4618&lt;&gt;""),1,0)</f>
        <v>0</v>
      </c>
      <c r="D4618" s="0" t="str">
        <f aca="false">IF(C4618=1,MOD(ABS(SIN(ROW()*12.9898+'הדבקת לידים'!$F$2*78.233+IFERROR(--RIGHT(A4618,6),LEN(A4618))*0.0137+IFERROR(--RIGHT(B4618,6),LEN(B4618))*0.0071))*43758.5453,1),"")</f>
        <v/>
      </c>
      <c r="E4618" s="0" t="str">
        <f aca="false">IF(C4618=1,INT(MOD(ABS(SIN(D4618*7919.123+ROW()*0.618+'הדבקת לידים'!$F$2*1.3))*43758.5453,1)*1000000)*10000+ROW(),"")</f>
        <v/>
      </c>
      <c r="F4618" s="0" t="str">
        <f aca="false">IF(E4618="","",RANK(E4618,$E$2:$E$5001,1))</f>
        <v/>
      </c>
      <c r="G4618" s="0" t="n">
        <f aca="false">IF(A4618="",0,IF(SUMPRODUCT(--($A$2:$A$5001=A4618))&gt;1,1,0))</f>
        <v>0</v>
      </c>
      <c r="H4618" s="0" t="n">
        <f aca="false">ROW()-1</f>
        <v>4617</v>
      </c>
      <c r="I4618" s="0" t="str">
        <f aca="false">IF(OR(הגדרות!$E$6=0,H4618&gt;הגדרות!$E$5),"",IF(H4618-1&lt;הגדרות!$E$8*(הגדרות!$E$7+1),INT((H4618-1)/(הגדרות!$E$7+1)),הגדרות!$E$8+INT((H4618-1-הגדרות!$E$8*(הגדרות!$E$7+1))/הגדרות!$E$7)))</f>
        <v/>
      </c>
      <c r="J4618" s="0" t="str">
        <f aca="false">IF(I4618="","",IF(H4618-1&lt;הגדרות!$E$8*(הגדרות!$E$7+1),MOD(H4618-1,הגדרות!$E$7+1),MOD(H4618-1-הגדרות!$E$8*(הגדרות!$E$7+1),הגדרות!$E$7)))</f>
        <v/>
      </c>
      <c r="K4618" s="0" t="str">
        <f aca="false">IF(I4618="","",J4618*הגדרות!$E$6+I4618+1)</f>
        <v/>
      </c>
      <c r="L4618" s="0" t="str">
        <f aca="false">IF(K4618="","",MATCH(K4618,$F$2:$F$5001,0))</f>
        <v/>
      </c>
      <c r="M4618" s="0" t="str">
        <f aca="false">IF(I4618="","",INDEX(הגדרות!$A$2:$A$21,MOD(I4618+הגדרות!$E$9,הגדרות!$E$6)+1))</f>
        <v/>
      </c>
    </row>
    <row r="4619" customFormat="false" ht="15" hidden="false" customHeight="false" outlineLevel="0" collapsed="false">
      <c r="A4619" s="0" t="str">
        <f aca="false">IF('הדבקת לידים'!A4619="","",IF(ISNUMBER('הדבקת לידים'!A4619),IF(הגדרות!$E$2&gt;0,TEXT('הדבקת לידים'!A4619,REPT("0",הגדרות!$E$2)),TEXT('הדבקת לידים'!A4619,"0")),TRIM('הדבקת לידים'!A4619)))</f>
        <v/>
      </c>
      <c r="B4619" s="0" t="str">
        <f aca="false">IF('הדבקת לידים'!B4619="","",IF(ISNUMBER('הדבקת לידים'!B4619),IF(הגדרות!$E$3&gt;0,TEXT('הדבקת לידים'!B4619,REPT("0",הגדרות!$E$3)),TEXT('הדבקת לידים'!B4619,"0")),TRIM('הדבקת לידים'!B4619)))</f>
        <v/>
      </c>
      <c r="C4619" s="0" t="n">
        <f aca="false">IF(OR(A4619&lt;&gt;"",B4619&lt;&gt;""),1,0)</f>
        <v>0</v>
      </c>
      <c r="D4619" s="0" t="str">
        <f aca="false">IF(C4619=1,MOD(ABS(SIN(ROW()*12.9898+'הדבקת לידים'!$F$2*78.233+IFERROR(--RIGHT(A4619,6),LEN(A4619))*0.0137+IFERROR(--RIGHT(B4619,6),LEN(B4619))*0.0071))*43758.5453,1),"")</f>
        <v/>
      </c>
      <c r="E4619" s="0" t="str">
        <f aca="false">IF(C4619=1,INT(MOD(ABS(SIN(D4619*7919.123+ROW()*0.618+'הדבקת לידים'!$F$2*1.3))*43758.5453,1)*1000000)*10000+ROW(),"")</f>
        <v/>
      </c>
      <c r="F4619" s="0" t="str">
        <f aca="false">IF(E4619="","",RANK(E4619,$E$2:$E$5001,1))</f>
        <v/>
      </c>
      <c r="G4619" s="0" t="n">
        <f aca="false">IF(A4619="",0,IF(SUMPRODUCT(--($A$2:$A$5001=A4619))&gt;1,1,0))</f>
        <v>0</v>
      </c>
      <c r="H4619" s="0" t="n">
        <f aca="false">ROW()-1</f>
        <v>4618</v>
      </c>
      <c r="I4619" s="0" t="str">
        <f aca="false">IF(OR(הגדרות!$E$6=0,H4619&gt;הגדרות!$E$5),"",IF(H4619-1&lt;הגדרות!$E$8*(הגדרות!$E$7+1),INT((H4619-1)/(הגדרות!$E$7+1)),הגדרות!$E$8+INT((H4619-1-הגדרות!$E$8*(הגדרות!$E$7+1))/הגדרות!$E$7)))</f>
        <v/>
      </c>
      <c r="J4619" s="0" t="str">
        <f aca="false">IF(I4619="","",IF(H4619-1&lt;הגדרות!$E$8*(הגדרות!$E$7+1),MOD(H4619-1,הגדרות!$E$7+1),MOD(H4619-1-הגדרות!$E$8*(הגדרות!$E$7+1),הגדרות!$E$7)))</f>
        <v/>
      </c>
      <c r="K4619" s="0" t="str">
        <f aca="false">IF(I4619="","",J4619*הגדרות!$E$6+I4619+1)</f>
        <v/>
      </c>
      <c r="L4619" s="0" t="str">
        <f aca="false">IF(K4619="","",MATCH(K4619,$F$2:$F$5001,0))</f>
        <v/>
      </c>
      <c r="M4619" s="0" t="str">
        <f aca="false">IF(I4619="","",INDEX(הגדרות!$A$2:$A$21,MOD(I4619+הגדרות!$E$9,הגדרות!$E$6)+1))</f>
        <v/>
      </c>
    </row>
    <row r="4620" customFormat="false" ht="15" hidden="false" customHeight="false" outlineLevel="0" collapsed="false">
      <c r="A4620" s="0" t="str">
        <f aca="false">IF('הדבקת לידים'!A4620="","",IF(ISNUMBER('הדבקת לידים'!A4620),IF(הגדרות!$E$2&gt;0,TEXT('הדבקת לידים'!A4620,REPT("0",הגדרות!$E$2)),TEXT('הדבקת לידים'!A4620,"0")),TRIM('הדבקת לידים'!A4620)))</f>
        <v/>
      </c>
      <c r="B4620" s="0" t="str">
        <f aca="false">IF('הדבקת לידים'!B4620="","",IF(ISNUMBER('הדבקת לידים'!B4620),IF(הגדרות!$E$3&gt;0,TEXT('הדבקת לידים'!B4620,REPT("0",הגדרות!$E$3)),TEXT('הדבקת לידים'!B4620,"0")),TRIM('הדבקת לידים'!B4620)))</f>
        <v/>
      </c>
      <c r="C4620" s="0" t="n">
        <f aca="false">IF(OR(A4620&lt;&gt;"",B4620&lt;&gt;""),1,0)</f>
        <v>0</v>
      </c>
      <c r="D4620" s="0" t="str">
        <f aca="false">IF(C4620=1,MOD(ABS(SIN(ROW()*12.9898+'הדבקת לידים'!$F$2*78.233+IFERROR(--RIGHT(A4620,6),LEN(A4620))*0.0137+IFERROR(--RIGHT(B4620,6),LEN(B4620))*0.0071))*43758.5453,1),"")</f>
        <v/>
      </c>
      <c r="E4620" s="0" t="str">
        <f aca="false">IF(C4620=1,INT(MOD(ABS(SIN(D4620*7919.123+ROW()*0.618+'הדבקת לידים'!$F$2*1.3))*43758.5453,1)*1000000)*10000+ROW(),"")</f>
        <v/>
      </c>
      <c r="F4620" s="0" t="str">
        <f aca="false">IF(E4620="","",RANK(E4620,$E$2:$E$5001,1))</f>
        <v/>
      </c>
      <c r="G4620" s="0" t="n">
        <f aca="false">IF(A4620="",0,IF(SUMPRODUCT(--($A$2:$A$5001=A4620))&gt;1,1,0))</f>
        <v>0</v>
      </c>
      <c r="H4620" s="0" t="n">
        <f aca="false">ROW()-1</f>
        <v>4619</v>
      </c>
      <c r="I4620" s="0" t="str">
        <f aca="false">IF(OR(הגדרות!$E$6=0,H4620&gt;הגדרות!$E$5),"",IF(H4620-1&lt;הגדרות!$E$8*(הגדרות!$E$7+1),INT((H4620-1)/(הגדרות!$E$7+1)),הגדרות!$E$8+INT((H4620-1-הגדרות!$E$8*(הגדרות!$E$7+1))/הגדרות!$E$7)))</f>
        <v/>
      </c>
      <c r="J4620" s="0" t="str">
        <f aca="false">IF(I4620="","",IF(H4620-1&lt;הגדרות!$E$8*(הגדרות!$E$7+1),MOD(H4620-1,הגדרות!$E$7+1),MOD(H4620-1-הגדרות!$E$8*(הגדרות!$E$7+1),הגדרות!$E$7)))</f>
        <v/>
      </c>
      <c r="K4620" s="0" t="str">
        <f aca="false">IF(I4620="","",J4620*הגדרות!$E$6+I4620+1)</f>
        <v/>
      </c>
      <c r="L4620" s="0" t="str">
        <f aca="false">IF(K4620="","",MATCH(K4620,$F$2:$F$5001,0))</f>
        <v/>
      </c>
      <c r="M4620" s="0" t="str">
        <f aca="false">IF(I4620="","",INDEX(הגדרות!$A$2:$A$21,MOD(I4620+הגדרות!$E$9,הגדרות!$E$6)+1))</f>
        <v/>
      </c>
    </row>
    <row r="4621" customFormat="false" ht="15" hidden="false" customHeight="false" outlineLevel="0" collapsed="false">
      <c r="A4621" s="0" t="str">
        <f aca="false">IF('הדבקת לידים'!A4621="","",IF(ISNUMBER('הדבקת לידים'!A4621),IF(הגדרות!$E$2&gt;0,TEXT('הדבקת לידים'!A4621,REPT("0",הגדרות!$E$2)),TEXT('הדבקת לידים'!A4621,"0")),TRIM('הדבקת לידים'!A4621)))</f>
        <v/>
      </c>
      <c r="B4621" s="0" t="str">
        <f aca="false">IF('הדבקת לידים'!B4621="","",IF(ISNUMBER('הדבקת לידים'!B4621),IF(הגדרות!$E$3&gt;0,TEXT('הדבקת לידים'!B4621,REPT("0",הגדרות!$E$3)),TEXT('הדבקת לידים'!B4621,"0")),TRIM('הדבקת לידים'!B4621)))</f>
        <v/>
      </c>
      <c r="C4621" s="0" t="n">
        <f aca="false">IF(OR(A4621&lt;&gt;"",B4621&lt;&gt;""),1,0)</f>
        <v>0</v>
      </c>
      <c r="D4621" s="0" t="str">
        <f aca="false">IF(C4621=1,MOD(ABS(SIN(ROW()*12.9898+'הדבקת לידים'!$F$2*78.233+IFERROR(--RIGHT(A4621,6),LEN(A4621))*0.0137+IFERROR(--RIGHT(B4621,6),LEN(B4621))*0.0071))*43758.5453,1),"")</f>
        <v/>
      </c>
      <c r="E4621" s="0" t="str">
        <f aca="false">IF(C4621=1,INT(MOD(ABS(SIN(D4621*7919.123+ROW()*0.618+'הדבקת לידים'!$F$2*1.3))*43758.5453,1)*1000000)*10000+ROW(),"")</f>
        <v/>
      </c>
      <c r="F4621" s="0" t="str">
        <f aca="false">IF(E4621="","",RANK(E4621,$E$2:$E$5001,1))</f>
        <v/>
      </c>
      <c r="G4621" s="0" t="n">
        <f aca="false">IF(A4621="",0,IF(SUMPRODUCT(--($A$2:$A$5001=A4621))&gt;1,1,0))</f>
        <v>0</v>
      </c>
      <c r="H4621" s="0" t="n">
        <f aca="false">ROW()-1</f>
        <v>4620</v>
      </c>
      <c r="I4621" s="0" t="str">
        <f aca="false">IF(OR(הגדרות!$E$6=0,H4621&gt;הגדרות!$E$5),"",IF(H4621-1&lt;הגדרות!$E$8*(הגדרות!$E$7+1),INT((H4621-1)/(הגדרות!$E$7+1)),הגדרות!$E$8+INT((H4621-1-הגדרות!$E$8*(הגדרות!$E$7+1))/הגדרות!$E$7)))</f>
        <v/>
      </c>
      <c r="J4621" s="0" t="str">
        <f aca="false">IF(I4621="","",IF(H4621-1&lt;הגדרות!$E$8*(הגדרות!$E$7+1),MOD(H4621-1,הגדרות!$E$7+1),MOD(H4621-1-הגדרות!$E$8*(הגדרות!$E$7+1),הגדרות!$E$7)))</f>
        <v/>
      </c>
      <c r="K4621" s="0" t="str">
        <f aca="false">IF(I4621="","",J4621*הגדרות!$E$6+I4621+1)</f>
        <v/>
      </c>
      <c r="L4621" s="0" t="str">
        <f aca="false">IF(K4621="","",MATCH(K4621,$F$2:$F$5001,0))</f>
        <v/>
      </c>
      <c r="M4621" s="0" t="str">
        <f aca="false">IF(I4621="","",INDEX(הגדרות!$A$2:$A$21,MOD(I4621+הגדרות!$E$9,הגדרות!$E$6)+1))</f>
        <v/>
      </c>
    </row>
    <row r="4622" customFormat="false" ht="15" hidden="false" customHeight="false" outlineLevel="0" collapsed="false">
      <c r="A4622" s="0" t="str">
        <f aca="false">IF('הדבקת לידים'!A4622="","",IF(ISNUMBER('הדבקת לידים'!A4622),IF(הגדרות!$E$2&gt;0,TEXT('הדבקת לידים'!A4622,REPT("0",הגדרות!$E$2)),TEXT('הדבקת לידים'!A4622,"0")),TRIM('הדבקת לידים'!A4622)))</f>
        <v/>
      </c>
      <c r="B4622" s="0" t="str">
        <f aca="false">IF('הדבקת לידים'!B4622="","",IF(ISNUMBER('הדבקת לידים'!B4622),IF(הגדרות!$E$3&gt;0,TEXT('הדבקת לידים'!B4622,REPT("0",הגדרות!$E$3)),TEXT('הדבקת לידים'!B4622,"0")),TRIM('הדבקת לידים'!B4622)))</f>
        <v/>
      </c>
      <c r="C4622" s="0" t="n">
        <f aca="false">IF(OR(A4622&lt;&gt;"",B4622&lt;&gt;""),1,0)</f>
        <v>0</v>
      </c>
      <c r="D4622" s="0" t="str">
        <f aca="false">IF(C4622=1,MOD(ABS(SIN(ROW()*12.9898+'הדבקת לידים'!$F$2*78.233+IFERROR(--RIGHT(A4622,6),LEN(A4622))*0.0137+IFERROR(--RIGHT(B4622,6),LEN(B4622))*0.0071))*43758.5453,1),"")</f>
        <v/>
      </c>
      <c r="E4622" s="0" t="str">
        <f aca="false">IF(C4622=1,INT(MOD(ABS(SIN(D4622*7919.123+ROW()*0.618+'הדבקת לידים'!$F$2*1.3))*43758.5453,1)*1000000)*10000+ROW(),"")</f>
        <v/>
      </c>
      <c r="F4622" s="0" t="str">
        <f aca="false">IF(E4622="","",RANK(E4622,$E$2:$E$5001,1))</f>
        <v/>
      </c>
      <c r="G4622" s="0" t="n">
        <f aca="false">IF(A4622="",0,IF(SUMPRODUCT(--($A$2:$A$5001=A4622))&gt;1,1,0))</f>
        <v>0</v>
      </c>
      <c r="H4622" s="0" t="n">
        <f aca="false">ROW()-1</f>
        <v>4621</v>
      </c>
      <c r="I4622" s="0" t="str">
        <f aca="false">IF(OR(הגדרות!$E$6=0,H4622&gt;הגדרות!$E$5),"",IF(H4622-1&lt;הגדרות!$E$8*(הגדרות!$E$7+1),INT((H4622-1)/(הגדרות!$E$7+1)),הגדרות!$E$8+INT((H4622-1-הגדרות!$E$8*(הגדרות!$E$7+1))/הגדרות!$E$7)))</f>
        <v/>
      </c>
      <c r="J4622" s="0" t="str">
        <f aca="false">IF(I4622="","",IF(H4622-1&lt;הגדרות!$E$8*(הגדרות!$E$7+1),MOD(H4622-1,הגדרות!$E$7+1),MOD(H4622-1-הגדרות!$E$8*(הגדרות!$E$7+1),הגדרות!$E$7)))</f>
        <v/>
      </c>
      <c r="K4622" s="0" t="str">
        <f aca="false">IF(I4622="","",J4622*הגדרות!$E$6+I4622+1)</f>
        <v/>
      </c>
      <c r="L4622" s="0" t="str">
        <f aca="false">IF(K4622="","",MATCH(K4622,$F$2:$F$5001,0))</f>
        <v/>
      </c>
      <c r="M4622" s="0" t="str">
        <f aca="false">IF(I4622="","",INDEX(הגדרות!$A$2:$A$21,MOD(I4622+הגדרות!$E$9,הגדרות!$E$6)+1))</f>
        <v/>
      </c>
    </row>
    <row r="4623" customFormat="false" ht="15" hidden="false" customHeight="false" outlineLevel="0" collapsed="false">
      <c r="A4623" s="0" t="str">
        <f aca="false">IF('הדבקת לידים'!A4623="","",IF(ISNUMBER('הדבקת לידים'!A4623),IF(הגדרות!$E$2&gt;0,TEXT('הדבקת לידים'!A4623,REPT("0",הגדרות!$E$2)),TEXT('הדבקת לידים'!A4623,"0")),TRIM('הדבקת לידים'!A4623)))</f>
        <v/>
      </c>
      <c r="B4623" s="0" t="str">
        <f aca="false">IF('הדבקת לידים'!B4623="","",IF(ISNUMBER('הדבקת לידים'!B4623),IF(הגדרות!$E$3&gt;0,TEXT('הדבקת לידים'!B4623,REPT("0",הגדרות!$E$3)),TEXT('הדבקת לידים'!B4623,"0")),TRIM('הדבקת לידים'!B4623)))</f>
        <v/>
      </c>
      <c r="C4623" s="0" t="n">
        <f aca="false">IF(OR(A4623&lt;&gt;"",B4623&lt;&gt;""),1,0)</f>
        <v>0</v>
      </c>
      <c r="D4623" s="0" t="str">
        <f aca="false">IF(C4623=1,MOD(ABS(SIN(ROW()*12.9898+'הדבקת לידים'!$F$2*78.233+IFERROR(--RIGHT(A4623,6),LEN(A4623))*0.0137+IFERROR(--RIGHT(B4623,6),LEN(B4623))*0.0071))*43758.5453,1),"")</f>
        <v/>
      </c>
      <c r="E4623" s="0" t="str">
        <f aca="false">IF(C4623=1,INT(MOD(ABS(SIN(D4623*7919.123+ROW()*0.618+'הדבקת לידים'!$F$2*1.3))*43758.5453,1)*1000000)*10000+ROW(),"")</f>
        <v/>
      </c>
      <c r="F4623" s="0" t="str">
        <f aca="false">IF(E4623="","",RANK(E4623,$E$2:$E$5001,1))</f>
        <v/>
      </c>
      <c r="G4623" s="0" t="n">
        <f aca="false">IF(A4623="",0,IF(SUMPRODUCT(--($A$2:$A$5001=A4623))&gt;1,1,0))</f>
        <v>0</v>
      </c>
      <c r="H4623" s="0" t="n">
        <f aca="false">ROW()-1</f>
        <v>4622</v>
      </c>
      <c r="I4623" s="0" t="str">
        <f aca="false">IF(OR(הגדרות!$E$6=0,H4623&gt;הגדרות!$E$5),"",IF(H4623-1&lt;הגדרות!$E$8*(הגדרות!$E$7+1),INT((H4623-1)/(הגדרות!$E$7+1)),הגדרות!$E$8+INT((H4623-1-הגדרות!$E$8*(הגדרות!$E$7+1))/הגדרות!$E$7)))</f>
        <v/>
      </c>
      <c r="J4623" s="0" t="str">
        <f aca="false">IF(I4623="","",IF(H4623-1&lt;הגדרות!$E$8*(הגדרות!$E$7+1),MOD(H4623-1,הגדרות!$E$7+1),MOD(H4623-1-הגדרות!$E$8*(הגדרות!$E$7+1),הגדרות!$E$7)))</f>
        <v/>
      </c>
      <c r="K4623" s="0" t="str">
        <f aca="false">IF(I4623="","",J4623*הגדרות!$E$6+I4623+1)</f>
        <v/>
      </c>
      <c r="L4623" s="0" t="str">
        <f aca="false">IF(K4623="","",MATCH(K4623,$F$2:$F$5001,0))</f>
        <v/>
      </c>
      <c r="M4623" s="0" t="str">
        <f aca="false">IF(I4623="","",INDEX(הגדרות!$A$2:$A$21,MOD(I4623+הגדרות!$E$9,הגדרות!$E$6)+1))</f>
        <v/>
      </c>
    </row>
    <row r="4624" customFormat="false" ht="15" hidden="false" customHeight="false" outlineLevel="0" collapsed="false">
      <c r="A4624" s="0" t="str">
        <f aca="false">IF('הדבקת לידים'!A4624="","",IF(ISNUMBER('הדבקת לידים'!A4624),IF(הגדרות!$E$2&gt;0,TEXT('הדבקת לידים'!A4624,REPT("0",הגדרות!$E$2)),TEXT('הדבקת לידים'!A4624,"0")),TRIM('הדבקת לידים'!A4624)))</f>
        <v/>
      </c>
      <c r="B4624" s="0" t="str">
        <f aca="false">IF('הדבקת לידים'!B4624="","",IF(ISNUMBER('הדבקת לידים'!B4624),IF(הגדרות!$E$3&gt;0,TEXT('הדבקת לידים'!B4624,REPT("0",הגדרות!$E$3)),TEXT('הדבקת לידים'!B4624,"0")),TRIM('הדבקת לידים'!B4624)))</f>
        <v/>
      </c>
      <c r="C4624" s="0" t="n">
        <f aca="false">IF(OR(A4624&lt;&gt;"",B4624&lt;&gt;""),1,0)</f>
        <v>0</v>
      </c>
      <c r="D4624" s="0" t="str">
        <f aca="false">IF(C4624=1,MOD(ABS(SIN(ROW()*12.9898+'הדבקת לידים'!$F$2*78.233+IFERROR(--RIGHT(A4624,6),LEN(A4624))*0.0137+IFERROR(--RIGHT(B4624,6),LEN(B4624))*0.0071))*43758.5453,1),"")</f>
        <v/>
      </c>
      <c r="E4624" s="0" t="str">
        <f aca="false">IF(C4624=1,INT(MOD(ABS(SIN(D4624*7919.123+ROW()*0.618+'הדבקת לידים'!$F$2*1.3))*43758.5453,1)*1000000)*10000+ROW(),"")</f>
        <v/>
      </c>
      <c r="F4624" s="0" t="str">
        <f aca="false">IF(E4624="","",RANK(E4624,$E$2:$E$5001,1))</f>
        <v/>
      </c>
      <c r="G4624" s="0" t="n">
        <f aca="false">IF(A4624="",0,IF(SUMPRODUCT(--($A$2:$A$5001=A4624))&gt;1,1,0))</f>
        <v>0</v>
      </c>
      <c r="H4624" s="0" t="n">
        <f aca="false">ROW()-1</f>
        <v>4623</v>
      </c>
      <c r="I4624" s="0" t="str">
        <f aca="false">IF(OR(הגדרות!$E$6=0,H4624&gt;הגדרות!$E$5),"",IF(H4624-1&lt;הגדרות!$E$8*(הגדרות!$E$7+1),INT((H4624-1)/(הגדרות!$E$7+1)),הגדרות!$E$8+INT((H4624-1-הגדרות!$E$8*(הגדרות!$E$7+1))/הגדרות!$E$7)))</f>
        <v/>
      </c>
      <c r="J4624" s="0" t="str">
        <f aca="false">IF(I4624="","",IF(H4624-1&lt;הגדרות!$E$8*(הגדרות!$E$7+1),MOD(H4624-1,הגדרות!$E$7+1),MOD(H4624-1-הגדרות!$E$8*(הגדרות!$E$7+1),הגדרות!$E$7)))</f>
        <v/>
      </c>
      <c r="K4624" s="0" t="str">
        <f aca="false">IF(I4624="","",J4624*הגדרות!$E$6+I4624+1)</f>
        <v/>
      </c>
      <c r="L4624" s="0" t="str">
        <f aca="false">IF(K4624="","",MATCH(K4624,$F$2:$F$5001,0))</f>
        <v/>
      </c>
      <c r="M4624" s="0" t="str">
        <f aca="false">IF(I4624="","",INDEX(הגדרות!$A$2:$A$21,MOD(I4624+הגדרות!$E$9,הגדרות!$E$6)+1))</f>
        <v/>
      </c>
    </row>
    <row r="4625" customFormat="false" ht="15" hidden="false" customHeight="false" outlineLevel="0" collapsed="false">
      <c r="A4625" s="0" t="str">
        <f aca="false">IF('הדבקת לידים'!A4625="","",IF(ISNUMBER('הדבקת לידים'!A4625),IF(הגדרות!$E$2&gt;0,TEXT('הדבקת לידים'!A4625,REPT("0",הגדרות!$E$2)),TEXT('הדבקת לידים'!A4625,"0")),TRIM('הדבקת לידים'!A4625)))</f>
        <v/>
      </c>
      <c r="B4625" s="0" t="str">
        <f aca="false">IF('הדבקת לידים'!B4625="","",IF(ISNUMBER('הדבקת לידים'!B4625),IF(הגדרות!$E$3&gt;0,TEXT('הדבקת לידים'!B4625,REPT("0",הגדרות!$E$3)),TEXT('הדבקת לידים'!B4625,"0")),TRIM('הדבקת לידים'!B4625)))</f>
        <v/>
      </c>
      <c r="C4625" s="0" t="n">
        <f aca="false">IF(OR(A4625&lt;&gt;"",B4625&lt;&gt;""),1,0)</f>
        <v>0</v>
      </c>
      <c r="D4625" s="0" t="str">
        <f aca="false">IF(C4625=1,MOD(ABS(SIN(ROW()*12.9898+'הדבקת לידים'!$F$2*78.233+IFERROR(--RIGHT(A4625,6),LEN(A4625))*0.0137+IFERROR(--RIGHT(B4625,6),LEN(B4625))*0.0071))*43758.5453,1),"")</f>
        <v/>
      </c>
      <c r="E4625" s="0" t="str">
        <f aca="false">IF(C4625=1,INT(MOD(ABS(SIN(D4625*7919.123+ROW()*0.618+'הדבקת לידים'!$F$2*1.3))*43758.5453,1)*1000000)*10000+ROW(),"")</f>
        <v/>
      </c>
      <c r="F4625" s="0" t="str">
        <f aca="false">IF(E4625="","",RANK(E4625,$E$2:$E$5001,1))</f>
        <v/>
      </c>
      <c r="G4625" s="0" t="n">
        <f aca="false">IF(A4625="",0,IF(SUMPRODUCT(--($A$2:$A$5001=A4625))&gt;1,1,0))</f>
        <v>0</v>
      </c>
      <c r="H4625" s="0" t="n">
        <f aca="false">ROW()-1</f>
        <v>4624</v>
      </c>
      <c r="I4625" s="0" t="str">
        <f aca="false">IF(OR(הגדרות!$E$6=0,H4625&gt;הגדרות!$E$5),"",IF(H4625-1&lt;הגדרות!$E$8*(הגדרות!$E$7+1),INT((H4625-1)/(הגדרות!$E$7+1)),הגדרות!$E$8+INT((H4625-1-הגדרות!$E$8*(הגדרות!$E$7+1))/הגדרות!$E$7)))</f>
        <v/>
      </c>
      <c r="J4625" s="0" t="str">
        <f aca="false">IF(I4625="","",IF(H4625-1&lt;הגדרות!$E$8*(הגדרות!$E$7+1),MOD(H4625-1,הגדרות!$E$7+1),MOD(H4625-1-הגדרות!$E$8*(הגדרות!$E$7+1),הגדרות!$E$7)))</f>
        <v/>
      </c>
      <c r="K4625" s="0" t="str">
        <f aca="false">IF(I4625="","",J4625*הגדרות!$E$6+I4625+1)</f>
        <v/>
      </c>
      <c r="L4625" s="0" t="str">
        <f aca="false">IF(K4625="","",MATCH(K4625,$F$2:$F$5001,0))</f>
        <v/>
      </c>
      <c r="M4625" s="0" t="str">
        <f aca="false">IF(I4625="","",INDEX(הגדרות!$A$2:$A$21,MOD(I4625+הגדרות!$E$9,הגדרות!$E$6)+1))</f>
        <v/>
      </c>
    </row>
    <row r="4626" customFormat="false" ht="15" hidden="false" customHeight="false" outlineLevel="0" collapsed="false">
      <c r="A4626" s="0" t="str">
        <f aca="false">IF('הדבקת לידים'!A4626="","",IF(ISNUMBER('הדבקת לידים'!A4626),IF(הגדרות!$E$2&gt;0,TEXT('הדבקת לידים'!A4626,REPT("0",הגדרות!$E$2)),TEXT('הדבקת לידים'!A4626,"0")),TRIM('הדבקת לידים'!A4626)))</f>
        <v/>
      </c>
      <c r="B4626" s="0" t="str">
        <f aca="false">IF('הדבקת לידים'!B4626="","",IF(ISNUMBER('הדבקת לידים'!B4626),IF(הגדרות!$E$3&gt;0,TEXT('הדבקת לידים'!B4626,REPT("0",הגדרות!$E$3)),TEXT('הדבקת לידים'!B4626,"0")),TRIM('הדבקת לידים'!B4626)))</f>
        <v/>
      </c>
      <c r="C4626" s="0" t="n">
        <f aca="false">IF(OR(A4626&lt;&gt;"",B4626&lt;&gt;""),1,0)</f>
        <v>0</v>
      </c>
      <c r="D4626" s="0" t="str">
        <f aca="false">IF(C4626=1,MOD(ABS(SIN(ROW()*12.9898+'הדבקת לידים'!$F$2*78.233+IFERROR(--RIGHT(A4626,6),LEN(A4626))*0.0137+IFERROR(--RIGHT(B4626,6),LEN(B4626))*0.0071))*43758.5453,1),"")</f>
        <v/>
      </c>
      <c r="E4626" s="0" t="str">
        <f aca="false">IF(C4626=1,INT(MOD(ABS(SIN(D4626*7919.123+ROW()*0.618+'הדבקת לידים'!$F$2*1.3))*43758.5453,1)*1000000)*10000+ROW(),"")</f>
        <v/>
      </c>
      <c r="F4626" s="0" t="str">
        <f aca="false">IF(E4626="","",RANK(E4626,$E$2:$E$5001,1))</f>
        <v/>
      </c>
      <c r="G4626" s="0" t="n">
        <f aca="false">IF(A4626="",0,IF(SUMPRODUCT(--($A$2:$A$5001=A4626))&gt;1,1,0))</f>
        <v>0</v>
      </c>
      <c r="H4626" s="0" t="n">
        <f aca="false">ROW()-1</f>
        <v>4625</v>
      </c>
      <c r="I4626" s="0" t="str">
        <f aca="false">IF(OR(הגדרות!$E$6=0,H4626&gt;הגדרות!$E$5),"",IF(H4626-1&lt;הגדרות!$E$8*(הגדרות!$E$7+1),INT((H4626-1)/(הגדרות!$E$7+1)),הגדרות!$E$8+INT((H4626-1-הגדרות!$E$8*(הגדרות!$E$7+1))/הגדרות!$E$7)))</f>
        <v/>
      </c>
      <c r="J4626" s="0" t="str">
        <f aca="false">IF(I4626="","",IF(H4626-1&lt;הגדרות!$E$8*(הגדרות!$E$7+1),MOD(H4626-1,הגדרות!$E$7+1),MOD(H4626-1-הגדרות!$E$8*(הגדרות!$E$7+1),הגדרות!$E$7)))</f>
        <v/>
      </c>
      <c r="K4626" s="0" t="str">
        <f aca="false">IF(I4626="","",J4626*הגדרות!$E$6+I4626+1)</f>
        <v/>
      </c>
      <c r="L4626" s="0" t="str">
        <f aca="false">IF(K4626="","",MATCH(K4626,$F$2:$F$5001,0))</f>
        <v/>
      </c>
      <c r="M4626" s="0" t="str">
        <f aca="false">IF(I4626="","",INDEX(הגדרות!$A$2:$A$21,MOD(I4626+הגדרות!$E$9,הגדרות!$E$6)+1))</f>
        <v/>
      </c>
    </row>
    <row r="4627" customFormat="false" ht="15" hidden="false" customHeight="false" outlineLevel="0" collapsed="false">
      <c r="A4627" s="0" t="str">
        <f aca="false">IF('הדבקת לידים'!A4627="","",IF(ISNUMBER('הדבקת לידים'!A4627),IF(הגדרות!$E$2&gt;0,TEXT('הדבקת לידים'!A4627,REPT("0",הגדרות!$E$2)),TEXT('הדבקת לידים'!A4627,"0")),TRIM('הדבקת לידים'!A4627)))</f>
        <v/>
      </c>
      <c r="B4627" s="0" t="str">
        <f aca="false">IF('הדבקת לידים'!B4627="","",IF(ISNUMBER('הדבקת לידים'!B4627),IF(הגדרות!$E$3&gt;0,TEXT('הדבקת לידים'!B4627,REPT("0",הגדרות!$E$3)),TEXT('הדבקת לידים'!B4627,"0")),TRIM('הדבקת לידים'!B4627)))</f>
        <v/>
      </c>
      <c r="C4627" s="0" t="n">
        <f aca="false">IF(OR(A4627&lt;&gt;"",B4627&lt;&gt;""),1,0)</f>
        <v>0</v>
      </c>
      <c r="D4627" s="0" t="str">
        <f aca="false">IF(C4627=1,MOD(ABS(SIN(ROW()*12.9898+'הדבקת לידים'!$F$2*78.233+IFERROR(--RIGHT(A4627,6),LEN(A4627))*0.0137+IFERROR(--RIGHT(B4627,6),LEN(B4627))*0.0071))*43758.5453,1),"")</f>
        <v/>
      </c>
      <c r="E4627" s="0" t="str">
        <f aca="false">IF(C4627=1,INT(MOD(ABS(SIN(D4627*7919.123+ROW()*0.618+'הדבקת לידים'!$F$2*1.3))*43758.5453,1)*1000000)*10000+ROW(),"")</f>
        <v/>
      </c>
      <c r="F4627" s="0" t="str">
        <f aca="false">IF(E4627="","",RANK(E4627,$E$2:$E$5001,1))</f>
        <v/>
      </c>
      <c r="G4627" s="0" t="n">
        <f aca="false">IF(A4627="",0,IF(SUMPRODUCT(--($A$2:$A$5001=A4627))&gt;1,1,0))</f>
        <v>0</v>
      </c>
      <c r="H4627" s="0" t="n">
        <f aca="false">ROW()-1</f>
        <v>4626</v>
      </c>
      <c r="I4627" s="0" t="str">
        <f aca="false">IF(OR(הגדרות!$E$6=0,H4627&gt;הגדרות!$E$5),"",IF(H4627-1&lt;הגדרות!$E$8*(הגדרות!$E$7+1),INT((H4627-1)/(הגדרות!$E$7+1)),הגדרות!$E$8+INT((H4627-1-הגדרות!$E$8*(הגדרות!$E$7+1))/הגדרות!$E$7)))</f>
        <v/>
      </c>
      <c r="J4627" s="0" t="str">
        <f aca="false">IF(I4627="","",IF(H4627-1&lt;הגדרות!$E$8*(הגדרות!$E$7+1),MOD(H4627-1,הגדרות!$E$7+1),MOD(H4627-1-הגדרות!$E$8*(הגדרות!$E$7+1),הגדרות!$E$7)))</f>
        <v/>
      </c>
      <c r="K4627" s="0" t="str">
        <f aca="false">IF(I4627="","",J4627*הגדרות!$E$6+I4627+1)</f>
        <v/>
      </c>
      <c r="L4627" s="0" t="str">
        <f aca="false">IF(K4627="","",MATCH(K4627,$F$2:$F$5001,0))</f>
        <v/>
      </c>
      <c r="M4627" s="0" t="str">
        <f aca="false">IF(I4627="","",INDEX(הגדרות!$A$2:$A$21,MOD(I4627+הגדרות!$E$9,הגדרות!$E$6)+1))</f>
        <v/>
      </c>
    </row>
    <row r="4628" customFormat="false" ht="15" hidden="false" customHeight="false" outlineLevel="0" collapsed="false">
      <c r="A4628" s="0" t="str">
        <f aca="false">IF('הדבקת לידים'!A4628="","",IF(ISNUMBER('הדבקת לידים'!A4628),IF(הגדרות!$E$2&gt;0,TEXT('הדבקת לידים'!A4628,REPT("0",הגדרות!$E$2)),TEXT('הדבקת לידים'!A4628,"0")),TRIM('הדבקת לידים'!A4628)))</f>
        <v/>
      </c>
      <c r="B4628" s="0" t="str">
        <f aca="false">IF('הדבקת לידים'!B4628="","",IF(ISNUMBER('הדבקת לידים'!B4628),IF(הגדרות!$E$3&gt;0,TEXT('הדבקת לידים'!B4628,REPT("0",הגדרות!$E$3)),TEXT('הדבקת לידים'!B4628,"0")),TRIM('הדבקת לידים'!B4628)))</f>
        <v/>
      </c>
      <c r="C4628" s="0" t="n">
        <f aca="false">IF(OR(A4628&lt;&gt;"",B4628&lt;&gt;""),1,0)</f>
        <v>0</v>
      </c>
      <c r="D4628" s="0" t="str">
        <f aca="false">IF(C4628=1,MOD(ABS(SIN(ROW()*12.9898+'הדבקת לידים'!$F$2*78.233+IFERROR(--RIGHT(A4628,6),LEN(A4628))*0.0137+IFERROR(--RIGHT(B4628,6),LEN(B4628))*0.0071))*43758.5453,1),"")</f>
        <v/>
      </c>
      <c r="E4628" s="0" t="str">
        <f aca="false">IF(C4628=1,INT(MOD(ABS(SIN(D4628*7919.123+ROW()*0.618+'הדבקת לידים'!$F$2*1.3))*43758.5453,1)*1000000)*10000+ROW(),"")</f>
        <v/>
      </c>
      <c r="F4628" s="0" t="str">
        <f aca="false">IF(E4628="","",RANK(E4628,$E$2:$E$5001,1))</f>
        <v/>
      </c>
      <c r="G4628" s="0" t="n">
        <f aca="false">IF(A4628="",0,IF(SUMPRODUCT(--($A$2:$A$5001=A4628))&gt;1,1,0))</f>
        <v>0</v>
      </c>
      <c r="H4628" s="0" t="n">
        <f aca="false">ROW()-1</f>
        <v>4627</v>
      </c>
      <c r="I4628" s="0" t="str">
        <f aca="false">IF(OR(הגדרות!$E$6=0,H4628&gt;הגדרות!$E$5),"",IF(H4628-1&lt;הגדרות!$E$8*(הגדרות!$E$7+1),INT((H4628-1)/(הגדרות!$E$7+1)),הגדרות!$E$8+INT((H4628-1-הגדרות!$E$8*(הגדרות!$E$7+1))/הגדרות!$E$7)))</f>
        <v/>
      </c>
      <c r="J4628" s="0" t="str">
        <f aca="false">IF(I4628="","",IF(H4628-1&lt;הגדרות!$E$8*(הגדרות!$E$7+1),MOD(H4628-1,הגדרות!$E$7+1),MOD(H4628-1-הגדרות!$E$8*(הגדרות!$E$7+1),הגדרות!$E$7)))</f>
        <v/>
      </c>
      <c r="K4628" s="0" t="str">
        <f aca="false">IF(I4628="","",J4628*הגדרות!$E$6+I4628+1)</f>
        <v/>
      </c>
      <c r="L4628" s="0" t="str">
        <f aca="false">IF(K4628="","",MATCH(K4628,$F$2:$F$5001,0))</f>
        <v/>
      </c>
      <c r="M4628" s="0" t="str">
        <f aca="false">IF(I4628="","",INDEX(הגדרות!$A$2:$A$21,MOD(I4628+הגדרות!$E$9,הגדרות!$E$6)+1))</f>
        <v/>
      </c>
    </row>
    <row r="4629" customFormat="false" ht="15" hidden="false" customHeight="false" outlineLevel="0" collapsed="false">
      <c r="A4629" s="0" t="str">
        <f aca="false">IF('הדבקת לידים'!A4629="","",IF(ISNUMBER('הדבקת לידים'!A4629),IF(הגדרות!$E$2&gt;0,TEXT('הדבקת לידים'!A4629,REPT("0",הגדרות!$E$2)),TEXT('הדבקת לידים'!A4629,"0")),TRIM('הדבקת לידים'!A4629)))</f>
        <v/>
      </c>
      <c r="B4629" s="0" t="str">
        <f aca="false">IF('הדבקת לידים'!B4629="","",IF(ISNUMBER('הדבקת לידים'!B4629),IF(הגדרות!$E$3&gt;0,TEXT('הדבקת לידים'!B4629,REPT("0",הגדרות!$E$3)),TEXT('הדבקת לידים'!B4629,"0")),TRIM('הדבקת לידים'!B4629)))</f>
        <v/>
      </c>
      <c r="C4629" s="0" t="n">
        <f aca="false">IF(OR(A4629&lt;&gt;"",B4629&lt;&gt;""),1,0)</f>
        <v>0</v>
      </c>
      <c r="D4629" s="0" t="str">
        <f aca="false">IF(C4629=1,MOD(ABS(SIN(ROW()*12.9898+'הדבקת לידים'!$F$2*78.233+IFERROR(--RIGHT(A4629,6),LEN(A4629))*0.0137+IFERROR(--RIGHT(B4629,6),LEN(B4629))*0.0071))*43758.5453,1),"")</f>
        <v/>
      </c>
      <c r="E4629" s="0" t="str">
        <f aca="false">IF(C4629=1,INT(MOD(ABS(SIN(D4629*7919.123+ROW()*0.618+'הדבקת לידים'!$F$2*1.3))*43758.5453,1)*1000000)*10000+ROW(),"")</f>
        <v/>
      </c>
      <c r="F4629" s="0" t="str">
        <f aca="false">IF(E4629="","",RANK(E4629,$E$2:$E$5001,1))</f>
        <v/>
      </c>
      <c r="G4629" s="0" t="n">
        <f aca="false">IF(A4629="",0,IF(SUMPRODUCT(--($A$2:$A$5001=A4629))&gt;1,1,0))</f>
        <v>0</v>
      </c>
      <c r="H4629" s="0" t="n">
        <f aca="false">ROW()-1</f>
        <v>4628</v>
      </c>
      <c r="I4629" s="0" t="str">
        <f aca="false">IF(OR(הגדרות!$E$6=0,H4629&gt;הגדרות!$E$5),"",IF(H4629-1&lt;הגדרות!$E$8*(הגדרות!$E$7+1),INT((H4629-1)/(הגדרות!$E$7+1)),הגדרות!$E$8+INT((H4629-1-הגדרות!$E$8*(הגדרות!$E$7+1))/הגדרות!$E$7)))</f>
        <v/>
      </c>
      <c r="J4629" s="0" t="str">
        <f aca="false">IF(I4629="","",IF(H4629-1&lt;הגדרות!$E$8*(הגדרות!$E$7+1),MOD(H4629-1,הגדרות!$E$7+1),MOD(H4629-1-הגדרות!$E$8*(הגדרות!$E$7+1),הגדרות!$E$7)))</f>
        <v/>
      </c>
      <c r="K4629" s="0" t="str">
        <f aca="false">IF(I4629="","",J4629*הגדרות!$E$6+I4629+1)</f>
        <v/>
      </c>
      <c r="L4629" s="0" t="str">
        <f aca="false">IF(K4629="","",MATCH(K4629,$F$2:$F$5001,0))</f>
        <v/>
      </c>
      <c r="M4629" s="0" t="str">
        <f aca="false">IF(I4629="","",INDEX(הגדרות!$A$2:$A$21,MOD(I4629+הגדרות!$E$9,הגדרות!$E$6)+1))</f>
        <v/>
      </c>
    </row>
    <row r="4630" customFormat="false" ht="15" hidden="false" customHeight="false" outlineLevel="0" collapsed="false">
      <c r="A4630" s="0" t="str">
        <f aca="false">IF('הדבקת לידים'!A4630="","",IF(ISNUMBER('הדבקת לידים'!A4630),IF(הגדרות!$E$2&gt;0,TEXT('הדבקת לידים'!A4630,REPT("0",הגדרות!$E$2)),TEXT('הדבקת לידים'!A4630,"0")),TRIM('הדבקת לידים'!A4630)))</f>
        <v/>
      </c>
      <c r="B4630" s="0" t="str">
        <f aca="false">IF('הדבקת לידים'!B4630="","",IF(ISNUMBER('הדבקת לידים'!B4630),IF(הגדרות!$E$3&gt;0,TEXT('הדבקת לידים'!B4630,REPT("0",הגדרות!$E$3)),TEXT('הדבקת לידים'!B4630,"0")),TRIM('הדבקת לידים'!B4630)))</f>
        <v/>
      </c>
      <c r="C4630" s="0" t="n">
        <f aca="false">IF(OR(A4630&lt;&gt;"",B4630&lt;&gt;""),1,0)</f>
        <v>0</v>
      </c>
      <c r="D4630" s="0" t="str">
        <f aca="false">IF(C4630=1,MOD(ABS(SIN(ROW()*12.9898+'הדבקת לידים'!$F$2*78.233+IFERROR(--RIGHT(A4630,6),LEN(A4630))*0.0137+IFERROR(--RIGHT(B4630,6),LEN(B4630))*0.0071))*43758.5453,1),"")</f>
        <v/>
      </c>
      <c r="E4630" s="0" t="str">
        <f aca="false">IF(C4630=1,INT(MOD(ABS(SIN(D4630*7919.123+ROW()*0.618+'הדבקת לידים'!$F$2*1.3))*43758.5453,1)*1000000)*10000+ROW(),"")</f>
        <v/>
      </c>
      <c r="F4630" s="0" t="str">
        <f aca="false">IF(E4630="","",RANK(E4630,$E$2:$E$5001,1))</f>
        <v/>
      </c>
      <c r="G4630" s="0" t="n">
        <f aca="false">IF(A4630="",0,IF(SUMPRODUCT(--($A$2:$A$5001=A4630))&gt;1,1,0))</f>
        <v>0</v>
      </c>
      <c r="H4630" s="0" t="n">
        <f aca="false">ROW()-1</f>
        <v>4629</v>
      </c>
      <c r="I4630" s="0" t="str">
        <f aca="false">IF(OR(הגדרות!$E$6=0,H4630&gt;הגדרות!$E$5),"",IF(H4630-1&lt;הגדרות!$E$8*(הגדרות!$E$7+1),INT((H4630-1)/(הגדרות!$E$7+1)),הגדרות!$E$8+INT((H4630-1-הגדרות!$E$8*(הגדרות!$E$7+1))/הגדרות!$E$7)))</f>
        <v/>
      </c>
      <c r="J4630" s="0" t="str">
        <f aca="false">IF(I4630="","",IF(H4630-1&lt;הגדרות!$E$8*(הגדרות!$E$7+1),MOD(H4630-1,הגדרות!$E$7+1),MOD(H4630-1-הגדרות!$E$8*(הגדרות!$E$7+1),הגדרות!$E$7)))</f>
        <v/>
      </c>
      <c r="K4630" s="0" t="str">
        <f aca="false">IF(I4630="","",J4630*הגדרות!$E$6+I4630+1)</f>
        <v/>
      </c>
      <c r="L4630" s="0" t="str">
        <f aca="false">IF(K4630="","",MATCH(K4630,$F$2:$F$5001,0))</f>
        <v/>
      </c>
      <c r="M4630" s="0" t="str">
        <f aca="false">IF(I4630="","",INDEX(הגדרות!$A$2:$A$21,MOD(I4630+הגדרות!$E$9,הגדרות!$E$6)+1))</f>
        <v/>
      </c>
    </row>
    <row r="4631" customFormat="false" ht="15" hidden="false" customHeight="false" outlineLevel="0" collapsed="false">
      <c r="A4631" s="0" t="str">
        <f aca="false">IF('הדבקת לידים'!A4631="","",IF(ISNUMBER('הדבקת לידים'!A4631),IF(הגדרות!$E$2&gt;0,TEXT('הדבקת לידים'!A4631,REPT("0",הגדרות!$E$2)),TEXT('הדבקת לידים'!A4631,"0")),TRIM('הדבקת לידים'!A4631)))</f>
        <v/>
      </c>
      <c r="B4631" s="0" t="str">
        <f aca="false">IF('הדבקת לידים'!B4631="","",IF(ISNUMBER('הדבקת לידים'!B4631),IF(הגדרות!$E$3&gt;0,TEXT('הדבקת לידים'!B4631,REPT("0",הגדרות!$E$3)),TEXT('הדבקת לידים'!B4631,"0")),TRIM('הדבקת לידים'!B4631)))</f>
        <v/>
      </c>
      <c r="C4631" s="0" t="n">
        <f aca="false">IF(OR(A4631&lt;&gt;"",B4631&lt;&gt;""),1,0)</f>
        <v>0</v>
      </c>
      <c r="D4631" s="0" t="str">
        <f aca="false">IF(C4631=1,MOD(ABS(SIN(ROW()*12.9898+'הדבקת לידים'!$F$2*78.233+IFERROR(--RIGHT(A4631,6),LEN(A4631))*0.0137+IFERROR(--RIGHT(B4631,6),LEN(B4631))*0.0071))*43758.5453,1),"")</f>
        <v/>
      </c>
      <c r="E4631" s="0" t="str">
        <f aca="false">IF(C4631=1,INT(MOD(ABS(SIN(D4631*7919.123+ROW()*0.618+'הדבקת לידים'!$F$2*1.3))*43758.5453,1)*1000000)*10000+ROW(),"")</f>
        <v/>
      </c>
      <c r="F4631" s="0" t="str">
        <f aca="false">IF(E4631="","",RANK(E4631,$E$2:$E$5001,1))</f>
        <v/>
      </c>
      <c r="G4631" s="0" t="n">
        <f aca="false">IF(A4631="",0,IF(SUMPRODUCT(--($A$2:$A$5001=A4631))&gt;1,1,0))</f>
        <v>0</v>
      </c>
      <c r="H4631" s="0" t="n">
        <f aca="false">ROW()-1</f>
        <v>4630</v>
      </c>
      <c r="I4631" s="0" t="str">
        <f aca="false">IF(OR(הגדרות!$E$6=0,H4631&gt;הגדרות!$E$5),"",IF(H4631-1&lt;הגדרות!$E$8*(הגדרות!$E$7+1),INT((H4631-1)/(הגדרות!$E$7+1)),הגדרות!$E$8+INT((H4631-1-הגדרות!$E$8*(הגדרות!$E$7+1))/הגדרות!$E$7)))</f>
        <v/>
      </c>
      <c r="J4631" s="0" t="str">
        <f aca="false">IF(I4631="","",IF(H4631-1&lt;הגדרות!$E$8*(הגדרות!$E$7+1),MOD(H4631-1,הגדרות!$E$7+1),MOD(H4631-1-הגדרות!$E$8*(הגדרות!$E$7+1),הגדרות!$E$7)))</f>
        <v/>
      </c>
      <c r="K4631" s="0" t="str">
        <f aca="false">IF(I4631="","",J4631*הגדרות!$E$6+I4631+1)</f>
        <v/>
      </c>
      <c r="L4631" s="0" t="str">
        <f aca="false">IF(K4631="","",MATCH(K4631,$F$2:$F$5001,0))</f>
        <v/>
      </c>
      <c r="M4631" s="0" t="str">
        <f aca="false">IF(I4631="","",INDEX(הגדרות!$A$2:$A$21,MOD(I4631+הגדרות!$E$9,הגדרות!$E$6)+1))</f>
        <v/>
      </c>
    </row>
    <row r="4632" customFormat="false" ht="15" hidden="false" customHeight="false" outlineLevel="0" collapsed="false">
      <c r="A4632" s="0" t="str">
        <f aca="false">IF('הדבקת לידים'!A4632="","",IF(ISNUMBER('הדבקת לידים'!A4632),IF(הגדרות!$E$2&gt;0,TEXT('הדבקת לידים'!A4632,REPT("0",הגדרות!$E$2)),TEXT('הדבקת לידים'!A4632,"0")),TRIM('הדבקת לידים'!A4632)))</f>
        <v/>
      </c>
      <c r="B4632" s="0" t="str">
        <f aca="false">IF('הדבקת לידים'!B4632="","",IF(ISNUMBER('הדבקת לידים'!B4632),IF(הגדרות!$E$3&gt;0,TEXT('הדבקת לידים'!B4632,REPT("0",הגדרות!$E$3)),TEXT('הדבקת לידים'!B4632,"0")),TRIM('הדבקת לידים'!B4632)))</f>
        <v/>
      </c>
      <c r="C4632" s="0" t="n">
        <f aca="false">IF(OR(A4632&lt;&gt;"",B4632&lt;&gt;""),1,0)</f>
        <v>0</v>
      </c>
      <c r="D4632" s="0" t="str">
        <f aca="false">IF(C4632=1,MOD(ABS(SIN(ROW()*12.9898+'הדבקת לידים'!$F$2*78.233+IFERROR(--RIGHT(A4632,6),LEN(A4632))*0.0137+IFERROR(--RIGHT(B4632,6),LEN(B4632))*0.0071))*43758.5453,1),"")</f>
        <v/>
      </c>
      <c r="E4632" s="0" t="str">
        <f aca="false">IF(C4632=1,INT(MOD(ABS(SIN(D4632*7919.123+ROW()*0.618+'הדבקת לידים'!$F$2*1.3))*43758.5453,1)*1000000)*10000+ROW(),"")</f>
        <v/>
      </c>
      <c r="F4632" s="0" t="str">
        <f aca="false">IF(E4632="","",RANK(E4632,$E$2:$E$5001,1))</f>
        <v/>
      </c>
      <c r="G4632" s="0" t="n">
        <f aca="false">IF(A4632="",0,IF(SUMPRODUCT(--($A$2:$A$5001=A4632))&gt;1,1,0))</f>
        <v>0</v>
      </c>
      <c r="H4632" s="0" t="n">
        <f aca="false">ROW()-1</f>
        <v>4631</v>
      </c>
      <c r="I4632" s="0" t="str">
        <f aca="false">IF(OR(הגדרות!$E$6=0,H4632&gt;הגדרות!$E$5),"",IF(H4632-1&lt;הגדרות!$E$8*(הגדרות!$E$7+1),INT((H4632-1)/(הגדרות!$E$7+1)),הגדרות!$E$8+INT((H4632-1-הגדרות!$E$8*(הגדרות!$E$7+1))/הגדרות!$E$7)))</f>
        <v/>
      </c>
      <c r="J4632" s="0" t="str">
        <f aca="false">IF(I4632="","",IF(H4632-1&lt;הגדרות!$E$8*(הגדרות!$E$7+1),MOD(H4632-1,הגדרות!$E$7+1),MOD(H4632-1-הגדרות!$E$8*(הגדרות!$E$7+1),הגדרות!$E$7)))</f>
        <v/>
      </c>
      <c r="K4632" s="0" t="str">
        <f aca="false">IF(I4632="","",J4632*הגדרות!$E$6+I4632+1)</f>
        <v/>
      </c>
      <c r="L4632" s="0" t="str">
        <f aca="false">IF(K4632="","",MATCH(K4632,$F$2:$F$5001,0))</f>
        <v/>
      </c>
      <c r="M4632" s="0" t="str">
        <f aca="false">IF(I4632="","",INDEX(הגדרות!$A$2:$A$21,MOD(I4632+הגדרות!$E$9,הגדרות!$E$6)+1))</f>
        <v/>
      </c>
    </row>
    <row r="4633" customFormat="false" ht="15" hidden="false" customHeight="false" outlineLevel="0" collapsed="false">
      <c r="A4633" s="0" t="str">
        <f aca="false">IF('הדבקת לידים'!A4633="","",IF(ISNUMBER('הדבקת לידים'!A4633),IF(הגדרות!$E$2&gt;0,TEXT('הדבקת לידים'!A4633,REPT("0",הגדרות!$E$2)),TEXT('הדבקת לידים'!A4633,"0")),TRIM('הדבקת לידים'!A4633)))</f>
        <v/>
      </c>
      <c r="B4633" s="0" t="str">
        <f aca="false">IF('הדבקת לידים'!B4633="","",IF(ISNUMBER('הדבקת לידים'!B4633),IF(הגדרות!$E$3&gt;0,TEXT('הדבקת לידים'!B4633,REPT("0",הגדרות!$E$3)),TEXT('הדבקת לידים'!B4633,"0")),TRIM('הדבקת לידים'!B4633)))</f>
        <v/>
      </c>
      <c r="C4633" s="0" t="n">
        <f aca="false">IF(OR(A4633&lt;&gt;"",B4633&lt;&gt;""),1,0)</f>
        <v>0</v>
      </c>
      <c r="D4633" s="0" t="str">
        <f aca="false">IF(C4633=1,MOD(ABS(SIN(ROW()*12.9898+'הדבקת לידים'!$F$2*78.233+IFERROR(--RIGHT(A4633,6),LEN(A4633))*0.0137+IFERROR(--RIGHT(B4633,6),LEN(B4633))*0.0071))*43758.5453,1),"")</f>
        <v/>
      </c>
      <c r="E4633" s="0" t="str">
        <f aca="false">IF(C4633=1,INT(MOD(ABS(SIN(D4633*7919.123+ROW()*0.618+'הדבקת לידים'!$F$2*1.3))*43758.5453,1)*1000000)*10000+ROW(),"")</f>
        <v/>
      </c>
      <c r="F4633" s="0" t="str">
        <f aca="false">IF(E4633="","",RANK(E4633,$E$2:$E$5001,1))</f>
        <v/>
      </c>
      <c r="G4633" s="0" t="n">
        <f aca="false">IF(A4633="",0,IF(SUMPRODUCT(--($A$2:$A$5001=A4633))&gt;1,1,0))</f>
        <v>0</v>
      </c>
      <c r="H4633" s="0" t="n">
        <f aca="false">ROW()-1</f>
        <v>4632</v>
      </c>
      <c r="I4633" s="0" t="str">
        <f aca="false">IF(OR(הגדרות!$E$6=0,H4633&gt;הגדרות!$E$5),"",IF(H4633-1&lt;הגדרות!$E$8*(הגדרות!$E$7+1),INT((H4633-1)/(הגדרות!$E$7+1)),הגדרות!$E$8+INT((H4633-1-הגדרות!$E$8*(הגדרות!$E$7+1))/הגדרות!$E$7)))</f>
        <v/>
      </c>
      <c r="J4633" s="0" t="str">
        <f aca="false">IF(I4633="","",IF(H4633-1&lt;הגדרות!$E$8*(הגדרות!$E$7+1),MOD(H4633-1,הגדרות!$E$7+1),MOD(H4633-1-הגדרות!$E$8*(הגדרות!$E$7+1),הגדרות!$E$7)))</f>
        <v/>
      </c>
      <c r="K4633" s="0" t="str">
        <f aca="false">IF(I4633="","",J4633*הגדרות!$E$6+I4633+1)</f>
        <v/>
      </c>
      <c r="L4633" s="0" t="str">
        <f aca="false">IF(K4633="","",MATCH(K4633,$F$2:$F$5001,0))</f>
        <v/>
      </c>
      <c r="M4633" s="0" t="str">
        <f aca="false">IF(I4633="","",INDEX(הגדרות!$A$2:$A$21,MOD(I4633+הגדרות!$E$9,הגדרות!$E$6)+1))</f>
        <v/>
      </c>
    </row>
    <row r="4634" customFormat="false" ht="15" hidden="false" customHeight="false" outlineLevel="0" collapsed="false">
      <c r="A4634" s="0" t="str">
        <f aca="false">IF('הדבקת לידים'!A4634="","",IF(ISNUMBER('הדבקת לידים'!A4634),IF(הגדרות!$E$2&gt;0,TEXT('הדבקת לידים'!A4634,REPT("0",הגדרות!$E$2)),TEXT('הדבקת לידים'!A4634,"0")),TRIM('הדבקת לידים'!A4634)))</f>
        <v/>
      </c>
      <c r="B4634" s="0" t="str">
        <f aca="false">IF('הדבקת לידים'!B4634="","",IF(ISNUMBER('הדבקת לידים'!B4634),IF(הגדרות!$E$3&gt;0,TEXT('הדבקת לידים'!B4634,REPT("0",הגדרות!$E$3)),TEXT('הדבקת לידים'!B4634,"0")),TRIM('הדבקת לידים'!B4634)))</f>
        <v/>
      </c>
      <c r="C4634" s="0" t="n">
        <f aca="false">IF(OR(A4634&lt;&gt;"",B4634&lt;&gt;""),1,0)</f>
        <v>0</v>
      </c>
      <c r="D4634" s="0" t="str">
        <f aca="false">IF(C4634=1,MOD(ABS(SIN(ROW()*12.9898+'הדבקת לידים'!$F$2*78.233+IFERROR(--RIGHT(A4634,6),LEN(A4634))*0.0137+IFERROR(--RIGHT(B4634,6),LEN(B4634))*0.0071))*43758.5453,1),"")</f>
        <v/>
      </c>
      <c r="E4634" s="0" t="str">
        <f aca="false">IF(C4634=1,INT(MOD(ABS(SIN(D4634*7919.123+ROW()*0.618+'הדבקת לידים'!$F$2*1.3))*43758.5453,1)*1000000)*10000+ROW(),"")</f>
        <v/>
      </c>
      <c r="F4634" s="0" t="str">
        <f aca="false">IF(E4634="","",RANK(E4634,$E$2:$E$5001,1))</f>
        <v/>
      </c>
      <c r="G4634" s="0" t="n">
        <f aca="false">IF(A4634="",0,IF(SUMPRODUCT(--($A$2:$A$5001=A4634))&gt;1,1,0))</f>
        <v>0</v>
      </c>
      <c r="H4634" s="0" t="n">
        <f aca="false">ROW()-1</f>
        <v>4633</v>
      </c>
      <c r="I4634" s="0" t="str">
        <f aca="false">IF(OR(הגדרות!$E$6=0,H4634&gt;הגדרות!$E$5),"",IF(H4634-1&lt;הגדרות!$E$8*(הגדרות!$E$7+1),INT((H4634-1)/(הגדרות!$E$7+1)),הגדרות!$E$8+INT((H4634-1-הגדרות!$E$8*(הגדרות!$E$7+1))/הגדרות!$E$7)))</f>
        <v/>
      </c>
      <c r="J4634" s="0" t="str">
        <f aca="false">IF(I4634="","",IF(H4634-1&lt;הגדרות!$E$8*(הגדרות!$E$7+1),MOD(H4634-1,הגדרות!$E$7+1),MOD(H4634-1-הגדרות!$E$8*(הגדרות!$E$7+1),הגדרות!$E$7)))</f>
        <v/>
      </c>
      <c r="K4634" s="0" t="str">
        <f aca="false">IF(I4634="","",J4634*הגדרות!$E$6+I4634+1)</f>
        <v/>
      </c>
      <c r="L4634" s="0" t="str">
        <f aca="false">IF(K4634="","",MATCH(K4634,$F$2:$F$5001,0))</f>
        <v/>
      </c>
      <c r="M4634" s="0" t="str">
        <f aca="false">IF(I4634="","",INDEX(הגדרות!$A$2:$A$21,MOD(I4634+הגדרות!$E$9,הגדרות!$E$6)+1))</f>
        <v/>
      </c>
    </row>
    <row r="4635" customFormat="false" ht="15" hidden="false" customHeight="false" outlineLevel="0" collapsed="false">
      <c r="A4635" s="0" t="str">
        <f aca="false">IF('הדבקת לידים'!A4635="","",IF(ISNUMBER('הדבקת לידים'!A4635),IF(הגדרות!$E$2&gt;0,TEXT('הדבקת לידים'!A4635,REPT("0",הגדרות!$E$2)),TEXT('הדבקת לידים'!A4635,"0")),TRIM('הדבקת לידים'!A4635)))</f>
        <v/>
      </c>
      <c r="B4635" s="0" t="str">
        <f aca="false">IF('הדבקת לידים'!B4635="","",IF(ISNUMBER('הדבקת לידים'!B4635),IF(הגדרות!$E$3&gt;0,TEXT('הדבקת לידים'!B4635,REPT("0",הגדרות!$E$3)),TEXT('הדבקת לידים'!B4635,"0")),TRIM('הדבקת לידים'!B4635)))</f>
        <v/>
      </c>
      <c r="C4635" s="0" t="n">
        <f aca="false">IF(OR(A4635&lt;&gt;"",B4635&lt;&gt;""),1,0)</f>
        <v>0</v>
      </c>
      <c r="D4635" s="0" t="str">
        <f aca="false">IF(C4635=1,MOD(ABS(SIN(ROW()*12.9898+'הדבקת לידים'!$F$2*78.233+IFERROR(--RIGHT(A4635,6),LEN(A4635))*0.0137+IFERROR(--RIGHT(B4635,6),LEN(B4635))*0.0071))*43758.5453,1),"")</f>
        <v/>
      </c>
      <c r="E4635" s="0" t="str">
        <f aca="false">IF(C4635=1,INT(MOD(ABS(SIN(D4635*7919.123+ROW()*0.618+'הדבקת לידים'!$F$2*1.3))*43758.5453,1)*1000000)*10000+ROW(),"")</f>
        <v/>
      </c>
      <c r="F4635" s="0" t="str">
        <f aca="false">IF(E4635="","",RANK(E4635,$E$2:$E$5001,1))</f>
        <v/>
      </c>
      <c r="G4635" s="0" t="n">
        <f aca="false">IF(A4635="",0,IF(SUMPRODUCT(--($A$2:$A$5001=A4635))&gt;1,1,0))</f>
        <v>0</v>
      </c>
      <c r="H4635" s="0" t="n">
        <f aca="false">ROW()-1</f>
        <v>4634</v>
      </c>
      <c r="I4635" s="0" t="str">
        <f aca="false">IF(OR(הגדרות!$E$6=0,H4635&gt;הגדרות!$E$5),"",IF(H4635-1&lt;הגדרות!$E$8*(הגדרות!$E$7+1),INT((H4635-1)/(הגדרות!$E$7+1)),הגדרות!$E$8+INT((H4635-1-הגדרות!$E$8*(הגדרות!$E$7+1))/הגדרות!$E$7)))</f>
        <v/>
      </c>
      <c r="J4635" s="0" t="str">
        <f aca="false">IF(I4635="","",IF(H4635-1&lt;הגדרות!$E$8*(הגדרות!$E$7+1),MOD(H4635-1,הגדרות!$E$7+1),MOD(H4635-1-הגדרות!$E$8*(הגדרות!$E$7+1),הגדרות!$E$7)))</f>
        <v/>
      </c>
      <c r="K4635" s="0" t="str">
        <f aca="false">IF(I4635="","",J4635*הגדרות!$E$6+I4635+1)</f>
        <v/>
      </c>
      <c r="L4635" s="0" t="str">
        <f aca="false">IF(K4635="","",MATCH(K4635,$F$2:$F$5001,0))</f>
        <v/>
      </c>
      <c r="M4635" s="0" t="str">
        <f aca="false">IF(I4635="","",INDEX(הגדרות!$A$2:$A$21,MOD(I4635+הגדרות!$E$9,הגדרות!$E$6)+1))</f>
        <v/>
      </c>
    </row>
    <row r="4636" customFormat="false" ht="15" hidden="false" customHeight="false" outlineLevel="0" collapsed="false">
      <c r="A4636" s="0" t="str">
        <f aca="false">IF('הדבקת לידים'!A4636="","",IF(ISNUMBER('הדבקת לידים'!A4636),IF(הגדרות!$E$2&gt;0,TEXT('הדבקת לידים'!A4636,REPT("0",הגדרות!$E$2)),TEXT('הדבקת לידים'!A4636,"0")),TRIM('הדבקת לידים'!A4636)))</f>
        <v/>
      </c>
      <c r="B4636" s="0" t="str">
        <f aca="false">IF('הדבקת לידים'!B4636="","",IF(ISNUMBER('הדבקת לידים'!B4636),IF(הגדרות!$E$3&gt;0,TEXT('הדבקת לידים'!B4636,REPT("0",הגדרות!$E$3)),TEXT('הדבקת לידים'!B4636,"0")),TRIM('הדבקת לידים'!B4636)))</f>
        <v/>
      </c>
      <c r="C4636" s="0" t="n">
        <f aca="false">IF(OR(A4636&lt;&gt;"",B4636&lt;&gt;""),1,0)</f>
        <v>0</v>
      </c>
      <c r="D4636" s="0" t="str">
        <f aca="false">IF(C4636=1,MOD(ABS(SIN(ROW()*12.9898+'הדבקת לידים'!$F$2*78.233+IFERROR(--RIGHT(A4636,6),LEN(A4636))*0.0137+IFERROR(--RIGHT(B4636,6),LEN(B4636))*0.0071))*43758.5453,1),"")</f>
        <v/>
      </c>
      <c r="E4636" s="0" t="str">
        <f aca="false">IF(C4636=1,INT(MOD(ABS(SIN(D4636*7919.123+ROW()*0.618+'הדבקת לידים'!$F$2*1.3))*43758.5453,1)*1000000)*10000+ROW(),"")</f>
        <v/>
      </c>
      <c r="F4636" s="0" t="str">
        <f aca="false">IF(E4636="","",RANK(E4636,$E$2:$E$5001,1))</f>
        <v/>
      </c>
      <c r="G4636" s="0" t="n">
        <f aca="false">IF(A4636="",0,IF(SUMPRODUCT(--($A$2:$A$5001=A4636))&gt;1,1,0))</f>
        <v>0</v>
      </c>
      <c r="H4636" s="0" t="n">
        <f aca="false">ROW()-1</f>
        <v>4635</v>
      </c>
      <c r="I4636" s="0" t="str">
        <f aca="false">IF(OR(הגדרות!$E$6=0,H4636&gt;הגדרות!$E$5),"",IF(H4636-1&lt;הגדרות!$E$8*(הגדרות!$E$7+1),INT((H4636-1)/(הגדרות!$E$7+1)),הגדרות!$E$8+INT((H4636-1-הגדרות!$E$8*(הגדרות!$E$7+1))/הגדרות!$E$7)))</f>
        <v/>
      </c>
      <c r="J4636" s="0" t="str">
        <f aca="false">IF(I4636="","",IF(H4636-1&lt;הגדרות!$E$8*(הגדרות!$E$7+1),MOD(H4636-1,הגדרות!$E$7+1),MOD(H4636-1-הגדרות!$E$8*(הגדרות!$E$7+1),הגדרות!$E$7)))</f>
        <v/>
      </c>
      <c r="K4636" s="0" t="str">
        <f aca="false">IF(I4636="","",J4636*הגדרות!$E$6+I4636+1)</f>
        <v/>
      </c>
      <c r="L4636" s="0" t="str">
        <f aca="false">IF(K4636="","",MATCH(K4636,$F$2:$F$5001,0))</f>
        <v/>
      </c>
      <c r="M4636" s="0" t="str">
        <f aca="false">IF(I4636="","",INDEX(הגדרות!$A$2:$A$21,MOD(I4636+הגדרות!$E$9,הגדרות!$E$6)+1))</f>
        <v/>
      </c>
    </row>
    <row r="4637" customFormat="false" ht="15" hidden="false" customHeight="false" outlineLevel="0" collapsed="false">
      <c r="A4637" s="0" t="str">
        <f aca="false">IF('הדבקת לידים'!A4637="","",IF(ISNUMBER('הדבקת לידים'!A4637),IF(הגדרות!$E$2&gt;0,TEXT('הדבקת לידים'!A4637,REPT("0",הגדרות!$E$2)),TEXT('הדבקת לידים'!A4637,"0")),TRIM('הדבקת לידים'!A4637)))</f>
        <v/>
      </c>
      <c r="B4637" s="0" t="str">
        <f aca="false">IF('הדבקת לידים'!B4637="","",IF(ISNUMBER('הדבקת לידים'!B4637),IF(הגדרות!$E$3&gt;0,TEXT('הדבקת לידים'!B4637,REPT("0",הגדרות!$E$3)),TEXT('הדבקת לידים'!B4637,"0")),TRIM('הדבקת לידים'!B4637)))</f>
        <v/>
      </c>
      <c r="C4637" s="0" t="n">
        <f aca="false">IF(OR(A4637&lt;&gt;"",B4637&lt;&gt;""),1,0)</f>
        <v>0</v>
      </c>
      <c r="D4637" s="0" t="str">
        <f aca="false">IF(C4637=1,MOD(ABS(SIN(ROW()*12.9898+'הדבקת לידים'!$F$2*78.233+IFERROR(--RIGHT(A4637,6),LEN(A4637))*0.0137+IFERROR(--RIGHT(B4637,6),LEN(B4637))*0.0071))*43758.5453,1),"")</f>
        <v/>
      </c>
      <c r="E4637" s="0" t="str">
        <f aca="false">IF(C4637=1,INT(MOD(ABS(SIN(D4637*7919.123+ROW()*0.618+'הדבקת לידים'!$F$2*1.3))*43758.5453,1)*1000000)*10000+ROW(),"")</f>
        <v/>
      </c>
      <c r="F4637" s="0" t="str">
        <f aca="false">IF(E4637="","",RANK(E4637,$E$2:$E$5001,1))</f>
        <v/>
      </c>
      <c r="G4637" s="0" t="n">
        <f aca="false">IF(A4637="",0,IF(SUMPRODUCT(--($A$2:$A$5001=A4637))&gt;1,1,0))</f>
        <v>0</v>
      </c>
      <c r="H4637" s="0" t="n">
        <f aca="false">ROW()-1</f>
        <v>4636</v>
      </c>
      <c r="I4637" s="0" t="str">
        <f aca="false">IF(OR(הגדרות!$E$6=0,H4637&gt;הגדרות!$E$5),"",IF(H4637-1&lt;הגדרות!$E$8*(הגדרות!$E$7+1),INT((H4637-1)/(הגדרות!$E$7+1)),הגדרות!$E$8+INT((H4637-1-הגדרות!$E$8*(הגדרות!$E$7+1))/הגדרות!$E$7)))</f>
        <v/>
      </c>
      <c r="J4637" s="0" t="str">
        <f aca="false">IF(I4637="","",IF(H4637-1&lt;הגדרות!$E$8*(הגדרות!$E$7+1),MOD(H4637-1,הגדרות!$E$7+1),MOD(H4637-1-הגדרות!$E$8*(הגדרות!$E$7+1),הגדרות!$E$7)))</f>
        <v/>
      </c>
      <c r="K4637" s="0" t="str">
        <f aca="false">IF(I4637="","",J4637*הגדרות!$E$6+I4637+1)</f>
        <v/>
      </c>
      <c r="L4637" s="0" t="str">
        <f aca="false">IF(K4637="","",MATCH(K4637,$F$2:$F$5001,0))</f>
        <v/>
      </c>
      <c r="M4637" s="0" t="str">
        <f aca="false">IF(I4637="","",INDEX(הגדרות!$A$2:$A$21,MOD(I4637+הגדרות!$E$9,הגדרות!$E$6)+1))</f>
        <v/>
      </c>
    </row>
    <row r="4638" customFormat="false" ht="15" hidden="false" customHeight="false" outlineLevel="0" collapsed="false">
      <c r="A4638" s="0" t="str">
        <f aca="false">IF('הדבקת לידים'!A4638="","",IF(ISNUMBER('הדבקת לידים'!A4638),IF(הגדרות!$E$2&gt;0,TEXT('הדבקת לידים'!A4638,REPT("0",הגדרות!$E$2)),TEXT('הדבקת לידים'!A4638,"0")),TRIM('הדבקת לידים'!A4638)))</f>
        <v/>
      </c>
      <c r="B4638" s="0" t="str">
        <f aca="false">IF('הדבקת לידים'!B4638="","",IF(ISNUMBER('הדבקת לידים'!B4638),IF(הגדרות!$E$3&gt;0,TEXT('הדבקת לידים'!B4638,REPT("0",הגדרות!$E$3)),TEXT('הדבקת לידים'!B4638,"0")),TRIM('הדבקת לידים'!B4638)))</f>
        <v/>
      </c>
      <c r="C4638" s="0" t="n">
        <f aca="false">IF(OR(A4638&lt;&gt;"",B4638&lt;&gt;""),1,0)</f>
        <v>0</v>
      </c>
      <c r="D4638" s="0" t="str">
        <f aca="false">IF(C4638=1,MOD(ABS(SIN(ROW()*12.9898+'הדבקת לידים'!$F$2*78.233+IFERROR(--RIGHT(A4638,6),LEN(A4638))*0.0137+IFERROR(--RIGHT(B4638,6),LEN(B4638))*0.0071))*43758.5453,1),"")</f>
        <v/>
      </c>
      <c r="E4638" s="0" t="str">
        <f aca="false">IF(C4638=1,INT(MOD(ABS(SIN(D4638*7919.123+ROW()*0.618+'הדבקת לידים'!$F$2*1.3))*43758.5453,1)*1000000)*10000+ROW(),"")</f>
        <v/>
      </c>
      <c r="F4638" s="0" t="str">
        <f aca="false">IF(E4638="","",RANK(E4638,$E$2:$E$5001,1))</f>
        <v/>
      </c>
      <c r="G4638" s="0" t="n">
        <f aca="false">IF(A4638="",0,IF(SUMPRODUCT(--($A$2:$A$5001=A4638))&gt;1,1,0))</f>
        <v>0</v>
      </c>
      <c r="H4638" s="0" t="n">
        <f aca="false">ROW()-1</f>
        <v>4637</v>
      </c>
      <c r="I4638" s="0" t="str">
        <f aca="false">IF(OR(הגדרות!$E$6=0,H4638&gt;הגדרות!$E$5),"",IF(H4638-1&lt;הגדרות!$E$8*(הגדרות!$E$7+1),INT((H4638-1)/(הגדרות!$E$7+1)),הגדרות!$E$8+INT((H4638-1-הגדרות!$E$8*(הגדרות!$E$7+1))/הגדרות!$E$7)))</f>
        <v/>
      </c>
      <c r="J4638" s="0" t="str">
        <f aca="false">IF(I4638="","",IF(H4638-1&lt;הגדרות!$E$8*(הגדרות!$E$7+1),MOD(H4638-1,הגדרות!$E$7+1),MOD(H4638-1-הגדרות!$E$8*(הגדרות!$E$7+1),הגדרות!$E$7)))</f>
        <v/>
      </c>
      <c r="K4638" s="0" t="str">
        <f aca="false">IF(I4638="","",J4638*הגדרות!$E$6+I4638+1)</f>
        <v/>
      </c>
      <c r="L4638" s="0" t="str">
        <f aca="false">IF(K4638="","",MATCH(K4638,$F$2:$F$5001,0))</f>
        <v/>
      </c>
      <c r="M4638" s="0" t="str">
        <f aca="false">IF(I4638="","",INDEX(הגדרות!$A$2:$A$21,MOD(I4638+הגדרות!$E$9,הגדרות!$E$6)+1))</f>
        <v/>
      </c>
    </row>
    <row r="4639" customFormat="false" ht="15" hidden="false" customHeight="false" outlineLevel="0" collapsed="false">
      <c r="A4639" s="0" t="str">
        <f aca="false">IF('הדבקת לידים'!A4639="","",IF(ISNUMBER('הדבקת לידים'!A4639),IF(הגדרות!$E$2&gt;0,TEXT('הדבקת לידים'!A4639,REPT("0",הגדרות!$E$2)),TEXT('הדבקת לידים'!A4639,"0")),TRIM('הדבקת לידים'!A4639)))</f>
        <v/>
      </c>
      <c r="B4639" s="0" t="str">
        <f aca="false">IF('הדבקת לידים'!B4639="","",IF(ISNUMBER('הדבקת לידים'!B4639),IF(הגדרות!$E$3&gt;0,TEXT('הדבקת לידים'!B4639,REPT("0",הגדרות!$E$3)),TEXT('הדבקת לידים'!B4639,"0")),TRIM('הדבקת לידים'!B4639)))</f>
        <v/>
      </c>
      <c r="C4639" s="0" t="n">
        <f aca="false">IF(OR(A4639&lt;&gt;"",B4639&lt;&gt;""),1,0)</f>
        <v>0</v>
      </c>
      <c r="D4639" s="0" t="str">
        <f aca="false">IF(C4639=1,MOD(ABS(SIN(ROW()*12.9898+'הדבקת לידים'!$F$2*78.233+IFERROR(--RIGHT(A4639,6),LEN(A4639))*0.0137+IFERROR(--RIGHT(B4639,6),LEN(B4639))*0.0071))*43758.5453,1),"")</f>
        <v/>
      </c>
      <c r="E4639" s="0" t="str">
        <f aca="false">IF(C4639=1,INT(MOD(ABS(SIN(D4639*7919.123+ROW()*0.618+'הדבקת לידים'!$F$2*1.3))*43758.5453,1)*1000000)*10000+ROW(),"")</f>
        <v/>
      </c>
      <c r="F4639" s="0" t="str">
        <f aca="false">IF(E4639="","",RANK(E4639,$E$2:$E$5001,1))</f>
        <v/>
      </c>
      <c r="G4639" s="0" t="n">
        <f aca="false">IF(A4639="",0,IF(SUMPRODUCT(--($A$2:$A$5001=A4639))&gt;1,1,0))</f>
        <v>0</v>
      </c>
      <c r="H4639" s="0" t="n">
        <f aca="false">ROW()-1</f>
        <v>4638</v>
      </c>
      <c r="I4639" s="0" t="str">
        <f aca="false">IF(OR(הגדרות!$E$6=0,H4639&gt;הגדרות!$E$5),"",IF(H4639-1&lt;הגדרות!$E$8*(הגדרות!$E$7+1),INT((H4639-1)/(הגדרות!$E$7+1)),הגדרות!$E$8+INT((H4639-1-הגדרות!$E$8*(הגדרות!$E$7+1))/הגדרות!$E$7)))</f>
        <v/>
      </c>
      <c r="J4639" s="0" t="str">
        <f aca="false">IF(I4639="","",IF(H4639-1&lt;הגדרות!$E$8*(הגדרות!$E$7+1),MOD(H4639-1,הגדרות!$E$7+1),MOD(H4639-1-הגדרות!$E$8*(הגדרות!$E$7+1),הגדרות!$E$7)))</f>
        <v/>
      </c>
      <c r="K4639" s="0" t="str">
        <f aca="false">IF(I4639="","",J4639*הגדרות!$E$6+I4639+1)</f>
        <v/>
      </c>
      <c r="L4639" s="0" t="str">
        <f aca="false">IF(K4639="","",MATCH(K4639,$F$2:$F$5001,0))</f>
        <v/>
      </c>
      <c r="M4639" s="0" t="str">
        <f aca="false">IF(I4639="","",INDEX(הגדרות!$A$2:$A$21,MOD(I4639+הגדרות!$E$9,הגדרות!$E$6)+1))</f>
        <v/>
      </c>
    </row>
    <row r="4640" customFormat="false" ht="15" hidden="false" customHeight="false" outlineLevel="0" collapsed="false">
      <c r="A4640" s="0" t="str">
        <f aca="false">IF('הדבקת לידים'!A4640="","",IF(ISNUMBER('הדבקת לידים'!A4640),IF(הגדרות!$E$2&gt;0,TEXT('הדבקת לידים'!A4640,REPT("0",הגדרות!$E$2)),TEXT('הדבקת לידים'!A4640,"0")),TRIM('הדבקת לידים'!A4640)))</f>
        <v/>
      </c>
      <c r="B4640" s="0" t="str">
        <f aca="false">IF('הדבקת לידים'!B4640="","",IF(ISNUMBER('הדבקת לידים'!B4640),IF(הגדרות!$E$3&gt;0,TEXT('הדבקת לידים'!B4640,REPT("0",הגדרות!$E$3)),TEXT('הדבקת לידים'!B4640,"0")),TRIM('הדבקת לידים'!B4640)))</f>
        <v/>
      </c>
      <c r="C4640" s="0" t="n">
        <f aca="false">IF(OR(A4640&lt;&gt;"",B4640&lt;&gt;""),1,0)</f>
        <v>0</v>
      </c>
      <c r="D4640" s="0" t="str">
        <f aca="false">IF(C4640=1,MOD(ABS(SIN(ROW()*12.9898+'הדבקת לידים'!$F$2*78.233+IFERROR(--RIGHT(A4640,6),LEN(A4640))*0.0137+IFERROR(--RIGHT(B4640,6),LEN(B4640))*0.0071))*43758.5453,1),"")</f>
        <v/>
      </c>
      <c r="E4640" s="0" t="str">
        <f aca="false">IF(C4640=1,INT(MOD(ABS(SIN(D4640*7919.123+ROW()*0.618+'הדבקת לידים'!$F$2*1.3))*43758.5453,1)*1000000)*10000+ROW(),"")</f>
        <v/>
      </c>
      <c r="F4640" s="0" t="str">
        <f aca="false">IF(E4640="","",RANK(E4640,$E$2:$E$5001,1))</f>
        <v/>
      </c>
      <c r="G4640" s="0" t="n">
        <f aca="false">IF(A4640="",0,IF(SUMPRODUCT(--($A$2:$A$5001=A4640))&gt;1,1,0))</f>
        <v>0</v>
      </c>
      <c r="H4640" s="0" t="n">
        <f aca="false">ROW()-1</f>
        <v>4639</v>
      </c>
      <c r="I4640" s="0" t="str">
        <f aca="false">IF(OR(הגדרות!$E$6=0,H4640&gt;הגדרות!$E$5),"",IF(H4640-1&lt;הגדרות!$E$8*(הגדרות!$E$7+1),INT((H4640-1)/(הגדרות!$E$7+1)),הגדרות!$E$8+INT((H4640-1-הגדרות!$E$8*(הגדרות!$E$7+1))/הגדרות!$E$7)))</f>
        <v/>
      </c>
      <c r="J4640" s="0" t="str">
        <f aca="false">IF(I4640="","",IF(H4640-1&lt;הגדרות!$E$8*(הגדרות!$E$7+1),MOD(H4640-1,הגדרות!$E$7+1),MOD(H4640-1-הגדרות!$E$8*(הגדרות!$E$7+1),הגדרות!$E$7)))</f>
        <v/>
      </c>
      <c r="K4640" s="0" t="str">
        <f aca="false">IF(I4640="","",J4640*הגדרות!$E$6+I4640+1)</f>
        <v/>
      </c>
      <c r="L4640" s="0" t="str">
        <f aca="false">IF(K4640="","",MATCH(K4640,$F$2:$F$5001,0))</f>
        <v/>
      </c>
      <c r="M4640" s="0" t="str">
        <f aca="false">IF(I4640="","",INDEX(הגדרות!$A$2:$A$21,MOD(I4640+הגדרות!$E$9,הגדרות!$E$6)+1))</f>
        <v/>
      </c>
    </row>
    <row r="4641" customFormat="false" ht="15" hidden="false" customHeight="false" outlineLevel="0" collapsed="false">
      <c r="A4641" s="0" t="str">
        <f aca="false">IF('הדבקת לידים'!A4641="","",IF(ISNUMBER('הדבקת לידים'!A4641),IF(הגדרות!$E$2&gt;0,TEXT('הדבקת לידים'!A4641,REPT("0",הגדרות!$E$2)),TEXT('הדבקת לידים'!A4641,"0")),TRIM('הדבקת לידים'!A4641)))</f>
        <v/>
      </c>
      <c r="B4641" s="0" t="str">
        <f aca="false">IF('הדבקת לידים'!B4641="","",IF(ISNUMBER('הדבקת לידים'!B4641),IF(הגדרות!$E$3&gt;0,TEXT('הדבקת לידים'!B4641,REPT("0",הגדרות!$E$3)),TEXT('הדבקת לידים'!B4641,"0")),TRIM('הדבקת לידים'!B4641)))</f>
        <v/>
      </c>
      <c r="C4641" s="0" t="n">
        <f aca="false">IF(OR(A4641&lt;&gt;"",B4641&lt;&gt;""),1,0)</f>
        <v>0</v>
      </c>
      <c r="D4641" s="0" t="str">
        <f aca="false">IF(C4641=1,MOD(ABS(SIN(ROW()*12.9898+'הדבקת לידים'!$F$2*78.233+IFERROR(--RIGHT(A4641,6),LEN(A4641))*0.0137+IFERROR(--RIGHT(B4641,6),LEN(B4641))*0.0071))*43758.5453,1),"")</f>
        <v/>
      </c>
      <c r="E4641" s="0" t="str">
        <f aca="false">IF(C4641=1,INT(MOD(ABS(SIN(D4641*7919.123+ROW()*0.618+'הדבקת לידים'!$F$2*1.3))*43758.5453,1)*1000000)*10000+ROW(),"")</f>
        <v/>
      </c>
      <c r="F4641" s="0" t="str">
        <f aca="false">IF(E4641="","",RANK(E4641,$E$2:$E$5001,1))</f>
        <v/>
      </c>
      <c r="G4641" s="0" t="n">
        <f aca="false">IF(A4641="",0,IF(SUMPRODUCT(--($A$2:$A$5001=A4641))&gt;1,1,0))</f>
        <v>0</v>
      </c>
      <c r="H4641" s="0" t="n">
        <f aca="false">ROW()-1</f>
        <v>4640</v>
      </c>
      <c r="I4641" s="0" t="str">
        <f aca="false">IF(OR(הגדרות!$E$6=0,H4641&gt;הגדרות!$E$5),"",IF(H4641-1&lt;הגדרות!$E$8*(הגדרות!$E$7+1),INT((H4641-1)/(הגדרות!$E$7+1)),הגדרות!$E$8+INT((H4641-1-הגדרות!$E$8*(הגדרות!$E$7+1))/הגדרות!$E$7)))</f>
        <v/>
      </c>
      <c r="J4641" s="0" t="str">
        <f aca="false">IF(I4641="","",IF(H4641-1&lt;הגדרות!$E$8*(הגדרות!$E$7+1),MOD(H4641-1,הגדרות!$E$7+1),MOD(H4641-1-הגדרות!$E$8*(הגדרות!$E$7+1),הגדרות!$E$7)))</f>
        <v/>
      </c>
      <c r="K4641" s="0" t="str">
        <f aca="false">IF(I4641="","",J4641*הגדרות!$E$6+I4641+1)</f>
        <v/>
      </c>
      <c r="L4641" s="0" t="str">
        <f aca="false">IF(K4641="","",MATCH(K4641,$F$2:$F$5001,0))</f>
        <v/>
      </c>
      <c r="M4641" s="0" t="str">
        <f aca="false">IF(I4641="","",INDEX(הגדרות!$A$2:$A$21,MOD(I4641+הגדרות!$E$9,הגדרות!$E$6)+1))</f>
        <v/>
      </c>
    </row>
    <row r="4642" customFormat="false" ht="15" hidden="false" customHeight="false" outlineLevel="0" collapsed="false">
      <c r="A4642" s="0" t="str">
        <f aca="false">IF('הדבקת לידים'!A4642="","",IF(ISNUMBER('הדבקת לידים'!A4642),IF(הגדרות!$E$2&gt;0,TEXT('הדבקת לידים'!A4642,REPT("0",הגדרות!$E$2)),TEXT('הדבקת לידים'!A4642,"0")),TRIM('הדבקת לידים'!A4642)))</f>
        <v/>
      </c>
      <c r="B4642" s="0" t="str">
        <f aca="false">IF('הדבקת לידים'!B4642="","",IF(ISNUMBER('הדבקת לידים'!B4642),IF(הגדרות!$E$3&gt;0,TEXT('הדבקת לידים'!B4642,REPT("0",הגדרות!$E$3)),TEXT('הדבקת לידים'!B4642,"0")),TRIM('הדבקת לידים'!B4642)))</f>
        <v/>
      </c>
      <c r="C4642" s="0" t="n">
        <f aca="false">IF(OR(A4642&lt;&gt;"",B4642&lt;&gt;""),1,0)</f>
        <v>0</v>
      </c>
      <c r="D4642" s="0" t="str">
        <f aca="false">IF(C4642=1,MOD(ABS(SIN(ROW()*12.9898+'הדבקת לידים'!$F$2*78.233+IFERROR(--RIGHT(A4642,6),LEN(A4642))*0.0137+IFERROR(--RIGHT(B4642,6),LEN(B4642))*0.0071))*43758.5453,1),"")</f>
        <v/>
      </c>
      <c r="E4642" s="0" t="str">
        <f aca="false">IF(C4642=1,INT(MOD(ABS(SIN(D4642*7919.123+ROW()*0.618+'הדבקת לידים'!$F$2*1.3))*43758.5453,1)*1000000)*10000+ROW(),"")</f>
        <v/>
      </c>
      <c r="F4642" s="0" t="str">
        <f aca="false">IF(E4642="","",RANK(E4642,$E$2:$E$5001,1))</f>
        <v/>
      </c>
      <c r="G4642" s="0" t="n">
        <f aca="false">IF(A4642="",0,IF(SUMPRODUCT(--($A$2:$A$5001=A4642))&gt;1,1,0))</f>
        <v>0</v>
      </c>
      <c r="H4642" s="0" t="n">
        <f aca="false">ROW()-1</f>
        <v>4641</v>
      </c>
      <c r="I4642" s="0" t="str">
        <f aca="false">IF(OR(הגדרות!$E$6=0,H4642&gt;הגדרות!$E$5),"",IF(H4642-1&lt;הגדרות!$E$8*(הגדרות!$E$7+1),INT((H4642-1)/(הגדרות!$E$7+1)),הגדרות!$E$8+INT((H4642-1-הגדרות!$E$8*(הגדרות!$E$7+1))/הגדרות!$E$7)))</f>
        <v/>
      </c>
      <c r="J4642" s="0" t="str">
        <f aca="false">IF(I4642="","",IF(H4642-1&lt;הגדרות!$E$8*(הגדרות!$E$7+1),MOD(H4642-1,הגדרות!$E$7+1),MOD(H4642-1-הגדרות!$E$8*(הגדרות!$E$7+1),הגדרות!$E$7)))</f>
        <v/>
      </c>
      <c r="K4642" s="0" t="str">
        <f aca="false">IF(I4642="","",J4642*הגדרות!$E$6+I4642+1)</f>
        <v/>
      </c>
      <c r="L4642" s="0" t="str">
        <f aca="false">IF(K4642="","",MATCH(K4642,$F$2:$F$5001,0))</f>
        <v/>
      </c>
      <c r="M4642" s="0" t="str">
        <f aca="false">IF(I4642="","",INDEX(הגדרות!$A$2:$A$21,MOD(I4642+הגדרות!$E$9,הגדרות!$E$6)+1))</f>
        <v/>
      </c>
    </row>
    <row r="4643" customFormat="false" ht="15" hidden="false" customHeight="false" outlineLevel="0" collapsed="false">
      <c r="A4643" s="0" t="str">
        <f aca="false">IF('הדבקת לידים'!A4643="","",IF(ISNUMBER('הדבקת לידים'!A4643),IF(הגדרות!$E$2&gt;0,TEXT('הדבקת לידים'!A4643,REPT("0",הגדרות!$E$2)),TEXT('הדבקת לידים'!A4643,"0")),TRIM('הדבקת לידים'!A4643)))</f>
        <v/>
      </c>
      <c r="B4643" s="0" t="str">
        <f aca="false">IF('הדבקת לידים'!B4643="","",IF(ISNUMBER('הדבקת לידים'!B4643),IF(הגדרות!$E$3&gt;0,TEXT('הדבקת לידים'!B4643,REPT("0",הגדרות!$E$3)),TEXT('הדבקת לידים'!B4643,"0")),TRIM('הדבקת לידים'!B4643)))</f>
        <v/>
      </c>
      <c r="C4643" s="0" t="n">
        <f aca="false">IF(OR(A4643&lt;&gt;"",B4643&lt;&gt;""),1,0)</f>
        <v>0</v>
      </c>
      <c r="D4643" s="0" t="str">
        <f aca="false">IF(C4643=1,MOD(ABS(SIN(ROW()*12.9898+'הדבקת לידים'!$F$2*78.233+IFERROR(--RIGHT(A4643,6),LEN(A4643))*0.0137+IFERROR(--RIGHT(B4643,6),LEN(B4643))*0.0071))*43758.5453,1),"")</f>
        <v/>
      </c>
      <c r="E4643" s="0" t="str">
        <f aca="false">IF(C4643=1,INT(MOD(ABS(SIN(D4643*7919.123+ROW()*0.618+'הדבקת לידים'!$F$2*1.3))*43758.5453,1)*1000000)*10000+ROW(),"")</f>
        <v/>
      </c>
      <c r="F4643" s="0" t="str">
        <f aca="false">IF(E4643="","",RANK(E4643,$E$2:$E$5001,1))</f>
        <v/>
      </c>
      <c r="G4643" s="0" t="n">
        <f aca="false">IF(A4643="",0,IF(SUMPRODUCT(--($A$2:$A$5001=A4643))&gt;1,1,0))</f>
        <v>0</v>
      </c>
      <c r="H4643" s="0" t="n">
        <f aca="false">ROW()-1</f>
        <v>4642</v>
      </c>
      <c r="I4643" s="0" t="str">
        <f aca="false">IF(OR(הגדרות!$E$6=0,H4643&gt;הגדרות!$E$5),"",IF(H4643-1&lt;הגדרות!$E$8*(הגדרות!$E$7+1),INT((H4643-1)/(הגדרות!$E$7+1)),הגדרות!$E$8+INT((H4643-1-הגדרות!$E$8*(הגדרות!$E$7+1))/הגדרות!$E$7)))</f>
        <v/>
      </c>
      <c r="J4643" s="0" t="str">
        <f aca="false">IF(I4643="","",IF(H4643-1&lt;הגדרות!$E$8*(הגדרות!$E$7+1),MOD(H4643-1,הגדרות!$E$7+1),MOD(H4643-1-הגדרות!$E$8*(הגדרות!$E$7+1),הגדרות!$E$7)))</f>
        <v/>
      </c>
      <c r="K4643" s="0" t="str">
        <f aca="false">IF(I4643="","",J4643*הגדרות!$E$6+I4643+1)</f>
        <v/>
      </c>
      <c r="L4643" s="0" t="str">
        <f aca="false">IF(K4643="","",MATCH(K4643,$F$2:$F$5001,0))</f>
        <v/>
      </c>
      <c r="M4643" s="0" t="str">
        <f aca="false">IF(I4643="","",INDEX(הגדרות!$A$2:$A$21,MOD(I4643+הגדרות!$E$9,הגדרות!$E$6)+1))</f>
        <v/>
      </c>
    </row>
    <row r="4644" customFormat="false" ht="15" hidden="false" customHeight="false" outlineLevel="0" collapsed="false">
      <c r="A4644" s="0" t="str">
        <f aca="false">IF('הדבקת לידים'!A4644="","",IF(ISNUMBER('הדבקת לידים'!A4644),IF(הגדרות!$E$2&gt;0,TEXT('הדבקת לידים'!A4644,REPT("0",הגדרות!$E$2)),TEXT('הדבקת לידים'!A4644,"0")),TRIM('הדבקת לידים'!A4644)))</f>
        <v/>
      </c>
      <c r="B4644" s="0" t="str">
        <f aca="false">IF('הדבקת לידים'!B4644="","",IF(ISNUMBER('הדבקת לידים'!B4644),IF(הגדרות!$E$3&gt;0,TEXT('הדבקת לידים'!B4644,REPT("0",הגדרות!$E$3)),TEXT('הדבקת לידים'!B4644,"0")),TRIM('הדבקת לידים'!B4644)))</f>
        <v/>
      </c>
      <c r="C4644" s="0" t="n">
        <f aca="false">IF(OR(A4644&lt;&gt;"",B4644&lt;&gt;""),1,0)</f>
        <v>0</v>
      </c>
      <c r="D4644" s="0" t="str">
        <f aca="false">IF(C4644=1,MOD(ABS(SIN(ROW()*12.9898+'הדבקת לידים'!$F$2*78.233+IFERROR(--RIGHT(A4644,6),LEN(A4644))*0.0137+IFERROR(--RIGHT(B4644,6),LEN(B4644))*0.0071))*43758.5453,1),"")</f>
        <v/>
      </c>
      <c r="E4644" s="0" t="str">
        <f aca="false">IF(C4644=1,INT(MOD(ABS(SIN(D4644*7919.123+ROW()*0.618+'הדבקת לידים'!$F$2*1.3))*43758.5453,1)*1000000)*10000+ROW(),"")</f>
        <v/>
      </c>
      <c r="F4644" s="0" t="str">
        <f aca="false">IF(E4644="","",RANK(E4644,$E$2:$E$5001,1))</f>
        <v/>
      </c>
      <c r="G4644" s="0" t="n">
        <f aca="false">IF(A4644="",0,IF(SUMPRODUCT(--($A$2:$A$5001=A4644))&gt;1,1,0))</f>
        <v>0</v>
      </c>
      <c r="H4644" s="0" t="n">
        <f aca="false">ROW()-1</f>
        <v>4643</v>
      </c>
      <c r="I4644" s="0" t="str">
        <f aca="false">IF(OR(הגדרות!$E$6=0,H4644&gt;הגדרות!$E$5),"",IF(H4644-1&lt;הגדרות!$E$8*(הגדרות!$E$7+1),INT((H4644-1)/(הגדרות!$E$7+1)),הגדרות!$E$8+INT((H4644-1-הגדרות!$E$8*(הגדרות!$E$7+1))/הגדרות!$E$7)))</f>
        <v/>
      </c>
      <c r="J4644" s="0" t="str">
        <f aca="false">IF(I4644="","",IF(H4644-1&lt;הגדרות!$E$8*(הגדרות!$E$7+1),MOD(H4644-1,הגדרות!$E$7+1),MOD(H4644-1-הגדרות!$E$8*(הגדרות!$E$7+1),הגדרות!$E$7)))</f>
        <v/>
      </c>
      <c r="K4644" s="0" t="str">
        <f aca="false">IF(I4644="","",J4644*הגדרות!$E$6+I4644+1)</f>
        <v/>
      </c>
      <c r="L4644" s="0" t="str">
        <f aca="false">IF(K4644="","",MATCH(K4644,$F$2:$F$5001,0))</f>
        <v/>
      </c>
      <c r="M4644" s="0" t="str">
        <f aca="false">IF(I4644="","",INDEX(הגדרות!$A$2:$A$21,MOD(I4644+הגדרות!$E$9,הגדרות!$E$6)+1))</f>
        <v/>
      </c>
    </row>
    <row r="4645" customFormat="false" ht="15" hidden="false" customHeight="false" outlineLevel="0" collapsed="false">
      <c r="A4645" s="0" t="str">
        <f aca="false">IF('הדבקת לידים'!A4645="","",IF(ISNUMBER('הדבקת לידים'!A4645),IF(הגדרות!$E$2&gt;0,TEXT('הדבקת לידים'!A4645,REPT("0",הגדרות!$E$2)),TEXT('הדבקת לידים'!A4645,"0")),TRIM('הדבקת לידים'!A4645)))</f>
        <v/>
      </c>
      <c r="B4645" s="0" t="str">
        <f aca="false">IF('הדבקת לידים'!B4645="","",IF(ISNUMBER('הדבקת לידים'!B4645),IF(הגדרות!$E$3&gt;0,TEXT('הדבקת לידים'!B4645,REPT("0",הגדרות!$E$3)),TEXT('הדבקת לידים'!B4645,"0")),TRIM('הדבקת לידים'!B4645)))</f>
        <v/>
      </c>
      <c r="C4645" s="0" t="n">
        <f aca="false">IF(OR(A4645&lt;&gt;"",B4645&lt;&gt;""),1,0)</f>
        <v>0</v>
      </c>
      <c r="D4645" s="0" t="str">
        <f aca="false">IF(C4645=1,MOD(ABS(SIN(ROW()*12.9898+'הדבקת לידים'!$F$2*78.233+IFERROR(--RIGHT(A4645,6),LEN(A4645))*0.0137+IFERROR(--RIGHT(B4645,6),LEN(B4645))*0.0071))*43758.5453,1),"")</f>
        <v/>
      </c>
      <c r="E4645" s="0" t="str">
        <f aca="false">IF(C4645=1,INT(MOD(ABS(SIN(D4645*7919.123+ROW()*0.618+'הדבקת לידים'!$F$2*1.3))*43758.5453,1)*1000000)*10000+ROW(),"")</f>
        <v/>
      </c>
      <c r="F4645" s="0" t="str">
        <f aca="false">IF(E4645="","",RANK(E4645,$E$2:$E$5001,1))</f>
        <v/>
      </c>
      <c r="G4645" s="0" t="n">
        <f aca="false">IF(A4645="",0,IF(SUMPRODUCT(--($A$2:$A$5001=A4645))&gt;1,1,0))</f>
        <v>0</v>
      </c>
      <c r="H4645" s="0" t="n">
        <f aca="false">ROW()-1</f>
        <v>4644</v>
      </c>
      <c r="I4645" s="0" t="str">
        <f aca="false">IF(OR(הגדרות!$E$6=0,H4645&gt;הגדרות!$E$5),"",IF(H4645-1&lt;הגדרות!$E$8*(הגדרות!$E$7+1),INT((H4645-1)/(הגדרות!$E$7+1)),הגדרות!$E$8+INT((H4645-1-הגדרות!$E$8*(הגדרות!$E$7+1))/הגדרות!$E$7)))</f>
        <v/>
      </c>
      <c r="J4645" s="0" t="str">
        <f aca="false">IF(I4645="","",IF(H4645-1&lt;הגדרות!$E$8*(הגדרות!$E$7+1),MOD(H4645-1,הגדרות!$E$7+1),MOD(H4645-1-הגדרות!$E$8*(הגדרות!$E$7+1),הגדרות!$E$7)))</f>
        <v/>
      </c>
      <c r="K4645" s="0" t="str">
        <f aca="false">IF(I4645="","",J4645*הגדרות!$E$6+I4645+1)</f>
        <v/>
      </c>
      <c r="L4645" s="0" t="str">
        <f aca="false">IF(K4645="","",MATCH(K4645,$F$2:$F$5001,0))</f>
        <v/>
      </c>
      <c r="M4645" s="0" t="str">
        <f aca="false">IF(I4645="","",INDEX(הגדרות!$A$2:$A$21,MOD(I4645+הגדרות!$E$9,הגדרות!$E$6)+1))</f>
        <v/>
      </c>
    </row>
    <row r="4646" customFormat="false" ht="15" hidden="false" customHeight="false" outlineLevel="0" collapsed="false">
      <c r="A4646" s="0" t="str">
        <f aca="false">IF('הדבקת לידים'!A4646="","",IF(ISNUMBER('הדבקת לידים'!A4646),IF(הגדרות!$E$2&gt;0,TEXT('הדבקת לידים'!A4646,REPT("0",הגדרות!$E$2)),TEXT('הדבקת לידים'!A4646,"0")),TRIM('הדבקת לידים'!A4646)))</f>
        <v/>
      </c>
      <c r="B4646" s="0" t="str">
        <f aca="false">IF('הדבקת לידים'!B4646="","",IF(ISNUMBER('הדבקת לידים'!B4646),IF(הגדרות!$E$3&gt;0,TEXT('הדבקת לידים'!B4646,REPT("0",הגדרות!$E$3)),TEXT('הדבקת לידים'!B4646,"0")),TRIM('הדבקת לידים'!B4646)))</f>
        <v/>
      </c>
      <c r="C4646" s="0" t="n">
        <f aca="false">IF(OR(A4646&lt;&gt;"",B4646&lt;&gt;""),1,0)</f>
        <v>0</v>
      </c>
      <c r="D4646" s="0" t="str">
        <f aca="false">IF(C4646=1,MOD(ABS(SIN(ROW()*12.9898+'הדבקת לידים'!$F$2*78.233+IFERROR(--RIGHT(A4646,6),LEN(A4646))*0.0137+IFERROR(--RIGHT(B4646,6),LEN(B4646))*0.0071))*43758.5453,1),"")</f>
        <v/>
      </c>
      <c r="E4646" s="0" t="str">
        <f aca="false">IF(C4646=1,INT(MOD(ABS(SIN(D4646*7919.123+ROW()*0.618+'הדבקת לידים'!$F$2*1.3))*43758.5453,1)*1000000)*10000+ROW(),"")</f>
        <v/>
      </c>
      <c r="F4646" s="0" t="str">
        <f aca="false">IF(E4646="","",RANK(E4646,$E$2:$E$5001,1))</f>
        <v/>
      </c>
      <c r="G4646" s="0" t="n">
        <f aca="false">IF(A4646="",0,IF(SUMPRODUCT(--($A$2:$A$5001=A4646))&gt;1,1,0))</f>
        <v>0</v>
      </c>
      <c r="H4646" s="0" t="n">
        <f aca="false">ROW()-1</f>
        <v>4645</v>
      </c>
      <c r="I4646" s="0" t="str">
        <f aca="false">IF(OR(הגדרות!$E$6=0,H4646&gt;הגדרות!$E$5),"",IF(H4646-1&lt;הגדרות!$E$8*(הגדרות!$E$7+1),INT((H4646-1)/(הגדרות!$E$7+1)),הגדרות!$E$8+INT((H4646-1-הגדרות!$E$8*(הגדרות!$E$7+1))/הגדרות!$E$7)))</f>
        <v/>
      </c>
      <c r="J4646" s="0" t="str">
        <f aca="false">IF(I4646="","",IF(H4646-1&lt;הגדרות!$E$8*(הגדרות!$E$7+1),MOD(H4646-1,הגדרות!$E$7+1),MOD(H4646-1-הגדרות!$E$8*(הגדרות!$E$7+1),הגדרות!$E$7)))</f>
        <v/>
      </c>
      <c r="K4646" s="0" t="str">
        <f aca="false">IF(I4646="","",J4646*הגדרות!$E$6+I4646+1)</f>
        <v/>
      </c>
      <c r="L4646" s="0" t="str">
        <f aca="false">IF(K4646="","",MATCH(K4646,$F$2:$F$5001,0))</f>
        <v/>
      </c>
      <c r="M4646" s="0" t="str">
        <f aca="false">IF(I4646="","",INDEX(הגדרות!$A$2:$A$21,MOD(I4646+הגדרות!$E$9,הגדרות!$E$6)+1))</f>
        <v/>
      </c>
    </row>
    <row r="4647" customFormat="false" ht="15" hidden="false" customHeight="false" outlineLevel="0" collapsed="false">
      <c r="A4647" s="0" t="str">
        <f aca="false">IF('הדבקת לידים'!A4647="","",IF(ISNUMBER('הדבקת לידים'!A4647),IF(הגדרות!$E$2&gt;0,TEXT('הדבקת לידים'!A4647,REPT("0",הגדרות!$E$2)),TEXT('הדבקת לידים'!A4647,"0")),TRIM('הדבקת לידים'!A4647)))</f>
        <v/>
      </c>
      <c r="B4647" s="0" t="str">
        <f aca="false">IF('הדבקת לידים'!B4647="","",IF(ISNUMBER('הדבקת לידים'!B4647),IF(הגדרות!$E$3&gt;0,TEXT('הדבקת לידים'!B4647,REPT("0",הגדרות!$E$3)),TEXT('הדבקת לידים'!B4647,"0")),TRIM('הדבקת לידים'!B4647)))</f>
        <v/>
      </c>
      <c r="C4647" s="0" t="n">
        <f aca="false">IF(OR(A4647&lt;&gt;"",B4647&lt;&gt;""),1,0)</f>
        <v>0</v>
      </c>
      <c r="D4647" s="0" t="str">
        <f aca="false">IF(C4647=1,MOD(ABS(SIN(ROW()*12.9898+'הדבקת לידים'!$F$2*78.233+IFERROR(--RIGHT(A4647,6),LEN(A4647))*0.0137+IFERROR(--RIGHT(B4647,6),LEN(B4647))*0.0071))*43758.5453,1),"")</f>
        <v/>
      </c>
      <c r="E4647" s="0" t="str">
        <f aca="false">IF(C4647=1,INT(MOD(ABS(SIN(D4647*7919.123+ROW()*0.618+'הדבקת לידים'!$F$2*1.3))*43758.5453,1)*1000000)*10000+ROW(),"")</f>
        <v/>
      </c>
      <c r="F4647" s="0" t="str">
        <f aca="false">IF(E4647="","",RANK(E4647,$E$2:$E$5001,1))</f>
        <v/>
      </c>
      <c r="G4647" s="0" t="n">
        <f aca="false">IF(A4647="",0,IF(SUMPRODUCT(--($A$2:$A$5001=A4647))&gt;1,1,0))</f>
        <v>0</v>
      </c>
      <c r="H4647" s="0" t="n">
        <f aca="false">ROW()-1</f>
        <v>4646</v>
      </c>
      <c r="I4647" s="0" t="str">
        <f aca="false">IF(OR(הגדרות!$E$6=0,H4647&gt;הגדרות!$E$5),"",IF(H4647-1&lt;הגדרות!$E$8*(הגדרות!$E$7+1),INT((H4647-1)/(הגדרות!$E$7+1)),הגדרות!$E$8+INT((H4647-1-הגדרות!$E$8*(הגדרות!$E$7+1))/הגדרות!$E$7)))</f>
        <v/>
      </c>
      <c r="J4647" s="0" t="str">
        <f aca="false">IF(I4647="","",IF(H4647-1&lt;הגדרות!$E$8*(הגדרות!$E$7+1),MOD(H4647-1,הגדרות!$E$7+1),MOD(H4647-1-הגדרות!$E$8*(הגדרות!$E$7+1),הגדרות!$E$7)))</f>
        <v/>
      </c>
      <c r="K4647" s="0" t="str">
        <f aca="false">IF(I4647="","",J4647*הגדרות!$E$6+I4647+1)</f>
        <v/>
      </c>
      <c r="L4647" s="0" t="str">
        <f aca="false">IF(K4647="","",MATCH(K4647,$F$2:$F$5001,0))</f>
        <v/>
      </c>
      <c r="M4647" s="0" t="str">
        <f aca="false">IF(I4647="","",INDEX(הגדרות!$A$2:$A$21,MOD(I4647+הגדרות!$E$9,הגדרות!$E$6)+1))</f>
        <v/>
      </c>
    </row>
    <row r="4648" customFormat="false" ht="15" hidden="false" customHeight="false" outlineLevel="0" collapsed="false">
      <c r="A4648" s="0" t="str">
        <f aca="false">IF('הדבקת לידים'!A4648="","",IF(ISNUMBER('הדבקת לידים'!A4648),IF(הגדרות!$E$2&gt;0,TEXT('הדבקת לידים'!A4648,REPT("0",הגדרות!$E$2)),TEXT('הדבקת לידים'!A4648,"0")),TRIM('הדבקת לידים'!A4648)))</f>
        <v/>
      </c>
      <c r="B4648" s="0" t="str">
        <f aca="false">IF('הדבקת לידים'!B4648="","",IF(ISNUMBER('הדבקת לידים'!B4648),IF(הגדרות!$E$3&gt;0,TEXT('הדבקת לידים'!B4648,REPT("0",הגדרות!$E$3)),TEXT('הדבקת לידים'!B4648,"0")),TRIM('הדבקת לידים'!B4648)))</f>
        <v/>
      </c>
      <c r="C4648" s="0" t="n">
        <f aca="false">IF(OR(A4648&lt;&gt;"",B4648&lt;&gt;""),1,0)</f>
        <v>0</v>
      </c>
      <c r="D4648" s="0" t="str">
        <f aca="false">IF(C4648=1,MOD(ABS(SIN(ROW()*12.9898+'הדבקת לידים'!$F$2*78.233+IFERROR(--RIGHT(A4648,6),LEN(A4648))*0.0137+IFERROR(--RIGHT(B4648,6),LEN(B4648))*0.0071))*43758.5453,1),"")</f>
        <v/>
      </c>
      <c r="E4648" s="0" t="str">
        <f aca="false">IF(C4648=1,INT(MOD(ABS(SIN(D4648*7919.123+ROW()*0.618+'הדבקת לידים'!$F$2*1.3))*43758.5453,1)*1000000)*10000+ROW(),"")</f>
        <v/>
      </c>
      <c r="F4648" s="0" t="str">
        <f aca="false">IF(E4648="","",RANK(E4648,$E$2:$E$5001,1))</f>
        <v/>
      </c>
      <c r="G4648" s="0" t="n">
        <f aca="false">IF(A4648="",0,IF(SUMPRODUCT(--($A$2:$A$5001=A4648))&gt;1,1,0))</f>
        <v>0</v>
      </c>
      <c r="H4648" s="0" t="n">
        <f aca="false">ROW()-1</f>
        <v>4647</v>
      </c>
      <c r="I4648" s="0" t="str">
        <f aca="false">IF(OR(הגדרות!$E$6=0,H4648&gt;הגדרות!$E$5),"",IF(H4648-1&lt;הגדרות!$E$8*(הגדרות!$E$7+1),INT((H4648-1)/(הגדרות!$E$7+1)),הגדרות!$E$8+INT((H4648-1-הגדרות!$E$8*(הגדרות!$E$7+1))/הגדרות!$E$7)))</f>
        <v/>
      </c>
      <c r="J4648" s="0" t="str">
        <f aca="false">IF(I4648="","",IF(H4648-1&lt;הגדרות!$E$8*(הגדרות!$E$7+1),MOD(H4648-1,הגדרות!$E$7+1),MOD(H4648-1-הגדרות!$E$8*(הגדרות!$E$7+1),הגדרות!$E$7)))</f>
        <v/>
      </c>
      <c r="K4648" s="0" t="str">
        <f aca="false">IF(I4648="","",J4648*הגדרות!$E$6+I4648+1)</f>
        <v/>
      </c>
      <c r="L4648" s="0" t="str">
        <f aca="false">IF(K4648="","",MATCH(K4648,$F$2:$F$5001,0))</f>
        <v/>
      </c>
      <c r="M4648" s="0" t="str">
        <f aca="false">IF(I4648="","",INDEX(הגדרות!$A$2:$A$21,MOD(I4648+הגדרות!$E$9,הגדרות!$E$6)+1))</f>
        <v/>
      </c>
    </row>
    <row r="4649" customFormat="false" ht="15" hidden="false" customHeight="false" outlineLevel="0" collapsed="false">
      <c r="A4649" s="0" t="str">
        <f aca="false">IF('הדבקת לידים'!A4649="","",IF(ISNUMBER('הדבקת לידים'!A4649),IF(הגדרות!$E$2&gt;0,TEXT('הדבקת לידים'!A4649,REPT("0",הגדרות!$E$2)),TEXT('הדבקת לידים'!A4649,"0")),TRIM('הדבקת לידים'!A4649)))</f>
        <v/>
      </c>
      <c r="B4649" s="0" t="str">
        <f aca="false">IF('הדבקת לידים'!B4649="","",IF(ISNUMBER('הדבקת לידים'!B4649),IF(הגדרות!$E$3&gt;0,TEXT('הדבקת לידים'!B4649,REPT("0",הגדרות!$E$3)),TEXT('הדבקת לידים'!B4649,"0")),TRIM('הדבקת לידים'!B4649)))</f>
        <v/>
      </c>
      <c r="C4649" s="0" t="n">
        <f aca="false">IF(OR(A4649&lt;&gt;"",B4649&lt;&gt;""),1,0)</f>
        <v>0</v>
      </c>
      <c r="D4649" s="0" t="str">
        <f aca="false">IF(C4649=1,MOD(ABS(SIN(ROW()*12.9898+'הדבקת לידים'!$F$2*78.233+IFERROR(--RIGHT(A4649,6),LEN(A4649))*0.0137+IFERROR(--RIGHT(B4649,6),LEN(B4649))*0.0071))*43758.5453,1),"")</f>
        <v/>
      </c>
      <c r="E4649" s="0" t="str">
        <f aca="false">IF(C4649=1,INT(MOD(ABS(SIN(D4649*7919.123+ROW()*0.618+'הדבקת לידים'!$F$2*1.3))*43758.5453,1)*1000000)*10000+ROW(),"")</f>
        <v/>
      </c>
      <c r="F4649" s="0" t="str">
        <f aca="false">IF(E4649="","",RANK(E4649,$E$2:$E$5001,1))</f>
        <v/>
      </c>
      <c r="G4649" s="0" t="n">
        <f aca="false">IF(A4649="",0,IF(SUMPRODUCT(--($A$2:$A$5001=A4649))&gt;1,1,0))</f>
        <v>0</v>
      </c>
      <c r="H4649" s="0" t="n">
        <f aca="false">ROW()-1</f>
        <v>4648</v>
      </c>
      <c r="I4649" s="0" t="str">
        <f aca="false">IF(OR(הגדרות!$E$6=0,H4649&gt;הגדרות!$E$5),"",IF(H4649-1&lt;הגדרות!$E$8*(הגדרות!$E$7+1),INT((H4649-1)/(הגדרות!$E$7+1)),הגדרות!$E$8+INT((H4649-1-הגדרות!$E$8*(הגדרות!$E$7+1))/הגדרות!$E$7)))</f>
        <v/>
      </c>
      <c r="J4649" s="0" t="str">
        <f aca="false">IF(I4649="","",IF(H4649-1&lt;הגדרות!$E$8*(הגדרות!$E$7+1),MOD(H4649-1,הגדרות!$E$7+1),MOD(H4649-1-הגדרות!$E$8*(הגדרות!$E$7+1),הגדרות!$E$7)))</f>
        <v/>
      </c>
      <c r="K4649" s="0" t="str">
        <f aca="false">IF(I4649="","",J4649*הגדרות!$E$6+I4649+1)</f>
        <v/>
      </c>
      <c r="L4649" s="0" t="str">
        <f aca="false">IF(K4649="","",MATCH(K4649,$F$2:$F$5001,0))</f>
        <v/>
      </c>
      <c r="M4649" s="0" t="str">
        <f aca="false">IF(I4649="","",INDEX(הגדרות!$A$2:$A$21,MOD(I4649+הגדרות!$E$9,הגדרות!$E$6)+1))</f>
        <v/>
      </c>
    </row>
    <row r="4650" customFormat="false" ht="15" hidden="false" customHeight="false" outlineLevel="0" collapsed="false">
      <c r="A4650" s="0" t="str">
        <f aca="false">IF('הדבקת לידים'!A4650="","",IF(ISNUMBER('הדבקת לידים'!A4650),IF(הגדרות!$E$2&gt;0,TEXT('הדבקת לידים'!A4650,REPT("0",הגדרות!$E$2)),TEXT('הדבקת לידים'!A4650,"0")),TRIM('הדבקת לידים'!A4650)))</f>
        <v/>
      </c>
      <c r="B4650" s="0" t="str">
        <f aca="false">IF('הדבקת לידים'!B4650="","",IF(ISNUMBER('הדבקת לידים'!B4650),IF(הגדרות!$E$3&gt;0,TEXT('הדבקת לידים'!B4650,REPT("0",הגדרות!$E$3)),TEXT('הדבקת לידים'!B4650,"0")),TRIM('הדבקת לידים'!B4650)))</f>
        <v/>
      </c>
      <c r="C4650" s="0" t="n">
        <f aca="false">IF(OR(A4650&lt;&gt;"",B4650&lt;&gt;""),1,0)</f>
        <v>0</v>
      </c>
      <c r="D4650" s="0" t="str">
        <f aca="false">IF(C4650=1,MOD(ABS(SIN(ROW()*12.9898+'הדבקת לידים'!$F$2*78.233+IFERROR(--RIGHT(A4650,6),LEN(A4650))*0.0137+IFERROR(--RIGHT(B4650,6),LEN(B4650))*0.0071))*43758.5453,1),"")</f>
        <v/>
      </c>
      <c r="E4650" s="0" t="str">
        <f aca="false">IF(C4650=1,INT(MOD(ABS(SIN(D4650*7919.123+ROW()*0.618+'הדבקת לידים'!$F$2*1.3))*43758.5453,1)*1000000)*10000+ROW(),"")</f>
        <v/>
      </c>
      <c r="F4650" s="0" t="str">
        <f aca="false">IF(E4650="","",RANK(E4650,$E$2:$E$5001,1))</f>
        <v/>
      </c>
      <c r="G4650" s="0" t="n">
        <f aca="false">IF(A4650="",0,IF(SUMPRODUCT(--($A$2:$A$5001=A4650))&gt;1,1,0))</f>
        <v>0</v>
      </c>
      <c r="H4650" s="0" t="n">
        <f aca="false">ROW()-1</f>
        <v>4649</v>
      </c>
      <c r="I4650" s="0" t="str">
        <f aca="false">IF(OR(הגדרות!$E$6=0,H4650&gt;הגדרות!$E$5),"",IF(H4650-1&lt;הגדרות!$E$8*(הגדרות!$E$7+1),INT((H4650-1)/(הגדרות!$E$7+1)),הגדרות!$E$8+INT((H4650-1-הגדרות!$E$8*(הגדרות!$E$7+1))/הגדרות!$E$7)))</f>
        <v/>
      </c>
      <c r="J4650" s="0" t="str">
        <f aca="false">IF(I4650="","",IF(H4650-1&lt;הגדרות!$E$8*(הגדרות!$E$7+1),MOD(H4650-1,הגדרות!$E$7+1),MOD(H4650-1-הגדרות!$E$8*(הגדרות!$E$7+1),הגדרות!$E$7)))</f>
        <v/>
      </c>
      <c r="K4650" s="0" t="str">
        <f aca="false">IF(I4650="","",J4650*הגדרות!$E$6+I4650+1)</f>
        <v/>
      </c>
      <c r="L4650" s="0" t="str">
        <f aca="false">IF(K4650="","",MATCH(K4650,$F$2:$F$5001,0))</f>
        <v/>
      </c>
      <c r="M4650" s="0" t="str">
        <f aca="false">IF(I4650="","",INDEX(הגדרות!$A$2:$A$21,MOD(I4650+הגדרות!$E$9,הגדרות!$E$6)+1))</f>
        <v/>
      </c>
    </row>
    <row r="4651" customFormat="false" ht="15" hidden="false" customHeight="false" outlineLevel="0" collapsed="false">
      <c r="A4651" s="0" t="str">
        <f aca="false">IF('הדבקת לידים'!A4651="","",IF(ISNUMBER('הדבקת לידים'!A4651),IF(הגדרות!$E$2&gt;0,TEXT('הדבקת לידים'!A4651,REPT("0",הגדרות!$E$2)),TEXT('הדבקת לידים'!A4651,"0")),TRIM('הדבקת לידים'!A4651)))</f>
        <v/>
      </c>
      <c r="B4651" s="0" t="str">
        <f aca="false">IF('הדבקת לידים'!B4651="","",IF(ISNUMBER('הדבקת לידים'!B4651),IF(הגדרות!$E$3&gt;0,TEXT('הדבקת לידים'!B4651,REPT("0",הגדרות!$E$3)),TEXT('הדבקת לידים'!B4651,"0")),TRIM('הדבקת לידים'!B4651)))</f>
        <v/>
      </c>
      <c r="C4651" s="0" t="n">
        <f aca="false">IF(OR(A4651&lt;&gt;"",B4651&lt;&gt;""),1,0)</f>
        <v>0</v>
      </c>
      <c r="D4651" s="0" t="str">
        <f aca="false">IF(C4651=1,MOD(ABS(SIN(ROW()*12.9898+'הדבקת לידים'!$F$2*78.233+IFERROR(--RIGHT(A4651,6),LEN(A4651))*0.0137+IFERROR(--RIGHT(B4651,6),LEN(B4651))*0.0071))*43758.5453,1),"")</f>
        <v/>
      </c>
      <c r="E4651" s="0" t="str">
        <f aca="false">IF(C4651=1,INT(MOD(ABS(SIN(D4651*7919.123+ROW()*0.618+'הדבקת לידים'!$F$2*1.3))*43758.5453,1)*1000000)*10000+ROW(),"")</f>
        <v/>
      </c>
      <c r="F4651" s="0" t="str">
        <f aca="false">IF(E4651="","",RANK(E4651,$E$2:$E$5001,1))</f>
        <v/>
      </c>
      <c r="G4651" s="0" t="n">
        <f aca="false">IF(A4651="",0,IF(SUMPRODUCT(--($A$2:$A$5001=A4651))&gt;1,1,0))</f>
        <v>0</v>
      </c>
      <c r="H4651" s="0" t="n">
        <f aca="false">ROW()-1</f>
        <v>4650</v>
      </c>
      <c r="I4651" s="0" t="str">
        <f aca="false">IF(OR(הגדרות!$E$6=0,H4651&gt;הגדרות!$E$5),"",IF(H4651-1&lt;הגדרות!$E$8*(הגדרות!$E$7+1),INT((H4651-1)/(הגדרות!$E$7+1)),הגדרות!$E$8+INT((H4651-1-הגדרות!$E$8*(הגדרות!$E$7+1))/הגדרות!$E$7)))</f>
        <v/>
      </c>
      <c r="J4651" s="0" t="str">
        <f aca="false">IF(I4651="","",IF(H4651-1&lt;הגדרות!$E$8*(הגדרות!$E$7+1),MOD(H4651-1,הגדרות!$E$7+1),MOD(H4651-1-הגדרות!$E$8*(הגדרות!$E$7+1),הגדרות!$E$7)))</f>
        <v/>
      </c>
      <c r="K4651" s="0" t="str">
        <f aca="false">IF(I4651="","",J4651*הגדרות!$E$6+I4651+1)</f>
        <v/>
      </c>
      <c r="L4651" s="0" t="str">
        <f aca="false">IF(K4651="","",MATCH(K4651,$F$2:$F$5001,0))</f>
        <v/>
      </c>
      <c r="M4651" s="0" t="str">
        <f aca="false">IF(I4651="","",INDEX(הגדרות!$A$2:$A$21,MOD(I4651+הגדרות!$E$9,הגדרות!$E$6)+1))</f>
        <v/>
      </c>
    </row>
    <row r="4652" customFormat="false" ht="15" hidden="false" customHeight="false" outlineLevel="0" collapsed="false">
      <c r="A4652" s="0" t="str">
        <f aca="false">IF('הדבקת לידים'!A4652="","",IF(ISNUMBER('הדבקת לידים'!A4652),IF(הגדרות!$E$2&gt;0,TEXT('הדבקת לידים'!A4652,REPT("0",הגדרות!$E$2)),TEXT('הדבקת לידים'!A4652,"0")),TRIM('הדבקת לידים'!A4652)))</f>
        <v/>
      </c>
      <c r="B4652" s="0" t="str">
        <f aca="false">IF('הדבקת לידים'!B4652="","",IF(ISNUMBER('הדבקת לידים'!B4652),IF(הגדרות!$E$3&gt;0,TEXT('הדבקת לידים'!B4652,REPT("0",הגדרות!$E$3)),TEXT('הדבקת לידים'!B4652,"0")),TRIM('הדבקת לידים'!B4652)))</f>
        <v/>
      </c>
      <c r="C4652" s="0" t="n">
        <f aca="false">IF(OR(A4652&lt;&gt;"",B4652&lt;&gt;""),1,0)</f>
        <v>0</v>
      </c>
      <c r="D4652" s="0" t="str">
        <f aca="false">IF(C4652=1,MOD(ABS(SIN(ROW()*12.9898+'הדבקת לידים'!$F$2*78.233+IFERROR(--RIGHT(A4652,6),LEN(A4652))*0.0137+IFERROR(--RIGHT(B4652,6),LEN(B4652))*0.0071))*43758.5453,1),"")</f>
        <v/>
      </c>
      <c r="E4652" s="0" t="str">
        <f aca="false">IF(C4652=1,INT(MOD(ABS(SIN(D4652*7919.123+ROW()*0.618+'הדבקת לידים'!$F$2*1.3))*43758.5453,1)*1000000)*10000+ROW(),"")</f>
        <v/>
      </c>
      <c r="F4652" s="0" t="str">
        <f aca="false">IF(E4652="","",RANK(E4652,$E$2:$E$5001,1))</f>
        <v/>
      </c>
      <c r="G4652" s="0" t="n">
        <f aca="false">IF(A4652="",0,IF(SUMPRODUCT(--($A$2:$A$5001=A4652))&gt;1,1,0))</f>
        <v>0</v>
      </c>
      <c r="H4652" s="0" t="n">
        <f aca="false">ROW()-1</f>
        <v>4651</v>
      </c>
      <c r="I4652" s="0" t="str">
        <f aca="false">IF(OR(הגדרות!$E$6=0,H4652&gt;הגדרות!$E$5),"",IF(H4652-1&lt;הגדרות!$E$8*(הגדרות!$E$7+1),INT((H4652-1)/(הגדרות!$E$7+1)),הגדרות!$E$8+INT((H4652-1-הגדרות!$E$8*(הגדרות!$E$7+1))/הגדרות!$E$7)))</f>
        <v/>
      </c>
      <c r="J4652" s="0" t="str">
        <f aca="false">IF(I4652="","",IF(H4652-1&lt;הגדרות!$E$8*(הגדרות!$E$7+1),MOD(H4652-1,הגדרות!$E$7+1),MOD(H4652-1-הגדרות!$E$8*(הגדרות!$E$7+1),הגדרות!$E$7)))</f>
        <v/>
      </c>
      <c r="K4652" s="0" t="str">
        <f aca="false">IF(I4652="","",J4652*הגדרות!$E$6+I4652+1)</f>
        <v/>
      </c>
      <c r="L4652" s="0" t="str">
        <f aca="false">IF(K4652="","",MATCH(K4652,$F$2:$F$5001,0))</f>
        <v/>
      </c>
      <c r="M4652" s="0" t="str">
        <f aca="false">IF(I4652="","",INDEX(הגדרות!$A$2:$A$21,MOD(I4652+הגדרות!$E$9,הגדרות!$E$6)+1))</f>
        <v/>
      </c>
    </row>
    <row r="4653" customFormat="false" ht="15" hidden="false" customHeight="false" outlineLevel="0" collapsed="false">
      <c r="A4653" s="0" t="str">
        <f aca="false">IF('הדבקת לידים'!A4653="","",IF(ISNUMBER('הדבקת לידים'!A4653),IF(הגדרות!$E$2&gt;0,TEXT('הדבקת לידים'!A4653,REPT("0",הגדרות!$E$2)),TEXT('הדבקת לידים'!A4653,"0")),TRIM('הדבקת לידים'!A4653)))</f>
        <v/>
      </c>
      <c r="B4653" s="0" t="str">
        <f aca="false">IF('הדבקת לידים'!B4653="","",IF(ISNUMBER('הדבקת לידים'!B4653),IF(הגדרות!$E$3&gt;0,TEXT('הדבקת לידים'!B4653,REPT("0",הגדרות!$E$3)),TEXT('הדבקת לידים'!B4653,"0")),TRIM('הדבקת לידים'!B4653)))</f>
        <v/>
      </c>
      <c r="C4653" s="0" t="n">
        <f aca="false">IF(OR(A4653&lt;&gt;"",B4653&lt;&gt;""),1,0)</f>
        <v>0</v>
      </c>
      <c r="D4653" s="0" t="str">
        <f aca="false">IF(C4653=1,MOD(ABS(SIN(ROW()*12.9898+'הדבקת לידים'!$F$2*78.233+IFERROR(--RIGHT(A4653,6),LEN(A4653))*0.0137+IFERROR(--RIGHT(B4653,6),LEN(B4653))*0.0071))*43758.5453,1),"")</f>
        <v/>
      </c>
      <c r="E4653" s="0" t="str">
        <f aca="false">IF(C4653=1,INT(MOD(ABS(SIN(D4653*7919.123+ROW()*0.618+'הדבקת לידים'!$F$2*1.3))*43758.5453,1)*1000000)*10000+ROW(),"")</f>
        <v/>
      </c>
      <c r="F4653" s="0" t="str">
        <f aca="false">IF(E4653="","",RANK(E4653,$E$2:$E$5001,1))</f>
        <v/>
      </c>
      <c r="G4653" s="0" t="n">
        <f aca="false">IF(A4653="",0,IF(SUMPRODUCT(--($A$2:$A$5001=A4653))&gt;1,1,0))</f>
        <v>0</v>
      </c>
      <c r="H4653" s="0" t="n">
        <f aca="false">ROW()-1</f>
        <v>4652</v>
      </c>
      <c r="I4653" s="0" t="str">
        <f aca="false">IF(OR(הגדרות!$E$6=0,H4653&gt;הגדרות!$E$5),"",IF(H4653-1&lt;הגדרות!$E$8*(הגדרות!$E$7+1),INT((H4653-1)/(הגדרות!$E$7+1)),הגדרות!$E$8+INT((H4653-1-הגדרות!$E$8*(הגדרות!$E$7+1))/הגדרות!$E$7)))</f>
        <v/>
      </c>
      <c r="J4653" s="0" t="str">
        <f aca="false">IF(I4653="","",IF(H4653-1&lt;הגדרות!$E$8*(הגדרות!$E$7+1),MOD(H4653-1,הגדרות!$E$7+1),MOD(H4653-1-הגדרות!$E$8*(הגדרות!$E$7+1),הגדרות!$E$7)))</f>
        <v/>
      </c>
      <c r="K4653" s="0" t="str">
        <f aca="false">IF(I4653="","",J4653*הגדרות!$E$6+I4653+1)</f>
        <v/>
      </c>
      <c r="L4653" s="0" t="str">
        <f aca="false">IF(K4653="","",MATCH(K4653,$F$2:$F$5001,0))</f>
        <v/>
      </c>
      <c r="M4653" s="0" t="str">
        <f aca="false">IF(I4653="","",INDEX(הגדרות!$A$2:$A$21,MOD(I4653+הגדרות!$E$9,הגדרות!$E$6)+1))</f>
        <v/>
      </c>
    </row>
    <row r="4654" customFormat="false" ht="15" hidden="false" customHeight="false" outlineLevel="0" collapsed="false">
      <c r="A4654" s="0" t="str">
        <f aca="false">IF('הדבקת לידים'!A4654="","",IF(ISNUMBER('הדבקת לידים'!A4654),IF(הגדרות!$E$2&gt;0,TEXT('הדבקת לידים'!A4654,REPT("0",הגדרות!$E$2)),TEXT('הדבקת לידים'!A4654,"0")),TRIM('הדבקת לידים'!A4654)))</f>
        <v/>
      </c>
      <c r="B4654" s="0" t="str">
        <f aca="false">IF('הדבקת לידים'!B4654="","",IF(ISNUMBER('הדבקת לידים'!B4654),IF(הגדרות!$E$3&gt;0,TEXT('הדבקת לידים'!B4654,REPT("0",הגדרות!$E$3)),TEXT('הדבקת לידים'!B4654,"0")),TRIM('הדבקת לידים'!B4654)))</f>
        <v/>
      </c>
      <c r="C4654" s="0" t="n">
        <f aca="false">IF(OR(A4654&lt;&gt;"",B4654&lt;&gt;""),1,0)</f>
        <v>0</v>
      </c>
      <c r="D4654" s="0" t="str">
        <f aca="false">IF(C4654=1,MOD(ABS(SIN(ROW()*12.9898+'הדבקת לידים'!$F$2*78.233+IFERROR(--RIGHT(A4654,6),LEN(A4654))*0.0137+IFERROR(--RIGHT(B4654,6),LEN(B4654))*0.0071))*43758.5453,1),"")</f>
        <v/>
      </c>
      <c r="E4654" s="0" t="str">
        <f aca="false">IF(C4654=1,INT(MOD(ABS(SIN(D4654*7919.123+ROW()*0.618+'הדבקת לידים'!$F$2*1.3))*43758.5453,1)*1000000)*10000+ROW(),"")</f>
        <v/>
      </c>
      <c r="F4654" s="0" t="str">
        <f aca="false">IF(E4654="","",RANK(E4654,$E$2:$E$5001,1))</f>
        <v/>
      </c>
      <c r="G4654" s="0" t="n">
        <f aca="false">IF(A4654="",0,IF(SUMPRODUCT(--($A$2:$A$5001=A4654))&gt;1,1,0))</f>
        <v>0</v>
      </c>
      <c r="H4654" s="0" t="n">
        <f aca="false">ROW()-1</f>
        <v>4653</v>
      </c>
      <c r="I4654" s="0" t="str">
        <f aca="false">IF(OR(הגדרות!$E$6=0,H4654&gt;הגדרות!$E$5),"",IF(H4654-1&lt;הגדרות!$E$8*(הגדרות!$E$7+1),INT((H4654-1)/(הגדרות!$E$7+1)),הגדרות!$E$8+INT((H4654-1-הגדרות!$E$8*(הגדרות!$E$7+1))/הגדרות!$E$7)))</f>
        <v/>
      </c>
      <c r="J4654" s="0" t="str">
        <f aca="false">IF(I4654="","",IF(H4654-1&lt;הגדרות!$E$8*(הגדרות!$E$7+1),MOD(H4654-1,הגדרות!$E$7+1),MOD(H4654-1-הגדרות!$E$8*(הגדרות!$E$7+1),הגדרות!$E$7)))</f>
        <v/>
      </c>
      <c r="K4654" s="0" t="str">
        <f aca="false">IF(I4654="","",J4654*הגדרות!$E$6+I4654+1)</f>
        <v/>
      </c>
      <c r="L4654" s="0" t="str">
        <f aca="false">IF(K4654="","",MATCH(K4654,$F$2:$F$5001,0))</f>
        <v/>
      </c>
      <c r="M4654" s="0" t="str">
        <f aca="false">IF(I4654="","",INDEX(הגדרות!$A$2:$A$21,MOD(I4654+הגדרות!$E$9,הגדרות!$E$6)+1))</f>
        <v/>
      </c>
    </row>
    <row r="4655" customFormat="false" ht="15" hidden="false" customHeight="false" outlineLevel="0" collapsed="false">
      <c r="A4655" s="0" t="str">
        <f aca="false">IF('הדבקת לידים'!A4655="","",IF(ISNUMBER('הדבקת לידים'!A4655),IF(הגדרות!$E$2&gt;0,TEXT('הדבקת לידים'!A4655,REPT("0",הגדרות!$E$2)),TEXT('הדבקת לידים'!A4655,"0")),TRIM('הדבקת לידים'!A4655)))</f>
        <v/>
      </c>
      <c r="B4655" s="0" t="str">
        <f aca="false">IF('הדבקת לידים'!B4655="","",IF(ISNUMBER('הדבקת לידים'!B4655),IF(הגדרות!$E$3&gt;0,TEXT('הדבקת לידים'!B4655,REPT("0",הגדרות!$E$3)),TEXT('הדבקת לידים'!B4655,"0")),TRIM('הדבקת לידים'!B4655)))</f>
        <v/>
      </c>
      <c r="C4655" s="0" t="n">
        <f aca="false">IF(OR(A4655&lt;&gt;"",B4655&lt;&gt;""),1,0)</f>
        <v>0</v>
      </c>
      <c r="D4655" s="0" t="str">
        <f aca="false">IF(C4655=1,MOD(ABS(SIN(ROW()*12.9898+'הדבקת לידים'!$F$2*78.233+IFERROR(--RIGHT(A4655,6),LEN(A4655))*0.0137+IFERROR(--RIGHT(B4655,6),LEN(B4655))*0.0071))*43758.5453,1),"")</f>
        <v/>
      </c>
      <c r="E4655" s="0" t="str">
        <f aca="false">IF(C4655=1,INT(MOD(ABS(SIN(D4655*7919.123+ROW()*0.618+'הדבקת לידים'!$F$2*1.3))*43758.5453,1)*1000000)*10000+ROW(),"")</f>
        <v/>
      </c>
      <c r="F4655" s="0" t="str">
        <f aca="false">IF(E4655="","",RANK(E4655,$E$2:$E$5001,1))</f>
        <v/>
      </c>
      <c r="G4655" s="0" t="n">
        <f aca="false">IF(A4655="",0,IF(SUMPRODUCT(--($A$2:$A$5001=A4655))&gt;1,1,0))</f>
        <v>0</v>
      </c>
      <c r="H4655" s="0" t="n">
        <f aca="false">ROW()-1</f>
        <v>4654</v>
      </c>
      <c r="I4655" s="0" t="str">
        <f aca="false">IF(OR(הגדרות!$E$6=0,H4655&gt;הגדרות!$E$5),"",IF(H4655-1&lt;הגדרות!$E$8*(הגדרות!$E$7+1),INT((H4655-1)/(הגדרות!$E$7+1)),הגדרות!$E$8+INT((H4655-1-הגדרות!$E$8*(הגדרות!$E$7+1))/הגדרות!$E$7)))</f>
        <v/>
      </c>
      <c r="J4655" s="0" t="str">
        <f aca="false">IF(I4655="","",IF(H4655-1&lt;הגדרות!$E$8*(הגדרות!$E$7+1),MOD(H4655-1,הגדרות!$E$7+1),MOD(H4655-1-הגדרות!$E$8*(הגדרות!$E$7+1),הגדרות!$E$7)))</f>
        <v/>
      </c>
      <c r="K4655" s="0" t="str">
        <f aca="false">IF(I4655="","",J4655*הגדרות!$E$6+I4655+1)</f>
        <v/>
      </c>
      <c r="L4655" s="0" t="str">
        <f aca="false">IF(K4655="","",MATCH(K4655,$F$2:$F$5001,0))</f>
        <v/>
      </c>
      <c r="M4655" s="0" t="str">
        <f aca="false">IF(I4655="","",INDEX(הגדרות!$A$2:$A$21,MOD(I4655+הגדרות!$E$9,הגדרות!$E$6)+1))</f>
        <v/>
      </c>
    </row>
    <row r="4656" customFormat="false" ht="15" hidden="false" customHeight="false" outlineLevel="0" collapsed="false">
      <c r="A4656" s="0" t="str">
        <f aca="false">IF('הדבקת לידים'!A4656="","",IF(ISNUMBER('הדבקת לידים'!A4656),IF(הגדרות!$E$2&gt;0,TEXT('הדבקת לידים'!A4656,REPT("0",הגדרות!$E$2)),TEXT('הדבקת לידים'!A4656,"0")),TRIM('הדבקת לידים'!A4656)))</f>
        <v/>
      </c>
      <c r="B4656" s="0" t="str">
        <f aca="false">IF('הדבקת לידים'!B4656="","",IF(ISNUMBER('הדבקת לידים'!B4656),IF(הגדרות!$E$3&gt;0,TEXT('הדבקת לידים'!B4656,REPT("0",הגדרות!$E$3)),TEXT('הדבקת לידים'!B4656,"0")),TRIM('הדבקת לידים'!B4656)))</f>
        <v/>
      </c>
      <c r="C4656" s="0" t="n">
        <f aca="false">IF(OR(A4656&lt;&gt;"",B4656&lt;&gt;""),1,0)</f>
        <v>0</v>
      </c>
      <c r="D4656" s="0" t="str">
        <f aca="false">IF(C4656=1,MOD(ABS(SIN(ROW()*12.9898+'הדבקת לידים'!$F$2*78.233+IFERROR(--RIGHT(A4656,6),LEN(A4656))*0.0137+IFERROR(--RIGHT(B4656,6),LEN(B4656))*0.0071))*43758.5453,1),"")</f>
        <v/>
      </c>
      <c r="E4656" s="0" t="str">
        <f aca="false">IF(C4656=1,INT(MOD(ABS(SIN(D4656*7919.123+ROW()*0.618+'הדבקת לידים'!$F$2*1.3))*43758.5453,1)*1000000)*10000+ROW(),"")</f>
        <v/>
      </c>
      <c r="F4656" s="0" t="str">
        <f aca="false">IF(E4656="","",RANK(E4656,$E$2:$E$5001,1))</f>
        <v/>
      </c>
      <c r="G4656" s="0" t="n">
        <f aca="false">IF(A4656="",0,IF(SUMPRODUCT(--($A$2:$A$5001=A4656))&gt;1,1,0))</f>
        <v>0</v>
      </c>
      <c r="H4656" s="0" t="n">
        <f aca="false">ROW()-1</f>
        <v>4655</v>
      </c>
      <c r="I4656" s="0" t="str">
        <f aca="false">IF(OR(הגדרות!$E$6=0,H4656&gt;הגדרות!$E$5),"",IF(H4656-1&lt;הגדרות!$E$8*(הגדרות!$E$7+1),INT((H4656-1)/(הגדרות!$E$7+1)),הגדרות!$E$8+INT((H4656-1-הגדרות!$E$8*(הגדרות!$E$7+1))/הגדרות!$E$7)))</f>
        <v/>
      </c>
      <c r="J4656" s="0" t="str">
        <f aca="false">IF(I4656="","",IF(H4656-1&lt;הגדרות!$E$8*(הגדרות!$E$7+1),MOD(H4656-1,הגדרות!$E$7+1),MOD(H4656-1-הגדרות!$E$8*(הגדרות!$E$7+1),הגדרות!$E$7)))</f>
        <v/>
      </c>
      <c r="K4656" s="0" t="str">
        <f aca="false">IF(I4656="","",J4656*הגדרות!$E$6+I4656+1)</f>
        <v/>
      </c>
      <c r="L4656" s="0" t="str">
        <f aca="false">IF(K4656="","",MATCH(K4656,$F$2:$F$5001,0))</f>
        <v/>
      </c>
      <c r="M4656" s="0" t="str">
        <f aca="false">IF(I4656="","",INDEX(הגדרות!$A$2:$A$21,MOD(I4656+הגדרות!$E$9,הגדרות!$E$6)+1))</f>
        <v/>
      </c>
    </row>
    <row r="4657" customFormat="false" ht="15" hidden="false" customHeight="false" outlineLevel="0" collapsed="false">
      <c r="A4657" s="0" t="str">
        <f aca="false">IF('הדבקת לידים'!A4657="","",IF(ISNUMBER('הדבקת לידים'!A4657),IF(הגדרות!$E$2&gt;0,TEXT('הדבקת לידים'!A4657,REPT("0",הגדרות!$E$2)),TEXT('הדבקת לידים'!A4657,"0")),TRIM('הדבקת לידים'!A4657)))</f>
        <v/>
      </c>
      <c r="B4657" s="0" t="str">
        <f aca="false">IF('הדבקת לידים'!B4657="","",IF(ISNUMBER('הדבקת לידים'!B4657),IF(הגדרות!$E$3&gt;0,TEXT('הדבקת לידים'!B4657,REPT("0",הגדרות!$E$3)),TEXT('הדבקת לידים'!B4657,"0")),TRIM('הדבקת לידים'!B4657)))</f>
        <v/>
      </c>
      <c r="C4657" s="0" t="n">
        <f aca="false">IF(OR(A4657&lt;&gt;"",B4657&lt;&gt;""),1,0)</f>
        <v>0</v>
      </c>
      <c r="D4657" s="0" t="str">
        <f aca="false">IF(C4657=1,MOD(ABS(SIN(ROW()*12.9898+'הדבקת לידים'!$F$2*78.233+IFERROR(--RIGHT(A4657,6),LEN(A4657))*0.0137+IFERROR(--RIGHT(B4657,6),LEN(B4657))*0.0071))*43758.5453,1),"")</f>
        <v/>
      </c>
      <c r="E4657" s="0" t="str">
        <f aca="false">IF(C4657=1,INT(MOD(ABS(SIN(D4657*7919.123+ROW()*0.618+'הדבקת לידים'!$F$2*1.3))*43758.5453,1)*1000000)*10000+ROW(),"")</f>
        <v/>
      </c>
      <c r="F4657" s="0" t="str">
        <f aca="false">IF(E4657="","",RANK(E4657,$E$2:$E$5001,1))</f>
        <v/>
      </c>
      <c r="G4657" s="0" t="n">
        <f aca="false">IF(A4657="",0,IF(SUMPRODUCT(--($A$2:$A$5001=A4657))&gt;1,1,0))</f>
        <v>0</v>
      </c>
      <c r="H4657" s="0" t="n">
        <f aca="false">ROW()-1</f>
        <v>4656</v>
      </c>
      <c r="I4657" s="0" t="str">
        <f aca="false">IF(OR(הגדרות!$E$6=0,H4657&gt;הגדרות!$E$5),"",IF(H4657-1&lt;הגדרות!$E$8*(הגדרות!$E$7+1),INT((H4657-1)/(הגדרות!$E$7+1)),הגדרות!$E$8+INT((H4657-1-הגדרות!$E$8*(הגדרות!$E$7+1))/הגדרות!$E$7)))</f>
        <v/>
      </c>
      <c r="J4657" s="0" t="str">
        <f aca="false">IF(I4657="","",IF(H4657-1&lt;הגדרות!$E$8*(הגדרות!$E$7+1),MOD(H4657-1,הגדרות!$E$7+1),MOD(H4657-1-הגדרות!$E$8*(הגדרות!$E$7+1),הגדרות!$E$7)))</f>
        <v/>
      </c>
      <c r="K4657" s="0" t="str">
        <f aca="false">IF(I4657="","",J4657*הגדרות!$E$6+I4657+1)</f>
        <v/>
      </c>
      <c r="L4657" s="0" t="str">
        <f aca="false">IF(K4657="","",MATCH(K4657,$F$2:$F$5001,0))</f>
        <v/>
      </c>
      <c r="M4657" s="0" t="str">
        <f aca="false">IF(I4657="","",INDEX(הגדרות!$A$2:$A$21,MOD(I4657+הגדרות!$E$9,הגדרות!$E$6)+1))</f>
        <v/>
      </c>
    </row>
    <row r="4658" customFormat="false" ht="15" hidden="false" customHeight="false" outlineLevel="0" collapsed="false">
      <c r="A4658" s="0" t="str">
        <f aca="false">IF('הדבקת לידים'!A4658="","",IF(ISNUMBER('הדבקת לידים'!A4658),IF(הגדרות!$E$2&gt;0,TEXT('הדבקת לידים'!A4658,REPT("0",הגדרות!$E$2)),TEXT('הדבקת לידים'!A4658,"0")),TRIM('הדבקת לידים'!A4658)))</f>
        <v/>
      </c>
      <c r="B4658" s="0" t="str">
        <f aca="false">IF('הדבקת לידים'!B4658="","",IF(ISNUMBER('הדבקת לידים'!B4658),IF(הגדרות!$E$3&gt;0,TEXT('הדבקת לידים'!B4658,REPT("0",הגדרות!$E$3)),TEXT('הדבקת לידים'!B4658,"0")),TRIM('הדבקת לידים'!B4658)))</f>
        <v/>
      </c>
      <c r="C4658" s="0" t="n">
        <f aca="false">IF(OR(A4658&lt;&gt;"",B4658&lt;&gt;""),1,0)</f>
        <v>0</v>
      </c>
      <c r="D4658" s="0" t="str">
        <f aca="false">IF(C4658=1,MOD(ABS(SIN(ROW()*12.9898+'הדבקת לידים'!$F$2*78.233+IFERROR(--RIGHT(A4658,6),LEN(A4658))*0.0137+IFERROR(--RIGHT(B4658,6),LEN(B4658))*0.0071))*43758.5453,1),"")</f>
        <v/>
      </c>
      <c r="E4658" s="0" t="str">
        <f aca="false">IF(C4658=1,INT(MOD(ABS(SIN(D4658*7919.123+ROW()*0.618+'הדבקת לידים'!$F$2*1.3))*43758.5453,1)*1000000)*10000+ROW(),"")</f>
        <v/>
      </c>
      <c r="F4658" s="0" t="str">
        <f aca="false">IF(E4658="","",RANK(E4658,$E$2:$E$5001,1))</f>
        <v/>
      </c>
      <c r="G4658" s="0" t="n">
        <f aca="false">IF(A4658="",0,IF(SUMPRODUCT(--($A$2:$A$5001=A4658))&gt;1,1,0))</f>
        <v>0</v>
      </c>
      <c r="H4658" s="0" t="n">
        <f aca="false">ROW()-1</f>
        <v>4657</v>
      </c>
      <c r="I4658" s="0" t="str">
        <f aca="false">IF(OR(הגדרות!$E$6=0,H4658&gt;הגדרות!$E$5),"",IF(H4658-1&lt;הגדרות!$E$8*(הגדרות!$E$7+1),INT((H4658-1)/(הגדרות!$E$7+1)),הגדרות!$E$8+INT((H4658-1-הגדרות!$E$8*(הגדרות!$E$7+1))/הגדרות!$E$7)))</f>
        <v/>
      </c>
      <c r="J4658" s="0" t="str">
        <f aca="false">IF(I4658="","",IF(H4658-1&lt;הגדרות!$E$8*(הגדרות!$E$7+1),MOD(H4658-1,הגדרות!$E$7+1),MOD(H4658-1-הגדרות!$E$8*(הגדרות!$E$7+1),הגדרות!$E$7)))</f>
        <v/>
      </c>
      <c r="K4658" s="0" t="str">
        <f aca="false">IF(I4658="","",J4658*הגדרות!$E$6+I4658+1)</f>
        <v/>
      </c>
      <c r="L4658" s="0" t="str">
        <f aca="false">IF(K4658="","",MATCH(K4658,$F$2:$F$5001,0))</f>
        <v/>
      </c>
      <c r="M4658" s="0" t="str">
        <f aca="false">IF(I4658="","",INDEX(הגדרות!$A$2:$A$21,MOD(I4658+הגדרות!$E$9,הגדרות!$E$6)+1))</f>
        <v/>
      </c>
    </row>
    <row r="4659" customFormat="false" ht="15" hidden="false" customHeight="false" outlineLevel="0" collapsed="false">
      <c r="A4659" s="0" t="str">
        <f aca="false">IF('הדבקת לידים'!A4659="","",IF(ISNUMBER('הדבקת לידים'!A4659),IF(הגדרות!$E$2&gt;0,TEXT('הדבקת לידים'!A4659,REPT("0",הגדרות!$E$2)),TEXT('הדבקת לידים'!A4659,"0")),TRIM('הדבקת לידים'!A4659)))</f>
        <v/>
      </c>
      <c r="B4659" s="0" t="str">
        <f aca="false">IF('הדבקת לידים'!B4659="","",IF(ISNUMBER('הדבקת לידים'!B4659),IF(הגדרות!$E$3&gt;0,TEXT('הדבקת לידים'!B4659,REPT("0",הגדרות!$E$3)),TEXT('הדבקת לידים'!B4659,"0")),TRIM('הדבקת לידים'!B4659)))</f>
        <v/>
      </c>
      <c r="C4659" s="0" t="n">
        <f aca="false">IF(OR(A4659&lt;&gt;"",B4659&lt;&gt;""),1,0)</f>
        <v>0</v>
      </c>
      <c r="D4659" s="0" t="str">
        <f aca="false">IF(C4659=1,MOD(ABS(SIN(ROW()*12.9898+'הדבקת לידים'!$F$2*78.233+IFERROR(--RIGHT(A4659,6),LEN(A4659))*0.0137+IFERROR(--RIGHT(B4659,6),LEN(B4659))*0.0071))*43758.5453,1),"")</f>
        <v/>
      </c>
      <c r="E4659" s="0" t="str">
        <f aca="false">IF(C4659=1,INT(MOD(ABS(SIN(D4659*7919.123+ROW()*0.618+'הדבקת לידים'!$F$2*1.3))*43758.5453,1)*1000000)*10000+ROW(),"")</f>
        <v/>
      </c>
      <c r="F4659" s="0" t="str">
        <f aca="false">IF(E4659="","",RANK(E4659,$E$2:$E$5001,1))</f>
        <v/>
      </c>
      <c r="G4659" s="0" t="n">
        <f aca="false">IF(A4659="",0,IF(SUMPRODUCT(--($A$2:$A$5001=A4659))&gt;1,1,0))</f>
        <v>0</v>
      </c>
      <c r="H4659" s="0" t="n">
        <f aca="false">ROW()-1</f>
        <v>4658</v>
      </c>
      <c r="I4659" s="0" t="str">
        <f aca="false">IF(OR(הגדרות!$E$6=0,H4659&gt;הגדרות!$E$5),"",IF(H4659-1&lt;הגדרות!$E$8*(הגדרות!$E$7+1),INT((H4659-1)/(הגדרות!$E$7+1)),הגדרות!$E$8+INT((H4659-1-הגדרות!$E$8*(הגדרות!$E$7+1))/הגדרות!$E$7)))</f>
        <v/>
      </c>
      <c r="J4659" s="0" t="str">
        <f aca="false">IF(I4659="","",IF(H4659-1&lt;הגדרות!$E$8*(הגדרות!$E$7+1),MOD(H4659-1,הגדרות!$E$7+1),MOD(H4659-1-הגדרות!$E$8*(הגדרות!$E$7+1),הגדרות!$E$7)))</f>
        <v/>
      </c>
      <c r="K4659" s="0" t="str">
        <f aca="false">IF(I4659="","",J4659*הגדרות!$E$6+I4659+1)</f>
        <v/>
      </c>
      <c r="L4659" s="0" t="str">
        <f aca="false">IF(K4659="","",MATCH(K4659,$F$2:$F$5001,0))</f>
        <v/>
      </c>
      <c r="M4659" s="0" t="str">
        <f aca="false">IF(I4659="","",INDEX(הגדרות!$A$2:$A$21,MOD(I4659+הגדרות!$E$9,הגדרות!$E$6)+1))</f>
        <v/>
      </c>
    </row>
    <row r="4660" customFormat="false" ht="15" hidden="false" customHeight="false" outlineLevel="0" collapsed="false">
      <c r="A4660" s="0" t="str">
        <f aca="false">IF('הדבקת לידים'!A4660="","",IF(ISNUMBER('הדבקת לידים'!A4660),IF(הגדרות!$E$2&gt;0,TEXT('הדבקת לידים'!A4660,REPT("0",הגדרות!$E$2)),TEXT('הדבקת לידים'!A4660,"0")),TRIM('הדבקת לידים'!A4660)))</f>
        <v/>
      </c>
      <c r="B4660" s="0" t="str">
        <f aca="false">IF('הדבקת לידים'!B4660="","",IF(ISNUMBER('הדבקת לידים'!B4660),IF(הגדרות!$E$3&gt;0,TEXT('הדבקת לידים'!B4660,REPT("0",הגדרות!$E$3)),TEXT('הדבקת לידים'!B4660,"0")),TRIM('הדבקת לידים'!B4660)))</f>
        <v/>
      </c>
      <c r="C4660" s="0" t="n">
        <f aca="false">IF(OR(A4660&lt;&gt;"",B4660&lt;&gt;""),1,0)</f>
        <v>0</v>
      </c>
      <c r="D4660" s="0" t="str">
        <f aca="false">IF(C4660=1,MOD(ABS(SIN(ROW()*12.9898+'הדבקת לידים'!$F$2*78.233+IFERROR(--RIGHT(A4660,6),LEN(A4660))*0.0137+IFERROR(--RIGHT(B4660,6),LEN(B4660))*0.0071))*43758.5453,1),"")</f>
        <v/>
      </c>
      <c r="E4660" s="0" t="str">
        <f aca="false">IF(C4660=1,INT(MOD(ABS(SIN(D4660*7919.123+ROW()*0.618+'הדבקת לידים'!$F$2*1.3))*43758.5453,1)*1000000)*10000+ROW(),"")</f>
        <v/>
      </c>
      <c r="F4660" s="0" t="str">
        <f aca="false">IF(E4660="","",RANK(E4660,$E$2:$E$5001,1))</f>
        <v/>
      </c>
      <c r="G4660" s="0" t="n">
        <f aca="false">IF(A4660="",0,IF(SUMPRODUCT(--($A$2:$A$5001=A4660))&gt;1,1,0))</f>
        <v>0</v>
      </c>
      <c r="H4660" s="0" t="n">
        <f aca="false">ROW()-1</f>
        <v>4659</v>
      </c>
      <c r="I4660" s="0" t="str">
        <f aca="false">IF(OR(הגדרות!$E$6=0,H4660&gt;הגדרות!$E$5),"",IF(H4660-1&lt;הגדרות!$E$8*(הגדרות!$E$7+1),INT((H4660-1)/(הגדרות!$E$7+1)),הגדרות!$E$8+INT((H4660-1-הגדרות!$E$8*(הגדרות!$E$7+1))/הגדרות!$E$7)))</f>
        <v/>
      </c>
      <c r="J4660" s="0" t="str">
        <f aca="false">IF(I4660="","",IF(H4660-1&lt;הגדרות!$E$8*(הגדרות!$E$7+1),MOD(H4660-1,הגדרות!$E$7+1),MOD(H4660-1-הגדרות!$E$8*(הגדרות!$E$7+1),הגדרות!$E$7)))</f>
        <v/>
      </c>
      <c r="K4660" s="0" t="str">
        <f aca="false">IF(I4660="","",J4660*הגדרות!$E$6+I4660+1)</f>
        <v/>
      </c>
      <c r="L4660" s="0" t="str">
        <f aca="false">IF(K4660="","",MATCH(K4660,$F$2:$F$5001,0))</f>
        <v/>
      </c>
      <c r="M4660" s="0" t="str">
        <f aca="false">IF(I4660="","",INDEX(הגדרות!$A$2:$A$21,MOD(I4660+הגדרות!$E$9,הגדרות!$E$6)+1))</f>
        <v/>
      </c>
    </row>
    <row r="4661" customFormat="false" ht="15" hidden="false" customHeight="false" outlineLevel="0" collapsed="false">
      <c r="A4661" s="0" t="str">
        <f aca="false">IF('הדבקת לידים'!A4661="","",IF(ISNUMBER('הדבקת לידים'!A4661),IF(הגדרות!$E$2&gt;0,TEXT('הדבקת לידים'!A4661,REPT("0",הגדרות!$E$2)),TEXT('הדבקת לידים'!A4661,"0")),TRIM('הדבקת לידים'!A4661)))</f>
        <v/>
      </c>
      <c r="B4661" s="0" t="str">
        <f aca="false">IF('הדבקת לידים'!B4661="","",IF(ISNUMBER('הדבקת לידים'!B4661),IF(הגדרות!$E$3&gt;0,TEXT('הדבקת לידים'!B4661,REPT("0",הגדרות!$E$3)),TEXT('הדבקת לידים'!B4661,"0")),TRIM('הדבקת לידים'!B4661)))</f>
        <v/>
      </c>
      <c r="C4661" s="0" t="n">
        <f aca="false">IF(OR(A4661&lt;&gt;"",B4661&lt;&gt;""),1,0)</f>
        <v>0</v>
      </c>
      <c r="D4661" s="0" t="str">
        <f aca="false">IF(C4661=1,MOD(ABS(SIN(ROW()*12.9898+'הדבקת לידים'!$F$2*78.233+IFERROR(--RIGHT(A4661,6),LEN(A4661))*0.0137+IFERROR(--RIGHT(B4661,6),LEN(B4661))*0.0071))*43758.5453,1),"")</f>
        <v/>
      </c>
      <c r="E4661" s="0" t="str">
        <f aca="false">IF(C4661=1,INT(MOD(ABS(SIN(D4661*7919.123+ROW()*0.618+'הדבקת לידים'!$F$2*1.3))*43758.5453,1)*1000000)*10000+ROW(),"")</f>
        <v/>
      </c>
      <c r="F4661" s="0" t="str">
        <f aca="false">IF(E4661="","",RANK(E4661,$E$2:$E$5001,1))</f>
        <v/>
      </c>
      <c r="G4661" s="0" t="n">
        <f aca="false">IF(A4661="",0,IF(SUMPRODUCT(--($A$2:$A$5001=A4661))&gt;1,1,0))</f>
        <v>0</v>
      </c>
      <c r="H4661" s="0" t="n">
        <f aca="false">ROW()-1</f>
        <v>4660</v>
      </c>
      <c r="I4661" s="0" t="str">
        <f aca="false">IF(OR(הגדרות!$E$6=0,H4661&gt;הגדרות!$E$5),"",IF(H4661-1&lt;הגדרות!$E$8*(הגדרות!$E$7+1),INT((H4661-1)/(הגדרות!$E$7+1)),הגדרות!$E$8+INT((H4661-1-הגדרות!$E$8*(הגדרות!$E$7+1))/הגדרות!$E$7)))</f>
        <v/>
      </c>
      <c r="J4661" s="0" t="str">
        <f aca="false">IF(I4661="","",IF(H4661-1&lt;הגדרות!$E$8*(הגדרות!$E$7+1),MOD(H4661-1,הגדרות!$E$7+1),MOD(H4661-1-הגדרות!$E$8*(הגדרות!$E$7+1),הגדרות!$E$7)))</f>
        <v/>
      </c>
      <c r="K4661" s="0" t="str">
        <f aca="false">IF(I4661="","",J4661*הגדרות!$E$6+I4661+1)</f>
        <v/>
      </c>
      <c r="L4661" s="0" t="str">
        <f aca="false">IF(K4661="","",MATCH(K4661,$F$2:$F$5001,0))</f>
        <v/>
      </c>
      <c r="M4661" s="0" t="str">
        <f aca="false">IF(I4661="","",INDEX(הגדרות!$A$2:$A$21,MOD(I4661+הגדרות!$E$9,הגדרות!$E$6)+1))</f>
        <v/>
      </c>
    </row>
    <row r="4662" customFormat="false" ht="15" hidden="false" customHeight="false" outlineLevel="0" collapsed="false">
      <c r="A4662" s="0" t="str">
        <f aca="false">IF('הדבקת לידים'!A4662="","",IF(ISNUMBER('הדבקת לידים'!A4662),IF(הגדרות!$E$2&gt;0,TEXT('הדבקת לידים'!A4662,REPT("0",הגדרות!$E$2)),TEXT('הדבקת לידים'!A4662,"0")),TRIM('הדבקת לידים'!A4662)))</f>
        <v/>
      </c>
      <c r="B4662" s="0" t="str">
        <f aca="false">IF('הדבקת לידים'!B4662="","",IF(ISNUMBER('הדבקת לידים'!B4662),IF(הגדרות!$E$3&gt;0,TEXT('הדבקת לידים'!B4662,REPT("0",הגדרות!$E$3)),TEXT('הדבקת לידים'!B4662,"0")),TRIM('הדבקת לידים'!B4662)))</f>
        <v/>
      </c>
      <c r="C4662" s="0" t="n">
        <f aca="false">IF(OR(A4662&lt;&gt;"",B4662&lt;&gt;""),1,0)</f>
        <v>0</v>
      </c>
      <c r="D4662" s="0" t="str">
        <f aca="false">IF(C4662=1,MOD(ABS(SIN(ROW()*12.9898+'הדבקת לידים'!$F$2*78.233+IFERROR(--RIGHT(A4662,6),LEN(A4662))*0.0137+IFERROR(--RIGHT(B4662,6),LEN(B4662))*0.0071))*43758.5453,1),"")</f>
        <v/>
      </c>
      <c r="E4662" s="0" t="str">
        <f aca="false">IF(C4662=1,INT(MOD(ABS(SIN(D4662*7919.123+ROW()*0.618+'הדבקת לידים'!$F$2*1.3))*43758.5453,1)*1000000)*10000+ROW(),"")</f>
        <v/>
      </c>
      <c r="F4662" s="0" t="str">
        <f aca="false">IF(E4662="","",RANK(E4662,$E$2:$E$5001,1))</f>
        <v/>
      </c>
      <c r="G4662" s="0" t="n">
        <f aca="false">IF(A4662="",0,IF(SUMPRODUCT(--($A$2:$A$5001=A4662))&gt;1,1,0))</f>
        <v>0</v>
      </c>
      <c r="H4662" s="0" t="n">
        <f aca="false">ROW()-1</f>
        <v>4661</v>
      </c>
      <c r="I4662" s="0" t="str">
        <f aca="false">IF(OR(הגדרות!$E$6=0,H4662&gt;הגדרות!$E$5),"",IF(H4662-1&lt;הגדרות!$E$8*(הגדרות!$E$7+1),INT((H4662-1)/(הגדרות!$E$7+1)),הגדרות!$E$8+INT((H4662-1-הגדרות!$E$8*(הגדרות!$E$7+1))/הגדרות!$E$7)))</f>
        <v/>
      </c>
      <c r="J4662" s="0" t="str">
        <f aca="false">IF(I4662="","",IF(H4662-1&lt;הגדרות!$E$8*(הגדרות!$E$7+1),MOD(H4662-1,הגדרות!$E$7+1),MOD(H4662-1-הגדרות!$E$8*(הגדרות!$E$7+1),הגדרות!$E$7)))</f>
        <v/>
      </c>
      <c r="K4662" s="0" t="str">
        <f aca="false">IF(I4662="","",J4662*הגדרות!$E$6+I4662+1)</f>
        <v/>
      </c>
      <c r="L4662" s="0" t="str">
        <f aca="false">IF(K4662="","",MATCH(K4662,$F$2:$F$5001,0))</f>
        <v/>
      </c>
      <c r="M4662" s="0" t="str">
        <f aca="false">IF(I4662="","",INDEX(הגדרות!$A$2:$A$21,MOD(I4662+הגדרות!$E$9,הגדרות!$E$6)+1))</f>
        <v/>
      </c>
    </row>
    <row r="4663" customFormat="false" ht="15" hidden="false" customHeight="false" outlineLevel="0" collapsed="false">
      <c r="A4663" s="0" t="str">
        <f aca="false">IF('הדבקת לידים'!A4663="","",IF(ISNUMBER('הדבקת לידים'!A4663),IF(הגדרות!$E$2&gt;0,TEXT('הדבקת לידים'!A4663,REPT("0",הגדרות!$E$2)),TEXT('הדבקת לידים'!A4663,"0")),TRIM('הדבקת לידים'!A4663)))</f>
        <v/>
      </c>
      <c r="B4663" s="0" t="str">
        <f aca="false">IF('הדבקת לידים'!B4663="","",IF(ISNUMBER('הדבקת לידים'!B4663),IF(הגדרות!$E$3&gt;0,TEXT('הדבקת לידים'!B4663,REPT("0",הגדרות!$E$3)),TEXT('הדבקת לידים'!B4663,"0")),TRIM('הדבקת לידים'!B4663)))</f>
        <v/>
      </c>
      <c r="C4663" s="0" t="n">
        <f aca="false">IF(OR(A4663&lt;&gt;"",B4663&lt;&gt;""),1,0)</f>
        <v>0</v>
      </c>
      <c r="D4663" s="0" t="str">
        <f aca="false">IF(C4663=1,MOD(ABS(SIN(ROW()*12.9898+'הדבקת לידים'!$F$2*78.233+IFERROR(--RIGHT(A4663,6),LEN(A4663))*0.0137+IFERROR(--RIGHT(B4663,6),LEN(B4663))*0.0071))*43758.5453,1),"")</f>
        <v/>
      </c>
      <c r="E4663" s="0" t="str">
        <f aca="false">IF(C4663=1,INT(MOD(ABS(SIN(D4663*7919.123+ROW()*0.618+'הדבקת לידים'!$F$2*1.3))*43758.5453,1)*1000000)*10000+ROW(),"")</f>
        <v/>
      </c>
      <c r="F4663" s="0" t="str">
        <f aca="false">IF(E4663="","",RANK(E4663,$E$2:$E$5001,1))</f>
        <v/>
      </c>
      <c r="G4663" s="0" t="n">
        <f aca="false">IF(A4663="",0,IF(SUMPRODUCT(--($A$2:$A$5001=A4663))&gt;1,1,0))</f>
        <v>0</v>
      </c>
      <c r="H4663" s="0" t="n">
        <f aca="false">ROW()-1</f>
        <v>4662</v>
      </c>
      <c r="I4663" s="0" t="str">
        <f aca="false">IF(OR(הגדרות!$E$6=0,H4663&gt;הגדרות!$E$5),"",IF(H4663-1&lt;הגדרות!$E$8*(הגדרות!$E$7+1),INT((H4663-1)/(הגדרות!$E$7+1)),הגדרות!$E$8+INT((H4663-1-הגדרות!$E$8*(הגדרות!$E$7+1))/הגדרות!$E$7)))</f>
        <v/>
      </c>
      <c r="J4663" s="0" t="str">
        <f aca="false">IF(I4663="","",IF(H4663-1&lt;הגדרות!$E$8*(הגדרות!$E$7+1),MOD(H4663-1,הגדרות!$E$7+1),MOD(H4663-1-הגדרות!$E$8*(הגדרות!$E$7+1),הגדרות!$E$7)))</f>
        <v/>
      </c>
      <c r="K4663" s="0" t="str">
        <f aca="false">IF(I4663="","",J4663*הגדרות!$E$6+I4663+1)</f>
        <v/>
      </c>
      <c r="L4663" s="0" t="str">
        <f aca="false">IF(K4663="","",MATCH(K4663,$F$2:$F$5001,0))</f>
        <v/>
      </c>
      <c r="M4663" s="0" t="str">
        <f aca="false">IF(I4663="","",INDEX(הגדרות!$A$2:$A$21,MOD(I4663+הגדרות!$E$9,הגדרות!$E$6)+1))</f>
        <v/>
      </c>
    </row>
    <row r="4664" customFormat="false" ht="15" hidden="false" customHeight="false" outlineLevel="0" collapsed="false">
      <c r="A4664" s="0" t="str">
        <f aca="false">IF('הדבקת לידים'!A4664="","",IF(ISNUMBER('הדבקת לידים'!A4664),IF(הגדרות!$E$2&gt;0,TEXT('הדבקת לידים'!A4664,REPT("0",הגדרות!$E$2)),TEXT('הדבקת לידים'!A4664,"0")),TRIM('הדבקת לידים'!A4664)))</f>
        <v/>
      </c>
      <c r="B4664" s="0" t="str">
        <f aca="false">IF('הדבקת לידים'!B4664="","",IF(ISNUMBER('הדבקת לידים'!B4664),IF(הגדרות!$E$3&gt;0,TEXT('הדבקת לידים'!B4664,REPT("0",הגדרות!$E$3)),TEXT('הדבקת לידים'!B4664,"0")),TRIM('הדבקת לידים'!B4664)))</f>
        <v/>
      </c>
      <c r="C4664" s="0" t="n">
        <f aca="false">IF(OR(A4664&lt;&gt;"",B4664&lt;&gt;""),1,0)</f>
        <v>0</v>
      </c>
      <c r="D4664" s="0" t="str">
        <f aca="false">IF(C4664=1,MOD(ABS(SIN(ROW()*12.9898+'הדבקת לידים'!$F$2*78.233+IFERROR(--RIGHT(A4664,6),LEN(A4664))*0.0137+IFERROR(--RIGHT(B4664,6),LEN(B4664))*0.0071))*43758.5453,1),"")</f>
        <v/>
      </c>
      <c r="E4664" s="0" t="str">
        <f aca="false">IF(C4664=1,INT(MOD(ABS(SIN(D4664*7919.123+ROW()*0.618+'הדבקת לידים'!$F$2*1.3))*43758.5453,1)*1000000)*10000+ROW(),"")</f>
        <v/>
      </c>
      <c r="F4664" s="0" t="str">
        <f aca="false">IF(E4664="","",RANK(E4664,$E$2:$E$5001,1))</f>
        <v/>
      </c>
      <c r="G4664" s="0" t="n">
        <f aca="false">IF(A4664="",0,IF(SUMPRODUCT(--($A$2:$A$5001=A4664))&gt;1,1,0))</f>
        <v>0</v>
      </c>
      <c r="H4664" s="0" t="n">
        <f aca="false">ROW()-1</f>
        <v>4663</v>
      </c>
      <c r="I4664" s="0" t="str">
        <f aca="false">IF(OR(הגדרות!$E$6=0,H4664&gt;הגדרות!$E$5),"",IF(H4664-1&lt;הגדרות!$E$8*(הגדרות!$E$7+1),INT((H4664-1)/(הגדרות!$E$7+1)),הגדרות!$E$8+INT((H4664-1-הגדרות!$E$8*(הגדרות!$E$7+1))/הגדרות!$E$7)))</f>
        <v/>
      </c>
      <c r="J4664" s="0" t="str">
        <f aca="false">IF(I4664="","",IF(H4664-1&lt;הגדרות!$E$8*(הגדרות!$E$7+1),MOD(H4664-1,הגדרות!$E$7+1),MOD(H4664-1-הגדרות!$E$8*(הגדרות!$E$7+1),הגדרות!$E$7)))</f>
        <v/>
      </c>
      <c r="K4664" s="0" t="str">
        <f aca="false">IF(I4664="","",J4664*הגדרות!$E$6+I4664+1)</f>
        <v/>
      </c>
      <c r="L4664" s="0" t="str">
        <f aca="false">IF(K4664="","",MATCH(K4664,$F$2:$F$5001,0))</f>
        <v/>
      </c>
      <c r="M4664" s="0" t="str">
        <f aca="false">IF(I4664="","",INDEX(הגדרות!$A$2:$A$21,MOD(I4664+הגדרות!$E$9,הגדרות!$E$6)+1))</f>
        <v/>
      </c>
    </row>
    <row r="4665" customFormat="false" ht="15" hidden="false" customHeight="false" outlineLevel="0" collapsed="false">
      <c r="A4665" s="0" t="str">
        <f aca="false">IF('הדבקת לידים'!A4665="","",IF(ISNUMBER('הדבקת לידים'!A4665),IF(הגדרות!$E$2&gt;0,TEXT('הדבקת לידים'!A4665,REPT("0",הגדרות!$E$2)),TEXT('הדבקת לידים'!A4665,"0")),TRIM('הדבקת לידים'!A4665)))</f>
        <v/>
      </c>
      <c r="B4665" s="0" t="str">
        <f aca="false">IF('הדבקת לידים'!B4665="","",IF(ISNUMBER('הדבקת לידים'!B4665),IF(הגדרות!$E$3&gt;0,TEXT('הדבקת לידים'!B4665,REPT("0",הגדרות!$E$3)),TEXT('הדבקת לידים'!B4665,"0")),TRIM('הדבקת לידים'!B4665)))</f>
        <v/>
      </c>
      <c r="C4665" s="0" t="n">
        <f aca="false">IF(OR(A4665&lt;&gt;"",B4665&lt;&gt;""),1,0)</f>
        <v>0</v>
      </c>
      <c r="D4665" s="0" t="str">
        <f aca="false">IF(C4665=1,MOD(ABS(SIN(ROW()*12.9898+'הדבקת לידים'!$F$2*78.233+IFERROR(--RIGHT(A4665,6),LEN(A4665))*0.0137+IFERROR(--RIGHT(B4665,6),LEN(B4665))*0.0071))*43758.5453,1),"")</f>
        <v/>
      </c>
      <c r="E4665" s="0" t="str">
        <f aca="false">IF(C4665=1,INT(MOD(ABS(SIN(D4665*7919.123+ROW()*0.618+'הדבקת לידים'!$F$2*1.3))*43758.5453,1)*1000000)*10000+ROW(),"")</f>
        <v/>
      </c>
      <c r="F4665" s="0" t="str">
        <f aca="false">IF(E4665="","",RANK(E4665,$E$2:$E$5001,1))</f>
        <v/>
      </c>
      <c r="G4665" s="0" t="n">
        <f aca="false">IF(A4665="",0,IF(SUMPRODUCT(--($A$2:$A$5001=A4665))&gt;1,1,0))</f>
        <v>0</v>
      </c>
      <c r="H4665" s="0" t="n">
        <f aca="false">ROW()-1</f>
        <v>4664</v>
      </c>
      <c r="I4665" s="0" t="str">
        <f aca="false">IF(OR(הגדרות!$E$6=0,H4665&gt;הגדרות!$E$5),"",IF(H4665-1&lt;הגדרות!$E$8*(הגדרות!$E$7+1),INT((H4665-1)/(הגדרות!$E$7+1)),הגדרות!$E$8+INT((H4665-1-הגדרות!$E$8*(הגדרות!$E$7+1))/הגדרות!$E$7)))</f>
        <v/>
      </c>
      <c r="J4665" s="0" t="str">
        <f aca="false">IF(I4665="","",IF(H4665-1&lt;הגדרות!$E$8*(הגדרות!$E$7+1),MOD(H4665-1,הגדרות!$E$7+1),MOD(H4665-1-הגדרות!$E$8*(הגדרות!$E$7+1),הגדרות!$E$7)))</f>
        <v/>
      </c>
      <c r="K4665" s="0" t="str">
        <f aca="false">IF(I4665="","",J4665*הגדרות!$E$6+I4665+1)</f>
        <v/>
      </c>
      <c r="L4665" s="0" t="str">
        <f aca="false">IF(K4665="","",MATCH(K4665,$F$2:$F$5001,0))</f>
        <v/>
      </c>
      <c r="M4665" s="0" t="str">
        <f aca="false">IF(I4665="","",INDEX(הגדרות!$A$2:$A$21,MOD(I4665+הגדרות!$E$9,הגדרות!$E$6)+1))</f>
        <v/>
      </c>
    </row>
    <row r="4666" customFormat="false" ht="15" hidden="false" customHeight="false" outlineLevel="0" collapsed="false">
      <c r="A4666" s="0" t="str">
        <f aca="false">IF('הדבקת לידים'!A4666="","",IF(ISNUMBER('הדבקת לידים'!A4666),IF(הגדרות!$E$2&gt;0,TEXT('הדבקת לידים'!A4666,REPT("0",הגדרות!$E$2)),TEXT('הדבקת לידים'!A4666,"0")),TRIM('הדבקת לידים'!A4666)))</f>
        <v/>
      </c>
      <c r="B4666" s="0" t="str">
        <f aca="false">IF('הדבקת לידים'!B4666="","",IF(ISNUMBER('הדבקת לידים'!B4666),IF(הגדרות!$E$3&gt;0,TEXT('הדבקת לידים'!B4666,REPT("0",הגדרות!$E$3)),TEXT('הדבקת לידים'!B4666,"0")),TRIM('הדבקת לידים'!B4666)))</f>
        <v/>
      </c>
      <c r="C4666" s="0" t="n">
        <f aca="false">IF(OR(A4666&lt;&gt;"",B4666&lt;&gt;""),1,0)</f>
        <v>0</v>
      </c>
      <c r="D4666" s="0" t="str">
        <f aca="false">IF(C4666=1,MOD(ABS(SIN(ROW()*12.9898+'הדבקת לידים'!$F$2*78.233+IFERROR(--RIGHT(A4666,6),LEN(A4666))*0.0137+IFERROR(--RIGHT(B4666,6),LEN(B4666))*0.0071))*43758.5453,1),"")</f>
        <v/>
      </c>
      <c r="E4666" s="0" t="str">
        <f aca="false">IF(C4666=1,INT(MOD(ABS(SIN(D4666*7919.123+ROW()*0.618+'הדבקת לידים'!$F$2*1.3))*43758.5453,1)*1000000)*10000+ROW(),"")</f>
        <v/>
      </c>
      <c r="F4666" s="0" t="str">
        <f aca="false">IF(E4666="","",RANK(E4666,$E$2:$E$5001,1))</f>
        <v/>
      </c>
      <c r="G4666" s="0" t="n">
        <f aca="false">IF(A4666="",0,IF(SUMPRODUCT(--($A$2:$A$5001=A4666))&gt;1,1,0))</f>
        <v>0</v>
      </c>
      <c r="H4666" s="0" t="n">
        <f aca="false">ROW()-1</f>
        <v>4665</v>
      </c>
      <c r="I4666" s="0" t="str">
        <f aca="false">IF(OR(הגדרות!$E$6=0,H4666&gt;הגדרות!$E$5),"",IF(H4666-1&lt;הגדרות!$E$8*(הגדרות!$E$7+1),INT((H4666-1)/(הגדרות!$E$7+1)),הגדרות!$E$8+INT((H4666-1-הגדרות!$E$8*(הגדרות!$E$7+1))/הגדרות!$E$7)))</f>
        <v/>
      </c>
      <c r="J4666" s="0" t="str">
        <f aca="false">IF(I4666="","",IF(H4666-1&lt;הגדרות!$E$8*(הגדרות!$E$7+1),MOD(H4666-1,הגדרות!$E$7+1),MOD(H4666-1-הגדרות!$E$8*(הגדרות!$E$7+1),הגדרות!$E$7)))</f>
        <v/>
      </c>
      <c r="K4666" s="0" t="str">
        <f aca="false">IF(I4666="","",J4666*הגדרות!$E$6+I4666+1)</f>
        <v/>
      </c>
      <c r="L4666" s="0" t="str">
        <f aca="false">IF(K4666="","",MATCH(K4666,$F$2:$F$5001,0))</f>
        <v/>
      </c>
      <c r="M4666" s="0" t="str">
        <f aca="false">IF(I4666="","",INDEX(הגדרות!$A$2:$A$21,MOD(I4666+הגדרות!$E$9,הגדרות!$E$6)+1))</f>
        <v/>
      </c>
    </row>
    <row r="4667" customFormat="false" ht="15" hidden="false" customHeight="false" outlineLevel="0" collapsed="false">
      <c r="A4667" s="0" t="str">
        <f aca="false">IF('הדבקת לידים'!A4667="","",IF(ISNUMBER('הדבקת לידים'!A4667),IF(הגדרות!$E$2&gt;0,TEXT('הדבקת לידים'!A4667,REPT("0",הגדרות!$E$2)),TEXT('הדבקת לידים'!A4667,"0")),TRIM('הדבקת לידים'!A4667)))</f>
        <v/>
      </c>
      <c r="B4667" s="0" t="str">
        <f aca="false">IF('הדבקת לידים'!B4667="","",IF(ISNUMBER('הדבקת לידים'!B4667),IF(הגדרות!$E$3&gt;0,TEXT('הדבקת לידים'!B4667,REPT("0",הגדרות!$E$3)),TEXT('הדבקת לידים'!B4667,"0")),TRIM('הדבקת לידים'!B4667)))</f>
        <v/>
      </c>
      <c r="C4667" s="0" t="n">
        <f aca="false">IF(OR(A4667&lt;&gt;"",B4667&lt;&gt;""),1,0)</f>
        <v>0</v>
      </c>
      <c r="D4667" s="0" t="str">
        <f aca="false">IF(C4667=1,MOD(ABS(SIN(ROW()*12.9898+'הדבקת לידים'!$F$2*78.233+IFERROR(--RIGHT(A4667,6),LEN(A4667))*0.0137+IFERROR(--RIGHT(B4667,6),LEN(B4667))*0.0071))*43758.5453,1),"")</f>
        <v/>
      </c>
      <c r="E4667" s="0" t="str">
        <f aca="false">IF(C4667=1,INT(MOD(ABS(SIN(D4667*7919.123+ROW()*0.618+'הדבקת לידים'!$F$2*1.3))*43758.5453,1)*1000000)*10000+ROW(),"")</f>
        <v/>
      </c>
      <c r="F4667" s="0" t="str">
        <f aca="false">IF(E4667="","",RANK(E4667,$E$2:$E$5001,1))</f>
        <v/>
      </c>
      <c r="G4667" s="0" t="n">
        <f aca="false">IF(A4667="",0,IF(SUMPRODUCT(--($A$2:$A$5001=A4667))&gt;1,1,0))</f>
        <v>0</v>
      </c>
      <c r="H4667" s="0" t="n">
        <f aca="false">ROW()-1</f>
        <v>4666</v>
      </c>
      <c r="I4667" s="0" t="str">
        <f aca="false">IF(OR(הגדרות!$E$6=0,H4667&gt;הגדרות!$E$5),"",IF(H4667-1&lt;הגדרות!$E$8*(הגדרות!$E$7+1),INT((H4667-1)/(הגדרות!$E$7+1)),הגדרות!$E$8+INT((H4667-1-הגדרות!$E$8*(הגדרות!$E$7+1))/הגדרות!$E$7)))</f>
        <v/>
      </c>
      <c r="J4667" s="0" t="str">
        <f aca="false">IF(I4667="","",IF(H4667-1&lt;הגדרות!$E$8*(הגדרות!$E$7+1),MOD(H4667-1,הגדרות!$E$7+1),MOD(H4667-1-הגדרות!$E$8*(הגדרות!$E$7+1),הגדרות!$E$7)))</f>
        <v/>
      </c>
      <c r="K4667" s="0" t="str">
        <f aca="false">IF(I4667="","",J4667*הגדרות!$E$6+I4667+1)</f>
        <v/>
      </c>
      <c r="L4667" s="0" t="str">
        <f aca="false">IF(K4667="","",MATCH(K4667,$F$2:$F$5001,0))</f>
        <v/>
      </c>
      <c r="M4667" s="0" t="str">
        <f aca="false">IF(I4667="","",INDEX(הגדרות!$A$2:$A$21,MOD(I4667+הגדרות!$E$9,הגדרות!$E$6)+1))</f>
        <v/>
      </c>
    </row>
    <row r="4668" customFormat="false" ht="15" hidden="false" customHeight="false" outlineLevel="0" collapsed="false">
      <c r="A4668" s="0" t="str">
        <f aca="false">IF('הדבקת לידים'!A4668="","",IF(ISNUMBER('הדבקת לידים'!A4668),IF(הגדרות!$E$2&gt;0,TEXT('הדבקת לידים'!A4668,REPT("0",הגדרות!$E$2)),TEXT('הדבקת לידים'!A4668,"0")),TRIM('הדבקת לידים'!A4668)))</f>
        <v/>
      </c>
      <c r="B4668" s="0" t="str">
        <f aca="false">IF('הדבקת לידים'!B4668="","",IF(ISNUMBER('הדבקת לידים'!B4668),IF(הגדרות!$E$3&gt;0,TEXT('הדבקת לידים'!B4668,REPT("0",הגדרות!$E$3)),TEXT('הדבקת לידים'!B4668,"0")),TRIM('הדבקת לידים'!B4668)))</f>
        <v/>
      </c>
      <c r="C4668" s="0" t="n">
        <f aca="false">IF(OR(A4668&lt;&gt;"",B4668&lt;&gt;""),1,0)</f>
        <v>0</v>
      </c>
      <c r="D4668" s="0" t="str">
        <f aca="false">IF(C4668=1,MOD(ABS(SIN(ROW()*12.9898+'הדבקת לידים'!$F$2*78.233+IFERROR(--RIGHT(A4668,6),LEN(A4668))*0.0137+IFERROR(--RIGHT(B4668,6),LEN(B4668))*0.0071))*43758.5453,1),"")</f>
        <v/>
      </c>
      <c r="E4668" s="0" t="str">
        <f aca="false">IF(C4668=1,INT(MOD(ABS(SIN(D4668*7919.123+ROW()*0.618+'הדבקת לידים'!$F$2*1.3))*43758.5453,1)*1000000)*10000+ROW(),"")</f>
        <v/>
      </c>
      <c r="F4668" s="0" t="str">
        <f aca="false">IF(E4668="","",RANK(E4668,$E$2:$E$5001,1))</f>
        <v/>
      </c>
      <c r="G4668" s="0" t="n">
        <f aca="false">IF(A4668="",0,IF(SUMPRODUCT(--($A$2:$A$5001=A4668))&gt;1,1,0))</f>
        <v>0</v>
      </c>
      <c r="H4668" s="0" t="n">
        <f aca="false">ROW()-1</f>
        <v>4667</v>
      </c>
      <c r="I4668" s="0" t="str">
        <f aca="false">IF(OR(הגדרות!$E$6=0,H4668&gt;הגדרות!$E$5),"",IF(H4668-1&lt;הגדרות!$E$8*(הגדרות!$E$7+1),INT((H4668-1)/(הגדרות!$E$7+1)),הגדרות!$E$8+INT((H4668-1-הגדרות!$E$8*(הגדרות!$E$7+1))/הגדרות!$E$7)))</f>
        <v/>
      </c>
      <c r="J4668" s="0" t="str">
        <f aca="false">IF(I4668="","",IF(H4668-1&lt;הגדרות!$E$8*(הגדרות!$E$7+1),MOD(H4668-1,הגדרות!$E$7+1),MOD(H4668-1-הגדרות!$E$8*(הגדרות!$E$7+1),הגדרות!$E$7)))</f>
        <v/>
      </c>
      <c r="K4668" s="0" t="str">
        <f aca="false">IF(I4668="","",J4668*הגדרות!$E$6+I4668+1)</f>
        <v/>
      </c>
      <c r="L4668" s="0" t="str">
        <f aca="false">IF(K4668="","",MATCH(K4668,$F$2:$F$5001,0))</f>
        <v/>
      </c>
      <c r="M4668" s="0" t="str">
        <f aca="false">IF(I4668="","",INDEX(הגדרות!$A$2:$A$21,MOD(I4668+הגדרות!$E$9,הגדרות!$E$6)+1))</f>
        <v/>
      </c>
    </row>
    <row r="4669" customFormat="false" ht="15" hidden="false" customHeight="false" outlineLevel="0" collapsed="false">
      <c r="A4669" s="0" t="str">
        <f aca="false">IF('הדבקת לידים'!A4669="","",IF(ISNUMBER('הדבקת לידים'!A4669),IF(הגדרות!$E$2&gt;0,TEXT('הדבקת לידים'!A4669,REPT("0",הגדרות!$E$2)),TEXT('הדבקת לידים'!A4669,"0")),TRIM('הדבקת לידים'!A4669)))</f>
        <v/>
      </c>
      <c r="B4669" s="0" t="str">
        <f aca="false">IF('הדבקת לידים'!B4669="","",IF(ISNUMBER('הדבקת לידים'!B4669),IF(הגדרות!$E$3&gt;0,TEXT('הדבקת לידים'!B4669,REPT("0",הגדרות!$E$3)),TEXT('הדבקת לידים'!B4669,"0")),TRIM('הדבקת לידים'!B4669)))</f>
        <v/>
      </c>
      <c r="C4669" s="0" t="n">
        <f aca="false">IF(OR(A4669&lt;&gt;"",B4669&lt;&gt;""),1,0)</f>
        <v>0</v>
      </c>
      <c r="D4669" s="0" t="str">
        <f aca="false">IF(C4669=1,MOD(ABS(SIN(ROW()*12.9898+'הדבקת לידים'!$F$2*78.233+IFERROR(--RIGHT(A4669,6),LEN(A4669))*0.0137+IFERROR(--RIGHT(B4669,6),LEN(B4669))*0.0071))*43758.5453,1),"")</f>
        <v/>
      </c>
      <c r="E4669" s="0" t="str">
        <f aca="false">IF(C4669=1,INT(MOD(ABS(SIN(D4669*7919.123+ROW()*0.618+'הדבקת לידים'!$F$2*1.3))*43758.5453,1)*1000000)*10000+ROW(),"")</f>
        <v/>
      </c>
      <c r="F4669" s="0" t="str">
        <f aca="false">IF(E4669="","",RANK(E4669,$E$2:$E$5001,1))</f>
        <v/>
      </c>
      <c r="G4669" s="0" t="n">
        <f aca="false">IF(A4669="",0,IF(SUMPRODUCT(--($A$2:$A$5001=A4669))&gt;1,1,0))</f>
        <v>0</v>
      </c>
      <c r="H4669" s="0" t="n">
        <f aca="false">ROW()-1</f>
        <v>4668</v>
      </c>
      <c r="I4669" s="0" t="str">
        <f aca="false">IF(OR(הגדרות!$E$6=0,H4669&gt;הגדרות!$E$5),"",IF(H4669-1&lt;הגדרות!$E$8*(הגדרות!$E$7+1),INT((H4669-1)/(הגדרות!$E$7+1)),הגדרות!$E$8+INT((H4669-1-הגדרות!$E$8*(הגדרות!$E$7+1))/הגדרות!$E$7)))</f>
        <v/>
      </c>
      <c r="J4669" s="0" t="str">
        <f aca="false">IF(I4669="","",IF(H4669-1&lt;הגדרות!$E$8*(הגדרות!$E$7+1),MOD(H4669-1,הגדרות!$E$7+1),MOD(H4669-1-הגדרות!$E$8*(הגדרות!$E$7+1),הגדרות!$E$7)))</f>
        <v/>
      </c>
      <c r="K4669" s="0" t="str">
        <f aca="false">IF(I4669="","",J4669*הגדרות!$E$6+I4669+1)</f>
        <v/>
      </c>
      <c r="L4669" s="0" t="str">
        <f aca="false">IF(K4669="","",MATCH(K4669,$F$2:$F$5001,0))</f>
        <v/>
      </c>
      <c r="M4669" s="0" t="str">
        <f aca="false">IF(I4669="","",INDEX(הגדרות!$A$2:$A$21,MOD(I4669+הגדרות!$E$9,הגדרות!$E$6)+1))</f>
        <v/>
      </c>
    </row>
    <row r="4670" customFormat="false" ht="15" hidden="false" customHeight="false" outlineLevel="0" collapsed="false">
      <c r="A4670" s="0" t="str">
        <f aca="false">IF('הדבקת לידים'!A4670="","",IF(ISNUMBER('הדבקת לידים'!A4670),IF(הגדרות!$E$2&gt;0,TEXT('הדבקת לידים'!A4670,REPT("0",הגדרות!$E$2)),TEXT('הדבקת לידים'!A4670,"0")),TRIM('הדבקת לידים'!A4670)))</f>
        <v/>
      </c>
      <c r="B4670" s="0" t="str">
        <f aca="false">IF('הדבקת לידים'!B4670="","",IF(ISNUMBER('הדבקת לידים'!B4670),IF(הגדרות!$E$3&gt;0,TEXT('הדבקת לידים'!B4670,REPT("0",הגדרות!$E$3)),TEXT('הדבקת לידים'!B4670,"0")),TRIM('הדבקת לידים'!B4670)))</f>
        <v/>
      </c>
      <c r="C4670" s="0" t="n">
        <f aca="false">IF(OR(A4670&lt;&gt;"",B4670&lt;&gt;""),1,0)</f>
        <v>0</v>
      </c>
      <c r="D4670" s="0" t="str">
        <f aca="false">IF(C4670=1,MOD(ABS(SIN(ROW()*12.9898+'הדבקת לידים'!$F$2*78.233+IFERROR(--RIGHT(A4670,6),LEN(A4670))*0.0137+IFERROR(--RIGHT(B4670,6),LEN(B4670))*0.0071))*43758.5453,1),"")</f>
        <v/>
      </c>
      <c r="E4670" s="0" t="str">
        <f aca="false">IF(C4670=1,INT(MOD(ABS(SIN(D4670*7919.123+ROW()*0.618+'הדבקת לידים'!$F$2*1.3))*43758.5453,1)*1000000)*10000+ROW(),"")</f>
        <v/>
      </c>
      <c r="F4670" s="0" t="str">
        <f aca="false">IF(E4670="","",RANK(E4670,$E$2:$E$5001,1))</f>
        <v/>
      </c>
      <c r="G4670" s="0" t="n">
        <f aca="false">IF(A4670="",0,IF(SUMPRODUCT(--($A$2:$A$5001=A4670))&gt;1,1,0))</f>
        <v>0</v>
      </c>
      <c r="H4670" s="0" t="n">
        <f aca="false">ROW()-1</f>
        <v>4669</v>
      </c>
      <c r="I4670" s="0" t="str">
        <f aca="false">IF(OR(הגדרות!$E$6=0,H4670&gt;הגדרות!$E$5),"",IF(H4670-1&lt;הגדרות!$E$8*(הגדרות!$E$7+1),INT((H4670-1)/(הגדרות!$E$7+1)),הגדרות!$E$8+INT((H4670-1-הגדרות!$E$8*(הגדרות!$E$7+1))/הגדרות!$E$7)))</f>
        <v/>
      </c>
      <c r="J4670" s="0" t="str">
        <f aca="false">IF(I4670="","",IF(H4670-1&lt;הגדרות!$E$8*(הגדרות!$E$7+1),MOD(H4670-1,הגדרות!$E$7+1),MOD(H4670-1-הגדרות!$E$8*(הגדרות!$E$7+1),הגדרות!$E$7)))</f>
        <v/>
      </c>
      <c r="K4670" s="0" t="str">
        <f aca="false">IF(I4670="","",J4670*הגדרות!$E$6+I4670+1)</f>
        <v/>
      </c>
      <c r="L4670" s="0" t="str">
        <f aca="false">IF(K4670="","",MATCH(K4670,$F$2:$F$5001,0))</f>
        <v/>
      </c>
      <c r="M4670" s="0" t="str">
        <f aca="false">IF(I4670="","",INDEX(הגדרות!$A$2:$A$21,MOD(I4670+הגדרות!$E$9,הגדרות!$E$6)+1))</f>
        <v/>
      </c>
    </row>
    <row r="4671" customFormat="false" ht="15" hidden="false" customHeight="false" outlineLevel="0" collapsed="false">
      <c r="A4671" s="0" t="str">
        <f aca="false">IF('הדבקת לידים'!A4671="","",IF(ISNUMBER('הדבקת לידים'!A4671),IF(הגדרות!$E$2&gt;0,TEXT('הדבקת לידים'!A4671,REPT("0",הגדרות!$E$2)),TEXT('הדבקת לידים'!A4671,"0")),TRIM('הדבקת לידים'!A4671)))</f>
        <v/>
      </c>
      <c r="B4671" s="0" t="str">
        <f aca="false">IF('הדבקת לידים'!B4671="","",IF(ISNUMBER('הדבקת לידים'!B4671),IF(הגדרות!$E$3&gt;0,TEXT('הדבקת לידים'!B4671,REPT("0",הגדרות!$E$3)),TEXT('הדבקת לידים'!B4671,"0")),TRIM('הדבקת לידים'!B4671)))</f>
        <v/>
      </c>
      <c r="C4671" s="0" t="n">
        <f aca="false">IF(OR(A4671&lt;&gt;"",B4671&lt;&gt;""),1,0)</f>
        <v>0</v>
      </c>
      <c r="D4671" s="0" t="str">
        <f aca="false">IF(C4671=1,MOD(ABS(SIN(ROW()*12.9898+'הדבקת לידים'!$F$2*78.233+IFERROR(--RIGHT(A4671,6),LEN(A4671))*0.0137+IFERROR(--RIGHT(B4671,6),LEN(B4671))*0.0071))*43758.5453,1),"")</f>
        <v/>
      </c>
      <c r="E4671" s="0" t="str">
        <f aca="false">IF(C4671=1,INT(MOD(ABS(SIN(D4671*7919.123+ROW()*0.618+'הדבקת לידים'!$F$2*1.3))*43758.5453,1)*1000000)*10000+ROW(),"")</f>
        <v/>
      </c>
      <c r="F4671" s="0" t="str">
        <f aca="false">IF(E4671="","",RANK(E4671,$E$2:$E$5001,1))</f>
        <v/>
      </c>
      <c r="G4671" s="0" t="n">
        <f aca="false">IF(A4671="",0,IF(SUMPRODUCT(--($A$2:$A$5001=A4671))&gt;1,1,0))</f>
        <v>0</v>
      </c>
      <c r="H4671" s="0" t="n">
        <f aca="false">ROW()-1</f>
        <v>4670</v>
      </c>
      <c r="I4671" s="0" t="str">
        <f aca="false">IF(OR(הגדרות!$E$6=0,H4671&gt;הגדרות!$E$5),"",IF(H4671-1&lt;הגדרות!$E$8*(הגדרות!$E$7+1),INT((H4671-1)/(הגדרות!$E$7+1)),הגדרות!$E$8+INT((H4671-1-הגדרות!$E$8*(הגדרות!$E$7+1))/הגדרות!$E$7)))</f>
        <v/>
      </c>
      <c r="J4671" s="0" t="str">
        <f aca="false">IF(I4671="","",IF(H4671-1&lt;הגדרות!$E$8*(הגדרות!$E$7+1),MOD(H4671-1,הגדרות!$E$7+1),MOD(H4671-1-הגדרות!$E$8*(הגדרות!$E$7+1),הגדרות!$E$7)))</f>
        <v/>
      </c>
      <c r="K4671" s="0" t="str">
        <f aca="false">IF(I4671="","",J4671*הגדרות!$E$6+I4671+1)</f>
        <v/>
      </c>
      <c r="L4671" s="0" t="str">
        <f aca="false">IF(K4671="","",MATCH(K4671,$F$2:$F$5001,0))</f>
        <v/>
      </c>
      <c r="M4671" s="0" t="str">
        <f aca="false">IF(I4671="","",INDEX(הגדרות!$A$2:$A$21,MOD(I4671+הגדרות!$E$9,הגדרות!$E$6)+1))</f>
        <v/>
      </c>
    </row>
    <row r="4672" customFormat="false" ht="15" hidden="false" customHeight="false" outlineLevel="0" collapsed="false">
      <c r="A4672" s="0" t="str">
        <f aca="false">IF('הדבקת לידים'!A4672="","",IF(ISNUMBER('הדבקת לידים'!A4672),IF(הגדרות!$E$2&gt;0,TEXT('הדבקת לידים'!A4672,REPT("0",הגדרות!$E$2)),TEXT('הדבקת לידים'!A4672,"0")),TRIM('הדבקת לידים'!A4672)))</f>
        <v/>
      </c>
      <c r="B4672" s="0" t="str">
        <f aca="false">IF('הדבקת לידים'!B4672="","",IF(ISNUMBER('הדבקת לידים'!B4672),IF(הגדרות!$E$3&gt;0,TEXT('הדבקת לידים'!B4672,REPT("0",הגדרות!$E$3)),TEXT('הדבקת לידים'!B4672,"0")),TRIM('הדבקת לידים'!B4672)))</f>
        <v/>
      </c>
      <c r="C4672" s="0" t="n">
        <f aca="false">IF(OR(A4672&lt;&gt;"",B4672&lt;&gt;""),1,0)</f>
        <v>0</v>
      </c>
      <c r="D4672" s="0" t="str">
        <f aca="false">IF(C4672=1,MOD(ABS(SIN(ROW()*12.9898+'הדבקת לידים'!$F$2*78.233+IFERROR(--RIGHT(A4672,6),LEN(A4672))*0.0137+IFERROR(--RIGHT(B4672,6),LEN(B4672))*0.0071))*43758.5453,1),"")</f>
        <v/>
      </c>
      <c r="E4672" s="0" t="str">
        <f aca="false">IF(C4672=1,INT(MOD(ABS(SIN(D4672*7919.123+ROW()*0.618+'הדבקת לידים'!$F$2*1.3))*43758.5453,1)*1000000)*10000+ROW(),"")</f>
        <v/>
      </c>
      <c r="F4672" s="0" t="str">
        <f aca="false">IF(E4672="","",RANK(E4672,$E$2:$E$5001,1))</f>
        <v/>
      </c>
      <c r="G4672" s="0" t="n">
        <f aca="false">IF(A4672="",0,IF(SUMPRODUCT(--($A$2:$A$5001=A4672))&gt;1,1,0))</f>
        <v>0</v>
      </c>
      <c r="H4672" s="0" t="n">
        <f aca="false">ROW()-1</f>
        <v>4671</v>
      </c>
      <c r="I4672" s="0" t="str">
        <f aca="false">IF(OR(הגדרות!$E$6=0,H4672&gt;הגדרות!$E$5),"",IF(H4672-1&lt;הגדרות!$E$8*(הגדרות!$E$7+1),INT((H4672-1)/(הגדרות!$E$7+1)),הגדרות!$E$8+INT((H4672-1-הגדרות!$E$8*(הגדרות!$E$7+1))/הגדרות!$E$7)))</f>
        <v/>
      </c>
      <c r="J4672" s="0" t="str">
        <f aca="false">IF(I4672="","",IF(H4672-1&lt;הגדרות!$E$8*(הגדרות!$E$7+1),MOD(H4672-1,הגדרות!$E$7+1),MOD(H4672-1-הגדרות!$E$8*(הגדרות!$E$7+1),הגדרות!$E$7)))</f>
        <v/>
      </c>
      <c r="K4672" s="0" t="str">
        <f aca="false">IF(I4672="","",J4672*הגדרות!$E$6+I4672+1)</f>
        <v/>
      </c>
      <c r="L4672" s="0" t="str">
        <f aca="false">IF(K4672="","",MATCH(K4672,$F$2:$F$5001,0))</f>
        <v/>
      </c>
      <c r="M4672" s="0" t="str">
        <f aca="false">IF(I4672="","",INDEX(הגדרות!$A$2:$A$21,MOD(I4672+הגדרות!$E$9,הגדרות!$E$6)+1))</f>
        <v/>
      </c>
    </row>
    <row r="4673" customFormat="false" ht="15" hidden="false" customHeight="false" outlineLevel="0" collapsed="false">
      <c r="A4673" s="0" t="str">
        <f aca="false">IF('הדבקת לידים'!A4673="","",IF(ISNUMBER('הדבקת לידים'!A4673),IF(הגדרות!$E$2&gt;0,TEXT('הדבקת לידים'!A4673,REPT("0",הגדרות!$E$2)),TEXT('הדבקת לידים'!A4673,"0")),TRIM('הדבקת לידים'!A4673)))</f>
        <v/>
      </c>
      <c r="B4673" s="0" t="str">
        <f aca="false">IF('הדבקת לידים'!B4673="","",IF(ISNUMBER('הדבקת לידים'!B4673),IF(הגדרות!$E$3&gt;0,TEXT('הדבקת לידים'!B4673,REPT("0",הגדרות!$E$3)),TEXT('הדבקת לידים'!B4673,"0")),TRIM('הדבקת לידים'!B4673)))</f>
        <v/>
      </c>
      <c r="C4673" s="0" t="n">
        <f aca="false">IF(OR(A4673&lt;&gt;"",B4673&lt;&gt;""),1,0)</f>
        <v>0</v>
      </c>
      <c r="D4673" s="0" t="str">
        <f aca="false">IF(C4673=1,MOD(ABS(SIN(ROW()*12.9898+'הדבקת לידים'!$F$2*78.233+IFERROR(--RIGHT(A4673,6),LEN(A4673))*0.0137+IFERROR(--RIGHT(B4673,6),LEN(B4673))*0.0071))*43758.5453,1),"")</f>
        <v/>
      </c>
      <c r="E4673" s="0" t="str">
        <f aca="false">IF(C4673=1,INT(MOD(ABS(SIN(D4673*7919.123+ROW()*0.618+'הדבקת לידים'!$F$2*1.3))*43758.5453,1)*1000000)*10000+ROW(),"")</f>
        <v/>
      </c>
      <c r="F4673" s="0" t="str">
        <f aca="false">IF(E4673="","",RANK(E4673,$E$2:$E$5001,1))</f>
        <v/>
      </c>
      <c r="G4673" s="0" t="n">
        <f aca="false">IF(A4673="",0,IF(SUMPRODUCT(--($A$2:$A$5001=A4673))&gt;1,1,0))</f>
        <v>0</v>
      </c>
      <c r="H4673" s="0" t="n">
        <f aca="false">ROW()-1</f>
        <v>4672</v>
      </c>
      <c r="I4673" s="0" t="str">
        <f aca="false">IF(OR(הגדרות!$E$6=0,H4673&gt;הגדרות!$E$5),"",IF(H4673-1&lt;הגדרות!$E$8*(הגדרות!$E$7+1),INT((H4673-1)/(הגדרות!$E$7+1)),הגדרות!$E$8+INT((H4673-1-הגדרות!$E$8*(הגדרות!$E$7+1))/הגדרות!$E$7)))</f>
        <v/>
      </c>
      <c r="J4673" s="0" t="str">
        <f aca="false">IF(I4673="","",IF(H4673-1&lt;הגדרות!$E$8*(הגדרות!$E$7+1),MOD(H4673-1,הגדרות!$E$7+1),MOD(H4673-1-הגדרות!$E$8*(הגדרות!$E$7+1),הגדרות!$E$7)))</f>
        <v/>
      </c>
      <c r="K4673" s="0" t="str">
        <f aca="false">IF(I4673="","",J4673*הגדרות!$E$6+I4673+1)</f>
        <v/>
      </c>
      <c r="L4673" s="0" t="str">
        <f aca="false">IF(K4673="","",MATCH(K4673,$F$2:$F$5001,0))</f>
        <v/>
      </c>
      <c r="M4673" s="0" t="str">
        <f aca="false">IF(I4673="","",INDEX(הגדרות!$A$2:$A$21,MOD(I4673+הגדרות!$E$9,הגדרות!$E$6)+1))</f>
        <v/>
      </c>
    </row>
    <row r="4674" customFormat="false" ht="15" hidden="false" customHeight="false" outlineLevel="0" collapsed="false">
      <c r="A4674" s="0" t="str">
        <f aca="false">IF('הדבקת לידים'!A4674="","",IF(ISNUMBER('הדבקת לידים'!A4674),IF(הגדרות!$E$2&gt;0,TEXT('הדבקת לידים'!A4674,REPT("0",הגדרות!$E$2)),TEXT('הדבקת לידים'!A4674,"0")),TRIM('הדבקת לידים'!A4674)))</f>
        <v/>
      </c>
      <c r="B4674" s="0" t="str">
        <f aca="false">IF('הדבקת לידים'!B4674="","",IF(ISNUMBER('הדבקת לידים'!B4674),IF(הגדרות!$E$3&gt;0,TEXT('הדבקת לידים'!B4674,REPT("0",הגדרות!$E$3)),TEXT('הדבקת לידים'!B4674,"0")),TRIM('הדבקת לידים'!B4674)))</f>
        <v/>
      </c>
      <c r="C4674" s="0" t="n">
        <f aca="false">IF(OR(A4674&lt;&gt;"",B4674&lt;&gt;""),1,0)</f>
        <v>0</v>
      </c>
      <c r="D4674" s="0" t="str">
        <f aca="false">IF(C4674=1,MOD(ABS(SIN(ROW()*12.9898+'הדבקת לידים'!$F$2*78.233+IFERROR(--RIGHT(A4674,6),LEN(A4674))*0.0137+IFERROR(--RIGHT(B4674,6),LEN(B4674))*0.0071))*43758.5453,1),"")</f>
        <v/>
      </c>
      <c r="E4674" s="0" t="str">
        <f aca="false">IF(C4674=1,INT(MOD(ABS(SIN(D4674*7919.123+ROW()*0.618+'הדבקת לידים'!$F$2*1.3))*43758.5453,1)*1000000)*10000+ROW(),"")</f>
        <v/>
      </c>
      <c r="F4674" s="0" t="str">
        <f aca="false">IF(E4674="","",RANK(E4674,$E$2:$E$5001,1))</f>
        <v/>
      </c>
      <c r="G4674" s="0" t="n">
        <f aca="false">IF(A4674="",0,IF(SUMPRODUCT(--($A$2:$A$5001=A4674))&gt;1,1,0))</f>
        <v>0</v>
      </c>
      <c r="H4674" s="0" t="n">
        <f aca="false">ROW()-1</f>
        <v>4673</v>
      </c>
      <c r="I4674" s="0" t="str">
        <f aca="false">IF(OR(הגדרות!$E$6=0,H4674&gt;הגדרות!$E$5),"",IF(H4674-1&lt;הגדרות!$E$8*(הגדרות!$E$7+1),INT((H4674-1)/(הגדרות!$E$7+1)),הגדרות!$E$8+INT((H4674-1-הגדרות!$E$8*(הגדרות!$E$7+1))/הגדרות!$E$7)))</f>
        <v/>
      </c>
      <c r="J4674" s="0" t="str">
        <f aca="false">IF(I4674="","",IF(H4674-1&lt;הגדרות!$E$8*(הגדרות!$E$7+1),MOD(H4674-1,הגדרות!$E$7+1),MOD(H4674-1-הגדרות!$E$8*(הגדרות!$E$7+1),הגדרות!$E$7)))</f>
        <v/>
      </c>
      <c r="K4674" s="0" t="str">
        <f aca="false">IF(I4674="","",J4674*הגדרות!$E$6+I4674+1)</f>
        <v/>
      </c>
      <c r="L4674" s="0" t="str">
        <f aca="false">IF(K4674="","",MATCH(K4674,$F$2:$F$5001,0))</f>
        <v/>
      </c>
      <c r="M4674" s="0" t="str">
        <f aca="false">IF(I4674="","",INDEX(הגדרות!$A$2:$A$21,MOD(I4674+הגדרות!$E$9,הגדרות!$E$6)+1))</f>
        <v/>
      </c>
    </row>
    <row r="4675" customFormat="false" ht="15" hidden="false" customHeight="false" outlineLevel="0" collapsed="false">
      <c r="A4675" s="0" t="str">
        <f aca="false">IF('הדבקת לידים'!A4675="","",IF(ISNUMBER('הדבקת לידים'!A4675),IF(הגדרות!$E$2&gt;0,TEXT('הדבקת לידים'!A4675,REPT("0",הגדרות!$E$2)),TEXT('הדבקת לידים'!A4675,"0")),TRIM('הדבקת לידים'!A4675)))</f>
        <v/>
      </c>
      <c r="B4675" s="0" t="str">
        <f aca="false">IF('הדבקת לידים'!B4675="","",IF(ISNUMBER('הדבקת לידים'!B4675),IF(הגדרות!$E$3&gt;0,TEXT('הדבקת לידים'!B4675,REPT("0",הגדרות!$E$3)),TEXT('הדבקת לידים'!B4675,"0")),TRIM('הדבקת לידים'!B4675)))</f>
        <v/>
      </c>
      <c r="C4675" s="0" t="n">
        <f aca="false">IF(OR(A4675&lt;&gt;"",B4675&lt;&gt;""),1,0)</f>
        <v>0</v>
      </c>
      <c r="D4675" s="0" t="str">
        <f aca="false">IF(C4675=1,MOD(ABS(SIN(ROW()*12.9898+'הדבקת לידים'!$F$2*78.233+IFERROR(--RIGHT(A4675,6),LEN(A4675))*0.0137+IFERROR(--RIGHT(B4675,6),LEN(B4675))*0.0071))*43758.5453,1),"")</f>
        <v/>
      </c>
      <c r="E4675" s="0" t="str">
        <f aca="false">IF(C4675=1,INT(MOD(ABS(SIN(D4675*7919.123+ROW()*0.618+'הדבקת לידים'!$F$2*1.3))*43758.5453,1)*1000000)*10000+ROW(),"")</f>
        <v/>
      </c>
      <c r="F4675" s="0" t="str">
        <f aca="false">IF(E4675="","",RANK(E4675,$E$2:$E$5001,1))</f>
        <v/>
      </c>
      <c r="G4675" s="0" t="n">
        <f aca="false">IF(A4675="",0,IF(SUMPRODUCT(--($A$2:$A$5001=A4675))&gt;1,1,0))</f>
        <v>0</v>
      </c>
      <c r="H4675" s="0" t="n">
        <f aca="false">ROW()-1</f>
        <v>4674</v>
      </c>
      <c r="I4675" s="0" t="str">
        <f aca="false">IF(OR(הגדרות!$E$6=0,H4675&gt;הגדרות!$E$5),"",IF(H4675-1&lt;הגדרות!$E$8*(הגדרות!$E$7+1),INT((H4675-1)/(הגדרות!$E$7+1)),הגדרות!$E$8+INT((H4675-1-הגדרות!$E$8*(הגדרות!$E$7+1))/הגדרות!$E$7)))</f>
        <v/>
      </c>
      <c r="J4675" s="0" t="str">
        <f aca="false">IF(I4675="","",IF(H4675-1&lt;הגדרות!$E$8*(הגדרות!$E$7+1),MOD(H4675-1,הגדרות!$E$7+1),MOD(H4675-1-הגדרות!$E$8*(הגדרות!$E$7+1),הגדרות!$E$7)))</f>
        <v/>
      </c>
      <c r="K4675" s="0" t="str">
        <f aca="false">IF(I4675="","",J4675*הגדרות!$E$6+I4675+1)</f>
        <v/>
      </c>
      <c r="L4675" s="0" t="str">
        <f aca="false">IF(K4675="","",MATCH(K4675,$F$2:$F$5001,0))</f>
        <v/>
      </c>
      <c r="M4675" s="0" t="str">
        <f aca="false">IF(I4675="","",INDEX(הגדרות!$A$2:$A$21,MOD(I4675+הגדרות!$E$9,הגדרות!$E$6)+1))</f>
        <v/>
      </c>
    </row>
    <row r="4676" customFormat="false" ht="15" hidden="false" customHeight="false" outlineLevel="0" collapsed="false">
      <c r="A4676" s="0" t="str">
        <f aca="false">IF('הדבקת לידים'!A4676="","",IF(ISNUMBER('הדבקת לידים'!A4676),IF(הגדרות!$E$2&gt;0,TEXT('הדבקת לידים'!A4676,REPT("0",הגדרות!$E$2)),TEXT('הדבקת לידים'!A4676,"0")),TRIM('הדבקת לידים'!A4676)))</f>
        <v/>
      </c>
      <c r="B4676" s="0" t="str">
        <f aca="false">IF('הדבקת לידים'!B4676="","",IF(ISNUMBER('הדבקת לידים'!B4676),IF(הגדרות!$E$3&gt;0,TEXT('הדבקת לידים'!B4676,REPT("0",הגדרות!$E$3)),TEXT('הדבקת לידים'!B4676,"0")),TRIM('הדבקת לידים'!B4676)))</f>
        <v/>
      </c>
      <c r="C4676" s="0" t="n">
        <f aca="false">IF(OR(A4676&lt;&gt;"",B4676&lt;&gt;""),1,0)</f>
        <v>0</v>
      </c>
      <c r="D4676" s="0" t="str">
        <f aca="false">IF(C4676=1,MOD(ABS(SIN(ROW()*12.9898+'הדבקת לידים'!$F$2*78.233+IFERROR(--RIGHT(A4676,6),LEN(A4676))*0.0137+IFERROR(--RIGHT(B4676,6),LEN(B4676))*0.0071))*43758.5453,1),"")</f>
        <v/>
      </c>
      <c r="E4676" s="0" t="str">
        <f aca="false">IF(C4676=1,INT(MOD(ABS(SIN(D4676*7919.123+ROW()*0.618+'הדבקת לידים'!$F$2*1.3))*43758.5453,1)*1000000)*10000+ROW(),"")</f>
        <v/>
      </c>
      <c r="F4676" s="0" t="str">
        <f aca="false">IF(E4676="","",RANK(E4676,$E$2:$E$5001,1))</f>
        <v/>
      </c>
      <c r="G4676" s="0" t="n">
        <f aca="false">IF(A4676="",0,IF(SUMPRODUCT(--($A$2:$A$5001=A4676))&gt;1,1,0))</f>
        <v>0</v>
      </c>
      <c r="H4676" s="0" t="n">
        <f aca="false">ROW()-1</f>
        <v>4675</v>
      </c>
      <c r="I4676" s="0" t="str">
        <f aca="false">IF(OR(הגדרות!$E$6=0,H4676&gt;הגדרות!$E$5),"",IF(H4676-1&lt;הגדרות!$E$8*(הגדרות!$E$7+1),INT((H4676-1)/(הגדרות!$E$7+1)),הגדרות!$E$8+INT((H4676-1-הגדרות!$E$8*(הגדרות!$E$7+1))/הגדרות!$E$7)))</f>
        <v/>
      </c>
      <c r="J4676" s="0" t="str">
        <f aca="false">IF(I4676="","",IF(H4676-1&lt;הגדרות!$E$8*(הגדרות!$E$7+1),MOD(H4676-1,הגדרות!$E$7+1),MOD(H4676-1-הגדרות!$E$8*(הגדרות!$E$7+1),הגדרות!$E$7)))</f>
        <v/>
      </c>
      <c r="K4676" s="0" t="str">
        <f aca="false">IF(I4676="","",J4676*הגדרות!$E$6+I4676+1)</f>
        <v/>
      </c>
      <c r="L4676" s="0" t="str">
        <f aca="false">IF(K4676="","",MATCH(K4676,$F$2:$F$5001,0))</f>
        <v/>
      </c>
      <c r="M4676" s="0" t="str">
        <f aca="false">IF(I4676="","",INDEX(הגדרות!$A$2:$A$21,MOD(I4676+הגדרות!$E$9,הגדרות!$E$6)+1))</f>
        <v/>
      </c>
    </row>
    <row r="4677" customFormat="false" ht="15" hidden="false" customHeight="false" outlineLevel="0" collapsed="false">
      <c r="A4677" s="0" t="str">
        <f aca="false">IF('הדבקת לידים'!A4677="","",IF(ISNUMBER('הדבקת לידים'!A4677),IF(הגדרות!$E$2&gt;0,TEXT('הדבקת לידים'!A4677,REPT("0",הגדרות!$E$2)),TEXT('הדבקת לידים'!A4677,"0")),TRIM('הדבקת לידים'!A4677)))</f>
        <v/>
      </c>
      <c r="B4677" s="0" t="str">
        <f aca="false">IF('הדבקת לידים'!B4677="","",IF(ISNUMBER('הדבקת לידים'!B4677),IF(הגדרות!$E$3&gt;0,TEXT('הדבקת לידים'!B4677,REPT("0",הגדרות!$E$3)),TEXT('הדבקת לידים'!B4677,"0")),TRIM('הדבקת לידים'!B4677)))</f>
        <v/>
      </c>
      <c r="C4677" s="0" t="n">
        <f aca="false">IF(OR(A4677&lt;&gt;"",B4677&lt;&gt;""),1,0)</f>
        <v>0</v>
      </c>
      <c r="D4677" s="0" t="str">
        <f aca="false">IF(C4677=1,MOD(ABS(SIN(ROW()*12.9898+'הדבקת לידים'!$F$2*78.233+IFERROR(--RIGHT(A4677,6),LEN(A4677))*0.0137+IFERROR(--RIGHT(B4677,6),LEN(B4677))*0.0071))*43758.5453,1),"")</f>
        <v/>
      </c>
      <c r="E4677" s="0" t="str">
        <f aca="false">IF(C4677=1,INT(MOD(ABS(SIN(D4677*7919.123+ROW()*0.618+'הדבקת לידים'!$F$2*1.3))*43758.5453,1)*1000000)*10000+ROW(),"")</f>
        <v/>
      </c>
      <c r="F4677" s="0" t="str">
        <f aca="false">IF(E4677="","",RANK(E4677,$E$2:$E$5001,1))</f>
        <v/>
      </c>
      <c r="G4677" s="0" t="n">
        <f aca="false">IF(A4677="",0,IF(SUMPRODUCT(--($A$2:$A$5001=A4677))&gt;1,1,0))</f>
        <v>0</v>
      </c>
      <c r="H4677" s="0" t="n">
        <f aca="false">ROW()-1</f>
        <v>4676</v>
      </c>
      <c r="I4677" s="0" t="str">
        <f aca="false">IF(OR(הגדרות!$E$6=0,H4677&gt;הגדרות!$E$5),"",IF(H4677-1&lt;הגדרות!$E$8*(הגדרות!$E$7+1),INT((H4677-1)/(הגדרות!$E$7+1)),הגדרות!$E$8+INT((H4677-1-הגדרות!$E$8*(הגדרות!$E$7+1))/הגדרות!$E$7)))</f>
        <v/>
      </c>
      <c r="J4677" s="0" t="str">
        <f aca="false">IF(I4677="","",IF(H4677-1&lt;הגדרות!$E$8*(הגדרות!$E$7+1),MOD(H4677-1,הגדרות!$E$7+1),MOD(H4677-1-הגדרות!$E$8*(הגדרות!$E$7+1),הגדרות!$E$7)))</f>
        <v/>
      </c>
      <c r="K4677" s="0" t="str">
        <f aca="false">IF(I4677="","",J4677*הגדרות!$E$6+I4677+1)</f>
        <v/>
      </c>
      <c r="L4677" s="0" t="str">
        <f aca="false">IF(K4677="","",MATCH(K4677,$F$2:$F$5001,0))</f>
        <v/>
      </c>
      <c r="M4677" s="0" t="str">
        <f aca="false">IF(I4677="","",INDEX(הגדרות!$A$2:$A$21,MOD(I4677+הגדרות!$E$9,הגדרות!$E$6)+1))</f>
        <v/>
      </c>
    </row>
    <row r="4678" customFormat="false" ht="15" hidden="false" customHeight="false" outlineLevel="0" collapsed="false">
      <c r="A4678" s="0" t="str">
        <f aca="false">IF('הדבקת לידים'!A4678="","",IF(ISNUMBER('הדבקת לידים'!A4678),IF(הגדרות!$E$2&gt;0,TEXT('הדבקת לידים'!A4678,REPT("0",הגדרות!$E$2)),TEXT('הדבקת לידים'!A4678,"0")),TRIM('הדבקת לידים'!A4678)))</f>
        <v/>
      </c>
      <c r="B4678" s="0" t="str">
        <f aca="false">IF('הדבקת לידים'!B4678="","",IF(ISNUMBER('הדבקת לידים'!B4678),IF(הגדרות!$E$3&gt;0,TEXT('הדבקת לידים'!B4678,REPT("0",הגדרות!$E$3)),TEXT('הדבקת לידים'!B4678,"0")),TRIM('הדבקת לידים'!B4678)))</f>
        <v/>
      </c>
      <c r="C4678" s="0" t="n">
        <f aca="false">IF(OR(A4678&lt;&gt;"",B4678&lt;&gt;""),1,0)</f>
        <v>0</v>
      </c>
      <c r="D4678" s="0" t="str">
        <f aca="false">IF(C4678=1,MOD(ABS(SIN(ROW()*12.9898+'הדבקת לידים'!$F$2*78.233+IFERROR(--RIGHT(A4678,6),LEN(A4678))*0.0137+IFERROR(--RIGHT(B4678,6),LEN(B4678))*0.0071))*43758.5453,1),"")</f>
        <v/>
      </c>
      <c r="E4678" s="0" t="str">
        <f aca="false">IF(C4678=1,INT(MOD(ABS(SIN(D4678*7919.123+ROW()*0.618+'הדבקת לידים'!$F$2*1.3))*43758.5453,1)*1000000)*10000+ROW(),"")</f>
        <v/>
      </c>
      <c r="F4678" s="0" t="str">
        <f aca="false">IF(E4678="","",RANK(E4678,$E$2:$E$5001,1))</f>
        <v/>
      </c>
      <c r="G4678" s="0" t="n">
        <f aca="false">IF(A4678="",0,IF(SUMPRODUCT(--($A$2:$A$5001=A4678))&gt;1,1,0))</f>
        <v>0</v>
      </c>
      <c r="H4678" s="0" t="n">
        <f aca="false">ROW()-1</f>
        <v>4677</v>
      </c>
      <c r="I4678" s="0" t="str">
        <f aca="false">IF(OR(הגדרות!$E$6=0,H4678&gt;הגדרות!$E$5),"",IF(H4678-1&lt;הגדרות!$E$8*(הגדרות!$E$7+1),INT((H4678-1)/(הגדרות!$E$7+1)),הגדרות!$E$8+INT((H4678-1-הגדרות!$E$8*(הגדרות!$E$7+1))/הגדרות!$E$7)))</f>
        <v/>
      </c>
      <c r="J4678" s="0" t="str">
        <f aca="false">IF(I4678="","",IF(H4678-1&lt;הגדרות!$E$8*(הגדרות!$E$7+1),MOD(H4678-1,הגדרות!$E$7+1),MOD(H4678-1-הגדרות!$E$8*(הגדרות!$E$7+1),הגדרות!$E$7)))</f>
        <v/>
      </c>
      <c r="K4678" s="0" t="str">
        <f aca="false">IF(I4678="","",J4678*הגדרות!$E$6+I4678+1)</f>
        <v/>
      </c>
      <c r="L4678" s="0" t="str">
        <f aca="false">IF(K4678="","",MATCH(K4678,$F$2:$F$5001,0))</f>
        <v/>
      </c>
      <c r="M4678" s="0" t="str">
        <f aca="false">IF(I4678="","",INDEX(הגדרות!$A$2:$A$21,MOD(I4678+הגדרות!$E$9,הגדרות!$E$6)+1))</f>
        <v/>
      </c>
    </row>
    <row r="4679" customFormat="false" ht="15" hidden="false" customHeight="false" outlineLevel="0" collapsed="false">
      <c r="A4679" s="0" t="str">
        <f aca="false">IF('הדבקת לידים'!A4679="","",IF(ISNUMBER('הדבקת לידים'!A4679),IF(הגדרות!$E$2&gt;0,TEXT('הדבקת לידים'!A4679,REPT("0",הגדרות!$E$2)),TEXT('הדבקת לידים'!A4679,"0")),TRIM('הדבקת לידים'!A4679)))</f>
        <v/>
      </c>
      <c r="B4679" s="0" t="str">
        <f aca="false">IF('הדבקת לידים'!B4679="","",IF(ISNUMBER('הדבקת לידים'!B4679),IF(הגדרות!$E$3&gt;0,TEXT('הדבקת לידים'!B4679,REPT("0",הגדרות!$E$3)),TEXT('הדבקת לידים'!B4679,"0")),TRIM('הדבקת לידים'!B4679)))</f>
        <v/>
      </c>
      <c r="C4679" s="0" t="n">
        <f aca="false">IF(OR(A4679&lt;&gt;"",B4679&lt;&gt;""),1,0)</f>
        <v>0</v>
      </c>
      <c r="D4679" s="0" t="str">
        <f aca="false">IF(C4679=1,MOD(ABS(SIN(ROW()*12.9898+'הדבקת לידים'!$F$2*78.233+IFERROR(--RIGHT(A4679,6),LEN(A4679))*0.0137+IFERROR(--RIGHT(B4679,6),LEN(B4679))*0.0071))*43758.5453,1),"")</f>
        <v/>
      </c>
      <c r="E4679" s="0" t="str">
        <f aca="false">IF(C4679=1,INT(MOD(ABS(SIN(D4679*7919.123+ROW()*0.618+'הדבקת לידים'!$F$2*1.3))*43758.5453,1)*1000000)*10000+ROW(),"")</f>
        <v/>
      </c>
      <c r="F4679" s="0" t="str">
        <f aca="false">IF(E4679="","",RANK(E4679,$E$2:$E$5001,1))</f>
        <v/>
      </c>
      <c r="G4679" s="0" t="n">
        <f aca="false">IF(A4679="",0,IF(SUMPRODUCT(--($A$2:$A$5001=A4679))&gt;1,1,0))</f>
        <v>0</v>
      </c>
      <c r="H4679" s="0" t="n">
        <f aca="false">ROW()-1</f>
        <v>4678</v>
      </c>
      <c r="I4679" s="0" t="str">
        <f aca="false">IF(OR(הגדרות!$E$6=0,H4679&gt;הגדרות!$E$5),"",IF(H4679-1&lt;הגדרות!$E$8*(הגדרות!$E$7+1),INT((H4679-1)/(הגדרות!$E$7+1)),הגדרות!$E$8+INT((H4679-1-הגדרות!$E$8*(הגדרות!$E$7+1))/הגדרות!$E$7)))</f>
        <v/>
      </c>
      <c r="J4679" s="0" t="str">
        <f aca="false">IF(I4679="","",IF(H4679-1&lt;הגדרות!$E$8*(הגדרות!$E$7+1),MOD(H4679-1,הגדרות!$E$7+1),MOD(H4679-1-הגדרות!$E$8*(הגדרות!$E$7+1),הגדרות!$E$7)))</f>
        <v/>
      </c>
      <c r="K4679" s="0" t="str">
        <f aca="false">IF(I4679="","",J4679*הגדרות!$E$6+I4679+1)</f>
        <v/>
      </c>
      <c r="L4679" s="0" t="str">
        <f aca="false">IF(K4679="","",MATCH(K4679,$F$2:$F$5001,0))</f>
        <v/>
      </c>
      <c r="M4679" s="0" t="str">
        <f aca="false">IF(I4679="","",INDEX(הגדרות!$A$2:$A$21,MOD(I4679+הגדרות!$E$9,הגדרות!$E$6)+1))</f>
        <v/>
      </c>
    </row>
    <row r="4680" customFormat="false" ht="15" hidden="false" customHeight="false" outlineLevel="0" collapsed="false">
      <c r="A4680" s="0" t="str">
        <f aca="false">IF('הדבקת לידים'!A4680="","",IF(ISNUMBER('הדבקת לידים'!A4680),IF(הגדרות!$E$2&gt;0,TEXT('הדבקת לידים'!A4680,REPT("0",הגדרות!$E$2)),TEXT('הדבקת לידים'!A4680,"0")),TRIM('הדבקת לידים'!A4680)))</f>
        <v/>
      </c>
      <c r="B4680" s="0" t="str">
        <f aca="false">IF('הדבקת לידים'!B4680="","",IF(ISNUMBER('הדבקת לידים'!B4680),IF(הגדרות!$E$3&gt;0,TEXT('הדבקת לידים'!B4680,REPT("0",הגדרות!$E$3)),TEXT('הדבקת לידים'!B4680,"0")),TRIM('הדבקת לידים'!B4680)))</f>
        <v/>
      </c>
      <c r="C4680" s="0" t="n">
        <f aca="false">IF(OR(A4680&lt;&gt;"",B4680&lt;&gt;""),1,0)</f>
        <v>0</v>
      </c>
      <c r="D4680" s="0" t="str">
        <f aca="false">IF(C4680=1,MOD(ABS(SIN(ROW()*12.9898+'הדבקת לידים'!$F$2*78.233+IFERROR(--RIGHT(A4680,6),LEN(A4680))*0.0137+IFERROR(--RIGHT(B4680,6),LEN(B4680))*0.0071))*43758.5453,1),"")</f>
        <v/>
      </c>
      <c r="E4680" s="0" t="str">
        <f aca="false">IF(C4680=1,INT(MOD(ABS(SIN(D4680*7919.123+ROW()*0.618+'הדבקת לידים'!$F$2*1.3))*43758.5453,1)*1000000)*10000+ROW(),"")</f>
        <v/>
      </c>
      <c r="F4680" s="0" t="str">
        <f aca="false">IF(E4680="","",RANK(E4680,$E$2:$E$5001,1))</f>
        <v/>
      </c>
      <c r="G4680" s="0" t="n">
        <f aca="false">IF(A4680="",0,IF(SUMPRODUCT(--($A$2:$A$5001=A4680))&gt;1,1,0))</f>
        <v>0</v>
      </c>
      <c r="H4680" s="0" t="n">
        <f aca="false">ROW()-1</f>
        <v>4679</v>
      </c>
      <c r="I4680" s="0" t="str">
        <f aca="false">IF(OR(הגדרות!$E$6=0,H4680&gt;הגדרות!$E$5),"",IF(H4680-1&lt;הגדרות!$E$8*(הגדרות!$E$7+1),INT((H4680-1)/(הגדרות!$E$7+1)),הגדרות!$E$8+INT((H4680-1-הגדרות!$E$8*(הגדרות!$E$7+1))/הגדרות!$E$7)))</f>
        <v/>
      </c>
      <c r="J4680" s="0" t="str">
        <f aca="false">IF(I4680="","",IF(H4680-1&lt;הגדרות!$E$8*(הגדרות!$E$7+1),MOD(H4680-1,הגדרות!$E$7+1),MOD(H4680-1-הגדרות!$E$8*(הגדרות!$E$7+1),הגדרות!$E$7)))</f>
        <v/>
      </c>
      <c r="K4680" s="0" t="str">
        <f aca="false">IF(I4680="","",J4680*הגדרות!$E$6+I4680+1)</f>
        <v/>
      </c>
      <c r="L4680" s="0" t="str">
        <f aca="false">IF(K4680="","",MATCH(K4680,$F$2:$F$5001,0))</f>
        <v/>
      </c>
      <c r="M4680" s="0" t="str">
        <f aca="false">IF(I4680="","",INDEX(הגדרות!$A$2:$A$21,MOD(I4680+הגדרות!$E$9,הגדרות!$E$6)+1))</f>
        <v/>
      </c>
    </row>
    <row r="4681" customFormat="false" ht="15" hidden="false" customHeight="false" outlineLevel="0" collapsed="false">
      <c r="A4681" s="0" t="str">
        <f aca="false">IF('הדבקת לידים'!A4681="","",IF(ISNUMBER('הדבקת לידים'!A4681),IF(הגדרות!$E$2&gt;0,TEXT('הדבקת לידים'!A4681,REPT("0",הגדרות!$E$2)),TEXT('הדבקת לידים'!A4681,"0")),TRIM('הדבקת לידים'!A4681)))</f>
        <v/>
      </c>
      <c r="B4681" s="0" t="str">
        <f aca="false">IF('הדבקת לידים'!B4681="","",IF(ISNUMBER('הדבקת לידים'!B4681),IF(הגדרות!$E$3&gt;0,TEXT('הדבקת לידים'!B4681,REPT("0",הגדרות!$E$3)),TEXT('הדבקת לידים'!B4681,"0")),TRIM('הדבקת לידים'!B4681)))</f>
        <v/>
      </c>
      <c r="C4681" s="0" t="n">
        <f aca="false">IF(OR(A4681&lt;&gt;"",B4681&lt;&gt;""),1,0)</f>
        <v>0</v>
      </c>
      <c r="D4681" s="0" t="str">
        <f aca="false">IF(C4681=1,MOD(ABS(SIN(ROW()*12.9898+'הדבקת לידים'!$F$2*78.233+IFERROR(--RIGHT(A4681,6),LEN(A4681))*0.0137+IFERROR(--RIGHT(B4681,6),LEN(B4681))*0.0071))*43758.5453,1),"")</f>
        <v/>
      </c>
      <c r="E4681" s="0" t="str">
        <f aca="false">IF(C4681=1,INT(MOD(ABS(SIN(D4681*7919.123+ROW()*0.618+'הדבקת לידים'!$F$2*1.3))*43758.5453,1)*1000000)*10000+ROW(),"")</f>
        <v/>
      </c>
      <c r="F4681" s="0" t="str">
        <f aca="false">IF(E4681="","",RANK(E4681,$E$2:$E$5001,1))</f>
        <v/>
      </c>
      <c r="G4681" s="0" t="n">
        <f aca="false">IF(A4681="",0,IF(SUMPRODUCT(--($A$2:$A$5001=A4681))&gt;1,1,0))</f>
        <v>0</v>
      </c>
      <c r="H4681" s="0" t="n">
        <f aca="false">ROW()-1</f>
        <v>4680</v>
      </c>
      <c r="I4681" s="0" t="str">
        <f aca="false">IF(OR(הגדרות!$E$6=0,H4681&gt;הגדרות!$E$5),"",IF(H4681-1&lt;הגדרות!$E$8*(הגדרות!$E$7+1),INT((H4681-1)/(הגדרות!$E$7+1)),הגדרות!$E$8+INT((H4681-1-הגדרות!$E$8*(הגדרות!$E$7+1))/הגדרות!$E$7)))</f>
        <v/>
      </c>
      <c r="J4681" s="0" t="str">
        <f aca="false">IF(I4681="","",IF(H4681-1&lt;הגדרות!$E$8*(הגדרות!$E$7+1),MOD(H4681-1,הגדרות!$E$7+1),MOD(H4681-1-הגדרות!$E$8*(הגדרות!$E$7+1),הגדרות!$E$7)))</f>
        <v/>
      </c>
      <c r="K4681" s="0" t="str">
        <f aca="false">IF(I4681="","",J4681*הגדרות!$E$6+I4681+1)</f>
        <v/>
      </c>
      <c r="L4681" s="0" t="str">
        <f aca="false">IF(K4681="","",MATCH(K4681,$F$2:$F$5001,0))</f>
        <v/>
      </c>
      <c r="M4681" s="0" t="str">
        <f aca="false">IF(I4681="","",INDEX(הגדרות!$A$2:$A$21,MOD(I4681+הגדרות!$E$9,הגדרות!$E$6)+1))</f>
        <v/>
      </c>
    </row>
    <row r="4682" customFormat="false" ht="15" hidden="false" customHeight="false" outlineLevel="0" collapsed="false">
      <c r="A4682" s="0" t="str">
        <f aca="false">IF('הדבקת לידים'!A4682="","",IF(ISNUMBER('הדבקת לידים'!A4682),IF(הגדרות!$E$2&gt;0,TEXT('הדבקת לידים'!A4682,REPT("0",הגדרות!$E$2)),TEXT('הדבקת לידים'!A4682,"0")),TRIM('הדבקת לידים'!A4682)))</f>
        <v/>
      </c>
      <c r="B4682" s="0" t="str">
        <f aca="false">IF('הדבקת לידים'!B4682="","",IF(ISNUMBER('הדבקת לידים'!B4682),IF(הגדרות!$E$3&gt;0,TEXT('הדבקת לידים'!B4682,REPT("0",הגדרות!$E$3)),TEXT('הדבקת לידים'!B4682,"0")),TRIM('הדבקת לידים'!B4682)))</f>
        <v/>
      </c>
      <c r="C4682" s="0" t="n">
        <f aca="false">IF(OR(A4682&lt;&gt;"",B4682&lt;&gt;""),1,0)</f>
        <v>0</v>
      </c>
      <c r="D4682" s="0" t="str">
        <f aca="false">IF(C4682=1,MOD(ABS(SIN(ROW()*12.9898+'הדבקת לידים'!$F$2*78.233+IFERROR(--RIGHT(A4682,6),LEN(A4682))*0.0137+IFERROR(--RIGHT(B4682,6),LEN(B4682))*0.0071))*43758.5453,1),"")</f>
        <v/>
      </c>
      <c r="E4682" s="0" t="str">
        <f aca="false">IF(C4682=1,INT(MOD(ABS(SIN(D4682*7919.123+ROW()*0.618+'הדבקת לידים'!$F$2*1.3))*43758.5453,1)*1000000)*10000+ROW(),"")</f>
        <v/>
      </c>
      <c r="F4682" s="0" t="str">
        <f aca="false">IF(E4682="","",RANK(E4682,$E$2:$E$5001,1))</f>
        <v/>
      </c>
      <c r="G4682" s="0" t="n">
        <f aca="false">IF(A4682="",0,IF(SUMPRODUCT(--($A$2:$A$5001=A4682))&gt;1,1,0))</f>
        <v>0</v>
      </c>
      <c r="H4682" s="0" t="n">
        <f aca="false">ROW()-1</f>
        <v>4681</v>
      </c>
      <c r="I4682" s="0" t="str">
        <f aca="false">IF(OR(הגדרות!$E$6=0,H4682&gt;הגדרות!$E$5),"",IF(H4682-1&lt;הגדרות!$E$8*(הגדרות!$E$7+1),INT((H4682-1)/(הגדרות!$E$7+1)),הגדרות!$E$8+INT((H4682-1-הגדרות!$E$8*(הגדרות!$E$7+1))/הגדרות!$E$7)))</f>
        <v/>
      </c>
      <c r="J4682" s="0" t="str">
        <f aca="false">IF(I4682="","",IF(H4682-1&lt;הגדרות!$E$8*(הגדרות!$E$7+1),MOD(H4682-1,הגדרות!$E$7+1),MOD(H4682-1-הגדרות!$E$8*(הגדרות!$E$7+1),הגדרות!$E$7)))</f>
        <v/>
      </c>
      <c r="K4682" s="0" t="str">
        <f aca="false">IF(I4682="","",J4682*הגדרות!$E$6+I4682+1)</f>
        <v/>
      </c>
      <c r="L4682" s="0" t="str">
        <f aca="false">IF(K4682="","",MATCH(K4682,$F$2:$F$5001,0))</f>
        <v/>
      </c>
      <c r="M4682" s="0" t="str">
        <f aca="false">IF(I4682="","",INDEX(הגדרות!$A$2:$A$21,MOD(I4682+הגדרות!$E$9,הגדרות!$E$6)+1))</f>
        <v/>
      </c>
    </row>
    <row r="4683" customFormat="false" ht="15" hidden="false" customHeight="false" outlineLevel="0" collapsed="false">
      <c r="A4683" s="0" t="str">
        <f aca="false">IF('הדבקת לידים'!A4683="","",IF(ISNUMBER('הדבקת לידים'!A4683),IF(הגדרות!$E$2&gt;0,TEXT('הדבקת לידים'!A4683,REPT("0",הגדרות!$E$2)),TEXT('הדבקת לידים'!A4683,"0")),TRIM('הדבקת לידים'!A4683)))</f>
        <v/>
      </c>
      <c r="B4683" s="0" t="str">
        <f aca="false">IF('הדבקת לידים'!B4683="","",IF(ISNUMBER('הדבקת לידים'!B4683),IF(הגדרות!$E$3&gt;0,TEXT('הדבקת לידים'!B4683,REPT("0",הגדרות!$E$3)),TEXT('הדבקת לידים'!B4683,"0")),TRIM('הדבקת לידים'!B4683)))</f>
        <v/>
      </c>
      <c r="C4683" s="0" t="n">
        <f aca="false">IF(OR(A4683&lt;&gt;"",B4683&lt;&gt;""),1,0)</f>
        <v>0</v>
      </c>
      <c r="D4683" s="0" t="str">
        <f aca="false">IF(C4683=1,MOD(ABS(SIN(ROW()*12.9898+'הדבקת לידים'!$F$2*78.233+IFERROR(--RIGHT(A4683,6),LEN(A4683))*0.0137+IFERROR(--RIGHT(B4683,6),LEN(B4683))*0.0071))*43758.5453,1),"")</f>
        <v/>
      </c>
      <c r="E4683" s="0" t="str">
        <f aca="false">IF(C4683=1,INT(MOD(ABS(SIN(D4683*7919.123+ROW()*0.618+'הדבקת לידים'!$F$2*1.3))*43758.5453,1)*1000000)*10000+ROW(),"")</f>
        <v/>
      </c>
      <c r="F4683" s="0" t="str">
        <f aca="false">IF(E4683="","",RANK(E4683,$E$2:$E$5001,1))</f>
        <v/>
      </c>
      <c r="G4683" s="0" t="n">
        <f aca="false">IF(A4683="",0,IF(SUMPRODUCT(--($A$2:$A$5001=A4683))&gt;1,1,0))</f>
        <v>0</v>
      </c>
      <c r="H4683" s="0" t="n">
        <f aca="false">ROW()-1</f>
        <v>4682</v>
      </c>
      <c r="I4683" s="0" t="str">
        <f aca="false">IF(OR(הגדרות!$E$6=0,H4683&gt;הגדרות!$E$5),"",IF(H4683-1&lt;הגדרות!$E$8*(הגדרות!$E$7+1),INT((H4683-1)/(הגדרות!$E$7+1)),הגדרות!$E$8+INT((H4683-1-הגדרות!$E$8*(הגדרות!$E$7+1))/הגדרות!$E$7)))</f>
        <v/>
      </c>
      <c r="J4683" s="0" t="str">
        <f aca="false">IF(I4683="","",IF(H4683-1&lt;הגדרות!$E$8*(הגדרות!$E$7+1),MOD(H4683-1,הגדרות!$E$7+1),MOD(H4683-1-הגדרות!$E$8*(הגדרות!$E$7+1),הגדרות!$E$7)))</f>
        <v/>
      </c>
      <c r="K4683" s="0" t="str">
        <f aca="false">IF(I4683="","",J4683*הגדרות!$E$6+I4683+1)</f>
        <v/>
      </c>
      <c r="L4683" s="0" t="str">
        <f aca="false">IF(K4683="","",MATCH(K4683,$F$2:$F$5001,0))</f>
        <v/>
      </c>
      <c r="M4683" s="0" t="str">
        <f aca="false">IF(I4683="","",INDEX(הגדרות!$A$2:$A$21,MOD(I4683+הגדרות!$E$9,הגדרות!$E$6)+1))</f>
        <v/>
      </c>
    </row>
    <row r="4684" customFormat="false" ht="15" hidden="false" customHeight="false" outlineLevel="0" collapsed="false">
      <c r="A4684" s="0" t="str">
        <f aca="false">IF('הדבקת לידים'!A4684="","",IF(ISNUMBER('הדבקת לידים'!A4684),IF(הגדרות!$E$2&gt;0,TEXT('הדבקת לידים'!A4684,REPT("0",הגדרות!$E$2)),TEXT('הדבקת לידים'!A4684,"0")),TRIM('הדבקת לידים'!A4684)))</f>
        <v/>
      </c>
      <c r="B4684" s="0" t="str">
        <f aca="false">IF('הדבקת לידים'!B4684="","",IF(ISNUMBER('הדבקת לידים'!B4684),IF(הגדרות!$E$3&gt;0,TEXT('הדבקת לידים'!B4684,REPT("0",הגדרות!$E$3)),TEXT('הדבקת לידים'!B4684,"0")),TRIM('הדבקת לידים'!B4684)))</f>
        <v/>
      </c>
      <c r="C4684" s="0" t="n">
        <f aca="false">IF(OR(A4684&lt;&gt;"",B4684&lt;&gt;""),1,0)</f>
        <v>0</v>
      </c>
      <c r="D4684" s="0" t="str">
        <f aca="false">IF(C4684=1,MOD(ABS(SIN(ROW()*12.9898+'הדבקת לידים'!$F$2*78.233+IFERROR(--RIGHT(A4684,6),LEN(A4684))*0.0137+IFERROR(--RIGHT(B4684,6),LEN(B4684))*0.0071))*43758.5453,1),"")</f>
        <v/>
      </c>
      <c r="E4684" s="0" t="str">
        <f aca="false">IF(C4684=1,INT(MOD(ABS(SIN(D4684*7919.123+ROW()*0.618+'הדבקת לידים'!$F$2*1.3))*43758.5453,1)*1000000)*10000+ROW(),"")</f>
        <v/>
      </c>
      <c r="F4684" s="0" t="str">
        <f aca="false">IF(E4684="","",RANK(E4684,$E$2:$E$5001,1))</f>
        <v/>
      </c>
      <c r="G4684" s="0" t="n">
        <f aca="false">IF(A4684="",0,IF(SUMPRODUCT(--($A$2:$A$5001=A4684))&gt;1,1,0))</f>
        <v>0</v>
      </c>
      <c r="H4684" s="0" t="n">
        <f aca="false">ROW()-1</f>
        <v>4683</v>
      </c>
      <c r="I4684" s="0" t="str">
        <f aca="false">IF(OR(הגדרות!$E$6=0,H4684&gt;הגדרות!$E$5),"",IF(H4684-1&lt;הגדרות!$E$8*(הגדרות!$E$7+1),INT((H4684-1)/(הגדרות!$E$7+1)),הגדרות!$E$8+INT((H4684-1-הגדרות!$E$8*(הגדרות!$E$7+1))/הגדרות!$E$7)))</f>
        <v/>
      </c>
      <c r="J4684" s="0" t="str">
        <f aca="false">IF(I4684="","",IF(H4684-1&lt;הגדרות!$E$8*(הגדרות!$E$7+1),MOD(H4684-1,הגדרות!$E$7+1),MOD(H4684-1-הגדרות!$E$8*(הגדרות!$E$7+1),הגדרות!$E$7)))</f>
        <v/>
      </c>
      <c r="K4684" s="0" t="str">
        <f aca="false">IF(I4684="","",J4684*הגדרות!$E$6+I4684+1)</f>
        <v/>
      </c>
      <c r="L4684" s="0" t="str">
        <f aca="false">IF(K4684="","",MATCH(K4684,$F$2:$F$5001,0))</f>
        <v/>
      </c>
      <c r="M4684" s="0" t="str">
        <f aca="false">IF(I4684="","",INDEX(הגדרות!$A$2:$A$21,MOD(I4684+הגדרות!$E$9,הגדרות!$E$6)+1))</f>
        <v/>
      </c>
    </row>
    <row r="4685" customFormat="false" ht="15" hidden="false" customHeight="false" outlineLevel="0" collapsed="false">
      <c r="A4685" s="0" t="str">
        <f aca="false">IF('הדבקת לידים'!A4685="","",IF(ISNUMBER('הדבקת לידים'!A4685),IF(הגדרות!$E$2&gt;0,TEXT('הדבקת לידים'!A4685,REPT("0",הגדרות!$E$2)),TEXT('הדבקת לידים'!A4685,"0")),TRIM('הדבקת לידים'!A4685)))</f>
        <v/>
      </c>
      <c r="B4685" s="0" t="str">
        <f aca="false">IF('הדבקת לידים'!B4685="","",IF(ISNUMBER('הדבקת לידים'!B4685),IF(הגדרות!$E$3&gt;0,TEXT('הדבקת לידים'!B4685,REPT("0",הגדרות!$E$3)),TEXT('הדבקת לידים'!B4685,"0")),TRIM('הדבקת לידים'!B4685)))</f>
        <v/>
      </c>
      <c r="C4685" s="0" t="n">
        <f aca="false">IF(OR(A4685&lt;&gt;"",B4685&lt;&gt;""),1,0)</f>
        <v>0</v>
      </c>
      <c r="D4685" s="0" t="str">
        <f aca="false">IF(C4685=1,MOD(ABS(SIN(ROW()*12.9898+'הדבקת לידים'!$F$2*78.233+IFERROR(--RIGHT(A4685,6),LEN(A4685))*0.0137+IFERROR(--RIGHT(B4685,6),LEN(B4685))*0.0071))*43758.5453,1),"")</f>
        <v/>
      </c>
      <c r="E4685" s="0" t="str">
        <f aca="false">IF(C4685=1,INT(MOD(ABS(SIN(D4685*7919.123+ROW()*0.618+'הדבקת לידים'!$F$2*1.3))*43758.5453,1)*1000000)*10000+ROW(),"")</f>
        <v/>
      </c>
      <c r="F4685" s="0" t="str">
        <f aca="false">IF(E4685="","",RANK(E4685,$E$2:$E$5001,1))</f>
        <v/>
      </c>
      <c r="G4685" s="0" t="n">
        <f aca="false">IF(A4685="",0,IF(SUMPRODUCT(--($A$2:$A$5001=A4685))&gt;1,1,0))</f>
        <v>0</v>
      </c>
      <c r="H4685" s="0" t="n">
        <f aca="false">ROW()-1</f>
        <v>4684</v>
      </c>
      <c r="I4685" s="0" t="str">
        <f aca="false">IF(OR(הגדרות!$E$6=0,H4685&gt;הגדרות!$E$5),"",IF(H4685-1&lt;הגדרות!$E$8*(הגדרות!$E$7+1),INT((H4685-1)/(הגדרות!$E$7+1)),הגדרות!$E$8+INT((H4685-1-הגדרות!$E$8*(הגדרות!$E$7+1))/הגדרות!$E$7)))</f>
        <v/>
      </c>
      <c r="J4685" s="0" t="str">
        <f aca="false">IF(I4685="","",IF(H4685-1&lt;הגדרות!$E$8*(הגדרות!$E$7+1),MOD(H4685-1,הגדרות!$E$7+1),MOD(H4685-1-הגדרות!$E$8*(הגדרות!$E$7+1),הגדרות!$E$7)))</f>
        <v/>
      </c>
      <c r="K4685" s="0" t="str">
        <f aca="false">IF(I4685="","",J4685*הגדרות!$E$6+I4685+1)</f>
        <v/>
      </c>
      <c r="L4685" s="0" t="str">
        <f aca="false">IF(K4685="","",MATCH(K4685,$F$2:$F$5001,0))</f>
        <v/>
      </c>
      <c r="M4685" s="0" t="str">
        <f aca="false">IF(I4685="","",INDEX(הגדרות!$A$2:$A$21,MOD(I4685+הגדרות!$E$9,הגדרות!$E$6)+1))</f>
        <v/>
      </c>
    </row>
    <row r="4686" customFormat="false" ht="15" hidden="false" customHeight="false" outlineLevel="0" collapsed="false">
      <c r="A4686" s="0" t="str">
        <f aca="false">IF('הדבקת לידים'!A4686="","",IF(ISNUMBER('הדבקת לידים'!A4686),IF(הגדרות!$E$2&gt;0,TEXT('הדבקת לידים'!A4686,REPT("0",הגדרות!$E$2)),TEXT('הדבקת לידים'!A4686,"0")),TRIM('הדבקת לידים'!A4686)))</f>
        <v/>
      </c>
      <c r="B4686" s="0" t="str">
        <f aca="false">IF('הדבקת לידים'!B4686="","",IF(ISNUMBER('הדבקת לידים'!B4686),IF(הגדרות!$E$3&gt;0,TEXT('הדבקת לידים'!B4686,REPT("0",הגדרות!$E$3)),TEXT('הדבקת לידים'!B4686,"0")),TRIM('הדבקת לידים'!B4686)))</f>
        <v/>
      </c>
      <c r="C4686" s="0" t="n">
        <f aca="false">IF(OR(A4686&lt;&gt;"",B4686&lt;&gt;""),1,0)</f>
        <v>0</v>
      </c>
      <c r="D4686" s="0" t="str">
        <f aca="false">IF(C4686=1,MOD(ABS(SIN(ROW()*12.9898+'הדבקת לידים'!$F$2*78.233+IFERROR(--RIGHT(A4686,6),LEN(A4686))*0.0137+IFERROR(--RIGHT(B4686,6),LEN(B4686))*0.0071))*43758.5453,1),"")</f>
        <v/>
      </c>
      <c r="E4686" s="0" t="str">
        <f aca="false">IF(C4686=1,INT(MOD(ABS(SIN(D4686*7919.123+ROW()*0.618+'הדבקת לידים'!$F$2*1.3))*43758.5453,1)*1000000)*10000+ROW(),"")</f>
        <v/>
      </c>
      <c r="F4686" s="0" t="str">
        <f aca="false">IF(E4686="","",RANK(E4686,$E$2:$E$5001,1))</f>
        <v/>
      </c>
      <c r="G4686" s="0" t="n">
        <f aca="false">IF(A4686="",0,IF(SUMPRODUCT(--($A$2:$A$5001=A4686))&gt;1,1,0))</f>
        <v>0</v>
      </c>
      <c r="H4686" s="0" t="n">
        <f aca="false">ROW()-1</f>
        <v>4685</v>
      </c>
      <c r="I4686" s="0" t="str">
        <f aca="false">IF(OR(הגדרות!$E$6=0,H4686&gt;הגדרות!$E$5),"",IF(H4686-1&lt;הגדרות!$E$8*(הגדרות!$E$7+1),INT((H4686-1)/(הגדרות!$E$7+1)),הגדרות!$E$8+INT((H4686-1-הגדרות!$E$8*(הגדרות!$E$7+1))/הגדרות!$E$7)))</f>
        <v/>
      </c>
      <c r="J4686" s="0" t="str">
        <f aca="false">IF(I4686="","",IF(H4686-1&lt;הגדרות!$E$8*(הגדרות!$E$7+1),MOD(H4686-1,הגדרות!$E$7+1),MOD(H4686-1-הגדרות!$E$8*(הגדרות!$E$7+1),הגדרות!$E$7)))</f>
        <v/>
      </c>
      <c r="K4686" s="0" t="str">
        <f aca="false">IF(I4686="","",J4686*הגדרות!$E$6+I4686+1)</f>
        <v/>
      </c>
      <c r="L4686" s="0" t="str">
        <f aca="false">IF(K4686="","",MATCH(K4686,$F$2:$F$5001,0))</f>
        <v/>
      </c>
      <c r="M4686" s="0" t="str">
        <f aca="false">IF(I4686="","",INDEX(הגדרות!$A$2:$A$21,MOD(I4686+הגדרות!$E$9,הגדרות!$E$6)+1))</f>
        <v/>
      </c>
    </row>
    <row r="4687" customFormat="false" ht="15" hidden="false" customHeight="false" outlineLevel="0" collapsed="false">
      <c r="A4687" s="0" t="str">
        <f aca="false">IF('הדבקת לידים'!A4687="","",IF(ISNUMBER('הדבקת לידים'!A4687),IF(הגדרות!$E$2&gt;0,TEXT('הדבקת לידים'!A4687,REPT("0",הגדרות!$E$2)),TEXT('הדבקת לידים'!A4687,"0")),TRIM('הדבקת לידים'!A4687)))</f>
        <v/>
      </c>
      <c r="B4687" s="0" t="str">
        <f aca="false">IF('הדבקת לידים'!B4687="","",IF(ISNUMBER('הדבקת לידים'!B4687),IF(הגדרות!$E$3&gt;0,TEXT('הדבקת לידים'!B4687,REPT("0",הגדרות!$E$3)),TEXT('הדבקת לידים'!B4687,"0")),TRIM('הדבקת לידים'!B4687)))</f>
        <v/>
      </c>
      <c r="C4687" s="0" t="n">
        <f aca="false">IF(OR(A4687&lt;&gt;"",B4687&lt;&gt;""),1,0)</f>
        <v>0</v>
      </c>
      <c r="D4687" s="0" t="str">
        <f aca="false">IF(C4687=1,MOD(ABS(SIN(ROW()*12.9898+'הדבקת לידים'!$F$2*78.233+IFERROR(--RIGHT(A4687,6),LEN(A4687))*0.0137+IFERROR(--RIGHT(B4687,6),LEN(B4687))*0.0071))*43758.5453,1),"")</f>
        <v/>
      </c>
      <c r="E4687" s="0" t="str">
        <f aca="false">IF(C4687=1,INT(MOD(ABS(SIN(D4687*7919.123+ROW()*0.618+'הדבקת לידים'!$F$2*1.3))*43758.5453,1)*1000000)*10000+ROW(),"")</f>
        <v/>
      </c>
      <c r="F4687" s="0" t="str">
        <f aca="false">IF(E4687="","",RANK(E4687,$E$2:$E$5001,1))</f>
        <v/>
      </c>
      <c r="G4687" s="0" t="n">
        <f aca="false">IF(A4687="",0,IF(SUMPRODUCT(--($A$2:$A$5001=A4687))&gt;1,1,0))</f>
        <v>0</v>
      </c>
      <c r="H4687" s="0" t="n">
        <f aca="false">ROW()-1</f>
        <v>4686</v>
      </c>
      <c r="I4687" s="0" t="str">
        <f aca="false">IF(OR(הגדרות!$E$6=0,H4687&gt;הגדרות!$E$5),"",IF(H4687-1&lt;הגדרות!$E$8*(הגדרות!$E$7+1),INT((H4687-1)/(הגדרות!$E$7+1)),הגדרות!$E$8+INT((H4687-1-הגדרות!$E$8*(הגדרות!$E$7+1))/הגדרות!$E$7)))</f>
        <v/>
      </c>
      <c r="J4687" s="0" t="str">
        <f aca="false">IF(I4687="","",IF(H4687-1&lt;הגדרות!$E$8*(הגדרות!$E$7+1),MOD(H4687-1,הגדרות!$E$7+1),MOD(H4687-1-הגדרות!$E$8*(הגדרות!$E$7+1),הגדרות!$E$7)))</f>
        <v/>
      </c>
      <c r="K4687" s="0" t="str">
        <f aca="false">IF(I4687="","",J4687*הגדרות!$E$6+I4687+1)</f>
        <v/>
      </c>
      <c r="L4687" s="0" t="str">
        <f aca="false">IF(K4687="","",MATCH(K4687,$F$2:$F$5001,0))</f>
        <v/>
      </c>
      <c r="M4687" s="0" t="str">
        <f aca="false">IF(I4687="","",INDEX(הגדרות!$A$2:$A$21,MOD(I4687+הגדרות!$E$9,הגדרות!$E$6)+1))</f>
        <v/>
      </c>
    </row>
    <row r="4688" customFormat="false" ht="15" hidden="false" customHeight="false" outlineLevel="0" collapsed="false">
      <c r="A4688" s="0" t="str">
        <f aca="false">IF('הדבקת לידים'!A4688="","",IF(ISNUMBER('הדבקת לידים'!A4688),IF(הגדרות!$E$2&gt;0,TEXT('הדבקת לידים'!A4688,REPT("0",הגדרות!$E$2)),TEXT('הדבקת לידים'!A4688,"0")),TRIM('הדבקת לידים'!A4688)))</f>
        <v/>
      </c>
      <c r="B4688" s="0" t="str">
        <f aca="false">IF('הדבקת לידים'!B4688="","",IF(ISNUMBER('הדבקת לידים'!B4688),IF(הגדרות!$E$3&gt;0,TEXT('הדבקת לידים'!B4688,REPT("0",הגדרות!$E$3)),TEXT('הדבקת לידים'!B4688,"0")),TRIM('הדבקת לידים'!B4688)))</f>
        <v/>
      </c>
      <c r="C4688" s="0" t="n">
        <f aca="false">IF(OR(A4688&lt;&gt;"",B4688&lt;&gt;""),1,0)</f>
        <v>0</v>
      </c>
      <c r="D4688" s="0" t="str">
        <f aca="false">IF(C4688=1,MOD(ABS(SIN(ROW()*12.9898+'הדבקת לידים'!$F$2*78.233+IFERROR(--RIGHT(A4688,6),LEN(A4688))*0.0137+IFERROR(--RIGHT(B4688,6),LEN(B4688))*0.0071))*43758.5453,1),"")</f>
        <v/>
      </c>
      <c r="E4688" s="0" t="str">
        <f aca="false">IF(C4688=1,INT(MOD(ABS(SIN(D4688*7919.123+ROW()*0.618+'הדבקת לידים'!$F$2*1.3))*43758.5453,1)*1000000)*10000+ROW(),"")</f>
        <v/>
      </c>
      <c r="F4688" s="0" t="str">
        <f aca="false">IF(E4688="","",RANK(E4688,$E$2:$E$5001,1))</f>
        <v/>
      </c>
      <c r="G4688" s="0" t="n">
        <f aca="false">IF(A4688="",0,IF(SUMPRODUCT(--($A$2:$A$5001=A4688))&gt;1,1,0))</f>
        <v>0</v>
      </c>
      <c r="H4688" s="0" t="n">
        <f aca="false">ROW()-1</f>
        <v>4687</v>
      </c>
      <c r="I4688" s="0" t="str">
        <f aca="false">IF(OR(הגדרות!$E$6=0,H4688&gt;הגדרות!$E$5),"",IF(H4688-1&lt;הגדרות!$E$8*(הגדרות!$E$7+1),INT((H4688-1)/(הגדרות!$E$7+1)),הגדרות!$E$8+INT((H4688-1-הגדרות!$E$8*(הגדרות!$E$7+1))/הגדרות!$E$7)))</f>
        <v/>
      </c>
      <c r="J4688" s="0" t="str">
        <f aca="false">IF(I4688="","",IF(H4688-1&lt;הגדרות!$E$8*(הגדרות!$E$7+1),MOD(H4688-1,הגדרות!$E$7+1),MOD(H4688-1-הגדרות!$E$8*(הגדרות!$E$7+1),הגדרות!$E$7)))</f>
        <v/>
      </c>
      <c r="K4688" s="0" t="str">
        <f aca="false">IF(I4688="","",J4688*הגדרות!$E$6+I4688+1)</f>
        <v/>
      </c>
      <c r="L4688" s="0" t="str">
        <f aca="false">IF(K4688="","",MATCH(K4688,$F$2:$F$5001,0))</f>
        <v/>
      </c>
      <c r="M4688" s="0" t="str">
        <f aca="false">IF(I4688="","",INDEX(הגדרות!$A$2:$A$21,MOD(I4688+הגדרות!$E$9,הגדרות!$E$6)+1))</f>
        <v/>
      </c>
    </row>
    <row r="4689" customFormat="false" ht="15" hidden="false" customHeight="false" outlineLevel="0" collapsed="false">
      <c r="A4689" s="0" t="str">
        <f aca="false">IF('הדבקת לידים'!A4689="","",IF(ISNUMBER('הדבקת לידים'!A4689),IF(הגדרות!$E$2&gt;0,TEXT('הדבקת לידים'!A4689,REPT("0",הגדרות!$E$2)),TEXT('הדבקת לידים'!A4689,"0")),TRIM('הדבקת לידים'!A4689)))</f>
        <v/>
      </c>
      <c r="B4689" s="0" t="str">
        <f aca="false">IF('הדבקת לידים'!B4689="","",IF(ISNUMBER('הדבקת לידים'!B4689),IF(הגדרות!$E$3&gt;0,TEXT('הדבקת לידים'!B4689,REPT("0",הגדרות!$E$3)),TEXT('הדבקת לידים'!B4689,"0")),TRIM('הדבקת לידים'!B4689)))</f>
        <v/>
      </c>
      <c r="C4689" s="0" t="n">
        <f aca="false">IF(OR(A4689&lt;&gt;"",B4689&lt;&gt;""),1,0)</f>
        <v>0</v>
      </c>
      <c r="D4689" s="0" t="str">
        <f aca="false">IF(C4689=1,MOD(ABS(SIN(ROW()*12.9898+'הדבקת לידים'!$F$2*78.233+IFERROR(--RIGHT(A4689,6),LEN(A4689))*0.0137+IFERROR(--RIGHT(B4689,6),LEN(B4689))*0.0071))*43758.5453,1),"")</f>
        <v/>
      </c>
      <c r="E4689" s="0" t="str">
        <f aca="false">IF(C4689=1,INT(MOD(ABS(SIN(D4689*7919.123+ROW()*0.618+'הדבקת לידים'!$F$2*1.3))*43758.5453,1)*1000000)*10000+ROW(),"")</f>
        <v/>
      </c>
      <c r="F4689" s="0" t="str">
        <f aca="false">IF(E4689="","",RANK(E4689,$E$2:$E$5001,1))</f>
        <v/>
      </c>
      <c r="G4689" s="0" t="n">
        <f aca="false">IF(A4689="",0,IF(SUMPRODUCT(--($A$2:$A$5001=A4689))&gt;1,1,0))</f>
        <v>0</v>
      </c>
      <c r="H4689" s="0" t="n">
        <f aca="false">ROW()-1</f>
        <v>4688</v>
      </c>
      <c r="I4689" s="0" t="str">
        <f aca="false">IF(OR(הגדרות!$E$6=0,H4689&gt;הגדרות!$E$5),"",IF(H4689-1&lt;הגדרות!$E$8*(הגדרות!$E$7+1),INT((H4689-1)/(הגדרות!$E$7+1)),הגדרות!$E$8+INT((H4689-1-הגדרות!$E$8*(הגדרות!$E$7+1))/הגדרות!$E$7)))</f>
        <v/>
      </c>
      <c r="J4689" s="0" t="str">
        <f aca="false">IF(I4689="","",IF(H4689-1&lt;הגדרות!$E$8*(הגדרות!$E$7+1),MOD(H4689-1,הגדרות!$E$7+1),MOD(H4689-1-הגדרות!$E$8*(הגדרות!$E$7+1),הגדרות!$E$7)))</f>
        <v/>
      </c>
      <c r="K4689" s="0" t="str">
        <f aca="false">IF(I4689="","",J4689*הגדרות!$E$6+I4689+1)</f>
        <v/>
      </c>
      <c r="L4689" s="0" t="str">
        <f aca="false">IF(K4689="","",MATCH(K4689,$F$2:$F$5001,0))</f>
        <v/>
      </c>
      <c r="M4689" s="0" t="str">
        <f aca="false">IF(I4689="","",INDEX(הגדרות!$A$2:$A$21,MOD(I4689+הגדרות!$E$9,הגדרות!$E$6)+1))</f>
        <v/>
      </c>
    </row>
    <row r="4690" customFormat="false" ht="15" hidden="false" customHeight="false" outlineLevel="0" collapsed="false">
      <c r="A4690" s="0" t="str">
        <f aca="false">IF('הדבקת לידים'!A4690="","",IF(ISNUMBER('הדבקת לידים'!A4690),IF(הגדרות!$E$2&gt;0,TEXT('הדבקת לידים'!A4690,REPT("0",הגדרות!$E$2)),TEXT('הדבקת לידים'!A4690,"0")),TRIM('הדבקת לידים'!A4690)))</f>
        <v/>
      </c>
      <c r="B4690" s="0" t="str">
        <f aca="false">IF('הדבקת לידים'!B4690="","",IF(ISNUMBER('הדבקת לידים'!B4690),IF(הגדרות!$E$3&gt;0,TEXT('הדבקת לידים'!B4690,REPT("0",הגדרות!$E$3)),TEXT('הדבקת לידים'!B4690,"0")),TRIM('הדבקת לידים'!B4690)))</f>
        <v/>
      </c>
      <c r="C4690" s="0" t="n">
        <f aca="false">IF(OR(A4690&lt;&gt;"",B4690&lt;&gt;""),1,0)</f>
        <v>0</v>
      </c>
      <c r="D4690" s="0" t="str">
        <f aca="false">IF(C4690=1,MOD(ABS(SIN(ROW()*12.9898+'הדבקת לידים'!$F$2*78.233+IFERROR(--RIGHT(A4690,6),LEN(A4690))*0.0137+IFERROR(--RIGHT(B4690,6),LEN(B4690))*0.0071))*43758.5453,1),"")</f>
        <v/>
      </c>
      <c r="E4690" s="0" t="str">
        <f aca="false">IF(C4690=1,INT(MOD(ABS(SIN(D4690*7919.123+ROW()*0.618+'הדבקת לידים'!$F$2*1.3))*43758.5453,1)*1000000)*10000+ROW(),"")</f>
        <v/>
      </c>
      <c r="F4690" s="0" t="str">
        <f aca="false">IF(E4690="","",RANK(E4690,$E$2:$E$5001,1))</f>
        <v/>
      </c>
      <c r="G4690" s="0" t="n">
        <f aca="false">IF(A4690="",0,IF(SUMPRODUCT(--($A$2:$A$5001=A4690))&gt;1,1,0))</f>
        <v>0</v>
      </c>
      <c r="H4690" s="0" t="n">
        <f aca="false">ROW()-1</f>
        <v>4689</v>
      </c>
      <c r="I4690" s="0" t="str">
        <f aca="false">IF(OR(הגדרות!$E$6=0,H4690&gt;הגדרות!$E$5),"",IF(H4690-1&lt;הגדרות!$E$8*(הגדרות!$E$7+1),INT((H4690-1)/(הגדרות!$E$7+1)),הגדרות!$E$8+INT((H4690-1-הגדרות!$E$8*(הגדרות!$E$7+1))/הגדרות!$E$7)))</f>
        <v/>
      </c>
      <c r="J4690" s="0" t="str">
        <f aca="false">IF(I4690="","",IF(H4690-1&lt;הגדרות!$E$8*(הגדרות!$E$7+1),MOD(H4690-1,הגדרות!$E$7+1),MOD(H4690-1-הגדרות!$E$8*(הגדרות!$E$7+1),הגדרות!$E$7)))</f>
        <v/>
      </c>
      <c r="K4690" s="0" t="str">
        <f aca="false">IF(I4690="","",J4690*הגדרות!$E$6+I4690+1)</f>
        <v/>
      </c>
      <c r="L4690" s="0" t="str">
        <f aca="false">IF(K4690="","",MATCH(K4690,$F$2:$F$5001,0))</f>
        <v/>
      </c>
      <c r="M4690" s="0" t="str">
        <f aca="false">IF(I4690="","",INDEX(הגדרות!$A$2:$A$21,MOD(I4690+הגדרות!$E$9,הגדרות!$E$6)+1))</f>
        <v/>
      </c>
    </row>
    <row r="4691" customFormat="false" ht="15" hidden="false" customHeight="false" outlineLevel="0" collapsed="false">
      <c r="A4691" s="0" t="str">
        <f aca="false">IF('הדבקת לידים'!A4691="","",IF(ISNUMBER('הדבקת לידים'!A4691),IF(הגדרות!$E$2&gt;0,TEXT('הדבקת לידים'!A4691,REPT("0",הגדרות!$E$2)),TEXT('הדבקת לידים'!A4691,"0")),TRIM('הדבקת לידים'!A4691)))</f>
        <v/>
      </c>
      <c r="B4691" s="0" t="str">
        <f aca="false">IF('הדבקת לידים'!B4691="","",IF(ISNUMBER('הדבקת לידים'!B4691),IF(הגדרות!$E$3&gt;0,TEXT('הדבקת לידים'!B4691,REPT("0",הגדרות!$E$3)),TEXT('הדבקת לידים'!B4691,"0")),TRIM('הדבקת לידים'!B4691)))</f>
        <v/>
      </c>
      <c r="C4691" s="0" t="n">
        <f aca="false">IF(OR(A4691&lt;&gt;"",B4691&lt;&gt;""),1,0)</f>
        <v>0</v>
      </c>
      <c r="D4691" s="0" t="str">
        <f aca="false">IF(C4691=1,MOD(ABS(SIN(ROW()*12.9898+'הדבקת לידים'!$F$2*78.233+IFERROR(--RIGHT(A4691,6),LEN(A4691))*0.0137+IFERROR(--RIGHT(B4691,6),LEN(B4691))*0.0071))*43758.5453,1),"")</f>
        <v/>
      </c>
      <c r="E4691" s="0" t="str">
        <f aca="false">IF(C4691=1,INT(MOD(ABS(SIN(D4691*7919.123+ROW()*0.618+'הדבקת לידים'!$F$2*1.3))*43758.5453,1)*1000000)*10000+ROW(),"")</f>
        <v/>
      </c>
      <c r="F4691" s="0" t="str">
        <f aca="false">IF(E4691="","",RANK(E4691,$E$2:$E$5001,1))</f>
        <v/>
      </c>
      <c r="G4691" s="0" t="n">
        <f aca="false">IF(A4691="",0,IF(SUMPRODUCT(--($A$2:$A$5001=A4691))&gt;1,1,0))</f>
        <v>0</v>
      </c>
      <c r="H4691" s="0" t="n">
        <f aca="false">ROW()-1</f>
        <v>4690</v>
      </c>
      <c r="I4691" s="0" t="str">
        <f aca="false">IF(OR(הגדרות!$E$6=0,H4691&gt;הגדרות!$E$5),"",IF(H4691-1&lt;הגדרות!$E$8*(הגדרות!$E$7+1),INT((H4691-1)/(הגדרות!$E$7+1)),הגדרות!$E$8+INT((H4691-1-הגדרות!$E$8*(הגדרות!$E$7+1))/הגדרות!$E$7)))</f>
        <v/>
      </c>
      <c r="J4691" s="0" t="str">
        <f aca="false">IF(I4691="","",IF(H4691-1&lt;הגדרות!$E$8*(הגדרות!$E$7+1),MOD(H4691-1,הגדרות!$E$7+1),MOD(H4691-1-הגדרות!$E$8*(הגדרות!$E$7+1),הגדרות!$E$7)))</f>
        <v/>
      </c>
      <c r="K4691" s="0" t="str">
        <f aca="false">IF(I4691="","",J4691*הגדרות!$E$6+I4691+1)</f>
        <v/>
      </c>
      <c r="L4691" s="0" t="str">
        <f aca="false">IF(K4691="","",MATCH(K4691,$F$2:$F$5001,0))</f>
        <v/>
      </c>
      <c r="M4691" s="0" t="str">
        <f aca="false">IF(I4691="","",INDEX(הגדרות!$A$2:$A$21,MOD(I4691+הגדרות!$E$9,הגדרות!$E$6)+1))</f>
        <v/>
      </c>
    </row>
    <row r="4692" customFormat="false" ht="15" hidden="false" customHeight="false" outlineLevel="0" collapsed="false">
      <c r="A4692" s="0" t="str">
        <f aca="false">IF('הדבקת לידים'!A4692="","",IF(ISNUMBER('הדבקת לידים'!A4692),IF(הגדרות!$E$2&gt;0,TEXT('הדבקת לידים'!A4692,REPT("0",הגדרות!$E$2)),TEXT('הדבקת לידים'!A4692,"0")),TRIM('הדבקת לידים'!A4692)))</f>
        <v/>
      </c>
      <c r="B4692" s="0" t="str">
        <f aca="false">IF('הדבקת לידים'!B4692="","",IF(ISNUMBER('הדבקת לידים'!B4692),IF(הגדרות!$E$3&gt;0,TEXT('הדבקת לידים'!B4692,REPT("0",הגדרות!$E$3)),TEXT('הדבקת לידים'!B4692,"0")),TRIM('הדבקת לידים'!B4692)))</f>
        <v/>
      </c>
      <c r="C4692" s="0" t="n">
        <f aca="false">IF(OR(A4692&lt;&gt;"",B4692&lt;&gt;""),1,0)</f>
        <v>0</v>
      </c>
      <c r="D4692" s="0" t="str">
        <f aca="false">IF(C4692=1,MOD(ABS(SIN(ROW()*12.9898+'הדבקת לידים'!$F$2*78.233+IFERROR(--RIGHT(A4692,6),LEN(A4692))*0.0137+IFERROR(--RIGHT(B4692,6),LEN(B4692))*0.0071))*43758.5453,1),"")</f>
        <v/>
      </c>
      <c r="E4692" s="0" t="str">
        <f aca="false">IF(C4692=1,INT(MOD(ABS(SIN(D4692*7919.123+ROW()*0.618+'הדבקת לידים'!$F$2*1.3))*43758.5453,1)*1000000)*10000+ROW(),"")</f>
        <v/>
      </c>
      <c r="F4692" s="0" t="str">
        <f aca="false">IF(E4692="","",RANK(E4692,$E$2:$E$5001,1))</f>
        <v/>
      </c>
      <c r="G4692" s="0" t="n">
        <f aca="false">IF(A4692="",0,IF(SUMPRODUCT(--($A$2:$A$5001=A4692))&gt;1,1,0))</f>
        <v>0</v>
      </c>
      <c r="H4692" s="0" t="n">
        <f aca="false">ROW()-1</f>
        <v>4691</v>
      </c>
      <c r="I4692" s="0" t="str">
        <f aca="false">IF(OR(הגדרות!$E$6=0,H4692&gt;הגדרות!$E$5),"",IF(H4692-1&lt;הגדרות!$E$8*(הגדרות!$E$7+1),INT((H4692-1)/(הגדרות!$E$7+1)),הגדרות!$E$8+INT((H4692-1-הגדרות!$E$8*(הגדרות!$E$7+1))/הגדרות!$E$7)))</f>
        <v/>
      </c>
      <c r="J4692" s="0" t="str">
        <f aca="false">IF(I4692="","",IF(H4692-1&lt;הגדרות!$E$8*(הגדרות!$E$7+1),MOD(H4692-1,הגדרות!$E$7+1),MOD(H4692-1-הגדרות!$E$8*(הגדרות!$E$7+1),הגדרות!$E$7)))</f>
        <v/>
      </c>
      <c r="K4692" s="0" t="str">
        <f aca="false">IF(I4692="","",J4692*הגדרות!$E$6+I4692+1)</f>
        <v/>
      </c>
      <c r="L4692" s="0" t="str">
        <f aca="false">IF(K4692="","",MATCH(K4692,$F$2:$F$5001,0))</f>
        <v/>
      </c>
      <c r="M4692" s="0" t="str">
        <f aca="false">IF(I4692="","",INDEX(הגדרות!$A$2:$A$21,MOD(I4692+הגדרות!$E$9,הגדרות!$E$6)+1))</f>
        <v/>
      </c>
    </row>
    <row r="4693" customFormat="false" ht="15" hidden="false" customHeight="false" outlineLevel="0" collapsed="false">
      <c r="A4693" s="0" t="str">
        <f aca="false">IF('הדבקת לידים'!A4693="","",IF(ISNUMBER('הדבקת לידים'!A4693),IF(הגדרות!$E$2&gt;0,TEXT('הדבקת לידים'!A4693,REPT("0",הגדרות!$E$2)),TEXT('הדבקת לידים'!A4693,"0")),TRIM('הדבקת לידים'!A4693)))</f>
        <v/>
      </c>
      <c r="B4693" s="0" t="str">
        <f aca="false">IF('הדבקת לידים'!B4693="","",IF(ISNUMBER('הדבקת לידים'!B4693),IF(הגדרות!$E$3&gt;0,TEXT('הדבקת לידים'!B4693,REPT("0",הגדרות!$E$3)),TEXT('הדבקת לידים'!B4693,"0")),TRIM('הדבקת לידים'!B4693)))</f>
        <v/>
      </c>
      <c r="C4693" s="0" t="n">
        <f aca="false">IF(OR(A4693&lt;&gt;"",B4693&lt;&gt;""),1,0)</f>
        <v>0</v>
      </c>
      <c r="D4693" s="0" t="str">
        <f aca="false">IF(C4693=1,MOD(ABS(SIN(ROW()*12.9898+'הדבקת לידים'!$F$2*78.233+IFERROR(--RIGHT(A4693,6),LEN(A4693))*0.0137+IFERROR(--RIGHT(B4693,6),LEN(B4693))*0.0071))*43758.5453,1),"")</f>
        <v/>
      </c>
      <c r="E4693" s="0" t="str">
        <f aca="false">IF(C4693=1,INT(MOD(ABS(SIN(D4693*7919.123+ROW()*0.618+'הדבקת לידים'!$F$2*1.3))*43758.5453,1)*1000000)*10000+ROW(),"")</f>
        <v/>
      </c>
      <c r="F4693" s="0" t="str">
        <f aca="false">IF(E4693="","",RANK(E4693,$E$2:$E$5001,1))</f>
        <v/>
      </c>
      <c r="G4693" s="0" t="n">
        <f aca="false">IF(A4693="",0,IF(SUMPRODUCT(--($A$2:$A$5001=A4693))&gt;1,1,0))</f>
        <v>0</v>
      </c>
      <c r="H4693" s="0" t="n">
        <f aca="false">ROW()-1</f>
        <v>4692</v>
      </c>
      <c r="I4693" s="0" t="str">
        <f aca="false">IF(OR(הגדרות!$E$6=0,H4693&gt;הגדרות!$E$5),"",IF(H4693-1&lt;הגדרות!$E$8*(הגדרות!$E$7+1),INT((H4693-1)/(הגדרות!$E$7+1)),הגדרות!$E$8+INT((H4693-1-הגדרות!$E$8*(הגדרות!$E$7+1))/הגדרות!$E$7)))</f>
        <v/>
      </c>
      <c r="J4693" s="0" t="str">
        <f aca="false">IF(I4693="","",IF(H4693-1&lt;הגדרות!$E$8*(הגדרות!$E$7+1),MOD(H4693-1,הגדרות!$E$7+1),MOD(H4693-1-הגדרות!$E$8*(הגדרות!$E$7+1),הגדרות!$E$7)))</f>
        <v/>
      </c>
      <c r="K4693" s="0" t="str">
        <f aca="false">IF(I4693="","",J4693*הגדרות!$E$6+I4693+1)</f>
        <v/>
      </c>
      <c r="L4693" s="0" t="str">
        <f aca="false">IF(K4693="","",MATCH(K4693,$F$2:$F$5001,0))</f>
        <v/>
      </c>
      <c r="M4693" s="0" t="str">
        <f aca="false">IF(I4693="","",INDEX(הגדרות!$A$2:$A$21,MOD(I4693+הגדרות!$E$9,הגדרות!$E$6)+1))</f>
        <v/>
      </c>
    </row>
    <row r="4694" customFormat="false" ht="15" hidden="false" customHeight="false" outlineLevel="0" collapsed="false">
      <c r="A4694" s="0" t="str">
        <f aca="false">IF('הדבקת לידים'!A4694="","",IF(ISNUMBER('הדבקת לידים'!A4694),IF(הגדרות!$E$2&gt;0,TEXT('הדבקת לידים'!A4694,REPT("0",הגדרות!$E$2)),TEXT('הדבקת לידים'!A4694,"0")),TRIM('הדבקת לידים'!A4694)))</f>
        <v/>
      </c>
      <c r="B4694" s="0" t="str">
        <f aca="false">IF('הדבקת לידים'!B4694="","",IF(ISNUMBER('הדבקת לידים'!B4694),IF(הגדרות!$E$3&gt;0,TEXT('הדבקת לידים'!B4694,REPT("0",הגדרות!$E$3)),TEXT('הדבקת לידים'!B4694,"0")),TRIM('הדבקת לידים'!B4694)))</f>
        <v/>
      </c>
      <c r="C4694" s="0" t="n">
        <f aca="false">IF(OR(A4694&lt;&gt;"",B4694&lt;&gt;""),1,0)</f>
        <v>0</v>
      </c>
      <c r="D4694" s="0" t="str">
        <f aca="false">IF(C4694=1,MOD(ABS(SIN(ROW()*12.9898+'הדבקת לידים'!$F$2*78.233+IFERROR(--RIGHT(A4694,6),LEN(A4694))*0.0137+IFERROR(--RIGHT(B4694,6),LEN(B4694))*0.0071))*43758.5453,1),"")</f>
        <v/>
      </c>
      <c r="E4694" s="0" t="str">
        <f aca="false">IF(C4694=1,INT(MOD(ABS(SIN(D4694*7919.123+ROW()*0.618+'הדבקת לידים'!$F$2*1.3))*43758.5453,1)*1000000)*10000+ROW(),"")</f>
        <v/>
      </c>
      <c r="F4694" s="0" t="str">
        <f aca="false">IF(E4694="","",RANK(E4694,$E$2:$E$5001,1))</f>
        <v/>
      </c>
      <c r="G4694" s="0" t="n">
        <f aca="false">IF(A4694="",0,IF(SUMPRODUCT(--($A$2:$A$5001=A4694))&gt;1,1,0))</f>
        <v>0</v>
      </c>
      <c r="H4694" s="0" t="n">
        <f aca="false">ROW()-1</f>
        <v>4693</v>
      </c>
      <c r="I4694" s="0" t="str">
        <f aca="false">IF(OR(הגדרות!$E$6=0,H4694&gt;הגדרות!$E$5),"",IF(H4694-1&lt;הגדרות!$E$8*(הגדרות!$E$7+1),INT((H4694-1)/(הגדרות!$E$7+1)),הגדרות!$E$8+INT((H4694-1-הגדרות!$E$8*(הגדרות!$E$7+1))/הגדרות!$E$7)))</f>
        <v/>
      </c>
      <c r="J4694" s="0" t="str">
        <f aca="false">IF(I4694="","",IF(H4694-1&lt;הגדרות!$E$8*(הגדרות!$E$7+1),MOD(H4694-1,הגדרות!$E$7+1),MOD(H4694-1-הגדרות!$E$8*(הגדרות!$E$7+1),הגדרות!$E$7)))</f>
        <v/>
      </c>
      <c r="K4694" s="0" t="str">
        <f aca="false">IF(I4694="","",J4694*הגדרות!$E$6+I4694+1)</f>
        <v/>
      </c>
      <c r="L4694" s="0" t="str">
        <f aca="false">IF(K4694="","",MATCH(K4694,$F$2:$F$5001,0))</f>
        <v/>
      </c>
      <c r="M4694" s="0" t="str">
        <f aca="false">IF(I4694="","",INDEX(הגדרות!$A$2:$A$21,MOD(I4694+הגדרות!$E$9,הגדרות!$E$6)+1))</f>
        <v/>
      </c>
    </row>
    <row r="4695" customFormat="false" ht="15" hidden="false" customHeight="false" outlineLevel="0" collapsed="false">
      <c r="A4695" s="0" t="str">
        <f aca="false">IF('הדבקת לידים'!A4695="","",IF(ISNUMBER('הדבקת לידים'!A4695),IF(הגדרות!$E$2&gt;0,TEXT('הדבקת לידים'!A4695,REPT("0",הגדרות!$E$2)),TEXT('הדבקת לידים'!A4695,"0")),TRIM('הדבקת לידים'!A4695)))</f>
        <v/>
      </c>
      <c r="B4695" s="0" t="str">
        <f aca="false">IF('הדבקת לידים'!B4695="","",IF(ISNUMBER('הדבקת לידים'!B4695),IF(הגדרות!$E$3&gt;0,TEXT('הדבקת לידים'!B4695,REPT("0",הגדרות!$E$3)),TEXT('הדבקת לידים'!B4695,"0")),TRIM('הדבקת לידים'!B4695)))</f>
        <v/>
      </c>
      <c r="C4695" s="0" t="n">
        <f aca="false">IF(OR(A4695&lt;&gt;"",B4695&lt;&gt;""),1,0)</f>
        <v>0</v>
      </c>
      <c r="D4695" s="0" t="str">
        <f aca="false">IF(C4695=1,MOD(ABS(SIN(ROW()*12.9898+'הדבקת לידים'!$F$2*78.233+IFERROR(--RIGHT(A4695,6),LEN(A4695))*0.0137+IFERROR(--RIGHT(B4695,6),LEN(B4695))*0.0071))*43758.5453,1),"")</f>
        <v/>
      </c>
      <c r="E4695" s="0" t="str">
        <f aca="false">IF(C4695=1,INT(MOD(ABS(SIN(D4695*7919.123+ROW()*0.618+'הדבקת לידים'!$F$2*1.3))*43758.5453,1)*1000000)*10000+ROW(),"")</f>
        <v/>
      </c>
      <c r="F4695" s="0" t="str">
        <f aca="false">IF(E4695="","",RANK(E4695,$E$2:$E$5001,1))</f>
        <v/>
      </c>
      <c r="G4695" s="0" t="n">
        <f aca="false">IF(A4695="",0,IF(SUMPRODUCT(--($A$2:$A$5001=A4695))&gt;1,1,0))</f>
        <v>0</v>
      </c>
      <c r="H4695" s="0" t="n">
        <f aca="false">ROW()-1</f>
        <v>4694</v>
      </c>
      <c r="I4695" s="0" t="str">
        <f aca="false">IF(OR(הגדרות!$E$6=0,H4695&gt;הגדרות!$E$5),"",IF(H4695-1&lt;הגדרות!$E$8*(הגדרות!$E$7+1),INT((H4695-1)/(הגדרות!$E$7+1)),הגדרות!$E$8+INT((H4695-1-הגדרות!$E$8*(הגדרות!$E$7+1))/הגדרות!$E$7)))</f>
        <v/>
      </c>
      <c r="J4695" s="0" t="str">
        <f aca="false">IF(I4695="","",IF(H4695-1&lt;הגדרות!$E$8*(הגדרות!$E$7+1),MOD(H4695-1,הגדרות!$E$7+1),MOD(H4695-1-הגדרות!$E$8*(הגדרות!$E$7+1),הגדרות!$E$7)))</f>
        <v/>
      </c>
      <c r="K4695" s="0" t="str">
        <f aca="false">IF(I4695="","",J4695*הגדרות!$E$6+I4695+1)</f>
        <v/>
      </c>
      <c r="L4695" s="0" t="str">
        <f aca="false">IF(K4695="","",MATCH(K4695,$F$2:$F$5001,0))</f>
        <v/>
      </c>
      <c r="M4695" s="0" t="str">
        <f aca="false">IF(I4695="","",INDEX(הגדרות!$A$2:$A$21,MOD(I4695+הגדרות!$E$9,הגדרות!$E$6)+1))</f>
        <v/>
      </c>
    </row>
    <row r="4696" customFormat="false" ht="15" hidden="false" customHeight="false" outlineLevel="0" collapsed="false">
      <c r="A4696" s="0" t="str">
        <f aca="false">IF('הדבקת לידים'!A4696="","",IF(ISNUMBER('הדבקת לידים'!A4696),IF(הגדרות!$E$2&gt;0,TEXT('הדבקת לידים'!A4696,REPT("0",הגדרות!$E$2)),TEXT('הדבקת לידים'!A4696,"0")),TRIM('הדבקת לידים'!A4696)))</f>
        <v/>
      </c>
      <c r="B4696" s="0" t="str">
        <f aca="false">IF('הדבקת לידים'!B4696="","",IF(ISNUMBER('הדבקת לידים'!B4696),IF(הגדרות!$E$3&gt;0,TEXT('הדבקת לידים'!B4696,REPT("0",הגדרות!$E$3)),TEXT('הדבקת לידים'!B4696,"0")),TRIM('הדבקת לידים'!B4696)))</f>
        <v/>
      </c>
      <c r="C4696" s="0" t="n">
        <f aca="false">IF(OR(A4696&lt;&gt;"",B4696&lt;&gt;""),1,0)</f>
        <v>0</v>
      </c>
      <c r="D4696" s="0" t="str">
        <f aca="false">IF(C4696=1,MOD(ABS(SIN(ROW()*12.9898+'הדבקת לידים'!$F$2*78.233+IFERROR(--RIGHT(A4696,6),LEN(A4696))*0.0137+IFERROR(--RIGHT(B4696,6),LEN(B4696))*0.0071))*43758.5453,1),"")</f>
        <v/>
      </c>
      <c r="E4696" s="0" t="str">
        <f aca="false">IF(C4696=1,INT(MOD(ABS(SIN(D4696*7919.123+ROW()*0.618+'הדבקת לידים'!$F$2*1.3))*43758.5453,1)*1000000)*10000+ROW(),"")</f>
        <v/>
      </c>
      <c r="F4696" s="0" t="str">
        <f aca="false">IF(E4696="","",RANK(E4696,$E$2:$E$5001,1))</f>
        <v/>
      </c>
      <c r="G4696" s="0" t="n">
        <f aca="false">IF(A4696="",0,IF(SUMPRODUCT(--($A$2:$A$5001=A4696))&gt;1,1,0))</f>
        <v>0</v>
      </c>
      <c r="H4696" s="0" t="n">
        <f aca="false">ROW()-1</f>
        <v>4695</v>
      </c>
      <c r="I4696" s="0" t="str">
        <f aca="false">IF(OR(הגדרות!$E$6=0,H4696&gt;הגדרות!$E$5),"",IF(H4696-1&lt;הגדרות!$E$8*(הגדרות!$E$7+1),INT((H4696-1)/(הגדרות!$E$7+1)),הגדרות!$E$8+INT((H4696-1-הגדרות!$E$8*(הגדרות!$E$7+1))/הגדרות!$E$7)))</f>
        <v/>
      </c>
      <c r="J4696" s="0" t="str">
        <f aca="false">IF(I4696="","",IF(H4696-1&lt;הגדרות!$E$8*(הגדרות!$E$7+1),MOD(H4696-1,הגדרות!$E$7+1),MOD(H4696-1-הגדרות!$E$8*(הגדרות!$E$7+1),הגדרות!$E$7)))</f>
        <v/>
      </c>
      <c r="K4696" s="0" t="str">
        <f aca="false">IF(I4696="","",J4696*הגדרות!$E$6+I4696+1)</f>
        <v/>
      </c>
      <c r="L4696" s="0" t="str">
        <f aca="false">IF(K4696="","",MATCH(K4696,$F$2:$F$5001,0))</f>
        <v/>
      </c>
      <c r="M4696" s="0" t="str">
        <f aca="false">IF(I4696="","",INDEX(הגדרות!$A$2:$A$21,MOD(I4696+הגדרות!$E$9,הגדרות!$E$6)+1))</f>
        <v/>
      </c>
    </row>
    <row r="4697" customFormat="false" ht="15" hidden="false" customHeight="false" outlineLevel="0" collapsed="false">
      <c r="A4697" s="0" t="str">
        <f aca="false">IF('הדבקת לידים'!A4697="","",IF(ISNUMBER('הדבקת לידים'!A4697),IF(הגדרות!$E$2&gt;0,TEXT('הדבקת לידים'!A4697,REPT("0",הגדרות!$E$2)),TEXT('הדבקת לידים'!A4697,"0")),TRIM('הדבקת לידים'!A4697)))</f>
        <v/>
      </c>
      <c r="B4697" s="0" t="str">
        <f aca="false">IF('הדבקת לידים'!B4697="","",IF(ISNUMBER('הדבקת לידים'!B4697),IF(הגדרות!$E$3&gt;0,TEXT('הדבקת לידים'!B4697,REPT("0",הגדרות!$E$3)),TEXT('הדבקת לידים'!B4697,"0")),TRIM('הדבקת לידים'!B4697)))</f>
        <v/>
      </c>
      <c r="C4697" s="0" t="n">
        <f aca="false">IF(OR(A4697&lt;&gt;"",B4697&lt;&gt;""),1,0)</f>
        <v>0</v>
      </c>
      <c r="D4697" s="0" t="str">
        <f aca="false">IF(C4697=1,MOD(ABS(SIN(ROW()*12.9898+'הדבקת לידים'!$F$2*78.233+IFERROR(--RIGHT(A4697,6),LEN(A4697))*0.0137+IFERROR(--RIGHT(B4697,6),LEN(B4697))*0.0071))*43758.5453,1),"")</f>
        <v/>
      </c>
      <c r="E4697" s="0" t="str">
        <f aca="false">IF(C4697=1,INT(MOD(ABS(SIN(D4697*7919.123+ROW()*0.618+'הדבקת לידים'!$F$2*1.3))*43758.5453,1)*1000000)*10000+ROW(),"")</f>
        <v/>
      </c>
      <c r="F4697" s="0" t="str">
        <f aca="false">IF(E4697="","",RANK(E4697,$E$2:$E$5001,1))</f>
        <v/>
      </c>
      <c r="G4697" s="0" t="n">
        <f aca="false">IF(A4697="",0,IF(SUMPRODUCT(--($A$2:$A$5001=A4697))&gt;1,1,0))</f>
        <v>0</v>
      </c>
      <c r="H4697" s="0" t="n">
        <f aca="false">ROW()-1</f>
        <v>4696</v>
      </c>
      <c r="I4697" s="0" t="str">
        <f aca="false">IF(OR(הגדרות!$E$6=0,H4697&gt;הגדרות!$E$5),"",IF(H4697-1&lt;הגדרות!$E$8*(הגדרות!$E$7+1),INT((H4697-1)/(הגדרות!$E$7+1)),הגדרות!$E$8+INT((H4697-1-הגדרות!$E$8*(הגדרות!$E$7+1))/הגדרות!$E$7)))</f>
        <v/>
      </c>
      <c r="J4697" s="0" t="str">
        <f aca="false">IF(I4697="","",IF(H4697-1&lt;הגדרות!$E$8*(הגדרות!$E$7+1),MOD(H4697-1,הגדרות!$E$7+1),MOD(H4697-1-הגדרות!$E$8*(הגדרות!$E$7+1),הגדרות!$E$7)))</f>
        <v/>
      </c>
      <c r="K4697" s="0" t="str">
        <f aca="false">IF(I4697="","",J4697*הגדרות!$E$6+I4697+1)</f>
        <v/>
      </c>
      <c r="L4697" s="0" t="str">
        <f aca="false">IF(K4697="","",MATCH(K4697,$F$2:$F$5001,0))</f>
        <v/>
      </c>
      <c r="M4697" s="0" t="str">
        <f aca="false">IF(I4697="","",INDEX(הגדרות!$A$2:$A$21,MOD(I4697+הגדרות!$E$9,הגדרות!$E$6)+1))</f>
        <v/>
      </c>
    </row>
    <row r="4698" customFormat="false" ht="15" hidden="false" customHeight="false" outlineLevel="0" collapsed="false">
      <c r="A4698" s="0" t="str">
        <f aca="false">IF('הדבקת לידים'!A4698="","",IF(ISNUMBER('הדבקת לידים'!A4698),IF(הגדרות!$E$2&gt;0,TEXT('הדבקת לידים'!A4698,REPT("0",הגדרות!$E$2)),TEXT('הדבקת לידים'!A4698,"0")),TRIM('הדבקת לידים'!A4698)))</f>
        <v/>
      </c>
      <c r="B4698" s="0" t="str">
        <f aca="false">IF('הדבקת לידים'!B4698="","",IF(ISNUMBER('הדבקת לידים'!B4698),IF(הגדרות!$E$3&gt;0,TEXT('הדבקת לידים'!B4698,REPT("0",הגדרות!$E$3)),TEXT('הדבקת לידים'!B4698,"0")),TRIM('הדבקת לידים'!B4698)))</f>
        <v/>
      </c>
      <c r="C4698" s="0" t="n">
        <f aca="false">IF(OR(A4698&lt;&gt;"",B4698&lt;&gt;""),1,0)</f>
        <v>0</v>
      </c>
      <c r="D4698" s="0" t="str">
        <f aca="false">IF(C4698=1,MOD(ABS(SIN(ROW()*12.9898+'הדבקת לידים'!$F$2*78.233+IFERROR(--RIGHT(A4698,6),LEN(A4698))*0.0137+IFERROR(--RIGHT(B4698,6),LEN(B4698))*0.0071))*43758.5453,1),"")</f>
        <v/>
      </c>
      <c r="E4698" s="0" t="str">
        <f aca="false">IF(C4698=1,INT(MOD(ABS(SIN(D4698*7919.123+ROW()*0.618+'הדבקת לידים'!$F$2*1.3))*43758.5453,1)*1000000)*10000+ROW(),"")</f>
        <v/>
      </c>
      <c r="F4698" s="0" t="str">
        <f aca="false">IF(E4698="","",RANK(E4698,$E$2:$E$5001,1))</f>
        <v/>
      </c>
      <c r="G4698" s="0" t="n">
        <f aca="false">IF(A4698="",0,IF(SUMPRODUCT(--($A$2:$A$5001=A4698))&gt;1,1,0))</f>
        <v>0</v>
      </c>
      <c r="H4698" s="0" t="n">
        <f aca="false">ROW()-1</f>
        <v>4697</v>
      </c>
      <c r="I4698" s="0" t="str">
        <f aca="false">IF(OR(הגדרות!$E$6=0,H4698&gt;הגדרות!$E$5),"",IF(H4698-1&lt;הגדרות!$E$8*(הגדרות!$E$7+1),INT((H4698-1)/(הגדרות!$E$7+1)),הגדרות!$E$8+INT((H4698-1-הגדרות!$E$8*(הגדרות!$E$7+1))/הגדרות!$E$7)))</f>
        <v/>
      </c>
      <c r="J4698" s="0" t="str">
        <f aca="false">IF(I4698="","",IF(H4698-1&lt;הגדרות!$E$8*(הגדרות!$E$7+1),MOD(H4698-1,הגדרות!$E$7+1),MOD(H4698-1-הגדרות!$E$8*(הגדרות!$E$7+1),הגדרות!$E$7)))</f>
        <v/>
      </c>
      <c r="K4698" s="0" t="str">
        <f aca="false">IF(I4698="","",J4698*הגדרות!$E$6+I4698+1)</f>
        <v/>
      </c>
      <c r="L4698" s="0" t="str">
        <f aca="false">IF(K4698="","",MATCH(K4698,$F$2:$F$5001,0))</f>
        <v/>
      </c>
      <c r="M4698" s="0" t="str">
        <f aca="false">IF(I4698="","",INDEX(הגדרות!$A$2:$A$21,MOD(I4698+הגדרות!$E$9,הגדרות!$E$6)+1))</f>
        <v/>
      </c>
    </row>
    <row r="4699" customFormat="false" ht="15" hidden="false" customHeight="false" outlineLevel="0" collapsed="false">
      <c r="A4699" s="0" t="str">
        <f aca="false">IF('הדבקת לידים'!A4699="","",IF(ISNUMBER('הדבקת לידים'!A4699),IF(הגדרות!$E$2&gt;0,TEXT('הדבקת לידים'!A4699,REPT("0",הגדרות!$E$2)),TEXT('הדבקת לידים'!A4699,"0")),TRIM('הדבקת לידים'!A4699)))</f>
        <v/>
      </c>
      <c r="B4699" s="0" t="str">
        <f aca="false">IF('הדבקת לידים'!B4699="","",IF(ISNUMBER('הדבקת לידים'!B4699),IF(הגדרות!$E$3&gt;0,TEXT('הדבקת לידים'!B4699,REPT("0",הגדרות!$E$3)),TEXT('הדבקת לידים'!B4699,"0")),TRIM('הדבקת לידים'!B4699)))</f>
        <v/>
      </c>
      <c r="C4699" s="0" t="n">
        <f aca="false">IF(OR(A4699&lt;&gt;"",B4699&lt;&gt;""),1,0)</f>
        <v>0</v>
      </c>
      <c r="D4699" s="0" t="str">
        <f aca="false">IF(C4699=1,MOD(ABS(SIN(ROW()*12.9898+'הדבקת לידים'!$F$2*78.233+IFERROR(--RIGHT(A4699,6),LEN(A4699))*0.0137+IFERROR(--RIGHT(B4699,6),LEN(B4699))*0.0071))*43758.5453,1),"")</f>
        <v/>
      </c>
      <c r="E4699" s="0" t="str">
        <f aca="false">IF(C4699=1,INT(MOD(ABS(SIN(D4699*7919.123+ROW()*0.618+'הדבקת לידים'!$F$2*1.3))*43758.5453,1)*1000000)*10000+ROW(),"")</f>
        <v/>
      </c>
      <c r="F4699" s="0" t="str">
        <f aca="false">IF(E4699="","",RANK(E4699,$E$2:$E$5001,1))</f>
        <v/>
      </c>
      <c r="G4699" s="0" t="n">
        <f aca="false">IF(A4699="",0,IF(SUMPRODUCT(--($A$2:$A$5001=A4699))&gt;1,1,0))</f>
        <v>0</v>
      </c>
      <c r="H4699" s="0" t="n">
        <f aca="false">ROW()-1</f>
        <v>4698</v>
      </c>
      <c r="I4699" s="0" t="str">
        <f aca="false">IF(OR(הגדרות!$E$6=0,H4699&gt;הגדרות!$E$5),"",IF(H4699-1&lt;הגדרות!$E$8*(הגדרות!$E$7+1),INT((H4699-1)/(הגדרות!$E$7+1)),הגדרות!$E$8+INT((H4699-1-הגדרות!$E$8*(הגדרות!$E$7+1))/הגדרות!$E$7)))</f>
        <v/>
      </c>
      <c r="J4699" s="0" t="str">
        <f aca="false">IF(I4699="","",IF(H4699-1&lt;הגדרות!$E$8*(הגדרות!$E$7+1),MOD(H4699-1,הגדרות!$E$7+1),MOD(H4699-1-הגדרות!$E$8*(הגדרות!$E$7+1),הגדרות!$E$7)))</f>
        <v/>
      </c>
      <c r="K4699" s="0" t="str">
        <f aca="false">IF(I4699="","",J4699*הגדרות!$E$6+I4699+1)</f>
        <v/>
      </c>
      <c r="L4699" s="0" t="str">
        <f aca="false">IF(K4699="","",MATCH(K4699,$F$2:$F$5001,0))</f>
        <v/>
      </c>
      <c r="M4699" s="0" t="str">
        <f aca="false">IF(I4699="","",INDEX(הגדרות!$A$2:$A$21,MOD(I4699+הגדרות!$E$9,הגדרות!$E$6)+1))</f>
        <v/>
      </c>
    </row>
    <row r="4700" customFormat="false" ht="15" hidden="false" customHeight="false" outlineLevel="0" collapsed="false">
      <c r="A4700" s="0" t="str">
        <f aca="false">IF('הדבקת לידים'!A4700="","",IF(ISNUMBER('הדבקת לידים'!A4700),IF(הגדרות!$E$2&gt;0,TEXT('הדבקת לידים'!A4700,REPT("0",הגדרות!$E$2)),TEXT('הדבקת לידים'!A4700,"0")),TRIM('הדבקת לידים'!A4700)))</f>
        <v/>
      </c>
      <c r="B4700" s="0" t="str">
        <f aca="false">IF('הדבקת לידים'!B4700="","",IF(ISNUMBER('הדבקת לידים'!B4700),IF(הגדרות!$E$3&gt;0,TEXT('הדבקת לידים'!B4700,REPT("0",הגדרות!$E$3)),TEXT('הדבקת לידים'!B4700,"0")),TRIM('הדבקת לידים'!B4700)))</f>
        <v/>
      </c>
      <c r="C4700" s="0" t="n">
        <f aca="false">IF(OR(A4700&lt;&gt;"",B4700&lt;&gt;""),1,0)</f>
        <v>0</v>
      </c>
      <c r="D4700" s="0" t="str">
        <f aca="false">IF(C4700=1,MOD(ABS(SIN(ROW()*12.9898+'הדבקת לידים'!$F$2*78.233+IFERROR(--RIGHT(A4700,6),LEN(A4700))*0.0137+IFERROR(--RIGHT(B4700,6),LEN(B4700))*0.0071))*43758.5453,1),"")</f>
        <v/>
      </c>
      <c r="E4700" s="0" t="str">
        <f aca="false">IF(C4700=1,INT(MOD(ABS(SIN(D4700*7919.123+ROW()*0.618+'הדבקת לידים'!$F$2*1.3))*43758.5453,1)*1000000)*10000+ROW(),"")</f>
        <v/>
      </c>
      <c r="F4700" s="0" t="str">
        <f aca="false">IF(E4700="","",RANK(E4700,$E$2:$E$5001,1))</f>
        <v/>
      </c>
      <c r="G4700" s="0" t="n">
        <f aca="false">IF(A4700="",0,IF(SUMPRODUCT(--($A$2:$A$5001=A4700))&gt;1,1,0))</f>
        <v>0</v>
      </c>
      <c r="H4700" s="0" t="n">
        <f aca="false">ROW()-1</f>
        <v>4699</v>
      </c>
      <c r="I4700" s="0" t="str">
        <f aca="false">IF(OR(הגדרות!$E$6=0,H4700&gt;הגדרות!$E$5),"",IF(H4700-1&lt;הגדרות!$E$8*(הגדרות!$E$7+1),INT((H4700-1)/(הגדרות!$E$7+1)),הגדרות!$E$8+INT((H4700-1-הגדרות!$E$8*(הגדרות!$E$7+1))/הגדרות!$E$7)))</f>
        <v/>
      </c>
      <c r="J4700" s="0" t="str">
        <f aca="false">IF(I4700="","",IF(H4700-1&lt;הגדרות!$E$8*(הגדרות!$E$7+1),MOD(H4700-1,הגדרות!$E$7+1),MOD(H4700-1-הגדרות!$E$8*(הגדרות!$E$7+1),הגדרות!$E$7)))</f>
        <v/>
      </c>
      <c r="K4700" s="0" t="str">
        <f aca="false">IF(I4700="","",J4700*הגדרות!$E$6+I4700+1)</f>
        <v/>
      </c>
      <c r="L4700" s="0" t="str">
        <f aca="false">IF(K4700="","",MATCH(K4700,$F$2:$F$5001,0))</f>
        <v/>
      </c>
      <c r="M4700" s="0" t="str">
        <f aca="false">IF(I4700="","",INDEX(הגדרות!$A$2:$A$21,MOD(I4700+הגדרות!$E$9,הגדרות!$E$6)+1))</f>
        <v/>
      </c>
    </row>
    <row r="4701" customFormat="false" ht="15" hidden="false" customHeight="false" outlineLevel="0" collapsed="false">
      <c r="A4701" s="0" t="str">
        <f aca="false">IF('הדבקת לידים'!A4701="","",IF(ISNUMBER('הדבקת לידים'!A4701),IF(הגדרות!$E$2&gt;0,TEXT('הדבקת לידים'!A4701,REPT("0",הגדרות!$E$2)),TEXT('הדבקת לידים'!A4701,"0")),TRIM('הדבקת לידים'!A4701)))</f>
        <v/>
      </c>
      <c r="B4701" s="0" t="str">
        <f aca="false">IF('הדבקת לידים'!B4701="","",IF(ISNUMBER('הדבקת לידים'!B4701),IF(הגדרות!$E$3&gt;0,TEXT('הדבקת לידים'!B4701,REPT("0",הגדרות!$E$3)),TEXT('הדבקת לידים'!B4701,"0")),TRIM('הדבקת לידים'!B4701)))</f>
        <v/>
      </c>
      <c r="C4701" s="0" t="n">
        <f aca="false">IF(OR(A4701&lt;&gt;"",B4701&lt;&gt;""),1,0)</f>
        <v>0</v>
      </c>
      <c r="D4701" s="0" t="str">
        <f aca="false">IF(C4701=1,MOD(ABS(SIN(ROW()*12.9898+'הדבקת לידים'!$F$2*78.233+IFERROR(--RIGHT(A4701,6),LEN(A4701))*0.0137+IFERROR(--RIGHT(B4701,6),LEN(B4701))*0.0071))*43758.5453,1),"")</f>
        <v/>
      </c>
      <c r="E4701" s="0" t="str">
        <f aca="false">IF(C4701=1,INT(MOD(ABS(SIN(D4701*7919.123+ROW()*0.618+'הדבקת לידים'!$F$2*1.3))*43758.5453,1)*1000000)*10000+ROW(),"")</f>
        <v/>
      </c>
      <c r="F4701" s="0" t="str">
        <f aca="false">IF(E4701="","",RANK(E4701,$E$2:$E$5001,1))</f>
        <v/>
      </c>
      <c r="G4701" s="0" t="n">
        <f aca="false">IF(A4701="",0,IF(SUMPRODUCT(--($A$2:$A$5001=A4701))&gt;1,1,0))</f>
        <v>0</v>
      </c>
      <c r="H4701" s="0" t="n">
        <f aca="false">ROW()-1</f>
        <v>4700</v>
      </c>
      <c r="I4701" s="0" t="str">
        <f aca="false">IF(OR(הגדרות!$E$6=0,H4701&gt;הגדרות!$E$5),"",IF(H4701-1&lt;הגדרות!$E$8*(הגדרות!$E$7+1),INT((H4701-1)/(הגדרות!$E$7+1)),הגדרות!$E$8+INT((H4701-1-הגדרות!$E$8*(הגדרות!$E$7+1))/הגדרות!$E$7)))</f>
        <v/>
      </c>
      <c r="J4701" s="0" t="str">
        <f aca="false">IF(I4701="","",IF(H4701-1&lt;הגדרות!$E$8*(הגדרות!$E$7+1),MOD(H4701-1,הגדרות!$E$7+1),MOD(H4701-1-הגדרות!$E$8*(הגדרות!$E$7+1),הגדרות!$E$7)))</f>
        <v/>
      </c>
      <c r="K4701" s="0" t="str">
        <f aca="false">IF(I4701="","",J4701*הגדרות!$E$6+I4701+1)</f>
        <v/>
      </c>
      <c r="L4701" s="0" t="str">
        <f aca="false">IF(K4701="","",MATCH(K4701,$F$2:$F$5001,0))</f>
        <v/>
      </c>
      <c r="M4701" s="0" t="str">
        <f aca="false">IF(I4701="","",INDEX(הגדרות!$A$2:$A$21,MOD(I4701+הגדרות!$E$9,הגדרות!$E$6)+1))</f>
        <v/>
      </c>
    </row>
    <row r="4702" customFormat="false" ht="15" hidden="false" customHeight="false" outlineLevel="0" collapsed="false">
      <c r="A4702" s="0" t="str">
        <f aca="false">IF('הדבקת לידים'!A4702="","",IF(ISNUMBER('הדבקת לידים'!A4702),IF(הגדרות!$E$2&gt;0,TEXT('הדבקת לידים'!A4702,REPT("0",הגדרות!$E$2)),TEXT('הדבקת לידים'!A4702,"0")),TRIM('הדבקת לידים'!A4702)))</f>
        <v/>
      </c>
      <c r="B4702" s="0" t="str">
        <f aca="false">IF('הדבקת לידים'!B4702="","",IF(ISNUMBER('הדבקת לידים'!B4702),IF(הגדרות!$E$3&gt;0,TEXT('הדבקת לידים'!B4702,REPT("0",הגדרות!$E$3)),TEXT('הדבקת לידים'!B4702,"0")),TRIM('הדבקת לידים'!B4702)))</f>
        <v/>
      </c>
      <c r="C4702" s="0" t="n">
        <f aca="false">IF(OR(A4702&lt;&gt;"",B4702&lt;&gt;""),1,0)</f>
        <v>0</v>
      </c>
      <c r="D4702" s="0" t="str">
        <f aca="false">IF(C4702=1,MOD(ABS(SIN(ROW()*12.9898+'הדבקת לידים'!$F$2*78.233+IFERROR(--RIGHT(A4702,6),LEN(A4702))*0.0137+IFERROR(--RIGHT(B4702,6),LEN(B4702))*0.0071))*43758.5453,1),"")</f>
        <v/>
      </c>
      <c r="E4702" s="0" t="str">
        <f aca="false">IF(C4702=1,INT(MOD(ABS(SIN(D4702*7919.123+ROW()*0.618+'הדבקת לידים'!$F$2*1.3))*43758.5453,1)*1000000)*10000+ROW(),"")</f>
        <v/>
      </c>
      <c r="F4702" s="0" t="str">
        <f aca="false">IF(E4702="","",RANK(E4702,$E$2:$E$5001,1))</f>
        <v/>
      </c>
      <c r="G4702" s="0" t="n">
        <f aca="false">IF(A4702="",0,IF(SUMPRODUCT(--($A$2:$A$5001=A4702))&gt;1,1,0))</f>
        <v>0</v>
      </c>
      <c r="H4702" s="0" t="n">
        <f aca="false">ROW()-1</f>
        <v>4701</v>
      </c>
      <c r="I4702" s="0" t="str">
        <f aca="false">IF(OR(הגדרות!$E$6=0,H4702&gt;הגדרות!$E$5),"",IF(H4702-1&lt;הגדרות!$E$8*(הגדרות!$E$7+1),INT((H4702-1)/(הגדרות!$E$7+1)),הגדרות!$E$8+INT((H4702-1-הגדרות!$E$8*(הגדרות!$E$7+1))/הגדרות!$E$7)))</f>
        <v/>
      </c>
      <c r="J4702" s="0" t="str">
        <f aca="false">IF(I4702="","",IF(H4702-1&lt;הגדרות!$E$8*(הגדרות!$E$7+1),MOD(H4702-1,הגדרות!$E$7+1),MOD(H4702-1-הגדרות!$E$8*(הגדרות!$E$7+1),הגדרות!$E$7)))</f>
        <v/>
      </c>
      <c r="K4702" s="0" t="str">
        <f aca="false">IF(I4702="","",J4702*הגדרות!$E$6+I4702+1)</f>
        <v/>
      </c>
      <c r="L4702" s="0" t="str">
        <f aca="false">IF(K4702="","",MATCH(K4702,$F$2:$F$5001,0))</f>
        <v/>
      </c>
      <c r="M4702" s="0" t="str">
        <f aca="false">IF(I4702="","",INDEX(הגדרות!$A$2:$A$21,MOD(I4702+הגדרות!$E$9,הגדרות!$E$6)+1))</f>
        <v/>
      </c>
    </row>
    <row r="4703" customFormat="false" ht="15" hidden="false" customHeight="false" outlineLevel="0" collapsed="false">
      <c r="A4703" s="0" t="str">
        <f aca="false">IF('הדבקת לידים'!A4703="","",IF(ISNUMBER('הדבקת לידים'!A4703),IF(הגדרות!$E$2&gt;0,TEXT('הדבקת לידים'!A4703,REPT("0",הגדרות!$E$2)),TEXT('הדבקת לידים'!A4703,"0")),TRIM('הדבקת לידים'!A4703)))</f>
        <v/>
      </c>
      <c r="B4703" s="0" t="str">
        <f aca="false">IF('הדבקת לידים'!B4703="","",IF(ISNUMBER('הדבקת לידים'!B4703),IF(הגדרות!$E$3&gt;0,TEXT('הדבקת לידים'!B4703,REPT("0",הגדרות!$E$3)),TEXT('הדבקת לידים'!B4703,"0")),TRIM('הדבקת לידים'!B4703)))</f>
        <v/>
      </c>
      <c r="C4703" s="0" t="n">
        <f aca="false">IF(OR(A4703&lt;&gt;"",B4703&lt;&gt;""),1,0)</f>
        <v>0</v>
      </c>
      <c r="D4703" s="0" t="str">
        <f aca="false">IF(C4703=1,MOD(ABS(SIN(ROW()*12.9898+'הדבקת לידים'!$F$2*78.233+IFERROR(--RIGHT(A4703,6),LEN(A4703))*0.0137+IFERROR(--RIGHT(B4703,6),LEN(B4703))*0.0071))*43758.5453,1),"")</f>
        <v/>
      </c>
      <c r="E4703" s="0" t="str">
        <f aca="false">IF(C4703=1,INT(MOD(ABS(SIN(D4703*7919.123+ROW()*0.618+'הדבקת לידים'!$F$2*1.3))*43758.5453,1)*1000000)*10000+ROW(),"")</f>
        <v/>
      </c>
      <c r="F4703" s="0" t="str">
        <f aca="false">IF(E4703="","",RANK(E4703,$E$2:$E$5001,1))</f>
        <v/>
      </c>
      <c r="G4703" s="0" t="n">
        <f aca="false">IF(A4703="",0,IF(SUMPRODUCT(--($A$2:$A$5001=A4703))&gt;1,1,0))</f>
        <v>0</v>
      </c>
      <c r="H4703" s="0" t="n">
        <f aca="false">ROW()-1</f>
        <v>4702</v>
      </c>
      <c r="I4703" s="0" t="str">
        <f aca="false">IF(OR(הגדרות!$E$6=0,H4703&gt;הגדרות!$E$5),"",IF(H4703-1&lt;הגדרות!$E$8*(הגדרות!$E$7+1),INT((H4703-1)/(הגדרות!$E$7+1)),הגדרות!$E$8+INT((H4703-1-הגדרות!$E$8*(הגדרות!$E$7+1))/הגדרות!$E$7)))</f>
        <v/>
      </c>
      <c r="J4703" s="0" t="str">
        <f aca="false">IF(I4703="","",IF(H4703-1&lt;הגדרות!$E$8*(הגדרות!$E$7+1),MOD(H4703-1,הגדרות!$E$7+1),MOD(H4703-1-הגדרות!$E$8*(הגדרות!$E$7+1),הגדרות!$E$7)))</f>
        <v/>
      </c>
      <c r="K4703" s="0" t="str">
        <f aca="false">IF(I4703="","",J4703*הגדרות!$E$6+I4703+1)</f>
        <v/>
      </c>
      <c r="L4703" s="0" t="str">
        <f aca="false">IF(K4703="","",MATCH(K4703,$F$2:$F$5001,0))</f>
        <v/>
      </c>
      <c r="M4703" s="0" t="str">
        <f aca="false">IF(I4703="","",INDEX(הגדרות!$A$2:$A$21,MOD(I4703+הגדרות!$E$9,הגדרות!$E$6)+1))</f>
        <v/>
      </c>
    </row>
    <row r="4704" customFormat="false" ht="15" hidden="false" customHeight="false" outlineLevel="0" collapsed="false">
      <c r="A4704" s="0" t="str">
        <f aca="false">IF('הדבקת לידים'!A4704="","",IF(ISNUMBER('הדבקת לידים'!A4704),IF(הגדרות!$E$2&gt;0,TEXT('הדבקת לידים'!A4704,REPT("0",הגדרות!$E$2)),TEXT('הדבקת לידים'!A4704,"0")),TRIM('הדבקת לידים'!A4704)))</f>
        <v/>
      </c>
      <c r="B4704" s="0" t="str">
        <f aca="false">IF('הדבקת לידים'!B4704="","",IF(ISNUMBER('הדבקת לידים'!B4704),IF(הגדרות!$E$3&gt;0,TEXT('הדבקת לידים'!B4704,REPT("0",הגדרות!$E$3)),TEXT('הדבקת לידים'!B4704,"0")),TRIM('הדבקת לידים'!B4704)))</f>
        <v/>
      </c>
      <c r="C4704" s="0" t="n">
        <f aca="false">IF(OR(A4704&lt;&gt;"",B4704&lt;&gt;""),1,0)</f>
        <v>0</v>
      </c>
      <c r="D4704" s="0" t="str">
        <f aca="false">IF(C4704=1,MOD(ABS(SIN(ROW()*12.9898+'הדבקת לידים'!$F$2*78.233+IFERROR(--RIGHT(A4704,6),LEN(A4704))*0.0137+IFERROR(--RIGHT(B4704,6),LEN(B4704))*0.0071))*43758.5453,1),"")</f>
        <v/>
      </c>
      <c r="E4704" s="0" t="str">
        <f aca="false">IF(C4704=1,INT(MOD(ABS(SIN(D4704*7919.123+ROW()*0.618+'הדבקת לידים'!$F$2*1.3))*43758.5453,1)*1000000)*10000+ROW(),"")</f>
        <v/>
      </c>
      <c r="F4704" s="0" t="str">
        <f aca="false">IF(E4704="","",RANK(E4704,$E$2:$E$5001,1))</f>
        <v/>
      </c>
      <c r="G4704" s="0" t="n">
        <f aca="false">IF(A4704="",0,IF(SUMPRODUCT(--($A$2:$A$5001=A4704))&gt;1,1,0))</f>
        <v>0</v>
      </c>
      <c r="H4704" s="0" t="n">
        <f aca="false">ROW()-1</f>
        <v>4703</v>
      </c>
      <c r="I4704" s="0" t="str">
        <f aca="false">IF(OR(הגדרות!$E$6=0,H4704&gt;הגדרות!$E$5),"",IF(H4704-1&lt;הגדרות!$E$8*(הגדרות!$E$7+1),INT((H4704-1)/(הגדרות!$E$7+1)),הגדרות!$E$8+INT((H4704-1-הגדרות!$E$8*(הגדרות!$E$7+1))/הגדרות!$E$7)))</f>
        <v/>
      </c>
      <c r="J4704" s="0" t="str">
        <f aca="false">IF(I4704="","",IF(H4704-1&lt;הגדרות!$E$8*(הגדרות!$E$7+1),MOD(H4704-1,הגדרות!$E$7+1),MOD(H4704-1-הגדרות!$E$8*(הגדרות!$E$7+1),הגדרות!$E$7)))</f>
        <v/>
      </c>
      <c r="K4704" s="0" t="str">
        <f aca="false">IF(I4704="","",J4704*הגדרות!$E$6+I4704+1)</f>
        <v/>
      </c>
      <c r="L4704" s="0" t="str">
        <f aca="false">IF(K4704="","",MATCH(K4704,$F$2:$F$5001,0))</f>
        <v/>
      </c>
      <c r="M4704" s="0" t="str">
        <f aca="false">IF(I4704="","",INDEX(הגדרות!$A$2:$A$21,MOD(I4704+הגדרות!$E$9,הגדרות!$E$6)+1))</f>
        <v/>
      </c>
    </row>
    <row r="4705" customFormat="false" ht="15" hidden="false" customHeight="false" outlineLevel="0" collapsed="false">
      <c r="A4705" s="0" t="str">
        <f aca="false">IF('הדבקת לידים'!A4705="","",IF(ISNUMBER('הדבקת לידים'!A4705),IF(הגדרות!$E$2&gt;0,TEXT('הדבקת לידים'!A4705,REPT("0",הגדרות!$E$2)),TEXT('הדבקת לידים'!A4705,"0")),TRIM('הדבקת לידים'!A4705)))</f>
        <v/>
      </c>
      <c r="B4705" s="0" t="str">
        <f aca="false">IF('הדבקת לידים'!B4705="","",IF(ISNUMBER('הדבקת לידים'!B4705),IF(הגדרות!$E$3&gt;0,TEXT('הדבקת לידים'!B4705,REPT("0",הגדרות!$E$3)),TEXT('הדבקת לידים'!B4705,"0")),TRIM('הדבקת לידים'!B4705)))</f>
        <v/>
      </c>
      <c r="C4705" s="0" t="n">
        <f aca="false">IF(OR(A4705&lt;&gt;"",B4705&lt;&gt;""),1,0)</f>
        <v>0</v>
      </c>
      <c r="D4705" s="0" t="str">
        <f aca="false">IF(C4705=1,MOD(ABS(SIN(ROW()*12.9898+'הדבקת לידים'!$F$2*78.233+IFERROR(--RIGHT(A4705,6),LEN(A4705))*0.0137+IFERROR(--RIGHT(B4705,6),LEN(B4705))*0.0071))*43758.5453,1),"")</f>
        <v/>
      </c>
      <c r="E4705" s="0" t="str">
        <f aca="false">IF(C4705=1,INT(MOD(ABS(SIN(D4705*7919.123+ROW()*0.618+'הדבקת לידים'!$F$2*1.3))*43758.5453,1)*1000000)*10000+ROW(),"")</f>
        <v/>
      </c>
      <c r="F4705" s="0" t="str">
        <f aca="false">IF(E4705="","",RANK(E4705,$E$2:$E$5001,1))</f>
        <v/>
      </c>
      <c r="G4705" s="0" t="n">
        <f aca="false">IF(A4705="",0,IF(SUMPRODUCT(--($A$2:$A$5001=A4705))&gt;1,1,0))</f>
        <v>0</v>
      </c>
      <c r="H4705" s="0" t="n">
        <f aca="false">ROW()-1</f>
        <v>4704</v>
      </c>
      <c r="I4705" s="0" t="str">
        <f aca="false">IF(OR(הגדרות!$E$6=0,H4705&gt;הגדרות!$E$5),"",IF(H4705-1&lt;הגדרות!$E$8*(הגדרות!$E$7+1),INT((H4705-1)/(הגדרות!$E$7+1)),הגדרות!$E$8+INT((H4705-1-הגדרות!$E$8*(הגדרות!$E$7+1))/הגדרות!$E$7)))</f>
        <v/>
      </c>
      <c r="J4705" s="0" t="str">
        <f aca="false">IF(I4705="","",IF(H4705-1&lt;הגדרות!$E$8*(הגדרות!$E$7+1),MOD(H4705-1,הגדרות!$E$7+1),MOD(H4705-1-הגדרות!$E$8*(הגדרות!$E$7+1),הגדרות!$E$7)))</f>
        <v/>
      </c>
      <c r="K4705" s="0" t="str">
        <f aca="false">IF(I4705="","",J4705*הגדרות!$E$6+I4705+1)</f>
        <v/>
      </c>
      <c r="L4705" s="0" t="str">
        <f aca="false">IF(K4705="","",MATCH(K4705,$F$2:$F$5001,0))</f>
        <v/>
      </c>
      <c r="M4705" s="0" t="str">
        <f aca="false">IF(I4705="","",INDEX(הגדרות!$A$2:$A$21,MOD(I4705+הגדרות!$E$9,הגדרות!$E$6)+1))</f>
        <v/>
      </c>
    </row>
    <row r="4706" customFormat="false" ht="15" hidden="false" customHeight="false" outlineLevel="0" collapsed="false">
      <c r="A4706" s="0" t="str">
        <f aca="false">IF('הדבקת לידים'!A4706="","",IF(ISNUMBER('הדבקת לידים'!A4706),IF(הגדרות!$E$2&gt;0,TEXT('הדבקת לידים'!A4706,REPT("0",הגדרות!$E$2)),TEXT('הדבקת לידים'!A4706,"0")),TRIM('הדבקת לידים'!A4706)))</f>
        <v/>
      </c>
      <c r="B4706" s="0" t="str">
        <f aca="false">IF('הדבקת לידים'!B4706="","",IF(ISNUMBER('הדבקת לידים'!B4706),IF(הגדרות!$E$3&gt;0,TEXT('הדבקת לידים'!B4706,REPT("0",הגדרות!$E$3)),TEXT('הדבקת לידים'!B4706,"0")),TRIM('הדבקת לידים'!B4706)))</f>
        <v/>
      </c>
      <c r="C4706" s="0" t="n">
        <f aca="false">IF(OR(A4706&lt;&gt;"",B4706&lt;&gt;""),1,0)</f>
        <v>0</v>
      </c>
      <c r="D4706" s="0" t="str">
        <f aca="false">IF(C4706=1,MOD(ABS(SIN(ROW()*12.9898+'הדבקת לידים'!$F$2*78.233+IFERROR(--RIGHT(A4706,6),LEN(A4706))*0.0137+IFERROR(--RIGHT(B4706,6),LEN(B4706))*0.0071))*43758.5453,1),"")</f>
        <v/>
      </c>
      <c r="E4706" s="0" t="str">
        <f aca="false">IF(C4706=1,INT(MOD(ABS(SIN(D4706*7919.123+ROW()*0.618+'הדבקת לידים'!$F$2*1.3))*43758.5453,1)*1000000)*10000+ROW(),"")</f>
        <v/>
      </c>
      <c r="F4706" s="0" t="str">
        <f aca="false">IF(E4706="","",RANK(E4706,$E$2:$E$5001,1))</f>
        <v/>
      </c>
      <c r="G4706" s="0" t="n">
        <f aca="false">IF(A4706="",0,IF(SUMPRODUCT(--($A$2:$A$5001=A4706))&gt;1,1,0))</f>
        <v>0</v>
      </c>
      <c r="H4706" s="0" t="n">
        <f aca="false">ROW()-1</f>
        <v>4705</v>
      </c>
      <c r="I4706" s="0" t="str">
        <f aca="false">IF(OR(הגדרות!$E$6=0,H4706&gt;הגדרות!$E$5),"",IF(H4706-1&lt;הגדרות!$E$8*(הגדרות!$E$7+1),INT((H4706-1)/(הגדרות!$E$7+1)),הגדרות!$E$8+INT((H4706-1-הגדרות!$E$8*(הגדרות!$E$7+1))/הגדרות!$E$7)))</f>
        <v/>
      </c>
      <c r="J4706" s="0" t="str">
        <f aca="false">IF(I4706="","",IF(H4706-1&lt;הגדרות!$E$8*(הגדרות!$E$7+1),MOD(H4706-1,הגדרות!$E$7+1),MOD(H4706-1-הגדרות!$E$8*(הגדרות!$E$7+1),הגדרות!$E$7)))</f>
        <v/>
      </c>
      <c r="K4706" s="0" t="str">
        <f aca="false">IF(I4706="","",J4706*הגדרות!$E$6+I4706+1)</f>
        <v/>
      </c>
      <c r="L4706" s="0" t="str">
        <f aca="false">IF(K4706="","",MATCH(K4706,$F$2:$F$5001,0))</f>
        <v/>
      </c>
      <c r="M4706" s="0" t="str">
        <f aca="false">IF(I4706="","",INDEX(הגדרות!$A$2:$A$21,MOD(I4706+הגדרות!$E$9,הגדרות!$E$6)+1))</f>
        <v/>
      </c>
    </row>
    <row r="4707" customFormat="false" ht="15" hidden="false" customHeight="false" outlineLevel="0" collapsed="false">
      <c r="A4707" s="0" t="str">
        <f aca="false">IF('הדבקת לידים'!A4707="","",IF(ISNUMBER('הדבקת לידים'!A4707),IF(הגדרות!$E$2&gt;0,TEXT('הדבקת לידים'!A4707,REPT("0",הגדרות!$E$2)),TEXT('הדבקת לידים'!A4707,"0")),TRIM('הדבקת לידים'!A4707)))</f>
        <v/>
      </c>
      <c r="B4707" s="0" t="str">
        <f aca="false">IF('הדבקת לידים'!B4707="","",IF(ISNUMBER('הדבקת לידים'!B4707),IF(הגדרות!$E$3&gt;0,TEXT('הדבקת לידים'!B4707,REPT("0",הגדרות!$E$3)),TEXT('הדבקת לידים'!B4707,"0")),TRIM('הדבקת לידים'!B4707)))</f>
        <v/>
      </c>
      <c r="C4707" s="0" t="n">
        <f aca="false">IF(OR(A4707&lt;&gt;"",B4707&lt;&gt;""),1,0)</f>
        <v>0</v>
      </c>
      <c r="D4707" s="0" t="str">
        <f aca="false">IF(C4707=1,MOD(ABS(SIN(ROW()*12.9898+'הדבקת לידים'!$F$2*78.233+IFERROR(--RIGHT(A4707,6),LEN(A4707))*0.0137+IFERROR(--RIGHT(B4707,6),LEN(B4707))*0.0071))*43758.5453,1),"")</f>
        <v/>
      </c>
      <c r="E4707" s="0" t="str">
        <f aca="false">IF(C4707=1,INT(MOD(ABS(SIN(D4707*7919.123+ROW()*0.618+'הדבקת לידים'!$F$2*1.3))*43758.5453,1)*1000000)*10000+ROW(),"")</f>
        <v/>
      </c>
      <c r="F4707" s="0" t="str">
        <f aca="false">IF(E4707="","",RANK(E4707,$E$2:$E$5001,1))</f>
        <v/>
      </c>
      <c r="G4707" s="0" t="n">
        <f aca="false">IF(A4707="",0,IF(SUMPRODUCT(--($A$2:$A$5001=A4707))&gt;1,1,0))</f>
        <v>0</v>
      </c>
      <c r="H4707" s="0" t="n">
        <f aca="false">ROW()-1</f>
        <v>4706</v>
      </c>
      <c r="I4707" s="0" t="str">
        <f aca="false">IF(OR(הגדרות!$E$6=0,H4707&gt;הגדרות!$E$5),"",IF(H4707-1&lt;הגדרות!$E$8*(הגדרות!$E$7+1),INT((H4707-1)/(הגדרות!$E$7+1)),הגדרות!$E$8+INT((H4707-1-הגדרות!$E$8*(הגדרות!$E$7+1))/הגדרות!$E$7)))</f>
        <v/>
      </c>
      <c r="J4707" s="0" t="str">
        <f aca="false">IF(I4707="","",IF(H4707-1&lt;הגדרות!$E$8*(הגדרות!$E$7+1),MOD(H4707-1,הגדרות!$E$7+1),MOD(H4707-1-הגדרות!$E$8*(הגדרות!$E$7+1),הגדרות!$E$7)))</f>
        <v/>
      </c>
      <c r="K4707" s="0" t="str">
        <f aca="false">IF(I4707="","",J4707*הגדרות!$E$6+I4707+1)</f>
        <v/>
      </c>
      <c r="L4707" s="0" t="str">
        <f aca="false">IF(K4707="","",MATCH(K4707,$F$2:$F$5001,0))</f>
        <v/>
      </c>
      <c r="M4707" s="0" t="str">
        <f aca="false">IF(I4707="","",INDEX(הגדרות!$A$2:$A$21,MOD(I4707+הגדרות!$E$9,הגדרות!$E$6)+1))</f>
        <v/>
      </c>
    </row>
    <row r="4708" customFormat="false" ht="15" hidden="false" customHeight="false" outlineLevel="0" collapsed="false">
      <c r="A4708" s="0" t="str">
        <f aca="false">IF('הדבקת לידים'!A4708="","",IF(ISNUMBER('הדבקת לידים'!A4708),IF(הגדרות!$E$2&gt;0,TEXT('הדבקת לידים'!A4708,REPT("0",הגדרות!$E$2)),TEXT('הדבקת לידים'!A4708,"0")),TRIM('הדבקת לידים'!A4708)))</f>
        <v/>
      </c>
      <c r="B4708" s="0" t="str">
        <f aca="false">IF('הדבקת לידים'!B4708="","",IF(ISNUMBER('הדבקת לידים'!B4708),IF(הגדרות!$E$3&gt;0,TEXT('הדבקת לידים'!B4708,REPT("0",הגדרות!$E$3)),TEXT('הדבקת לידים'!B4708,"0")),TRIM('הדבקת לידים'!B4708)))</f>
        <v/>
      </c>
      <c r="C4708" s="0" t="n">
        <f aca="false">IF(OR(A4708&lt;&gt;"",B4708&lt;&gt;""),1,0)</f>
        <v>0</v>
      </c>
      <c r="D4708" s="0" t="str">
        <f aca="false">IF(C4708=1,MOD(ABS(SIN(ROW()*12.9898+'הדבקת לידים'!$F$2*78.233+IFERROR(--RIGHT(A4708,6),LEN(A4708))*0.0137+IFERROR(--RIGHT(B4708,6),LEN(B4708))*0.0071))*43758.5453,1),"")</f>
        <v/>
      </c>
      <c r="E4708" s="0" t="str">
        <f aca="false">IF(C4708=1,INT(MOD(ABS(SIN(D4708*7919.123+ROW()*0.618+'הדבקת לידים'!$F$2*1.3))*43758.5453,1)*1000000)*10000+ROW(),"")</f>
        <v/>
      </c>
      <c r="F4708" s="0" t="str">
        <f aca="false">IF(E4708="","",RANK(E4708,$E$2:$E$5001,1))</f>
        <v/>
      </c>
      <c r="G4708" s="0" t="n">
        <f aca="false">IF(A4708="",0,IF(SUMPRODUCT(--($A$2:$A$5001=A4708))&gt;1,1,0))</f>
        <v>0</v>
      </c>
      <c r="H4708" s="0" t="n">
        <f aca="false">ROW()-1</f>
        <v>4707</v>
      </c>
      <c r="I4708" s="0" t="str">
        <f aca="false">IF(OR(הגדרות!$E$6=0,H4708&gt;הגדרות!$E$5),"",IF(H4708-1&lt;הגדרות!$E$8*(הגדרות!$E$7+1),INT((H4708-1)/(הגדרות!$E$7+1)),הגדרות!$E$8+INT((H4708-1-הגדרות!$E$8*(הגדרות!$E$7+1))/הגדרות!$E$7)))</f>
        <v/>
      </c>
      <c r="J4708" s="0" t="str">
        <f aca="false">IF(I4708="","",IF(H4708-1&lt;הגדרות!$E$8*(הגדרות!$E$7+1),MOD(H4708-1,הגדרות!$E$7+1),MOD(H4708-1-הגדרות!$E$8*(הגדרות!$E$7+1),הגדרות!$E$7)))</f>
        <v/>
      </c>
      <c r="K4708" s="0" t="str">
        <f aca="false">IF(I4708="","",J4708*הגדרות!$E$6+I4708+1)</f>
        <v/>
      </c>
      <c r="L4708" s="0" t="str">
        <f aca="false">IF(K4708="","",MATCH(K4708,$F$2:$F$5001,0))</f>
        <v/>
      </c>
      <c r="M4708" s="0" t="str">
        <f aca="false">IF(I4708="","",INDEX(הגדרות!$A$2:$A$21,MOD(I4708+הגדרות!$E$9,הגדרות!$E$6)+1))</f>
        <v/>
      </c>
    </row>
    <row r="4709" customFormat="false" ht="15" hidden="false" customHeight="false" outlineLevel="0" collapsed="false">
      <c r="A4709" s="0" t="str">
        <f aca="false">IF('הדבקת לידים'!A4709="","",IF(ISNUMBER('הדבקת לידים'!A4709),IF(הגדרות!$E$2&gt;0,TEXT('הדבקת לידים'!A4709,REPT("0",הגדרות!$E$2)),TEXT('הדבקת לידים'!A4709,"0")),TRIM('הדבקת לידים'!A4709)))</f>
        <v/>
      </c>
      <c r="B4709" s="0" t="str">
        <f aca="false">IF('הדבקת לידים'!B4709="","",IF(ISNUMBER('הדבקת לידים'!B4709),IF(הגדרות!$E$3&gt;0,TEXT('הדבקת לידים'!B4709,REPT("0",הגדרות!$E$3)),TEXT('הדבקת לידים'!B4709,"0")),TRIM('הדבקת לידים'!B4709)))</f>
        <v/>
      </c>
      <c r="C4709" s="0" t="n">
        <f aca="false">IF(OR(A4709&lt;&gt;"",B4709&lt;&gt;""),1,0)</f>
        <v>0</v>
      </c>
      <c r="D4709" s="0" t="str">
        <f aca="false">IF(C4709=1,MOD(ABS(SIN(ROW()*12.9898+'הדבקת לידים'!$F$2*78.233+IFERROR(--RIGHT(A4709,6),LEN(A4709))*0.0137+IFERROR(--RIGHT(B4709,6),LEN(B4709))*0.0071))*43758.5453,1),"")</f>
        <v/>
      </c>
      <c r="E4709" s="0" t="str">
        <f aca="false">IF(C4709=1,INT(MOD(ABS(SIN(D4709*7919.123+ROW()*0.618+'הדבקת לידים'!$F$2*1.3))*43758.5453,1)*1000000)*10000+ROW(),"")</f>
        <v/>
      </c>
      <c r="F4709" s="0" t="str">
        <f aca="false">IF(E4709="","",RANK(E4709,$E$2:$E$5001,1))</f>
        <v/>
      </c>
      <c r="G4709" s="0" t="n">
        <f aca="false">IF(A4709="",0,IF(SUMPRODUCT(--($A$2:$A$5001=A4709))&gt;1,1,0))</f>
        <v>0</v>
      </c>
      <c r="H4709" s="0" t="n">
        <f aca="false">ROW()-1</f>
        <v>4708</v>
      </c>
      <c r="I4709" s="0" t="str">
        <f aca="false">IF(OR(הגדרות!$E$6=0,H4709&gt;הגדרות!$E$5),"",IF(H4709-1&lt;הגדרות!$E$8*(הגדרות!$E$7+1),INT((H4709-1)/(הגדרות!$E$7+1)),הגדרות!$E$8+INT((H4709-1-הגדרות!$E$8*(הגדרות!$E$7+1))/הגדרות!$E$7)))</f>
        <v/>
      </c>
      <c r="J4709" s="0" t="str">
        <f aca="false">IF(I4709="","",IF(H4709-1&lt;הגדרות!$E$8*(הגדרות!$E$7+1),MOD(H4709-1,הגדרות!$E$7+1),MOD(H4709-1-הגדרות!$E$8*(הגדרות!$E$7+1),הגדרות!$E$7)))</f>
        <v/>
      </c>
      <c r="K4709" s="0" t="str">
        <f aca="false">IF(I4709="","",J4709*הגדרות!$E$6+I4709+1)</f>
        <v/>
      </c>
      <c r="L4709" s="0" t="str">
        <f aca="false">IF(K4709="","",MATCH(K4709,$F$2:$F$5001,0))</f>
        <v/>
      </c>
      <c r="M4709" s="0" t="str">
        <f aca="false">IF(I4709="","",INDEX(הגדרות!$A$2:$A$21,MOD(I4709+הגדרות!$E$9,הגדרות!$E$6)+1))</f>
        <v/>
      </c>
    </row>
    <row r="4710" customFormat="false" ht="15" hidden="false" customHeight="false" outlineLevel="0" collapsed="false">
      <c r="A4710" s="0" t="str">
        <f aca="false">IF('הדבקת לידים'!A4710="","",IF(ISNUMBER('הדבקת לידים'!A4710),IF(הגדרות!$E$2&gt;0,TEXT('הדבקת לידים'!A4710,REPT("0",הגדרות!$E$2)),TEXT('הדבקת לידים'!A4710,"0")),TRIM('הדבקת לידים'!A4710)))</f>
        <v/>
      </c>
      <c r="B4710" s="0" t="str">
        <f aca="false">IF('הדבקת לידים'!B4710="","",IF(ISNUMBER('הדבקת לידים'!B4710),IF(הגדרות!$E$3&gt;0,TEXT('הדבקת לידים'!B4710,REPT("0",הגדרות!$E$3)),TEXT('הדבקת לידים'!B4710,"0")),TRIM('הדבקת לידים'!B4710)))</f>
        <v/>
      </c>
      <c r="C4710" s="0" t="n">
        <f aca="false">IF(OR(A4710&lt;&gt;"",B4710&lt;&gt;""),1,0)</f>
        <v>0</v>
      </c>
      <c r="D4710" s="0" t="str">
        <f aca="false">IF(C4710=1,MOD(ABS(SIN(ROW()*12.9898+'הדבקת לידים'!$F$2*78.233+IFERROR(--RIGHT(A4710,6),LEN(A4710))*0.0137+IFERROR(--RIGHT(B4710,6),LEN(B4710))*0.0071))*43758.5453,1),"")</f>
        <v/>
      </c>
      <c r="E4710" s="0" t="str">
        <f aca="false">IF(C4710=1,INT(MOD(ABS(SIN(D4710*7919.123+ROW()*0.618+'הדבקת לידים'!$F$2*1.3))*43758.5453,1)*1000000)*10000+ROW(),"")</f>
        <v/>
      </c>
      <c r="F4710" s="0" t="str">
        <f aca="false">IF(E4710="","",RANK(E4710,$E$2:$E$5001,1))</f>
        <v/>
      </c>
      <c r="G4710" s="0" t="n">
        <f aca="false">IF(A4710="",0,IF(SUMPRODUCT(--($A$2:$A$5001=A4710))&gt;1,1,0))</f>
        <v>0</v>
      </c>
      <c r="H4710" s="0" t="n">
        <f aca="false">ROW()-1</f>
        <v>4709</v>
      </c>
      <c r="I4710" s="0" t="str">
        <f aca="false">IF(OR(הגדרות!$E$6=0,H4710&gt;הגדרות!$E$5),"",IF(H4710-1&lt;הגדרות!$E$8*(הגדרות!$E$7+1),INT((H4710-1)/(הגדרות!$E$7+1)),הגדרות!$E$8+INT((H4710-1-הגדרות!$E$8*(הגדרות!$E$7+1))/הגדרות!$E$7)))</f>
        <v/>
      </c>
      <c r="J4710" s="0" t="str">
        <f aca="false">IF(I4710="","",IF(H4710-1&lt;הגדרות!$E$8*(הגדרות!$E$7+1),MOD(H4710-1,הגדרות!$E$7+1),MOD(H4710-1-הגדרות!$E$8*(הגדרות!$E$7+1),הגדרות!$E$7)))</f>
        <v/>
      </c>
      <c r="K4710" s="0" t="str">
        <f aca="false">IF(I4710="","",J4710*הגדרות!$E$6+I4710+1)</f>
        <v/>
      </c>
      <c r="L4710" s="0" t="str">
        <f aca="false">IF(K4710="","",MATCH(K4710,$F$2:$F$5001,0))</f>
        <v/>
      </c>
      <c r="M4710" s="0" t="str">
        <f aca="false">IF(I4710="","",INDEX(הגדרות!$A$2:$A$21,MOD(I4710+הגדרות!$E$9,הגדרות!$E$6)+1))</f>
        <v/>
      </c>
    </row>
    <row r="4711" customFormat="false" ht="15" hidden="false" customHeight="false" outlineLevel="0" collapsed="false">
      <c r="A4711" s="0" t="str">
        <f aca="false">IF('הדבקת לידים'!A4711="","",IF(ISNUMBER('הדבקת לידים'!A4711),IF(הגדרות!$E$2&gt;0,TEXT('הדבקת לידים'!A4711,REPT("0",הגדרות!$E$2)),TEXT('הדבקת לידים'!A4711,"0")),TRIM('הדבקת לידים'!A4711)))</f>
        <v/>
      </c>
      <c r="B4711" s="0" t="str">
        <f aca="false">IF('הדבקת לידים'!B4711="","",IF(ISNUMBER('הדבקת לידים'!B4711),IF(הגדרות!$E$3&gt;0,TEXT('הדבקת לידים'!B4711,REPT("0",הגדרות!$E$3)),TEXT('הדבקת לידים'!B4711,"0")),TRIM('הדבקת לידים'!B4711)))</f>
        <v/>
      </c>
      <c r="C4711" s="0" t="n">
        <f aca="false">IF(OR(A4711&lt;&gt;"",B4711&lt;&gt;""),1,0)</f>
        <v>0</v>
      </c>
      <c r="D4711" s="0" t="str">
        <f aca="false">IF(C4711=1,MOD(ABS(SIN(ROW()*12.9898+'הדבקת לידים'!$F$2*78.233+IFERROR(--RIGHT(A4711,6),LEN(A4711))*0.0137+IFERROR(--RIGHT(B4711,6),LEN(B4711))*0.0071))*43758.5453,1),"")</f>
        <v/>
      </c>
      <c r="E4711" s="0" t="str">
        <f aca="false">IF(C4711=1,INT(MOD(ABS(SIN(D4711*7919.123+ROW()*0.618+'הדבקת לידים'!$F$2*1.3))*43758.5453,1)*1000000)*10000+ROW(),"")</f>
        <v/>
      </c>
      <c r="F4711" s="0" t="str">
        <f aca="false">IF(E4711="","",RANK(E4711,$E$2:$E$5001,1))</f>
        <v/>
      </c>
      <c r="G4711" s="0" t="n">
        <f aca="false">IF(A4711="",0,IF(SUMPRODUCT(--($A$2:$A$5001=A4711))&gt;1,1,0))</f>
        <v>0</v>
      </c>
      <c r="H4711" s="0" t="n">
        <f aca="false">ROW()-1</f>
        <v>4710</v>
      </c>
      <c r="I4711" s="0" t="str">
        <f aca="false">IF(OR(הגדרות!$E$6=0,H4711&gt;הגדרות!$E$5),"",IF(H4711-1&lt;הגדרות!$E$8*(הגדרות!$E$7+1),INT((H4711-1)/(הגדרות!$E$7+1)),הגדרות!$E$8+INT((H4711-1-הגדרות!$E$8*(הגדרות!$E$7+1))/הגדרות!$E$7)))</f>
        <v/>
      </c>
      <c r="J4711" s="0" t="str">
        <f aca="false">IF(I4711="","",IF(H4711-1&lt;הגדרות!$E$8*(הגדרות!$E$7+1),MOD(H4711-1,הגדרות!$E$7+1),MOD(H4711-1-הגדרות!$E$8*(הגדרות!$E$7+1),הגדרות!$E$7)))</f>
        <v/>
      </c>
      <c r="K4711" s="0" t="str">
        <f aca="false">IF(I4711="","",J4711*הגדרות!$E$6+I4711+1)</f>
        <v/>
      </c>
      <c r="L4711" s="0" t="str">
        <f aca="false">IF(K4711="","",MATCH(K4711,$F$2:$F$5001,0))</f>
        <v/>
      </c>
      <c r="M4711" s="0" t="str">
        <f aca="false">IF(I4711="","",INDEX(הגדרות!$A$2:$A$21,MOD(I4711+הגדרות!$E$9,הגדרות!$E$6)+1))</f>
        <v/>
      </c>
    </row>
    <row r="4712" customFormat="false" ht="15" hidden="false" customHeight="false" outlineLevel="0" collapsed="false">
      <c r="A4712" s="0" t="str">
        <f aca="false">IF('הדבקת לידים'!A4712="","",IF(ISNUMBER('הדבקת לידים'!A4712),IF(הגדרות!$E$2&gt;0,TEXT('הדבקת לידים'!A4712,REPT("0",הגדרות!$E$2)),TEXT('הדבקת לידים'!A4712,"0")),TRIM('הדבקת לידים'!A4712)))</f>
        <v/>
      </c>
      <c r="B4712" s="0" t="str">
        <f aca="false">IF('הדבקת לידים'!B4712="","",IF(ISNUMBER('הדבקת לידים'!B4712),IF(הגדרות!$E$3&gt;0,TEXT('הדבקת לידים'!B4712,REPT("0",הגדרות!$E$3)),TEXT('הדבקת לידים'!B4712,"0")),TRIM('הדבקת לידים'!B4712)))</f>
        <v/>
      </c>
      <c r="C4712" s="0" t="n">
        <f aca="false">IF(OR(A4712&lt;&gt;"",B4712&lt;&gt;""),1,0)</f>
        <v>0</v>
      </c>
      <c r="D4712" s="0" t="str">
        <f aca="false">IF(C4712=1,MOD(ABS(SIN(ROW()*12.9898+'הדבקת לידים'!$F$2*78.233+IFERROR(--RIGHT(A4712,6),LEN(A4712))*0.0137+IFERROR(--RIGHT(B4712,6),LEN(B4712))*0.0071))*43758.5453,1),"")</f>
        <v/>
      </c>
      <c r="E4712" s="0" t="str">
        <f aca="false">IF(C4712=1,INT(MOD(ABS(SIN(D4712*7919.123+ROW()*0.618+'הדבקת לידים'!$F$2*1.3))*43758.5453,1)*1000000)*10000+ROW(),"")</f>
        <v/>
      </c>
      <c r="F4712" s="0" t="str">
        <f aca="false">IF(E4712="","",RANK(E4712,$E$2:$E$5001,1))</f>
        <v/>
      </c>
      <c r="G4712" s="0" t="n">
        <f aca="false">IF(A4712="",0,IF(SUMPRODUCT(--($A$2:$A$5001=A4712))&gt;1,1,0))</f>
        <v>0</v>
      </c>
      <c r="H4712" s="0" t="n">
        <f aca="false">ROW()-1</f>
        <v>4711</v>
      </c>
      <c r="I4712" s="0" t="str">
        <f aca="false">IF(OR(הגדרות!$E$6=0,H4712&gt;הגדרות!$E$5),"",IF(H4712-1&lt;הגדרות!$E$8*(הגדרות!$E$7+1),INT((H4712-1)/(הגדרות!$E$7+1)),הגדרות!$E$8+INT((H4712-1-הגדרות!$E$8*(הגדרות!$E$7+1))/הגדרות!$E$7)))</f>
        <v/>
      </c>
      <c r="J4712" s="0" t="str">
        <f aca="false">IF(I4712="","",IF(H4712-1&lt;הגדרות!$E$8*(הגדרות!$E$7+1),MOD(H4712-1,הגדרות!$E$7+1),MOD(H4712-1-הגדרות!$E$8*(הגדרות!$E$7+1),הגדרות!$E$7)))</f>
        <v/>
      </c>
      <c r="K4712" s="0" t="str">
        <f aca="false">IF(I4712="","",J4712*הגדרות!$E$6+I4712+1)</f>
        <v/>
      </c>
      <c r="L4712" s="0" t="str">
        <f aca="false">IF(K4712="","",MATCH(K4712,$F$2:$F$5001,0))</f>
        <v/>
      </c>
      <c r="M4712" s="0" t="str">
        <f aca="false">IF(I4712="","",INDEX(הגדרות!$A$2:$A$21,MOD(I4712+הגדרות!$E$9,הגדרות!$E$6)+1))</f>
        <v/>
      </c>
    </row>
    <row r="4713" customFormat="false" ht="15" hidden="false" customHeight="false" outlineLevel="0" collapsed="false">
      <c r="A4713" s="0" t="str">
        <f aca="false">IF('הדבקת לידים'!A4713="","",IF(ISNUMBER('הדבקת לידים'!A4713),IF(הגדרות!$E$2&gt;0,TEXT('הדבקת לידים'!A4713,REPT("0",הגדרות!$E$2)),TEXT('הדבקת לידים'!A4713,"0")),TRIM('הדבקת לידים'!A4713)))</f>
        <v/>
      </c>
      <c r="B4713" s="0" t="str">
        <f aca="false">IF('הדבקת לידים'!B4713="","",IF(ISNUMBER('הדבקת לידים'!B4713),IF(הגדרות!$E$3&gt;0,TEXT('הדבקת לידים'!B4713,REPT("0",הגדרות!$E$3)),TEXT('הדבקת לידים'!B4713,"0")),TRIM('הדבקת לידים'!B4713)))</f>
        <v/>
      </c>
      <c r="C4713" s="0" t="n">
        <f aca="false">IF(OR(A4713&lt;&gt;"",B4713&lt;&gt;""),1,0)</f>
        <v>0</v>
      </c>
      <c r="D4713" s="0" t="str">
        <f aca="false">IF(C4713=1,MOD(ABS(SIN(ROW()*12.9898+'הדבקת לידים'!$F$2*78.233+IFERROR(--RIGHT(A4713,6),LEN(A4713))*0.0137+IFERROR(--RIGHT(B4713,6),LEN(B4713))*0.0071))*43758.5453,1),"")</f>
        <v/>
      </c>
      <c r="E4713" s="0" t="str">
        <f aca="false">IF(C4713=1,INT(MOD(ABS(SIN(D4713*7919.123+ROW()*0.618+'הדבקת לידים'!$F$2*1.3))*43758.5453,1)*1000000)*10000+ROW(),"")</f>
        <v/>
      </c>
      <c r="F4713" s="0" t="str">
        <f aca="false">IF(E4713="","",RANK(E4713,$E$2:$E$5001,1))</f>
        <v/>
      </c>
      <c r="G4713" s="0" t="n">
        <f aca="false">IF(A4713="",0,IF(SUMPRODUCT(--($A$2:$A$5001=A4713))&gt;1,1,0))</f>
        <v>0</v>
      </c>
      <c r="H4713" s="0" t="n">
        <f aca="false">ROW()-1</f>
        <v>4712</v>
      </c>
      <c r="I4713" s="0" t="str">
        <f aca="false">IF(OR(הגדרות!$E$6=0,H4713&gt;הגדרות!$E$5),"",IF(H4713-1&lt;הגדרות!$E$8*(הגדרות!$E$7+1),INT((H4713-1)/(הגדרות!$E$7+1)),הגדרות!$E$8+INT((H4713-1-הגדרות!$E$8*(הגדרות!$E$7+1))/הגדרות!$E$7)))</f>
        <v/>
      </c>
      <c r="J4713" s="0" t="str">
        <f aca="false">IF(I4713="","",IF(H4713-1&lt;הגדרות!$E$8*(הגדרות!$E$7+1),MOD(H4713-1,הגדרות!$E$7+1),MOD(H4713-1-הגדרות!$E$8*(הגדרות!$E$7+1),הגדרות!$E$7)))</f>
        <v/>
      </c>
      <c r="K4713" s="0" t="str">
        <f aca="false">IF(I4713="","",J4713*הגדרות!$E$6+I4713+1)</f>
        <v/>
      </c>
      <c r="L4713" s="0" t="str">
        <f aca="false">IF(K4713="","",MATCH(K4713,$F$2:$F$5001,0))</f>
        <v/>
      </c>
      <c r="M4713" s="0" t="str">
        <f aca="false">IF(I4713="","",INDEX(הגדרות!$A$2:$A$21,MOD(I4713+הגדרות!$E$9,הגדרות!$E$6)+1))</f>
        <v/>
      </c>
    </row>
    <row r="4714" customFormat="false" ht="15" hidden="false" customHeight="false" outlineLevel="0" collapsed="false">
      <c r="A4714" s="0" t="str">
        <f aca="false">IF('הדבקת לידים'!A4714="","",IF(ISNUMBER('הדבקת לידים'!A4714),IF(הגדרות!$E$2&gt;0,TEXT('הדבקת לידים'!A4714,REPT("0",הגדרות!$E$2)),TEXT('הדבקת לידים'!A4714,"0")),TRIM('הדבקת לידים'!A4714)))</f>
        <v/>
      </c>
      <c r="B4714" s="0" t="str">
        <f aca="false">IF('הדבקת לידים'!B4714="","",IF(ISNUMBER('הדבקת לידים'!B4714),IF(הגדרות!$E$3&gt;0,TEXT('הדבקת לידים'!B4714,REPT("0",הגדרות!$E$3)),TEXT('הדבקת לידים'!B4714,"0")),TRIM('הדבקת לידים'!B4714)))</f>
        <v/>
      </c>
      <c r="C4714" s="0" t="n">
        <f aca="false">IF(OR(A4714&lt;&gt;"",B4714&lt;&gt;""),1,0)</f>
        <v>0</v>
      </c>
      <c r="D4714" s="0" t="str">
        <f aca="false">IF(C4714=1,MOD(ABS(SIN(ROW()*12.9898+'הדבקת לידים'!$F$2*78.233+IFERROR(--RIGHT(A4714,6),LEN(A4714))*0.0137+IFERROR(--RIGHT(B4714,6),LEN(B4714))*0.0071))*43758.5453,1),"")</f>
        <v/>
      </c>
      <c r="E4714" s="0" t="str">
        <f aca="false">IF(C4714=1,INT(MOD(ABS(SIN(D4714*7919.123+ROW()*0.618+'הדבקת לידים'!$F$2*1.3))*43758.5453,1)*1000000)*10000+ROW(),"")</f>
        <v/>
      </c>
      <c r="F4714" s="0" t="str">
        <f aca="false">IF(E4714="","",RANK(E4714,$E$2:$E$5001,1))</f>
        <v/>
      </c>
      <c r="G4714" s="0" t="n">
        <f aca="false">IF(A4714="",0,IF(SUMPRODUCT(--($A$2:$A$5001=A4714))&gt;1,1,0))</f>
        <v>0</v>
      </c>
      <c r="H4714" s="0" t="n">
        <f aca="false">ROW()-1</f>
        <v>4713</v>
      </c>
      <c r="I4714" s="0" t="str">
        <f aca="false">IF(OR(הגדרות!$E$6=0,H4714&gt;הגדרות!$E$5),"",IF(H4714-1&lt;הגדרות!$E$8*(הגדרות!$E$7+1),INT((H4714-1)/(הגדרות!$E$7+1)),הגדרות!$E$8+INT((H4714-1-הגדרות!$E$8*(הגדרות!$E$7+1))/הגדרות!$E$7)))</f>
        <v/>
      </c>
      <c r="J4714" s="0" t="str">
        <f aca="false">IF(I4714="","",IF(H4714-1&lt;הגדרות!$E$8*(הגדרות!$E$7+1),MOD(H4714-1,הגדרות!$E$7+1),MOD(H4714-1-הגדרות!$E$8*(הגדרות!$E$7+1),הגדרות!$E$7)))</f>
        <v/>
      </c>
      <c r="K4714" s="0" t="str">
        <f aca="false">IF(I4714="","",J4714*הגדרות!$E$6+I4714+1)</f>
        <v/>
      </c>
      <c r="L4714" s="0" t="str">
        <f aca="false">IF(K4714="","",MATCH(K4714,$F$2:$F$5001,0))</f>
        <v/>
      </c>
      <c r="M4714" s="0" t="str">
        <f aca="false">IF(I4714="","",INDEX(הגדרות!$A$2:$A$21,MOD(I4714+הגדרות!$E$9,הגדרות!$E$6)+1))</f>
        <v/>
      </c>
    </row>
    <row r="4715" customFormat="false" ht="15" hidden="false" customHeight="false" outlineLevel="0" collapsed="false">
      <c r="A4715" s="0" t="str">
        <f aca="false">IF('הדבקת לידים'!A4715="","",IF(ISNUMBER('הדבקת לידים'!A4715),IF(הגדרות!$E$2&gt;0,TEXT('הדבקת לידים'!A4715,REPT("0",הגדרות!$E$2)),TEXT('הדבקת לידים'!A4715,"0")),TRIM('הדבקת לידים'!A4715)))</f>
        <v/>
      </c>
      <c r="B4715" s="0" t="str">
        <f aca="false">IF('הדבקת לידים'!B4715="","",IF(ISNUMBER('הדבקת לידים'!B4715),IF(הגדרות!$E$3&gt;0,TEXT('הדבקת לידים'!B4715,REPT("0",הגדרות!$E$3)),TEXT('הדבקת לידים'!B4715,"0")),TRIM('הדבקת לידים'!B4715)))</f>
        <v/>
      </c>
      <c r="C4715" s="0" t="n">
        <f aca="false">IF(OR(A4715&lt;&gt;"",B4715&lt;&gt;""),1,0)</f>
        <v>0</v>
      </c>
      <c r="D4715" s="0" t="str">
        <f aca="false">IF(C4715=1,MOD(ABS(SIN(ROW()*12.9898+'הדבקת לידים'!$F$2*78.233+IFERROR(--RIGHT(A4715,6),LEN(A4715))*0.0137+IFERROR(--RIGHT(B4715,6),LEN(B4715))*0.0071))*43758.5453,1),"")</f>
        <v/>
      </c>
      <c r="E4715" s="0" t="str">
        <f aca="false">IF(C4715=1,INT(MOD(ABS(SIN(D4715*7919.123+ROW()*0.618+'הדבקת לידים'!$F$2*1.3))*43758.5453,1)*1000000)*10000+ROW(),"")</f>
        <v/>
      </c>
      <c r="F4715" s="0" t="str">
        <f aca="false">IF(E4715="","",RANK(E4715,$E$2:$E$5001,1))</f>
        <v/>
      </c>
      <c r="G4715" s="0" t="n">
        <f aca="false">IF(A4715="",0,IF(SUMPRODUCT(--($A$2:$A$5001=A4715))&gt;1,1,0))</f>
        <v>0</v>
      </c>
      <c r="H4715" s="0" t="n">
        <f aca="false">ROW()-1</f>
        <v>4714</v>
      </c>
      <c r="I4715" s="0" t="str">
        <f aca="false">IF(OR(הגדרות!$E$6=0,H4715&gt;הגדרות!$E$5),"",IF(H4715-1&lt;הגדרות!$E$8*(הגדרות!$E$7+1),INT((H4715-1)/(הגדרות!$E$7+1)),הגדרות!$E$8+INT((H4715-1-הגדרות!$E$8*(הגדרות!$E$7+1))/הגדרות!$E$7)))</f>
        <v/>
      </c>
      <c r="J4715" s="0" t="str">
        <f aca="false">IF(I4715="","",IF(H4715-1&lt;הגדרות!$E$8*(הגדרות!$E$7+1),MOD(H4715-1,הגדרות!$E$7+1),MOD(H4715-1-הגדרות!$E$8*(הגדרות!$E$7+1),הגדרות!$E$7)))</f>
        <v/>
      </c>
      <c r="K4715" s="0" t="str">
        <f aca="false">IF(I4715="","",J4715*הגדרות!$E$6+I4715+1)</f>
        <v/>
      </c>
      <c r="L4715" s="0" t="str">
        <f aca="false">IF(K4715="","",MATCH(K4715,$F$2:$F$5001,0))</f>
        <v/>
      </c>
      <c r="M4715" s="0" t="str">
        <f aca="false">IF(I4715="","",INDEX(הגדרות!$A$2:$A$21,MOD(I4715+הגדרות!$E$9,הגדרות!$E$6)+1))</f>
        <v/>
      </c>
    </row>
    <row r="4716" customFormat="false" ht="15" hidden="false" customHeight="false" outlineLevel="0" collapsed="false">
      <c r="A4716" s="0" t="str">
        <f aca="false">IF('הדבקת לידים'!A4716="","",IF(ISNUMBER('הדבקת לידים'!A4716),IF(הגדרות!$E$2&gt;0,TEXT('הדבקת לידים'!A4716,REPT("0",הגדרות!$E$2)),TEXT('הדבקת לידים'!A4716,"0")),TRIM('הדבקת לידים'!A4716)))</f>
        <v/>
      </c>
      <c r="B4716" s="0" t="str">
        <f aca="false">IF('הדבקת לידים'!B4716="","",IF(ISNUMBER('הדבקת לידים'!B4716),IF(הגדרות!$E$3&gt;0,TEXT('הדבקת לידים'!B4716,REPT("0",הגדרות!$E$3)),TEXT('הדבקת לידים'!B4716,"0")),TRIM('הדבקת לידים'!B4716)))</f>
        <v/>
      </c>
      <c r="C4716" s="0" t="n">
        <f aca="false">IF(OR(A4716&lt;&gt;"",B4716&lt;&gt;""),1,0)</f>
        <v>0</v>
      </c>
      <c r="D4716" s="0" t="str">
        <f aca="false">IF(C4716=1,MOD(ABS(SIN(ROW()*12.9898+'הדבקת לידים'!$F$2*78.233+IFERROR(--RIGHT(A4716,6),LEN(A4716))*0.0137+IFERROR(--RIGHT(B4716,6),LEN(B4716))*0.0071))*43758.5453,1),"")</f>
        <v/>
      </c>
      <c r="E4716" s="0" t="str">
        <f aca="false">IF(C4716=1,INT(MOD(ABS(SIN(D4716*7919.123+ROW()*0.618+'הדבקת לידים'!$F$2*1.3))*43758.5453,1)*1000000)*10000+ROW(),"")</f>
        <v/>
      </c>
      <c r="F4716" s="0" t="str">
        <f aca="false">IF(E4716="","",RANK(E4716,$E$2:$E$5001,1))</f>
        <v/>
      </c>
      <c r="G4716" s="0" t="n">
        <f aca="false">IF(A4716="",0,IF(SUMPRODUCT(--($A$2:$A$5001=A4716))&gt;1,1,0))</f>
        <v>0</v>
      </c>
      <c r="H4716" s="0" t="n">
        <f aca="false">ROW()-1</f>
        <v>4715</v>
      </c>
      <c r="I4716" s="0" t="str">
        <f aca="false">IF(OR(הגדרות!$E$6=0,H4716&gt;הגדרות!$E$5),"",IF(H4716-1&lt;הגדרות!$E$8*(הגדרות!$E$7+1),INT((H4716-1)/(הגדרות!$E$7+1)),הגדרות!$E$8+INT((H4716-1-הגדרות!$E$8*(הגדרות!$E$7+1))/הגדרות!$E$7)))</f>
        <v/>
      </c>
      <c r="J4716" s="0" t="str">
        <f aca="false">IF(I4716="","",IF(H4716-1&lt;הגדרות!$E$8*(הגדרות!$E$7+1),MOD(H4716-1,הגדרות!$E$7+1),MOD(H4716-1-הגדרות!$E$8*(הגדרות!$E$7+1),הגדרות!$E$7)))</f>
        <v/>
      </c>
      <c r="K4716" s="0" t="str">
        <f aca="false">IF(I4716="","",J4716*הגדרות!$E$6+I4716+1)</f>
        <v/>
      </c>
      <c r="L4716" s="0" t="str">
        <f aca="false">IF(K4716="","",MATCH(K4716,$F$2:$F$5001,0))</f>
        <v/>
      </c>
      <c r="M4716" s="0" t="str">
        <f aca="false">IF(I4716="","",INDEX(הגדרות!$A$2:$A$21,MOD(I4716+הגדרות!$E$9,הגדרות!$E$6)+1))</f>
        <v/>
      </c>
    </row>
    <row r="4717" customFormat="false" ht="15" hidden="false" customHeight="false" outlineLevel="0" collapsed="false">
      <c r="A4717" s="0" t="str">
        <f aca="false">IF('הדבקת לידים'!A4717="","",IF(ISNUMBER('הדבקת לידים'!A4717),IF(הגדרות!$E$2&gt;0,TEXT('הדבקת לידים'!A4717,REPT("0",הגדרות!$E$2)),TEXT('הדבקת לידים'!A4717,"0")),TRIM('הדבקת לידים'!A4717)))</f>
        <v/>
      </c>
      <c r="B4717" s="0" t="str">
        <f aca="false">IF('הדבקת לידים'!B4717="","",IF(ISNUMBER('הדבקת לידים'!B4717),IF(הגדרות!$E$3&gt;0,TEXT('הדבקת לידים'!B4717,REPT("0",הגדרות!$E$3)),TEXT('הדבקת לידים'!B4717,"0")),TRIM('הדבקת לידים'!B4717)))</f>
        <v/>
      </c>
      <c r="C4717" s="0" t="n">
        <f aca="false">IF(OR(A4717&lt;&gt;"",B4717&lt;&gt;""),1,0)</f>
        <v>0</v>
      </c>
      <c r="D4717" s="0" t="str">
        <f aca="false">IF(C4717=1,MOD(ABS(SIN(ROW()*12.9898+'הדבקת לידים'!$F$2*78.233+IFERROR(--RIGHT(A4717,6),LEN(A4717))*0.0137+IFERROR(--RIGHT(B4717,6),LEN(B4717))*0.0071))*43758.5453,1),"")</f>
        <v/>
      </c>
      <c r="E4717" s="0" t="str">
        <f aca="false">IF(C4717=1,INT(MOD(ABS(SIN(D4717*7919.123+ROW()*0.618+'הדבקת לידים'!$F$2*1.3))*43758.5453,1)*1000000)*10000+ROW(),"")</f>
        <v/>
      </c>
      <c r="F4717" s="0" t="str">
        <f aca="false">IF(E4717="","",RANK(E4717,$E$2:$E$5001,1))</f>
        <v/>
      </c>
      <c r="G4717" s="0" t="n">
        <f aca="false">IF(A4717="",0,IF(SUMPRODUCT(--($A$2:$A$5001=A4717))&gt;1,1,0))</f>
        <v>0</v>
      </c>
      <c r="H4717" s="0" t="n">
        <f aca="false">ROW()-1</f>
        <v>4716</v>
      </c>
      <c r="I4717" s="0" t="str">
        <f aca="false">IF(OR(הגדרות!$E$6=0,H4717&gt;הגדרות!$E$5),"",IF(H4717-1&lt;הגדרות!$E$8*(הגדרות!$E$7+1),INT((H4717-1)/(הגדרות!$E$7+1)),הגדרות!$E$8+INT((H4717-1-הגדרות!$E$8*(הגדרות!$E$7+1))/הגדרות!$E$7)))</f>
        <v/>
      </c>
      <c r="J4717" s="0" t="str">
        <f aca="false">IF(I4717="","",IF(H4717-1&lt;הגדרות!$E$8*(הגדרות!$E$7+1),MOD(H4717-1,הגדרות!$E$7+1),MOD(H4717-1-הגדרות!$E$8*(הגדרות!$E$7+1),הגדרות!$E$7)))</f>
        <v/>
      </c>
      <c r="K4717" s="0" t="str">
        <f aca="false">IF(I4717="","",J4717*הגדרות!$E$6+I4717+1)</f>
        <v/>
      </c>
      <c r="L4717" s="0" t="str">
        <f aca="false">IF(K4717="","",MATCH(K4717,$F$2:$F$5001,0))</f>
        <v/>
      </c>
      <c r="M4717" s="0" t="str">
        <f aca="false">IF(I4717="","",INDEX(הגדרות!$A$2:$A$21,MOD(I4717+הגדרות!$E$9,הגדרות!$E$6)+1))</f>
        <v/>
      </c>
    </row>
    <row r="4718" customFormat="false" ht="15" hidden="false" customHeight="false" outlineLevel="0" collapsed="false">
      <c r="A4718" s="0" t="str">
        <f aca="false">IF('הדבקת לידים'!A4718="","",IF(ISNUMBER('הדבקת לידים'!A4718),IF(הגדרות!$E$2&gt;0,TEXT('הדבקת לידים'!A4718,REPT("0",הגדרות!$E$2)),TEXT('הדבקת לידים'!A4718,"0")),TRIM('הדבקת לידים'!A4718)))</f>
        <v/>
      </c>
      <c r="B4718" s="0" t="str">
        <f aca="false">IF('הדבקת לידים'!B4718="","",IF(ISNUMBER('הדבקת לידים'!B4718),IF(הגדרות!$E$3&gt;0,TEXT('הדבקת לידים'!B4718,REPT("0",הגדרות!$E$3)),TEXT('הדבקת לידים'!B4718,"0")),TRIM('הדבקת לידים'!B4718)))</f>
        <v/>
      </c>
      <c r="C4718" s="0" t="n">
        <f aca="false">IF(OR(A4718&lt;&gt;"",B4718&lt;&gt;""),1,0)</f>
        <v>0</v>
      </c>
      <c r="D4718" s="0" t="str">
        <f aca="false">IF(C4718=1,MOD(ABS(SIN(ROW()*12.9898+'הדבקת לידים'!$F$2*78.233+IFERROR(--RIGHT(A4718,6),LEN(A4718))*0.0137+IFERROR(--RIGHT(B4718,6),LEN(B4718))*0.0071))*43758.5453,1),"")</f>
        <v/>
      </c>
      <c r="E4718" s="0" t="str">
        <f aca="false">IF(C4718=1,INT(MOD(ABS(SIN(D4718*7919.123+ROW()*0.618+'הדבקת לידים'!$F$2*1.3))*43758.5453,1)*1000000)*10000+ROW(),"")</f>
        <v/>
      </c>
      <c r="F4718" s="0" t="str">
        <f aca="false">IF(E4718="","",RANK(E4718,$E$2:$E$5001,1))</f>
        <v/>
      </c>
      <c r="G4718" s="0" t="n">
        <f aca="false">IF(A4718="",0,IF(SUMPRODUCT(--($A$2:$A$5001=A4718))&gt;1,1,0))</f>
        <v>0</v>
      </c>
      <c r="H4718" s="0" t="n">
        <f aca="false">ROW()-1</f>
        <v>4717</v>
      </c>
      <c r="I4718" s="0" t="str">
        <f aca="false">IF(OR(הגדרות!$E$6=0,H4718&gt;הגדרות!$E$5),"",IF(H4718-1&lt;הגדרות!$E$8*(הגדרות!$E$7+1),INT((H4718-1)/(הגדרות!$E$7+1)),הגדרות!$E$8+INT((H4718-1-הגדרות!$E$8*(הגדרות!$E$7+1))/הגדרות!$E$7)))</f>
        <v/>
      </c>
      <c r="J4718" s="0" t="str">
        <f aca="false">IF(I4718="","",IF(H4718-1&lt;הגדרות!$E$8*(הגדרות!$E$7+1),MOD(H4718-1,הגדרות!$E$7+1),MOD(H4718-1-הגדרות!$E$8*(הגדרות!$E$7+1),הגדרות!$E$7)))</f>
        <v/>
      </c>
      <c r="K4718" s="0" t="str">
        <f aca="false">IF(I4718="","",J4718*הגדרות!$E$6+I4718+1)</f>
        <v/>
      </c>
      <c r="L4718" s="0" t="str">
        <f aca="false">IF(K4718="","",MATCH(K4718,$F$2:$F$5001,0))</f>
        <v/>
      </c>
      <c r="M4718" s="0" t="str">
        <f aca="false">IF(I4718="","",INDEX(הגדרות!$A$2:$A$21,MOD(I4718+הגדרות!$E$9,הגדרות!$E$6)+1))</f>
        <v/>
      </c>
    </row>
    <row r="4719" customFormat="false" ht="15" hidden="false" customHeight="false" outlineLevel="0" collapsed="false">
      <c r="A4719" s="0" t="str">
        <f aca="false">IF('הדבקת לידים'!A4719="","",IF(ISNUMBER('הדבקת לידים'!A4719),IF(הגדרות!$E$2&gt;0,TEXT('הדבקת לידים'!A4719,REPT("0",הגדרות!$E$2)),TEXT('הדבקת לידים'!A4719,"0")),TRIM('הדבקת לידים'!A4719)))</f>
        <v/>
      </c>
      <c r="B4719" s="0" t="str">
        <f aca="false">IF('הדבקת לידים'!B4719="","",IF(ISNUMBER('הדבקת לידים'!B4719),IF(הגדרות!$E$3&gt;0,TEXT('הדבקת לידים'!B4719,REPT("0",הגדרות!$E$3)),TEXT('הדבקת לידים'!B4719,"0")),TRIM('הדבקת לידים'!B4719)))</f>
        <v/>
      </c>
      <c r="C4719" s="0" t="n">
        <f aca="false">IF(OR(A4719&lt;&gt;"",B4719&lt;&gt;""),1,0)</f>
        <v>0</v>
      </c>
      <c r="D4719" s="0" t="str">
        <f aca="false">IF(C4719=1,MOD(ABS(SIN(ROW()*12.9898+'הדבקת לידים'!$F$2*78.233+IFERROR(--RIGHT(A4719,6),LEN(A4719))*0.0137+IFERROR(--RIGHT(B4719,6),LEN(B4719))*0.0071))*43758.5453,1),"")</f>
        <v/>
      </c>
      <c r="E4719" s="0" t="str">
        <f aca="false">IF(C4719=1,INT(MOD(ABS(SIN(D4719*7919.123+ROW()*0.618+'הדבקת לידים'!$F$2*1.3))*43758.5453,1)*1000000)*10000+ROW(),"")</f>
        <v/>
      </c>
      <c r="F4719" s="0" t="str">
        <f aca="false">IF(E4719="","",RANK(E4719,$E$2:$E$5001,1))</f>
        <v/>
      </c>
      <c r="G4719" s="0" t="n">
        <f aca="false">IF(A4719="",0,IF(SUMPRODUCT(--($A$2:$A$5001=A4719))&gt;1,1,0))</f>
        <v>0</v>
      </c>
      <c r="H4719" s="0" t="n">
        <f aca="false">ROW()-1</f>
        <v>4718</v>
      </c>
      <c r="I4719" s="0" t="str">
        <f aca="false">IF(OR(הגדרות!$E$6=0,H4719&gt;הגדרות!$E$5),"",IF(H4719-1&lt;הגדרות!$E$8*(הגדרות!$E$7+1),INT((H4719-1)/(הגדרות!$E$7+1)),הגדרות!$E$8+INT((H4719-1-הגדרות!$E$8*(הגדרות!$E$7+1))/הגדרות!$E$7)))</f>
        <v/>
      </c>
      <c r="J4719" s="0" t="str">
        <f aca="false">IF(I4719="","",IF(H4719-1&lt;הגדרות!$E$8*(הגדרות!$E$7+1),MOD(H4719-1,הגדרות!$E$7+1),MOD(H4719-1-הגדרות!$E$8*(הגדרות!$E$7+1),הגדרות!$E$7)))</f>
        <v/>
      </c>
      <c r="K4719" s="0" t="str">
        <f aca="false">IF(I4719="","",J4719*הגדרות!$E$6+I4719+1)</f>
        <v/>
      </c>
      <c r="L4719" s="0" t="str">
        <f aca="false">IF(K4719="","",MATCH(K4719,$F$2:$F$5001,0))</f>
        <v/>
      </c>
      <c r="M4719" s="0" t="str">
        <f aca="false">IF(I4719="","",INDEX(הגדרות!$A$2:$A$21,MOD(I4719+הגדרות!$E$9,הגדרות!$E$6)+1))</f>
        <v/>
      </c>
    </row>
    <row r="4720" customFormat="false" ht="15" hidden="false" customHeight="false" outlineLevel="0" collapsed="false">
      <c r="A4720" s="0" t="str">
        <f aca="false">IF('הדבקת לידים'!A4720="","",IF(ISNUMBER('הדבקת לידים'!A4720),IF(הגדרות!$E$2&gt;0,TEXT('הדבקת לידים'!A4720,REPT("0",הגדרות!$E$2)),TEXT('הדבקת לידים'!A4720,"0")),TRIM('הדבקת לידים'!A4720)))</f>
        <v/>
      </c>
      <c r="B4720" s="0" t="str">
        <f aca="false">IF('הדבקת לידים'!B4720="","",IF(ISNUMBER('הדבקת לידים'!B4720),IF(הגדרות!$E$3&gt;0,TEXT('הדבקת לידים'!B4720,REPT("0",הגדרות!$E$3)),TEXT('הדבקת לידים'!B4720,"0")),TRIM('הדבקת לידים'!B4720)))</f>
        <v/>
      </c>
      <c r="C4720" s="0" t="n">
        <f aca="false">IF(OR(A4720&lt;&gt;"",B4720&lt;&gt;""),1,0)</f>
        <v>0</v>
      </c>
      <c r="D4720" s="0" t="str">
        <f aca="false">IF(C4720=1,MOD(ABS(SIN(ROW()*12.9898+'הדבקת לידים'!$F$2*78.233+IFERROR(--RIGHT(A4720,6),LEN(A4720))*0.0137+IFERROR(--RIGHT(B4720,6),LEN(B4720))*0.0071))*43758.5453,1),"")</f>
        <v/>
      </c>
      <c r="E4720" s="0" t="str">
        <f aca="false">IF(C4720=1,INT(MOD(ABS(SIN(D4720*7919.123+ROW()*0.618+'הדבקת לידים'!$F$2*1.3))*43758.5453,1)*1000000)*10000+ROW(),"")</f>
        <v/>
      </c>
      <c r="F4720" s="0" t="str">
        <f aca="false">IF(E4720="","",RANK(E4720,$E$2:$E$5001,1))</f>
        <v/>
      </c>
      <c r="G4720" s="0" t="n">
        <f aca="false">IF(A4720="",0,IF(SUMPRODUCT(--($A$2:$A$5001=A4720))&gt;1,1,0))</f>
        <v>0</v>
      </c>
      <c r="H4720" s="0" t="n">
        <f aca="false">ROW()-1</f>
        <v>4719</v>
      </c>
      <c r="I4720" s="0" t="str">
        <f aca="false">IF(OR(הגדרות!$E$6=0,H4720&gt;הגדרות!$E$5),"",IF(H4720-1&lt;הגדרות!$E$8*(הגדרות!$E$7+1),INT((H4720-1)/(הגדרות!$E$7+1)),הגדרות!$E$8+INT((H4720-1-הגדרות!$E$8*(הגדרות!$E$7+1))/הגדרות!$E$7)))</f>
        <v/>
      </c>
      <c r="J4720" s="0" t="str">
        <f aca="false">IF(I4720="","",IF(H4720-1&lt;הגדרות!$E$8*(הגדרות!$E$7+1),MOD(H4720-1,הגדרות!$E$7+1),MOD(H4720-1-הגדרות!$E$8*(הגדרות!$E$7+1),הגדרות!$E$7)))</f>
        <v/>
      </c>
      <c r="K4720" s="0" t="str">
        <f aca="false">IF(I4720="","",J4720*הגדרות!$E$6+I4720+1)</f>
        <v/>
      </c>
      <c r="L4720" s="0" t="str">
        <f aca="false">IF(K4720="","",MATCH(K4720,$F$2:$F$5001,0))</f>
        <v/>
      </c>
      <c r="M4720" s="0" t="str">
        <f aca="false">IF(I4720="","",INDEX(הגדרות!$A$2:$A$21,MOD(I4720+הגדרות!$E$9,הגדרות!$E$6)+1))</f>
        <v/>
      </c>
    </row>
    <row r="4721" customFormat="false" ht="15" hidden="false" customHeight="false" outlineLevel="0" collapsed="false">
      <c r="A4721" s="0" t="str">
        <f aca="false">IF('הדבקת לידים'!A4721="","",IF(ISNUMBER('הדבקת לידים'!A4721),IF(הגדרות!$E$2&gt;0,TEXT('הדבקת לידים'!A4721,REPT("0",הגדרות!$E$2)),TEXT('הדבקת לידים'!A4721,"0")),TRIM('הדבקת לידים'!A4721)))</f>
        <v/>
      </c>
      <c r="B4721" s="0" t="str">
        <f aca="false">IF('הדבקת לידים'!B4721="","",IF(ISNUMBER('הדבקת לידים'!B4721),IF(הגדרות!$E$3&gt;0,TEXT('הדבקת לידים'!B4721,REPT("0",הגדרות!$E$3)),TEXT('הדבקת לידים'!B4721,"0")),TRIM('הדבקת לידים'!B4721)))</f>
        <v/>
      </c>
      <c r="C4721" s="0" t="n">
        <f aca="false">IF(OR(A4721&lt;&gt;"",B4721&lt;&gt;""),1,0)</f>
        <v>0</v>
      </c>
      <c r="D4721" s="0" t="str">
        <f aca="false">IF(C4721=1,MOD(ABS(SIN(ROW()*12.9898+'הדבקת לידים'!$F$2*78.233+IFERROR(--RIGHT(A4721,6),LEN(A4721))*0.0137+IFERROR(--RIGHT(B4721,6),LEN(B4721))*0.0071))*43758.5453,1),"")</f>
        <v/>
      </c>
      <c r="E4721" s="0" t="str">
        <f aca="false">IF(C4721=1,INT(MOD(ABS(SIN(D4721*7919.123+ROW()*0.618+'הדבקת לידים'!$F$2*1.3))*43758.5453,1)*1000000)*10000+ROW(),"")</f>
        <v/>
      </c>
      <c r="F4721" s="0" t="str">
        <f aca="false">IF(E4721="","",RANK(E4721,$E$2:$E$5001,1))</f>
        <v/>
      </c>
      <c r="G4721" s="0" t="n">
        <f aca="false">IF(A4721="",0,IF(SUMPRODUCT(--($A$2:$A$5001=A4721))&gt;1,1,0))</f>
        <v>0</v>
      </c>
      <c r="H4721" s="0" t="n">
        <f aca="false">ROW()-1</f>
        <v>4720</v>
      </c>
      <c r="I4721" s="0" t="str">
        <f aca="false">IF(OR(הגדרות!$E$6=0,H4721&gt;הגדרות!$E$5),"",IF(H4721-1&lt;הגדרות!$E$8*(הגדרות!$E$7+1),INT((H4721-1)/(הגדרות!$E$7+1)),הגדרות!$E$8+INT((H4721-1-הגדרות!$E$8*(הגדרות!$E$7+1))/הגדרות!$E$7)))</f>
        <v/>
      </c>
      <c r="J4721" s="0" t="str">
        <f aca="false">IF(I4721="","",IF(H4721-1&lt;הגדרות!$E$8*(הגדרות!$E$7+1),MOD(H4721-1,הגדרות!$E$7+1),MOD(H4721-1-הגדרות!$E$8*(הגדרות!$E$7+1),הגדרות!$E$7)))</f>
        <v/>
      </c>
      <c r="K4721" s="0" t="str">
        <f aca="false">IF(I4721="","",J4721*הגדרות!$E$6+I4721+1)</f>
        <v/>
      </c>
      <c r="L4721" s="0" t="str">
        <f aca="false">IF(K4721="","",MATCH(K4721,$F$2:$F$5001,0))</f>
        <v/>
      </c>
      <c r="M4721" s="0" t="str">
        <f aca="false">IF(I4721="","",INDEX(הגדרות!$A$2:$A$21,MOD(I4721+הגדרות!$E$9,הגדרות!$E$6)+1))</f>
        <v/>
      </c>
    </row>
    <row r="4722" customFormat="false" ht="15" hidden="false" customHeight="false" outlineLevel="0" collapsed="false">
      <c r="A4722" s="0" t="str">
        <f aca="false">IF('הדבקת לידים'!A4722="","",IF(ISNUMBER('הדבקת לידים'!A4722),IF(הגדרות!$E$2&gt;0,TEXT('הדבקת לידים'!A4722,REPT("0",הגדרות!$E$2)),TEXT('הדבקת לידים'!A4722,"0")),TRIM('הדבקת לידים'!A4722)))</f>
        <v/>
      </c>
      <c r="B4722" s="0" t="str">
        <f aca="false">IF('הדבקת לידים'!B4722="","",IF(ISNUMBER('הדבקת לידים'!B4722),IF(הגדרות!$E$3&gt;0,TEXT('הדבקת לידים'!B4722,REPT("0",הגדרות!$E$3)),TEXT('הדבקת לידים'!B4722,"0")),TRIM('הדבקת לידים'!B4722)))</f>
        <v/>
      </c>
      <c r="C4722" s="0" t="n">
        <f aca="false">IF(OR(A4722&lt;&gt;"",B4722&lt;&gt;""),1,0)</f>
        <v>0</v>
      </c>
      <c r="D4722" s="0" t="str">
        <f aca="false">IF(C4722=1,MOD(ABS(SIN(ROW()*12.9898+'הדבקת לידים'!$F$2*78.233+IFERROR(--RIGHT(A4722,6),LEN(A4722))*0.0137+IFERROR(--RIGHT(B4722,6),LEN(B4722))*0.0071))*43758.5453,1),"")</f>
        <v/>
      </c>
      <c r="E4722" s="0" t="str">
        <f aca="false">IF(C4722=1,INT(MOD(ABS(SIN(D4722*7919.123+ROW()*0.618+'הדבקת לידים'!$F$2*1.3))*43758.5453,1)*1000000)*10000+ROW(),"")</f>
        <v/>
      </c>
      <c r="F4722" s="0" t="str">
        <f aca="false">IF(E4722="","",RANK(E4722,$E$2:$E$5001,1))</f>
        <v/>
      </c>
      <c r="G4722" s="0" t="n">
        <f aca="false">IF(A4722="",0,IF(SUMPRODUCT(--($A$2:$A$5001=A4722))&gt;1,1,0))</f>
        <v>0</v>
      </c>
      <c r="H4722" s="0" t="n">
        <f aca="false">ROW()-1</f>
        <v>4721</v>
      </c>
      <c r="I4722" s="0" t="str">
        <f aca="false">IF(OR(הגדרות!$E$6=0,H4722&gt;הגדרות!$E$5),"",IF(H4722-1&lt;הגדרות!$E$8*(הגדרות!$E$7+1),INT((H4722-1)/(הגדרות!$E$7+1)),הגדרות!$E$8+INT((H4722-1-הגדרות!$E$8*(הגדרות!$E$7+1))/הגדרות!$E$7)))</f>
        <v/>
      </c>
      <c r="J4722" s="0" t="str">
        <f aca="false">IF(I4722="","",IF(H4722-1&lt;הגדרות!$E$8*(הגדרות!$E$7+1),MOD(H4722-1,הגדרות!$E$7+1),MOD(H4722-1-הגדרות!$E$8*(הגדרות!$E$7+1),הגדרות!$E$7)))</f>
        <v/>
      </c>
      <c r="K4722" s="0" t="str">
        <f aca="false">IF(I4722="","",J4722*הגדרות!$E$6+I4722+1)</f>
        <v/>
      </c>
      <c r="L4722" s="0" t="str">
        <f aca="false">IF(K4722="","",MATCH(K4722,$F$2:$F$5001,0))</f>
        <v/>
      </c>
      <c r="M4722" s="0" t="str">
        <f aca="false">IF(I4722="","",INDEX(הגדרות!$A$2:$A$21,MOD(I4722+הגדרות!$E$9,הגדרות!$E$6)+1))</f>
        <v/>
      </c>
    </row>
    <row r="4723" customFormat="false" ht="15" hidden="false" customHeight="false" outlineLevel="0" collapsed="false">
      <c r="A4723" s="0" t="str">
        <f aca="false">IF('הדבקת לידים'!A4723="","",IF(ISNUMBER('הדבקת לידים'!A4723),IF(הגדרות!$E$2&gt;0,TEXT('הדבקת לידים'!A4723,REPT("0",הגדרות!$E$2)),TEXT('הדבקת לידים'!A4723,"0")),TRIM('הדבקת לידים'!A4723)))</f>
        <v/>
      </c>
      <c r="B4723" s="0" t="str">
        <f aca="false">IF('הדבקת לידים'!B4723="","",IF(ISNUMBER('הדבקת לידים'!B4723),IF(הגדרות!$E$3&gt;0,TEXT('הדבקת לידים'!B4723,REPT("0",הגדרות!$E$3)),TEXT('הדבקת לידים'!B4723,"0")),TRIM('הדבקת לידים'!B4723)))</f>
        <v/>
      </c>
      <c r="C4723" s="0" t="n">
        <f aca="false">IF(OR(A4723&lt;&gt;"",B4723&lt;&gt;""),1,0)</f>
        <v>0</v>
      </c>
      <c r="D4723" s="0" t="str">
        <f aca="false">IF(C4723=1,MOD(ABS(SIN(ROW()*12.9898+'הדבקת לידים'!$F$2*78.233+IFERROR(--RIGHT(A4723,6),LEN(A4723))*0.0137+IFERROR(--RIGHT(B4723,6),LEN(B4723))*0.0071))*43758.5453,1),"")</f>
        <v/>
      </c>
      <c r="E4723" s="0" t="str">
        <f aca="false">IF(C4723=1,INT(MOD(ABS(SIN(D4723*7919.123+ROW()*0.618+'הדבקת לידים'!$F$2*1.3))*43758.5453,1)*1000000)*10000+ROW(),"")</f>
        <v/>
      </c>
      <c r="F4723" s="0" t="str">
        <f aca="false">IF(E4723="","",RANK(E4723,$E$2:$E$5001,1))</f>
        <v/>
      </c>
      <c r="G4723" s="0" t="n">
        <f aca="false">IF(A4723="",0,IF(SUMPRODUCT(--($A$2:$A$5001=A4723))&gt;1,1,0))</f>
        <v>0</v>
      </c>
      <c r="H4723" s="0" t="n">
        <f aca="false">ROW()-1</f>
        <v>4722</v>
      </c>
      <c r="I4723" s="0" t="str">
        <f aca="false">IF(OR(הגדרות!$E$6=0,H4723&gt;הגדרות!$E$5),"",IF(H4723-1&lt;הגדרות!$E$8*(הגדרות!$E$7+1),INT((H4723-1)/(הגדרות!$E$7+1)),הגדרות!$E$8+INT((H4723-1-הגדרות!$E$8*(הגדרות!$E$7+1))/הגדרות!$E$7)))</f>
        <v/>
      </c>
      <c r="J4723" s="0" t="str">
        <f aca="false">IF(I4723="","",IF(H4723-1&lt;הגדרות!$E$8*(הגדרות!$E$7+1),MOD(H4723-1,הגדרות!$E$7+1),MOD(H4723-1-הגדרות!$E$8*(הגדרות!$E$7+1),הגדרות!$E$7)))</f>
        <v/>
      </c>
      <c r="K4723" s="0" t="str">
        <f aca="false">IF(I4723="","",J4723*הגדרות!$E$6+I4723+1)</f>
        <v/>
      </c>
      <c r="L4723" s="0" t="str">
        <f aca="false">IF(K4723="","",MATCH(K4723,$F$2:$F$5001,0))</f>
        <v/>
      </c>
      <c r="M4723" s="0" t="str">
        <f aca="false">IF(I4723="","",INDEX(הגדרות!$A$2:$A$21,MOD(I4723+הגדרות!$E$9,הגדרות!$E$6)+1))</f>
        <v/>
      </c>
    </row>
    <row r="4724" customFormat="false" ht="15" hidden="false" customHeight="false" outlineLevel="0" collapsed="false">
      <c r="A4724" s="0" t="str">
        <f aca="false">IF('הדבקת לידים'!A4724="","",IF(ISNUMBER('הדבקת לידים'!A4724),IF(הגדרות!$E$2&gt;0,TEXT('הדבקת לידים'!A4724,REPT("0",הגדרות!$E$2)),TEXT('הדבקת לידים'!A4724,"0")),TRIM('הדבקת לידים'!A4724)))</f>
        <v/>
      </c>
      <c r="B4724" s="0" t="str">
        <f aca="false">IF('הדבקת לידים'!B4724="","",IF(ISNUMBER('הדבקת לידים'!B4724),IF(הגדרות!$E$3&gt;0,TEXT('הדבקת לידים'!B4724,REPT("0",הגדרות!$E$3)),TEXT('הדבקת לידים'!B4724,"0")),TRIM('הדבקת לידים'!B4724)))</f>
        <v/>
      </c>
      <c r="C4724" s="0" t="n">
        <f aca="false">IF(OR(A4724&lt;&gt;"",B4724&lt;&gt;""),1,0)</f>
        <v>0</v>
      </c>
      <c r="D4724" s="0" t="str">
        <f aca="false">IF(C4724=1,MOD(ABS(SIN(ROW()*12.9898+'הדבקת לידים'!$F$2*78.233+IFERROR(--RIGHT(A4724,6),LEN(A4724))*0.0137+IFERROR(--RIGHT(B4724,6),LEN(B4724))*0.0071))*43758.5453,1),"")</f>
        <v/>
      </c>
      <c r="E4724" s="0" t="str">
        <f aca="false">IF(C4724=1,INT(MOD(ABS(SIN(D4724*7919.123+ROW()*0.618+'הדבקת לידים'!$F$2*1.3))*43758.5453,1)*1000000)*10000+ROW(),"")</f>
        <v/>
      </c>
      <c r="F4724" s="0" t="str">
        <f aca="false">IF(E4724="","",RANK(E4724,$E$2:$E$5001,1))</f>
        <v/>
      </c>
      <c r="G4724" s="0" t="n">
        <f aca="false">IF(A4724="",0,IF(SUMPRODUCT(--($A$2:$A$5001=A4724))&gt;1,1,0))</f>
        <v>0</v>
      </c>
      <c r="H4724" s="0" t="n">
        <f aca="false">ROW()-1</f>
        <v>4723</v>
      </c>
      <c r="I4724" s="0" t="str">
        <f aca="false">IF(OR(הגדרות!$E$6=0,H4724&gt;הגדרות!$E$5),"",IF(H4724-1&lt;הגדרות!$E$8*(הגדרות!$E$7+1),INT((H4724-1)/(הגדרות!$E$7+1)),הגדרות!$E$8+INT((H4724-1-הגדרות!$E$8*(הגדרות!$E$7+1))/הגדרות!$E$7)))</f>
        <v/>
      </c>
      <c r="J4724" s="0" t="str">
        <f aca="false">IF(I4724="","",IF(H4724-1&lt;הגדרות!$E$8*(הגדרות!$E$7+1),MOD(H4724-1,הגדרות!$E$7+1),MOD(H4724-1-הגדרות!$E$8*(הגדרות!$E$7+1),הגדרות!$E$7)))</f>
        <v/>
      </c>
      <c r="K4724" s="0" t="str">
        <f aca="false">IF(I4724="","",J4724*הגדרות!$E$6+I4724+1)</f>
        <v/>
      </c>
      <c r="L4724" s="0" t="str">
        <f aca="false">IF(K4724="","",MATCH(K4724,$F$2:$F$5001,0))</f>
        <v/>
      </c>
      <c r="M4724" s="0" t="str">
        <f aca="false">IF(I4724="","",INDEX(הגדרות!$A$2:$A$21,MOD(I4724+הגדרות!$E$9,הגדרות!$E$6)+1))</f>
        <v/>
      </c>
    </row>
    <row r="4725" customFormat="false" ht="15" hidden="false" customHeight="false" outlineLevel="0" collapsed="false">
      <c r="A4725" s="0" t="str">
        <f aca="false">IF('הדבקת לידים'!A4725="","",IF(ISNUMBER('הדבקת לידים'!A4725),IF(הגדרות!$E$2&gt;0,TEXT('הדבקת לידים'!A4725,REPT("0",הגדרות!$E$2)),TEXT('הדבקת לידים'!A4725,"0")),TRIM('הדבקת לידים'!A4725)))</f>
        <v/>
      </c>
      <c r="B4725" s="0" t="str">
        <f aca="false">IF('הדבקת לידים'!B4725="","",IF(ISNUMBER('הדבקת לידים'!B4725),IF(הגדרות!$E$3&gt;0,TEXT('הדבקת לידים'!B4725,REPT("0",הגדרות!$E$3)),TEXT('הדבקת לידים'!B4725,"0")),TRIM('הדבקת לידים'!B4725)))</f>
        <v/>
      </c>
      <c r="C4725" s="0" t="n">
        <f aca="false">IF(OR(A4725&lt;&gt;"",B4725&lt;&gt;""),1,0)</f>
        <v>0</v>
      </c>
      <c r="D4725" s="0" t="str">
        <f aca="false">IF(C4725=1,MOD(ABS(SIN(ROW()*12.9898+'הדבקת לידים'!$F$2*78.233+IFERROR(--RIGHT(A4725,6),LEN(A4725))*0.0137+IFERROR(--RIGHT(B4725,6),LEN(B4725))*0.0071))*43758.5453,1),"")</f>
        <v/>
      </c>
      <c r="E4725" s="0" t="str">
        <f aca="false">IF(C4725=1,INT(MOD(ABS(SIN(D4725*7919.123+ROW()*0.618+'הדבקת לידים'!$F$2*1.3))*43758.5453,1)*1000000)*10000+ROW(),"")</f>
        <v/>
      </c>
      <c r="F4725" s="0" t="str">
        <f aca="false">IF(E4725="","",RANK(E4725,$E$2:$E$5001,1))</f>
        <v/>
      </c>
      <c r="G4725" s="0" t="n">
        <f aca="false">IF(A4725="",0,IF(SUMPRODUCT(--($A$2:$A$5001=A4725))&gt;1,1,0))</f>
        <v>0</v>
      </c>
      <c r="H4725" s="0" t="n">
        <f aca="false">ROW()-1</f>
        <v>4724</v>
      </c>
      <c r="I4725" s="0" t="str">
        <f aca="false">IF(OR(הגדרות!$E$6=0,H4725&gt;הגדרות!$E$5),"",IF(H4725-1&lt;הגדרות!$E$8*(הגדרות!$E$7+1),INT((H4725-1)/(הגדרות!$E$7+1)),הגדרות!$E$8+INT((H4725-1-הגדרות!$E$8*(הגדרות!$E$7+1))/הגדרות!$E$7)))</f>
        <v/>
      </c>
      <c r="J4725" s="0" t="str">
        <f aca="false">IF(I4725="","",IF(H4725-1&lt;הגדרות!$E$8*(הגדרות!$E$7+1),MOD(H4725-1,הגדרות!$E$7+1),MOD(H4725-1-הגדרות!$E$8*(הגדרות!$E$7+1),הגדרות!$E$7)))</f>
        <v/>
      </c>
      <c r="K4725" s="0" t="str">
        <f aca="false">IF(I4725="","",J4725*הגדרות!$E$6+I4725+1)</f>
        <v/>
      </c>
      <c r="L4725" s="0" t="str">
        <f aca="false">IF(K4725="","",MATCH(K4725,$F$2:$F$5001,0))</f>
        <v/>
      </c>
      <c r="M4725" s="0" t="str">
        <f aca="false">IF(I4725="","",INDEX(הגדרות!$A$2:$A$21,MOD(I4725+הגדרות!$E$9,הגדרות!$E$6)+1))</f>
        <v/>
      </c>
    </row>
    <row r="4726" customFormat="false" ht="15" hidden="false" customHeight="false" outlineLevel="0" collapsed="false">
      <c r="A4726" s="0" t="str">
        <f aca="false">IF('הדבקת לידים'!A4726="","",IF(ISNUMBER('הדבקת לידים'!A4726),IF(הגדרות!$E$2&gt;0,TEXT('הדבקת לידים'!A4726,REPT("0",הגדרות!$E$2)),TEXT('הדבקת לידים'!A4726,"0")),TRIM('הדבקת לידים'!A4726)))</f>
        <v/>
      </c>
      <c r="B4726" s="0" t="str">
        <f aca="false">IF('הדבקת לידים'!B4726="","",IF(ISNUMBER('הדבקת לידים'!B4726),IF(הגדרות!$E$3&gt;0,TEXT('הדבקת לידים'!B4726,REPT("0",הגדרות!$E$3)),TEXT('הדבקת לידים'!B4726,"0")),TRIM('הדבקת לידים'!B4726)))</f>
        <v/>
      </c>
      <c r="C4726" s="0" t="n">
        <f aca="false">IF(OR(A4726&lt;&gt;"",B4726&lt;&gt;""),1,0)</f>
        <v>0</v>
      </c>
      <c r="D4726" s="0" t="str">
        <f aca="false">IF(C4726=1,MOD(ABS(SIN(ROW()*12.9898+'הדבקת לידים'!$F$2*78.233+IFERROR(--RIGHT(A4726,6),LEN(A4726))*0.0137+IFERROR(--RIGHT(B4726,6),LEN(B4726))*0.0071))*43758.5453,1),"")</f>
        <v/>
      </c>
      <c r="E4726" s="0" t="str">
        <f aca="false">IF(C4726=1,INT(MOD(ABS(SIN(D4726*7919.123+ROW()*0.618+'הדבקת לידים'!$F$2*1.3))*43758.5453,1)*1000000)*10000+ROW(),"")</f>
        <v/>
      </c>
      <c r="F4726" s="0" t="str">
        <f aca="false">IF(E4726="","",RANK(E4726,$E$2:$E$5001,1))</f>
        <v/>
      </c>
      <c r="G4726" s="0" t="n">
        <f aca="false">IF(A4726="",0,IF(SUMPRODUCT(--($A$2:$A$5001=A4726))&gt;1,1,0))</f>
        <v>0</v>
      </c>
      <c r="H4726" s="0" t="n">
        <f aca="false">ROW()-1</f>
        <v>4725</v>
      </c>
      <c r="I4726" s="0" t="str">
        <f aca="false">IF(OR(הגדרות!$E$6=0,H4726&gt;הגדרות!$E$5),"",IF(H4726-1&lt;הגדרות!$E$8*(הגדרות!$E$7+1),INT((H4726-1)/(הגדרות!$E$7+1)),הגדרות!$E$8+INT((H4726-1-הגדרות!$E$8*(הגדרות!$E$7+1))/הגדרות!$E$7)))</f>
        <v/>
      </c>
      <c r="J4726" s="0" t="str">
        <f aca="false">IF(I4726="","",IF(H4726-1&lt;הגדרות!$E$8*(הגדרות!$E$7+1),MOD(H4726-1,הגדרות!$E$7+1),MOD(H4726-1-הגדרות!$E$8*(הגדרות!$E$7+1),הגדרות!$E$7)))</f>
        <v/>
      </c>
      <c r="K4726" s="0" t="str">
        <f aca="false">IF(I4726="","",J4726*הגדרות!$E$6+I4726+1)</f>
        <v/>
      </c>
      <c r="L4726" s="0" t="str">
        <f aca="false">IF(K4726="","",MATCH(K4726,$F$2:$F$5001,0))</f>
        <v/>
      </c>
      <c r="M4726" s="0" t="str">
        <f aca="false">IF(I4726="","",INDEX(הגדרות!$A$2:$A$21,MOD(I4726+הגדרות!$E$9,הגדרות!$E$6)+1))</f>
        <v/>
      </c>
    </row>
    <row r="4727" customFormat="false" ht="15" hidden="false" customHeight="false" outlineLevel="0" collapsed="false">
      <c r="A4727" s="0" t="str">
        <f aca="false">IF('הדבקת לידים'!A4727="","",IF(ISNUMBER('הדבקת לידים'!A4727),IF(הגדרות!$E$2&gt;0,TEXT('הדבקת לידים'!A4727,REPT("0",הגדרות!$E$2)),TEXT('הדבקת לידים'!A4727,"0")),TRIM('הדבקת לידים'!A4727)))</f>
        <v/>
      </c>
      <c r="B4727" s="0" t="str">
        <f aca="false">IF('הדבקת לידים'!B4727="","",IF(ISNUMBER('הדבקת לידים'!B4727),IF(הגדרות!$E$3&gt;0,TEXT('הדבקת לידים'!B4727,REPT("0",הגדרות!$E$3)),TEXT('הדבקת לידים'!B4727,"0")),TRIM('הדבקת לידים'!B4727)))</f>
        <v/>
      </c>
      <c r="C4727" s="0" t="n">
        <f aca="false">IF(OR(A4727&lt;&gt;"",B4727&lt;&gt;""),1,0)</f>
        <v>0</v>
      </c>
      <c r="D4727" s="0" t="str">
        <f aca="false">IF(C4727=1,MOD(ABS(SIN(ROW()*12.9898+'הדבקת לידים'!$F$2*78.233+IFERROR(--RIGHT(A4727,6),LEN(A4727))*0.0137+IFERROR(--RIGHT(B4727,6),LEN(B4727))*0.0071))*43758.5453,1),"")</f>
        <v/>
      </c>
      <c r="E4727" s="0" t="str">
        <f aca="false">IF(C4727=1,INT(MOD(ABS(SIN(D4727*7919.123+ROW()*0.618+'הדבקת לידים'!$F$2*1.3))*43758.5453,1)*1000000)*10000+ROW(),"")</f>
        <v/>
      </c>
      <c r="F4727" s="0" t="str">
        <f aca="false">IF(E4727="","",RANK(E4727,$E$2:$E$5001,1))</f>
        <v/>
      </c>
      <c r="G4727" s="0" t="n">
        <f aca="false">IF(A4727="",0,IF(SUMPRODUCT(--($A$2:$A$5001=A4727))&gt;1,1,0))</f>
        <v>0</v>
      </c>
      <c r="H4727" s="0" t="n">
        <f aca="false">ROW()-1</f>
        <v>4726</v>
      </c>
      <c r="I4727" s="0" t="str">
        <f aca="false">IF(OR(הגדרות!$E$6=0,H4727&gt;הגדרות!$E$5),"",IF(H4727-1&lt;הגדרות!$E$8*(הגדרות!$E$7+1),INT((H4727-1)/(הגדרות!$E$7+1)),הגדרות!$E$8+INT((H4727-1-הגדרות!$E$8*(הגדרות!$E$7+1))/הגדרות!$E$7)))</f>
        <v/>
      </c>
      <c r="J4727" s="0" t="str">
        <f aca="false">IF(I4727="","",IF(H4727-1&lt;הגדרות!$E$8*(הגדרות!$E$7+1),MOD(H4727-1,הגדרות!$E$7+1),MOD(H4727-1-הגדרות!$E$8*(הגדרות!$E$7+1),הגדרות!$E$7)))</f>
        <v/>
      </c>
      <c r="K4727" s="0" t="str">
        <f aca="false">IF(I4727="","",J4727*הגדרות!$E$6+I4727+1)</f>
        <v/>
      </c>
      <c r="L4727" s="0" t="str">
        <f aca="false">IF(K4727="","",MATCH(K4727,$F$2:$F$5001,0))</f>
        <v/>
      </c>
      <c r="M4727" s="0" t="str">
        <f aca="false">IF(I4727="","",INDEX(הגדרות!$A$2:$A$21,MOD(I4727+הגדרות!$E$9,הגדרות!$E$6)+1))</f>
        <v/>
      </c>
    </row>
    <row r="4728" customFormat="false" ht="15" hidden="false" customHeight="false" outlineLevel="0" collapsed="false">
      <c r="A4728" s="0" t="str">
        <f aca="false">IF('הדבקת לידים'!A4728="","",IF(ISNUMBER('הדבקת לידים'!A4728),IF(הגדרות!$E$2&gt;0,TEXT('הדבקת לידים'!A4728,REPT("0",הגדרות!$E$2)),TEXT('הדבקת לידים'!A4728,"0")),TRIM('הדבקת לידים'!A4728)))</f>
        <v/>
      </c>
      <c r="B4728" s="0" t="str">
        <f aca="false">IF('הדבקת לידים'!B4728="","",IF(ISNUMBER('הדבקת לידים'!B4728),IF(הגדרות!$E$3&gt;0,TEXT('הדבקת לידים'!B4728,REPT("0",הגדרות!$E$3)),TEXT('הדבקת לידים'!B4728,"0")),TRIM('הדבקת לידים'!B4728)))</f>
        <v/>
      </c>
      <c r="C4728" s="0" t="n">
        <f aca="false">IF(OR(A4728&lt;&gt;"",B4728&lt;&gt;""),1,0)</f>
        <v>0</v>
      </c>
      <c r="D4728" s="0" t="str">
        <f aca="false">IF(C4728=1,MOD(ABS(SIN(ROW()*12.9898+'הדבקת לידים'!$F$2*78.233+IFERROR(--RIGHT(A4728,6),LEN(A4728))*0.0137+IFERROR(--RIGHT(B4728,6),LEN(B4728))*0.0071))*43758.5453,1),"")</f>
        <v/>
      </c>
      <c r="E4728" s="0" t="str">
        <f aca="false">IF(C4728=1,INT(MOD(ABS(SIN(D4728*7919.123+ROW()*0.618+'הדבקת לידים'!$F$2*1.3))*43758.5453,1)*1000000)*10000+ROW(),"")</f>
        <v/>
      </c>
      <c r="F4728" s="0" t="str">
        <f aca="false">IF(E4728="","",RANK(E4728,$E$2:$E$5001,1))</f>
        <v/>
      </c>
      <c r="G4728" s="0" t="n">
        <f aca="false">IF(A4728="",0,IF(SUMPRODUCT(--($A$2:$A$5001=A4728))&gt;1,1,0))</f>
        <v>0</v>
      </c>
      <c r="H4728" s="0" t="n">
        <f aca="false">ROW()-1</f>
        <v>4727</v>
      </c>
      <c r="I4728" s="0" t="str">
        <f aca="false">IF(OR(הגדרות!$E$6=0,H4728&gt;הגדרות!$E$5),"",IF(H4728-1&lt;הגדרות!$E$8*(הגדרות!$E$7+1),INT((H4728-1)/(הגדרות!$E$7+1)),הגדרות!$E$8+INT((H4728-1-הגדרות!$E$8*(הגדרות!$E$7+1))/הגדרות!$E$7)))</f>
        <v/>
      </c>
      <c r="J4728" s="0" t="str">
        <f aca="false">IF(I4728="","",IF(H4728-1&lt;הגדרות!$E$8*(הגדרות!$E$7+1),MOD(H4728-1,הגדרות!$E$7+1),MOD(H4728-1-הגדרות!$E$8*(הגדרות!$E$7+1),הגדרות!$E$7)))</f>
        <v/>
      </c>
      <c r="K4728" s="0" t="str">
        <f aca="false">IF(I4728="","",J4728*הגדרות!$E$6+I4728+1)</f>
        <v/>
      </c>
      <c r="L4728" s="0" t="str">
        <f aca="false">IF(K4728="","",MATCH(K4728,$F$2:$F$5001,0))</f>
        <v/>
      </c>
      <c r="M4728" s="0" t="str">
        <f aca="false">IF(I4728="","",INDEX(הגדרות!$A$2:$A$21,MOD(I4728+הגדרות!$E$9,הגדרות!$E$6)+1))</f>
        <v/>
      </c>
    </row>
    <row r="4729" customFormat="false" ht="15" hidden="false" customHeight="false" outlineLevel="0" collapsed="false">
      <c r="A4729" s="0" t="str">
        <f aca="false">IF('הדבקת לידים'!A4729="","",IF(ISNUMBER('הדבקת לידים'!A4729),IF(הגדרות!$E$2&gt;0,TEXT('הדבקת לידים'!A4729,REPT("0",הגדרות!$E$2)),TEXT('הדבקת לידים'!A4729,"0")),TRIM('הדבקת לידים'!A4729)))</f>
        <v/>
      </c>
      <c r="B4729" s="0" t="str">
        <f aca="false">IF('הדבקת לידים'!B4729="","",IF(ISNUMBER('הדבקת לידים'!B4729),IF(הגדרות!$E$3&gt;0,TEXT('הדבקת לידים'!B4729,REPT("0",הגדרות!$E$3)),TEXT('הדבקת לידים'!B4729,"0")),TRIM('הדבקת לידים'!B4729)))</f>
        <v/>
      </c>
      <c r="C4729" s="0" t="n">
        <f aca="false">IF(OR(A4729&lt;&gt;"",B4729&lt;&gt;""),1,0)</f>
        <v>0</v>
      </c>
      <c r="D4729" s="0" t="str">
        <f aca="false">IF(C4729=1,MOD(ABS(SIN(ROW()*12.9898+'הדבקת לידים'!$F$2*78.233+IFERROR(--RIGHT(A4729,6),LEN(A4729))*0.0137+IFERROR(--RIGHT(B4729,6),LEN(B4729))*0.0071))*43758.5453,1),"")</f>
        <v/>
      </c>
      <c r="E4729" s="0" t="str">
        <f aca="false">IF(C4729=1,INT(MOD(ABS(SIN(D4729*7919.123+ROW()*0.618+'הדבקת לידים'!$F$2*1.3))*43758.5453,1)*1000000)*10000+ROW(),"")</f>
        <v/>
      </c>
      <c r="F4729" s="0" t="str">
        <f aca="false">IF(E4729="","",RANK(E4729,$E$2:$E$5001,1))</f>
        <v/>
      </c>
      <c r="G4729" s="0" t="n">
        <f aca="false">IF(A4729="",0,IF(SUMPRODUCT(--($A$2:$A$5001=A4729))&gt;1,1,0))</f>
        <v>0</v>
      </c>
      <c r="H4729" s="0" t="n">
        <f aca="false">ROW()-1</f>
        <v>4728</v>
      </c>
      <c r="I4729" s="0" t="str">
        <f aca="false">IF(OR(הגדרות!$E$6=0,H4729&gt;הגדרות!$E$5),"",IF(H4729-1&lt;הגדרות!$E$8*(הגדרות!$E$7+1),INT((H4729-1)/(הגדרות!$E$7+1)),הגדרות!$E$8+INT((H4729-1-הגדרות!$E$8*(הגדרות!$E$7+1))/הגדרות!$E$7)))</f>
        <v/>
      </c>
      <c r="J4729" s="0" t="str">
        <f aca="false">IF(I4729="","",IF(H4729-1&lt;הגדרות!$E$8*(הגדרות!$E$7+1),MOD(H4729-1,הגדרות!$E$7+1),MOD(H4729-1-הגדרות!$E$8*(הגדרות!$E$7+1),הגדרות!$E$7)))</f>
        <v/>
      </c>
      <c r="K4729" s="0" t="str">
        <f aca="false">IF(I4729="","",J4729*הגדרות!$E$6+I4729+1)</f>
        <v/>
      </c>
      <c r="L4729" s="0" t="str">
        <f aca="false">IF(K4729="","",MATCH(K4729,$F$2:$F$5001,0))</f>
        <v/>
      </c>
      <c r="M4729" s="0" t="str">
        <f aca="false">IF(I4729="","",INDEX(הגדרות!$A$2:$A$21,MOD(I4729+הגדרות!$E$9,הגדרות!$E$6)+1))</f>
        <v/>
      </c>
    </row>
    <row r="4730" customFormat="false" ht="15" hidden="false" customHeight="false" outlineLevel="0" collapsed="false">
      <c r="A4730" s="0" t="str">
        <f aca="false">IF('הדבקת לידים'!A4730="","",IF(ISNUMBER('הדבקת לידים'!A4730),IF(הגדרות!$E$2&gt;0,TEXT('הדבקת לידים'!A4730,REPT("0",הגדרות!$E$2)),TEXT('הדבקת לידים'!A4730,"0")),TRIM('הדבקת לידים'!A4730)))</f>
        <v/>
      </c>
      <c r="B4730" s="0" t="str">
        <f aca="false">IF('הדבקת לידים'!B4730="","",IF(ISNUMBER('הדבקת לידים'!B4730),IF(הגדרות!$E$3&gt;0,TEXT('הדבקת לידים'!B4730,REPT("0",הגדרות!$E$3)),TEXT('הדבקת לידים'!B4730,"0")),TRIM('הדבקת לידים'!B4730)))</f>
        <v/>
      </c>
      <c r="C4730" s="0" t="n">
        <f aca="false">IF(OR(A4730&lt;&gt;"",B4730&lt;&gt;""),1,0)</f>
        <v>0</v>
      </c>
      <c r="D4730" s="0" t="str">
        <f aca="false">IF(C4730=1,MOD(ABS(SIN(ROW()*12.9898+'הדבקת לידים'!$F$2*78.233+IFERROR(--RIGHT(A4730,6),LEN(A4730))*0.0137+IFERROR(--RIGHT(B4730,6),LEN(B4730))*0.0071))*43758.5453,1),"")</f>
        <v/>
      </c>
      <c r="E4730" s="0" t="str">
        <f aca="false">IF(C4730=1,INT(MOD(ABS(SIN(D4730*7919.123+ROW()*0.618+'הדבקת לידים'!$F$2*1.3))*43758.5453,1)*1000000)*10000+ROW(),"")</f>
        <v/>
      </c>
      <c r="F4730" s="0" t="str">
        <f aca="false">IF(E4730="","",RANK(E4730,$E$2:$E$5001,1))</f>
        <v/>
      </c>
      <c r="G4730" s="0" t="n">
        <f aca="false">IF(A4730="",0,IF(SUMPRODUCT(--($A$2:$A$5001=A4730))&gt;1,1,0))</f>
        <v>0</v>
      </c>
      <c r="H4730" s="0" t="n">
        <f aca="false">ROW()-1</f>
        <v>4729</v>
      </c>
      <c r="I4730" s="0" t="str">
        <f aca="false">IF(OR(הגדרות!$E$6=0,H4730&gt;הגדרות!$E$5),"",IF(H4730-1&lt;הגדרות!$E$8*(הגדרות!$E$7+1),INT((H4730-1)/(הגדרות!$E$7+1)),הגדרות!$E$8+INT((H4730-1-הגדרות!$E$8*(הגדרות!$E$7+1))/הגדרות!$E$7)))</f>
        <v/>
      </c>
      <c r="J4730" s="0" t="str">
        <f aca="false">IF(I4730="","",IF(H4730-1&lt;הגדרות!$E$8*(הגדרות!$E$7+1),MOD(H4730-1,הגדרות!$E$7+1),MOD(H4730-1-הגדרות!$E$8*(הגדרות!$E$7+1),הגדרות!$E$7)))</f>
        <v/>
      </c>
      <c r="K4730" s="0" t="str">
        <f aca="false">IF(I4730="","",J4730*הגדרות!$E$6+I4730+1)</f>
        <v/>
      </c>
      <c r="L4730" s="0" t="str">
        <f aca="false">IF(K4730="","",MATCH(K4730,$F$2:$F$5001,0))</f>
        <v/>
      </c>
      <c r="M4730" s="0" t="str">
        <f aca="false">IF(I4730="","",INDEX(הגדרות!$A$2:$A$21,MOD(I4730+הגדרות!$E$9,הגדרות!$E$6)+1))</f>
        <v/>
      </c>
    </row>
    <row r="4731" customFormat="false" ht="15" hidden="false" customHeight="false" outlineLevel="0" collapsed="false">
      <c r="A4731" s="0" t="str">
        <f aca="false">IF('הדבקת לידים'!A4731="","",IF(ISNUMBER('הדבקת לידים'!A4731),IF(הגדרות!$E$2&gt;0,TEXT('הדבקת לידים'!A4731,REPT("0",הגדרות!$E$2)),TEXT('הדבקת לידים'!A4731,"0")),TRIM('הדבקת לידים'!A4731)))</f>
        <v/>
      </c>
      <c r="B4731" s="0" t="str">
        <f aca="false">IF('הדבקת לידים'!B4731="","",IF(ISNUMBER('הדבקת לידים'!B4731),IF(הגדרות!$E$3&gt;0,TEXT('הדבקת לידים'!B4731,REPT("0",הגדרות!$E$3)),TEXT('הדבקת לידים'!B4731,"0")),TRIM('הדבקת לידים'!B4731)))</f>
        <v/>
      </c>
      <c r="C4731" s="0" t="n">
        <f aca="false">IF(OR(A4731&lt;&gt;"",B4731&lt;&gt;""),1,0)</f>
        <v>0</v>
      </c>
      <c r="D4731" s="0" t="str">
        <f aca="false">IF(C4731=1,MOD(ABS(SIN(ROW()*12.9898+'הדבקת לידים'!$F$2*78.233+IFERROR(--RIGHT(A4731,6),LEN(A4731))*0.0137+IFERROR(--RIGHT(B4731,6),LEN(B4731))*0.0071))*43758.5453,1),"")</f>
        <v/>
      </c>
      <c r="E4731" s="0" t="str">
        <f aca="false">IF(C4731=1,INT(MOD(ABS(SIN(D4731*7919.123+ROW()*0.618+'הדבקת לידים'!$F$2*1.3))*43758.5453,1)*1000000)*10000+ROW(),"")</f>
        <v/>
      </c>
      <c r="F4731" s="0" t="str">
        <f aca="false">IF(E4731="","",RANK(E4731,$E$2:$E$5001,1))</f>
        <v/>
      </c>
      <c r="G4731" s="0" t="n">
        <f aca="false">IF(A4731="",0,IF(SUMPRODUCT(--($A$2:$A$5001=A4731))&gt;1,1,0))</f>
        <v>0</v>
      </c>
      <c r="H4731" s="0" t="n">
        <f aca="false">ROW()-1</f>
        <v>4730</v>
      </c>
      <c r="I4731" s="0" t="str">
        <f aca="false">IF(OR(הגדרות!$E$6=0,H4731&gt;הגדרות!$E$5),"",IF(H4731-1&lt;הגדרות!$E$8*(הגדרות!$E$7+1),INT((H4731-1)/(הגדרות!$E$7+1)),הגדרות!$E$8+INT((H4731-1-הגדרות!$E$8*(הגדרות!$E$7+1))/הגדרות!$E$7)))</f>
        <v/>
      </c>
      <c r="J4731" s="0" t="str">
        <f aca="false">IF(I4731="","",IF(H4731-1&lt;הגדרות!$E$8*(הגדרות!$E$7+1),MOD(H4731-1,הגדרות!$E$7+1),MOD(H4731-1-הגדרות!$E$8*(הגדרות!$E$7+1),הגדרות!$E$7)))</f>
        <v/>
      </c>
      <c r="K4731" s="0" t="str">
        <f aca="false">IF(I4731="","",J4731*הגדרות!$E$6+I4731+1)</f>
        <v/>
      </c>
      <c r="L4731" s="0" t="str">
        <f aca="false">IF(K4731="","",MATCH(K4731,$F$2:$F$5001,0))</f>
        <v/>
      </c>
      <c r="M4731" s="0" t="str">
        <f aca="false">IF(I4731="","",INDEX(הגדרות!$A$2:$A$21,MOD(I4731+הגדרות!$E$9,הגדרות!$E$6)+1))</f>
        <v/>
      </c>
    </row>
    <row r="4732" customFormat="false" ht="15" hidden="false" customHeight="false" outlineLevel="0" collapsed="false">
      <c r="A4732" s="0" t="str">
        <f aca="false">IF('הדבקת לידים'!A4732="","",IF(ISNUMBER('הדבקת לידים'!A4732),IF(הגדרות!$E$2&gt;0,TEXT('הדבקת לידים'!A4732,REPT("0",הגדרות!$E$2)),TEXT('הדבקת לידים'!A4732,"0")),TRIM('הדבקת לידים'!A4732)))</f>
        <v/>
      </c>
      <c r="B4732" s="0" t="str">
        <f aca="false">IF('הדבקת לידים'!B4732="","",IF(ISNUMBER('הדבקת לידים'!B4732),IF(הגדרות!$E$3&gt;0,TEXT('הדבקת לידים'!B4732,REPT("0",הגדרות!$E$3)),TEXT('הדבקת לידים'!B4732,"0")),TRIM('הדבקת לידים'!B4732)))</f>
        <v/>
      </c>
      <c r="C4732" s="0" t="n">
        <f aca="false">IF(OR(A4732&lt;&gt;"",B4732&lt;&gt;""),1,0)</f>
        <v>0</v>
      </c>
      <c r="D4732" s="0" t="str">
        <f aca="false">IF(C4732=1,MOD(ABS(SIN(ROW()*12.9898+'הדבקת לידים'!$F$2*78.233+IFERROR(--RIGHT(A4732,6),LEN(A4732))*0.0137+IFERROR(--RIGHT(B4732,6),LEN(B4732))*0.0071))*43758.5453,1),"")</f>
        <v/>
      </c>
      <c r="E4732" s="0" t="str">
        <f aca="false">IF(C4732=1,INT(MOD(ABS(SIN(D4732*7919.123+ROW()*0.618+'הדבקת לידים'!$F$2*1.3))*43758.5453,1)*1000000)*10000+ROW(),"")</f>
        <v/>
      </c>
      <c r="F4732" s="0" t="str">
        <f aca="false">IF(E4732="","",RANK(E4732,$E$2:$E$5001,1))</f>
        <v/>
      </c>
      <c r="G4732" s="0" t="n">
        <f aca="false">IF(A4732="",0,IF(SUMPRODUCT(--($A$2:$A$5001=A4732))&gt;1,1,0))</f>
        <v>0</v>
      </c>
      <c r="H4732" s="0" t="n">
        <f aca="false">ROW()-1</f>
        <v>4731</v>
      </c>
      <c r="I4732" s="0" t="str">
        <f aca="false">IF(OR(הגדרות!$E$6=0,H4732&gt;הגדרות!$E$5),"",IF(H4732-1&lt;הגדרות!$E$8*(הגדרות!$E$7+1),INT((H4732-1)/(הגדרות!$E$7+1)),הגדרות!$E$8+INT((H4732-1-הגדרות!$E$8*(הגדרות!$E$7+1))/הגדרות!$E$7)))</f>
        <v/>
      </c>
      <c r="J4732" s="0" t="str">
        <f aca="false">IF(I4732="","",IF(H4732-1&lt;הגדרות!$E$8*(הגדרות!$E$7+1),MOD(H4732-1,הגדרות!$E$7+1),MOD(H4732-1-הגדרות!$E$8*(הגדרות!$E$7+1),הגדרות!$E$7)))</f>
        <v/>
      </c>
      <c r="K4732" s="0" t="str">
        <f aca="false">IF(I4732="","",J4732*הגדרות!$E$6+I4732+1)</f>
        <v/>
      </c>
      <c r="L4732" s="0" t="str">
        <f aca="false">IF(K4732="","",MATCH(K4732,$F$2:$F$5001,0))</f>
        <v/>
      </c>
      <c r="M4732" s="0" t="str">
        <f aca="false">IF(I4732="","",INDEX(הגדרות!$A$2:$A$21,MOD(I4732+הגדרות!$E$9,הגדרות!$E$6)+1))</f>
        <v/>
      </c>
    </row>
    <row r="4733" customFormat="false" ht="15" hidden="false" customHeight="false" outlineLevel="0" collapsed="false">
      <c r="A4733" s="0" t="str">
        <f aca="false">IF('הדבקת לידים'!A4733="","",IF(ISNUMBER('הדבקת לידים'!A4733),IF(הגדרות!$E$2&gt;0,TEXT('הדבקת לידים'!A4733,REPT("0",הגדרות!$E$2)),TEXT('הדבקת לידים'!A4733,"0")),TRIM('הדבקת לידים'!A4733)))</f>
        <v/>
      </c>
      <c r="B4733" s="0" t="str">
        <f aca="false">IF('הדבקת לידים'!B4733="","",IF(ISNUMBER('הדבקת לידים'!B4733),IF(הגדרות!$E$3&gt;0,TEXT('הדבקת לידים'!B4733,REPT("0",הגדרות!$E$3)),TEXT('הדבקת לידים'!B4733,"0")),TRIM('הדבקת לידים'!B4733)))</f>
        <v/>
      </c>
      <c r="C4733" s="0" t="n">
        <f aca="false">IF(OR(A4733&lt;&gt;"",B4733&lt;&gt;""),1,0)</f>
        <v>0</v>
      </c>
      <c r="D4733" s="0" t="str">
        <f aca="false">IF(C4733=1,MOD(ABS(SIN(ROW()*12.9898+'הדבקת לידים'!$F$2*78.233+IFERROR(--RIGHT(A4733,6),LEN(A4733))*0.0137+IFERROR(--RIGHT(B4733,6),LEN(B4733))*0.0071))*43758.5453,1),"")</f>
        <v/>
      </c>
      <c r="E4733" s="0" t="str">
        <f aca="false">IF(C4733=1,INT(MOD(ABS(SIN(D4733*7919.123+ROW()*0.618+'הדבקת לידים'!$F$2*1.3))*43758.5453,1)*1000000)*10000+ROW(),"")</f>
        <v/>
      </c>
      <c r="F4733" s="0" t="str">
        <f aca="false">IF(E4733="","",RANK(E4733,$E$2:$E$5001,1))</f>
        <v/>
      </c>
      <c r="G4733" s="0" t="n">
        <f aca="false">IF(A4733="",0,IF(SUMPRODUCT(--($A$2:$A$5001=A4733))&gt;1,1,0))</f>
        <v>0</v>
      </c>
      <c r="H4733" s="0" t="n">
        <f aca="false">ROW()-1</f>
        <v>4732</v>
      </c>
      <c r="I4733" s="0" t="str">
        <f aca="false">IF(OR(הגדרות!$E$6=0,H4733&gt;הגדרות!$E$5),"",IF(H4733-1&lt;הגדרות!$E$8*(הגדרות!$E$7+1),INT((H4733-1)/(הגדרות!$E$7+1)),הגדרות!$E$8+INT((H4733-1-הגדרות!$E$8*(הגדרות!$E$7+1))/הגדרות!$E$7)))</f>
        <v/>
      </c>
      <c r="J4733" s="0" t="str">
        <f aca="false">IF(I4733="","",IF(H4733-1&lt;הגדרות!$E$8*(הגדרות!$E$7+1),MOD(H4733-1,הגדרות!$E$7+1),MOD(H4733-1-הגדרות!$E$8*(הגדרות!$E$7+1),הגדרות!$E$7)))</f>
        <v/>
      </c>
      <c r="K4733" s="0" t="str">
        <f aca="false">IF(I4733="","",J4733*הגדרות!$E$6+I4733+1)</f>
        <v/>
      </c>
      <c r="L4733" s="0" t="str">
        <f aca="false">IF(K4733="","",MATCH(K4733,$F$2:$F$5001,0))</f>
        <v/>
      </c>
      <c r="M4733" s="0" t="str">
        <f aca="false">IF(I4733="","",INDEX(הגדרות!$A$2:$A$21,MOD(I4733+הגדרות!$E$9,הגדרות!$E$6)+1))</f>
        <v/>
      </c>
    </row>
    <row r="4734" customFormat="false" ht="15" hidden="false" customHeight="false" outlineLevel="0" collapsed="false">
      <c r="A4734" s="0" t="str">
        <f aca="false">IF('הדבקת לידים'!A4734="","",IF(ISNUMBER('הדבקת לידים'!A4734),IF(הגדרות!$E$2&gt;0,TEXT('הדבקת לידים'!A4734,REPT("0",הגדרות!$E$2)),TEXT('הדבקת לידים'!A4734,"0")),TRIM('הדבקת לידים'!A4734)))</f>
        <v/>
      </c>
      <c r="B4734" s="0" t="str">
        <f aca="false">IF('הדבקת לידים'!B4734="","",IF(ISNUMBER('הדבקת לידים'!B4734),IF(הגדרות!$E$3&gt;0,TEXT('הדבקת לידים'!B4734,REPT("0",הגדרות!$E$3)),TEXT('הדבקת לידים'!B4734,"0")),TRIM('הדבקת לידים'!B4734)))</f>
        <v/>
      </c>
      <c r="C4734" s="0" t="n">
        <f aca="false">IF(OR(A4734&lt;&gt;"",B4734&lt;&gt;""),1,0)</f>
        <v>0</v>
      </c>
      <c r="D4734" s="0" t="str">
        <f aca="false">IF(C4734=1,MOD(ABS(SIN(ROW()*12.9898+'הדבקת לידים'!$F$2*78.233+IFERROR(--RIGHT(A4734,6),LEN(A4734))*0.0137+IFERROR(--RIGHT(B4734,6),LEN(B4734))*0.0071))*43758.5453,1),"")</f>
        <v/>
      </c>
      <c r="E4734" s="0" t="str">
        <f aca="false">IF(C4734=1,INT(MOD(ABS(SIN(D4734*7919.123+ROW()*0.618+'הדבקת לידים'!$F$2*1.3))*43758.5453,1)*1000000)*10000+ROW(),"")</f>
        <v/>
      </c>
      <c r="F4734" s="0" t="str">
        <f aca="false">IF(E4734="","",RANK(E4734,$E$2:$E$5001,1))</f>
        <v/>
      </c>
      <c r="G4734" s="0" t="n">
        <f aca="false">IF(A4734="",0,IF(SUMPRODUCT(--($A$2:$A$5001=A4734))&gt;1,1,0))</f>
        <v>0</v>
      </c>
      <c r="H4734" s="0" t="n">
        <f aca="false">ROW()-1</f>
        <v>4733</v>
      </c>
      <c r="I4734" s="0" t="str">
        <f aca="false">IF(OR(הגדרות!$E$6=0,H4734&gt;הגדרות!$E$5),"",IF(H4734-1&lt;הגדרות!$E$8*(הגדרות!$E$7+1),INT((H4734-1)/(הגדרות!$E$7+1)),הגדרות!$E$8+INT((H4734-1-הגדרות!$E$8*(הגדרות!$E$7+1))/הגדרות!$E$7)))</f>
        <v/>
      </c>
      <c r="J4734" s="0" t="str">
        <f aca="false">IF(I4734="","",IF(H4734-1&lt;הגדרות!$E$8*(הגדרות!$E$7+1),MOD(H4734-1,הגדרות!$E$7+1),MOD(H4734-1-הגדרות!$E$8*(הגדרות!$E$7+1),הגדרות!$E$7)))</f>
        <v/>
      </c>
      <c r="K4734" s="0" t="str">
        <f aca="false">IF(I4734="","",J4734*הגדרות!$E$6+I4734+1)</f>
        <v/>
      </c>
      <c r="L4734" s="0" t="str">
        <f aca="false">IF(K4734="","",MATCH(K4734,$F$2:$F$5001,0))</f>
        <v/>
      </c>
      <c r="M4734" s="0" t="str">
        <f aca="false">IF(I4734="","",INDEX(הגדרות!$A$2:$A$21,MOD(I4734+הגדרות!$E$9,הגדרות!$E$6)+1))</f>
        <v/>
      </c>
    </row>
    <row r="4735" customFormat="false" ht="15" hidden="false" customHeight="false" outlineLevel="0" collapsed="false">
      <c r="A4735" s="0" t="str">
        <f aca="false">IF('הדבקת לידים'!A4735="","",IF(ISNUMBER('הדבקת לידים'!A4735),IF(הגדרות!$E$2&gt;0,TEXT('הדבקת לידים'!A4735,REPT("0",הגדרות!$E$2)),TEXT('הדבקת לידים'!A4735,"0")),TRIM('הדבקת לידים'!A4735)))</f>
        <v/>
      </c>
      <c r="B4735" s="0" t="str">
        <f aca="false">IF('הדבקת לידים'!B4735="","",IF(ISNUMBER('הדבקת לידים'!B4735),IF(הגדרות!$E$3&gt;0,TEXT('הדבקת לידים'!B4735,REPT("0",הגדרות!$E$3)),TEXT('הדבקת לידים'!B4735,"0")),TRIM('הדבקת לידים'!B4735)))</f>
        <v/>
      </c>
      <c r="C4735" s="0" t="n">
        <f aca="false">IF(OR(A4735&lt;&gt;"",B4735&lt;&gt;""),1,0)</f>
        <v>0</v>
      </c>
      <c r="D4735" s="0" t="str">
        <f aca="false">IF(C4735=1,MOD(ABS(SIN(ROW()*12.9898+'הדבקת לידים'!$F$2*78.233+IFERROR(--RIGHT(A4735,6),LEN(A4735))*0.0137+IFERROR(--RIGHT(B4735,6),LEN(B4735))*0.0071))*43758.5453,1),"")</f>
        <v/>
      </c>
      <c r="E4735" s="0" t="str">
        <f aca="false">IF(C4735=1,INT(MOD(ABS(SIN(D4735*7919.123+ROW()*0.618+'הדבקת לידים'!$F$2*1.3))*43758.5453,1)*1000000)*10000+ROW(),"")</f>
        <v/>
      </c>
      <c r="F4735" s="0" t="str">
        <f aca="false">IF(E4735="","",RANK(E4735,$E$2:$E$5001,1))</f>
        <v/>
      </c>
      <c r="G4735" s="0" t="n">
        <f aca="false">IF(A4735="",0,IF(SUMPRODUCT(--($A$2:$A$5001=A4735))&gt;1,1,0))</f>
        <v>0</v>
      </c>
      <c r="H4735" s="0" t="n">
        <f aca="false">ROW()-1</f>
        <v>4734</v>
      </c>
      <c r="I4735" s="0" t="str">
        <f aca="false">IF(OR(הגדרות!$E$6=0,H4735&gt;הגדרות!$E$5),"",IF(H4735-1&lt;הגדרות!$E$8*(הגדרות!$E$7+1),INT((H4735-1)/(הגדרות!$E$7+1)),הגדרות!$E$8+INT((H4735-1-הגדרות!$E$8*(הגדרות!$E$7+1))/הגדרות!$E$7)))</f>
        <v/>
      </c>
      <c r="J4735" s="0" t="str">
        <f aca="false">IF(I4735="","",IF(H4735-1&lt;הגדרות!$E$8*(הגדרות!$E$7+1),MOD(H4735-1,הגדרות!$E$7+1),MOD(H4735-1-הגדרות!$E$8*(הגדרות!$E$7+1),הגדרות!$E$7)))</f>
        <v/>
      </c>
      <c r="K4735" s="0" t="str">
        <f aca="false">IF(I4735="","",J4735*הגדרות!$E$6+I4735+1)</f>
        <v/>
      </c>
      <c r="L4735" s="0" t="str">
        <f aca="false">IF(K4735="","",MATCH(K4735,$F$2:$F$5001,0))</f>
        <v/>
      </c>
      <c r="M4735" s="0" t="str">
        <f aca="false">IF(I4735="","",INDEX(הגדרות!$A$2:$A$21,MOD(I4735+הגדרות!$E$9,הגדרות!$E$6)+1))</f>
        <v/>
      </c>
    </row>
    <row r="4736" customFormat="false" ht="15" hidden="false" customHeight="false" outlineLevel="0" collapsed="false">
      <c r="A4736" s="0" t="str">
        <f aca="false">IF('הדבקת לידים'!A4736="","",IF(ISNUMBER('הדבקת לידים'!A4736),IF(הגדרות!$E$2&gt;0,TEXT('הדבקת לידים'!A4736,REPT("0",הגדרות!$E$2)),TEXT('הדבקת לידים'!A4736,"0")),TRIM('הדבקת לידים'!A4736)))</f>
        <v/>
      </c>
      <c r="B4736" s="0" t="str">
        <f aca="false">IF('הדבקת לידים'!B4736="","",IF(ISNUMBER('הדבקת לידים'!B4736),IF(הגדרות!$E$3&gt;0,TEXT('הדבקת לידים'!B4736,REPT("0",הגדרות!$E$3)),TEXT('הדבקת לידים'!B4736,"0")),TRIM('הדבקת לידים'!B4736)))</f>
        <v/>
      </c>
      <c r="C4736" s="0" t="n">
        <f aca="false">IF(OR(A4736&lt;&gt;"",B4736&lt;&gt;""),1,0)</f>
        <v>0</v>
      </c>
      <c r="D4736" s="0" t="str">
        <f aca="false">IF(C4736=1,MOD(ABS(SIN(ROW()*12.9898+'הדבקת לידים'!$F$2*78.233+IFERROR(--RIGHT(A4736,6),LEN(A4736))*0.0137+IFERROR(--RIGHT(B4736,6),LEN(B4736))*0.0071))*43758.5453,1),"")</f>
        <v/>
      </c>
      <c r="E4736" s="0" t="str">
        <f aca="false">IF(C4736=1,INT(MOD(ABS(SIN(D4736*7919.123+ROW()*0.618+'הדבקת לידים'!$F$2*1.3))*43758.5453,1)*1000000)*10000+ROW(),"")</f>
        <v/>
      </c>
      <c r="F4736" s="0" t="str">
        <f aca="false">IF(E4736="","",RANK(E4736,$E$2:$E$5001,1))</f>
        <v/>
      </c>
      <c r="G4736" s="0" t="n">
        <f aca="false">IF(A4736="",0,IF(SUMPRODUCT(--($A$2:$A$5001=A4736))&gt;1,1,0))</f>
        <v>0</v>
      </c>
      <c r="H4736" s="0" t="n">
        <f aca="false">ROW()-1</f>
        <v>4735</v>
      </c>
      <c r="I4736" s="0" t="str">
        <f aca="false">IF(OR(הגדרות!$E$6=0,H4736&gt;הגדרות!$E$5),"",IF(H4736-1&lt;הגדרות!$E$8*(הגדרות!$E$7+1),INT((H4736-1)/(הגדרות!$E$7+1)),הגדרות!$E$8+INT((H4736-1-הגדרות!$E$8*(הגדרות!$E$7+1))/הגדרות!$E$7)))</f>
        <v/>
      </c>
      <c r="J4736" s="0" t="str">
        <f aca="false">IF(I4736="","",IF(H4736-1&lt;הגדרות!$E$8*(הגדרות!$E$7+1),MOD(H4736-1,הגדרות!$E$7+1),MOD(H4736-1-הגדרות!$E$8*(הגדרות!$E$7+1),הגדרות!$E$7)))</f>
        <v/>
      </c>
      <c r="K4736" s="0" t="str">
        <f aca="false">IF(I4736="","",J4736*הגדרות!$E$6+I4736+1)</f>
        <v/>
      </c>
      <c r="L4736" s="0" t="str">
        <f aca="false">IF(K4736="","",MATCH(K4736,$F$2:$F$5001,0))</f>
        <v/>
      </c>
      <c r="M4736" s="0" t="str">
        <f aca="false">IF(I4736="","",INDEX(הגדרות!$A$2:$A$21,MOD(I4736+הגדרות!$E$9,הגדרות!$E$6)+1))</f>
        <v/>
      </c>
    </row>
    <row r="4737" customFormat="false" ht="15" hidden="false" customHeight="false" outlineLevel="0" collapsed="false">
      <c r="A4737" s="0" t="str">
        <f aca="false">IF('הדבקת לידים'!A4737="","",IF(ISNUMBER('הדבקת לידים'!A4737),IF(הגדרות!$E$2&gt;0,TEXT('הדבקת לידים'!A4737,REPT("0",הגדרות!$E$2)),TEXT('הדבקת לידים'!A4737,"0")),TRIM('הדבקת לידים'!A4737)))</f>
        <v/>
      </c>
      <c r="B4737" s="0" t="str">
        <f aca="false">IF('הדבקת לידים'!B4737="","",IF(ISNUMBER('הדבקת לידים'!B4737),IF(הגדרות!$E$3&gt;0,TEXT('הדבקת לידים'!B4737,REPT("0",הגדרות!$E$3)),TEXT('הדבקת לידים'!B4737,"0")),TRIM('הדבקת לידים'!B4737)))</f>
        <v/>
      </c>
      <c r="C4737" s="0" t="n">
        <f aca="false">IF(OR(A4737&lt;&gt;"",B4737&lt;&gt;""),1,0)</f>
        <v>0</v>
      </c>
      <c r="D4737" s="0" t="str">
        <f aca="false">IF(C4737=1,MOD(ABS(SIN(ROW()*12.9898+'הדבקת לידים'!$F$2*78.233+IFERROR(--RIGHT(A4737,6),LEN(A4737))*0.0137+IFERROR(--RIGHT(B4737,6),LEN(B4737))*0.0071))*43758.5453,1),"")</f>
        <v/>
      </c>
      <c r="E4737" s="0" t="str">
        <f aca="false">IF(C4737=1,INT(MOD(ABS(SIN(D4737*7919.123+ROW()*0.618+'הדבקת לידים'!$F$2*1.3))*43758.5453,1)*1000000)*10000+ROW(),"")</f>
        <v/>
      </c>
      <c r="F4737" s="0" t="str">
        <f aca="false">IF(E4737="","",RANK(E4737,$E$2:$E$5001,1))</f>
        <v/>
      </c>
      <c r="G4737" s="0" t="n">
        <f aca="false">IF(A4737="",0,IF(SUMPRODUCT(--($A$2:$A$5001=A4737))&gt;1,1,0))</f>
        <v>0</v>
      </c>
      <c r="H4737" s="0" t="n">
        <f aca="false">ROW()-1</f>
        <v>4736</v>
      </c>
      <c r="I4737" s="0" t="str">
        <f aca="false">IF(OR(הגדרות!$E$6=0,H4737&gt;הגדרות!$E$5),"",IF(H4737-1&lt;הגדרות!$E$8*(הגדרות!$E$7+1),INT((H4737-1)/(הגדרות!$E$7+1)),הגדרות!$E$8+INT((H4737-1-הגדרות!$E$8*(הגדרות!$E$7+1))/הגדרות!$E$7)))</f>
        <v/>
      </c>
      <c r="J4737" s="0" t="str">
        <f aca="false">IF(I4737="","",IF(H4737-1&lt;הגדרות!$E$8*(הגדרות!$E$7+1),MOD(H4737-1,הגדרות!$E$7+1),MOD(H4737-1-הגדרות!$E$8*(הגדרות!$E$7+1),הגדרות!$E$7)))</f>
        <v/>
      </c>
      <c r="K4737" s="0" t="str">
        <f aca="false">IF(I4737="","",J4737*הגדרות!$E$6+I4737+1)</f>
        <v/>
      </c>
      <c r="L4737" s="0" t="str">
        <f aca="false">IF(K4737="","",MATCH(K4737,$F$2:$F$5001,0))</f>
        <v/>
      </c>
      <c r="M4737" s="0" t="str">
        <f aca="false">IF(I4737="","",INDEX(הגדרות!$A$2:$A$21,MOD(I4737+הגדרות!$E$9,הגדרות!$E$6)+1))</f>
        <v/>
      </c>
    </row>
    <row r="4738" customFormat="false" ht="15" hidden="false" customHeight="false" outlineLevel="0" collapsed="false">
      <c r="A4738" s="0" t="str">
        <f aca="false">IF('הדבקת לידים'!A4738="","",IF(ISNUMBER('הדבקת לידים'!A4738),IF(הגדרות!$E$2&gt;0,TEXT('הדבקת לידים'!A4738,REPT("0",הגדרות!$E$2)),TEXT('הדבקת לידים'!A4738,"0")),TRIM('הדבקת לידים'!A4738)))</f>
        <v/>
      </c>
      <c r="B4738" s="0" t="str">
        <f aca="false">IF('הדבקת לידים'!B4738="","",IF(ISNUMBER('הדבקת לידים'!B4738),IF(הגדרות!$E$3&gt;0,TEXT('הדבקת לידים'!B4738,REPT("0",הגדרות!$E$3)),TEXT('הדבקת לידים'!B4738,"0")),TRIM('הדבקת לידים'!B4738)))</f>
        <v/>
      </c>
      <c r="C4738" s="0" t="n">
        <f aca="false">IF(OR(A4738&lt;&gt;"",B4738&lt;&gt;""),1,0)</f>
        <v>0</v>
      </c>
      <c r="D4738" s="0" t="str">
        <f aca="false">IF(C4738=1,MOD(ABS(SIN(ROW()*12.9898+'הדבקת לידים'!$F$2*78.233+IFERROR(--RIGHT(A4738,6),LEN(A4738))*0.0137+IFERROR(--RIGHT(B4738,6),LEN(B4738))*0.0071))*43758.5453,1),"")</f>
        <v/>
      </c>
      <c r="E4738" s="0" t="str">
        <f aca="false">IF(C4738=1,INT(MOD(ABS(SIN(D4738*7919.123+ROW()*0.618+'הדבקת לידים'!$F$2*1.3))*43758.5453,1)*1000000)*10000+ROW(),"")</f>
        <v/>
      </c>
      <c r="F4738" s="0" t="str">
        <f aca="false">IF(E4738="","",RANK(E4738,$E$2:$E$5001,1))</f>
        <v/>
      </c>
      <c r="G4738" s="0" t="n">
        <f aca="false">IF(A4738="",0,IF(SUMPRODUCT(--($A$2:$A$5001=A4738))&gt;1,1,0))</f>
        <v>0</v>
      </c>
      <c r="H4738" s="0" t="n">
        <f aca="false">ROW()-1</f>
        <v>4737</v>
      </c>
      <c r="I4738" s="0" t="str">
        <f aca="false">IF(OR(הגדרות!$E$6=0,H4738&gt;הגדרות!$E$5),"",IF(H4738-1&lt;הגדרות!$E$8*(הגדרות!$E$7+1),INT((H4738-1)/(הגדרות!$E$7+1)),הגדרות!$E$8+INT((H4738-1-הגדרות!$E$8*(הגדרות!$E$7+1))/הגדרות!$E$7)))</f>
        <v/>
      </c>
      <c r="J4738" s="0" t="str">
        <f aca="false">IF(I4738="","",IF(H4738-1&lt;הגדרות!$E$8*(הגדרות!$E$7+1),MOD(H4738-1,הגדרות!$E$7+1),MOD(H4738-1-הגדרות!$E$8*(הגדרות!$E$7+1),הגדרות!$E$7)))</f>
        <v/>
      </c>
      <c r="K4738" s="0" t="str">
        <f aca="false">IF(I4738="","",J4738*הגדרות!$E$6+I4738+1)</f>
        <v/>
      </c>
      <c r="L4738" s="0" t="str">
        <f aca="false">IF(K4738="","",MATCH(K4738,$F$2:$F$5001,0))</f>
        <v/>
      </c>
      <c r="M4738" s="0" t="str">
        <f aca="false">IF(I4738="","",INDEX(הגדרות!$A$2:$A$21,MOD(I4738+הגדרות!$E$9,הגדרות!$E$6)+1))</f>
        <v/>
      </c>
    </row>
    <row r="4739" customFormat="false" ht="15" hidden="false" customHeight="false" outlineLevel="0" collapsed="false">
      <c r="A4739" s="0" t="str">
        <f aca="false">IF('הדבקת לידים'!A4739="","",IF(ISNUMBER('הדבקת לידים'!A4739),IF(הגדרות!$E$2&gt;0,TEXT('הדבקת לידים'!A4739,REPT("0",הגדרות!$E$2)),TEXT('הדבקת לידים'!A4739,"0")),TRIM('הדבקת לידים'!A4739)))</f>
        <v/>
      </c>
      <c r="B4739" s="0" t="str">
        <f aca="false">IF('הדבקת לידים'!B4739="","",IF(ISNUMBER('הדבקת לידים'!B4739),IF(הגדרות!$E$3&gt;0,TEXT('הדבקת לידים'!B4739,REPT("0",הגדרות!$E$3)),TEXT('הדבקת לידים'!B4739,"0")),TRIM('הדבקת לידים'!B4739)))</f>
        <v/>
      </c>
      <c r="C4739" s="0" t="n">
        <f aca="false">IF(OR(A4739&lt;&gt;"",B4739&lt;&gt;""),1,0)</f>
        <v>0</v>
      </c>
      <c r="D4739" s="0" t="str">
        <f aca="false">IF(C4739=1,MOD(ABS(SIN(ROW()*12.9898+'הדבקת לידים'!$F$2*78.233+IFERROR(--RIGHT(A4739,6),LEN(A4739))*0.0137+IFERROR(--RIGHT(B4739,6),LEN(B4739))*0.0071))*43758.5453,1),"")</f>
        <v/>
      </c>
      <c r="E4739" s="0" t="str">
        <f aca="false">IF(C4739=1,INT(MOD(ABS(SIN(D4739*7919.123+ROW()*0.618+'הדבקת לידים'!$F$2*1.3))*43758.5453,1)*1000000)*10000+ROW(),"")</f>
        <v/>
      </c>
      <c r="F4739" s="0" t="str">
        <f aca="false">IF(E4739="","",RANK(E4739,$E$2:$E$5001,1))</f>
        <v/>
      </c>
      <c r="G4739" s="0" t="n">
        <f aca="false">IF(A4739="",0,IF(SUMPRODUCT(--($A$2:$A$5001=A4739))&gt;1,1,0))</f>
        <v>0</v>
      </c>
      <c r="H4739" s="0" t="n">
        <f aca="false">ROW()-1</f>
        <v>4738</v>
      </c>
      <c r="I4739" s="0" t="str">
        <f aca="false">IF(OR(הגדרות!$E$6=0,H4739&gt;הגדרות!$E$5),"",IF(H4739-1&lt;הגדרות!$E$8*(הגדרות!$E$7+1),INT((H4739-1)/(הגדרות!$E$7+1)),הגדרות!$E$8+INT((H4739-1-הגדרות!$E$8*(הגדרות!$E$7+1))/הגדרות!$E$7)))</f>
        <v/>
      </c>
      <c r="J4739" s="0" t="str">
        <f aca="false">IF(I4739="","",IF(H4739-1&lt;הגדרות!$E$8*(הגדרות!$E$7+1),MOD(H4739-1,הגדרות!$E$7+1),MOD(H4739-1-הגדרות!$E$8*(הגדרות!$E$7+1),הגדרות!$E$7)))</f>
        <v/>
      </c>
      <c r="K4739" s="0" t="str">
        <f aca="false">IF(I4739="","",J4739*הגדרות!$E$6+I4739+1)</f>
        <v/>
      </c>
      <c r="L4739" s="0" t="str">
        <f aca="false">IF(K4739="","",MATCH(K4739,$F$2:$F$5001,0))</f>
        <v/>
      </c>
      <c r="M4739" s="0" t="str">
        <f aca="false">IF(I4739="","",INDEX(הגדרות!$A$2:$A$21,MOD(I4739+הגדרות!$E$9,הגדרות!$E$6)+1))</f>
        <v/>
      </c>
    </row>
    <row r="4740" customFormat="false" ht="15" hidden="false" customHeight="false" outlineLevel="0" collapsed="false">
      <c r="A4740" s="0" t="str">
        <f aca="false">IF('הדבקת לידים'!A4740="","",IF(ISNUMBER('הדבקת לידים'!A4740),IF(הגדרות!$E$2&gt;0,TEXT('הדבקת לידים'!A4740,REPT("0",הגדרות!$E$2)),TEXT('הדבקת לידים'!A4740,"0")),TRIM('הדבקת לידים'!A4740)))</f>
        <v/>
      </c>
      <c r="B4740" s="0" t="str">
        <f aca="false">IF('הדבקת לידים'!B4740="","",IF(ISNUMBER('הדבקת לידים'!B4740),IF(הגדרות!$E$3&gt;0,TEXT('הדבקת לידים'!B4740,REPT("0",הגדרות!$E$3)),TEXT('הדבקת לידים'!B4740,"0")),TRIM('הדבקת לידים'!B4740)))</f>
        <v/>
      </c>
      <c r="C4740" s="0" t="n">
        <f aca="false">IF(OR(A4740&lt;&gt;"",B4740&lt;&gt;""),1,0)</f>
        <v>0</v>
      </c>
      <c r="D4740" s="0" t="str">
        <f aca="false">IF(C4740=1,MOD(ABS(SIN(ROW()*12.9898+'הדבקת לידים'!$F$2*78.233+IFERROR(--RIGHT(A4740,6),LEN(A4740))*0.0137+IFERROR(--RIGHT(B4740,6),LEN(B4740))*0.0071))*43758.5453,1),"")</f>
        <v/>
      </c>
      <c r="E4740" s="0" t="str">
        <f aca="false">IF(C4740=1,INT(MOD(ABS(SIN(D4740*7919.123+ROW()*0.618+'הדבקת לידים'!$F$2*1.3))*43758.5453,1)*1000000)*10000+ROW(),"")</f>
        <v/>
      </c>
      <c r="F4740" s="0" t="str">
        <f aca="false">IF(E4740="","",RANK(E4740,$E$2:$E$5001,1))</f>
        <v/>
      </c>
      <c r="G4740" s="0" t="n">
        <f aca="false">IF(A4740="",0,IF(SUMPRODUCT(--($A$2:$A$5001=A4740))&gt;1,1,0))</f>
        <v>0</v>
      </c>
      <c r="H4740" s="0" t="n">
        <f aca="false">ROW()-1</f>
        <v>4739</v>
      </c>
      <c r="I4740" s="0" t="str">
        <f aca="false">IF(OR(הגדרות!$E$6=0,H4740&gt;הגדרות!$E$5),"",IF(H4740-1&lt;הגדרות!$E$8*(הגדרות!$E$7+1),INT((H4740-1)/(הגדרות!$E$7+1)),הגדרות!$E$8+INT((H4740-1-הגדרות!$E$8*(הגדרות!$E$7+1))/הגדרות!$E$7)))</f>
        <v/>
      </c>
      <c r="J4740" s="0" t="str">
        <f aca="false">IF(I4740="","",IF(H4740-1&lt;הגדרות!$E$8*(הגדרות!$E$7+1),MOD(H4740-1,הגדרות!$E$7+1),MOD(H4740-1-הגדרות!$E$8*(הגדרות!$E$7+1),הגדרות!$E$7)))</f>
        <v/>
      </c>
      <c r="K4740" s="0" t="str">
        <f aca="false">IF(I4740="","",J4740*הגדרות!$E$6+I4740+1)</f>
        <v/>
      </c>
      <c r="L4740" s="0" t="str">
        <f aca="false">IF(K4740="","",MATCH(K4740,$F$2:$F$5001,0))</f>
        <v/>
      </c>
      <c r="M4740" s="0" t="str">
        <f aca="false">IF(I4740="","",INDEX(הגדרות!$A$2:$A$21,MOD(I4740+הגדרות!$E$9,הגדרות!$E$6)+1))</f>
        <v/>
      </c>
    </row>
    <row r="4741" customFormat="false" ht="15" hidden="false" customHeight="false" outlineLevel="0" collapsed="false">
      <c r="A4741" s="0" t="str">
        <f aca="false">IF('הדבקת לידים'!A4741="","",IF(ISNUMBER('הדבקת לידים'!A4741),IF(הגדרות!$E$2&gt;0,TEXT('הדבקת לידים'!A4741,REPT("0",הגדרות!$E$2)),TEXT('הדבקת לידים'!A4741,"0")),TRIM('הדבקת לידים'!A4741)))</f>
        <v/>
      </c>
      <c r="B4741" s="0" t="str">
        <f aca="false">IF('הדבקת לידים'!B4741="","",IF(ISNUMBER('הדבקת לידים'!B4741),IF(הגדרות!$E$3&gt;0,TEXT('הדבקת לידים'!B4741,REPT("0",הגדרות!$E$3)),TEXT('הדבקת לידים'!B4741,"0")),TRIM('הדבקת לידים'!B4741)))</f>
        <v/>
      </c>
      <c r="C4741" s="0" t="n">
        <f aca="false">IF(OR(A4741&lt;&gt;"",B4741&lt;&gt;""),1,0)</f>
        <v>0</v>
      </c>
      <c r="D4741" s="0" t="str">
        <f aca="false">IF(C4741=1,MOD(ABS(SIN(ROW()*12.9898+'הדבקת לידים'!$F$2*78.233+IFERROR(--RIGHT(A4741,6),LEN(A4741))*0.0137+IFERROR(--RIGHT(B4741,6),LEN(B4741))*0.0071))*43758.5453,1),"")</f>
        <v/>
      </c>
      <c r="E4741" s="0" t="str">
        <f aca="false">IF(C4741=1,INT(MOD(ABS(SIN(D4741*7919.123+ROW()*0.618+'הדבקת לידים'!$F$2*1.3))*43758.5453,1)*1000000)*10000+ROW(),"")</f>
        <v/>
      </c>
      <c r="F4741" s="0" t="str">
        <f aca="false">IF(E4741="","",RANK(E4741,$E$2:$E$5001,1))</f>
        <v/>
      </c>
      <c r="G4741" s="0" t="n">
        <f aca="false">IF(A4741="",0,IF(SUMPRODUCT(--($A$2:$A$5001=A4741))&gt;1,1,0))</f>
        <v>0</v>
      </c>
      <c r="H4741" s="0" t="n">
        <f aca="false">ROW()-1</f>
        <v>4740</v>
      </c>
      <c r="I4741" s="0" t="str">
        <f aca="false">IF(OR(הגדרות!$E$6=0,H4741&gt;הגדרות!$E$5),"",IF(H4741-1&lt;הגדרות!$E$8*(הגדרות!$E$7+1),INT((H4741-1)/(הגדרות!$E$7+1)),הגדרות!$E$8+INT((H4741-1-הגדרות!$E$8*(הגדרות!$E$7+1))/הגדרות!$E$7)))</f>
        <v/>
      </c>
      <c r="J4741" s="0" t="str">
        <f aca="false">IF(I4741="","",IF(H4741-1&lt;הגדרות!$E$8*(הגדרות!$E$7+1),MOD(H4741-1,הגדרות!$E$7+1),MOD(H4741-1-הגדרות!$E$8*(הגדרות!$E$7+1),הגדרות!$E$7)))</f>
        <v/>
      </c>
      <c r="K4741" s="0" t="str">
        <f aca="false">IF(I4741="","",J4741*הגדרות!$E$6+I4741+1)</f>
        <v/>
      </c>
      <c r="L4741" s="0" t="str">
        <f aca="false">IF(K4741="","",MATCH(K4741,$F$2:$F$5001,0))</f>
        <v/>
      </c>
      <c r="M4741" s="0" t="str">
        <f aca="false">IF(I4741="","",INDEX(הגדרות!$A$2:$A$21,MOD(I4741+הגדרות!$E$9,הגדרות!$E$6)+1))</f>
        <v/>
      </c>
    </row>
    <row r="4742" customFormat="false" ht="15" hidden="false" customHeight="false" outlineLevel="0" collapsed="false">
      <c r="A4742" s="0" t="str">
        <f aca="false">IF('הדבקת לידים'!A4742="","",IF(ISNUMBER('הדבקת לידים'!A4742),IF(הגדרות!$E$2&gt;0,TEXT('הדבקת לידים'!A4742,REPT("0",הגדרות!$E$2)),TEXT('הדבקת לידים'!A4742,"0")),TRIM('הדבקת לידים'!A4742)))</f>
        <v/>
      </c>
      <c r="B4742" s="0" t="str">
        <f aca="false">IF('הדבקת לידים'!B4742="","",IF(ISNUMBER('הדבקת לידים'!B4742),IF(הגדרות!$E$3&gt;0,TEXT('הדבקת לידים'!B4742,REPT("0",הגדרות!$E$3)),TEXT('הדבקת לידים'!B4742,"0")),TRIM('הדבקת לידים'!B4742)))</f>
        <v/>
      </c>
      <c r="C4742" s="0" t="n">
        <f aca="false">IF(OR(A4742&lt;&gt;"",B4742&lt;&gt;""),1,0)</f>
        <v>0</v>
      </c>
      <c r="D4742" s="0" t="str">
        <f aca="false">IF(C4742=1,MOD(ABS(SIN(ROW()*12.9898+'הדבקת לידים'!$F$2*78.233+IFERROR(--RIGHT(A4742,6),LEN(A4742))*0.0137+IFERROR(--RIGHT(B4742,6),LEN(B4742))*0.0071))*43758.5453,1),"")</f>
        <v/>
      </c>
      <c r="E4742" s="0" t="str">
        <f aca="false">IF(C4742=1,INT(MOD(ABS(SIN(D4742*7919.123+ROW()*0.618+'הדבקת לידים'!$F$2*1.3))*43758.5453,1)*1000000)*10000+ROW(),"")</f>
        <v/>
      </c>
      <c r="F4742" s="0" t="str">
        <f aca="false">IF(E4742="","",RANK(E4742,$E$2:$E$5001,1))</f>
        <v/>
      </c>
      <c r="G4742" s="0" t="n">
        <f aca="false">IF(A4742="",0,IF(SUMPRODUCT(--($A$2:$A$5001=A4742))&gt;1,1,0))</f>
        <v>0</v>
      </c>
      <c r="H4742" s="0" t="n">
        <f aca="false">ROW()-1</f>
        <v>4741</v>
      </c>
      <c r="I4742" s="0" t="str">
        <f aca="false">IF(OR(הגדרות!$E$6=0,H4742&gt;הגדרות!$E$5),"",IF(H4742-1&lt;הגדרות!$E$8*(הגדרות!$E$7+1),INT((H4742-1)/(הגדרות!$E$7+1)),הגדרות!$E$8+INT((H4742-1-הגדרות!$E$8*(הגדרות!$E$7+1))/הגדרות!$E$7)))</f>
        <v/>
      </c>
      <c r="J4742" s="0" t="str">
        <f aca="false">IF(I4742="","",IF(H4742-1&lt;הגדרות!$E$8*(הגדרות!$E$7+1),MOD(H4742-1,הגדרות!$E$7+1),MOD(H4742-1-הגדרות!$E$8*(הגדרות!$E$7+1),הגדרות!$E$7)))</f>
        <v/>
      </c>
      <c r="K4742" s="0" t="str">
        <f aca="false">IF(I4742="","",J4742*הגדרות!$E$6+I4742+1)</f>
        <v/>
      </c>
      <c r="L4742" s="0" t="str">
        <f aca="false">IF(K4742="","",MATCH(K4742,$F$2:$F$5001,0))</f>
        <v/>
      </c>
      <c r="M4742" s="0" t="str">
        <f aca="false">IF(I4742="","",INDEX(הגדרות!$A$2:$A$21,MOD(I4742+הגדרות!$E$9,הגדרות!$E$6)+1))</f>
        <v/>
      </c>
    </row>
    <row r="4743" customFormat="false" ht="15" hidden="false" customHeight="false" outlineLevel="0" collapsed="false">
      <c r="A4743" s="0" t="str">
        <f aca="false">IF('הדבקת לידים'!A4743="","",IF(ISNUMBER('הדבקת לידים'!A4743),IF(הגדרות!$E$2&gt;0,TEXT('הדבקת לידים'!A4743,REPT("0",הגדרות!$E$2)),TEXT('הדבקת לידים'!A4743,"0")),TRIM('הדבקת לידים'!A4743)))</f>
        <v/>
      </c>
      <c r="B4743" s="0" t="str">
        <f aca="false">IF('הדבקת לידים'!B4743="","",IF(ISNUMBER('הדבקת לידים'!B4743),IF(הגדרות!$E$3&gt;0,TEXT('הדבקת לידים'!B4743,REPT("0",הגדרות!$E$3)),TEXT('הדבקת לידים'!B4743,"0")),TRIM('הדבקת לידים'!B4743)))</f>
        <v/>
      </c>
      <c r="C4743" s="0" t="n">
        <f aca="false">IF(OR(A4743&lt;&gt;"",B4743&lt;&gt;""),1,0)</f>
        <v>0</v>
      </c>
      <c r="D4743" s="0" t="str">
        <f aca="false">IF(C4743=1,MOD(ABS(SIN(ROW()*12.9898+'הדבקת לידים'!$F$2*78.233+IFERROR(--RIGHT(A4743,6),LEN(A4743))*0.0137+IFERROR(--RIGHT(B4743,6),LEN(B4743))*0.0071))*43758.5453,1),"")</f>
        <v/>
      </c>
      <c r="E4743" s="0" t="str">
        <f aca="false">IF(C4743=1,INT(MOD(ABS(SIN(D4743*7919.123+ROW()*0.618+'הדבקת לידים'!$F$2*1.3))*43758.5453,1)*1000000)*10000+ROW(),"")</f>
        <v/>
      </c>
      <c r="F4743" s="0" t="str">
        <f aca="false">IF(E4743="","",RANK(E4743,$E$2:$E$5001,1))</f>
        <v/>
      </c>
      <c r="G4743" s="0" t="n">
        <f aca="false">IF(A4743="",0,IF(SUMPRODUCT(--($A$2:$A$5001=A4743))&gt;1,1,0))</f>
        <v>0</v>
      </c>
      <c r="H4743" s="0" t="n">
        <f aca="false">ROW()-1</f>
        <v>4742</v>
      </c>
      <c r="I4743" s="0" t="str">
        <f aca="false">IF(OR(הגדרות!$E$6=0,H4743&gt;הגדרות!$E$5),"",IF(H4743-1&lt;הגדרות!$E$8*(הגדרות!$E$7+1),INT((H4743-1)/(הגדרות!$E$7+1)),הגדרות!$E$8+INT((H4743-1-הגדרות!$E$8*(הגדרות!$E$7+1))/הגדרות!$E$7)))</f>
        <v/>
      </c>
      <c r="J4743" s="0" t="str">
        <f aca="false">IF(I4743="","",IF(H4743-1&lt;הגדרות!$E$8*(הגדרות!$E$7+1),MOD(H4743-1,הגדרות!$E$7+1),MOD(H4743-1-הגדרות!$E$8*(הגדרות!$E$7+1),הגדרות!$E$7)))</f>
        <v/>
      </c>
      <c r="K4743" s="0" t="str">
        <f aca="false">IF(I4743="","",J4743*הגדרות!$E$6+I4743+1)</f>
        <v/>
      </c>
      <c r="L4743" s="0" t="str">
        <f aca="false">IF(K4743="","",MATCH(K4743,$F$2:$F$5001,0))</f>
        <v/>
      </c>
      <c r="M4743" s="0" t="str">
        <f aca="false">IF(I4743="","",INDEX(הגדרות!$A$2:$A$21,MOD(I4743+הגדרות!$E$9,הגדרות!$E$6)+1))</f>
        <v/>
      </c>
    </row>
    <row r="4744" customFormat="false" ht="15" hidden="false" customHeight="false" outlineLevel="0" collapsed="false">
      <c r="A4744" s="0" t="str">
        <f aca="false">IF('הדבקת לידים'!A4744="","",IF(ISNUMBER('הדבקת לידים'!A4744),IF(הגדרות!$E$2&gt;0,TEXT('הדבקת לידים'!A4744,REPT("0",הגדרות!$E$2)),TEXT('הדבקת לידים'!A4744,"0")),TRIM('הדבקת לידים'!A4744)))</f>
        <v/>
      </c>
      <c r="B4744" s="0" t="str">
        <f aca="false">IF('הדבקת לידים'!B4744="","",IF(ISNUMBER('הדבקת לידים'!B4744),IF(הגדרות!$E$3&gt;0,TEXT('הדבקת לידים'!B4744,REPT("0",הגדרות!$E$3)),TEXT('הדבקת לידים'!B4744,"0")),TRIM('הדבקת לידים'!B4744)))</f>
        <v/>
      </c>
      <c r="C4744" s="0" t="n">
        <f aca="false">IF(OR(A4744&lt;&gt;"",B4744&lt;&gt;""),1,0)</f>
        <v>0</v>
      </c>
      <c r="D4744" s="0" t="str">
        <f aca="false">IF(C4744=1,MOD(ABS(SIN(ROW()*12.9898+'הדבקת לידים'!$F$2*78.233+IFERROR(--RIGHT(A4744,6),LEN(A4744))*0.0137+IFERROR(--RIGHT(B4744,6),LEN(B4744))*0.0071))*43758.5453,1),"")</f>
        <v/>
      </c>
      <c r="E4744" s="0" t="str">
        <f aca="false">IF(C4744=1,INT(MOD(ABS(SIN(D4744*7919.123+ROW()*0.618+'הדבקת לידים'!$F$2*1.3))*43758.5453,1)*1000000)*10000+ROW(),"")</f>
        <v/>
      </c>
      <c r="F4744" s="0" t="str">
        <f aca="false">IF(E4744="","",RANK(E4744,$E$2:$E$5001,1))</f>
        <v/>
      </c>
      <c r="G4744" s="0" t="n">
        <f aca="false">IF(A4744="",0,IF(SUMPRODUCT(--($A$2:$A$5001=A4744))&gt;1,1,0))</f>
        <v>0</v>
      </c>
      <c r="H4744" s="0" t="n">
        <f aca="false">ROW()-1</f>
        <v>4743</v>
      </c>
      <c r="I4744" s="0" t="str">
        <f aca="false">IF(OR(הגדרות!$E$6=0,H4744&gt;הגדרות!$E$5),"",IF(H4744-1&lt;הגדרות!$E$8*(הגדרות!$E$7+1),INT((H4744-1)/(הגדרות!$E$7+1)),הגדרות!$E$8+INT((H4744-1-הגדרות!$E$8*(הגדרות!$E$7+1))/הגדרות!$E$7)))</f>
        <v/>
      </c>
      <c r="J4744" s="0" t="str">
        <f aca="false">IF(I4744="","",IF(H4744-1&lt;הגדרות!$E$8*(הגדרות!$E$7+1),MOD(H4744-1,הגדרות!$E$7+1),MOD(H4744-1-הגדרות!$E$8*(הגדרות!$E$7+1),הגדרות!$E$7)))</f>
        <v/>
      </c>
      <c r="K4744" s="0" t="str">
        <f aca="false">IF(I4744="","",J4744*הגדרות!$E$6+I4744+1)</f>
        <v/>
      </c>
      <c r="L4744" s="0" t="str">
        <f aca="false">IF(K4744="","",MATCH(K4744,$F$2:$F$5001,0))</f>
        <v/>
      </c>
      <c r="M4744" s="0" t="str">
        <f aca="false">IF(I4744="","",INDEX(הגדרות!$A$2:$A$21,MOD(I4744+הגדרות!$E$9,הגדרות!$E$6)+1))</f>
        <v/>
      </c>
    </row>
    <row r="4745" customFormat="false" ht="15" hidden="false" customHeight="false" outlineLevel="0" collapsed="false">
      <c r="A4745" s="0" t="str">
        <f aca="false">IF('הדבקת לידים'!A4745="","",IF(ISNUMBER('הדבקת לידים'!A4745),IF(הגדרות!$E$2&gt;0,TEXT('הדבקת לידים'!A4745,REPT("0",הגדרות!$E$2)),TEXT('הדבקת לידים'!A4745,"0")),TRIM('הדבקת לידים'!A4745)))</f>
        <v/>
      </c>
      <c r="B4745" s="0" t="str">
        <f aca="false">IF('הדבקת לידים'!B4745="","",IF(ISNUMBER('הדבקת לידים'!B4745),IF(הגדרות!$E$3&gt;0,TEXT('הדבקת לידים'!B4745,REPT("0",הגדרות!$E$3)),TEXT('הדבקת לידים'!B4745,"0")),TRIM('הדבקת לידים'!B4745)))</f>
        <v/>
      </c>
      <c r="C4745" s="0" t="n">
        <f aca="false">IF(OR(A4745&lt;&gt;"",B4745&lt;&gt;""),1,0)</f>
        <v>0</v>
      </c>
      <c r="D4745" s="0" t="str">
        <f aca="false">IF(C4745=1,MOD(ABS(SIN(ROW()*12.9898+'הדבקת לידים'!$F$2*78.233+IFERROR(--RIGHT(A4745,6),LEN(A4745))*0.0137+IFERROR(--RIGHT(B4745,6),LEN(B4745))*0.0071))*43758.5453,1),"")</f>
        <v/>
      </c>
      <c r="E4745" s="0" t="str">
        <f aca="false">IF(C4745=1,INT(MOD(ABS(SIN(D4745*7919.123+ROW()*0.618+'הדבקת לידים'!$F$2*1.3))*43758.5453,1)*1000000)*10000+ROW(),"")</f>
        <v/>
      </c>
      <c r="F4745" s="0" t="str">
        <f aca="false">IF(E4745="","",RANK(E4745,$E$2:$E$5001,1))</f>
        <v/>
      </c>
      <c r="G4745" s="0" t="n">
        <f aca="false">IF(A4745="",0,IF(SUMPRODUCT(--($A$2:$A$5001=A4745))&gt;1,1,0))</f>
        <v>0</v>
      </c>
      <c r="H4745" s="0" t="n">
        <f aca="false">ROW()-1</f>
        <v>4744</v>
      </c>
      <c r="I4745" s="0" t="str">
        <f aca="false">IF(OR(הגדרות!$E$6=0,H4745&gt;הגדרות!$E$5),"",IF(H4745-1&lt;הגדרות!$E$8*(הגדרות!$E$7+1),INT((H4745-1)/(הגדרות!$E$7+1)),הגדרות!$E$8+INT((H4745-1-הגדרות!$E$8*(הגדרות!$E$7+1))/הגדרות!$E$7)))</f>
        <v/>
      </c>
      <c r="J4745" s="0" t="str">
        <f aca="false">IF(I4745="","",IF(H4745-1&lt;הגדרות!$E$8*(הגדרות!$E$7+1),MOD(H4745-1,הגדרות!$E$7+1),MOD(H4745-1-הגדרות!$E$8*(הגדרות!$E$7+1),הגדרות!$E$7)))</f>
        <v/>
      </c>
      <c r="K4745" s="0" t="str">
        <f aca="false">IF(I4745="","",J4745*הגדרות!$E$6+I4745+1)</f>
        <v/>
      </c>
      <c r="L4745" s="0" t="str">
        <f aca="false">IF(K4745="","",MATCH(K4745,$F$2:$F$5001,0))</f>
        <v/>
      </c>
      <c r="M4745" s="0" t="str">
        <f aca="false">IF(I4745="","",INDEX(הגדרות!$A$2:$A$21,MOD(I4745+הגדרות!$E$9,הגדרות!$E$6)+1))</f>
        <v/>
      </c>
    </row>
    <row r="4746" customFormat="false" ht="15" hidden="false" customHeight="false" outlineLevel="0" collapsed="false">
      <c r="A4746" s="0" t="str">
        <f aca="false">IF('הדבקת לידים'!A4746="","",IF(ISNUMBER('הדבקת לידים'!A4746),IF(הגדרות!$E$2&gt;0,TEXT('הדבקת לידים'!A4746,REPT("0",הגדרות!$E$2)),TEXT('הדבקת לידים'!A4746,"0")),TRIM('הדבקת לידים'!A4746)))</f>
        <v/>
      </c>
      <c r="B4746" s="0" t="str">
        <f aca="false">IF('הדבקת לידים'!B4746="","",IF(ISNUMBER('הדבקת לידים'!B4746),IF(הגדרות!$E$3&gt;0,TEXT('הדבקת לידים'!B4746,REPT("0",הגדרות!$E$3)),TEXT('הדבקת לידים'!B4746,"0")),TRIM('הדבקת לידים'!B4746)))</f>
        <v/>
      </c>
      <c r="C4746" s="0" t="n">
        <f aca="false">IF(OR(A4746&lt;&gt;"",B4746&lt;&gt;""),1,0)</f>
        <v>0</v>
      </c>
      <c r="D4746" s="0" t="str">
        <f aca="false">IF(C4746=1,MOD(ABS(SIN(ROW()*12.9898+'הדבקת לידים'!$F$2*78.233+IFERROR(--RIGHT(A4746,6),LEN(A4746))*0.0137+IFERROR(--RIGHT(B4746,6),LEN(B4746))*0.0071))*43758.5453,1),"")</f>
        <v/>
      </c>
      <c r="E4746" s="0" t="str">
        <f aca="false">IF(C4746=1,INT(MOD(ABS(SIN(D4746*7919.123+ROW()*0.618+'הדבקת לידים'!$F$2*1.3))*43758.5453,1)*1000000)*10000+ROW(),"")</f>
        <v/>
      </c>
      <c r="F4746" s="0" t="str">
        <f aca="false">IF(E4746="","",RANK(E4746,$E$2:$E$5001,1))</f>
        <v/>
      </c>
      <c r="G4746" s="0" t="n">
        <f aca="false">IF(A4746="",0,IF(SUMPRODUCT(--($A$2:$A$5001=A4746))&gt;1,1,0))</f>
        <v>0</v>
      </c>
      <c r="H4746" s="0" t="n">
        <f aca="false">ROW()-1</f>
        <v>4745</v>
      </c>
      <c r="I4746" s="0" t="str">
        <f aca="false">IF(OR(הגדרות!$E$6=0,H4746&gt;הגדרות!$E$5),"",IF(H4746-1&lt;הגדרות!$E$8*(הגדרות!$E$7+1),INT((H4746-1)/(הגדרות!$E$7+1)),הגדרות!$E$8+INT((H4746-1-הגדרות!$E$8*(הגדרות!$E$7+1))/הגדרות!$E$7)))</f>
        <v/>
      </c>
      <c r="J4746" s="0" t="str">
        <f aca="false">IF(I4746="","",IF(H4746-1&lt;הגדרות!$E$8*(הגדרות!$E$7+1),MOD(H4746-1,הגדרות!$E$7+1),MOD(H4746-1-הגדרות!$E$8*(הגדרות!$E$7+1),הגדרות!$E$7)))</f>
        <v/>
      </c>
      <c r="K4746" s="0" t="str">
        <f aca="false">IF(I4746="","",J4746*הגדרות!$E$6+I4746+1)</f>
        <v/>
      </c>
      <c r="L4746" s="0" t="str">
        <f aca="false">IF(K4746="","",MATCH(K4746,$F$2:$F$5001,0))</f>
        <v/>
      </c>
      <c r="M4746" s="0" t="str">
        <f aca="false">IF(I4746="","",INDEX(הגדרות!$A$2:$A$21,MOD(I4746+הגדרות!$E$9,הגדרות!$E$6)+1))</f>
        <v/>
      </c>
    </row>
    <row r="4747" customFormat="false" ht="15" hidden="false" customHeight="false" outlineLevel="0" collapsed="false">
      <c r="A4747" s="0" t="str">
        <f aca="false">IF('הדבקת לידים'!A4747="","",IF(ISNUMBER('הדבקת לידים'!A4747),IF(הגדרות!$E$2&gt;0,TEXT('הדבקת לידים'!A4747,REPT("0",הגדרות!$E$2)),TEXT('הדבקת לידים'!A4747,"0")),TRIM('הדבקת לידים'!A4747)))</f>
        <v/>
      </c>
      <c r="B4747" s="0" t="str">
        <f aca="false">IF('הדבקת לידים'!B4747="","",IF(ISNUMBER('הדבקת לידים'!B4747),IF(הגדרות!$E$3&gt;0,TEXT('הדבקת לידים'!B4747,REPT("0",הגדרות!$E$3)),TEXT('הדבקת לידים'!B4747,"0")),TRIM('הדבקת לידים'!B4747)))</f>
        <v/>
      </c>
      <c r="C4747" s="0" t="n">
        <f aca="false">IF(OR(A4747&lt;&gt;"",B4747&lt;&gt;""),1,0)</f>
        <v>0</v>
      </c>
      <c r="D4747" s="0" t="str">
        <f aca="false">IF(C4747=1,MOD(ABS(SIN(ROW()*12.9898+'הדבקת לידים'!$F$2*78.233+IFERROR(--RIGHT(A4747,6),LEN(A4747))*0.0137+IFERROR(--RIGHT(B4747,6),LEN(B4747))*0.0071))*43758.5453,1),"")</f>
        <v/>
      </c>
      <c r="E4747" s="0" t="str">
        <f aca="false">IF(C4747=1,INT(MOD(ABS(SIN(D4747*7919.123+ROW()*0.618+'הדבקת לידים'!$F$2*1.3))*43758.5453,1)*1000000)*10000+ROW(),"")</f>
        <v/>
      </c>
      <c r="F4747" s="0" t="str">
        <f aca="false">IF(E4747="","",RANK(E4747,$E$2:$E$5001,1))</f>
        <v/>
      </c>
      <c r="G4747" s="0" t="n">
        <f aca="false">IF(A4747="",0,IF(SUMPRODUCT(--($A$2:$A$5001=A4747))&gt;1,1,0))</f>
        <v>0</v>
      </c>
      <c r="H4747" s="0" t="n">
        <f aca="false">ROW()-1</f>
        <v>4746</v>
      </c>
      <c r="I4747" s="0" t="str">
        <f aca="false">IF(OR(הגדרות!$E$6=0,H4747&gt;הגדרות!$E$5),"",IF(H4747-1&lt;הגדרות!$E$8*(הגדרות!$E$7+1),INT((H4747-1)/(הגדרות!$E$7+1)),הגדרות!$E$8+INT((H4747-1-הגדרות!$E$8*(הגדרות!$E$7+1))/הגדרות!$E$7)))</f>
        <v/>
      </c>
      <c r="J4747" s="0" t="str">
        <f aca="false">IF(I4747="","",IF(H4747-1&lt;הגדרות!$E$8*(הגדרות!$E$7+1),MOD(H4747-1,הגדרות!$E$7+1),MOD(H4747-1-הגדרות!$E$8*(הגדרות!$E$7+1),הגדרות!$E$7)))</f>
        <v/>
      </c>
      <c r="K4747" s="0" t="str">
        <f aca="false">IF(I4747="","",J4747*הגדרות!$E$6+I4747+1)</f>
        <v/>
      </c>
      <c r="L4747" s="0" t="str">
        <f aca="false">IF(K4747="","",MATCH(K4747,$F$2:$F$5001,0))</f>
        <v/>
      </c>
      <c r="M4747" s="0" t="str">
        <f aca="false">IF(I4747="","",INDEX(הגדרות!$A$2:$A$21,MOD(I4747+הגדרות!$E$9,הגדרות!$E$6)+1))</f>
        <v/>
      </c>
    </row>
    <row r="4748" customFormat="false" ht="15" hidden="false" customHeight="false" outlineLevel="0" collapsed="false">
      <c r="A4748" s="0" t="str">
        <f aca="false">IF('הדבקת לידים'!A4748="","",IF(ISNUMBER('הדבקת לידים'!A4748),IF(הגדרות!$E$2&gt;0,TEXT('הדבקת לידים'!A4748,REPT("0",הגדרות!$E$2)),TEXT('הדבקת לידים'!A4748,"0")),TRIM('הדבקת לידים'!A4748)))</f>
        <v/>
      </c>
      <c r="B4748" s="0" t="str">
        <f aca="false">IF('הדבקת לידים'!B4748="","",IF(ISNUMBER('הדבקת לידים'!B4748),IF(הגדרות!$E$3&gt;0,TEXT('הדבקת לידים'!B4748,REPT("0",הגדרות!$E$3)),TEXT('הדבקת לידים'!B4748,"0")),TRIM('הדבקת לידים'!B4748)))</f>
        <v/>
      </c>
      <c r="C4748" s="0" t="n">
        <f aca="false">IF(OR(A4748&lt;&gt;"",B4748&lt;&gt;""),1,0)</f>
        <v>0</v>
      </c>
      <c r="D4748" s="0" t="str">
        <f aca="false">IF(C4748=1,MOD(ABS(SIN(ROW()*12.9898+'הדבקת לידים'!$F$2*78.233+IFERROR(--RIGHT(A4748,6),LEN(A4748))*0.0137+IFERROR(--RIGHT(B4748,6),LEN(B4748))*0.0071))*43758.5453,1),"")</f>
        <v/>
      </c>
      <c r="E4748" s="0" t="str">
        <f aca="false">IF(C4748=1,INT(MOD(ABS(SIN(D4748*7919.123+ROW()*0.618+'הדבקת לידים'!$F$2*1.3))*43758.5453,1)*1000000)*10000+ROW(),"")</f>
        <v/>
      </c>
      <c r="F4748" s="0" t="str">
        <f aca="false">IF(E4748="","",RANK(E4748,$E$2:$E$5001,1))</f>
        <v/>
      </c>
      <c r="G4748" s="0" t="n">
        <f aca="false">IF(A4748="",0,IF(SUMPRODUCT(--($A$2:$A$5001=A4748))&gt;1,1,0))</f>
        <v>0</v>
      </c>
      <c r="H4748" s="0" t="n">
        <f aca="false">ROW()-1</f>
        <v>4747</v>
      </c>
      <c r="I4748" s="0" t="str">
        <f aca="false">IF(OR(הגדרות!$E$6=0,H4748&gt;הגדרות!$E$5),"",IF(H4748-1&lt;הגדרות!$E$8*(הגדרות!$E$7+1),INT((H4748-1)/(הגדרות!$E$7+1)),הגדרות!$E$8+INT((H4748-1-הגדרות!$E$8*(הגדרות!$E$7+1))/הגדרות!$E$7)))</f>
        <v/>
      </c>
      <c r="J4748" s="0" t="str">
        <f aca="false">IF(I4748="","",IF(H4748-1&lt;הגדרות!$E$8*(הגדרות!$E$7+1),MOD(H4748-1,הגדרות!$E$7+1),MOD(H4748-1-הגדרות!$E$8*(הגדרות!$E$7+1),הגדרות!$E$7)))</f>
        <v/>
      </c>
      <c r="K4748" s="0" t="str">
        <f aca="false">IF(I4748="","",J4748*הגדרות!$E$6+I4748+1)</f>
        <v/>
      </c>
      <c r="L4748" s="0" t="str">
        <f aca="false">IF(K4748="","",MATCH(K4748,$F$2:$F$5001,0))</f>
        <v/>
      </c>
      <c r="M4748" s="0" t="str">
        <f aca="false">IF(I4748="","",INDEX(הגדרות!$A$2:$A$21,MOD(I4748+הגדרות!$E$9,הגדרות!$E$6)+1))</f>
        <v/>
      </c>
    </row>
    <row r="4749" customFormat="false" ht="15" hidden="false" customHeight="false" outlineLevel="0" collapsed="false">
      <c r="A4749" s="0" t="str">
        <f aca="false">IF('הדבקת לידים'!A4749="","",IF(ISNUMBER('הדבקת לידים'!A4749),IF(הגדרות!$E$2&gt;0,TEXT('הדבקת לידים'!A4749,REPT("0",הגדרות!$E$2)),TEXT('הדבקת לידים'!A4749,"0")),TRIM('הדבקת לידים'!A4749)))</f>
        <v/>
      </c>
      <c r="B4749" s="0" t="str">
        <f aca="false">IF('הדבקת לידים'!B4749="","",IF(ISNUMBER('הדבקת לידים'!B4749),IF(הגדרות!$E$3&gt;0,TEXT('הדבקת לידים'!B4749,REPT("0",הגדרות!$E$3)),TEXT('הדבקת לידים'!B4749,"0")),TRIM('הדבקת לידים'!B4749)))</f>
        <v/>
      </c>
      <c r="C4749" s="0" t="n">
        <f aca="false">IF(OR(A4749&lt;&gt;"",B4749&lt;&gt;""),1,0)</f>
        <v>0</v>
      </c>
      <c r="D4749" s="0" t="str">
        <f aca="false">IF(C4749=1,MOD(ABS(SIN(ROW()*12.9898+'הדבקת לידים'!$F$2*78.233+IFERROR(--RIGHT(A4749,6),LEN(A4749))*0.0137+IFERROR(--RIGHT(B4749,6),LEN(B4749))*0.0071))*43758.5453,1),"")</f>
        <v/>
      </c>
      <c r="E4749" s="0" t="str">
        <f aca="false">IF(C4749=1,INT(MOD(ABS(SIN(D4749*7919.123+ROW()*0.618+'הדבקת לידים'!$F$2*1.3))*43758.5453,1)*1000000)*10000+ROW(),"")</f>
        <v/>
      </c>
      <c r="F4749" s="0" t="str">
        <f aca="false">IF(E4749="","",RANK(E4749,$E$2:$E$5001,1))</f>
        <v/>
      </c>
      <c r="G4749" s="0" t="n">
        <f aca="false">IF(A4749="",0,IF(SUMPRODUCT(--($A$2:$A$5001=A4749))&gt;1,1,0))</f>
        <v>0</v>
      </c>
      <c r="H4749" s="0" t="n">
        <f aca="false">ROW()-1</f>
        <v>4748</v>
      </c>
      <c r="I4749" s="0" t="str">
        <f aca="false">IF(OR(הגדרות!$E$6=0,H4749&gt;הגדרות!$E$5),"",IF(H4749-1&lt;הגדרות!$E$8*(הגדרות!$E$7+1),INT((H4749-1)/(הגדרות!$E$7+1)),הגדרות!$E$8+INT((H4749-1-הגדרות!$E$8*(הגדרות!$E$7+1))/הגדרות!$E$7)))</f>
        <v/>
      </c>
      <c r="J4749" s="0" t="str">
        <f aca="false">IF(I4749="","",IF(H4749-1&lt;הגדרות!$E$8*(הגדרות!$E$7+1),MOD(H4749-1,הגדרות!$E$7+1),MOD(H4749-1-הגדרות!$E$8*(הגדרות!$E$7+1),הגדרות!$E$7)))</f>
        <v/>
      </c>
      <c r="K4749" s="0" t="str">
        <f aca="false">IF(I4749="","",J4749*הגדרות!$E$6+I4749+1)</f>
        <v/>
      </c>
      <c r="L4749" s="0" t="str">
        <f aca="false">IF(K4749="","",MATCH(K4749,$F$2:$F$5001,0))</f>
        <v/>
      </c>
      <c r="M4749" s="0" t="str">
        <f aca="false">IF(I4749="","",INDEX(הגדרות!$A$2:$A$21,MOD(I4749+הגדרות!$E$9,הגדרות!$E$6)+1))</f>
        <v/>
      </c>
    </row>
    <row r="4750" customFormat="false" ht="15" hidden="false" customHeight="false" outlineLevel="0" collapsed="false">
      <c r="A4750" s="0" t="str">
        <f aca="false">IF('הדבקת לידים'!A4750="","",IF(ISNUMBER('הדבקת לידים'!A4750),IF(הגדרות!$E$2&gt;0,TEXT('הדבקת לידים'!A4750,REPT("0",הגדרות!$E$2)),TEXT('הדבקת לידים'!A4750,"0")),TRIM('הדבקת לידים'!A4750)))</f>
        <v/>
      </c>
      <c r="B4750" s="0" t="str">
        <f aca="false">IF('הדבקת לידים'!B4750="","",IF(ISNUMBER('הדבקת לידים'!B4750),IF(הגדרות!$E$3&gt;0,TEXT('הדבקת לידים'!B4750,REPT("0",הגדרות!$E$3)),TEXT('הדבקת לידים'!B4750,"0")),TRIM('הדבקת לידים'!B4750)))</f>
        <v/>
      </c>
      <c r="C4750" s="0" t="n">
        <f aca="false">IF(OR(A4750&lt;&gt;"",B4750&lt;&gt;""),1,0)</f>
        <v>0</v>
      </c>
      <c r="D4750" s="0" t="str">
        <f aca="false">IF(C4750=1,MOD(ABS(SIN(ROW()*12.9898+'הדבקת לידים'!$F$2*78.233+IFERROR(--RIGHT(A4750,6),LEN(A4750))*0.0137+IFERROR(--RIGHT(B4750,6),LEN(B4750))*0.0071))*43758.5453,1),"")</f>
        <v/>
      </c>
      <c r="E4750" s="0" t="str">
        <f aca="false">IF(C4750=1,INT(MOD(ABS(SIN(D4750*7919.123+ROW()*0.618+'הדבקת לידים'!$F$2*1.3))*43758.5453,1)*1000000)*10000+ROW(),"")</f>
        <v/>
      </c>
      <c r="F4750" s="0" t="str">
        <f aca="false">IF(E4750="","",RANK(E4750,$E$2:$E$5001,1))</f>
        <v/>
      </c>
      <c r="G4750" s="0" t="n">
        <f aca="false">IF(A4750="",0,IF(SUMPRODUCT(--($A$2:$A$5001=A4750))&gt;1,1,0))</f>
        <v>0</v>
      </c>
      <c r="H4750" s="0" t="n">
        <f aca="false">ROW()-1</f>
        <v>4749</v>
      </c>
      <c r="I4750" s="0" t="str">
        <f aca="false">IF(OR(הגדרות!$E$6=0,H4750&gt;הגדרות!$E$5),"",IF(H4750-1&lt;הגדרות!$E$8*(הגדרות!$E$7+1),INT((H4750-1)/(הגדרות!$E$7+1)),הגדרות!$E$8+INT((H4750-1-הגדרות!$E$8*(הגדרות!$E$7+1))/הגדרות!$E$7)))</f>
        <v/>
      </c>
      <c r="J4750" s="0" t="str">
        <f aca="false">IF(I4750="","",IF(H4750-1&lt;הגדרות!$E$8*(הגדרות!$E$7+1),MOD(H4750-1,הגדרות!$E$7+1),MOD(H4750-1-הגדרות!$E$8*(הגדרות!$E$7+1),הגדרות!$E$7)))</f>
        <v/>
      </c>
      <c r="K4750" s="0" t="str">
        <f aca="false">IF(I4750="","",J4750*הגדרות!$E$6+I4750+1)</f>
        <v/>
      </c>
      <c r="L4750" s="0" t="str">
        <f aca="false">IF(K4750="","",MATCH(K4750,$F$2:$F$5001,0))</f>
        <v/>
      </c>
      <c r="M4750" s="0" t="str">
        <f aca="false">IF(I4750="","",INDEX(הגדרות!$A$2:$A$21,MOD(I4750+הגדרות!$E$9,הגדרות!$E$6)+1))</f>
        <v/>
      </c>
    </row>
    <row r="4751" customFormat="false" ht="15" hidden="false" customHeight="false" outlineLevel="0" collapsed="false">
      <c r="A4751" s="0" t="str">
        <f aca="false">IF('הדבקת לידים'!A4751="","",IF(ISNUMBER('הדבקת לידים'!A4751),IF(הגדרות!$E$2&gt;0,TEXT('הדבקת לידים'!A4751,REPT("0",הגדרות!$E$2)),TEXT('הדבקת לידים'!A4751,"0")),TRIM('הדבקת לידים'!A4751)))</f>
        <v/>
      </c>
      <c r="B4751" s="0" t="str">
        <f aca="false">IF('הדבקת לידים'!B4751="","",IF(ISNUMBER('הדבקת לידים'!B4751),IF(הגדרות!$E$3&gt;0,TEXT('הדבקת לידים'!B4751,REPT("0",הגדרות!$E$3)),TEXT('הדבקת לידים'!B4751,"0")),TRIM('הדבקת לידים'!B4751)))</f>
        <v/>
      </c>
      <c r="C4751" s="0" t="n">
        <f aca="false">IF(OR(A4751&lt;&gt;"",B4751&lt;&gt;""),1,0)</f>
        <v>0</v>
      </c>
      <c r="D4751" s="0" t="str">
        <f aca="false">IF(C4751=1,MOD(ABS(SIN(ROW()*12.9898+'הדבקת לידים'!$F$2*78.233+IFERROR(--RIGHT(A4751,6),LEN(A4751))*0.0137+IFERROR(--RIGHT(B4751,6),LEN(B4751))*0.0071))*43758.5453,1),"")</f>
        <v/>
      </c>
      <c r="E4751" s="0" t="str">
        <f aca="false">IF(C4751=1,INT(MOD(ABS(SIN(D4751*7919.123+ROW()*0.618+'הדבקת לידים'!$F$2*1.3))*43758.5453,1)*1000000)*10000+ROW(),"")</f>
        <v/>
      </c>
      <c r="F4751" s="0" t="str">
        <f aca="false">IF(E4751="","",RANK(E4751,$E$2:$E$5001,1))</f>
        <v/>
      </c>
      <c r="G4751" s="0" t="n">
        <f aca="false">IF(A4751="",0,IF(SUMPRODUCT(--($A$2:$A$5001=A4751))&gt;1,1,0))</f>
        <v>0</v>
      </c>
      <c r="H4751" s="0" t="n">
        <f aca="false">ROW()-1</f>
        <v>4750</v>
      </c>
      <c r="I4751" s="0" t="str">
        <f aca="false">IF(OR(הגדרות!$E$6=0,H4751&gt;הגדרות!$E$5),"",IF(H4751-1&lt;הגדרות!$E$8*(הגדרות!$E$7+1),INT((H4751-1)/(הגדרות!$E$7+1)),הגדרות!$E$8+INT((H4751-1-הגדרות!$E$8*(הגדרות!$E$7+1))/הגדרות!$E$7)))</f>
        <v/>
      </c>
      <c r="J4751" s="0" t="str">
        <f aca="false">IF(I4751="","",IF(H4751-1&lt;הגדרות!$E$8*(הגדרות!$E$7+1),MOD(H4751-1,הגדרות!$E$7+1),MOD(H4751-1-הגדרות!$E$8*(הגדרות!$E$7+1),הגדרות!$E$7)))</f>
        <v/>
      </c>
      <c r="K4751" s="0" t="str">
        <f aca="false">IF(I4751="","",J4751*הגדרות!$E$6+I4751+1)</f>
        <v/>
      </c>
      <c r="L4751" s="0" t="str">
        <f aca="false">IF(K4751="","",MATCH(K4751,$F$2:$F$5001,0))</f>
        <v/>
      </c>
      <c r="M4751" s="0" t="str">
        <f aca="false">IF(I4751="","",INDEX(הגדרות!$A$2:$A$21,MOD(I4751+הגדרות!$E$9,הגדרות!$E$6)+1))</f>
        <v/>
      </c>
    </row>
    <row r="4752" customFormat="false" ht="15" hidden="false" customHeight="false" outlineLevel="0" collapsed="false">
      <c r="A4752" s="0" t="str">
        <f aca="false">IF('הדבקת לידים'!A4752="","",IF(ISNUMBER('הדבקת לידים'!A4752),IF(הגדרות!$E$2&gt;0,TEXT('הדבקת לידים'!A4752,REPT("0",הגדרות!$E$2)),TEXT('הדבקת לידים'!A4752,"0")),TRIM('הדבקת לידים'!A4752)))</f>
        <v/>
      </c>
      <c r="B4752" s="0" t="str">
        <f aca="false">IF('הדבקת לידים'!B4752="","",IF(ISNUMBER('הדבקת לידים'!B4752),IF(הגדרות!$E$3&gt;0,TEXT('הדבקת לידים'!B4752,REPT("0",הגדרות!$E$3)),TEXT('הדבקת לידים'!B4752,"0")),TRIM('הדבקת לידים'!B4752)))</f>
        <v/>
      </c>
      <c r="C4752" s="0" t="n">
        <f aca="false">IF(OR(A4752&lt;&gt;"",B4752&lt;&gt;""),1,0)</f>
        <v>0</v>
      </c>
      <c r="D4752" s="0" t="str">
        <f aca="false">IF(C4752=1,MOD(ABS(SIN(ROW()*12.9898+'הדבקת לידים'!$F$2*78.233+IFERROR(--RIGHT(A4752,6),LEN(A4752))*0.0137+IFERROR(--RIGHT(B4752,6),LEN(B4752))*0.0071))*43758.5453,1),"")</f>
        <v/>
      </c>
      <c r="E4752" s="0" t="str">
        <f aca="false">IF(C4752=1,INT(MOD(ABS(SIN(D4752*7919.123+ROW()*0.618+'הדבקת לידים'!$F$2*1.3))*43758.5453,1)*1000000)*10000+ROW(),"")</f>
        <v/>
      </c>
      <c r="F4752" s="0" t="str">
        <f aca="false">IF(E4752="","",RANK(E4752,$E$2:$E$5001,1))</f>
        <v/>
      </c>
      <c r="G4752" s="0" t="n">
        <f aca="false">IF(A4752="",0,IF(SUMPRODUCT(--($A$2:$A$5001=A4752))&gt;1,1,0))</f>
        <v>0</v>
      </c>
      <c r="H4752" s="0" t="n">
        <f aca="false">ROW()-1</f>
        <v>4751</v>
      </c>
      <c r="I4752" s="0" t="str">
        <f aca="false">IF(OR(הגדרות!$E$6=0,H4752&gt;הגדרות!$E$5),"",IF(H4752-1&lt;הגדרות!$E$8*(הגדרות!$E$7+1),INT((H4752-1)/(הגדרות!$E$7+1)),הגדרות!$E$8+INT((H4752-1-הגדרות!$E$8*(הגדרות!$E$7+1))/הגדרות!$E$7)))</f>
        <v/>
      </c>
      <c r="J4752" s="0" t="str">
        <f aca="false">IF(I4752="","",IF(H4752-1&lt;הגדרות!$E$8*(הגדרות!$E$7+1),MOD(H4752-1,הגדרות!$E$7+1),MOD(H4752-1-הגדרות!$E$8*(הגדרות!$E$7+1),הגדרות!$E$7)))</f>
        <v/>
      </c>
      <c r="K4752" s="0" t="str">
        <f aca="false">IF(I4752="","",J4752*הגדרות!$E$6+I4752+1)</f>
        <v/>
      </c>
      <c r="L4752" s="0" t="str">
        <f aca="false">IF(K4752="","",MATCH(K4752,$F$2:$F$5001,0))</f>
        <v/>
      </c>
      <c r="M4752" s="0" t="str">
        <f aca="false">IF(I4752="","",INDEX(הגדרות!$A$2:$A$21,MOD(I4752+הגדרות!$E$9,הגדרות!$E$6)+1))</f>
        <v/>
      </c>
    </row>
    <row r="4753" customFormat="false" ht="15" hidden="false" customHeight="false" outlineLevel="0" collapsed="false">
      <c r="A4753" s="0" t="str">
        <f aca="false">IF('הדבקת לידים'!A4753="","",IF(ISNUMBER('הדבקת לידים'!A4753),IF(הגדרות!$E$2&gt;0,TEXT('הדבקת לידים'!A4753,REPT("0",הגדרות!$E$2)),TEXT('הדבקת לידים'!A4753,"0")),TRIM('הדבקת לידים'!A4753)))</f>
        <v/>
      </c>
      <c r="B4753" s="0" t="str">
        <f aca="false">IF('הדבקת לידים'!B4753="","",IF(ISNUMBER('הדבקת לידים'!B4753),IF(הגדרות!$E$3&gt;0,TEXT('הדבקת לידים'!B4753,REPT("0",הגדרות!$E$3)),TEXT('הדבקת לידים'!B4753,"0")),TRIM('הדבקת לידים'!B4753)))</f>
        <v/>
      </c>
      <c r="C4753" s="0" t="n">
        <f aca="false">IF(OR(A4753&lt;&gt;"",B4753&lt;&gt;""),1,0)</f>
        <v>0</v>
      </c>
      <c r="D4753" s="0" t="str">
        <f aca="false">IF(C4753=1,MOD(ABS(SIN(ROW()*12.9898+'הדבקת לידים'!$F$2*78.233+IFERROR(--RIGHT(A4753,6),LEN(A4753))*0.0137+IFERROR(--RIGHT(B4753,6),LEN(B4753))*0.0071))*43758.5453,1),"")</f>
        <v/>
      </c>
      <c r="E4753" s="0" t="str">
        <f aca="false">IF(C4753=1,INT(MOD(ABS(SIN(D4753*7919.123+ROW()*0.618+'הדבקת לידים'!$F$2*1.3))*43758.5453,1)*1000000)*10000+ROW(),"")</f>
        <v/>
      </c>
      <c r="F4753" s="0" t="str">
        <f aca="false">IF(E4753="","",RANK(E4753,$E$2:$E$5001,1))</f>
        <v/>
      </c>
      <c r="G4753" s="0" t="n">
        <f aca="false">IF(A4753="",0,IF(SUMPRODUCT(--($A$2:$A$5001=A4753))&gt;1,1,0))</f>
        <v>0</v>
      </c>
      <c r="H4753" s="0" t="n">
        <f aca="false">ROW()-1</f>
        <v>4752</v>
      </c>
      <c r="I4753" s="0" t="str">
        <f aca="false">IF(OR(הגדרות!$E$6=0,H4753&gt;הגדרות!$E$5),"",IF(H4753-1&lt;הגדרות!$E$8*(הגדרות!$E$7+1),INT((H4753-1)/(הגדרות!$E$7+1)),הגדרות!$E$8+INT((H4753-1-הגדרות!$E$8*(הגדרות!$E$7+1))/הגדרות!$E$7)))</f>
        <v/>
      </c>
      <c r="J4753" s="0" t="str">
        <f aca="false">IF(I4753="","",IF(H4753-1&lt;הגדרות!$E$8*(הגדרות!$E$7+1),MOD(H4753-1,הגדרות!$E$7+1),MOD(H4753-1-הגדרות!$E$8*(הגדרות!$E$7+1),הגדרות!$E$7)))</f>
        <v/>
      </c>
      <c r="K4753" s="0" t="str">
        <f aca="false">IF(I4753="","",J4753*הגדרות!$E$6+I4753+1)</f>
        <v/>
      </c>
      <c r="L4753" s="0" t="str">
        <f aca="false">IF(K4753="","",MATCH(K4753,$F$2:$F$5001,0))</f>
        <v/>
      </c>
      <c r="M4753" s="0" t="str">
        <f aca="false">IF(I4753="","",INDEX(הגדרות!$A$2:$A$21,MOD(I4753+הגדרות!$E$9,הגדרות!$E$6)+1))</f>
        <v/>
      </c>
    </row>
    <row r="4754" customFormat="false" ht="15" hidden="false" customHeight="false" outlineLevel="0" collapsed="false">
      <c r="A4754" s="0" t="str">
        <f aca="false">IF('הדבקת לידים'!A4754="","",IF(ISNUMBER('הדבקת לידים'!A4754),IF(הגדרות!$E$2&gt;0,TEXT('הדבקת לידים'!A4754,REPT("0",הגדרות!$E$2)),TEXT('הדבקת לידים'!A4754,"0")),TRIM('הדבקת לידים'!A4754)))</f>
        <v/>
      </c>
      <c r="B4754" s="0" t="str">
        <f aca="false">IF('הדבקת לידים'!B4754="","",IF(ISNUMBER('הדבקת לידים'!B4754),IF(הגדרות!$E$3&gt;0,TEXT('הדבקת לידים'!B4754,REPT("0",הגדרות!$E$3)),TEXT('הדבקת לידים'!B4754,"0")),TRIM('הדבקת לידים'!B4754)))</f>
        <v/>
      </c>
      <c r="C4754" s="0" t="n">
        <f aca="false">IF(OR(A4754&lt;&gt;"",B4754&lt;&gt;""),1,0)</f>
        <v>0</v>
      </c>
      <c r="D4754" s="0" t="str">
        <f aca="false">IF(C4754=1,MOD(ABS(SIN(ROW()*12.9898+'הדבקת לידים'!$F$2*78.233+IFERROR(--RIGHT(A4754,6),LEN(A4754))*0.0137+IFERROR(--RIGHT(B4754,6),LEN(B4754))*0.0071))*43758.5453,1),"")</f>
        <v/>
      </c>
      <c r="E4754" s="0" t="str">
        <f aca="false">IF(C4754=1,INT(MOD(ABS(SIN(D4754*7919.123+ROW()*0.618+'הדבקת לידים'!$F$2*1.3))*43758.5453,1)*1000000)*10000+ROW(),"")</f>
        <v/>
      </c>
      <c r="F4754" s="0" t="str">
        <f aca="false">IF(E4754="","",RANK(E4754,$E$2:$E$5001,1))</f>
        <v/>
      </c>
      <c r="G4754" s="0" t="n">
        <f aca="false">IF(A4754="",0,IF(SUMPRODUCT(--($A$2:$A$5001=A4754))&gt;1,1,0))</f>
        <v>0</v>
      </c>
      <c r="H4754" s="0" t="n">
        <f aca="false">ROW()-1</f>
        <v>4753</v>
      </c>
      <c r="I4754" s="0" t="str">
        <f aca="false">IF(OR(הגדרות!$E$6=0,H4754&gt;הגדרות!$E$5),"",IF(H4754-1&lt;הגדרות!$E$8*(הגדרות!$E$7+1),INT((H4754-1)/(הגדרות!$E$7+1)),הגדרות!$E$8+INT((H4754-1-הגדרות!$E$8*(הגדרות!$E$7+1))/הגדרות!$E$7)))</f>
        <v/>
      </c>
      <c r="J4754" s="0" t="str">
        <f aca="false">IF(I4754="","",IF(H4754-1&lt;הגדרות!$E$8*(הגדרות!$E$7+1),MOD(H4754-1,הגדרות!$E$7+1),MOD(H4754-1-הגדרות!$E$8*(הגדרות!$E$7+1),הגדרות!$E$7)))</f>
        <v/>
      </c>
      <c r="K4754" s="0" t="str">
        <f aca="false">IF(I4754="","",J4754*הגדרות!$E$6+I4754+1)</f>
        <v/>
      </c>
      <c r="L4754" s="0" t="str">
        <f aca="false">IF(K4754="","",MATCH(K4754,$F$2:$F$5001,0))</f>
        <v/>
      </c>
      <c r="M4754" s="0" t="str">
        <f aca="false">IF(I4754="","",INDEX(הגדרות!$A$2:$A$21,MOD(I4754+הגדרות!$E$9,הגדרות!$E$6)+1))</f>
        <v/>
      </c>
    </row>
    <row r="4755" customFormat="false" ht="15" hidden="false" customHeight="false" outlineLevel="0" collapsed="false">
      <c r="A4755" s="0" t="str">
        <f aca="false">IF('הדבקת לידים'!A4755="","",IF(ISNUMBER('הדבקת לידים'!A4755),IF(הגדרות!$E$2&gt;0,TEXT('הדבקת לידים'!A4755,REPT("0",הגדרות!$E$2)),TEXT('הדבקת לידים'!A4755,"0")),TRIM('הדבקת לידים'!A4755)))</f>
        <v/>
      </c>
      <c r="B4755" s="0" t="str">
        <f aca="false">IF('הדבקת לידים'!B4755="","",IF(ISNUMBER('הדבקת לידים'!B4755),IF(הגדרות!$E$3&gt;0,TEXT('הדבקת לידים'!B4755,REPT("0",הגדרות!$E$3)),TEXT('הדבקת לידים'!B4755,"0")),TRIM('הדבקת לידים'!B4755)))</f>
        <v/>
      </c>
      <c r="C4755" s="0" t="n">
        <f aca="false">IF(OR(A4755&lt;&gt;"",B4755&lt;&gt;""),1,0)</f>
        <v>0</v>
      </c>
      <c r="D4755" s="0" t="str">
        <f aca="false">IF(C4755=1,MOD(ABS(SIN(ROW()*12.9898+'הדבקת לידים'!$F$2*78.233+IFERROR(--RIGHT(A4755,6),LEN(A4755))*0.0137+IFERROR(--RIGHT(B4755,6),LEN(B4755))*0.0071))*43758.5453,1),"")</f>
        <v/>
      </c>
      <c r="E4755" s="0" t="str">
        <f aca="false">IF(C4755=1,INT(MOD(ABS(SIN(D4755*7919.123+ROW()*0.618+'הדבקת לידים'!$F$2*1.3))*43758.5453,1)*1000000)*10000+ROW(),"")</f>
        <v/>
      </c>
      <c r="F4755" s="0" t="str">
        <f aca="false">IF(E4755="","",RANK(E4755,$E$2:$E$5001,1))</f>
        <v/>
      </c>
      <c r="G4755" s="0" t="n">
        <f aca="false">IF(A4755="",0,IF(SUMPRODUCT(--($A$2:$A$5001=A4755))&gt;1,1,0))</f>
        <v>0</v>
      </c>
      <c r="H4755" s="0" t="n">
        <f aca="false">ROW()-1</f>
        <v>4754</v>
      </c>
      <c r="I4755" s="0" t="str">
        <f aca="false">IF(OR(הגדרות!$E$6=0,H4755&gt;הגדרות!$E$5),"",IF(H4755-1&lt;הגדרות!$E$8*(הגדרות!$E$7+1),INT((H4755-1)/(הגדרות!$E$7+1)),הגדרות!$E$8+INT((H4755-1-הגדרות!$E$8*(הגדרות!$E$7+1))/הגדרות!$E$7)))</f>
        <v/>
      </c>
      <c r="J4755" s="0" t="str">
        <f aca="false">IF(I4755="","",IF(H4755-1&lt;הגדרות!$E$8*(הגדרות!$E$7+1),MOD(H4755-1,הגדרות!$E$7+1),MOD(H4755-1-הגדרות!$E$8*(הגדרות!$E$7+1),הגדרות!$E$7)))</f>
        <v/>
      </c>
      <c r="K4755" s="0" t="str">
        <f aca="false">IF(I4755="","",J4755*הגדרות!$E$6+I4755+1)</f>
        <v/>
      </c>
      <c r="L4755" s="0" t="str">
        <f aca="false">IF(K4755="","",MATCH(K4755,$F$2:$F$5001,0))</f>
        <v/>
      </c>
      <c r="M4755" s="0" t="str">
        <f aca="false">IF(I4755="","",INDEX(הגדרות!$A$2:$A$21,MOD(I4755+הגדרות!$E$9,הגדרות!$E$6)+1))</f>
        <v/>
      </c>
    </row>
    <row r="4756" customFormat="false" ht="15" hidden="false" customHeight="false" outlineLevel="0" collapsed="false">
      <c r="A4756" s="0" t="str">
        <f aca="false">IF('הדבקת לידים'!A4756="","",IF(ISNUMBER('הדבקת לידים'!A4756),IF(הגדרות!$E$2&gt;0,TEXT('הדבקת לידים'!A4756,REPT("0",הגדרות!$E$2)),TEXT('הדבקת לידים'!A4756,"0")),TRIM('הדבקת לידים'!A4756)))</f>
        <v/>
      </c>
      <c r="B4756" s="0" t="str">
        <f aca="false">IF('הדבקת לידים'!B4756="","",IF(ISNUMBER('הדבקת לידים'!B4756),IF(הגדרות!$E$3&gt;0,TEXT('הדבקת לידים'!B4756,REPT("0",הגדרות!$E$3)),TEXT('הדבקת לידים'!B4756,"0")),TRIM('הדבקת לידים'!B4756)))</f>
        <v/>
      </c>
      <c r="C4756" s="0" t="n">
        <f aca="false">IF(OR(A4756&lt;&gt;"",B4756&lt;&gt;""),1,0)</f>
        <v>0</v>
      </c>
      <c r="D4756" s="0" t="str">
        <f aca="false">IF(C4756=1,MOD(ABS(SIN(ROW()*12.9898+'הדבקת לידים'!$F$2*78.233+IFERROR(--RIGHT(A4756,6),LEN(A4756))*0.0137+IFERROR(--RIGHT(B4756,6),LEN(B4756))*0.0071))*43758.5453,1),"")</f>
        <v/>
      </c>
      <c r="E4756" s="0" t="str">
        <f aca="false">IF(C4756=1,INT(MOD(ABS(SIN(D4756*7919.123+ROW()*0.618+'הדבקת לידים'!$F$2*1.3))*43758.5453,1)*1000000)*10000+ROW(),"")</f>
        <v/>
      </c>
      <c r="F4756" s="0" t="str">
        <f aca="false">IF(E4756="","",RANK(E4756,$E$2:$E$5001,1))</f>
        <v/>
      </c>
      <c r="G4756" s="0" t="n">
        <f aca="false">IF(A4756="",0,IF(SUMPRODUCT(--($A$2:$A$5001=A4756))&gt;1,1,0))</f>
        <v>0</v>
      </c>
      <c r="H4756" s="0" t="n">
        <f aca="false">ROW()-1</f>
        <v>4755</v>
      </c>
      <c r="I4756" s="0" t="str">
        <f aca="false">IF(OR(הגדרות!$E$6=0,H4756&gt;הגדרות!$E$5),"",IF(H4756-1&lt;הגדרות!$E$8*(הגדרות!$E$7+1),INT((H4756-1)/(הגדרות!$E$7+1)),הגדרות!$E$8+INT((H4756-1-הגדרות!$E$8*(הגדרות!$E$7+1))/הגדרות!$E$7)))</f>
        <v/>
      </c>
      <c r="J4756" s="0" t="str">
        <f aca="false">IF(I4756="","",IF(H4756-1&lt;הגדרות!$E$8*(הגדרות!$E$7+1),MOD(H4756-1,הגדרות!$E$7+1),MOD(H4756-1-הגדרות!$E$8*(הגדרות!$E$7+1),הגדרות!$E$7)))</f>
        <v/>
      </c>
      <c r="K4756" s="0" t="str">
        <f aca="false">IF(I4756="","",J4756*הגדרות!$E$6+I4756+1)</f>
        <v/>
      </c>
      <c r="L4756" s="0" t="str">
        <f aca="false">IF(K4756="","",MATCH(K4756,$F$2:$F$5001,0))</f>
        <v/>
      </c>
      <c r="M4756" s="0" t="str">
        <f aca="false">IF(I4756="","",INDEX(הגדרות!$A$2:$A$21,MOD(I4756+הגדרות!$E$9,הגדרות!$E$6)+1))</f>
        <v/>
      </c>
    </row>
    <row r="4757" customFormat="false" ht="15" hidden="false" customHeight="false" outlineLevel="0" collapsed="false">
      <c r="A4757" s="0" t="str">
        <f aca="false">IF('הדבקת לידים'!A4757="","",IF(ISNUMBER('הדבקת לידים'!A4757),IF(הגדרות!$E$2&gt;0,TEXT('הדבקת לידים'!A4757,REPT("0",הגדרות!$E$2)),TEXT('הדבקת לידים'!A4757,"0")),TRIM('הדבקת לידים'!A4757)))</f>
        <v/>
      </c>
      <c r="B4757" s="0" t="str">
        <f aca="false">IF('הדבקת לידים'!B4757="","",IF(ISNUMBER('הדבקת לידים'!B4757),IF(הגדרות!$E$3&gt;0,TEXT('הדבקת לידים'!B4757,REPT("0",הגדרות!$E$3)),TEXT('הדבקת לידים'!B4757,"0")),TRIM('הדבקת לידים'!B4757)))</f>
        <v/>
      </c>
      <c r="C4757" s="0" t="n">
        <f aca="false">IF(OR(A4757&lt;&gt;"",B4757&lt;&gt;""),1,0)</f>
        <v>0</v>
      </c>
      <c r="D4757" s="0" t="str">
        <f aca="false">IF(C4757=1,MOD(ABS(SIN(ROW()*12.9898+'הדבקת לידים'!$F$2*78.233+IFERROR(--RIGHT(A4757,6),LEN(A4757))*0.0137+IFERROR(--RIGHT(B4757,6),LEN(B4757))*0.0071))*43758.5453,1),"")</f>
        <v/>
      </c>
      <c r="E4757" s="0" t="str">
        <f aca="false">IF(C4757=1,INT(MOD(ABS(SIN(D4757*7919.123+ROW()*0.618+'הדבקת לידים'!$F$2*1.3))*43758.5453,1)*1000000)*10000+ROW(),"")</f>
        <v/>
      </c>
      <c r="F4757" s="0" t="str">
        <f aca="false">IF(E4757="","",RANK(E4757,$E$2:$E$5001,1))</f>
        <v/>
      </c>
      <c r="G4757" s="0" t="n">
        <f aca="false">IF(A4757="",0,IF(SUMPRODUCT(--($A$2:$A$5001=A4757))&gt;1,1,0))</f>
        <v>0</v>
      </c>
      <c r="H4757" s="0" t="n">
        <f aca="false">ROW()-1</f>
        <v>4756</v>
      </c>
      <c r="I4757" s="0" t="str">
        <f aca="false">IF(OR(הגדרות!$E$6=0,H4757&gt;הגדרות!$E$5),"",IF(H4757-1&lt;הגדרות!$E$8*(הגדרות!$E$7+1),INT((H4757-1)/(הגדרות!$E$7+1)),הגדרות!$E$8+INT((H4757-1-הגדרות!$E$8*(הגדרות!$E$7+1))/הגדרות!$E$7)))</f>
        <v/>
      </c>
      <c r="J4757" s="0" t="str">
        <f aca="false">IF(I4757="","",IF(H4757-1&lt;הגדרות!$E$8*(הגדרות!$E$7+1),MOD(H4757-1,הגדרות!$E$7+1),MOD(H4757-1-הגדרות!$E$8*(הגדרות!$E$7+1),הגדרות!$E$7)))</f>
        <v/>
      </c>
      <c r="K4757" s="0" t="str">
        <f aca="false">IF(I4757="","",J4757*הגדרות!$E$6+I4757+1)</f>
        <v/>
      </c>
      <c r="L4757" s="0" t="str">
        <f aca="false">IF(K4757="","",MATCH(K4757,$F$2:$F$5001,0))</f>
        <v/>
      </c>
      <c r="M4757" s="0" t="str">
        <f aca="false">IF(I4757="","",INDEX(הגדרות!$A$2:$A$21,MOD(I4757+הגדרות!$E$9,הגדרות!$E$6)+1))</f>
        <v/>
      </c>
    </row>
    <row r="4758" customFormat="false" ht="15" hidden="false" customHeight="false" outlineLevel="0" collapsed="false">
      <c r="A4758" s="0" t="str">
        <f aca="false">IF('הדבקת לידים'!A4758="","",IF(ISNUMBER('הדבקת לידים'!A4758),IF(הגדרות!$E$2&gt;0,TEXT('הדבקת לידים'!A4758,REPT("0",הגדרות!$E$2)),TEXT('הדבקת לידים'!A4758,"0")),TRIM('הדבקת לידים'!A4758)))</f>
        <v/>
      </c>
      <c r="B4758" s="0" t="str">
        <f aca="false">IF('הדבקת לידים'!B4758="","",IF(ISNUMBER('הדבקת לידים'!B4758),IF(הגדרות!$E$3&gt;0,TEXT('הדבקת לידים'!B4758,REPT("0",הגדרות!$E$3)),TEXT('הדבקת לידים'!B4758,"0")),TRIM('הדבקת לידים'!B4758)))</f>
        <v/>
      </c>
      <c r="C4758" s="0" t="n">
        <f aca="false">IF(OR(A4758&lt;&gt;"",B4758&lt;&gt;""),1,0)</f>
        <v>0</v>
      </c>
      <c r="D4758" s="0" t="str">
        <f aca="false">IF(C4758=1,MOD(ABS(SIN(ROW()*12.9898+'הדבקת לידים'!$F$2*78.233+IFERROR(--RIGHT(A4758,6),LEN(A4758))*0.0137+IFERROR(--RIGHT(B4758,6),LEN(B4758))*0.0071))*43758.5453,1),"")</f>
        <v/>
      </c>
      <c r="E4758" s="0" t="str">
        <f aca="false">IF(C4758=1,INT(MOD(ABS(SIN(D4758*7919.123+ROW()*0.618+'הדבקת לידים'!$F$2*1.3))*43758.5453,1)*1000000)*10000+ROW(),"")</f>
        <v/>
      </c>
      <c r="F4758" s="0" t="str">
        <f aca="false">IF(E4758="","",RANK(E4758,$E$2:$E$5001,1))</f>
        <v/>
      </c>
      <c r="G4758" s="0" t="n">
        <f aca="false">IF(A4758="",0,IF(SUMPRODUCT(--($A$2:$A$5001=A4758))&gt;1,1,0))</f>
        <v>0</v>
      </c>
      <c r="H4758" s="0" t="n">
        <f aca="false">ROW()-1</f>
        <v>4757</v>
      </c>
      <c r="I4758" s="0" t="str">
        <f aca="false">IF(OR(הגדרות!$E$6=0,H4758&gt;הגדרות!$E$5),"",IF(H4758-1&lt;הגדרות!$E$8*(הגדרות!$E$7+1),INT((H4758-1)/(הגדרות!$E$7+1)),הגדרות!$E$8+INT((H4758-1-הגדרות!$E$8*(הגדרות!$E$7+1))/הגדרות!$E$7)))</f>
        <v/>
      </c>
      <c r="J4758" s="0" t="str">
        <f aca="false">IF(I4758="","",IF(H4758-1&lt;הגדרות!$E$8*(הגדרות!$E$7+1),MOD(H4758-1,הגדרות!$E$7+1),MOD(H4758-1-הגדרות!$E$8*(הגדרות!$E$7+1),הגדרות!$E$7)))</f>
        <v/>
      </c>
      <c r="K4758" s="0" t="str">
        <f aca="false">IF(I4758="","",J4758*הגדרות!$E$6+I4758+1)</f>
        <v/>
      </c>
      <c r="L4758" s="0" t="str">
        <f aca="false">IF(K4758="","",MATCH(K4758,$F$2:$F$5001,0))</f>
        <v/>
      </c>
      <c r="M4758" s="0" t="str">
        <f aca="false">IF(I4758="","",INDEX(הגדרות!$A$2:$A$21,MOD(I4758+הגדרות!$E$9,הגדרות!$E$6)+1))</f>
        <v/>
      </c>
    </row>
    <row r="4759" customFormat="false" ht="15" hidden="false" customHeight="false" outlineLevel="0" collapsed="false">
      <c r="A4759" s="0" t="str">
        <f aca="false">IF('הדבקת לידים'!A4759="","",IF(ISNUMBER('הדבקת לידים'!A4759),IF(הגדרות!$E$2&gt;0,TEXT('הדבקת לידים'!A4759,REPT("0",הגדרות!$E$2)),TEXT('הדבקת לידים'!A4759,"0")),TRIM('הדבקת לידים'!A4759)))</f>
        <v/>
      </c>
      <c r="B4759" s="0" t="str">
        <f aca="false">IF('הדבקת לידים'!B4759="","",IF(ISNUMBER('הדבקת לידים'!B4759),IF(הגדרות!$E$3&gt;0,TEXT('הדבקת לידים'!B4759,REPT("0",הגדרות!$E$3)),TEXT('הדבקת לידים'!B4759,"0")),TRIM('הדבקת לידים'!B4759)))</f>
        <v/>
      </c>
      <c r="C4759" s="0" t="n">
        <f aca="false">IF(OR(A4759&lt;&gt;"",B4759&lt;&gt;""),1,0)</f>
        <v>0</v>
      </c>
      <c r="D4759" s="0" t="str">
        <f aca="false">IF(C4759=1,MOD(ABS(SIN(ROW()*12.9898+'הדבקת לידים'!$F$2*78.233+IFERROR(--RIGHT(A4759,6),LEN(A4759))*0.0137+IFERROR(--RIGHT(B4759,6),LEN(B4759))*0.0071))*43758.5453,1),"")</f>
        <v/>
      </c>
      <c r="E4759" s="0" t="str">
        <f aca="false">IF(C4759=1,INT(MOD(ABS(SIN(D4759*7919.123+ROW()*0.618+'הדבקת לידים'!$F$2*1.3))*43758.5453,1)*1000000)*10000+ROW(),"")</f>
        <v/>
      </c>
      <c r="F4759" s="0" t="str">
        <f aca="false">IF(E4759="","",RANK(E4759,$E$2:$E$5001,1))</f>
        <v/>
      </c>
      <c r="G4759" s="0" t="n">
        <f aca="false">IF(A4759="",0,IF(SUMPRODUCT(--($A$2:$A$5001=A4759))&gt;1,1,0))</f>
        <v>0</v>
      </c>
      <c r="H4759" s="0" t="n">
        <f aca="false">ROW()-1</f>
        <v>4758</v>
      </c>
      <c r="I4759" s="0" t="str">
        <f aca="false">IF(OR(הגדרות!$E$6=0,H4759&gt;הגדרות!$E$5),"",IF(H4759-1&lt;הגדרות!$E$8*(הגדרות!$E$7+1),INT((H4759-1)/(הגדרות!$E$7+1)),הגדרות!$E$8+INT((H4759-1-הגדרות!$E$8*(הגדרות!$E$7+1))/הגדרות!$E$7)))</f>
        <v/>
      </c>
      <c r="J4759" s="0" t="str">
        <f aca="false">IF(I4759="","",IF(H4759-1&lt;הגדרות!$E$8*(הגדרות!$E$7+1),MOD(H4759-1,הגדרות!$E$7+1),MOD(H4759-1-הגדרות!$E$8*(הגדרות!$E$7+1),הגדרות!$E$7)))</f>
        <v/>
      </c>
      <c r="K4759" s="0" t="str">
        <f aca="false">IF(I4759="","",J4759*הגדרות!$E$6+I4759+1)</f>
        <v/>
      </c>
      <c r="L4759" s="0" t="str">
        <f aca="false">IF(K4759="","",MATCH(K4759,$F$2:$F$5001,0))</f>
        <v/>
      </c>
      <c r="M4759" s="0" t="str">
        <f aca="false">IF(I4759="","",INDEX(הגדרות!$A$2:$A$21,MOD(I4759+הגדרות!$E$9,הגדרות!$E$6)+1))</f>
        <v/>
      </c>
    </row>
    <row r="4760" customFormat="false" ht="15" hidden="false" customHeight="false" outlineLevel="0" collapsed="false">
      <c r="A4760" s="0" t="str">
        <f aca="false">IF('הדבקת לידים'!A4760="","",IF(ISNUMBER('הדבקת לידים'!A4760),IF(הגדרות!$E$2&gt;0,TEXT('הדבקת לידים'!A4760,REPT("0",הגדרות!$E$2)),TEXT('הדבקת לידים'!A4760,"0")),TRIM('הדבקת לידים'!A4760)))</f>
        <v/>
      </c>
      <c r="B4760" s="0" t="str">
        <f aca="false">IF('הדבקת לידים'!B4760="","",IF(ISNUMBER('הדבקת לידים'!B4760),IF(הגדרות!$E$3&gt;0,TEXT('הדבקת לידים'!B4760,REPT("0",הגדרות!$E$3)),TEXT('הדבקת לידים'!B4760,"0")),TRIM('הדבקת לידים'!B4760)))</f>
        <v/>
      </c>
      <c r="C4760" s="0" t="n">
        <f aca="false">IF(OR(A4760&lt;&gt;"",B4760&lt;&gt;""),1,0)</f>
        <v>0</v>
      </c>
      <c r="D4760" s="0" t="str">
        <f aca="false">IF(C4760=1,MOD(ABS(SIN(ROW()*12.9898+'הדבקת לידים'!$F$2*78.233+IFERROR(--RIGHT(A4760,6),LEN(A4760))*0.0137+IFERROR(--RIGHT(B4760,6),LEN(B4760))*0.0071))*43758.5453,1),"")</f>
        <v/>
      </c>
      <c r="E4760" s="0" t="str">
        <f aca="false">IF(C4760=1,INT(MOD(ABS(SIN(D4760*7919.123+ROW()*0.618+'הדבקת לידים'!$F$2*1.3))*43758.5453,1)*1000000)*10000+ROW(),"")</f>
        <v/>
      </c>
      <c r="F4760" s="0" t="str">
        <f aca="false">IF(E4760="","",RANK(E4760,$E$2:$E$5001,1))</f>
        <v/>
      </c>
      <c r="G4760" s="0" t="n">
        <f aca="false">IF(A4760="",0,IF(SUMPRODUCT(--($A$2:$A$5001=A4760))&gt;1,1,0))</f>
        <v>0</v>
      </c>
      <c r="H4760" s="0" t="n">
        <f aca="false">ROW()-1</f>
        <v>4759</v>
      </c>
      <c r="I4760" s="0" t="str">
        <f aca="false">IF(OR(הגדרות!$E$6=0,H4760&gt;הגדרות!$E$5),"",IF(H4760-1&lt;הגדרות!$E$8*(הגדרות!$E$7+1),INT((H4760-1)/(הגדרות!$E$7+1)),הגדרות!$E$8+INT((H4760-1-הגדרות!$E$8*(הגדרות!$E$7+1))/הגדרות!$E$7)))</f>
        <v/>
      </c>
      <c r="J4760" s="0" t="str">
        <f aca="false">IF(I4760="","",IF(H4760-1&lt;הגדרות!$E$8*(הגדרות!$E$7+1),MOD(H4760-1,הגדרות!$E$7+1),MOD(H4760-1-הגדרות!$E$8*(הגדרות!$E$7+1),הגדרות!$E$7)))</f>
        <v/>
      </c>
      <c r="K4760" s="0" t="str">
        <f aca="false">IF(I4760="","",J4760*הגדרות!$E$6+I4760+1)</f>
        <v/>
      </c>
      <c r="L4760" s="0" t="str">
        <f aca="false">IF(K4760="","",MATCH(K4760,$F$2:$F$5001,0))</f>
        <v/>
      </c>
      <c r="M4760" s="0" t="str">
        <f aca="false">IF(I4760="","",INDEX(הגדרות!$A$2:$A$21,MOD(I4760+הגדרות!$E$9,הגדרות!$E$6)+1))</f>
        <v/>
      </c>
    </row>
    <row r="4761" customFormat="false" ht="15" hidden="false" customHeight="false" outlineLevel="0" collapsed="false">
      <c r="A4761" s="0" t="str">
        <f aca="false">IF('הדבקת לידים'!A4761="","",IF(ISNUMBER('הדבקת לידים'!A4761),IF(הגדרות!$E$2&gt;0,TEXT('הדבקת לידים'!A4761,REPT("0",הגדרות!$E$2)),TEXT('הדבקת לידים'!A4761,"0")),TRIM('הדבקת לידים'!A4761)))</f>
        <v/>
      </c>
      <c r="B4761" s="0" t="str">
        <f aca="false">IF('הדבקת לידים'!B4761="","",IF(ISNUMBER('הדבקת לידים'!B4761),IF(הגדרות!$E$3&gt;0,TEXT('הדבקת לידים'!B4761,REPT("0",הגדרות!$E$3)),TEXT('הדבקת לידים'!B4761,"0")),TRIM('הדבקת לידים'!B4761)))</f>
        <v/>
      </c>
      <c r="C4761" s="0" t="n">
        <f aca="false">IF(OR(A4761&lt;&gt;"",B4761&lt;&gt;""),1,0)</f>
        <v>0</v>
      </c>
      <c r="D4761" s="0" t="str">
        <f aca="false">IF(C4761=1,MOD(ABS(SIN(ROW()*12.9898+'הדבקת לידים'!$F$2*78.233+IFERROR(--RIGHT(A4761,6),LEN(A4761))*0.0137+IFERROR(--RIGHT(B4761,6),LEN(B4761))*0.0071))*43758.5453,1),"")</f>
        <v/>
      </c>
      <c r="E4761" s="0" t="str">
        <f aca="false">IF(C4761=1,INT(MOD(ABS(SIN(D4761*7919.123+ROW()*0.618+'הדבקת לידים'!$F$2*1.3))*43758.5453,1)*1000000)*10000+ROW(),"")</f>
        <v/>
      </c>
      <c r="F4761" s="0" t="str">
        <f aca="false">IF(E4761="","",RANK(E4761,$E$2:$E$5001,1))</f>
        <v/>
      </c>
      <c r="G4761" s="0" t="n">
        <f aca="false">IF(A4761="",0,IF(SUMPRODUCT(--($A$2:$A$5001=A4761))&gt;1,1,0))</f>
        <v>0</v>
      </c>
      <c r="H4761" s="0" t="n">
        <f aca="false">ROW()-1</f>
        <v>4760</v>
      </c>
      <c r="I4761" s="0" t="str">
        <f aca="false">IF(OR(הגדרות!$E$6=0,H4761&gt;הגדרות!$E$5),"",IF(H4761-1&lt;הגדרות!$E$8*(הגדרות!$E$7+1),INT((H4761-1)/(הגדרות!$E$7+1)),הגדרות!$E$8+INT((H4761-1-הגדרות!$E$8*(הגדרות!$E$7+1))/הגדרות!$E$7)))</f>
        <v/>
      </c>
      <c r="J4761" s="0" t="str">
        <f aca="false">IF(I4761="","",IF(H4761-1&lt;הגדרות!$E$8*(הגדרות!$E$7+1),MOD(H4761-1,הגדרות!$E$7+1),MOD(H4761-1-הגדרות!$E$8*(הגדרות!$E$7+1),הגדרות!$E$7)))</f>
        <v/>
      </c>
      <c r="K4761" s="0" t="str">
        <f aca="false">IF(I4761="","",J4761*הגדרות!$E$6+I4761+1)</f>
        <v/>
      </c>
      <c r="L4761" s="0" t="str">
        <f aca="false">IF(K4761="","",MATCH(K4761,$F$2:$F$5001,0))</f>
        <v/>
      </c>
      <c r="M4761" s="0" t="str">
        <f aca="false">IF(I4761="","",INDEX(הגדרות!$A$2:$A$21,MOD(I4761+הגדרות!$E$9,הגדרות!$E$6)+1))</f>
        <v/>
      </c>
    </row>
    <row r="4762" customFormat="false" ht="15" hidden="false" customHeight="false" outlineLevel="0" collapsed="false">
      <c r="A4762" s="0" t="str">
        <f aca="false">IF('הדבקת לידים'!A4762="","",IF(ISNUMBER('הדבקת לידים'!A4762),IF(הגדרות!$E$2&gt;0,TEXT('הדבקת לידים'!A4762,REPT("0",הגדרות!$E$2)),TEXT('הדבקת לידים'!A4762,"0")),TRIM('הדבקת לידים'!A4762)))</f>
        <v/>
      </c>
      <c r="B4762" s="0" t="str">
        <f aca="false">IF('הדבקת לידים'!B4762="","",IF(ISNUMBER('הדבקת לידים'!B4762),IF(הגדרות!$E$3&gt;0,TEXT('הדבקת לידים'!B4762,REPT("0",הגדרות!$E$3)),TEXT('הדבקת לידים'!B4762,"0")),TRIM('הדבקת לידים'!B4762)))</f>
        <v/>
      </c>
      <c r="C4762" s="0" t="n">
        <f aca="false">IF(OR(A4762&lt;&gt;"",B4762&lt;&gt;""),1,0)</f>
        <v>0</v>
      </c>
      <c r="D4762" s="0" t="str">
        <f aca="false">IF(C4762=1,MOD(ABS(SIN(ROW()*12.9898+'הדבקת לידים'!$F$2*78.233+IFERROR(--RIGHT(A4762,6),LEN(A4762))*0.0137+IFERROR(--RIGHT(B4762,6),LEN(B4762))*0.0071))*43758.5453,1),"")</f>
        <v/>
      </c>
      <c r="E4762" s="0" t="str">
        <f aca="false">IF(C4762=1,INT(MOD(ABS(SIN(D4762*7919.123+ROW()*0.618+'הדבקת לידים'!$F$2*1.3))*43758.5453,1)*1000000)*10000+ROW(),"")</f>
        <v/>
      </c>
      <c r="F4762" s="0" t="str">
        <f aca="false">IF(E4762="","",RANK(E4762,$E$2:$E$5001,1))</f>
        <v/>
      </c>
      <c r="G4762" s="0" t="n">
        <f aca="false">IF(A4762="",0,IF(SUMPRODUCT(--($A$2:$A$5001=A4762))&gt;1,1,0))</f>
        <v>0</v>
      </c>
      <c r="H4762" s="0" t="n">
        <f aca="false">ROW()-1</f>
        <v>4761</v>
      </c>
      <c r="I4762" s="0" t="str">
        <f aca="false">IF(OR(הגדרות!$E$6=0,H4762&gt;הגדרות!$E$5),"",IF(H4762-1&lt;הגדרות!$E$8*(הגדרות!$E$7+1),INT((H4762-1)/(הגדרות!$E$7+1)),הגדרות!$E$8+INT((H4762-1-הגדרות!$E$8*(הגדרות!$E$7+1))/הגדרות!$E$7)))</f>
        <v/>
      </c>
      <c r="J4762" s="0" t="str">
        <f aca="false">IF(I4762="","",IF(H4762-1&lt;הגדרות!$E$8*(הגדרות!$E$7+1),MOD(H4762-1,הגדרות!$E$7+1),MOD(H4762-1-הגדרות!$E$8*(הגדרות!$E$7+1),הגדרות!$E$7)))</f>
        <v/>
      </c>
      <c r="K4762" s="0" t="str">
        <f aca="false">IF(I4762="","",J4762*הגדרות!$E$6+I4762+1)</f>
        <v/>
      </c>
      <c r="L4762" s="0" t="str">
        <f aca="false">IF(K4762="","",MATCH(K4762,$F$2:$F$5001,0))</f>
        <v/>
      </c>
      <c r="M4762" s="0" t="str">
        <f aca="false">IF(I4762="","",INDEX(הגדרות!$A$2:$A$21,MOD(I4762+הגדרות!$E$9,הגדרות!$E$6)+1))</f>
        <v/>
      </c>
    </row>
    <row r="4763" customFormat="false" ht="15" hidden="false" customHeight="false" outlineLevel="0" collapsed="false">
      <c r="A4763" s="0" t="str">
        <f aca="false">IF('הדבקת לידים'!A4763="","",IF(ISNUMBER('הדבקת לידים'!A4763),IF(הגדרות!$E$2&gt;0,TEXT('הדבקת לידים'!A4763,REPT("0",הגדרות!$E$2)),TEXT('הדבקת לידים'!A4763,"0")),TRIM('הדבקת לידים'!A4763)))</f>
        <v/>
      </c>
      <c r="B4763" s="0" t="str">
        <f aca="false">IF('הדבקת לידים'!B4763="","",IF(ISNUMBER('הדבקת לידים'!B4763),IF(הגדרות!$E$3&gt;0,TEXT('הדבקת לידים'!B4763,REPT("0",הגדרות!$E$3)),TEXT('הדבקת לידים'!B4763,"0")),TRIM('הדבקת לידים'!B4763)))</f>
        <v/>
      </c>
      <c r="C4763" s="0" t="n">
        <f aca="false">IF(OR(A4763&lt;&gt;"",B4763&lt;&gt;""),1,0)</f>
        <v>0</v>
      </c>
      <c r="D4763" s="0" t="str">
        <f aca="false">IF(C4763=1,MOD(ABS(SIN(ROW()*12.9898+'הדבקת לידים'!$F$2*78.233+IFERROR(--RIGHT(A4763,6),LEN(A4763))*0.0137+IFERROR(--RIGHT(B4763,6),LEN(B4763))*0.0071))*43758.5453,1),"")</f>
        <v/>
      </c>
      <c r="E4763" s="0" t="str">
        <f aca="false">IF(C4763=1,INT(MOD(ABS(SIN(D4763*7919.123+ROW()*0.618+'הדבקת לידים'!$F$2*1.3))*43758.5453,1)*1000000)*10000+ROW(),"")</f>
        <v/>
      </c>
      <c r="F4763" s="0" t="str">
        <f aca="false">IF(E4763="","",RANK(E4763,$E$2:$E$5001,1))</f>
        <v/>
      </c>
      <c r="G4763" s="0" t="n">
        <f aca="false">IF(A4763="",0,IF(SUMPRODUCT(--($A$2:$A$5001=A4763))&gt;1,1,0))</f>
        <v>0</v>
      </c>
      <c r="H4763" s="0" t="n">
        <f aca="false">ROW()-1</f>
        <v>4762</v>
      </c>
      <c r="I4763" s="0" t="str">
        <f aca="false">IF(OR(הגדרות!$E$6=0,H4763&gt;הגדרות!$E$5),"",IF(H4763-1&lt;הגדרות!$E$8*(הגדרות!$E$7+1),INT((H4763-1)/(הגדרות!$E$7+1)),הגדרות!$E$8+INT((H4763-1-הגדרות!$E$8*(הגדרות!$E$7+1))/הגדרות!$E$7)))</f>
        <v/>
      </c>
      <c r="J4763" s="0" t="str">
        <f aca="false">IF(I4763="","",IF(H4763-1&lt;הגדרות!$E$8*(הגדרות!$E$7+1),MOD(H4763-1,הגדרות!$E$7+1),MOD(H4763-1-הגדרות!$E$8*(הגדרות!$E$7+1),הגדרות!$E$7)))</f>
        <v/>
      </c>
      <c r="K4763" s="0" t="str">
        <f aca="false">IF(I4763="","",J4763*הגדרות!$E$6+I4763+1)</f>
        <v/>
      </c>
      <c r="L4763" s="0" t="str">
        <f aca="false">IF(K4763="","",MATCH(K4763,$F$2:$F$5001,0))</f>
        <v/>
      </c>
      <c r="M4763" s="0" t="str">
        <f aca="false">IF(I4763="","",INDEX(הגדרות!$A$2:$A$21,MOD(I4763+הגדרות!$E$9,הגדרות!$E$6)+1))</f>
        <v/>
      </c>
    </row>
    <row r="4764" customFormat="false" ht="15" hidden="false" customHeight="false" outlineLevel="0" collapsed="false">
      <c r="A4764" s="0" t="str">
        <f aca="false">IF('הדבקת לידים'!A4764="","",IF(ISNUMBER('הדבקת לידים'!A4764),IF(הגדרות!$E$2&gt;0,TEXT('הדבקת לידים'!A4764,REPT("0",הגדרות!$E$2)),TEXT('הדבקת לידים'!A4764,"0")),TRIM('הדבקת לידים'!A4764)))</f>
        <v/>
      </c>
      <c r="B4764" s="0" t="str">
        <f aca="false">IF('הדבקת לידים'!B4764="","",IF(ISNUMBER('הדבקת לידים'!B4764),IF(הגדרות!$E$3&gt;0,TEXT('הדבקת לידים'!B4764,REPT("0",הגדרות!$E$3)),TEXT('הדבקת לידים'!B4764,"0")),TRIM('הדבקת לידים'!B4764)))</f>
        <v/>
      </c>
      <c r="C4764" s="0" t="n">
        <f aca="false">IF(OR(A4764&lt;&gt;"",B4764&lt;&gt;""),1,0)</f>
        <v>0</v>
      </c>
      <c r="D4764" s="0" t="str">
        <f aca="false">IF(C4764=1,MOD(ABS(SIN(ROW()*12.9898+'הדבקת לידים'!$F$2*78.233+IFERROR(--RIGHT(A4764,6),LEN(A4764))*0.0137+IFERROR(--RIGHT(B4764,6),LEN(B4764))*0.0071))*43758.5453,1),"")</f>
        <v/>
      </c>
      <c r="E4764" s="0" t="str">
        <f aca="false">IF(C4764=1,INT(MOD(ABS(SIN(D4764*7919.123+ROW()*0.618+'הדבקת לידים'!$F$2*1.3))*43758.5453,1)*1000000)*10000+ROW(),"")</f>
        <v/>
      </c>
      <c r="F4764" s="0" t="str">
        <f aca="false">IF(E4764="","",RANK(E4764,$E$2:$E$5001,1))</f>
        <v/>
      </c>
      <c r="G4764" s="0" t="n">
        <f aca="false">IF(A4764="",0,IF(SUMPRODUCT(--($A$2:$A$5001=A4764))&gt;1,1,0))</f>
        <v>0</v>
      </c>
      <c r="H4764" s="0" t="n">
        <f aca="false">ROW()-1</f>
        <v>4763</v>
      </c>
      <c r="I4764" s="0" t="str">
        <f aca="false">IF(OR(הגדרות!$E$6=0,H4764&gt;הגדרות!$E$5),"",IF(H4764-1&lt;הגדרות!$E$8*(הגדרות!$E$7+1),INT((H4764-1)/(הגדרות!$E$7+1)),הגדרות!$E$8+INT((H4764-1-הגדרות!$E$8*(הגדרות!$E$7+1))/הגדרות!$E$7)))</f>
        <v/>
      </c>
      <c r="J4764" s="0" t="str">
        <f aca="false">IF(I4764="","",IF(H4764-1&lt;הגדרות!$E$8*(הגדרות!$E$7+1),MOD(H4764-1,הגדרות!$E$7+1),MOD(H4764-1-הגדרות!$E$8*(הגדרות!$E$7+1),הגדרות!$E$7)))</f>
        <v/>
      </c>
      <c r="K4764" s="0" t="str">
        <f aca="false">IF(I4764="","",J4764*הגדרות!$E$6+I4764+1)</f>
        <v/>
      </c>
      <c r="L4764" s="0" t="str">
        <f aca="false">IF(K4764="","",MATCH(K4764,$F$2:$F$5001,0))</f>
        <v/>
      </c>
      <c r="M4764" s="0" t="str">
        <f aca="false">IF(I4764="","",INDEX(הגדרות!$A$2:$A$21,MOD(I4764+הגדרות!$E$9,הגדרות!$E$6)+1))</f>
        <v/>
      </c>
    </row>
    <row r="4765" customFormat="false" ht="15" hidden="false" customHeight="false" outlineLevel="0" collapsed="false">
      <c r="A4765" s="0" t="str">
        <f aca="false">IF('הדבקת לידים'!A4765="","",IF(ISNUMBER('הדבקת לידים'!A4765),IF(הגדרות!$E$2&gt;0,TEXT('הדבקת לידים'!A4765,REPT("0",הגדרות!$E$2)),TEXT('הדבקת לידים'!A4765,"0")),TRIM('הדבקת לידים'!A4765)))</f>
        <v/>
      </c>
      <c r="B4765" s="0" t="str">
        <f aca="false">IF('הדבקת לידים'!B4765="","",IF(ISNUMBER('הדבקת לידים'!B4765),IF(הגדרות!$E$3&gt;0,TEXT('הדבקת לידים'!B4765,REPT("0",הגדרות!$E$3)),TEXT('הדבקת לידים'!B4765,"0")),TRIM('הדבקת לידים'!B4765)))</f>
        <v/>
      </c>
      <c r="C4765" s="0" t="n">
        <f aca="false">IF(OR(A4765&lt;&gt;"",B4765&lt;&gt;""),1,0)</f>
        <v>0</v>
      </c>
      <c r="D4765" s="0" t="str">
        <f aca="false">IF(C4765=1,MOD(ABS(SIN(ROW()*12.9898+'הדבקת לידים'!$F$2*78.233+IFERROR(--RIGHT(A4765,6),LEN(A4765))*0.0137+IFERROR(--RIGHT(B4765,6),LEN(B4765))*0.0071))*43758.5453,1),"")</f>
        <v/>
      </c>
      <c r="E4765" s="0" t="str">
        <f aca="false">IF(C4765=1,INT(MOD(ABS(SIN(D4765*7919.123+ROW()*0.618+'הדבקת לידים'!$F$2*1.3))*43758.5453,1)*1000000)*10000+ROW(),"")</f>
        <v/>
      </c>
      <c r="F4765" s="0" t="str">
        <f aca="false">IF(E4765="","",RANK(E4765,$E$2:$E$5001,1))</f>
        <v/>
      </c>
      <c r="G4765" s="0" t="n">
        <f aca="false">IF(A4765="",0,IF(SUMPRODUCT(--($A$2:$A$5001=A4765))&gt;1,1,0))</f>
        <v>0</v>
      </c>
      <c r="H4765" s="0" t="n">
        <f aca="false">ROW()-1</f>
        <v>4764</v>
      </c>
      <c r="I4765" s="0" t="str">
        <f aca="false">IF(OR(הגדרות!$E$6=0,H4765&gt;הגדרות!$E$5),"",IF(H4765-1&lt;הגדרות!$E$8*(הגדרות!$E$7+1),INT((H4765-1)/(הגדרות!$E$7+1)),הגדרות!$E$8+INT((H4765-1-הגדרות!$E$8*(הגדרות!$E$7+1))/הגדרות!$E$7)))</f>
        <v/>
      </c>
      <c r="J4765" s="0" t="str">
        <f aca="false">IF(I4765="","",IF(H4765-1&lt;הגדרות!$E$8*(הגדרות!$E$7+1),MOD(H4765-1,הגדרות!$E$7+1),MOD(H4765-1-הגדרות!$E$8*(הגדרות!$E$7+1),הגדרות!$E$7)))</f>
        <v/>
      </c>
      <c r="K4765" s="0" t="str">
        <f aca="false">IF(I4765="","",J4765*הגדרות!$E$6+I4765+1)</f>
        <v/>
      </c>
      <c r="L4765" s="0" t="str">
        <f aca="false">IF(K4765="","",MATCH(K4765,$F$2:$F$5001,0))</f>
        <v/>
      </c>
      <c r="M4765" s="0" t="str">
        <f aca="false">IF(I4765="","",INDEX(הגדרות!$A$2:$A$21,MOD(I4765+הגדרות!$E$9,הגדרות!$E$6)+1))</f>
        <v/>
      </c>
    </row>
    <row r="4766" customFormat="false" ht="15" hidden="false" customHeight="false" outlineLevel="0" collapsed="false">
      <c r="A4766" s="0" t="str">
        <f aca="false">IF('הדבקת לידים'!A4766="","",IF(ISNUMBER('הדבקת לידים'!A4766),IF(הגדרות!$E$2&gt;0,TEXT('הדבקת לידים'!A4766,REPT("0",הגדרות!$E$2)),TEXT('הדבקת לידים'!A4766,"0")),TRIM('הדבקת לידים'!A4766)))</f>
        <v/>
      </c>
      <c r="B4766" s="0" t="str">
        <f aca="false">IF('הדבקת לידים'!B4766="","",IF(ISNUMBER('הדבקת לידים'!B4766),IF(הגדרות!$E$3&gt;0,TEXT('הדבקת לידים'!B4766,REPT("0",הגדרות!$E$3)),TEXT('הדבקת לידים'!B4766,"0")),TRIM('הדבקת לידים'!B4766)))</f>
        <v/>
      </c>
      <c r="C4766" s="0" t="n">
        <f aca="false">IF(OR(A4766&lt;&gt;"",B4766&lt;&gt;""),1,0)</f>
        <v>0</v>
      </c>
      <c r="D4766" s="0" t="str">
        <f aca="false">IF(C4766=1,MOD(ABS(SIN(ROW()*12.9898+'הדבקת לידים'!$F$2*78.233+IFERROR(--RIGHT(A4766,6),LEN(A4766))*0.0137+IFERROR(--RIGHT(B4766,6),LEN(B4766))*0.0071))*43758.5453,1),"")</f>
        <v/>
      </c>
      <c r="E4766" s="0" t="str">
        <f aca="false">IF(C4766=1,INT(MOD(ABS(SIN(D4766*7919.123+ROW()*0.618+'הדבקת לידים'!$F$2*1.3))*43758.5453,1)*1000000)*10000+ROW(),"")</f>
        <v/>
      </c>
      <c r="F4766" s="0" t="str">
        <f aca="false">IF(E4766="","",RANK(E4766,$E$2:$E$5001,1))</f>
        <v/>
      </c>
      <c r="G4766" s="0" t="n">
        <f aca="false">IF(A4766="",0,IF(SUMPRODUCT(--($A$2:$A$5001=A4766))&gt;1,1,0))</f>
        <v>0</v>
      </c>
      <c r="H4766" s="0" t="n">
        <f aca="false">ROW()-1</f>
        <v>4765</v>
      </c>
      <c r="I4766" s="0" t="str">
        <f aca="false">IF(OR(הגדרות!$E$6=0,H4766&gt;הגדרות!$E$5),"",IF(H4766-1&lt;הגדרות!$E$8*(הגדרות!$E$7+1),INT((H4766-1)/(הגדרות!$E$7+1)),הגדרות!$E$8+INT((H4766-1-הגדרות!$E$8*(הגדרות!$E$7+1))/הגדרות!$E$7)))</f>
        <v/>
      </c>
      <c r="J4766" s="0" t="str">
        <f aca="false">IF(I4766="","",IF(H4766-1&lt;הגדרות!$E$8*(הגדרות!$E$7+1),MOD(H4766-1,הגדרות!$E$7+1),MOD(H4766-1-הגדרות!$E$8*(הגדרות!$E$7+1),הגדרות!$E$7)))</f>
        <v/>
      </c>
      <c r="K4766" s="0" t="str">
        <f aca="false">IF(I4766="","",J4766*הגדרות!$E$6+I4766+1)</f>
        <v/>
      </c>
      <c r="L4766" s="0" t="str">
        <f aca="false">IF(K4766="","",MATCH(K4766,$F$2:$F$5001,0))</f>
        <v/>
      </c>
      <c r="M4766" s="0" t="str">
        <f aca="false">IF(I4766="","",INDEX(הגדרות!$A$2:$A$21,MOD(I4766+הגדרות!$E$9,הגדרות!$E$6)+1))</f>
        <v/>
      </c>
    </row>
    <row r="4767" customFormat="false" ht="15" hidden="false" customHeight="false" outlineLevel="0" collapsed="false">
      <c r="A4767" s="0" t="str">
        <f aca="false">IF('הדבקת לידים'!A4767="","",IF(ISNUMBER('הדבקת לידים'!A4767),IF(הגדרות!$E$2&gt;0,TEXT('הדבקת לידים'!A4767,REPT("0",הגדרות!$E$2)),TEXT('הדבקת לידים'!A4767,"0")),TRIM('הדבקת לידים'!A4767)))</f>
        <v/>
      </c>
      <c r="B4767" s="0" t="str">
        <f aca="false">IF('הדבקת לידים'!B4767="","",IF(ISNUMBER('הדבקת לידים'!B4767),IF(הגדרות!$E$3&gt;0,TEXT('הדבקת לידים'!B4767,REPT("0",הגדרות!$E$3)),TEXT('הדבקת לידים'!B4767,"0")),TRIM('הדבקת לידים'!B4767)))</f>
        <v/>
      </c>
      <c r="C4767" s="0" t="n">
        <f aca="false">IF(OR(A4767&lt;&gt;"",B4767&lt;&gt;""),1,0)</f>
        <v>0</v>
      </c>
      <c r="D4767" s="0" t="str">
        <f aca="false">IF(C4767=1,MOD(ABS(SIN(ROW()*12.9898+'הדבקת לידים'!$F$2*78.233+IFERROR(--RIGHT(A4767,6),LEN(A4767))*0.0137+IFERROR(--RIGHT(B4767,6),LEN(B4767))*0.0071))*43758.5453,1),"")</f>
        <v/>
      </c>
      <c r="E4767" s="0" t="str">
        <f aca="false">IF(C4767=1,INT(MOD(ABS(SIN(D4767*7919.123+ROW()*0.618+'הדבקת לידים'!$F$2*1.3))*43758.5453,1)*1000000)*10000+ROW(),"")</f>
        <v/>
      </c>
      <c r="F4767" s="0" t="str">
        <f aca="false">IF(E4767="","",RANK(E4767,$E$2:$E$5001,1))</f>
        <v/>
      </c>
      <c r="G4767" s="0" t="n">
        <f aca="false">IF(A4767="",0,IF(SUMPRODUCT(--($A$2:$A$5001=A4767))&gt;1,1,0))</f>
        <v>0</v>
      </c>
      <c r="H4767" s="0" t="n">
        <f aca="false">ROW()-1</f>
        <v>4766</v>
      </c>
      <c r="I4767" s="0" t="str">
        <f aca="false">IF(OR(הגדרות!$E$6=0,H4767&gt;הגדרות!$E$5),"",IF(H4767-1&lt;הגדרות!$E$8*(הגדרות!$E$7+1),INT((H4767-1)/(הגדרות!$E$7+1)),הגדרות!$E$8+INT((H4767-1-הגדרות!$E$8*(הגדרות!$E$7+1))/הגדרות!$E$7)))</f>
        <v/>
      </c>
      <c r="J4767" s="0" t="str">
        <f aca="false">IF(I4767="","",IF(H4767-1&lt;הגדרות!$E$8*(הגדרות!$E$7+1),MOD(H4767-1,הגדרות!$E$7+1),MOD(H4767-1-הגדרות!$E$8*(הגדרות!$E$7+1),הגדרות!$E$7)))</f>
        <v/>
      </c>
      <c r="K4767" s="0" t="str">
        <f aca="false">IF(I4767="","",J4767*הגדרות!$E$6+I4767+1)</f>
        <v/>
      </c>
      <c r="L4767" s="0" t="str">
        <f aca="false">IF(K4767="","",MATCH(K4767,$F$2:$F$5001,0))</f>
        <v/>
      </c>
      <c r="M4767" s="0" t="str">
        <f aca="false">IF(I4767="","",INDEX(הגדרות!$A$2:$A$21,MOD(I4767+הגדרות!$E$9,הגדרות!$E$6)+1))</f>
        <v/>
      </c>
    </row>
    <row r="4768" customFormat="false" ht="15" hidden="false" customHeight="false" outlineLevel="0" collapsed="false">
      <c r="A4768" s="0" t="str">
        <f aca="false">IF('הדבקת לידים'!A4768="","",IF(ISNUMBER('הדבקת לידים'!A4768),IF(הגדרות!$E$2&gt;0,TEXT('הדבקת לידים'!A4768,REPT("0",הגדרות!$E$2)),TEXT('הדבקת לידים'!A4768,"0")),TRIM('הדבקת לידים'!A4768)))</f>
        <v/>
      </c>
      <c r="B4768" s="0" t="str">
        <f aca="false">IF('הדבקת לידים'!B4768="","",IF(ISNUMBER('הדבקת לידים'!B4768),IF(הגדרות!$E$3&gt;0,TEXT('הדבקת לידים'!B4768,REPT("0",הגדרות!$E$3)),TEXT('הדבקת לידים'!B4768,"0")),TRIM('הדבקת לידים'!B4768)))</f>
        <v/>
      </c>
      <c r="C4768" s="0" t="n">
        <f aca="false">IF(OR(A4768&lt;&gt;"",B4768&lt;&gt;""),1,0)</f>
        <v>0</v>
      </c>
      <c r="D4768" s="0" t="str">
        <f aca="false">IF(C4768=1,MOD(ABS(SIN(ROW()*12.9898+'הדבקת לידים'!$F$2*78.233+IFERROR(--RIGHT(A4768,6),LEN(A4768))*0.0137+IFERROR(--RIGHT(B4768,6),LEN(B4768))*0.0071))*43758.5453,1),"")</f>
        <v/>
      </c>
      <c r="E4768" s="0" t="str">
        <f aca="false">IF(C4768=1,INT(MOD(ABS(SIN(D4768*7919.123+ROW()*0.618+'הדבקת לידים'!$F$2*1.3))*43758.5453,1)*1000000)*10000+ROW(),"")</f>
        <v/>
      </c>
      <c r="F4768" s="0" t="str">
        <f aca="false">IF(E4768="","",RANK(E4768,$E$2:$E$5001,1))</f>
        <v/>
      </c>
      <c r="G4768" s="0" t="n">
        <f aca="false">IF(A4768="",0,IF(SUMPRODUCT(--($A$2:$A$5001=A4768))&gt;1,1,0))</f>
        <v>0</v>
      </c>
      <c r="H4768" s="0" t="n">
        <f aca="false">ROW()-1</f>
        <v>4767</v>
      </c>
      <c r="I4768" s="0" t="str">
        <f aca="false">IF(OR(הגדרות!$E$6=0,H4768&gt;הגדרות!$E$5),"",IF(H4768-1&lt;הגדרות!$E$8*(הגדרות!$E$7+1),INT((H4768-1)/(הגדרות!$E$7+1)),הגדרות!$E$8+INT((H4768-1-הגדרות!$E$8*(הגדרות!$E$7+1))/הגדרות!$E$7)))</f>
        <v/>
      </c>
      <c r="J4768" s="0" t="str">
        <f aca="false">IF(I4768="","",IF(H4768-1&lt;הגדרות!$E$8*(הגדרות!$E$7+1),MOD(H4768-1,הגדרות!$E$7+1),MOD(H4768-1-הגדרות!$E$8*(הגדרות!$E$7+1),הגדרות!$E$7)))</f>
        <v/>
      </c>
      <c r="K4768" s="0" t="str">
        <f aca="false">IF(I4768="","",J4768*הגדרות!$E$6+I4768+1)</f>
        <v/>
      </c>
      <c r="L4768" s="0" t="str">
        <f aca="false">IF(K4768="","",MATCH(K4768,$F$2:$F$5001,0))</f>
        <v/>
      </c>
      <c r="M4768" s="0" t="str">
        <f aca="false">IF(I4768="","",INDEX(הגדרות!$A$2:$A$21,MOD(I4768+הגדרות!$E$9,הגדרות!$E$6)+1))</f>
        <v/>
      </c>
    </row>
    <row r="4769" customFormat="false" ht="15" hidden="false" customHeight="false" outlineLevel="0" collapsed="false">
      <c r="A4769" s="0" t="str">
        <f aca="false">IF('הדבקת לידים'!A4769="","",IF(ISNUMBER('הדבקת לידים'!A4769),IF(הגדרות!$E$2&gt;0,TEXT('הדבקת לידים'!A4769,REPT("0",הגדרות!$E$2)),TEXT('הדבקת לידים'!A4769,"0")),TRIM('הדבקת לידים'!A4769)))</f>
        <v/>
      </c>
      <c r="B4769" s="0" t="str">
        <f aca="false">IF('הדבקת לידים'!B4769="","",IF(ISNUMBER('הדבקת לידים'!B4769),IF(הגדרות!$E$3&gt;0,TEXT('הדבקת לידים'!B4769,REPT("0",הגדרות!$E$3)),TEXT('הדבקת לידים'!B4769,"0")),TRIM('הדבקת לידים'!B4769)))</f>
        <v/>
      </c>
      <c r="C4769" s="0" t="n">
        <f aca="false">IF(OR(A4769&lt;&gt;"",B4769&lt;&gt;""),1,0)</f>
        <v>0</v>
      </c>
      <c r="D4769" s="0" t="str">
        <f aca="false">IF(C4769=1,MOD(ABS(SIN(ROW()*12.9898+'הדבקת לידים'!$F$2*78.233+IFERROR(--RIGHT(A4769,6),LEN(A4769))*0.0137+IFERROR(--RIGHT(B4769,6),LEN(B4769))*0.0071))*43758.5453,1),"")</f>
        <v/>
      </c>
      <c r="E4769" s="0" t="str">
        <f aca="false">IF(C4769=1,INT(MOD(ABS(SIN(D4769*7919.123+ROW()*0.618+'הדבקת לידים'!$F$2*1.3))*43758.5453,1)*1000000)*10000+ROW(),"")</f>
        <v/>
      </c>
      <c r="F4769" s="0" t="str">
        <f aca="false">IF(E4769="","",RANK(E4769,$E$2:$E$5001,1))</f>
        <v/>
      </c>
      <c r="G4769" s="0" t="n">
        <f aca="false">IF(A4769="",0,IF(SUMPRODUCT(--($A$2:$A$5001=A4769))&gt;1,1,0))</f>
        <v>0</v>
      </c>
      <c r="H4769" s="0" t="n">
        <f aca="false">ROW()-1</f>
        <v>4768</v>
      </c>
      <c r="I4769" s="0" t="str">
        <f aca="false">IF(OR(הגדרות!$E$6=0,H4769&gt;הגדרות!$E$5),"",IF(H4769-1&lt;הגדרות!$E$8*(הגדרות!$E$7+1),INT((H4769-1)/(הגדרות!$E$7+1)),הגדרות!$E$8+INT((H4769-1-הגדרות!$E$8*(הגדרות!$E$7+1))/הגדרות!$E$7)))</f>
        <v/>
      </c>
      <c r="J4769" s="0" t="str">
        <f aca="false">IF(I4769="","",IF(H4769-1&lt;הגדרות!$E$8*(הגדרות!$E$7+1),MOD(H4769-1,הגדרות!$E$7+1),MOD(H4769-1-הגדרות!$E$8*(הגדרות!$E$7+1),הגדרות!$E$7)))</f>
        <v/>
      </c>
      <c r="K4769" s="0" t="str">
        <f aca="false">IF(I4769="","",J4769*הגדרות!$E$6+I4769+1)</f>
        <v/>
      </c>
      <c r="L4769" s="0" t="str">
        <f aca="false">IF(K4769="","",MATCH(K4769,$F$2:$F$5001,0))</f>
        <v/>
      </c>
      <c r="M4769" s="0" t="str">
        <f aca="false">IF(I4769="","",INDEX(הגדרות!$A$2:$A$21,MOD(I4769+הגדרות!$E$9,הגדרות!$E$6)+1))</f>
        <v/>
      </c>
    </row>
    <row r="4770" customFormat="false" ht="15" hidden="false" customHeight="false" outlineLevel="0" collapsed="false">
      <c r="A4770" s="0" t="str">
        <f aca="false">IF('הדבקת לידים'!A4770="","",IF(ISNUMBER('הדבקת לידים'!A4770),IF(הגדרות!$E$2&gt;0,TEXT('הדבקת לידים'!A4770,REPT("0",הגדרות!$E$2)),TEXT('הדבקת לידים'!A4770,"0")),TRIM('הדבקת לידים'!A4770)))</f>
        <v/>
      </c>
      <c r="B4770" s="0" t="str">
        <f aca="false">IF('הדבקת לידים'!B4770="","",IF(ISNUMBER('הדבקת לידים'!B4770),IF(הגדרות!$E$3&gt;0,TEXT('הדבקת לידים'!B4770,REPT("0",הגדרות!$E$3)),TEXT('הדבקת לידים'!B4770,"0")),TRIM('הדבקת לידים'!B4770)))</f>
        <v/>
      </c>
      <c r="C4770" s="0" t="n">
        <f aca="false">IF(OR(A4770&lt;&gt;"",B4770&lt;&gt;""),1,0)</f>
        <v>0</v>
      </c>
      <c r="D4770" s="0" t="str">
        <f aca="false">IF(C4770=1,MOD(ABS(SIN(ROW()*12.9898+'הדבקת לידים'!$F$2*78.233+IFERROR(--RIGHT(A4770,6),LEN(A4770))*0.0137+IFERROR(--RIGHT(B4770,6),LEN(B4770))*0.0071))*43758.5453,1),"")</f>
        <v/>
      </c>
      <c r="E4770" s="0" t="str">
        <f aca="false">IF(C4770=1,INT(MOD(ABS(SIN(D4770*7919.123+ROW()*0.618+'הדבקת לידים'!$F$2*1.3))*43758.5453,1)*1000000)*10000+ROW(),"")</f>
        <v/>
      </c>
      <c r="F4770" s="0" t="str">
        <f aca="false">IF(E4770="","",RANK(E4770,$E$2:$E$5001,1))</f>
        <v/>
      </c>
      <c r="G4770" s="0" t="n">
        <f aca="false">IF(A4770="",0,IF(SUMPRODUCT(--($A$2:$A$5001=A4770))&gt;1,1,0))</f>
        <v>0</v>
      </c>
      <c r="H4770" s="0" t="n">
        <f aca="false">ROW()-1</f>
        <v>4769</v>
      </c>
      <c r="I4770" s="0" t="str">
        <f aca="false">IF(OR(הגדרות!$E$6=0,H4770&gt;הגדרות!$E$5),"",IF(H4770-1&lt;הגדרות!$E$8*(הגדרות!$E$7+1),INT((H4770-1)/(הגדרות!$E$7+1)),הגדרות!$E$8+INT((H4770-1-הגדרות!$E$8*(הגדרות!$E$7+1))/הגדרות!$E$7)))</f>
        <v/>
      </c>
      <c r="J4770" s="0" t="str">
        <f aca="false">IF(I4770="","",IF(H4770-1&lt;הגדרות!$E$8*(הגדרות!$E$7+1),MOD(H4770-1,הגדרות!$E$7+1),MOD(H4770-1-הגדרות!$E$8*(הגדרות!$E$7+1),הגדרות!$E$7)))</f>
        <v/>
      </c>
      <c r="K4770" s="0" t="str">
        <f aca="false">IF(I4770="","",J4770*הגדרות!$E$6+I4770+1)</f>
        <v/>
      </c>
      <c r="L4770" s="0" t="str">
        <f aca="false">IF(K4770="","",MATCH(K4770,$F$2:$F$5001,0))</f>
        <v/>
      </c>
      <c r="M4770" s="0" t="str">
        <f aca="false">IF(I4770="","",INDEX(הגדרות!$A$2:$A$21,MOD(I4770+הגדרות!$E$9,הגדרות!$E$6)+1))</f>
        <v/>
      </c>
    </row>
    <row r="4771" customFormat="false" ht="15" hidden="false" customHeight="false" outlineLevel="0" collapsed="false">
      <c r="A4771" s="0" t="str">
        <f aca="false">IF('הדבקת לידים'!A4771="","",IF(ISNUMBER('הדבקת לידים'!A4771),IF(הגדרות!$E$2&gt;0,TEXT('הדבקת לידים'!A4771,REPT("0",הגדרות!$E$2)),TEXT('הדבקת לידים'!A4771,"0")),TRIM('הדבקת לידים'!A4771)))</f>
        <v/>
      </c>
      <c r="B4771" s="0" t="str">
        <f aca="false">IF('הדבקת לידים'!B4771="","",IF(ISNUMBER('הדבקת לידים'!B4771),IF(הגדרות!$E$3&gt;0,TEXT('הדבקת לידים'!B4771,REPT("0",הגדרות!$E$3)),TEXT('הדבקת לידים'!B4771,"0")),TRIM('הדבקת לידים'!B4771)))</f>
        <v/>
      </c>
      <c r="C4771" s="0" t="n">
        <f aca="false">IF(OR(A4771&lt;&gt;"",B4771&lt;&gt;""),1,0)</f>
        <v>0</v>
      </c>
      <c r="D4771" s="0" t="str">
        <f aca="false">IF(C4771=1,MOD(ABS(SIN(ROW()*12.9898+'הדבקת לידים'!$F$2*78.233+IFERROR(--RIGHT(A4771,6),LEN(A4771))*0.0137+IFERROR(--RIGHT(B4771,6),LEN(B4771))*0.0071))*43758.5453,1),"")</f>
        <v/>
      </c>
      <c r="E4771" s="0" t="str">
        <f aca="false">IF(C4771=1,INT(MOD(ABS(SIN(D4771*7919.123+ROW()*0.618+'הדבקת לידים'!$F$2*1.3))*43758.5453,1)*1000000)*10000+ROW(),"")</f>
        <v/>
      </c>
      <c r="F4771" s="0" t="str">
        <f aca="false">IF(E4771="","",RANK(E4771,$E$2:$E$5001,1))</f>
        <v/>
      </c>
      <c r="G4771" s="0" t="n">
        <f aca="false">IF(A4771="",0,IF(SUMPRODUCT(--($A$2:$A$5001=A4771))&gt;1,1,0))</f>
        <v>0</v>
      </c>
      <c r="H4771" s="0" t="n">
        <f aca="false">ROW()-1</f>
        <v>4770</v>
      </c>
      <c r="I4771" s="0" t="str">
        <f aca="false">IF(OR(הגדרות!$E$6=0,H4771&gt;הגדרות!$E$5),"",IF(H4771-1&lt;הגדרות!$E$8*(הגדרות!$E$7+1),INT((H4771-1)/(הגדרות!$E$7+1)),הגדרות!$E$8+INT((H4771-1-הגדרות!$E$8*(הגדרות!$E$7+1))/הגדרות!$E$7)))</f>
        <v/>
      </c>
      <c r="J4771" s="0" t="str">
        <f aca="false">IF(I4771="","",IF(H4771-1&lt;הגדרות!$E$8*(הגדרות!$E$7+1),MOD(H4771-1,הגדרות!$E$7+1),MOD(H4771-1-הגדרות!$E$8*(הגדרות!$E$7+1),הגדרות!$E$7)))</f>
        <v/>
      </c>
      <c r="K4771" s="0" t="str">
        <f aca="false">IF(I4771="","",J4771*הגדרות!$E$6+I4771+1)</f>
        <v/>
      </c>
      <c r="L4771" s="0" t="str">
        <f aca="false">IF(K4771="","",MATCH(K4771,$F$2:$F$5001,0))</f>
        <v/>
      </c>
      <c r="M4771" s="0" t="str">
        <f aca="false">IF(I4771="","",INDEX(הגדרות!$A$2:$A$21,MOD(I4771+הגדרות!$E$9,הגדרות!$E$6)+1))</f>
        <v/>
      </c>
    </row>
    <row r="4772" customFormat="false" ht="15" hidden="false" customHeight="false" outlineLevel="0" collapsed="false">
      <c r="A4772" s="0" t="str">
        <f aca="false">IF('הדבקת לידים'!A4772="","",IF(ISNUMBER('הדבקת לידים'!A4772),IF(הגדרות!$E$2&gt;0,TEXT('הדבקת לידים'!A4772,REPT("0",הגדרות!$E$2)),TEXT('הדבקת לידים'!A4772,"0")),TRIM('הדבקת לידים'!A4772)))</f>
        <v/>
      </c>
      <c r="B4772" s="0" t="str">
        <f aca="false">IF('הדבקת לידים'!B4772="","",IF(ISNUMBER('הדבקת לידים'!B4772),IF(הגדרות!$E$3&gt;0,TEXT('הדבקת לידים'!B4772,REPT("0",הגדרות!$E$3)),TEXT('הדבקת לידים'!B4772,"0")),TRIM('הדבקת לידים'!B4772)))</f>
        <v/>
      </c>
      <c r="C4772" s="0" t="n">
        <f aca="false">IF(OR(A4772&lt;&gt;"",B4772&lt;&gt;""),1,0)</f>
        <v>0</v>
      </c>
      <c r="D4772" s="0" t="str">
        <f aca="false">IF(C4772=1,MOD(ABS(SIN(ROW()*12.9898+'הדבקת לידים'!$F$2*78.233+IFERROR(--RIGHT(A4772,6),LEN(A4772))*0.0137+IFERROR(--RIGHT(B4772,6),LEN(B4772))*0.0071))*43758.5453,1),"")</f>
        <v/>
      </c>
      <c r="E4772" s="0" t="str">
        <f aca="false">IF(C4772=1,INT(MOD(ABS(SIN(D4772*7919.123+ROW()*0.618+'הדבקת לידים'!$F$2*1.3))*43758.5453,1)*1000000)*10000+ROW(),"")</f>
        <v/>
      </c>
      <c r="F4772" s="0" t="str">
        <f aca="false">IF(E4772="","",RANK(E4772,$E$2:$E$5001,1))</f>
        <v/>
      </c>
      <c r="G4772" s="0" t="n">
        <f aca="false">IF(A4772="",0,IF(SUMPRODUCT(--($A$2:$A$5001=A4772))&gt;1,1,0))</f>
        <v>0</v>
      </c>
      <c r="H4772" s="0" t="n">
        <f aca="false">ROW()-1</f>
        <v>4771</v>
      </c>
      <c r="I4772" s="0" t="str">
        <f aca="false">IF(OR(הגדרות!$E$6=0,H4772&gt;הגדרות!$E$5),"",IF(H4772-1&lt;הגדרות!$E$8*(הגדרות!$E$7+1),INT((H4772-1)/(הגדרות!$E$7+1)),הגדרות!$E$8+INT((H4772-1-הגדרות!$E$8*(הגדרות!$E$7+1))/הגדרות!$E$7)))</f>
        <v/>
      </c>
      <c r="J4772" s="0" t="str">
        <f aca="false">IF(I4772="","",IF(H4772-1&lt;הגדרות!$E$8*(הגדרות!$E$7+1),MOD(H4772-1,הגדרות!$E$7+1),MOD(H4772-1-הגדרות!$E$8*(הגדרות!$E$7+1),הגדרות!$E$7)))</f>
        <v/>
      </c>
      <c r="K4772" s="0" t="str">
        <f aca="false">IF(I4772="","",J4772*הגדרות!$E$6+I4772+1)</f>
        <v/>
      </c>
      <c r="L4772" s="0" t="str">
        <f aca="false">IF(K4772="","",MATCH(K4772,$F$2:$F$5001,0))</f>
        <v/>
      </c>
      <c r="M4772" s="0" t="str">
        <f aca="false">IF(I4772="","",INDEX(הגדרות!$A$2:$A$21,MOD(I4772+הגדרות!$E$9,הגדרות!$E$6)+1))</f>
        <v/>
      </c>
    </row>
    <row r="4773" customFormat="false" ht="15" hidden="false" customHeight="false" outlineLevel="0" collapsed="false">
      <c r="A4773" s="0" t="str">
        <f aca="false">IF('הדבקת לידים'!A4773="","",IF(ISNUMBER('הדבקת לידים'!A4773),IF(הגדרות!$E$2&gt;0,TEXT('הדבקת לידים'!A4773,REPT("0",הגדרות!$E$2)),TEXT('הדבקת לידים'!A4773,"0")),TRIM('הדבקת לידים'!A4773)))</f>
        <v/>
      </c>
      <c r="B4773" s="0" t="str">
        <f aca="false">IF('הדבקת לידים'!B4773="","",IF(ISNUMBER('הדבקת לידים'!B4773),IF(הגדרות!$E$3&gt;0,TEXT('הדבקת לידים'!B4773,REPT("0",הגדרות!$E$3)),TEXT('הדבקת לידים'!B4773,"0")),TRIM('הדבקת לידים'!B4773)))</f>
        <v/>
      </c>
      <c r="C4773" s="0" t="n">
        <f aca="false">IF(OR(A4773&lt;&gt;"",B4773&lt;&gt;""),1,0)</f>
        <v>0</v>
      </c>
      <c r="D4773" s="0" t="str">
        <f aca="false">IF(C4773=1,MOD(ABS(SIN(ROW()*12.9898+'הדבקת לידים'!$F$2*78.233+IFERROR(--RIGHT(A4773,6),LEN(A4773))*0.0137+IFERROR(--RIGHT(B4773,6),LEN(B4773))*0.0071))*43758.5453,1),"")</f>
        <v/>
      </c>
      <c r="E4773" s="0" t="str">
        <f aca="false">IF(C4773=1,INT(MOD(ABS(SIN(D4773*7919.123+ROW()*0.618+'הדבקת לידים'!$F$2*1.3))*43758.5453,1)*1000000)*10000+ROW(),"")</f>
        <v/>
      </c>
      <c r="F4773" s="0" t="str">
        <f aca="false">IF(E4773="","",RANK(E4773,$E$2:$E$5001,1))</f>
        <v/>
      </c>
      <c r="G4773" s="0" t="n">
        <f aca="false">IF(A4773="",0,IF(SUMPRODUCT(--($A$2:$A$5001=A4773))&gt;1,1,0))</f>
        <v>0</v>
      </c>
      <c r="H4773" s="0" t="n">
        <f aca="false">ROW()-1</f>
        <v>4772</v>
      </c>
      <c r="I4773" s="0" t="str">
        <f aca="false">IF(OR(הגדרות!$E$6=0,H4773&gt;הגדרות!$E$5),"",IF(H4773-1&lt;הגדרות!$E$8*(הגדרות!$E$7+1),INT((H4773-1)/(הגדרות!$E$7+1)),הגדרות!$E$8+INT((H4773-1-הגדרות!$E$8*(הגדרות!$E$7+1))/הגדרות!$E$7)))</f>
        <v/>
      </c>
      <c r="J4773" s="0" t="str">
        <f aca="false">IF(I4773="","",IF(H4773-1&lt;הגדרות!$E$8*(הגדרות!$E$7+1),MOD(H4773-1,הגדרות!$E$7+1),MOD(H4773-1-הגדרות!$E$8*(הגדרות!$E$7+1),הגדרות!$E$7)))</f>
        <v/>
      </c>
      <c r="K4773" s="0" t="str">
        <f aca="false">IF(I4773="","",J4773*הגדרות!$E$6+I4773+1)</f>
        <v/>
      </c>
      <c r="L4773" s="0" t="str">
        <f aca="false">IF(K4773="","",MATCH(K4773,$F$2:$F$5001,0))</f>
        <v/>
      </c>
      <c r="M4773" s="0" t="str">
        <f aca="false">IF(I4773="","",INDEX(הגדרות!$A$2:$A$21,MOD(I4773+הגדרות!$E$9,הגדרות!$E$6)+1))</f>
        <v/>
      </c>
    </row>
    <row r="4774" customFormat="false" ht="15" hidden="false" customHeight="false" outlineLevel="0" collapsed="false">
      <c r="A4774" s="0" t="str">
        <f aca="false">IF('הדבקת לידים'!A4774="","",IF(ISNUMBER('הדבקת לידים'!A4774),IF(הגדרות!$E$2&gt;0,TEXT('הדבקת לידים'!A4774,REPT("0",הגדרות!$E$2)),TEXT('הדבקת לידים'!A4774,"0")),TRIM('הדבקת לידים'!A4774)))</f>
        <v/>
      </c>
      <c r="B4774" s="0" t="str">
        <f aca="false">IF('הדבקת לידים'!B4774="","",IF(ISNUMBER('הדבקת לידים'!B4774),IF(הגדרות!$E$3&gt;0,TEXT('הדבקת לידים'!B4774,REPT("0",הגדרות!$E$3)),TEXT('הדבקת לידים'!B4774,"0")),TRIM('הדבקת לידים'!B4774)))</f>
        <v/>
      </c>
      <c r="C4774" s="0" t="n">
        <f aca="false">IF(OR(A4774&lt;&gt;"",B4774&lt;&gt;""),1,0)</f>
        <v>0</v>
      </c>
      <c r="D4774" s="0" t="str">
        <f aca="false">IF(C4774=1,MOD(ABS(SIN(ROW()*12.9898+'הדבקת לידים'!$F$2*78.233+IFERROR(--RIGHT(A4774,6),LEN(A4774))*0.0137+IFERROR(--RIGHT(B4774,6),LEN(B4774))*0.0071))*43758.5453,1),"")</f>
        <v/>
      </c>
      <c r="E4774" s="0" t="str">
        <f aca="false">IF(C4774=1,INT(MOD(ABS(SIN(D4774*7919.123+ROW()*0.618+'הדבקת לידים'!$F$2*1.3))*43758.5453,1)*1000000)*10000+ROW(),"")</f>
        <v/>
      </c>
      <c r="F4774" s="0" t="str">
        <f aca="false">IF(E4774="","",RANK(E4774,$E$2:$E$5001,1))</f>
        <v/>
      </c>
      <c r="G4774" s="0" t="n">
        <f aca="false">IF(A4774="",0,IF(SUMPRODUCT(--($A$2:$A$5001=A4774))&gt;1,1,0))</f>
        <v>0</v>
      </c>
      <c r="H4774" s="0" t="n">
        <f aca="false">ROW()-1</f>
        <v>4773</v>
      </c>
      <c r="I4774" s="0" t="str">
        <f aca="false">IF(OR(הגדרות!$E$6=0,H4774&gt;הגדרות!$E$5),"",IF(H4774-1&lt;הגדרות!$E$8*(הגדרות!$E$7+1),INT((H4774-1)/(הגדרות!$E$7+1)),הגדרות!$E$8+INT((H4774-1-הגדרות!$E$8*(הגדרות!$E$7+1))/הגדרות!$E$7)))</f>
        <v/>
      </c>
      <c r="J4774" s="0" t="str">
        <f aca="false">IF(I4774="","",IF(H4774-1&lt;הגדרות!$E$8*(הגדרות!$E$7+1),MOD(H4774-1,הגדרות!$E$7+1),MOD(H4774-1-הגדרות!$E$8*(הגדרות!$E$7+1),הגדרות!$E$7)))</f>
        <v/>
      </c>
      <c r="K4774" s="0" t="str">
        <f aca="false">IF(I4774="","",J4774*הגדרות!$E$6+I4774+1)</f>
        <v/>
      </c>
      <c r="L4774" s="0" t="str">
        <f aca="false">IF(K4774="","",MATCH(K4774,$F$2:$F$5001,0))</f>
        <v/>
      </c>
      <c r="M4774" s="0" t="str">
        <f aca="false">IF(I4774="","",INDEX(הגדרות!$A$2:$A$21,MOD(I4774+הגדרות!$E$9,הגדרות!$E$6)+1))</f>
        <v/>
      </c>
    </row>
    <row r="4775" customFormat="false" ht="15" hidden="false" customHeight="false" outlineLevel="0" collapsed="false">
      <c r="A4775" s="0" t="str">
        <f aca="false">IF('הדבקת לידים'!A4775="","",IF(ISNUMBER('הדבקת לידים'!A4775),IF(הגדרות!$E$2&gt;0,TEXT('הדבקת לידים'!A4775,REPT("0",הגדרות!$E$2)),TEXT('הדבקת לידים'!A4775,"0")),TRIM('הדבקת לידים'!A4775)))</f>
        <v/>
      </c>
      <c r="B4775" s="0" t="str">
        <f aca="false">IF('הדבקת לידים'!B4775="","",IF(ISNUMBER('הדבקת לידים'!B4775),IF(הגדרות!$E$3&gt;0,TEXT('הדבקת לידים'!B4775,REPT("0",הגדרות!$E$3)),TEXT('הדבקת לידים'!B4775,"0")),TRIM('הדבקת לידים'!B4775)))</f>
        <v/>
      </c>
      <c r="C4775" s="0" t="n">
        <f aca="false">IF(OR(A4775&lt;&gt;"",B4775&lt;&gt;""),1,0)</f>
        <v>0</v>
      </c>
      <c r="D4775" s="0" t="str">
        <f aca="false">IF(C4775=1,MOD(ABS(SIN(ROW()*12.9898+'הדבקת לידים'!$F$2*78.233+IFERROR(--RIGHT(A4775,6),LEN(A4775))*0.0137+IFERROR(--RIGHT(B4775,6),LEN(B4775))*0.0071))*43758.5453,1),"")</f>
        <v/>
      </c>
      <c r="E4775" s="0" t="str">
        <f aca="false">IF(C4775=1,INT(MOD(ABS(SIN(D4775*7919.123+ROW()*0.618+'הדבקת לידים'!$F$2*1.3))*43758.5453,1)*1000000)*10000+ROW(),"")</f>
        <v/>
      </c>
      <c r="F4775" s="0" t="str">
        <f aca="false">IF(E4775="","",RANK(E4775,$E$2:$E$5001,1))</f>
        <v/>
      </c>
      <c r="G4775" s="0" t="n">
        <f aca="false">IF(A4775="",0,IF(SUMPRODUCT(--($A$2:$A$5001=A4775))&gt;1,1,0))</f>
        <v>0</v>
      </c>
      <c r="H4775" s="0" t="n">
        <f aca="false">ROW()-1</f>
        <v>4774</v>
      </c>
      <c r="I4775" s="0" t="str">
        <f aca="false">IF(OR(הגדרות!$E$6=0,H4775&gt;הגדרות!$E$5),"",IF(H4775-1&lt;הגדרות!$E$8*(הגדרות!$E$7+1),INT((H4775-1)/(הגדרות!$E$7+1)),הגדרות!$E$8+INT((H4775-1-הגדרות!$E$8*(הגדרות!$E$7+1))/הגדרות!$E$7)))</f>
        <v/>
      </c>
      <c r="J4775" s="0" t="str">
        <f aca="false">IF(I4775="","",IF(H4775-1&lt;הגדרות!$E$8*(הגדרות!$E$7+1),MOD(H4775-1,הגדרות!$E$7+1),MOD(H4775-1-הגדרות!$E$8*(הגדרות!$E$7+1),הגדרות!$E$7)))</f>
        <v/>
      </c>
      <c r="K4775" s="0" t="str">
        <f aca="false">IF(I4775="","",J4775*הגדרות!$E$6+I4775+1)</f>
        <v/>
      </c>
      <c r="L4775" s="0" t="str">
        <f aca="false">IF(K4775="","",MATCH(K4775,$F$2:$F$5001,0))</f>
        <v/>
      </c>
      <c r="M4775" s="0" t="str">
        <f aca="false">IF(I4775="","",INDEX(הגדרות!$A$2:$A$21,MOD(I4775+הגדרות!$E$9,הגדרות!$E$6)+1))</f>
        <v/>
      </c>
    </row>
    <row r="4776" customFormat="false" ht="15" hidden="false" customHeight="false" outlineLevel="0" collapsed="false">
      <c r="A4776" s="0" t="str">
        <f aca="false">IF('הדבקת לידים'!A4776="","",IF(ISNUMBER('הדבקת לידים'!A4776),IF(הגדרות!$E$2&gt;0,TEXT('הדבקת לידים'!A4776,REPT("0",הגדרות!$E$2)),TEXT('הדבקת לידים'!A4776,"0")),TRIM('הדבקת לידים'!A4776)))</f>
        <v/>
      </c>
      <c r="B4776" s="0" t="str">
        <f aca="false">IF('הדבקת לידים'!B4776="","",IF(ISNUMBER('הדבקת לידים'!B4776),IF(הגדרות!$E$3&gt;0,TEXT('הדבקת לידים'!B4776,REPT("0",הגדרות!$E$3)),TEXT('הדבקת לידים'!B4776,"0")),TRIM('הדבקת לידים'!B4776)))</f>
        <v/>
      </c>
      <c r="C4776" s="0" t="n">
        <f aca="false">IF(OR(A4776&lt;&gt;"",B4776&lt;&gt;""),1,0)</f>
        <v>0</v>
      </c>
      <c r="D4776" s="0" t="str">
        <f aca="false">IF(C4776=1,MOD(ABS(SIN(ROW()*12.9898+'הדבקת לידים'!$F$2*78.233+IFERROR(--RIGHT(A4776,6),LEN(A4776))*0.0137+IFERROR(--RIGHT(B4776,6),LEN(B4776))*0.0071))*43758.5453,1),"")</f>
        <v/>
      </c>
      <c r="E4776" s="0" t="str">
        <f aca="false">IF(C4776=1,INT(MOD(ABS(SIN(D4776*7919.123+ROW()*0.618+'הדבקת לידים'!$F$2*1.3))*43758.5453,1)*1000000)*10000+ROW(),"")</f>
        <v/>
      </c>
      <c r="F4776" s="0" t="str">
        <f aca="false">IF(E4776="","",RANK(E4776,$E$2:$E$5001,1))</f>
        <v/>
      </c>
      <c r="G4776" s="0" t="n">
        <f aca="false">IF(A4776="",0,IF(SUMPRODUCT(--($A$2:$A$5001=A4776))&gt;1,1,0))</f>
        <v>0</v>
      </c>
      <c r="H4776" s="0" t="n">
        <f aca="false">ROW()-1</f>
        <v>4775</v>
      </c>
      <c r="I4776" s="0" t="str">
        <f aca="false">IF(OR(הגדרות!$E$6=0,H4776&gt;הגדרות!$E$5),"",IF(H4776-1&lt;הגדרות!$E$8*(הגדרות!$E$7+1),INT((H4776-1)/(הגדרות!$E$7+1)),הגדרות!$E$8+INT((H4776-1-הגדרות!$E$8*(הגדרות!$E$7+1))/הגדרות!$E$7)))</f>
        <v/>
      </c>
      <c r="J4776" s="0" t="str">
        <f aca="false">IF(I4776="","",IF(H4776-1&lt;הגדרות!$E$8*(הגדרות!$E$7+1),MOD(H4776-1,הגדרות!$E$7+1),MOD(H4776-1-הגדרות!$E$8*(הגדרות!$E$7+1),הגדרות!$E$7)))</f>
        <v/>
      </c>
      <c r="K4776" s="0" t="str">
        <f aca="false">IF(I4776="","",J4776*הגדרות!$E$6+I4776+1)</f>
        <v/>
      </c>
      <c r="L4776" s="0" t="str">
        <f aca="false">IF(K4776="","",MATCH(K4776,$F$2:$F$5001,0))</f>
        <v/>
      </c>
      <c r="M4776" s="0" t="str">
        <f aca="false">IF(I4776="","",INDEX(הגדרות!$A$2:$A$21,MOD(I4776+הגדרות!$E$9,הגדרות!$E$6)+1))</f>
        <v/>
      </c>
    </row>
    <row r="4777" customFormat="false" ht="15" hidden="false" customHeight="false" outlineLevel="0" collapsed="false">
      <c r="A4777" s="0" t="str">
        <f aca="false">IF('הדבקת לידים'!A4777="","",IF(ISNUMBER('הדבקת לידים'!A4777),IF(הגדרות!$E$2&gt;0,TEXT('הדבקת לידים'!A4777,REPT("0",הגדרות!$E$2)),TEXT('הדבקת לידים'!A4777,"0")),TRIM('הדבקת לידים'!A4777)))</f>
        <v/>
      </c>
      <c r="B4777" s="0" t="str">
        <f aca="false">IF('הדבקת לידים'!B4777="","",IF(ISNUMBER('הדבקת לידים'!B4777),IF(הגדרות!$E$3&gt;0,TEXT('הדבקת לידים'!B4777,REPT("0",הגדרות!$E$3)),TEXT('הדבקת לידים'!B4777,"0")),TRIM('הדבקת לידים'!B4777)))</f>
        <v/>
      </c>
      <c r="C4777" s="0" t="n">
        <f aca="false">IF(OR(A4777&lt;&gt;"",B4777&lt;&gt;""),1,0)</f>
        <v>0</v>
      </c>
      <c r="D4777" s="0" t="str">
        <f aca="false">IF(C4777=1,MOD(ABS(SIN(ROW()*12.9898+'הדבקת לידים'!$F$2*78.233+IFERROR(--RIGHT(A4777,6),LEN(A4777))*0.0137+IFERROR(--RIGHT(B4777,6),LEN(B4777))*0.0071))*43758.5453,1),"")</f>
        <v/>
      </c>
      <c r="E4777" s="0" t="str">
        <f aca="false">IF(C4777=1,INT(MOD(ABS(SIN(D4777*7919.123+ROW()*0.618+'הדבקת לידים'!$F$2*1.3))*43758.5453,1)*1000000)*10000+ROW(),"")</f>
        <v/>
      </c>
      <c r="F4777" s="0" t="str">
        <f aca="false">IF(E4777="","",RANK(E4777,$E$2:$E$5001,1))</f>
        <v/>
      </c>
      <c r="G4777" s="0" t="n">
        <f aca="false">IF(A4777="",0,IF(SUMPRODUCT(--($A$2:$A$5001=A4777))&gt;1,1,0))</f>
        <v>0</v>
      </c>
      <c r="H4777" s="0" t="n">
        <f aca="false">ROW()-1</f>
        <v>4776</v>
      </c>
      <c r="I4777" s="0" t="str">
        <f aca="false">IF(OR(הגדרות!$E$6=0,H4777&gt;הגדרות!$E$5),"",IF(H4777-1&lt;הגדרות!$E$8*(הגדרות!$E$7+1),INT((H4777-1)/(הגדרות!$E$7+1)),הגדרות!$E$8+INT((H4777-1-הגדרות!$E$8*(הגדרות!$E$7+1))/הגדרות!$E$7)))</f>
        <v/>
      </c>
      <c r="J4777" s="0" t="str">
        <f aca="false">IF(I4777="","",IF(H4777-1&lt;הגדרות!$E$8*(הגדרות!$E$7+1),MOD(H4777-1,הגדרות!$E$7+1),MOD(H4777-1-הגדרות!$E$8*(הגדרות!$E$7+1),הגדרות!$E$7)))</f>
        <v/>
      </c>
      <c r="K4777" s="0" t="str">
        <f aca="false">IF(I4777="","",J4777*הגדרות!$E$6+I4777+1)</f>
        <v/>
      </c>
      <c r="L4777" s="0" t="str">
        <f aca="false">IF(K4777="","",MATCH(K4777,$F$2:$F$5001,0))</f>
        <v/>
      </c>
      <c r="M4777" s="0" t="str">
        <f aca="false">IF(I4777="","",INDEX(הגדרות!$A$2:$A$21,MOD(I4777+הגדרות!$E$9,הגדרות!$E$6)+1))</f>
        <v/>
      </c>
    </row>
    <row r="4778" customFormat="false" ht="15" hidden="false" customHeight="false" outlineLevel="0" collapsed="false">
      <c r="A4778" s="0" t="str">
        <f aca="false">IF('הדבקת לידים'!A4778="","",IF(ISNUMBER('הדבקת לידים'!A4778),IF(הגדרות!$E$2&gt;0,TEXT('הדבקת לידים'!A4778,REPT("0",הגדרות!$E$2)),TEXT('הדבקת לידים'!A4778,"0")),TRIM('הדבקת לידים'!A4778)))</f>
        <v/>
      </c>
      <c r="B4778" s="0" t="str">
        <f aca="false">IF('הדבקת לידים'!B4778="","",IF(ISNUMBER('הדבקת לידים'!B4778),IF(הגדרות!$E$3&gt;0,TEXT('הדבקת לידים'!B4778,REPT("0",הגדרות!$E$3)),TEXT('הדבקת לידים'!B4778,"0")),TRIM('הדבקת לידים'!B4778)))</f>
        <v/>
      </c>
      <c r="C4778" s="0" t="n">
        <f aca="false">IF(OR(A4778&lt;&gt;"",B4778&lt;&gt;""),1,0)</f>
        <v>0</v>
      </c>
      <c r="D4778" s="0" t="str">
        <f aca="false">IF(C4778=1,MOD(ABS(SIN(ROW()*12.9898+'הדבקת לידים'!$F$2*78.233+IFERROR(--RIGHT(A4778,6),LEN(A4778))*0.0137+IFERROR(--RIGHT(B4778,6),LEN(B4778))*0.0071))*43758.5453,1),"")</f>
        <v/>
      </c>
      <c r="E4778" s="0" t="str">
        <f aca="false">IF(C4778=1,INT(MOD(ABS(SIN(D4778*7919.123+ROW()*0.618+'הדבקת לידים'!$F$2*1.3))*43758.5453,1)*1000000)*10000+ROW(),"")</f>
        <v/>
      </c>
      <c r="F4778" s="0" t="str">
        <f aca="false">IF(E4778="","",RANK(E4778,$E$2:$E$5001,1))</f>
        <v/>
      </c>
      <c r="G4778" s="0" t="n">
        <f aca="false">IF(A4778="",0,IF(SUMPRODUCT(--($A$2:$A$5001=A4778))&gt;1,1,0))</f>
        <v>0</v>
      </c>
      <c r="H4778" s="0" t="n">
        <f aca="false">ROW()-1</f>
        <v>4777</v>
      </c>
      <c r="I4778" s="0" t="str">
        <f aca="false">IF(OR(הגדרות!$E$6=0,H4778&gt;הגדרות!$E$5),"",IF(H4778-1&lt;הגדרות!$E$8*(הגדרות!$E$7+1),INT((H4778-1)/(הגדרות!$E$7+1)),הגדרות!$E$8+INT((H4778-1-הגדרות!$E$8*(הגדרות!$E$7+1))/הגדרות!$E$7)))</f>
        <v/>
      </c>
      <c r="J4778" s="0" t="str">
        <f aca="false">IF(I4778="","",IF(H4778-1&lt;הגדרות!$E$8*(הגדרות!$E$7+1),MOD(H4778-1,הגדרות!$E$7+1),MOD(H4778-1-הגדרות!$E$8*(הגדרות!$E$7+1),הגדרות!$E$7)))</f>
        <v/>
      </c>
      <c r="K4778" s="0" t="str">
        <f aca="false">IF(I4778="","",J4778*הגדרות!$E$6+I4778+1)</f>
        <v/>
      </c>
      <c r="L4778" s="0" t="str">
        <f aca="false">IF(K4778="","",MATCH(K4778,$F$2:$F$5001,0))</f>
        <v/>
      </c>
      <c r="M4778" s="0" t="str">
        <f aca="false">IF(I4778="","",INDEX(הגדרות!$A$2:$A$21,MOD(I4778+הגדרות!$E$9,הגדרות!$E$6)+1))</f>
        <v/>
      </c>
    </row>
    <row r="4779" customFormat="false" ht="15" hidden="false" customHeight="false" outlineLevel="0" collapsed="false">
      <c r="A4779" s="0" t="str">
        <f aca="false">IF('הדבקת לידים'!A4779="","",IF(ISNUMBER('הדבקת לידים'!A4779),IF(הגדרות!$E$2&gt;0,TEXT('הדבקת לידים'!A4779,REPT("0",הגדרות!$E$2)),TEXT('הדבקת לידים'!A4779,"0")),TRIM('הדבקת לידים'!A4779)))</f>
        <v/>
      </c>
      <c r="B4779" s="0" t="str">
        <f aca="false">IF('הדבקת לידים'!B4779="","",IF(ISNUMBER('הדבקת לידים'!B4779),IF(הגדרות!$E$3&gt;0,TEXT('הדבקת לידים'!B4779,REPT("0",הגדרות!$E$3)),TEXT('הדבקת לידים'!B4779,"0")),TRIM('הדבקת לידים'!B4779)))</f>
        <v/>
      </c>
      <c r="C4779" s="0" t="n">
        <f aca="false">IF(OR(A4779&lt;&gt;"",B4779&lt;&gt;""),1,0)</f>
        <v>0</v>
      </c>
      <c r="D4779" s="0" t="str">
        <f aca="false">IF(C4779=1,MOD(ABS(SIN(ROW()*12.9898+'הדבקת לידים'!$F$2*78.233+IFERROR(--RIGHT(A4779,6),LEN(A4779))*0.0137+IFERROR(--RIGHT(B4779,6),LEN(B4779))*0.0071))*43758.5453,1),"")</f>
        <v/>
      </c>
      <c r="E4779" s="0" t="str">
        <f aca="false">IF(C4779=1,INT(MOD(ABS(SIN(D4779*7919.123+ROW()*0.618+'הדבקת לידים'!$F$2*1.3))*43758.5453,1)*1000000)*10000+ROW(),"")</f>
        <v/>
      </c>
      <c r="F4779" s="0" t="str">
        <f aca="false">IF(E4779="","",RANK(E4779,$E$2:$E$5001,1))</f>
        <v/>
      </c>
      <c r="G4779" s="0" t="n">
        <f aca="false">IF(A4779="",0,IF(SUMPRODUCT(--($A$2:$A$5001=A4779))&gt;1,1,0))</f>
        <v>0</v>
      </c>
      <c r="H4779" s="0" t="n">
        <f aca="false">ROW()-1</f>
        <v>4778</v>
      </c>
      <c r="I4779" s="0" t="str">
        <f aca="false">IF(OR(הגדרות!$E$6=0,H4779&gt;הגדרות!$E$5),"",IF(H4779-1&lt;הגדרות!$E$8*(הגדרות!$E$7+1),INT((H4779-1)/(הגדרות!$E$7+1)),הגדרות!$E$8+INT((H4779-1-הגדרות!$E$8*(הגדרות!$E$7+1))/הגדרות!$E$7)))</f>
        <v/>
      </c>
      <c r="J4779" s="0" t="str">
        <f aca="false">IF(I4779="","",IF(H4779-1&lt;הגדרות!$E$8*(הגדרות!$E$7+1),MOD(H4779-1,הגדרות!$E$7+1),MOD(H4779-1-הגדרות!$E$8*(הגדרות!$E$7+1),הגדרות!$E$7)))</f>
        <v/>
      </c>
      <c r="K4779" s="0" t="str">
        <f aca="false">IF(I4779="","",J4779*הגדרות!$E$6+I4779+1)</f>
        <v/>
      </c>
      <c r="L4779" s="0" t="str">
        <f aca="false">IF(K4779="","",MATCH(K4779,$F$2:$F$5001,0))</f>
        <v/>
      </c>
      <c r="M4779" s="0" t="str">
        <f aca="false">IF(I4779="","",INDEX(הגדרות!$A$2:$A$21,MOD(I4779+הגדרות!$E$9,הגדרות!$E$6)+1))</f>
        <v/>
      </c>
    </row>
    <row r="4780" customFormat="false" ht="15" hidden="false" customHeight="false" outlineLevel="0" collapsed="false">
      <c r="A4780" s="0" t="str">
        <f aca="false">IF('הדבקת לידים'!A4780="","",IF(ISNUMBER('הדבקת לידים'!A4780),IF(הגדרות!$E$2&gt;0,TEXT('הדבקת לידים'!A4780,REPT("0",הגדרות!$E$2)),TEXT('הדבקת לידים'!A4780,"0")),TRIM('הדבקת לידים'!A4780)))</f>
        <v/>
      </c>
      <c r="B4780" s="0" t="str">
        <f aca="false">IF('הדבקת לידים'!B4780="","",IF(ISNUMBER('הדבקת לידים'!B4780),IF(הגדרות!$E$3&gt;0,TEXT('הדבקת לידים'!B4780,REPT("0",הגדרות!$E$3)),TEXT('הדבקת לידים'!B4780,"0")),TRIM('הדבקת לידים'!B4780)))</f>
        <v/>
      </c>
      <c r="C4780" s="0" t="n">
        <f aca="false">IF(OR(A4780&lt;&gt;"",B4780&lt;&gt;""),1,0)</f>
        <v>0</v>
      </c>
      <c r="D4780" s="0" t="str">
        <f aca="false">IF(C4780=1,MOD(ABS(SIN(ROW()*12.9898+'הדבקת לידים'!$F$2*78.233+IFERROR(--RIGHT(A4780,6),LEN(A4780))*0.0137+IFERROR(--RIGHT(B4780,6),LEN(B4780))*0.0071))*43758.5453,1),"")</f>
        <v/>
      </c>
      <c r="E4780" s="0" t="str">
        <f aca="false">IF(C4780=1,INT(MOD(ABS(SIN(D4780*7919.123+ROW()*0.618+'הדבקת לידים'!$F$2*1.3))*43758.5453,1)*1000000)*10000+ROW(),"")</f>
        <v/>
      </c>
      <c r="F4780" s="0" t="str">
        <f aca="false">IF(E4780="","",RANK(E4780,$E$2:$E$5001,1))</f>
        <v/>
      </c>
      <c r="G4780" s="0" t="n">
        <f aca="false">IF(A4780="",0,IF(SUMPRODUCT(--($A$2:$A$5001=A4780))&gt;1,1,0))</f>
        <v>0</v>
      </c>
      <c r="H4780" s="0" t="n">
        <f aca="false">ROW()-1</f>
        <v>4779</v>
      </c>
      <c r="I4780" s="0" t="str">
        <f aca="false">IF(OR(הגדרות!$E$6=0,H4780&gt;הגדרות!$E$5),"",IF(H4780-1&lt;הגדרות!$E$8*(הגדרות!$E$7+1),INT((H4780-1)/(הגדרות!$E$7+1)),הגדרות!$E$8+INT((H4780-1-הגדרות!$E$8*(הגדרות!$E$7+1))/הגדרות!$E$7)))</f>
        <v/>
      </c>
      <c r="J4780" s="0" t="str">
        <f aca="false">IF(I4780="","",IF(H4780-1&lt;הגדרות!$E$8*(הגדרות!$E$7+1),MOD(H4780-1,הגדרות!$E$7+1),MOD(H4780-1-הגדרות!$E$8*(הגדרות!$E$7+1),הגדרות!$E$7)))</f>
        <v/>
      </c>
      <c r="K4780" s="0" t="str">
        <f aca="false">IF(I4780="","",J4780*הגדרות!$E$6+I4780+1)</f>
        <v/>
      </c>
      <c r="L4780" s="0" t="str">
        <f aca="false">IF(K4780="","",MATCH(K4780,$F$2:$F$5001,0))</f>
        <v/>
      </c>
      <c r="M4780" s="0" t="str">
        <f aca="false">IF(I4780="","",INDEX(הגדרות!$A$2:$A$21,MOD(I4780+הגדרות!$E$9,הגדרות!$E$6)+1))</f>
        <v/>
      </c>
    </row>
    <row r="4781" customFormat="false" ht="15" hidden="false" customHeight="false" outlineLevel="0" collapsed="false">
      <c r="A4781" s="0" t="str">
        <f aca="false">IF('הדבקת לידים'!A4781="","",IF(ISNUMBER('הדבקת לידים'!A4781),IF(הגדרות!$E$2&gt;0,TEXT('הדבקת לידים'!A4781,REPT("0",הגדרות!$E$2)),TEXT('הדבקת לידים'!A4781,"0")),TRIM('הדבקת לידים'!A4781)))</f>
        <v/>
      </c>
      <c r="B4781" s="0" t="str">
        <f aca="false">IF('הדבקת לידים'!B4781="","",IF(ISNUMBER('הדבקת לידים'!B4781),IF(הגדרות!$E$3&gt;0,TEXT('הדבקת לידים'!B4781,REPT("0",הגדרות!$E$3)),TEXT('הדבקת לידים'!B4781,"0")),TRIM('הדבקת לידים'!B4781)))</f>
        <v/>
      </c>
      <c r="C4781" s="0" t="n">
        <f aca="false">IF(OR(A4781&lt;&gt;"",B4781&lt;&gt;""),1,0)</f>
        <v>0</v>
      </c>
      <c r="D4781" s="0" t="str">
        <f aca="false">IF(C4781=1,MOD(ABS(SIN(ROW()*12.9898+'הדבקת לידים'!$F$2*78.233+IFERROR(--RIGHT(A4781,6),LEN(A4781))*0.0137+IFERROR(--RIGHT(B4781,6),LEN(B4781))*0.0071))*43758.5453,1),"")</f>
        <v/>
      </c>
      <c r="E4781" s="0" t="str">
        <f aca="false">IF(C4781=1,INT(MOD(ABS(SIN(D4781*7919.123+ROW()*0.618+'הדבקת לידים'!$F$2*1.3))*43758.5453,1)*1000000)*10000+ROW(),"")</f>
        <v/>
      </c>
      <c r="F4781" s="0" t="str">
        <f aca="false">IF(E4781="","",RANK(E4781,$E$2:$E$5001,1))</f>
        <v/>
      </c>
      <c r="G4781" s="0" t="n">
        <f aca="false">IF(A4781="",0,IF(SUMPRODUCT(--($A$2:$A$5001=A4781))&gt;1,1,0))</f>
        <v>0</v>
      </c>
      <c r="H4781" s="0" t="n">
        <f aca="false">ROW()-1</f>
        <v>4780</v>
      </c>
      <c r="I4781" s="0" t="str">
        <f aca="false">IF(OR(הגדרות!$E$6=0,H4781&gt;הגדרות!$E$5),"",IF(H4781-1&lt;הגדרות!$E$8*(הגדרות!$E$7+1),INT((H4781-1)/(הגדרות!$E$7+1)),הגדרות!$E$8+INT((H4781-1-הגדרות!$E$8*(הגדרות!$E$7+1))/הגדרות!$E$7)))</f>
        <v/>
      </c>
      <c r="J4781" s="0" t="str">
        <f aca="false">IF(I4781="","",IF(H4781-1&lt;הגדרות!$E$8*(הגדרות!$E$7+1),MOD(H4781-1,הגדרות!$E$7+1),MOD(H4781-1-הגדרות!$E$8*(הגדרות!$E$7+1),הגדרות!$E$7)))</f>
        <v/>
      </c>
      <c r="K4781" s="0" t="str">
        <f aca="false">IF(I4781="","",J4781*הגדרות!$E$6+I4781+1)</f>
        <v/>
      </c>
      <c r="L4781" s="0" t="str">
        <f aca="false">IF(K4781="","",MATCH(K4781,$F$2:$F$5001,0))</f>
        <v/>
      </c>
      <c r="M4781" s="0" t="str">
        <f aca="false">IF(I4781="","",INDEX(הגדרות!$A$2:$A$21,MOD(I4781+הגדרות!$E$9,הגדרות!$E$6)+1))</f>
        <v/>
      </c>
    </row>
    <row r="4782" customFormat="false" ht="15" hidden="false" customHeight="false" outlineLevel="0" collapsed="false">
      <c r="A4782" s="0" t="str">
        <f aca="false">IF('הדבקת לידים'!A4782="","",IF(ISNUMBER('הדבקת לידים'!A4782),IF(הגדרות!$E$2&gt;0,TEXT('הדבקת לידים'!A4782,REPT("0",הגדרות!$E$2)),TEXT('הדבקת לידים'!A4782,"0")),TRIM('הדבקת לידים'!A4782)))</f>
        <v/>
      </c>
      <c r="B4782" s="0" t="str">
        <f aca="false">IF('הדבקת לידים'!B4782="","",IF(ISNUMBER('הדבקת לידים'!B4782),IF(הגדרות!$E$3&gt;0,TEXT('הדבקת לידים'!B4782,REPT("0",הגדרות!$E$3)),TEXT('הדבקת לידים'!B4782,"0")),TRIM('הדבקת לידים'!B4782)))</f>
        <v/>
      </c>
      <c r="C4782" s="0" t="n">
        <f aca="false">IF(OR(A4782&lt;&gt;"",B4782&lt;&gt;""),1,0)</f>
        <v>0</v>
      </c>
      <c r="D4782" s="0" t="str">
        <f aca="false">IF(C4782=1,MOD(ABS(SIN(ROW()*12.9898+'הדבקת לידים'!$F$2*78.233+IFERROR(--RIGHT(A4782,6),LEN(A4782))*0.0137+IFERROR(--RIGHT(B4782,6),LEN(B4782))*0.0071))*43758.5453,1),"")</f>
        <v/>
      </c>
      <c r="E4782" s="0" t="str">
        <f aca="false">IF(C4782=1,INT(MOD(ABS(SIN(D4782*7919.123+ROW()*0.618+'הדבקת לידים'!$F$2*1.3))*43758.5453,1)*1000000)*10000+ROW(),"")</f>
        <v/>
      </c>
      <c r="F4782" s="0" t="str">
        <f aca="false">IF(E4782="","",RANK(E4782,$E$2:$E$5001,1))</f>
        <v/>
      </c>
      <c r="G4782" s="0" t="n">
        <f aca="false">IF(A4782="",0,IF(SUMPRODUCT(--($A$2:$A$5001=A4782))&gt;1,1,0))</f>
        <v>0</v>
      </c>
      <c r="H4782" s="0" t="n">
        <f aca="false">ROW()-1</f>
        <v>4781</v>
      </c>
      <c r="I4782" s="0" t="str">
        <f aca="false">IF(OR(הגדרות!$E$6=0,H4782&gt;הגדרות!$E$5),"",IF(H4782-1&lt;הגדרות!$E$8*(הגדרות!$E$7+1),INT((H4782-1)/(הגדרות!$E$7+1)),הגדרות!$E$8+INT((H4782-1-הגדרות!$E$8*(הגדרות!$E$7+1))/הגדרות!$E$7)))</f>
        <v/>
      </c>
      <c r="J4782" s="0" t="str">
        <f aca="false">IF(I4782="","",IF(H4782-1&lt;הגדרות!$E$8*(הגדרות!$E$7+1),MOD(H4782-1,הגדרות!$E$7+1),MOD(H4782-1-הגדרות!$E$8*(הגדרות!$E$7+1),הגדרות!$E$7)))</f>
        <v/>
      </c>
      <c r="K4782" s="0" t="str">
        <f aca="false">IF(I4782="","",J4782*הגדרות!$E$6+I4782+1)</f>
        <v/>
      </c>
      <c r="L4782" s="0" t="str">
        <f aca="false">IF(K4782="","",MATCH(K4782,$F$2:$F$5001,0))</f>
        <v/>
      </c>
      <c r="M4782" s="0" t="str">
        <f aca="false">IF(I4782="","",INDEX(הגדרות!$A$2:$A$21,MOD(I4782+הגדרות!$E$9,הגדרות!$E$6)+1))</f>
        <v/>
      </c>
    </row>
    <row r="4783" customFormat="false" ht="15" hidden="false" customHeight="false" outlineLevel="0" collapsed="false">
      <c r="A4783" s="0" t="str">
        <f aca="false">IF('הדבקת לידים'!A4783="","",IF(ISNUMBER('הדבקת לידים'!A4783),IF(הגדרות!$E$2&gt;0,TEXT('הדבקת לידים'!A4783,REPT("0",הגדרות!$E$2)),TEXT('הדבקת לידים'!A4783,"0")),TRIM('הדבקת לידים'!A4783)))</f>
        <v/>
      </c>
      <c r="B4783" s="0" t="str">
        <f aca="false">IF('הדבקת לידים'!B4783="","",IF(ISNUMBER('הדבקת לידים'!B4783),IF(הגדרות!$E$3&gt;0,TEXT('הדבקת לידים'!B4783,REPT("0",הגדרות!$E$3)),TEXT('הדבקת לידים'!B4783,"0")),TRIM('הדבקת לידים'!B4783)))</f>
        <v/>
      </c>
      <c r="C4783" s="0" t="n">
        <f aca="false">IF(OR(A4783&lt;&gt;"",B4783&lt;&gt;""),1,0)</f>
        <v>0</v>
      </c>
      <c r="D4783" s="0" t="str">
        <f aca="false">IF(C4783=1,MOD(ABS(SIN(ROW()*12.9898+'הדבקת לידים'!$F$2*78.233+IFERROR(--RIGHT(A4783,6),LEN(A4783))*0.0137+IFERROR(--RIGHT(B4783,6),LEN(B4783))*0.0071))*43758.5453,1),"")</f>
        <v/>
      </c>
      <c r="E4783" s="0" t="str">
        <f aca="false">IF(C4783=1,INT(MOD(ABS(SIN(D4783*7919.123+ROW()*0.618+'הדבקת לידים'!$F$2*1.3))*43758.5453,1)*1000000)*10000+ROW(),"")</f>
        <v/>
      </c>
      <c r="F4783" s="0" t="str">
        <f aca="false">IF(E4783="","",RANK(E4783,$E$2:$E$5001,1))</f>
        <v/>
      </c>
      <c r="G4783" s="0" t="n">
        <f aca="false">IF(A4783="",0,IF(SUMPRODUCT(--($A$2:$A$5001=A4783))&gt;1,1,0))</f>
        <v>0</v>
      </c>
      <c r="H4783" s="0" t="n">
        <f aca="false">ROW()-1</f>
        <v>4782</v>
      </c>
      <c r="I4783" s="0" t="str">
        <f aca="false">IF(OR(הגדרות!$E$6=0,H4783&gt;הגדרות!$E$5),"",IF(H4783-1&lt;הגדרות!$E$8*(הגדרות!$E$7+1),INT((H4783-1)/(הגדרות!$E$7+1)),הגדרות!$E$8+INT((H4783-1-הגדרות!$E$8*(הגדרות!$E$7+1))/הגדרות!$E$7)))</f>
        <v/>
      </c>
      <c r="J4783" s="0" t="str">
        <f aca="false">IF(I4783="","",IF(H4783-1&lt;הגדרות!$E$8*(הגדרות!$E$7+1),MOD(H4783-1,הגדרות!$E$7+1),MOD(H4783-1-הגדרות!$E$8*(הגדרות!$E$7+1),הגדרות!$E$7)))</f>
        <v/>
      </c>
      <c r="K4783" s="0" t="str">
        <f aca="false">IF(I4783="","",J4783*הגדרות!$E$6+I4783+1)</f>
        <v/>
      </c>
      <c r="L4783" s="0" t="str">
        <f aca="false">IF(K4783="","",MATCH(K4783,$F$2:$F$5001,0))</f>
        <v/>
      </c>
      <c r="M4783" s="0" t="str">
        <f aca="false">IF(I4783="","",INDEX(הגדרות!$A$2:$A$21,MOD(I4783+הגדרות!$E$9,הגדרות!$E$6)+1))</f>
        <v/>
      </c>
    </row>
    <row r="4784" customFormat="false" ht="15" hidden="false" customHeight="false" outlineLevel="0" collapsed="false">
      <c r="A4784" s="0" t="str">
        <f aca="false">IF('הדבקת לידים'!A4784="","",IF(ISNUMBER('הדבקת לידים'!A4784),IF(הגדרות!$E$2&gt;0,TEXT('הדבקת לידים'!A4784,REPT("0",הגדרות!$E$2)),TEXT('הדבקת לידים'!A4784,"0")),TRIM('הדבקת לידים'!A4784)))</f>
        <v/>
      </c>
      <c r="B4784" s="0" t="str">
        <f aca="false">IF('הדבקת לידים'!B4784="","",IF(ISNUMBER('הדבקת לידים'!B4784),IF(הגדרות!$E$3&gt;0,TEXT('הדבקת לידים'!B4784,REPT("0",הגדרות!$E$3)),TEXT('הדבקת לידים'!B4784,"0")),TRIM('הדבקת לידים'!B4784)))</f>
        <v/>
      </c>
      <c r="C4784" s="0" t="n">
        <f aca="false">IF(OR(A4784&lt;&gt;"",B4784&lt;&gt;""),1,0)</f>
        <v>0</v>
      </c>
      <c r="D4784" s="0" t="str">
        <f aca="false">IF(C4784=1,MOD(ABS(SIN(ROW()*12.9898+'הדבקת לידים'!$F$2*78.233+IFERROR(--RIGHT(A4784,6),LEN(A4784))*0.0137+IFERROR(--RIGHT(B4784,6),LEN(B4784))*0.0071))*43758.5453,1),"")</f>
        <v/>
      </c>
      <c r="E4784" s="0" t="str">
        <f aca="false">IF(C4784=1,INT(MOD(ABS(SIN(D4784*7919.123+ROW()*0.618+'הדבקת לידים'!$F$2*1.3))*43758.5453,1)*1000000)*10000+ROW(),"")</f>
        <v/>
      </c>
      <c r="F4784" s="0" t="str">
        <f aca="false">IF(E4784="","",RANK(E4784,$E$2:$E$5001,1))</f>
        <v/>
      </c>
      <c r="G4784" s="0" t="n">
        <f aca="false">IF(A4784="",0,IF(SUMPRODUCT(--($A$2:$A$5001=A4784))&gt;1,1,0))</f>
        <v>0</v>
      </c>
      <c r="H4784" s="0" t="n">
        <f aca="false">ROW()-1</f>
        <v>4783</v>
      </c>
      <c r="I4784" s="0" t="str">
        <f aca="false">IF(OR(הגדרות!$E$6=0,H4784&gt;הגדרות!$E$5),"",IF(H4784-1&lt;הגדרות!$E$8*(הגדרות!$E$7+1),INT((H4784-1)/(הגדרות!$E$7+1)),הגדרות!$E$8+INT((H4784-1-הגדרות!$E$8*(הגדרות!$E$7+1))/הגדרות!$E$7)))</f>
        <v/>
      </c>
      <c r="J4784" s="0" t="str">
        <f aca="false">IF(I4784="","",IF(H4784-1&lt;הגדרות!$E$8*(הגדרות!$E$7+1),MOD(H4784-1,הגדרות!$E$7+1),MOD(H4784-1-הגדרות!$E$8*(הגדרות!$E$7+1),הגדרות!$E$7)))</f>
        <v/>
      </c>
      <c r="K4784" s="0" t="str">
        <f aca="false">IF(I4784="","",J4784*הגדרות!$E$6+I4784+1)</f>
        <v/>
      </c>
      <c r="L4784" s="0" t="str">
        <f aca="false">IF(K4784="","",MATCH(K4784,$F$2:$F$5001,0))</f>
        <v/>
      </c>
      <c r="M4784" s="0" t="str">
        <f aca="false">IF(I4784="","",INDEX(הגדרות!$A$2:$A$21,MOD(I4784+הגדרות!$E$9,הגדרות!$E$6)+1))</f>
        <v/>
      </c>
    </row>
    <row r="4785" customFormat="false" ht="15" hidden="false" customHeight="false" outlineLevel="0" collapsed="false">
      <c r="A4785" s="0" t="str">
        <f aca="false">IF('הדבקת לידים'!A4785="","",IF(ISNUMBER('הדבקת לידים'!A4785),IF(הגדרות!$E$2&gt;0,TEXT('הדבקת לידים'!A4785,REPT("0",הגדרות!$E$2)),TEXT('הדבקת לידים'!A4785,"0")),TRIM('הדבקת לידים'!A4785)))</f>
        <v/>
      </c>
      <c r="B4785" s="0" t="str">
        <f aca="false">IF('הדבקת לידים'!B4785="","",IF(ISNUMBER('הדבקת לידים'!B4785),IF(הגדרות!$E$3&gt;0,TEXT('הדבקת לידים'!B4785,REPT("0",הגדרות!$E$3)),TEXT('הדבקת לידים'!B4785,"0")),TRIM('הדבקת לידים'!B4785)))</f>
        <v/>
      </c>
      <c r="C4785" s="0" t="n">
        <f aca="false">IF(OR(A4785&lt;&gt;"",B4785&lt;&gt;""),1,0)</f>
        <v>0</v>
      </c>
      <c r="D4785" s="0" t="str">
        <f aca="false">IF(C4785=1,MOD(ABS(SIN(ROW()*12.9898+'הדבקת לידים'!$F$2*78.233+IFERROR(--RIGHT(A4785,6),LEN(A4785))*0.0137+IFERROR(--RIGHT(B4785,6),LEN(B4785))*0.0071))*43758.5453,1),"")</f>
        <v/>
      </c>
      <c r="E4785" s="0" t="str">
        <f aca="false">IF(C4785=1,INT(MOD(ABS(SIN(D4785*7919.123+ROW()*0.618+'הדבקת לידים'!$F$2*1.3))*43758.5453,1)*1000000)*10000+ROW(),"")</f>
        <v/>
      </c>
      <c r="F4785" s="0" t="str">
        <f aca="false">IF(E4785="","",RANK(E4785,$E$2:$E$5001,1))</f>
        <v/>
      </c>
      <c r="G4785" s="0" t="n">
        <f aca="false">IF(A4785="",0,IF(SUMPRODUCT(--($A$2:$A$5001=A4785))&gt;1,1,0))</f>
        <v>0</v>
      </c>
      <c r="H4785" s="0" t="n">
        <f aca="false">ROW()-1</f>
        <v>4784</v>
      </c>
      <c r="I4785" s="0" t="str">
        <f aca="false">IF(OR(הגדרות!$E$6=0,H4785&gt;הגדרות!$E$5),"",IF(H4785-1&lt;הגדרות!$E$8*(הגדרות!$E$7+1),INT((H4785-1)/(הגדרות!$E$7+1)),הגדרות!$E$8+INT((H4785-1-הגדרות!$E$8*(הגדרות!$E$7+1))/הגדרות!$E$7)))</f>
        <v/>
      </c>
      <c r="J4785" s="0" t="str">
        <f aca="false">IF(I4785="","",IF(H4785-1&lt;הגדרות!$E$8*(הגדרות!$E$7+1),MOD(H4785-1,הגדרות!$E$7+1),MOD(H4785-1-הגדרות!$E$8*(הגדרות!$E$7+1),הגדרות!$E$7)))</f>
        <v/>
      </c>
      <c r="K4785" s="0" t="str">
        <f aca="false">IF(I4785="","",J4785*הגדרות!$E$6+I4785+1)</f>
        <v/>
      </c>
      <c r="L4785" s="0" t="str">
        <f aca="false">IF(K4785="","",MATCH(K4785,$F$2:$F$5001,0))</f>
        <v/>
      </c>
      <c r="M4785" s="0" t="str">
        <f aca="false">IF(I4785="","",INDEX(הגדרות!$A$2:$A$21,MOD(I4785+הגדרות!$E$9,הגדרות!$E$6)+1))</f>
        <v/>
      </c>
    </row>
    <row r="4786" customFormat="false" ht="15" hidden="false" customHeight="false" outlineLevel="0" collapsed="false">
      <c r="A4786" s="0" t="str">
        <f aca="false">IF('הדבקת לידים'!A4786="","",IF(ISNUMBER('הדבקת לידים'!A4786),IF(הגדרות!$E$2&gt;0,TEXT('הדבקת לידים'!A4786,REPT("0",הגדרות!$E$2)),TEXT('הדבקת לידים'!A4786,"0")),TRIM('הדבקת לידים'!A4786)))</f>
        <v/>
      </c>
      <c r="B4786" s="0" t="str">
        <f aca="false">IF('הדבקת לידים'!B4786="","",IF(ISNUMBER('הדבקת לידים'!B4786),IF(הגדרות!$E$3&gt;0,TEXT('הדבקת לידים'!B4786,REPT("0",הגדרות!$E$3)),TEXT('הדבקת לידים'!B4786,"0")),TRIM('הדבקת לידים'!B4786)))</f>
        <v/>
      </c>
      <c r="C4786" s="0" t="n">
        <f aca="false">IF(OR(A4786&lt;&gt;"",B4786&lt;&gt;""),1,0)</f>
        <v>0</v>
      </c>
      <c r="D4786" s="0" t="str">
        <f aca="false">IF(C4786=1,MOD(ABS(SIN(ROW()*12.9898+'הדבקת לידים'!$F$2*78.233+IFERROR(--RIGHT(A4786,6),LEN(A4786))*0.0137+IFERROR(--RIGHT(B4786,6),LEN(B4786))*0.0071))*43758.5453,1),"")</f>
        <v/>
      </c>
      <c r="E4786" s="0" t="str">
        <f aca="false">IF(C4786=1,INT(MOD(ABS(SIN(D4786*7919.123+ROW()*0.618+'הדבקת לידים'!$F$2*1.3))*43758.5453,1)*1000000)*10000+ROW(),"")</f>
        <v/>
      </c>
      <c r="F4786" s="0" t="str">
        <f aca="false">IF(E4786="","",RANK(E4786,$E$2:$E$5001,1))</f>
        <v/>
      </c>
      <c r="G4786" s="0" t="n">
        <f aca="false">IF(A4786="",0,IF(SUMPRODUCT(--($A$2:$A$5001=A4786))&gt;1,1,0))</f>
        <v>0</v>
      </c>
      <c r="H4786" s="0" t="n">
        <f aca="false">ROW()-1</f>
        <v>4785</v>
      </c>
      <c r="I4786" s="0" t="str">
        <f aca="false">IF(OR(הגדרות!$E$6=0,H4786&gt;הגדרות!$E$5),"",IF(H4786-1&lt;הגדרות!$E$8*(הגדרות!$E$7+1),INT((H4786-1)/(הגדרות!$E$7+1)),הגדרות!$E$8+INT((H4786-1-הגדרות!$E$8*(הגדרות!$E$7+1))/הגדרות!$E$7)))</f>
        <v/>
      </c>
      <c r="J4786" s="0" t="str">
        <f aca="false">IF(I4786="","",IF(H4786-1&lt;הגדרות!$E$8*(הגדרות!$E$7+1),MOD(H4786-1,הגדרות!$E$7+1),MOD(H4786-1-הגדרות!$E$8*(הגדרות!$E$7+1),הגדרות!$E$7)))</f>
        <v/>
      </c>
      <c r="K4786" s="0" t="str">
        <f aca="false">IF(I4786="","",J4786*הגדרות!$E$6+I4786+1)</f>
        <v/>
      </c>
      <c r="L4786" s="0" t="str">
        <f aca="false">IF(K4786="","",MATCH(K4786,$F$2:$F$5001,0))</f>
        <v/>
      </c>
      <c r="M4786" s="0" t="str">
        <f aca="false">IF(I4786="","",INDEX(הגדרות!$A$2:$A$21,MOD(I4786+הגדרות!$E$9,הגדרות!$E$6)+1))</f>
        <v/>
      </c>
    </row>
    <row r="4787" customFormat="false" ht="15" hidden="false" customHeight="false" outlineLevel="0" collapsed="false">
      <c r="A4787" s="0" t="str">
        <f aca="false">IF('הדבקת לידים'!A4787="","",IF(ISNUMBER('הדבקת לידים'!A4787),IF(הגדרות!$E$2&gt;0,TEXT('הדבקת לידים'!A4787,REPT("0",הגדרות!$E$2)),TEXT('הדבקת לידים'!A4787,"0")),TRIM('הדבקת לידים'!A4787)))</f>
        <v/>
      </c>
      <c r="B4787" s="0" t="str">
        <f aca="false">IF('הדבקת לידים'!B4787="","",IF(ISNUMBER('הדבקת לידים'!B4787),IF(הגדרות!$E$3&gt;0,TEXT('הדבקת לידים'!B4787,REPT("0",הגדרות!$E$3)),TEXT('הדבקת לידים'!B4787,"0")),TRIM('הדבקת לידים'!B4787)))</f>
        <v/>
      </c>
      <c r="C4787" s="0" t="n">
        <f aca="false">IF(OR(A4787&lt;&gt;"",B4787&lt;&gt;""),1,0)</f>
        <v>0</v>
      </c>
      <c r="D4787" s="0" t="str">
        <f aca="false">IF(C4787=1,MOD(ABS(SIN(ROW()*12.9898+'הדבקת לידים'!$F$2*78.233+IFERROR(--RIGHT(A4787,6),LEN(A4787))*0.0137+IFERROR(--RIGHT(B4787,6),LEN(B4787))*0.0071))*43758.5453,1),"")</f>
        <v/>
      </c>
      <c r="E4787" s="0" t="str">
        <f aca="false">IF(C4787=1,INT(MOD(ABS(SIN(D4787*7919.123+ROW()*0.618+'הדבקת לידים'!$F$2*1.3))*43758.5453,1)*1000000)*10000+ROW(),"")</f>
        <v/>
      </c>
      <c r="F4787" s="0" t="str">
        <f aca="false">IF(E4787="","",RANK(E4787,$E$2:$E$5001,1))</f>
        <v/>
      </c>
      <c r="G4787" s="0" t="n">
        <f aca="false">IF(A4787="",0,IF(SUMPRODUCT(--($A$2:$A$5001=A4787))&gt;1,1,0))</f>
        <v>0</v>
      </c>
      <c r="H4787" s="0" t="n">
        <f aca="false">ROW()-1</f>
        <v>4786</v>
      </c>
      <c r="I4787" s="0" t="str">
        <f aca="false">IF(OR(הגדרות!$E$6=0,H4787&gt;הגדרות!$E$5),"",IF(H4787-1&lt;הגדרות!$E$8*(הגדרות!$E$7+1),INT((H4787-1)/(הגדרות!$E$7+1)),הגדרות!$E$8+INT((H4787-1-הגדרות!$E$8*(הגדרות!$E$7+1))/הגדרות!$E$7)))</f>
        <v/>
      </c>
      <c r="J4787" s="0" t="str">
        <f aca="false">IF(I4787="","",IF(H4787-1&lt;הגדרות!$E$8*(הגדרות!$E$7+1),MOD(H4787-1,הגדרות!$E$7+1),MOD(H4787-1-הגדרות!$E$8*(הגדרות!$E$7+1),הגדרות!$E$7)))</f>
        <v/>
      </c>
      <c r="K4787" s="0" t="str">
        <f aca="false">IF(I4787="","",J4787*הגדרות!$E$6+I4787+1)</f>
        <v/>
      </c>
      <c r="L4787" s="0" t="str">
        <f aca="false">IF(K4787="","",MATCH(K4787,$F$2:$F$5001,0))</f>
        <v/>
      </c>
      <c r="M4787" s="0" t="str">
        <f aca="false">IF(I4787="","",INDEX(הגדרות!$A$2:$A$21,MOD(I4787+הגדרות!$E$9,הגדרות!$E$6)+1))</f>
        <v/>
      </c>
    </row>
    <row r="4788" customFormat="false" ht="15" hidden="false" customHeight="false" outlineLevel="0" collapsed="false">
      <c r="A4788" s="0" t="str">
        <f aca="false">IF('הדבקת לידים'!A4788="","",IF(ISNUMBER('הדבקת לידים'!A4788),IF(הגדרות!$E$2&gt;0,TEXT('הדבקת לידים'!A4788,REPT("0",הגדרות!$E$2)),TEXT('הדבקת לידים'!A4788,"0")),TRIM('הדבקת לידים'!A4788)))</f>
        <v/>
      </c>
      <c r="B4788" s="0" t="str">
        <f aca="false">IF('הדבקת לידים'!B4788="","",IF(ISNUMBER('הדבקת לידים'!B4788),IF(הגדרות!$E$3&gt;0,TEXT('הדבקת לידים'!B4788,REPT("0",הגדרות!$E$3)),TEXT('הדבקת לידים'!B4788,"0")),TRIM('הדבקת לידים'!B4788)))</f>
        <v/>
      </c>
      <c r="C4788" s="0" t="n">
        <f aca="false">IF(OR(A4788&lt;&gt;"",B4788&lt;&gt;""),1,0)</f>
        <v>0</v>
      </c>
      <c r="D4788" s="0" t="str">
        <f aca="false">IF(C4788=1,MOD(ABS(SIN(ROW()*12.9898+'הדבקת לידים'!$F$2*78.233+IFERROR(--RIGHT(A4788,6),LEN(A4788))*0.0137+IFERROR(--RIGHT(B4788,6),LEN(B4788))*0.0071))*43758.5453,1),"")</f>
        <v/>
      </c>
      <c r="E4788" s="0" t="str">
        <f aca="false">IF(C4788=1,INT(MOD(ABS(SIN(D4788*7919.123+ROW()*0.618+'הדבקת לידים'!$F$2*1.3))*43758.5453,1)*1000000)*10000+ROW(),"")</f>
        <v/>
      </c>
      <c r="F4788" s="0" t="str">
        <f aca="false">IF(E4788="","",RANK(E4788,$E$2:$E$5001,1))</f>
        <v/>
      </c>
      <c r="G4788" s="0" t="n">
        <f aca="false">IF(A4788="",0,IF(SUMPRODUCT(--($A$2:$A$5001=A4788))&gt;1,1,0))</f>
        <v>0</v>
      </c>
      <c r="H4788" s="0" t="n">
        <f aca="false">ROW()-1</f>
        <v>4787</v>
      </c>
      <c r="I4788" s="0" t="str">
        <f aca="false">IF(OR(הגדרות!$E$6=0,H4788&gt;הגדרות!$E$5),"",IF(H4788-1&lt;הגדרות!$E$8*(הגדרות!$E$7+1),INT((H4788-1)/(הגדרות!$E$7+1)),הגדרות!$E$8+INT((H4788-1-הגדרות!$E$8*(הגדרות!$E$7+1))/הגדרות!$E$7)))</f>
        <v/>
      </c>
      <c r="J4788" s="0" t="str">
        <f aca="false">IF(I4788="","",IF(H4788-1&lt;הגדרות!$E$8*(הגדרות!$E$7+1),MOD(H4788-1,הגדרות!$E$7+1),MOD(H4788-1-הגדרות!$E$8*(הגדרות!$E$7+1),הגדרות!$E$7)))</f>
        <v/>
      </c>
      <c r="K4788" s="0" t="str">
        <f aca="false">IF(I4788="","",J4788*הגדרות!$E$6+I4788+1)</f>
        <v/>
      </c>
      <c r="L4788" s="0" t="str">
        <f aca="false">IF(K4788="","",MATCH(K4788,$F$2:$F$5001,0))</f>
        <v/>
      </c>
      <c r="M4788" s="0" t="str">
        <f aca="false">IF(I4788="","",INDEX(הגדרות!$A$2:$A$21,MOD(I4788+הגדרות!$E$9,הגדרות!$E$6)+1))</f>
        <v/>
      </c>
    </row>
    <row r="4789" customFormat="false" ht="15" hidden="false" customHeight="false" outlineLevel="0" collapsed="false">
      <c r="A4789" s="0" t="str">
        <f aca="false">IF('הדבקת לידים'!A4789="","",IF(ISNUMBER('הדבקת לידים'!A4789),IF(הגדרות!$E$2&gt;0,TEXT('הדבקת לידים'!A4789,REPT("0",הגדרות!$E$2)),TEXT('הדבקת לידים'!A4789,"0")),TRIM('הדבקת לידים'!A4789)))</f>
        <v/>
      </c>
      <c r="B4789" s="0" t="str">
        <f aca="false">IF('הדבקת לידים'!B4789="","",IF(ISNUMBER('הדבקת לידים'!B4789),IF(הגדרות!$E$3&gt;0,TEXT('הדבקת לידים'!B4789,REPT("0",הגדרות!$E$3)),TEXT('הדבקת לידים'!B4789,"0")),TRIM('הדבקת לידים'!B4789)))</f>
        <v/>
      </c>
      <c r="C4789" s="0" t="n">
        <f aca="false">IF(OR(A4789&lt;&gt;"",B4789&lt;&gt;""),1,0)</f>
        <v>0</v>
      </c>
      <c r="D4789" s="0" t="str">
        <f aca="false">IF(C4789=1,MOD(ABS(SIN(ROW()*12.9898+'הדבקת לידים'!$F$2*78.233+IFERROR(--RIGHT(A4789,6),LEN(A4789))*0.0137+IFERROR(--RIGHT(B4789,6),LEN(B4789))*0.0071))*43758.5453,1),"")</f>
        <v/>
      </c>
      <c r="E4789" s="0" t="str">
        <f aca="false">IF(C4789=1,INT(MOD(ABS(SIN(D4789*7919.123+ROW()*0.618+'הדבקת לידים'!$F$2*1.3))*43758.5453,1)*1000000)*10000+ROW(),"")</f>
        <v/>
      </c>
      <c r="F4789" s="0" t="str">
        <f aca="false">IF(E4789="","",RANK(E4789,$E$2:$E$5001,1))</f>
        <v/>
      </c>
      <c r="G4789" s="0" t="n">
        <f aca="false">IF(A4789="",0,IF(SUMPRODUCT(--($A$2:$A$5001=A4789))&gt;1,1,0))</f>
        <v>0</v>
      </c>
      <c r="H4789" s="0" t="n">
        <f aca="false">ROW()-1</f>
        <v>4788</v>
      </c>
      <c r="I4789" s="0" t="str">
        <f aca="false">IF(OR(הגדרות!$E$6=0,H4789&gt;הגדרות!$E$5),"",IF(H4789-1&lt;הגדרות!$E$8*(הגדרות!$E$7+1),INT((H4789-1)/(הגדרות!$E$7+1)),הגדרות!$E$8+INT((H4789-1-הגדרות!$E$8*(הגדרות!$E$7+1))/הגדרות!$E$7)))</f>
        <v/>
      </c>
      <c r="J4789" s="0" t="str">
        <f aca="false">IF(I4789="","",IF(H4789-1&lt;הגדרות!$E$8*(הגדרות!$E$7+1),MOD(H4789-1,הגדרות!$E$7+1),MOD(H4789-1-הגדרות!$E$8*(הגדרות!$E$7+1),הגדרות!$E$7)))</f>
        <v/>
      </c>
      <c r="K4789" s="0" t="str">
        <f aca="false">IF(I4789="","",J4789*הגדרות!$E$6+I4789+1)</f>
        <v/>
      </c>
      <c r="L4789" s="0" t="str">
        <f aca="false">IF(K4789="","",MATCH(K4789,$F$2:$F$5001,0))</f>
        <v/>
      </c>
      <c r="M4789" s="0" t="str">
        <f aca="false">IF(I4789="","",INDEX(הגדרות!$A$2:$A$21,MOD(I4789+הגדרות!$E$9,הגדרות!$E$6)+1))</f>
        <v/>
      </c>
    </row>
    <row r="4790" customFormat="false" ht="15" hidden="false" customHeight="false" outlineLevel="0" collapsed="false">
      <c r="A4790" s="0" t="str">
        <f aca="false">IF('הדבקת לידים'!A4790="","",IF(ISNUMBER('הדבקת לידים'!A4790),IF(הגדרות!$E$2&gt;0,TEXT('הדבקת לידים'!A4790,REPT("0",הגדרות!$E$2)),TEXT('הדבקת לידים'!A4790,"0")),TRIM('הדבקת לידים'!A4790)))</f>
        <v/>
      </c>
      <c r="B4790" s="0" t="str">
        <f aca="false">IF('הדבקת לידים'!B4790="","",IF(ISNUMBER('הדבקת לידים'!B4790),IF(הגדרות!$E$3&gt;0,TEXT('הדבקת לידים'!B4790,REPT("0",הגדרות!$E$3)),TEXT('הדבקת לידים'!B4790,"0")),TRIM('הדבקת לידים'!B4790)))</f>
        <v/>
      </c>
      <c r="C4790" s="0" t="n">
        <f aca="false">IF(OR(A4790&lt;&gt;"",B4790&lt;&gt;""),1,0)</f>
        <v>0</v>
      </c>
      <c r="D4790" s="0" t="str">
        <f aca="false">IF(C4790=1,MOD(ABS(SIN(ROW()*12.9898+'הדבקת לידים'!$F$2*78.233+IFERROR(--RIGHT(A4790,6),LEN(A4790))*0.0137+IFERROR(--RIGHT(B4790,6),LEN(B4790))*0.0071))*43758.5453,1),"")</f>
        <v/>
      </c>
      <c r="E4790" s="0" t="str">
        <f aca="false">IF(C4790=1,INT(MOD(ABS(SIN(D4790*7919.123+ROW()*0.618+'הדבקת לידים'!$F$2*1.3))*43758.5453,1)*1000000)*10000+ROW(),"")</f>
        <v/>
      </c>
      <c r="F4790" s="0" t="str">
        <f aca="false">IF(E4790="","",RANK(E4790,$E$2:$E$5001,1))</f>
        <v/>
      </c>
      <c r="G4790" s="0" t="n">
        <f aca="false">IF(A4790="",0,IF(SUMPRODUCT(--($A$2:$A$5001=A4790))&gt;1,1,0))</f>
        <v>0</v>
      </c>
      <c r="H4790" s="0" t="n">
        <f aca="false">ROW()-1</f>
        <v>4789</v>
      </c>
      <c r="I4790" s="0" t="str">
        <f aca="false">IF(OR(הגדרות!$E$6=0,H4790&gt;הגדרות!$E$5),"",IF(H4790-1&lt;הגדרות!$E$8*(הגדרות!$E$7+1),INT((H4790-1)/(הגדרות!$E$7+1)),הגדרות!$E$8+INT((H4790-1-הגדרות!$E$8*(הגדרות!$E$7+1))/הגדרות!$E$7)))</f>
        <v/>
      </c>
      <c r="J4790" s="0" t="str">
        <f aca="false">IF(I4790="","",IF(H4790-1&lt;הגדרות!$E$8*(הגדרות!$E$7+1),MOD(H4790-1,הגדרות!$E$7+1),MOD(H4790-1-הגדרות!$E$8*(הגדרות!$E$7+1),הגדרות!$E$7)))</f>
        <v/>
      </c>
      <c r="K4790" s="0" t="str">
        <f aca="false">IF(I4790="","",J4790*הגדרות!$E$6+I4790+1)</f>
        <v/>
      </c>
      <c r="L4790" s="0" t="str">
        <f aca="false">IF(K4790="","",MATCH(K4790,$F$2:$F$5001,0))</f>
        <v/>
      </c>
      <c r="M4790" s="0" t="str">
        <f aca="false">IF(I4790="","",INDEX(הגדרות!$A$2:$A$21,MOD(I4790+הגדרות!$E$9,הגדרות!$E$6)+1))</f>
        <v/>
      </c>
    </row>
    <row r="4791" customFormat="false" ht="15" hidden="false" customHeight="false" outlineLevel="0" collapsed="false">
      <c r="A4791" s="0" t="str">
        <f aca="false">IF('הדבקת לידים'!A4791="","",IF(ISNUMBER('הדבקת לידים'!A4791),IF(הגדרות!$E$2&gt;0,TEXT('הדבקת לידים'!A4791,REPT("0",הגדרות!$E$2)),TEXT('הדבקת לידים'!A4791,"0")),TRIM('הדבקת לידים'!A4791)))</f>
        <v/>
      </c>
      <c r="B4791" s="0" t="str">
        <f aca="false">IF('הדבקת לידים'!B4791="","",IF(ISNUMBER('הדבקת לידים'!B4791),IF(הגדרות!$E$3&gt;0,TEXT('הדבקת לידים'!B4791,REPT("0",הגדרות!$E$3)),TEXT('הדבקת לידים'!B4791,"0")),TRIM('הדבקת לידים'!B4791)))</f>
        <v/>
      </c>
      <c r="C4791" s="0" t="n">
        <f aca="false">IF(OR(A4791&lt;&gt;"",B4791&lt;&gt;""),1,0)</f>
        <v>0</v>
      </c>
      <c r="D4791" s="0" t="str">
        <f aca="false">IF(C4791=1,MOD(ABS(SIN(ROW()*12.9898+'הדבקת לידים'!$F$2*78.233+IFERROR(--RIGHT(A4791,6),LEN(A4791))*0.0137+IFERROR(--RIGHT(B4791,6),LEN(B4791))*0.0071))*43758.5453,1),"")</f>
        <v/>
      </c>
      <c r="E4791" s="0" t="str">
        <f aca="false">IF(C4791=1,INT(MOD(ABS(SIN(D4791*7919.123+ROW()*0.618+'הדבקת לידים'!$F$2*1.3))*43758.5453,1)*1000000)*10000+ROW(),"")</f>
        <v/>
      </c>
      <c r="F4791" s="0" t="str">
        <f aca="false">IF(E4791="","",RANK(E4791,$E$2:$E$5001,1))</f>
        <v/>
      </c>
      <c r="G4791" s="0" t="n">
        <f aca="false">IF(A4791="",0,IF(SUMPRODUCT(--($A$2:$A$5001=A4791))&gt;1,1,0))</f>
        <v>0</v>
      </c>
      <c r="H4791" s="0" t="n">
        <f aca="false">ROW()-1</f>
        <v>4790</v>
      </c>
      <c r="I4791" s="0" t="str">
        <f aca="false">IF(OR(הגדרות!$E$6=0,H4791&gt;הגדרות!$E$5),"",IF(H4791-1&lt;הגדרות!$E$8*(הגדרות!$E$7+1),INT((H4791-1)/(הגדרות!$E$7+1)),הגדרות!$E$8+INT((H4791-1-הגדרות!$E$8*(הגדרות!$E$7+1))/הגדרות!$E$7)))</f>
        <v/>
      </c>
      <c r="J4791" s="0" t="str">
        <f aca="false">IF(I4791="","",IF(H4791-1&lt;הגדרות!$E$8*(הגדרות!$E$7+1),MOD(H4791-1,הגדרות!$E$7+1),MOD(H4791-1-הגדרות!$E$8*(הגדרות!$E$7+1),הגדרות!$E$7)))</f>
        <v/>
      </c>
      <c r="K4791" s="0" t="str">
        <f aca="false">IF(I4791="","",J4791*הגדרות!$E$6+I4791+1)</f>
        <v/>
      </c>
      <c r="L4791" s="0" t="str">
        <f aca="false">IF(K4791="","",MATCH(K4791,$F$2:$F$5001,0))</f>
        <v/>
      </c>
      <c r="M4791" s="0" t="str">
        <f aca="false">IF(I4791="","",INDEX(הגדרות!$A$2:$A$21,MOD(I4791+הגדרות!$E$9,הגדרות!$E$6)+1))</f>
        <v/>
      </c>
    </row>
    <row r="4792" customFormat="false" ht="15" hidden="false" customHeight="false" outlineLevel="0" collapsed="false">
      <c r="A4792" s="0" t="str">
        <f aca="false">IF('הדבקת לידים'!A4792="","",IF(ISNUMBER('הדבקת לידים'!A4792),IF(הגדרות!$E$2&gt;0,TEXT('הדבקת לידים'!A4792,REPT("0",הגדרות!$E$2)),TEXT('הדבקת לידים'!A4792,"0")),TRIM('הדבקת לידים'!A4792)))</f>
        <v/>
      </c>
      <c r="B4792" s="0" t="str">
        <f aca="false">IF('הדבקת לידים'!B4792="","",IF(ISNUMBER('הדבקת לידים'!B4792),IF(הגדרות!$E$3&gt;0,TEXT('הדבקת לידים'!B4792,REPT("0",הגדרות!$E$3)),TEXT('הדבקת לידים'!B4792,"0")),TRIM('הדבקת לידים'!B4792)))</f>
        <v/>
      </c>
      <c r="C4792" s="0" t="n">
        <f aca="false">IF(OR(A4792&lt;&gt;"",B4792&lt;&gt;""),1,0)</f>
        <v>0</v>
      </c>
      <c r="D4792" s="0" t="str">
        <f aca="false">IF(C4792=1,MOD(ABS(SIN(ROW()*12.9898+'הדבקת לידים'!$F$2*78.233+IFERROR(--RIGHT(A4792,6),LEN(A4792))*0.0137+IFERROR(--RIGHT(B4792,6),LEN(B4792))*0.0071))*43758.5453,1),"")</f>
        <v/>
      </c>
      <c r="E4792" s="0" t="str">
        <f aca="false">IF(C4792=1,INT(MOD(ABS(SIN(D4792*7919.123+ROW()*0.618+'הדבקת לידים'!$F$2*1.3))*43758.5453,1)*1000000)*10000+ROW(),"")</f>
        <v/>
      </c>
      <c r="F4792" s="0" t="str">
        <f aca="false">IF(E4792="","",RANK(E4792,$E$2:$E$5001,1))</f>
        <v/>
      </c>
      <c r="G4792" s="0" t="n">
        <f aca="false">IF(A4792="",0,IF(SUMPRODUCT(--($A$2:$A$5001=A4792))&gt;1,1,0))</f>
        <v>0</v>
      </c>
      <c r="H4792" s="0" t="n">
        <f aca="false">ROW()-1</f>
        <v>4791</v>
      </c>
      <c r="I4792" s="0" t="str">
        <f aca="false">IF(OR(הגדרות!$E$6=0,H4792&gt;הגדרות!$E$5),"",IF(H4792-1&lt;הגדרות!$E$8*(הגדרות!$E$7+1),INT((H4792-1)/(הגדרות!$E$7+1)),הגדרות!$E$8+INT((H4792-1-הגדרות!$E$8*(הגדרות!$E$7+1))/הגדרות!$E$7)))</f>
        <v/>
      </c>
      <c r="J4792" s="0" t="str">
        <f aca="false">IF(I4792="","",IF(H4792-1&lt;הגדרות!$E$8*(הגדרות!$E$7+1),MOD(H4792-1,הגדרות!$E$7+1),MOD(H4792-1-הגדרות!$E$8*(הגדרות!$E$7+1),הגדרות!$E$7)))</f>
        <v/>
      </c>
      <c r="K4792" s="0" t="str">
        <f aca="false">IF(I4792="","",J4792*הגדרות!$E$6+I4792+1)</f>
        <v/>
      </c>
      <c r="L4792" s="0" t="str">
        <f aca="false">IF(K4792="","",MATCH(K4792,$F$2:$F$5001,0))</f>
        <v/>
      </c>
      <c r="M4792" s="0" t="str">
        <f aca="false">IF(I4792="","",INDEX(הגדרות!$A$2:$A$21,MOD(I4792+הגדרות!$E$9,הגדרות!$E$6)+1))</f>
        <v/>
      </c>
    </row>
    <row r="4793" customFormat="false" ht="15" hidden="false" customHeight="false" outlineLevel="0" collapsed="false">
      <c r="A4793" s="0" t="str">
        <f aca="false">IF('הדבקת לידים'!A4793="","",IF(ISNUMBER('הדבקת לידים'!A4793),IF(הגדרות!$E$2&gt;0,TEXT('הדבקת לידים'!A4793,REPT("0",הגדרות!$E$2)),TEXT('הדבקת לידים'!A4793,"0")),TRIM('הדבקת לידים'!A4793)))</f>
        <v/>
      </c>
      <c r="B4793" s="0" t="str">
        <f aca="false">IF('הדבקת לידים'!B4793="","",IF(ISNUMBER('הדבקת לידים'!B4793),IF(הגדרות!$E$3&gt;0,TEXT('הדבקת לידים'!B4793,REPT("0",הגדרות!$E$3)),TEXT('הדבקת לידים'!B4793,"0")),TRIM('הדבקת לידים'!B4793)))</f>
        <v/>
      </c>
      <c r="C4793" s="0" t="n">
        <f aca="false">IF(OR(A4793&lt;&gt;"",B4793&lt;&gt;""),1,0)</f>
        <v>0</v>
      </c>
      <c r="D4793" s="0" t="str">
        <f aca="false">IF(C4793=1,MOD(ABS(SIN(ROW()*12.9898+'הדבקת לידים'!$F$2*78.233+IFERROR(--RIGHT(A4793,6),LEN(A4793))*0.0137+IFERROR(--RIGHT(B4793,6),LEN(B4793))*0.0071))*43758.5453,1),"")</f>
        <v/>
      </c>
      <c r="E4793" s="0" t="str">
        <f aca="false">IF(C4793=1,INT(MOD(ABS(SIN(D4793*7919.123+ROW()*0.618+'הדבקת לידים'!$F$2*1.3))*43758.5453,1)*1000000)*10000+ROW(),"")</f>
        <v/>
      </c>
      <c r="F4793" s="0" t="str">
        <f aca="false">IF(E4793="","",RANK(E4793,$E$2:$E$5001,1))</f>
        <v/>
      </c>
      <c r="G4793" s="0" t="n">
        <f aca="false">IF(A4793="",0,IF(SUMPRODUCT(--($A$2:$A$5001=A4793))&gt;1,1,0))</f>
        <v>0</v>
      </c>
      <c r="H4793" s="0" t="n">
        <f aca="false">ROW()-1</f>
        <v>4792</v>
      </c>
      <c r="I4793" s="0" t="str">
        <f aca="false">IF(OR(הגדרות!$E$6=0,H4793&gt;הגדרות!$E$5),"",IF(H4793-1&lt;הגדרות!$E$8*(הגדרות!$E$7+1),INT((H4793-1)/(הגדרות!$E$7+1)),הגדרות!$E$8+INT((H4793-1-הגדרות!$E$8*(הגדרות!$E$7+1))/הגדרות!$E$7)))</f>
        <v/>
      </c>
      <c r="J4793" s="0" t="str">
        <f aca="false">IF(I4793="","",IF(H4793-1&lt;הגדרות!$E$8*(הגדרות!$E$7+1),MOD(H4793-1,הגדרות!$E$7+1),MOD(H4793-1-הגדרות!$E$8*(הגדרות!$E$7+1),הגדרות!$E$7)))</f>
        <v/>
      </c>
      <c r="K4793" s="0" t="str">
        <f aca="false">IF(I4793="","",J4793*הגדרות!$E$6+I4793+1)</f>
        <v/>
      </c>
      <c r="L4793" s="0" t="str">
        <f aca="false">IF(K4793="","",MATCH(K4793,$F$2:$F$5001,0))</f>
        <v/>
      </c>
      <c r="M4793" s="0" t="str">
        <f aca="false">IF(I4793="","",INDEX(הגדרות!$A$2:$A$21,MOD(I4793+הגדרות!$E$9,הגדרות!$E$6)+1))</f>
        <v/>
      </c>
    </row>
    <row r="4794" customFormat="false" ht="15" hidden="false" customHeight="false" outlineLevel="0" collapsed="false">
      <c r="A4794" s="0" t="str">
        <f aca="false">IF('הדבקת לידים'!A4794="","",IF(ISNUMBER('הדבקת לידים'!A4794),IF(הגדרות!$E$2&gt;0,TEXT('הדבקת לידים'!A4794,REPT("0",הגדרות!$E$2)),TEXT('הדבקת לידים'!A4794,"0")),TRIM('הדבקת לידים'!A4794)))</f>
        <v/>
      </c>
      <c r="B4794" s="0" t="str">
        <f aca="false">IF('הדבקת לידים'!B4794="","",IF(ISNUMBER('הדבקת לידים'!B4794),IF(הגדרות!$E$3&gt;0,TEXT('הדבקת לידים'!B4794,REPT("0",הגדרות!$E$3)),TEXT('הדבקת לידים'!B4794,"0")),TRIM('הדבקת לידים'!B4794)))</f>
        <v/>
      </c>
      <c r="C4794" s="0" t="n">
        <f aca="false">IF(OR(A4794&lt;&gt;"",B4794&lt;&gt;""),1,0)</f>
        <v>0</v>
      </c>
      <c r="D4794" s="0" t="str">
        <f aca="false">IF(C4794=1,MOD(ABS(SIN(ROW()*12.9898+'הדבקת לידים'!$F$2*78.233+IFERROR(--RIGHT(A4794,6),LEN(A4794))*0.0137+IFERROR(--RIGHT(B4794,6),LEN(B4794))*0.0071))*43758.5453,1),"")</f>
        <v/>
      </c>
      <c r="E4794" s="0" t="str">
        <f aca="false">IF(C4794=1,INT(MOD(ABS(SIN(D4794*7919.123+ROW()*0.618+'הדבקת לידים'!$F$2*1.3))*43758.5453,1)*1000000)*10000+ROW(),"")</f>
        <v/>
      </c>
      <c r="F4794" s="0" t="str">
        <f aca="false">IF(E4794="","",RANK(E4794,$E$2:$E$5001,1))</f>
        <v/>
      </c>
      <c r="G4794" s="0" t="n">
        <f aca="false">IF(A4794="",0,IF(SUMPRODUCT(--($A$2:$A$5001=A4794))&gt;1,1,0))</f>
        <v>0</v>
      </c>
      <c r="H4794" s="0" t="n">
        <f aca="false">ROW()-1</f>
        <v>4793</v>
      </c>
      <c r="I4794" s="0" t="str">
        <f aca="false">IF(OR(הגדרות!$E$6=0,H4794&gt;הגדרות!$E$5),"",IF(H4794-1&lt;הגדרות!$E$8*(הגדרות!$E$7+1),INT((H4794-1)/(הגדרות!$E$7+1)),הגדרות!$E$8+INT((H4794-1-הגדרות!$E$8*(הגדרות!$E$7+1))/הגדרות!$E$7)))</f>
        <v/>
      </c>
      <c r="J4794" s="0" t="str">
        <f aca="false">IF(I4794="","",IF(H4794-1&lt;הגדרות!$E$8*(הגדרות!$E$7+1),MOD(H4794-1,הגדרות!$E$7+1),MOD(H4794-1-הגדרות!$E$8*(הגדרות!$E$7+1),הגדרות!$E$7)))</f>
        <v/>
      </c>
      <c r="K4794" s="0" t="str">
        <f aca="false">IF(I4794="","",J4794*הגדרות!$E$6+I4794+1)</f>
        <v/>
      </c>
      <c r="L4794" s="0" t="str">
        <f aca="false">IF(K4794="","",MATCH(K4794,$F$2:$F$5001,0))</f>
        <v/>
      </c>
      <c r="M4794" s="0" t="str">
        <f aca="false">IF(I4794="","",INDEX(הגדרות!$A$2:$A$21,MOD(I4794+הגדרות!$E$9,הגדרות!$E$6)+1))</f>
        <v/>
      </c>
    </row>
    <row r="4795" customFormat="false" ht="15" hidden="false" customHeight="false" outlineLevel="0" collapsed="false">
      <c r="A4795" s="0" t="str">
        <f aca="false">IF('הדבקת לידים'!A4795="","",IF(ISNUMBER('הדבקת לידים'!A4795),IF(הגדרות!$E$2&gt;0,TEXT('הדבקת לידים'!A4795,REPT("0",הגדרות!$E$2)),TEXT('הדבקת לידים'!A4795,"0")),TRIM('הדבקת לידים'!A4795)))</f>
        <v/>
      </c>
      <c r="B4795" s="0" t="str">
        <f aca="false">IF('הדבקת לידים'!B4795="","",IF(ISNUMBER('הדבקת לידים'!B4795),IF(הגדרות!$E$3&gt;0,TEXT('הדבקת לידים'!B4795,REPT("0",הגדרות!$E$3)),TEXT('הדבקת לידים'!B4795,"0")),TRIM('הדבקת לידים'!B4795)))</f>
        <v/>
      </c>
      <c r="C4795" s="0" t="n">
        <f aca="false">IF(OR(A4795&lt;&gt;"",B4795&lt;&gt;""),1,0)</f>
        <v>0</v>
      </c>
      <c r="D4795" s="0" t="str">
        <f aca="false">IF(C4795=1,MOD(ABS(SIN(ROW()*12.9898+'הדבקת לידים'!$F$2*78.233+IFERROR(--RIGHT(A4795,6),LEN(A4795))*0.0137+IFERROR(--RIGHT(B4795,6),LEN(B4795))*0.0071))*43758.5453,1),"")</f>
        <v/>
      </c>
      <c r="E4795" s="0" t="str">
        <f aca="false">IF(C4795=1,INT(MOD(ABS(SIN(D4795*7919.123+ROW()*0.618+'הדבקת לידים'!$F$2*1.3))*43758.5453,1)*1000000)*10000+ROW(),"")</f>
        <v/>
      </c>
      <c r="F4795" s="0" t="str">
        <f aca="false">IF(E4795="","",RANK(E4795,$E$2:$E$5001,1))</f>
        <v/>
      </c>
      <c r="G4795" s="0" t="n">
        <f aca="false">IF(A4795="",0,IF(SUMPRODUCT(--($A$2:$A$5001=A4795))&gt;1,1,0))</f>
        <v>0</v>
      </c>
      <c r="H4795" s="0" t="n">
        <f aca="false">ROW()-1</f>
        <v>4794</v>
      </c>
      <c r="I4795" s="0" t="str">
        <f aca="false">IF(OR(הגדרות!$E$6=0,H4795&gt;הגדרות!$E$5),"",IF(H4795-1&lt;הגדרות!$E$8*(הגדרות!$E$7+1),INT((H4795-1)/(הגדרות!$E$7+1)),הגדרות!$E$8+INT((H4795-1-הגדרות!$E$8*(הגדרות!$E$7+1))/הגדרות!$E$7)))</f>
        <v/>
      </c>
      <c r="J4795" s="0" t="str">
        <f aca="false">IF(I4795="","",IF(H4795-1&lt;הגדרות!$E$8*(הגדרות!$E$7+1),MOD(H4795-1,הגדרות!$E$7+1),MOD(H4795-1-הגדרות!$E$8*(הגדרות!$E$7+1),הגדרות!$E$7)))</f>
        <v/>
      </c>
      <c r="K4795" s="0" t="str">
        <f aca="false">IF(I4795="","",J4795*הגדרות!$E$6+I4795+1)</f>
        <v/>
      </c>
      <c r="L4795" s="0" t="str">
        <f aca="false">IF(K4795="","",MATCH(K4795,$F$2:$F$5001,0))</f>
        <v/>
      </c>
      <c r="M4795" s="0" t="str">
        <f aca="false">IF(I4795="","",INDEX(הגדרות!$A$2:$A$21,MOD(I4795+הגדרות!$E$9,הגדרות!$E$6)+1))</f>
        <v/>
      </c>
    </row>
    <row r="4796" customFormat="false" ht="15" hidden="false" customHeight="false" outlineLevel="0" collapsed="false">
      <c r="A4796" s="0" t="str">
        <f aca="false">IF('הדבקת לידים'!A4796="","",IF(ISNUMBER('הדבקת לידים'!A4796),IF(הגדרות!$E$2&gt;0,TEXT('הדבקת לידים'!A4796,REPT("0",הגדרות!$E$2)),TEXT('הדבקת לידים'!A4796,"0")),TRIM('הדבקת לידים'!A4796)))</f>
        <v/>
      </c>
      <c r="B4796" s="0" t="str">
        <f aca="false">IF('הדבקת לידים'!B4796="","",IF(ISNUMBER('הדבקת לידים'!B4796),IF(הגדרות!$E$3&gt;0,TEXT('הדבקת לידים'!B4796,REPT("0",הגדרות!$E$3)),TEXT('הדבקת לידים'!B4796,"0")),TRIM('הדבקת לידים'!B4796)))</f>
        <v/>
      </c>
      <c r="C4796" s="0" t="n">
        <f aca="false">IF(OR(A4796&lt;&gt;"",B4796&lt;&gt;""),1,0)</f>
        <v>0</v>
      </c>
      <c r="D4796" s="0" t="str">
        <f aca="false">IF(C4796=1,MOD(ABS(SIN(ROW()*12.9898+'הדבקת לידים'!$F$2*78.233+IFERROR(--RIGHT(A4796,6),LEN(A4796))*0.0137+IFERROR(--RIGHT(B4796,6),LEN(B4796))*0.0071))*43758.5453,1),"")</f>
        <v/>
      </c>
      <c r="E4796" s="0" t="str">
        <f aca="false">IF(C4796=1,INT(MOD(ABS(SIN(D4796*7919.123+ROW()*0.618+'הדבקת לידים'!$F$2*1.3))*43758.5453,1)*1000000)*10000+ROW(),"")</f>
        <v/>
      </c>
      <c r="F4796" s="0" t="str">
        <f aca="false">IF(E4796="","",RANK(E4796,$E$2:$E$5001,1))</f>
        <v/>
      </c>
      <c r="G4796" s="0" t="n">
        <f aca="false">IF(A4796="",0,IF(SUMPRODUCT(--($A$2:$A$5001=A4796))&gt;1,1,0))</f>
        <v>0</v>
      </c>
      <c r="H4796" s="0" t="n">
        <f aca="false">ROW()-1</f>
        <v>4795</v>
      </c>
      <c r="I4796" s="0" t="str">
        <f aca="false">IF(OR(הגדרות!$E$6=0,H4796&gt;הגדרות!$E$5),"",IF(H4796-1&lt;הגדרות!$E$8*(הגדרות!$E$7+1),INT((H4796-1)/(הגדרות!$E$7+1)),הגדרות!$E$8+INT((H4796-1-הגדרות!$E$8*(הגדרות!$E$7+1))/הגדרות!$E$7)))</f>
        <v/>
      </c>
      <c r="J4796" s="0" t="str">
        <f aca="false">IF(I4796="","",IF(H4796-1&lt;הגדרות!$E$8*(הגדרות!$E$7+1),MOD(H4796-1,הגדרות!$E$7+1),MOD(H4796-1-הגדרות!$E$8*(הגדרות!$E$7+1),הגדרות!$E$7)))</f>
        <v/>
      </c>
      <c r="K4796" s="0" t="str">
        <f aca="false">IF(I4796="","",J4796*הגדרות!$E$6+I4796+1)</f>
        <v/>
      </c>
      <c r="L4796" s="0" t="str">
        <f aca="false">IF(K4796="","",MATCH(K4796,$F$2:$F$5001,0))</f>
        <v/>
      </c>
      <c r="M4796" s="0" t="str">
        <f aca="false">IF(I4796="","",INDEX(הגדרות!$A$2:$A$21,MOD(I4796+הגדרות!$E$9,הגדרות!$E$6)+1))</f>
        <v/>
      </c>
    </row>
    <row r="4797" customFormat="false" ht="15" hidden="false" customHeight="false" outlineLevel="0" collapsed="false">
      <c r="A4797" s="0" t="str">
        <f aca="false">IF('הדבקת לידים'!A4797="","",IF(ISNUMBER('הדבקת לידים'!A4797),IF(הגדרות!$E$2&gt;0,TEXT('הדבקת לידים'!A4797,REPT("0",הגדרות!$E$2)),TEXT('הדבקת לידים'!A4797,"0")),TRIM('הדבקת לידים'!A4797)))</f>
        <v/>
      </c>
      <c r="B4797" s="0" t="str">
        <f aca="false">IF('הדבקת לידים'!B4797="","",IF(ISNUMBER('הדבקת לידים'!B4797),IF(הגדרות!$E$3&gt;0,TEXT('הדבקת לידים'!B4797,REPT("0",הגדרות!$E$3)),TEXT('הדבקת לידים'!B4797,"0")),TRIM('הדבקת לידים'!B4797)))</f>
        <v/>
      </c>
      <c r="C4797" s="0" t="n">
        <f aca="false">IF(OR(A4797&lt;&gt;"",B4797&lt;&gt;""),1,0)</f>
        <v>0</v>
      </c>
      <c r="D4797" s="0" t="str">
        <f aca="false">IF(C4797=1,MOD(ABS(SIN(ROW()*12.9898+'הדבקת לידים'!$F$2*78.233+IFERROR(--RIGHT(A4797,6),LEN(A4797))*0.0137+IFERROR(--RIGHT(B4797,6),LEN(B4797))*0.0071))*43758.5453,1),"")</f>
        <v/>
      </c>
      <c r="E4797" s="0" t="str">
        <f aca="false">IF(C4797=1,INT(MOD(ABS(SIN(D4797*7919.123+ROW()*0.618+'הדבקת לידים'!$F$2*1.3))*43758.5453,1)*1000000)*10000+ROW(),"")</f>
        <v/>
      </c>
      <c r="F4797" s="0" t="str">
        <f aca="false">IF(E4797="","",RANK(E4797,$E$2:$E$5001,1))</f>
        <v/>
      </c>
      <c r="G4797" s="0" t="n">
        <f aca="false">IF(A4797="",0,IF(SUMPRODUCT(--($A$2:$A$5001=A4797))&gt;1,1,0))</f>
        <v>0</v>
      </c>
      <c r="H4797" s="0" t="n">
        <f aca="false">ROW()-1</f>
        <v>4796</v>
      </c>
      <c r="I4797" s="0" t="str">
        <f aca="false">IF(OR(הגדרות!$E$6=0,H4797&gt;הגדרות!$E$5),"",IF(H4797-1&lt;הגדרות!$E$8*(הגדרות!$E$7+1),INT((H4797-1)/(הגדרות!$E$7+1)),הגדרות!$E$8+INT((H4797-1-הגדרות!$E$8*(הגדרות!$E$7+1))/הגדרות!$E$7)))</f>
        <v/>
      </c>
      <c r="J4797" s="0" t="str">
        <f aca="false">IF(I4797="","",IF(H4797-1&lt;הגדרות!$E$8*(הגדרות!$E$7+1),MOD(H4797-1,הגדרות!$E$7+1),MOD(H4797-1-הגדרות!$E$8*(הגדרות!$E$7+1),הגדרות!$E$7)))</f>
        <v/>
      </c>
      <c r="K4797" s="0" t="str">
        <f aca="false">IF(I4797="","",J4797*הגדרות!$E$6+I4797+1)</f>
        <v/>
      </c>
      <c r="L4797" s="0" t="str">
        <f aca="false">IF(K4797="","",MATCH(K4797,$F$2:$F$5001,0))</f>
        <v/>
      </c>
      <c r="M4797" s="0" t="str">
        <f aca="false">IF(I4797="","",INDEX(הגדרות!$A$2:$A$21,MOD(I4797+הגדרות!$E$9,הגדרות!$E$6)+1))</f>
        <v/>
      </c>
    </row>
    <row r="4798" customFormat="false" ht="15" hidden="false" customHeight="false" outlineLevel="0" collapsed="false">
      <c r="A4798" s="0" t="str">
        <f aca="false">IF('הדבקת לידים'!A4798="","",IF(ISNUMBER('הדבקת לידים'!A4798),IF(הגדרות!$E$2&gt;0,TEXT('הדבקת לידים'!A4798,REPT("0",הגדרות!$E$2)),TEXT('הדבקת לידים'!A4798,"0")),TRIM('הדבקת לידים'!A4798)))</f>
        <v/>
      </c>
      <c r="B4798" s="0" t="str">
        <f aca="false">IF('הדבקת לידים'!B4798="","",IF(ISNUMBER('הדבקת לידים'!B4798),IF(הגדרות!$E$3&gt;0,TEXT('הדבקת לידים'!B4798,REPT("0",הגדרות!$E$3)),TEXT('הדבקת לידים'!B4798,"0")),TRIM('הדבקת לידים'!B4798)))</f>
        <v/>
      </c>
      <c r="C4798" s="0" t="n">
        <f aca="false">IF(OR(A4798&lt;&gt;"",B4798&lt;&gt;""),1,0)</f>
        <v>0</v>
      </c>
      <c r="D4798" s="0" t="str">
        <f aca="false">IF(C4798=1,MOD(ABS(SIN(ROW()*12.9898+'הדבקת לידים'!$F$2*78.233+IFERROR(--RIGHT(A4798,6),LEN(A4798))*0.0137+IFERROR(--RIGHT(B4798,6),LEN(B4798))*0.0071))*43758.5453,1),"")</f>
        <v/>
      </c>
      <c r="E4798" s="0" t="str">
        <f aca="false">IF(C4798=1,INT(MOD(ABS(SIN(D4798*7919.123+ROW()*0.618+'הדבקת לידים'!$F$2*1.3))*43758.5453,1)*1000000)*10000+ROW(),"")</f>
        <v/>
      </c>
      <c r="F4798" s="0" t="str">
        <f aca="false">IF(E4798="","",RANK(E4798,$E$2:$E$5001,1))</f>
        <v/>
      </c>
      <c r="G4798" s="0" t="n">
        <f aca="false">IF(A4798="",0,IF(SUMPRODUCT(--($A$2:$A$5001=A4798))&gt;1,1,0))</f>
        <v>0</v>
      </c>
      <c r="H4798" s="0" t="n">
        <f aca="false">ROW()-1</f>
        <v>4797</v>
      </c>
      <c r="I4798" s="0" t="str">
        <f aca="false">IF(OR(הגדרות!$E$6=0,H4798&gt;הגדרות!$E$5),"",IF(H4798-1&lt;הגדרות!$E$8*(הגדרות!$E$7+1),INT((H4798-1)/(הגדרות!$E$7+1)),הגדרות!$E$8+INT((H4798-1-הגדרות!$E$8*(הגדרות!$E$7+1))/הגדרות!$E$7)))</f>
        <v/>
      </c>
      <c r="J4798" s="0" t="str">
        <f aca="false">IF(I4798="","",IF(H4798-1&lt;הגדרות!$E$8*(הגדרות!$E$7+1),MOD(H4798-1,הגדרות!$E$7+1),MOD(H4798-1-הגדרות!$E$8*(הגדרות!$E$7+1),הגדרות!$E$7)))</f>
        <v/>
      </c>
      <c r="K4798" s="0" t="str">
        <f aca="false">IF(I4798="","",J4798*הגדרות!$E$6+I4798+1)</f>
        <v/>
      </c>
      <c r="L4798" s="0" t="str">
        <f aca="false">IF(K4798="","",MATCH(K4798,$F$2:$F$5001,0))</f>
        <v/>
      </c>
      <c r="M4798" s="0" t="str">
        <f aca="false">IF(I4798="","",INDEX(הגדרות!$A$2:$A$21,MOD(I4798+הגדרות!$E$9,הגדרות!$E$6)+1))</f>
        <v/>
      </c>
    </row>
    <row r="4799" customFormat="false" ht="15" hidden="false" customHeight="false" outlineLevel="0" collapsed="false">
      <c r="A4799" s="0" t="str">
        <f aca="false">IF('הדבקת לידים'!A4799="","",IF(ISNUMBER('הדבקת לידים'!A4799),IF(הגדרות!$E$2&gt;0,TEXT('הדבקת לידים'!A4799,REPT("0",הגדרות!$E$2)),TEXT('הדבקת לידים'!A4799,"0")),TRIM('הדבקת לידים'!A4799)))</f>
        <v/>
      </c>
      <c r="B4799" s="0" t="str">
        <f aca="false">IF('הדבקת לידים'!B4799="","",IF(ISNUMBER('הדבקת לידים'!B4799),IF(הגדרות!$E$3&gt;0,TEXT('הדבקת לידים'!B4799,REPT("0",הגדרות!$E$3)),TEXT('הדבקת לידים'!B4799,"0")),TRIM('הדבקת לידים'!B4799)))</f>
        <v/>
      </c>
      <c r="C4799" s="0" t="n">
        <f aca="false">IF(OR(A4799&lt;&gt;"",B4799&lt;&gt;""),1,0)</f>
        <v>0</v>
      </c>
      <c r="D4799" s="0" t="str">
        <f aca="false">IF(C4799=1,MOD(ABS(SIN(ROW()*12.9898+'הדבקת לידים'!$F$2*78.233+IFERROR(--RIGHT(A4799,6),LEN(A4799))*0.0137+IFERROR(--RIGHT(B4799,6),LEN(B4799))*0.0071))*43758.5453,1),"")</f>
        <v/>
      </c>
      <c r="E4799" s="0" t="str">
        <f aca="false">IF(C4799=1,INT(MOD(ABS(SIN(D4799*7919.123+ROW()*0.618+'הדבקת לידים'!$F$2*1.3))*43758.5453,1)*1000000)*10000+ROW(),"")</f>
        <v/>
      </c>
      <c r="F4799" s="0" t="str">
        <f aca="false">IF(E4799="","",RANK(E4799,$E$2:$E$5001,1))</f>
        <v/>
      </c>
      <c r="G4799" s="0" t="n">
        <f aca="false">IF(A4799="",0,IF(SUMPRODUCT(--($A$2:$A$5001=A4799))&gt;1,1,0))</f>
        <v>0</v>
      </c>
      <c r="H4799" s="0" t="n">
        <f aca="false">ROW()-1</f>
        <v>4798</v>
      </c>
      <c r="I4799" s="0" t="str">
        <f aca="false">IF(OR(הגדרות!$E$6=0,H4799&gt;הגדרות!$E$5),"",IF(H4799-1&lt;הגדרות!$E$8*(הגדרות!$E$7+1),INT((H4799-1)/(הגדרות!$E$7+1)),הגדרות!$E$8+INT((H4799-1-הגדרות!$E$8*(הגדרות!$E$7+1))/הגדרות!$E$7)))</f>
        <v/>
      </c>
      <c r="J4799" s="0" t="str">
        <f aca="false">IF(I4799="","",IF(H4799-1&lt;הגדרות!$E$8*(הגדרות!$E$7+1),MOD(H4799-1,הגדרות!$E$7+1),MOD(H4799-1-הגדרות!$E$8*(הגדרות!$E$7+1),הגדרות!$E$7)))</f>
        <v/>
      </c>
      <c r="K4799" s="0" t="str">
        <f aca="false">IF(I4799="","",J4799*הגדרות!$E$6+I4799+1)</f>
        <v/>
      </c>
      <c r="L4799" s="0" t="str">
        <f aca="false">IF(K4799="","",MATCH(K4799,$F$2:$F$5001,0))</f>
        <v/>
      </c>
      <c r="M4799" s="0" t="str">
        <f aca="false">IF(I4799="","",INDEX(הגדרות!$A$2:$A$21,MOD(I4799+הגדרות!$E$9,הגדרות!$E$6)+1))</f>
        <v/>
      </c>
    </row>
    <row r="4800" customFormat="false" ht="15" hidden="false" customHeight="false" outlineLevel="0" collapsed="false">
      <c r="A4800" s="0" t="str">
        <f aca="false">IF('הדבקת לידים'!A4800="","",IF(ISNUMBER('הדבקת לידים'!A4800),IF(הגדרות!$E$2&gt;0,TEXT('הדבקת לידים'!A4800,REPT("0",הגדרות!$E$2)),TEXT('הדבקת לידים'!A4800,"0")),TRIM('הדבקת לידים'!A4800)))</f>
        <v/>
      </c>
      <c r="B4800" s="0" t="str">
        <f aca="false">IF('הדבקת לידים'!B4800="","",IF(ISNUMBER('הדבקת לידים'!B4800),IF(הגדרות!$E$3&gt;0,TEXT('הדבקת לידים'!B4800,REPT("0",הגדרות!$E$3)),TEXT('הדבקת לידים'!B4800,"0")),TRIM('הדבקת לידים'!B4800)))</f>
        <v/>
      </c>
      <c r="C4800" s="0" t="n">
        <f aca="false">IF(OR(A4800&lt;&gt;"",B4800&lt;&gt;""),1,0)</f>
        <v>0</v>
      </c>
      <c r="D4800" s="0" t="str">
        <f aca="false">IF(C4800=1,MOD(ABS(SIN(ROW()*12.9898+'הדבקת לידים'!$F$2*78.233+IFERROR(--RIGHT(A4800,6),LEN(A4800))*0.0137+IFERROR(--RIGHT(B4800,6),LEN(B4800))*0.0071))*43758.5453,1),"")</f>
        <v/>
      </c>
      <c r="E4800" s="0" t="str">
        <f aca="false">IF(C4800=1,INT(MOD(ABS(SIN(D4800*7919.123+ROW()*0.618+'הדבקת לידים'!$F$2*1.3))*43758.5453,1)*1000000)*10000+ROW(),"")</f>
        <v/>
      </c>
      <c r="F4800" s="0" t="str">
        <f aca="false">IF(E4800="","",RANK(E4800,$E$2:$E$5001,1))</f>
        <v/>
      </c>
      <c r="G4800" s="0" t="n">
        <f aca="false">IF(A4800="",0,IF(SUMPRODUCT(--($A$2:$A$5001=A4800))&gt;1,1,0))</f>
        <v>0</v>
      </c>
      <c r="H4800" s="0" t="n">
        <f aca="false">ROW()-1</f>
        <v>4799</v>
      </c>
      <c r="I4800" s="0" t="str">
        <f aca="false">IF(OR(הגדרות!$E$6=0,H4800&gt;הגדרות!$E$5),"",IF(H4800-1&lt;הגדרות!$E$8*(הגדרות!$E$7+1),INT((H4800-1)/(הגדרות!$E$7+1)),הגדרות!$E$8+INT((H4800-1-הגדרות!$E$8*(הגדרות!$E$7+1))/הגדרות!$E$7)))</f>
        <v/>
      </c>
      <c r="J4800" s="0" t="str">
        <f aca="false">IF(I4800="","",IF(H4800-1&lt;הגדרות!$E$8*(הגדרות!$E$7+1),MOD(H4800-1,הגדרות!$E$7+1),MOD(H4800-1-הגדרות!$E$8*(הגדרות!$E$7+1),הגדרות!$E$7)))</f>
        <v/>
      </c>
      <c r="K4800" s="0" t="str">
        <f aca="false">IF(I4800="","",J4800*הגדרות!$E$6+I4800+1)</f>
        <v/>
      </c>
      <c r="L4800" s="0" t="str">
        <f aca="false">IF(K4800="","",MATCH(K4800,$F$2:$F$5001,0))</f>
        <v/>
      </c>
      <c r="M4800" s="0" t="str">
        <f aca="false">IF(I4800="","",INDEX(הגדרות!$A$2:$A$21,MOD(I4800+הגדרות!$E$9,הגדרות!$E$6)+1))</f>
        <v/>
      </c>
    </row>
    <row r="4801" customFormat="false" ht="15" hidden="false" customHeight="false" outlineLevel="0" collapsed="false">
      <c r="A4801" s="0" t="str">
        <f aca="false">IF('הדבקת לידים'!A4801="","",IF(ISNUMBER('הדבקת לידים'!A4801),IF(הגדרות!$E$2&gt;0,TEXT('הדבקת לידים'!A4801,REPT("0",הגדרות!$E$2)),TEXT('הדבקת לידים'!A4801,"0")),TRIM('הדבקת לידים'!A4801)))</f>
        <v/>
      </c>
      <c r="B4801" s="0" t="str">
        <f aca="false">IF('הדבקת לידים'!B4801="","",IF(ISNUMBER('הדבקת לידים'!B4801),IF(הגדרות!$E$3&gt;0,TEXT('הדבקת לידים'!B4801,REPT("0",הגדרות!$E$3)),TEXT('הדבקת לידים'!B4801,"0")),TRIM('הדבקת לידים'!B4801)))</f>
        <v/>
      </c>
      <c r="C4801" s="0" t="n">
        <f aca="false">IF(OR(A4801&lt;&gt;"",B4801&lt;&gt;""),1,0)</f>
        <v>0</v>
      </c>
      <c r="D4801" s="0" t="str">
        <f aca="false">IF(C4801=1,MOD(ABS(SIN(ROW()*12.9898+'הדבקת לידים'!$F$2*78.233+IFERROR(--RIGHT(A4801,6),LEN(A4801))*0.0137+IFERROR(--RIGHT(B4801,6),LEN(B4801))*0.0071))*43758.5453,1),"")</f>
        <v/>
      </c>
      <c r="E4801" s="0" t="str">
        <f aca="false">IF(C4801=1,INT(MOD(ABS(SIN(D4801*7919.123+ROW()*0.618+'הדבקת לידים'!$F$2*1.3))*43758.5453,1)*1000000)*10000+ROW(),"")</f>
        <v/>
      </c>
      <c r="F4801" s="0" t="str">
        <f aca="false">IF(E4801="","",RANK(E4801,$E$2:$E$5001,1))</f>
        <v/>
      </c>
      <c r="G4801" s="0" t="n">
        <f aca="false">IF(A4801="",0,IF(SUMPRODUCT(--($A$2:$A$5001=A4801))&gt;1,1,0))</f>
        <v>0</v>
      </c>
      <c r="H4801" s="0" t="n">
        <f aca="false">ROW()-1</f>
        <v>4800</v>
      </c>
      <c r="I4801" s="0" t="str">
        <f aca="false">IF(OR(הגדרות!$E$6=0,H4801&gt;הגדרות!$E$5),"",IF(H4801-1&lt;הגדרות!$E$8*(הגדרות!$E$7+1),INT((H4801-1)/(הגדרות!$E$7+1)),הגדרות!$E$8+INT((H4801-1-הגדרות!$E$8*(הגדרות!$E$7+1))/הגדרות!$E$7)))</f>
        <v/>
      </c>
      <c r="J4801" s="0" t="str">
        <f aca="false">IF(I4801="","",IF(H4801-1&lt;הגדרות!$E$8*(הגדרות!$E$7+1),MOD(H4801-1,הגדרות!$E$7+1),MOD(H4801-1-הגדרות!$E$8*(הגדרות!$E$7+1),הגדרות!$E$7)))</f>
        <v/>
      </c>
      <c r="K4801" s="0" t="str">
        <f aca="false">IF(I4801="","",J4801*הגדרות!$E$6+I4801+1)</f>
        <v/>
      </c>
      <c r="L4801" s="0" t="str">
        <f aca="false">IF(K4801="","",MATCH(K4801,$F$2:$F$5001,0))</f>
        <v/>
      </c>
      <c r="M4801" s="0" t="str">
        <f aca="false">IF(I4801="","",INDEX(הגדרות!$A$2:$A$21,MOD(I4801+הגדרות!$E$9,הגדרות!$E$6)+1))</f>
        <v/>
      </c>
    </row>
    <row r="4802" customFormat="false" ht="15" hidden="false" customHeight="false" outlineLevel="0" collapsed="false">
      <c r="A4802" s="0" t="str">
        <f aca="false">IF('הדבקת לידים'!A4802="","",IF(ISNUMBER('הדבקת לידים'!A4802),IF(הגדרות!$E$2&gt;0,TEXT('הדבקת לידים'!A4802,REPT("0",הגדרות!$E$2)),TEXT('הדבקת לידים'!A4802,"0")),TRIM('הדבקת לידים'!A4802)))</f>
        <v/>
      </c>
      <c r="B4802" s="0" t="str">
        <f aca="false">IF('הדבקת לידים'!B4802="","",IF(ISNUMBER('הדבקת לידים'!B4802),IF(הגדרות!$E$3&gt;0,TEXT('הדבקת לידים'!B4802,REPT("0",הגדרות!$E$3)),TEXT('הדבקת לידים'!B4802,"0")),TRIM('הדבקת לידים'!B4802)))</f>
        <v/>
      </c>
      <c r="C4802" s="0" t="n">
        <f aca="false">IF(OR(A4802&lt;&gt;"",B4802&lt;&gt;""),1,0)</f>
        <v>0</v>
      </c>
      <c r="D4802" s="0" t="str">
        <f aca="false">IF(C4802=1,MOD(ABS(SIN(ROW()*12.9898+'הדבקת לידים'!$F$2*78.233+IFERROR(--RIGHT(A4802,6),LEN(A4802))*0.0137+IFERROR(--RIGHT(B4802,6),LEN(B4802))*0.0071))*43758.5453,1),"")</f>
        <v/>
      </c>
      <c r="E4802" s="0" t="str">
        <f aca="false">IF(C4802=1,INT(MOD(ABS(SIN(D4802*7919.123+ROW()*0.618+'הדבקת לידים'!$F$2*1.3))*43758.5453,1)*1000000)*10000+ROW(),"")</f>
        <v/>
      </c>
      <c r="F4802" s="0" t="str">
        <f aca="false">IF(E4802="","",RANK(E4802,$E$2:$E$5001,1))</f>
        <v/>
      </c>
      <c r="G4802" s="0" t="n">
        <f aca="false">IF(A4802="",0,IF(SUMPRODUCT(--($A$2:$A$5001=A4802))&gt;1,1,0))</f>
        <v>0</v>
      </c>
      <c r="H4802" s="0" t="n">
        <f aca="false">ROW()-1</f>
        <v>4801</v>
      </c>
      <c r="I4802" s="0" t="str">
        <f aca="false">IF(OR(הגדרות!$E$6=0,H4802&gt;הגדרות!$E$5),"",IF(H4802-1&lt;הגדרות!$E$8*(הגדרות!$E$7+1),INT((H4802-1)/(הגדרות!$E$7+1)),הגדרות!$E$8+INT((H4802-1-הגדרות!$E$8*(הגדרות!$E$7+1))/הגדרות!$E$7)))</f>
        <v/>
      </c>
      <c r="J4802" s="0" t="str">
        <f aca="false">IF(I4802="","",IF(H4802-1&lt;הגדרות!$E$8*(הגדרות!$E$7+1),MOD(H4802-1,הגדרות!$E$7+1),MOD(H4802-1-הגדרות!$E$8*(הגדרות!$E$7+1),הגדרות!$E$7)))</f>
        <v/>
      </c>
      <c r="K4802" s="0" t="str">
        <f aca="false">IF(I4802="","",J4802*הגדרות!$E$6+I4802+1)</f>
        <v/>
      </c>
      <c r="L4802" s="0" t="str">
        <f aca="false">IF(K4802="","",MATCH(K4802,$F$2:$F$5001,0))</f>
        <v/>
      </c>
      <c r="M4802" s="0" t="str">
        <f aca="false">IF(I4802="","",INDEX(הגדרות!$A$2:$A$21,MOD(I4802+הגדרות!$E$9,הגדרות!$E$6)+1))</f>
        <v/>
      </c>
    </row>
    <row r="4803" customFormat="false" ht="15" hidden="false" customHeight="false" outlineLevel="0" collapsed="false">
      <c r="A4803" s="0" t="str">
        <f aca="false">IF('הדבקת לידים'!A4803="","",IF(ISNUMBER('הדבקת לידים'!A4803),IF(הגדרות!$E$2&gt;0,TEXT('הדבקת לידים'!A4803,REPT("0",הגדרות!$E$2)),TEXT('הדבקת לידים'!A4803,"0")),TRIM('הדבקת לידים'!A4803)))</f>
        <v/>
      </c>
      <c r="B4803" s="0" t="str">
        <f aca="false">IF('הדבקת לידים'!B4803="","",IF(ISNUMBER('הדבקת לידים'!B4803),IF(הגדרות!$E$3&gt;0,TEXT('הדבקת לידים'!B4803,REPT("0",הגדרות!$E$3)),TEXT('הדבקת לידים'!B4803,"0")),TRIM('הדבקת לידים'!B4803)))</f>
        <v/>
      </c>
      <c r="C4803" s="0" t="n">
        <f aca="false">IF(OR(A4803&lt;&gt;"",B4803&lt;&gt;""),1,0)</f>
        <v>0</v>
      </c>
      <c r="D4803" s="0" t="str">
        <f aca="false">IF(C4803=1,MOD(ABS(SIN(ROW()*12.9898+'הדבקת לידים'!$F$2*78.233+IFERROR(--RIGHT(A4803,6),LEN(A4803))*0.0137+IFERROR(--RIGHT(B4803,6),LEN(B4803))*0.0071))*43758.5453,1),"")</f>
        <v/>
      </c>
      <c r="E4803" s="0" t="str">
        <f aca="false">IF(C4803=1,INT(MOD(ABS(SIN(D4803*7919.123+ROW()*0.618+'הדבקת לידים'!$F$2*1.3))*43758.5453,1)*1000000)*10000+ROW(),"")</f>
        <v/>
      </c>
      <c r="F4803" s="0" t="str">
        <f aca="false">IF(E4803="","",RANK(E4803,$E$2:$E$5001,1))</f>
        <v/>
      </c>
      <c r="G4803" s="0" t="n">
        <f aca="false">IF(A4803="",0,IF(SUMPRODUCT(--($A$2:$A$5001=A4803))&gt;1,1,0))</f>
        <v>0</v>
      </c>
      <c r="H4803" s="0" t="n">
        <f aca="false">ROW()-1</f>
        <v>4802</v>
      </c>
      <c r="I4803" s="0" t="str">
        <f aca="false">IF(OR(הגדרות!$E$6=0,H4803&gt;הגדרות!$E$5),"",IF(H4803-1&lt;הגדרות!$E$8*(הגדרות!$E$7+1),INT((H4803-1)/(הגדרות!$E$7+1)),הגדרות!$E$8+INT((H4803-1-הגדרות!$E$8*(הגדרות!$E$7+1))/הגדרות!$E$7)))</f>
        <v/>
      </c>
      <c r="J4803" s="0" t="str">
        <f aca="false">IF(I4803="","",IF(H4803-1&lt;הגדרות!$E$8*(הגדרות!$E$7+1),MOD(H4803-1,הגדרות!$E$7+1),MOD(H4803-1-הגדרות!$E$8*(הגדרות!$E$7+1),הגדרות!$E$7)))</f>
        <v/>
      </c>
      <c r="K4803" s="0" t="str">
        <f aca="false">IF(I4803="","",J4803*הגדרות!$E$6+I4803+1)</f>
        <v/>
      </c>
      <c r="L4803" s="0" t="str">
        <f aca="false">IF(K4803="","",MATCH(K4803,$F$2:$F$5001,0))</f>
        <v/>
      </c>
      <c r="M4803" s="0" t="str">
        <f aca="false">IF(I4803="","",INDEX(הגדרות!$A$2:$A$21,MOD(I4803+הגדרות!$E$9,הגדרות!$E$6)+1))</f>
        <v/>
      </c>
    </row>
    <row r="4804" customFormat="false" ht="15" hidden="false" customHeight="false" outlineLevel="0" collapsed="false">
      <c r="A4804" s="0" t="str">
        <f aca="false">IF('הדבקת לידים'!A4804="","",IF(ISNUMBER('הדבקת לידים'!A4804),IF(הגדרות!$E$2&gt;0,TEXT('הדבקת לידים'!A4804,REPT("0",הגדרות!$E$2)),TEXT('הדבקת לידים'!A4804,"0")),TRIM('הדבקת לידים'!A4804)))</f>
        <v/>
      </c>
      <c r="B4804" s="0" t="str">
        <f aca="false">IF('הדבקת לידים'!B4804="","",IF(ISNUMBER('הדבקת לידים'!B4804),IF(הגדרות!$E$3&gt;0,TEXT('הדבקת לידים'!B4804,REPT("0",הגדרות!$E$3)),TEXT('הדבקת לידים'!B4804,"0")),TRIM('הדבקת לידים'!B4804)))</f>
        <v/>
      </c>
      <c r="C4804" s="0" t="n">
        <f aca="false">IF(OR(A4804&lt;&gt;"",B4804&lt;&gt;""),1,0)</f>
        <v>0</v>
      </c>
      <c r="D4804" s="0" t="str">
        <f aca="false">IF(C4804=1,MOD(ABS(SIN(ROW()*12.9898+'הדבקת לידים'!$F$2*78.233+IFERROR(--RIGHT(A4804,6),LEN(A4804))*0.0137+IFERROR(--RIGHT(B4804,6),LEN(B4804))*0.0071))*43758.5453,1),"")</f>
        <v/>
      </c>
      <c r="E4804" s="0" t="str">
        <f aca="false">IF(C4804=1,INT(MOD(ABS(SIN(D4804*7919.123+ROW()*0.618+'הדבקת לידים'!$F$2*1.3))*43758.5453,1)*1000000)*10000+ROW(),"")</f>
        <v/>
      </c>
      <c r="F4804" s="0" t="str">
        <f aca="false">IF(E4804="","",RANK(E4804,$E$2:$E$5001,1))</f>
        <v/>
      </c>
      <c r="G4804" s="0" t="n">
        <f aca="false">IF(A4804="",0,IF(SUMPRODUCT(--($A$2:$A$5001=A4804))&gt;1,1,0))</f>
        <v>0</v>
      </c>
      <c r="H4804" s="0" t="n">
        <f aca="false">ROW()-1</f>
        <v>4803</v>
      </c>
      <c r="I4804" s="0" t="str">
        <f aca="false">IF(OR(הגדרות!$E$6=0,H4804&gt;הגדרות!$E$5),"",IF(H4804-1&lt;הגדרות!$E$8*(הגדרות!$E$7+1),INT((H4804-1)/(הגדרות!$E$7+1)),הגדרות!$E$8+INT((H4804-1-הגדרות!$E$8*(הגדרות!$E$7+1))/הגדרות!$E$7)))</f>
        <v/>
      </c>
      <c r="J4804" s="0" t="str">
        <f aca="false">IF(I4804="","",IF(H4804-1&lt;הגדרות!$E$8*(הגדרות!$E$7+1),MOD(H4804-1,הגדרות!$E$7+1),MOD(H4804-1-הגדרות!$E$8*(הגדרות!$E$7+1),הגדרות!$E$7)))</f>
        <v/>
      </c>
      <c r="K4804" s="0" t="str">
        <f aca="false">IF(I4804="","",J4804*הגדרות!$E$6+I4804+1)</f>
        <v/>
      </c>
      <c r="L4804" s="0" t="str">
        <f aca="false">IF(K4804="","",MATCH(K4804,$F$2:$F$5001,0))</f>
        <v/>
      </c>
      <c r="M4804" s="0" t="str">
        <f aca="false">IF(I4804="","",INDEX(הגדרות!$A$2:$A$21,MOD(I4804+הגדרות!$E$9,הגדרות!$E$6)+1))</f>
        <v/>
      </c>
    </row>
    <row r="4805" customFormat="false" ht="15" hidden="false" customHeight="false" outlineLevel="0" collapsed="false">
      <c r="A4805" s="0" t="str">
        <f aca="false">IF('הדבקת לידים'!A4805="","",IF(ISNUMBER('הדבקת לידים'!A4805),IF(הגדרות!$E$2&gt;0,TEXT('הדבקת לידים'!A4805,REPT("0",הגדרות!$E$2)),TEXT('הדבקת לידים'!A4805,"0")),TRIM('הדבקת לידים'!A4805)))</f>
        <v/>
      </c>
      <c r="B4805" s="0" t="str">
        <f aca="false">IF('הדבקת לידים'!B4805="","",IF(ISNUMBER('הדבקת לידים'!B4805),IF(הגדרות!$E$3&gt;0,TEXT('הדבקת לידים'!B4805,REPT("0",הגדרות!$E$3)),TEXT('הדבקת לידים'!B4805,"0")),TRIM('הדבקת לידים'!B4805)))</f>
        <v/>
      </c>
      <c r="C4805" s="0" t="n">
        <f aca="false">IF(OR(A4805&lt;&gt;"",B4805&lt;&gt;""),1,0)</f>
        <v>0</v>
      </c>
      <c r="D4805" s="0" t="str">
        <f aca="false">IF(C4805=1,MOD(ABS(SIN(ROW()*12.9898+'הדבקת לידים'!$F$2*78.233+IFERROR(--RIGHT(A4805,6),LEN(A4805))*0.0137+IFERROR(--RIGHT(B4805,6),LEN(B4805))*0.0071))*43758.5453,1),"")</f>
        <v/>
      </c>
      <c r="E4805" s="0" t="str">
        <f aca="false">IF(C4805=1,INT(MOD(ABS(SIN(D4805*7919.123+ROW()*0.618+'הדבקת לידים'!$F$2*1.3))*43758.5453,1)*1000000)*10000+ROW(),"")</f>
        <v/>
      </c>
      <c r="F4805" s="0" t="str">
        <f aca="false">IF(E4805="","",RANK(E4805,$E$2:$E$5001,1))</f>
        <v/>
      </c>
      <c r="G4805" s="0" t="n">
        <f aca="false">IF(A4805="",0,IF(SUMPRODUCT(--($A$2:$A$5001=A4805))&gt;1,1,0))</f>
        <v>0</v>
      </c>
      <c r="H4805" s="0" t="n">
        <f aca="false">ROW()-1</f>
        <v>4804</v>
      </c>
      <c r="I4805" s="0" t="str">
        <f aca="false">IF(OR(הגדרות!$E$6=0,H4805&gt;הגדרות!$E$5),"",IF(H4805-1&lt;הגדרות!$E$8*(הגדרות!$E$7+1),INT((H4805-1)/(הגדרות!$E$7+1)),הגדרות!$E$8+INT((H4805-1-הגדרות!$E$8*(הגדרות!$E$7+1))/הגדרות!$E$7)))</f>
        <v/>
      </c>
      <c r="J4805" s="0" t="str">
        <f aca="false">IF(I4805="","",IF(H4805-1&lt;הגדרות!$E$8*(הגדרות!$E$7+1),MOD(H4805-1,הגדרות!$E$7+1),MOD(H4805-1-הגדרות!$E$8*(הגדרות!$E$7+1),הגדרות!$E$7)))</f>
        <v/>
      </c>
      <c r="K4805" s="0" t="str">
        <f aca="false">IF(I4805="","",J4805*הגדרות!$E$6+I4805+1)</f>
        <v/>
      </c>
      <c r="L4805" s="0" t="str">
        <f aca="false">IF(K4805="","",MATCH(K4805,$F$2:$F$5001,0))</f>
        <v/>
      </c>
      <c r="M4805" s="0" t="str">
        <f aca="false">IF(I4805="","",INDEX(הגדרות!$A$2:$A$21,MOD(I4805+הגדרות!$E$9,הגדרות!$E$6)+1))</f>
        <v/>
      </c>
    </row>
    <row r="4806" customFormat="false" ht="15" hidden="false" customHeight="false" outlineLevel="0" collapsed="false">
      <c r="A4806" s="0" t="str">
        <f aca="false">IF('הדבקת לידים'!A4806="","",IF(ISNUMBER('הדבקת לידים'!A4806),IF(הגדרות!$E$2&gt;0,TEXT('הדבקת לידים'!A4806,REPT("0",הגדרות!$E$2)),TEXT('הדבקת לידים'!A4806,"0")),TRIM('הדבקת לידים'!A4806)))</f>
        <v/>
      </c>
      <c r="B4806" s="0" t="str">
        <f aca="false">IF('הדבקת לידים'!B4806="","",IF(ISNUMBER('הדבקת לידים'!B4806),IF(הגדרות!$E$3&gt;0,TEXT('הדבקת לידים'!B4806,REPT("0",הגדרות!$E$3)),TEXT('הדבקת לידים'!B4806,"0")),TRIM('הדבקת לידים'!B4806)))</f>
        <v/>
      </c>
      <c r="C4806" s="0" t="n">
        <f aca="false">IF(OR(A4806&lt;&gt;"",B4806&lt;&gt;""),1,0)</f>
        <v>0</v>
      </c>
      <c r="D4806" s="0" t="str">
        <f aca="false">IF(C4806=1,MOD(ABS(SIN(ROW()*12.9898+'הדבקת לידים'!$F$2*78.233+IFERROR(--RIGHT(A4806,6),LEN(A4806))*0.0137+IFERROR(--RIGHT(B4806,6),LEN(B4806))*0.0071))*43758.5453,1),"")</f>
        <v/>
      </c>
      <c r="E4806" s="0" t="str">
        <f aca="false">IF(C4806=1,INT(MOD(ABS(SIN(D4806*7919.123+ROW()*0.618+'הדבקת לידים'!$F$2*1.3))*43758.5453,1)*1000000)*10000+ROW(),"")</f>
        <v/>
      </c>
      <c r="F4806" s="0" t="str">
        <f aca="false">IF(E4806="","",RANK(E4806,$E$2:$E$5001,1))</f>
        <v/>
      </c>
      <c r="G4806" s="0" t="n">
        <f aca="false">IF(A4806="",0,IF(SUMPRODUCT(--($A$2:$A$5001=A4806))&gt;1,1,0))</f>
        <v>0</v>
      </c>
      <c r="H4806" s="0" t="n">
        <f aca="false">ROW()-1</f>
        <v>4805</v>
      </c>
      <c r="I4806" s="0" t="str">
        <f aca="false">IF(OR(הגדרות!$E$6=0,H4806&gt;הגדרות!$E$5),"",IF(H4806-1&lt;הגדרות!$E$8*(הגדרות!$E$7+1),INT((H4806-1)/(הגדרות!$E$7+1)),הגדרות!$E$8+INT((H4806-1-הגדרות!$E$8*(הגדרות!$E$7+1))/הגדרות!$E$7)))</f>
        <v/>
      </c>
      <c r="J4806" s="0" t="str">
        <f aca="false">IF(I4806="","",IF(H4806-1&lt;הגדרות!$E$8*(הגדרות!$E$7+1),MOD(H4806-1,הגדרות!$E$7+1),MOD(H4806-1-הגדרות!$E$8*(הגדרות!$E$7+1),הגדרות!$E$7)))</f>
        <v/>
      </c>
      <c r="K4806" s="0" t="str">
        <f aca="false">IF(I4806="","",J4806*הגדרות!$E$6+I4806+1)</f>
        <v/>
      </c>
      <c r="L4806" s="0" t="str">
        <f aca="false">IF(K4806="","",MATCH(K4806,$F$2:$F$5001,0))</f>
        <v/>
      </c>
      <c r="M4806" s="0" t="str">
        <f aca="false">IF(I4806="","",INDEX(הגדרות!$A$2:$A$21,MOD(I4806+הגדרות!$E$9,הגדרות!$E$6)+1))</f>
        <v/>
      </c>
    </row>
    <row r="4807" customFormat="false" ht="15" hidden="false" customHeight="false" outlineLevel="0" collapsed="false">
      <c r="A4807" s="0" t="str">
        <f aca="false">IF('הדבקת לידים'!A4807="","",IF(ISNUMBER('הדבקת לידים'!A4807),IF(הגדרות!$E$2&gt;0,TEXT('הדבקת לידים'!A4807,REPT("0",הגדרות!$E$2)),TEXT('הדבקת לידים'!A4807,"0")),TRIM('הדבקת לידים'!A4807)))</f>
        <v/>
      </c>
      <c r="B4807" s="0" t="str">
        <f aca="false">IF('הדבקת לידים'!B4807="","",IF(ISNUMBER('הדבקת לידים'!B4807),IF(הגדרות!$E$3&gt;0,TEXT('הדבקת לידים'!B4807,REPT("0",הגדרות!$E$3)),TEXT('הדבקת לידים'!B4807,"0")),TRIM('הדבקת לידים'!B4807)))</f>
        <v/>
      </c>
      <c r="C4807" s="0" t="n">
        <f aca="false">IF(OR(A4807&lt;&gt;"",B4807&lt;&gt;""),1,0)</f>
        <v>0</v>
      </c>
      <c r="D4807" s="0" t="str">
        <f aca="false">IF(C4807=1,MOD(ABS(SIN(ROW()*12.9898+'הדבקת לידים'!$F$2*78.233+IFERROR(--RIGHT(A4807,6),LEN(A4807))*0.0137+IFERROR(--RIGHT(B4807,6),LEN(B4807))*0.0071))*43758.5453,1),"")</f>
        <v/>
      </c>
      <c r="E4807" s="0" t="str">
        <f aca="false">IF(C4807=1,INT(MOD(ABS(SIN(D4807*7919.123+ROW()*0.618+'הדבקת לידים'!$F$2*1.3))*43758.5453,1)*1000000)*10000+ROW(),"")</f>
        <v/>
      </c>
      <c r="F4807" s="0" t="str">
        <f aca="false">IF(E4807="","",RANK(E4807,$E$2:$E$5001,1))</f>
        <v/>
      </c>
      <c r="G4807" s="0" t="n">
        <f aca="false">IF(A4807="",0,IF(SUMPRODUCT(--($A$2:$A$5001=A4807))&gt;1,1,0))</f>
        <v>0</v>
      </c>
      <c r="H4807" s="0" t="n">
        <f aca="false">ROW()-1</f>
        <v>4806</v>
      </c>
      <c r="I4807" s="0" t="str">
        <f aca="false">IF(OR(הגדרות!$E$6=0,H4807&gt;הגדרות!$E$5),"",IF(H4807-1&lt;הגדרות!$E$8*(הגדרות!$E$7+1),INT((H4807-1)/(הגדרות!$E$7+1)),הגדרות!$E$8+INT((H4807-1-הגדרות!$E$8*(הגדרות!$E$7+1))/הגדרות!$E$7)))</f>
        <v/>
      </c>
      <c r="J4807" s="0" t="str">
        <f aca="false">IF(I4807="","",IF(H4807-1&lt;הגדרות!$E$8*(הגדרות!$E$7+1),MOD(H4807-1,הגדרות!$E$7+1),MOD(H4807-1-הגדרות!$E$8*(הגדרות!$E$7+1),הגדרות!$E$7)))</f>
        <v/>
      </c>
      <c r="K4807" s="0" t="str">
        <f aca="false">IF(I4807="","",J4807*הגדרות!$E$6+I4807+1)</f>
        <v/>
      </c>
      <c r="L4807" s="0" t="str">
        <f aca="false">IF(K4807="","",MATCH(K4807,$F$2:$F$5001,0))</f>
        <v/>
      </c>
      <c r="M4807" s="0" t="str">
        <f aca="false">IF(I4807="","",INDEX(הגדרות!$A$2:$A$21,MOD(I4807+הגדרות!$E$9,הגדרות!$E$6)+1))</f>
        <v/>
      </c>
    </row>
    <row r="4808" customFormat="false" ht="15" hidden="false" customHeight="false" outlineLevel="0" collapsed="false">
      <c r="A4808" s="0" t="str">
        <f aca="false">IF('הדבקת לידים'!A4808="","",IF(ISNUMBER('הדבקת לידים'!A4808),IF(הגדרות!$E$2&gt;0,TEXT('הדבקת לידים'!A4808,REPT("0",הגדרות!$E$2)),TEXT('הדבקת לידים'!A4808,"0")),TRIM('הדבקת לידים'!A4808)))</f>
        <v/>
      </c>
      <c r="B4808" s="0" t="str">
        <f aca="false">IF('הדבקת לידים'!B4808="","",IF(ISNUMBER('הדבקת לידים'!B4808),IF(הגדרות!$E$3&gt;0,TEXT('הדבקת לידים'!B4808,REPT("0",הגדרות!$E$3)),TEXT('הדבקת לידים'!B4808,"0")),TRIM('הדבקת לידים'!B4808)))</f>
        <v/>
      </c>
      <c r="C4808" s="0" t="n">
        <f aca="false">IF(OR(A4808&lt;&gt;"",B4808&lt;&gt;""),1,0)</f>
        <v>0</v>
      </c>
      <c r="D4808" s="0" t="str">
        <f aca="false">IF(C4808=1,MOD(ABS(SIN(ROW()*12.9898+'הדבקת לידים'!$F$2*78.233+IFERROR(--RIGHT(A4808,6),LEN(A4808))*0.0137+IFERROR(--RIGHT(B4808,6),LEN(B4808))*0.0071))*43758.5453,1),"")</f>
        <v/>
      </c>
      <c r="E4808" s="0" t="str">
        <f aca="false">IF(C4808=1,INT(MOD(ABS(SIN(D4808*7919.123+ROW()*0.618+'הדבקת לידים'!$F$2*1.3))*43758.5453,1)*1000000)*10000+ROW(),"")</f>
        <v/>
      </c>
      <c r="F4808" s="0" t="str">
        <f aca="false">IF(E4808="","",RANK(E4808,$E$2:$E$5001,1))</f>
        <v/>
      </c>
      <c r="G4808" s="0" t="n">
        <f aca="false">IF(A4808="",0,IF(SUMPRODUCT(--($A$2:$A$5001=A4808))&gt;1,1,0))</f>
        <v>0</v>
      </c>
      <c r="H4808" s="0" t="n">
        <f aca="false">ROW()-1</f>
        <v>4807</v>
      </c>
      <c r="I4808" s="0" t="str">
        <f aca="false">IF(OR(הגדרות!$E$6=0,H4808&gt;הגדרות!$E$5),"",IF(H4808-1&lt;הגדרות!$E$8*(הגדרות!$E$7+1),INT((H4808-1)/(הגדרות!$E$7+1)),הגדרות!$E$8+INT((H4808-1-הגדרות!$E$8*(הגדרות!$E$7+1))/הגדרות!$E$7)))</f>
        <v/>
      </c>
      <c r="J4808" s="0" t="str">
        <f aca="false">IF(I4808="","",IF(H4808-1&lt;הגדרות!$E$8*(הגדרות!$E$7+1),MOD(H4808-1,הגדרות!$E$7+1),MOD(H4808-1-הגדרות!$E$8*(הגדרות!$E$7+1),הגדרות!$E$7)))</f>
        <v/>
      </c>
      <c r="K4808" s="0" t="str">
        <f aca="false">IF(I4808="","",J4808*הגדרות!$E$6+I4808+1)</f>
        <v/>
      </c>
      <c r="L4808" s="0" t="str">
        <f aca="false">IF(K4808="","",MATCH(K4808,$F$2:$F$5001,0))</f>
        <v/>
      </c>
      <c r="M4808" s="0" t="str">
        <f aca="false">IF(I4808="","",INDEX(הגדרות!$A$2:$A$21,MOD(I4808+הגדרות!$E$9,הגדרות!$E$6)+1))</f>
        <v/>
      </c>
    </row>
    <row r="4809" customFormat="false" ht="15" hidden="false" customHeight="false" outlineLevel="0" collapsed="false">
      <c r="A4809" s="0" t="str">
        <f aca="false">IF('הדבקת לידים'!A4809="","",IF(ISNUMBER('הדבקת לידים'!A4809),IF(הגדרות!$E$2&gt;0,TEXT('הדבקת לידים'!A4809,REPT("0",הגדרות!$E$2)),TEXT('הדבקת לידים'!A4809,"0")),TRIM('הדבקת לידים'!A4809)))</f>
        <v/>
      </c>
      <c r="B4809" s="0" t="str">
        <f aca="false">IF('הדבקת לידים'!B4809="","",IF(ISNUMBER('הדבקת לידים'!B4809),IF(הגדרות!$E$3&gt;0,TEXT('הדבקת לידים'!B4809,REPT("0",הגדרות!$E$3)),TEXT('הדבקת לידים'!B4809,"0")),TRIM('הדבקת לידים'!B4809)))</f>
        <v/>
      </c>
      <c r="C4809" s="0" t="n">
        <f aca="false">IF(OR(A4809&lt;&gt;"",B4809&lt;&gt;""),1,0)</f>
        <v>0</v>
      </c>
      <c r="D4809" s="0" t="str">
        <f aca="false">IF(C4809=1,MOD(ABS(SIN(ROW()*12.9898+'הדבקת לידים'!$F$2*78.233+IFERROR(--RIGHT(A4809,6),LEN(A4809))*0.0137+IFERROR(--RIGHT(B4809,6),LEN(B4809))*0.0071))*43758.5453,1),"")</f>
        <v/>
      </c>
      <c r="E4809" s="0" t="str">
        <f aca="false">IF(C4809=1,INT(MOD(ABS(SIN(D4809*7919.123+ROW()*0.618+'הדבקת לידים'!$F$2*1.3))*43758.5453,1)*1000000)*10000+ROW(),"")</f>
        <v/>
      </c>
      <c r="F4809" s="0" t="str">
        <f aca="false">IF(E4809="","",RANK(E4809,$E$2:$E$5001,1))</f>
        <v/>
      </c>
      <c r="G4809" s="0" t="n">
        <f aca="false">IF(A4809="",0,IF(SUMPRODUCT(--($A$2:$A$5001=A4809))&gt;1,1,0))</f>
        <v>0</v>
      </c>
      <c r="H4809" s="0" t="n">
        <f aca="false">ROW()-1</f>
        <v>4808</v>
      </c>
      <c r="I4809" s="0" t="str">
        <f aca="false">IF(OR(הגדרות!$E$6=0,H4809&gt;הגדרות!$E$5),"",IF(H4809-1&lt;הגדרות!$E$8*(הגדרות!$E$7+1),INT((H4809-1)/(הגדרות!$E$7+1)),הגדרות!$E$8+INT((H4809-1-הגדרות!$E$8*(הגדרות!$E$7+1))/הגדרות!$E$7)))</f>
        <v/>
      </c>
      <c r="J4809" s="0" t="str">
        <f aca="false">IF(I4809="","",IF(H4809-1&lt;הגדרות!$E$8*(הגדרות!$E$7+1),MOD(H4809-1,הגדרות!$E$7+1),MOD(H4809-1-הגדרות!$E$8*(הגדרות!$E$7+1),הגדרות!$E$7)))</f>
        <v/>
      </c>
      <c r="K4809" s="0" t="str">
        <f aca="false">IF(I4809="","",J4809*הגדרות!$E$6+I4809+1)</f>
        <v/>
      </c>
      <c r="L4809" s="0" t="str">
        <f aca="false">IF(K4809="","",MATCH(K4809,$F$2:$F$5001,0))</f>
        <v/>
      </c>
      <c r="M4809" s="0" t="str">
        <f aca="false">IF(I4809="","",INDEX(הגדרות!$A$2:$A$21,MOD(I4809+הגדרות!$E$9,הגדרות!$E$6)+1))</f>
        <v/>
      </c>
    </row>
    <row r="4810" customFormat="false" ht="15" hidden="false" customHeight="false" outlineLevel="0" collapsed="false">
      <c r="A4810" s="0" t="str">
        <f aca="false">IF('הדבקת לידים'!A4810="","",IF(ISNUMBER('הדבקת לידים'!A4810),IF(הגדרות!$E$2&gt;0,TEXT('הדבקת לידים'!A4810,REPT("0",הגדרות!$E$2)),TEXT('הדבקת לידים'!A4810,"0")),TRIM('הדבקת לידים'!A4810)))</f>
        <v/>
      </c>
      <c r="B4810" s="0" t="str">
        <f aca="false">IF('הדבקת לידים'!B4810="","",IF(ISNUMBER('הדבקת לידים'!B4810),IF(הגדרות!$E$3&gt;0,TEXT('הדבקת לידים'!B4810,REPT("0",הגדרות!$E$3)),TEXT('הדבקת לידים'!B4810,"0")),TRIM('הדבקת לידים'!B4810)))</f>
        <v/>
      </c>
      <c r="C4810" s="0" t="n">
        <f aca="false">IF(OR(A4810&lt;&gt;"",B4810&lt;&gt;""),1,0)</f>
        <v>0</v>
      </c>
      <c r="D4810" s="0" t="str">
        <f aca="false">IF(C4810=1,MOD(ABS(SIN(ROW()*12.9898+'הדבקת לידים'!$F$2*78.233+IFERROR(--RIGHT(A4810,6),LEN(A4810))*0.0137+IFERROR(--RIGHT(B4810,6),LEN(B4810))*0.0071))*43758.5453,1),"")</f>
        <v/>
      </c>
      <c r="E4810" s="0" t="str">
        <f aca="false">IF(C4810=1,INT(MOD(ABS(SIN(D4810*7919.123+ROW()*0.618+'הדבקת לידים'!$F$2*1.3))*43758.5453,1)*1000000)*10000+ROW(),"")</f>
        <v/>
      </c>
      <c r="F4810" s="0" t="str">
        <f aca="false">IF(E4810="","",RANK(E4810,$E$2:$E$5001,1))</f>
        <v/>
      </c>
      <c r="G4810" s="0" t="n">
        <f aca="false">IF(A4810="",0,IF(SUMPRODUCT(--($A$2:$A$5001=A4810))&gt;1,1,0))</f>
        <v>0</v>
      </c>
      <c r="H4810" s="0" t="n">
        <f aca="false">ROW()-1</f>
        <v>4809</v>
      </c>
      <c r="I4810" s="0" t="str">
        <f aca="false">IF(OR(הגדרות!$E$6=0,H4810&gt;הגדרות!$E$5),"",IF(H4810-1&lt;הגדרות!$E$8*(הגדרות!$E$7+1),INT((H4810-1)/(הגדרות!$E$7+1)),הגדרות!$E$8+INT((H4810-1-הגדרות!$E$8*(הגדרות!$E$7+1))/הגדרות!$E$7)))</f>
        <v/>
      </c>
      <c r="J4810" s="0" t="str">
        <f aca="false">IF(I4810="","",IF(H4810-1&lt;הגדרות!$E$8*(הגדרות!$E$7+1),MOD(H4810-1,הגדרות!$E$7+1),MOD(H4810-1-הגדרות!$E$8*(הגדרות!$E$7+1),הגדרות!$E$7)))</f>
        <v/>
      </c>
      <c r="K4810" s="0" t="str">
        <f aca="false">IF(I4810="","",J4810*הגדרות!$E$6+I4810+1)</f>
        <v/>
      </c>
      <c r="L4810" s="0" t="str">
        <f aca="false">IF(K4810="","",MATCH(K4810,$F$2:$F$5001,0))</f>
        <v/>
      </c>
      <c r="M4810" s="0" t="str">
        <f aca="false">IF(I4810="","",INDEX(הגדרות!$A$2:$A$21,MOD(I4810+הגדרות!$E$9,הגדרות!$E$6)+1))</f>
        <v/>
      </c>
    </row>
    <row r="4811" customFormat="false" ht="15" hidden="false" customHeight="false" outlineLevel="0" collapsed="false">
      <c r="A4811" s="0" t="str">
        <f aca="false">IF('הדבקת לידים'!A4811="","",IF(ISNUMBER('הדבקת לידים'!A4811),IF(הגדרות!$E$2&gt;0,TEXT('הדבקת לידים'!A4811,REPT("0",הגדרות!$E$2)),TEXT('הדבקת לידים'!A4811,"0")),TRIM('הדבקת לידים'!A4811)))</f>
        <v/>
      </c>
      <c r="B4811" s="0" t="str">
        <f aca="false">IF('הדבקת לידים'!B4811="","",IF(ISNUMBER('הדבקת לידים'!B4811),IF(הגדרות!$E$3&gt;0,TEXT('הדבקת לידים'!B4811,REPT("0",הגדרות!$E$3)),TEXT('הדבקת לידים'!B4811,"0")),TRIM('הדבקת לידים'!B4811)))</f>
        <v/>
      </c>
      <c r="C4811" s="0" t="n">
        <f aca="false">IF(OR(A4811&lt;&gt;"",B4811&lt;&gt;""),1,0)</f>
        <v>0</v>
      </c>
      <c r="D4811" s="0" t="str">
        <f aca="false">IF(C4811=1,MOD(ABS(SIN(ROW()*12.9898+'הדבקת לידים'!$F$2*78.233+IFERROR(--RIGHT(A4811,6),LEN(A4811))*0.0137+IFERROR(--RIGHT(B4811,6),LEN(B4811))*0.0071))*43758.5453,1),"")</f>
        <v/>
      </c>
      <c r="E4811" s="0" t="str">
        <f aca="false">IF(C4811=1,INT(MOD(ABS(SIN(D4811*7919.123+ROW()*0.618+'הדבקת לידים'!$F$2*1.3))*43758.5453,1)*1000000)*10000+ROW(),"")</f>
        <v/>
      </c>
      <c r="F4811" s="0" t="str">
        <f aca="false">IF(E4811="","",RANK(E4811,$E$2:$E$5001,1))</f>
        <v/>
      </c>
      <c r="G4811" s="0" t="n">
        <f aca="false">IF(A4811="",0,IF(SUMPRODUCT(--($A$2:$A$5001=A4811))&gt;1,1,0))</f>
        <v>0</v>
      </c>
      <c r="H4811" s="0" t="n">
        <f aca="false">ROW()-1</f>
        <v>4810</v>
      </c>
      <c r="I4811" s="0" t="str">
        <f aca="false">IF(OR(הגדרות!$E$6=0,H4811&gt;הגדרות!$E$5),"",IF(H4811-1&lt;הגדרות!$E$8*(הגדרות!$E$7+1),INT((H4811-1)/(הגדרות!$E$7+1)),הגדרות!$E$8+INT((H4811-1-הגדרות!$E$8*(הגדרות!$E$7+1))/הגדרות!$E$7)))</f>
        <v/>
      </c>
      <c r="J4811" s="0" t="str">
        <f aca="false">IF(I4811="","",IF(H4811-1&lt;הגדרות!$E$8*(הגדרות!$E$7+1),MOD(H4811-1,הגדרות!$E$7+1),MOD(H4811-1-הגדרות!$E$8*(הגדרות!$E$7+1),הגדרות!$E$7)))</f>
        <v/>
      </c>
      <c r="K4811" s="0" t="str">
        <f aca="false">IF(I4811="","",J4811*הגדרות!$E$6+I4811+1)</f>
        <v/>
      </c>
      <c r="L4811" s="0" t="str">
        <f aca="false">IF(K4811="","",MATCH(K4811,$F$2:$F$5001,0))</f>
        <v/>
      </c>
      <c r="M4811" s="0" t="str">
        <f aca="false">IF(I4811="","",INDEX(הגדרות!$A$2:$A$21,MOD(I4811+הגדרות!$E$9,הגדרות!$E$6)+1))</f>
        <v/>
      </c>
    </row>
    <row r="4812" customFormat="false" ht="15" hidden="false" customHeight="false" outlineLevel="0" collapsed="false">
      <c r="A4812" s="0" t="str">
        <f aca="false">IF('הדבקת לידים'!A4812="","",IF(ISNUMBER('הדבקת לידים'!A4812),IF(הגדרות!$E$2&gt;0,TEXT('הדבקת לידים'!A4812,REPT("0",הגדרות!$E$2)),TEXT('הדבקת לידים'!A4812,"0")),TRIM('הדבקת לידים'!A4812)))</f>
        <v/>
      </c>
      <c r="B4812" s="0" t="str">
        <f aca="false">IF('הדבקת לידים'!B4812="","",IF(ISNUMBER('הדבקת לידים'!B4812),IF(הגדרות!$E$3&gt;0,TEXT('הדבקת לידים'!B4812,REPT("0",הגדרות!$E$3)),TEXT('הדבקת לידים'!B4812,"0")),TRIM('הדבקת לידים'!B4812)))</f>
        <v/>
      </c>
      <c r="C4812" s="0" t="n">
        <f aca="false">IF(OR(A4812&lt;&gt;"",B4812&lt;&gt;""),1,0)</f>
        <v>0</v>
      </c>
      <c r="D4812" s="0" t="str">
        <f aca="false">IF(C4812=1,MOD(ABS(SIN(ROW()*12.9898+'הדבקת לידים'!$F$2*78.233+IFERROR(--RIGHT(A4812,6),LEN(A4812))*0.0137+IFERROR(--RIGHT(B4812,6),LEN(B4812))*0.0071))*43758.5453,1),"")</f>
        <v/>
      </c>
      <c r="E4812" s="0" t="str">
        <f aca="false">IF(C4812=1,INT(MOD(ABS(SIN(D4812*7919.123+ROW()*0.618+'הדבקת לידים'!$F$2*1.3))*43758.5453,1)*1000000)*10000+ROW(),"")</f>
        <v/>
      </c>
      <c r="F4812" s="0" t="str">
        <f aca="false">IF(E4812="","",RANK(E4812,$E$2:$E$5001,1))</f>
        <v/>
      </c>
      <c r="G4812" s="0" t="n">
        <f aca="false">IF(A4812="",0,IF(SUMPRODUCT(--($A$2:$A$5001=A4812))&gt;1,1,0))</f>
        <v>0</v>
      </c>
      <c r="H4812" s="0" t="n">
        <f aca="false">ROW()-1</f>
        <v>4811</v>
      </c>
      <c r="I4812" s="0" t="str">
        <f aca="false">IF(OR(הגדרות!$E$6=0,H4812&gt;הגדרות!$E$5),"",IF(H4812-1&lt;הגדרות!$E$8*(הגדרות!$E$7+1),INT((H4812-1)/(הגדרות!$E$7+1)),הגדרות!$E$8+INT((H4812-1-הגדרות!$E$8*(הגדרות!$E$7+1))/הגדרות!$E$7)))</f>
        <v/>
      </c>
      <c r="J4812" s="0" t="str">
        <f aca="false">IF(I4812="","",IF(H4812-1&lt;הגדרות!$E$8*(הגדרות!$E$7+1),MOD(H4812-1,הגדרות!$E$7+1),MOD(H4812-1-הגדרות!$E$8*(הגדרות!$E$7+1),הגדרות!$E$7)))</f>
        <v/>
      </c>
      <c r="K4812" s="0" t="str">
        <f aca="false">IF(I4812="","",J4812*הגדרות!$E$6+I4812+1)</f>
        <v/>
      </c>
      <c r="L4812" s="0" t="str">
        <f aca="false">IF(K4812="","",MATCH(K4812,$F$2:$F$5001,0))</f>
        <v/>
      </c>
      <c r="M4812" s="0" t="str">
        <f aca="false">IF(I4812="","",INDEX(הגדרות!$A$2:$A$21,MOD(I4812+הגדרות!$E$9,הגדרות!$E$6)+1))</f>
        <v/>
      </c>
    </row>
    <row r="4813" customFormat="false" ht="15" hidden="false" customHeight="false" outlineLevel="0" collapsed="false">
      <c r="A4813" s="0" t="str">
        <f aca="false">IF('הדבקת לידים'!A4813="","",IF(ISNUMBER('הדבקת לידים'!A4813),IF(הגדרות!$E$2&gt;0,TEXT('הדבקת לידים'!A4813,REPT("0",הגדרות!$E$2)),TEXT('הדבקת לידים'!A4813,"0")),TRIM('הדבקת לידים'!A4813)))</f>
        <v/>
      </c>
      <c r="B4813" s="0" t="str">
        <f aca="false">IF('הדבקת לידים'!B4813="","",IF(ISNUMBER('הדבקת לידים'!B4813),IF(הגדרות!$E$3&gt;0,TEXT('הדבקת לידים'!B4813,REPT("0",הגדרות!$E$3)),TEXT('הדבקת לידים'!B4813,"0")),TRIM('הדבקת לידים'!B4813)))</f>
        <v/>
      </c>
      <c r="C4813" s="0" t="n">
        <f aca="false">IF(OR(A4813&lt;&gt;"",B4813&lt;&gt;""),1,0)</f>
        <v>0</v>
      </c>
      <c r="D4813" s="0" t="str">
        <f aca="false">IF(C4813=1,MOD(ABS(SIN(ROW()*12.9898+'הדבקת לידים'!$F$2*78.233+IFERROR(--RIGHT(A4813,6),LEN(A4813))*0.0137+IFERROR(--RIGHT(B4813,6),LEN(B4813))*0.0071))*43758.5453,1),"")</f>
        <v/>
      </c>
      <c r="E4813" s="0" t="str">
        <f aca="false">IF(C4813=1,INT(MOD(ABS(SIN(D4813*7919.123+ROW()*0.618+'הדבקת לידים'!$F$2*1.3))*43758.5453,1)*1000000)*10000+ROW(),"")</f>
        <v/>
      </c>
      <c r="F4813" s="0" t="str">
        <f aca="false">IF(E4813="","",RANK(E4813,$E$2:$E$5001,1))</f>
        <v/>
      </c>
      <c r="G4813" s="0" t="n">
        <f aca="false">IF(A4813="",0,IF(SUMPRODUCT(--($A$2:$A$5001=A4813))&gt;1,1,0))</f>
        <v>0</v>
      </c>
      <c r="H4813" s="0" t="n">
        <f aca="false">ROW()-1</f>
        <v>4812</v>
      </c>
      <c r="I4813" s="0" t="str">
        <f aca="false">IF(OR(הגדרות!$E$6=0,H4813&gt;הגדרות!$E$5),"",IF(H4813-1&lt;הגדרות!$E$8*(הגדרות!$E$7+1),INT((H4813-1)/(הגדרות!$E$7+1)),הגדרות!$E$8+INT((H4813-1-הגדרות!$E$8*(הגדרות!$E$7+1))/הגדרות!$E$7)))</f>
        <v/>
      </c>
      <c r="J4813" s="0" t="str">
        <f aca="false">IF(I4813="","",IF(H4813-1&lt;הגדרות!$E$8*(הגדרות!$E$7+1),MOD(H4813-1,הגדרות!$E$7+1),MOD(H4813-1-הגדרות!$E$8*(הגדרות!$E$7+1),הגדרות!$E$7)))</f>
        <v/>
      </c>
      <c r="K4813" s="0" t="str">
        <f aca="false">IF(I4813="","",J4813*הגדרות!$E$6+I4813+1)</f>
        <v/>
      </c>
      <c r="L4813" s="0" t="str">
        <f aca="false">IF(K4813="","",MATCH(K4813,$F$2:$F$5001,0))</f>
        <v/>
      </c>
      <c r="M4813" s="0" t="str">
        <f aca="false">IF(I4813="","",INDEX(הגדרות!$A$2:$A$21,MOD(I4813+הגדרות!$E$9,הגדרות!$E$6)+1))</f>
        <v/>
      </c>
    </row>
    <row r="4814" customFormat="false" ht="15" hidden="false" customHeight="false" outlineLevel="0" collapsed="false">
      <c r="A4814" s="0" t="str">
        <f aca="false">IF('הדבקת לידים'!A4814="","",IF(ISNUMBER('הדבקת לידים'!A4814),IF(הגדרות!$E$2&gt;0,TEXT('הדבקת לידים'!A4814,REPT("0",הגדרות!$E$2)),TEXT('הדבקת לידים'!A4814,"0")),TRIM('הדבקת לידים'!A4814)))</f>
        <v/>
      </c>
      <c r="B4814" s="0" t="str">
        <f aca="false">IF('הדבקת לידים'!B4814="","",IF(ISNUMBER('הדבקת לידים'!B4814),IF(הגדרות!$E$3&gt;0,TEXT('הדבקת לידים'!B4814,REPT("0",הגדרות!$E$3)),TEXT('הדבקת לידים'!B4814,"0")),TRIM('הדבקת לידים'!B4814)))</f>
        <v/>
      </c>
      <c r="C4814" s="0" t="n">
        <f aca="false">IF(OR(A4814&lt;&gt;"",B4814&lt;&gt;""),1,0)</f>
        <v>0</v>
      </c>
      <c r="D4814" s="0" t="str">
        <f aca="false">IF(C4814=1,MOD(ABS(SIN(ROW()*12.9898+'הדבקת לידים'!$F$2*78.233+IFERROR(--RIGHT(A4814,6),LEN(A4814))*0.0137+IFERROR(--RIGHT(B4814,6),LEN(B4814))*0.0071))*43758.5453,1),"")</f>
        <v/>
      </c>
      <c r="E4814" s="0" t="str">
        <f aca="false">IF(C4814=1,INT(MOD(ABS(SIN(D4814*7919.123+ROW()*0.618+'הדבקת לידים'!$F$2*1.3))*43758.5453,1)*1000000)*10000+ROW(),"")</f>
        <v/>
      </c>
      <c r="F4814" s="0" t="str">
        <f aca="false">IF(E4814="","",RANK(E4814,$E$2:$E$5001,1))</f>
        <v/>
      </c>
      <c r="G4814" s="0" t="n">
        <f aca="false">IF(A4814="",0,IF(SUMPRODUCT(--($A$2:$A$5001=A4814))&gt;1,1,0))</f>
        <v>0</v>
      </c>
      <c r="H4814" s="0" t="n">
        <f aca="false">ROW()-1</f>
        <v>4813</v>
      </c>
      <c r="I4814" s="0" t="str">
        <f aca="false">IF(OR(הגדרות!$E$6=0,H4814&gt;הגדרות!$E$5),"",IF(H4814-1&lt;הגדרות!$E$8*(הגדרות!$E$7+1),INT((H4814-1)/(הגדרות!$E$7+1)),הגדרות!$E$8+INT((H4814-1-הגדרות!$E$8*(הגדרות!$E$7+1))/הגדרות!$E$7)))</f>
        <v/>
      </c>
      <c r="J4814" s="0" t="str">
        <f aca="false">IF(I4814="","",IF(H4814-1&lt;הגדרות!$E$8*(הגדרות!$E$7+1),MOD(H4814-1,הגדרות!$E$7+1),MOD(H4814-1-הגדרות!$E$8*(הגדרות!$E$7+1),הגדרות!$E$7)))</f>
        <v/>
      </c>
      <c r="K4814" s="0" t="str">
        <f aca="false">IF(I4814="","",J4814*הגדרות!$E$6+I4814+1)</f>
        <v/>
      </c>
      <c r="L4814" s="0" t="str">
        <f aca="false">IF(K4814="","",MATCH(K4814,$F$2:$F$5001,0))</f>
        <v/>
      </c>
      <c r="M4814" s="0" t="str">
        <f aca="false">IF(I4814="","",INDEX(הגדרות!$A$2:$A$21,MOD(I4814+הגדרות!$E$9,הגדרות!$E$6)+1))</f>
        <v/>
      </c>
    </row>
    <row r="4815" customFormat="false" ht="15" hidden="false" customHeight="false" outlineLevel="0" collapsed="false">
      <c r="A4815" s="0" t="str">
        <f aca="false">IF('הדבקת לידים'!A4815="","",IF(ISNUMBER('הדבקת לידים'!A4815),IF(הגדרות!$E$2&gt;0,TEXT('הדבקת לידים'!A4815,REPT("0",הגדרות!$E$2)),TEXT('הדבקת לידים'!A4815,"0")),TRIM('הדבקת לידים'!A4815)))</f>
        <v/>
      </c>
      <c r="B4815" s="0" t="str">
        <f aca="false">IF('הדבקת לידים'!B4815="","",IF(ISNUMBER('הדבקת לידים'!B4815),IF(הגדרות!$E$3&gt;0,TEXT('הדבקת לידים'!B4815,REPT("0",הגדרות!$E$3)),TEXT('הדבקת לידים'!B4815,"0")),TRIM('הדבקת לידים'!B4815)))</f>
        <v/>
      </c>
      <c r="C4815" s="0" t="n">
        <f aca="false">IF(OR(A4815&lt;&gt;"",B4815&lt;&gt;""),1,0)</f>
        <v>0</v>
      </c>
      <c r="D4815" s="0" t="str">
        <f aca="false">IF(C4815=1,MOD(ABS(SIN(ROW()*12.9898+'הדבקת לידים'!$F$2*78.233+IFERROR(--RIGHT(A4815,6),LEN(A4815))*0.0137+IFERROR(--RIGHT(B4815,6),LEN(B4815))*0.0071))*43758.5453,1),"")</f>
        <v/>
      </c>
      <c r="E4815" s="0" t="str">
        <f aca="false">IF(C4815=1,INT(MOD(ABS(SIN(D4815*7919.123+ROW()*0.618+'הדבקת לידים'!$F$2*1.3))*43758.5453,1)*1000000)*10000+ROW(),"")</f>
        <v/>
      </c>
      <c r="F4815" s="0" t="str">
        <f aca="false">IF(E4815="","",RANK(E4815,$E$2:$E$5001,1))</f>
        <v/>
      </c>
      <c r="G4815" s="0" t="n">
        <f aca="false">IF(A4815="",0,IF(SUMPRODUCT(--($A$2:$A$5001=A4815))&gt;1,1,0))</f>
        <v>0</v>
      </c>
      <c r="H4815" s="0" t="n">
        <f aca="false">ROW()-1</f>
        <v>4814</v>
      </c>
      <c r="I4815" s="0" t="str">
        <f aca="false">IF(OR(הגדרות!$E$6=0,H4815&gt;הגדרות!$E$5),"",IF(H4815-1&lt;הגדרות!$E$8*(הגדרות!$E$7+1),INT((H4815-1)/(הגדרות!$E$7+1)),הגדרות!$E$8+INT((H4815-1-הגדרות!$E$8*(הגדרות!$E$7+1))/הגדרות!$E$7)))</f>
        <v/>
      </c>
      <c r="J4815" s="0" t="str">
        <f aca="false">IF(I4815="","",IF(H4815-1&lt;הגדרות!$E$8*(הגדרות!$E$7+1),MOD(H4815-1,הגדרות!$E$7+1),MOD(H4815-1-הגדרות!$E$8*(הגדרות!$E$7+1),הגדרות!$E$7)))</f>
        <v/>
      </c>
      <c r="K4815" s="0" t="str">
        <f aca="false">IF(I4815="","",J4815*הגדרות!$E$6+I4815+1)</f>
        <v/>
      </c>
      <c r="L4815" s="0" t="str">
        <f aca="false">IF(K4815="","",MATCH(K4815,$F$2:$F$5001,0))</f>
        <v/>
      </c>
      <c r="M4815" s="0" t="str">
        <f aca="false">IF(I4815="","",INDEX(הגדרות!$A$2:$A$21,MOD(I4815+הגדרות!$E$9,הגדרות!$E$6)+1))</f>
        <v/>
      </c>
    </row>
    <row r="4816" customFormat="false" ht="15" hidden="false" customHeight="false" outlineLevel="0" collapsed="false">
      <c r="A4816" s="0" t="str">
        <f aca="false">IF('הדבקת לידים'!A4816="","",IF(ISNUMBER('הדבקת לידים'!A4816),IF(הגדרות!$E$2&gt;0,TEXT('הדבקת לידים'!A4816,REPT("0",הגדרות!$E$2)),TEXT('הדבקת לידים'!A4816,"0")),TRIM('הדבקת לידים'!A4816)))</f>
        <v/>
      </c>
      <c r="B4816" s="0" t="str">
        <f aca="false">IF('הדבקת לידים'!B4816="","",IF(ISNUMBER('הדבקת לידים'!B4816),IF(הגדרות!$E$3&gt;0,TEXT('הדבקת לידים'!B4816,REPT("0",הגדרות!$E$3)),TEXT('הדבקת לידים'!B4816,"0")),TRIM('הדבקת לידים'!B4816)))</f>
        <v/>
      </c>
      <c r="C4816" s="0" t="n">
        <f aca="false">IF(OR(A4816&lt;&gt;"",B4816&lt;&gt;""),1,0)</f>
        <v>0</v>
      </c>
      <c r="D4816" s="0" t="str">
        <f aca="false">IF(C4816=1,MOD(ABS(SIN(ROW()*12.9898+'הדבקת לידים'!$F$2*78.233+IFERROR(--RIGHT(A4816,6),LEN(A4816))*0.0137+IFERROR(--RIGHT(B4816,6),LEN(B4816))*0.0071))*43758.5453,1),"")</f>
        <v/>
      </c>
      <c r="E4816" s="0" t="str">
        <f aca="false">IF(C4816=1,INT(MOD(ABS(SIN(D4816*7919.123+ROW()*0.618+'הדבקת לידים'!$F$2*1.3))*43758.5453,1)*1000000)*10000+ROW(),"")</f>
        <v/>
      </c>
      <c r="F4816" s="0" t="str">
        <f aca="false">IF(E4816="","",RANK(E4816,$E$2:$E$5001,1))</f>
        <v/>
      </c>
      <c r="G4816" s="0" t="n">
        <f aca="false">IF(A4816="",0,IF(SUMPRODUCT(--($A$2:$A$5001=A4816))&gt;1,1,0))</f>
        <v>0</v>
      </c>
      <c r="H4816" s="0" t="n">
        <f aca="false">ROW()-1</f>
        <v>4815</v>
      </c>
      <c r="I4816" s="0" t="str">
        <f aca="false">IF(OR(הגדרות!$E$6=0,H4816&gt;הגדרות!$E$5),"",IF(H4816-1&lt;הגדרות!$E$8*(הגדרות!$E$7+1),INT((H4816-1)/(הגדרות!$E$7+1)),הגדרות!$E$8+INT((H4816-1-הגדרות!$E$8*(הגדרות!$E$7+1))/הגדרות!$E$7)))</f>
        <v/>
      </c>
      <c r="J4816" s="0" t="str">
        <f aca="false">IF(I4816="","",IF(H4816-1&lt;הגדרות!$E$8*(הגדרות!$E$7+1),MOD(H4816-1,הגדרות!$E$7+1),MOD(H4816-1-הגדרות!$E$8*(הגדרות!$E$7+1),הגדרות!$E$7)))</f>
        <v/>
      </c>
      <c r="K4816" s="0" t="str">
        <f aca="false">IF(I4816="","",J4816*הגדרות!$E$6+I4816+1)</f>
        <v/>
      </c>
      <c r="L4816" s="0" t="str">
        <f aca="false">IF(K4816="","",MATCH(K4816,$F$2:$F$5001,0))</f>
        <v/>
      </c>
      <c r="M4816" s="0" t="str">
        <f aca="false">IF(I4816="","",INDEX(הגדרות!$A$2:$A$21,MOD(I4816+הגדרות!$E$9,הגדרות!$E$6)+1))</f>
        <v/>
      </c>
    </row>
    <row r="4817" customFormat="false" ht="15" hidden="false" customHeight="false" outlineLevel="0" collapsed="false">
      <c r="A4817" s="0" t="str">
        <f aca="false">IF('הדבקת לידים'!A4817="","",IF(ISNUMBER('הדבקת לידים'!A4817),IF(הגדרות!$E$2&gt;0,TEXT('הדבקת לידים'!A4817,REPT("0",הגדרות!$E$2)),TEXT('הדבקת לידים'!A4817,"0")),TRIM('הדבקת לידים'!A4817)))</f>
        <v/>
      </c>
      <c r="B4817" s="0" t="str">
        <f aca="false">IF('הדבקת לידים'!B4817="","",IF(ISNUMBER('הדבקת לידים'!B4817),IF(הגדרות!$E$3&gt;0,TEXT('הדבקת לידים'!B4817,REPT("0",הגדרות!$E$3)),TEXT('הדבקת לידים'!B4817,"0")),TRIM('הדבקת לידים'!B4817)))</f>
        <v/>
      </c>
      <c r="C4817" s="0" t="n">
        <f aca="false">IF(OR(A4817&lt;&gt;"",B4817&lt;&gt;""),1,0)</f>
        <v>0</v>
      </c>
      <c r="D4817" s="0" t="str">
        <f aca="false">IF(C4817=1,MOD(ABS(SIN(ROW()*12.9898+'הדבקת לידים'!$F$2*78.233+IFERROR(--RIGHT(A4817,6),LEN(A4817))*0.0137+IFERROR(--RIGHT(B4817,6),LEN(B4817))*0.0071))*43758.5453,1),"")</f>
        <v/>
      </c>
      <c r="E4817" s="0" t="str">
        <f aca="false">IF(C4817=1,INT(MOD(ABS(SIN(D4817*7919.123+ROW()*0.618+'הדבקת לידים'!$F$2*1.3))*43758.5453,1)*1000000)*10000+ROW(),"")</f>
        <v/>
      </c>
      <c r="F4817" s="0" t="str">
        <f aca="false">IF(E4817="","",RANK(E4817,$E$2:$E$5001,1))</f>
        <v/>
      </c>
      <c r="G4817" s="0" t="n">
        <f aca="false">IF(A4817="",0,IF(SUMPRODUCT(--($A$2:$A$5001=A4817))&gt;1,1,0))</f>
        <v>0</v>
      </c>
      <c r="H4817" s="0" t="n">
        <f aca="false">ROW()-1</f>
        <v>4816</v>
      </c>
      <c r="I4817" s="0" t="str">
        <f aca="false">IF(OR(הגדרות!$E$6=0,H4817&gt;הגדרות!$E$5),"",IF(H4817-1&lt;הגדרות!$E$8*(הגדרות!$E$7+1),INT((H4817-1)/(הגדרות!$E$7+1)),הגדרות!$E$8+INT((H4817-1-הגדרות!$E$8*(הגדרות!$E$7+1))/הגדרות!$E$7)))</f>
        <v/>
      </c>
      <c r="J4817" s="0" t="str">
        <f aca="false">IF(I4817="","",IF(H4817-1&lt;הגדרות!$E$8*(הגדרות!$E$7+1),MOD(H4817-1,הגדרות!$E$7+1),MOD(H4817-1-הגדרות!$E$8*(הגדרות!$E$7+1),הגדרות!$E$7)))</f>
        <v/>
      </c>
      <c r="K4817" s="0" t="str">
        <f aca="false">IF(I4817="","",J4817*הגדרות!$E$6+I4817+1)</f>
        <v/>
      </c>
      <c r="L4817" s="0" t="str">
        <f aca="false">IF(K4817="","",MATCH(K4817,$F$2:$F$5001,0))</f>
        <v/>
      </c>
      <c r="M4817" s="0" t="str">
        <f aca="false">IF(I4817="","",INDEX(הגדרות!$A$2:$A$21,MOD(I4817+הגדרות!$E$9,הגדרות!$E$6)+1))</f>
        <v/>
      </c>
    </row>
    <row r="4818" customFormat="false" ht="15" hidden="false" customHeight="false" outlineLevel="0" collapsed="false">
      <c r="A4818" s="0" t="str">
        <f aca="false">IF('הדבקת לידים'!A4818="","",IF(ISNUMBER('הדבקת לידים'!A4818),IF(הגדרות!$E$2&gt;0,TEXT('הדבקת לידים'!A4818,REPT("0",הגדרות!$E$2)),TEXT('הדבקת לידים'!A4818,"0")),TRIM('הדבקת לידים'!A4818)))</f>
        <v/>
      </c>
      <c r="B4818" s="0" t="str">
        <f aca="false">IF('הדבקת לידים'!B4818="","",IF(ISNUMBER('הדבקת לידים'!B4818),IF(הגדרות!$E$3&gt;0,TEXT('הדבקת לידים'!B4818,REPT("0",הגדרות!$E$3)),TEXT('הדבקת לידים'!B4818,"0")),TRIM('הדבקת לידים'!B4818)))</f>
        <v/>
      </c>
      <c r="C4818" s="0" t="n">
        <f aca="false">IF(OR(A4818&lt;&gt;"",B4818&lt;&gt;""),1,0)</f>
        <v>0</v>
      </c>
      <c r="D4818" s="0" t="str">
        <f aca="false">IF(C4818=1,MOD(ABS(SIN(ROW()*12.9898+'הדבקת לידים'!$F$2*78.233+IFERROR(--RIGHT(A4818,6),LEN(A4818))*0.0137+IFERROR(--RIGHT(B4818,6),LEN(B4818))*0.0071))*43758.5453,1),"")</f>
        <v/>
      </c>
      <c r="E4818" s="0" t="str">
        <f aca="false">IF(C4818=1,INT(MOD(ABS(SIN(D4818*7919.123+ROW()*0.618+'הדבקת לידים'!$F$2*1.3))*43758.5453,1)*1000000)*10000+ROW(),"")</f>
        <v/>
      </c>
      <c r="F4818" s="0" t="str">
        <f aca="false">IF(E4818="","",RANK(E4818,$E$2:$E$5001,1))</f>
        <v/>
      </c>
      <c r="G4818" s="0" t="n">
        <f aca="false">IF(A4818="",0,IF(SUMPRODUCT(--($A$2:$A$5001=A4818))&gt;1,1,0))</f>
        <v>0</v>
      </c>
      <c r="H4818" s="0" t="n">
        <f aca="false">ROW()-1</f>
        <v>4817</v>
      </c>
      <c r="I4818" s="0" t="str">
        <f aca="false">IF(OR(הגדרות!$E$6=0,H4818&gt;הגדרות!$E$5),"",IF(H4818-1&lt;הגדרות!$E$8*(הגדרות!$E$7+1),INT((H4818-1)/(הגדרות!$E$7+1)),הגדרות!$E$8+INT((H4818-1-הגדרות!$E$8*(הגדרות!$E$7+1))/הגדרות!$E$7)))</f>
        <v/>
      </c>
      <c r="J4818" s="0" t="str">
        <f aca="false">IF(I4818="","",IF(H4818-1&lt;הגדרות!$E$8*(הגדרות!$E$7+1),MOD(H4818-1,הגדרות!$E$7+1),MOD(H4818-1-הגדרות!$E$8*(הגדרות!$E$7+1),הגדרות!$E$7)))</f>
        <v/>
      </c>
      <c r="K4818" s="0" t="str">
        <f aca="false">IF(I4818="","",J4818*הגדרות!$E$6+I4818+1)</f>
        <v/>
      </c>
      <c r="L4818" s="0" t="str">
        <f aca="false">IF(K4818="","",MATCH(K4818,$F$2:$F$5001,0))</f>
        <v/>
      </c>
      <c r="M4818" s="0" t="str">
        <f aca="false">IF(I4818="","",INDEX(הגדרות!$A$2:$A$21,MOD(I4818+הגדרות!$E$9,הגדרות!$E$6)+1))</f>
        <v/>
      </c>
    </row>
    <row r="4819" customFormat="false" ht="15" hidden="false" customHeight="false" outlineLevel="0" collapsed="false">
      <c r="A4819" s="0" t="str">
        <f aca="false">IF('הדבקת לידים'!A4819="","",IF(ISNUMBER('הדבקת לידים'!A4819),IF(הגדרות!$E$2&gt;0,TEXT('הדבקת לידים'!A4819,REPT("0",הגדרות!$E$2)),TEXT('הדבקת לידים'!A4819,"0")),TRIM('הדבקת לידים'!A4819)))</f>
        <v/>
      </c>
      <c r="B4819" s="0" t="str">
        <f aca="false">IF('הדבקת לידים'!B4819="","",IF(ISNUMBER('הדבקת לידים'!B4819),IF(הגדרות!$E$3&gt;0,TEXT('הדבקת לידים'!B4819,REPT("0",הגדרות!$E$3)),TEXT('הדבקת לידים'!B4819,"0")),TRIM('הדבקת לידים'!B4819)))</f>
        <v/>
      </c>
      <c r="C4819" s="0" t="n">
        <f aca="false">IF(OR(A4819&lt;&gt;"",B4819&lt;&gt;""),1,0)</f>
        <v>0</v>
      </c>
      <c r="D4819" s="0" t="str">
        <f aca="false">IF(C4819=1,MOD(ABS(SIN(ROW()*12.9898+'הדבקת לידים'!$F$2*78.233+IFERROR(--RIGHT(A4819,6),LEN(A4819))*0.0137+IFERROR(--RIGHT(B4819,6),LEN(B4819))*0.0071))*43758.5453,1),"")</f>
        <v/>
      </c>
      <c r="E4819" s="0" t="str">
        <f aca="false">IF(C4819=1,INT(MOD(ABS(SIN(D4819*7919.123+ROW()*0.618+'הדבקת לידים'!$F$2*1.3))*43758.5453,1)*1000000)*10000+ROW(),"")</f>
        <v/>
      </c>
      <c r="F4819" s="0" t="str">
        <f aca="false">IF(E4819="","",RANK(E4819,$E$2:$E$5001,1))</f>
        <v/>
      </c>
      <c r="G4819" s="0" t="n">
        <f aca="false">IF(A4819="",0,IF(SUMPRODUCT(--($A$2:$A$5001=A4819))&gt;1,1,0))</f>
        <v>0</v>
      </c>
      <c r="H4819" s="0" t="n">
        <f aca="false">ROW()-1</f>
        <v>4818</v>
      </c>
      <c r="I4819" s="0" t="str">
        <f aca="false">IF(OR(הגדרות!$E$6=0,H4819&gt;הגדרות!$E$5),"",IF(H4819-1&lt;הגדרות!$E$8*(הגדרות!$E$7+1),INT((H4819-1)/(הגדרות!$E$7+1)),הגדרות!$E$8+INT((H4819-1-הגדרות!$E$8*(הגדרות!$E$7+1))/הגדרות!$E$7)))</f>
        <v/>
      </c>
      <c r="J4819" s="0" t="str">
        <f aca="false">IF(I4819="","",IF(H4819-1&lt;הגדרות!$E$8*(הגדרות!$E$7+1),MOD(H4819-1,הגדרות!$E$7+1),MOD(H4819-1-הגדרות!$E$8*(הגדרות!$E$7+1),הגדרות!$E$7)))</f>
        <v/>
      </c>
      <c r="K4819" s="0" t="str">
        <f aca="false">IF(I4819="","",J4819*הגדרות!$E$6+I4819+1)</f>
        <v/>
      </c>
      <c r="L4819" s="0" t="str">
        <f aca="false">IF(K4819="","",MATCH(K4819,$F$2:$F$5001,0))</f>
        <v/>
      </c>
      <c r="M4819" s="0" t="str">
        <f aca="false">IF(I4819="","",INDEX(הגדרות!$A$2:$A$21,MOD(I4819+הגדרות!$E$9,הגדרות!$E$6)+1))</f>
        <v/>
      </c>
    </row>
    <row r="4820" customFormat="false" ht="15" hidden="false" customHeight="false" outlineLevel="0" collapsed="false">
      <c r="A4820" s="0" t="str">
        <f aca="false">IF('הדבקת לידים'!A4820="","",IF(ISNUMBER('הדבקת לידים'!A4820),IF(הגדרות!$E$2&gt;0,TEXT('הדבקת לידים'!A4820,REPT("0",הגדרות!$E$2)),TEXT('הדבקת לידים'!A4820,"0")),TRIM('הדבקת לידים'!A4820)))</f>
        <v/>
      </c>
      <c r="B4820" s="0" t="str">
        <f aca="false">IF('הדבקת לידים'!B4820="","",IF(ISNUMBER('הדבקת לידים'!B4820),IF(הגדרות!$E$3&gt;0,TEXT('הדבקת לידים'!B4820,REPT("0",הגדרות!$E$3)),TEXT('הדבקת לידים'!B4820,"0")),TRIM('הדבקת לידים'!B4820)))</f>
        <v/>
      </c>
      <c r="C4820" s="0" t="n">
        <f aca="false">IF(OR(A4820&lt;&gt;"",B4820&lt;&gt;""),1,0)</f>
        <v>0</v>
      </c>
      <c r="D4820" s="0" t="str">
        <f aca="false">IF(C4820=1,MOD(ABS(SIN(ROW()*12.9898+'הדבקת לידים'!$F$2*78.233+IFERROR(--RIGHT(A4820,6),LEN(A4820))*0.0137+IFERROR(--RIGHT(B4820,6),LEN(B4820))*0.0071))*43758.5453,1),"")</f>
        <v/>
      </c>
      <c r="E4820" s="0" t="str">
        <f aca="false">IF(C4820=1,INT(MOD(ABS(SIN(D4820*7919.123+ROW()*0.618+'הדבקת לידים'!$F$2*1.3))*43758.5453,1)*1000000)*10000+ROW(),"")</f>
        <v/>
      </c>
      <c r="F4820" s="0" t="str">
        <f aca="false">IF(E4820="","",RANK(E4820,$E$2:$E$5001,1))</f>
        <v/>
      </c>
      <c r="G4820" s="0" t="n">
        <f aca="false">IF(A4820="",0,IF(SUMPRODUCT(--($A$2:$A$5001=A4820))&gt;1,1,0))</f>
        <v>0</v>
      </c>
      <c r="H4820" s="0" t="n">
        <f aca="false">ROW()-1</f>
        <v>4819</v>
      </c>
      <c r="I4820" s="0" t="str">
        <f aca="false">IF(OR(הגדרות!$E$6=0,H4820&gt;הגדרות!$E$5),"",IF(H4820-1&lt;הגדרות!$E$8*(הגדרות!$E$7+1),INT((H4820-1)/(הגדרות!$E$7+1)),הגדרות!$E$8+INT((H4820-1-הגדרות!$E$8*(הגדרות!$E$7+1))/הגדרות!$E$7)))</f>
        <v/>
      </c>
      <c r="J4820" s="0" t="str">
        <f aca="false">IF(I4820="","",IF(H4820-1&lt;הגדרות!$E$8*(הגדרות!$E$7+1),MOD(H4820-1,הגדרות!$E$7+1),MOD(H4820-1-הגדרות!$E$8*(הגדרות!$E$7+1),הגדרות!$E$7)))</f>
        <v/>
      </c>
      <c r="K4820" s="0" t="str">
        <f aca="false">IF(I4820="","",J4820*הגדרות!$E$6+I4820+1)</f>
        <v/>
      </c>
      <c r="L4820" s="0" t="str">
        <f aca="false">IF(K4820="","",MATCH(K4820,$F$2:$F$5001,0))</f>
        <v/>
      </c>
      <c r="M4820" s="0" t="str">
        <f aca="false">IF(I4820="","",INDEX(הגדרות!$A$2:$A$21,MOD(I4820+הגדרות!$E$9,הגדרות!$E$6)+1))</f>
        <v/>
      </c>
    </row>
    <row r="4821" customFormat="false" ht="15" hidden="false" customHeight="false" outlineLevel="0" collapsed="false">
      <c r="A4821" s="0" t="str">
        <f aca="false">IF('הדבקת לידים'!A4821="","",IF(ISNUMBER('הדבקת לידים'!A4821),IF(הגדרות!$E$2&gt;0,TEXT('הדבקת לידים'!A4821,REPT("0",הגדרות!$E$2)),TEXT('הדבקת לידים'!A4821,"0")),TRIM('הדבקת לידים'!A4821)))</f>
        <v/>
      </c>
      <c r="B4821" s="0" t="str">
        <f aca="false">IF('הדבקת לידים'!B4821="","",IF(ISNUMBER('הדבקת לידים'!B4821),IF(הגדרות!$E$3&gt;0,TEXT('הדבקת לידים'!B4821,REPT("0",הגדרות!$E$3)),TEXT('הדבקת לידים'!B4821,"0")),TRIM('הדבקת לידים'!B4821)))</f>
        <v/>
      </c>
      <c r="C4821" s="0" t="n">
        <f aca="false">IF(OR(A4821&lt;&gt;"",B4821&lt;&gt;""),1,0)</f>
        <v>0</v>
      </c>
      <c r="D4821" s="0" t="str">
        <f aca="false">IF(C4821=1,MOD(ABS(SIN(ROW()*12.9898+'הדבקת לידים'!$F$2*78.233+IFERROR(--RIGHT(A4821,6),LEN(A4821))*0.0137+IFERROR(--RIGHT(B4821,6),LEN(B4821))*0.0071))*43758.5453,1),"")</f>
        <v/>
      </c>
      <c r="E4821" s="0" t="str">
        <f aca="false">IF(C4821=1,INT(MOD(ABS(SIN(D4821*7919.123+ROW()*0.618+'הדבקת לידים'!$F$2*1.3))*43758.5453,1)*1000000)*10000+ROW(),"")</f>
        <v/>
      </c>
      <c r="F4821" s="0" t="str">
        <f aca="false">IF(E4821="","",RANK(E4821,$E$2:$E$5001,1))</f>
        <v/>
      </c>
      <c r="G4821" s="0" t="n">
        <f aca="false">IF(A4821="",0,IF(SUMPRODUCT(--($A$2:$A$5001=A4821))&gt;1,1,0))</f>
        <v>0</v>
      </c>
      <c r="H4821" s="0" t="n">
        <f aca="false">ROW()-1</f>
        <v>4820</v>
      </c>
      <c r="I4821" s="0" t="str">
        <f aca="false">IF(OR(הגדרות!$E$6=0,H4821&gt;הגדרות!$E$5),"",IF(H4821-1&lt;הגדרות!$E$8*(הגדרות!$E$7+1),INT((H4821-1)/(הגדרות!$E$7+1)),הגדרות!$E$8+INT((H4821-1-הגדרות!$E$8*(הגדרות!$E$7+1))/הגדרות!$E$7)))</f>
        <v/>
      </c>
      <c r="J4821" s="0" t="str">
        <f aca="false">IF(I4821="","",IF(H4821-1&lt;הגדרות!$E$8*(הגדרות!$E$7+1),MOD(H4821-1,הגדרות!$E$7+1),MOD(H4821-1-הגדרות!$E$8*(הגדרות!$E$7+1),הגדרות!$E$7)))</f>
        <v/>
      </c>
      <c r="K4821" s="0" t="str">
        <f aca="false">IF(I4821="","",J4821*הגדרות!$E$6+I4821+1)</f>
        <v/>
      </c>
      <c r="L4821" s="0" t="str">
        <f aca="false">IF(K4821="","",MATCH(K4821,$F$2:$F$5001,0))</f>
        <v/>
      </c>
      <c r="M4821" s="0" t="str">
        <f aca="false">IF(I4821="","",INDEX(הגדרות!$A$2:$A$21,MOD(I4821+הגדרות!$E$9,הגדרות!$E$6)+1))</f>
        <v/>
      </c>
    </row>
    <row r="4822" customFormat="false" ht="15" hidden="false" customHeight="false" outlineLevel="0" collapsed="false">
      <c r="A4822" s="0" t="str">
        <f aca="false">IF('הדבקת לידים'!A4822="","",IF(ISNUMBER('הדבקת לידים'!A4822),IF(הגדרות!$E$2&gt;0,TEXT('הדבקת לידים'!A4822,REPT("0",הגדרות!$E$2)),TEXT('הדבקת לידים'!A4822,"0")),TRIM('הדבקת לידים'!A4822)))</f>
        <v/>
      </c>
      <c r="B4822" s="0" t="str">
        <f aca="false">IF('הדבקת לידים'!B4822="","",IF(ISNUMBER('הדבקת לידים'!B4822),IF(הגדרות!$E$3&gt;0,TEXT('הדבקת לידים'!B4822,REPT("0",הגדרות!$E$3)),TEXT('הדבקת לידים'!B4822,"0")),TRIM('הדבקת לידים'!B4822)))</f>
        <v/>
      </c>
      <c r="C4822" s="0" t="n">
        <f aca="false">IF(OR(A4822&lt;&gt;"",B4822&lt;&gt;""),1,0)</f>
        <v>0</v>
      </c>
      <c r="D4822" s="0" t="str">
        <f aca="false">IF(C4822=1,MOD(ABS(SIN(ROW()*12.9898+'הדבקת לידים'!$F$2*78.233+IFERROR(--RIGHT(A4822,6),LEN(A4822))*0.0137+IFERROR(--RIGHT(B4822,6),LEN(B4822))*0.0071))*43758.5453,1),"")</f>
        <v/>
      </c>
      <c r="E4822" s="0" t="str">
        <f aca="false">IF(C4822=1,INT(MOD(ABS(SIN(D4822*7919.123+ROW()*0.618+'הדבקת לידים'!$F$2*1.3))*43758.5453,1)*1000000)*10000+ROW(),"")</f>
        <v/>
      </c>
      <c r="F4822" s="0" t="str">
        <f aca="false">IF(E4822="","",RANK(E4822,$E$2:$E$5001,1))</f>
        <v/>
      </c>
      <c r="G4822" s="0" t="n">
        <f aca="false">IF(A4822="",0,IF(SUMPRODUCT(--($A$2:$A$5001=A4822))&gt;1,1,0))</f>
        <v>0</v>
      </c>
      <c r="H4822" s="0" t="n">
        <f aca="false">ROW()-1</f>
        <v>4821</v>
      </c>
      <c r="I4822" s="0" t="str">
        <f aca="false">IF(OR(הגדרות!$E$6=0,H4822&gt;הגדרות!$E$5),"",IF(H4822-1&lt;הגדרות!$E$8*(הגדרות!$E$7+1),INT((H4822-1)/(הגדרות!$E$7+1)),הגדרות!$E$8+INT((H4822-1-הגדרות!$E$8*(הגדרות!$E$7+1))/הגדרות!$E$7)))</f>
        <v/>
      </c>
      <c r="J4822" s="0" t="str">
        <f aca="false">IF(I4822="","",IF(H4822-1&lt;הגדרות!$E$8*(הגדרות!$E$7+1),MOD(H4822-1,הגדרות!$E$7+1),MOD(H4822-1-הגדרות!$E$8*(הגדרות!$E$7+1),הגדרות!$E$7)))</f>
        <v/>
      </c>
      <c r="K4822" s="0" t="str">
        <f aca="false">IF(I4822="","",J4822*הגדרות!$E$6+I4822+1)</f>
        <v/>
      </c>
      <c r="L4822" s="0" t="str">
        <f aca="false">IF(K4822="","",MATCH(K4822,$F$2:$F$5001,0))</f>
        <v/>
      </c>
      <c r="M4822" s="0" t="str">
        <f aca="false">IF(I4822="","",INDEX(הגדרות!$A$2:$A$21,MOD(I4822+הגדרות!$E$9,הגדרות!$E$6)+1))</f>
        <v/>
      </c>
    </row>
    <row r="4823" customFormat="false" ht="15" hidden="false" customHeight="false" outlineLevel="0" collapsed="false">
      <c r="A4823" s="0" t="str">
        <f aca="false">IF('הדבקת לידים'!A4823="","",IF(ISNUMBER('הדבקת לידים'!A4823),IF(הגדרות!$E$2&gt;0,TEXT('הדבקת לידים'!A4823,REPT("0",הגדרות!$E$2)),TEXT('הדבקת לידים'!A4823,"0")),TRIM('הדבקת לידים'!A4823)))</f>
        <v/>
      </c>
      <c r="B4823" s="0" t="str">
        <f aca="false">IF('הדבקת לידים'!B4823="","",IF(ISNUMBER('הדבקת לידים'!B4823),IF(הגדרות!$E$3&gt;0,TEXT('הדבקת לידים'!B4823,REPT("0",הגדרות!$E$3)),TEXT('הדבקת לידים'!B4823,"0")),TRIM('הדבקת לידים'!B4823)))</f>
        <v/>
      </c>
      <c r="C4823" s="0" t="n">
        <f aca="false">IF(OR(A4823&lt;&gt;"",B4823&lt;&gt;""),1,0)</f>
        <v>0</v>
      </c>
      <c r="D4823" s="0" t="str">
        <f aca="false">IF(C4823=1,MOD(ABS(SIN(ROW()*12.9898+'הדבקת לידים'!$F$2*78.233+IFERROR(--RIGHT(A4823,6),LEN(A4823))*0.0137+IFERROR(--RIGHT(B4823,6),LEN(B4823))*0.0071))*43758.5453,1),"")</f>
        <v/>
      </c>
      <c r="E4823" s="0" t="str">
        <f aca="false">IF(C4823=1,INT(MOD(ABS(SIN(D4823*7919.123+ROW()*0.618+'הדבקת לידים'!$F$2*1.3))*43758.5453,1)*1000000)*10000+ROW(),"")</f>
        <v/>
      </c>
      <c r="F4823" s="0" t="str">
        <f aca="false">IF(E4823="","",RANK(E4823,$E$2:$E$5001,1))</f>
        <v/>
      </c>
      <c r="G4823" s="0" t="n">
        <f aca="false">IF(A4823="",0,IF(SUMPRODUCT(--($A$2:$A$5001=A4823))&gt;1,1,0))</f>
        <v>0</v>
      </c>
      <c r="H4823" s="0" t="n">
        <f aca="false">ROW()-1</f>
        <v>4822</v>
      </c>
      <c r="I4823" s="0" t="str">
        <f aca="false">IF(OR(הגדרות!$E$6=0,H4823&gt;הגדרות!$E$5),"",IF(H4823-1&lt;הגדרות!$E$8*(הגדרות!$E$7+1),INT((H4823-1)/(הגדרות!$E$7+1)),הגדרות!$E$8+INT((H4823-1-הגדרות!$E$8*(הגדרות!$E$7+1))/הגדרות!$E$7)))</f>
        <v/>
      </c>
      <c r="J4823" s="0" t="str">
        <f aca="false">IF(I4823="","",IF(H4823-1&lt;הגדרות!$E$8*(הגדרות!$E$7+1),MOD(H4823-1,הגדרות!$E$7+1),MOD(H4823-1-הגדרות!$E$8*(הגדרות!$E$7+1),הגדרות!$E$7)))</f>
        <v/>
      </c>
      <c r="K4823" s="0" t="str">
        <f aca="false">IF(I4823="","",J4823*הגדרות!$E$6+I4823+1)</f>
        <v/>
      </c>
      <c r="L4823" s="0" t="str">
        <f aca="false">IF(K4823="","",MATCH(K4823,$F$2:$F$5001,0))</f>
        <v/>
      </c>
      <c r="M4823" s="0" t="str">
        <f aca="false">IF(I4823="","",INDEX(הגדרות!$A$2:$A$21,MOD(I4823+הגדרות!$E$9,הגדרות!$E$6)+1))</f>
        <v/>
      </c>
    </row>
    <row r="4824" customFormat="false" ht="15" hidden="false" customHeight="false" outlineLevel="0" collapsed="false">
      <c r="A4824" s="0" t="str">
        <f aca="false">IF('הדבקת לידים'!A4824="","",IF(ISNUMBER('הדבקת לידים'!A4824),IF(הגדרות!$E$2&gt;0,TEXT('הדבקת לידים'!A4824,REPT("0",הגדרות!$E$2)),TEXT('הדבקת לידים'!A4824,"0")),TRIM('הדבקת לידים'!A4824)))</f>
        <v/>
      </c>
      <c r="B4824" s="0" t="str">
        <f aca="false">IF('הדבקת לידים'!B4824="","",IF(ISNUMBER('הדבקת לידים'!B4824),IF(הגדרות!$E$3&gt;0,TEXT('הדבקת לידים'!B4824,REPT("0",הגדרות!$E$3)),TEXT('הדבקת לידים'!B4824,"0")),TRIM('הדבקת לידים'!B4824)))</f>
        <v/>
      </c>
      <c r="C4824" s="0" t="n">
        <f aca="false">IF(OR(A4824&lt;&gt;"",B4824&lt;&gt;""),1,0)</f>
        <v>0</v>
      </c>
      <c r="D4824" s="0" t="str">
        <f aca="false">IF(C4824=1,MOD(ABS(SIN(ROW()*12.9898+'הדבקת לידים'!$F$2*78.233+IFERROR(--RIGHT(A4824,6),LEN(A4824))*0.0137+IFERROR(--RIGHT(B4824,6),LEN(B4824))*0.0071))*43758.5453,1),"")</f>
        <v/>
      </c>
      <c r="E4824" s="0" t="str">
        <f aca="false">IF(C4824=1,INT(MOD(ABS(SIN(D4824*7919.123+ROW()*0.618+'הדבקת לידים'!$F$2*1.3))*43758.5453,1)*1000000)*10000+ROW(),"")</f>
        <v/>
      </c>
      <c r="F4824" s="0" t="str">
        <f aca="false">IF(E4824="","",RANK(E4824,$E$2:$E$5001,1))</f>
        <v/>
      </c>
      <c r="G4824" s="0" t="n">
        <f aca="false">IF(A4824="",0,IF(SUMPRODUCT(--($A$2:$A$5001=A4824))&gt;1,1,0))</f>
        <v>0</v>
      </c>
      <c r="H4824" s="0" t="n">
        <f aca="false">ROW()-1</f>
        <v>4823</v>
      </c>
      <c r="I4824" s="0" t="str">
        <f aca="false">IF(OR(הגדרות!$E$6=0,H4824&gt;הגדרות!$E$5),"",IF(H4824-1&lt;הגדרות!$E$8*(הגדרות!$E$7+1),INT((H4824-1)/(הגדרות!$E$7+1)),הגדרות!$E$8+INT((H4824-1-הגדרות!$E$8*(הגדרות!$E$7+1))/הגדרות!$E$7)))</f>
        <v/>
      </c>
      <c r="J4824" s="0" t="str">
        <f aca="false">IF(I4824="","",IF(H4824-1&lt;הגדרות!$E$8*(הגדרות!$E$7+1),MOD(H4824-1,הגדרות!$E$7+1),MOD(H4824-1-הגדרות!$E$8*(הגדרות!$E$7+1),הגדרות!$E$7)))</f>
        <v/>
      </c>
      <c r="K4824" s="0" t="str">
        <f aca="false">IF(I4824="","",J4824*הגדרות!$E$6+I4824+1)</f>
        <v/>
      </c>
      <c r="L4824" s="0" t="str">
        <f aca="false">IF(K4824="","",MATCH(K4824,$F$2:$F$5001,0))</f>
        <v/>
      </c>
      <c r="M4824" s="0" t="str">
        <f aca="false">IF(I4824="","",INDEX(הגדרות!$A$2:$A$21,MOD(I4824+הגדרות!$E$9,הגדרות!$E$6)+1))</f>
        <v/>
      </c>
    </row>
    <row r="4825" customFormat="false" ht="15" hidden="false" customHeight="false" outlineLevel="0" collapsed="false">
      <c r="A4825" s="0" t="str">
        <f aca="false">IF('הדבקת לידים'!A4825="","",IF(ISNUMBER('הדבקת לידים'!A4825),IF(הגדרות!$E$2&gt;0,TEXT('הדבקת לידים'!A4825,REPT("0",הגדרות!$E$2)),TEXT('הדבקת לידים'!A4825,"0")),TRIM('הדבקת לידים'!A4825)))</f>
        <v/>
      </c>
      <c r="B4825" s="0" t="str">
        <f aca="false">IF('הדבקת לידים'!B4825="","",IF(ISNUMBER('הדבקת לידים'!B4825),IF(הגדרות!$E$3&gt;0,TEXT('הדבקת לידים'!B4825,REPT("0",הגדרות!$E$3)),TEXT('הדבקת לידים'!B4825,"0")),TRIM('הדבקת לידים'!B4825)))</f>
        <v/>
      </c>
      <c r="C4825" s="0" t="n">
        <f aca="false">IF(OR(A4825&lt;&gt;"",B4825&lt;&gt;""),1,0)</f>
        <v>0</v>
      </c>
      <c r="D4825" s="0" t="str">
        <f aca="false">IF(C4825=1,MOD(ABS(SIN(ROW()*12.9898+'הדבקת לידים'!$F$2*78.233+IFERROR(--RIGHT(A4825,6),LEN(A4825))*0.0137+IFERROR(--RIGHT(B4825,6),LEN(B4825))*0.0071))*43758.5453,1),"")</f>
        <v/>
      </c>
      <c r="E4825" s="0" t="str">
        <f aca="false">IF(C4825=1,INT(MOD(ABS(SIN(D4825*7919.123+ROW()*0.618+'הדבקת לידים'!$F$2*1.3))*43758.5453,1)*1000000)*10000+ROW(),"")</f>
        <v/>
      </c>
      <c r="F4825" s="0" t="str">
        <f aca="false">IF(E4825="","",RANK(E4825,$E$2:$E$5001,1))</f>
        <v/>
      </c>
      <c r="G4825" s="0" t="n">
        <f aca="false">IF(A4825="",0,IF(SUMPRODUCT(--($A$2:$A$5001=A4825))&gt;1,1,0))</f>
        <v>0</v>
      </c>
      <c r="H4825" s="0" t="n">
        <f aca="false">ROW()-1</f>
        <v>4824</v>
      </c>
      <c r="I4825" s="0" t="str">
        <f aca="false">IF(OR(הגדרות!$E$6=0,H4825&gt;הגדרות!$E$5),"",IF(H4825-1&lt;הגדרות!$E$8*(הגדרות!$E$7+1),INT((H4825-1)/(הגדרות!$E$7+1)),הגדרות!$E$8+INT((H4825-1-הגדרות!$E$8*(הגדרות!$E$7+1))/הגדרות!$E$7)))</f>
        <v/>
      </c>
      <c r="J4825" s="0" t="str">
        <f aca="false">IF(I4825="","",IF(H4825-1&lt;הגדרות!$E$8*(הגדרות!$E$7+1),MOD(H4825-1,הגדרות!$E$7+1),MOD(H4825-1-הגדרות!$E$8*(הגדרות!$E$7+1),הגדרות!$E$7)))</f>
        <v/>
      </c>
      <c r="K4825" s="0" t="str">
        <f aca="false">IF(I4825="","",J4825*הגדרות!$E$6+I4825+1)</f>
        <v/>
      </c>
      <c r="L4825" s="0" t="str">
        <f aca="false">IF(K4825="","",MATCH(K4825,$F$2:$F$5001,0))</f>
        <v/>
      </c>
      <c r="M4825" s="0" t="str">
        <f aca="false">IF(I4825="","",INDEX(הגדרות!$A$2:$A$21,MOD(I4825+הגדרות!$E$9,הגדרות!$E$6)+1))</f>
        <v/>
      </c>
    </row>
    <row r="4826" customFormat="false" ht="15" hidden="false" customHeight="false" outlineLevel="0" collapsed="false">
      <c r="A4826" s="0" t="str">
        <f aca="false">IF('הדבקת לידים'!A4826="","",IF(ISNUMBER('הדבקת לידים'!A4826),IF(הגדרות!$E$2&gt;0,TEXT('הדבקת לידים'!A4826,REPT("0",הגדרות!$E$2)),TEXT('הדבקת לידים'!A4826,"0")),TRIM('הדבקת לידים'!A4826)))</f>
        <v/>
      </c>
      <c r="B4826" s="0" t="str">
        <f aca="false">IF('הדבקת לידים'!B4826="","",IF(ISNUMBER('הדבקת לידים'!B4826),IF(הגדרות!$E$3&gt;0,TEXT('הדבקת לידים'!B4826,REPT("0",הגדרות!$E$3)),TEXT('הדבקת לידים'!B4826,"0")),TRIM('הדבקת לידים'!B4826)))</f>
        <v/>
      </c>
      <c r="C4826" s="0" t="n">
        <f aca="false">IF(OR(A4826&lt;&gt;"",B4826&lt;&gt;""),1,0)</f>
        <v>0</v>
      </c>
      <c r="D4826" s="0" t="str">
        <f aca="false">IF(C4826=1,MOD(ABS(SIN(ROW()*12.9898+'הדבקת לידים'!$F$2*78.233+IFERROR(--RIGHT(A4826,6),LEN(A4826))*0.0137+IFERROR(--RIGHT(B4826,6),LEN(B4826))*0.0071))*43758.5453,1),"")</f>
        <v/>
      </c>
      <c r="E4826" s="0" t="str">
        <f aca="false">IF(C4826=1,INT(MOD(ABS(SIN(D4826*7919.123+ROW()*0.618+'הדבקת לידים'!$F$2*1.3))*43758.5453,1)*1000000)*10000+ROW(),"")</f>
        <v/>
      </c>
      <c r="F4826" s="0" t="str">
        <f aca="false">IF(E4826="","",RANK(E4826,$E$2:$E$5001,1))</f>
        <v/>
      </c>
      <c r="G4826" s="0" t="n">
        <f aca="false">IF(A4826="",0,IF(SUMPRODUCT(--($A$2:$A$5001=A4826))&gt;1,1,0))</f>
        <v>0</v>
      </c>
      <c r="H4826" s="0" t="n">
        <f aca="false">ROW()-1</f>
        <v>4825</v>
      </c>
      <c r="I4826" s="0" t="str">
        <f aca="false">IF(OR(הגדרות!$E$6=0,H4826&gt;הגדרות!$E$5),"",IF(H4826-1&lt;הגדרות!$E$8*(הגדרות!$E$7+1),INT((H4826-1)/(הגדרות!$E$7+1)),הגדרות!$E$8+INT((H4826-1-הגדרות!$E$8*(הגדרות!$E$7+1))/הגדרות!$E$7)))</f>
        <v/>
      </c>
      <c r="J4826" s="0" t="str">
        <f aca="false">IF(I4826="","",IF(H4826-1&lt;הגדרות!$E$8*(הגדרות!$E$7+1),MOD(H4826-1,הגדרות!$E$7+1),MOD(H4826-1-הגדרות!$E$8*(הגדרות!$E$7+1),הגדרות!$E$7)))</f>
        <v/>
      </c>
      <c r="K4826" s="0" t="str">
        <f aca="false">IF(I4826="","",J4826*הגדרות!$E$6+I4826+1)</f>
        <v/>
      </c>
      <c r="L4826" s="0" t="str">
        <f aca="false">IF(K4826="","",MATCH(K4826,$F$2:$F$5001,0))</f>
        <v/>
      </c>
      <c r="M4826" s="0" t="str">
        <f aca="false">IF(I4826="","",INDEX(הגדרות!$A$2:$A$21,MOD(I4826+הגדרות!$E$9,הגדרות!$E$6)+1))</f>
        <v/>
      </c>
    </row>
    <row r="4827" customFormat="false" ht="15" hidden="false" customHeight="false" outlineLevel="0" collapsed="false">
      <c r="A4827" s="0" t="str">
        <f aca="false">IF('הדבקת לידים'!A4827="","",IF(ISNUMBER('הדבקת לידים'!A4827),IF(הגדרות!$E$2&gt;0,TEXT('הדבקת לידים'!A4827,REPT("0",הגדרות!$E$2)),TEXT('הדבקת לידים'!A4827,"0")),TRIM('הדבקת לידים'!A4827)))</f>
        <v/>
      </c>
      <c r="B4827" s="0" t="str">
        <f aca="false">IF('הדבקת לידים'!B4827="","",IF(ISNUMBER('הדבקת לידים'!B4827),IF(הגדרות!$E$3&gt;0,TEXT('הדבקת לידים'!B4827,REPT("0",הגדרות!$E$3)),TEXT('הדבקת לידים'!B4827,"0")),TRIM('הדבקת לידים'!B4827)))</f>
        <v/>
      </c>
      <c r="C4827" s="0" t="n">
        <f aca="false">IF(OR(A4827&lt;&gt;"",B4827&lt;&gt;""),1,0)</f>
        <v>0</v>
      </c>
      <c r="D4827" s="0" t="str">
        <f aca="false">IF(C4827=1,MOD(ABS(SIN(ROW()*12.9898+'הדבקת לידים'!$F$2*78.233+IFERROR(--RIGHT(A4827,6),LEN(A4827))*0.0137+IFERROR(--RIGHT(B4827,6),LEN(B4827))*0.0071))*43758.5453,1),"")</f>
        <v/>
      </c>
      <c r="E4827" s="0" t="str">
        <f aca="false">IF(C4827=1,INT(MOD(ABS(SIN(D4827*7919.123+ROW()*0.618+'הדבקת לידים'!$F$2*1.3))*43758.5453,1)*1000000)*10000+ROW(),"")</f>
        <v/>
      </c>
      <c r="F4827" s="0" t="str">
        <f aca="false">IF(E4827="","",RANK(E4827,$E$2:$E$5001,1))</f>
        <v/>
      </c>
      <c r="G4827" s="0" t="n">
        <f aca="false">IF(A4827="",0,IF(SUMPRODUCT(--($A$2:$A$5001=A4827))&gt;1,1,0))</f>
        <v>0</v>
      </c>
      <c r="H4827" s="0" t="n">
        <f aca="false">ROW()-1</f>
        <v>4826</v>
      </c>
      <c r="I4827" s="0" t="str">
        <f aca="false">IF(OR(הגדרות!$E$6=0,H4827&gt;הגדרות!$E$5),"",IF(H4827-1&lt;הגדרות!$E$8*(הגדרות!$E$7+1),INT((H4827-1)/(הגדרות!$E$7+1)),הגדרות!$E$8+INT((H4827-1-הגדרות!$E$8*(הגדרות!$E$7+1))/הגדרות!$E$7)))</f>
        <v/>
      </c>
      <c r="J4827" s="0" t="str">
        <f aca="false">IF(I4827="","",IF(H4827-1&lt;הגדרות!$E$8*(הגדרות!$E$7+1),MOD(H4827-1,הגדרות!$E$7+1),MOD(H4827-1-הגדרות!$E$8*(הגדרות!$E$7+1),הגדרות!$E$7)))</f>
        <v/>
      </c>
      <c r="K4827" s="0" t="str">
        <f aca="false">IF(I4827="","",J4827*הגדרות!$E$6+I4827+1)</f>
        <v/>
      </c>
      <c r="L4827" s="0" t="str">
        <f aca="false">IF(K4827="","",MATCH(K4827,$F$2:$F$5001,0))</f>
        <v/>
      </c>
      <c r="M4827" s="0" t="str">
        <f aca="false">IF(I4827="","",INDEX(הגדרות!$A$2:$A$21,MOD(I4827+הגדרות!$E$9,הגדרות!$E$6)+1))</f>
        <v/>
      </c>
    </row>
    <row r="4828" customFormat="false" ht="15" hidden="false" customHeight="false" outlineLevel="0" collapsed="false">
      <c r="A4828" s="0" t="str">
        <f aca="false">IF('הדבקת לידים'!A4828="","",IF(ISNUMBER('הדבקת לידים'!A4828),IF(הגדרות!$E$2&gt;0,TEXT('הדבקת לידים'!A4828,REPT("0",הגדרות!$E$2)),TEXT('הדבקת לידים'!A4828,"0")),TRIM('הדבקת לידים'!A4828)))</f>
        <v/>
      </c>
      <c r="B4828" s="0" t="str">
        <f aca="false">IF('הדבקת לידים'!B4828="","",IF(ISNUMBER('הדבקת לידים'!B4828),IF(הגדרות!$E$3&gt;0,TEXT('הדבקת לידים'!B4828,REPT("0",הגדרות!$E$3)),TEXT('הדבקת לידים'!B4828,"0")),TRIM('הדבקת לידים'!B4828)))</f>
        <v/>
      </c>
      <c r="C4828" s="0" t="n">
        <f aca="false">IF(OR(A4828&lt;&gt;"",B4828&lt;&gt;""),1,0)</f>
        <v>0</v>
      </c>
      <c r="D4828" s="0" t="str">
        <f aca="false">IF(C4828=1,MOD(ABS(SIN(ROW()*12.9898+'הדבקת לידים'!$F$2*78.233+IFERROR(--RIGHT(A4828,6),LEN(A4828))*0.0137+IFERROR(--RIGHT(B4828,6),LEN(B4828))*0.0071))*43758.5453,1),"")</f>
        <v/>
      </c>
      <c r="E4828" s="0" t="str">
        <f aca="false">IF(C4828=1,INT(MOD(ABS(SIN(D4828*7919.123+ROW()*0.618+'הדבקת לידים'!$F$2*1.3))*43758.5453,1)*1000000)*10000+ROW(),"")</f>
        <v/>
      </c>
      <c r="F4828" s="0" t="str">
        <f aca="false">IF(E4828="","",RANK(E4828,$E$2:$E$5001,1))</f>
        <v/>
      </c>
      <c r="G4828" s="0" t="n">
        <f aca="false">IF(A4828="",0,IF(SUMPRODUCT(--($A$2:$A$5001=A4828))&gt;1,1,0))</f>
        <v>0</v>
      </c>
      <c r="H4828" s="0" t="n">
        <f aca="false">ROW()-1</f>
        <v>4827</v>
      </c>
      <c r="I4828" s="0" t="str">
        <f aca="false">IF(OR(הגדרות!$E$6=0,H4828&gt;הגדרות!$E$5),"",IF(H4828-1&lt;הגדרות!$E$8*(הגדרות!$E$7+1),INT((H4828-1)/(הגדרות!$E$7+1)),הגדרות!$E$8+INT((H4828-1-הגדרות!$E$8*(הגדרות!$E$7+1))/הגדרות!$E$7)))</f>
        <v/>
      </c>
      <c r="J4828" s="0" t="str">
        <f aca="false">IF(I4828="","",IF(H4828-1&lt;הגדרות!$E$8*(הגדרות!$E$7+1),MOD(H4828-1,הגדרות!$E$7+1),MOD(H4828-1-הגדרות!$E$8*(הגדרות!$E$7+1),הגדרות!$E$7)))</f>
        <v/>
      </c>
      <c r="K4828" s="0" t="str">
        <f aca="false">IF(I4828="","",J4828*הגדרות!$E$6+I4828+1)</f>
        <v/>
      </c>
      <c r="L4828" s="0" t="str">
        <f aca="false">IF(K4828="","",MATCH(K4828,$F$2:$F$5001,0))</f>
        <v/>
      </c>
      <c r="M4828" s="0" t="str">
        <f aca="false">IF(I4828="","",INDEX(הגדרות!$A$2:$A$21,MOD(I4828+הגדרות!$E$9,הגדרות!$E$6)+1))</f>
        <v/>
      </c>
    </row>
    <row r="4829" customFormat="false" ht="15" hidden="false" customHeight="false" outlineLevel="0" collapsed="false">
      <c r="A4829" s="0" t="str">
        <f aca="false">IF('הדבקת לידים'!A4829="","",IF(ISNUMBER('הדבקת לידים'!A4829),IF(הגדרות!$E$2&gt;0,TEXT('הדבקת לידים'!A4829,REPT("0",הגדרות!$E$2)),TEXT('הדבקת לידים'!A4829,"0")),TRIM('הדבקת לידים'!A4829)))</f>
        <v/>
      </c>
      <c r="B4829" s="0" t="str">
        <f aca="false">IF('הדבקת לידים'!B4829="","",IF(ISNUMBER('הדבקת לידים'!B4829),IF(הגדרות!$E$3&gt;0,TEXT('הדבקת לידים'!B4829,REPT("0",הגדרות!$E$3)),TEXT('הדבקת לידים'!B4829,"0")),TRIM('הדבקת לידים'!B4829)))</f>
        <v/>
      </c>
      <c r="C4829" s="0" t="n">
        <f aca="false">IF(OR(A4829&lt;&gt;"",B4829&lt;&gt;""),1,0)</f>
        <v>0</v>
      </c>
      <c r="D4829" s="0" t="str">
        <f aca="false">IF(C4829=1,MOD(ABS(SIN(ROW()*12.9898+'הדבקת לידים'!$F$2*78.233+IFERROR(--RIGHT(A4829,6),LEN(A4829))*0.0137+IFERROR(--RIGHT(B4829,6),LEN(B4829))*0.0071))*43758.5453,1),"")</f>
        <v/>
      </c>
      <c r="E4829" s="0" t="str">
        <f aca="false">IF(C4829=1,INT(MOD(ABS(SIN(D4829*7919.123+ROW()*0.618+'הדבקת לידים'!$F$2*1.3))*43758.5453,1)*1000000)*10000+ROW(),"")</f>
        <v/>
      </c>
      <c r="F4829" s="0" t="str">
        <f aca="false">IF(E4829="","",RANK(E4829,$E$2:$E$5001,1))</f>
        <v/>
      </c>
      <c r="G4829" s="0" t="n">
        <f aca="false">IF(A4829="",0,IF(SUMPRODUCT(--($A$2:$A$5001=A4829))&gt;1,1,0))</f>
        <v>0</v>
      </c>
      <c r="H4829" s="0" t="n">
        <f aca="false">ROW()-1</f>
        <v>4828</v>
      </c>
      <c r="I4829" s="0" t="str">
        <f aca="false">IF(OR(הגדרות!$E$6=0,H4829&gt;הגדרות!$E$5),"",IF(H4829-1&lt;הגדרות!$E$8*(הגדרות!$E$7+1),INT((H4829-1)/(הגדרות!$E$7+1)),הגדרות!$E$8+INT((H4829-1-הגדרות!$E$8*(הגדרות!$E$7+1))/הגדרות!$E$7)))</f>
        <v/>
      </c>
      <c r="J4829" s="0" t="str">
        <f aca="false">IF(I4829="","",IF(H4829-1&lt;הגדרות!$E$8*(הגדרות!$E$7+1),MOD(H4829-1,הגדרות!$E$7+1),MOD(H4829-1-הגדרות!$E$8*(הגדרות!$E$7+1),הגדרות!$E$7)))</f>
        <v/>
      </c>
      <c r="K4829" s="0" t="str">
        <f aca="false">IF(I4829="","",J4829*הגדרות!$E$6+I4829+1)</f>
        <v/>
      </c>
      <c r="L4829" s="0" t="str">
        <f aca="false">IF(K4829="","",MATCH(K4829,$F$2:$F$5001,0))</f>
        <v/>
      </c>
      <c r="M4829" s="0" t="str">
        <f aca="false">IF(I4829="","",INDEX(הגדרות!$A$2:$A$21,MOD(I4829+הגדרות!$E$9,הגדרות!$E$6)+1))</f>
        <v/>
      </c>
    </row>
    <row r="4830" customFormat="false" ht="15" hidden="false" customHeight="false" outlineLevel="0" collapsed="false">
      <c r="A4830" s="0" t="str">
        <f aca="false">IF('הדבקת לידים'!A4830="","",IF(ISNUMBER('הדבקת לידים'!A4830),IF(הגדרות!$E$2&gt;0,TEXT('הדבקת לידים'!A4830,REPT("0",הגדרות!$E$2)),TEXT('הדבקת לידים'!A4830,"0")),TRIM('הדבקת לידים'!A4830)))</f>
        <v/>
      </c>
      <c r="B4830" s="0" t="str">
        <f aca="false">IF('הדבקת לידים'!B4830="","",IF(ISNUMBER('הדבקת לידים'!B4830),IF(הגדרות!$E$3&gt;0,TEXT('הדבקת לידים'!B4830,REPT("0",הגדרות!$E$3)),TEXT('הדבקת לידים'!B4830,"0")),TRIM('הדבקת לידים'!B4830)))</f>
        <v/>
      </c>
      <c r="C4830" s="0" t="n">
        <f aca="false">IF(OR(A4830&lt;&gt;"",B4830&lt;&gt;""),1,0)</f>
        <v>0</v>
      </c>
      <c r="D4830" s="0" t="str">
        <f aca="false">IF(C4830=1,MOD(ABS(SIN(ROW()*12.9898+'הדבקת לידים'!$F$2*78.233+IFERROR(--RIGHT(A4830,6),LEN(A4830))*0.0137+IFERROR(--RIGHT(B4830,6),LEN(B4830))*0.0071))*43758.5453,1),"")</f>
        <v/>
      </c>
      <c r="E4830" s="0" t="str">
        <f aca="false">IF(C4830=1,INT(MOD(ABS(SIN(D4830*7919.123+ROW()*0.618+'הדבקת לידים'!$F$2*1.3))*43758.5453,1)*1000000)*10000+ROW(),"")</f>
        <v/>
      </c>
      <c r="F4830" s="0" t="str">
        <f aca="false">IF(E4830="","",RANK(E4830,$E$2:$E$5001,1))</f>
        <v/>
      </c>
      <c r="G4830" s="0" t="n">
        <f aca="false">IF(A4830="",0,IF(SUMPRODUCT(--($A$2:$A$5001=A4830))&gt;1,1,0))</f>
        <v>0</v>
      </c>
      <c r="H4830" s="0" t="n">
        <f aca="false">ROW()-1</f>
        <v>4829</v>
      </c>
      <c r="I4830" s="0" t="str">
        <f aca="false">IF(OR(הגדרות!$E$6=0,H4830&gt;הגדרות!$E$5),"",IF(H4830-1&lt;הגדרות!$E$8*(הגדרות!$E$7+1),INT((H4830-1)/(הגדרות!$E$7+1)),הגדרות!$E$8+INT((H4830-1-הגדרות!$E$8*(הגדרות!$E$7+1))/הגדרות!$E$7)))</f>
        <v/>
      </c>
      <c r="J4830" s="0" t="str">
        <f aca="false">IF(I4830="","",IF(H4830-1&lt;הגדרות!$E$8*(הגדרות!$E$7+1),MOD(H4830-1,הגדרות!$E$7+1),MOD(H4830-1-הגדרות!$E$8*(הגדרות!$E$7+1),הגדרות!$E$7)))</f>
        <v/>
      </c>
      <c r="K4830" s="0" t="str">
        <f aca="false">IF(I4830="","",J4830*הגדרות!$E$6+I4830+1)</f>
        <v/>
      </c>
      <c r="L4830" s="0" t="str">
        <f aca="false">IF(K4830="","",MATCH(K4830,$F$2:$F$5001,0))</f>
        <v/>
      </c>
      <c r="M4830" s="0" t="str">
        <f aca="false">IF(I4830="","",INDEX(הגדרות!$A$2:$A$21,MOD(I4830+הגדרות!$E$9,הגדרות!$E$6)+1))</f>
        <v/>
      </c>
    </row>
    <row r="4831" customFormat="false" ht="15" hidden="false" customHeight="false" outlineLevel="0" collapsed="false">
      <c r="A4831" s="0" t="str">
        <f aca="false">IF('הדבקת לידים'!A4831="","",IF(ISNUMBER('הדבקת לידים'!A4831),IF(הגדרות!$E$2&gt;0,TEXT('הדבקת לידים'!A4831,REPT("0",הגדרות!$E$2)),TEXT('הדבקת לידים'!A4831,"0")),TRIM('הדבקת לידים'!A4831)))</f>
        <v/>
      </c>
      <c r="B4831" s="0" t="str">
        <f aca="false">IF('הדבקת לידים'!B4831="","",IF(ISNUMBER('הדבקת לידים'!B4831),IF(הגדרות!$E$3&gt;0,TEXT('הדבקת לידים'!B4831,REPT("0",הגדרות!$E$3)),TEXT('הדבקת לידים'!B4831,"0")),TRIM('הדבקת לידים'!B4831)))</f>
        <v/>
      </c>
      <c r="C4831" s="0" t="n">
        <f aca="false">IF(OR(A4831&lt;&gt;"",B4831&lt;&gt;""),1,0)</f>
        <v>0</v>
      </c>
      <c r="D4831" s="0" t="str">
        <f aca="false">IF(C4831=1,MOD(ABS(SIN(ROW()*12.9898+'הדבקת לידים'!$F$2*78.233+IFERROR(--RIGHT(A4831,6),LEN(A4831))*0.0137+IFERROR(--RIGHT(B4831,6),LEN(B4831))*0.0071))*43758.5453,1),"")</f>
        <v/>
      </c>
      <c r="E4831" s="0" t="str">
        <f aca="false">IF(C4831=1,INT(MOD(ABS(SIN(D4831*7919.123+ROW()*0.618+'הדבקת לידים'!$F$2*1.3))*43758.5453,1)*1000000)*10000+ROW(),"")</f>
        <v/>
      </c>
      <c r="F4831" s="0" t="str">
        <f aca="false">IF(E4831="","",RANK(E4831,$E$2:$E$5001,1))</f>
        <v/>
      </c>
      <c r="G4831" s="0" t="n">
        <f aca="false">IF(A4831="",0,IF(SUMPRODUCT(--($A$2:$A$5001=A4831))&gt;1,1,0))</f>
        <v>0</v>
      </c>
      <c r="H4831" s="0" t="n">
        <f aca="false">ROW()-1</f>
        <v>4830</v>
      </c>
      <c r="I4831" s="0" t="str">
        <f aca="false">IF(OR(הגדרות!$E$6=0,H4831&gt;הגדרות!$E$5),"",IF(H4831-1&lt;הגדרות!$E$8*(הגדרות!$E$7+1),INT((H4831-1)/(הגדרות!$E$7+1)),הגדרות!$E$8+INT((H4831-1-הגדרות!$E$8*(הגדרות!$E$7+1))/הגדרות!$E$7)))</f>
        <v/>
      </c>
      <c r="J4831" s="0" t="str">
        <f aca="false">IF(I4831="","",IF(H4831-1&lt;הגדרות!$E$8*(הגדרות!$E$7+1),MOD(H4831-1,הגדרות!$E$7+1),MOD(H4831-1-הגדרות!$E$8*(הגדרות!$E$7+1),הגדרות!$E$7)))</f>
        <v/>
      </c>
      <c r="K4831" s="0" t="str">
        <f aca="false">IF(I4831="","",J4831*הגדרות!$E$6+I4831+1)</f>
        <v/>
      </c>
      <c r="L4831" s="0" t="str">
        <f aca="false">IF(K4831="","",MATCH(K4831,$F$2:$F$5001,0))</f>
        <v/>
      </c>
      <c r="M4831" s="0" t="str">
        <f aca="false">IF(I4831="","",INDEX(הגדרות!$A$2:$A$21,MOD(I4831+הגדרות!$E$9,הגדרות!$E$6)+1))</f>
        <v/>
      </c>
    </row>
    <row r="4832" customFormat="false" ht="15" hidden="false" customHeight="false" outlineLevel="0" collapsed="false">
      <c r="A4832" s="0" t="str">
        <f aca="false">IF('הדבקת לידים'!A4832="","",IF(ISNUMBER('הדבקת לידים'!A4832),IF(הגדרות!$E$2&gt;0,TEXT('הדבקת לידים'!A4832,REPT("0",הגדרות!$E$2)),TEXT('הדבקת לידים'!A4832,"0")),TRIM('הדבקת לידים'!A4832)))</f>
        <v/>
      </c>
      <c r="B4832" s="0" t="str">
        <f aca="false">IF('הדבקת לידים'!B4832="","",IF(ISNUMBER('הדבקת לידים'!B4832),IF(הגדרות!$E$3&gt;0,TEXT('הדבקת לידים'!B4832,REPT("0",הגדרות!$E$3)),TEXT('הדבקת לידים'!B4832,"0")),TRIM('הדבקת לידים'!B4832)))</f>
        <v/>
      </c>
      <c r="C4832" s="0" t="n">
        <f aca="false">IF(OR(A4832&lt;&gt;"",B4832&lt;&gt;""),1,0)</f>
        <v>0</v>
      </c>
      <c r="D4832" s="0" t="str">
        <f aca="false">IF(C4832=1,MOD(ABS(SIN(ROW()*12.9898+'הדבקת לידים'!$F$2*78.233+IFERROR(--RIGHT(A4832,6),LEN(A4832))*0.0137+IFERROR(--RIGHT(B4832,6),LEN(B4832))*0.0071))*43758.5453,1),"")</f>
        <v/>
      </c>
      <c r="E4832" s="0" t="str">
        <f aca="false">IF(C4832=1,INT(MOD(ABS(SIN(D4832*7919.123+ROW()*0.618+'הדבקת לידים'!$F$2*1.3))*43758.5453,1)*1000000)*10000+ROW(),"")</f>
        <v/>
      </c>
      <c r="F4832" s="0" t="str">
        <f aca="false">IF(E4832="","",RANK(E4832,$E$2:$E$5001,1))</f>
        <v/>
      </c>
      <c r="G4832" s="0" t="n">
        <f aca="false">IF(A4832="",0,IF(SUMPRODUCT(--($A$2:$A$5001=A4832))&gt;1,1,0))</f>
        <v>0</v>
      </c>
      <c r="H4832" s="0" t="n">
        <f aca="false">ROW()-1</f>
        <v>4831</v>
      </c>
      <c r="I4832" s="0" t="str">
        <f aca="false">IF(OR(הגדרות!$E$6=0,H4832&gt;הגדרות!$E$5),"",IF(H4832-1&lt;הגדרות!$E$8*(הגדרות!$E$7+1),INT((H4832-1)/(הגדרות!$E$7+1)),הגדרות!$E$8+INT((H4832-1-הגדרות!$E$8*(הגדרות!$E$7+1))/הגדרות!$E$7)))</f>
        <v/>
      </c>
      <c r="J4832" s="0" t="str">
        <f aca="false">IF(I4832="","",IF(H4832-1&lt;הגדרות!$E$8*(הגדרות!$E$7+1),MOD(H4832-1,הגדרות!$E$7+1),MOD(H4832-1-הגדרות!$E$8*(הגדרות!$E$7+1),הגדרות!$E$7)))</f>
        <v/>
      </c>
      <c r="K4832" s="0" t="str">
        <f aca="false">IF(I4832="","",J4832*הגדרות!$E$6+I4832+1)</f>
        <v/>
      </c>
      <c r="L4832" s="0" t="str">
        <f aca="false">IF(K4832="","",MATCH(K4832,$F$2:$F$5001,0))</f>
        <v/>
      </c>
      <c r="M4832" s="0" t="str">
        <f aca="false">IF(I4832="","",INDEX(הגדרות!$A$2:$A$21,MOD(I4832+הגדרות!$E$9,הגדרות!$E$6)+1))</f>
        <v/>
      </c>
    </row>
    <row r="4833" customFormat="false" ht="15" hidden="false" customHeight="false" outlineLevel="0" collapsed="false">
      <c r="A4833" s="0" t="str">
        <f aca="false">IF('הדבקת לידים'!A4833="","",IF(ISNUMBER('הדבקת לידים'!A4833),IF(הגדרות!$E$2&gt;0,TEXT('הדבקת לידים'!A4833,REPT("0",הגדרות!$E$2)),TEXT('הדבקת לידים'!A4833,"0")),TRIM('הדבקת לידים'!A4833)))</f>
        <v/>
      </c>
      <c r="B4833" s="0" t="str">
        <f aca="false">IF('הדבקת לידים'!B4833="","",IF(ISNUMBER('הדבקת לידים'!B4833),IF(הגדרות!$E$3&gt;0,TEXT('הדבקת לידים'!B4833,REPT("0",הגדרות!$E$3)),TEXT('הדבקת לידים'!B4833,"0")),TRIM('הדבקת לידים'!B4833)))</f>
        <v/>
      </c>
      <c r="C4833" s="0" t="n">
        <f aca="false">IF(OR(A4833&lt;&gt;"",B4833&lt;&gt;""),1,0)</f>
        <v>0</v>
      </c>
      <c r="D4833" s="0" t="str">
        <f aca="false">IF(C4833=1,MOD(ABS(SIN(ROW()*12.9898+'הדבקת לידים'!$F$2*78.233+IFERROR(--RIGHT(A4833,6),LEN(A4833))*0.0137+IFERROR(--RIGHT(B4833,6),LEN(B4833))*0.0071))*43758.5453,1),"")</f>
        <v/>
      </c>
      <c r="E4833" s="0" t="str">
        <f aca="false">IF(C4833=1,INT(MOD(ABS(SIN(D4833*7919.123+ROW()*0.618+'הדבקת לידים'!$F$2*1.3))*43758.5453,1)*1000000)*10000+ROW(),"")</f>
        <v/>
      </c>
      <c r="F4833" s="0" t="str">
        <f aca="false">IF(E4833="","",RANK(E4833,$E$2:$E$5001,1))</f>
        <v/>
      </c>
      <c r="G4833" s="0" t="n">
        <f aca="false">IF(A4833="",0,IF(SUMPRODUCT(--($A$2:$A$5001=A4833))&gt;1,1,0))</f>
        <v>0</v>
      </c>
      <c r="H4833" s="0" t="n">
        <f aca="false">ROW()-1</f>
        <v>4832</v>
      </c>
      <c r="I4833" s="0" t="str">
        <f aca="false">IF(OR(הגדרות!$E$6=0,H4833&gt;הגדרות!$E$5),"",IF(H4833-1&lt;הגדרות!$E$8*(הגדרות!$E$7+1),INT((H4833-1)/(הגדרות!$E$7+1)),הגדרות!$E$8+INT((H4833-1-הגדרות!$E$8*(הגדרות!$E$7+1))/הגדרות!$E$7)))</f>
        <v/>
      </c>
      <c r="J4833" s="0" t="str">
        <f aca="false">IF(I4833="","",IF(H4833-1&lt;הגדרות!$E$8*(הגדרות!$E$7+1),MOD(H4833-1,הגדרות!$E$7+1),MOD(H4833-1-הגדרות!$E$8*(הגדרות!$E$7+1),הגדרות!$E$7)))</f>
        <v/>
      </c>
      <c r="K4833" s="0" t="str">
        <f aca="false">IF(I4833="","",J4833*הגדרות!$E$6+I4833+1)</f>
        <v/>
      </c>
      <c r="L4833" s="0" t="str">
        <f aca="false">IF(K4833="","",MATCH(K4833,$F$2:$F$5001,0))</f>
        <v/>
      </c>
      <c r="M4833" s="0" t="str">
        <f aca="false">IF(I4833="","",INDEX(הגדרות!$A$2:$A$21,MOD(I4833+הגדרות!$E$9,הגדרות!$E$6)+1))</f>
        <v/>
      </c>
    </row>
    <row r="4834" customFormat="false" ht="15" hidden="false" customHeight="false" outlineLevel="0" collapsed="false">
      <c r="A4834" s="0" t="str">
        <f aca="false">IF('הדבקת לידים'!A4834="","",IF(ISNUMBER('הדבקת לידים'!A4834),IF(הגדרות!$E$2&gt;0,TEXT('הדבקת לידים'!A4834,REPT("0",הגדרות!$E$2)),TEXT('הדבקת לידים'!A4834,"0")),TRIM('הדבקת לידים'!A4834)))</f>
        <v/>
      </c>
      <c r="B4834" s="0" t="str">
        <f aca="false">IF('הדבקת לידים'!B4834="","",IF(ISNUMBER('הדבקת לידים'!B4834),IF(הגדרות!$E$3&gt;0,TEXT('הדבקת לידים'!B4834,REPT("0",הגדרות!$E$3)),TEXT('הדבקת לידים'!B4834,"0")),TRIM('הדבקת לידים'!B4834)))</f>
        <v/>
      </c>
      <c r="C4834" s="0" t="n">
        <f aca="false">IF(OR(A4834&lt;&gt;"",B4834&lt;&gt;""),1,0)</f>
        <v>0</v>
      </c>
      <c r="D4834" s="0" t="str">
        <f aca="false">IF(C4834=1,MOD(ABS(SIN(ROW()*12.9898+'הדבקת לידים'!$F$2*78.233+IFERROR(--RIGHT(A4834,6),LEN(A4834))*0.0137+IFERROR(--RIGHT(B4834,6),LEN(B4834))*0.0071))*43758.5453,1),"")</f>
        <v/>
      </c>
      <c r="E4834" s="0" t="str">
        <f aca="false">IF(C4834=1,INT(MOD(ABS(SIN(D4834*7919.123+ROW()*0.618+'הדבקת לידים'!$F$2*1.3))*43758.5453,1)*1000000)*10000+ROW(),"")</f>
        <v/>
      </c>
      <c r="F4834" s="0" t="str">
        <f aca="false">IF(E4834="","",RANK(E4834,$E$2:$E$5001,1))</f>
        <v/>
      </c>
      <c r="G4834" s="0" t="n">
        <f aca="false">IF(A4834="",0,IF(SUMPRODUCT(--($A$2:$A$5001=A4834))&gt;1,1,0))</f>
        <v>0</v>
      </c>
      <c r="H4834" s="0" t="n">
        <f aca="false">ROW()-1</f>
        <v>4833</v>
      </c>
      <c r="I4834" s="0" t="str">
        <f aca="false">IF(OR(הגדרות!$E$6=0,H4834&gt;הגדרות!$E$5),"",IF(H4834-1&lt;הגדרות!$E$8*(הגדרות!$E$7+1),INT((H4834-1)/(הגדרות!$E$7+1)),הגדרות!$E$8+INT((H4834-1-הגדרות!$E$8*(הגדרות!$E$7+1))/הגדרות!$E$7)))</f>
        <v/>
      </c>
      <c r="J4834" s="0" t="str">
        <f aca="false">IF(I4834="","",IF(H4834-1&lt;הגדרות!$E$8*(הגדרות!$E$7+1),MOD(H4834-1,הגדרות!$E$7+1),MOD(H4834-1-הגדרות!$E$8*(הגדרות!$E$7+1),הגדרות!$E$7)))</f>
        <v/>
      </c>
      <c r="K4834" s="0" t="str">
        <f aca="false">IF(I4834="","",J4834*הגדרות!$E$6+I4834+1)</f>
        <v/>
      </c>
      <c r="L4834" s="0" t="str">
        <f aca="false">IF(K4834="","",MATCH(K4834,$F$2:$F$5001,0))</f>
        <v/>
      </c>
      <c r="M4834" s="0" t="str">
        <f aca="false">IF(I4834="","",INDEX(הגדרות!$A$2:$A$21,MOD(I4834+הגדרות!$E$9,הגדרות!$E$6)+1))</f>
        <v/>
      </c>
    </row>
    <row r="4835" customFormat="false" ht="15" hidden="false" customHeight="false" outlineLevel="0" collapsed="false">
      <c r="A4835" s="0" t="str">
        <f aca="false">IF('הדבקת לידים'!A4835="","",IF(ISNUMBER('הדבקת לידים'!A4835),IF(הגדרות!$E$2&gt;0,TEXT('הדבקת לידים'!A4835,REPT("0",הגדרות!$E$2)),TEXT('הדבקת לידים'!A4835,"0")),TRIM('הדבקת לידים'!A4835)))</f>
        <v/>
      </c>
      <c r="B4835" s="0" t="str">
        <f aca="false">IF('הדבקת לידים'!B4835="","",IF(ISNUMBER('הדבקת לידים'!B4835),IF(הגדרות!$E$3&gt;0,TEXT('הדבקת לידים'!B4835,REPT("0",הגדרות!$E$3)),TEXT('הדבקת לידים'!B4835,"0")),TRIM('הדבקת לידים'!B4835)))</f>
        <v/>
      </c>
      <c r="C4835" s="0" t="n">
        <f aca="false">IF(OR(A4835&lt;&gt;"",B4835&lt;&gt;""),1,0)</f>
        <v>0</v>
      </c>
      <c r="D4835" s="0" t="str">
        <f aca="false">IF(C4835=1,MOD(ABS(SIN(ROW()*12.9898+'הדבקת לידים'!$F$2*78.233+IFERROR(--RIGHT(A4835,6),LEN(A4835))*0.0137+IFERROR(--RIGHT(B4835,6),LEN(B4835))*0.0071))*43758.5453,1),"")</f>
        <v/>
      </c>
      <c r="E4835" s="0" t="str">
        <f aca="false">IF(C4835=1,INT(MOD(ABS(SIN(D4835*7919.123+ROW()*0.618+'הדבקת לידים'!$F$2*1.3))*43758.5453,1)*1000000)*10000+ROW(),"")</f>
        <v/>
      </c>
      <c r="F4835" s="0" t="str">
        <f aca="false">IF(E4835="","",RANK(E4835,$E$2:$E$5001,1))</f>
        <v/>
      </c>
      <c r="G4835" s="0" t="n">
        <f aca="false">IF(A4835="",0,IF(SUMPRODUCT(--($A$2:$A$5001=A4835))&gt;1,1,0))</f>
        <v>0</v>
      </c>
      <c r="H4835" s="0" t="n">
        <f aca="false">ROW()-1</f>
        <v>4834</v>
      </c>
      <c r="I4835" s="0" t="str">
        <f aca="false">IF(OR(הגדרות!$E$6=0,H4835&gt;הגדרות!$E$5),"",IF(H4835-1&lt;הגדרות!$E$8*(הגדרות!$E$7+1),INT((H4835-1)/(הגדרות!$E$7+1)),הגדרות!$E$8+INT((H4835-1-הגדרות!$E$8*(הגדרות!$E$7+1))/הגדרות!$E$7)))</f>
        <v/>
      </c>
      <c r="J4835" s="0" t="str">
        <f aca="false">IF(I4835="","",IF(H4835-1&lt;הגדרות!$E$8*(הגדרות!$E$7+1),MOD(H4835-1,הגדרות!$E$7+1),MOD(H4835-1-הגדרות!$E$8*(הגדרות!$E$7+1),הגדרות!$E$7)))</f>
        <v/>
      </c>
      <c r="K4835" s="0" t="str">
        <f aca="false">IF(I4835="","",J4835*הגדרות!$E$6+I4835+1)</f>
        <v/>
      </c>
      <c r="L4835" s="0" t="str">
        <f aca="false">IF(K4835="","",MATCH(K4835,$F$2:$F$5001,0))</f>
        <v/>
      </c>
      <c r="M4835" s="0" t="str">
        <f aca="false">IF(I4835="","",INDEX(הגדרות!$A$2:$A$21,MOD(I4835+הגדרות!$E$9,הגדרות!$E$6)+1))</f>
        <v/>
      </c>
    </row>
    <row r="4836" customFormat="false" ht="15" hidden="false" customHeight="false" outlineLevel="0" collapsed="false">
      <c r="A4836" s="0" t="str">
        <f aca="false">IF('הדבקת לידים'!A4836="","",IF(ISNUMBER('הדבקת לידים'!A4836),IF(הגדרות!$E$2&gt;0,TEXT('הדבקת לידים'!A4836,REPT("0",הגדרות!$E$2)),TEXT('הדבקת לידים'!A4836,"0")),TRIM('הדבקת לידים'!A4836)))</f>
        <v/>
      </c>
      <c r="B4836" s="0" t="str">
        <f aca="false">IF('הדבקת לידים'!B4836="","",IF(ISNUMBER('הדבקת לידים'!B4836),IF(הגדרות!$E$3&gt;0,TEXT('הדבקת לידים'!B4836,REPT("0",הגדרות!$E$3)),TEXT('הדבקת לידים'!B4836,"0")),TRIM('הדבקת לידים'!B4836)))</f>
        <v/>
      </c>
      <c r="C4836" s="0" t="n">
        <f aca="false">IF(OR(A4836&lt;&gt;"",B4836&lt;&gt;""),1,0)</f>
        <v>0</v>
      </c>
      <c r="D4836" s="0" t="str">
        <f aca="false">IF(C4836=1,MOD(ABS(SIN(ROW()*12.9898+'הדבקת לידים'!$F$2*78.233+IFERROR(--RIGHT(A4836,6),LEN(A4836))*0.0137+IFERROR(--RIGHT(B4836,6),LEN(B4836))*0.0071))*43758.5453,1),"")</f>
        <v/>
      </c>
      <c r="E4836" s="0" t="str">
        <f aca="false">IF(C4836=1,INT(MOD(ABS(SIN(D4836*7919.123+ROW()*0.618+'הדבקת לידים'!$F$2*1.3))*43758.5453,1)*1000000)*10000+ROW(),"")</f>
        <v/>
      </c>
      <c r="F4836" s="0" t="str">
        <f aca="false">IF(E4836="","",RANK(E4836,$E$2:$E$5001,1))</f>
        <v/>
      </c>
      <c r="G4836" s="0" t="n">
        <f aca="false">IF(A4836="",0,IF(SUMPRODUCT(--($A$2:$A$5001=A4836))&gt;1,1,0))</f>
        <v>0</v>
      </c>
      <c r="H4836" s="0" t="n">
        <f aca="false">ROW()-1</f>
        <v>4835</v>
      </c>
      <c r="I4836" s="0" t="str">
        <f aca="false">IF(OR(הגדרות!$E$6=0,H4836&gt;הגדרות!$E$5),"",IF(H4836-1&lt;הגדרות!$E$8*(הגדרות!$E$7+1),INT((H4836-1)/(הגדרות!$E$7+1)),הגדרות!$E$8+INT((H4836-1-הגדרות!$E$8*(הגדרות!$E$7+1))/הגדרות!$E$7)))</f>
        <v/>
      </c>
      <c r="J4836" s="0" t="str">
        <f aca="false">IF(I4836="","",IF(H4836-1&lt;הגדרות!$E$8*(הגדרות!$E$7+1),MOD(H4836-1,הגדרות!$E$7+1),MOD(H4836-1-הגדרות!$E$8*(הגדרות!$E$7+1),הגדרות!$E$7)))</f>
        <v/>
      </c>
      <c r="K4836" s="0" t="str">
        <f aca="false">IF(I4836="","",J4836*הגדרות!$E$6+I4836+1)</f>
        <v/>
      </c>
      <c r="L4836" s="0" t="str">
        <f aca="false">IF(K4836="","",MATCH(K4836,$F$2:$F$5001,0))</f>
        <v/>
      </c>
      <c r="M4836" s="0" t="str">
        <f aca="false">IF(I4836="","",INDEX(הגדרות!$A$2:$A$21,MOD(I4836+הגדרות!$E$9,הגדרות!$E$6)+1))</f>
        <v/>
      </c>
    </row>
    <row r="4837" customFormat="false" ht="15" hidden="false" customHeight="false" outlineLevel="0" collapsed="false">
      <c r="A4837" s="0" t="str">
        <f aca="false">IF('הדבקת לידים'!A4837="","",IF(ISNUMBER('הדבקת לידים'!A4837),IF(הגדרות!$E$2&gt;0,TEXT('הדבקת לידים'!A4837,REPT("0",הגדרות!$E$2)),TEXT('הדבקת לידים'!A4837,"0")),TRIM('הדבקת לידים'!A4837)))</f>
        <v/>
      </c>
      <c r="B4837" s="0" t="str">
        <f aca="false">IF('הדבקת לידים'!B4837="","",IF(ISNUMBER('הדבקת לידים'!B4837),IF(הגדרות!$E$3&gt;0,TEXT('הדבקת לידים'!B4837,REPT("0",הגדרות!$E$3)),TEXT('הדבקת לידים'!B4837,"0")),TRIM('הדבקת לידים'!B4837)))</f>
        <v/>
      </c>
      <c r="C4837" s="0" t="n">
        <f aca="false">IF(OR(A4837&lt;&gt;"",B4837&lt;&gt;""),1,0)</f>
        <v>0</v>
      </c>
      <c r="D4837" s="0" t="str">
        <f aca="false">IF(C4837=1,MOD(ABS(SIN(ROW()*12.9898+'הדבקת לידים'!$F$2*78.233+IFERROR(--RIGHT(A4837,6),LEN(A4837))*0.0137+IFERROR(--RIGHT(B4837,6),LEN(B4837))*0.0071))*43758.5453,1),"")</f>
        <v/>
      </c>
      <c r="E4837" s="0" t="str">
        <f aca="false">IF(C4837=1,INT(MOD(ABS(SIN(D4837*7919.123+ROW()*0.618+'הדבקת לידים'!$F$2*1.3))*43758.5453,1)*1000000)*10000+ROW(),"")</f>
        <v/>
      </c>
      <c r="F4837" s="0" t="str">
        <f aca="false">IF(E4837="","",RANK(E4837,$E$2:$E$5001,1))</f>
        <v/>
      </c>
      <c r="G4837" s="0" t="n">
        <f aca="false">IF(A4837="",0,IF(SUMPRODUCT(--($A$2:$A$5001=A4837))&gt;1,1,0))</f>
        <v>0</v>
      </c>
      <c r="H4837" s="0" t="n">
        <f aca="false">ROW()-1</f>
        <v>4836</v>
      </c>
      <c r="I4837" s="0" t="str">
        <f aca="false">IF(OR(הגדרות!$E$6=0,H4837&gt;הגדרות!$E$5),"",IF(H4837-1&lt;הגדרות!$E$8*(הגדרות!$E$7+1),INT((H4837-1)/(הגדרות!$E$7+1)),הגדרות!$E$8+INT((H4837-1-הגדרות!$E$8*(הגדרות!$E$7+1))/הגדרות!$E$7)))</f>
        <v/>
      </c>
      <c r="J4837" s="0" t="str">
        <f aca="false">IF(I4837="","",IF(H4837-1&lt;הגדרות!$E$8*(הגדרות!$E$7+1),MOD(H4837-1,הגדרות!$E$7+1),MOD(H4837-1-הגדרות!$E$8*(הגדרות!$E$7+1),הגדרות!$E$7)))</f>
        <v/>
      </c>
      <c r="K4837" s="0" t="str">
        <f aca="false">IF(I4837="","",J4837*הגדרות!$E$6+I4837+1)</f>
        <v/>
      </c>
      <c r="L4837" s="0" t="str">
        <f aca="false">IF(K4837="","",MATCH(K4837,$F$2:$F$5001,0))</f>
        <v/>
      </c>
      <c r="M4837" s="0" t="str">
        <f aca="false">IF(I4837="","",INDEX(הגדרות!$A$2:$A$21,MOD(I4837+הגדרות!$E$9,הגדרות!$E$6)+1))</f>
        <v/>
      </c>
    </row>
    <row r="4838" customFormat="false" ht="15" hidden="false" customHeight="false" outlineLevel="0" collapsed="false">
      <c r="A4838" s="0" t="str">
        <f aca="false">IF('הדבקת לידים'!A4838="","",IF(ISNUMBER('הדבקת לידים'!A4838),IF(הגדרות!$E$2&gt;0,TEXT('הדבקת לידים'!A4838,REPT("0",הגדרות!$E$2)),TEXT('הדבקת לידים'!A4838,"0")),TRIM('הדבקת לידים'!A4838)))</f>
        <v/>
      </c>
      <c r="B4838" s="0" t="str">
        <f aca="false">IF('הדבקת לידים'!B4838="","",IF(ISNUMBER('הדבקת לידים'!B4838),IF(הגדרות!$E$3&gt;0,TEXT('הדבקת לידים'!B4838,REPT("0",הגדרות!$E$3)),TEXT('הדבקת לידים'!B4838,"0")),TRIM('הדבקת לידים'!B4838)))</f>
        <v/>
      </c>
      <c r="C4838" s="0" t="n">
        <f aca="false">IF(OR(A4838&lt;&gt;"",B4838&lt;&gt;""),1,0)</f>
        <v>0</v>
      </c>
      <c r="D4838" s="0" t="str">
        <f aca="false">IF(C4838=1,MOD(ABS(SIN(ROW()*12.9898+'הדבקת לידים'!$F$2*78.233+IFERROR(--RIGHT(A4838,6),LEN(A4838))*0.0137+IFERROR(--RIGHT(B4838,6),LEN(B4838))*0.0071))*43758.5453,1),"")</f>
        <v/>
      </c>
      <c r="E4838" s="0" t="str">
        <f aca="false">IF(C4838=1,INT(MOD(ABS(SIN(D4838*7919.123+ROW()*0.618+'הדבקת לידים'!$F$2*1.3))*43758.5453,1)*1000000)*10000+ROW(),"")</f>
        <v/>
      </c>
      <c r="F4838" s="0" t="str">
        <f aca="false">IF(E4838="","",RANK(E4838,$E$2:$E$5001,1))</f>
        <v/>
      </c>
      <c r="G4838" s="0" t="n">
        <f aca="false">IF(A4838="",0,IF(SUMPRODUCT(--($A$2:$A$5001=A4838))&gt;1,1,0))</f>
        <v>0</v>
      </c>
      <c r="H4838" s="0" t="n">
        <f aca="false">ROW()-1</f>
        <v>4837</v>
      </c>
      <c r="I4838" s="0" t="str">
        <f aca="false">IF(OR(הגדרות!$E$6=0,H4838&gt;הגדרות!$E$5),"",IF(H4838-1&lt;הגדרות!$E$8*(הגדרות!$E$7+1),INT((H4838-1)/(הגדרות!$E$7+1)),הגדרות!$E$8+INT((H4838-1-הגדרות!$E$8*(הגדרות!$E$7+1))/הגדרות!$E$7)))</f>
        <v/>
      </c>
      <c r="J4838" s="0" t="str">
        <f aca="false">IF(I4838="","",IF(H4838-1&lt;הגדרות!$E$8*(הגדרות!$E$7+1),MOD(H4838-1,הגדרות!$E$7+1),MOD(H4838-1-הגדרות!$E$8*(הגדרות!$E$7+1),הגדרות!$E$7)))</f>
        <v/>
      </c>
      <c r="K4838" s="0" t="str">
        <f aca="false">IF(I4838="","",J4838*הגדרות!$E$6+I4838+1)</f>
        <v/>
      </c>
      <c r="L4838" s="0" t="str">
        <f aca="false">IF(K4838="","",MATCH(K4838,$F$2:$F$5001,0))</f>
        <v/>
      </c>
      <c r="M4838" s="0" t="str">
        <f aca="false">IF(I4838="","",INDEX(הגדרות!$A$2:$A$21,MOD(I4838+הגדרות!$E$9,הגדרות!$E$6)+1))</f>
        <v/>
      </c>
    </row>
    <row r="4839" customFormat="false" ht="15" hidden="false" customHeight="false" outlineLevel="0" collapsed="false">
      <c r="A4839" s="0" t="str">
        <f aca="false">IF('הדבקת לידים'!A4839="","",IF(ISNUMBER('הדבקת לידים'!A4839),IF(הגדרות!$E$2&gt;0,TEXT('הדבקת לידים'!A4839,REPT("0",הגדרות!$E$2)),TEXT('הדבקת לידים'!A4839,"0")),TRIM('הדבקת לידים'!A4839)))</f>
        <v/>
      </c>
      <c r="B4839" s="0" t="str">
        <f aca="false">IF('הדבקת לידים'!B4839="","",IF(ISNUMBER('הדבקת לידים'!B4839),IF(הגדרות!$E$3&gt;0,TEXT('הדבקת לידים'!B4839,REPT("0",הגדרות!$E$3)),TEXT('הדבקת לידים'!B4839,"0")),TRIM('הדבקת לידים'!B4839)))</f>
        <v/>
      </c>
      <c r="C4839" s="0" t="n">
        <f aca="false">IF(OR(A4839&lt;&gt;"",B4839&lt;&gt;""),1,0)</f>
        <v>0</v>
      </c>
      <c r="D4839" s="0" t="str">
        <f aca="false">IF(C4839=1,MOD(ABS(SIN(ROW()*12.9898+'הדבקת לידים'!$F$2*78.233+IFERROR(--RIGHT(A4839,6),LEN(A4839))*0.0137+IFERROR(--RIGHT(B4839,6),LEN(B4839))*0.0071))*43758.5453,1),"")</f>
        <v/>
      </c>
      <c r="E4839" s="0" t="str">
        <f aca="false">IF(C4839=1,INT(MOD(ABS(SIN(D4839*7919.123+ROW()*0.618+'הדבקת לידים'!$F$2*1.3))*43758.5453,1)*1000000)*10000+ROW(),"")</f>
        <v/>
      </c>
      <c r="F4839" s="0" t="str">
        <f aca="false">IF(E4839="","",RANK(E4839,$E$2:$E$5001,1))</f>
        <v/>
      </c>
      <c r="G4839" s="0" t="n">
        <f aca="false">IF(A4839="",0,IF(SUMPRODUCT(--($A$2:$A$5001=A4839))&gt;1,1,0))</f>
        <v>0</v>
      </c>
      <c r="H4839" s="0" t="n">
        <f aca="false">ROW()-1</f>
        <v>4838</v>
      </c>
      <c r="I4839" s="0" t="str">
        <f aca="false">IF(OR(הגדרות!$E$6=0,H4839&gt;הגדרות!$E$5),"",IF(H4839-1&lt;הגדרות!$E$8*(הגדרות!$E$7+1),INT((H4839-1)/(הגדרות!$E$7+1)),הגדרות!$E$8+INT((H4839-1-הגדרות!$E$8*(הגדרות!$E$7+1))/הגדרות!$E$7)))</f>
        <v/>
      </c>
      <c r="J4839" s="0" t="str">
        <f aca="false">IF(I4839="","",IF(H4839-1&lt;הגדרות!$E$8*(הגדרות!$E$7+1),MOD(H4839-1,הגדרות!$E$7+1),MOD(H4839-1-הגדרות!$E$8*(הגדרות!$E$7+1),הגדרות!$E$7)))</f>
        <v/>
      </c>
      <c r="K4839" s="0" t="str">
        <f aca="false">IF(I4839="","",J4839*הגדרות!$E$6+I4839+1)</f>
        <v/>
      </c>
      <c r="L4839" s="0" t="str">
        <f aca="false">IF(K4839="","",MATCH(K4839,$F$2:$F$5001,0))</f>
        <v/>
      </c>
      <c r="M4839" s="0" t="str">
        <f aca="false">IF(I4839="","",INDEX(הגדרות!$A$2:$A$21,MOD(I4839+הגדרות!$E$9,הגדרות!$E$6)+1))</f>
        <v/>
      </c>
    </row>
    <row r="4840" customFormat="false" ht="15" hidden="false" customHeight="false" outlineLevel="0" collapsed="false">
      <c r="A4840" s="0" t="str">
        <f aca="false">IF('הדבקת לידים'!A4840="","",IF(ISNUMBER('הדבקת לידים'!A4840),IF(הגדרות!$E$2&gt;0,TEXT('הדבקת לידים'!A4840,REPT("0",הגדרות!$E$2)),TEXT('הדבקת לידים'!A4840,"0")),TRIM('הדבקת לידים'!A4840)))</f>
        <v/>
      </c>
      <c r="B4840" s="0" t="str">
        <f aca="false">IF('הדבקת לידים'!B4840="","",IF(ISNUMBER('הדבקת לידים'!B4840),IF(הגדרות!$E$3&gt;0,TEXT('הדבקת לידים'!B4840,REPT("0",הגדרות!$E$3)),TEXT('הדבקת לידים'!B4840,"0")),TRIM('הדבקת לידים'!B4840)))</f>
        <v/>
      </c>
      <c r="C4840" s="0" t="n">
        <f aca="false">IF(OR(A4840&lt;&gt;"",B4840&lt;&gt;""),1,0)</f>
        <v>0</v>
      </c>
      <c r="D4840" s="0" t="str">
        <f aca="false">IF(C4840=1,MOD(ABS(SIN(ROW()*12.9898+'הדבקת לידים'!$F$2*78.233+IFERROR(--RIGHT(A4840,6),LEN(A4840))*0.0137+IFERROR(--RIGHT(B4840,6),LEN(B4840))*0.0071))*43758.5453,1),"")</f>
        <v/>
      </c>
      <c r="E4840" s="0" t="str">
        <f aca="false">IF(C4840=1,INT(MOD(ABS(SIN(D4840*7919.123+ROW()*0.618+'הדבקת לידים'!$F$2*1.3))*43758.5453,1)*1000000)*10000+ROW(),"")</f>
        <v/>
      </c>
      <c r="F4840" s="0" t="str">
        <f aca="false">IF(E4840="","",RANK(E4840,$E$2:$E$5001,1))</f>
        <v/>
      </c>
      <c r="G4840" s="0" t="n">
        <f aca="false">IF(A4840="",0,IF(SUMPRODUCT(--($A$2:$A$5001=A4840))&gt;1,1,0))</f>
        <v>0</v>
      </c>
      <c r="H4840" s="0" t="n">
        <f aca="false">ROW()-1</f>
        <v>4839</v>
      </c>
      <c r="I4840" s="0" t="str">
        <f aca="false">IF(OR(הגדרות!$E$6=0,H4840&gt;הגדרות!$E$5),"",IF(H4840-1&lt;הגדרות!$E$8*(הגדרות!$E$7+1),INT((H4840-1)/(הגדרות!$E$7+1)),הגדרות!$E$8+INT((H4840-1-הגדרות!$E$8*(הגדרות!$E$7+1))/הגדרות!$E$7)))</f>
        <v/>
      </c>
      <c r="J4840" s="0" t="str">
        <f aca="false">IF(I4840="","",IF(H4840-1&lt;הגדרות!$E$8*(הגדרות!$E$7+1),MOD(H4840-1,הגדרות!$E$7+1),MOD(H4840-1-הגדרות!$E$8*(הגדרות!$E$7+1),הגדרות!$E$7)))</f>
        <v/>
      </c>
      <c r="K4840" s="0" t="str">
        <f aca="false">IF(I4840="","",J4840*הגדרות!$E$6+I4840+1)</f>
        <v/>
      </c>
      <c r="L4840" s="0" t="str">
        <f aca="false">IF(K4840="","",MATCH(K4840,$F$2:$F$5001,0))</f>
        <v/>
      </c>
      <c r="M4840" s="0" t="str">
        <f aca="false">IF(I4840="","",INDEX(הגדרות!$A$2:$A$21,MOD(I4840+הגדרות!$E$9,הגדרות!$E$6)+1))</f>
        <v/>
      </c>
    </row>
    <row r="4841" customFormat="false" ht="15" hidden="false" customHeight="false" outlineLevel="0" collapsed="false">
      <c r="A4841" s="0" t="str">
        <f aca="false">IF('הדבקת לידים'!A4841="","",IF(ISNUMBER('הדבקת לידים'!A4841),IF(הגדרות!$E$2&gt;0,TEXT('הדבקת לידים'!A4841,REPT("0",הגדרות!$E$2)),TEXT('הדבקת לידים'!A4841,"0")),TRIM('הדבקת לידים'!A4841)))</f>
        <v/>
      </c>
      <c r="B4841" s="0" t="str">
        <f aca="false">IF('הדבקת לידים'!B4841="","",IF(ISNUMBER('הדבקת לידים'!B4841),IF(הגדרות!$E$3&gt;0,TEXT('הדבקת לידים'!B4841,REPT("0",הגדרות!$E$3)),TEXT('הדבקת לידים'!B4841,"0")),TRIM('הדבקת לידים'!B4841)))</f>
        <v/>
      </c>
      <c r="C4841" s="0" t="n">
        <f aca="false">IF(OR(A4841&lt;&gt;"",B4841&lt;&gt;""),1,0)</f>
        <v>0</v>
      </c>
      <c r="D4841" s="0" t="str">
        <f aca="false">IF(C4841=1,MOD(ABS(SIN(ROW()*12.9898+'הדבקת לידים'!$F$2*78.233+IFERROR(--RIGHT(A4841,6),LEN(A4841))*0.0137+IFERROR(--RIGHT(B4841,6),LEN(B4841))*0.0071))*43758.5453,1),"")</f>
        <v/>
      </c>
      <c r="E4841" s="0" t="str">
        <f aca="false">IF(C4841=1,INT(MOD(ABS(SIN(D4841*7919.123+ROW()*0.618+'הדבקת לידים'!$F$2*1.3))*43758.5453,1)*1000000)*10000+ROW(),"")</f>
        <v/>
      </c>
      <c r="F4841" s="0" t="str">
        <f aca="false">IF(E4841="","",RANK(E4841,$E$2:$E$5001,1))</f>
        <v/>
      </c>
      <c r="G4841" s="0" t="n">
        <f aca="false">IF(A4841="",0,IF(SUMPRODUCT(--($A$2:$A$5001=A4841))&gt;1,1,0))</f>
        <v>0</v>
      </c>
      <c r="H4841" s="0" t="n">
        <f aca="false">ROW()-1</f>
        <v>4840</v>
      </c>
      <c r="I4841" s="0" t="str">
        <f aca="false">IF(OR(הגדרות!$E$6=0,H4841&gt;הגדרות!$E$5),"",IF(H4841-1&lt;הגדרות!$E$8*(הגדרות!$E$7+1),INT((H4841-1)/(הגדרות!$E$7+1)),הגדרות!$E$8+INT((H4841-1-הגדרות!$E$8*(הגדרות!$E$7+1))/הגדרות!$E$7)))</f>
        <v/>
      </c>
      <c r="J4841" s="0" t="str">
        <f aca="false">IF(I4841="","",IF(H4841-1&lt;הגדרות!$E$8*(הגדרות!$E$7+1),MOD(H4841-1,הגדרות!$E$7+1),MOD(H4841-1-הגדרות!$E$8*(הגדרות!$E$7+1),הגדרות!$E$7)))</f>
        <v/>
      </c>
      <c r="K4841" s="0" t="str">
        <f aca="false">IF(I4841="","",J4841*הגדרות!$E$6+I4841+1)</f>
        <v/>
      </c>
      <c r="L4841" s="0" t="str">
        <f aca="false">IF(K4841="","",MATCH(K4841,$F$2:$F$5001,0))</f>
        <v/>
      </c>
      <c r="M4841" s="0" t="str">
        <f aca="false">IF(I4841="","",INDEX(הגדרות!$A$2:$A$21,MOD(I4841+הגדרות!$E$9,הגדרות!$E$6)+1))</f>
        <v/>
      </c>
    </row>
    <row r="4842" customFormat="false" ht="15" hidden="false" customHeight="false" outlineLevel="0" collapsed="false">
      <c r="A4842" s="0" t="str">
        <f aca="false">IF('הדבקת לידים'!A4842="","",IF(ISNUMBER('הדבקת לידים'!A4842),IF(הגדרות!$E$2&gt;0,TEXT('הדבקת לידים'!A4842,REPT("0",הגדרות!$E$2)),TEXT('הדבקת לידים'!A4842,"0")),TRIM('הדבקת לידים'!A4842)))</f>
        <v/>
      </c>
      <c r="B4842" s="0" t="str">
        <f aca="false">IF('הדבקת לידים'!B4842="","",IF(ISNUMBER('הדבקת לידים'!B4842),IF(הגדרות!$E$3&gt;0,TEXT('הדבקת לידים'!B4842,REPT("0",הגדרות!$E$3)),TEXT('הדבקת לידים'!B4842,"0")),TRIM('הדבקת לידים'!B4842)))</f>
        <v/>
      </c>
      <c r="C4842" s="0" t="n">
        <f aca="false">IF(OR(A4842&lt;&gt;"",B4842&lt;&gt;""),1,0)</f>
        <v>0</v>
      </c>
      <c r="D4842" s="0" t="str">
        <f aca="false">IF(C4842=1,MOD(ABS(SIN(ROW()*12.9898+'הדבקת לידים'!$F$2*78.233+IFERROR(--RIGHT(A4842,6),LEN(A4842))*0.0137+IFERROR(--RIGHT(B4842,6),LEN(B4842))*0.0071))*43758.5453,1),"")</f>
        <v/>
      </c>
      <c r="E4842" s="0" t="str">
        <f aca="false">IF(C4842=1,INT(MOD(ABS(SIN(D4842*7919.123+ROW()*0.618+'הדבקת לידים'!$F$2*1.3))*43758.5453,1)*1000000)*10000+ROW(),"")</f>
        <v/>
      </c>
      <c r="F4842" s="0" t="str">
        <f aca="false">IF(E4842="","",RANK(E4842,$E$2:$E$5001,1))</f>
        <v/>
      </c>
      <c r="G4842" s="0" t="n">
        <f aca="false">IF(A4842="",0,IF(SUMPRODUCT(--($A$2:$A$5001=A4842))&gt;1,1,0))</f>
        <v>0</v>
      </c>
      <c r="H4842" s="0" t="n">
        <f aca="false">ROW()-1</f>
        <v>4841</v>
      </c>
      <c r="I4842" s="0" t="str">
        <f aca="false">IF(OR(הגדרות!$E$6=0,H4842&gt;הגדרות!$E$5),"",IF(H4842-1&lt;הגדרות!$E$8*(הגדרות!$E$7+1),INT((H4842-1)/(הגדרות!$E$7+1)),הגדרות!$E$8+INT((H4842-1-הגדרות!$E$8*(הגדרות!$E$7+1))/הגדרות!$E$7)))</f>
        <v/>
      </c>
      <c r="J4842" s="0" t="str">
        <f aca="false">IF(I4842="","",IF(H4842-1&lt;הגדרות!$E$8*(הגדרות!$E$7+1),MOD(H4842-1,הגדרות!$E$7+1),MOD(H4842-1-הגדרות!$E$8*(הגדרות!$E$7+1),הגדרות!$E$7)))</f>
        <v/>
      </c>
      <c r="K4842" s="0" t="str">
        <f aca="false">IF(I4842="","",J4842*הגדרות!$E$6+I4842+1)</f>
        <v/>
      </c>
      <c r="L4842" s="0" t="str">
        <f aca="false">IF(K4842="","",MATCH(K4842,$F$2:$F$5001,0))</f>
        <v/>
      </c>
      <c r="M4842" s="0" t="str">
        <f aca="false">IF(I4842="","",INDEX(הגדרות!$A$2:$A$21,MOD(I4842+הגדרות!$E$9,הגדרות!$E$6)+1))</f>
        <v/>
      </c>
    </row>
    <row r="4843" customFormat="false" ht="15" hidden="false" customHeight="false" outlineLevel="0" collapsed="false">
      <c r="A4843" s="0" t="str">
        <f aca="false">IF('הדבקת לידים'!A4843="","",IF(ISNUMBER('הדבקת לידים'!A4843),IF(הגדרות!$E$2&gt;0,TEXT('הדבקת לידים'!A4843,REPT("0",הגדרות!$E$2)),TEXT('הדבקת לידים'!A4843,"0")),TRIM('הדבקת לידים'!A4843)))</f>
        <v/>
      </c>
      <c r="B4843" s="0" t="str">
        <f aca="false">IF('הדבקת לידים'!B4843="","",IF(ISNUMBER('הדבקת לידים'!B4843),IF(הגדרות!$E$3&gt;0,TEXT('הדבקת לידים'!B4843,REPT("0",הגדרות!$E$3)),TEXT('הדבקת לידים'!B4843,"0")),TRIM('הדבקת לידים'!B4843)))</f>
        <v/>
      </c>
      <c r="C4843" s="0" t="n">
        <f aca="false">IF(OR(A4843&lt;&gt;"",B4843&lt;&gt;""),1,0)</f>
        <v>0</v>
      </c>
      <c r="D4843" s="0" t="str">
        <f aca="false">IF(C4843=1,MOD(ABS(SIN(ROW()*12.9898+'הדבקת לידים'!$F$2*78.233+IFERROR(--RIGHT(A4843,6),LEN(A4843))*0.0137+IFERROR(--RIGHT(B4843,6),LEN(B4843))*0.0071))*43758.5453,1),"")</f>
        <v/>
      </c>
      <c r="E4843" s="0" t="str">
        <f aca="false">IF(C4843=1,INT(MOD(ABS(SIN(D4843*7919.123+ROW()*0.618+'הדבקת לידים'!$F$2*1.3))*43758.5453,1)*1000000)*10000+ROW(),"")</f>
        <v/>
      </c>
      <c r="F4843" s="0" t="str">
        <f aca="false">IF(E4843="","",RANK(E4843,$E$2:$E$5001,1))</f>
        <v/>
      </c>
      <c r="G4843" s="0" t="n">
        <f aca="false">IF(A4843="",0,IF(SUMPRODUCT(--($A$2:$A$5001=A4843))&gt;1,1,0))</f>
        <v>0</v>
      </c>
      <c r="H4843" s="0" t="n">
        <f aca="false">ROW()-1</f>
        <v>4842</v>
      </c>
      <c r="I4843" s="0" t="str">
        <f aca="false">IF(OR(הגדרות!$E$6=0,H4843&gt;הגדרות!$E$5),"",IF(H4843-1&lt;הגדרות!$E$8*(הגדרות!$E$7+1),INT((H4843-1)/(הגדרות!$E$7+1)),הגדרות!$E$8+INT((H4843-1-הגדרות!$E$8*(הגדרות!$E$7+1))/הגדרות!$E$7)))</f>
        <v/>
      </c>
      <c r="J4843" s="0" t="str">
        <f aca="false">IF(I4843="","",IF(H4843-1&lt;הגדרות!$E$8*(הגדרות!$E$7+1),MOD(H4843-1,הגדרות!$E$7+1),MOD(H4843-1-הגדרות!$E$8*(הגדרות!$E$7+1),הגדרות!$E$7)))</f>
        <v/>
      </c>
      <c r="K4843" s="0" t="str">
        <f aca="false">IF(I4843="","",J4843*הגדרות!$E$6+I4843+1)</f>
        <v/>
      </c>
      <c r="L4843" s="0" t="str">
        <f aca="false">IF(K4843="","",MATCH(K4843,$F$2:$F$5001,0))</f>
        <v/>
      </c>
      <c r="M4843" s="0" t="str">
        <f aca="false">IF(I4843="","",INDEX(הגדרות!$A$2:$A$21,MOD(I4843+הגדרות!$E$9,הגדרות!$E$6)+1))</f>
        <v/>
      </c>
    </row>
    <row r="4844" customFormat="false" ht="15" hidden="false" customHeight="false" outlineLevel="0" collapsed="false">
      <c r="A4844" s="0" t="str">
        <f aca="false">IF('הדבקת לידים'!A4844="","",IF(ISNUMBER('הדבקת לידים'!A4844),IF(הגדרות!$E$2&gt;0,TEXT('הדבקת לידים'!A4844,REPT("0",הגדרות!$E$2)),TEXT('הדבקת לידים'!A4844,"0")),TRIM('הדבקת לידים'!A4844)))</f>
        <v/>
      </c>
      <c r="B4844" s="0" t="str">
        <f aca="false">IF('הדבקת לידים'!B4844="","",IF(ISNUMBER('הדבקת לידים'!B4844),IF(הגדרות!$E$3&gt;0,TEXT('הדבקת לידים'!B4844,REPT("0",הגדרות!$E$3)),TEXT('הדבקת לידים'!B4844,"0")),TRIM('הדבקת לידים'!B4844)))</f>
        <v/>
      </c>
      <c r="C4844" s="0" t="n">
        <f aca="false">IF(OR(A4844&lt;&gt;"",B4844&lt;&gt;""),1,0)</f>
        <v>0</v>
      </c>
      <c r="D4844" s="0" t="str">
        <f aca="false">IF(C4844=1,MOD(ABS(SIN(ROW()*12.9898+'הדבקת לידים'!$F$2*78.233+IFERROR(--RIGHT(A4844,6),LEN(A4844))*0.0137+IFERROR(--RIGHT(B4844,6),LEN(B4844))*0.0071))*43758.5453,1),"")</f>
        <v/>
      </c>
      <c r="E4844" s="0" t="str">
        <f aca="false">IF(C4844=1,INT(MOD(ABS(SIN(D4844*7919.123+ROW()*0.618+'הדבקת לידים'!$F$2*1.3))*43758.5453,1)*1000000)*10000+ROW(),"")</f>
        <v/>
      </c>
      <c r="F4844" s="0" t="str">
        <f aca="false">IF(E4844="","",RANK(E4844,$E$2:$E$5001,1))</f>
        <v/>
      </c>
      <c r="G4844" s="0" t="n">
        <f aca="false">IF(A4844="",0,IF(SUMPRODUCT(--($A$2:$A$5001=A4844))&gt;1,1,0))</f>
        <v>0</v>
      </c>
      <c r="H4844" s="0" t="n">
        <f aca="false">ROW()-1</f>
        <v>4843</v>
      </c>
      <c r="I4844" s="0" t="str">
        <f aca="false">IF(OR(הגדרות!$E$6=0,H4844&gt;הגדרות!$E$5),"",IF(H4844-1&lt;הגדרות!$E$8*(הגדרות!$E$7+1),INT((H4844-1)/(הגדרות!$E$7+1)),הגדרות!$E$8+INT((H4844-1-הגדרות!$E$8*(הגדרות!$E$7+1))/הגדרות!$E$7)))</f>
        <v/>
      </c>
      <c r="J4844" s="0" t="str">
        <f aca="false">IF(I4844="","",IF(H4844-1&lt;הגדרות!$E$8*(הגדרות!$E$7+1),MOD(H4844-1,הגדרות!$E$7+1),MOD(H4844-1-הגדרות!$E$8*(הגדרות!$E$7+1),הגדרות!$E$7)))</f>
        <v/>
      </c>
      <c r="K4844" s="0" t="str">
        <f aca="false">IF(I4844="","",J4844*הגדרות!$E$6+I4844+1)</f>
        <v/>
      </c>
      <c r="L4844" s="0" t="str">
        <f aca="false">IF(K4844="","",MATCH(K4844,$F$2:$F$5001,0))</f>
        <v/>
      </c>
      <c r="M4844" s="0" t="str">
        <f aca="false">IF(I4844="","",INDEX(הגדרות!$A$2:$A$21,MOD(I4844+הגדרות!$E$9,הגדרות!$E$6)+1))</f>
        <v/>
      </c>
    </row>
    <row r="4845" customFormat="false" ht="15" hidden="false" customHeight="false" outlineLevel="0" collapsed="false">
      <c r="A4845" s="0" t="str">
        <f aca="false">IF('הדבקת לידים'!A4845="","",IF(ISNUMBER('הדבקת לידים'!A4845),IF(הגדרות!$E$2&gt;0,TEXT('הדבקת לידים'!A4845,REPT("0",הגדרות!$E$2)),TEXT('הדבקת לידים'!A4845,"0")),TRIM('הדבקת לידים'!A4845)))</f>
        <v/>
      </c>
      <c r="B4845" s="0" t="str">
        <f aca="false">IF('הדבקת לידים'!B4845="","",IF(ISNUMBER('הדבקת לידים'!B4845),IF(הגדרות!$E$3&gt;0,TEXT('הדבקת לידים'!B4845,REPT("0",הגדרות!$E$3)),TEXT('הדבקת לידים'!B4845,"0")),TRIM('הדבקת לידים'!B4845)))</f>
        <v/>
      </c>
      <c r="C4845" s="0" t="n">
        <f aca="false">IF(OR(A4845&lt;&gt;"",B4845&lt;&gt;""),1,0)</f>
        <v>0</v>
      </c>
      <c r="D4845" s="0" t="str">
        <f aca="false">IF(C4845=1,MOD(ABS(SIN(ROW()*12.9898+'הדבקת לידים'!$F$2*78.233+IFERROR(--RIGHT(A4845,6),LEN(A4845))*0.0137+IFERROR(--RIGHT(B4845,6),LEN(B4845))*0.0071))*43758.5453,1),"")</f>
        <v/>
      </c>
      <c r="E4845" s="0" t="str">
        <f aca="false">IF(C4845=1,INT(MOD(ABS(SIN(D4845*7919.123+ROW()*0.618+'הדבקת לידים'!$F$2*1.3))*43758.5453,1)*1000000)*10000+ROW(),"")</f>
        <v/>
      </c>
      <c r="F4845" s="0" t="str">
        <f aca="false">IF(E4845="","",RANK(E4845,$E$2:$E$5001,1))</f>
        <v/>
      </c>
      <c r="G4845" s="0" t="n">
        <f aca="false">IF(A4845="",0,IF(SUMPRODUCT(--($A$2:$A$5001=A4845))&gt;1,1,0))</f>
        <v>0</v>
      </c>
      <c r="H4845" s="0" t="n">
        <f aca="false">ROW()-1</f>
        <v>4844</v>
      </c>
      <c r="I4845" s="0" t="str">
        <f aca="false">IF(OR(הגדרות!$E$6=0,H4845&gt;הגדרות!$E$5),"",IF(H4845-1&lt;הגדרות!$E$8*(הגדרות!$E$7+1),INT((H4845-1)/(הגדרות!$E$7+1)),הגדרות!$E$8+INT((H4845-1-הגדרות!$E$8*(הגדרות!$E$7+1))/הגדרות!$E$7)))</f>
        <v/>
      </c>
      <c r="J4845" s="0" t="str">
        <f aca="false">IF(I4845="","",IF(H4845-1&lt;הגדרות!$E$8*(הגדרות!$E$7+1),MOD(H4845-1,הגדרות!$E$7+1),MOD(H4845-1-הגדרות!$E$8*(הגדרות!$E$7+1),הגדרות!$E$7)))</f>
        <v/>
      </c>
      <c r="K4845" s="0" t="str">
        <f aca="false">IF(I4845="","",J4845*הגדרות!$E$6+I4845+1)</f>
        <v/>
      </c>
      <c r="L4845" s="0" t="str">
        <f aca="false">IF(K4845="","",MATCH(K4845,$F$2:$F$5001,0))</f>
        <v/>
      </c>
      <c r="M4845" s="0" t="str">
        <f aca="false">IF(I4845="","",INDEX(הגדרות!$A$2:$A$21,MOD(I4845+הגדרות!$E$9,הגדרות!$E$6)+1))</f>
        <v/>
      </c>
    </row>
    <row r="4846" customFormat="false" ht="15" hidden="false" customHeight="false" outlineLevel="0" collapsed="false">
      <c r="A4846" s="0" t="str">
        <f aca="false">IF('הדבקת לידים'!A4846="","",IF(ISNUMBER('הדבקת לידים'!A4846),IF(הגדרות!$E$2&gt;0,TEXT('הדבקת לידים'!A4846,REPT("0",הגדרות!$E$2)),TEXT('הדבקת לידים'!A4846,"0")),TRIM('הדבקת לידים'!A4846)))</f>
        <v/>
      </c>
      <c r="B4846" s="0" t="str">
        <f aca="false">IF('הדבקת לידים'!B4846="","",IF(ISNUMBER('הדבקת לידים'!B4846),IF(הגדרות!$E$3&gt;0,TEXT('הדבקת לידים'!B4846,REPT("0",הגדרות!$E$3)),TEXT('הדבקת לידים'!B4846,"0")),TRIM('הדבקת לידים'!B4846)))</f>
        <v/>
      </c>
      <c r="C4846" s="0" t="n">
        <f aca="false">IF(OR(A4846&lt;&gt;"",B4846&lt;&gt;""),1,0)</f>
        <v>0</v>
      </c>
      <c r="D4846" s="0" t="str">
        <f aca="false">IF(C4846=1,MOD(ABS(SIN(ROW()*12.9898+'הדבקת לידים'!$F$2*78.233+IFERROR(--RIGHT(A4846,6),LEN(A4846))*0.0137+IFERROR(--RIGHT(B4846,6),LEN(B4846))*0.0071))*43758.5453,1),"")</f>
        <v/>
      </c>
      <c r="E4846" s="0" t="str">
        <f aca="false">IF(C4846=1,INT(MOD(ABS(SIN(D4846*7919.123+ROW()*0.618+'הדבקת לידים'!$F$2*1.3))*43758.5453,1)*1000000)*10000+ROW(),"")</f>
        <v/>
      </c>
      <c r="F4846" s="0" t="str">
        <f aca="false">IF(E4846="","",RANK(E4846,$E$2:$E$5001,1))</f>
        <v/>
      </c>
      <c r="G4846" s="0" t="n">
        <f aca="false">IF(A4846="",0,IF(SUMPRODUCT(--($A$2:$A$5001=A4846))&gt;1,1,0))</f>
        <v>0</v>
      </c>
      <c r="H4846" s="0" t="n">
        <f aca="false">ROW()-1</f>
        <v>4845</v>
      </c>
      <c r="I4846" s="0" t="str">
        <f aca="false">IF(OR(הגדרות!$E$6=0,H4846&gt;הגדרות!$E$5),"",IF(H4846-1&lt;הגדרות!$E$8*(הגדרות!$E$7+1),INT((H4846-1)/(הגדרות!$E$7+1)),הגדרות!$E$8+INT((H4846-1-הגדרות!$E$8*(הגדרות!$E$7+1))/הגדרות!$E$7)))</f>
        <v/>
      </c>
      <c r="J4846" s="0" t="str">
        <f aca="false">IF(I4846="","",IF(H4846-1&lt;הגדרות!$E$8*(הגדרות!$E$7+1),MOD(H4846-1,הגדרות!$E$7+1),MOD(H4846-1-הגדרות!$E$8*(הגדרות!$E$7+1),הגדרות!$E$7)))</f>
        <v/>
      </c>
      <c r="K4846" s="0" t="str">
        <f aca="false">IF(I4846="","",J4846*הגדרות!$E$6+I4846+1)</f>
        <v/>
      </c>
      <c r="L4846" s="0" t="str">
        <f aca="false">IF(K4846="","",MATCH(K4846,$F$2:$F$5001,0))</f>
        <v/>
      </c>
      <c r="M4846" s="0" t="str">
        <f aca="false">IF(I4846="","",INDEX(הגדרות!$A$2:$A$21,MOD(I4846+הגדרות!$E$9,הגדרות!$E$6)+1))</f>
        <v/>
      </c>
    </row>
    <row r="4847" customFormat="false" ht="15" hidden="false" customHeight="false" outlineLevel="0" collapsed="false">
      <c r="A4847" s="0" t="str">
        <f aca="false">IF('הדבקת לידים'!A4847="","",IF(ISNUMBER('הדבקת לידים'!A4847),IF(הגדרות!$E$2&gt;0,TEXT('הדבקת לידים'!A4847,REPT("0",הגדרות!$E$2)),TEXT('הדבקת לידים'!A4847,"0")),TRIM('הדבקת לידים'!A4847)))</f>
        <v/>
      </c>
      <c r="B4847" s="0" t="str">
        <f aca="false">IF('הדבקת לידים'!B4847="","",IF(ISNUMBER('הדבקת לידים'!B4847),IF(הגדרות!$E$3&gt;0,TEXT('הדבקת לידים'!B4847,REPT("0",הגדרות!$E$3)),TEXT('הדבקת לידים'!B4847,"0")),TRIM('הדבקת לידים'!B4847)))</f>
        <v/>
      </c>
      <c r="C4847" s="0" t="n">
        <f aca="false">IF(OR(A4847&lt;&gt;"",B4847&lt;&gt;""),1,0)</f>
        <v>0</v>
      </c>
      <c r="D4847" s="0" t="str">
        <f aca="false">IF(C4847=1,MOD(ABS(SIN(ROW()*12.9898+'הדבקת לידים'!$F$2*78.233+IFERROR(--RIGHT(A4847,6),LEN(A4847))*0.0137+IFERROR(--RIGHT(B4847,6),LEN(B4847))*0.0071))*43758.5453,1),"")</f>
        <v/>
      </c>
      <c r="E4847" s="0" t="str">
        <f aca="false">IF(C4847=1,INT(MOD(ABS(SIN(D4847*7919.123+ROW()*0.618+'הדבקת לידים'!$F$2*1.3))*43758.5453,1)*1000000)*10000+ROW(),"")</f>
        <v/>
      </c>
      <c r="F4847" s="0" t="str">
        <f aca="false">IF(E4847="","",RANK(E4847,$E$2:$E$5001,1))</f>
        <v/>
      </c>
      <c r="G4847" s="0" t="n">
        <f aca="false">IF(A4847="",0,IF(SUMPRODUCT(--($A$2:$A$5001=A4847))&gt;1,1,0))</f>
        <v>0</v>
      </c>
      <c r="H4847" s="0" t="n">
        <f aca="false">ROW()-1</f>
        <v>4846</v>
      </c>
      <c r="I4847" s="0" t="str">
        <f aca="false">IF(OR(הגדרות!$E$6=0,H4847&gt;הגדרות!$E$5),"",IF(H4847-1&lt;הגדרות!$E$8*(הגדרות!$E$7+1),INT((H4847-1)/(הגדרות!$E$7+1)),הגדרות!$E$8+INT((H4847-1-הגדרות!$E$8*(הגדרות!$E$7+1))/הגדרות!$E$7)))</f>
        <v/>
      </c>
      <c r="J4847" s="0" t="str">
        <f aca="false">IF(I4847="","",IF(H4847-1&lt;הגדרות!$E$8*(הגדרות!$E$7+1),MOD(H4847-1,הגדרות!$E$7+1),MOD(H4847-1-הגדרות!$E$8*(הגדרות!$E$7+1),הגדרות!$E$7)))</f>
        <v/>
      </c>
      <c r="K4847" s="0" t="str">
        <f aca="false">IF(I4847="","",J4847*הגדרות!$E$6+I4847+1)</f>
        <v/>
      </c>
      <c r="L4847" s="0" t="str">
        <f aca="false">IF(K4847="","",MATCH(K4847,$F$2:$F$5001,0))</f>
        <v/>
      </c>
      <c r="M4847" s="0" t="str">
        <f aca="false">IF(I4847="","",INDEX(הגדרות!$A$2:$A$21,MOD(I4847+הגדרות!$E$9,הגדרות!$E$6)+1))</f>
        <v/>
      </c>
    </row>
    <row r="4848" customFormat="false" ht="15" hidden="false" customHeight="false" outlineLevel="0" collapsed="false">
      <c r="A4848" s="0" t="str">
        <f aca="false">IF('הדבקת לידים'!A4848="","",IF(ISNUMBER('הדבקת לידים'!A4848),IF(הגדרות!$E$2&gt;0,TEXT('הדבקת לידים'!A4848,REPT("0",הגדרות!$E$2)),TEXT('הדבקת לידים'!A4848,"0")),TRIM('הדבקת לידים'!A4848)))</f>
        <v/>
      </c>
      <c r="B4848" s="0" t="str">
        <f aca="false">IF('הדבקת לידים'!B4848="","",IF(ISNUMBER('הדבקת לידים'!B4848),IF(הגדרות!$E$3&gt;0,TEXT('הדבקת לידים'!B4848,REPT("0",הגדרות!$E$3)),TEXT('הדבקת לידים'!B4848,"0")),TRIM('הדבקת לידים'!B4848)))</f>
        <v/>
      </c>
      <c r="C4848" s="0" t="n">
        <f aca="false">IF(OR(A4848&lt;&gt;"",B4848&lt;&gt;""),1,0)</f>
        <v>0</v>
      </c>
      <c r="D4848" s="0" t="str">
        <f aca="false">IF(C4848=1,MOD(ABS(SIN(ROW()*12.9898+'הדבקת לידים'!$F$2*78.233+IFERROR(--RIGHT(A4848,6),LEN(A4848))*0.0137+IFERROR(--RIGHT(B4848,6),LEN(B4848))*0.0071))*43758.5453,1),"")</f>
        <v/>
      </c>
      <c r="E4848" s="0" t="str">
        <f aca="false">IF(C4848=1,INT(MOD(ABS(SIN(D4848*7919.123+ROW()*0.618+'הדבקת לידים'!$F$2*1.3))*43758.5453,1)*1000000)*10000+ROW(),"")</f>
        <v/>
      </c>
      <c r="F4848" s="0" t="str">
        <f aca="false">IF(E4848="","",RANK(E4848,$E$2:$E$5001,1))</f>
        <v/>
      </c>
      <c r="G4848" s="0" t="n">
        <f aca="false">IF(A4848="",0,IF(SUMPRODUCT(--($A$2:$A$5001=A4848))&gt;1,1,0))</f>
        <v>0</v>
      </c>
      <c r="H4848" s="0" t="n">
        <f aca="false">ROW()-1</f>
        <v>4847</v>
      </c>
      <c r="I4848" s="0" t="str">
        <f aca="false">IF(OR(הגדרות!$E$6=0,H4848&gt;הגדרות!$E$5),"",IF(H4848-1&lt;הגדרות!$E$8*(הגדרות!$E$7+1),INT((H4848-1)/(הגדרות!$E$7+1)),הגדרות!$E$8+INT((H4848-1-הגדרות!$E$8*(הגדרות!$E$7+1))/הגדרות!$E$7)))</f>
        <v/>
      </c>
      <c r="J4848" s="0" t="str">
        <f aca="false">IF(I4848="","",IF(H4848-1&lt;הגדרות!$E$8*(הגדרות!$E$7+1),MOD(H4848-1,הגדרות!$E$7+1),MOD(H4848-1-הגדרות!$E$8*(הגדרות!$E$7+1),הגדרות!$E$7)))</f>
        <v/>
      </c>
      <c r="K4848" s="0" t="str">
        <f aca="false">IF(I4848="","",J4848*הגדרות!$E$6+I4848+1)</f>
        <v/>
      </c>
      <c r="L4848" s="0" t="str">
        <f aca="false">IF(K4848="","",MATCH(K4848,$F$2:$F$5001,0))</f>
        <v/>
      </c>
      <c r="M4848" s="0" t="str">
        <f aca="false">IF(I4848="","",INDEX(הגדרות!$A$2:$A$21,MOD(I4848+הגדרות!$E$9,הגדרות!$E$6)+1))</f>
        <v/>
      </c>
    </row>
    <row r="4849" customFormat="false" ht="15" hidden="false" customHeight="false" outlineLevel="0" collapsed="false">
      <c r="A4849" s="0" t="str">
        <f aca="false">IF('הדבקת לידים'!A4849="","",IF(ISNUMBER('הדבקת לידים'!A4849),IF(הגדרות!$E$2&gt;0,TEXT('הדבקת לידים'!A4849,REPT("0",הגדרות!$E$2)),TEXT('הדבקת לידים'!A4849,"0")),TRIM('הדבקת לידים'!A4849)))</f>
        <v/>
      </c>
      <c r="B4849" s="0" t="str">
        <f aca="false">IF('הדבקת לידים'!B4849="","",IF(ISNUMBER('הדבקת לידים'!B4849),IF(הגדרות!$E$3&gt;0,TEXT('הדבקת לידים'!B4849,REPT("0",הגדרות!$E$3)),TEXT('הדבקת לידים'!B4849,"0")),TRIM('הדבקת לידים'!B4849)))</f>
        <v/>
      </c>
      <c r="C4849" s="0" t="n">
        <f aca="false">IF(OR(A4849&lt;&gt;"",B4849&lt;&gt;""),1,0)</f>
        <v>0</v>
      </c>
      <c r="D4849" s="0" t="str">
        <f aca="false">IF(C4849=1,MOD(ABS(SIN(ROW()*12.9898+'הדבקת לידים'!$F$2*78.233+IFERROR(--RIGHT(A4849,6),LEN(A4849))*0.0137+IFERROR(--RIGHT(B4849,6),LEN(B4849))*0.0071))*43758.5453,1),"")</f>
        <v/>
      </c>
      <c r="E4849" s="0" t="str">
        <f aca="false">IF(C4849=1,INT(MOD(ABS(SIN(D4849*7919.123+ROW()*0.618+'הדבקת לידים'!$F$2*1.3))*43758.5453,1)*1000000)*10000+ROW(),"")</f>
        <v/>
      </c>
      <c r="F4849" s="0" t="str">
        <f aca="false">IF(E4849="","",RANK(E4849,$E$2:$E$5001,1))</f>
        <v/>
      </c>
      <c r="G4849" s="0" t="n">
        <f aca="false">IF(A4849="",0,IF(SUMPRODUCT(--($A$2:$A$5001=A4849))&gt;1,1,0))</f>
        <v>0</v>
      </c>
      <c r="H4849" s="0" t="n">
        <f aca="false">ROW()-1</f>
        <v>4848</v>
      </c>
      <c r="I4849" s="0" t="str">
        <f aca="false">IF(OR(הגדרות!$E$6=0,H4849&gt;הגדרות!$E$5),"",IF(H4849-1&lt;הגדרות!$E$8*(הגדרות!$E$7+1),INT((H4849-1)/(הגדרות!$E$7+1)),הגדרות!$E$8+INT((H4849-1-הגדרות!$E$8*(הגדרות!$E$7+1))/הגדרות!$E$7)))</f>
        <v/>
      </c>
      <c r="J4849" s="0" t="str">
        <f aca="false">IF(I4849="","",IF(H4849-1&lt;הגדרות!$E$8*(הגדרות!$E$7+1),MOD(H4849-1,הגדרות!$E$7+1),MOD(H4849-1-הגדרות!$E$8*(הגדרות!$E$7+1),הגדרות!$E$7)))</f>
        <v/>
      </c>
      <c r="K4849" s="0" t="str">
        <f aca="false">IF(I4849="","",J4849*הגדרות!$E$6+I4849+1)</f>
        <v/>
      </c>
      <c r="L4849" s="0" t="str">
        <f aca="false">IF(K4849="","",MATCH(K4849,$F$2:$F$5001,0))</f>
        <v/>
      </c>
      <c r="M4849" s="0" t="str">
        <f aca="false">IF(I4849="","",INDEX(הגדרות!$A$2:$A$21,MOD(I4849+הגדרות!$E$9,הגדרות!$E$6)+1))</f>
        <v/>
      </c>
    </row>
    <row r="4850" customFormat="false" ht="15" hidden="false" customHeight="false" outlineLevel="0" collapsed="false">
      <c r="A4850" s="0" t="str">
        <f aca="false">IF('הדבקת לידים'!A4850="","",IF(ISNUMBER('הדבקת לידים'!A4850),IF(הגדרות!$E$2&gt;0,TEXT('הדבקת לידים'!A4850,REPT("0",הגדרות!$E$2)),TEXT('הדבקת לידים'!A4850,"0")),TRIM('הדבקת לידים'!A4850)))</f>
        <v/>
      </c>
      <c r="B4850" s="0" t="str">
        <f aca="false">IF('הדבקת לידים'!B4850="","",IF(ISNUMBER('הדבקת לידים'!B4850),IF(הגדרות!$E$3&gt;0,TEXT('הדבקת לידים'!B4850,REPT("0",הגדרות!$E$3)),TEXT('הדבקת לידים'!B4850,"0")),TRIM('הדבקת לידים'!B4850)))</f>
        <v/>
      </c>
      <c r="C4850" s="0" t="n">
        <f aca="false">IF(OR(A4850&lt;&gt;"",B4850&lt;&gt;""),1,0)</f>
        <v>0</v>
      </c>
      <c r="D4850" s="0" t="str">
        <f aca="false">IF(C4850=1,MOD(ABS(SIN(ROW()*12.9898+'הדבקת לידים'!$F$2*78.233+IFERROR(--RIGHT(A4850,6),LEN(A4850))*0.0137+IFERROR(--RIGHT(B4850,6),LEN(B4850))*0.0071))*43758.5453,1),"")</f>
        <v/>
      </c>
      <c r="E4850" s="0" t="str">
        <f aca="false">IF(C4850=1,INT(MOD(ABS(SIN(D4850*7919.123+ROW()*0.618+'הדבקת לידים'!$F$2*1.3))*43758.5453,1)*1000000)*10000+ROW(),"")</f>
        <v/>
      </c>
      <c r="F4850" s="0" t="str">
        <f aca="false">IF(E4850="","",RANK(E4850,$E$2:$E$5001,1))</f>
        <v/>
      </c>
      <c r="G4850" s="0" t="n">
        <f aca="false">IF(A4850="",0,IF(SUMPRODUCT(--($A$2:$A$5001=A4850))&gt;1,1,0))</f>
        <v>0</v>
      </c>
      <c r="H4850" s="0" t="n">
        <f aca="false">ROW()-1</f>
        <v>4849</v>
      </c>
      <c r="I4850" s="0" t="str">
        <f aca="false">IF(OR(הגדרות!$E$6=0,H4850&gt;הגדרות!$E$5),"",IF(H4850-1&lt;הגדרות!$E$8*(הגדרות!$E$7+1),INT((H4850-1)/(הגדרות!$E$7+1)),הגדרות!$E$8+INT((H4850-1-הגדרות!$E$8*(הגדרות!$E$7+1))/הגדרות!$E$7)))</f>
        <v/>
      </c>
      <c r="J4850" s="0" t="str">
        <f aca="false">IF(I4850="","",IF(H4850-1&lt;הגדרות!$E$8*(הגדרות!$E$7+1),MOD(H4850-1,הגדרות!$E$7+1),MOD(H4850-1-הגדרות!$E$8*(הגדרות!$E$7+1),הגדרות!$E$7)))</f>
        <v/>
      </c>
      <c r="K4850" s="0" t="str">
        <f aca="false">IF(I4850="","",J4850*הגדרות!$E$6+I4850+1)</f>
        <v/>
      </c>
      <c r="L4850" s="0" t="str">
        <f aca="false">IF(K4850="","",MATCH(K4850,$F$2:$F$5001,0))</f>
        <v/>
      </c>
      <c r="M4850" s="0" t="str">
        <f aca="false">IF(I4850="","",INDEX(הגדרות!$A$2:$A$21,MOD(I4850+הגדרות!$E$9,הגדרות!$E$6)+1))</f>
        <v/>
      </c>
    </row>
    <row r="4851" customFormat="false" ht="15" hidden="false" customHeight="false" outlineLevel="0" collapsed="false">
      <c r="A4851" s="0" t="str">
        <f aca="false">IF('הדבקת לידים'!A4851="","",IF(ISNUMBER('הדבקת לידים'!A4851),IF(הגדרות!$E$2&gt;0,TEXT('הדבקת לידים'!A4851,REPT("0",הגדרות!$E$2)),TEXT('הדבקת לידים'!A4851,"0")),TRIM('הדבקת לידים'!A4851)))</f>
        <v/>
      </c>
      <c r="B4851" s="0" t="str">
        <f aca="false">IF('הדבקת לידים'!B4851="","",IF(ISNUMBER('הדבקת לידים'!B4851),IF(הגדרות!$E$3&gt;0,TEXT('הדבקת לידים'!B4851,REPT("0",הגדרות!$E$3)),TEXT('הדבקת לידים'!B4851,"0")),TRIM('הדבקת לידים'!B4851)))</f>
        <v/>
      </c>
      <c r="C4851" s="0" t="n">
        <f aca="false">IF(OR(A4851&lt;&gt;"",B4851&lt;&gt;""),1,0)</f>
        <v>0</v>
      </c>
      <c r="D4851" s="0" t="str">
        <f aca="false">IF(C4851=1,MOD(ABS(SIN(ROW()*12.9898+'הדבקת לידים'!$F$2*78.233+IFERROR(--RIGHT(A4851,6),LEN(A4851))*0.0137+IFERROR(--RIGHT(B4851,6),LEN(B4851))*0.0071))*43758.5453,1),"")</f>
        <v/>
      </c>
      <c r="E4851" s="0" t="str">
        <f aca="false">IF(C4851=1,INT(MOD(ABS(SIN(D4851*7919.123+ROW()*0.618+'הדבקת לידים'!$F$2*1.3))*43758.5453,1)*1000000)*10000+ROW(),"")</f>
        <v/>
      </c>
      <c r="F4851" s="0" t="str">
        <f aca="false">IF(E4851="","",RANK(E4851,$E$2:$E$5001,1))</f>
        <v/>
      </c>
      <c r="G4851" s="0" t="n">
        <f aca="false">IF(A4851="",0,IF(SUMPRODUCT(--($A$2:$A$5001=A4851))&gt;1,1,0))</f>
        <v>0</v>
      </c>
      <c r="H4851" s="0" t="n">
        <f aca="false">ROW()-1</f>
        <v>4850</v>
      </c>
      <c r="I4851" s="0" t="str">
        <f aca="false">IF(OR(הגדרות!$E$6=0,H4851&gt;הגדרות!$E$5),"",IF(H4851-1&lt;הגדרות!$E$8*(הגדרות!$E$7+1),INT((H4851-1)/(הגדרות!$E$7+1)),הגדרות!$E$8+INT((H4851-1-הגדרות!$E$8*(הגדרות!$E$7+1))/הגדרות!$E$7)))</f>
        <v/>
      </c>
      <c r="J4851" s="0" t="str">
        <f aca="false">IF(I4851="","",IF(H4851-1&lt;הגדרות!$E$8*(הגדרות!$E$7+1),MOD(H4851-1,הגדרות!$E$7+1),MOD(H4851-1-הגדרות!$E$8*(הגדרות!$E$7+1),הגדרות!$E$7)))</f>
        <v/>
      </c>
      <c r="K4851" s="0" t="str">
        <f aca="false">IF(I4851="","",J4851*הגדרות!$E$6+I4851+1)</f>
        <v/>
      </c>
      <c r="L4851" s="0" t="str">
        <f aca="false">IF(K4851="","",MATCH(K4851,$F$2:$F$5001,0))</f>
        <v/>
      </c>
      <c r="M4851" s="0" t="str">
        <f aca="false">IF(I4851="","",INDEX(הגדרות!$A$2:$A$21,MOD(I4851+הגדרות!$E$9,הגדרות!$E$6)+1))</f>
        <v/>
      </c>
    </row>
    <row r="4852" customFormat="false" ht="15" hidden="false" customHeight="false" outlineLevel="0" collapsed="false">
      <c r="A4852" s="0" t="str">
        <f aca="false">IF('הדבקת לידים'!A4852="","",IF(ISNUMBER('הדבקת לידים'!A4852),IF(הגדרות!$E$2&gt;0,TEXT('הדבקת לידים'!A4852,REPT("0",הגדרות!$E$2)),TEXT('הדבקת לידים'!A4852,"0")),TRIM('הדבקת לידים'!A4852)))</f>
        <v/>
      </c>
      <c r="B4852" s="0" t="str">
        <f aca="false">IF('הדבקת לידים'!B4852="","",IF(ISNUMBER('הדבקת לידים'!B4852),IF(הגדרות!$E$3&gt;0,TEXT('הדבקת לידים'!B4852,REPT("0",הגדרות!$E$3)),TEXT('הדבקת לידים'!B4852,"0")),TRIM('הדבקת לידים'!B4852)))</f>
        <v/>
      </c>
      <c r="C4852" s="0" t="n">
        <f aca="false">IF(OR(A4852&lt;&gt;"",B4852&lt;&gt;""),1,0)</f>
        <v>0</v>
      </c>
      <c r="D4852" s="0" t="str">
        <f aca="false">IF(C4852=1,MOD(ABS(SIN(ROW()*12.9898+'הדבקת לידים'!$F$2*78.233+IFERROR(--RIGHT(A4852,6),LEN(A4852))*0.0137+IFERROR(--RIGHT(B4852,6),LEN(B4852))*0.0071))*43758.5453,1),"")</f>
        <v/>
      </c>
      <c r="E4852" s="0" t="str">
        <f aca="false">IF(C4852=1,INT(MOD(ABS(SIN(D4852*7919.123+ROW()*0.618+'הדבקת לידים'!$F$2*1.3))*43758.5453,1)*1000000)*10000+ROW(),"")</f>
        <v/>
      </c>
      <c r="F4852" s="0" t="str">
        <f aca="false">IF(E4852="","",RANK(E4852,$E$2:$E$5001,1))</f>
        <v/>
      </c>
      <c r="G4852" s="0" t="n">
        <f aca="false">IF(A4852="",0,IF(SUMPRODUCT(--($A$2:$A$5001=A4852))&gt;1,1,0))</f>
        <v>0</v>
      </c>
      <c r="H4852" s="0" t="n">
        <f aca="false">ROW()-1</f>
        <v>4851</v>
      </c>
      <c r="I4852" s="0" t="str">
        <f aca="false">IF(OR(הגדרות!$E$6=0,H4852&gt;הגדרות!$E$5),"",IF(H4852-1&lt;הגדרות!$E$8*(הגדרות!$E$7+1),INT((H4852-1)/(הגדרות!$E$7+1)),הגדרות!$E$8+INT((H4852-1-הגדרות!$E$8*(הגדרות!$E$7+1))/הגדרות!$E$7)))</f>
        <v/>
      </c>
      <c r="J4852" s="0" t="str">
        <f aca="false">IF(I4852="","",IF(H4852-1&lt;הגדרות!$E$8*(הגדרות!$E$7+1),MOD(H4852-1,הגדרות!$E$7+1),MOD(H4852-1-הגדרות!$E$8*(הגדרות!$E$7+1),הגדרות!$E$7)))</f>
        <v/>
      </c>
      <c r="K4852" s="0" t="str">
        <f aca="false">IF(I4852="","",J4852*הגדרות!$E$6+I4852+1)</f>
        <v/>
      </c>
      <c r="L4852" s="0" t="str">
        <f aca="false">IF(K4852="","",MATCH(K4852,$F$2:$F$5001,0))</f>
        <v/>
      </c>
      <c r="M4852" s="0" t="str">
        <f aca="false">IF(I4852="","",INDEX(הגדרות!$A$2:$A$21,MOD(I4852+הגדרות!$E$9,הגדרות!$E$6)+1))</f>
        <v/>
      </c>
    </row>
    <row r="4853" customFormat="false" ht="15" hidden="false" customHeight="false" outlineLevel="0" collapsed="false">
      <c r="A4853" s="0" t="str">
        <f aca="false">IF('הדבקת לידים'!A4853="","",IF(ISNUMBER('הדבקת לידים'!A4853),IF(הגדרות!$E$2&gt;0,TEXT('הדבקת לידים'!A4853,REPT("0",הגדרות!$E$2)),TEXT('הדבקת לידים'!A4853,"0")),TRIM('הדבקת לידים'!A4853)))</f>
        <v/>
      </c>
      <c r="B4853" s="0" t="str">
        <f aca="false">IF('הדבקת לידים'!B4853="","",IF(ISNUMBER('הדבקת לידים'!B4853),IF(הגדרות!$E$3&gt;0,TEXT('הדבקת לידים'!B4853,REPT("0",הגדרות!$E$3)),TEXT('הדבקת לידים'!B4853,"0")),TRIM('הדבקת לידים'!B4853)))</f>
        <v/>
      </c>
      <c r="C4853" s="0" t="n">
        <f aca="false">IF(OR(A4853&lt;&gt;"",B4853&lt;&gt;""),1,0)</f>
        <v>0</v>
      </c>
      <c r="D4853" s="0" t="str">
        <f aca="false">IF(C4853=1,MOD(ABS(SIN(ROW()*12.9898+'הדבקת לידים'!$F$2*78.233+IFERROR(--RIGHT(A4853,6),LEN(A4853))*0.0137+IFERROR(--RIGHT(B4853,6),LEN(B4853))*0.0071))*43758.5453,1),"")</f>
        <v/>
      </c>
      <c r="E4853" s="0" t="str">
        <f aca="false">IF(C4853=1,INT(MOD(ABS(SIN(D4853*7919.123+ROW()*0.618+'הדבקת לידים'!$F$2*1.3))*43758.5453,1)*1000000)*10000+ROW(),"")</f>
        <v/>
      </c>
      <c r="F4853" s="0" t="str">
        <f aca="false">IF(E4853="","",RANK(E4853,$E$2:$E$5001,1))</f>
        <v/>
      </c>
      <c r="G4853" s="0" t="n">
        <f aca="false">IF(A4853="",0,IF(SUMPRODUCT(--($A$2:$A$5001=A4853))&gt;1,1,0))</f>
        <v>0</v>
      </c>
      <c r="H4853" s="0" t="n">
        <f aca="false">ROW()-1</f>
        <v>4852</v>
      </c>
      <c r="I4853" s="0" t="str">
        <f aca="false">IF(OR(הגדרות!$E$6=0,H4853&gt;הגדרות!$E$5),"",IF(H4853-1&lt;הגדרות!$E$8*(הגדרות!$E$7+1),INT((H4853-1)/(הגדרות!$E$7+1)),הגדרות!$E$8+INT((H4853-1-הגדרות!$E$8*(הגדרות!$E$7+1))/הגדרות!$E$7)))</f>
        <v/>
      </c>
      <c r="J4853" s="0" t="str">
        <f aca="false">IF(I4853="","",IF(H4853-1&lt;הגדרות!$E$8*(הגדרות!$E$7+1),MOD(H4853-1,הגדרות!$E$7+1),MOD(H4853-1-הגדרות!$E$8*(הגדרות!$E$7+1),הגדרות!$E$7)))</f>
        <v/>
      </c>
      <c r="K4853" s="0" t="str">
        <f aca="false">IF(I4853="","",J4853*הגדרות!$E$6+I4853+1)</f>
        <v/>
      </c>
      <c r="L4853" s="0" t="str">
        <f aca="false">IF(K4853="","",MATCH(K4853,$F$2:$F$5001,0))</f>
        <v/>
      </c>
      <c r="M4853" s="0" t="str">
        <f aca="false">IF(I4853="","",INDEX(הגדרות!$A$2:$A$21,MOD(I4853+הגדרות!$E$9,הגדרות!$E$6)+1))</f>
        <v/>
      </c>
    </row>
    <row r="4854" customFormat="false" ht="15" hidden="false" customHeight="false" outlineLevel="0" collapsed="false">
      <c r="A4854" s="0" t="str">
        <f aca="false">IF('הדבקת לידים'!A4854="","",IF(ISNUMBER('הדבקת לידים'!A4854),IF(הגדרות!$E$2&gt;0,TEXT('הדבקת לידים'!A4854,REPT("0",הגדרות!$E$2)),TEXT('הדבקת לידים'!A4854,"0")),TRIM('הדבקת לידים'!A4854)))</f>
        <v/>
      </c>
      <c r="B4854" s="0" t="str">
        <f aca="false">IF('הדבקת לידים'!B4854="","",IF(ISNUMBER('הדבקת לידים'!B4854),IF(הגדרות!$E$3&gt;0,TEXT('הדבקת לידים'!B4854,REPT("0",הגדרות!$E$3)),TEXT('הדבקת לידים'!B4854,"0")),TRIM('הדבקת לידים'!B4854)))</f>
        <v/>
      </c>
      <c r="C4854" s="0" t="n">
        <f aca="false">IF(OR(A4854&lt;&gt;"",B4854&lt;&gt;""),1,0)</f>
        <v>0</v>
      </c>
      <c r="D4854" s="0" t="str">
        <f aca="false">IF(C4854=1,MOD(ABS(SIN(ROW()*12.9898+'הדבקת לידים'!$F$2*78.233+IFERROR(--RIGHT(A4854,6),LEN(A4854))*0.0137+IFERROR(--RIGHT(B4854,6),LEN(B4854))*0.0071))*43758.5453,1),"")</f>
        <v/>
      </c>
      <c r="E4854" s="0" t="str">
        <f aca="false">IF(C4854=1,INT(MOD(ABS(SIN(D4854*7919.123+ROW()*0.618+'הדבקת לידים'!$F$2*1.3))*43758.5453,1)*1000000)*10000+ROW(),"")</f>
        <v/>
      </c>
      <c r="F4854" s="0" t="str">
        <f aca="false">IF(E4854="","",RANK(E4854,$E$2:$E$5001,1))</f>
        <v/>
      </c>
      <c r="G4854" s="0" t="n">
        <f aca="false">IF(A4854="",0,IF(SUMPRODUCT(--($A$2:$A$5001=A4854))&gt;1,1,0))</f>
        <v>0</v>
      </c>
      <c r="H4854" s="0" t="n">
        <f aca="false">ROW()-1</f>
        <v>4853</v>
      </c>
      <c r="I4854" s="0" t="str">
        <f aca="false">IF(OR(הגדרות!$E$6=0,H4854&gt;הגדרות!$E$5),"",IF(H4854-1&lt;הגדרות!$E$8*(הגדרות!$E$7+1),INT((H4854-1)/(הגדרות!$E$7+1)),הגדרות!$E$8+INT((H4854-1-הגדרות!$E$8*(הגדרות!$E$7+1))/הגדרות!$E$7)))</f>
        <v/>
      </c>
      <c r="J4854" s="0" t="str">
        <f aca="false">IF(I4854="","",IF(H4854-1&lt;הגדרות!$E$8*(הגדרות!$E$7+1),MOD(H4854-1,הגדרות!$E$7+1),MOD(H4854-1-הגדרות!$E$8*(הגדרות!$E$7+1),הגדרות!$E$7)))</f>
        <v/>
      </c>
      <c r="K4854" s="0" t="str">
        <f aca="false">IF(I4854="","",J4854*הגדרות!$E$6+I4854+1)</f>
        <v/>
      </c>
      <c r="L4854" s="0" t="str">
        <f aca="false">IF(K4854="","",MATCH(K4854,$F$2:$F$5001,0))</f>
        <v/>
      </c>
      <c r="M4854" s="0" t="str">
        <f aca="false">IF(I4854="","",INDEX(הגדרות!$A$2:$A$21,MOD(I4854+הגדרות!$E$9,הגדרות!$E$6)+1))</f>
        <v/>
      </c>
    </row>
    <row r="4855" customFormat="false" ht="15" hidden="false" customHeight="false" outlineLevel="0" collapsed="false">
      <c r="A4855" s="0" t="str">
        <f aca="false">IF('הדבקת לידים'!A4855="","",IF(ISNUMBER('הדבקת לידים'!A4855),IF(הגדרות!$E$2&gt;0,TEXT('הדבקת לידים'!A4855,REPT("0",הגדרות!$E$2)),TEXT('הדבקת לידים'!A4855,"0")),TRIM('הדבקת לידים'!A4855)))</f>
        <v/>
      </c>
      <c r="B4855" s="0" t="str">
        <f aca="false">IF('הדבקת לידים'!B4855="","",IF(ISNUMBER('הדבקת לידים'!B4855),IF(הגדרות!$E$3&gt;0,TEXT('הדבקת לידים'!B4855,REPT("0",הגדרות!$E$3)),TEXT('הדבקת לידים'!B4855,"0")),TRIM('הדבקת לידים'!B4855)))</f>
        <v/>
      </c>
      <c r="C4855" s="0" t="n">
        <f aca="false">IF(OR(A4855&lt;&gt;"",B4855&lt;&gt;""),1,0)</f>
        <v>0</v>
      </c>
      <c r="D4855" s="0" t="str">
        <f aca="false">IF(C4855=1,MOD(ABS(SIN(ROW()*12.9898+'הדבקת לידים'!$F$2*78.233+IFERROR(--RIGHT(A4855,6),LEN(A4855))*0.0137+IFERROR(--RIGHT(B4855,6),LEN(B4855))*0.0071))*43758.5453,1),"")</f>
        <v/>
      </c>
      <c r="E4855" s="0" t="str">
        <f aca="false">IF(C4855=1,INT(MOD(ABS(SIN(D4855*7919.123+ROW()*0.618+'הדבקת לידים'!$F$2*1.3))*43758.5453,1)*1000000)*10000+ROW(),"")</f>
        <v/>
      </c>
      <c r="F4855" s="0" t="str">
        <f aca="false">IF(E4855="","",RANK(E4855,$E$2:$E$5001,1))</f>
        <v/>
      </c>
      <c r="G4855" s="0" t="n">
        <f aca="false">IF(A4855="",0,IF(SUMPRODUCT(--($A$2:$A$5001=A4855))&gt;1,1,0))</f>
        <v>0</v>
      </c>
      <c r="H4855" s="0" t="n">
        <f aca="false">ROW()-1</f>
        <v>4854</v>
      </c>
      <c r="I4855" s="0" t="str">
        <f aca="false">IF(OR(הגדרות!$E$6=0,H4855&gt;הגדרות!$E$5),"",IF(H4855-1&lt;הגדרות!$E$8*(הגדרות!$E$7+1),INT((H4855-1)/(הגדרות!$E$7+1)),הגדרות!$E$8+INT((H4855-1-הגדרות!$E$8*(הגדרות!$E$7+1))/הגדרות!$E$7)))</f>
        <v/>
      </c>
      <c r="J4855" s="0" t="str">
        <f aca="false">IF(I4855="","",IF(H4855-1&lt;הגדרות!$E$8*(הגדרות!$E$7+1),MOD(H4855-1,הגדרות!$E$7+1),MOD(H4855-1-הגדרות!$E$8*(הגדרות!$E$7+1),הגדרות!$E$7)))</f>
        <v/>
      </c>
      <c r="K4855" s="0" t="str">
        <f aca="false">IF(I4855="","",J4855*הגדרות!$E$6+I4855+1)</f>
        <v/>
      </c>
      <c r="L4855" s="0" t="str">
        <f aca="false">IF(K4855="","",MATCH(K4855,$F$2:$F$5001,0))</f>
        <v/>
      </c>
      <c r="M4855" s="0" t="str">
        <f aca="false">IF(I4855="","",INDEX(הגדרות!$A$2:$A$21,MOD(I4855+הגדרות!$E$9,הגדרות!$E$6)+1))</f>
        <v/>
      </c>
    </row>
    <row r="4856" customFormat="false" ht="15" hidden="false" customHeight="false" outlineLevel="0" collapsed="false">
      <c r="A4856" s="0" t="str">
        <f aca="false">IF('הדבקת לידים'!A4856="","",IF(ISNUMBER('הדבקת לידים'!A4856),IF(הגדרות!$E$2&gt;0,TEXT('הדבקת לידים'!A4856,REPT("0",הגדרות!$E$2)),TEXT('הדבקת לידים'!A4856,"0")),TRIM('הדבקת לידים'!A4856)))</f>
        <v/>
      </c>
      <c r="B4856" s="0" t="str">
        <f aca="false">IF('הדבקת לידים'!B4856="","",IF(ISNUMBER('הדבקת לידים'!B4856),IF(הגדרות!$E$3&gt;0,TEXT('הדבקת לידים'!B4856,REPT("0",הגדרות!$E$3)),TEXT('הדבקת לידים'!B4856,"0")),TRIM('הדבקת לידים'!B4856)))</f>
        <v/>
      </c>
      <c r="C4856" s="0" t="n">
        <f aca="false">IF(OR(A4856&lt;&gt;"",B4856&lt;&gt;""),1,0)</f>
        <v>0</v>
      </c>
      <c r="D4856" s="0" t="str">
        <f aca="false">IF(C4856=1,MOD(ABS(SIN(ROW()*12.9898+'הדבקת לידים'!$F$2*78.233+IFERROR(--RIGHT(A4856,6),LEN(A4856))*0.0137+IFERROR(--RIGHT(B4856,6),LEN(B4856))*0.0071))*43758.5453,1),"")</f>
        <v/>
      </c>
      <c r="E4856" s="0" t="str">
        <f aca="false">IF(C4856=1,INT(MOD(ABS(SIN(D4856*7919.123+ROW()*0.618+'הדבקת לידים'!$F$2*1.3))*43758.5453,1)*1000000)*10000+ROW(),"")</f>
        <v/>
      </c>
      <c r="F4856" s="0" t="str">
        <f aca="false">IF(E4856="","",RANK(E4856,$E$2:$E$5001,1))</f>
        <v/>
      </c>
      <c r="G4856" s="0" t="n">
        <f aca="false">IF(A4856="",0,IF(SUMPRODUCT(--($A$2:$A$5001=A4856))&gt;1,1,0))</f>
        <v>0</v>
      </c>
      <c r="H4856" s="0" t="n">
        <f aca="false">ROW()-1</f>
        <v>4855</v>
      </c>
      <c r="I4856" s="0" t="str">
        <f aca="false">IF(OR(הגדרות!$E$6=0,H4856&gt;הגדרות!$E$5),"",IF(H4856-1&lt;הגדרות!$E$8*(הגדרות!$E$7+1),INT((H4856-1)/(הגדרות!$E$7+1)),הגדרות!$E$8+INT((H4856-1-הגדרות!$E$8*(הגדרות!$E$7+1))/הגדרות!$E$7)))</f>
        <v/>
      </c>
      <c r="J4856" s="0" t="str">
        <f aca="false">IF(I4856="","",IF(H4856-1&lt;הגדרות!$E$8*(הגדרות!$E$7+1),MOD(H4856-1,הגדרות!$E$7+1),MOD(H4856-1-הגדרות!$E$8*(הגדרות!$E$7+1),הגדרות!$E$7)))</f>
        <v/>
      </c>
      <c r="K4856" s="0" t="str">
        <f aca="false">IF(I4856="","",J4856*הגדרות!$E$6+I4856+1)</f>
        <v/>
      </c>
      <c r="L4856" s="0" t="str">
        <f aca="false">IF(K4856="","",MATCH(K4856,$F$2:$F$5001,0))</f>
        <v/>
      </c>
      <c r="M4856" s="0" t="str">
        <f aca="false">IF(I4856="","",INDEX(הגדרות!$A$2:$A$21,MOD(I4856+הגדרות!$E$9,הגדרות!$E$6)+1))</f>
        <v/>
      </c>
    </row>
    <row r="4857" customFormat="false" ht="15" hidden="false" customHeight="false" outlineLevel="0" collapsed="false">
      <c r="A4857" s="0" t="str">
        <f aca="false">IF('הדבקת לידים'!A4857="","",IF(ISNUMBER('הדבקת לידים'!A4857),IF(הגדרות!$E$2&gt;0,TEXT('הדבקת לידים'!A4857,REPT("0",הגדרות!$E$2)),TEXT('הדבקת לידים'!A4857,"0")),TRIM('הדבקת לידים'!A4857)))</f>
        <v/>
      </c>
      <c r="B4857" s="0" t="str">
        <f aca="false">IF('הדבקת לידים'!B4857="","",IF(ISNUMBER('הדבקת לידים'!B4857),IF(הגדרות!$E$3&gt;0,TEXT('הדבקת לידים'!B4857,REPT("0",הגדרות!$E$3)),TEXT('הדבקת לידים'!B4857,"0")),TRIM('הדבקת לידים'!B4857)))</f>
        <v/>
      </c>
      <c r="C4857" s="0" t="n">
        <f aca="false">IF(OR(A4857&lt;&gt;"",B4857&lt;&gt;""),1,0)</f>
        <v>0</v>
      </c>
      <c r="D4857" s="0" t="str">
        <f aca="false">IF(C4857=1,MOD(ABS(SIN(ROW()*12.9898+'הדבקת לידים'!$F$2*78.233+IFERROR(--RIGHT(A4857,6),LEN(A4857))*0.0137+IFERROR(--RIGHT(B4857,6),LEN(B4857))*0.0071))*43758.5453,1),"")</f>
        <v/>
      </c>
      <c r="E4857" s="0" t="str">
        <f aca="false">IF(C4857=1,INT(MOD(ABS(SIN(D4857*7919.123+ROW()*0.618+'הדבקת לידים'!$F$2*1.3))*43758.5453,1)*1000000)*10000+ROW(),"")</f>
        <v/>
      </c>
      <c r="F4857" s="0" t="str">
        <f aca="false">IF(E4857="","",RANK(E4857,$E$2:$E$5001,1))</f>
        <v/>
      </c>
      <c r="G4857" s="0" t="n">
        <f aca="false">IF(A4857="",0,IF(SUMPRODUCT(--($A$2:$A$5001=A4857))&gt;1,1,0))</f>
        <v>0</v>
      </c>
      <c r="H4857" s="0" t="n">
        <f aca="false">ROW()-1</f>
        <v>4856</v>
      </c>
      <c r="I4857" s="0" t="str">
        <f aca="false">IF(OR(הגדרות!$E$6=0,H4857&gt;הגדרות!$E$5),"",IF(H4857-1&lt;הגדרות!$E$8*(הגדרות!$E$7+1),INT((H4857-1)/(הגדרות!$E$7+1)),הגדרות!$E$8+INT((H4857-1-הגדרות!$E$8*(הגדרות!$E$7+1))/הגדרות!$E$7)))</f>
        <v/>
      </c>
      <c r="J4857" s="0" t="str">
        <f aca="false">IF(I4857="","",IF(H4857-1&lt;הגדרות!$E$8*(הגדרות!$E$7+1),MOD(H4857-1,הגדרות!$E$7+1),MOD(H4857-1-הגדרות!$E$8*(הגדרות!$E$7+1),הגדרות!$E$7)))</f>
        <v/>
      </c>
      <c r="K4857" s="0" t="str">
        <f aca="false">IF(I4857="","",J4857*הגדרות!$E$6+I4857+1)</f>
        <v/>
      </c>
      <c r="L4857" s="0" t="str">
        <f aca="false">IF(K4857="","",MATCH(K4857,$F$2:$F$5001,0))</f>
        <v/>
      </c>
      <c r="M4857" s="0" t="str">
        <f aca="false">IF(I4857="","",INDEX(הגדרות!$A$2:$A$21,MOD(I4857+הגדרות!$E$9,הגדרות!$E$6)+1))</f>
        <v/>
      </c>
    </row>
    <row r="4858" customFormat="false" ht="15" hidden="false" customHeight="false" outlineLevel="0" collapsed="false">
      <c r="A4858" s="0" t="str">
        <f aca="false">IF('הדבקת לידים'!A4858="","",IF(ISNUMBER('הדבקת לידים'!A4858),IF(הגדרות!$E$2&gt;0,TEXT('הדבקת לידים'!A4858,REPT("0",הגדרות!$E$2)),TEXT('הדבקת לידים'!A4858,"0")),TRIM('הדבקת לידים'!A4858)))</f>
        <v/>
      </c>
      <c r="B4858" s="0" t="str">
        <f aca="false">IF('הדבקת לידים'!B4858="","",IF(ISNUMBER('הדבקת לידים'!B4858),IF(הגדרות!$E$3&gt;0,TEXT('הדבקת לידים'!B4858,REPT("0",הגדרות!$E$3)),TEXT('הדבקת לידים'!B4858,"0")),TRIM('הדבקת לידים'!B4858)))</f>
        <v/>
      </c>
      <c r="C4858" s="0" t="n">
        <f aca="false">IF(OR(A4858&lt;&gt;"",B4858&lt;&gt;""),1,0)</f>
        <v>0</v>
      </c>
      <c r="D4858" s="0" t="str">
        <f aca="false">IF(C4858=1,MOD(ABS(SIN(ROW()*12.9898+'הדבקת לידים'!$F$2*78.233+IFERROR(--RIGHT(A4858,6),LEN(A4858))*0.0137+IFERROR(--RIGHT(B4858,6),LEN(B4858))*0.0071))*43758.5453,1),"")</f>
        <v/>
      </c>
      <c r="E4858" s="0" t="str">
        <f aca="false">IF(C4858=1,INT(MOD(ABS(SIN(D4858*7919.123+ROW()*0.618+'הדבקת לידים'!$F$2*1.3))*43758.5453,1)*1000000)*10000+ROW(),"")</f>
        <v/>
      </c>
      <c r="F4858" s="0" t="str">
        <f aca="false">IF(E4858="","",RANK(E4858,$E$2:$E$5001,1))</f>
        <v/>
      </c>
      <c r="G4858" s="0" t="n">
        <f aca="false">IF(A4858="",0,IF(SUMPRODUCT(--($A$2:$A$5001=A4858))&gt;1,1,0))</f>
        <v>0</v>
      </c>
      <c r="H4858" s="0" t="n">
        <f aca="false">ROW()-1</f>
        <v>4857</v>
      </c>
      <c r="I4858" s="0" t="str">
        <f aca="false">IF(OR(הגדרות!$E$6=0,H4858&gt;הגדרות!$E$5),"",IF(H4858-1&lt;הגדרות!$E$8*(הגדרות!$E$7+1),INT((H4858-1)/(הגדרות!$E$7+1)),הגדרות!$E$8+INT((H4858-1-הגדרות!$E$8*(הגדרות!$E$7+1))/הגדרות!$E$7)))</f>
        <v/>
      </c>
      <c r="J4858" s="0" t="str">
        <f aca="false">IF(I4858="","",IF(H4858-1&lt;הגדרות!$E$8*(הגדרות!$E$7+1),MOD(H4858-1,הגדרות!$E$7+1),MOD(H4858-1-הגדרות!$E$8*(הגדרות!$E$7+1),הגדרות!$E$7)))</f>
        <v/>
      </c>
      <c r="K4858" s="0" t="str">
        <f aca="false">IF(I4858="","",J4858*הגדרות!$E$6+I4858+1)</f>
        <v/>
      </c>
      <c r="L4858" s="0" t="str">
        <f aca="false">IF(K4858="","",MATCH(K4858,$F$2:$F$5001,0))</f>
        <v/>
      </c>
      <c r="M4858" s="0" t="str">
        <f aca="false">IF(I4858="","",INDEX(הגדרות!$A$2:$A$21,MOD(I4858+הגדרות!$E$9,הגדרות!$E$6)+1))</f>
        <v/>
      </c>
    </row>
    <row r="4859" customFormat="false" ht="15" hidden="false" customHeight="false" outlineLevel="0" collapsed="false">
      <c r="A4859" s="0" t="str">
        <f aca="false">IF('הדבקת לידים'!A4859="","",IF(ISNUMBER('הדבקת לידים'!A4859),IF(הגדרות!$E$2&gt;0,TEXT('הדבקת לידים'!A4859,REPT("0",הגדרות!$E$2)),TEXT('הדבקת לידים'!A4859,"0")),TRIM('הדבקת לידים'!A4859)))</f>
        <v/>
      </c>
      <c r="B4859" s="0" t="str">
        <f aca="false">IF('הדבקת לידים'!B4859="","",IF(ISNUMBER('הדבקת לידים'!B4859),IF(הגדרות!$E$3&gt;0,TEXT('הדבקת לידים'!B4859,REPT("0",הגדרות!$E$3)),TEXT('הדבקת לידים'!B4859,"0")),TRIM('הדבקת לידים'!B4859)))</f>
        <v/>
      </c>
      <c r="C4859" s="0" t="n">
        <f aca="false">IF(OR(A4859&lt;&gt;"",B4859&lt;&gt;""),1,0)</f>
        <v>0</v>
      </c>
      <c r="D4859" s="0" t="str">
        <f aca="false">IF(C4859=1,MOD(ABS(SIN(ROW()*12.9898+'הדבקת לידים'!$F$2*78.233+IFERROR(--RIGHT(A4859,6),LEN(A4859))*0.0137+IFERROR(--RIGHT(B4859,6),LEN(B4859))*0.0071))*43758.5453,1),"")</f>
        <v/>
      </c>
      <c r="E4859" s="0" t="str">
        <f aca="false">IF(C4859=1,INT(MOD(ABS(SIN(D4859*7919.123+ROW()*0.618+'הדבקת לידים'!$F$2*1.3))*43758.5453,1)*1000000)*10000+ROW(),"")</f>
        <v/>
      </c>
      <c r="F4859" s="0" t="str">
        <f aca="false">IF(E4859="","",RANK(E4859,$E$2:$E$5001,1))</f>
        <v/>
      </c>
      <c r="G4859" s="0" t="n">
        <f aca="false">IF(A4859="",0,IF(SUMPRODUCT(--($A$2:$A$5001=A4859))&gt;1,1,0))</f>
        <v>0</v>
      </c>
      <c r="H4859" s="0" t="n">
        <f aca="false">ROW()-1</f>
        <v>4858</v>
      </c>
      <c r="I4859" s="0" t="str">
        <f aca="false">IF(OR(הגדרות!$E$6=0,H4859&gt;הגדרות!$E$5),"",IF(H4859-1&lt;הגדרות!$E$8*(הגדרות!$E$7+1),INT((H4859-1)/(הגדרות!$E$7+1)),הגדרות!$E$8+INT((H4859-1-הגדרות!$E$8*(הגדרות!$E$7+1))/הגדרות!$E$7)))</f>
        <v/>
      </c>
      <c r="J4859" s="0" t="str">
        <f aca="false">IF(I4859="","",IF(H4859-1&lt;הגדרות!$E$8*(הגדרות!$E$7+1),MOD(H4859-1,הגדרות!$E$7+1),MOD(H4859-1-הגדרות!$E$8*(הגדרות!$E$7+1),הגדרות!$E$7)))</f>
        <v/>
      </c>
      <c r="K4859" s="0" t="str">
        <f aca="false">IF(I4859="","",J4859*הגדרות!$E$6+I4859+1)</f>
        <v/>
      </c>
      <c r="L4859" s="0" t="str">
        <f aca="false">IF(K4859="","",MATCH(K4859,$F$2:$F$5001,0))</f>
        <v/>
      </c>
      <c r="M4859" s="0" t="str">
        <f aca="false">IF(I4859="","",INDEX(הגדרות!$A$2:$A$21,MOD(I4859+הגדרות!$E$9,הגדרות!$E$6)+1))</f>
        <v/>
      </c>
    </row>
    <row r="4860" customFormat="false" ht="15" hidden="false" customHeight="false" outlineLevel="0" collapsed="false">
      <c r="A4860" s="0" t="str">
        <f aca="false">IF('הדבקת לידים'!A4860="","",IF(ISNUMBER('הדבקת לידים'!A4860),IF(הגדרות!$E$2&gt;0,TEXT('הדבקת לידים'!A4860,REPT("0",הגדרות!$E$2)),TEXT('הדבקת לידים'!A4860,"0")),TRIM('הדבקת לידים'!A4860)))</f>
        <v/>
      </c>
      <c r="B4860" s="0" t="str">
        <f aca="false">IF('הדבקת לידים'!B4860="","",IF(ISNUMBER('הדבקת לידים'!B4860),IF(הגדרות!$E$3&gt;0,TEXT('הדבקת לידים'!B4860,REPT("0",הגדרות!$E$3)),TEXT('הדבקת לידים'!B4860,"0")),TRIM('הדבקת לידים'!B4860)))</f>
        <v/>
      </c>
      <c r="C4860" s="0" t="n">
        <f aca="false">IF(OR(A4860&lt;&gt;"",B4860&lt;&gt;""),1,0)</f>
        <v>0</v>
      </c>
      <c r="D4860" s="0" t="str">
        <f aca="false">IF(C4860=1,MOD(ABS(SIN(ROW()*12.9898+'הדבקת לידים'!$F$2*78.233+IFERROR(--RIGHT(A4860,6),LEN(A4860))*0.0137+IFERROR(--RIGHT(B4860,6),LEN(B4860))*0.0071))*43758.5453,1),"")</f>
        <v/>
      </c>
      <c r="E4860" s="0" t="str">
        <f aca="false">IF(C4860=1,INT(MOD(ABS(SIN(D4860*7919.123+ROW()*0.618+'הדבקת לידים'!$F$2*1.3))*43758.5453,1)*1000000)*10000+ROW(),"")</f>
        <v/>
      </c>
      <c r="F4860" s="0" t="str">
        <f aca="false">IF(E4860="","",RANK(E4860,$E$2:$E$5001,1))</f>
        <v/>
      </c>
      <c r="G4860" s="0" t="n">
        <f aca="false">IF(A4860="",0,IF(SUMPRODUCT(--($A$2:$A$5001=A4860))&gt;1,1,0))</f>
        <v>0</v>
      </c>
      <c r="H4860" s="0" t="n">
        <f aca="false">ROW()-1</f>
        <v>4859</v>
      </c>
      <c r="I4860" s="0" t="str">
        <f aca="false">IF(OR(הגדרות!$E$6=0,H4860&gt;הגדרות!$E$5),"",IF(H4860-1&lt;הגדרות!$E$8*(הגדרות!$E$7+1),INT((H4860-1)/(הגדרות!$E$7+1)),הגדרות!$E$8+INT((H4860-1-הגדרות!$E$8*(הגדרות!$E$7+1))/הגדרות!$E$7)))</f>
        <v/>
      </c>
      <c r="J4860" s="0" t="str">
        <f aca="false">IF(I4860="","",IF(H4860-1&lt;הגדרות!$E$8*(הגדרות!$E$7+1),MOD(H4860-1,הגדרות!$E$7+1),MOD(H4860-1-הגדרות!$E$8*(הגדרות!$E$7+1),הגדרות!$E$7)))</f>
        <v/>
      </c>
      <c r="K4860" s="0" t="str">
        <f aca="false">IF(I4860="","",J4860*הגדרות!$E$6+I4860+1)</f>
        <v/>
      </c>
      <c r="L4860" s="0" t="str">
        <f aca="false">IF(K4860="","",MATCH(K4860,$F$2:$F$5001,0))</f>
        <v/>
      </c>
      <c r="M4860" s="0" t="str">
        <f aca="false">IF(I4860="","",INDEX(הגדרות!$A$2:$A$21,MOD(I4860+הגדרות!$E$9,הגדרות!$E$6)+1))</f>
        <v/>
      </c>
    </row>
    <row r="4861" customFormat="false" ht="15" hidden="false" customHeight="false" outlineLevel="0" collapsed="false">
      <c r="A4861" s="0" t="str">
        <f aca="false">IF('הדבקת לידים'!A4861="","",IF(ISNUMBER('הדבקת לידים'!A4861),IF(הגדרות!$E$2&gt;0,TEXT('הדבקת לידים'!A4861,REPT("0",הגדרות!$E$2)),TEXT('הדבקת לידים'!A4861,"0")),TRIM('הדבקת לידים'!A4861)))</f>
        <v/>
      </c>
      <c r="B4861" s="0" t="str">
        <f aca="false">IF('הדבקת לידים'!B4861="","",IF(ISNUMBER('הדבקת לידים'!B4861),IF(הגדרות!$E$3&gt;0,TEXT('הדבקת לידים'!B4861,REPT("0",הגדרות!$E$3)),TEXT('הדבקת לידים'!B4861,"0")),TRIM('הדבקת לידים'!B4861)))</f>
        <v/>
      </c>
      <c r="C4861" s="0" t="n">
        <f aca="false">IF(OR(A4861&lt;&gt;"",B4861&lt;&gt;""),1,0)</f>
        <v>0</v>
      </c>
      <c r="D4861" s="0" t="str">
        <f aca="false">IF(C4861=1,MOD(ABS(SIN(ROW()*12.9898+'הדבקת לידים'!$F$2*78.233+IFERROR(--RIGHT(A4861,6),LEN(A4861))*0.0137+IFERROR(--RIGHT(B4861,6),LEN(B4861))*0.0071))*43758.5453,1),"")</f>
        <v/>
      </c>
      <c r="E4861" s="0" t="str">
        <f aca="false">IF(C4861=1,INT(MOD(ABS(SIN(D4861*7919.123+ROW()*0.618+'הדבקת לידים'!$F$2*1.3))*43758.5453,1)*1000000)*10000+ROW(),"")</f>
        <v/>
      </c>
      <c r="F4861" s="0" t="str">
        <f aca="false">IF(E4861="","",RANK(E4861,$E$2:$E$5001,1))</f>
        <v/>
      </c>
      <c r="G4861" s="0" t="n">
        <f aca="false">IF(A4861="",0,IF(SUMPRODUCT(--($A$2:$A$5001=A4861))&gt;1,1,0))</f>
        <v>0</v>
      </c>
      <c r="H4861" s="0" t="n">
        <f aca="false">ROW()-1</f>
        <v>4860</v>
      </c>
      <c r="I4861" s="0" t="str">
        <f aca="false">IF(OR(הגדרות!$E$6=0,H4861&gt;הגדרות!$E$5),"",IF(H4861-1&lt;הגדרות!$E$8*(הגדרות!$E$7+1),INT((H4861-1)/(הגדרות!$E$7+1)),הגדרות!$E$8+INT((H4861-1-הגדרות!$E$8*(הגדרות!$E$7+1))/הגדרות!$E$7)))</f>
        <v/>
      </c>
      <c r="J4861" s="0" t="str">
        <f aca="false">IF(I4861="","",IF(H4861-1&lt;הגדרות!$E$8*(הגדרות!$E$7+1),MOD(H4861-1,הגדרות!$E$7+1),MOD(H4861-1-הגדרות!$E$8*(הגדרות!$E$7+1),הגדרות!$E$7)))</f>
        <v/>
      </c>
      <c r="K4861" s="0" t="str">
        <f aca="false">IF(I4861="","",J4861*הגדרות!$E$6+I4861+1)</f>
        <v/>
      </c>
      <c r="L4861" s="0" t="str">
        <f aca="false">IF(K4861="","",MATCH(K4861,$F$2:$F$5001,0))</f>
        <v/>
      </c>
      <c r="M4861" s="0" t="str">
        <f aca="false">IF(I4861="","",INDEX(הגדרות!$A$2:$A$21,MOD(I4861+הגדרות!$E$9,הגדרות!$E$6)+1))</f>
        <v/>
      </c>
    </row>
    <row r="4862" customFormat="false" ht="15" hidden="false" customHeight="false" outlineLevel="0" collapsed="false">
      <c r="A4862" s="0" t="str">
        <f aca="false">IF('הדבקת לידים'!A4862="","",IF(ISNUMBER('הדבקת לידים'!A4862),IF(הגדרות!$E$2&gt;0,TEXT('הדבקת לידים'!A4862,REPT("0",הגדרות!$E$2)),TEXT('הדבקת לידים'!A4862,"0")),TRIM('הדבקת לידים'!A4862)))</f>
        <v/>
      </c>
      <c r="B4862" s="0" t="str">
        <f aca="false">IF('הדבקת לידים'!B4862="","",IF(ISNUMBER('הדבקת לידים'!B4862),IF(הגדרות!$E$3&gt;0,TEXT('הדבקת לידים'!B4862,REPT("0",הגדרות!$E$3)),TEXT('הדבקת לידים'!B4862,"0")),TRIM('הדבקת לידים'!B4862)))</f>
        <v/>
      </c>
      <c r="C4862" s="0" t="n">
        <f aca="false">IF(OR(A4862&lt;&gt;"",B4862&lt;&gt;""),1,0)</f>
        <v>0</v>
      </c>
      <c r="D4862" s="0" t="str">
        <f aca="false">IF(C4862=1,MOD(ABS(SIN(ROW()*12.9898+'הדבקת לידים'!$F$2*78.233+IFERROR(--RIGHT(A4862,6),LEN(A4862))*0.0137+IFERROR(--RIGHT(B4862,6),LEN(B4862))*0.0071))*43758.5453,1),"")</f>
        <v/>
      </c>
      <c r="E4862" s="0" t="str">
        <f aca="false">IF(C4862=1,INT(MOD(ABS(SIN(D4862*7919.123+ROW()*0.618+'הדבקת לידים'!$F$2*1.3))*43758.5453,1)*1000000)*10000+ROW(),"")</f>
        <v/>
      </c>
      <c r="F4862" s="0" t="str">
        <f aca="false">IF(E4862="","",RANK(E4862,$E$2:$E$5001,1))</f>
        <v/>
      </c>
      <c r="G4862" s="0" t="n">
        <f aca="false">IF(A4862="",0,IF(SUMPRODUCT(--($A$2:$A$5001=A4862))&gt;1,1,0))</f>
        <v>0</v>
      </c>
      <c r="H4862" s="0" t="n">
        <f aca="false">ROW()-1</f>
        <v>4861</v>
      </c>
      <c r="I4862" s="0" t="str">
        <f aca="false">IF(OR(הגדרות!$E$6=0,H4862&gt;הגדרות!$E$5),"",IF(H4862-1&lt;הגדרות!$E$8*(הגדרות!$E$7+1),INT((H4862-1)/(הגדרות!$E$7+1)),הגדרות!$E$8+INT((H4862-1-הגדרות!$E$8*(הגדרות!$E$7+1))/הגדרות!$E$7)))</f>
        <v/>
      </c>
      <c r="J4862" s="0" t="str">
        <f aca="false">IF(I4862="","",IF(H4862-1&lt;הגדרות!$E$8*(הגדרות!$E$7+1),MOD(H4862-1,הגדרות!$E$7+1),MOD(H4862-1-הגדרות!$E$8*(הגדרות!$E$7+1),הגדרות!$E$7)))</f>
        <v/>
      </c>
      <c r="K4862" s="0" t="str">
        <f aca="false">IF(I4862="","",J4862*הגדרות!$E$6+I4862+1)</f>
        <v/>
      </c>
      <c r="L4862" s="0" t="str">
        <f aca="false">IF(K4862="","",MATCH(K4862,$F$2:$F$5001,0))</f>
        <v/>
      </c>
      <c r="M4862" s="0" t="str">
        <f aca="false">IF(I4862="","",INDEX(הגדרות!$A$2:$A$21,MOD(I4862+הגדרות!$E$9,הגדרות!$E$6)+1))</f>
        <v/>
      </c>
    </row>
    <row r="4863" customFormat="false" ht="15" hidden="false" customHeight="false" outlineLevel="0" collapsed="false">
      <c r="A4863" s="0" t="str">
        <f aca="false">IF('הדבקת לידים'!A4863="","",IF(ISNUMBER('הדבקת לידים'!A4863),IF(הגדרות!$E$2&gt;0,TEXT('הדבקת לידים'!A4863,REPT("0",הגדרות!$E$2)),TEXT('הדבקת לידים'!A4863,"0")),TRIM('הדבקת לידים'!A4863)))</f>
        <v/>
      </c>
      <c r="B4863" s="0" t="str">
        <f aca="false">IF('הדבקת לידים'!B4863="","",IF(ISNUMBER('הדבקת לידים'!B4863),IF(הגדרות!$E$3&gt;0,TEXT('הדבקת לידים'!B4863,REPT("0",הגדרות!$E$3)),TEXT('הדבקת לידים'!B4863,"0")),TRIM('הדבקת לידים'!B4863)))</f>
        <v/>
      </c>
      <c r="C4863" s="0" t="n">
        <f aca="false">IF(OR(A4863&lt;&gt;"",B4863&lt;&gt;""),1,0)</f>
        <v>0</v>
      </c>
      <c r="D4863" s="0" t="str">
        <f aca="false">IF(C4863=1,MOD(ABS(SIN(ROW()*12.9898+'הדבקת לידים'!$F$2*78.233+IFERROR(--RIGHT(A4863,6),LEN(A4863))*0.0137+IFERROR(--RIGHT(B4863,6),LEN(B4863))*0.0071))*43758.5453,1),"")</f>
        <v/>
      </c>
      <c r="E4863" s="0" t="str">
        <f aca="false">IF(C4863=1,INT(MOD(ABS(SIN(D4863*7919.123+ROW()*0.618+'הדבקת לידים'!$F$2*1.3))*43758.5453,1)*1000000)*10000+ROW(),"")</f>
        <v/>
      </c>
      <c r="F4863" s="0" t="str">
        <f aca="false">IF(E4863="","",RANK(E4863,$E$2:$E$5001,1))</f>
        <v/>
      </c>
      <c r="G4863" s="0" t="n">
        <f aca="false">IF(A4863="",0,IF(SUMPRODUCT(--($A$2:$A$5001=A4863))&gt;1,1,0))</f>
        <v>0</v>
      </c>
      <c r="H4863" s="0" t="n">
        <f aca="false">ROW()-1</f>
        <v>4862</v>
      </c>
      <c r="I4863" s="0" t="str">
        <f aca="false">IF(OR(הגדרות!$E$6=0,H4863&gt;הגדרות!$E$5),"",IF(H4863-1&lt;הגדרות!$E$8*(הגדרות!$E$7+1),INT((H4863-1)/(הגדרות!$E$7+1)),הגדרות!$E$8+INT((H4863-1-הגדרות!$E$8*(הגדרות!$E$7+1))/הגדרות!$E$7)))</f>
        <v/>
      </c>
      <c r="J4863" s="0" t="str">
        <f aca="false">IF(I4863="","",IF(H4863-1&lt;הגדרות!$E$8*(הגדרות!$E$7+1),MOD(H4863-1,הגדרות!$E$7+1),MOD(H4863-1-הגדרות!$E$8*(הגדרות!$E$7+1),הגדרות!$E$7)))</f>
        <v/>
      </c>
      <c r="K4863" s="0" t="str">
        <f aca="false">IF(I4863="","",J4863*הגדרות!$E$6+I4863+1)</f>
        <v/>
      </c>
      <c r="L4863" s="0" t="str">
        <f aca="false">IF(K4863="","",MATCH(K4863,$F$2:$F$5001,0))</f>
        <v/>
      </c>
      <c r="M4863" s="0" t="str">
        <f aca="false">IF(I4863="","",INDEX(הגדרות!$A$2:$A$21,MOD(I4863+הגדרות!$E$9,הגדרות!$E$6)+1))</f>
        <v/>
      </c>
    </row>
    <row r="4864" customFormat="false" ht="15" hidden="false" customHeight="false" outlineLevel="0" collapsed="false">
      <c r="A4864" s="0" t="str">
        <f aca="false">IF('הדבקת לידים'!A4864="","",IF(ISNUMBER('הדבקת לידים'!A4864),IF(הגדרות!$E$2&gt;0,TEXT('הדבקת לידים'!A4864,REPT("0",הגדרות!$E$2)),TEXT('הדבקת לידים'!A4864,"0")),TRIM('הדבקת לידים'!A4864)))</f>
        <v/>
      </c>
      <c r="B4864" s="0" t="str">
        <f aca="false">IF('הדבקת לידים'!B4864="","",IF(ISNUMBER('הדבקת לידים'!B4864),IF(הגדרות!$E$3&gt;0,TEXT('הדבקת לידים'!B4864,REPT("0",הגדרות!$E$3)),TEXT('הדבקת לידים'!B4864,"0")),TRIM('הדבקת לידים'!B4864)))</f>
        <v/>
      </c>
      <c r="C4864" s="0" t="n">
        <f aca="false">IF(OR(A4864&lt;&gt;"",B4864&lt;&gt;""),1,0)</f>
        <v>0</v>
      </c>
      <c r="D4864" s="0" t="str">
        <f aca="false">IF(C4864=1,MOD(ABS(SIN(ROW()*12.9898+'הדבקת לידים'!$F$2*78.233+IFERROR(--RIGHT(A4864,6),LEN(A4864))*0.0137+IFERROR(--RIGHT(B4864,6),LEN(B4864))*0.0071))*43758.5453,1),"")</f>
        <v/>
      </c>
      <c r="E4864" s="0" t="str">
        <f aca="false">IF(C4864=1,INT(MOD(ABS(SIN(D4864*7919.123+ROW()*0.618+'הדבקת לידים'!$F$2*1.3))*43758.5453,1)*1000000)*10000+ROW(),"")</f>
        <v/>
      </c>
      <c r="F4864" s="0" t="str">
        <f aca="false">IF(E4864="","",RANK(E4864,$E$2:$E$5001,1))</f>
        <v/>
      </c>
      <c r="G4864" s="0" t="n">
        <f aca="false">IF(A4864="",0,IF(SUMPRODUCT(--($A$2:$A$5001=A4864))&gt;1,1,0))</f>
        <v>0</v>
      </c>
      <c r="H4864" s="0" t="n">
        <f aca="false">ROW()-1</f>
        <v>4863</v>
      </c>
      <c r="I4864" s="0" t="str">
        <f aca="false">IF(OR(הגדרות!$E$6=0,H4864&gt;הגדרות!$E$5),"",IF(H4864-1&lt;הגדרות!$E$8*(הגדרות!$E$7+1),INT((H4864-1)/(הגדרות!$E$7+1)),הגדרות!$E$8+INT((H4864-1-הגדרות!$E$8*(הגדרות!$E$7+1))/הגדרות!$E$7)))</f>
        <v/>
      </c>
      <c r="J4864" s="0" t="str">
        <f aca="false">IF(I4864="","",IF(H4864-1&lt;הגדרות!$E$8*(הגדרות!$E$7+1),MOD(H4864-1,הגדרות!$E$7+1),MOD(H4864-1-הגדרות!$E$8*(הגדרות!$E$7+1),הגדרות!$E$7)))</f>
        <v/>
      </c>
      <c r="K4864" s="0" t="str">
        <f aca="false">IF(I4864="","",J4864*הגדרות!$E$6+I4864+1)</f>
        <v/>
      </c>
      <c r="L4864" s="0" t="str">
        <f aca="false">IF(K4864="","",MATCH(K4864,$F$2:$F$5001,0))</f>
        <v/>
      </c>
      <c r="M4864" s="0" t="str">
        <f aca="false">IF(I4864="","",INDEX(הגדרות!$A$2:$A$21,MOD(I4864+הגדרות!$E$9,הגדרות!$E$6)+1))</f>
        <v/>
      </c>
    </row>
    <row r="4865" customFormat="false" ht="15" hidden="false" customHeight="false" outlineLevel="0" collapsed="false">
      <c r="A4865" s="0" t="str">
        <f aca="false">IF('הדבקת לידים'!A4865="","",IF(ISNUMBER('הדבקת לידים'!A4865),IF(הגדרות!$E$2&gt;0,TEXT('הדבקת לידים'!A4865,REPT("0",הגדרות!$E$2)),TEXT('הדבקת לידים'!A4865,"0")),TRIM('הדבקת לידים'!A4865)))</f>
        <v/>
      </c>
      <c r="B4865" s="0" t="str">
        <f aca="false">IF('הדבקת לידים'!B4865="","",IF(ISNUMBER('הדבקת לידים'!B4865),IF(הגדרות!$E$3&gt;0,TEXT('הדבקת לידים'!B4865,REPT("0",הגדרות!$E$3)),TEXT('הדבקת לידים'!B4865,"0")),TRIM('הדבקת לידים'!B4865)))</f>
        <v/>
      </c>
      <c r="C4865" s="0" t="n">
        <f aca="false">IF(OR(A4865&lt;&gt;"",B4865&lt;&gt;""),1,0)</f>
        <v>0</v>
      </c>
      <c r="D4865" s="0" t="str">
        <f aca="false">IF(C4865=1,MOD(ABS(SIN(ROW()*12.9898+'הדבקת לידים'!$F$2*78.233+IFERROR(--RIGHT(A4865,6),LEN(A4865))*0.0137+IFERROR(--RIGHT(B4865,6),LEN(B4865))*0.0071))*43758.5453,1),"")</f>
        <v/>
      </c>
      <c r="E4865" s="0" t="str">
        <f aca="false">IF(C4865=1,INT(MOD(ABS(SIN(D4865*7919.123+ROW()*0.618+'הדבקת לידים'!$F$2*1.3))*43758.5453,1)*1000000)*10000+ROW(),"")</f>
        <v/>
      </c>
      <c r="F4865" s="0" t="str">
        <f aca="false">IF(E4865="","",RANK(E4865,$E$2:$E$5001,1))</f>
        <v/>
      </c>
      <c r="G4865" s="0" t="n">
        <f aca="false">IF(A4865="",0,IF(SUMPRODUCT(--($A$2:$A$5001=A4865))&gt;1,1,0))</f>
        <v>0</v>
      </c>
      <c r="H4865" s="0" t="n">
        <f aca="false">ROW()-1</f>
        <v>4864</v>
      </c>
      <c r="I4865" s="0" t="str">
        <f aca="false">IF(OR(הגדרות!$E$6=0,H4865&gt;הגדרות!$E$5),"",IF(H4865-1&lt;הגדרות!$E$8*(הגדרות!$E$7+1),INT((H4865-1)/(הגדרות!$E$7+1)),הגדרות!$E$8+INT((H4865-1-הגדרות!$E$8*(הגדרות!$E$7+1))/הגדרות!$E$7)))</f>
        <v/>
      </c>
      <c r="J4865" s="0" t="str">
        <f aca="false">IF(I4865="","",IF(H4865-1&lt;הגדרות!$E$8*(הגדרות!$E$7+1),MOD(H4865-1,הגדרות!$E$7+1),MOD(H4865-1-הגדרות!$E$8*(הגדרות!$E$7+1),הגדרות!$E$7)))</f>
        <v/>
      </c>
      <c r="K4865" s="0" t="str">
        <f aca="false">IF(I4865="","",J4865*הגדרות!$E$6+I4865+1)</f>
        <v/>
      </c>
      <c r="L4865" s="0" t="str">
        <f aca="false">IF(K4865="","",MATCH(K4865,$F$2:$F$5001,0))</f>
        <v/>
      </c>
      <c r="M4865" s="0" t="str">
        <f aca="false">IF(I4865="","",INDEX(הגדרות!$A$2:$A$21,MOD(I4865+הגדרות!$E$9,הגדרות!$E$6)+1))</f>
        <v/>
      </c>
    </row>
    <row r="4866" customFormat="false" ht="15" hidden="false" customHeight="false" outlineLevel="0" collapsed="false">
      <c r="A4866" s="0" t="str">
        <f aca="false">IF('הדבקת לידים'!A4866="","",IF(ISNUMBER('הדבקת לידים'!A4866),IF(הגדרות!$E$2&gt;0,TEXT('הדבקת לידים'!A4866,REPT("0",הגדרות!$E$2)),TEXT('הדבקת לידים'!A4866,"0")),TRIM('הדבקת לידים'!A4866)))</f>
        <v/>
      </c>
      <c r="B4866" s="0" t="str">
        <f aca="false">IF('הדבקת לידים'!B4866="","",IF(ISNUMBER('הדבקת לידים'!B4866),IF(הגדרות!$E$3&gt;0,TEXT('הדבקת לידים'!B4866,REPT("0",הגדרות!$E$3)),TEXT('הדבקת לידים'!B4866,"0")),TRIM('הדבקת לידים'!B4866)))</f>
        <v/>
      </c>
      <c r="C4866" s="0" t="n">
        <f aca="false">IF(OR(A4866&lt;&gt;"",B4866&lt;&gt;""),1,0)</f>
        <v>0</v>
      </c>
      <c r="D4866" s="0" t="str">
        <f aca="false">IF(C4866=1,MOD(ABS(SIN(ROW()*12.9898+'הדבקת לידים'!$F$2*78.233+IFERROR(--RIGHT(A4866,6),LEN(A4866))*0.0137+IFERROR(--RIGHT(B4866,6),LEN(B4866))*0.0071))*43758.5453,1),"")</f>
        <v/>
      </c>
      <c r="E4866" s="0" t="str">
        <f aca="false">IF(C4866=1,INT(MOD(ABS(SIN(D4866*7919.123+ROW()*0.618+'הדבקת לידים'!$F$2*1.3))*43758.5453,1)*1000000)*10000+ROW(),"")</f>
        <v/>
      </c>
      <c r="F4866" s="0" t="str">
        <f aca="false">IF(E4866="","",RANK(E4866,$E$2:$E$5001,1))</f>
        <v/>
      </c>
      <c r="G4866" s="0" t="n">
        <f aca="false">IF(A4866="",0,IF(SUMPRODUCT(--($A$2:$A$5001=A4866))&gt;1,1,0))</f>
        <v>0</v>
      </c>
      <c r="H4866" s="0" t="n">
        <f aca="false">ROW()-1</f>
        <v>4865</v>
      </c>
      <c r="I4866" s="0" t="str">
        <f aca="false">IF(OR(הגדרות!$E$6=0,H4866&gt;הגדרות!$E$5),"",IF(H4866-1&lt;הגדרות!$E$8*(הגדרות!$E$7+1),INT((H4866-1)/(הגדרות!$E$7+1)),הגדרות!$E$8+INT((H4866-1-הגדרות!$E$8*(הגדרות!$E$7+1))/הגדרות!$E$7)))</f>
        <v/>
      </c>
      <c r="J4866" s="0" t="str">
        <f aca="false">IF(I4866="","",IF(H4866-1&lt;הגדרות!$E$8*(הגדרות!$E$7+1),MOD(H4866-1,הגדרות!$E$7+1),MOD(H4866-1-הגדרות!$E$8*(הגדרות!$E$7+1),הגדרות!$E$7)))</f>
        <v/>
      </c>
      <c r="K4866" s="0" t="str">
        <f aca="false">IF(I4866="","",J4866*הגדרות!$E$6+I4866+1)</f>
        <v/>
      </c>
      <c r="L4866" s="0" t="str">
        <f aca="false">IF(K4866="","",MATCH(K4866,$F$2:$F$5001,0))</f>
        <v/>
      </c>
      <c r="M4866" s="0" t="str">
        <f aca="false">IF(I4866="","",INDEX(הגדרות!$A$2:$A$21,MOD(I4866+הגדרות!$E$9,הגדרות!$E$6)+1))</f>
        <v/>
      </c>
    </row>
    <row r="4867" customFormat="false" ht="15" hidden="false" customHeight="false" outlineLevel="0" collapsed="false">
      <c r="A4867" s="0" t="str">
        <f aca="false">IF('הדבקת לידים'!A4867="","",IF(ISNUMBER('הדבקת לידים'!A4867),IF(הגדרות!$E$2&gt;0,TEXT('הדבקת לידים'!A4867,REPT("0",הגדרות!$E$2)),TEXT('הדבקת לידים'!A4867,"0")),TRIM('הדבקת לידים'!A4867)))</f>
        <v/>
      </c>
      <c r="B4867" s="0" t="str">
        <f aca="false">IF('הדבקת לידים'!B4867="","",IF(ISNUMBER('הדבקת לידים'!B4867),IF(הגדרות!$E$3&gt;0,TEXT('הדבקת לידים'!B4867,REPT("0",הגדרות!$E$3)),TEXT('הדבקת לידים'!B4867,"0")),TRIM('הדבקת לידים'!B4867)))</f>
        <v/>
      </c>
      <c r="C4867" s="0" t="n">
        <f aca="false">IF(OR(A4867&lt;&gt;"",B4867&lt;&gt;""),1,0)</f>
        <v>0</v>
      </c>
      <c r="D4867" s="0" t="str">
        <f aca="false">IF(C4867=1,MOD(ABS(SIN(ROW()*12.9898+'הדבקת לידים'!$F$2*78.233+IFERROR(--RIGHT(A4867,6),LEN(A4867))*0.0137+IFERROR(--RIGHT(B4867,6),LEN(B4867))*0.0071))*43758.5453,1),"")</f>
        <v/>
      </c>
      <c r="E4867" s="0" t="str">
        <f aca="false">IF(C4867=1,INT(MOD(ABS(SIN(D4867*7919.123+ROW()*0.618+'הדבקת לידים'!$F$2*1.3))*43758.5453,1)*1000000)*10000+ROW(),"")</f>
        <v/>
      </c>
      <c r="F4867" s="0" t="str">
        <f aca="false">IF(E4867="","",RANK(E4867,$E$2:$E$5001,1))</f>
        <v/>
      </c>
      <c r="G4867" s="0" t="n">
        <f aca="false">IF(A4867="",0,IF(SUMPRODUCT(--($A$2:$A$5001=A4867))&gt;1,1,0))</f>
        <v>0</v>
      </c>
      <c r="H4867" s="0" t="n">
        <f aca="false">ROW()-1</f>
        <v>4866</v>
      </c>
      <c r="I4867" s="0" t="str">
        <f aca="false">IF(OR(הגדרות!$E$6=0,H4867&gt;הגדרות!$E$5),"",IF(H4867-1&lt;הגדרות!$E$8*(הגדרות!$E$7+1),INT((H4867-1)/(הגדרות!$E$7+1)),הגדרות!$E$8+INT((H4867-1-הגדרות!$E$8*(הגדרות!$E$7+1))/הגדרות!$E$7)))</f>
        <v/>
      </c>
      <c r="J4867" s="0" t="str">
        <f aca="false">IF(I4867="","",IF(H4867-1&lt;הגדרות!$E$8*(הגדרות!$E$7+1),MOD(H4867-1,הגדרות!$E$7+1),MOD(H4867-1-הגדרות!$E$8*(הגדרות!$E$7+1),הגדרות!$E$7)))</f>
        <v/>
      </c>
      <c r="K4867" s="0" t="str">
        <f aca="false">IF(I4867="","",J4867*הגדרות!$E$6+I4867+1)</f>
        <v/>
      </c>
      <c r="L4867" s="0" t="str">
        <f aca="false">IF(K4867="","",MATCH(K4867,$F$2:$F$5001,0))</f>
        <v/>
      </c>
      <c r="M4867" s="0" t="str">
        <f aca="false">IF(I4867="","",INDEX(הגדרות!$A$2:$A$21,MOD(I4867+הגדרות!$E$9,הגדרות!$E$6)+1))</f>
        <v/>
      </c>
    </row>
    <row r="4868" customFormat="false" ht="15" hidden="false" customHeight="false" outlineLevel="0" collapsed="false">
      <c r="A4868" s="0" t="str">
        <f aca="false">IF('הדבקת לידים'!A4868="","",IF(ISNUMBER('הדבקת לידים'!A4868),IF(הגדרות!$E$2&gt;0,TEXT('הדבקת לידים'!A4868,REPT("0",הגדרות!$E$2)),TEXT('הדבקת לידים'!A4868,"0")),TRIM('הדבקת לידים'!A4868)))</f>
        <v/>
      </c>
      <c r="B4868" s="0" t="str">
        <f aca="false">IF('הדבקת לידים'!B4868="","",IF(ISNUMBER('הדבקת לידים'!B4868),IF(הגדרות!$E$3&gt;0,TEXT('הדבקת לידים'!B4868,REPT("0",הגדרות!$E$3)),TEXT('הדבקת לידים'!B4868,"0")),TRIM('הדבקת לידים'!B4868)))</f>
        <v/>
      </c>
      <c r="C4868" s="0" t="n">
        <f aca="false">IF(OR(A4868&lt;&gt;"",B4868&lt;&gt;""),1,0)</f>
        <v>0</v>
      </c>
      <c r="D4868" s="0" t="str">
        <f aca="false">IF(C4868=1,MOD(ABS(SIN(ROW()*12.9898+'הדבקת לידים'!$F$2*78.233+IFERROR(--RIGHT(A4868,6),LEN(A4868))*0.0137+IFERROR(--RIGHT(B4868,6),LEN(B4868))*0.0071))*43758.5453,1),"")</f>
        <v/>
      </c>
      <c r="E4868" s="0" t="str">
        <f aca="false">IF(C4868=1,INT(MOD(ABS(SIN(D4868*7919.123+ROW()*0.618+'הדבקת לידים'!$F$2*1.3))*43758.5453,1)*1000000)*10000+ROW(),"")</f>
        <v/>
      </c>
      <c r="F4868" s="0" t="str">
        <f aca="false">IF(E4868="","",RANK(E4868,$E$2:$E$5001,1))</f>
        <v/>
      </c>
      <c r="G4868" s="0" t="n">
        <f aca="false">IF(A4868="",0,IF(SUMPRODUCT(--($A$2:$A$5001=A4868))&gt;1,1,0))</f>
        <v>0</v>
      </c>
      <c r="H4868" s="0" t="n">
        <f aca="false">ROW()-1</f>
        <v>4867</v>
      </c>
      <c r="I4868" s="0" t="str">
        <f aca="false">IF(OR(הגדרות!$E$6=0,H4868&gt;הגדרות!$E$5),"",IF(H4868-1&lt;הגדרות!$E$8*(הגדרות!$E$7+1),INT((H4868-1)/(הגדרות!$E$7+1)),הגדרות!$E$8+INT((H4868-1-הגדרות!$E$8*(הגדרות!$E$7+1))/הגדרות!$E$7)))</f>
        <v/>
      </c>
      <c r="J4868" s="0" t="str">
        <f aca="false">IF(I4868="","",IF(H4868-1&lt;הגדרות!$E$8*(הגדרות!$E$7+1),MOD(H4868-1,הגדרות!$E$7+1),MOD(H4868-1-הגדרות!$E$8*(הגדרות!$E$7+1),הגדרות!$E$7)))</f>
        <v/>
      </c>
      <c r="K4868" s="0" t="str">
        <f aca="false">IF(I4868="","",J4868*הגדרות!$E$6+I4868+1)</f>
        <v/>
      </c>
      <c r="L4868" s="0" t="str">
        <f aca="false">IF(K4868="","",MATCH(K4868,$F$2:$F$5001,0))</f>
        <v/>
      </c>
      <c r="M4868" s="0" t="str">
        <f aca="false">IF(I4868="","",INDEX(הגדרות!$A$2:$A$21,MOD(I4868+הגדרות!$E$9,הגדרות!$E$6)+1))</f>
        <v/>
      </c>
    </row>
    <row r="4869" customFormat="false" ht="15" hidden="false" customHeight="false" outlineLevel="0" collapsed="false">
      <c r="A4869" s="0" t="str">
        <f aca="false">IF('הדבקת לידים'!A4869="","",IF(ISNUMBER('הדבקת לידים'!A4869),IF(הגדרות!$E$2&gt;0,TEXT('הדבקת לידים'!A4869,REPT("0",הגדרות!$E$2)),TEXT('הדבקת לידים'!A4869,"0")),TRIM('הדבקת לידים'!A4869)))</f>
        <v/>
      </c>
      <c r="B4869" s="0" t="str">
        <f aca="false">IF('הדבקת לידים'!B4869="","",IF(ISNUMBER('הדבקת לידים'!B4869),IF(הגדרות!$E$3&gt;0,TEXT('הדבקת לידים'!B4869,REPT("0",הגדרות!$E$3)),TEXT('הדבקת לידים'!B4869,"0")),TRIM('הדבקת לידים'!B4869)))</f>
        <v/>
      </c>
      <c r="C4869" s="0" t="n">
        <f aca="false">IF(OR(A4869&lt;&gt;"",B4869&lt;&gt;""),1,0)</f>
        <v>0</v>
      </c>
      <c r="D4869" s="0" t="str">
        <f aca="false">IF(C4869=1,MOD(ABS(SIN(ROW()*12.9898+'הדבקת לידים'!$F$2*78.233+IFERROR(--RIGHT(A4869,6),LEN(A4869))*0.0137+IFERROR(--RIGHT(B4869,6),LEN(B4869))*0.0071))*43758.5453,1),"")</f>
        <v/>
      </c>
      <c r="E4869" s="0" t="str">
        <f aca="false">IF(C4869=1,INT(MOD(ABS(SIN(D4869*7919.123+ROW()*0.618+'הדבקת לידים'!$F$2*1.3))*43758.5453,1)*1000000)*10000+ROW(),"")</f>
        <v/>
      </c>
      <c r="F4869" s="0" t="str">
        <f aca="false">IF(E4869="","",RANK(E4869,$E$2:$E$5001,1))</f>
        <v/>
      </c>
      <c r="G4869" s="0" t="n">
        <f aca="false">IF(A4869="",0,IF(SUMPRODUCT(--($A$2:$A$5001=A4869))&gt;1,1,0))</f>
        <v>0</v>
      </c>
      <c r="H4869" s="0" t="n">
        <f aca="false">ROW()-1</f>
        <v>4868</v>
      </c>
      <c r="I4869" s="0" t="str">
        <f aca="false">IF(OR(הגדרות!$E$6=0,H4869&gt;הגדרות!$E$5),"",IF(H4869-1&lt;הגדרות!$E$8*(הגדרות!$E$7+1),INT((H4869-1)/(הגדרות!$E$7+1)),הגדרות!$E$8+INT((H4869-1-הגדרות!$E$8*(הגדרות!$E$7+1))/הגדרות!$E$7)))</f>
        <v/>
      </c>
      <c r="J4869" s="0" t="str">
        <f aca="false">IF(I4869="","",IF(H4869-1&lt;הגדרות!$E$8*(הגדרות!$E$7+1),MOD(H4869-1,הגדרות!$E$7+1),MOD(H4869-1-הגדרות!$E$8*(הגדרות!$E$7+1),הגדרות!$E$7)))</f>
        <v/>
      </c>
      <c r="K4869" s="0" t="str">
        <f aca="false">IF(I4869="","",J4869*הגדרות!$E$6+I4869+1)</f>
        <v/>
      </c>
      <c r="L4869" s="0" t="str">
        <f aca="false">IF(K4869="","",MATCH(K4869,$F$2:$F$5001,0))</f>
        <v/>
      </c>
      <c r="M4869" s="0" t="str">
        <f aca="false">IF(I4869="","",INDEX(הגדרות!$A$2:$A$21,MOD(I4869+הגדרות!$E$9,הגדרות!$E$6)+1))</f>
        <v/>
      </c>
    </row>
    <row r="4870" customFormat="false" ht="15" hidden="false" customHeight="false" outlineLevel="0" collapsed="false">
      <c r="A4870" s="0" t="str">
        <f aca="false">IF('הדבקת לידים'!A4870="","",IF(ISNUMBER('הדבקת לידים'!A4870),IF(הגדרות!$E$2&gt;0,TEXT('הדבקת לידים'!A4870,REPT("0",הגדרות!$E$2)),TEXT('הדבקת לידים'!A4870,"0")),TRIM('הדבקת לידים'!A4870)))</f>
        <v/>
      </c>
      <c r="B4870" s="0" t="str">
        <f aca="false">IF('הדבקת לידים'!B4870="","",IF(ISNUMBER('הדבקת לידים'!B4870),IF(הגדרות!$E$3&gt;0,TEXT('הדבקת לידים'!B4870,REPT("0",הגדרות!$E$3)),TEXT('הדבקת לידים'!B4870,"0")),TRIM('הדבקת לידים'!B4870)))</f>
        <v/>
      </c>
      <c r="C4870" s="0" t="n">
        <f aca="false">IF(OR(A4870&lt;&gt;"",B4870&lt;&gt;""),1,0)</f>
        <v>0</v>
      </c>
      <c r="D4870" s="0" t="str">
        <f aca="false">IF(C4870=1,MOD(ABS(SIN(ROW()*12.9898+'הדבקת לידים'!$F$2*78.233+IFERROR(--RIGHT(A4870,6),LEN(A4870))*0.0137+IFERROR(--RIGHT(B4870,6),LEN(B4870))*0.0071))*43758.5453,1),"")</f>
        <v/>
      </c>
      <c r="E4870" s="0" t="str">
        <f aca="false">IF(C4870=1,INT(MOD(ABS(SIN(D4870*7919.123+ROW()*0.618+'הדבקת לידים'!$F$2*1.3))*43758.5453,1)*1000000)*10000+ROW(),"")</f>
        <v/>
      </c>
      <c r="F4870" s="0" t="str">
        <f aca="false">IF(E4870="","",RANK(E4870,$E$2:$E$5001,1))</f>
        <v/>
      </c>
      <c r="G4870" s="0" t="n">
        <f aca="false">IF(A4870="",0,IF(SUMPRODUCT(--($A$2:$A$5001=A4870))&gt;1,1,0))</f>
        <v>0</v>
      </c>
      <c r="H4870" s="0" t="n">
        <f aca="false">ROW()-1</f>
        <v>4869</v>
      </c>
      <c r="I4870" s="0" t="str">
        <f aca="false">IF(OR(הגדרות!$E$6=0,H4870&gt;הגדרות!$E$5),"",IF(H4870-1&lt;הגדרות!$E$8*(הגדרות!$E$7+1),INT((H4870-1)/(הגדרות!$E$7+1)),הגדרות!$E$8+INT((H4870-1-הגדרות!$E$8*(הגדרות!$E$7+1))/הגדרות!$E$7)))</f>
        <v/>
      </c>
      <c r="J4870" s="0" t="str">
        <f aca="false">IF(I4870="","",IF(H4870-1&lt;הגדרות!$E$8*(הגדרות!$E$7+1),MOD(H4870-1,הגדרות!$E$7+1),MOD(H4870-1-הגדרות!$E$8*(הגדרות!$E$7+1),הגדרות!$E$7)))</f>
        <v/>
      </c>
      <c r="K4870" s="0" t="str">
        <f aca="false">IF(I4870="","",J4870*הגדרות!$E$6+I4870+1)</f>
        <v/>
      </c>
      <c r="L4870" s="0" t="str">
        <f aca="false">IF(K4870="","",MATCH(K4870,$F$2:$F$5001,0))</f>
        <v/>
      </c>
      <c r="M4870" s="0" t="str">
        <f aca="false">IF(I4870="","",INDEX(הגדרות!$A$2:$A$21,MOD(I4870+הגדרות!$E$9,הגדרות!$E$6)+1))</f>
        <v/>
      </c>
    </row>
    <row r="4871" customFormat="false" ht="15" hidden="false" customHeight="false" outlineLevel="0" collapsed="false">
      <c r="A4871" s="0" t="str">
        <f aca="false">IF('הדבקת לידים'!A4871="","",IF(ISNUMBER('הדבקת לידים'!A4871),IF(הגדרות!$E$2&gt;0,TEXT('הדבקת לידים'!A4871,REPT("0",הגדרות!$E$2)),TEXT('הדבקת לידים'!A4871,"0")),TRIM('הדבקת לידים'!A4871)))</f>
        <v/>
      </c>
      <c r="B4871" s="0" t="str">
        <f aca="false">IF('הדבקת לידים'!B4871="","",IF(ISNUMBER('הדבקת לידים'!B4871),IF(הגדרות!$E$3&gt;0,TEXT('הדבקת לידים'!B4871,REPT("0",הגדרות!$E$3)),TEXT('הדבקת לידים'!B4871,"0")),TRIM('הדבקת לידים'!B4871)))</f>
        <v/>
      </c>
      <c r="C4871" s="0" t="n">
        <f aca="false">IF(OR(A4871&lt;&gt;"",B4871&lt;&gt;""),1,0)</f>
        <v>0</v>
      </c>
      <c r="D4871" s="0" t="str">
        <f aca="false">IF(C4871=1,MOD(ABS(SIN(ROW()*12.9898+'הדבקת לידים'!$F$2*78.233+IFERROR(--RIGHT(A4871,6),LEN(A4871))*0.0137+IFERROR(--RIGHT(B4871,6),LEN(B4871))*0.0071))*43758.5453,1),"")</f>
        <v/>
      </c>
      <c r="E4871" s="0" t="str">
        <f aca="false">IF(C4871=1,INT(MOD(ABS(SIN(D4871*7919.123+ROW()*0.618+'הדבקת לידים'!$F$2*1.3))*43758.5453,1)*1000000)*10000+ROW(),"")</f>
        <v/>
      </c>
      <c r="F4871" s="0" t="str">
        <f aca="false">IF(E4871="","",RANK(E4871,$E$2:$E$5001,1))</f>
        <v/>
      </c>
      <c r="G4871" s="0" t="n">
        <f aca="false">IF(A4871="",0,IF(SUMPRODUCT(--($A$2:$A$5001=A4871))&gt;1,1,0))</f>
        <v>0</v>
      </c>
      <c r="H4871" s="0" t="n">
        <f aca="false">ROW()-1</f>
        <v>4870</v>
      </c>
      <c r="I4871" s="0" t="str">
        <f aca="false">IF(OR(הגדרות!$E$6=0,H4871&gt;הגדרות!$E$5),"",IF(H4871-1&lt;הגדרות!$E$8*(הגדרות!$E$7+1),INT((H4871-1)/(הגדרות!$E$7+1)),הגדרות!$E$8+INT((H4871-1-הגדרות!$E$8*(הגדרות!$E$7+1))/הגדרות!$E$7)))</f>
        <v/>
      </c>
      <c r="J4871" s="0" t="str">
        <f aca="false">IF(I4871="","",IF(H4871-1&lt;הגדרות!$E$8*(הגדרות!$E$7+1),MOD(H4871-1,הגדרות!$E$7+1),MOD(H4871-1-הגדרות!$E$8*(הגדרות!$E$7+1),הגדרות!$E$7)))</f>
        <v/>
      </c>
      <c r="K4871" s="0" t="str">
        <f aca="false">IF(I4871="","",J4871*הגדרות!$E$6+I4871+1)</f>
        <v/>
      </c>
      <c r="L4871" s="0" t="str">
        <f aca="false">IF(K4871="","",MATCH(K4871,$F$2:$F$5001,0))</f>
        <v/>
      </c>
      <c r="M4871" s="0" t="str">
        <f aca="false">IF(I4871="","",INDEX(הגדרות!$A$2:$A$21,MOD(I4871+הגדרות!$E$9,הגדרות!$E$6)+1))</f>
        <v/>
      </c>
    </row>
    <row r="4872" customFormat="false" ht="15" hidden="false" customHeight="false" outlineLevel="0" collapsed="false">
      <c r="A4872" s="0" t="str">
        <f aca="false">IF('הדבקת לידים'!A4872="","",IF(ISNUMBER('הדבקת לידים'!A4872),IF(הגדרות!$E$2&gt;0,TEXT('הדבקת לידים'!A4872,REPT("0",הגדרות!$E$2)),TEXT('הדבקת לידים'!A4872,"0")),TRIM('הדבקת לידים'!A4872)))</f>
        <v/>
      </c>
      <c r="B4872" s="0" t="str">
        <f aca="false">IF('הדבקת לידים'!B4872="","",IF(ISNUMBER('הדבקת לידים'!B4872),IF(הגדרות!$E$3&gt;0,TEXT('הדבקת לידים'!B4872,REPT("0",הגדרות!$E$3)),TEXT('הדבקת לידים'!B4872,"0")),TRIM('הדבקת לידים'!B4872)))</f>
        <v/>
      </c>
      <c r="C4872" s="0" t="n">
        <f aca="false">IF(OR(A4872&lt;&gt;"",B4872&lt;&gt;""),1,0)</f>
        <v>0</v>
      </c>
      <c r="D4872" s="0" t="str">
        <f aca="false">IF(C4872=1,MOD(ABS(SIN(ROW()*12.9898+'הדבקת לידים'!$F$2*78.233+IFERROR(--RIGHT(A4872,6),LEN(A4872))*0.0137+IFERROR(--RIGHT(B4872,6),LEN(B4872))*0.0071))*43758.5453,1),"")</f>
        <v/>
      </c>
      <c r="E4872" s="0" t="str">
        <f aca="false">IF(C4872=1,INT(MOD(ABS(SIN(D4872*7919.123+ROW()*0.618+'הדבקת לידים'!$F$2*1.3))*43758.5453,1)*1000000)*10000+ROW(),"")</f>
        <v/>
      </c>
      <c r="F4872" s="0" t="str">
        <f aca="false">IF(E4872="","",RANK(E4872,$E$2:$E$5001,1))</f>
        <v/>
      </c>
      <c r="G4872" s="0" t="n">
        <f aca="false">IF(A4872="",0,IF(SUMPRODUCT(--($A$2:$A$5001=A4872))&gt;1,1,0))</f>
        <v>0</v>
      </c>
      <c r="H4872" s="0" t="n">
        <f aca="false">ROW()-1</f>
        <v>4871</v>
      </c>
      <c r="I4872" s="0" t="str">
        <f aca="false">IF(OR(הגדרות!$E$6=0,H4872&gt;הגדרות!$E$5),"",IF(H4872-1&lt;הגדרות!$E$8*(הגדרות!$E$7+1),INT((H4872-1)/(הגדרות!$E$7+1)),הגדרות!$E$8+INT((H4872-1-הגדרות!$E$8*(הגדרות!$E$7+1))/הגדרות!$E$7)))</f>
        <v/>
      </c>
      <c r="J4872" s="0" t="str">
        <f aca="false">IF(I4872="","",IF(H4872-1&lt;הגדרות!$E$8*(הגדרות!$E$7+1),MOD(H4872-1,הגדרות!$E$7+1),MOD(H4872-1-הגדרות!$E$8*(הגדרות!$E$7+1),הגדרות!$E$7)))</f>
        <v/>
      </c>
      <c r="K4872" s="0" t="str">
        <f aca="false">IF(I4872="","",J4872*הגדרות!$E$6+I4872+1)</f>
        <v/>
      </c>
      <c r="L4872" s="0" t="str">
        <f aca="false">IF(K4872="","",MATCH(K4872,$F$2:$F$5001,0))</f>
        <v/>
      </c>
      <c r="M4872" s="0" t="str">
        <f aca="false">IF(I4872="","",INDEX(הגדרות!$A$2:$A$21,MOD(I4872+הגדרות!$E$9,הגדרות!$E$6)+1))</f>
        <v/>
      </c>
    </row>
    <row r="4873" customFormat="false" ht="15" hidden="false" customHeight="false" outlineLevel="0" collapsed="false">
      <c r="A4873" s="0" t="str">
        <f aca="false">IF('הדבקת לידים'!A4873="","",IF(ISNUMBER('הדבקת לידים'!A4873),IF(הגדרות!$E$2&gt;0,TEXT('הדבקת לידים'!A4873,REPT("0",הגדרות!$E$2)),TEXT('הדבקת לידים'!A4873,"0")),TRIM('הדבקת לידים'!A4873)))</f>
        <v/>
      </c>
      <c r="B4873" s="0" t="str">
        <f aca="false">IF('הדבקת לידים'!B4873="","",IF(ISNUMBER('הדבקת לידים'!B4873),IF(הגדרות!$E$3&gt;0,TEXT('הדבקת לידים'!B4873,REPT("0",הגדרות!$E$3)),TEXT('הדבקת לידים'!B4873,"0")),TRIM('הדבקת לידים'!B4873)))</f>
        <v/>
      </c>
      <c r="C4873" s="0" t="n">
        <f aca="false">IF(OR(A4873&lt;&gt;"",B4873&lt;&gt;""),1,0)</f>
        <v>0</v>
      </c>
      <c r="D4873" s="0" t="str">
        <f aca="false">IF(C4873=1,MOD(ABS(SIN(ROW()*12.9898+'הדבקת לידים'!$F$2*78.233+IFERROR(--RIGHT(A4873,6),LEN(A4873))*0.0137+IFERROR(--RIGHT(B4873,6),LEN(B4873))*0.0071))*43758.5453,1),"")</f>
        <v/>
      </c>
      <c r="E4873" s="0" t="str">
        <f aca="false">IF(C4873=1,INT(MOD(ABS(SIN(D4873*7919.123+ROW()*0.618+'הדבקת לידים'!$F$2*1.3))*43758.5453,1)*1000000)*10000+ROW(),"")</f>
        <v/>
      </c>
      <c r="F4873" s="0" t="str">
        <f aca="false">IF(E4873="","",RANK(E4873,$E$2:$E$5001,1))</f>
        <v/>
      </c>
      <c r="G4873" s="0" t="n">
        <f aca="false">IF(A4873="",0,IF(SUMPRODUCT(--($A$2:$A$5001=A4873))&gt;1,1,0))</f>
        <v>0</v>
      </c>
      <c r="H4873" s="0" t="n">
        <f aca="false">ROW()-1</f>
        <v>4872</v>
      </c>
      <c r="I4873" s="0" t="str">
        <f aca="false">IF(OR(הגדרות!$E$6=0,H4873&gt;הגדרות!$E$5),"",IF(H4873-1&lt;הגדרות!$E$8*(הגדרות!$E$7+1),INT((H4873-1)/(הגדרות!$E$7+1)),הגדרות!$E$8+INT((H4873-1-הגדרות!$E$8*(הגדרות!$E$7+1))/הגדרות!$E$7)))</f>
        <v/>
      </c>
      <c r="J4873" s="0" t="str">
        <f aca="false">IF(I4873="","",IF(H4873-1&lt;הגדרות!$E$8*(הגדרות!$E$7+1),MOD(H4873-1,הגדרות!$E$7+1),MOD(H4873-1-הגדרות!$E$8*(הגדרות!$E$7+1),הגדרות!$E$7)))</f>
        <v/>
      </c>
      <c r="K4873" s="0" t="str">
        <f aca="false">IF(I4873="","",J4873*הגדרות!$E$6+I4873+1)</f>
        <v/>
      </c>
      <c r="L4873" s="0" t="str">
        <f aca="false">IF(K4873="","",MATCH(K4873,$F$2:$F$5001,0))</f>
        <v/>
      </c>
      <c r="M4873" s="0" t="str">
        <f aca="false">IF(I4873="","",INDEX(הגדרות!$A$2:$A$21,MOD(I4873+הגדרות!$E$9,הגדרות!$E$6)+1))</f>
        <v/>
      </c>
    </row>
    <row r="4874" customFormat="false" ht="15" hidden="false" customHeight="false" outlineLevel="0" collapsed="false">
      <c r="A4874" s="0" t="str">
        <f aca="false">IF('הדבקת לידים'!A4874="","",IF(ISNUMBER('הדבקת לידים'!A4874),IF(הגדרות!$E$2&gt;0,TEXT('הדבקת לידים'!A4874,REPT("0",הגדרות!$E$2)),TEXT('הדבקת לידים'!A4874,"0")),TRIM('הדבקת לידים'!A4874)))</f>
        <v/>
      </c>
      <c r="B4874" s="0" t="str">
        <f aca="false">IF('הדבקת לידים'!B4874="","",IF(ISNUMBER('הדבקת לידים'!B4874),IF(הגדרות!$E$3&gt;0,TEXT('הדבקת לידים'!B4874,REPT("0",הגדרות!$E$3)),TEXT('הדבקת לידים'!B4874,"0")),TRIM('הדבקת לידים'!B4874)))</f>
        <v/>
      </c>
      <c r="C4874" s="0" t="n">
        <f aca="false">IF(OR(A4874&lt;&gt;"",B4874&lt;&gt;""),1,0)</f>
        <v>0</v>
      </c>
      <c r="D4874" s="0" t="str">
        <f aca="false">IF(C4874=1,MOD(ABS(SIN(ROW()*12.9898+'הדבקת לידים'!$F$2*78.233+IFERROR(--RIGHT(A4874,6),LEN(A4874))*0.0137+IFERROR(--RIGHT(B4874,6),LEN(B4874))*0.0071))*43758.5453,1),"")</f>
        <v/>
      </c>
      <c r="E4874" s="0" t="str">
        <f aca="false">IF(C4874=1,INT(MOD(ABS(SIN(D4874*7919.123+ROW()*0.618+'הדבקת לידים'!$F$2*1.3))*43758.5453,1)*1000000)*10000+ROW(),"")</f>
        <v/>
      </c>
      <c r="F4874" s="0" t="str">
        <f aca="false">IF(E4874="","",RANK(E4874,$E$2:$E$5001,1))</f>
        <v/>
      </c>
      <c r="G4874" s="0" t="n">
        <f aca="false">IF(A4874="",0,IF(SUMPRODUCT(--($A$2:$A$5001=A4874))&gt;1,1,0))</f>
        <v>0</v>
      </c>
      <c r="H4874" s="0" t="n">
        <f aca="false">ROW()-1</f>
        <v>4873</v>
      </c>
      <c r="I4874" s="0" t="str">
        <f aca="false">IF(OR(הגדרות!$E$6=0,H4874&gt;הגדרות!$E$5),"",IF(H4874-1&lt;הגדרות!$E$8*(הגדרות!$E$7+1),INT((H4874-1)/(הגדרות!$E$7+1)),הגדרות!$E$8+INT((H4874-1-הגדרות!$E$8*(הגדרות!$E$7+1))/הגדרות!$E$7)))</f>
        <v/>
      </c>
      <c r="J4874" s="0" t="str">
        <f aca="false">IF(I4874="","",IF(H4874-1&lt;הגדרות!$E$8*(הגדרות!$E$7+1),MOD(H4874-1,הגדרות!$E$7+1),MOD(H4874-1-הגדרות!$E$8*(הגדרות!$E$7+1),הגדרות!$E$7)))</f>
        <v/>
      </c>
      <c r="K4874" s="0" t="str">
        <f aca="false">IF(I4874="","",J4874*הגדרות!$E$6+I4874+1)</f>
        <v/>
      </c>
      <c r="L4874" s="0" t="str">
        <f aca="false">IF(K4874="","",MATCH(K4874,$F$2:$F$5001,0))</f>
        <v/>
      </c>
      <c r="M4874" s="0" t="str">
        <f aca="false">IF(I4874="","",INDEX(הגדרות!$A$2:$A$21,MOD(I4874+הגדרות!$E$9,הגדרות!$E$6)+1))</f>
        <v/>
      </c>
    </row>
    <row r="4875" customFormat="false" ht="15" hidden="false" customHeight="false" outlineLevel="0" collapsed="false">
      <c r="A4875" s="0" t="str">
        <f aca="false">IF('הדבקת לידים'!A4875="","",IF(ISNUMBER('הדבקת לידים'!A4875),IF(הגדרות!$E$2&gt;0,TEXT('הדבקת לידים'!A4875,REPT("0",הגדרות!$E$2)),TEXT('הדבקת לידים'!A4875,"0")),TRIM('הדבקת לידים'!A4875)))</f>
        <v/>
      </c>
      <c r="B4875" s="0" t="str">
        <f aca="false">IF('הדבקת לידים'!B4875="","",IF(ISNUMBER('הדבקת לידים'!B4875),IF(הגדרות!$E$3&gt;0,TEXT('הדבקת לידים'!B4875,REPT("0",הגדרות!$E$3)),TEXT('הדבקת לידים'!B4875,"0")),TRIM('הדבקת לידים'!B4875)))</f>
        <v/>
      </c>
      <c r="C4875" s="0" t="n">
        <f aca="false">IF(OR(A4875&lt;&gt;"",B4875&lt;&gt;""),1,0)</f>
        <v>0</v>
      </c>
      <c r="D4875" s="0" t="str">
        <f aca="false">IF(C4875=1,MOD(ABS(SIN(ROW()*12.9898+'הדבקת לידים'!$F$2*78.233+IFERROR(--RIGHT(A4875,6),LEN(A4875))*0.0137+IFERROR(--RIGHT(B4875,6),LEN(B4875))*0.0071))*43758.5453,1),"")</f>
        <v/>
      </c>
      <c r="E4875" s="0" t="str">
        <f aca="false">IF(C4875=1,INT(MOD(ABS(SIN(D4875*7919.123+ROW()*0.618+'הדבקת לידים'!$F$2*1.3))*43758.5453,1)*1000000)*10000+ROW(),"")</f>
        <v/>
      </c>
      <c r="F4875" s="0" t="str">
        <f aca="false">IF(E4875="","",RANK(E4875,$E$2:$E$5001,1))</f>
        <v/>
      </c>
      <c r="G4875" s="0" t="n">
        <f aca="false">IF(A4875="",0,IF(SUMPRODUCT(--($A$2:$A$5001=A4875))&gt;1,1,0))</f>
        <v>0</v>
      </c>
      <c r="H4875" s="0" t="n">
        <f aca="false">ROW()-1</f>
        <v>4874</v>
      </c>
      <c r="I4875" s="0" t="str">
        <f aca="false">IF(OR(הגדרות!$E$6=0,H4875&gt;הגדרות!$E$5),"",IF(H4875-1&lt;הגדרות!$E$8*(הגדרות!$E$7+1),INT((H4875-1)/(הגדרות!$E$7+1)),הגדרות!$E$8+INT((H4875-1-הגדרות!$E$8*(הגדרות!$E$7+1))/הגדרות!$E$7)))</f>
        <v/>
      </c>
      <c r="J4875" s="0" t="str">
        <f aca="false">IF(I4875="","",IF(H4875-1&lt;הגדרות!$E$8*(הגדרות!$E$7+1),MOD(H4875-1,הגדרות!$E$7+1),MOD(H4875-1-הגדרות!$E$8*(הגדרות!$E$7+1),הגדרות!$E$7)))</f>
        <v/>
      </c>
      <c r="K4875" s="0" t="str">
        <f aca="false">IF(I4875="","",J4875*הגדרות!$E$6+I4875+1)</f>
        <v/>
      </c>
      <c r="L4875" s="0" t="str">
        <f aca="false">IF(K4875="","",MATCH(K4875,$F$2:$F$5001,0))</f>
        <v/>
      </c>
      <c r="M4875" s="0" t="str">
        <f aca="false">IF(I4875="","",INDEX(הגדרות!$A$2:$A$21,MOD(I4875+הגדרות!$E$9,הגדרות!$E$6)+1))</f>
        <v/>
      </c>
    </row>
    <row r="4876" customFormat="false" ht="15" hidden="false" customHeight="false" outlineLevel="0" collapsed="false">
      <c r="A4876" s="0" t="str">
        <f aca="false">IF('הדבקת לידים'!A4876="","",IF(ISNUMBER('הדבקת לידים'!A4876),IF(הגדרות!$E$2&gt;0,TEXT('הדבקת לידים'!A4876,REPT("0",הגדרות!$E$2)),TEXT('הדבקת לידים'!A4876,"0")),TRIM('הדבקת לידים'!A4876)))</f>
        <v/>
      </c>
      <c r="B4876" s="0" t="str">
        <f aca="false">IF('הדבקת לידים'!B4876="","",IF(ISNUMBER('הדבקת לידים'!B4876),IF(הגדרות!$E$3&gt;0,TEXT('הדבקת לידים'!B4876,REPT("0",הגדרות!$E$3)),TEXT('הדבקת לידים'!B4876,"0")),TRIM('הדבקת לידים'!B4876)))</f>
        <v/>
      </c>
      <c r="C4876" s="0" t="n">
        <f aca="false">IF(OR(A4876&lt;&gt;"",B4876&lt;&gt;""),1,0)</f>
        <v>0</v>
      </c>
      <c r="D4876" s="0" t="str">
        <f aca="false">IF(C4876=1,MOD(ABS(SIN(ROW()*12.9898+'הדבקת לידים'!$F$2*78.233+IFERROR(--RIGHT(A4876,6),LEN(A4876))*0.0137+IFERROR(--RIGHT(B4876,6),LEN(B4876))*0.0071))*43758.5453,1),"")</f>
        <v/>
      </c>
      <c r="E4876" s="0" t="str">
        <f aca="false">IF(C4876=1,INT(MOD(ABS(SIN(D4876*7919.123+ROW()*0.618+'הדבקת לידים'!$F$2*1.3))*43758.5453,1)*1000000)*10000+ROW(),"")</f>
        <v/>
      </c>
      <c r="F4876" s="0" t="str">
        <f aca="false">IF(E4876="","",RANK(E4876,$E$2:$E$5001,1))</f>
        <v/>
      </c>
      <c r="G4876" s="0" t="n">
        <f aca="false">IF(A4876="",0,IF(SUMPRODUCT(--($A$2:$A$5001=A4876))&gt;1,1,0))</f>
        <v>0</v>
      </c>
      <c r="H4876" s="0" t="n">
        <f aca="false">ROW()-1</f>
        <v>4875</v>
      </c>
      <c r="I4876" s="0" t="str">
        <f aca="false">IF(OR(הגדרות!$E$6=0,H4876&gt;הגדרות!$E$5),"",IF(H4876-1&lt;הגדרות!$E$8*(הגדרות!$E$7+1),INT((H4876-1)/(הגדרות!$E$7+1)),הגדרות!$E$8+INT((H4876-1-הגדרות!$E$8*(הגדרות!$E$7+1))/הגדרות!$E$7)))</f>
        <v/>
      </c>
      <c r="J4876" s="0" t="str">
        <f aca="false">IF(I4876="","",IF(H4876-1&lt;הגדרות!$E$8*(הגדרות!$E$7+1),MOD(H4876-1,הגדרות!$E$7+1),MOD(H4876-1-הגדרות!$E$8*(הגדרות!$E$7+1),הגדרות!$E$7)))</f>
        <v/>
      </c>
      <c r="K4876" s="0" t="str">
        <f aca="false">IF(I4876="","",J4876*הגדרות!$E$6+I4876+1)</f>
        <v/>
      </c>
      <c r="L4876" s="0" t="str">
        <f aca="false">IF(K4876="","",MATCH(K4876,$F$2:$F$5001,0))</f>
        <v/>
      </c>
      <c r="M4876" s="0" t="str">
        <f aca="false">IF(I4876="","",INDEX(הגדרות!$A$2:$A$21,MOD(I4876+הגדרות!$E$9,הגדרות!$E$6)+1))</f>
        <v/>
      </c>
    </row>
    <row r="4877" customFormat="false" ht="15" hidden="false" customHeight="false" outlineLevel="0" collapsed="false">
      <c r="A4877" s="0" t="str">
        <f aca="false">IF('הדבקת לידים'!A4877="","",IF(ISNUMBER('הדבקת לידים'!A4877),IF(הגדרות!$E$2&gt;0,TEXT('הדבקת לידים'!A4877,REPT("0",הגדרות!$E$2)),TEXT('הדבקת לידים'!A4877,"0")),TRIM('הדבקת לידים'!A4877)))</f>
        <v/>
      </c>
      <c r="B4877" s="0" t="str">
        <f aca="false">IF('הדבקת לידים'!B4877="","",IF(ISNUMBER('הדבקת לידים'!B4877),IF(הגדרות!$E$3&gt;0,TEXT('הדבקת לידים'!B4877,REPT("0",הגדרות!$E$3)),TEXT('הדבקת לידים'!B4877,"0")),TRIM('הדבקת לידים'!B4877)))</f>
        <v/>
      </c>
      <c r="C4877" s="0" t="n">
        <f aca="false">IF(OR(A4877&lt;&gt;"",B4877&lt;&gt;""),1,0)</f>
        <v>0</v>
      </c>
      <c r="D4877" s="0" t="str">
        <f aca="false">IF(C4877=1,MOD(ABS(SIN(ROW()*12.9898+'הדבקת לידים'!$F$2*78.233+IFERROR(--RIGHT(A4877,6),LEN(A4877))*0.0137+IFERROR(--RIGHT(B4877,6),LEN(B4877))*0.0071))*43758.5453,1),"")</f>
        <v/>
      </c>
      <c r="E4877" s="0" t="str">
        <f aca="false">IF(C4877=1,INT(MOD(ABS(SIN(D4877*7919.123+ROW()*0.618+'הדבקת לידים'!$F$2*1.3))*43758.5453,1)*1000000)*10000+ROW(),"")</f>
        <v/>
      </c>
      <c r="F4877" s="0" t="str">
        <f aca="false">IF(E4877="","",RANK(E4877,$E$2:$E$5001,1))</f>
        <v/>
      </c>
      <c r="G4877" s="0" t="n">
        <f aca="false">IF(A4877="",0,IF(SUMPRODUCT(--($A$2:$A$5001=A4877))&gt;1,1,0))</f>
        <v>0</v>
      </c>
      <c r="H4877" s="0" t="n">
        <f aca="false">ROW()-1</f>
        <v>4876</v>
      </c>
      <c r="I4877" s="0" t="str">
        <f aca="false">IF(OR(הגדרות!$E$6=0,H4877&gt;הגדרות!$E$5),"",IF(H4877-1&lt;הגדרות!$E$8*(הגדרות!$E$7+1),INT((H4877-1)/(הגדרות!$E$7+1)),הגדרות!$E$8+INT((H4877-1-הגדרות!$E$8*(הגדרות!$E$7+1))/הגדרות!$E$7)))</f>
        <v/>
      </c>
      <c r="J4877" s="0" t="str">
        <f aca="false">IF(I4877="","",IF(H4877-1&lt;הגדרות!$E$8*(הגדרות!$E$7+1),MOD(H4877-1,הגדרות!$E$7+1),MOD(H4877-1-הגדרות!$E$8*(הגדרות!$E$7+1),הגדרות!$E$7)))</f>
        <v/>
      </c>
      <c r="K4877" s="0" t="str">
        <f aca="false">IF(I4877="","",J4877*הגדרות!$E$6+I4877+1)</f>
        <v/>
      </c>
      <c r="L4877" s="0" t="str">
        <f aca="false">IF(K4877="","",MATCH(K4877,$F$2:$F$5001,0))</f>
        <v/>
      </c>
      <c r="M4877" s="0" t="str">
        <f aca="false">IF(I4877="","",INDEX(הגדרות!$A$2:$A$21,MOD(I4877+הגדרות!$E$9,הגדרות!$E$6)+1))</f>
        <v/>
      </c>
    </row>
    <row r="4878" customFormat="false" ht="15" hidden="false" customHeight="false" outlineLevel="0" collapsed="false">
      <c r="A4878" s="0" t="str">
        <f aca="false">IF('הדבקת לידים'!A4878="","",IF(ISNUMBER('הדבקת לידים'!A4878),IF(הגדרות!$E$2&gt;0,TEXT('הדבקת לידים'!A4878,REPT("0",הגדרות!$E$2)),TEXT('הדבקת לידים'!A4878,"0")),TRIM('הדבקת לידים'!A4878)))</f>
        <v/>
      </c>
      <c r="B4878" s="0" t="str">
        <f aca="false">IF('הדבקת לידים'!B4878="","",IF(ISNUMBER('הדבקת לידים'!B4878),IF(הגדרות!$E$3&gt;0,TEXT('הדבקת לידים'!B4878,REPT("0",הגדרות!$E$3)),TEXT('הדבקת לידים'!B4878,"0")),TRIM('הדבקת לידים'!B4878)))</f>
        <v/>
      </c>
      <c r="C4878" s="0" t="n">
        <f aca="false">IF(OR(A4878&lt;&gt;"",B4878&lt;&gt;""),1,0)</f>
        <v>0</v>
      </c>
      <c r="D4878" s="0" t="str">
        <f aca="false">IF(C4878=1,MOD(ABS(SIN(ROW()*12.9898+'הדבקת לידים'!$F$2*78.233+IFERROR(--RIGHT(A4878,6),LEN(A4878))*0.0137+IFERROR(--RIGHT(B4878,6),LEN(B4878))*0.0071))*43758.5453,1),"")</f>
        <v/>
      </c>
      <c r="E4878" s="0" t="str">
        <f aca="false">IF(C4878=1,INT(MOD(ABS(SIN(D4878*7919.123+ROW()*0.618+'הדבקת לידים'!$F$2*1.3))*43758.5453,1)*1000000)*10000+ROW(),"")</f>
        <v/>
      </c>
      <c r="F4878" s="0" t="str">
        <f aca="false">IF(E4878="","",RANK(E4878,$E$2:$E$5001,1))</f>
        <v/>
      </c>
      <c r="G4878" s="0" t="n">
        <f aca="false">IF(A4878="",0,IF(SUMPRODUCT(--($A$2:$A$5001=A4878))&gt;1,1,0))</f>
        <v>0</v>
      </c>
      <c r="H4878" s="0" t="n">
        <f aca="false">ROW()-1</f>
        <v>4877</v>
      </c>
      <c r="I4878" s="0" t="str">
        <f aca="false">IF(OR(הגדרות!$E$6=0,H4878&gt;הגדרות!$E$5),"",IF(H4878-1&lt;הגדרות!$E$8*(הגדרות!$E$7+1),INT((H4878-1)/(הגדרות!$E$7+1)),הגדרות!$E$8+INT((H4878-1-הגדרות!$E$8*(הגדרות!$E$7+1))/הגדרות!$E$7)))</f>
        <v/>
      </c>
      <c r="J4878" s="0" t="str">
        <f aca="false">IF(I4878="","",IF(H4878-1&lt;הגדרות!$E$8*(הגדרות!$E$7+1),MOD(H4878-1,הגדרות!$E$7+1),MOD(H4878-1-הגדרות!$E$8*(הגדרות!$E$7+1),הגדרות!$E$7)))</f>
        <v/>
      </c>
      <c r="K4878" s="0" t="str">
        <f aca="false">IF(I4878="","",J4878*הגדרות!$E$6+I4878+1)</f>
        <v/>
      </c>
      <c r="L4878" s="0" t="str">
        <f aca="false">IF(K4878="","",MATCH(K4878,$F$2:$F$5001,0))</f>
        <v/>
      </c>
      <c r="M4878" s="0" t="str">
        <f aca="false">IF(I4878="","",INDEX(הגדרות!$A$2:$A$21,MOD(I4878+הגדרות!$E$9,הגדרות!$E$6)+1))</f>
        <v/>
      </c>
    </row>
    <row r="4879" customFormat="false" ht="15" hidden="false" customHeight="false" outlineLevel="0" collapsed="false">
      <c r="A4879" s="0" t="str">
        <f aca="false">IF('הדבקת לידים'!A4879="","",IF(ISNUMBER('הדבקת לידים'!A4879),IF(הגדרות!$E$2&gt;0,TEXT('הדבקת לידים'!A4879,REPT("0",הגדרות!$E$2)),TEXT('הדבקת לידים'!A4879,"0")),TRIM('הדבקת לידים'!A4879)))</f>
        <v/>
      </c>
      <c r="B4879" s="0" t="str">
        <f aca="false">IF('הדבקת לידים'!B4879="","",IF(ISNUMBER('הדבקת לידים'!B4879),IF(הגדרות!$E$3&gt;0,TEXT('הדבקת לידים'!B4879,REPT("0",הגדרות!$E$3)),TEXT('הדבקת לידים'!B4879,"0")),TRIM('הדבקת לידים'!B4879)))</f>
        <v/>
      </c>
      <c r="C4879" s="0" t="n">
        <f aca="false">IF(OR(A4879&lt;&gt;"",B4879&lt;&gt;""),1,0)</f>
        <v>0</v>
      </c>
      <c r="D4879" s="0" t="str">
        <f aca="false">IF(C4879=1,MOD(ABS(SIN(ROW()*12.9898+'הדבקת לידים'!$F$2*78.233+IFERROR(--RIGHT(A4879,6),LEN(A4879))*0.0137+IFERROR(--RIGHT(B4879,6),LEN(B4879))*0.0071))*43758.5453,1),"")</f>
        <v/>
      </c>
      <c r="E4879" s="0" t="str">
        <f aca="false">IF(C4879=1,INT(MOD(ABS(SIN(D4879*7919.123+ROW()*0.618+'הדבקת לידים'!$F$2*1.3))*43758.5453,1)*1000000)*10000+ROW(),"")</f>
        <v/>
      </c>
      <c r="F4879" s="0" t="str">
        <f aca="false">IF(E4879="","",RANK(E4879,$E$2:$E$5001,1))</f>
        <v/>
      </c>
      <c r="G4879" s="0" t="n">
        <f aca="false">IF(A4879="",0,IF(SUMPRODUCT(--($A$2:$A$5001=A4879))&gt;1,1,0))</f>
        <v>0</v>
      </c>
      <c r="H4879" s="0" t="n">
        <f aca="false">ROW()-1</f>
        <v>4878</v>
      </c>
      <c r="I4879" s="0" t="str">
        <f aca="false">IF(OR(הגדרות!$E$6=0,H4879&gt;הגדרות!$E$5),"",IF(H4879-1&lt;הגדרות!$E$8*(הגדרות!$E$7+1),INT((H4879-1)/(הגדרות!$E$7+1)),הגדרות!$E$8+INT((H4879-1-הגדרות!$E$8*(הגדרות!$E$7+1))/הגדרות!$E$7)))</f>
        <v/>
      </c>
      <c r="J4879" s="0" t="str">
        <f aca="false">IF(I4879="","",IF(H4879-1&lt;הגדרות!$E$8*(הגדרות!$E$7+1),MOD(H4879-1,הגדרות!$E$7+1),MOD(H4879-1-הגדרות!$E$8*(הגדרות!$E$7+1),הגדרות!$E$7)))</f>
        <v/>
      </c>
      <c r="K4879" s="0" t="str">
        <f aca="false">IF(I4879="","",J4879*הגדרות!$E$6+I4879+1)</f>
        <v/>
      </c>
      <c r="L4879" s="0" t="str">
        <f aca="false">IF(K4879="","",MATCH(K4879,$F$2:$F$5001,0))</f>
        <v/>
      </c>
      <c r="M4879" s="0" t="str">
        <f aca="false">IF(I4879="","",INDEX(הגדרות!$A$2:$A$21,MOD(I4879+הגדרות!$E$9,הגדרות!$E$6)+1))</f>
        <v/>
      </c>
    </row>
    <row r="4880" customFormat="false" ht="15" hidden="false" customHeight="false" outlineLevel="0" collapsed="false">
      <c r="A4880" s="0" t="str">
        <f aca="false">IF('הדבקת לידים'!A4880="","",IF(ISNUMBER('הדבקת לידים'!A4880),IF(הגדרות!$E$2&gt;0,TEXT('הדבקת לידים'!A4880,REPT("0",הגדרות!$E$2)),TEXT('הדבקת לידים'!A4880,"0")),TRIM('הדבקת לידים'!A4880)))</f>
        <v/>
      </c>
      <c r="B4880" s="0" t="str">
        <f aca="false">IF('הדבקת לידים'!B4880="","",IF(ISNUMBER('הדבקת לידים'!B4880),IF(הגדרות!$E$3&gt;0,TEXT('הדבקת לידים'!B4880,REPT("0",הגדרות!$E$3)),TEXT('הדבקת לידים'!B4880,"0")),TRIM('הדבקת לידים'!B4880)))</f>
        <v/>
      </c>
      <c r="C4880" s="0" t="n">
        <f aca="false">IF(OR(A4880&lt;&gt;"",B4880&lt;&gt;""),1,0)</f>
        <v>0</v>
      </c>
      <c r="D4880" s="0" t="str">
        <f aca="false">IF(C4880=1,MOD(ABS(SIN(ROW()*12.9898+'הדבקת לידים'!$F$2*78.233+IFERROR(--RIGHT(A4880,6),LEN(A4880))*0.0137+IFERROR(--RIGHT(B4880,6),LEN(B4880))*0.0071))*43758.5453,1),"")</f>
        <v/>
      </c>
      <c r="E4880" s="0" t="str">
        <f aca="false">IF(C4880=1,INT(MOD(ABS(SIN(D4880*7919.123+ROW()*0.618+'הדבקת לידים'!$F$2*1.3))*43758.5453,1)*1000000)*10000+ROW(),"")</f>
        <v/>
      </c>
      <c r="F4880" s="0" t="str">
        <f aca="false">IF(E4880="","",RANK(E4880,$E$2:$E$5001,1))</f>
        <v/>
      </c>
      <c r="G4880" s="0" t="n">
        <f aca="false">IF(A4880="",0,IF(SUMPRODUCT(--($A$2:$A$5001=A4880))&gt;1,1,0))</f>
        <v>0</v>
      </c>
      <c r="H4880" s="0" t="n">
        <f aca="false">ROW()-1</f>
        <v>4879</v>
      </c>
      <c r="I4880" s="0" t="str">
        <f aca="false">IF(OR(הגדרות!$E$6=0,H4880&gt;הגדרות!$E$5),"",IF(H4880-1&lt;הגדרות!$E$8*(הגדרות!$E$7+1),INT((H4880-1)/(הגדרות!$E$7+1)),הגדרות!$E$8+INT((H4880-1-הגדרות!$E$8*(הגדרות!$E$7+1))/הגדרות!$E$7)))</f>
        <v/>
      </c>
      <c r="J4880" s="0" t="str">
        <f aca="false">IF(I4880="","",IF(H4880-1&lt;הגדרות!$E$8*(הגדרות!$E$7+1),MOD(H4880-1,הגדרות!$E$7+1),MOD(H4880-1-הגדרות!$E$8*(הגדרות!$E$7+1),הגדרות!$E$7)))</f>
        <v/>
      </c>
      <c r="K4880" s="0" t="str">
        <f aca="false">IF(I4880="","",J4880*הגדרות!$E$6+I4880+1)</f>
        <v/>
      </c>
      <c r="L4880" s="0" t="str">
        <f aca="false">IF(K4880="","",MATCH(K4880,$F$2:$F$5001,0))</f>
        <v/>
      </c>
      <c r="M4880" s="0" t="str">
        <f aca="false">IF(I4880="","",INDEX(הגדרות!$A$2:$A$21,MOD(I4880+הגדרות!$E$9,הגדרות!$E$6)+1))</f>
        <v/>
      </c>
    </row>
    <row r="4881" customFormat="false" ht="15" hidden="false" customHeight="false" outlineLevel="0" collapsed="false">
      <c r="A4881" s="0" t="str">
        <f aca="false">IF('הדבקת לידים'!A4881="","",IF(ISNUMBER('הדבקת לידים'!A4881),IF(הגדרות!$E$2&gt;0,TEXT('הדבקת לידים'!A4881,REPT("0",הגדרות!$E$2)),TEXT('הדבקת לידים'!A4881,"0")),TRIM('הדבקת לידים'!A4881)))</f>
        <v/>
      </c>
      <c r="B4881" s="0" t="str">
        <f aca="false">IF('הדבקת לידים'!B4881="","",IF(ISNUMBER('הדבקת לידים'!B4881),IF(הגדרות!$E$3&gt;0,TEXT('הדבקת לידים'!B4881,REPT("0",הגדרות!$E$3)),TEXT('הדבקת לידים'!B4881,"0")),TRIM('הדבקת לידים'!B4881)))</f>
        <v/>
      </c>
      <c r="C4881" s="0" t="n">
        <f aca="false">IF(OR(A4881&lt;&gt;"",B4881&lt;&gt;""),1,0)</f>
        <v>0</v>
      </c>
      <c r="D4881" s="0" t="str">
        <f aca="false">IF(C4881=1,MOD(ABS(SIN(ROW()*12.9898+'הדבקת לידים'!$F$2*78.233+IFERROR(--RIGHT(A4881,6),LEN(A4881))*0.0137+IFERROR(--RIGHT(B4881,6),LEN(B4881))*0.0071))*43758.5453,1),"")</f>
        <v/>
      </c>
      <c r="E4881" s="0" t="str">
        <f aca="false">IF(C4881=1,INT(MOD(ABS(SIN(D4881*7919.123+ROW()*0.618+'הדבקת לידים'!$F$2*1.3))*43758.5453,1)*1000000)*10000+ROW(),"")</f>
        <v/>
      </c>
      <c r="F4881" s="0" t="str">
        <f aca="false">IF(E4881="","",RANK(E4881,$E$2:$E$5001,1))</f>
        <v/>
      </c>
      <c r="G4881" s="0" t="n">
        <f aca="false">IF(A4881="",0,IF(SUMPRODUCT(--($A$2:$A$5001=A4881))&gt;1,1,0))</f>
        <v>0</v>
      </c>
      <c r="H4881" s="0" t="n">
        <f aca="false">ROW()-1</f>
        <v>4880</v>
      </c>
      <c r="I4881" s="0" t="str">
        <f aca="false">IF(OR(הגדרות!$E$6=0,H4881&gt;הגדרות!$E$5),"",IF(H4881-1&lt;הגדרות!$E$8*(הגדרות!$E$7+1),INT((H4881-1)/(הגדרות!$E$7+1)),הגדרות!$E$8+INT((H4881-1-הגדרות!$E$8*(הגדרות!$E$7+1))/הגדרות!$E$7)))</f>
        <v/>
      </c>
      <c r="J4881" s="0" t="str">
        <f aca="false">IF(I4881="","",IF(H4881-1&lt;הגדרות!$E$8*(הגדרות!$E$7+1),MOD(H4881-1,הגדרות!$E$7+1),MOD(H4881-1-הגדרות!$E$8*(הגדרות!$E$7+1),הגדרות!$E$7)))</f>
        <v/>
      </c>
      <c r="K4881" s="0" t="str">
        <f aca="false">IF(I4881="","",J4881*הגדרות!$E$6+I4881+1)</f>
        <v/>
      </c>
      <c r="L4881" s="0" t="str">
        <f aca="false">IF(K4881="","",MATCH(K4881,$F$2:$F$5001,0))</f>
        <v/>
      </c>
      <c r="M4881" s="0" t="str">
        <f aca="false">IF(I4881="","",INDEX(הגדרות!$A$2:$A$21,MOD(I4881+הגדרות!$E$9,הגדרות!$E$6)+1))</f>
        <v/>
      </c>
    </row>
    <row r="4882" customFormat="false" ht="15" hidden="false" customHeight="false" outlineLevel="0" collapsed="false">
      <c r="A4882" s="0" t="str">
        <f aca="false">IF('הדבקת לידים'!A4882="","",IF(ISNUMBER('הדבקת לידים'!A4882),IF(הגדרות!$E$2&gt;0,TEXT('הדבקת לידים'!A4882,REPT("0",הגדרות!$E$2)),TEXT('הדבקת לידים'!A4882,"0")),TRIM('הדבקת לידים'!A4882)))</f>
        <v/>
      </c>
      <c r="B4882" s="0" t="str">
        <f aca="false">IF('הדבקת לידים'!B4882="","",IF(ISNUMBER('הדבקת לידים'!B4882),IF(הגדרות!$E$3&gt;0,TEXT('הדבקת לידים'!B4882,REPT("0",הגדרות!$E$3)),TEXT('הדבקת לידים'!B4882,"0")),TRIM('הדבקת לידים'!B4882)))</f>
        <v/>
      </c>
      <c r="C4882" s="0" t="n">
        <f aca="false">IF(OR(A4882&lt;&gt;"",B4882&lt;&gt;""),1,0)</f>
        <v>0</v>
      </c>
      <c r="D4882" s="0" t="str">
        <f aca="false">IF(C4882=1,MOD(ABS(SIN(ROW()*12.9898+'הדבקת לידים'!$F$2*78.233+IFERROR(--RIGHT(A4882,6),LEN(A4882))*0.0137+IFERROR(--RIGHT(B4882,6),LEN(B4882))*0.0071))*43758.5453,1),"")</f>
        <v/>
      </c>
      <c r="E4882" s="0" t="str">
        <f aca="false">IF(C4882=1,INT(MOD(ABS(SIN(D4882*7919.123+ROW()*0.618+'הדבקת לידים'!$F$2*1.3))*43758.5453,1)*1000000)*10000+ROW(),"")</f>
        <v/>
      </c>
      <c r="F4882" s="0" t="str">
        <f aca="false">IF(E4882="","",RANK(E4882,$E$2:$E$5001,1))</f>
        <v/>
      </c>
      <c r="G4882" s="0" t="n">
        <f aca="false">IF(A4882="",0,IF(SUMPRODUCT(--($A$2:$A$5001=A4882))&gt;1,1,0))</f>
        <v>0</v>
      </c>
      <c r="H4882" s="0" t="n">
        <f aca="false">ROW()-1</f>
        <v>4881</v>
      </c>
      <c r="I4882" s="0" t="str">
        <f aca="false">IF(OR(הגדרות!$E$6=0,H4882&gt;הגדרות!$E$5),"",IF(H4882-1&lt;הגדרות!$E$8*(הגדרות!$E$7+1),INT((H4882-1)/(הגדרות!$E$7+1)),הגדרות!$E$8+INT((H4882-1-הגדרות!$E$8*(הגדרות!$E$7+1))/הגדרות!$E$7)))</f>
        <v/>
      </c>
      <c r="J4882" s="0" t="str">
        <f aca="false">IF(I4882="","",IF(H4882-1&lt;הגדרות!$E$8*(הגדרות!$E$7+1),MOD(H4882-1,הגדרות!$E$7+1),MOD(H4882-1-הגדרות!$E$8*(הגדרות!$E$7+1),הגדרות!$E$7)))</f>
        <v/>
      </c>
      <c r="K4882" s="0" t="str">
        <f aca="false">IF(I4882="","",J4882*הגדרות!$E$6+I4882+1)</f>
        <v/>
      </c>
      <c r="L4882" s="0" t="str">
        <f aca="false">IF(K4882="","",MATCH(K4882,$F$2:$F$5001,0))</f>
        <v/>
      </c>
      <c r="M4882" s="0" t="str">
        <f aca="false">IF(I4882="","",INDEX(הגדרות!$A$2:$A$21,MOD(I4882+הגדרות!$E$9,הגדרות!$E$6)+1))</f>
        <v/>
      </c>
    </row>
    <row r="4883" customFormat="false" ht="15" hidden="false" customHeight="false" outlineLevel="0" collapsed="false">
      <c r="A4883" s="0" t="str">
        <f aca="false">IF('הדבקת לידים'!A4883="","",IF(ISNUMBER('הדבקת לידים'!A4883),IF(הגדרות!$E$2&gt;0,TEXT('הדבקת לידים'!A4883,REPT("0",הגדרות!$E$2)),TEXT('הדבקת לידים'!A4883,"0")),TRIM('הדבקת לידים'!A4883)))</f>
        <v/>
      </c>
      <c r="B4883" s="0" t="str">
        <f aca="false">IF('הדבקת לידים'!B4883="","",IF(ISNUMBER('הדבקת לידים'!B4883),IF(הגדרות!$E$3&gt;0,TEXT('הדבקת לידים'!B4883,REPT("0",הגדרות!$E$3)),TEXT('הדבקת לידים'!B4883,"0")),TRIM('הדבקת לידים'!B4883)))</f>
        <v/>
      </c>
      <c r="C4883" s="0" t="n">
        <f aca="false">IF(OR(A4883&lt;&gt;"",B4883&lt;&gt;""),1,0)</f>
        <v>0</v>
      </c>
      <c r="D4883" s="0" t="str">
        <f aca="false">IF(C4883=1,MOD(ABS(SIN(ROW()*12.9898+'הדבקת לידים'!$F$2*78.233+IFERROR(--RIGHT(A4883,6),LEN(A4883))*0.0137+IFERROR(--RIGHT(B4883,6),LEN(B4883))*0.0071))*43758.5453,1),"")</f>
        <v/>
      </c>
      <c r="E4883" s="0" t="str">
        <f aca="false">IF(C4883=1,INT(MOD(ABS(SIN(D4883*7919.123+ROW()*0.618+'הדבקת לידים'!$F$2*1.3))*43758.5453,1)*1000000)*10000+ROW(),"")</f>
        <v/>
      </c>
      <c r="F4883" s="0" t="str">
        <f aca="false">IF(E4883="","",RANK(E4883,$E$2:$E$5001,1))</f>
        <v/>
      </c>
      <c r="G4883" s="0" t="n">
        <f aca="false">IF(A4883="",0,IF(SUMPRODUCT(--($A$2:$A$5001=A4883))&gt;1,1,0))</f>
        <v>0</v>
      </c>
      <c r="H4883" s="0" t="n">
        <f aca="false">ROW()-1</f>
        <v>4882</v>
      </c>
      <c r="I4883" s="0" t="str">
        <f aca="false">IF(OR(הגדרות!$E$6=0,H4883&gt;הגדרות!$E$5),"",IF(H4883-1&lt;הגדרות!$E$8*(הגדרות!$E$7+1),INT((H4883-1)/(הגדרות!$E$7+1)),הגדרות!$E$8+INT((H4883-1-הגדרות!$E$8*(הגדרות!$E$7+1))/הגדרות!$E$7)))</f>
        <v/>
      </c>
      <c r="J4883" s="0" t="str">
        <f aca="false">IF(I4883="","",IF(H4883-1&lt;הגדרות!$E$8*(הגדרות!$E$7+1),MOD(H4883-1,הגדרות!$E$7+1),MOD(H4883-1-הגדרות!$E$8*(הגדרות!$E$7+1),הגדרות!$E$7)))</f>
        <v/>
      </c>
      <c r="K4883" s="0" t="str">
        <f aca="false">IF(I4883="","",J4883*הגדרות!$E$6+I4883+1)</f>
        <v/>
      </c>
      <c r="L4883" s="0" t="str">
        <f aca="false">IF(K4883="","",MATCH(K4883,$F$2:$F$5001,0))</f>
        <v/>
      </c>
      <c r="M4883" s="0" t="str">
        <f aca="false">IF(I4883="","",INDEX(הגדרות!$A$2:$A$21,MOD(I4883+הגדרות!$E$9,הגדרות!$E$6)+1))</f>
        <v/>
      </c>
    </row>
    <row r="4884" customFormat="false" ht="15" hidden="false" customHeight="false" outlineLevel="0" collapsed="false">
      <c r="A4884" s="0" t="str">
        <f aca="false">IF('הדבקת לידים'!A4884="","",IF(ISNUMBER('הדבקת לידים'!A4884),IF(הגדרות!$E$2&gt;0,TEXT('הדבקת לידים'!A4884,REPT("0",הגדרות!$E$2)),TEXT('הדבקת לידים'!A4884,"0")),TRIM('הדבקת לידים'!A4884)))</f>
        <v/>
      </c>
      <c r="B4884" s="0" t="str">
        <f aca="false">IF('הדבקת לידים'!B4884="","",IF(ISNUMBER('הדבקת לידים'!B4884),IF(הגדרות!$E$3&gt;0,TEXT('הדבקת לידים'!B4884,REPT("0",הגדרות!$E$3)),TEXT('הדבקת לידים'!B4884,"0")),TRIM('הדבקת לידים'!B4884)))</f>
        <v/>
      </c>
      <c r="C4884" s="0" t="n">
        <f aca="false">IF(OR(A4884&lt;&gt;"",B4884&lt;&gt;""),1,0)</f>
        <v>0</v>
      </c>
      <c r="D4884" s="0" t="str">
        <f aca="false">IF(C4884=1,MOD(ABS(SIN(ROW()*12.9898+'הדבקת לידים'!$F$2*78.233+IFERROR(--RIGHT(A4884,6),LEN(A4884))*0.0137+IFERROR(--RIGHT(B4884,6),LEN(B4884))*0.0071))*43758.5453,1),"")</f>
        <v/>
      </c>
      <c r="E4884" s="0" t="str">
        <f aca="false">IF(C4884=1,INT(MOD(ABS(SIN(D4884*7919.123+ROW()*0.618+'הדבקת לידים'!$F$2*1.3))*43758.5453,1)*1000000)*10000+ROW(),"")</f>
        <v/>
      </c>
      <c r="F4884" s="0" t="str">
        <f aca="false">IF(E4884="","",RANK(E4884,$E$2:$E$5001,1))</f>
        <v/>
      </c>
      <c r="G4884" s="0" t="n">
        <f aca="false">IF(A4884="",0,IF(SUMPRODUCT(--($A$2:$A$5001=A4884))&gt;1,1,0))</f>
        <v>0</v>
      </c>
      <c r="H4884" s="0" t="n">
        <f aca="false">ROW()-1</f>
        <v>4883</v>
      </c>
      <c r="I4884" s="0" t="str">
        <f aca="false">IF(OR(הגדרות!$E$6=0,H4884&gt;הגדרות!$E$5),"",IF(H4884-1&lt;הגדרות!$E$8*(הגדרות!$E$7+1),INT((H4884-1)/(הגדרות!$E$7+1)),הגדרות!$E$8+INT((H4884-1-הגדרות!$E$8*(הגדרות!$E$7+1))/הגדרות!$E$7)))</f>
        <v/>
      </c>
      <c r="J4884" s="0" t="str">
        <f aca="false">IF(I4884="","",IF(H4884-1&lt;הגדרות!$E$8*(הגדרות!$E$7+1),MOD(H4884-1,הגדרות!$E$7+1),MOD(H4884-1-הגדרות!$E$8*(הגדרות!$E$7+1),הגדרות!$E$7)))</f>
        <v/>
      </c>
      <c r="K4884" s="0" t="str">
        <f aca="false">IF(I4884="","",J4884*הגדרות!$E$6+I4884+1)</f>
        <v/>
      </c>
      <c r="L4884" s="0" t="str">
        <f aca="false">IF(K4884="","",MATCH(K4884,$F$2:$F$5001,0))</f>
        <v/>
      </c>
      <c r="M4884" s="0" t="str">
        <f aca="false">IF(I4884="","",INDEX(הגדרות!$A$2:$A$21,MOD(I4884+הגדרות!$E$9,הגדרות!$E$6)+1))</f>
        <v/>
      </c>
    </row>
    <row r="4885" customFormat="false" ht="15" hidden="false" customHeight="false" outlineLevel="0" collapsed="false">
      <c r="A4885" s="0" t="str">
        <f aca="false">IF('הדבקת לידים'!A4885="","",IF(ISNUMBER('הדבקת לידים'!A4885),IF(הגדרות!$E$2&gt;0,TEXT('הדבקת לידים'!A4885,REPT("0",הגדרות!$E$2)),TEXT('הדבקת לידים'!A4885,"0")),TRIM('הדבקת לידים'!A4885)))</f>
        <v/>
      </c>
      <c r="B4885" s="0" t="str">
        <f aca="false">IF('הדבקת לידים'!B4885="","",IF(ISNUMBER('הדבקת לידים'!B4885),IF(הגדרות!$E$3&gt;0,TEXT('הדבקת לידים'!B4885,REPT("0",הגדרות!$E$3)),TEXT('הדבקת לידים'!B4885,"0")),TRIM('הדבקת לידים'!B4885)))</f>
        <v/>
      </c>
      <c r="C4885" s="0" t="n">
        <f aca="false">IF(OR(A4885&lt;&gt;"",B4885&lt;&gt;""),1,0)</f>
        <v>0</v>
      </c>
      <c r="D4885" s="0" t="str">
        <f aca="false">IF(C4885=1,MOD(ABS(SIN(ROW()*12.9898+'הדבקת לידים'!$F$2*78.233+IFERROR(--RIGHT(A4885,6),LEN(A4885))*0.0137+IFERROR(--RIGHT(B4885,6),LEN(B4885))*0.0071))*43758.5453,1),"")</f>
        <v/>
      </c>
      <c r="E4885" s="0" t="str">
        <f aca="false">IF(C4885=1,INT(MOD(ABS(SIN(D4885*7919.123+ROW()*0.618+'הדבקת לידים'!$F$2*1.3))*43758.5453,1)*1000000)*10000+ROW(),"")</f>
        <v/>
      </c>
      <c r="F4885" s="0" t="str">
        <f aca="false">IF(E4885="","",RANK(E4885,$E$2:$E$5001,1))</f>
        <v/>
      </c>
      <c r="G4885" s="0" t="n">
        <f aca="false">IF(A4885="",0,IF(SUMPRODUCT(--($A$2:$A$5001=A4885))&gt;1,1,0))</f>
        <v>0</v>
      </c>
      <c r="H4885" s="0" t="n">
        <f aca="false">ROW()-1</f>
        <v>4884</v>
      </c>
      <c r="I4885" s="0" t="str">
        <f aca="false">IF(OR(הגדרות!$E$6=0,H4885&gt;הגדרות!$E$5),"",IF(H4885-1&lt;הגדרות!$E$8*(הגדרות!$E$7+1),INT((H4885-1)/(הגדרות!$E$7+1)),הגדרות!$E$8+INT((H4885-1-הגדרות!$E$8*(הגדרות!$E$7+1))/הגדרות!$E$7)))</f>
        <v/>
      </c>
      <c r="J4885" s="0" t="str">
        <f aca="false">IF(I4885="","",IF(H4885-1&lt;הגדרות!$E$8*(הגדרות!$E$7+1),MOD(H4885-1,הגדרות!$E$7+1),MOD(H4885-1-הגדרות!$E$8*(הגדרות!$E$7+1),הגדרות!$E$7)))</f>
        <v/>
      </c>
      <c r="K4885" s="0" t="str">
        <f aca="false">IF(I4885="","",J4885*הגדרות!$E$6+I4885+1)</f>
        <v/>
      </c>
      <c r="L4885" s="0" t="str">
        <f aca="false">IF(K4885="","",MATCH(K4885,$F$2:$F$5001,0))</f>
        <v/>
      </c>
      <c r="M4885" s="0" t="str">
        <f aca="false">IF(I4885="","",INDEX(הגדרות!$A$2:$A$21,MOD(I4885+הגדרות!$E$9,הגדרות!$E$6)+1))</f>
        <v/>
      </c>
    </row>
    <row r="4886" customFormat="false" ht="15" hidden="false" customHeight="false" outlineLevel="0" collapsed="false">
      <c r="A4886" s="0" t="str">
        <f aca="false">IF('הדבקת לידים'!A4886="","",IF(ISNUMBER('הדבקת לידים'!A4886),IF(הגדרות!$E$2&gt;0,TEXT('הדבקת לידים'!A4886,REPT("0",הגדרות!$E$2)),TEXT('הדבקת לידים'!A4886,"0")),TRIM('הדבקת לידים'!A4886)))</f>
        <v/>
      </c>
      <c r="B4886" s="0" t="str">
        <f aca="false">IF('הדבקת לידים'!B4886="","",IF(ISNUMBER('הדבקת לידים'!B4886),IF(הגדרות!$E$3&gt;0,TEXT('הדבקת לידים'!B4886,REPT("0",הגדרות!$E$3)),TEXT('הדבקת לידים'!B4886,"0")),TRIM('הדבקת לידים'!B4886)))</f>
        <v/>
      </c>
      <c r="C4886" s="0" t="n">
        <f aca="false">IF(OR(A4886&lt;&gt;"",B4886&lt;&gt;""),1,0)</f>
        <v>0</v>
      </c>
      <c r="D4886" s="0" t="str">
        <f aca="false">IF(C4886=1,MOD(ABS(SIN(ROW()*12.9898+'הדבקת לידים'!$F$2*78.233+IFERROR(--RIGHT(A4886,6),LEN(A4886))*0.0137+IFERROR(--RIGHT(B4886,6),LEN(B4886))*0.0071))*43758.5453,1),"")</f>
        <v/>
      </c>
      <c r="E4886" s="0" t="str">
        <f aca="false">IF(C4886=1,INT(MOD(ABS(SIN(D4886*7919.123+ROW()*0.618+'הדבקת לידים'!$F$2*1.3))*43758.5453,1)*1000000)*10000+ROW(),"")</f>
        <v/>
      </c>
      <c r="F4886" s="0" t="str">
        <f aca="false">IF(E4886="","",RANK(E4886,$E$2:$E$5001,1))</f>
        <v/>
      </c>
      <c r="G4886" s="0" t="n">
        <f aca="false">IF(A4886="",0,IF(SUMPRODUCT(--($A$2:$A$5001=A4886))&gt;1,1,0))</f>
        <v>0</v>
      </c>
      <c r="H4886" s="0" t="n">
        <f aca="false">ROW()-1</f>
        <v>4885</v>
      </c>
      <c r="I4886" s="0" t="str">
        <f aca="false">IF(OR(הגדרות!$E$6=0,H4886&gt;הגדרות!$E$5),"",IF(H4886-1&lt;הגדרות!$E$8*(הגדרות!$E$7+1),INT((H4886-1)/(הגדרות!$E$7+1)),הגדרות!$E$8+INT((H4886-1-הגדרות!$E$8*(הגדרות!$E$7+1))/הגדרות!$E$7)))</f>
        <v/>
      </c>
      <c r="J4886" s="0" t="str">
        <f aca="false">IF(I4886="","",IF(H4886-1&lt;הגדרות!$E$8*(הגדרות!$E$7+1),MOD(H4886-1,הגדרות!$E$7+1),MOD(H4886-1-הגדרות!$E$8*(הגדרות!$E$7+1),הגדרות!$E$7)))</f>
        <v/>
      </c>
      <c r="K4886" s="0" t="str">
        <f aca="false">IF(I4886="","",J4886*הגדרות!$E$6+I4886+1)</f>
        <v/>
      </c>
      <c r="L4886" s="0" t="str">
        <f aca="false">IF(K4886="","",MATCH(K4886,$F$2:$F$5001,0))</f>
        <v/>
      </c>
      <c r="M4886" s="0" t="str">
        <f aca="false">IF(I4886="","",INDEX(הגדרות!$A$2:$A$21,MOD(I4886+הגדרות!$E$9,הגדרות!$E$6)+1))</f>
        <v/>
      </c>
    </row>
    <row r="4887" customFormat="false" ht="15" hidden="false" customHeight="false" outlineLevel="0" collapsed="false">
      <c r="A4887" s="0" t="str">
        <f aca="false">IF('הדבקת לידים'!A4887="","",IF(ISNUMBER('הדבקת לידים'!A4887),IF(הגדרות!$E$2&gt;0,TEXT('הדבקת לידים'!A4887,REPT("0",הגדרות!$E$2)),TEXT('הדבקת לידים'!A4887,"0")),TRIM('הדבקת לידים'!A4887)))</f>
        <v/>
      </c>
      <c r="B4887" s="0" t="str">
        <f aca="false">IF('הדבקת לידים'!B4887="","",IF(ISNUMBER('הדבקת לידים'!B4887),IF(הגדרות!$E$3&gt;0,TEXT('הדבקת לידים'!B4887,REPT("0",הגדרות!$E$3)),TEXT('הדבקת לידים'!B4887,"0")),TRIM('הדבקת לידים'!B4887)))</f>
        <v/>
      </c>
      <c r="C4887" s="0" t="n">
        <f aca="false">IF(OR(A4887&lt;&gt;"",B4887&lt;&gt;""),1,0)</f>
        <v>0</v>
      </c>
      <c r="D4887" s="0" t="str">
        <f aca="false">IF(C4887=1,MOD(ABS(SIN(ROW()*12.9898+'הדבקת לידים'!$F$2*78.233+IFERROR(--RIGHT(A4887,6),LEN(A4887))*0.0137+IFERROR(--RIGHT(B4887,6),LEN(B4887))*0.0071))*43758.5453,1),"")</f>
        <v/>
      </c>
      <c r="E4887" s="0" t="str">
        <f aca="false">IF(C4887=1,INT(MOD(ABS(SIN(D4887*7919.123+ROW()*0.618+'הדבקת לידים'!$F$2*1.3))*43758.5453,1)*1000000)*10000+ROW(),"")</f>
        <v/>
      </c>
      <c r="F4887" s="0" t="str">
        <f aca="false">IF(E4887="","",RANK(E4887,$E$2:$E$5001,1))</f>
        <v/>
      </c>
      <c r="G4887" s="0" t="n">
        <f aca="false">IF(A4887="",0,IF(SUMPRODUCT(--($A$2:$A$5001=A4887))&gt;1,1,0))</f>
        <v>0</v>
      </c>
      <c r="H4887" s="0" t="n">
        <f aca="false">ROW()-1</f>
        <v>4886</v>
      </c>
      <c r="I4887" s="0" t="str">
        <f aca="false">IF(OR(הגדרות!$E$6=0,H4887&gt;הגדרות!$E$5),"",IF(H4887-1&lt;הגדרות!$E$8*(הגדרות!$E$7+1),INT((H4887-1)/(הגדרות!$E$7+1)),הגדרות!$E$8+INT((H4887-1-הגדרות!$E$8*(הגדרות!$E$7+1))/הגדרות!$E$7)))</f>
        <v/>
      </c>
      <c r="J4887" s="0" t="str">
        <f aca="false">IF(I4887="","",IF(H4887-1&lt;הגדרות!$E$8*(הגדרות!$E$7+1),MOD(H4887-1,הגדרות!$E$7+1),MOD(H4887-1-הגדרות!$E$8*(הגדרות!$E$7+1),הגדרות!$E$7)))</f>
        <v/>
      </c>
      <c r="K4887" s="0" t="str">
        <f aca="false">IF(I4887="","",J4887*הגדרות!$E$6+I4887+1)</f>
        <v/>
      </c>
      <c r="L4887" s="0" t="str">
        <f aca="false">IF(K4887="","",MATCH(K4887,$F$2:$F$5001,0))</f>
        <v/>
      </c>
      <c r="M4887" s="0" t="str">
        <f aca="false">IF(I4887="","",INDEX(הגדרות!$A$2:$A$21,MOD(I4887+הגדרות!$E$9,הגדרות!$E$6)+1))</f>
        <v/>
      </c>
    </row>
    <row r="4888" customFormat="false" ht="15" hidden="false" customHeight="false" outlineLevel="0" collapsed="false">
      <c r="A4888" s="0" t="str">
        <f aca="false">IF('הדבקת לידים'!A4888="","",IF(ISNUMBER('הדבקת לידים'!A4888),IF(הגדרות!$E$2&gt;0,TEXT('הדבקת לידים'!A4888,REPT("0",הגדרות!$E$2)),TEXT('הדבקת לידים'!A4888,"0")),TRIM('הדבקת לידים'!A4888)))</f>
        <v/>
      </c>
      <c r="B4888" s="0" t="str">
        <f aca="false">IF('הדבקת לידים'!B4888="","",IF(ISNUMBER('הדבקת לידים'!B4888),IF(הגדרות!$E$3&gt;0,TEXT('הדבקת לידים'!B4888,REPT("0",הגדרות!$E$3)),TEXT('הדבקת לידים'!B4888,"0")),TRIM('הדבקת לידים'!B4888)))</f>
        <v/>
      </c>
      <c r="C4888" s="0" t="n">
        <f aca="false">IF(OR(A4888&lt;&gt;"",B4888&lt;&gt;""),1,0)</f>
        <v>0</v>
      </c>
      <c r="D4888" s="0" t="str">
        <f aca="false">IF(C4888=1,MOD(ABS(SIN(ROW()*12.9898+'הדבקת לידים'!$F$2*78.233+IFERROR(--RIGHT(A4888,6),LEN(A4888))*0.0137+IFERROR(--RIGHT(B4888,6),LEN(B4888))*0.0071))*43758.5453,1),"")</f>
        <v/>
      </c>
      <c r="E4888" s="0" t="str">
        <f aca="false">IF(C4888=1,INT(MOD(ABS(SIN(D4888*7919.123+ROW()*0.618+'הדבקת לידים'!$F$2*1.3))*43758.5453,1)*1000000)*10000+ROW(),"")</f>
        <v/>
      </c>
      <c r="F4888" s="0" t="str">
        <f aca="false">IF(E4888="","",RANK(E4888,$E$2:$E$5001,1))</f>
        <v/>
      </c>
      <c r="G4888" s="0" t="n">
        <f aca="false">IF(A4888="",0,IF(SUMPRODUCT(--($A$2:$A$5001=A4888))&gt;1,1,0))</f>
        <v>0</v>
      </c>
      <c r="H4888" s="0" t="n">
        <f aca="false">ROW()-1</f>
        <v>4887</v>
      </c>
      <c r="I4888" s="0" t="str">
        <f aca="false">IF(OR(הגדרות!$E$6=0,H4888&gt;הגדרות!$E$5),"",IF(H4888-1&lt;הגדרות!$E$8*(הגדרות!$E$7+1),INT((H4888-1)/(הגדרות!$E$7+1)),הגדרות!$E$8+INT((H4888-1-הגדרות!$E$8*(הגדרות!$E$7+1))/הגדרות!$E$7)))</f>
        <v/>
      </c>
      <c r="J4888" s="0" t="str">
        <f aca="false">IF(I4888="","",IF(H4888-1&lt;הגדרות!$E$8*(הגדרות!$E$7+1),MOD(H4888-1,הגדרות!$E$7+1),MOD(H4888-1-הגדרות!$E$8*(הגדרות!$E$7+1),הגדרות!$E$7)))</f>
        <v/>
      </c>
      <c r="K4888" s="0" t="str">
        <f aca="false">IF(I4888="","",J4888*הגדרות!$E$6+I4888+1)</f>
        <v/>
      </c>
      <c r="L4888" s="0" t="str">
        <f aca="false">IF(K4888="","",MATCH(K4888,$F$2:$F$5001,0))</f>
        <v/>
      </c>
      <c r="M4888" s="0" t="str">
        <f aca="false">IF(I4888="","",INDEX(הגדרות!$A$2:$A$21,MOD(I4888+הגדרות!$E$9,הגדרות!$E$6)+1))</f>
        <v/>
      </c>
    </row>
    <row r="4889" customFormat="false" ht="15" hidden="false" customHeight="false" outlineLevel="0" collapsed="false">
      <c r="A4889" s="0" t="str">
        <f aca="false">IF('הדבקת לידים'!A4889="","",IF(ISNUMBER('הדבקת לידים'!A4889),IF(הגדרות!$E$2&gt;0,TEXT('הדבקת לידים'!A4889,REPT("0",הגדרות!$E$2)),TEXT('הדבקת לידים'!A4889,"0")),TRIM('הדבקת לידים'!A4889)))</f>
        <v/>
      </c>
      <c r="B4889" s="0" t="str">
        <f aca="false">IF('הדבקת לידים'!B4889="","",IF(ISNUMBER('הדבקת לידים'!B4889),IF(הגדרות!$E$3&gt;0,TEXT('הדבקת לידים'!B4889,REPT("0",הגדרות!$E$3)),TEXT('הדבקת לידים'!B4889,"0")),TRIM('הדבקת לידים'!B4889)))</f>
        <v/>
      </c>
      <c r="C4889" s="0" t="n">
        <f aca="false">IF(OR(A4889&lt;&gt;"",B4889&lt;&gt;""),1,0)</f>
        <v>0</v>
      </c>
      <c r="D4889" s="0" t="str">
        <f aca="false">IF(C4889=1,MOD(ABS(SIN(ROW()*12.9898+'הדבקת לידים'!$F$2*78.233+IFERROR(--RIGHT(A4889,6),LEN(A4889))*0.0137+IFERROR(--RIGHT(B4889,6),LEN(B4889))*0.0071))*43758.5453,1),"")</f>
        <v/>
      </c>
      <c r="E4889" s="0" t="str">
        <f aca="false">IF(C4889=1,INT(MOD(ABS(SIN(D4889*7919.123+ROW()*0.618+'הדבקת לידים'!$F$2*1.3))*43758.5453,1)*1000000)*10000+ROW(),"")</f>
        <v/>
      </c>
      <c r="F4889" s="0" t="str">
        <f aca="false">IF(E4889="","",RANK(E4889,$E$2:$E$5001,1))</f>
        <v/>
      </c>
      <c r="G4889" s="0" t="n">
        <f aca="false">IF(A4889="",0,IF(SUMPRODUCT(--($A$2:$A$5001=A4889))&gt;1,1,0))</f>
        <v>0</v>
      </c>
      <c r="H4889" s="0" t="n">
        <f aca="false">ROW()-1</f>
        <v>4888</v>
      </c>
      <c r="I4889" s="0" t="str">
        <f aca="false">IF(OR(הגדרות!$E$6=0,H4889&gt;הגדרות!$E$5),"",IF(H4889-1&lt;הגדרות!$E$8*(הגדרות!$E$7+1),INT((H4889-1)/(הגדרות!$E$7+1)),הגדרות!$E$8+INT((H4889-1-הגדרות!$E$8*(הגדרות!$E$7+1))/הגדרות!$E$7)))</f>
        <v/>
      </c>
      <c r="J4889" s="0" t="str">
        <f aca="false">IF(I4889="","",IF(H4889-1&lt;הגדרות!$E$8*(הגדרות!$E$7+1),MOD(H4889-1,הגדרות!$E$7+1),MOD(H4889-1-הגדרות!$E$8*(הגדרות!$E$7+1),הגדרות!$E$7)))</f>
        <v/>
      </c>
      <c r="K4889" s="0" t="str">
        <f aca="false">IF(I4889="","",J4889*הגדרות!$E$6+I4889+1)</f>
        <v/>
      </c>
      <c r="L4889" s="0" t="str">
        <f aca="false">IF(K4889="","",MATCH(K4889,$F$2:$F$5001,0))</f>
        <v/>
      </c>
      <c r="M4889" s="0" t="str">
        <f aca="false">IF(I4889="","",INDEX(הגדרות!$A$2:$A$21,MOD(I4889+הגדרות!$E$9,הגדרות!$E$6)+1))</f>
        <v/>
      </c>
    </row>
    <row r="4890" customFormat="false" ht="15" hidden="false" customHeight="false" outlineLevel="0" collapsed="false">
      <c r="A4890" s="0" t="str">
        <f aca="false">IF('הדבקת לידים'!A4890="","",IF(ISNUMBER('הדבקת לידים'!A4890),IF(הגדרות!$E$2&gt;0,TEXT('הדבקת לידים'!A4890,REPT("0",הגדרות!$E$2)),TEXT('הדבקת לידים'!A4890,"0")),TRIM('הדבקת לידים'!A4890)))</f>
        <v/>
      </c>
      <c r="B4890" s="0" t="str">
        <f aca="false">IF('הדבקת לידים'!B4890="","",IF(ISNUMBER('הדבקת לידים'!B4890),IF(הגדרות!$E$3&gt;0,TEXT('הדבקת לידים'!B4890,REPT("0",הגדרות!$E$3)),TEXT('הדבקת לידים'!B4890,"0")),TRIM('הדבקת לידים'!B4890)))</f>
        <v/>
      </c>
      <c r="C4890" s="0" t="n">
        <f aca="false">IF(OR(A4890&lt;&gt;"",B4890&lt;&gt;""),1,0)</f>
        <v>0</v>
      </c>
      <c r="D4890" s="0" t="str">
        <f aca="false">IF(C4890=1,MOD(ABS(SIN(ROW()*12.9898+'הדבקת לידים'!$F$2*78.233+IFERROR(--RIGHT(A4890,6),LEN(A4890))*0.0137+IFERROR(--RIGHT(B4890,6),LEN(B4890))*0.0071))*43758.5453,1),"")</f>
        <v/>
      </c>
      <c r="E4890" s="0" t="str">
        <f aca="false">IF(C4890=1,INT(MOD(ABS(SIN(D4890*7919.123+ROW()*0.618+'הדבקת לידים'!$F$2*1.3))*43758.5453,1)*1000000)*10000+ROW(),"")</f>
        <v/>
      </c>
      <c r="F4890" s="0" t="str">
        <f aca="false">IF(E4890="","",RANK(E4890,$E$2:$E$5001,1))</f>
        <v/>
      </c>
      <c r="G4890" s="0" t="n">
        <f aca="false">IF(A4890="",0,IF(SUMPRODUCT(--($A$2:$A$5001=A4890))&gt;1,1,0))</f>
        <v>0</v>
      </c>
      <c r="H4890" s="0" t="n">
        <f aca="false">ROW()-1</f>
        <v>4889</v>
      </c>
      <c r="I4890" s="0" t="str">
        <f aca="false">IF(OR(הגדרות!$E$6=0,H4890&gt;הגדרות!$E$5),"",IF(H4890-1&lt;הגדרות!$E$8*(הגדרות!$E$7+1),INT((H4890-1)/(הגדרות!$E$7+1)),הגדרות!$E$8+INT((H4890-1-הגדרות!$E$8*(הגדרות!$E$7+1))/הגדרות!$E$7)))</f>
        <v/>
      </c>
      <c r="J4890" s="0" t="str">
        <f aca="false">IF(I4890="","",IF(H4890-1&lt;הגדרות!$E$8*(הגדרות!$E$7+1),MOD(H4890-1,הגדרות!$E$7+1),MOD(H4890-1-הגדרות!$E$8*(הגדרות!$E$7+1),הגדרות!$E$7)))</f>
        <v/>
      </c>
      <c r="K4890" s="0" t="str">
        <f aca="false">IF(I4890="","",J4890*הגדרות!$E$6+I4890+1)</f>
        <v/>
      </c>
      <c r="L4890" s="0" t="str">
        <f aca="false">IF(K4890="","",MATCH(K4890,$F$2:$F$5001,0))</f>
        <v/>
      </c>
      <c r="M4890" s="0" t="str">
        <f aca="false">IF(I4890="","",INDEX(הגדרות!$A$2:$A$21,MOD(I4890+הגדרות!$E$9,הגדרות!$E$6)+1))</f>
        <v/>
      </c>
    </row>
    <row r="4891" customFormat="false" ht="15" hidden="false" customHeight="false" outlineLevel="0" collapsed="false">
      <c r="A4891" s="0" t="str">
        <f aca="false">IF('הדבקת לידים'!A4891="","",IF(ISNUMBER('הדבקת לידים'!A4891),IF(הגדרות!$E$2&gt;0,TEXT('הדבקת לידים'!A4891,REPT("0",הגדרות!$E$2)),TEXT('הדבקת לידים'!A4891,"0")),TRIM('הדבקת לידים'!A4891)))</f>
        <v/>
      </c>
      <c r="B4891" s="0" t="str">
        <f aca="false">IF('הדבקת לידים'!B4891="","",IF(ISNUMBER('הדבקת לידים'!B4891),IF(הגדרות!$E$3&gt;0,TEXT('הדבקת לידים'!B4891,REPT("0",הגדרות!$E$3)),TEXT('הדבקת לידים'!B4891,"0")),TRIM('הדבקת לידים'!B4891)))</f>
        <v/>
      </c>
      <c r="C4891" s="0" t="n">
        <f aca="false">IF(OR(A4891&lt;&gt;"",B4891&lt;&gt;""),1,0)</f>
        <v>0</v>
      </c>
      <c r="D4891" s="0" t="str">
        <f aca="false">IF(C4891=1,MOD(ABS(SIN(ROW()*12.9898+'הדבקת לידים'!$F$2*78.233+IFERROR(--RIGHT(A4891,6),LEN(A4891))*0.0137+IFERROR(--RIGHT(B4891,6),LEN(B4891))*0.0071))*43758.5453,1),"")</f>
        <v/>
      </c>
      <c r="E4891" s="0" t="str">
        <f aca="false">IF(C4891=1,INT(MOD(ABS(SIN(D4891*7919.123+ROW()*0.618+'הדבקת לידים'!$F$2*1.3))*43758.5453,1)*1000000)*10000+ROW(),"")</f>
        <v/>
      </c>
      <c r="F4891" s="0" t="str">
        <f aca="false">IF(E4891="","",RANK(E4891,$E$2:$E$5001,1))</f>
        <v/>
      </c>
      <c r="G4891" s="0" t="n">
        <f aca="false">IF(A4891="",0,IF(SUMPRODUCT(--($A$2:$A$5001=A4891))&gt;1,1,0))</f>
        <v>0</v>
      </c>
      <c r="H4891" s="0" t="n">
        <f aca="false">ROW()-1</f>
        <v>4890</v>
      </c>
      <c r="I4891" s="0" t="str">
        <f aca="false">IF(OR(הגדרות!$E$6=0,H4891&gt;הגדרות!$E$5),"",IF(H4891-1&lt;הגדרות!$E$8*(הגדרות!$E$7+1),INT((H4891-1)/(הגדרות!$E$7+1)),הגדרות!$E$8+INT((H4891-1-הגדרות!$E$8*(הגדרות!$E$7+1))/הגדרות!$E$7)))</f>
        <v/>
      </c>
      <c r="J4891" s="0" t="str">
        <f aca="false">IF(I4891="","",IF(H4891-1&lt;הגדרות!$E$8*(הגדרות!$E$7+1),MOD(H4891-1,הגדרות!$E$7+1),MOD(H4891-1-הגדרות!$E$8*(הגדרות!$E$7+1),הגדרות!$E$7)))</f>
        <v/>
      </c>
      <c r="K4891" s="0" t="str">
        <f aca="false">IF(I4891="","",J4891*הגדרות!$E$6+I4891+1)</f>
        <v/>
      </c>
      <c r="L4891" s="0" t="str">
        <f aca="false">IF(K4891="","",MATCH(K4891,$F$2:$F$5001,0))</f>
        <v/>
      </c>
      <c r="M4891" s="0" t="str">
        <f aca="false">IF(I4891="","",INDEX(הגדרות!$A$2:$A$21,MOD(I4891+הגדרות!$E$9,הגדרות!$E$6)+1))</f>
        <v/>
      </c>
    </row>
    <row r="4892" customFormat="false" ht="15" hidden="false" customHeight="false" outlineLevel="0" collapsed="false">
      <c r="A4892" s="0" t="str">
        <f aca="false">IF('הדבקת לידים'!A4892="","",IF(ISNUMBER('הדבקת לידים'!A4892),IF(הגדרות!$E$2&gt;0,TEXT('הדבקת לידים'!A4892,REPT("0",הגדרות!$E$2)),TEXT('הדבקת לידים'!A4892,"0")),TRIM('הדבקת לידים'!A4892)))</f>
        <v/>
      </c>
      <c r="B4892" s="0" t="str">
        <f aca="false">IF('הדבקת לידים'!B4892="","",IF(ISNUMBER('הדבקת לידים'!B4892),IF(הגדרות!$E$3&gt;0,TEXT('הדבקת לידים'!B4892,REPT("0",הגדרות!$E$3)),TEXT('הדבקת לידים'!B4892,"0")),TRIM('הדבקת לידים'!B4892)))</f>
        <v/>
      </c>
      <c r="C4892" s="0" t="n">
        <f aca="false">IF(OR(A4892&lt;&gt;"",B4892&lt;&gt;""),1,0)</f>
        <v>0</v>
      </c>
      <c r="D4892" s="0" t="str">
        <f aca="false">IF(C4892=1,MOD(ABS(SIN(ROW()*12.9898+'הדבקת לידים'!$F$2*78.233+IFERROR(--RIGHT(A4892,6),LEN(A4892))*0.0137+IFERROR(--RIGHT(B4892,6),LEN(B4892))*0.0071))*43758.5453,1),"")</f>
        <v/>
      </c>
      <c r="E4892" s="0" t="str">
        <f aca="false">IF(C4892=1,INT(MOD(ABS(SIN(D4892*7919.123+ROW()*0.618+'הדבקת לידים'!$F$2*1.3))*43758.5453,1)*1000000)*10000+ROW(),"")</f>
        <v/>
      </c>
      <c r="F4892" s="0" t="str">
        <f aca="false">IF(E4892="","",RANK(E4892,$E$2:$E$5001,1))</f>
        <v/>
      </c>
      <c r="G4892" s="0" t="n">
        <f aca="false">IF(A4892="",0,IF(SUMPRODUCT(--($A$2:$A$5001=A4892))&gt;1,1,0))</f>
        <v>0</v>
      </c>
      <c r="H4892" s="0" t="n">
        <f aca="false">ROW()-1</f>
        <v>4891</v>
      </c>
      <c r="I4892" s="0" t="str">
        <f aca="false">IF(OR(הגדרות!$E$6=0,H4892&gt;הגדרות!$E$5),"",IF(H4892-1&lt;הגדרות!$E$8*(הגדרות!$E$7+1),INT((H4892-1)/(הגדרות!$E$7+1)),הגדרות!$E$8+INT((H4892-1-הגדרות!$E$8*(הגדרות!$E$7+1))/הגדרות!$E$7)))</f>
        <v/>
      </c>
      <c r="J4892" s="0" t="str">
        <f aca="false">IF(I4892="","",IF(H4892-1&lt;הגדרות!$E$8*(הגדרות!$E$7+1),MOD(H4892-1,הגדרות!$E$7+1),MOD(H4892-1-הגדרות!$E$8*(הגדרות!$E$7+1),הגדרות!$E$7)))</f>
        <v/>
      </c>
      <c r="K4892" s="0" t="str">
        <f aca="false">IF(I4892="","",J4892*הגדרות!$E$6+I4892+1)</f>
        <v/>
      </c>
      <c r="L4892" s="0" t="str">
        <f aca="false">IF(K4892="","",MATCH(K4892,$F$2:$F$5001,0))</f>
        <v/>
      </c>
      <c r="M4892" s="0" t="str">
        <f aca="false">IF(I4892="","",INDEX(הגדרות!$A$2:$A$21,MOD(I4892+הגדרות!$E$9,הגדרות!$E$6)+1))</f>
        <v/>
      </c>
    </row>
    <row r="4893" customFormat="false" ht="15" hidden="false" customHeight="false" outlineLevel="0" collapsed="false">
      <c r="A4893" s="0" t="str">
        <f aca="false">IF('הדבקת לידים'!A4893="","",IF(ISNUMBER('הדבקת לידים'!A4893),IF(הגדרות!$E$2&gt;0,TEXT('הדבקת לידים'!A4893,REPT("0",הגדרות!$E$2)),TEXT('הדבקת לידים'!A4893,"0")),TRIM('הדבקת לידים'!A4893)))</f>
        <v/>
      </c>
      <c r="B4893" s="0" t="str">
        <f aca="false">IF('הדבקת לידים'!B4893="","",IF(ISNUMBER('הדבקת לידים'!B4893),IF(הגדרות!$E$3&gt;0,TEXT('הדבקת לידים'!B4893,REPT("0",הגדרות!$E$3)),TEXT('הדבקת לידים'!B4893,"0")),TRIM('הדבקת לידים'!B4893)))</f>
        <v/>
      </c>
      <c r="C4893" s="0" t="n">
        <f aca="false">IF(OR(A4893&lt;&gt;"",B4893&lt;&gt;""),1,0)</f>
        <v>0</v>
      </c>
      <c r="D4893" s="0" t="str">
        <f aca="false">IF(C4893=1,MOD(ABS(SIN(ROW()*12.9898+'הדבקת לידים'!$F$2*78.233+IFERROR(--RIGHT(A4893,6),LEN(A4893))*0.0137+IFERROR(--RIGHT(B4893,6),LEN(B4893))*0.0071))*43758.5453,1),"")</f>
        <v/>
      </c>
      <c r="E4893" s="0" t="str">
        <f aca="false">IF(C4893=1,INT(MOD(ABS(SIN(D4893*7919.123+ROW()*0.618+'הדבקת לידים'!$F$2*1.3))*43758.5453,1)*1000000)*10000+ROW(),"")</f>
        <v/>
      </c>
      <c r="F4893" s="0" t="str">
        <f aca="false">IF(E4893="","",RANK(E4893,$E$2:$E$5001,1))</f>
        <v/>
      </c>
      <c r="G4893" s="0" t="n">
        <f aca="false">IF(A4893="",0,IF(SUMPRODUCT(--($A$2:$A$5001=A4893))&gt;1,1,0))</f>
        <v>0</v>
      </c>
      <c r="H4893" s="0" t="n">
        <f aca="false">ROW()-1</f>
        <v>4892</v>
      </c>
      <c r="I4893" s="0" t="str">
        <f aca="false">IF(OR(הגדרות!$E$6=0,H4893&gt;הגדרות!$E$5),"",IF(H4893-1&lt;הגדרות!$E$8*(הגדרות!$E$7+1),INT((H4893-1)/(הגדרות!$E$7+1)),הגדרות!$E$8+INT((H4893-1-הגדרות!$E$8*(הגדרות!$E$7+1))/הגדרות!$E$7)))</f>
        <v/>
      </c>
      <c r="J4893" s="0" t="str">
        <f aca="false">IF(I4893="","",IF(H4893-1&lt;הגדרות!$E$8*(הגדרות!$E$7+1),MOD(H4893-1,הגדרות!$E$7+1),MOD(H4893-1-הגדרות!$E$8*(הגדרות!$E$7+1),הגדרות!$E$7)))</f>
        <v/>
      </c>
      <c r="K4893" s="0" t="str">
        <f aca="false">IF(I4893="","",J4893*הגדרות!$E$6+I4893+1)</f>
        <v/>
      </c>
      <c r="L4893" s="0" t="str">
        <f aca="false">IF(K4893="","",MATCH(K4893,$F$2:$F$5001,0))</f>
        <v/>
      </c>
      <c r="M4893" s="0" t="str">
        <f aca="false">IF(I4893="","",INDEX(הגדרות!$A$2:$A$21,MOD(I4893+הגדרות!$E$9,הגדרות!$E$6)+1))</f>
        <v/>
      </c>
    </row>
    <row r="4894" customFormat="false" ht="15" hidden="false" customHeight="false" outlineLevel="0" collapsed="false">
      <c r="A4894" s="0" t="str">
        <f aca="false">IF('הדבקת לידים'!A4894="","",IF(ISNUMBER('הדבקת לידים'!A4894),IF(הגדרות!$E$2&gt;0,TEXT('הדבקת לידים'!A4894,REPT("0",הגדרות!$E$2)),TEXT('הדבקת לידים'!A4894,"0")),TRIM('הדבקת לידים'!A4894)))</f>
        <v/>
      </c>
      <c r="B4894" s="0" t="str">
        <f aca="false">IF('הדבקת לידים'!B4894="","",IF(ISNUMBER('הדבקת לידים'!B4894),IF(הגדרות!$E$3&gt;0,TEXT('הדבקת לידים'!B4894,REPT("0",הגדרות!$E$3)),TEXT('הדבקת לידים'!B4894,"0")),TRIM('הדבקת לידים'!B4894)))</f>
        <v/>
      </c>
      <c r="C4894" s="0" t="n">
        <f aca="false">IF(OR(A4894&lt;&gt;"",B4894&lt;&gt;""),1,0)</f>
        <v>0</v>
      </c>
      <c r="D4894" s="0" t="str">
        <f aca="false">IF(C4894=1,MOD(ABS(SIN(ROW()*12.9898+'הדבקת לידים'!$F$2*78.233+IFERROR(--RIGHT(A4894,6),LEN(A4894))*0.0137+IFERROR(--RIGHT(B4894,6),LEN(B4894))*0.0071))*43758.5453,1),"")</f>
        <v/>
      </c>
      <c r="E4894" s="0" t="str">
        <f aca="false">IF(C4894=1,INT(MOD(ABS(SIN(D4894*7919.123+ROW()*0.618+'הדבקת לידים'!$F$2*1.3))*43758.5453,1)*1000000)*10000+ROW(),"")</f>
        <v/>
      </c>
      <c r="F4894" s="0" t="str">
        <f aca="false">IF(E4894="","",RANK(E4894,$E$2:$E$5001,1))</f>
        <v/>
      </c>
      <c r="G4894" s="0" t="n">
        <f aca="false">IF(A4894="",0,IF(SUMPRODUCT(--($A$2:$A$5001=A4894))&gt;1,1,0))</f>
        <v>0</v>
      </c>
      <c r="H4894" s="0" t="n">
        <f aca="false">ROW()-1</f>
        <v>4893</v>
      </c>
      <c r="I4894" s="0" t="str">
        <f aca="false">IF(OR(הגדרות!$E$6=0,H4894&gt;הגדרות!$E$5),"",IF(H4894-1&lt;הגדרות!$E$8*(הגדרות!$E$7+1),INT((H4894-1)/(הגדרות!$E$7+1)),הגדרות!$E$8+INT((H4894-1-הגדרות!$E$8*(הגדרות!$E$7+1))/הגדרות!$E$7)))</f>
        <v/>
      </c>
      <c r="J4894" s="0" t="str">
        <f aca="false">IF(I4894="","",IF(H4894-1&lt;הגדרות!$E$8*(הגדרות!$E$7+1),MOD(H4894-1,הגדרות!$E$7+1),MOD(H4894-1-הגדרות!$E$8*(הגדרות!$E$7+1),הגדרות!$E$7)))</f>
        <v/>
      </c>
      <c r="K4894" s="0" t="str">
        <f aca="false">IF(I4894="","",J4894*הגדרות!$E$6+I4894+1)</f>
        <v/>
      </c>
      <c r="L4894" s="0" t="str">
        <f aca="false">IF(K4894="","",MATCH(K4894,$F$2:$F$5001,0))</f>
        <v/>
      </c>
      <c r="M4894" s="0" t="str">
        <f aca="false">IF(I4894="","",INDEX(הגדרות!$A$2:$A$21,MOD(I4894+הגדרות!$E$9,הגדרות!$E$6)+1))</f>
        <v/>
      </c>
    </row>
    <row r="4895" customFormat="false" ht="15" hidden="false" customHeight="false" outlineLevel="0" collapsed="false">
      <c r="A4895" s="0" t="str">
        <f aca="false">IF('הדבקת לידים'!A4895="","",IF(ISNUMBER('הדבקת לידים'!A4895),IF(הגדרות!$E$2&gt;0,TEXT('הדבקת לידים'!A4895,REPT("0",הגדרות!$E$2)),TEXT('הדבקת לידים'!A4895,"0")),TRIM('הדבקת לידים'!A4895)))</f>
        <v/>
      </c>
      <c r="B4895" s="0" t="str">
        <f aca="false">IF('הדבקת לידים'!B4895="","",IF(ISNUMBER('הדבקת לידים'!B4895),IF(הגדרות!$E$3&gt;0,TEXT('הדבקת לידים'!B4895,REPT("0",הגדרות!$E$3)),TEXT('הדבקת לידים'!B4895,"0")),TRIM('הדבקת לידים'!B4895)))</f>
        <v/>
      </c>
      <c r="C4895" s="0" t="n">
        <f aca="false">IF(OR(A4895&lt;&gt;"",B4895&lt;&gt;""),1,0)</f>
        <v>0</v>
      </c>
      <c r="D4895" s="0" t="str">
        <f aca="false">IF(C4895=1,MOD(ABS(SIN(ROW()*12.9898+'הדבקת לידים'!$F$2*78.233+IFERROR(--RIGHT(A4895,6),LEN(A4895))*0.0137+IFERROR(--RIGHT(B4895,6),LEN(B4895))*0.0071))*43758.5453,1),"")</f>
        <v/>
      </c>
      <c r="E4895" s="0" t="str">
        <f aca="false">IF(C4895=1,INT(MOD(ABS(SIN(D4895*7919.123+ROW()*0.618+'הדבקת לידים'!$F$2*1.3))*43758.5453,1)*1000000)*10000+ROW(),"")</f>
        <v/>
      </c>
      <c r="F4895" s="0" t="str">
        <f aca="false">IF(E4895="","",RANK(E4895,$E$2:$E$5001,1))</f>
        <v/>
      </c>
      <c r="G4895" s="0" t="n">
        <f aca="false">IF(A4895="",0,IF(SUMPRODUCT(--($A$2:$A$5001=A4895))&gt;1,1,0))</f>
        <v>0</v>
      </c>
      <c r="H4895" s="0" t="n">
        <f aca="false">ROW()-1</f>
        <v>4894</v>
      </c>
      <c r="I4895" s="0" t="str">
        <f aca="false">IF(OR(הגדרות!$E$6=0,H4895&gt;הגדרות!$E$5),"",IF(H4895-1&lt;הגדרות!$E$8*(הגדרות!$E$7+1),INT((H4895-1)/(הגדרות!$E$7+1)),הגדרות!$E$8+INT((H4895-1-הגדרות!$E$8*(הגדרות!$E$7+1))/הגדרות!$E$7)))</f>
        <v/>
      </c>
      <c r="J4895" s="0" t="str">
        <f aca="false">IF(I4895="","",IF(H4895-1&lt;הגדרות!$E$8*(הגדרות!$E$7+1),MOD(H4895-1,הגדרות!$E$7+1),MOD(H4895-1-הגדרות!$E$8*(הגדרות!$E$7+1),הגדרות!$E$7)))</f>
        <v/>
      </c>
      <c r="K4895" s="0" t="str">
        <f aca="false">IF(I4895="","",J4895*הגדרות!$E$6+I4895+1)</f>
        <v/>
      </c>
      <c r="L4895" s="0" t="str">
        <f aca="false">IF(K4895="","",MATCH(K4895,$F$2:$F$5001,0))</f>
        <v/>
      </c>
      <c r="M4895" s="0" t="str">
        <f aca="false">IF(I4895="","",INDEX(הגדרות!$A$2:$A$21,MOD(I4895+הגדרות!$E$9,הגדרות!$E$6)+1))</f>
        <v/>
      </c>
    </row>
    <row r="4896" customFormat="false" ht="15" hidden="false" customHeight="false" outlineLevel="0" collapsed="false">
      <c r="A4896" s="0" t="str">
        <f aca="false">IF('הדבקת לידים'!A4896="","",IF(ISNUMBER('הדבקת לידים'!A4896),IF(הגדרות!$E$2&gt;0,TEXT('הדבקת לידים'!A4896,REPT("0",הגדרות!$E$2)),TEXT('הדבקת לידים'!A4896,"0")),TRIM('הדבקת לידים'!A4896)))</f>
        <v/>
      </c>
      <c r="B4896" s="0" t="str">
        <f aca="false">IF('הדבקת לידים'!B4896="","",IF(ISNUMBER('הדבקת לידים'!B4896),IF(הגדרות!$E$3&gt;0,TEXT('הדבקת לידים'!B4896,REPT("0",הגדרות!$E$3)),TEXT('הדבקת לידים'!B4896,"0")),TRIM('הדבקת לידים'!B4896)))</f>
        <v/>
      </c>
      <c r="C4896" s="0" t="n">
        <f aca="false">IF(OR(A4896&lt;&gt;"",B4896&lt;&gt;""),1,0)</f>
        <v>0</v>
      </c>
      <c r="D4896" s="0" t="str">
        <f aca="false">IF(C4896=1,MOD(ABS(SIN(ROW()*12.9898+'הדבקת לידים'!$F$2*78.233+IFERROR(--RIGHT(A4896,6),LEN(A4896))*0.0137+IFERROR(--RIGHT(B4896,6),LEN(B4896))*0.0071))*43758.5453,1),"")</f>
        <v/>
      </c>
      <c r="E4896" s="0" t="str">
        <f aca="false">IF(C4896=1,INT(MOD(ABS(SIN(D4896*7919.123+ROW()*0.618+'הדבקת לידים'!$F$2*1.3))*43758.5453,1)*1000000)*10000+ROW(),"")</f>
        <v/>
      </c>
      <c r="F4896" s="0" t="str">
        <f aca="false">IF(E4896="","",RANK(E4896,$E$2:$E$5001,1))</f>
        <v/>
      </c>
      <c r="G4896" s="0" t="n">
        <f aca="false">IF(A4896="",0,IF(SUMPRODUCT(--($A$2:$A$5001=A4896))&gt;1,1,0))</f>
        <v>0</v>
      </c>
      <c r="H4896" s="0" t="n">
        <f aca="false">ROW()-1</f>
        <v>4895</v>
      </c>
      <c r="I4896" s="0" t="str">
        <f aca="false">IF(OR(הגדרות!$E$6=0,H4896&gt;הגדרות!$E$5),"",IF(H4896-1&lt;הגדרות!$E$8*(הגדרות!$E$7+1),INT((H4896-1)/(הגדרות!$E$7+1)),הגדרות!$E$8+INT((H4896-1-הגדרות!$E$8*(הגדרות!$E$7+1))/הגדרות!$E$7)))</f>
        <v/>
      </c>
      <c r="J4896" s="0" t="str">
        <f aca="false">IF(I4896="","",IF(H4896-1&lt;הגדרות!$E$8*(הגדרות!$E$7+1),MOD(H4896-1,הגדרות!$E$7+1),MOD(H4896-1-הגדרות!$E$8*(הגדרות!$E$7+1),הגדרות!$E$7)))</f>
        <v/>
      </c>
      <c r="K4896" s="0" t="str">
        <f aca="false">IF(I4896="","",J4896*הגדרות!$E$6+I4896+1)</f>
        <v/>
      </c>
      <c r="L4896" s="0" t="str">
        <f aca="false">IF(K4896="","",MATCH(K4896,$F$2:$F$5001,0))</f>
        <v/>
      </c>
      <c r="M4896" s="0" t="str">
        <f aca="false">IF(I4896="","",INDEX(הגדרות!$A$2:$A$21,MOD(I4896+הגדרות!$E$9,הגדרות!$E$6)+1))</f>
        <v/>
      </c>
    </row>
    <row r="4897" customFormat="false" ht="15" hidden="false" customHeight="false" outlineLevel="0" collapsed="false">
      <c r="A4897" s="0" t="str">
        <f aca="false">IF('הדבקת לידים'!A4897="","",IF(ISNUMBER('הדבקת לידים'!A4897),IF(הגדרות!$E$2&gt;0,TEXT('הדבקת לידים'!A4897,REPT("0",הגדרות!$E$2)),TEXT('הדבקת לידים'!A4897,"0")),TRIM('הדבקת לידים'!A4897)))</f>
        <v/>
      </c>
      <c r="B4897" s="0" t="str">
        <f aca="false">IF('הדבקת לידים'!B4897="","",IF(ISNUMBER('הדבקת לידים'!B4897),IF(הגדרות!$E$3&gt;0,TEXT('הדבקת לידים'!B4897,REPT("0",הגדרות!$E$3)),TEXT('הדבקת לידים'!B4897,"0")),TRIM('הדבקת לידים'!B4897)))</f>
        <v/>
      </c>
      <c r="C4897" s="0" t="n">
        <f aca="false">IF(OR(A4897&lt;&gt;"",B4897&lt;&gt;""),1,0)</f>
        <v>0</v>
      </c>
      <c r="D4897" s="0" t="str">
        <f aca="false">IF(C4897=1,MOD(ABS(SIN(ROW()*12.9898+'הדבקת לידים'!$F$2*78.233+IFERROR(--RIGHT(A4897,6),LEN(A4897))*0.0137+IFERROR(--RIGHT(B4897,6),LEN(B4897))*0.0071))*43758.5453,1),"")</f>
        <v/>
      </c>
      <c r="E4897" s="0" t="str">
        <f aca="false">IF(C4897=1,INT(MOD(ABS(SIN(D4897*7919.123+ROW()*0.618+'הדבקת לידים'!$F$2*1.3))*43758.5453,1)*1000000)*10000+ROW(),"")</f>
        <v/>
      </c>
      <c r="F4897" s="0" t="str">
        <f aca="false">IF(E4897="","",RANK(E4897,$E$2:$E$5001,1))</f>
        <v/>
      </c>
      <c r="G4897" s="0" t="n">
        <f aca="false">IF(A4897="",0,IF(SUMPRODUCT(--($A$2:$A$5001=A4897))&gt;1,1,0))</f>
        <v>0</v>
      </c>
      <c r="H4897" s="0" t="n">
        <f aca="false">ROW()-1</f>
        <v>4896</v>
      </c>
      <c r="I4897" s="0" t="str">
        <f aca="false">IF(OR(הגדרות!$E$6=0,H4897&gt;הגדרות!$E$5),"",IF(H4897-1&lt;הגדרות!$E$8*(הגדרות!$E$7+1),INT((H4897-1)/(הגדרות!$E$7+1)),הגדרות!$E$8+INT((H4897-1-הגדרות!$E$8*(הגדרות!$E$7+1))/הגדרות!$E$7)))</f>
        <v/>
      </c>
      <c r="J4897" s="0" t="str">
        <f aca="false">IF(I4897="","",IF(H4897-1&lt;הגדרות!$E$8*(הגדרות!$E$7+1),MOD(H4897-1,הגדרות!$E$7+1),MOD(H4897-1-הגדרות!$E$8*(הגדרות!$E$7+1),הגדרות!$E$7)))</f>
        <v/>
      </c>
      <c r="K4897" s="0" t="str">
        <f aca="false">IF(I4897="","",J4897*הגדרות!$E$6+I4897+1)</f>
        <v/>
      </c>
      <c r="L4897" s="0" t="str">
        <f aca="false">IF(K4897="","",MATCH(K4897,$F$2:$F$5001,0))</f>
        <v/>
      </c>
      <c r="M4897" s="0" t="str">
        <f aca="false">IF(I4897="","",INDEX(הגדרות!$A$2:$A$21,MOD(I4897+הגדרות!$E$9,הגדרות!$E$6)+1))</f>
        <v/>
      </c>
    </row>
    <row r="4898" customFormat="false" ht="15" hidden="false" customHeight="false" outlineLevel="0" collapsed="false">
      <c r="A4898" s="0" t="str">
        <f aca="false">IF('הדבקת לידים'!A4898="","",IF(ISNUMBER('הדבקת לידים'!A4898),IF(הגדרות!$E$2&gt;0,TEXT('הדבקת לידים'!A4898,REPT("0",הגדרות!$E$2)),TEXT('הדבקת לידים'!A4898,"0")),TRIM('הדבקת לידים'!A4898)))</f>
        <v/>
      </c>
      <c r="B4898" s="0" t="str">
        <f aca="false">IF('הדבקת לידים'!B4898="","",IF(ISNUMBER('הדבקת לידים'!B4898),IF(הגדרות!$E$3&gt;0,TEXT('הדבקת לידים'!B4898,REPT("0",הגדרות!$E$3)),TEXT('הדבקת לידים'!B4898,"0")),TRIM('הדבקת לידים'!B4898)))</f>
        <v/>
      </c>
      <c r="C4898" s="0" t="n">
        <f aca="false">IF(OR(A4898&lt;&gt;"",B4898&lt;&gt;""),1,0)</f>
        <v>0</v>
      </c>
      <c r="D4898" s="0" t="str">
        <f aca="false">IF(C4898=1,MOD(ABS(SIN(ROW()*12.9898+'הדבקת לידים'!$F$2*78.233+IFERROR(--RIGHT(A4898,6),LEN(A4898))*0.0137+IFERROR(--RIGHT(B4898,6),LEN(B4898))*0.0071))*43758.5453,1),"")</f>
        <v/>
      </c>
      <c r="E4898" s="0" t="str">
        <f aca="false">IF(C4898=1,INT(MOD(ABS(SIN(D4898*7919.123+ROW()*0.618+'הדבקת לידים'!$F$2*1.3))*43758.5453,1)*1000000)*10000+ROW(),"")</f>
        <v/>
      </c>
      <c r="F4898" s="0" t="str">
        <f aca="false">IF(E4898="","",RANK(E4898,$E$2:$E$5001,1))</f>
        <v/>
      </c>
      <c r="G4898" s="0" t="n">
        <f aca="false">IF(A4898="",0,IF(SUMPRODUCT(--($A$2:$A$5001=A4898))&gt;1,1,0))</f>
        <v>0</v>
      </c>
      <c r="H4898" s="0" t="n">
        <f aca="false">ROW()-1</f>
        <v>4897</v>
      </c>
      <c r="I4898" s="0" t="str">
        <f aca="false">IF(OR(הגדרות!$E$6=0,H4898&gt;הגדרות!$E$5),"",IF(H4898-1&lt;הגדרות!$E$8*(הגדרות!$E$7+1),INT((H4898-1)/(הגדרות!$E$7+1)),הגדרות!$E$8+INT((H4898-1-הגדרות!$E$8*(הגדרות!$E$7+1))/הגדרות!$E$7)))</f>
        <v/>
      </c>
      <c r="J4898" s="0" t="str">
        <f aca="false">IF(I4898="","",IF(H4898-1&lt;הגדרות!$E$8*(הגדרות!$E$7+1),MOD(H4898-1,הגדרות!$E$7+1),MOD(H4898-1-הגדרות!$E$8*(הגדרות!$E$7+1),הגדרות!$E$7)))</f>
        <v/>
      </c>
      <c r="K4898" s="0" t="str">
        <f aca="false">IF(I4898="","",J4898*הגדרות!$E$6+I4898+1)</f>
        <v/>
      </c>
      <c r="L4898" s="0" t="str">
        <f aca="false">IF(K4898="","",MATCH(K4898,$F$2:$F$5001,0))</f>
        <v/>
      </c>
      <c r="M4898" s="0" t="str">
        <f aca="false">IF(I4898="","",INDEX(הגדרות!$A$2:$A$21,MOD(I4898+הגדרות!$E$9,הגדרות!$E$6)+1))</f>
        <v/>
      </c>
    </row>
    <row r="4899" customFormat="false" ht="15" hidden="false" customHeight="false" outlineLevel="0" collapsed="false">
      <c r="A4899" s="0" t="str">
        <f aca="false">IF('הדבקת לידים'!A4899="","",IF(ISNUMBER('הדבקת לידים'!A4899),IF(הגדרות!$E$2&gt;0,TEXT('הדבקת לידים'!A4899,REPT("0",הגדרות!$E$2)),TEXT('הדבקת לידים'!A4899,"0")),TRIM('הדבקת לידים'!A4899)))</f>
        <v/>
      </c>
      <c r="B4899" s="0" t="str">
        <f aca="false">IF('הדבקת לידים'!B4899="","",IF(ISNUMBER('הדבקת לידים'!B4899),IF(הגדרות!$E$3&gt;0,TEXT('הדבקת לידים'!B4899,REPT("0",הגדרות!$E$3)),TEXT('הדבקת לידים'!B4899,"0")),TRIM('הדבקת לידים'!B4899)))</f>
        <v/>
      </c>
      <c r="C4899" s="0" t="n">
        <f aca="false">IF(OR(A4899&lt;&gt;"",B4899&lt;&gt;""),1,0)</f>
        <v>0</v>
      </c>
      <c r="D4899" s="0" t="str">
        <f aca="false">IF(C4899=1,MOD(ABS(SIN(ROW()*12.9898+'הדבקת לידים'!$F$2*78.233+IFERROR(--RIGHT(A4899,6),LEN(A4899))*0.0137+IFERROR(--RIGHT(B4899,6),LEN(B4899))*0.0071))*43758.5453,1),"")</f>
        <v/>
      </c>
      <c r="E4899" s="0" t="str">
        <f aca="false">IF(C4899=1,INT(MOD(ABS(SIN(D4899*7919.123+ROW()*0.618+'הדבקת לידים'!$F$2*1.3))*43758.5453,1)*1000000)*10000+ROW(),"")</f>
        <v/>
      </c>
      <c r="F4899" s="0" t="str">
        <f aca="false">IF(E4899="","",RANK(E4899,$E$2:$E$5001,1))</f>
        <v/>
      </c>
      <c r="G4899" s="0" t="n">
        <f aca="false">IF(A4899="",0,IF(SUMPRODUCT(--($A$2:$A$5001=A4899))&gt;1,1,0))</f>
        <v>0</v>
      </c>
      <c r="H4899" s="0" t="n">
        <f aca="false">ROW()-1</f>
        <v>4898</v>
      </c>
      <c r="I4899" s="0" t="str">
        <f aca="false">IF(OR(הגדרות!$E$6=0,H4899&gt;הגדרות!$E$5),"",IF(H4899-1&lt;הגדרות!$E$8*(הגדרות!$E$7+1),INT((H4899-1)/(הגדרות!$E$7+1)),הגדרות!$E$8+INT((H4899-1-הגדרות!$E$8*(הגדרות!$E$7+1))/הגדרות!$E$7)))</f>
        <v/>
      </c>
      <c r="J4899" s="0" t="str">
        <f aca="false">IF(I4899="","",IF(H4899-1&lt;הגדרות!$E$8*(הגדרות!$E$7+1),MOD(H4899-1,הגדרות!$E$7+1),MOD(H4899-1-הגדרות!$E$8*(הגדרות!$E$7+1),הגדרות!$E$7)))</f>
        <v/>
      </c>
      <c r="K4899" s="0" t="str">
        <f aca="false">IF(I4899="","",J4899*הגדרות!$E$6+I4899+1)</f>
        <v/>
      </c>
      <c r="L4899" s="0" t="str">
        <f aca="false">IF(K4899="","",MATCH(K4899,$F$2:$F$5001,0))</f>
        <v/>
      </c>
      <c r="M4899" s="0" t="str">
        <f aca="false">IF(I4899="","",INDEX(הגדרות!$A$2:$A$21,MOD(I4899+הגדרות!$E$9,הגדרות!$E$6)+1))</f>
        <v/>
      </c>
    </row>
    <row r="4900" customFormat="false" ht="15" hidden="false" customHeight="false" outlineLevel="0" collapsed="false">
      <c r="A4900" s="0" t="str">
        <f aca="false">IF('הדבקת לידים'!A4900="","",IF(ISNUMBER('הדבקת לידים'!A4900),IF(הגדרות!$E$2&gt;0,TEXT('הדבקת לידים'!A4900,REPT("0",הגדרות!$E$2)),TEXT('הדבקת לידים'!A4900,"0")),TRIM('הדבקת לידים'!A4900)))</f>
        <v/>
      </c>
      <c r="B4900" s="0" t="str">
        <f aca="false">IF('הדבקת לידים'!B4900="","",IF(ISNUMBER('הדבקת לידים'!B4900),IF(הגדרות!$E$3&gt;0,TEXT('הדבקת לידים'!B4900,REPT("0",הגדרות!$E$3)),TEXT('הדבקת לידים'!B4900,"0")),TRIM('הדבקת לידים'!B4900)))</f>
        <v/>
      </c>
      <c r="C4900" s="0" t="n">
        <f aca="false">IF(OR(A4900&lt;&gt;"",B4900&lt;&gt;""),1,0)</f>
        <v>0</v>
      </c>
      <c r="D4900" s="0" t="str">
        <f aca="false">IF(C4900=1,MOD(ABS(SIN(ROW()*12.9898+'הדבקת לידים'!$F$2*78.233+IFERROR(--RIGHT(A4900,6),LEN(A4900))*0.0137+IFERROR(--RIGHT(B4900,6),LEN(B4900))*0.0071))*43758.5453,1),"")</f>
        <v/>
      </c>
      <c r="E4900" s="0" t="str">
        <f aca="false">IF(C4900=1,INT(MOD(ABS(SIN(D4900*7919.123+ROW()*0.618+'הדבקת לידים'!$F$2*1.3))*43758.5453,1)*1000000)*10000+ROW(),"")</f>
        <v/>
      </c>
      <c r="F4900" s="0" t="str">
        <f aca="false">IF(E4900="","",RANK(E4900,$E$2:$E$5001,1))</f>
        <v/>
      </c>
      <c r="G4900" s="0" t="n">
        <f aca="false">IF(A4900="",0,IF(SUMPRODUCT(--($A$2:$A$5001=A4900))&gt;1,1,0))</f>
        <v>0</v>
      </c>
      <c r="H4900" s="0" t="n">
        <f aca="false">ROW()-1</f>
        <v>4899</v>
      </c>
      <c r="I4900" s="0" t="str">
        <f aca="false">IF(OR(הגדרות!$E$6=0,H4900&gt;הגדרות!$E$5),"",IF(H4900-1&lt;הגדרות!$E$8*(הגדרות!$E$7+1),INT((H4900-1)/(הגדרות!$E$7+1)),הגדרות!$E$8+INT((H4900-1-הגדרות!$E$8*(הגדרות!$E$7+1))/הגדרות!$E$7)))</f>
        <v/>
      </c>
      <c r="J4900" s="0" t="str">
        <f aca="false">IF(I4900="","",IF(H4900-1&lt;הגדרות!$E$8*(הגדרות!$E$7+1),MOD(H4900-1,הגדרות!$E$7+1),MOD(H4900-1-הגדרות!$E$8*(הגדרות!$E$7+1),הגדרות!$E$7)))</f>
        <v/>
      </c>
      <c r="K4900" s="0" t="str">
        <f aca="false">IF(I4900="","",J4900*הגדרות!$E$6+I4900+1)</f>
        <v/>
      </c>
      <c r="L4900" s="0" t="str">
        <f aca="false">IF(K4900="","",MATCH(K4900,$F$2:$F$5001,0))</f>
        <v/>
      </c>
      <c r="M4900" s="0" t="str">
        <f aca="false">IF(I4900="","",INDEX(הגדרות!$A$2:$A$21,MOD(I4900+הגדרות!$E$9,הגדרות!$E$6)+1))</f>
        <v/>
      </c>
    </row>
    <row r="4901" customFormat="false" ht="15" hidden="false" customHeight="false" outlineLevel="0" collapsed="false">
      <c r="A4901" s="0" t="str">
        <f aca="false">IF('הדבקת לידים'!A4901="","",IF(ISNUMBER('הדבקת לידים'!A4901),IF(הגדרות!$E$2&gt;0,TEXT('הדבקת לידים'!A4901,REPT("0",הגדרות!$E$2)),TEXT('הדבקת לידים'!A4901,"0")),TRIM('הדבקת לידים'!A4901)))</f>
        <v/>
      </c>
      <c r="B4901" s="0" t="str">
        <f aca="false">IF('הדבקת לידים'!B4901="","",IF(ISNUMBER('הדבקת לידים'!B4901),IF(הגדרות!$E$3&gt;0,TEXT('הדבקת לידים'!B4901,REPT("0",הגדרות!$E$3)),TEXT('הדבקת לידים'!B4901,"0")),TRIM('הדבקת לידים'!B4901)))</f>
        <v/>
      </c>
      <c r="C4901" s="0" t="n">
        <f aca="false">IF(OR(A4901&lt;&gt;"",B4901&lt;&gt;""),1,0)</f>
        <v>0</v>
      </c>
      <c r="D4901" s="0" t="str">
        <f aca="false">IF(C4901=1,MOD(ABS(SIN(ROW()*12.9898+'הדבקת לידים'!$F$2*78.233+IFERROR(--RIGHT(A4901,6),LEN(A4901))*0.0137+IFERROR(--RIGHT(B4901,6),LEN(B4901))*0.0071))*43758.5453,1),"")</f>
        <v/>
      </c>
      <c r="E4901" s="0" t="str">
        <f aca="false">IF(C4901=1,INT(MOD(ABS(SIN(D4901*7919.123+ROW()*0.618+'הדבקת לידים'!$F$2*1.3))*43758.5453,1)*1000000)*10000+ROW(),"")</f>
        <v/>
      </c>
      <c r="F4901" s="0" t="str">
        <f aca="false">IF(E4901="","",RANK(E4901,$E$2:$E$5001,1))</f>
        <v/>
      </c>
      <c r="G4901" s="0" t="n">
        <f aca="false">IF(A4901="",0,IF(SUMPRODUCT(--($A$2:$A$5001=A4901))&gt;1,1,0))</f>
        <v>0</v>
      </c>
      <c r="H4901" s="0" t="n">
        <f aca="false">ROW()-1</f>
        <v>4900</v>
      </c>
      <c r="I4901" s="0" t="str">
        <f aca="false">IF(OR(הגדרות!$E$6=0,H4901&gt;הגדרות!$E$5),"",IF(H4901-1&lt;הגדרות!$E$8*(הגדרות!$E$7+1),INT((H4901-1)/(הגדרות!$E$7+1)),הגדרות!$E$8+INT((H4901-1-הגדרות!$E$8*(הגדרות!$E$7+1))/הגדרות!$E$7)))</f>
        <v/>
      </c>
      <c r="J4901" s="0" t="str">
        <f aca="false">IF(I4901="","",IF(H4901-1&lt;הגדרות!$E$8*(הגדרות!$E$7+1),MOD(H4901-1,הגדרות!$E$7+1),MOD(H4901-1-הגדרות!$E$8*(הגדרות!$E$7+1),הגדרות!$E$7)))</f>
        <v/>
      </c>
      <c r="K4901" s="0" t="str">
        <f aca="false">IF(I4901="","",J4901*הגדרות!$E$6+I4901+1)</f>
        <v/>
      </c>
      <c r="L4901" s="0" t="str">
        <f aca="false">IF(K4901="","",MATCH(K4901,$F$2:$F$5001,0))</f>
        <v/>
      </c>
      <c r="M4901" s="0" t="str">
        <f aca="false">IF(I4901="","",INDEX(הגדרות!$A$2:$A$21,MOD(I4901+הגדרות!$E$9,הגדרות!$E$6)+1))</f>
        <v/>
      </c>
    </row>
    <row r="4902" customFormat="false" ht="15" hidden="false" customHeight="false" outlineLevel="0" collapsed="false">
      <c r="A4902" s="0" t="str">
        <f aca="false">IF('הדבקת לידים'!A4902="","",IF(ISNUMBER('הדבקת לידים'!A4902),IF(הגדרות!$E$2&gt;0,TEXT('הדבקת לידים'!A4902,REPT("0",הגדרות!$E$2)),TEXT('הדבקת לידים'!A4902,"0")),TRIM('הדבקת לידים'!A4902)))</f>
        <v/>
      </c>
      <c r="B4902" s="0" t="str">
        <f aca="false">IF('הדבקת לידים'!B4902="","",IF(ISNUMBER('הדבקת לידים'!B4902),IF(הגדרות!$E$3&gt;0,TEXT('הדבקת לידים'!B4902,REPT("0",הגדרות!$E$3)),TEXT('הדבקת לידים'!B4902,"0")),TRIM('הדבקת לידים'!B4902)))</f>
        <v/>
      </c>
      <c r="C4902" s="0" t="n">
        <f aca="false">IF(OR(A4902&lt;&gt;"",B4902&lt;&gt;""),1,0)</f>
        <v>0</v>
      </c>
      <c r="D4902" s="0" t="str">
        <f aca="false">IF(C4902=1,MOD(ABS(SIN(ROW()*12.9898+'הדבקת לידים'!$F$2*78.233+IFERROR(--RIGHT(A4902,6),LEN(A4902))*0.0137+IFERROR(--RIGHT(B4902,6),LEN(B4902))*0.0071))*43758.5453,1),"")</f>
        <v/>
      </c>
      <c r="E4902" s="0" t="str">
        <f aca="false">IF(C4902=1,INT(MOD(ABS(SIN(D4902*7919.123+ROW()*0.618+'הדבקת לידים'!$F$2*1.3))*43758.5453,1)*1000000)*10000+ROW(),"")</f>
        <v/>
      </c>
      <c r="F4902" s="0" t="str">
        <f aca="false">IF(E4902="","",RANK(E4902,$E$2:$E$5001,1))</f>
        <v/>
      </c>
      <c r="G4902" s="0" t="n">
        <f aca="false">IF(A4902="",0,IF(SUMPRODUCT(--($A$2:$A$5001=A4902))&gt;1,1,0))</f>
        <v>0</v>
      </c>
      <c r="H4902" s="0" t="n">
        <f aca="false">ROW()-1</f>
        <v>4901</v>
      </c>
      <c r="I4902" s="0" t="str">
        <f aca="false">IF(OR(הגדרות!$E$6=0,H4902&gt;הגדרות!$E$5),"",IF(H4902-1&lt;הגדרות!$E$8*(הגדרות!$E$7+1),INT((H4902-1)/(הגדרות!$E$7+1)),הגדרות!$E$8+INT((H4902-1-הגדרות!$E$8*(הגדרות!$E$7+1))/הגדרות!$E$7)))</f>
        <v/>
      </c>
      <c r="J4902" s="0" t="str">
        <f aca="false">IF(I4902="","",IF(H4902-1&lt;הגדרות!$E$8*(הגדרות!$E$7+1),MOD(H4902-1,הגדרות!$E$7+1),MOD(H4902-1-הגדרות!$E$8*(הגדרות!$E$7+1),הגדרות!$E$7)))</f>
        <v/>
      </c>
      <c r="K4902" s="0" t="str">
        <f aca="false">IF(I4902="","",J4902*הגדרות!$E$6+I4902+1)</f>
        <v/>
      </c>
      <c r="L4902" s="0" t="str">
        <f aca="false">IF(K4902="","",MATCH(K4902,$F$2:$F$5001,0))</f>
        <v/>
      </c>
      <c r="M4902" s="0" t="str">
        <f aca="false">IF(I4902="","",INDEX(הגדרות!$A$2:$A$21,MOD(I4902+הגדרות!$E$9,הגדרות!$E$6)+1))</f>
        <v/>
      </c>
    </row>
    <row r="4903" customFormat="false" ht="15" hidden="false" customHeight="false" outlineLevel="0" collapsed="false">
      <c r="A4903" s="0" t="str">
        <f aca="false">IF('הדבקת לידים'!A4903="","",IF(ISNUMBER('הדבקת לידים'!A4903),IF(הגדרות!$E$2&gt;0,TEXT('הדבקת לידים'!A4903,REPT("0",הגדרות!$E$2)),TEXT('הדבקת לידים'!A4903,"0")),TRIM('הדבקת לידים'!A4903)))</f>
        <v/>
      </c>
      <c r="B4903" s="0" t="str">
        <f aca="false">IF('הדבקת לידים'!B4903="","",IF(ISNUMBER('הדבקת לידים'!B4903),IF(הגדרות!$E$3&gt;0,TEXT('הדבקת לידים'!B4903,REPT("0",הגדרות!$E$3)),TEXT('הדבקת לידים'!B4903,"0")),TRIM('הדבקת לידים'!B4903)))</f>
        <v/>
      </c>
      <c r="C4903" s="0" t="n">
        <f aca="false">IF(OR(A4903&lt;&gt;"",B4903&lt;&gt;""),1,0)</f>
        <v>0</v>
      </c>
      <c r="D4903" s="0" t="str">
        <f aca="false">IF(C4903=1,MOD(ABS(SIN(ROW()*12.9898+'הדבקת לידים'!$F$2*78.233+IFERROR(--RIGHT(A4903,6),LEN(A4903))*0.0137+IFERROR(--RIGHT(B4903,6),LEN(B4903))*0.0071))*43758.5453,1),"")</f>
        <v/>
      </c>
      <c r="E4903" s="0" t="str">
        <f aca="false">IF(C4903=1,INT(MOD(ABS(SIN(D4903*7919.123+ROW()*0.618+'הדבקת לידים'!$F$2*1.3))*43758.5453,1)*1000000)*10000+ROW(),"")</f>
        <v/>
      </c>
      <c r="F4903" s="0" t="str">
        <f aca="false">IF(E4903="","",RANK(E4903,$E$2:$E$5001,1))</f>
        <v/>
      </c>
      <c r="G4903" s="0" t="n">
        <f aca="false">IF(A4903="",0,IF(SUMPRODUCT(--($A$2:$A$5001=A4903))&gt;1,1,0))</f>
        <v>0</v>
      </c>
      <c r="H4903" s="0" t="n">
        <f aca="false">ROW()-1</f>
        <v>4902</v>
      </c>
      <c r="I4903" s="0" t="str">
        <f aca="false">IF(OR(הגדרות!$E$6=0,H4903&gt;הגדרות!$E$5),"",IF(H4903-1&lt;הגדרות!$E$8*(הגדרות!$E$7+1),INT((H4903-1)/(הגדרות!$E$7+1)),הגדרות!$E$8+INT((H4903-1-הגדרות!$E$8*(הגדרות!$E$7+1))/הגדרות!$E$7)))</f>
        <v/>
      </c>
      <c r="J4903" s="0" t="str">
        <f aca="false">IF(I4903="","",IF(H4903-1&lt;הגדרות!$E$8*(הגדרות!$E$7+1),MOD(H4903-1,הגדרות!$E$7+1),MOD(H4903-1-הגדרות!$E$8*(הגדרות!$E$7+1),הגדרות!$E$7)))</f>
        <v/>
      </c>
      <c r="K4903" s="0" t="str">
        <f aca="false">IF(I4903="","",J4903*הגדרות!$E$6+I4903+1)</f>
        <v/>
      </c>
      <c r="L4903" s="0" t="str">
        <f aca="false">IF(K4903="","",MATCH(K4903,$F$2:$F$5001,0))</f>
        <v/>
      </c>
      <c r="M4903" s="0" t="str">
        <f aca="false">IF(I4903="","",INDEX(הגדרות!$A$2:$A$21,MOD(I4903+הגדרות!$E$9,הגדרות!$E$6)+1))</f>
        <v/>
      </c>
    </row>
    <row r="4904" customFormat="false" ht="15" hidden="false" customHeight="false" outlineLevel="0" collapsed="false">
      <c r="A4904" s="0" t="str">
        <f aca="false">IF('הדבקת לידים'!A4904="","",IF(ISNUMBER('הדבקת לידים'!A4904),IF(הגדרות!$E$2&gt;0,TEXT('הדבקת לידים'!A4904,REPT("0",הגדרות!$E$2)),TEXT('הדבקת לידים'!A4904,"0")),TRIM('הדבקת לידים'!A4904)))</f>
        <v/>
      </c>
      <c r="B4904" s="0" t="str">
        <f aca="false">IF('הדבקת לידים'!B4904="","",IF(ISNUMBER('הדבקת לידים'!B4904),IF(הגדרות!$E$3&gt;0,TEXT('הדבקת לידים'!B4904,REPT("0",הגדרות!$E$3)),TEXT('הדבקת לידים'!B4904,"0")),TRIM('הדבקת לידים'!B4904)))</f>
        <v/>
      </c>
      <c r="C4904" s="0" t="n">
        <f aca="false">IF(OR(A4904&lt;&gt;"",B4904&lt;&gt;""),1,0)</f>
        <v>0</v>
      </c>
      <c r="D4904" s="0" t="str">
        <f aca="false">IF(C4904=1,MOD(ABS(SIN(ROW()*12.9898+'הדבקת לידים'!$F$2*78.233+IFERROR(--RIGHT(A4904,6),LEN(A4904))*0.0137+IFERROR(--RIGHT(B4904,6),LEN(B4904))*0.0071))*43758.5453,1),"")</f>
        <v/>
      </c>
      <c r="E4904" s="0" t="str">
        <f aca="false">IF(C4904=1,INT(MOD(ABS(SIN(D4904*7919.123+ROW()*0.618+'הדבקת לידים'!$F$2*1.3))*43758.5453,1)*1000000)*10000+ROW(),"")</f>
        <v/>
      </c>
      <c r="F4904" s="0" t="str">
        <f aca="false">IF(E4904="","",RANK(E4904,$E$2:$E$5001,1))</f>
        <v/>
      </c>
      <c r="G4904" s="0" t="n">
        <f aca="false">IF(A4904="",0,IF(SUMPRODUCT(--($A$2:$A$5001=A4904))&gt;1,1,0))</f>
        <v>0</v>
      </c>
      <c r="H4904" s="0" t="n">
        <f aca="false">ROW()-1</f>
        <v>4903</v>
      </c>
      <c r="I4904" s="0" t="str">
        <f aca="false">IF(OR(הגדרות!$E$6=0,H4904&gt;הגדרות!$E$5),"",IF(H4904-1&lt;הגדרות!$E$8*(הגדרות!$E$7+1),INT((H4904-1)/(הגדרות!$E$7+1)),הגדרות!$E$8+INT((H4904-1-הגדרות!$E$8*(הגדרות!$E$7+1))/הגדרות!$E$7)))</f>
        <v/>
      </c>
      <c r="J4904" s="0" t="str">
        <f aca="false">IF(I4904="","",IF(H4904-1&lt;הגדרות!$E$8*(הגדרות!$E$7+1),MOD(H4904-1,הגדרות!$E$7+1),MOD(H4904-1-הגדרות!$E$8*(הגדרות!$E$7+1),הגדרות!$E$7)))</f>
        <v/>
      </c>
      <c r="K4904" s="0" t="str">
        <f aca="false">IF(I4904="","",J4904*הגדרות!$E$6+I4904+1)</f>
        <v/>
      </c>
      <c r="L4904" s="0" t="str">
        <f aca="false">IF(K4904="","",MATCH(K4904,$F$2:$F$5001,0))</f>
        <v/>
      </c>
      <c r="M4904" s="0" t="str">
        <f aca="false">IF(I4904="","",INDEX(הגדרות!$A$2:$A$21,MOD(I4904+הגדרות!$E$9,הגדרות!$E$6)+1))</f>
        <v/>
      </c>
    </row>
    <row r="4905" customFormat="false" ht="15" hidden="false" customHeight="false" outlineLevel="0" collapsed="false">
      <c r="A4905" s="0" t="str">
        <f aca="false">IF('הדבקת לידים'!A4905="","",IF(ISNUMBER('הדבקת לידים'!A4905),IF(הגדרות!$E$2&gt;0,TEXT('הדבקת לידים'!A4905,REPT("0",הגדרות!$E$2)),TEXT('הדבקת לידים'!A4905,"0")),TRIM('הדבקת לידים'!A4905)))</f>
        <v/>
      </c>
      <c r="B4905" s="0" t="str">
        <f aca="false">IF('הדבקת לידים'!B4905="","",IF(ISNUMBER('הדבקת לידים'!B4905),IF(הגדרות!$E$3&gt;0,TEXT('הדבקת לידים'!B4905,REPT("0",הגדרות!$E$3)),TEXT('הדבקת לידים'!B4905,"0")),TRIM('הדבקת לידים'!B4905)))</f>
        <v/>
      </c>
      <c r="C4905" s="0" t="n">
        <f aca="false">IF(OR(A4905&lt;&gt;"",B4905&lt;&gt;""),1,0)</f>
        <v>0</v>
      </c>
      <c r="D4905" s="0" t="str">
        <f aca="false">IF(C4905=1,MOD(ABS(SIN(ROW()*12.9898+'הדבקת לידים'!$F$2*78.233+IFERROR(--RIGHT(A4905,6),LEN(A4905))*0.0137+IFERROR(--RIGHT(B4905,6),LEN(B4905))*0.0071))*43758.5453,1),"")</f>
        <v/>
      </c>
      <c r="E4905" s="0" t="str">
        <f aca="false">IF(C4905=1,INT(MOD(ABS(SIN(D4905*7919.123+ROW()*0.618+'הדבקת לידים'!$F$2*1.3))*43758.5453,1)*1000000)*10000+ROW(),"")</f>
        <v/>
      </c>
      <c r="F4905" s="0" t="str">
        <f aca="false">IF(E4905="","",RANK(E4905,$E$2:$E$5001,1))</f>
        <v/>
      </c>
      <c r="G4905" s="0" t="n">
        <f aca="false">IF(A4905="",0,IF(SUMPRODUCT(--($A$2:$A$5001=A4905))&gt;1,1,0))</f>
        <v>0</v>
      </c>
      <c r="H4905" s="0" t="n">
        <f aca="false">ROW()-1</f>
        <v>4904</v>
      </c>
      <c r="I4905" s="0" t="str">
        <f aca="false">IF(OR(הגדרות!$E$6=0,H4905&gt;הגדרות!$E$5),"",IF(H4905-1&lt;הגדרות!$E$8*(הגדרות!$E$7+1),INT((H4905-1)/(הגדרות!$E$7+1)),הגדרות!$E$8+INT((H4905-1-הגדרות!$E$8*(הגדרות!$E$7+1))/הגדרות!$E$7)))</f>
        <v/>
      </c>
      <c r="J4905" s="0" t="str">
        <f aca="false">IF(I4905="","",IF(H4905-1&lt;הגדרות!$E$8*(הגדרות!$E$7+1),MOD(H4905-1,הגדרות!$E$7+1),MOD(H4905-1-הגדרות!$E$8*(הגדרות!$E$7+1),הגדרות!$E$7)))</f>
        <v/>
      </c>
      <c r="K4905" s="0" t="str">
        <f aca="false">IF(I4905="","",J4905*הגדרות!$E$6+I4905+1)</f>
        <v/>
      </c>
      <c r="L4905" s="0" t="str">
        <f aca="false">IF(K4905="","",MATCH(K4905,$F$2:$F$5001,0))</f>
        <v/>
      </c>
      <c r="M4905" s="0" t="str">
        <f aca="false">IF(I4905="","",INDEX(הגדרות!$A$2:$A$21,MOD(I4905+הגדרות!$E$9,הגדרות!$E$6)+1))</f>
        <v/>
      </c>
    </row>
    <row r="4906" customFormat="false" ht="15" hidden="false" customHeight="false" outlineLevel="0" collapsed="false">
      <c r="A4906" s="0" t="str">
        <f aca="false">IF('הדבקת לידים'!A4906="","",IF(ISNUMBER('הדבקת לידים'!A4906),IF(הגדרות!$E$2&gt;0,TEXT('הדבקת לידים'!A4906,REPT("0",הגדרות!$E$2)),TEXT('הדבקת לידים'!A4906,"0")),TRIM('הדבקת לידים'!A4906)))</f>
        <v/>
      </c>
      <c r="B4906" s="0" t="str">
        <f aca="false">IF('הדבקת לידים'!B4906="","",IF(ISNUMBER('הדבקת לידים'!B4906),IF(הגדרות!$E$3&gt;0,TEXT('הדבקת לידים'!B4906,REPT("0",הגדרות!$E$3)),TEXT('הדבקת לידים'!B4906,"0")),TRIM('הדבקת לידים'!B4906)))</f>
        <v/>
      </c>
      <c r="C4906" s="0" t="n">
        <f aca="false">IF(OR(A4906&lt;&gt;"",B4906&lt;&gt;""),1,0)</f>
        <v>0</v>
      </c>
      <c r="D4906" s="0" t="str">
        <f aca="false">IF(C4906=1,MOD(ABS(SIN(ROW()*12.9898+'הדבקת לידים'!$F$2*78.233+IFERROR(--RIGHT(A4906,6),LEN(A4906))*0.0137+IFERROR(--RIGHT(B4906,6),LEN(B4906))*0.0071))*43758.5453,1),"")</f>
        <v/>
      </c>
      <c r="E4906" s="0" t="str">
        <f aca="false">IF(C4906=1,INT(MOD(ABS(SIN(D4906*7919.123+ROW()*0.618+'הדבקת לידים'!$F$2*1.3))*43758.5453,1)*1000000)*10000+ROW(),"")</f>
        <v/>
      </c>
      <c r="F4906" s="0" t="str">
        <f aca="false">IF(E4906="","",RANK(E4906,$E$2:$E$5001,1))</f>
        <v/>
      </c>
      <c r="G4906" s="0" t="n">
        <f aca="false">IF(A4906="",0,IF(SUMPRODUCT(--($A$2:$A$5001=A4906))&gt;1,1,0))</f>
        <v>0</v>
      </c>
      <c r="H4906" s="0" t="n">
        <f aca="false">ROW()-1</f>
        <v>4905</v>
      </c>
      <c r="I4906" s="0" t="str">
        <f aca="false">IF(OR(הגדרות!$E$6=0,H4906&gt;הגדרות!$E$5),"",IF(H4906-1&lt;הגדרות!$E$8*(הגדרות!$E$7+1),INT((H4906-1)/(הגדרות!$E$7+1)),הגדרות!$E$8+INT((H4906-1-הגדרות!$E$8*(הגדרות!$E$7+1))/הגדרות!$E$7)))</f>
        <v/>
      </c>
      <c r="J4906" s="0" t="str">
        <f aca="false">IF(I4906="","",IF(H4906-1&lt;הגדרות!$E$8*(הגדרות!$E$7+1),MOD(H4906-1,הגדרות!$E$7+1),MOD(H4906-1-הגדרות!$E$8*(הגדרות!$E$7+1),הגדרות!$E$7)))</f>
        <v/>
      </c>
      <c r="K4906" s="0" t="str">
        <f aca="false">IF(I4906="","",J4906*הגדרות!$E$6+I4906+1)</f>
        <v/>
      </c>
      <c r="L4906" s="0" t="str">
        <f aca="false">IF(K4906="","",MATCH(K4906,$F$2:$F$5001,0))</f>
        <v/>
      </c>
      <c r="M4906" s="0" t="str">
        <f aca="false">IF(I4906="","",INDEX(הגדרות!$A$2:$A$21,MOD(I4906+הגדרות!$E$9,הגדרות!$E$6)+1))</f>
        <v/>
      </c>
    </row>
    <row r="4907" customFormat="false" ht="15" hidden="false" customHeight="false" outlineLevel="0" collapsed="false">
      <c r="A4907" s="0" t="str">
        <f aca="false">IF('הדבקת לידים'!A4907="","",IF(ISNUMBER('הדבקת לידים'!A4907),IF(הגדרות!$E$2&gt;0,TEXT('הדבקת לידים'!A4907,REPT("0",הגדרות!$E$2)),TEXT('הדבקת לידים'!A4907,"0")),TRIM('הדבקת לידים'!A4907)))</f>
        <v/>
      </c>
      <c r="B4907" s="0" t="str">
        <f aca="false">IF('הדבקת לידים'!B4907="","",IF(ISNUMBER('הדבקת לידים'!B4907),IF(הגדרות!$E$3&gt;0,TEXT('הדבקת לידים'!B4907,REPT("0",הגדרות!$E$3)),TEXT('הדבקת לידים'!B4907,"0")),TRIM('הדבקת לידים'!B4907)))</f>
        <v/>
      </c>
      <c r="C4907" s="0" t="n">
        <f aca="false">IF(OR(A4907&lt;&gt;"",B4907&lt;&gt;""),1,0)</f>
        <v>0</v>
      </c>
      <c r="D4907" s="0" t="str">
        <f aca="false">IF(C4907=1,MOD(ABS(SIN(ROW()*12.9898+'הדבקת לידים'!$F$2*78.233+IFERROR(--RIGHT(A4907,6),LEN(A4907))*0.0137+IFERROR(--RIGHT(B4907,6),LEN(B4907))*0.0071))*43758.5453,1),"")</f>
        <v/>
      </c>
      <c r="E4907" s="0" t="str">
        <f aca="false">IF(C4907=1,INT(MOD(ABS(SIN(D4907*7919.123+ROW()*0.618+'הדבקת לידים'!$F$2*1.3))*43758.5453,1)*1000000)*10000+ROW(),"")</f>
        <v/>
      </c>
      <c r="F4907" s="0" t="str">
        <f aca="false">IF(E4907="","",RANK(E4907,$E$2:$E$5001,1))</f>
        <v/>
      </c>
      <c r="G4907" s="0" t="n">
        <f aca="false">IF(A4907="",0,IF(SUMPRODUCT(--($A$2:$A$5001=A4907))&gt;1,1,0))</f>
        <v>0</v>
      </c>
      <c r="H4907" s="0" t="n">
        <f aca="false">ROW()-1</f>
        <v>4906</v>
      </c>
      <c r="I4907" s="0" t="str">
        <f aca="false">IF(OR(הגדרות!$E$6=0,H4907&gt;הגדרות!$E$5),"",IF(H4907-1&lt;הגדרות!$E$8*(הגדרות!$E$7+1),INT((H4907-1)/(הגדרות!$E$7+1)),הגדרות!$E$8+INT((H4907-1-הגדרות!$E$8*(הגדרות!$E$7+1))/הגדרות!$E$7)))</f>
        <v/>
      </c>
      <c r="J4907" s="0" t="str">
        <f aca="false">IF(I4907="","",IF(H4907-1&lt;הגדרות!$E$8*(הגדרות!$E$7+1),MOD(H4907-1,הגדרות!$E$7+1),MOD(H4907-1-הגדרות!$E$8*(הגדרות!$E$7+1),הגדרות!$E$7)))</f>
        <v/>
      </c>
      <c r="K4907" s="0" t="str">
        <f aca="false">IF(I4907="","",J4907*הגדרות!$E$6+I4907+1)</f>
        <v/>
      </c>
      <c r="L4907" s="0" t="str">
        <f aca="false">IF(K4907="","",MATCH(K4907,$F$2:$F$5001,0))</f>
        <v/>
      </c>
      <c r="M4907" s="0" t="str">
        <f aca="false">IF(I4907="","",INDEX(הגדרות!$A$2:$A$21,MOD(I4907+הגדרות!$E$9,הגדרות!$E$6)+1))</f>
        <v/>
      </c>
    </row>
    <row r="4908" customFormat="false" ht="15" hidden="false" customHeight="false" outlineLevel="0" collapsed="false">
      <c r="A4908" s="0" t="str">
        <f aca="false">IF('הדבקת לידים'!A4908="","",IF(ISNUMBER('הדבקת לידים'!A4908),IF(הגדרות!$E$2&gt;0,TEXT('הדבקת לידים'!A4908,REPT("0",הגדרות!$E$2)),TEXT('הדבקת לידים'!A4908,"0")),TRIM('הדבקת לידים'!A4908)))</f>
        <v/>
      </c>
      <c r="B4908" s="0" t="str">
        <f aca="false">IF('הדבקת לידים'!B4908="","",IF(ISNUMBER('הדבקת לידים'!B4908),IF(הגדרות!$E$3&gt;0,TEXT('הדבקת לידים'!B4908,REPT("0",הגדרות!$E$3)),TEXT('הדבקת לידים'!B4908,"0")),TRIM('הדבקת לידים'!B4908)))</f>
        <v/>
      </c>
      <c r="C4908" s="0" t="n">
        <f aca="false">IF(OR(A4908&lt;&gt;"",B4908&lt;&gt;""),1,0)</f>
        <v>0</v>
      </c>
      <c r="D4908" s="0" t="str">
        <f aca="false">IF(C4908=1,MOD(ABS(SIN(ROW()*12.9898+'הדבקת לידים'!$F$2*78.233+IFERROR(--RIGHT(A4908,6),LEN(A4908))*0.0137+IFERROR(--RIGHT(B4908,6),LEN(B4908))*0.0071))*43758.5453,1),"")</f>
        <v/>
      </c>
      <c r="E4908" s="0" t="str">
        <f aca="false">IF(C4908=1,INT(MOD(ABS(SIN(D4908*7919.123+ROW()*0.618+'הדבקת לידים'!$F$2*1.3))*43758.5453,1)*1000000)*10000+ROW(),"")</f>
        <v/>
      </c>
      <c r="F4908" s="0" t="str">
        <f aca="false">IF(E4908="","",RANK(E4908,$E$2:$E$5001,1))</f>
        <v/>
      </c>
      <c r="G4908" s="0" t="n">
        <f aca="false">IF(A4908="",0,IF(SUMPRODUCT(--($A$2:$A$5001=A4908))&gt;1,1,0))</f>
        <v>0</v>
      </c>
      <c r="H4908" s="0" t="n">
        <f aca="false">ROW()-1</f>
        <v>4907</v>
      </c>
      <c r="I4908" s="0" t="str">
        <f aca="false">IF(OR(הגדרות!$E$6=0,H4908&gt;הגדרות!$E$5),"",IF(H4908-1&lt;הגדרות!$E$8*(הגדרות!$E$7+1),INT((H4908-1)/(הגדרות!$E$7+1)),הגדרות!$E$8+INT((H4908-1-הגדרות!$E$8*(הגדרות!$E$7+1))/הגדרות!$E$7)))</f>
        <v/>
      </c>
      <c r="J4908" s="0" t="str">
        <f aca="false">IF(I4908="","",IF(H4908-1&lt;הגדרות!$E$8*(הגדרות!$E$7+1),MOD(H4908-1,הגדרות!$E$7+1),MOD(H4908-1-הגדרות!$E$8*(הגדרות!$E$7+1),הגדרות!$E$7)))</f>
        <v/>
      </c>
      <c r="K4908" s="0" t="str">
        <f aca="false">IF(I4908="","",J4908*הגדרות!$E$6+I4908+1)</f>
        <v/>
      </c>
      <c r="L4908" s="0" t="str">
        <f aca="false">IF(K4908="","",MATCH(K4908,$F$2:$F$5001,0))</f>
        <v/>
      </c>
      <c r="M4908" s="0" t="str">
        <f aca="false">IF(I4908="","",INDEX(הגדרות!$A$2:$A$21,MOD(I4908+הגדרות!$E$9,הגדרות!$E$6)+1))</f>
        <v/>
      </c>
    </row>
    <row r="4909" customFormat="false" ht="15" hidden="false" customHeight="false" outlineLevel="0" collapsed="false">
      <c r="A4909" s="0" t="str">
        <f aca="false">IF('הדבקת לידים'!A4909="","",IF(ISNUMBER('הדבקת לידים'!A4909),IF(הגדרות!$E$2&gt;0,TEXT('הדבקת לידים'!A4909,REPT("0",הגדרות!$E$2)),TEXT('הדבקת לידים'!A4909,"0")),TRIM('הדבקת לידים'!A4909)))</f>
        <v/>
      </c>
      <c r="B4909" s="0" t="str">
        <f aca="false">IF('הדבקת לידים'!B4909="","",IF(ISNUMBER('הדבקת לידים'!B4909),IF(הגדרות!$E$3&gt;0,TEXT('הדבקת לידים'!B4909,REPT("0",הגדרות!$E$3)),TEXT('הדבקת לידים'!B4909,"0")),TRIM('הדבקת לידים'!B4909)))</f>
        <v/>
      </c>
      <c r="C4909" s="0" t="n">
        <f aca="false">IF(OR(A4909&lt;&gt;"",B4909&lt;&gt;""),1,0)</f>
        <v>0</v>
      </c>
      <c r="D4909" s="0" t="str">
        <f aca="false">IF(C4909=1,MOD(ABS(SIN(ROW()*12.9898+'הדבקת לידים'!$F$2*78.233+IFERROR(--RIGHT(A4909,6),LEN(A4909))*0.0137+IFERROR(--RIGHT(B4909,6),LEN(B4909))*0.0071))*43758.5453,1),"")</f>
        <v/>
      </c>
      <c r="E4909" s="0" t="str">
        <f aca="false">IF(C4909=1,INT(MOD(ABS(SIN(D4909*7919.123+ROW()*0.618+'הדבקת לידים'!$F$2*1.3))*43758.5453,1)*1000000)*10000+ROW(),"")</f>
        <v/>
      </c>
      <c r="F4909" s="0" t="str">
        <f aca="false">IF(E4909="","",RANK(E4909,$E$2:$E$5001,1))</f>
        <v/>
      </c>
      <c r="G4909" s="0" t="n">
        <f aca="false">IF(A4909="",0,IF(SUMPRODUCT(--($A$2:$A$5001=A4909))&gt;1,1,0))</f>
        <v>0</v>
      </c>
      <c r="H4909" s="0" t="n">
        <f aca="false">ROW()-1</f>
        <v>4908</v>
      </c>
      <c r="I4909" s="0" t="str">
        <f aca="false">IF(OR(הגדרות!$E$6=0,H4909&gt;הגדרות!$E$5),"",IF(H4909-1&lt;הגדרות!$E$8*(הגדרות!$E$7+1),INT((H4909-1)/(הגדרות!$E$7+1)),הגדרות!$E$8+INT((H4909-1-הגדרות!$E$8*(הגדרות!$E$7+1))/הגדרות!$E$7)))</f>
        <v/>
      </c>
      <c r="J4909" s="0" t="str">
        <f aca="false">IF(I4909="","",IF(H4909-1&lt;הגדרות!$E$8*(הגדרות!$E$7+1),MOD(H4909-1,הגדרות!$E$7+1),MOD(H4909-1-הגדרות!$E$8*(הגדרות!$E$7+1),הגדרות!$E$7)))</f>
        <v/>
      </c>
      <c r="K4909" s="0" t="str">
        <f aca="false">IF(I4909="","",J4909*הגדרות!$E$6+I4909+1)</f>
        <v/>
      </c>
      <c r="L4909" s="0" t="str">
        <f aca="false">IF(K4909="","",MATCH(K4909,$F$2:$F$5001,0))</f>
        <v/>
      </c>
      <c r="M4909" s="0" t="str">
        <f aca="false">IF(I4909="","",INDEX(הגדרות!$A$2:$A$21,MOD(I4909+הגדרות!$E$9,הגדרות!$E$6)+1))</f>
        <v/>
      </c>
    </row>
    <row r="4910" customFormat="false" ht="15" hidden="false" customHeight="false" outlineLevel="0" collapsed="false">
      <c r="A4910" s="0" t="str">
        <f aca="false">IF('הדבקת לידים'!A4910="","",IF(ISNUMBER('הדבקת לידים'!A4910),IF(הגדרות!$E$2&gt;0,TEXT('הדבקת לידים'!A4910,REPT("0",הגדרות!$E$2)),TEXT('הדבקת לידים'!A4910,"0")),TRIM('הדבקת לידים'!A4910)))</f>
        <v/>
      </c>
      <c r="B4910" s="0" t="str">
        <f aca="false">IF('הדבקת לידים'!B4910="","",IF(ISNUMBER('הדבקת לידים'!B4910),IF(הגדרות!$E$3&gt;0,TEXT('הדבקת לידים'!B4910,REPT("0",הגדרות!$E$3)),TEXT('הדבקת לידים'!B4910,"0")),TRIM('הדבקת לידים'!B4910)))</f>
        <v/>
      </c>
      <c r="C4910" s="0" t="n">
        <f aca="false">IF(OR(A4910&lt;&gt;"",B4910&lt;&gt;""),1,0)</f>
        <v>0</v>
      </c>
      <c r="D4910" s="0" t="str">
        <f aca="false">IF(C4910=1,MOD(ABS(SIN(ROW()*12.9898+'הדבקת לידים'!$F$2*78.233+IFERROR(--RIGHT(A4910,6),LEN(A4910))*0.0137+IFERROR(--RIGHT(B4910,6),LEN(B4910))*0.0071))*43758.5453,1),"")</f>
        <v/>
      </c>
      <c r="E4910" s="0" t="str">
        <f aca="false">IF(C4910=1,INT(MOD(ABS(SIN(D4910*7919.123+ROW()*0.618+'הדבקת לידים'!$F$2*1.3))*43758.5453,1)*1000000)*10000+ROW(),"")</f>
        <v/>
      </c>
      <c r="F4910" s="0" t="str">
        <f aca="false">IF(E4910="","",RANK(E4910,$E$2:$E$5001,1))</f>
        <v/>
      </c>
      <c r="G4910" s="0" t="n">
        <f aca="false">IF(A4910="",0,IF(SUMPRODUCT(--($A$2:$A$5001=A4910))&gt;1,1,0))</f>
        <v>0</v>
      </c>
      <c r="H4910" s="0" t="n">
        <f aca="false">ROW()-1</f>
        <v>4909</v>
      </c>
      <c r="I4910" s="0" t="str">
        <f aca="false">IF(OR(הגדרות!$E$6=0,H4910&gt;הגדרות!$E$5),"",IF(H4910-1&lt;הגדרות!$E$8*(הגדרות!$E$7+1),INT((H4910-1)/(הגדרות!$E$7+1)),הגדרות!$E$8+INT((H4910-1-הגדרות!$E$8*(הגדרות!$E$7+1))/הגדרות!$E$7)))</f>
        <v/>
      </c>
      <c r="J4910" s="0" t="str">
        <f aca="false">IF(I4910="","",IF(H4910-1&lt;הגדרות!$E$8*(הגדרות!$E$7+1),MOD(H4910-1,הגדרות!$E$7+1),MOD(H4910-1-הגדרות!$E$8*(הגדרות!$E$7+1),הגדרות!$E$7)))</f>
        <v/>
      </c>
      <c r="K4910" s="0" t="str">
        <f aca="false">IF(I4910="","",J4910*הגדרות!$E$6+I4910+1)</f>
        <v/>
      </c>
      <c r="L4910" s="0" t="str">
        <f aca="false">IF(K4910="","",MATCH(K4910,$F$2:$F$5001,0))</f>
        <v/>
      </c>
      <c r="M4910" s="0" t="str">
        <f aca="false">IF(I4910="","",INDEX(הגדרות!$A$2:$A$21,MOD(I4910+הגדרות!$E$9,הגדרות!$E$6)+1))</f>
        <v/>
      </c>
    </row>
    <row r="4911" customFormat="false" ht="15" hidden="false" customHeight="false" outlineLevel="0" collapsed="false">
      <c r="A4911" s="0" t="str">
        <f aca="false">IF('הדבקת לידים'!A4911="","",IF(ISNUMBER('הדבקת לידים'!A4911),IF(הגדרות!$E$2&gt;0,TEXT('הדבקת לידים'!A4911,REPT("0",הגדרות!$E$2)),TEXT('הדבקת לידים'!A4911,"0")),TRIM('הדבקת לידים'!A4911)))</f>
        <v/>
      </c>
      <c r="B4911" s="0" t="str">
        <f aca="false">IF('הדבקת לידים'!B4911="","",IF(ISNUMBER('הדבקת לידים'!B4911),IF(הגדרות!$E$3&gt;0,TEXT('הדבקת לידים'!B4911,REPT("0",הגדרות!$E$3)),TEXT('הדבקת לידים'!B4911,"0")),TRIM('הדבקת לידים'!B4911)))</f>
        <v/>
      </c>
      <c r="C4911" s="0" t="n">
        <f aca="false">IF(OR(A4911&lt;&gt;"",B4911&lt;&gt;""),1,0)</f>
        <v>0</v>
      </c>
      <c r="D4911" s="0" t="str">
        <f aca="false">IF(C4911=1,MOD(ABS(SIN(ROW()*12.9898+'הדבקת לידים'!$F$2*78.233+IFERROR(--RIGHT(A4911,6),LEN(A4911))*0.0137+IFERROR(--RIGHT(B4911,6),LEN(B4911))*0.0071))*43758.5453,1),"")</f>
        <v/>
      </c>
      <c r="E4911" s="0" t="str">
        <f aca="false">IF(C4911=1,INT(MOD(ABS(SIN(D4911*7919.123+ROW()*0.618+'הדבקת לידים'!$F$2*1.3))*43758.5453,1)*1000000)*10000+ROW(),"")</f>
        <v/>
      </c>
      <c r="F4911" s="0" t="str">
        <f aca="false">IF(E4911="","",RANK(E4911,$E$2:$E$5001,1))</f>
        <v/>
      </c>
      <c r="G4911" s="0" t="n">
        <f aca="false">IF(A4911="",0,IF(SUMPRODUCT(--($A$2:$A$5001=A4911))&gt;1,1,0))</f>
        <v>0</v>
      </c>
      <c r="H4911" s="0" t="n">
        <f aca="false">ROW()-1</f>
        <v>4910</v>
      </c>
      <c r="I4911" s="0" t="str">
        <f aca="false">IF(OR(הגדרות!$E$6=0,H4911&gt;הגדרות!$E$5),"",IF(H4911-1&lt;הגדרות!$E$8*(הגדרות!$E$7+1),INT((H4911-1)/(הגדרות!$E$7+1)),הגדרות!$E$8+INT((H4911-1-הגדרות!$E$8*(הגדרות!$E$7+1))/הגדרות!$E$7)))</f>
        <v/>
      </c>
      <c r="J4911" s="0" t="str">
        <f aca="false">IF(I4911="","",IF(H4911-1&lt;הגדרות!$E$8*(הגדרות!$E$7+1),MOD(H4911-1,הגדרות!$E$7+1),MOD(H4911-1-הגדרות!$E$8*(הגדרות!$E$7+1),הגדרות!$E$7)))</f>
        <v/>
      </c>
      <c r="K4911" s="0" t="str">
        <f aca="false">IF(I4911="","",J4911*הגדרות!$E$6+I4911+1)</f>
        <v/>
      </c>
      <c r="L4911" s="0" t="str">
        <f aca="false">IF(K4911="","",MATCH(K4911,$F$2:$F$5001,0))</f>
        <v/>
      </c>
      <c r="M4911" s="0" t="str">
        <f aca="false">IF(I4911="","",INDEX(הגדרות!$A$2:$A$21,MOD(I4911+הגדרות!$E$9,הגדרות!$E$6)+1))</f>
        <v/>
      </c>
    </row>
    <row r="4912" customFormat="false" ht="15" hidden="false" customHeight="false" outlineLevel="0" collapsed="false">
      <c r="A4912" s="0" t="str">
        <f aca="false">IF('הדבקת לידים'!A4912="","",IF(ISNUMBER('הדבקת לידים'!A4912),IF(הגדרות!$E$2&gt;0,TEXT('הדבקת לידים'!A4912,REPT("0",הגדרות!$E$2)),TEXT('הדבקת לידים'!A4912,"0")),TRIM('הדבקת לידים'!A4912)))</f>
        <v/>
      </c>
      <c r="B4912" s="0" t="str">
        <f aca="false">IF('הדבקת לידים'!B4912="","",IF(ISNUMBER('הדבקת לידים'!B4912),IF(הגדרות!$E$3&gt;0,TEXT('הדבקת לידים'!B4912,REPT("0",הגדרות!$E$3)),TEXT('הדבקת לידים'!B4912,"0")),TRIM('הדבקת לידים'!B4912)))</f>
        <v/>
      </c>
      <c r="C4912" s="0" t="n">
        <f aca="false">IF(OR(A4912&lt;&gt;"",B4912&lt;&gt;""),1,0)</f>
        <v>0</v>
      </c>
      <c r="D4912" s="0" t="str">
        <f aca="false">IF(C4912=1,MOD(ABS(SIN(ROW()*12.9898+'הדבקת לידים'!$F$2*78.233+IFERROR(--RIGHT(A4912,6),LEN(A4912))*0.0137+IFERROR(--RIGHT(B4912,6),LEN(B4912))*0.0071))*43758.5453,1),"")</f>
        <v/>
      </c>
      <c r="E4912" s="0" t="str">
        <f aca="false">IF(C4912=1,INT(MOD(ABS(SIN(D4912*7919.123+ROW()*0.618+'הדבקת לידים'!$F$2*1.3))*43758.5453,1)*1000000)*10000+ROW(),"")</f>
        <v/>
      </c>
      <c r="F4912" s="0" t="str">
        <f aca="false">IF(E4912="","",RANK(E4912,$E$2:$E$5001,1))</f>
        <v/>
      </c>
      <c r="G4912" s="0" t="n">
        <f aca="false">IF(A4912="",0,IF(SUMPRODUCT(--($A$2:$A$5001=A4912))&gt;1,1,0))</f>
        <v>0</v>
      </c>
      <c r="H4912" s="0" t="n">
        <f aca="false">ROW()-1</f>
        <v>4911</v>
      </c>
      <c r="I4912" s="0" t="str">
        <f aca="false">IF(OR(הגדרות!$E$6=0,H4912&gt;הגדרות!$E$5),"",IF(H4912-1&lt;הגדרות!$E$8*(הגדרות!$E$7+1),INT((H4912-1)/(הגדרות!$E$7+1)),הגדרות!$E$8+INT((H4912-1-הגדרות!$E$8*(הגדרות!$E$7+1))/הגדרות!$E$7)))</f>
        <v/>
      </c>
      <c r="J4912" s="0" t="str">
        <f aca="false">IF(I4912="","",IF(H4912-1&lt;הגדרות!$E$8*(הגדרות!$E$7+1),MOD(H4912-1,הגדרות!$E$7+1),MOD(H4912-1-הגדרות!$E$8*(הגדרות!$E$7+1),הגדרות!$E$7)))</f>
        <v/>
      </c>
      <c r="K4912" s="0" t="str">
        <f aca="false">IF(I4912="","",J4912*הגדרות!$E$6+I4912+1)</f>
        <v/>
      </c>
      <c r="L4912" s="0" t="str">
        <f aca="false">IF(K4912="","",MATCH(K4912,$F$2:$F$5001,0))</f>
        <v/>
      </c>
      <c r="M4912" s="0" t="str">
        <f aca="false">IF(I4912="","",INDEX(הגדרות!$A$2:$A$21,MOD(I4912+הגדרות!$E$9,הגדרות!$E$6)+1))</f>
        <v/>
      </c>
    </row>
    <row r="4913" customFormat="false" ht="15" hidden="false" customHeight="false" outlineLevel="0" collapsed="false">
      <c r="A4913" s="0" t="str">
        <f aca="false">IF('הדבקת לידים'!A4913="","",IF(ISNUMBER('הדבקת לידים'!A4913),IF(הגדרות!$E$2&gt;0,TEXT('הדבקת לידים'!A4913,REPT("0",הגדרות!$E$2)),TEXT('הדבקת לידים'!A4913,"0")),TRIM('הדבקת לידים'!A4913)))</f>
        <v/>
      </c>
      <c r="B4913" s="0" t="str">
        <f aca="false">IF('הדבקת לידים'!B4913="","",IF(ISNUMBER('הדבקת לידים'!B4913),IF(הגדרות!$E$3&gt;0,TEXT('הדבקת לידים'!B4913,REPT("0",הגדרות!$E$3)),TEXT('הדבקת לידים'!B4913,"0")),TRIM('הדבקת לידים'!B4913)))</f>
        <v/>
      </c>
      <c r="C4913" s="0" t="n">
        <f aca="false">IF(OR(A4913&lt;&gt;"",B4913&lt;&gt;""),1,0)</f>
        <v>0</v>
      </c>
      <c r="D4913" s="0" t="str">
        <f aca="false">IF(C4913=1,MOD(ABS(SIN(ROW()*12.9898+'הדבקת לידים'!$F$2*78.233+IFERROR(--RIGHT(A4913,6),LEN(A4913))*0.0137+IFERROR(--RIGHT(B4913,6),LEN(B4913))*0.0071))*43758.5453,1),"")</f>
        <v/>
      </c>
      <c r="E4913" s="0" t="str">
        <f aca="false">IF(C4913=1,INT(MOD(ABS(SIN(D4913*7919.123+ROW()*0.618+'הדבקת לידים'!$F$2*1.3))*43758.5453,1)*1000000)*10000+ROW(),"")</f>
        <v/>
      </c>
      <c r="F4913" s="0" t="str">
        <f aca="false">IF(E4913="","",RANK(E4913,$E$2:$E$5001,1))</f>
        <v/>
      </c>
      <c r="G4913" s="0" t="n">
        <f aca="false">IF(A4913="",0,IF(SUMPRODUCT(--($A$2:$A$5001=A4913))&gt;1,1,0))</f>
        <v>0</v>
      </c>
      <c r="H4913" s="0" t="n">
        <f aca="false">ROW()-1</f>
        <v>4912</v>
      </c>
      <c r="I4913" s="0" t="str">
        <f aca="false">IF(OR(הגדרות!$E$6=0,H4913&gt;הגדרות!$E$5),"",IF(H4913-1&lt;הגדרות!$E$8*(הגדרות!$E$7+1),INT((H4913-1)/(הגדרות!$E$7+1)),הגדרות!$E$8+INT((H4913-1-הגדרות!$E$8*(הגדרות!$E$7+1))/הגדרות!$E$7)))</f>
        <v/>
      </c>
      <c r="J4913" s="0" t="str">
        <f aca="false">IF(I4913="","",IF(H4913-1&lt;הגדרות!$E$8*(הגדרות!$E$7+1),MOD(H4913-1,הגדרות!$E$7+1),MOD(H4913-1-הגדרות!$E$8*(הגדרות!$E$7+1),הגדרות!$E$7)))</f>
        <v/>
      </c>
      <c r="K4913" s="0" t="str">
        <f aca="false">IF(I4913="","",J4913*הגדרות!$E$6+I4913+1)</f>
        <v/>
      </c>
      <c r="L4913" s="0" t="str">
        <f aca="false">IF(K4913="","",MATCH(K4913,$F$2:$F$5001,0))</f>
        <v/>
      </c>
      <c r="M4913" s="0" t="str">
        <f aca="false">IF(I4913="","",INDEX(הגדרות!$A$2:$A$21,MOD(I4913+הגדרות!$E$9,הגדרות!$E$6)+1))</f>
        <v/>
      </c>
    </row>
    <row r="4914" customFormat="false" ht="15" hidden="false" customHeight="false" outlineLevel="0" collapsed="false">
      <c r="A4914" s="0" t="str">
        <f aca="false">IF('הדבקת לידים'!A4914="","",IF(ISNUMBER('הדבקת לידים'!A4914),IF(הגדרות!$E$2&gt;0,TEXT('הדבקת לידים'!A4914,REPT("0",הגדרות!$E$2)),TEXT('הדבקת לידים'!A4914,"0")),TRIM('הדבקת לידים'!A4914)))</f>
        <v/>
      </c>
      <c r="B4914" s="0" t="str">
        <f aca="false">IF('הדבקת לידים'!B4914="","",IF(ISNUMBER('הדבקת לידים'!B4914),IF(הגדרות!$E$3&gt;0,TEXT('הדבקת לידים'!B4914,REPT("0",הגדרות!$E$3)),TEXT('הדבקת לידים'!B4914,"0")),TRIM('הדבקת לידים'!B4914)))</f>
        <v/>
      </c>
      <c r="C4914" s="0" t="n">
        <f aca="false">IF(OR(A4914&lt;&gt;"",B4914&lt;&gt;""),1,0)</f>
        <v>0</v>
      </c>
      <c r="D4914" s="0" t="str">
        <f aca="false">IF(C4914=1,MOD(ABS(SIN(ROW()*12.9898+'הדבקת לידים'!$F$2*78.233+IFERROR(--RIGHT(A4914,6),LEN(A4914))*0.0137+IFERROR(--RIGHT(B4914,6),LEN(B4914))*0.0071))*43758.5453,1),"")</f>
        <v/>
      </c>
      <c r="E4914" s="0" t="str">
        <f aca="false">IF(C4914=1,INT(MOD(ABS(SIN(D4914*7919.123+ROW()*0.618+'הדבקת לידים'!$F$2*1.3))*43758.5453,1)*1000000)*10000+ROW(),"")</f>
        <v/>
      </c>
      <c r="F4914" s="0" t="str">
        <f aca="false">IF(E4914="","",RANK(E4914,$E$2:$E$5001,1))</f>
        <v/>
      </c>
      <c r="G4914" s="0" t="n">
        <f aca="false">IF(A4914="",0,IF(SUMPRODUCT(--($A$2:$A$5001=A4914))&gt;1,1,0))</f>
        <v>0</v>
      </c>
      <c r="H4914" s="0" t="n">
        <f aca="false">ROW()-1</f>
        <v>4913</v>
      </c>
      <c r="I4914" s="0" t="str">
        <f aca="false">IF(OR(הגדרות!$E$6=0,H4914&gt;הגדרות!$E$5),"",IF(H4914-1&lt;הגדרות!$E$8*(הגדרות!$E$7+1),INT((H4914-1)/(הגדרות!$E$7+1)),הגדרות!$E$8+INT((H4914-1-הגדרות!$E$8*(הגדרות!$E$7+1))/הגדרות!$E$7)))</f>
        <v/>
      </c>
      <c r="J4914" s="0" t="str">
        <f aca="false">IF(I4914="","",IF(H4914-1&lt;הגדרות!$E$8*(הגדרות!$E$7+1),MOD(H4914-1,הגדרות!$E$7+1),MOD(H4914-1-הגדרות!$E$8*(הגדרות!$E$7+1),הגדרות!$E$7)))</f>
        <v/>
      </c>
      <c r="K4914" s="0" t="str">
        <f aca="false">IF(I4914="","",J4914*הגדרות!$E$6+I4914+1)</f>
        <v/>
      </c>
      <c r="L4914" s="0" t="str">
        <f aca="false">IF(K4914="","",MATCH(K4914,$F$2:$F$5001,0))</f>
        <v/>
      </c>
      <c r="M4914" s="0" t="str">
        <f aca="false">IF(I4914="","",INDEX(הגדרות!$A$2:$A$21,MOD(I4914+הגדרות!$E$9,הגדרות!$E$6)+1))</f>
        <v/>
      </c>
    </row>
    <row r="4915" customFormat="false" ht="15" hidden="false" customHeight="false" outlineLevel="0" collapsed="false">
      <c r="A4915" s="0" t="str">
        <f aca="false">IF('הדבקת לידים'!A4915="","",IF(ISNUMBER('הדבקת לידים'!A4915),IF(הגדרות!$E$2&gt;0,TEXT('הדבקת לידים'!A4915,REPT("0",הגדרות!$E$2)),TEXT('הדבקת לידים'!A4915,"0")),TRIM('הדבקת לידים'!A4915)))</f>
        <v/>
      </c>
      <c r="B4915" s="0" t="str">
        <f aca="false">IF('הדבקת לידים'!B4915="","",IF(ISNUMBER('הדבקת לידים'!B4915),IF(הגדרות!$E$3&gt;0,TEXT('הדבקת לידים'!B4915,REPT("0",הגדרות!$E$3)),TEXT('הדבקת לידים'!B4915,"0")),TRIM('הדבקת לידים'!B4915)))</f>
        <v/>
      </c>
      <c r="C4915" s="0" t="n">
        <f aca="false">IF(OR(A4915&lt;&gt;"",B4915&lt;&gt;""),1,0)</f>
        <v>0</v>
      </c>
      <c r="D4915" s="0" t="str">
        <f aca="false">IF(C4915=1,MOD(ABS(SIN(ROW()*12.9898+'הדבקת לידים'!$F$2*78.233+IFERROR(--RIGHT(A4915,6),LEN(A4915))*0.0137+IFERROR(--RIGHT(B4915,6),LEN(B4915))*0.0071))*43758.5453,1),"")</f>
        <v/>
      </c>
      <c r="E4915" s="0" t="str">
        <f aca="false">IF(C4915=1,INT(MOD(ABS(SIN(D4915*7919.123+ROW()*0.618+'הדבקת לידים'!$F$2*1.3))*43758.5453,1)*1000000)*10000+ROW(),"")</f>
        <v/>
      </c>
      <c r="F4915" s="0" t="str">
        <f aca="false">IF(E4915="","",RANK(E4915,$E$2:$E$5001,1))</f>
        <v/>
      </c>
      <c r="G4915" s="0" t="n">
        <f aca="false">IF(A4915="",0,IF(SUMPRODUCT(--($A$2:$A$5001=A4915))&gt;1,1,0))</f>
        <v>0</v>
      </c>
      <c r="H4915" s="0" t="n">
        <f aca="false">ROW()-1</f>
        <v>4914</v>
      </c>
      <c r="I4915" s="0" t="str">
        <f aca="false">IF(OR(הגדרות!$E$6=0,H4915&gt;הגדרות!$E$5),"",IF(H4915-1&lt;הגדרות!$E$8*(הגדרות!$E$7+1),INT((H4915-1)/(הגדרות!$E$7+1)),הגדרות!$E$8+INT((H4915-1-הגדרות!$E$8*(הגדרות!$E$7+1))/הגדרות!$E$7)))</f>
        <v/>
      </c>
      <c r="J4915" s="0" t="str">
        <f aca="false">IF(I4915="","",IF(H4915-1&lt;הגדרות!$E$8*(הגדרות!$E$7+1),MOD(H4915-1,הגדרות!$E$7+1),MOD(H4915-1-הגדרות!$E$8*(הגדרות!$E$7+1),הגדרות!$E$7)))</f>
        <v/>
      </c>
      <c r="K4915" s="0" t="str">
        <f aca="false">IF(I4915="","",J4915*הגדרות!$E$6+I4915+1)</f>
        <v/>
      </c>
      <c r="L4915" s="0" t="str">
        <f aca="false">IF(K4915="","",MATCH(K4915,$F$2:$F$5001,0))</f>
        <v/>
      </c>
      <c r="M4915" s="0" t="str">
        <f aca="false">IF(I4915="","",INDEX(הגדרות!$A$2:$A$21,MOD(I4915+הגדרות!$E$9,הגדרות!$E$6)+1))</f>
        <v/>
      </c>
    </row>
    <row r="4916" customFormat="false" ht="15" hidden="false" customHeight="false" outlineLevel="0" collapsed="false">
      <c r="A4916" s="0" t="str">
        <f aca="false">IF('הדבקת לידים'!A4916="","",IF(ISNUMBER('הדבקת לידים'!A4916),IF(הגדרות!$E$2&gt;0,TEXT('הדבקת לידים'!A4916,REPT("0",הגדרות!$E$2)),TEXT('הדבקת לידים'!A4916,"0")),TRIM('הדבקת לידים'!A4916)))</f>
        <v/>
      </c>
      <c r="B4916" s="0" t="str">
        <f aca="false">IF('הדבקת לידים'!B4916="","",IF(ISNUMBER('הדבקת לידים'!B4916),IF(הגדרות!$E$3&gt;0,TEXT('הדבקת לידים'!B4916,REPT("0",הגדרות!$E$3)),TEXT('הדבקת לידים'!B4916,"0")),TRIM('הדבקת לידים'!B4916)))</f>
        <v/>
      </c>
      <c r="C4916" s="0" t="n">
        <f aca="false">IF(OR(A4916&lt;&gt;"",B4916&lt;&gt;""),1,0)</f>
        <v>0</v>
      </c>
      <c r="D4916" s="0" t="str">
        <f aca="false">IF(C4916=1,MOD(ABS(SIN(ROW()*12.9898+'הדבקת לידים'!$F$2*78.233+IFERROR(--RIGHT(A4916,6),LEN(A4916))*0.0137+IFERROR(--RIGHT(B4916,6),LEN(B4916))*0.0071))*43758.5453,1),"")</f>
        <v/>
      </c>
      <c r="E4916" s="0" t="str">
        <f aca="false">IF(C4916=1,INT(MOD(ABS(SIN(D4916*7919.123+ROW()*0.618+'הדבקת לידים'!$F$2*1.3))*43758.5453,1)*1000000)*10000+ROW(),"")</f>
        <v/>
      </c>
      <c r="F4916" s="0" t="str">
        <f aca="false">IF(E4916="","",RANK(E4916,$E$2:$E$5001,1))</f>
        <v/>
      </c>
      <c r="G4916" s="0" t="n">
        <f aca="false">IF(A4916="",0,IF(SUMPRODUCT(--($A$2:$A$5001=A4916))&gt;1,1,0))</f>
        <v>0</v>
      </c>
      <c r="H4916" s="0" t="n">
        <f aca="false">ROW()-1</f>
        <v>4915</v>
      </c>
      <c r="I4916" s="0" t="str">
        <f aca="false">IF(OR(הגדרות!$E$6=0,H4916&gt;הגדרות!$E$5),"",IF(H4916-1&lt;הגדרות!$E$8*(הגדרות!$E$7+1),INT((H4916-1)/(הגדרות!$E$7+1)),הגדרות!$E$8+INT((H4916-1-הגדרות!$E$8*(הגדרות!$E$7+1))/הגדרות!$E$7)))</f>
        <v/>
      </c>
      <c r="J4916" s="0" t="str">
        <f aca="false">IF(I4916="","",IF(H4916-1&lt;הגדרות!$E$8*(הגדרות!$E$7+1),MOD(H4916-1,הגדרות!$E$7+1),MOD(H4916-1-הגדרות!$E$8*(הגדרות!$E$7+1),הגדרות!$E$7)))</f>
        <v/>
      </c>
      <c r="K4916" s="0" t="str">
        <f aca="false">IF(I4916="","",J4916*הגדרות!$E$6+I4916+1)</f>
        <v/>
      </c>
      <c r="L4916" s="0" t="str">
        <f aca="false">IF(K4916="","",MATCH(K4916,$F$2:$F$5001,0))</f>
        <v/>
      </c>
      <c r="M4916" s="0" t="str">
        <f aca="false">IF(I4916="","",INDEX(הגדרות!$A$2:$A$21,MOD(I4916+הגדרות!$E$9,הגדרות!$E$6)+1))</f>
        <v/>
      </c>
    </row>
    <row r="4917" customFormat="false" ht="15" hidden="false" customHeight="false" outlineLevel="0" collapsed="false">
      <c r="A4917" s="0" t="str">
        <f aca="false">IF('הדבקת לידים'!A4917="","",IF(ISNUMBER('הדבקת לידים'!A4917),IF(הגדרות!$E$2&gt;0,TEXT('הדבקת לידים'!A4917,REPT("0",הגדרות!$E$2)),TEXT('הדבקת לידים'!A4917,"0")),TRIM('הדבקת לידים'!A4917)))</f>
        <v/>
      </c>
      <c r="B4917" s="0" t="str">
        <f aca="false">IF('הדבקת לידים'!B4917="","",IF(ISNUMBER('הדבקת לידים'!B4917),IF(הגדרות!$E$3&gt;0,TEXT('הדבקת לידים'!B4917,REPT("0",הגדרות!$E$3)),TEXT('הדבקת לידים'!B4917,"0")),TRIM('הדבקת לידים'!B4917)))</f>
        <v/>
      </c>
      <c r="C4917" s="0" t="n">
        <f aca="false">IF(OR(A4917&lt;&gt;"",B4917&lt;&gt;""),1,0)</f>
        <v>0</v>
      </c>
      <c r="D4917" s="0" t="str">
        <f aca="false">IF(C4917=1,MOD(ABS(SIN(ROW()*12.9898+'הדבקת לידים'!$F$2*78.233+IFERROR(--RIGHT(A4917,6),LEN(A4917))*0.0137+IFERROR(--RIGHT(B4917,6),LEN(B4917))*0.0071))*43758.5453,1),"")</f>
        <v/>
      </c>
      <c r="E4917" s="0" t="str">
        <f aca="false">IF(C4917=1,INT(MOD(ABS(SIN(D4917*7919.123+ROW()*0.618+'הדבקת לידים'!$F$2*1.3))*43758.5453,1)*1000000)*10000+ROW(),"")</f>
        <v/>
      </c>
      <c r="F4917" s="0" t="str">
        <f aca="false">IF(E4917="","",RANK(E4917,$E$2:$E$5001,1))</f>
        <v/>
      </c>
      <c r="G4917" s="0" t="n">
        <f aca="false">IF(A4917="",0,IF(SUMPRODUCT(--($A$2:$A$5001=A4917))&gt;1,1,0))</f>
        <v>0</v>
      </c>
      <c r="H4917" s="0" t="n">
        <f aca="false">ROW()-1</f>
        <v>4916</v>
      </c>
      <c r="I4917" s="0" t="str">
        <f aca="false">IF(OR(הגדרות!$E$6=0,H4917&gt;הגדרות!$E$5),"",IF(H4917-1&lt;הגדרות!$E$8*(הגדרות!$E$7+1),INT((H4917-1)/(הגדרות!$E$7+1)),הגדרות!$E$8+INT((H4917-1-הגדרות!$E$8*(הגדרות!$E$7+1))/הגדרות!$E$7)))</f>
        <v/>
      </c>
      <c r="J4917" s="0" t="str">
        <f aca="false">IF(I4917="","",IF(H4917-1&lt;הגדרות!$E$8*(הגדרות!$E$7+1),MOD(H4917-1,הגדרות!$E$7+1),MOD(H4917-1-הגדרות!$E$8*(הגדרות!$E$7+1),הגדרות!$E$7)))</f>
        <v/>
      </c>
      <c r="K4917" s="0" t="str">
        <f aca="false">IF(I4917="","",J4917*הגדרות!$E$6+I4917+1)</f>
        <v/>
      </c>
      <c r="L4917" s="0" t="str">
        <f aca="false">IF(K4917="","",MATCH(K4917,$F$2:$F$5001,0))</f>
        <v/>
      </c>
      <c r="M4917" s="0" t="str">
        <f aca="false">IF(I4917="","",INDEX(הגדרות!$A$2:$A$21,MOD(I4917+הגדרות!$E$9,הגדרות!$E$6)+1))</f>
        <v/>
      </c>
    </row>
    <row r="4918" customFormat="false" ht="15" hidden="false" customHeight="false" outlineLevel="0" collapsed="false">
      <c r="A4918" s="0" t="str">
        <f aca="false">IF('הדבקת לידים'!A4918="","",IF(ISNUMBER('הדבקת לידים'!A4918),IF(הגדרות!$E$2&gt;0,TEXT('הדבקת לידים'!A4918,REPT("0",הגדרות!$E$2)),TEXT('הדבקת לידים'!A4918,"0")),TRIM('הדבקת לידים'!A4918)))</f>
        <v/>
      </c>
      <c r="B4918" s="0" t="str">
        <f aca="false">IF('הדבקת לידים'!B4918="","",IF(ISNUMBER('הדבקת לידים'!B4918),IF(הגדרות!$E$3&gt;0,TEXT('הדבקת לידים'!B4918,REPT("0",הגדרות!$E$3)),TEXT('הדבקת לידים'!B4918,"0")),TRIM('הדבקת לידים'!B4918)))</f>
        <v/>
      </c>
      <c r="C4918" s="0" t="n">
        <f aca="false">IF(OR(A4918&lt;&gt;"",B4918&lt;&gt;""),1,0)</f>
        <v>0</v>
      </c>
      <c r="D4918" s="0" t="str">
        <f aca="false">IF(C4918=1,MOD(ABS(SIN(ROW()*12.9898+'הדבקת לידים'!$F$2*78.233+IFERROR(--RIGHT(A4918,6),LEN(A4918))*0.0137+IFERROR(--RIGHT(B4918,6),LEN(B4918))*0.0071))*43758.5453,1),"")</f>
        <v/>
      </c>
      <c r="E4918" s="0" t="str">
        <f aca="false">IF(C4918=1,INT(MOD(ABS(SIN(D4918*7919.123+ROW()*0.618+'הדבקת לידים'!$F$2*1.3))*43758.5453,1)*1000000)*10000+ROW(),"")</f>
        <v/>
      </c>
      <c r="F4918" s="0" t="str">
        <f aca="false">IF(E4918="","",RANK(E4918,$E$2:$E$5001,1))</f>
        <v/>
      </c>
      <c r="G4918" s="0" t="n">
        <f aca="false">IF(A4918="",0,IF(SUMPRODUCT(--($A$2:$A$5001=A4918))&gt;1,1,0))</f>
        <v>0</v>
      </c>
      <c r="H4918" s="0" t="n">
        <f aca="false">ROW()-1</f>
        <v>4917</v>
      </c>
      <c r="I4918" s="0" t="str">
        <f aca="false">IF(OR(הגדרות!$E$6=0,H4918&gt;הגדרות!$E$5),"",IF(H4918-1&lt;הגדרות!$E$8*(הגדרות!$E$7+1),INT((H4918-1)/(הגדרות!$E$7+1)),הגדרות!$E$8+INT((H4918-1-הגדרות!$E$8*(הגדרות!$E$7+1))/הגדרות!$E$7)))</f>
        <v/>
      </c>
      <c r="J4918" s="0" t="str">
        <f aca="false">IF(I4918="","",IF(H4918-1&lt;הגדרות!$E$8*(הגדרות!$E$7+1),MOD(H4918-1,הגדרות!$E$7+1),MOD(H4918-1-הגדרות!$E$8*(הגדרות!$E$7+1),הגדרות!$E$7)))</f>
        <v/>
      </c>
      <c r="K4918" s="0" t="str">
        <f aca="false">IF(I4918="","",J4918*הגדרות!$E$6+I4918+1)</f>
        <v/>
      </c>
      <c r="L4918" s="0" t="str">
        <f aca="false">IF(K4918="","",MATCH(K4918,$F$2:$F$5001,0))</f>
        <v/>
      </c>
      <c r="M4918" s="0" t="str">
        <f aca="false">IF(I4918="","",INDEX(הגדרות!$A$2:$A$21,MOD(I4918+הגדרות!$E$9,הגדרות!$E$6)+1))</f>
        <v/>
      </c>
    </row>
    <row r="4919" customFormat="false" ht="15" hidden="false" customHeight="false" outlineLevel="0" collapsed="false">
      <c r="A4919" s="0" t="str">
        <f aca="false">IF('הדבקת לידים'!A4919="","",IF(ISNUMBER('הדבקת לידים'!A4919),IF(הגדרות!$E$2&gt;0,TEXT('הדבקת לידים'!A4919,REPT("0",הגדרות!$E$2)),TEXT('הדבקת לידים'!A4919,"0")),TRIM('הדבקת לידים'!A4919)))</f>
        <v/>
      </c>
      <c r="B4919" s="0" t="str">
        <f aca="false">IF('הדבקת לידים'!B4919="","",IF(ISNUMBER('הדבקת לידים'!B4919),IF(הגדרות!$E$3&gt;0,TEXT('הדבקת לידים'!B4919,REPT("0",הגדרות!$E$3)),TEXT('הדבקת לידים'!B4919,"0")),TRIM('הדבקת לידים'!B4919)))</f>
        <v/>
      </c>
      <c r="C4919" s="0" t="n">
        <f aca="false">IF(OR(A4919&lt;&gt;"",B4919&lt;&gt;""),1,0)</f>
        <v>0</v>
      </c>
      <c r="D4919" s="0" t="str">
        <f aca="false">IF(C4919=1,MOD(ABS(SIN(ROW()*12.9898+'הדבקת לידים'!$F$2*78.233+IFERROR(--RIGHT(A4919,6),LEN(A4919))*0.0137+IFERROR(--RIGHT(B4919,6),LEN(B4919))*0.0071))*43758.5453,1),"")</f>
        <v/>
      </c>
      <c r="E4919" s="0" t="str">
        <f aca="false">IF(C4919=1,INT(MOD(ABS(SIN(D4919*7919.123+ROW()*0.618+'הדבקת לידים'!$F$2*1.3))*43758.5453,1)*1000000)*10000+ROW(),"")</f>
        <v/>
      </c>
      <c r="F4919" s="0" t="str">
        <f aca="false">IF(E4919="","",RANK(E4919,$E$2:$E$5001,1))</f>
        <v/>
      </c>
      <c r="G4919" s="0" t="n">
        <f aca="false">IF(A4919="",0,IF(SUMPRODUCT(--($A$2:$A$5001=A4919))&gt;1,1,0))</f>
        <v>0</v>
      </c>
      <c r="H4919" s="0" t="n">
        <f aca="false">ROW()-1</f>
        <v>4918</v>
      </c>
      <c r="I4919" s="0" t="str">
        <f aca="false">IF(OR(הגדרות!$E$6=0,H4919&gt;הגדרות!$E$5),"",IF(H4919-1&lt;הגדרות!$E$8*(הגדרות!$E$7+1),INT((H4919-1)/(הגדרות!$E$7+1)),הגדרות!$E$8+INT((H4919-1-הגדרות!$E$8*(הגדרות!$E$7+1))/הגדרות!$E$7)))</f>
        <v/>
      </c>
      <c r="J4919" s="0" t="str">
        <f aca="false">IF(I4919="","",IF(H4919-1&lt;הגדרות!$E$8*(הגדרות!$E$7+1),MOD(H4919-1,הגדרות!$E$7+1),MOD(H4919-1-הגדרות!$E$8*(הגדרות!$E$7+1),הגדרות!$E$7)))</f>
        <v/>
      </c>
      <c r="K4919" s="0" t="str">
        <f aca="false">IF(I4919="","",J4919*הגדרות!$E$6+I4919+1)</f>
        <v/>
      </c>
      <c r="L4919" s="0" t="str">
        <f aca="false">IF(K4919="","",MATCH(K4919,$F$2:$F$5001,0))</f>
        <v/>
      </c>
      <c r="M4919" s="0" t="str">
        <f aca="false">IF(I4919="","",INDEX(הגדרות!$A$2:$A$21,MOD(I4919+הגדרות!$E$9,הגדרות!$E$6)+1))</f>
        <v/>
      </c>
    </row>
    <row r="4920" customFormat="false" ht="15" hidden="false" customHeight="false" outlineLevel="0" collapsed="false">
      <c r="A4920" s="0" t="str">
        <f aca="false">IF('הדבקת לידים'!A4920="","",IF(ISNUMBER('הדבקת לידים'!A4920),IF(הגדרות!$E$2&gt;0,TEXT('הדבקת לידים'!A4920,REPT("0",הגדרות!$E$2)),TEXT('הדבקת לידים'!A4920,"0")),TRIM('הדבקת לידים'!A4920)))</f>
        <v/>
      </c>
      <c r="B4920" s="0" t="str">
        <f aca="false">IF('הדבקת לידים'!B4920="","",IF(ISNUMBER('הדבקת לידים'!B4920),IF(הגדרות!$E$3&gt;0,TEXT('הדבקת לידים'!B4920,REPT("0",הגדרות!$E$3)),TEXT('הדבקת לידים'!B4920,"0")),TRIM('הדבקת לידים'!B4920)))</f>
        <v/>
      </c>
      <c r="C4920" s="0" t="n">
        <f aca="false">IF(OR(A4920&lt;&gt;"",B4920&lt;&gt;""),1,0)</f>
        <v>0</v>
      </c>
      <c r="D4920" s="0" t="str">
        <f aca="false">IF(C4920=1,MOD(ABS(SIN(ROW()*12.9898+'הדבקת לידים'!$F$2*78.233+IFERROR(--RIGHT(A4920,6),LEN(A4920))*0.0137+IFERROR(--RIGHT(B4920,6),LEN(B4920))*0.0071))*43758.5453,1),"")</f>
        <v/>
      </c>
      <c r="E4920" s="0" t="str">
        <f aca="false">IF(C4920=1,INT(MOD(ABS(SIN(D4920*7919.123+ROW()*0.618+'הדבקת לידים'!$F$2*1.3))*43758.5453,1)*1000000)*10000+ROW(),"")</f>
        <v/>
      </c>
      <c r="F4920" s="0" t="str">
        <f aca="false">IF(E4920="","",RANK(E4920,$E$2:$E$5001,1))</f>
        <v/>
      </c>
      <c r="G4920" s="0" t="n">
        <f aca="false">IF(A4920="",0,IF(SUMPRODUCT(--($A$2:$A$5001=A4920))&gt;1,1,0))</f>
        <v>0</v>
      </c>
      <c r="H4920" s="0" t="n">
        <f aca="false">ROW()-1</f>
        <v>4919</v>
      </c>
      <c r="I4920" s="0" t="str">
        <f aca="false">IF(OR(הגדרות!$E$6=0,H4920&gt;הגדרות!$E$5),"",IF(H4920-1&lt;הגדרות!$E$8*(הגדרות!$E$7+1),INT((H4920-1)/(הגדרות!$E$7+1)),הגדרות!$E$8+INT((H4920-1-הגדרות!$E$8*(הגדרות!$E$7+1))/הגדרות!$E$7)))</f>
        <v/>
      </c>
      <c r="J4920" s="0" t="str">
        <f aca="false">IF(I4920="","",IF(H4920-1&lt;הגדרות!$E$8*(הגדרות!$E$7+1),MOD(H4920-1,הגדרות!$E$7+1),MOD(H4920-1-הגדרות!$E$8*(הגדרות!$E$7+1),הגדרות!$E$7)))</f>
        <v/>
      </c>
      <c r="K4920" s="0" t="str">
        <f aca="false">IF(I4920="","",J4920*הגדרות!$E$6+I4920+1)</f>
        <v/>
      </c>
      <c r="L4920" s="0" t="str">
        <f aca="false">IF(K4920="","",MATCH(K4920,$F$2:$F$5001,0))</f>
        <v/>
      </c>
      <c r="M4920" s="0" t="str">
        <f aca="false">IF(I4920="","",INDEX(הגדרות!$A$2:$A$21,MOD(I4920+הגדרות!$E$9,הגדרות!$E$6)+1))</f>
        <v/>
      </c>
    </row>
    <row r="4921" customFormat="false" ht="15" hidden="false" customHeight="false" outlineLevel="0" collapsed="false">
      <c r="A4921" s="0" t="str">
        <f aca="false">IF('הדבקת לידים'!A4921="","",IF(ISNUMBER('הדבקת לידים'!A4921),IF(הגדרות!$E$2&gt;0,TEXT('הדבקת לידים'!A4921,REPT("0",הגדרות!$E$2)),TEXT('הדבקת לידים'!A4921,"0")),TRIM('הדבקת לידים'!A4921)))</f>
        <v/>
      </c>
      <c r="B4921" s="0" t="str">
        <f aca="false">IF('הדבקת לידים'!B4921="","",IF(ISNUMBER('הדבקת לידים'!B4921),IF(הגדרות!$E$3&gt;0,TEXT('הדבקת לידים'!B4921,REPT("0",הגדרות!$E$3)),TEXT('הדבקת לידים'!B4921,"0")),TRIM('הדבקת לידים'!B4921)))</f>
        <v/>
      </c>
      <c r="C4921" s="0" t="n">
        <f aca="false">IF(OR(A4921&lt;&gt;"",B4921&lt;&gt;""),1,0)</f>
        <v>0</v>
      </c>
      <c r="D4921" s="0" t="str">
        <f aca="false">IF(C4921=1,MOD(ABS(SIN(ROW()*12.9898+'הדבקת לידים'!$F$2*78.233+IFERROR(--RIGHT(A4921,6),LEN(A4921))*0.0137+IFERROR(--RIGHT(B4921,6),LEN(B4921))*0.0071))*43758.5453,1),"")</f>
        <v/>
      </c>
      <c r="E4921" s="0" t="str">
        <f aca="false">IF(C4921=1,INT(MOD(ABS(SIN(D4921*7919.123+ROW()*0.618+'הדבקת לידים'!$F$2*1.3))*43758.5453,1)*1000000)*10000+ROW(),"")</f>
        <v/>
      </c>
      <c r="F4921" s="0" t="str">
        <f aca="false">IF(E4921="","",RANK(E4921,$E$2:$E$5001,1))</f>
        <v/>
      </c>
      <c r="G4921" s="0" t="n">
        <f aca="false">IF(A4921="",0,IF(SUMPRODUCT(--($A$2:$A$5001=A4921))&gt;1,1,0))</f>
        <v>0</v>
      </c>
      <c r="H4921" s="0" t="n">
        <f aca="false">ROW()-1</f>
        <v>4920</v>
      </c>
      <c r="I4921" s="0" t="str">
        <f aca="false">IF(OR(הגדרות!$E$6=0,H4921&gt;הגדרות!$E$5),"",IF(H4921-1&lt;הגדרות!$E$8*(הגדרות!$E$7+1),INT((H4921-1)/(הגדרות!$E$7+1)),הגדרות!$E$8+INT((H4921-1-הגדרות!$E$8*(הגדרות!$E$7+1))/הגדרות!$E$7)))</f>
        <v/>
      </c>
      <c r="J4921" s="0" t="str">
        <f aca="false">IF(I4921="","",IF(H4921-1&lt;הגדרות!$E$8*(הגדרות!$E$7+1),MOD(H4921-1,הגדרות!$E$7+1),MOD(H4921-1-הגדרות!$E$8*(הגדרות!$E$7+1),הגדרות!$E$7)))</f>
        <v/>
      </c>
      <c r="K4921" s="0" t="str">
        <f aca="false">IF(I4921="","",J4921*הגדרות!$E$6+I4921+1)</f>
        <v/>
      </c>
      <c r="L4921" s="0" t="str">
        <f aca="false">IF(K4921="","",MATCH(K4921,$F$2:$F$5001,0))</f>
        <v/>
      </c>
      <c r="M4921" s="0" t="str">
        <f aca="false">IF(I4921="","",INDEX(הגדרות!$A$2:$A$21,MOD(I4921+הגדרות!$E$9,הגדרות!$E$6)+1))</f>
        <v/>
      </c>
    </row>
    <row r="4922" customFormat="false" ht="15" hidden="false" customHeight="false" outlineLevel="0" collapsed="false">
      <c r="A4922" s="0" t="str">
        <f aca="false">IF('הדבקת לידים'!A4922="","",IF(ISNUMBER('הדבקת לידים'!A4922),IF(הגדרות!$E$2&gt;0,TEXT('הדבקת לידים'!A4922,REPT("0",הגדרות!$E$2)),TEXT('הדבקת לידים'!A4922,"0")),TRIM('הדבקת לידים'!A4922)))</f>
        <v/>
      </c>
      <c r="B4922" s="0" t="str">
        <f aca="false">IF('הדבקת לידים'!B4922="","",IF(ISNUMBER('הדבקת לידים'!B4922),IF(הגדרות!$E$3&gt;0,TEXT('הדבקת לידים'!B4922,REPT("0",הגדרות!$E$3)),TEXT('הדבקת לידים'!B4922,"0")),TRIM('הדבקת לידים'!B4922)))</f>
        <v/>
      </c>
      <c r="C4922" s="0" t="n">
        <f aca="false">IF(OR(A4922&lt;&gt;"",B4922&lt;&gt;""),1,0)</f>
        <v>0</v>
      </c>
      <c r="D4922" s="0" t="str">
        <f aca="false">IF(C4922=1,MOD(ABS(SIN(ROW()*12.9898+'הדבקת לידים'!$F$2*78.233+IFERROR(--RIGHT(A4922,6),LEN(A4922))*0.0137+IFERROR(--RIGHT(B4922,6),LEN(B4922))*0.0071))*43758.5453,1),"")</f>
        <v/>
      </c>
      <c r="E4922" s="0" t="str">
        <f aca="false">IF(C4922=1,INT(MOD(ABS(SIN(D4922*7919.123+ROW()*0.618+'הדבקת לידים'!$F$2*1.3))*43758.5453,1)*1000000)*10000+ROW(),"")</f>
        <v/>
      </c>
      <c r="F4922" s="0" t="str">
        <f aca="false">IF(E4922="","",RANK(E4922,$E$2:$E$5001,1))</f>
        <v/>
      </c>
      <c r="G4922" s="0" t="n">
        <f aca="false">IF(A4922="",0,IF(SUMPRODUCT(--($A$2:$A$5001=A4922))&gt;1,1,0))</f>
        <v>0</v>
      </c>
      <c r="H4922" s="0" t="n">
        <f aca="false">ROW()-1</f>
        <v>4921</v>
      </c>
      <c r="I4922" s="0" t="str">
        <f aca="false">IF(OR(הגדרות!$E$6=0,H4922&gt;הגדרות!$E$5),"",IF(H4922-1&lt;הגדרות!$E$8*(הגדרות!$E$7+1),INT((H4922-1)/(הגדרות!$E$7+1)),הגדרות!$E$8+INT((H4922-1-הגדרות!$E$8*(הגדרות!$E$7+1))/הגדרות!$E$7)))</f>
        <v/>
      </c>
      <c r="J4922" s="0" t="str">
        <f aca="false">IF(I4922="","",IF(H4922-1&lt;הגדרות!$E$8*(הגדרות!$E$7+1),MOD(H4922-1,הגדרות!$E$7+1),MOD(H4922-1-הגדרות!$E$8*(הגדרות!$E$7+1),הגדרות!$E$7)))</f>
        <v/>
      </c>
      <c r="K4922" s="0" t="str">
        <f aca="false">IF(I4922="","",J4922*הגדרות!$E$6+I4922+1)</f>
        <v/>
      </c>
      <c r="L4922" s="0" t="str">
        <f aca="false">IF(K4922="","",MATCH(K4922,$F$2:$F$5001,0))</f>
        <v/>
      </c>
      <c r="M4922" s="0" t="str">
        <f aca="false">IF(I4922="","",INDEX(הגדרות!$A$2:$A$21,MOD(I4922+הגדרות!$E$9,הגדרות!$E$6)+1))</f>
        <v/>
      </c>
    </row>
    <row r="4923" customFormat="false" ht="15" hidden="false" customHeight="false" outlineLevel="0" collapsed="false">
      <c r="A4923" s="0" t="str">
        <f aca="false">IF('הדבקת לידים'!A4923="","",IF(ISNUMBER('הדבקת לידים'!A4923),IF(הגדרות!$E$2&gt;0,TEXT('הדבקת לידים'!A4923,REPT("0",הגדרות!$E$2)),TEXT('הדבקת לידים'!A4923,"0")),TRIM('הדבקת לידים'!A4923)))</f>
        <v/>
      </c>
      <c r="B4923" s="0" t="str">
        <f aca="false">IF('הדבקת לידים'!B4923="","",IF(ISNUMBER('הדבקת לידים'!B4923),IF(הגדרות!$E$3&gt;0,TEXT('הדבקת לידים'!B4923,REPT("0",הגדרות!$E$3)),TEXT('הדבקת לידים'!B4923,"0")),TRIM('הדבקת לידים'!B4923)))</f>
        <v/>
      </c>
      <c r="C4923" s="0" t="n">
        <f aca="false">IF(OR(A4923&lt;&gt;"",B4923&lt;&gt;""),1,0)</f>
        <v>0</v>
      </c>
      <c r="D4923" s="0" t="str">
        <f aca="false">IF(C4923=1,MOD(ABS(SIN(ROW()*12.9898+'הדבקת לידים'!$F$2*78.233+IFERROR(--RIGHT(A4923,6),LEN(A4923))*0.0137+IFERROR(--RIGHT(B4923,6),LEN(B4923))*0.0071))*43758.5453,1),"")</f>
        <v/>
      </c>
      <c r="E4923" s="0" t="str">
        <f aca="false">IF(C4923=1,INT(MOD(ABS(SIN(D4923*7919.123+ROW()*0.618+'הדבקת לידים'!$F$2*1.3))*43758.5453,1)*1000000)*10000+ROW(),"")</f>
        <v/>
      </c>
      <c r="F4923" s="0" t="str">
        <f aca="false">IF(E4923="","",RANK(E4923,$E$2:$E$5001,1))</f>
        <v/>
      </c>
      <c r="G4923" s="0" t="n">
        <f aca="false">IF(A4923="",0,IF(SUMPRODUCT(--($A$2:$A$5001=A4923))&gt;1,1,0))</f>
        <v>0</v>
      </c>
      <c r="H4923" s="0" t="n">
        <f aca="false">ROW()-1</f>
        <v>4922</v>
      </c>
      <c r="I4923" s="0" t="str">
        <f aca="false">IF(OR(הגדרות!$E$6=0,H4923&gt;הגדרות!$E$5),"",IF(H4923-1&lt;הגדרות!$E$8*(הגדרות!$E$7+1),INT((H4923-1)/(הגדרות!$E$7+1)),הגדרות!$E$8+INT((H4923-1-הגדרות!$E$8*(הגדרות!$E$7+1))/הגדרות!$E$7)))</f>
        <v/>
      </c>
      <c r="J4923" s="0" t="str">
        <f aca="false">IF(I4923="","",IF(H4923-1&lt;הגדרות!$E$8*(הגדרות!$E$7+1),MOD(H4923-1,הגדרות!$E$7+1),MOD(H4923-1-הגדרות!$E$8*(הגדרות!$E$7+1),הגדרות!$E$7)))</f>
        <v/>
      </c>
      <c r="K4923" s="0" t="str">
        <f aca="false">IF(I4923="","",J4923*הגדרות!$E$6+I4923+1)</f>
        <v/>
      </c>
      <c r="L4923" s="0" t="str">
        <f aca="false">IF(K4923="","",MATCH(K4923,$F$2:$F$5001,0))</f>
        <v/>
      </c>
      <c r="M4923" s="0" t="str">
        <f aca="false">IF(I4923="","",INDEX(הגדרות!$A$2:$A$21,MOD(I4923+הגדרות!$E$9,הגדרות!$E$6)+1))</f>
        <v/>
      </c>
    </row>
    <row r="4924" customFormat="false" ht="15" hidden="false" customHeight="false" outlineLevel="0" collapsed="false">
      <c r="A4924" s="0" t="str">
        <f aca="false">IF('הדבקת לידים'!A4924="","",IF(ISNUMBER('הדבקת לידים'!A4924),IF(הגדרות!$E$2&gt;0,TEXT('הדבקת לידים'!A4924,REPT("0",הגדרות!$E$2)),TEXT('הדבקת לידים'!A4924,"0")),TRIM('הדבקת לידים'!A4924)))</f>
        <v/>
      </c>
      <c r="B4924" s="0" t="str">
        <f aca="false">IF('הדבקת לידים'!B4924="","",IF(ISNUMBER('הדבקת לידים'!B4924),IF(הגדרות!$E$3&gt;0,TEXT('הדבקת לידים'!B4924,REPT("0",הגדרות!$E$3)),TEXT('הדבקת לידים'!B4924,"0")),TRIM('הדבקת לידים'!B4924)))</f>
        <v/>
      </c>
      <c r="C4924" s="0" t="n">
        <f aca="false">IF(OR(A4924&lt;&gt;"",B4924&lt;&gt;""),1,0)</f>
        <v>0</v>
      </c>
      <c r="D4924" s="0" t="str">
        <f aca="false">IF(C4924=1,MOD(ABS(SIN(ROW()*12.9898+'הדבקת לידים'!$F$2*78.233+IFERROR(--RIGHT(A4924,6),LEN(A4924))*0.0137+IFERROR(--RIGHT(B4924,6),LEN(B4924))*0.0071))*43758.5453,1),"")</f>
        <v/>
      </c>
      <c r="E4924" s="0" t="str">
        <f aca="false">IF(C4924=1,INT(MOD(ABS(SIN(D4924*7919.123+ROW()*0.618+'הדבקת לידים'!$F$2*1.3))*43758.5453,1)*1000000)*10000+ROW(),"")</f>
        <v/>
      </c>
      <c r="F4924" s="0" t="str">
        <f aca="false">IF(E4924="","",RANK(E4924,$E$2:$E$5001,1))</f>
        <v/>
      </c>
      <c r="G4924" s="0" t="n">
        <f aca="false">IF(A4924="",0,IF(SUMPRODUCT(--($A$2:$A$5001=A4924))&gt;1,1,0))</f>
        <v>0</v>
      </c>
      <c r="H4924" s="0" t="n">
        <f aca="false">ROW()-1</f>
        <v>4923</v>
      </c>
      <c r="I4924" s="0" t="str">
        <f aca="false">IF(OR(הגדרות!$E$6=0,H4924&gt;הגדרות!$E$5),"",IF(H4924-1&lt;הגדרות!$E$8*(הגדרות!$E$7+1),INT((H4924-1)/(הגדרות!$E$7+1)),הגדרות!$E$8+INT((H4924-1-הגדרות!$E$8*(הגדרות!$E$7+1))/הגדרות!$E$7)))</f>
        <v/>
      </c>
      <c r="J4924" s="0" t="str">
        <f aca="false">IF(I4924="","",IF(H4924-1&lt;הגדרות!$E$8*(הגדרות!$E$7+1),MOD(H4924-1,הגדרות!$E$7+1),MOD(H4924-1-הגדרות!$E$8*(הגדרות!$E$7+1),הגדרות!$E$7)))</f>
        <v/>
      </c>
      <c r="K4924" s="0" t="str">
        <f aca="false">IF(I4924="","",J4924*הגדרות!$E$6+I4924+1)</f>
        <v/>
      </c>
      <c r="L4924" s="0" t="str">
        <f aca="false">IF(K4924="","",MATCH(K4924,$F$2:$F$5001,0))</f>
        <v/>
      </c>
      <c r="M4924" s="0" t="str">
        <f aca="false">IF(I4924="","",INDEX(הגדרות!$A$2:$A$21,MOD(I4924+הגדרות!$E$9,הגדרות!$E$6)+1))</f>
        <v/>
      </c>
    </row>
    <row r="4925" customFormat="false" ht="15" hidden="false" customHeight="false" outlineLevel="0" collapsed="false">
      <c r="A4925" s="0" t="str">
        <f aca="false">IF('הדבקת לידים'!A4925="","",IF(ISNUMBER('הדבקת לידים'!A4925),IF(הגדרות!$E$2&gt;0,TEXT('הדבקת לידים'!A4925,REPT("0",הגדרות!$E$2)),TEXT('הדבקת לידים'!A4925,"0")),TRIM('הדבקת לידים'!A4925)))</f>
        <v/>
      </c>
      <c r="B4925" s="0" t="str">
        <f aca="false">IF('הדבקת לידים'!B4925="","",IF(ISNUMBER('הדבקת לידים'!B4925),IF(הגדרות!$E$3&gt;0,TEXT('הדבקת לידים'!B4925,REPT("0",הגדרות!$E$3)),TEXT('הדבקת לידים'!B4925,"0")),TRIM('הדבקת לידים'!B4925)))</f>
        <v/>
      </c>
      <c r="C4925" s="0" t="n">
        <f aca="false">IF(OR(A4925&lt;&gt;"",B4925&lt;&gt;""),1,0)</f>
        <v>0</v>
      </c>
      <c r="D4925" s="0" t="str">
        <f aca="false">IF(C4925=1,MOD(ABS(SIN(ROW()*12.9898+'הדבקת לידים'!$F$2*78.233+IFERROR(--RIGHT(A4925,6),LEN(A4925))*0.0137+IFERROR(--RIGHT(B4925,6),LEN(B4925))*0.0071))*43758.5453,1),"")</f>
        <v/>
      </c>
      <c r="E4925" s="0" t="str">
        <f aca="false">IF(C4925=1,INT(MOD(ABS(SIN(D4925*7919.123+ROW()*0.618+'הדבקת לידים'!$F$2*1.3))*43758.5453,1)*1000000)*10000+ROW(),"")</f>
        <v/>
      </c>
      <c r="F4925" s="0" t="str">
        <f aca="false">IF(E4925="","",RANK(E4925,$E$2:$E$5001,1))</f>
        <v/>
      </c>
      <c r="G4925" s="0" t="n">
        <f aca="false">IF(A4925="",0,IF(SUMPRODUCT(--($A$2:$A$5001=A4925))&gt;1,1,0))</f>
        <v>0</v>
      </c>
      <c r="H4925" s="0" t="n">
        <f aca="false">ROW()-1</f>
        <v>4924</v>
      </c>
      <c r="I4925" s="0" t="str">
        <f aca="false">IF(OR(הגדרות!$E$6=0,H4925&gt;הגדרות!$E$5),"",IF(H4925-1&lt;הגדרות!$E$8*(הגדרות!$E$7+1),INT((H4925-1)/(הגדרות!$E$7+1)),הגדרות!$E$8+INT((H4925-1-הגדרות!$E$8*(הגדרות!$E$7+1))/הגדרות!$E$7)))</f>
        <v/>
      </c>
      <c r="J4925" s="0" t="str">
        <f aca="false">IF(I4925="","",IF(H4925-1&lt;הגדרות!$E$8*(הגדרות!$E$7+1),MOD(H4925-1,הגדרות!$E$7+1),MOD(H4925-1-הגדרות!$E$8*(הגדרות!$E$7+1),הגדרות!$E$7)))</f>
        <v/>
      </c>
      <c r="K4925" s="0" t="str">
        <f aca="false">IF(I4925="","",J4925*הגדרות!$E$6+I4925+1)</f>
        <v/>
      </c>
      <c r="L4925" s="0" t="str">
        <f aca="false">IF(K4925="","",MATCH(K4925,$F$2:$F$5001,0))</f>
        <v/>
      </c>
      <c r="M4925" s="0" t="str">
        <f aca="false">IF(I4925="","",INDEX(הגדרות!$A$2:$A$21,MOD(I4925+הגדרות!$E$9,הגדרות!$E$6)+1))</f>
        <v/>
      </c>
    </row>
    <row r="4926" customFormat="false" ht="15" hidden="false" customHeight="false" outlineLevel="0" collapsed="false">
      <c r="A4926" s="0" t="str">
        <f aca="false">IF('הדבקת לידים'!A4926="","",IF(ISNUMBER('הדבקת לידים'!A4926),IF(הגדרות!$E$2&gt;0,TEXT('הדבקת לידים'!A4926,REPT("0",הגדרות!$E$2)),TEXT('הדבקת לידים'!A4926,"0")),TRIM('הדבקת לידים'!A4926)))</f>
        <v/>
      </c>
      <c r="B4926" s="0" t="str">
        <f aca="false">IF('הדבקת לידים'!B4926="","",IF(ISNUMBER('הדבקת לידים'!B4926),IF(הגדרות!$E$3&gt;0,TEXT('הדבקת לידים'!B4926,REPT("0",הגדרות!$E$3)),TEXT('הדבקת לידים'!B4926,"0")),TRIM('הדבקת לידים'!B4926)))</f>
        <v/>
      </c>
      <c r="C4926" s="0" t="n">
        <f aca="false">IF(OR(A4926&lt;&gt;"",B4926&lt;&gt;""),1,0)</f>
        <v>0</v>
      </c>
      <c r="D4926" s="0" t="str">
        <f aca="false">IF(C4926=1,MOD(ABS(SIN(ROW()*12.9898+'הדבקת לידים'!$F$2*78.233+IFERROR(--RIGHT(A4926,6),LEN(A4926))*0.0137+IFERROR(--RIGHT(B4926,6),LEN(B4926))*0.0071))*43758.5453,1),"")</f>
        <v/>
      </c>
      <c r="E4926" s="0" t="str">
        <f aca="false">IF(C4926=1,INT(MOD(ABS(SIN(D4926*7919.123+ROW()*0.618+'הדבקת לידים'!$F$2*1.3))*43758.5453,1)*1000000)*10000+ROW(),"")</f>
        <v/>
      </c>
      <c r="F4926" s="0" t="str">
        <f aca="false">IF(E4926="","",RANK(E4926,$E$2:$E$5001,1))</f>
        <v/>
      </c>
      <c r="G4926" s="0" t="n">
        <f aca="false">IF(A4926="",0,IF(SUMPRODUCT(--($A$2:$A$5001=A4926))&gt;1,1,0))</f>
        <v>0</v>
      </c>
      <c r="H4926" s="0" t="n">
        <f aca="false">ROW()-1</f>
        <v>4925</v>
      </c>
      <c r="I4926" s="0" t="str">
        <f aca="false">IF(OR(הגדרות!$E$6=0,H4926&gt;הגדרות!$E$5),"",IF(H4926-1&lt;הגדרות!$E$8*(הגדרות!$E$7+1),INT((H4926-1)/(הגדרות!$E$7+1)),הגדרות!$E$8+INT((H4926-1-הגדרות!$E$8*(הגדרות!$E$7+1))/הגדרות!$E$7)))</f>
        <v/>
      </c>
      <c r="J4926" s="0" t="str">
        <f aca="false">IF(I4926="","",IF(H4926-1&lt;הגדרות!$E$8*(הגדרות!$E$7+1),MOD(H4926-1,הגדרות!$E$7+1),MOD(H4926-1-הגדרות!$E$8*(הגדרות!$E$7+1),הגדרות!$E$7)))</f>
        <v/>
      </c>
      <c r="K4926" s="0" t="str">
        <f aca="false">IF(I4926="","",J4926*הגדרות!$E$6+I4926+1)</f>
        <v/>
      </c>
      <c r="L4926" s="0" t="str">
        <f aca="false">IF(K4926="","",MATCH(K4926,$F$2:$F$5001,0))</f>
        <v/>
      </c>
      <c r="M4926" s="0" t="str">
        <f aca="false">IF(I4926="","",INDEX(הגדרות!$A$2:$A$21,MOD(I4926+הגדרות!$E$9,הגדרות!$E$6)+1))</f>
        <v/>
      </c>
    </row>
    <row r="4927" customFormat="false" ht="15" hidden="false" customHeight="false" outlineLevel="0" collapsed="false">
      <c r="A4927" s="0" t="str">
        <f aca="false">IF('הדבקת לידים'!A4927="","",IF(ISNUMBER('הדבקת לידים'!A4927),IF(הגדרות!$E$2&gt;0,TEXT('הדבקת לידים'!A4927,REPT("0",הגדרות!$E$2)),TEXT('הדבקת לידים'!A4927,"0")),TRIM('הדבקת לידים'!A4927)))</f>
        <v/>
      </c>
      <c r="B4927" s="0" t="str">
        <f aca="false">IF('הדבקת לידים'!B4927="","",IF(ISNUMBER('הדבקת לידים'!B4927),IF(הגדרות!$E$3&gt;0,TEXT('הדבקת לידים'!B4927,REPT("0",הגדרות!$E$3)),TEXT('הדבקת לידים'!B4927,"0")),TRIM('הדבקת לידים'!B4927)))</f>
        <v/>
      </c>
      <c r="C4927" s="0" t="n">
        <f aca="false">IF(OR(A4927&lt;&gt;"",B4927&lt;&gt;""),1,0)</f>
        <v>0</v>
      </c>
      <c r="D4927" s="0" t="str">
        <f aca="false">IF(C4927=1,MOD(ABS(SIN(ROW()*12.9898+'הדבקת לידים'!$F$2*78.233+IFERROR(--RIGHT(A4927,6),LEN(A4927))*0.0137+IFERROR(--RIGHT(B4927,6),LEN(B4927))*0.0071))*43758.5453,1),"")</f>
        <v/>
      </c>
      <c r="E4927" s="0" t="str">
        <f aca="false">IF(C4927=1,INT(MOD(ABS(SIN(D4927*7919.123+ROW()*0.618+'הדבקת לידים'!$F$2*1.3))*43758.5453,1)*1000000)*10000+ROW(),"")</f>
        <v/>
      </c>
      <c r="F4927" s="0" t="str">
        <f aca="false">IF(E4927="","",RANK(E4927,$E$2:$E$5001,1))</f>
        <v/>
      </c>
      <c r="G4927" s="0" t="n">
        <f aca="false">IF(A4927="",0,IF(SUMPRODUCT(--($A$2:$A$5001=A4927))&gt;1,1,0))</f>
        <v>0</v>
      </c>
      <c r="H4927" s="0" t="n">
        <f aca="false">ROW()-1</f>
        <v>4926</v>
      </c>
      <c r="I4927" s="0" t="str">
        <f aca="false">IF(OR(הגדרות!$E$6=0,H4927&gt;הגדרות!$E$5),"",IF(H4927-1&lt;הגדרות!$E$8*(הגדרות!$E$7+1),INT((H4927-1)/(הגדרות!$E$7+1)),הגדרות!$E$8+INT((H4927-1-הגדרות!$E$8*(הגדרות!$E$7+1))/הגדרות!$E$7)))</f>
        <v/>
      </c>
      <c r="J4927" s="0" t="str">
        <f aca="false">IF(I4927="","",IF(H4927-1&lt;הגדרות!$E$8*(הגדרות!$E$7+1),MOD(H4927-1,הגדרות!$E$7+1),MOD(H4927-1-הגדרות!$E$8*(הגדרות!$E$7+1),הגדרות!$E$7)))</f>
        <v/>
      </c>
      <c r="K4927" s="0" t="str">
        <f aca="false">IF(I4927="","",J4927*הגדרות!$E$6+I4927+1)</f>
        <v/>
      </c>
      <c r="L4927" s="0" t="str">
        <f aca="false">IF(K4927="","",MATCH(K4927,$F$2:$F$5001,0))</f>
        <v/>
      </c>
      <c r="M4927" s="0" t="str">
        <f aca="false">IF(I4927="","",INDEX(הגדרות!$A$2:$A$21,MOD(I4927+הגדרות!$E$9,הגדרות!$E$6)+1))</f>
        <v/>
      </c>
    </row>
    <row r="4928" customFormat="false" ht="15" hidden="false" customHeight="false" outlineLevel="0" collapsed="false">
      <c r="A4928" s="0" t="str">
        <f aca="false">IF('הדבקת לידים'!A4928="","",IF(ISNUMBER('הדבקת לידים'!A4928),IF(הגדרות!$E$2&gt;0,TEXT('הדבקת לידים'!A4928,REPT("0",הגדרות!$E$2)),TEXT('הדבקת לידים'!A4928,"0")),TRIM('הדבקת לידים'!A4928)))</f>
        <v/>
      </c>
      <c r="B4928" s="0" t="str">
        <f aca="false">IF('הדבקת לידים'!B4928="","",IF(ISNUMBER('הדבקת לידים'!B4928),IF(הגדרות!$E$3&gt;0,TEXT('הדבקת לידים'!B4928,REPT("0",הגדרות!$E$3)),TEXT('הדבקת לידים'!B4928,"0")),TRIM('הדבקת לידים'!B4928)))</f>
        <v/>
      </c>
      <c r="C4928" s="0" t="n">
        <f aca="false">IF(OR(A4928&lt;&gt;"",B4928&lt;&gt;""),1,0)</f>
        <v>0</v>
      </c>
      <c r="D4928" s="0" t="str">
        <f aca="false">IF(C4928=1,MOD(ABS(SIN(ROW()*12.9898+'הדבקת לידים'!$F$2*78.233+IFERROR(--RIGHT(A4928,6),LEN(A4928))*0.0137+IFERROR(--RIGHT(B4928,6),LEN(B4928))*0.0071))*43758.5453,1),"")</f>
        <v/>
      </c>
      <c r="E4928" s="0" t="str">
        <f aca="false">IF(C4928=1,INT(MOD(ABS(SIN(D4928*7919.123+ROW()*0.618+'הדבקת לידים'!$F$2*1.3))*43758.5453,1)*1000000)*10000+ROW(),"")</f>
        <v/>
      </c>
      <c r="F4928" s="0" t="str">
        <f aca="false">IF(E4928="","",RANK(E4928,$E$2:$E$5001,1))</f>
        <v/>
      </c>
      <c r="G4928" s="0" t="n">
        <f aca="false">IF(A4928="",0,IF(SUMPRODUCT(--($A$2:$A$5001=A4928))&gt;1,1,0))</f>
        <v>0</v>
      </c>
      <c r="H4928" s="0" t="n">
        <f aca="false">ROW()-1</f>
        <v>4927</v>
      </c>
      <c r="I4928" s="0" t="str">
        <f aca="false">IF(OR(הגדרות!$E$6=0,H4928&gt;הגדרות!$E$5),"",IF(H4928-1&lt;הגדרות!$E$8*(הגדרות!$E$7+1),INT((H4928-1)/(הגדרות!$E$7+1)),הגדרות!$E$8+INT((H4928-1-הגדרות!$E$8*(הגדרות!$E$7+1))/הגדרות!$E$7)))</f>
        <v/>
      </c>
      <c r="J4928" s="0" t="str">
        <f aca="false">IF(I4928="","",IF(H4928-1&lt;הגדרות!$E$8*(הגדרות!$E$7+1),MOD(H4928-1,הגדרות!$E$7+1),MOD(H4928-1-הגדרות!$E$8*(הגדרות!$E$7+1),הגדרות!$E$7)))</f>
        <v/>
      </c>
      <c r="K4928" s="0" t="str">
        <f aca="false">IF(I4928="","",J4928*הגדרות!$E$6+I4928+1)</f>
        <v/>
      </c>
      <c r="L4928" s="0" t="str">
        <f aca="false">IF(K4928="","",MATCH(K4928,$F$2:$F$5001,0))</f>
        <v/>
      </c>
      <c r="M4928" s="0" t="str">
        <f aca="false">IF(I4928="","",INDEX(הגדרות!$A$2:$A$21,MOD(I4928+הגדרות!$E$9,הגדרות!$E$6)+1))</f>
        <v/>
      </c>
    </row>
    <row r="4929" customFormat="false" ht="15" hidden="false" customHeight="false" outlineLevel="0" collapsed="false">
      <c r="A4929" s="0" t="str">
        <f aca="false">IF('הדבקת לידים'!A4929="","",IF(ISNUMBER('הדבקת לידים'!A4929),IF(הגדרות!$E$2&gt;0,TEXT('הדבקת לידים'!A4929,REPT("0",הגדרות!$E$2)),TEXT('הדבקת לידים'!A4929,"0")),TRIM('הדבקת לידים'!A4929)))</f>
        <v/>
      </c>
      <c r="B4929" s="0" t="str">
        <f aca="false">IF('הדבקת לידים'!B4929="","",IF(ISNUMBER('הדבקת לידים'!B4929),IF(הגדרות!$E$3&gt;0,TEXT('הדבקת לידים'!B4929,REPT("0",הגדרות!$E$3)),TEXT('הדבקת לידים'!B4929,"0")),TRIM('הדבקת לידים'!B4929)))</f>
        <v/>
      </c>
      <c r="C4929" s="0" t="n">
        <f aca="false">IF(OR(A4929&lt;&gt;"",B4929&lt;&gt;""),1,0)</f>
        <v>0</v>
      </c>
      <c r="D4929" s="0" t="str">
        <f aca="false">IF(C4929=1,MOD(ABS(SIN(ROW()*12.9898+'הדבקת לידים'!$F$2*78.233+IFERROR(--RIGHT(A4929,6),LEN(A4929))*0.0137+IFERROR(--RIGHT(B4929,6),LEN(B4929))*0.0071))*43758.5453,1),"")</f>
        <v/>
      </c>
      <c r="E4929" s="0" t="str">
        <f aca="false">IF(C4929=1,INT(MOD(ABS(SIN(D4929*7919.123+ROW()*0.618+'הדבקת לידים'!$F$2*1.3))*43758.5453,1)*1000000)*10000+ROW(),"")</f>
        <v/>
      </c>
      <c r="F4929" s="0" t="str">
        <f aca="false">IF(E4929="","",RANK(E4929,$E$2:$E$5001,1))</f>
        <v/>
      </c>
      <c r="G4929" s="0" t="n">
        <f aca="false">IF(A4929="",0,IF(SUMPRODUCT(--($A$2:$A$5001=A4929))&gt;1,1,0))</f>
        <v>0</v>
      </c>
      <c r="H4929" s="0" t="n">
        <f aca="false">ROW()-1</f>
        <v>4928</v>
      </c>
      <c r="I4929" s="0" t="str">
        <f aca="false">IF(OR(הגדרות!$E$6=0,H4929&gt;הגדרות!$E$5),"",IF(H4929-1&lt;הגדרות!$E$8*(הגדרות!$E$7+1),INT((H4929-1)/(הגדרות!$E$7+1)),הגדרות!$E$8+INT((H4929-1-הגדרות!$E$8*(הגדרות!$E$7+1))/הגדרות!$E$7)))</f>
        <v/>
      </c>
      <c r="J4929" s="0" t="str">
        <f aca="false">IF(I4929="","",IF(H4929-1&lt;הגדרות!$E$8*(הגדרות!$E$7+1),MOD(H4929-1,הגדרות!$E$7+1),MOD(H4929-1-הגדרות!$E$8*(הגדרות!$E$7+1),הגדרות!$E$7)))</f>
        <v/>
      </c>
      <c r="K4929" s="0" t="str">
        <f aca="false">IF(I4929="","",J4929*הגדרות!$E$6+I4929+1)</f>
        <v/>
      </c>
      <c r="L4929" s="0" t="str">
        <f aca="false">IF(K4929="","",MATCH(K4929,$F$2:$F$5001,0))</f>
        <v/>
      </c>
      <c r="M4929" s="0" t="str">
        <f aca="false">IF(I4929="","",INDEX(הגדרות!$A$2:$A$21,MOD(I4929+הגדרות!$E$9,הגדרות!$E$6)+1))</f>
        <v/>
      </c>
    </row>
    <row r="4930" customFormat="false" ht="15" hidden="false" customHeight="false" outlineLevel="0" collapsed="false">
      <c r="A4930" s="0" t="str">
        <f aca="false">IF('הדבקת לידים'!A4930="","",IF(ISNUMBER('הדבקת לידים'!A4930),IF(הגדרות!$E$2&gt;0,TEXT('הדבקת לידים'!A4930,REPT("0",הגדרות!$E$2)),TEXT('הדבקת לידים'!A4930,"0")),TRIM('הדבקת לידים'!A4930)))</f>
        <v/>
      </c>
      <c r="B4930" s="0" t="str">
        <f aca="false">IF('הדבקת לידים'!B4930="","",IF(ISNUMBER('הדבקת לידים'!B4930),IF(הגדרות!$E$3&gt;0,TEXT('הדבקת לידים'!B4930,REPT("0",הגדרות!$E$3)),TEXT('הדבקת לידים'!B4930,"0")),TRIM('הדבקת לידים'!B4930)))</f>
        <v/>
      </c>
      <c r="C4930" s="0" t="n">
        <f aca="false">IF(OR(A4930&lt;&gt;"",B4930&lt;&gt;""),1,0)</f>
        <v>0</v>
      </c>
      <c r="D4930" s="0" t="str">
        <f aca="false">IF(C4930=1,MOD(ABS(SIN(ROW()*12.9898+'הדבקת לידים'!$F$2*78.233+IFERROR(--RIGHT(A4930,6),LEN(A4930))*0.0137+IFERROR(--RIGHT(B4930,6),LEN(B4930))*0.0071))*43758.5453,1),"")</f>
        <v/>
      </c>
      <c r="E4930" s="0" t="str">
        <f aca="false">IF(C4930=1,INT(MOD(ABS(SIN(D4930*7919.123+ROW()*0.618+'הדבקת לידים'!$F$2*1.3))*43758.5453,1)*1000000)*10000+ROW(),"")</f>
        <v/>
      </c>
      <c r="F4930" s="0" t="str">
        <f aca="false">IF(E4930="","",RANK(E4930,$E$2:$E$5001,1))</f>
        <v/>
      </c>
      <c r="G4930" s="0" t="n">
        <f aca="false">IF(A4930="",0,IF(SUMPRODUCT(--($A$2:$A$5001=A4930))&gt;1,1,0))</f>
        <v>0</v>
      </c>
      <c r="H4930" s="0" t="n">
        <f aca="false">ROW()-1</f>
        <v>4929</v>
      </c>
      <c r="I4930" s="0" t="str">
        <f aca="false">IF(OR(הגדרות!$E$6=0,H4930&gt;הגדרות!$E$5),"",IF(H4930-1&lt;הגדרות!$E$8*(הגדרות!$E$7+1),INT((H4930-1)/(הגדרות!$E$7+1)),הגדרות!$E$8+INT((H4930-1-הגדרות!$E$8*(הגדרות!$E$7+1))/הגדרות!$E$7)))</f>
        <v/>
      </c>
      <c r="J4930" s="0" t="str">
        <f aca="false">IF(I4930="","",IF(H4930-1&lt;הגדרות!$E$8*(הגדרות!$E$7+1),MOD(H4930-1,הגדרות!$E$7+1),MOD(H4930-1-הגדרות!$E$8*(הגדרות!$E$7+1),הגדרות!$E$7)))</f>
        <v/>
      </c>
      <c r="K4930" s="0" t="str">
        <f aca="false">IF(I4930="","",J4930*הגדרות!$E$6+I4930+1)</f>
        <v/>
      </c>
      <c r="L4930" s="0" t="str">
        <f aca="false">IF(K4930="","",MATCH(K4930,$F$2:$F$5001,0))</f>
        <v/>
      </c>
      <c r="M4930" s="0" t="str">
        <f aca="false">IF(I4930="","",INDEX(הגדרות!$A$2:$A$21,MOD(I4930+הגדרות!$E$9,הגדרות!$E$6)+1))</f>
        <v/>
      </c>
    </row>
    <row r="4931" customFormat="false" ht="15" hidden="false" customHeight="false" outlineLevel="0" collapsed="false">
      <c r="A4931" s="0" t="str">
        <f aca="false">IF('הדבקת לידים'!A4931="","",IF(ISNUMBER('הדבקת לידים'!A4931),IF(הגדרות!$E$2&gt;0,TEXT('הדבקת לידים'!A4931,REPT("0",הגדרות!$E$2)),TEXT('הדבקת לידים'!A4931,"0")),TRIM('הדבקת לידים'!A4931)))</f>
        <v/>
      </c>
      <c r="B4931" s="0" t="str">
        <f aca="false">IF('הדבקת לידים'!B4931="","",IF(ISNUMBER('הדבקת לידים'!B4931),IF(הגדרות!$E$3&gt;0,TEXT('הדבקת לידים'!B4931,REPT("0",הגדרות!$E$3)),TEXT('הדבקת לידים'!B4931,"0")),TRIM('הדבקת לידים'!B4931)))</f>
        <v/>
      </c>
      <c r="C4931" s="0" t="n">
        <f aca="false">IF(OR(A4931&lt;&gt;"",B4931&lt;&gt;""),1,0)</f>
        <v>0</v>
      </c>
      <c r="D4931" s="0" t="str">
        <f aca="false">IF(C4931=1,MOD(ABS(SIN(ROW()*12.9898+'הדבקת לידים'!$F$2*78.233+IFERROR(--RIGHT(A4931,6),LEN(A4931))*0.0137+IFERROR(--RIGHT(B4931,6),LEN(B4931))*0.0071))*43758.5453,1),"")</f>
        <v/>
      </c>
      <c r="E4931" s="0" t="str">
        <f aca="false">IF(C4931=1,INT(MOD(ABS(SIN(D4931*7919.123+ROW()*0.618+'הדבקת לידים'!$F$2*1.3))*43758.5453,1)*1000000)*10000+ROW(),"")</f>
        <v/>
      </c>
      <c r="F4931" s="0" t="str">
        <f aca="false">IF(E4931="","",RANK(E4931,$E$2:$E$5001,1))</f>
        <v/>
      </c>
      <c r="G4931" s="0" t="n">
        <f aca="false">IF(A4931="",0,IF(SUMPRODUCT(--($A$2:$A$5001=A4931))&gt;1,1,0))</f>
        <v>0</v>
      </c>
      <c r="H4931" s="0" t="n">
        <f aca="false">ROW()-1</f>
        <v>4930</v>
      </c>
      <c r="I4931" s="0" t="str">
        <f aca="false">IF(OR(הגדרות!$E$6=0,H4931&gt;הגדרות!$E$5),"",IF(H4931-1&lt;הגדרות!$E$8*(הגדרות!$E$7+1),INT((H4931-1)/(הגדרות!$E$7+1)),הגדרות!$E$8+INT((H4931-1-הגדרות!$E$8*(הגדרות!$E$7+1))/הגדרות!$E$7)))</f>
        <v/>
      </c>
      <c r="J4931" s="0" t="str">
        <f aca="false">IF(I4931="","",IF(H4931-1&lt;הגדרות!$E$8*(הגדרות!$E$7+1),MOD(H4931-1,הגדרות!$E$7+1),MOD(H4931-1-הגדרות!$E$8*(הגדרות!$E$7+1),הגדרות!$E$7)))</f>
        <v/>
      </c>
      <c r="K4931" s="0" t="str">
        <f aca="false">IF(I4931="","",J4931*הגדרות!$E$6+I4931+1)</f>
        <v/>
      </c>
      <c r="L4931" s="0" t="str">
        <f aca="false">IF(K4931="","",MATCH(K4931,$F$2:$F$5001,0))</f>
        <v/>
      </c>
      <c r="M4931" s="0" t="str">
        <f aca="false">IF(I4931="","",INDEX(הגדרות!$A$2:$A$21,MOD(I4931+הגדרות!$E$9,הגדרות!$E$6)+1))</f>
        <v/>
      </c>
    </row>
    <row r="4932" customFormat="false" ht="15" hidden="false" customHeight="false" outlineLevel="0" collapsed="false">
      <c r="A4932" s="0" t="str">
        <f aca="false">IF('הדבקת לידים'!A4932="","",IF(ISNUMBER('הדבקת לידים'!A4932),IF(הגדרות!$E$2&gt;0,TEXT('הדבקת לידים'!A4932,REPT("0",הגדרות!$E$2)),TEXT('הדבקת לידים'!A4932,"0")),TRIM('הדבקת לידים'!A4932)))</f>
        <v/>
      </c>
      <c r="B4932" s="0" t="str">
        <f aca="false">IF('הדבקת לידים'!B4932="","",IF(ISNUMBER('הדבקת לידים'!B4932),IF(הגדרות!$E$3&gt;0,TEXT('הדבקת לידים'!B4932,REPT("0",הגדרות!$E$3)),TEXT('הדבקת לידים'!B4932,"0")),TRIM('הדבקת לידים'!B4932)))</f>
        <v/>
      </c>
      <c r="C4932" s="0" t="n">
        <f aca="false">IF(OR(A4932&lt;&gt;"",B4932&lt;&gt;""),1,0)</f>
        <v>0</v>
      </c>
      <c r="D4932" s="0" t="str">
        <f aca="false">IF(C4932=1,MOD(ABS(SIN(ROW()*12.9898+'הדבקת לידים'!$F$2*78.233+IFERROR(--RIGHT(A4932,6),LEN(A4932))*0.0137+IFERROR(--RIGHT(B4932,6),LEN(B4932))*0.0071))*43758.5453,1),"")</f>
        <v/>
      </c>
      <c r="E4932" s="0" t="str">
        <f aca="false">IF(C4932=1,INT(MOD(ABS(SIN(D4932*7919.123+ROW()*0.618+'הדבקת לידים'!$F$2*1.3))*43758.5453,1)*1000000)*10000+ROW(),"")</f>
        <v/>
      </c>
      <c r="F4932" s="0" t="str">
        <f aca="false">IF(E4932="","",RANK(E4932,$E$2:$E$5001,1))</f>
        <v/>
      </c>
      <c r="G4932" s="0" t="n">
        <f aca="false">IF(A4932="",0,IF(SUMPRODUCT(--($A$2:$A$5001=A4932))&gt;1,1,0))</f>
        <v>0</v>
      </c>
      <c r="H4932" s="0" t="n">
        <f aca="false">ROW()-1</f>
        <v>4931</v>
      </c>
      <c r="I4932" s="0" t="str">
        <f aca="false">IF(OR(הגדרות!$E$6=0,H4932&gt;הגדרות!$E$5),"",IF(H4932-1&lt;הגדרות!$E$8*(הגדרות!$E$7+1),INT((H4932-1)/(הגדרות!$E$7+1)),הגדרות!$E$8+INT((H4932-1-הגדרות!$E$8*(הגדרות!$E$7+1))/הגדרות!$E$7)))</f>
        <v/>
      </c>
      <c r="J4932" s="0" t="str">
        <f aca="false">IF(I4932="","",IF(H4932-1&lt;הגדרות!$E$8*(הגדרות!$E$7+1),MOD(H4932-1,הגדרות!$E$7+1),MOD(H4932-1-הגדרות!$E$8*(הגדרות!$E$7+1),הגדרות!$E$7)))</f>
        <v/>
      </c>
      <c r="K4932" s="0" t="str">
        <f aca="false">IF(I4932="","",J4932*הגדרות!$E$6+I4932+1)</f>
        <v/>
      </c>
      <c r="L4932" s="0" t="str">
        <f aca="false">IF(K4932="","",MATCH(K4932,$F$2:$F$5001,0))</f>
        <v/>
      </c>
      <c r="M4932" s="0" t="str">
        <f aca="false">IF(I4932="","",INDEX(הגדרות!$A$2:$A$21,MOD(I4932+הגדרות!$E$9,הגדרות!$E$6)+1))</f>
        <v/>
      </c>
    </row>
    <row r="4933" customFormat="false" ht="15" hidden="false" customHeight="false" outlineLevel="0" collapsed="false">
      <c r="A4933" s="0" t="str">
        <f aca="false">IF('הדבקת לידים'!A4933="","",IF(ISNUMBER('הדבקת לידים'!A4933),IF(הגדרות!$E$2&gt;0,TEXT('הדבקת לידים'!A4933,REPT("0",הגדרות!$E$2)),TEXT('הדבקת לידים'!A4933,"0")),TRIM('הדבקת לידים'!A4933)))</f>
        <v/>
      </c>
      <c r="B4933" s="0" t="str">
        <f aca="false">IF('הדבקת לידים'!B4933="","",IF(ISNUMBER('הדבקת לידים'!B4933),IF(הגדרות!$E$3&gt;0,TEXT('הדבקת לידים'!B4933,REPT("0",הגדרות!$E$3)),TEXT('הדבקת לידים'!B4933,"0")),TRIM('הדבקת לידים'!B4933)))</f>
        <v/>
      </c>
      <c r="C4933" s="0" t="n">
        <f aca="false">IF(OR(A4933&lt;&gt;"",B4933&lt;&gt;""),1,0)</f>
        <v>0</v>
      </c>
      <c r="D4933" s="0" t="str">
        <f aca="false">IF(C4933=1,MOD(ABS(SIN(ROW()*12.9898+'הדבקת לידים'!$F$2*78.233+IFERROR(--RIGHT(A4933,6),LEN(A4933))*0.0137+IFERROR(--RIGHT(B4933,6),LEN(B4933))*0.0071))*43758.5453,1),"")</f>
        <v/>
      </c>
      <c r="E4933" s="0" t="str">
        <f aca="false">IF(C4933=1,INT(MOD(ABS(SIN(D4933*7919.123+ROW()*0.618+'הדבקת לידים'!$F$2*1.3))*43758.5453,1)*1000000)*10000+ROW(),"")</f>
        <v/>
      </c>
      <c r="F4933" s="0" t="str">
        <f aca="false">IF(E4933="","",RANK(E4933,$E$2:$E$5001,1))</f>
        <v/>
      </c>
      <c r="G4933" s="0" t="n">
        <f aca="false">IF(A4933="",0,IF(SUMPRODUCT(--($A$2:$A$5001=A4933))&gt;1,1,0))</f>
        <v>0</v>
      </c>
      <c r="H4933" s="0" t="n">
        <f aca="false">ROW()-1</f>
        <v>4932</v>
      </c>
      <c r="I4933" s="0" t="str">
        <f aca="false">IF(OR(הגדרות!$E$6=0,H4933&gt;הגדרות!$E$5),"",IF(H4933-1&lt;הגדרות!$E$8*(הגדרות!$E$7+1),INT((H4933-1)/(הגדרות!$E$7+1)),הגדרות!$E$8+INT((H4933-1-הגדרות!$E$8*(הגדרות!$E$7+1))/הגדרות!$E$7)))</f>
        <v/>
      </c>
      <c r="J4933" s="0" t="str">
        <f aca="false">IF(I4933="","",IF(H4933-1&lt;הגדרות!$E$8*(הגדרות!$E$7+1),MOD(H4933-1,הגדרות!$E$7+1),MOD(H4933-1-הגדרות!$E$8*(הגדרות!$E$7+1),הגדרות!$E$7)))</f>
        <v/>
      </c>
      <c r="K4933" s="0" t="str">
        <f aca="false">IF(I4933="","",J4933*הגדרות!$E$6+I4933+1)</f>
        <v/>
      </c>
      <c r="L4933" s="0" t="str">
        <f aca="false">IF(K4933="","",MATCH(K4933,$F$2:$F$5001,0))</f>
        <v/>
      </c>
      <c r="M4933" s="0" t="str">
        <f aca="false">IF(I4933="","",INDEX(הגדרות!$A$2:$A$21,MOD(I4933+הגדרות!$E$9,הגדרות!$E$6)+1))</f>
        <v/>
      </c>
    </row>
    <row r="4934" customFormat="false" ht="15" hidden="false" customHeight="false" outlineLevel="0" collapsed="false">
      <c r="A4934" s="0" t="str">
        <f aca="false">IF('הדבקת לידים'!A4934="","",IF(ISNUMBER('הדבקת לידים'!A4934),IF(הגדרות!$E$2&gt;0,TEXT('הדבקת לידים'!A4934,REPT("0",הגדרות!$E$2)),TEXT('הדבקת לידים'!A4934,"0")),TRIM('הדבקת לידים'!A4934)))</f>
        <v/>
      </c>
      <c r="B4934" s="0" t="str">
        <f aca="false">IF('הדבקת לידים'!B4934="","",IF(ISNUMBER('הדבקת לידים'!B4934),IF(הגדרות!$E$3&gt;0,TEXT('הדבקת לידים'!B4934,REPT("0",הגדרות!$E$3)),TEXT('הדבקת לידים'!B4934,"0")),TRIM('הדבקת לידים'!B4934)))</f>
        <v/>
      </c>
      <c r="C4934" s="0" t="n">
        <f aca="false">IF(OR(A4934&lt;&gt;"",B4934&lt;&gt;""),1,0)</f>
        <v>0</v>
      </c>
      <c r="D4934" s="0" t="str">
        <f aca="false">IF(C4934=1,MOD(ABS(SIN(ROW()*12.9898+'הדבקת לידים'!$F$2*78.233+IFERROR(--RIGHT(A4934,6),LEN(A4934))*0.0137+IFERROR(--RIGHT(B4934,6),LEN(B4934))*0.0071))*43758.5453,1),"")</f>
        <v/>
      </c>
      <c r="E4934" s="0" t="str">
        <f aca="false">IF(C4934=1,INT(MOD(ABS(SIN(D4934*7919.123+ROW()*0.618+'הדבקת לידים'!$F$2*1.3))*43758.5453,1)*1000000)*10000+ROW(),"")</f>
        <v/>
      </c>
      <c r="F4934" s="0" t="str">
        <f aca="false">IF(E4934="","",RANK(E4934,$E$2:$E$5001,1))</f>
        <v/>
      </c>
      <c r="G4934" s="0" t="n">
        <f aca="false">IF(A4934="",0,IF(SUMPRODUCT(--($A$2:$A$5001=A4934))&gt;1,1,0))</f>
        <v>0</v>
      </c>
      <c r="H4934" s="0" t="n">
        <f aca="false">ROW()-1</f>
        <v>4933</v>
      </c>
      <c r="I4934" s="0" t="str">
        <f aca="false">IF(OR(הגדרות!$E$6=0,H4934&gt;הגדרות!$E$5),"",IF(H4934-1&lt;הגדרות!$E$8*(הגדרות!$E$7+1),INT((H4934-1)/(הגדרות!$E$7+1)),הגדרות!$E$8+INT((H4934-1-הגדרות!$E$8*(הגדרות!$E$7+1))/הגדרות!$E$7)))</f>
        <v/>
      </c>
      <c r="J4934" s="0" t="str">
        <f aca="false">IF(I4934="","",IF(H4934-1&lt;הגדרות!$E$8*(הגדרות!$E$7+1),MOD(H4934-1,הגדרות!$E$7+1),MOD(H4934-1-הגדרות!$E$8*(הגדרות!$E$7+1),הגדרות!$E$7)))</f>
        <v/>
      </c>
      <c r="K4934" s="0" t="str">
        <f aca="false">IF(I4934="","",J4934*הגדרות!$E$6+I4934+1)</f>
        <v/>
      </c>
      <c r="L4934" s="0" t="str">
        <f aca="false">IF(K4934="","",MATCH(K4934,$F$2:$F$5001,0))</f>
        <v/>
      </c>
      <c r="M4934" s="0" t="str">
        <f aca="false">IF(I4934="","",INDEX(הגדרות!$A$2:$A$21,MOD(I4934+הגדרות!$E$9,הגדרות!$E$6)+1))</f>
        <v/>
      </c>
    </row>
    <row r="4935" customFormat="false" ht="15" hidden="false" customHeight="false" outlineLevel="0" collapsed="false">
      <c r="A4935" s="0" t="str">
        <f aca="false">IF('הדבקת לידים'!A4935="","",IF(ISNUMBER('הדבקת לידים'!A4935),IF(הגדרות!$E$2&gt;0,TEXT('הדבקת לידים'!A4935,REPT("0",הגדרות!$E$2)),TEXT('הדבקת לידים'!A4935,"0")),TRIM('הדבקת לידים'!A4935)))</f>
        <v/>
      </c>
      <c r="B4935" s="0" t="str">
        <f aca="false">IF('הדבקת לידים'!B4935="","",IF(ISNUMBER('הדבקת לידים'!B4935),IF(הגדרות!$E$3&gt;0,TEXT('הדבקת לידים'!B4935,REPT("0",הגדרות!$E$3)),TEXT('הדבקת לידים'!B4935,"0")),TRIM('הדבקת לידים'!B4935)))</f>
        <v/>
      </c>
      <c r="C4935" s="0" t="n">
        <f aca="false">IF(OR(A4935&lt;&gt;"",B4935&lt;&gt;""),1,0)</f>
        <v>0</v>
      </c>
      <c r="D4935" s="0" t="str">
        <f aca="false">IF(C4935=1,MOD(ABS(SIN(ROW()*12.9898+'הדבקת לידים'!$F$2*78.233+IFERROR(--RIGHT(A4935,6),LEN(A4935))*0.0137+IFERROR(--RIGHT(B4935,6),LEN(B4935))*0.0071))*43758.5453,1),"")</f>
        <v/>
      </c>
      <c r="E4935" s="0" t="str">
        <f aca="false">IF(C4935=1,INT(MOD(ABS(SIN(D4935*7919.123+ROW()*0.618+'הדבקת לידים'!$F$2*1.3))*43758.5453,1)*1000000)*10000+ROW(),"")</f>
        <v/>
      </c>
      <c r="F4935" s="0" t="str">
        <f aca="false">IF(E4935="","",RANK(E4935,$E$2:$E$5001,1))</f>
        <v/>
      </c>
      <c r="G4935" s="0" t="n">
        <f aca="false">IF(A4935="",0,IF(SUMPRODUCT(--($A$2:$A$5001=A4935))&gt;1,1,0))</f>
        <v>0</v>
      </c>
      <c r="H4935" s="0" t="n">
        <f aca="false">ROW()-1</f>
        <v>4934</v>
      </c>
      <c r="I4935" s="0" t="str">
        <f aca="false">IF(OR(הגדרות!$E$6=0,H4935&gt;הגדרות!$E$5),"",IF(H4935-1&lt;הגדרות!$E$8*(הגדרות!$E$7+1),INT((H4935-1)/(הגדרות!$E$7+1)),הגדרות!$E$8+INT((H4935-1-הגדרות!$E$8*(הגדרות!$E$7+1))/הגדרות!$E$7)))</f>
        <v/>
      </c>
      <c r="J4935" s="0" t="str">
        <f aca="false">IF(I4935="","",IF(H4935-1&lt;הגדרות!$E$8*(הגדרות!$E$7+1),MOD(H4935-1,הגדרות!$E$7+1),MOD(H4935-1-הגדרות!$E$8*(הגדרות!$E$7+1),הגדרות!$E$7)))</f>
        <v/>
      </c>
      <c r="K4935" s="0" t="str">
        <f aca="false">IF(I4935="","",J4935*הגדרות!$E$6+I4935+1)</f>
        <v/>
      </c>
      <c r="L4935" s="0" t="str">
        <f aca="false">IF(K4935="","",MATCH(K4935,$F$2:$F$5001,0))</f>
        <v/>
      </c>
      <c r="M4935" s="0" t="str">
        <f aca="false">IF(I4935="","",INDEX(הגדרות!$A$2:$A$21,MOD(I4935+הגדרות!$E$9,הגדרות!$E$6)+1))</f>
        <v/>
      </c>
    </row>
    <row r="4936" customFormat="false" ht="15" hidden="false" customHeight="false" outlineLevel="0" collapsed="false">
      <c r="A4936" s="0" t="str">
        <f aca="false">IF('הדבקת לידים'!A4936="","",IF(ISNUMBER('הדבקת לידים'!A4936),IF(הגדרות!$E$2&gt;0,TEXT('הדבקת לידים'!A4936,REPT("0",הגדרות!$E$2)),TEXT('הדבקת לידים'!A4936,"0")),TRIM('הדבקת לידים'!A4936)))</f>
        <v/>
      </c>
      <c r="B4936" s="0" t="str">
        <f aca="false">IF('הדבקת לידים'!B4936="","",IF(ISNUMBER('הדבקת לידים'!B4936),IF(הגדרות!$E$3&gt;0,TEXT('הדבקת לידים'!B4936,REPT("0",הגדרות!$E$3)),TEXT('הדבקת לידים'!B4936,"0")),TRIM('הדבקת לידים'!B4936)))</f>
        <v/>
      </c>
      <c r="C4936" s="0" t="n">
        <f aca="false">IF(OR(A4936&lt;&gt;"",B4936&lt;&gt;""),1,0)</f>
        <v>0</v>
      </c>
      <c r="D4936" s="0" t="str">
        <f aca="false">IF(C4936=1,MOD(ABS(SIN(ROW()*12.9898+'הדבקת לידים'!$F$2*78.233+IFERROR(--RIGHT(A4936,6),LEN(A4936))*0.0137+IFERROR(--RIGHT(B4936,6),LEN(B4936))*0.0071))*43758.5453,1),"")</f>
        <v/>
      </c>
      <c r="E4936" s="0" t="str">
        <f aca="false">IF(C4936=1,INT(MOD(ABS(SIN(D4936*7919.123+ROW()*0.618+'הדבקת לידים'!$F$2*1.3))*43758.5453,1)*1000000)*10000+ROW(),"")</f>
        <v/>
      </c>
      <c r="F4936" s="0" t="str">
        <f aca="false">IF(E4936="","",RANK(E4936,$E$2:$E$5001,1))</f>
        <v/>
      </c>
      <c r="G4936" s="0" t="n">
        <f aca="false">IF(A4936="",0,IF(SUMPRODUCT(--($A$2:$A$5001=A4936))&gt;1,1,0))</f>
        <v>0</v>
      </c>
      <c r="H4936" s="0" t="n">
        <f aca="false">ROW()-1</f>
        <v>4935</v>
      </c>
      <c r="I4936" s="0" t="str">
        <f aca="false">IF(OR(הגדרות!$E$6=0,H4936&gt;הגדרות!$E$5),"",IF(H4936-1&lt;הגדרות!$E$8*(הגדרות!$E$7+1),INT((H4936-1)/(הגדרות!$E$7+1)),הגדרות!$E$8+INT((H4936-1-הגדרות!$E$8*(הגדרות!$E$7+1))/הגדרות!$E$7)))</f>
        <v/>
      </c>
      <c r="J4936" s="0" t="str">
        <f aca="false">IF(I4936="","",IF(H4936-1&lt;הגדרות!$E$8*(הגדרות!$E$7+1),MOD(H4936-1,הגדרות!$E$7+1),MOD(H4936-1-הגדרות!$E$8*(הגדרות!$E$7+1),הגדרות!$E$7)))</f>
        <v/>
      </c>
      <c r="K4936" s="0" t="str">
        <f aca="false">IF(I4936="","",J4936*הגדרות!$E$6+I4936+1)</f>
        <v/>
      </c>
      <c r="L4936" s="0" t="str">
        <f aca="false">IF(K4936="","",MATCH(K4936,$F$2:$F$5001,0))</f>
        <v/>
      </c>
      <c r="M4936" s="0" t="str">
        <f aca="false">IF(I4936="","",INDEX(הגדרות!$A$2:$A$21,MOD(I4936+הגדרות!$E$9,הגדרות!$E$6)+1))</f>
        <v/>
      </c>
    </row>
    <row r="4937" customFormat="false" ht="15" hidden="false" customHeight="false" outlineLevel="0" collapsed="false">
      <c r="A4937" s="0" t="str">
        <f aca="false">IF('הדבקת לידים'!A4937="","",IF(ISNUMBER('הדבקת לידים'!A4937),IF(הגדרות!$E$2&gt;0,TEXT('הדבקת לידים'!A4937,REPT("0",הגדרות!$E$2)),TEXT('הדבקת לידים'!A4937,"0")),TRIM('הדבקת לידים'!A4937)))</f>
        <v/>
      </c>
      <c r="B4937" s="0" t="str">
        <f aca="false">IF('הדבקת לידים'!B4937="","",IF(ISNUMBER('הדבקת לידים'!B4937),IF(הגדרות!$E$3&gt;0,TEXT('הדבקת לידים'!B4937,REPT("0",הגדרות!$E$3)),TEXT('הדבקת לידים'!B4937,"0")),TRIM('הדבקת לידים'!B4937)))</f>
        <v/>
      </c>
      <c r="C4937" s="0" t="n">
        <f aca="false">IF(OR(A4937&lt;&gt;"",B4937&lt;&gt;""),1,0)</f>
        <v>0</v>
      </c>
      <c r="D4937" s="0" t="str">
        <f aca="false">IF(C4937=1,MOD(ABS(SIN(ROW()*12.9898+'הדבקת לידים'!$F$2*78.233+IFERROR(--RIGHT(A4937,6),LEN(A4937))*0.0137+IFERROR(--RIGHT(B4937,6),LEN(B4937))*0.0071))*43758.5453,1),"")</f>
        <v/>
      </c>
      <c r="E4937" s="0" t="str">
        <f aca="false">IF(C4937=1,INT(MOD(ABS(SIN(D4937*7919.123+ROW()*0.618+'הדבקת לידים'!$F$2*1.3))*43758.5453,1)*1000000)*10000+ROW(),"")</f>
        <v/>
      </c>
      <c r="F4937" s="0" t="str">
        <f aca="false">IF(E4937="","",RANK(E4937,$E$2:$E$5001,1))</f>
        <v/>
      </c>
      <c r="G4937" s="0" t="n">
        <f aca="false">IF(A4937="",0,IF(SUMPRODUCT(--($A$2:$A$5001=A4937))&gt;1,1,0))</f>
        <v>0</v>
      </c>
      <c r="H4937" s="0" t="n">
        <f aca="false">ROW()-1</f>
        <v>4936</v>
      </c>
      <c r="I4937" s="0" t="str">
        <f aca="false">IF(OR(הגדרות!$E$6=0,H4937&gt;הגדרות!$E$5),"",IF(H4937-1&lt;הגדרות!$E$8*(הגדרות!$E$7+1),INT((H4937-1)/(הגדרות!$E$7+1)),הגדרות!$E$8+INT((H4937-1-הגדרות!$E$8*(הגדרות!$E$7+1))/הגדרות!$E$7)))</f>
        <v/>
      </c>
      <c r="J4937" s="0" t="str">
        <f aca="false">IF(I4937="","",IF(H4937-1&lt;הגדרות!$E$8*(הגדרות!$E$7+1),MOD(H4937-1,הגדרות!$E$7+1),MOD(H4937-1-הגדרות!$E$8*(הגדרות!$E$7+1),הגדרות!$E$7)))</f>
        <v/>
      </c>
      <c r="K4937" s="0" t="str">
        <f aca="false">IF(I4937="","",J4937*הגדרות!$E$6+I4937+1)</f>
        <v/>
      </c>
      <c r="L4937" s="0" t="str">
        <f aca="false">IF(K4937="","",MATCH(K4937,$F$2:$F$5001,0))</f>
        <v/>
      </c>
      <c r="M4937" s="0" t="str">
        <f aca="false">IF(I4937="","",INDEX(הגדרות!$A$2:$A$21,MOD(I4937+הגדרות!$E$9,הגדרות!$E$6)+1))</f>
        <v/>
      </c>
    </row>
    <row r="4938" customFormat="false" ht="15" hidden="false" customHeight="false" outlineLevel="0" collapsed="false">
      <c r="A4938" s="0" t="str">
        <f aca="false">IF('הדבקת לידים'!A4938="","",IF(ISNUMBER('הדבקת לידים'!A4938),IF(הגדרות!$E$2&gt;0,TEXT('הדבקת לידים'!A4938,REPT("0",הגדרות!$E$2)),TEXT('הדבקת לידים'!A4938,"0")),TRIM('הדבקת לידים'!A4938)))</f>
        <v/>
      </c>
      <c r="B4938" s="0" t="str">
        <f aca="false">IF('הדבקת לידים'!B4938="","",IF(ISNUMBER('הדבקת לידים'!B4938),IF(הגדרות!$E$3&gt;0,TEXT('הדבקת לידים'!B4938,REPT("0",הגדרות!$E$3)),TEXT('הדבקת לידים'!B4938,"0")),TRIM('הדבקת לידים'!B4938)))</f>
        <v/>
      </c>
      <c r="C4938" s="0" t="n">
        <f aca="false">IF(OR(A4938&lt;&gt;"",B4938&lt;&gt;""),1,0)</f>
        <v>0</v>
      </c>
      <c r="D4938" s="0" t="str">
        <f aca="false">IF(C4938=1,MOD(ABS(SIN(ROW()*12.9898+'הדבקת לידים'!$F$2*78.233+IFERROR(--RIGHT(A4938,6),LEN(A4938))*0.0137+IFERROR(--RIGHT(B4938,6),LEN(B4938))*0.0071))*43758.5453,1),"")</f>
        <v/>
      </c>
      <c r="E4938" s="0" t="str">
        <f aca="false">IF(C4938=1,INT(MOD(ABS(SIN(D4938*7919.123+ROW()*0.618+'הדבקת לידים'!$F$2*1.3))*43758.5453,1)*1000000)*10000+ROW(),"")</f>
        <v/>
      </c>
      <c r="F4938" s="0" t="str">
        <f aca="false">IF(E4938="","",RANK(E4938,$E$2:$E$5001,1))</f>
        <v/>
      </c>
      <c r="G4938" s="0" t="n">
        <f aca="false">IF(A4938="",0,IF(SUMPRODUCT(--($A$2:$A$5001=A4938))&gt;1,1,0))</f>
        <v>0</v>
      </c>
      <c r="H4938" s="0" t="n">
        <f aca="false">ROW()-1</f>
        <v>4937</v>
      </c>
      <c r="I4938" s="0" t="str">
        <f aca="false">IF(OR(הגדרות!$E$6=0,H4938&gt;הגדרות!$E$5),"",IF(H4938-1&lt;הגדרות!$E$8*(הגדרות!$E$7+1),INT((H4938-1)/(הגדרות!$E$7+1)),הגדרות!$E$8+INT((H4938-1-הגדרות!$E$8*(הגדרות!$E$7+1))/הגדרות!$E$7)))</f>
        <v/>
      </c>
      <c r="J4938" s="0" t="str">
        <f aca="false">IF(I4938="","",IF(H4938-1&lt;הגדרות!$E$8*(הגדרות!$E$7+1),MOD(H4938-1,הגדרות!$E$7+1),MOD(H4938-1-הגדרות!$E$8*(הגדרות!$E$7+1),הגדרות!$E$7)))</f>
        <v/>
      </c>
      <c r="K4938" s="0" t="str">
        <f aca="false">IF(I4938="","",J4938*הגדרות!$E$6+I4938+1)</f>
        <v/>
      </c>
      <c r="L4938" s="0" t="str">
        <f aca="false">IF(K4938="","",MATCH(K4938,$F$2:$F$5001,0))</f>
        <v/>
      </c>
      <c r="M4938" s="0" t="str">
        <f aca="false">IF(I4938="","",INDEX(הגדרות!$A$2:$A$21,MOD(I4938+הגדרות!$E$9,הגדרות!$E$6)+1))</f>
        <v/>
      </c>
    </row>
    <row r="4939" customFormat="false" ht="15" hidden="false" customHeight="false" outlineLevel="0" collapsed="false">
      <c r="A4939" s="0" t="str">
        <f aca="false">IF('הדבקת לידים'!A4939="","",IF(ISNUMBER('הדבקת לידים'!A4939),IF(הגדרות!$E$2&gt;0,TEXT('הדבקת לידים'!A4939,REPT("0",הגדרות!$E$2)),TEXT('הדבקת לידים'!A4939,"0")),TRIM('הדבקת לידים'!A4939)))</f>
        <v/>
      </c>
      <c r="B4939" s="0" t="str">
        <f aca="false">IF('הדבקת לידים'!B4939="","",IF(ISNUMBER('הדבקת לידים'!B4939),IF(הגדרות!$E$3&gt;0,TEXT('הדבקת לידים'!B4939,REPT("0",הגדרות!$E$3)),TEXT('הדבקת לידים'!B4939,"0")),TRIM('הדבקת לידים'!B4939)))</f>
        <v/>
      </c>
      <c r="C4939" s="0" t="n">
        <f aca="false">IF(OR(A4939&lt;&gt;"",B4939&lt;&gt;""),1,0)</f>
        <v>0</v>
      </c>
      <c r="D4939" s="0" t="str">
        <f aca="false">IF(C4939=1,MOD(ABS(SIN(ROW()*12.9898+'הדבקת לידים'!$F$2*78.233+IFERROR(--RIGHT(A4939,6),LEN(A4939))*0.0137+IFERROR(--RIGHT(B4939,6),LEN(B4939))*0.0071))*43758.5453,1),"")</f>
        <v/>
      </c>
      <c r="E4939" s="0" t="str">
        <f aca="false">IF(C4939=1,INT(MOD(ABS(SIN(D4939*7919.123+ROW()*0.618+'הדבקת לידים'!$F$2*1.3))*43758.5453,1)*1000000)*10000+ROW(),"")</f>
        <v/>
      </c>
      <c r="F4939" s="0" t="str">
        <f aca="false">IF(E4939="","",RANK(E4939,$E$2:$E$5001,1))</f>
        <v/>
      </c>
      <c r="G4939" s="0" t="n">
        <f aca="false">IF(A4939="",0,IF(SUMPRODUCT(--($A$2:$A$5001=A4939))&gt;1,1,0))</f>
        <v>0</v>
      </c>
      <c r="H4939" s="0" t="n">
        <f aca="false">ROW()-1</f>
        <v>4938</v>
      </c>
      <c r="I4939" s="0" t="str">
        <f aca="false">IF(OR(הגדרות!$E$6=0,H4939&gt;הגדרות!$E$5),"",IF(H4939-1&lt;הגדרות!$E$8*(הגדרות!$E$7+1),INT((H4939-1)/(הגדרות!$E$7+1)),הגדרות!$E$8+INT((H4939-1-הגדרות!$E$8*(הגדרות!$E$7+1))/הגדרות!$E$7)))</f>
        <v/>
      </c>
      <c r="J4939" s="0" t="str">
        <f aca="false">IF(I4939="","",IF(H4939-1&lt;הגדרות!$E$8*(הגדרות!$E$7+1),MOD(H4939-1,הגדרות!$E$7+1),MOD(H4939-1-הגדרות!$E$8*(הגדרות!$E$7+1),הגדרות!$E$7)))</f>
        <v/>
      </c>
      <c r="K4939" s="0" t="str">
        <f aca="false">IF(I4939="","",J4939*הגדרות!$E$6+I4939+1)</f>
        <v/>
      </c>
      <c r="L4939" s="0" t="str">
        <f aca="false">IF(K4939="","",MATCH(K4939,$F$2:$F$5001,0))</f>
        <v/>
      </c>
      <c r="M4939" s="0" t="str">
        <f aca="false">IF(I4939="","",INDEX(הגדרות!$A$2:$A$21,MOD(I4939+הגדרות!$E$9,הגדרות!$E$6)+1))</f>
        <v/>
      </c>
    </row>
    <row r="4940" customFormat="false" ht="15" hidden="false" customHeight="false" outlineLevel="0" collapsed="false">
      <c r="A4940" s="0" t="str">
        <f aca="false">IF('הדבקת לידים'!A4940="","",IF(ISNUMBER('הדבקת לידים'!A4940),IF(הגדרות!$E$2&gt;0,TEXT('הדבקת לידים'!A4940,REPT("0",הגדרות!$E$2)),TEXT('הדבקת לידים'!A4940,"0")),TRIM('הדבקת לידים'!A4940)))</f>
        <v/>
      </c>
      <c r="B4940" s="0" t="str">
        <f aca="false">IF('הדבקת לידים'!B4940="","",IF(ISNUMBER('הדבקת לידים'!B4940),IF(הגדרות!$E$3&gt;0,TEXT('הדבקת לידים'!B4940,REPT("0",הגדרות!$E$3)),TEXT('הדבקת לידים'!B4940,"0")),TRIM('הדבקת לידים'!B4940)))</f>
        <v/>
      </c>
      <c r="C4940" s="0" t="n">
        <f aca="false">IF(OR(A4940&lt;&gt;"",B4940&lt;&gt;""),1,0)</f>
        <v>0</v>
      </c>
      <c r="D4940" s="0" t="str">
        <f aca="false">IF(C4940=1,MOD(ABS(SIN(ROW()*12.9898+'הדבקת לידים'!$F$2*78.233+IFERROR(--RIGHT(A4940,6),LEN(A4940))*0.0137+IFERROR(--RIGHT(B4940,6),LEN(B4940))*0.0071))*43758.5453,1),"")</f>
        <v/>
      </c>
      <c r="E4940" s="0" t="str">
        <f aca="false">IF(C4940=1,INT(MOD(ABS(SIN(D4940*7919.123+ROW()*0.618+'הדבקת לידים'!$F$2*1.3))*43758.5453,1)*1000000)*10000+ROW(),"")</f>
        <v/>
      </c>
      <c r="F4940" s="0" t="str">
        <f aca="false">IF(E4940="","",RANK(E4940,$E$2:$E$5001,1))</f>
        <v/>
      </c>
      <c r="G4940" s="0" t="n">
        <f aca="false">IF(A4940="",0,IF(SUMPRODUCT(--($A$2:$A$5001=A4940))&gt;1,1,0))</f>
        <v>0</v>
      </c>
      <c r="H4940" s="0" t="n">
        <f aca="false">ROW()-1</f>
        <v>4939</v>
      </c>
      <c r="I4940" s="0" t="str">
        <f aca="false">IF(OR(הגדרות!$E$6=0,H4940&gt;הגדרות!$E$5),"",IF(H4940-1&lt;הגדרות!$E$8*(הגדרות!$E$7+1),INT((H4940-1)/(הגדרות!$E$7+1)),הגדרות!$E$8+INT((H4940-1-הגדרות!$E$8*(הגדרות!$E$7+1))/הגדרות!$E$7)))</f>
        <v/>
      </c>
      <c r="J4940" s="0" t="str">
        <f aca="false">IF(I4940="","",IF(H4940-1&lt;הגדרות!$E$8*(הגדרות!$E$7+1),MOD(H4940-1,הגדרות!$E$7+1),MOD(H4940-1-הגדרות!$E$8*(הגדרות!$E$7+1),הגדרות!$E$7)))</f>
        <v/>
      </c>
      <c r="K4940" s="0" t="str">
        <f aca="false">IF(I4940="","",J4940*הגדרות!$E$6+I4940+1)</f>
        <v/>
      </c>
      <c r="L4940" s="0" t="str">
        <f aca="false">IF(K4940="","",MATCH(K4940,$F$2:$F$5001,0))</f>
        <v/>
      </c>
      <c r="M4940" s="0" t="str">
        <f aca="false">IF(I4940="","",INDEX(הגדרות!$A$2:$A$21,MOD(I4940+הגדרות!$E$9,הגדרות!$E$6)+1))</f>
        <v/>
      </c>
    </row>
    <row r="4941" customFormat="false" ht="15" hidden="false" customHeight="false" outlineLevel="0" collapsed="false">
      <c r="A4941" s="0" t="str">
        <f aca="false">IF('הדבקת לידים'!A4941="","",IF(ISNUMBER('הדבקת לידים'!A4941),IF(הגדרות!$E$2&gt;0,TEXT('הדבקת לידים'!A4941,REPT("0",הגדרות!$E$2)),TEXT('הדבקת לידים'!A4941,"0")),TRIM('הדבקת לידים'!A4941)))</f>
        <v/>
      </c>
      <c r="B4941" s="0" t="str">
        <f aca="false">IF('הדבקת לידים'!B4941="","",IF(ISNUMBER('הדבקת לידים'!B4941),IF(הגדרות!$E$3&gt;0,TEXT('הדבקת לידים'!B4941,REPT("0",הגדרות!$E$3)),TEXT('הדבקת לידים'!B4941,"0")),TRIM('הדבקת לידים'!B4941)))</f>
        <v/>
      </c>
      <c r="C4941" s="0" t="n">
        <f aca="false">IF(OR(A4941&lt;&gt;"",B4941&lt;&gt;""),1,0)</f>
        <v>0</v>
      </c>
      <c r="D4941" s="0" t="str">
        <f aca="false">IF(C4941=1,MOD(ABS(SIN(ROW()*12.9898+'הדבקת לידים'!$F$2*78.233+IFERROR(--RIGHT(A4941,6),LEN(A4941))*0.0137+IFERROR(--RIGHT(B4941,6),LEN(B4941))*0.0071))*43758.5453,1),"")</f>
        <v/>
      </c>
      <c r="E4941" s="0" t="str">
        <f aca="false">IF(C4941=1,INT(MOD(ABS(SIN(D4941*7919.123+ROW()*0.618+'הדבקת לידים'!$F$2*1.3))*43758.5453,1)*1000000)*10000+ROW(),"")</f>
        <v/>
      </c>
      <c r="F4941" s="0" t="str">
        <f aca="false">IF(E4941="","",RANK(E4941,$E$2:$E$5001,1))</f>
        <v/>
      </c>
      <c r="G4941" s="0" t="n">
        <f aca="false">IF(A4941="",0,IF(SUMPRODUCT(--($A$2:$A$5001=A4941))&gt;1,1,0))</f>
        <v>0</v>
      </c>
      <c r="H4941" s="0" t="n">
        <f aca="false">ROW()-1</f>
        <v>4940</v>
      </c>
      <c r="I4941" s="0" t="str">
        <f aca="false">IF(OR(הגדרות!$E$6=0,H4941&gt;הגדרות!$E$5),"",IF(H4941-1&lt;הגדרות!$E$8*(הגדרות!$E$7+1),INT((H4941-1)/(הגדרות!$E$7+1)),הגדרות!$E$8+INT((H4941-1-הגדרות!$E$8*(הגדרות!$E$7+1))/הגדרות!$E$7)))</f>
        <v/>
      </c>
      <c r="J4941" s="0" t="str">
        <f aca="false">IF(I4941="","",IF(H4941-1&lt;הגדרות!$E$8*(הגדרות!$E$7+1),MOD(H4941-1,הגדרות!$E$7+1),MOD(H4941-1-הגדרות!$E$8*(הגדרות!$E$7+1),הגדרות!$E$7)))</f>
        <v/>
      </c>
      <c r="K4941" s="0" t="str">
        <f aca="false">IF(I4941="","",J4941*הגדרות!$E$6+I4941+1)</f>
        <v/>
      </c>
      <c r="L4941" s="0" t="str">
        <f aca="false">IF(K4941="","",MATCH(K4941,$F$2:$F$5001,0))</f>
        <v/>
      </c>
      <c r="M4941" s="0" t="str">
        <f aca="false">IF(I4941="","",INDEX(הגדרות!$A$2:$A$21,MOD(I4941+הגדרות!$E$9,הגדרות!$E$6)+1))</f>
        <v/>
      </c>
    </row>
    <row r="4942" customFormat="false" ht="15" hidden="false" customHeight="false" outlineLevel="0" collapsed="false">
      <c r="A4942" s="0" t="str">
        <f aca="false">IF('הדבקת לידים'!A4942="","",IF(ISNUMBER('הדבקת לידים'!A4942),IF(הגדרות!$E$2&gt;0,TEXT('הדבקת לידים'!A4942,REPT("0",הגדרות!$E$2)),TEXT('הדבקת לידים'!A4942,"0")),TRIM('הדבקת לידים'!A4942)))</f>
        <v/>
      </c>
      <c r="B4942" s="0" t="str">
        <f aca="false">IF('הדבקת לידים'!B4942="","",IF(ISNUMBER('הדבקת לידים'!B4942),IF(הגדרות!$E$3&gt;0,TEXT('הדבקת לידים'!B4942,REPT("0",הגדרות!$E$3)),TEXT('הדבקת לידים'!B4942,"0")),TRIM('הדבקת לידים'!B4942)))</f>
        <v/>
      </c>
      <c r="C4942" s="0" t="n">
        <f aca="false">IF(OR(A4942&lt;&gt;"",B4942&lt;&gt;""),1,0)</f>
        <v>0</v>
      </c>
      <c r="D4942" s="0" t="str">
        <f aca="false">IF(C4942=1,MOD(ABS(SIN(ROW()*12.9898+'הדבקת לידים'!$F$2*78.233+IFERROR(--RIGHT(A4942,6),LEN(A4942))*0.0137+IFERROR(--RIGHT(B4942,6),LEN(B4942))*0.0071))*43758.5453,1),"")</f>
        <v/>
      </c>
      <c r="E4942" s="0" t="str">
        <f aca="false">IF(C4942=1,INT(MOD(ABS(SIN(D4942*7919.123+ROW()*0.618+'הדבקת לידים'!$F$2*1.3))*43758.5453,1)*1000000)*10000+ROW(),"")</f>
        <v/>
      </c>
      <c r="F4942" s="0" t="str">
        <f aca="false">IF(E4942="","",RANK(E4942,$E$2:$E$5001,1))</f>
        <v/>
      </c>
      <c r="G4942" s="0" t="n">
        <f aca="false">IF(A4942="",0,IF(SUMPRODUCT(--($A$2:$A$5001=A4942))&gt;1,1,0))</f>
        <v>0</v>
      </c>
      <c r="H4942" s="0" t="n">
        <f aca="false">ROW()-1</f>
        <v>4941</v>
      </c>
      <c r="I4942" s="0" t="str">
        <f aca="false">IF(OR(הגדרות!$E$6=0,H4942&gt;הגדרות!$E$5),"",IF(H4942-1&lt;הגדרות!$E$8*(הגדרות!$E$7+1),INT((H4942-1)/(הגדרות!$E$7+1)),הגדרות!$E$8+INT((H4942-1-הגדרות!$E$8*(הגדרות!$E$7+1))/הגדרות!$E$7)))</f>
        <v/>
      </c>
      <c r="J4942" s="0" t="str">
        <f aca="false">IF(I4942="","",IF(H4942-1&lt;הגדרות!$E$8*(הגדרות!$E$7+1),MOD(H4942-1,הגדרות!$E$7+1),MOD(H4942-1-הגדרות!$E$8*(הגדרות!$E$7+1),הגדרות!$E$7)))</f>
        <v/>
      </c>
      <c r="K4942" s="0" t="str">
        <f aca="false">IF(I4942="","",J4942*הגדרות!$E$6+I4942+1)</f>
        <v/>
      </c>
      <c r="L4942" s="0" t="str">
        <f aca="false">IF(K4942="","",MATCH(K4942,$F$2:$F$5001,0))</f>
        <v/>
      </c>
      <c r="M4942" s="0" t="str">
        <f aca="false">IF(I4942="","",INDEX(הגדרות!$A$2:$A$21,MOD(I4942+הגדרות!$E$9,הגדרות!$E$6)+1))</f>
        <v/>
      </c>
    </row>
    <row r="4943" customFormat="false" ht="15" hidden="false" customHeight="false" outlineLevel="0" collapsed="false">
      <c r="A4943" s="0" t="str">
        <f aca="false">IF('הדבקת לידים'!A4943="","",IF(ISNUMBER('הדבקת לידים'!A4943),IF(הגדרות!$E$2&gt;0,TEXT('הדבקת לידים'!A4943,REPT("0",הגדרות!$E$2)),TEXT('הדבקת לידים'!A4943,"0")),TRIM('הדבקת לידים'!A4943)))</f>
        <v/>
      </c>
      <c r="B4943" s="0" t="str">
        <f aca="false">IF('הדבקת לידים'!B4943="","",IF(ISNUMBER('הדבקת לידים'!B4943),IF(הגדרות!$E$3&gt;0,TEXT('הדבקת לידים'!B4943,REPT("0",הגדרות!$E$3)),TEXT('הדבקת לידים'!B4943,"0")),TRIM('הדבקת לידים'!B4943)))</f>
        <v/>
      </c>
      <c r="C4943" s="0" t="n">
        <f aca="false">IF(OR(A4943&lt;&gt;"",B4943&lt;&gt;""),1,0)</f>
        <v>0</v>
      </c>
      <c r="D4943" s="0" t="str">
        <f aca="false">IF(C4943=1,MOD(ABS(SIN(ROW()*12.9898+'הדבקת לידים'!$F$2*78.233+IFERROR(--RIGHT(A4943,6),LEN(A4943))*0.0137+IFERROR(--RIGHT(B4943,6),LEN(B4943))*0.0071))*43758.5453,1),"")</f>
        <v/>
      </c>
      <c r="E4943" s="0" t="str">
        <f aca="false">IF(C4943=1,INT(MOD(ABS(SIN(D4943*7919.123+ROW()*0.618+'הדבקת לידים'!$F$2*1.3))*43758.5453,1)*1000000)*10000+ROW(),"")</f>
        <v/>
      </c>
      <c r="F4943" s="0" t="str">
        <f aca="false">IF(E4943="","",RANK(E4943,$E$2:$E$5001,1))</f>
        <v/>
      </c>
      <c r="G4943" s="0" t="n">
        <f aca="false">IF(A4943="",0,IF(SUMPRODUCT(--($A$2:$A$5001=A4943))&gt;1,1,0))</f>
        <v>0</v>
      </c>
      <c r="H4943" s="0" t="n">
        <f aca="false">ROW()-1</f>
        <v>4942</v>
      </c>
      <c r="I4943" s="0" t="str">
        <f aca="false">IF(OR(הגדרות!$E$6=0,H4943&gt;הגדרות!$E$5),"",IF(H4943-1&lt;הגדרות!$E$8*(הגדרות!$E$7+1),INT((H4943-1)/(הגדרות!$E$7+1)),הגדרות!$E$8+INT((H4943-1-הגדרות!$E$8*(הגדרות!$E$7+1))/הגדרות!$E$7)))</f>
        <v/>
      </c>
      <c r="J4943" s="0" t="str">
        <f aca="false">IF(I4943="","",IF(H4943-1&lt;הגדרות!$E$8*(הגדרות!$E$7+1),MOD(H4943-1,הגדרות!$E$7+1),MOD(H4943-1-הגדרות!$E$8*(הגדרות!$E$7+1),הגדרות!$E$7)))</f>
        <v/>
      </c>
      <c r="K4943" s="0" t="str">
        <f aca="false">IF(I4943="","",J4943*הגדרות!$E$6+I4943+1)</f>
        <v/>
      </c>
      <c r="L4943" s="0" t="str">
        <f aca="false">IF(K4943="","",MATCH(K4943,$F$2:$F$5001,0))</f>
        <v/>
      </c>
      <c r="M4943" s="0" t="str">
        <f aca="false">IF(I4943="","",INDEX(הגדרות!$A$2:$A$21,MOD(I4943+הגדרות!$E$9,הגדרות!$E$6)+1))</f>
        <v/>
      </c>
    </row>
    <row r="4944" customFormat="false" ht="15" hidden="false" customHeight="false" outlineLevel="0" collapsed="false">
      <c r="A4944" s="0" t="str">
        <f aca="false">IF('הדבקת לידים'!A4944="","",IF(ISNUMBER('הדבקת לידים'!A4944),IF(הגדרות!$E$2&gt;0,TEXT('הדבקת לידים'!A4944,REPT("0",הגדרות!$E$2)),TEXT('הדבקת לידים'!A4944,"0")),TRIM('הדבקת לידים'!A4944)))</f>
        <v/>
      </c>
      <c r="B4944" s="0" t="str">
        <f aca="false">IF('הדבקת לידים'!B4944="","",IF(ISNUMBER('הדבקת לידים'!B4944),IF(הגדרות!$E$3&gt;0,TEXT('הדבקת לידים'!B4944,REPT("0",הגדרות!$E$3)),TEXT('הדבקת לידים'!B4944,"0")),TRIM('הדבקת לידים'!B4944)))</f>
        <v/>
      </c>
      <c r="C4944" s="0" t="n">
        <f aca="false">IF(OR(A4944&lt;&gt;"",B4944&lt;&gt;""),1,0)</f>
        <v>0</v>
      </c>
      <c r="D4944" s="0" t="str">
        <f aca="false">IF(C4944=1,MOD(ABS(SIN(ROW()*12.9898+'הדבקת לידים'!$F$2*78.233+IFERROR(--RIGHT(A4944,6),LEN(A4944))*0.0137+IFERROR(--RIGHT(B4944,6),LEN(B4944))*0.0071))*43758.5453,1),"")</f>
        <v/>
      </c>
      <c r="E4944" s="0" t="str">
        <f aca="false">IF(C4944=1,INT(MOD(ABS(SIN(D4944*7919.123+ROW()*0.618+'הדבקת לידים'!$F$2*1.3))*43758.5453,1)*1000000)*10000+ROW(),"")</f>
        <v/>
      </c>
      <c r="F4944" s="0" t="str">
        <f aca="false">IF(E4944="","",RANK(E4944,$E$2:$E$5001,1))</f>
        <v/>
      </c>
      <c r="G4944" s="0" t="n">
        <f aca="false">IF(A4944="",0,IF(SUMPRODUCT(--($A$2:$A$5001=A4944))&gt;1,1,0))</f>
        <v>0</v>
      </c>
      <c r="H4944" s="0" t="n">
        <f aca="false">ROW()-1</f>
        <v>4943</v>
      </c>
      <c r="I4944" s="0" t="str">
        <f aca="false">IF(OR(הגדרות!$E$6=0,H4944&gt;הגדרות!$E$5),"",IF(H4944-1&lt;הגדרות!$E$8*(הגדרות!$E$7+1),INT((H4944-1)/(הגדרות!$E$7+1)),הגדרות!$E$8+INT((H4944-1-הגדרות!$E$8*(הגדרות!$E$7+1))/הגדרות!$E$7)))</f>
        <v/>
      </c>
      <c r="J4944" s="0" t="str">
        <f aca="false">IF(I4944="","",IF(H4944-1&lt;הגדרות!$E$8*(הגדרות!$E$7+1),MOD(H4944-1,הגדרות!$E$7+1),MOD(H4944-1-הגדרות!$E$8*(הגדרות!$E$7+1),הגדרות!$E$7)))</f>
        <v/>
      </c>
      <c r="K4944" s="0" t="str">
        <f aca="false">IF(I4944="","",J4944*הגדרות!$E$6+I4944+1)</f>
        <v/>
      </c>
      <c r="L4944" s="0" t="str">
        <f aca="false">IF(K4944="","",MATCH(K4944,$F$2:$F$5001,0))</f>
        <v/>
      </c>
      <c r="M4944" s="0" t="str">
        <f aca="false">IF(I4944="","",INDEX(הגדרות!$A$2:$A$21,MOD(I4944+הגדרות!$E$9,הגדרות!$E$6)+1))</f>
        <v/>
      </c>
    </row>
    <row r="4945" customFormat="false" ht="15" hidden="false" customHeight="false" outlineLevel="0" collapsed="false">
      <c r="A4945" s="0" t="str">
        <f aca="false">IF('הדבקת לידים'!A4945="","",IF(ISNUMBER('הדבקת לידים'!A4945),IF(הגדרות!$E$2&gt;0,TEXT('הדבקת לידים'!A4945,REPT("0",הגדרות!$E$2)),TEXT('הדבקת לידים'!A4945,"0")),TRIM('הדבקת לידים'!A4945)))</f>
        <v/>
      </c>
      <c r="B4945" s="0" t="str">
        <f aca="false">IF('הדבקת לידים'!B4945="","",IF(ISNUMBER('הדבקת לידים'!B4945),IF(הגדרות!$E$3&gt;0,TEXT('הדבקת לידים'!B4945,REPT("0",הגדרות!$E$3)),TEXT('הדבקת לידים'!B4945,"0")),TRIM('הדבקת לידים'!B4945)))</f>
        <v/>
      </c>
      <c r="C4945" s="0" t="n">
        <f aca="false">IF(OR(A4945&lt;&gt;"",B4945&lt;&gt;""),1,0)</f>
        <v>0</v>
      </c>
      <c r="D4945" s="0" t="str">
        <f aca="false">IF(C4945=1,MOD(ABS(SIN(ROW()*12.9898+'הדבקת לידים'!$F$2*78.233+IFERROR(--RIGHT(A4945,6),LEN(A4945))*0.0137+IFERROR(--RIGHT(B4945,6),LEN(B4945))*0.0071))*43758.5453,1),"")</f>
        <v/>
      </c>
      <c r="E4945" s="0" t="str">
        <f aca="false">IF(C4945=1,INT(MOD(ABS(SIN(D4945*7919.123+ROW()*0.618+'הדבקת לידים'!$F$2*1.3))*43758.5453,1)*1000000)*10000+ROW(),"")</f>
        <v/>
      </c>
      <c r="F4945" s="0" t="str">
        <f aca="false">IF(E4945="","",RANK(E4945,$E$2:$E$5001,1))</f>
        <v/>
      </c>
      <c r="G4945" s="0" t="n">
        <f aca="false">IF(A4945="",0,IF(SUMPRODUCT(--($A$2:$A$5001=A4945))&gt;1,1,0))</f>
        <v>0</v>
      </c>
      <c r="H4945" s="0" t="n">
        <f aca="false">ROW()-1</f>
        <v>4944</v>
      </c>
      <c r="I4945" s="0" t="str">
        <f aca="false">IF(OR(הגדרות!$E$6=0,H4945&gt;הגדרות!$E$5),"",IF(H4945-1&lt;הגדרות!$E$8*(הגדרות!$E$7+1),INT((H4945-1)/(הגדרות!$E$7+1)),הגדרות!$E$8+INT((H4945-1-הגדרות!$E$8*(הגדרות!$E$7+1))/הגדרות!$E$7)))</f>
        <v/>
      </c>
      <c r="J4945" s="0" t="str">
        <f aca="false">IF(I4945="","",IF(H4945-1&lt;הגדרות!$E$8*(הגדרות!$E$7+1),MOD(H4945-1,הגדרות!$E$7+1),MOD(H4945-1-הגדרות!$E$8*(הגדרות!$E$7+1),הגדרות!$E$7)))</f>
        <v/>
      </c>
      <c r="K4945" s="0" t="str">
        <f aca="false">IF(I4945="","",J4945*הגדרות!$E$6+I4945+1)</f>
        <v/>
      </c>
      <c r="L4945" s="0" t="str">
        <f aca="false">IF(K4945="","",MATCH(K4945,$F$2:$F$5001,0))</f>
        <v/>
      </c>
      <c r="M4945" s="0" t="str">
        <f aca="false">IF(I4945="","",INDEX(הגדרות!$A$2:$A$21,MOD(I4945+הגדרות!$E$9,הגדרות!$E$6)+1))</f>
        <v/>
      </c>
    </row>
    <row r="4946" customFormat="false" ht="15" hidden="false" customHeight="false" outlineLevel="0" collapsed="false">
      <c r="A4946" s="0" t="str">
        <f aca="false">IF('הדבקת לידים'!A4946="","",IF(ISNUMBER('הדבקת לידים'!A4946),IF(הגדרות!$E$2&gt;0,TEXT('הדבקת לידים'!A4946,REPT("0",הגדרות!$E$2)),TEXT('הדבקת לידים'!A4946,"0")),TRIM('הדבקת לידים'!A4946)))</f>
        <v/>
      </c>
      <c r="B4946" s="0" t="str">
        <f aca="false">IF('הדבקת לידים'!B4946="","",IF(ISNUMBER('הדבקת לידים'!B4946),IF(הגדרות!$E$3&gt;0,TEXT('הדבקת לידים'!B4946,REPT("0",הגדרות!$E$3)),TEXT('הדבקת לידים'!B4946,"0")),TRIM('הדבקת לידים'!B4946)))</f>
        <v/>
      </c>
      <c r="C4946" s="0" t="n">
        <f aca="false">IF(OR(A4946&lt;&gt;"",B4946&lt;&gt;""),1,0)</f>
        <v>0</v>
      </c>
      <c r="D4946" s="0" t="str">
        <f aca="false">IF(C4946=1,MOD(ABS(SIN(ROW()*12.9898+'הדבקת לידים'!$F$2*78.233+IFERROR(--RIGHT(A4946,6),LEN(A4946))*0.0137+IFERROR(--RIGHT(B4946,6),LEN(B4946))*0.0071))*43758.5453,1),"")</f>
        <v/>
      </c>
      <c r="E4946" s="0" t="str">
        <f aca="false">IF(C4946=1,INT(MOD(ABS(SIN(D4946*7919.123+ROW()*0.618+'הדבקת לידים'!$F$2*1.3))*43758.5453,1)*1000000)*10000+ROW(),"")</f>
        <v/>
      </c>
      <c r="F4946" s="0" t="str">
        <f aca="false">IF(E4946="","",RANK(E4946,$E$2:$E$5001,1))</f>
        <v/>
      </c>
      <c r="G4946" s="0" t="n">
        <f aca="false">IF(A4946="",0,IF(SUMPRODUCT(--($A$2:$A$5001=A4946))&gt;1,1,0))</f>
        <v>0</v>
      </c>
      <c r="H4946" s="0" t="n">
        <f aca="false">ROW()-1</f>
        <v>4945</v>
      </c>
      <c r="I4946" s="0" t="str">
        <f aca="false">IF(OR(הגדרות!$E$6=0,H4946&gt;הגדרות!$E$5),"",IF(H4946-1&lt;הגדרות!$E$8*(הגדרות!$E$7+1),INT((H4946-1)/(הגדרות!$E$7+1)),הגדרות!$E$8+INT((H4946-1-הגדרות!$E$8*(הגדרות!$E$7+1))/הגדרות!$E$7)))</f>
        <v/>
      </c>
      <c r="J4946" s="0" t="str">
        <f aca="false">IF(I4946="","",IF(H4946-1&lt;הגדרות!$E$8*(הגדרות!$E$7+1),MOD(H4946-1,הגדרות!$E$7+1),MOD(H4946-1-הגדרות!$E$8*(הגדרות!$E$7+1),הגדרות!$E$7)))</f>
        <v/>
      </c>
      <c r="K4946" s="0" t="str">
        <f aca="false">IF(I4946="","",J4946*הגדרות!$E$6+I4946+1)</f>
        <v/>
      </c>
      <c r="L4946" s="0" t="str">
        <f aca="false">IF(K4946="","",MATCH(K4946,$F$2:$F$5001,0))</f>
        <v/>
      </c>
      <c r="M4946" s="0" t="str">
        <f aca="false">IF(I4946="","",INDEX(הגדרות!$A$2:$A$21,MOD(I4946+הגדרות!$E$9,הגדרות!$E$6)+1))</f>
        <v/>
      </c>
    </row>
    <row r="4947" customFormat="false" ht="15" hidden="false" customHeight="false" outlineLevel="0" collapsed="false">
      <c r="A4947" s="0" t="str">
        <f aca="false">IF('הדבקת לידים'!A4947="","",IF(ISNUMBER('הדבקת לידים'!A4947),IF(הגדרות!$E$2&gt;0,TEXT('הדבקת לידים'!A4947,REPT("0",הגדרות!$E$2)),TEXT('הדבקת לידים'!A4947,"0")),TRIM('הדבקת לידים'!A4947)))</f>
        <v/>
      </c>
      <c r="B4947" s="0" t="str">
        <f aca="false">IF('הדבקת לידים'!B4947="","",IF(ISNUMBER('הדבקת לידים'!B4947),IF(הגדרות!$E$3&gt;0,TEXT('הדבקת לידים'!B4947,REPT("0",הגדרות!$E$3)),TEXT('הדבקת לידים'!B4947,"0")),TRIM('הדבקת לידים'!B4947)))</f>
        <v/>
      </c>
      <c r="C4947" s="0" t="n">
        <f aca="false">IF(OR(A4947&lt;&gt;"",B4947&lt;&gt;""),1,0)</f>
        <v>0</v>
      </c>
      <c r="D4947" s="0" t="str">
        <f aca="false">IF(C4947=1,MOD(ABS(SIN(ROW()*12.9898+'הדבקת לידים'!$F$2*78.233+IFERROR(--RIGHT(A4947,6),LEN(A4947))*0.0137+IFERROR(--RIGHT(B4947,6),LEN(B4947))*0.0071))*43758.5453,1),"")</f>
        <v/>
      </c>
      <c r="E4947" s="0" t="str">
        <f aca="false">IF(C4947=1,INT(MOD(ABS(SIN(D4947*7919.123+ROW()*0.618+'הדבקת לידים'!$F$2*1.3))*43758.5453,1)*1000000)*10000+ROW(),"")</f>
        <v/>
      </c>
      <c r="F4947" s="0" t="str">
        <f aca="false">IF(E4947="","",RANK(E4947,$E$2:$E$5001,1))</f>
        <v/>
      </c>
      <c r="G4947" s="0" t="n">
        <f aca="false">IF(A4947="",0,IF(SUMPRODUCT(--($A$2:$A$5001=A4947))&gt;1,1,0))</f>
        <v>0</v>
      </c>
      <c r="H4947" s="0" t="n">
        <f aca="false">ROW()-1</f>
        <v>4946</v>
      </c>
      <c r="I4947" s="0" t="str">
        <f aca="false">IF(OR(הגדרות!$E$6=0,H4947&gt;הגדרות!$E$5),"",IF(H4947-1&lt;הגדרות!$E$8*(הגדרות!$E$7+1),INT((H4947-1)/(הגדרות!$E$7+1)),הגדרות!$E$8+INT((H4947-1-הגדרות!$E$8*(הגדרות!$E$7+1))/הגדרות!$E$7)))</f>
        <v/>
      </c>
      <c r="J4947" s="0" t="str">
        <f aca="false">IF(I4947="","",IF(H4947-1&lt;הגדרות!$E$8*(הגדרות!$E$7+1),MOD(H4947-1,הגדרות!$E$7+1),MOD(H4947-1-הגדרות!$E$8*(הגדרות!$E$7+1),הגדרות!$E$7)))</f>
        <v/>
      </c>
      <c r="K4947" s="0" t="str">
        <f aca="false">IF(I4947="","",J4947*הגדרות!$E$6+I4947+1)</f>
        <v/>
      </c>
      <c r="L4947" s="0" t="str">
        <f aca="false">IF(K4947="","",MATCH(K4947,$F$2:$F$5001,0))</f>
        <v/>
      </c>
      <c r="M4947" s="0" t="str">
        <f aca="false">IF(I4947="","",INDEX(הגדרות!$A$2:$A$21,MOD(I4947+הגדרות!$E$9,הגדרות!$E$6)+1))</f>
        <v/>
      </c>
    </row>
    <row r="4948" customFormat="false" ht="15" hidden="false" customHeight="false" outlineLevel="0" collapsed="false">
      <c r="A4948" s="0" t="str">
        <f aca="false">IF('הדבקת לידים'!A4948="","",IF(ISNUMBER('הדבקת לידים'!A4948),IF(הגדרות!$E$2&gt;0,TEXT('הדבקת לידים'!A4948,REPT("0",הגדרות!$E$2)),TEXT('הדבקת לידים'!A4948,"0")),TRIM('הדבקת לידים'!A4948)))</f>
        <v/>
      </c>
      <c r="B4948" s="0" t="str">
        <f aca="false">IF('הדבקת לידים'!B4948="","",IF(ISNUMBER('הדבקת לידים'!B4948),IF(הגדרות!$E$3&gt;0,TEXT('הדבקת לידים'!B4948,REPT("0",הגדרות!$E$3)),TEXT('הדבקת לידים'!B4948,"0")),TRIM('הדבקת לידים'!B4948)))</f>
        <v/>
      </c>
      <c r="C4948" s="0" t="n">
        <f aca="false">IF(OR(A4948&lt;&gt;"",B4948&lt;&gt;""),1,0)</f>
        <v>0</v>
      </c>
      <c r="D4948" s="0" t="str">
        <f aca="false">IF(C4948=1,MOD(ABS(SIN(ROW()*12.9898+'הדבקת לידים'!$F$2*78.233+IFERROR(--RIGHT(A4948,6),LEN(A4948))*0.0137+IFERROR(--RIGHT(B4948,6),LEN(B4948))*0.0071))*43758.5453,1),"")</f>
        <v/>
      </c>
      <c r="E4948" s="0" t="str">
        <f aca="false">IF(C4948=1,INT(MOD(ABS(SIN(D4948*7919.123+ROW()*0.618+'הדבקת לידים'!$F$2*1.3))*43758.5453,1)*1000000)*10000+ROW(),"")</f>
        <v/>
      </c>
      <c r="F4948" s="0" t="str">
        <f aca="false">IF(E4948="","",RANK(E4948,$E$2:$E$5001,1))</f>
        <v/>
      </c>
      <c r="G4948" s="0" t="n">
        <f aca="false">IF(A4948="",0,IF(SUMPRODUCT(--($A$2:$A$5001=A4948))&gt;1,1,0))</f>
        <v>0</v>
      </c>
      <c r="H4948" s="0" t="n">
        <f aca="false">ROW()-1</f>
        <v>4947</v>
      </c>
      <c r="I4948" s="0" t="str">
        <f aca="false">IF(OR(הגדרות!$E$6=0,H4948&gt;הגדרות!$E$5),"",IF(H4948-1&lt;הגדרות!$E$8*(הגדרות!$E$7+1),INT((H4948-1)/(הגדרות!$E$7+1)),הגדרות!$E$8+INT((H4948-1-הגדרות!$E$8*(הגדרות!$E$7+1))/הגדרות!$E$7)))</f>
        <v/>
      </c>
      <c r="J4948" s="0" t="str">
        <f aca="false">IF(I4948="","",IF(H4948-1&lt;הגדרות!$E$8*(הגדרות!$E$7+1),MOD(H4948-1,הגדרות!$E$7+1),MOD(H4948-1-הגדרות!$E$8*(הגדרות!$E$7+1),הגדרות!$E$7)))</f>
        <v/>
      </c>
      <c r="K4948" s="0" t="str">
        <f aca="false">IF(I4948="","",J4948*הגדרות!$E$6+I4948+1)</f>
        <v/>
      </c>
      <c r="L4948" s="0" t="str">
        <f aca="false">IF(K4948="","",MATCH(K4948,$F$2:$F$5001,0))</f>
        <v/>
      </c>
      <c r="M4948" s="0" t="str">
        <f aca="false">IF(I4948="","",INDEX(הגדרות!$A$2:$A$21,MOD(I4948+הגדרות!$E$9,הגדרות!$E$6)+1))</f>
        <v/>
      </c>
    </row>
    <row r="4949" customFormat="false" ht="15" hidden="false" customHeight="false" outlineLevel="0" collapsed="false">
      <c r="A4949" s="0" t="str">
        <f aca="false">IF('הדבקת לידים'!A4949="","",IF(ISNUMBER('הדבקת לידים'!A4949),IF(הגדרות!$E$2&gt;0,TEXT('הדבקת לידים'!A4949,REPT("0",הגדרות!$E$2)),TEXT('הדבקת לידים'!A4949,"0")),TRIM('הדבקת לידים'!A4949)))</f>
        <v/>
      </c>
      <c r="B4949" s="0" t="str">
        <f aca="false">IF('הדבקת לידים'!B4949="","",IF(ISNUMBER('הדבקת לידים'!B4949),IF(הגדרות!$E$3&gt;0,TEXT('הדבקת לידים'!B4949,REPT("0",הגדרות!$E$3)),TEXT('הדבקת לידים'!B4949,"0")),TRIM('הדבקת לידים'!B4949)))</f>
        <v/>
      </c>
      <c r="C4949" s="0" t="n">
        <f aca="false">IF(OR(A4949&lt;&gt;"",B4949&lt;&gt;""),1,0)</f>
        <v>0</v>
      </c>
      <c r="D4949" s="0" t="str">
        <f aca="false">IF(C4949=1,MOD(ABS(SIN(ROW()*12.9898+'הדבקת לידים'!$F$2*78.233+IFERROR(--RIGHT(A4949,6),LEN(A4949))*0.0137+IFERROR(--RIGHT(B4949,6),LEN(B4949))*0.0071))*43758.5453,1),"")</f>
        <v/>
      </c>
      <c r="E4949" s="0" t="str">
        <f aca="false">IF(C4949=1,INT(MOD(ABS(SIN(D4949*7919.123+ROW()*0.618+'הדבקת לידים'!$F$2*1.3))*43758.5453,1)*1000000)*10000+ROW(),"")</f>
        <v/>
      </c>
      <c r="F4949" s="0" t="str">
        <f aca="false">IF(E4949="","",RANK(E4949,$E$2:$E$5001,1))</f>
        <v/>
      </c>
      <c r="G4949" s="0" t="n">
        <f aca="false">IF(A4949="",0,IF(SUMPRODUCT(--($A$2:$A$5001=A4949))&gt;1,1,0))</f>
        <v>0</v>
      </c>
      <c r="H4949" s="0" t="n">
        <f aca="false">ROW()-1</f>
        <v>4948</v>
      </c>
      <c r="I4949" s="0" t="str">
        <f aca="false">IF(OR(הגדרות!$E$6=0,H4949&gt;הגדרות!$E$5),"",IF(H4949-1&lt;הגדרות!$E$8*(הגדרות!$E$7+1),INT((H4949-1)/(הגדרות!$E$7+1)),הגדרות!$E$8+INT((H4949-1-הגדרות!$E$8*(הגדרות!$E$7+1))/הגדרות!$E$7)))</f>
        <v/>
      </c>
      <c r="J4949" s="0" t="str">
        <f aca="false">IF(I4949="","",IF(H4949-1&lt;הגדרות!$E$8*(הגדרות!$E$7+1),MOD(H4949-1,הגדרות!$E$7+1),MOD(H4949-1-הגדרות!$E$8*(הגדרות!$E$7+1),הגדרות!$E$7)))</f>
        <v/>
      </c>
      <c r="K4949" s="0" t="str">
        <f aca="false">IF(I4949="","",J4949*הגדרות!$E$6+I4949+1)</f>
        <v/>
      </c>
      <c r="L4949" s="0" t="str">
        <f aca="false">IF(K4949="","",MATCH(K4949,$F$2:$F$5001,0))</f>
        <v/>
      </c>
      <c r="M4949" s="0" t="str">
        <f aca="false">IF(I4949="","",INDEX(הגדרות!$A$2:$A$21,MOD(I4949+הגדרות!$E$9,הגדרות!$E$6)+1))</f>
        <v/>
      </c>
    </row>
    <row r="4950" customFormat="false" ht="15" hidden="false" customHeight="false" outlineLevel="0" collapsed="false">
      <c r="A4950" s="0" t="str">
        <f aca="false">IF('הדבקת לידים'!A4950="","",IF(ISNUMBER('הדבקת לידים'!A4950),IF(הגדרות!$E$2&gt;0,TEXT('הדבקת לידים'!A4950,REPT("0",הגדרות!$E$2)),TEXT('הדבקת לידים'!A4950,"0")),TRIM('הדבקת לידים'!A4950)))</f>
        <v/>
      </c>
      <c r="B4950" s="0" t="str">
        <f aca="false">IF('הדבקת לידים'!B4950="","",IF(ISNUMBER('הדבקת לידים'!B4950),IF(הגדרות!$E$3&gt;0,TEXT('הדבקת לידים'!B4950,REPT("0",הגדרות!$E$3)),TEXT('הדבקת לידים'!B4950,"0")),TRIM('הדבקת לידים'!B4950)))</f>
        <v/>
      </c>
      <c r="C4950" s="0" t="n">
        <f aca="false">IF(OR(A4950&lt;&gt;"",B4950&lt;&gt;""),1,0)</f>
        <v>0</v>
      </c>
      <c r="D4950" s="0" t="str">
        <f aca="false">IF(C4950=1,MOD(ABS(SIN(ROW()*12.9898+'הדבקת לידים'!$F$2*78.233+IFERROR(--RIGHT(A4950,6),LEN(A4950))*0.0137+IFERROR(--RIGHT(B4950,6),LEN(B4950))*0.0071))*43758.5453,1),"")</f>
        <v/>
      </c>
      <c r="E4950" s="0" t="str">
        <f aca="false">IF(C4950=1,INT(MOD(ABS(SIN(D4950*7919.123+ROW()*0.618+'הדבקת לידים'!$F$2*1.3))*43758.5453,1)*1000000)*10000+ROW(),"")</f>
        <v/>
      </c>
      <c r="F4950" s="0" t="str">
        <f aca="false">IF(E4950="","",RANK(E4950,$E$2:$E$5001,1))</f>
        <v/>
      </c>
      <c r="G4950" s="0" t="n">
        <f aca="false">IF(A4950="",0,IF(SUMPRODUCT(--($A$2:$A$5001=A4950))&gt;1,1,0))</f>
        <v>0</v>
      </c>
      <c r="H4950" s="0" t="n">
        <f aca="false">ROW()-1</f>
        <v>4949</v>
      </c>
      <c r="I4950" s="0" t="str">
        <f aca="false">IF(OR(הגדרות!$E$6=0,H4950&gt;הגדרות!$E$5),"",IF(H4950-1&lt;הגדרות!$E$8*(הגדרות!$E$7+1),INT((H4950-1)/(הגדרות!$E$7+1)),הגדרות!$E$8+INT((H4950-1-הגדרות!$E$8*(הגדרות!$E$7+1))/הגדרות!$E$7)))</f>
        <v/>
      </c>
      <c r="J4950" s="0" t="str">
        <f aca="false">IF(I4950="","",IF(H4950-1&lt;הגדרות!$E$8*(הגדרות!$E$7+1),MOD(H4950-1,הגדרות!$E$7+1),MOD(H4950-1-הגדרות!$E$8*(הגדרות!$E$7+1),הגדרות!$E$7)))</f>
        <v/>
      </c>
      <c r="K4950" s="0" t="str">
        <f aca="false">IF(I4950="","",J4950*הגדרות!$E$6+I4950+1)</f>
        <v/>
      </c>
      <c r="L4950" s="0" t="str">
        <f aca="false">IF(K4950="","",MATCH(K4950,$F$2:$F$5001,0))</f>
        <v/>
      </c>
      <c r="M4950" s="0" t="str">
        <f aca="false">IF(I4950="","",INDEX(הגדרות!$A$2:$A$21,MOD(I4950+הגדרות!$E$9,הגדרות!$E$6)+1))</f>
        <v/>
      </c>
    </row>
    <row r="4951" customFormat="false" ht="15" hidden="false" customHeight="false" outlineLevel="0" collapsed="false">
      <c r="A4951" s="0" t="str">
        <f aca="false">IF('הדבקת לידים'!A4951="","",IF(ISNUMBER('הדבקת לידים'!A4951),IF(הגדרות!$E$2&gt;0,TEXT('הדבקת לידים'!A4951,REPT("0",הגדרות!$E$2)),TEXT('הדבקת לידים'!A4951,"0")),TRIM('הדבקת לידים'!A4951)))</f>
        <v/>
      </c>
      <c r="B4951" s="0" t="str">
        <f aca="false">IF('הדבקת לידים'!B4951="","",IF(ISNUMBER('הדבקת לידים'!B4951),IF(הגדרות!$E$3&gt;0,TEXT('הדבקת לידים'!B4951,REPT("0",הגדרות!$E$3)),TEXT('הדבקת לידים'!B4951,"0")),TRIM('הדבקת לידים'!B4951)))</f>
        <v/>
      </c>
      <c r="C4951" s="0" t="n">
        <f aca="false">IF(OR(A4951&lt;&gt;"",B4951&lt;&gt;""),1,0)</f>
        <v>0</v>
      </c>
      <c r="D4951" s="0" t="str">
        <f aca="false">IF(C4951=1,MOD(ABS(SIN(ROW()*12.9898+'הדבקת לידים'!$F$2*78.233+IFERROR(--RIGHT(A4951,6),LEN(A4951))*0.0137+IFERROR(--RIGHT(B4951,6),LEN(B4951))*0.0071))*43758.5453,1),"")</f>
        <v/>
      </c>
      <c r="E4951" s="0" t="str">
        <f aca="false">IF(C4951=1,INT(MOD(ABS(SIN(D4951*7919.123+ROW()*0.618+'הדבקת לידים'!$F$2*1.3))*43758.5453,1)*1000000)*10000+ROW(),"")</f>
        <v/>
      </c>
      <c r="F4951" s="0" t="str">
        <f aca="false">IF(E4951="","",RANK(E4951,$E$2:$E$5001,1))</f>
        <v/>
      </c>
      <c r="G4951" s="0" t="n">
        <f aca="false">IF(A4951="",0,IF(SUMPRODUCT(--($A$2:$A$5001=A4951))&gt;1,1,0))</f>
        <v>0</v>
      </c>
      <c r="H4951" s="0" t="n">
        <f aca="false">ROW()-1</f>
        <v>4950</v>
      </c>
      <c r="I4951" s="0" t="str">
        <f aca="false">IF(OR(הגדרות!$E$6=0,H4951&gt;הגדרות!$E$5),"",IF(H4951-1&lt;הגדרות!$E$8*(הגדרות!$E$7+1),INT((H4951-1)/(הגדרות!$E$7+1)),הגדרות!$E$8+INT((H4951-1-הגדרות!$E$8*(הגדרות!$E$7+1))/הגדרות!$E$7)))</f>
        <v/>
      </c>
      <c r="J4951" s="0" t="str">
        <f aca="false">IF(I4951="","",IF(H4951-1&lt;הגדרות!$E$8*(הגדרות!$E$7+1),MOD(H4951-1,הגדרות!$E$7+1),MOD(H4951-1-הגדרות!$E$8*(הגדרות!$E$7+1),הגדרות!$E$7)))</f>
        <v/>
      </c>
      <c r="K4951" s="0" t="str">
        <f aca="false">IF(I4951="","",J4951*הגדרות!$E$6+I4951+1)</f>
        <v/>
      </c>
      <c r="L4951" s="0" t="str">
        <f aca="false">IF(K4951="","",MATCH(K4951,$F$2:$F$5001,0))</f>
        <v/>
      </c>
      <c r="M4951" s="0" t="str">
        <f aca="false">IF(I4951="","",INDEX(הגדרות!$A$2:$A$21,MOD(I4951+הגדרות!$E$9,הגדרות!$E$6)+1))</f>
        <v/>
      </c>
    </row>
    <row r="4952" customFormat="false" ht="15" hidden="false" customHeight="false" outlineLevel="0" collapsed="false">
      <c r="A4952" s="0" t="str">
        <f aca="false">IF('הדבקת לידים'!A4952="","",IF(ISNUMBER('הדבקת לידים'!A4952),IF(הגדרות!$E$2&gt;0,TEXT('הדבקת לידים'!A4952,REPT("0",הגדרות!$E$2)),TEXT('הדבקת לידים'!A4952,"0")),TRIM('הדבקת לידים'!A4952)))</f>
        <v/>
      </c>
      <c r="B4952" s="0" t="str">
        <f aca="false">IF('הדבקת לידים'!B4952="","",IF(ISNUMBER('הדבקת לידים'!B4952),IF(הגדרות!$E$3&gt;0,TEXT('הדבקת לידים'!B4952,REPT("0",הגדרות!$E$3)),TEXT('הדבקת לידים'!B4952,"0")),TRIM('הדבקת לידים'!B4952)))</f>
        <v/>
      </c>
      <c r="C4952" s="0" t="n">
        <f aca="false">IF(OR(A4952&lt;&gt;"",B4952&lt;&gt;""),1,0)</f>
        <v>0</v>
      </c>
      <c r="D4952" s="0" t="str">
        <f aca="false">IF(C4952=1,MOD(ABS(SIN(ROW()*12.9898+'הדבקת לידים'!$F$2*78.233+IFERROR(--RIGHT(A4952,6),LEN(A4952))*0.0137+IFERROR(--RIGHT(B4952,6),LEN(B4952))*0.0071))*43758.5453,1),"")</f>
        <v/>
      </c>
      <c r="E4952" s="0" t="str">
        <f aca="false">IF(C4952=1,INT(MOD(ABS(SIN(D4952*7919.123+ROW()*0.618+'הדבקת לידים'!$F$2*1.3))*43758.5453,1)*1000000)*10000+ROW(),"")</f>
        <v/>
      </c>
      <c r="F4952" s="0" t="str">
        <f aca="false">IF(E4952="","",RANK(E4952,$E$2:$E$5001,1))</f>
        <v/>
      </c>
      <c r="G4952" s="0" t="n">
        <f aca="false">IF(A4952="",0,IF(SUMPRODUCT(--($A$2:$A$5001=A4952))&gt;1,1,0))</f>
        <v>0</v>
      </c>
      <c r="H4952" s="0" t="n">
        <f aca="false">ROW()-1</f>
        <v>4951</v>
      </c>
      <c r="I4952" s="0" t="str">
        <f aca="false">IF(OR(הגדרות!$E$6=0,H4952&gt;הגדרות!$E$5),"",IF(H4952-1&lt;הגדרות!$E$8*(הגדרות!$E$7+1),INT((H4952-1)/(הגדרות!$E$7+1)),הגדרות!$E$8+INT((H4952-1-הגדרות!$E$8*(הגדרות!$E$7+1))/הגדרות!$E$7)))</f>
        <v/>
      </c>
      <c r="J4952" s="0" t="str">
        <f aca="false">IF(I4952="","",IF(H4952-1&lt;הגדרות!$E$8*(הגדרות!$E$7+1),MOD(H4952-1,הגדרות!$E$7+1),MOD(H4952-1-הגדרות!$E$8*(הגדרות!$E$7+1),הגדרות!$E$7)))</f>
        <v/>
      </c>
      <c r="K4952" s="0" t="str">
        <f aca="false">IF(I4952="","",J4952*הגדרות!$E$6+I4952+1)</f>
        <v/>
      </c>
      <c r="L4952" s="0" t="str">
        <f aca="false">IF(K4952="","",MATCH(K4952,$F$2:$F$5001,0))</f>
        <v/>
      </c>
      <c r="M4952" s="0" t="str">
        <f aca="false">IF(I4952="","",INDEX(הגדרות!$A$2:$A$21,MOD(I4952+הגדרות!$E$9,הגדרות!$E$6)+1))</f>
        <v/>
      </c>
    </row>
    <row r="4953" customFormat="false" ht="15" hidden="false" customHeight="false" outlineLevel="0" collapsed="false">
      <c r="A4953" s="0" t="str">
        <f aca="false">IF('הדבקת לידים'!A4953="","",IF(ISNUMBER('הדבקת לידים'!A4953),IF(הגדרות!$E$2&gt;0,TEXT('הדבקת לידים'!A4953,REPT("0",הגדרות!$E$2)),TEXT('הדבקת לידים'!A4953,"0")),TRIM('הדבקת לידים'!A4953)))</f>
        <v/>
      </c>
      <c r="B4953" s="0" t="str">
        <f aca="false">IF('הדבקת לידים'!B4953="","",IF(ISNUMBER('הדבקת לידים'!B4953),IF(הגדרות!$E$3&gt;0,TEXT('הדבקת לידים'!B4953,REPT("0",הגדרות!$E$3)),TEXT('הדבקת לידים'!B4953,"0")),TRIM('הדבקת לידים'!B4953)))</f>
        <v/>
      </c>
      <c r="C4953" s="0" t="n">
        <f aca="false">IF(OR(A4953&lt;&gt;"",B4953&lt;&gt;""),1,0)</f>
        <v>0</v>
      </c>
      <c r="D4953" s="0" t="str">
        <f aca="false">IF(C4953=1,MOD(ABS(SIN(ROW()*12.9898+'הדבקת לידים'!$F$2*78.233+IFERROR(--RIGHT(A4953,6),LEN(A4953))*0.0137+IFERROR(--RIGHT(B4953,6),LEN(B4953))*0.0071))*43758.5453,1),"")</f>
        <v/>
      </c>
      <c r="E4953" s="0" t="str">
        <f aca="false">IF(C4953=1,INT(MOD(ABS(SIN(D4953*7919.123+ROW()*0.618+'הדבקת לידים'!$F$2*1.3))*43758.5453,1)*1000000)*10000+ROW(),"")</f>
        <v/>
      </c>
      <c r="F4953" s="0" t="str">
        <f aca="false">IF(E4953="","",RANK(E4953,$E$2:$E$5001,1))</f>
        <v/>
      </c>
      <c r="G4953" s="0" t="n">
        <f aca="false">IF(A4953="",0,IF(SUMPRODUCT(--($A$2:$A$5001=A4953))&gt;1,1,0))</f>
        <v>0</v>
      </c>
      <c r="H4953" s="0" t="n">
        <f aca="false">ROW()-1</f>
        <v>4952</v>
      </c>
      <c r="I4953" s="0" t="str">
        <f aca="false">IF(OR(הגדרות!$E$6=0,H4953&gt;הגדרות!$E$5),"",IF(H4953-1&lt;הגדרות!$E$8*(הגדרות!$E$7+1),INT((H4953-1)/(הגדרות!$E$7+1)),הגדרות!$E$8+INT((H4953-1-הגדרות!$E$8*(הגדרות!$E$7+1))/הגדרות!$E$7)))</f>
        <v/>
      </c>
      <c r="J4953" s="0" t="str">
        <f aca="false">IF(I4953="","",IF(H4953-1&lt;הגדרות!$E$8*(הגדרות!$E$7+1),MOD(H4953-1,הגדרות!$E$7+1),MOD(H4953-1-הגדרות!$E$8*(הגדרות!$E$7+1),הגדרות!$E$7)))</f>
        <v/>
      </c>
      <c r="K4953" s="0" t="str">
        <f aca="false">IF(I4953="","",J4953*הגדרות!$E$6+I4953+1)</f>
        <v/>
      </c>
      <c r="L4953" s="0" t="str">
        <f aca="false">IF(K4953="","",MATCH(K4953,$F$2:$F$5001,0))</f>
        <v/>
      </c>
      <c r="M4953" s="0" t="str">
        <f aca="false">IF(I4953="","",INDEX(הגדרות!$A$2:$A$21,MOD(I4953+הגדרות!$E$9,הגדרות!$E$6)+1))</f>
        <v/>
      </c>
    </row>
    <row r="4954" customFormat="false" ht="15" hidden="false" customHeight="false" outlineLevel="0" collapsed="false">
      <c r="A4954" s="0" t="str">
        <f aca="false">IF('הדבקת לידים'!A4954="","",IF(ISNUMBER('הדבקת לידים'!A4954),IF(הגדרות!$E$2&gt;0,TEXT('הדבקת לידים'!A4954,REPT("0",הגדרות!$E$2)),TEXT('הדבקת לידים'!A4954,"0")),TRIM('הדבקת לידים'!A4954)))</f>
        <v/>
      </c>
      <c r="B4954" s="0" t="str">
        <f aca="false">IF('הדבקת לידים'!B4954="","",IF(ISNUMBER('הדבקת לידים'!B4954),IF(הגדרות!$E$3&gt;0,TEXT('הדבקת לידים'!B4954,REPT("0",הגדרות!$E$3)),TEXT('הדבקת לידים'!B4954,"0")),TRIM('הדבקת לידים'!B4954)))</f>
        <v/>
      </c>
      <c r="C4954" s="0" t="n">
        <f aca="false">IF(OR(A4954&lt;&gt;"",B4954&lt;&gt;""),1,0)</f>
        <v>0</v>
      </c>
      <c r="D4954" s="0" t="str">
        <f aca="false">IF(C4954=1,MOD(ABS(SIN(ROW()*12.9898+'הדבקת לידים'!$F$2*78.233+IFERROR(--RIGHT(A4954,6),LEN(A4954))*0.0137+IFERROR(--RIGHT(B4954,6),LEN(B4954))*0.0071))*43758.5453,1),"")</f>
        <v/>
      </c>
      <c r="E4954" s="0" t="str">
        <f aca="false">IF(C4954=1,INT(MOD(ABS(SIN(D4954*7919.123+ROW()*0.618+'הדבקת לידים'!$F$2*1.3))*43758.5453,1)*1000000)*10000+ROW(),"")</f>
        <v/>
      </c>
      <c r="F4954" s="0" t="str">
        <f aca="false">IF(E4954="","",RANK(E4954,$E$2:$E$5001,1))</f>
        <v/>
      </c>
      <c r="G4954" s="0" t="n">
        <f aca="false">IF(A4954="",0,IF(SUMPRODUCT(--($A$2:$A$5001=A4954))&gt;1,1,0))</f>
        <v>0</v>
      </c>
      <c r="H4954" s="0" t="n">
        <f aca="false">ROW()-1</f>
        <v>4953</v>
      </c>
      <c r="I4954" s="0" t="str">
        <f aca="false">IF(OR(הגדרות!$E$6=0,H4954&gt;הגדרות!$E$5),"",IF(H4954-1&lt;הגדרות!$E$8*(הגדרות!$E$7+1),INT((H4954-1)/(הגדרות!$E$7+1)),הגדרות!$E$8+INT((H4954-1-הגדרות!$E$8*(הגדרות!$E$7+1))/הגדרות!$E$7)))</f>
        <v/>
      </c>
      <c r="J4954" s="0" t="str">
        <f aca="false">IF(I4954="","",IF(H4954-1&lt;הגדרות!$E$8*(הגדרות!$E$7+1),MOD(H4954-1,הגדרות!$E$7+1),MOD(H4954-1-הגדרות!$E$8*(הגדרות!$E$7+1),הגדרות!$E$7)))</f>
        <v/>
      </c>
      <c r="K4954" s="0" t="str">
        <f aca="false">IF(I4954="","",J4954*הגדרות!$E$6+I4954+1)</f>
        <v/>
      </c>
      <c r="L4954" s="0" t="str">
        <f aca="false">IF(K4954="","",MATCH(K4954,$F$2:$F$5001,0))</f>
        <v/>
      </c>
      <c r="M4954" s="0" t="str">
        <f aca="false">IF(I4954="","",INDEX(הגדרות!$A$2:$A$21,MOD(I4954+הגדרות!$E$9,הגדרות!$E$6)+1))</f>
        <v/>
      </c>
    </row>
    <row r="4955" customFormat="false" ht="15" hidden="false" customHeight="false" outlineLevel="0" collapsed="false">
      <c r="A4955" s="0" t="str">
        <f aca="false">IF('הדבקת לידים'!A4955="","",IF(ISNUMBER('הדבקת לידים'!A4955),IF(הגדרות!$E$2&gt;0,TEXT('הדבקת לידים'!A4955,REPT("0",הגדרות!$E$2)),TEXT('הדבקת לידים'!A4955,"0")),TRIM('הדבקת לידים'!A4955)))</f>
        <v/>
      </c>
      <c r="B4955" s="0" t="str">
        <f aca="false">IF('הדבקת לידים'!B4955="","",IF(ISNUMBER('הדבקת לידים'!B4955),IF(הגדרות!$E$3&gt;0,TEXT('הדבקת לידים'!B4955,REPT("0",הגדרות!$E$3)),TEXT('הדבקת לידים'!B4955,"0")),TRIM('הדבקת לידים'!B4955)))</f>
        <v/>
      </c>
      <c r="C4955" s="0" t="n">
        <f aca="false">IF(OR(A4955&lt;&gt;"",B4955&lt;&gt;""),1,0)</f>
        <v>0</v>
      </c>
      <c r="D4955" s="0" t="str">
        <f aca="false">IF(C4955=1,MOD(ABS(SIN(ROW()*12.9898+'הדבקת לידים'!$F$2*78.233+IFERROR(--RIGHT(A4955,6),LEN(A4955))*0.0137+IFERROR(--RIGHT(B4955,6),LEN(B4955))*0.0071))*43758.5453,1),"")</f>
        <v/>
      </c>
      <c r="E4955" s="0" t="str">
        <f aca="false">IF(C4955=1,INT(MOD(ABS(SIN(D4955*7919.123+ROW()*0.618+'הדבקת לידים'!$F$2*1.3))*43758.5453,1)*1000000)*10000+ROW(),"")</f>
        <v/>
      </c>
      <c r="F4955" s="0" t="str">
        <f aca="false">IF(E4955="","",RANK(E4955,$E$2:$E$5001,1))</f>
        <v/>
      </c>
      <c r="G4955" s="0" t="n">
        <f aca="false">IF(A4955="",0,IF(SUMPRODUCT(--($A$2:$A$5001=A4955))&gt;1,1,0))</f>
        <v>0</v>
      </c>
      <c r="H4955" s="0" t="n">
        <f aca="false">ROW()-1</f>
        <v>4954</v>
      </c>
      <c r="I4955" s="0" t="str">
        <f aca="false">IF(OR(הגדרות!$E$6=0,H4955&gt;הגדרות!$E$5),"",IF(H4955-1&lt;הגדרות!$E$8*(הגדרות!$E$7+1),INT((H4955-1)/(הגדרות!$E$7+1)),הגדרות!$E$8+INT((H4955-1-הגדרות!$E$8*(הגדרות!$E$7+1))/הגדרות!$E$7)))</f>
        <v/>
      </c>
      <c r="J4955" s="0" t="str">
        <f aca="false">IF(I4955="","",IF(H4955-1&lt;הגדרות!$E$8*(הגדרות!$E$7+1),MOD(H4955-1,הגדרות!$E$7+1),MOD(H4955-1-הגדרות!$E$8*(הגדרות!$E$7+1),הגדרות!$E$7)))</f>
        <v/>
      </c>
      <c r="K4955" s="0" t="str">
        <f aca="false">IF(I4955="","",J4955*הגדרות!$E$6+I4955+1)</f>
        <v/>
      </c>
      <c r="L4955" s="0" t="str">
        <f aca="false">IF(K4955="","",MATCH(K4955,$F$2:$F$5001,0))</f>
        <v/>
      </c>
      <c r="M4955" s="0" t="str">
        <f aca="false">IF(I4955="","",INDEX(הגדרות!$A$2:$A$21,MOD(I4955+הגדרות!$E$9,הגדרות!$E$6)+1))</f>
        <v/>
      </c>
    </row>
    <row r="4956" customFormat="false" ht="15" hidden="false" customHeight="false" outlineLevel="0" collapsed="false">
      <c r="A4956" s="0" t="str">
        <f aca="false">IF('הדבקת לידים'!A4956="","",IF(ISNUMBER('הדבקת לידים'!A4956),IF(הגדרות!$E$2&gt;0,TEXT('הדבקת לידים'!A4956,REPT("0",הגדרות!$E$2)),TEXT('הדבקת לידים'!A4956,"0")),TRIM('הדבקת לידים'!A4956)))</f>
        <v/>
      </c>
      <c r="B4956" s="0" t="str">
        <f aca="false">IF('הדבקת לידים'!B4956="","",IF(ISNUMBER('הדבקת לידים'!B4956),IF(הגדרות!$E$3&gt;0,TEXT('הדבקת לידים'!B4956,REPT("0",הגדרות!$E$3)),TEXT('הדבקת לידים'!B4956,"0")),TRIM('הדבקת לידים'!B4956)))</f>
        <v/>
      </c>
      <c r="C4956" s="0" t="n">
        <f aca="false">IF(OR(A4956&lt;&gt;"",B4956&lt;&gt;""),1,0)</f>
        <v>0</v>
      </c>
      <c r="D4956" s="0" t="str">
        <f aca="false">IF(C4956=1,MOD(ABS(SIN(ROW()*12.9898+'הדבקת לידים'!$F$2*78.233+IFERROR(--RIGHT(A4956,6),LEN(A4956))*0.0137+IFERROR(--RIGHT(B4956,6),LEN(B4956))*0.0071))*43758.5453,1),"")</f>
        <v/>
      </c>
      <c r="E4956" s="0" t="str">
        <f aca="false">IF(C4956=1,INT(MOD(ABS(SIN(D4956*7919.123+ROW()*0.618+'הדבקת לידים'!$F$2*1.3))*43758.5453,1)*1000000)*10000+ROW(),"")</f>
        <v/>
      </c>
      <c r="F4956" s="0" t="str">
        <f aca="false">IF(E4956="","",RANK(E4956,$E$2:$E$5001,1))</f>
        <v/>
      </c>
      <c r="G4956" s="0" t="n">
        <f aca="false">IF(A4956="",0,IF(SUMPRODUCT(--($A$2:$A$5001=A4956))&gt;1,1,0))</f>
        <v>0</v>
      </c>
      <c r="H4956" s="0" t="n">
        <f aca="false">ROW()-1</f>
        <v>4955</v>
      </c>
      <c r="I4956" s="0" t="str">
        <f aca="false">IF(OR(הגדרות!$E$6=0,H4956&gt;הגדרות!$E$5),"",IF(H4956-1&lt;הגדרות!$E$8*(הגדרות!$E$7+1),INT((H4956-1)/(הגדרות!$E$7+1)),הגדרות!$E$8+INT((H4956-1-הגדרות!$E$8*(הגדרות!$E$7+1))/הגדרות!$E$7)))</f>
        <v/>
      </c>
      <c r="J4956" s="0" t="str">
        <f aca="false">IF(I4956="","",IF(H4956-1&lt;הגדרות!$E$8*(הגדרות!$E$7+1),MOD(H4956-1,הגדרות!$E$7+1),MOD(H4956-1-הגדרות!$E$8*(הגדרות!$E$7+1),הגדרות!$E$7)))</f>
        <v/>
      </c>
      <c r="K4956" s="0" t="str">
        <f aca="false">IF(I4956="","",J4956*הגדרות!$E$6+I4956+1)</f>
        <v/>
      </c>
      <c r="L4956" s="0" t="str">
        <f aca="false">IF(K4956="","",MATCH(K4956,$F$2:$F$5001,0))</f>
        <v/>
      </c>
      <c r="M4956" s="0" t="str">
        <f aca="false">IF(I4956="","",INDEX(הגדרות!$A$2:$A$21,MOD(I4956+הגדרות!$E$9,הגדרות!$E$6)+1))</f>
        <v/>
      </c>
    </row>
    <row r="4957" customFormat="false" ht="15" hidden="false" customHeight="false" outlineLevel="0" collapsed="false">
      <c r="A4957" s="0" t="str">
        <f aca="false">IF('הדבקת לידים'!A4957="","",IF(ISNUMBER('הדבקת לידים'!A4957),IF(הגדרות!$E$2&gt;0,TEXT('הדבקת לידים'!A4957,REPT("0",הגדרות!$E$2)),TEXT('הדבקת לידים'!A4957,"0")),TRIM('הדבקת לידים'!A4957)))</f>
        <v/>
      </c>
      <c r="B4957" s="0" t="str">
        <f aca="false">IF('הדבקת לידים'!B4957="","",IF(ISNUMBER('הדבקת לידים'!B4957),IF(הגדרות!$E$3&gt;0,TEXT('הדבקת לידים'!B4957,REPT("0",הגדרות!$E$3)),TEXT('הדבקת לידים'!B4957,"0")),TRIM('הדבקת לידים'!B4957)))</f>
        <v/>
      </c>
      <c r="C4957" s="0" t="n">
        <f aca="false">IF(OR(A4957&lt;&gt;"",B4957&lt;&gt;""),1,0)</f>
        <v>0</v>
      </c>
      <c r="D4957" s="0" t="str">
        <f aca="false">IF(C4957=1,MOD(ABS(SIN(ROW()*12.9898+'הדבקת לידים'!$F$2*78.233+IFERROR(--RIGHT(A4957,6),LEN(A4957))*0.0137+IFERROR(--RIGHT(B4957,6),LEN(B4957))*0.0071))*43758.5453,1),"")</f>
        <v/>
      </c>
      <c r="E4957" s="0" t="str">
        <f aca="false">IF(C4957=1,INT(MOD(ABS(SIN(D4957*7919.123+ROW()*0.618+'הדבקת לידים'!$F$2*1.3))*43758.5453,1)*1000000)*10000+ROW(),"")</f>
        <v/>
      </c>
      <c r="F4957" s="0" t="str">
        <f aca="false">IF(E4957="","",RANK(E4957,$E$2:$E$5001,1))</f>
        <v/>
      </c>
      <c r="G4957" s="0" t="n">
        <f aca="false">IF(A4957="",0,IF(SUMPRODUCT(--($A$2:$A$5001=A4957))&gt;1,1,0))</f>
        <v>0</v>
      </c>
      <c r="H4957" s="0" t="n">
        <f aca="false">ROW()-1</f>
        <v>4956</v>
      </c>
      <c r="I4957" s="0" t="str">
        <f aca="false">IF(OR(הגדרות!$E$6=0,H4957&gt;הגדרות!$E$5),"",IF(H4957-1&lt;הגדרות!$E$8*(הגדרות!$E$7+1),INT((H4957-1)/(הגדרות!$E$7+1)),הגדרות!$E$8+INT((H4957-1-הגדרות!$E$8*(הגדרות!$E$7+1))/הגדרות!$E$7)))</f>
        <v/>
      </c>
      <c r="J4957" s="0" t="str">
        <f aca="false">IF(I4957="","",IF(H4957-1&lt;הגדרות!$E$8*(הגדרות!$E$7+1),MOD(H4957-1,הגדרות!$E$7+1),MOD(H4957-1-הגדרות!$E$8*(הגדרות!$E$7+1),הגדרות!$E$7)))</f>
        <v/>
      </c>
      <c r="K4957" s="0" t="str">
        <f aca="false">IF(I4957="","",J4957*הגדרות!$E$6+I4957+1)</f>
        <v/>
      </c>
      <c r="L4957" s="0" t="str">
        <f aca="false">IF(K4957="","",MATCH(K4957,$F$2:$F$5001,0))</f>
        <v/>
      </c>
      <c r="M4957" s="0" t="str">
        <f aca="false">IF(I4957="","",INDEX(הגדרות!$A$2:$A$21,MOD(I4957+הגדרות!$E$9,הגדרות!$E$6)+1))</f>
        <v/>
      </c>
    </row>
    <row r="4958" customFormat="false" ht="15" hidden="false" customHeight="false" outlineLevel="0" collapsed="false">
      <c r="A4958" s="0" t="str">
        <f aca="false">IF('הדבקת לידים'!A4958="","",IF(ISNUMBER('הדבקת לידים'!A4958),IF(הגדרות!$E$2&gt;0,TEXT('הדבקת לידים'!A4958,REPT("0",הגדרות!$E$2)),TEXT('הדבקת לידים'!A4958,"0")),TRIM('הדבקת לידים'!A4958)))</f>
        <v/>
      </c>
      <c r="B4958" s="0" t="str">
        <f aca="false">IF('הדבקת לידים'!B4958="","",IF(ISNUMBER('הדבקת לידים'!B4958),IF(הגדרות!$E$3&gt;0,TEXT('הדבקת לידים'!B4958,REPT("0",הגדרות!$E$3)),TEXT('הדבקת לידים'!B4958,"0")),TRIM('הדבקת לידים'!B4958)))</f>
        <v/>
      </c>
      <c r="C4958" s="0" t="n">
        <f aca="false">IF(OR(A4958&lt;&gt;"",B4958&lt;&gt;""),1,0)</f>
        <v>0</v>
      </c>
      <c r="D4958" s="0" t="str">
        <f aca="false">IF(C4958=1,MOD(ABS(SIN(ROW()*12.9898+'הדבקת לידים'!$F$2*78.233+IFERROR(--RIGHT(A4958,6),LEN(A4958))*0.0137+IFERROR(--RIGHT(B4958,6),LEN(B4958))*0.0071))*43758.5453,1),"")</f>
        <v/>
      </c>
      <c r="E4958" s="0" t="str">
        <f aca="false">IF(C4958=1,INT(MOD(ABS(SIN(D4958*7919.123+ROW()*0.618+'הדבקת לידים'!$F$2*1.3))*43758.5453,1)*1000000)*10000+ROW(),"")</f>
        <v/>
      </c>
      <c r="F4958" s="0" t="str">
        <f aca="false">IF(E4958="","",RANK(E4958,$E$2:$E$5001,1))</f>
        <v/>
      </c>
      <c r="G4958" s="0" t="n">
        <f aca="false">IF(A4958="",0,IF(SUMPRODUCT(--($A$2:$A$5001=A4958))&gt;1,1,0))</f>
        <v>0</v>
      </c>
      <c r="H4958" s="0" t="n">
        <f aca="false">ROW()-1</f>
        <v>4957</v>
      </c>
      <c r="I4958" s="0" t="str">
        <f aca="false">IF(OR(הגדרות!$E$6=0,H4958&gt;הגדרות!$E$5),"",IF(H4958-1&lt;הגדרות!$E$8*(הגדרות!$E$7+1),INT((H4958-1)/(הגדרות!$E$7+1)),הגדרות!$E$8+INT((H4958-1-הגדרות!$E$8*(הגדרות!$E$7+1))/הגדרות!$E$7)))</f>
        <v/>
      </c>
      <c r="J4958" s="0" t="str">
        <f aca="false">IF(I4958="","",IF(H4958-1&lt;הגדרות!$E$8*(הגדרות!$E$7+1),MOD(H4958-1,הגדרות!$E$7+1),MOD(H4958-1-הגדרות!$E$8*(הגדרות!$E$7+1),הגדרות!$E$7)))</f>
        <v/>
      </c>
      <c r="K4958" s="0" t="str">
        <f aca="false">IF(I4958="","",J4958*הגדרות!$E$6+I4958+1)</f>
        <v/>
      </c>
      <c r="L4958" s="0" t="str">
        <f aca="false">IF(K4958="","",MATCH(K4958,$F$2:$F$5001,0))</f>
        <v/>
      </c>
      <c r="M4958" s="0" t="str">
        <f aca="false">IF(I4958="","",INDEX(הגדרות!$A$2:$A$21,MOD(I4958+הגדרות!$E$9,הגדרות!$E$6)+1))</f>
        <v/>
      </c>
    </row>
    <row r="4959" customFormat="false" ht="15" hidden="false" customHeight="false" outlineLevel="0" collapsed="false">
      <c r="A4959" s="0" t="str">
        <f aca="false">IF('הדבקת לידים'!A4959="","",IF(ISNUMBER('הדבקת לידים'!A4959),IF(הגדרות!$E$2&gt;0,TEXT('הדבקת לידים'!A4959,REPT("0",הגדרות!$E$2)),TEXT('הדבקת לידים'!A4959,"0")),TRIM('הדבקת לידים'!A4959)))</f>
        <v/>
      </c>
      <c r="B4959" s="0" t="str">
        <f aca="false">IF('הדבקת לידים'!B4959="","",IF(ISNUMBER('הדבקת לידים'!B4959),IF(הגדרות!$E$3&gt;0,TEXT('הדבקת לידים'!B4959,REPT("0",הגדרות!$E$3)),TEXT('הדבקת לידים'!B4959,"0")),TRIM('הדבקת לידים'!B4959)))</f>
        <v/>
      </c>
      <c r="C4959" s="0" t="n">
        <f aca="false">IF(OR(A4959&lt;&gt;"",B4959&lt;&gt;""),1,0)</f>
        <v>0</v>
      </c>
      <c r="D4959" s="0" t="str">
        <f aca="false">IF(C4959=1,MOD(ABS(SIN(ROW()*12.9898+'הדבקת לידים'!$F$2*78.233+IFERROR(--RIGHT(A4959,6),LEN(A4959))*0.0137+IFERROR(--RIGHT(B4959,6),LEN(B4959))*0.0071))*43758.5453,1),"")</f>
        <v/>
      </c>
      <c r="E4959" s="0" t="str">
        <f aca="false">IF(C4959=1,INT(MOD(ABS(SIN(D4959*7919.123+ROW()*0.618+'הדבקת לידים'!$F$2*1.3))*43758.5453,1)*1000000)*10000+ROW(),"")</f>
        <v/>
      </c>
      <c r="F4959" s="0" t="str">
        <f aca="false">IF(E4959="","",RANK(E4959,$E$2:$E$5001,1))</f>
        <v/>
      </c>
      <c r="G4959" s="0" t="n">
        <f aca="false">IF(A4959="",0,IF(SUMPRODUCT(--($A$2:$A$5001=A4959))&gt;1,1,0))</f>
        <v>0</v>
      </c>
      <c r="H4959" s="0" t="n">
        <f aca="false">ROW()-1</f>
        <v>4958</v>
      </c>
      <c r="I4959" s="0" t="str">
        <f aca="false">IF(OR(הגדרות!$E$6=0,H4959&gt;הגדרות!$E$5),"",IF(H4959-1&lt;הגדרות!$E$8*(הגדרות!$E$7+1),INT((H4959-1)/(הגדרות!$E$7+1)),הגדרות!$E$8+INT((H4959-1-הגדרות!$E$8*(הגדרות!$E$7+1))/הגדרות!$E$7)))</f>
        <v/>
      </c>
      <c r="J4959" s="0" t="str">
        <f aca="false">IF(I4959="","",IF(H4959-1&lt;הגדרות!$E$8*(הגדרות!$E$7+1),MOD(H4959-1,הגדרות!$E$7+1),MOD(H4959-1-הגדרות!$E$8*(הגדרות!$E$7+1),הגדרות!$E$7)))</f>
        <v/>
      </c>
      <c r="K4959" s="0" t="str">
        <f aca="false">IF(I4959="","",J4959*הגדרות!$E$6+I4959+1)</f>
        <v/>
      </c>
      <c r="L4959" s="0" t="str">
        <f aca="false">IF(K4959="","",MATCH(K4959,$F$2:$F$5001,0))</f>
        <v/>
      </c>
      <c r="M4959" s="0" t="str">
        <f aca="false">IF(I4959="","",INDEX(הגדרות!$A$2:$A$21,MOD(I4959+הגדרות!$E$9,הגדרות!$E$6)+1))</f>
        <v/>
      </c>
    </row>
    <row r="4960" customFormat="false" ht="15" hidden="false" customHeight="false" outlineLevel="0" collapsed="false">
      <c r="A4960" s="0" t="str">
        <f aca="false">IF('הדבקת לידים'!A4960="","",IF(ISNUMBER('הדבקת לידים'!A4960),IF(הגדרות!$E$2&gt;0,TEXT('הדבקת לידים'!A4960,REPT("0",הגדרות!$E$2)),TEXT('הדבקת לידים'!A4960,"0")),TRIM('הדבקת לידים'!A4960)))</f>
        <v/>
      </c>
      <c r="B4960" s="0" t="str">
        <f aca="false">IF('הדבקת לידים'!B4960="","",IF(ISNUMBER('הדבקת לידים'!B4960),IF(הגדרות!$E$3&gt;0,TEXT('הדבקת לידים'!B4960,REPT("0",הגדרות!$E$3)),TEXT('הדבקת לידים'!B4960,"0")),TRIM('הדבקת לידים'!B4960)))</f>
        <v/>
      </c>
      <c r="C4960" s="0" t="n">
        <f aca="false">IF(OR(A4960&lt;&gt;"",B4960&lt;&gt;""),1,0)</f>
        <v>0</v>
      </c>
      <c r="D4960" s="0" t="str">
        <f aca="false">IF(C4960=1,MOD(ABS(SIN(ROW()*12.9898+'הדבקת לידים'!$F$2*78.233+IFERROR(--RIGHT(A4960,6),LEN(A4960))*0.0137+IFERROR(--RIGHT(B4960,6),LEN(B4960))*0.0071))*43758.5453,1),"")</f>
        <v/>
      </c>
      <c r="E4960" s="0" t="str">
        <f aca="false">IF(C4960=1,INT(MOD(ABS(SIN(D4960*7919.123+ROW()*0.618+'הדבקת לידים'!$F$2*1.3))*43758.5453,1)*1000000)*10000+ROW(),"")</f>
        <v/>
      </c>
      <c r="F4960" s="0" t="str">
        <f aca="false">IF(E4960="","",RANK(E4960,$E$2:$E$5001,1))</f>
        <v/>
      </c>
      <c r="G4960" s="0" t="n">
        <f aca="false">IF(A4960="",0,IF(SUMPRODUCT(--($A$2:$A$5001=A4960))&gt;1,1,0))</f>
        <v>0</v>
      </c>
      <c r="H4960" s="0" t="n">
        <f aca="false">ROW()-1</f>
        <v>4959</v>
      </c>
      <c r="I4960" s="0" t="str">
        <f aca="false">IF(OR(הגדרות!$E$6=0,H4960&gt;הגדרות!$E$5),"",IF(H4960-1&lt;הגדרות!$E$8*(הגדרות!$E$7+1),INT((H4960-1)/(הגדרות!$E$7+1)),הגדרות!$E$8+INT((H4960-1-הגדרות!$E$8*(הגדרות!$E$7+1))/הגדרות!$E$7)))</f>
        <v/>
      </c>
      <c r="J4960" s="0" t="str">
        <f aca="false">IF(I4960="","",IF(H4960-1&lt;הגדרות!$E$8*(הגדרות!$E$7+1),MOD(H4960-1,הגדרות!$E$7+1),MOD(H4960-1-הגדרות!$E$8*(הגדרות!$E$7+1),הגדרות!$E$7)))</f>
        <v/>
      </c>
      <c r="K4960" s="0" t="str">
        <f aca="false">IF(I4960="","",J4960*הגדרות!$E$6+I4960+1)</f>
        <v/>
      </c>
      <c r="L4960" s="0" t="str">
        <f aca="false">IF(K4960="","",MATCH(K4960,$F$2:$F$5001,0))</f>
        <v/>
      </c>
      <c r="M4960" s="0" t="str">
        <f aca="false">IF(I4960="","",INDEX(הגדרות!$A$2:$A$21,MOD(I4960+הגדרות!$E$9,הגדרות!$E$6)+1))</f>
        <v/>
      </c>
    </row>
    <row r="4961" customFormat="false" ht="15" hidden="false" customHeight="false" outlineLevel="0" collapsed="false">
      <c r="A4961" s="0" t="str">
        <f aca="false">IF('הדבקת לידים'!A4961="","",IF(ISNUMBER('הדבקת לידים'!A4961),IF(הגדרות!$E$2&gt;0,TEXT('הדבקת לידים'!A4961,REPT("0",הגדרות!$E$2)),TEXT('הדבקת לידים'!A4961,"0")),TRIM('הדבקת לידים'!A4961)))</f>
        <v/>
      </c>
      <c r="B4961" s="0" t="str">
        <f aca="false">IF('הדבקת לידים'!B4961="","",IF(ISNUMBER('הדבקת לידים'!B4961),IF(הגדרות!$E$3&gt;0,TEXT('הדבקת לידים'!B4961,REPT("0",הגדרות!$E$3)),TEXT('הדבקת לידים'!B4961,"0")),TRIM('הדבקת לידים'!B4961)))</f>
        <v/>
      </c>
      <c r="C4961" s="0" t="n">
        <f aca="false">IF(OR(A4961&lt;&gt;"",B4961&lt;&gt;""),1,0)</f>
        <v>0</v>
      </c>
      <c r="D4961" s="0" t="str">
        <f aca="false">IF(C4961=1,MOD(ABS(SIN(ROW()*12.9898+'הדבקת לידים'!$F$2*78.233+IFERROR(--RIGHT(A4961,6),LEN(A4961))*0.0137+IFERROR(--RIGHT(B4961,6),LEN(B4961))*0.0071))*43758.5453,1),"")</f>
        <v/>
      </c>
      <c r="E4961" s="0" t="str">
        <f aca="false">IF(C4961=1,INT(MOD(ABS(SIN(D4961*7919.123+ROW()*0.618+'הדבקת לידים'!$F$2*1.3))*43758.5453,1)*1000000)*10000+ROW(),"")</f>
        <v/>
      </c>
      <c r="F4961" s="0" t="str">
        <f aca="false">IF(E4961="","",RANK(E4961,$E$2:$E$5001,1))</f>
        <v/>
      </c>
      <c r="G4961" s="0" t="n">
        <f aca="false">IF(A4961="",0,IF(SUMPRODUCT(--($A$2:$A$5001=A4961))&gt;1,1,0))</f>
        <v>0</v>
      </c>
      <c r="H4961" s="0" t="n">
        <f aca="false">ROW()-1</f>
        <v>4960</v>
      </c>
      <c r="I4961" s="0" t="str">
        <f aca="false">IF(OR(הגדרות!$E$6=0,H4961&gt;הגדרות!$E$5),"",IF(H4961-1&lt;הגדרות!$E$8*(הגדרות!$E$7+1),INT((H4961-1)/(הגדרות!$E$7+1)),הגדרות!$E$8+INT((H4961-1-הגדרות!$E$8*(הגדרות!$E$7+1))/הגדרות!$E$7)))</f>
        <v/>
      </c>
      <c r="J4961" s="0" t="str">
        <f aca="false">IF(I4961="","",IF(H4961-1&lt;הגדרות!$E$8*(הגדרות!$E$7+1),MOD(H4961-1,הגדרות!$E$7+1),MOD(H4961-1-הגדרות!$E$8*(הגדרות!$E$7+1),הגדרות!$E$7)))</f>
        <v/>
      </c>
      <c r="K4961" s="0" t="str">
        <f aca="false">IF(I4961="","",J4961*הגדרות!$E$6+I4961+1)</f>
        <v/>
      </c>
      <c r="L4961" s="0" t="str">
        <f aca="false">IF(K4961="","",MATCH(K4961,$F$2:$F$5001,0))</f>
        <v/>
      </c>
      <c r="M4961" s="0" t="str">
        <f aca="false">IF(I4961="","",INDEX(הגדרות!$A$2:$A$21,MOD(I4961+הגדרות!$E$9,הגדרות!$E$6)+1))</f>
        <v/>
      </c>
    </row>
    <row r="4962" customFormat="false" ht="15" hidden="false" customHeight="false" outlineLevel="0" collapsed="false">
      <c r="A4962" s="0" t="str">
        <f aca="false">IF('הדבקת לידים'!A4962="","",IF(ISNUMBER('הדבקת לידים'!A4962),IF(הגדרות!$E$2&gt;0,TEXT('הדבקת לידים'!A4962,REPT("0",הגדרות!$E$2)),TEXT('הדבקת לידים'!A4962,"0")),TRIM('הדבקת לידים'!A4962)))</f>
        <v/>
      </c>
      <c r="B4962" s="0" t="str">
        <f aca="false">IF('הדבקת לידים'!B4962="","",IF(ISNUMBER('הדבקת לידים'!B4962),IF(הגדרות!$E$3&gt;0,TEXT('הדבקת לידים'!B4962,REPT("0",הגדרות!$E$3)),TEXT('הדבקת לידים'!B4962,"0")),TRIM('הדבקת לידים'!B4962)))</f>
        <v/>
      </c>
      <c r="C4962" s="0" t="n">
        <f aca="false">IF(OR(A4962&lt;&gt;"",B4962&lt;&gt;""),1,0)</f>
        <v>0</v>
      </c>
      <c r="D4962" s="0" t="str">
        <f aca="false">IF(C4962=1,MOD(ABS(SIN(ROW()*12.9898+'הדבקת לידים'!$F$2*78.233+IFERROR(--RIGHT(A4962,6),LEN(A4962))*0.0137+IFERROR(--RIGHT(B4962,6),LEN(B4962))*0.0071))*43758.5453,1),"")</f>
        <v/>
      </c>
      <c r="E4962" s="0" t="str">
        <f aca="false">IF(C4962=1,INT(MOD(ABS(SIN(D4962*7919.123+ROW()*0.618+'הדבקת לידים'!$F$2*1.3))*43758.5453,1)*1000000)*10000+ROW(),"")</f>
        <v/>
      </c>
      <c r="F4962" s="0" t="str">
        <f aca="false">IF(E4962="","",RANK(E4962,$E$2:$E$5001,1))</f>
        <v/>
      </c>
      <c r="G4962" s="0" t="n">
        <f aca="false">IF(A4962="",0,IF(SUMPRODUCT(--($A$2:$A$5001=A4962))&gt;1,1,0))</f>
        <v>0</v>
      </c>
      <c r="H4962" s="0" t="n">
        <f aca="false">ROW()-1</f>
        <v>4961</v>
      </c>
      <c r="I4962" s="0" t="str">
        <f aca="false">IF(OR(הגדרות!$E$6=0,H4962&gt;הגדרות!$E$5),"",IF(H4962-1&lt;הגדרות!$E$8*(הגדרות!$E$7+1),INT((H4962-1)/(הגדרות!$E$7+1)),הגדרות!$E$8+INT((H4962-1-הגדרות!$E$8*(הגדרות!$E$7+1))/הגדרות!$E$7)))</f>
        <v/>
      </c>
      <c r="J4962" s="0" t="str">
        <f aca="false">IF(I4962="","",IF(H4962-1&lt;הגדרות!$E$8*(הגדרות!$E$7+1),MOD(H4962-1,הגדרות!$E$7+1),MOD(H4962-1-הגדרות!$E$8*(הגדרות!$E$7+1),הגדרות!$E$7)))</f>
        <v/>
      </c>
      <c r="K4962" s="0" t="str">
        <f aca="false">IF(I4962="","",J4962*הגדרות!$E$6+I4962+1)</f>
        <v/>
      </c>
      <c r="L4962" s="0" t="str">
        <f aca="false">IF(K4962="","",MATCH(K4962,$F$2:$F$5001,0))</f>
        <v/>
      </c>
      <c r="M4962" s="0" t="str">
        <f aca="false">IF(I4962="","",INDEX(הגדרות!$A$2:$A$21,MOD(I4962+הגדרות!$E$9,הגדרות!$E$6)+1))</f>
        <v/>
      </c>
    </row>
    <row r="4963" customFormat="false" ht="15" hidden="false" customHeight="false" outlineLevel="0" collapsed="false">
      <c r="A4963" s="0" t="str">
        <f aca="false">IF('הדבקת לידים'!A4963="","",IF(ISNUMBER('הדבקת לידים'!A4963),IF(הגדרות!$E$2&gt;0,TEXT('הדבקת לידים'!A4963,REPT("0",הגדרות!$E$2)),TEXT('הדבקת לידים'!A4963,"0")),TRIM('הדבקת לידים'!A4963)))</f>
        <v/>
      </c>
      <c r="B4963" s="0" t="str">
        <f aca="false">IF('הדבקת לידים'!B4963="","",IF(ISNUMBER('הדבקת לידים'!B4963),IF(הגדרות!$E$3&gt;0,TEXT('הדבקת לידים'!B4963,REPT("0",הגדרות!$E$3)),TEXT('הדבקת לידים'!B4963,"0")),TRIM('הדבקת לידים'!B4963)))</f>
        <v/>
      </c>
      <c r="C4963" s="0" t="n">
        <f aca="false">IF(OR(A4963&lt;&gt;"",B4963&lt;&gt;""),1,0)</f>
        <v>0</v>
      </c>
      <c r="D4963" s="0" t="str">
        <f aca="false">IF(C4963=1,MOD(ABS(SIN(ROW()*12.9898+'הדבקת לידים'!$F$2*78.233+IFERROR(--RIGHT(A4963,6),LEN(A4963))*0.0137+IFERROR(--RIGHT(B4963,6),LEN(B4963))*0.0071))*43758.5453,1),"")</f>
        <v/>
      </c>
      <c r="E4963" s="0" t="str">
        <f aca="false">IF(C4963=1,INT(MOD(ABS(SIN(D4963*7919.123+ROW()*0.618+'הדבקת לידים'!$F$2*1.3))*43758.5453,1)*1000000)*10000+ROW(),"")</f>
        <v/>
      </c>
      <c r="F4963" s="0" t="str">
        <f aca="false">IF(E4963="","",RANK(E4963,$E$2:$E$5001,1))</f>
        <v/>
      </c>
      <c r="G4963" s="0" t="n">
        <f aca="false">IF(A4963="",0,IF(SUMPRODUCT(--($A$2:$A$5001=A4963))&gt;1,1,0))</f>
        <v>0</v>
      </c>
      <c r="H4963" s="0" t="n">
        <f aca="false">ROW()-1</f>
        <v>4962</v>
      </c>
      <c r="I4963" s="0" t="str">
        <f aca="false">IF(OR(הגדרות!$E$6=0,H4963&gt;הגדרות!$E$5),"",IF(H4963-1&lt;הגדרות!$E$8*(הגדרות!$E$7+1),INT((H4963-1)/(הגדרות!$E$7+1)),הגדרות!$E$8+INT((H4963-1-הגדרות!$E$8*(הגדרות!$E$7+1))/הגדרות!$E$7)))</f>
        <v/>
      </c>
      <c r="J4963" s="0" t="str">
        <f aca="false">IF(I4963="","",IF(H4963-1&lt;הגדרות!$E$8*(הגדרות!$E$7+1),MOD(H4963-1,הגדרות!$E$7+1),MOD(H4963-1-הגדרות!$E$8*(הגדרות!$E$7+1),הגדרות!$E$7)))</f>
        <v/>
      </c>
      <c r="K4963" s="0" t="str">
        <f aca="false">IF(I4963="","",J4963*הגדרות!$E$6+I4963+1)</f>
        <v/>
      </c>
      <c r="L4963" s="0" t="str">
        <f aca="false">IF(K4963="","",MATCH(K4963,$F$2:$F$5001,0))</f>
        <v/>
      </c>
      <c r="M4963" s="0" t="str">
        <f aca="false">IF(I4963="","",INDEX(הגדרות!$A$2:$A$21,MOD(I4963+הגדרות!$E$9,הגדרות!$E$6)+1))</f>
        <v/>
      </c>
    </row>
    <row r="4964" customFormat="false" ht="15" hidden="false" customHeight="false" outlineLevel="0" collapsed="false">
      <c r="A4964" s="0" t="str">
        <f aca="false">IF('הדבקת לידים'!A4964="","",IF(ISNUMBER('הדבקת לידים'!A4964),IF(הגדרות!$E$2&gt;0,TEXT('הדבקת לידים'!A4964,REPT("0",הגדרות!$E$2)),TEXT('הדבקת לידים'!A4964,"0")),TRIM('הדבקת לידים'!A4964)))</f>
        <v/>
      </c>
      <c r="B4964" s="0" t="str">
        <f aca="false">IF('הדבקת לידים'!B4964="","",IF(ISNUMBER('הדבקת לידים'!B4964),IF(הגדרות!$E$3&gt;0,TEXT('הדבקת לידים'!B4964,REPT("0",הגדרות!$E$3)),TEXT('הדבקת לידים'!B4964,"0")),TRIM('הדבקת לידים'!B4964)))</f>
        <v/>
      </c>
      <c r="C4964" s="0" t="n">
        <f aca="false">IF(OR(A4964&lt;&gt;"",B4964&lt;&gt;""),1,0)</f>
        <v>0</v>
      </c>
      <c r="D4964" s="0" t="str">
        <f aca="false">IF(C4964=1,MOD(ABS(SIN(ROW()*12.9898+'הדבקת לידים'!$F$2*78.233+IFERROR(--RIGHT(A4964,6),LEN(A4964))*0.0137+IFERROR(--RIGHT(B4964,6),LEN(B4964))*0.0071))*43758.5453,1),"")</f>
        <v/>
      </c>
      <c r="E4964" s="0" t="str">
        <f aca="false">IF(C4964=1,INT(MOD(ABS(SIN(D4964*7919.123+ROW()*0.618+'הדבקת לידים'!$F$2*1.3))*43758.5453,1)*1000000)*10000+ROW(),"")</f>
        <v/>
      </c>
      <c r="F4964" s="0" t="str">
        <f aca="false">IF(E4964="","",RANK(E4964,$E$2:$E$5001,1))</f>
        <v/>
      </c>
      <c r="G4964" s="0" t="n">
        <f aca="false">IF(A4964="",0,IF(SUMPRODUCT(--($A$2:$A$5001=A4964))&gt;1,1,0))</f>
        <v>0</v>
      </c>
      <c r="H4964" s="0" t="n">
        <f aca="false">ROW()-1</f>
        <v>4963</v>
      </c>
      <c r="I4964" s="0" t="str">
        <f aca="false">IF(OR(הגדרות!$E$6=0,H4964&gt;הגדרות!$E$5),"",IF(H4964-1&lt;הגדרות!$E$8*(הגדרות!$E$7+1),INT((H4964-1)/(הגדרות!$E$7+1)),הגדרות!$E$8+INT((H4964-1-הגדרות!$E$8*(הגדרות!$E$7+1))/הגדרות!$E$7)))</f>
        <v/>
      </c>
      <c r="J4964" s="0" t="str">
        <f aca="false">IF(I4964="","",IF(H4964-1&lt;הגדרות!$E$8*(הגדרות!$E$7+1),MOD(H4964-1,הגדרות!$E$7+1),MOD(H4964-1-הגדרות!$E$8*(הגדרות!$E$7+1),הגדרות!$E$7)))</f>
        <v/>
      </c>
      <c r="K4964" s="0" t="str">
        <f aca="false">IF(I4964="","",J4964*הגדרות!$E$6+I4964+1)</f>
        <v/>
      </c>
      <c r="L4964" s="0" t="str">
        <f aca="false">IF(K4964="","",MATCH(K4964,$F$2:$F$5001,0))</f>
        <v/>
      </c>
      <c r="M4964" s="0" t="str">
        <f aca="false">IF(I4964="","",INDEX(הגדרות!$A$2:$A$21,MOD(I4964+הגדרות!$E$9,הגדרות!$E$6)+1))</f>
        <v/>
      </c>
    </row>
    <row r="4965" customFormat="false" ht="15" hidden="false" customHeight="false" outlineLevel="0" collapsed="false">
      <c r="A4965" s="0" t="str">
        <f aca="false">IF('הדבקת לידים'!A4965="","",IF(ISNUMBER('הדבקת לידים'!A4965),IF(הגדרות!$E$2&gt;0,TEXT('הדבקת לידים'!A4965,REPT("0",הגדרות!$E$2)),TEXT('הדבקת לידים'!A4965,"0")),TRIM('הדבקת לידים'!A4965)))</f>
        <v/>
      </c>
      <c r="B4965" s="0" t="str">
        <f aca="false">IF('הדבקת לידים'!B4965="","",IF(ISNUMBER('הדבקת לידים'!B4965),IF(הגדרות!$E$3&gt;0,TEXT('הדבקת לידים'!B4965,REPT("0",הגדרות!$E$3)),TEXT('הדבקת לידים'!B4965,"0")),TRIM('הדבקת לידים'!B4965)))</f>
        <v/>
      </c>
      <c r="C4965" s="0" t="n">
        <f aca="false">IF(OR(A4965&lt;&gt;"",B4965&lt;&gt;""),1,0)</f>
        <v>0</v>
      </c>
      <c r="D4965" s="0" t="str">
        <f aca="false">IF(C4965=1,MOD(ABS(SIN(ROW()*12.9898+'הדבקת לידים'!$F$2*78.233+IFERROR(--RIGHT(A4965,6),LEN(A4965))*0.0137+IFERROR(--RIGHT(B4965,6),LEN(B4965))*0.0071))*43758.5453,1),"")</f>
        <v/>
      </c>
      <c r="E4965" s="0" t="str">
        <f aca="false">IF(C4965=1,INT(MOD(ABS(SIN(D4965*7919.123+ROW()*0.618+'הדבקת לידים'!$F$2*1.3))*43758.5453,1)*1000000)*10000+ROW(),"")</f>
        <v/>
      </c>
      <c r="F4965" s="0" t="str">
        <f aca="false">IF(E4965="","",RANK(E4965,$E$2:$E$5001,1))</f>
        <v/>
      </c>
      <c r="G4965" s="0" t="n">
        <f aca="false">IF(A4965="",0,IF(SUMPRODUCT(--($A$2:$A$5001=A4965))&gt;1,1,0))</f>
        <v>0</v>
      </c>
      <c r="H4965" s="0" t="n">
        <f aca="false">ROW()-1</f>
        <v>4964</v>
      </c>
      <c r="I4965" s="0" t="str">
        <f aca="false">IF(OR(הגדרות!$E$6=0,H4965&gt;הגדרות!$E$5),"",IF(H4965-1&lt;הגדרות!$E$8*(הגדרות!$E$7+1),INT((H4965-1)/(הגדרות!$E$7+1)),הגדרות!$E$8+INT((H4965-1-הגדרות!$E$8*(הגדרות!$E$7+1))/הגדרות!$E$7)))</f>
        <v/>
      </c>
      <c r="J4965" s="0" t="str">
        <f aca="false">IF(I4965="","",IF(H4965-1&lt;הגדרות!$E$8*(הגדרות!$E$7+1),MOD(H4965-1,הגדרות!$E$7+1),MOD(H4965-1-הגדרות!$E$8*(הגדרות!$E$7+1),הגדרות!$E$7)))</f>
        <v/>
      </c>
      <c r="K4965" s="0" t="str">
        <f aca="false">IF(I4965="","",J4965*הגדרות!$E$6+I4965+1)</f>
        <v/>
      </c>
      <c r="L4965" s="0" t="str">
        <f aca="false">IF(K4965="","",MATCH(K4965,$F$2:$F$5001,0))</f>
        <v/>
      </c>
      <c r="M4965" s="0" t="str">
        <f aca="false">IF(I4965="","",INDEX(הגדרות!$A$2:$A$21,MOD(I4965+הגדרות!$E$9,הגדרות!$E$6)+1))</f>
        <v/>
      </c>
    </row>
    <row r="4966" customFormat="false" ht="15" hidden="false" customHeight="false" outlineLevel="0" collapsed="false">
      <c r="A4966" s="0" t="str">
        <f aca="false">IF('הדבקת לידים'!A4966="","",IF(ISNUMBER('הדבקת לידים'!A4966),IF(הגדרות!$E$2&gt;0,TEXT('הדבקת לידים'!A4966,REPT("0",הגדרות!$E$2)),TEXT('הדבקת לידים'!A4966,"0")),TRIM('הדבקת לידים'!A4966)))</f>
        <v/>
      </c>
      <c r="B4966" s="0" t="str">
        <f aca="false">IF('הדבקת לידים'!B4966="","",IF(ISNUMBER('הדבקת לידים'!B4966),IF(הגדרות!$E$3&gt;0,TEXT('הדבקת לידים'!B4966,REPT("0",הגדרות!$E$3)),TEXT('הדבקת לידים'!B4966,"0")),TRIM('הדבקת לידים'!B4966)))</f>
        <v/>
      </c>
      <c r="C4966" s="0" t="n">
        <f aca="false">IF(OR(A4966&lt;&gt;"",B4966&lt;&gt;""),1,0)</f>
        <v>0</v>
      </c>
      <c r="D4966" s="0" t="str">
        <f aca="false">IF(C4966=1,MOD(ABS(SIN(ROW()*12.9898+'הדבקת לידים'!$F$2*78.233+IFERROR(--RIGHT(A4966,6),LEN(A4966))*0.0137+IFERROR(--RIGHT(B4966,6),LEN(B4966))*0.0071))*43758.5453,1),"")</f>
        <v/>
      </c>
      <c r="E4966" s="0" t="str">
        <f aca="false">IF(C4966=1,INT(MOD(ABS(SIN(D4966*7919.123+ROW()*0.618+'הדבקת לידים'!$F$2*1.3))*43758.5453,1)*1000000)*10000+ROW(),"")</f>
        <v/>
      </c>
      <c r="F4966" s="0" t="str">
        <f aca="false">IF(E4966="","",RANK(E4966,$E$2:$E$5001,1))</f>
        <v/>
      </c>
      <c r="G4966" s="0" t="n">
        <f aca="false">IF(A4966="",0,IF(SUMPRODUCT(--($A$2:$A$5001=A4966))&gt;1,1,0))</f>
        <v>0</v>
      </c>
      <c r="H4966" s="0" t="n">
        <f aca="false">ROW()-1</f>
        <v>4965</v>
      </c>
      <c r="I4966" s="0" t="str">
        <f aca="false">IF(OR(הגדרות!$E$6=0,H4966&gt;הגדרות!$E$5),"",IF(H4966-1&lt;הגדרות!$E$8*(הגדרות!$E$7+1),INT((H4966-1)/(הגדרות!$E$7+1)),הגדרות!$E$8+INT((H4966-1-הגדרות!$E$8*(הגדרות!$E$7+1))/הגדרות!$E$7)))</f>
        <v/>
      </c>
      <c r="J4966" s="0" t="str">
        <f aca="false">IF(I4966="","",IF(H4966-1&lt;הגדרות!$E$8*(הגדרות!$E$7+1),MOD(H4966-1,הגדרות!$E$7+1),MOD(H4966-1-הגדרות!$E$8*(הגדרות!$E$7+1),הגדרות!$E$7)))</f>
        <v/>
      </c>
      <c r="K4966" s="0" t="str">
        <f aca="false">IF(I4966="","",J4966*הגדרות!$E$6+I4966+1)</f>
        <v/>
      </c>
      <c r="L4966" s="0" t="str">
        <f aca="false">IF(K4966="","",MATCH(K4966,$F$2:$F$5001,0))</f>
        <v/>
      </c>
      <c r="M4966" s="0" t="str">
        <f aca="false">IF(I4966="","",INDEX(הגדרות!$A$2:$A$21,MOD(I4966+הגדרות!$E$9,הגדרות!$E$6)+1))</f>
        <v/>
      </c>
    </row>
    <row r="4967" customFormat="false" ht="15" hidden="false" customHeight="false" outlineLevel="0" collapsed="false">
      <c r="A4967" s="0" t="str">
        <f aca="false">IF('הדבקת לידים'!A4967="","",IF(ISNUMBER('הדבקת לידים'!A4967),IF(הגדרות!$E$2&gt;0,TEXT('הדבקת לידים'!A4967,REPT("0",הגדרות!$E$2)),TEXT('הדבקת לידים'!A4967,"0")),TRIM('הדבקת לידים'!A4967)))</f>
        <v/>
      </c>
      <c r="B4967" s="0" t="str">
        <f aca="false">IF('הדבקת לידים'!B4967="","",IF(ISNUMBER('הדבקת לידים'!B4967),IF(הגדרות!$E$3&gt;0,TEXT('הדבקת לידים'!B4967,REPT("0",הגדרות!$E$3)),TEXT('הדבקת לידים'!B4967,"0")),TRIM('הדבקת לידים'!B4967)))</f>
        <v/>
      </c>
      <c r="C4967" s="0" t="n">
        <f aca="false">IF(OR(A4967&lt;&gt;"",B4967&lt;&gt;""),1,0)</f>
        <v>0</v>
      </c>
      <c r="D4967" s="0" t="str">
        <f aca="false">IF(C4967=1,MOD(ABS(SIN(ROW()*12.9898+'הדבקת לידים'!$F$2*78.233+IFERROR(--RIGHT(A4967,6),LEN(A4967))*0.0137+IFERROR(--RIGHT(B4967,6),LEN(B4967))*0.0071))*43758.5453,1),"")</f>
        <v/>
      </c>
      <c r="E4967" s="0" t="str">
        <f aca="false">IF(C4967=1,INT(MOD(ABS(SIN(D4967*7919.123+ROW()*0.618+'הדבקת לידים'!$F$2*1.3))*43758.5453,1)*1000000)*10000+ROW(),"")</f>
        <v/>
      </c>
      <c r="F4967" s="0" t="str">
        <f aca="false">IF(E4967="","",RANK(E4967,$E$2:$E$5001,1))</f>
        <v/>
      </c>
      <c r="G4967" s="0" t="n">
        <f aca="false">IF(A4967="",0,IF(SUMPRODUCT(--($A$2:$A$5001=A4967))&gt;1,1,0))</f>
        <v>0</v>
      </c>
      <c r="H4967" s="0" t="n">
        <f aca="false">ROW()-1</f>
        <v>4966</v>
      </c>
      <c r="I4967" s="0" t="str">
        <f aca="false">IF(OR(הגדרות!$E$6=0,H4967&gt;הגדרות!$E$5),"",IF(H4967-1&lt;הגדרות!$E$8*(הגדרות!$E$7+1),INT((H4967-1)/(הגדרות!$E$7+1)),הגדרות!$E$8+INT((H4967-1-הגדרות!$E$8*(הגדרות!$E$7+1))/הגדרות!$E$7)))</f>
        <v/>
      </c>
      <c r="J4967" s="0" t="str">
        <f aca="false">IF(I4967="","",IF(H4967-1&lt;הגדרות!$E$8*(הגדרות!$E$7+1),MOD(H4967-1,הגדרות!$E$7+1),MOD(H4967-1-הגדרות!$E$8*(הגדרות!$E$7+1),הגדרות!$E$7)))</f>
        <v/>
      </c>
      <c r="K4967" s="0" t="str">
        <f aca="false">IF(I4967="","",J4967*הגדרות!$E$6+I4967+1)</f>
        <v/>
      </c>
      <c r="L4967" s="0" t="str">
        <f aca="false">IF(K4967="","",MATCH(K4967,$F$2:$F$5001,0))</f>
        <v/>
      </c>
      <c r="M4967" s="0" t="str">
        <f aca="false">IF(I4967="","",INDEX(הגדרות!$A$2:$A$21,MOD(I4967+הגדרות!$E$9,הגדרות!$E$6)+1))</f>
        <v/>
      </c>
    </row>
    <row r="4968" customFormat="false" ht="15" hidden="false" customHeight="false" outlineLevel="0" collapsed="false">
      <c r="A4968" s="0" t="str">
        <f aca="false">IF('הדבקת לידים'!A4968="","",IF(ISNUMBER('הדבקת לידים'!A4968),IF(הגדרות!$E$2&gt;0,TEXT('הדבקת לידים'!A4968,REPT("0",הגדרות!$E$2)),TEXT('הדבקת לידים'!A4968,"0")),TRIM('הדבקת לידים'!A4968)))</f>
        <v/>
      </c>
      <c r="B4968" s="0" t="str">
        <f aca="false">IF('הדבקת לידים'!B4968="","",IF(ISNUMBER('הדבקת לידים'!B4968),IF(הגדרות!$E$3&gt;0,TEXT('הדבקת לידים'!B4968,REPT("0",הגדרות!$E$3)),TEXT('הדבקת לידים'!B4968,"0")),TRIM('הדבקת לידים'!B4968)))</f>
        <v/>
      </c>
      <c r="C4968" s="0" t="n">
        <f aca="false">IF(OR(A4968&lt;&gt;"",B4968&lt;&gt;""),1,0)</f>
        <v>0</v>
      </c>
      <c r="D4968" s="0" t="str">
        <f aca="false">IF(C4968=1,MOD(ABS(SIN(ROW()*12.9898+'הדבקת לידים'!$F$2*78.233+IFERROR(--RIGHT(A4968,6),LEN(A4968))*0.0137+IFERROR(--RIGHT(B4968,6),LEN(B4968))*0.0071))*43758.5453,1),"")</f>
        <v/>
      </c>
      <c r="E4968" s="0" t="str">
        <f aca="false">IF(C4968=1,INT(MOD(ABS(SIN(D4968*7919.123+ROW()*0.618+'הדבקת לידים'!$F$2*1.3))*43758.5453,1)*1000000)*10000+ROW(),"")</f>
        <v/>
      </c>
      <c r="F4968" s="0" t="str">
        <f aca="false">IF(E4968="","",RANK(E4968,$E$2:$E$5001,1))</f>
        <v/>
      </c>
      <c r="G4968" s="0" t="n">
        <f aca="false">IF(A4968="",0,IF(SUMPRODUCT(--($A$2:$A$5001=A4968))&gt;1,1,0))</f>
        <v>0</v>
      </c>
      <c r="H4968" s="0" t="n">
        <f aca="false">ROW()-1</f>
        <v>4967</v>
      </c>
      <c r="I4968" s="0" t="str">
        <f aca="false">IF(OR(הגדרות!$E$6=0,H4968&gt;הגדרות!$E$5),"",IF(H4968-1&lt;הגדרות!$E$8*(הגדרות!$E$7+1),INT((H4968-1)/(הגדרות!$E$7+1)),הגדרות!$E$8+INT((H4968-1-הגדרות!$E$8*(הגדרות!$E$7+1))/הגדרות!$E$7)))</f>
        <v/>
      </c>
      <c r="J4968" s="0" t="str">
        <f aca="false">IF(I4968="","",IF(H4968-1&lt;הגדרות!$E$8*(הגדרות!$E$7+1),MOD(H4968-1,הגדרות!$E$7+1),MOD(H4968-1-הגדרות!$E$8*(הגדרות!$E$7+1),הגדרות!$E$7)))</f>
        <v/>
      </c>
      <c r="K4968" s="0" t="str">
        <f aca="false">IF(I4968="","",J4968*הגדרות!$E$6+I4968+1)</f>
        <v/>
      </c>
      <c r="L4968" s="0" t="str">
        <f aca="false">IF(K4968="","",MATCH(K4968,$F$2:$F$5001,0))</f>
        <v/>
      </c>
      <c r="M4968" s="0" t="str">
        <f aca="false">IF(I4968="","",INDEX(הגדרות!$A$2:$A$21,MOD(I4968+הגדרות!$E$9,הגדרות!$E$6)+1))</f>
        <v/>
      </c>
    </row>
    <row r="4969" customFormat="false" ht="15" hidden="false" customHeight="false" outlineLevel="0" collapsed="false">
      <c r="A4969" s="0" t="str">
        <f aca="false">IF('הדבקת לידים'!A4969="","",IF(ISNUMBER('הדבקת לידים'!A4969),IF(הגדרות!$E$2&gt;0,TEXT('הדבקת לידים'!A4969,REPT("0",הגדרות!$E$2)),TEXT('הדבקת לידים'!A4969,"0")),TRIM('הדבקת לידים'!A4969)))</f>
        <v/>
      </c>
      <c r="B4969" s="0" t="str">
        <f aca="false">IF('הדבקת לידים'!B4969="","",IF(ISNUMBER('הדבקת לידים'!B4969),IF(הגדרות!$E$3&gt;0,TEXT('הדבקת לידים'!B4969,REPT("0",הגדרות!$E$3)),TEXT('הדבקת לידים'!B4969,"0")),TRIM('הדבקת לידים'!B4969)))</f>
        <v/>
      </c>
      <c r="C4969" s="0" t="n">
        <f aca="false">IF(OR(A4969&lt;&gt;"",B4969&lt;&gt;""),1,0)</f>
        <v>0</v>
      </c>
      <c r="D4969" s="0" t="str">
        <f aca="false">IF(C4969=1,MOD(ABS(SIN(ROW()*12.9898+'הדבקת לידים'!$F$2*78.233+IFERROR(--RIGHT(A4969,6),LEN(A4969))*0.0137+IFERROR(--RIGHT(B4969,6),LEN(B4969))*0.0071))*43758.5453,1),"")</f>
        <v/>
      </c>
      <c r="E4969" s="0" t="str">
        <f aca="false">IF(C4969=1,INT(MOD(ABS(SIN(D4969*7919.123+ROW()*0.618+'הדבקת לידים'!$F$2*1.3))*43758.5453,1)*1000000)*10000+ROW(),"")</f>
        <v/>
      </c>
      <c r="F4969" s="0" t="str">
        <f aca="false">IF(E4969="","",RANK(E4969,$E$2:$E$5001,1))</f>
        <v/>
      </c>
      <c r="G4969" s="0" t="n">
        <f aca="false">IF(A4969="",0,IF(SUMPRODUCT(--($A$2:$A$5001=A4969))&gt;1,1,0))</f>
        <v>0</v>
      </c>
      <c r="H4969" s="0" t="n">
        <f aca="false">ROW()-1</f>
        <v>4968</v>
      </c>
      <c r="I4969" s="0" t="str">
        <f aca="false">IF(OR(הגדרות!$E$6=0,H4969&gt;הגדרות!$E$5),"",IF(H4969-1&lt;הגדרות!$E$8*(הגדרות!$E$7+1),INT((H4969-1)/(הגדרות!$E$7+1)),הגדרות!$E$8+INT((H4969-1-הגדרות!$E$8*(הגדרות!$E$7+1))/הגדרות!$E$7)))</f>
        <v/>
      </c>
      <c r="J4969" s="0" t="str">
        <f aca="false">IF(I4969="","",IF(H4969-1&lt;הגדרות!$E$8*(הגדרות!$E$7+1),MOD(H4969-1,הגדרות!$E$7+1),MOD(H4969-1-הגדרות!$E$8*(הגדרות!$E$7+1),הגדרות!$E$7)))</f>
        <v/>
      </c>
      <c r="K4969" s="0" t="str">
        <f aca="false">IF(I4969="","",J4969*הגדרות!$E$6+I4969+1)</f>
        <v/>
      </c>
      <c r="L4969" s="0" t="str">
        <f aca="false">IF(K4969="","",MATCH(K4969,$F$2:$F$5001,0))</f>
        <v/>
      </c>
      <c r="M4969" s="0" t="str">
        <f aca="false">IF(I4969="","",INDEX(הגדרות!$A$2:$A$21,MOD(I4969+הגדרות!$E$9,הגדרות!$E$6)+1))</f>
        <v/>
      </c>
    </row>
    <row r="4970" customFormat="false" ht="15" hidden="false" customHeight="false" outlineLevel="0" collapsed="false">
      <c r="A4970" s="0" t="str">
        <f aca="false">IF('הדבקת לידים'!A4970="","",IF(ISNUMBER('הדבקת לידים'!A4970),IF(הגדרות!$E$2&gt;0,TEXT('הדבקת לידים'!A4970,REPT("0",הגדרות!$E$2)),TEXT('הדבקת לידים'!A4970,"0")),TRIM('הדבקת לידים'!A4970)))</f>
        <v/>
      </c>
      <c r="B4970" s="0" t="str">
        <f aca="false">IF('הדבקת לידים'!B4970="","",IF(ISNUMBER('הדבקת לידים'!B4970),IF(הגדרות!$E$3&gt;0,TEXT('הדבקת לידים'!B4970,REPT("0",הגדרות!$E$3)),TEXT('הדבקת לידים'!B4970,"0")),TRIM('הדבקת לידים'!B4970)))</f>
        <v/>
      </c>
      <c r="C4970" s="0" t="n">
        <f aca="false">IF(OR(A4970&lt;&gt;"",B4970&lt;&gt;""),1,0)</f>
        <v>0</v>
      </c>
      <c r="D4970" s="0" t="str">
        <f aca="false">IF(C4970=1,MOD(ABS(SIN(ROW()*12.9898+'הדבקת לידים'!$F$2*78.233+IFERROR(--RIGHT(A4970,6),LEN(A4970))*0.0137+IFERROR(--RIGHT(B4970,6),LEN(B4970))*0.0071))*43758.5453,1),"")</f>
        <v/>
      </c>
      <c r="E4970" s="0" t="str">
        <f aca="false">IF(C4970=1,INT(MOD(ABS(SIN(D4970*7919.123+ROW()*0.618+'הדבקת לידים'!$F$2*1.3))*43758.5453,1)*1000000)*10000+ROW(),"")</f>
        <v/>
      </c>
      <c r="F4970" s="0" t="str">
        <f aca="false">IF(E4970="","",RANK(E4970,$E$2:$E$5001,1))</f>
        <v/>
      </c>
      <c r="G4970" s="0" t="n">
        <f aca="false">IF(A4970="",0,IF(SUMPRODUCT(--($A$2:$A$5001=A4970))&gt;1,1,0))</f>
        <v>0</v>
      </c>
      <c r="H4970" s="0" t="n">
        <f aca="false">ROW()-1</f>
        <v>4969</v>
      </c>
      <c r="I4970" s="0" t="str">
        <f aca="false">IF(OR(הגדרות!$E$6=0,H4970&gt;הגדרות!$E$5),"",IF(H4970-1&lt;הגדרות!$E$8*(הגדרות!$E$7+1),INT((H4970-1)/(הגדרות!$E$7+1)),הגדרות!$E$8+INT((H4970-1-הגדרות!$E$8*(הגדרות!$E$7+1))/הגדרות!$E$7)))</f>
        <v/>
      </c>
      <c r="J4970" s="0" t="str">
        <f aca="false">IF(I4970="","",IF(H4970-1&lt;הגדרות!$E$8*(הגדרות!$E$7+1),MOD(H4970-1,הגדרות!$E$7+1),MOD(H4970-1-הגדרות!$E$8*(הגדרות!$E$7+1),הגדרות!$E$7)))</f>
        <v/>
      </c>
      <c r="K4970" s="0" t="str">
        <f aca="false">IF(I4970="","",J4970*הגדרות!$E$6+I4970+1)</f>
        <v/>
      </c>
      <c r="L4970" s="0" t="str">
        <f aca="false">IF(K4970="","",MATCH(K4970,$F$2:$F$5001,0))</f>
        <v/>
      </c>
      <c r="M4970" s="0" t="str">
        <f aca="false">IF(I4970="","",INDEX(הגדרות!$A$2:$A$21,MOD(I4970+הגדרות!$E$9,הגדרות!$E$6)+1))</f>
        <v/>
      </c>
    </row>
    <row r="4971" customFormat="false" ht="15" hidden="false" customHeight="false" outlineLevel="0" collapsed="false">
      <c r="A4971" s="0" t="str">
        <f aca="false">IF('הדבקת לידים'!A4971="","",IF(ISNUMBER('הדבקת לידים'!A4971),IF(הגדרות!$E$2&gt;0,TEXT('הדבקת לידים'!A4971,REPT("0",הגדרות!$E$2)),TEXT('הדבקת לידים'!A4971,"0")),TRIM('הדבקת לידים'!A4971)))</f>
        <v/>
      </c>
      <c r="B4971" s="0" t="str">
        <f aca="false">IF('הדבקת לידים'!B4971="","",IF(ISNUMBER('הדבקת לידים'!B4971),IF(הגדרות!$E$3&gt;0,TEXT('הדבקת לידים'!B4971,REPT("0",הגדרות!$E$3)),TEXT('הדבקת לידים'!B4971,"0")),TRIM('הדבקת לידים'!B4971)))</f>
        <v/>
      </c>
      <c r="C4971" s="0" t="n">
        <f aca="false">IF(OR(A4971&lt;&gt;"",B4971&lt;&gt;""),1,0)</f>
        <v>0</v>
      </c>
      <c r="D4971" s="0" t="str">
        <f aca="false">IF(C4971=1,MOD(ABS(SIN(ROW()*12.9898+'הדבקת לידים'!$F$2*78.233+IFERROR(--RIGHT(A4971,6),LEN(A4971))*0.0137+IFERROR(--RIGHT(B4971,6),LEN(B4971))*0.0071))*43758.5453,1),"")</f>
        <v/>
      </c>
      <c r="E4971" s="0" t="str">
        <f aca="false">IF(C4971=1,INT(MOD(ABS(SIN(D4971*7919.123+ROW()*0.618+'הדבקת לידים'!$F$2*1.3))*43758.5453,1)*1000000)*10000+ROW(),"")</f>
        <v/>
      </c>
      <c r="F4971" s="0" t="str">
        <f aca="false">IF(E4971="","",RANK(E4971,$E$2:$E$5001,1))</f>
        <v/>
      </c>
      <c r="G4971" s="0" t="n">
        <f aca="false">IF(A4971="",0,IF(SUMPRODUCT(--($A$2:$A$5001=A4971))&gt;1,1,0))</f>
        <v>0</v>
      </c>
      <c r="H4971" s="0" t="n">
        <f aca="false">ROW()-1</f>
        <v>4970</v>
      </c>
      <c r="I4971" s="0" t="str">
        <f aca="false">IF(OR(הגדרות!$E$6=0,H4971&gt;הגדרות!$E$5),"",IF(H4971-1&lt;הגדרות!$E$8*(הגדרות!$E$7+1),INT((H4971-1)/(הגדרות!$E$7+1)),הגדרות!$E$8+INT((H4971-1-הגדרות!$E$8*(הגדרות!$E$7+1))/הגדרות!$E$7)))</f>
        <v/>
      </c>
      <c r="J4971" s="0" t="str">
        <f aca="false">IF(I4971="","",IF(H4971-1&lt;הגדרות!$E$8*(הגדרות!$E$7+1),MOD(H4971-1,הגדרות!$E$7+1),MOD(H4971-1-הגדרות!$E$8*(הגדרות!$E$7+1),הגדרות!$E$7)))</f>
        <v/>
      </c>
      <c r="K4971" s="0" t="str">
        <f aca="false">IF(I4971="","",J4971*הגדרות!$E$6+I4971+1)</f>
        <v/>
      </c>
      <c r="L4971" s="0" t="str">
        <f aca="false">IF(K4971="","",MATCH(K4971,$F$2:$F$5001,0))</f>
        <v/>
      </c>
      <c r="M4971" s="0" t="str">
        <f aca="false">IF(I4971="","",INDEX(הגדרות!$A$2:$A$21,MOD(I4971+הגדרות!$E$9,הגדרות!$E$6)+1))</f>
        <v/>
      </c>
    </row>
    <row r="4972" customFormat="false" ht="15" hidden="false" customHeight="false" outlineLevel="0" collapsed="false">
      <c r="A4972" s="0" t="str">
        <f aca="false">IF('הדבקת לידים'!A4972="","",IF(ISNUMBER('הדבקת לידים'!A4972),IF(הגדרות!$E$2&gt;0,TEXT('הדבקת לידים'!A4972,REPT("0",הגדרות!$E$2)),TEXT('הדבקת לידים'!A4972,"0")),TRIM('הדבקת לידים'!A4972)))</f>
        <v/>
      </c>
      <c r="B4972" s="0" t="str">
        <f aca="false">IF('הדבקת לידים'!B4972="","",IF(ISNUMBER('הדבקת לידים'!B4972),IF(הגדרות!$E$3&gt;0,TEXT('הדבקת לידים'!B4972,REPT("0",הגדרות!$E$3)),TEXT('הדבקת לידים'!B4972,"0")),TRIM('הדבקת לידים'!B4972)))</f>
        <v/>
      </c>
      <c r="C4972" s="0" t="n">
        <f aca="false">IF(OR(A4972&lt;&gt;"",B4972&lt;&gt;""),1,0)</f>
        <v>0</v>
      </c>
      <c r="D4972" s="0" t="str">
        <f aca="false">IF(C4972=1,MOD(ABS(SIN(ROW()*12.9898+'הדבקת לידים'!$F$2*78.233+IFERROR(--RIGHT(A4972,6),LEN(A4972))*0.0137+IFERROR(--RIGHT(B4972,6),LEN(B4972))*0.0071))*43758.5453,1),"")</f>
        <v/>
      </c>
      <c r="E4972" s="0" t="str">
        <f aca="false">IF(C4972=1,INT(MOD(ABS(SIN(D4972*7919.123+ROW()*0.618+'הדבקת לידים'!$F$2*1.3))*43758.5453,1)*1000000)*10000+ROW(),"")</f>
        <v/>
      </c>
      <c r="F4972" s="0" t="str">
        <f aca="false">IF(E4972="","",RANK(E4972,$E$2:$E$5001,1))</f>
        <v/>
      </c>
      <c r="G4972" s="0" t="n">
        <f aca="false">IF(A4972="",0,IF(SUMPRODUCT(--($A$2:$A$5001=A4972))&gt;1,1,0))</f>
        <v>0</v>
      </c>
      <c r="H4972" s="0" t="n">
        <f aca="false">ROW()-1</f>
        <v>4971</v>
      </c>
      <c r="I4972" s="0" t="str">
        <f aca="false">IF(OR(הגדרות!$E$6=0,H4972&gt;הגדרות!$E$5),"",IF(H4972-1&lt;הגדרות!$E$8*(הגדרות!$E$7+1),INT((H4972-1)/(הגדרות!$E$7+1)),הגדרות!$E$8+INT((H4972-1-הגדרות!$E$8*(הגדרות!$E$7+1))/הגדרות!$E$7)))</f>
        <v/>
      </c>
      <c r="J4972" s="0" t="str">
        <f aca="false">IF(I4972="","",IF(H4972-1&lt;הגדרות!$E$8*(הגדרות!$E$7+1),MOD(H4972-1,הגדרות!$E$7+1),MOD(H4972-1-הגדרות!$E$8*(הגדרות!$E$7+1),הגדרות!$E$7)))</f>
        <v/>
      </c>
      <c r="K4972" s="0" t="str">
        <f aca="false">IF(I4972="","",J4972*הגדרות!$E$6+I4972+1)</f>
        <v/>
      </c>
      <c r="L4972" s="0" t="str">
        <f aca="false">IF(K4972="","",MATCH(K4972,$F$2:$F$5001,0))</f>
        <v/>
      </c>
      <c r="M4972" s="0" t="str">
        <f aca="false">IF(I4972="","",INDEX(הגדרות!$A$2:$A$21,MOD(I4972+הגדרות!$E$9,הגדרות!$E$6)+1))</f>
        <v/>
      </c>
    </row>
    <row r="4973" customFormat="false" ht="15" hidden="false" customHeight="false" outlineLevel="0" collapsed="false">
      <c r="A4973" s="0" t="str">
        <f aca="false">IF('הדבקת לידים'!A4973="","",IF(ISNUMBER('הדבקת לידים'!A4973),IF(הגדרות!$E$2&gt;0,TEXT('הדבקת לידים'!A4973,REPT("0",הגדרות!$E$2)),TEXT('הדבקת לידים'!A4973,"0")),TRIM('הדבקת לידים'!A4973)))</f>
        <v/>
      </c>
      <c r="B4973" s="0" t="str">
        <f aca="false">IF('הדבקת לידים'!B4973="","",IF(ISNUMBER('הדבקת לידים'!B4973),IF(הגדרות!$E$3&gt;0,TEXT('הדבקת לידים'!B4973,REPT("0",הגדרות!$E$3)),TEXT('הדבקת לידים'!B4973,"0")),TRIM('הדבקת לידים'!B4973)))</f>
        <v/>
      </c>
      <c r="C4973" s="0" t="n">
        <f aca="false">IF(OR(A4973&lt;&gt;"",B4973&lt;&gt;""),1,0)</f>
        <v>0</v>
      </c>
      <c r="D4973" s="0" t="str">
        <f aca="false">IF(C4973=1,MOD(ABS(SIN(ROW()*12.9898+'הדבקת לידים'!$F$2*78.233+IFERROR(--RIGHT(A4973,6),LEN(A4973))*0.0137+IFERROR(--RIGHT(B4973,6),LEN(B4973))*0.0071))*43758.5453,1),"")</f>
        <v/>
      </c>
      <c r="E4973" s="0" t="str">
        <f aca="false">IF(C4973=1,INT(MOD(ABS(SIN(D4973*7919.123+ROW()*0.618+'הדבקת לידים'!$F$2*1.3))*43758.5453,1)*1000000)*10000+ROW(),"")</f>
        <v/>
      </c>
      <c r="F4973" s="0" t="str">
        <f aca="false">IF(E4973="","",RANK(E4973,$E$2:$E$5001,1))</f>
        <v/>
      </c>
      <c r="G4973" s="0" t="n">
        <f aca="false">IF(A4973="",0,IF(SUMPRODUCT(--($A$2:$A$5001=A4973))&gt;1,1,0))</f>
        <v>0</v>
      </c>
      <c r="H4973" s="0" t="n">
        <f aca="false">ROW()-1</f>
        <v>4972</v>
      </c>
      <c r="I4973" s="0" t="str">
        <f aca="false">IF(OR(הגדרות!$E$6=0,H4973&gt;הגדרות!$E$5),"",IF(H4973-1&lt;הגדרות!$E$8*(הגדרות!$E$7+1),INT((H4973-1)/(הגדרות!$E$7+1)),הגדרות!$E$8+INT((H4973-1-הגדרות!$E$8*(הגדרות!$E$7+1))/הגדרות!$E$7)))</f>
        <v/>
      </c>
      <c r="J4973" s="0" t="str">
        <f aca="false">IF(I4973="","",IF(H4973-1&lt;הגדרות!$E$8*(הגדרות!$E$7+1),MOD(H4973-1,הגדרות!$E$7+1),MOD(H4973-1-הגדרות!$E$8*(הגדרות!$E$7+1),הגדרות!$E$7)))</f>
        <v/>
      </c>
      <c r="K4973" s="0" t="str">
        <f aca="false">IF(I4973="","",J4973*הגדרות!$E$6+I4973+1)</f>
        <v/>
      </c>
      <c r="L4973" s="0" t="str">
        <f aca="false">IF(K4973="","",MATCH(K4973,$F$2:$F$5001,0))</f>
        <v/>
      </c>
      <c r="M4973" s="0" t="str">
        <f aca="false">IF(I4973="","",INDEX(הגדרות!$A$2:$A$21,MOD(I4973+הגדרות!$E$9,הגדרות!$E$6)+1))</f>
        <v/>
      </c>
    </row>
    <row r="4974" customFormat="false" ht="15" hidden="false" customHeight="false" outlineLevel="0" collapsed="false">
      <c r="A4974" s="0" t="str">
        <f aca="false">IF('הדבקת לידים'!A4974="","",IF(ISNUMBER('הדבקת לידים'!A4974),IF(הגדרות!$E$2&gt;0,TEXT('הדבקת לידים'!A4974,REPT("0",הגדרות!$E$2)),TEXT('הדבקת לידים'!A4974,"0")),TRIM('הדבקת לידים'!A4974)))</f>
        <v/>
      </c>
      <c r="B4974" s="0" t="str">
        <f aca="false">IF('הדבקת לידים'!B4974="","",IF(ISNUMBER('הדבקת לידים'!B4974),IF(הגדרות!$E$3&gt;0,TEXT('הדבקת לידים'!B4974,REPT("0",הגדרות!$E$3)),TEXT('הדבקת לידים'!B4974,"0")),TRIM('הדבקת לידים'!B4974)))</f>
        <v/>
      </c>
      <c r="C4974" s="0" t="n">
        <f aca="false">IF(OR(A4974&lt;&gt;"",B4974&lt;&gt;""),1,0)</f>
        <v>0</v>
      </c>
      <c r="D4974" s="0" t="str">
        <f aca="false">IF(C4974=1,MOD(ABS(SIN(ROW()*12.9898+'הדבקת לידים'!$F$2*78.233+IFERROR(--RIGHT(A4974,6),LEN(A4974))*0.0137+IFERROR(--RIGHT(B4974,6),LEN(B4974))*0.0071))*43758.5453,1),"")</f>
        <v/>
      </c>
      <c r="E4974" s="0" t="str">
        <f aca="false">IF(C4974=1,INT(MOD(ABS(SIN(D4974*7919.123+ROW()*0.618+'הדבקת לידים'!$F$2*1.3))*43758.5453,1)*1000000)*10000+ROW(),"")</f>
        <v/>
      </c>
      <c r="F4974" s="0" t="str">
        <f aca="false">IF(E4974="","",RANK(E4974,$E$2:$E$5001,1))</f>
        <v/>
      </c>
      <c r="G4974" s="0" t="n">
        <f aca="false">IF(A4974="",0,IF(SUMPRODUCT(--($A$2:$A$5001=A4974))&gt;1,1,0))</f>
        <v>0</v>
      </c>
      <c r="H4974" s="0" t="n">
        <f aca="false">ROW()-1</f>
        <v>4973</v>
      </c>
      <c r="I4974" s="0" t="str">
        <f aca="false">IF(OR(הגדרות!$E$6=0,H4974&gt;הגדרות!$E$5),"",IF(H4974-1&lt;הגדרות!$E$8*(הגדרות!$E$7+1),INT((H4974-1)/(הגדרות!$E$7+1)),הגדרות!$E$8+INT((H4974-1-הגדרות!$E$8*(הגדרות!$E$7+1))/הגדרות!$E$7)))</f>
        <v/>
      </c>
      <c r="J4974" s="0" t="str">
        <f aca="false">IF(I4974="","",IF(H4974-1&lt;הגדרות!$E$8*(הגדרות!$E$7+1),MOD(H4974-1,הגדרות!$E$7+1),MOD(H4974-1-הגדרות!$E$8*(הגדרות!$E$7+1),הגדרות!$E$7)))</f>
        <v/>
      </c>
      <c r="K4974" s="0" t="str">
        <f aca="false">IF(I4974="","",J4974*הגדרות!$E$6+I4974+1)</f>
        <v/>
      </c>
      <c r="L4974" s="0" t="str">
        <f aca="false">IF(K4974="","",MATCH(K4974,$F$2:$F$5001,0))</f>
        <v/>
      </c>
      <c r="M4974" s="0" t="str">
        <f aca="false">IF(I4974="","",INDEX(הגדרות!$A$2:$A$21,MOD(I4974+הגדרות!$E$9,הגדרות!$E$6)+1))</f>
        <v/>
      </c>
    </row>
    <row r="4975" customFormat="false" ht="15" hidden="false" customHeight="false" outlineLevel="0" collapsed="false">
      <c r="A4975" s="0" t="str">
        <f aca="false">IF('הדבקת לידים'!A4975="","",IF(ISNUMBER('הדבקת לידים'!A4975),IF(הגדרות!$E$2&gt;0,TEXT('הדבקת לידים'!A4975,REPT("0",הגדרות!$E$2)),TEXT('הדבקת לידים'!A4975,"0")),TRIM('הדבקת לידים'!A4975)))</f>
        <v/>
      </c>
      <c r="B4975" s="0" t="str">
        <f aca="false">IF('הדבקת לידים'!B4975="","",IF(ISNUMBER('הדבקת לידים'!B4975),IF(הגדרות!$E$3&gt;0,TEXT('הדבקת לידים'!B4975,REPT("0",הגדרות!$E$3)),TEXT('הדבקת לידים'!B4975,"0")),TRIM('הדבקת לידים'!B4975)))</f>
        <v/>
      </c>
      <c r="C4975" s="0" t="n">
        <f aca="false">IF(OR(A4975&lt;&gt;"",B4975&lt;&gt;""),1,0)</f>
        <v>0</v>
      </c>
      <c r="D4975" s="0" t="str">
        <f aca="false">IF(C4975=1,MOD(ABS(SIN(ROW()*12.9898+'הדבקת לידים'!$F$2*78.233+IFERROR(--RIGHT(A4975,6),LEN(A4975))*0.0137+IFERROR(--RIGHT(B4975,6),LEN(B4975))*0.0071))*43758.5453,1),"")</f>
        <v/>
      </c>
      <c r="E4975" s="0" t="str">
        <f aca="false">IF(C4975=1,INT(MOD(ABS(SIN(D4975*7919.123+ROW()*0.618+'הדבקת לידים'!$F$2*1.3))*43758.5453,1)*1000000)*10000+ROW(),"")</f>
        <v/>
      </c>
      <c r="F4975" s="0" t="str">
        <f aca="false">IF(E4975="","",RANK(E4975,$E$2:$E$5001,1))</f>
        <v/>
      </c>
      <c r="G4975" s="0" t="n">
        <f aca="false">IF(A4975="",0,IF(SUMPRODUCT(--($A$2:$A$5001=A4975))&gt;1,1,0))</f>
        <v>0</v>
      </c>
      <c r="H4975" s="0" t="n">
        <f aca="false">ROW()-1</f>
        <v>4974</v>
      </c>
      <c r="I4975" s="0" t="str">
        <f aca="false">IF(OR(הגדרות!$E$6=0,H4975&gt;הגדרות!$E$5),"",IF(H4975-1&lt;הגדרות!$E$8*(הגדרות!$E$7+1),INT((H4975-1)/(הגדרות!$E$7+1)),הגדרות!$E$8+INT((H4975-1-הגדרות!$E$8*(הגדרות!$E$7+1))/הגדרות!$E$7)))</f>
        <v/>
      </c>
      <c r="J4975" s="0" t="str">
        <f aca="false">IF(I4975="","",IF(H4975-1&lt;הגדרות!$E$8*(הגדרות!$E$7+1),MOD(H4975-1,הגדרות!$E$7+1),MOD(H4975-1-הגדרות!$E$8*(הגדרות!$E$7+1),הגדרות!$E$7)))</f>
        <v/>
      </c>
      <c r="K4975" s="0" t="str">
        <f aca="false">IF(I4975="","",J4975*הגדרות!$E$6+I4975+1)</f>
        <v/>
      </c>
      <c r="L4975" s="0" t="str">
        <f aca="false">IF(K4975="","",MATCH(K4975,$F$2:$F$5001,0))</f>
        <v/>
      </c>
      <c r="M4975" s="0" t="str">
        <f aca="false">IF(I4975="","",INDEX(הגדרות!$A$2:$A$21,MOD(I4975+הגדרות!$E$9,הגדרות!$E$6)+1))</f>
        <v/>
      </c>
    </row>
    <row r="4976" customFormat="false" ht="15" hidden="false" customHeight="false" outlineLevel="0" collapsed="false">
      <c r="A4976" s="0" t="str">
        <f aca="false">IF('הדבקת לידים'!A4976="","",IF(ISNUMBER('הדבקת לידים'!A4976),IF(הגדרות!$E$2&gt;0,TEXT('הדבקת לידים'!A4976,REPT("0",הגדרות!$E$2)),TEXT('הדבקת לידים'!A4976,"0")),TRIM('הדבקת לידים'!A4976)))</f>
        <v/>
      </c>
      <c r="B4976" s="0" t="str">
        <f aca="false">IF('הדבקת לידים'!B4976="","",IF(ISNUMBER('הדבקת לידים'!B4976),IF(הגדרות!$E$3&gt;0,TEXT('הדבקת לידים'!B4976,REPT("0",הגדרות!$E$3)),TEXT('הדבקת לידים'!B4976,"0")),TRIM('הדבקת לידים'!B4976)))</f>
        <v/>
      </c>
      <c r="C4976" s="0" t="n">
        <f aca="false">IF(OR(A4976&lt;&gt;"",B4976&lt;&gt;""),1,0)</f>
        <v>0</v>
      </c>
      <c r="D4976" s="0" t="str">
        <f aca="false">IF(C4976=1,MOD(ABS(SIN(ROW()*12.9898+'הדבקת לידים'!$F$2*78.233+IFERROR(--RIGHT(A4976,6),LEN(A4976))*0.0137+IFERROR(--RIGHT(B4976,6),LEN(B4976))*0.0071))*43758.5453,1),"")</f>
        <v/>
      </c>
      <c r="E4976" s="0" t="str">
        <f aca="false">IF(C4976=1,INT(MOD(ABS(SIN(D4976*7919.123+ROW()*0.618+'הדבקת לידים'!$F$2*1.3))*43758.5453,1)*1000000)*10000+ROW(),"")</f>
        <v/>
      </c>
      <c r="F4976" s="0" t="str">
        <f aca="false">IF(E4976="","",RANK(E4976,$E$2:$E$5001,1))</f>
        <v/>
      </c>
      <c r="G4976" s="0" t="n">
        <f aca="false">IF(A4976="",0,IF(SUMPRODUCT(--($A$2:$A$5001=A4976))&gt;1,1,0))</f>
        <v>0</v>
      </c>
      <c r="H4976" s="0" t="n">
        <f aca="false">ROW()-1</f>
        <v>4975</v>
      </c>
      <c r="I4976" s="0" t="str">
        <f aca="false">IF(OR(הגדרות!$E$6=0,H4976&gt;הגדרות!$E$5),"",IF(H4976-1&lt;הגדרות!$E$8*(הגדרות!$E$7+1),INT((H4976-1)/(הגדרות!$E$7+1)),הגדרות!$E$8+INT((H4976-1-הגדרות!$E$8*(הגדרות!$E$7+1))/הגדרות!$E$7)))</f>
        <v/>
      </c>
      <c r="J4976" s="0" t="str">
        <f aca="false">IF(I4976="","",IF(H4976-1&lt;הגדרות!$E$8*(הגדרות!$E$7+1),MOD(H4976-1,הגדרות!$E$7+1),MOD(H4976-1-הגדרות!$E$8*(הגדרות!$E$7+1),הגדרות!$E$7)))</f>
        <v/>
      </c>
      <c r="K4976" s="0" t="str">
        <f aca="false">IF(I4976="","",J4976*הגדרות!$E$6+I4976+1)</f>
        <v/>
      </c>
      <c r="L4976" s="0" t="str">
        <f aca="false">IF(K4976="","",MATCH(K4976,$F$2:$F$5001,0))</f>
        <v/>
      </c>
      <c r="M4976" s="0" t="str">
        <f aca="false">IF(I4976="","",INDEX(הגדרות!$A$2:$A$21,MOD(I4976+הגדרות!$E$9,הגדרות!$E$6)+1))</f>
        <v/>
      </c>
    </row>
    <row r="4977" customFormat="false" ht="15" hidden="false" customHeight="false" outlineLevel="0" collapsed="false">
      <c r="A4977" s="0" t="str">
        <f aca="false">IF('הדבקת לידים'!A4977="","",IF(ISNUMBER('הדבקת לידים'!A4977),IF(הגדרות!$E$2&gt;0,TEXT('הדבקת לידים'!A4977,REPT("0",הגדרות!$E$2)),TEXT('הדבקת לידים'!A4977,"0")),TRIM('הדבקת לידים'!A4977)))</f>
        <v/>
      </c>
      <c r="B4977" s="0" t="str">
        <f aca="false">IF('הדבקת לידים'!B4977="","",IF(ISNUMBER('הדבקת לידים'!B4977),IF(הגדרות!$E$3&gt;0,TEXT('הדבקת לידים'!B4977,REPT("0",הגדרות!$E$3)),TEXT('הדבקת לידים'!B4977,"0")),TRIM('הדבקת לידים'!B4977)))</f>
        <v/>
      </c>
      <c r="C4977" s="0" t="n">
        <f aca="false">IF(OR(A4977&lt;&gt;"",B4977&lt;&gt;""),1,0)</f>
        <v>0</v>
      </c>
      <c r="D4977" s="0" t="str">
        <f aca="false">IF(C4977=1,MOD(ABS(SIN(ROW()*12.9898+'הדבקת לידים'!$F$2*78.233+IFERROR(--RIGHT(A4977,6),LEN(A4977))*0.0137+IFERROR(--RIGHT(B4977,6),LEN(B4977))*0.0071))*43758.5453,1),"")</f>
        <v/>
      </c>
      <c r="E4977" s="0" t="str">
        <f aca="false">IF(C4977=1,INT(MOD(ABS(SIN(D4977*7919.123+ROW()*0.618+'הדבקת לידים'!$F$2*1.3))*43758.5453,1)*1000000)*10000+ROW(),"")</f>
        <v/>
      </c>
      <c r="F4977" s="0" t="str">
        <f aca="false">IF(E4977="","",RANK(E4977,$E$2:$E$5001,1))</f>
        <v/>
      </c>
      <c r="G4977" s="0" t="n">
        <f aca="false">IF(A4977="",0,IF(SUMPRODUCT(--($A$2:$A$5001=A4977))&gt;1,1,0))</f>
        <v>0</v>
      </c>
      <c r="H4977" s="0" t="n">
        <f aca="false">ROW()-1</f>
        <v>4976</v>
      </c>
      <c r="I4977" s="0" t="str">
        <f aca="false">IF(OR(הגדרות!$E$6=0,H4977&gt;הגדרות!$E$5),"",IF(H4977-1&lt;הגדרות!$E$8*(הגדרות!$E$7+1),INT((H4977-1)/(הגדרות!$E$7+1)),הגדרות!$E$8+INT((H4977-1-הגדרות!$E$8*(הגדרות!$E$7+1))/הגדרות!$E$7)))</f>
        <v/>
      </c>
      <c r="J4977" s="0" t="str">
        <f aca="false">IF(I4977="","",IF(H4977-1&lt;הגדרות!$E$8*(הגדרות!$E$7+1),MOD(H4977-1,הגדרות!$E$7+1),MOD(H4977-1-הגדרות!$E$8*(הגדרות!$E$7+1),הגדרות!$E$7)))</f>
        <v/>
      </c>
      <c r="K4977" s="0" t="str">
        <f aca="false">IF(I4977="","",J4977*הגדרות!$E$6+I4977+1)</f>
        <v/>
      </c>
      <c r="L4977" s="0" t="str">
        <f aca="false">IF(K4977="","",MATCH(K4977,$F$2:$F$5001,0))</f>
        <v/>
      </c>
      <c r="M4977" s="0" t="str">
        <f aca="false">IF(I4977="","",INDEX(הגדרות!$A$2:$A$21,MOD(I4977+הגדרות!$E$9,הגדרות!$E$6)+1))</f>
        <v/>
      </c>
    </row>
    <row r="4978" customFormat="false" ht="15" hidden="false" customHeight="false" outlineLevel="0" collapsed="false">
      <c r="A4978" s="0" t="str">
        <f aca="false">IF('הדבקת לידים'!A4978="","",IF(ISNUMBER('הדבקת לידים'!A4978),IF(הגדרות!$E$2&gt;0,TEXT('הדבקת לידים'!A4978,REPT("0",הגדרות!$E$2)),TEXT('הדבקת לידים'!A4978,"0")),TRIM('הדבקת לידים'!A4978)))</f>
        <v/>
      </c>
      <c r="B4978" s="0" t="str">
        <f aca="false">IF('הדבקת לידים'!B4978="","",IF(ISNUMBER('הדבקת לידים'!B4978),IF(הגדרות!$E$3&gt;0,TEXT('הדבקת לידים'!B4978,REPT("0",הגדרות!$E$3)),TEXT('הדבקת לידים'!B4978,"0")),TRIM('הדבקת לידים'!B4978)))</f>
        <v/>
      </c>
      <c r="C4978" s="0" t="n">
        <f aca="false">IF(OR(A4978&lt;&gt;"",B4978&lt;&gt;""),1,0)</f>
        <v>0</v>
      </c>
      <c r="D4978" s="0" t="str">
        <f aca="false">IF(C4978=1,MOD(ABS(SIN(ROW()*12.9898+'הדבקת לידים'!$F$2*78.233+IFERROR(--RIGHT(A4978,6),LEN(A4978))*0.0137+IFERROR(--RIGHT(B4978,6),LEN(B4978))*0.0071))*43758.5453,1),"")</f>
        <v/>
      </c>
      <c r="E4978" s="0" t="str">
        <f aca="false">IF(C4978=1,INT(MOD(ABS(SIN(D4978*7919.123+ROW()*0.618+'הדבקת לידים'!$F$2*1.3))*43758.5453,1)*1000000)*10000+ROW(),"")</f>
        <v/>
      </c>
      <c r="F4978" s="0" t="str">
        <f aca="false">IF(E4978="","",RANK(E4978,$E$2:$E$5001,1))</f>
        <v/>
      </c>
      <c r="G4978" s="0" t="n">
        <f aca="false">IF(A4978="",0,IF(SUMPRODUCT(--($A$2:$A$5001=A4978))&gt;1,1,0))</f>
        <v>0</v>
      </c>
      <c r="H4978" s="0" t="n">
        <f aca="false">ROW()-1</f>
        <v>4977</v>
      </c>
      <c r="I4978" s="0" t="str">
        <f aca="false">IF(OR(הגדרות!$E$6=0,H4978&gt;הגדרות!$E$5),"",IF(H4978-1&lt;הגדרות!$E$8*(הגדרות!$E$7+1),INT((H4978-1)/(הגדרות!$E$7+1)),הגדרות!$E$8+INT((H4978-1-הגדרות!$E$8*(הגדרות!$E$7+1))/הגדרות!$E$7)))</f>
        <v/>
      </c>
      <c r="J4978" s="0" t="str">
        <f aca="false">IF(I4978="","",IF(H4978-1&lt;הגדרות!$E$8*(הגדרות!$E$7+1),MOD(H4978-1,הגדרות!$E$7+1),MOD(H4978-1-הגדרות!$E$8*(הגדרות!$E$7+1),הגדרות!$E$7)))</f>
        <v/>
      </c>
      <c r="K4978" s="0" t="str">
        <f aca="false">IF(I4978="","",J4978*הגדרות!$E$6+I4978+1)</f>
        <v/>
      </c>
      <c r="L4978" s="0" t="str">
        <f aca="false">IF(K4978="","",MATCH(K4978,$F$2:$F$5001,0))</f>
        <v/>
      </c>
      <c r="M4978" s="0" t="str">
        <f aca="false">IF(I4978="","",INDEX(הגדרות!$A$2:$A$21,MOD(I4978+הגדרות!$E$9,הגדרות!$E$6)+1))</f>
        <v/>
      </c>
    </row>
    <row r="4979" customFormat="false" ht="15" hidden="false" customHeight="false" outlineLevel="0" collapsed="false">
      <c r="A4979" s="0" t="str">
        <f aca="false">IF('הדבקת לידים'!A4979="","",IF(ISNUMBER('הדבקת לידים'!A4979),IF(הגדרות!$E$2&gt;0,TEXT('הדבקת לידים'!A4979,REPT("0",הגדרות!$E$2)),TEXT('הדבקת לידים'!A4979,"0")),TRIM('הדבקת לידים'!A4979)))</f>
        <v/>
      </c>
      <c r="B4979" s="0" t="str">
        <f aca="false">IF('הדבקת לידים'!B4979="","",IF(ISNUMBER('הדבקת לידים'!B4979),IF(הגדרות!$E$3&gt;0,TEXT('הדבקת לידים'!B4979,REPT("0",הגדרות!$E$3)),TEXT('הדבקת לידים'!B4979,"0")),TRIM('הדבקת לידים'!B4979)))</f>
        <v/>
      </c>
      <c r="C4979" s="0" t="n">
        <f aca="false">IF(OR(A4979&lt;&gt;"",B4979&lt;&gt;""),1,0)</f>
        <v>0</v>
      </c>
      <c r="D4979" s="0" t="str">
        <f aca="false">IF(C4979=1,MOD(ABS(SIN(ROW()*12.9898+'הדבקת לידים'!$F$2*78.233+IFERROR(--RIGHT(A4979,6),LEN(A4979))*0.0137+IFERROR(--RIGHT(B4979,6),LEN(B4979))*0.0071))*43758.5453,1),"")</f>
        <v/>
      </c>
      <c r="E4979" s="0" t="str">
        <f aca="false">IF(C4979=1,INT(MOD(ABS(SIN(D4979*7919.123+ROW()*0.618+'הדבקת לידים'!$F$2*1.3))*43758.5453,1)*1000000)*10000+ROW(),"")</f>
        <v/>
      </c>
      <c r="F4979" s="0" t="str">
        <f aca="false">IF(E4979="","",RANK(E4979,$E$2:$E$5001,1))</f>
        <v/>
      </c>
      <c r="G4979" s="0" t="n">
        <f aca="false">IF(A4979="",0,IF(SUMPRODUCT(--($A$2:$A$5001=A4979))&gt;1,1,0))</f>
        <v>0</v>
      </c>
      <c r="H4979" s="0" t="n">
        <f aca="false">ROW()-1</f>
        <v>4978</v>
      </c>
      <c r="I4979" s="0" t="str">
        <f aca="false">IF(OR(הגדרות!$E$6=0,H4979&gt;הגדרות!$E$5),"",IF(H4979-1&lt;הגדרות!$E$8*(הגדרות!$E$7+1),INT((H4979-1)/(הגדרות!$E$7+1)),הגדרות!$E$8+INT((H4979-1-הגדרות!$E$8*(הגדרות!$E$7+1))/הגדרות!$E$7)))</f>
        <v/>
      </c>
      <c r="J4979" s="0" t="str">
        <f aca="false">IF(I4979="","",IF(H4979-1&lt;הגדרות!$E$8*(הגדרות!$E$7+1),MOD(H4979-1,הגדרות!$E$7+1),MOD(H4979-1-הגדרות!$E$8*(הגדרות!$E$7+1),הגדרות!$E$7)))</f>
        <v/>
      </c>
      <c r="K4979" s="0" t="str">
        <f aca="false">IF(I4979="","",J4979*הגדרות!$E$6+I4979+1)</f>
        <v/>
      </c>
      <c r="L4979" s="0" t="str">
        <f aca="false">IF(K4979="","",MATCH(K4979,$F$2:$F$5001,0))</f>
        <v/>
      </c>
      <c r="M4979" s="0" t="str">
        <f aca="false">IF(I4979="","",INDEX(הגדרות!$A$2:$A$21,MOD(I4979+הגדרות!$E$9,הגדרות!$E$6)+1))</f>
        <v/>
      </c>
    </row>
    <row r="4980" customFormat="false" ht="15" hidden="false" customHeight="false" outlineLevel="0" collapsed="false">
      <c r="A4980" s="0" t="str">
        <f aca="false">IF('הדבקת לידים'!A4980="","",IF(ISNUMBER('הדבקת לידים'!A4980),IF(הגדרות!$E$2&gt;0,TEXT('הדבקת לידים'!A4980,REPT("0",הגדרות!$E$2)),TEXT('הדבקת לידים'!A4980,"0")),TRIM('הדבקת לידים'!A4980)))</f>
        <v/>
      </c>
      <c r="B4980" s="0" t="str">
        <f aca="false">IF('הדבקת לידים'!B4980="","",IF(ISNUMBER('הדבקת לידים'!B4980),IF(הגדרות!$E$3&gt;0,TEXT('הדבקת לידים'!B4980,REPT("0",הגדרות!$E$3)),TEXT('הדבקת לידים'!B4980,"0")),TRIM('הדבקת לידים'!B4980)))</f>
        <v/>
      </c>
      <c r="C4980" s="0" t="n">
        <f aca="false">IF(OR(A4980&lt;&gt;"",B4980&lt;&gt;""),1,0)</f>
        <v>0</v>
      </c>
      <c r="D4980" s="0" t="str">
        <f aca="false">IF(C4980=1,MOD(ABS(SIN(ROW()*12.9898+'הדבקת לידים'!$F$2*78.233+IFERROR(--RIGHT(A4980,6),LEN(A4980))*0.0137+IFERROR(--RIGHT(B4980,6),LEN(B4980))*0.0071))*43758.5453,1),"")</f>
        <v/>
      </c>
      <c r="E4980" s="0" t="str">
        <f aca="false">IF(C4980=1,INT(MOD(ABS(SIN(D4980*7919.123+ROW()*0.618+'הדבקת לידים'!$F$2*1.3))*43758.5453,1)*1000000)*10000+ROW(),"")</f>
        <v/>
      </c>
      <c r="F4980" s="0" t="str">
        <f aca="false">IF(E4980="","",RANK(E4980,$E$2:$E$5001,1))</f>
        <v/>
      </c>
      <c r="G4980" s="0" t="n">
        <f aca="false">IF(A4980="",0,IF(SUMPRODUCT(--($A$2:$A$5001=A4980))&gt;1,1,0))</f>
        <v>0</v>
      </c>
      <c r="H4980" s="0" t="n">
        <f aca="false">ROW()-1</f>
        <v>4979</v>
      </c>
      <c r="I4980" s="0" t="str">
        <f aca="false">IF(OR(הגדרות!$E$6=0,H4980&gt;הגדרות!$E$5),"",IF(H4980-1&lt;הגדרות!$E$8*(הגדרות!$E$7+1),INT((H4980-1)/(הגדרות!$E$7+1)),הגדרות!$E$8+INT((H4980-1-הגדרות!$E$8*(הגדרות!$E$7+1))/הגדרות!$E$7)))</f>
        <v/>
      </c>
      <c r="J4980" s="0" t="str">
        <f aca="false">IF(I4980="","",IF(H4980-1&lt;הגדרות!$E$8*(הגדרות!$E$7+1),MOD(H4980-1,הגדרות!$E$7+1),MOD(H4980-1-הגדרות!$E$8*(הגדרות!$E$7+1),הגדרות!$E$7)))</f>
        <v/>
      </c>
      <c r="K4980" s="0" t="str">
        <f aca="false">IF(I4980="","",J4980*הגדרות!$E$6+I4980+1)</f>
        <v/>
      </c>
      <c r="L4980" s="0" t="str">
        <f aca="false">IF(K4980="","",MATCH(K4980,$F$2:$F$5001,0))</f>
        <v/>
      </c>
      <c r="M4980" s="0" t="str">
        <f aca="false">IF(I4980="","",INDEX(הגדרות!$A$2:$A$21,MOD(I4980+הגדרות!$E$9,הגדרות!$E$6)+1))</f>
        <v/>
      </c>
    </row>
    <row r="4981" customFormat="false" ht="15" hidden="false" customHeight="false" outlineLevel="0" collapsed="false">
      <c r="A4981" s="0" t="str">
        <f aca="false">IF('הדבקת לידים'!A4981="","",IF(ISNUMBER('הדבקת לידים'!A4981),IF(הגדרות!$E$2&gt;0,TEXT('הדבקת לידים'!A4981,REPT("0",הגדרות!$E$2)),TEXT('הדבקת לידים'!A4981,"0")),TRIM('הדבקת לידים'!A4981)))</f>
        <v/>
      </c>
      <c r="B4981" s="0" t="str">
        <f aca="false">IF('הדבקת לידים'!B4981="","",IF(ISNUMBER('הדבקת לידים'!B4981),IF(הגדרות!$E$3&gt;0,TEXT('הדבקת לידים'!B4981,REPT("0",הגדרות!$E$3)),TEXT('הדבקת לידים'!B4981,"0")),TRIM('הדבקת לידים'!B4981)))</f>
        <v/>
      </c>
      <c r="C4981" s="0" t="n">
        <f aca="false">IF(OR(A4981&lt;&gt;"",B4981&lt;&gt;""),1,0)</f>
        <v>0</v>
      </c>
      <c r="D4981" s="0" t="str">
        <f aca="false">IF(C4981=1,MOD(ABS(SIN(ROW()*12.9898+'הדבקת לידים'!$F$2*78.233+IFERROR(--RIGHT(A4981,6),LEN(A4981))*0.0137+IFERROR(--RIGHT(B4981,6),LEN(B4981))*0.0071))*43758.5453,1),"")</f>
        <v/>
      </c>
      <c r="E4981" s="0" t="str">
        <f aca="false">IF(C4981=1,INT(MOD(ABS(SIN(D4981*7919.123+ROW()*0.618+'הדבקת לידים'!$F$2*1.3))*43758.5453,1)*1000000)*10000+ROW(),"")</f>
        <v/>
      </c>
      <c r="F4981" s="0" t="str">
        <f aca="false">IF(E4981="","",RANK(E4981,$E$2:$E$5001,1))</f>
        <v/>
      </c>
      <c r="G4981" s="0" t="n">
        <f aca="false">IF(A4981="",0,IF(SUMPRODUCT(--($A$2:$A$5001=A4981))&gt;1,1,0))</f>
        <v>0</v>
      </c>
      <c r="H4981" s="0" t="n">
        <f aca="false">ROW()-1</f>
        <v>4980</v>
      </c>
      <c r="I4981" s="0" t="str">
        <f aca="false">IF(OR(הגדרות!$E$6=0,H4981&gt;הגדרות!$E$5),"",IF(H4981-1&lt;הגדרות!$E$8*(הגדרות!$E$7+1),INT((H4981-1)/(הגדרות!$E$7+1)),הגדרות!$E$8+INT((H4981-1-הגדרות!$E$8*(הגדרות!$E$7+1))/הגדרות!$E$7)))</f>
        <v/>
      </c>
      <c r="J4981" s="0" t="str">
        <f aca="false">IF(I4981="","",IF(H4981-1&lt;הגדרות!$E$8*(הגדרות!$E$7+1),MOD(H4981-1,הגדרות!$E$7+1),MOD(H4981-1-הגדרות!$E$8*(הגדרות!$E$7+1),הגדרות!$E$7)))</f>
        <v/>
      </c>
      <c r="K4981" s="0" t="str">
        <f aca="false">IF(I4981="","",J4981*הגדרות!$E$6+I4981+1)</f>
        <v/>
      </c>
      <c r="L4981" s="0" t="str">
        <f aca="false">IF(K4981="","",MATCH(K4981,$F$2:$F$5001,0))</f>
        <v/>
      </c>
      <c r="M4981" s="0" t="str">
        <f aca="false">IF(I4981="","",INDEX(הגדרות!$A$2:$A$21,MOD(I4981+הגדרות!$E$9,הגדרות!$E$6)+1))</f>
        <v/>
      </c>
    </row>
    <row r="4982" customFormat="false" ht="15" hidden="false" customHeight="false" outlineLevel="0" collapsed="false">
      <c r="A4982" s="0" t="str">
        <f aca="false">IF('הדבקת לידים'!A4982="","",IF(ISNUMBER('הדבקת לידים'!A4982),IF(הגדרות!$E$2&gt;0,TEXT('הדבקת לידים'!A4982,REPT("0",הגדרות!$E$2)),TEXT('הדבקת לידים'!A4982,"0")),TRIM('הדבקת לידים'!A4982)))</f>
        <v/>
      </c>
      <c r="B4982" s="0" t="str">
        <f aca="false">IF('הדבקת לידים'!B4982="","",IF(ISNUMBER('הדבקת לידים'!B4982),IF(הגדרות!$E$3&gt;0,TEXT('הדבקת לידים'!B4982,REPT("0",הגדרות!$E$3)),TEXT('הדבקת לידים'!B4982,"0")),TRIM('הדבקת לידים'!B4982)))</f>
        <v/>
      </c>
      <c r="C4982" s="0" t="n">
        <f aca="false">IF(OR(A4982&lt;&gt;"",B4982&lt;&gt;""),1,0)</f>
        <v>0</v>
      </c>
      <c r="D4982" s="0" t="str">
        <f aca="false">IF(C4982=1,MOD(ABS(SIN(ROW()*12.9898+'הדבקת לידים'!$F$2*78.233+IFERROR(--RIGHT(A4982,6),LEN(A4982))*0.0137+IFERROR(--RIGHT(B4982,6),LEN(B4982))*0.0071))*43758.5453,1),"")</f>
        <v/>
      </c>
      <c r="E4982" s="0" t="str">
        <f aca="false">IF(C4982=1,INT(MOD(ABS(SIN(D4982*7919.123+ROW()*0.618+'הדבקת לידים'!$F$2*1.3))*43758.5453,1)*1000000)*10000+ROW(),"")</f>
        <v/>
      </c>
      <c r="F4982" s="0" t="str">
        <f aca="false">IF(E4982="","",RANK(E4982,$E$2:$E$5001,1))</f>
        <v/>
      </c>
      <c r="G4982" s="0" t="n">
        <f aca="false">IF(A4982="",0,IF(SUMPRODUCT(--($A$2:$A$5001=A4982))&gt;1,1,0))</f>
        <v>0</v>
      </c>
      <c r="H4982" s="0" t="n">
        <f aca="false">ROW()-1</f>
        <v>4981</v>
      </c>
      <c r="I4982" s="0" t="str">
        <f aca="false">IF(OR(הגדרות!$E$6=0,H4982&gt;הגדרות!$E$5),"",IF(H4982-1&lt;הגדרות!$E$8*(הגדרות!$E$7+1),INT((H4982-1)/(הגדרות!$E$7+1)),הגדרות!$E$8+INT((H4982-1-הגדרות!$E$8*(הגדרות!$E$7+1))/הגדרות!$E$7)))</f>
        <v/>
      </c>
      <c r="J4982" s="0" t="str">
        <f aca="false">IF(I4982="","",IF(H4982-1&lt;הגדרות!$E$8*(הגדרות!$E$7+1),MOD(H4982-1,הגדרות!$E$7+1),MOD(H4982-1-הגדרות!$E$8*(הגדרות!$E$7+1),הגדרות!$E$7)))</f>
        <v/>
      </c>
      <c r="K4982" s="0" t="str">
        <f aca="false">IF(I4982="","",J4982*הגדרות!$E$6+I4982+1)</f>
        <v/>
      </c>
      <c r="L4982" s="0" t="str">
        <f aca="false">IF(K4982="","",MATCH(K4982,$F$2:$F$5001,0))</f>
        <v/>
      </c>
      <c r="M4982" s="0" t="str">
        <f aca="false">IF(I4982="","",INDEX(הגדרות!$A$2:$A$21,MOD(I4982+הגדרות!$E$9,הגדרות!$E$6)+1))</f>
        <v/>
      </c>
    </row>
    <row r="4983" customFormat="false" ht="15" hidden="false" customHeight="false" outlineLevel="0" collapsed="false">
      <c r="A4983" s="0" t="str">
        <f aca="false">IF('הדבקת לידים'!A4983="","",IF(ISNUMBER('הדבקת לידים'!A4983),IF(הגדרות!$E$2&gt;0,TEXT('הדבקת לידים'!A4983,REPT("0",הגדרות!$E$2)),TEXT('הדבקת לידים'!A4983,"0")),TRIM('הדבקת לידים'!A4983)))</f>
        <v/>
      </c>
      <c r="B4983" s="0" t="str">
        <f aca="false">IF('הדבקת לידים'!B4983="","",IF(ISNUMBER('הדבקת לידים'!B4983),IF(הגדרות!$E$3&gt;0,TEXT('הדבקת לידים'!B4983,REPT("0",הגדרות!$E$3)),TEXT('הדבקת לידים'!B4983,"0")),TRIM('הדבקת לידים'!B4983)))</f>
        <v/>
      </c>
      <c r="C4983" s="0" t="n">
        <f aca="false">IF(OR(A4983&lt;&gt;"",B4983&lt;&gt;""),1,0)</f>
        <v>0</v>
      </c>
      <c r="D4983" s="0" t="str">
        <f aca="false">IF(C4983=1,MOD(ABS(SIN(ROW()*12.9898+'הדבקת לידים'!$F$2*78.233+IFERROR(--RIGHT(A4983,6),LEN(A4983))*0.0137+IFERROR(--RIGHT(B4983,6),LEN(B4983))*0.0071))*43758.5453,1),"")</f>
        <v/>
      </c>
      <c r="E4983" s="0" t="str">
        <f aca="false">IF(C4983=1,INT(MOD(ABS(SIN(D4983*7919.123+ROW()*0.618+'הדבקת לידים'!$F$2*1.3))*43758.5453,1)*1000000)*10000+ROW(),"")</f>
        <v/>
      </c>
      <c r="F4983" s="0" t="str">
        <f aca="false">IF(E4983="","",RANK(E4983,$E$2:$E$5001,1))</f>
        <v/>
      </c>
      <c r="G4983" s="0" t="n">
        <f aca="false">IF(A4983="",0,IF(SUMPRODUCT(--($A$2:$A$5001=A4983))&gt;1,1,0))</f>
        <v>0</v>
      </c>
      <c r="H4983" s="0" t="n">
        <f aca="false">ROW()-1</f>
        <v>4982</v>
      </c>
      <c r="I4983" s="0" t="str">
        <f aca="false">IF(OR(הגדרות!$E$6=0,H4983&gt;הגדרות!$E$5),"",IF(H4983-1&lt;הגדרות!$E$8*(הגדרות!$E$7+1),INT((H4983-1)/(הגדרות!$E$7+1)),הגדרות!$E$8+INT((H4983-1-הגדרות!$E$8*(הגדרות!$E$7+1))/הגדרות!$E$7)))</f>
        <v/>
      </c>
      <c r="J4983" s="0" t="str">
        <f aca="false">IF(I4983="","",IF(H4983-1&lt;הגדרות!$E$8*(הגדרות!$E$7+1),MOD(H4983-1,הגדרות!$E$7+1),MOD(H4983-1-הגדרות!$E$8*(הגדרות!$E$7+1),הגדרות!$E$7)))</f>
        <v/>
      </c>
      <c r="K4983" s="0" t="str">
        <f aca="false">IF(I4983="","",J4983*הגדרות!$E$6+I4983+1)</f>
        <v/>
      </c>
      <c r="L4983" s="0" t="str">
        <f aca="false">IF(K4983="","",MATCH(K4983,$F$2:$F$5001,0))</f>
        <v/>
      </c>
      <c r="M4983" s="0" t="str">
        <f aca="false">IF(I4983="","",INDEX(הגדרות!$A$2:$A$21,MOD(I4983+הגדרות!$E$9,הגדרות!$E$6)+1))</f>
        <v/>
      </c>
    </row>
    <row r="4984" customFormat="false" ht="15" hidden="false" customHeight="false" outlineLevel="0" collapsed="false">
      <c r="A4984" s="0" t="str">
        <f aca="false">IF('הדבקת לידים'!A4984="","",IF(ISNUMBER('הדבקת לידים'!A4984),IF(הגדרות!$E$2&gt;0,TEXT('הדבקת לידים'!A4984,REPT("0",הגדרות!$E$2)),TEXT('הדבקת לידים'!A4984,"0")),TRIM('הדבקת לידים'!A4984)))</f>
        <v/>
      </c>
      <c r="B4984" s="0" t="str">
        <f aca="false">IF('הדבקת לידים'!B4984="","",IF(ISNUMBER('הדבקת לידים'!B4984),IF(הגדרות!$E$3&gt;0,TEXT('הדבקת לידים'!B4984,REPT("0",הגדרות!$E$3)),TEXT('הדבקת לידים'!B4984,"0")),TRIM('הדבקת לידים'!B4984)))</f>
        <v/>
      </c>
      <c r="C4984" s="0" t="n">
        <f aca="false">IF(OR(A4984&lt;&gt;"",B4984&lt;&gt;""),1,0)</f>
        <v>0</v>
      </c>
      <c r="D4984" s="0" t="str">
        <f aca="false">IF(C4984=1,MOD(ABS(SIN(ROW()*12.9898+'הדבקת לידים'!$F$2*78.233+IFERROR(--RIGHT(A4984,6),LEN(A4984))*0.0137+IFERROR(--RIGHT(B4984,6),LEN(B4984))*0.0071))*43758.5453,1),"")</f>
        <v/>
      </c>
      <c r="E4984" s="0" t="str">
        <f aca="false">IF(C4984=1,INT(MOD(ABS(SIN(D4984*7919.123+ROW()*0.618+'הדבקת לידים'!$F$2*1.3))*43758.5453,1)*1000000)*10000+ROW(),"")</f>
        <v/>
      </c>
      <c r="F4984" s="0" t="str">
        <f aca="false">IF(E4984="","",RANK(E4984,$E$2:$E$5001,1))</f>
        <v/>
      </c>
      <c r="G4984" s="0" t="n">
        <f aca="false">IF(A4984="",0,IF(SUMPRODUCT(--($A$2:$A$5001=A4984))&gt;1,1,0))</f>
        <v>0</v>
      </c>
      <c r="H4984" s="0" t="n">
        <f aca="false">ROW()-1</f>
        <v>4983</v>
      </c>
      <c r="I4984" s="0" t="str">
        <f aca="false">IF(OR(הגדרות!$E$6=0,H4984&gt;הגדרות!$E$5),"",IF(H4984-1&lt;הגדרות!$E$8*(הגדרות!$E$7+1),INT((H4984-1)/(הגדרות!$E$7+1)),הגדרות!$E$8+INT((H4984-1-הגדרות!$E$8*(הגדרות!$E$7+1))/הגדרות!$E$7)))</f>
        <v/>
      </c>
      <c r="J4984" s="0" t="str">
        <f aca="false">IF(I4984="","",IF(H4984-1&lt;הגדרות!$E$8*(הגדרות!$E$7+1),MOD(H4984-1,הגדרות!$E$7+1),MOD(H4984-1-הגדרות!$E$8*(הגדרות!$E$7+1),הגדרות!$E$7)))</f>
        <v/>
      </c>
      <c r="K4984" s="0" t="str">
        <f aca="false">IF(I4984="","",J4984*הגדרות!$E$6+I4984+1)</f>
        <v/>
      </c>
      <c r="L4984" s="0" t="str">
        <f aca="false">IF(K4984="","",MATCH(K4984,$F$2:$F$5001,0))</f>
        <v/>
      </c>
      <c r="M4984" s="0" t="str">
        <f aca="false">IF(I4984="","",INDEX(הגדרות!$A$2:$A$21,MOD(I4984+הגדרות!$E$9,הגדרות!$E$6)+1))</f>
        <v/>
      </c>
    </row>
    <row r="4985" customFormat="false" ht="15" hidden="false" customHeight="false" outlineLevel="0" collapsed="false">
      <c r="A4985" s="0" t="str">
        <f aca="false">IF('הדבקת לידים'!A4985="","",IF(ISNUMBER('הדבקת לידים'!A4985),IF(הגדרות!$E$2&gt;0,TEXT('הדבקת לידים'!A4985,REPT("0",הגדרות!$E$2)),TEXT('הדבקת לידים'!A4985,"0")),TRIM('הדבקת לידים'!A4985)))</f>
        <v/>
      </c>
      <c r="B4985" s="0" t="str">
        <f aca="false">IF('הדבקת לידים'!B4985="","",IF(ISNUMBER('הדבקת לידים'!B4985),IF(הגדרות!$E$3&gt;0,TEXT('הדבקת לידים'!B4985,REPT("0",הגדרות!$E$3)),TEXT('הדבקת לידים'!B4985,"0")),TRIM('הדבקת לידים'!B4985)))</f>
        <v/>
      </c>
      <c r="C4985" s="0" t="n">
        <f aca="false">IF(OR(A4985&lt;&gt;"",B4985&lt;&gt;""),1,0)</f>
        <v>0</v>
      </c>
      <c r="D4985" s="0" t="str">
        <f aca="false">IF(C4985=1,MOD(ABS(SIN(ROW()*12.9898+'הדבקת לידים'!$F$2*78.233+IFERROR(--RIGHT(A4985,6),LEN(A4985))*0.0137+IFERROR(--RIGHT(B4985,6),LEN(B4985))*0.0071))*43758.5453,1),"")</f>
        <v/>
      </c>
      <c r="E4985" s="0" t="str">
        <f aca="false">IF(C4985=1,INT(MOD(ABS(SIN(D4985*7919.123+ROW()*0.618+'הדבקת לידים'!$F$2*1.3))*43758.5453,1)*1000000)*10000+ROW(),"")</f>
        <v/>
      </c>
      <c r="F4985" s="0" t="str">
        <f aca="false">IF(E4985="","",RANK(E4985,$E$2:$E$5001,1))</f>
        <v/>
      </c>
      <c r="G4985" s="0" t="n">
        <f aca="false">IF(A4985="",0,IF(SUMPRODUCT(--($A$2:$A$5001=A4985))&gt;1,1,0))</f>
        <v>0</v>
      </c>
      <c r="H4985" s="0" t="n">
        <f aca="false">ROW()-1</f>
        <v>4984</v>
      </c>
      <c r="I4985" s="0" t="str">
        <f aca="false">IF(OR(הגדרות!$E$6=0,H4985&gt;הגדרות!$E$5),"",IF(H4985-1&lt;הגדרות!$E$8*(הגדרות!$E$7+1),INT((H4985-1)/(הגדרות!$E$7+1)),הגדרות!$E$8+INT((H4985-1-הגדרות!$E$8*(הגדרות!$E$7+1))/הגדרות!$E$7)))</f>
        <v/>
      </c>
      <c r="J4985" s="0" t="str">
        <f aca="false">IF(I4985="","",IF(H4985-1&lt;הגדרות!$E$8*(הגדרות!$E$7+1),MOD(H4985-1,הגדרות!$E$7+1),MOD(H4985-1-הגדרות!$E$8*(הגדרות!$E$7+1),הגדרות!$E$7)))</f>
        <v/>
      </c>
      <c r="K4985" s="0" t="str">
        <f aca="false">IF(I4985="","",J4985*הגדרות!$E$6+I4985+1)</f>
        <v/>
      </c>
      <c r="L4985" s="0" t="str">
        <f aca="false">IF(K4985="","",MATCH(K4985,$F$2:$F$5001,0))</f>
        <v/>
      </c>
      <c r="M4985" s="0" t="str">
        <f aca="false">IF(I4985="","",INDEX(הגדרות!$A$2:$A$21,MOD(I4985+הגדרות!$E$9,הגדרות!$E$6)+1))</f>
        <v/>
      </c>
    </row>
    <row r="4986" customFormat="false" ht="15" hidden="false" customHeight="false" outlineLevel="0" collapsed="false">
      <c r="A4986" s="0" t="str">
        <f aca="false">IF('הדבקת לידים'!A4986="","",IF(ISNUMBER('הדבקת לידים'!A4986),IF(הגדרות!$E$2&gt;0,TEXT('הדבקת לידים'!A4986,REPT("0",הגדרות!$E$2)),TEXT('הדבקת לידים'!A4986,"0")),TRIM('הדבקת לידים'!A4986)))</f>
        <v/>
      </c>
      <c r="B4986" s="0" t="str">
        <f aca="false">IF('הדבקת לידים'!B4986="","",IF(ISNUMBER('הדבקת לידים'!B4986),IF(הגדרות!$E$3&gt;0,TEXT('הדבקת לידים'!B4986,REPT("0",הגדרות!$E$3)),TEXT('הדבקת לידים'!B4986,"0")),TRIM('הדבקת לידים'!B4986)))</f>
        <v/>
      </c>
      <c r="C4986" s="0" t="n">
        <f aca="false">IF(OR(A4986&lt;&gt;"",B4986&lt;&gt;""),1,0)</f>
        <v>0</v>
      </c>
      <c r="D4986" s="0" t="str">
        <f aca="false">IF(C4986=1,MOD(ABS(SIN(ROW()*12.9898+'הדבקת לידים'!$F$2*78.233+IFERROR(--RIGHT(A4986,6),LEN(A4986))*0.0137+IFERROR(--RIGHT(B4986,6),LEN(B4986))*0.0071))*43758.5453,1),"")</f>
        <v/>
      </c>
      <c r="E4986" s="0" t="str">
        <f aca="false">IF(C4986=1,INT(MOD(ABS(SIN(D4986*7919.123+ROW()*0.618+'הדבקת לידים'!$F$2*1.3))*43758.5453,1)*1000000)*10000+ROW(),"")</f>
        <v/>
      </c>
      <c r="F4986" s="0" t="str">
        <f aca="false">IF(E4986="","",RANK(E4986,$E$2:$E$5001,1))</f>
        <v/>
      </c>
      <c r="G4986" s="0" t="n">
        <f aca="false">IF(A4986="",0,IF(SUMPRODUCT(--($A$2:$A$5001=A4986))&gt;1,1,0))</f>
        <v>0</v>
      </c>
      <c r="H4986" s="0" t="n">
        <f aca="false">ROW()-1</f>
        <v>4985</v>
      </c>
      <c r="I4986" s="0" t="str">
        <f aca="false">IF(OR(הגדרות!$E$6=0,H4986&gt;הגדרות!$E$5),"",IF(H4986-1&lt;הגדרות!$E$8*(הגדרות!$E$7+1),INT((H4986-1)/(הגדרות!$E$7+1)),הגדרות!$E$8+INT((H4986-1-הגדרות!$E$8*(הגדרות!$E$7+1))/הגדרות!$E$7)))</f>
        <v/>
      </c>
      <c r="J4986" s="0" t="str">
        <f aca="false">IF(I4986="","",IF(H4986-1&lt;הגדרות!$E$8*(הגדרות!$E$7+1),MOD(H4986-1,הגדרות!$E$7+1),MOD(H4986-1-הגדרות!$E$8*(הגדרות!$E$7+1),הגדרות!$E$7)))</f>
        <v/>
      </c>
      <c r="K4986" s="0" t="str">
        <f aca="false">IF(I4986="","",J4986*הגדרות!$E$6+I4986+1)</f>
        <v/>
      </c>
      <c r="L4986" s="0" t="str">
        <f aca="false">IF(K4986="","",MATCH(K4986,$F$2:$F$5001,0))</f>
        <v/>
      </c>
      <c r="M4986" s="0" t="str">
        <f aca="false">IF(I4986="","",INDEX(הגדרות!$A$2:$A$21,MOD(I4986+הגדרות!$E$9,הגדרות!$E$6)+1))</f>
        <v/>
      </c>
    </row>
    <row r="4987" customFormat="false" ht="15" hidden="false" customHeight="false" outlineLevel="0" collapsed="false">
      <c r="A4987" s="0" t="str">
        <f aca="false">IF('הדבקת לידים'!A4987="","",IF(ISNUMBER('הדבקת לידים'!A4987),IF(הגדרות!$E$2&gt;0,TEXT('הדבקת לידים'!A4987,REPT("0",הגדרות!$E$2)),TEXT('הדבקת לידים'!A4987,"0")),TRIM('הדבקת לידים'!A4987)))</f>
        <v/>
      </c>
      <c r="B4987" s="0" t="str">
        <f aca="false">IF('הדבקת לידים'!B4987="","",IF(ISNUMBER('הדבקת לידים'!B4987),IF(הגדרות!$E$3&gt;0,TEXT('הדבקת לידים'!B4987,REPT("0",הגדרות!$E$3)),TEXT('הדבקת לידים'!B4987,"0")),TRIM('הדבקת לידים'!B4987)))</f>
        <v/>
      </c>
      <c r="C4987" s="0" t="n">
        <f aca="false">IF(OR(A4987&lt;&gt;"",B4987&lt;&gt;""),1,0)</f>
        <v>0</v>
      </c>
      <c r="D4987" s="0" t="str">
        <f aca="false">IF(C4987=1,MOD(ABS(SIN(ROW()*12.9898+'הדבקת לידים'!$F$2*78.233+IFERROR(--RIGHT(A4987,6),LEN(A4987))*0.0137+IFERROR(--RIGHT(B4987,6),LEN(B4987))*0.0071))*43758.5453,1),"")</f>
        <v/>
      </c>
      <c r="E4987" s="0" t="str">
        <f aca="false">IF(C4987=1,INT(MOD(ABS(SIN(D4987*7919.123+ROW()*0.618+'הדבקת לידים'!$F$2*1.3))*43758.5453,1)*1000000)*10000+ROW(),"")</f>
        <v/>
      </c>
      <c r="F4987" s="0" t="str">
        <f aca="false">IF(E4987="","",RANK(E4987,$E$2:$E$5001,1))</f>
        <v/>
      </c>
      <c r="G4987" s="0" t="n">
        <f aca="false">IF(A4987="",0,IF(SUMPRODUCT(--($A$2:$A$5001=A4987))&gt;1,1,0))</f>
        <v>0</v>
      </c>
      <c r="H4987" s="0" t="n">
        <f aca="false">ROW()-1</f>
        <v>4986</v>
      </c>
      <c r="I4987" s="0" t="str">
        <f aca="false">IF(OR(הגדרות!$E$6=0,H4987&gt;הגדרות!$E$5),"",IF(H4987-1&lt;הגדרות!$E$8*(הגדרות!$E$7+1),INT((H4987-1)/(הגדרות!$E$7+1)),הגדרות!$E$8+INT((H4987-1-הגדרות!$E$8*(הגדרות!$E$7+1))/הגדרות!$E$7)))</f>
        <v/>
      </c>
      <c r="J4987" s="0" t="str">
        <f aca="false">IF(I4987="","",IF(H4987-1&lt;הגדרות!$E$8*(הגדרות!$E$7+1),MOD(H4987-1,הגדרות!$E$7+1),MOD(H4987-1-הגדרות!$E$8*(הגדרות!$E$7+1),הגדרות!$E$7)))</f>
        <v/>
      </c>
      <c r="K4987" s="0" t="str">
        <f aca="false">IF(I4987="","",J4987*הגדרות!$E$6+I4987+1)</f>
        <v/>
      </c>
      <c r="L4987" s="0" t="str">
        <f aca="false">IF(K4987="","",MATCH(K4987,$F$2:$F$5001,0))</f>
        <v/>
      </c>
      <c r="M4987" s="0" t="str">
        <f aca="false">IF(I4987="","",INDEX(הגדרות!$A$2:$A$21,MOD(I4987+הגדרות!$E$9,הגדרות!$E$6)+1))</f>
        <v/>
      </c>
    </row>
    <row r="4988" customFormat="false" ht="15" hidden="false" customHeight="false" outlineLevel="0" collapsed="false">
      <c r="A4988" s="0" t="str">
        <f aca="false">IF('הדבקת לידים'!A4988="","",IF(ISNUMBER('הדבקת לידים'!A4988),IF(הגדרות!$E$2&gt;0,TEXT('הדבקת לידים'!A4988,REPT("0",הגדרות!$E$2)),TEXT('הדבקת לידים'!A4988,"0")),TRIM('הדבקת לידים'!A4988)))</f>
        <v/>
      </c>
      <c r="B4988" s="0" t="str">
        <f aca="false">IF('הדבקת לידים'!B4988="","",IF(ISNUMBER('הדבקת לידים'!B4988),IF(הגדרות!$E$3&gt;0,TEXT('הדבקת לידים'!B4988,REPT("0",הגדרות!$E$3)),TEXT('הדבקת לידים'!B4988,"0")),TRIM('הדבקת לידים'!B4988)))</f>
        <v/>
      </c>
      <c r="C4988" s="0" t="n">
        <f aca="false">IF(OR(A4988&lt;&gt;"",B4988&lt;&gt;""),1,0)</f>
        <v>0</v>
      </c>
      <c r="D4988" s="0" t="str">
        <f aca="false">IF(C4988=1,MOD(ABS(SIN(ROW()*12.9898+'הדבקת לידים'!$F$2*78.233+IFERROR(--RIGHT(A4988,6),LEN(A4988))*0.0137+IFERROR(--RIGHT(B4988,6),LEN(B4988))*0.0071))*43758.5453,1),"")</f>
        <v/>
      </c>
      <c r="E4988" s="0" t="str">
        <f aca="false">IF(C4988=1,INT(MOD(ABS(SIN(D4988*7919.123+ROW()*0.618+'הדבקת לידים'!$F$2*1.3))*43758.5453,1)*1000000)*10000+ROW(),"")</f>
        <v/>
      </c>
      <c r="F4988" s="0" t="str">
        <f aca="false">IF(E4988="","",RANK(E4988,$E$2:$E$5001,1))</f>
        <v/>
      </c>
      <c r="G4988" s="0" t="n">
        <f aca="false">IF(A4988="",0,IF(SUMPRODUCT(--($A$2:$A$5001=A4988))&gt;1,1,0))</f>
        <v>0</v>
      </c>
      <c r="H4988" s="0" t="n">
        <f aca="false">ROW()-1</f>
        <v>4987</v>
      </c>
      <c r="I4988" s="0" t="str">
        <f aca="false">IF(OR(הגדרות!$E$6=0,H4988&gt;הגדרות!$E$5),"",IF(H4988-1&lt;הגדרות!$E$8*(הגדרות!$E$7+1),INT((H4988-1)/(הגדרות!$E$7+1)),הגדרות!$E$8+INT((H4988-1-הגדרות!$E$8*(הגדרות!$E$7+1))/הגדרות!$E$7)))</f>
        <v/>
      </c>
      <c r="J4988" s="0" t="str">
        <f aca="false">IF(I4988="","",IF(H4988-1&lt;הגדרות!$E$8*(הגדרות!$E$7+1),MOD(H4988-1,הגדרות!$E$7+1),MOD(H4988-1-הגדרות!$E$8*(הגדרות!$E$7+1),הגדרות!$E$7)))</f>
        <v/>
      </c>
      <c r="K4988" s="0" t="str">
        <f aca="false">IF(I4988="","",J4988*הגדרות!$E$6+I4988+1)</f>
        <v/>
      </c>
      <c r="L4988" s="0" t="str">
        <f aca="false">IF(K4988="","",MATCH(K4988,$F$2:$F$5001,0))</f>
        <v/>
      </c>
      <c r="M4988" s="0" t="str">
        <f aca="false">IF(I4988="","",INDEX(הגדרות!$A$2:$A$21,MOD(I4988+הגדרות!$E$9,הגדרות!$E$6)+1))</f>
        <v/>
      </c>
    </row>
    <row r="4989" customFormat="false" ht="15" hidden="false" customHeight="false" outlineLevel="0" collapsed="false">
      <c r="A4989" s="0" t="str">
        <f aca="false">IF('הדבקת לידים'!A4989="","",IF(ISNUMBER('הדבקת לידים'!A4989),IF(הגדרות!$E$2&gt;0,TEXT('הדבקת לידים'!A4989,REPT("0",הגדרות!$E$2)),TEXT('הדבקת לידים'!A4989,"0")),TRIM('הדבקת לידים'!A4989)))</f>
        <v/>
      </c>
      <c r="B4989" s="0" t="str">
        <f aca="false">IF('הדבקת לידים'!B4989="","",IF(ISNUMBER('הדבקת לידים'!B4989),IF(הגדרות!$E$3&gt;0,TEXT('הדבקת לידים'!B4989,REPT("0",הגדרות!$E$3)),TEXT('הדבקת לידים'!B4989,"0")),TRIM('הדבקת לידים'!B4989)))</f>
        <v/>
      </c>
      <c r="C4989" s="0" t="n">
        <f aca="false">IF(OR(A4989&lt;&gt;"",B4989&lt;&gt;""),1,0)</f>
        <v>0</v>
      </c>
      <c r="D4989" s="0" t="str">
        <f aca="false">IF(C4989=1,MOD(ABS(SIN(ROW()*12.9898+'הדבקת לידים'!$F$2*78.233+IFERROR(--RIGHT(A4989,6),LEN(A4989))*0.0137+IFERROR(--RIGHT(B4989,6),LEN(B4989))*0.0071))*43758.5453,1),"")</f>
        <v/>
      </c>
      <c r="E4989" s="0" t="str">
        <f aca="false">IF(C4989=1,INT(MOD(ABS(SIN(D4989*7919.123+ROW()*0.618+'הדבקת לידים'!$F$2*1.3))*43758.5453,1)*1000000)*10000+ROW(),"")</f>
        <v/>
      </c>
      <c r="F4989" s="0" t="str">
        <f aca="false">IF(E4989="","",RANK(E4989,$E$2:$E$5001,1))</f>
        <v/>
      </c>
      <c r="G4989" s="0" t="n">
        <f aca="false">IF(A4989="",0,IF(SUMPRODUCT(--($A$2:$A$5001=A4989))&gt;1,1,0))</f>
        <v>0</v>
      </c>
      <c r="H4989" s="0" t="n">
        <f aca="false">ROW()-1</f>
        <v>4988</v>
      </c>
      <c r="I4989" s="0" t="str">
        <f aca="false">IF(OR(הגדרות!$E$6=0,H4989&gt;הגדרות!$E$5),"",IF(H4989-1&lt;הגדרות!$E$8*(הגדרות!$E$7+1),INT((H4989-1)/(הגדרות!$E$7+1)),הגדרות!$E$8+INT((H4989-1-הגדרות!$E$8*(הגדרות!$E$7+1))/הגדרות!$E$7)))</f>
        <v/>
      </c>
      <c r="J4989" s="0" t="str">
        <f aca="false">IF(I4989="","",IF(H4989-1&lt;הגדרות!$E$8*(הגדרות!$E$7+1),MOD(H4989-1,הגדרות!$E$7+1),MOD(H4989-1-הגדרות!$E$8*(הגדרות!$E$7+1),הגדרות!$E$7)))</f>
        <v/>
      </c>
      <c r="K4989" s="0" t="str">
        <f aca="false">IF(I4989="","",J4989*הגדרות!$E$6+I4989+1)</f>
        <v/>
      </c>
      <c r="L4989" s="0" t="str">
        <f aca="false">IF(K4989="","",MATCH(K4989,$F$2:$F$5001,0))</f>
        <v/>
      </c>
      <c r="M4989" s="0" t="str">
        <f aca="false">IF(I4989="","",INDEX(הגדרות!$A$2:$A$21,MOD(I4989+הגדרות!$E$9,הגדרות!$E$6)+1))</f>
        <v/>
      </c>
    </row>
    <row r="4990" customFormat="false" ht="15" hidden="false" customHeight="false" outlineLevel="0" collapsed="false">
      <c r="A4990" s="0" t="str">
        <f aca="false">IF('הדבקת לידים'!A4990="","",IF(ISNUMBER('הדבקת לידים'!A4990),IF(הגדרות!$E$2&gt;0,TEXT('הדבקת לידים'!A4990,REPT("0",הגדרות!$E$2)),TEXT('הדבקת לידים'!A4990,"0")),TRIM('הדבקת לידים'!A4990)))</f>
        <v/>
      </c>
      <c r="B4990" s="0" t="str">
        <f aca="false">IF('הדבקת לידים'!B4990="","",IF(ISNUMBER('הדבקת לידים'!B4990),IF(הגדרות!$E$3&gt;0,TEXT('הדבקת לידים'!B4990,REPT("0",הגדרות!$E$3)),TEXT('הדבקת לידים'!B4990,"0")),TRIM('הדבקת לידים'!B4990)))</f>
        <v/>
      </c>
      <c r="C4990" s="0" t="n">
        <f aca="false">IF(OR(A4990&lt;&gt;"",B4990&lt;&gt;""),1,0)</f>
        <v>0</v>
      </c>
      <c r="D4990" s="0" t="str">
        <f aca="false">IF(C4990=1,MOD(ABS(SIN(ROW()*12.9898+'הדבקת לידים'!$F$2*78.233+IFERROR(--RIGHT(A4990,6),LEN(A4990))*0.0137+IFERROR(--RIGHT(B4990,6),LEN(B4990))*0.0071))*43758.5453,1),"")</f>
        <v/>
      </c>
      <c r="E4990" s="0" t="str">
        <f aca="false">IF(C4990=1,INT(MOD(ABS(SIN(D4990*7919.123+ROW()*0.618+'הדבקת לידים'!$F$2*1.3))*43758.5453,1)*1000000)*10000+ROW(),"")</f>
        <v/>
      </c>
      <c r="F4990" s="0" t="str">
        <f aca="false">IF(E4990="","",RANK(E4990,$E$2:$E$5001,1))</f>
        <v/>
      </c>
      <c r="G4990" s="0" t="n">
        <f aca="false">IF(A4990="",0,IF(SUMPRODUCT(--($A$2:$A$5001=A4990))&gt;1,1,0))</f>
        <v>0</v>
      </c>
      <c r="H4990" s="0" t="n">
        <f aca="false">ROW()-1</f>
        <v>4989</v>
      </c>
      <c r="I4990" s="0" t="str">
        <f aca="false">IF(OR(הגדרות!$E$6=0,H4990&gt;הגדרות!$E$5),"",IF(H4990-1&lt;הגדרות!$E$8*(הגדרות!$E$7+1),INT((H4990-1)/(הגדרות!$E$7+1)),הגדרות!$E$8+INT((H4990-1-הגדרות!$E$8*(הגדרות!$E$7+1))/הגדרות!$E$7)))</f>
        <v/>
      </c>
      <c r="J4990" s="0" t="str">
        <f aca="false">IF(I4990="","",IF(H4990-1&lt;הגדרות!$E$8*(הגדרות!$E$7+1),MOD(H4990-1,הגדרות!$E$7+1),MOD(H4990-1-הגדרות!$E$8*(הגדרות!$E$7+1),הגדרות!$E$7)))</f>
        <v/>
      </c>
      <c r="K4990" s="0" t="str">
        <f aca="false">IF(I4990="","",J4990*הגדרות!$E$6+I4990+1)</f>
        <v/>
      </c>
      <c r="L4990" s="0" t="str">
        <f aca="false">IF(K4990="","",MATCH(K4990,$F$2:$F$5001,0))</f>
        <v/>
      </c>
      <c r="M4990" s="0" t="str">
        <f aca="false">IF(I4990="","",INDEX(הגדרות!$A$2:$A$21,MOD(I4990+הגדרות!$E$9,הגדרות!$E$6)+1))</f>
        <v/>
      </c>
    </row>
    <row r="4991" customFormat="false" ht="15" hidden="false" customHeight="false" outlineLevel="0" collapsed="false">
      <c r="A4991" s="0" t="str">
        <f aca="false">IF('הדבקת לידים'!A4991="","",IF(ISNUMBER('הדבקת לידים'!A4991),IF(הגדרות!$E$2&gt;0,TEXT('הדבקת לידים'!A4991,REPT("0",הגדרות!$E$2)),TEXT('הדבקת לידים'!A4991,"0")),TRIM('הדבקת לידים'!A4991)))</f>
        <v/>
      </c>
      <c r="B4991" s="0" t="str">
        <f aca="false">IF('הדבקת לידים'!B4991="","",IF(ISNUMBER('הדבקת לידים'!B4991),IF(הגדרות!$E$3&gt;0,TEXT('הדבקת לידים'!B4991,REPT("0",הגדרות!$E$3)),TEXT('הדבקת לידים'!B4991,"0")),TRIM('הדבקת לידים'!B4991)))</f>
        <v/>
      </c>
      <c r="C4991" s="0" t="n">
        <f aca="false">IF(OR(A4991&lt;&gt;"",B4991&lt;&gt;""),1,0)</f>
        <v>0</v>
      </c>
      <c r="D4991" s="0" t="str">
        <f aca="false">IF(C4991=1,MOD(ABS(SIN(ROW()*12.9898+'הדבקת לידים'!$F$2*78.233+IFERROR(--RIGHT(A4991,6),LEN(A4991))*0.0137+IFERROR(--RIGHT(B4991,6),LEN(B4991))*0.0071))*43758.5453,1),"")</f>
        <v/>
      </c>
      <c r="E4991" s="0" t="str">
        <f aca="false">IF(C4991=1,INT(MOD(ABS(SIN(D4991*7919.123+ROW()*0.618+'הדבקת לידים'!$F$2*1.3))*43758.5453,1)*1000000)*10000+ROW(),"")</f>
        <v/>
      </c>
      <c r="F4991" s="0" t="str">
        <f aca="false">IF(E4991="","",RANK(E4991,$E$2:$E$5001,1))</f>
        <v/>
      </c>
      <c r="G4991" s="0" t="n">
        <f aca="false">IF(A4991="",0,IF(SUMPRODUCT(--($A$2:$A$5001=A4991))&gt;1,1,0))</f>
        <v>0</v>
      </c>
      <c r="H4991" s="0" t="n">
        <f aca="false">ROW()-1</f>
        <v>4990</v>
      </c>
      <c r="I4991" s="0" t="str">
        <f aca="false">IF(OR(הגדרות!$E$6=0,H4991&gt;הגדרות!$E$5),"",IF(H4991-1&lt;הגדרות!$E$8*(הגדרות!$E$7+1),INT((H4991-1)/(הגדרות!$E$7+1)),הגדרות!$E$8+INT((H4991-1-הגדרות!$E$8*(הגדרות!$E$7+1))/הגדרות!$E$7)))</f>
        <v/>
      </c>
      <c r="J4991" s="0" t="str">
        <f aca="false">IF(I4991="","",IF(H4991-1&lt;הגדרות!$E$8*(הגדרות!$E$7+1),MOD(H4991-1,הגדרות!$E$7+1),MOD(H4991-1-הגדרות!$E$8*(הגדרות!$E$7+1),הגדרות!$E$7)))</f>
        <v/>
      </c>
      <c r="K4991" s="0" t="str">
        <f aca="false">IF(I4991="","",J4991*הגדרות!$E$6+I4991+1)</f>
        <v/>
      </c>
      <c r="L4991" s="0" t="str">
        <f aca="false">IF(K4991="","",MATCH(K4991,$F$2:$F$5001,0))</f>
        <v/>
      </c>
      <c r="M4991" s="0" t="str">
        <f aca="false">IF(I4991="","",INDEX(הגדרות!$A$2:$A$21,MOD(I4991+הגדרות!$E$9,הגדרות!$E$6)+1))</f>
        <v/>
      </c>
    </row>
    <row r="4992" customFormat="false" ht="15" hidden="false" customHeight="false" outlineLevel="0" collapsed="false">
      <c r="A4992" s="0" t="str">
        <f aca="false">IF('הדבקת לידים'!A4992="","",IF(ISNUMBER('הדבקת לידים'!A4992),IF(הגדרות!$E$2&gt;0,TEXT('הדבקת לידים'!A4992,REPT("0",הגדרות!$E$2)),TEXT('הדבקת לידים'!A4992,"0")),TRIM('הדבקת לידים'!A4992)))</f>
        <v/>
      </c>
      <c r="B4992" s="0" t="str">
        <f aca="false">IF('הדבקת לידים'!B4992="","",IF(ISNUMBER('הדבקת לידים'!B4992),IF(הגדרות!$E$3&gt;0,TEXT('הדבקת לידים'!B4992,REPT("0",הגדרות!$E$3)),TEXT('הדבקת לידים'!B4992,"0")),TRIM('הדבקת לידים'!B4992)))</f>
        <v/>
      </c>
      <c r="C4992" s="0" t="n">
        <f aca="false">IF(OR(A4992&lt;&gt;"",B4992&lt;&gt;""),1,0)</f>
        <v>0</v>
      </c>
      <c r="D4992" s="0" t="str">
        <f aca="false">IF(C4992=1,MOD(ABS(SIN(ROW()*12.9898+'הדבקת לידים'!$F$2*78.233+IFERROR(--RIGHT(A4992,6),LEN(A4992))*0.0137+IFERROR(--RIGHT(B4992,6),LEN(B4992))*0.0071))*43758.5453,1),"")</f>
        <v/>
      </c>
      <c r="E4992" s="0" t="str">
        <f aca="false">IF(C4992=1,INT(MOD(ABS(SIN(D4992*7919.123+ROW()*0.618+'הדבקת לידים'!$F$2*1.3))*43758.5453,1)*1000000)*10000+ROW(),"")</f>
        <v/>
      </c>
      <c r="F4992" s="0" t="str">
        <f aca="false">IF(E4992="","",RANK(E4992,$E$2:$E$5001,1))</f>
        <v/>
      </c>
      <c r="G4992" s="0" t="n">
        <f aca="false">IF(A4992="",0,IF(SUMPRODUCT(--($A$2:$A$5001=A4992))&gt;1,1,0))</f>
        <v>0</v>
      </c>
      <c r="H4992" s="0" t="n">
        <f aca="false">ROW()-1</f>
        <v>4991</v>
      </c>
      <c r="I4992" s="0" t="str">
        <f aca="false">IF(OR(הגדרות!$E$6=0,H4992&gt;הגדרות!$E$5),"",IF(H4992-1&lt;הגדרות!$E$8*(הגדרות!$E$7+1),INT((H4992-1)/(הגדרות!$E$7+1)),הגדרות!$E$8+INT((H4992-1-הגדרות!$E$8*(הגדרות!$E$7+1))/הגדרות!$E$7)))</f>
        <v/>
      </c>
      <c r="J4992" s="0" t="str">
        <f aca="false">IF(I4992="","",IF(H4992-1&lt;הגדרות!$E$8*(הגדרות!$E$7+1),MOD(H4992-1,הגדרות!$E$7+1),MOD(H4992-1-הגדרות!$E$8*(הגדרות!$E$7+1),הגדרות!$E$7)))</f>
        <v/>
      </c>
      <c r="K4992" s="0" t="str">
        <f aca="false">IF(I4992="","",J4992*הגדרות!$E$6+I4992+1)</f>
        <v/>
      </c>
      <c r="L4992" s="0" t="str">
        <f aca="false">IF(K4992="","",MATCH(K4992,$F$2:$F$5001,0))</f>
        <v/>
      </c>
      <c r="M4992" s="0" t="str">
        <f aca="false">IF(I4992="","",INDEX(הגדרות!$A$2:$A$21,MOD(I4992+הגדרות!$E$9,הגדרות!$E$6)+1))</f>
        <v/>
      </c>
    </row>
    <row r="4993" customFormat="false" ht="15" hidden="false" customHeight="false" outlineLevel="0" collapsed="false">
      <c r="A4993" s="0" t="str">
        <f aca="false">IF('הדבקת לידים'!A4993="","",IF(ISNUMBER('הדבקת לידים'!A4993),IF(הגדרות!$E$2&gt;0,TEXT('הדבקת לידים'!A4993,REPT("0",הגדרות!$E$2)),TEXT('הדבקת לידים'!A4993,"0")),TRIM('הדבקת לידים'!A4993)))</f>
        <v/>
      </c>
      <c r="B4993" s="0" t="str">
        <f aca="false">IF('הדבקת לידים'!B4993="","",IF(ISNUMBER('הדבקת לידים'!B4993),IF(הגדרות!$E$3&gt;0,TEXT('הדבקת לידים'!B4993,REPT("0",הגדרות!$E$3)),TEXT('הדבקת לידים'!B4993,"0")),TRIM('הדבקת לידים'!B4993)))</f>
        <v/>
      </c>
      <c r="C4993" s="0" t="n">
        <f aca="false">IF(OR(A4993&lt;&gt;"",B4993&lt;&gt;""),1,0)</f>
        <v>0</v>
      </c>
      <c r="D4993" s="0" t="str">
        <f aca="false">IF(C4993=1,MOD(ABS(SIN(ROW()*12.9898+'הדבקת לידים'!$F$2*78.233+IFERROR(--RIGHT(A4993,6),LEN(A4993))*0.0137+IFERROR(--RIGHT(B4993,6),LEN(B4993))*0.0071))*43758.5453,1),"")</f>
        <v/>
      </c>
      <c r="E4993" s="0" t="str">
        <f aca="false">IF(C4993=1,INT(MOD(ABS(SIN(D4993*7919.123+ROW()*0.618+'הדבקת לידים'!$F$2*1.3))*43758.5453,1)*1000000)*10000+ROW(),"")</f>
        <v/>
      </c>
      <c r="F4993" s="0" t="str">
        <f aca="false">IF(E4993="","",RANK(E4993,$E$2:$E$5001,1))</f>
        <v/>
      </c>
      <c r="G4993" s="0" t="n">
        <f aca="false">IF(A4993="",0,IF(SUMPRODUCT(--($A$2:$A$5001=A4993))&gt;1,1,0))</f>
        <v>0</v>
      </c>
      <c r="H4993" s="0" t="n">
        <f aca="false">ROW()-1</f>
        <v>4992</v>
      </c>
      <c r="I4993" s="0" t="str">
        <f aca="false">IF(OR(הגדרות!$E$6=0,H4993&gt;הגדרות!$E$5),"",IF(H4993-1&lt;הגדרות!$E$8*(הגדרות!$E$7+1),INT((H4993-1)/(הגדרות!$E$7+1)),הגדרות!$E$8+INT((H4993-1-הגדרות!$E$8*(הגדרות!$E$7+1))/הגדרות!$E$7)))</f>
        <v/>
      </c>
      <c r="J4993" s="0" t="str">
        <f aca="false">IF(I4993="","",IF(H4993-1&lt;הגדרות!$E$8*(הגדרות!$E$7+1),MOD(H4993-1,הגדרות!$E$7+1),MOD(H4993-1-הגדרות!$E$8*(הגדרות!$E$7+1),הגדרות!$E$7)))</f>
        <v/>
      </c>
      <c r="K4993" s="0" t="str">
        <f aca="false">IF(I4993="","",J4993*הגדרות!$E$6+I4993+1)</f>
        <v/>
      </c>
      <c r="L4993" s="0" t="str">
        <f aca="false">IF(K4993="","",MATCH(K4993,$F$2:$F$5001,0))</f>
        <v/>
      </c>
      <c r="M4993" s="0" t="str">
        <f aca="false">IF(I4993="","",INDEX(הגדרות!$A$2:$A$21,MOD(I4993+הגדרות!$E$9,הגדרות!$E$6)+1))</f>
        <v/>
      </c>
    </row>
    <row r="4994" customFormat="false" ht="15" hidden="false" customHeight="false" outlineLevel="0" collapsed="false">
      <c r="A4994" s="0" t="str">
        <f aca="false">IF('הדבקת לידים'!A4994="","",IF(ISNUMBER('הדבקת לידים'!A4994),IF(הגדרות!$E$2&gt;0,TEXT('הדבקת לידים'!A4994,REPT("0",הגדרות!$E$2)),TEXT('הדבקת לידים'!A4994,"0")),TRIM('הדבקת לידים'!A4994)))</f>
        <v/>
      </c>
      <c r="B4994" s="0" t="str">
        <f aca="false">IF('הדבקת לידים'!B4994="","",IF(ISNUMBER('הדבקת לידים'!B4994),IF(הגדרות!$E$3&gt;0,TEXT('הדבקת לידים'!B4994,REPT("0",הגדרות!$E$3)),TEXT('הדבקת לידים'!B4994,"0")),TRIM('הדבקת לידים'!B4994)))</f>
        <v/>
      </c>
      <c r="C4994" s="0" t="n">
        <f aca="false">IF(OR(A4994&lt;&gt;"",B4994&lt;&gt;""),1,0)</f>
        <v>0</v>
      </c>
      <c r="D4994" s="0" t="str">
        <f aca="false">IF(C4994=1,MOD(ABS(SIN(ROW()*12.9898+'הדבקת לידים'!$F$2*78.233+IFERROR(--RIGHT(A4994,6),LEN(A4994))*0.0137+IFERROR(--RIGHT(B4994,6),LEN(B4994))*0.0071))*43758.5453,1),"")</f>
        <v/>
      </c>
      <c r="E4994" s="0" t="str">
        <f aca="false">IF(C4994=1,INT(MOD(ABS(SIN(D4994*7919.123+ROW()*0.618+'הדבקת לידים'!$F$2*1.3))*43758.5453,1)*1000000)*10000+ROW(),"")</f>
        <v/>
      </c>
      <c r="F4994" s="0" t="str">
        <f aca="false">IF(E4994="","",RANK(E4994,$E$2:$E$5001,1))</f>
        <v/>
      </c>
      <c r="G4994" s="0" t="n">
        <f aca="false">IF(A4994="",0,IF(SUMPRODUCT(--($A$2:$A$5001=A4994))&gt;1,1,0))</f>
        <v>0</v>
      </c>
      <c r="H4994" s="0" t="n">
        <f aca="false">ROW()-1</f>
        <v>4993</v>
      </c>
      <c r="I4994" s="0" t="str">
        <f aca="false">IF(OR(הגדרות!$E$6=0,H4994&gt;הגדרות!$E$5),"",IF(H4994-1&lt;הגדרות!$E$8*(הגדרות!$E$7+1),INT((H4994-1)/(הגדרות!$E$7+1)),הגדרות!$E$8+INT((H4994-1-הגדרות!$E$8*(הגדרות!$E$7+1))/הגדרות!$E$7)))</f>
        <v/>
      </c>
      <c r="J4994" s="0" t="str">
        <f aca="false">IF(I4994="","",IF(H4994-1&lt;הגדרות!$E$8*(הגדרות!$E$7+1),MOD(H4994-1,הגדרות!$E$7+1),MOD(H4994-1-הגדרות!$E$8*(הגדרות!$E$7+1),הגדרות!$E$7)))</f>
        <v/>
      </c>
      <c r="K4994" s="0" t="str">
        <f aca="false">IF(I4994="","",J4994*הגדרות!$E$6+I4994+1)</f>
        <v/>
      </c>
      <c r="L4994" s="0" t="str">
        <f aca="false">IF(K4994="","",MATCH(K4994,$F$2:$F$5001,0))</f>
        <v/>
      </c>
      <c r="M4994" s="0" t="str">
        <f aca="false">IF(I4994="","",INDEX(הגדרות!$A$2:$A$21,MOD(I4994+הגדרות!$E$9,הגדרות!$E$6)+1))</f>
        <v/>
      </c>
    </row>
    <row r="4995" customFormat="false" ht="15" hidden="false" customHeight="false" outlineLevel="0" collapsed="false">
      <c r="A4995" s="0" t="str">
        <f aca="false">IF('הדבקת לידים'!A4995="","",IF(ISNUMBER('הדבקת לידים'!A4995),IF(הגדרות!$E$2&gt;0,TEXT('הדבקת לידים'!A4995,REPT("0",הגדרות!$E$2)),TEXT('הדבקת לידים'!A4995,"0")),TRIM('הדבקת לידים'!A4995)))</f>
        <v/>
      </c>
      <c r="B4995" s="0" t="str">
        <f aca="false">IF('הדבקת לידים'!B4995="","",IF(ISNUMBER('הדבקת לידים'!B4995),IF(הגדרות!$E$3&gt;0,TEXT('הדבקת לידים'!B4995,REPT("0",הגדרות!$E$3)),TEXT('הדבקת לידים'!B4995,"0")),TRIM('הדבקת לידים'!B4995)))</f>
        <v/>
      </c>
      <c r="C4995" s="0" t="n">
        <f aca="false">IF(OR(A4995&lt;&gt;"",B4995&lt;&gt;""),1,0)</f>
        <v>0</v>
      </c>
      <c r="D4995" s="0" t="str">
        <f aca="false">IF(C4995=1,MOD(ABS(SIN(ROW()*12.9898+'הדבקת לידים'!$F$2*78.233+IFERROR(--RIGHT(A4995,6),LEN(A4995))*0.0137+IFERROR(--RIGHT(B4995,6),LEN(B4995))*0.0071))*43758.5453,1),"")</f>
        <v/>
      </c>
      <c r="E4995" s="0" t="str">
        <f aca="false">IF(C4995=1,INT(MOD(ABS(SIN(D4995*7919.123+ROW()*0.618+'הדבקת לידים'!$F$2*1.3))*43758.5453,1)*1000000)*10000+ROW(),"")</f>
        <v/>
      </c>
      <c r="F4995" s="0" t="str">
        <f aca="false">IF(E4995="","",RANK(E4995,$E$2:$E$5001,1))</f>
        <v/>
      </c>
      <c r="G4995" s="0" t="n">
        <f aca="false">IF(A4995="",0,IF(SUMPRODUCT(--($A$2:$A$5001=A4995))&gt;1,1,0))</f>
        <v>0</v>
      </c>
      <c r="H4995" s="0" t="n">
        <f aca="false">ROW()-1</f>
        <v>4994</v>
      </c>
      <c r="I4995" s="0" t="str">
        <f aca="false">IF(OR(הגדרות!$E$6=0,H4995&gt;הגדרות!$E$5),"",IF(H4995-1&lt;הגדרות!$E$8*(הגדרות!$E$7+1),INT((H4995-1)/(הגדרות!$E$7+1)),הגדרות!$E$8+INT((H4995-1-הגדרות!$E$8*(הגדרות!$E$7+1))/הגדרות!$E$7)))</f>
        <v/>
      </c>
      <c r="J4995" s="0" t="str">
        <f aca="false">IF(I4995="","",IF(H4995-1&lt;הגדרות!$E$8*(הגדרות!$E$7+1),MOD(H4995-1,הגדרות!$E$7+1),MOD(H4995-1-הגדרות!$E$8*(הגדרות!$E$7+1),הגדרות!$E$7)))</f>
        <v/>
      </c>
      <c r="K4995" s="0" t="str">
        <f aca="false">IF(I4995="","",J4995*הגדרות!$E$6+I4995+1)</f>
        <v/>
      </c>
      <c r="L4995" s="0" t="str">
        <f aca="false">IF(K4995="","",MATCH(K4995,$F$2:$F$5001,0))</f>
        <v/>
      </c>
      <c r="M4995" s="0" t="str">
        <f aca="false">IF(I4995="","",INDEX(הגדרות!$A$2:$A$21,MOD(I4995+הגדרות!$E$9,הגדרות!$E$6)+1))</f>
        <v/>
      </c>
    </row>
    <row r="4996" customFormat="false" ht="15" hidden="false" customHeight="false" outlineLevel="0" collapsed="false">
      <c r="A4996" s="0" t="str">
        <f aca="false">IF('הדבקת לידים'!A4996="","",IF(ISNUMBER('הדבקת לידים'!A4996),IF(הגדרות!$E$2&gt;0,TEXT('הדבקת לידים'!A4996,REPT("0",הגדרות!$E$2)),TEXT('הדבקת לידים'!A4996,"0")),TRIM('הדבקת לידים'!A4996)))</f>
        <v/>
      </c>
      <c r="B4996" s="0" t="str">
        <f aca="false">IF('הדבקת לידים'!B4996="","",IF(ISNUMBER('הדבקת לידים'!B4996),IF(הגדרות!$E$3&gt;0,TEXT('הדבקת לידים'!B4996,REPT("0",הגדרות!$E$3)),TEXT('הדבקת לידים'!B4996,"0")),TRIM('הדבקת לידים'!B4996)))</f>
        <v/>
      </c>
      <c r="C4996" s="0" t="n">
        <f aca="false">IF(OR(A4996&lt;&gt;"",B4996&lt;&gt;""),1,0)</f>
        <v>0</v>
      </c>
      <c r="D4996" s="0" t="str">
        <f aca="false">IF(C4996=1,MOD(ABS(SIN(ROW()*12.9898+'הדבקת לידים'!$F$2*78.233+IFERROR(--RIGHT(A4996,6),LEN(A4996))*0.0137+IFERROR(--RIGHT(B4996,6),LEN(B4996))*0.0071))*43758.5453,1),"")</f>
        <v/>
      </c>
      <c r="E4996" s="0" t="str">
        <f aca="false">IF(C4996=1,INT(MOD(ABS(SIN(D4996*7919.123+ROW()*0.618+'הדבקת לידים'!$F$2*1.3))*43758.5453,1)*1000000)*10000+ROW(),"")</f>
        <v/>
      </c>
      <c r="F4996" s="0" t="str">
        <f aca="false">IF(E4996="","",RANK(E4996,$E$2:$E$5001,1))</f>
        <v/>
      </c>
      <c r="G4996" s="0" t="n">
        <f aca="false">IF(A4996="",0,IF(SUMPRODUCT(--($A$2:$A$5001=A4996))&gt;1,1,0))</f>
        <v>0</v>
      </c>
      <c r="H4996" s="0" t="n">
        <f aca="false">ROW()-1</f>
        <v>4995</v>
      </c>
      <c r="I4996" s="0" t="str">
        <f aca="false">IF(OR(הגדרות!$E$6=0,H4996&gt;הגדרות!$E$5),"",IF(H4996-1&lt;הגדרות!$E$8*(הגדרות!$E$7+1),INT((H4996-1)/(הגדרות!$E$7+1)),הגדרות!$E$8+INT((H4996-1-הגדרות!$E$8*(הגדרות!$E$7+1))/הגדרות!$E$7)))</f>
        <v/>
      </c>
      <c r="J4996" s="0" t="str">
        <f aca="false">IF(I4996="","",IF(H4996-1&lt;הגדרות!$E$8*(הגדרות!$E$7+1),MOD(H4996-1,הגדרות!$E$7+1),MOD(H4996-1-הגדרות!$E$8*(הגדרות!$E$7+1),הגדרות!$E$7)))</f>
        <v/>
      </c>
      <c r="K4996" s="0" t="str">
        <f aca="false">IF(I4996="","",J4996*הגדרות!$E$6+I4996+1)</f>
        <v/>
      </c>
      <c r="L4996" s="0" t="str">
        <f aca="false">IF(K4996="","",MATCH(K4996,$F$2:$F$5001,0))</f>
        <v/>
      </c>
      <c r="M4996" s="0" t="str">
        <f aca="false">IF(I4996="","",INDEX(הגדרות!$A$2:$A$21,MOD(I4996+הגדרות!$E$9,הגדרות!$E$6)+1))</f>
        <v/>
      </c>
    </row>
    <row r="4997" customFormat="false" ht="15" hidden="false" customHeight="false" outlineLevel="0" collapsed="false">
      <c r="A4997" s="0" t="str">
        <f aca="false">IF('הדבקת לידים'!A4997="","",IF(ISNUMBER('הדבקת לידים'!A4997),IF(הגדרות!$E$2&gt;0,TEXT('הדבקת לידים'!A4997,REPT("0",הגדרות!$E$2)),TEXT('הדבקת לידים'!A4997,"0")),TRIM('הדבקת לידים'!A4997)))</f>
        <v/>
      </c>
      <c r="B4997" s="0" t="str">
        <f aca="false">IF('הדבקת לידים'!B4997="","",IF(ISNUMBER('הדבקת לידים'!B4997),IF(הגדרות!$E$3&gt;0,TEXT('הדבקת לידים'!B4997,REPT("0",הגדרות!$E$3)),TEXT('הדבקת לידים'!B4997,"0")),TRIM('הדבקת לידים'!B4997)))</f>
        <v/>
      </c>
      <c r="C4997" s="0" t="n">
        <f aca="false">IF(OR(A4997&lt;&gt;"",B4997&lt;&gt;""),1,0)</f>
        <v>0</v>
      </c>
      <c r="D4997" s="0" t="str">
        <f aca="false">IF(C4997=1,MOD(ABS(SIN(ROW()*12.9898+'הדבקת לידים'!$F$2*78.233+IFERROR(--RIGHT(A4997,6),LEN(A4997))*0.0137+IFERROR(--RIGHT(B4997,6),LEN(B4997))*0.0071))*43758.5453,1),"")</f>
        <v/>
      </c>
      <c r="E4997" s="0" t="str">
        <f aca="false">IF(C4997=1,INT(MOD(ABS(SIN(D4997*7919.123+ROW()*0.618+'הדבקת לידים'!$F$2*1.3))*43758.5453,1)*1000000)*10000+ROW(),"")</f>
        <v/>
      </c>
      <c r="F4997" s="0" t="str">
        <f aca="false">IF(E4997="","",RANK(E4997,$E$2:$E$5001,1))</f>
        <v/>
      </c>
      <c r="G4997" s="0" t="n">
        <f aca="false">IF(A4997="",0,IF(SUMPRODUCT(--($A$2:$A$5001=A4997))&gt;1,1,0))</f>
        <v>0</v>
      </c>
      <c r="H4997" s="0" t="n">
        <f aca="false">ROW()-1</f>
        <v>4996</v>
      </c>
      <c r="I4997" s="0" t="str">
        <f aca="false">IF(OR(הגדרות!$E$6=0,H4997&gt;הגדרות!$E$5),"",IF(H4997-1&lt;הגדרות!$E$8*(הגדרות!$E$7+1),INT((H4997-1)/(הגדרות!$E$7+1)),הגדרות!$E$8+INT((H4997-1-הגדרות!$E$8*(הגדרות!$E$7+1))/הגדרות!$E$7)))</f>
        <v/>
      </c>
      <c r="J4997" s="0" t="str">
        <f aca="false">IF(I4997="","",IF(H4997-1&lt;הגדרות!$E$8*(הגדרות!$E$7+1),MOD(H4997-1,הגדרות!$E$7+1),MOD(H4997-1-הגדרות!$E$8*(הגדרות!$E$7+1),הגדרות!$E$7)))</f>
        <v/>
      </c>
      <c r="K4997" s="0" t="str">
        <f aca="false">IF(I4997="","",J4997*הגדרות!$E$6+I4997+1)</f>
        <v/>
      </c>
      <c r="L4997" s="0" t="str">
        <f aca="false">IF(K4997="","",MATCH(K4997,$F$2:$F$5001,0))</f>
        <v/>
      </c>
      <c r="M4997" s="0" t="str">
        <f aca="false">IF(I4997="","",INDEX(הגדרות!$A$2:$A$21,MOD(I4997+הגדרות!$E$9,הגדרות!$E$6)+1))</f>
        <v/>
      </c>
    </row>
    <row r="4998" customFormat="false" ht="15" hidden="false" customHeight="false" outlineLevel="0" collapsed="false">
      <c r="A4998" s="0" t="str">
        <f aca="false">IF('הדבקת לידים'!A4998="","",IF(ISNUMBER('הדבקת לידים'!A4998),IF(הגדרות!$E$2&gt;0,TEXT('הדבקת לידים'!A4998,REPT("0",הגדרות!$E$2)),TEXT('הדבקת לידים'!A4998,"0")),TRIM('הדבקת לידים'!A4998)))</f>
        <v/>
      </c>
      <c r="B4998" s="0" t="str">
        <f aca="false">IF('הדבקת לידים'!B4998="","",IF(ISNUMBER('הדבקת לידים'!B4998),IF(הגדרות!$E$3&gt;0,TEXT('הדבקת לידים'!B4998,REPT("0",הגדרות!$E$3)),TEXT('הדבקת לידים'!B4998,"0")),TRIM('הדבקת לידים'!B4998)))</f>
        <v/>
      </c>
      <c r="C4998" s="0" t="n">
        <f aca="false">IF(OR(A4998&lt;&gt;"",B4998&lt;&gt;""),1,0)</f>
        <v>0</v>
      </c>
      <c r="D4998" s="0" t="str">
        <f aca="false">IF(C4998=1,MOD(ABS(SIN(ROW()*12.9898+'הדבקת לידים'!$F$2*78.233+IFERROR(--RIGHT(A4998,6),LEN(A4998))*0.0137+IFERROR(--RIGHT(B4998,6),LEN(B4998))*0.0071))*43758.5453,1),"")</f>
        <v/>
      </c>
      <c r="E4998" s="0" t="str">
        <f aca="false">IF(C4998=1,INT(MOD(ABS(SIN(D4998*7919.123+ROW()*0.618+'הדבקת לידים'!$F$2*1.3))*43758.5453,1)*1000000)*10000+ROW(),"")</f>
        <v/>
      </c>
      <c r="F4998" s="0" t="str">
        <f aca="false">IF(E4998="","",RANK(E4998,$E$2:$E$5001,1))</f>
        <v/>
      </c>
      <c r="G4998" s="0" t="n">
        <f aca="false">IF(A4998="",0,IF(SUMPRODUCT(--($A$2:$A$5001=A4998))&gt;1,1,0))</f>
        <v>0</v>
      </c>
      <c r="H4998" s="0" t="n">
        <f aca="false">ROW()-1</f>
        <v>4997</v>
      </c>
      <c r="I4998" s="0" t="str">
        <f aca="false">IF(OR(הגדרות!$E$6=0,H4998&gt;הגדרות!$E$5),"",IF(H4998-1&lt;הגדרות!$E$8*(הגדרות!$E$7+1),INT((H4998-1)/(הגדרות!$E$7+1)),הגדרות!$E$8+INT((H4998-1-הגדרות!$E$8*(הגדרות!$E$7+1))/הגדרות!$E$7)))</f>
        <v/>
      </c>
      <c r="J4998" s="0" t="str">
        <f aca="false">IF(I4998="","",IF(H4998-1&lt;הגדרות!$E$8*(הגדרות!$E$7+1),MOD(H4998-1,הגדרות!$E$7+1),MOD(H4998-1-הגדרות!$E$8*(הגדרות!$E$7+1),הגדרות!$E$7)))</f>
        <v/>
      </c>
      <c r="K4998" s="0" t="str">
        <f aca="false">IF(I4998="","",J4998*הגדרות!$E$6+I4998+1)</f>
        <v/>
      </c>
      <c r="L4998" s="0" t="str">
        <f aca="false">IF(K4998="","",MATCH(K4998,$F$2:$F$5001,0))</f>
        <v/>
      </c>
      <c r="M4998" s="0" t="str">
        <f aca="false">IF(I4998="","",INDEX(הגדרות!$A$2:$A$21,MOD(I4998+הגדרות!$E$9,הגדרות!$E$6)+1))</f>
        <v/>
      </c>
    </row>
    <row r="4999" customFormat="false" ht="15" hidden="false" customHeight="false" outlineLevel="0" collapsed="false">
      <c r="A4999" s="0" t="str">
        <f aca="false">IF('הדבקת לידים'!A4999="","",IF(ISNUMBER('הדבקת לידים'!A4999),IF(הגדרות!$E$2&gt;0,TEXT('הדבקת לידים'!A4999,REPT("0",הגדרות!$E$2)),TEXT('הדבקת לידים'!A4999,"0")),TRIM('הדבקת לידים'!A4999)))</f>
        <v/>
      </c>
      <c r="B4999" s="0" t="str">
        <f aca="false">IF('הדבקת לידים'!B4999="","",IF(ISNUMBER('הדבקת לידים'!B4999),IF(הגדרות!$E$3&gt;0,TEXT('הדבקת לידים'!B4999,REPT("0",הגדרות!$E$3)),TEXT('הדבקת לידים'!B4999,"0")),TRIM('הדבקת לידים'!B4999)))</f>
        <v/>
      </c>
      <c r="C4999" s="0" t="n">
        <f aca="false">IF(OR(A4999&lt;&gt;"",B4999&lt;&gt;""),1,0)</f>
        <v>0</v>
      </c>
      <c r="D4999" s="0" t="str">
        <f aca="false">IF(C4999=1,MOD(ABS(SIN(ROW()*12.9898+'הדבקת לידים'!$F$2*78.233+IFERROR(--RIGHT(A4999,6),LEN(A4999))*0.0137+IFERROR(--RIGHT(B4999,6),LEN(B4999))*0.0071))*43758.5453,1),"")</f>
        <v/>
      </c>
      <c r="E4999" s="0" t="str">
        <f aca="false">IF(C4999=1,INT(MOD(ABS(SIN(D4999*7919.123+ROW()*0.618+'הדבקת לידים'!$F$2*1.3))*43758.5453,1)*1000000)*10000+ROW(),"")</f>
        <v/>
      </c>
      <c r="F4999" s="0" t="str">
        <f aca="false">IF(E4999="","",RANK(E4999,$E$2:$E$5001,1))</f>
        <v/>
      </c>
      <c r="G4999" s="0" t="n">
        <f aca="false">IF(A4999="",0,IF(SUMPRODUCT(--($A$2:$A$5001=A4999))&gt;1,1,0))</f>
        <v>0</v>
      </c>
      <c r="H4999" s="0" t="n">
        <f aca="false">ROW()-1</f>
        <v>4998</v>
      </c>
      <c r="I4999" s="0" t="str">
        <f aca="false">IF(OR(הגדרות!$E$6=0,H4999&gt;הגדרות!$E$5),"",IF(H4999-1&lt;הגדרות!$E$8*(הגדרות!$E$7+1),INT((H4999-1)/(הגדרות!$E$7+1)),הגדרות!$E$8+INT((H4999-1-הגדרות!$E$8*(הגדרות!$E$7+1))/הגדרות!$E$7)))</f>
        <v/>
      </c>
      <c r="J4999" s="0" t="str">
        <f aca="false">IF(I4999="","",IF(H4999-1&lt;הגדרות!$E$8*(הגדרות!$E$7+1),MOD(H4999-1,הגדרות!$E$7+1),MOD(H4999-1-הגדרות!$E$8*(הגדרות!$E$7+1),הגדרות!$E$7)))</f>
        <v/>
      </c>
      <c r="K4999" s="0" t="str">
        <f aca="false">IF(I4999="","",J4999*הגדרות!$E$6+I4999+1)</f>
        <v/>
      </c>
      <c r="L4999" s="0" t="str">
        <f aca="false">IF(K4999="","",MATCH(K4999,$F$2:$F$5001,0))</f>
        <v/>
      </c>
      <c r="M4999" s="0" t="str">
        <f aca="false">IF(I4999="","",INDEX(הגדרות!$A$2:$A$21,MOD(I4999+הגדרות!$E$9,הגדרות!$E$6)+1))</f>
        <v/>
      </c>
    </row>
    <row r="5000" customFormat="false" ht="15" hidden="false" customHeight="false" outlineLevel="0" collapsed="false">
      <c r="A5000" s="0" t="str">
        <f aca="false">IF('הדבקת לידים'!A5000="","",IF(ISNUMBER('הדבקת לידים'!A5000),IF(הגדרות!$E$2&gt;0,TEXT('הדבקת לידים'!A5000,REPT("0",הגדרות!$E$2)),TEXT('הדבקת לידים'!A5000,"0")),TRIM('הדבקת לידים'!A5000)))</f>
        <v/>
      </c>
      <c r="B5000" s="0" t="str">
        <f aca="false">IF('הדבקת לידים'!B5000="","",IF(ISNUMBER('הדבקת לידים'!B5000),IF(הגדרות!$E$3&gt;0,TEXT('הדבקת לידים'!B5000,REPT("0",הגדרות!$E$3)),TEXT('הדבקת לידים'!B5000,"0")),TRIM('הדבקת לידים'!B5000)))</f>
        <v/>
      </c>
      <c r="C5000" s="0" t="n">
        <f aca="false">IF(OR(A5000&lt;&gt;"",B5000&lt;&gt;""),1,0)</f>
        <v>0</v>
      </c>
      <c r="D5000" s="0" t="str">
        <f aca="false">IF(C5000=1,MOD(ABS(SIN(ROW()*12.9898+'הדבקת לידים'!$F$2*78.233+IFERROR(--RIGHT(A5000,6),LEN(A5000))*0.0137+IFERROR(--RIGHT(B5000,6),LEN(B5000))*0.0071))*43758.5453,1),"")</f>
        <v/>
      </c>
      <c r="E5000" s="0" t="str">
        <f aca="false">IF(C5000=1,INT(MOD(ABS(SIN(D5000*7919.123+ROW()*0.618+'הדבקת לידים'!$F$2*1.3))*43758.5453,1)*1000000)*10000+ROW(),"")</f>
        <v/>
      </c>
      <c r="F5000" s="0" t="str">
        <f aca="false">IF(E5000="","",RANK(E5000,$E$2:$E$5001,1))</f>
        <v/>
      </c>
      <c r="G5000" s="0" t="n">
        <f aca="false">IF(A5000="",0,IF(SUMPRODUCT(--($A$2:$A$5001=A5000))&gt;1,1,0))</f>
        <v>0</v>
      </c>
      <c r="H5000" s="0" t="n">
        <f aca="false">ROW()-1</f>
        <v>4999</v>
      </c>
      <c r="I5000" s="0" t="str">
        <f aca="false">IF(OR(הגדרות!$E$6=0,H5000&gt;הגדרות!$E$5),"",IF(H5000-1&lt;הגדרות!$E$8*(הגדרות!$E$7+1),INT((H5000-1)/(הגדרות!$E$7+1)),הגדרות!$E$8+INT((H5000-1-הגדרות!$E$8*(הגדרות!$E$7+1))/הגדרות!$E$7)))</f>
        <v/>
      </c>
      <c r="J5000" s="0" t="str">
        <f aca="false">IF(I5000="","",IF(H5000-1&lt;הגדרות!$E$8*(הגדרות!$E$7+1),MOD(H5000-1,הגדרות!$E$7+1),MOD(H5000-1-הגדרות!$E$8*(הגדרות!$E$7+1),הגדרות!$E$7)))</f>
        <v/>
      </c>
      <c r="K5000" s="0" t="str">
        <f aca="false">IF(I5000="","",J5000*הגדרות!$E$6+I5000+1)</f>
        <v/>
      </c>
      <c r="L5000" s="0" t="str">
        <f aca="false">IF(K5000="","",MATCH(K5000,$F$2:$F$5001,0))</f>
        <v/>
      </c>
      <c r="M5000" s="0" t="str">
        <f aca="false">IF(I5000="","",INDEX(הגדרות!$A$2:$A$21,MOD(I5000+הגדרות!$E$9,הגדרות!$E$6)+1))</f>
        <v/>
      </c>
    </row>
    <row r="5001" customFormat="false" ht="15" hidden="false" customHeight="false" outlineLevel="0" collapsed="false">
      <c r="A5001" s="0" t="str">
        <f aca="false">IF('הדבקת לידים'!A5001="","",IF(ISNUMBER('הדבקת לידים'!A5001),IF(הגדרות!$E$2&gt;0,TEXT('הדבקת לידים'!A5001,REPT("0",הגדרות!$E$2)),TEXT('הדבקת לידים'!A5001,"0")),TRIM('הדבקת לידים'!A5001)))</f>
        <v/>
      </c>
      <c r="B5001" s="0" t="str">
        <f aca="false">IF('הדבקת לידים'!B5001="","",IF(ISNUMBER('הדבקת לידים'!B5001),IF(הגדרות!$E$3&gt;0,TEXT('הדבקת לידים'!B5001,REPT("0",הגדרות!$E$3)),TEXT('הדבקת לידים'!B5001,"0")),TRIM('הדבקת לידים'!B5001)))</f>
        <v/>
      </c>
      <c r="C5001" s="0" t="n">
        <f aca="false">IF(OR(A5001&lt;&gt;"",B5001&lt;&gt;""),1,0)</f>
        <v>0</v>
      </c>
      <c r="D5001" s="0" t="str">
        <f aca="false">IF(C5001=1,MOD(ABS(SIN(ROW()*12.9898+'הדבקת לידים'!$F$2*78.233+IFERROR(--RIGHT(A5001,6),LEN(A5001))*0.0137+IFERROR(--RIGHT(B5001,6),LEN(B5001))*0.0071))*43758.5453,1),"")</f>
        <v/>
      </c>
      <c r="E5001" s="0" t="str">
        <f aca="false">IF(C5001=1,INT(MOD(ABS(SIN(D5001*7919.123+ROW()*0.618+'הדבקת לידים'!$F$2*1.3))*43758.5453,1)*1000000)*10000+ROW(),"")</f>
        <v/>
      </c>
      <c r="F5001" s="0" t="str">
        <f aca="false">IF(E5001="","",RANK(E5001,$E$2:$E$5001,1))</f>
        <v/>
      </c>
      <c r="G5001" s="0" t="n">
        <f aca="false">IF(A5001="",0,IF(SUMPRODUCT(--($A$2:$A$5001=A5001))&gt;1,1,0))</f>
        <v>0</v>
      </c>
      <c r="H5001" s="0" t="n">
        <f aca="false">ROW()-1</f>
        <v>5000</v>
      </c>
      <c r="I5001" s="0" t="str">
        <f aca="false">IF(OR(הגדרות!$E$6=0,H5001&gt;הגדרות!$E$5),"",IF(H5001-1&lt;הגדרות!$E$8*(הגדרות!$E$7+1),INT((H5001-1)/(הגדרות!$E$7+1)),הגדרות!$E$8+INT((H5001-1-הגדרות!$E$8*(הגדרות!$E$7+1))/הגדרות!$E$7)))</f>
        <v/>
      </c>
      <c r="J5001" s="0" t="str">
        <f aca="false">IF(I5001="","",IF(H5001-1&lt;הגדרות!$E$8*(הגדרות!$E$7+1),MOD(H5001-1,הגדרות!$E$7+1),MOD(H5001-1-הגדרות!$E$8*(הגדרות!$E$7+1),הגדרות!$E$7)))</f>
        <v/>
      </c>
      <c r="K5001" s="0" t="str">
        <f aca="false">IF(I5001="","",J5001*הגדרות!$E$6+I5001+1)</f>
        <v/>
      </c>
      <c r="L5001" s="0" t="str">
        <f aca="false">IF(K5001="","",MATCH(K5001,$F$2:$F$5001,0))</f>
        <v/>
      </c>
      <c r="M5001" s="0" t="str">
        <f aca="false">IF(I5001="","",INDEX(הגדרות!$A$2:$A$21,MOD(I5001+הגדרות!$E$9,הגדרות!$E$6)+1))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2026-09-29T22:16:28Z</dcterms:created>
  <dc:creator>openpyxl</dc:creator>
  <dc:description/>
  <dc:language>en-US</dc:language>
  <cp:lastModifiedBy/>
  <dcterms:modified xsi:type="dcterms:W3CDTF">2026-09-29T22:16:29Z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